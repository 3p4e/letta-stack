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Batch Coverage" sheetId="1" state="visible" r:id="rId1"/>
    <sheet xmlns:r="http://schemas.openxmlformats.org/officeDocument/2006/relationships" name="CoQ Parameter Tracker v47" sheetId="2" state="visible" r:id="rId2"/>
    <sheet xmlns:r="http://schemas.openxmlformats.org/officeDocument/2006/relationships" name="Batch Dates" sheetId="3" state="visible" r:id="rId3"/>
    <sheet xmlns:r="http://schemas.openxmlformats.org/officeDocument/2006/relationships" name="iCoA Register" sheetId="4" state="visible" r:id="rId4"/>
    <sheet xmlns:r="http://schemas.openxmlformats.org/officeDocument/2006/relationships" name="CoQ Register" sheetId="5" state="visible" r:id="rId5"/>
    <sheet xmlns:r="http://schemas.openxmlformats.org/officeDocument/2006/relationships" name="CoQ References" sheetId="6" state="visible" r:id="rId6"/>
    <sheet xmlns:r="http://schemas.openxmlformats.org/officeDocument/2006/relationships" name="Potency Grades" sheetId="7" state="visible" r:id="rId7"/>
    <sheet xmlns:r="http://schemas.openxmlformats.org/officeDocument/2006/relationships" name="CoQ Compilation" sheetId="8" state="visible" r:id="rId8"/>
    <sheet xmlns:r="http://schemas.openxmlformats.org/officeDocument/2006/relationships" name="CoQ Compilation (long)" sheetId="9" state="visible" r:id="rId9"/>
    <sheet xmlns:r="http://schemas.openxmlformats.org/officeDocument/2006/relationships" name="Result Supersession" sheetId="10" state="visible" r:id="rId10"/>
    <sheet xmlns:r="http://schemas.openxmlformats.org/officeDocument/2006/relationships" name="Parameters" sheetId="11" state="visible" r:id="rId11"/>
    <sheet xmlns:r="http://schemas.openxmlformats.org/officeDocument/2006/relationships" name="Reference" sheetId="12" state="visible" r:id="rId12"/>
  </sheets>
  <definedNames>
    <definedName name="_fold_Read_Me">Reference!$A$2:$A$83</definedName>
    <definedName name="_fold_Delivery_T1_T3">Reference!$A$87:$A$167</definedName>
    <definedName name="_fold_ImB_Register">Reference!$A$171:$A$216</definedName>
    <definedName name="_fold_Mikro_CoQ_Parameter">Reference!$A$220:$A$366</definedName>
    <definedName name="_fold_Reconciliation_09_09">Reference!$A$370:$A$643</definedName>
    <definedName name="_fold_Credit_Audit">Reference!$A$647:$A$660</definedName>
    <definedName name="_fold_Credit_Corrections">Reference!$A$664:$A$797</definedName>
    <definedName name="_fold_Work_Order">Reference!$A$801:$A$842</definedName>
    <definedName name="_fold_Open_Items">Reference!$A$846:$A$905</definedName>
    <definedName name="_fold_Not_Tested_Review">Reference!$A$909:$A$1203</definedName>
    <definedName name="_fold_Summary_Dashboard">Reference!$A$1207:$A$1227</definedName>
    <definedName name="_xlnm._FilterDatabase" localSheetId="0" hidden="1">'Batch Coverage'!$A$1:$V$87</definedName>
    <definedName name="_xlnm.Print_Titles" localSheetId="0">'Batch Coverage'!$1:$1</definedName>
    <definedName name="_xlnm.Print_Titles" localSheetId="1">'CoQ Parameter Tracker v47'!$1:$4</definedName>
    <definedName name="_xlnm._FilterDatabase" localSheetId="2" hidden="1">'Batch Dates'!$A$1:$J$88</definedName>
    <definedName name="_xlnm.Print_Titles" localSheetId="2">'Batch Dates'!$1:$1</definedName>
    <definedName name="_xlnm.Print_Titles" localSheetId="3">'iCoA Register'!$1:$1</definedName>
    <definedName name="_xlnm.Print_Titles" localSheetId="4">'CoQ Register'!$1:$1</definedName>
    <definedName name="_xlnm._FilterDatabase" localSheetId="5" hidden="1">'CoQ References'!$A$1:$R$173</definedName>
    <definedName name="_xlnm.Print_Titles" localSheetId="5">'CoQ References'!$1:$1</definedName>
    <definedName name="_xlnm._FilterDatabase" localSheetId="6" hidden="1">'Potency Grades'!$A$1:$L$58</definedName>
    <definedName name="_xlnm.Print_Titles" localSheetId="6">'Potency Grades'!$1:$1</definedName>
    <definedName name="_xlnm._FilterDatabase" localSheetId="7" hidden="1">'CoQ Compilation'!$A$1:$DR$173</definedName>
    <definedName name="_xlnm.Print_Titles" localSheetId="7">'CoQ Compilation'!$1:$1</definedName>
    <definedName name="_xlnm._FilterDatabase" localSheetId="8" hidden="1">'CoQ Compilation (long)'!$A$1:$R$3957</definedName>
    <definedName name="_xlnm.Print_Titles" localSheetId="8">'CoQ Compilation (long)'!$1:$1</definedName>
    <definedName name="_xlnm._FilterDatabase" localSheetId="9" hidden="1">'Result Supersession'!$A$1:$P$120</definedName>
    <definedName name="_xlnm.Print_Titles" localSheetId="9">'Result Supersession'!$1:$1</definedName>
    <definedName name="_xlnm._FilterDatabase" localSheetId="10" hidden="1">'Parameters'!$A$1:$G$22</definedName>
    <definedName name="_xlnm.Print_Titles" localSheetId="10">'Parameters'!$1:$1</definedName>
    <definedName name="_xlnm.Print_Titles" localSheetId="11">'Reference'!$1:$1</definedName>
  </definedNames>
  <calcPr calcId="124519" fullCalcOnLoad="1"/>
</workbook>
</file>

<file path=xl/styles.xml><?xml version="1.0" encoding="utf-8"?>
<styleSheet xmlns="http://schemas.openxmlformats.org/spreadsheetml/2006/main">
  <numFmts count="6">
    <numFmt numFmtId="164" formatCode="DD.MM.YYYY"/>
    <numFmt numFmtId="165" formatCode="0.000"/>
    <numFmt numFmtId="166" formatCode="0.0"/>
    <numFmt numFmtId="167" formatCode="0.0000"/>
    <numFmt numFmtId="168" formatCode="yyyy-mm-dd"/>
    <numFmt numFmtId="169" formatCode="0.00%;[Red]-0.00%"/>
  </numFmts>
  <fonts count="48">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sz val="13"/>
    </font>
    <font>
      <name val="Calibri"/>
      <b val="1"/>
      <sz val="10"/>
    </font>
    <font>
      <name val="Calibri"/>
      <b val="1"/>
      <color rgb="009C0006"/>
      <sz val="7"/>
    </font>
    <font>
      <name val="Calibri"/>
      <b val="1"/>
      <color rgb="00B45F06"/>
      <sz val="7"/>
    </font>
    <font>
      <name val="Calibri"/>
      <b val="1"/>
      <color rgb="009C0006"/>
      <sz val="10"/>
    </font>
    <font>
      <name val="Calibri"/>
      <sz val="7"/>
    </font>
    <font>
      <name val="Calibri"/>
      <b val="1"/>
      <color rgb="00B45F06"/>
      <sz val="9"/>
    </font>
    <font>
      <b val="1"/>
      <color rgb="00FFFFFF"/>
    </font>
    <font>
      <sz val="9"/>
    </font>
    <font>
      <b val="1"/>
      <color rgb="00FFFFFF"/>
      <sz val="9"/>
    </font>
    <font>
      <name val="Calibri"/>
      <b val="1"/>
      <sz val="8"/>
    </font>
    <font>
      <name val="Calibri"/>
      <sz val="8"/>
    </font>
    <font>
      <name val="Calibri"/>
      <b val="1"/>
      <color rgb="001F3864"/>
      <sz val="12"/>
    </font>
  </fonts>
  <fills count="51">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F4CCCC"/>
      </patternFill>
    </fill>
    <fill>
      <patternFill patternType="solid">
        <fgColor rgb="00CC0000"/>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
      <patternFill patternType="solid">
        <fgColor rgb="00F4B6B6"/>
      </patternFill>
    </fill>
    <fill>
      <patternFill patternType="solid">
        <fgColor rgb="00FCE4EC"/>
      </patternFill>
    </fill>
    <fill>
      <patternFill patternType="solid">
        <fgColor rgb="00FCE4D6"/>
      </patternFill>
    </fill>
    <fill>
      <patternFill patternType="solid">
        <fgColor rgb="00E2EFDA"/>
      </patternFill>
    </fill>
  </fills>
  <borders count="86">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404040"/>
      </left>
      <right style="thin">
        <color rgb="00BFBFBF"/>
      </right>
      <top style="medium">
        <color rgb="00000000"/>
      </top>
      <bottom style="thin">
        <color rgb="00BFBFBF"/>
      </bottom>
    </border>
    <border>
      <left style="thin">
        <color rgb="00BFBFBF"/>
      </left>
      <right style="thin">
        <color rgb="00404040"/>
      </right>
      <top style="medium">
        <color rgb="00000000"/>
      </top>
      <bottom style="thin">
        <color rgb="00BFBFBF"/>
      </bottom>
    </border>
    <border>
      <right style="thin">
        <color rgb="00404040"/>
      </right>
      <bottom style="medium">
        <color rgb="00000000"/>
      </bottom>
    </border>
    <border>
      <left style="thin">
        <color rgb="00404040"/>
      </left>
      <right style="thin">
        <color rgb="00BFBFBF"/>
      </right>
      <top style="thin">
        <color rgb="00BFBFBF"/>
      </top>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medium">
        <color rgb="00000000"/>
      </bottom>
    </border>
    <border>
      <left style="thin">
        <color rgb="00BFBFBF"/>
      </left>
      <right style="thin">
        <color rgb="00BFBFBF"/>
      </right>
      <top style="thin">
        <color rgb="00404040"/>
      </top>
      <bottom style="medium">
        <color rgb="00000000"/>
      </bottom>
    </border>
    <border>
      <left style="thin">
        <color rgb="00BFBFBF"/>
      </left>
      <right style="thin">
        <color rgb="00404040"/>
      </right>
      <top style="thin">
        <color rgb="00404040"/>
      </top>
      <bottom style="medium">
        <color rgb="00000000"/>
      </bottom>
    </border>
    <border>
      <left style="thin">
        <color rgb="00BFBFBF"/>
      </left>
      <right style="thin">
        <color rgb="00BFBFBF"/>
      </right>
      <top style="medium">
        <color rgb="00000000"/>
      </top>
      <bottom style="medium">
        <color rgb="00000000"/>
      </bottom>
    </border>
    <border>
      <left style="medium">
        <color rgb="00000000"/>
      </left>
      <right style="thin">
        <color rgb="00BFBFBF"/>
      </right>
      <top style="medium">
        <color rgb="00000000"/>
      </top>
      <bottom style="medium">
        <color rgb="00000000"/>
      </bottom>
    </border>
    <border>
      <left style="thin">
        <color rgb="00404040"/>
      </left>
      <right style="thin">
        <color rgb="00BFBFBF"/>
      </right>
      <top style="medium">
        <color rgb="00000000"/>
      </top>
      <bottom style="medium">
        <color rgb="00000000"/>
      </bottom>
    </border>
    <border>
      <left style="thin">
        <color rgb="00BFBFBF"/>
      </left>
      <right style="thin">
        <color rgb="00404040"/>
      </right>
      <top style="medium">
        <color rgb="00000000"/>
      </top>
      <bottom style="medium">
        <color rgb="00000000"/>
      </bottom>
    </border>
    <border>
      <left style="thin">
        <color rgb="00BFBFBF"/>
      </left>
      <right style="medium">
        <color rgb="00000000"/>
      </right>
      <top style="medium">
        <color rgb="00000000"/>
      </top>
      <bottom style="medium">
        <color rgb="00000000"/>
      </bottom>
    </border>
    <border>
      <left style="medium">
        <color rgb="00000000"/>
      </left>
      <bottom style="thin">
        <color rgb="00404040"/>
      </bottom>
    </border>
    <border>
      <right style="medium">
        <color rgb="00000000"/>
      </right>
      <bottom style="thin">
        <color rgb="00404040"/>
      </bottom>
    </border>
    <border>
      <left style="thin">
        <color rgb="00BFBFBF"/>
      </left>
      <right style="medium">
        <color rgb="00000000"/>
      </right>
      <top style="thin">
        <color rgb="00404040"/>
      </top>
      <bottom style="thin">
        <color rgb="00BFBFBF"/>
      </bottom>
    </border>
    <border>
      <left style="thin">
        <color rgb="00BFBFBF"/>
      </left>
      <right style="medium">
        <color rgb="00000000"/>
      </right>
      <top style="thin">
        <color rgb="00404040"/>
      </top>
      <bottom style="medium">
        <color rgb="00000000"/>
      </bottom>
    </border>
    <border>
      <left style="thin">
        <color rgb="00404040"/>
      </left>
      <right style="thin">
        <color rgb="00BFBFBF"/>
      </right>
    </border>
    <border>
      <left style="thin">
        <color rgb="00404040"/>
      </left>
      <right style="thin">
        <color rgb="00BFBFBF"/>
      </right>
      <bottom style="medium">
        <color rgb="00000000"/>
      </bottom>
    </border>
    <border>
      <left style="thin">
        <color rgb="00BFBFBF"/>
      </left>
    </border>
    <border>
      <left style="thin">
        <color rgb="00BFBFBF"/>
      </left>
      <right style="thin">
        <color rgb="00404040"/>
      </right>
    </border>
    <border>
      <left style="thin">
        <color rgb="00BFBFBF"/>
      </left>
      <right style="thin">
        <color rgb="00404040"/>
      </right>
      <bottom style="medium">
        <color rgb="00000000"/>
      </bottom>
    </border>
    <border>
      <left style="thin">
        <color rgb="00BFBFBF"/>
      </left>
      <right style="thin">
        <color rgb="00BFBFBF"/>
      </right>
    </border>
    <border>
      <left style="thin">
        <color rgb="00BFBFBF"/>
      </left>
      <right style="thin">
        <color rgb="00BFBFBF"/>
      </right>
      <bottom style="thin">
        <color rgb="00BFBFBF"/>
      </bottom>
    </border>
    <border>
      <left style="medium">
        <color rgb="00000000"/>
      </left>
      <right style="thin">
        <color rgb="00BFBFBF"/>
      </right>
    </border>
    <border>
      <left style="medium">
        <color rgb="00000000"/>
      </left>
      <right style="thin">
        <color rgb="00BFBFBF"/>
      </right>
      <bottom style="medium">
        <color rgb="00000000"/>
      </bottom>
    </border>
    <border>
      <left style="thin">
        <color rgb="00BFBFBF"/>
      </left>
      <right style="thin">
        <color rgb="00BFBFBF"/>
      </right>
      <bottom style="medium">
        <color rgb="00000000"/>
      </bottom>
    </border>
    <border>
      <left style="thin">
        <color rgb="00BFBFBF"/>
      </left>
      <right style="thin">
        <color rgb="00404040"/>
      </right>
      <bottom style="thin">
        <color rgb="00BFBFBF"/>
      </bottom>
    </border>
    <border>
      <left style="thin">
        <color rgb="00404040"/>
      </left>
      <right style="thin">
        <color rgb="00BFBFBF"/>
      </right>
      <bottom style="thin">
        <color rgb="00BFBFBF"/>
      </bottom>
    </border>
    <border>
      <left style="thin">
        <color rgb="00BFBFBF"/>
      </left>
      <right style="medium">
        <color rgb="00000000"/>
      </right>
    </border>
    <border>
      <left style="thin">
        <color rgb="00BFBFBF"/>
      </left>
      <right style="medium">
        <color rgb="00000000"/>
      </right>
      <bottom style="medium">
        <color rgb="00000000"/>
      </bottom>
    </border>
    <border>
      <top style="thin">
        <color rgb="00BFBFBF"/>
      </top>
      <bottom style="medium">
        <color rgb="00000000"/>
      </bottom>
    </border>
    <border>
      <right style="thin">
        <color rgb="00BFBFBF"/>
      </right>
      <top style="thin">
        <color rgb="00BFBFBF"/>
      </top>
      <bottom style="medium">
        <color rgb="00000000"/>
      </bottom>
    </border>
    <border>
      <left style="thin">
        <color rgb="00BFBFBF"/>
      </left>
      <right style="medium">
        <color rgb="00000000"/>
      </right>
      <bottom style="thin">
        <color rgb="00BFBFBF"/>
      </bottom>
    </border>
    <border>
      <top style="thin">
        <color rgb="00BFBFBF"/>
      </top>
      <bottom style="thin">
        <color rgb="00404040"/>
      </bottom>
    </border>
    <border>
      <right style="thin">
        <color rgb="00BFBFBF"/>
      </right>
      <top style="thin">
        <color rgb="00BFBFBF"/>
      </top>
      <bottom style="thin">
        <color rgb="00404040"/>
      </bottom>
    </border>
    <border>
      <right style="thin">
        <color rgb="00BFBFBF"/>
      </right>
    </border>
    <border>
      <left style="thin">
        <color rgb="00BFBFBF"/>
      </left>
      <bottom style="thin">
        <color rgb="00BFBFBF"/>
      </bottom>
    </border>
    <border>
      <bottom style="thin">
        <color rgb="00BFBFBF"/>
      </bottom>
    </border>
    <border>
      <right style="thin">
        <color rgb="00BFBFBF"/>
      </right>
      <bottom style="thin">
        <color rgb="00BFBFBF"/>
      </bottom>
    </border>
  </borders>
  <cellStyleXfs count="1">
    <xf numFmtId="0" fontId="0" fillId="0" borderId="0"/>
  </cellStyleXfs>
  <cellXfs count="317">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41" fillId="44" borderId="17" applyAlignment="1" pivotButton="0" quotePrefix="0" xfId="0">
      <alignment horizontal="center" vertical="center"/>
    </xf>
    <xf numFmtId="0" fontId="30" fillId="28" borderId="17" applyAlignment="1" pivotButton="0" quotePrefix="0" xfId="0">
      <alignment horizontal="center" vertical="center" wrapText="1"/>
    </xf>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21" fillId="36" borderId="17" applyAlignment="1" pivotButton="0" quotePrefix="0" xfId="0">
      <alignment horizontal="center" vertical="center" wrapText="1"/>
    </xf>
    <xf numFmtId="0" fontId="31" fillId="28" borderId="55" applyAlignment="1" pivotButton="0" quotePrefix="0" xfId="0">
      <alignment horizontal="center" vertical="center" wrapText="1"/>
    </xf>
    <xf numFmtId="0" fontId="31" fillId="28" borderId="54" applyAlignment="1" pivotButton="0" quotePrefix="0" xfId="0">
      <alignment horizontal="center" vertical="center" wrapText="1"/>
    </xf>
    <xf numFmtId="0" fontId="31" fillId="40" borderId="54" applyAlignment="1" pivotButton="0" quotePrefix="0" xfId="0">
      <alignment horizontal="center" vertical="center" wrapText="1"/>
    </xf>
    <xf numFmtId="0" fontId="31" fillId="28" borderId="36" applyAlignment="1" pivotButton="0" quotePrefix="0" xfId="0">
      <alignment horizontal="center" vertical="center" wrapText="1"/>
    </xf>
    <xf numFmtId="0" fontId="33" fillId="35" borderId="36" applyAlignment="1" pivotButton="0" quotePrefix="0" xfId="0">
      <alignment horizontal="center" vertical="top" wrapText="1"/>
    </xf>
    <xf numFmtId="0" fontId="34" fillId="35" borderId="36" applyAlignment="1" pivotButton="0" quotePrefix="0" xfId="0">
      <alignment horizontal="center" vertical="top" wrapText="1"/>
    </xf>
    <xf numFmtId="0" fontId="33" fillId="32" borderId="39" applyAlignment="1" pivotButton="0" quotePrefix="0" xfId="0">
      <alignment horizontal="center" vertical="center" wrapText="1"/>
    </xf>
    <xf numFmtId="0" fontId="34" fillId="32" borderId="36" applyAlignment="1" pivotButton="0" quotePrefix="0" xfId="0">
      <alignment horizontal="center" vertical="top" wrapText="1"/>
    </xf>
    <xf numFmtId="0" fontId="31" fillId="37" borderId="40" applyAlignment="1" pivotButton="0" quotePrefix="0" xfId="0">
      <alignment horizontal="center" vertical="center" wrapText="1"/>
    </xf>
    <xf numFmtId="0" fontId="33" fillId="38" borderId="39" applyAlignment="1" pivotButton="0" quotePrefix="0" xfId="0">
      <alignment horizontal="center" vertical="center" wrapText="1"/>
    </xf>
    <xf numFmtId="0" fontId="34" fillId="38" borderId="36" applyAlignment="1" pivotButton="0" quotePrefix="0" xfId="0">
      <alignment horizontal="center" vertical="top" wrapText="1"/>
    </xf>
    <xf numFmtId="0" fontId="31" fillId="39" borderId="40" applyAlignment="1" pivotButton="0" quotePrefix="0" xfId="0">
      <alignment horizontal="center" vertical="center" wrapText="1"/>
    </xf>
    <xf numFmtId="0" fontId="35" fillId="32" borderId="39" applyAlignment="1" pivotButton="0" quotePrefix="0" xfId="0">
      <alignment horizontal="center" vertical="center" wrapText="1"/>
    </xf>
    <xf numFmtId="0" fontId="36" fillId="32" borderId="39" applyAlignment="1" pivotButton="0" quotePrefix="0" xfId="0">
      <alignment horizontal="center" vertical="center" wrapText="1"/>
    </xf>
    <xf numFmtId="0" fontId="33" fillId="32" borderId="36" applyAlignment="1" pivotButton="0" quotePrefix="0" xfId="0">
      <alignment horizontal="center" vertical="center" wrapText="1"/>
    </xf>
    <xf numFmtId="0" fontId="31" fillId="37" borderId="44" applyAlignment="1" pivotButton="0" quotePrefix="0" xfId="0">
      <alignment horizontal="center" vertical="center" wrapText="1"/>
    </xf>
    <xf numFmtId="0" fontId="0" fillId="0" borderId="45" pivotButton="0" quotePrefix="0" xfId="0"/>
    <xf numFmtId="0" fontId="0" fillId="0" borderId="32" pivotButton="0" quotePrefix="0" xfId="0"/>
    <xf numFmtId="0" fontId="0" fillId="0" borderId="33" pivotButton="0" quotePrefix="0" xfId="0"/>
    <xf numFmtId="0" fontId="34" fillId="32" borderId="34" applyAlignment="1" pivotButton="0" quotePrefix="0" xfId="0">
      <alignment horizontal="center" vertical="top" wrapText="1"/>
    </xf>
    <xf numFmtId="0" fontId="0" fillId="0" borderId="46" pivotButton="0" quotePrefix="0" xfId="0"/>
    <xf numFmtId="0" fontId="0" fillId="0" borderId="47" pivotButton="0" quotePrefix="0" xfId="0"/>
    <xf numFmtId="0" fontId="0" fillId="0" borderId="22" pivotButton="0" quotePrefix="0" xfId="0"/>
    <xf numFmtId="0" fontId="31" fillId="28" borderId="52" applyAlignment="1" pivotButton="0" quotePrefix="0" xfId="0">
      <alignment horizontal="center" vertical="center" wrapText="1"/>
    </xf>
    <xf numFmtId="0" fontId="33" fillId="35" borderId="52" applyAlignment="1" pivotButton="0" quotePrefix="0" xfId="0">
      <alignment horizontal="center" vertical="top" wrapText="1"/>
    </xf>
    <xf numFmtId="0" fontId="34" fillId="35" borderId="52" applyAlignment="1" pivotButton="0" quotePrefix="0" xfId="0">
      <alignment horizontal="center" vertical="top" wrapText="1"/>
    </xf>
    <xf numFmtId="0" fontId="0" fillId="0" borderId="26" pivotButton="0" quotePrefix="0" xfId="0"/>
    <xf numFmtId="0" fontId="0" fillId="0" borderId="27" pivotButton="0" quotePrefix="0" xfId="0"/>
    <xf numFmtId="0" fontId="33" fillId="32" borderId="51" applyAlignment="1" pivotButton="0" quotePrefix="0" xfId="0">
      <alignment horizontal="center" vertical="center" wrapText="1"/>
    </xf>
    <xf numFmtId="0" fontId="34" fillId="32" borderId="52" applyAlignment="1" pivotButton="0" quotePrefix="0" xfId="0">
      <alignment horizontal="center" vertical="top" wrapText="1"/>
    </xf>
    <xf numFmtId="0" fontId="31" fillId="37" borderId="53" applyAlignment="1" pivotButton="0" quotePrefix="0" xfId="0">
      <alignment horizontal="center" vertical="center" wrapText="1"/>
    </xf>
    <xf numFmtId="0" fontId="35" fillId="32" borderId="51" applyAlignment="1" pivotButton="0" quotePrefix="0" xfId="0">
      <alignment horizontal="center" vertical="center" wrapText="1"/>
    </xf>
    <xf numFmtId="0" fontId="36" fillId="32" borderId="51" applyAlignment="1" pivotButton="0" quotePrefix="0" xfId="0">
      <alignment horizontal="center" vertical="center" wrapText="1"/>
    </xf>
    <xf numFmtId="0" fontId="33" fillId="38" borderId="51" applyAlignment="1" pivotButton="0" quotePrefix="0" xfId="0">
      <alignment horizontal="center" vertical="center" wrapText="1"/>
    </xf>
    <xf numFmtId="0" fontId="34" fillId="38" borderId="52" applyAlignment="1" pivotButton="0" quotePrefix="0" xfId="0">
      <alignment horizontal="center" vertical="top" wrapText="1"/>
    </xf>
    <xf numFmtId="0" fontId="31" fillId="39" borderId="53" applyAlignment="1" pivotButton="0" quotePrefix="0" xfId="0">
      <alignment horizontal="center" vertical="center" wrapText="1"/>
    </xf>
    <xf numFmtId="0" fontId="33" fillId="32" borderId="30"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38" pivotButton="0" quotePrefix="0" xfId="0"/>
    <xf numFmtId="0" fontId="0" fillId="0" borderId="37" pivotButton="0" quotePrefix="0" xfId="0"/>
    <xf numFmtId="0" fontId="0" fillId="0" borderId="41" pivotButton="0" quotePrefix="0" xfId="0"/>
    <xf numFmtId="0" fontId="34" fillId="32" borderId="42" applyAlignment="1" pivotButton="0" quotePrefix="0" xfId="0">
      <alignment horizontal="center" vertical="top" wrapText="1"/>
    </xf>
    <xf numFmtId="0" fontId="0" fillId="0" borderId="50" pivotButton="0" quotePrefix="0" xfId="0"/>
    <xf numFmtId="0" fontId="31" fillId="43" borderId="54" applyAlignment="1" pivotButton="0" quotePrefix="0" xfId="0">
      <alignment horizontal="center" vertical="center" wrapText="1"/>
    </xf>
    <xf numFmtId="0" fontId="37" fillId="41" borderId="39" applyAlignment="1" pivotButton="0" quotePrefix="0" xfId="0">
      <alignment horizontal="center" vertical="center" wrapText="1"/>
    </xf>
    <xf numFmtId="0" fontId="37" fillId="41" borderId="36" applyAlignment="1" pivotButton="0" quotePrefix="0" xfId="0">
      <alignment horizontal="center" vertical="center" wrapText="1"/>
    </xf>
    <xf numFmtId="0" fontId="31" fillId="42" borderId="40" applyAlignment="1" pivotButton="0" quotePrefix="0" xfId="0">
      <alignment horizontal="center" vertical="center" wrapText="1"/>
    </xf>
    <xf numFmtId="0" fontId="34" fillId="41" borderId="36" applyAlignment="1" pivotButton="0" quotePrefix="0" xfId="0">
      <alignment horizontal="center" vertical="top" wrapText="1"/>
    </xf>
    <xf numFmtId="0" fontId="31" fillId="42" borderId="44" applyAlignment="1" pivotButton="0" quotePrefix="0" xfId="0">
      <alignment horizontal="center" vertical="center" wrapText="1"/>
    </xf>
    <xf numFmtId="0" fontId="34" fillId="41" borderId="34" applyAlignment="1" pivotButton="0" quotePrefix="0" xfId="0">
      <alignment horizontal="center" vertical="top" wrapText="1"/>
    </xf>
    <xf numFmtId="0" fontId="31" fillId="42" borderId="54" applyAlignment="1" pivotButton="0" quotePrefix="0" xfId="0">
      <alignment horizontal="center" vertical="center" wrapText="1"/>
    </xf>
    <xf numFmtId="0" fontId="33" fillId="35" borderId="54" applyAlignment="1" pivotButton="0" quotePrefix="0" xfId="0">
      <alignment horizontal="center" vertical="top" wrapText="1"/>
    </xf>
    <xf numFmtId="0" fontId="34" fillId="35" borderId="54" applyAlignment="1" pivotButton="0" quotePrefix="0" xfId="0">
      <alignment horizontal="center" vertical="top" wrapText="1"/>
    </xf>
    <xf numFmtId="0" fontId="33" fillId="32" borderId="56" applyAlignment="1" pivotButton="0" quotePrefix="0" xfId="0">
      <alignment horizontal="center" vertical="center" wrapText="1"/>
    </xf>
    <xf numFmtId="0" fontId="34" fillId="32" borderId="54" applyAlignment="1" pivotButton="0" quotePrefix="0" xfId="0">
      <alignment horizontal="center" vertical="top" wrapText="1"/>
    </xf>
    <xf numFmtId="0" fontId="31" fillId="37" borderId="57" applyAlignment="1" pivotButton="0" quotePrefix="0" xfId="0">
      <alignment horizontal="center" vertical="center" wrapText="1"/>
    </xf>
    <xf numFmtId="0" fontId="35" fillId="32" borderId="56" applyAlignment="1" pivotButton="0" quotePrefix="0" xfId="0">
      <alignment horizontal="center" vertical="center" wrapText="1"/>
    </xf>
    <xf numFmtId="0" fontId="36" fillId="32" borderId="56" applyAlignment="1" pivotButton="0" quotePrefix="0" xfId="0">
      <alignment horizontal="center" vertical="center" wrapText="1"/>
    </xf>
    <xf numFmtId="0" fontId="37" fillId="32" borderId="56" applyAlignment="1" pivotButton="0" quotePrefix="0" xfId="0">
      <alignment horizontal="center" vertical="center" wrapText="1"/>
    </xf>
    <xf numFmtId="0" fontId="31" fillId="42" borderId="57" applyAlignment="1" pivotButton="0" quotePrefix="0" xfId="0">
      <alignment horizontal="center" vertical="center" wrapText="1"/>
    </xf>
    <xf numFmtId="0" fontId="37" fillId="41" borderId="56" applyAlignment="1" pivotButton="0" quotePrefix="0" xfId="0">
      <alignment horizontal="center" vertical="center" wrapText="1"/>
    </xf>
    <xf numFmtId="0" fontId="34" fillId="41" borderId="54" applyAlignment="1" pivotButton="0" quotePrefix="0" xfId="0">
      <alignment horizontal="center" vertical="top" wrapText="1"/>
    </xf>
    <xf numFmtId="0" fontId="31" fillId="42" borderId="58" applyAlignment="1" pivotButton="0" quotePrefix="0" xfId="0">
      <alignment horizontal="center" vertical="center" wrapText="1"/>
    </xf>
    <xf numFmtId="0" fontId="34" fillId="41" borderId="42" applyAlignment="1" pivotButton="0" quotePrefix="0" xfId="0">
      <alignment horizontal="center" vertical="top" wrapText="1"/>
    </xf>
    <xf numFmtId="0" fontId="35" fillId="38" borderId="39" applyAlignment="1" pivotButton="0" quotePrefix="0" xfId="0">
      <alignment horizontal="center" vertical="center" wrapText="1"/>
    </xf>
    <xf numFmtId="0" fontId="36" fillId="38" borderId="39" applyAlignment="1" pivotButton="0" quotePrefix="0" xfId="0">
      <alignment horizontal="center" vertical="center" wrapText="1"/>
    </xf>
    <xf numFmtId="0" fontId="31" fillId="28" borderId="24" applyAlignment="1" pivotButton="0" quotePrefix="0" xfId="0">
      <alignment horizontal="center" vertical="center" wrapText="1"/>
    </xf>
    <xf numFmtId="0" fontId="33" fillId="35" borderId="24" applyAlignment="1" pivotButton="0" quotePrefix="0" xfId="0">
      <alignment horizontal="center" vertical="top" wrapText="1"/>
    </xf>
    <xf numFmtId="0" fontId="34" fillId="35" borderId="24" applyAlignment="1" pivotButton="0" quotePrefix="0" xfId="0">
      <alignment horizontal="center" vertical="top" wrapText="1"/>
    </xf>
    <xf numFmtId="0" fontId="34" fillId="32" borderId="24" applyAlignment="1" pivotButton="0" quotePrefix="0" xfId="0">
      <alignment horizontal="center" vertical="top" wrapText="1"/>
    </xf>
    <xf numFmtId="0" fontId="31" fillId="37" borderId="31" applyAlignment="1" pivotButton="0" quotePrefix="0" xfId="0">
      <alignment horizontal="center" vertical="center" wrapText="1"/>
    </xf>
    <xf numFmtId="0" fontId="35" fillId="32" borderId="30" applyAlignment="1" pivotButton="0" quotePrefix="0" xfId="0">
      <alignment horizontal="center" vertical="center" wrapText="1"/>
    </xf>
    <xf numFmtId="0" fontId="36" fillId="32" borderId="30" applyAlignment="1" pivotButton="0" quotePrefix="0" xfId="0">
      <alignment horizontal="center" vertical="center" wrapText="1"/>
    </xf>
    <xf numFmtId="0" fontId="33" fillId="38" borderId="30"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31" applyAlignment="1" pivotButton="0" quotePrefix="0" xfId="0">
      <alignment horizontal="center" vertical="center" wrapText="1"/>
    </xf>
    <xf numFmtId="0" fontId="0" fillId="0" borderId="59" pivotButton="0" quotePrefix="0" xfId="0"/>
    <xf numFmtId="0" fontId="0" fillId="0" borderId="23" pivotButton="0" quotePrefix="0" xfId="0"/>
    <xf numFmtId="0" fontId="0" fillId="0" borderId="28" pivotButton="0" quotePrefix="0" xfId="0"/>
    <xf numFmtId="0" fontId="0" fillId="0" borderId="29" pivotButton="0" quotePrefix="0" xfId="0"/>
    <xf numFmtId="0" fontId="0" fillId="0" borderId="60" pivotButton="0" quotePrefix="0" xfId="0"/>
    <xf numFmtId="0" fontId="33" fillId="38" borderId="36" applyAlignment="1" pivotButton="0" quotePrefix="0" xfId="0">
      <alignment horizontal="center" vertical="center" wrapText="1"/>
    </xf>
    <xf numFmtId="0" fontId="31" fillId="39" borderId="44" applyAlignment="1" pivotButton="0" quotePrefix="0" xfId="0">
      <alignment horizontal="center" vertical="center" wrapText="1"/>
    </xf>
    <xf numFmtId="0" fontId="34" fillId="38" borderId="34" applyAlignment="1" pivotButton="0" quotePrefix="0" xfId="0">
      <alignment horizontal="center" vertical="top" wrapText="1"/>
    </xf>
    <xf numFmtId="0" fontId="33" fillId="44" borderId="30"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31" applyAlignment="1" pivotButton="0" quotePrefix="0" xfId="0">
      <alignment horizontal="center" vertical="center" wrapText="1"/>
    </xf>
    <xf numFmtId="0" fontId="35" fillId="38" borderId="30" applyAlignment="1" pivotButton="0" quotePrefix="0" xfId="0">
      <alignment horizontal="center" vertical="center" wrapText="1"/>
    </xf>
    <xf numFmtId="0" fontId="36" fillId="38" borderId="30" applyAlignment="1" pivotButton="0" quotePrefix="0" xfId="0">
      <alignment horizontal="center" vertical="center" wrapText="1"/>
    </xf>
    <xf numFmtId="0" fontId="33" fillId="44" borderId="39" applyAlignment="1" pivotButton="0" quotePrefix="0" xfId="0">
      <alignment horizontal="center" vertical="center" wrapText="1"/>
    </xf>
    <xf numFmtId="0" fontId="33" fillId="44" borderId="36" applyAlignment="1" pivotButton="0" quotePrefix="0" xfId="0">
      <alignment horizontal="center" vertical="center" wrapText="1"/>
    </xf>
    <xf numFmtId="0" fontId="31" fillId="45" borderId="40" applyAlignment="1" pivotButton="0" quotePrefix="0" xfId="0">
      <alignment horizontal="center" vertical="center" wrapText="1"/>
    </xf>
    <xf numFmtId="0" fontId="34" fillId="44" borderId="34" applyAlignment="1" pivotButton="0" quotePrefix="0" xfId="0">
      <alignment horizontal="center" vertical="top" wrapText="1"/>
    </xf>
    <xf numFmtId="0" fontId="31" fillId="37" borderId="61" applyAlignment="1" pivotButton="0" quotePrefix="0" xfId="0">
      <alignment horizontal="center" vertical="center" wrapText="1"/>
    </xf>
    <xf numFmtId="0" fontId="34" fillId="32" borderId="35" applyAlignment="1" pivotButton="0" quotePrefix="0" xfId="0">
      <alignment horizontal="center" vertical="top" wrapText="1"/>
    </xf>
    <xf numFmtId="0" fontId="33" fillId="38" borderId="24" applyAlignment="1" pivotButton="0" quotePrefix="0" xfId="0">
      <alignment horizontal="center" vertical="center" wrapText="1"/>
    </xf>
    <xf numFmtId="0" fontId="31" fillId="39" borderId="61" applyAlignment="1" pivotButton="0" quotePrefix="0" xfId="0">
      <alignment horizontal="center" vertical="center" wrapText="1"/>
    </xf>
    <xf numFmtId="0" fontId="34" fillId="38" borderId="35" applyAlignment="1" pivotButton="0" quotePrefix="0" xfId="0">
      <alignment horizontal="center" vertical="top" wrapText="1"/>
    </xf>
    <xf numFmtId="0" fontId="36" fillId="44" borderId="39" applyAlignment="1" pivotButton="0" quotePrefix="0" xfId="0">
      <alignment horizontal="center" vertical="center" wrapText="1"/>
    </xf>
    <xf numFmtId="0" fontId="34" fillId="44" borderId="36" applyAlignment="1" pivotButton="0" quotePrefix="0" xfId="0">
      <alignment horizontal="center" vertical="top" wrapText="1"/>
    </xf>
    <xf numFmtId="0" fontId="38" fillId="32" borderId="36" applyAlignment="1" pivotButton="0" quotePrefix="0" xfId="0">
      <alignment horizontal="center" vertical="center" wrapText="1"/>
    </xf>
    <xf numFmtId="0" fontId="33" fillId="46" borderId="30"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31" applyAlignment="1" pivotButton="0" quotePrefix="0" xfId="0">
      <alignment horizontal="center" vertical="center" wrapText="1"/>
    </xf>
    <xf numFmtId="0" fontId="35" fillId="46" borderId="30" applyAlignment="1" pivotButton="0" quotePrefix="0" xfId="0">
      <alignment horizontal="center" vertical="center" wrapText="1"/>
    </xf>
    <xf numFmtId="0" fontId="36" fillId="46" borderId="30" applyAlignment="1" pivotButton="0" quotePrefix="0" xfId="0">
      <alignment horizontal="center" vertical="center" wrapText="1"/>
    </xf>
    <xf numFmtId="0" fontId="39" fillId="46" borderId="30" applyAlignment="1" pivotButton="0" quotePrefix="0" xfId="0">
      <alignment horizontal="center" vertical="center" wrapText="1"/>
    </xf>
    <xf numFmtId="0" fontId="34" fillId="38" borderId="42" applyAlignment="1" pivotButton="0" quotePrefix="0" xfId="0">
      <alignment horizontal="center" vertical="top" wrapText="1"/>
    </xf>
    <xf numFmtId="0" fontId="37" fillId="32" borderId="36" applyAlignment="1" pivotButton="0" quotePrefix="0" xfId="0">
      <alignment horizontal="center" vertical="center" wrapText="1"/>
    </xf>
    <xf numFmtId="0" fontId="33" fillId="44" borderId="51" applyAlignment="1" pivotButton="0" quotePrefix="0" xfId="0">
      <alignment horizontal="center" vertical="center" wrapText="1"/>
    </xf>
    <xf numFmtId="0" fontId="34" fillId="44" borderId="52" applyAlignment="1" pivotButton="0" quotePrefix="0" xfId="0">
      <alignment horizontal="center" vertical="top" wrapText="1"/>
    </xf>
    <xf numFmtId="0" fontId="31" fillId="45" borderId="62" applyAlignment="1" pivotButton="0" quotePrefix="0" xfId="0">
      <alignment horizontal="center" vertical="center" wrapText="1"/>
    </xf>
    <xf numFmtId="0" fontId="33" fillId="38" borderId="56" applyAlignment="1" pivotButton="0" quotePrefix="0" xfId="0">
      <alignment horizontal="center" vertical="center" wrapText="1"/>
    </xf>
    <xf numFmtId="0" fontId="34" fillId="38" borderId="54" applyAlignment="1" pivotButton="0" quotePrefix="0" xfId="0">
      <alignment horizontal="center" vertical="top" wrapText="1"/>
    </xf>
    <xf numFmtId="0" fontId="31" fillId="39" borderId="57" applyAlignment="1" pivotButton="0" quotePrefix="0" xfId="0">
      <alignment horizontal="center" vertical="center" wrapText="1"/>
    </xf>
    <xf numFmtId="0" fontId="32" fillId="35" borderId="17" applyAlignment="1" pivotButton="0" quotePrefix="0" xfId="0">
      <alignment horizontal="left" vertical="top" wrapText="1"/>
    </xf>
    <xf numFmtId="0" fontId="40" fillId="0" borderId="17" applyAlignment="1" pivotButton="0" quotePrefix="0" xfId="0">
      <alignment horizontal="center" vertical="center" wrapText="1"/>
    </xf>
    <xf numFmtId="0" fontId="33" fillId="0" borderId="17" applyAlignment="1" pivotButton="0" quotePrefix="0" xfId="0">
      <alignment horizontal="center" vertical="center" wrapText="1"/>
    </xf>
    <xf numFmtId="164" fontId="40" fillId="0" borderId="17" applyAlignment="1" pivotButton="0" quotePrefix="0" xfId="0">
      <alignment horizontal="center" vertical="center" wrapText="1"/>
    </xf>
    <xf numFmtId="0" fontId="40" fillId="0" borderId="17" applyAlignment="1" pivotButton="0" quotePrefix="0" xfId="0">
      <alignment horizontal="left" vertical="center" wrapText="1"/>
    </xf>
    <xf numFmtId="164" fontId="40" fillId="44" borderId="17" applyAlignment="1" pivotButton="0" quotePrefix="0" xfId="0">
      <alignment horizontal="center" vertical="center" wrapText="1"/>
    </xf>
    <xf numFmtId="0" fontId="40" fillId="44" borderId="17" applyAlignment="1" pivotButton="0" quotePrefix="0" xfId="0">
      <alignment horizontal="center" vertical="center" wrapText="1"/>
    </xf>
    <xf numFmtId="0" fontId="40" fillId="32" borderId="17" applyAlignment="1" pivotButton="0" quotePrefix="0" xfId="0">
      <alignment horizontal="center" vertical="center" wrapText="1"/>
    </xf>
    <xf numFmtId="0" fontId="40" fillId="32" borderId="17" applyAlignment="1" pivotButton="0" quotePrefix="0" xfId="0">
      <alignment horizontal="left" vertical="center" wrapText="1"/>
    </xf>
    <xf numFmtId="2" fontId="40" fillId="0" borderId="17" applyAlignment="1" pivotButton="0" quotePrefix="0" xfId="0">
      <alignment horizontal="center" vertical="center" wrapText="1"/>
    </xf>
    <xf numFmtId="0" fontId="40" fillId="44" borderId="17" applyAlignment="1" pivotButton="0" quotePrefix="0" xfId="0">
      <alignment horizontal="left" vertical="center" wrapText="1"/>
    </xf>
    <xf numFmtId="0" fontId="40" fillId="46" borderId="17" applyAlignment="1" pivotButton="0" quotePrefix="0" xfId="0">
      <alignment horizontal="center" vertical="center" wrapText="1"/>
    </xf>
    <xf numFmtId="0" fontId="40" fillId="46" borderId="17" applyAlignment="1" pivotButton="0" quotePrefix="0" xfId="0">
      <alignment horizontal="left" vertical="center" wrapText="1"/>
    </xf>
    <xf numFmtId="0" fontId="42" fillId="28" borderId="0" applyAlignment="1" pivotButton="0" quotePrefix="0" xfId="0">
      <alignment vertical="center" wrapText="1"/>
    </xf>
    <xf numFmtId="0" fontId="43" fillId="0" borderId="0" applyAlignment="1" pivotButton="0" quotePrefix="0" xfId="0">
      <alignment vertical="top" wrapText="1"/>
    </xf>
    <xf numFmtId="0" fontId="43" fillId="47" borderId="0" applyAlignment="1" pivotButton="0" quotePrefix="0" xfId="0">
      <alignment vertical="top" wrapText="1"/>
    </xf>
    <xf numFmtId="0" fontId="44" fillId="28" borderId="0" applyAlignment="1" pivotButton="0" quotePrefix="0" xfId="0">
      <alignment vertical="center" wrapText="1"/>
    </xf>
    <xf numFmtId="0" fontId="43" fillId="44" borderId="0" applyAlignment="1" pivotButton="0" quotePrefix="0" xfId="0">
      <alignment vertical="top" wrapText="1"/>
    </xf>
    <xf numFmtId="0" fontId="43" fillId="38" borderId="0" applyAlignment="1" pivotButton="0" quotePrefix="0" xfId="0">
      <alignment vertical="top" wrapText="1"/>
    </xf>
    <xf numFmtId="0" fontId="43" fillId="35" borderId="0" applyAlignment="1" pivotButton="0" quotePrefix="0" xfId="0">
      <alignment vertical="top" wrapText="1"/>
    </xf>
    <xf numFmtId="0" fontId="43" fillId="36" borderId="0" applyAlignment="1" pivotButton="0" quotePrefix="0" xfId="0">
      <alignment vertical="top" wrapText="1"/>
    </xf>
    <xf numFmtId="0" fontId="43" fillId="48" borderId="0" applyAlignment="1" pivotButton="0" quotePrefix="0" xfId="0">
      <alignment vertical="top" wrapText="1"/>
    </xf>
    <xf numFmtId="0" fontId="47" fillId="0" borderId="0" applyAlignment="1" pivotButton="0" quotePrefix="0" xfId="0">
      <alignment vertical="center"/>
    </xf>
    <xf numFmtId="0" fontId="29"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wrapText="1"/>
    </xf>
    <xf numFmtId="0" fontId="47" fillId="0" borderId="0" applyAlignment="1" pivotButton="0" quotePrefix="0" xfId="0">
      <alignment vertical="top"/>
    </xf>
    <xf numFmtId="0" fontId="21" fillId="32" borderId="17" applyAlignment="1" pivotButton="0" quotePrefix="0" xfId="0">
      <alignment vertical="top" wrapText="1"/>
    </xf>
    <xf numFmtId="0" fontId="21" fillId="30" borderId="17" applyAlignment="1" pivotButton="0" quotePrefix="0" xfId="0">
      <alignment vertical="top" wrapText="1"/>
    </xf>
    <xf numFmtId="0" fontId="21" fillId="34" borderId="17" applyAlignment="1" pivotButton="0" quotePrefix="0" xfId="0">
      <alignment vertical="top" wrapText="1"/>
    </xf>
    <xf numFmtId="0" fontId="21" fillId="33" borderId="17" applyAlignment="1" pivotButton="0" quotePrefix="0" xfId="0">
      <alignment vertical="top" wrapText="1"/>
    </xf>
    <xf numFmtId="0" fontId="21" fillId="31" borderId="17" applyAlignment="1" pivotButton="0" quotePrefix="0" xfId="0">
      <alignment vertical="top" wrapText="1"/>
    </xf>
    <xf numFmtId="4" fontId="40" fillId="0" borderId="17" applyAlignment="1" pivotButton="0" quotePrefix="0" xfId="0">
      <alignment horizontal="center" vertical="center" wrapText="1"/>
    </xf>
    <xf numFmtId="169" fontId="40" fillId="0" borderId="17" applyAlignment="1" pivotButton="0" quotePrefix="0" xfId="0">
      <alignment horizontal="center" vertical="center" wrapText="1"/>
    </xf>
    <xf numFmtId="169" fontId="40" fillId="41" borderId="17" applyAlignment="1" pivotButton="0" quotePrefix="0" xfId="0">
      <alignment horizontal="center" vertical="center" wrapText="1"/>
    </xf>
    <xf numFmtId="0" fontId="40" fillId="41" borderId="17" applyAlignment="1" pivotButton="0" quotePrefix="0" xfId="0">
      <alignment horizontal="center" vertical="center" wrapText="1"/>
    </xf>
    <xf numFmtId="0" fontId="40" fillId="41" borderId="17" applyAlignment="1" pivotButton="0" quotePrefix="0" xfId="0">
      <alignment horizontal="left" vertical="center" wrapText="1"/>
    </xf>
    <xf numFmtId="0" fontId="0" fillId="0" borderId="68" pivotButton="0" quotePrefix="0" xfId="0"/>
    <xf numFmtId="0" fontId="0" fillId="0" borderId="69" pivotButton="0" quotePrefix="0" xfId="0"/>
    <xf numFmtId="0" fontId="0" fillId="0" borderId="70" pivotButton="0" quotePrefix="0" xfId="0"/>
    <xf numFmtId="0" fontId="0" fillId="0" borderId="74" pivotButton="0" quotePrefix="0" xfId="0"/>
    <xf numFmtId="0" fontId="0" fillId="0" borderId="73" pivotButton="0" quotePrefix="0" xfId="0"/>
    <xf numFmtId="0" fontId="0" fillId="0" borderId="79" pivotButton="0" quotePrefix="0" xfId="0"/>
    <xf numFmtId="0" fontId="0" fillId="0" borderId="71" pivotButton="0" quotePrefix="0" xfId="0"/>
    <xf numFmtId="0" fontId="0" fillId="0" borderId="72" pivotButton="0" quotePrefix="0" xfId="0"/>
    <xf numFmtId="0" fontId="0" fillId="0" borderId="64" pivotButton="0" quotePrefix="0" xfId="0"/>
    <xf numFmtId="0" fontId="0" fillId="0" borderId="67" pivotButton="0" quotePrefix="0" xfId="0"/>
    <xf numFmtId="0" fontId="0" fillId="0" borderId="77" pivotButton="0" quotePrefix="0" xfId="0"/>
    <xf numFmtId="0" fontId="0" fillId="0" borderId="78" pivotButton="0" quotePrefix="0" xfId="0"/>
    <xf numFmtId="0" fontId="0" fillId="0" borderId="76" pivotButton="0" quotePrefix="0" xfId="0"/>
    <xf numFmtId="0" fontId="0" fillId="0" borderId="80" pivotButton="0" quotePrefix="0" xfId="0"/>
    <xf numFmtId="0" fontId="0" fillId="0" borderId="81" pivotButton="0" quotePrefix="0" xfId="0"/>
    <xf numFmtId="0" fontId="30" fillId="28" borderId="17" applyAlignment="1" pivotButton="0" quotePrefix="0" xfId="0">
      <alignment horizontal="left" vertical="top" wrapText="1"/>
    </xf>
    <xf numFmtId="0" fontId="40" fillId="35" borderId="17" applyAlignment="1" pivotButton="0" quotePrefix="0" xfId="0">
      <alignment horizontal="left" vertical="top" wrapText="1"/>
    </xf>
    <xf numFmtId="0" fontId="40" fillId="0" borderId="17" applyAlignment="1" pivotButton="0" quotePrefix="0" xfId="0">
      <alignment horizontal="left" vertical="top" wrapText="1"/>
    </xf>
    <xf numFmtId="0" fontId="32" fillId="0" borderId="17" applyAlignment="1" pivotButton="0" quotePrefix="0" xfId="0">
      <alignment horizontal="left" vertical="top" wrapText="1"/>
    </xf>
    <xf numFmtId="0" fontId="40" fillId="41" borderId="17" applyAlignment="1" pivotButton="0" quotePrefix="0" xfId="0">
      <alignment horizontal="left" vertical="top" wrapText="1"/>
    </xf>
    <xf numFmtId="0" fontId="40" fillId="44" borderId="17" applyAlignment="1" pivotButton="0" quotePrefix="0" xfId="0">
      <alignment horizontal="left" vertical="top" wrapText="1"/>
    </xf>
    <xf numFmtId="0" fontId="0" fillId="0" borderId="18" pivotButton="0" quotePrefix="0" xfId="0"/>
    <xf numFmtId="0" fontId="0" fillId="0" borderId="19" pivotButton="0" quotePrefix="0" xfId="0"/>
    <xf numFmtId="0" fontId="0" fillId="0" borderId="65" pivotButton="0" quotePrefix="0" xfId="0"/>
    <xf numFmtId="0" fontId="0" fillId="0" borderId="82" pivotButton="0" quotePrefix="0" xfId="0"/>
    <xf numFmtId="0" fontId="0" fillId="0" borderId="83" pivotButton="0" quotePrefix="0" xfId="0"/>
    <xf numFmtId="0" fontId="0" fillId="0" borderId="84" pivotButton="0" quotePrefix="0" xfId="0"/>
    <xf numFmtId="0" fontId="0" fillId="0" borderId="85" pivotButton="0" quotePrefix="0" xfId="0"/>
    <xf numFmtId="0" fontId="33" fillId="41"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20" fillId="28" borderId="0" applyAlignment="1" pivotButton="0" quotePrefix="0" xfId="0">
      <alignment vertical="center" wrapText="1"/>
    </xf>
    <xf numFmtId="0" fontId="45" fillId="0" borderId="0" applyAlignment="1" pivotButton="0" quotePrefix="0" xfId="0">
      <alignment vertical="top" wrapText="1"/>
    </xf>
    <xf numFmtId="0" fontId="45" fillId="49" borderId="0" applyAlignment="1" pivotButton="0" quotePrefix="0" xfId="0">
      <alignment vertical="top" wrapText="1"/>
    </xf>
    <xf numFmtId="0" fontId="46" fillId="0" borderId="0" applyAlignment="1" pivotButton="0" quotePrefix="0" xfId="0">
      <alignment vertical="top" wrapText="1"/>
    </xf>
    <xf numFmtId="0" fontId="45" fillId="36" borderId="0" applyAlignment="1" pivotButton="0" quotePrefix="0" xfId="0">
      <alignment vertical="top" wrapText="1"/>
    </xf>
    <xf numFmtId="0" fontId="45" fillId="50" borderId="0" applyAlignment="1" pivotButton="0" quotePrefix="0" xfId="0">
      <alignment vertical="top" wrapText="1"/>
    </xf>
    <xf numFmtId="0" fontId="42" fillId="28"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iCoA_Register" displayName="iCoA_Register" ref="A1:AB216" headerRowCount="1">
  <autoFilter ref="A1:AB216"/>
  <tableColumns count="28">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Basis date"/>
    <tableColumn id="17" name="Harvest"/>
    <tableColumn id="18" name="Packaging"/>
    <tableColumn id="19" name="CoQ issue (planned)"/>
    <tableColumn id="20" name="#1 Ident. A"/>
    <tableColumn id="21" name="#2 Ident. B"/>
    <tableColumn id="22" name="#7 Foreign matter"/>
    <tableColumn id="23" name="Ident C — covered by (eCoA)"/>
    <tableColumn id="24" name="Retest assay #4–#6 (eCoA)"/>
    <tableColumn id="25" name="Retest mycotoxins #10 (eCoA)"/>
    <tableColumn id="26" name="Carried forward"/>
    <tableColumn id="27" name="Key"/>
    <tableColumn id="28"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AC173" headerRowCount="1">
  <autoFilter ref="A1:AC173"/>
  <tableColumns count="29">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 id="21" name="Supersedes (initial CoQ)"/>
    <tableColumn id="22" name="Total THC (%)"/>
    <tableColumn id="23" name="THC certificate"/>
    <tableColumn id="24" name="Grade nominal ± tol. (numeral)"/>
    <tableColumn id="25" name="Grade window"/>
    <tableColumn id="26" name="Product code"/>
    <tableColumn id="27" name="Specification code"/>
    <tableColumn id="28" name="Specification status"/>
    <tableColumn id="29" name="Grading note"/>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V87"/>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 width="22" customWidth="1" style="70" min="21" max="21"/>
    <col width="22" customWidth="1" style="70" min="22" max="22"/>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c r="U1" s="95" t="inlineStr">
        <is>
          <t>On file, not recorded (n)</t>
        </is>
      </c>
      <c r="V1" s="95" t="inlineStr">
        <is>
          <t>Labs on file, not recorded</t>
        </is>
      </c>
    </row>
    <row r="2">
      <c r="A2" s="96" t="inlineStr">
        <is>
          <t>BG1024</t>
        </is>
      </c>
      <c r="B2" s="97" t="inlineStr">
        <is>
          <t>— not assigned —</t>
        </is>
      </c>
      <c r="C2" s="97" t="inlineStr">
        <is>
          <t>Blue Gelato</t>
        </is>
      </c>
      <c r="D2" s="98" t="inlineStr">
        <is>
          <t>✓ COMPLETE</t>
        </is>
      </c>
      <c r="E2" s="105" t="inlineStr">
        <is>
          <t>✓</t>
        </is>
      </c>
      <c r="F2" s="105"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c r="U2" s="103" t="n">
        <v>0</v>
      </c>
      <c r="V2" s="102" t="inlineStr">
        <is>
          <t>—</t>
        </is>
      </c>
    </row>
    <row r="3">
      <c r="A3" s="96" t="inlineStr">
        <is>
          <t>BSS1024</t>
        </is>
      </c>
      <c r="B3" s="97" t="inlineStr">
        <is>
          <t>— not assigned —</t>
        </is>
      </c>
      <c r="C3" s="97" t="inlineStr">
        <is>
          <t>Blue Sunset Sherbet</t>
        </is>
      </c>
      <c r="D3" s="98" t="inlineStr">
        <is>
          <t>✓ COMPLETE</t>
        </is>
      </c>
      <c r="E3" s="105" t="inlineStr">
        <is>
          <t>✓</t>
        </is>
      </c>
      <c r="F3" s="105"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c r="U3" s="103" t="n">
        <v>0</v>
      </c>
      <c r="V3" s="102" t="inlineStr">
        <is>
          <t>—</t>
        </is>
      </c>
    </row>
    <row r="4">
      <c r="A4" s="96" t="inlineStr">
        <is>
          <t>CC112501</t>
        </is>
      </c>
      <c r="B4" s="97" t="inlineStr">
        <is>
          <t>P060272</t>
        </is>
      </c>
      <c r="C4" s="97" t="inlineStr">
        <is>
          <t>Cash Cow</t>
        </is>
      </c>
      <c r="D4" s="98" t="inlineStr">
        <is>
          <t>✓ COMPLETE</t>
        </is>
      </c>
      <c r="E4" s="105" t="inlineStr">
        <is>
          <t>✓</t>
        </is>
      </c>
      <c r="F4" s="105"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6</v>
      </c>
      <c r="T4" s="102" t="inlineStr">
        <is>
          <t>[CNP] 1; [FHM-K] 1; [IJZ] 1; [IJZ-MB] 2; [PP] 1</t>
        </is>
      </c>
      <c r="U4" s="103" t="n">
        <v>0</v>
      </c>
      <c r="V4" s="102" t="inlineStr">
        <is>
          <t>—</t>
        </is>
      </c>
    </row>
    <row r="5">
      <c r="A5" s="96" t="inlineStr">
        <is>
          <t>CJ1024</t>
        </is>
      </c>
      <c r="B5" s="97" t="inlineStr">
        <is>
          <t>— not assigned —</t>
        </is>
      </c>
      <c r="C5" s="97" t="inlineStr">
        <is>
          <t>Cap Junky</t>
        </is>
      </c>
      <c r="D5" s="98" t="inlineStr">
        <is>
          <t>✓ COMPLETE</t>
        </is>
      </c>
      <c r="E5" s="105" t="inlineStr">
        <is>
          <t>✓</t>
        </is>
      </c>
      <c r="F5" s="105"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6</v>
      </c>
      <c r="T5" s="102" t="inlineStr">
        <is>
          <t>[CNP] 1; [FHM-K] 1; [IJZ] 1; [IJZ-MB] 2; [PP] 1</t>
        </is>
      </c>
      <c r="U5" s="103" t="n">
        <v>0</v>
      </c>
      <c r="V5" s="102" t="inlineStr">
        <is>
          <t>—</t>
        </is>
      </c>
    </row>
    <row r="6">
      <c r="A6" s="96" t="inlineStr">
        <is>
          <t>FB012601_1</t>
        </is>
      </c>
      <c r="B6" s="97" t="inlineStr">
        <is>
          <t>P060322</t>
        </is>
      </c>
      <c r="C6" s="97" t="inlineStr">
        <is>
          <t>Fat Bastard</t>
        </is>
      </c>
      <c r="D6" s="98" t="inlineStr">
        <is>
          <t>✓ COMPLETE</t>
        </is>
      </c>
      <c r="E6" s="105" t="inlineStr">
        <is>
          <t>✓</t>
        </is>
      </c>
      <c r="F6" s="105"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6</v>
      </c>
      <c r="T6" s="102" t="inlineStr">
        <is>
          <t>[CNP] 1; [FHM-K] 1; [FHM-M] 1; [IJZ] 1; [IJZ-MB] 1; [PP] 1</t>
        </is>
      </c>
      <c r="U6" s="103" t="n">
        <v>0</v>
      </c>
      <c r="V6" s="102" t="inlineStr">
        <is>
          <t>—</t>
        </is>
      </c>
    </row>
    <row r="7" ht="26" customHeight="1" s="70">
      <c r="A7" s="96" t="inlineStr">
        <is>
          <t>FB012603</t>
        </is>
      </c>
      <c r="B7" s="97" t="inlineStr">
        <is>
          <t>P060432</t>
        </is>
      </c>
      <c r="C7" s="97" t="inlineStr">
        <is>
          <t>Fat Bastard</t>
        </is>
      </c>
      <c r="D7" s="98" t="inlineStr">
        <is>
          <t>○ 3 ON FILE, NOT RECORDED</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118" t="inlineStr">
        <is>
          <t>○</t>
        </is>
      </c>
      <c r="O7" s="118" t="inlineStr">
        <is>
          <t>○</t>
        </is>
      </c>
      <c r="P7" s="118" t="inlineStr">
        <is>
          <t>○</t>
        </is>
      </c>
      <c r="Q7" s="101" t="n">
        <v>3</v>
      </c>
      <c r="R7" s="104" t="inlineStr">
        <is>
          <t>#10 Mycotoxins (on file 09.09, not recorded); #11 Heavy metals (on file 09.09, not recorded); #12 Pesticides (on file 09.09, not recorded)</t>
        </is>
      </c>
      <c r="S7" s="103" t="n">
        <v>3</v>
      </c>
      <c r="T7" s="102" t="inlineStr">
        <is>
          <t>[CNP] 1; [FHM-K] 1; [IJZ-MB] 1</t>
        </is>
      </c>
      <c r="U7" s="103" t="n">
        <v>1</v>
      </c>
      <c r="V7" s="102" t="inlineStr">
        <is>
          <t>[IJZ] 1</t>
        </is>
      </c>
    </row>
    <row r="8" ht="26" customHeight="1" s="70">
      <c r="A8" s="96" t="inlineStr">
        <is>
          <t>FB012603V</t>
        </is>
      </c>
      <c r="B8" s="97" t="inlineStr">
        <is>
          <t>P060392</t>
        </is>
      </c>
      <c r="C8" s="97" t="inlineStr">
        <is>
          <t>Fat Bastard</t>
        </is>
      </c>
      <c r="D8" s="98" t="inlineStr">
        <is>
          <t>○ 3 ON FILE, NOT RECORDED</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118" t="inlineStr">
        <is>
          <t>○</t>
        </is>
      </c>
      <c r="O8" s="118" t="inlineStr">
        <is>
          <t>○</t>
        </is>
      </c>
      <c r="P8" s="118" t="inlineStr">
        <is>
          <t>○</t>
        </is>
      </c>
      <c r="Q8" s="101" t="n">
        <v>3</v>
      </c>
      <c r="R8" s="104" t="inlineStr">
        <is>
          <t>#10 Mycotoxins (on file 09.09, not recorded); #11 Heavy metals (on file 09.09, not recorded); #12 Pesticides (on file 09.09, not recorded)</t>
        </is>
      </c>
      <c r="S8" s="103" t="n">
        <v>3</v>
      </c>
      <c r="T8" s="102" t="inlineStr">
        <is>
          <t>[CNP] 1; [FHM-K] 1; [IJZ-MB] 1</t>
        </is>
      </c>
      <c r="U8" s="103" t="n">
        <v>1</v>
      </c>
      <c r="V8" s="102" t="inlineStr">
        <is>
          <t>[IJZ] 1</t>
        </is>
      </c>
    </row>
    <row r="9" ht="26" customHeight="1" s="70">
      <c r="A9" s="96" t="inlineStr">
        <is>
          <t>FB032601</t>
        </is>
      </c>
      <c r="B9" s="97" t="inlineStr">
        <is>
          <t>P060452</t>
        </is>
      </c>
      <c r="C9" s="97" t="inlineStr">
        <is>
          <t>Fat Bastard</t>
        </is>
      </c>
      <c r="D9" s="98" t="inlineStr">
        <is>
          <t>○ 4 ON FILE, NOT RECORDED</t>
        </is>
      </c>
      <c r="E9" s="98" t="inlineStr">
        <is>
          <t>✓</t>
        </is>
      </c>
      <c r="F9" s="100" t="inlineStr">
        <is>
          <t>✓</t>
        </is>
      </c>
      <c r="G9" s="100" t="inlineStr">
        <is>
          <t>✓</t>
        </is>
      </c>
      <c r="H9" s="100" t="inlineStr">
        <is>
          <t>✓</t>
        </is>
      </c>
      <c r="I9" s="100" t="inlineStr">
        <is>
          <t>✓</t>
        </is>
      </c>
      <c r="J9" s="100" t="inlineStr">
        <is>
          <t>✓</t>
        </is>
      </c>
      <c r="K9" s="98" t="inlineStr">
        <is>
          <t>✓</t>
        </is>
      </c>
      <c r="L9" s="100" t="inlineStr">
        <is>
          <t>✓</t>
        </is>
      </c>
      <c r="M9" s="118" t="inlineStr">
        <is>
          <t>○</t>
        </is>
      </c>
      <c r="N9" s="118" t="inlineStr">
        <is>
          <t>○</t>
        </is>
      </c>
      <c r="O9" s="118" t="inlineStr">
        <is>
          <t>○</t>
        </is>
      </c>
      <c r="P9" s="118" t="inlineStr">
        <is>
          <t>○</t>
        </is>
      </c>
      <c r="Q9" s="101" t="n">
        <v>4</v>
      </c>
      <c r="R9" s="104" t="inlineStr">
        <is>
          <t>#9 Microbiology (on file 09.09, not recorded); #10 Mycotoxins (on file 09.09, not recorded); #11 Heavy metals (on file 09.09, not recorded); #12 Pesticides (on file 09.09, not recorded)</t>
        </is>
      </c>
      <c r="S9" s="103" t="n">
        <v>1</v>
      </c>
      <c r="T9" s="102" t="inlineStr">
        <is>
          <t>[CNP] 1</t>
        </is>
      </c>
      <c r="U9" s="103" t="n">
        <v>2</v>
      </c>
      <c r="V9" s="102" t="inlineStr">
        <is>
          <t>[IJZ] 1; [IJZ-MB] 1</t>
        </is>
      </c>
    </row>
    <row r="10">
      <c r="A10" s="96" t="inlineStr">
        <is>
          <t>FB112501</t>
        </is>
      </c>
      <c r="B10" s="97" t="inlineStr">
        <is>
          <t>P060292</t>
        </is>
      </c>
      <c r="C10" s="97" t="inlineStr">
        <is>
          <t>Fat Bastard</t>
        </is>
      </c>
      <c r="D10" s="98" t="inlineStr">
        <is>
          <t>✓ COMPLETE</t>
        </is>
      </c>
      <c r="E10" s="105" t="inlineStr">
        <is>
          <t>✓</t>
        </is>
      </c>
      <c r="F10" s="105"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6</v>
      </c>
      <c r="T10" s="102" t="inlineStr">
        <is>
          <t>[CNP] 1; [FHM-K] 1; [IJZ] 1; [IJZ-MB] 2; [PP] 1</t>
        </is>
      </c>
      <c r="U10" s="103" t="n">
        <v>0</v>
      </c>
      <c r="V10" s="102" t="inlineStr">
        <is>
          <t>—</t>
        </is>
      </c>
    </row>
    <row r="11">
      <c r="A11" s="96" t="inlineStr">
        <is>
          <t>GG012601＊</t>
        </is>
      </c>
      <c r="B11" s="97" t="inlineStr">
        <is>
          <t>P060302</t>
        </is>
      </c>
      <c r="C11" s="97" t="inlineStr">
        <is>
          <t>Gorilla Glue</t>
        </is>
      </c>
      <c r="D11" s="98" t="inlineStr">
        <is>
          <t>✓ COMPLETE</t>
        </is>
      </c>
      <c r="E11" s="105" t="inlineStr">
        <is>
          <t>✓</t>
        </is>
      </c>
      <c r="F11" s="105"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6</v>
      </c>
      <c r="T11" s="102" t="inlineStr">
        <is>
          <t>[CNP] 1; [FHM-K] 1; [IJZ] 1; [IJZ-MB] 2; [PP] 1</t>
        </is>
      </c>
      <c r="U11" s="103" t="n">
        <v>0</v>
      </c>
      <c r="V11" s="102" t="inlineStr">
        <is>
          <t>—</t>
        </is>
      </c>
    </row>
    <row r="12" ht="26" customHeight="1" s="70">
      <c r="A12" s="96" t="inlineStr">
        <is>
          <t>GG012603</t>
        </is>
      </c>
      <c r="B12" s="97" t="inlineStr">
        <is>
          <t>P060402</t>
        </is>
      </c>
      <c r="C12" s="97" t="inlineStr">
        <is>
          <t>Gorilla Glue</t>
        </is>
      </c>
      <c r="D12" s="98" t="inlineStr">
        <is>
          <t>○ 3 ON FILE, NOT RECORDED</t>
        </is>
      </c>
      <c r="E12" s="98" t="inlineStr">
        <is>
          <t>✓</t>
        </is>
      </c>
      <c r="F12" s="100" t="inlineStr">
        <is>
          <t>✓</t>
        </is>
      </c>
      <c r="G12" s="100" t="inlineStr">
        <is>
          <t>✓</t>
        </is>
      </c>
      <c r="H12" s="100" t="inlineStr">
        <is>
          <t>✓</t>
        </is>
      </c>
      <c r="I12" s="100" t="inlineStr">
        <is>
          <t>✓</t>
        </is>
      </c>
      <c r="J12" s="100" t="inlineStr">
        <is>
          <t>✓</t>
        </is>
      </c>
      <c r="K12" s="98" t="inlineStr">
        <is>
          <t>✓</t>
        </is>
      </c>
      <c r="L12" s="100" t="inlineStr">
        <is>
          <t>✓</t>
        </is>
      </c>
      <c r="M12" s="118" t="inlineStr">
        <is>
          <t>○</t>
        </is>
      </c>
      <c r="N12" s="98" t="inlineStr">
        <is>
          <t>✓</t>
        </is>
      </c>
      <c r="O12" s="118" t="inlineStr">
        <is>
          <t>○</t>
        </is>
      </c>
      <c r="P12" s="118" t="inlineStr">
        <is>
          <t>○</t>
        </is>
      </c>
      <c r="Q12" s="101" t="n">
        <v>3</v>
      </c>
      <c r="R12" s="104" t="inlineStr">
        <is>
          <t>#9 Microbiology (on file 09.09, not recorded); #11 Heavy metals (on file 09.09, not recorded); #12 Pesticides (on file 09.09, not recorded)</t>
        </is>
      </c>
      <c r="S12" s="103" t="n">
        <v>3</v>
      </c>
      <c r="T12" s="102" t="inlineStr">
        <is>
          <t>[CNP] 1; [FHM-K] 1; [FHM-M] 1</t>
        </is>
      </c>
      <c r="U12" s="103" t="n">
        <v>2</v>
      </c>
      <c r="V12" s="102" t="inlineStr">
        <is>
          <t>[IJZ] 1; [IJZ-MB] 1</t>
        </is>
      </c>
    </row>
    <row r="13" ht="26" customHeight="1" s="70">
      <c r="A13" s="96" t="inlineStr">
        <is>
          <t>GG032601</t>
        </is>
      </c>
      <c r="B13" s="97" t="inlineStr">
        <is>
          <t>P060462</t>
        </is>
      </c>
      <c r="C13" s="97" t="inlineStr">
        <is>
          <t>Gorilla Glue</t>
        </is>
      </c>
      <c r="D13" s="98" t="inlineStr">
        <is>
          <t>❌ 4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118" t="inlineStr">
        <is>
          <t>○</t>
        </is>
      </c>
      <c r="O13" s="99" t="inlineStr">
        <is>
          <t>✗</t>
        </is>
      </c>
      <c r="P13" s="118" t="inlineStr">
        <is>
          <t>○</t>
        </is>
      </c>
      <c r="Q13" s="101" t="n">
        <v>4</v>
      </c>
      <c r="R13" s="104" t="inlineStr">
        <is>
          <t>#9 Microbiology; #10 Mycotoxins (on file 09.09, not recorded); #11 Heavy metals; #12 Pesticides (on file 09.09, not recorded)</t>
        </is>
      </c>
      <c r="S13" s="103" t="n">
        <v>1</v>
      </c>
      <c r="T13" s="102" t="inlineStr">
        <is>
          <t>[CNP] 1</t>
        </is>
      </c>
      <c r="U13" s="103" t="n">
        <v>1</v>
      </c>
      <c r="V13" s="102" t="inlineStr">
        <is>
          <t>[IJZ] 1</t>
        </is>
      </c>
    </row>
    <row r="14" ht="39" customHeight="1" s="70">
      <c r="A14" s="96" t="inlineStr">
        <is>
          <t>GG1024</t>
        </is>
      </c>
      <c r="B14" s="97" t="inlineStr">
        <is>
          <t>— not assigned —</t>
        </is>
      </c>
      <c r="C14" s="97" t="inlineStr">
        <is>
          <t>Gorilla Glue</t>
        </is>
      </c>
      <c r="D14" s="98" t="inlineStr">
        <is>
          <t>○ 4 ON FILE, NOT RECORDED</t>
        </is>
      </c>
      <c r="E14" s="105" t="inlineStr">
        <is>
          <t>✓</t>
        </is>
      </c>
      <c r="F14" s="105" t="inlineStr">
        <is>
          <t>✓</t>
        </is>
      </c>
      <c r="G14" s="98" t="inlineStr">
        <is>
          <t>✓</t>
        </is>
      </c>
      <c r="H14" s="98" t="inlineStr">
        <is>
          <t>✓</t>
        </is>
      </c>
      <c r="I14" s="98" t="inlineStr">
        <is>
          <t>✓</t>
        </is>
      </c>
      <c r="J14" s="98" t="inlineStr">
        <is>
          <t>✓</t>
        </is>
      </c>
      <c r="K14" s="105" t="inlineStr">
        <is>
          <t>✓</t>
        </is>
      </c>
      <c r="L14" s="118" t="inlineStr">
        <is>
          <t>○</t>
        </is>
      </c>
      <c r="M14" s="118" t="inlineStr">
        <is>
          <t>○</t>
        </is>
      </c>
      <c r="N14" s="98" t="inlineStr">
        <is>
          <t>✓</t>
        </is>
      </c>
      <c r="O14" s="118" t="inlineStr">
        <is>
          <t>○</t>
        </is>
      </c>
      <c r="P14" s="118" t="inlineStr">
        <is>
          <t>○</t>
        </is>
      </c>
      <c r="Q14" s="101" t="n">
        <v>4</v>
      </c>
      <c r="R14" s="104" t="inlineStr">
        <is>
          <t>#8 LoD (on file 09.09, not recorded); #9 Microbiology (on file 09.09, not recorded); #11 Heavy metals (on file 09.09, not recorded); #12 Pesticides (on file 09.09, not recorded)</t>
        </is>
      </c>
      <c r="S14" s="103" t="n">
        <v>4</v>
      </c>
      <c r="T14" s="102" t="inlineStr">
        <is>
          <t>[FHM-K] 1; [FHM-M] 1; [PP] 2</t>
        </is>
      </c>
      <c r="U14" s="103" t="n">
        <v>3</v>
      </c>
      <c r="V14" s="102" t="inlineStr">
        <is>
          <t>[CNP] 1; [IJZ] 1; [IJZ-MB] 1</t>
        </is>
      </c>
    </row>
    <row r="15">
      <c r="A15" s="96" t="inlineStr">
        <is>
          <t>GG112501</t>
        </is>
      </c>
      <c r="B15" s="97" t="inlineStr">
        <is>
          <t>P060252</t>
        </is>
      </c>
      <c r="C15" s="97" t="inlineStr">
        <is>
          <t>Gorilla Glue</t>
        </is>
      </c>
      <c r="D15" s="98" t="inlineStr">
        <is>
          <t>✓ COMPLETE</t>
        </is>
      </c>
      <c r="E15" s="105" t="inlineStr">
        <is>
          <t>✓</t>
        </is>
      </c>
      <c r="F15" s="105"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6</v>
      </c>
      <c r="T15" s="102" t="inlineStr">
        <is>
          <t>[CNP] 1; [FHM-K] 1; [IJZ] 1; [IJZ-MB] 2; [PP] 1</t>
        </is>
      </c>
      <c r="U15" s="103" t="n">
        <v>0</v>
      </c>
      <c r="V15" s="102" t="inlineStr">
        <is>
          <t>—</t>
        </is>
      </c>
    </row>
    <row r="16" ht="26" customHeight="1" s="70">
      <c r="A16" s="96" t="inlineStr">
        <is>
          <t>GRC102501</t>
        </is>
      </c>
      <c r="B16" s="97" t="inlineStr">
        <is>
          <t>P060142 / P060182</t>
        </is>
      </c>
      <c r="C16" s="97" t="inlineStr"/>
      <c r="D16" s="98" t="inlineStr">
        <is>
          <t>○ 2 ON FILE, NOT RECORDED</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8" t="inlineStr">
        <is>
          <t>✓</t>
        </is>
      </c>
      <c r="O16" s="118" t="inlineStr">
        <is>
          <t>○</t>
        </is>
      </c>
      <c r="P16" s="118" t="inlineStr">
        <is>
          <t>○</t>
        </is>
      </c>
      <c r="Q16" s="101" t="n">
        <v>2</v>
      </c>
      <c r="R16" s="104" t="inlineStr">
        <is>
          <t>#11 Heavy metals (on file 09.09, not recorded); #12 Pesticides (on file 09.09, not recorded)</t>
        </is>
      </c>
      <c r="S16" s="103" t="n">
        <v>8</v>
      </c>
      <c r="T16" s="102" t="inlineStr">
        <is>
          <t>[FHM-K] 4; [FHM-M] 1; [IJZ-MB] 1; [PP] 2</t>
        </is>
      </c>
      <c r="U16" s="103" t="n">
        <v>1</v>
      </c>
      <c r="V16" s="102" t="inlineStr">
        <is>
          <t>[IJZ] 1</t>
        </is>
      </c>
    </row>
    <row r="17" ht="26" customHeight="1" s="70">
      <c r="A17" s="96" t="inlineStr">
        <is>
          <t>HPA1024</t>
        </is>
      </c>
      <c r="B17" s="97" t="inlineStr">
        <is>
          <t>— not assigned —</t>
        </is>
      </c>
      <c r="C17" s="97" t="inlineStr">
        <is>
          <t>High Pro Amnesia</t>
        </is>
      </c>
      <c r="D17" s="98" t="inlineStr">
        <is>
          <t>❌ 4 MISSING</t>
        </is>
      </c>
      <c r="E17" s="105" t="inlineStr">
        <is>
          <t>✓</t>
        </is>
      </c>
      <c r="F17" s="105" t="inlineStr">
        <is>
          <t>✓</t>
        </is>
      </c>
      <c r="G17" s="100" t="inlineStr">
        <is>
          <t>✓</t>
        </is>
      </c>
      <c r="H17" s="100" t="inlineStr">
        <is>
          <t>✓</t>
        </is>
      </c>
      <c r="I17" s="100" t="inlineStr">
        <is>
          <t>✓</t>
        </is>
      </c>
      <c r="J17" s="100" t="inlineStr">
        <is>
          <t>✓</t>
        </is>
      </c>
      <c r="K17" s="105" t="inlineStr">
        <is>
          <t>✓</t>
        </is>
      </c>
      <c r="L17" s="105" t="inlineStr">
        <is>
          <t>✗</t>
        </is>
      </c>
      <c r="M17" s="99" t="inlineStr">
        <is>
          <t>✗</t>
        </is>
      </c>
      <c r="N17" s="100" t="inlineStr">
        <is>
          <t>✓</t>
        </is>
      </c>
      <c r="O17" s="99" t="inlineStr">
        <is>
          <t>✗</t>
        </is>
      </c>
      <c r="P17" s="99" t="inlineStr">
        <is>
          <t>✗</t>
        </is>
      </c>
      <c r="Q17" s="101" t="n">
        <v>4</v>
      </c>
      <c r="R17" s="104" t="inlineStr">
        <is>
          <t>#8 LoD; #9 Microbiology; #11 Heavy metals; #12 Pesticides</t>
        </is>
      </c>
      <c r="S17" s="103" t="n">
        <v>4</v>
      </c>
      <c r="T17" s="102" t="inlineStr">
        <is>
          <t>[FHM-K] 1; [FHM-M] 1; [PP] 2</t>
        </is>
      </c>
      <c r="U17" s="103" t="n">
        <v>0</v>
      </c>
      <c r="V17" s="102" t="inlineStr">
        <is>
          <t>—</t>
        </is>
      </c>
    </row>
    <row r="18" ht="26" customHeight="1" s="70">
      <c r="A18" s="96" t="inlineStr">
        <is>
          <t>J31102501</t>
        </is>
      </c>
      <c r="B18" s="97" t="inlineStr">
        <is>
          <t>P060152</t>
        </is>
      </c>
      <c r="C18" s="97" t="inlineStr">
        <is>
          <t>Jokerz 31</t>
        </is>
      </c>
      <c r="D18" s="98" t="inlineStr">
        <is>
          <t>○ 3 ON FILE, NOT RECORDED</t>
        </is>
      </c>
      <c r="E18" s="105" t="inlineStr">
        <is>
          <t>✓</t>
        </is>
      </c>
      <c r="F18" s="105" t="inlineStr">
        <is>
          <t>✓</t>
        </is>
      </c>
      <c r="G18" s="100" t="inlineStr">
        <is>
          <t>✓</t>
        </is>
      </c>
      <c r="H18" s="100" t="inlineStr">
        <is>
          <t>✓</t>
        </is>
      </c>
      <c r="I18" s="100" t="inlineStr">
        <is>
          <t>✓</t>
        </is>
      </c>
      <c r="J18" s="100" t="inlineStr">
        <is>
          <t>✓</t>
        </is>
      </c>
      <c r="K18" s="105" t="inlineStr">
        <is>
          <t>✓</t>
        </is>
      </c>
      <c r="L18" s="100" t="inlineStr">
        <is>
          <t>✓</t>
        </is>
      </c>
      <c r="M18" s="118" t="inlineStr">
        <is>
          <t>○</t>
        </is>
      </c>
      <c r="N18" s="105" t="inlineStr">
        <is>
          <t>✓</t>
        </is>
      </c>
      <c r="O18" s="118" t="inlineStr">
        <is>
          <t>○</t>
        </is>
      </c>
      <c r="P18" s="118" t="inlineStr">
        <is>
          <t>○</t>
        </is>
      </c>
      <c r="Q18" s="101" t="n">
        <v>3</v>
      </c>
      <c r="R18" s="104" t="inlineStr">
        <is>
          <t>#9 Microbiology (on file 09.09, not recorded); #11 Heavy metals (on file 09.09, not recorded); #12 Pesticides (on file 09.09, not recorded)</t>
        </is>
      </c>
      <c r="S18" s="103" t="n">
        <v>5</v>
      </c>
      <c r="T18" s="102" t="inlineStr">
        <is>
          <t>[FHM-K] 3; [FHM-M] 1; [PP] 1</t>
        </is>
      </c>
      <c r="U18" s="103" t="n">
        <v>2</v>
      </c>
      <c r="V18" s="102" t="inlineStr">
        <is>
          <t>[IJZ] 1; [IJZ-MB] 1</t>
        </is>
      </c>
    </row>
    <row r="19" ht="26" customHeight="1" s="70">
      <c r="A19" s="96" t="inlineStr">
        <is>
          <t>J31112501</t>
        </is>
      </c>
      <c r="B19" s="97" t="inlineStr">
        <is>
          <t>P060202</t>
        </is>
      </c>
      <c r="C19" s="97" t="inlineStr">
        <is>
          <t>Jokerz 31</t>
        </is>
      </c>
      <c r="D19" s="98" t="inlineStr">
        <is>
          <t>○ 3 ON FILE, NOT RECORDED</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118" t="inlineStr">
        <is>
          <t>○</t>
        </is>
      </c>
      <c r="O19" s="118" t="inlineStr">
        <is>
          <t>○</t>
        </is>
      </c>
      <c r="P19" s="118" t="inlineStr">
        <is>
          <t>○</t>
        </is>
      </c>
      <c r="Q19" s="101" t="n">
        <v>3</v>
      </c>
      <c r="R19" s="104" t="inlineStr">
        <is>
          <t>#10 Mycotoxins (on file 09.09, not recorded); #11 Heavy metals (on file 09.09, not recorded); #12 Pesticides (on file 09.09, not recorded)</t>
        </is>
      </c>
      <c r="S19" s="103" t="n">
        <v>9</v>
      </c>
      <c r="T19" s="102" t="inlineStr">
        <is>
          <t>[FHM-K] 7; [IJZ-MB] 1; [PP] 1</t>
        </is>
      </c>
      <c r="U19" s="103" t="n">
        <v>1</v>
      </c>
      <c r="V19" s="102" t="inlineStr">
        <is>
          <t>[IJZ] 1</t>
        </is>
      </c>
    </row>
    <row r="20">
      <c r="A20" s="96" t="inlineStr">
        <is>
          <t>J31122501</t>
        </is>
      </c>
      <c r="B20" s="97" t="inlineStr">
        <is>
          <t>P060262</t>
        </is>
      </c>
      <c r="C20" s="97" t="inlineStr">
        <is>
          <t>Jokerz 31</t>
        </is>
      </c>
      <c r="D20" s="98" t="inlineStr">
        <is>
          <t>⚠ 1 MISSING</t>
        </is>
      </c>
      <c r="E20" s="105" t="inlineStr">
        <is>
          <t>✓</t>
        </is>
      </c>
      <c r="F20" s="105" t="inlineStr">
        <is>
          <t>✓</t>
        </is>
      </c>
      <c r="G20" s="100" t="inlineStr">
        <is>
          <t>✓</t>
        </is>
      </c>
      <c r="H20" s="100" t="inlineStr">
        <is>
          <t>✓</t>
        </is>
      </c>
      <c r="I20" s="100" t="inlineStr">
        <is>
          <t>✓</t>
        </is>
      </c>
      <c r="J20" s="100" t="inlineStr">
        <is>
          <t>✓</t>
        </is>
      </c>
      <c r="K20" s="105" t="inlineStr">
        <is>
          <t>✓</t>
        </is>
      </c>
      <c r="L20" s="99" t="inlineStr">
        <is>
          <t>✗</t>
        </is>
      </c>
      <c r="M20" s="100" t="inlineStr">
        <is>
          <t>✓</t>
        </is>
      </c>
      <c r="N20" s="100" t="inlineStr">
        <is>
          <t>✓</t>
        </is>
      </c>
      <c r="O20" s="100" t="inlineStr">
        <is>
          <t>✓</t>
        </is>
      </c>
      <c r="P20" s="100" t="inlineStr">
        <is>
          <t>✓</t>
        </is>
      </c>
      <c r="Q20" s="101" t="n">
        <v>1</v>
      </c>
      <c r="R20" s="102" t="inlineStr">
        <is>
          <t>#8 LoD</t>
        </is>
      </c>
      <c r="S20" s="103" t="n">
        <v>9</v>
      </c>
      <c r="T20" s="102" t="inlineStr">
        <is>
          <t>[FHM-K] 3; [IJZ] 2; [IJZ-MB] 3; [PP] 1</t>
        </is>
      </c>
      <c r="U20" s="103" t="n">
        <v>0</v>
      </c>
      <c r="V20" s="102" t="inlineStr">
        <is>
          <t>—</t>
        </is>
      </c>
    </row>
    <row r="21">
      <c r="A21" s="96" t="inlineStr">
        <is>
          <t>JD012601＊</t>
        </is>
      </c>
      <c r="B21" s="97" t="inlineStr">
        <is>
          <t>P060312</t>
        </is>
      </c>
      <c r="C21" s="97" t="inlineStr">
        <is>
          <t>Jelly Donuts</t>
        </is>
      </c>
      <c r="D21" s="98" t="inlineStr">
        <is>
          <t>✓ COMPLETE</t>
        </is>
      </c>
      <c r="E21" s="105" t="inlineStr">
        <is>
          <t>✓</t>
        </is>
      </c>
      <c r="F21" s="105"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6</v>
      </c>
      <c r="T21" s="102" t="inlineStr">
        <is>
          <t>[CNP] 1; [FHM-K] 1; [IJZ] 1; [IJZ-MB] 2; [PP] 1</t>
        </is>
      </c>
      <c r="U21" s="103" t="n">
        <v>0</v>
      </c>
      <c r="V21" s="102" t="inlineStr">
        <is>
          <t>—</t>
        </is>
      </c>
    </row>
    <row r="22" ht="26" customHeight="1" s="70">
      <c r="A22" s="96" t="inlineStr">
        <is>
          <t>JD012603</t>
        </is>
      </c>
      <c r="B22" s="97" t="inlineStr">
        <is>
          <t>P060362 / P060412 / P060422</t>
        </is>
      </c>
      <c r="C22" s="97" t="inlineStr"/>
      <c r="D22" s="98" t="inlineStr">
        <is>
          <t>○ 3 ON FILE, NOT RECORDED</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118" t="inlineStr">
        <is>
          <t>○</t>
        </is>
      </c>
      <c r="N22" s="98" t="inlineStr">
        <is>
          <t>✓</t>
        </is>
      </c>
      <c r="O22" s="118" t="inlineStr">
        <is>
          <t>○</t>
        </is>
      </c>
      <c r="P22" s="118" t="inlineStr">
        <is>
          <t>○</t>
        </is>
      </c>
      <c r="Q22" s="101" t="n">
        <v>3</v>
      </c>
      <c r="R22" s="104" t="inlineStr">
        <is>
          <t>#9 Microbiology (on file 09.09, not recorded); #11 Heavy metals (on file 09.09, not recorded); #12 Pesticides (on file 09.09, not recorded)</t>
        </is>
      </c>
      <c r="S22" s="103" t="n">
        <v>8</v>
      </c>
      <c r="T22" s="102" t="inlineStr">
        <is>
          <t>[CNP] 2; [FHM-K] 3; [FHM-M] 3</t>
        </is>
      </c>
      <c r="U22" s="103" t="n">
        <v>5</v>
      </c>
      <c r="V22" s="102" t="inlineStr">
        <is>
          <t>[IJZ] 2; [IJZ-MB] 3</t>
        </is>
      </c>
    </row>
    <row r="23" ht="26" customHeight="1" s="70">
      <c r="A23" s="96" t="inlineStr">
        <is>
          <t>JD022601</t>
        </is>
      </c>
      <c r="B23" s="97" t="inlineStr">
        <is>
          <t>P060482</t>
        </is>
      </c>
      <c r="C23" s="97" t="inlineStr">
        <is>
          <t>Jelly Donuts</t>
        </is>
      </c>
      <c r="D23" s="98" t="inlineStr">
        <is>
          <t>○ 4 ON FILE, NOT RECORDED</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118" t="inlineStr">
        <is>
          <t>○</t>
        </is>
      </c>
      <c r="N23" s="118" t="inlineStr">
        <is>
          <t>○</t>
        </is>
      </c>
      <c r="O23" s="118" t="inlineStr">
        <is>
          <t>○</t>
        </is>
      </c>
      <c r="P23" s="118" t="inlineStr">
        <is>
          <t>○</t>
        </is>
      </c>
      <c r="Q23" s="101" t="n">
        <v>4</v>
      </c>
      <c r="R23" s="104" t="inlineStr">
        <is>
          <t>#9 Microbiology (on file 09.09, not recorded); #10 Mycotoxins (on file 09.09, not recorded); #11 Heavy metals (on file 09.09, not recorded); #12 Pesticides (on file 09.09, not recorded)</t>
        </is>
      </c>
      <c r="S23" s="103" t="n">
        <v>1</v>
      </c>
      <c r="T23" s="102" t="inlineStr">
        <is>
          <t>[CNP] 1</t>
        </is>
      </c>
      <c r="U23" s="103" t="n">
        <v>2</v>
      </c>
      <c r="V23" s="102" t="inlineStr">
        <is>
          <t>[IJZ] 1; [IJZ-MB] 1</t>
        </is>
      </c>
    </row>
    <row r="24">
      <c r="A24" s="96" t="inlineStr">
        <is>
          <t>JD112501</t>
        </is>
      </c>
      <c r="B24" s="97" t="inlineStr">
        <is>
          <t>P060212</t>
        </is>
      </c>
      <c r="C24" s="97" t="inlineStr">
        <is>
          <t>Jelly Donuts</t>
        </is>
      </c>
      <c r="D24" s="98" t="inlineStr">
        <is>
          <t>✓ COMPLETE</t>
        </is>
      </c>
      <c r="E24" s="105" t="inlineStr">
        <is>
          <t>✓</t>
        </is>
      </c>
      <c r="F24" s="105" t="inlineStr">
        <is>
          <t>✓</t>
        </is>
      </c>
      <c r="G24" s="100" t="inlineStr">
        <is>
          <t>✓</t>
        </is>
      </c>
      <c r="H24" s="100" t="inlineStr">
        <is>
          <t>✓</t>
        </is>
      </c>
      <c r="I24" s="100" t="inlineStr">
        <is>
          <t>✓</t>
        </is>
      </c>
      <c r="J24" s="98" t="inlineStr">
        <is>
          <t>✓</t>
        </is>
      </c>
      <c r="K24" s="105" t="inlineStr">
        <is>
          <t>✓</t>
        </is>
      </c>
      <c r="L24" s="100" t="inlineStr">
        <is>
          <t>✓</t>
        </is>
      </c>
      <c r="M24" s="98" t="inlineStr">
        <is>
          <t>✓</t>
        </is>
      </c>
      <c r="N24" s="98" t="inlineStr">
        <is>
          <t>✓</t>
        </is>
      </c>
      <c r="O24" s="98" t="inlineStr">
        <is>
          <t>✓</t>
        </is>
      </c>
      <c r="P24" s="98" t="inlineStr">
        <is>
          <t>✓</t>
        </is>
      </c>
      <c r="Q24" s="101" t="n">
        <v>0</v>
      </c>
      <c r="R24" s="102" t="inlineStr">
        <is>
          <t>—</t>
        </is>
      </c>
      <c r="S24" s="103" t="n">
        <v>6</v>
      </c>
      <c r="T24" s="102" t="inlineStr">
        <is>
          <t>[CNP] 1; [FHM-K] 1; [FHM-M] 1; [IJZ] 1; [IJZ-MB] 1; [PP] 1</t>
        </is>
      </c>
      <c r="U24" s="103" t="n">
        <v>0</v>
      </c>
      <c r="V24" s="102" t="inlineStr">
        <is>
          <t>—</t>
        </is>
      </c>
    </row>
    <row r="25">
      <c r="A25" s="96" t="inlineStr">
        <is>
          <t>KC102501</t>
        </is>
      </c>
      <c r="B25" s="97" t="inlineStr">
        <is>
          <t>P060172</t>
        </is>
      </c>
      <c r="C25" s="97" t="inlineStr">
        <is>
          <t>Kush Crasher</t>
        </is>
      </c>
      <c r="D25" s="98" t="inlineStr">
        <is>
          <t>○ 3 ON FILE, NOT RECORDED</t>
        </is>
      </c>
      <c r="E25" s="105" t="inlineStr">
        <is>
          <t>✓</t>
        </is>
      </c>
      <c r="F25" s="105" t="inlineStr">
        <is>
          <t>✓</t>
        </is>
      </c>
      <c r="G25" s="100" t="inlineStr">
        <is>
          <t>✓</t>
        </is>
      </c>
      <c r="H25" s="100" t="inlineStr">
        <is>
          <t>✓</t>
        </is>
      </c>
      <c r="I25" s="100" t="inlineStr">
        <is>
          <t>✓</t>
        </is>
      </c>
      <c r="J25" s="100" t="inlineStr">
        <is>
          <t>✓</t>
        </is>
      </c>
      <c r="K25" s="105" t="inlineStr">
        <is>
          <t>✓</t>
        </is>
      </c>
      <c r="L25" s="100" t="inlineStr">
        <is>
          <t>✓</t>
        </is>
      </c>
      <c r="M25" s="118" t="inlineStr">
        <is>
          <t>○</t>
        </is>
      </c>
      <c r="N25" s="98" t="inlineStr">
        <is>
          <t>✓</t>
        </is>
      </c>
      <c r="O25" s="118" t="inlineStr">
        <is>
          <t>○</t>
        </is>
      </c>
      <c r="P25" s="118" t="inlineStr">
        <is>
          <t>○</t>
        </is>
      </c>
      <c r="Q25" s="101" t="n">
        <v>3</v>
      </c>
      <c r="R25" s="104" t="inlineStr">
        <is>
          <t>#9 Microbiology (on file 09.09, not recorded); #11 Heavy metals (on file 09.09, not recorded); #12 Pesticides (on file 09.09, not recorded)</t>
        </is>
      </c>
      <c r="S25" s="103" t="n">
        <v>5</v>
      </c>
      <c r="T25" s="102" t="inlineStr">
        <is>
          <t>[FHM-K] 3; [FHM-M] 1; [PP] 1</t>
        </is>
      </c>
      <c r="U25" s="103" t="n">
        <v>2</v>
      </c>
      <c r="V25" s="102" t="inlineStr">
        <is>
          <t>[IJZ] 1; [IJZ-MB] 1</t>
        </is>
      </c>
    </row>
    <row r="26" ht="26" customHeight="1" s="70">
      <c r="A26" s="96" t="inlineStr">
        <is>
          <t>OPM1024</t>
        </is>
      </c>
      <c r="B26" s="97" t="inlineStr">
        <is>
          <t>— not assigned —</t>
        </is>
      </c>
      <c r="C26" s="97" t="inlineStr">
        <is>
          <t>Orange Punch Mimosa</t>
        </is>
      </c>
      <c r="D26" s="98" t="inlineStr">
        <is>
          <t>❌ 4 MISSING</t>
        </is>
      </c>
      <c r="E26" s="105" t="inlineStr">
        <is>
          <t>✓</t>
        </is>
      </c>
      <c r="F26" s="105" t="inlineStr">
        <is>
          <t>✓</t>
        </is>
      </c>
      <c r="G26" s="100" t="inlineStr">
        <is>
          <t>✓</t>
        </is>
      </c>
      <c r="H26" s="100" t="inlineStr">
        <is>
          <t>✓</t>
        </is>
      </c>
      <c r="I26" s="100" t="inlineStr">
        <is>
          <t>✓</t>
        </is>
      </c>
      <c r="J26" s="100" t="inlineStr">
        <is>
          <t>✓</t>
        </is>
      </c>
      <c r="K26" s="105" t="inlineStr">
        <is>
          <t>✓</t>
        </is>
      </c>
      <c r="L26" s="105" t="inlineStr">
        <is>
          <t>✗</t>
        </is>
      </c>
      <c r="M26" s="99" t="inlineStr">
        <is>
          <t>✗</t>
        </is>
      </c>
      <c r="N26" s="100" t="inlineStr">
        <is>
          <t>✓</t>
        </is>
      </c>
      <c r="O26" s="99" t="inlineStr">
        <is>
          <t>✗</t>
        </is>
      </c>
      <c r="P26" s="99" t="inlineStr">
        <is>
          <t>✗</t>
        </is>
      </c>
      <c r="Q26" s="101" t="n">
        <v>4</v>
      </c>
      <c r="R26" s="104" t="inlineStr">
        <is>
          <t>#8 LoD; #9 Microbiology; #11 Heavy metals; #12 Pesticides</t>
        </is>
      </c>
      <c r="S26" s="103" t="n">
        <v>4</v>
      </c>
      <c r="T26" s="102" t="inlineStr">
        <is>
          <t>[FHM-K] 1; [FHM-M] 1; [PP] 2</t>
        </is>
      </c>
      <c r="U26" s="103" t="n">
        <v>0</v>
      </c>
      <c r="V26" s="102" t="inlineStr">
        <is>
          <t>—</t>
        </is>
      </c>
    </row>
    <row r="27" ht="26" customHeight="1" s="70">
      <c r="A27" s="96" t="inlineStr">
        <is>
          <t>OPM112501</t>
        </is>
      </c>
      <c r="B27" s="97" t="inlineStr">
        <is>
          <t>P060222</t>
        </is>
      </c>
      <c r="C27" s="97" t="inlineStr">
        <is>
          <t>Orange Punch Mimosa</t>
        </is>
      </c>
      <c r="D27" s="98" t="inlineStr">
        <is>
          <t>⚠ 3 MISSING</t>
        </is>
      </c>
      <c r="E27" s="105" t="inlineStr">
        <is>
          <t>✓</t>
        </is>
      </c>
      <c r="F27" s="105" t="inlineStr">
        <is>
          <t>✓</t>
        </is>
      </c>
      <c r="G27" s="100" t="inlineStr">
        <is>
          <t>✓</t>
        </is>
      </c>
      <c r="H27" s="100" t="inlineStr">
        <is>
          <t>✓</t>
        </is>
      </c>
      <c r="I27" s="100" t="inlineStr">
        <is>
          <t>✓</t>
        </is>
      </c>
      <c r="J27" s="98" t="inlineStr">
        <is>
          <t>✓</t>
        </is>
      </c>
      <c r="K27" s="105" t="inlineStr">
        <is>
          <t>✓</t>
        </is>
      </c>
      <c r="L27" s="100" t="inlineStr">
        <is>
          <t>✓</t>
        </is>
      </c>
      <c r="M27" s="98" t="inlineStr">
        <is>
          <t>✓</t>
        </is>
      </c>
      <c r="N27" s="99" t="inlineStr">
        <is>
          <t>✗</t>
        </is>
      </c>
      <c r="O27" s="118" t="inlineStr">
        <is>
          <t>○</t>
        </is>
      </c>
      <c r="P27" s="118" t="inlineStr">
        <is>
          <t>○</t>
        </is>
      </c>
      <c r="Q27" s="101" t="n">
        <v>3</v>
      </c>
      <c r="R27" s="104" t="inlineStr">
        <is>
          <t>#10 Mycotoxins; #11 Heavy metals (on file 09.09, not recorded); #12 Pesticides (on file 09.09, not recorded)</t>
        </is>
      </c>
      <c r="S27" s="103" t="n">
        <v>4</v>
      </c>
      <c r="T27" s="102" t="inlineStr">
        <is>
          <t>[CNP] 1; [FHM-K] 1; [IJZ-MB] 1; [PP] 1</t>
        </is>
      </c>
      <c r="U27" s="103" t="n">
        <v>1</v>
      </c>
      <c r="V27" s="102" t="inlineStr">
        <is>
          <t>[IJZ] 1</t>
        </is>
      </c>
    </row>
    <row r="28" ht="26" customHeight="1" s="70">
      <c r="A28" s="96" t="inlineStr">
        <is>
          <t>OPM122501</t>
        </is>
      </c>
      <c r="B28" s="97" t="inlineStr">
        <is>
          <t>P060242</t>
        </is>
      </c>
      <c r="C28" s="97" t="inlineStr">
        <is>
          <t>Orange Punch Mimosa</t>
        </is>
      </c>
      <c r="D28" s="98" t="inlineStr">
        <is>
          <t>✓ COMPLETE</t>
        </is>
      </c>
      <c r="E28" s="105" t="inlineStr">
        <is>
          <t>✓</t>
        </is>
      </c>
      <c r="F28" s="105" t="inlineStr">
        <is>
          <t>✓</t>
        </is>
      </c>
      <c r="G28" s="100" t="inlineStr">
        <is>
          <t>✓</t>
        </is>
      </c>
      <c r="H28" s="100" t="inlineStr">
        <is>
          <t>✓</t>
        </is>
      </c>
      <c r="I28" s="100" t="inlineStr">
        <is>
          <t>✓</t>
        </is>
      </c>
      <c r="J28" s="100" t="inlineStr">
        <is>
          <t>✓</t>
        </is>
      </c>
      <c r="K28" s="105" t="inlineStr">
        <is>
          <t>✓</t>
        </is>
      </c>
      <c r="L28" s="100" t="inlineStr">
        <is>
          <t>✓</t>
        </is>
      </c>
      <c r="M28" s="100" t="inlineStr">
        <is>
          <t>✓</t>
        </is>
      </c>
      <c r="N28" s="100" t="inlineStr">
        <is>
          <t>✓</t>
        </is>
      </c>
      <c r="O28" s="100" t="inlineStr">
        <is>
          <t>✓</t>
        </is>
      </c>
      <c r="P28" s="100" t="inlineStr">
        <is>
          <t>✓</t>
        </is>
      </c>
      <c r="Q28" s="101" t="n">
        <v>0</v>
      </c>
      <c r="R28" s="102" t="inlineStr">
        <is>
          <t>—</t>
        </is>
      </c>
      <c r="S28" s="103" t="n">
        <v>7</v>
      </c>
      <c r="T28" s="102" t="inlineStr">
        <is>
          <t>[FHM-K] 3; [FHM-M] 1; [IJZ] 1; [IJZ-MB] 1; [PP] 1</t>
        </is>
      </c>
      <c r="U28" s="103" t="n">
        <v>0</v>
      </c>
      <c r="V28" s="102" t="inlineStr">
        <is>
          <t>—</t>
        </is>
      </c>
    </row>
    <row r="29">
      <c r="A29" s="96" t="inlineStr">
        <is>
          <t>GG1024_02</t>
        </is>
      </c>
      <c r="B29" s="97" t="inlineStr">
        <is>
          <t>P050012</t>
        </is>
      </c>
      <c r="C29" s="97" t="inlineStr">
        <is>
          <t>Gorilla Glue</t>
        </is>
      </c>
      <c r="D29" s="98" t="inlineStr">
        <is>
          <t>✓ COMPLETE</t>
        </is>
      </c>
      <c r="E29" s="105" t="inlineStr">
        <is>
          <t>✓</t>
        </is>
      </c>
      <c r="F29" s="105" t="inlineStr">
        <is>
          <t>✓</t>
        </is>
      </c>
      <c r="G29" s="100" t="inlineStr">
        <is>
          <t>✓</t>
        </is>
      </c>
      <c r="H29" s="100" t="inlineStr">
        <is>
          <t>✓</t>
        </is>
      </c>
      <c r="I29" s="100" t="inlineStr">
        <is>
          <t>✓</t>
        </is>
      </c>
      <c r="J29" s="98" t="inlineStr">
        <is>
          <t>✓</t>
        </is>
      </c>
      <c r="K29" s="105" t="inlineStr">
        <is>
          <t>✓</t>
        </is>
      </c>
      <c r="L29" s="100" t="inlineStr">
        <is>
          <t>✓</t>
        </is>
      </c>
      <c r="M29" s="100" t="inlineStr">
        <is>
          <t>✓</t>
        </is>
      </c>
      <c r="N29" s="100" t="inlineStr">
        <is>
          <t>✓</t>
        </is>
      </c>
      <c r="O29" s="100" t="inlineStr">
        <is>
          <t>✓</t>
        </is>
      </c>
      <c r="P29" s="100" t="inlineStr">
        <is>
          <t>✓</t>
        </is>
      </c>
      <c r="Q29" s="101" t="n">
        <v>0</v>
      </c>
      <c r="R29" s="102" t="inlineStr">
        <is>
          <t>—</t>
        </is>
      </c>
      <c r="S29" s="103" t="n">
        <v>6</v>
      </c>
      <c r="T29" s="102" t="inlineStr">
        <is>
          <t>[CNP] 1; [FHM-K] 1; [IJZ] 1; [IJZ-MB] 2; [PP] 1</t>
        </is>
      </c>
      <c r="U29" s="103" t="n">
        <v>0</v>
      </c>
      <c r="V29" s="102" t="inlineStr">
        <is>
          <t>—</t>
        </is>
      </c>
    </row>
    <row r="30">
      <c r="A30" s="96" t="inlineStr">
        <is>
          <t>GP0824_02</t>
        </is>
      </c>
      <c r="B30" s="97" t="inlineStr">
        <is>
          <t>P050022</t>
        </is>
      </c>
      <c r="C30" s="97" t="inlineStr">
        <is>
          <t>Grape Pie</t>
        </is>
      </c>
      <c r="D30" s="98" t="inlineStr">
        <is>
          <t>✓ COMPLETE</t>
        </is>
      </c>
      <c r="E30" s="105" t="inlineStr">
        <is>
          <t>✓</t>
        </is>
      </c>
      <c r="F30" s="105" t="inlineStr">
        <is>
          <t>✓</t>
        </is>
      </c>
      <c r="G30" s="100" t="inlineStr">
        <is>
          <t>✓</t>
        </is>
      </c>
      <c r="H30" s="100" t="inlineStr">
        <is>
          <t>✓</t>
        </is>
      </c>
      <c r="I30" s="100" t="inlineStr">
        <is>
          <t>✓</t>
        </is>
      </c>
      <c r="J30" s="100"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12</v>
      </c>
      <c r="T30" s="102" t="inlineStr">
        <is>
          <t>[CNP] 5; [FHM-K] 1; [FHM-M] 1; [IJZ] 2; [IJZ-MB] 2; [PP] 1</t>
        </is>
      </c>
      <c r="U30" s="103" t="n">
        <v>0</v>
      </c>
      <c r="V30" s="102" t="inlineStr">
        <is>
          <t>—</t>
        </is>
      </c>
    </row>
    <row r="31">
      <c r="A31" s="96" t="inlineStr">
        <is>
          <t>MB0824_04</t>
        </is>
      </c>
      <c r="B31" s="97" t="inlineStr">
        <is>
          <t>P050032</t>
        </is>
      </c>
      <c r="C31" s="97" t="inlineStr">
        <is>
          <t>Motor Breath</t>
        </is>
      </c>
      <c r="D31" s="98" t="inlineStr">
        <is>
          <t>✓ COMPLETE</t>
        </is>
      </c>
      <c r="E31" s="105" t="inlineStr">
        <is>
          <t>✓</t>
        </is>
      </c>
      <c r="F31" s="105" t="inlineStr">
        <is>
          <t>✓</t>
        </is>
      </c>
      <c r="G31" s="100" t="inlineStr">
        <is>
          <t>✓</t>
        </is>
      </c>
      <c r="H31" s="100" t="inlineStr">
        <is>
          <t>✓</t>
        </is>
      </c>
      <c r="I31" s="100" t="inlineStr">
        <is>
          <t>✓</t>
        </is>
      </c>
      <c r="J31" s="98"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6</v>
      </c>
      <c r="T31" s="102" t="inlineStr">
        <is>
          <t>[CNP] 1; [FHM-K] 1; [IJZ] 1; [IJZ-MB] 2; [PP] 1</t>
        </is>
      </c>
      <c r="U31" s="103" t="n">
        <v>0</v>
      </c>
      <c r="V31" s="102" t="inlineStr">
        <is>
          <t>—</t>
        </is>
      </c>
    </row>
    <row r="32">
      <c r="A32" s="96" t="inlineStr">
        <is>
          <t>OMP1024_01</t>
        </is>
      </c>
      <c r="B32" s="97" t="inlineStr">
        <is>
          <t>P050042</t>
        </is>
      </c>
      <c r="C32" s="97" t="inlineStr">
        <is>
          <t>Orange Punch Mimosa</t>
        </is>
      </c>
      <c r="D32" s="98" t="inlineStr">
        <is>
          <t>✓ COMPLETE</t>
        </is>
      </c>
      <c r="E32" s="105" t="inlineStr">
        <is>
          <t>✓</t>
        </is>
      </c>
      <c r="F32" s="105" t="inlineStr">
        <is>
          <t>✓</t>
        </is>
      </c>
      <c r="G32" s="100" t="inlineStr">
        <is>
          <t>✓</t>
        </is>
      </c>
      <c r="H32" s="100" t="inlineStr">
        <is>
          <t>✓</t>
        </is>
      </c>
      <c r="I32" s="100" t="inlineStr">
        <is>
          <t>✓</t>
        </is>
      </c>
      <c r="J32" s="98" t="inlineStr">
        <is>
          <t>✓</t>
        </is>
      </c>
      <c r="K32" s="105" t="inlineStr">
        <is>
          <t>✓</t>
        </is>
      </c>
      <c r="L32" s="100" t="inlineStr">
        <is>
          <t>✓</t>
        </is>
      </c>
      <c r="M32" s="98" t="inlineStr">
        <is>
          <t>✓</t>
        </is>
      </c>
      <c r="N32" s="100" t="inlineStr">
        <is>
          <t>✓</t>
        </is>
      </c>
      <c r="O32" s="100" t="inlineStr">
        <is>
          <t>✓</t>
        </is>
      </c>
      <c r="P32" s="100" t="inlineStr">
        <is>
          <t>✓</t>
        </is>
      </c>
      <c r="Q32" s="101" t="n">
        <v>0</v>
      </c>
      <c r="R32" s="102" t="inlineStr">
        <is>
          <t>—</t>
        </is>
      </c>
      <c r="S32" s="103" t="n">
        <v>6</v>
      </c>
      <c r="T32" s="102" t="inlineStr">
        <is>
          <t>[CNP] 1; [FHM-K] 1; [FHM-M] 1; [IJZ] 1; [IJZ-MB] 1; [PP] 1</t>
        </is>
      </c>
      <c r="U32" s="103" t="n">
        <v>0</v>
      </c>
      <c r="V32" s="102" t="inlineStr">
        <is>
          <t>—</t>
        </is>
      </c>
    </row>
    <row r="33">
      <c r="A33" s="96" t="inlineStr">
        <is>
          <t>HPA1024_01</t>
        </is>
      </c>
      <c r="B33" s="97" t="inlineStr">
        <is>
          <t>P050052</t>
        </is>
      </c>
      <c r="C33" s="97" t="inlineStr">
        <is>
          <t>High Pro Amnesia</t>
        </is>
      </c>
      <c r="D33" s="98" t="inlineStr">
        <is>
          <t>✓ COMPLETE</t>
        </is>
      </c>
      <c r="E33" s="105" t="inlineStr">
        <is>
          <t>✓</t>
        </is>
      </c>
      <c r="F33" s="105" t="inlineStr">
        <is>
          <t>✓</t>
        </is>
      </c>
      <c r="G33" s="100" t="inlineStr">
        <is>
          <t>✓</t>
        </is>
      </c>
      <c r="H33" s="100" t="inlineStr">
        <is>
          <t>✓</t>
        </is>
      </c>
      <c r="I33" s="100" t="inlineStr">
        <is>
          <t>✓</t>
        </is>
      </c>
      <c r="J33" s="100" t="inlineStr">
        <is>
          <t>✓</t>
        </is>
      </c>
      <c r="K33" s="105" t="inlineStr">
        <is>
          <t>✓</t>
        </is>
      </c>
      <c r="L33" s="100" t="inlineStr">
        <is>
          <t>✓</t>
        </is>
      </c>
      <c r="M33" s="100" t="inlineStr">
        <is>
          <t>✓</t>
        </is>
      </c>
      <c r="N33" s="100" t="inlineStr">
        <is>
          <t>✓</t>
        </is>
      </c>
      <c r="O33" s="100" t="inlineStr">
        <is>
          <t>✓</t>
        </is>
      </c>
      <c r="P33" s="100" t="inlineStr">
        <is>
          <t>✓</t>
        </is>
      </c>
      <c r="Q33" s="101" t="n">
        <v>0</v>
      </c>
      <c r="R33" s="102" t="inlineStr">
        <is>
          <t>—</t>
        </is>
      </c>
      <c r="S33" s="103" t="n">
        <v>6</v>
      </c>
      <c r="T33" s="102" t="inlineStr">
        <is>
          <t>[CNP] 1; [FHM-K] 1; [FHM-M] 1; [IJZ] 1; [IJZ-MB] 1; [PP] 1</t>
        </is>
      </c>
      <c r="U33" s="103" t="n">
        <v>0</v>
      </c>
      <c r="V33" s="102" t="inlineStr">
        <is>
          <t>—</t>
        </is>
      </c>
    </row>
    <row r="34">
      <c r="A34" s="96" t="inlineStr">
        <is>
          <t>OPM1024_02</t>
        </is>
      </c>
      <c r="B34" s="97" t="inlineStr">
        <is>
          <t>P050062</t>
        </is>
      </c>
      <c r="C34" s="97" t="inlineStr">
        <is>
          <t>Orange Punch Mimosa</t>
        </is>
      </c>
      <c r="D34" s="98" t="inlineStr">
        <is>
          <t>✓ COMPLETE</t>
        </is>
      </c>
      <c r="E34" s="105" t="inlineStr">
        <is>
          <t>✓</t>
        </is>
      </c>
      <c r="F34" s="105"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c r="U34" s="103" t="n">
        <v>0</v>
      </c>
      <c r="V34" s="102" t="inlineStr">
        <is>
          <t>—</t>
        </is>
      </c>
    </row>
    <row r="35">
      <c r="A35" s="96" t="inlineStr">
        <is>
          <t>GP0824_03</t>
        </is>
      </c>
      <c r="B35" s="97" t="inlineStr">
        <is>
          <t>P050072</t>
        </is>
      </c>
      <c r="C35" s="97" t="inlineStr">
        <is>
          <t>Grape Pie</t>
        </is>
      </c>
      <c r="D35" s="98" t="inlineStr">
        <is>
          <t>✓ COMPLETE</t>
        </is>
      </c>
      <c r="E35" s="105" t="inlineStr">
        <is>
          <t>✓</t>
        </is>
      </c>
      <c r="F35" s="105" t="inlineStr">
        <is>
          <t>✓</t>
        </is>
      </c>
      <c r="G35" s="100" t="inlineStr">
        <is>
          <t>✓</t>
        </is>
      </c>
      <c r="H35" s="100" t="inlineStr">
        <is>
          <t>✓</t>
        </is>
      </c>
      <c r="I35" s="100" t="inlineStr">
        <is>
          <t>✓</t>
        </is>
      </c>
      <c r="J35" s="98"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9</v>
      </c>
      <c r="T35" s="102" t="inlineStr">
        <is>
          <t>[CNP] 4; [FHM-K] 1; [FHM-M] 1; [IJZ] 1; [IJZ-MB] 1; [PP] 1</t>
        </is>
      </c>
      <c r="U35" s="103" t="n">
        <v>0</v>
      </c>
      <c r="V35" s="102" t="inlineStr">
        <is>
          <t>—</t>
        </is>
      </c>
    </row>
    <row r="36">
      <c r="A36" s="96" t="inlineStr">
        <is>
          <t>OPM1024_03</t>
        </is>
      </c>
      <c r="B36" s="97" t="inlineStr">
        <is>
          <t>P050082</t>
        </is>
      </c>
      <c r="C36" s="97" t="inlineStr">
        <is>
          <t>Orange Punch Mimosa</t>
        </is>
      </c>
      <c r="D36" s="98" t="inlineStr">
        <is>
          <t>✓ COMPLETE</t>
        </is>
      </c>
      <c r="E36" s="105" t="inlineStr">
        <is>
          <t>✓</t>
        </is>
      </c>
      <c r="F36" s="105"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6</v>
      </c>
      <c r="T36" s="102" t="inlineStr">
        <is>
          <t>[CNP] 1; [FHM-K] 1; [FHM-M] 1; [IJZ] 1; [IJZ-MB] 1; [PP] 1</t>
        </is>
      </c>
      <c r="U36" s="103" t="n">
        <v>0</v>
      </c>
      <c r="V36" s="102" t="inlineStr">
        <is>
          <t>—</t>
        </is>
      </c>
    </row>
    <row r="37">
      <c r="A37" s="96" t="inlineStr">
        <is>
          <t>GG1024_01</t>
        </is>
      </c>
      <c r="B37" s="97" t="inlineStr">
        <is>
          <t>P050092</t>
        </is>
      </c>
      <c r="C37" s="97" t="inlineStr">
        <is>
          <t>Gorilla Glue</t>
        </is>
      </c>
      <c r="D37" s="98" t="inlineStr">
        <is>
          <t>✓ COMPLETE</t>
        </is>
      </c>
      <c r="E37" s="105" t="inlineStr">
        <is>
          <t>✓</t>
        </is>
      </c>
      <c r="F37" s="105" t="inlineStr">
        <is>
          <t>✓</t>
        </is>
      </c>
      <c r="G37" s="100" t="inlineStr">
        <is>
          <t>✓</t>
        </is>
      </c>
      <c r="H37" s="100" t="inlineStr">
        <is>
          <t>✓</t>
        </is>
      </c>
      <c r="I37" s="100" t="inlineStr">
        <is>
          <t>✓</t>
        </is>
      </c>
      <c r="J37" s="100"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6</v>
      </c>
      <c r="T37" s="102" t="inlineStr">
        <is>
          <t>[CNP] 1; [FHM-K] 1; [FHM-M] 1; [IJZ] 1; [IJZ-MB] 1; [PP] 1</t>
        </is>
      </c>
      <c r="U37" s="103" t="n">
        <v>0</v>
      </c>
      <c r="V37" s="102" t="inlineStr">
        <is>
          <t>—</t>
        </is>
      </c>
    </row>
    <row r="38">
      <c r="A38" s="96" t="inlineStr">
        <is>
          <t>GP0824_01</t>
        </is>
      </c>
      <c r="B38" s="97" t="inlineStr">
        <is>
          <t>P050102</t>
        </is>
      </c>
      <c r="C38" s="97" t="inlineStr">
        <is>
          <t>Grape Pie</t>
        </is>
      </c>
      <c r="D38" s="98" t="inlineStr">
        <is>
          <t>✓ COMPLETE</t>
        </is>
      </c>
      <c r="E38" s="105" t="inlineStr">
        <is>
          <t>✓</t>
        </is>
      </c>
      <c r="F38" s="105" t="inlineStr">
        <is>
          <t>✓</t>
        </is>
      </c>
      <c r="G38" s="100" t="inlineStr">
        <is>
          <t>✓</t>
        </is>
      </c>
      <c r="H38" s="100" t="inlineStr">
        <is>
          <t>✓</t>
        </is>
      </c>
      <c r="I38" s="100" t="inlineStr">
        <is>
          <t>✓</t>
        </is>
      </c>
      <c r="J38" s="98"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7</v>
      </c>
      <c r="T38" s="102" t="inlineStr">
        <is>
          <t>[CNP] 1; [FHM-K] 1; [IJZ] 1; [IJZ-MB] 3; [PP] 1</t>
        </is>
      </c>
      <c r="U38" s="103" t="n">
        <v>0</v>
      </c>
      <c r="V38" s="102" t="inlineStr">
        <is>
          <t>—</t>
        </is>
      </c>
    </row>
    <row r="39">
      <c r="A39" s="96" t="inlineStr">
        <is>
          <t>MB0824_05</t>
        </is>
      </c>
      <c r="B39" s="97" t="inlineStr">
        <is>
          <t>P050112</t>
        </is>
      </c>
      <c r="C39" s="97" t="inlineStr">
        <is>
          <t>Motor Breath</t>
        </is>
      </c>
      <c r="D39" s="98" t="inlineStr">
        <is>
          <t>✓ COMPLETE</t>
        </is>
      </c>
      <c r="E39" s="105" t="inlineStr">
        <is>
          <t>✓</t>
        </is>
      </c>
      <c r="F39" s="105"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6</v>
      </c>
      <c r="T39" s="102" t="inlineStr">
        <is>
          <t>[CNP] 1; [FHM-K] 1; [FHM-M] 1; [IJZ] 1; [IJZ-MB] 1; [PP] 1</t>
        </is>
      </c>
      <c r="U39" s="103" t="n">
        <v>0</v>
      </c>
      <c r="V39" s="102" t="inlineStr">
        <is>
          <t>—</t>
        </is>
      </c>
    </row>
    <row r="40">
      <c r="A40" s="96" t="inlineStr">
        <is>
          <t>BSS1024_01/1</t>
        </is>
      </c>
      <c r="B40" s="97" t="inlineStr">
        <is>
          <t>P050122</t>
        </is>
      </c>
      <c r="C40" s="97" t="inlineStr">
        <is>
          <t>Blue Sunset Sherbet</t>
        </is>
      </c>
      <c r="D40" s="98" t="inlineStr">
        <is>
          <t>✓ COMPLETE</t>
        </is>
      </c>
      <c r="E40" s="105" t="inlineStr">
        <is>
          <t>✓</t>
        </is>
      </c>
      <c r="F40" s="105"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6</v>
      </c>
      <c r="T40" s="102" t="inlineStr">
        <is>
          <t>[CNP] 1; [FHM-K] 1; [IJZ] 1; [IJZ-MB] 2; [PP] 1</t>
        </is>
      </c>
      <c r="U40" s="103" t="n">
        <v>0</v>
      </c>
      <c r="V40" s="102" t="inlineStr">
        <is>
          <t>—</t>
        </is>
      </c>
    </row>
    <row r="41">
      <c r="A41" s="96" t="inlineStr">
        <is>
          <t>OPM052501</t>
        </is>
      </c>
      <c r="B41" s="97" t="inlineStr">
        <is>
          <t>P050132</t>
        </is>
      </c>
      <c r="C41" s="97" t="inlineStr">
        <is>
          <t>Orange Punch Mimosa</t>
        </is>
      </c>
      <c r="D41" s="98" t="inlineStr">
        <is>
          <t>✓ COMPLETE</t>
        </is>
      </c>
      <c r="E41" s="105" t="inlineStr">
        <is>
          <t>✓</t>
        </is>
      </c>
      <c r="F41" s="105"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6</v>
      </c>
      <c r="T41" s="102" t="inlineStr">
        <is>
          <t>[CNP] 1; [FHM-K] 1; [IJZ] 1; [IJZ-MB] 2; [PP] 1</t>
        </is>
      </c>
      <c r="U41" s="103" t="n">
        <v>0</v>
      </c>
      <c r="V41" s="102" t="inlineStr">
        <is>
          <t>—</t>
        </is>
      </c>
    </row>
    <row r="42">
      <c r="A42" s="96" t="inlineStr">
        <is>
          <t>GP052501</t>
        </is>
      </c>
      <c r="B42" s="97" t="inlineStr">
        <is>
          <t>P050152</t>
        </is>
      </c>
      <c r="C42" s="97" t="inlineStr">
        <is>
          <t>Grape Pie</t>
        </is>
      </c>
      <c r="D42" s="98" t="inlineStr">
        <is>
          <t>✓ COMPLETE</t>
        </is>
      </c>
      <c r="E42" s="105" t="inlineStr">
        <is>
          <t>✓</t>
        </is>
      </c>
      <c r="F42" s="105" t="inlineStr">
        <is>
          <t>✓</t>
        </is>
      </c>
      <c r="G42" s="100" t="inlineStr">
        <is>
          <t>✓</t>
        </is>
      </c>
      <c r="H42" s="100" t="inlineStr">
        <is>
          <t>✓</t>
        </is>
      </c>
      <c r="I42" s="100" t="inlineStr">
        <is>
          <t>✓</t>
        </is>
      </c>
      <c r="J42" s="100" t="inlineStr">
        <is>
          <t>✓</t>
        </is>
      </c>
      <c r="K42" s="105" t="inlineStr">
        <is>
          <t>✓</t>
        </is>
      </c>
      <c r="L42" s="100" t="inlineStr">
        <is>
          <t>✓</t>
        </is>
      </c>
      <c r="M42" s="100" t="inlineStr">
        <is>
          <t>✓</t>
        </is>
      </c>
      <c r="N42" s="100" t="inlineStr">
        <is>
          <t>✓</t>
        </is>
      </c>
      <c r="O42" s="100" t="inlineStr">
        <is>
          <t>✓</t>
        </is>
      </c>
      <c r="P42" s="100" t="inlineStr">
        <is>
          <t>✓</t>
        </is>
      </c>
      <c r="Q42" s="101" t="n">
        <v>0</v>
      </c>
      <c r="R42" s="102" t="inlineStr">
        <is>
          <t>—</t>
        </is>
      </c>
      <c r="S42" s="103" t="n">
        <v>6</v>
      </c>
      <c r="T42" s="102" t="inlineStr">
        <is>
          <t>[CNP] 1; [FHM-K] 1; [FHM-M] 1; [IJZ] 1; [IJZ-MB] 1; [PP] 1</t>
        </is>
      </c>
      <c r="U42" s="103" t="n">
        <v>0</v>
      </c>
      <c r="V42" s="102" t="inlineStr">
        <is>
          <t>—</t>
        </is>
      </c>
    </row>
    <row r="43">
      <c r="A43" s="96" t="inlineStr">
        <is>
          <t>CJ052501/01</t>
        </is>
      </c>
      <c r="B43" s="97" t="inlineStr">
        <is>
          <t>P050162</t>
        </is>
      </c>
      <c r="C43" s="97" t="inlineStr">
        <is>
          <t>Cap Junky</t>
        </is>
      </c>
      <c r="D43" s="98" t="inlineStr">
        <is>
          <t>✓ COMPLETE</t>
        </is>
      </c>
      <c r="E43" s="105" t="inlineStr">
        <is>
          <t>✓</t>
        </is>
      </c>
      <c r="F43" s="105"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c r="U43" s="103" t="n">
        <v>0</v>
      </c>
      <c r="V43" s="102" t="inlineStr">
        <is>
          <t>—</t>
        </is>
      </c>
    </row>
    <row r="44">
      <c r="A44" s="96" t="inlineStr">
        <is>
          <t>CJ052501/02</t>
        </is>
      </c>
      <c r="B44" s="97" t="inlineStr">
        <is>
          <t>P050172</t>
        </is>
      </c>
      <c r="C44" s="97" t="inlineStr">
        <is>
          <t>Cap Junky</t>
        </is>
      </c>
      <c r="D44" s="98" t="inlineStr">
        <is>
          <t>✓ COMPLETE</t>
        </is>
      </c>
      <c r="E44" s="105" t="inlineStr">
        <is>
          <t>✓</t>
        </is>
      </c>
      <c r="F44" s="105" t="inlineStr">
        <is>
          <t>✓</t>
        </is>
      </c>
      <c r="G44" s="100" t="inlineStr">
        <is>
          <t>✓</t>
        </is>
      </c>
      <c r="H44" s="100" t="inlineStr">
        <is>
          <t>✓</t>
        </is>
      </c>
      <c r="I44" s="100" t="inlineStr">
        <is>
          <t>✓</t>
        </is>
      </c>
      <c r="J44" s="98"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[IJZ] 1; [IJZ-MB] 2; [PP] 1</t>
        </is>
      </c>
      <c r="U44" s="103" t="n">
        <v>0</v>
      </c>
      <c r="V44" s="102" t="inlineStr">
        <is>
          <t>—</t>
        </is>
      </c>
    </row>
    <row r="45">
      <c r="A45" s="96" t="inlineStr">
        <is>
          <t>HPA052501</t>
        </is>
      </c>
      <c r="B45" s="97" t="inlineStr">
        <is>
          <t>P050182</t>
        </is>
      </c>
      <c r="C45" s="97" t="inlineStr">
        <is>
          <t>High Pro Amnesia</t>
        </is>
      </c>
      <c r="D45" s="98" t="inlineStr">
        <is>
          <t>✓ COMPLETE</t>
        </is>
      </c>
      <c r="E45" s="105" t="inlineStr">
        <is>
          <t>✓</t>
        </is>
      </c>
      <c r="F45" s="105"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6</v>
      </c>
      <c r="T45" s="102" t="inlineStr">
        <is>
          <t>[CNP] 1; [FHM-K] 1; [FHM-M] 1; [IJZ] 1; [IJZ-MB] 1; [PP] 1</t>
        </is>
      </c>
      <c r="U45" s="103" t="n">
        <v>0</v>
      </c>
      <c r="V45" s="102" t="inlineStr">
        <is>
          <t>—</t>
        </is>
      </c>
    </row>
    <row r="46">
      <c r="A46" s="96" t="inlineStr">
        <is>
          <t>BSS052501</t>
        </is>
      </c>
      <c r="B46" s="97" t="inlineStr">
        <is>
          <t>P050192</t>
        </is>
      </c>
      <c r="C46" s="97" t="inlineStr">
        <is>
          <t>Blue Sunset Sherbet</t>
        </is>
      </c>
      <c r="D46" s="98" t="inlineStr">
        <is>
          <t>⚠ 1 MISSING</t>
        </is>
      </c>
      <c r="E46" s="105" t="inlineStr">
        <is>
          <t>✓</t>
        </is>
      </c>
      <c r="F46" s="105" t="inlineStr">
        <is>
          <t>✓</t>
        </is>
      </c>
      <c r="G46" s="105" t="inlineStr">
        <is>
          <t>✓</t>
        </is>
      </c>
      <c r="H46" s="105" t="inlineStr">
        <is>
          <t>✓</t>
        </is>
      </c>
      <c r="I46" s="105" t="inlineStr">
        <is>
          <t>✓</t>
        </is>
      </c>
      <c r="J46" s="105" t="inlineStr">
        <is>
          <t>✓</t>
        </is>
      </c>
      <c r="K46" s="105" t="inlineStr">
        <is>
          <t>✓</t>
        </is>
      </c>
      <c r="L46" s="99" t="inlineStr">
        <is>
          <t>✗</t>
        </is>
      </c>
      <c r="M46" s="100" t="inlineStr">
        <is>
          <t>✓</t>
        </is>
      </c>
      <c r="N46" s="100" t="inlineStr">
        <is>
          <t>✓</t>
        </is>
      </c>
      <c r="O46" s="100" t="inlineStr">
        <is>
          <t>✓</t>
        </is>
      </c>
      <c r="P46" s="100" t="inlineStr">
        <is>
          <t>✓</t>
        </is>
      </c>
      <c r="Q46" s="101" t="n">
        <v>1</v>
      </c>
      <c r="R46" s="102" t="inlineStr">
        <is>
          <t>#8 LoD</t>
        </is>
      </c>
      <c r="S46" s="103" t="n">
        <v>9</v>
      </c>
      <c r="T46" s="102" t="inlineStr">
        <is>
          <t>[DFL] 1; [FHM-K] 1; [FHM-M] 2; [IJZ] 1; [IJZ-MB] 2; [NGP] 1; [PP] 1</t>
        </is>
      </c>
      <c r="U46" s="103" t="n">
        <v>0</v>
      </c>
      <c r="V46" s="102" t="inlineStr">
        <is>
          <t>—</t>
        </is>
      </c>
    </row>
    <row r="47">
      <c r="A47" s="96" t="inlineStr">
        <is>
          <t>GP062501</t>
        </is>
      </c>
      <c r="B47" s="97" t="inlineStr">
        <is>
          <t>P050202</t>
        </is>
      </c>
      <c r="C47" s="97" t="inlineStr">
        <is>
          <t>Grape Pie</t>
        </is>
      </c>
      <c r="D47" s="98" t="inlineStr">
        <is>
          <t>✓ COMPLETE</t>
        </is>
      </c>
      <c r="E47" s="105" t="inlineStr">
        <is>
          <t>✓</t>
        </is>
      </c>
      <c r="F47" s="105" t="inlineStr">
        <is>
          <t>✓</t>
        </is>
      </c>
      <c r="G47" s="106" t="inlineStr">
        <is>
          <t>✓</t>
        </is>
      </c>
      <c r="H47" s="106" t="inlineStr">
        <is>
          <t>✓</t>
        </is>
      </c>
      <c r="I47" s="106" t="inlineStr">
        <is>
          <t>✓</t>
        </is>
      </c>
      <c r="J47" s="106" t="inlineStr">
        <is>
          <t>✓</t>
        </is>
      </c>
      <c r="K47" s="105" t="inlineStr">
        <is>
          <t>✓</t>
        </is>
      </c>
      <c r="L47" s="106" t="inlineStr">
        <is>
          <t>✓</t>
        </is>
      </c>
      <c r="M47" s="100" t="inlineStr">
        <is>
          <t>✓</t>
        </is>
      </c>
      <c r="N47" s="100" t="inlineStr">
        <is>
          <t>✓</t>
        </is>
      </c>
      <c r="O47" s="100" t="inlineStr">
        <is>
          <t>✓</t>
        </is>
      </c>
      <c r="P47" s="100" t="inlineStr">
        <is>
          <t>✓</t>
        </is>
      </c>
      <c r="Q47" s="101" t="n">
        <v>0</v>
      </c>
      <c r="R47" s="102" t="inlineStr">
        <is>
          <t>—</t>
        </is>
      </c>
      <c r="S47" s="103" t="n">
        <v>11</v>
      </c>
      <c r="T47" s="102" t="inlineStr">
        <is>
          <t>[CNP] 4; [FHM-K] 1; [IJZ] 1; [IJZ-MB] 3; [NGP] 1; [PP] 1</t>
        </is>
      </c>
      <c r="U47" s="103" t="n">
        <v>0</v>
      </c>
      <c r="V47" s="102" t="inlineStr">
        <is>
          <t>—</t>
        </is>
      </c>
    </row>
    <row r="48">
      <c r="A48" s="96" t="inlineStr">
        <is>
          <t>CJ062501/2</t>
        </is>
      </c>
      <c r="B48" s="97" t="inlineStr">
        <is>
          <t>P050212</t>
        </is>
      </c>
      <c r="C48" s="97" t="inlineStr">
        <is>
          <t>Cap Junky</t>
        </is>
      </c>
      <c r="D48" s="98" t="inlineStr">
        <is>
          <t>✓ COMPLETE</t>
        </is>
      </c>
      <c r="E48" s="105" t="inlineStr">
        <is>
          <t>✓</t>
        </is>
      </c>
      <c r="F48" s="105" t="inlineStr">
        <is>
          <t>✓</t>
        </is>
      </c>
      <c r="G48" s="100" t="inlineStr">
        <is>
          <t>✓</t>
        </is>
      </c>
      <c r="H48" s="100" t="inlineStr">
        <is>
          <t>✓</t>
        </is>
      </c>
      <c r="I48" s="100" t="inlineStr">
        <is>
          <t>✓</t>
        </is>
      </c>
      <c r="J48" s="100" t="inlineStr">
        <is>
          <t>✓</t>
        </is>
      </c>
      <c r="K48" s="105" t="inlineStr">
        <is>
          <t>✓</t>
        </is>
      </c>
      <c r="L48" s="100" t="inlineStr">
        <is>
          <t>✓</t>
        </is>
      </c>
      <c r="M48" s="100" t="inlineStr">
        <is>
          <t>✓</t>
        </is>
      </c>
      <c r="N48" s="100" t="inlineStr">
        <is>
          <t>✓</t>
        </is>
      </c>
      <c r="O48" s="100" t="inlineStr">
        <is>
          <t>✓</t>
        </is>
      </c>
      <c r="P48" s="100" t="inlineStr">
        <is>
          <t>✓</t>
        </is>
      </c>
      <c r="Q48" s="101" t="n">
        <v>0</v>
      </c>
      <c r="R48" s="102" t="inlineStr">
        <is>
          <t>—</t>
        </is>
      </c>
      <c r="S48" s="103" t="n">
        <v>7</v>
      </c>
      <c r="T48" s="102" t="inlineStr">
        <is>
          <t>[CNP] 1; [FHM-K] 1; [FHM-M] 1; [IJZ] 1; [IJZ-MB] 2; [PP] 1</t>
        </is>
      </c>
      <c r="U48" s="103" t="n">
        <v>0</v>
      </c>
      <c r="V48" s="102" t="inlineStr">
        <is>
          <t>—</t>
        </is>
      </c>
    </row>
    <row r="49">
      <c r="A49" s="96" t="inlineStr">
        <is>
          <t>CJ062501/1</t>
        </is>
      </c>
      <c r="B49" s="97" t="inlineStr">
        <is>
          <t>P050222</t>
        </is>
      </c>
      <c r="C49" s="97" t="inlineStr">
        <is>
          <t>Cap Junky</t>
        </is>
      </c>
      <c r="D49" s="98" t="inlineStr">
        <is>
          <t>✓ COMPLETE</t>
        </is>
      </c>
      <c r="E49" s="105" t="inlineStr">
        <is>
          <t>✓</t>
        </is>
      </c>
      <c r="F49" s="105" t="inlineStr">
        <is>
          <t>✓</t>
        </is>
      </c>
      <c r="G49" s="100" t="inlineStr">
        <is>
          <t>✓</t>
        </is>
      </c>
      <c r="H49" s="100" t="inlineStr">
        <is>
          <t>✓</t>
        </is>
      </c>
      <c r="I49" s="100" t="inlineStr">
        <is>
          <t>✓</t>
        </is>
      </c>
      <c r="J49" s="98"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7</v>
      </c>
      <c r="T49" s="102" t="inlineStr">
        <is>
          <t>[CNP] 1; [FHM-K] 1; [FHM-M] 1; [IJZ] 1; [IJZ-MB] 2; [PP] 1</t>
        </is>
      </c>
      <c r="U49" s="103" t="n">
        <v>0</v>
      </c>
      <c r="V49" s="102" t="inlineStr">
        <is>
          <t>—</t>
        </is>
      </c>
    </row>
    <row r="50">
      <c r="A50" s="96" t="inlineStr">
        <is>
          <t>CJ072501</t>
        </is>
      </c>
      <c r="B50" s="97" t="inlineStr">
        <is>
          <t>P050252</t>
        </is>
      </c>
      <c r="C50" s="97" t="inlineStr">
        <is>
          <t>Cap Junky</t>
        </is>
      </c>
      <c r="D50" s="98" t="inlineStr">
        <is>
          <t>✓ COMPLETE</t>
        </is>
      </c>
      <c r="E50" s="105" t="inlineStr">
        <is>
          <t>✓</t>
        </is>
      </c>
      <c r="F50" s="105"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6</v>
      </c>
      <c r="T50" s="102" t="inlineStr">
        <is>
          <t>[CNP] 1; [FHM-K] 1; [IJZ] 1; [IJZ-MB] 2; [PP] 1</t>
        </is>
      </c>
      <c r="U50" s="103" t="n">
        <v>0</v>
      </c>
      <c r="V50" s="102" t="inlineStr">
        <is>
          <t>—</t>
        </is>
      </c>
    </row>
    <row r="51">
      <c r="A51" s="96" t="inlineStr">
        <is>
          <t>WC072501</t>
        </is>
      </c>
      <c r="B51" s="97" t="inlineStr">
        <is>
          <t>P050262</t>
        </is>
      </c>
      <c r="C51" s="97" t="inlineStr">
        <is>
          <t>Wedding Crusher</t>
        </is>
      </c>
      <c r="D51" s="98" t="inlineStr">
        <is>
          <t>✓ COMPLETE</t>
        </is>
      </c>
      <c r="E51" s="105" t="inlineStr">
        <is>
          <t>✓</t>
        </is>
      </c>
      <c r="F51" s="105"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6</v>
      </c>
      <c r="T51" s="102" t="inlineStr">
        <is>
          <t>[CNP] 1; [FHM-K] 1; [IJZ] 1; [IJZ-MB] 2; [PP] 1</t>
        </is>
      </c>
      <c r="U51" s="103" t="n">
        <v>0</v>
      </c>
      <c r="V51" s="102" t="inlineStr">
        <is>
          <t>—</t>
        </is>
      </c>
    </row>
    <row r="52">
      <c r="A52" s="96" t="inlineStr">
        <is>
          <t>PM072501</t>
        </is>
      </c>
      <c r="B52" s="97" t="inlineStr">
        <is>
          <t>P050272</t>
        </is>
      </c>
      <c r="C52" s="97" t="inlineStr">
        <is>
          <t>Permanent Marker</t>
        </is>
      </c>
      <c r="D52" s="98" t="inlineStr">
        <is>
          <t>✓ COMPLETE</t>
        </is>
      </c>
      <c r="E52" s="105" t="inlineStr">
        <is>
          <t>✓</t>
        </is>
      </c>
      <c r="F52" s="105"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6</v>
      </c>
      <c r="T52" s="102" t="inlineStr">
        <is>
          <t>[CNP] 1; [FHM-K] 1; [IJZ] 1; [IJZ-MB] 2; [PP] 1</t>
        </is>
      </c>
      <c r="U52" s="103" t="n">
        <v>0</v>
      </c>
      <c r="V52" s="102" t="inlineStr">
        <is>
          <t>—</t>
        </is>
      </c>
    </row>
    <row r="53">
      <c r="A53" s="96" t="inlineStr">
        <is>
          <t>CLE072501</t>
        </is>
      </c>
      <c r="B53" s="97" t="inlineStr">
        <is>
          <t>P050282</t>
        </is>
      </c>
      <c r="C53" s="97" t="inlineStr">
        <is>
          <t>Clemosa A Bud</t>
        </is>
      </c>
      <c r="D53" s="98" t="inlineStr">
        <is>
          <t>✓ COMPLETE</t>
        </is>
      </c>
      <c r="E53" s="105" t="inlineStr">
        <is>
          <t>✓</t>
        </is>
      </c>
      <c r="F53" s="105" t="inlineStr">
        <is>
          <t>✓</t>
        </is>
      </c>
      <c r="G53" s="98" t="inlineStr">
        <is>
          <t>✓</t>
        </is>
      </c>
      <c r="H53" s="98" t="inlineStr">
        <is>
          <t>✓</t>
        </is>
      </c>
      <c r="I53" s="98" t="inlineStr">
        <is>
          <t>✓</t>
        </is>
      </c>
      <c r="J53" s="98" t="inlineStr">
        <is>
          <t>✓</t>
        </is>
      </c>
      <c r="K53" s="105" t="inlineStr">
        <is>
          <t>✓</t>
        </is>
      </c>
      <c r="L53" s="98" t="inlineStr">
        <is>
          <t>✓</t>
        </is>
      </c>
      <c r="M53" s="100" t="inlineStr">
        <is>
          <t>✓</t>
        </is>
      </c>
      <c r="N53" s="100" t="inlineStr">
        <is>
          <t>✓</t>
        </is>
      </c>
      <c r="O53" s="100" t="inlineStr">
        <is>
          <t>✓</t>
        </is>
      </c>
      <c r="P53" s="100" t="inlineStr">
        <is>
          <t>✓</t>
        </is>
      </c>
      <c r="Q53" s="101" t="n">
        <v>0</v>
      </c>
      <c r="R53" s="102" t="inlineStr">
        <is>
          <t>—</t>
        </is>
      </c>
      <c r="S53" s="103" t="n">
        <v>6</v>
      </c>
      <c r="T53" s="102" t="inlineStr">
        <is>
          <t>[CNP] 1; [FHM-K] 1; [FHM-M] 1; [IJZ] 1; [IJZ-MB] 1; [PP] 1</t>
        </is>
      </c>
      <c r="U53" s="103" t="n">
        <v>0</v>
      </c>
      <c r="V53" s="102" t="inlineStr">
        <is>
          <t>—</t>
        </is>
      </c>
    </row>
    <row r="54">
      <c r="A54" s="96" t="inlineStr">
        <is>
          <t>GP072501/1</t>
        </is>
      </c>
      <c r="B54" s="97" t="inlineStr">
        <is>
          <t>P050292</t>
        </is>
      </c>
      <c r="C54" s="97" t="inlineStr">
        <is>
          <t>Grape Pie</t>
        </is>
      </c>
      <c r="D54" s="98" t="inlineStr">
        <is>
          <t>✓ COMPLETE</t>
        </is>
      </c>
      <c r="E54" s="105" t="inlineStr">
        <is>
          <t>✓</t>
        </is>
      </c>
      <c r="F54" s="105"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6</v>
      </c>
      <c r="T54" s="102" t="inlineStr">
        <is>
          <t>[CNP] 1; [FHM-K] 1; [IJZ] 1; [IJZ-MB] 2; [PP] 1</t>
        </is>
      </c>
      <c r="U54" s="103" t="n">
        <v>0</v>
      </c>
      <c r="V54" s="102" t="inlineStr">
        <is>
          <t>—</t>
        </is>
      </c>
    </row>
    <row r="55">
      <c r="A55" s="96" t="inlineStr">
        <is>
          <t>GP072501/2</t>
        </is>
      </c>
      <c r="B55" s="97" t="inlineStr">
        <is>
          <t>P050302</t>
        </is>
      </c>
      <c r="C55" s="97" t="inlineStr">
        <is>
          <t>Grape Pie</t>
        </is>
      </c>
      <c r="D55" s="98" t="inlineStr">
        <is>
          <t>✓ COMPLETE</t>
        </is>
      </c>
      <c r="E55" s="105" t="inlineStr">
        <is>
          <t>✓</t>
        </is>
      </c>
      <c r="F55" s="105"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6</v>
      </c>
      <c r="T55" s="102" t="inlineStr">
        <is>
          <t>[CNP] 1; [FHM-K] 1; [FHM-M] 1; [IJZ] 1; [IJZ-MB] 1; [PP] 1</t>
        </is>
      </c>
      <c r="U55" s="103" t="n">
        <v>0</v>
      </c>
      <c r="V55" s="102" t="inlineStr">
        <is>
          <t>—</t>
        </is>
      </c>
    </row>
    <row r="56">
      <c r="A56" s="96" t="inlineStr">
        <is>
          <t>GP082501/1</t>
        </is>
      </c>
      <c r="B56" s="97" t="inlineStr">
        <is>
          <t>P050312</t>
        </is>
      </c>
      <c r="C56" s="97" t="inlineStr">
        <is>
          <t>Grape Pie</t>
        </is>
      </c>
      <c r="D56" s="98" t="inlineStr">
        <is>
          <t>✓ COMPLETE</t>
        </is>
      </c>
      <c r="E56" s="105" t="inlineStr">
        <is>
          <t>✓</t>
        </is>
      </c>
      <c r="F56" s="105"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6</v>
      </c>
      <c r="T56" s="102" t="inlineStr">
        <is>
          <t>[CNP] 1; [FHM-K] 1; [FHM-M] 1; [IJZ] 1; [IJZ-MB] 1; [PP] 1</t>
        </is>
      </c>
      <c r="U56" s="103" t="n">
        <v>0</v>
      </c>
      <c r="V56" s="102" t="inlineStr">
        <is>
          <t>—</t>
        </is>
      </c>
    </row>
    <row r="57">
      <c r="A57" s="96" t="inlineStr">
        <is>
          <t>GP082501/2</t>
        </is>
      </c>
      <c r="B57" s="97" t="inlineStr">
        <is>
          <t>P050322</t>
        </is>
      </c>
      <c r="C57" s="97" t="inlineStr">
        <is>
          <t>Grape Pie</t>
        </is>
      </c>
      <c r="D57" s="98" t="inlineStr">
        <is>
          <t>✓ COMPLETE</t>
        </is>
      </c>
      <c r="E57" s="105" t="inlineStr">
        <is>
          <t>✓</t>
        </is>
      </c>
      <c r="F57" s="105" t="inlineStr">
        <is>
          <t>✓</t>
        </is>
      </c>
      <c r="G57" s="100" t="inlineStr">
        <is>
          <t>✓</t>
        </is>
      </c>
      <c r="H57" s="100" t="inlineStr">
        <is>
          <t>✓</t>
        </is>
      </c>
      <c r="I57" s="100" t="inlineStr">
        <is>
          <t>✓</t>
        </is>
      </c>
      <c r="J57" s="100"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6</v>
      </c>
      <c r="T57" s="102" t="inlineStr">
        <is>
          <t>[CNP] 1; [FHM-K] 1; [FHM-M] 1; [IJZ] 1; [IJZ-MB] 1; [PP] 1</t>
        </is>
      </c>
      <c r="U57" s="103" t="n">
        <v>0</v>
      </c>
      <c r="V57" s="102" t="inlineStr">
        <is>
          <t>—</t>
        </is>
      </c>
    </row>
    <row r="58">
      <c r="A58" s="96" t="inlineStr">
        <is>
          <t>WC082501</t>
        </is>
      </c>
      <c r="B58" s="97" t="inlineStr">
        <is>
          <t>P060012</t>
        </is>
      </c>
      <c r="C58" s="97" t="inlineStr">
        <is>
          <t>Wedding Crusher</t>
        </is>
      </c>
      <c r="D58" s="98" t="inlineStr">
        <is>
          <t>✓ COMPLETE</t>
        </is>
      </c>
      <c r="E58" s="105" t="inlineStr">
        <is>
          <t>✓</t>
        </is>
      </c>
      <c r="F58" s="105" t="inlineStr">
        <is>
          <t>✓</t>
        </is>
      </c>
      <c r="G58" s="100" t="inlineStr">
        <is>
          <t>✓</t>
        </is>
      </c>
      <c r="H58" s="100" t="inlineStr">
        <is>
          <t>✓</t>
        </is>
      </c>
      <c r="I58" s="100" t="inlineStr">
        <is>
          <t>✓</t>
        </is>
      </c>
      <c r="J58" s="98" t="inlineStr">
        <is>
          <t>✓</t>
        </is>
      </c>
      <c r="K58" s="105" t="inlineStr">
        <is>
          <t>✓</t>
        </is>
      </c>
      <c r="L58" s="100"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c r="U58" s="103" t="n">
        <v>0</v>
      </c>
      <c r="V58" s="102" t="inlineStr">
        <is>
          <t>—</t>
        </is>
      </c>
    </row>
    <row r="59">
      <c r="A59" s="96" t="inlineStr">
        <is>
          <t>CJ082501/1</t>
        </is>
      </c>
      <c r="B59" s="97" t="inlineStr">
        <is>
          <t>P060022</t>
        </is>
      </c>
      <c r="C59" s="97" t="inlineStr">
        <is>
          <t>Cap Junky</t>
        </is>
      </c>
      <c r="D59" s="98" t="inlineStr">
        <is>
          <t>✓ COMPLETE</t>
        </is>
      </c>
      <c r="E59" s="105" t="inlineStr">
        <is>
          <t>✓</t>
        </is>
      </c>
      <c r="F59" s="105"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6</v>
      </c>
      <c r="T59" s="102" t="inlineStr">
        <is>
          <t>[CNP] 1; [FHM-K] 1; [FHM-M] 1; [IJZ] 1; [IJZ-MB] 1; [PP] 1</t>
        </is>
      </c>
      <c r="U59" s="103" t="n">
        <v>0</v>
      </c>
      <c r="V59" s="102" t="inlineStr">
        <is>
          <t>—</t>
        </is>
      </c>
    </row>
    <row r="60">
      <c r="A60" s="96" t="inlineStr">
        <is>
          <t>CJ082501/2</t>
        </is>
      </c>
      <c r="B60" s="97" t="inlineStr">
        <is>
          <t>P060032</t>
        </is>
      </c>
      <c r="C60" s="97" t="inlineStr">
        <is>
          <t>Cap Junky</t>
        </is>
      </c>
      <c r="D60" s="98" t="inlineStr">
        <is>
          <t>✓ COMPLETE</t>
        </is>
      </c>
      <c r="E60" s="105" t="inlineStr">
        <is>
          <t>✓</t>
        </is>
      </c>
      <c r="F60" s="105" t="inlineStr">
        <is>
          <t>✓</t>
        </is>
      </c>
      <c r="G60" s="100" t="inlineStr">
        <is>
          <t>✓</t>
        </is>
      </c>
      <c r="H60" s="100" t="inlineStr">
        <is>
          <t>✓</t>
        </is>
      </c>
      <c r="I60" s="100" t="inlineStr">
        <is>
          <t>✓</t>
        </is>
      </c>
      <c r="J60" s="100"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6</v>
      </c>
      <c r="T60" s="102" t="inlineStr">
        <is>
          <t>[CNP] 1; [FHM-K] 1; [FHM-M] 1; [IJZ] 1; [IJZ-MB] 1; [PP] 1</t>
        </is>
      </c>
      <c r="U60" s="103" t="n">
        <v>0</v>
      </c>
      <c r="V60" s="102" t="inlineStr">
        <is>
          <t>—</t>
        </is>
      </c>
    </row>
    <row r="61">
      <c r="A61" s="96" t="inlineStr">
        <is>
          <t>OPM092501</t>
        </is>
      </c>
      <c r="B61" s="97" t="inlineStr">
        <is>
          <t>P060042</t>
        </is>
      </c>
      <c r="C61" s="97" t="inlineStr">
        <is>
          <t>Orange Punch Mimosa</t>
        </is>
      </c>
      <c r="D61" s="98" t="inlineStr">
        <is>
          <t>✓ COMPLETE</t>
        </is>
      </c>
      <c r="E61" s="105" t="inlineStr">
        <is>
          <t>✓</t>
        </is>
      </c>
      <c r="F61" s="105" t="inlineStr">
        <is>
          <t>✓</t>
        </is>
      </c>
      <c r="G61" s="100" t="inlineStr">
        <is>
          <t>✓</t>
        </is>
      </c>
      <c r="H61" s="100" t="inlineStr">
        <is>
          <t>✓</t>
        </is>
      </c>
      <c r="I61" s="100" t="inlineStr">
        <is>
          <t>✓</t>
        </is>
      </c>
      <c r="J61" s="98"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c r="U61" s="103" t="n">
        <v>0</v>
      </c>
      <c r="V61" s="102" t="inlineStr">
        <is>
          <t>—</t>
        </is>
      </c>
    </row>
    <row r="62">
      <c r="A62" s="96" t="inlineStr">
        <is>
          <t>AB092501</t>
        </is>
      </c>
      <c r="B62" s="97" t="inlineStr">
        <is>
          <t>P060052</t>
        </is>
      </c>
      <c r="C62" s="97" t="inlineStr">
        <is>
          <t>Apple and Banana</t>
        </is>
      </c>
      <c r="D62" s="98" t="inlineStr">
        <is>
          <t>✓ COMPLETE</t>
        </is>
      </c>
      <c r="E62" s="105" t="inlineStr">
        <is>
          <t>✓</t>
        </is>
      </c>
      <c r="F62" s="105" t="inlineStr">
        <is>
          <t>✓</t>
        </is>
      </c>
      <c r="G62" s="98" t="inlineStr">
        <is>
          <t>✓</t>
        </is>
      </c>
      <c r="H62" s="98" t="inlineStr">
        <is>
          <t>✓</t>
        </is>
      </c>
      <c r="I62" s="98" t="inlineStr">
        <is>
          <t>✓</t>
        </is>
      </c>
      <c r="J62" s="98" t="inlineStr">
        <is>
          <t>✓</t>
        </is>
      </c>
      <c r="K62" s="105" t="inlineStr">
        <is>
          <t>✓</t>
        </is>
      </c>
      <c r="L62" s="98" t="inlineStr">
        <is>
          <t>✓</t>
        </is>
      </c>
      <c r="M62" s="100" t="inlineStr">
        <is>
          <t>✓</t>
        </is>
      </c>
      <c r="N62" s="100" t="inlineStr">
        <is>
          <t>✓</t>
        </is>
      </c>
      <c r="O62" s="100" t="inlineStr">
        <is>
          <t>✓</t>
        </is>
      </c>
      <c r="P62" s="100" t="inlineStr">
        <is>
          <t>✓</t>
        </is>
      </c>
      <c r="Q62" s="101" t="n">
        <v>0</v>
      </c>
      <c r="R62" s="102" t="inlineStr">
        <is>
          <t>—</t>
        </is>
      </c>
      <c r="S62" s="103" t="n">
        <v>6</v>
      </c>
      <c r="T62" s="102" t="inlineStr">
        <is>
          <t>[CNP] 1; [FHM-K] 1; [IJZ] 1; [IJZ-MB] 2; [PP] 1</t>
        </is>
      </c>
      <c r="U62" s="103" t="n">
        <v>0</v>
      </c>
      <c r="V62" s="102" t="inlineStr">
        <is>
          <t>—</t>
        </is>
      </c>
    </row>
    <row r="63">
      <c r="A63" s="96" t="inlineStr">
        <is>
          <t>PM092501</t>
        </is>
      </c>
      <c r="B63" s="97" t="inlineStr">
        <is>
          <t>P060062</t>
        </is>
      </c>
      <c r="C63" s="97" t="inlineStr">
        <is>
          <t>Permanent Marker</t>
        </is>
      </c>
      <c r="D63" s="98" t="inlineStr">
        <is>
          <t>✓ COMPLETE</t>
        </is>
      </c>
      <c r="E63" s="105" t="inlineStr">
        <is>
          <t>✓</t>
        </is>
      </c>
      <c r="F63" s="105" t="inlineStr">
        <is>
          <t>✓</t>
        </is>
      </c>
      <c r="G63" s="100" t="inlineStr">
        <is>
          <t>✓</t>
        </is>
      </c>
      <c r="H63" s="100" t="inlineStr">
        <is>
          <t>✓</t>
        </is>
      </c>
      <c r="I63" s="100" t="inlineStr">
        <is>
          <t>✓</t>
        </is>
      </c>
      <c r="J63" s="100" t="inlineStr">
        <is>
          <t>✓</t>
        </is>
      </c>
      <c r="K63" s="105" t="inlineStr">
        <is>
          <t>✓</t>
        </is>
      </c>
      <c r="L63" s="100" t="inlineStr">
        <is>
          <t>✓</t>
        </is>
      </c>
      <c r="M63" s="100" t="inlineStr">
        <is>
          <t>✓</t>
        </is>
      </c>
      <c r="N63" s="100" t="inlineStr">
        <is>
          <t>✓</t>
        </is>
      </c>
      <c r="O63" s="100" t="inlineStr">
        <is>
          <t>✓</t>
        </is>
      </c>
      <c r="P63" s="100" t="inlineStr">
        <is>
          <t>✓</t>
        </is>
      </c>
      <c r="Q63" s="101" t="n">
        <v>0</v>
      </c>
      <c r="R63" s="102" t="inlineStr">
        <is>
          <t>—</t>
        </is>
      </c>
      <c r="S63" s="103" t="n">
        <v>6</v>
      </c>
      <c r="T63" s="102" t="inlineStr">
        <is>
          <t>[CNP] 1; [FHM-K] 1; [FHM-M] 1; [IJZ] 1; [IJZ-MB] 1; [PP] 1</t>
        </is>
      </c>
      <c r="U63" s="103" t="n">
        <v>0</v>
      </c>
      <c r="V63" s="102" t="inlineStr">
        <is>
          <t>—</t>
        </is>
      </c>
    </row>
    <row r="64">
      <c r="A64" s="96" t="inlineStr">
        <is>
          <t>CJ092501</t>
        </is>
      </c>
      <c r="B64" s="97" t="inlineStr">
        <is>
          <t>P060072</t>
        </is>
      </c>
      <c r="C64" s="97" t="inlineStr">
        <is>
          <t>Cap Junky</t>
        </is>
      </c>
      <c r="D64" s="98" t="inlineStr">
        <is>
          <t>✓ COMPLETE</t>
        </is>
      </c>
      <c r="E64" s="105" t="inlineStr">
        <is>
          <t>✓</t>
        </is>
      </c>
      <c r="F64" s="105" t="inlineStr">
        <is>
          <t>✓</t>
        </is>
      </c>
      <c r="G64" s="100" t="inlineStr">
        <is>
          <t>✓</t>
        </is>
      </c>
      <c r="H64" s="100" t="inlineStr">
        <is>
          <t>✓</t>
        </is>
      </c>
      <c r="I64" s="100" t="inlineStr">
        <is>
          <t>✓</t>
        </is>
      </c>
      <c r="J64" s="98"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c r="U64" s="103" t="n">
        <v>0</v>
      </c>
      <c r="V64" s="102" t="inlineStr">
        <is>
          <t>—</t>
        </is>
      </c>
    </row>
    <row r="65">
      <c r="A65" s="96" t="inlineStr">
        <is>
          <t>SJ0925021</t>
        </is>
      </c>
      <c r="B65" s="97" t="inlineStr">
        <is>
          <t>P060082</t>
        </is>
      </c>
      <c r="C65" s="97" t="inlineStr">
        <is>
          <t>Sleepy Joe</t>
        </is>
      </c>
      <c r="D65" s="98" t="inlineStr">
        <is>
          <t>✓ COMPLETE</t>
        </is>
      </c>
      <c r="E65" s="105" t="inlineStr">
        <is>
          <t>✓</t>
        </is>
      </c>
      <c r="F65" s="105"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6</v>
      </c>
      <c r="T65" s="102" t="inlineStr">
        <is>
          <t>[CNP] 1; [FHM-K] 1; [FHM-M] 1; [IJZ] 1; [IJZ-MB] 1; [PP] 1</t>
        </is>
      </c>
      <c r="U65" s="103" t="n">
        <v>0</v>
      </c>
      <c r="V65" s="102" t="inlineStr">
        <is>
          <t>—</t>
        </is>
      </c>
    </row>
    <row r="66">
      <c r="A66" s="96" t="inlineStr">
        <is>
          <t>GP092501</t>
        </is>
      </c>
      <c r="B66" s="97" t="inlineStr">
        <is>
          <t>P060092</t>
        </is>
      </c>
      <c r="C66" s="97" t="inlineStr">
        <is>
          <t>Grape Pie</t>
        </is>
      </c>
      <c r="D66" s="98" t="inlineStr">
        <is>
          <t>✓ COMPLETE</t>
        </is>
      </c>
      <c r="E66" s="105" t="inlineStr">
        <is>
          <t>✓</t>
        </is>
      </c>
      <c r="F66" s="105"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6</v>
      </c>
      <c r="T66" s="102" t="inlineStr">
        <is>
          <t>[CNP] 1; [FHM-K] 1; [FHM-M] 1; [IJZ] 1; [IJZ-MB] 1; [PP] 1</t>
        </is>
      </c>
      <c r="U66" s="103" t="n">
        <v>0</v>
      </c>
      <c r="V66" s="102" t="inlineStr">
        <is>
          <t>—</t>
        </is>
      </c>
    </row>
    <row r="67">
      <c r="A67" s="96" t="inlineStr">
        <is>
          <t>CC012601/1</t>
        </is>
      </c>
      <c r="B67" s="97" t="inlineStr">
        <is>
          <t>P060332</t>
        </is>
      </c>
      <c r="C67" s="97" t="inlineStr"/>
      <c r="D67" s="98" t="inlineStr">
        <is>
          <t>❌ 4 MISSING</t>
        </is>
      </c>
      <c r="E67" s="105" t="inlineStr">
        <is>
          <t>✓</t>
        </is>
      </c>
      <c r="F67" s="105" t="inlineStr">
        <is>
          <t>✓</t>
        </is>
      </c>
      <c r="G67" s="100" t="inlineStr">
        <is>
          <t>✓</t>
        </is>
      </c>
      <c r="H67" s="100" t="inlineStr">
        <is>
          <t>✓</t>
        </is>
      </c>
      <c r="I67" s="100" t="inlineStr">
        <is>
          <t>✓</t>
        </is>
      </c>
      <c r="J67" s="100" t="inlineStr">
        <is>
          <t>✓</t>
        </is>
      </c>
      <c r="K67" s="105" t="inlineStr">
        <is>
          <t>✓</t>
        </is>
      </c>
      <c r="L67" s="105" t="inlineStr">
        <is>
          <t>✗</t>
        </is>
      </c>
      <c r="M67" s="118" t="inlineStr">
        <is>
          <t>○</t>
        </is>
      </c>
      <c r="N67" s="100" t="inlineStr">
        <is>
          <t>✓</t>
        </is>
      </c>
      <c r="O67" s="99" t="inlineStr">
        <is>
          <t>✗</t>
        </is>
      </c>
      <c r="P67" s="99" t="inlineStr">
        <is>
          <t>✗</t>
        </is>
      </c>
      <c r="Q67" s="101" t="n">
        <v>4</v>
      </c>
      <c r="R67" s="104" t="inlineStr">
        <is>
          <t>#8 LoD; #9 Microbiology (on file 09.09, not recorded); #11 Heavy metals; #12 Pesticides</t>
        </is>
      </c>
      <c r="S67" s="103" t="n">
        <v>3</v>
      </c>
      <c r="T67" s="102" t="inlineStr">
        <is>
          <t>[FHM-K] 1; [FHM-M] 1; [PP] 1</t>
        </is>
      </c>
      <c r="U67" s="103" t="n">
        <v>1</v>
      </c>
      <c r="V67" s="102" t="inlineStr">
        <is>
          <t>[IJZ-MB] 1</t>
        </is>
      </c>
    </row>
    <row r="68" ht="26" customHeight="1" s="70">
      <c r="A68" s="96" t="inlineStr">
        <is>
          <t>FB012602*</t>
        </is>
      </c>
      <c r="B68" s="97" t="inlineStr">
        <is>
          <t>P060352</t>
        </is>
      </c>
      <c r="C68" s="97" t="inlineStr">
        <is>
          <t>Fat Bastard</t>
        </is>
      </c>
      <c r="D68" s="98" t="inlineStr">
        <is>
          <t>❌ 4 MISSING</t>
        </is>
      </c>
      <c r="E68" s="105" t="inlineStr">
        <is>
          <t>✓</t>
        </is>
      </c>
      <c r="F68" s="105" t="inlineStr">
        <is>
          <t>✓</t>
        </is>
      </c>
      <c r="G68" s="100" t="inlineStr">
        <is>
          <t>✓</t>
        </is>
      </c>
      <c r="H68" s="100" t="inlineStr">
        <is>
          <t>✓</t>
        </is>
      </c>
      <c r="I68" s="100" t="inlineStr">
        <is>
          <t>✓</t>
        </is>
      </c>
      <c r="J68" s="100" t="inlineStr">
        <is>
          <t>✓</t>
        </is>
      </c>
      <c r="K68" s="105" t="inlineStr">
        <is>
          <t>✓</t>
        </is>
      </c>
      <c r="L68" s="105" t="inlineStr">
        <is>
          <t>✗</t>
        </is>
      </c>
      <c r="M68" s="118" t="inlineStr">
        <is>
          <t>○</t>
        </is>
      </c>
      <c r="N68" s="100" t="inlineStr">
        <is>
          <t>✓</t>
        </is>
      </c>
      <c r="O68" s="99" t="inlineStr">
        <is>
          <t>✗</t>
        </is>
      </c>
      <c r="P68" s="99" t="inlineStr">
        <is>
          <t>✗</t>
        </is>
      </c>
      <c r="Q68" s="101" t="n">
        <v>4</v>
      </c>
      <c r="R68" s="104" t="inlineStr">
        <is>
          <t>#8 LoD; #9 Microbiology (on file 09.09, not recorded); #11 Heavy metals; #12 Pesticides</t>
        </is>
      </c>
      <c r="S68" s="103" t="n">
        <v>3</v>
      </c>
      <c r="T68" s="102" t="inlineStr">
        <is>
          <t>[FHM-K] 1; [FHM-M] 1; [PP] 1</t>
        </is>
      </c>
      <c r="U68" s="103" t="n">
        <v>1</v>
      </c>
      <c r="V68" s="102" t="inlineStr">
        <is>
          <t>[IJZ-MB] 1</t>
        </is>
      </c>
    </row>
    <row r="69" ht="26" customHeight="1" s="70">
      <c r="A69" s="96" t="inlineStr">
        <is>
          <t>SCR012603</t>
        </is>
      </c>
      <c r="B69" s="97" t="inlineStr">
        <is>
          <t>P060382</t>
        </is>
      </c>
      <c r="C69" s="97" t="inlineStr">
        <is>
          <t>Scrambler</t>
        </is>
      </c>
      <c r="D69" s="98" t="inlineStr">
        <is>
          <t>❌ 4 MISSING</t>
        </is>
      </c>
      <c r="E69" s="105" t="inlineStr">
        <is>
          <t>✓</t>
        </is>
      </c>
      <c r="F69" s="105" t="inlineStr">
        <is>
          <t>✓</t>
        </is>
      </c>
      <c r="G69" s="100" t="inlineStr">
        <is>
          <t>✓</t>
        </is>
      </c>
      <c r="H69" s="100" t="inlineStr">
        <is>
          <t>✓</t>
        </is>
      </c>
      <c r="I69" s="100" t="inlineStr">
        <is>
          <t>✓</t>
        </is>
      </c>
      <c r="J69" s="100" t="inlineStr">
        <is>
          <t>✓</t>
        </is>
      </c>
      <c r="K69" s="105" t="inlineStr">
        <is>
          <t>✓</t>
        </is>
      </c>
      <c r="L69" s="105" t="inlineStr">
        <is>
          <t>✗</t>
        </is>
      </c>
      <c r="M69" s="118" t="inlineStr">
        <is>
          <t>○</t>
        </is>
      </c>
      <c r="N69" s="100" t="inlineStr">
        <is>
          <t>✓</t>
        </is>
      </c>
      <c r="O69" s="99" t="inlineStr">
        <is>
          <t>✗</t>
        </is>
      </c>
      <c r="P69" s="99" t="inlineStr">
        <is>
          <t>✗</t>
        </is>
      </c>
      <c r="Q69" s="101" t="n">
        <v>4</v>
      </c>
      <c r="R69" s="104" t="inlineStr">
        <is>
          <t>#8 LoD; #9 Microbiology (on file 09.09, not recorded); #11 Heavy metals; #12 Pesticides</t>
        </is>
      </c>
      <c r="S69" s="103" t="n">
        <v>3</v>
      </c>
      <c r="T69" s="102" t="inlineStr">
        <is>
          <t>[FHM-K] 1; [FHM-M] 1; [PP] 1</t>
        </is>
      </c>
      <c r="U69" s="103" t="n">
        <v>1</v>
      </c>
      <c r="V69" s="102" t="inlineStr">
        <is>
          <t>[IJZ-MB] 1</t>
        </is>
      </c>
    </row>
    <row r="70" ht="26" customHeight="1" s="70">
      <c r="A70" s="96" t="inlineStr">
        <is>
          <t>— not recorded — (P160012)</t>
        </is>
      </c>
      <c r="B70" s="97" t="inlineStr">
        <is>
          <t>P160012</t>
        </is>
      </c>
      <c r="C70" s="97" t="inlineStr"/>
      <c r="D70" s="98" t="inlineStr">
        <is>
          <t>○ 4 ON FILE, NOT RECORDED</t>
        </is>
      </c>
      <c r="E70" s="98" t="inlineStr">
        <is>
          <t>✓</t>
        </is>
      </c>
      <c r="F70" s="100" t="inlineStr">
        <is>
          <t>✓</t>
        </is>
      </c>
      <c r="G70" s="100" t="inlineStr">
        <is>
          <t>✓</t>
        </is>
      </c>
      <c r="H70" s="100" t="inlineStr">
        <is>
          <t>✓</t>
        </is>
      </c>
      <c r="I70" s="100" t="inlineStr">
        <is>
          <t>✓</t>
        </is>
      </c>
      <c r="J70" s="100" t="inlineStr">
        <is>
          <t>✓</t>
        </is>
      </c>
      <c r="K70" s="98" t="inlineStr">
        <is>
          <t>✓</t>
        </is>
      </c>
      <c r="L70" s="100" t="inlineStr">
        <is>
          <t>✓</t>
        </is>
      </c>
      <c r="M70" s="118" t="inlineStr">
        <is>
          <t>○</t>
        </is>
      </c>
      <c r="N70" s="118" t="inlineStr">
        <is>
          <t>○</t>
        </is>
      </c>
      <c r="O70" s="118" t="inlineStr">
        <is>
          <t>○</t>
        </is>
      </c>
      <c r="P70" s="118" t="inlineStr">
        <is>
          <t>○</t>
        </is>
      </c>
      <c r="Q70" s="101" t="n">
        <v>4</v>
      </c>
      <c r="R70" s="104" t="inlineStr">
        <is>
          <t>#9 Microbiology (on file 09.09, not recorded); #10 Mycotoxins (on file 09.09, not recorded); #11 Heavy metals (on file 09.09, not recorded); #12 Pesticides (on file 09.09, not recorded)</t>
        </is>
      </c>
      <c r="S70" s="103" t="n">
        <v>1</v>
      </c>
      <c r="T70" s="102" t="inlineStr">
        <is>
          <t>[CNP] 1</t>
        </is>
      </c>
      <c r="U70" s="103" t="n">
        <v>2</v>
      </c>
      <c r="V70" s="102" t="inlineStr">
        <is>
          <t>[IJZ] 1; [IJZ-MB] 1</t>
        </is>
      </c>
    </row>
    <row r="71" ht="26" customHeight="1" s="70">
      <c r="A71" s="96" t="inlineStr">
        <is>
          <t>— not recorded — (P160022)</t>
        </is>
      </c>
      <c r="B71" s="97" t="inlineStr">
        <is>
          <t>P160022</t>
        </is>
      </c>
      <c r="C71" s="97" t="inlineStr"/>
      <c r="D71" s="98" t="inlineStr">
        <is>
          <t>○ 4 ON FILE, NOT RECORDED</t>
        </is>
      </c>
      <c r="E71" s="98" t="inlineStr">
        <is>
          <t>✓</t>
        </is>
      </c>
      <c r="F71" s="100" t="inlineStr">
        <is>
          <t>✓</t>
        </is>
      </c>
      <c r="G71" s="100" t="inlineStr">
        <is>
          <t>✓</t>
        </is>
      </c>
      <c r="H71" s="100" t="inlineStr">
        <is>
          <t>✓</t>
        </is>
      </c>
      <c r="I71" s="100" t="inlineStr">
        <is>
          <t>✓</t>
        </is>
      </c>
      <c r="J71" s="100" t="inlineStr">
        <is>
          <t>✓</t>
        </is>
      </c>
      <c r="K71" s="98" t="inlineStr">
        <is>
          <t>✓</t>
        </is>
      </c>
      <c r="L71" s="100" t="inlineStr">
        <is>
          <t>✓</t>
        </is>
      </c>
      <c r="M71" s="118" t="inlineStr">
        <is>
          <t>○</t>
        </is>
      </c>
      <c r="N71" s="118" t="inlineStr">
        <is>
          <t>○</t>
        </is>
      </c>
      <c r="O71" s="118" t="inlineStr">
        <is>
          <t>○</t>
        </is>
      </c>
      <c r="P71" s="118" t="inlineStr">
        <is>
          <t>○</t>
        </is>
      </c>
      <c r="Q71" s="101" t="n">
        <v>4</v>
      </c>
      <c r="R71" s="104" t="inlineStr">
        <is>
          <t>#9 Microbiology (on file 09.09, not recorded); #10 Mycotoxins (on file 09.09, not recorded); #11 Heavy metals (on file 09.09, not recorded); #12 Pesticides (on file 09.09, not recorded)</t>
        </is>
      </c>
      <c r="S71" s="103" t="n">
        <v>1</v>
      </c>
      <c r="T71" s="102" t="inlineStr">
        <is>
          <t>[CNP] 1</t>
        </is>
      </c>
      <c r="U71" s="103" t="n">
        <v>2</v>
      </c>
      <c r="V71" s="102" t="inlineStr">
        <is>
          <t>[IJZ] 1; [IJZ-MB] 1</t>
        </is>
      </c>
    </row>
    <row r="72" ht="26" customHeight="1" s="70">
      <c r="A72" s="96" t="inlineStr">
        <is>
          <t>— not recorded — (P160032)</t>
        </is>
      </c>
      <c r="B72" s="97" t="inlineStr">
        <is>
          <t>P160032</t>
        </is>
      </c>
      <c r="C72" s="97" t="inlineStr"/>
      <c r="D72" s="98" t="inlineStr">
        <is>
          <t>○ 4 ON FILE, NOT RECORDED</t>
        </is>
      </c>
      <c r="E72" s="98" t="inlineStr">
        <is>
          <t>✓</t>
        </is>
      </c>
      <c r="F72" s="100" t="inlineStr">
        <is>
          <t>✓</t>
        </is>
      </c>
      <c r="G72" s="100" t="inlineStr">
        <is>
          <t>✓</t>
        </is>
      </c>
      <c r="H72" s="100" t="inlineStr">
        <is>
          <t>✓</t>
        </is>
      </c>
      <c r="I72" s="100" t="inlineStr">
        <is>
          <t>✓</t>
        </is>
      </c>
      <c r="J72" s="100" t="inlineStr">
        <is>
          <t>✓</t>
        </is>
      </c>
      <c r="K72" s="98" t="inlineStr">
        <is>
          <t>✓</t>
        </is>
      </c>
      <c r="L72" s="100" t="inlineStr">
        <is>
          <t>✓</t>
        </is>
      </c>
      <c r="M72" s="118" t="inlineStr">
        <is>
          <t>○</t>
        </is>
      </c>
      <c r="N72" s="118" t="inlineStr">
        <is>
          <t>○</t>
        </is>
      </c>
      <c r="O72" s="118" t="inlineStr">
        <is>
          <t>○</t>
        </is>
      </c>
      <c r="P72" s="118" t="inlineStr">
        <is>
          <t>○</t>
        </is>
      </c>
      <c r="Q72" s="101" t="n">
        <v>4</v>
      </c>
      <c r="R72" s="104" t="inlineStr">
        <is>
          <t>#9 Microbiology (on file 09.09, not recorded); #10 Mycotoxins (on file 09.09, not recorded); #11 Heavy metals (on file 09.09, not recorded); #12 Pesticides (on file 09.09, not recorded)</t>
        </is>
      </c>
      <c r="S72" s="103" t="n">
        <v>1</v>
      </c>
      <c r="T72" s="102" t="inlineStr">
        <is>
          <t>[CNP] 1</t>
        </is>
      </c>
      <c r="U72" s="103" t="n">
        <v>2</v>
      </c>
      <c r="V72" s="102" t="inlineStr">
        <is>
          <t>[IJZ] 1; [IJZ-MB] 1</t>
        </is>
      </c>
    </row>
    <row r="73" ht="26" customHeight="1" s="70">
      <c r="A73" s="96" t="inlineStr">
        <is>
          <t>PM112501</t>
        </is>
      </c>
      <c r="B73" s="97" t="inlineStr">
        <is>
          <t>P060232</t>
        </is>
      </c>
      <c r="C73" s="97" t="inlineStr">
        <is>
          <t>Permanent Marker</t>
        </is>
      </c>
      <c r="D73" s="98" t="inlineStr">
        <is>
          <t>○ 3 ON FILE, NOT RECORDED</t>
        </is>
      </c>
      <c r="E73" s="105" t="inlineStr">
        <is>
          <t>✓</t>
        </is>
      </c>
      <c r="F73" s="105" t="inlineStr">
        <is>
          <t>✓</t>
        </is>
      </c>
      <c r="G73" s="100" t="inlineStr">
        <is>
          <t>✓</t>
        </is>
      </c>
      <c r="H73" s="100" t="inlineStr">
        <is>
          <t>✓</t>
        </is>
      </c>
      <c r="I73" s="100" t="inlineStr">
        <is>
          <t>✓</t>
        </is>
      </c>
      <c r="J73" s="98" t="inlineStr">
        <is>
          <t>✓</t>
        </is>
      </c>
      <c r="K73" s="105" t="inlineStr">
        <is>
          <t>✓</t>
        </is>
      </c>
      <c r="L73" s="100" t="inlineStr">
        <is>
          <t>✓</t>
        </is>
      </c>
      <c r="M73" s="118" t="inlineStr">
        <is>
          <t>○</t>
        </is>
      </c>
      <c r="N73" s="98" t="inlineStr">
        <is>
          <t>✓</t>
        </is>
      </c>
      <c r="O73" s="118" t="inlineStr">
        <is>
          <t>○</t>
        </is>
      </c>
      <c r="P73" s="118" t="inlineStr">
        <is>
          <t>○</t>
        </is>
      </c>
      <c r="Q73" s="101" t="n">
        <v>3</v>
      </c>
      <c r="R73" s="104" t="inlineStr">
        <is>
          <t>#9 Microbiology (on file 09.09, not recorded); #11 Heavy metals (on file 09.09, not recorded); #12 Pesticides (on file 09.09, not recorded)</t>
        </is>
      </c>
      <c r="S73" s="103" t="n">
        <v>4</v>
      </c>
      <c r="T73" s="102" t="inlineStr">
        <is>
          <t>[CNP] 1; [FHM-K] 1; [FHM-M] 1; [PP] 1</t>
        </is>
      </c>
      <c r="U73" s="103" t="n">
        <v>2</v>
      </c>
      <c r="V73" s="102" t="inlineStr">
        <is>
          <t>[IJZ] 1; [IJZ-MB] 1</t>
        </is>
      </c>
    </row>
    <row r="74" ht="26" customHeight="1" s="70">
      <c r="A74" s="96" t="inlineStr">
        <is>
          <t>SCR022601</t>
        </is>
      </c>
      <c r="B74" s="97" t="inlineStr">
        <is>
          <t>P060442</t>
        </is>
      </c>
      <c r="C74" s="97" t="inlineStr">
        <is>
          <t>Scrambler</t>
        </is>
      </c>
      <c r="D74" s="98" t="inlineStr">
        <is>
          <t>○ 3 ON FILE, NOT RECORDED</t>
        </is>
      </c>
      <c r="E74" s="98" t="inlineStr">
        <is>
          <t>✓</t>
        </is>
      </c>
      <c r="F74" s="100" t="inlineStr">
        <is>
          <t>✓</t>
        </is>
      </c>
      <c r="G74" s="100" t="inlineStr">
        <is>
          <t>✓</t>
        </is>
      </c>
      <c r="H74" s="100" t="inlineStr">
        <is>
          <t>✓</t>
        </is>
      </c>
      <c r="I74" s="100" t="inlineStr">
        <is>
          <t>✓</t>
        </is>
      </c>
      <c r="J74" s="100" t="inlineStr">
        <is>
          <t>✓</t>
        </is>
      </c>
      <c r="K74" s="98" t="inlineStr">
        <is>
          <t>✓</t>
        </is>
      </c>
      <c r="L74" s="100" t="inlineStr">
        <is>
          <t>✓</t>
        </is>
      </c>
      <c r="M74" s="98" t="inlineStr">
        <is>
          <t>✓</t>
        </is>
      </c>
      <c r="N74" s="118" t="inlineStr">
        <is>
          <t>○</t>
        </is>
      </c>
      <c r="O74" s="118" t="inlineStr">
        <is>
          <t>○</t>
        </is>
      </c>
      <c r="P74" s="118" t="inlineStr">
        <is>
          <t>○</t>
        </is>
      </c>
      <c r="Q74" s="101" t="n">
        <v>3</v>
      </c>
      <c r="R74" s="104" t="inlineStr">
        <is>
          <t>#10 Mycotoxins (on file 09.09, not recorded); #11 Heavy metals (on file 09.09, not recorded); #12 Pesticides (on file 09.09, not recorded)</t>
        </is>
      </c>
      <c r="S74" s="103" t="n">
        <v>3</v>
      </c>
      <c r="T74" s="102" t="inlineStr">
        <is>
          <t>[CNP] 1; [FHM-K] 1; [IJZ-MB] 1</t>
        </is>
      </c>
      <c r="U74" s="103" t="n">
        <v>1</v>
      </c>
      <c r="V74" s="102" t="inlineStr">
        <is>
          <t>[IJZ] 1</t>
        </is>
      </c>
    </row>
    <row r="75" ht="26" customHeight="1" s="70">
      <c r="A75" s="96" t="inlineStr">
        <is>
          <t>SCR112501</t>
        </is>
      </c>
      <c r="B75" s="97" t="inlineStr">
        <is>
          <t>P060282</t>
        </is>
      </c>
      <c r="C75" s="97" t="inlineStr">
        <is>
          <t>Scrambler</t>
        </is>
      </c>
      <c r="D75" s="98" t="inlineStr">
        <is>
          <t>✓ COMPLETE</t>
        </is>
      </c>
      <c r="E75" s="105" t="inlineStr">
        <is>
          <t>✓</t>
        </is>
      </c>
      <c r="F75" s="105" t="inlineStr">
        <is>
          <t>✓</t>
        </is>
      </c>
      <c r="G75" s="100" t="inlineStr">
        <is>
          <t>✓</t>
        </is>
      </c>
      <c r="H75" s="100" t="inlineStr">
        <is>
          <t>✓</t>
        </is>
      </c>
      <c r="I75" s="100" t="inlineStr">
        <is>
          <t>✓</t>
        </is>
      </c>
      <c r="J75" s="98" t="inlineStr">
        <is>
          <t>✓</t>
        </is>
      </c>
      <c r="K75" s="105" t="inlineStr">
        <is>
          <t>✓</t>
        </is>
      </c>
      <c r="L75" s="100" t="inlineStr">
        <is>
          <t>✓</t>
        </is>
      </c>
      <c r="M75" s="98" t="inlineStr">
        <is>
          <t>✓</t>
        </is>
      </c>
      <c r="N75" s="98" t="inlineStr">
        <is>
          <t>✓</t>
        </is>
      </c>
      <c r="O75" s="98" t="inlineStr">
        <is>
          <t>✓</t>
        </is>
      </c>
      <c r="P75" s="98" t="inlineStr">
        <is>
          <t>✓</t>
        </is>
      </c>
      <c r="Q75" s="101" t="n">
        <v>0</v>
      </c>
      <c r="R75" s="102" t="inlineStr">
        <is>
          <t>—</t>
        </is>
      </c>
      <c r="S75" s="103" t="n">
        <v>6</v>
      </c>
      <c r="T75" s="102" t="inlineStr">
        <is>
          <t>[CNP] 1; [FHM-K] 1; [FHM-M] 1; [IJZ] 1; [IJZ-MB] 1; [PP] 1</t>
        </is>
      </c>
      <c r="U75" s="103" t="n">
        <v>0</v>
      </c>
      <c r="V75" s="102" t="inlineStr">
        <is>
          <t>—</t>
        </is>
      </c>
    </row>
    <row r="76" ht="26" customHeight="1" s="70">
      <c r="A76" s="96" t="inlineStr">
        <is>
          <t>SJ102501</t>
        </is>
      </c>
      <c r="B76" s="97" t="inlineStr">
        <is>
          <t>P060162</t>
        </is>
      </c>
      <c r="C76" s="97" t="inlineStr">
        <is>
          <t>Sleepy Joe</t>
        </is>
      </c>
      <c r="D76" s="98" t="inlineStr">
        <is>
          <t>⚠ 3 MISSING</t>
        </is>
      </c>
      <c r="E76" s="105" t="inlineStr">
        <is>
          <t>✓</t>
        </is>
      </c>
      <c r="F76" s="105" t="inlineStr">
        <is>
          <t>✓</t>
        </is>
      </c>
      <c r="G76" s="100" t="inlineStr">
        <is>
          <t>✓</t>
        </is>
      </c>
      <c r="H76" s="100" t="inlineStr">
        <is>
          <t>✓</t>
        </is>
      </c>
      <c r="I76" s="100" t="inlineStr">
        <is>
          <t>✓</t>
        </is>
      </c>
      <c r="J76" s="100" t="inlineStr">
        <is>
          <t>✓</t>
        </is>
      </c>
      <c r="K76" s="105" t="inlineStr">
        <is>
          <t>✓</t>
        </is>
      </c>
      <c r="L76" s="100" t="inlineStr">
        <is>
          <t>✓</t>
        </is>
      </c>
      <c r="M76" s="98" t="inlineStr">
        <is>
          <t>✓</t>
        </is>
      </c>
      <c r="N76" s="99" t="inlineStr">
        <is>
          <t>✗</t>
        </is>
      </c>
      <c r="O76" s="99" t="inlineStr">
        <is>
          <t>✗</t>
        </is>
      </c>
      <c r="P76" s="118" t="inlineStr">
        <is>
          <t>○</t>
        </is>
      </c>
      <c r="Q76" s="101" t="n">
        <v>3</v>
      </c>
      <c r="R76" s="104" t="inlineStr">
        <is>
          <t>#10 Mycotoxins; #11 Heavy metals; #12 Pesticides (on file 09.09, not recorded)</t>
        </is>
      </c>
      <c r="S76" s="103" t="n">
        <v>5</v>
      </c>
      <c r="T76" s="102" t="inlineStr">
        <is>
          <t>[FHM-K] 3; [IJZ-MB] 1; [PP] 1</t>
        </is>
      </c>
      <c r="U76" s="103" t="n">
        <v>1</v>
      </c>
      <c r="V76" s="102" t="inlineStr">
        <is>
          <t>[IJZ] 1</t>
        </is>
      </c>
    </row>
    <row r="77" ht="26" customHeight="1" s="70">
      <c r="A77" s="96" t="inlineStr">
        <is>
          <t>SJ112501</t>
        </is>
      </c>
      <c r="B77" s="97" t="inlineStr">
        <is>
          <t>P060192</t>
        </is>
      </c>
      <c r="C77" s="97" t="inlineStr">
        <is>
          <t>Sleepy Joe</t>
        </is>
      </c>
      <c r="D77" s="98" t="inlineStr">
        <is>
          <t>○ 4 ON FILE, NOT RECORDED</t>
        </is>
      </c>
      <c r="E77" s="105" t="inlineStr">
        <is>
          <t>✓</t>
        </is>
      </c>
      <c r="F77" s="105" t="inlineStr">
        <is>
          <t>✓</t>
        </is>
      </c>
      <c r="G77" s="100" t="inlineStr">
        <is>
          <t>✓</t>
        </is>
      </c>
      <c r="H77" s="100" t="inlineStr">
        <is>
          <t>✓</t>
        </is>
      </c>
      <c r="I77" s="100" t="inlineStr">
        <is>
          <t>✓</t>
        </is>
      </c>
      <c r="J77" s="100" t="inlineStr">
        <is>
          <t>✓</t>
        </is>
      </c>
      <c r="K77" s="105" t="inlineStr">
        <is>
          <t>✓</t>
        </is>
      </c>
      <c r="L77" s="100" t="inlineStr">
        <is>
          <t>✓</t>
        </is>
      </c>
      <c r="M77" s="118" t="inlineStr">
        <is>
          <t>○</t>
        </is>
      </c>
      <c r="N77" s="118" t="inlineStr">
        <is>
          <t>○</t>
        </is>
      </c>
      <c r="O77" s="118" t="inlineStr">
        <is>
          <t>○</t>
        </is>
      </c>
      <c r="P77" s="118" t="inlineStr">
        <is>
          <t>○</t>
        </is>
      </c>
      <c r="Q77" s="101" t="n">
        <v>4</v>
      </c>
      <c r="R77" s="104" t="inlineStr">
        <is>
          <t>#9 Microbiology (on file 09.09, not recorded); #10 Mycotoxins (on file 09.09, not recorded); #11 Heavy metals (on file 09.09, not recorded); #12 Pesticides (on file 09.09, not recorded)</t>
        </is>
      </c>
      <c r="S77" s="103" t="n">
        <v>4</v>
      </c>
      <c r="T77" s="102" t="inlineStr">
        <is>
          <t>[FHM-K] 3; [PP] 1</t>
        </is>
      </c>
      <c r="U77" s="103" t="n">
        <v>2</v>
      </c>
      <c r="V77" s="102" t="inlineStr">
        <is>
          <t>[IJZ] 1; [IJZ-MB] 1</t>
        </is>
      </c>
    </row>
    <row r="78" ht="26" customHeight="1" s="70">
      <c r="A78" s="96" t="inlineStr">
        <is>
          <t>BSS1024_01/2</t>
        </is>
      </c>
      <c r="B78" s="97" t="inlineStr">
        <is>
          <t>P050142</t>
        </is>
      </c>
      <c r="C78" s="97" t="inlineStr">
        <is>
          <t>Blue Sunset Sherbet</t>
        </is>
      </c>
      <c r="D78" s="99" t="inlineStr">
        <is>
          <t>❌ 4 MISSING</t>
        </is>
      </c>
      <c r="E78" s="105" t="inlineStr">
        <is>
          <t>✓</t>
        </is>
      </c>
      <c r="F78" s="105" t="inlineStr">
        <is>
          <t>✓</t>
        </is>
      </c>
      <c r="G78" s="98" t="inlineStr">
        <is>
          <t>✓</t>
        </is>
      </c>
      <c r="H78" s="98" t="inlineStr">
        <is>
          <t>✓</t>
        </is>
      </c>
      <c r="I78" s="98" t="inlineStr">
        <is>
          <t>✓</t>
        </is>
      </c>
      <c r="J78" s="98" t="inlineStr">
        <is>
          <t>✓</t>
        </is>
      </c>
      <c r="K78" s="105" t="inlineStr">
        <is>
          <t>✓</t>
        </is>
      </c>
      <c r="L78" s="99" t="inlineStr">
        <is>
          <t>✗</t>
        </is>
      </c>
      <c r="M78" s="98" t="inlineStr">
        <is>
          <t>✓</t>
        </is>
      </c>
      <c r="N78" s="99" t="inlineStr">
        <is>
          <t>✗</t>
        </is>
      </c>
      <c r="O78" s="99" t="inlineStr">
        <is>
          <t>✗</t>
        </is>
      </c>
      <c r="P78" s="99" t="inlineStr">
        <is>
          <t>✗</t>
        </is>
      </c>
      <c r="Q78" s="101" t="n">
        <v>4</v>
      </c>
      <c r="R78" s="104" t="inlineStr">
        <is>
          <t>#8 LoD; #10 Mycotoxins; #11 Heavy metals; #12 Pesticides</t>
        </is>
      </c>
      <c r="S78" s="103" t="n">
        <v>3</v>
      </c>
      <c r="T78" s="102" t="inlineStr">
        <is>
          <t>[FHM-K] 1; [IJZ-MB] 1; [PP] 1</t>
        </is>
      </c>
      <c r="U78" s="103" t="n">
        <v>0</v>
      </c>
      <c r="V78" s="102" t="inlineStr">
        <is>
          <t>—</t>
        </is>
      </c>
    </row>
    <row r="79" ht="26" customHeight="1" s="70">
      <c r="A79" s="96" t="inlineStr">
        <is>
          <t>WED102501</t>
        </is>
      </c>
      <c r="B79" s="97" t="inlineStr">
        <is>
          <t>P060102</t>
        </is>
      </c>
      <c r="C79" s="97" t="inlineStr">
        <is>
          <t>Wedding Cake</t>
        </is>
      </c>
      <c r="D79" s="98" t="inlineStr">
        <is>
          <t>○ 3 ON FILE, NOT RECORDED</t>
        </is>
      </c>
      <c r="E79" s="105" t="inlineStr">
        <is>
          <t>✓</t>
        </is>
      </c>
      <c r="F79" s="105" t="inlineStr">
        <is>
          <t>✓</t>
        </is>
      </c>
      <c r="G79" s="98" t="inlineStr">
        <is>
          <t>✓</t>
        </is>
      </c>
      <c r="H79" s="98" t="inlineStr">
        <is>
          <t>✓</t>
        </is>
      </c>
      <c r="I79" s="98" t="inlineStr">
        <is>
          <t>✓</t>
        </is>
      </c>
      <c r="J79" s="98" t="inlineStr">
        <is>
          <t>✓</t>
        </is>
      </c>
      <c r="K79" s="105" t="inlineStr">
        <is>
          <t>✓</t>
        </is>
      </c>
      <c r="L79" s="98" t="inlineStr">
        <is>
          <t>✓</t>
        </is>
      </c>
      <c r="M79" s="98" t="inlineStr">
        <is>
          <t>✓</t>
        </is>
      </c>
      <c r="N79" s="118" t="inlineStr">
        <is>
          <t>○</t>
        </is>
      </c>
      <c r="O79" s="118" t="inlineStr">
        <is>
          <t>○</t>
        </is>
      </c>
      <c r="P79" s="118" t="inlineStr">
        <is>
          <t>○</t>
        </is>
      </c>
      <c r="Q79" s="101" t="n">
        <v>3</v>
      </c>
      <c r="R79" s="104" t="inlineStr">
        <is>
          <t>#10 Mycotoxins (on file 09.09, not recorded); #11 Heavy metals (on file 09.09, not recorded); #12 Pesticides (on file 09.09, not recorded)</t>
        </is>
      </c>
      <c r="S79" s="103" t="n">
        <v>4</v>
      </c>
      <c r="T79" s="102" t="inlineStr">
        <is>
          <t>[FHM] 1; [FHM-K] 1; [IJZ-MB] 1; [PP] 1</t>
        </is>
      </c>
      <c r="U79" s="103" t="n">
        <v>1</v>
      </c>
      <c r="V79" s="102" t="inlineStr">
        <is>
          <t>[IJZ] 1</t>
        </is>
      </c>
    </row>
    <row r="80">
      <c r="A80" s="96" t="inlineStr">
        <is>
          <t>SCR012601*</t>
        </is>
      </c>
      <c r="B80" s="97" t="inlineStr">
        <is>
          <t>P060342</t>
        </is>
      </c>
      <c r="C80" s="97" t="inlineStr">
        <is>
          <t>Scrambler</t>
        </is>
      </c>
      <c r="D80" s="99" t="inlineStr">
        <is>
          <t>❌ 4 MISSING</t>
        </is>
      </c>
      <c r="E80" s="105" t="inlineStr">
        <is>
          <t>✓</t>
        </is>
      </c>
      <c r="F80" s="105" t="inlineStr">
        <is>
          <t>✓</t>
        </is>
      </c>
      <c r="G80" s="98" t="inlineStr">
        <is>
          <t>✓</t>
        </is>
      </c>
      <c r="H80" s="98" t="inlineStr">
        <is>
          <t>✓</t>
        </is>
      </c>
      <c r="I80" s="98" t="inlineStr">
        <is>
          <t>✓</t>
        </is>
      </c>
      <c r="J80" s="98" t="inlineStr">
        <is>
          <t>✓</t>
        </is>
      </c>
      <c r="K80" s="105" t="inlineStr">
        <is>
          <t>✓</t>
        </is>
      </c>
      <c r="L80" s="99" t="inlineStr">
        <is>
          <t>✗</t>
        </is>
      </c>
      <c r="M80" s="98" t="inlineStr">
        <is>
          <t>✓</t>
        </is>
      </c>
      <c r="N80" s="99" t="inlineStr">
        <is>
          <t>✗</t>
        </is>
      </c>
      <c r="O80" s="99" t="inlineStr">
        <is>
          <t>✗</t>
        </is>
      </c>
      <c r="P80" s="99" t="inlineStr">
        <is>
          <t>✗</t>
        </is>
      </c>
      <c r="Q80" s="101" t="n">
        <v>4</v>
      </c>
      <c r="R80" s="104" t="inlineStr">
        <is>
          <t>#8 LoD; #10 Mycotoxins; #11 Heavy metals; #12 Pesticides</t>
        </is>
      </c>
      <c r="S80" s="103" t="n">
        <v>3</v>
      </c>
      <c r="T80" s="102" t="inlineStr">
        <is>
          <t>[FHM-K] 1; [IJZ-MB] 1; [PP] 1</t>
        </is>
      </c>
      <c r="U80" s="103" t="n">
        <v>0</v>
      </c>
      <c r="V80" s="102" t="inlineStr">
        <is>
          <t>—</t>
        </is>
      </c>
    </row>
    <row r="81" ht="26" customHeight="1" s="70">
      <c r="A81" s="96" t="inlineStr">
        <is>
          <t>ACC102501</t>
        </is>
      </c>
      <c r="B81" s="97" t="inlineStr">
        <is>
          <t>P060122</t>
        </is>
      </c>
      <c r="C81" s="97" t="inlineStr">
        <is>
          <t>Amnesia Core Cut</t>
        </is>
      </c>
      <c r="D81" s="98" t="inlineStr">
        <is>
          <t>○ 4 ON FILE, NOT RECORDED</t>
        </is>
      </c>
      <c r="E81" s="105" t="inlineStr">
        <is>
          <t>✓</t>
        </is>
      </c>
      <c r="F81" s="105" t="inlineStr">
        <is>
          <t>✓</t>
        </is>
      </c>
      <c r="G81" s="98" t="inlineStr">
        <is>
          <t>✓</t>
        </is>
      </c>
      <c r="H81" s="98" t="inlineStr">
        <is>
          <t>✓</t>
        </is>
      </c>
      <c r="I81" s="98" t="inlineStr">
        <is>
          <t>✓</t>
        </is>
      </c>
      <c r="J81" s="98" t="inlineStr">
        <is>
          <t>✓</t>
        </is>
      </c>
      <c r="K81" s="105" t="inlineStr">
        <is>
          <t>✓</t>
        </is>
      </c>
      <c r="L81" s="118" t="inlineStr">
        <is>
          <t>○</t>
        </is>
      </c>
      <c r="M81" s="118" t="inlineStr">
        <is>
          <t>○</t>
        </is>
      </c>
      <c r="N81" s="98" t="inlineStr">
        <is>
          <t>✓</t>
        </is>
      </c>
      <c r="O81" s="118" t="inlineStr">
        <is>
          <t>○</t>
        </is>
      </c>
      <c r="P81" s="118" t="inlineStr">
        <is>
          <t>○</t>
        </is>
      </c>
      <c r="Q81" s="101" t="n">
        <v>4</v>
      </c>
      <c r="R81" s="104" t="inlineStr">
        <is>
          <t>#8 LoD (on file 09.09, not recorded); #9 Microbiology (on file 09.09, not recorded); #11 Heavy metals (on file 09.09, not recorded); #12 Pesticides (on file 09.09, not recorded)</t>
        </is>
      </c>
      <c r="S81" s="103" t="n">
        <v>3</v>
      </c>
      <c r="T81" s="102" t="inlineStr">
        <is>
          <t>[FHM-K] 1; [FHM-M] 1; [PP] 1</t>
        </is>
      </c>
      <c r="U81" s="103" t="n">
        <v>1</v>
      </c>
      <c r="V81" s="102" t="inlineStr">
        <is>
          <t>[IJZ-MB] 1</t>
        </is>
      </c>
    </row>
    <row r="82" ht="26" customHeight="1" s="70">
      <c r="A82" s="96" t="inlineStr">
        <is>
          <t>CF102501</t>
        </is>
      </c>
      <c r="B82" s="97" t="inlineStr">
        <is>
          <t>P060132</t>
        </is>
      </c>
      <c r="C82" s="97" t="inlineStr">
        <is>
          <t>Chem Flyer</t>
        </is>
      </c>
      <c r="D82" s="98" t="inlineStr">
        <is>
          <t>○ 4 ON FILE, NOT RECORDED</t>
        </is>
      </c>
      <c r="E82" s="105" t="inlineStr">
        <is>
          <t>✓</t>
        </is>
      </c>
      <c r="F82" s="105" t="inlineStr">
        <is>
          <t>✓</t>
        </is>
      </c>
      <c r="G82" s="98" t="inlineStr">
        <is>
          <t>✓</t>
        </is>
      </c>
      <c r="H82" s="98" t="inlineStr">
        <is>
          <t>✓</t>
        </is>
      </c>
      <c r="I82" s="98" t="inlineStr">
        <is>
          <t>✓</t>
        </is>
      </c>
      <c r="J82" s="98" t="inlineStr">
        <is>
          <t>✓</t>
        </is>
      </c>
      <c r="K82" s="105" t="inlineStr">
        <is>
          <t>✓</t>
        </is>
      </c>
      <c r="L82" s="118" t="inlineStr">
        <is>
          <t>○</t>
        </is>
      </c>
      <c r="M82" s="118" t="inlineStr">
        <is>
          <t>○</t>
        </is>
      </c>
      <c r="N82" s="98" t="inlineStr">
        <is>
          <t>✓</t>
        </is>
      </c>
      <c r="O82" s="118" t="inlineStr">
        <is>
          <t>○</t>
        </is>
      </c>
      <c r="P82" s="118" t="inlineStr">
        <is>
          <t>○</t>
        </is>
      </c>
      <c r="Q82" s="101" t="n">
        <v>4</v>
      </c>
      <c r="R82" s="104" t="inlineStr">
        <is>
          <t>#8 LoD (on file 09.09, not recorded); #9 Microbiology (on file 09.09, not recorded); #11 Heavy metals (on file 09.09, not recorded); #12 Pesticides (on file 09.09, not recorded)</t>
        </is>
      </c>
      <c r="S82" s="103" t="n">
        <v>3</v>
      </c>
      <c r="T82" s="102" t="inlineStr">
        <is>
          <t>[FHM-K] 1; [FHM-M] 1; [PP] 1</t>
        </is>
      </c>
      <c r="U82" s="103" t="n">
        <v>1</v>
      </c>
      <c r="V82" s="102" t="inlineStr">
        <is>
          <t>[IJZ-MB] 1</t>
        </is>
      </c>
    </row>
    <row r="83">
      <c r="A83" s="96" t="inlineStr">
        <is>
          <t>PUM102501</t>
        </is>
      </c>
      <c r="B83" s="97" t="inlineStr">
        <is>
          <t>P060112</t>
        </is>
      </c>
      <c r="C83" s="97" t="inlineStr">
        <is>
          <t>Pure Michigen</t>
        </is>
      </c>
      <c r="D83" s="98" t="inlineStr">
        <is>
          <t>○ 4 ON FILE, NOT RECORDED</t>
        </is>
      </c>
      <c r="E83" s="105" t="inlineStr">
        <is>
          <t>✓</t>
        </is>
      </c>
      <c r="F83" s="105" t="inlineStr">
        <is>
          <t>✓</t>
        </is>
      </c>
      <c r="G83" s="98" t="inlineStr">
        <is>
          <t>✓</t>
        </is>
      </c>
      <c r="H83" s="98" t="inlineStr">
        <is>
          <t>✓</t>
        </is>
      </c>
      <c r="I83" s="98" t="inlineStr">
        <is>
          <t>✓</t>
        </is>
      </c>
      <c r="J83" s="98" t="inlineStr">
        <is>
          <t>✓</t>
        </is>
      </c>
      <c r="K83" s="105" t="inlineStr">
        <is>
          <t>✓</t>
        </is>
      </c>
      <c r="L83" s="118" t="inlineStr">
        <is>
          <t>○</t>
        </is>
      </c>
      <c r="M83" s="118" t="inlineStr">
        <is>
          <t>○</t>
        </is>
      </c>
      <c r="N83" s="98" t="inlineStr">
        <is>
          <t>✓</t>
        </is>
      </c>
      <c r="O83" s="118" t="inlineStr">
        <is>
          <t>○</t>
        </is>
      </c>
      <c r="P83" s="118" t="inlineStr">
        <is>
          <t>○</t>
        </is>
      </c>
      <c r="Q83" s="101" t="n">
        <v>4</v>
      </c>
      <c r="R83" s="104" t="inlineStr">
        <is>
          <t>#8 LoD (on file 09.09, not recorded); #9 Microbiology (on file 09.09, not recorded); #11 Heavy metals (on file 09.09, not recorded); #12 Pesticides (on file 09.09, not recorded)</t>
        </is>
      </c>
      <c r="S83" s="103" t="n">
        <v>3</v>
      </c>
      <c r="T83" s="102" t="inlineStr">
        <is>
          <t>[FHM-K] 1; [FHM-M] 1; [PP] 1</t>
        </is>
      </c>
      <c r="U83" s="103" t="n">
        <v>1</v>
      </c>
      <c r="V83" s="102" t="inlineStr">
        <is>
          <t>[IJZ-MB] 1</t>
        </is>
      </c>
    </row>
    <row r="84">
      <c r="A84" s="96" t="inlineStr">
        <is>
          <t>CC012603</t>
        </is>
      </c>
      <c r="B84" s="97" t="inlineStr">
        <is>
          <t>P060372</t>
        </is>
      </c>
      <c r="C84" s="97" t="inlineStr">
        <is>
          <t>Cash Cow</t>
        </is>
      </c>
      <c r="D84" s="98" t="inlineStr">
        <is>
          <t>❌ 4 MISSING</t>
        </is>
      </c>
      <c r="E84" s="105" t="inlineStr">
        <is>
          <t>✓</t>
        </is>
      </c>
      <c r="F84" s="105" t="inlineStr">
        <is>
          <t>✓</t>
        </is>
      </c>
      <c r="G84" s="98" t="inlineStr">
        <is>
          <t>✓</t>
        </is>
      </c>
      <c r="H84" s="98" t="inlineStr">
        <is>
          <t>✓</t>
        </is>
      </c>
      <c r="I84" s="98" t="inlineStr">
        <is>
          <t>✓</t>
        </is>
      </c>
      <c r="J84" s="98" t="inlineStr">
        <is>
          <t>✓</t>
        </is>
      </c>
      <c r="K84" s="105" t="inlineStr">
        <is>
          <t>✓</t>
        </is>
      </c>
      <c r="L84" s="99" t="inlineStr">
        <is>
          <t>✗</t>
        </is>
      </c>
      <c r="M84" s="118" t="inlineStr">
        <is>
          <t>○</t>
        </is>
      </c>
      <c r="N84" s="98" t="inlineStr">
        <is>
          <t>✓</t>
        </is>
      </c>
      <c r="O84" s="99" t="inlineStr">
        <is>
          <t>✗</t>
        </is>
      </c>
      <c r="P84" s="99" t="inlineStr">
        <is>
          <t>✗</t>
        </is>
      </c>
      <c r="Q84" s="101" t="n">
        <v>4</v>
      </c>
      <c r="R84" s="104" t="inlineStr">
        <is>
          <t>#8 LoD; #9 Microbiology (on file 09.09, not recorded); #11 Heavy metals; #12 Pesticides</t>
        </is>
      </c>
      <c r="S84" s="103" t="n">
        <v>3</v>
      </c>
      <c r="T84" s="102" t="inlineStr">
        <is>
          <t>[FHM-K] 1; [FHM-M] 1; [PP] 1</t>
        </is>
      </c>
      <c r="U84" s="103" t="n">
        <v>1</v>
      </c>
      <c r="V84" s="102" t="inlineStr">
        <is>
          <t>[IJZ-MB] 1</t>
        </is>
      </c>
    </row>
    <row r="85">
      <c r="A85" s="96" t="inlineStr">
        <is>
          <t>JD042601</t>
        </is>
      </c>
      <c r="B85" s="97" t="inlineStr">
        <is>
          <t>P060492</t>
        </is>
      </c>
      <c r="C85" s="97" t="inlineStr">
        <is>
          <t>Jelly Donuts</t>
        </is>
      </c>
      <c r="D85" s="98" t="inlineStr">
        <is>
          <t>❌ 4 MISSING</t>
        </is>
      </c>
      <c r="E85" s="105" t="inlineStr">
        <is>
          <t>✓</t>
        </is>
      </c>
      <c r="F85" s="105" t="inlineStr">
        <is>
          <t>✓</t>
        </is>
      </c>
      <c r="G85" s="98" t="inlineStr">
        <is>
          <t>✓</t>
        </is>
      </c>
      <c r="H85" s="98" t="inlineStr">
        <is>
          <t>✓</t>
        </is>
      </c>
      <c r="I85" s="98" t="inlineStr">
        <is>
          <t>✓</t>
        </is>
      </c>
      <c r="J85" s="98" t="inlineStr">
        <is>
          <t>✓</t>
        </is>
      </c>
      <c r="K85" s="105" t="inlineStr">
        <is>
          <t>✓</t>
        </is>
      </c>
      <c r="L85" s="99" t="inlineStr">
        <is>
          <t>✗</t>
        </is>
      </c>
      <c r="M85" s="99" t="inlineStr">
        <is>
          <t>✗</t>
        </is>
      </c>
      <c r="N85" s="98" t="inlineStr">
        <is>
          <t>✓</t>
        </is>
      </c>
      <c r="O85" s="99" t="inlineStr">
        <is>
          <t>✗</t>
        </is>
      </c>
      <c r="P85" s="99" t="inlineStr">
        <is>
          <t>✗</t>
        </is>
      </c>
      <c r="Q85" s="101" t="n">
        <v>4</v>
      </c>
      <c r="R85" s="104" t="inlineStr">
        <is>
          <t>#8 LoD; #9 Microbiology; #11 Heavy metals; #12 Pesticides</t>
        </is>
      </c>
      <c r="S85" s="103" t="n">
        <v>3</v>
      </c>
      <c r="T85" s="102" t="inlineStr">
        <is>
          <t>[FHM-K] 1; [FHM-M] 1; [PP] 1</t>
        </is>
      </c>
      <c r="U85" s="103" t="n">
        <v>0</v>
      </c>
      <c r="V85" s="102" t="inlineStr">
        <is>
          <t>—</t>
        </is>
      </c>
    </row>
    <row r="86">
      <c r="A86" s="96" t="inlineStr">
        <is>
          <t>FB042601</t>
        </is>
      </c>
      <c r="B86" s="97" t="inlineStr">
        <is>
          <t>— not assigned —</t>
        </is>
      </c>
      <c r="C86" s="97" t="inlineStr">
        <is>
          <t>Fat Bastard</t>
        </is>
      </c>
      <c r="D86" s="98" t="inlineStr">
        <is>
          <t>❌ 4 MISSING</t>
        </is>
      </c>
      <c r="E86" s="105" t="inlineStr">
        <is>
          <t>✓</t>
        </is>
      </c>
      <c r="F86" s="105" t="inlineStr">
        <is>
          <t>✓</t>
        </is>
      </c>
      <c r="G86" s="98" t="inlineStr">
        <is>
          <t>✓</t>
        </is>
      </c>
      <c r="H86" s="98" t="inlineStr">
        <is>
          <t>✓</t>
        </is>
      </c>
      <c r="I86" s="98" t="inlineStr">
        <is>
          <t>✓</t>
        </is>
      </c>
      <c r="J86" s="98" t="inlineStr">
        <is>
          <t>✓</t>
        </is>
      </c>
      <c r="K86" s="105" t="inlineStr">
        <is>
          <t>✓</t>
        </is>
      </c>
      <c r="L86" s="99" t="inlineStr">
        <is>
          <t>✗</t>
        </is>
      </c>
      <c r="M86" s="99" t="inlineStr">
        <is>
          <t>✗</t>
        </is>
      </c>
      <c r="N86" s="98" t="inlineStr">
        <is>
          <t>✓</t>
        </is>
      </c>
      <c r="O86" s="99" t="inlineStr">
        <is>
          <t>✗</t>
        </is>
      </c>
      <c r="P86" s="99" t="inlineStr">
        <is>
          <t>✗</t>
        </is>
      </c>
      <c r="Q86" s="101" t="n">
        <v>4</v>
      </c>
      <c r="R86" s="104" t="inlineStr">
        <is>
          <t>#8 LoD; #9 Microbiology; #11 Heavy metals; #12 Pesticides</t>
        </is>
      </c>
      <c r="S86" s="103" t="n">
        <v>3</v>
      </c>
      <c r="T86" s="102" t="inlineStr">
        <is>
          <t>[FHM-K] 1; [FHM-M] 1; [PP] 1</t>
        </is>
      </c>
      <c r="U86" s="103" t="n">
        <v>0</v>
      </c>
      <c r="V86" s="102" t="inlineStr">
        <is>
          <t>—</t>
        </is>
      </c>
    </row>
    <row r="87">
      <c r="A87" s="96" t="inlineStr">
        <is>
          <t>CC042601</t>
        </is>
      </c>
      <c r="B87" s="97" t="inlineStr">
        <is>
          <t>— not assigned —</t>
        </is>
      </c>
      <c r="C87" s="97" t="inlineStr">
        <is>
          <t>Cash Cow</t>
        </is>
      </c>
      <c r="D87" s="98" t="inlineStr">
        <is>
          <t>❌ 4 MISSING</t>
        </is>
      </c>
      <c r="E87" s="105" t="inlineStr">
        <is>
          <t>✓</t>
        </is>
      </c>
      <c r="F87" s="105" t="inlineStr">
        <is>
          <t>✓</t>
        </is>
      </c>
      <c r="G87" s="98" t="inlineStr">
        <is>
          <t>✓</t>
        </is>
      </c>
      <c r="H87" s="98" t="inlineStr">
        <is>
          <t>✓</t>
        </is>
      </c>
      <c r="I87" s="98" t="inlineStr">
        <is>
          <t>✓</t>
        </is>
      </c>
      <c r="J87" s="98" t="inlineStr">
        <is>
          <t>✓</t>
        </is>
      </c>
      <c r="K87" s="105" t="inlineStr">
        <is>
          <t>✓</t>
        </is>
      </c>
      <c r="L87" s="99" t="inlineStr">
        <is>
          <t>✗</t>
        </is>
      </c>
      <c r="M87" s="99" t="inlineStr">
        <is>
          <t>✗</t>
        </is>
      </c>
      <c r="N87" s="98" t="inlineStr">
        <is>
          <t>✓</t>
        </is>
      </c>
      <c r="O87" s="99" t="inlineStr">
        <is>
          <t>✗</t>
        </is>
      </c>
      <c r="P87" s="99" t="inlineStr">
        <is>
          <t>✗</t>
        </is>
      </c>
      <c r="Q87" s="101" t="n">
        <v>4</v>
      </c>
      <c r="R87" s="104" t="inlineStr">
        <is>
          <t>#8 LoD; #9 Microbiology; #11 Heavy metals; #12 Pesticides</t>
        </is>
      </c>
      <c r="S87" s="103" t="n">
        <v>3</v>
      </c>
      <c r="T87" s="102" t="inlineStr">
        <is>
          <t>[FHM-K] 1; [FHM-M] 1; [PP] 1</t>
        </is>
      </c>
      <c r="U87" s="103" t="n">
        <v>0</v>
      </c>
      <c r="V87" s="102" t="inlineStr">
        <is>
          <t>—</t>
        </is>
      </c>
    </row>
  </sheetData>
  <autoFilter ref="A1:V87"/>
  <pageMargins left="0.3" right="0.3" top="0.4" bottom="0.4"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AV374"/>
  <sheetViews>
    <sheetView workbookViewId="0">
      <pane xSplit="6" ySplit="4" topLeftCell="G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8" customWidth="1" style="70" min="4" max="4"/>
    <col width="19" customWidth="1" style="70" min="5" max="5"/>
    <col width="26"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10" customWidth="1" style="70" min="28" max="28"/>
    <col width="21" customWidth="1" style="70" min="29" max="29"/>
    <col width="3.4" customWidth="1" style="70" min="30" max="30"/>
    <col width="8.6" customWidth="1" style="70" min="31" max="31"/>
    <col width="8.6" customWidth="1" style="70" min="32" max="32"/>
    <col width="8.6" customWidth="1" style="70" min="33" max="33"/>
    <col width="8" customWidth="1" style="70" min="34" max="34"/>
    <col width="8" customWidth="1" style="70" min="35" max="35"/>
    <col width="3.4" customWidth="1" style="70" min="36" max="36"/>
    <col width="8.6" customWidth="1" style="70" min="37" max="37"/>
    <col width="8.6" customWidth="1" style="70" min="38" max="38"/>
    <col width="8.6" customWidth="1" style="70" min="39" max="39"/>
    <col width="3.4" customWidth="1" style="70" min="40" max="40"/>
    <col width="8.6" customWidth="1" style="70" min="41" max="41"/>
    <col width="8.6" customWidth="1" style="70" min="42" max="42"/>
    <col width="8.6" customWidth="1" style="70" min="43" max="43"/>
    <col width="8.6" customWidth="1" style="70" min="44" max="44"/>
    <col width="3.4" customWidth="1" style="70" min="45" max="45"/>
    <col width="10" customWidth="1" style="70" min="46" max="46"/>
    <col width="21" customWidth="1" style="70" min="47" max="47"/>
    <col width="3.4" customWidth="1" style="70" min="48" max="48"/>
  </cols>
  <sheetData>
    <row r="1" ht="16" customHeight="1" s="70">
      <c r="A1" s="119" t="inlineStr">
        <is>
          <t>BATCH IDENTIFICATION</t>
        </is>
      </c>
      <c r="B1" s="120" t="n"/>
      <c r="C1" s="121" t="n"/>
      <c r="D1" s="119" t="inlineStr">
        <is>
          <t>THIS BLOCK</t>
        </is>
      </c>
      <c r="G1" s="119" t="inlineStr">
        <is>
          <t>IDENTIFICATION  1–3</t>
        </is>
      </c>
      <c r="P1" s="119" t="inlineStr">
        <is>
          <t>CANNABINOID ASSAY  4–6</t>
        </is>
      </c>
      <c r="Y1" s="119" t="inlineStr">
        <is>
          <t>PHYSICAL  7–8</t>
        </is>
      </c>
      <c r="AE1" s="119" t="inlineStr">
        <is>
          <t>MICROBIOLOGY  9</t>
        </is>
      </c>
      <c r="AK1" s="119" t="inlineStr">
        <is>
          <t>CONTAMINANTS  10–12</t>
        </is>
      </c>
    </row>
    <row r="2" ht="30" customHeight="1" s="70">
      <c r="A2" s="122" t="inlineStr">
        <is>
          <t>CU Batch</t>
        </is>
      </c>
      <c r="B2" s="122" t="inlineStr">
        <is>
          <t>P Batch</t>
        </is>
      </c>
      <c r="C2" s="122" t="inlineStr">
        <is>
          <t>STATUS</t>
        </is>
      </c>
      <c r="D2" s="122" t="inlineStr">
        <is>
          <t>Testing
instance</t>
        </is>
      </c>
      <c r="E2" s="122" t="inlineStr">
        <is>
          <t>Round / campaign</t>
        </is>
      </c>
      <c r="F2" s="122" t="inlineStr">
        <is>
          <t>Certificate of analysis
Certificate of quality</t>
        </is>
      </c>
      <c r="G2" s="119" t="inlineStr">
        <is>
          <t>#1 Identification A
Appearance · Ph. Eur. mon. 3028</t>
        </is>
      </c>
      <c r="J2" s="119" t="inlineStr">
        <is>
          <t>#2 Identification B
Microscopy · Ph. Eur. 2.8.23</t>
        </is>
      </c>
      <c r="M2" s="119" t="inlineStr">
        <is>
          <t>#3 Identification C
HPLC · Ph. Eur. 2.2.29</t>
        </is>
      </c>
      <c r="P2" s="119" t="inlineStr">
        <is>
          <t>#4 Assay — Total Δ⁹-THC*
Ph. Eur. 2.2.29 (HPLC)</t>
        </is>
      </c>
      <c r="S2" s="119" t="inlineStr">
        <is>
          <t>#5 Assay — Total CBD
Ph. Eur. 2.2.29 · CBD + CBDA×0.877</t>
        </is>
      </c>
      <c r="V2" s="119" t="inlineStr">
        <is>
          <t>#6 Total CBN
Ph. Eur. 2.2.29 · CBN + CBNA×0.876</t>
        </is>
      </c>
      <c r="Y2" s="119" t="inlineStr">
        <is>
          <t>#7 Foreign Matter
Ph. Eur. 2.8.2 / in-house</t>
        </is>
      </c>
      <c r="AB2" s="119" t="inlineStr">
        <is>
          <t>#8 Loss on Drying
Ph. Eur. 2.2.32 · 40 °C, 24 h, 15–25 mbar</t>
        </is>
      </c>
      <c r="AE2" s="119" t="inlineStr">
        <is>
          <t>#9 Microbiological Purity
Ph. Eur. 2.6.12 / 2.6.13 / 2.6.31 · cat. C</t>
        </is>
      </c>
      <c r="AK2" s="119" t="inlineStr">
        <is>
          <t>#10 Mycotoxins
Ph. Eur. 2.8.18 / 2.8.22 (HPLC-FLD)</t>
        </is>
      </c>
      <c r="AO2" s="119" t="inlineStr">
        <is>
          <t>#11 Heavy Metals
Ph. Eur. 2.4.27 (ICP-MS)</t>
        </is>
      </c>
      <c r="AT2" s="119" t="inlineStr">
        <is>
          <t>#12 Pesticide Residues
Ph. Eur. 2.8.13 (LC-MS/MS) · CUMCS equivalency</t>
        </is>
      </c>
    </row>
    <row r="3" ht="26" customHeight="1" s="70">
      <c r="G3" s="123" t="inlineStr">
        <is>
          <t>A.C.: Conforms to Ph. Eur. monograph 3028 (Cannabis flos)</t>
        </is>
      </c>
      <c r="H3" s="121" t="n"/>
      <c r="I3" s="123" t="inlineStr"/>
      <c r="J3" s="123" t="inlineStr">
        <is>
          <t>A.C.: Conforms to Ph. Eur. monograph 3028 (Cannabis flos)</t>
        </is>
      </c>
      <c r="K3" s="121" t="n"/>
      <c r="L3" s="123" t="inlineStr"/>
      <c r="M3" s="123" t="inlineStr">
        <is>
          <t>A.C.: Conforms to Ph. Eur. monograph 3028 (Cannabis flos)</t>
        </is>
      </c>
      <c r="N3" s="121" t="n"/>
      <c r="O3" s="123" t="inlineStr"/>
      <c r="P3" s="123" t="inlineStr">
        <is>
          <t>A.C.: Per target grade (CoQ §01)</t>
        </is>
      </c>
      <c r="Q3" s="121" t="n"/>
      <c r="R3" s="123" t="inlineStr"/>
      <c r="S3" s="123" t="inlineStr">
        <is>
          <t>A.C.: ≤ 1.0 % w/w</t>
        </is>
      </c>
      <c r="T3" s="121" t="n"/>
      <c r="U3" s="123" t="inlineStr"/>
      <c r="V3" s="123" t="inlineStr">
        <is>
          <t>A.C.: ≤ 1.0 % w/w</t>
        </is>
      </c>
      <c r="W3" s="121" t="n"/>
      <c r="X3" s="123" t="inlineStr"/>
      <c r="Y3" s="123" t="inlineStr">
        <is>
          <t>A.C.: ≤ 2.0 % (25–50 g); leaves &lt; 1 cm; no seeds</t>
        </is>
      </c>
      <c r="Z3" s="121" t="n"/>
      <c r="AA3" s="123" t="inlineStr"/>
      <c r="AB3" s="123" t="inlineStr">
        <is>
          <t>A.C.: ≤ 12.0 %</t>
        </is>
      </c>
      <c r="AC3" s="121" t="n"/>
      <c r="AD3" s="123" t="inlineStr"/>
      <c r="AE3" s="123" t="inlineStr">
        <is>
          <t>A.C.: ≤ 10⁵ CFU/g</t>
        </is>
      </c>
      <c r="AF3" s="123" t="inlineStr">
        <is>
          <t>A.C.: ≤ 10⁴ CFU/g</t>
        </is>
      </c>
      <c r="AG3" s="123" t="inlineStr">
        <is>
          <t>A.C.: ≤ 10⁴ CFU/g</t>
        </is>
      </c>
      <c r="AH3" s="123" t="inlineStr">
        <is>
          <t>A.C.: Absence / 25 g</t>
        </is>
      </c>
      <c r="AI3" s="123" t="inlineStr">
        <is>
          <t>A.C.: Absence / 1 g</t>
        </is>
      </c>
      <c r="AJ3" s="123" t="inlineStr"/>
      <c r="AK3" s="123" t="inlineStr">
        <is>
          <t>A.C.: ≤ 2 µg/kg</t>
        </is>
      </c>
      <c r="AL3" s="123" t="inlineStr">
        <is>
          <t>A.C.: ≤ 4 µg/kg</t>
        </is>
      </c>
      <c r="AM3" s="123" t="inlineStr">
        <is>
          <t>A.C.: ≤ 20 µg/kg</t>
        </is>
      </c>
      <c r="AN3" s="123" t="inlineStr"/>
      <c r="AO3" s="123" t="inlineStr">
        <is>
          <t>A.C.: ≤ 0.5 mg/kg</t>
        </is>
      </c>
      <c r="AP3" s="123" t="inlineStr">
        <is>
          <t>A.C.: ≤ 0.3 mg/kg</t>
        </is>
      </c>
      <c r="AQ3" s="123" t="inlineStr">
        <is>
          <t>A.C.: ≤ 0.2 mg/kg</t>
        </is>
      </c>
      <c r="AR3" s="123" t="inlineStr">
        <is>
          <t>A.C.: ≤ 0.1 mg/kg</t>
        </is>
      </c>
      <c r="AS3" s="123" t="inlineStr"/>
      <c r="AT3" s="123" t="inlineStr">
        <is>
          <t>A.C.: ≤ LOQ (Ph. Eur. 2.8.13 / CUMCS equivalency)</t>
        </is>
      </c>
      <c r="AU3" s="121" t="n"/>
      <c r="AV3" s="123" t="inlineStr"/>
    </row>
    <row r="4" ht="24" customHeight="1" s="70">
      <c r="G4" s="124" t="inlineStr">
        <is>
          <t>Result</t>
        </is>
      </c>
      <c r="H4" s="124" t="inlineStr">
        <is>
          <t xml:space="preserve">[eCOA code],[date],[Lab] </t>
        </is>
      </c>
      <c r="I4" s="124" t="inlineStr">
        <is>
          <t>✓   ✗</t>
        </is>
      </c>
      <c r="J4" s="124" t="inlineStr">
        <is>
          <t>Result</t>
        </is>
      </c>
      <c r="K4" s="124" t="inlineStr">
        <is>
          <t xml:space="preserve">[eCOA code],[date],[Lab] </t>
        </is>
      </c>
      <c r="L4" s="124" t="inlineStr">
        <is>
          <t>✓   ✗</t>
        </is>
      </c>
      <c r="M4" s="124" t="inlineStr">
        <is>
          <t>Result</t>
        </is>
      </c>
      <c r="N4" s="124" t="inlineStr">
        <is>
          <t xml:space="preserve">[eCOA code],[date],[Lab] </t>
        </is>
      </c>
      <c r="O4" s="124" t="inlineStr">
        <is>
          <t>✓   ✗</t>
        </is>
      </c>
      <c r="P4" s="124" t="inlineStr">
        <is>
          <t>Result</t>
        </is>
      </c>
      <c r="Q4" s="124" t="inlineStr">
        <is>
          <t xml:space="preserve">[eCOA code],[date],[Lab] </t>
        </is>
      </c>
      <c r="R4" s="124" t="inlineStr">
        <is>
          <t>✓   ✗</t>
        </is>
      </c>
      <c r="S4" s="124" t="inlineStr">
        <is>
          <t>Result</t>
        </is>
      </c>
      <c r="T4" s="124" t="inlineStr">
        <is>
          <t xml:space="preserve">[eCOA code],[date],[Lab] </t>
        </is>
      </c>
      <c r="U4" s="124" t="inlineStr">
        <is>
          <t>✓   ✗</t>
        </is>
      </c>
      <c r="V4" s="124" t="inlineStr">
        <is>
          <t>Result</t>
        </is>
      </c>
      <c r="W4" s="124" t="inlineStr">
        <is>
          <t xml:space="preserve">[eCOA code],[date],[Lab] </t>
        </is>
      </c>
      <c r="X4" s="124" t="inlineStr">
        <is>
          <t>✓   ✗</t>
        </is>
      </c>
      <c r="Y4" s="124" t="inlineStr">
        <is>
          <t>Result</t>
        </is>
      </c>
      <c r="Z4" s="124" t="inlineStr">
        <is>
          <t xml:space="preserve">[eCOA code],[date],[Lab] </t>
        </is>
      </c>
      <c r="AA4" s="124" t="inlineStr">
        <is>
          <t>✓   ✗</t>
        </is>
      </c>
      <c r="AB4" s="124" t="inlineStr">
        <is>
          <t>Result</t>
        </is>
      </c>
      <c r="AC4" s="124" t="inlineStr">
        <is>
          <t xml:space="preserve">[eCOA code],[date],[Lab] </t>
        </is>
      </c>
      <c r="AD4" s="124" t="inlineStr">
        <is>
          <t>✓   ✗</t>
        </is>
      </c>
      <c r="AE4" s="124" t="inlineStr">
        <is>
          <t>TAMC</t>
        </is>
      </c>
      <c r="AF4" s="124" t="inlineStr">
        <is>
          <t>TYMC</t>
        </is>
      </c>
      <c r="AG4" s="124" t="inlineStr">
        <is>
          <t>GNB</t>
        </is>
      </c>
      <c r="AH4" s="124" t="inlineStr">
        <is>
          <t>Salm.</t>
        </is>
      </c>
      <c r="AI4" s="124" t="inlineStr">
        <is>
          <t>E. coli</t>
        </is>
      </c>
      <c r="AJ4" s="124" t="inlineStr">
        <is>
          <t>✓   ✗</t>
        </is>
      </c>
      <c r="AK4" s="124" t="inlineStr">
        <is>
          <t>AfB₁</t>
        </is>
      </c>
      <c r="AL4" s="124" t="inlineStr">
        <is>
          <t>ΣAf</t>
        </is>
      </c>
      <c r="AM4" s="124" t="inlineStr">
        <is>
          <t>OTA</t>
        </is>
      </c>
      <c r="AN4" s="124" t="inlineStr">
        <is>
          <t>✓   ✗</t>
        </is>
      </c>
      <c r="AO4" s="124" t="inlineStr">
        <is>
          <t>Pb</t>
        </is>
      </c>
      <c r="AP4" s="124" t="inlineStr">
        <is>
          <t>Cd</t>
        </is>
      </c>
      <c r="AQ4" s="124" t="inlineStr">
        <is>
          <t>As</t>
        </is>
      </c>
      <c r="AR4" s="124" t="inlineStr">
        <is>
          <t>Hg</t>
        </is>
      </c>
      <c r="AS4" s="124" t="inlineStr">
        <is>
          <t>✓   ✗</t>
        </is>
      </c>
      <c r="AT4" s="124" t="inlineStr">
        <is>
          <t>Result</t>
        </is>
      </c>
      <c r="AU4" s="124" t="inlineStr">
        <is>
          <t xml:space="preserve">[eCOA code],[date],[Lab] </t>
        </is>
      </c>
      <c r="AV4" s="124" t="inlineStr">
        <is>
          <t>✓   ✗</t>
        </is>
      </c>
    </row>
    <row r="5" ht="21" customHeight="1" s="70">
      <c r="A5" s="125" t="inlineStr">
        <is>
          <t>BG1024</t>
        </is>
      </c>
      <c r="B5" s="126" t="inlineStr">
        <is>
          <t>N/A — no P batch assigned</t>
        </is>
      </c>
      <c r="C5" s="127" t="inlineStr">
        <is>
          <t>✓ COMPLETE
2 testing instances
• 2 document(s) on file, not credited</t>
        </is>
      </c>
      <c r="D5" s="128" t="inlineStr">
        <is>
          <t>1 of 2</t>
        </is>
      </c>
      <c r="E5" s="129" t="inlineStr">
        <is>
          <t>release testing</t>
        </is>
      </c>
      <c r="F5" s="130" t="inlineStr">
        <is>
          <t>iCoA-PP_26-003
CoQ-PP_26-003 · initial release</t>
        </is>
      </c>
      <c r="G5" s="131" t="inlineStr">
        <is>
          <t>Conforms</t>
        </is>
      </c>
      <c r="H5" s="132">
        <f>IFERROR(INDEX('iCoA Register'!$B:$B,MATCH("BG1024|I",'iCoA Register'!$AA:$AA,0)),"iCoA — at issue")&amp;", (07.03.2025) [PP]"</f>
        <v/>
      </c>
      <c r="I5" s="133" t="inlineStr">
        <is>
          <t>✓</t>
        </is>
      </c>
      <c r="J5" s="134" t="inlineStr">
        <is>
          <t>not on this certificate</t>
        </is>
      </c>
      <c r="K5" s="135" t="inlineStr">
        <is>
          <t>ППК25050, (26.02.2025) [CNP] · on file, not credited</t>
        </is>
      </c>
      <c r="L5" s="136" t="inlineStr">
        <is>
          <t>•</t>
        </is>
      </c>
      <c r="M5" s="131" t="inlineStr">
        <is>
          <t>Conforms (ImB spec.)</t>
        </is>
      </c>
      <c r="N5" s="132" t="inlineStr">
        <is>
          <t>ППК25050, (26.02.2025) [CNP]</t>
        </is>
      </c>
      <c r="O5" s="133" t="inlineStr">
        <is>
          <t>✓</t>
        </is>
      </c>
      <c r="P5" s="137" t="inlineStr">
        <is>
          <t>21.80</t>
        </is>
      </c>
      <c r="Q5" s="132" t="inlineStr">
        <is>
          <t>ППК25050, (26.02.2025) [CNP]</t>
        </is>
      </c>
      <c r="R5" s="133" t="inlineStr">
        <is>
          <t>✓</t>
        </is>
      </c>
      <c r="S5" s="138" t="inlineStr">
        <is>
          <t>0.04</t>
        </is>
      </c>
      <c r="T5" s="132" t="inlineStr">
        <is>
          <t>ППК25050, (26.02.2025) [CNP]</t>
        </is>
      </c>
      <c r="U5" s="133" t="inlineStr">
        <is>
          <t>✓</t>
        </is>
      </c>
      <c r="V5" s="138" t="inlineStr">
        <is>
          <t>0.02 ᴰ</t>
        </is>
      </c>
      <c r="W5" s="132" t="inlineStr">
        <is>
          <t>ППК25050, (26.02.2025) [CNP]</t>
        </is>
      </c>
      <c r="X5" s="133" t="inlineStr">
        <is>
          <t>✓</t>
        </is>
      </c>
      <c r="Y5" s="131" t="inlineStr">
        <is>
          <t>Conforms</t>
        </is>
      </c>
      <c r="Z5" s="132">
        <f>IFERROR(INDEX('iCoA Register'!$B:$B,MATCH("BG1024|I",'iCoA Register'!$AA:$AA,0)),"iCoA — at issue")&amp;", (07.03.2025) [PP]"</f>
        <v/>
      </c>
      <c r="AA5" s="133" t="inlineStr">
        <is>
          <t>✓</t>
        </is>
      </c>
      <c r="AB5" s="131" t="inlineStr">
        <is>
          <t>5.73</t>
        </is>
      </c>
      <c r="AC5" s="132" t="inlineStr">
        <is>
          <t>ППК25050, (26.02.2025) [CNP]</t>
        </is>
      </c>
      <c r="AD5" s="133" t="inlineStr">
        <is>
          <t>✓</t>
        </is>
      </c>
      <c r="AE5" s="131" t="inlineStr">
        <is>
          <t>1.6 × 10⁴</t>
        </is>
      </c>
      <c r="AF5" s="139" t="inlineStr">
        <is>
          <t>1 × 10⁴</t>
        </is>
      </c>
      <c r="AG5" s="139" t="inlineStr">
        <is>
          <t>&lt; 10² and &gt; 10</t>
        </is>
      </c>
      <c r="AH5" s="139" t="inlineStr">
        <is>
          <t>Absent</t>
        </is>
      </c>
      <c r="AI5" s="139" t="inlineStr">
        <is>
          <t>Absent</t>
        </is>
      </c>
      <c r="AJ5" s="133" t="inlineStr">
        <is>
          <t>✓</t>
        </is>
      </c>
      <c r="AK5" s="131" t="inlineStr">
        <is>
          <t>not reported</t>
        </is>
      </c>
      <c r="AL5" s="139" t="inlineStr">
        <is>
          <t>&lt; 2</t>
        </is>
      </c>
      <c r="AM5" s="139" t="inlineStr">
        <is>
          <t>not reported</t>
        </is>
      </c>
      <c r="AN5" s="133" t="inlineStr">
        <is>
          <t>✓</t>
        </is>
      </c>
      <c r="AO5" s="131" t="inlineStr">
        <is>
          <t>0.01</t>
        </is>
      </c>
      <c r="AP5" s="139" t="inlineStr">
        <is>
          <t>0.016</t>
        </is>
      </c>
      <c r="AQ5" s="139" t="inlineStr">
        <is>
          <t>0.014</t>
        </is>
      </c>
      <c r="AR5" s="139" t="inlineStr">
        <is>
          <t>0.005</t>
        </is>
      </c>
      <c r="AS5" s="133" t="inlineStr">
        <is>
          <t>✓</t>
        </is>
      </c>
      <c r="AT5" s="131" t="inlineStr">
        <is>
          <t>≤ LOQ (all 29 compounds)</t>
        </is>
      </c>
      <c r="AU5" s="132" t="inlineStr">
        <is>
          <t>752-2025, (27.02.2025) [IJZ]</t>
        </is>
      </c>
      <c r="AV5" s="140" t="inlineStr">
        <is>
          <t>✓</t>
        </is>
      </c>
    </row>
    <row r="6" ht="21" customHeight="1" s="70">
      <c r="A6" s="141" t="n"/>
      <c r="G6" s="142" t="n"/>
      <c r="I6" s="143" t="n"/>
      <c r="J6" s="142" t="n"/>
      <c r="L6" s="143" t="n"/>
      <c r="M6" s="142" t="n"/>
      <c r="O6" s="143" t="n"/>
      <c r="P6" s="142" t="n"/>
      <c r="R6" s="143" t="n"/>
      <c r="S6" s="142" t="n"/>
      <c r="U6" s="143" t="n"/>
      <c r="V6" s="142" t="n"/>
      <c r="X6" s="143" t="n"/>
      <c r="Y6" s="142" t="n"/>
      <c r="AA6" s="143" t="n"/>
      <c r="AB6" s="142" t="n"/>
      <c r="AD6" s="143" t="n"/>
      <c r="AE6" s="144" t="inlineStr">
        <is>
          <t>163-0271-25, (24.02.2025) [IJZ-MB]</t>
        </is>
      </c>
      <c r="AJ6" s="143" t="n"/>
      <c r="AK6" s="144" t="inlineStr">
        <is>
          <t>752-2025, (27.02.2025) [IJZ]</t>
        </is>
      </c>
      <c r="AN6" s="143" t="n"/>
      <c r="AO6" s="144" t="inlineStr">
        <is>
          <t>752-2025, (27.02.2025) [IJZ]</t>
        </is>
      </c>
      <c r="AS6" s="143" t="n"/>
      <c r="AT6" s="142" t="n"/>
      <c r="AV6" s="145" t="n"/>
    </row>
    <row r="7" ht="17.625" customHeight="1" s="70">
      <c r="A7" s="146" t="n"/>
      <c r="B7" s="147" t="n"/>
      <c r="D7" s="148" t="inlineStr">
        <is>
          <t>2 of 2</t>
        </is>
      </c>
      <c r="E7" s="149" t="inlineStr">
        <is>
          <t>release testing + re-analysis 197</t>
        </is>
      </c>
      <c r="F7" s="150" t="inlineStr">
        <is>
          <t>iCoA-PP_26-003
CoQ-PP_26-003 · initial release
iCoA-PP_26-100
CoQ-PP_26-085 · retest</t>
        </is>
      </c>
      <c r="G7" s="151" t="n"/>
      <c r="H7" s="147" t="n"/>
      <c r="I7" s="152" t="n"/>
      <c r="J7" s="153" t="inlineStr">
        <is>
          <t>Conforms</t>
        </is>
      </c>
      <c r="K7" s="154">
        <f>IFERROR(INDEX('iCoA Register'!$B:$B,MATCH("BG1024|I",'iCoA Register'!$AA:$AA,0)),"iCoA — at issue")&amp;", (07.03.2025) [PP]"</f>
        <v/>
      </c>
      <c r="L7" s="155" t="inlineStr">
        <is>
          <t>✓</t>
        </is>
      </c>
      <c r="M7" s="153" t="inlineStr">
        <is>
          <t>Conforms (ImB spec.) ᴿ</t>
        </is>
      </c>
      <c r="N7" s="154" t="inlineStr">
        <is>
          <t>197-1-К-26, (07.08.2026) [FHM-K]</t>
        </is>
      </c>
      <c r="O7" s="155" t="inlineStr">
        <is>
          <t>✓</t>
        </is>
      </c>
      <c r="P7" s="156" t="inlineStr">
        <is>
          <t>26.14</t>
        </is>
      </c>
      <c r="Q7" s="154" t="inlineStr">
        <is>
          <t>197-1-К-26, (07.08.2026) [FHM-K]</t>
        </is>
      </c>
      <c r="R7" s="155" t="inlineStr">
        <is>
          <t>✓</t>
        </is>
      </c>
      <c r="S7" s="157" t="inlineStr">
        <is>
          <t>&lt; LOQ</t>
        </is>
      </c>
      <c r="T7" s="154" t="inlineStr">
        <is>
          <t>197-1-К-26, (07.08.2026) [FHM-K]</t>
        </is>
      </c>
      <c r="U7" s="155" t="inlineStr">
        <is>
          <t>✓</t>
        </is>
      </c>
      <c r="V7" s="157" t="inlineStr">
        <is>
          <t>0.28</t>
        </is>
      </c>
      <c r="W7" s="154" t="inlineStr">
        <is>
          <t>197-1-К-26, (07.08.2026) [FHM-K]</t>
        </is>
      </c>
      <c r="X7" s="155" t="inlineStr">
        <is>
          <t>✓</t>
        </is>
      </c>
      <c r="Y7" s="151" t="n"/>
      <c r="Z7" s="147" t="n"/>
      <c r="AA7" s="152" t="n"/>
      <c r="AB7" s="158" t="inlineStr">
        <is>
          <t>not on this certificate</t>
        </is>
      </c>
      <c r="AC7" s="159" t="inlineStr">
        <is>
          <t>197-1-К-26, (07.08.2026) [FHM-K] · on file, not credited</t>
        </is>
      </c>
      <c r="AD7" s="160" t="inlineStr">
        <is>
          <t>•</t>
        </is>
      </c>
      <c r="AE7" s="151" t="n"/>
      <c r="AF7" s="147" t="n"/>
      <c r="AG7" s="147" t="n"/>
      <c r="AH7" s="147" t="n"/>
      <c r="AI7" s="147" t="n"/>
      <c r="AJ7" s="152" t="n"/>
      <c r="AK7" s="161" t="inlineStr">
        <is>
          <t>ND</t>
        </is>
      </c>
      <c r="AL7" s="162" t="inlineStr">
        <is>
          <t>ND</t>
        </is>
      </c>
      <c r="AM7" s="162" t="inlineStr">
        <is>
          <t>ND</t>
        </is>
      </c>
      <c r="AN7" s="155" t="inlineStr">
        <is>
          <t>✓</t>
        </is>
      </c>
      <c r="AO7" s="151" t="n"/>
      <c r="AP7" s="147" t="n"/>
      <c r="AQ7" s="147" t="n"/>
      <c r="AR7" s="147" t="n"/>
      <c r="AS7" s="152" t="n"/>
      <c r="AT7" s="151" t="n"/>
      <c r="AU7" s="147" t="n"/>
      <c r="AV7" s="163" t="n"/>
    </row>
    <row r="8" ht="39" customHeight="1" s="70">
      <c r="A8" s="164" t="n"/>
      <c r="B8" s="165" t="n"/>
      <c r="C8" s="165" t="n"/>
      <c r="D8" s="165" t="n"/>
      <c r="E8" s="165" t="n"/>
      <c r="F8" s="165" t="n"/>
      <c r="G8" s="166" t="n"/>
      <c r="H8" s="165" t="n"/>
      <c r="I8" s="167" t="n"/>
      <c r="J8" s="166" t="n"/>
      <c r="K8" s="165" t="n"/>
      <c r="L8" s="167" t="n"/>
      <c r="M8" s="166" t="n"/>
      <c r="N8" s="165" t="n"/>
      <c r="O8" s="167" t="n"/>
      <c r="P8" s="166" t="n"/>
      <c r="Q8" s="165" t="n"/>
      <c r="R8" s="167" t="n"/>
      <c r="S8" s="166" t="n"/>
      <c r="T8" s="165" t="n"/>
      <c r="U8" s="167" t="n"/>
      <c r="V8" s="166" t="n"/>
      <c r="W8" s="165" t="n"/>
      <c r="X8" s="167" t="n"/>
      <c r="Y8" s="166" t="n"/>
      <c r="Z8" s="165" t="n"/>
      <c r="AA8" s="167" t="n"/>
      <c r="AB8" s="166" t="n"/>
      <c r="AC8" s="165" t="n"/>
      <c r="AD8" s="167" t="n"/>
      <c r="AE8" s="166" t="n"/>
      <c r="AF8" s="165" t="n"/>
      <c r="AG8" s="165" t="n"/>
      <c r="AH8" s="165" t="n"/>
      <c r="AI8" s="165" t="n"/>
      <c r="AJ8" s="167" t="n"/>
      <c r="AK8" s="168" t="inlineStr">
        <is>
          <t>197-1-М-26, (10.08.2026) [FHM-M]</t>
        </is>
      </c>
      <c r="AL8" s="165" t="n"/>
      <c r="AM8" s="165" t="n"/>
      <c r="AN8" s="167" t="n"/>
      <c r="AO8" s="166" t="n"/>
      <c r="AP8" s="165" t="n"/>
      <c r="AQ8" s="165" t="n"/>
      <c r="AR8" s="165" t="n"/>
      <c r="AS8" s="167" t="n"/>
      <c r="AT8" s="166" t="n"/>
      <c r="AU8" s="165" t="n"/>
      <c r="AV8" s="169" t="n"/>
    </row>
    <row r="9" ht="21" customHeight="1" s="70">
      <c r="A9" s="125" t="inlineStr">
        <is>
          <t>BSS1024</t>
        </is>
      </c>
      <c r="B9" s="126" t="inlineStr">
        <is>
          <t>N/A — no P batch assigned</t>
        </is>
      </c>
      <c r="C9" s="127" t="inlineStr">
        <is>
          <t>✓ COMPLETE
2 testing instances
• 2 document(s) on file, not credited</t>
        </is>
      </c>
      <c r="D9" s="128" t="inlineStr">
        <is>
          <t>1 of 2</t>
        </is>
      </c>
      <c r="E9" s="129" t="inlineStr">
        <is>
          <t>release testing</t>
        </is>
      </c>
      <c r="F9" s="130" t="inlineStr">
        <is>
          <t>iCoA-PP_26-002
CoQ-PP_26-002 · initial release</t>
        </is>
      </c>
      <c r="G9" s="131" t="inlineStr">
        <is>
          <t>Conforms</t>
        </is>
      </c>
      <c r="H9" s="132">
        <f>IFERROR(INDEX('iCoA Register'!$B:$B,MATCH("BSS1024|I",'iCoA Register'!$AA:$AA,0)),"iCoA — at issue")&amp;", (04.03.2025) [PP]"</f>
        <v/>
      </c>
      <c r="I9" s="133" t="inlineStr">
        <is>
          <t>✓</t>
        </is>
      </c>
      <c r="J9" s="134" t="inlineStr">
        <is>
          <t>not on this certificate</t>
        </is>
      </c>
      <c r="K9" s="135" t="inlineStr">
        <is>
          <t>ППК25051, (26.02.2025) [CNP] · on file, not credited</t>
        </is>
      </c>
      <c r="L9" s="136" t="inlineStr">
        <is>
          <t>•</t>
        </is>
      </c>
      <c r="M9" s="131" t="inlineStr">
        <is>
          <t>Conforms (ImB spec.)</t>
        </is>
      </c>
      <c r="N9" s="132" t="inlineStr">
        <is>
          <t>ППК25051, (26.02.2025) [CNP]</t>
        </is>
      </c>
      <c r="O9" s="133" t="inlineStr">
        <is>
          <t>✓</t>
        </is>
      </c>
      <c r="P9" s="137" t="inlineStr">
        <is>
          <t>21.03</t>
        </is>
      </c>
      <c r="Q9" s="132" t="inlineStr">
        <is>
          <t>ППК25051, (26.02.2025) [CNP]</t>
        </is>
      </c>
      <c r="R9" s="133" t="inlineStr">
        <is>
          <t>✓</t>
        </is>
      </c>
      <c r="S9" s="138" t="inlineStr">
        <is>
          <t>0.04</t>
        </is>
      </c>
      <c r="T9" s="132" t="inlineStr">
        <is>
          <t>ППК25051, (26.02.2025) [CNP]</t>
        </is>
      </c>
      <c r="U9" s="133" t="inlineStr">
        <is>
          <t>✓</t>
        </is>
      </c>
      <c r="V9" s="138" t="inlineStr">
        <is>
          <t>0.02 ᴰ</t>
        </is>
      </c>
      <c r="W9" s="132" t="inlineStr">
        <is>
          <t>ППК25051, (26.02.2025) [CNP]</t>
        </is>
      </c>
      <c r="X9" s="133" t="inlineStr">
        <is>
          <t>✓</t>
        </is>
      </c>
      <c r="Y9" s="131" t="inlineStr">
        <is>
          <t>Conforms</t>
        </is>
      </c>
      <c r="Z9" s="132">
        <f>IFERROR(INDEX('iCoA Register'!$B:$B,MATCH("BSS1024|I",'iCoA Register'!$AA:$AA,0)),"iCoA — at issue")&amp;", (04.03.2025) [PP]"</f>
        <v/>
      </c>
      <c r="AA9" s="133" t="inlineStr">
        <is>
          <t>✓</t>
        </is>
      </c>
      <c r="AB9" s="131" t="inlineStr">
        <is>
          <t>5.99</t>
        </is>
      </c>
      <c r="AC9" s="132" t="inlineStr">
        <is>
          <t>ППК25051, (26.02.2025) [CNP]</t>
        </is>
      </c>
      <c r="AD9" s="133" t="inlineStr">
        <is>
          <t>✓</t>
        </is>
      </c>
      <c r="AE9" s="131" t="inlineStr">
        <is>
          <t>1.5 × 10⁴</t>
        </is>
      </c>
      <c r="AF9" s="139" t="inlineStr">
        <is>
          <t>2.2 × 10³</t>
        </is>
      </c>
      <c r="AG9" s="139" t="inlineStr">
        <is>
          <t>&lt; 10² and &gt; 10</t>
        </is>
      </c>
      <c r="AH9" s="139" t="inlineStr">
        <is>
          <t>Absent</t>
        </is>
      </c>
      <c r="AI9" s="139" t="inlineStr">
        <is>
          <t>Absent</t>
        </is>
      </c>
      <c r="AJ9" s="133" t="inlineStr">
        <is>
          <t>✓</t>
        </is>
      </c>
      <c r="AK9" s="131" t="inlineStr">
        <is>
          <t>not reported</t>
        </is>
      </c>
      <c r="AL9" s="139" t="inlineStr">
        <is>
          <t>&lt; 2</t>
        </is>
      </c>
      <c r="AM9" s="139" t="inlineStr">
        <is>
          <t>not reported</t>
        </is>
      </c>
      <c r="AN9" s="133" t="inlineStr">
        <is>
          <t>✓</t>
        </is>
      </c>
      <c r="AO9" s="131" t="inlineStr">
        <is>
          <t>0.071</t>
        </is>
      </c>
      <c r="AP9" s="139" t="inlineStr">
        <is>
          <t>0.014</t>
        </is>
      </c>
      <c r="AQ9" s="139" t="inlineStr">
        <is>
          <t>0.081</t>
        </is>
      </c>
      <c r="AR9" s="139" t="inlineStr">
        <is>
          <t>0.014</t>
        </is>
      </c>
      <c r="AS9" s="133" t="inlineStr">
        <is>
          <t>✓</t>
        </is>
      </c>
      <c r="AT9" s="131" t="inlineStr">
        <is>
          <t>≤ LOQ (all 29 compounds)</t>
        </is>
      </c>
      <c r="AU9" s="132" t="inlineStr">
        <is>
          <t>751-2025, (27.02.2025) [IJZ]</t>
        </is>
      </c>
      <c r="AV9" s="140" t="inlineStr">
        <is>
          <t>✓</t>
        </is>
      </c>
    </row>
    <row r="10" ht="21" customHeight="1" s="70">
      <c r="A10" s="141" t="n"/>
      <c r="G10" s="142" t="n"/>
      <c r="I10" s="143" t="n"/>
      <c r="J10" s="142" t="n"/>
      <c r="L10" s="143" t="n"/>
      <c r="M10" s="142" t="n"/>
      <c r="O10" s="143" t="n"/>
      <c r="P10" s="142" t="n"/>
      <c r="R10" s="143" t="n"/>
      <c r="S10" s="142" t="n"/>
      <c r="U10" s="143" t="n"/>
      <c r="V10" s="142" t="n"/>
      <c r="X10" s="143" t="n"/>
      <c r="Y10" s="142" t="n"/>
      <c r="AA10" s="143" t="n"/>
      <c r="AB10" s="142" t="n"/>
      <c r="AD10" s="143" t="n"/>
      <c r="AE10" s="144" t="inlineStr">
        <is>
          <t>161-0269-25, (24.02.2025) [IJZ-MB]</t>
        </is>
      </c>
      <c r="AJ10" s="143" t="n"/>
      <c r="AK10" s="144" t="inlineStr">
        <is>
          <t>751-2025, (27.02.2025) [IJZ]</t>
        </is>
      </c>
      <c r="AN10" s="143" t="n"/>
      <c r="AO10" s="144" t="inlineStr">
        <is>
          <t>751-2025, (27.02.2025) [IJZ]</t>
        </is>
      </c>
      <c r="AS10" s="143" t="n"/>
      <c r="AT10" s="142" t="n"/>
      <c r="AV10" s="145" t="n"/>
    </row>
    <row r="11" ht="17.625" customHeight="1" s="70">
      <c r="A11" s="146" t="n"/>
      <c r="B11" s="147" t="n"/>
      <c r="D11" s="148" t="inlineStr">
        <is>
          <t>2 of 2</t>
        </is>
      </c>
      <c r="E11" s="149" t="inlineStr">
        <is>
          <t>release testing + re-analysis 197</t>
        </is>
      </c>
      <c r="F11" s="150" t="inlineStr">
        <is>
          <t>iCoA-PP_26-002
CoQ-PP_26-002 · initial release
iCoA-PP_26-101
CoQ-PP_26-086 · retest</t>
        </is>
      </c>
      <c r="G11" s="151" t="n"/>
      <c r="H11" s="147" t="n"/>
      <c r="I11" s="152" t="n"/>
      <c r="J11" s="153" t="inlineStr">
        <is>
          <t>Conforms</t>
        </is>
      </c>
      <c r="K11" s="154">
        <f>IFERROR(INDEX('iCoA Register'!$B:$B,MATCH("BSS1024|I",'iCoA Register'!$AA:$AA,0)),"iCoA — at issue")&amp;", (04.03.2025) [PP]"</f>
        <v/>
      </c>
      <c r="L11" s="155" t="inlineStr">
        <is>
          <t>✓</t>
        </is>
      </c>
      <c r="M11" s="153" t="inlineStr">
        <is>
          <t>Conforms (ImB spec.)</t>
        </is>
      </c>
      <c r="N11" s="154" t="inlineStr">
        <is>
          <t>197-2-К-26, (07.08.2026) [FHM-K]</t>
        </is>
      </c>
      <c r="O11" s="155" t="inlineStr">
        <is>
          <t>✓</t>
        </is>
      </c>
      <c r="P11" s="156" t="inlineStr">
        <is>
          <t>25.01</t>
        </is>
      </c>
      <c r="Q11" s="154" t="inlineStr">
        <is>
          <t>197-2-К-26, (07.08.2026) [FHM-K]</t>
        </is>
      </c>
      <c r="R11" s="155" t="inlineStr">
        <is>
          <t>✓</t>
        </is>
      </c>
      <c r="S11" s="157" t="inlineStr">
        <is>
          <t>&lt; LOQ</t>
        </is>
      </c>
      <c r="T11" s="154" t="inlineStr">
        <is>
          <t>197-2-К-26, (07.08.2026) [FHM-K]</t>
        </is>
      </c>
      <c r="U11" s="155" t="inlineStr">
        <is>
          <t>✓</t>
        </is>
      </c>
      <c r="V11" s="157" t="inlineStr">
        <is>
          <t>&lt; LOQ</t>
        </is>
      </c>
      <c r="W11" s="154" t="inlineStr">
        <is>
          <t>197-2-К-26, (07.08.2026) [FHM-K]</t>
        </is>
      </c>
      <c r="X11" s="155" t="inlineStr">
        <is>
          <t>✓</t>
        </is>
      </c>
      <c r="Y11" s="151" t="n"/>
      <c r="Z11" s="147" t="n"/>
      <c r="AA11" s="152" t="n"/>
      <c r="AB11" s="158" t="inlineStr">
        <is>
          <t>not on this certificate</t>
        </is>
      </c>
      <c r="AC11" s="159" t="inlineStr">
        <is>
          <t>197-2-К-26, (07.08.2026) [FHM-K] · on file, not credited</t>
        </is>
      </c>
      <c r="AD11" s="160" t="inlineStr">
        <is>
          <t>•</t>
        </is>
      </c>
      <c r="AE11" s="151" t="n"/>
      <c r="AF11" s="147" t="n"/>
      <c r="AG11" s="147" t="n"/>
      <c r="AH11" s="147" t="n"/>
      <c r="AI11" s="147" t="n"/>
      <c r="AJ11" s="152" t="n"/>
      <c r="AK11" s="161" t="inlineStr">
        <is>
          <t>ND</t>
        </is>
      </c>
      <c r="AL11" s="162" t="inlineStr">
        <is>
          <t>ND</t>
        </is>
      </c>
      <c r="AM11" s="162" t="inlineStr">
        <is>
          <t>ND</t>
        </is>
      </c>
      <c r="AN11" s="155" t="inlineStr">
        <is>
          <t>✓</t>
        </is>
      </c>
      <c r="AO11" s="151" t="n"/>
      <c r="AP11" s="147" t="n"/>
      <c r="AQ11" s="147" t="n"/>
      <c r="AR11" s="147" t="n"/>
      <c r="AS11" s="152" t="n"/>
      <c r="AT11" s="151" t="n"/>
      <c r="AU11" s="147" t="n"/>
      <c r="AV11" s="163" t="n"/>
    </row>
    <row r="12" ht="39" customHeight="1" s="70">
      <c r="A12" s="164" t="n"/>
      <c r="B12" s="165" t="n"/>
      <c r="C12" s="165" t="n"/>
      <c r="D12" s="165" t="n"/>
      <c r="E12" s="165" t="n"/>
      <c r="F12" s="165" t="n"/>
      <c r="G12" s="166" t="n"/>
      <c r="H12" s="165" t="n"/>
      <c r="I12" s="167" t="n"/>
      <c r="J12" s="166" t="n"/>
      <c r="K12" s="165" t="n"/>
      <c r="L12" s="167" t="n"/>
      <c r="M12" s="166" t="n"/>
      <c r="N12" s="165" t="n"/>
      <c r="O12" s="167" t="n"/>
      <c r="P12" s="166" t="n"/>
      <c r="Q12" s="165" t="n"/>
      <c r="R12" s="167" t="n"/>
      <c r="S12" s="166" t="n"/>
      <c r="T12" s="165" t="n"/>
      <c r="U12" s="167" t="n"/>
      <c r="V12" s="166" t="n"/>
      <c r="W12" s="165" t="n"/>
      <c r="X12" s="167" t="n"/>
      <c r="Y12" s="166" t="n"/>
      <c r="Z12" s="165" t="n"/>
      <c r="AA12" s="167" t="n"/>
      <c r="AB12" s="166" t="n"/>
      <c r="AC12" s="165" t="n"/>
      <c r="AD12" s="167" t="n"/>
      <c r="AE12" s="166" t="n"/>
      <c r="AF12" s="165" t="n"/>
      <c r="AG12" s="165" t="n"/>
      <c r="AH12" s="165" t="n"/>
      <c r="AI12" s="165" t="n"/>
      <c r="AJ12" s="167" t="n"/>
      <c r="AK12" s="168" t="inlineStr">
        <is>
          <t>197-2-М-26, (10.08.2026) [FHM-M]</t>
        </is>
      </c>
      <c r="AL12" s="165" t="n"/>
      <c r="AM12" s="165" t="n"/>
      <c r="AN12" s="167" t="n"/>
      <c r="AO12" s="166" t="n"/>
      <c r="AP12" s="165" t="n"/>
      <c r="AQ12" s="165" t="n"/>
      <c r="AR12" s="165" t="n"/>
      <c r="AS12" s="167" t="n"/>
      <c r="AT12" s="166" t="n"/>
      <c r="AU12" s="165" t="n"/>
      <c r="AV12" s="169" t="n"/>
    </row>
    <row r="13" ht="21" customHeight="1" s="70">
      <c r="A13" s="125" t="inlineStr">
        <is>
          <t>CC112501</t>
        </is>
      </c>
      <c r="B13" s="126" t="inlineStr">
        <is>
          <t>P060272</t>
        </is>
      </c>
      <c r="C13" s="127" t="inlineStr">
        <is>
          <t>✓ COMPLETE
2 testing instances
• 1 document(s) on file, not credited</t>
        </is>
      </c>
      <c r="D13" s="128" t="inlineStr">
        <is>
          <t>1 of 2</t>
        </is>
      </c>
      <c r="E13" s="129" t="inlineStr">
        <is>
          <t>release testing</t>
        </is>
      </c>
      <c r="F13" s="130" t="inlineStr">
        <is>
          <t>iCoA-PP_26-073
CoQ-PP_26-063 · initial release</t>
        </is>
      </c>
      <c r="G13" s="131" t="inlineStr">
        <is>
          <t>Conforms</t>
        </is>
      </c>
      <c r="H13" s="132">
        <f>IFERROR(INDEX('iCoA Register'!$B:$B,MATCH("P060272|I",'iCoA Register'!$AA:$AA,0)),"iCoA — at issue")&amp;", (18.05.2026) [PP]"</f>
        <v/>
      </c>
      <c r="I13" s="133" t="inlineStr">
        <is>
          <t>✓</t>
        </is>
      </c>
      <c r="J13" s="134" t="inlineStr">
        <is>
          <t>not on this certificate</t>
        </is>
      </c>
      <c r="K13" s="135" t="inlineStr">
        <is>
          <t>ППК26068, (11.05.2026) [CNP] · on file, not credited</t>
        </is>
      </c>
      <c r="L13" s="136" t="inlineStr">
        <is>
          <t>•</t>
        </is>
      </c>
      <c r="M13" s="131" t="inlineStr">
        <is>
          <t>Conforms (ImB spec.)</t>
        </is>
      </c>
      <c r="N13" s="132" t="inlineStr">
        <is>
          <t>ППК26068, (11.05.2026) [CNP]</t>
        </is>
      </c>
      <c r="O13" s="133" t="inlineStr">
        <is>
          <t>✓</t>
        </is>
      </c>
      <c r="P13" s="137" t="inlineStr">
        <is>
          <t>13.35</t>
        </is>
      </c>
      <c r="Q13" s="132" t="inlineStr">
        <is>
          <t>ППК26068, (11.05.2026) [CNP]</t>
        </is>
      </c>
      <c r="R13" s="133" t="inlineStr">
        <is>
          <t>✓</t>
        </is>
      </c>
      <c r="S13" s="138" t="inlineStr">
        <is>
          <t>0.04</t>
        </is>
      </c>
      <c r="T13" s="132" t="inlineStr">
        <is>
          <t>ППК26068, (11.05.2026) [CNP]</t>
        </is>
      </c>
      <c r="U13" s="133" t="inlineStr">
        <is>
          <t>✓</t>
        </is>
      </c>
      <c r="V13" s="138" t="inlineStr">
        <is>
          <t>&lt; LOQ ᴰ</t>
        </is>
      </c>
      <c r="W13" s="132" t="inlineStr">
        <is>
          <t>ППК26068, (11.05.2026) [CNP]</t>
        </is>
      </c>
      <c r="X13" s="133" t="inlineStr">
        <is>
          <t>✓</t>
        </is>
      </c>
      <c r="Y13" s="131" t="inlineStr">
        <is>
          <t>Conforms</t>
        </is>
      </c>
      <c r="Z13" s="132">
        <f>IFERROR(INDEX('iCoA Register'!$B:$B,MATCH("P060272|I",'iCoA Register'!$AA:$AA,0)),"iCoA — at issue")&amp;", (18.05.2026) [PP]"</f>
        <v/>
      </c>
      <c r="AA13" s="133" t="inlineStr">
        <is>
          <t>✓</t>
        </is>
      </c>
      <c r="AB13" s="131" t="inlineStr">
        <is>
          <t>7.39</t>
        </is>
      </c>
      <c r="AC13" s="132" t="inlineStr">
        <is>
          <t>ППК26068, (11.05.2026) [CNP]</t>
        </is>
      </c>
      <c r="AD13" s="133" t="inlineStr">
        <is>
          <t>✓</t>
        </is>
      </c>
      <c r="AE13" s="131" t="inlineStr">
        <is>
          <t>3.8 × 10³</t>
        </is>
      </c>
      <c r="AF13" s="139" t="inlineStr">
        <is>
          <t>2.7 × 10³</t>
        </is>
      </c>
      <c r="AG13" s="139" t="inlineStr">
        <is>
          <t>&lt; 10³ and &gt; 10²</t>
        </is>
      </c>
      <c r="AH13" s="139" t="inlineStr">
        <is>
          <t>Absent</t>
        </is>
      </c>
      <c r="AI13" s="139" t="inlineStr">
        <is>
          <t>Absent</t>
        </is>
      </c>
      <c r="AJ13" s="133" t="inlineStr">
        <is>
          <t>✓</t>
        </is>
      </c>
      <c r="AK13" s="131" t="inlineStr">
        <is>
          <t>not reported</t>
        </is>
      </c>
      <c r="AL13" s="139" t="inlineStr">
        <is>
          <t>&lt; 2</t>
        </is>
      </c>
      <c r="AM13" s="139" t="inlineStr">
        <is>
          <t>not reported</t>
        </is>
      </c>
      <c r="AN13" s="133" t="inlineStr">
        <is>
          <t>✓</t>
        </is>
      </c>
      <c r="AO13" s="131" t="inlineStr">
        <is>
          <t>0.0289</t>
        </is>
      </c>
      <c r="AP13" s="139" t="inlineStr">
        <is>
          <t>0.0119</t>
        </is>
      </c>
      <c r="AQ13" s="139" t="inlineStr">
        <is>
          <t>0.016</t>
        </is>
      </c>
      <c r="AR13" s="139" t="inlineStr">
        <is>
          <t>0.0102</t>
        </is>
      </c>
      <c r="AS13" s="133" t="inlineStr">
        <is>
          <t>✓</t>
        </is>
      </c>
      <c r="AT13" s="131" t="inlineStr">
        <is>
          <t>≤ LOQ (all 29 compounds)</t>
        </is>
      </c>
      <c r="AU13" s="132" t="inlineStr">
        <is>
          <t>2359-2026, (29.04.2026) [IJZ]</t>
        </is>
      </c>
      <c r="AV13" s="140" t="inlineStr">
        <is>
          <t>✓</t>
        </is>
      </c>
    </row>
    <row r="14" ht="21" customHeight="1" s="70">
      <c r="A14" s="141" t="n"/>
      <c r="G14" s="142" t="n"/>
      <c r="I14" s="143" t="n"/>
      <c r="J14" s="142" t="n"/>
      <c r="L14" s="143" t="n"/>
      <c r="M14" s="142" t="n"/>
      <c r="O14" s="143" t="n"/>
      <c r="P14" s="142" t="n"/>
      <c r="R14" s="143" t="n"/>
      <c r="S14" s="142" t="n"/>
      <c r="U14" s="143" t="n"/>
      <c r="V14" s="142" t="n"/>
      <c r="X14" s="143" t="n"/>
      <c r="Y14" s="142" t="n"/>
      <c r="AA14" s="143" t="n"/>
      <c r="AB14" s="142" t="n"/>
      <c r="AD14" s="143" t="n"/>
      <c r="AE14" s="144" t="inlineStr">
        <is>
          <t>311-0555-26, (28.04.2026) [IJZ-MB]</t>
        </is>
      </c>
      <c r="AJ14" s="143" t="n"/>
      <c r="AK14" s="144" t="inlineStr">
        <is>
          <t>2359-2026, (29.04.2026) [IJZ]</t>
        </is>
      </c>
      <c r="AN14" s="143" t="n"/>
      <c r="AO14" s="144" t="inlineStr">
        <is>
          <t>2359-2026, (29.04.2026) [IJZ]</t>
        </is>
      </c>
      <c r="AS14" s="143" t="n"/>
      <c r="AT14" s="142" t="n"/>
      <c r="AV14" s="145" t="n"/>
    </row>
    <row r="15" ht="21" customHeight="1" s="70">
      <c r="A15" s="146" t="n"/>
      <c r="B15" s="147" t="n"/>
      <c r="D15" s="148" t="inlineStr">
        <is>
          <t>2 of 2</t>
        </is>
      </c>
      <c r="E15" s="149" t="inlineStr">
        <is>
          <t>release testing + re-analysis 227 + re-test campaign (IJZ-MB)</t>
        </is>
      </c>
      <c r="F15" s="150" t="inlineStr">
        <is>
          <t>iCoA-PP_26-073
CoQ-PP_26-063 · initial release
iCoA-PP_26-177
CoQ-PP_26-139 · retest</t>
        </is>
      </c>
      <c r="G15" s="151" t="n"/>
      <c r="H15" s="147" t="n"/>
      <c r="I15" s="152" t="n"/>
      <c r="J15" s="153" t="inlineStr">
        <is>
          <t>Conforms</t>
        </is>
      </c>
      <c r="K15" s="154">
        <f>IFERROR(INDEX('iCoA Register'!$B:$B,MATCH("P060272|I",'iCoA Register'!$AA:$AA,0)),"iCoA — at issue")&amp;", (18.05.2026) [PP]"</f>
        <v/>
      </c>
      <c r="L15" s="155" t="inlineStr">
        <is>
          <t>✓</t>
        </is>
      </c>
      <c r="M15" s="153" t="inlineStr">
        <is>
          <t>Conforms (ImB spec.)</t>
        </is>
      </c>
      <c r="N15" s="154" t="inlineStr">
        <is>
          <t>227-25-К-26, (11.09.2026) [FHM-K]</t>
        </is>
      </c>
      <c r="O15" s="155" t="inlineStr">
        <is>
          <t>✓</t>
        </is>
      </c>
      <c r="P15" s="156" t="inlineStr">
        <is>
          <t>16.36</t>
        </is>
      </c>
      <c r="Q15" s="154" t="inlineStr">
        <is>
          <t>227-25-К-26, (11.09.2026) [FHM-K]</t>
        </is>
      </c>
      <c r="R15" s="155" t="inlineStr">
        <is>
          <t>✓</t>
        </is>
      </c>
      <c r="S15" s="157" t="inlineStr">
        <is>
          <t>&lt; LOQ</t>
        </is>
      </c>
      <c r="T15" s="154" t="inlineStr">
        <is>
          <t>227-25-К-26, (11.09.2026) [FHM-K]</t>
        </is>
      </c>
      <c r="U15" s="155" t="inlineStr">
        <is>
          <t>✓</t>
        </is>
      </c>
      <c r="V15" s="157" t="inlineStr">
        <is>
          <t>&lt; LOQ</t>
        </is>
      </c>
      <c r="W15" s="154" t="inlineStr">
        <is>
          <t>227-25-К-26, (11.09.2026) [FHM-K]</t>
        </is>
      </c>
      <c r="X15" s="155" t="inlineStr">
        <is>
          <t>✓</t>
        </is>
      </c>
      <c r="Y15" s="151" t="n"/>
      <c r="Z15" s="147" t="n"/>
      <c r="AA15" s="152" t="n"/>
      <c r="AB15" s="151" t="n"/>
      <c r="AC15" s="147" t="n"/>
      <c r="AD15" s="152" t="n"/>
      <c r="AE15" s="161" t="inlineStr">
        <is>
          <t>1.6 × 10³</t>
        </is>
      </c>
      <c r="AF15" s="162" t="inlineStr">
        <is>
          <t>1 × 10³</t>
        </is>
      </c>
      <c r="AG15" s="162" t="inlineStr">
        <is>
          <t>&lt; 10³ and &gt; 10²</t>
        </is>
      </c>
      <c r="AH15" s="162" t="inlineStr">
        <is>
          <t>Absent</t>
        </is>
      </c>
      <c r="AI15" s="162" t="inlineStr">
        <is>
          <t>Absent</t>
        </is>
      </c>
      <c r="AJ15" s="155" t="inlineStr">
        <is>
          <t>✓</t>
        </is>
      </c>
      <c r="AK15" s="151" t="n"/>
      <c r="AL15" s="147" t="n"/>
      <c r="AM15" s="147" t="n"/>
      <c r="AN15" s="152" t="n"/>
      <c r="AO15" s="151" t="n"/>
      <c r="AP15" s="147" t="n"/>
      <c r="AQ15" s="147" t="n"/>
      <c r="AR15" s="147" t="n"/>
      <c r="AS15" s="152" t="n"/>
      <c r="AT15" s="151" t="n"/>
      <c r="AU15" s="147" t="n"/>
      <c r="AV15" s="163" t="n"/>
    </row>
    <row r="16" ht="39" customHeight="1" s="70">
      <c r="A16" s="164" t="n"/>
      <c r="B16" s="165" t="n"/>
      <c r="C16" s="165" t="n"/>
      <c r="D16" s="165" t="n"/>
      <c r="E16" s="165" t="n"/>
      <c r="F16" s="165" t="n"/>
      <c r="G16" s="166" t="n"/>
      <c r="H16" s="165" t="n"/>
      <c r="I16" s="167" t="n"/>
      <c r="J16" s="166" t="n"/>
      <c r="K16" s="165" t="n"/>
      <c r="L16" s="167" t="n"/>
      <c r="M16" s="166" t="n"/>
      <c r="N16" s="165" t="n"/>
      <c r="O16" s="167" t="n"/>
      <c r="P16" s="166" t="n"/>
      <c r="Q16" s="165" t="n"/>
      <c r="R16" s="167" t="n"/>
      <c r="S16" s="166" t="n"/>
      <c r="T16" s="165" t="n"/>
      <c r="U16" s="167" t="n"/>
      <c r="V16" s="166" t="n"/>
      <c r="W16" s="165" t="n"/>
      <c r="X16" s="167" t="n"/>
      <c r="Y16" s="166" t="n"/>
      <c r="Z16" s="165" t="n"/>
      <c r="AA16" s="167" t="n"/>
      <c r="AB16" s="166" t="n"/>
      <c r="AC16" s="165" t="n"/>
      <c r="AD16" s="167" t="n"/>
      <c r="AE16" s="168" t="inlineStr">
        <is>
          <t>543-1074-26, (31.08.2026) [IJZ-MB]</t>
        </is>
      </c>
      <c r="AF16" s="165" t="n"/>
      <c r="AG16" s="165" t="n"/>
      <c r="AH16" s="165" t="n"/>
      <c r="AI16" s="165" t="n"/>
      <c r="AJ16" s="167" t="n"/>
      <c r="AK16" s="166" t="n"/>
      <c r="AL16" s="165" t="n"/>
      <c r="AM16" s="165" t="n"/>
      <c r="AN16" s="167" t="n"/>
      <c r="AO16" s="166" t="n"/>
      <c r="AP16" s="165" t="n"/>
      <c r="AQ16" s="165" t="n"/>
      <c r="AR16" s="165" t="n"/>
      <c r="AS16" s="167" t="n"/>
      <c r="AT16" s="166" t="n"/>
      <c r="AU16" s="165" t="n"/>
      <c r="AV16" s="169" t="n"/>
    </row>
    <row r="17" ht="21" customHeight="1" s="70">
      <c r="A17" s="125" t="inlineStr">
        <is>
          <t>CJ1024</t>
        </is>
      </c>
      <c r="B17" s="126" t="inlineStr">
        <is>
          <t>N/A — no P batch assigned</t>
        </is>
      </c>
      <c r="C17" s="127" t="inlineStr">
        <is>
          <t>✓ COMPLETE
2 testing instances
• 1 document(s) on file, not credited</t>
        </is>
      </c>
      <c r="D17" s="128" t="inlineStr">
        <is>
          <t>1 of 2</t>
        </is>
      </c>
      <c r="E17" s="129" t="inlineStr">
        <is>
          <t>release testing</t>
        </is>
      </c>
      <c r="F17" s="130" t="inlineStr">
        <is>
          <t>iCoA-PP_26-001
CoQ-PP_26-001 · initial release</t>
        </is>
      </c>
      <c r="G17" s="131" t="inlineStr">
        <is>
          <t>Conforms</t>
        </is>
      </c>
      <c r="H17" s="132">
        <f>IFERROR(INDEX('iCoA Register'!$B:$B,MATCH("CJ1024|I",'iCoA Register'!$AA:$AA,0)),"iCoA — at issue")&amp;", (03.03.2025) [PP]"</f>
        <v/>
      </c>
      <c r="I17" s="133" t="inlineStr">
        <is>
          <t>✓</t>
        </is>
      </c>
      <c r="J17" s="134" t="inlineStr">
        <is>
          <t>not on this certificate</t>
        </is>
      </c>
      <c r="K17" s="135" t="inlineStr">
        <is>
          <t>ППК25052, (26.02.2025) [CNP] · on file, not credited</t>
        </is>
      </c>
      <c r="L17" s="136" t="inlineStr">
        <is>
          <t>•</t>
        </is>
      </c>
      <c r="M17" s="131" t="inlineStr">
        <is>
          <t>Conforms (ImB spec.)</t>
        </is>
      </c>
      <c r="N17" s="132" t="inlineStr">
        <is>
          <t>ППК25052, (26.02.2025) [CNP]</t>
        </is>
      </c>
      <c r="O17" s="133" t="inlineStr">
        <is>
          <t>✓</t>
        </is>
      </c>
      <c r="P17" s="137" t="inlineStr">
        <is>
          <t>23.00</t>
        </is>
      </c>
      <c r="Q17" s="132" t="inlineStr">
        <is>
          <t>ППК25052, (26.02.2025) [CNP]</t>
        </is>
      </c>
      <c r="R17" s="133" t="inlineStr">
        <is>
          <t>✓</t>
        </is>
      </c>
      <c r="S17" s="138" t="inlineStr">
        <is>
          <t>0.05</t>
        </is>
      </c>
      <c r="T17" s="132" t="inlineStr">
        <is>
          <t>ППК25052, (26.02.2025) [CNP]</t>
        </is>
      </c>
      <c r="U17" s="133" t="inlineStr">
        <is>
          <t>✓</t>
        </is>
      </c>
      <c r="V17" s="138" t="inlineStr">
        <is>
          <t>0.02 ᴰ</t>
        </is>
      </c>
      <c r="W17" s="132" t="inlineStr">
        <is>
          <t>ППК25052, (26.02.2025) [CNP]</t>
        </is>
      </c>
      <c r="X17" s="133" t="inlineStr">
        <is>
          <t>✓</t>
        </is>
      </c>
      <c r="Y17" s="131" t="inlineStr">
        <is>
          <t>Conforms</t>
        </is>
      </c>
      <c r="Z17" s="132">
        <f>IFERROR(INDEX('iCoA Register'!$B:$B,MATCH("CJ1024|I",'iCoA Register'!$AA:$AA,0)),"iCoA — at issue")&amp;", (03.03.2025) [PP]"</f>
        <v/>
      </c>
      <c r="AA17" s="133" t="inlineStr">
        <is>
          <t>✓</t>
        </is>
      </c>
      <c r="AB17" s="131" t="inlineStr">
        <is>
          <t>5.91</t>
        </is>
      </c>
      <c r="AC17" s="132" t="inlineStr">
        <is>
          <t>ППК25052, (26.02.2025) [CNP]</t>
        </is>
      </c>
      <c r="AD17" s="133" t="inlineStr">
        <is>
          <t>✓</t>
        </is>
      </c>
      <c r="AE17" s="131" t="inlineStr">
        <is>
          <t>8.4 × 10³</t>
        </is>
      </c>
      <c r="AF17" s="139" t="inlineStr">
        <is>
          <t>&lt; 10</t>
        </is>
      </c>
      <c r="AG17" s="139" t="inlineStr">
        <is>
          <t>&lt; 10</t>
        </is>
      </c>
      <c r="AH17" s="139" t="inlineStr">
        <is>
          <t>Absent</t>
        </is>
      </c>
      <c r="AI17" s="139" t="inlineStr">
        <is>
          <t>Absent</t>
        </is>
      </c>
      <c r="AJ17" s="133" t="inlineStr">
        <is>
          <t>✓</t>
        </is>
      </c>
      <c r="AK17" s="131" t="inlineStr">
        <is>
          <t>not reported</t>
        </is>
      </c>
      <c r="AL17" s="139" t="inlineStr">
        <is>
          <t>&lt; 2</t>
        </is>
      </c>
      <c r="AM17" s="139" t="inlineStr">
        <is>
          <t>not reported</t>
        </is>
      </c>
      <c r="AN17" s="133" t="inlineStr">
        <is>
          <t>✓</t>
        </is>
      </c>
      <c r="AO17" s="131" t="inlineStr">
        <is>
          <t>0.036</t>
        </is>
      </c>
      <c r="AP17" s="139" t="inlineStr">
        <is>
          <t>0.013</t>
        </is>
      </c>
      <c r="AQ17" s="139" t="inlineStr">
        <is>
          <t>0.063</t>
        </is>
      </c>
      <c r="AR17" s="139" t="inlineStr">
        <is>
          <t>0.006</t>
        </is>
      </c>
      <c r="AS17" s="133" t="inlineStr">
        <is>
          <t>✓</t>
        </is>
      </c>
      <c r="AT17" s="131" t="inlineStr">
        <is>
          <t>≤ LOQ (all 29 compounds)</t>
        </is>
      </c>
      <c r="AU17" s="132" t="inlineStr">
        <is>
          <t>750-2025, (27.02.2025) [IJZ]</t>
        </is>
      </c>
      <c r="AV17" s="140" t="inlineStr">
        <is>
          <t>✓</t>
        </is>
      </c>
    </row>
    <row r="18" ht="21" customHeight="1" s="70">
      <c r="A18" s="141" t="n"/>
      <c r="G18" s="142" t="n"/>
      <c r="I18" s="143" t="n"/>
      <c r="J18" s="142" t="n"/>
      <c r="L18" s="143" t="n"/>
      <c r="M18" s="142" t="n"/>
      <c r="O18" s="143" t="n"/>
      <c r="P18" s="142" t="n"/>
      <c r="R18" s="143" t="n"/>
      <c r="S18" s="142" t="n"/>
      <c r="U18" s="143" t="n"/>
      <c r="V18" s="142" t="n"/>
      <c r="X18" s="143" t="n"/>
      <c r="Y18" s="142" t="n"/>
      <c r="AA18" s="143" t="n"/>
      <c r="AB18" s="142" t="n"/>
      <c r="AD18" s="143" t="n"/>
      <c r="AE18" s="144" t="inlineStr">
        <is>
          <t>164-0272-25, (24.02.2025) [IJZ-MB]</t>
        </is>
      </c>
      <c r="AJ18" s="143" t="n"/>
      <c r="AK18" s="144" t="inlineStr">
        <is>
          <t>750-2025, (27.02.2025) [IJZ]</t>
        </is>
      </c>
      <c r="AN18" s="143" t="n"/>
      <c r="AO18" s="144" t="inlineStr">
        <is>
          <t>750-2025, (27.02.2025) [IJZ]</t>
        </is>
      </c>
      <c r="AS18" s="143" t="n"/>
      <c r="AT18" s="142" t="n"/>
      <c r="AV18" s="145" t="n"/>
    </row>
    <row r="19" ht="17.625" customHeight="1" s="70">
      <c r="A19" s="146" t="n"/>
      <c r="B19" s="147" t="n"/>
      <c r="D19" s="148" t="inlineStr">
        <is>
          <t>2 of 2</t>
        </is>
      </c>
      <c r="E19" s="149" t="inlineStr">
        <is>
          <t>release testing + re-analysis 227 + re-test campaign (IJZ-MB)</t>
        </is>
      </c>
      <c r="F19" s="150" t="inlineStr">
        <is>
          <t>iCoA-PP_26-001
CoQ-PP_26-001 · initial release
iCoA-PP_26-180
CoQ-PP_26-142 · retest</t>
        </is>
      </c>
      <c r="G19" s="151" t="n"/>
      <c r="H19" s="147" t="n"/>
      <c r="I19" s="152" t="n"/>
      <c r="J19" s="153" t="inlineStr">
        <is>
          <t>Conforms</t>
        </is>
      </c>
      <c r="K19" s="154">
        <f>IFERROR(INDEX('iCoA Register'!$B:$B,MATCH("CJ1024|I",'iCoA Register'!$AA:$AA,0)),"iCoA — at issue")&amp;", (03.03.2025) [PP]"</f>
        <v/>
      </c>
      <c r="L19" s="155" t="inlineStr">
        <is>
          <t>✓</t>
        </is>
      </c>
      <c r="M19" s="153" t="inlineStr">
        <is>
          <t>Conforms (ImB spec.)</t>
        </is>
      </c>
      <c r="N19" s="154" t="inlineStr">
        <is>
          <t>227-26-К-26, (11.09.2026) [FHM-K]</t>
        </is>
      </c>
      <c r="O19" s="155" t="inlineStr">
        <is>
          <t>✓</t>
        </is>
      </c>
      <c r="P19" s="156" t="inlineStr">
        <is>
          <t>28.12</t>
        </is>
      </c>
      <c r="Q19" s="154" t="inlineStr">
        <is>
          <t>227-26-К-26, (11.09.2026) [FHM-K]</t>
        </is>
      </c>
      <c r="R19" s="155" t="inlineStr">
        <is>
          <t>✓</t>
        </is>
      </c>
      <c r="S19" s="157" t="inlineStr">
        <is>
          <t>&lt; LOQ</t>
        </is>
      </c>
      <c r="T19" s="154" t="inlineStr">
        <is>
          <t>227-26-К-26, (11.09.2026) [FHM-K]</t>
        </is>
      </c>
      <c r="U19" s="155" t="inlineStr">
        <is>
          <t>✓</t>
        </is>
      </c>
      <c r="V19" s="157" t="inlineStr">
        <is>
          <t>0.20</t>
        </is>
      </c>
      <c r="W19" s="154" t="inlineStr">
        <is>
          <t>227-26-К-26, (11.09.2026) [FHM-K]</t>
        </is>
      </c>
      <c r="X19" s="155" t="inlineStr">
        <is>
          <t>✓</t>
        </is>
      </c>
      <c r="Y19" s="151" t="n"/>
      <c r="Z19" s="147" t="n"/>
      <c r="AA19" s="152" t="n"/>
      <c r="AB19" s="151" t="n"/>
      <c r="AC19" s="147" t="n"/>
      <c r="AD19" s="152" t="n"/>
      <c r="AE19" s="161" t="inlineStr">
        <is>
          <t>&lt; 10</t>
        </is>
      </c>
      <c r="AF19" s="162" t="inlineStr">
        <is>
          <t>10</t>
        </is>
      </c>
      <c r="AG19" s="162" t="inlineStr">
        <is>
          <t>&lt; 10</t>
        </is>
      </c>
      <c r="AH19" s="162" t="inlineStr">
        <is>
          <t>Absent</t>
        </is>
      </c>
      <c r="AI19" s="162" t="inlineStr">
        <is>
          <t>Absent</t>
        </is>
      </c>
      <c r="AJ19" s="155" t="inlineStr">
        <is>
          <t>✓</t>
        </is>
      </c>
      <c r="AK19" s="151" t="n"/>
      <c r="AL19" s="147" t="n"/>
      <c r="AM19" s="147" t="n"/>
      <c r="AN19" s="152" t="n"/>
      <c r="AO19" s="151" t="n"/>
      <c r="AP19" s="147" t="n"/>
      <c r="AQ19" s="147" t="n"/>
      <c r="AR19" s="147" t="n"/>
      <c r="AS19" s="152" t="n"/>
      <c r="AT19" s="151" t="n"/>
      <c r="AU19" s="147" t="n"/>
      <c r="AV19" s="163" t="n"/>
    </row>
    <row r="20" ht="39" customHeight="1" s="70">
      <c r="A20" s="164" t="n"/>
      <c r="B20" s="165" t="n"/>
      <c r="C20" s="165" t="n"/>
      <c r="D20" s="165" t="n"/>
      <c r="E20" s="165" t="n"/>
      <c r="F20" s="165" t="n"/>
      <c r="G20" s="166" t="n"/>
      <c r="H20" s="165" t="n"/>
      <c r="I20" s="167" t="n"/>
      <c r="J20" s="166" t="n"/>
      <c r="K20" s="165" t="n"/>
      <c r="L20" s="167" t="n"/>
      <c r="M20" s="166" t="n"/>
      <c r="N20" s="165" t="n"/>
      <c r="O20" s="167" t="n"/>
      <c r="P20" s="166" t="n"/>
      <c r="Q20" s="165" t="n"/>
      <c r="R20" s="167" t="n"/>
      <c r="S20" s="166" t="n"/>
      <c r="T20" s="165" t="n"/>
      <c r="U20" s="167" t="n"/>
      <c r="V20" s="166" t="n"/>
      <c r="W20" s="165" t="n"/>
      <c r="X20" s="167" t="n"/>
      <c r="Y20" s="166" t="n"/>
      <c r="Z20" s="165" t="n"/>
      <c r="AA20" s="167" t="n"/>
      <c r="AB20" s="166" t="n"/>
      <c r="AC20" s="165" t="n"/>
      <c r="AD20" s="167" t="n"/>
      <c r="AE20" s="168" t="inlineStr">
        <is>
          <t>565-1096-26, (01.09.2026) [IJZ-MB]</t>
        </is>
      </c>
      <c r="AF20" s="165" t="n"/>
      <c r="AG20" s="165" t="n"/>
      <c r="AH20" s="165" t="n"/>
      <c r="AI20" s="165" t="n"/>
      <c r="AJ20" s="167" t="n"/>
      <c r="AK20" s="166" t="n"/>
      <c r="AL20" s="165" t="n"/>
      <c r="AM20" s="165" t="n"/>
      <c r="AN20" s="167" t="n"/>
      <c r="AO20" s="166" t="n"/>
      <c r="AP20" s="165" t="n"/>
      <c r="AQ20" s="165" t="n"/>
      <c r="AR20" s="165" t="n"/>
      <c r="AS20" s="167" t="n"/>
      <c r="AT20" s="166" t="n"/>
      <c r="AU20" s="165" t="n"/>
      <c r="AV20" s="169" t="n"/>
    </row>
    <row r="21" ht="21" customHeight="1" s="70">
      <c r="A21" s="125" t="inlineStr">
        <is>
          <t>FB012601_1</t>
        </is>
      </c>
      <c r="B21" s="126" t="inlineStr">
        <is>
          <t>P060322</t>
        </is>
      </c>
      <c r="C21" s="127" t="inlineStr">
        <is>
          <t>✓ COMPLETE
2 testing instances
• 1 document(s) on file, not credited</t>
        </is>
      </c>
      <c r="D21" s="128" t="inlineStr">
        <is>
          <t>1 of 2</t>
        </is>
      </c>
      <c r="E21" s="129" t="inlineStr">
        <is>
          <t>release testing</t>
        </is>
      </c>
      <c r="F21" s="130" t="inlineStr">
        <is>
          <t>iCoA-PP_26-078
CoQ-PP_26-069 · initial release</t>
        </is>
      </c>
      <c r="G21" s="131" t="inlineStr">
        <is>
          <t>Conforms</t>
        </is>
      </c>
      <c r="H21" s="132">
        <f>IFERROR(INDEX('iCoA Register'!$B:$B,MATCH("P060322|I",'iCoA Register'!$AA:$AA,0)),"iCoA — at issue")&amp;", (22.05.2026) [PP]"</f>
        <v/>
      </c>
      <c r="I21" s="133" t="inlineStr">
        <is>
          <t>✓</t>
        </is>
      </c>
      <c r="J21" s="134" t="inlineStr">
        <is>
          <t>not on this certificate</t>
        </is>
      </c>
      <c r="K21" s="135" t="inlineStr">
        <is>
          <t>ППК26067, (11.05.2026) [CNP] · on file, not credited</t>
        </is>
      </c>
      <c r="L21" s="136" t="inlineStr">
        <is>
          <t>•</t>
        </is>
      </c>
      <c r="M21" s="131" t="inlineStr">
        <is>
          <t>Conforms (ImB spec.)</t>
        </is>
      </c>
      <c r="N21" s="132" t="inlineStr">
        <is>
          <t>ППК26067, (11.05.2026) [CNP]</t>
        </is>
      </c>
      <c r="O21" s="133" t="inlineStr">
        <is>
          <t>✓</t>
        </is>
      </c>
      <c r="P21" s="137" t="inlineStr">
        <is>
          <t>14.68</t>
        </is>
      </c>
      <c r="Q21" s="132" t="inlineStr">
        <is>
          <t>ППК26067, (11.05.2026) [CNP]</t>
        </is>
      </c>
      <c r="R21" s="133" t="inlineStr">
        <is>
          <t>✓</t>
        </is>
      </c>
      <c r="S21" s="138" t="inlineStr">
        <is>
          <t>0.04</t>
        </is>
      </c>
      <c r="T21" s="132" t="inlineStr">
        <is>
          <t>ППК26067, (11.05.2026) [CNP]</t>
        </is>
      </c>
      <c r="U21" s="133" t="inlineStr">
        <is>
          <t>✓</t>
        </is>
      </c>
      <c r="V21" s="138" t="inlineStr">
        <is>
          <t>&lt; LOQ ᴰ</t>
        </is>
      </c>
      <c r="W21" s="132" t="inlineStr">
        <is>
          <t>ППК26067, (11.05.2026) [CNP]</t>
        </is>
      </c>
      <c r="X21" s="133" t="inlineStr">
        <is>
          <t>✓</t>
        </is>
      </c>
      <c r="Y21" s="131" t="inlineStr">
        <is>
          <t>Conforms</t>
        </is>
      </c>
      <c r="Z21" s="132">
        <f>IFERROR(INDEX('iCoA Register'!$B:$B,MATCH("P060322|I",'iCoA Register'!$AA:$AA,0)),"iCoA — at issue")&amp;", (22.05.2026) [PP]"</f>
        <v/>
      </c>
      <c r="AA21" s="133" t="inlineStr">
        <is>
          <t>✓</t>
        </is>
      </c>
      <c r="AB21" s="131" t="inlineStr">
        <is>
          <t>7.67</t>
        </is>
      </c>
      <c r="AC21" s="132" t="inlineStr">
        <is>
          <t>ППК26067, (11.05.2026) [CNP]</t>
        </is>
      </c>
      <c r="AD21" s="133" t="inlineStr">
        <is>
          <t>✓</t>
        </is>
      </c>
      <c r="AE21" s="131" t="inlineStr">
        <is>
          <t>2 × 10³</t>
        </is>
      </c>
      <c r="AF21" s="139" t="inlineStr">
        <is>
          <t>2.1 × 10³</t>
        </is>
      </c>
      <c r="AG21" s="139" t="inlineStr">
        <is>
          <t>&lt; 10</t>
        </is>
      </c>
      <c r="AH21" s="139" t="inlineStr">
        <is>
          <t>Absent</t>
        </is>
      </c>
      <c r="AI21" s="139" t="inlineStr">
        <is>
          <t>Absent</t>
        </is>
      </c>
      <c r="AJ21" s="133" t="inlineStr">
        <is>
          <t>✓</t>
        </is>
      </c>
      <c r="AK21" s="131" t="inlineStr">
        <is>
          <t>not reported</t>
        </is>
      </c>
      <c r="AL21" s="139" t="inlineStr">
        <is>
          <t>&lt; 2</t>
        </is>
      </c>
      <c r="AM21" s="139" t="inlineStr">
        <is>
          <t>not reported</t>
        </is>
      </c>
      <c r="AN21" s="133" t="inlineStr">
        <is>
          <t>✓</t>
        </is>
      </c>
      <c r="AO21" s="131" t="inlineStr">
        <is>
          <t>0.0114</t>
        </is>
      </c>
      <c r="AP21" s="139" t="inlineStr">
        <is>
          <t>0.017</t>
        </is>
      </c>
      <c r="AQ21" s="139" t="inlineStr">
        <is>
          <t>0.0144</t>
        </is>
      </c>
      <c r="AR21" s="139" t="inlineStr">
        <is>
          <t>0.0155</t>
        </is>
      </c>
      <c r="AS21" s="133" t="inlineStr">
        <is>
          <t>✓</t>
        </is>
      </c>
      <c r="AT21" s="131" t="inlineStr">
        <is>
          <t>≤ LOQ (all 26 compounds)</t>
        </is>
      </c>
      <c r="AU21" s="132" t="inlineStr">
        <is>
          <t>2362-2026, (30.04.2026) [IJZ]</t>
        </is>
      </c>
      <c r="AV21" s="140" t="inlineStr">
        <is>
          <t>✓</t>
        </is>
      </c>
    </row>
    <row r="22" ht="21" customHeight="1" s="70">
      <c r="A22" s="141" t="n"/>
      <c r="G22" s="142" t="n"/>
      <c r="I22" s="143" t="n"/>
      <c r="J22" s="142" t="n"/>
      <c r="L22" s="143" t="n"/>
      <c r="M22" s="142" t="n"/>
      <c r="O22" s="143" t="n"/>
      <c r="P22" s="142" t="n"/>
      <c r="R22" s="143" t="n"/>
      <c r="S22" s="142" t="n"/>
      <c r="U22" s="143" t="n"/>
      <c r="V22" s="142" t="n"/>
      <c r="X22" s="143" t="n"/>
      <c r="Y22" s="142" t="n"/>
      <c r="AA22" s="143" t="n"/>
      <c r="AB22" s="142" t="n"/>
      <c r="AD22" s="143" t="n"/>
      <c r="AE22" s="144" t="inlineStr">
        <is>
          <t>308-0552-26, (28.04.2026) [IJZ-MB]</t>
        </is>
      </c>
      <c r="AJ22" s="143" t="n"/>
      <c r="AK22" s="144" t="inlineStr">
        <is>
          <t>2362-2026, (30.04.2026) [IJZ]</t>
        </is>
      </c>
      <c r="AN22" s="143" t="n"/>
      <c r="AO22" s="144" t="inlineStr">
        <is>
          <t>2362-2026, (30.04.2026) [IJZ]</t>
        </is>
      </c>
      <c r="AS22" s="143" t="n"/>
      <c r="AT22" s="142" t="n"/>
      <c r="AV22" s="145" t="n"/>
    </row>
    <row r="23" ht="17.625" customHeight="1" s="70">
      <c r="A23" s="146" t="n"/>
      <c r="B23" s="147" t="n"/>
      <c r="D23" s="148" t="inlineStr">
        <is>
          <t>2 of 2</t>
        </is>
      </c>
      <c r="E23" s="149" t="inlineStr">
        <is>
          <t>release testing + re-analysis 220</t>
        </is>
      </c>
      <c r="F23" s="150" t="inlineStr">
        <is>
          <t>iCoA-PP_26-078
CoQ-PP_26-069 · initial release
iCoA-PP_26-130
CoQ-PP_26-114 · retest</t>
        </is>
      </c>
      <c r="G23" s="151" t="n"/>
      <c r="H23" s="147" t="n"/>
      <c r="I23" s="152" t="n"/>
      <c r="J23" s="153" t="inlineStr">
        <is>
          <t>Conforms</t>
        </is>
      </c>
      <c r="K23" s="154">
        <f>IFERROR(INDEX('iCoA Register'!$B:$B,MATCH("P060322|I",'iCoA Register'!$AA:$AA,0)),"iCoA — at issue")&amp;", (22.05.2026) [PP]"</f>
        <v/>
      </c>
      <c r="L23" s="155" t="inlineStr">
        <is>
          <t>✓</t>
        </is>
      </c>
      <c r="M23" s="153" t="inlineStr">
        <is>
          <t>Conforms (ImB spec.)</t>
        </is>
      </c>
      <c r="N23" s="154" t="inlineStr">
        <is>
          <t>220-8-К-26, (25.08.2026) [FHM-K]</t>
        </is>
      </c>
      <c r="O23" s="155" t="inlineStr">
        <is>
          <t>✓</t>
        </is>
      </c>
      <c r="P23" s="156" t="inlineStr">
        <is>
          <t>17.99</t>
        </is>
      </c>
      <c r="Q23" s="154" t="inlineStr">
        <is>
          <t>220-8-К-26, (25.08.2026) [FHM-K]</t>
        </is>
      </c>
      <c r="R23" s="155" t="inlineStr">
        <is>
          <t>✓</t>
        </is>
      </c>
      <c r="S23" s="157" t="inlineStr">
        <is>
          <t>&lt; LOQ</t>
        </is>
      </c>
      <c r="T23" s="154" t="inlineStr">
        <is>
          <t>220-8-К-26, (25.08.2026) [FHM-K]</t>
        </is>
      </c>
      <c r="U23" s="155" t="inlineStr">
        <is>
          <t>✓</t>
        </is>
      </c>
      <c r="V23" s="157" t="inlineStr">
        <is>
          <t>&lt; LOQ</t>
        </is>
      </c>
      <c r="W23" s="154" t="inlineStr">
        <is>
          <t>220-8-К-26, (25.08.2026) [FHM-K]</t>
        </is>
      </c>
      <c r="X23" s="155" t="inlineStr">
        <is>
          <t>✓</t>
        </is>
      </c>
      <c r="Y23" s="151" t="n"/>
      <c r="Z23" s="147" t="n"/>
      <c r="AA23" s="152" t="n"/>
      <c r="AB23" s="151" t="n"/>
      <c r="AC23" s="147" t="n"/>
      <c r="AD23" s="152" t="n"/>
      <c r="AE23" s="151" t="n"/>
      <c r="AF23" s="147" t="n"/>
      <c r="AG23" s="147" t="n"/>
      <c r="AH23" s="147" t="n"/>
      <c r="AI23" s="147" t="n"/>
      <c r="AJ23" s="152" t="n"/>
      <c r="AK23" s="161" t="inlineStr">
        <is>
          <t>ND</t>
        </is>
      </c>
      <c r="AL23" s="162" t="inlineStr">
        <is>
          <t>ND</t>
        </is>
      </c>
      <c r="AM23" s="162" t="inlineStr">
        <is>
          <t>ND</t>
        </is>
      </c>
      <c r="AN23" s="155" t="inlineStr">
        <is>
          <t>✓</t>
        </is>
      </c>
      <c r="AO23" s="151" t="n"/>
      <c r="AP23" s="147" t="n"/>
      <c r="AQ23" s="147" t="n"/>
      <c r="AR23" s="147" t="n"/>
      <c r="AS23" s="152" t="n"/>
      <c r="AT23" s="151" t="n"/>
      <c r="AU23" s="147" t="n"/>
      <c r="AV23" s="163" t="n"/>
    </row>
    <row r="24" ht="39" customHeight="1" s="70">
      <c r="A24" s="164" t="n"/>
      <c r="B24" s="165" t="n"/>
      <c r="C24" s="165" t="n"/>
      <c r="D24" s="165" t="n"/>
      <c r="E24" s="165" t="n"/>
      <c r="F24" s="165" t="n"/>
      <c r="G24" s="166" t="n"/>
      <c r="H24" s="165" t="n"/>
      <c r="I24" s="167" t="n"/>
      <c r="J24" s="166" t="n"/>
      <c r="K24" s="165" t="n"/>
      <c r="L24" s="167" t="n"/>
      <c r="M24" s="166" t="n"/>
      <c r="N24" s="165" t="n"/>
      <c r="O24" s="167" t="n"/>
      <c r="P24" s="166" t="n"/>
      <c r="Q24" s="165" t="n"/>
      <c r="R24" s="167" t="n"/>
      <c r="S24" s="166" t="n"/>
      <c r="T24" s="165" t="n"/>
      <c r="U24" s="167" t="n"/>
      <c r="V24" s="166" t="n"/>
      <c r="W24" s="165" t="n"/>
      <c r="X24" s="167" t="n"/>
      <c r="Y24" s="166" t="n"/>
      <c r="Z24" s="165" t="n"/>
      <c r="AA24" s="167" t="n"/>
      <c r="AB24" s="166" t="n"/>
      <c r="AC24" s="165" t="n"/>
      <c r="AD24" s="167" t="n"/>
      <c r="AE24" s="166" t="n"/>
      <c r="AF24" s="165" t="n"/>
      <c r="AG24" s="165" t="n"/>
      <c r="AH24" s="165" t="n"/>
      <c r="AI24" s="165" t="n"/>
      <c r="AJ24" s="167" t="n"/>
      <c r="AK24" s="168" t="inlineStr">
        <is>
          <t>220-8-М-26, (11.09.2026) [FHM-M]</t>
        </is>
      </c>
      <c r="AL24" s="165" t="n"/>
      <c r="AM24" s="165" t="n"/>
      <c r="AN24" s="167" t="n"/>
      <c r="AO24" s="166" t="n"/>
      <c r="AP24" s="165" t="n"/>
      <c r="AQ24" s="165" t="n"/>
      <c r="AR24" s="165" t="n"/>
      <c r="AS24" s="167" t="n"/>
      <c r="AT24" s="166" t="n"/>
      <c r="AU24" s="165" t="n"/>
      <c r="AV24" s="169" t="n"/>
    </row>
    <row r="25" ht="21" customHeight="1" s="70">
      <c r="A25" s="125" t="inlineStr">
        <is>
          <t>FB012603</t>
        </is>
      </c>
      <c r="B25" s="126" t="inlineStr">
        <is>
          <t>P060432</t>
        </is>
      </c>
      <c r="C25" s="170" t="inlineStr">
        <is>
          <t>⚠ 3 NO RESULT
(3 no cert / 0 cert w/o result)
2 testing instances</t>
        </is>
      </c>
      <c r="D25" s="128" t="inlineStr">
        <is>
          <t>1 of 2</t>
        </is>
      </c>
      <c r="E25" s="129" t="inlineStr">
        <is>
          <t>release testing + re-test campaign (IJZ-MB)</t>
        </is>
      </c>
      <c r="F25" s="130" t="inlineStr">
        <is>
          <t>iCoA-PP_26-093
CoQ-PP_26-079 · initial release
iCoA-PP_26-181
CoQ-PP_26-143 · retest</t>
        </is>
      </c>
      <c r="G25" s="131" t="inlineStr">
        <is>
          <t>Conforms</t>
        </is>
      </c>
      <c r="H25" s="132" t="inlineStr">
        <is>
          <t>ППК26112, (30.06.2026) [CNP]</t>
        </is>
      </c>
      <c r="I25" s="133" t="inlineStr">
        <is>
          <t>✓</t>
        </is>
      </c>
      <c r="J25" s="131" t="inlineStr">
        <is>
          <t>Conforms</t>
        </is>
      </c>
      <c r="K25" s="132" t="inlineStr">
        <is>
          <t>ППК26112, (30.06.2026) [CNP]</t>
        </is>
      </c>
      <c r="L25" s="133" t="inlineStr">
        <is>
          <t>✓</t>
        </is>
      </c>
      <c r="M25" s="131" t="inlineStr">
        <is>
          <t>Conforms (ImB spec.)</t>
        </is>
      </c>
      <c r="N25" s="132" t="inlineStr">
        <is>
          <t>ППК26112, (30.06.2026) [CNP]</t>
        </is>
      </c>
      <c r="O25" s="133" t="inlineStr">
        <is>
          <t>✓</t>
        </is>
      </c>
      <c r="P25" s="137" t="inlineStr">
        <is>
          <t>20.83</t>
        </is>
      </c>
      <c r="Q25" s="132" t="inlineStr">
        <is>
          <t>ППК26112, (30.06.2026) [CNP]</t>
        </is>
      </c>
      <c r="R25" s="133" t="inlineStr">
        <is>
          <t>✓</t>
        </is>
      </c>
      <c r="S25" s="138" t="inlineStr">
        <is>
          <t>0.21</t>
        </is>
      </c>
      <c r="T25" s="132" t="inlineStr">
        <is>
          <t>ППК26112, (30.06.2026) [CNP]</t>
        </is>
      </c>
      <c r="U25" s="133" t="inlineStr">
        <is>
          <t>✓</t>
        </is>
      </c>
      <c r="V25" s="138" t="inlineStr">
        <is>
          <t>0.06</t>
        </is>
      </c>
      <c r="W25" s="132" t="inlineStr">
        <is>
          <t>ППК26112, (30.06.2026) [CNP]</t>
        </is>
      </c>
      <c r="X25" s="133" t="inlineStr">
        <is>
          <t>✓</t>
        </is>
      </c>
      <c r="Y25" s="131" t="inlineStr">
        <is>
          <t>Conforms (no value printed)</t>
        </is>
      </c>
      <c r="Z25" s="132" t="inlineStr">
        <is>
          <t>ППК26112, (30.06.2026) [CNP]</t>
        </is>
      </c>
      <c r="AA25" s="133" t="inlineStr">
        <is>
          <t>✓</t>
        </is>
      </c>
      <c r="AB25" s="131" t="inlineStr">
        <is>
          <t>7.04</t>
        </is>
      </c>
      <c r="AC25" s="132" t="inlineStr">
        <is>
          <t>ППК26112, (30.06.2026) [CNP]</t>
        </is>
      </c>
      <c r="AD25" s="133" t="inlineStr">
        <is>
          <t>✓</t>
        </is>
      </c>
      <c r="AE25" s="131" t="inlineStr">
        <is>
          <t>9.8 × 10³</t>
        </is>
      </c>
      <c r="AF25" s="139" t="inlineStr">
        <is>
          <t>2.5 × 10³</t>
        </is>
      </c>
      <c r="AG25" s="139" t="inlineStr">
        <is>
          <t>&lt; 10² and &gt; 10</t>
        </is>
      </c>
      <c r="AH25" s="139" t="inlineStr">
        <is>
          <t>Absent</t>
        </is>
      </c>
      <c r="AI25" s="139" t="inlineStr">
        <is>
          <t>Absent</t>
        </is>
      </c>
      <c r="AJ25" s="133" t="inlineStr">
        <is>
          <t>✓</t>
        </is>
      </c>
      <c r="AK25" s="171" t="inlineStr">
        <is>
          <t>— MISSING —</t>
        </is>
      </c>
      <c r="AL25" s="172" t="inlineStr">
        <is>
          <t>— MISSING —</t>
        </is>
      </c>
      <c r="AM25" s="172" t="inlineStr">
        <is>
          <t>— MISSING —</t>
        </is>
      </c>
      <c r="AN25" s="173" t="inlineStr">
        <is>
          <t>✗</t>
        </is>
      </c>
      <c r="AO25" s="171" t="inlineStr">
        <is>
          <t>— MISSING —</t>
        </is>
      </c>
      <c r="AP25" s="172" t="inlineStr">
        <is>
          <t>— MISSING —</t>
        </is>
      </c>
      <c r="AQ25" s="172" t="inlineStr">
        <is>
          <t>— MISSING —</t>
        </is>
      </c>
      <c r="AR25" s="172" t="inlineStr">
        <is>
          <t>— MISSING —</t>
        </is>
      </c>
      <c r="AS25" s="173" t="inlineStr">
        <is>
          <t>✗</t>
        </is>
      </c>
      <c r="AT25" s="171" t="inlineStr">
        <is>
          <t>— MISSING —</t>
        </is>
      </c>
      <c r="AU25" s="174" t="inlineStr">
        <is>
          <t>— no certificate —</t>
        </is>
      </c>
      <c r="AV25" s="175" t="inlineStr">
        <is>
          <t>✗</t>
        </is>
      </c>
    </row>
    <row r="26" ht="39" customHeight="1" s="70">
      <c r="A26" s="141" t="n"/>
      <c r="G26" s="142" t="n"/>
      <c r="I26" s="143" t="n"/>
      <c r="J26" s="142" t="n"/>
      <c r="L26" s="143" t="n"/>
      <c r="M26" s="142" t="n"/>
      <c r="O26" s="143" t="n"/>
      <c r="P26" s="142" t="n"/>
      <c r="R26" s="143" t="n"/>
      <c r="S26" s="142" t="n"/>
      <c r="U26" s="143" t="n"/>
      <c r="V26" s="142" t="n"/>
      <c r="X26" s="143" t="n"/>
      <c r="Y26" s="142" t="n"/>
      <c r="AA26" s="143" t="n"/>
      <c r="AB26" s="142" t="n"/>
      <c r="AD26" s="143" t="n"/>
      <c r="AE26" s="144" t="inlineStr">
        <is>
          <t>537-1068-26, (31.08.2026) [IJZ-MB]</t>
        </is>
      </c>
      <c r="AJ26" s="143" t="n"/>
      <c r="AK26" s="176" t="inlineStr">
        <is>
          <t>— no certificate —</t>
        </is>
      </c>
      <c r="AN26" s="143" t="n"/>
      <c r="AO26" s="176" t="inlineStr">
        <is>
          <t>— no certificate —</t>
        </is>
      </c>
      <c r="AS26" s="143" t="n"/>
      <c r="AT26" s="142" t="n"/>
      <c r="AV26" s="145" t="n"/>
    </row>
    <row r="27" ht="17.625" customHeight="1" s="70">
      <c r="A27" s="146" t="n"/>
      <c r="B27" s="147" t="n"/>
      <c r="D27" s="148" t="inlineStr">
        <is>
          <t>2 of 2</t>
        </is>
      </c>
      <c r="E27" s="149" t="inlineStr">
        <is>
          <t>re-analysis 227</t>
        </is>
      </c>
      <c r="F27" s="150" t="inlineStr">
        <is>
          <t>iCoA-PP_26-181
CoQ-PP_26-143 · retest</t>
        </is>
      </c>
      <c r="G27" s="151" t="n"/>
      <c r="H27" s="147" t="n"/>
      <c r="I27" s="152" t="n"/>
      <c r="J27" s="151" t="n"/>
      <c r="K27" s="147" t="n"/>
      <c r="L27" s="152" t="n"/>
      <c r="M27" s="153" t="inlineStr">
        <is>
          <t>Conforms (ImB spec.)</t>
        </is>
      </c>
      <c r="N27" s="154" t="inlineStr">
        <is>
          <t>227-24-К-26, (11.09.2026) [FHM-K]</t>
        </is>
      </c>
      <c r="O27" s="155" t="inlineStr">
        <is>
          <t>✓</t>
        </is>
      </c>
      <c r="P27" s="156" t="inlineStr">
        <is>
          <t>20.00</t>
        </is>
      </c>
      <c r="Q27" s="154" t="inlineStr">
        <is>
          <t>227-24-К-26, (11.09.2026) [FHM-K]</t>
        </is>
      </c>
      <c r="R27" s="155" t="inlineStr">
        <is>
          <t>✓</t>
        </is>
      </c>
      <c r="S27" s="157" t="inlineStr">
        <is>
          <t>0.21</t>
        </is>
      </c>
      <c r="T27" s="154" t="inlineStr">
        <is>
          <t>227-24-К-26, (11.09.2026) [FHM-K]</t>
        </is>
      </c>
      <c r="U27" s="155" t="inlineStr">
        <is>
          <t>✓</t>
        </is>
      </c>
      <c r="V27" s="157" t="inlineStr">
        <is>
          <t>&lt; LOQ</t>
        </is>
      </c>
      <c r="W27" s="154" t="inlineStr">
        <is>
          <t>227-24-К-26, (11.09.2026) [FHM-K]</t>
        </is>
      </c>
      <c r="X27" s="155" t="inlineStr">
        <is>
          <t>✓</t>
        </is>
      </c>
      <c r="Y27" s="151" t="n"/>
      <c r="Z27" s="147" t="n"/>
      <c r="AA27" s="152" t="n"/>
      <c r="AB27" s="151" t="n"/>
      <c r="AC27" s="147" t="n"/>
      <c r="AD27" s="152" t="n"/>
      <c r="AE27" s="151" t="n"/>
      <c r="AF27" s="147" t="n"/>
      <c r="AG27" s="147" t="n"/>
      <c r="AH27" s="147" t="n"/>
      <c r="AI27" s="147" t="n"/>
      <c r="AJ27" s="152" t="n"/>
      <c r="AK27" s="151" t="n"/>
      <c r="AL27" s="147" t="n"/>
      <c r="AM27" s="147" t="n"/>
      <c r="AN27" s="152" t="n"/>
      <c r="AO27" s="151" t="n"/>
      <c r="AP27" s="147" t="n"/>
      <c r="AQ27" s="147" t="n"/>
      <c r="AR27" s="147" t="n"/>
      <c r="AS27" s="152" t="n"/>
      <c r="AT27" s="151" t="n"/>
      <c r="AU27" s="147" t="n"/>
      <c r="AV27" s="163" t="n"/>
    </row>
    <row r="28" ht="13" customHeight="1" s="70">
      <c r="A28" s="164" t="n"/>
      <c r="B28" s="165" t="n"/>
      <c r="C28" s="165" t="n"/>
      <c r="D28" s="165" t="n"/>
      <c r="E28" s="165" t="n"/>
      <c r="F28" s="165" t="n"/>
      <c r="G28" s="166" t="n"/>
      <c r="H28" s="165" t="n"/>
      <c r="I28" s="167" t="n"/>
      <c r="J28" s="166" t="n"/>
      <c r="K28" s="165" t="n"/>
      <c r="L28" s="167" t="n"/>
      <c r="M28" s="166" t="n"/>
      <c r="N28" s="165" t="n"/>
      <c r="O28" s="167" t="n"/>
      <c r="P28" s="166" t="n"/>
      <c r="Q28" s="165" t="n"/>
      <c r="R28" s="167" t="n"/>
      <c r="S28" s="166" t="n"/>
      <c r="T28" s="165" t="n"/>
      <c r="U28" s="167" t="n"/>
      <c r="V28" s="166" t="n"/>
      <c r="W28" s="165" t="n"/>
      <c r="X28" s="167" t="n"/>
      <c r="Y28" s="166" t="n"/>
      <c r="Z28" s="165" t="n"/>
      <c r="AA28" s="167" t="n"/>
      <c r="AB28" s="166" t="n"/>
      <c r="AC28" s="165" t="n"/>
      <c r="AD28" s="167" t="n"/>
      <c r="AE28" s="166" t="n"/>
      <c r="AF28" s="165" t="n"/>
      <c r="AG28" s="165" t="n"/>
      <c r="AH28" s="165" t="n"/>
      <c r="AI28" s="165" t="n"/>
      <c r="AJ28" s="167" t="n"/>
      <c r="AK28" s="166" t="n"/>
      <c r="AL28" s="165" t="n"/>
      <c r="AM28" s="165" t="n"/>
      <c r="AN28" s="167" t="n"/>
      <c r="AO28" s="166" t="n"/>
      <c r="AP28" s="165" t="n"/>
      <c r="AQ28" s="165" t="n"/>
      <c r="AR28" s="165" t="n"/>
      <c r="AS28" s="167" t="n"/>
      <c r="AT28" s="166" t="n"/>
      <c r="AU28" s="165" t="n"/>
      <c r="AV28" s="169" t="n"/>
    </row>
    <row r="29" ht="21" customHeight="1" s="70">
      <c r="A29" s="125" t="inlineStr">
        <is>
          <t>FB012603V</t>
        </is>
      </c>
      <c r="B29" s="126" t="inlineStr">
        <is>
          <t>P060392</t>
        </is>
      </c>
      <c r="C29" s="170" t="inlineStr">
        <is>
          <t>⚠ 3 NO RESULT
(3 no cert / 0 cert w/o result)
2 testing instances</t>
        </is>
      </c>
      <c r="D29" s="128" t="inlineStr">
        <is>
          <t>1 of 2</t>
        </is>
      </c>
      <c r="E29" s="129" t="inlineStr">
        <is>
          <t>release testing + re-test campaign (IJZ-MB)</t>
        </is>
      </c>
      <c r="F29" s="130" t="inlineStr">
        <is>
          <t>iCoA-PP_26-080
CoQ-PP_26-075 · initial release
iCoA-PP_26-182
CoQ-PP_26-144 · retest</t>
        </is>
      </c>
      <c r="G29" s="131" t="inlineStr">
        <is>
          <t>Conforms</t>
        </is>
      </c>
      <c r="H29" s="132" t="inlineStr">
        <is>
          <t>ППК26110, (30.06.2026) [CNP]</t>
        </is>
      </c>
      <c r="I29" s="133" t="inlineStr">
        <is>
          <t>✓</t>
        </is>
      </c>
      <c r="J29" s="131" t="inlineStr">
        <is>
          <t>Conforms</t>
        </is>
      </c>
      <c r="K29" s="132" t="inlineStr">
        <is>
          <t>ППК26110, (30.06.2026) [CNP]</t>
        </is>
      </c>
      <c r="L29" s="133" t="inlineStr">
        <is>
          <t>✓</t>
        </is>
      </c>
      <c r="M29" s="131" t="inlineStr">
        <is>
          <t>Conforms (ImB spec.)</t>
        </is>
      </c>
      <c r="N29" s="132" t="inlineStr">
        <is>
          <t>ППК26110, (30.06.2026) [CNP]</t>
        </is>
      </c>
      <c r="O29" s="133" t="inlineStr">
        <is>
          <t>✓</t>
        </is>
      </c>
      <c r="P29" s="137" t="inlineStr">
        <is>
          <t>18.29</t>
        </is>
      </c>
      <c r="Q29" s="132" t="inlineStr">
        <is>
          <t>ППК26110, (30.06.2026) [CNP]</t>
        </is>
      </c>
      <c r="R29" s="133" t="inlineStr">
        <is>
          <t>✓</t>
        </is>
      </c>
      <c r="S29" s="138" t="inlineStr">
        <is>
          <t>0.16</t>
        </is>
      </c>
      <c r="T29" s="132" t="inlineStr">
        <is>
          <t>ППК26110, (30.06.2026) [CNP]</t>
        </is>
      </c>
      <c r="U29" s="133" t="inlineStr">
        <is>
          <t>✓</t>
        </is>
      </c>
      <c r="V29" s="138" t="inlineStr">
        <is>
          <t>0.06</t>
        </is>
      </c>
      <c r="W29" s="132" t="inlineStr">
        <is>
          <t>ППК26110, (30.06.2026) [CNP]</t>
        </is>
      </c>
      <c r="X29" s="133" t="inlineStr">
        <is>
          <t>✓</t>
        </is>
      </c>
      <c r="Y29" s="131" t="inlineStr">
        <is>
          <t>Conforms (no value printed)</t>
        </is>
      </c>
      <c r="Z29" s="132" t="inlineStr">
        <is>
          <t>ППК26110, (30.06.2026) [CNP]</t>
        </is>
      </c>
      <c r="AA29" s="133" t="inlineStr">
        <is>
          <t>✓</t>
        </is>
      </c>
      <c r="AB29" s="131" t="inlineStr">
        <is>
          <t>6.36</t>
        </is>
      </c>
      <c r="AC29" s="132" t="inlineStr">
        <is>
          <t>ППК26110, (30.06.2026) [CNP]</t>
        </is>
      </c>
      <c r="AD29" s="133" t="inlineStr">
        <is>
          <t>✓</t>
        </is>
      </c>
      <c r="AE29" s="131" t="inlineStr">
        <is>
          <t>2.9 × 10³</t>
        </is>
      </c>
      <c r="AF29" s="139" t="inlineStr">
        <is>
          <t>2.5 × 10³</t>
        </is>
      </c>
      <c r="AG29" s="139" t="inlineStr">
        <is>
          <t>&lt; 10</t>
        </is>
      </c>
      <c r="AH29" s="139" t="inlineStr">
        <is>
          <t>Absent</t>
        </is>
      </c>
      <c r="AI29" s="139" t="inlineStr">
        <is>
          <t>Absent</t>
        </is>
      </c>
      <c r="AJ29" s="133" t="inlineStr">
        <is>
          <t>✓</t>
        </is>
      </c>
      <c r="AK29" s="171" t="inlineStr">
        <is>
          <t>— MISSING —</t>
        </is>
      </c>
      <c r="AL29" s="172" t="inlineStr">
        <is>
          <t>— MISSING —</t>
        </is>
      </c>
      <c r="AM29" s="172" t="inlineStr">
        <is>
          <t>— MISSING —</t>
        </is>
      </c>
      <c r="AN29" s="173" t="inlineStr">
        <is>
          <t>✗</t>
        </is>
      </c>
      <c r="AO29" s="171" t="inlineStr">
        <is>
          <t>— MISSING —</t>
        </is>
      </c>
      <c r="AP29" s="172" t="inlineStr">
        <is>
          <t>— MISSING —</t>
        </is>
      </c>
      <c r="AQ29" s="172" t="inlineStr">
        <is>
          <t>— MISSING —</t>
        </is>
      </c>
      <c r="AR29" s="172" t="inlineStr">
        <is>
          <t>— MISSING —</t>
        </is>
      </c>
      <c r="AS29" s="173" t="inlineStr">
        <is>
          <t>✗</t>
        </is>
      </c>
      <c r="AT29" s="171" t="inlineStr">
        <is>
          <t>— MISSING —</t>
        </is>
      </c>
      <c r="AU29" s="174" t="inlineStr">
        <is>
          <t>— no certificate —</t>
        </is>
      </c>
      <c r="AV29" s="175" t="inlineStr">
        <is>
          <t>✗</t>
        </is>
      </c>
    </row>
    <row r="30" ht="39" customHeight="1" s="70">
      <c r="A30" s="141" t="n"/>
      <c r="G30" s="142" t="n"/>
      <c r="I30" s="143" t="n"/>
      <c r="J30" s="142" t="n"/>
      <c r="L30" s="143" t="n"/>
      <c r="M30" s="142" t="n"/>
      <c r="O30" s="143" t="n"/>
      <c r="P30" s="142" t="n"/>
      <c r="R30" s="143" t="n"/>
      <c r="S30" s="142" t="n"/>
      <c r="U30" s="143" t="n"/>
      <c r="V30" s="142" t="n"/>
      <c r="X30" s="143" t="n"/>
      <c r="Y30" s="142" t="n"/>
      <c r="AA30" s="143" t="n"/>
      <c r="AB30" s="142" t="n"/>
      <c r="AD30" s="143" t="n"/>
      <c r="AE30" s="144" t="inlineStr">
        <is>
          <t>538-1069-26, (31.08.2026) [IJZ-MB]</t>
        </is>
      </c>
      <c r="AJ30" s="143" t="n"/>
      <c r="AK30" s="176" t="inlineStr">
        <is>
          <t>— no certificate —</t>
        </is>
      </c>
      <c r="AN30" s="143" t="n"/>
      <c r="AO30" s="176" t="inlineStr">
        <is>
          <t>— no certificate —</t>
        </is>
      </c>
      <c r="AS30" s="143" t="n"/>
      <c r="AT30" s="142" t="n"/>
      <c r="AV30" s="145" t="n"/>
    </row>
    <row r="31" ht="17.625" customHeight="1" s="70">
      <c r="A31" s="146" t="n"/>
      <c r="B31" s="147" t="n"/>
      <c r="D31" s="148" t="inlineStr">
        <is>
          <t>2 of 2</t>
        </is>
      </c>
      <c r="E31" s="149" t="inlineStr">
        <is>
          <t>re-analysis 227</t>
        </is>
      </c>
      <c r="F31" s="150" t="inlineStr">
        <is>
          <t>iCoA-PP_26-182
CoQ-PP_26-144 · retest</t>
        </is>
      </c>
      <c r="G31" s="151" t="n"/>
      <c r="H31" s="147" t="n"/>
      <c r="I31" s="152" t="n"/>
      <c r="J31" s="151" t="n"/>
      <c r="K31" s="147" t="n"/>
      <c r="L31" s="152" t="n"/>
      <c r="M31" s="153" t="inlineStr">
        <is>
          <t>Conforms (ImB spec.)</t>
        </is>
      </c>
      <c r="N31" s="154" t="inlineStr">
        <is>
          <t>227-23-К-26, (11.09.2026) [FHM-K]</t>
        </is>
      </c>
      <c r="O31" s="155" t="inlineStr">
        <is>
          <t>✓</t>
        </is>
      </c>
      <c r="P31" s="156" t="inlineStr">
        <is>
          <t>19.31</t>
        </is>
      </c>
      <c r="Q31" s="154" t="inlineStr">
        <is>
          <t>227-23-К-26, (11.09.2026) [FHM-K]</t>
        </is>
      </c>
      <c r="R31" s="155" t="inlineStr">
        <is>
          <t>✓</t>
        </is>
      </c>
      <c r="S31" s="157" t="inlineStr">
        <is>
          <t>&lt; LOQ</t>
        </is>
      </c>
      <c r="T31" s="154" t="inlineStr">
        <is>
          <t>227-23-К-26, (11.09.2026) [FHM-K]</t>
        </is>
      </c>
      <c r="U31" s="155" t="inlineStr">
        <is>
          <t>✓</t>
        </is>
      </c>
      <c r="V31" s="157" t="inlineStr">
        <is>
          <t>&lt; LOQ</t>
        </is>
      </c>
      <c r="W31" s="154" t="inlineStr">
        <is>
          <t>227-23-К-26, (11.09.2026) [FHM-K]</t>
        </is>
      </c>
      <c r="X31" s="155" t="inlineStr">
        <is>
          <t>✓</t>
        </is>
      </c>
      <c r="Y31" s="151" t="n"/>
      <c r="Z31" s="147" t="n"/>
      <c r="AA31" s="152" t="n"/>
      <c r="AB31" s="151" t="n"/>
      <c r="AC31" s="147" t="n"/>
      <c r="AD31" s="152" t="n"/>
      <c r="AE31" s="151" t="n"/>
      <c r="AF31" s="147" t="n"/>
      <c r="AG31" s="147" t="n"/>
      <c r="AH31" s="147" t="n"/>
      <c r="AI31" s="147" t="n"/>
      <c r="AJ31" s="152" t="n"/>
      <c r="AK31" s="151" t="n"/>
      <c r="AL31" s="147" t="n"/>
      <c r="AM31" s="147" t="n"/>
      <c r="AN31" s="152" t="n"/>
      <c r="AO31" s="151" t="n"/>
      <c r="AP31" s="147" t="n"/>
      <c r="AQ31" s="147" t="n"/>
      <c r="AR31" s="147" t="n"/>
      <c r="AS31" s="152" t="n"/>
      <c r="AT31" s="151" t="n"/>
      <c r="AU31" s="147" t="n"/>
      <c r="AV31" s="163" t="n"/>
    </row>
    <row r="32" ht="13" customHeight="1" s="70">
      <c r="A32" s="164" t="n"/>
      <c r="B32" s="165" t="n"/>
      <c r="C32" s="165" t="n"/>
      <c r="D32" s="165" t="n"/>
      <c r="E32" s="165" t="n"/>
      <c r="F32" s="165" t="n"/>
      <c r="G32" s="166" t="n"/>
      <c r="H32" s="165" t="n"/>
      <c r="I32" s="167" t="n"/>
      <c r="J32" s="166" t="n"/>
      <c r="K32" s="165" t="n"/>
      <c r="L32" s="167" t="n"/>
      <c r="M32" s="166" t="n"/>
      <c r="N32" s="165" t="n"/>
      <c r="O32" s="167" t="n"/>
      <c r="P32" s="166" t="n"/>
      <c r="Q32" s="165" t="n"/>
      <c r="R32" s="167" t="n"/>
      <c r="S32" s="166" t="n"/>
      <c r="T32" s="165" t="n"/>
      <c r="U32" s="167" t="n"/>
      <c r="V32" s="166" t="n"/>
      <c r="W32" s="165" t="n"/>
      <c r="X32" s="167" t="n"/>
      <c r="Y32" s="166" t="n"/>
      <c r="Z32" s="165" t="n"/>
      <c r="AA32" s="167" t="n"/>
      <c r="AB32" s="166" t="n"/>
      <c r="AC32" s="165" t="n"/>
      <c r="AD32" s="167" t="n"/>
      <c r="AE32" s="166" t="n"/>
      <c r="AF32" s="165" t="n"/>
      <c r="AG32" s="165" t="n"/>
      <c r="AH32" s="165" t="n"/>
      <c r="AI32" s="165" t="n"/>
      <c r="AJ32" s="167" t="n"/>
      <c r="AK32" s="166" t="n"/>
      <c r="AL32" s="165" t="n"/>
      <c r="AM32" s="165" t="n"/>
      <c r="AN32" s="167" t="n"/>
      <c r="AO32" s="166" t="n"/>
      <c r="AP32" s="165" t="n"/>
      <c r="AQ32" s="165" t="n"/>
      <c r="AR32" s="165" t="n"/>
      <c r="AS32" s="167" t="n"/>
      <c r="AT32" s="166" t="n"/>
      <c r="AU32" s="165" t="n"/>
      <c r="AV32" s="169" t="n"/>
    </row>
    <row r="33" ht="21" customHeight="1" s="70">
      <c r="A33" s="125" t="inlineStr">
        <is>
          <t>FB032601</t>
        </is>
      </c>
      <c r="B33" s="126" t="inlineStr">
        <is>
          <t>P060452</t>
        </is>
      </c>
      <c r="C33" s="177" t="inlineStr">
        <is>
          <t>✗ 4 NO RESULT
(4 no cert / 0 cert w/o result)
✗ OUT OF SPECIFICATION: #7</t>
        </is>
      </c>
      <c r="D33" s="126" t="inlineStr">
        <is>
          <t>1 of 1</t>
        </is>
      </c>
      <c r="E33" s="178" t="inlineStr">
        <is>
          <t>release testing</t>
        </is>
      </c>
      <c r="F33" s="179" t="inlineStr">
        <is>
          <t>iCoA-PP_26-095
CoQ-PP_26-081 · initial release</t>
        </is>
      </c>
      <c r="G33" s="180" t="inlineStr">
        <is>
          <t>Conforms</t>
        </is>
      </c>
      <c r="H33" s="181" t="inlineStr">
        <is>
          <t>ППК26127, (21.07.2026) [CNP]</t>
        </is>
      </c>
      <c r="I33" s="182" t="inlineStr">
        <is>
          <t>✓</t>
        </is>
      </c>
      <c r="J33" s="180" t="inlineStr">
        <is>
          <t>Conforms</t>
        </is>
      </c>
      <c r="K33" s="181" t="inlineStr">
        <is>
          <t>ППК26127, (21.07.2026) [CNP]</t>
        </is>
      </c>
      <c r="L33" s="182" t="inlineStr">
        <is>
          <t>✓</t>
        </is>
      </c>
      <c r="M33" s="180" t="inlineStr">
        <is>
          <t>Conforms (ImB spec.)</t>
        </is>
      </c>
      <c r="N33" s="181" t="inlineStr">
        <is>
          <t>ППК26127, (21.07.2026) [CNP]</t>
        </is>
      </c>
      <c r="O33" s="182" t="inlineStr">
        <is>
          <t>✓</t>
        </is>
      </c>
      <c r="P33" s="183" t="inlineStr">
        <is>
          <t>12.39</t>
        </is>
      </c>
      <c r="Q33" s="181" t="inlineStr">
        <is>
          <t>ППК26127, (21.07.2026) [CNP]</t>
        </is>
      </c>
      <c r="R33" s="182" t="inlineStr">
        <is>
          <t>✓</t>
        </is>
      </c>
      <c r="S33" s="184" t="inlineStr">
        <is>
          <t>0.06</t>
        </is>
      </c>
      <c r="T33" s="181" t="inlineStr">
        <is>
          <t>ППК26127, (21.07.2026) [CNP]</t>
        </is>
      </c>
      <c r="U33" s="182" t="inlineStr">
        <is>
          <t>✓</t>
        </is>
      </c>
      <c r="V33" s="184" t="inlineStr">
        <is>
          <t>0.04</t>
        </is>
      </c>
      <c r="W33" s="181" t="inlineStr">
        <is>
          <t>ППК26127, (21.07.2026) [CNP]</t>
        </is>
      </c>
      <c r="X33" s="182" t="inlineStr">
        <is>
          <t>✓</t>
        </is>
      </c>
      <c r="Y33" s="185" t="inlineStr">
        <is>
          <t>0.08 % (Does not conform)</t>
        </is>
      </c>
      <c r="Z33" s="181" t="inlineStr">
        <is>
          <t>ППК26127, (21.07.2026) [CNP]</t>
        </is>
      </c>
      <c r="AA33" s="182" t="inlineStr">
        <is>
          <t>✓</t>
        </is>
      </c>
      <c r="AB33" s="180" t="inlineStr">
        <is>
          <t>7.77</t>
        </is>
      </c>
      <c r="AC33" s="181" t="inlineStr">
        <is>
          <t>ППК26127, (21.07.2026) [CNP]</t>
        </is>
      </c>
      <c r="AD33" s="182" t="inlineStr">
        <is>
          <t>✓</t>
        </is>
      </c>
      <c r="AE33" s="171" t="inlineStr">
        <is>
          <t>— MISSING —</t>
        </is>
      </c>
      <c r="AF33" s="172" t="inlineStr">
        <is>
          <t>— MISSING —</t>
        </is>
      </c>
      <c r="AG33" s="172" t="inlineStr">
        <is>
          <t>— MISSING —</t>
        </is>
      </c>
      <c r="AH33" s="172" t="inlineStr">
        <is>
          <t>— MISSING —</t>
        </is>
      </c>
      <c r="AI33" s="172" t="inlineStr">
        <is>
          <t>— MISSING —</t>
        </is>
      </c>
      <c r="AJ33" s="186" t="inlineStr">
        <is>
          <t>✗</t>
        </is>
      </c>
      <c r="AK33" s="171" t="inlineStr">
        <is>
          <t>— MISSING —</t>
        </is>
      </c>
      <c r="AL33" s="172" t="inlineStr">
        <is>
          <t>— MISSING —</t>
        </is>
      </c>
      <c r="AM33" s="172" t="inlineStr">
        <is>
          <t>— MISSING —</t>
        </is>
      </c>
      <c r="AN33" s="186" t="inlineStr">
        <is>
          <t>✗</t>
        </is>
      </c>
      <c r="AO33" s="171" t="inlineStr">
        <is>
          <t>— MISSING —</t>
        </is>
      </c>
      <c r="AP33" s="172" t="inlineStr">
        <is>
          <t>— MISSING —</t>
        </is>
      </c>
      <c r="AQ33" s="172" t="inlineStr">
        <is>
          <t>— MISSING —</t>
        </is>
      </c>
      <c r="AR33" s="172" t="inlineStr">
        <is>
          <t>— MISSING —</t>
        </is>
      </c>
      <c r="AS33" s="186" t="inlineStr">
        <is>
          <t>✗</t>
        </is>
      </c>
      <c r="AT33" s="187" t="inlineStr">
        <is>
          <t>— MISSING —</t>
        </is>
      </c>
      <c r="AU33" s="188" t="inlineStr">
        <is>
          <t>— no certificate —</t>
        </is>
      </c>
      <c r="AV33" s="189" t="inlineStr">
        <is>
          <t>✗</t>
        </is>
      </c>
    </row>
    <row r="34" ht="21" customHeight="1" s="70">
      <c r="A34" s="164" t="n"/>
      <c r="B34" s="165" t="n"/>
      <c r="C34" s="165" t="n"/>
      <c r="D34" s="165" t="n"/>
      <c r="E34" s="165" t="n"/>
      <c r="F34" s="165" t="n"/>
      <c r="G34" s="166" t="n"/>
      <c r="H34" s="165" t="n"/>
      <c r="I34" s="167" t="n"/>
      <c r="J34" s="166" t="n"/>
      <c r="K34" s="165" t="n"/>
      <c r="L34" s="167" t="n"/>
      <c r="M34" s="166" t="n"/>
      <c r="N34" s="165" t="n"/>
      <c r="O34" s="167" t="n"/>
      <c r="P34" s="166" t="n"/>
      <c r="Q34" s="165" t="n"/>
      <c r="R34" s="167" t="n"/>
      <c r="S34" s="166" t="n"/>
      <c r="T34" s="165" t="n"/>
      <c r="U34" s="167" t="n"/>
      <c r="V34" s="166" t="n"/>
      <c r="W34" s="165" t="n"/>
      <c r="X34" s="167" t="n"/>
      <c r="Y34" s="166" t="n"/>
      <c r="Z34" s="165" t="n"/>
      <c r="AA34" s="167" t="n"/>
      <c r="AB34" s="166" t="n"/>
      <c r="AC34" s="165" t="n"/>
      <c r="AD34" s="167" t="n"/>
      <c r="AE34" s="190" t="inlineStr">
        <is>
          <t>— no certificate —</t>
        </is>
      </c>
      <c r="AF34" s="165" t="n"/>
      <c r="AG34" s="165" t="n"/>
      <c r="AH34" s="165" t="n"/>
      <c r="AI34" s="165" t="n"/>
      <c r="AJ34" s="167" t="n"/>
      <c r="AK34" s="190" t="inlineStr">
        <is>
          <t>— no certificate —</t>
        </is>
      </c>
      <c r="AL34" s="165" t="n"/>
      <c r="AM34" s="165" t="n"/>
      <c r="AN34" s="167" t="n"/>
      <c r="AO34" s="190" t="inlineStr">
        <is>
          <t>— no certificate —</t>
        </is>
      </c>
      <c r="AP34" s="165" t="n"/>
      <c r="AQ34" s="165" t="n"/>
      <c r="AR34" s="165" t="n"/>
      <c r="AS34" s="167" t="n"/>
      <c r="AT34" s="166" t="n"/>
      <c r="AU34" s="165" t="n"/>
      <c r="AV34" s="169" t="n"/>
    </row>
    <row r="35" ht="21" customHeight="1" s="70">
      <c r="A35" s="125" t="inlineStr">
        <is>
          <t>FB112501</t>
        </is>
      </c>
      <c r="B35" s="126" t="inlineStr">
        <is>
          <t>P060292</t>
        </is>
      </c>
      <c r="C35" s="127" t="inlineStr">
        <is>
          <t>✓ COMPLETE
2 testing instances
• 1 document(s) on file, not credited</t>
        </is>
      </c>
      <c r="D35" s="128" t="inlineStr">
        <is>
          <t>1 of 2</t>
        </is>
      </c>
      <c r="E35" s="129" t="inlineStr">
        <is>
          <t>release testing</t>
        </is>
      </c>
      <c r="F35" s="130" t="inlineStr">
        <is>
          <t>iCoA-PP_26-075
CoQ-PP_26-065 · initial release</t>
        </is>
      </c>
      <c r="G35" s="131" t="inlineStr">
        <is>
          <t>Conforms</t>
        </is>
      </c>
      <c r="H35" s="132">
        <f>IFERROR(INDEX('iCoA Register'!$B:$B,MATCH("P060292|I",'iCoA Register'!$AA:$AA,0)),"iCoA — at issue")&amp;", (19.05.2026) [PP]"</f>
        <v/>
      </c>
      <c r="I35" s="133" t="inlineStr">
        <is>
          <t>✓</t>
        </is>
      </c>
      <c r="J35" s="134" t="inlineStr">
        <is>
          <t>not on this certificate</t>
        </is>
      </c>
      <c r="K35" s="135" t="inlineStr">
        <is>
          <t>ППК26066, (11.05.2026) [CNP] · on file, not credited</t>
        </is>
      </c>
      <c r="L35" s="136" t="inlineStr">
        <is>
          <t>•</t>
        </is>
      </c>
      <c r="M35" s="131" t="inlineStr">
        <is>
          <t>Conforms (ImB spec.)</t>
        </is>
      </c>
      <c r="N35" s="132" t="inlineStr">
        <is>
          <t>ППК26066, (11.05.2026) [CNP]</t>
        </is>
      </c>
      <c r="O35" s="133" t="inlineStr">
        <is>
          <t>✓</t>
        </is>
      </c>
      <c r="P35" s="137" t="inlineStr">
        <is>
          <t>16.69</t>
        </is>
      </c>
      <c r="Q35" s="132" t="inlineStr">
        <is>
          <t>ППК26066, (11.05.2026) [CNP]</t>
        </is>
      </c>
      <c r="R35" s="133" t="inlineStr">
        <is>
          <t>✓</t>
        </is>
      </c>
      <c r="S35" s="138" t="inlineStr">
        <is>
          <t>0.05</t>
        </is>
      </c>
      <c r="T35" s="132" t="inlineStr">
        <is>
          <t>ППК26066, (11.05.2026) [CNP]</t>
        </is>
      </c>
      <c r="U35" s="133" t="inlineStr">
        <is>
          <t>✓</t>
        </is>
      </c>
      <c r="V35" s="138" t="inlineStr">
        <is>
          <t>&lt; LOQ ᴰ</t>
        </is>
      </c>
      <c r="W35" s="132" t="inlineStr">
        <is>
          <t>ППК26066, (11.05.2026) [CNP]</t>
        </is>
      </c>
      <c r="X35" s="133" t="inlineStr">
        <is>
          <t>✓</t>
        </is>
      </c>
      <c r="Y35" s="131" t="inlineStr">
        <is>
          <t>Conforms</t>
        </is>
      </c>
      <c r="Z35" s="132">
        <f>IFERROR(INDEX('iCoA Register'!$B:$B,MATCH("P060292|I",'iCoA Register'!$AA:$AA,0)),"iCoA — at issue")&amp;", (19.05.2026) [PP]"</f>
        <v/>
      </c>
      <c r="AA35" s="133" t="inlineStr">
        <is>
          <t>✓</t>
        </is>
      </c>
      <c r="AB35" s="131" t="inlineStr">
        <is>
          <t>6.09</t>
        </is>
      </c>
      <c r="AC35" s="132" t="inlineStr">
        <is>
          <t>ППК26066, (11.05.2026) [CNP]</t>
        </is>
      </c>
      <c r="AD35" s="133" t="inlineStr">
        <is>
          <t>✓</t>
        </is>
      </c>
      <c r="AE35" s="131" t="inlineStr">
        <is>
          <t>3.9 × 10³</t>
        </is>
      </c>
      <c r="AF35" s="139" t="inlineStr">
        <is>
          <t>2.4 × 10³</t>
        </is>
      </c>
      <c r="AG35" s="139" t="inlineStr">
        <is>
          <t>&lt; 10</t>
        </is>
      </c>
      <c r="AH35" s="139" t="inlineStr">
        <is>
          <t>Absent</t>
        </is>
      </c>
      <c r="AI35" s="139" t="inlineStr">
        <is>
          <t>Absent</t>
        </is>
      </c>
      <c r="AJ35" s="133" t="inlineStr">
        <is>
          <t>✓</t>
        </is>
      </c>
      <c r="AK35" s="131" t="inlineStr">
        <is>
          <t>not reported</t>
        </is>
      </c>
      <c r="AL35" s="139" t="inlineStr">
        <is>
          <t>&lt; 2</t>
        </is>
      </c>
      <c r="AM35" s="139" t="inlineStr">
        <is>
          <t>not reported</t>
        </is>
      </c>
      <c r="AN35" s="133" t="inlineStr">
        <is>
          <t>✓</t>
        </is>
      </c>
      <c r="AO35" s="131" t="inlineStr">
        <is>
          <t>0.0215</t>
        </is>
      </c>
      <c r="AP35" s="139" t="inlineStr">
        <is>
          <t>0.0108</t>
        </is>
      </c>
      <c r="AQ35" s="139" t="inlineStr">
        <is>
          <t>0.0199</t>
        </is>
      </c>
      <c r="AR35" s="139" t="inlineStr">
        <is>
          <t>0.0078</t>
        </is>
      </c>
      <c r="AS35" s="133" t="inlineStr">
        <is>
          <t>✓</t>
        </is>
      </c>
      <c r="AT35" s="131" t="inlineStr">
        <is>
          <t>≤ LOQ (all 29 compounds)</t>
        </is>
      </c>
      <c r="AU35" s="132" t="inlineStr">
        <is>
          <t>2357-2026, (29.04.2026) [IJZ]</t>
        </is>
      </c>
      <c r="AV35" s="140" t="inlineStr">
        <is>
          <t>✓</t>
        </is>
      </c>
    </row>
    <row r="36" ht="21" customHeight="1" s="70">
      <c r="A36" s="141" t="n"/>
      <c r="G36" s="142" t="n"/>
      <c r="I36" s="143" t="n"/>
      <c r="J36" s="142" t="n"/>
      <c r="L36" s="143" t="n"/>
      <c r="M36" s="142" t="n"/>
      <c r="O36" s="143" t="n"/>
      <c r="P36" s="142" t="n"/>
      <c r="R36" s="143" t="n"/>
      <c r="S36" s="142" t="n"/>
      <c r="U36" s="143" t="n"/>
      <c r="V36" s="142" t="n"/>
      <c r="X36" s="143" t="n"/>
      <c r="Y36" s="142" t="n"/>
      <c r="AA36" s="143" t="n"/>
      <c r="AB36" s="142" t="n"/>
      <c r="AD36" s="143" t="n"/>
      <c r="AE36" s="144" t="inlineStr">
        <is>
          <t>312-0556-26, (28.04.2026) [IJZ-MB]</t>
        </is>
      </c>
      <c r="AJ36" s="143" t="n"/>
      <c r="AK36" s="144" t="inlineStr">
        <is>
          <t>2357-2026, (29.04.2026) [IJZ]</t>
        </is>
      </c>
      <c r="AN36" s="143" t="n"/>
      <c r="AO36" s="144" t="inlineStr">
        <is>
          <t>2357-2026, (29.04.2026) [IJZ]</t>
        </is>
      </c>
      <c r="AS36" s="143" t="n"/>
      <c r="AT36" s="142" t="n"/>
      <c r="AV36" s="145" t="n"/>
    </row>
    <row r="37" ht="21" customHeight="1" s="70">
      <c r="A37" s="146" t="n"/>
      <c r="B37" s="147" t="n"/>
      <c r="D37" s="148" t="inlineStr">
        <is>
          <t>2 of 2</t>
        </is>
      </c>
      <c r="E37" s="149" t="inlineStr">
        <is>
          <t>release testing + re-analysis 227 + re-test campaign (IJZ-MB)</t>
        </is>
      </c>
      <c r="F37" s="150" t="inlineStr">
        <is>
          <t>iCoA-PP_26-075
CoQ-PP_26-065 · initial release
iCoA-PP_26-183
CoQ-PP_26-145 · retest</t>
        </is>
      </c>
      <c r="G37" s="151" t="n"/>
      <c r="H37" s="147" t="n"/>
      <c r="I37" s="152" t="n"/>
      <c r="J37" s="153" t="inlineStr">
        <is>
          <t>Conforms</t>
        </is>
      </c>
      <c r="K37" s="154">
        <f>IFERROR(INDEX('iCoA Register'!$B:$B,MATCH("P060292|I",'iCoA Register'!$AA:$AA,0)),"iCoA — at issue")&amp;", (19.05.2026) [PP]"</f>
        <v/>
      </c>
      <c r="L37" s="155" t="inlineStr">
        <is>
          <t>✓</t>
        </is>
      </c>
      <c r="M37" s="153" t="inlineStr">
        <is>
          <t>Conforms (ImB spec.)</t>
        </is>
      </c>
      <c r="N37" s="154" t="inlineStr">
        <is>
          <t>227-22-К-26, (11.09.2026) [FHM-K]</t>
        </is>
      </c>
      <c r="O37" s="155" t="inlineStr">
        <is>
          <t>✓</t>
        </is>
      </c>
      <c r="P37" s="156" t="inlineStr">
        <is>
          <t>18.75</t>
        </is>
      </c>
      <c r="Q37" s="154" t="inlineStr">
        <is>
          <t>227-22-К-26, (11.09.2026) [FHM-K]</t>
        </is>
      </c>
      <c r="R37" s="155" t="inlineStr">
        <is>
          <t>✓</t>
        </is>
      </c>
      <c r="S37" s="157" t="inlineStr">
        <is>
          <t>&lt; LOQ</t>
        </is>
      </c>
      <c r="T37" s="154" t="inlineStr">
        <is>
          <t>227-22-К-26, (11.09.2026) [FHM-K]</t>
        </is>
      </c>
      <c r="U37" s="155" t="inlineStr">
        <is>
          <t>✓</t>
        </is>
      </c>
      <c r="V37" s="157" t="inlineStr">
        <is>
          <t>&lt; LOQ</t>
        </is>
      </c>
      <c r="W37" s="154" t="inlineStr">
        <is>
          <t>227-22-К-26, (11.09.2026) [FHM-K]</t>
        </is>
      </c>
      <c r="X37" s="155" t="inlineStr">
        <is>
          <t>✓</t>
        </is>
      </c>
      <c r="Y37" s="151" t="n"/>
      <c r="Z37" s="147" t="n"/>
      <c r="AA37" s="152" t="n"/>
      <c r="AB37" s="151" t="n"/>
      <c r="AC37" s="147" t="n"/>
      <c r="AD37" s="152" t="n"/>
      <c r="AE37" s="161" t="inlineStr">
        <is>
          <t>3 × 10³</t>
        </is>
      </c>
      <c r="AF37" s="162" t="inlineStr">
        <is>
          <t>5.2 × 10²</t>
        </is>
      </c>
      <c r="AG37" s="162" t="inlineStr">
        <is>
          <t>&lt; 10² and &gt; 10</t>
        </is>
      </c>
      <c r="AH37" s="162" t="inlineStr">
        <is>
          <t>Absent</t>
        </is>
      </c>
      <c r="AI37" s="162" t="inlineStr">
        <is>
          <t>Absent</t>
        </is>
      </c>
      <c r="AJ37" s="155" t="inlineStr">
        <is>
          <t>✓</t>
        </is>
      </c>
      <c r="AK37" s="151" t="n"/>
      <c r="AL37" s="147" t="n"/>
      <c r="AM37" s="147" t="n"/>
      <c r="AN37" s="152" t="n"/>
      <c r="AO37" s="151" t="n"/>
      <c r="AP37" s="147" t="n"/>
      <c r="AQ37" s="147" t="n"/>
      <c r="AR37" s="147" t="n"/>
      <c r="AS37" s="152" t="n"/>
      <c r="AT37" s="151" t="n"/>
      <c r="AU37" s="147" t="n"/>
      <c r="AV37" s="163" t="n"/>
    </row>
    <row r="38" ht="39" customHeight="1" s="70">
      <c r="A38" s="164" t="n"/>
      <c r="B38" s="165" t="n"/>
      <c r="C38" s="165" t="n"/>
      <c r="D38" s="165" t="n"/>
      <c r="E38" s="165" t="n"/>
      <c r="F38" s="165" t="n"/>
      <c r="G38" s="166" t="n"/>
      <c r="H38" s="165" t="n"/>
      <c r="I38" s="167" t="n"/>
      <c r="J38" s="166" t="n"/>
      <c r="K38" s="165" t="n"/>
      <c r="L38" s="167" t="n"/>
      <c r="M38" s="166" t="n"/>
      <c r="N38" s="165" t="n"/>
      <c r="O38" s="167" t="n"/>
      <c r="P38" s="166" t="n"/>
      <c r="Q38" s="165" t="n"/>
      <c r="R38" s="167" t="n"/>
      <c r="S38" s="166" t="n"/>
      <c r="T38" s="165" t="n"/>
      <c r="U38" s="167" t="n"/>
      <c r="V38" s="166" t="n"/>
      <c r="W38" s="165" t="n"/>
      <c r="X38" s="167" t="n"/>
      <c r="Y38" s="166" t="n"/>
      <c r="Z38" s="165" t="n"/>
      <c r="AA38" s="167" t="n"/>
      <c r="AB38" s="166" t="n"/>
      <c r="AC38" s="165" t="n"/>
      <c r="AD38" s="167" t="n"/>
      <c r="AE38" s="168" t="inlineStr">
        <is>
          <t>542-1073-26, (31.08.2026) [IJZ-MB]</t>
        </is>
      </c>
      <c r="AF38" s="165" t="n"/>
      <c r="AG38" s="165" t="n"/>
      <c r="AH38" s="165" t="n"/>
      <c r="AI38" s="165" t="n"/>
      <c r="AJ38" s="167" t="n"/>
      <c r="AK38" s="166" t="n"/>
      <c r="AL38" s="165" t="n"/>
      <c r="AM38" s="165" t="n"/>
      <c r="AN38" s="167" t="n"/>
      <c r="AO38" s="166" t="n"/>
      <c r="AP38" s="165" t="n"/>
      <c r="AQ38" s="165" t="n"/>
      <c r="AR38" s="165" t="n"/>
      <c r="AS38" s="167" t="n"/>
      <c r="AT38" s="166" t="n"/>
      <c r="AU38" s="165" t="n"/>
      <c r="AV38" s="169" t="n"/>
    </row>
    <row r="39" ht="21" customHeight="1" s="70">
      <c r="A39" s="125" t="inlineStr">
        <is>
          <t>GG012601＊</t>
        </is>
      </c>
      <c r="B39" s="126" t="inlineStr">
        <is>
          <t>P060302</t>
        </is>
      </c>
      <c r="C39" s="127" t="inlineStr">
        <is>
          <t>✓ COMPLETE
2 testing instances
• 1 document(s) on file, not credited</t>
        </is>
      </c>
      <c r="D39" s="128" t="inlineStr">
        <is>
          <t>1 of 2</t>
        </is>
      </c>
      <c r="E39" s="129" t="inlineStr">
        <is>
          <t>release testing</t>
        </is>
      </c>
      <c r="F39" s="130" t="inlineStr">
        <is>
          <t>no certificate of quality cites this block</t>
        </is>
      </c>
      <c r="G39" s="131" t="inlineStr">
        <is>
          <t>Conforms</t>
        </is>
      </c>
      <c r="H39" s="132">
        <f>IFERROR(INDEX('iCoA Register'!$B:$B,MATCH("P060302|I",'iCoA Register'!$AA:$AA,0)),"iCoA — at issue")&amp;", (20.05.2026) [PP]"</f>
        <v/>
      </c>
      <c r="I39" s="133" t="inlineStr">
        <is>
          <t>✓</t>
        </is>
      </c>
      <c r="J39" s="134" t="inlineStr">
        <is>
          <t>not on this certificate</t>
        </is>
      </c>
      <c r="K39" s="135" t="inlineStr">
        <is>
          <t>ППК26062, (11.05.2026) [CNP] · on file, not credited</t>
        </is>
      </c>
      <c r="L39" s="136" t="inlineStr">
        <is>
          <t>•</t>
        </is>
      </c>
      <c r="M39" s="131" t="inlineStr">
        <is>
          <t>Conforms (ImB spec.)</t>
        </is>
      </c>
      <c r="N39" s="132" t="inlineStr">
        <is>
          <t>ППК26062, (11.05.2026) [CNP]</t>
        </is>
      </c>
      <c r="O39" s="133" t="inlineStr">
        <is>
          <t>✓</t>
        </is>
      </c>
      <c r="P39" s="137" t="inlineStr">
        <is>
          <t>15.35</t>
        </is>
      </c>
      <c r="Q39" s="132" t="inlineStr">
        <is>
          <t>ППК26062, (11.05.2026) [CNP]</t>
        </is>
      </c>
      <c r="R39" s="133" t="inlineStr">
        <is>
          <t>✓</t>
        </is>
      </c>
      <c r="S39" s="138" t="inlineStr">
        <is>
          <t>0.06</t>
        </is>
      </c>
      <c r="T39" s="132" t="inlineStr">
        <is>
          <t>ППК26062, (11.05.2026) [CNP]</t>
        </is>
      </c>
      <c r="U39" s="133" t="inlineStr">
        <is>
          <t>✓</t>
        </is>
      </c>
      <c r="V39" s="138" t="inlineStr">
        <is>
          <t>&lt; LOQ ᴰ</t>
        </is>
      </c>
      <c r="W39" s="132" t="inlineStr">
        <is>
          <t>ППК26062, (11.05.2026) [CNP]</t>
        </is>
      </c>
      <c r="X39" s="133" t="inlineStr">
        <is>
          <t>✓</t>
        </is>
      </c>
      <c r="Y39" s="131" t="inlineStr">
        <is>
          <t>Conforms</t>
        </is>
      </c>
      <c r="Z39" s="132">
        <f>IFERROR(INDEX('iCoA Register'!$B:$B,MATCH("P060302|I",'iCoA Register'!$AA:$AA,0)),"iCoA — at issue")&amp;", (20.05.2026) [PP]"</f>
        <v/>
      </c>
      <c r="AA39" s="133" t="inlineStr">
        <is>
          <t>✓</t>
        </is>
      </c>
      <c r="AB39" s="131" t="inlineStr">
        <is>
          <t>6.13</t>
        </is>
      </c>
      <c r="AC39" s="132" t="inlineStr">
        <is>
          <t>ППК26062, (11.05.2026) [CNP]</t>
        </is>
      </c>
      <c r="AD39" s="133" t="inlineStr">
        <is>
          <t>✓</t>
        </is>
      </c>
      <c r="AE39" s="131" t="inlineStr">
        <is>
          <t>1 × 10⁴</t>
        </is>
      </c>
      <c r="AF39" s="139" t="inlineStr">
        <is>
          <t>1 × 10⁴</t>
        </is>
      </c>
      <c r="AG39" s="139" t="inlineStr">
        <is>
          <t>&lt; 10</t>
        </is>
      </c>
      <c r="AH39" s="139" t="inlineStr">
        <is>
          <t>Absent</t>
        </is>
      </c>
      <c r="AI39" s="139" t="inlineStr">
        <is>
          <t>Absent</t>
        </is>
      </c>
      <c r="AJ39" s="133" t="inlineStr">
        <is>
          <t>✓</t>
        </is>
      </c>
      <c r="AK39" s="131" t="inlineStr">
        <is>
          <t>not reported</t>
        </is>
      </c>
      <c r="AL39" s="139" t="inlineStr">
        <is>
          <t>&lt; 2</t>
        </is>
      </c>
      <c r="AM39" s="139" t="inlineStr">
        <is>
          <t>not reported</t>
        </is>
      </c>
      <c r="AN39" s="133" t="inlineStr">
        <is>
          <t>✓</t>
        </is>
      </c>
      <c r="AO39" s="131" t="inlineStr">
        <is>
          <t>0.0227</t>
        </is>
      </c>
      <c r="AP39" s="139" t="inlineStr">
        <is>
          <t>0.0179</t>
        </is>
      </c>
      <c r="AQ39" s="139" t="inlineStr">
        <is>
          <t>0.0163</t>
        </is>
      </c>
      <c r="AR39" s="139" t="inlineStr">
        <is>
          <t>0.031</t>
        </is>
      </c>
      <c r="AS39" s="133" t="inlineStr">
        <is>
          <t>✓</t>
        </is>
      </c>
      <c r="AT39" s="131" t="inlineStr">
        <is>
          <t>≤ LOQ (all 29 compounds)</t>
        </is>
      </c>
      <c r="AU39" s="132" t="inlineStr">
        <is>
          <t>2364-2026, (30.04.2026) [IJZ]</t>
        </is>
      </c>
      <c r="AV39" s="140" t="inlineStr">
        <is>
          <t>✓</t>
        </is>
      </c>
    </row>
    <row r="40" ht="13" customHeight="1" s="70">
      <c r="A40" s="141" t="n"/>
      <c r="G40" s="142" t="n"/>
      <c r="I40" s="143" t="n"/>
      <c r="J40" s="142" t="n"/>
      <c r="L40" s="143" t="n"/>
      <c r="M40" s="142" t="n"/>
      <c r="O40" s="143" t="n"/>
      <c r="P40" s="142" t="n"/>
      <c r="R40" s="143" t="n"/>
      <c r="S40" s="142" t="n"/>
      <c r="U40" s="143" t="n"/>
      <c r="V40" s="142" t="n"/>
      <c r="X40" s="143" t="n"/>
      <c r="Y40" s="142" t="n"/>
      <c r="AA40" s="143" t="n"/>
      <c r="AB40" s="142" t="n"/>
      <c r="AD40" s="143" t="n"/>
      <c r="AE40" s="144" t="inlineStr">
        <is>
          <t>310-0554-26, (28.04.2026) [IJZ-MB]</t>
        </is>
      </c>
      <c r="AJ40" s="143" t="n"/>
      <c r="AK40" s="144" t="inlineStr">
        <is>
          <t>2364-2026, (30.04.2026) [IJZ]</t>
        </is>
      </c>
      <c r="AN40" s="143" t="n"/>
      <c r="AO40" s="144" t="inlineStr">
        <is>
          <t>2364-2026, (30.04.2026) [IJZ]</t>
        </is>
      </c>
      <c r="AS40" s="143" t="n"/>
      <c r="AT40" s="142" t="n"/>
      <c r="AV40" s="145" t="n"/>
    </row>
    <row r="41" ht="17.625" customHeight="1" s="70">
      <c r="A41" s="146" t="n"/>
      <c r="B41" s="147" t="n"/>
      <c r="D41" s="148" t="inlineStr">
        <is>
          <t>2 of 2</t>
        </is>
      </c>
      <c r="E41" s="149" t="inlineStr">
        <is>
          <t>release testing + re-analysis 227 + re-test campaign (IJZ-MB)</t>
        </is>
      </c>
      <c r="F41" s="150" t="inlineStr">
        <is>
          <t>no certificate of quality cites this block</t>
        </is>
      </c>
      <c r="G41" s="151" t="n"/>
      <c r="H41" s="147" t="n"/>
      <c r="I41" s="152" t="n"/>
      <c r="J41" s="153" t="inlineStr">
        <is>
          <t>Conforms</t>
        </is>
      </c>
      <c r="K41" s="154">
        <f>IFERROR(INDEX('iCoA Register'!$B:$B,MATCH("P060302|I",'iCoA Register'!$AA:$AA,0)),"iCoA — at issue")&amp;", (20.05.2026) [PP]"</f>
        <v/>
      </c>
      <c r="L41" s="155" t="inlineStr">
        <is>
          <t>✓</t>
        </is>
      </c>
      <c r="M41" s="153" t="inlineStr">
        <is>
          <t>Conforms (ImB spec.)</t>
        </is>
      </c>
      <c r="N41" s="154" t="inlineStr">
        <is>
          <t>227-21-К-26, (11.09.2026) [FHM-K]</t>
        </is>
      </c>
      <c r="O41" s="155" t="inlineStr">
        <is>
          <t>✓</t>
        </is>
      </c>
      <c r="P41" s="156" t="inlineStr">
        <is>
          <t>19.16</t>
        </is>
      </c>
      <c r="Q41" s="154" t="inlineStr">
        <is>
          <t>227-21-К-26, (11.09.2026) [FHM-K]</t>
        </is>
      </c>
      <c r="R41" s="155" t="inlineStr">
        <is>
          <t>✓</t>
        </is>
      </c>
      <c r="S41" s="157" t="inlineStr">
        <is>
          <t>&lt; LOQ</t>
        </is>
      </c>
      <c r="T41" s="154" t="inlineStr">
        <is>
          <t>227-21-К-26, (11.09.2026) [FHM-K]</t>
        </is>
      </c>
      <c r="U41" s="155" t="inlineStr">
        <is>
          <t>✓</t>
        </is>
      </c>
      <c r="V41" s="157" t="inlineStr">
        <is>
          <t>&lt; LOQ</t>
        </is>
      </c>
      <c r="W41" s="154" t="inlineStr">
        <is>
          <t>227-21-К-26, (11.09.2026) [FHM-K]</t>
        </is>
      </c>
      <c r="X41" s="155" t="inlineStr">
        <is>
          <t>✓</t>
        </is>
      </c>
      <c r="Y41" s="151" t="n"/>
      <c r="Z41" s="147" t="n"/>
      <c r="AA41" s="152" t="n"/>
      <c r="AB41" s="151" t="n"/>
      <c r="AC41" s="147" t="n"/>
      <c r="AD41" s="152" t="n"/>
      <c r="AE41" s="161" t="inlineStr">
        <is>
          <t>2.2 × 10³</t>
        </is>
      </c>
      <c r="AF41" s="162" t="inlineStr">
        <is>
          <t>2.1 × 10³</t>
        </is>
      </c>
      <c r="AG41" s="162" t="inlineStr">
        <is>
          <t>&lt; 10</t>
        </is>
      </c>
      <c r="AH41" s="162" t="inlineStr">
        <is>
          <t>Absent</t>
        </is>
      </c>
      <c r="AI41" s="162" t="inlineStr">
        <is>
          <t>Absent</t>
        </is>
      </c>
      <c r="AJ41" s="155" t="inlineStr">
        <is>
          <t>✓</t>
        </is>
      </c>
      <c r="AK41" s="151" t="n"/>
      <c r="AL41" s="147" t="n"/>
      <c r="AM41" s="147" t="n"/>
      <c r="AN41" s="152" t="n"/>
      <c r="AO41" s="151" t="n"/>
      <c r="AP41" s="147" t="n"/>
      <c r="AQ41" s="147" t="n"/>
      <c r="AR41" s="147" t="n"/>
      <c r="AS41" s="152" t="n"/>
      <c r="AT41" s="151" t="n"/>
      <c r="AU41" s="147" t="n"/>
      <c r="AV41" s="163" t="n"/>
    </row>
    <row r="42" ht="13" customHeight="1" s="70">
      <c r="A42" s="164" t="n"/>
      <c r="B42" s="165" t="n"/>
      <c r="C42" s="165" t="n"/>
      <c r="D42" s="165" t="n"/>
      <c r="E42" s="165" t="n"/>
      <c r="F42" s="165" t="n"/>
      <c r="G42" s="166" t="n"/>
      <c r="H42" s="165" t="n"/>
      <c r="I42" s="167" t="n"/>
      <c r="J42" s="166" t="n"/>
      <c r="K42" s="165" t="n"/>
      <c r="L42" s="167" t="n"/>
      <c r="M42" s="166" t="n"/>
      <c r="N42" s="165" t="n"/>
      <c r="O42" s="167" t="n"/>
      <c r="P42" s="166" t="n"/>
      <c r="Q42" s="165" t="n"/>
      <c r="R42" s="167" t="n"/>
      <c r="S42" s="166" t="n"/>
      <c r="T42" s="165" t="n"/>
      <c r="U42" s="167" t="n"/>
      <c r="V42" s="166" t="n"/>
      <c r="W42" s="165" t="n"/>
      <c r="X42" s="167" t="n"/>
      <c r="Y42" s="166" t="n"/>
      <c r="Z42" s="165" t="n"/>
      <c r="AA42" s="167" t="n"/>
      <c r="AB42" s="166" t="n"/>
      <c r="AC42" s="165" t="n"/>
      <c r="AD42" s="167" t="n"/>
      <c r="AE42" s="168" t="inlineStr">
        <is>
          <t>541-1072-26, (31.08.2026) [IJZ-MB]</t>
        </is>
      </c>
      <c r="AF42" s="165" t="n"/>
      <c r="AG42" s="165" t="n"/>
      <c r="AH42" s="165" t="n"/>
      <c r="AI42" s="165" t="n"/>
      <c r="AJ42" s="167" t="n"/>
      <c r="AK42" s="166" t="n"/>
      <c r="AL42" s="165" t="n"/>
      <c r="AM42" s="165" t="n"/>
      <c r="AN42" s="167" t="n"/>
      <c r="AO42" s="166" t="n"/>
      <c r="AP42" s="165" t="n"/>
      <c r="AQ42" s="165" t="n"/>
      <c r="AR42" s="165" t="n"/>
      <c r="AS42" s="167" t="n"/>
      <c r="AT42" s="166" t="n"/>
      <c r="AU42" s="165" t="n"/>
      <c r="AV42" s="169" t="n"/>
    </row>
    <row r="43" ht="21" customHeight="1" s="70">
      <c r="A43" s="125" t="inlineStr">
        <is>
          <t>GG012603</t>
        </is>
      </c>
      <c r="B43" s="126" t="inlineStr">
        <is>
          <t>P060402</t>
        </is>
      </c>
      <c r="C43" s="170" t="inlineStr">
        <is>
          <t>⚠ 3 NO RESULT
(3 no cert / 0 cert w/o result)
2 testing instances
• 1 document(s) on file, not credited</t>
        </is>
      </c>
      <c r="D43" s="128" t="inlineStr">
        <is>
          <t>1 of 2</t>
        </is>
      </c>
      <c r="E43" s="129" t="inlineStr">
        <is>
          <t>release testing + re-analysis 197</t>
        </is>
      </c>
      <c r="F43" s="130" t="inlineStr">
        <is>
          <t>iCoA-PP_26-085
CoQ-PP_26-077 · initial release
iCoA-PP_26-110
CoQ-PP_26-092 · retest</t>
        </is>
      </c>
      <c r="G43" s="131" t="inlineStr">
        <is>
          <t>Conforms</t>
        </is>
      </c>
      <c r="H43" s="132" t="inlineStr">
        <is>
          <t>ППК26114, (30.06.2026) [CNP]</t>
        </is>
      </c>
      <c r="I43" s="133" t="inlineStr">
        <is>
          <t>✓</t>
        </is>
      </c>
      <c r="J43" s="131" t="inlineStr">
        <is>
          <t>Conforms</t>
        </is>
      </c>
      <c r="K43" s="132" t="inlineStr">
        <is>
          <t>ППК26114, (30.06.2026) [CNP]</t>
        </is>
      </c>
      <c r="L43" s="133" t="inlineStr">
        <is>
          <t>✓</t>
        </is>
      </c>
      <c r="M43" s="131" t="inlineStr">
        <is>
          <t>Conforms (ImB spec.)</t>
        </is>
      </c>
      <c r="N43" s="132" t="inlineStr">
        <is>
          <t>ППК26114, (30.06.2026) [CNP]</t>
        </is>
      </c>
      <c r="O43" s="133" t="inlineStr">
        <is>
          <t>✓</t>
        </is>
      </c>
      <c r="P43" s="137" t="inlineStr">
        <is>
          <t>17.59</t>
        </is>
      </c>
      <c r="Q43" s="132" t="inlineStr">
        <is>
          <t>ППК26114, (30.06.2026) [CNP]</t>
        </is>
      </c>
      <c r="R43" s="133" t="inlineStr">
        <is>
          <t>✓</t>
        </is>
      </c>
      <c r="S43" s="138" t="inlineStr">
        <is>
          <t>0.05</t>
        </is>
      </c>
      <c r="T43" s="132" t="inlineStr">
        <is>
          <t>ППК26114, (30.06.2026) [CNP]</t>
        </is>
      </c>
      <c r="U43" s="133" t="inlineStr">
        <is>
          <t>✓</t>
        </is>
      </c>
      <c r="V43" s="138" t="inlineStr">
        <is>
          <t>0.15</t>
        </is>
      </c>
      <c r="W43" s="132" t="inlineStr">
        <is>
          <t>ППК26114, (30.06.2026) [CNP]</t>
        </is>
      </c>
      <c r="X43" s="133" t="inlineStr">
        <is>
          <t>✓</t>
        </is>
      </c>
      <c r="Y43" s="131" t="inlineStr">
        <is>
          <t>0.09 % (Conforms)</t>
        </is>
      </c>
      <c r="Z43" s="132" t="inlineStr">
        <is>
          <t>ППК26114, (30.06.2026) [CNP]</t>
        </is>
      </c>
      <c r="AA43" s="133" t="inlineStr">
        <is>
          <t>✓</t>
        </is>
      </c>
      <c r="AB43" s="131" t="inlineStr">
        <is>
          <t>6.48</t>
        </is>
      </c>
      <c r="AC43" s="132" t="inlineStr">
        <is>
          <t>ППК26114, (30.06.2026) [CNP]</t>
        </is>
      </c>
      <c r="AD43" s="133" t="inlineStr">
        <is>
          <t>✓</t>
        </is>
      </c>
      <c r="AE43" s="171" t="inlineStr">
        <is>
          <t>— MISSING —</t>
        </is>
      </c>
      <c r="AF43" s="172" t="inlineStr">
        <is>
          <t>— MISSING —</t>
        </is>
      </c>
      <c r="AG43" s="172" t="inlineStr">
        <is>
          <t>— MISSING —</t>
        </is>
      </c>
      <c r="AH43" s="172" t="inlineStr">
        <is>
          <t>— MISSING —</t>
        </is>
      </c>
      <c r="AI43" s="172" t="inlineStr">
        <is>
          <t>— MISSING —</t>
        </is>
      </c>
      <c r="AJ43" s="173" t="inlineStr">
        <is>
          <t>✗</t>
        </is>
      </c>
      <c r="AK43" s="131" t="inlineStr">
        <is>
          <t>ND</t>
        </is>
      </c>
      <c r="AL43" s="139" t="inlineStr">
        <is>
          <t>ND</t>
        </is>
      </c>
      <c r="AM43" s="139" t="inlineStr">
        <is>
          <t>ND</t>
        </is>
      </c>
      <c r="AN43" s="133" t="inlineStr">
        <is>
          <t>✓</t>
        </is>
      </c>
      <c r="AO43" s="171" t="inlineStr">
        <is>
          <t>— MISSING —</t>
        </is>
      </c>
      <c r="AP43" s="172" t="inlineStr">
        <is>
          <t>— MISSING —</t>
        </is>
      </c>
      <c r="AQ43" s="172" t="inlineStr">
        <is>
          <t>— MISSING —</t>
        </is>
      </c>
      <c r="AR43" s="172" t="inlineStr">
        <is>
          <t>— MISSING —</t>
        </is>
      </c>
      <c r="AS43" s="173" t="inlineStr">
        <is>
          <t>✗</t>
        </is>
      </c>
      <c r="AT43" s="171" t="inlineStr">
        <is>
          <t>— MISSING —</t>
        </is>
      </c>
      <c r="AU43" s="174" t="inlineStr">
        <is>
          <t>— no certificate —</t>
        </is>
      </c>
      <c r="AV43" s="175" t="inlineStr">
        <is>
          <t>✗</t>
        </is>
      </c>
    </row>
    <row r="44" ht="39" customHeight="1" s="70">
      <c r="A44" s="141" t="n"/>
      <c r="G44" s="142" t="n"/>
      <c r="I44" s="143" t="n"/>
      <c r="J44" s="142" t="n"/>
      <c r="L44" s="143" t="n"/>
      <c r="M44" s="142" t="n"/>
      <c r="O44" s="143" t="n"/>
      <c r="P44" s="142" t="n"/>
      <c r="R44" s="143" t="n"/>
      <c r="S44" s="142" t="n"/>
      <c r="U44" s="143" t="n"/>
      <c r="V44" s="142" t="n"/>
      <c r="X44" s="143" t="n"/>
      <c r="Y44" s="142" t="n"/>
      <c r="AA44" s="143" t="n"/>
      <c r="AB44" s="142" t="n"/>
      <c r="AD44" s="143" t="n"/>
      <c r="AE44" s="176" t="inlineStr">
        <is>
          <t>— no certificate —</t>
        </is>
      </c>
      <c r="AJ44" s="143" t="n"/>
      <c r="AK44" s="144" t="inlineStr">
        <is>
          <t>197-8-М-26, (10.08.2026) [FHM-M]</t>
        </is>
      </c>
      <c r="AN44" s="143" t="n"/>
      <c r="AO44" s="176" t="inlineStr">
        <is>
          <t>— no certificate —</t>
        </is>
      </c>
      <c r="AS44" s="143" t="n"/>
      <c r="AT44" s="142" t="n"/>
      <c r="AV44" s="145" t="n"/>
    </row>
    <row r="45" ht="17.625" customHeight="1" s="70">
      <c r="A45" s="146" t="n"/>
      <c r="B45" s="147" t="n"/>
      <c r="D45" s="148" t="inlineStr">
        <is>
          <t>2 of 2</t>
        </is>
      </c>
      <c r="E45" s="149" t="inlineStr">
        <is>
          <t>re-analysis 197</t>
        </is>
      </c>
      <c r="F45" s="150" t="inlineStr">
        <is>
          <t>iCoA-PP_26-110
CoQ-PP_26-092 · retest</t>
        </is>
      </c>
      <c r="G45" s="151" t="n"/>
      <c r="H45" s="147" t="n"/>
      <c r="I45" s="152" t="n"/>
      <c r="J45" s="151" t="n"/>
      <c r="K45" s="147" t="n"/>
      <c r="L45" s="152" t="n"/>
      <c r="M45" s="153" t="inlineStr">
        <is>
          <t>Conforms (ImB spec.) ᴿ</t>
        </is>
      </c>
      <c r="N45" s="154" t="inlineStr">
        <is>
          <t>197-8-К-26, (07.08.2026) [FHM-K]</t>
        </is>
      </c>
      <c r="O45" s="155" t="inlineStr">
        <is>
          <t>✓</t>
        </is>
      </c>
      <c r="P45" s="156" t="inlineStr">
        <is>
          <t>16.70</t>
        </is>
      </c>
      <c r="Q45" s="154" t="inlineStr">
        <is>
          <t>197-8-К-26, (07.08.2026) [FHM-K]</t>
        </is>
      </c>
      <c r="R45" s="155" t="inlineStr">
        <is>
          <t>✓</t>
        </is>
      </c>
      <c r="S45" s="157" t="inlineStr">
        <is>
          <t>&lt; LOQ</t>
        </is>
      </c>
      <c r="T45" s="154" t="inlineStr">
        <is>
          <t>197-8-К-26, (07.08.2026) [FHM-K]</t>
        </is>
      </c>
      <c r="U45" s="155" t="inlineStr">
        <is>
          <t>✓</t>
        </is>
      </c>
      <c r="V45" s="157" t="inlineStr">
        <is>
          <t>&lt; LOQ</t>
        </is>
      </c>
      <c r="W45" s="154" t="inlineStr">
        <is>
          <t>197-8-К-26, (07.08.2026) [FHM-K]</t>
        </is>
      </c>
      <c r="X45" s="155" t="inlineStr">
        <is>
          <t>✓</t>
        </is>
      </c>
      <c r="Y45" s="151" t="n"/>
      <c r="Z45" s="147" t="n"/>
      <c r="AA45" s="152" t="n"/>
      <c r="AB45" s="158" t="inlineStr">
        <is>
          <t>not on this certificate</t>
        </is>
      </c>
      <c r="AC45" s="159" t="inlineStr">
        <is>
          <t>197-8-К-26, (07.08.2026) [FHM-K] · on file, not credited</t>
        </is>
      </c>
      <c r="AD45" s="160" t="inlineStr">
        <is>
          <t>•</t>
        </is>
      </c>
      <c r="AE45" s="151" t="n"/>
      <c r="AF45" s="147" t="n"/>
      <c r="AG45" s="147" t="n"/>
      <c r="AH45" s="147" t="n"/>
      <c r="AI45" s="147" t="n"/>
      <c r="AJ45" s="152" t="n"/>
      <c r="AK45" s="151" t="n"/>
      <c r="AL45" s="147" t="n"/>
      <c r="AM45" s="147" t="n"/>
      <c r="AN45" s="152" t="n"/>
      <c r="AO45" s="151" t="n"/>
      <c r="AP45" s="147" t="n"/>
      <c r="AQ45" s="147" t="n"/>
      <c r="AR45" s="147" t="n"/>
      <c r="AS45" s="152" t="n"/>
      <c r="AT45" s="151" t="n"/>
      <c r="AU45" s="147" t="n"/>
      <c r="AV45" s="163" t="n"/>
    </row>
    <row r="46" ht="15.375" customHeight="1" s="70">
      <c r="A46" s="164" t="n"/>
      <c r="B46" s="165" t="n"/>
      <c r="C46" s="165" t="n"/>
      <c r="D46" s="165" t="n"/>
      <c r="E46" s="165" t="n"/>
      <c r="F46" s="165" t="n"/>
      <c r="G46" s="166" t="n"/>
      <c r="H46" s="165" t="n"/>
      <c r="I46" s="167" t="n"/>
      <c r="J46" s="166" t="n"/>
      <c r="K46" s="165" t="n"/>
      <c r="L46" s="167" t="n"/>
      <c r="M46" s="166" t="n"/>
      <c r="N46" s="165" t="n"/>
      <c r="O46" s="167" t="n"/>
      <c r="P46" s="166" t="n"/>
      <c r="Q46" s="165" t="n"/>
      <c r="R46" s="167" t="n"/>
      <c r="S46" s="166" t="n"/>
      <c r="T46" s="165" t="n"/>
      <c r="U46" s="167" t="n"/>
      <c r="V46" s="166" t="n"/>
      <c r="W46" s="165" t="n"/>
      <c r="X46" s="167" t="n"/>
      <c r="Y46" s="166" t="n"/>
      <c r="Z46" s="165" t="n"/>
      <c r="AA46" s="167" t="n"/>
      <c r="AB46" s="166" t="n"/>
      <c r="AC46" s="165" t="n"/>
      <c r="AD46" s="167" t="n"/>
      <c r="AE46" s="166" t="n"/>
      <c r="AF46" s="165" t="n"/>
      <c r="AG46" s="165" t="n"/>
      <c r="AH46" s="165" t="n"/>
      <c r="AI46" s="165" t="n"/>
      <c r="AJ46" s="167" t="n"/>
      <c r="AK46" s="166" t="n"/>
      <c r="AL46" s="165" t="n"/>
      <c r="AM46" s="165" t="n"/>
      <c r="AN46" s="167" t="n"/>
      <c r="AO46" s="166" t="n"/>
      <c r="AP46" s="165" t="n"/>
      <c r="AQ46" s="165" t="n"/>
      <c r="AR46" s="165" t="n"/>
      <c r="AS46" s="167" t="n"/>
      <c r="AT46" s="166" t="n"/>
      <c r="AU46" s="165" t="n"/>
      <c r="AV46" s="169" t="n"/>
    </row>
    <row r="47" ht="21" customHeight="1" s="70">
      <c r="A47" s="125" t="inlineStr">
        <is>
          <t>GG032601</t>
        </is>
      </c>
      <c r="B47" s="126" t="inlineStr">
        <is>
          <t>P060462</t>
        </is>
      </c>
      <c r="C47" s="177" t="inlineStr">
        <is>
          <t>✗ 4 NO RESULT
(4 no cert / 0 cert w/o result)</t>
        </is>
      </c>
      <c r="D47" s="126" t="inlineStr">
        <is>
          <t>1 of 1</t>
        </is>
      </c>
      <c r="E47" s="178" t="inlineStr">
        <is>
          <t>release testing</t>
        </is>
      </c>
      <c r="F47" s="179" t="inlineStr">
        <is>
          <t>iCoA-PP_26-099
CoQ-PP_26-082 · initial release</t>
        </is>
      </c>
      <c r="G47" s="180" t="inlineStr">
        <is>
          <t>Conforms</t>
        </is>
      </c>
      <c r="H47" s="181" t="inlineStr">
        <is>
          <t>ППК26128, (21.07.2026) [CNP]</t>
        </is>
      </c>
      <c r="I47" s="182" t="inlineStr">
        <is>
          <t>✓</t>
        </is>
      </c>
      <c r="J47" s="180" t="inlineStr">
        <is>
          <t>Conforms</t>
        </is>
      </c>
      <c r="K47" s="181" t="inlineStr">
        <is>
          <t>ППК26128, (21.07.2026) [CNP]</t>
        </is>
      </c>
      <c r="L47" s="182" t="inlineStr">
        <is>
          <t>✓</t>
        </is>
      </c>
      <c r="M47" s="180" t="inlineStr">
        <is>
          <t>Conforms (ImB spec.)</t>
        </is>
      </c>
      <c r="N47" s="181" t="inlineStr">
        <is>
          <t>ППК26128, (21.07.2026) [CNP]</t>
        </is>
      </c>
      <c r="O47" s="182" t="inlineStr">
        <is>
          <t>✓</t>
        </is>
      </c>
      <c r="P47" s="183" t="inlineStr">
        <is>
          <t>18.98</t>
        </is>
      </c>
      <c r="Q47" s="181" t="inlineStr">
        <is>
          <t>ППК26128, (21.07.2026) [CNP]</t>
        </is>
      </c>
      <c r="R47" s="182" t="inlineStr">
        <is>
          <t>✓</t>
        </is>
      </c>
      <c r="S47" s="184" t="inlineStr">
        <is>
          <t>0.25</t>
        </is>
      </c>
      <c r="T47" s="181" t="inlineStr">
        <is>
          <t>ППК26128, (21.07.2026) [CNP]</t>
        </is>
      </c>
      <c r="U47" s="182" t="inlineStr">
        <is>
          <t>✓</t>
        </is>
      </c>
      <c r="V47" s="184" t="inlineStr">
        <is>
          <t>0.04</t>
        </is>
      </c>
      <c r="W47" s="181" t="inlineStr">
        <is>
          <t>ППК26128, (21.07.2026) [CNP]</t>
        </is>
      </c>
      <c r="X47" s="182" t="inlineStr">
        <is>
          <t>✓</t>
        </is>
      </c>
      <c r="Y47" s="180" t="inlineStr">
        <is>
          <t>Conforms (no value printed)</t>
        </is>
      </c>
      <c r="Z47" s="181" t="inlineStr">
        <is>
          <t>ППК26128, (21.07.2026) [CNP]</t>
        </is>
      </c>
      <c r="AA47" s="182" t="inlineStr">
        <is>
          <t>✓</t>
        </is>
      </c>
      <c r="AB47" s="180" t="inlineStr">
        <is>
          <t>7.88</t>
        </is>
      </c>
      <c r="AC47" s="181" t="inlineStr">
        <is>
          <t>ППК26128, (21.07.2026) [CNP]</t>
        </is>
      </c>
      <c r="AD47" s="182" t="inlineStr">
        <is>
          <t>✓</t>
        </is>
      </c>
      <c r="AE47" s="171" t="inlineStr">
        <is>
          <t>— MISSING —</t>
        </is>
      </c>
      <c r="AF47" s="172" t="inlineStr">
        <is>
          <t>— MISSING —</t>
        </is>
      </c>
      <c r="AG47" s="172" t="inlineStr">
        <is>
          <t>— MISSING —</t>
        </is>
      </c>
      <c r="AH47" s="172" t="inlineStr">
        <is>
          <t>— MISSING —</t>
        </is>
      </c>
      <c r="AI47" s="172" t="inlineStr">
        <is>
          <t>— MISSING —</t>
        </is>
      </c>
      <c r="AJ47" s="186" t="inlineStr">
        <is>
          <t>✗</t>
        </is>
      </c>
      <c r="AK47" s="171" t="inlineStr">
        <is>
          <t>— MISSING —</t>
        </is>
      </c>
      <c r="AL47" s="172" t="inlineStr">
        <is>
          <t>— MISSING —</t>
        </is>
      </c>
      <c r="AM47" s="172" t="inlineStr">
        <is>
          <t>— MISSING —</t>
        </is>
      </c>
      <c r="AN47" s="186" t="inlineStr">
        <is>
          <t>✗</t>
        </is>
      </c>
      <c r="AO47" s="171" t="inlineStr">
        <is>
          <t>— MISSING —</t>
        </is>
      </c>
      <c r="AP47" s="172" t="inlineStr">
        <is>
          <t>— MISSING —</t>
        </is>
      </c>
      <c r="AQ47" s="172" t="inlineStr">
        <is>
          <t>— MISSING —</t>
        </is>
      </c>
      <c r="AR47" s="172" t="inlineStr">
        <is>
          <t>— MISSING —</t>
        </is>
      </c>
      <c r="AS47" s="186" t="inlineStr">
        <is>
          <t>✗</t>
        </is>
      </c>
      <c r="AT47" s="187" t="inlineStr">
        <is>
          <t>— MISSING —</t>
        </is>
      </c>
      <c r="AU47" s="188" t="inlineStr">
        <is>
          <t>— no certificate —</t>
        </is>
      </c>
      <c r="AV47" s="189" t="inlineStr">
        <is>
          <t>✗</t>
        </is>
      </c>
    </row>
    <row r="48" ht="21" customHeight="1" s="70">
      <c r="A48" s="164" t="n"/>
      <c r="B48" s="165" t="n"/>
      <c r="C48" s="165" t="n"/>
      <c r="D48" s="165" t="n"/>
      <c r="E48" s="165" t="n"/>
      <c r="F48" s="165" t="n"/>
      <c r="G48" s="166" t="n"/>
      <c r="H48" s="165" t="n"/>
      <c r="I48" s="167" t="n"/>
      <c r="J48" s="166" t="n"/>
      <c r="K48" s="165" t="n"/>
      <c r="L48" s="167" t="n"/>
      <c r="M48" s="166" t="n"/>
      <c r="N48" s="165" t="n"/>
      <c r="O48" s="167" t="n"/>
      <c r="P48" s="166" t="n"/>
      <c r="Q48" s="165" t="n"/>
      <c r="R48" s="167" t="n"/>
      <c r="S48" s="166" t="n"/>
      <c r="T48" s="165" t="n"/>
      <c r="U48" s="167" t="n"/>
      <c r="V48" s="166" t="n"/>
      <c r="W48" s="165" t="n"/>
      <c r="X48" s="167" t="n"/>
      <c r="Y48" s="166" t="n"/>
      <c r="Z48" s="165" t="n"/>
      <c r="AA48" s="167" t="n"/>
      <c r="AB48" s="166" t="n"/>
      <c r="AC48" s="165" t="n"/>
      <c r="AD48" s="167" t="n"/>
      <c r="AE48" s="190" t="inlineStr">
        <is>
          <t>— no certificate —</t>
        </is>
      </c>
      <c r="AF48" s="165" t="n"/>
      <c r="AG48" s="165" t="n"/>
      <c r="AH48" s="165" t="n"/>
      <c r="AI48" s="165" t="n"/>
      <c r="AJ48" s="167" t="n"/>
      <c r="AK48" s="190" t="inlineStr">
        <is>
          <t>— no certificate —</t>
        </is>
      </c>
      <c r="AL48" s="165" t="n"/>
      <c r="AM48" s="165" t="n"/>
      <c r="AN48" s="167" t="n"/>
      <c r="AO48" s="190" t="inlineStr">
        <is>
          <t>— no certificate —</t>
        </is>
      </c>
      <c r="AP48" s="165" t="n"/>
      <c r="AQ48" s="165" t="n"/>
      <c r="AR48" s="165" t="n"/>
      <c r="AS48" s="167" t="n"/>
      <c r="AT48" s="166" t="n"/>
      <c r="AU48" s="165" t="n"/>
      <c r="AV48" s="169" t="n"/>
    </row>
    <row r="49" ht="21" customHeight="1" s="70">
      <c r="A49" s="125" t="inlineStr">
        <is>
          <t>GG1024</t>
        </is>
      </c>
      <c r="B49" s="126" t="inlineStr">
        <is>
          <t>N/A — no P batch assigned</t>
        </is>
      </c>
      <c r="C49" s="177" t="inlineStr">
        <is>
          <t>✗ 4 NO RESULT
(4 no cert / 0 cert w/o result)
2 testing instances</t>
        </is>
      </c>
      <c r="D49" s="128" t="inlineStr">
        <is>
          <t>1 of 2</t>
        </is>
      </c>
      <c r="E49" s="129" t="inlineStr">
        <is>
          <t>release testing + re-analysis 220</t>
        </is>
      </c>
      <c r="F49" s="130" t="inlineStr">
        <is>
          <t>iCoA-PP_26-004
CoQ-PP_26-004 · initial release
iCoA-PP_26-131
CoQ-PP_26-115 · retest</t>
        </is>
      </c>
      <c r="G49" s="131" t="inlineStr">
        <is>
          <t>Conforms</t>
        </is>
      </c>
      <c r="H49" s="132">
        <f>IFERROR(INDEX('iCoA Register'!$B:$B,MATCH("GG1024|I",'iCoA Register'!$AA:$AA,0)),"iCoA — at issue")&amp;", (11.03.2025) [PP]"</f>
        <v/>
      </c>
      <c r="I49" s="133" t="inlineStr">
        <is>
          <t>✓</t>
        </is>
      </c>
      <c r="J49" s="131" t="inlineStr">
        <is>
          <t>Conforms</t>
        </is>
      </c>
      <c r="K49" s="132">
        <f>IFERROR(INDEX('iCoA Register'!$B:$B,MATCH("GG1024|I",'iCoA Register'!$AA:$AA,0)),"iCoA — at issue")&amp;", (11.03.2025) [PP]"</f>
        <v/>
      </c>
      <c r="L49" s="133" t="inlineStr">
        <is>
          <t>✓</t>
        </is>
      </c>
      <c r="M49" s="131" t="inlineStr">
        <is>
          <t>Conforms (ImB spec.)</t>
        </is>
      </c>
      <c r="N49" s="132" t="inlineStr">
        <is>
          <t>220-9-К-26, (25.08.2026) [FHM-K]</t>
        </is>
      </c>
      <c r="O49" s="133" t="inlineStr">
        <is>
          <t>✓</t>
        </is>
      </c>
      <c r="P49" s="137" t="inlineStr">
        <is>
          <t>15.51</t>
        </is>
      </c>
      <c r="Q49" s="132" t="inlineStr">
        <is>
          <t>220-9-К-26, (25.08.2026) [FHM-K]</t>
        </is>
      </c>
      <c r="R49" s="133" t="inlineStr">
        <is>
          <t>✓</t>
        </is>
      </c>
      <c r="S49" s="138" t="inlineStr">
        <is>
          <t>&lt; LOQ</t>
        </is>
      </c>
      <c r="T49" s="132" t="inlineStr">
        <is>
          <t>220-9-К-26, (25.08.2026) [FHM-K]</t>
        </is>
      </c>
      <c r="U49" s="133" t="inlineStr">
        <is>
          <t>✓</t>
        </is>
      </c>
      <c r="V49" s="138" t="inlineStr">
        <is>
          <t>&lt; LOQ</t>
        </is>
      </c>
      <c r="W49" s="132" t="inlineStr">
        <is>
          <t>220-9-К-26, (25.08.2026) [FHM-K]</t>
        </is>
      </c>
      <c r="X49" s="133" t="inlineStr">
        <is>
          <t>✓</t>
        </is>
      </c>
      <c r="Y49" s="131" t="inlineStr">
        <is>
          <t>Conforms</t>
        </is>
      </c>
      <c r="Z49" s="132">
        <f>IFERROR(INDEX('iCoA Register'!$B:$B,MATCH("GG1024|I",'iCoA Register'!$AA:$AA,0)),"iCoA — at issue")&amp;", (11.03.2025) [PP]"</f>
        <v/>
      </c>
      <c r="AA49" s="133" t="inlineStr">
        <is>
          <t>✓</t>
        </is>
      </c>
      <c r="AB49" s="171" t="inlineStr">
        <is>
          <t>— MISSING —</t>
        </is>
      </c>
      <c r="AC49" s="174" t="inlineStr">
        <is>
          <t>— no certificate —</t>
        </is>
      </c>
      <c r="AD49" s="173" t="inlineStr">
        <is>
          <t>✗</t>
        </is>
      </c>
      <c r="AE49" s="171" t="inlineStr">
        <is>
          <t>— MISSING —</t>
        </is>
      </c>
      <c r="AF49" s="172" t="inlineStr">
        <is>
          <t>— MISSING —</t>
        </is>
      </c>
      <c r="AG49" s="172" t="inlineStr">
        <is>
          <t>— MISSING —</t>
        </is>
      </c>
      <c r="AH49" s="172" t="inlineStr">
        <is>
          <t>— MISSING —</t>
        </is>
      </c>
      <c r="AI49" s="172" t="inlineStr">
        <is>
          <t>— MISSING —</t>
        </is>
      </c>
      <c r="AJ49" s="173" t="inlineStr">
        <is>
          <t>✗</t>
        </is>
      </c>
      <c r="AK49" s="131" t="inlineStr">
        <is>
          <t>ND</t>
        </is>
      </c>
      <c r="AL49" s="139" t="inlineStr">
        <is>
          <t>ND</t>
        </is>
      </c>
      <c r="AM49" s="139" t="inlineStr">
        <is>
          <t>ND</t>
        </is>
      </c>
      <c r="AN49" s="133" t="inlineStr">
        <is>
          <t>✓</t>
        </is>
      </c>
      <c r="AO49" s="171" t="inlineStr">
        <is>
          <t>— MISSING —</t>
        </is>
      </c>
      <c r="AP49" s="172" t="inlineStr">
        <is>
          <t>— MISSING —</t>
        </is>
      </c>
      <c r="AQ49" s="172" t="inlineStr">
        <is>
          <t>— MISSING —</t>
        </is>
      </c>
      <c r="AR49" s="172" t="inlineStr">
        <is>
          <t>— MISSING —</t>
        </is>
      </c>
      <c r="AS49" s="173" t="inlineStr">
        <is>
          <t>✗</t>
        </is>
      </c>
      <c r="AT49" s="171" t="inlineStr">
        <is>
          <t>— MISSING —</t>
        </is>
      </c>
      <c r="AU49" s="174" t="inlineStr">
        <is>
          <t>— no certificate —</t>
        </is>
      </c>
      <c r="AV49" s="175" t="inlineStr">
        <is>
          <t>✗</t>
        </is>
      </c>
    </row>
    <row r="50" ht="39" customHeight="1" s="70">
      <c r="A50" s="141" t="n"/>
      <c r="G50" s="142" t="n"/>
      <c r="I50" s="143" t="n"/>
      <c r="J50" s="142" t="n"/>
      <c r="L50" s="143" t="n"/>
      <c r="M50" s="142" t="n"/>
      <c r="O50" s="143" t="n"/>
      <c r="P50" s="142" t="n"/>
      <c r="R50" s="143" t="n"/>
      <c r="S50" s="142" t="n"/>
      <c r="U50" s="143" t="n"/>
      <c r="V50" s="142" t="n"/>
      <c r="X50" s="143" t="n"/>
      <c r="Y50" s="142" t="n"/>
      <c r="AA50" s="143" t="n"/>
      <c r="AB50" s="142" t="n"/>
      <c r="AD50" s="143" t="n"/>
      <c r="AE50" s="176" t="inlineStr">
        <is>
          <t>— no certificate —</t>
        </is>
      </c>
      <c r="AJ50" s="143" t="n"/>
      <c r="AK50" s="144" t="inlineStr">
        <is>
          <t>220-9-М-26, (11.09.2026) [FHM-M]</t>
        </is>
      </c>
      <c r="AN50" s="143" t="n"/>
      <c r="AO50" s="176" t="inlineStr">
        <is>
          <t>— no certificate —</t>
        </is>
      </c>
      <c r="AS50" s="143" t="n"/>
      <c r="AT50" s="142" t="n"/>
      <c r="AV50" s="145" t="n"/>
    </row>
    <row r="51" ht="14" customHeight="1" s="70">
      <c r="A51" s="146" t="n"/>
      <c r="B51" s="147" t="n"/>
      <c r="D51" s="148" t="inlineStr">
        <is>
          <t>2 of 2</t>
        </is>
      </c>
      <c r="E51" s="149" t="inlineStr">
        <is>
          <t>release testing</t>
        </is>
      </c>
      <c r="F51" s="150" t="inlineStr">
        <is>
          <t>no certificate of quality cites this block</t>
        </is>
      </c>
      <c r="G51" s="153" t="inlineStr">
        <is>
          <t>Conforms</t>
        </is>
      </c>
      <c r="H51" s="154" t="inlineStr">
        <is>
          <t>iCoA — at issue (GG1024), (23.04.2025) [PP]</t>
        </is>
      </c>
      <c r="I51" s="155" t="inlineStr">
        <is>
          <t>✓</t>
        </is>
      </c>
      <c r="J51" s="151" t="n"/>
      <c r="K51" s="147" t="n"/>
      <c r="L51" s="152" t="n"/>
      <c r="M51" s="151" t="n"/>
      <c r="N51" s="147" t="n"/>
      <c r="O51" s="152" t="n"/>
      <c r="P51" s="151" t="n"/>
      <c r="Q51" s="147" t="n"/>
      <c r="R51" s="152" t="n"/>
      <c r="S51" s="151" t="n"/>
      <c r="T51" s="147" t="n"/>
      <c r="U51" s="152" t="n"/>
      <c r="V51" s="151" t="n"/>
      <c r="W51" s="147" t="n"/>
      <c r="X51" s="152" t="n"/>
      <c r="Y51" s="153" t="inlineStr">
        <is>
          <t>Conforms</t>
        </is>
      </c>
      <c r="Z51" s="154" t="inlineStr">
        <is>
          <t>iCoA — at issue (GG1024), (23.04.2025) [PP]</t>
        </is>
      </c>
      <c r="AA51" s="155" t="inlineStr">
        <is>
          <t>✓</t>
        </is>
      </c>
      <c r="AB51" s="151" t="n"/>
      <c r="AC51" s="147" t="n"/>
      <c r="AD51" s="152" t="n"/>
      <c r="AE51" s="151" t="n"/>
      <c r="AF51" s="147" t="n"/>
      <c r="AG51" s="147" t="n"/>
      <c r="AH51" s="147" t="n"/>
      <c r="AI51" s="147" t="n"/>
      <c r="AJ51" s="152" t="n"/>
      <c r="AK51" s="151" t="n"/>
      <c r="AL51" s="147" t="n"/>
      <c r="AM51" s="147" t="n"/>
      <c r="AN51" s="152" t="n"/>
      <c r="AO51" s="151" t="n"/>
      <c r="AP51" s="147" t="n"/>
      <c r="AQ51" s="147" t="n"/>
      <c r="AR51" s="147" t="n"/>
      <c r="AS51" s="152" t="n"/>
      <c r="AT51" s="151" t="n"/>
      <c r="AU51" s="147" t="n"/>
      <c r="AV51" s="163" t="n"/>
    </row>
    <row r="52" ht="13" customHeight="1" s="70">
      <c r="A52" s="164" t="n"/>
      <c r="B52" s="165" t="n"/>
      <c r="C52" s="165" t="n"/>
      <c r="D52" s="165" t="n"/>
      <c r="E52" s="165" t="n"/>
      <c r="F52" s="165" t="n"/>
      <c r="G52" s="166" t="n"/>
      <c r="H52" s="165" t="n"/>
      <c r="I52" s="167" t="n"/>
      <c r="J52" s="166" t="n"/>
      <c r="K52" s="165" t="n"/>
      <c r="L52" s="167" t="n"/>
      <c r="M52" s="166" t="n"/>
      <c r="N52" s="165" t="n"/>
      <c r="O52" s="167" t="n"/>
      <c r="P52" s="166" t="n"/>
      <c r="Q52" s="165" t="n"/>
      <c r="R52" s="167" t="n"/>
      <c r="S52" s="166" t="n"/>
      <c r="T52" s="165" t="n"/>
      <c r="U52" s="167" t="n"/>
      <c r="V52" s="166" t="n"/>
      <c r="W52" s="165" t="n"/>
      <c r="X52" s="167" t="n"/>
      <c r="Y52" s="166" t="n"/>
      <c r="Z52" s="165" t="n"/>
      <c r="AA52" s="167" t="n"/>
      <c r="AB52" s="166" t="n"/>
      <c r="AC52" s="165" t="n"/>
      <c r="AD52" s="167" t="n"/>
      <c r="AE52" s="166" t="n"/>
      <c r="AF52" s="165" t="n"/>
      <c r="AG52" s="165" t="n"/>
      <c r="AH52" s="165" t="n"/>
      <c r="AI52" s="165" t="n"/>
      <c r="AJ52" s="167" t="n"/>
      <c r="AK52" s="166" t="n"/>
      <c r="AL52" s="165" t="n"/>
      <c r="AM52" s="165" t="n"/>
      <c r="AN52" s="167" t="n"/>
      <c r="AO52" s="166" t="n"/>
      <c r="AP52" s="165" t="n"/>
      <c r="AQ52" s="165" t="n"/>
      <c r="AR52" s="165" t="n"/>
      <c r="AS52" s="167" t="n"/>
      <c r="AT52" s="166" t="n"/>
      <c r="AU52" s="165" t="n"/>
      <c r="AV52" s="169" t="n"/>
    </row>
    <row r="53" ht="21" customHeight="1" s="70">
      <c r="A53" s="125" t="inlineStr">
        <is>
          <t>GG112501</t>
        </is>
      </c>
      <c r="B53" s="126" t="inlineStr">
        <is>
          <t>P060252</t>
        </is>
      </c>
      <c r="C53" s="127" t="inlineStr">
        <is>
          <t>✓ COMPLETE
2 testing instances
• 1 document(s) on file, not credited</t>
        </is>
      </c>
      <c r="D53" s="128" t="inlineStr">
        <is>
          <t>1 of 2</t>
        </is>
      </c>
      <c r="E53" s="129" t="inlineStr">
        <is>
          <t>release testing</t>
        </is>
      </c>
      <c r="F53" s="130" t="inlineStr">
        <is>
          <t>iCoA-PP_26-064
CoQ-PP_26-061 · initial release</t>
        </is>
      </c>
      <c r="G53" s="131" t="inlineStr">
        <is>
          <t>Conforms</t>
        </is>
      </c>
      <c r="H53" s="132">
        <f>IFERROR(INDEX('iCoA Register'!$B:$B,MATCH("P060252|I",'iCoA Register'!$AA:$AA,0)),"iCoA — at issue")&amp;", (05.05.2026) [PP]"</f>
        <v/>
      </c>
      <c r="I53" s="133" t="inlineStr">
        <is>
          <t>✓</t>
        </is>
      </c>
      <c r="J53" s="131" t="inlineStr">
        <is>
          <t>Conforms</t>
        </is>
      </c>
      <c r="K53" s="132">
        <f>IFERROR(INDEX('iCoA Register'!$B:$B,MATCH("P060252|I",'iCoA Register'!$AA:$AA,0)),"iCoA — at issue")&amp;", (05.05.2026) [PP]"</f>
        <v/>
      </c>
      <c r="L53" s="133" t="inlineStr">
        <is>
          <t>✓</t>
        </is>
      </c>
      <c r="M53" s="131" t="inlineStr">
        <is>
          <t>Conforms (ImB spec.)</t>
        </is>
      </c>
      <c r="N53" s="132" t="inlineStr">
        <is>
          <t>ППК26061, (11.05.2026) [CNP]</t>
        </is>
      </c>
      <c r="O53" s="133" t="inlineStr">
        <is>
          <t>✓</t>
        </is>
      </c>
      <c r="P53" s="137" t="inlineStr">
        <is>
          <t>17.94</t>
        </is>
      </c>
      <c r="Q53" s="132" t="inlineStr">
        <is>
          <t>ППК26061, (11.05.2026) [CNP]</t>
        </is>
      </c>
      <c r="R53" s="133" t="inlineStr">
        <is>
          <t>✓</t>
        </is>
      </c>
      <c r="S53" s="138" t="inlineStr">
        <is>
          <t>0.08</t>
        </is>
      </c>
      <c r="T53" s="132" t="inlineStr">
        <is>
          <t>ППК26061, (11.05.2026) [CNP]</t>
        </is>
      </c>
      <c r="U53" s="133" t="inlineStr">
        <is>
          <t>✓</t>
        </is>
      </c>
      <c r="V53" s="138" t="inlineStr">
        <is>
          <t>&lt; LOQ ᴰ</t>
        </is>
      </c>
      <c r="W53" s="132" t="inlineStr">
        <is>
          <t>ППК26061, (11.05.2026) [CNP]</t>
        </is>
      </c>
      <c r="X53" s="133" t="inlineStr">
        <is>
          <t>✓</t>
        </is>
      </c>
      <c r="Y53" s="131" t="inlineStr">
        <is>
          <t>Conforms</t>
        </is>
      </c>
      <c r="Z53" s="132">
        <f>IFERROR(INDEX('iCoA Register'!$B:$B,MATCH("P060252|I",'iCoA Register'!$AA:$AA,0)),"iCoA — at issue")&amp;", (05.05.2026) [PP]"</f>
        <v/>
      </c>
      <c r="AA53" s="133" t="inlineStr">
        <is>
          <t>✓</t>
        </is>
      </c>
      <c r="AB53" s="131" t="inlineStr">
        <is>
          <t>6.31</t>
        </is>
      </c>
      <c r="AC53" s="132" t="inlineStr">
        <is>
          <t>ППК26061, (11.05.2026) [CNP]</t>
        </is>
      </c>
      <c r="AD53" s="133" t="inlineStr">
        <is>
          <t>✓</t>
        </is>
      </c>
      <c r="AE53" s="131" t="inlineStr">
        <is>
          <t>5.1 × 10³</t>
        </is>
      </c>
      <c r="AF53" s="139" t="inlineStr">
        <is>
          <t>4.5 × 10³</t>
        </is>
      </c>
      <c r="AG53" s="139" t="inlineStr">
        <is>
          <t>&lt; 10² and &gt; 10</t>
        </is>
      </c>
      <c r="AH53" s="139" t="inlineStr">
        <is>
          <t>Absent</t>
        </is>
      </c>
      <c r="AI53" s="139" t="inlineStr">
        <is>
          <t>Absent</t>
        </is>
      </c>
      <c r="AJ53" s="133" t="inlineStr">
        <is>
          <t>✓</t>
        </is>
      </c>
      <c r="AK53" s="131" t="inlineStr">
        <is>
          <t>not reported</t>
        </is>
      </c>
      <c r="AL53" s="139" t="inlineStr">
        <is>
          <t>&lt; 2</t>
        </is>
      </c>
      <c r="AM53" s="139" t="inlineStr">
        <is>
          <t>not reported</t>
        </is>
      </c>
      <c r="AN53" s="133" t="inlineStr">
        <is>
          <t>✓</t>
        </is>
      </c>
      <c r="AO53" s="131" t="inlineStr">
        <is>
          <t>0.033</t>
        </is>
      </c>
      <c r="AP53" s="139" t="inlineStr">
        <is>
          <t>0.0154</t>
        </is>
      </c>
      <c r="AQ53" s="139" t="inlineStr">
        <is>
          <t>0.0272</t>
        </is>
      </c>
      <c r="AR53" s="139" t="inlineStr">
        <is>
          <t>0.0146</t>
        </is>
      </c>
      <c r="AS53" s="133" t="inlineStr">
        <is>
          <t>✓</t>
        </is>
      </c>
      <c r="AT53" s="131" t="inlineStr">
        <is>
          <t>≤ LOQ (all 26 compounds)</t>
        </is>
      </c>
      <c r="AU53" s="132" t="inlineStr">
        <is>
          <t>2358-2026, (29.04.2026) [IJZ]</t>
        </is>
      </c>
      <c r="AV53" s="140" t="inlineStr">
        <is>
          <t>✓</t>
        </is>
      </c>
    </row>
    <row r="54" ht="21" customHeight="1" s="70">
      <c r="A54" s="141" t="n"/>
      <c r="G54" s="142" t="n"/>
      <c r="I54" s="143" t="n"/>
      <c r="J54" s="142" t="n"/>
      <c r="L54" s="143" t="n"/>
      <c r="M54" s="142" t="n"/>
      <c r="O54" s="143" t="n"/>
      <c r="P54" s="142" t="n"/>
      <c r="R54" s="143" t="n"/>
      <c r="S54" s="142" t="n"/>
      <c r="U54" s="143" t="n"/>
      <c r="V54" s="142" t="n"/>
      <c r="X54" s="143" t="n"/>
      <c r="Y54" s="142" t="n"/>
      <c r="AA54" s="143" t="n"/>
      <c r="AB54" s="142" t="n"/>
      <c r="AD54" s="143" t="n"/>
      <c r="AE54" s="144" t="inlineStr">
        <is>
          <t>304-0548-26, (28.04.2026) [IJZ-MB]</t>
        </is>
      </c>
      <c r="AJ54" s="143" t="n"/>
      <c r="AK54" s="144" t="inlineStr">
        <is>
          <t>2358-2026, (29.04.2026) [IJZ]</t>
        </is>
      </c>
      <c r="AN54" s="143" t="n"/>
      <c r="AO54" s="144" t="inlineStr">
        <is>
          <t>2358-2026, (29.04.2026) [IJZ]</t>
        </is>
      </c>
      <c r="AS54" s="143" t="n"/>
      <c r="AT54" s="142" t="n"/>
      <c r="AV54" s="145" t="n"/>
    </row>
    <row r="55" ht="21" customHeight="1" s="70">
      <c r="A55" s="146" t="n"/>
      <c r="B55" s="147" t="n"/>
      <c r="D55" s="148" t="inlineStr">
        <is>
          <t>2 of 2</t>
        </is>
      </c>
      <c r="E55" s="149" t="inlineStr">
        <is>
          <t>release testing + re-analysis 227 + re-test campaign (IJZ-MB)</t>
        </is>
      </c>
      <c r="F55" s="150" t="inlineStr">
        <is>
          <t>iCoA-PP_26-064
CoQ-PP_26-061 · initial release
iCoA-PP_26-166
CoQ-PP_26-148 · retest</t>
        </is>
      </c>
      <c r="G55" s="151" t="n"/>
      <c r="H55" s="147" t="n"/>
      <c r="I55" s="152" t="n"/>
      <c r="J55" s="158" t="inlineStr">
        <is>
          <t>not on this certificate</t>
        </is>
      </c>
      <c r="K55" s="159" t="inlineStr">
        <is>
          <t>ППК26061, (11.05.2026) [CNP] · on file, not credited</t>
        </is>
      </c>
      <c r="L55" s="160" t="inlineStr">
        <is>
          <t>•</t>
        </is>
      </c>
      <c r="M55" s="153" t="inlineStr">
        <is>
          <t>Conforms (ImB spec.)</t>
        </is>
      </c>
      <c r="N55" s="154" t="inlineStr">
        <is>
          <t>227-20-К-26, (11.09.2026) [FHM-K]</t>
        </is>
      </c>
      <c r="O55" s="155" t="inlineStr">
        <is>
          <t>✓</t>
        </is>
      </c>
      <c r="P55" s="156" t="inlineStr">
        <is>
          <t>18.64</t>
        </is>
      </c>
      <c r="Q55" s="154" t="inlineStr">
        <is>
          <t>227-20-К-26, (11.09.2026) [FHM-K]</t>
        </is>
      </c>
      <c r="R55" s="155" t="inlineStr">
        <is>
          <t>✓</t>
        </is>
      </c>
      <c r="S55" s="157" t="inlineStr">
        <is>
          <t>&lt; LOQ</t>
        </is>
      </c>
      <c r="T55" s="154" t="inlineStr">
        <is>
          <t>227-20-К-26, (11.09.2026) [FHM-K]</t>
        </is>
      </c>
      <c r="U55" s="155" t="inlineStr">
        <is>
          <t>✓</t>
        </is>
      </c>
      <c r="V55" s="157" t="inlineStr">
        <is>
          <t>&lt; LOQ</t>
        </is>
      </c>
      <c r="W55" s="154" t="inlineStr">
        <is>
          <t>227-20-К-26, (11.09.2026) [FHM-K]</t>
        </is>
      </c>
      <c r="X55" s="155" t="inlineStr">
        <is>
          <t>✓</t>
        </is>
      </c>
      <c r="Y55" s="151" t="n"/>
      <c r="Z55" s="147" t="n"/>
      <c r="AA55" s="152" t="n"/>
      <c r="AB55" s="151" t="n"/>
      <c r="AC55" s="147" t="n"/>
      <c r="AD55" s="152" t="n"/>
      <c r="AE55" s="161" t="inlineStr">
        <is>
          <t>5 × 10³</t>
        </is>
      </c>
      <c r="AF55" s="162" t="inlineStr">
        <is>
          <t>1.1 × 10³</t>
        </is>
      </c>
      <c r="AG55" s="162" t="inlineStr">
        <is>
          <t>&lt; 10³ and &gt; 10²</t>
        </is>
      </c>
      <c r="AH55" s="162" t="inlineStr">
        <is>
          <t>Absent</t>
        </is>
      </c>
      <c r="AI55" s="162" t="inlineStr">
        <is>
          <t>Absent</t>
        </is>
      </c>
      <c r="AJ55" s="155" t="inlineStr">
        <is>
          <t>✓</t>
        </is>
      </c>
      <c r="AK55" s="151" t="n"/>
      <c r="AL55" s="147" t="n"/>
      <c r="AM55" s="147" t="n"/>
      <c r="AN55" s="152" t="n"/>
      <c r="AO55" s="151" t="n"/>
      <c r="AP55" s="147" t="n"/>
      <c r="AQ55" s="147" t="n"/>
      <c r="AR55" s="147" t="n"/>
      <c r="AS55" s="152" t="n"/>
      <c r="AT55" s="151" t="n"/>
      <c r="AU55" s="147" t="n"/>
      <c r="AV55" s="163" t="n"/>
    </row>
    <row r="56" ht="39" customHeight="1" s="70">
      <c r="A56" s="164" t="n"/>
      <c r="B56" s="165" t="n"/>
      <c r="C56" s="165" t="n"/>
      <c r="D56" s="165" t="n"/>
      <c r="E56" s="165" t="n"/>
      <c r="F56" s="165" t="n"/>
      <c r="G56" s="166" t="n"/>
      <c r="H56" s="165" t="n"/>
      <c r="I56" s="167" t="n"/>
      <c r="J56" s="166" t="n"/>
      <c r="K56" s="165" t="n"/>
      <c r="L56" s="167" t="n"/>
      <c r="M56" s="166" t="n"/>
      <c r="N56" s="165" t="n"/>
      <c r="O56" s="167" t="n"/>
      <c r="P56" s="166" t="n"/>
      <c r="Q56" s="165" t="n"/>
      <c r="R56" s="167" t="n"/>
      <c r="S56" s="166" t="n"/>
      <c r="T56" s="165" t="n"/>
      <c r="U56" s="167" t="n"/>
      <c r="V56" s="166" t="n"/>
      <c r="W56" s="165" t="n"/>
      <c r="X56" s="167" t="n"/>
      <c r="Y56" s="166" t="n"/>
      <c r="Z56" s="165" t="n"/>
      <c r="AA56" s="167" t="n"/>
      <c r="AB56" s="166" t="n"/>
      <c r="AC56" s="165" t="n"/>
      <c r="AD56" s="167" t="n"/>
      <c r="AE56" s="168" t="inlineStr">
        <is>
          <t>545-1076-26, (31.08.2026) [IJZ-MB]</t>
        </is>
      </c>
      <c r="AF56" s="165" t="n"/>
      <c r="AG56" s="165" t="n"/>
      <c r="AH56" s="165" t="n"/>
      <c r="AI56" s="165" t="n"/>
      <c r="AJ56" s="167" t="n"/>
      <c r="AK56" s="166" t="n"/>
      <c r="AL56" s="165" t="n"/>
      <c r="AM56" s="165" t="n"/>
      <c r="AN56" s="167" t="n"/>
      <c r="AO56" s="166" t="n"/>
      <c r="AP56" s="165" t="n"/>
      <c r="AQ56" s="165" t="n"/>
      <c r="AR56" s="165" t="n"/>
      <c r="AS56" s="167" t="n"/>
      <c r="AT56" s="166" t="n"/>
      <c r="AU56" s="165" t="n"/>
      <c r="AV56" s="169" t="n"/>
    </row>
    <row r="57" ht="21" customHeight="1" s="70">
      <c r="A57" s="125" t="inlineStr">
        <is>
          <t>GRC102501</t>
        </is>
      </c>
      <c r="B57" s="126" t="inlineStr">
        <is>
          <t>P060142 / P060182</t>
        </is>
      </c>
      <c r="C57" s="170" t="inlineStr">
        <is>
          <t>⚠ 2 NO RESULT
(2 no cert / 0 cert w/o result)
4 testing instances
• 2 document(s) on file, not credited</t>
        </is>
      </c>
      <c r="D57" s="128" t="inlineStr">
        <is>
          <t>1 of 4</t>
        </is>
      </c>
      <c r="E57" s="129" t="inlineStr">
        <is>
          <t>release testing + re-test campaign (IJZ-MB) + re-analysis 220</t>
        </is>
      </c>
      <c r="F57" s="130" t="inlineStr">
        <is>
          <t>no certificate of quality cites this block</t>
        </is>
      </c>
      <c r="G57" s="131" t="inlineStr">
        <is>
          <t>Conforms</t>
        </is>
      </c>
      <c r="H57" s="132">
        <f>IFERROR(INDEX('iCoA Register'!$B:$B,MATCH("P060142|I",'iCoA Register'!$AA:$AA,0)),"iCoA — at issue")&amp;", (23.02.2026) [PP]"</f>
        <v/>
      </c>
      <c r="I57" s="133" t="inlineStr">
        <is>
          <t>✓</t>
        </is>
      </c>
      <c r="J57" s="131" t="inlineStr">
        <is>
          <t>Conforms</t>
        </is>
      </c>
      <c r="K57" s="132">
        <f>IFERROR(INDEX('iCoA Register'!$B:$B,MATCH("P060142|I",'iCoA Register'!$AA:$AA,0)),"iCoA — at issue")&amp;", (23.02.2026) [PP]"</f>
        <v/>
      </c>
      <c r="L57" s="133" t="inlineStr">
        <is>
          <t>✓</t>
        </is>
      </c>
      <c r="M57" s="134" t="inlineStr">
        <is>
          <t>not on this certificate</t>
        </is>
      </c>
      <c r="N57" s="135" t="inlineStr">
        <is>
          <t>051-6-ГС-26, (02.03.2026) [FHM-K] · on file, not credited</t>
        </is>
      </c>
      <c r="O57" s="136" t="inlineStr">
        <is>
          <t>•</t>
        </is>
      </c>
      <c r="P57" s="191" t="inlineStr">
        <is>
          <t>not on this certificate</t>
        </is>
      </c>
      <c r="Q57" s="135" t="inlineStr">
        <is>
          <t>051-6-ГС-26, (02.03.2026) [FHM-K] · on file, not credited</t>
        </is>
      </c>
      <c r="R57" s="136" t="inlineStr">
        <is>
          <t>•</t>
        </is>
      </c>
      <c r="S57" s="192" t="inlineStr">
        <is>
          <t>not on this certificate</t>
        </is>
      </c>
      <c r="T57" s="135" t="inlineStr">
        <is>
          <t>051-6-ГС-26, (02.03.2026) [FHM-K] · on file, not credited</t>
        </is>
      </c>
      <c r="U57" s="136" t="inlineStr">
        <is>
          <t>•</t>
        </is>
      </c>
      <c r="V57" s="192" t="inlineStr">
        <is>
          <t>not on this certificate</t>
        </is>
      </c>
      <c r="W57" s="135" t="inlineStr">
        <is>
          <t>051-6-ГС-26, (02.03.2026) [FHM-K] · on file, not credited</t>
        </is>
      </c>
      <c r="X57" s="136" t="inlineStr">
        <is>
          <t>•</t>
        </is>
      </c>
      <c r="Y57" s="131" t="inlineStr">
        <is>
          <t>Conforms</t>
        </is>
      </c>
      <c r="Z57" s="132">
        <f>IFERROR(INDEX('iCoA Register'!$B:$B,MATCH("P060142|I",'iCoA Register'!$AA:$AA,0)),"iCoA — at issue")&amp;", (23.02.2026) [PP]"</f>
        <v/>
      </c>
      <c r="AA57" s="133" t="inlineStr">
        <is>
          <t>✓</t>
        </is>
      </c>
      <c r="AB57" s="131" t="inlineStr">
        <is>
          <t>7.7</t>
        </is>
      </c>
      <c r="AC57" s="132" t="inlineStr">
        <is>
          <t>051-6-ГС-26, (02.03.2026) [FHM-K]</t>
        </is>
      </c>
      <c r="AD57" s="133" t="inlineStr">
        <is>
          <t>✓</t>
        </is>
      </c>
      <c r="AE57" s="131" t="inlineStr">
        <is>
          <t>10</t>
        </is>
      </c>
      <c r="AF57" s="139" t="inlineStr">
        <is>
          <t>&lt; 10</t>
        </is>
      </c>
      <c r="AG57" s="139" t="inlineStr">
        <is>
          <t>&lt; 10</t>
        </is>
      </c>
      <c r="AH57" s="139" t="inlineStr">
        <is>
          <t>Absent</t>
        </is>
      </c>
      <c r="AI57" s="139" t="inlineStr">
        <is>
          <t>Absent</t>
        </is>
      </c>
      <c r="AJ57" s="133" t="inlineStr">
        <is>
          <t>✓</t>
        </is>
      </c>
      <c r="AK57" s="131" t="inlineStr">
        <is>
          <t>ND</t>
        </is>
      </c>
      <c r="AL57" s="139" t="inlineStr">
        <is>
          <t>ND</t>
        </is>
      </c>
      <c r="AM57" s="139" t="inlineStr">
        <is>
          <t>ND</t>
        </is>
      </c>
      <c r="AN57" s="133" t="inlineStr">
        <is>
          <t>✓</t>
        </is>
      </c>
      <c r="AO57" s="171" t="inlineStr">
        <is>
          <t>— MISSING —</t>
        </is>
      </c>
      <c r="AP57" s="172" t="inlineStr">
        <is>
          <t>— MISSING —</t>
        </is>
      </c>
      <c r="AQ57" s="172" t="inlineStr">
        <is>
          <t>— MISSING —</t>
        </is>
      </c>
      <c r="AR57" s="172" t="inlineStr">
        <is>
          <t>— MISSING —</t>
        </is>
      </c>
      <c r="AS57" s="173" t="inlineStr">
        <is>
          <t>✗</t>
        </is>
      </c>
      <c r="AT57" s="171" t="inlineStr">
        <is>
          <t>— MISSING —</t>
        </is>
      </c>
      <c r="AU57" s="174" t="inlineStr">
        <is>
          <t>— no certificate —</t>
        </is>
      </c>
      <c r="AV57" s="175" t="inlineStr">
        <is>
          <t>✗</t>
        </is>
      </c>
    </row>
    <row r="58" ht="21" customHeight="1" s="70">
      <c r="A58" s="141" t="n"/>
      <c r="G58" s="142" t="n"/>
      <c r="I58" s="143" t="n"/>
      <c r="J58" s="142" t="n"/>
      <c r="L58" s="143" t="n"/>
      <c r="M58" s="142" t="n"/>
      <c r="O58" s="143" t="n"/>
      <c r="P58" s="142" t="n"/>
      <c r="R58" s="143" t="n"/>
      <c r="S58" s="142" t="n"/>
      <c r="U58" s="143" t="n"/>
      <c r="V58" s="142" t="n"/>
      <c r="X58" s="143" t="n"/>
      <c r="Y58" s="142" t="n"/>
      <c r="AA58" s="143" t="n"/>
      <c r="AB58" s="142" t="n"/>
      <c r="AD58" s="143" t="n"/>
      <c r="AE58" s="144" t="inlineStr">
        <is>
          <t>550-1081-26, (01.09.2026) [IJZ-MB]</t>
        </is>
      </c>
      <c r="AJ58" s="143" t="n"/>
      <c r="AK58" s="144" t="inlineStr">
        <is>
          <t>220-14-М-26, (11.09.2026) [FHM-M]</t>
        </is>
      </c>
      <c r="AN58" s="143" t="n"/>
      <c r="AO58" s="176" t="inlineStr">
        <is>
          <t>— no certificate —</t>
        </is>
      </c>
      <c r="AS58" s="143" t="n"/>
      <c r="AT58" s="142" t="n"/>
      <c r="AV58" s="145" t="n"/>
    </row>
    <row r="59" ht="17.625" customHeight="1" s="70">
      <c r="A59" s="146" t="n"/>
      <c r="B59" s="147" t="n"/>
      <c r="D59" s="193" t="inlineStr">
        <is>
          <t>2 of 4</t>
        </is>
      </c>
      <c r="E59" s="194" t="inlineStr">
        <is>
          <t>release testing</t>
        </is>
      </c>
      <c r="F59" s="195" t="inlineStr">
        <is>
          <t>no certificate of quality cites this block</t>
        </is>
      </c>
      <c r="G59" s="161" t="inlineStr">
        <is>
          <t>Conforms</t>
        </is>
      </c>
      <c r="H59" s="196">
        <f>IFERROR(INDEX('iCoA Register'!$B:$B,MATCH("P060182|I",'iCoA Register'!$AA:$AA,0)),"iCoA — at issue")&amp;", (14.03.2026) [PP]"</f>
        <v/>
      </c>
      <c r="I59" s="197" t="inlineStr">
        <is>
          <t>✓</t>
        </is>
      </c>
      <c r="J59" s="161" t="inlineStr">
        <is>
          <t>Conforms</t>
        </is>
      </c>
      <c r="K59" s="196">
        <f>IFERROR(INDEX('iCoA Register'!$B:$B,MATCH("P060182|I",'iCoA Register'!$AA:$AA,0)),"iCoA — at issue")&amp;", (14.03.2026) [PP]"</f>
        <v/>
      </c>
      <c r="L59" s="197" t="inlineStr">
        <is>
          <t>✓</t>
        </is>
      </c>
      <c r="M59" s="161" t="inlineStr">
        <is>
          <t>Conforms (ImB spec.) ᴿ</t>
        </is>
      </c>
      <c r="N59" s="196" t="inlineStr">
        <is>
          <t>051-6-К-26, (04.03.2026) [FHM-K]</t>
        </is>
      </c>
      <c r="O59" s="197" t="inlineStr">
        <is>
          <t>✓</t>
        </is>
      </c>
      <c r="P59" s="198" t="inlineStr">
        <is>
          <t>11.53</t>
        </is>
      </c>
      <c r="Q59" s="196" t="inlineStr">
        <is>
          <t>051-6-К-26, (04.03.2026) [FHM-K]</t>
        </is>
      </c>
      <c r="R59" s="197" t="inlineStr">
        <is>
          <t>✓</t>
        </is>
      </c>
      <c r="S59" s="199" t="inlineStr">
        <is>
          <t>&lt; LOQ**</t>
        </is>
      </c>
      <c r="T59" s="196" t="inlineStr">
        <is>
          <t>051-6-К-26, (04.03.2026) [FHM-K]</t>
        </is>
      </c>
      <c r="U59" s="197" t="inlineStr">
        <is>
          <t>✓</t>
        </is>
      </c>
      <c r="V59" s="199" t="inlineStr">
        <is>
          <t>&lt; LOQ**</t>
        </is>
      </c>
      <c r="W59" s="196" t="inlineStr">
        <is>
          <t>051-6-К-26, (04.03.2026) [FHM-K]</t>
        </is>
      </c>
      <c r="X59" s="197" t="inlineStr">
        <is>
          <t>✓</t>
        </is>
      </c>
      <c r="Y59" s="161" t="inlineStr">
        <is>
          <t>Conforms</t>
        </is>
      </c>
      <c r="Z59" s="196">
        <f>IFERROR(INDEX('iCoA Register'!$B:$B,MATCH("P060182|I",'iCoA Register'!$AA:$AA,0)),"iCoA — at issue")&amp;", (14.03.2026) [PP]"</f>
        <v/>
      </c>
      <c r="AA59" s="197" t="inlineStr">
        <is>
          <t>✓</t>
        </is>
      </c>
      <c r="AB59" s="200" t="inlineStr">
        <is>
          <t>not on this certificate</t>
        </is>
      </c>
      <c r="AC59" s="201" t="inlineStr">
        <is>
          <t>051-6-К-26, (04.03.2026) [FHM-K] · on file, not credited</t>
        </is>
      </c>
      <c r="AD59" s="202" t="inlineStr">
        <is>
          <t>•</t>
        </is>
      </c>
      <c r="AE59" s="151" t="n"/>
      <c r="AF59" s="147" t="n"/>
      <c r="AG59" s="147" t="n"/>
      <c r="AH59" s="147" t="n"/>
      <c r="AI59" s="147" t="n"/>
      <c r="AJ59" s="152" t="n"/>
      <c r="AK59" s="151" t="n"/>
      <c r="AL59" s="147" t="n"/>
      <c r="AM59" s="147" t="n"/>
      <c r="AN59" s="152" t="n"/>
      <c r="AO59" s="151" t="n"/>
      <c r="AP59" s="147" t="n"/>
      <c r="AQ59" s="147" t="n"/>
      <c r="AR59" s="147" t="n"/>
      <c r="AS59" s="152" t="n"/>
      <c r="AT59" s="151" t="n"/>
      <c r="AU59" s="147" t="n"/>
      <c r="AV59" s="163" t="n"/>
    </row>
    <row r="60" ht="15.375" customHeight="1" s="70">
      <c r="A60" s="203" t="n"/>
      <c r="B60" s="204" t="n"/>
      <c r="D60" s="204" t="n"/>
      <c r="E60" s="204" t="n"/>
      <c r="F60" s="204" t="n"/>
      <c r="G60" s="205" t="n"/>
      <c r="H60" s="204" t="n"/>
      <c r="I60" s="206" t="n"/>
      <c r="J60" s="205" t="n"/>
      <c r="K60" s="204" t="n"/>
      <c r="L60" s="206" t="n"/>
      <c r="M60" s="205" t="n"/>
      <c r="N60" s="204" t="n"/>
      <c r="O60" s="206" t="n"/>
      <c r="P60" s="205" t="n"/>
      <c r="Q60" s="204" t="n"/>
      <c r="R60" s="206" t="n"/>
      <c r="S60" s="205" t="n"/>
      <c r="T60" s="204" t="n"/>
      <c r="U60" s="206" t="n"/>
      <c r="V60" s="205" t="n"/>
      <c r="W60" s="204" t="n"/>
      <c r="X60" s="206" t="n"/>
      <c r="Y60" s="205" t="n"/>
      <c r="Z60" s="204" t="n"/>
      <c r="AA60" s="206" t="n"/>
      <c r="AB60" s="205" t="n"/>
      <c r="AC60" s="204" t="n"/>
      <c r="AD60" s="206" t="n"/>
      <c r="AE60" s="205" t="n"/>
      <c r="AF60" s="204" t="n"/>
      <c r="AG60" s="204" t="n"/>
      <c r="AH60" s="204" t="n"/>
      <c r="AI60" s="204" t="n"/>
      <c r="AJ60" s="206" t="n"/>
      <c r="AK60" s="205" t="n"/>
      <c r="AL60" s="204" t="n"/>
      <c r="AM60" s="204" t="n"/>
      <c r="AN60" s="206" t="n"/>
      <c r="AO60" s="205" t="n"/>
      <c r="AP60" s="204" t="n"/>
      <c r="AQ60" s="204" t="n"/>
      <c r="AR60" s="204" t="n"/>
      <c r="AS60" s="206" t="n"/>
      <c r="AT60" s="205" t="n"/>
      <c r="AU60" s="204" t="n"/>
      <c r="AV60" s="207" t="n"/>
    </row>
    <row r="61" ht="17.625" customHeight="1" s="70">
      <c r="A61" s="146" t="n"/>
      <c r="B61" s="147" t="n"/>
      <c r="D61" s="193" t="inlineStr">
        <is>
          <t>3 of 4</t>
        </is>
      </c>
      <c r="E61" s="194" t="inlineStr">
        <is>
          <t>re-analysis 220</t>
        </is>
      </c>
      <c r="F61" s="195" t="inlineStr">
        <is>
          <t>no certificate of quality cites this block</t>
        </is>
      </c>
      <c r="G61" s="151" t="n"/>
      <c r="H61" s="147" t="n"/>
      <c r="I61" s="152" t="n"/>
      <c r="J61" s="151" t="n"/>
      <c r="K61" s="147" t="n"/>
      <c r="L61" s="152" t="n"/>
      <c r="M61" s="161" t="inlineStr">
        <is>
          <t>Conforms (ImB spec.)</t>
        </is>
      </c>
      <c r="N61" s="196" t="inlineStr">
        <is>
          <t>220-14-К-26, (25.08.2026) [FHM-K]</t>
        </is>
      </c>
      <c r="O61" s="197" t="inlineStr">
        <is>
          <t>✓</t>
        </is>
      </c>
      <c r="P61" s="198" t="inlineStr">
        <is>
          <t>9.80</t>
        </is>
      </c>
      <c r="Q61" s="196" t="inlineStr">
        <is>
          <t>220-14-К-26, (25.08.2026) [FHM-K]</t>
        </is>
      </c>
      <c r="R61" s="197" t="inlineStr">
        <is>
          <t>✓</t>
        </is>
      </c>
      <c r="S61" s="199" t="inlineStr">
        <is>
          <t>&lt; LOQ</t>
        </is>
      </c>
      <c r="T61" s="196" t="inlineStr">
        <is>
          <t>220-14-К-26, (25.08.2026) [FHM-K]</t>
        </is>
      </c>
      <c r="U61" s="197" t="inlineStr">
        <is>
          <t>✓</t>
        </is>
      </c>
      <c r="V61" s="199" t="inlineStr">
        <is>
          <t>&lt; LOQ</t>
        </is>
      </c>
      <c r="W61" s="196" t="inlineStr">
        <is>
          <t>220-14-К-26, (25.08.2026) [FHM-K]</t>
        </is>
      </c>
      <c r="X61" s="197" t="inlineStr">
        <is>
          <t>✓</t>
        </is>
      </c>
      <c r="Y61" s="151" t="n"/>
      <c r="Z61" s="147" t="n"/>
      <c r="AA61" s="152" t="n"/>
      <c r="AB61" s="151" t="n"/>
      <c r="AC61" s="147" t="n"/>
      <c r="AD61" s="152" t="n"/>
      <c r="AE61" s="151" t="n"/>
      <c r="AF61" s="147" t="n"/>
      <c r="AG61" s="147" t="n"/>
      <c r="AH61" s="147" t="n"/>
      <c r="AI61" s="147" t="n"/>
      <c r="AJ61" s="152" t="n"/>
      <c r="AK61" s="151" t="n"/>
      <c r="AL61" s="147" t="n"/>
      <c r="AM61" s="147" t="n"/>
      <c r="AN61" s="152" t="n"/>
      <c r="AO61" s="151" t="n"/>
      <c r="AP61" s="147" t="n"/>
      <c r="AQ61" s="147" t="n"/>
      <c r="AR61" s="147" t="n"/>
      <c r="AS61" s="152" t="n"/>
      <c r="AT61" s="151" t="n"/>
      <c r="AU61" s="147" t="n"/>
      <c r="AV61" s="163" t="n"/>
    </row>
    <row r="62" ht="13" customHeight="1" s="70">
      <c r="A62" s="203" t="n"/>
      <c r="B62" s="204" t="n"/>
      <c r="D62" s="204" t="n"/>
      <c r="E62" s="204" t="n"/>
      <c r="F62" s="204" t="n"/>
      <c r="G62" s="205" t="n"/>
      <c r="H62" s="204" t="n"/>
      <c r="I62" s="206" t="n"/>
      <c r="J62" s="205" t="n"/>
      <c r="K62" s="204" t="n"/>
      <c r="L62" s="206" t="n"/>
      <c r="M62" s="205" t="n"/>
      <c r="N62" s="204" t="n"/>
      <c r="O62" s="206" t="n"/>
      <c r="P62" s="205" t="n"/>
      <c r="Q62" s="204" t="n"/>
      <c r="R62" s="206" t="n"/>
      <c r="S62" s="205" t="n"/>
      <c r="T62" s="204" t="n"/>
      <c r="U62" s="206" t="n"/>
      <c r="V62" s="205" t="n"/>
      <c r="W62" s="204" t="n"/>
      <c r="X62" s="206" t="n"/>
      <c r="Y62" s="205" t="n"/>
      <c r="Z62" s="204" t="n"/>
      <c r="AA62" s="206" t="n"/>
      <c r="AB62" s="205" t="n"/>
      <c r="AC62" s="204" t="n"/>
      <c r="AD62" s="206" t="n"/>
      <c r="AE62" s="205" t="n"/>
      <c r="AF62" s="204" t="n"/>
      <c r="AG62" s="204" t="n"/>
      <c r="AH62" s="204" t="n"/>
      <c r="AI62" s="204" t="n"/>
      <c r="AJ62" s="206" t="n"/>
      <c r="AK62" s="205" t="n"/>
      <c r="AL62" s="204" t="n"/>
      <c r="AM62" s="204" t="n"/>
      <c r="AN62" s="206" t="n"/>
      <c r="AO62" s="205" t="n"/>
      <c r="AP62" s="204" t="n"/>
      <c r="AQ62" s="204" t="n"/>
      <c r="AR62" s="204" t="n"/>
      <c r="AS62" s="206" t="n"/>
      <c r="AT62" s="205" t="n"/>
      <c r="AU62" s="204" t="n"/>
      <c r="AV62" s="207" t="n"/>
    </row>
    <row r="63" ht="17.625" customHeight="1" s="70">
      <c r="A63" s="146" t="n"/>
      <c r="B63" s="147" t="n"/>
      <c r="D63" s="148" t="inlineStr">
        <is>
          <t>4 of 4</t>
        </is>
      </c>
      <c r="E63" s="149" t="inlineStr">
        <is>
          <t>re-analysis 227</t>
        </is>
      </c>
      <c r="F63" s="150" t="inlineStr">
        <is>
          <t>no certificate of quality cites this block</t>
        </is>
      </c>
      <c r="G63" s="151" t="n"/>
      <c r="H63" s="147" t="n"/>
      <c r="I63" s="152" t="n"/>
      <c r="J63" s="151" t="n"/>
      <c r="K63" s="147" t="n"/>
      <c r="L63" s="152" t="n"/>
      <c r="M63" s="153" t="inlineStr">
        <is>
          <t>Conforms (ImB spec.)</t>
        </is>
      </c>
      <c r="N63" s="154" t="inlineStr">
        <is>
          <t>227-16-К-26, (11.09.2026) [FHM-K]</t>
        </is>
      </c>
      <c r="O63" s="155" t="inlineStr">
        <is>
          <t>✓</t>
        </is>
      </c>
      <c r="P63" s="156" t="inlineStr">
        <is>
          <t>7.50</t>
        </is>
      </c>
      <c r="Q63" s="154" t="inlineStr">
        <is>
          <t>227-16-К-26, (11.09.2026) [FHM-K]</t>
        </is>
      </c>
      <c r="R63" s="155" t="inlineStr">
        <is>
          <t>✓</t>
        </is>
      </c>
      <c r="S63" s="157" t="inlineStr">
        <is>
          <t>&lt; LOQ</t>
        </is>
      </c>
      <c r="T63" s="154" t="inlineStr">
        <is>
          <t>227-16-К-26, (11.09.2026) [FHM-K]</t>
        </is>
      </c>
      <c r="U63" s="155" t="inlineStr">
        <is>
          <t>✓</t>
        </is>
      </c>
      <c r="V63" s="157" t="inlineStr">
        <is>
          <t>&lt; LOQ</t>
        </is>
      </c>
      <c r="W63" s="154" t="inlineStr">
        <is>
          <t>227-16-К-26, (11.09.2026) [FHM-K]</t>
        </is>
      </c>
      <c r="X63" s="155" t="inlineStr">
        <is>
          <t>✓</t>
        </is>
      </c>
      <c r="Y63" s="151" t="n"/>
      <c r="Z63" s="147" t="n"/>
      <c r="AA63" s="152" t="n"/>
      <c r="AB63" s="151" t="n"/>
      <c r="AC63" s="147" t="n"/>
      <c r="AD63" s="152" t="n"/>
      <c r="AE63" s="151" t="n"/>
      <c r="AF63" s="147" t="n"/>
      <c r="AG63" s="147" t="n"/>
      <c r="AH63" s="147" t="n"/>
      <c r="AI63" s="147" t="n"/>
      <c r="AJ63" s="152" t="n"/>
      <c r="AK63" s="151" t="n"/>
      <c r="AL63" s="147" t="n"/>
      <c r="AM63" s="147" t="n"/>
      <c r="AN63" s="152" t="n"/>
      <c r="AO63" s="151" t="n"/>
      <c r="AP63" s="147" t="n"/>
      <c r="AQ63" s="147" t="n"/>
      <c r="AR63" s="147" t="n"/>
      <c r="AS63" s="152" t="n"/>
      <c r="AT63" s="151" t="n"/>
      <c r="AU63" s="147" t="n"/>
      <c r="AV63" s="163" t="n"/>
    </row>
    <row r="64" ht="13" customHeight="1" s="70">
      <c r="A64" s="164" t="n"/>
      <c r="B64" s="165" t="n"/>
      <c r="C64" s="165" t="n"/>
      <c r="D64" s="165" t="n"/>
      <c r="E64" s="165" t="n"/>
      <c r="F64" s="165" t="n"/>
      <c r="G64" s="166" t="n"/>
      <c r="H64" s="165" t="n"/>
      <c r="I64" s="167" t="n"/>
      <c r="J64" s="166" t="n"/>
      <c r="K64" s="165" t="n"/>
      <c r="L64" s="167" t="n"/>
      <c r="M64" s="166" t="n"/>
      <c r="N64" s="165" t="n"/>
      <c r="O64" s="167" t="n"/>
      <c r="P64" s="166" t="n"/>
      <c r="Q64" s="165" t="n"/>
      <c r="R64" s="167" t="n"/>
      <c r="S64" s="166" t="n"/>
      <c r="T64" s="165" t="n"/>
      <c r="U64" s="167" t="n"/>
      <c r="V64" s="166" t="n"/>
      <c r="W64" s="165" t="n"/>
      <c r="X64" s="167" t="n"/>
      <c r="Y64" s="166" t="n"/>
      <c r="Z64" s="165" t="n"/>
      <c r="AA64" s="167" t="n"/>
      <c r="AB64" s="166" t="n"/>
      <c r="AC64" s="165" t="n"/>
      <c r="AD64" s="167" t="n"/>
      <c r="AE64" s="166" t="n"/>
      <c r="AF64" s="165" t="n"/>
      <c r="AG64" s="165" t="n"/>
      <c r="AH64" s="165" t="n"/>
      <c r="AI64" s="165" t="n"/>
      <c r="AJ64" s="167" t="n"/>
      <c r="AK64" s="166" t="n"/>
      <c r="AL64" s="165" t="n"/>
      <c r="AM64" s="165" t="n"/>
      <c r="AN64" s="167" t="n"/>
      <c r="AO64" s="166" t="n"/>
      <c r="AP64" s="165" t="n"/>
      <c r="AQ64" s="165" t="n"/>
      <c r="AR64" s="165" t="n"/>
      <c r="AS64" s="167" t="n"/>
      <c r="AT64" s="166" t="n"/>
      <c r="AU64" s="165" t="n"/>
      <c r="AV64" s="169" t="n"/>
    </row>
    <row r="65" ht="21" customHeight="1" s="70">
      <c r="A65" s="125" t="inlineStr">
        <is>
          <t>HPA1024</t>
        </is>
      </c>
      <c r="B65" s="126" t="inlineStr">
        <is>
          <t>N/A — no P batch assigned</t>
        </is>
      </c>
      <c r="C65" s="177" t="inlineStr">
        <is>
          <t>✗ 4 NO RESULT
(4 no cert / 0 cert w/o result)
2 testing instances
• 2 document(s) on file, not credited</t>
        </is>
      </c>
      <c r="D65" s="128" t="inlineStr">
        <is>
          <t>1 of 2</t>
        </is>
      </c>
      <c r="E65" s="129" t="inlineStr">
        <is>
          <t>release testing + re-analysis 197</t>
        </is>
      </c>
      <c r="F65" s="130" t="inlineStr">
        <is>
          <t>iCoA-PP_26-005
CoQ-PP_26-005 · initial release
iCoA-PP_26-112
CoQ-PP_26-097 · retest</t>
        </is>
      </c>
      <c r="G65" s="131" t="inlineStr">
        <is>
          <t>Conforms</t>
        </is>
      </c>
      <c r="H65" s="132">
        <f>IFERROR(INDEX('iCoA Register'!$B:$B,MATCH("HPA1024|I",'iCoA Register'!$AA:$AA,0)),"iCoA — at issue")&amp;", (11.04.2025) [PP]"</f>
        <v/>
      </c>
      <c r="I65" s="133" t="inlineStr">
        <is>
          <t>✓</t>
        </is>
      </c>
      <c r="J65" s="131" t="inlineStr">
        <is>
          <t>Conforms</t>
        </is>
      </c>
      <c r="K65" s="132">
        <f>IFERROR(INDEX('iCoA Register'!$B:$B,MATCH("HPA1024|I",'iCoA Register'!$AA:$AA,0)),"iCoA — at issue")&amp;", (11.04.2025) [PP]"</f>
        <v/>
      </c>
      <c r="L65" s="133" t="inlineStr">
        <is>
          <t>✓</t>
        </is>
      </c>
      <c r="M65" s="131" t="inlineStr">
        <is>
          <t>Conforms (ImB spec.) ᴿ</t>
        </is>
      </c>
      <c r="N65" s="132" t="inlineStr">
        <is>
          <t>197-13-К-26, (07.08.2026) [FHM-K]</t>
        </is>
      </c>
      <c r="O65" s="133" t="inlineStr">
        <is>
          <t>✓</t>
        </is>
      </c>
      <c r="P65" s="191" t="inlineStr">
        <is>
          <t>14.97 ᴿ</t>
        </is>
      </c>
      <c r="Q65" s="135">
        <f>IFERROR(INDEX('iCoA Register'!$B:$B,MATCH("HPA1024|I",'iCoA Register'!$AA:$AA,0)),"iCoA — at issue")&amp;", (11.04.2025) [PP] · on file, not credited"</f>
        <v/>
      </c>
      <c r="R65" s="136" t="inlineStr">
        <is>
          <t>•</t>
        </is>
      </c>
      <c r="S65" s="192" t="inlineStr">
        <is>
          <t>0.04 ᴿ</t>
        </is>
      </c>
      <c r="T65" s="135">
        <f>IFERROR(INDEX('iCoA Register'!$B:$B,MATCH("HPA1024|I",'iCoA Register'!$AA:$AA,0)),"iCoA — at issue")&amp;", (11.04.2025) [PP] · on file, not credited"</f>
        <v/>
      </c>
      <c r="U65" s="136" t="inlineStr">
        <is>
          <t>•</t>
        </is>
      </c>
      <c r="V65" s="138" t="inlineStr">
        <is>
          <t>0.36</t>
        </is>
      </c>
      <c r="W65" s="132" t="inlineStr">
        <is>
          <t>197-13-К-26, (07.08.2026) [FHM-K]</t>
        </is>
      </c>
      <c r="X65" s="133" t="inlineStr">
        <is>
          <t>✓</t>
        </is>
      </c>
      <c r="Y65" s="131" t="inlineStr">
        <is>
          <t>Conforms</t>
        </is>
      </c>
      <c r="Z65" s="132">
        <f>IFERROR(INDEX('iCoA Register'!$B:$B,MATCH("HPA1024|I",'iCoA Register'!$AA:$AA,0)),"iCoA — at issue")&amp;", (11.04.2025) [PP]"</f>
        <v/>
      </c>
      <c r="AA65" s="133" t="inlineStr">
        <is>
          <t>✓</t>
        </is>
      </c>
      <c r="AB65" s="134" t="inlineStr">
        <is>
          <t>not on this certificate</t>
        </is>
      </c>
      <c r="AC65" s="135" t="inlineStr">
        <is>
          <t>197-13-К-26, (07.08.2026) [FHM-K] · on file, not credited</t>
        </is>
      </c>
      <c r="AD65" s="136" t="inlineStr">
        <is>
          <t>•</t>
        </is>
      </c>
      <c r="AE65" s="134" t="inlineStr">
        <is>
          <t>5.2 × 10⁴ ᴿ</t>
        </is>
      </c>
      <c r="AF65" s="208" t="inlineStr">
        <is>
          <t>7 × 10² ᴿ</t>
        </is>
      </c>
      <c r="AG65" s="208" t="inlineStr">
        <is>
          <t>&lt; 10 ᴿ</t>
        </is>
      </c>
      <c r="AH65" s="208" t="inlineStr">
        <is>
          <t>Absent ᴿ</t>
        </is>
      </c>
      <c r="AI65" s="208" t="inlineStr">
        <is>
          <t>Absent ᴿ</t>
        </is>
      </c>
      <c r="AJ65" s="136" t="inlineStr">
        <is>
          <t>•</t>
        </is>
      </c>
      <c r="AK65" s="134" t="inlineStr">
        <is>
          <t>not reported</t>
        </is>
      </c>
      <c r="AL65" s="208" t="inlineStr">
        <is>
          <t>&lt; 2 ᴿ</t>
        </is>
      </c>
      <c r="AM65" s="208" t="inlineStr">
        <is>
          <t>not reported</t>
        </is>
      </c>
      <c r="AN65" s="136" t="inlineStr">
        <is>
          <t>•</t>
        </is>
      </c>
      <c r="AO65" s="134" t="inlineStr">
        <is>
          <t>0.02 ᴿ</t>
        </is>
      </c>
      <c r="AP65" s="208" t="inlineStr">
        <is>
          <t>0.013 ᴿ</t>
        </is>
      </c>
      <c r="AQ65" s="208" t="inlineStr">
        <is>
          <t>0.017 ᴿ</t>
        </is>
      </c>
      <c r="AR65" s="208" t="inlineStr">
        <is>
          <t>0.0026 ᴿ</t>
        </is>
      </c>
      <c r="AS65" s="136" t="inlineStr">
        <is>
          <t>•</t>
        </is>
      </c>
      <c r="AT65" s="134" t="inlineStr">
        <is>
          <t>ND ᴿ</t>
        </is>
      </c>
      <c r="AU65" s="135">
        <f>IFERROR(INDEX('iCoA Register'!$B:$B,MATCH("HPA1024|I",'iCoA Register'!$AA:$AA,0)),"iCoA — at issue")&amp;", (11.04.2025) [PP] · on file, not credited"</f>
        <v/>
      </c>
      <c r="AV65" s="209" t="inlineStr">
        <is>
          <t>•</t>
        </is>
      </c>
    </row>
    <row r="66" ht="39" customHeight="1" s="70">
      <c r="A66" s="141" t="n"/>
      <c r="G66" s="142" t="n"/>
      <c r="I66" s="143" t="n"/>
      <c r="J66" s="142" t="n"/>
      <c r="L66" s="143" t="n"/>
      <c r="M66" s="142" t="n"/>
      <c r="O66" s="143" t="n"/>
      <c r="P66" s="142" t="n"/>
      <c r="R66" s="143" t="n"/>
      <c r="S66" s="142" t="n"/>
      <c r="U66" s="143" t="n"/>
      <c r="V66" s="142" t="n"/>
      <c r="X66" s="143" t="n"/>
      <c r="Y66" s="142" t="n"/>
      <c r="AA66" s="143" t="n"/>
      <c r="AB66" s="142" t="n"/>
      <c r="AD66" s="143" t="n"/>
      <c r="AE66" s="210">
        <f>IFERROR(INDEX('iCoA Register'!$B:$B,MATCH("HPA1024|I",'iCoA Register'!$AA:$AA,0)),"iCoA — at issue")&amp;", (11.04.2025) [PP] · on file, not credited"</f>
        <v/>
      </c>
      <c r="AJ66" s="143" t="n"/>
      <c r="AK66" s="210">
        <f>IFERROR(INDEX('iCoA Register'!$B:$B,MATCH("HPA1024|I",'iCoA Register'!$AA:$AA,0)),"iCoA — at issue")&amp;", (11.04.2025) [PP] · on file, not credited"</f>
        <v/>
      </c>
      <c r="AN66" s="143" t="n"/>
      <c r="AO66" s="210">
        <f>IFERROR(INDEX('iCoA Register'!$B:$B,MATCH("HPA1024|I",'iCoA Register'!$AA:$AA,0)),"iCoA — at issue")&amp;", (11.04.2025) [PP] · on file, not credited"</f>
        <v/>
      </c>
      <c r="AS66" s="143" t="n"/>
      <c r="AT66" s="142" t="n"/>
      <c r="AV66" s="145" t="n"/>
    </row>
    <row r="67" ht="17.625" customHeight="1" s="70">
      <c r="A67" s="146" t="n"/>
      <c r="B67" s="147" t="n"/>
      <c r="D67" s="148" t="inlineStr">
        <is>
          <t>2 of 2</t>
        </is>
      </c>
      <c r="E67" s="149" t="inlineStr">
        <is>
          <t>release testing + re-analysis 197</t>
        </is>
      </c>
      <c r="F67" s="150" t="inlineStr">
        <is>
          <t>iCoA-PP_26-112
CoQ-PP_26-097 · retest</t>
        </is>
      </c>
      <c r="G67" s="153" t="inlineStr">
        <is>
          <t>Conforms</t>
        </is>
      </c>
      <c r="H67" s="154" t="inlineStr">
        <is>
          <t>iCoA — at issue (HPA1024), (23.04.2025) [PP]</t>
        </is>
      </c>
      <c r="I67" s="155" t="inlineStr">
        <is>
          <t>✓</t>
        </is>
      </c>
      <c r="J67" s="151" t="n"/>
      <c r="K67" s="147" t="n"/>
      <c r="L67" s="152" t="n"/>
      <c r="M67" s="151" t="n"/>
      <c r="N67" s="147" t="n"/>
      <c r="O67" s="152" t="n"/>
      <c r="P67" s="156" t="inlineStr">
        <is>
          <t>17.31</t>
        </is>
      </c>
      <c r="Q67" s="154" t="inlineStr">
        <is>
          <t>197-13-К-26, (07.08.2026) [FHM-K]</t>
        </is>
      </c>
      <c r="R67" s="155" t="inlineStr">
        <is>
          <t>✓</t>
        </is>
      </c>
      <c r="S67" s="157" t="inlineStr">
        <is>
          <t>&lt; LOQ</t>
        </is>
      </c>
      <c r="T67" s="154" t="inlineStr">
        <is>
          <t>197-13-К-26, (07.08.2026) [FHM-K]</t>
        </is>
      </c>
      <c r="U67" s="155" t="inlineStr">
        <is>
          <t>✓</t>
        </is>
      </c>
      <c r="V67" s="151" t="n"/>
      <c r="W67" s="147" t="n"/>
      <c r="X67" s="152" t="n"/>
      <c r="Y67" s="153" t="inlineStr">
        <is>
          <t>Conforms</t>
        </is>
      </c>
      <c r="Z67" s="154" t="inlineStr">
        <is>
          <t>iCoA — at issue (HPA1024), (23.04.2025) [PP]</t>
        </is>
      </c>
      <c r="AA67" s="155" t="inlineStr">
        <is>
          <t>✓</t>
        </is>
      </c>
      <c r="AB67" s="151" t="n"/>
      <c r="AC67" s="147" t="n"/>
      <c r="AD67" s="152" t="n"/>
      <c r="AE67" s="151" t="n"/>
      <c r="AF67" s="147" t="n"/>
      <c r="AG67" s="147" t="n"/>
      <c r="AH67" s="147" t="n"/>
      <c r="AI67" s="147" t="n"/>
      <c r="AJ67" s="152" t="n"/>
      <c r="AK67" s="161" t="inlineStr">
        <is>
          <t>ND</t>
        </is>
      </c>
      <c r="AL67" s="162" t="inlineStr">
        <is>
          <t>ND</t>
        </is>
      </c>
      <c r="AM67" s="162" t="inlineStr">
        <is>
          <t>&lt; LOQ</t>
        </is>
      </c>
      <c r="AN67" s="155" t="inlineStr">
        <is>
          <t>✓</t>
        </is>
      </c>
      <c r="AO67" s="151" t="n"/>
      <c r="AP67" s="147" t="n"/>
      <c r="AQ67" s="147" t="n"/>
      <c r="AR67" s="147" t="n"/>
      <c r="AS67" s="152" t="n"/>
      <c r="AT67" s="151" t="n"/>
      <c r="AU67" s="147" t="n"/>
      <c r="AV67" s="163" t="n"/>
    </row>
    <row r="68" ht="13" customHeight="1" s="70">
      <c r="A68" s="164" t="n"/>
      <c r="B68" s="165" t="n"/>
      <c r="C68" s="165" t="n"/>
      <c r="D68" s="165" t="n"/>
      <c r="E68" s="165" t="n"/>
      <c r="F68" s="165" t="n"/>
      <c r="G68" s="166" t="n"/>
      <c r="H68" s="165" t="n"/>
      <c r="I68" s="167" t="n"/>
      <c r="J68" s="166" t="n"/>
      <c r="K68" s="165" t="n"/>
      <c r="L68" s="167" t="n"/>
      <c r="M68" s="166" t="n"/>
      <c r="N68" s="165" t="n"/>
      <c r="O68" s="167" t="n"/>
      <c r="P68" s="166" t="n"/>
      <c r="Q68" s="165" t="n"/>
      <c r="R68" s="167" t="n"/>
      <c r="S68" s="166" t="n"/>
      <c r="T68" s="165" t="n"/>
      <c r="U68" s="167" t="n"/>
      <c r="V68" s="166" t="n"/>
      <c r="W68" s="165" t="n"/>
      <c r="X68" s="167" t="n"/>
      <c r="Y68" s="166" t="n"/>
      <c r="Z68" s="165" t="n"/>
      <c r="AA68" s="167" t="n"/>
      <c r="AB68" s="166" t="n"/>
      <c r="AC68" s="165" t="n"/>
      <c r="AD68" s="167" t="n"/>
      <c r="AE68" s="166" t="n"/>
      <c r="AF68" s="165" t="n"/>
      <c r="AG68" s="165" t="n"/>
      <c r="AH68" s="165" t="n"/>
      <c r="AI68" s="165" t="n"/>
      <c r="AJ68" s="167" t="n"/>
      <c r="AK68" s="168" t="inlineStr">
        <is>
          <t>197-13-М-26, (10.08.2026) [FHM-M]</t>
        </is>
      </c>
      <c r="AL68" s="165" t="n"/>
      <c r="AM68" s="165" t="n"/>
      <c r="AN68" s="167" t="n"/>
      <c r="AO68" s="166" t="n"/>
      <c r="AP68" s="165" t="n"/>
      <c r="AQ68" s="165" t="n"/>
      <c r="AR68" s="165" t="n"/>
      <c r="AS68" s="167" t="n"/>
      <c r="AT68" s="166" t="n"/>
      <c r="AU68" s="165" t="n"/>
      <c r="AV68" s="169" t="n"/>
    </row>
    <row r="69" ht="21" customHeight="1" s="70">
      <c r="A69" s="125" t="inlineStr">
        <is>
          <t>J31102501</t>
        </is>
      </c>
      <c r="B69" s="126" t="inlineStr">
        <is>
          <t>P060152</t>
        </is>
      </c>
      <c r="C69" s="170" t="inlineStr">
        <is>
          <t>⚠ 3 NO RESULT
(3 no cert / 0 cert w/o result)
3 testing instances
• 3 document(s) on file, not credited</t>
        </is>
      </c>
      <c r="D69" s="128" t="inlineStr">
        <is>
          <t>1 of 3</t>
        </is>
      </c>
      <c r="E69" s="129" t="inlineStr">
        <is>
          <t>release testing + re-analysis 197</t>
        </is>
      </c>
      <c r="F69" s="130" t="inlineStr">
        <is>
          <t>iCoA-PP_26-053
CoQ-PP_26-051 · initial release
iCoA-PP_26-114
CoQ-PP_26-099 · retest</t>
        </is>
      </c>
      <c r="G69" s="131" t="inlineStr">
        <is>
          <t>Conforms</t>
        </is>
      </c>
      <c r="H69" s="132">
        <f>IFERROR(INDEX('iCoA Register'!$B:$B,MATCH("P060152|I",'iCoA Register'!$AA:$AA,0)),"iCoA — at issue")&amp;", (05.03.2026) [PP]"</f>
        <v/>
      </c>
      <c r="I69" s="133" t="inlineStr">
        <is>
          <t>✓</t>
        </is>
      </c>
      <c r="J69" s="131" t="inlineStr">
        <is>
          <t>Conforms</t>
        </is>
      </c>
      <c r="K69" s="132">
        <f>IFERROR(INDEX('iCoA Register'!$B:$B,MATCH("P060152|I",'iCoA Register'!$AA:$AA,0)),"iCoA — at issue")&amp;", (05.03.2026) [PP]"</f>
        <v/>
      </c>
      <c r="L69" s="133" t="inlineStr">
        <is>
          <t>✓</t>
        </is>
      </c>
      <c r="M69" s="134" t="inlineStr">
        <is>
          <t>not on this certificate</t>
        </is>
      </c>
      <c r="N69" s="135" t="inlineStr">
        <is>
          <t>051-1-ГС-26, (02.03.2026) [FHM-K] · on file, not credited</t>
        </is>
      </c>
      <c r="O69" s="136" t="inlineStr">
        <is>
          <t>•</t>
        </is>
      </c>
      <c r="P69" s="191" t="inlineStr">
        <is>
          <t>not on this certificate</t>
        </is>
      </c>
      <c r="Q69" s="135" t="inlineStr">
        <is>
          <t>051-1-ГС-26, (02.03.2026) [FHM-K] · on file, not credited</t>
        </is>
      </c>
      <c r="R69" s="136" t="inlineStr">
        <is>
          <t>•</t>
        </is>
      </c>
      <c r="S69" s="192" t="inlineStr">
        <is>
          <t>not on this certificate</t>
        </is>
      </c>
      <c r="T69" s="135" t="inlineStr">
        <is>
          <t>051-1-ГС-26, (02.03.2026) [FHM-K] · on file, not credited</t>
        </is>
      </c>
      <c r="U69" s="136" t="inlineStr">
        <is>
          <t>•</t>
        </is>
      </c>
      <c r="V69" s="192" t="inlineStr">
        <is>
          <t>not on this certificate</t>
        </is>
      </c>
      <c r="W69" s="135" t="inlineStr">
        <is>
          <t>051-1-ГС-26, (02.03.2026) [FHM-K] · on file, not credited</t>
        </is>
      </c>
      <c r="X69" s="136" t="inlineStr">
        <is>
          <t>•</t>
        </is>
      </c>
      <c r="Y69" s="131" t="inlineStr">
        <is>
          <t>Conforms</t>
        </is>
      </c>
      <c r="Z69" s="132">
        <f>IFERROR(INDEX('iCoA Register'!$B:$B,MATCH("P060152|I",'iCoA Register'!$AA:$AA,0)),"iCoA — at issue")&amp;", (05.03.2026) [PP]"</f>
        <v/>
      </c>
      <c r="AA69" s="133" t="inlineStr">
        <is>
          <t>✓</t>
        </is>
      </c>
      <c r="AB69" s="131" t="inlineStr">
        <is>
          <t>6.3</t>
        </is>
      </c>
      <c r="AC69" s="132" t="inlineStr">
        <is>
          <t>051-1-ГС-26, (02.03.2026) [FHM-K]</t>
        </is>
      </c>
      <c r="AD69" s="133" t="inlineStr">
        <is>
          <t>✓</t>
        </is>
      </c>
      <c r="AE69" s="171" t="inlineStr">
        <is>
          <t>— MISSING —</t>
        </is>
      </c>
      <c r="AF69" s="172" t="inlineStr">
        <is>
          <t>— MISSING —</t>
        </is>
      </c>
      <c r="AG69" s="172" t="inlineStr">
        <is>
          <t>— MISSING —</t>
        </is>
      </c>
      <c r="AH69" s="172" t="inlineStr">
        <is>
          <t>— MISSING —</t>
        </is>
      </c>
      <c r="AI69" s="172" t="inlineStr">
        <is>
          <t>— MISSING —</t>
        </is>
      </c>
      <c r="AJ69" s="173" t="inlineStr">
        <is>
          <t>✗</t>
        </is>
      </c>
      <c r="AK69" s="131" t="inlineStr">
        <is>
          <t>ND</t>
        </is>
      </c>
      <c r="AL69" s="139" t="inlineStr">
        <is>
          <t>ND</t>
        </is>
      </c>
      <c r="AM69" s="139" t="inlineStr">
        <is>
          <t>ND</t>
        </is>
      </c>
      <c r="AN69" s="133" t="inlineStr">
        <is>
          <t>✓</t>
        </is>
      </c>
      <c r="AO69" s="171" t="inlineStr">
        <is>
          <t>— MISSING —</t>
        </is>
      </c>
      <c r="AP69" s="172" t="inlineStr">
        <is>
          <t>— MISSING —</t>
        </is>
      </c>
      <c r="AQ69" s="172" t="inlineStr">
        <is>
          <t>— MISSING —</t>
        </is>
      </c>
      <c r="AR69" s="172" t="inlineStr">
        <is>
          <t>— MISSING —</t>
        </is>
      </c>
      <c r="AS69" s="173" t="inlineStr">
        <is>
          <t>✗</t>
        </is>
      </c>
      <c r="AT69" s="171" t="inlineStr">
        <is>
          <t>— MISSING —</t>
        </is>
      </c>
      <c r="AU69" s="174" t="inlineStr">
        <is>
          <t>— no certificate —</t>
        </is>
      </c>
      <c r="AV69" s="175" t="inlineStr">
        <is>
          <t>✗</t>
        </is>
      </c>
    </row>
    <row r="70" ht="39" customHeight="1" s="70">
      <c r="A70" s="141" t="n"/>
      <c r="G70" s="142" t="n"/>
      <c r="I70" s="143" t="n"/>
      <c r="J70" s="142" t="n"/>
      <c r="L70" s="143" t="n"/>
      <c r="M70" s="142" t="n"/>
      <c r="O70" s="143" t="n"/>
      <c r="P70" s="142" t="n"/>
      <c r="R70" s="143" t="n"/>
      <c r="S70" s="142" t="n"/>
      <c r="U70" s="143" t="n"/>
      <c r="V70" s="142" t="n"/>
      <c r="X70" s="143" t="n"/>
      <c r="Y70" s="142" t="n"/>
      <c r="AA70" s="143" t="n"/>
      <c r="AB70" s="142" t="n"/>
      <c r="AD70" s="143" t="n"/>
      <c r="AE70" s="176" t="inlineStr">
        <is>
          <t>— no certificate —</t>
        </is>
      </c>
      <c r="AJ70" s="143" t="n"/>
      <c r="AK70" s="144" t="inlineStr">
        <is>
          <t>197-16-М-26, (10.08.2026) [FHM-M]</t>
        </is>
      </c>
      <c r="AN70" s="143" t="n"/>
      <c r="AO70" s="176" t="inlineStr">
        <is>
          <t>— no certificate —</t>
        </is>
      </c>
      <c r="AS70" s="143" t="n"/>
      <c r="AT70" s="142" t="n"/>
      <c r="AV70" s="145" t="n"/>
    </row>
    <row r="71" ht="17.625" customHeight="1" s="70">
      <c r="A71" s="146" t="n"/>
      <c r="B71" s="147" t="n"/>
      <c r="D71" s="193" t="inlineStr">
        <is>
          <t>2 of 3</t>
        </is>
      </c>
      <c r="E71" s="194" t="inlineStr">
        <is>
          <t>release testing</t>
        </is>
      </c>
      <c r="F71" s="195" t="inlineStr">
        <is>
          <t>iCoA-PP_26-053
CoQ-PP_26-051 · initial release</t>
        </is>
      </c>
      <c r="G71" s="151" t="n"/>
      <c r="H71" s="147" t="n"/>
      <c r="I71" s="152" t="n"/>
      <c r="J71" s="151" t="n"/>
      <c r="K71" s="147" t="n"/>
      <c r="L71" s="152" t="n"/>
      <c r="M71" s="161" t="inlineStr">
        <is>
          <t>Conforms (ImB spec.) ᴿ</t>
        </is>
      </c>
      <c r="N71" s="196" t="inlineStr">
        <is>
          <t>051-1-К-26, (04.03.2026) [FHM-K]</t>
        </is>
      </c>
      <c r="O71" s="197" t="inlineStr">
        <is>
          <t>✓</t>
        </is>
      </c>
      <c r="P71" s="198" t="inlineStr">
        <is>
          <t>19.14</t>
        </is>
      </c>
      <c r="Q71" s="196" t="inlineStr">
        <is>
          <t>051-1-К-26, (04.03.2026) [FHM-K]</t>
        </is>
      </c>
      <c r="R71" s="197" t="inlineStr">
        <is>
          <t>✓</t>
        </is>
      </c>
      <c r="S71" s="199" t="inlineStr">
        <is>
          <t>&lt; LOQ**</t>
        </is>
      </c>
      <c r="T71" s="196" t="inlineStr">
        <is>
          <t>051-1-К-26, (04.03.2026) [FHM-K]</t>
        </is>
      </c>
      <c r="U71" s="197" t="inlineStr">
        <is>
          <t>✓</t>
        </is>
      </c>
      <c r="V71" s="199" t="inlineStr">
        <is>
          <t>&lt; LOQ**</t>
        </is>
      </c>
      <c r="W71" s="196" t="inlineStr">
        <is>
          <t>051-1-К-26, (04.03.2026) [FHM-K]</t>
        </is>
      </c>
      <c r="X71" s="197" t="inlineStr">
        <is>
          <t>✓</t>
        </is>
      </c>
      <c r="Y71" s="151" t="n"/>
      <c r="Z71" s="147" t="n"/>
      <c r="AA71" s="152" t="n"/>
      <c r="AB71" s="200" t="inlineStr">
        <is>
          <t>not on this certificate</t>
        </is>
      </c>
      <c r="AC71" s="201" t="inlineStr">
        <is>
          <t>051-1-К-26, (04.03.2026) [FHM-K] · on file, not credited</t>
        </is>
      </c>
      <c r="AD71" s="202" t="inlineStr">
        <is>
          <t>•</t>
        </is>
      </c>
      <c r="AE71" s="151" t="n"/>
      <c r="AF71" s="147" t="n"/>
      <c r="AG71" s="147" t="n"/>
      <c r="AH71" s="147" t="n"/>
      <c r="AI71" s="147" t="n"/>
      <c r="AJ71" s="152" t="n"/>
      <c r="AK71" s="151" t="n"/>
      <c r="AL71" s="147" t="n"/>
      <c r="AM71" s="147" t="n"/>
      <c r="AN71" s="152" t="n"/>
      <c r="AO71" s="151" t="n"/>
      <c r="AP71" s="147" t="n"/>
      <c r="AQ71" s="147" t="n"/>
      <c r="AR71" s="147" t="n"/>
      <c r="AS71" s="152" t="n"/>
      <c r="AT71" s="151" t="n"/>
      <c r="AU71" s="147" t="n"/>
      <c r="AV71" s="163" t="n"/>
    </row>
    <row r="72" ht="21" customHeight="1" s="70">
      <c r="A72" s="203" t="n"/>
      <c r="B72" s="204" t="n"/>
      <c r="D72" s="204" t="n"/>
      <c r="E72" s="204" t="n"/>
      <c r="F72" s="204" t="n"/>
      <c r="G72" s="205" t="n"/>
      <c r="H72" s="204" t="n"/>
      <c r="I72" s="206" t="n"/>
      <c r="J72" s="205" t="n"/>
      <c r="K72" s="204" t="n"/>
      <c r="L72" s="206" t="n"/>
      <c r="M72" s="205" t="n"/>
      <c r="N72" s="204" t="n"/>
      <c r="O72" s="206" t="n"/>
      <c r="P72" s="205" t="n"/>
      <c r="Q72" s="204" t="n"/>
      <c r="R72" s="206" t="n"/>
      <c r="S72" s="205" t="n"/>
      <c r="T72" s="204" t="n"/>
      <c r="U72" s="206" t="n"/>
      <c r="V72" s="205" t="n"/>
      <c r="W72" s="204" t="n"/>
      <c r="X72" s="206" t="n"/>
      <c r="Y72" s="205" t="n"/>
      <c r="Z72" s="204" t="n"/>
      <c r="AA72" s="206" t="n"/>
      <c r="AB72" s="205" t="n"/>
      <c r="AC72" s="204" t="n"/>
      <c r="AD72" s="206" t="n"/>
      <c r="AE72" s="205" t="n"/>
      <c r="AF72" s="204" t="n"/>
      <c r="AG72" s="204" t="n"/>
      <c r="AH72" s="204" t="n"/>
      <c r="AI72" s="204" t="n"/>
      <c r="AJ72" s="206" t="n"/>
      <c r="AK72" s="205" t="n"/>
      <c r="AL72" s="204" t="n"/>
      <c r="AM72" s="204" t="n"/>
      <c r="AN72" s="206" t="n"/>
      <c r="AO72" s="205" t="n"/>
      <c r="AP72" s="204" t="n"/>
      <c r="AQ72" s="204" t="n"/>
      <c r="AR72" s="204" t="n"/>
      <c r="AS72" s="206" t="n"/>
      <c r="AT72" s="205" t="n"/>
      <c r="AU72" s="204" t="n"/>
      <c r="AV72" s="207" t="n"/>
    </row>
    <row r="73" ht="17.625" customHeight="1" s="70">
      <c r="A73" s="146" t="n"/>
      <c r="B73" s="147" t="n"/>
      <c r="D73" s="148" t="inlineStr">
        <is>
          <t>3 of 3</t>
        </is>
      </c>
      <c r="E73" s="149" t="inlineStr">
        <is>
          <t>re-analysis 197</t>
        </is>
      </c>
      <c r="F73" s="150" t="inlineStr">
        <is>
          <t>iCoA-PP_26-114
CoQ-PP_26-099 · retest</t>
        </is>
      </c>
      <c r="G73" s="151" t="n"/>
      <c r="H73" s="147" t="n"/>
      <c r="I73" s="152" t="n"/>
      <c r="J73" s="151" t="n"/>
      <c r="K73" s="147" t="n"/>
      <c r="L73" s="152" t="n"/>
      <c r="M73" s="153" t="inlineStr">
        <is>
          <t>Conforms (ImB spec.)</t>
        </is>
      </c>
      <c r="N73" s="154" t="inlineStr">
        <is>
          <t>197-16-К-26, (07.08.2026) [FHM-K]</t>
        </is>
      </c>
      <c r="O73" s="155" t="inlineStr">
        <is>
          <t>✓</t>
        </is>
      </c>
      <c r="P73" s="156" t="inlineStr">
        <is>
          <t>17.32</t>
        </is>
      </c>
      <c r="Q73" s="154" t="inlineStr">
        <is>
          <t>197-16-К-26, (07.08.2026) [FHM-K]</t>
        </is>
      </c>
      <c r="R73" s="155" t="inlineStr">
        <is>
          <t>✓</t>
        </is>
      </c>
      <c r="S73" s="157" t="inlineStr">
        <is>
          <t>&lt; LOQ</t>
        </is>
      </c>
      <c r="T73" s="154" t="inlineStr">
        <is>
          <t>197-16-К-26, (07.08.2026) [FHM-K]</t>
        </is>
      </c>
      <c r="U73" s="155" t="inlineStr">
        <is>
          <t>✓</t>
        </is>
      </c>
      <c r="V73" s="157" t="inlineStr">
        <is>
          <t>&lt; LOQ</t>
        </is>
      </c>
      <c r="W73" s="154" t="inlineStr">
        <is>
          <t>197-16-К-26, (07.08.2026) [FHM-K]</t>
        </is>
      </c>
      <c r="X73" s="155" t="inlineStr">
        <is>
          <t>✓</t>
        </is>
      </c>
      <c r="Y73" s="151" t="n"/>
      <c r="Z73" s="147" t="n"/>
      <c r="AA73" s="152" t="n"/>
      <c r="AB73" s="158" t="inlineStr">
        <is>
          <t>not on this certificate</t>
        </is>
      </c>
      <c r="AC73" s="159" t="inlineStr">
        <is>
          <t>197-16-К-26, (07.08.2026) [FHM-K] · on file, not credited</t>
        </is>
      </c>
      <c r="AD73" s="160" t="inlineStr">
        <is>
          <t>•</t>
        </is>
      </c>
      <c r="AE73" s="151" t="n"/>
      <c r="AF73" s="147" t="n"/>
      <c r="AG73" s="147" t="n"/>
      <c r="AH73" s="147" t="n"/>
      <c r="AI73" s="147" t="n"/>
      <c r="AJ73" s="152" t="n"/>
      <c r="AK73" s="151" t="n"/>
      <c r="AL73" s="147" t="n"/>
      <c r="AM73" s="147" t="n"/>
      <c r="AN73" s="152" t="n"/>
      <c r="AO73" s="151" t="n"/>
      <c r="AP73" s="147" t="n"/>
      <c r="AQ73" s="147" t="n"/>
      <c r="AR73" s="147" t="n"/>
      <c r="AS73" s="152" t="n"/>
      <c r="AT73" s="151" t="n"/>
      <c r="AU73" s="147" t="n"/>
      <c r="AV73" s="163" t="n"/>
    </row>
    <row r="74" ht="15.375" customHeight="1" s="70">
      <c r="A74" s="164" t="n"/>
      <c r="B74" s="165" t="n"/>
      <c r="C74" s="165" t="n"/>
      <c r="D74" s="165" t="n"/>
      <c r="E74" s="165" t="n"/>
      <c r="F74" s="165" t="n"/>
      <c r="G74" s="166" t="n"/>
      <c r="H74" s="165" t="n"/>
      <c r="I74" s="167" t="n"/>
      <c r="J74" s="166" t="n"/>
      <c r="K74" s="165" t="n"/>
      <c r="L74" s="167" t="n"/>
      <c r="M74" s="166" t="n"/>
      <c r="N74" s="165" t="n"/>
      <c r="O74" s="167" t="n"/>
      <c r="P74" s="166" t="n"/>
      <c r="Q74" s="165" t="n"/>
      <c r="R74" s="167" t="n"/>
      <c r="S74" s="166" t="n"/>
      <c r="T74" s="165" t="n"/>
      <c r="U74" s="167" t="n"/>
      <c r="V74" s="166" t="n"/>
      <c r="W74" s="165" t="n"/>
      <c r="X74" s="167" t="n"/>
      <c r="Y74" s="166" t="n"/>
      <c r="Z74" s="165" t="n"/>
      <c r="AA74" s="167" t="n"/>
      <c r="AB74" s="166" t="n"/>
      <c r="AC74" s="165" t="n"/>
      <c r="AD74" s="167" t="n"/>
      <c r="AE74" s="166" t="n"/>
      <c r="AF74" s="165" t="n"/>
      <c r="AG74" s="165" t="n"/>
      <c r="AH74" s="165" t="n"/>
      <c r="AI74" s="165" t="n"/>
      <c r="AJ74" s="167" t="n"/>
      <c r="AK74" s="166" t="n"/>
      <c r="AL74" s="165" t="n"/>
      <c r="AM74" s="165" t="n"/>
      <c r="AN74" s="167" t="n"/>
      <c r="AO74" s="166" t="n"/>
      <c r="AP74" s="165" t="n"/>
      <c r="AQ74" s="165" t="n"/>
      <c r="AR74" s="165" t="n"/>
      <c r="AS74" s="167" t="n"/>
      <c r="AT74" s="166" t="n"/>
      <c r="AU74" s="165" t="n"/>
      <c r="AV74" s="169" t="n"/>
    </row>
    <row r="75" ht="21" customHeight="1" s="70">
      <c r="A75" s="125" t="inlineStr">
        <is>
          <t>J31112501</t>
        </is>
      </c>
      <c r="B75" s="126" t="inlineStr">
        <is>
          <t>P060202</t>
        </is>
      </c>
      <c r="C75" s="170" t="inlineStr">
        <is>
          <t>⚠ 3 NO RESULT
(3 no cert / 0 cert w/o result)
7 testing instances
• 6 document(s) on file, not credited</t>
        </is>
      </c>
      <c r="D75" s="128" t="inlineStr">
        <is>
          <t>1 of 7</t>
        </is>
      </c>
      <c r="E75" s="129" t="inlineStr">
        <is>
          <t>release testing + re-test campaign (IJZ-MB)</t>
        </is>
      </c>
      <c r="F75" s="130" t="inlineStr">
        <is>
          <t>iCoA-PP_26-059
CoQ-PP_26-056 · initial release
iCoA-PP_26-170
CoQ-PP_26-153 · retest</t>
        </is>
      </c>
      <c r="G75" s="131" t="inlineStr">
        <is>
          <t>Conforms</t>
        </is>
      </c>
      <c r="H75" s="132">
        <f>IFERROR(INDEX('iCoA Register'!$B:$B,MATCH("P060202|I",'iCoA Register'!$AA:$AA,0)),"iCoA — at issue")&amp;", (17.04.2026) [PP]"</f>
        <v/>
      </c>
      <c r="I75" s="133" t="inlineStr">
        <is>
          <t>✓</t>
        </is>
      </c>
      <c r="J75" s="131" t="inlineStr">
        <is>
          <t>Conforms</t>
        </is>
      </c>
      <c r="K75" s="132">
        <f>IFERROR(INDEX('iCoA Register'!$B:$B,MATCH("P060202|I",'iCoA Register'!$AA:$AA,0)),"iCoA — at issue")&amp;", (17.04.2026) [PP]"</f>
        <v/>
      </c>
      <c r="L75" s="133" t="inlineStr">
        <is>
          <t>✓</t>
        </is>
      </c>
      <c r="M75" s="134" t="inlineStr">
        <is>
          <t>not on this certificate</t>
        </is>
      </c>
      <c r="N75" s="135" t="inlineStr">
        <is>
          <t>051-5-ГС-26, (02.03.2026) [FHM-K] · on file, not credited</t>
        </is>
      </c>
      <c r="O75" s="136" t="inlineStr">
        <is>
          <t>•</t>
        </is>
      </c>
      <c r="P75" s="191" t="inlineStr">
        <is>
          <t>not on this certificate</t>
        </is>
      </c>
      <c r="Q75" s="135" t="inlineStr">
        <is>
          <t>051-5-ГС-26, (02.03.2026) [FHM-K] · on file, not credited</t>
        </is>
      </c>
      <c r="R75" s="136" t="inlineStr">
        <is>
          <t>•</t>
        </is>
      </c>
      <c r="S75" s="192" t="inlineStr">
        <is>
          <t>not on this certificate</t>
        </is>
      </c>
      <c r="T75" s="135" t="inlineStr">
        <is>
          <t>051-5-ГС-26, (02.03.2026) [FHM-K] · on file, not credited</t>
        </is>
      </c>
      <c r="U75" s="136" t="inlineStr">
        <is>
          <t>•</t>
        </is>
      </c>
      <c r="V75" s="192" t="inlineStr">
        <is>
          <t>not on this certificate</t>
        </is>
      </c>
      <c r="W75" s="135" t="inlineStr">
        <is>
          <t>051-5-ГС-26, (02.03.2026) [FHM-K] · on file, not credited</t>
        </is>
      </c>
      <c r="X75" s="136" t="inlineStr">
        <is>
          <t>•</t>
        </is>
      </c>
      <c r="Y75" s="131" t="inlineStr">
        <is>
          <t>Conforms</t>
        </is>
      </c>
      <c r="Z75" s="132">
        <f>IFERROR(INDEX('iCoA Register'!$B:$B,MATCH("P060202|I",'iCoA Register'!$AA:$AA,0)),"iCoA — at issue")&amp;", (17.04.2026) [PP]"</f>
        <v/>
      </c>
      <c r="AA75" s="133" t="inlineStr">
        <is>
          <t>✓</t>
        </is>
      </c>
      <c r="AB75" s="131" t="inlineStr">
        <is>
          <t>8.4</t>
        </is>
      </c>
      <c r="AC75" s="132" t="inlineStr">
        <is>
          <t>051-5-ГС-26, (02.03.2026) [FHM-K]</t>
        </is>
      </c>
      <c r="AD75" s="133" t="inlineStr">
        <is>
          <t>✓</t>
        </is>
      </c>
      <c r="AE75" s="131" t="inlineStr">
        <is>
          <t>4.4 × 10²</t>
        </is>
      </c>
      <c r="AF75" s="139" t="inlineStr">
        <is>
          <t>8.6 × 10²</t>
        </is>
      </c>
      <c r="AG75" s="139" t="inlineStr">
        <is>
          <t>&lt; 10² and &gt; 10</t>
        </is>
      </c>
      <c r="AH75" s="139" t="inlineStr">
        <is>
          <t>Absent</t>
        </is>
      </c>
      <c r="AI75" s="139" t="inlineStr">
        <is>
          <t>Absent</t>
        </is>
      </c>
      <c r="AJ75" s="133" t="inlineStr">
        <is>
          <t>✓</t>
        </is>
      </c>
      <c r="AK75" s="171" t="inlineStr">
        <is>
          <t>— MISSING —</t>
        </is>
      </c>
      <c r="AL75" s="172" t="inlineStr">
        <is>
          <t>— MISSING —</t>
        </is>
      </c>
      <c r="AM75" s="172" t="inlineStr">
        <is>
          <t>— MISSING —</t>
        </is>
      </c>
      <c r="AN75" s="173" t="inlineStr">
        <is>
          <t>✗</t>
        </is>
      </c>
      <c r="AO75" s="171" t="inlineStr">
        <is>
          <t>— MISSING —</t>
        </is>
      </c>
      <c r="AP75" s="172" t="inlineStr">
        <is>
          <t>— MISSING —</t>
        </is>
      </c>
      <c r="AQ75" s="172" t="inlineStr">
        <is>
          <t>— MISSING —</t>
        </is>
      </c>
      <c r="AR75" s="172" t="inlineStr">
        <is>
          <t>— MISSING —</t>
        </is>
      </c>
      <c r="AS75" s="173" t="inlineStr">
        <is>
          <t>✗</t>
        </is>
      </c>
      <c r="AT75" s="171" t="inlineStr">
        <is>
          <t>— MISSING —</t>
        </is>
      </c>
      <c r="AU75" s="174" t="inlineStr">
        <is>
          <t>— no certificate —</t>
        </is>
      </c>
      <c r="AV75" s="175" t="inlineStr">
        <is>
          <t>✗</t>
        </is>
      </c>
    </row>
    <row r="76" ht="39" customHeight="1" s="70">
      <c r="A76" s="141" t="n"/>
      <c r="G76" s="142" t="n"/>
      <c r="I76" s="143" t="n"/>
      <c r="J76" s="142" t="n"/>
      <c r="L76" s="143" t="n"/>
      <c r="M76" s="142" t="n"/>
      <c r="O76" s="143" t="n"/>
      <c r="P76" s="142" t="n"/>
      <c r="R76" s="143" t="n"/>
      <c r="S76" s="142" t="n"/>
      <c r="U76" s="143" t="n"/>
      <c r="V76" s="142" t="n"/>
      <c r="X76" s="143" t="n"/>
      <c r="Y76" s="142" t="n"/>
      <c r="AA76" s="143" t="n"/>
      <c r="AB76" s="142" t="n"/>
      <c r="AD76" s="143" t="n"/>
      <c r="AE76" s="144" t="inlineStr">
        <is>
          <t>547-1078-26, (31.08.2026) [IJZ-MB]</t>
        </is>
      </c>
      <c r="AJ76" s="143" t="n"/>
      <c r="AK76" s="176" t="inlineStr">
        <is>
          <t>— no certificate —</t>
        </is>
      </c>
      <c r="AN76" s="143" t="n"/>
      <c r="AO76" s="176" t="inlineStr">
        <is>
          <t>— no certificate —</t>
        </is>
      </c>
      <c r="AS76" s="143" t="n"/>
      <c r="AT76" s="142" t="n"/>
      <c r="AV76" s="145" t="n"/>
    </row>
    <row r="77" ht="17.625" customHeight="1" s="70">
      <c r="A77" s="146" t="n"/>
      <c r="B77" s="147" t="n"/>
      <c r="D77" s="193" t="inlineStr">
        <is>
          <t>2 of 7</t>
        </is>
      </c>
      <c r="E77" s="194" t="inlineStr">
        <is>
          <t>release testing</t>
        </is>
      </c>
      <c r="F77" s="195" t="inlineStr">
        <is>
          <t>iCoA-PP_26-059
CoQ-PP_26-056 · initial release</t>
        </is>
      </c>
      <c r="G77" s="151" t="n"/>
      <c r="H77" s="147" t="n"/>
      <c r="I77" s="152" t="n"/>
      <c r="J77" s="151" t="n"/>
      <c r="K77" s="147" t="n"/>
      <c r="L77" s="152" t="n"/>
      <c r="M77" s="161" t="inlineStr">
        <is>
          <t>Conforms (ImB spec.) ᴿ</t>
        </is>
      </c>
      <c r="N77" s="196" t="inlineStr">
        <is>
          <t>051-5-К-26, (04.03.2026) [FHM-K]</t>
        </is>
      </c>
      <c r="O77" s="197" t="inlineStr">
        <is>
          <t>✓</t>
        </is>
      </c>
      <c r="P77" s="198" t="inlineStr">
        <is>
          <t>25.27</t>
        </is>
      </c>
      <c r="Q77" s="196" t="inlineStr">
        <is>
          <t>051-5-К-26, (04.03.2026) [FHM-K]</t>
        </is>
      </c>
      <c r="R77" s="197" t="inlineStr">
        <is>
          <t>✓</t>
        </is>
      </c>
      <c r="S77" s="199" t="inlineStr">
        <is>
          <t>&lt; LOQ**</t>
        </is>
      </c>
      <c r="T77" s="196" t="inlineStr">
        <is>
          <t>051-5-К-26, (04.03.2026) [FHM-K]</t>
        </is>
      </c>
      <c r="U77" s="197" t="inlineStr">
        <is>
          <t>✓</t>
        </is>
      </c>
      <c r="V77" s="199" t="inlineStr">
        <is>
          <t>&lt; LOQ**</t>
        </is>
      </c>
      <c r="W77" s="196" t="inlineStr">
        <is>
          <t>051-5-К-26, (04.03.2026) [FHM-K]</t>
        </is>
      </c>
      <c r="X77" s="197" t="inlineStr">
        <is>
          <t>✓</t>
        </is>
      </c>
      <c r="Y77" s="151" t="n"/>
      <c r="Z77" s="147" t="n"/>
      <c r="AA77" s="152" t="n"/>
      <c r="AB77" s="200" t="inlineStr">
        <is>
          <t>not on this certificate</t>
        </is>
      </c>
      <c r="AC77" s="201" t="inlineStr">
        <is>
          <t>051-5-К-26, (04.03.2026) [FHM-K] · on file, not credited</t>
        </is>
      </c>
      <c r="AD77" s="202" t="inlineStr">
        <is>
          <t>•</t>
        </is>
      </c>
      <c r="AE77" s="151" t="n"/>
      <c r="AF77" s="147" t="n"/>
      <c r="AG77" s="147" t="n"/>
      <c r="AH77" s="147" t="n"/>
      <c r="AI77" s="147" t="n"/>
      <c r="AJ77" s="152" t="n"/>
      <c r="AK77" s="151" t="n"/>
      <c r="AL77" s="147" t="n"/>
      <c r="AM77" s="147" t="n"/>
      <c r="AN77" s="152" t="n"/>
      <c r="AO77" s="151" t="n"/>
      <c r="AP77" s="147" t="n"/>
      <c r="AQ77" s="147" t="n"/>
      <c r="AR77" s="147" t="n"/>
      <c r="AS77" s="152" t="n"/>
      <c r="AT77" s="151" t="n"/>
      <c r="AU77" s="147" t="n"/>
      <c r="AV77" s="163" t="n"/>
    </row>
    <row r="78" ht="21" customHeight="1" s="70">
      <c r="A78" s="203" t="n"/>
      <c r="B78" s="204" t="n"/>
      <c r="D78" s="204" t="n"/>
      <c r="E78" s="204" t="n"/>
      <c r="F78" s="204" t="n"/>
      <c r="G78" s="205" t="n"/>
      <c r="H78" s="204" t="n"/>
      <c r="I78" s="206" t="n"/>
      <c r="J78" s="205" t="n"/>
      <c r="K78" s="204" t="n"/>
      <c r="L78" s="206" t="n"/>
      <c r="M78" s="205" t="n"/>
      <c r="N78" s="204" t="n"/>
      <c r="O78" s="206" t="n"/>
      <c r="P78" s="205" t="n"/>
      <c r="Q78" s="204" t="n"/>
      <c r="R78" s="206" t="n"/>
      <c r="S78" s="205" t="n"/>
      <c r="T78" s="204" t="n"/>
      <c r="U78" s="206" t="n"/>
      <c r="V78" s="205" t="n"/>
      <c r="W78" s="204" t="n"/>
      <c r="X78" s="206" t="n"/>
      <c r="Y78" s="205" t="n"/>
      <c r="Z78" s="204" t="n"/>
      <c r="AA78" s="206" t="n"/>
      <c r="AB78" s="205" t="n"/>
      <c r="AC78" s="204" t="n"/>
      <c r="AD78" s="206" t="n"/>
      <c r="AE78" s="205" t="n"/>
      <c r="AF78" s="204" t="n"/>
      <c r="AG78" s="204" t="n"/>
      <c r="AH78" s="204" t="n"/>
      <c r="AI78" s="204" t="n"/>
      <c r="AJ78" s="206" t="n"/>
      <c r="AK78" s="205" t="n"/>
      <c r="AL78" s="204" t="n"/>
      <c r="AM78" s="204" t="n"/>
      <c r="AN78" s="206" t="n"/>
      <c r="AO78" s="205" t="n"/>
      <c r="AP78" s="204" t="n"/>
      <c r="AQ78" s="204" t="n"/>
      <c r="AR78" s="204" t="n"/>
      <c r="AS78" s="206" t="n"/>
      <c r="AT78" s="205" t="n"/>
      <c r="AU78" s="204" t="n"/>
      <c r="AV78" s="207" t="n"/>
    </row>
    <row r="79" ht="17.625" customHeight="1" s="70">
      <c r="A79" s="146" t="n"/>
      <c r="B79" s="147" t="n"/>
      <c r="D79" s="193" t="inlineStr">
        <is>
          <t>3 of 7</t>
        </is>
      </c>
      <c r="E79" s="194" t="inlineStr">
        <is>
          <t>release testing</t>
        </is>
      </c>
      <c r="F79" s="195" t="inlineStr">
        <is>
          <t>no certificate of quality cites this block</t>
        </is>
      </c>
      <c r="G79" s="151" t="n"/>
      <c r="H79" s="147" t="n"/>
      <c r="I79" s="152" t="n"/>
      <c r="J79" s="151" t="n"/>
      <c r="K79" s="147" t="n"/>
      <c r="L79" s="152" t="n"/>
      <c r="M79" s="211" t="inlineStr">
        <is>
          <t>held for review</t>
        </is>
      </c>
      <c r="N79" s="212" t="inlineStr">
        <is>
          <t>100-1-К-26, (09.04.2026) [FHM-K]</t>
        </is>
      </c>
      <c r="O79" s="213" t="inlineStr">
        <is>
          <t>✗</t>
        </is>
      </c>
      <c r="P79" s="198" t="inlineStr">
        <is>
          <t>20.21</t>
        </is>
      </c>
      <c r="Q79" s="196" t="inlineStr">
        <is>
          <t>100-1-К-26, (09.04.2026) [FHM-K]</t>
        </is>
      </c>
      <c r="R79" s="197" t="inlineStr">
        <is>
          <t>✓</t>
        </is>
      </c>
      <c r="S79" s="199" t="inlineStr">
        <is>
          <t>&lt; LOQ</t>
        </is>
      </c>
      <c r="T79" s="196" t="inlineStr">
        <is>
          <t>100-1-К-26, (09.04.2026) [FHM-K]</t>
        </is>
      </c>
      <c r="U79" s="197" t="inlineStr">
        <is>
          <t>✓</t>
        </is>
      </c>
      <c r="V79" s="199" t="inlineStr">
        <is>
          <t>&lt; LOQ</t>
        </is>
      </c>
      <c r="W79" s="196" t="inlineStr">
        <is>
          <t>100-1-К-26, (09.04.2026) [FHM-K]</t>
        </is>
      </c>
      <c r="X79" s="197" t="inlineStr">
        <is>
          <t>✓</t>
        </is>
      </c>
      <c r="Y79" s="151" t="n"/>
      <c r="Z79" s="147" t="n"/>
      <c r="AA79" s="152" t="n"/>
      <c r="AB79" s="200" t="inlineStr">
        <is>
          <t>not on this certificate</t>
        </is>
      </c>
      <c r="AC79" s="201" t="inlineStr">
        <is>
          <t>100-1-К-26, (09.04.2026) [FHM-K] · on file, not credited</t>
        </is>
      </c>
      <c r="AD79" s="202" t="inlineStr">
        <is>
          <t>•</t>
        </is>
      </c>
      <c r="AE79" s="151" t="n"/>
      <c r="AF79" s="147" t="n"/>
      <c r="AG79" s="147" t="n"/>
      <c r="AH79" s="147" t="n"/>
      <c r="AI79" s="147" t="n"/>
      <c r="AJ79" s="152" t="n"/>
      <c r="AK79" s="151" t="n"/>
      <c r="AL79" s="147" t="n"/>
      <c r="AM79" s="147" t="n"/>
      <c r="AN79" s="152" t="n"/>
      <c r="AO79" s="151" t="n"/>
      <c r="AP79" s="147" t="n"/>
      <c r="AQ79" s="147" t="n"/>
      <c r="AR79" s="147" t="n"/>
      <c r="AS79" s="152" t="n"/>
      <c r="AT79" s="151" t="n"/>
      <c r="AU79" s="147" t="n"/>
      <c r="AV79" s="163" t="n"/>
    </row>
    <row r="80" ht="15.375" customHeight="1" s="70">
      <c r="A80" s="203" t="n"/>
      <c r="B80" s="204" t="n"/>
      <c r="D80" s="204" t="n"/>
      <c r="E80" s="204" t="n"/>
      <c r="F80" s="204" t="n"/>
      <c r="G80" s="205" t="n"/>
      <c r="H80" s="204" t="n"/>
      <c r="I80" s="206" t="n"/>
      <c r="J80" s="205" t="n"/>
      <c r="K80" s="204" t="n"/>
      <c r="L80" s="206" t="n"/>
      <c r="M80" s="205" t="n"/>
      <c r="N80" s="204" t="n"/>
      <c r="O80" s="206" t="n"/>
      <c r="P80" s="205" t="n"/>
      <c r="Q80" s="204" t="n"/>
      <c r="R80" s="206" t="n"/>
      <c r="S80" s="205" t="n"/>
      <c r="T80" s="204" t="n"/>
      <c r="U80" s="206" t="n"/>
      <c r="V80" s="205" t="n"/>
      <c r="W80" s="204" t="n"/>
      <c r="X80" s="206" t="n"/>
      <c r="Y80" s="205" t="n"/>
      <c r="Z80" s="204" t="n"/>
      <c r="AA80" s="206" t="n"/>
      <c r="AB80" s="205" t="n"/>
      <c r="AC80" s="204" t="n"/>
      <c r="AD80" s="206" t="n"/>
      <c r="AE80" s="205" t="n"/>
      <c r="AF80" s="204" t="n"/>
      <c r="AG80" s="204" t="n"/>
      <c r="AH80" s="204" t="n"/>
      <c r="AI80" s="204" t="n"/>
      <c r="AJ80" s="206" t="n"/>
      <c r="AK80" s="205" t="n"/>
      <c r="AL80" s="204" t="n"/>
      <c r="AM80" s="204" t="n"/>
      <c r="AN80" s="206" t="n"/>
      <c r="AO80" s="205" t="n"/>
      <c r="AP80" s="204" t="n"/>
      <c r="AQ80" s="204" t="n"/>
      <c r="AR80" s="204" t="n"/>
      <c r="AS80" s="206" t="n"/>
      <c r="AT80" s="205" t="n"/>
      <c r="AU80" s="204" t="n"/>
      <c r="AV80" s="207" t="n"/>
    </row>
    <row r="81" ht="17.625" customHeight="1" s="70">
      <c r="A81" s="146" t="n"/>
      <c r="B81" s="147" t="n"/>
      <c r="D81" s="193" t="inlineStr">
        <is>
          <t>4 of 7</t>
        </is>
      </c>
      <c r="E81" s="194" t="inlineStr">
        <is>
          <t>release testing</t>
        </is>
      </c>
      <c r="F81" s="195" t="inlineStr">
        <is>
          <t>no certificate of quality cites this block</t>
        </is>
      </c>
      <c r="G81" s="151" t="n"/>
      <c r="H81" s="147" t="n"/>
      <c r="I81" s="152" t="n"/>
      <c r="J81" s="151" t="n"/>
      <c r="K81" s="147" t="n"/>
      <c r="L81" s="152" t="n"/>
      <c r="M81" s="200" t="inlineStr">
        <is>
          <t>not on this certificate</t>
        </is>
      </c>
      <c r="N81" s="201" t="inlineStr">
        <is>
          <t>100-1-ГС-26, (09.04.2026) [FHM-K] · on file, not credited</t>
        </is>
      </c>
      <c r="O81" s="202" t="inlineStr">
        <is>
          <t>•</t>
        </is>
      </c>
      <c r="P81" s="214" t="inlineStr">
        <is>
          <t>not on this certificate</t>
        </is>
      </c>
      <c r="Q81" s="201" t="inlineStr">
        <is>
          <t>100-1-ГС-26, (09.04.2026) [FHM-K] · on file, not credited</t>
        </is>
      </c>
      <c r="R81" s="202" t="inlineStr">
        <is>
          <t>•</t>
        </is>
      </c>
      <c r="S81" s="215" t="inlineStr">
        <is>
          <t>not on this certificate</t>
        </is>
      </c>
      <c r="T81" s="201" t="inlineStr">
        <is>
          <t>100-1-ГС-26, (09.04.2026) [FHM-K] · on file, not credited</t>
        </is>
      </c>
      <c r="U81" s="202" t="inlineStr">
        <is>
          <t>•</t>
        </is>
      </c>
      <c r="V81" s="215" t="inlineStr">
        <is>
          <t>not on this certificate</t>
        </is>
      </c>
      <c r="W81" s="201" t="inlineStr">
        <is>
          <t>100-1-ГС-26, (09.04.2026) [FHM-K] · on file, not credited</t>
        </is>
      </c>
      <c r="X81" s="202" t="inlineStr">
        <is>
          <t>•</t>
        </is>
      </c>
      <c r="Y81" s="151" t="n"/>
      <c r="Z81" s="147" t="n"/>
      <c r="AA81" s="152" t="n"/>
      <c r="AB81" s="161" t="inlineStr">
        <is>
          <t>7.6</t>
        </is>
      </c>
      <c r="AC81" s="196" t="inlineStr">
        <is>
          <t>100-1-ГС-26, (09.04.2026) [FHM-K]</t>
        </is>
      </c>
      <c r="AD81" s="197" t="inlineStr">
        <is>
          <t>✓</t>
        </is>
      </c>
      <c r="AE81" s="151" t="n"/>
      <c r="AF81" s="147" t="n"/>
      <c r="AG81" s="147" t="n"/>
      <c r="AH81" s="147" t="n"/>
      <c r="AI81" s="147" t="n"/>
      <c r="AJ81" s="152" t="n"/>
      <c r="AK81" s="151" t="n"/>
      <c r="AL81" s="147" t="n"/>
      <c r="AM81" s="147" t="n"/>
      <c r="AN81" s="152" t="n"/>
      <c r="AO81" s="151" t="n"/>
      <c r="AP81" s="147" t="n"/>
      <c r="AQ81" s="147" t="n"/>
      <c r="AR81" s="147" t="n"/>
      <c r="AS81" s="152" t="n"/>
      <c r="AT81" s="151" t="n"/>
      <c r="AU81" s="147" t="n"/>
      <c r="AV81" s="163" t="n"/>
    </row>
    <row r="82" ht="21" customHeight="1" s="70">
      <c r="A82" s="203" t="n"/>
      <c r="B82" s="204" t="n"/>
      <c r="D82" s="204" t="n"/>
      <c r="E82" s="204" t="n"/>
      <c r="F82" s="204" t="n"/>
      <c r="G82" s="205" t="n"/>
      <c r="H82" s="204" t="n"/>
      <c r="I82" s="206" t="n"/>
      <c r="J82" s="205" t="n"/>
      <c r="K82" s="204" t="n"/>
      <c r="L82" s="206" t="n"/>
      <c r="M82" s="205" t="n"/>
      <c r="N82" s="204" t="n"/>
      <c r="O82" s="206" t="n"/>
      <c r="P82" s="205" t="n"/>
      <c r="Q82" s="204" t="n"/>
      <c r="R82" s="206" t="n"/>
      <c r="S82" s="205" t="n"/>
      <c r="T82" s="204" t="n"/>
      <c r="U82" s="206" t="n"/>
      <c r="V82" s="205" t="n"/>
      <c r="W82" s="204" t="n"/>
      <c r="X82" s="206" t="n"/>
      <c r="Y82" s="205" t="n"/>
      <c r="Z82" s="204" t="n"/>
      <c r="AA82" s="206" t="n"/>
      <c r="AB82" s="205" t="n"/>
      <c r="AC82" s="204" t="n"/>
      <c r="AD82" s="206" t="n"/>
      <c r="AE82" s="205" t="n"/>
      <c r="AF82" s="204" t="n"/>
      <c r="AG82" s="204" t="n"/>
      <c r="AH82" s="204" t="n"/>
      <c r="AI82" s="204" t="n"/>
      <c r="AJ82" s="206" t="n"/>
      <c r="AK82" s="205" t="n"/>
      <c r="AL82" s="204" t="n"/>
      <c r="AM82" s="204" t="n"/>
      <c r="AN82" s="206" t="n"/>
      <c r="AO82" s="205" t="n"/>
      <c r="AP82" s="204" t="n"/>
      <c r="AQ82" s="204" t="n"/>
      <c r="AR82" s="204" t="n"/>
      <c r="AS82" s="206" t="n"/>
      <c r="AT82" s="205" t="n"/>
      <c r="AU82" s="204" t="n"/>
      <c r="AV82" s="207" t="n"/>
    </row>
    <row r="83" ht="17.625" customHeight="1" s="70">
      <c r="A83" s="146" t="n"/>
      <c r="B83" s="147" t="n"/>
      <c r="D83" s="193" t="inlineStr">
        <is>
          <t>5 of 7</t>
        </is>
      </c>
      <c r="E83" s="194" t="inlineStr">
        <is>
          <t>release testing</t>
        </is>
      </c>
      <c r="F83" s="195" t="inlineStr">
        <is>
          <t>no certificate of quality cites this block</t>
        </is>
      </c>
      <c r="G83" s="151" t="n"/>
      <c r="H83" s="147" t="n"/>
      <c r="I83" s="152" t="n"/>
      <c r="J83" s="151" t="n"/>
      <c r="K83" s="147" t="n"/>
      <c r="L83" s="152" t="n"/>
      <c r="M83" s="200" t="inlineStr">
        <is>
          <t>not on this certificate</t>
        </is>
      </c>
      <c r="N83" s="201" t="inlineStr">
        <is>
          <t>100-2-ГС-26, (09.04.2026) [FHM-K] · on file, not credited</t>
        </is>
      </c>
      <c r="O83" s="202" t="inlineStr">
        <is>
          <t>•</t>
        </is>
      </c>
      <c r="P83" s="214" t="inlineStr">
        <is>
          <t>not on this certificate</t>
        </is>
      </c>
      <c r="Q83" s="201" t="inlineStr">
        <is>
          <t>100-2-ГС-26, (09.04.2026) [FHM-K] · on file, not credited</t>
        </is>
      </c>
      <c r="R83" s="202" t="inlineStr">
        <is>
          <t>•</t>
        </is>
      </c>
      <c r="S83" s="215" t="inlineStr">
        <is>
          <t>not on this certificate</t>
        </is>
      </c>
      <c r="T83" s="201" t="inlineStr">
        <is>
          <t>100-2-ГС-26, (09.04.2026) [FHM-K] · on file, not credited</t>
        </is>
      </c>
      <c r="U83" s="202" t="inlineStr">
        <is>
          <t>•</t>
        </is>
      </c>
      <c r="V83" s="215" t="inlineStr">
        <is>
          <t>not on this certificate</t>
        </is>
      </c>
      <c r="W83" s="201" t="inlineStr">
        <is>
          <t>100-2-ГС-26, (09.04.2026) [FHM-K] · on file, not credited</t>
        </is>
      </c>
      <c r="X83" s="202" t="inlineStr">
        <is>
          <t>•</t>
        </is>
      </c>
      <c r="Y83" s="151" t="n"/>
      <c r="Z83" s="147" t="n"/>
      <c r="AA83" s="152" t="n"/>
      <c r="AB83" s="161" t="inlineStr">
        <is>
          <t>10.3 ± 0.2</t>
        </is>
      </c>
      <c r="AC83" s="196" t="inlineStr">
        <is>
          <t>100-2-ГС-26, (09.04.2026) [FHM-K]</t>
        </is>
      </c>
      <c r="AD83" s="197" t="inlineStr">
        <is>
          <t>✓</t>
        </is>
      </c>
      <c r="AE83" s="151" t="n"/>
      <c r="AF83" s="147" t="n"/>
      <c r="AG83" s="147" t="n"/>
      <c r="AH83" s="147" t="n"/>
      <c r="AI83" s="147" t="n"/>
      <c r="AJ83" s="152" t="n"/>
      <c r="AK83" s="151" t="n"/>
      <c r="AL83" s="147" t="n"/>
      <c r="AM83" s="147" t="n"/>
      <c r="AN83" s="152" t="n"/>
      <c r="AO83" s="151" t="n"/>
      <c r="AP83" s="147" t="n"/>
      <c r="AQ83" s="147" t="n"/>
      <c r="AR83" s="147" t="n"/>
      <c r="AS83" s="152" t="n"/>
      <c r="AT83" s="151" t="n"/>
      <c r="AU83" s="147" t="n"/>
      <c r="AV83" s="163" t="n"/>
    </row>
    <row r="84" ht="21" customHeight="1" s="70">
      <c r="A84" s="203" t="n"/>
      <c r="B84" s="204" t="n"/>
      <c r="D84" s="204" t="n"/>
      <c r="E84" s="204" t="n"/>
      <c r="F84" s="204" t="n"/>
      <c r="G84" s="205" t="n"/>
      <c r="H84" s="204" t="n"/>
      <c r="I84" s="206" t="n"/>
      <c r="J84" s="205" t="n"/>
      <c r="K84" s="204" t="n"/>
      <c r="L84" s="206" t="n"/>
      <c r="M84" s="205" t="n"/>
      <c r="N84" s="204" t="n"/>
      <c r="O84" s="206" t="n"/>
      <c r="P84" s="205" t="n"/>
      <c r="Q84" s="204" t="n"/>
      <c r="R84" s="206" t="n"/>
      <c r="S84" s="205" t="n"/>
      <c r="T84" s="204" t="n"/>
      <c r="U84" s="206" t="n"/>
      <c r="V84" s="205" t="n"/>
      <c r="W84" s="204" t="n"/>
      <c r="X84" s="206" t="n"/>
      <c r="Y84" s="205" t="n"/>
      <c r="Z84" s="204" t="n"/>
      <c r="AA84" s="206" t="n"/>
      <c r="AB84" s="205" t="n"/>
      <c r="AC84" s="204" t="n"/>
      <c r="AD84" s="206" t="n"/>
      <c r="AE84" s="205" t="n"/>
      <c r="AF84" s="204" t="n"/>
      <c r="AG84" s="204" t="n"/>
      <c r="AH84" s="204" t="n"/>
      <c r="AI84" s="204" t="n"/>
      <c r="AJ84" s="206" t="n"/>
      <c r="AK84" s="205" t="n"/>
      <c r="AL84" s="204" t="n"/>
      <c r="AM84" s="204" t="n"/>
      <c r="AN84" s="206" t="n"/>
      <c r="AO84" s="205" t="n"/>
      <c r="AP84" s="204" t="n"/>
      <c r="AQ84" s="204" t="n"/>
      <c r="AR84" s="204" t="n"/>
      <c r="AS84" s="206" t="n"/>
      <c r="AT84" s="205" t="n"/>
      <c r="AU84" s="204" t="n"/>
      <c r="AV84" s="207" t="n"/>
    </row>
    <row r="85" ht="17.625" customHeight="1" s="70">
      <c r="A85" s="146" t="n"/>
      <c r="B85" s="147" t="n"/>
      <c r="D85" s="193" t="inlineStr">
        <is>
          <t>6 of 7</t>
        </is>
      </c>
      <c r="E85" s="194" t="inlineStr">
        <is>
          <t>release testing</t>
        </is>
      </c>
      <c r="F85" s="195" t="inlineStr">
        <is>
          <t>no certificate of quality cites this block</t>
        </is>
      </c>
      <c r="G85" s="151" t="n"/>
      <c r="H85" s="147" t="n"/>
      <c r="I85" s="152" t="n"/>
      <c r="J85" s="151" t="n"/>
      <c r="K85" s="147" t="n"/>
      <c r="L85" s="152" t="n"/>
      <c r="M85" s="200" t="inlineStr">
        <is>
          <t>not on this certificate</t>
        </is>
      </c>
      <c r="N85" s="201" t="inlineStr">
        <is>
          <t>100-3-ГС-26, (09.04.2026) [FHM-K] · on file, not credited</t>
        </is>
      </c>
      <c r="O85" s="202" t="inlineStr">
        <is>
          <t>•</t>
        </is>
      </c>
      <c r="P85" s="214" t="inlineStr">
        <is>
          <t>not on this certificate</t>
        </is>
      </c>
      <c r="Q85" s="201" t="inlineStr">
        <is>
          <t>100-3-ГС-26, (09.04.2026) [FHM-K] · on file, not credited</t>
        </is>
      </c>
      <c r="R85" s="202" t="inlineStr">
        <is>
          <t>•</t>
        </is>
      </c>
      <c r="S85" s="215" t="inlineStr">
        <is>
          <t>not on this certificate</t>
        </is>
      </c>
      <c r="T85" s="201" t="inlineStr">
        <is>
          <t>100-3-ГС-26, (09.04.2026) [FHM-K] · on file, not credited</t>
        </is>
      </c>
      <c r="U85" s="202" t="inlineStr">
        <is>
          <t>•</t>
        </is>
      </c>
      <c r="V85" s="215" t="inlineStr">
        <is>
          <t>not on this certificate</t>
        </is>
      </c>
      <c r="W85" s="201" t="inlineStr">
        <is>
          <t>100-3-ГС-26, (09.04.2026) [FHM-K] · on file, not credited</t>
        </is>
      </c>
      <c r="X85" s="202" t="inlineStr">
        <is>
          <t>•</t>
        </is>
      </c>
      <c r="Y85" s="151" t="n"/>
      <c r="Z85" s="147" t="n"/>
      <c r="AA85" s="152" t="n"/>
      <c r="AB85" s="161" t="inlineStr">
        <is>
          <t>10.3</t>
        </is>
      </c>
      <c r="AC85" s="196" t="inlineStr">
        <is>
          <t>100-3-ГС-26, (09.04.2026) [FHM-K]</t>
        </is>
      </c>
      <c r="AD85" s="197" t="inlineStr">
        <is>
          <t>✓</t>
        </is>
      </c>
      <c r="AE85" s="151" t="n"/>
      <c r="AF85" s="147" t="n"/>
      <c r="AG85" s="147" t="n"/>
      <c r="AH85" s="147" t="n"/>
      <c r="AI85" s="147" t="n"/>
      <c r="AJ85" s="152" t="n"/>
      <c r="AK85" s="151" t="n"/>
      <c r="AL85" s="147" t="n"/>
      <c r="AM85" s="147" t="n"/>
      <c r="AN85" s="152" t="n"/>
      <c r="AO85" s="151" t="n"/>
      <c r="AP85" s="147" t="n"/>
      <c r="AQ85" s="147" t="n"/>
      <c r="AR85" s="147" t="n"/>
      <c r="AS85" s="152" t="n"/>
      <c r="AT85" s="151" t="n"/>
      <c r="AU85" s="147" t="n"/>
      <c r="AV85" s="163" t="n"/>
    </row>
    <row r="86" ht="21" customHeight="1" s="70">
      <c r="A86" s="203" t="n"/>
      <c r="B86" s="204" t="n"/>
      <c r="D86" s="204" t="n"/>
      <c r="E86" s="204" t="n"/>
      <c r="F86" s="204" t="n"/>
      <c r="G86" s="205" t="n"/>
      <c r="H86" s="204" t="n"/>
      <c r="I86" s="206" t="n"/>
      <c r="J86" s="205" t="n"/>
      <c r="K86" s="204" t="n"/>
      <c r="L86" s="206" t="n"/>
      <c r="M86" s="205" t="n"/>
      <c r="N86" s="204" t="n"/>
      <c r="O86" s="206" t="n"/>
      <c r="P86" s="205" t="n"/>
      <c r="Q86" s="204" t="n"/>
      <c r="R86" s="206" t="n"/>
      <c r="S86" s="205" t="n"/>
      <c r="T86" s="204" t="n"/>
      <c r="U86" s="206" t="n"/>
      <c r="V86" s="205" t="n"/>
      <c r="W86" s="204" t="n"/>
      <c r="X86" s="206" t="n"/>
      <c r="Y86" s="205" t="n"/>
      <c r="Z86" s="204" t="n"/>
      <c r="AA86" s="206" t="n"/>
      <c r="AB86" s="205" t="n"/>
      <c r="AC86" s="204" t="n"/>
      <c r="AD86" s="206" t="n"/>
      <c r="AE86" s="205" t="n"/>
      <c r="AF86" s="204" t="n"/>
      <c r="AG86" s="204" t="n"/>
      <c r="AH86" s="204" t="n"/>
      <c r="AI86" s="204" t="n"/>
      <c r="AJ86" s="206" t="n"/>
      <c r="AK86" s="205" t="n"/>
      <c r="AL86" s="204" t="n"/>
      <c r="AM86" s="204" t="n"/>
      <c r="AN86" s="206" t="n"/>
      <c r="AO86" s="205" t="n"/>
      <c r="AP86" s="204" t="n"/>
      <c r="AQ86" s="204" t="n"/>
      <c r="AR86" s="204" t="n"/>
      <c r="AS86" s="206" t="n"/>
      <c r="AT86" s="205" t="n"/>
      <c r="AU86" s="204" t="n"/>
      <c r="AV86" s="207" t="n"/>
    </row>
    <row r="87" ht="17.625" customHeight="1" s="70">
      <c r="A87" s="146" t="n"/>
      <c r="B87" s="147" t="n"/>
      <c r="D87" s="148" t="inlineStr">
        <is>
          <t>7 of 7</t>
        </is>
      </c>
      <c r="E87" s="149" t="inlineStr">
        <is>
          <t>re-analysis 227</t>
        </is>
      </c>
      <c r="F87" s="150" t="inlineStr">
        <is>
          <t>iCoA-PP_26-170
CoQ-PP_26-153 · retest</t>
        </is>
      </c>
      <c r="G87" s="151" t="n"/>
      <c r="H87" s="147" t="n"/>
      <c r="I87" s="152" t="n"/>
      <c r="J87" s="151" t="n"/>
      <c r="K87" s="147" t="n"/>
      <c r="L87" s="152" t="n"/>
      <c r="M87" s="153" t="inlineStr">
        <is>
          <t>Conforms (ImB spec.)</t>
        </is>
      </c>
      <c r="N87" s="154" t="inlineStr">
        <is>
          <t>227-14-К-26, (11.09.2026) [FHM-K]</t>
        </is>
      </c>
      <c r="O87" s="155" t="inlineStr">
        <is>
          <t>✓</t>
        </is>
      </c>
      <c r="P87" s="156" t="inlineStr">
        <is>
          <t>23.85</t>
        </is>
      </c>
      <c r="Q87" s="154" t="inlineStr">
        <is>
          <t>227-14-К-26, (11.09.2026) [FHM-K]</t>
        </is>
      </c>
      <c r="R87" s="155" t="inlineStr">
        <is>
          <t>✓</t>
        </is>
      </c>
      <c r="S87" s="157" t="inlineStr">
        <is>
          <t>&lt; LOQ</t>
        </is>
      </c>
      <c r="T87" s="154" t="inlineStr">
        <is>
          <t>227-14-К-26, (11.09.2026) [FHM-K]</t>
        </is>
      </c>
      <c r="U87" s="155" t="inlineStr">
        <is>
          <t>✓</t>
        </is>
      </c>
      <c r="V87" s="157" t="inlineStr">
        <is>
          <t>&lt; LOQ</t>
        </is>
      </c>
      <c r="W87" s="154" t="inlineStr">
        <is>
          <t>227-14-К-26, (11.09.2026) [FHM-K]</t>
        </is>
      </c>
      <c r="X87" s="155" t="inlineStr">
        <is>
          <t>✓</t>
        </is>
      </c>
      <c r="Y87" s="151" t="n"/>
      <c r="Z87" s="147" t="n"/>
      <c r="AA87" s="152" t="n"/>
      <c r="AB87" s="151" t="n"/>
      <c r="AC87" s="147" t="n"/>
      <c r="AD87" s="152" t="n"/>
      <c r="AE87" s="151" t="n"/>
      <c r="AF87" s="147" t="n"/>
      <c r="AG87" s="147" t="n"/>
      <c r="AH87" s="147" t="n"/>
      <c r="AI87" s="147" t="n"/>
      <c r="AJ87" s="152" t="n"/>
      <c r="AK87" s="151" t="n"/>
      <c r="AL87" s="147" t="n"/>
      <c r="AM87" s="147" t="n"/>
      <c r="AN87" s="152" t="n"/>
      <c r="AO87" s="151" t="n"/>
      <c r="AP87" s="147" t="n"/>
      <c r="AQ87" s="147" t="n"/>
      <c r="AR87" s="147" t="n"/>
      <c r="AS87" s="152" t="n"/>
      <c r="AT87" s="151" t="n"/>
      <c r="AU87" s="147" t="n"/>
      <c r="AV87" s="163" t="n"/>
    </row>
    <row r="88" ht="13" customHeight="1" s="70">
      <c r="A88" s="164" t="n"/>
      <c r="B88" s="165" t="n"/>
      <c r="C88" s="165" t="n"/>
      <c r="D88" s="165" t="n"/>
      <c r="E88" s="165" t="n"/>
      <c r="F88" s="165" t="n"/>
      <c r="G88" s="166" t="n"/>
      <c r="H88" s="165" t="n"/>
      <c r="I88" s="167" t="n"/>
      <c r="J88" s="166" t="n"/>
      <c r="K88" s="165" t="n"/>
      <c r="L88" s="167" t="n"/>
      <c r="M88" s="166" t="n"/>
      <c r="N88" s="165" t="n"/>
      <c r="O88" s="167" t="n"/>
      <c r="P88" s="166" t="n"/>
      <c r="Q88" s="165" t="n"/>
      <c r="R88" s="167" t="n"/>
      <c r="S88" s="166" t="n"/>
      <c r="T88" s="165" t="n"/>
      <c r="U88" s="167" t="n"/>
      <c r="V88" s="166" t="n"/>
      <c r="W88" s="165" t="n"/>
      <c r="X88" s="167" t="n"/>
      <c r="Y88" s="166" t="n"/>
      <c r="Z88" s="165" t="n"/>
      <c r="AA88" s="167" t="n"/>
      <c r="AB88" s="166" t="n"/>
      <c r="AC88" s="165" t="n"/>
      <c r="AD88" s="167" t="n"/>
      <c r="AE88" s="166" t="n"/>
      <c r="AF88" s="165" t="n"/>
      <c r="AG88" s="165" t="n"/>
      <c r="AH88" s="165" t="n"/>
      <c r="AI88" s="165" t="n"/>
      <c r="AJ88" s="167" t="n"/>
      <c r="AK88" s="166" t="n"/>
      <c r="AL88" s="165" t="n"/>
      <c r="AM88" s="165" t="n"/>
      <c r="AN88" s="167" t="n"/>
      <c r="AO88" s="166" t="n"/>
      <c r="AP88" s="165" t="n"/>
      <c r="AQ88" s="165" t="n"/>
      <c r="AR88" s="165" t="n"/>
      <c r="AS88" s="167" t="n"/>
      <c r="AT88" s="166" t="n"/>
      <c r="AU88" s="165" t="n"/>
      <c r="AV88" s="169" t="n"/>
    </row>
    <row r="89" ht="21" customHeight="1" s="70">
      <c r="A89" s="125" t="inlineStr">
        <is>
          <t>J31122501</t>
        </is>
      </c>
      <c r="B89" s="126" t="inlineStr">
        <is>
          <t>P060262</t>
        </is>
      </c>
      <c r="C89" s="170" t="inlineStr">
        <is>
          <t>⚠ 1 NO RESULT
(1 no cert / 0 cert w/o result)
3 testing instances
• 2 document(s) on file, not credited</t>
        </is>
      </c>
      <c r="D89" s="128" t="inlineStr">
        <is>
          <t>1 of 3</t>
        </is>
      </c>
      <c r="E89" s="129" t="inlineStr">
        <is>
          <t>release testing</t>
        </is>
      </c>
      <c r="F89" s="130" t="inlineStr">
        <is>
          <t>iCoA-PP_26-072
CoQ-PP_26-062 · initial release</t>
        </is>
      </c>
      <c r="G89" s="131" t="inlineStr">
        <is>
          <t>Conforms</t>
        </is>
      </c>
      <c r="H89" s="132">
        <f>IFERROR(INDEX('iCoA Register'!$B:$B,MATCH("P060262|I",'iCoA Register'!$AA:$AA,0)),"iCoA — at issue")&amp;", (14.05.2026) [PP]"</f>
        <v/>
      </c>
      <c r="I89" s="133" t="inlineStr">
        <is>
          <t>✓</t>
        </is>
      </c>
      <c r="J89" s="131" t="inlineStr">
        <is>
          <t>Conforms</t>
        </is>
      </c>
      <c r="K89" s="132">
        <f>IFERROR(INDEX('iCoA Register'!$B:$B,MATCH("P060262|I",'iCoA Register'!$AA:$AA,0)),"iCoA — at issue")&amp;", (14.05.2026) [PP]"</f>
        <v/>
      </c>
      <c r="L89" s="133" t="inlineStr">
        <is>
          <t>✓</t>
        </is>
      </c>
      <c r="M89" s="131" t="inlineStr">
        <is>
          <t>Conforms (ImB spec.) ᴿ</t>
        </is>
      </c>
      <c r="N89" s="132" t="inlineStr">
        <is>
          <t>100-2-К-26, (09.04.2026) [FHM-K]</t>
        </is>
      </c>
      <c r="O89" s="133" t="inlineStr">
        <is>
          <t>✓</t>
        </is>
      </c>
      <c r="P89" s="137" t="inlineStr">
        <is>
          <t>19.84 ᴿ</t>
        </is>
      </c>
      <c r="Q89" s="132" t="inlineStr">
        <is>
          <t>100-2-К-26, (09.04.2026) [FHM-K]</t>
        </is>
      </c>
      <c r="R89" s="133" t="inlineStr">
        <is>
          <t>✓</t>
        </is>
      </c>
      <c r="S89" s="138" t="inlineStr">
        <is>
          <t>&lt; LOQ (&lt;0.20) ᴿ</t>
        </is>
      </c>
      <c r="T89" s="132" t="inlineStr">
        <is>
          <t>100-2-К-26, (09.04.2026) [FHM-K]</t>
        </is>
      </c>
      <c r="U89" s="133" t="inlineStr">
        <is>
          <t>✓</t>
        </is>
      </c>
      <c r="V89" s="138" t="inlineStr">
        <is>
          <t>&lt; LOQ ᴿ</t>
        </is>
      </c>
      <c r="W89" s="132" t="inlineStr">
        <is>
          <t>100-2-К-26, (09.04.2026) [FHM-K]</t>
        </is>
      </c>
      <c r="X89" s="133" t="inlineStr">
        <is>
          <t>✓</t>
        </is>
      </c>
      <c r="Y89" s="131" t="inlineStr">
        <is>
          <t>Conforms</t>
        </is>
      </c>
      <c r="Z89" s="132">
        <f>IFERROR(INDEX('iCoA Register'!$B:$B,MATCH("P060262|I",'iCoA Register'!$AA:$AA,0)),"iCoA — at issue")&amp;", (14.05.2026) [PP]"</f>
        <v/>
      </c>
      <c r="AA89" s="133" t="inlineStr">
        <is>
          <t>✓</t>
        </is>
      </c>
      <c r="AB89" s="134" t="inlineStr">
        <is>
          <t>not ingested</t>
        </is>
      </c>
      <c r="AC89" s="135" t="inlineStr">
        <is>
          <t>100-2-К-26, (09.04.2026) [FHM-K] · on file, not credited</t>
        </is>
      </c>
      <c r="AD89" s="136" t="inlineStr">
        <is>
          <t>•</t>
        </is>
      </c>
      <c r="AE89" s="131" t="inlineStr">
        <is>
          <t>1900 ᴿ</t>
        </is>
      </c>
      <c r="AF89" s="139" t="inlineStr">
        <is>
          <t>840 ᴿ</t>
        </is>
      </c>
      <c r="AG89" s="139" t="inlineStr">
        <is>
          <t>&lt; 10³ and &gt; 10² ᴿ</t>
        </is>
      </c>
      <c r="AH89" s="139" t="inlineStr">
        <is>
          <t>Absent ᴿ</t>
        </is>
      </c>
      <c r="AI89" s="139" t="inlineStr">
        <is>
          <t>Absent ᴿ</t>
        </is>
      </c>
      <c r="AJ89" s="133" t="inlineStr">
        <is>
          <t>✓</t>
        </is>
      </c>
      <c r="AK89" s="131" t="inlineStr">
        <is>
          <t>not reported</t>
        </is>
      </c>
      <c r="AL89" s="139" t="inlineStr">
        <is>
          <t>Complies ᴿ</t>
        </is>
      </c>
      <c r="AM89" s="139" t="inlineStr">
        <is>
          <t>not reported</t>
        </is>
      </c>
      <c r="AN89" s="133" t="inlineStr">
        <is>
          <t>✓</t>
        </is>
      </c>
      <c r="AO89" s="216" t="inlineStr">
        <is>
          <t>not ingested</t>
        </is>
      </c>
      <c r="AP89" s="217" t="inlineStr"/>
      <c r="AQ89" s="217" t="inlineStr"/>
      <c r="AR89" s="217" t="inlineStr"/>
      <c r="AS89" s="218" t="inlineStr">
        <is>
          <t>✗</t>
        </is>
      </c>
      <c r="AT89" s="131" t="inlineStr">
        <is>
          <t>ND ᴿ</t>
        </is>
      </c>
      <c r="AU89" s="132" t="inlineStr">
        <is>
          <t>1625-2026, (23.04.2026) [IJZ]</t>
        </is>
      </c>
      <c r="AV89" s="140" t="inlineStr">
        <is>
          <t>✓</t>
        </is>
      </c>
    </row>
    <row r="90" ht="21" customHeight="1" s="70">
      <c r="A90" s="141" t="n"/>
      <c r="G90" s="142" t="n"/>
      <c r="I90" s="143" t="n"/>
      <c r="J90" s="142" t="n"/>
      <c r="L90" s="143" t="n"/>
      <c r="M90" s="142" t="n"/>
      <c r="O90" s="143" t="n"/>
      <c r="P90" s="142" t="n"/>
      <c r="R90" s="143" t="n"/>
      <c r="S90" s="142" t="n"/>
      <c r="U90" s="143" t="n"/>
      <c r="V90" s="142" t="n"/>
      <c r="X90" s="143" t="n"/>
      <c r="Y90" s="142" t="n"/>
      <c r="AA90" s="143" t="n"/>
      <c r="AB90" s="142" t="n"/>
      <c r="AD90" s="143" t="n"/>
      <c r="AE90" s="144" t="inlineStr">
        <is>
          <t>230-0393-26, (07.04.2026) [IJZ-MB]</t>
        </is>
      </c>
      <c r="AJ90" s="143" t="n"/>
      <c r="AK90" s="144" t="inlineStr">
        <is>
          <t>1625-2026, (23.04.2026) [IJZ]</t>
        </is>
      </c>
      <c r="AN90" s="143" t="n"/>
      <c r="AO90" s="219" t="inlineStr">
        <is>
          <t>1625-2026, (23.04.2026) [IJZ]</t>
        </is>
      </c>
      <c r="AS90" s="143" t="n"/>
      <c r="AT90" s="142" t="n"/>
      <c r="AV90" s="145" t="n"/>
    </row>
    <row r="91" ht="21" customHeight="1" s="70">
      <c r="A91" s="146" t="n"/>
      <c r="B91" s="147" t="n"/>
      <c r="D91" s="193" t="inlineStr">
        <is>
          <t>2 of 3</t>
        </is>
      </c>
      <c r="E91" s="194" t="inlineStr">
        <is>
          <t>release testing</t>
        </is>
      </c>
      <c r="F91" s="195" t="inlineStr">
        <is>
          <t>iCoA-PP_26-072
CoQ-PP_26-062 · initial release</t>
        </is>
      </c>
      <c r="G91" s="151" t="n"/>
      <c r="H91" s="147" t="n"/>
      <c r="I91" s="152" t="n"/>
      <c r="J91" s="151" t="n"/>
      <c r="K91" s="147" t="n"/>
      <c r="L91" s="152" t="n"/>
      <c r="M91" s="211" t="inlineStr">
        <is>
          <t>not ingested</t>
        </is>
      </c>
      <c r="N91" s="212" t="inlineStr">
        <is>
          <t>100-3-К-26, (09.04.2026) [FHM-K]</t>
        </is>
      </c>
      <c r="O91" s="213" t="inlineStr">
        <is>
          <t>✗</t>
        </is>
      </c>
      <c r="P91" s="198" t="inlineStr">
        <is>
          <t>21.84 ᴿ</t>
        </is>
      </c>
      <c r="Q91" s="196" t="inlineStr">
        <is>
          <t>100-3-К-26, (09.04.2026) [FHM-K]</t>
        </is>
      </c>
      <c r="R91" s="197" t="inlineStr">
        <is>
          <t>✓</t>
        </is>
      </c>
      <c r="S91" s="199" t="inlineStr">
        <is>
          <t>&lt; LOQ (&lt;0.20) ᴿ</t>
        </is>
      </c>
      <c r="T91" s="196" t="inlineStr">
        <is>
          <t>100-3-К-26, (09.04.2026) [FHM-K]</t>
        </is>
      </c>
      <c r="U91" s="197" t="inlineStr">
        <is>
          <t>✓</t>
        </is>
      </c>
      <c r="V91" s="199" t="inlineStr">
        <is>
          <t>&lt; LOQ ᴿ</t>
        </is>
      </c>
      <c r="W91" s="196" t="inlineStr">
        <is>
          <t>100-3-К-26, (09.04.2026) [FHM-K]</t>
        </is>
      </c>
      <c r="X91" s="197" t="inlineStr">
        <is>
          <t>✓</t>
        </is>
      </c>
      <c r="Y91" s="151" t="n"/>
      <c r="Z91" s="147" t="n"/>
      <c r="AA91" s="152" t="n"/>
      <c r="AB91" s="200" t="inlineStr">
        <is>
          <t>not ingested</t>
        </is>
      </c>
      <c r="AC91" s="201" t="inlineStr">
        <is>
          <t>100-3-К-26, (09.04.2026) [FHM-K] · on file, not credited</t>
        </is>
      </c>
      <c r="AD91" s="202" t="inlineStr">
        <is>
          <t>•</t>
        </is>
      </c>
      <c r="AE91" s="161" t="inlineStr">
        <is>
          <t>850 ᴿ</t>
        </is>
      </c>
      <c r="AF91" s="162" t="inlineStr">
        <is>
          <t>370 ᴿ</t>
        </is>
      </c>
      <c r="AG91" s="162" t="inlineStr">
        <is>
          <t>&lt; 10² and &gt; 10 ᴿ</t>
        </is>
      </c>
      <c r="AH91" s="162" t="inlineStr">
        <is>
          <t>Absent ᴿ</t>
        </is>
      </c>
      <c r="AI91" s="162" t="inlineStr">
        <is>
          <t>Absent ᴿ</t>
        </is>
      </c>
      <c r="AJ91" s="197" t="inlineStr">
        <is>
          <t>✓</t>
        </is>
      </c>
      <c r="AK91" s="161" t="inlineStr">
        <is>
          <t>not reported</t>
        </is>
      </c>
      <c r="AL91" s="162" t="inlineStr">
        <is>
          <t>2.5 ᴿ</t>
        </is>
      </c>
      <c r="AM91" s="162" t="inlineStr">
        <is>
          <t>not reported</t>
        </is>
      </c>
      <c r="AN91" s="197" t="inlineStr">
        <is>
          <t>✓</t>
        </is>
      </c>
      <c r="AO91" s="161" t="inlineStr">
        <is>
          <t>ND ᴿ</t>
        </is>
      </c>
      <c r="AP91" s="162" t="inlineStr">
        <is>
          <t>ND ᴿ</t>
        </is>
      </c>
      <c r="AQ91" s="162" t="inlineStr">
        <is>
          <t>ND ᴿ</t>
        </is>
      </c>
      <c r="AR91" s="162" t="inlineStr">
        <is>
          <t>ND ᴿ</t>
        </is>
      </c>
      <c r="AS91" s="197" t="inlineStr">
        <is>
          <t>✓</t>
        </is>
      </c>
      <c r="AT91" s="161" t="inlineStr">
        <is>
          <t>ND ᴿ</t>
        </is>
      </c>
      <c r="AU91" s="196" t="inlineStr">
        <is>
          <t>1628-2026, (23.04.2026) [IJZ]</t>
        </is>
      </c>
      <c r="AV91" s="220" t="inlineStr">
        <is>
          <t>✓</t>
        </is>
      </c>
    </row>
    <row r="92" ht="21" customHeight="1" s="70">
      <c r="A92" s="203" t="n"/>
      <c r="B92" s="204" t="n"/>
      <c r="D92" s="204" t="n"/>
      <c r="E92" s="204" t="n"/>
      <c r="F92" s="204" t="n"/>
      <c r="G92" s="205" t="n"/>
      <c r="H92" s="204" t="n"/>
      <c r="I92" s="206" t="n"/>
      <c r="J92" s="205" t="n"/>
      <c r="K92" s="204" t="n"/>
      <c r="L92" s="206" t="n"/>
      <c r="M92" s="205" t="n"/>
      <c r="N92" s="204" t="n"/>
      <c r="O92" s="206" t="n"/>
      <c r="P92" s="205" t="n"/>
      <c r="Q92" s="204" t="n"/>
      <c r="R92" s="206" t="n"/>
      <c r="S92" s="205" t="n"/>
      <c r="T92" s="204" t="n"/>
      <c r="U92" s="206" t="n"/>
      <c r="V92" s="205" t="n"/>
      <c r="W92" s="204" t="n"/>
      <c r="X92" s="206" t="n"/>
      <c r="Y92" s="205" t="n"/>
      <c r="Z92" s="204" t="n"/>
      <c r="AA92" s="206" t="n"/>
      <c r="AB92" s="205" t="n"/>
      <c r="AC92" s="204" t="n"/>
      <c r="AD92" s="206" t="n"/>
      <c r="AE92" s="221" t="inlineStr">
        <is>
          <t>231-0394-26, (07.04.2026) [IJZ-MB]</t>
        </is>
      </c>
      <c r="AF92" s="204" t="n"/>
      <c r="AG92" s="204" t="n"/>
      <c r="AH92" s="204" t="n"/>
      <c r="AI92" s="204" t="n"/>
      <c r="AJ92" s="206" t="n"/>
      <c r="AK92" s="221" t="inlineStr">
        <is>
          <t>1628-2026, (23.04.2026) [IJZ]</t>
        </is>
      </c>
      <c r="AL92" s="204" t="n"/>
      <c r="AM92" s="204" t="n"/>
      <c r="AN92" s="206" t="n"/>
      <c r="AO92" s="221" t="inlineStr">
        <is>
          <t>1628-2026, (23.04.2026) [IJZ]</t>
        </is>
      </c>
      <c r="AP92" s="204" t="n"/>
      <c r="AQ92" s="204" t="n"/>
      <c r="AR92" s="204" t="n"/>
      <c r="AS92" s="206" t="n"/>
      <c r="AT92" s="205" t="n"/>
      <c r="AU92" s="204" t="n"/>
      <c r="AV92" s="207" t="n"/>
    </row>
    <row r="93" ht="21" customHeight="1" s="70">
      <c r="A93" s="146" t="n"/>
      <c r="B93" s="147" t="n"/>
      <c r="D93" s="148" t="inlineStr">
        <is>
          <t>3 of 3</t>
        </is>
      </c>
      <c r="E93" s="149" t="inlineStr">
        <is>
          <t>re-analysis 227 + re-test campaign (IJZ-MB)</t>
        </is>
      </c>
      <c r="F93" s="150" t="inlineStr">
        <is>
          <t>iCoA-PP_26-171
CoQ-PP_26-154 · retest</t>
        </is>
      </c>
      <c r="G93" s="151" t="n"/>
      <c r="H93" s="147" t="n"/>
      <c r="I93" s="152" t="n"/>
      <c r="J93" s="151" t="n"/>
      <c r="K93" s="147" t="n"/>
      <c r="L93" s="152" t="n"/>
      <c r="M93" s="153" t="inlineStr">
        <is>
          <t>Conforms (ImB spec.)</t>
        </is>
      </c>
      <c r="N93" s="154" t="inlineStr">
        <is>
          <t>227-13-К-26, (11.09.2026) [FHM-K]</t>
        </is>
      </c>
      <c r="O93" s="155" t="inlineStr">
        <is>
          <t>✓</t>
        </is>
      </c>
      <c r="P93" s="156" t="inlineStr">
        <is>
          <t>24.48</t>
        </is>
      </c>
      <c r="Q93" s="154" t="inlineStr">
        <is>
          <t>227-13-К-26, (11.09.2026) [FHM-K]</t>
        </is>
      </c>
      <c r="R93" s="155" t="inlineStr">
        <is>
          <t>✓</t>
        </is>
      </c>
      <c r="S93" s="157" t="inlineStr">
        <is>
          <t>&lt; LOQ</t>
        </is>
      </c>
      <c r="T93" s="154" t="inlineStr">
        <is>
          <t>227-13-К-26, (11.09.2026) [FHM-K]</t>
        </is>
      </c>
      <c r="U93" s="155" t="inlineStr">
        <is>
          <t>✓</t>
        </is>
      </c>
      <c r="V93" s="157" t="inlineStr">
        <is>
          <t>&lt; LOQ</t>
        </is>
      </c>
      <c r="W93" s="154" t="inlineStr">
        <is>
          <t>227-13-К-26, (11.09.2026) [FHM-K]</t>
        </is>
      </c>
      <c r="X93" s="155" t="inlineStr">
        <is>
          <t>✓</t>
        </is>
      </c>
      <c r="Y93" s="151" t="n"/>
      <c r="Z93" s="147" t="n"/>
      <c r="AA93" s="152" t="n"/>
      <c r="AB93" s="151" t="n"/>
      <c r="AC93" s="147" t="n"/>
      <c r="AD93" s="152" t="n"/>
      <c r="AE93" s="161" t="inlineStr">
        <is>
          <t>1 × 10³</t>
        </is>
      </c>
      <c r="AF93" s="162" t="inlineStr">
        <is>
          <t>1.7 × 10²</t>
        </is>
      </c>
      <c r="AG93" s="162" t="inlineStr">
        <is>
          <t>&lt; 10³ and &gt; 10²</t>
        </is>
      </c>
      <c r="AH93" s="162" t="inlineStr">
        <is>
          <t>Absent</t>
        </is>
      </c>
      <c r="AI93" s="162" t="inlineStr">
        <is>
          <t>Absent</t>
        </is>
      </c>
      <c r="AJ93" s="155" t="inlineStr">
        <is>
          <t>✓</t>
        </is>
      </c>
      <c r="AK93" s="151" t="n"/>
      <c r="AL93" s="147" t="n"/>
      <c r="AM93" s="147" t="n"/>
      <c r="AN93" s="152" t="n"/>
      <c r="AO93" s="151" t="n"/>
      <c r="AP93" s="147" t="n"/>
      <c r="AQ93" s="147" t="n"/>
      <c r="AR93" s="147" t="n"/>
      <c r="AS93" s="152" t="n"/>
      <c r="AT93" s="151" t="n"/>
      <c r="AU93" s="147" t="n"/>
      <c r="AV93" s="163" t="n"/>
    </row>
    <row r="94" ht="13" customHeight="1" s="70">
      <c r="A94" s="164" t="n"/>
      <c r="B94" s="165" t="n"/>
      <c r="C94" s="165" t="n"/>
      <c r="D94" s="165" t="n"/>
      <c r="E94" s="165" t="n"/>
      <c r="F94" s="165" t="n"/>
      <c r="G94" s="166" t="n"/>
      <c r="H94" s="165" t="n"/>
      <c r="I94" s="167" t="n"/>
      <c r="J94" s="166" t="n"/>
      <c r="K94" s="165" t="n"/>
      <c r="L94" s="167" t="n"/>
      <c r="M94" s="166" t="n"/>
      <c r="N94" s="165" t="n"/>
      <c r="O94" s="167" t="n"/>
      <c r="P94" s="166" t="n"/>
      <c r="Q94" s="165" t="n"/>
      <c r="R94" s="167" t="n"/>
      <c r="S94" s="166" t="n"/>
      <c r="T94" s="165" t="n"/>
      <c r="U94" s="167" t="n"/>
      <c r="V94" s="166" t="n"/>
      <c r="W94" s="165" t="n"/>
      <c r="X94" s="167" t="n"/>
      <c r="Y94" s="166" t="n"/>
      <c r="Z94" s="165" t="n"/>
      <c r="AA94" s="167" t="n"/>
      <c r="AB94" s="166" t="n"/>
      <c r="AC94" s="165" t="n"/>
      <c r="AD94" s="167" t="n"/>
      <c r="AE94" s="168" t="inlineStr">
        <is>
          <t>544-1075-26, (31.08.2026) [IJZ-MB]</t>
        </is>
      </c>
      <c r="AF94" s="165" t="n"/>
      <c r="AG94" s="165" t="n"/>
      <c r="AH94" s="165" t="n"/>
      <c r="AI94" s="165" t="n"/>
      <c r="AJ94" s="167" t="n"/>
      <c r="AK94" s="166" t="n"/>
      <c r="AL94" s="165" t="n"/>
      <c r="AM94" s="165" t="n"/>
      <c r="AN94" s="167" t="n"/>
      <c r="AO94" s="166" t="n"/>
      <c r="AP94" s="165" t="n"/>
      <c r="AQ94" s="165" t="n"/>
      <c r="AR94" s="165" t="n"/>
      <c r="AS94" s="167" t="n"/>
      <c r="AT94" s="166" t="n"/>
      <c r="AU94" s="165" t="n"/>
      <c r="AV94" s="169" t="n"/>
    </row>
    <row r="95" ht="21" customHeight="1" s="70">
      <c r="A95" s="125" t="inlineStr">
        <is>
          <t>JD012601＊</t>
        </is>
      </c>
      <c r="B95" s="126" t="inlineStr">
        <is>
          <t>P060312</t>
        </is>
      </c>
      <c r="C95" s="127" t="inlineStr">
        <is>
          <t>✓ COMPLETE
2 testing instances
• 1 document(s) on file, not credited</t>
        </is>
      </c>
      <c r="D95" s="128" t="inlineStr">
        <is>
          <t>1 of 2</t>
        </is>
      </c>
      <c r="E95" s="129" t="inlineStr">
        <is>
          <t>release testing</t>
        </is>
      </c>
      <c r="F95" s="130" t="inlineStr">
        <is>
          <t>no certificate of quality cites this block</t>
        </is>
      </c>
      <c r="G95" s="131" t="inlineStr">
        <is>
          <t>Conforms</t>
        </is>
      </c>
      <c r="H95" s="132">
        <f>IFERROR(INDEX('iCoA Register'!$B:$B,MATCH("P060312|I",'iCoA Register'!$AA:$AA,0)),"iCoA — at issue")&amp;", (21.05.2026) [PP]"</f>
        <v/>
      </c>
      <c r="I95" s="133" t="inlineStr">
        <is>
          <t>✓</t>
        </is>
      </c>
      <c r="J95" s="134" t="inlineStr">
        <is>
          <t>not on this certificate</t>
        </is>
      </c>
      <c r="K95" s="135" t="inlineStr">
        <is>
          <t>ППК26064, (11.05.2026) [CNP] · on file, not credited</t>
        </is>
      </c>
      <c r="L95" s="136" t="inlineStr">
        <is>
          <t>•</t>
        </is>
      </c>
      <c r="M95" s="131" t="inlineStr">
        <is>
          <t>Conforms (ImB spec.)</t>
        </is>
      </c>
      <c r="N95" s="132" t="inlineStr">
        <is>
          <t>ППК26064, (11.05.2026) [CNP]</t>
        </is>
      </c>
      <c r="O95" s="133" t="inlineStr">
        <is>
          <t>✓</t>
        </is>
      </c>
      <c r="P95" s="137" t="inlineStr">
        <is>
          <t>18.16</t>
        </is>
      </c>
      <c r="Q95" s="132" t="inlineStr">
        <is>
          <t>ППК26064, (11.05.2026) [CNP]</t>
        </is>
      </c>
      <c r="R95" s="133" t="inlineStr">
        <is>
          <t>✓</t>
        </is>
      </c>
      <c r="S95" s="138" t="inlineStr">
        <is>
          <t>0.06</t>
        </is>
      </c>
      <c r="T95" s="132" t="inlineStr">
        <is>
          <t>ППК26064, (11.05.2026) [CNP]</t>
        </is>
      </c>
      <c r="U95" s="133" t="inlineStr">
        <is>
          <t>✓</t>
        </is>
      </c>
      <c r="V95" s="138" t="inlineStr">
        <is>
          <t>&lt; LOQ ᴰ</t>
        </is>
      </c>
      <c r="W95" s="132" t="inlineStr">
        <is>
          <t>ППК26064, (11.05.2026) [CNP]</t>
        </is>
      </c>
      <c r="X95" s="133" t="inlineStr">
        <is>
          <t>✓</t>
        </is>
      </c>
      <c r="Y95" s="131" t="inlineStr">
        <is>
          <t>Conforms</t>
        </is>
      </c>
      <c r="Z95" s="132">
        <f>IFERROR(INDEX('iCoA Register'!$B:$B,MATCH("P060312|I",'iCoA Register'!$AA:$AA,0)),"iCoA — at issue")&amp;", (21.05.2026) [PP]"</f>
        <v/>
      </c>
      <c r="AA95" s="133" t="inlineStr">
        <is>
          <t>✓</t>
        </is>
      </c>
      <c r="AB95" s="131" t="inlineStr">
        <is>
          <t>6.68</t>
        </is>
      </c>
      <c r="AC95" s="132" t="inlineStr">
        <is>
          <t>ППК26064, (11.05.2026) [CNP]</t>
        </is>
      </c>
      <c r="AD95" s="133" t="inlineStr">
        <is>
          <t>✓</t>
        </is>
      </c>
      <c r="AE95" s="131" t="inlineStr">
        <is>
          <t>1.9 × 10³</t>
        </is>
      </c>
      <c r="AF95" s="139" t="inlineStr">
        <is>
          <t>2.4 × 10³</t>
        </is>
      </c>
      <c r="AG95" s="139" t="inlineStr">
        <is>
          <t>&lt; 10</t>
        </is>
      </c>
      <c r="AH95" s="139" t="inlineStr">
        <is>
          <t>Absent</t>
        </is>
      </c>
      <c r="AI95" s="139" t="inlineStr">
        <is>
          <t>Absent</t>
        </is>
      </c>
      <c r="AJ95" s="133" t="inlineStr">
        <is>
          <t>✓</t>
        </is>
      </c>
      <c r="AK95" s="131" t="inlineStr">
        <is>
          <t>not reported</t>
        </is>
      </c>
      <c r="AL95" s="139" t="inlineStr">
        <is>
          <t>&lt; 2</t>
        </is>
      </c>
      <c r="AM95" s="139" t="inlineStr">
        <is>
          <t>not reported</t>
        </is>
      </c>
      <c r="AN95" s="133" t="inlineStr">
        <is>
          <t>✓</t>
        </is>
      </c>
      <c r="AO95" s="131" t="inlineStr">
        <is>
          <t>0.0739</t>
        </is>
      </c>
      <c r="AP95" s="139" t="inlineStr">
        <is>
          <t>0.0166</t>
        </is>
      </c>
      <c r="AQ95" s="139" t="inlineStr">
        <is>
          <t>0.0136</t>
        </is>
      </c>
      <c r="AR95" s="139" t="inlineStr">
        <is>
          <t>0.0322</t>
        </is>
      </c>
      <c r="AS95" s="133" t="inlineStr">
        <is>
          <t>✓</t>
        </is>
      </c>
      <c r="AT95" s="131" t="inlineStr">
        <is>
          <t>≤ LOQ (all 28 compounds)</t>
        </is>
      </c>
      <c r="AU95" s="132" t="inlineStr">
        <is>
          <t>2363-2026, (30.04.2026) [IJZ]</t>
        </is>
      </c>
      <c r="AV95" s="140" t="inlineStr">
        <is>
          <t>✓</t>
        </is>
      </c>
    </row>
    <row r="96" ht="13" customHeight="1" s="70">
      <c r="A96" s="141" t="n"/>
      <c r="G96" s="142" t="n"/>
      <c r="I96" s="143" t="n"/>
      <c r="J96" s="142" t="n"/>
      <c r="L96" s="143" t="n"/>
      <c r="M96" s="142" t="n"/>
      <c r="O96" s="143" t="n"/>
      <c r="P96" s="142" t="n"/>
      <c r="R96" s="143" t="n"/>
      <c r="S96" s="142" t="n"/>
      <c r="U96" s="143" t="n"/>
      <c r="V96" s="142" t="n"/>
      <c r="X96" s="143" t="n"/>
      <c r="Y96" s="142" t="n"/>
      <c r="AA96" s="143" t="n"/>
      <c r="AB96" s="142" t="n"/>
      <c r="AD96" s="143" t="n"/>
      <c r="AE96" s="144" t="inlineStr">
        <is>
          <t>309-0553-26, (28.04.2026) [IJZ-MB]</t>
        </is>
      </c>
      <c r="AJ96" s="143" t="n"/>
      <c r="AK96" s="144" t="inlineStr">
        <is>
          <t>2363-2026, (30.04.2026) [IJZ]</t>
        </is>
      </c>
      <c r="AN96" s="143" t="n"/>
      <c r="AO96" s="144" t="inlineStr">
        <is>
          <t>2363-2026, (30.04.2026) [IJZ]</t>
        </is>
      </c>
      <c r="AS96" s="143" t="n"/>
      <c r="AT96" s="142" t="n"/>
      <c r="AV96" s="145" t="n"/>
    </row>
    <row r="97" ht="17.625" customHeight="1" s="70">
      <c r="A97" s="146" t="n"/>
      <c r="B97" s="147" t="n"/>
      <c r="D97" s="148" t="inlineStr">
        <is>
          <t>2 of 2</t>
        </is>
      </c>
      <c r="E97" s="149" t="inlineStr">
        <is>
          <t>release testing + re-analysis 227 + re-test campaign (IJZ-MB)</t>
        </is>
      </c>
      <c r="F97" s="150" t="inlineStr">
        <is>
          <t>no certificate of quality cites this block</t>
        </is>
      </c>
      <c r="G97" s="151" t="n"/>
      <c r="H97" s="147" t="n"/>
      <c r="I97" s="152" t="n"/>
      <c r="J97" s="153" t="inlineStr">
        <is>
          <t>Conforms</t>
        </is>
      </c>
      <c r="K97" s="154">
        <f>IFERROR(INDEX('iCoA Register'!$B:$B,MATCH("P060312|I",'iCoA Register'!$AA:$AA,0)),"iCoA — at issue")&amp;", (21.05.2026) [PP]"</f>
        <v/>
      </c>
      <c r="L97" s="155" t="inlineStr">
        <is>
          <t>✓</t>
        </is>
      </c>
      <c r="M97" s="153" t="inlineStr">
        <is>
          <t>Conforms (ImB spec.)</t>
        </is>
      </c>
      <c r="N97" s="154" t="inlineStr">
        <is>
          <t>227-15-К-26, (11.09.2026) [FHM-K]</t>
        </is>
      </c>
      <c r="O97" s="155" t="inlineStr">
        <is>
          <t>✓</t>
        </is>
      </c>
      <c r="P97" s="156" t="inlineStr">
        <is>
          <t>19.99</t>
        </is>
      </c>
      <c r="Q97" s="154" t="inlineStr">
        <is>
          <t>227-15-К-26, (11.09.2026) [FHM-K]</t>
        </is>
      </c>
      <c r="R97" s="155" t="inlineStr">
        <is>
          <t>✓</t>
        </is>
      </c>
      <c r="S97" s="157" t="inlineStr">
        <is>
          <t>&lt; LOQ</t>
        </is>
      </c>
      <c r="T97" s="154" t="inlineStr">
        <is>
          <t>227-15-К-26, (11.09.2026) [FHM-K]</t>
        </is>
      </c>
      <c r="U97" s="155" t="inlineStr">
        <is>
          <t>✓</t>
        </is>
      </c>
      <c r="V97" s="157" t="inlineStr">
        <is>
          <t>&lt; LOQ</t>
        </is>
      </c>
      <c r="W97" s="154" t="inlineStr">
        <is>
          <t>227-15-К-26, (11.09.2026) [FHM-K]</t>
        </is>
      </c>
      <c r="X97" s="155" t="inlineStr">
        <is>
          <t>✓</t>
        </is>
      </c>
      <c r="Y97" s="151" t="n"/>
      <c r="Z97" s="147" t="n"/>
      <c r="AA97" s="152" t="n"/>
      <c r="AB97" s="151" t="n"/>
      <c r="AC97" s="147" t="n"/>
      <c r="AD97" s="152" t="n"/>
      <c r="AE97" s="161" t="inlineStr">
        <is>
          <t>2.2 × 10³</t>
        </is>
      </c>
      <c r="AF97" s="162" t="inlineStr">
        <is>
          <t>1.7 × 10³</t>
        </is>
      </c>
      <c r="AG97" s="162" t="inlineStr">
        <is>
          <t>&lt; 10</t>
        </is>
      </c>
      <c r="AH97" s="162" t="inlineStr">
        <is>
          <t>Absent</t>
        </is>
      </c>
      <c r="AI97" s="162" t="inlineStr">
        <is>
          <t>Absent</t>
        </is>
      </c>
      <c r="AJ97" s="155" t="inlineStr">
        <is>
          <t>✓</t>
        </is>
      </c>
      <c r="AK97" s="151" t="n"/>
      <c r="AL97" s="147" t="n"/>
      <c r="AM97" s="147" t="n"/>
      <c r="AN97" s="152" t="n"/>
      <c r="AO97" s="151" t="n"/>
      <c r="AP97" s="147" t="n"/>
      <c r="AQ97" s="147" t="n"/>
      <c r="AR97" s="147" t="n"/>
      <c r="AS97" s="152" t="n"/>
      <c r="AT97" s="151" t="n"/>
      <c r="AU97" s="147" t="n"/>
      <c r="AV97" s="163" t="n"/>
    </row>
    <row r="98" ht="13" customHeight="1" s="70">
      <c r="A98" s="164" t="n"/>
      <c r="B98" s="165" t="n"/>
      <c r="C98" s="165" t="n"/>
      <c r="D98" s="165" t="n"/>
      <c r="E98" s="165" t="n"/>
      <c r="F98" s="165" t="n"/>
      <c r="G98" s="166" t="n"/>
      <c r="H98" s="165" t="n"/>
      <c r="I98" s="167" t="n"/>
      <c r="J98" s="166" t="n"/>
      <c r="K98" s="165" t="n"/>
      <c r="L98" s="167" t="n"/>
      <c r="M98" s="166" t="n"/>
      <c r="N98" s="165" t="n"/>
      <c r="O98" s="167" t="n"/>
      <c r="P98" s="166" t="n"/>
      <c r="Q98" s="165" t="n"/>
      <c r="R98" s="167" t="n"/>
      <c r="S98" s="166" t="n"/>
      <c r="T98" s="165" t="n"/>
      <c r="U98" s="167" t="n"/>
      <c r="V98" s="166" t="n"/>
      <c r="W98" s="165" t="n"/>
      <c r="X98" s="167" t="n"/>
      <c r="Y98" s="166" t="n"/>
      <c r="Z98" s="165" t="n"/>
      <c r="AA98" s="167" t="n"/>
      <c r="AB98" s="166" t="n"/>
      <c r="AC98" s="165" t="n"/>
      <c r="AD98" s="167" t="n"/>
      <c r="AE98" s="168" t="inlineStr">
        <is>
          <t>540-1071-26, (31.08.2026) [IJZ-MB]</t>
        </is>
      </c>
      <c r="AF98" s="165" t="n"/>
      <c r="AG98" s="165" t="n"/>
      <c r="AH98" s="165" t="n"/>
      <c r="AI98" s="165" t="n"/>
      <c r="AJ98" s="167" t="n"/>
      <c r="AK98" s="166" t="n"/>
      <c r="AL98" s="165" t="n"/>
      <c r="AM98" s="165" t="n"/>
      <c r="AN98" s="167" t="n"/>
      <c r="AO98" s="166" t="n"/>
      <c r="AP98" s="165" t="n"/>
      <c r="AQ98" s="165" t="n"/>
      <c r="AR98" s="165" t="n"/>
      <c r="AS98" s="167" t="n"/>
      <c r="AT98" s="166" t="n"/>
      <c r="AU98" s="165" t="n"/>
      <c r="AV98" s="169" t="n"/>
    </row>
    <row r="99" ht="21" customHeight="1" s="70">
      <c r="A99" s="125" t="inlineStr">
        <is>
          <t>JD012603</t>
        </is>
      </c>
      <c r="B99" s="126" t="inlineStr">
        <is>
          <t>P060362 / P060412 / P060422</t>
        </is>
      </c>
      <c r="C99" s="170" t="inlineStr">
        <is>
          <t>⚠ 3 NO RESULT
(3 no cert / 0 cert w/o result)
5 testing instances
• 1 document(s) on file, not credited</t>
        </is>
      </c>
      <c r="D99" s="128" t="inlineStr">
        <is>
          <t>1 of 5</t>
        </is>
      </c>
      <c r="E99" s="129" t="inlineStr">
        <is>
          <t>release testing + re-analysis 220</t>
        </is>
      </c>
      <c r="F99" s="130" t="inlineStr">
        <is>
          <t>no certificate of quality cites this block</t>
        </is>
      </c>
      <c r="G99" s="131" t="inlineStr">
        <is>
          <t>Conforms</t>
        </is>
      </c>
      <c r="H99" s="132" t="inlineStr">
        <is>
          <t>ППК26111, (30.06.2026) [CNP]</t>
        </is>
      </c>
      <c r="I99" s="133" t="inlineStr">
        <is>
          <t>✓</t>
        </is>
      </c>
      <c r="J99" s="131" t="inlineStr">
        <is>
          <t>Conforms</t>
        </is>
      </c>
      <c r="K99" s="132" t="inlineStr">
        <is>
          <t>ППК26111, (30.06.2026) [CNP]</t>
        </is>
      </c>
      <c r="L99" s="133" t="inlineStr">
        <is>
          <t>✓</t>
        </is>
      </c>
      <c r="M99" s="131" t="inlineStr">
        <is>
          <t>Conforms (ImB spec.)</t>
        </is>
      </c>
      <c r="N99" s="132" t="inlineStr">
        <is>
          <t>ППК26111, (30.06.2026) [CNP]</t>
        </is>
      </c>
      <c r="O99" s="133" t="inlineStr">
        <is>
          <t>✓</t>
        </is>
      </c>
      <c r="P99" s="137" t="inlineStr">
        <is>
          <t>15.16</t>
        </is>
      </c>
      <c r="Q99" s="132" t="inlineStr">
        <is>
          <t>ППК26111, (30.06.2026) [CNP]</t>
        </is>
      </c>
      <c r="R99" s="133" t="inlineStr">
        <is>
          <t>✓</t>
        </is>
      </c>
      <c r="S99" s="138" t="inlineStr">
        <is>
          <t>&lt; LOQ</t>
        </is>
      </c>
      <c r="T99" s="132" t="inlineStr">
        <is>
          <t>ППК26111, (30.06.2026) [CNP]</t>
        </is>
      </c>
      <c r="U99" s="133" t="inlineStr">
        <is>
          <t>✓</t>
        </is>
      </c>
      <c r="V99" s="138" t="inlineStr">
        <is>
          <t>0.04</t>
        </is>
      </c>
      <c r="W99" s="132" t="inlineStr">
        <is>
          <t>ППК26111, (30.06.2026) [CNP]</t>
        </is>
      </c>
      <c r="X99" s="133" t="inlineStr">
        <is>
          <t>✓</t>
        </is>
      </c>
      <c r="Y99" s="131" t="inlineStr">
        <is>
          <t>Conforms (no value printed)</t>
        </is>
      </c>
      <c r="Z99" s="132" t="inlineStr">
        <is>
          <t>ППК26111, (30.06.2026) [CNP]</t>
        </is>
      </c>
      <c r="AA99" s="133" t="inlineStr">
        <is>
          <t>✓</t>
        </is>
      </c>
      <c r="AB99" s="131" t="inlineStr">
        <is>
          <t>7.04</t>
        </is>
      </c>
      <c r="AC99" s="132" t="inlineStr">
        <is>
          <t>ППК26111, (30.06.2026) [CNP]</t>
        </is>
      </c>
      <c r="AD99" s="133" t="inlineStr">
        <is>
          <t>✓</t>
        </is>
      </c>
      <c r="AE99" s="171" t="inlineStr">
        <is>
          <t>— MISSING —</t>
        </is>
      </c>
      <c r="AF99" s="172" t="inlineStr">
        <is>
          <t>— MISSING —</t>
        </is>
      </c>
      <c r="AG99" s="172" t="inlineStr">
        <is>
          <t>— MISSING —</t>
        </is>
      </c>
      <c r="AH99" s="172" t="inlineStr">
        <is>
          <t>— MISSING —</t>
        </is>
      </c>
      <c r="AI99" s="172" t="inlineStr">
        <is>
          <t>— MISSING —</t>
        </is>
      </c>
      <c r="AJ99" s="173" t="inlineStr">
        <is>
          <t>✗</t>
        </is>
      </c>
      <c r="AK99" s="131" t="inlineStr">
        <is>
          <t>ND</t>
        </is>
      </c>
      <c r="AL99" s="139" t="inlineStr">
        <is>
          <t>ND</t>
        </is>
      </c>
      <c r="AM99" s="139" t="inlineStr">
        <is>
          <t>ND</t>
        </is>
      </c>
      <c r="AN99" s="133" t="inlineStr">
        <is>
          <t>✓</t>
        </is>
      </c>
      <c r="AO99" s="171" t="inlineStr">
        <is>
          <t>— MISSING —</t>
        </is>
      </c>
      <c r="AP99" s="172" t="inlineStr">
        <is>
          <t>— MISSING —</t>
        </is>
      </c>
      <c r="AQ99" s="172" t="inlineStr">
        <is>
          <t>— MISSING —</t>
        </is>
      </c>
      <c r="AR99" s="172" t="inlineStr">
        <is>
          <t>— MISSING —</t>
        </is>
      </c>
      <c r="AS99" s="173" t="inlineStr">
        <is>
          <t>✗</t>
        </is>
      </c>
      <c r="AT99" s="171" t="inlineStr">
        <is>
          <t>— MISSING —</t>
        </is>
      </c>
      <c r="AU99" s="174" t="inlineStr">
        <is>
          <t>— no certificate —</t>
        </is>
      </c>
      <c r="AV99" s="175" t="inlineStr">
        <is>
          <t>✗</t>
        </is>
      </c>
    </row>
    <row r="100" ht="15.375" customHeight="1" s="70">
      <c r="A100" s="141" t="n"/>
      <c r="G100" s="142" t="n"/>
      <c r="I100" s="143" t="n"/>
      <c r="J100" s="142" t="n"/>
      <c r="L100" s="143" t="n"/>
      <c r="M100" s="142" t="n"/>
      <c r="O100" s="143" t="n"/>
      <c r="P100" s="142" t="n"/>
      <c r="R100" s="143" t="n"/>
      <c r="S100" s="142" t="n"/>
      <c r="U100" s="143" t="n"/>
      <c r="V100" s="142" t="n"/>
      <c r="X100" s="143" t="n"/>
      <c r="Y100" s="142" t="n"/>
      <c r="AA100" s="143" t="n"/>
      <c r="AB100" s="142" t="n"/>
      <c r="AD100" s="143" t="n"/>
      <c r="AE100" s="176" t="inlineStr">
        <is>
          <t>— no certificate —</t>
        </is>
      </c>
      <c r="AJ100" s="143" t="n"/>
      <c r="AK100" s="144" t="inlineStr">
        <is>
          <t>220-16-М-26, (11.09.2026) [FHM-M]</t>
        </is>
      </c>
      <c r="AN100" s="143" t="n"/>
      <c r="AO100" s="176" t="inlineStr">
        <is>
          <t>— no certificate —</t>
        </is>
      </c>
      <c r="AS100" s="143" t="n"/>
      <c r="AT100" s="142" t="n"/>
      <c r="AV100" s="145" t="n"/>
    </row>
    <row r="101" ht="17.625" customHeight="1" s="70">
      <c r="A101" s="146" t="n"/>
      <c r="B101" s="147" t="n"/>
      <c r="D101" s="193" t="inlineStr">
        <is>
          <t>2 of 5</t>
        </is>
      </c>
      <c r="E101" s="194" t="inlineStr">
        <is>
          <t>release testing + re-analysis 220</t>
        </is>
      </c>
      <c r="F101" s="195" t="inlineStr">
        <is>
          <t>no certificate of quality cites this block</t>
        </is>
      </c>
      <c r="G101" s="200" t="inlineStr">
        <is>
          <t>Conforms</t>
        </is>
      </c>
      <c r="H101" s="201" t="inlineStr">
        <is>
          <t>ППК26113, (30.06.2026) [CNP] · on file, not credited</t>
        </is>
      </c>
      <c r="I101" s="202" t="inlineStr">
        <is>
          <t>•</t>
        </is>
      </c>
      <c r="J101" s="161" t="inlineStr">
        <is>
          <t>Conforms</t>
        </is>
      </c>
      <c r="K101" s="196" t="inlineStr">
        <is>
          <t>ППК26113, (30.06.2026) [CNP]</t>
        </is>
      </c>
      <c r="L101" s="197" t="inlineStr">
        <is>
          <t>✓</t>
        </is>
      </c>
      <c r="M101" s="161" t="inlineStr">
        <is>
          <t>Conforms (ImB spec.)</t>
        </is>
      </c>
      <c r="N101" s="196" t="inlineStr">
        <is>
          <t>ППК26113, (30.06.2026) [CNP]</t>
        </is>
      </c>
      <c r="O101" s="197" t="inlineStr">
        <is>
          <t>✓</t>
        </is>
      </c>
      <c r="P101" s="198" t="inlineStr">
        <is>
          <t>20.54</t>
        </is>
      </c>
      <c r="Q101" s="196" t="inlineStr">
        <is>
          <t>ППК26113, (30.06.2026) [CNP]</t>
        </is>
      </c>
      <c r="R101" s="197" t="inlineStr">
        <is>
          <t>✓</t>
        </is>
      </c>
      <c r="S101" s="199" t="inlineStr">
        <is>
          <t>0.05</t>
        </is>
      </c>
      <c r="T101" s="196" t="inlineStr">
        <is>
          <t>ППК26113, (30.06.2026) [CNP]</t>
        </is>
      </c>
      <c r="U101" s="197" t="inlineStr">
        <is>
          <t>✓</t>
        </is>
      </c>
      <c r="V101" s="199" t="inlineStr">
        <is>
          <t>0.05</t>
        </is>
      </c>
      <c r="W101" s="196" t="inlineStr">
        <is>
          <t>ППК26113, (30.06.2026) [CNP]</t>
        </is>
      </c>
      <c r="X101" s="197" t="inlineStr">
        <is>
          <t>✓</t>
        </is>
      </c>
      <c r="Y101" s="200" t="inlineStr">
        <is>
          <t>Conforms (no value printed)</t>
        </is>
      </c>
      <c r="Z101" s="201" t="inlineStr">
        <is>
          <t>ППК26113, (30.06.2026) [CNP] · on file, not credited</t>
        </is>
      </c>
      <c r="AA101" s="202" t="inlineStr">
        <is>
          <t>•</t>
        </is>
      </c>
      <c r="AB101" s="161" t="inlineStr">
        <is>
          <t>7.52</t>
        </is>
      </c>
      <c r="AC101" s="196" t="inlineStr">
        <is>
          <t>ППК26113, (30.06.2026) [CNP]</t>
        </is>
      </c>
      <c r="AD101" s="197" t="inlineStr">
        <is>
          <t>✓</t>
        </is>
      </c>
      <c r="AE101" s="151" t="n"/>
      <c r="AF101" s="147" t="n"/>
      <c r="AG101" s="147" t="n"/>
      <c r="AH101" s="147" t="n"/>
      <c r="AI101" s="147" t="n"/>
      <c r="AJ101" s="152" t="n"/>
      <c r="AK101" s="161" t="inlineStr">
        <is>
          <t>ND</t>
        </is>
      </c>
      <c r="AL101" s="162" t="inlineStr">
        <is>
          <t>ND</t>
        </is>
      </c>
      <c r="AM101" s="162" t="inlineStr">
        <is>
          <t>ND</t>
        </is>
      </c>
      <c r="AN101" s="197" t="inlineStr">
        <is>
          <t>✓</t>
        </is>
      </c>
      <c r="AO101" s="151" t="n"/>
      <c r="AP101" s="147" t="n"/>
      <c r="AQ101" s="147" t="n"/>
      <c r="AR101" s="147" t="n"/>
      <c r="AS101" s="152" t="n"/>
      <c r="AT101" s="151" t="n"/>
      <c r="AU101" s="147" t="n"/>
      <c r="AV101" s="163" t="n"/>
    </row>
    <row r="102" ht="15.375" customHeight="1" s="70">
      <c r="A102" s="203" t="n"/>
      <c r="B102" s="204" t="n"/>
      <c r="D102" s="204" t="n"/>
      <c r="E102" s="204" t="n"/>
      <c r="F102" s="204" t="n"/>
      <c r="G102" s="205" t="n"/>
      <c r="H102" s="204" t="n"/>
      <c r="I102" s="206" t="n"/>
      <c r="J102" s="205" t="n"/>
      <c r="K102" s="204" t="n"/>
      <c r="L102" s="206" t="n"/>
      <c r="M102" s="205" t="n"/>
      <c r="N102" s="204" t="n"/>
      <c r="O102" s="206" t="n"/>
      <c r="P102" s="205" t="n"/>
      <c r="Q102" s="204" t="n"/>
      <c r="R102" s="206" t="n"/>
      <c r="S102" s="205" t="n"/>
      <c r="T102" s="204" t="n"/>
      <c r="U102" s="206" t="n"/>
      <c r="V102" s="205" t="n"/>
      <c r="W102" s="204" t="n"/>
      <c r="X102" s="206" t="n"/>
      <c r="Y102" s="205" t="n"/>
      <c r="Z102" s="204" t="n"/>
      <c r="AA102" s="206" t="n"/>
      <c r="AB102" s="205" t="n"/>
      <c r="AC102" s="204" t="n"/>
      <c r="AD102" s="206" t="n"/>
      <c r="AE102" s="205" t="n"/>
      <c r="AF102" s="204" t="n"/>
      <c r="AG102" s="204" t="n"/>
      <c r="AH102" s="204" t="n"/>
      <c r="AI102" s="204" t="n"/>
      <c r="AJ102" s="206" t="n"/>
      <c r="AK102" s="221" t="inlineStr">
        <is>
          <t>220-17-М-26, (11.09.2026) [FHM-M]</t>
        </is>
      </c>
      <c r="AL102" s="204" t="n"/>
      <c r="AM102" s="204" t="n"/>
      <c r="AN102" s="206" t="n"/>
      <c r="AO102" s="205" t="n"/>
      <c r="AP102" s="204" t="n"/>
      <c r="AQ102" s="204" t="n"/>
      <c r="AR102" s="204" t="n"/>
      <c r="AS102" s="206" t="n"/>
      <c r="AT102" s="205" t="n"/>
      <c r="AU102" s="204" t="n"/>
      <c r="AV102" s="207" t="n"/>
    </row>
    <row r="103" ht="17.625" customHeight="1" s="70">
      <c r="A103" s="146" t="n"/>
      <c r="B103" s="147" t="n"/>
      <c r="D103" s="193" t="inlineStr">
        <is>
          <t>3 of 5</t>
        </is>
      </c>
      <c r="E103" s="194" t="inlineStr">
        <is>
          <t>re-analysis 220</t>
        </is>
      </c>
      <c r="F103" s="195" t="inlineStr">
        <is>
          <t>no certificate of quality cites this block</t>
        </is>
      </c>
      <c r="G103" s="151" t="n"/>
      <c r="H103" s="147" t="n"/>
      <c r="I103" s="152" t="n"/>
      <c r="J103" s="151" t="n"/>
      <c r="K103" s="147" t="n"/>
      <c r="L103" s="152" t="n"/>
      <c r="M103" s="161" t="inlineStr">
        <is>
          <t>Conforms (ImB spec.)</t>
        </is>
      </c>
      <c r="N103" s="196" t="inlineStr">
        <is>
          <t>220-16-К-26, (25.08.2026) [FHM-K]</t>
        </is>
      </c>
      <c r="O103" s="197" t="inlineStr">
        <is>
          <t>✓</t>
        </is>
      </c>
      <c r="P103" s="198" t="inlineStr">
        <is>
          <t>21.01</t>
        </is>
      </c>
      <c r="Q103" s="196" t="inlineStr">
        <is>
          <t>220-16-К-26, (25.08.2026) [FHM-K]</t>
        </is>
      </c>
      <c r="R103" s="197" t="inlineStr">
        <is>
          <t>✓</t>
        </is>
      </c>
      <c r="S103" s="199" t="inlineStr">
        <is>
          <t>&lt; LOQ</t>
        </is>
      </c>
      <c r="T103" s="196" t="inlineStr">
        <is>
          <t>220-16-К-26, (25.08.2026) [FHM-K]</t>
        </is>
      </c>
      <c r="U103" s="197" t="inlineStr">
        <is>
          <t>✓</t>
        </is>
      </c>
      <c r="V103" s="199" t="inlineStr">
        <is>
          <t>&lt; LOQ</t>
        </is>
      </c>
      <c r="W103" s="196" t="inlineStr">
        <is>
          <t>220-16-К-26, (25.08.2026) [FHM-K]</t>
        </is>
      </c>
      <c r="X103" s="197" t="inlineStr">
        <is>
          <t>✓</t>
        </is>
      </c>
      <c r="Y103" s="151" t="n"/>
      <c r="Z103" s="147" t="n"/>
      <c r="AA103" s="152" t="n"/>
      <c r="AB103" s="151" t="n"/>
      <c r="AC103" s="147" t="n"/>
      <c r="AD103" s="152" t="n"/>
      <c r="AE103" s="151" t="n"/>
      <c r="AF103" s="147" t="n"/>
      <c r="AG103" s="147" t="n"/>
      <c r="AH103" s="147" t="n"/>
      <c r="AI103" s="147" t="n"/>
      <c r="AJ103" s="152" t="n"/>
      <c r="AK103" s="161" t="inlineStr">
        <is>
          <t>ND</t>
        </is>
      </c>
      <c r="AL103" s="162" t="inlineStr">
        <is>
          <t>ND</t>
        </is>
      </c>
      <c r="AM103" s="162" t="inlineStr">
        <is>
          <t>ND</t>
        </is>
      </c>
      <c r="AN103" s="197" t="inlineStr">
        <is>
          <t>✓</t>
        </is>
      </c>
      <c r="AO103" s="151" t="n"/>
      <c r="AP103" s="147" t="n"/>
      <c r="AQ103" s="147" t="n"/>
      <c r="AR103" s="147" t="n"/>
      <c r="AS103" s="152" t="n"/>
      <c r="AT103" s="151" t="n"/>
      <c r="AU103" s="147" t="n"/>
      <c r="AV103" s="163" t="n"/>
    </row>
    <row r="104" ht="13" customHeight="1" s="70">
      <c r="A104" s="203" t="n"/>
      <c r="B104" s="204" t="n"/>
      <c r="D104" s="204" t="n"/>
      <c r="E104" s="204" t="n"/>
      <c r="F104" s="204" t="n"/>
      <c r="G104" s="205" t="n"/>
      <c r="H104" s="204" t="n"/>
      <c r="I104" s="206" t="n"/>
      <c r="J104" s="205" t="n"/>
      <c r="K104" s="204" t="n"/>
      <c r="L104" s="206" t="n"/>
      <c r="M104" s="205" t="n"/>
      <c r="N104" s="204" t="n"/>
      <c r="O104" s="206" t="n"/>
      <c r="P104" s="205" t="n"/>
      <c r="Q104" s="204" t="n"/>
      <c r="R104" s="206" t="n"/>
      <c r="S104" s="205" t="n"/>
      <c r="T104" s="204" t="n"/>
      <c r="U104" s="206" t="n"/>
      <c r="V104" s="205" t="n"/>
      <c r="W104" s="204" t="n"/>
      <c r="X104" s="206" t="n"/>
      <c r="Y104" s="205" t="n"/>
      <c r="Z104" s="204" t="n"/>
      <c r="AA104" s="206" t="n"/>
      <c r="AB104" s="205" t="n"/>
      <c r="AC104" s="204" t="n"/>
      <c r="AD104" s="206" t="n"/>
      <c r="AE104" s="205" t="n"/>
      <c r="AF104" s="204" t="n"/>
      <c r="AG104" s="204" t="n"/>
      <c r="AH104" s="204" t="n"/>
      <c r="AI104" s="204" t="n"/>
      <c r="AJ104" s="206" t="n"/>
      <c r="AK104" s="221" t="inlineStr">
        <is>
          <t>220-18-М-26, (11.09.2026) [FHM-M]</t>
        </is>
      </c>
      <c r="AL104" s="204" t="n"/>
      <c r="AM104" s="204" t="n"/>
      <c r="AN104" s="206" t="n"/>
      <c r="AO104" s="205" t="n"/>
      <c r="AP104" s="204" t="n"/>
      <c r="AQ104" s="204" t="n"/>
      <c r="AR104" s="204" t="n"/>
      <c r="AS104" s="206" t="n"/>
      <c r="AT104" s="205" t="n"/>
      <c r="AU104" s="204" t="n"/>
      <c r="AV104" s="207" t="n"/>
    </row>
    <row r="105" ht="17.625" customHeight="1" s="70">
      <c r="A105" s="146" t="n"/>
      <c r="B105" s="147" t="n"/>
      <c r="D105" s="193" t="inlineStr">
        <is>
          <t>4 of 5</t>
        </is>
      </c>
      <c r="E105" s="194" t="inlineStr">
        <is>
          <t>re-analysis 220</t>
        </is>
      </c>
      <c r="F105" s="195" t="inlineStr">
        <is>
          <t>no certificate of quality cites this block</t>
        </is>
      </c>
      <c r="G105" s="151" t="n"/>
      <c r="H105" s="147" t="n"/>
      <c r="I105" s="152" t="n"/>
      <c r="J105" s="151" t="n"/>
      <c r="K105" s="147" t="n"/>
      <c r="L105" s="152" t="n"/>
      <c r="M105" s="161" t="inlineStr">
        <is>
          <t>Conforms (ImB spec.)</t>
        </is>
      </c>
      <c r="N105" s="196" t="inlineStr">
        <is>
          <t>220-17-К-26, (26.08.2026) [FHM-K]</t>
        </is>
      </c>
      <c r="O105" s="197" t="inlineStr">
        <is>
          <t>✓</t>
        </is>
      </c>
      <c r="P105" s="198" t="inlineStr">
        <is>
          <t>14.43</t>
        </is>
      </c>
      <c r="Q105" s="196" t="inlineStr">
        <is>
          <t>220-17-К-26, (26.08.2026) [FHM-K]</t>
        </is>
      </c>
      <c r="R105" s="197" t="inlineStr">
        <is>
          <t>✓</t>
        </is>
      </c>
      <c r="S105" s="199" t="inlineStr">
        <is>
          <t>&lt; LOQ</t>
        </is>
      </c>
      <c r="T105" s="196" t="inlineStr">
        <is>
          <t>220-17-К-26, (26.08.2026) [FHM-K]</t>
        </is>
      </c>
      <c r="U105" s="197" t="inlineStr">
        <is>
          <t>✓</t>
        </is>
      </c>
      <c r="V105" s="199" t="inlineStr">
        <is>
          <t>&lt; LOQ</t>
        </is>
      </c>
      <c r="W105" s="196" t="inlineStr">
        <is>
          <t>220-17-К-26, (26.08.2026) [FHM-K]</t>
        </is>
      </c>
      <c r="X105" s="197" t="inlineStr">
        <is>
          <t>✓</t>
        </is>
      </c>
      <c r="Y105" s="151" t="n"/>
      <c r="Z105" s="147" t="n"/>
      <c r="AA105" s="152" t="n"/>
      <c r="AB105" s="151" t="n"/>
      <c r="AC105" s="147" t="n"/>
      <c r="AD105" s="152" t="n"/>
      <c r="AE105" s="151" t="n"/>
      <c r="AF105" s="147" t="n"/>
      <c r="AG105" s="147" t="n"/>
      <c r="AH105" s="147" t="n"/>
      <c r="AI105" s="147" t="n"/>
      <c r="AJ105" s="152" t="n"/>
      <c r="AK105" s="151" t="n"/>
      <c r="AL105" s="147" t="n"/>
      <c r="AM105" s="147" t="n"/>
      <c r="AN105" s="152" t="n"/>
      <c r="AO105" s="151" t="n"/>
      <c r="AP105" s="147" t="n"/>
      <c r="AQ105" s="147" t="n"/>
      <c r="AR105" s="147" t="n"/>
      <c r="AS105" s="152" t="n"/>
      <c r="AT105" s="151" t="n"/>
      <c r="AU105" s="147" t="n"/>
      <c r="AV105" s="163" t="n"/>
    </row>
    <row r="106" ht="13" customHeight="1" s="70">
      <c r="A106" s="203" t="n"/>
      <c r="B106" s="204" t="n"/>
      <c r="D106" s="204" t="n"/>
      <c r="E106" s="204" t="n"/>
      <c r="F106" s="204" t="n"/>
      <c r="G106" s="205" t="n"/>
      <c r="H106" s="204" t="n"/>
      <c r="I106" s="206" t="n"/>
      <c r="J106" s="205" t="n"/>
      <c r="K106" s="204" t="n"/>
      <c r="L106" s="206" t="n"/>
      <c r="M106" s="205" t="n"/>
      <c r="N106" s="204" t="n"/>
      <c r="O106" s="206" t="n"/>
      <c r="P106" s="205" t="n"/>
      <c r="Q106" s="204" t="n"/>
      <c r="R106" s="206" t="n"/>
      <c r="S106" s="205" t="n"/>
      <c r="T106" s="204" t="n"/>
      <c r="U106" s="206" t="n"/>
      <c r="V106" s="205" t="n"/>
      <c r="W106" s="204" t="n"/>
      <c r="X106" s="206" t="n"/>
      <c r="Y106" s="205" t="n"/>
      <c r="Z106" s="204" t="n"/>
      <c r="AA106" s="206" t="n"/>
      <c r="AB106" s="205" t="n"/>
      <c r="AC106" s="204" t="n"/>
      <c r="AD106" s="206" t="n"/>
      <c r="AE106" s="205" t="n"/>
      <c r="AF106" s="204" t="n"/>
      <c r="AG106" s="204" t="n"/>
      <c r="AH106" s="204" t="n"/>
      <c r="AI106" s="204" t="n"/>
      <c r="AJ106" s="206" t="n"/>
      <c r="AK106" s="205" t="n"/>
      <c r="AL106" s="204" t="n"/>
      <c r="AM106" s="204" t="n"/>
      <c r="AN106" s="206" t="n"/>
      <c r="AO106" s="205" t="n"/>
      <c r="AP106" s="204" t="n"/>
      <c r="AQ106" s="204" t="n"/>
      <c r="AR106" s="204" t="n"/>
      <c r="AS106" s="206" t="n"/>
      <c r="AT106" s="205" t="n"/>
      <c r="AU106" s="204" t="n"/>
      <c r="AV106" s="207" t="n"/>
    </row>
    <row r="107" ht="17.625" customHeight="1" s="70">
      <c r="A107" s="146" t="n"/>
      <c r="B107" s="147" t="n"/>
      <c r="D107" s="148" t="inlineStr">
        <is>
          <t>5 of 5</t>
        </is>
      </c>
      <c r="E107" s="149" t="inlineStr">
        <is>
          <t>re-analysis 220</t>
        </is>
      </c>
      <c r="F107" s="150" t="inlineStr">
        <is>
          <t>no certificate of quality cites this block</t>
        </is>
      </c>
      <c r="G107" s="151" t="n"/>
      <c r="H107" s="147" t="n"/>
      <c r="I107" s="152" t="n"/>
      <c r="J107" s="151" t="n"/>
      <c r="K107" s="147" t="n"/>
      <c r="L107" s="152" t="n"/>
      <c r="M107" s="153" t="inlineStr">
        <is>
          <t>Conforms (ImB spec.)</t>
        </is>
      </c>
      <c r="N107" s="154" t="inlineStr">
        <is>
          <t>220-18-К-26, (26.08.2026) [FHM-K]</t>
        </is>
      </c>
      <c r="O107" s="155" t="inlineStr">
        <is>
          <t>✓</t>
        </is>
      </c>
      <c r="P107" s="156" t="inlineStr">
        <is>
          <t>17.09</t>
        </is>
      </c>
      <c r="Q107" s="154" t="inlineStr">
        <is>
          <t>220-18-К-26, (26.08.2026) [FHM-K]</t>
        </is>
      </c>
      <c r="R107" s="155" t="inlineStr">
        <is>
          <t>✓</t>
        </is>
      </c>
      <c r="S107" s="157" t="inlineStr">
        <is>
          <t>&lt; LOQ</t>
        </is>
      </c>
      <c r="T107" s="154" t="inlineStr">
        <is>
          <t>220-18-К-26, (26.08.2026) [FHM-K]</t>
        </is>
      </c>
      <c r="U107" s="155" t="inlineStr">
        <is>
          <t>✓</t>
        </is>
      </c>
      <c r="V107" s="157" t="inlineStr">
        <is>
          <t>&lt; LOQ</t>
        </is>
      </c>
      <c r="W107" s="154" t="inlineStr">
        <is>
          <t>220-18-К-26, (26.08.2026) [FHM-K]</t>
        </is>
      </c>
      <c r="X107" s="155" t="inlineStr">
        <is>
          <t>✓</t>
        </is>
      </c>
      <c r="Y107" s="151" t="n"/>
      <c r="Z107" s="147" t="n"/>
      <c r="AA107" s="152" t="n"/>
      <c r="AB107" s="151" t="n"/>
      <c r="AC107" s="147" t="n"/>
      <c r="AD107" s="152" t="n"/>
      <c r="AE107" s="151" t="n"/>
      <c r="AF107" s="147" t="n"/>
      <c r="AG107" s="147" t="n"/>
      <c r="AH107" s="147" t="n"/>
      <c r="AI107" s="147" t="n"/>
      <c r="AJ107" s="152" t="n"/>
      <c r="AK107" s="151" t="n"/>
      <c r="AL107" s="147" t="n"/>
      <c r="AM107" s="147" t="n"/>
      <c r="AN107" s="152" t="n"/>
      <c r="AO107" s="151" t="n"/>
      <c r="AP107" s="147" t="n"/>
      <c r="AQ107" s="147" t="n"/>
      <c r="AR107" s="147" t="n"/>
      <c r="AS107" s="152" t="n"/>
      <c r="AT107" s="151" t="n"/>
      <c r="AU107" s="147" t="n"/>
      <c r="AV107" s="163" t="n"/>
    </row>
    <row r="108" ht="13" customHeight="1" s="70">
      <c r="A108" s="164" t="n"/>
      <c r="B108" s="165" t="n"/>
      <c r="C108" s="165" t="n"/>
      <c r="D108" s="165" t="n"/>
      <c r="E108" s="165" t="n"/>
      <c r="F108" s="165" t="n"/>
      <c r="G108" s="166" t="n"/>
      <c r="H108" s="165" t="n"/>
      <c r="I108" s="167" t="n"/>
      <c r="J108" s="166" t="n"/>
      <c r="K108" s="165" t="n"/>
      <c r="L108" s="167" t="n"/>
      <c r="M108" s="166" t="n"/>
      <c r="N108" s="165" t="n"/>
      <c r="O108" s="167" t="n"/>
      <c r="P108" s="166" t="n"/>
      <c r="Q108" s="165" t="n"/>
      <c r="R108" s="167" t="n"/>
      <c r="S108" s="166" t="n"/>
      <c r="T108" s="165" t="n"/>
      <c r="U108" s="167" t="n"/>
      <c r="V108" s="166" t="n"/>
      <c r="W108" s="165" t="n"/>
      <c r="X108" s="167" t="n"/>
      <c r="Y108" s="166" t="n"/>
      <c r="Z108" s="165" t="n"/>
      <c r="AA108" s="167" t="n"/>
      <c r="AB108" s="166" t="n"/>
      <c r="AC108" s="165" t="n"/>
      <c r="AD108" s="167" t="n"/>
      <c r="AE108" s="166" t="n"/>
      <c r="AF108" s="165" t="n"/>
      <c r="AG108" s="165" t="n"/>
      <c r="AH108" s="165" t="n"/>
      <c r="AI108" s="165" t="n"/>
      <c r="AJ108" s="167" t="n"/>
      <c r="AK108" s="166" t="n"/>
      <c r="AL108" s="165" t="n"/>
      <c r="AM108" s="165" t="n"/>
      <c r="AN108" s="167" t="n"/>
      <c r="AO108" s="166" t="n"/>
      <c r="AP108" s="165" t="n"/>
      <c r="AQ108" s="165" t="n"/>
      <c r="AR108" s="165" t="n"/>
      <c r="AS108" s="167" t="n"/>
      <c r="AT108" s="166" t="n"/>
      <c r="AU108" s="165" t="n"/>
      <c r="AV108" s="169" t="n"/>
    </row>
    <row r="109" ht="21" customHeight="1" s="70">
      <c r="A109" s="125" t="inlineStr">
        <is>
          <t>JD022601</t>
        </is>
      </c>
      <c r="B109" s="126" t="inlineStr">
        <is>
          <t>P060482</t>
        </is>
      </c>
      <c r="C109" s="177" t="inlineStr">
        <is>
          <t>✗ 4 NO RESULT
(4 no cert / 0 cert w/o result)</t>
        </is>
      </c>
      <c r="D109" s="126" t="inlineStr">
        <is>
          <t>1 of 1</t>
        </is>
      </c>
      <c r="E109" s="178" t="inlineStr">
        <is>
          <t>release testing</t>
        </is>
      </c>
      <c r="F109" s="179" t="inlineStr">
        <is>
          <t>iCoA-PP_26-121
CoQ-PP_26-083 · initial release</t>
        </is>
      </c>
      <c r="G109" s="180" t="inlineStr">
        <is>
          <t>Conforms</t>
        </is>
      </c>
      <c r="H109" s="181" t="inlineStr">
        <is>
          <t>ППК26115, (30.06.2026) [CNP]</t>
        </is>
      </c>
      <c r="I109" s="182" t="inlineStr">
        <is>
          <t>✓</t>
        </is>
      </c>
      <c r="J109" s="180" t="inlineStr">
        <is>
          <t>Conforms</t>
        </is>
      </c>
      <c r="K109" s="181" t="inlineStr">
        <is>
          <t>ППК26115, (30.06.2026) [CNP]</t>
        </is>
      </c>
      <c r="L109" s="182" t="inlineStr">
        <is>
          <t>✓</t>
        </is>
      </c>
      <c r="M109" s="180" t="inlineStr">
        <is>
          <t>Conforms (ImB spec.)</t>
        </is>
      </c>
      <c r="N109" s="181" t="inlineStr">
        <is>
          <t>ППК26115, (30.06.2026) [CNP]</t>
        </is>
      </c>
      <c r="O109" s="182" t="inlineStr">
        <is>
          <t>✓</t>
        </is>
      </c>
      <c r="P109" s="183" t="inlineStr">
        <is>
          <t>18.58</t>
        </is>
      </c>
      <c r="Q109" s="181" t="inlineStr">
        <is>
          <t>ППК26115, (30.06.2026) [CNP]</t>
        </is>
      </c>
      <c r="R109" s="182" t="inlineStr">
        <is>
          <t>✓</t>
        </is>
      </c>
      <c r="S109" s="184" t="inlineStr">
        <is>
          <t>&lt; LOQ</t>
        </is>
      </c>
      <c r="T109" s="181" t="inlineStr">
        <is>
          <t>ППК26115, (30.06.2026) [CNP]</t>
        </is>
      </c>
      <c r="U109" s="182" t="inlineStr">
        <is>
          <t>✓</t>
        </is>
      </c>
      <c r="V109" s="184" t="inlineStr">
        <is>
          <t>0.05</t>
        </is>
      </c>
      <c r="W109" s="181" t="inlineStr">
        <is>
          <t>ППК26115, (30.06.2026) [CNP]</t>
        </is>
      </c>
      <c r="X109" s="182" t="inlineStr">
        <is>
          <t>✓</t>
        </is>
      </c>
      <c r="Y109" s="180" t="inlineStr">
        <is>
          <t>Conforms (no value printed)</t>
        </is>
      </c>
      <c r="Z109" s="181" t="inlineStr">
        <is>
          <t>ППК26115, (30.06.2026) [CNP]</t>
        </is>
      </c>
      <c r="AA109" s="182" t="inlineStr">
        <is>
          <t>✓</t>
        </is>
      </c>
      <c r="AB109" s="180" t="inlineStr">
        <is>
          <t>7.73</t>
        </is>
      </c>
      <c r="AC109" s="181" t="inlineStr">
        <is>
          <t>ППК26115, (30.06.2026) [CNP]</t>
        </is>
      </c>
      <c r="AD109" s="182" t="inlineStr">
        <is>
          <t>✓</t>
        </is>
      </c>
      <c r="AE109" s="171" t="inlineStr">
        <is>
          <t>— MISSING —</t>
        </is>
      </c>
      <c r="AF109" s="172" t="inlineStr">
        <is>
          <t>— MISSING —</t>
        </is>
      </c>
      <c r="AG109" s="172" t="inlineStr">
        <is>
          <t>— MISSING —</t>
        </is>
      </c>
      <c r="AH109" s="172" t="inlineStr">
        <is>
          <t>— MISSING —</t>
        </is>
      </c>
      <c r="AI109" s="172" t="inlineStr">
        <is>
          <t>— MISSING —</t>
        </is>
      </c>
      <c r="AJ109" s="186" t="inlineStr">
        <is>
          <t>✗</t>
        </is>
      </c>
      <c r="AK109" s="171" t="inlineStr">
        <is>
          <t>— MISSING —</t>
        </is>
      </c>
      <c r="AL109" s="172" t="inlineStr">
        <is>
          <t>— MISSING —</t>
        </is>
      </c>
      <c r="AM109" s="172" t="inlineStr">
        <is>
          <t>— MISSING —</t>
        </is>
      </c>
      <c r="AN109" s="186" t="inlineStr">
        <is>
          <t>✗</t>
        </is>
      </c>
      <c r="AO109" s="171" t="inlineStr">
        <is>
          <t>— MISSING —</t>
        </is>
      </c>
      <c r="AP109" s="172" t="inlineStr">
        <is>
          <t>— MISSING —</t>
        </is>
      </c>
      <c r="AQ109" s="172" t="inlineStr">
        <is>
          <t>— MISSING —</t>
        </is>
      </c>
      <c r="AR109" s="172" t="inlineStr">
        <is>
          <t>— MISSING —</t>
        </is>
      </c>
      <c r="AS109" s="186" t="inlineStr">
        <is>
          <t>✗</t>
        </is>
      </c>
      <c r="AT109" s="187" t="inlineStr">
        <is>
          <t>— MISSING —</t>
        </is>
      </c>
      <c r="AU109" s="188" t="inlineStr">
        <is>
          <t>— no certificate —</t>
        </is>
      </c>
      <c r="AV109" s="189" t="inlineStr">
        <is>
          <t>✗</t>
        </is>
      </c>
    </row>
    <row r="110" ht="21" customHeight="1" s="70">
      <c r="A110" s="164" t="n"/>
      <c r="B110" s="165" t="n"/>
      <c r="C110" s="165" t="n"/>
      <c r="D110" s="165" t="n"/>
      <c r="E110" s="165" t="n"/>
      <c r="F110" s="165" t="n"/>
      <c r="G110" s="166" t="n"/>
      <c r="H110" s="165" t="n"/>
      <c r="I110" s="167" t="n"/>
      <c r="J110" s="166" t="n"/>
      <c r="K110" s="165" t="n"/>
      <c r="L110" s="167" t="n"/>
      <c r="M110" s="166" t="n"/>
      <c r="N110" s="165" t="n"/>
      <c r="O110" s="167" t="n"/>
      <c r="P110" s="166" t="n"/>
      <c r="Q110" s="165" t="n"/>
      <c r="R110" s="167" t="n"/>
      <c r="S110" s="166" t="n"/>
      <c r="T110" s="165" t="n"/>
      <c r="U110" s="167" t="n"/>
      <c r="V110" s="166" t="n"/>
      <c r="W110" s="165" t="n"/>
      <c r="X110" s="167" t="n"/>
      <c r="Y110" s="166" t="n"/>
      <c r="Z110" s="165" t="n"/>
      <c r="AA110" s="167" t="n"/>
      <c r="AB110" s="166" t="n"/>
      <c r="AC110" s="165" t="n"/>
      <c r="AD110" s="167" t="n"/>
      <c r="AE110" s="190" t="inlineStr">
        <is>
          <t>— no certificate —</t>
        </is>
      </c>
      <c r="AF110" s="165" t="n"/>
      <c r="AG110" s="165" t="n"/>
      <c r="AH110" s="165" t="n"/>
      <c r="AI110" s="165" t="n"/>
      <c r="AJ110" s="167" t="n"/>
      <c r="AK110" s="190" t="inlineStr">
        <is>
          <t>— no certificate —</t>
        </is>
      </c>
      <c r="AL110" s="165" t="n"/>
      <c r="AM110" s="165" t="n"/>
      <c r="AN110" s="167" t="n"/>
      <c r="AO110" s="190" t="inlineStr">
        <is>
          <t>— no certificate —</t>
        </is>
      </c>
      <c r="AP110" s="165" t="n"/>
      <c r="AQ110" s="165" t="n"/>
      <c r="AR110" s="165" t="n"/>
      <c r="AS110" s="167" t="n"/>
      <c r="AT110" s="166" t="n"/>
      <c r="AU110" s="165" t="n"/>
      <c r="AV110" s="169" t="n"/>
    </row>
    <row r="111" ht="21" customHeight="1" s="70">
      <c r="A111" s="125" t="inlineStr">
        <is>
          <t>JD112501</t>
        </is>
      </c>
      <c r="B111" s="126" t="inlineStr">
        <is>
          <t>P060212</t>
        </is>
      </c>
      <c r="C111" s="127" t="inlineStr">
        <is>
          <t>✓ COMPLETE
3 testing instances
• 5 document(s) on file, not credited</t>
        </is>
      </c>
      <c r="D111" s="128" t="inlineStr">
        <is>
          <t>1 of 3</t>
        </is>
      </c>
      <c r="E111" s="129" t="inlineStr">
        <is>
          <t>release testing + experimental — starred sample</t>
        </is>
      </c>
      <c r="F111" s="130" t="inlineStr">
        <is>
          <t>iCoA-PP_26-060
CoQ-PP_26-057 · initial release</t>
        </is>
      </c>
      <c r="G111" s="131" t="inlineStr">
        <is>
          <t>Conforms</t>
        </is>
      </c>
      <c r="H111" s="132">
        <f>IFERROR(INDEX('iCoA Register'!$B:$B,MATCH("P060212|I",'iCoA Register'!$AA:$AA,0)),"iCoA — at issue")&amp;", (21.04.2026) [PP]"</f>
        <v/>
      </c>
      <c r="I111" s="133" t="inlineStr">
        <is>
          <t>✓</t>
        </is>
      </c>
      <c r="J111" s="131" t="inlineStr">
        <is>
          <t>Conforms</t>
        </is>
      </c>
      <c r="K111" s="132">
        <f>IFERROR(INDEX('iCoA Register'!$B:$B,MATCH("P060212|I",'iCoA Register'!$AA:$AA,0)),"iCoA — at issue")&amp;", (21.04.2026) [PP]"</f>
        <v/>
      </c>
      <c r="L111" s="133" t="inlineStr">
        <is>
          <t>✓</t>
        </is>
      </c>
      <c r="M111" s="131" t="inlineStr">
        <is>
          <t>Conforms (ImB spec.)</t>
        </is>
      </c>
      <c r="N111" s="132" t="inlineStr">
        <is>
          <t>ППК26063, (11.05.2026) [CNP]</t>
        </is>
      </c>
      <c r="O111" s="133" t="inlineStr">
        <is>
          <t>✓</t>
        </is>
      </c>
      <c r="P111" s="137" t="inlineStr">
        <is>
          <t>19.64</t>
        </is>
      </c>
      <c r="Q111" s="132" t="inlineStr">
        <is>
          <t>ППК26063, (11.05.2026) [CNP]</t>
        </is>
      </c>
      <c r="R111" s="133" t="inlineStr">
        <is>
          <t>✓</t>
        </is>
      </c>
      <c r="S111" s="138" t="inlineStr">
        <is>
          <t>0.06</t>
        </is>
      </c>
      <c r="T111" s="132" t="inlineStr">
        <is>
          <t>ППК26063, (11.05.2026) [CNP]</t>
        </is>
      </c>
      <c r="U111" s="133" t="inlineStr">
        <is>
          <t>✓</t>
        </is>
      </c>
      <c r="V111" s="138" t="inlineStr">
        <is>
          <t>&lt; LOQ ᴰ</t>
        </is>
      </c>
      <c r="W111" s="132" t="inlineStr">
        <is>
          <t>ППК26063, (11.05.2026) [CNP]</t>
        </is>
      </c>
      <c r="X111" s="133" t="inlineStr">
        <is>
          <t>✓</t>
        </is>
      </c>
      <c r="Y111" s="131" t="inlineStr">
        <is>
          <t>Conforms</t>
        </is>
      </c>
      <c r="Z111" s="132">
        <f>IFERROR(INDEX('iCoA Register'!$B:$B,MATCH("P060212|I",'iCoA Register'!$AA:$AA,0)),"iCoA — at issue")&amp;", (21.04.2026) [PP]"</f>
        <v/>
      </c>
      <c r="AA111" s="133" t="inlineStr">
        <is>
          <t>✓</t>
        </is>
      </c>
      <c r="AB111" s="131" t="inlineStr">
        <is>
          <t>6.69</t>
        </is>
      </c>
      <c r="AC111" s="132" t="inlineStr">
        <is>
          <t>ППК26063, (11.05.2026) [CNP]</t>
        </is>
      </c>
      <c r="AD111" s="133" t="inlineStr">
        <is>
          <t>✓</t>
        </is>
      </c>
      <c r="AE111" s="134" t="inlineStr">
        <is>
          <t>1 × 10⁴</t>
        </is>
      </c>
      <c r="AF111" s="208" t="inlineStr">
        <is>
          <t>6.7 × 10³</t>
        </is>
      </c>
      <c r="AG111" s="208" t="inlineStr">
        <is>
          <t>&lt; 10³ and &gt; 10²</t>
        </is>
      </c>
      <c r="AH111" s="208" t="inlineStr">
        <is>
          <t>Absent</t>
        </is>
      </c>
      <c r="AI111" s="208" t="inlineStr">
        <is>
          <t>Absent</t>
        </is>
      </c>
      <c r="AJ111" s="136" t="inlineStr">
        <is>
          <t>•</t>
        </is>
      </c>
      <c r="AK111" s="131" t="inlineStr">
        <is>
          <t>not reported</t>
        </is>
      </c>
      <c r="AL111" s="139" t="inlineStr">
        <is>
          <t>&lt; 2</t>
        </is>
      </c>
      <c r="AM111" s="139" t="inlineStr">
        <is>
          <t>not reported</t>
        </is>
      </c>
      <c r="AN111" s="133" t="inlineStr">
        <is>
          <t>✓</t>
        </is>
      </c>
      <c r="AO111" s="131" t="inlineStr">
        <is>
          <t>0.022</t>
        </is>
      </c>
      <c r="AP111" s="139" t="inlineStr">
        <is>
          <t>0.0149</t>
        </is>
      </c>
      <c r="AQ111" s="139" t="inlineStr">
        <is>
          <t>0.02</t>
        </is>
      </c>
      <c r="AR111" s="139" t="inlineStr">
        <is>
          <t>0.0166</t>
        </is>
      </c>
      <c r="AS111" s="133" t="inlineStr">
        <is>
          <t>✓</t>
        </is>
      </c>
      <c r="AT111" s="131" t="inlineStr">
        <is>
          <t>≤ LOQ (all 26 compounds)</t>
        </is>
      </c>
      <c r="AU111" s="132" t="inlineStr">
        <is>
          <t>2361-2026, (30.04.2026) [IJZ]</t>
        </is>
      </c>
      <c r="AV111" s="140" t="inlineStr">
        <is>
          <t>✓</t>
        </is>
      </c>
    </row>
    <row r="112" ht="21" customHeight="1" s="70">
      <c r="A112" s="141" t="n"/>
      <c r="G112" s="142" t="n"/>
      <c r="I112" s="143" t="n"/>
      <c r="J112" s="142" t="n"/>
      <c r="L112" s="143" t="n"/>
      <c r="M112" s="142" t="n"/>
      <c r="O112" s="143" t="n"/>
      <c r="P112" s="142" t="n"/>
      <c r="R112" s="143" t="n"/>
      <c r="S112" s="142" t="n"/>
      <c r="U112" s="143" t="n"/>
      <c r="V112" s="142" t="n"/>
      <c r="X112" s="143" t="n"/>
      <c r="Y112" s="142" t="n"/>
      <c r="AA112" s="143" t="n"/>
      <c r="AB112" s="142" t="n"/>
      <c r="AD112" s="143" t="n"/>
      <c r="AE112" s="210" t="inlineStr">
        <is>
          <t>306-0550-26, (28.04.2026) [IJZ-MB] · experimental — starred sample, not certifying</t>
        </is>
      </c>
      <c r="AJ112" s="143" t="n"/>
      <c r="AK112" s="144" t="inlineStr">
        <is>
          <t>2361-2026, (30.04.2026) [IJZ]</t>
        </is>
      </c>
      <c r="AN112" s="143" t="n"/>
      <c r="AO112" s="144" t="inlineStr">
        <is>
          <t>2361-2026, (30.04.2026) [IJZ]</t>
        </is>
      </c>
      <c r="AS112" s="143" t="n"/>
      <c r="AT112" s="142" t="n"/>
      <c r="AV112" s="145" t="n"/>
    </row>
    <row r="113" ht="21" customHeight="1" s="70">
      <c r="A113" s="146" t="n"/>
      <c r="B113" s="147" t="n"/>
      <c r="D113" s="193" t="inlineStr">
        <is>
          <t>2 of 3</t>
        </is>
      </c>
      <c r="E113" s="194" t="inlineStr">
        <is>
          <t>release testing + experimental — starred sample</t>
        </is>
      </c>
      <c r="F113" s="195" t="inlineStr">
        <is>
          <t>iCoA-PP_26-060
CoQ-PP_26-057 · initial release</t>
        </is>
      </c>
      <c r="G113" s="151" t="n"/>
      <c r="H113" s="147" t="n"/>
      <c r="I113" s="152" t="n"/>
      <c r="J113" s="200" t="inlineStr">
        <is>
          <t>not on this certificate</t>
        </is>
      </c>
      <c r="K113" s="201" t="inlineStr">
        <is>
          <t>ППК26063, (11.05.2026) [CNP] · on file, not credited</t>
        </is>
      </c>
      <c r="L113" s="202" t="inlineStr">
        <is>
          <t>•</t>
        </is>
      </c>
      <c r="M113" s="200" t="inlineStr">
        <is>
          <t>Conforms (ImB spec.)</t>
        </is>
      </c>
      <c r="N113" s="201" t="inlineStr">
        <is>
          <t>ППК26065, (11.05.2026) [CNP] · experimental — starred sample, not certifying</t>
        </is>
      </c>
      <c r="O113" s="202" t="inlineStr">
        <is>
          <t>•</t>
        </is>
      </c>
      <c r="P113" s="214" t="inlineStr">
        <is>
          <t>13.93</t>
        </is>
      </c>
      <c r="Q113" s="201" t="inlineStr">
        <is>
          <t>ППК26065, (11.05.2026) [CNP] · experimental — starred sample, not certifying</t>
        </is>
      </c>
      <c r="R113" s="202" t="inlineStr">
        <is>
          <t>•</t>
        </is>
      </c>
      <c r="S113" s="215" t="inlineStr">
        <is>
          <t>0.04</t>
        </is>
      </c>
      <c r="T113" s="201" t="inlineStr">
        <is>
          <t>ППК26065, (11.05.2026) [CNP] · experimental — starred sample, not certifying</t>
        </is>
      </c>
      <c r="U113" s="202" t="inlineStr">
        <is>
          <t>•</t>
        </is>
      </c>
      <c r="V113" s="215" t="inlineStr">
        <is>
          <t>&lt; LOQ ᴰ</t>
        </is>
      </c>
      <c r="W113" s="201" t="inlineStr">
        <is>
          <t>ППК26065, (11.05.2026) [CNP] · experimental — starred sample, not certifying</t>
        </is>
      </c>
      <c r="X113" s="202" t="inlineStr">
        <is>
          <t>•</t>
        </is>
      </c>
      <c r="Y113" s="151" t="n"/>
      <c r="Z113" s="147" t="n"/>
      <c r="AA113" s="152" t="n"/>
      <c r="AB113" s="200" t="inlineStr">
        <is>
          <t>6.38</t>
        </is>
      </c>
      <c r="AC113" s="201" t="inlineStr">
        <is>
          <t>ППК26065, (11.05.2026) [CNP] · experimental — starred sample, not certifying</t>
        </is>
      </c>
      <c r="AD113" s="202" t="inlineStr">
        <is>
          <t>•</t>
        </is>
      </c>
      <c r="AE113" s="161" t="inlineStr">
        <is>
          <t>2.6 × 10³</t>
        </is>
      </c>
      <c r="AF113" s="162" t="inlineStr">
        <is>
          <t>3.3 × 10³</t>
        </is>
      </c>
      <c r="AG113" s="162" t="inlineStr">
        <is>
          <t>&lt; 10³ and &gt; 10² ᴿ</t>
        </is>
      </c>
      <c r="AH113" s="162" t="inlineStr">
        <is>
          <t>Absent</t>
        </is>
      </c>
      <c r="AI113" s="162" t="inlineStr">
        <is>
          <t>Absent</t>
        </is>
      </c>
      <c r="AJ113" s="197" t="inlineStr">
        <is>
          <t>✓</t>
        </is>
      </c>
      <c r="AK113" s="200" t="inlineStr">
        <is>
          <t>not reported</t>
        </is>
      </c>
      <c r="AL113" s="222" t="inlineStr">
        <is>
          <t>&lt; 2</t>
        </is>
      </c>
      <c r="AM113" s="222" t="inlineStr">
        <is>
          <t>not reported</t>
        </is>
      </c>
      <c r="AN113" s="202" t="inlineStr">
        <is>
          <t>•</t>
        </is>
      </c>
      <c r="AO113" s="200" t="inlineStr">
        <is>
          <t>0.0109</t>
        </is>
      </c>
      <c r="AP113" s="222" t="inlineStr">
        <is>
          <t>0.01287</t>
        </is>
      </c>
      <c r="AQ113" s="222" t="inlineStr">
        <is>
          <t>0.0175</t>
        </is>
      </c>
      <c r="AR113" s="222" t="inlineStr">
        <is>
          <t>0.0165</t>
        </is>
      </c>
      <c r="AS113" s="202" t="inlineStr">
        <is>
          <t>•</t>
        </is>
      </c>
      <c r="AT113" s="200" t="inlineStr">
        <is>
          <t>≤ LOQ (all 27 compounds)</t>
        </is>
      </c>
      <c r="AU113" s="201" t="inlineStr">
        <is>
          <t>2365-2026, (30.04.2026) [IJZ] · experimental — starred sample, not certifying</t>
        </is>
      </c>
      <c r="AV113" s="223" t="inlineStr">
        <is>
          <t>•</t>
        </is>
      </c>
    </row>
    <row r="114" ht="21" customHeight="1" s="70">
      <c r="A114" s="203" t="n"/>
      <c r="B114" s="204" t="n"/>
      <c r="D114" s="204" t="n"/>
      <c r="E114" s="204" t="n"/>
      <c r="F114" s="204" t="n"/>
      <c r="G114" s="205" t="n"/>
      <c r="H114" s="204" t="n"/>
      <c r="I114" s="206" t="n"/>
      <c r="J114" s="205" t="n"/>
      <c r="K114" s="204" t="n"/>
      <c r="L114" s="206" t="n"/>
      <c r="M114" s="205" t="n"/>
      <c r="N114" s="204" t="n"/>
      <c r="O114" s="206" t="n"/>
      <c r="P114" s="205" t="n"/>
      <c r="Q114" s="204" t="n"/>
      <c r="R114" s="206" t="n"/>
      <c r="S114" s="205" t="n"/>
      <c r="T114" s="204" t="n"/>
      <c r="U114" s="206" t="n"/>
      <c r="V114" s="205" t="n"/>
      <c r="W114" s="204" t="n"/>
      <c r="X114" s="206" t="n"/>
      <c r="Y114" s="205" t="n"/>
      <c r="Z114" s="204" t="n"/>
      <c r="AA114" s="206" t="n"/>
      <c r="AB114" s="205" t="n"/>
      <c r="AC114" s="204" t="n"/>
      <c r="AD114" s="206" t="n"/>
      <c r="AE114" s="221" t="inlineStr">
        <is>
          <t>307-0551-26, (28.04.2026) [IJZ-MB]</t>
        </is>
      </c>
      <c r="AF114" s="204" t="n"/>
      <c r="AG114" s="204" t="n"/>
      <c r="AH114" s="204" t="n"/>
      <c r="AI114" s="204" t="n"/>
      <c r="AJ114" s="206" t="n"/>
      <c r="AK114" s="224" t="inlineStr">
        <is>
          <t>2365-2026, (30.04.2026) [IJZ] · experimental — starred sample, not certifying</t>
        </is>
      </c>
      <c r="AL114" s="204" t="n"/>
      <c r="AM114" s="204" t="n"/>
      <c r="AN114" s="206" t="n"/>
      <c r="AO114" s="224" t="inlineStr">
        <is>
          <t>2365-2026, (30.04.2026) [IJZ] · experimental — starred sample, not certifying</t>
        </is>
      </c>
      <c r="AP114" s="204" t="n"/>
      <c r="AQ114" s="204" t="n"/>
      <c r="AR114" s="204" t="n"/>
      <c r="AS114" s="206" t="n"/>
      <c r="AT114" s="205" t="n"/>
      <c r="AU114" s="204" t="n"/>
      <c r="AV114" s="207" t="n"/>
    </row>
    <row r="115" ht="17.625" customHeight="1" s="70">
      <c r="A115" s="146" t="n"/>
      <c r="B115" s="147" t="n"/>
      <c r="D115" s="148" t="inlineStr">
        <is>
          <t>3 of 3</t>
        </is>
      </c>
      <c r="E115" s="149" t="inlineStr">
        <is>
          <t>experimental — starred sample + re-analysis 197</t>
        </is>
      </c>
      <c r="F115" s="150" t="inlineStr">
        <is>
          <t>iCoA-PP_26-115
CoQ-PP_26-100 · retest</t>
        </is>
      </c>
      <c r="G115" s="151" t="n"/>
      <c r="H115" s="147" t="n"/>
      <c r="I115" s="152" t="n"/>
      <c r="J115" s="158" t="inlineStr">
        <is>
          <t>not on this certificate</t>
        </is>
      </c>
      <c r="K115" s="159" t="inlineStr">
        <is>
          <t>ППК26065, (11.05.2026) [CNP] · experimental — starred sample, not certifying</t>
        </is>
      </c>
      <c r="L115" s="160" t="inlineStr">
        <is>
          <t>•</t>
        </is>
      </c>
      <c r="M115" s="153" t="inlineStr">
        <is>
          <t>Conforms (ImB spec.) ᴿ</t>
        </is>
      </c>
      <c r="N115" s="154" t="inlineStr">
        <is>
          <t>197-15-К-26, (07.08.2026) [FHM-K]</t>
        </is>
      </c>
      <c r="O115" s="155" t="inlineStr">
        <is>
          <t>✓</t>
        </is>
      </c>
      <c r="P115" s="156" t="inlineStr">
        <is>
          <t>20.32</t>
        </is>
      </c>
      <c r="Q115" s="154" t="inlineStr">
        <is>
          <t>197-15-К-26, (07.08.2026) [FHM-K]</t>
        </is>
      </c>
      <c r="R115" s="155" t="inlineStr">
        <is>
          <t>✓</t>
        </is>
      </c>
      <c r="S115" s="157" t="inlineStr">
        <is>
          <t>&lt; LOQ</t>
        </is>
      </c>
      <c r="T115" s="154" t="inlineStr">
        <is>
          <t>197-15-К-26, (07.08.2026) [FHM-K]</t>
        </is>
      </c>
      <c r="U115" s="155" t="inlineStr">
        <is>
          <t>✓</t>
        </is>
      </c>
      <c r="V115" s="157" t="inlineStr">
        <is>
          <t>&lt; LOQ</t>
        </is>
      </c>
      <c r="W115" s="154" t="inlineStr">
        <is>
          <t>197-15-К-26, (07.08.2026) [FHM-K]</t>
        </is>
      </c>
      <c r="X115" s="155" t="inlineStr">
        <is>
          <t>✓</t>
        </is>
      </c>
      <c r="Y115" s="151" t="n"/>
      <c r="Z115" s="147" t="n"/>
      <c r="AA115" s="152" t="n"/>
      <c r="AB115" s="158" t="inlineStr">
        <is>
          <t>not on this certificate</t>
        </is>
      </c>
      <c r="AC115" s="159" t="inlineStr">
        <is>
          <t>197-15-К-26, (07.08.2026) [FHM-K] · on file, not credited</t>
        </is>
      </c>
      <c r="AD115" s="160" t="inlineStr">
        <is>
          <t>•</t>
        </is>
      </c>
      <c r="AE115" s="151" t="n"/>
      <c r="AF115" s="147" t="n"/>
      <c r="AG115" s="147" t="n"/>
      <c r="AH115" s="147" t="n"/>
      <c r="AI115" s="147" t="n"/>
      <c r="AJ115" s="152" t="n"/>
      <c r="AK115" s="161" t="inlineStr">
        <is>
          <t>ND</t>
        </is>
      </c>
      <c r="AL115" s="162" t="inlineStr">
        <is>
          <t>ND</t>
        </is>
      </c>
      <c r="AM115" s="162" t="inlineStr">
        <is>
          <t>ND</t>
        </is>
      </c>
      <c r="AN115" s="155" t="inlineStr">
        <is>
          <t>✓</t>
        </is>
      </c>
      <c r="AO115" s="151" t="n"/>
      <c r="AP115" s="147" t="n"/>
      <c r="AQ115" s="147" t="n"/>
      <c r="AR115" s="147" t="n"/>
      <c r="AS115" s="152" t="n"/>
      <c r="AT115" s="151" t="n"/>
      <c r="AU115" s="147" t="n"/>
      <c r="AV115" s="163" t="n"/>
    </row>
    <row r="116" ht="21" customHeight="1" s="70">
      <c r="A116" s="164" t="n"/>
      <c r="B116" s="165" t="n"/>
      <c r="C116" s="165" t="n"/>
      <c r="D116" s="165" t="n"/>
      <c r="E116" s="165" t="n"/>
      <c r="F116" s="165" t="n"/>
      <c r="G116" s="166" t="n"/>
      <c r="H116" s="165" t="n"/>
      <c r="I116" s="167" t="n"/>
      <c r="J116" s="166" t="n"/>
      <c r="K116" s="165" t="n"/>
      <c r="L116" s="167" t="n"/>
      <c r="M116" s="166" t="n"/>
      <c r="N116" s="165" t="n"/>
      <c r="O116" s="167" t="n"/>
      <c r="P116" s="166" t="n"/>
      <c r="Q116" s="165" t="n"/>
      <c r="R116" s="167" t="n"/>
      <c r="S116" s="166" t="n"/>
      <c r="T116" s="165" t="n"/>
      <c r="U116" s="167" t="n"/>
      <c r="V116" s="166" t="n"/>
      <c r="W116" s="165" t="n"/>
      <c r="X116" s="167" t="n"/>
      <c r="Y116" s="166" t="n"/>
      <c r="Z116" s="165" t="n"/>
      <c r="AA116" s="167" t="n"/>
      <c r="AB116" s="166" t="n"/>
      <c r="AC116" s="165" t="n"/>
      <c r="AD116" s="167" t="n"/>
      <c r="AE116" s="166" t="n"/>
      <c r="AF116" s="165" t="n"/>
      <c r="AG116" s="165" t="n"/>
      <c r="AH116" s="165" t="n"/>
      <c r="AI116" s="165" t="n"/>
      <c r="AJ116" s="167" t="n"/>
      <c r="AK116" s="168" t="inlineStr">
        <is>
          <t>197-15-М-26, (10.08.2026) [FHM-M]</t>
        </is>
      </c>
      <c r="AL116" s="165" t="n"/>
      <c r="AM116" s="165" t="n"/>
      <c r="AN116" s="167" t="n"/>
      <c r="AO116" s="166" t="n"/>
      <c r="AP116" s="165" t="n"/>
      <c r="AQ116" s="165" t="n"/>
      <c r="AR116" s="165" t="n"/>
      <c r="AS116" s="167" t="n"/>
      <c r="AT116" s="166" t="n"/>
      <c r="AU116" s="165" t="n"/>
      <c r="AV116" s="169" t="n"/>
    </row>
    <row r="117" ht="21" customHeight="1" s="70">
      <c r="A117" s="125" t="inlineStr">
        <is>
          <t>KC102501</t>
        </is>
      </c>
      <c r="B117" s="126" t="inlineStr">
        <is>
          <t>P060172</t>
        </is>
      </c>
      <c r="C117" s="170" t="inlineStr">
        <is>
          <t>⚠ 3 NO RESULT
(3 no cert / 0 cert w/o result)
3 testing instances
• 2 document(s) on file, not credited</t>
        </is>
      </c>
      <c r="D117" s="128" t="inlineStr">
        <is>
          <t>1 of 3</t>
        </is>
      </c>
      <c r="E117" s="129" t="inlineStr">
        <is>
          <t>release testing + re-analysis 220</t>
        </is>
      </c>
      <c r="F117" s="130" t="inlineStr">
        <is>
          <t>iCoA-PP_26-056
CoQ-PP_26-053 · initial release
iCoA-PP_26-141
CoQ-PP_26-126 · retest</t>
        </is>
      </c>
      <c r="G117" s="131" t="inlineStr">
        <is>
          <t>Conforms</t>
        </is>
      </c>
      <c r="H117" s="132">
        <f>IFERROR(INDEX('iCoA Register'!$B:$B,MATCH("P060172|I",'iCoA Register'!$AA:$AA,0)),"iCoA — at issue")&amp;", (12.03.2026) [PP]"</f>
        <v/>
      </c>
      <c r="I117" s="133" t="inlineStr">
        <is>
          <t>✓</t>
        </is>
      </c>
      <c r="J117" s="131" t="inlineStr">
        <is>
          <t>Conforms</t>
        </is>
      </c>
      <c r="K117" s="132">
        <f>IFERROR(INDEX('iCoA Register'!$B:$B,MATCH("P060172|I",'iCoA Register'!$AA:$AA,0)),"iCoA — at issue")&amp;", (12.03.2026) [PP]"</f>
        <v/>
      </c>
      <c r="L117" s="133" t="inlineStr">
        <is>
          <t>✓</t>
        </is>
      </c>
      <c r="M117" s="134" t="inlineStr">
        <is>
          <t>not on this certificate</t>
        </is>
      </c>
      <c r="N117" s="135" t="inlineStr">
        <is>
          <t>051-4-ГС-26, (02.03.2026) [FHM-K] · on file, not credited</t>
        </is>
      </c>
      <c r="O117" s="136" t="inlineStr">
        <is>
          <t>•</t>
        </is>
      </c>
      <c r="P117" s="191" t="inlineStr">
        <is>
          <t>not on this certificate</t>
        </is>
      </c>
      <c r="Q117" s="135" t="inlineStr">
        <is>
          <t>051-4-ГС-26, (02.03.2026) [FHM-K] · on file, not credited</t>
        </is>
      </c>
      <c r="R117" s="136" t="inlineStr">
        <is>
          <t>•</t>
        </is>
      </c>
      <c r="S117" s="192" t="inlineStr">
        <is>
          <t>not on this certificate</t>
        </is>
      </c>
      <c r="T117" s="135" t="inlineStr">
        <is>
          <t>051-4-ГС-26, (02.03.2026) [FHM-K] · on file, not credited</t>
        </is>
      </c>
      <c r="U117" s="136" t="inlineStr">
        <is>
          <t>•</t>
        </is>
      </c>
      <c r="V117" s="192" t="inlineStr">
        <is>
          <t>not on this certificate</t>
        </is>
      </c>
      <c r="W117" s="135" t="inlineStr">
        <is>
          <t>051-4-ГС-26, (02.03.2026) [FHM-K] · on file, not credited</t>
        </is>
      </c>
      <c r="X117" s="136" t="inlineStr">
        <is>
          <t>•</t>
        </is>
      </c>
      <c r="Y117" s="131" t="inlineStr">
        <is>
          <t>Conforms</t>
        </is>
      </c>
      <c r="Z117" s="132">
        <f>IFERROR(INDEX('iCoA Register'!$B:$B,MATCH("P060172|I",'iCoA Register'!$AA:$AA,0)),"iCoA — at issue")&amp;", (12.03.2026) [PP]"</f>
        <v/>
      </c>
      <c r="AA117" s="133" t="inlineStr">
        <is>
          <t>✓</t>
        </is>
      </c>
      <c r="AB117" s="131" t="inlineStr">
        <is>
          <t>8.6</t>
        </is>
      </c>
      <c r="AC117" s="132" t="inlineStr">
        <is>
          <t>051-4-ГС-26, (02.03.2026) [FHM-K]</t>
        </is>
      </c>
      <c r="AD117" s="133" t="inlineStr">
        <is>
          <t>✓</t>
        </is>
      </c>
      <c r="AE117" s="171" t="inlineStr">
        <is>
          <t>— MISSING —</t>
        </is>
      </c>
      <c r="AF117" s="172" t="inlineStr">
        <is>
          <t>— MISSING —</t>
        </is>
      </c>
      <c r="AG117" s="172" t="inlineStr">
        <is>
          <t>— MISSING —</t>
        </is>
      </c>
      <c r="AH117" s="172" t="inlineStr">
        <is>
          <t>— MISSING —</t>
        </is>
      </c>
      <c r="AI117" s="172" t="inlineStr">
        <is>
          <t>— MISSING —</t>
        </is>
      </c>
      <c r="AJ117" s="173" t="inlineStr">
        <is>
          <t>✗</t>
        </is>
      </c>
      <c r="AK117" s="131" t="inlineStr">
        <is>
          <t>ND</t>
        </is>
      </c>
      <c r="AL117" s="139" t="inlineStr">
        <is>
          <t>ND</t>
        </is>
      </c>
      <c r="AM117" s="139" t="inlineStr">
        <is>
          <t>ND</t>
        </is>
      </c>
      <c r="AN117" s="133" t="inlineStr">
        <is>
          <t>✓</t>
        </is>
      </c>
      <c r="AO117" s="171" t="inlineStr">
        <is>
          <t>— MISSING —</t>
        </is>
      </c>
      <c r="AP117" s="172" t="inlineStr">
        <is>
          <t>— MISSING —</t>
        </is>
      </c>
      <c r="AQ117" s="172" t="inlineStr">
        <is>
          <t>— MISSING —</t>
        </is>
      </c>
      <c r="AR117" s="172" t="inlineStr">
        <is>
          <t>— MISSING —</t>
        </is>
      </c>
      <c r="AS117" s="173" t="inlineStr">
        <is>
          <t>✗</t>
        </is>
      </c>
      <c r="AT117" s="171" t="inlineStr">
        <is>
          <t>— MISSING —</t>
        </is>
      </c>
      <c r="AU117" s="174" t="inlineStr">
        <is>
          <t>— no certificate —</t>
        </is>
      </c>
      <c r="AV117" s="175" t="inlineStr">
        <is>
          <t>✗</t>
        </is>
      </c>
    </row>
    <row r="118" ht="39" customHeight="1" s="70">
      <c r="A118" s="141" t="n"/>
      <c r="G118" s="142" t="n"/>
      <c r="I118" s="143" t="n"/>
      <c r="J118" s="142" t="n"/>
      <c r="L118" s="143" t="n"/>
      <c r="M118" s="142" t="n"/>
      <c r="O118" s="143" t="n"/>
      <c r="P118" s="142" t="n"/>
      <c r="R118" s="143" t="n"/>
      <c r="S118" s="142" t="n"/>
      <c r="U118" s="143" t="n"/>
      <c r="V118" s="142" t="n"/>
      <c r="X118" s="143" t="n"/>
      <c r="Y118" s="142" t="n"/>
      <c r="AA118" s="143" t="n"/>
      <c r="AB118" s="142" t="n"/>
      <c r="AD118" s="143" t="n"/>
      <c r="AE118" s="176" t="inlineStr">
        <is>
          <t>— no certificate —</t>
        </is>
      </c>
      <c r="AJ118" s="143" t="n"/>
      <c r="AK118" s="144" t="inlineStr">
        <is>
          <t>220-19-М-26, (11.09.2026) [FHM-M]</t>
        </is>
      </c>
      <c r="AN118" s="143" t="n"/>
      <c r="AO118" s="176" t="inlineStr">
        <is>
          <t>— no certificate —</t>
        </is>
      </c>
      <c r="AS118" s="143" t="n"/>
      <c r="AT118" s="142" t="n"/>
      <c r="AV118" s="145" t="n"/>
    </row>
    <row r="119" ht="17.625" customHeight="1" s="70">
      <c r="A119" s="146" t="n"/>
      <c r="B119" s="147" t="n"/>
      <c r="D119" s="193" t="inlineStr">
        <is>
          <t>2 of 3</t>
        </is>
      </c>
      <c r="E119" s="194" t="inlineStr">
        <is>
          <t>release testing</t>
        </is>
      </c>
      <c r="F119" s="195" t="inlineStr">
        <is>
          <t>iCoA-PP_26-056
CoQ-PP_26-053 · initial release</t>
        </is>
      </c>
      <c r="G119" s="151" t="n"/>
      <c r="H119" s="147" t="n"/>
      <c r="I119" s="152" t="n"/>
      <c r="J119" s="151" t="n"/>
      <c r="K119" s="147" t="n"/>
      <c r="L119" s="152" t="n"/>
      <c r="M119" s="161" t="inlineStr">
        <is>
          <t>Conforms (ImB spec.) ᴿ</t>
        </is>
      </c>
      <c r="N119" s="196" t="inlineStr">
        <is>
          <t>051-4-К-26, (04.03.2026) [FHM-K]</t>
        </is>
      </c>
      <c r="O119" s="197" t="inlineStr">
        <is>
          <t>✓</t>
        </is>
      </c>
      <c r="P119" s="198" t="inlineStr">
        <is>
          <t>17.04</t>
        </is>
      </c>
      <c r="Q119" s="196" t="inlineStr">
        <is>
          <t>051-4-К-26, (04.03.2026) [FHM-K]</t>
        </is>
      </c>
      <c r="R119" s="197" t="inlineStr">
        <is>
          <t>✓</t>
        </is>
      </c>
      <c r="S119" s="199" t="inlineStr">
        <is>
          <t>&lt; LOQ**</t>
        </is>
      </c>
      <c r="T119" s="196" t="inlineStr">
        <is>
          <t>051-4-К-26, (04.03.2026) [FHM-K]</t>
        </is>
      </c>
      <c r="U119" s="197" t="inlineStr">
        <is>
          <t>✓</t>
        </is>
      </c>
      <c r="V119" s="199" t="inlineStr">
        <is>
          <t>&lt; LOQ**</t>
        </is>
      </c>
      <c r="W119" s="196" t="inlineStr">
        <is>
          <t>051-4-К-26, (04.03.2026) [FHM-K]</t>
        </is>
      </c>
      <c r="X119" s="197" t="inlineStr">
        <is>
          <t>✓</t>
        </is>
      </c>
      <c r="Y119" s="151" t="n"/>
      <c r="Z119" s="147" t="n"/>
      <c r="AA119" s="152" t="n"/>
      <c r="AB119" s="200" t="inlineStr">
        <is>
          <t>not on this certificate</t>
        </is>
      </c>
      <c r="AC119" s="201" t="inlineStr">
        <is>
          <t>051-4-К-26, (04.03.2026) [FHM-K] · on file, not credited</t>
        </is>
      </c>
      <c r="AD119" s="202" t="inlineStr">
        <is>
          <t>•</t>
        </is>
      </c>
      <c r="AE119" s="151" t="n"/>
      <c r="AF119" s="147" t="n"/>
      <c r="AG119" s="147" t="n"/>
      <c r="AH119" s="147" t="n"/>
      <c r="AI119" s="147" t="n"/>
      <c r="AJ119" s="152" t="n"/>
      <c r="AK119" s="151" t="n"/>
      <c r="AL119" s="147" t="n"/>
      <c r="AM119" s="147" t="n"/>
      <c r="AN119" s="152" t="n"/>
      <c r="AO119" s="151" t="n"/>
      <c r="AP119" s="147" t="n"/>
      <c r="AQ119" s="147" t="n"/>
      <c r="AR119" s="147" t="n"/>
      <c r="AS119" s="152" t="n"/>
      <c r="AT119" s="151" t="n"/>
      <c r="AU119" s="147" t="n"/>
      <c r="AV119" s="163" t="n"/>
    </row>
    <row r="120" ht="21" customHeight="1" s="70">
      <c r="A120" s="203" t="n"/>
      <c r="B120" s="204" t="n"/>
      <c r="D120" s="204" t="n"/>
      <c r="E120" s="204" t="n"/>
      <c r="F120" s="204" t="n"/>
      <c r="G120" s="205" t="n"/>
      <c r="H120" s="204" t="n"/>
      <c r="I120" s="206" t="n"/>
      <c r="J120" s="205" t="n"/>
      <c r="K120" s="204" t="n"/>
      <c r="L120" s="206" t="n"/>
      <c r="M120" s="205" t="n"/>
      <c r="N120" s="204" t="n"/>
      <c r="O120" s="206" t="n"/>
      <c r="P120" s="205" t="n"/>
      <c r="Q120" s="204" t="n"/>
      <c r="R120" s="206" t="n"/>
      <c r="S120" s="205" t="n"/>
      <c r="T120" s="204" t="n"/>
      <c r="U120" s="206" t="n"/>
      <c r="V120" s="205" t="n"/>
      <c r="W120" s="204" t="n"/>
      <c r="X120" s="206" t="n"/>
      <c r="Y120" s="205" t="n"/>
      <c r="Z120" s="204" t="n"/>
      <c r="AA120" s="206" t="n"/>
      <c r="AB120" s="205" t="n"/>
      <c r="AC120" s="204" t="n"/>
      <c r="AD120" s="206" t="n"/>
      <c r="AE120" s="205" t="n"/>
      <c r="AF120" s="204" t="n"/>
      <c r="AG120" s="204" t="n"/>
      <c r="AH120" s="204" t="n"/>
      <c r="AI120" s="204" t="n"/>
      <c r="AJ120" s="206" t="n"/>
      <c r="AK120" s="205" t="n"/>
      <c r="AL120" s="204" t="n"/>
      <c r="AM120" s="204" t="n"/>
      <c r="AN120" s="206" t="n"/>
      <c r="AO120" s="205" t="n"/>
      <c r="AP120" s="204" t="n"/>
      <c r="AQ120" s="204" t="n"/>
      <c r="AR120" s="204" t="n"/>
      <c r="AS120" s="206" t="n"/>
      <c r="AT120" s="205" t="n"/>
      <c r="AU120" s="204" t="n"/>
      <c r="AV120" s="207" t="n"/>
    </row>
    <row r="121" ht="17.625" customHeight="1" s="70">
      <c r="A121" s="146" t="n"/>
      <c r="B121" s="147" t="n"/>
      <c r="D121" s="148" t="inlineStr">
        <is>
          <t>3 of 3</t>
        </is>
      </c>
      <c r="E121" s="149" t="inlineStr">
        <is>
          <t>re-analysis 220</t>
        </is>
      </c>
      <c r="F121" s="150" t="inlineStr">
        <is>
          <t>iCoA-PP_26-141
CoQ-PP_26-126 · retest</t>
        </is>
      </c>
      <c r="G121" s="151" t="n"/>
      <c r="H121" s="147" t="n"/>
      <c r="I121" s="152" t="n"/>
      <c r="J121" s="151" t="n"/>
      <c r="K121" s="147" t="n"/>
      <c r="L121" s="152" t="n"/>
      <c r="M121" s="153" t="inlineStr">
        <is>
          <t>Conforms (ImB spec.)</t>
        </is>
      </c>
      <c r="N121" s="154" t="inlineStr">
        <is>
          <t>220-19-К-26, (26.08.2026) [FHM-K]</t>
        </is>
      </c>
      <c r="O121" s="155" t="inlineStr">
        <is>
          <t>✓</t>
        </is>
      </c>
      <c r="P121" s="156" t="inlineStr">
        <is>
          <t>17.06</t>
        </is>
      </c>
      <c r="Q121" s="154" t="inlineStr">
        <is>
          <t>220-19-К-26, (26.08.2026) [FHM-K]</t>
        </is>
      </c>
      <c r="R121" s="155" t="inlineStr">
        <is>
          <t>✓</t>
        </is>
      </c>
      <c r="S121" s="157" t="inlineStr">
        <is>
          <t>&lt; LOQ</t>
        </is>
      </c>
      <c r="T121" s="154" t="inlineStr">
        <is>
          <t>220-19-К-26, (26.08.2026) [FHM-K]</t>
        </is>
      </c>
      <c r="U121" s="155" t="inlineStr">
        <is>
          <t>✓</t>
        </is>
      </c>
      <c r="V121" s="157" t="inlineStr">
        <is>
          <t>&lt; LOQ</t>
        </is>
      </c>
      <c r="W121" s="154" t="inlineStr">
        <is>
          <t>220-19-К-26, (26.08.2026) [FHM-K]</t>
        </is>
      </c>
      <c r="X121" s="155" t="inlineStr">
        <is>
          <t>✓</t>
        </is>
      </c>
      <c r="Y121" s="151" t="n"/>
      <c r="Z121" s="147" t="n"/>
      <c r="AA121" s="152" t="n"/>
      <c r="AB121" s="151" t="n"/>
      <c r="AC121" s="147" t="n"/>
      <c r="AD121" s="152" t="n"/>
      <c r="AE121" s="151" t="n"/>
      <c r="AF121" s="147" t="n"/>
      <c r="AG121" s="147" t="n"/>
      <c r="AH121" s="147" t="n"/>
      <c r="AI121" s="147" t="n"/>
      <c r="AJ121" s="152" t="n"/>
      <c r="AK121" s="151" t="n"/>
      <c r="AL121" s="147" t="n"/>
      <c r="AM121" s="147" t="n"/>
      <c r="AN121" s="152" t="n"/>
      <c r="AO121" s="151" t="n"/>
      <c r="AP121" s="147" t="n"/>
      <c r="AQ121" s="147" t="n"/>
      <c r="AR121" s="147" t="n"/>
      <c r="AS121" s="152" t="n"/>
      <c r="AT121" s="151" t="n"/>
      <c r="AU121" s="147" t="n"/>
      <c r="AV121" s="163" t="n"/>
    </row>
    <row r="122" ht="13" customHeight="1" s="70">
      <c r="A122" s="164" t="n"/>
      <c r="B122" s="165" t="n"/>
      <c r="C122" s="165" t="n"/>
      <c r="D122" s="165" t="n"/>
      <c r="E122" s="165" t="n"/>
      <c r="F122" s="165" t="n"/>
      <c r="G122" s="166" t="n"/>
      <c r="H122" s="165" t="n"/>
      <c r="I122" s="167" t="n"/>
      <c r="J122" s="166" t="n"/>
      <c r="K122" s="165" t="n"/>
      <c r="L122" s="167" t="n"/>
      <c r="M122" s="166" t="n"/>
      <c r="N122" s="165" t="n"/>
      <c r="O122" s="167" t="n"/>
      <c r="P122" s="166" t="n"/>
      <c r="Q122" s="165" t="n"/>
      <c r="R122" s="167" t="n"/>
      <c r="S122" s="166" t="n"/>
      <c r="T122" s="165" t="n"/>
      <c r="U122" s="167" t="n"/>
      <c r="V122" s="166" t="n"/>
      <c r="W122" s="165" t="n"/>
      <c r="X122" s="167" t="n"/>
      <c r="Y122" s="166" t="n"/>
      <c r="Z122" s="165" t="n"/>
      <c r="AA122" s="167" t="n"/>
      <c r="AB122" s="166" t="n"/>
      <c r="AC122" s="165" t="n"/>
      <c r="AD122" s="167" t="n"/>
      <c r="AE122" s="166" t="n"/>
      <c r="AF122" s="165" t="n"/>
      <c r="AG122" s="165" t="n"/>
      <c r="AH122" s="165" t="n"/>
      <c r="AI122" s="165" t="n"/>
      <c r="AJ122" s="167" t="n"/>
      <c r="AK122" s="166" t="n"/>
      <c r="AL122" s="165" t="n"/>
      <c r="AM122" s="165" t="n"/>
      <c r="AN122" s="167" t="n"/>
      <c r="AO122" s="166" t="n"/>
      <c r="AP122" s="165" t="n"/>
      <c r="AQ122" s="165" t="n"/>
      <c r="AR122" s="165" t="n"/>
      <c r="AS122" s="167" t="n"/>
      <c r="AT122" s="166" t="n"/>
      <c r="AU122" s="165" t="n"/>
      <c r="AV122" s="169" t="n"/>
    </row>
    <row r="123" ht="21" customHeight="1" s="70">
      <c r="A123" s="125" t="inlineStr">
        <is>
          <t>OPM1024</t>
        </is>
      </c>
      <c r="B123" s="126" t="inlineStr">
        <is>
          <t>N/A — no P batch assigned</t>
        </is>
      </c>
      <c r="C123" s="177" t="inlineStr">
        <is>
          <t>✗ 4 NO RESULT
(4 no cert / 0 cert w/o result)
2 testing instances
• 2 document(s) on file, not credited</t>
        </is>
      </c>
      <c r="D123" s="128" t="inlineStr">
        <is>
          <t>1 of 2</t>
        </is>
      </c>
      <c r="E123" s="129" t="inlineStr">
        <is>
          <t>release testing + re-analysis 197</t>
        </is>
      </c>
      <c r="F123" s="130" t="inlineStr">
        <is>
          <t>iCoA-PP_26-006
CoQ-PP_26-006 · initial release
iCoA-PP_26-116
CoQ-PP_26-101 · retest</t>
        </is>
      </c>
      <c r="G123" s="131" t="inlineStr">
        <is>
          <t>Conforms</t>
        </is>
      </c>
      <c r="H123" s="132" t="inlineStr">
        <is>
          <t>iCoA — at issue (OPM1024), (23.04.2025) [PP]</t>
        </is>
      </c>
      <c r="I123" s="133" t="inlineStr">
        <is>
          <t>✓</t>
        </is>
      </c>
      <c r="J123" s="131" t="inlineStr">
        <is>
          <t>Conforms</t>
        </is>
      </c>
      <c r="K123" s="132">
        <f>IFERROR(INDEX('iCoA Register'!$B:$B,MATCH("OPM1024|I",'iCoA Register'!$AA:$AA,0)),"iCoA — at issue")&amp;", (24.04.2025) [PP]"</f>
        <v/>
      </c>
      <c r="L123" s="133" t="inlineStr">
        <is>
          <t>✓</t>
        </is>
      </c>
      <c r="M123" s="131" t="inlineStr">
        <is>
          <t>Conforms (ImB spec.) ᴿ</t>
        </is>
      </c>
      <c r="N123" s="132" t="inlineStr">
        <is>
          <t>197-17-К-26, (07.08.2026) [FHM-K]</t>
        </is>
      </c>
      <c r="O123" s="133" t="inlineStr">
        <is>
          <t>✓</t>
        </is>
      </c>
      <c r="P123" s="191" t="inlineStr">
        <is>
          <t>19.96 ᴿ</t>
        </is>
      </c>
      <c r="Q123" s="135">
        <f>IFERROR(INDEX('iCoA Register'!$B:$B,MATCH("OPM1024|I",'iCoA Register'!$AA:$AA,0)),"iCoA — at issue")&amp;", (24.04.2025) [PP] · on file, not credited"</f>
        <v/>
      </c>
      <c r="R123" s="136" t="inlineStr">
        <is>
          <t>•</t>
        </is>
      </c>
      <c r="S123" s="192" t="inlineStr">
        <is>
          <t>0.05 ᴿ</t>
        </is>
      </c>
      <c r="T123" s="135">
        <f>IFERROR(INDEX('iCoA Register'!$B:$B,MATCH("OPM1024|I",'iCoA Register'!$AA:$AA,0)),"iCoA — at issue")&amp;", (24.04.2025) [PP] · on file, not credited"</f>
        <v/>
      </c>
      <c r="U123" s="136" t="inlineStr">
        <is>
          <t>•</t>
        </is>
      </c>
      <c r="V123" s="138" t="inlineStr">
        <is>
          <t>&lt; LOQ</t>
        </is>
      </c>
      <c r="W123" s="132" t="inlineStr">
        <is>
          <t>197-17-К-26, (07.08.2026) [FHM-K]</t>
        </is>
      </c>
      <c r="X123" s="133" t="inlineStr">
        <is>
          <t>✓</t>
        </is>
      </c>
      <c r="Y123" s="131" t="inlineStr">
        <is>
          <t>Conforms</t>
        </is>
      </c>
      <c r="Z123" s="132" t="inlineStr">
        <is>
          <t>iCoA — at issue (OPM1024), (23.04.2025) [PP]</t>
        </is>
      </c>
      <c r="AA123" s="133" t="inlineStr">
        <is>
          <t>✓</t>
        </is>
      </c>
      <c r="AB123" s="134" t="inlineStr">
        <is>
          <t>not on this certificate</t>
        </is>
      </c>
      <c r="AC123" s="135" t="inlineStr">
        <is>
          <t>197-17-К-26, (07.08.2026) [FHM-K] · on file, not credited</t>
        </is>
      </c>
      <c r="AD123" s="136" t="inlineStr">
        <is>
          <t>•</t>
        </is>
      </c>
      <c r="AE123" s="134" t="inlineStr">
        <is>
          <t>1.3 × 10⁴ ᴿ</t>
        </is>
      </c>
      <c r="AF123" s="208" t="inlineStr">
        <is>
          <t>7 × 10² ᴿ</t>
        </is>
      </c>
      <c r="AG123" s="208" t="inlineStr">
        <is>
          <t>&lt; 10² &gt; 10³ ᴿ</t>
        </is>
      </c>
      <c r="AH123" s="208" t="inlineStr">
        <is>
          <t>Absent ᴿ</t>
        </is>
      </c>
      <c r="AI123" s="208" t="inlineStr">
        <is>
          <t>Absent ᴿ</t>
        </is>
      </c>
      <c r="AJ123" s="136" t="inlineStr">
        <is>
          <t>•</t>
        </is>
      </c>
      <c r="AK123" s="134" t="inlineStr">
        <is>
          <t>not reported</t>
        </is>
      </c>
      <c r="AL123" s="208" t="inlineStr">
        <is>
          <t>&lt; 2 ᴿ</t>
        </is>
      </c>
      <c r="AM123" s="208" t="inlineStr">
        <is>
          <t>not reported</t>
        </is>
      </c>
      <c r="AN123" s="136" t="inlineStr">
        <is>
          <t>•</t>
        </is>
      </c>
      <c r="AO123" s="134" t="inlineStr">
        <is>
          <t>0.031 ᴿ</t>
        </is>
      </c>
      <c r="AP123" s="208" t="inlineStr">
        <is>
          <t>0.017 ᴿ</t>
        </is>
      </c>
      <c r="AQ123" s="208" t="inlineStr">
        <is>
          <t>0.045 ᴿ</t>
        </is>
      </c>
      <c r="AR123" s="208" t="inlineStr">
        <is>
          <t>0.005 ᴿ</t>
        </is>
      </c>
      <c r="AS123" s="136" t="inlineStr">
        <is>
          <t>•</t>
        </is>
      </c>
      <c r="AT123" s="134" t="inlineStr">
        <is>
          <t>ND ᴿ</t>
        </is>
      </c>
      <c r="AU123" s="135">
        <f>IFERROR(INDEX('iCoA Register'!$B:$B,MATCH("OPM1024|I",'iCoA Register'!$AA:$AA,0)),"iCoA — at issue")&amp;", (24.04.2025) [PP] · on file, not credited"</f>
        <v/>
      </c>
      <c r="AV123" s="209" t="inlineStr">
        <is>
          <t>•</t>
        </is>
      </c>
    </row>
    <row r="124" ht="39" customHeight="1" s="70">
      <c r="A124" s="141" t="n"/>
      <c r="G124" s="142" t="n"/>
      <c r="I124" s="143" t="n"/>
      <c r="J124" s="142" t="n"/>
      <c r="L124" s="143" t="n"/>
      <c r="M124" s="142" t="n"/>
      <c r="O124" s="143" t="n"/>
      <c r="P124" s="142" t="n"/>
      <c r="R124" s="143" t="n"/>
      <c r="S124" s="142" t="n"/>
      <c r="U124" s="143" t="n"/>
      <c r="V124" s="142" t="n"/>
      <c r="X124" s="143" t="n"/>
      <c r="Y124" s="142" t="n"/>
      <c r="AA124" s="143" t="n"/>
      <c r="AB124" s="142" t="n"/>
      <c r="AD124" s="143" t="n"/>
      <c r="AE124" s="210">
        <f>IFERROR(INDEX('iCoA Register'!$B:$B,MATCH("OPM1024|I",'iCoA Register'!$AA:$AA,0)),"iCoA — at issue")&amp;", (24.04.2025) [PP] · on file, not credited"</f>
        <v/>
      </c>
      <c r="AJ124" s="143" t="n"/>
      <c r="AK124" s="210">
        <f>IFERROR(INDEX('iCoA Register'!$B:$B,MATCH("OPM1024|I",'iCoA Register'!$AA:$AA,0)),"iCoA — at issue")&amp;", (24.04.2025) [PP] · on file, not credited"</f>
        <v/>
      </c>
      <c r="AN124" s="143" t="n"/>
      <c r="AO124" s="210">
        <f>IFERROR(INDEX('iCoA Register'!$B:$B,MATCH("OPM1024|I",'iCoA Register'!$AA:$AA,0)),"iCoA — at issue")&amp;", (24.04.2025) [PP] · on file, not credited"</f>
        <v/>
      </c>
      <c r="AS124" s="143" t="n"/>
      <c r="AT124" s="142" t="n"/>
      <c r="AV124" s="145" t="n"/>
    </row>
    <row r="125" ht="17.625" customHeight="1" s="70">
      <c r="A125" s="146" t="n"/>
      <c r="B125" s="147" t="n"/>
      <c r="D125" s="148" t="inlineStr">
        <is>
          <t>2 of 2</t>
        </is>
      </c>
      <c r="E125" s="149" t="inlineStr">
        <is>
          <t>release testing + re-analysis 197</t>
        </is>
      </c>
      <c r="F125" s="150" t="inlineStr">
        <is>
          <t>iCoA-PP_26-006
CoQ-PP_26-006 · initial release
iCoA-PP_26-116
CoQ-PP_26-101 · retest</t>
        </is>
      </c>
      <c r="G125" s="153" t="inlineStr">
        <is>
          <t>Conforms</t>
        </is>
      </c>
      <c r="H125" s="154">
        <f>IFERROR(INDEX('iCoA Register'!$B:$B,MATCH("OPM1024|I",'iCoA Register'!$AA:$AA,0)),"iCoA — at issue")&amp;", (24.04.2025) [PP]"</f>
        <v/>
      </c>
      <c r="I125" s="155" t="inlineStr">
        <is>
          <t>✓</t>
        </is>
      </c>
      <c r="J125" s="151" t="n"/>
      <c r="K125" s="147" t="n"/>
      <c r="L125" s="152" t="n"/>
      <c r="M125" s="151" t="n"/>
      <c r="N125" s="147" t="n"/>
      <c r="O125" s="152" t="n"/>
      <c r="P125" s="156" t="inlineStr">
        <is>
          <t>20.03</t>
        </is>
      </c>
      <c r="Q125" s="154" t="inlineStr">
        <is>
          <t>197-17-К-26, (07.08.2026) [FHM-K]</t>
        </is>
      </c>
      <c r="R125" s="155" t="inlineStr">
        <is>
          <t>✓</t>
        </is>
      </c>
      <c r="S125" s="157" t="inlineStr">
        <is>
          <t>&lt; LOQ</t>
        </is>
      </c>
      <c r="T125" s="154" t="inlineStr">
        <is>
          <t>197-17-К-26, (07.08.2026) [FHM-K]</t>
        </is>
      </c>
      <c r="U125" s="155" t="inlineStr">
        <is>
          <t>✓</t>
        </is>
      </c>
      <c r="V125" s="151" t="n"/>
      <c r="W125" s="147" t="n"/>
      <c r="X125" s="152" t="n"/>
      <c r="Y125" s="153" t="inlineStr">
        <is>
          <t>Conforms</t>
        </is>
      </c>
      <c r="Z125" s="154">
        <f>IFERROR(INDEX('iCoA Register'!$B:$B,MATCH("OPM1024|I",'iCoA Register'!$AA:$AA,0)),"iCoA — at issue")&amp;", (24.04.2025) [PP]"</f>
        <v/>
      </c>
      <c r="AA125" s="155" t="inlineStr">
        <is>
          <t>✓</t>
        </is>
      </c>
      <c r="AB125" s="151" t="n"/>
      <c r="AC125" s="147" t="n"/>
      <c r="AD125" s="152" t="n"/>
      <c r="AE125" s="151" t="n"/>
      <c r="AF125" s="147" t="n"/>
      <c r="AG125" s="147" t="n"/>
      <c r="AH125" s="147" t="n"/>
      <c r="AI125" s="147" t="n"/>
      <c r="AJ125" s="152" t="n"/>
      <c r="AK125" s="161" t="inlineStr">
        <is>
          <t>ND</t>
        </is>
      </c>
      <c r="AL125" s="162" t="inlineStr">
        <is>
          <t>ND</t>
        </is>
      </c>
      <c r="AM125" s="162" t="inlineStr">
        <is>
          <t>ND</t>
        </is>
      </c>
      <c r="AN125" s="155" t="inlineStr">
        <is>
          <t>✓</t>
        </is>
      </c>
      <c r="AO125" s="151" t="n"/>
      <c r="AP125" s="147" t="n"/>
      <c r="AQ125" s="147" t="n"/>
      <c r="AR125" s="147" t="n"/>
      <c r="AS125" s="152" t="n"/>
      <c r="AT125" s="151" t="n"/>
      <c r="AU125" s="147" t="n"/>
      <c r="AV125" s="163" t="n"/>
    </row>
    <row r="126" ht="39" customHeight="1" s="70">
      <c r="A126" s="164" t="n"/>
      <c r="B126" s="165" t="n"/>
      <c r="C126" s="165" t="n"/>
      <c r="D126" s="165" t="n"/>
      <c r="E126" s="165" t="n"/>
      <c r="F126" s="165" t="n"/>
      <c r="G126" s="166" t="n"/>
      <c r="H126" s="165" t="n"/>
      <c r="I126" s="167" t="n"/>
      <c r="J126" s="166" t="n"/>
      <c r="K126" s="165" t="n"/>
      <c r="L126" s="167" t="n"/>
      <c r="M126" s="166" t="n"/>
      <c r="N126" s="165" t="n"/>
      <c r="O126" s="167" t="n"/>
      <c r="P126" s="166" t="n"/>
      <c r="Q126" s="165" t="n"/>
      <c r="R126" s="167" t="n"/>
      <c r="S126" s="166" t="n"/>
      <c r="T126" s="165" t="n"/>
      <c r="U126" s="167" t="n"/>
      <c r="V126" s="166" t="n"/>
      <c r="W126" s="165" t="n"/>
      <c r="X126" s="167" t="n"/>
      <c r="Y126" s="166" t="n"/>
      <c r="Z126" s="165" t="n"/>
      <c r="AA126" s="167" t="n"/>
      <c r="AB126" s="166" t="n"/>
      <c r="AC126" s="165" t="n"/>
      <c r="AD126" s="167" t="n"/>
      <c r="AE126" s="166" t="n"/>
      <c r="AF126" s="165" t="n"/>
      <c r="AG126" s="165" t="n"/>
      <c r="AH126" s="165" t="n"/>
      <c r="AI126" s="165" t="n"/>
      <c r="AJ126" s="167" t="n"/>
      <c r="AK126" s="168" t="inlineStr">
        <is>
          <t>197-17-М-26, (10.08.2026) [FHM-M]</t>
        </is>
      </c>
      <c r="AL126" s="165" t="n"/>
      <c r="AM126" s="165" t="n"/>
      <c r="AN126" s="167" t="n"/>
      <c r="AO126" s="166" t="n"/>
      <c r="AP126" s="165" t="n"/>
      <c r="AQ126" s="165" t="n"/>
      <c r="AR126" s="165" t="n"/>
      <c r="AS126" s="167" t="n"/>
      <c r="AT126" s="166" t="n"/>
      <c r="AU126" s="165" t="n"/>
      <c r="AV126" s="169" t="n"/>
    </row>
    <row r="127" ht="21" customHeight="1" s="70">
      <c r="A127" s="125" t="inlineStr">
        <is>
          <t>OPM112501</t>
        </is>
      </c>
      <c r="B127" s="126" t="inlineStr">
        <is>
          <t>P060222</t>
        </is>
      </c>
      <c r="C127" s="170" t="inlineStr">
        <is>
          <t>⚠ 3 NO RESULT
(3 no cert / 0 cert w/o result)
2 testing instances
• 1 document(s) on file, not credited</t>
        </is>
      </c>
      <c r="D127" s="128" t="inlineStr">
        <is>
          <t>1 of 2</t>
        </is>
      </c>
      <c r="E127" s="129" t="inlineStr">
        <is>
          <t>release testing + re-test campaign (IJZ-MB)</t>
        </is>
      </c>
      <c r="F127" s="130" t="inlineStr">
        <is>
          <t>iCoA-PP_26-061
CoQ-PP_26-058 · initial release
iCoA-PP_26-157
CoQ-PP_26-158 · retest</t>
        </is>
      </c>
      <c r="G127" s="131" t="inlineStr">
        <is>
          <t>Conforms</t>
        </is>
      </c>
      <c r="H127" s="132">
        <f>IFERROR(INDEX('iCoA Register'!$B:$B,MATCH("P060222|I",'iCoA Register'!$AA:$AA,0)),"iCoA — at issue")&amp;", (24.04.2026) [PP]"</f>
        <v/>
      </c>
      <c r="I127" s="133" t="inlineStr">
        <is>
          <t>✓</t>
        </is>
      </c>
      <c r="J127" s="134" t="inlineStr">
        <is>
          <t>not ingested</t>
        </is>
      </c>
      <c r="K127" s="135" t="inlineStr">
        <is>
          <t>ППК26031, (05.03.2026) [CNP] · on file, not credited</t>
        </is>
      </c>
      <c r="L127" s="136" t="inlineStr">
        <is>
          <t>•</t>
        </is>
      </c>
      <c r="M127" s="131" t="inlineStr">
        <is>
          <t>Conforms (ImB spec.) ᴿ</t>
        </is>
      </c>
      <c r="N127" s="132" t="inlineStr">
        <is>
          <t>ППК26031, (05.03.2026) [CNP]</t>
        </is>
      </c>
      <c r="O127" s="133" t="inlineStr">
        <is>
          <t>✓</t>
        </is>
      </c>
      <c r="P127" s="137" t="inlineStr">
        <is>
          <t>8.00 ᴿ</t>
        </is>
      </c>
      <c r="Q127" s="132" t="inlineStr">
        <is>
          <t>ППК26031, (05.03.2026) [CNP]</t>
        </is>
      </c>
      <c r="R127" s="133" t="inlineStr">
        <is>
          <t>✓</t>
        </is>
      </c>
      <c r="S127" s="138" t="inlineStr">
        <is>
          <t>0.02 ᴿ</t>
        </is>
      </c>
      <c r="T127" s="132" t="inlineStr">
        <is>
          <t>ППК26031, (05.03.2026) [CNP]</t>
        </is>
      </c>
      <c r="U127" s="133" t="inlineStr">
        <is>
          <t>✓</t>
        </is>
      </c>
      <c r="V127" s="225" t="inlineStr">
        <is>
          <t>not ingested</t>
        </is>
      </c>
      <c r="W127" s="226" t="inlineStr">
        <is>
          <t>ППК26031, (05.03.2026) [CNP]</t>
        </is>
      </c>
      <c r="X127" s="218" t="inlineStr">
        <is>
          <t>✗</t>
        </is>
      </c>
      <c r="Y127" s="131" t="inlineStr">
        <is>
          <t>Conforms</t>
        </is>
      </c>
      <c r="Z127" s="132">
        <f>IFERROR(INDEX('iCoA Register'!$B:$B,MATCH("P060222|I",'iCoA Register'!$AA:$AA,0)),"iCoA — at issue")&amp;", (24.04.2026) [PP]"</f>
        <v/>
      </c>
      <c r="AA127" s="133" t="inlineStr">
        <is>
          <t>✓</t>
        </is>
      </c>
      <c r="AB127" s="131" t="inlineStr">
        <is>
          <t>8.06 ᴿ</t>
        </is>
      </c>
      <c r="AC127" s="132" t="inlineStr">
        <is>
          <t>ППК26031, (05.03.2026) [CNP]</t>
        </is>
      </c>
      <c r="AD127" s="133" t="inlineStr">
        <is>
          <t>✓</t>
        </is>
      </c>
      <c r="AE127" s="131" t="inlineStr">
        <is>
          <t>&lt; 10</t>
        </is>
      </c>
      <c r="AF127" s="139" t="inlineStr">
        <is>
          <t>10</t>
        </is>
      </c>
      <c r="AG127" s="139" t="inlineStr">
        <is>
          <t>&lt; 10</t>
        </is>
      </c>
      <c r="AH127" s="139" t="inlineStr">
        <is>
          <t>Absent</t>
        </is>
      </c>
      <c r="AI127" s="139" t="inlineStr">
        <is>
          <t>Absent</t>
        </is>
      </c>
      <c r="AJ127" s="133" t="inlineStr">
        <is>
          <t>✓</t>
        </is>
      </c>
      <c r="AK127" s="171" t="inlineStr">
        <is>
          <t>— MISSING —</t>
        </is>
      </c>
      <c r="AL127" s="172" t="inlineStr">
        <is>
          <t>— MISSING —</t>
        </is>
      </c>
      <c r="AM127" s="172" t="inlineStr">
        <is>
          <t>— MISSING —</t>
        </is>
      </c>
      <c r="AN127" s="173" t="inlineStr">
        <is>
          <t>✗</t>
        </is>
      </c>
      <c r="AO127" s="171" t="inlineStr">
        <is>
          <t>— MISSING —</t>
        </is>
      </c>
      <c r="AP127" s="172" t="inlineStr">
        <is>
          <t>— MISSING —</t>
        </is>
      </c>
      <c r="AQ127" s="172" t="inlineStr">
        <is>
          <t>— MISSING —</t>
        </is>
      </c>
      <c r="AR127" s="172" t="inlineStr">
        <is>
          <t>— MISSING —</t>
        </is>
      </c>
      <c r="AS127" s="173" t="inlineStr">
        <is>
          <t>✗</t>
        </is>
      </c>
      <c r="AT127" s="171" t="inlineStr">
        <is>
          <t>— MISSING —</t>
        </is>
      </c>
      <c r="AU127" s="174" t="inlineStr">
        <is>
          <t>— no certificate —</t>
        </is>
      </c>
      <c r="AV127" s="175" t="inlineStr">
        <is>
          <t>✗</t>
        </is>
      </c>
    </row>
    <row r="128" ht="39" customHeight="1" s="70">
      <c r="A128" s="141" t="n"/>
      <c r="G128" s="142" t="n"/>
      <c r="I128" s="143" t="n"/>
      <c r="J128" s="142" t="n"/>
      <c r="L128" s="143" t="n"/>
      <c r="M128" s="142" t="n"/>
      <c r="O128" s="143" t="n"/>
      <c r="P128" s="142" t="n"/>
      <c r="R128" s="143" t="n"/>
      <c r="S128" s="142" t="n"/>
      <c r="U128" s="143" t="n"/>
      <c r="V128" s="142" t="n"/>
      <c r="X128" s="143" t="n"/>
      <c r="Y128" s="142" t="n"/>
      <c r="AA128" s="143" t="n"/>
      <c r="AB128" s="142" t="n"/>
      <c r="AD128" s="143" t="n"/>
      <c r="AE128" s="144" t="inlineStr">
        <is>
          <t>546-1077-26, (31.08.2026) [IJZ-MB]</t>
        </is>
      </c>
      <c r="AJ128" s="143" t="n"/>
      <c r="AK128" s="176" t="inlineStr">
        <is>
          <t>— no certificate —</t>
        </is>
      </c>
      <c r="AN128" s="143" t="n"/>
      <c r="AO128" s="176" t="inlineStr">
        <is>
          <t>— no certificate —</t>
        </is>
      </c>
      <c r="AS128" s="143" t="n"/>
      <c r="AT128" s="142" t="n"/>
      <c r="AV128" s="145" t="n"/>
    </row>
    <row r="129" ht="17.625" customHeight="1" s="70">
      <c r="A129" s="146" t="n"/>
      <c r="B129" s="147" t="n"/>
      <c r="D129" s="148" t="inlineStr">
        <is>
          <t>2 of 2</t>
        </is>
      </c>
      <c r="E129" s="149" t="inlineStr">
        <is>
          <t>release testing + re-analysis 227</t>
        </is>
      </c>
      <c r="F129" s="150" t="inlineStr">
        <is>
          <t>iCoA-PP_26-061
CoQ-PP_26-058 · initial release
iCoA-PP_26-157
CoQ-PP_26-158 · retest</t>
        </is>
      </c>
      <c r="G129" s="151" t="n"/>
      <c r="H129" s="147" t="n"/>
      <c r="I129" s="152" t="n"/>
      <c r="J129" s="153" t="inlineStr">
        <is>
          <t>Conforms</t>
        </is>
      </c>
      <c r="K129" s="154">
        <f>IFERROR(INDEX('iCoA Register'!$B:$B,MATCH("P060222|I",'iCoA Register'!$AA:$AA,0)),"iCoA — at issue")&amp;", (24.04.2026) [PP]"</f>
        <v/>
      </c>
      <c r="L129" s="155" t="inlineStr">
        <is>
          <t>✓</t>
        </is>
      </c>
      <c r="M129" s="153" t="inlineStr">
        <is>
          <t>Conforms (ImB spec.)</t>
        </is>
      </c>
      <c r="N129" s="154" t="inlineStr">
        <is>
          <t>227-10-К-26, (11.09.2026) [FHM-K]</t>
        </is>
      </c>
      <c r="O129" s="155" t="inlineStr">
        <is>
          <t>✓</t>
        </is>
      </c>
      <c r="P129" s="156" t="inlineStr">
        <is>
          <t>9.73</t>
        </is>
      </c>
      <c r="Q129" s="154" t="inlineStr">
        <is>
          <t>227-10-К-26, (11.09.2026) [FHM-K]</t>
        </is>
      </c>
      <c r="R129" s="155" t="inlineStr">
        <is>
          <t>✓</t>
        </is>
      </c>
      <c r="S129" s="157" t="inlineStr">
        <is>
          <t>&lt; LOQ</t>
        </is>
      </c>
      <c r="T129" s="154" t="inlineStr">
        <is>
          <t>227-10-К-26, (11.09.2026) [FHM-K]</t>
        </is>
      </c>
      <c r="U129" s="155" t="inlineStr">
        <is>
          <t>✓</t>
        </is>
      </c>
      <c r="V129" s="157" t="inlineStr">
        <is>
          <t>&lt; LOQ</t>
        </is>
      </c>
      <c r="W129" s="154" t="inlineStr">
        <is>
          <t>227-10-К-26, (11.09.2026) [FHM-K]</t>
        </is>
      </c>
      <c r="X129" s="155" t="inlineStr">
        <is>
          <t>✓</t>
        </is>
      </c>
      <c r="Y129" s="151" t="n"/>
      <c r="Z129" s="147" t="n"/>
      <c r="AA129" s="152" t="n"/>
      <c r="AB129" s="151" t="n"/>
      <c r="AC129" s="147" t="n"/>
      <c r="AD129" s="152" t="n"/>
      <c r="AE129" s="151" t="n"/>
      <c r="AF129" s="147" t="n"/>
      <c r="AG129" s="147" t="n"/>
      <c r="AH129" s="147" t="n"/>
      <c r="AI129" s="147" t="n"/>
      <c r="AJ129" s="152" t="n"/>
      <c r="AK129" s="151" t="n"/>
      <c r="AL129" s="147" t="n"/>
      <c r="AM129" s="147" t="n"/>
      <c r="AN129" s="152" t="n"/>
      <c r="AO129" s="151" t="n"/>
      <c r="AP129" s="147" t="n"/>
      <c r="AQ129" s="147" t="n"/>
      <c r="AR129" s="147" t="n"/>
      <c r="AS129" s="152" t="n"/>
      <c r="AT129" s="151" t="n"/>
      <c r="AU129" s="147" t="n"/>
      <c r="AV129" s="163" t="n"/>
    </row>
    <row r="130" ht="39" customHeight="1" s="70">
      <c r="A130" s="164" t="n"/>
      <c r="B130" s="165" t="n"/>
      <c r="C130" s="165" t="n"/>
      <c r="D130" s="165" t="n"/>
      <c r="E130" s="165" t="n"/>
      <c r="F130" s="165" t="n"/>
      <c r="G130" s="166" t="n"/>
      <c r="H130" s="165" t="n"/>
      <c r="I130" s="167" t="n"/>
      <c r="J130" s="166" t="n"/>
      <c r="K130" s="165" t="n"/>
      <c r="L130" s="167" t="n"/>
      <c r="M130" s="166" t="n"/>
      <c r="N130" s="165" t="n"/>
      <c r="O130" s="167" t="n"/>
      <c r="P130" s="166" t="n"/>
      <c r="Q130" s="165" t="n"/>
      <c r="R130" s="167" t="n"/>
      <c r="S130" s="166" t="n"/>
      <c r="T130" s="165" t="n"/>
      <c r="U130" s="167" t="n"/>
      <c r="V130" s="166" t="n"/>
      <c r="W130" s="165" t="n"/>
      <c r="X130" s="167" t="n"/>
      <c r="Y130" s="166" t="n"/>
      <c r="Z130" s="165" t="n"/>
      <c r="AA130" s="167" t="n"/>
      <c r="AB130" s="166" t="n"/>
      <c r="AC130" s="165" t="n"/>
      <c r="AD130" s="167" t="n"/>
      <c r="AE130" s="166" t="n"/>
      <c r="AF130" s="165" t="n"/>
      <c r="AG130" s="165" t="n"/>
      <c r="AH130" s="165" t="n"/>
      <c r="AI130" s="165" t="n"/>
      <c r="AJ130" s="167" t="n"/>
      <c r="AK130" s="166" t="n"/>
      <c r="AL130" s="165" t="n"/>
      <c r="AM130" s="165" t="n"/>
      <c r="AN130" s="167" t="n"/>
      <c r="AO130" s="166" t="n"/>
      <c r="AP130" s="165" t="n"/>
      <c r="AQ130" s="165" t="n"/>
      <c r="AR130" s="165" t="n"/>
      <c r="AS130" s="167" t="n"/>
      <c r="AT130" s="166" t="n"/>
      <c r="AU130" s="165" t="n"/>
      <c r="AV130" s="169" t="n"/>
    </row>
    <row r="131" ht="21" customHeight="1" s="70">
      <c r="A131" s="125" t="inlineStr">
        <is>
          <t>OPM122501</t>
        </is>
      </c>
      <c r="B131" s="126" t="inlineStr">
        <is>
          <t>P060242</t>
        </is>
      </c>
      <c r="C131" s="127" t="inlineStr">
        <is>
          <t>✓ COMPLETE
3 testing instances
• 3 document(s) on file, not credited</t>
        </is>
      </c>
      <c r="D131" s="128" t="inlineStr">
        <is>
          <t>1 of 3</t>
        </is>
      </c>
      <c r="E131" s="129" t="inlineStr">
        <is>
          <t>release testing</t>
        </is>
      </c>
      <c r="F131" s="130" t="inlineStr">
        <is>
          <t>iCoA-PP_26-063
CoQ-PP_26-060 · initial release</t>
        </is>
      </c>
      <c r="G131" s="131" t="inlineStr">
        <is>
          <t>Conforms</t>
        </is>
      </c>
      <c r="H131" s="132">
        <f>IFERROR(INDEX('iCoA Register'!$B:$B,MATCH("P060242|I",'iCoA Register'!$AA:$AA,0)),"iCoA — at issue")&amp;", (28.04.2026) [PP]"</f>
        <v/>
      </c>
      <c r="I131" s="133" t="inlineStr">
        <is>
          <t>✓</t>
        </is>
      </c>
      <c r="J131" s="131" t="inlineStr">
        <is>
          <t>Conforms</t>
        </is>
      </c>
      <c r="K131" s="132">
        <f>IFERROR(INDEX('iCoA Register'!$B:$B,MATCH("P060242|I",'iCoA Register'!$AA:$AA,0)),"iCoA — at issue")&amp;", (28.04.2026) [PP]"</f>
        <v/>
      </c>
      <c r="L131" s="133" t="inlineStr">
        <is>
          <t>✓</t>
        </is>
      </c>
      <c r="M131" s="131" t="inlineStr">
        <is>
          <t>Conforms (ImB spec.) ᴿ</t>
        </is>
      </c>
      <c r="N131" s="132" t="inlineStr">
        <is>
          <t>100-4-К-26, (09.04.2026) [FHM-K]</t>
        </is>
      </c>
      <c r="O131" s="133" t="inlineStr">
        <is>
          <t>✓</t>
        </is>
      </c>
      <c r="P131" s="137" t="inlineStr">
        <is>
          <t>8.09</t>
        </is>
      </c>
      <c r="Q131" s="132" t="inlineStr">
        <is>
          <t>100-4-К-26, (09.04.2026) [FHM-K]</t>
        </is>
      </c>
      <c r="R131" s="133" t="inlineStr">
        <is>
          <t>✓</t>
        </is>
      </c>
      <c r="S131" s="138" t="inlineStr">
        <is>
          <t>&lt; LOQ</t>
        </is>
      </c>
      <c r="T131" s="132" t="inlineStr">
        <is>
          <t>100-4-К-26, (09.04.2026) [FHM-K]</t>
        </is>
      </c>
      <c r="U131" s="133" t="inlineStr">
        <is>
          <t>✓</t>
        </is>
      </c>
      <c r="V131" s="138" t="inlineStr">
        <is>
          <t>&lt; LOQ</t>
        </is>
      </c>
      <c r="W131" s="132" t="inlineStr">
        <is>
          <t>100-4-К-26, (09.04.2026) [FHM-K]</t>
        </is>
      </c>
      <c r="X131" s="133" t="inlineStr">
        <is>
          <t>✓</t>
        </is>
      </c>
      <c r="Y131" s="131" t="inlineStr">
        <is>
          <t>Conforms</t>
        </is>
      </c>
      <c r="Z131" s="132">
        <f>IFERROR(INDEX('iCoA Register'!$B:$B,MATCH("P060242|I",'iCoA Register'!$AA:$AA,0)),"iCoA — at issue")&amp;", (28.04.2026) [PP]"</f>
        <v/>
      </c>
      <c r="AA131" s="133" t="inlineStr">
        <is>
          <t>✓</t>
        </is>
      </c>
      <c r="AB131" s="134" t="inlineStr">
        <is>
          <t>not on this certificate</t>
        </is>
      </c>
      <c r="AC131" s="135" t="inlineStr">
        <is>
          <t>100-4-К-26, (09.04.2026) [FHM-K] · on file, not credited</t>
        </is>
      </c>
      <c r="AD131" s="136" t="inlineStr">
        <is>
          <t>•</t>
        </is>
      </c>
      <c r="AE131" s="131" t="inlineStr">
        <is>
          <t>120</t>
        </is>
      </c>
      <c r="AF131" s="139" t="inlineStr">
        <is>
          <t>100</t>
        </is>
      </c>
      <c r="AG131" s="139" t="inlineStr">
        <is>
          <t>&lt; 10</t>
        </is>
      </c>
      <c r="AH131" s="139" t="inlineStr">
        <is>
          <t>Absent</t>
        </is>
      </c>
      <c r="AI131" s="139" t="inlineStr">
        <is>
          <t>Absent</t>
        </is>
      </c>
      <c r="AJ131" s="133" t="inlineStr">
        <is>
          <t>✓</t>
        </is>
      </c>
      <c r="AK131" s="131" t="inlineStr">
        <is>
          <t>not reported</t>
        </is>
      </c>
      <c r="AL131" s="139" t="inlineStr">
        <is>
          <t>2.2</t>
        </is>
      </c>
      <c r="AM131" s="139" t="inlineStr">
        <is>
          <t>not reported</t>
        </is>
      </c>
      <c r="AN131" s="133" t="inlineStr">
        <is>
          <t>✓</t>
        </is>
      </c>
      <c r="AO131" s="131" t="inlineStr">
        <is>
          <t>0.049</t>
        </is>
      </c>
      <c r="AP131" s="139" t="inlineStr">
        <is>
          <t>0.165</t>
        </is>
      </c>
      <c r="AQ131" s="139" t="inlineStr">
        <is>
          <t>ND</t>
        </is>
      </c>
      <c r="AR131" s="139" t="inlineStr">
        <is>
          <t>ND</t>
        </is>
      </c>
      <c r="AS131" s="133" t="inlineStr">
        <is>
          <t>✓</t>
        </is>
      </c>
      <c r="AT131" s="131" t="inlineStr">
        <is>
          <t>≤ LOQ (all 25 compounds)</t>
        </is>
      </c>
      <c r="AU131" s="132" t="inlineStr">
        <is>
          <t>1627-2026, (23.04.2026) [IJZ]</t>
        </is>
      </c>
      <c r="AV131" s="140" t="inlineStr">
        <is>
          <t>✓</t>
        </is>
      </c>
    </row>
    <row r="132" ht="21" customHeight="1" s="70">
      <c r="A132" s="141" t="n"/>
      <c r="G132" s="142" t="n"/>
      <c r="I132" s="143" t="n"/>
      <c r="J132" s="142" t="n"/>
      <c r="L132" s="143" t="n"/>
      <c r="M132" s="142" t="n"/>
      <c r="O132" s="143" t="n"/>
      <c r="P132" s="142" t="n"/>
      <c r="R132" s="143" t="n"/>
      <c r="S132" s="142" t="n"/>
      <c r="U132" s="143" t="n"/>
      <c r="V132" s="142" t="n"/>
      <c r="X132" s="143" t="n"/>
      <c r="Y132" s="142" t="n"/>
      <c r="AA132" s="143" t="n"/>
      <c r="AB132" s="142" t="n"/>
      <c r="AD132" s="143" t="n"/>
      <c r="AE132" s="144" t="inlineStr">
        <is>
          <t>229-0392-26, (07.04.2026) [IJZ-MB]</t>
        </is>
      </c>
      <c r="AJ132" s="143" t="n"/>
      <c r="AK132" s="144" t="inlineStr">
        <is>
          <t>1627-2026, (23.04.2026) [IJZ]</t>
        </is>
      </c>
      <c r="AN132" s="143" t="n"/>
      <c r="AO132" s="144" t="inlineStr">
        <is>
          <t>1627-2026, (23.04.2026) [IJZ]</t>
        </is>
      </c>
      <c r="AS132" s="143" t="n"/>
      <c r="AT132" s="142" t="n"/>
      <c r="AV132" s="145" t="n"/>
    </row>
    <row r="133" ht="17.625" customHeight="1" s="70">
      <c r="A133" s="146" t="n"/>
      <c r="B133" s="147" t="n"/>
      <c r="D133" s="193" t="inlineStr">
        <is>
          <t>2 of 3</t>
        </is>
      </c>
      <c r="E133" s="194" t="inlineStr">
        <is>
          <t>release testing + re-analysis 197</t>
        </is>
      </c>
      <c r="F133" s="195" t="inlineStr">
        <is>
          <t>iCoA-PP_26-063
CoQ-PP_26-060 · initial release
iCoA-PP_26-118
CoQ-PP_26-103 · retest</t>
        </is>
      </c>
      <c r="G133" s="151" t="n"/>
      <c r="H133" s="147" t="n"/>
      <c r="I133" s="152" t="n"/>
      <c r="J133" s="151" t="n"/>
      <c r="K133" s="147" t="n"/>
      <c r="L133" s="152" t="n"/>
      <c r="M133" s="200" t="inlineStr">
        <is>
          <t>not on this certificate</t>
        </is>
      </c>
      <c r="N133" s="201" t="inlineStr">
        <is>
          <t>100-4-ГС-26, (09.04.2026) [FHM-K] · on file, not credited</t>
        </is>
      </c>
      <c r="O133" s="202" t="inlineStr">
        <is>
          <t>•</t>
        </is>
      </c>
      <c r="P133" s="214" t="inlineStr">
        <is>
          <t>not on this certificate</t>
        </is>
      </c>
      <c r="Q133" s="201" t="inlineStr">
        <is>
          <t>100-4-ГС-26, (09.04.2026) [FHM-K] · on file, not credited</t>
        </is>
      </c>
      <c r="R133" s="202" t="inlineStr">
        <is>
          <t>•</t>
        </is>
      </c>
      <c r="S133" s="215" t="inlineStr">
        <is>
          <t>not on this certificate</t>
        </is>
      </c>
      <c r="T133" s="201" t="inlineStr">
        <is>
          <t>100-4-ГС-26, (09.04.2026) [FHM-K] · on file, not credited</t>
        </is>
      </c>
      <c r="U133" s="202" t="inlineStr">
        <is>
          <t>•</t>
        </is>
      </c>
      <c r="V133" s="215" t="inlineStr">
        <is>
          <t>not on this certificate</t>
        </is>
      </c>
      <c r="W133" s="201" t="inlineStr">
        <is>
          <t>100-4-ГС-26, (09.04.2026) [FHM-K] · on file, not credited</t>
        </is>
      </c>
      <c r="X133" s="202" t="inlineStr">
        <is>
          <t>•</t>
        </is>
      </c>
      <c r="Y133" s="151" t="n"/>
      <c r="Z133" s="147" t="n"/>
      <c r="AA133" s="152" t="n"/>
      <c r="AB133" s="161" t="inlineStr">
        <is>
          <t>6.6</t>
        </is>
      </c>
      <c r="AC133" s="196" t="inlineStr">
        <is>
          <t>100-4-ГС-26, (09.04.2026) [FHM-K]</t>
        </is>
      </c>
      <c r="AD133" s="197" t="inlineStr">
        <is>
          <t>✓</t>
        </is>
      </c>
      <c r="AE133" s="151" t="n"/>
      <c r="AF133" s="147" t="n"/>
      <c r="AG133" s="147" t="n"/>
      <c r="AH133" s="147" t="n"/>
      <c r="AI133" s="147" t="n"/>
      <c r="AJ133" s="152" t="n"/>
      <c r="AK133" s="161" t="inlineStr">
        <is>
          <t>ND</t>
        </is>
      </c>
      <c r="AL133" s="162" t="inlineStr">
        <is>
          <t>ND</t>
        </is>
      </c>
      <c r="AM133" s="162" t="inlineStr">
        <is>
          <t>ND</t>
        </is>
      </c>
      <c r="AN133" s="197" t="inlineStr">
        <is>
          <t>✓</t>
        </is>
      </c>
      <c r="AO133" s="151" t="n"/>
      <c r="AP133" s="147" t="n"/>
      <c r="AQ133" s="147" t="n"/>
      <c r="AR133" s="147" t="n"/>
      <c r="AS133" s="152" t="n"/>
      <c r="AT133" s="151" t="n"/>
      <c r="AU133" s="147" t="n"/>
      <c r="AV133" s="163" t="n"/>
    </row>
    <row r="134" ht="39" customHeight="1" s="70">
      <c r="A134" s="203" t="n"/>
      <c r="B134" s="204" t="n"/>
      <c r="D134" s="204" t="n"/>
      <c r="E134" s="204" t="n"/>
      <c r="F134" s="204" t="n"/>
      <c r="G134" s="205" t="n"/>
      <c r="H134" s="204" t="n"/>
      <c r="I134" s="206" t="n"/>
      <c r="J134" s="205" t="n"/>
      <c r="K134" s="204" t="n"/>
      <c r="L134" s="206" t="n"/>
      <c r="M134" s="205" t="n"/>
      <c r="N134" s="204" t="n"/>
      <c r="O134" s="206" t="n"/>
      <c r="P134" s="205" t="n"/>
      <c r="Q134" s="204" t="n"/>
      <c r="R134" s="206" t="n"/>
      <c r="S134" s="205" t="n"/>
      <c r="T134" s="204" t="n"/>
      <c r="U134" s="206" t="n"/>
      <c r="V134" s="205" t="n"/>
      <c r="W134" s="204" t="n"/>
      <c r="X134" s="206" t="n"/>
      <c r="Y134" s="205" t="n"/>
      <c r="Z134" s="204" t="n"/>
      <c r="AA134" s="206" t="n"/>
      <c r="AB134" s="205" t="n"/>
      <c r="AC134" s="204" t="n"/>
      <c r="AD134" s="206" t="n"/>
      <c r="AE134" s="205" t="n"/>
      <c r="AF134" s="204" t="n"/>
      <c r="AG134" s="204" t="n"/>
      <c r="AH134" s="204" t="n"/>
      <c r="AI134" s="204" t="n"/>
      <c r="AJ134" s="206" t="n"/>
      <c r="AK134" s="221" t="inlineStr">
        <is>
          <t>197-19-М-26, (10.08.2026) [FHM-M]</t>
        </is>
      </c>
      <c r="AL134" s="204" t="n"/>
      <c r="AM134" s="204" t="n"/>
      <c r="AN134" s="206" t="n"/>
      <c r="AO134" s="205" t="n"/>
      <c r="AP134" s="204" t="n"/>
      <c r="AQ134" s="204" t="n"/>
      <c r="AR134" s="204" t="n"/>
      <c r="AS134" s="206" t="n"/>
      <c r="AT134" s="205" t="n"/>
      <c r="AU134" s="204" t="n"/>
      <c r="AV134" s="207" t="n"/>
    </row>
    <row r="135" ht="17.625" customHeight="1" s="70">
      <c r="A135" s="146" t="n"/>
      <c r="B135" s="147" t="n"/>
      <c r="D135" s="148" t="inlineStr">
        <is>
          <t>3 of 3</t>
        </is>
      </c>
      <c r="E135" s="149" t="inlineStr">
        <is>
          <t>re-analysis 197</t>
        </is>
      </c>
      <c r="F135" s="150" t="inlineStr">
        <is>
          <t>iCoA-PP_26-118
CoQ-PP_26-103 · retest</t>
        </is>
      </c>
      <c r="G135" s="151" t="n"/>
      <c r="H135" s="147" t="n"/>
      <c r="I135" s="152" t="n"/>
      <c r="J135" s="151" t="n"/>
      <c r="K135" s="147" t="n"/>
      <c r="L135" s="152" t="n"/>
      <c r="M135" s="153" t="inlineStr">
        <is>
          <t>Conforms (ImB spec.) ᴿ</t>
        </is>
      </c>
      <c r="N135" s="154" t="inlineStr">
        <is>
          <t>197-19-К-26, (07.08.2026) [FHM-K]</t>
        </is>
      </c>
      <c r="O135" s="155" t="inlineStr">
        <is>
          <t>✓</t>
        </is>
      </c>
      <c r="P135" s="156" t="inlineStr">
        <is>
          <t>7.91</t>
        </is>
      </c>
      <c r="Q135" s="154" t="inlineStr">
        <is>
          <t>197-19-К-26, (07.08.2026) [FHM-K]</t>
        </is>
      </c>
      <c r="R135" s="155" t="inlineStr">
        <is>
          <t>✓</t>
        </is>
      </c>
      <c r="S135" s="157" t="inlineStr">
        <is>
          <t>&lt; LOQ</t>
        </is>
      </c>
      <c r="T135" s="154" t="inlineStr">
        <is>
          <t>197-19-К-26, (07.08.2026) [FHM-K]</t>
        </is>
      </c>
      <c r="U135" s="155" t="inlineStr">
        <is>
          <t>✓</t>
        </is>
      </c>
      <c r="V135" s="157" t="inlineStr">
        <is>
          <t>&lt; LOQ</t>
        </is>
      </c>
      <c r="W135" s="154" t="inlineStr">
        <is>
          <t>197-19-К-26, (07.08.2026) [FHM-K]</t>
        </is>
      </c>
      <c r="X135" s="155" t="inlineStr">
        <is>
          <t>✓</t>
        </is>
      </c>
      <c r="Y135" s="151" t="n"/>
      <c r="Z135" s="147" t="n"/>
      <c r="AA135" s="152" t="n"/>
      <c r="AB135" s="158" t="inlineStr">
        <is>
          <t>not on this certificate</t>
        </is>
      </c>
      <c r="AC135" s="159" t="inlineStr">
        <is>
          <t>197-19-К-26, (07.08.2026) [FHM-K] · on file, not credited</t>
        </is>
      </c>
      <c r="AD135" s="160" t="inlineStr">
        <is>
          <t>•</t>
        </is>
      </c>
      <c r="AE135" s="151" t="n"/>
      <c r="AF135" s="147" t="n"/>
      <c r="AG135" s="147" t="n"/>
      <c r="AH135" s="147" t="n"/>
      <c r="AI135" s="147" t="n"/>
      <c r="AJ135" s="152" t="n"/>
      <c r="AK135" s="151" t="n"/>
      <c r="AL135" s="147" t="n"/>
      <c r="AM135" s="147" t="n"/>
      <c r="AN135" s="152" t="n"/>
      <c r="AO135" s="151" t="n"/>
      <c r="AP135" s="147" t="n"/>
      <c r="AQ135" s="147" t="n"/>
      <c r="AR135" s="147" t="n"/>
      <c r="AS135" s="152" t="n"/>
      <c r="AT135" s="151" t="n"/>
      <c r="AU135" s="147" t="n"/>
      <c r="AV135" s="163" t="n"/>
    </row>
    <row r="136" ht="15.375" customHeight="1" s="70">
      <c r="A136" s="164" t="n"/>
      <c r="B136" s="165" t="n"/>
      <c r="C136" s="165" t="n"/>
      <c r="D136" s="165" t="n"/>
      <c r="E136" s="165" t="n"/>
      <c r="F136" s="165" t="n"/>
      <c r="G136" s="166" t="n"/>
      <c r="H136" s="165" t="n"/>
      <c r="I136" s="167" t="n"/>
      <c r="J136" s="166" t="n"/>
      <c r="K136" s="165" t="n"/>
      <c r="L136" s="167" t="n"/>
      <c r="M136" s="166" t="n"/>
      <c r="N136" s="165" t="n"/>
      <c r="O136" s="167" t="n"/>
      <c r="P136" s="166" t="n"/>
      <c r="Q136" s="165" t="n"/>
      <c r="R136" s="167" t="n"/>
      <c r="S136" s="166" t="n"/>
      <c r="T136" s="165" t="n"/>
      <c r="U136" s="167" t="n"/>
      <c r="V136" s="166" t="n"/>
      <c r="W136" s="165" t="n"/>
      <c r="X136" s="167" t="n"/>
      <c r="Y136" s="166" t="n"/>
      <c r="Z136" s="165" t="n"/>
      <c r="AA136" s="167" t="n"/>
      <c r="AB136" s="166" t="n"/>
      <c r="AC136" s="165" t="n"/>
      <c r="AD136" s="167" t="n"/>
      <c r="AE136" s="166" t="n"/>
      <c r="AF136" s="165" t="n"/>
      <c r="AG136" s="165" t="n"/>
      <c r="AH136" s="165" t="n"/>
      <c r="AI136" s="165" t="n"/>
      <c r="AJ136" s="167" t="n"/>
      <c r="AK136" s="166" t="n"/>
      <c r="AL136" s="165" t="n"/>
      <c r="AM136" s="165" t="n"/>
      <c r="AN136" s="167" t="n"/>
      <c r="AO136" s="166" t="n"/>
      <c r="AP136" s="165" t="n"/>
      <c r="AQ136" s="165" t="n"/>
      <c r="AR136" s="165" t="n"/>
      <c r="AS136" s="167" t="n"/>
      <c r="AT136" s="166" t="n"/>
      <c r="AU136" s="165" t="n"/>
      <c r="AV136" s="169" t="n"/>
    </row>
    <row r="137" ht="21" customHeight="1" s="70">
      <c r="A137" s="125" t="inlineStr">
        <is>
          <t>GG1024_02</t>
        </is>
      </c>
      <c r="B137" s="126" t="inlineStr">
        <is>
          <t>P050012</t>
        </is>
      </c>
      <c r="C137" s="170" t="inlineStr">
        <is>
          <t>✓ COMPLETE
2 testing instances
• 1 document(s) on file, not credited
◐ UNDETERMINED (Ph. Eur. band): #9 TYMC</t>
        </is>
      </c>
      <c r="D137" s="128" t="inlineStr">
        <is>
          <t>1 of 2</t>
        </is>
      </c>
      <c r="E137" s="129" t="inlineStr">
        <is>
          <t>release testing</t>
        </is>
      </c>
      <c r="F137" s="130" t="inlineStr">
        <is>
          <t>iCoA-PP_26-009
CoQ-PP_26-008 · initial release</t>
        </is>
      </c>
      <c r="G137" s="131" t="inlineStr">
        <is>
          <t>Conforms</t>
        </is>
      </c>
      <c r="H137" s="132">
        <f>IFERROR(INDEX('iCoA Register'!$B:$B,MATCH("P050012|I",'iCoA Register'!$AA:$AA,0)),"iCoA — at issue")&amp;", (11.06.2025) [PP]"</f>
        <v/>
      </c>
      <c r="I137" s="133" t="inlineStr">
        <is>
          <t>✓</t>
        </is>
      </c>
      <c r="J137" s="134" t="inlineStr">
        <is>
          <t>not on this certificate</t>
        </is>
      </c>
      <c r="K137" s="135" t="inlineStr">
        <is>
          <t>ППК25140, (22.05.2025) [CNP] · on file, not credited</t>
        </is>
      </c>
      <c r="L137" s="136" t="inlineStr">
        <is>
          <t>•</t>
        </is>
      </c>
      <c r="M137" s="131" t="inlineStr">
        <is>
          <t>Conforms (ImB spec.)</t>
        </is>
      </c>
      <c r="N137" s="132" t="inlineStr">
        <is>
          <t>ППК25140, (22.05.2025) [CNP]</t>
        </is>
      </c>
      <c r="O137" s="133" t="inlineStr">
        <is>
          <t>✓</t>
        </is>
      </c>
      <c r="P137" s="137" t="inlineStr">
        <is>
          <t>15.95</t>
        </is>
      </c>
      <c r="Q137" s="132" t="inlineStr">
        <is>
          <t>ППК25140, (22.05.2025) [CNP]</t>
        </is>
      </c>
      <c r="R137" s="133" t="inlineStr">
        <is>
          <t>✓</t>
        </is>
      </c>
      <c r="S137" s="138" t="inlineStr">
        <is>
          <t>0.05</t>
        </is>
      </c>
      <c r="T137" s="132" t="inlineStr">
        <is>
          <t>ППК25140, (22.05.2025) [CNP]</t>
        </is>
      </c>
      <c r="U137" s="133" t="inlineStr">
        <is>
          <t>✓</t>
        </is>
      </c>
      <c r="V137" s="138" t="inlineStr">
        <is>
          <t>0.01 ᴰ</t>
        </is>
      </c>
      <c r="W137" s="132" t="inlineStr">
        <is>
          <t>ППК25140, (22.05.2025) [CNP]</t>
        </is>
      </c>
      <c r="X137" s="133" t="inlineStr">
        <is>
          <t>✓</t>
        </is>
      </c>
      <c r="Y137" s="131" t="inlineStr">
        <is>
          <t>Conforms</t>
        </is>
      </c>
      <c r="Z137" s="132">
        <f>IFERROR(INDEX('iCoA Register'!$B:$B,MATCH("P050012|I",'iCoA Register'!$AA:$AA,0)),"iCoA — at issue")&amp;", (11.06.2025) [PP]"</f>
        <v/>
      </c>
      <c r="AA137" s="133" t="inlineStr">
        <is>
          <t>✓</t>
        </is>
      </c>
      <c r="AB137" s="131" t="inlineStr">
        <is>
          <t>6.88</t>
        </is>
      </c>
      <c r="AC137" s="132" t="inlineStr">
        <is>
          <t>ППК25140, (22.05.2025) [CNP]</t>
        </is>
      </c>
      <c r="AD137" s="133" t="inlineStr">
        <is>
          <t>✓</t>
        </is>
      </c>
      <c r="AE137" s="131" t="inlineStr">
        <is>
          <t>2.1 × 10⁴</t>
        </is>
      </c>
      <c r="AF137" s="227" t="inlineStr">
        <is>
          <t>1.9 × 10⁴</t>
        </is>
      </c>
      <c r="AG137" s="139" t="inlineStr">
        <is>
          <t>&lt; 10</t>
        </is>
      </c>
      <c r="AH137" s="139" t="inlineStr">
        <is>
          <t>Absent</t>
        </is>
      </c>
      <c r="AI137" s="139" t="inlineStr">
        <is>
          <t>Absent</t>
        </is>
      </c>
      <c r="AJ137" s="133" t="inlineStr">
        <is>
          <t>✓</t>
        </is>
      </c>
      <c r="AK137" s="131" t="inlineStr">
        <is>
          <t>not reported</t>
        </is>
      </c>
      <c r="AL137" s="139" t="inlineStr">
        <is>
          <t>&lt; 2</t>
        </is>
      </c>
      <c r="AM137" s="139" t="inlineStr">
        <is>
          <t>not reported</t>
        </is>
      </c>
      <c r="AN137" s="133" t="inlineStr">
        <is>
          <t>✓</t>
        </is>
      </c>
      <c r="AO137" s="131" t="inlineStr">
        <is>
          <t>ND</t>
        </is>
      </c>
      <c r="AP137" s="139" t="inlineStr">
        <is>
          <t>ND</t>
        </is>
      </c>
      <c r="AQ137" s="139" t="inlineStr">
        <is>
          <t>ND</t>
        </is>
      </c>
      <c r="AR137" s="139" t="inlineStr">
        <is>
          <t>ND</t>
        </is>
      </c>
      <c r="AS137" s="133" t="inlineStr">
        <is>
          <t>✓</t>
        </is>
      </c>
      <c r="AT137" s="131" t="inlineStr">
        <is>
          <t>≤ LOQ (all 26 compounds)</t>
        </is>
      </c>
      <c r="AU137" s="132" t="inlineStr">
        <is>
          <t>2472-2025, (30.05.2025) [IJZ]</t>
        </is>
      </c>
      <c r="AV137" s="140" t="inlineStr">
        <is>
          <t>✓</t>
        </is>
      </c>
    </row>
    <row r="138" ht="21" customHeight="1" s="70">
      <c r="A138" s="141" t="n"/>
      <c r="G138" s="142" t="n"/>
      <c r="I138" s="143" t="n"/>
      <c r="J138" s="142" t="n"/>
      <c r="L138" s="143" t="n"/>
      <c r="M138" s="142" t="n"/>
      <c r="O138" s="143" t="n"/>
      <c r="P138" s="142" t="n"/>
      <c r="R138" s="143" t="n"/>
      <c r="S138" s="142" t="n"/>
      <c r="U138" s="143" t="n"/>
      <c r="V138" s="142" t="n"/>
      <c r="X138" s="143" t="n"/>
      <c r="Y138" s="142" t="n"/>
      <c r="AA138" s="143" t="n"/>
      <c r="AB138" s="142" t="n"/>
      <c r="AD138" s="143" t="n"/>
      <c r="AE138" s="144" t="inlineStr">
        <is>
          <t>472-0863-25, (22.05.2025) [IJZ-MB]</t>
        </is>
      </c>
      <c r="AJ138" s="143" t="n"/>
      <c r="AK138" s="144" t="inlineStr">
        <is>
          <t>2472-2025, (30.05.2025) [IJZ]</t>
        </is>
      </c>
      <c r="AN138" s="143" t="n"/>
      <c r="AO138" s="144" t="inlineStr">
        <is>
          <t>2472-2025, (30.05.2025) [IJZ]</t>
        </is>
      </c>
      <c r="AS138" s="143" t="n"/>
      <c r="AT138" s="142" t="n"/>
      <c r="AV138" s="145" t="n"/>
    </row>
    <row r="139" ht="17.625" customHeight="1" s="70">
      <c r="A139" s="146" t="n"/>
      <c r="B139" s="147" t="n"/>
      <c r="D139" s="148" t="inlineStr">
        <is>
          <t>2 of 2</t>
        </is>
      </c>
      <c r="E139" s="149" t="inlineStr">
        <is>
          <t>release testing + re-analysis 227 + re-test campaign (IJZ-MB)</t>
        </is>
      </c>
      <c r="F139" s="150" t="inlineStr">
        <is>
          <t>iCoA-PP_26-009
CoQ-PP_26-008 · initial release
iCoA-PP_26-165
CoQ-PP_26-147 · retest</t>
        </is>
      </c>
      <c r="G139" s="151" t="n"/>
      <c r="H139" s="147" t="n"/>
      <c r="I139" s="152" t="n"/>
      <c r="J139" s="153" t="inlineStr">
        <is>
          <t>Conforms</t>
        </is>
      </c>
      <c r="K139" s="154">
        <f>IFERROR(INDEX('iCoA Register'!$B:$B,MATCH("P050012|I",'iCoA Register'!$AA:$AA,0)),"iCoA — at issue")&amp;", (11.06.2025) [PP]"</f>
        <v/>
      </c>
      <c r="L139" s="155" t="inlineStr">
        <is>
          <t>✓</t>
        </is>
      </c>
      <c r="M139" s="153" t="inlineStr">
        <is>
          <t>Conforms (ImB spec.)</t>
        </is>
      </c>
      <c r="N139" s="154" t="inlineStr">
        <is>
          <t>227-19-К-26, (11.09.2026) [FHM-K]</t>
        </is>
      </c>
      <c r="O139" s="155" t="inlineStr">
        <is>
          <t>✓</t>
        </is>
      </c>
      <c r="P139" s="156" t="inlineStr">
        <is>
          <t>17.76</t>
        </is>
      </c>
      <c r="Q139" s="154" t="inlineStr">
        <is>
          <t>227-19-К-26, (11.09.2026) [FHM-K]</t>
        </is>
      </c>
      <c r="R139" s="155" t="inlineStr">
        <is>
          <t>✓</t>
        </is>
      </c>
      <c r="S139" s="157" t="inlineStr">
        <is>
          <t>&lt; LOQ</t>
        </is>
      </c>
      <c r="T139" s="154" t="inlineStr">
        <is>
          <t>227-19-К-26, (11.09.2026) [FHM-K]</t>
        </is>
      </c>
      <c r="U139" s="155" t="inlineStr">
        <is>
          <t>✓</t>
        </is>
      </c>
      <c r="V139" s="157" t="inlineStr">
        <is>
          <t>0.26</t>
        </is>
      </c>
      <c r="W139" s="154" t="inlineStr">
        <is>
          <t>227-19-К-26, (11.09.2026) [FHM-K]</t>
        </is>
      </c>
      <c r="X139" s="155" t="inlineStr">
        <is>
          <t>✓</t>
        </is>
      </c>
      <c r="Y139" s="151" t="n"/>
      <c r="Z139" s="147" t="n"/>
      <c r="AA139" s="152" t="n"/>
      <c r="AB139" s="151" t="n"/>
      <c r="AC139" s="147" t="n"/>
      <c r="AD139" s="152" t="n"/>
      <c r="AE139" s="161" t="inlineStr">
        <is>
          <t>&lt; 10</t>
        </is>
      </c>
      <c r="AF139" s="162" t="inlineStr">
        <is>
          <t>&lt; 10</t>
        </is>
      </c>
      <c r="AG139" s="162" t="inlineStr">
        <is>
          <t>&lt; 10</t>
        </is>
      </c>
      <c r="AH139" s="162" t="inlineStr">
        <is>
          <t>Absent</t>
        </is>
      </c>
      <c r="AI139" s="162" t="inlineStr">
        <is>
          <t>Absent</t>
        </is>
      </c>
      <c r="AJ139" s="155" t="inlineStr">
        <is>
          <t>✓</t>
        </is>
      </c>
      <c r="AK139" s="151" t="n"/>
      <c r="AL139" s="147" t="n"/>
      <c r="AM139" s="147" t="n"/>
      <c r="AN139" s="152" t="n"/>
      <c r="AO139" s="151" t="n"/>
      <c r="AP139" s="147" t="n"/>
      <c r="AQ139" s="147" t="n"/>
      <c r="AR139" s="147" t="n"/>
      <c r="AS139" s="152" t="n"/>
      <c r="AT139" s="151" t="n"/>
      <c r="AU139" s="147" t="n"/>
      <c r="AV139" s="163" t="n"/>
    </row>
    <row r="140" ht="39" customHeight="1" s="70">
      <c r="A140" s="164" t="n"/>
      <c r="B140" s="165" t="n"/>
      <c r="C140" s="165" t="n"/>
      <c r="D140" s="165" t="n"/>
      <c r="E140" s="165" t="n"/>
      <c r="F140" s="165" t="n"/>
      <c r="G140" s="166" t="n"/>
      <c r="H140" s="165" t="n"/>
      <c r="I140" s="167" t="n"/>
      <c r="J140" s="166" t="n"/>
      <c r="K140" s="165" t="n"/>
      <c r="L140" s="167" t="n"/>
      <c r="M140" s="166" t="n"/>
      <c r="N140" s="165" t="n"/>
      <c r="O140" s="167" t="n"/>
      <c r="P140" s="166" t="n"/>
      <c r="Q140" s="165" t="n"/>
      <c r="R140" s="167" t="n"/>
      <c r="S140" s="166" t="n"/>
      <c r="T140" s="165" t="n"/>
      <c r="U140" s="167" t="n"/>
      <c r="V140" s="166" t="n"/>
      <c r="W140" s="165" t="n"/>
      <c r="X140" s="167" t="n"/>
      <c r="Y140" s="166" t="n"/>
      <c r="Z140" s="165" t="n"/>
      <c r="AA140" s="167" t="n"/>
      <c r="AB140" s="166" t="n"/>
      <c r="AC140" s="165" t="n"/>
      <c r="AD140" s="167" t="n"/>
      <c r="AE140" s="168" t="inlineStr">
        <is>
          <t>564-1095-26, (01.09.2026) [IJZ-MB]</t>
        </is>
      </c>
      <c r="AF140" s="165" t="n"/>
      <c r="AG140" s="165" t="n"/>
      <c r="AH140" s="165" t="n"/>
      <c r="AI140" s="165" t="n"/>
      <c r="AJ140" s="167" t="n"/>
      <c r="AK140" s="166" t="n"/>
      <c r="AL140" s="165" t="n"/>
      <c r="AM140" s="165" t="n"/>
      <c r="AN140" s="167" t="n"/>
      <c r="AO140" s="166" t="n"/>
      <c r="AP140" s="165" t="n"/>
      <c r="AQ140" s="165" t="n"/>
      <c r="AR140" s="165" t="n"/>
      <c r="AS140" s="167" t="n"/>
      <c r="AT140" s="166" t="n"/>
      <c r="AU140" s="165" t="n"/>
      <c r="AV140" s="169" t="n"/>
    </row>
    <row r="141" ht="21" customHeight="1" s="70">
      <c r="A141" s="125" t="inlineStr">
        <is>
          <t>GP0824_02</t>
        </is>
      </c>
      <c r="B141" s="126" t="inlineStr">
        <is>
          <t>P050022</t>
        </is>
      </c>
      <c r="C141" s="127" t="inlineStr">
        <is>
          <t>✓ COMPLETE
6 testing instances
• 6 document(s) on file, not credited
· stability above A.C.: #6</t>
        </is>
      </c>
      <c r="D141" s="128" t="inlineStr">
        <is>
          <t>1 of 6</t>
        </is>
      </c>
      <c r="E141" s="129" t="inlineStr">
        <is>
          <t>release testing</t>
        </is>
      </c>
      <c r="F141" s="130" t="inlineStr">
        <is>
          <t>iCoA-PP_26-008
CoQ-PP_26-007 · initial release</t>
        </is>
      </c>
      <c r="G141" s="131" t="inlineStr">
        <is>
          <t>Conforms</t>
        </is>
      </c>
      <c r="H141" s="132">
        <f>IFERROR(INDEX('iCoA Register'!$B:$B,MATCH("P050022|I",'iCoA Register'!$AA:$AA,0)),"iCoA — at issue")&amp;", (03.06.2025) [PP]"</f>
        <v/>
      </c>
      <c r="I141" s="133" t="inlineStr">
        <is>
          <t>✓</t>
        </is>
      </c>
      <c r="J141" s="134" t="inlineStr">
        <is>
          <t>not on this certificate</t>
        </is>
      </c>
      <c r="K141" s="135" t="inlineStr">
        <is>
          <t>ППК25139, (22.05.2025) [CNP] · on file, not credited</t>
        </is>
      </c>
      <c r="L141" s="136" t="inlineStr">
        <is>
          <t>•</t>
        </is>
      </c>
      <c r="M141" s="131" t="inlineStr">
        <is>
          <t>Conforms (ImB spec.)</t>
        </is>
      </c>
      <c r="N141" s="132" t="inlineStr">
        <is>
          <t>ППК25139, (22.05.2025) [CNP]</t>
        </is>
      </c>
      <c r="O141" s="133" t="inlineStr">
        <is>
          <t>✓</t>
        </is>
      </c>
      <c r="P141" s="137" t="inlineStr">
        <is>
          <t>23.79</t>
        </is>
      </c>
      <c r="Q141" s="132" t="inlineStr">
        <is>
          <t>ППК25139, (22.05.2025) [CNP]</t>
        </is>
      </c>
      <c r="R141" s="133" t="inlineStr">
        <is>
          <t>✓</t>
        </is>
      </c>
      <c r="S141" s="138" t="inlineStr">
        <is>
          <t>0.10</t>
        </is>
      </c>
      <c r="T141" s="132" t="inlineStr">
        <is>
          <t>ППК25139, (22.05.2025) [CNP]</t>
        </is>
      </c>
      <c r="U141" s="133" t="inlineStr">
        <is>
          <t>✓</t>
        </is>
      </c>
      <c r="V141" s="138" t="inlineStr">
        <is>
          <t>0.02 ᴰ</t>
        </is>
      </c>
      <c r="W141" s="132" t="inlineStr">
        <is>
          <t>ППК25139, (22.05.2025) [CNP]</t>
        </is>
      </c>
      <c r="X141" s="133" t="inlineStr">
        <is>
          <t>✓</t>
        </is>
      </c>
      <c r="Y141" s="131" t="inlineStr">
        <is>
          <t>Conforms</t>
        </is>
      </c>
      <c r="Z141" s="132">
        <f>IFERROR(INDEX('iCoA Register'!$B:$B,MATCH("P050022|I",'iCoA Register'!$AA:$AA,0)),"iCoA — at issue")&amp;", (03.06.2025) [PP]"</f>
        <v/>
      </c>
      <c r="AA141" s="133" t="inlineStr">
        <is>
          <t>✓</t>
        </is>
      </c>
      <c r="AB141" s="131" t="inlineStr">
        <is>
          <t>7.21</t>
        </is>
      </c>
      <c r="AC141" s="132" t="inlineStr">
        <is>
          <t>ППК25139, (22.05.2025) [CNP]</t>
        </is>
      </c>
      <c r="AD141" s="133" t="inlineStr">
        <is>
          <t>✓</t>
        </is>
      </c>
      <c r="AE141" s="131" t="inlineStr">
        <is>
          <t>700</t>
        </is>
      </c>
      <c r="AF141" s="139" t="inlineStr">
        <is>
          <t>&lt; 10</t>
        </is>
      </c>
      <c r="AG141" s="139" t="inlineStr">
        <is>
          <t>&lt; 10² and &gt; 10</t>
        </is>
      </c>
      <c r="AH141" s="139" t="inlineStr">
        <is>
          <t>Absent</t>
        </is>
      </c>
      <c r="AI141" s="139" t="inlineStr">
        <is>
          <t>Absent</t>
        </is>
      </c>
      <c r="AJ141" s="133" t="inlineStr">
        <is>
          <t>✓</t>
        </is>
      </c>
      <c r="AK141" s="131" t="inlineStr">
        <is>
          <t>not reported</t>
        </is>
      </c>
      <c r="AL141" s="139" t="inlineStr">
        <is>
          <t>&lt; 2</t>
        </is>
      </c>
      <c r="AM141" s="139" t="inlineStr">
        <is>
          <t>not reported</t>
        </is>
      </c>
      <c r="AN141" s="133" t="inlineStr">
        <is>
          <t>✓</t>
        </is>
      </c>
      <c r="AO141" s="131" t="inlineStr">
        <is>
          <t>ND</t>
        </is>
      </c>
      <c r="AP141" s="139" t="inlineStr">
        <is>
          <t>ND</t>
        </is>
      </c>
      <c r="AQ141" s="139" t="inlineStr">
        <is>
          <t>ND</t>
        </is>
      </c>
      <c r="AR141" s="139" t="inlineStr">
        <is>
          <t>ND</t>
        </is>
      </c>
      <c r="AS141" s="133" t="inlineStr">
        <is>
          <t>✓</t>
        </is>
      </c>
      <c r="AT141" s="131" t="inlineStr">
        <is>
          <t>≤ LOQ (all 29 compounds)</t>
        </is>
      </c>
      <c r="AU141" s="132" t="inlineStr">
        <is>
          <t>2471-2025, (30.05.2025) [IJZ]</t>
        </is>
      </c>
      <c r="AV141" s="140" t="inlineStr">
        <is>
          <t>✓</t>
        </is>
      </c>
    </row>
    <row r="142" ht="21" customHeight="1" s="70">
      <c r="A142" s="141" t="n"/>
      <c r="G142" s="142" t="n"/>
      <c r="I142" s="143" t="n"/>
      <c r="J142" s="142" t="n"/>
      <c r="L142" s="143" t="n"/>
      <c r="M142" s="142" t="n"/>
      <c r="O142" s="143" t="n"/>
      <c r="P142" s="142" t="n"/>
      <c r="R142" s="143" t="n"/>
      <c r="S142" s="142" t="n"/>
      <c r="U142" s="143" t="n"/>
      <c r="V142" s="142" t="n"/>
      <c r="X142" s="143" t="n"/>
      <c r="Y142" s="142" t="n"/>
      <c r="AA142" s="143" t="n"/>
      <c r="AB142" s="142" t="n"/>
      <c r="AD142" s="143" t="n"/>
      <c r="AE142" s="144" t="inlineStr">
        <is>
          <t>471-0862-25, (22.05.2025) [IJZ-MB]</t>
        </is>
      </c>
      <c r="AJ142" s="143" t="n"/>
      <c r="AK142" s="144" t="inlineStr">
        <is>
          <t>2471-2025, (30.05.2025) [IJZ]</t>
        </is>
      </c>
      <c r="AN142" s="143" t="n"/>
      <c r="AO142" s="144" t="inlineStr">
        <is>
          <t>2471-2025, (30.05.2025) [IJZ]</t>
        </is>
      </c>
      <c r="AS142" s="143" t="n"/>
      <c r="AT142" s="142" t="n"/>
      <c r="AV142" s="145" t="n"/>
    </row>
    <row r="143" ht="21" customHeight="1" s="70">
      <c r="A143" s="146" t="n"/>
      <c r="B143" s="147" t="n"/>
      <c r="D143" s="193" t="inlineStr">
        <is>
          <t>2 of 6</t>
        </is>
      </c>
      <c r="E143" s="194" t="inlineStr">
        <is>
          <t>release testing</t>
        </is>
      </c>
      <c r="F143" s="195" t="inlineStr">
        <is>
          <t>iCoA-PP_26-008
CoQ-PP_26-007 · initial release
iCoA-PP_26-108
CoQ-PP_26-095 · retest</t>
        </is>
      </c>
      <c r="G143" s="151" t="n"/>
      <c r="H143" s="147" t="n"/>
      <c r="I143" s="152" t="n"/>
      <c r="J143" s="161" t="inlineStr">
        <is>
          <t>Conforms</t>
        </is>
      </c>
      <c r="K143" s="196">
        <f>IFERROR(INDEX('iCoA Register'!$B:$B,MATCH("P050022|I",'iCoA Register'!$AA:$AA,0)),"iCoA — at issue")&amp;", (03.06.2025) [PP]"</f>
        <v/>
      </c>
      <c r="L143" s="197" t="inlineStr">
        <is>
          <t>✓</t>
        </is>
      </c>
      <c r="M143" s="161" t="inlineStr">
        <is>
          <t>Conforms (ImB spec.)</t>
        </is>
      </c>
      <c r="N143" s="196" t="inlineStr">
        <is>
          <t>ППК25174, (10.07.2025) [CNP]</t>
        </is>
      </c>
      <c r="O143" s="197" t="inlineStr">
        <is>
          <t>✓</t>
        </is>
      </c>
      <c r="P143" s="198" t="inlineStr">
        <is>
          <t>23.19</t>
        </is>
      </c>
      <c r="Q143" s="196" t="inlineStr">
        <is>
          <t>ППК25174, (10.07.2025) [CNP]</t>
        </is>
      </c>
      <c r="R143" s="197" t="inlineStr">
        <is>
          <t>✓</t>
        </is>
      </c>
      <c r="S143" s="199" t="inlineStr">
        <is>
          <t>0.07</t>
        </is>
      </c>
      <c r="T143" s="196" t="inlineStr">
        <is>
          <t>ППК25174, (10.07.2025) [CNP]</t>
        </is>
      </c>
      <c r="U143" s="197" t="inlineStr">
        <is>
          <t>✓</t>
        </is>
      </c>
      <c r="V143" s="199" t="inlineStr">
        <is>
          <t>&lt; LOQ ᴰ</t>
        </is>
      </c>
      <c r="W143" s="196" t="inlineStr">
        <is>
          <t>ППК25174, (10.07.2025) [CNP]</t>
        </is>
      </c>
      <c r="X143" s="197" t="inlineStr">
        <is>
          <t>✓</t>
        </is>
      </c>
      <c r="Y143" s="151" t="n"/>
      <c r="Z143" s="147" t="n"/>
      <c r="AA143" s="152" t="n"/>
      <c r="AB143" s="161" t="inlineStr">
        <is>
          <t>6.51</t>
        </is>
      </c>
      <c r="AC143" s="196" t="inlineStr">
        <is>
          <t>ППК25174, (10.07.2025) [CNP]</t>
        </is>
      </c>
      <c r="AD143" s="197" t="inlineStr">
        <is>
          <t>✓</t>
        </is>
      </c>
      <c r="AE143" s="161" t="inlineStr">
        <is>
          <t>&lt; 10</t>
        </is>
      </c>
      <c r="AF143" s="162" t="inlineStr">
        <is>
          <t>&lt; 10</t>
        </is>
      </c>
      <c r="AG143" s="162" t="inlineStr">
        <is>
          <t>&lt; 10</t>
        </is>
      </c>
      <c r="AH143" s="162" t="inlineStr">
        <is>
          <t>Absent</t>
        </is>
      </c>
      <c r="AI143" s="162" t="inlineStr">
        <is>
          <t>Absent</t>
        </is>
      </c>
      <c r="AJ143" s="197" t="inlineStr">
        <is>
          <t>✓</t>
        </is>
      </c>
      <c r="AK143" s="161" t="inlineStr">
        <is>
          <t>not reported</t>
        </is>
      </c>
      <c r="AL143" s="162" t="inlineStr">
        <is>
          <t>&lt; 2</t>
        </is>
      </c>
      <c r="AM143" s="162" t="inlineStr">
        <is>
          <t>not reported</t>
        </is>
      </c>
      <c r="AN143" s="197" t="inlineStr">
        <is>
          <t>✓</t>
        </is>
      </c>
      <c r="AO143" s="161" t="inlineStr">
        <is>
          <t>ND</t>
        </is>
      </c>
      <c r="AP143" s="162" t="inlineStr">
        <is>
          <t>ND</t>
        </is>
      </c>
      <c r="AQ143" s="162" t="inlineStr">
        <is>
          <t>0.047</t>
        </is>
      </c>
      <c r="AR143" s="162" t="inlineStr">
        <is>
          <t>ND</t>
        </is>
      </c>
      <c r="AS143" s="197" t="inlineStr">
        <is>
          <t>✓</t>
        </is>
      </c>
      <c r="AT143" s="161" t="inlineStr">
        <is>
          <t>≤ LOQ (all 29 compounds)</t>
        </is>
      </c>
      <c r="AU143" s="196" t="inlineStr">
        <is>
          <t>3176-2025, (26.06.2025) [IJZ]</t>
        </is>
      </c>
      <c r="AV143" s="220" t="inlineStr">
        <is>
          <t>✓</t>
        </is>
      </c>
    </row>
    <row r="144" ht="39" customHeight="1" s="70">
      <c r="A144" s="203" t="n"/>
      <c r="B144" s="204" t="n"/>
      <c r="D144" s="204" t="n"/>
      <c r="E144" s="204" t="n"/>
      <c r="F144" s="204" t="n"/>
      <c r="G144" s="205" t="n"/>
      <c r="H144" s="204" t="n"/>
      <c r="I144" s="206" t="n"/>
      <c r="J144" s="205" t="n"/>
      <c r="K144" s="204" t="n"/>
      <c r="L144" s="206" t="n"/>
      <c r="M144" s="205" t="n"/>
      <c r="N144" s="204" t="n"/>
      <c r="O144" s="206" t="n"/>
      <c r="P144" s="205" t="n"/>
      <c r="Q144" s="204" t="n"/>
      <c r="R144" s="206" t="n"/>
      <c r="S144" s="205" t="n"/>
      <c r="T144" s="204" t="n"/>
      <c r="U144" s="206" t="n"/>
      <c r="V144" s="205" t="n"/>
      <c r="W144" s="204" t="n"/>
      <c r="X144" s="206" t="n"/>
      <c r="Y144" s="205" t="n"/>
      <c r="Z144" s="204" t="n"/>
      <c r="AA144" s="206" t="n"/>
      <c r="AB144" s="205" t="n"/>
      <c r="AC144" s="204" t="n"/>
      <c r="AD144" s="206" t="n"/>
      <c r="AE144" s="221" t="inlineStr">
        <is>
          <t>627-1128-25, (02.07.2025) [IJZ-MB]</t>
        </is>
      </c>
      <c r="AF144" s="204" t="n"/>
      <c r="AG144" s="204" t="n"/>
      <c r="AH144" s="204" t="n"/>
      <c r="AI144" s="204" t="n"/>
      <c r="AJ144" s="206" t="n"/>
      <c r="AK144" s="221" t="inlineStr">
        <is>
          <t>3176-2025, (26.06.2025) [IJZ]</t>
        </is>
      </c>
      <c r="AL144" s="204" t="n"/>
      <c r="AM144" s="204" t="n"/>
      <c r="AN144" s="206" t="n"/>
      <c r="AO144" s="221" t="inlineStr">
        <is>
          <t>3176-2025, (26.06.2025) [IJZ]</t>
        </is>
      </c>
      <c r="AP144" s="204" t="n"/>
      <c r="AQ144" s="204" t="n"/>
      <c r="AR144" s="204" t="n"/>
      <c r="AS144" s="206" t="n"/>
      <c r="AT144" s="205" t="n"/>
      <c r="AU144" s="204" t="n"/>
      <c r="AV144" s="207" t="n"/>
    </row>
    <row r="145" ht="17.625" customHeight="1" s="70">
      <c r="A145" s="146" t="n"/>
      <c r="B145" s="147" t="n"/>
      <c r="D145" s="193" t="inlineStr">
        <is>
          <t>3 of 6</t>
        </is>
      </c>
      <c r="E145" s="194" t="inlineStr">
        <is>
          <t>release testing + re-analysis 197</t>
        </is>
      </c>
      <c r="F145" s="195" t="inlineStr">
        <is>
          <t>iCoA-PP_26-108
CoQ-PP_26-095 · retest</t>
        </is>
      </c>
      <c r="G145" s="151" t="n"/>
      <c r="H145" s="147" t="n"/>
      <c r="I145" s="152" t="n"/>
      <c r="J145" s="200" t="inlineStr">
        <is>
          <t>not on this certificate</t>
        </is>
      </c>
      <c r="K145" s="201" t="inlineStr">
        <is>
          <t>ППК25174, (10.07.2025) [CNP] · on file, not credited</t>
        </is>
      </c>
      <c r="L145" s="202" t="inlineStr">
        <is>
          <t>•</t>
        </is>
      </c>
      <c r="M145" s="228" t="inlineStr">
        <is>
          <t>Conforms (ImB spec.)</t>
        </is>
      </c>
      <c r="N145" s="229" t="inlineStr">
        <is>
          <t>ППК26032, (05.03.2026) [CNP]</t>
        </is>
      </c>
      <c r="O145" s="230" t="inlineStr">
        <is>
          <t>✓</t>
        </is>
      </c>
      <c r="P145" s="231" t="inlineStr">
        <is>
          <t>21.31</t>
        </is>
      </c>
      <c r="Q145" s="229" t="inlineStr">
        <is>
          <t>ППК26032, (05.03.2026) [CNP]</t>
        </is>
      </c>
      <c r="R145" s="230" t="inlineStr">
        <is>
          <t>✓</t>
        </is>
      </c>
      <c r="S145" s="232" t="inlineStr">
        <is>
          <t>0.03</t>
        </is>
      </c>
      <c r="T145" s="229" t="inlineStr">
        <is>
          <t>ППК26032, (05.03.2026) [CNP]</t>
        </is>
      </c>
      <c r="U145" s="230" t="inlineStr">
        <is>
          <t>✓</t>
        </is>
      </c>
      <c r="V145" s="232" t="inlineStr">
        <is>
          <t>0.23 ᴰ</t>
        </is>
      </c>
      <c r="W145" s="229" t="inlineStr">
        <is>
          <t>ППК26032, (05.03.2026) [CNP]</t>
        </is>
      </c>
      <c r="X145" s="230" t="inlineStr">
        <is>
          <t>✓</t>
        </is>
      </c>
      <c r="Y145" s="151" t="n"/>
      <c r="Z145" s="147" t="n"/>
      <c r="AA145" s="152" t="n"/>
      <c r="AB145" s="228" t="inlineStr">
        <is>
          <t>6.32</t>
        </is>
      </c>
      <c r="AC145" s="229" t="inlineStr">
        <is>
          <t>ППК26032, (05.03.2026) [CNP]</t>
        </is>
      </c>
      <c r="AD145" s="230" t="inlineStr">
        <is>
          <t>✓</t>
        </is>
      </c>
      <c r="AE145" s="151" t="n"/>
      <c r="AF145" s="147" t="n"/>
      <c r="AG145" s="147" t="n"/>
      <c r="AH145" s="147" t="n"/>
      <c r="AI145" s="147" t="n"/>
      <c r="AJ145" s="152" t="n"/>
      <c r="AK145" s="161" t="inlineStr">
        <is>
          <t>ND</t>
        </is>
      </c>
      <c r="AL145" s="162" t="inlineStr">
        <is>
          <t>ND</t>
        </is>
      </c>
      <c r="AM145" s="162" t="inlineStr">
        <is>
          <t>ND</t>
        </is>
      </c>
      <c r="AN145" s="197" t="inlineStr">
        <is>
          <t>✓</t>
        </is>
      </c>
      <c r="AO145" s="151" t="n"/>
      <c r="AP145" s="147" t="n"/>
      <c r="AQ145" s="147" t="n"/>
      <c r="AR145" s="147" t="n"/>
      <c r="AS145" s="152" t="n"/>
      <c r="AT145" s="151" t="n"/>
      <c r="AU145" s="147" t="n"/>
      <c r="AV145" s="163" t="n"/>
    </row>
    <row r="146" ht="13" customHeight="1" s="70">
      <c r="A146" s="203" t="n"/>
      <c r="B146" s="204" t="n"/>
      <c r="D146" s="204" t="n"/>
      <c r="E146" s="204" t="n"/>
      <c r="F146" s="204" t="n"/>
      <c r="G146" s="205" t="n"/>
      <c r="H146" s="204" t="n"/>
      <c r="I146" s="206" t="n"/>
      <c r="J146" s="205" t="n"/>
      <c r="K146" s="204" t="n"/>
      <c r="L146" s="206" t="n"/>
      <c r="M146" s="205" t="n"/>
      <c r="N146" s="204" t="n"/>
      <c r="O146" s="206" t="n"/>
      <c r="P146" s="205" t="n"/>
      <c r="Q146" s="204" t="n"/>
      <c r="R146" s="206" t="n"/>
      <c r="S146" s="205" t="n"/>
      <c r="T146" s="204" t="n"/>
      <c r="U146" s="206" t="n"/>
      <c r="V146" s="205" t="n"/>
      <c r="W146" s="204" t="n"/>
      <c r="X146" s="206" t="n"/>
      <c r="Y146" s="205" t="n"/>
      <c r="Z146" s="204" t="n"/>
      <c r="AA146" s="206" t="n"/>
      <c r="AB146" s="205" t="n"/>
      <c r="AC146" s="204" t="n"/>
      <c r="AD146" s="206" t="n"/>
      <c r="AE146" s="205" t="n"/>
      <c r="AF146" s="204" t="n"/>
      <c r="AG146" s="204" t="n"/>
      <c r="AH146" s="204" t="n"/>
      <c r="AI146" s="204" t="n"/>
      <c r="AJ146" s="206" t="n"/>
      <c r="AK146" s="221" t="inlineStr">
        <is>
          <t>197-11-М-26, (10.08.2026) [FHM-M]</t>
        </is>
      </c>
      <c r="AL146" s="204" t="n"/>
      <c r="AM146" s="204" t="n"/>
      <c r="AN146" s="206" t="n"/>
      <c r="AO146" s="205" t="n"/>
      <c r="AP146" s="204" t="n"/>
      <c r="AQ146" s="204" t="n"/>
      <c r="AR146" s="204" t="n"/>
      <c r="AS146" s="206" t="n"/>
      <c r="AT146" s="205" t="n"/>
      <c r="AU146" s="204" t="n"/>
      <c r="AV146" s="207" t="n"/>
    </row>
    <row r="147" ht="17.625" customHeight="1" s="70">
      <c r="A147" s="146" t="n"/>
      <c r="B147" s="147" t="n"/>
      <c r="D147" s="193" t="inlineStr">
        <is>
          <t>4 of 6</t>
        </is>
      </c>
      <c r="E147" s="194" t="inlineStr">
        <is>
          <t>release testing</t>
        </is>
      </c>
      <c r="F147" s="195" t="inlineStr">
        <is>
          <t>no certificate of quality cites this block</t>
        </is>
      </c>
      <c r="G147" s="151" t="n"/>
      <c r="H147" s="147" t="n"/>
      <c r="I147" s="152" t="n"/>
      <c r="J147" s="200" t="inlineStr">
        <is>
          <t>not on this certificate</t>
        </is>
      </c>
      <c r="K147" s="201" t="inlineStr">
        <is>
          <t>ППК26032, (05.03.2026) [CNP] · on file, not credited</t>
        </is>
      </c>
      <c r="L147" s="202" t="inlineStr">
        <is>
          <t>•</t>
        </is>
      </c>
      <c r="M147" s="228" t="inlineStr">
        <is>
          <t>Conforms (ImB spec.)</t>
        </is>
      </c>
      <c r="N147" s="229" t="inlineStr">
        <is>
          <t>ППК26033, (05.03.2026) [CNP]</t>
        </is>
      </c>
      <c r="O147" s="230" t="inlineStr">
        <is>
          <t>✓</t>
        </is>
      </c>
      <c r="P147" s="231" t="inlineStr">
        <is>
          <t>13.16</t>
        </is>
      </c>
      <c r="Q147" s="229" t="inlineStr">
        <is>
          <t>ППК26033, (05.03.2026) [CNP]</t>
        </is>
      </c>
      <c r="R147" s="230" t="inlineStr">
        <is>
          <t>✓</t>
        </is>
      </c>
      <c r="S147" s="232" t="inlineStr">
        <is>
          <t>0.05</t>
        </is>
      </c>
      <c r="T147" s="229" t="inlineStr">
        <is>
          <t>ППК26033, (05.03.2026) [CNP]</t>
        </is>
      </c>
      <c r="U147" s="230" t="inlineStr">
        <is>
          <t>✓</t>
        </is>
      </c>
      <c r="V147" s="233" t="inlineStr">
        <is>
          <t>2.35 ᴰ</t>
        </is>
      </c>
      <c r="W147" s="229" t="inlineStr">
        <is>
          <t>ППК26033, (05.03.2026) [CNP]</t>
        </is>
      </c>
      <c r="X147" s="230" t="inlineStr">
        <is>
          <t>✓</t>
        </is>
      </c>
      <c r="Y147" s="151" t="n"/>
      <c r="Z147" s="147" t="n"/>
      <c r="AA147" s="152" t="n"/>
      <c r="AB147" s="228" t="inlineStr">
        <is>
          <t>5.84</t>
        </is>
      </c>
      <c r="AC147" s="229" t="inlineStr">
        <is>
          <t>ППК26033, (05.03.2026) [CNP]</t>
        </is>
      </c>
      <c r="AD147" s="230" t="inlineStr">
        <is>
          <t>✓</t>
        </is>
      </c>
      <c r="AE147" s="151" t="n"/>
      <c r="AF147" s="147" t="n"/>
      <c r="AG147" s="147" t="n"/>
      <c r="AH147" s="147" t="n"/>
      <c r="AI147" s="147" t="n"/>
      <c r="AJ147" s="152" t="n"/>
      <c r="AK147" s="151" t="n"/>
      <c r="AL147" s="147" t="n"/>
      <c r="AM147" s="147" t="n"/>
      <c r="AN147" s="152" t="n"/>
      <c r="AO147" s="151" t="n"/>
      <c r="AP147" s="147" t="n"/>
      <c r="AQ147" s="147" t="n"/>
      <c r="AR147" s="147" t="n"/>
      <c r="AS147" s="152" t="n"/>
      <c r="AT147" s="151" t="n"/>
      <c r="AU147" s="147" t="n"/>
      <c r="AV147" s="163" t="n"/>
    </row>
    <row r="148" ht="13" customHeight="1" s="70">
      <c r="A148" s="203" t="n"/>
      <c r="B148" s="204" t="n"/>
      <c r="D148" s="204" t="n"/>
      <c r="E148" s="204" t="n"/>
      <c r="F148" s="204" t="n"/>
      <c r="G148" s="205" t="n"/>
      <c r="H148" s="204" t="n"/>
      <c r="I148" s="206" t="n"/>
      <c r="J148" s="205" t="n"/>
      <c r="K148" s="204" t="n"/>
      <c r="L148" s="206" t="n"/>
      <c r="M148" s="205" t="n"/>
      <c r="N148" s="204" t="n"/>
      <c r="O148" s="206" t="n"/>
      <c r="P148" s="205" t="n"/>
      <c r="Q148" s="204" t="n"/>
      <c r="R148" s="206" t="n"/>
      <c r="S148" s="205" t="n"/>
      <c r="T148" s="204" t="n"/>
      <c r="U148" s="206" t="n"/>
      <c r="V148" s="205" t="n"/>
      <c r="W148" s="204" t="n"/>
      <c r="X148" s="206" t="n"/>
      <c r="Y148" s="205" t="n"/>
      <c r="Z148" s="204" t="n"/>
      <c r="AA148" s="206" t="n"/>
      <c r="AB148" s="205" t="n"/>
      <c r="AC148" s="204" t="n"/>
      <c r="AD148" s="206" t="n"/>
      <c r="AE148" s="205" t="n"/>
      <c r="AF148" s="204" t="n"/>
      <c r="AG148" s="204" t="n"/>
      <c r="AH148" s="204" t="n"/>
      <c r="AI148" s="204" t="n"/>
      <c r="AJ148" s="206" t="n"/>
      <c r="AK148" s="205" t="n"/>
      <c r="AL148" s="204" t="n"/>
      <c r="AM148" s="204" t="n"/>
      <c r="AN148" s="206" t="n"/>
      <c r="AO148" s="205" t="n"/>
      <c r="AP148" s="204" t="n"/>
      <c r="AQ148" s="204" t="n"/>
      <c r="AR148" s="204" t="n"/>
      <c r="AS148" s="206" t="n"/>
      <c r="AT148" s="205" t="n"/>
      <c r="AU148" s="204" t="n"/>
      <c r="AV148" s="207" t="n"/>
    </row>
    <row r="149" ht="17.625" customHeight="1" s="70">
      <c r="A149" s="146" t="n"/>
      <c r="B149" s="147" t="n"/>
      <c r="D149" s="193" t="inlineStr">
        <is>
          <t>5 of 6</t>
        </is>
      </c>
      <c r="E149" s="194" t="inlineStr">
        <is>
          <t>release testing</t>
        </is>
      </c>
      <c r="F149" s="195" t="inlineStr">
        <is>
          <t>no certificate of quality cites this block</t>
        </is>
      </c>
      <c r="G149" s="151" t="n"/>
      <c r="H149" s="147" t="n"/>
      <c r="I149" s="152" t="n"/>
      <c r="J149" s="200" t="inlineStr">
        <is>
          <t>not on this certificate</t>
        </is>
      </c>
      <c r="K149" s="201" t="inlineStr">
        <is>
          <t>ППК26033, (05.03.2026) [CNP] · on file, not credited</t>
        </is>
      </c>
      <c r="L149" s="202" t="inlineStr">
        <is>
          <t>•</t>
        </is>
      </c>
      <c r="M149" s="228" t="inlineStr">
        <is>
          <t>Conforms (ImB spec.)</t>
        </is>
      </c>
      <c r="N149" s="229" t="inlineStr">
        <is>
          <t>ППК26059, (11.05.2026) [CNP]</t>
        </is>
      </c>
      <c r="O149" s="230" t="inlineStr">
        <is>
          <t>✓</t>
        </is>
      </c>
      <c r="P149" s="231" t="inlineStr">
        <is>
          <t>23.08</t>
        </is>
      </c>
      <c r="Q149" s="229" t="inlineStr">
        <is>
          <t>ППК26059, (11.05.2026) [CNP]</t>
        </is>
      </c>
      <c r="R149" s="230" t="inlineStr">
        <is>
          <t>✓</t>
        </is>
      </c>
      <c r="S149" s="232" t="inlineStr">
        <is>
          <t>0.03</t>
        </is>
      </c>
      <c r="T149" s="229" t="inlineStr">
        <is>
          <t>ППК26059, (11.05.2026) [CNP]</t>
        </is>
      </c>
      <c r="U149" s="230" t="inlineStr">
        <is>
          <t>✓</t>
        </is>
      </c>
      <c r="V149" s="232" t="inlineStr">
        <is>
          <t>0.30 ᴰ</t>
        </is>
      </c>
      <c r="W149" s="229" t="inlineStr">
        <is>
          <t>ППК26059, (11.05.2026) [CNP]</t>
        </is>
      </c>
      <c r="X149" s="230" t="inlineStr">
        <is>
          <t>✓</t>
        </is>
      </c>
      <c r="Y149" s="151" t="n"/>
      <c r="Z149" s="147" t="n"/>
      <c r="AA149" s="152" t="n"/>
      <c r="AB149" s="228" t="inlineStr">
        <is>
          <t>6.62</t>
        </is>
      </c>
      <c r="AC149" s="229" t="inlineStr">
        <is>
          <t>ППК26059, (11.05.2026) [CNP]</t>
        </is>
      </c>
      <c r="AD149" s="230" t="inlineStr">
        <is>
          <t>✓</t>
        </is>
      </c>
      <c r="AE149" s="151" t="n"/>
      <c r="AF149" s="147" t="n"/>
      <c r="AG149" s="147" t="n"/>
      <c r="AH149" s="147" t="n"/>
      <c r="AI149" s="147" t="n"/>
      <c r="AJ149" s="152" t="n"/>
      <c r="AK149" s="151" t="n"/>
      <c r="AL149" s="147" t="n"/>
      <c r="AM149" s="147" t="n"/>
      <c r="AN149" s="152" t="n"/>
      <c r="AO149" s="151" t="n"/>
      <c r="AP149" s="147" t="n"/>
      <c r="AQ149" s="147" t="n"/>
      <c r="AR149" s="147" t="n"/>
      <c r="AS149" s="152" t="n"/>
      <c r="AT149" s="151" t="n"/>
      <c r="AU149" s="147" t="n"/>
      <c r="AV149" s="163" t="n"/>
    </row>
    <row r="150" ht="13" customHeight="1" s="70">
      <c r="A150" s="203" t="n"/>
      <c r="B150" s="204" t="n"/>
      <c r="D150" s="204" t="n"/>
      <c r="E150" s="204" t="n"/>
      <c r="F150" s="204" t="n"/>
      <c r="G150" s="205" t="n"/>
      <c r="H150" s="204" t="n"/>
      <c r="I150" s="206" t="n"/>
      <c r="J150" s="205" t="n"/>
      <c r="K150" s="204" t="n"/>
      <c r="L150" s="206" t="n"/>
      <c r="M150" s="205" t="n"/>
      <c r="N150" s="204" t="n"/>
      <c r="O150" s="206" t="n"/>
      <c r="P150" s="205" t="n"/>
      <c r="Q150" s="204" t="n"/>
      <c r="R150" s="206" t="n"/>
      <c r="S150" s="205" t="n"/>
      <c r="T150" s="204" t="n"/>
      <c r="U150" s="206" t="n"/>
      <c r="V150" s="205" t="n"/>
      <c r="W150" s="204" t="n"/>
      <c r="X150" s="206" t="n"/>
      <c r="Y150" s="205" t="n"/>
      <c r="Z150" s="204" t="n"/>
      <c r="AA150" s="206" t="n"/>
      <c r="AB150" s="205" t="n"/>
      <c r="AC150" s="204" t="n"/>
      <c r="AD150" s="206" t="n"/>
      <c r="AE150" s="205" t="n"/>
      <c r="AF150" s="204" t="n"/>
      <c r="AG150" s="204" t="n"/>
      <c r="AH150" s="204" t="n"/>
      <c r="AI150" s="204" t="n"/>
      <c r="AJ150" s="206" t="n"/>
      <c r="AK150" s="205" t="n"/>
      <c r="AL150" s="204" t="n"/>
      <c r="AM150" s="204" t="n"/>
      <c r="AN150" s="206" t="n"/>
      <c r="AO150" s="205" t="n"/>
      <c r="AP150" s="204" t="n"/>
      <c r="AQ150" s="204" t="n"/>
      <c r="AR150" s="204" t="n"/>
      <c r="AS150" s="206" t="n"/>
      <c r="AT150" s="205" t="n"/>
      <c r="AU150" s="204" t="n"/>
      <c r="AV150" s="207" t="n"/>
    </row>
    <row r="151" ht="17.625" customHeight="1" s="70">
      <c r="A151" s="146" t="n"/>
      <c r="B151" s="147" t="n"/>
      <c r="D151" s="148" t="inlineStr">
        <is>
          <t>6 of 6</t>
        </is>
      </c>
      <c r="E151" s="149" t="inlineStr">
        <is>
          <t>release testing + re-analysis 197</t>
        </is>
      </c>
      <c r="F151" s="150" t="inlineStr">
        <is>
          <t>iCoA-PP_26-108
CoQ-PP_26-095 · retest</t>
        </is>
      </c>
      <c r="G151" s="151" t="n"/>
      <c r="H151" s="147" t="n"/>
      <c r="I151" s="152" t="n"/>
      <c r="J151" s="158" t="inlineStr">
        <is>
          <t>not on this certificate</t>
        </is>
      </c>
      <c r="K151" s="159" t="inlineStr">
        <is>
          <t>ППК26059, (11.05.2026) [CNP] · on file, not credited</t>
        </is>
      </c>
      <c r="L151" s="160" t="inlineStr">
        <is>
          <t>•</t>
        </is>
      </c>
      <c r="M151" s="153" t="inlineStr">
        <is>
          <t>Conforms (ImB spec.) ᴿ</t>
        </is>
      </c>
      <c r="N151" s="154" t="inlineStr">
        <is>
          <t>197-11-К-26, (07.08.2026) [FHM-K]</t>
        </is>
      </c>
      <c r="O151" s="155" t="inlineStr">
        <is>
          <t>✓</t>
        </is>
      </c>
      <c r="P151" s="156" t="inlineStr">
        <is>
          <t>22.61</t>
        </is>
      </c>
      <c r="Q151" s="154" t="inlineStr">
        <is>
          <t>197-11-К-26, (07.08.2026) [FHM-K]</t>
        </is>
      </c>
      <c r="R151" s="155" t="inlineStr">
        <is>
          <t>✓</t>
        </is>
      </c>
      <c r="S151" s="157" t="inlineStr">
        <is>
          <t>&lt; LOQ</t>
        </is>
      </c>
      <c r="T151" s="154" t="inlineStr">
        <is>
          <t>197-11-К-26, (07.08.2026) [FHM-K]</t>
        </is>
      </c>
      <c r="U151" s="155" t="inlineStr">
        <is>
          <t>✓</t>
        </is>
      </c>
      <c r="V151" s="157" t="inlineStr">
        <is>
          <t>0.23</t>
        </is>
      </c>
      <c r="W151" s="154" t="inlineStr">
        <is>
          <t>197-11-К-26, (07.08.2026) [FHM-K]</t>
        </is>
      </c>
      <c r="X151" s="155" t="inlineStr">
        <is>
          <t>✓</t>
        </is>
      </c>
      <c r="Y151" s="151" t="n"/>
      <c r="Z151" s="147" t="n"/>
      <c r="AA151" s="152" t="n"/>
      <c r="AB151" s="158" t="inlineStr">
        <is>
          <t>not on this certificate</t>
        </is>
      </c>
      <c r="AC151" s="159" t="inlineStr">
        <is>
          <t>197-11-К-26, (07.08.2026) [FHM-K] · on file, not credited</t>
        </is>
      </c>
      <c r="AD151" s="160" t="inlineStr">
        <is>
          <t>•</t>
        </is>
      </c>
      <c r="AE151" s="151" t="n"/>
      <c r="AF151" s="147" t="n"/>
      <c r="AG151" s="147" t="n"/>
      <c r="AH151" s="147" t="n"/>
      <c r="AI151" s="147" t="n"/>
      <c r="AJ151" s="152" t="n"/>
      <c r="AK151" s="151" t="n"/>
      <c r="AL151" s="147" t="n"/>
      <c r="AM151" s="147" t="n"/>
      <c r="AN151" s="152" t="n"/>
      <c r="AO151" s="151" t="n"/>
      <c r="AP151" s="147" t="n"/>
      <c r="AQ151" s="147" t="n"/>
      <c r="AR151" s="147" t="n"/>
      <c r="AS151" s="152" t="n"/>
      <c r="AT151" s="151" t="n"/>
      <c r="AU151" s="147" t="n"/>
      <c r="AV151" s="163" t="n"/>
    </row>
    <row r="152" ht="15.375" customHeight="1" s="70">
      <c r="A152" s="164" t="n"/>
      <c r="B152" s="165" t="n"/>
      <c r="C152" s="165" t="n"/>
      <c r="D152" s="165" t="n"/>
      <c r="E152" s="165" t="n"/>
      <c r="F152" s="165" t="n"/>
      <c r="G152" s="166" t="n"/>
      <c r="H152" s="165" t="n"/>
      <c r="I152" s="167" t="n"/>
      <c r="J152" s="166" t="n"/>
      <c r="K152" s="165" t="n"/>
      <c r="L152" s="167" t="n"/>
      <c r="M152" s="166" t="n"/>
      <c r="N152" s="165" t="n"/>
      <c r="O152" s="167" t="n"/>
      <c r="P152" s="166" t="n"/>
      <c r="Q152" s="165" t="n"/>
      <c r="R152" s="167" t="n"/>
      <c r="S152" s="166" t="n"/>
      <c r="T152" s="165" t="n"/>
      <c r="U152" s="167" t="n"/>
      <c r="V152" s="166" t="n"/>
      <c r="W152" s="165" t="n"/>
      <c r="X152" s="167" t="n"/>
      <c r="Y152" s="166" t="n"/>
      <c r="Z152" s="165" t="n"/>
      <c r="AA152" s="167" t="n"/>
      <c r="AB152" s="166" t="n"/>
      <c r="AC152" s="165" t="n"/>
      <c r="AD152" s="167" t="n"/>
      <c r="AE152" s="166" t="n"/>
      <c r="AF152" s="165" t="n"/>
      <c r="AG152" s="165" t="n"/>
      <c r="AH152" s="165" t="n"/>
      <c r="AI152" s="165" t="n"/>
      <c r="AJ152" s="167" t="n"/>
      <c r="AK152" s="166" t="n"/>
      <c r="AL152" s="165" t="n"/>
      <c r="AM152" s="165" t="n"/>
      <c r="AN152" s="167" t="n"/>
      <c r="AO152" s="166" t="n"/>
      <c r="AP152" s="165" t="n"/>
      <c r="AQ152" s="165" t="n"/>
      <c r="AR152" s="165" t="n"/>
      <c r="AS152" s="167" t="n"/>
      <c r="AT152" s="166" t="n"/>
      <c r="AU152" s="165" t="n"/>
      <c r="AV152" s="169" t="n"/>
    </row>
    <row r="153" ht="21" customHeight="1" s="70">
      <c r="A153" s="125" t="inlineStr">
        <is>
          <t>MB0824_04</t>
        </is>
      </c>
      <c r="B153" s="126" t="inlineStr">
        <is>
          <t>P050032</t>
        </is>
      </c>
      <c r="C153" s="127" t="inlineStr">
        <is>
          <t>✓ COMPLETE
2 testing instances
• 1 document(s) on file, not credited</t>
        </is>
      </c>
      <c r="D153" s="128" t="inlineStr">
        <is>
          <t>1 of 2</t>
        </is>
      </c>
      <c r="E153" s="129" t="inlineStr">
        <is>
          <t>release testing</t>
        </is>
      </c>
      <c r="F153" s="130" t="inlineStr">
        <is>
          <t>iCoA-PP_26-010
CoQ-PP_26-009 · initial release</t>
        </is>
      </c>
      <c r="G153" s="131" t="inlineStr">
        <is>
          <t>Conforms</t>
        </is>
      </c>
      <c r="H153" s="132">
        <f>IFERROR(INDEX('iCoA Register'!$B:$B,MATCH("P050032|I",'iCoA Register'!$AA:$AA,0)),"iCoA — at issue")&amp;", (16.06.2025) [PP]"</f>
        <v/>
      </c>
      <c r="I153" s="133" t="inlineStr">
        <is>
          <t>✓</t>
        </is>
      </c>
      <c r="J153" s="134" t="inlineStr">
        <is>
          <t>not ingested</t>
        </is>
      </c>
      <c r="K153" s="135" t="inlineStr">
        <is>
          <t>ППК25118, (06.05.2025) [CNP] · on file, not credited</t>
        </is>
      </c>
      <c r="L153" s="136" t="inlineStr">
        <is>
          <t>•</t>
        </is>
      </c>
      <c r="M153" s="131" t="inlineStr">
        <is>
          <t>Conforms (ImB spec.) ᴿ</t>
        </is>
      </c>
      <c r="N153" s="132" t="inlineStr">
        <is>
          <t>ППК25118, (06.05.2025) [CNP]</t>
        </is>
      </c>
      <c r="O153" s="133" t="inlineStr">
        <is>
          <t>✓</t>
        </is>
      </c>
      <c r="P153" s="137" t="inlineStr">
        <is>
          <t>18.67 ᴿ</t>
        </is>
      </c>
      <c r="Q153" s="132" t="inlineStr">
        <is>
          <t>ППК25118, (06.05.2025) [CNP]</t>
        </is>
      </c>
      <c r="R153" s="133" t="inlineStr">
        <is>
          <t>✓</t>
        </is>
      </c>
      <c r="S153" s="138" t="inlineStr">
        <is>
          <t>0.05 ᴿ</t>
        </is>
      </c>
      <c r="T153" s="132" t="inlineStr">
        <is>
          <t>ППК25118, (06.05.2025) [CNP]</t>
        </is>
      </c>
      <c r="U153" s="133" t="inlineStr">
        <is>
          <t>✓</t>
        </is>
      </c>
      <c r="V153" s="225" t="inlineStr">
        <is>
          <t>not ingested</t>
        </is>
      </c>
      <c r="W153" s="226" t="inlineStr">
        <is>
          <t>ППК25118, (06.05.2025) [CNP]</t>
        </is>
      </c>
      <c r="X153" s="218" t="inlineStr">
        <is>
          <t>✗</t>
        </is>
      </c>
      <c r="Y153" s="131" t="inlineStr">
        <is>
          <t>Conforms</t>
        </is>
      </c>
      <c r="Z153" s="132">
        <f>IFERROR(INDEX('iCoA Register'!$B:$B,MATCH("P050032|I",'iCoA Register'!$AA:$AA,0)),"iCoA — at issue")&amp;", (16.06.2025) [PP]"</f>
        <v/>
      </c>
      <c r="AA153" s="133" t="inlineStr">
        <is>
          <t>✓</t>
        </is>
      </c>
      <c r="AB153" s="131" t="inlineStr">
        <is>
          <t>6.01 ᴿ</t>
        </is>
      </c>
      <c r="AC153" s="132" t="inlineStr">
        <is>
          <t>ППК25118, (06.05.2025) [CNP]</t>
        </is>
      </c>
      <c r="AD153" s="133" t="inlineStr">
        <is>
          <t>✓</t>
        </is>
      </c>
      <c r="AE153" s="131" t="inlineStr">
        <is>
          <t>&lt; 10 ᴿ</t>
        </is>
      </c>
      <c r="AF153" s="139" t="inlineStr">
        <is>
          <t>&lt; 10 ᴿ</t>
        </is>
      </c>
      <c r="AG153" s="139" t="inlineStr">
        <is>
          <t>&lt; 10 ᴿ</t>
        </is>
      </c>
      <c r="AH153" s="139" t="inlineStr">
        <is>
          <t>Absent ᴿ</t>
        </is>
      </c>
      <c r="AI153" s="139" t="inlineStr">
        <is>
          <t>Absent ᴿ</t>
        </is>
      </c>
      <c r="AJ153" s="133" t="inlineStr">
        <is>
          <t>✓</t>
        </is>
      </c>
      <c r="AK153" s="131" t="inlineStr">
        <is>
          <t>not reported</t>
        </is>
      </c>
      <c r="AL153" s="139" t="inlineStr">
        <is>
          <t>&lt; 2 ᴿ</t>
        </is>
      </c>
      <c r="AM153" s="139" t="inlineStr">
        <is>
          <t>not reported</t>
        </is>
      </c>
      <c r="AN153" s="133" t="inlineStr">
        <is>
          <t>✓</t>
        </is>
      </c>
      <c r="AO153" s="131" t="inlineStr">
        <is>
          <t>0.031 ᴿ</t>
        </is>
      </c>
      <c r="AP153" s="139" t="inlineStr">
        <is>
          <t>0.005 ᴿ</t>
        </is>
      </c>
      <c r="AQ153" s="139" t="inlineStr">
        <is>
          <t>0.011 ᴿ</t>
        </is>
      </c>
      <c r="AR153" s="139" t="inlineStr">
        <is>
          <t>ND ᴿ</t>
        </is>
      </c>
      <c r="AS153" s="133" t="inlineStr">
        <is>
          <t>✓</t>
        </is>
      </c>
      <c r="AT153" s="131" t="inlineStr">
        <is>
          <t>ND ᴿ</t>
        </is>
      </c>
      <c r="AU153" s="132" t="inlineStr">
        <is>
          <t>2157-2025, (07.05.2025) [IJZ]</t>
        </is>
      </c>
      <c r="AV153" s="140" t="inlineStr">
        <is>
          <t>✓</t>
        </is>
      </c>
    </row>
    <row r="154" ht="21" customHeight="1" s="70">
      <c r="A154" s="141" t="n"/>
      <c r="G154" s="142" t="n"/>
      <c r="I154" s="143" t="n"/>
      <c r="J154" s="142" t="n"/>
      <c r="L154" s="143" t="n"/>
      <c r="M154" s="142" t="n"/>
      <c r="O154" s="143" t="n"/>
      <c r="P154" s="142" t="n"/>
      <c r="R154" s="143" t="n"/>
      <c r="S154" s="142" t="n"/>
      <c r="U154" s="143" t="n"/>
      <c r="V154" s="142" t="n"/>
      <c r="X154" s="143" t="n"/>
      <c r="Y154" s="142" t="n"/>
      <c r="AA154" s="143" t="n"/>
      <c r="AB154" s="142" t="n"/>
      <c r="AD154" s="143" t="n"/>
      <c r="AE154" s="144" t="inlineStr">
        <is>
          <t>406-0744-25, (05.05.2025) [IJZ-MB]</t>
        </is>
      </c>
      <c r="AJ154" s="143" t="n"/>
      <c r="AK154" s="144" t="inlineStr">
        <is>
          <t>2157-2025, (07.05.2025) [IJZ]</t>
        </is>
      </c>
      <c r="AN154" s="143" t="n"/>
      <c r="AO154" s="144" t="inlineStr">
        <is>
          <t>2157-2025, (07.05.2025) [IJZ]</t>
        </is>
      </c>
      <c r="AS154" s="143" t="n"/>
      <c r="AT154" s="142" t="n"/>
      <c r="AV154" s="145" t="n"/>
    </row>
    <row r="155" ht="17.625" customHeight="1" s="70">
      <c r="A155" s="146" t="n"/>
      <c r="B155" s="147" t="n"/>
      <c r="D155" s="148" t="inlineStr">
        <is>
          <t>2 of 2</t>
        </is>
      </c>
      <c r="E155" s="149" t="inlineStr">
        <is>
          <t>release testing + re-analysis 227 + re-test campaign (IJZ-MB)</t>
        </is>
      </c>
      <c r="F155" s="150" t="inlineStr">
        <is>
          <t>iCoA-PP_26-010
CoQ-PP_26-009 · initial release
iCoA-PP_26-173
CoQ-PP_26-156 · retest</t>
        </is>
      </c>
      <c r="G155" s="151" t="n"/>
      <c r="H155" s="147" t="n"/>
      <c r="I155" s="152" t="n"/>
      <c r="J155" s="153" t="inlineStr">
        <is>
          <t>Conforms</t>
        </is>
      </c>
      <c r="K155" s="154">
        <f>IFERROR(INDEX('iCoA Register'!$B:$B,MATCH("P050032|I",'iCoA Register'!$AA:$AA,0)),"iCoA — at issue")&amp;", (16.06.2025) [PP]"</f>
        <v/>
      </c>
      <c r="L155" s="155" t="inlineStr">
        <is>
          <t>✓</t>
        </is>
      </c>
      <c r="M155" s="153" t="inlineStr">
        <is>
          <t>Conforms (ImB spec.)</t>
        </is>
      </c>
      <c r="N155" s="154" t="inlineStr">
        <is>
          <t>227-12-К-26, (11.09.2026) [FHM-K]</t>
        </is>
      </c>
      <c r="O155" s="155" t="inlineStr">
        <is>
          <t>✓</t>
        </is>
      </c>
      <c r="P155" s="156" t="inlineStr">
        <is>
          <t>17.57</t>
        </is>
      </c>
      <c r="Q155" s="154" t="inlineStr">
        <is>
          <t>227-12-К-26, (11.09.2026) [FHM-K]</t>
        </is>
      </c>
      <c r="R155" s="155" t="inlineStr">
        <is>
          <t>✓</t>
        </is>
      </c>
      <c r="S155" s="157" t="inlineStr">
        <is>
          <t>&lt; LOQ</t>
        </is>
      </c>
      <c r="T155" s="154" t="inlineStr">
        <is>
          <t>227-12-К-26, (11.09.2026) [FHM-K]</t>
        </is>
      </c>
      <c r="U155" s="155" t="inlineStr">
        <is>
          <t>✓</t>
        </is>
      </c>
      <c r="V155" s="157" t="inlineStr">
        <is>
          <t>&lt; LOQ</t>
        </is>
      </c>
      <c r="W155" s="154" t="inlineStr">
        <is>
          <t>227-12-К-26, (11.09.2026) [FHM-K]</t>
        </is>
      </c>
      <c r="X155" s="155" t="inlineStr">
        <is>
          <t>✓</t>
        </is>
      </c>
      <c r="Y155" s="151" t="n"/>
      <c r="Z155" s="147" t="n"/>
      <c r="AA155" s="152" t="n"/>
      <c r="AB155" s="151" t="n"/>
      <c r="AC155" s="147" t="n"/>
      <c r="AD155" s="152" t="n"/>
      <c r="AE155" s="161" t="inlineStr">
        <is>
          <t>&lt; 10</t>
        </is>
      </c>
      <c r="AF155" s="162" t="inlineStr">
        <is>
          <t>&lt; 10</t>
        </is>
      </c>
      <c r="AG155" s="162" t="inlineStr">
        <is>
          <t>&lt; 10</t>
        </is>
      </c>
      <c r="AH155" s="162" t="inlineStr">
        <is>
          <t>Absent</t>
        </is>
      </c>
      <c r="AI155" s="162" t="inlineStr">
        <is>
          <t>Absent</t>
        </is>
      </c>
      <c r="AJ155" s="155" t="inlineStr">
        <is>
          <t>✓</t>
        </is>
      </c>
      <c r="AK155" s="151" t="n"/>
      <c r="AL155" s="147" t="n"/>
      <c r="AM155" s="147" t="n"/>
      <c r="AN155" s="152" t="n"/>
      <c r="AO155" s="151" t="n"/>
      <c r="AP155" s="147" t="n"/>
      <c r="AQ155" s="147" t="n"/>
      <c r="AR155" s="147" t="n"/>
      <c r="AS155" s="152" t="n"/>
      <c r="AT155" s="151" t="n"/>
      <c r="AU155" s="147" t="n"/>
      <c r="AV155" s="163" t="n"/>
    </row>
    <row r="156" ht="39" customHeight="1" s="70">
      <c r="A156" s="164" t="n"/>
      <c r="B156" s="165" t="n"/>
      <c r="C156" s="165" t="n"/>
      <c r="D156" s="165" t="n"/>
      <c r="E156" s="165" t="n"/>
      <c r="F156" s="165" t="n"/>
      <c r="G156" s="166" t="n"/>
      <c r="H156" s="165" t="n"/>
      <c r="I156" s="167" t="n"/>
      <c r="J156" s="166" t="n"/>
      <c r="K156" s="165" t="n"/>
      <c r="L156" s="167" t="n"/>
      <c r="M156" s="166" t="n"/>
      <c r="N156" s="165" t="n"/>
      <c r="O156" s="167" t="n"/>
      <c r="P156" s="166" t="n"/>
      <c r="Q156" s="165" t="n"/>
      <c r="R156" s="167" t="n"/>
      <c r="S156" s="166" t="n"/>
      <c r="T156" s="165" t="n"/>
      <c r="U156" s="167" t="n"/>
      <c r="V156" s="166" t="n"/>
      <c r="W156" s="165" t="n"/>
      <c r="X156" s="167" t="n"/>
      <c r="Y156" s="166" t="n"/>
      <c r="Z156" s="165" t="n"/>
      <c r="AA156" s="167" t="n"/>
      <c r="AB156" s="166" t="n"/>
      <c r="AC156" s="165" t="n"/>
      <c r="AD156" s="167" t="n"/>
      <c r="AE156" s="168" t="inlineStr">
        <is>
          <t>563-1094-26, (01.09.2026) [IJZ-MB]</t>
        </is>
      </c>
      <c r="AF156" s="165" t="n"/>
      <c r="AG156" s="165" t="n"/>
      <c r="AH156" s="165" t="n"/>
      <c r="AI156" s="165" t="n"/>
      <c r="AJ156" s="167" t="n"/>
      <c r="AK156" s="166" t="n"/>
      <c r="AL156" s="165" t="n"/>
      <c r="AM156" s="165" t="n"/>
      <c r="AN156" s="167" t="n"/>
      <c r="AO156" s="166" t="n"/>
      <c r="AP156" s="165" t="n"/>
      <c r="AQ156" s="165" t="n"/>
      <c r="AR156" s="165" t="n"/>
      <c r="AS156" s="167" t="n"/>
      <c r="AT156" s="166" t="n"/>
      <c r="AU156" s="165" t="n"/>
      <c r="AV156" s="169" t="n"/>
    </row>
    <row r="157" ht="21" customHeight="1" s="70">
      <c r="A157" s="125" t="inlineStr">
        <is>
          <t>OMP1024_01</t>
        </is>
      </c>
      <c r="B157" s="126" t="inlineStr">
        <is>
          <t>P050042</t>
        </is>
      </c>
      <c r="C157" s="127" t="inlineStr">
        <is>
          <t>✓ COMPLETE
2 testing instances
• 2 document(s) on file, not credited</t>
        </is>
      </c>
      <c r="D157" s="128" t="inlineStr">
        <is>
          <t>1 of 2</t>
        </is>
      </c>
      <c r="E157" s="129" t="inlineStr">
        <is>
          <t>release testing</t>
        </is>
      </c>
      <c r="F157" s="130" t="inlineStr">
        <is>
          <t>iCoA-PP_26-092
CoQ-PP_26-010 · initial release</t>
        </is>
      </c>
      <c r="G157" s="131" t="inlineStr">
        <is>
          <t>Conforms</t>
        </is>
      </c>
      <c r="H157" s="132">
        <f>IFERROR(INDEX('iCoA Register'!$B:$B,MATCH("P050042|I",'iCoA Register'!$AA:$AA,0)),"iCoA — at issue")&amp;", (20.06.2025) [PP]"</f>
        <v/>
      </c>
      <c r="I157" s="133" t="inlineStr">
        <is>
          <t>✓</t>
        </is>
      </c>
      <c r="J157" s="134" t="inlineStr">
        <is>
          <t>not on this certificate</t>
        </is>
      </c>
      <c r="K157" s="135" t="inlineStr">
        <is>
          <t>ППК25117, (06.05.2025) [CNP] · on file, not credited</t>
        </is>
      </c>
      <c r="L157" s="136" t="inlineStr">
        <is>
          <t>•</t>
        </is>
      </c>
      <c r="M157" s="131" t="inlineStr">
        <is>
          <t>Conforms (ImB spec.)</t>
        </is>
      </c>
      <c r="N157" s="132" t="inlineStr">
        <is>
          <t>ППК25117, (06.05.2025) [CNP]</t>
        </is>
      </c>
      <c r="O157" s="133" t="inlineStr">
        <is>
          <t>✓</t>
        </is>
      </c>
      <c r="P157" s="137" t="inlineStr">
        <is>
          <t>15.38</t>
        </is>
      </c>
      <c r="Q157" s="132" t="inlineStr">
        <is>
          <t>ППК25117, (06.05.2025) [CNP]</t>
        </is>
      </c>
      <c r="R157" s="133" t="inlineStr">
        <is>
          <t>✓</t>
        </is>
      </c>
      <c r="S157" s="138" t="inlineStr">
        <is>
          <t>0.04</t>
        </is>
      </c>
      <c r="T157" s="132" t="inlineStr">
        <is>
          <t>ППК25117, (06.05.2025) [CNP]</t>
        </is>
      </c>
      <c r="U157" s="133" t="inlineStr">
        <is>
          <t>✓</t>
        </is>
      </c>
      <c r="V157" s="138" t="inlineStr">
        <is>
          <t>0.01 ᴰ</t>
        </is>
      </c>
      <c r="W157" s="132" t="inlineStr">
        <is>
          <t>ППК25117, (06.05.2025) [CNP]</t>
        </is>
      </c>
      <c r="X157" s="133" t="inlineStr">
        <is>
          <t>✓</t>
        </is>
      </c>
      <c r="Y157" s="131" t="inlineStr">
        <is>
          <t>Conforms</t>
        </is>
      </c>
      <c r="Z157" s="132">
        <f>IFERROR(INDEX('iCoA Register'!$B:$B,MATCH("P050042|I",'iCoA Register'!$AA:$AA,0)),"iCoA — at issue")&amp;", (20.06.2025) [PP]"</f>
        <v/>
      </c>
      <c r="AA157" s="133" t="inlineStr">
        <is>
          <t>✓</t>
        </is>
      </c>
      <c r="AB157" s="131" t="inlineStr">
        <is>
          <t>5.86</t>
        </is>
      </c>
      <c r="AC157" s="132" t="inlineStr">
        <is>
          <t>ППК25117, (06.05.2025) [CNP]</t>
        </is>
      </c>
      <c r="AD157" s="133" t="inlineStr">
        <is>
          <t>✓</t>
        </is>
      </c>
      <c r="AE157" s="131" t="inlineStr">
        <is>
          <t>10</t>
        </is>
      </c>
      <c r="AF157" s="139" t="inlineStr">
        <is>
          <t>&lt; 10</t>
        </is>
      </c>
      <c r="AG157" s="139" t="inlineStr">
        <is>
          <t>&lt; 10² and &gt; 10</t>
        </is>
      </c>
      <c r="AH157" s="139" t="inlineStr">
        <is>
          <t>Absent</t>
        </is>
      </c>
      <c r="AI157" s="139" t="inlineStr">
        <is>
          <t>Absent</t>
        </is>
      </c>
      <c r="AJ157" s="133" t="inlineStr">
        <is>
          <t>✓</t>
        </is>
      </c>
      <c r="AK157" s="131" t="inlineStr">
        <is>
          <t>not reported</t>
        </is>
      </c>
      <c r="AL157" s="139" t="inlineStr">
        <is>
          <t>&lt; 2</t>
        </is>
      </c>
      <c r="AM157" s="139" t="inlineStr">
        <is>
          <t>not reported</t>
        </is>
      </c>
      <c r="AN157" s="133" t="inlineStr">
        <is>
          <t>✓</t>
        </is>
      </c>
      <c r="AO157" s="131" t="inlineStr">
        <is>
          <t>0.031</t>
        </is>
      </c>
      <c r="AP157" s="139" t="inlineStr">
        <is>
          <t>0.004</t>
        </is>
      </c>
      <c r="AQ157" s="139" t="inlineStr">
        <is>
          <t>0.01</t>
        </is>
      </c>
      <c r="AR157" s="139" t="inlineStr">
        <is>
          <t>0.001</t>
        </is>
      </c>
      <c r="AS157" s="133" t="inlineStr">
        <is>
          <t>✓</t>
        </is>
      </c>
      <c r="AT157" s="131" t="inlineStr">
        <is>
          <t>≤ LOQ (all 26 compounds)</t>
        </is>
      </c>
      <c r="AU157" s="132" t="inlineStr">
        <is>
          <t>2156-2025, (07.05.2025) [IJZ]</t>
        </is>
      </c>
      <c r="AV157" s="140" t="inlineStr">
        <is>
          <t>✓</t>
        </is>
      </c>
    </row>
    <row r="158" ht="21" customHeight="1" s="70">
      <c r="A158" s="141" t="n"/>
      <c r="G158" s="142" t="n"/>
      <c r="I158" s="143" t="n"/>
      <c r="J158" s="142" t="n"/>
      <c r="L158" s="143" t="n"/>
      <c r="M158" s="142" t="n"/>
      <c r="O158" s="143" t="n"/>
      <c r="P158" s="142" t="n"/>
      <c r="R158" s="143" t="n"/>
      <c r="S158" s="142" t="n"/>
      <c r="U158" s="143" t="n"/>
      <c r="V158" s="142" t="n"/>
      <c r="X158" s="143" t="n"/>
      <c r="Y158" s="142" t="n"/>
      <c r="AA158" s="143" t="n"/>
      <c r="AB158" s="142" t="n"/>
      <c r="AD158" s="143" t="n"/>
      <c r="AE158" s="144" t="inlineStr">
        <is>
          <t>407-0745-25, (05.05.2025) [IJZ-MB]</t>
        </is>
      </c>
      <c r="AJ158" s="143" t="n"/>
      <c r="AK158" s="144" t="inlineStr">
        <is>
          <t>2156-2025, (07.05.2025) [IJZ]</t>
        </is>
      </c>
      <c r="AN158" s="143" t="n"/>
      <c r="AO158" s="144" t="inlineStr">
        <is>
          <t>2156-2025, (07.05.2025) [IJZ]</t>
        </is>
      </c>
      <c r="AS158" s="143" t="n"/>
      <c r="AT158" s="142" t="n"/>
      <c r="AV158" s="145" t="n"/>
    </row>
    <row r="159" ht="21" customHeight="1" s="70">
      <c r="A159" s="146" t="n"/>
      <c r="B159" s="147" t="n"/>
      <c r="D159" s="148" t="inlineStr">
        <is>
          <t>2 of 2</t>
        </is>
      </c>
      <c r="E159" s="149" t="inlineStr">
        <is>
          <t>release testing + re-analysis 220</t>
        </is>
      </c>
      <c r="F159" s="150" t="inlineStr">
        <is>
          <t>iCoA-PP_26-092
CoQ-PP_26-010 · initial release
iCoA-PP_26-144
CoQ-PP_26-128 · retest</t>
        </is>
      </c>
      <c r="G159" s="151" t="n"/>
      <c r="H159" s="147" t="n"/>
      <c r="I159" s="152" t="n"/>
      <c r="J159" s="153" t="inlineStr">
        <is>
          <t>Conforms</t>
        </is>
      </c>
      <c r="K159" s="154">
        <f>IFERROR(INDEX('iCoA Register'!$B:$B,MATCH("P050042|I",'iCoA Register'!$AA:$AA,0)),"iCoA — at issue")&amp;", (20.06.2025) [PP]"</f>
        <v/>
      </c>
      <c r="L159" s="155" t="inlineStr">
        <is>
          <t>✓</t>
        </is>
      </c>
      <c r="M159" s="153" t="inlineStr">
        <is>
          <t>Conforms (ImB spec.)</t>
        </is>
      </c>
      <c r="N159" s="154" t="inlineStr">
        <is>
          <t>220-21-К-26, (26.08.2026) [FHM-K]</t>
        </is>
      </c>
      <c r="O159" s="155" t="inlineStr">
        <is>
          <t>✓</t>
        </is>
      </c>
      <c r="P159" s="156" t="inlineStr">
        <is>
          <t>18.14</t>
        </is>
      </c>
      <c r="Q159" s="154" t="inlineStr">
        <is>
          <t>220-21-К-26, (26.08.2026) [FHM-K]</t>
        </is>
      </c>
      <c r="R159" s="155" t="inlineStr">
        <is>
          <t>✓</t>
        </is>
      </c>
      <c r="S159" s="157" t="inlineStr">
        <is>
          <t>&lt; LOQ</t>
        </is>
      </c>
      <c r="T159" s="154" t="inlineStr">
        <is>
          <t>220-21-К-26, (26.08.2026) [FHM-K]</t>
        </is>
      </c>
      <c r="U159" s="155" t="inlineStr">
        <is>
          <t>✓</t>
        </is>
      </c>
      <c r="V159" s="157" t="inlineStr">
        <is>
          <t>&lt; LOQ</t>
        </is>
      </c>
      <c r="W159" s="154" t="inlineStr">
        <is>
          <t>220-21-К-26, (26.08.2026) [FHM-K]</t>
        </is>
      </c>
      <c r="X159" s="155" t="inlineStr">
        <is>
          <t>✓</t>
        </is>
      </c>
      <c r="Y159" s="151" t="n"/>
      <c r="Z159" s="147" t="n"/>
      <c r="AA159" s="152" t="n"/>
      <c r="AB159" s="151" t="n"/>
      <c r="AC159" s="147" t="n"/>
      <c r="AD159" s="152" t="n"/>
      <c r="AE159" s="200" t="inlineStr">
        <is>
          <t>&lt; 10 ᴿ</t>
        </is>
      </c>
      <c r="AF159" s="222" t="inlineStr">
        <is>
          <t>&lt; 10 ᴿ</t>
        </is>
      </c>
      <c r="AG159" s="222" t="inlineStr">
        <is>
          <t>&lt; 10² and &gt; 10 ᴿ</t>
        </is>
      </c>
      <c r="AH159" s="222" t="inlineStr">
        <is>
          <t>Absent ᴿ</t>
        </is>
      </c>
      <c r="AI159" s="222" t="inlineStr">
        <is>
          <t>Absent ᴿ</t>
        </is>
      </c>
      <c r="AJ159" s="160" t="inlineStr">
        <is>
          <t>•</t>
        </is>
      </c>
      <c r="AK159" s="161" t="inlineStr">
        <is>
          <t>ND</t>
        </is>
      </c>
      <c r="AL159" s="162" t="inlineStr">
        <is>
          <t>ND</t>
        </is>
      </c>
      <c r="AM159" s="162" t="inlineStr">
        <is>
          <t>ND</t>
        </is>
      </c>
      <c r="AN159" s="155" t="inlineStr">
        <is>
          <t>✓</t>
        </is>
      </c>
      <c r="AO159" s="151" t="n"/>
      <c r="AP159" s="147" t="n"/>
      <c r="AQ159" s="147" t="n"/>
      <c r="AR159" s="147" t="n"/>
      <c r="AS159" s="152" t="n"/>
      <c r="AT159" s="151" t="n"/>
      <c r="AU159" s="147" t="n"/>
      <c r="AV159" s="163" t="n"/>
    </row>
    <row r="160" ht="39" customHeight="1" s="70">
      <c r="A160" s="164" t="n"/>
      <c r="B160" s="165" t="n"/>
      <c r="C160" s="165" t="n"/>
      <c r="D160" s="165" t="n"/>
      <c r="E160" s="165" t="n"/>
      <c r="F160" s="165" t="n"/>
      <c r="G160" s="166" t="n"/>
      <c r="H160" s="165" t="n"/>
      <c r="I160" s="167" t="n"/>
      <c r="J160" s="166" t="n"/>
      <c r="K160" s="165" t="n"/>
      <c r="L160" s="167" t="n"/>
      <c r="M160" s="166" t="n"/>
      <c r="N160" s="165" t="n"/>
      <c r="O160" s="167" t="n"/>
      <c r="P160" s="166" t="n"/>
      <c r="Q160" s="165" t="n"/>
      <c r="R160" s="167" t="n"/>
      <c r="S160" s="166" t="n"/>
      <c r="T160" s="165" t="n"/>
      <c r="U160" s="167" t="n"/>
      <c r="V160" s="166" t="n"/>
      <c r="W160" s="165" t="n"/>
      <c r="X160" s="167" t="n"/>
      <c r="Y160" s="166" t="n"/>
      <c r="Z160" s="165" t="n"/>
      <c r="AA160" s="167" t="n"/>
      <c r="AB160" s="166" t="n"/>
      <c r="AC160" s="165" t="n"/>
      <c r="AD160" s="167" t="n"/>
      <c r="AE160" s="234" t="inlineStr">
        <is>
          <t>2156-2025, (07.05.2025) [IJZ] · on file, not credited</t>
        </is>
      </c>
      <c r="AF160" s="165" t="n"/>
      <c r="AG160" s="165" t="n"/>
      <c r="AH160" s="165" t="n"/>
      <c r="AI160" s="165" t="n"/>
      <c r="AJ160" s="167" t="n"/>
      <c r="AK160" s="168" t="inlineStr">
        <is>
          <t>220-21-М-26, (11.09.2026) [FHM-M]</t>
        </is>
      </c>
      <c r="AL160" s="165" t="n"/>
      <c r="AM160" s="165" t="n"/>
      <c r="AN160" s="167" t="n"/>
      <c r="AO160" s="166" t="n"/>
      <c r="AP160" s="165" t="n"/>
      <c r="AQ160" s="165" t="n"/>
      <c r="AR160" s="165" t="n"/>
      <c r="AS160" s="167" t="n"/>
      <c r="AT160" s="166" t="n"/>
      <c r="AU160" s="165" t="n"/>
      <c r="AV160" s="169" t="n"/>
    </row>
    <row r="161" ht="21" customHeight="1" s="70">
      <c r="A161" s="125" t="inlineStr">
        <is>
          <t>HPA1024_01</t>
        </is>
      </c>
      <c r="B161" s="126" t="inlineStr">
        <is>
          <t>P050052</t>
        </is>
      </c>
      <c r="C161" s="170" t="inlineStr">
        <is>
          <t>✓ COMPLETE
2 testing instances
• 2 document(s) on file, not credited
◐ UNDETERMINED (Ph. Eur. band): #9 TYMC</t>
        </is>
      </c>
      <c r="D161" s="128" t="inlineStr">
        <is>
          <t>1 of 2</t>
        </is>
      </c>
      <c r="E161" s="129" t="inlineStr">
        <is>
          <t>release testing</t>
        </is>
      </c>
      <c r="F161" s="130" t="inlineStr">
        <is>
          <t>iCoA-PP_26-011
CoQ-PP_26-011 · initial release</t>
        </is>
      </c>
      <c r="G161" s="131" t="inlineStr">
        <is>
          <t>Conforms</t>
        </is>
      </c>
      <c r="H161" s="132">
        <f>IFERROR(INDEX('iCoA Register'!$B:$B,MATCH("P050052|I",'iCoA Register'!$AA:$AA,0)),"iCoA — at issue")&amp;", (27.06.2025) [PP]"</f>
        <v/>
      </c>
      <c r="I161" s="133" t="inlineStr">
        <is>
          <t>✓</t>
        </is>
      </c>
      <c r="J161" s="134" t="inlineStr">
        <is>
          <t>not on this certificate</t>
        </is>
      </c>
      <c r="K161" s="135" t="inlineStr">
        <is>
          <t>ППК25155, (24.06.2025) [CNP] · on file, not credited</t>
        </is>
      </c>
      <c r="L161" s="136" t="inlineStr">
        <is>
          <t>•</t>
        </is>
      </c>
      <c r="M161" s="131" t="inlineStr">
        <is>
          <t>Conforms (ImB spec.)</t>
        </is>
      </c>
      <c r="N161" s="132" t="inlineStr">
        <is>
          <t>ППК25155, (24.06.2025) [CNP]</t>
        </is>
      </c>
      <c r="O161" s="133" t="inlineStr">
        <is>
          <t>✓</t>
        </is>
      </c>
      <c r="P161" s="137" t="inlineStr">
        <is>
          <t>22.43</t>
        </is>
      </c>
      <c r="Q161" s="132" t="inlineStr">
        <is>
          <t>ППК25155, (24.06.2025) [CNP]</t>
        </is>
      </c>
      <c r="R161" s="133" t="inlineStr">
        <is>
          <t>✓</t>
        </is>
      </c>
      <c r="S161" s="138" t="inlineStr">
        <is>
          <t>0.10</t>
        </is>
      </c>
      <c r="T161" s="132" t="inlineStr">
        <is>
          <t>ППК25155, (24.06.2025) [CNP]</t>
        </is>
      </c>
      <c r="U161" s="133" t="inlineStr">
        <is>
          <t>✓</t>
        </is>
      </c>
      <c r="V161" s="138" t="inlineStr">
        <is>
          <t>0.02 ᴰ</t>
        </is>
      </c>
      <c r="W161" s="132" t="inlineStr">
        <is>
          <t>ППК25155, (24.06.2025) [CNP]</t>
        </is>
      </c>
      <c r="X161" s="133" t="inlineStr">
        <is>
          <t>✓</t>
        </is>
      </c>
      <c r="Y161" s="131" t="inlineStr">
        <is>
          <t>Conforms</t>
        </is>
      </c>
      <c r="Z161" s="132">
        <f>IFERROR(INDEX('iCoA Register'!$B:$B,MATCH("P050052|I",'iCoA Register'!$AA:$AA,0)),"iCoA — at issue")&amp;", (27.06.2025) [PP]"</f>
        <v/>
      </c>
      <c r="AA161" s="133" t="inlineStr">
        <is>
          <t>✓</t>
        </is>
      </c>
      <c r="AB161" s="131" t="inlineStr">
        <is>
          <t>6.36</t>
        </is>
      </c>
      <c r="AC161" s="132" t="inlineStr">
        <is>
          <t>ППК25155, (24.06.2025) [CNP]</t>
        </is>
      </c>
      <c r="AD161" s="133" t="inlineStr">
        <is>
          <t>✓</t>
        </is>
      </c>
      <c r="AE161" s="131" t="inlineStr">
        <is>
          <t>9.6 × 10³</t>
        </is>
      </c>
      <c r="AF161" s="227" t="inlineStr">
        <is>
          <t>1.5 × 10⁴</t>
        </is>
      </c>
      <c r="AG161" s="139" t="inlineStr">
        <is>
          <t>&lt; 10</t>
        </is>
      </c>
      <c r="AH161" s="139" t="inlineStr">
        <is>
          <t>Absent</t>
        </is>
      </c>
      <c r="AI161" s="139" t="inlineStr">
        <is>
          <t>Absent</t>
        </is>
      </c>
      <c r="AJ161" s="133" t="inlineStr">
        <is>
          <t>✓</t>
        </is>
      </c>
      <c r="AK161" s="131" t="inlineStr">
        <is>
          <t>not reported</t>
        </is>
      </c>
      <c r="AL161" s="139" t="inlineStr">
        <is>
          <t>&lt; 2</t>
        </is>
      </c>
      <c r="AM161" s="139" t="inlineStr">
        <is>
          <t>not reported</t>
        </is>
      </c>
      <c r="AN161" s="133" t="inlineStr">
        <is>
          <t>✓</t>
        </is>
      </c>
      <c r="AO161" s="131" t="inlineStr">
        <is>
          <t>0.059</t>
        </is>
      </c>
      <c r="AP161" s="139" t="inlineStr">
        <is>
          <t>0.014</t>
        </is>
      </c>
      <c r="AQ161" s="139" t="inlineStr">
        <is>
          <t>0.037</t>
        </is>
      </c>
      <c r="AR161" s="139" t="inlineStr">
        <is>
          <t>0.008</t>
        </is>
      </c>
      <c r="AS161" s="133" t="inlineStr">
        <is>
          <t>✓</t>
        </is>
      </c>
      <c r="AT161" s="131" t="inlineStr">
        <is>
          <t>≤ LOQ (all 23 compounds)</t>
        </is>
      </c>
      <c r="AU161" s="132" t="inlineStr">
        <is>
          <t>2995-2025, (19.06.2025) [IJZ]</t>
        </is>
      </c>
      <c r="AV161" s="140" t="inlineStr">
        <is>
          <t>✓</t>
        </is>
      </c>
    </row>
    <row r="162" ht="21" customHeight="1" s="70">
      <c r="A162" s="141" t="n"/>
      <c r="G162" s="142" t="n"/>
      <c r="I162" s="143" t="n"/>
      <c r="J162" s="142" t="n"/>
      <c r="L162" s="143" t="n"/>
      <c r="M162" s="142" t="n"/>
      <c r="O162" s="143" t="n"/>
      <c r="P162" s="142" t="n"/>
      <c r="R162" s="143" t="n"/>
      <c r="S162" s="142" t="n"/>
      <c r="U162" s="143" t="n"/>
      <c r="V162" s="142" t="n"/>
      <c r="X162" s="143" t="n"/>
      <c r="Y162" s="142" t="n"/>
      <c r="AA162" s="143" t="n"/>
      <c r="AB162" s="142" t="n"/>
      <c r="AD162" s="143" t="n"/>
      <c r="AE162" s="144" t="inlineStr">
        <is>
          <t>587-1066-25, (18.06.2025) [IJZ-MB]</t>
        </is>
      </c>
      <c r="AJ162" s="143" t="n"/>
      <c r="AK162" s="144" t="inlineStr">
        <is>
          <t>2995-2025, (19.06.2025) [IJZ]</t>
        </is>
      </c>
      <c r="AN162" s="143" t="n"/>
      <c r="AO162" s="144" t="inlineStr">
        <is>
          <t>2995-2025, (19.06.2025) [IJZ]</t>
        </is>
      </c>
      <c r="AS162" s="143" t="n"/>
      <c r="AT162" s="142" t="n"/>
      <c r="AV162" s="145" t="n"/>
    </row>
    <row r="163" ht="17.625" customHeight="1" s="70">
      <c r="A163" s="146" t="n"/>
      <c r="B163" s="147" t="n"/>
      <c r="D163" s="148" t="inlineStr">
        <is>
          <t>2 of 2</t>
        </is>
      </c>
      <c r="E163" s="149" t="inlineStr">
        <is>
          <t>release testing + re-analysis 197</t>
        </is>
      </c>
      <c r="F163" s="150" t="inlineStr">
        <is>
          <t>iCoA-PP_26-011
CoQ-PP_26-011 · initial release
iCoA-PP_26-113
CoQ-PP_26-098 · retest</t>
        </is>
      </c>
      <c r="G163" s="151" t="n"/>
      <c r="H163" s="147" t="n"/>
      <c r="I163" s="152" t="n"/>
      <c r="J163" s="153" t="inlineStr">
        <is>
          <t>Conforms</t>
        </is>
      </c>
      <c r="K163" s="154">
        <f>IFERROR(INDEX('iCoA Register'!$B:$B,MATCH("P050052|I",'iCoA Register'!$AA:$AA,0)),"iCoA — at issue")&amp;", (27.06.2025) [PP]"</f>
        <v/>
      </c>
      <c r="L163" s="155" t="inlineStr">
        <is>
          <t>✓</t>
        </is>
      </c>
      <c r="M163" s="153" t="inlineStr">
        <is>
          <t>Conforms (ImB spec.) ᴿ</t>
        </is>
      </c>
      <c r="N163" s="154" t="inlineStr">
        <is>
          <t>197-14-К-26, (07.08.2026) [FHM-K]</t>
        </is>
      </c>
      <c r="O163" s="155" t="inlineStr">
        <is>
          <t>✓</t>
        </is>
      </c>
      <c r="P163" s="156" t="inlineStr">
        <is>
          <t>21.61</t>
        </is>
      </c>
      <c r="Q163" s="154" t="inlineStr">
        <is>
          <t>197-14-К-26, (07.08.2026) [FHM-K]</t>
        </is>
      </c>
      <c r="R163" s="155" t="inlineStr">
        <is>
          <t>✓</t>
        </is>
      </c>
      <c r="S163" s="157" t="inlineStr">
        <is>
          <t>&lt; LOQ</t>
        </is>
      </c>
      <c r="T163" s="154" t="inlineStr">
        <is>
          <t>197-14-К-26, (07.08.2026) [FHM-K]</t>
        </is>
      </c>
      <c r="U163" s="155" t="inlineStr">
        <is>
          <t>✓</t>
        </is>
      </c>
      <c r="V163" s="157" t="inlineStr">
        <is>
          <t>&lt; LOQ</t>
        </is>
      </c>
      <c r="W163" s="154" t="inlineStr">
        <is>
          <t>197-14-К-26, (07.08.2026) [FHM-K]</t>
        </is>
      </c>
      <c r="X163" s="155" t="inlineStr">
        <is>
          <t>✓</t>
        </is>
      </c>
      <c r="Y163" s="151" t="n"/>
      <c r="Z163" s="147" t="n"/>
      <c r="AA163" s="152" t="n"/>
      <c r="AB163" s="158" t="inlineStr">
        <is>
          <t>not on this certificate</t>
        </is>
      </c>
      <c r="AC163" s="159" t="inlineStr">
        <is>
          <t>197-14-К-26, (07.08.2026) [FHM-K] · on file, not credited</t>
        </is>
      </c>
      <c r="AD163" s="160" t="inlineStr">
        <is>
          <t>•</t>
        </is>
      </c>
      <c r="AE163" s="151" t="n"/>
      <c r="AF163" s="147" t="n"/>
      <c r="AG163" s="147" t="n"/>
      <c r="AH163" s="147" t="n"/>
      <c r="AI163" s="147" t="n"/>
      <c r="AJ163" s="152" t="n"/>
      <c r="AK163" s="161" t="inlineStr">
        <is>
          <t>ND</t>
        </is>
      </c>
      <c r="AL163" s="162" t="inlineStr">
        <is>
          <t>ND</t>
        </is>
      </c>
      <c r="AM163" s="162" t="inlineStr">
        <is>
          <t>2.06</t>
        </is>
      </c>
      <c r="AN163" s="155" t="inlineStr">
        <is>
          <t>✓</t>
        </is>
      </c>
      <c r="AO163" s="151" t="n"/>
      <c r="AP163" s="147" t="n"/>
      <c r="AQ163" s="147" t="n"/>
      <c r="AR163" s="147" t="n"/>
      <c r="AS163" s="152" t="n"/>
      <c r="AT163" s="151" t="n"/>
      <c r="AU163" s="147" t="n"/>
      <c r="AV163" s="163" t="n"/>
    </row>
    <row r="164" ht="39" customHeight="1" s="70">
      <c r="A164" s="164" t="n"/>
      <c r="B164" s="165" t="n"/>
      <c r="C164" s="165" t="n"/>
      <c r="D164" s="165" t="n"/>
      <c r="E164" s="165" t="n"/>
      <c r="F164" s="165" t="n"/>
      <c r="G164" s="166" t="n"/>
      <c r="H164" s="165" t="n"/>
      <c r="I164" s="167" t="n"/>
      <c r="J164" s="166" t="n"/>
      <c r="K164" s="165" t="n"/>
      <c r="L164" s="167" t="n"/>
      <c r="M164" s="166" t="n"/>
      <c r="N164" s="165" t="n"/>
      <c r="O164" s="167" t="n"/>
      <c r="P164" s="166" t="n"/>
      <c r="Q164" s="165" t="n"/>
      <c r="R164" s="167" t="n"/>
      <c r="S164" s="166" t="n"/>
      <c r="T164" s="165" t="n"/>
      <c r="U164" s="167" t="n"/>
      <c r="V164" s="166" t="n"/>
      <c r="W164" s="165" t="n"/>
      <c r="X164" s="167" t="n"/>
      <c r="Y164" s="166" t="n"/>
      <c r="Z164" s="165" t="n"/>
      <c r="AA164" s="167" t="n"/>
      <c r="AB164" s="166" t="n"/>
      <c r="AC164" s="165" t="n"/>
      <c r="AD164" s="167" t="n"/>
      <c r="AE164" s="166" t="n"/>
      <c r="AF164" s="165" t="n"/>
      <c r="AG164" s="165" t="n"/>
      <c r="AH164" s="165" t="n"/>
      <c r="AI164" s="165" t="n"/>
      <c r="AJ164" s="167" t="n"/>
      <c r="AK164" s="168" t="inlineStr">
        <is>
          <t>197-14-М-26, (10.08.2026) [FHM-M]</t>
        </is>
      </c>
      <c r="AL164" s="165" t="n"/>
      <c r="AM164" s="165" t="n"/>
      <c r="AN164" s="167" t="n"/>
      <c r="AO164" s="166" t="n"/>
      <c r="AP164" s="165" t="n"/>
      <c r="AQ164" s="165" t="n"/>
      <c r="AR164" s="165" t="n"/>
      <c r="AS164" s="167" t="n"/>
      <c r="AT164" s="166" t="n"/>
      <c r="AU164" s="165" t="n"/>
      <c r="AV164" s="169" t="n"/>
    </row>
    <row r="165" ht="21" customHeight="1" s="70">
      <c r="A165" s="125" t="inlineStr">
        <is>
          <t>OPM1024_02</t>
        </is>
      </c>
      <c r="B165" s="126" t="inlineStr">
        <is>
          <t>P050062</t>
        </is>
      </c>
      <c r="C165" s="127" t="inlineStr">
        <is>
          <t>✓ COMPLETE
2 testing instances
• 2 document(s) on file, not credited</t>
        </is>
      </c>
      <c r="D165" s="128" t="inlineStr">
        <is>
          <t>1 of 2</t>
        </is>
      </c>
      <c r="E165" s="129" t="inlineStr">
        <is>
          <t>release testing</t>
        </is>
      </c>
      <c r="F165" s="130" t="inlineStr">
        <is>
          <t>iCoA-PP_26-012
CoQ-PP_26-012 · initial release</t>
        </is>
      </c>
      <c r="G165" s="131" t="inlineStr">
        <is>
          <t>Conforms</t>
        </is>
      </c>
      <c r="H165" s="132">
        <f>IFERROR(INDEX('iCoA Register'!$B:$B,MATCH("P050062|I",'iCoA Register'!$AA:$AA,0)),"iCoA — at issue")&amp;", (04.07.2025) [PP]"</f>
        <v/>
      </c>
      <c r="I165" s="133" t="inlineStr">
        <is>
          <t>✓</t>
        </is>
      </c>
      <c r="J165" s="134" t="inlineStr">
        <is>
          <t>not on this certificate</t>
        </is>
      </c>
      <c r="K165" s="135" t="inlineStr">
        <is>
          <t>ППК25154, (24.06.2025) [CNP] · on file, not credited</t>
        </is>
      </c>
      <c r="L165" s="136" t="inlineStr">
        <is>
          <t>•</t>
        </is>
      </c>
      <c r="M165" s="131" t="inlineStr">
        <is>
          <t>Conforms (ImB spec.)</t>
        </is>
      </c>
      <c r="N165" s="132" t="inlineStr">
        <is>
          <t>ППК25154, (24.06.2025) [CNP]</t>
        </is>
      </c>
      <c r="O165" s="133" t="inlineStr">
        <is>
          <t>✓</t>
        </is>
      </c>
      <c r="P165" s="137" t="inlineStr">
        <is>
          <t>18.27</t>
        </is>
      </c>
      <c r="Q165" s="132" t="inlineStr">
        <is>
          <t>ППК25154, (24.06.2025) [CNP]</t>
        </is>
      </c>
      <c r="R165" s="133" t="inlineStr">
        <is>
          <t>✓</t>
        </is>
      </c>
      <c r="S165" s="138" t="inlineStr">
        <is>
          <t>0.05</t>
        </is>
      </c>
      <c r="T165" s="132" t="inlineStr">
        <is>
          <t>ППК25154, (24.06.2025) [CNP]</t>
        </is>
      </c>
      <c r="U165" s="133" t="inlineStr">
        <is>
          <t>✓</t>
        </is>
      </c>
      <c r="V165" s="138" t="inlineStr">
        <is>
          <t>0.02 ᴰ</t>
        </is>
      </c>
      <c r="W165" s="132" t="inlineStr">
        <is>
          <t>ППК25154, (24.06.2025) [CNP]</t>
        </is>
      </c>
      <c r="X165" s="133" t="inlineStr">
        <is>
          <t>✓</t>
        </is>
      </c>
      <c r="Y165" s="131" t="inlineStr">
        <is>
          <t>Conforms</t>
        </is>
      </c>
      <c r="Z165" s="132">
        <f>IFERROR(INDEX('iCoA Register'!$B:$B,MATCH("P050062|I",'iCoA Register'!$AA:$AA,0)),"iCoA — at issue")&amp;", (04.07.2025) [PP]"</f>
        <v/>
      </c>
      <c r="AA165" s="133" t="inlineStr">
        <is>
          <t>✓</t>
        </is>
      </c>
      <c r="AB165" s="131" t="inlineStr">
        <is>
          <t>6.89</t>
        </is>
      </c>
      <c r="AC165" s="132" t="inlineStr">
        <is>
          <t>ППК25154, (24.06.2025) [CNP]</t>
        </is>
      </c>
      <c r="AD165" s="133" t="inlineStr">
        <is>
          <t>✓</t>
        </is>
      </c>
      <c r="AE165" s="131" t="inlineStr">
        <is>
          <t>3.4 × 10³</t>
        </is>
      </c>
      <c r="AF165" s="139" t="inlineStr">
        <is>
          <t>3.6 × 10³</t>
        </is>
      </c>
      <c r="AG165" s="139" t="inlineStr">
        <is>
          <t>&lt; 10</t>
        </is>
      </c>
      <c r="AH165" s="139" t="inlineStr">
        <is>
          <t>Absent</t>
        </is>
      </c>
      <c r="AI165" s="139" t="inlineStr">
        <is>
          <t>Absent</t>
        </is>
      </c>
      <c r="AJ165" s="133" t="inlineStr">
        <is>
          <t>✓</t>
        </is>
      </c>
      <c r="AK165" s="131" t="inlineStr">
        <is>
          <t>not reported</t>
        </is>
      </c>
      <c r="AL165" s="139" t="inlineStr">
        <is>
          <t>&lt; 2</t>
        </is>
      </c>
      <c r="AM165" s="139" t="inlineStr">
        <is>
          <t>not reported</t>
        </is>
      </c>
      <c r="AN165" s="133" t="inlineStr">
        <is>
          <t>✓</t>
        </is>
      </c>
      <c r="AO165" s="131" t="inlineStr">
        <is>
          <t>0.052</t>
        </is>
      </c>
      <c r="AP165" s="139" t="inlineStr">
        <is>
          <t>0.011</t>
        </is>
      </c>
      <c r="AQ165" s="139" t="inlineStr">
        <is>
          <t>0.028</t>
        </is>
      </c>
      <c r="AR165" s="139" t="inlineStr">
        <is>
          <t>0.061</t>
        </is>
      </c>
      <c r="AS165" s="133" t="inlineStr">
        <is>
          <t>✓</t>
        </is>
      </c>
      <c r="AT165" s="131" t="inlineStr">
        <is>
          <t>FINDS: delta HCH &lt;0.01</t>
        </is>
      </c>
      <c r="AU165" s="132" t="inlineStr">
        <is>
          <t>2994-2025, (19.06.2025) [IJZ]</t>
        </is>
      </c>
      <c r="AV165" s="140" t="inlineStr">
        <is>
          <t>✓</t>
        </is>
      </c>
    </row>
    <row r="166" ht="21" customHeight="1" s="70">
      <c r="A166" s="141" t="n"/>
      <c r="G166" s="142" t="n"/>
      <c r="I166" s="143" t="n"/>
      <c r="J166" s="142" t="n"/>
      <c r="L166" s="143" t="n"/>
      <c r="M166" s="142" t="n"/>
      <c r="O166" s="143" t="n"/>
      <c r="P166" s="142" t="n"/>
      <c r="R166" s="143" t="n"/>
      <c r="S166" s="142" t="n"/>
      <c r="U166" s="143" t="n"/>
      <c r="V166" s="142" t="n"/>
      <c r="X166" s="143" t="n"/>
      <c r="Y166" s="142" t="n"/>
      <c r="AA166" s="143" t="n"/>
      <c r="AB166" s="142" t="n"/>
      <c r="AD166" s="143" t="n"/>
      <c r="AE166" s="144" t="inlineStr">
        <is>
          <t>588-1067-25, (18.06.2025) [IJZ-MB]</t>
        </is>
      </c>
      <c r="AJ166" s="143" t="n"/>
      <c r="AK166" s="144" t="inlineStr">
        <is>
          <t>2994-2025, (19.06.2025) [IJZ]</t>
        </is>
      </c>
      <c r="AN166" s="143" t="n"/>
      <c r="AO166" s="144" t="inlineStr">
        <is>
          <t>2994-2025, (19.06.2025) [IJZ]</t>
        </is>
      </c>
      <c r="AS166" s="143" t="n"/>
      <c r="AT166" s="142" t="n"/>
      <c r="AV166" s="145" t="n"/>
    </row>
    <row r="167" ht="17.625" customHeight="1" s="70">
      <c r="A167" s="146" t="n"/>
      <c r="B167" s="147" t="n"/>
      <c r="D167" s="148" t="inlineStr">
        <is>
          <t>2 of 2</t>
        </is>
      </c>
      <c r="E167" s="149" t="inlineStr">
        <is>
          <t>release testing + re-analysis 197</t>
        </is>
      </c>
      <c r="F167" s="150" t="inlineStr">
        <is>
          <t>iCoA-PP_26-012
CoQ-PP_26-012 · initial release
iCoA-PP_26-117
CoQ-PP_26-102 · retest</t>
        </is>
      </c>
      <c r="G167" s="151" t="n"/>
      <c r="H167" s="147" t="n"/>
      <c r="I167" s="152" t="n"/>
      <c r="J167" s="153" t="inlineStr">
        <is>
          <t>Conforms</t>
        </is>
      </c>
      <c r="K167" s="154">
        <f>IFERROR(INDEX('iCoA Register'!$B:$B,MATCH("P050062|I",'iCoA Register'!$AA:$AA,0)),"iCoA — at issue")&amp;", (04.07.2025) [PP]"</f>
        <v/>
      </c>
      <c r="L167" s="155" t="inlineStr">
        <is>
          <t>✓</t>
        </is>
      </c>
      <c r="M167" s="153" t="inlineStr">
        <is>
          <t>Conforms (ImB spec.) ᴿ</t>
        </is>
      </c>
      <c r="N167" s="154" t="inlineStr">
        <is>
          <t>197-18-К-26, (07.08.2026) [FHM-K]</t>
        </is>
      </c>
      <c r="O167" s="155" t="inlineStr">
        <is>
          <t>✓</t>
        </is>
      </c>
      <c r="P167" s="156" t="inlineStr">
        <is>
          <t>18.04</t>
        </is>
      </c>
      <c r="Q167" s="154" t="inlineStr">
        <is>
          <t>197-18-К-26, (07.08.2026) [FHM-K]</t>
        </is>
      </c>
      <c r="R167" s="155" t="inlineStr">
        <is>
          <t>✓</t>
        </is>
      </c>
      <c r="S167" s="157" t="inlineStr">
        <is>
          <t>&lt; LOQ</t>
        </is>
      </c>
      <c r="T167" s="154" t="inlineStr">
        <is>
          <t>197-18-К-26, (07.08.2026) [FHM-K]</t>
        </is>
      </c>
      <c r="U167" s="155" t="inlineStr">
        <is>
          <t>✓</t>
        </is>
      </c>
      <c r="V167" s="157" t="inlineStr">
        <is>
          <t>&lt; LOQ</t>
        </is>
      </c>
      <c r="W167" s="154" t="inlineStr">
        <is>
          <t>197-18-К-26, (07.08.2026) [FHM-K]</t>
        </is>
      </c>
      <c r="X167" s="155" t="inlineStr">
        <is>
          <t>✓</t>
        </is>
      </c>
      <c r="Y167" s="151" t="n"/>
      <c r="Z167" s="147" t="n"/>
      <c r="AA167" s="152" t="n"/>
      <c r="AB167" s="158" t="inlineStr">
        <is>
          <t>not on this certificate</t>
        </is>
      </c>
      <c r="AC167" s="159" t="inlineStr">
        <is>
          <t>197-18-К-26, (07.08.2026) [FHM-K] · on file, not credited</t>
        </is>
      </c>
      <c r="AD167" s="160" t="inlineStr">
        <is>
          <t>•</t>
        </is>
      </c>
      <c r="AE167" s="151" t="n"/>
      <c r="AF167" s="147" t="n"/>
      <c r="AG167" s="147" t="n"/>
      <c r="AH167" s="147" t="n"/>
      <c r="AI167" s="147" t="n"/>
      <c r="AJ167" s="152" t="n"/>
      <c r="AK167" s="161" t="inlineStr">
        <is>
          <t>ND</t>
        </is>
      </c>
      <c r="AL167" s="162" t="inlineStr">
        <is>
          <t>ND</t>
        </is>
      </c>
      <c r="AM167" s="162" t="inlineStr">
        <is>
          <t>ND</t>
        </is>
      </c>
      <c r="AN167" s="155" t="inlineStr">
        <is>
          <t>✓</t>
        </is>
      </c>
      <c r="AO167" s="151" t="n"/>
      <c r="AP167" s="147" t="n"/>
      <c r="AQ167" s="147" t="n"/>
      <c r="AR167" s="147" t="n"/>
      <c r="AS167" s="152" t="n"/>
      <c r="AT167" s="151" t="n"/>
      <c r="AU167" s="147" t="n"/>
      <c r="AV167" s="163" t="n"/>
    </row>
    <row r="168" ht="39" customHeight="1" s="70">
      <c r="A168" s="164" t="n"/>
      <c r="B168" s="165" t="n"/>
      <c r="C168" s="165" t="n"/>
      <c r="D168" s="165" t="n"/>
      <c r="E168" s="165" t="n"/>
      <c r="F168" s="165" t="n"/>
      <c r="G168" s="166" t="n"/>
      <c r="H168" s="165" t="n"/>
      <c r="I168" s="167" t="n"/>
      <c r="J168" s="166" t="n"/>
      <c r="K168" s="165" t="n"/>
      <c r="L168" s="167" t="n"/>
      <c r="M168" s="166" t="n"/>
      <c r="N168" s="165" t="n"/>
      <c r="O168" s="167" t="n"/>
      <c r="P168" s="166" t="n"/>
      <c r="Q168" s="165" t="n"/>
      <c r="R168" s="167" t="n"/>
      <c r="S168" s="166" t="n"/>
      <c r="T168" s="165" t="n"/>
      <c r="U168" s="167" t="n"/>
      <c r="V168" s="166" t="n"/>
      <c r="W168" s="165" t="n"/>
      <c r="X168" s="167" t="n"/>
      <c r="Y168" s="166" t="n"/>
      <c r="Z168" s="165" t="n"/>
      <c r="AA168" s="167" t="n"/>
      <c r="AB168" s="166" t="n"/>
      <c r="AC168" s="165" t="n"/>
      <c r="AD168" s="167" t="n"/>
      <c r="AE168" s="166" t="n"/>
      <c r="AF168" s="165" t="n"/>
      <c r="AG168" s="165" t="n"/>
      <c r="AH168" s="165" t="n"/>
      <c r="AI168" s="165" t="n"/>
      <c r="AJ168" s="167" t="n"/>
      <c r="AK168" s="168" t="inlineStr">
        <is>
          <t>197-18-М-26, (10.08.2026) [FHM-M]</t>
        </is>
      </c>
      <c r="AL168" s="165" t="n"/>
      <c r="AM168" s="165" t="n"/>
      <c r="AN168" s="167" t="n"/>
      <c r="AO168" s="166" t="n"/>
      <c r="AP168" s="165" t="n"/>
      <c r="AQ168" s="165" t="n"/>
      <c r="AR168" s="165" t="n"/>
      <c r="AS168" s="167" t="n"/>
      <c r="AT168" s="166" t="n"/>
      <c r="AU168" s="165" t="n"/>
      <c r="AV168" s="169" t="n"/>
    </row>
    <row r="169" ht="21" customHeight="1" s="70">
      <c r="A169" s="125" t="inlineStr">
        <is>
          <t>GP0824_03</t>
        </is>
      </c>
      <c r="B169" s="126" t="inlineStr">
        <is>
          <t>P050072</t>
        </is>
      </c>
      <c r="C169" s="170" t="inlineStr">
        <is>
          <t>✓ COMPLETE
5 testing instances
• 4 document(s) on file, not credited
◐ UNDETERMINED (Ph. Eur. band): #9 TYMC
· stability above A.C.: #6</t>
        </is>
      </c>
      <c r="D169" s="128" t="inlineStr">
        <is>
          <t>1 of 5</t>
        </is>
      </c>
      <c r="E169" s="129" t="inlineStr">
        <is>
          <t>release testing</t>
        </is>
      </c>
      <c r="F169" s="130" t="inlineStr">
        <is>
          <t>iCoA-PP_26-013
CoQ-PP_26-013 · initial release</t>
        </is>
      </c>
      <c r="G169" s="131" t="inlineStr">
        <is>
          <t>Conforms</t>
        </is>
      </c>
      <c r="H169" s="132">
        <f>IFERROR(INDEX('iCoA Register'!$B:$B,MATCH("P050072|I",'iCoA Register'!$AA:$AA,0)),"iCoA — at issue")&amp;", (14.07.2025) [PP]"</f>
        <v/>
      </c>
      <c r="I169" s="133" t="inlineStr">
        <is>
          <t>✓</t>
        </is>
      </c>
      <c r="J169" s="134" t="inlineStr">
        <is>
          <t>not on this certificate</t>
        </is>
      </c>
      <c r="K169" s="135" t="inlineStr">
        <is>
          <t>ППК25175, (10.07.2025) [CNP] · on file, not credited</t>
        </is>
      </c>
      <c r="L169" s="136" t="inlineStr">
        <is>
          <t>•</t>
        </is>
      </c>
      <c r="M169" s="131" t="inlineStr">
        <is>
          <t>Conforms (ImB spec.)</t>
        </is>
      </c>
      <c r="N169" s="132" t="inlineStr">
        <is>
          <t>ППК25175, (10.07.2025) [CNP]</t>
        </is>
      </c>
      <c r="O169" s="133" t="inlineStr">
        <is>
          <t>✓</t>
        </is>
      </c>
      <c r="P169" s="137" t="inlineStr">
        <is>
          <t>25.45</t>
        </is>
      </c>
      <c r="Q169" s="132" t="inlineStr">
        <is>
          <t>ППК25175, (10.07.2025) [CNP]</t>
        </is>
      </c>
      <c r="R169" s="133" t="inlineStr">
        <is>
          <t>✓</t>
        </is>
      </c>
      <c r="S169" s="138" t="inlineStr">
        <is>
          <t>0.08</t>
        </is>
      </c>
      <c r="T169" s="132" t="inlineStr">
        <is>
          <t>ППК25175, (10.07.2025) [CNP]</t>
        </is>
      </c>
      <c r="U169" s="133" t="inlineStr">
        <is>
          <t>✓</t>
        </is>
      </c>
      <c r="V169" s="138" t="inlineStr">
        <is>
          <t>&lt; LOQ ᴰ</t>
        </is>
      </c>
      <c r="W169" s="132" t="inlineStr">
        <is>
          <t>ППК25175, (10.07.2025) [CNP]</t>
        </is>
      </c>
      <c r="X169" s="133" t="inlineStr">
        <is>
          <t>✓</t>
        </is>
      </c>
      <c r="Y169" s="131" t="inlineStr">
        <is>
          <t>Conforms</t>
        </is>
      </c>
      <c r="Z169" s="132">
        <f>IFERROR(INDEX('iCoA Register'!$B:$B,MATCH("P050072|I",'iCoA Register'!$AA:$AA,0)),"iCoA — at issue")&amp;", (14.07.2025) [PP]"</f>
        <v/>
      </c>
      <c r="AA169" s="133" t="inlineStr">
        <is>
          <t>✓</t>
        </is>
      </c>
      <c r="AB169" s="131" t="inlineStr">
        <is>
          <t>6.58</t>
        </is>
      </c>
      <c r="AC169" s="132" t="inlineStr">
        <is>
          <t>ППК25175, (10.07.2025) [CNP]</t>
        </is>
      </c>
      <c r="AD169" s="133" t="inlineStr">
        <is>
          <t>✓</t>
        </is>
      </c>
      <c r="AE169" s="131" t="inlineStr">
        <is>
          <t>1.1 × 10⁴</t>
        </is>
      </c>
      <c r="AF169" s="227" t="inlineStr">
        <is>
          <t>1.2 × 10⁴</t>
        </is>
      </c>
      <c r="AG169" s="139" t="inlineStr">
        <is>
          <t>&lt; 10⁴ and &gt; 10³</t>
        </is>
      </c>
      <c r="AH169" s="139" t="inlineStr">
        <is>
          <t>Absent</t>
        </is>
      </c>
      <c r="AI169" s="139" t="inlineStr">
        <is>
          <t>Absent</t>
        </is>
      </c>
      <c r="AJ169" s="133" t="inlineStr">
        <is>
          <t>✓</t>
        </is>
      </c>
      <c r="AK169" s="131" t="inlineStr">
        <is>
          <t>not reported</t>
        </is>
      </c>
      <c r="AL169" s="139" t="inlineStr">
        <is>
          <t>&lt; 2</t>
        </is>
      </c>
      <c r="AM169" s="139" t="inlineStr">
        <is>
          <t>not reported</t>
        </is>
      </c>
      <c r="AN169" s="133" t="inlineStr">
        <is>
          <t>✓</t>
        </is>
      </c>
      <c r="AO169" s="131" t="inlineStr">
        <is>
          <t>ND</t>
        </is>
      </c>
      <c r="AP169" s="139" t="inlineStr">
        <is>
          <t>ND</t>
        </is>
      </c>
      <c r="AQ169" s="139" t="inlineStr">
        <is>
          <t>0.119</t>
        </is>
      </c>
      <c r="AR169" s="139" t="inlineStr">
        <is>
          <t>ND</t>
        </is>
      </c>
      <c r="AS169" s="133" t="inlineStr">
        <is>
          <t>✓</t>
        </is>
      </c>
      <c r="AT169" s="131" t="inlineStr">
        <is>
          <t>≤ LOQ (all 29 compounds)</t>
        </is>
      </c>
      <c r="AU169" s="132" t="inlineStr">
        <is>
          <t>3178-2025, (26.06.2025) [IJZ]</t>
        </is>
      </c>
      <c r="AV169" s="140" t="inlineStr">
        <is>
          <t>✓</t>
        </is>
      </c>
    </row>
    <row r="170" ht="21" customHeight="1" s="70">
      <c r="A170" s="141" t="n"/>
      <c r="G170" s="142" t="n"/>
      <c r="I170" s="143" t="n"/>
      <c r="J170" s="142" t="n"/>
      <c r="L170" s="143" t="n"/>
      <c r="M170" s="142" t="n"/>
      <c r="O170" s="143" t="n"/>
      <c r="P170" s="142" t="n"/>
      <c r="R170" s="143" t="n"/>
      <c r="S170" s="142" t="n"/>
      <c r="U170" s="143" t="n"/>
      <c r="V170" s="142" t="n"/>
      <c r="X170" s="143" t="n"/>
      <c r="Y170" s="142" t="n"/>
      <c r="AA170" s="143" t="n"/>
      <c r="AB170" s="142" t="n"/>
      <c r="AD170" s="143" t="n"/>
      <c r="AE170" s="144" t="inlineStr">
        <is>
          <t>628-1129-25, (02.07.2025) [IJZ-MB]</t>
        </is>
      </c>
      <c r="AJ170" s="143" t="n"/>
      <c r="AK170" s="144" t="inlineStr">
        <is>
          <t>3178-2025, (26.06.2025) [IJZ]</t>
        </is>
      </c>
      <c r="AN170" s="143" t="n"/>
      <c r="AO170" s="144" t="inlineStr">
        <is>
          <t>3178-2025, (26.06.2025) [IJZ]</t>
        </is>
      </c>
      <c r="AS170" s="143" t="n"/>
      <c r="AT170" s="142" t="n"/>
      <c r="AV170" s="145" t="n"/>
    </row>
    <row r="171" ht="17.625" customHeight="1" s="70">
      <c r="A171" s="146" t="n"/>
      <c r="B171" s="147" t="n"/>
      <c r="D171" s="193" t="inlineStr">
        <is>
          <t>2 of 5</t>
        </is>
      </c>
      <c r="E171" s="194" t="inlineStr">
        <is>
          <t>release testing + re-analysis 220</t>
        </is>
      </c>
      <c r="F171" s="195" t="inlineStr">
        <is>
          <t>iCoA-PP_26-013
CoQ-PP_26-013 · initial release
iCoA-PP_26-133
CoQ-PP_26-117 · retest</t>
        </is>
      </c>
      <c r="G171" s="151" t="n"/>
      <c r="H171" s="147" t="n"/>
      <c r="I171" s="152" t="n"/>
      <c r="J171" s="161" t="inlineStr">
        <is>
          <t>Conforms</t>
        </is>
      </c>
      <c r="K171" s="196">
        <f>IFERROR(INDEX('iCoA Register'!$B:$B,MATCH("P050072|I",'iCoA Register'!$AA:$AA,0)),"iCoA — at issue")&amp;", (14.07.2025) [PP]"</f>
        <v/>
      </c>
      <c r="L171" s="197" t="inlineStr">
        <is>
          <t>✓</t>
        </is>
      </c>
      <c r="M171" s="228" t="inlineStr">
        <is>
          <t>Conforms (ImB spec.)</t>
        </is>
      </c>
      <c r="N171" s="229" t="inlineStr">
        <is>
          <t>ППК26034, (05.03.2026) [CNP]</t>
        </is>
      </c>
      <c r="O171" s="230" t="inlineStr">
        <is>
          <t>✓</t>
        </is>
      </c>
      <c r="P171" s="231" t="inlineStr">
        <is>
          <t>24.62</t>
        </is>
      </c>
      <c r="Q171" s="229" t="inlineStr">
        <is>
          <t>ППК26034, (05.03.2026) [CNP]</t>
        </is>
      </c>
      <c r="R171" s="230" t="inlineStr">
        <is>
          <t>✓</t>
        </is>
      </c>
      <c r="S171" s="232" t="inlineStr">
        <is>
          <t>0.04</t>
        </is>
      </c>
      <c r="T171" s="229" t="inlineStr">
        <is>
          <t>ППК26034, (05.03.2026) [CNP]</t>
        </is>
      </c>
      <c r="U171" s="230" t="inlineStr">
        <is>
          <t>✓</t>
        </is>
      </c>
      <c r="V171" s="232" t="inlineStr">
        <is>
          <t>0.05 ᴰ</t>
        </is>
      </c>
      <c r="W171" s="229" t="inlineStr">
        <is>
          <t>ППК26034, (05.03.2026) [CNP]</t>
        </is>
      </c>
      <c r="X171" s="230" t="inlineStr">
        <is>
          <t>✓</t>
        </is>
      </c>
      <c r="Y171" s="151" t="n"/>
      <c r="Z171" s="147" t="n"/>
      <c r="AA171" s="152" t="n"/>
      <c r="AB171" s="228" t="inlineStr">
        <is>
          <t>5.92</t>
        </is>
      </c>
      <c r="AC171" s="229" t="inlineStr">
        <is>
          <t>ППК26034, (05.03.2026) [CNP]</t>
        </is>
      </c>
      <c r="AD171" s="230" t="inlineStr">
        <is>
          <t>✓</t>
        </is>
      </c>
      <c r="AE171" s="151" t="n"/>
      <c r="AF171" s="147" t="n"/>
      <c r="AG171" s="147" t="n"/>
      <c r="AH171" s="147" t="n"/>
      <c r="AI171" s="147" t="n"/>
      <c r="AJ171" s="152" t="n"/>
      <c r="AK171" s="161" t="inlineStr">
        <is>
          <t>ND</t>
        </is>
      </c>
      <c r="AL171" s="162" t="inlineStr">
        <is>
          <t>ND</t>
        </is>
      </c>
      <c r="AM171" s="162" t="inlineStr">
        <is>
          <t>ND</t>
        </is>
      </c>
      <c r="AN171" s="197" t="inlineStr">
        <is>
          <t>✓</t>
        </is>
      </c>
      <c r="AO171" s="151" t="n"/>
      <c r="AP171" s="147" t="n"/>
      <c r="AQ171" s="147" t="n"/>
      <c r="AR171" s="147" t="n"/>
      <c r="AS171" s="152" t="n"/>
      <c r="AT171" s="151" t="n"/>
      <c r="AU171" s="147" t="n"/>
      <c r="AV171" s="163" t="n"/>
    </row>
    <row r="172" ht="39" customHeight="1" s="70">
      <c r="A172" s="203" t="n"/>
      <c r="B172" s="204" t="n"/>
      <c r="D172" s="204" t="n"/>
      <c r="E172" s="204" t="n"/>
      <c r="F172" s="204" t="n"/>
      <c r="G172" s="205" t="n"/>
      <c r="H172" s="204" t="n"/>
      <c r="I172" s="206" t="n"/>
      <c r="J172" s="205" t="n"/>
      <c r="K172" s="204" t="n"/>
      <c r="L172" s="206" t="n"/>
      <c r="M172" s="205" t="n"/>
      <c r="N172" s="204" t="n"/>
      <c r="O172" s="206" t="n"/>
      <c r="P172" s="205" t="n"/>
      <c r="Q172" s="204" t="n"/>
      <c r="R172" s="206" t="n"/>
      <c r="S172" s="205" t="n"/>
      <c r="T172" s="204" t="n"/>
      <c r="U172" s="206" t="n"/>
      <c r="V172" s="205" t="n"/>
      <c r="W172" s="204" t="n"/>
      <c r="X172" s="206" t="n"/>
      <c r="Y172" s="205" t="n"/>
      <c r="Z172" s="204" t="n"/>
      <c r="AA172" s="206" t="n"/>
      <c r="AB172" s="205" t="n"/>
      <c r="AC172" s="204" t="n"/>
      <c r="AD172" s="206" t="n"/>
      <c r="AE172" s="205" t="n"/>
      <c r="AF172" s="204" t="n"/>
      <c r="AG172" s="204" t="n"/>
      <c r="AH172" s="204" t="n"/>
      <c r="AI172" s="204" t="n"/>
      <c r="AJ172" s="206" t="n"/>
      <c r="AK172" s="221" t="inlineStr">
        <is>
          <t>220-11-М-26, (11.09.2026) [FHM-M]</t>
        </is>
      </c>
      <c r="AL172" s="204" t="n"/>
      <c r="AM172" s="204" t="n"/>
      <c r="AN172" s="206" t="n"/>
      <c r="AO172" s="205" t="n"/>
      <c r="AP172" s="204" t="n"/>
      <c r="AQ172" s="204" t="n"/>
      <c r="AR172" s="204" t="n"/>
      <c r="AS172" s="206" t="n"/>
      <c r="AT172" s="205" t="n"/>
      <c r="AU172" s="204" t="n"/>
      <c r="AV172" s="207" t="n"/>
    </row>
    <row r="173" ht="17.625" customHeight="1" s="70">
      <c r="A173" s="146" t="n"/>
      <c r="B173" s="147" t="n"/>
      <c r="D173" s="193" t="inlineStr">
        <is>
          <t>3 of 5</t>
        </is>
      </c>
      <c r="E173" s="194" t="inlineStr">
        <is>
          <t>release testing</t>
        </is>
      </c>
      <c r="F173" s="195" t="inlineStr">
        <is>
          <t>no certificate of quality cites this block</t>
        </is>
      </c>
      <c r="G173" s="151" t="n"/>
      <c r="H173" s="147" t="n"/>
      <c r="I173" s="152" t="n"/>
      <c r="J173" s="200" t="inlineStr">
        <is>
          <t>not on this certificate</t>
        </is>
      </c>
      <c r="K173" s="201" t="inlineStr">
        <is>
          <t>ППК26034, (05.03.2026) [CNP] · on file, not credited</t>
        </is>
      </c>
      <c r="L173" s="202" t="inlineStr">
        <is>
          <t>•</t>
        </is>
      </c>
      <c r="M173" s="228" t="inlineStr">
        <is>
          <t>Conforms (ImB spec.)</t>
        </is>
      </c>
      <c r="N173" s="229" t="inlineStr">
        <is>
          <t>ППК26035, (05.03.2026) [CNP]</t>
        </is>
      </c>
      <c r="O173" s="230" t="inlineStr">
        <is>
          <t>✓</t>
        </is>
      </c>
      <c r="P173" s="231" t="inlineStr">
        <is>
          <t>14.99</t>
        </is>
      </c>
      <c r="Q173" s="229" t="inlineStr">
        <is>
          <t>ППК26035, (05.03.2026) [CNP]</t>
        </is>
      </c>
      <c r="R173" s="230" t="inlineStr">
        <is>
          <t>✓</t>
        </is>
      </c>
      <c r="S173" s="232" t="inlineStr">
        <is>
          <t>0.02</t>
        </is>
      </c>
      <c r="T173" s="229" t="inlineStr">
        <is>
          <t>ППК26035, (05.03.2026) [CNP]</t>
        </is>
      </c>
      <c r="U173" s="230" t="inlineStr">
        <is>
          <t>✓</t>
        </is>
      </c>
      <c r="V173" s="233" t="inlineStr">
        <is>
          <t>2.15 ᴰ</t>
        </is>
      </c>
      <c r="W173" s="229" t="inlineStr">
        <is>
          <t>ППК26035, (05.03.2026) [CNP]</t>
        </is>
      </c>
      <c r="X173" s="230" t="inlineStr">
        <is>
          <t>✓</t>
        </is>
      </c>
      <c r="Y173" s="151" t="n"/>
      <c r="Z173" s="147" t="n"/>
      <c r="AA173" s="152" t="n"/>
      <c r="AB173" s="228" t="inlineStr">
        <is>
          <t>5.52</t>
        </is>
      </c>
      <c r="AC173" s="229" t="inlineStr">
        <is>
          <t>ППК26035, (05.03.2026) [CNP]</t>
        </is>
      </c>
      <c r="AD173" s="230" t="inlineStr">
        <is>
          <t>✓</t>
        </is>
      </c>
      <c r="AE173" s="151" t="n"/>
      <c r="AF173" s="147" t="n"/>
      <c r="AG173" s="147" t="n"/>
      <c r="AH173" s="147" t="n"/>
      <c r="AI173" s="147" t="n"/>
      <c r="AJ173" s="152" t="n"/>
      <c r="AK173" s="151" t="n"/>
      <c r="AL173" s="147" t="n"/>
      <c r="AM173" s="147" t="n"/>
      <c r="AN173" s="152" t="n"/>
      <c r="AO173" s="151" t="n"/>
      <c r="AP173" s="147" t="n"/>
      <c r="AQ173" s="147" t="n"/>
      <c r="AR173" s="147" t="n"/>
      <c r="AS173" s="152" t="n"/>
      <c r="AT173" s="151" t="n"/>
      <c r="AU173" s="147" t="n"/>
      <c r="AV173" s="163" t="n"/>
    </row>
    <row r="174" ht="13" customHeight="1" s="70">
      <c r="A174" s="203" t="n"/>
      <c r="B174" s="204" t="n"/>
      <c r="D174" s="204" t="n"/>
      <c r="E174" s="204" t="n"/>
      <c r="F174" s="204" t="n"/>
      <c r="G174" s="205" t="n"/>
      <c r="H174" s="204" t="n"/>
      <c r="I174" s="206" t="n"/>
      <c r="J174" s="205" t="n"/>
      <c r="K174" s="204" t="n"/>
      <c r="L174" s="206" t="n"/>
      <c r="M174" s="205" t="n"/>
      <c r="N174" s="204" t="n"/>
      <c r="O174" s="206" t="n"/>
      <c r="P174" s="205" t="n"/>
      <c r="Q174" s="204" t="n"/>
      <c r="R174" s="206" t="n"/>
      <c r="S174" s="205" t="n"/>
      <c r="T174" s="204" t="n"/>
      <c r="U174" s="206" t="n"/>
      <c r="V174" s="205" t="n"/>
      <c r="W174" s="204" t="n"/>
      <c r="X174" s="206" t="n"/>
      <c r="Y174" s="205" t="n"/>
      <c r="Z174" s="204" t="n"/>
      <c r="AA174" s="206" t="n"/>
      <c r="AB174" s="205" t="n"/>
      <c r="AC174" s="204" t="n"/>
      <c r="AD174" s="206" t="n"/>
      <c r="AE174" s="205" t="n"/>
      <c r="AF174" s="204" t="n"/>
      <c r="AG174" s="204" t="n"/>
      <c r="AH174" s="204" t="n"/>
      <c r="AI174" s="204" t="n"/>
      <c r="AJ174" s="206" t="n"/>
      <c r="AK174" s="205" t="n"/>
      <c r="AL174" s="204" t="n"/>
      <c r="AM174" s="204" t="n"/>
      <c r="AN174" s="206" t="n"/>
      <c r="AO174" s="205" t="n"/>
      <c r="AP174" s="204" t="n"/>
      <c r="AQ174" s="204" t="n"/>
      <c r="AR174" s="204" t="n"/>
      <c r="AS174" s="206" t="n"/>
      <c r="AT174" s="205" t="n"/>
      <c r="AU174" s="204" t="n"/>
      <c r="AV174" s="207" t="n"/>
    </row>
    <row r="175" ht="17.625" customHeight="1" s="70">
      <c r="A175" s="146" t="n"/>
      <c r="B175" s="147" t="n"/>
      <c r="D175" s="193" t="inlineStr">
        <is>
          <t>4 of 5</t>
        </is>
      </c>
      <c r="E175" s="194" t="inlineStr">
        <is>
          <t>release testing</t>
        </is>
      </c>
      <c r="F175" s="195" t="inlineStr">
        <is>
          <t>no certificate of quality cites this block</t>
        </is>
      </c>
      <c r="G175" s="151" t="n"/>
      <c r="H175" s="147" t="n"/>
      <c r="I175" s="152" t="n"/>
      <c r="J175" s="200" t="inlineStr">
        <is>
          <t>not on this certificate</t>
        </is>
      </c>
      <c r="K175" s="201" t="inlineStr">
        <is>
          <t>ППК26035, (05.03.2026) [CNP] · on file, not credited</t>
        </is>
      </c>
      <c r="L175" s="202" t="inlineStr">
        <is>
          <t>•</t>
        </is>
      </c>
      <c r="M175" s="228" t="inlineStr">
        <is>
          <t>Conforms (ImB spec.)</t>
        </is>
      </c>
      <c r="N175" s="229" t="inlineStr">
        <is>
          <t>ППК26060, (11.05.2026) [CNP]</t>
        </is>
      </c>
      <c r="O175" s="230" t="inlineStr">
        <is>
          <t>✓</t>
        </is>
      </c>
      <c r="P175" s="231" t="inlineStr">
        <is>
          <t>25.98</t>
        </is>
      </c>
      <c r="Q175" s="229" t="inlineStr">
        <is>
          <t>ППК26060, (11.05.2026) [CNP]</t>
        </is>
      </c>
      <c r="R175" s="230" t="inlineStr">
        <is>
          <t>✓</t>
        </is>
      </c>
      <c r="S175" s="232" t="inlineStr">
        <is>
          <t>0.04</t>
        </is>
      </c>
      <c r="T175" s="229" t="inlineStr">
        <is>
          <t>ППК26060, (11.05.2026) [CNP]</t>
        </is>
      </c>
      <c r="U175" s="230" t="inlineStr">
        <is>
          <t>✓</t>
        </is>
      </c>
      <c r="V175" s="232" t="inlineStr">
        <is>
          <t>0.04 ᴰ</t>
        </is>
      </c>
      <c r="W175" s="229" t="inlineStr">
        <is>
          <t>ППК26060, (11.05.2026) [CNP]</t>
        </is>
      </c>
      <c r="X175" s="230" t="inlineStr">
        <is>
          <t>✓</t>
        </is>
      </c>
      <c r="Y175" s="151" t="n"/>
      <c r="Z175" s="147" t="n"/>
      <c r="AA175" s="152" t="n"/>
      <c r="AB175" s="228" t="inlineStr">
        <is>
          <t>7.07</t>
        </is>
      </c>
      <c r="AC175" s="229" t="inlineStr">
        <is>
          <t>ППК26060, (11.05.2026) [CNP]</t>
        </is>
      </c>
      <c r="AD175" s="230" t="inlineStr">
        <is>
          <t>✓</t>
        </is>
      </c>
      <c r="AE175" s="151" t="n"/>
      <c r="AF175" s="147" t="n"/>
      <c r="AG175" s="147" t="n"/>
      <c r="AH175" s="147" t="n"/>
      <c r="AI175" s="147" t="n"/>
      <c r="AJ175" s="152" t="n"/>
      <c r="AK175" s="151" t="n"/>
      <c r="AL175" s="147" t="n"/>
      <c r="AM175" s="147" t="n"/>
      <c r="AN175" s="152" t="n"/>
      <c r="AO175" s="151" t="n"/>
      <c r="AP175" s="147" t="n"/>
      <c r="AQ175" s="147" t="n"/>
      <c r="AR175" s="147" t="n"/>
      <c r="AS175" s="152" t="n"/>
      <c r="AT175" s="151" t="n"/>
      <c r="AU175" s="147" t="n"/>
      <c r="AV175" s="163" t="n"/>
    </row>
    <row r="176" ht="13" customHeight="1" s="70">
      <c r="A176" s="203" t="n"/>
      <c r="B176" s="204" t="n"/>
      <c r="D176" s="204" t="n"/>
      <c r="E176" s="204" t="n"/>
      <c r="F176" s="204" t="n"/>
      <c r="G176" s="205" t="n"/>
      <c r="H176" s="204" t="n"/>
      <c r="I176" s="206" t="n"/>
      <c r="J176" s="205" t="n"/>
      <c r="K176" s="204" t="n"/>
      <c r="L176" s="206" t="n"/>
      <c r="M176" s="205" t="n"/>
      <c r="N176" s="204" t="n"/>
      <c r="O176" s="206" t="n"/>
      <c r="P176" s="205" t="n"/>
      <c r="Q176" s="204" t="n"/>
      <c r="R176" s="206" t="n"/>
      <c r="S176" s="205" t="n"/>
      <c r="T176" s="204" t="n"/>
      <c r="U176" s="206" t="n"/>
      <c r="V176" s="205" t="n"/>
      <c r="W176" s="204" t="n"/>
      <c r="X176" s="206" t="n"/>
      <c r="Y176" s="205" t="n"/>
      <c r="Z176" s="204" t="n"/>
      <c r="AA176" s="206" t="n"/>
      <c r="AB176" s="205" t="n"/>
      <c r="AC176" s="204" t="n"/>
      <c r="AD176" s="206" t="n"/>
      <c r="AE176" s="205" t="n"/>
      <c r="AF176" s="204" t="n"/>
      <c r="AG176" s="204" t="n"/>
      <c r="AH176" s="204" t="n"/>
      <c r="AI176" s="204" t="n"/>
      <c r="AJ176" s="206" t="n"/>
      <c r="AK176" s="205" t="n"/>
      <c r="AL176" s="204" t="n"/>
      <c r="AM176" s="204" t="n"/>
      <c r="AN176" s="206" t="n"/>
      <c r="AO176" s="205" t="n"/>
      <c r="AP176" s="204" t="n"/>
      <c r="AQ176" s="204" t="n"/>
      <c r="AR176" s="204" t="n"/>
      <c r="AS176" s="206" t="n"/>
      <c r="AT176" s="205" t="n"/>
      <c r="AU176" s="204" t="n"/>
      <c r="AV176" s="207" t="n"/>
    </row>
    <row r="177" ht="17.625" customHeight="1" s="70">
      <c r="A177" s="146" t="n"/>
      <c r="B177" s="147" t="n"/>
      <c r="D177" s="148" t="inlineStr">
        <is>
          <t>5 of 5</t>
        </is>
      </c>
      <c r="E177" s="149" t="inlineStr">
        <is>
          <t>release testing + re-analysis 220</t>
        </is>
      </c>
      <c r="F177" s="150" t="inlineStr">
        <is>
          <t>iCoA-PP_26-133
CoQ-PP_26-117 · retest</t>
        </is>
      </c>
      <c r="G177" s="151" t="n"/>
      <c r="H177" s="147" t="n"/>
      <c r="I177" s="152" t="n"/>
      <c r="J177" s="158" t="inlineStr">
        <is>
          <t>not on this certificate</t>
        </is>
      </c>
      <c r="K177" s="159" t="inlineStr">
        <is>
          <t>ППК26060, (11.05.2026) [CNP] · on file, not credited</t>
        </is>
      </c>
      <c r="L177" s="160" t="inlineStr">
        <is>
          <t>•</t>
        </is>
      </c>
      <c r="M177" s="153" t="inlineStr">
        <is>
          <t>Conforms (ImB spec.)</t>
        </is>
      </c>
      <c r="N177" s="154" t="inlineStr">
        <is>
          <t>220-11-К-26, (25.08.2026) [FHM-K]</t>
        </is>
      </c>
      <c r="O177" s="155" t="inlineStr">
        <is>
          <t>✓</t>
        </is>
      </c>
      <c r="P177" s="156" t="inlineStr">
        <is>
          <t>28.30</t>
        </is>
      </c>
      <c r="Q177" s="154" t="inlineStr">
        <is>
          <t>220-11-К-26, (25.08.2026) [FHM-K]</t>
        </is>
      </c>
      <c r="R177" s="155" t="inlineStr">
        <is>
          <t>✓</t>
        </is>
      </c>
      <c r="S177" s="157" t="inlineStr">
        <is>
          <t>&lt; LOQ</t>
        </is>
      </c>
      <c r="T177" s="154" t="inlineStr">
        <is>
          <t>220-11-К-26, (25.08.2026) [FHM-K]</t>
        </is>
      </c>
      <c r="U177" s="155" t="inlineStr">
        <is>
          <t>✓</t>
        </is>
      </c>
      <c r="V177" s="157" t="inlineStr">
        <is>
          <t>&lt; LOQ</t>
        </is>
      </c>
      <c r="W177" s="154" t="inlineStr">
        <is>
          <t>220-11-К-26, (25.08.2026) [FHM-K]</t>
        </is>
      </c>
      <c r="X177" s="155" t="inlineStr">
        <is>
          <t>✓</t>
        </is>
      </c>
      <c r="Y177" s="151" t="n"/>
      <c r="Z177" s="147" t="n"/>
      <c r="AA177" s="152" t="n"/>
      <c r="AB177" s="151" t="n"/>
      <c r="AC177" s="147" t="n"/>
      <c r="AD177" s="152" t="n"/>
      <c r="AE177" s="151" t="n"/>
      <c r="AF177" s="147" t="n"/>
      <c r="AG177" s="147" t="n"/>
      <c r="AH177" s="147" t="n"/>
      <c r="AI177" s="147" t="n"/>
      <c r="AJ177" s="152" t="n"/>
      <c r="AK177" s="151" t="n"/>
      <c r="AL177" s="147" t="n"/>
      <c r="AM177" s="147" t="n"/>
      <c r="AN177" s="152" t="n"/>
      <c r="AO177" s="151" t="n"/>
      <c r="AP177" s="147" t="n"/>
      <c r="AQ177" s="147" t="n"/>
      <c r="AR177" s="147" t="n"/>
      <c r="AS177" s="152" t="n"/>
      <c r="AT177" s="151" t="n"/>
      <c r="AU177" s="147" t="n"/>
      <c r="AV177" s="163" t="n"/>
    </row>
    <row r="178" ht="13" customHeight="1" s="70">
      <c r="A178" s="164" t="n"/>
      <c r="B178" s="165" t="n"/>
      <c r="C178" s="165" t="n"/>
      <c r="D178" s="165" t="n"/>
      <c r="E178" s="165" t="n"/>
      <c r="F178" s="165" t="n"/>
      <c r="G178" s="166" t="n"/>
      <c r="H178" s="165" t="n"/>
      <c r="I178" s="167" t="n"/>
      <c r="J178" s="166" t="n"/>
      <c r="K178" s="165" t="n"/>
      <c r="L178" s="167" t="n"/>
      <c r="M178" s="166" t="n"/>
      <c r="N178" s="165" t="n"/>
      <c r="O178" s="167" t="n"/>
      <c r="P178" s="166" t="n"/>
      <c r="Q178" s="165" t="n"/>
      <c r="R178" s="167" t="n"/>
      <c r="S178" s="166" t="n"/>
      <c r="T178" s="165" t="n"/>
      <c r="U178" s="167" t="n"/>
      <c r="V178" s="166" t="n"/>
      <c r="W178" s="165" t="n"/>
      <c r="X178" s="167" t="n"/>
      <c r="Y178" s="166" t="n"/>
      <c r="Z178" s="165" t="n"/>
      <c r="AA178" s="167" t="n"/>
      <c r="AB178" s="166" t="n"/>
      <c r="AC178" s="165" t="n"/>
      <c r="AD178" s="167" t="n"/>
      <c r="AE178" s="166" t="n"/>
      <c r="AF178" s="165" t="n"/>
      <c r="AG178" s="165" t="n"/>
      <c r="AH178" s="165" t="n"/>
      <c r="AI178" s="165" t="n"/>
      <c r="AJ178" s="167" t="n"/>
      <c r="AK178" s="166" t="n"/>
      <c r="AL178" s="165" t="n"/>
      <c r="AM178" s="165" t="n"/>
      <c r="AN178" s="167" t="n"/>
      <c r="AO178" s="166" t="n"/>
      <c r="AP178" s="165" t="n"/>
      <c r="AQ178" s="165" t="n"/>
      <c r="AR178" s="165" t="n"/>
      <c r="AS178" s="167" t="n"/>
      <c r="AT178" s="166" t="n"/>
      <c r="AU178" s="165" t="n"/>
      <c r="AV178" s="169" t="n"/>
    </row>
    <row r="179" ht="21" customHeight="1" s="70">
      <c r="A179" s="125" t="inlineStr">
        <is>
          <t>OPM1024_03</t>
        </is>
      </c>
      <c r="B179" s="126" t="inlineStr">
        <is>
          <t>P050082</t>
        </is>
      </c>
      <c r="C179" s="127" t="inlineStr">
        <is>
          <t>✓ COMPLETE
2 testing instances
• 1 document(s) on file, not credited</t>
        </is>
      </c>
      <c r="D179" s="128" t="inlineStr">
        <is>
          <t>1 of 2</t>
        </is>
      </c>
      <c r="E179" s="129" t="inlineStr">
        <is>
          <t>release testing</t>
        </is>
      </c>
      <c r="F179" s="130" t="inlineStr">
        <is>
          <t>iCoA-PP_26-014
CoQ-PP_26-014 · initial release</t>
        </is>
      </c>
      <c r="G179" s="131" t="inlineStr">
        <is>
          <t>Conforms</t>
        </is>
      </c>
      <c r="H179" s="132">
        <f>IFERROR(INDEX('iCoA Register'!$B:$B,MATCH("P050082|I",'iCoA Register'!$AA:$AA,0)),"iCoA — at issue")&amp;", (22.07.2025) [PP]"</f>
        <v/>
      </c>
      <c r="I179" s="133" t="inlineStr">
        <is>
          <t>✓</t>
        </is>
      </c>
      <c r="J179" s="131" t="inlineStr">
        <is>
          <t>Conforms</t>
        </is>
      </c>
      <c r="K179" s="132">
        <f>IFERROR(INDEX('iCoA Register'!$B:$B,MATCH("P050082|I",'iCoA Register'!$AA:$AA,0)),"iCoA — at issue")&amp;", (22.07.2025) [PP]"</f>
        <v/>
      </c>
      <c r="L179" s="133" t="inlineStr">
        <is>
          <t>✓</t>
        </is>
      </c>
      <c r="M179" s="131" t="inlineStr">
        <is>
          <t>Conforms (ImB spec.)</t>
        </is>
      </c>
      <c r="N179" s="132" t="inlineStr">
        <is>
          <t>ППК25210, (28.07.2025) [CNP]</t>
        </is>
      </c>
      <c r="O179" s="133" t="inlineStr">
        <is>
          <t>✓</t>
        </is>
      </c>
      <c r="P179" s="137" t="inlineStr">
        <is>
          <t>16.55</t>
        </is>
      </c>
      <c r="Q179" s="132" t="inlineStr">
        <is>
          <t>ППК25210, (28.07.2025) [CNP]</t>
        </is>
      </c>
      <c r="R179" s="133" t="inlineStr">
        <is>
          <t>✓</t>
        </is>
      </c>
      <c r="S179" s="138" t="inlineStr">
        <is>
          <t>0.04</t>
        </is>
      </c>
      <c r="T179" s="132" t="inlineStr">
        <is>
          <t>ППК25210, (28.07.2025) [CNP]</t>
        </is>
      </c>
      <c r="U179" s="133" t="inlineStr">
        <is>
          <t>✓</t>
        </is>
      </c>
      <c r="V179" s="138" t="inlineStr">
        <is>
          <t>0.01 ᴰ</t>
        </is>
      </c>
      <c r="W179" s="132" t="inlineStr">
        <is>
          <t>ППК25210, (28.07.2025) [CNP]</t>
        </is>
      </c>
      <c r="X179" s="133" t="inlineStr">
        <is>
          <t>✓</t>
        </is>
      </c>
      <c r="Y179" s="131" t="inlineStr">
        <is>
          <t>Conforms</t>
        </is>
      </c>
      <c r="Z179" s="132">
        <f>IFERROR(INDEX('iCoA Register'!$B:$B,MATCH("P050082|I",'iCoA Register'!$AA:$AA,0)),"iCoA — at issue")&amp;", (22.07.2025) [PP]"</f>
        <v/>
      </c>
      <c r="AA179" s="133" t="inlineStr">
        <is>
          <t>✓</t>
        </is>
      </c>
      <c r="AB179" s="131" t="inlineStr">
        <is>
          <t>6.38</t>
        </is>
      </c>
      <c r="AC179" s="132" t="inlineStr">
        <is>
          <t>ППК25210, (28.07.2025) [CNP]</t>
        </is>
      </c>
      <c r="AD179" s="133" t="inlineStr">
        <is>
          <t>✓</t>
        </is>
      </c>
      <c r="AE179" s="131" t="inlineStr">
        <is>
          <t>2 × 10²</t>
        </is>
      </c>
      <c r="AF179" s="139" t="inlineStr">
        <is>
          <t>3 × 10²</t>
        </is>
      </c>
      <c r="AG179" s="139" t="inlineStr">
        <is>
          <t>&lt; 10</t>
        </is>
      </c>
      <c r="AH179" s="139" t="inlineStr">
        <is>
          <t>Absent</t>
        </is>
      </c>
      <c r="AI179" s="139" t="inlineStr">
        <is>
          <t>Absent</t>
        </is>
      </c>
      <c r="AJ179" s="133" t="inlineStr">
        <is>
          <t>✓</t>
        </is>
      </c>
      <c r="AK179" s="131" t="inlineStr">
        <is>
          <t>not reported</t>
        </is>
      </c>
      <c r="AL179" s="139" t="inlineStr">
        <is>
          <t>2.1</t>
        </is>
      </c>
      <c r="AM179" s="139" t="inlineStr">
        <is>
          <t>not reported</t>
        </is>
      </c>
      <c r="AN179" s="133" t="inlineStr">
        <is>
          <t>✓</t>
        </is>
      </c>
      <c r="AO179" s="131" t="inlineStr">
        <is>
          <t>ND</t>
        </is>
      </c>
      <c r="AP179" s="139" t="inlineStr">
        <is>
          <t>ND</t>
        </is>
      </c>
      <c r="AQ179" s="139" t="inlineStr">
        <is>
          <t>0.135</t>
        </is>
      </c>
      <c r="AR179" s="139" t="inlineStr">
        <is>
          <t>0.03</t>
        </is>
      </c>
      <c r="AS179" s="133" t="inlineStr">
        <is>
          <t>✓</t>
        </is>
      </c>
      <c r="AT179" s="131" t="inlineStr">
        <is>
          <t>≤ LOQ (all 26 compounds)</t>
        </is>
      </c>
      <c r="AU179" s="132" t="inlineStr">
        <is>
          <t>3636-2025, (28.07.2025) [IJZ]</t>
        </is>
      </c>
      <c r="AV179" s="140" t="inlineStr">
        <is>
          <t>✓</t>
        </is>
      </c>
    </row>
    <row r="180" ht="21" customHeight="1" s="70">
      <c r="A180" s="141" t="n"/>
      <c r="G180" s="142" t="n"/>
      <c r="I180" s="143" t="n"/>
      <c r="J180" s="142" t="n"/>
      <c r="L180" s="143" t="n"/>
      <c r="M180" s="142" t="n"/>
      <c r="O180" s="143" t="n"/>
      <c r="P180" s="142" t="n"/>
      <c r="R180" s="143" t="n"/>
      <c r="S180" s="142" t="n"/>
      <c r="U180" s="143" t="n"/>
      <c r="V180" s="142" t="n"/>
      <c r="X180" s="143" t="n"/>
      <c r="Y180" s="142" t="n"/>
      <c r="AA180" s="143" t="n"/>
      <c r="AB180" s="142" t="n"/>
      <c r="AD180" s="143" t="n"/>
      <c r="AE180" s="144" t="inlineStr">
        <is>
          <t>766-1375-25, (29.07.2025) [IJZ-MB]</t>
        </is>
      </c>
      <c r="AJ180" s="143" t="n"/>
      <c r="AK180" s="144" t="inlineStr">
        <is>
          <t>3636-2025, (28.07.2025) [IJZ]</t>
        </is>
      </c>
      <c r="AN180" s="143" t="n"/>
      <c r="AO180" s="144" t="inlineStr">
        <is>
          <t>3636-2025, (28.07.2025) [IJZ]</t>
        </is>
      </c>
      <c r="AS180" s="143" t="n"/>
      <c r="AT180" s="142" t="n"/>
      <c r="AV180" s="145" t="n"/>
    </row>
    <row r="181" ht="17.625" customHeight="1" s="70">
      <c r="A181" s="146" t="n"/>
      <c r="B181" s="147" t="n"/>
      <c r="D181" s="148" t="inlineStr">
        <is>
          <t>2 of 2</t>
        </is>
      </c>
      <c r="E181" s="149" t="inlineStr">
        <is>
          <t>release testing + re-analysis 220</t>
        </is>
      </c>
      <c r="F181" s="150" t="inlineStr">
        <is>
          <t>iCoA-PP_26-014
CoQ-PP_26-014 · initial release
iCoA-PP_26-149
CoQ-PP_26-130 · retest</t>
        </is>
      </c>
      <c r="G181" s="151" t="n"/>
      <c r="H181" s="147" t="n"/>
      <c r="I181" s="152" t="n"/>
      <c r="J181" s="158" t="inlineStr">
        <is>
          <t>not on this certificate</t>
        </is>
      </c>
      <c r="K181" s="159" t="inlineStr">
        <is>
          <t>ППК25210, (28.07.2025) [CNP] · on file, not credited</t>
        </is>
      </c>
      <c r="L181" s="160" t="inlineStr">
        <is>
          <t>•</t>
        </is>
      </c>
      <c r="M181" s="153" t="inlineStr">
        <is>
          <t>Conforms (ImB spec.)</t>
        </is>
      </c>
      <c r="N181" s="154" t="inlineStr">
        <is>
          <t>220-23-К-26, (26.08.2026) [FHM-K]</t>
        </is>
      </c>
      <c r="O181" s="155" t="inlineStr">
        <is>
          <t>✓</t>
        </is>
      </c>
      <c r="P181" s="156" t="inlineStr">
        <is>
          <t>19.30</t>
        </is>
      </c>
      <c r="Q181" s="154" t="inlineStr">
        <is>
          <t>220-23-К-26, (26.08.2026) [FHM-K]</t>
        </is>
      </c>
      <c r="R181" s="155" t="inlineStr">
        <is>
          <t>✓</t>
        </is>
      </c>
      <c r="S181" s="157" t="inlineStr">
        <is>
          <t>&lt; LOQ</t>
        </is>
      </c>
      <c r="T181" s="154" t="inlineStr">
        <is>
          <t>220-23-К-26, (26.08.2026) [FHM-K]</t>
        </is>
      </c>
      <c r="U181" s="155" t="inlineStr">
        <is>
          <t>✓</t>
        </is>
      </c>
      <c r="V181" s="157" t="inlineStr">
        <is>
          <t>&lt; LOQ</t>
        </is>
      </c>
      <c r="W181" s="154" t="inlineStr">
        <is>
          <t>220-23-К-26, (26.08.2026) [FHM-K]</t>
        </is>
      </c>
      <c r="X181" s="155" t="inlineStr">
        <is>
          <t>✓</t>
        </is>
      </c>
      <c r="Y181" s="151" t="n"/>
      <c r="Z181" s="147" t="n"/>
      <c r="AA181" s="152" t="n"/>
      <c r="AB181" s="151" t="n"/>
      <c r="AC181" s="147" t="n"/>
      <c r="AD181" s="152" t="n"/>
      <c r="AE181" s="151" t="n"/>
      <c r="AF181" s="147" t="n"/>
      <c r="AG181" s="147" t="n"/>
      <c r="AH181" s="147" t="n"/>
      <c r="AI181" s="147" t="n"/>
      <c r="AJ181" s="152" t="n"/>
      <c r="AK181" s="161" t="inlineStr">
        <is>
          <t>ND</t>
        </is>
      </c>
      <c r="AL181" s="162" t="inlineStr">
        <is>
          <t>ND</t>
        </is>
      </c>
      <c r="AM181" s="162" t="inlineStr">
        <is>
          <t>ND</t>
        </is>
      </c>
      <c r="AN181" s="155" t="inlineStr">
        <is>
          <t>✓</t>
        </is>
      </c>
      <c r="AO181" s="151" t="n"/>
      <c r="AP181" s="147" t="n"/>
      <c r="AQ181" s="147" t="n"/>
      <c r="AR181" s="147" t="n"/>
      <c r="AS181" s="152" t="n"/>
      <c r="AT181" s="151" t="n"/>
      <c r="AU181" s="147" t="n"/>
      <c r="AV181" s="163" t="n"/>
    </row>
    <row r="182" ht="39" customHeight="1" s="70">
      <c r="A182" s="164" t="n"/>
      <c r="B182" s="165" t="n"/>
      <c r="C182" s="165" t="n"/>
      <c r="D182" s="165" t="n"/>
      <c r="E182" s="165" t="n"/>
      <c r="F182" s="165" t="n"/>
      <c r="G182" s="166" t="n"/>
      <c r="H182" s="165" t="n"/>
      <c r="I182" s="167" t="n"/>
      <c r="J182" s="166" t="n"/>
      <c r="K182" s="165" t="n"/>
      <c r="L182" s="167" t="n"/>
      <c r="M182" s="166" t="n"/>
      <c r="N182" s="165" t="n"/>
      <c r="O182" s="167" t="n"/>
      <c r="P182" s="166" t="n"/>
      <c r="Q182" s="165" t="n"/>
      <c r="R182" s="167" t="n"/>
      <c r="S182" s="166" t="n"/>
      <c r="T182" s="165" t="n"/>
      <c r="U182" s="167" t="n"/>
      <c r="V182" s="166" t="n"/>
      <c r="W182" s="165" t="n"/>
      <c r="X182" s="167" t="n"/>
      <c r="Y182" s="166" t="n"/>
      <c r="Z182" s="165" t="n"/>
      <c r="AA182" s="167" t="n"/>
      <c r="AB182" s="166" t="n"/>
      <c r="AC182" s="165" t="n"/>
      <c r="AD182" s="167" t="n"/>
      <c r="AE182" s="166" t="n"/>
      <c r="AF182" s="165" t="n"/>
      <c r="AG182" s="165" t="n"/>
      <c r="AH182" s="165" t="n"/>
      <c r="AI182" s="165" t="n"/>
      <c r="AJ182" s="167" t="n"/>
      <c r="AK182" s="168" t="inlineStr">
        <is>
          <t>220-23-М-26, (11.09.2026) [FHM-M]</t>
        </is>
      </c>
      <c r="AL182" s="165" t="n"/>
      <c r="AM182" s="165" t="n"/>
      <c r="AN182" s="167" t="n"/>
      <c r="AO182" s="166" t="n"/>
      <c r="AP182" s="165" t="n"/>
      <c r="AQ182" s="165" t="n"/>
      <c r="AR182" s="165" t="n"/>
      <c r="AS182" s="167" t="n"/>
      <c r="AT182" s="166" t="n"/>
      <c r="AU182" s="165" t="n"/>
      <c r="AV182" s="169" t="n"/>
    </row>
    <row r="183" ht="21" customHeight="1" s="70">
      <c r="A183" s="125" t="inlineStr">
        <is>
          <t>GG1024_01</t>
        </is>
      </c>
      <c r="B183" s="126" t="inlineStr">
        <is>
          <t>P050092</t>
        </is>
      </c>
      <c r="C183" s="177" t="inlineStr">
        <is>
          <t>✓ COMPLETE
2 testing instances
• 2 document(s) on file, not credited
✗ OUT OF SPECIFICATION: #9 TYMC</t>
        </is>
      </c>
      <c r="D183" s="128" t="inlineStr">
        <is>
          <t>1 of 2</t>
        </is>
      </c>
      <c r="E183" s="129" t="inlineStr">
        <is>
          <t>release testing</t>
        </is>
      </c>
      <c r="F183" s="130" t="inlineStr">
        <is>
          <t>iCoA-PP_26-015
CoQ-PP_26-015 · initial release</t>
        </is>
      </c>
      <c r="G183" s="131" t="inlineStr">
        <is>
          <t>Conforms</t>
        </is>
      </c>
      <c r="H183" s="132">
        <f>IFERROR(INDEX('iCoA Register'!$B:$B,MATCH("P050092|I",'iCoA Register'!$AA:$AA,0)),"iCoA — at issue")&amp;", (31.07.2025) [PP]"</f>
        <v/>
      </c>
      <c r="I183" s="133" t="inlineStr">
        <is>
          <t>✓</t>
        </is>
      </c>
      <c r="J183" s="134" t="inlineStr">
        <is>
          <t>not on this certificate</t>
        </is>
      </c>
      <c r="K183" s="135" t="inlineStr">
        <is>
          <t>ППК25104, (17.04.2025) [CNP] · on file, not credited</t>
        </is>
      </c>
      <c r="L183" s="136" t="inlineStr">
        <is>
          <t>•</t>
        </is>
      </c>
      <c r="M183" s="131" t="inlineStr">
        <is>
          <t>Conforms (ImB spec.)</t>
        </is>
      </c>
      <c r="N183" s="132" t="inlineStr">
        <is>
          <t>ППК25104, (17.04.2025) [CNP]</t>
        </is>
      </c>
      <c r="O183" s="133" t="inlineStr">
        <is>
          <t>✓</t>
        </is>
      </c>
      <c r="P183" s="137" t="inlineStr">
        <is>
          <t>17.22</t>
        </is>
      </c>
      <c r="Q183" s="132" t="inlineStr">
        <is>
          <t>ППК25104, (17.04.2025) [CNP]</t>
        </is>
      </c>
      <c r="R183" s="133" t="inlineStr">
        <is>
          <t>✓</t>
        </is>
      </c>
      <c r="S183" s="138" t="inlineStr">
        <is>
          <t>0.05</t>
        </is>
      </c>
      <c r="T183" s="132" t="inlineStr">
        <is>
          <t>ППК25104, (17.04.2025) [CNP]</t>
        </is>
      </c>
      <c r="U183" s="133" t="inlineStr">
        <is>
          <t>✓</t>
        </is>
      </c>
      <c r="V183" s="138" t="inlineStr">
        <is>
          <t>ND ᴰ</t>
        </is>
      </c>
      <c r="W183" s="132" t="inlineStr">
        <is>
          <t>ППК25104, (17.04.2025) [CNP]</t>
        </is>
      </c>
      <c r="X183" s="133" t="inlineStr">
        <is>
          <t>✓</t>
        </is>
      </c>
      <c r="Y183" s="131" t="inlineStr">
        <is>
          <t>Conforms</t>
        </is>
      </c>
      <c r="Z183" s="132">
        <f>IFERROR(INDEX('iCoA Register'!$B:$B,MATCH("P050092|I",'iCoA Register'!$AA:$AA,0)),"iCoA — at issue")&amp;", (31.07.2025) [PP]"</f>
        <v/>
      </c>
      <c r="AA183" s="133" t="inlineStr">
        <is>
          <t>✓</t>
        </is>
      </c>
      <c r="AB183" s="131" t="inlineStr">
        <is>
          <t>7.54</t>
        </is>
      </c>
      <c r="AC183" s="132" t="inlineStr">
        <is>
          <t>ППК25104, (17.04.2025) [CNP]</t>
        </is>
      </c>
      <c r="AD183" s="133" t="inlineStr">
        <is>
          <t>✓</t>
        </is>
      </c>
      <c r="AE183" s="131" t="inlineStr">
        <is>
          <t>5.1 × 10⁴</t>
        </is>
      </c>
      <c r="AF183" s="235" t="inlineStr">
        <is>
          <t>4.2 × 10⁴</t>
        </is>
      </c>
      <c r="AG183" s="139" t="inlineStr">
        <is>
          <t>&lt; 10</t>
        </is>
      </c>
      <c r="AH183" s="139" t="inlineStr">
        <is>
          <t>Absent</t>
        </is>
      </c>
      <c r="AI183" s="139" t="inlineStr">
        <is>
          <t>Absent</t>
        </is>
      </c>
      <c r="AJ183" s="133" t="inlineStr">
        <is>
          <t>✓</t>
        </is>
      </c>
      <c r="AK183" s="131" t="inlineStr">
        <is>
          <t>not reported</t>
        </is>
      </c>
      <c r="AL183" s="139" t="inlineStr">
        <is>
          <t>&lt; 2</t>
        </is>
      </c>
      <c r="AM183" s="139" t="inlineStr">
        <is>
          <t>not reported</t>
        </is>
      </c>
      <c r="AN183" s="133" t="inlineStr">
        <is>
          <t>✓</t>
        </is>
      </c>
      <c r="AO183" s="131" t="inlineStr">
        <is>
          <t>0.02</t>
        </is>
      </c>
      <c r="AP183" s="139" t="inlineStr">
        <is>
          <t>0.007</t>
        </is>
      </c>
      <c r="AQ183" s="139" t="inlineStr">
        <is>
          <t>0.015</t>
        </is>
      </c>
      <c r="AR183" s="139" t="inlineStr">
        <is>
          <t>0.005</t>
        </is>
      </c>
      <c r="AS183" s="133" t="inlineStr">
        <is>
          <t>✓</t>
        </is>
      </c>
      <c r="AT183" s="131" t="inlineStr">
        <is>
          <t>≤ LOQ (all 27 compounds)</t>
        </is>
      </c>
      <c r="AU183" s="132" t="inlineStr">
        <is>
          <t>1766-2025, (11.04.2025) [IJZ]</t>
        </is>
      </c>
      <c r="AV183" s="140" t="inlineStr">
        <is>
          <t>✓</t>
        </is>
      </c>
    </row>
    <row r="184" ht="21" customHeight="1" s="70">
      <c r="A184" s="141" t="n"/>
      <c r="G184" s="142" t="n"/>
      <c r="I184" s="143" t="n"/>
      <c r="J184" s="142" t="n"/>
      <c r="L184" s="143" t="n"/>
      <c r="M184" s="142" t="n"/>
      <c r="O184" s="143" t="n"/>
      <c r="P184" s="142" t="n"/>
      <c r="R184" s="143" t="n"/>
      <c r="S184" s="142" t="n"/>
      <c r="U184" s="143" t="n"/>
      <c r="V184" s="142" t="n"/>
      <c r="X184" s="143" t="n"/>
      <c r="Y184" s="142" t="n"/>
      <c r="AA184" s="143" t="n"/>
      <c r="AB184" s="142" t="n"/>
      <c r="AD184" s="143" t="n"/>
      <c r="AE184" s="144" t="inlineStr">
        <is>
          <t>320-0587-25, (14.04.2025) [IJZ-MB]</t>
        </is>
      </c>
      <c r="AJ184" s="143" t="n"/>
      <c r="AK184" s="144" t="inlineStr">
        <is>
          <t>1766-2025, (11.04.2025) [IJZ]</t>
        </is>
      </c>
      <c r="AN184" s="143" t="n"/>
      <c r="AO184" s="144" t="inlineStr">
        <is>
          <t>1766-2025, (11.04.2025) [IJZ]</t>
        </is>
      </c>
      <c r="AS184" s="143" t="n"/>
      <c r="AT184" s="142" t="n"/>
      <c r="AV184" s="145" t="n"/>
    </row>
    <row r="185" ht="17.625" customHeight="1" s="70">
      <c r="A185" s="146" t="n"/>
      <c r="B185" s="147" t="n"/>
      <c r="D185" s="148" t="inlineStr">
        <is>
          <t>2 of 2</t>
        </is>
      </c>
      <c r="E185" s="149" t="inlineStr">
        <is>
          <t>release testing + re-analysis 197</t>
        </is>
      </c>
      <c r="F185" s="150" t="inlineStr">
        <is>
          <t>iCoA-PP_26-015
CoQ-PP_26-015 · initial release
iCoA-PP_26-106
CoQ-PP_26-093 · retest</t>
        </is>
      </c>
      <c r="G185" s="151" t="n"/>
      <c r="H185" s="147" t="n"/>
      <c r="I185" s="152" t="n"/>
      <c r="J185" s="153" t="inlineStr">
        <is>
          <t>Conforms</t>
        </is>
      </c>
      <c r="K185" s="154">
        <f>IFERROR(INDEX('iCoA Register'!$B:$B,MATCH("P050092|I",'iCoA Register'!$AA:$AA,0)),"iCoA — at issue")&amp;", (31.07.2025) [PP]"</f>
        <v/>
      </c>
      <c r="L185" s="155" t="inlineStr">
        <is>
          <t>✓</t>
        </is>
      </c>
      <c r="M185" s="153" t="inlineStr">
        <is>
          <t>Conforms (ImB spec.) ᴿ</t>
        </is>
      </c>
      <c r="N185" s="154" t="inlineStr">
        <is>
          <t>197-9-К-26, (07.08.2026) [FHM-K]</t>
        </is>
      </c>
      <c r="O185" s="155" t="inlineStr">
        <is>
          <t>✓</t>
        </is>
      </c>
      <c r="P185" s="156" t="inlineStr">
        <is>
          <t>18.67</t>
        </is>
      </c>
      <c r="Q185" s="154" t="inlineStr">
        <is>
          <t>197-9-К-26, (07.08.2026) [FHM-K]</t>
        </is>
      </c>
      <c r="R185" s="155" t="inlineStr">
        <is>
          <t>✓</t>
        </is>
      </c>
      <c r="S185" s="157" t="inlineStr">
        <is>
          <t>&lt; LOQ</t>
        </is>
      </c>
      <c r="T185" s="154" t="inlineStr">
        <is>
          <t>197-9-К-26, (07.08.2026) [FHM-K]</t>
        </is>
      </c>
      <c r="U185" s="155" t="inlineStr">
        <is>
          <t>✓</t>
        </is>
      </c>
      <c r="V185" s="157" t="inlineStr">
        <is>
          <t>0.20</t>
        </is>
      </c>
      <c r="W185" s="154" t="inlineStr">
        <is>
          <t>197-9-К-26, (07.08.2026) [FHM-K]</t>
        </is>
      </c>
      <c r="X185" s="155" t="inlineStr">
        <is>
          <t>✓</t>
        </is>
      </c>
      <c r="Y185" s="151" t="n"/>
      <c r="Z185" s="147" t="n"/>
      <c r="AA185" s="152" t="n"/>
      <c r="AB185" s="158" t="inlineStr">
        <is>
          <t>not on this certificate</t>
        </is>
      </c>
      <c r="AC185" s="159" t="inlineStr">
        <is>
          <t>197-9-К-26, (07.08.2026) [FHM-K] · on file, not credited</t>
        </is>
      </c>
      <c r="AD185" s="160" t="inlineStr">
        <is>
          <t>•</t>
        </is>
      </c>
      <c r="AE185" s="151" t="n"/>
      <c r="AF185" s="147" t="n"/>
      <c r="AG185" s="147" t="n"/>
      <c r="AH185" s="147" t="n"/>
      <c r="AI185" s="147" t="n"/>
      <c r="AJ185" s="152" t="n"/>
      <c r="AK185" s="161" t="inlineStr">
        <is>
          <t>ND</t>
        </is>
      </c>
      <c r="AL185" s="162" t="inlineStr">
        <is>
          <t>ND</t>
        </is>
      </c>
      <c r="AM185" s="162" t="inlineStr">
        <is>
          <t>ND</t>
        </is>
      </c>
      <c r="AN185" s="155" t="inlineStr">
        <is>
          <t>✓</t>
        </is>
      </c>
      <c r="AO185" s="151" t="n"/>
      <c r="AP185" s="147" t="n"/>
      <c r="AQ185" s="147" t="n"/>
      <c r="AR185" s="147" t="n"/>
      <c r="AS185" s="152" t="n"/>
      <c r="AT185" s="151" t="n"/>
      <c r="AU185" s="147" t="n"/>
      <c r="AV185" s="163" t="n"/>
    </row>
    <row r="186" ht="39" customHeight="1" s="70">
      <c r="A186" s="164" t="n"/>
      <c r="B186" s="165" t="n"/>
      <c r="C186" s="165" t="n"/>
      <c r="D186" s="165" t="n"/>
      <c r="E186" s="165" t="n"/>
      <c r="F186" s="165" t="n"/>
      <c r="G186" s="166" t="n"/>
      <c r="H186" s="165" t="n"/>
      <c r="I186" s="167" t="n"/>
      <c r="J186" s="166" t="n"/>
      <c r="K186" s="165" t="n"/>
      <c r="L186" s="167" t="n"/>
      <c r="M186" s="166" t="n"/>
      <c r="N186" s="165" t="n"/>
      <c r="O186" s="167" t="n"/>
      <c r="P186" s="166" t="n"/>
      <c r="Q186" s="165" t="n"/>
      <c r="R186" s="167" t="n"/>
      <c r="S186" s="166" t="n"/>
      <c r="T186" s="165" t="n"/>
      <c r="U186" s="167" t="n"/>
      <c r="V186" s="166" t="n"/>
      <c r="W186" s="165" t="n"/>
      <c r="X186" s="167" t="n"/>
      <c r="Y186" s="166" t="n"/>
      <c r="Z186" s="165" t="n"/>
      <c r="AA186" s="167" t="n"/>
      <c r="AB186" s="166" t="n"/>
      <c r="AC186" s="165" t="n"/>
      <c r="AD186" s="167" t="n"/>
      <c r="AE186" s="166" t="n"/>
      <c r="AF186" s="165" t="n"/>
      <c r="AG186" s="165" t="n"/>
      <c r="AH186" s="165" t="n"/>
      <c r="AI186" s="165" t="n"/>
      <c r="AJ186" s="167" t="n"/>
      <c r="AK186" s="168" t="inlineStr">
        <is>
          <t>197-9-М-26, (10.08.2026) [FHM-M]</t>
        </is>
      </c>
      <c r="AL186" s="165" t="n"/>
      <c r="AM186" s="165" t="n"/>
      <c r="AN186" s="167" t="n"/>
      <c r="AO186" s="166" t="n"/>
      <c r="AP186" s="165" t="n"/>
      <c r="AQ186" s="165" t="n"/>
      <c r="AR186" s="165" t="n"/>
      <c r="AS186" s="167" t="n"/>
      <c r="AT186" s="166" t="n"/>
      <c r="AU186" s="165" t="n"/>
      <c r="AV186" s="169" t="n"/>
    </row>
    <row r="187" ht="21" customHeight="1" s="70">
      <c r="A187" s="125" t="inlineStr">
        <is>
          <t>GP0824_01</t>
        </is>
      </c>
      <c r="B187" s="126" t="inlineStr">
        <is>
          <t>P050102</t>
        </is>
      </c>
      <c r="C187" s="127" t="inlineStr">
        <is>
          <t>✓ COMPLETE
3 testing instances
• 1 document(s) on file, not credited</t>
        </is>
      </c>
      <c r="D187" s="128" t="inlineStr">
        <is>
          <t>1 of 3</t>
        </is>
      </c>
      <c r="E187" s="129" t="inlineStr">
        <is>
          <t>release testing</t>
        </is>
      </c>
      <c r="F187" s="130" t="inlineStr">
        <is>
          <t>iCoA-PP_26-016
CoQ-PP_26-016 · initial release</t>
        </is>
      </c>
      <c r="G187" s="131" t="inlineStr">
        <is>
          <t>Conforms</t>
        </is>
      </c>
      <c r="H187" s="132">
        <f>IFERROR(INDEX('iCoA Register'!$B:$B,MATCH("P050102|I",'iCoA Register'!$AA:$AA,0)),"iCoA — at issue")&amp;", (05.08.2025) [PP]"</f>
        <v/>
      </c>
      <c r="I187" s="133" t="inlineStr">
        <is>
          <t>✓</t>
        </is>
      </c>
      <c r="J187" s="134" t="inlineStr">
        <is>
          <t>not on this certificate</t>
        </is>
      </c>
      <c r="K187" s="135" t="inlineStr">
        <is>
          <t>ППК25105, (17.04.2025) [CNP] · on file, not credited</t>
        </is>
      </c>
      <c r="L187" s="136" t="inlineStr">
        <is>
          <t>•</t>
        </is>
      </c>
      <c r="M187" s="131" t="inlineStr">
        <is>
          <t>Conforms (ImB spec.)</t>
        </is>
      </c>
      <c r="N187" s="132" t="inlineStr">
        <is>
          <t>ППК25105, (17.04.2025) [CNP]</t>
        </is>
      </c>
      <c r="O187" s="133" t="inlineStr">
        <is>
          <t>✓</t>
        </is>
      </c>
      <c r="P187" s="137" t="inlineStr">
        <is>
          <t>20.79</t>
        </is>
      </c>
      <c r="Q187" s="132" t="inlineStr">
        <is>
          <t>ППК25105, (17.04.2025) [CNP]</t>
        </is>
      </c>
      <c r="R187" s="133" t="inlineStr">
        <is>
          <t>✓</t>
        </is>
      </c>
      <c r="S187" s="138" t="inlineStr">
        <is>
          <t>0.06</t>
        </is>
      </c>
      <c r="T187" s="132" t="inlineStr">
        <is>
          <t>ППК25105, (17.04.2025) [CNP]</t>
        </is>
      </c>
      <c r="U187" s="133" t="inlineStr">
        <is>
          <t>✓</t>
        </is>
      </c>
      <c r="V187" s="138" t="inlineStr">
        <is>
          <t>ND ᴰ</t>
        </is>
      </c>
      <c r="W187" s="132" t="inlineStr">
        <is>
          <t>ППК25105, (17.04.2025) [CNP]</t>
        </is>
      </c>
      <c r="X187" s="133" t="inlineStr">
        <is>
          <t>✓</t>
        </is>
      </c>
      <c r="Y187" s="131" t="inlineStr">
        <is>
          <t>Conforms</t>
        </is>
      </c>
      <c r="Z187" s="132">
        <f>IFERROR(INDEX('iCoA Register'!$B:$B,MATCH("P050102|I",'iCoA Register'!$AA:$AA,0)),"iCoA — at issue")&amp;", (05.08.2025) [PP]"</f>
        <v/>
      </c>
      <c r="AA187" s="133" t="inlineStr">
        <is>
          <t>✓</t>
        </is>
      </c>
      <c r="AB187" s="131" t="inlineStr">
        <is>
          <t>6.73</t>
        </is>
      </c>
      <c r="AC187" s="132" t="inlineStr">
        <is>
          <t>ППК25105, (17.04.2025) [CNP]</t>
        </is>
      </c>
      <c r="AD187" s="133" t="inlineStr">
        <is>
          <t>✓</t>
        </is>
      </c>
      <c r="AE187" s="131" t="inlineStr">
        <is>
          <t>4.2 × 10³</t>
        </is>
      </c>
      <c r="AF187" s="139" t="inlineStr">
        <is>
          <t>6 × 10³</t>
        </is>
      </c>
      <c r="AG187" s="139" t="inlineStr">
        <is>
          <t>&lt; 10</t>
        </is>
      </c>
      <c r="AH187" s="139" t="inlineStr">
        <is>
          <t>Absent</t>
        </is>
      </c>
      <c r="AI187" s="139" t="inlineStr">
        <is>
          <t>Absent</t>
        </is>
      </c>
      <c r="AJ187" s="133" t="inlineStr">
        <is>
          <t>✓</t>
        </is>
      </c>
      <c r="AK187" s="131" t="inlineStr">
        <is>
          <t>not reported</t>
        </is>
      </c>
      <c r="AL187" s="139" t="inlineStr">
        <is>
          <t>&lt; 2</t>
        </is>
      </c>
      <c r="AM187" s="139" t="inlineStr">
        <is>
          <t>not reported</t>
        </is>
      </c>
      <c r="AN187" s="133" t="inlineStr">
        <is>
          <t>✓</t>
        </is>
      </c>
      <c r="AO187" s="131" t="inlineStr">
        <is>
          <t>0.026</t>
        </is>
      </c>
      <c r="AP187" s="139" t="inlineStr">
        <is>
          <t>0.005</t>
        </is>
      </c>
      <c r="AQ187" s="139" t="inlineStr">
        <is>
          <t>0.015</t>
        </is>
      </c>
      <c r="AR187" s="139" t="inlineStr">
        <is>
          <t>0.005</t>
        </is>
      </c>
      <c r="AS187" s="133" t="inlineStr">
        <is>
          <t>✓</t>
        </is>
      </c>
      <c r="AT187" s="131" t="inlineStr">
        <is>
          <t>≤ LOQ (all 27 compounds)</t>
        </is>
      </c>
      <c r="AU187" s="132" t="inlineStr">
        <is>
          <t>1767-2025, (11.04.2025) [IJZ]</t>
        </is>
      </c>
      <c r="AV187" s="140" t="inlineStr">
        <is>
          <t>✓</t>
        </is>
      </c>
    </row>
    <row r="188" ht="21" customHeight="1" s="70">
      <c r="A188" s="141" t="n"/>
      <c r="G188" s="142" t="n"/>
      <c r="I188" s="143" t="n"/>
      <c r="J188" s="142" t="n"/>
      <c r="L188" s="143" t="n"/>
      <c r="M188" s="142" t="n"/>
      <c r="O188" s="143" t="n"/>
      <c r="P188" s="142" t="n"/>
      <c r="R188" s="143" t="n"/>
      <c r="S188" s="142" t="n"/>
      <c r="U188" s="143" t="n"/>
      <c r="V188" s="142" t="n"/>
      <c r="X188" s="143" t="n"/>
      <c r="Y188" s="142" t="n"/>
      <c r="AA188" s="143" t="n"/>
      <c r="AB188" s="142" t="n"/>
      <c r="AD188" s="143" t="n"/>
      <c r="AE188" s="144" t="inlineStr">
        <is>
          <t>318-0585-25, (14.04.2025) [IJZ-MB]</t>
        </is>
      </c>
      <c r="AJ188" s="143" t="n"/>
      <c r="AK188" s="144" t="inlineStr">
        <is>
          <t>1767-2025, (11.04.2025) [IJZ]</t>
        </is>
      </c>
      <c r="AN188" s="143" t="n"/>
      <c r="AO188" s="144" t="inlineStr">
        <is>
          <t>1767-2025, (11.04.2025) [IJZ]</t>
        </is>
      </c>
      <c r="AS188" s="143" t="n"/>
      <c r="AT188" s="142" t="n"/>
      <c r="AV188" s="145" t="n"/>
    </row>
    <row r="189" ht="17.625" customHeight="1" s="70">
      <c r="A189" s="146" t="n"/>
      <c r="B189" s="147" t="n"/>
      <c r="D189" s="193" t="inlineStr">
        <is>
          <t>2 of 3</t>
        </is>
      </c>
      <c r="E189" s="194" t="inlineStr">
        <is>
          <t>release testing + re-analysis 227</t>
        </is>
      </c>
      <c r="F189" s="195" t="inlineStr">
        <is>
          <t>iCoA-PP_26-016
CoQ-PP_26-016 · initial release
iCoA-PP_26-156
CoQ-PP_26-151 · retest</t>
        </is>
      </c>
      <c r="G189" s="151" t="n"/>
      <c r="H189" s="147" t="n"/>
      <c r="I189" s="152" t="n"/>
      <c r="J189" s="161" t="inlineStr">
        <is>
          <t>Conforms</t>
        </is>
      </c>
      <c r="K189" s="196">
        <f>IFERROR(INDEX('iCoA Register'!$B:$B,MATCH("P050102|I",'iCoA Register'!$AA:$AA,0)),"iCoA — at issue")&amp;", (05.08.2025) [PP]"</f>
        <v/>
      </c>
      <c r="L189" s="197" t="inlineStr">
        <is>
          <t>✓</t>
        </is>
      </c>
      <c r="M189" s="161" t="inlineStr">
        <is>
          <t>Conforms (ImB spec.)</t>
        </is>
      </c>
      <c r="N189" s="196" t="inlineStr">
        <is>
          <t>227-2-К-26, (11.09.2026) [FHM-K]</t>
        </is>
      </c>
      <c r="O189" s="197" t="inlineStr">
        <is>
          <t>✓</t>
        </is>
      </c>
      <c r="P189" s="198" t="inlineStr">
        <is>
          <t>28.68</t>
        </is>
      </c>
      <c r="Q189" s="196" t="inlineStr">
        <is>
          <t>227-2-К-26, (11.09.2026) [FHM-K]</t>
        </is>
      </c>
      <c r="R189" s="197" t="inlineStr">
        <is>
          <t>✓</t>
        </is>
      </c>
      <c r="S189" s="199" t="inlineStr">
        <is>
          <t>&lt; LOQ</t>
        </is>
      </c>
      <c r="T189" s="196" t="inlineStr">
        <is>
          <t>227-2-К-26, (11.09.2026) [FHM-K]</t>
        </is>
      </c>
      <c r="U189" s="197" t="inlineStr">
        <is>
          <t>✓</t>
        </is>
      </c>
      <c r="V189" s="199" t="inlineStr">
        <is>
          <t>0.25</t>
        </is>
      </c>
      <c r="W189" s="196" t="inlineStr">
        <is>
          <t>227-2-К-26, (11.09.2026) [FHM-K]</t>
        </is>
      </c>
      <c r="X189" s="197" t="inlineStr">
        <is>
          <t>✓</t>
        </is>
      </c>
      <c r="Y189" s="151" t="n"/>
      <c r="Z189" s="147" t="n"/>
      <c r="AA189" s="152" t="n"/>
      <c r="AB189" s="151" t="n"/>
      <c r="AC189" s="147" t="n"/>
      <c r="AD189" s="152" t="n"/>
      <c r="AE189" s="161" t="inlineStr">
        <is>
          <t>5.2 × 10³</t>
        </is>
      </c>
      <c r="AF189" s="162" t="inlineStr">
        <is>
          <t>8.8 × 10³</t>
        </is>
      </c>
      <c r="AG189" s="162" t="inlineStr">
        <is>
          <t>&lt; 10</t>
        </is>
      </c>
      <c r="AH189" s="162" t="inlineStr">
        <is>
          <t>Absent</t>
        </is>
      </c>
      <c r="AI189" s="162" t="inlineStr">
        <is>
          <t>Absent</t>
        </is>
      </c>
      <c r="AJ189" s="197" t="inlineStr">
        <is>
          <t>✓</t>
        </is>
      </c>
      <c r="AK189" s="151" t="n"/>
      <c r="AL189" s="147" t="n"/>
      <c r="AM189" s="147" t="n"/>
      <c r="AN189" s="152" t="n"/>
      <c r="AO189" s="151" t="n"/>
      <c r="AP189" s="147" t="n"/>
      <c r="AQ189" s="147" t="n"/>
      <c r="AR189" s="147" t="n"/>
      <c r="AS189" s="152" t="n"/>
      <c r="AT189" s="151" t="n"/>
      <c r="AU189" s="147" t="n"/>
      <c r="AV189" s="163" t="n"/>
    </row>
    <row r="190" ht="39" customHeight="1" s="70">
      <c r="A190" s="203" t="n"/>
      <c r="B190" s="204" t="n"/>
      <c r="D190" s="204" t="n"/>
      <c r="E190" s="204" t="n"/>
      <c r="F190" s="204" t="n"/>
      <c r="G190" s="205" t="n"/>
      <c r="H190" s="204" t="n"/>
      <c r="I190" s="206" t="n"/>
      <c r="J190" s="205" t="n"/>
      <c r="K190" s="204" t="n"/>
      <c r="L190" s="206" t="n"/>
      <c r="M190" s="205" t="n"/>
      <c r="N190" s="204" t="n"/>
      <c r="O190" s="206" t="n"/>
      <c r="P190" s="205" t="n"/>
      <c r="Q190" s="204" t="n"/>
      <c r="R190" s="206" t="n"/>
      <c r="S190" s="205" t="n"/>
      <c r="T190" s="204" t="n"/>
      <c r="U190" s="206" t="n"/>
      <c r="V190" s="205" t="n"/>
      <c r="W190" s="204" t="n"/>
      <c r="X190" s="206" t="n"/>
      <c r="Y190" s="205" t="n"/>
      <c r="Z190" s="204" t="n"/>
      <c r="AA190" s="206" t="n"/>
      <c r="AB190" s="205" t="n"/>
      <c r="AC190" s="204" t="n"/>
      <c r="AD190" s="206" t="n"/>
      <c r="AE190" s="221" t="inlineStr">
        <is>
          <t>319-0586-25, (14.04.2025) [IJZ-MB]</t>
        </is>
      </c>
      <c r="AF190" s="204" t="n"/>
      <c r="AG190" s="204" t="n"/>
      <c r="AH190" s="204" t="n"/>
      <c r="AI190" s="204" t="n"/>
      <c r="AJ190" s="206" t="n"/>
      <c r="AK190" s="205" t="n"/>
      <c r="AL190" s="204" t="n"/>
      <c r="AM190" s="204" t="n"/>
      <c r="AN190" s="206" t="n"/>
      <c r="AO190" s="205" t="n"/>
      <c r="AP190" s="204" t="n"/>
      <c r="AQ190" s="204" t="n"/>
      <c r="AR190" s="204" t="n"/>
      <c r="AS190" s="206" t="n"/>
      <c r="AT190" s="205" t="n"/>
      <c r="AU190" s="204" t="n"/>
      <c r="AV190" s="207" t="n"/>
    </row>
    <row r="191" ht="14" customHeight="1" s="70">
      <c r="A191" s="146" t="n"/>
      <c r="B191" s="147" t="n"/>
      <c r="D191" s="148" t="inlineStr">
        <is>
          <t>3 of 3</t>
        </is>
      </c>
      <c r="E191" s="149" t="inlineStr">
        <is>
          <t>re-test campaign (IJZ-MB)</t>
        </is>
      </c>
      <c r="F191" s="150" t="inlineStr">
        <is>
          <t>iCoA-PP_26-156
CoQ-PP_26-151 · retest</t>
        </is>
      </c>
      <c r="G191" s="151" t="n"/>
      <c r="H191" s="147" t="n"/>
      <c r="I191" s="152" t="n"/>
      <c r="J191" s="151" t="n"/>
      <c r="K191" s="147" t="n"/>
      <c r="L191" s="152" t="n"/>
      <c r="M191" s="151" t="n"/>
      <c r="N191" s="147" t="n"/>
      <c r="O191" s="152" t="n"/>
      <c r="P191" s="151" t="n"/>
      <c r="Q191" s="147" t="n"/>
      <c r="R191" s="152" t="n"/>
      <c r="S191" s="151" t="n"/>
      <c r="T191" s="147" t="n"/>
      <c r="U191" s="152" t="n"/>
      <c r="V191" s="151" t="n"/>
      <c r="W191" s="147" t="n"/>
      <c r="X191" s="152" t="n"/>
      <c r="Y191" s="151" t="n"/>
      <c r="Z191" s="147" t="n"/>
      <c r="AA191" s="152" t="n"/>
      <c r="AB191" s="151" t="n"/>
      <c r="AC191" s="147" t="n"/>
      <c r="AD191" s="152" t="n"/>
      <c r="AE191" s="161" t="inlineStr">
        <is>
          <t>&lt; 10</t>
        </is>
      </c>
      <c r="AF191" s="162" t="inlineStr">
        <is>
          <t>50</t>
        </is>
      </c>
      <c r="AG191" s="162" t="inlineStr">
        <is>
          <t>&lt; 10</t>
        </is>
      </c>
      <c r="AH191" s="162" t="inlineStr">
        <is>
          <t>Absent</t>
        </is>
      </c>
      <c r="AI191" s="162" t="inlineStr">
        <is>
          <t>Absent</t>
        </is>
      </c>
      <c r="AJ191" s="155" t="inlineStr">
        <is>
          <t>✓</t>
        </is>
      </c>
      <c r="AK191" s="151" t="n"/>
      <c r="AL191" s="147" t="n"/>
      <c r="AM191" s="147" t="n"/>
      <c r="AN191" s="152" t="n"/>
      <c r="AO191" s="151" t="n"/>
      <c r="AP191" s="147" t="n"/>
      <c r="AQ191" s="147" t="n"/>
      <c r="AR191" s="147" t="n"/>
      <c r="AS191" s="152" t="n"/>
      <c r="AT191" s="151" t="n"/>
      <c r="AU191" s="147" t="n"/>
      <c r="AV191" s="163" t="n"/>
    </row>
    <row r="192" ht="13" customHeight="1" s="70">
      <c r="A192" s="164" t="n"/>
      <c r="B192" s="165" t="n"/>
      <c r="C192" s="165" t="n"/>
      <c r="D192" s="165" t="n"/>
      <c r="E192" s="165" t="n"/>
      <c r="F192" s="165" t="n"/>
      <c r="G192" s="166" t="n"/>
      <c r="H192" s="165" t="n"/>
      <c r="I192" s="167" t="n"/>
      <c r="J192" s="166" t="n"/>
      <c r="K192" s="165" t="n"/>
      <c r="L192" s="167" t="n"/>
      <c r="M192" s="166" t="n"/>
      <c r="N192" s="165" t="n"/>
      <c r="O192" s="167" t="n"/>
      <c r="P192" s="166" t="n"/>
      <c r="Q192" s="165" t="n"/>
      <c r="R192" s="167" t="n"/>
      <c r="S192" s="166" t="n"/>
      <c r="T192" s="165" t="n"/>
      <c r="U192" s="167" t="n"/>
      <c r="V192" s="166" t="n"/>
      <c r="W192" s="165" t="n"/>
      <c r="X192" s="167" t="n"/>
      <c r="Y192" s="166" t="n"/>
      <c r="Z192" s="165" t="n"/>
      <c r="AA192" s="167" t="n"/>
      <c r="AB192" s="166" t="n"/>
      <c r="AC192" s="165" t="n"/>
      <c r="AD192" s="167" t="n"/>
      <c r="AE192" s="168" t="inlineStr">
        <is>
          <t>562-1093-26, (01.09.2026) [IJZ-MB]</t>
        </is>
      </c>
      <c r="AF192" s="165" t="n"/>
      <c r="AG192" s="165" t="n"/>
      <c r="AH192" s="165" t="n"/>
      <c r="AI192" s="165" t="n"/>
      <c r="AJ192" s="167" t="n"/>
      <c r="AK192" s="166" t="n"/>
      <c r="AL192" s="165" t="n"/>
      <c r="AM192" s="165" t="n"/>
      <c r="AN192" s="167" t="n"/>
      <c r="AO192" s="166" t="n"/>
      <c r="AP192" s="165" t="n"/>
      <c r="AQ192" s="165" t="n"/>
      <c r="AR192" s="165" t="n"/>
      <c r="AS192" s="167" t="n"/>
      <c r="AT192" s="166" t="n"/>
      <c r="AU192" s="165" t="n"/>
      <c r="AV192" s="169" t="n"/>
    </row>
    <row r="193" ht="21" customHeight="1" s="70">
      <c r="A193" s="125" t="inlineStr">
        <is>
          <t>MB0824_05</t>
        </is>
      </c>
      <c r="B193" s="126" t="inlineStr">
        <is>
          <t>P050112</t>
        </is>
      </c>
      <c r="C193" s="127" t="inlineStr">
        <is>
          <t>✓ COMPLETE
2 testing instances
• 1 document(s) on file, not credited</t>
        </is>
      </c>
      <c r="D193" s="128" t="inlineStr">
        <is>
          <t>1 of 2</t>
        </is>
      </c>
      <c r="E193" s="129" t="inlineStr">
        <is>
          <t>release testing</t>
        </is>
      </c>
      <c r="F193" s="130" t="inlineStr">
        <is>
          <t>iCoA-PP_26-017
CoQ-PP_26-017 · initial release</t>
        </is>
      </c>
      <c r="G193" s="131" t="inlineStr">
        <is>
          <t>Conforms</t>
        </is>
      </c>
      <c r="H193" s="132">
        <f>IFERROR(INDEX('iCoA Register'!$B:$B,MATCH("P050112|I",'iCoA Register'!$AA:$AA,0)),"iCoA — at issue")&amp;", (25.08.2025) [PP]"</f>
        <v/>
      </c>
      <c r="I193" s="133" t="inlineStr">
        <is>
          <t>✓</t>
        </is>
      </c>
      <c r="J193" s="134" t="inlineStr">
        <is>
          <t>not on this certificate</t>
        </is>
      </c>
      <c r="K193" s="135" t="inlineStr">
        <is>
          <t>ППК25211, (28.07.2025) [CNP] · on file, not credited</t>
        </is>
      </c>
      <c r="L193" s="136" t="inlineStr">
        <is>
          <t>•</t>
        </is>
      </c>
      <c r="M193" s="131" t="inlineStr">
        <is>
          <t>Conforms (ImB spec.)</t>
        </is>
      </c>
      <c r="N193" s="132" t="inlineStr">
        <is>
          <t>ППК25211, (28.07.2025) [CNP]</t>
        </is>
      </c>
      <c r="O193" s="133" t="inlineStr">
        <is>
          <t>✓</t>
        </is>
      </c>
      <c r="P193" s="137" t="inlineStr">
        <is>
          <t>16.82</t>
        </is>
      </c>
      <c r="Q193" s="132" t="inlineStr">
        <is>
          <t>ППК25211, (28.07.2025) [CNP]</t>
        </is>
      </c>
      <c r="R193" s="133" t="inlineStr">
        <is>
          <t>✓</t>
        </is>
      </c>
      <c r="S193" s="138" t="inlineStr">
        <is>
          <t>0.06</t>
        </is>
      </c>
      <c r="T193" s="132" t="inlineStr">
        <is>
          <t>ППК25211, (28.07.2025) [CNP]</t>
        </is>
      </c>
      <c r="U193" s="133" t="inlineStr">
        <is>
          <t>✓</t>
        </is>
      </c>
      <c r="V193" s="138" t="inlineStr">
        <is>
          <t>0.02 ᴰ</t>
        </is>
      </c>
      <c r="W193" s="132" t="inlineStr">
        <is>
          <t>ППК25211, (28.07.2025) [CNP]</t>
        </is>
      </c>
      <c r="X193" s="133" t="inlineStr">
        <is>
          <t>✓</t>
        </is>
      </c>
      <c r="Y193" s="131" t="inlineStr">
        <is>
          <t>Conforms</t>
        </is>
      </c>
      <c r="Z193" s="132">
        <f>IFERROR(INDEX('iCoA Register'!$B:$B,MATCH("P050112|I",'iCoA Register'!$AA:$AA,0)),"iCoA — at issue")&amp;", (25.08.2025) [PP]"</f>
        <v/>
      </c>
      <c r="AA193" s="133" t="inlineStr">
        <is>
          <t>✓</t>
        </is>
      </c>
      <c r="AB193" s="131" t="inlineStr">
        <is>
          <t>6.56</t>
        </is>
      </c>
      <c r="AC193" s="132" t="inlineStr">
        <is>
          <t>ППК25211, (28.07.2025) [CNP]</t>
        </is>
      </c>
      <c r="AD193" s="133" t="inlineStr">
        <is>
          <t>✓</t>
        </is>
      </c>
      <c r="AE193" s="131" t="inlineStr">
        <is>
          <t>3.5 × 10³</t>
        </is>
      </c>
      <c r="AF193" s="139" t="inlineStr">
        <is>
          <t>1 × 10³</t>
        </is>
      </c>
      <c r="AG193" s="139" t="inlineStr">
        <is>
          <t>&lt; 10</t>
        </is>
      </c>
      <c r="AH193" s="139" t="inlineStr">
        <is>
          <t>Absent</t>
        </is>
      </c>
      <c r="AI193" s="139" t="inlineStr">
        <is>
          <t>Absent</t>
        </is>
      </c>
      <c r="AJ193" s="133" t="inlineStr">
        <is>
          <t>✓</t>
        </is>
      </c>
      <c r="AK193" s="131" t="inlineStr">
        <is>
          <t>not reported</t>
        </is>
      </c>
      <c r="AL193" s="139" t="inlineStr">
        <is>
          <t>2</t>
        </is>
      </c>
      <c r="AM193" s="139" t="inlineStr">
        <is>
          <t>not reported</t>
        </is>
      </c>
      <c r="AN193" s="133" t="inlineStr">
        <is>
          <t>✓</t>
        </is>
      </c>
      <c r="AO193" s="131" t="inlineStr">
        <is>
          <t>ND</t>
        </is>
      </c>
      <c r="AP193" s="139" t="inlineStr">
        <is>
          <t>ND</t>
        </is>
      </c>
      <c r="AQ193" s="139" t="inlineStr">
        <is>
          <t>0.086</t>
        </is>
      </c>
      <c r="AR193" s="139" t="inlineStr">
        <is>
          <t>0.006</t>
        </is>
      </c>
      <c r="AS193" s="133" t="inlineStr">
        <is>
          <t>✓</t>
        </is>
      </c>
      <c r="AT193" s="131" t="inlineStr">
        <is>
          <t>ND ᴿ</t>
        </is>
      </c>
      <c r="AU193" s="132" t="inlineStr">
        <is>
          <t>3638-2025, (28.07.2025) [IJZ]</t>
        </is>
      </c>
      <c r="AV193" s="140" t="inlineStr">
        <is>
          <t>✓</t>
        </is>
      </c>
    </row>
    <row r="194" ht="21" customHeight="1" s="70">
      <c r="A194" s="141" t="n"/>
      <c r="G194" s="142" t="n"/>
      <c r="I194" s="143" t="n"/>
      <c r="J194" s="142" t="n"/>
      <c r="L194" s="143" t="n"/>
      <c r="M194" s="142" t="n"/>
      <c r="O194" s="143" t="n"/>
      <c r="P194" s="142" t="n"/>
      <c r="R194" s="143" t="n"/>
      <c r="S194" s="142" t="n"/>
      <c r="U194" s="143" t="n"/>
      <c r="V194" s="142" t="n"/>
      <c r="X194" s="143" t="n"/>
      <c r="Y194" s="142" t="n"/>
      <c r="AA194" s="143" t="n"/>
      <c r="AB194" s="142" t="n"/>
      <c r="AD194" s="143" t="n"/>
      <c r="AE194" s="144" t="inlineStr">
        <is>
          <t>767-1376-25, (29.07.2025) [IJZ-MB]</t>
        </is>
      </c>
      <c r="AJ194" s="143" t="n"/>
      <c r="AK194" s="144" t="inlineStr">
        <is>
          <t>3638-2025, (28.07.2025) [IJZ]</t>
        </is>
      </c>
      <c r="AN194" s="143" t="n"/>
      <c r="AO194" s="144" t="inlineStr">
        <is>
          <t>3638-2025, (28.07.2025) [IJZ]</t>
        </is>
      </c>
      <c r="AS194" s="143" t="n"/>
      <c r="AT194" s="142" t="n"/>
      <c r="AV194" s="145" t="n"/>
    </row>
    <row r="195" ht="17.625" customHeight="1" s="70">
      <c r="A195" s="146" t="n"/>
      <c r="B195" s="147" t="n"/>
      <c r="D195" s="148" t="inlineStr">
        <is>
          <t>2 of 2</t>
        </is>
      </c>
      <c r="E195" s="149" t="inlineStr">
        <is>
          <t>release testing + re-analysis 220</t>
        </is>
      </c>
      <c r="F195" s="150" t="inlineStr">
        <is>
          <t>iCoA-PP_26-017
CoQ-PP_26-017 · initial release
iCoA-PP_26-142
CoQ-PP_26-127 · retest</t>
        </is>
      </c>
      <c r="G195" s="151" t="n"/>
      <c r="H195" s="147" t="n"/>
      <c r="I195" s="152" t="n"/>
      <c r="J195" s="153" t="inlineStr">
        <is>
          <t>Conforms</t>
        </is>
      </c>
      <c r="K195" s="154">
        <f>IFERROR(INDEX('iCoA Register'!$B:$B,MATCH("P050112|I",'iCoA Register'!$AA:$AA,0)),"iCoA — at issue")&amp;", (25.08.2025) [PP]"</f>
        <v/>
      </c>
      <c r="L195" s="155" t="inlineStr">
        <is>
          <t>✓</t>
        </is>
      </c>
      <c r="M195" s="153" t="inlineStr">
        <is>
          <t>Conforms (ImB spec.)</t>
        </is>
      </c>
      <c r="N195" s="154" t="inlineStr">
        <is>
          <t>220-20-К-26, (26.08.2026) [FHM-K]</t>
        </is>
      </c>
      <c r="O195" s="155" t="inlineStr">
        <is>
          <t>✓</t>
        </is>
      </c>
      <c r="P195" s="156" t="inlineStr">
        <is>
          <t>17.93</t>
        </is>
      </c>
      <c r="Q195" s="154" t="inlineStr">
        <is>
          <t>220-20-К-26, (26.08.2026) [FHM-K]</t>
        </is>
      </c>
      <c r="R195" s="155" t="inlineStr">
        <is>
          <t>✓</t>
        </is>
      </c>
      <c r="S195" s="157" t="inlineStr">
        <is>
          <t>&lt; LOQ</t>
        </is>
      </c>
      <c r="T195" s="154" t="inlineStr">
        <is>
          <t>220-20-К-26, (26.08.2026) [FHM-K]</t>
        </is>
      </c>
      <c r="U195" s="155" t="inlineStr">
        <is>
          <t>✓</t>
        </is>
      </c>
      <c r="V195" s="157" t="inlineStr">
        <is>
          <t>&lt; LOQ</t>
        </is>
      </c>
      <c r="W195" s="154" t="inlineStr">
        <is>
          <t>220-20-К-26, (26.08.2026) [FHM-K]</t>
        </is>
      </c>
      <c r="X195" s="155" t="inlineStr">
        <is>
          <t>✓</t>
        </is>
      </c>
      <c r="Y195" s="151" t="n"/>
      <c r="Z195" s="147" t="n"/>
      <c r="AA195" s="152" t="n"/>
      <c r="AB195" s="151" t="n"/>
      <c r="AC195" s="147" t="n"/>
      <c r="AD195" s="152" t="n"/>
      <c r="AE195" s="151" t="n"/>
      <c r="AF195" s="147" t="n"/>
      <c r="AG195" s="147" t="n"/>
      <c r="AH195" s="147" t="n"/>
      <c r="AI195" s="147" t="n"/>
      <c r="AJ195" s="152" t="n"/>
      <c r="AK195" s="161" t="inlineStr">
        <is>
          <t>ND</t>
        </is>
      </c>
      <c r="AL195" s="162" t="inlineStr">
        <is>
          <t>ND</t>
        </is>
      </c>
      <c r="AM195" s="162" t="inlineStr">
        <is>
          <t>ND</t>
        </is>
      </c>
      <c r="AN195" s="155" t="inlineStr">
        <is>
          <t>✓</t>
        </is>
      </c>
      <c r="AO195" s="151" t="n"/>
      <c r="AP195" s="147" t="n"/>
      <c r="AQ195" s="147" t="n"/>
      <c r="AR195" s="147" t="n"/>
      <c r="AS195" s="152" t="n"/>
      <c r="AT195" s="151" t="n"/>
      <c r="AU195" s="147" t="n"/>
      <c r="AV195" s="163" t="n"/>
    </row>
    <row r="196" ht="39" customHeight="1" s="70">
      <c r="A196" s="164" t="n"/>
      <c r="B196" s="165" t="n"/>
      <c r="C196" s="165" t="n"/>
      <c r="D196" s="165" t="n"/>
      <c r="E196" s="165" t="n"/>
      <c r="F196" s="165" t="n"/>
      <c r="G196" s="166" t="n"/>
      <c r="H196" s="165" t="n"/>
      <c r="I196" s="167" t="n"/>
      <c r="J196" s="166" t="n"/>
      <c r="K196" s="165" t="n"/>
      <c r="L196" s="167" t="n"/>
      <c r="M196" s="166" t="n"/>
      <c r="N196" s="165" t="n"/>
      <c r="O196" s="167" t="n"/>
      <c r="P196" s="166" t="n"/>
      <c r="Q196" s="165" t="n"/>
      <c r="R196" s="167" t="n"/>
      <c r="S196" s="166" t="n"/>
      <c r="T196" s="165" t="n"/>
      <c r="U196" s="167" t="n"/>
      <c r="V196" s="166" t="n"/>
      <c r="W196" s="165" t="n"/>
      <c r="X196" s="167" t="n"/>
      <c r="Y196" s="166" t="n"/>
      <c r="Z196" s="165" t="n"/>
      <c r="AA196" s="167" t="n"/>
      <c r="AB196" s="166" t="n"/>
      <c r="AC196" s="165" t="n"/>
      <c r="AD196" s="167" t="n"/>
      <c r="AE196" s="166" t="n"/>
      <c r="AF196" s="165" t="n"/>
      <c r="AG196" s="165" t="n"/>
      <c r="AH196" s="165" t="n"/>
      <c r="AI196" s="165" t="n"/>
      <c r="AJ196" s="167" t="n"/>
      <c r="AK196" s="168" t="inlineStr">
        <is>
          <t>220-20-М-26, (11.09.2026) [FHM-M]</t>
        </is>
      </c>
      <c r="AL196" s="165" t="n"/>
      <c r="AM196" s="165" t="n"/>
      <c r="AN196" s="167" t="n"/>
      <c r="AO196" s="166" t="n"/>
      <c r="AP196" s="165" t="n"/>
      <c r="AQ196" s="165" t="n"/>
      <c r="AR196" s="165" t="n"/>
      <c r="AS196" s="167" t="n"/>
      <c r="AT196" s="166" t="n"/>
      <c r="AU196" s="165" t="n"/>
      <c r="AV196" s="169" t="n"/>
    </row>
    <row r="197" ht="21" customHeight="1" s="70">
      <c r="A197" s="125" t="inlineStr">
        <is>
          <t>BSS1024_01/1</t>
        </is>
      </c>
      <c r="B197" s="126" t="inlineStr">
        <is>
          <t>P050122</t>
        </is>
      </c>
      <c r="C197" s="127" t="inlineStr">
        <is>
          <t>✓ COMPLETE
2 testing instances
• 1 document(s) on file, not credited</t>
        </is>
      </c>
      <c r="D197" s="128" t="inlineStr">
        <is>
          <t>1 of 2</t>
        </is>
      </c>
      <c r="E197" s="129" t="inlineStr">
        <is>
          <t>release testing</t>
        </is>
      </c>
      <c r="F197" s="130" t="inlineStr">
        <is>
          <t>iCoA-PP_26-089
CoQ-PP_26-018 · initial release</t>
        </is>
      </c>
      <c r="G197" s="131" t="inlineStr">
        <is>
          <t>Conforms</t>
        </is>
      </c>
      <c r="H197" s="132">
        <f>IFERROR(INDEX('iCoA Register'!$B:$B,MATCH("P050122|I",'iCoA Register'!$AA:$AA,0)),"iCoA — at issue")&amp;", (01.09.2025) [PP]"</f>
        <v/>
      </c>
      <c r="I197" s="133" t="inlineStr">
        <is>
          <t>✓</t>
        </is>
      </c>
      <c r="J197" s="134" t="inlineStr">
        <is>
          <t>not on this certificate</t>
        </is>
      </c>
      <c r="K197" s="135" t="inlineStr">
        <is>
          <t>ППК25176, (10.07.2025) [CNP] · on file, not credited</t>
        </is>
      </c>
      <c r="L197" s="136" t="inlineStr">
        <is>
          <t>•</t>
        </is>
      </c>
      <c r="M197" s="131" t="inlineStr">
        <is>
          <t>Conforms (ImB spec.)</t>
        </is>
      </c>
      <c r="N197" s="132" t="inlineStr">
        <is>
          <t>ППК25176, (10.07.2025) [CNP]</t>
        </is>
      </c>
      <c r="O197" s="133" t="inlineStr">
        <is>
          <t>✓</t>
        </is>
      </c>
      <c r="P197" s="137" t="inlineStr">
        <is>
          <t>23.42</t>
        </is>
      </c>
      <c r="Q197" s="132" t="inlineStr">
        <is>
          <t>ППК25176, (10.07.2025) [CNP]</t>
        </is>
      </c>
      <c r="R197" s="133" t="inlineStr">
        <is>
          <t>✓</t>
        </is>
      </c>
      <c r="S197" s="138" t="inlineStr">
        <is>
          <t>0.06</t>
        </is>
      </c>
      <c r="T197" s="132" t="inlineStr">
        <is>
          <t>ППК25176, (10.07.2025) [CNP]</t>
        </is>
      </c>
      <c r="U197" s="133" t="inlineStr">
        <is>
          <t>✓</t>
        </is>
      </c>
      <c r="V197" s="138" t="inlineStr">
        <is>
          <t>&lt; LOQ ᴰ</t>
        </is>
      </c>
      <c r="W197" s="132" t="inlineStr">
        <is>
          <t>ППК25176, (10.07.2025) [CNP]</t>
        </is>
      </c>
      <c r="X197" s="133" t="inlineStr">
        <is>
          <t>✓</t>
        </is>
      </c>
      <c r="Y197" s="131" t="inlineStr">
        <is>
          <t>Conforms</t>
        </is>
      </c>
      <c r="Z197" s="132">
        <f>IFERROR(INDEX('iCoA Register'!$B:$B,MATCH("P050122|I",'iCoA Register'!$AA:$AA,0)),"iCoA — at issue")&amp;", (01.09.2025) [PP]"</f>
        <v/>
      </c>
      <c r="AA197" s="133" t="inlineStr">
        <is>
          <t>✓</t>
        </is>
      </c>
      <c r="AB197" s="131" t="inlineStr">
        <is>
          <t>6.38</t>
        </is>
      </c>
      <c r="AC197" s="132" t="inlineStr">
        <is>
          <t>ППК25176, (10.07.2025) [CNP]</t>
        </is>
      </c>
      <c r="AD197" s="133" t="inlineStr">
        <is>
          <t>✓</t>
        </is>
      </c>
      <c r="AE197" s="131" t="inlineStr">
        <is>
          <t>&lt; 10</t>
        </is>
      </c>
      <c r="AF197" s="139" t="inlineStr">
        <is>
          <t>&lt; 10</t>
        </is>
      </c>
      <c r="AG197" s="139" t="inlineStr">
        <is>
          <t>&lt; 10</t>
        </is>
      </c>
      <c r="AH197" s="139" t="inlineStr">
        <is>
          <t>Absent</t>
        </is>
      </c>
      <c r="AI197" s="139" t="inlineStr">
        <is>
          <t>Absent</t>
        </is>
      </c>
      <c r="AJ197" s="133" t="inlineStr">
        <is>
          <t>✓</t>
        </is>
      </c>
      <c r="AK197" s="131" t="inlineStr">
        <is>
          <t>not reported</t>
        </is>
      </c>
      <c r="AL197" s="139" t="inlineStr">
        <is>
          <t>&lt; 2</t>
        </is>
      </c>
      <c r="AM197" s="139" t="inlineStr">
        <is>
          <t>not reported</t>
        </is>
      </c>
      <c r="AN197" s="133" t="inlineStr">
        <is>
          <t>✓</t>
        </is>
      </c>
      <c r="AO197" s="131" t="inlineStr">
        <is>
          <t>ND</t>
        </is>
      </c>
      <c r="AP197" s="139" t="inlineStr">
        <is>
          <t>ND</t>
        </is>
      </c>
      <c r="AQ197" s="139" t="inlineStr">
        <is>
          <t>0.112</t>
        </is>
      </c>
      <c r="AR197" s="139" t="inlineStr">
        <is>
          <t>ND</t>
        </is>
      </c>
      <c r="AS197" s="133" t="inlineStr">
        <is>
          <t>✓</t>
        </is>
      </c>
      <c r="AT197" s="131" t="inlineStr">
        <is>
          <t>≤ LOQ (all 27 compounds)</t>
        </is>
      </c>
      <c r="AU197" s="132" t="inlineStr">
        <is>
          <t>3177-2025, (26.06.2025) [IJZ]</t>
        </is>
      </c>
      <c r="AV197" s="140" t="inlineStr">
        <is>
          <t>✓</t>
        </is>
      </c>
    </row>
    <row r="198" ht="21" customHeight="1" s="70">
      <c r="A198" s="141" t="n"/>
      <c r="G198" s="142" t="n"/>
      <c r="I198" s="143" t="n"/>
      <c r="J198" s="142" t="n"/>
      <c r="L198" s="143" t="n"/>
      <c r="M198" s="142" t="n"/>
      <c r="O198" s="143" t="n"/>
      <c r="P198" s="142" t="n"/>
      <c r="R198" s="143" t="n"/>
      <c r="S198" s="142" t="n"/>
      <c r="U198" s="143" t="n"/>
      <c r="V198" s="142" t="n"/>
      <c r="X198" s="143" t="n"/>
      <c r="Y198" s="142" t="n"/>
      <c r="AA198" s="143" t="n"/>
      <c r="AB198" s="142" t="n"/>
      <c r="AD198" s="143" t="n"/>
      <c r="AE198" s="144" t="inlineStr">
        <is>
          <t>626-1127-25, (02.07.2025) [IJZ-MB]</t>
        </is>
      </c>
      <c r="AJ198" s="143" t="n"/>
      <c r="AK198" s="144" t="inlineStr">
        <is>
          <t>3177-2025, (26.06.2025) [IJZ]</t>
        </is>
      </c>
      <c r="AN198" s="143" t="n"/>
      <c r="AO198" s="144" t="inlineStr">
        <is>
          <t>3177-2025, (26.06.2025) [IJZ]</t>
        </is>
      </c>
      <c r="AS198" s="143" t="n"/>
      <c r="AT198" s="142" t="n"/>
      <c r="AV198" s="145" t="n"/>
    </row>
    <row r="199" ht="17.625" customHeight="1" s="70">
      <c r="A199" s="146" t="n"/>
      <c r="B199" s="147" t="n"/>
      <c r="D199" s="148" t="inlineStr">
        <is>
          <t>2 of 2</t>
        </is>
      </c>
      <c r="E199" s="149" t="inlineStr">
        <is>
          <t>release testing + re-analysis 227 + re-test campaign (IJZ-MB)</t>
        </is>
      </c>
      <c r="F199" s="150" t="inlineStr">
        <is>
          <t>iCoA-PP_26-089
CoQ-PP_26-018 · initial release
iCoA-PP_26-176
CoQ-PP_26-137 · retest</t>
        </is>
      </c>
      <c r="G199" s="151" t="n"/>
      <c r="H199" s="147" t="n"/>
      <c r="I199" s="152" t="n"/>
      <c r="J199" s="153" t="inlineStr">
        <is>
          <t>Conforms</t>
        </is>
      </c>
      <c r="K199" s="154">
        <f>IFERROR(INDEX('iCoA Register'!$B:$B,MATCH("P050122|I",'iCoA Register'!$AA:$AA,0)),"iCoA — at issue")&amp;", (01.09.2025) [PP]"</f>
        <v/>
      </c>
      <c r="L199" s="155" t="inlineStr">
        <is>
          <t>✓</t>
        </is>
      </c>
      <c r="M199" s="153" t="inlineStr">
        <is>
          <t>Conforms (ImB spec.)</t>
        </is>
      </c>
      <c r="N199" s="154" t="inlineStr">
        <is>
          <t>227-29-К-26, (11.09.2026) [FHM-K]</t>
        </is>
      </c>
      <c r="O199" s="155" t="inlineStr">
        <is>
          <t>✓</t>
        </is>
      </c>
      <c r="P199" s="156" t="inlineStr">
        <is>
          <t>26.10</t>
        </is>
      </c>
      <c r="Q199" s="154" t="inlineStr">
        <is>
          <t>227-29-К-26, (11.09.2026) [FHM-K]</t>
        </is>
      </c>
      <c r="R199" s="155" t="inlineStr">
        <is>
          <t>✓</t>
        </is>
      </c>
      <c r="S199" s="157" t="inlineStr">
        <is>
          <t>&lt; LOQ</t>
        </is>
      </c>
      <c r="T199" s="154" t="inlineStr">
        <is>
          <t>227-29-К-26, (11.09.2026) [FHM-K]</t>
        </is>
      </c>
      <c r="U199" s="155" t="inlineStr">
        <is>
          <t>✓</t>
        </is>
      </c>
      <c r="V199" s="157" t="inlineStr">
        <is>
          <t>0.20</t>
        </is>
      </c>
      <c r="W199" s="154" t="inlineStr">
        <is>
          <t>227-29-К-26, (11.09.2026) [FHM-K]</t>
        </is>
      </c>
      <c r="X199" s="155" t="inlineStr">
        <is>
          <t>✓</t>
        </is>
      </c>
      <c r="Y199" s="151" t="n"/>
      <c r="Z199" s="147" t="n"/>
      <c r="AA199" s="152" t="n"/>
      <c r="AB199" s="151" t="n"/>
      <c r="AC199" s="147" t="n"/>
      <c r="AD199" s="152" t="n"/>
      <c r="AE199" s="161" t="inlineStr">
        <is>
          <t>10</t>
        </is>
      </c>
      <c r="AF199" s="162" t="inlineStr">
        <is>
          <t>20</t>
        </is>
      </c>
      <c r="AG199" s="162" t="inlineStr">
        <is>
          <t>&lt; 10</t>
        </is>
      </c>
      <c r="AH199" s="162" t="inlineStr">
        <is>
          <t>Absent</t>
        </is>
      </c>
      <c r="AI199" s="162" t="inlineStr">
        <is>
          <t>Absent</t>
        </is>
      </c>
      <c r="AJ199" s="155" t="inlineStr">
        <is>
          <t>✓</t>
        </is>
      </c>
      <c r="AK199" s="151" t="n"/>
      <c r="AL199" s="147" t="n"/>
      <c r="AM199" s="147" t="n"/>
      <c r="AN199" s="152" t="n"/>
      <c r="AO199" s="151" t="n"/>
      <c r="AP199" s="147" t="n"/>
      <c r="AQ199" s="147" t="n"/>
      <c r="AR199" s="147" t="n"/>
      <c r="AS199" s="152" t="n"/>
      <c r="AT199" s="151" t="n"/>
      <c r="AU199" s="147" t="n"/>
      <c r="AV199" s="163" t="n"/>
    </row>
    <row r="200" ht="39" customHeight="1" s="70">
      <c r="A200" s="164" t="n"/>
      <c r="B200" s="165" t="n"/>
      <c r="C200" s="165" t="n"/>
      <c r="D200" s="165" t="n"/>
      <c r="E200" s="165" t="n"/>
      <c r="F200" s="165" t="n"/>
      <c r="G200" s="166" t="n"/>
      <c r="H200" s="165" t="n"/>
      <c r="I200" s="167" t="n"/>
      <c r="J200" s="166" t="n"/>
      <c r="K200" s="165" t="n"/>
      <c r="L200" s="167" t="n"/>
      <c r="M200" s="166" t="n"/>
      <c r="N200" s="165" t="n"/>
      <c r="O200" s="167" t="n"/>
      <c r="P200" s="166" t="n"/>
      <c r="Q200" s="165" t="n"/>
      <c r="R200" s="167" t="n"/>
      <c r="S200" s="166" t="n"/>
      <c r="T200" s="165" t="n"/>
      <c r="U200" s="167" t="n"/>
      <c r="V200" s="166" t="n"/>
      <c r="W200" s="165" t="n"/>
      <c r="X200" s="167" t="n"/>
      <c r="Y200" s="166" t="n"/>
      <c r="Z200" s="165" t="n"/>
      <c r="AA200" s="167" t="n"/>
      <c r="AB200" s="166" t="n"/>
      <c r="AC200" s="165" t="n"/>
      <c r="AD200" s="167" t="n"/>
      <c r="AE200" s="168" t="inlineStr">
        <is>
          <t>561-1092-26, (01.09.2026) [IJZ-MB]</t>
        </is>
      </c>
      <c r="AF200" s="165" t="n"/>
      <c r="AG200" s="165" t="n"/>
      <c r="AH200" s="165" t="n"/>
      <c r="AI200" s="165" t="n"/>
      <c r="AJ200" s="167" t="n"/>
      <c r="AK200" s="166" t="n"/>
      <c r="AL200" s="165" t="n"/>
      <c r="AM200" s="165" t="n"/>
      <c r="AN200" s="167" t="n"/>
      <c r="AO200" s="166" t="n"/>
      <c r="AP200" s="165" t="n"/>
      <c r="AQ200" s="165" t="n"/>
      <c r="AR200" s="165" t="n"/>
      <c r="AS200" s="167" t="n"/>
      <c r="AT200" s="166" t="n"/>
      <c r="AU200" s="165" t="n"/>
      <c r="AV200" s="169" t="n"/>
    </row>
    <row r="201" ht="21" customHeight="1" s="70">
      <c r="A201" s="125" t="inlineStr">
        <is>
          <t>OPM052501</t>
        </is>
      </c>
      <c r="B201" s="126" t="inlineStr">
        <is>
          <t>P050132</t>
        </is>
      </c>
      <c r="C201" s="177" t="inlineStr">
        <is>
          <t>✓ COMPLETE
2 testing instances
• 1 document(s) on file, not credited
✗ OUT OF SPECIFICATION: #9 TYMC</t>
        </is>
      </c>
      <c r="D201" s="128" t="inlineStr">
        <is>
          <t>1 of 2</t>
        </is>
      </c>
      <c r="E201" s="129" t="inlineStr">
        <is>
          <t>release testing</t>
        </is>
      </c>
      <c r="F201" s="130" t="inlineStr">
        <is>
          <t>iCoA-PP_26-018
CoQ-PP_26-019 · initial release</t>
        </is>
      </c>
      <c r="G201" s="131" t="inlineStr">
        <is>
          <t>Conforms</t>
        </is>
      </c>
      <c r="H201" s="132">
        <f>IFERROR(INDEX('iCoA Register'!$B:$B,MATCH("P050132|I",'iCoA Register'!$AA:$AA,0)),"iCoA — at issue")&amp;", (09.09.2025) [PP]"</f>
        <v/>
      </c>
      <c r="I201" s="133" t="inlineStr">
        <is>
          <t>✓</t>
        </is>
      </c>
      <c r="J201" s="134" t="inlineStr">
        <is>
          <t>not ingested</t>
        </is>
      </c>
      <c r="K201" s="135" t="inlineStr">
        <is>
          <t>ППК25257, (05.09.2025) [CNP] · on file, not credited</t>
        </is>
      </c>
      <c r="L201" s="136" t="inlineStr">
        <is>
          <t>•</t>
        </is>
      </c>
      <c r="M201" s="131" t="inlineStr">
        <is>
          <t>Conforms (ImB spec.) ᴿ</t>
        </is>
      </c>
      <c r="N201" s="132" t="inlineStr">
        <is>
          <t>ППК25257, (05.09.2025) [CNP]</t>
        </is>
      </c>
      <c r="O201" s="133" t="inlineStr">
        <is>
          <t>✓</t>
        </is>
      </c>
      <c r="P201" s="137" t="inlineStr">
        <is>
          <t>14.16 ᴿ</t>
        </is>
      </c>
      <c r="Q201" s="132" t="inlineStr">
        <is>
          <t>ППК25257, (05.09.2025) [CNP]</t>
        </is>
      </c>
      <c r="R201" s="133" t="inlineStr">
        <is>
          <t>✓</t>
        </is>
      </c>
      <c r="S201" s="138" t="inlineStr">
        <is>
          <t>0.04 ᴿ</t>
        </is>
      </c>
      <c r="T201" s="132" t="inlineStr">
        <is>
          <t>ППК25257, (05.09.2025) [CNP]</t>
        </is>
      </c>
      <c r="U201" s="133" t="inlineStr">
        <is>
          <t>✓</t>
        </is>
      </c>
      <c r="V201" s="225" t="inlineStr">
        <is>
          <t>not ingested</t>
        </is>
      </c>
      <c r="W201" s="226" t="inlineStr">
        <is>
          <t>ППК25257, (05.09.2025) [CNP]</t>
        </is>
      </c>
      <c r="X201" s="218" t="inlineStr">
        <is>
          <t>✗</t>
        </is>
      </c>
      <c r="Y201" s="131" t="inlineStr">
        <is>
          <t>Conforms</t>
        </is>
      </c>
      <c r="Z201" s="132">
        <f>IFERROR(INDEX('iCoA Register'!$B:$B,MATCH("P050132|I",'iCoA Register'!$AA:$AA,0)),"iCoA — at issue")&amp;", (09.09.2025) [PP]"</f>
        <v/>
      </c>
      <c r="AA201" s="133" t="inlineStr">
        <is>
          <t>✓</t>
        </is>
      </c>
      <c r="AB201" s="131" t="inlineStr">
        <is>
          <t>8.28 ᴿ</t>
        </is>
      </c>
      <c r="AC201" s="132" t="inlineStr">
        <is>
          <t>ППК25257, (05.09.2025) [CNP]</t>
        </is>
      </c>
      <c r="AD201" s="133" t="inlineStr">
        <is>
          <t>✓</t>
        </is>
      </c>
      <c r="AE201" s="131" t="inlineStr">
        <is>
          <t>1.2 × 10⁴ ᴿ</t>
        </is>
      </c>
      <c r="AF201" s="235" t="inlineStr">
        <is>
          <t>3.3 × 10⁴ ᴿ</t>
        </is>
      </c>
      <c r="AG201" s="139" t="inlineStr">
        <is>
          <t>&lt; 10 ᴿ</t>
        </is>
      </c>
      <c r="AH201" s="139" t="inlineStr">
        <is>
          <t>Absent ᴿ</t>
        </is>
      </c>
      <c r="AI201" s="139" t="inlineStr">
        <is>
          <t>Absent ᴿ</t>
        </is>
      </c>
      <c r="AJ201" s="133" t="inlineStr">
        <is>
          <t>✓</t>
        </is>
      </c>
      <c r="AK201" s="131" t="inlineStr">
        <is>
          <t>not reported</t>
        </is>
      </c>
      <c r="AL201" s="139" t="inlineStr">
        <is>
          <t>2.1 ᴿ</t>
        </is>
      </c>
      <c r="AM201" s="139" t="inlineStr">
        <is>
          <t>not reported</t>
        </is>
      </c>
      <c r="AN201" s="133" t="inlineStr">
        <is>
          <t>✓</t>
        </is>
      </c>
      <c r="AO201" s="131" t="inlineStr">
        <is>
          <t>ND ᴿ</t>
        </is>
      </c>
      <c r="AP201" s="139" t="inlineStr">
        <is>
          <t>ND ᴿ</t>
        </is>
      </c>
      <c r="AQ201" s="139" t="inlineStr">
        <is>
          <t>ND ᴿ</t>
        </is>
      </c>
      <c r="AR201" s="139" t="inlineStr">
        <is>
          <t>ND ᴿ</t>
        </is>
      </c>
      <c r="AS201" s="133" t="inlineStr">
        <is>
          <t>✓</t>
        </is>
      </c>
      <c r="AT201" s="131" t="inlineStr">
        <is>
          <t>ND ᴿ</t>
        </is>
      </c>
      <c r="AU201" s="132" t="inlineStr">
        <is>
          <t>4157-2025, (29.08.2025) [IJZ]</t>
        </is>
      </c>
      <c r="AV201" s="140" t="inlineStr">
        <is>
          <t>✓</t>
        </is>
      </c>
    </row>
    <row r="202" ht="21" customHeight="1" s="70">
      <c r="A202" s="141" t="n"/>
      <c r="G202" s="142" t="n"/>
      <c r="I202" s="143" t="n"/>
      <c r="J202" s="142" t="n"/>
      <c r="L202" s="143" t="n"/>
      <c r="M202" s="142" t="n"/>
      <c r="O202" s="143" t="n"/>
      <c r="P202" s="142" t="n"/>
      <c r="R202" s="143" t="n"/>
      <c r="S202" s="142" t="n"/>
      <c r="U202" s="143" t="n"/>
      <c r="V202" s="142" t="n"/>
      <c r="X202" s="143" t="n"/>
      <c r="Y202" s="142" t="n"/>
      <c r="AA202" s="143" t="n"/>
      <c r="AB202" s="142" t="n"/>
      <c r="AD202" s="143" t="n"/>
      <c r="AE202" s="144" t="inlineStr">
        <is>
          <t>904-1589-25, (02.09.2025) [IJZ-MB]</t>
        </is>
      </c>
      <c r="AJ202" s="143" t="n"/>
      <c r="AK202" s="144" t="inlineStr">
        <is>
          <t>4157-2025, (29.08.2025) [IJZ]</t>
        </is>
      </c>
      <c r="AN202" s="143" t="n"/>
      <c r="AO202" s="144" t="inlineStr">
        <is>
          <t>4157-2025, (29.08.2025) [IJZ]</t>
        </is>
      </c>
      <c r="AS202" s="143" t="n"/>
      <c r="AT202" s="142" t="n"/>
      <c r="AV202" s="145" t="n"/>
    </row>
    <row r="203" ht="17.625" customHeight="1" s="70">
      <c r="A203" s="146" t="n"/>
      <c r="B203" s="147" t="n"/>
      <c r="D203" s="148" t="inlineStr">
        <is>
          <t>2 of 2</t>
        </is>
      </c>
      <c r="E203" s="149" t="inlineStr">
        <is>
          <t>release testing + re-analysis 227 + re-test campaign (IJZ-MB)</t>
        </is>
      </c>
      <c r="F203" s="150" t="inlineStr">
        <is>
          <t>iCoA-PP_26-018
CoQ-PP_26-019 · initial release
iCoA-PP_26-174
CoQ-PP_26-157 · retest</t>
        </is>
      </c>
      <c r="G203" s="151" t="n"/>
      <c r="H203" s="147" t="n"/>
      <c r="I203" s="152" t="n"/>
      <c r="J203" s="153" t="inlineStr">
        <is>
          <t>Conforms</t>
        </is>
      </c>
      <c r="K203" s="154">
        <f>IFERROR(INDEX('iCoA Register'!$B:$B,MATCH("P050132|I",'iCoA Register'!$AA:$AA,0)),"iCoA — at issue")&amp;", (09.09.2025) [PP]"</f>
        <v/>
      </c>
      <c r="L203" s="155" t="inlineStr">
        <is>
          <t>✓</t>
        </is>
      </c>
      <c r="M203" s="153" t="inlineStr">
        <is>
          <t>Conforms (ImB spec.)</t>
        </is>
      </c>
      <c r="N203" s="154" t="inlineStr">
        <is>
          <t>227-11-К-26, (11.09.2026) [FHM-K]</t>
        </is>
      </c>
      <c r="O203" s="155" t="inlineStr">
        <is>
          <t>✓</t>
        </is>
      </c>
      <c r="P203" s="156" t="inlineStr">
        <is>
          <t>17.83</t>
        </is>
      </c>
      <c r="Q203" s="154" t="inlineStr">
        <is>
          <t>227-11-К-26, (11.09.2026) [FHM-K]</t>
        </is>
      </c>
      <c r="R203" s="155" t="inlineStr">
        <is>
          <t>✓</t>
        </is>
      </c>
      <c r="S203" s="157" t="inlineStr">
        <is>
          <t>&lt; LOQ</t>
        </is>
      </c>
      <c r="T203" s="154" t="inlineStr">
        <is>
          <t>227-11-К-26, (11.09.2026) [FHM-K]</t>
        </is>
      </c>
      <c r="U203" s="155" t="inlineStr">
        <is>
          <t>✓</t>
        </is>
      </c>
      <c r="V203" s="157" t="inlineStr">
        <is>
          <t>&lt; LOQ</t>
        </is>
      </c>
      <c r="W203" s="154" t="inlineStr">
        <is>
          <t>227-11-К-26, (11.09.2026) [FHM-K]</t>
        </is>
      </c>
      <c r="X203" s="155" t="inlineStr">
        <is>
          <t>✓</t>
        </is>
      </c>
      <c r="Y203" s="151" t="n"/>
      <c r="Z203" s="147" t="n"/>
      <c r="AA203" s="152" t="n"/>
      <c r="AB203" s="151" t="n"/>
      <c r="AC203" s="147" t="n"/>
      <c r="AD203" s="152" t="n"/>
      <c r="AE203" s="161" t="inlineStr">
        <is>
          <t>&lt; 10</t>
        </is>
      </c>
      <c r="AF203" s="162" t="inlineStr">
        <is>
          <t>&lt; 10</t>
        </is>
      </c>
      <c r="AG203" s="162" t="inlineStr">
        <is>
          <t>&lt; 10</t>
        </is>
      </c>
      <c r="AH203" s="162" t="inlineStr">
        <is>
          <t>Absent</t>
        </is>
      </c>
      <c r="AI203" s="162" t="inlineStr">
        <is>
          <t>Absent</t>
        </is>
      </c>
      <c r="AJ203" s="155" t="inlineStr">
        <is>
          <t>✓</t>
        </is>
      </c>
      <c r="AK203" s="151" t="n"/>
      <c r="AL203" s="147" t="n"/>
      <c r="AM203" s="147" t="n"/>
      <c r="AN203" s="152" t="n"/>
      <c r="AO203" s="151" t="n"/>
      <c r="AP203" s="147" t="n"/>
      <c r="AQ203" s="147" t="n"/>
      <c r="AR203" s="147" t="n"/>
      <c r="AS203" s="152" t="n"/>
      <c r="AT203" s="151" t="n"/>
      <c r="AU203" s="147" t="n"/>
      <c r="AV203" s="163" t="n"/>
    </row>
    <row r="204" ht="39" customHeight="1" s="70">
      <c r="A204" s="164" t="n"/>
      <c r="B204" s="165" t="n"/>
      <c r="C204" s="165" t="n"/>
      <c r="D204" s="165" t="n"/>
      <c r="E204" s="165" t="n"/>
      <c r="F204" s="165" t="n"/>
      <c r="G204" s="166" t="n"/>
      <c r="H204" s="165" t="n"/>
      <c r="I204" s="167" t="n"/>
      <c r="J204" s="166" t="n"/>
      <c r="K204" s="165" t="n"/>
      <c r="L204" s="167" t="n"/>
      <c r="M204" s="166" t="n"/>
      <c r="N204" s="165" t="n"/>
      <c r="O204" s="167" t="n"/>
      <c r="P204" s="166" t="n"/>
      <c r="Q204" s="165" t="n"/>
      <c r="R204" s="167" t="n"/>
      <c r="S204" s="166" t="n"/>
      <c r="T204" s="165" t="n"/>
      <c r="U204" s="167" t="n"/>
      <c r="V204" s="166" t="n"/>
      <c r="W204" s="165" t="n"/>
      <c r="X204" s="167" t="n"/>
      <c r="Y204" s="166" t="n"/>
      <c r="Z204" s="165" t="n"/>
      <c r="AA204" s="167" t="n"/>
      <c r="AB204" s="166" t="n"/>
      <c r="AC204" s="165" t="n"/>
      <c r="AD204" s="167" t="n"/>
      <c r="AE204" s="168" t="inlineStr">
        <is>
          <t>560-1091-26, (01.09.2026) [IJZ-MB]</t>
        </is>
      </c>
      <c r="AF204" s="165" t="n"/>
      <c r="AG204" s="165" t="n"/>
      <c r="AH204" s="165" t="n"/>
      <c r="AI204" s="165" t="n"/>
      <c r="AJ204" s="167" t="n"/>
      <c r="AK204" s="166" t="n"/>
      <c r="AL204" s="165" t="n"/>
      <c r="AM204" s="165" t="n"/>
      <c r="AN204" s="167" t="n"/>
      <c r="AO204" s="166" t="n"/>
      <c r="AP204" s="165" t="n"/>
      <c r="AQ204" s="165" t="n"/>
      <c r="AR204" s="165" t="n"/>
      <c r="AS204" s="167" t="n"/>
      <c r="AT204" s="166" t="n"/>
      <c r="AU204" s="165" t="n"/>
      <c r="AV204" s="169" t="n"/>
    </row>
    <row r="205" ht="21" customHeight="1" s="70">
      <c r="A205" s="125" t="inlineStr">
        <is>
          <t>GP052501</t>
        </is>
      </c>
      <c r="B205" s="126" t="inlineStr">
        <is>
          <t>P050152</t>
        </is>
      </c>
      <c r="C205" s="177" t="inlineStr">
        <is>
          <t>✓ COMPLETE
2 testing instances
• 2 document(s) on file, not credited
✗ OUT OF SPECIFICATION: #9 TYMC</t>
        </is>
      </c>
      <c r="D205" s="128" t="inlineStr">
        <is>
          <t>1 of 2</t>
        </is>
      </c>
      <c r="E205" s="129" t="inlineStr">
        <is>
          <t>release testing</t>
        </is>
      </c>
      <c r="F205" s="130" t="inlineStr">
        <is>
          <t>iCoA-PP_26-019
CoQ-PP_26-020 · initial release</t>
        </is>
      </c>
      <c r="G205" s="131" t="inlineStr">
        <is>
          <t>Conforms</t>
        </is>
      </c>
      <c r="H205" s="132">
        <f>IFERROR(INDEX('iCoA Register'!$B:$B,MATCH("P050152|I",'iCoA Register'!$AA:$AA,0)),"iCoA — at issue")&amp;", (25.09.2025) [PP]"</f>
        <v/>
      </c>
      <c r="I205" s="133" t="inlineStr">
        <is>
          <t>✓</t>
        </is>
      </c>
      <c r="J205" s="134" t="inlineStr">
        <is>
          <t>not on this certificate</t>
        </is>
      </c>
      <c r="K205" s="135" t="inlineStr">
        <is>
          <t>ППК25279, (19.09.2025) [CNP] · on file, not credited</t>
        </is>
      </c>
      <c r="L205" s="136" t="inlineStr">
        <is>
          <t>•</t>
        </is>
      </c>
      <c r="M205" s="131" t="inlineStr">
        <is>
          <t>Conforms (ImB spec.)</t>
        </is>
      </c>
      <c r="N205" s="132" t="inlineStr">
        <is>
          <t>ППК25279, (19.09.2025) [CNP]</t>
        </is>
      </c>
      <c r="O205" s="133" t="inlineStr">
        <is>
          <t>✓</t>
        </is>
      </c>
      <c r="P205" s="137" t="inlineStr">
        <is>
          <t>18.98</t>
        </is>
      </c>
      <c r="Q205" s="132" t="inlineStr">
        <is>
          <t>ППК25279, (19.09.2025) [CNP]</t>
        </is>
      </c>
      <c r="R205" s="133" t="inlineStr">
        <is>
          <t>✓</t>
        </is>
      </c>
      <c r="S205" s="138" t="inlineStr">
        <is>
          <t>0.08</t>
        </is>
      </c>
      <c r="T205" s="132" t="inlineStr">
        <is>
          <t>ППК25279, (19.09.2025) [CNP]</t>
        </is>
      </c>
      <c r="U205" s="133" t="inlineStr">
        <is>
          <t>✓</t>
        </is>
      </c>
      <c r="V205" s="138" t="inlineStr">
        <is>
          <t>0.03 ᴰ</t>
        </is>
      </c>
      <c r="W205" s="132" t="inlineStr">
        <is>
          <t>ППК25279, (19.09.2025) [CNP]</t>
        </is>
      </c>
      <c r="X205" s="133" t="inlineStr">
        <is>
          <t>✓</t>
        </is>
      </c>
      <c r="Y205" s="131" t="inlineStr">
        <is>
          <t>Conforms</t>
        </is>
      </c>
      <c r="Z205" s="132">
        <f>IFERROR(INDEX('iCoA Register'!$B:$B,MATCH("P050152|I",'iCoA Register'!$AA:$AA,0)),"iCoA — at issue")&amp;", (25.09.2025) [PP]"</f>
        <v/>
      </c>
      <c r="AA205" s="133" t="inlineStr">
        <is>
          <t>✓</t>
        </is>
      </c>
      <c r="AB205" s="131" t="inlineStr">
        <is>
          <t>7.30</t>
        </is>
      </c>
      <c r="AC205" s="132" t="inlineStr">
        <is>
          <t>ППК25279, (19.09.2025) [CNP]</t>
        </is>
      </c>
      <c r="AD205" s="133" t="inlineStr">
        <is>
          <t>✓</t>
        </is>
      </c>
      <c r="AE205" s="131" t="inlineStr">
        <is>
          <t>2.1 × 10⁴ ᴿ</t>
        </is>
      </c>
      <c r="AF205" s="235" t="inlineStr">
        <is>
          <t>3.6 × 10⁴</t>
        </is>
      </c>
      <c r="AG205" s="139" t="inlineStr">
        <is>
          <t>&lt; 10² and &gt; 10¹</t>
        </is>
      </c>
      <c r="AH205" s="139" t="inlineStr">
        <is>
          <t>Absent</t>
        </is>
      </c>
      <c r="AI205" s="139" t="inlineStr">
        <is>
          <t>Absent</t>
        </is>
      </c>
      <c r="AJ205" s="133" t="inlineStr">
        <is>
          <t>✓</t>
        </is>
      </c>
      <c r="AK205" s="131" t="inlineStr">
        <is>
          <t>not reported</t>
        </is>
      </c>
      <c r="AL205" s="139" t="inlineStr">
        <is>
          <t>&lt; 2</t>
        </is>
      </c>
      <c r="AM205" s="139" t="inlineStr">
        <is>
          <t>not reported</t>
        </is>
      </c>
      <c r="AN205" s="133" t="inlineStr">
        <is>
          <t>✓</t>
        </is>
      </c>
      <c r="AO205" s="131" t="inlineStr">
        <is>
          <t>0.06</t>
        </is>
      </c>
      <c r="AP205" s="139" t="inlineStr">
        <is>
          <t>ND</t>
        </is>
      </c>
      <c r="AQ205" s="139" t="inlineStr">
        <is>
          <t>ND</t>
        </is>
      </c>
      <c r="AR205" s="139" t="inlineStr">
        <is>
          <t>ND</t>
        </is>
      </c>
      <c r="AS205" s="133" t="inlineStr">
        <is>
          <t>✓</t>
        </is>
      </c>
      <c r="AT205" s="131" t="inlineStr">
        <is>
          <t>≤ LOQ (all 29 compounds)</t>
        </is>
      </c>
      <c r="AU205" s="132" t="inlineStr">
        <is>
          <t>4348-2025, (15.09.2025) [IJZ]</t>
        </is>
      </c>
      <c r="AV205" s="140" t="inlineStr">
        <is>
          <t>✓</t>
        </is>
      </c>
    </row>
    <row r="206" ht="21" customHeight="1" s="70">
      <c r="A206" s="141" t="n"/>
      <c r="G206" s="142" t="n"/>
      <c r="I206" s="143" t="n"/>
      <c r="J206" s="142" t="n"/>
      <c r="L206" s="143" t="n"/>
      <c r="M206" s="142" t="n"/>
      <c r="O206" s="143" t="n"/>
      <c r="P206" s="142" t="n"/>
      <c r="R206" s="143" t="n"/>
      <c r="S206" s="142" t="n"/>
      <c r="U206" s="143" t="n"/>
      <c r="V206" s="142" t="n"/>
      <c r="X206" s="143" t="n"/>
      <c r="Y206" s="142" t="n"/>
      <c r="AA206" s="143" t="n"/>
      <c r="AB206" s="142" t="n"/>
      <c r="AD206" s="143" t="n"/>
      <c r="AE206" s="144" t="inlineStr">
        <is>
          <t>946-1684-25, (17.09.2025) [IJZ-MB]</t>
        </is>
      </c>
      <c r="AJ206" s="143" t="n"/>
      <c r="AK206" s="144" t="inlineStr">
        <is>
          <t>4348-2025, (15.09.2025) [IJZ]</t>
        </is>
      </c>
      <c r="AN206" s="143" t="n"/>
      <c r="AO206" s="144" t="inlineStr">
        <is>
          <t>4348-2025, (15.09.2025) [IJZ]</t>
        </is>
      </c>
      <c r="AS206" s="143" t="n"/>
      <c r="AT206" s="142" t="n"/>
      <c r="AV206" s="145" t="n"/>
    </row>
    <row r="207" ht="17.625" customHeight="1" s="70">
      <c r="A207" s="146" t="n"/>
      <c r="B207" s="147" t="n"/>
      <c r="D207" s="148" t="inlineStr">
        <is>
          <t>2 of 2</t>
        </is>
      </c>
      <c r="E207" s="149" t="inlineStr">
        <is>
          <t>release testing + re-analysis 197</t>
        </is>
      </c>
      <c r="F207" s="150" t="inlineStr">
        <is>
          <t>iCoA-PP_26-019
CoQ-PP_26-020 · initial release
iCoA-PP_26-107
CoQ-PP_26-094 · retest</t>
        </is>
      </c>
      <c r="G207" s="151" t="n"/>
      <c r="H207" s="147" t="n"/>
      <c r="I207" s="152" t="n"/>
      <c r="J207" s="153" t="inlineStr">
        <is>
          <t>Conforms</t>
        </is>
      </c>
      <c r="K207" s="154">
        <f>IFERROR(INDEX('iCoA Register'!$B:$B,MATCH("P050152|I",'iCoA Register'!$AA:$AA,0)),"iCoA — at issue")&amp;", (25.09.2025) [PP]"</f>
        <v/>
      </c>
      <c r="L207" s="155" t="inlineStr">
        <is>
          <t>✓</t>
        </is>
      </c>
      <c r="M207" s="153" t="inlineStr">
        <is>
          <t>Conforms (ImB spec.) ᴿ</t>
        </is>
      </c>
      <c r="N207" s="154" t="inlineStr">
        <is>
          <t>197-10-К-26, (07.08.2026) [FHM-K]</t>
        </is>
      </c>
      <c r="O207" s="155" t="inlineStr">
        <is>
          <t>✓</t>
        </is>
      </c>
      <c r="P207" s="156" t="inlineStr">
        <is>
          <t>18.52</t>
        </is>
      </c>
      <c r="Q207" s="154" t="inlineStr">
        <is>
          <t>197-10-К-26, (07.08.2026) [FHM-K]</t>
        </is>
      </c>
      <c r="R207" s="155" t="inlineStr">
        <is>
          <t>✓</t>
        </is>
      </c>
      <c r="S207" s="157" t="inlineStr">
        <is>
          <t>&lt; LOQ</t>
        </is>
      </c>
      <c r="T207" s="154" t="inlineStr">
        <is>
          <t>197-10-К-26, (07.08.2026) [FHM-K]</t>
        </is>
      </c>
      <c r="U207" s="155" t="inlineStr">
        <is>
          <t>✓</t>
        </is>
      </c>
      <c r="V207" s="157" t="inlineStr">
        <is>
          <t>&lt; LOQ</t>
        </is>
      </c>
      <c r="W207" s="154" t="inlineStr">
        <is>
          <t>197-10-К-26, (07.08.2026) [FHM-K]</t>
        </is>
      </c>
      <c r="X207" s="155" t="inlineStr">
        <is>
          <t>✓</t>
        </is>
      </c>
      <c r="Y207" s="151" t="n"/>
      <c r="Z207" s="147" t="n"/>
      <c r="AA207" s="152" t="n"/>
      <c r="AB207" s="158" t="inlineStr">
        <is>
          <t>not on this certificate</t>
        </is>
      </c>
      <c r="AC207" s="159" t="inlineStr">
        <is>
          <t>197-10-К-26, (07.08.2026) [FHM-K] · on file, not credited</t>
        </is>
      </c>
      <c r="AD207" s="160" t="inlineStr">
        <is>
          <t>•</t>
        </is>
      </c>
      <c r="AE207" s="151" t="n"/>
      <c r="AF207" s="147" t="n"/>
      <c r="AG207" s="147" t="n"/>
      <c r="AH207" s="147" t="n"/>
      <c r="AI207" s="147" t="n"/>
      <c r="AJ207" s="152" t="n"/>
      <c r="AK207" s="161" t="inlineStr">
        <is>
          <t>ND</t>
        </is>
      </c>
      <c r="AL207" s="162" t="inlineStr">
        <is>
          <t>ND</t>
        </is>
      </c>
      <c r="AM207" s="162" t="inlineStr">
        <is>
          <t>ND</t>
        </is>
      </c>
      <c r="AN207" s="155" t="inlineStr">
        <is>
          <t>✓</t>
        </is>
      </c>
      <c r="AO207" s="151" t="n"/>
      <c r="AP207" s="147" t="n"/>
      <c r="AQ207" s="147" t="n"/>
      <c r="AR207" s="147" t="n"/>
      <c r="AS207" s="152" t="n"/>
      <c r="AT207" s="151" t="n"/>
      <c r="AU207" s="147" t="n"/>
      <c r="AV207" s="163" t="n"/>
    </row>
    <row r="208" ht="39" customHeight="1" s="70">
      <c r="A208" s="164" t="n"/>
      <c r="B208" s="165" t="n"/>
      <c r="C208" s="165" t="n"/>
      <c r="D208" s="165" t="n"/>
      <c r="E208" s="165" t="n"/>
      <c r="F208" s="165" t="n"/>
      <c r="G208" s="166" t="n"/>
      <c r="H208" s="165" t="n"/>
      <c r="I208" s="167" t="n"/>
      <c r="J208" s="166" t="n"/>
      <c r="K208" s="165" t="n"/>
      <c r="L208" s="167" t="n"/>
      <c r="M208" s="166" t="n"/>
      <c r="N208" s="165" t="n"/>
      <c r="O208" s="167" t="n"/>
      <c r="P208" s="166" t="n"/>
      <c r="Q208" s="165" t="n"/>
      <c r="R208" s="167" t="n"/>
      <c r="S208" s="166" t="n"/>
      <c r="T208" s="165" t="n"/>
      <c r="U208" s="167" t="n"/>
      <c r="V208" s="166" t="n"/>
      <c r="W208" s="165" t="n"/>
      <c r="X208" s="167" t="n"/>
      <c r="Y208" s="166" t="n"/>
      <c r="Z208" s="165" t="n"/>
      <c r="AA208" s="167" t="n"/>
      <c r="AB208" s="166" t="n"/>
      <c r="AC208" s="165" t="n"/>
      <c r="AD208" s="167" t="n"/>
      <c r="AE208" s="166" t="n"/>
      <c r="AF208" s="165" t="n"/>
      <c r="AG208" s="165" t="n"/>
      <c r="AH208" s="165" t="n"/>
      <c r="AI208" s="165" t="n"/>
      <c r="AJ208" s="167" t="n"/>
      <c r="AK208" s="168" t="inlineStr">
        <is>
          <t>197-10-М-26, (10.08.2026) [FHM-M]</t>
        </is>
      </c>
      <c r="AL208" s="165" t="n"/>
      <c r="AM208" s="165" t="n"/>
      <c r="AN208" s="167" t="n"/>
      <c r="AO208" s="166" t="n"/>
      <c r="AP208" s="165" t="n"/>
      <c r="AQ208" s="165" t="n"/>
      <c r="AR208" s="165" t="n"/>
      <c r="AS208" s="167" t="n"/>
      <c r="AT208" s="166" t="n"/>
      <c r="AU208" s="165" t="n"/>
      <c r="AV208" s="169" t="n"/>
    </row>
    <row r="209" ht="21" customHeight="1" s="70">
      <c r="A209" s="125" t="inlineStr">
        <is>
          <t>CJ052501/01</t>
        </is>
      </c>
      <c r="B209" s="126" t="inlineStr">
        <is>
          <t>P050162</t>
        </is>
      </c>
      <c r="C209" s="170" t="inlineStr">
        <is>
          <t>✓ COMPLETE
2 testing instances
• 2 document(s) on file, not credited
◐ UNDETERMINED (Ph. Eur. band): #9 TYMC</t>
        </is>
      </c>
      <c r="D209" s="128" t="inlineStr">
        <is>
          <t>1 of 2</t>
        </is>
      </c>
      <c r="E209" s="129" t="inlineStr">
        <is>
          <t>release testing</t>
        </is>
      </c>
      <c r="F209" s="130" t="inlineStr">
        <is>
          <t>iCoA-PP_26-021
CoQ-PP_26-022 · initial release</t>
        </is>
      </c>
      <c r="G209" s="131" t="inlineStr">
        <is>
          <t>Conforms</t>
        </is>
      </c>
      <c r="H209" s="132">
        <f>IFERROR(INDEX('iCoA Register'!$B:$B,MATCH("P050162|I",'iCoA Register'!$AA:$AA,0)),"iCoA — at issue")&amp;", (30.09.2025) [PP]"</f>
        <v/>
      </c>
      <c r="I209" s="133" t="inlineStr">
        <is>
          <t>✓</t>
        </is>
      </c>
      <c r="J209" s="134" t="inlineStr">
        <is>
          <t>not on this certificate</t>
        </is>
      </c>
      <c r="K209" s="135" t="inlineStr">
        <is>
          <t>ППК25280, (17.09.2025) [CNP] · on file, not credited</t>
        </is>
      </c>
      <c r="L209" s="136" t="inlineStr">
        <is>
          <t>•</t>
        </is>
      </c>
      <c r="M209" s="131" t="inlineStr">
        <is>
          <t>Conforms (ImB spec.)</t>
        </is>
      </c>
      <c r="N209" s="132" t="inlineStr">
        <is>
          <t>ППК25280, (17.09.2025) [CNP]</t>
        </is>
      </c>
      <c r="O209" s="133" t="inlineStr">
        <is>
          <t>✓</t>
        </is>
      </c>
      <c r="P209" s="137" t="inlineStr">
        <is>
          <t>20.29</t>
        </is>
      </c>
      <c r="Q209" s="132" t="inlineStr">
        <is>
          <t>ППК25280, (17.09.2025) [CNP]</t>
        </is>
      </c>
      <c r="R209" s="133" t="inlineStr">
        <is>
          <t>✓</t>
        </is>
      </c>
      <c r="S209" s="138" t="inlineStr">
        <is>
          <t>0.07</t>
        </is>
      </c>
      <c r="T209" s="132" t="inlineStr">
        <is>
          <t>ППК25280, (17.09.2025) [CNP]</t>
        </is>
      </c>
      <c r="U209" s="133" t="inlineStr">
        <is>
          <t>✓</t>
        </is>
      </c>
      <c r="V209" s="138" t="inlineStr">
        <is>
          <t>0.02 ᴰ</t>
        </is>
      </c>
      <c r="W209" s="132" t="inlineStr">
        <is>
          <t>ППК25280, (17.09.2025) [CNP]</t>
        </is>
      </c>
      <c r="X209" s="133" t="inlineStr">
        <is>
          <t>✓</t>
        </is>
      </c>
      <c r="Y209" s="131" t="inlineStr">
        <is>
          <t>Conforms</t>
        </is>
      </c>
      <c r="Z209" s="132">
        <f>IFERROR(INDEX('iCoA Register'!$B:$B,MATCH("P050162|I",'iCoA Register'!$AA:$AA,0)),"iCoA — at issue")&amp;", (30.09.2025) [PP]"</f>
        <v/>
      </c>
      <c r="AA209" s="133" t="inlineStr">
        <is>
          <t>✓</t>
        </is>
      </c>
      <c r="AB209" s="131" t="inlineStr">
        <is>
          <t>7.93</t>
        </is>
      </c>
      <c r="AC209" s="132" t="inlineStr">
        <is>
          <t>ППК25280, (17.09.2025) [CNP]</t>
        </is>
      </c>
      <c r="AD209" s="133" t="inlineStr">
        <is>
          <t>✓</t>
        </is>
      </c>
      <c r="AE209" s="131" t="inlineStr">
        <is>
          <t>2.8 × 10⁴</t>
        </is>
      </c>
      <c r="AF209" s="227" t="inlineStr">
        <is>
          <t>1.7 × 10⁴</t>
        </is>
      </c>
      <c r="AG209" s="139" t="inlineStr">
        <is>
          <t>&lt; 10³ and &gt; 10² ᴿ</t>
        </is>
      </c>
      <c r="AH209" s="139" t="inlineStr">
        <is>
          <t>Absent</t>
        </is>
      </c>
      <c r="AI209" s="139" t="inlineStr">
        <is>
          <t>Absent</t>
        </is>
      </c>
      <c r="AJ209" s="133" t="inlineStr">
        <is>
          <t>✓</t>
        </is>
      </c>
      <c r="AK209" s="131" t="inlineStr">
        <is>
          <t>not reported</t>
        </is>
      </c>
      <c r="AL209" s="139" t="inlineStr">
        <is>
          <t>&lt; 2</t>
        </is>
      </c>
      <c r="AM209" s="139" t="inlineStr">
        <is>
          <t>not reported</t>
        </is>
      </c>
      <c r="AN209" s="133" t="inlineStr">
        <is>
          <t>✓</t>
        </is>
      </c>
      <c r="AO209" s="131" t="inlineStr">
        <is>
          <t>0.085</t>
        </is>
      </c>
      <c r="AP209" s="139" t="inlineStr">
        <is>
          <t>ND</t>
        </is>
      </c>
      <c r="AQ209" s="139" t="inlineStr">
        <is>
          <t>ND</t>
        </is>
      </c>
      <c r="AR209" s="139" t="inlineStr">
        <is>
          <t>ND</t>
        </is>
      </c>
      <c r="AS209" s="133" t="inlineStr">
        <is>
          <t>✓</t>
        </is>
      </c>
      <c r="AT209" s="131" t="inlineStr">
        <is>
          <t>≤ LOQ (all 24 compounds)</t>
        </is>
      </c>
      <c r="AU209" s="132" t="inlineStr">
        <is>
          <t>4350-2025, (15.09.2025) [IJZ]</t>
        </is>
      </c>
      <c r="AV209" s="140" t="inlineStr">
        <is>
          <t>✓</t>
        </is>
      </c>
    </row>
    <row r="210" ht="21" customHeight="1" s="70">
      <c r="A210" s="141" t="n"/>
      <c r="G210" s="142" t="n"/>
      <c r="I210" s="143" t="n"/>
      <c r="J210" s="142" t="n"/>
      <c r="L210" s="143" t="n"/>
      <c r="M210" s="142" t="n"/>
      <c r="O210" s="143" t="n"/>
      <c r="P210" s="142" t="n"/>
      <c r="R210" s="143" t="n"/>
      <c r="S210" s="142" t="n"/>
      <c r="U210" s="143" t="n"/>
      <c r="V210" s="142" t="n"/>
      <c r="X210" s="143" t="n"/>
      <c r="Y210" s="142" t="n"/>
      <c r="AA210" s="143" t="n"/>
      <c r="AB210" s="142" t="n"/>
      <c r="AD210" s="143" t="n"/>
      <c r="AE210" s="144" t="inlineStr">
        <is>
          <t>949-1687-25, (17.09.2025) [IJZ-MB]</t>
        </is>
      </c>
      <c r="AJ210" s="143" t="n"/>
      <c r="AK210" s="144" t="inlineStr">
        <is>
          <t>4350-2025, (15.09.2025) [IJZ]</t>
        </is>
      </c>
      <c r="AN210" s="143" t="n"/>
      <c r="AO210" s="144" t="inlineStr">
        <is>
          <t>4350-2025, (15.09.2025) [IJZ]</t>
        </is>
      </c>
      <c r="AS210" s="143" t="n"/>
      <c r="AT210" s="142" t="n"/>
      <c r="AV210" s="145" t="n"/>
    </row>
    <row r="211" ht="17.625" customHeight="1" s="70">
      <c r="A211" s="146" t="n"/>
      <c r="B211" s="147" t="n"/>
      <c r="D211" s="148" t="inlineStr">
        <is>
          <t>2 of 2</t>
        </is>
      </c>
      <c r="E211" s="149" t="inlineStr">
        <is>
          <t>release testing + re-analysis 197</t>
        </is>
      </c>
      <c r="F211" s="150" t="inlineStr">
        <is>
          <t>iCoA-PP_26-021
CoQ-PP_26-022 · initial release
iCoA-PP_26-102
CoQ-PP_26-088 · retest</t>
        </is>
      </c>
      <c r="G211" s="151" t="n"/>
      <c r="H211" s="147" t="n"/>
      <c r="I211" s="152" t="n"/>
      <c r="J211" s="153" t="inlineStr">
        <is>
          <t>Conforms</t>
        </is>
      </c>
      <c r="K211" s="154">
        <f>IFERROR(INDEX('iCoA Register'!$B:$B,MATCH("P050162|I",'iCoA Register'!$AA:$AA,0)),"iCoA — at issue")&amp;", (30.09.2025) [PP]"</f>
        <v/>
      </c>
      <c r="L211" s="155" t="inlineStr">
        <is>
          <t>✓</t>
        </is>
      </c>
      <c r="M211" s="153" t="inlineStr">
        <is>
          <t>Conforms (ImB spec.) ᴿ</t>
        </is>
      </c>
      <c r="N211" s="154" t="inlineStr">
        <is>
          <t>197-3-К-26, (07.08.2026) [FHM-K]</t>
        </is>
      </c>
      <c r="O211" s="155" t="inlineStr">
        <is>
          <t>✓</t>
        </is>
      </c>
      <c r="P211" s="156" t="inlineStr">
        <is>
          <t>24.05</t>
        </is>
      </c>
      <c r="Q211" s="154" t="inlineStr">
        <is>
          <t>197-3-К-26, (07.08.2026) [FHM-K]</t>
        </is>
      </c>
      <c r="R211" s="155" t="inlineStr">
        <is>
          <t>✓</t>
        </is>
      </c>
      <c r="S211" s="157" t="inlineStr">
        <is>
          <t>&lt; LOQ</t>
        </is>
      </c>
      <c r="T211" s="154" t="inlineStr">
        <is>
          <t>197-3-К-26, (07.08.2026) [FHM-K]</t>
        </is>
      </c>
      <c r="U211" s="155" t="inlineStr">
        <is>
          <t>✓</t>
        </is>
      </c>
      <c r="V211" s="157" t="inlineStr">
        <is>
          <t>&lt; LOQ</t>
        </is>
      </c>
      <c r="W211" s="154" t="inlineStr">
        <is>
          <t>197-3-К-26, (07.08.2026) [FHM-K]</t>
        </is>
      </c>
      <c r="X211" s="155" t="inlineStr">
        <is>
          <t>✓</t>
        </is>
      </c>
      <c r="Y211" s="151" t="n"/>
      <c r="Z211" s="147" t="n"/>
      <c r="AA211" s="152" t="n"/>
      <c r="AB211" s="158" t="inlineStr">
        <is>
          <t>not on this certificate</t>
        </is>
      </c>
      <c r="AC211" s="159" t="inlineStr">
        <is>
          <t>197-3-К-26, (07.08.2026) [FHM-K] · on file, not credited</t>
        </is>
      </c>
      <c r="AD211" s="160" t="inlineStr">
        <is>
          <t>•</t>
        </is>
      </c>
      <c r="AE211" s="151" t="n"/>
      <c r="AF211" s="147" t="n"/>
      <c r="AG211" s="147" t="n"/>
      <c r="AH211" s="147" t="n"/>
      <c r="AI211" s="147" t="n"/>
      <c r="AJ211" s="152" t="n"/>
      <c r="AK211" s="161" t="inlineStr">
        <is>
          <t>ND</t>
        </is>
      </c>
      <c r="AL211" s="162" t="inlineStr">
        <is>
          <t>ND</t>
        </is>
      </c>
      <c r="AM211" s="162" t="inlineStr">
        <is>
          <t>ND</t>
        </is>
      </c>
      <c r="AN211" s="155" t="inlineStr">
        <is>
          <t>✓</t>
        </is>
      </c>
      <c r="AO211" s="151" t="n"/>
      <c r="AP211" s="147" t="n"/>
      <c r="AQ211" s="147" t="n"/>
      <c r="AR211" s="147" t="n"/>
      <c r="AS211" s="152" t="n"/>
      <c r="AT211" s="151" t="n"/>
      <c r="AU211" s="147" t="n"/>
      <c r="AV211" s="163" t="n"/>
    </row>
    <row r="212" ht="39" customHeight="1" s="70">
      <c r="A212" s="164" t="n"/>
      <c r="B212" s="165" t="n"/>
      <c r="C212" s="165" t="n"/>
      <c r="D212" s="165" t="n"/>
      <c r="E212" s="165" t="n"/>
      <c r="F212" s="165" t="n"/>
      <c r="G212" s="166" t="n"/>
      <c r="H212" s="165" t="n"/>
      <c r="I212" s="167" t="n"/>
      <c r="J212" s="166" t="n"/>
      <c r="K212" s="165" t="n"/>
      <c r="L212" s="167" t="n"/>
      <c r="M212" s="166" t="n"/>
      <c r="N212" s="165" t="n"/>
      <c r="O212" s="167" t="n"/>
      <c r="P212" s="166" t="n"/>
      <c r="Q212" s="165" t="n"/>
      <c r="R212" s="167" t="n"/>
      <c r="S212" s="166" t="n"/>
      <c r="T212" s="165" t="n"/>
      <c r="U212" s="167" t="n"/>
      <c r="V212" s="166" t="n"/>
      <c r="W212" s="165" t="n"/>
      <c r="X212" s="167" t="n"/>
      <c r="Y212" s="166" t="n"/>
      <c r="Z212" s="165" t="n"/>
      <c r="AA212" s="167" t="n"/>
      <c r="AB212" s="166" t="n"/>
      <c r="AC212" s="165" t="n"/>
      <c r="AD212" s="167" t="n"/>
      <c r="AE212" s="166" t="n"/>
      <c r="AF212" s="165" t="n"/>
      <c r="AG212" s="165" t="n"/>
      <c r="AH212" s="165" t="n"/>
      <c r="AI212" s="165" t="n"/>
      <c r="AJ212" s="167" t="n"/>
      <c r="AK212" s="168" t="inlineStr">
        <is>
          <t>197-3-М-26, (10.08.2026) [FHM-M]</t>
        </is>
      </c>
      <c r="AL212" s="165" t="n"/>
      <c r="AM212" s="165" t="n"/>
      <c r="AN212" s="167" t="n"/>
      <c r="AO212" s="166" t="n"/>
      <c r="AP212" s="165" t="n"/>
      <c r="AQ212" s="165" t="n"/>
      <c r="AR212" s="165" t="n"/>
      <c r="AS212" s="167" t="n"/>
      <c r="AT212" s="166" t="n"/>
      <c r="AU212" s="165" t="n"/>
      <c r="AV212" s="169" t="n"/>
    </row>
    <row r="213" ht="21" customHeight="1" s="70">
      <c r="A213" s="125" t="inlineStr">
        <is>
          <t>CJ052501/02</t>
        </is>
      </c>
      <c r="B213" s="126" t="inlineStr">
        <is>
          <t>P050172</t>
        </is>
      </c>
      <c r="C213" s="127" t="inlineStr">
        <is>
          <t>✓ COMPLETE
2 testing instances
• 1 document(s) on file, not credited</t>
        </is>
      </c>
      <c r="D213" s="128" t="inlineStr">
        <is>
          <t>1 of 2</t>
        </is>
      </c>
      <c r="E213" s="129" t="inlineStr">
        <is>
          <t>release testing</t>
        </is>
      </c>
      <c r="F213" s="130" t="inlineStr">
        <is>
          <t>iCoA-PP_26-022
CoQ-PP_26-023 · initial release</t>
        </is>
      </c>
      <c r="G213" s="131" t="inlineStr">
        <is>
          <t>Conforms</t>
        </is>
      </c>
      <c r="H213" s="132">
        <f>IFERROR(INDEX('iCoA Register'!$B:$B,MATCH("P050172|I",'iCoA Register'!$AA:$AA,0)),"iCoA — at issue")&amp;", (01.10.2025) [PP]"</f>
        <v/>
      </c>
      <c r="I213" s="133" t="inlineStr">
        <is>
          <t>✓</t>
        </is>
      </c>
      <c r="J213" s="134" t="inlineStr">
        <is>
          <t>not on this certificate</t>
        </is>
      </c>
      <c r="K213" s="135" t="inlineStr">
        <is>
          <t>ППК25281, (17.09.2025) [CNP] · on file, not credited</t>
        </is>
      </c>
      <c r="L213" s="136" t="inlineStr">
        <is>
          <t>•</t>
        </is>
      </c>
      <c r="M213" s="131" t="inlineStr">
        <is>
          <t>Conforms (ImB spec.)</t>
        </is>
      </c>
      <c r="N213" s="132" t="inlineStr">
        <is>
          <t>ППК25281, (17.09.2025) [CNP]</t>
        </is>
      </c>
      <c r="O213" s="133" t="inlineStr">
        <is>
          <t>✓</t>
        </is>
      </c>
      <c r="P213" s="137" t="inlineStr">
        <is>
          <t>14.93</t>
        </is>
      </c>
      <c r="Q213" s="132" t="inlineStr">
        <is>
          <t>ППК25281, (17.09.2025) [CNP]</t>
        </is>
      </c>
      <c r="R213" s="133" t="inlineStr">
        <is>
          <t>✓</t>
        </is>
      </c>
      <c r="S213" s="138" t="inlineStr">
        <is>
          <t>0.10</t>
        </is>
      </c>
      <c r="T213" s="132" t="inlineStr">
        <is>
          <t>ППК25281, (17.09.2025) [CNP]</t>
        </is>
      </c>
      <c r="U213" s="133" t="inlineStr">
        <is>
          <t>✓</t>
        </is>
      </c>
      <c r="V213" s="138" t="inlineStr">
        <is>
          <t>0.02 ᴰ</t>
        </is>
      </c>
      <c r="W213" s="132" t="inlineStr">
        <is>
          <t>ППК25281, (17.09.2025) [CNP]</t>
        </is>
      </c>
      <c r="X213" s="133" t="inlineStr">
        <is>
          <t>✓</t>
        </is>
      </c>
      <c r="Y213" s="131" t="inlineStr">
        <is>
          <t>Conforms</t>
        </is>
      </c>
      <c r="Z213" s="132">
        <f>IFERROR(INDEX('iCoA Register'!$B:$B,MATCH("P050172|I",'iCoA Register'!$AA:$AA,0)),"iCoA — at issue")&amp;", (01.10.2025) [PP]"</f>
        <v/>
      </c>
      <c r="AA213" s="133" t="inlineStr">
        <is>
          <t>✓</t>
        </is>
      </c>
      <c r="AB213" s="131" t="inlineStr">
        <is>
          <t>6.63</t>
        </is>
      </c>
      <c r="AC213" s="132" t="inlineStr">
        <is>
          <t>ППК25281, (17.09.2025) [CNP]</t>
        </is>
      </c>
      <c r="AD213" s="133" t="inlineStr">
        <is>
          <t>✓</t>
        </is>
      </c>
      <c r="AE213" s="131" t="inlineStr">
        <is>
          <t>9 × 10³</t>
        </is>
      </c>
      <c r="AF213" s="139" t="inlineStr">
        <is>
          <t>6.3 × 10³</t>
        </is>
      </c>
      <c r="AG213" s="139" t="inlineStr">
        <is>
          <t>&lt; 10</t>
        </is>
      </c>
      <c r="AH213" s="139" t="inlineStr">
        <is>
          <t>Absent</t>
        </is>
      </c>
      <c r="AI213" s="139" t="inlineStr">
        <is>
          <t>Absent</t>
        </is>
      </c>
      <c r="AJ213" s="133" t="inlineStr">
        <is>
          <t>✓</t>
        </is>
      </c>
      <c r="AK213" s="131" t="inlineStr">
        <is>
          <t>not reported</t>
        </is>
      </c>
      <c r="AL213" s="139" t="inlineStr">
        <is>
          <t>&lt; 2</t>
        </is>
      </c>
      <c r="AM213" s="139" t="inlineStr">
        <is>
          <t>not reported</t>
        </is>
      </c>
      <c r="AN213" s="133" t="inlineStr">
        <is>
          <t>✓</t>
        </is>
      </c>
      <c r="AO213" s="131" t="inlineStr">
        <is>
          <t>0.02</t>
        </is>
      </c>
      <c r="AP213" s="139" t="inlineStr">
        <is>
          <t>ND</t>
        </is>
      </c>
      <c r="AQ213" s="139" t="inlineStr">
        <is>
          <t>0.042</t>
        </is>
      </c>
      <c r="AR213" s="139" t="inlineStr">
        <is>
          <t>ND</t>
        </is>
      </c>
      <c r="AS213" s="133" t="inlineStr">
        <is>
          <t>✓</t>
        </is>
      </c>
      <c r="AT213" s="131" t="inlineStr">
        <is>
          <t>≤ LOQ (all 29 compounds)</t>
        </is>
      </c>
      <c r="AU213" s="132" t="inlineStr">
        <is>
          <t>4349-2025, (15.09.2025) [IJZ]</t>
        </is>
      </c>
      <c r="AV213" s="140" t="inlineStr">
        <is>
          <t>✓</t>
        </is>
      </c>
    </row>
    <row r="214" ht="21" customHeight="1" s="70">
      <c r="A214" s="141" t="n"/>
      <c r="G214" s="142" t="n"/>
      <c r="I214" s="143" t="n"/>
      <c r="J214" s="142" t="n"/>
      <c r="L214" s="143" t="n"/>
      <c r="M214" s="142" t="n"/>
      <c r="O214" s="143" t="n"/>
      <c r="P214" s="142" t="n"/>
      <c r="R214" s="143" t="n"/>
      <c r="S214" s="142" t="n"/>
      <c r="U214" s="143" t="n"/>
      <c r="V214" s="142" t="n"/>
      <c r="X214" s="143" t="n"/>
      <c r="Y214" s="142" t="n"/>
      <c r="AA214" s="143" t="n"/>
      <c r="AB214" s="142" t="n"/>
      <c r="AD214" s="143" t="n"/>
      <c r="AE214" s="144" t="inlineStr">
        <is>
          <t>947-1685-25, (17.09.2025) [IJZ-MB]</t>
        </is>
      </c>
      <c r="AJ214" s="143" t="n"/>
      <c r="AK214" s="144" t="inlineStr">
        <is>
          <t>4349-2025, (15.09.2025) [IJZ]</t>
        </is>
      </c>
      <c r="AN214" s="143" t="n"/>
      <c r="AO214" s="144" t="inlineStr">
        <is>
          <t>4349-2025, (15.09.2025) [IJZ]</t>
        </is>
      </c>
      <c r="AS214" s="143" t="n"/>
      <c r="AT214" s="142" t="n"/>
      <c r="AV214" s="145" t="n"/>
    </row>
    <row r="215" ht="17.625" customHeight="1" s="70">
      <c r="A215" s="146" t="n"/>
      <c r="B215" s="147" t="n"/>
      <c r="D215" s="148" t="inlineStr">
        <is>
          <t>2 of 2</t>
        </is>
      </c>
      <c r="E215" s="149" t="inlineStr">
        <is>
          <t>release testing + re-analysis 227 + re-test campaign (IJZ-MB)</t>
        </is>
      </c>
      <c r="F215" s="150" t="inlineStr">
        <is>
          <t>iCoA-PP_26-022
CoQ-PP_26-023 · initial release
iCoA-PP_26-178
CoQ-PP_26-140 · retest</t>
        </is>
      </c>
      <c r="G215" s="151" t="n"/>
      <c r="H215" s="147" t="n"/>
      <c r="I215" s="152" t="n"/>
      <c r="J215" s="153" t="inlineStr">
        <is>
          <t>Conforms</t>
        </is>
      </c>
      <c r="K215" s="154">
        <f>IFERROR(INDEX('iCoA Register'!$B:$B,MATCH("P050172|I",'iCoA Register'!$AA:$AA,0)),"iCoA — at issue")&amp;", (01.10.2025) [PP]"</f>
        <v/>
      </c>
      <c r="L215" s="155" t="inlineStr">
        <is>
          <t>✓</t>
        </is>
      </c>
      <c r="M215" s="153" t="inlineStr">
        <is>
          <t>Conforms (ImB spec.)</t>
        </is>
      </c>
      <c r="N215" s="154" t="inlineStr">
        <is>
          <t>227-28-К-26, (11.09.2026) [FHM-K]</t>
        </is>
      </c>
      <c r="O215" s="155" t="inlineStr">
        <is>
          <t>✓</t>
        </is>
      </c>
      <c r="P215" s="156" t="inlineStr">
        <is>
          <t>21.30</t>
        </is>
      </c>
      <c r="Q215" s="154" t="inlineStr">
        <is>
          <t>227-28-К-26, (11.09.2026) [FHM-K]</t>
        </is>
      </c>
      <c r="R215" s="155" t="inlineStr">
        <is>
          <t>✓</t>
        </is>
      </c>
      <c r="S215" s="157" t="inlineStr">
        <is>
          <t>&lt; LOQ</t>
        </is>
      </c>
      <c r="T215" s="154" t="inlineStr">
        <is>
          <t>227-28-К-26, (11.09.2026) [FHM-K]</t>
        </is>
      </c>
      <c r="U215" s="155" t="inlineStr">
        <is>
          <t>✓</t>
        </is>
      </c>
      <c r="V215" s="157" t="inlineStr">
        <is>
          <t>&lt; LOQ</t>
        </is>
      </c>
      <c r="W215" s="154" t="inlineStr">
        <is>
          <t>227-28-К-26, (11.09.2026) [FHM-K]</t>
        </is>
      </c>
      <c r="X215" s="155" t="inlineStr">
        <is>
          <t>✓</t>
        </is>
      </c>
      <c r="Y215" s="151" t="n"/>
      <c r="Z215" s="147" t="n"/>
      <c r="AA215" s="152" t="n"/>
      <c r="AB215" s="151" t="n"/>
      <c r="AC215" s="147" t="n"/>
      <c r="AD215" s="152" t="n"/>
      <c r="AE215" s="161" t="inlineStr">
        <is>
          <t>&lt; 10</t>
        </is>
      </c>
      <c r="AF215" s="162" t="inlineStr">
        <is>
          <t>&lt; 10</t>
        </is>
      </c>
      <c r="AG215" s="162" t="inlineStr">
        <is>
          <t>&lt; 10</t>
        </is>
      </c>
      <c r="AH215" s="162" t="inlineStr">
        <is>
          <t>Absent</t>
        </is>
      </c>
      <c r="AI215" s="162" t="inlineStr">
        <is>
          <t>Absent</t>
        </is>
      </c>
      <c r="AJ215" s="155" t="inlineStr">
        <is>
          <t>✓</t>
        </is>
      </c>
      <c r="AK215" s="151" t="n"/>
      <c r="AL215" s="147" t="n"/>
      <c r="AM215" s="147" t="n"/>
      <c r="AN215" s="152" t="n"/>
      <c r="AO215" s="151" t="n"/>
      <c r="AP215" s="147" t="n"/>
      <c r="AQ215" s="147" t="n"/>
      <c r="AR215" s="147" t="n"/>
      <c r="AS215" s="152" t="n"/>
      <c r="AT215" s="151" t="n"/>
      <c r="AU215" s="147" t="n"/>
      <c r="AV215" s="163" t="n"/>
    </row>
    <row r="216" ht="39" customHeight="1" s="70">
      <c r="A216" s="164" t="n"/>
      <c r="B216" s="165" t="n"/>
      <c r="C216" s="165" t="n"/>
      <c r="D216" s="165" t="n"/>
      <c r="E216" s="165" t="n"/>
      <c r="F216" s="165" t="n"/>
      <c r="G216" s="166" t="n"/>
      <c r="H216" s="165" t="n"/>
      <c r="I216" s="167" t="n"/>
      <c r="J216" s="166" t="n"/>
      <c r="K216" s="165" t="n"/>
      <c r="L216" s="167" t="n"/>
      <c r="M216" s="166" t="n"/>
      <c r="N216" s="165" t="n"/>
      <c r="O216" s="167" t="n"/>
      <c r="P216" s="166" t="n"/>
      <c r="Q216" s="165" t="n"/>
      <c r="R216" s="167" t="n"/>
      <c r="S216" s="166" t="n"/>
      <c r="T216" s="165" t="n"/>
      <c r="U216" s="167" t="n"/>
      <c r="V216" s="166" t="n"/>
      <c r="W216" s="165" t="n"/>
      <c r="X216" s="167" t="n"/>
      <c r="Y216" s="166" t="n"/>
      <c r="Z216" s="165" t="n"/>
      <c r="AA216" s="167" t="n"/>
      <c r="AB216" s="166" t="n"/>
      <c r="AC216" s="165" t="n"/>
      <c r="AD216" s="167" t="n"/>
      <c r="AE216" s="168" t="inlineStr">
        <is>
          <t>558-1089-26, (01.09.2026) [IJZ-MB]</t>
        </is>
      </c>
      <c r="AF216" s="165" t="n"/>
      <c r="AG216" s="165" t="n"/>
      <c r="AH216" s="165" t="n"/>
      <c r="AI216" s="165" t="n"/>
      <c r="AJ216" s="167" t="n"/>
      <c r="AK216" s="166" t="n"/>
      <c r="AL216" s="165" t="n"/>
      <c r="AM216" s="165" t="n"/>
      <c r="AN216" s="167" t="n"/>
      <c r="AO216" s="166" t="n"/>
      <c r="AP216" s="165" t="n"/>
      <c r="AQ216" s="165" t="n"/>
      <c r="AR216" s="165" t="n"/>
      <c r="AS216" s="167" t="n"/>
      <c r="AT216" s="166" t="n"/>
      <c r="AU216" s="165" t="n"/>
      <c r="AV216" s="169" t="n"/>
    </row>
    <row r="217" ht="21" customHeight="1" s="70">
      <c r="A217" s="125" t="inlineStr">
        <is>
          <t>HPA052501</t>
        </is>
      </c>
      <c r="B217" s="126" t="inlineStr">
        <is>
          <t>P050182</t>
        </is>
      </c>
      <c r="C217" s="177" t="inlineStr">
        <is>
          <t>✓ COMPLETE
2 testing instances
• 1 document(s) on file, not credited
✗ OUT OF SPECIFICATION: #9 TYMC</t>
        </is>
      </c>
      <c r="D217" s="128" t="inlineStr">
        <is>
          <t>1 of 2</t>
        </is>
      </c>
      <c r="E217" s="129" t="inlineStr">
        <is>
          <t>release testing</t>
        </is>
      </c>
      <c r="F217" s="130" t="inlineStr">
        <is>
          <t>iCoA-PP_26-023
CoQ-PP_26-024 · initial release</t>
        </is>
      </c>
      <c r="G217" s="131" t="inlineStr">
        <is>
          <t>Conforms</t>
        </is>
      </c>
      <c r="H217" s="132">
        <f>IFERROR(INDEX('iCoA Register'!$B:$B,MATCH("P050182|I",'iCoA Register'!$AA:$AA,0)),"iCoA — at issue")&amp;", (03.10.2025) [PP]"</f>
        <v/>
      </c>
      <c r="I217" s="133" t="inlineStr">
        <is>
          <t>✓</t>
        </is>
      </c>
      <c r="J217" s="134" t="inlineStr">
        <is>
          <t>not on this certificate</t>
        </is>
      </c>
      <c r="K217" s="135" t="inlineStr">
        <is>
          <t>ППК25278, (19.09.2025) [CNP] · on file, not credited</t>
        </is>
      </c>
      <c r="L217" s="136" t="inlineStr">
        <is>
          <t>•</t>
        </is>
      </c>
      <c r="M217" s="131" t="inlineStr">
        <is>
          <t>Conforms (ImB spec.)</t>
        </is>
      </c>
      <c r="N217" s="132" t="inlineStr">
        <is>
          <t>ППК25278, (19.09.2025) [CNP]</t>
        </is>
      </c>
      <c r="O217" s="133" t="inlineStr">
        <is>
          <t>✓</t>
        </is>
      </c>
      <c r="P217" s="137" t="inlineStr">
        <is>
          <t>20.39</t>
        </is>
      </c>
      <c r="Q217" s="132" t="inlineStr">
        <is>
          <t>ППК25278, (19.09.2025) [CNP]</t>
        </is>
      </c>
      <c r="R217" s="133" t="inlineStr">
        <is>
          <t>✓</t>
        </is>
      </c>
      <c r="S217" s="138" t="inlineStr">
        <is>
          <t>0.09</t>
        </is>
      </c>
      <c r="T217" s="132" t="inlineStr">
        <is>
          <t>ППК25278, (19.09.2025) [CNP]</t>
        </is>
      </c>
      <c r="U217" s="133" t="inlineStr">
        <is>
          <t>✓</t>
        </is>
      </c>
      <c r="V217" s="138" t="inlineStr">
        <is>
          <t>0.02 ᴰ</t>
        </is>
      </c>
      <c r="W217" s="132" t="inlineStr">
        <is>
          <t>ППК25278, (19.09.2025) [CNP]</t>
        </is>
      </c>
      <c r="X217" s="133" t="inlineStr">
        <is>
          <t>✓</t>
        </is>
      </c>
      <c r="Y217" s="131" t="inlineStr">
        <is>
          <t>Conforms</t>
        </is>
      </c>
      <c r="Z217" s="132">
        <f>IFERROR(INDEX('iCoA Register'!$B:$B,MATCH("P050182|I",'iCoA Register'!$AA:$AA,0)),"iCoA — at issue")&amp;", (03.10.2025) [PP]"</f>
        <v/>
      </c>
      <c r="AA217" s="133" t="inlineStr">
        <is>
          <t>✓</t>
        </is>
      </c>
      <c r="AB217" s="131" t="inlineStr">
        <is>
          <t>7.29</t>
        </is>
      </c>
      <c r="AC217" s="132" t="inlineStr">
        <is>
          <t>ППК25278, (19.09.2025) [CNP]</t>
        </is>
      </c>
      <c r="AD217" s="133" t="inlineStr">
        <is>
          <t>✓</t>
        </is>
      </c>
      <c r="AE217" s="131" t="inlineStr">
        <is>
          <t>2.7 × 10⁴</t>
        </is>
      </c>
      <c r="AF217" s="235" t="inlineStr">
        <is>
          <t>2.6 × 10⁴</t>
        </is>
      </c>
      <c r="AG217" s="139" t="inlineStr">
        <is>
          <t>&lt; 10</t>
        </is>
      </c>
      <c r="AH217" s="139" t="inlineStr">
        <is>
          <t>Absent</t>
        </is>
      </c>
      <c r="AI217" s="139" t="inlineStr">
        <is>
          <t>Absent</t>
        </is>
      </c>
      <c r="AJ217" s="133" t="inlineStr">
        <is>
          <t>✓</t>
        </is>
      </c>
      <c r="AK217" s="131" t="inlineStr">
        <is>
          <t>not reported</t>
        </is>
      </c>
      <c r="AL217" s="139" t="inlineStr">
        <is>
          <t>&lt; 2</t>
        </is>
      </c>
      <c r="AM217" s="139" t="inlineStr">
        <is>
          <t>not reported</t>
        </is>
      </c>
      <c r="AN217" s="133" t="inlineStr">
        <is>
          <t>✓</t>
        </is>
      </c>
      <c r="AO217" s="131" t="inlineStr">
        <is>
          <t>0.034</t>
        </is>
      </c>
      <c r="AP217" s="139" t="inlineStr">
        <is>
          <t>ND</t>
        </is>
      </c>
      <c r="AQ217" s="139" t="inlineStr">
        <is>
          <t>ND</t>
        </is>
      </c>
      <c r="AR217" s="139" t="inlineStr">
        <is>
          <t>ND</t>
        </is>
      </c>
      <c r="AS217" s="133" t="inlineStr">
        <is>
          <t>✓</t>
        </is>
      </c>
      <c r="AT217" s="131" t="inlineStr">
        <is>
          <t>≤ LOQ (all 24 compounds)</t>
        </is>
      </c>
      <c r="AU217" s="132" t="inlineStr">
        <is>
          <t>4352-2025, (15.09.2025) [IJZ]</t>
        </is>
      </c>
      <c r="AV217" s="140" t="inlineStr">
        <is>
          <t>✓</t>
        </is>
      </c>
    </row>
    <row r="218" ht="21" customHeight="1" s="70">
      <c r="A218" s="141" t="n"/>
      <c r="G218" s="142" t="n"/>
      <c r="I218" s="143" t="n"/>
      <c r="J218" s="142" t="n"/>
      <c r="L218" s="143" t="n"/>
      <c r="M218" s="142" t="n"/>
      <c r="O218" s="143" t="n"/>
      <c r="P218" s="142" t="n"/>
      <c r="R218" s="143" t="n"/>
      <c r="S218" s="142" t="n"/>
      <c r="U218" s="143" t="n"/>
      <c r="V218" s="142" t="n"/>
      <c r="X218" s="143" t="n"/>
      <c r="Y218" s="142" t="n"/>
      <c r="AA218" s="143" t="n"/>
      <c r="AB218" s="142" t="n"/>
      <c r="AD218" s="143" t="n"/>
      <c r="AE218" s="144" t="inlineStr">
        <is>
          <t>948-1686-25, (17.09.2025) [IJZ-MB]</t>
        </is>
      </c>
      <c r="AJ218" s="143" t="n"/>
      <c r="AK218" s="144" t="inlineStr">
        <is>
          <t>4352-2025, (15.09.2025) [IJZ]</t>
        </is>
      </c>
      <c r="AN218" s="143" t="n"/>
      <c r="AO218" s="144" t="inlineStr">
        <is>
          <t>4352-2025, (15.09.2025) [IJZ]</t>
        </is>
      </c>
      <c r="AS218" s="143" t="n"/>
      <c r="AT218" s="142" t="n"/>
      <c r="AV218" s="145" t="n"/>
    </row>
    <row r="219" ht="17.625" customHeight="1" s="70">
      <c r="A219" s="146" t="n"/>
      <c r="B219" s="147" t="n"/>
      <c r="D219" s="148" t="inlineStr">
        <is>
          <t>2 of 2</t>
        </is>
      </c>
      <c r="E219" s="149" t="inlineStr">
        <is>
          <t>release testing + re-analysis 220</t>
        </is>
      </c>
      <c r="F219" s="150" t="inlineStr">
        <is>
          <t>iCoA-PP_26-023
CoQ-PP_26-024 · initial release
iCoA-PP_26-137
CoQ-PP_26-121 · retest</t>
        </is>
      </c>
      <c r="G219" s="151" t="n"/>
      <c r="H219" s="147" t="n"/>
      <c r="I219" s="152" t="n"/>
      <c r="J219" s="153" t="inlineStr">
        <is>
          <t>Conforms</t>
        </is>
      </c>
      <c r="K219" s="154">
        <f>IFERROR(INDEX('iCoA Register'!$B:$B,MATCH("P050182|I",'iCoA Register'!$AA:$AA,0)),"iCoA — at issue")&amp;", (03.10.2025) [PP]"</f>
        <v/>
      </c>
      <c r="L219" s="155" t="inlineStr">
        <is>
          <t>✓</t>
        </is>
      </c>
      <c r="M219" s="153" t="inlineStr">
        <is>
          <t>Conforms (ImB spec.)</t>
        </is>
      </c>
      <c r="N219" s="154" t="inlineStr">
        <is>
          <t>220-15-К-26, (25.08.2026) [FHM-K]</t>
        </is>
      </c>
      <c r="O219" s="155" t="inlineStr">
        <is>
          <t>✓</t>
        </is>
      </c>
      <c r="P219" s="156" t="inlineStr">
        <is>
          <t>19.69</t>
        </is>
      </c>
      <c r="Q219" s="154" t="inlineStr">
        <is>
          <t>220-15-К-26, (25.08.2026) [FHM-K]</t>
        </is>
      </c>
      <c r="R219" s="155" t="inlineStr">
        <is>
          <t>✓</t>
        </is>
      </c>
      <c r="S219" s="157" t="inlineStr">
        <is>
          <t>&lt; LOQ</t>
        </is>
      </c>
      <c r="T219" s="154" t="inlineStr">
        <is>
          <t>220-15-К-26, (25.08.2026) [FHM-K]</t>
        </is>
      </c>
      <c r="U219" s="155" t="inlineStr">
        <is>
          <t>✓</t>
        </is>
      </c>
      <c r="V219" s="157" t="inlineStr">
        <is>
          <t>&lt; LOQ</t>
        </is>
      </c>
      <c r="W219" s="154" t="inlineStr">
        <is>
          <t>220-15-К-26, (25.08.2026) [FHM-K]</t>
        </is>
      </c>
      <c r="X219" s="155" t="inlineStr">
        <is>
          <t>✓</t>
        </is>
      </c>
      <c r="Y219" s="151" t="n"/>
      <c r="Z219" s="147" t="n"/>
      <c r="AA219" s="152" t="n"/>
      <c r="AB219" s="151" t="n"/>
      <c r="AC219" s="147" t="n"/>
      <c r="AD219" s="152" t="n"/>
      <c r="AE219" s="151" t="n"/>
      <c r="AF219" s="147" t="n"/>
      <c r="AG219" s="147" t="n"/>
      <c r="AH219" s="147" t="n"/>
      <c r="AI219" s="147" t="n"/>
      <c r="AJ219" s="152" t="n"/>
      <c r="AK219" s="161" t="inlineStr">
        <is>
          <t>ND</t>
        </is>
      </c>
      <c r="AL219" s="162" t="inlineStr">
        <is>
          <t>ND</t>
        </is>
      </c>
      <c r="AM219" s="162" t="inlineStr">
        <is>
          <t>ND</t>
        </is>
      </c>
      <c r="AN219" s="155" t="inlineStr">
        <is>
          <t>✓</t>
        </is>
      </c>
      <c r="AO219" s="151" t="n"/>
      <c r="AP219" s="147" t="n"/>
      <c r="AQ219" s="147" t="n"/>
      <c r="AR219" s="147" t="n"/>
      <c r="AS219" s="152" t="n"/>
      <c r="AT219" s="151" t="n"/>
      <c r="AU219" s="147" t="n"/>
      <c r="AV219" s="163" t="n"/>
    </row>
    <row r="220" ht="39" customHeight="1" s="70">
      <c r="A220" s="164" t="n"/>
      <c r="B220" s="165" t="n"/>
      <c r="C220" s="165" t="n"/>
      <c r="D220" s="165" t="n"/>
      <c r="E220" s="165" t="n"/>
      <c r="F220" s="165" t="n"/>
      <c r="G220" s="166" t="n"/>
      <c r="H220" s="165" t="n"/>
      <c r="I220" s="167" t="n"/>
      <c r="J220" s="166" t="n"/>
      <c r="K220" s="165" t="n"/>
      <c r="L220" s="167" t="n"/>
      <c r="M220" s="166" t="n"/>
      <c r="N220" s="165" t="n"/>
      <c r="O220" s="167" t="n"/>
      <c r="P220" s="166" t="n"/>
      <c r="Q220" s="165" t="n"/>
      <c r="R220" s="167" t="n"/>
      <c r="S220" s="166" t="n"/>
      <c r="T220" s="165" t="n"/>
      <c r="U220" s="167" t="n"/>
      <c r="V220" s="166" t="n"/>
      <c r="W220" s="165" t="n"/>
      <c r="X220" s="167" t="n"/>
      <c r="Y220" s="166" t="n"/>
      <c r="Z220" s="165" t="n"/>
      <c r="AA220" s="167" t="n"/>
      <c r="AB220" s="166" t="n"/>
      <c r="AC220" s="165" t="n"/>
      <c r="AD220" s="167" t="n"/>
      <c r="AE220" s="166" t="n"/>
      <c r="AF220" s="165" t="n"/>
      <c r="AG220" s="165" t="n"/>
      <c r="AH220" s="165" t="n"/>
      <c r="AI220" s="165" t="n"/>
      <c r="AJ220" s="167" t="n"/>
      <c r="AK220" s="168" t="inlineStr">
        <is>
          <t>220-15-М-26, (11.09.2026) [FHM-M]</t>
        </is>
      </c>
      <c r="AL220" s="165" t="n"/>
      <c r="AM220" s="165" t="n"/>
      <c r="AN220" s="167" t="n"/>
      <c r="AO220" s="166" t="n"/>
      <c r="AP220" s="165" t="n"/>
      <c r="AQ220" s="165" t="n"/>
      <c r="AR220" s="165" t="n"/>
      <c r="AS220" s="167" t="n"/>
      <c r="AT220" s="166" t="n"/>
      <c r="AU220" s="165" t="n"/>
      <c r="AV220" s="169" t="n"/>
    </row>
    <row r="221" ht="30" customHeight="1" s="70">
      <c r="A221" s="125" t="inlineStr">
        <is>
          <t>BSS052501</t>
        </is>
      </c>
      <c r="B221" s="126" t="inlineStr">
        <is>
          <t>P050192</t>
        </is>
      </c>
      <c r="C221" s="170" t="inlineStr">
        <is>
          <t>⚠ 1 NO RESULT
(0 no cert / 1 cert w/o result)
3 testing instances
• 1 document(s) on file, not credited</t>
        </is>
      </c>
      <c r="D221" s="128" t="inlineStr">
        <is>
          <t>1 of 3</t>
        </is>
      </c>
      <c r="E221" s="129" t="inlineStr">
        <is>
          <t>release testing</t>
        </is>
      </c>
      <c r="F221" s="130" t="inlineStr">
        <is>
          <t>iCoA-PP_26-024
CoQ-PP_26-025 · initial release</t>
        </is>
      </c>
      <c r="G221" s="131" t="inlineStr">
        <is>
          <t>Conforms</t>
        </is>
      </c>
      <c r="H221" s="132">
        <f>IFERROR(INDEX('iCoA Register'!$B:$B,MATCH("P050192|I",'iCoA Register'!$AA:$AA,0)),"iCoA — at issue")&amp;", (10.10.2025) [PP]"</f>
        <v/>
      </c>
      <c r="I221" s="133" t="inlineStr">
        <is>
          <t>✓</t>
        </is>
      </c>
      <c r="J221" s="131" t="inlineStr">
        <is>
          <t>Conforms</t>
        </is>
      </c>
      <c r="K221" s="132">
        <f>IFERROR(INDEX('iCoA Register'!$B:$B,MATCH("P050192|I",'iCoA Register'!$AA:$AA,0)),"iCoA — at issue")&amp;", (10.10.2025) [PP]"</f>
        <v/>
      </c>
      <c r="L221" s="133" t="inlineStr">
        <is>
          <t>✓</t>
        </is>
      </c>
      <c r="M221" s="131" t="inlineStr">
        <is>
          <t>Conforms (ImB spec.)</t>
        </is>
      </c>
      <c r="N221" s="132" t="inlineStr">
        <is>
          <t>NGP-QCG-SOP-024 F3, (28.11.2025) [NGP]</t>
        </is>
      </c>
      <c r="O221" s="133" t="inlineStr">
        <is>
          <t>✓</t>
        </is>
      </c>
      <c r="P221" s="191" t="inlineStr">
        <is>
          <t>20.39 ᴿ</t>
        </is>
      </c>
      <c r="Q221" s="135">
        <f>IFERROR(INDEX('iCoA Register'!$B:$B,MATCH("P050192|I",'iCoA Register'!$AA:$AA,0)),"iCoA — at issue")&amp;", (10.10.2025) [PP] · on file, not credited"</f>
        <v/>
      </c>
      <c r="R221" s="136" t="inlineStr">
        <is>
          <t>•</t>
        </is>
      </c>
      <c r="S221" s="192" t="inlineStr">
        <is>
          <t>0.11 ᴿ</t>
        </is>
      </c>
      <c r="T221" s="135">
        <f>IFERROR(INDEX('iCoA Register'!$B:$B,MATCH("P050192|I",'iCoA Register'!$AA:$AA,0)),"iCoA — at issue")&amp;", (10.10.2025) [PP] · on file, not credited"</f>
        <v/>
      </c>
      <c r="U221" s="136" t="inlineStr">
        <is>
          <t>•</t>
        </is>
      </c>
      <c r="V221" s="225" t="inlineStr">
        <is>
          <t>held for review</t>
        </is>
      </c>
      <c r="W221" s="226" t="inlineStr">
        <is>
          <t>NGP-QCG-SOP-024 F3, (28.11.2025) [NGP]</t>
        </is>
      </c>
      <c r="X221" s="218" t="inlineStr">
        <is>
          <t>✗</t>
        </is>
      </c>
      <c r="Y221" s="131" t="inlineStr">
        <is>
          <t>Conforms</t>
        </is>
      </c>
      <c r="Z221" s="132">
        <f>IFERROR(INDEX('iCoA Register'!$B:$B,MATCH("P050192|I",'iCoA Register'!$AA:$AA,0)),"iCoA — at issue")&amp;", (10.10.2025) [PP]"</f>
        <v/>
      </c>
      <c r="AA221" s="133" t="inlineStr">
        <is>
          <t>✓</t>
        </is>
      </c>
      <c r="AB221" s="134" t="inlineStr">
        <is>
          <t>8.60 ᴿ</t>
        </is>
      </c>
      <c r="AC221" s="135">
        <f>IFERROR(INDEX('iCoA Register'!$B:$B,MATCH("P050192|I",'iCoA Register'!$AA:$AA,0)),"iCoA — at issue")&amp;", (10.10.2025) [PP] · on file, not credited"</f>
        <v/>
      </c>
      <c r="AD221" s="136" t="inlineStr">
        <is>
          <t>•</t>
        </is>
      </c>
      <c r="AE221" s="131" t="inlineStr">
        <is>
          <t>200</t>
        </is>
      </c>
      <c r="AF221" s="139" t="inlineStr">
        <is>
          <t>200</t>
        </is>
      </c>
      <c r="AG221" s="139" t="inlineStr">
        <is>
          <t>&lt; 10² &gt; 10</t>
        </is>
      </c>
      <c r="AH221" s="139" t="inlineStr">
        <is>
          <t>Absent</t>
        </is>
      </c>
      <c r="AI221" s="139" t="inlineStr">
        <is>
          <t>Absent</t>
        </is>
      </c>
      <c r="AJ221" s="133" t="inlineStr">
        <is>
          <t>✓</t>
        </is>
      </c>
      <c r="AK221" s="216" t="inlineStr">
        <is>
          <t>not on this certificate</t>
        </is>
      </c>
      <c r="AL221" s="217" t="inlineStr"/>
      <c r="AM221" s="217" t="inlineStr"/>
      <c r="AN221" s="218" t="inlineStr">
        <is>
          <t>✗</t>
        </is>
      </c>
      <c r="AO221" s="131" t="inlineStr">
        <is>
          <t>0.024</t>
        </is>
      </c>
      <c r="AP221" s="139" t="inlineStr">
        <is>
          <t>0.004</t>
        </is>
      </c>
      <c r="AQ221" s="139" t="inlineStr">
        <is>
          <t>0.025</t>
        </is>
      </c>
      <c r="AR221" s="139" t="inlineStr">
        <is>
          <t>0.0036</t>
        </is>
      </c>
      <c r="AS221" s="133" t="inlineStr">
        <is>
          <t>✓</t>
        </is>
      </c>
      <c r="AT221" s="131" t="inlineStr">
        <is>
          <t>&lt; LOQ</t>
        </is>
      </c>
      <c r="AU221" s="132" t="inlineStr">
        <is>
          <t>10802_2845-2 EN, (17.11.2025) [DFL]</t>
        </is>
      </c>
      <c r="AV221" s="140" t="inlineStr">
        <is>
          <t>✓</t>
        </is>
      </c>
    </row>
    <row r="222" ht="21" customHeight="1" s="70">
      <c r="A222" s="141" t="n"/>
      <c r="G222" s="142" t="n"/>
      <c r="I222" s="143" t="n"/>
      <c r="J222" s="142" t="n"/>
      <c r="L222" s="143" t="n"/>
      <c r="M222" s="142" t="n"/>
      <c r="O222" s="143" t="n"/>
      <c r="P222" s="142" t="n"/>
      <c r="R222" s="143" t="n"/>
      <c r="S222" s="142" t="n"/>
      <c r="U222" s="143" t="n"/>
      <c r="V222" s="142" t="n"/>
      <c r="X222" s="143" t="n"/>
      <c r="Y222" s="142" t="n"/>
      <c r="AA222" s="143" t="n"/>
      <c r="AB222" s="142" t="n"/>
      <c r="AD222" s="143" t="n"/>
      <c r="AE222" s="144" t="inlineStr">
        <is>
          <t>1157-2058-25, (24.11.2025) [IJZ-MB]</t>
        </is>
      </c>
      <c r="AJ222" s="143" t="n"/>
      <c r="AK222" s="219" t="inlineStr">
        <is>
          <t>5661-2025, (01.12.2025) [IJZ]</t>
        </is>
      </c>
      <c r="AN222" s="143" t="n"/>
      <c r="AO222" s="144" t="inlineStr">
        <is>
          <t>5661-2025, (01.12.2025) [IJZ]</t>
        </is>
      </c>
      <c r="AS222" s="143" t="n"/>
      <c r="AT222" s="142" t="n"/>
      <c r="AV222" s="145" t="n"/>
    </row>
    <row r="223" ht="21" customHeight="1" s="70">
      <c r="A223" s="146" t="n"/>
      <c r="B223" s="147" t="n"/>
      <c r="D223" s="193" t="inlineStr">
        <is>
          <t>2 of 3</t>
        </is>
      </c>
      <c r="E223" s="194" t="inlineStr">
        <is>
          <t>re-analysis 220 + release testing + re-test campaign (IJZ-MB)</t>
        </is>
      </c>
      <c r="F223" s="195" t="inlineStr">
        <is>
          <t>iCoA-PP_26-024
CoQ-PP_26-025 · initial release
iCoA-PP_26-124
CoQ-PP_26-107 · retest</t>
        </is>
      </c>
      <c r="G223" s="151" t="n"/>
      <c r="H223" s="147" t="n"/>
      <c r="I223" s="152" t="n"/>
      <c r="J223" s="151" t="n"/>
      <c r="K223" s="147" t="n"/>
      <c r="L223" s="152" t="n"/>
      <c r="M223" s="161" t="inlineStr">
        <is>
          <t>Conforms (ImB spec.)</t>
        </is>
      </c>
      <c r="N223" s="196" t="inlineStr">
        <is>
          <t>220-2-К-26, (25.08.2026) [FHM-K]</t>
        </is>
      </c>
      <c r="O223" s="197" t="inlineStr">
        <is>
          <t>✓</t>
        </is>
      </c>
      <c r="P223" s="198" t="inlineStr">
        <is>
          <t>20.39</t>
        </is>
      </c>
      <c r="Q223" s="196" t="inlineStr">
        <is>
          <t>NGP-QCG-SOP-024 F3, (28.11.2025) [NGP]</t>
        </is>
      </c>
      <c r="R223" s="197" t="inlineStr">
        <is>
          <t>✓</t>
        </is>
      </c>
      <c r="S223" s="199" t="inlineStr">
        <is>
          <t>0.11</t>
        </is>
      </c>
      <c r="T223" s="196" t="inlineStr">
        <is>
          <t>NGP-QCG-SOP-024 F3, (28.11.2025) [NGP]</t>
        </is>
      </c>
      <c r="U223" s="197" t="inlineStr">
        <is>
          <t>✓</t>
        </is>
      </c>
      <c r="V223" s="199" t="inlineStr">
        <is>
          <t>&lt; LOQ</t>
        </is>
      </c>
      <c r="W223" s="196" t="inlineStr">
        <is>
          <t>220-2-К-26, (25.08.2026) [FHM-K]</t>
        </is>
      </c>
      <c r="X223" s="197" t="inlineStr">
        <is>
          <t>✓</t>
        </is>
      </c>
      <c r="Y223" s="151" t="n"/>
      <c r="Z223" s="147" t="n"/>
      <c r="AA223" s="152" t="n"/>
      <c r="AB223" s="211" t="inlineStr">
        <is>
          <t>not on this certificate</t>
        </is>
      </c>
      <c r="AC223" s="212" t="inlineStr">
        <is>
          <t>NGP-QCG-SOP-024 F3, (28.11.2025) [NGP]</t>
        </is>
      </c>
      <c r="AD223" s="213" t="inlineStr">
        <is>
          <t>✗</t>
        </is>
      </c>
      <c r="AE223" s="161" t="inlineStr">
        <is>
          <t>5.4 × 10²</t>
        </is>
      </c>
      <c r="AF223" s="162" t="inlineStr">
        <is>
          <t>3.7 × 10²</t>
        </is>
      </c>
      <c r="AG223" s="162" t="inlineStr">
        <is>
          <t>&lt; 10</t>
        </is>
      </c>
      <c r="AH223" s="162" t="inlineStr">
        <is>
          <t>Absent</t>
        </is>
      </c>
      <c r="AI223" s="162" t="inlineStr">
        <is>
          <t>Absent</t>
        </is>
      </c>
      <c r="AJ223" s="197" t="inlineStr">
        <is>
          <t>✓</t>
        </is>
      </c>
      <c r="AK223" s="161" t="inlineStr">
        <is>
          <t>ND *</t>
        </is>
      </c>
      <c r="AL223" s="162" t="inlineStr">
        <is>
          <t>not reported</t>
        </is>
      </c>
      <c r="AM223" s="162" t="inlineStr">
        <is>
          <t>&lt; LOQ **</t>
        </is>
      </c>
      <c r="AN223" s="197" t="inlineStr">
        <is>
          <t>✓</t>
        </is>
      </c>
      <c r="AO223" s="151" t="n"/>
      <c r="AP223" s="147" t="n"/>
      <c r="AQ223" s="147" t="n"/>
      <c r="AR223" s="147" t="n"/>
      <c r="AS223" s="152" t="n"/>
      <c r="AT223" s="161" t="inlineStr">
        <is>
          <t>&lt; LOQ</t>
        </is>
      </c>
      <c r="AU223" s="196" t="inlineStr">
        <is>
          <t>10802_2845-2 MK, (17.11.2025) [DFL]</t>
        </is>
      </c>
      <c r="AV223" s="220" t="inlineStr">
        <is>
          <t>✓</t>
        </is>
      </c>
    </row>
    <row r="224" ht="39" customHeight="1" s="70">
      <c r="A224" s="203" t="n"/>
      <c r="B224" s="204" t="n"/>
      <c r="D224" s="204" t="n"/>
      <c r="E224" s="204" t="n"/>
      <c r="F224" s="204" t="n"/>
      <c r="G224" s="205" t="n"/>
      <c r="H224" s="204" t="n"/>
      <c r="I224" s="206" t="n"/>
      <c r="J224" s="205" t="n"/>
      <c r="K224" s="204" t="n"/>
      <c r="L224" s="206" t="n"/>
      <c r="M224" s="205" t="n"/>
      <c r="N224" s="204" t="n"/>
      <c r="O224" s="206" t="n"/>
      <c r="P224" s="205" t="n"/>
      <c r="Q224" s="204" t="n"/>
      <c r="R224" s="206" t="n"/>
      <c r="S224" s="205" t="n"/>
      <c r="T224" s="204" t="n"/>
      <c r="U224" s="206" t="n"/>
      <c r="V224" s="205" t="n"/>
      <c r="W224" s="204" t="n"/>
      <c r="X224" s="206" t="n"/>
      <c r="Y224" s="205" t="n"/>
      <c r="Z224" s="204" t="n"/>
      <c r="AA224" s="206" t="n"/>
      <c r="AB224" s="205" t="n"/>
      <c r="AC224" s="204" t="n"/>
      <c r="AD224" s="206" t="n"/>
      <c r="AE224" s="221" t="inlineStr">
        <is>
          <t>548-1079-26, (31.08.2026) [IJZ-MB]</t>
        </is>
      </c>
      <c r="AF224" s="204" t="n"/>
      <c r="AG224" s="204" t="n"/>
      <c r="AH224" s="204" t="n"/>
      <c r="AI224" s="204" t="n"/>
      <c r="AJ224" s="206" t="n"/>
      <c r="AK224" s="221" t="inlineStr">
        <is>
          <t>276-31-М-25, (04.12.2025) [FHM-M]</t>
        </is>
      </c>
      <c r="AL224" s="204" t="n"/>
      <c r="AM224" s="204" t="n"/>
      <c r="AN224" s="206" t="n"/>
      <c r="AO224" s="205" t="n"/>
      <c r="AP224" s="204" t="n"/>
      <c r="AQ224" s="204" t="n"/>
      <c r="AR224" s="204" t="n"/>
      <c r="AS224" s="206" t="n"/>
      <c r="AT224" s="205" t="n"/>
      <c r="AU224" s="204" t="n"/>
      <c r="AV224" s="207" t="n"/>
    </row>
    <row r="225" ht="17.625" customHeight="1" s="70">
      <c r="A225" s="146" t="n"/>
      <c r="B225" s="147" t="n"/>
      <c r="D225" s="148" t="inlineStr">
        <is>
          <t>3 of 3</t>
        </is>
      </c>
      <c r="E225" s="149" t="inlineStr">
        <is>
          <t>re-analysis 220 + release testing</t>
        </is>
      </c>
      <c r="F225" s="150" t="inlineStr">
        <is>
          <t>iCoA-PP_26-024
CoQ-PP_26-025 · initial release
iCoA-PP_26-124
CoQ-PP_26-107 · retest</t>
        </is>
      </c>
      <c r="G225" s="151" t="n"/>
      <c r="H225" s="147" t="n"/>
      <c r="I225" s="152" t="n"/>
      <c r="J225" s="151" t="n"/>
      <c r="K225" s="147" t="n"/>
      <c r="L225" s="152" t="n"/>
      <c r="M225" s="151" t="n"/>
      <c r="N225" s="147" t="n"/>
      <c r="O225" s="152" t="n"/>
      <c r="P225" s="156" t="inlineStr">
        <is>
          <t>20.52</t>
        </is>
      </c>
      <c r="Q225" s="154" t="inlineStr">
        <is>
          <t>220-2-К-26, (25.08.2026) [FHM-K]</t>
        </is>
      </c>
      <c r="R225" s="155" t="inlineStr">
        <is>
          <t>✓</t>
        </is>
      </c>
      <c r="S225" s="157" t="inlineStr">
        <is>
          <t>&lt; LOQ</t>
        </is>
      </c>
      <c r="T225" s="154" t="inlineStr">
        <is>
          <t>220-2-К-26, (25.08.2026) [FHM-K]</t>
        </is>
      </c>
      <c r="U225" s="155" t="inlineStr">
        <is>
          <t>✓</t>
        </is>
      </c>
      <c r="V225" s="151" t="n"/>
      <c r="W225" s="147" t="n"/>
      <c r="X225" s="152" t="n"/>
      <c r="Y225" s="151" t="n"/>
      <c r="Z225" s="147" t="n"/>
      <c r="AA225" s="152" t="n"/>
      <c r="AB225" s="151" t="n"/>
      <c r="AC225" s="147" t="n"/>
      <c r="AD225" s="152" t="n"/>
      <c r="AE225" s="151" t="n"/>
      <c r="AF225" s="147" t="n"/>
      <c r="AG225" s="147" t="n"/>
      <c r="AH225" s="147" t="n"/>
      <c r="AI225" s="147" t="n"/>
      <c r="AJ225" s="152" t="n"/>
      <c r="AK225" s="161" t="inlineStr">
        <is>
          <t>ND</t>
        </is>
      </c>
      <c r="AL225" s="162" t="inlineStr">
        <is>
          <t>ND</t>
        </is>
      </c>
      <c r="AM225" s="162" t="inlineStr">
        <is>
          <t>ND</t>
        </is>
      </c>
      <c r="AN225" s="155" t="inlineStr">
        <is>
          <t>✓</t>
        </is>
      </c>
      <c r="AO225" s="151" t="n"/>
      <c r="AP225" s="147" t="n"/>
      <c r="AQ225" s="147" t="n"/>
      <c r="AR225" s="147" t="n"/>
      <c r="AS225" s="152" t="n"/>
      <c r="AT225" s="236" t="inlineStr">
        <is>
          <t>not on this certificate</t>
        </is>
      </c>
      <c r="AU225" s="237" t="inlineStr">
        <is>
          <t>5661-2025, (01.12.2025) [IJZ]</t>
        </is>
      </c>
      <c r="AV225" s="238" t="inlineStr">
        <is>
          <t>✗</t>
        </is>
      </c>
    </row>
    <row r="226" ht="39" customHeight="1" s="70">
      <c r="A226" s="164" t="n"/>
      <c r="B226" s="165" t="n"/>
      <c r="C226" s="165" t="n"/>
      <c r="D226" s="165" t="n"/>
      <c r="E226" s="165" t="n"/>
      <c r="F226" s="165" t="n"/>
      <c r="G226" s="166" t="n"/>
      <c r="H226" s="165" t="n"/>
      <c r="I226" s="167" t="n"/>
      <c r="J226" s="166" t="n"/>
      <c r="K226" s="165" t="n"/>
      <c r="L226" s="167" t="n"/>
      <c r="M226" s="166" t="n"/>
      <c r="N226" s="165" t="n"/>
      <c r="O226" s="167" t="n"/>
      <c r="P226" s="166" t="n"/>
      <c r="Q226" s="165" t="n"/>
      <c r="R226" s="167" t="n"/>
      <c r="S226" s="166" t="n"/>
      <c r="T226" s="165" t="n"/>
      <c r="U226" s="167" t="n"/>
      <c r="V226" s="166" t="n"/>
      <c r="W226" s="165" t="n"/>
      <c r="X226" s="167" t="n"/>
      <c r="Y226" s="166" t="n"/>
      <c r="Z226" s="165" t="n"/>
      <c r="AA226" s="167" t="n"/>
      <c r="AB226" s="166" t="n"/>
      <c r="AC226" s="165" t="n"/>
      <c r="AD226" s="167" t="n"/>
      <c r="AE226" s="166" t="n"/>
      <c r="AF226" s="165" t="n"/>
      <c r="AG226" s="165" t="n"/>
      <c r="AH226" s="165" t="n"/>
      <c r="AI226" s="165" t="n"/>
      <c r="AJ226" s="167" t="n"/>
      <c r="AK226" s="168" t="inlineStr">
        <is>
          <t>220-2-М-26, (11.09.2026) [FHM-M]</t>
        </is>
      </c>
      <c r="AL226" s="165" t="n"/>
      <c r="AM226" s="165" t="n"/>
      <c r="AN226" s="167" t="n"/>
      <c r="AO226" s="166" t="n"/>
      <c r="AP226" s="165" t="n"/>
      <c r="AQ226" s="165" t="n"/>
      <c r="AR226" s="165" t="n"/>
      <c r="AS226" s="167" t="n"/>
      <c r="AT226" s="166" t="n"/>
      <c r="AU226" s="165" t="n"/>
      <c r="AV226" s="169" t="n"/>
    </row>
    <row r="227" ht="21" customHeight="1" s="70">
      <c r="A227" s="125" t="inlineStr">
        <is>
          <t>GP062501</t>
        </is>
      </c>
      <c r="B227" s="126" t="inlineStr">
        <is>
          <t>P050202</t>
        </is>
      </c>
      <c r="C227" s="127" t="inlineStr">
        <is>
          <t>✓ COMPLETE
7 testing instances
• 5 document(s) on file, not credited
· stability above A.C.: #6</t>
        </is>
      </c>
      <c r="D227" s="128" t="inlineStr">
        <is>
          <t>1 of 7</t>
        </is>
      </c>
      <c r="E227" s="129" t="inlineStr">
        <is>
          <t>release testing</t>
        </is>
      </c>
      <c r="F227" s="130" t="inlineStr">
        <is>
          <t>iCoA-PP_26-025
CoQ-PP_26-026 · initial release</t>
        </is>
      </c>
      <c r="G227" s="131" t="inlineStr">
        <is>
          <t>Conforms</t>
        </is>
      </c>
      <c r="H227" s="132">
        <f>IFERROR(INDEX('iCoA Register'!$B:$B,MATCH("P050202|I",'iCoA Register'!$AA:$AA,0)),"iCoA — at issue")&amp;", (30.10.2025) [PP]"</f>
        <v/>
      </c>
      <c r="I227" s="133" t="inlineStr">
        <is>
          <t>✓</t>
        </is>
      </c>
      <c r="J227" s="131" t="inlineStr">
        <is>
          <t>Conforms</t>
        </is>
      </c>
      <c r="K227" s="132">
        <f>IFERROR(INDEX('iCoA Register'!$B:$B,MATCH("P050202|I",'iCoA Register'!$AA:$AA,0)),"iCoA — at issue")&amp;", (30.10.2025) [PP]"</f>
        <v/>
      </c>
      <c r="L227" s="133" t="inlineStr">
        <is>
          <t>✓</t>
        </is>
      </c>
      <c r="M227" s="131" t="inlineStr">
        <is>
          <t>Conforms (ImB spec.)</t>
        </is>
      </c>
      <c r="N227" s="132" t="inlineStr">
        <is>
          <t>NGP-QCG-SOP-024 F3, (28.11.2025) [NGP]</t>
        </is>
      </c>
      <c r="O227" s="133" t="inlineStr">
        <is>
          <t>✓</t>
        </is>
      </c>
      <c r="P227" s="191" t="inlineStr">
        <is>
          <t>24.89 ᴿ</t>
        </is>
      </c>
      <c r="Q227" s="135">
        <f>IFERROR(INDEX('iCoA Register'!$B:$B,MATCH("P050202|I",'iCoA Register'!$AA:$AA,0)),"iCoA — at issue")&amp;", (30.10.2025) [PP] · on file, not credited"</f>
        <v/>
      </c>
      <c r="R227" s="136" t="inlineStr">
        <is>
          <t>•</t>
        </is>
      </c>
      <c r="S227" s="192" t="inlineStr">
        <is>
          <t>0.17 ᴿ</t>
        </is>
      </c>
      <c r="T227" s="135">
        <f>IFERROR(INDEX('iCoA Register'!$B:$B,MATCH("P050202|I",'iCoA Register'!$AA:$AA,0)),"iCoA — at issue")&amp;", (30.10.2025) [PP] · on file, not credited"</f>
        <v/>
      </c>
      <c r="U227" s="136" t="inlineStr">
        <is>
          <t>•</t>
        </is>
      </c>
      <c r="V227" s="225" t="inlineStr">
        <is>
          <t>held for review</t>
        </is>
      </c>
      <c r="W227" s="226" t="inlineStr">
        <is>
          <t>NGP-QCG-SOP-024 F3, (28.11.2025) [NGP]</t>
        </is>
      </c>
      <c r="X227" s="218" t="inlineStr">
        <is>
          <t>✗</t>
        </is>
      </c>
      <c r="Y227" s="131" t="inlineStr">
        <is>
          <t>Conforms</t>
        </is>
      </c>
      <c r="Z227" s="132">
        <f>IFERROR(INDEX('iCoA Register'!$B:$B,MATCH("P050202|I",'iCoA Register'!$AA:$AA,0)),"iCoA — at issue")&amp;", (30.10.2025) [PP]"</f>
        <v/>
      </c>
      <c r="AA227" s="133" t="inlineStr">
        <is>
          <t>✓</t>
        </is>
      </c>
      <c r="AB227" s="134" t="inlineStr">
        <is>
          <t>8.19 (avg of 4 weighings 51-1,51-2,52-1,52-2) ᴿ</t>
        </is>
      </c>
      <c r="AC227" s="135">
        <f>IFERROR(INDEX('iCoA Register'!$B:$B,MATCH("P050202|I",'iCoA Register'!$AA:$AA,0)),"iCoA — at issue")&amp;", (30.10.2025) [PP] · on file, not credited"</f>
        <v/>
      </c>
      <c r="AD227" s="136" t="inlineStr">
        <is>
          <t>•</t>
        </is>
      </c>
      <c r="AE227" s="131" t="inlineStr">
        <is>
          <t>1.3 × 10⁴</t>
        </is>
      </c>
      <c r="AF227" s="139" t="inlineStr">
        <is>
          <t>4.2 × 10³</t>
        </is>
      </c>
      <c r="AG227" s="139" t="inlineStr">
        <is>
          <t>&lt; 10³ and &gt; 10² ᴿ</t>
        </is>
      </c>
      <c r="AH227" s="139" t="inlineStr">
        <is>
          <t>Absent</t>
        </is>
      </c>
      <c r="AI227" s="139" t="inlineStr">
        <is>
          <t>Absent</t>
        </is>
      </c>
      <c r="AJ227" s="133" t="inlineStr">
        <is>
          <t>✓</t>
        </is>
      </c>
      <c r="AK227" s="131" t="inlineStr">
        <is>
          <t>not reported</t>
        </is>
      </c>
      <c r="AL227" s="139" t="inlineStr">
        <is>
          <t>&lt; 2</t>
        </is>
      </c>
      <c r="AM227" s="139" t="inlineStr">
        <is>
          <t>not reported</t>
        </is>
      </c>
      <c r="AN227" s="133" t="inlineStr">
        <is>
          <t>✓</t>
        </is>
      </c>
      <c r="AO227" s="131" t="inlineStr">
        <is>
          <t>0.077</t>
        </is>
      </c>
      <c r="AP227" s="139" t="inlineStr">
        <is>
          <t>0.014</t>
        </is>
      </c>
      <c r="AQ227" s="139" t="inlineStr">
        <is>
          <t>0.024</t>
        </is>
      </c>
      <c r="AR227" s="139" t="inlineStr">
        <is>
          <t>0.011</t>
        </is>
      </c>
      <c r="AS227" s="133" t="inlineStr">
        <is>
          <t>✓</t>
        </is>
      </c>
      <c r="AT227" s="131" t="inlineStr">
        <is>
          <t>≤ LOQ (all 28 compounds)</t>
        </is>
      </c>
      <c r="AU227" s="132" t="inlineStr">
        <is>
          <t>4762-2025, (08.10.2025) [IJZ]</t>
        </is>
      </c>
      <c r="AV227" s="140" t="inlineStr">
        <is>
          <t>✓</t>
        </is>
      </c>
    </row>
    <row r="228" ht="24.375" customHeight="1" s="70">
      <c r="A228" s="141" t="n"/>
      <c r="G228" s="142" t="n"/>
      <c r="I228" s="143" t="n"/>
      <c r="J228" s="142" t="n"/>
      <c r="L228" s="143" t="n"/>
      <c r="M228" s="142" t="n"/>
      <c r="O228" s="143" t="n"/>
      <c r="P228" s="142" t="n"/>
      <c r="R228" s="143" t="n"/>
      <c r="S228" s="142" t="n"/>
      <c r="U228" s="143" t="n"/>
      <c r="V228" s="142" t="n"/>
      <c r="X228" s="143" t="n"/>
      <c r="Y228" s="142" t="n"/>
      <c r="AA228" s="143" t="n"/>
      <c r="AB228" s="142" t="n"/>
      <c r="AD228" s="143" t="n"/>
      <c r="AE228" s="144" t="inlineStr">
        <is>
          <t>1009-1813-25, (08.10.2025) [IJZ-MB]</t>
        </is>
      </c>
      <c r="AJ228" s="143" t="n"/>
      <c r="AK228" s="144" t="inlineStr">
        <is>
          <t>4762-2025, (08.10.2025) [IJZ]</t>
        </is>
      </c>
      <c r="AN228" s="143" t="n"/>
      <c r="AO228" s="144" t="inlineStr">
        <is>
          <t>4762-2025, (08.10.2025) [IJZ]</t>
        </is>
      </c>
      <c r="AS228" s="143" t="n"/>
      <c r="AT228" s="142" t="n"/>
      <c r="AV228" s="145" t="n"/>
    </row>
    <row r="229" ht="17.625" customHeight="1" s="70">
      <c r="A229" s="146" t="n"/>
      <c r="B229" s="147" t="n"/>
      <c r="D229" s="193" t="inlineStr">
        <is>
          <t>2 of 7</t>
        </is>
      </c>
      <c r="E229" s="194" t="inlineStr">
        <is>
          <t>release testing</t>
        </is>
      </c>
      <c r="F229" s="195" t="inlineStr">
        <is>
          <t>no certificate of quality cites this block</t>
        </is>
      </c>
      <c r="G229" s="151" t="n"/>
      <c r="H229" s="147" t="n"/>
      <c r="I229" s="152" t="n"/>
      <c r="J229" s="200" t="inlineStr">
        <is>
          <t>not on this certificate</t>
        </is>
      </c>
      <c r="K229" s="201" t="inlineStr">
        <is>
          <t>ППК26036, (05.03.2026) [CNP] · on file, not credited</t>
        </is>
      </c>
      <c r="L229" s="202" t="inlineStr">
        <is>
          <t>•</t>
        </is>
      </c>
      <c r="M229" s="228" t="inlineStr">
        <is>
          <t>Conforms (ImB spec.)</t>
        </is>
      </c>
      <c r="N229" s="229" t="inlineStr">
        <is>
          <t>ППК26036, (05.03.2026) [CNP]</t>
        </is>
      </c>
      <c r="O229" s="230" t="inlineStr">
        <is>
          <t>✓</t>
        </is>
      </c>
      <c r="P229" s="198" t="inlineStr">
        <is>
          <t>24.89</t>
        </is>
      </c>
      <c r="Q229" s="196" t="inlineStr">
        <is>
          <t>NGP-QCG-SOP-024 F3, (28.11.2025) [NGP]</t>
        </is>
      </c>
      <c r="R229" s="197" t="inlineStr">
        <is>
          <t>✓</t>
        </is>
      </c>
      <c r="S229" s="199" t="inlineStr">
        <is>
          <t>0.17</t>
        </is>
      </c>
      <c r="T229" s="196" t="inlineStr">
        <is>
          <t>NGP-QCG-SOP-024 F3, (28.11.2025) [NGP]</t>
        </is>
      </c>
      <c r="U229" s="197" t="inlineStr">
        <is>
          <t>✓</t>
        </is>
      </c>
      <c r="V229" s="232" t="inlineStr">
        <is>
          <t>0.05 ᴰ</t>
        </is>
      </c>
      <c r="W229" s="229" t="inlineStr">
        <is>
          <t>ППК26036, (05.03.2026) [CNP]</t>
        </is>
      </c>
      <c r="X229" s="230" t="inlineStr">
        <is>
          <t>✓</t>
        </is>
      </c>
      <c r="Y229" s="151" t="n"/>
      <c r="Z229" s="147" t="n"/>
      <c r="AA229" s="152" t="n"/>
      <c r="AB229" s="161" t="inlineStr">
        <is>
          <t>8.19</t>
        </is>
      </c>
      <c r="AC229" s="196" t="inlineStr">
        <is>
          <t>NGP-QCG-SOP-024 F3, (28.11.2025) [NGP]</t>
        </is>
      </c>
      <c r="AD229" s="197" t="inlineStr">
        <is>
          <t>✓</t>
        </is>
      </c>
      <c r="AE229" s="161" t="inlineStr">
        <is>
          <t>600</t>
        </is>
      </c>
      <c r="AF229" s="162" t="inlineStr">
        <is>
          <t>400</t>
        </is>
      </c>
      <c r="AG229" s="162" t="inlineStr">
        <is>
          <t>&lt; 10</t>
        </is>
      </c>
      <c r="AH229" s="162" t="inlineStr">
        <is>
          <t>Absent</t>
        </is>
      </c>
      <c r="AI229" s="162" t="inlineStr">
        <is>
          <t>Absent</t>
        </is>
      </c>
      <c r="AJ229" s="197" t="inlineStr">
        <is>
          <t>✓</t>
        </is>
      </c>
      <c r="AK229" s="151" t="n"/>
      <c r="AL229" s="147" t="n"/>
      <c r="AM229" s="147" t="n"/>
      <c r="AN229" s="152" t="n"/>
      <c r="AO229" s="151" t="n"/>
      <c r="AP229" s="147" t="n"/>
      <c r="AQ229" s="147" t="n"/>
      <c r="AR229" s="147" t="n"/>
      <c r="AS229" s="152" t="n"/>
      <c r="AT229" s="151" t="n"/>
      <c r="AU229" s="147" t="n"/>
      <c r="AV229" s="163" t="n"/>
    </row>
    <row r="230" ht="13" customHeight="1" s="70">
      <c r="A230" s="203" t="n"/>
      <c r="B230" s="204" t="n"/>
      <c r="D230" s="204" t="n"/>
      <c r="E230" s="204" t="n"/>
      <c r="F230" s="204" t="n"/>
      <c r="G230" s="205" t="n"/>
      <c r="H230" s="204" t="n"/>
      <c r="I230" s="206" t="n"/>
      <c r="J230" s="205" t="n"/>
      <c r="K230" s="204" t="n"/>
      <c r="L230" s="206" t="n"/>
      <c r="M230" s="205" t="n"/>
      <c r="N230" s="204" t="n"/>
      <c r="O230" s="206" t="n"/>
      <c r="P230" s="205" t="n"/>
      <c r="Q230" s="204" t="n"/>
      <c r="R230" s="206" t="n"/>
      <c r="S230" s="205" t="n"/>
      <c r="T230" s="204" t="n"/>
      <c r="U230" s="206" t="n"/>
      <c r="V230" s="205" t="n"/>
      <c r="W230" s="204" t="n"/>
      <c r="X230" s="206" t="n"/>
      <c r="Y230" s="205" t="n"/>
      <c r="Z230" s="204" t="n"/>
      <c r="AA230" s="206" t="n"/>
      <c r="AB230" s="205" t="n"/>
      <c r="AC230" s="204" t="n"/>
      <c r="AD230" s="206" t="n"/>
      <c r="AE230" s="221" t="inlineStr">
        <is>
          <t>1155-2056-25, (24.11.2025) [IJZ-MB]</t>
        </is>
      </c>
      <c r="AF230" s="204" t="n"/>
      <c r="AG230" s="204" t="n"/>
      <c r="AH230" s="204" t="n"/>
      <c r="AI230" s="204" t="n"/>
      <c r="AJ230" s="206" t="n"/>
      <c r="AK230" s="205" t="n"/>
      <c r="AL230" s="204" t="n"/>
      <c r="AM230" s="204" t="n"/>
      <c r="AN230" s="206" t="n"/>
      <c r="AO230" s="205" t="n"/>
      <c r="AP230" s="204" t="n"/>
      <c r="AQ230" s="204" t="n"/>
      <c r="AR230" s="204" t="n"/>
      <c r="AS230" s="206" t="n"/>
      <c r="AT230" s="205" t="n"/>
      <c r="AU230" s="204" t="n"/>
      <c r="AV230" s="207" t="n"/>
    </row>
    <row r="231" ht="17.625" customHeight="1" s="70">
      <c r="A231" s="146" t="n"/>
      <c r="B231" s="147" t="n"/>
      <c r="D231" s="193" t="inlineStr">
        <is>
          <t>3 of 7</t>
        </is>
      </c>
      <c r="E231" s="194" t="inlineStr">
        <is>
          <t>release testing + re-test campaign (IJZ-MB)</t>
        </is>
      </c>
      <c r="F231" s="195" t="inlineStr">
        <is>
          <t>iCoA-PP_26-167
CoQ-PP_26-149 · retest</t>
        </is>
      </c>
      <c r="G231" s="151" t="n"/>
      <c r="H231" s="147" t="n"/>
      <c r="I231" s="152" t="n"/>
      <c r="J231" s="200" t="inlineStr">
        <is>
          <t>not on this certificate</t>
        </is>
      </c>
      <c r="K231" s="201" t="inlineStr">
        <is>
          <t>ППК26037, (05.03.2026) [CNP] · on file, not credited</t>
        </is>
      </c>
      <c r="L231" s="202" t="inlineStr">
        <is>
          <t>•</t>
        </is>
      </c>
      <c r="M231" s="228" t="inlineStr">
        <is>
          <t>Conforms (ImB spec.)</t>
        </is>
      </c>
      <c r="N231" s="229" t="inlineStr">
        <is>
          <t>ППК26037, (05.03.2026) [CNP]</t>
        </is>
      </c>
      <c r="O231" s="230" t="inlineStr">
        <is>
          <t>✓</t>
        </is>
      </c>
      <c r="P231" s="231" t="inlineStr">
        <is>
          <t>22.83</t>
        </is>
      </c>
      <c r="Q231" s="229" t="inlineStr">
        <is>
          <t>ППК26036, (05.03.2026) [CNP]</t>
        </is>
      </c>
      <c r="R231" s="230" t="inlineStr">
        <is>
          <t>✓</t>
        </is>
      </c>
      <c r="S231" s="232" t="inlineStr">
        <is>
          <t>0.05</t>
        </is>
      </c>
      <c r="T231" s="229" t="inlineStr">
        <is>
          <t>ППК26036, (05.03.2026) [CNP]</t>
        </is>
      </c>
      <c r="U231" s="230" t="inlineStr">
        <is>
          <t>✓</t>
        </is>
      </c>
      <c r="V231" s="233" t="inlineStr">
        <is>
          <t>1.09 ᴿ</t>
        </is>
      </c>
      <c r="W231" s="229" t="inlineStr">
        <is>
          <t>ППК26037, (05.03.2026) [CNP]</t>
        </is>
      </c>
      <c r="X231" s="230" t="inlineStr">
        <is>
          <t>✓</t>
        </is>
      </c>
      <c r="Y231" s="151" t="n"/>
      <c r="Z231" s="147" t="n"/>
      <c r="AA231" s="152" t="n"/>
      <c r="AB231" s="228" t="inlineStr">
        <is>
          <t>5.83</t>
        </is>
      </c>
      <c r="AC231" s="229" t="inlineStr">
        <is>
          <t>ППК26036, (05.03.2026) [CNP]</t>
        </is>
      </c>
      <c r="AD231" s="230" t="inlineStr">
        <is>
          <t>✓</t>
        </is>
      </c>
      <c r="AE231" s="161" t="inlineStr">
        <is>
          <t>&lt; 10</t>
        </is>
      </c>
      <c r="AF231" s="162" t="inlineStr">
        <is>
          <t>&lt; 10</t>
        </is>
      </c>
      <c r="AG231" s="162" t="inlineStr">
        <is>
          <t>&lt; 10</t>
        </is>
      </c>
      <c r="AH231" s="162" t="inlineStr">
        <is>
          <t>Absent</t>
        </is>
      </c>
      <c r="AI231" s="162" t="inlineStr">
        <is>
          <t>Absent</t>
        </is>
      </c>
      <c r="AJ231" s="197" t="inlineStr">
        <is>
          <t>✓</t>
        </is>
      </c>
      <c r="AK231" s="151" t="n"/>
      <c r="AL231" s="147" t="n"/>
      <c r="AM231" s="147" t="n"/>
      <c r="AN231" s="152" t="n"/>
      <c r="AO231" s="151" t="n"/>
      <c r="AP231" s="147" t="n"/>
      <c r="AQ231" s="147" t="n"/>
      <c r="AR231" s="147" t="n"/>
      <c r="AS231" s="152" t="n"/>
      <c r="AT231" s="151" t="n"/>
      <c r="AU231" s="147" t="n"/>
      <c r="AV231" s="163" t="n"/>
    </row>
    <row r="232" ht="13" customHeight="1" s="70">
      <c r="A232" s="203" t="n"/>
      <c r="B232" s="204" t="n"/>
      <c r="D232" s="204" t="n"/>
      <c r="E232" s="204" t="n"/>
      <c r="F232" s="204" t="n"/>
      <c r="G232" s="205" t="n"/>
      <c r="H232" s="204" t="n"/>
      <c r="I232" s="206" t="n"/>
      <c r="J232" s="205" t="n"/>
      <c r="K232" s="204" t="n"/>
      <c r="L232" s="206" t="n"/>
      <c r="M232" s="205" t="n"/>
      <c r="N232" s="204" t="n"/>
      <c r="O232" s="206" t="n"/>
      <c r="P232" s="205" t="n"/>
      <c r="Q232" s="204" t="n"/>
      <c r="R232" s="206" t="n"/>
      <c r="S232" s="205" t="n"/>
      <c r="T232" s="204" t="n"/>
      <c r="U232" s="206" t="n"/>
      <c r="V232" s="205" t="n"/>
      <c r="W232" s="204" t="n"/>
      <c r="X232" s="206" t="n"/>
      <c r="Y232" s="205" t="n"/>
      <c r="Z232" s="204" t="n"/>
      <c r="AA232" s="206" t="n"/>
      <c r="AB232" s="205" t="n"/>
      <c r="AC232" s="204" t="n"/>
      <c r="AD232" s="206" t="n"/>
      <c r="AE232" s="221" t="inlineStr">
        <is>
          <t>557-1088-26, (01.09.2026) [IJZ-MB]</t>
        </is>
      </c>
      <c r="AF232" s="204" t="n"/>
      <c r="AG232" s="204" t="n"/>
      <c r="AH232" s="204" t="n"/>
      <c r="AI232" s="204" t="n"/>
      <c r="AJ232" s="206" t="n"/>
      <c r="AK232" s="205" t="n"/>
      <c r="AL232" s="204" t="n"/>
      <c r="AM232" s="204" t="n"/>
      <c r="AN232" s="206" t="n"/>
      <c r="AO232" s="205" t="n"/>
      <c r="AP232" s="204" t="n"/>
      <c r="AQ232" s="204" t="n"/>
      <c r="AR232" s="204" t="n"/>
      <c r="AS232" s="206" t="n"/>
      <c r="AT232" s="205" t="n"/>
      <c r="AU232" s="204" t="n"/>
      <c r="AV232" s="207" t="n"/>
    </row>
    <row r="233" ht="17.625" customHeight="1" s="70">
      <c r="A233" s="146" t="n"/>
      <c r="B233" s="147" t="n"/>
      <c r="D233" s="193" t="inlineStr">
        <is>
          <t>4 of 7</t>
        </is>
      </c>
      <c r="E233" s="194" t="inlineStr">
        <is>
          <t>release testing</t>
        </is>
      </c>
      <c r="F233" s="195" t="inlineStr">
        <is>
          <t>no certificate of quality cites this block</t>
        </is>
      </c>
      <c r="G233" s="151" t="n"/>
      <c r="H233" s="147" t="n"/>
      <c r="I233" s="152" t="n"/>
      <c r="J233" s="200" t="inlineStr">
        <is>
          <t>not on this certificate</t>
        </is>
      </c>
      <c r="K233" s="201" t="inlineStr">
        <is>
          <t>ППК26057, (11.05.2026) [CNP] · on file, not credited</t>
        </is>
      </c>
      <c r="L233" s="202" t="inlineStr">
        <is>
          <t>•</t>
        </is>
      </c>
      <c r="M233" s="228" t="inlineStr">
        <is>
          <t>Conforms (ImB spec.)</t>
        </is>
      </c>
      <c r="N233" s="229" t="inlineStr">
        <is>
          <t>ППК26057, (11.05.2026) [CNP]</t>
        </is>
      </c>
      <c r="O233" s="230" t="inlineStr">
        <is>
          <t>✓</t>
        </is>
      </c>
      <c r="P233" s="231" t="inlineStr">
        <is>
          <t>18.62</t>
        </is>
      </c>
      <c r="Q233" s="229" t="inlineStr">
        <is>
          <t>ППК26037, (05.03.2026) [CNP]</t>
        </is>
      </c>
      <c r="R233" s="230" t="inlineStr">
        <is>
          <t>✓</t>
        </is>
      </c>
      <c r="S233" s="232" t="inlineStr">
        <is>
          <t>0.04</t>
        </is>
      </c>
      <c r="T233" s="229" t="inlineStr">
        <is>
          <t>ППК26037, (05.03.2026) [CNP]</t>
        </is>
      </c>
      <c r="U233" s="230" t="inlineStr">
        <is>
          <t>✓</t>
        </is>
      </c>
      <c r="V233" s="232" t="inlineStr">
        <is>
          <t>0.04 ᴰ</t>
        </is>
      </c>
      <c r="W233" s="229" t="inlineStr">
        <is>
          <t>ППК26057, (11.05.2026) [CNP]</t>
        </is>
      </c>
      <c r="X233" s="230" t="inlineStr">
        <is>
          <t>✓</t>
        </is>
      </c>
      <c r="Y233" s="151" t="n"/>
      <c r="Z233" s="147" t="n"/>
      <c r="AA233" s="152" t="n"/>
      <c r="AB233" s="228" t="inlineStr">
        <is>
          <t>5.38</t>
        </is>
      </c>
      <c r="AC233" s="229" t="inlineStr">
        <is>
          <t>ППК26037, (05.03.2026) [CNP]</t>
        </is>
      </c>
      <c r="AD233" s="230" t="inlineStr">
        <is>
          <t>✓</t>
        </is>
      </c>
      <c r="AE233" s="151" t="n"/>
      <c r="AF233" s="147" t="n"/>
      <c r="AG233" s="147" t="n"/>
      <c r="AH233" s="147" t="n"/>
      <c r="AI233" s="147" t="n"/>
      <c r="AJ233" s="152" t="n"/>
      <c r="AK233" s="151" t="n"/>
      <c r="AL233" s="147" t="n"/>
      <c r="AM233" s="147" t="n"/>
      <c r="AN233" s="152" t="n"/>
      <c r="AO233" s="151" t="n"/>
      <c r="AP233" s="147" t="n"/>
      <c r="AQ233" s="147" t="n"/>
      <c r="AR233" s="147" t="n"/>
      <c r="AS233" s="152" t="n"/>
      <c r="AT233" s="151" t="n"/>
      <c r="AU233" s="147" t="n"/>
      <c r="AV233" s="163" t="n"/>
    </row>
    <row r="234" ht="13" customHeight="1" s="70">
      <c r="A234" s="203" t="n"/>
      <c r="B234" s="204" t="n"/>
      <c r="D234" s="204" t="n"/>
      <c r="E234" s="204" t="n"/>
      <c r="F234" s="204" t="n"/>
      <c r="G234" s="205" t="n"/>
      <c r="H234" s="204" t="n"/>
      <c r="I234" s="206" t="n"/>
      <c r="J234" s="205" t="n"/>
      <c r="K234" s="204" t="n"/>
      <c r="L234" s="206" t="n"/>
      <c r="M234" s="205" t="n"/>
      <c r="N234" s="204" t="n"/>
      <c r="O234" s="206" t="n"/>
      <c r="P234" s="205" t="n"/>
      <c r="Q234" s="204" t="n"/>
      <c r="R234" s="206" t="n"/>
      <c r="S234" s="205" t="n"/>
      <c r="T234" s="204" t="n"/>
      <c r="U234" s="206" t="n"/>
      <c r="V234" s="205" t="n"/>
      <c r="W234" s="204" t="n"/>
      <c r="X234" s="206" t="n"/>
      <c r="Y234" s="205" t="n"/>
      <c r="Z234" s="204" t="n"/>
      <c r="AA234" s="206" t="n"/>
      <c r="AB234" s="205" t="n"/>
      <c r="AC234" s="204" t="n"/>
      <c r="AD234" s="206" t="n"/>
      <c r="AE234" s="205" t="n"/>
      <c r="AF234" s="204" t="n"/>
      <c r="AG234" s="204" t="n"/>
      <c r="AH234" s="204" t="n"/>
      <c r="AI234" s="204" t="n"/>
      <c r="AJ234" s="206" t="n"/>
      <c r="AK234" s="205" t="n"/>
      <c r="AL234" s="204" t="n"/>
      <c r="AM234" s="204" t="n"/>
      <c r="AN234" s="206" t="n"/>
      <c r="AO234" s="205" t="n"/>
      <c r="AP234" s="204" t="n"/>
      <c r="AQ234" s="204" t="n"/>
      <c r="AR234" s="204" t="n"/>
      <c r="AS234" s="206" t="n"/>
      <c r="AT234" s="205" t="n"/>
      <c r="AU234" s="204" t="n"/>
      <c r="AV234" s="207" t="n"/>
    </row>
    <row r="235" ht="17.625" customHeight="1" s="70">
      <c r="A235" s="146" t="n"/>
      <c r="B235" s="147" t="n"/>
      <c r="D235" s="193" t="inlineStr">
        <is>
          <t>5 of 7</t>
        </is>
      </c>
      <c r="E235" s="194" t="inlineStr">
        <is>
          <t>release testing</t>
        </is>
      </c>
      <c r="F235" s="195" t="inlineStr">
        <is>
          <t>no certificate of quality cites this block</t>
        </is>
      </c>
      <c r="G235" s="151" t="n"/>
      <c r="H235" s="147" t="n"/>
      <c r="I235" s="152" t="n"/>
      <c r="J235" s="200" t="inlineStr">
        <is>
          <t>not on this certificate</t>
        </is>
      </c>
      <c r="K235" s="201" t="inlineStr">
        <is>
          <t>ППК26058, (11.05.2026) [CNP] · on file, not credited</t>
        </is>
      </c>
      <c r="L235" s="202" t="inlineStr">
        <is>
          <t>•</t>
        </is>
      </c>
      <c r="M235" s="228" t="inlineStr">
        <is>
          <t>Conforms (ImB spec.)</t>
        </is>
      </c>
      <c r="N235" s="229" t="inlineStr">
        <is>
          <t>ППК26058, (11.05.2026) [CNP]</t>
        </is>
      </c>
      <c r="O235" s="230" t="inlineStr">
        <is>
          <t>✓</t>
        </is>
      </c>
      <c r="P235" s="231" t="inlineStr">
        <is>
          <t>24.51</t>
        </is>
      </c>
      <c r="Q235" s="229" t="inlineStr">
        <is>
          <t>ППК26057, (11.05.2026) [CNP]</t>
        </is>
      </c>
      <c r="R235" s="230" t="inlineStr">
        <is>
          <t>✓</t>
        </is>
      </c>
      <c r="S235" s="232" t="inlineStr">
        <is>
          <t>0.05</t>
        </is>
      </c>
      <c r="T235" s="229" t="inlineStr">
        <is>
          <t>ППК26057, (11.05.2026) [CNP]</t>
        </is>
      </c>
      <c r="U235" s="230" t="inlineStr">
        <is>
          <t>✓</t>
        </is>
      </c>
      <c r="V235" s="233" t="inlineStr">
        <is>
          <t>2.05 ᴰ</t>
        </is>
      </c>
      <c r="W235" s="229" t="inlineStr">
        <is>
          <t>ППК26058, (11.05.2026) [CNP]</t>
        </is>
      </c>
      <c r="X235" s="230" t="inlineStr">
        <is>
          <t>✓</t>
        </is>
      </c>
      <c r="Y235" s="151" t="n"/>
      <c r="Z235" s="147" t="n"/>
      <c r="AA235" s="152" t="n"/>
      <c r="AB235" s="228" t="inlineStr">
        <is>
          <t>6.85</t>
        </is>
      </c>
      <c r="AC235" s="229" t="inlineStr">
        <is>
          <t>ППК26057, (11.05.2026) [CNP]</t>
        </is>
      </c>
      <c r="AD235" s="230" t="inlineStr">
        <is>
          <t>✓</t>
        </is>
      </c>
      <c r="AE235" s="151" t="n"/>
      <c r="AF235" s="147" t="n"/>
      <c r="AG235" s="147" t="n"/>
      <c r="AH235" s="147" t="n"/>
      <c r="AI235" s="147" t="n"/>
      <c r="AJ235" s="152" t="n"/>
      <c r="AK235" s="151" t="n"/>
      <c r="AL235" s="147" t="n"/>
      <c r="AM235" s="147" t="n"/>
      <c r="AN235" s="152" t="n"/>
      <c r="AO235" s="151" t="n"/>
      <c r="AP235" s="147" t="n"/>
      <c r="AQ235" s="147" t="n"/>
      <c r="AR235" s="147" t="n"/>
      <c r="AS235" s="152" t="n"/>
      <c r="AT235" s="151" t="n"/>
      <c r="AU235" s="147" t="n"/>
      <c r="AV235" s="163" t="n"/>
    </row>
    <row r="236" ht="13" customHeight="1" s="70">
      <c r="A236" s="203" t="n"/>
      <c r="B236" s="204" t="n"/>
      <c r="D236" s="204" t="n"/>
      <c r="E236" s="204" t="n"/>
      <c r="F236" s="204" t="n"/>
      <c r="G236" s="205" t="n"/>
      <c r="H236" s="204" t="n"/>
      <c r="I236" s="206" t="n"/>
      <c r="J236" s="205" t="n"/>
      <c r="K236" s="204" t="n"/>
      <c r="L236" s="206" t="n"/>
      <c r="M236" s="205" t="n"/>
      <c r="N236" s="204" t="n"/>
      <c r="O236" s="206" t="n"/>
      <c r="P236" s="205" t="n"/>
      <c r="Q236" s="204" t="n"/>
      <c r="R236" s="206" t="n"/>
      <c r="S236" s="205" t="n"/>
      <c r="T236" s="204" t="n"/>
      <c r="U236" s="206" t="n"/>
      <c r="V236" s="205" t="n"/>
      <c r="W236" s="204" t="n"/>
      <c r="X236" s="206" t="n"/>
      <c r="Y236" s="205" t="n"/>
      <c r="Z236" s="204" t="n"/>
      <c r="AA236" s="206" t="n"/>
      <c r="AB236" s="205" t="n"/>
      <c r="AC236" s="204" t="n"/>
      <c r="AD236" s="206" t="n"/>
      <c r="AE236" s="205" t="n"/>
      <c r="AF236" s="204" t="n"/>
      <c r="AG236" s="204" t="n"/>
      <c r="AH236" s="204" t="n"/>
      <c r="AI236" s="204" t="n"/>
      <c r="AJ236" s="206" t="n"/>
      <c r="AK236" s="205" t="n"/>
      <c r="AL236" s="204" t="n"/>
      <c r="AM236" s="204" t="n"/>
      <c r="AN236" s="206" t="n"/>
      <c r="AO236" s="205" t="n"/>
      <c r="AP236" s="204" t="n"/>
      <c r="AQ236" s="204" t="n"/>
      <c r="AR236" s="204" t="n"/>
      <c r="AS236" s="206" t="n"/>
      <c r="AT236" s="205" t="n"/>
      <c r="AU236" s="204" t="n"/>
      <c r="AV236" s="207" t="n"/>
    </row>
    <row r="237" ht="17.625" customHeight="1" s="70">
      <c r="A237" s="146" t="n"/>
      <c r="B237" s="147" t="n"/>
      <c r="D237" s="193" t="inlineStr">
        <is>
          <t>6 of 7</t>
        </is>
      </c>
      <c r="E237" s="194" t="inlineStr">
        <is>
          <t>re-analysis 227 + release testing</t>
        </is>
      </c>
      <c r="F237" s="195" t="inlineStr">
        <is>
          <t>iCoA-PP_26-167
CoQ-PP_26-149 · retest</t>
        </is>
      </c>
      <c r="G237" s="151" t="n"/>
      <c r="H237" s="147" t="n"/>
      <c r="I237" s="152" t="n"/>
      <c r="J237" s="151" t="n"/>
      <c r="K237" s="147" t="n"/>
      <c r="L237" s="152" t="n"/>
      <c r="M237" s="161" t="inlineStr">
        <is>
          <t>Conforms (ImB spec.)</t>
        </is>
      </c>
      <c r="N237" s="196" t="inlineStr">
        <is>
          <t>227-18-К-26, (11.09.2026) [FHM-K]</t>
        </is>
      </c>
      <c r="O237" s="197" t="inlineStr">
        <is>
          <t>✓</t>
        </is>
      </c>
      <c r="P237" s="231" t="inlineStr">
        <is>
          <t>17.05</t>
        </is>
      </c>
      <c r="Q237" s="229" t="inlineStr">
        <is>
          <t>ППК26058, (11.05.2026) [CNP]</t>
        </is>
      </c>
      <c r="R237" s="230" t="inlineStr">
        <is>
          <t>✓</t>
        </is>
      </c>
      <c r="S237" s="232" t="inlineStr">
        <is>
          <t>0.03</t>
        </is>
      </c>
      <c r="T237" s="229" t="inlineStr">
        <is>
          <t>ППК26058, (11.05.2026) [CNP]</t>
        </is>
      </c>
      <c r="U237" s="230" t="inlineStr">
        <is>
          <t>✓</t>
        </is>
      </c>
      <c r="V237" s="199" t="inlineStr">
        <is>
          <t>&lt; LOQ</t>
        </is>
      </c>
      <c r="W237" s="196" t="inlineStr">
        <is>
          <t>227-18-К-26, (11.09.2026) [FHM-K]</t>
        </is>
      </c>
      <c r="X237" s="197" t="inlineStr">
        <is>
          <t>✓</t>
        </is>
      </c>
      <c r="Y237" s="151" t="n"/>
      <c r="Z237" s="147" t="n"/>
      <c r="AA237" s="152" t="n"/>
      <c r="AB237" s="228" t="inlineStr">
        <is>
          <t>6.60</t>
        </is>
      </c>
      <c r="AC237" s="229" t="inlineStr">
        <is>
          <t>ППК26058, (11.05.2026) [CNP]</t>
        </is>
      </c>
      <c r="AD237" s="230" t="inlineStr">
        <is>
          <t>✓</t>
        </is>
      </c>
      <c r="AE237" s="151" t="n"/>
      <c r="AF237" s="147" t="n"/>
      <c r="AG237" s="147" t="n"/>
      <c r="AH237" s="147" t="n"/>
      <c r="AI237" s="147" t="n"/>
      <c r="AJ237" s="152" t="n"/>
      <c r="AK237" s="151" t="n"/>
      <c r="AL237" s="147" t="n"/>
      <c r="AM237" s="147" t="n"/>
      <c r="AN237" s="152" t="n"/>
      <c r="AO237" s="151" t="n"/>
      <c r="AP237" s="147" t="n"/>
      <c r="AQ237" s="147" t="n"/>
      <c r="AR237" s="147" t="n"/>
      <c r="AS237" s="152" t="n"/>
      <c r="AT237" s="151" t="n"/>
      <c r="AU237" s="147" t="n"/>
      <c r="AV237" s="163" t="n"/>
    </row>
    <row r="238" ht="13" customHeight="1" s="70">
      <c r="A238" s="203" t="n"/>
      <c r="B238" s="204" t="n"/>
      <c r="D238" s="204" t="n"/>
      <c r="E238" s="204" t="n"/>
      <c r="F238" s="204" t="n"/>
      <c r="G238" s="205" t="n"/>
      <c r="H238" s="204" t="n"/>
      <c r="I238" s="206" t="n"/>
      <c r="J238" s="205" t="n"/>
      <c r="K238" s="204" t="n"/>
      <c r="L238" s="206" t="n"/>
      <c r="M238" s="205" t="n"/>
      <c r="N238" s="204" t="n"/>
      <c r="O238" s="206" t="n"/>
      <c r="P238" s="205" t="n"/>
      <c r="Q238" s="204" t="n"/>
      <c r="R238" s="206" t="n"/>
      <c r="S238" s="205" t="n"/>
      <c r="T238" s="204" t="n"/>
      <c r="U238" s="206" t="n"/>
      <c r="V238" s="205" t="n"/>
      <c r="W238" s="204" t="n"/>
      <c r="X238" s="206" t="n"/>
      <c r="Y238" s="205" t="n"/>
      <c r="Z238" s="204" t="n"/>
      <c r="AA238" s="206" t="n"/>
      <c r="AB238" s="205" t="n"/>
      <c r="AC238" s="204" t="n"/>
      <c r="AD238" s="206" t="n"/>
      <c r="AE238" s="205" t="n"/>
      <c r="AF238" s="204" t="n"/>
      <c r="AG238" s="204" t="n"/>
      <c r="AH238" s="204" t="n"/>
      <c r="AI238" s="204" t="n"/>
      <c r="AJ238" s="206" t="n"/>
      <c r="AK238" s="205" t="n"/>
      <c r="AL238" s="204" t="n"/>
      <c r="AM238" s="204" t="n"/>
      <c r="AN238" s="206" t="n"/>
      <c r="AO238" s="205" t="n"/>
      <c r="AP238" s="204" t="n"/>
      <c r="AQ238" s="204" t="n"/>
      <c r="AR238" s="204" t="n"/>
      <c r="AS238" s="206" t="n"/>
      <c r="AT238" s="205" t="n"/>
      <c r="AU238" s="204" t="n"/>
      <c r="AV238" s="207" t="n"/>
    </row>
    <row r="239" ht="17.625" customHeight="1" s="70">
      <c r="A239" s="146" t="n"/>
      <c r="B239" s="147" t="n"/>
      <c r="D239" s="148" t="inlineStr">
        <is>
          <t>7 of 7</t>
        </is>
      </c>
      <c r="E239" s="149" t="inlineStr">
        <is>
          <t>re-analysis 227</t>
        </is>
      </c>
      <c r="F239" s="150" t="inlineStr">
        <is>
          <t>iCoA-PP_26-167
CoQ-PP_26-149 · retest</t>
        </is>
      </c>
      <c r="G239" s="151" t="n"/>
      <c r="H239" s="147" t="n"/>
      <c r="I239" s="152" t="n"/>
      <c r="J239" s="151" t="n"/>
      <c r="K239" s="147" t="n"/>
      <c r="L239" s="152" t="n"/>
      <c r="M239" s="151" t="n"/>
      <c r="N239" s="147" t="n"/>
      <c r="O239" s="152" t="n"/>
      <c r="P239" s="156" t="inlineStr">
        <is>
          <t>25.97</t>
        </is>
      </c>
      <c r="Q239" s="154" t="inlineStr">
        <is>
          <t>227-18-К-26, (11.09.2026) [FHM-K]</t>
        </is>
      </c>
      <c r="R239" s="155" t="inlineStr">
        <is>
          <t>✓</t>
        </is>
      </c>
      <c r="S239" s="157" t="inlineStr">
        <is>
          <t>&lt; LOQ</t>
        </is>
      </c>
      <c r="T239" s="154" t="inlineStr">
        <is>
          <t>227-18-К-26, (11.09.2026) [FHM-K]</t>
        </is>
      </c>
      <c r="U239" s="155" t="inlineStr">
        <is>
          <t>✓</t>
        </is>
      </c>
      <c r="V239" s="151" t="n"/>
      <c r="W239" s="147" t="n"/>
      <c r="X239" s="152" t="n"/>
      <c r="Y239" s="151" t="n"/>
      <c r="Z239" s="147" t="n"/>
      <c r="AA239" s="152" t="n"/>
      <c r="AB239" s="151" t="n"/>
      <c r="AC239" s="147" t="n"/>
      <c r="AD239" s="152" t="n"/>
      <c r="AE239" s="151" t="n"/>
      <c r="AF239" s="147" t="n"/>
      <c r="AG239" s="147" t="n"/>
      <c r="AH239" s="147" t="n"/>
      <c r="AI239" s="147" t="n"/>
      <c r="AJ239" s="152" t="n"/>
      <c r="AK239" s="151" t="n"/>
      <c r="AL239" s="147" t="n"/>
      <c r="AM239" s="147" t="n"/>
      <c r="AN239" s="152" t="n"/>
      <c r="AO239" s="151" t="n"/>
      <c r="AP239" s="147" t="n"/>
      <c r="AQ239" s="147" t="n"/>
      <c r="AR239" s="147" t="n"/>
      <c r="AS239" s="152" t="n"/>
      <c r="AT239" s="151" t="n"/>
      <c r="AU239" s="147" t="n"/>
      <c r="AV239" s="163" t="n"/>
    </row>
    <row r="240" ht="13" customHeight="1" s="70">
      <c r="A240" s="164" t="n"/>
      <c r="B240" s="165" t="n"/>
      <c r="C240" s="165" t="n"/>
      <c r="D240" s="165" t="n"/>
      <c r="E240" s="165" t="n"/>
      <c r="F240" s="165" t="n"/>
      <c r="G240" s="166" t="n"/>
      <c r="H240" s="165" t="n"/>
      <c r="I240" s="167" t="n"/>
      <c r="J240" s="166" t="n"/>
      <c r="K240" s="165" t="n"/>
      <c r="L240" s="167" t="n"/>
      <c r="M240" s="166" t="n"/>
      <c r="N240" s="165" t="n"/>
      <c r="O240" s="167" t="n"/>
      <c r="P240" s="166" t="n"/>
      <c r="Q240" s="165" t="n"/>
      <c r="R240" s="167" t="n"/>
      <c r="S240" s="166" t="n"/>
      <c r="T240" s="165" t="n"/>
      <c r="U240" s="167" t="n"/>
      <c r="V240" s="166" t="n"/>
      <c r="W240" s="165" t="n"/>
      <c r="X240" s="167" t="n"/>
      <c r="Y240" s="166" t="n"/>
      <c r="Z240" s="165" t="n"/>
      <c r="AA240" s="167" t="n"/>
      <c r="AB240" s="166" t="n"/>
      <c r="AC240" s="165" t="n"/>
      <c r="AD240" s="167" t="n"/>
      <c r="AE240" s="166" t="n"/>
      <c r="AF240" s="165" t="n"/>
      <c r="AG240" s="165" t="n"/>
      <c r="AH240" s="165" t="n"/>
      <c r="AI240" s="165" t="n"/>
      <c r="AJ240" s="167" t="n"/>
      <c r="AK240" s="166" t="n"/>
      <c r="AL240" s="165" t="n"/>
      <c r="AM240" s="165" t="n"/>
      <c r="AN240" s="167" t="n"/>
      <c r="AO240" s="166" t="n"/>
      <c r="AP240" s="165" t="n"/>
      <c r="AQ240" s="165" t="n"/>
      <c r="AR240" s="165" t="n"/>
      <c r="AS240" s="167" t="n"/>
      <c r="AT240" s="166" t="n"/>
      <c r="AU240" s="165" t="n"/>
      <c r="AV240" s="169" t="n"/>
    </row>
    <row r="241" ht="21" customHeight="1" s="70">
      <c r="A241" s="125" t="inlineStr">
        <is>
          <t>CJ062501/2</t>
        </is>
      </c>
      <c r="B241" s="126" t="inlineStr">
        <is>
          <t>P050212</t>
        </is>
      </c>
      <c r="C241" s="177" t="inlineStr">
        <is>
          <t>✓ COMPLETE
2 testing instances
• 2 document(s) on file, not credited
✗ OUT OF SPECIFICATION: #9 TYMC</t>
        </is>
      </c>
      <c r="D241" s="128" t="inlineStr">
        <is>
          <t>1 of 2</t>
        </is>
      </c>
      <c r="E241" s="129" t="inlineStr">
        <is>
          <t>release testing</t>
        </is>
      </c>
      <c r="F241" s="130" t="inlineStr">
        <is>
          <t>iCoA-PP_26-026
CoQ-PP_26-027 · initial release</t>
        </is>
      </c>
      <c r="G241" s="131" t="inlineStr">
        <is>
          <t>Conforms</t>
        </is>
      </c>
      <c r="H241" s="132">
        <f>IFERROR(INDEX('iCoA Register'!$B:$B,MATCH("P050212|I",'iCoA Register'!$AA:$AA,0)),"iCoA — at issue")&amp;", (18.11.2025) [PP]"</f>
        <v/>
      </c>
      <c r="I241" s="133" t="inlineStr">
        <is>
          <t>✓</t>
        </is>
      </c>
      <c r="J241" s="134" t="inlineStr">
        <is>
          <t>not on this certificate</t>
        </is>
      </c>
      <c r="K241" s="135" t="inlineStr">
        <is>
          <t>ППК25322, (23.10.2025) [CNP] · on file, not credited</t>
        </is>
      </c>
      <c r="L241" s="136" t="inlineStr">
        <is>
          <t>•</t>
        </is>
      </c>
      <c r="M241" s="131" t="inlineStr">
        <is>
          <t>Conforms (ImB spec.)</t>
        </is>
      </c>
      <c r="N241" s="132" t="inlineStr">
        <is>
          <t>ППК25322, (23.10.2025) [CNP]</t>
        </is>
      </c>
      <c r="O241" s="133" t="inlineStr">
        <is>
          <t>✓</t>
        </is>
      </c>
      <c r="P241" s="137" t="inlineStr">
        <is>
          <t>16.56</t>
        </is>
      </c>
      <c r="Q241" s="132" t="inlineStr">
        <is>
          <t>ППК25322, (23.10.2025) [CNP]</t>
        </is>
      </c>
      <c r="R241" s="133" t="inlineStr">
        <is>
          <t>✓</t>
        </is>
      </c>
      <c r="S241" s="138" t="inlineStr">
        <is>
          <t>0.14</t>
        </is>
      </c>
      <c r="T241" s="132" t="inlineStr">
        <is>
          <t>ППК25322, (23.10.2025) [CNP]</t>
        </is>
      </c>
      <c r="U241" s="133" t="inlineStr">
        <is>
          <t>✓</t>
        </is>
      </c>
      <c r="V241" s="138" t="inlineStr">
        <is>
          <t>&lt; LOQ ᴰ</t>
        </is>
      </c>
      <c r="W241" s="132" t="inlineStr">
        <is>
          <t>ППК25322, (23.10.2025) [CNP]</t>
        </is>
      </c>
      <c r="X241" s="133" t="inlineStr">
        <is>
          <t>✓</t>
        </is>
      </c>
      <c r="Y241" s="131" t="inlineStr">
        <is>
          <t>Conforms</t>
        </is>
      </c>
      <c r="Z241" s="132">
        <f>IFERROR(INDEX('iCoA Register'!$B:$B,MATCH("P050212|I",'iCoA Register'!$AA:$AA,0)),"iCoA — at issue")&amp;", (18.11.2025) [PP]"</f>
        <v/>
      </c>
      <c r="AA241" s="133" t="inlineStr">
        <is>
          <t>✓</t>
        </is>
      </c>
      <c r="AB241" s="131" t="inlineStr">
        <is>
          <t>6.70</t>
        </is>
      </c>
      <c r="AC241" s="132" t="inlineStr">
        <is>
          <t>ППК25322, (23.10.2025) [CNP]</t>
        </is>
      </c>
      <c r="AD241" s="133" t="inlineStr">
        <is>
          <t>✓</t>
        </is>
      </c>
      <c r="AE241" s="131" t="inlineStr">
        <is>
          <t>2.2 × 10⁴</t>
        </is>
      </c>
      <c r="AF241" s="235" t="inlineStr">
        <is>
          <t>4.9 × 10⁴</t>
        </is>
      </c>
      <c r="AG241" s="139" t="inlineStr">
        <is>
          <t>&lt; 10⁴ and &gt; 10³</t>
        </is>
      </c>
      <c r="AH241" s="139" t="inlineStr">
        <is>
          <t>Absent</t>
        </is>
      </c>
      <c r="AI241" s="139" t="inlineStr">
        <is>
          <t>Absent</t>
        </is>
      </c>
      <c r="AJ241" s="133" t="inlineStr">
        <is>
          <t>✓</t>
        </is>
      </c>
      <c r="AK241" s="131" t="inlineStr">
        <is>
          <t>not reported</t>
        </is>
      </c>
      <c r="AL241" s="139" t="inlineStr">
        <is>
          <t>&lt; 2</t>
        </is>
      </c>
      <c r="AM241" s="139" t="inlineStr">
        <is>
          <t>not reported</t>
        </is>
      </c>
      <c r="AN241" s="133" t="inlineStr">
        <is>
          <t>✓</t>
        </is>
      </c>
      <c r="AO241" s="131" t="inlineStr">
        <is>
          <t>0.026</t>
        </is>
      </c>
      <c r="AP241" s="139" t="inlineStr">
        <is>
          <t>0.002</t>
        </is>
      </c>
      <c r="AQ241" s="139" t="inlineStr">
        <is>
          <t>0.011</t>
        </is>
      </c>
      <c r="AR241" s="139" t="inlineStr">
        <is>
          <t>0.012</t>
        </is>
      </c>
      <c r="AS241" s="133" t="inlineStr">
        <is>
          <t>✓</t>
        </is>
      </c>
      <c r="AT241" s="131" t="inlineStr">
        <is>
          <t>≤ LOQ (all 28 compounds)</t>
        </is>
      </c>
      <c r="AU241" s="132" t="inlineStr">
        <is>
          <t>4908-2025, (24.10.2025) [IJZ]</t>
        </is>
      </c>
      <c r="AV241" s="140" t="inlineStr">
        <is>
          <t>✓</t>
        </is>
      </c>
    </row>
    <row r="242" ht="21" customHeight="1" s="70">
      <c r="A242" s="141" t="n"/>
      <c r="G242" s="142" t="n"/>
      <c r="I242" s="143" t="n"/>
      <c r="J242" s="142" t="n"/>
      <c r="L242" s="143" t="n"/>
      <c r="M242" s="142" t="n"/>
      <c r="O242" s="143" t="n"/>
      <c r="P242" s="142" t="n"/>
      <c r="R242" s="143" t="n"/>
      <c r="S242" s="142" t="n"/>
      <c r="U242" s="143" t="n"/>
      <c r="V242" s="142" t="n"/>
      <c r="X242" s="143" t="n"/>
      <c r="Y242" s="142" t="n"/>
      <c r="AA242" s="143" t="n"/>
      <c r="AB242" s="142" t="n"/>
      <c r="AD242" s="143" t="n"/>
      <c r="AE242" s="144" t="inlineStr">
        <is>
          <t>1032-1851-25, (17.10.2025) [IJZ-MB]</t>
        </is>
      </c>
      <c r="AJ242" s="143" t="n"/>
      <c r="AK242" s="144" t="inlineStr">
        <is>
          <t>4908-2025, (24.10.2025) [IJZ]</t>
        </is>
      </c>
      <c r="AN242" s="143" t="n"/>
      <c r="AO242" s="144" t="inlineStr">
        <is>
          <t>4908-2025, (24.10.2025) [IJZ]</t>
        </is>
      </c>
      <c r="AS242" s="143" t="n"/>
      <c r="AT242" s="142" t="n"/>
      <c r="AV242" s="145" t="n"/>
    </row>
    <row r="243" ht="21" customHeight="1" s="70">
      <c r="A243" s="146" t="n"/>
      <c r="B243" s="147" t="n"/>
      <c r="D243" s="148" t="inlineStr">
        <is>
          <t>2 of 2</t>
        </is>
      </c>
      <c r="E243" s="149" t="inlineStr">
        <is>
          <t>release testing + re-analysis 197 + re-test campaign (IJZ-MB)</t>
        </is>
      </c>
      <c r="F243" s="150" t="inlineStr">
        <is>
          <t>iCoA-PP_26-026
CoQ-PP_26-027 · initial release
iCoA-PP_26-103
CoQ-PP_26-089 · retest</t>
        </is>
      </c>
      <c r="G243" s="151" t="n"/>
      <c r="H243" s="147" t="n"/>
      <c r="I243" s="152" t="n"/>
      <c r="J243" s="153" t="inlineStr">
        <is>
          <t>Conforms</t>
        </is>
      </c>
      <c r="K243" s="154">
        <f>IFERROR(INDEX('iCoA Register'!$B:$B,MATCH("P050212|I",'iCoA Register'!$AA:$AA,0)),"iCoA — at issue")&amp;", (18.11.2025) [PP]"</f>
        <v/>
      </c>
      <c r="L243" s="155" t="inlineStr">
        <is>
          <t>✓</t>
        </is>
      </c>
      <c r="M243" s="153" t="inlineStr">
        <is>
          <t>Conforms (ImB spec.) ᴿ</t>
        </is>
      </c>
      <c r="N243" s="154" t="inlineStr">
        <is>
          <t>197-4-К-26, (07.08.2026) [FHM-K]</t>
        </is>
      </c>
      <c r="O243" s="155" t="inlineStr">
        <is>
          <t>✓</t>
        </is>
      </c>
      <c r="P243" s="156" t="inlineStr">
        <is>
          <t>18.91</t>
        </is>
      </c>
      <c r="Q243" s="154" t="inlineStr">
        <is>
          <t>197-4-К-26, (07.08.2026) [FHM-K]</t>
        </is>
      </c>
      <c r="R243" s="155" t="inlineStr">
        <is>
          <t>✓</t>
        </is>
      </c>
      <c r="S243" s="157" t="inlineStr">
        <is>
          <t>&lt; LOQ</t>
        </is>
      </c>
      <c r="T243" s="154" t="inlineStr">
        <is>
          <t>197-4-К-26, (07.08.2026) [FHM-K]</t>
        </is>
      </c>
      <c r="U243" s="155" t="inlineStr">
        <is>
          <t>✓</t>
        </is>
      </c>
      <c r="V243" s="157" t="inlineStr">
        <is>
          <t>&lt; LOQ</t>
        </is>
      </c>
      <c r="W243" s="154" t="inlineStr">
        <is>
          <t>197-4-К-26, (07.08.2026) [FHM-K]</t>
        </is>
      </c>
      <c r="X243" s="155" t="inlineStr">
        <is>
          <t>✓</t>
        </is>
      </c>
      <c r="Y243" s="151" t="n"/>
      <c r="Z243" s="147" t="n"/>
      <c r="AA243" s="152" t="n"/>
      <c r="AB243" s="158" t="inlineStr">
        <is>
          <t>not on this certificate</t>
        </is>
      </c>
      <c r="AC243" s="159" t="inlineStr">
        <is>
          <t>197-4-К-26, (07.08.2026) [FHM-K] · on file, not credited</t>
        </is>
      </c>
      <c r="AD243" s="160" t="inlineStr">
        <is>
          <t>•</t>
        </is>
      </c>
      <c r="AE243" s="161" t="inlineStr">
        <is>
          <t>6.2 × 10³</t>
        </is>
      </c>
      <c r="AF243" s="162" t="inlineStr">
        <is>
          <t>2.3 × 10²</t>
        </is>
      </c>
      <c r="AG243" s="162" t="inlineStr">
        <is>
          <t>&lt; 10⁴ and &gt; 10³</t>
        </is>
      </c>
      <c r="AH243" s="162" t="inlineStr">
        <is>
          <t>Absent</t>
        </is>
      </c>
      <c r="AI243" s="162" t="inlineStr">
        <is>
          <t>Absent</t>
        </is>
      </c>
      <c r="AJ243" s="155" t="inlineStr">
        <is>
          <t>✓</t>
        </is>
      </c>
      <c r="AK243" s="161" t="inlineStr">
        <is>
          <t>ND</t>
        </is>
      </c>
      <c r="AL243" s="162" t="inlineStr">
        <is>
          <t>ND</t>
        </is>
      </c>
      <c r="AM243" s="162" t="inlineStr">
        <is>
          <t>ND</t>
        </is>
      </c>
      <c r="AN243" s="155" t="inlineStr">
        <is>
          <t>✓</t>
        </is>
      </c>
      <c r="AO243" s="151" t="n"/>
      <c r="AP243" s="147" t="n"/>
      <c r="AQ243" s="147" t="n"/>
      <c r="AR243" s="147" t="n"/>
      <c r="AS243" s="152" t="n"/>
      <c r="AT243" s="151" t="n"/>
      <c r="AU243" s="147" t="n"/>
      <c r="AV243" s="163" t="n"/>
    </row>
    <row r="244" ht="39" customHeight="1" s="70">
      <c r="A244" s="164" t="n"/>
      <c r="B244" s="165" t="n"/>
      <c r="C244" s="165" t="n"/>
      <c r="D244" s="165" t="n"/>
      <c r="E244" s="165" t="n"/>
      <c r="F244" s="165" t="n"/>
      <c r="G244" s="166" t="n"/>
      <c r="H244" s="165" t="n"/>
      <c r="I244" s="167" t="n"/>
      <c r="J244" s="166" t="n"/>
      <c r="K244" s="165" t="n"/>
      <c r="L244" s="167" t="n"/>
      <c r="M244" s="166" t="n"/>
      <c r="N244" s="165" t="n"/>
      <c r="O244" s="167" t="n"/>
      <c r="P244" s="166" t="n"/>
      <c r="Q244" s="165" t="n"/>
      <c r="R244" s="167" t="n"/>
      <c r="S244" s="166" t="n"/>
      <c r="T244" s="165" t="n"/>
      <c r="U244" s="167" t="n"/>
      <c r="V244" s="166" t="n"/>
      <c r="W244" s="165" t="n"/>
      <c r="X244" s="167" t="n"/>
      <c r="Y244" s="166" t="n"/>
      <c r="Z244" s="165" t="n"/>
      <c r="AA244" s="167" t="n"/>
      <c r="AB244" s="166" t="n"/>
      <c r="AC244" s="165" t="n"/>
      <c r="AD244" s="167" t="n"/>
      <c r="AE244" s="168" t="inlineStr">
        <is>
          <t>534-1065-26, (31.08.2026) [IJZ-MB]</t>
        </is>
      </c>
      <c r="AF244" s="165" t="n"/>
      <c r="AG244" s="165" t="n"/>
      <c r="AH244" s="165" t="n"/>
      <c r="AI244" s="165" t="n"/>
      <c r="AJ244" s="167" t="n"/>
      <c r="AK244" s="168" t="inlineStr">
        <is>
          <t>197-4-М-26, (10.08.2026) [FHM-M]</t>
        </is>
      </c>
      <c r="AL244" s="165" t="n"/>
      <c r="AM244" s="165" t="n"/>
      <c r="AN244" s="167" t="n"/>
      <c r="AO244" s="166" t="n"/>
      <c r="AP244" s="165" t="n"/>
      <c r="AQ244" s="165" t="n"/>
      <c r="AR244" s="165" t="n"/>
      <c r="AS244" s="167" t="n"/>
      <c r="AT244" s="166" t="n"/>
      <c r="AU244" s="165" t="n"/>
      <c r="AV244" s="169" t="n"/>
    </row>
    <row r="245" ht="21" customHeight="1" s="70">
      <c r="A245" s="125" t="inlineStr">
        <is>
          <t>CJ062501/1</t>
        </is>
      </c>
      <c r="B245" s="126" t="inlineStr">
        <is>
          <t>P050222</t>
        </is>
      </c>
      <c r="C245" s="127" t="inlineStr">
        <is>
          <t>✓ COMPLETE
2 testing instances
• 1 document(s) on file, not credited</t>
        </is>
      </c>
      <c r="D245" s="128" t="inlineStr">
        <is>
          <t>1 of 2</t>
        </is>
      </c>
      <c r="E245" s="129" t="inlineStr">
        <is>
          <t>release testing</t>
        </is>
      </c>
      <c r="F245" s="130" t="inlineStr">
        <is>
          <t>iCoA-PP_26-027
CoQ-PP_26-028 · initial release</t>
        </is>
      </c>
      <c r="G245" s="131" t="inlineStr">
        <is>
          <t>Conforms</t>
        </is>
      </c>
      <c r="H245" s="132">
        <f>IFERROR(INDEX('iCoA Register'!$B:$B,MATCH("P050222|I",'iCoA Register'!$AA:$AA,0)),"iCoA — at issue")&amp;", (24.11.2025) [PP]"</f>
        <v/>
      </c>
      <c r="I245" s="133" t="inlineStr">
        <is>
          <t>✓</t>
        </is>
      </c>
      <c r="J245" s="134" t="inlineStr">
        <is>
          <t>not on this certificate</t>
        </is>
      </c>
      <c r="K245" s="135" t="inlineStr">
        <is>
          <t>ППК25321, (23.10.2025) [CNP] · on file, not credited</t>
        </is>
      </c>
      <c r="L245" s="136" t="inlineStr">
        <is>
          <t>•</t>
        </is>
      </c>
      <c r="M245" s="131" t="inlineStr">
        <is>
          <t>Conforms (ImB spec.)</t>
        </is>
      </c>
      <c r="N245" s="132" t="inlineStr">
        <is>
          <t>ППК25321, (23.10.2025) [CNP]</t>
        </is>
      </c>
      <c r="O245" s="133" t="inlineStr">
        <is>
          <t>✓</t>
        </is>
      </c>
      <c r="P245" s="137" t="inlineStr">
        <is>
          <t>21.51</t>
        </is>
      </c>
      <c r="Q245" s="132" t="inlineStr">
        <is>
          <t>ППК25321, (23.10.2025) [CNP]</t>
        </is>
      </c>
      <c r="R245" s="133" t="inlineStr">
        <is>
          <t>✓</t>
        </is>
      </c>
      <c r="S245" s="138" t="inlineStr">
        <is>
          <t>0.07</t>
        </is>
      </c>
      <c r="T245" s="132" t="inlineStr">
        <is>
          <t>ППК25321, (23.10.2025) [CNP]</t>
        </is>
      </c>
      <c r="U245" s="133" t="inlineStr">
        <is>
          <t>✓</t>
        </is>
      </c>
      <c r="V245" s="138" t="inlineStr">
        <is>
          <t>0.02 ᴰ</t>
        </is>
      </c>
      <c r="W245" s="132" t="inlineStr">
        <is>
          <t>ППК25321, (23.10.2025) [CNP]</t>
        </is>
      </c>
      <c r="X245" s="133" t="inlineStr">
        <is>
          <t>✓</t>
        </is>
      </c>
      <c r="Y245" s="131" t="inlineStr">
        <is>
          <t>Conforms</t>
        </is>
      </c>
      <c r="Z245" s="132">
        <f>IFERROR(INDEX('iCoA Register'!$B:$B,MATCH("P050222|I",'iCoA Register'!$AA:$AA,0)),"iCoA — at issue")&amp;", (24.11.2025) [PP]"</f>
        <v/>
      </c>
      <c r="AA245" s="133" t="inlineStr">
        <is>
          <t>✓</t>
        </is>
      </c>
      <c r="AB245" s="131" t="inlineStr">
        <is>
          <t>7.77</t>
        </is>
      </c>
      <c r="AC245" s="132" t="inlineStr">
        <is>
          <t>ППК25321, (23.10.2025) [CNP]</t>
        </is>
      </c>
      <c r="AD245" s="133" t="inlineStr">
        <is>
          <t>✓</t>
        </is>
      </c>
      <c r="AE245" s="131" t="inlineStr">
        <is>
          <t>&lt; 10</t>
        </is>
      </c>
      <c r="AF245" s="139" t="inlineStr">
        <is>
          <t>20</t>
        </is>
      </c>
      <c r="AG245" s="139" t="inlineStr">
        <is>
          <t>&lt; 10</t>
        </is>
      </c>
      <c r="AH245" s="139" t="inlineStr">
        <is>
          <t>Absent</t>
        </is>
      </c>
      <c r="AI245" s="139" t="inlineStr">
        <is>
          <t>Absent</t>
        </is>
      </c>
      <c r="AJ245" s="133" t="inlineStr">
        <is>
          <t>✓</t>
        </is>
      </c>
      <c r="AK245" s="131" t="inlineStr">
        <is>
          <t>not reported</t>
        </is>
      </c>
      <c r="AL245" s="139" t="inlineStr">
        <is>
          <t>&lt; 2</t>
        </is>
      </c>
      <c r="AM245" s="139" t="inlineStr">
        <is>
          <t>not reported</t>
        </is>
      </c>
      <c r="AN245" s="133" t="inlineStr">
        <is>
          <t>✓</t>
        </is>
      </c>
      <c r="AO245" s="131" t="inlineStr">
        <is>
          <t>0.037</t>
        </is>
      </c>
      <c r="AP245" s="139" t="inlineStr">
        <is>
          <t>0.002</t>
        </is>
      </c>
      <c r="AQ245" s="139" t="inlineStr">
        <is>
          <t>0.027</t>
        </is>
      </c>
      <c r="AR245" s="139" t="inlineStr">
        <is>
          <t>0.017</t>
        </is>
      </c>
      <c r="AS245" s="133" t="inlineStr">
        <is>
          <t>✓</t>
        </is>
      </c>
      <c r="AT245" s="131" t="inlineStr">
        <is>
          <t>≤ LOQ (all 29 compounds)</t>
        </is>
      </c>
      <c r="AU245" s="132" t="inlineStr">
        <is>
          <t>4907-2025, (24.10.2025) [IJZ]</t>
        </is>
      </c>
      <c r="AV245" s="140" t="inlineStr">
        <is>
          <t>✓</t>
        </is>
      </c>
    </row>
    <row r="246" ht="21" customHeight="1" s="70">
      <c r="A246" s="141" t="n"/>
      <c r="G246" s="142" t="n"/>
      <c r="I246" s="143" t="n"/>
      <c r="J246" s="142" t="n"/>
      <c r="L246" s="143" t="n"/>
      <c r="M246" s="142" t="n"/>
      <c r="O246" s="143" t="n"/>
      <c r="P246" s="142" t="n"/>
      <c r="R246" s="143" t="n"/>
      <c r="S246" s="142" t="n"/>
      <c r="U246" s="143" t="n"/>
      <c r="V246" s="142" t="n"/>
      <c r="X246" s="143" t="n"/>
      <c r="Y246" s="142" t="n"/>
      <c r="AA246" s="143" t="n"/>
      <c r="AB246" s="142" t="n"/>
      <c r="AD246" s="143" t="n"/>
      <c r="AE246" s="144" t="inlineStr">
        <is>
          <t>1217-2168-25, (01.12.2025) [IJZ-MB]</t>
        </is>
      </c>
      <c r="AJ246" s="143" t="n"/>
      <c r="AK246" s="144" t="inlineStr">
        <is>
          <t>4907-2025, (24.10.2025) [IJZ]</t>
        </is>
      </c>
      <c r="AN246" s="143" t="n"/>
      <c r="AO246" s="144" t="inlineStr">
        <is>
          <t>4907-2025, (24.10.2025) [IJZ]</t>
        </is>
      </c>
      <c r="AS246" s="143" t="n"/>
      <c r="AT246" s="142" t="n"/>
      <c r="AV246" s="145" t="n"/>
    </row>
    <row r="247" ht="21" customHeight="1" s="70">
      <c r="A247" s="146" t="n"/>
      <c r="B247" s="147" t="n"/>
      <c r="D247" s="148" t="inlineStr">
        <is>
          <t>2 of 2</t>
        </is>
      </c>
      <c r="E247" s="149" t="inlineStr">
        <is>
          <t>release testing + re-analysis 220 + re-test campaign (IJZ-MB)</t>
        </is>
      </c>
      <c r="F247" s="150" t="inlineStr">
        <is>
          <t>iCoA-PP_26-027
CoQ-PP_26-028 · initial release
iCoA-PP_26-126
CoQ-PP_26-110 · retest</t>
        </is>
      </c>
      <c r="G247" s="151" t="n"/>
      <c r="H247" s="147" t="n"/>
      <c r="I247" s="152" t="n"/>
      <c r="J247" s="153" t="inlineStr">
        <is>
          <t>Conforms</t>
        </is>
      </c>
      <c r="K247" s="154">
        <f>IFERROR(INDEX('iCoA Register'!$B:$B,MATCH("P050222|I",'iCoA Register'!$AA:$AA,0)),"iCoA — at issue")&amp;", (24.11.2025) [PP]"</f>
        <v/>
      </c>
      <c r="L247" s="155" t="inlineStr">
        <is>
          <t>✓</t>
        </is>
      </c>
      <c r="M247" s="153" t="inlineStr">
        <is>
          <t>Conforms (ImB spec.)</t>
        </is>
      </c>
      <c r="N247" s="154" t="inlineStr">
        <is>
          <t>220-3-К-26, (25.08.2026) [FHM-K]</t>
        </is>
      </c>
      <c r="O247" s="155" t="inlineStr">
        <is>
          <t>✓</t>
        </is>
      </c>
      <c r="P247" s="156" t="inlineStr">
        <is>
          <t>24.80</t>
        </is>
      </c>
      <c r="Q247" s="154" t="inlineStr">
        <is>
          <t>220-3-К-26, (25.08.2026) [FHM-K]</t>
        </is>
      </c>
      <c r="R247" s="155" t="inlineStr">
        <is>
          <t>✓</t>
        </is>
      </c>
      <c r="S247" s="157" t="inlineStr">
        <is>
          <t>&lt; LOQ</t>
        </is>
      </c>
      <c r="T247" s="154" t="inlineStr">
        <is>
          <t>220-3-К-26, (25.08.2026) [FHM-K]</t>
        </is>
      </c>
      <c r="U247" s="155" t="inlineStr">
        <is>
          <t>✓</t>
        </is>
      </c>
      <c r="V247" s="157" t="inlineStr">
        <is>
          <t>&lt; LOQ</t>
        </is>
      </c>
      <c r="W247" s="154" t="inlineStr">
        <is>
          <t>220-3-К-26, (25.08.2026) [FHM-K]</t>
        </is>
      </c>
      <c r="X247" s="155" t="inlineStr">
        <is>
          <t>✓</t>
        </is>
      </c>
      <c r="Y247" s="151" t="n"/>
      <c r="Z247" s="147" t="n"/>
      <c r="AA247" s="152" t="n"/>
      <c r="AB247" s="151" t="n"/>
      <c r="AC247" s="147" t="n"/>
      <c r="AD247" s="152" t="n"/>
      <c r="AE247" s="161" t="inlineStr">
        <is>
          <t>4.2 × 10³</t>
        </is>
      </c>
      <c r="AF247" s="162" t="inlineStr">
        <is>
          <t>&lt; 10</t>
        </is>
      </c>
      <c r="AG247" s="162" t="inlineStr">
        <is>
          <t>&lt; 10⁴ and &gt; 10³</t>
        </is>
      </c>
      <c r="AH247" s="162" t="inlineStr">
        <is>
          <t>Absent</t>
        </is>
      </c>
      <c r="AI247" s="162" t="inlineStr">
        <is>
          <t>Absent</t>
        </is>
      </c>
      <c r="AJ247" s="155" t="inlineStr">
        <is>
          <t>✓</t>
        </is>
      </c>
      <c r="AK247" s="161" t="inlineStr">
        <is>
          <t>ND</t>
        </is>
      </c>
      <c r="AL247" s="162" t="inlineStr">
        <is>
          <t>ND</t>
        </is>
      </c>
      <c r="AM247" s="162" t="inlineStr">
        <is>
          <t>ND</t>
        </is>
      </c>
      <c r="AN247" s="155" t="inlineStr">
        <is>
          <t>✓</t>
        </is>
      </c>
      <c r="AO247" s="151" t="n"/>
      <c r="AP247" s="147" t="n"/>
      <c r="AQ247" s="147" t="n"/>
      <c r="AR247" s="147" t="n"/>
      <c r="AS247" s="152" t="n"/>
      <c r="AT247" s="151" t="n"/>
      <c r="AU247" s="147" t="n"/>
      <c r="AV247" s="163" t="n"/>
    </row>
    <row r="248" ht="39" customHeight="1" s="70">
      <c r="A248" s="164" t="n"/>
      <c r="B248" s="165" t="n"/>
      <c r="C248" s="165" t="n"/>
      <c r="D248" s="165" t="n"/>
      <c r="E248" s="165" t="n"/>
      <c r="F248" s="165" t="n"/>
      <c r="G248" s="166" t="n"/>
      <c r="H248" s="165" t="n"/>
      <c r="I248" s="167" t="n"/>
      <c r="J248" s="166" t="n"/>
      <c r="K248" s="165" t="n"/>
      <c r="L248" s="167" t="n"/>
      <c r="M248" s="166" t="n"/>
      <c r="N248" s="165" t="n"/>
      <c r="O248" s="167" t="n"/>
      <c r="P248" s="166" t="n"/>
      <c r="Q248" s="165" t="n"/>
      <c r="R248" s="167" t="n"/>
      <c r="S248" s="166" t="n"/>
      <c r="T248" s="165" t="n"/>
      <c r="U248" s="167" t="n"/>
      <c r="V248" s="166" t="n"/>
      <c r="W248" s="165" t="n"/>
      <c r="X248" s="167" t="n"/>
      <c r="Y248" s="166" t="n"/>
      <c r="Z248" s="165" t="n"/>
      <c r="AA248" s="167" t="n"/>
      <c r="AB248" s="166" t="n"/>
      <c r="AC248" s="165" t="n"/>
      <c r="AD248" s="167" t="n"/>
      <c r="AE248" s="168" t="inlineStr">
        <is>
          <t>535-1066-26, (31.08.2026) [IJZ-MB]</t>
        </is>
      </c>
      <c r="AF248" s="165" t="n"/>
      <c r="AG248" s="165" t="n"/>
      <c r="AH248" s="165" t="n"/>
      <c r="AI248" s="165" t="n"/>
      <c r="AJ248" s="167" t="n"/>
      <c r="AK248" s="168" t="inlineStr">
        <is>
          <t>220-3-М-26, (11.09.2026) [FHM-M]</t>
        </is>
      </c>
      <c r="AL248" s="165" t="n"/>
      <c r="AM248" s="165" t="n"/>
      <c r="AN248" s="167" t="n"/>
      <c r="AO248" s="166" t="n"/>
      <c r="AP248" s="165" t="n"/>
      <c r="AQ248" s="165" t="n"/>
      <c r="AR248" s="165" t="n"/>
      <c r="AS248" s="167" t="n"/>
      <c r="AT248" s="166" t="n"/>
      <c r="AU248" s="165" t="n"/>
      <c r="AV248" s="169" t="n"/>
    </row>
    <row r="249" ht="21" customHeight="1" s="70">
      <c r="A249" s="125" t="inlineStr">
        <is>
          <t>CJ072501</t>
        </is>
      </c>
      <c r="B249" s="126" t="inlineStr">
        <is>
          <t>P050252</t>
        </is>
      </c>
      <c r="C249" s="127" t="inlineStr">
        <is>
          <t>✓ COMPLETE
2 testing instances
• 1 document(s) on file, not credited</t>
        </is>
      </c>
      <c r="D249" s="128" t="inlineStr">
        <is>
          <t>1 of 2</t>
        </is>
      </c>
      <c r="E249" s="129" t="inlineStr">
        <is>
          <t>release testing</t>
        </is>
      </c>
      <c r="F249" s="130" t="inlineStr">
        <is>
          <t>iCoA-PP_26-028
CoQ-PP_26-029 · initial release</t>
        </is>
      </c>
      <c r="G249" s="131" t="inlineStr">
        <is>
          <t>Conforms</t>
        </is>
      </c>
      <c r="H249" s="132">
        <f>IFERROR(INDEX('iCoA Register'!$B:$B,MATCH("P050252|I",'iCoA Register'!$AA:$AA,0)),"iCoA — at issue")&amp;", (27.11.2025) [PP]"</f>
        <v/>
      </c>
      <c r="I249" s="133" t="inlineStr">
        <is>
          <t>✓</t>
        </is>
      </c>
      <c r="J249" s="131" t="inlineStr">
        <is>
          <t>Conforms</t>
        </is>
      </c>
      <c r="K249" s="132">
        <f>IFERROR(INDEX('iCoA Register'!$B:$B,MATCH("P050252|I",'iCoA Register'!$AA:$AA,0)),"iCoA — at issue")&amp;", (27.11.2025) [PP]"</f>
        <v/>
      </c>
      <c r="L249" s="133" t="inlineStr">
        <is>
          <t>✓</t>
        </is>
      </c>
      <c r="M249" s="131" t="inlineStr">
        <is>
          <t>Conforms (ImB spec.)</t>
        </is>
      </c>
      <c r="N249" s="132" t="inlineStr">
        <is>
          <t>ППК25367, (28.11.2025) [CNP]</t>
        </is>
      </c>
      <c r="O249" s="133" t="inlineStr">
        <is>
          <t>✓</t>
        </is>
      </c>
      <c r="P249" s="137" t="inlineStr">
        <is>
          <t>23.70</t>
        </is>
      </c>
      <c r="Q249" s="132" t="inlineStr">
        <is>
          <t>ППК25367, (28.11.2025) [CNP]</t>
        </is>
      </c>
      <c r="R249" s="133" t="inlineStr">
        <is>
          <t>✓</t>
        </is>
      </c>
      <c r="S249" s="138" t="inlineStr">
        <is>
          <t>0.09</t>
        </is>
      </c>
      <c r="T249" s="132" t="inlineStr">
        <is>
          <t>ППК25367, (28.11.2025) [CNP]</t>
        </is>
      </c>
      <c r="U249" s="133" t="inlineStr">
        <is>
          <t>✓</t>
        </is>
      </c>
      <c r="V249" s="138" t="inlineStr">
        <is>
          <t>&lt; LOQ ᴰ</t>
        </is>
      </c>
      <c r="W249" s="132" t="inlineStr">
        <is>
          <t>ППК25367, (28.11.2025) [CNP]</t>
        </is>
      </c>
      <c r="X249" s="133" t="inlineStr">
        <is>
          <t>✓</t>
        </is>
      </c>
      <c r="Y249" s="131" t="inlineStr">
        <is>
          <t>Conforms</t>
        </is>
      </c>
      <c r="Z249" s="132">
        <f>IFERROR(INDEX('iCoA Register'!$B:$B,MATCH("P050252|I",'iCoA Register'!$AA:$AA,0)),"iCoA — at issue")&amp;", (27.11.2025) [PP]"</f>
        <v/>
      </c>
      <c r="AA249" s="133" t="inlineStr">
        <is>
          <t>✓</t>
        </is>
      </c>
      <c r="AB249" s="131" t="inlineStr">
        <is>
          <t>8.22</t>
        </is>
      </c>
      <c r="AC249" s="132" t="inlineStr">
        <is>
          <t>ППК25367, (28.11.2025) [CNP]</t>
        </is>
      </c>
      <c r="AD249" s="133" t="inlineStr">
        <is>
          <t>✓</t>
        </is>
      </c>
      <c r="AE249" s="131" t="inlineStr">
        <is>
          <t>4.5 × 10³</t>
        </is>
      </c>
      <c r="AF249" s="139" t="inlineStr">
        <is>
          <t>3.5 × 10³</t>
        </is>
      </c>
      <c r="AG249" s="139" t="inlineStr">
        <is>
          <t>&lt; 10</t>
        </is>
      </c>
      <c r="AH249" s="139" t="inlineStr">
        <is>
          <t>Absent</t>
        </is>
      </c>
      <c r="AI249" s="139" t="inlineStr">
        <is>
          <t>Absent</t>
        </is>
      </c>
      <c r="AJ249" s="133" t="inlineStr">
        <is>
          <t>✓</t>
        </is>
      </c>
      <c r="AK249" s="131" t="inlineStr">
        <is>
          <t>not reported</t>
        </is>
      </c>
      <c r="AL249" s="139" t="inlineStr">
        <is>
          <t>&lt; 2</t>
        </is>
      </c>
      <c r="AM249" s="139" t="inlineStr">
        <is>
          <t>not reported</t>
        </is>
      </c>
      <c r="AN249" s="133" t="inlineStr">
        <is>
          <t>✓</t>
        </is>
      </c>
      <c r="AO249" s="131" t="inlineStr">
        <is>
          <t>0.013</t>
        </is>
      </c>
      <c r="AP249" s="139" t="inlineStr">
        <is>
          <t>0.004</t>
        </is>
      </c>
      <c r="AQ249" s="139" t="inlineStr">
        <is>
          <t>0.011</t>
        </is>
      </c>
      <c r="AR249" s="139" t="inlineStr">
        <is>
          <t>0.002</t>
        </is>
      </c>
      <c r="AS249" s="133" t="inlineStr">
        <is>
          <t>✓</t>
        </is>
      </c>
      <c r="AT249" s="131" t="inlineStr">
        <is>
          <t>ND</t>
        </is>
      </c>
      <c r="AU249" s="132" t="inlineStr">
        <is>
          <t>5697-2025, (02.12.2025) [IJZ]</t>
        </is>
      </c>
      <c r="AV249" s="140" t="inlineStr">
        <is>
          <t>✓</t>
        </is>
      </c>
    </row>
    <row r="250" ht="21" customHeight="1" s="70">
      <c r="A250" s="141" t="n"/>
      <c r="G250" s="142" t="n"/>
      <c r="I250" s="143" t="n"/>
      <c r="J250" s="142" t="n"/>
      <c r="L250" s="143" t="n"/>
      <c r="M250" s="142" t="n"/>
      <c r="O250" s="143" t="n"/>
      <c r="P250" s="142" t="n"/>
      <c r="R250" s="143" t="n"/>
      <c r="S250" s="142" t="n"/>
      <c r="U250" s="143" t="n"/>
      <c r="V250" s="142" t="n"/>
      <c r="X250" s="143" t="n"/>
      <c r="Y250" s="142" t="n"/>
      <c r="AA250" s="143" t="n"/>
      <c r="AB250" s="142" t="n"/>
      <c r="AD250" s="143" t="n"/>
      <c r="AE250" s="144" t="inlineStr">
        <is>
          <t>1218-2169-25, (01.12.2025) [IJZ-MB]</t>
        </is>
      </c>
      <c r="AJ250" s="143" t="n"/>
      <c r="AK250" s="144" t="inlineStr">
        <is>
          <t>5697-2025, (02.12.2025) [IJZ]</t>
        </is>
      </c>
      <c r="AN250" s="143" t="n"/>
      <c r="AO250" s="144" t="inlineStr">
        <is>
          <t>5697-2025, (02.12.2025) [IJZ]</t>
        </is>
      </c>
      <c r="AS250" s="143" t="n"/>
      <c r="AT250" s="142" t="n"/>
      <c r="AV250" s="145" t="n"/>
    </row>
    <row r="251" ht="17.625" customHeight="1" s="70">
      <c r="A251" s="146" t="n"/>
      <c r="B251" s="147" t="n"/>
      <c r="D251" s="148" t="inlineStr">
        <is>
          <t>2 of 2</t>
        </is>
      </c>
      <c r="E251" s="149" t="inlineStr">
        <is>
          <t>release testing + re-analysis 227 + re-test campaign (IJZ-MB)</t>
        </is>
      </c>
      <c r="F251" s="150" t="inlineStr">
        <is>
          <t>iCoA-PP_26-028
CoQ-PP_26-029 · initial release
iCoA-PP_26-179
CoQ-PP_26-141 · retest</t>
        </is>
      </c>
      <c r="G251" s="151" t="n"/>
      <c r="H251" s="147" t="n"/>
      <c r="I251" s="152" t="n"/>
      <c r="J251" s="158" t="inlineStr">
        <is>
          <t>not on this certificate</t>
        </is>
      </c>
      <c r="K251" s="159" t="inlineStr">
        <is>
          <t>ППК25367, (28.11.2025) [CNP] · on file, not credited</t>
        </is>
      </c>
      <c r="L251" s="160" t="inlineStr">
        <is>
          <t>•</t>
        </is>
      </c>
      <c r="M251" s="153" t="inlineStr">
        <is>
          <t>Conforms (ImB spec.)</t>
        </is>
      </c>
      <c r="N251" s="154" t="inlineStr">
        <is>
          <t>227-27-К-26, (11.09.2026) [FHM-K]</t>
        </is>
      </c>
      <c r="O251" s="155" t="inlineStr">
        <is>
          <t>✓</t>
        </is>
      </c>
      <c r="P251" s="156" t="inlineStr">
        <is>
          <t>28.18</t>
        </is>
      </c>
      <c r="Q251" s="154" t="inlineStr">
        <is>
          <t>227-27-К-26, (11.09.2026) [FHM-K]</t>
        </is>
      </c>
      <c r="R251" s="155" t="inlineStr">
        <is>
          <t>✓</t>
        </is>
      </c>
      <c r="S251" s="157" t="inlineStr">
        <is>
          <t>&lt; LOQ</t>
        </is>
      </c>
      <c r="T251" s="154" t="inlineStr">
        <is>
          <t>227-27-К-26, (11.09.2026) [FHM-K]</t>
        </is>
      </c>
      <c r="U251" s="155" t="inlineStr">
        <is>
          <t>✓</t>
        </is>
      </c>
      <c r="V251" s="157" t="inlineStr">
        <is>
          <t>&lt; LOQ</t>
        </is>
      </c>
      <c r="W251" s="154" t="inlineStr">
        <is>
          <t>227-27-К-26, (11.09.2026) [FHM-K]</t>
        </is>
      </c>
      <c r="X251" s="155" t="inlineStr">
        <is>
          <t>✓</t>
        </is>
      </c>
      <c r="Y251" s="151" t="n"/>
      <c r="Z251" s="147" t="n"/>
      <c r="AA251" s="152" t="n"/>
      <c r="AB251" s="151" t="n"/>
      <c r="AC251" s="147" t="n"/>
      <c r="AD251" s="152" t="n"/>
      <c r="AE251" s="161" t="inlineStr">
        <is>
          <t>&lt; 10</t>
        </is>
      </c>
      <c r="AF251" s="162" t="inlineStr">
        <is>
          <t>&lt; 10</t>
        </is>
      </c>
      <c r="AG251" s="162" t="inlineStr">
        <is>
          <t>&lt; 10</t>
        </is>
      </c>
      <c r="AH251" s="162" t="inlineStr">
        <is>
          <t>Absent</t>
        </is>
      </c>
      <c r="AI251" s="162" t="inlineStr">
        <is>
          <t>Absent</t>
        </is>
      </c>
      <c r="AJ251" s="155" t="inlineStr">
        <is>
          <t>✓</t>
        </is>
      </c>
      <c r="AK251" s="151" t="n"/>
      <c r="AL251" s="147" t="n"/>
      <c r="AM251" s="147" t="n"/>
      <c r="AN251" s="152" t="n"/>
      <c r="AO251" s="151" t="n"/>
      <c r="AP251" s="147" t="n"/>
      <c r="AQ251" s="147" t="n"/>
      <c r="AR251" s="147" t="n"/>
      <c r="AS251" s="152" t="n"/>
      <c r="AT251" s="151" t="n"/>
      <c r="AU251" s="147" t="n"/>
      <c r="AV251" s="163" t="n"/>
    </row>
    <row r="252" ht="39" customHeight="1" s="70">
      <c r="A252" s="164" t="n"/>
      <c r="B252" s="165" t="n"/>
      <c r="C252" s="165" t="n"/>
      <c r="D252" s="165" t="n"/>
      <c r="E252" s="165" t="n"/>
      <c r="F252" s="165" t="n"/>
      <c r="G252" s="166" t="n"/>
      <c r="H252" s="165" t="n"/>
      <c r="I252" s="167" t="n"/>
      <c r="J252" s="166" t="n"/>
      <c r="K252" s="165" t="n"/>
      <c r="L252" s="167" t="n"/>
      <c r="M252" s="166" t="n"/>
      <c r="N252" s="165" t="n"/>
      <c r="O252" s="167" t="n"/>
      <c r="P252" s="166" t="n"/>
      <c r="Q252" s="165" t="n"/>
      <c r="R252" s="167" t="n"/>
      <c r="S252" s="166" t="n"/>
      <c r="T252" s="165" t="n"/>
      <c r="U252" s="167" t="n"/>
      <c r="V252" s="166" t="n"/>
      <c r="W252" s="165" t="n"/>
      <c r="X252" s="167" t="n"/>
      <c r="Y252" s="166" t="n"/>
      <c r="Z252" s="165" t="n"/>
      <c r="AA252" s="167" t="n"/>
      <c r="AB252" s="166" t="n"/>
      <c r="AC252" s="165" t="n"/>
      <c r="AD252" s="167" t="n"/>
      <c r="AE252" s="168" t="inlineStr">
        <is>
          <t>556-1087-26, (01.09.2026) [IJZ-MB]</t>
        </is>
      </c>
      <c r="AF252" s="165" t="n"/>
      <c r="AG252" s="165" t="n"/>
      <c r="AH252" s="165" t="n"/>
      <c r="AI252" s="165" t="n"/>
      <c r="AJ252" s="167" t="n"/>
      <c r="AK252" s="166" t="n"/>
      <c r="AL252" s="165" t="n"/>
      <c r="AM252" s="165" t="n"/>
      <c r="AN252" s="167" t="n"/>
      <c r="AO252" s="166" t="n"/>
      <c r="AP252" s="165" t="n"/>
      <c r="AQ252" s="165" t="n"/>
      <c r="AR252" s="165" t="n"/>
      <c r="AS252" s="167" t="n"/>
      <c r="AT252" s="166" t="n"/>
      <c r="AU252" s="165" t="n"/>
      <c r="AV252" s="169" t="n"/>
    </row>
    <row r="253" ht="21" customHeight="1" s="70">
      <c r="A253" s="125" t="inlineStr">
        <is>
          <t>WC072501</t>
        </is>
      </c>
      <c r="B253" s="126" t="inlineStr">
        <is>
          <t>P050262</t>
        </is>
      </c>
      <c r="C253" s="127" t="inlineStr">
        <is>
          <t>✓ COMPLETE
2 testing instances
• 1 document(s) on file, not credited</t>
        </is>
      </c>
      <c r="D253" s="128" t="inlineStr">
        <is>
          <t>1 of 2</t>
        </is>
      </c>
      <c r="E253" s="129" t="inlineStr">
        <is>
          <t>release testing</t>
        </is>
      </c>
      <c r="F253" s="130" t="inlineStr">
        <is>
          <t>iCoA-PP_26-029
CoQ-PP_26-030 · initial release</t>
        </is>
      </c>
      <c r="G253" s="131" t="inlineStr">
        <is>
          <t>Conforms</t>
        </is>
      </c>
      <c r="H253" s="132">
        <f>IFERROR(INDEX('iCoA Register'!$B:$B,MATCH("P050262|I",'iCoA Register'!$AA:$AA,0)),"iCoA — at issue")&amp;", (01.12.2025) [PP]"</f>
        <v/>
      </c>
      <c r="I253" s="133" t="inlineStr">
        <is>
          <t>✓</t>
        </is>
      </c>
      <c r="J253" s="134" t="inlineStr">
        <is>
          <t>not on this certificate</t>
        </is>
      </c>
      <c r="K253" s="135" t="inlineStr">
        <is>
          <t>ППК25369, (28.11.2025) [CNP] · on file, not credited</t>
        </is>
      </c>
      <c r="L253" s="136" t="inlineStr">
        <is>
          <t>•</t>
        </is>
      </c>
      <c r="M253" s="131" t="inlineStr">
        <is>
          <t>Conforms (ImB spec.)</t>
        </is>
      </c>
      <c r="N253" s="132" t="inlineStr">
        <is>
          <t>ППК25369, (28.11.2025) [CNP]</t>
        </is>
      </c>
      <c r="O253" s="133" t="inlineStr">
        <is>
          <t>✓</t>
        </is>
      </c>
      <c r="P253" s="137" t="inlineStr">
        <is>
          <t>22.11</t>
        </is>
      </c>
      <c r="Q253" s="132" t="inlineStr">
        <is>
          <t>ППК25369, (28.11.2025) [CNP]</t>
        </is>
      </c>
      <c r="R253" s="133" t="inlineStr">
        <is>
          <t>✓</t>
        </is>
      </c>
      <c r="S253" s="138" t="inlineStr">
        <is>
          <t>0.06</t>
        </is>
      </c>
      <c r="T253" s="132" t="inlineStr">
        <is>
          <t>ППК25369, (28.11.2025) [CNP]</t>
        </is>
      </c>
      <c r="U253" s="133" t="inlineStr">
        <is>
          <t>✓</t>
        </is>
      </c>
      <c r="V253" s="138" t="inlineStr">
        <is>
          <t>0.01 ᴰ</t>
        </is>
      </c>
      <c r="W253" s="132" t="inlineStr">
        <is>
          <t>ППК25369, (28.11.2025) [CNP]</t>
        </is>
      </c>
      <c r="X253" s="133" t="inlineStr">
        <is>
          <t>✓</t>
        </is>
      </c>
      <c r="Y253" s="131" t="inlineStr">
        <is>
          <t>Conforms</t>
        </is>
      </c>
      <c r="Z253" s="132">
        <f>IFERROR(INDEX('iCoA Register'!$B:$B,MATCH("P050262|I",'iCoA Register'!$AA:$AA,0)),"iCoA — at issue")&amp;", (01.12.2025) [PP]"</f>
        <v/>
      </c>
      <c r="AA253" s="133" t="inlineStr">
        <is>
          <t>✓</t>
        </is>
      </c>
      <c r="AB253" s="131" t="inlineStr">
        <is>
          <t>8.94</t>
        </is>
      </c>
      <c r="AC253" s="132" t="inlineStr">
        <is>
          <t>ППК25369, (28.11.2025) [CNP]</t>
        </is>
      </c>
      <c r="AD253" s="133" t="inlineStr">
        <is>
          <t>✓</t>
        </is>
      </c>
      <c r="AE253" s="131" t="inlineStr">
        <is>
          <t>100</t>
        </is>
      </c>
      <c r="AF253" s="139" t="inlineStr">
        <is>
          <t>90</t>
        </is>
      </c>
      <c r="AG253" s="139" t="inlineStr">
        <is>
          <t>&lt; 10</t>
        </is>
      </c>
      <c r="AH253" s="139" t="inlineStr">
        <is>
          <t>Absent</t>
        </is>
      </c>
      <c r="AI253" s="139" t="inlineStr">
        <is>
          <t>Absent</t>
        </is>
      </c>
      <c r="AJ253" s="133" t="inlineStr">
        <is>
          <t>✓</t>
        </is>
      </c>
      <c r="AK253" s="131" t="inlineStr">
        <is>
          <t>not reported</t>
        </is>
      </c>
      <c r="AL253" s="139" t="inlineStr">
        <is>
          <t>&lt; 2</t>
        </is>
      </c>
      <c r="AM253" s="139" t="inlineStr">
        <is>
          <t>not reported</t>
        </is>
      </c>
      <c r="AN253" s="133" t="inlineStr">
        <is>
          <t>✓</t>
        </is>
      </c>
      <c r="AO253" s="131" t="inlineStr">
        <is>
          <t>0.023</t>
        </is>
      </c>
      <c r="AP253" s="139" t="inlineStr">
        <is>
          <t>0.005</t>
        </is>
      </c>
      <c r="AQ253" s="139" t="inlineStr">
        <is>
          <t>0.006</t>
        </is>
      </c>
      <c r="AR253" s="139" t="inlineStr">
        <is>
          <t>0.01</t>
        </is>
      </c>
      <c r="AS253" s="133" t="inlineStr">
        <is>
          <t>✓</t>
        </is>
      </c>
      <c r="AT253" s="131" t="inlineStr">
        <is>
          <t>≤ LOQ (all 29 compounds)</t>
        </is>
      </c>
      <c r="AU253" s="132" t="inlineStr">
        <is>
          <t>5699-2025, (02.12.2025) [IJZ]</t>
        </is>
      </c>
      <c r="AV253" s="140" t="inlineStr">
        <is>
          <t>✓</t>
        </is>
      </c>
    </row>
    <row r="254" ht="21" customHeight="1" s="70">
      <c r="A254" s="141" t="n"/>
      <c r="G254" s="142" t="n"/>
      <c r="I254" s="143" t="n"/>
      <c r="J254" s="142" t="n"/>
      <c r="L254" s="143" t="n"/>
      <c r="M254" s="142" t="n"/>
      <c r="O254" s="143" t="n"/>
      <c r="P254" s="142" t="n"/>
      <c r="R254" s="143" t="n"/>
      <c r="S254" s="142" t="n"/>
      <c r="U254" s="143" t="n"/>
      <c r="V254" s="142" t="n"/>
      <c r="X254" s="143" t="n"/>
      <c r="Y254" s="142" t="n"/>
      <c r="AA254" s="143" t="n"/>
      <c r="AB254" s="142" t="n"/>
      <c r="AD254" s="143" t="n"/>
      <c r="AE254" s="144" t="inlineStr">
        <is>
          <t>1221-2172-25, (01.12.2025) [IJZ-MB]</t>
        </is>
      </c>
      <c r="AJ254" s="143" t="n"/>
      <c r="AK254" s="144" t="inlineStr">
        <is>
          <t>5699-2025, (02.12.2025) [IJZ]</t>
        </is>
      </c>
      <c r="AN254" s="143" t="n"/>
      <c r="AO254" s="144" t="inlineStr">
        <is>
          <t>5699-2025, (02.12.2025) [IJZ]</t>
        </is>
      </c>
      <c r="AS254" s="143" t="n"/>
      <c r="AT254" s="142" t="n"/>
      <c r="AV254" s="145" t="n"/>
    </row>
    <row r="255" ht="17.625" customHeight="1" s="70">
      <c r="A255" s="146" t="n"/>
      <c r="B255" s="147" t="n"/>
      <c r="D255" s="148" t="inlineStr">
        <is>
          <t>2 of 2</t>
        </is>
      </c>
      <c r="E255" s="149" t="inlineStr">
        <is>
          <t>release testing + re-analysis 227 + re-test campaign (IJZ-MB)</t>
        </is>
      </c>
      <c r="F255" s="150" t="inlineStr">
        <is>
          <t>iCoA-PP_26-029
CoQ-PP_26-030 · initial release
iCoA-PP_26-163
CoQ-PP_26-164 · retest</t>
        </is>
      </c>
      <c r="G255" s="151" t="n"/>
      <c r="H255" s="147" t="n"/>
      <c r="I255" s="152" t="n"/>
      <c r="J255" s="153" t="inlineStr">
        <is>
          <t>Conforms</t>
        </is>
      </c>
      <c r="K255" s="154">
        <f>IFERROR(INDEX('iCoA Register'!$B:$B,MATCH("P050262|I",'iCoA Register'!$AA:$AA,0)),"iCoA — at issue")&amp;", (01.12.2025) [PP]"</f>
        <v/>
      </c>
      <c r="L255" s="155" t="inlineStr">
        <is>
          <t>✓</t>
        </is>
      </c>
      <c r="M255" s="153" t="inlineStr">
        <is>
          <t>Conforms (ImB spec.)</t>
        </is>
      </c>
      <c r="N255" s="154" t="inlineStr">
        <is>
          <t>227-3-К-26, (11.09.2026) [FHM-K]</t>
        </is>
      </c>
      <c r="O255" s="155" t="inlineStr">
        <is>
          <t>✓</t>
        </is>
      </c>
      <c r="P255" s="156" t="inlineStr">
        <is>
          <t>25.37</t>
        </is>
      </c>
      <c r="Q255" s="154" t="inlineStr">
        <is>
          <t>227-3-К-26, (11.09.2026) [FHM-K]</t>
        </is>
      </c>
      <c r="R255" s="155" t="inlineStr">
        <is>
          <t>✓</t>
        </is>
      </c>
      <c r="S255" s="157" t="inlineStr">
        <is>
          <t>&lt; LOQ</t>
        </is>
      </c>
      <c r="T255" s="154" t="inlineStr">
        <is>
          <t>227-3-К-26, (11.09.2026) [FHM-K]</t>
        </is>
      </c>
      <c r="U255" s="155" t="inlineStr">
        <is>
          <t>✓</t>
        </is>
      </c>
      <c r="V255" s="157" t="inlineStr">
        <is>
          <t>&lt; LOQ</t>
        </is>
      </c>
      <c r="W255" s="154" t="inlineStr">
        <is>
          <t>227-3-К-26, (11.09.2026) [FHM-K]</t>
        </is>
      </c>
      <c r="X255" s="155" t="inlineStr">
        <is>
          <t>✓</t>
        </is>
      </c>
      <c r="Y255" s="151" t="n"/>
      <c r="Z255" s="147" t="n"/>
      <c r="AA255" s="152" t="n"/>
      <c r="AB255" s="151" t="n"/>
      <c r="AC255" s="147" t="n"/>
      <c r="AD255" s="152" t="n"/>
      <c r="AE255" s="161" t="inlineStr">
        <is>
          <t>&lt; 10</t>
        </is>
      </c>
      <c r="AF255" s="162" t="inlineStr">
        <is>
          <t>&lt; 10</t>
        </is>
      </c>
      <c r="AG255" s="162" t="inlineStr">
        <is>
          <t>&lt; 10</t>
        </is>
      </c>
      <c r="AH255" s="162" t="inlineStr">
        <is>
          <t>Absent</t>
        </is>
      </c>
      <c r="AI255" s="162" t="inlineStr">
        <is>
          <t>Absent</t>
        </is>
      </c>
      <c r="AJ255" s="155" t="inlineStr">
        <is>
          <t>✓</t>
        </is>
      </c>
      <c r="AK255" s="151" t="n"/>
      <c r="AL255" s="147" t="n"/>
      <c r="AM255" s="147" t="n"/>
      <c r="AN255" s="152" t="n"/>
      <c r="AO255" s="151" t="n"/>
      <c r="AP255" s="147" t="n"/>
      <c r="AQ255" s="147" t="n"/>
      <c r="AR255" s="147" t="n"/>
      <c r="AS255" s="152" t="n"/>
      <c r="AT255" s="151" t="n"/>
      <c r="AU255" s="147" t="n"/>
      <c r="AV255" s="163" t="n"/>
    </row>
    <row r="256" ht="39" customHeight="1" s="70">
      <c r="A256" s="164" t="n"/>
      <c r="B256" s="165" t="n"/>
      <c r="C256" s="165" t="n"/>
      <c r="D256" s="165" t="n"/>
      <c r="E256" s="165" t="n"/>
      <c r="F256" s="165" t="n"/>
      <c r="G256" s="166" t="n"/>
      <c r="H256" s="165" t="n"/>
      <c r="I256" s="167" t="n"/>
      <c r="J256" s="166" t="n"/>
      <c r="K256" s="165" t="n"/>
      <c r="L256" s="167" t="n"/>
      <c r="M256" s="166" t="n"/>
      <c r="N256" s="165" t="n"/>
      <c r="O256" s="167" t="n"/>
      <c r="P256" s="166" t="n"/>
      <c r="Q256" s="165" t="n"/>
      <c r="R256" s="167" t="n"/>
      <c r="S256" s="166" t="n"/>
      <c r="T256" s="165" t="n"/>
      <c r="U256" s="167" t="n"/>
      <c r="V256" s="166" t="n"/>
      <c r="W256" s="165" t="n"/>
      <c r="X256" s="167" t="n"/>
      <c r="Y256" s="166" t="n"/>
      <c r="Z256" s="165" t="n"/>
      <c r="AA256" s="167" t="n"/>
      <c r="AB256" s="166" t="n"/>
      <c r="AC256" s="165" t="n"/>
      <c r="AD256" s="167" t="n"/>
      <c r="AE256" s="168" t="inlineStr">
        <is>
          <t>555-1086-26, (01.09.2026) [IJZ-MB]</t>
        </is>
      </c>
      <c r="AF256" s="165" t="n"/>
      <c r="AG256" s="165" t="n"/>
      <c r="AH256" s="165" t="n"/>
      <c r="AI256" s="165" t="n"/>
      <c r="AJ256" s="167" t="n"/>
      <c r="AK256" s="166" t="n"/>
      <c r="AL256" s="165" t="n"/>
      <c r="AM256" s="165" t="n"/>
      <c r="AN256" s="167" t="n"/>
      <c r="AO256" s="166" t="n"/>
      <c r="AP256" s="165" t="n"/>
      <c r="AQ256" s="165" t="n"/>
      <c r="AR256" s="165" t="n"/>
      <c r="AS256" s="167" t="n"/>
      <c r="AT256" s="166" t="n"/>
      <c r="AU256" s="165" t="n"/>
      <c r="AV256" s="169" t="n"/>
    </row>
    <row r="257" ht="21" customHeight="1" s="70">
      <c r="A257" s="125" t="inlineStr">
        <is>
          <t>PM072501</t>
        </is>
      </c>
      <c r="B257" s="126" t="inlineStr">
        <is>
          <t>P050272</t>
        </is>
      </c>
      <c r="C257" s="127" t="inlineStr">
        <is>
          <t>✓ COMPLETE
2 testing instances
• 1 document(s) on file, not credited</t>
        </is>
      </c>
      <c r="D257" s="128" t="inlineStr">
        <is>
          <t>1 of 2</t>
        </is>
      </c>
      <c r="E257" s="129" t="inlineStr">
        <is>
          <t>release testing</t>
        </is>
      </c>
      <c r="F257" s="130" t="inlineStr">
        <is>
          <t>iCoA-PP_26-030
CoQ-PP_26-031 · initial release</t>
        </is>
      </c>
      <c r="G257" s="131" t="inlineStr">
        <is>
          <t>Conforms</t>
        </is>
      </c>
      <c r="H257" s="132">
        <f>IFERROR(INDEX('iCoA Register'!$B:$B,MATCH("P050272|I",'iCoA Register'!$AA:$AA,0)),"iCoA — at issue")&amp;", (02.12.2025) [PP]"</f>
        <v/>
      </c>
      <c r="I257" s="133" t="inlineStr">
        <is>
          <t>✓</t>
        </is>
      </c>
      <c r="J257" s="134" t="inlineStr">
        <is>
          <t>not ingested</t>
        </is>
      </c>
      <c r="K257" s="135" t="inlineStr">
        <is>
          <t>ППК25368, (28.11.2025) [CNP] · on file, not credited</t>
        </is>
      </c>
      <c r="L257" s="136" t="inlineStr">
        <is>
          <t>•</t>
        </is>
      </c>
      <c r="M257" s="131" t="inlineStr">
        <is>
          <t>Conforms (ImB spec.) ᴿ</t>
        </is>
      </c>
      <c r="N257" s="132" t="inlineStr">
        <is>
          <t>ППК25368, (28.11.2025) [CNP]</t>
        </is>
      </c>
      <c r="O257" s="133" t="inlineStr">
        <is>
          <t>✓</t>
        </is>
      </c>
      <c r="P257" s="137" t="inlineStr">
        <is>
          <t>10.01 ᴿ</t>
        </is>
      </c>
      <c r="Q257" s="132" t="inlineStr">
        <is>
          <t>ППК25368, (28.11.2025) [CNP]</t>
        </is>
      </c>
      <c r="R257" s="133" t="inlineStr">
        <is>
          <t>✓</t>
        </is>
      </c>
      <c r="S257" s="138" t="inlineStr">
        <is>
          <t>0.04 ᴿ</t>
        </is>
      </c>
      <c r="T257" s="132" t="inlineStr">
        <is>
          <t>ППК25368, (28.11.2025) [CNP]</t>
        </is>
      </c>
      <c r="U257" s="133" t="inlineStr">
        <is>
          <t>✓</t>
        </is>
      </c>
      <c r="V257" s="225" t="inlineStr">
        <is>
          <t>not ingested</t>
        </is>
      </c>
      <c r="W257" s="226" t="inlineStr">
        <is>
          <t>ППК25368, (28.11.2025) [CNP]</t>
        </is>
      </c>
      <c r="X257" s="218" t="inlineStr">
        <is>
          <t>✗</t>
        </is>
      </c>
      <c r="Y257" s="131" t="inlineStr">
        <is>
          <t>Conforms</t>
        </is>
      </c>
      <c r="Z257" s="132">
        <f>IFERROR(INDEX('iCoA Register'!$B:$B,MATCH("P050272|I",'iCoA Register'!$AA:$AA,0)),"iCoA — at issue")&amp;", (02.12.2025) [PP]"</f>
        <v/>
      </c>
      <c r="AA257" s="133" t="inlineStr">
        <is>
          <t>✓</t>
        </is>
      </c>
      <c r="AB257" s="131" t="inlineStr">
        <is>
          <t>9.52 ᴿ</t>
        </is>
      </c>
      <c r="AC257" s="132" t="inlineStr">
        <is>
          <t>ППК25368, (28.11.2025) [CNP]</t>
        </is>
      </c>
      <c r="AD257" s="133" t="inlineStr">
        <is>
          <t>✓</t>
        </is>
      </c>
      <c r="AE257" s="131" t="inlineStr">
        <is>
          <t>110 ᴿ</t>
        </is>
      </c>
      <c r="AF257" s="139" t="inlineStr">
        <is>
          <t>200 ᴿ</t>
        </is>
      </c>
      <c r="AG257" s="139" t="inlineStr">
        <is>
          <t>&lt; 10 ᴿ</t>
        </is>
      </c>
      <c r="AH257" s="139" t="inlineStr">
        <is>
          <t>Absent ᴿ</t>
        </is>
      </c>
      <c r="AI257" s="139" t="inlineStr">
        <is>
          <t>Absent ᴿ</t>
        </is>
      </c>
      <c r="AJ257" s="133" t="inlineStr">
        <is>
          <t>✓</t>
        </is>
      </c>
      <c r="AK257" s="131" t="inlineStr">
        <is>
          <t>not reported</t>
        </is>
      </c>
      <c r="AL257" s="139" t="inlineStr">
        <is>
          <t>&lt; 2 ᴿ</t>
        </is>
      </c>
      <c r="AM257" s="139" t="inlineStr">
        <is>
          <t>not reported</t>
        </is>
      </c>
      <c r="AN257" s="133" t="inlineStr">
        <is>
          <t>✓</t>
        </is>
      </c>
      <c r="AO257" s="131" t="inlineStr">
        <is>
          <t>0.021 ᴿ</t>
        </is>
      </c>
      <c r="AP257" s="139" t="inlineStr">
        <is>
          <t>0.001 ᴿ</t>
        </is>
      </c>
      <c r="AQ257" s="139" t="inlineStr">
        <is>
          <t>0.012 ᴿ</t>
        </is>
      </c>
      <c r="AR257" s="139" t="inlineStr">
        <is>
          <t>0.003 ᴿ</t>
        </is>
      </c>
      <c r="AS257" s="133" t="inlineStr">
        <is>
          <t>✓</t>
        </is>
      </c>
      <c r="AT257" s="131" t="inlineStr">
        <is>
          <t>ND ᴿ</t>
        </is>
      </c>
      <c r="AU257" s="132" t="inlineStr">
        <is>
          <t>5698-2025, (02.12.2025) [IJZ]</t>
        </is>
      </c>
      <c r="AV257" s="140" t="inlineStr">
        <is>
          <t>✓</t>
        </is>
      </c>
    </row>
    <row r="258" ht="21" customHeight="1" s="70">
      <c r="A258" s="141" t="n"/>
      <c r="G258" s="142" t="n"/>
      <c r="I258" s="143" t="n"/>
      <c r="J258" s="142" t="n"/>
      <c r="L258" s="143" t="n"/>
      <c r="M258" s="142" t="n"/>
      <c r="O258" s="143" t="n"/>
      <c r="P258" s="142" t="n"/>
      <c r="R258" s="143" t="n"/>
      <c r="S258" s="142" t="n"/>
      <c r="U258" s="143" t="n"/>
      <c r="V258" s="142" t="n"/>
      <c r="X258" s="143" t="n"/>
      <c r="Y258" s="142" t="n"/>
      <c r="AA258" s="143" t="n"/>
      <c r="AB258" s="142" t="n"/>
      <c r="AD258" s="143" t="n"/>
      <c r="AE258" s="144" t="inlineStr">
        <is>
          <t>1220-2171-25, (01.12.2025) [IJZ-MB]</t>
        </is>
      </c>
      <c r="AJ258" s="143" t="n"/>
      <c r="AK258" s="144" t="inlineStr">
        <is>
          <t>5698-2025, (02.12.2025) [IJZ]</t>
        </is>
      </c>
      <c r="AN258" s="143" t="n"/>
      <c r="AO258" s="144" t="inlineStr">
        <is>
          <t>5698-2025, (02.12.2025) [IJZ]</t>
        </is>
      </c>
      <c r="AS258" s="143" t="n"/>
      <c r="AT258" s="142" t="n"/>
      <c r="AV258" s="145" t="n"/>
    </row>
    <row r="259" ht="17.625" customHeight="1" s="70">
      <c r="A259" s="146" t="n"/>
      <c r="B259" s="147" t="n"/>
      <c r="D259" s="148" t="inlineStr">
        <is>
          <t>2 of 2</t>
        </is>
      </c>
      <c r="E259" s="149" t="inlineStr">
        <is>
          <t>release testing + re-analysis 227 + re-test campaign (IJZ-MB)</t>
        </is>
      </c>
      <c r="F259" s="150" t="inlineStr">
        <is>
          <t>iCoA-PP_26-030
CoQ-PP_26-031 · initial release
iCoA-PP_26-158
CoQ-PP_26-159 · retest</t>
        </is>
      </c>
      <c r="G259" s="151" t="n"/>
      <c r="H259" s="147" t="n"/>
      <c r="I259" s="152" t="n"/>
      <c r="J259" s="153" t="inlineStr">
        <is>
          <t>Conforms</t>
        </is>
      </c>
      <c r="K259" s="154">
        <f>IFERROR(INDEX('iCoA Register'!$B:$B,MATCH("P050272|I",'iCoA Register'!$AA:$AA,0)),"iCoA — at issue")&amp;", (02.12.2025) [PP]"</f>
        <v/>
      </c>
      <c r="L259" s="155" t="inlineStr">
        <is>
          <t>✓</t>
        </is>
      </c>
      <c r="M259" s="153" t="inlineStr">
        <is>
          <t>Conforms (ImB spec.)</t>
        </is>
      </c>
      <c r="N259" s="154" t="inlineStr">
        <is>
          <t>227-9-К-26, (11.09.2026) [FHM-K]</t>
        </is>
      </c>
      <c r="O259" s="155" t="inlineStr">
        <is>
          <t>✓</t>
        </is>
      </c>
      <c r="P259" s="156" t="inlineStr">
        <is>
          <t>12.77</t>
        </is>
      </c>
      <c r="Q259" s="154" t="inlineStr">
        <is>
          <t>227-9-К-26, (11.09.2026) [FHM-K]</t>
        </is>
      </c>
      <c r="R259" s="155" t="inlineStr">
        <is>
          <t>✓</t>
        </is>
      </c>
      <c r="S259" s="157" t="inlineStr">
        <is>
          <t>&lt; LOQ</t>
        </is>
      </c>
      <c r="T259" s="154" t="inlineStr">
        <is>
          <t>227-9-К-26, (11.09.2026) [FHM-K]</t>
        </is>
      </c>
      <c r="U259" s="155" t="inlineStr">
        <is>
          <t>✓</t>
        </is>
      </c>
      <c r="V259" s="157" t="inlineStr">
        <is>
          <t>&lt; LOQ</t>
        </is>
      </c>
      <c r="W259" s="154" t="inlineStr">
        <is>
          <t>227-9-К-26, (11.09.2026) [FHM-K]</t>
        </is>
      </c>
      <c r="X259" s="155" t="inlineStr">
        <is>
          <t>✓</t>
        </is>
      </c>
      <c r="Y259" s="151" t="n"/>
      <c r="Z259" s="147" t="n"/>
      <c r="AA259" s="152" t="n"/>
      <c r="AB259" s="151" t="n"/>
      <c r="AC259" s="147" t="n"/>
      <c r="AD259" s="152" t="n"/>
      <c r="AE259" s="161" t="inlineStr">
        <is>
          <t>&lt; 10</t>
        </is>
      </c>
      <c r="AF259" s="162" t="inlineStr">
        <is>
          <t>&lt; 10</t>
        </is>
      </c>
      <c r="AG259" s="162" t="inlineStr">
        <is>
          <t>&lt; 10</t>
        </is>
      </c>
      <c r="AH259" s="162" t="inlineStr">
        <is>
          <t>Absent</t>
        </is>
      </c>
      <c r="AI259" s="162" t="inlineStr">
        <is>
          <t>Absent</t>
        </is>
      </c>
      <c r="AJ259" s="155" t="inlineStr">
        <is>
          <t>✓</t>
        </is>
      </c>
      <c r="AK259" s="151" t="n"/>
      <c r="AL259" s="147" t="n"/>
      <c r="AM259" s="147" t="n"/>
      <c r="AN259" s="152" t="n"/>
      <c r="AO259" s="151" t="n"/>
      <c r="AP259" s="147" t="n"/>
      <c r="AQ259" s="147" t="n"/>
      <c r="AR259" s="147" t="n"/>
      <c r="AS259" s="152" t="n"/>
      <c r="AT259" s="151" t="n"/>
      <c r="AU259" s="147" t="n"/>
      <c r="AV259" s="163" t="n"/>
    </row>
    <row r="260" ht="39" customHeight="1" s="70">
      <c r="A260" s="164" t="n"/>
      <c r="B260" s="165" t="n"/>
      <c r="C260" s="165" t="n"/>
      <c r="D260" s="165" t="n"/>
      <c r="E260" s="165" t="n"/>
      <c r="F260" s="165" t="n"/>
      <c r="G260" s="166" t="n"/>
      <c r="H260" s="165" t="n"/>
      <c r="I260" s="167" t="n"/>
      <c r="J260" s="166" t="n"/>
      <c r="K260" s="165" t="n"/>
      <c r="L260" s="167" t="n"/>
      <c r="M260" s="166" t="n"/>
      <c r="N260" s="165" t="n"/>
      <c r="O260" s="167" t="n"/>
      <c r="P260" s="166" t="n"/>
      <c r="Q260" s="165" t="n"/>
      <c r="R260" s="167" t="n"/>
      <c r="S260" s="166" t="n"/>
      <c r="T260" s="165" t="n"/>
      <c r="U260" s="167" t="n"/>
      <c r="V260" s="166" t="n"/>
      <c r="W260" s="165" t="n"/>
      <c r="X260" s="167" t="n"/>
      <c r="Y260" s="166" t="n"/>
      <c r="Z260" s="165" t="n"/>
      <c r="AA260" s="167" t="n"/>
      <c r="AB260" s="166" t="n"/>
      <c r="AC260" s="165" t="n"/>
      <c r="AD260" s="167" t="n"/>
      <c r="AE260" s="168" t="inlineStr">
        <is>
          <t>554-1085-26, (01.09.2026) [IJZ-MB]</t>
        </is>
      </c>
      <c r="AF260" s="165" t="n"/>
      <c r="AG260" s="165" t="n"/>
      <c r="AH260" s="165" t="n"/>
      <c r="AI260" s="165" t="n"/>
      <c r="AJ260" s="167" t="n"/>
      <c r="AK260" s="166" t="n"/>
      <c r="AL260" s="165" t="n"/>
      <c r="AM260" s="165" t="n"/>
      <c r="AN260" s="167" t="n"/>
      <c r="AO260" s="166" t="n"/>
      <c r="AP260" s="165" t="n"/>
      <c r="AQ260" s="165" t="n"/>
      <c r="AR260" s="165" t="n"/>
      <c r="AS260" s="167" t="n"/>
      <c r="AT260" s="166" t="n"/>
      <c r="AU260" s="165" t="n"/>
      <c r="AV260" s="169" t="n"/>
    </row>
    <row r="261" ht="21" customHeight="1" s="70">
      <c r="A261" s="125" t="inlineStr">
        <is>
          <t>CLE072501</t>
        </is>
      </c>
      <c r="B261" s="126" t="inlineStr">
        <is>
          <t>P050282</t>
        </is>
      </c>
      <c r="C261" s="127" t="inlineStr">
        <is>
          <t>✓ COMPLETE
2 testing instances
• 1 document(s) on file, not credited</t>
        </is>
      </c>
      <c r="D261" s="128" t="inlineStr">
        <is>
          <t>1 of 2</t>
        </is>
      </c>
      <c r="E261" s="129" t="inlineStr">
        <is>
          <t>release testing</t>
        </is>
      </c>
      <c r="F261" s="130" t="inlineStr">
        <is>
          <t>iCoA-PP_26-031
CoQ-PP_26-032 · initial release</t>
        </is>
      </c>
      <c r="G261" s="131" t="inlineStr">
        <is>
          <t>Conforms</t>
        </is>
      </c>
      <c r="H261" s="132">
        <f>IFERROR(INDEX('iCoA Register'!$B:$B,MATCH("P050282|I",'iCoA Register'!$AA:$AA,0)),"iCoA — at issue")&amp;", (03.12.2025) [PP]"</f>
        <v/>
      </c>
      <c r="I261" s="133" t="inlineStr">
        <is>
          <t>✓</t>
        </is>
      </c>
      <c r="J261" s="134" t="inlineStr">
        <is>
          <t>not on this certificate</t>
        </is>
      </c>
      <c r="K261" s="135" t="inlineStr">
        <is>
          <t>ППК25370, (28.11.2025) [CNP] · on file, not credited</t>
        </is>
      </c>
      <c r="L261" s="136" t="inlineStr">
        <is>
          <t>•</t>
        </is>
      </c>
      <c r="M261" s="131" t="inlineStr">
        <is>
          <t>Conforms (ImB spec.)</t>
        </is>
      </c>
      <c r="N261" s="132" t="inlineStr">
        <is>
          <t>ППК25370, (28.11.2025) [CNP]</t>
        </is>
      </c>
      <c r="O261" s="133" t="inlineStr">
        <is>
          <t>✓</t>
        </is>
      </c>
      <c r="P261" s="137" t="inlineStr">
        <is>
          <t>8.02</t>
        </is>
      </c>
      <c r="Q261" s="132" t="inlineStr">
        <is>
          <t>ППК25370, (28.11.2025) [CNP]</t>
        </is>
      </c>
      <c r="R261" s="133" t="inlineStr">
        <is>
          <t>✓</t>
        </is>
      </c>
      <c r="S261" s="138" t="inlineStr">
        <is>
          <t>0.04</t>
        </is>
      </c>
      <c r="T261" s="132" t="inlineStr">
        <is>
          <t>ППК25370, (28.11.2025) [CNP]</t>
        </is>
      </c>
      <c r="U261" s="133" t="inlineStr">
        <is>
          <t>✓</t>
        </is>
      </c>
      <c r="V261" s="138" t="inlineStr">
        <is>
          <t>&lt; LOQ ᴰ</t>
        </is>
      </c>
      <c r="W261" s="132" t="inlineStr">
        <is>
          <t>ППК25370, (28.11.2025) [CNP]</t>
        </is>
      </c>
      <c r="X261" s="133" t="inlineStr">
        <is>
          <t>✓</t>
        </is>
      </c>
      <c r="Y261" s="131" t="inlineStr">
        <is>
          <t>Conforms</t>
        </is>
      </c>
      <c r="Z261" s="132">
        <f>IFERROR(INDEX('iCoA Register'!$B:$B,MATCH("P050282|I",'iCoA Register'!$AA:$AA,0)),"iCoA — at issue")&amp;", (03.12.2025) [PP]"</f>
        <v/>
      </c>
      <c r="AA261" s="133" t="inlineStr">
        <is>
          <t>✓</t>
        </is>
      </c>
      <c r="AB261" s="131" t="inlineStr">
        <is>
          <t>9.68</t>
        </is>
      </c>
      <c r="AC261" s="132" t="inlineStr">
        <is>
          <t>ППК25370, (28.11.2025) [CNP]</t>
        </is>
      </c>
      <c r="AD261" s="133" t="inlineStr">
        <is>
          <t>✓</t>
        </is>
      </c>
      <c r="AE261" s="131" t="inlineStr">
        <is>
          <t>&lt; 10</t>
        </is>
      </c>
      <c r="AF261" s="139" t="inlineStr">
        <is>
          <t>&lt; 10</t>
        </is>
      </c>
      <c r="AG261" s="139" t="inlineStr">
        <is>
          <t>&lt; 10</t>
        </is>
      </c>
      <c r="AH261" s="139" t="inlineStr">
        <is>
          <t>Absent</t>
        </is>
      </c>
      <c r="AI261" s="139" t="inlineStr">
        <is>
          <t>Absent</t>
        </is>
      </c>
      <c r="AJ261" s="133" t="inlineStr">
        <is>
          <t>✓</t>
        </is>
      </c>
      <c r="AK261" s="131" t="inlineStr">
        <is>
          <t>not reported</t>
        </is>
      </c>
      <c r="AL261" s="139" t="inlineStr">
        <is>
          <t>2.2</t>
        </is>
      </c>
      <c r="AM261" s="139" t="inlineStr">
        <is>
          <t>not reported</t>
        </is>
      </c>
      <c r="AN261" s="133" t="inlineStr">
        <is>
          <t>✓</t>
        </is>
      </c>
      <c r="AO261" s="131" t="inlineStr">
        <is>
          <t>0.032</t>
        </is>
      </c>
      <c r="AP261" s="139" t="inlineStr">
        <is>
          <t>0.002</t>
        </is>
      </c>
      <c r="AQ261" s="139" t="inlineStr">
        <is>
          <t>0.013</t>
        </is>
      </c>
      <c r="AR261" s="139" t="inlineStr">
        <is>
          <t>0.021</t>
        </is>
      </c>
      <c r="AS261" s="133" t="inlineStr">
        <is>
          <t>✓</t>
        </is>
      </c>
      <c r="AT261" s="131" t="inlineStr">
        <is>
          <t>≤ LOQ (all 27 compounds)</t>
        </is>
      </c>
      <c r="AU261" s="132" t="inlineStr">
        <is>
          <t>5700-2025, (02.12.2025) [IJZ]</t>
        </is>
      </c>
      <c r="AV261" s="140" t="inlineStr">
        <is>
          <t>✓</t>
        </is>
      </c>
    </row>
    <row r="262" ht="21" customHeight="1" s="70">
      <c r="A262" s="141" t="n"/>
      <c r="G262" s="142" t="n"/>
      <c r="I262" s="143" t="n"/>
      <c r="J262" s="142" t="n"/>
      <c r="L262" s="143" t="n"/>
      <c r="M262" s="142" t="n"/>
      <c r="O262" s="143" t="n"/>
      <c r="P262" s="142" t="n"/>
      <c r="R262" s="143" t="n"/>
      <c r="S262" s="142" t="n"/>
      <c r="U262" s="143" t="n"/>
      <c r="V262" s="142" t="n"/>
      <c r="X262" s="143" t="n"/>
      <c r="Y262" s="142" t="n"/>
      <c r="AA262" s="143" t="n"/>
      <c r="AB262" s="142" t="n"/>
      <c r="AD262" s="143" t="n"/>
      <c r="AE262" s="144" t="inlineStr">
        <is>
          <t>1219-2170-25, (01.12.2025) [IJZ-MB]</t>
        </is>
      </c>
      <c r="AJ262" s="143" t="n"/>
      <c r="AK262" s="144" t="inlineStr">
        <is>
          <t>5700-2025, (02.12.2025) [IJZ]</t>
        </is>
      </c>
      <c r="AN262" s="143" t="n"/>
      <c r="AO262" s="144" t="inlineStr">
        <is>
          <t>5700-2025, (02.12.2025) [IJZ]</t>
        </is>
      </c>
      <c r="AS262" s="143" t="n"/>
      <c r="AT262" s="142" t="n"/>
      <c r="AV262" s="145" t="n"/>
    </row>
    <row r="263" ht="17.625" customHeight="1" s="70">
      <c r="A263" s="146" t="n"/>
      <c r="B263" s="147" t="n"/>
      <c r="D263" s="148" t="inlineStr">
        <is>
          <t>2 of 2</t>
        </is>
      </c>
      <c r="E263" s="149" t="inlineStr">
        <is>
          <t>release testing + re-analysis 220</t>
        </is>
      </c>
      <c r="F263" s="150" t="inlineStr">
        <is>
          <t>iCoA-PP_26-031
CoQ-PP_26-032 · initial release
iCoA-PP_26-129
CoQ-PP_26-113 · retest</t>
        </is>
      </c>
      <c r="G263" s="151" t="n"/>
      <c r="H263" s="147" t="n"/>
      <c r="I263" s="152" t="n"/>
      <c r="J263" s="153" t="inlineStr">
        <is>
          <t>Conforms</t>
        </is>
      </c>
      <c r="K263" s="154">
        <f>IFERROR(INDEX('iCoA Register'!$B:$B,MATCH("P050282|I",'iCoA Register'!$AA:$AA,0)),"iCoA — at issue")&amp;", (03.12.2025) [PP]"</f>
        <v/>
      </c>
      <c r="L263" s="155" t="inlineStr">
        <is>
          <t>✓</t>
        </is>
      </c>
      <c r="M263" s="153" t="inlineStr">
        <is>
          <t>Conforms (ImB spec.)</t>
        </is>
      </c>
      <c r="N263" s="154" t="inlineStr">
        <is>
          <t>220-7-К-26, (25.08.2026) [FHM-K]</t>
        </is>
      </c>
      <c r="O263" s="155" t="inlineStr">
        <is>
          <t>✓</t>
        </is>
      </c>
      <c r="P263" s="156" t="inlineStr">
        <is>
          <t>8.65</t>
        </is>
      </c>
      <c r="Q263" s="154" t="inlineStr">
        <is>
          <t>220-7-К-26, (25.08.2026) [FHM-K]</t>
        </is>
      </c>
      <c r="R263" s="155" t="inlineStr">
        <is>
          <t>✓</t>
        </is>
      </c>
      <c r="S263" s="157" t="inlineStr">
        <is>
          <t>&lt; LOQ</t>
        </is>
      </c>
      <c r="T263" s="154" t="inlineStr">
        <is>
          <t>220-7-К-26, (25.08.2026) [FHM-K]</t>
        </is>
      </c>
      <c r="U263" s="155" t="inlineStr">
        <is>
          <t>✓</t>
        </is>
      </c>
      <c r="V263" s="157" t="inlineStr">
        <is>
          <t>&lt; LOQ</t>
        </is>
      </c>
      <c r="W263" s="154" t="inlineStr">
        <is>
          <t>220-7-К-26, (25.08.2026) [FHM-K]</t>
        </is>
      </c>
      <c r="X263" s="155" t="inlineStr">
        <is>
          <t>✓</t>
        </is>
      </c>
      <c r="Y263" s="151" t="n"/>
      <c r="Z263" s="147" t="n"/>
      <c r="AA263" s="152" t="n"/>
      <c r="AB263" s="151" t="n"/>
      <c r="AC263" s="147" t="n"/>
      <c r="AD263" s="152" t="n"/>
      <c r="AE263" s="151" t="n"/>
      <c r="AF263" s="147" t="n"/>
      <c r="AG263" s="147" t="n"/>
      <c r="AH263" s="147" t="n"/>
      <c r="AI263" s="147" t="n"/>
      <c r="AJ263" s="152" t="n"/>
      <c r="AK263" s="161" t="inlineStr">
        <is>
          <t>ND</t>
        </is>
      </c>
      <c r="AL263" s="162" t="inlineStr">
        <is>
          <t>ND</t>
        </is>
      </c>
      <c r="AM263" s="162" t="inlineStr">
        <is>
          <t>ND</t>
        </is>
      </c>
      <c r="AN263" s="155" t="inlineStr">
        <is>
          <t>✓</t>
        </is>
      </c>
      <c r="AO263" s="151" t="n"/>
      <c r="AP263" s="147" t="n"/>
      <c r="AQ263" s="147" t="n"/>
      <c r="AR263" s="147" t="n"/>
      <c r="AS263" s="152" t="n"/>
      <c r="AT263" s="151" t="n"/>
      <c r="AU263" s="147" t="n"/>
      <c r="AV263" s="163" t="n"/>
    </row>
    <row r="264" ht="39" customHeight="1" s="70">
      <c r="A264" s="164" t="n"/>
      <c r="B264" s="165" t="n"/>
      <c r="C264" s="165" t="n"/>
      <c r="D264" s="165" t="n"/>
      <c r="E264" s="165" t="n"/>
      <c r="F264" s="165" t="n"/>
      <c r="G264" s="166" t="n"/>
      <c r="H264" s="165" t="n"/>
      <c r="I264" s="167" t="n"/>
      <c r="J264" s="166" t="n"/>
      <c r="K264" s="165" t="n"/>
      <c r="L264" s="167" t="n"/>
      <c r="M264" s="166" t="n"/>
      <c r="N264" s="165" t="n"/>
      <c r="O264" s="167" t="n"/>
      <c r="P264" s="166" t="n"/>
      <c r="Q264" s="165" t="n"/>
      <c r="R264" s="167" t="n"/>
      <c r="S264" s="166" t="n"/>
      <c r="T264" s="165" t="n"/>
      <c r="U264" s="167" t="n"/>
      <c r="V264" s="166" t="n"/>
      <c r="W264" s="165" t="n"/>
      <c r="X264" s="167" t="n"/>
      <c r="Y264" s="166" t="n"/>
      <c r="Z264" s="165" t="n"/>
      <c r="AA264" s="167" t="n"/>
      <c r="AB264" s="166" t="n"/>
      <c r="AC264" s="165" t="n"/>
      <c r="AD264" s="167" t="n"/>
      <c r="AE264" s="166" t="n"/>
      <c r="AF264" s="165" t="n"/>
      <c r="AG264" s="165" t="n"/>
      <c r="AH264" s="165" t="n"/>
      <c r="AI264" s="165" t="n"/>
      <c r="AJ264" s="167" t="n"/>
      <c r="AK264" s="168" t="inlineStr">
        <is>
          <t>220-7-М-26, (11.09.2026) [FHM-M]</t>
        </is>
      </c>
      <c r="AL264" s="165" t="n"/>
      <c r="AM264" s="165" t="n"/>
      <c r="AN264" s="167" t="n"/>
      <c r="AO264" s="166" t="n"/>
      <c r="AP264" s="165" t="n"/>
      <c r="AQ264" s="165" t="n"/>
      <c r="AR264" s="165" t="n"/>
      <c r="AS264" s="167" t="n"/>
      <c r="AT264" s="166" t="n"/>
      <c r="AU264" s="165" t="n"/>
      <c r="AV264" s="169" t="n"/>
    </row>
    <row r="265" ht="21" customHeight="1" s="70">
      <c r="A265" s="125" t="inlineStr">
        <is>
          <t>GP072501/1</t>
        </is>
      </c>
      <c r="B265" s="126" t="inlineStr">
        <is>
          <t>P050292</t>
        </is>
      </c>
      <c r="C265" s="127" t="inlineStr">
        <is>
          <t>✓ COMPLETE
2 testing instances
• 1 document(s) on file, not credited</t>
        </is>
      </c>
      <c r="D265" s="128" t="inlineStr">
        <is>
          <t>1 of 2</t>
        </is>
      </c>
      <c r="E265" s="129" t="inlineStr">
        <is>
          <t>release testing</t>
        </is>
      </c>
      <c r="F265" s="130" t="inlineStr">
        <is>
          <t>iCoA-PP_26-032
CoQ-PP_26-033 · initial release</t>
        </is>
      </c>
      <c r="G265" s="131" t="inlineStr">
        <is>
          <t>Conforms</t>
        </is>
      </c>
      <c r="H265" s="132">
        <f>IFERROR(INDEX('iCoA Register'!$B:$B,MATCH("P050292|I",'iCoA Register'!$AA:$AA,0)),"iCoA — at issue")&amp;", (15.12.2025) [PP]"</f>
        <v/>
      </c>
      <c r="I265" s="133" t="inlineStr">
        <is>
          <t>✓</t>
        </is>
      </c>
      <c r="J265" s="134" t="inlineStr">
        <is>
          <t>not on this certificate</t>
        </is>
      </c>
      <c r="K265" s="135" t="inlineStr">
        <is>
          <t>ППК25378, (12.12.2025) [CNP] · on file, not credited</t>
        </is>
      </c>
      <c r="L265" s="136" t="inlineStr">
        <is>
          <t>•</t>
        </is>
      </c>
      <c r="M265" s="131" t="inlineStr">
        <is>
          <t>Conforms (ImB spec.)</t>
        </is>
      </c>
      <c r="N265" s="132" t="inlineStr">
        <is>
          <t>ППК25378, (12.12.2025) [CNP]</t>
        </is>
      </c>
      <c r="O265" s="133" t="inlineStr">
        <is>
          <t>✓</t>
        </is>
      </c>
      <c r="P265" s="137" t="inlineStr">
        <is>
          <t>21.36</t>
        </is>
      </c>
      <c r="Q265" s="132" t="inlineStr">
        <is>
          <t>ППК25378, (12.12.2025) [CNP]</t>
        </is>
      </c>
      <c r="R265" s="133" t="inlineStr">
        <is>
          <t>✓</t>
        </is>
      </c>
      <c r="S265" s="138" t="inlineStr">
        <is>
          <t>0.11</t>
        </is>
      </c>
      <c r="T265" s="132" t="inlineStr">
        <is>
          <t>ППК25378, (12.12.2025) [CNP]</t>
        </is>
      </c>
      <c r="U265" s="133" t="inlineStr">
        <is>
          <t>✓</t>
        </is>
      </c>
      <c r="V265" s="138" t="inlineStr">
        <is>
          <t>0.02 ᴰ</t>
        </is>
      </c>
      <c r="W265" s="132" t="inlineStr">
        <is>
          <t>ППК25378, (12.12.2025) [CNP]</t>
        </is>
      </c>
      <c r="X265" s="133" t="inlineStr">
        <is>
          <t>✓</t>
        </is>
      </c>
      <c r="Y265" s="131" t="inlineStr">
        <is>
          <t>Conforms</t>
        </is>
      </c>
      <c r="Z265" s="132">
        <f>IFERROR(INDEX('iCoA Register'!$B:$B,MATCH("P050292|I",'iCoA Register'!$AA:$AA,0)),"iCoA — at issue")&amp;", (15.12.2025) [PP]"</f>
        <v/>
      </c>
      <c r="AA265" s="133" t="inlineStr">
        <is>
          <t>✓</t>
        </is>
      </c>
      <c r="AB265" s="131" t="inlineStr">
        <is>
          <t>6.62</t>
        </is>
      </c>
      <c r="AC265" s="132" t="inlineStr">
        <is>
          <t>ППК25378, (12.12.2025) [CNP]</t>
        </is>
      </c>
      <c r="AD265" s="133" t="inlineStr">
        <is>
          <t>✓</t>
        </is>
      </c>
      <c r="AE265" s="131" t="inlineStr">
        <is>
          <t>6 × 10³</t>
        </is>
      </c>
      <c r="AF265" s="139" t="inlineStr">
        <is>
          <t>6.5 × 10³</t>
        </is>
      </c>
      <c r="AG265" s="139" t="inlineStr">
        <is>
          <t>&lt; 10</t>
        </is>
      </c>
      <c r="AH265" s="139" t="inlineStr">
        <is>
          <t>Absent</t>
        </is>
      </c>
      <c r="AI265" s="139" t="inlineStr">
        <is>
          <t>Absent</t>
        </is>
      </c>
      <c r="AJ265" s="133" t="inlineStr">
        <is>
          <t>✓</t>
        </is>
      </c>
      <c r="AK265" s="131" t="inlineStr">
        <is>
          <t>not reported</t>
        </is>
      </c>
      <c r="AL265" s="139" t="inlineStr">
        <is>
          <t>&lt; 2</t>
        </is>
      </c>
      <c r="AM265" s="139" t="inlineStr">
        <is>
          <t>not reported</t>
        </is>
      </c>
      <c r="AN265" s="133" t="inlineStr">
        <is>
          <t>✓</t>
        </is>
      </c>
      <c r="AO265" s="131" t="inlineStr">
        <is>
          <t>0.028</t>
        </is>
      </c>
      <c r="AP265" s="139" t="inlineStr">
        <is>
          <t>0.003</t>
        </is>
      </c>
      <c r="AQ265" s="139" t="inlineStr">
        <is>
          <t>0.03</t>
        </is>
      </c>
      <c r="AR265" s="139" t="inlineStr">
        <is>
          <t>0.025</t>
        </is>
      </c>
      <c r="AS265" s="133" t="inlineStr">
        <is>
          <t>✓</t>
        </is>
      </c>
      <c r="AT265" s="131" t="inlineStr">
        <is>
          <t>≤ LOQ (all 28 compounds)</t>
        </is>
      </c>
      <c r="AU265" s="132" t="inlineStr">
        <is>
          <t>5886-2025, (12.12.2025) [IJZ]</t>
        </is>
      </c>
      <c r="AV265" s="140" t="inlineStr">
        <is>
          <t>✓</t>
        </is>
      </c>
    </row>
    <row r="266" ht="21" customHeight="1" s="70">
      <c r="A266" s="141" t="n"/>
      <c r="G266" s="142" t="n"/>
      <c r="I266" s="143" t="n"/>
      <c r="J266" s="142" t="n"/>
      <c r="L266" s="143" t="n"/>
      <c r="M266" s="142" t="n"/>
      <c r="O266" s="143" t="n"/>
      <c r="P266" s="142" t="n"/>
      <c r="R266" s="143" t="n"/>
      <c r="S266" s="142" t="n"/>
      <c r="U266" s="143" t="n"/>
      <c r="V266" s="142" t="n"/>
      <c r="X266" s="143" t="n"/>
      <c r="Y266" s="142" t="n"/>
      <c r="AA266" s="143" t="n"/>
      <c r="AB266" s="142" t="n"/>
      <c r="AD266" s="143" t="n"/>
      <c r="AE266" s="144" t="inlineStr">
        <is>
          <t>1228-2194-25, (05.12.2025) [IJZ-MB]</t>
        </is>
      </c>
      <c r="AJ266" s="143" t="n"/>
      <c r="AK266" s="144" t="inlineStr">
        <is>
          <t>5886-2025, (12.12.2025) [IJZ]</t>
        </is>
      </c>
      <c r="AN266" s="143" t="n"/>
      <c r="AO266" s="144" t="inlineStr">
        <is>
          <t>5886-2025, (12.12.2025) [IJZ]</t>
        </is>
      </c>
      <c r="AS266" s="143" t="n"/>
      <c r="AT266" s="142" t="n"/>
      <c r="AV266" s="145" t="n"/>
    </row>
    <row r="267" ht="17.625" customHeight="1" s="70">
      <c r="A267" s="146" t="n"/>
      <c r="B267" s="147" t="n"/>
      <c r="D267" s="148" t="inlineStr">
        <is>
          <t>2 of 2</t>
        </is>
      </c>
      <c r="E267" s="149" t="inlineStr">
        <is>
          <t>release testing + re-analysis 227 + re-test campaign (IJZ-MB)</t>
        </is>
      </c>
      <c r="F267" s="150" t="inlineStr">
        <is>
          <t>iCoA-PP_26-032
CoQ-PP_26-033 · initial release
iCoA-PP_26-168
CoQ-PP_26-150 · retest</t>
        </is>
      </c>
      <c r="G267" s="151" t="n"/>
      <c r="H267" s="147" t="n"/>
      <c r="I267" s="152" t="n"/>
      <c r="J267" s="153" t="inlineStr">
        <is>
          <t>Conforms</t>
        </is>
      </c>
      <c r="K267" s="154">
        <f>IFERROR(INDEX('iCoA Register'!$B:$B,MATCH("P050292|I",'iCoA Register'!$AA:$AA,0)),"iCoA — at issue")&amp;", (15.12.2025) [PP]"</f>
        <v/>
      </c>
      <c r="L267" s="155" t="inlineStr">
        <is>
          <t>✓</t>
        </is>
      </c>
      <c r="M267" s="153" t="inlineStr">
        <is>
          <t>Conforms (ImB spec.)</t>
        </is>
      </c>
      <c r="N267" s="154" t="inlineStr">
        <is>
          <t>227-17-К-26, (11.09.2026) [FHM-K]</t>
        </is>
      </c>
      <c r="O267" s="155" t="inlineStr">
        <is>
          <t>✓</t>
        </is>
      </c>
      <c r="P267" s="156" t="inlineStr">
        <is>
          <t>26.54</t>
        </is>
      </c>
      <c r="Q267" s="154" t="inlineStr">
        <is>
          <t>227-17-К-26, (11.09.2026) [FHM-K]</t>
        </is>
      </c>
      <c r="R267" s="155" t="inlineStr">
        <is>
          <t>✓</t>
        </is>
      </c>
      <c r="S267" s="157" t="inlineStr">
        <is>
          <t>&lt; LOQ</t>
        </is>
      </c>
      <c r="T267" s="154" t="inlineStr">
        <is>
          <t>227-17-К-26, (11.09.2026) [FHM-K]</t>
        </is>
      </c>
      <c r="U267" s="155" t="inlineStr">
        <is>
          <t>✓</t>
        </is>
      </c>
      <c r="V267" s="157" t="inlineStr">
        <is>
          <t>&lt; LOQ</t>
        </is>
      </c>
      <c r="W267" s="154" t="inlineStr">
        <is>
          <t>227-17-К-26, (11.09.2026) [FHM-K]</t>
        </is>
      </c>
      <c r="X267" s="155" t="inlineStr">
        <is>
          <t>✓</t>
        </is>
      </c>
      <c r="Y267" s="151" t="n"/>
      <c r="Z267" s="147" t="n"/>
      <c r="AA267" s="152" t="n"/>
      <c r="AB267" s="151" t="n"/>
      <c r="AC267" s="147" t="n"/>
      <c r="AD267" s="152" t="n"/>
      <c r="AE267" s="161" t="inlineStr">
        <is>
          <t>&lt; 10</t>
        </is>
      </c>
      <c r="AF267" s="162" t="inlineStr">
        <is>
          <t>&lt; 10</t>
        </is>
      </c>
      <c r="AG267" s="162" t="inlineStr">
        <is>
          <t>&lt; 10</t>
        </is>
      </c>
      <c r="AH267" s="162" t="inlineStr">
        <is>
          <t>Absent</t>
        </is>
      </c>
      <c r="AI267" s="162" t="inlineStr">
        <is>
          <t>Absent</t>
        </is>
      </c>
      <c r="AJ267" s="155" t="inlineStr">
        <is>
          <t>✓</t>
        </is>
      </c>
      <c r="AK267" s="151" t="n"/>
      <c r="AL267" s="147" t="n"/>
      <c r="AM267" s="147" t="n"/>
      <c r="AN267" s="152" t="n"/>
      <c r="AO267" s="151" t="n"/>
      <c r="AP267" s="147" t="n"/>
      <c r="AQ267" s="147" t="n"/>
      <c r="AR267" s="147" t="n"/>
      <c r="AS267" s="152" t="n"/>
      <c r="AT267" s="151" t="n"/>
      <c r="AU267" s="147" t="n"/>
      <c r="AV267" s="163" t="n"/>
    </row>
    <row r="268" ht="39" customHeight="1" s="70">
      <c r="A268" s="164" t="n"/>
      <c r="B268" s="165" t="n"/>
      <c r="C268" s="165" t="n"/>
      <c r="D268" s="165" t="n"/>
      <c r="E268" s="165" t="n"/>
      <c r="F268" s="165" t="n"/>
      <c r="G268" s="166" t="n"/>
      <c r="H268" s="165" t="n"/>
      <c r="I268" s="167" t="n"/>
      <c r="J268" s="166" t="n"/>
      <c r="K268" s="165" t="n"/>
      <c r="L268" s="167" t="n"/>
      <c r="M268" s="166" t="n"/>
      <c r="N268" s="165" t="n"/>
      <c r="O268" s="167" t="n"/>
      <c r="P268" s="166" t="n"/>
      <c r="Q268" s="165" t="n"/>
      <c r="R268" s="167" t="n"/>
      <c r="S268" s="166" t="n"/>
      <c r="T268" s="165" t="n"/>
      <c r="U268" s="167" t="n"/>
      <c r="V268" s="166" t="n"/>
      <c r="W268" s="165" t="n"/>
      <c r="X268" s="167" t="n"/>
      <c r="Y268" s="166" t="n"/>
      <c r="Z268" s="165" t="n"/>
      <c r="AA268" s="167" t="n"/>
      <c r="AB268" s="166" t="n"/>
      <c r="AC268" s="165" t="n"/>
      <c r="AD268" s="167" t="n"/>
      <c r="AE268" s="168" t="inlineStr">
        <is>
          <t>553-1084-26, (01.09.2026) [IJZ-MB]</t>
        </is>
      </c>
      <c r="AF268" s="165" t="n"/>
      <c r="AG268" s="165" t="n"/>
      <c r="AH268" s="165" t="n"/>
      <c r="AI268" s="165" t="n"/>
      <c r="AJ268" s="167" t="n"/>
      <c r="AK268" s="166" t="n"/>
      <c r="AL268" s="165" t="n"/>
      <c r="AM268" s="165" t="n"/>
      <c r="AN268" s="167" t="n"/>
      <c r="AO268" s="166" t="n"/>
      <c r="AP268" s="165" t="n"/>
      <c r="AQ268" s="165" t="n"/>
      <c r="AR268" s="165" t="n"/>
      <c r="AS268" s="167" t="n"/>
      <c r="AT268" s="166" t="n"/>
      <c r="AU268" s="165" t="n"/>
      <c r="AV268" s="169" t="n"/>
    </row>
    <row r="269" ht="21" customHeight="1" s="70">
      <c r="A269" s="125" t="inlineStr">
        <is>
          <t>GP072501/2</t>
        </is>
      </c>
      <c r="B269" s="126" t="inlineStr">
        <is>
          <t>P050302</t>
        </is>
      </c>
      <c r="C269" s="127" t="inlineStr">
        <is>
          <t>✓ COMPLETE
2 testing instances
• 1 document(s) on file, not credited</t>
        </is>
      </c>
      <c r="D269" s="128" t="inlineStr">
        <is>
          <t>1 of 2</t>
        </is>
      </c>
      <c r="E269" s="129" t="inlineStr">
        <is>
          <t>release testing</t>
        </is>
      </c>
      <c r="F269" s="130" t="inlineStr">
        <is>
          <t>iCoA-PP_26-033
CoQ-PP_26-034 · initial release</t>
        </is>
      </c>
      <c r="G269" s="131" t="inlineStr">
        <is>
          <t>Conforms</t>
        </is>
      </c>
      <c r="H269" s="132">
        <f>IFERROR(INDEX('iCoA Register'!$B:$B,MATCH("P050302|I",'iCoA Register'!$AA:$AA,0)),"iCoA — at issue")&amp;", (22.12.2025) [PP]"</f>
        <v/>
      </c>
      <c r="I269" s="133" t="inlineStr">
        <is>
          <t>✓</t>
        </is>
      </c>
      <c r="J269" s="134" t="inlineStr">
        <is>
          <t>not on this certificate</t>
        </is>
      </c>
      <c r="K269" s="135" t="inlineStr">
        <is>
          <t>ППК25379, (12.12.2025) [CNP] · on file, not credited</t>
        </is>
      </c>
      <c r="L269" s="136" t="inlineStr">
        <is>
          <t>•</t>
        </is>
      </c>
      <c r="M269" s="131" t="inlineStr">
        <is>
          <t>Conforms (ImB spec.)</t>
        </is>
      </c>
      <c r="N269" s="132" t="inlineStr">
        <is>
          <t>ППК25379, (12.12.2025) [CNP]</t>
        </is>
      </c>
      <c r="O269" s="133" t="inlineStr">
        <is>
          <t>✓</t>
        </is>
      </c>
      <c r="P269" s="137" t="inlineStr">
        <is>
          <t>19.81</t>
        </is>
      </c>
      <c r="Q269" s="132" t="inlineStr">
        <is>
          <t>ППК25379, (12.12.2025) [CNP]</t>
        </is>
      </c>
      <c r="R269" s="133" t="inlineStr">
        <is>
          <t>✓</t>
        </is>
      </c>
      <c r="S269" s="138" t="inlineStr">
        <is>
          <t>0.10</t>
        </is>
      </c>
      <c r="T269" s="132" t="inlineStr">
        <is>
          <t>ППК25379, (12.12.2025) [CNP]</t>
        </is>
      </c>
      <c r="U269" s="133" t="inlineStr">
        <is>
          <t>✓</t>
        </is>
      </c>
      <c r="V269" s="138" t="inlineStr">
        <is>
          <t>0.03 ᴰ</t>
        </is>
      </c>
      <c r="W269" s="132" t="inlineStr">
        <is>
          <t>ППК25379, (12.12.2025) [CNP]</t>
        </is>
      </c>
      <c r="X269" s="133" t="inlineStr">
        <is>
          <t>✓</t>
        </is>
      </c>
      <c r="Y269" s="131" t="inlineStr">
        <is>
          <t>Conforms</t>
        </is>
      </c>
      <c r="Z269" s="132">
        <f>IFERROR(INDEX('iCoA Register'!$B:$B,MATCH("P050302|I",'iCoA Register'!$AA:$AA,0)),"iCoA — at issue")&amp;", (22.12.2025) [PP]"</f>
        <v/>
      </c>
      <c r="AA269" s="133" t="inlineStr">
        <is>
          <t>✓</t>
        </is>
      </c>
      <c r="AB269" s="131" t="inlineStr">
        <is>
          <t>7.41</t>
        </is>
      </c>
      <c r="AC269" s="132" t="inlineStr">
        <is>
          <t>ППК25379, (12.12.2025) [CNP]</t>
        </is>
      </c>
      <c r="AD269" s="133" t="inlineStr">
        <is>
          <t>✓</t>
        </is>
      </c>
      <c r="AE269" s="131" t="inlineStr">
        <is>
          <t>2 × 10²</t>
        </is>
      </c>
      <c r="AF269" s="139" t="inlineStr">
        <is>
          <t>3 × 10²</t>
        </is>
      </c>
      <c r="AG269" s="139" t="inlineStr">
        <is>
          <t>&lt; 10</t>
        </is>
      </c>
      <c r="AH269" s="139" t="inlineStr">
        <is>
          <t>Absent</t>
        </is>
      </c>
      <c r="AI269" s="139" t="inlineStr">
        <is>
          <t>Absent</t>
        </is>
      </c>
      <c r="AJ269" s="133" t="inlineStr">
        <is>
          <t>✓</t>
        </is>
      </c>
      <c r="AK269" s="131" t="inlineStr">
        <is>
          <t>not reported</t>
        </is>
      </c>
      <c r="AL269" s="139" t="inlineStr">
        <is>
          <t>&lt; 2</t>
        </is>
      </c>
      <c r="AM269" s="139" t="inlineStr">
        <is>
          <t>not reported</t>
        </is>
      </c>
      <c r="AN269" s="133" t="inlineStr">
        <is>
          <t>✓</t>
        </is>
      </c>
      <c r="AO269" s="131" t="inlineStr">
        <is>
          <t>0.017</t>
        </is>
      </c>
      <c r="AP269" s="139" t="inlineStr">
        <is>
          <t>0.0028</t>
        </is>
      </c>
      <c r="AQ269" s="139" t="inlineStr">
        <is>
          <t>0.02</t>
        </is>
      </c>
      <c r="AR269" s="139" t="inlineStr">
        <is>
          <t>0.019</t>
        </is>
      </c>
      <c r="AS269" s="133" t="inlineStr">
        <is>
          <t>✓</t>
        </is>
      </c>
      <c r="AT269" s="131" t="inlineStr">
        <is>
          <t>≤ LOQ (all 29 compounds)</t>
        </is>
      </c>
      <c r="AU269" s="132" t="inlineStr">
        <is>
          <t>5887-2025, (12.12.2025) [IJZ]</t>
        </is>
      </c>
      <c r="AV269" s="140" t="inlineStr">
        <is>
          <t>✓</t>
        </is>
      </c>
    </row>
    <row r="270" ht="21" customHeight="1" s="70">
      <c r="A270" s="141" t="n"/>
      <c r="G270" s="142" t="n"/>
      <c r="I270" s="143" t="n"/>
      <c r="J270" s="142" t="n"/>
      <c r="L270" s="143" t="n"/>
      <c r="M270" s="142" t="n"/>
      <c r="O270" s="143" t="n"/>
      <c r="P270" s="142" t="n"/>
      <c r="R270" s="143" t="n"/>
      <c r="S270" s="142" t="n"/>
      <c r="U270" s="143" t="n"/>
      <c r="V270" s="142" t="n"/>
      <c r="X270" s="143" t="n"/>
      <c r="Y270" s="142" t="n"/>
      <c r="AA270" s="143" t="n"/>
      <c r="AB270" s="142" t="n"/>
      <c r="AD270" s="143" t="n"/>
      <c r="AE270" s="144" t="inlineStr">
        <is>
          <t>1229-2195-25, (05.12.2025) [IJZ-MB]</t>
        </is>
      </c>
      <c r="AJ270" s="143" t="n"/>
      <c r="AK270" s="144" t="inlineStr">
        <is>
          <t>5887-2025, (12.12.2025) [IJZ]</t>
        </is>
      </c>
      <c r="AN270" s="143" t="n"/>
      <c r="AO270" s="144" t="inlineStr">
        <is>
          <t>5887-2025, (12.12.2025) [IJZ]</t>
        </is>
      </c>
      <c r="AS270" s="143" t="n"/>
      <c r="AT270" s="142" t="n"/>
      <c r="AV270" s="145" t="n"/>
    </row>
    <row r="271" ht="17.625" customHeight="1" s="70">
      <c r="A271" s="146" t="n"/>
      <c r="B271" s="147" t="n"/>
      <c r="D271" s="148" t="inlineStr">
        <is>
          <t>2 of 2</t>
        </is>
      </c>
      <c r="E271" s="149" t="inlineStr">
        <is>
          <t>release testing + re-analysis 220</t>
        </is>
      </c>
      <c r="F271" s="150" t="inlineStr">
        <is>
          <t>iCoA-PP_26-033
CoQ-PP_26-034 · initial release
iCoA-PP_26-132
CoQ-PP_26-116 · retest</t>
        </is>
      </c>
      <c r="G271" s="151" t="n"/>
      <c r="H271" s="147" t="n"/>
      <c r="I271" s="152" t="n"/>
      <c r="J271" s="153" t="inlineStr">
        <is>
          <t>Conforms</t>
        </is>
      </c>
      <c r="K271" s="154">
        <f>IFERROR(INDEX('iCoA Register'!$B:$B,MATCH("P050302|I",'iCoA Register'!$AA:$AA,0)),"iCoA — at issue")&amp;", (22.12.2025) [PP]"</f>
        <v/>
      </c>
      <c r="L271" s="155" t="inlineStr">
        <is>
          <t>✓</t>
        </is>
      </c>
      <c r="M271" s="153" t="inlineStr">
        <is>
          <t>Conforms (ImB spec.)</t>
        </is>
      </c>
      <c r="N271" s="154" t="inlineStr">
        <is>
          <t>220-10-К-26, (25.08.2026) [FHM-K]</t>
        </is>
      </c>
      <c r="O271" s="155" t="inlineStr">
        <is>
          <t>✓</t>
        </is>
      </c>
      <c r="P271" s="156" t="inlineStr">
        <is>
          <t>18.29</t>
        </is>
      </c>
      <c r="Q271" s="154" t="inlineStr">
        <is>
          <t>220-10-К-26, (25.08.2026) [FHM-K]</t>
        </is>
      </c>
      <c r="R271" s="155" t="inlineStr">
        <is>
          <t>✓</t>
        </is>
      </c>
      <c r="S271" s="157" t="inlineStr">
        <is>
          <t>&lt; LOQ</t>
        </is>
      </c>
      <c r="T271" s="154" t="inlineStr">
        <is>
          <t>220-10-К-26, (25.08.2026) [FHM-K]</t>
        </is>
      </c>
      <c r="U271" s="155" t="inlineStr">
        <is>
          <t>✓</t>
        </is>
      </c>
      <c r="V271" s="157" t="inlineStr">
        <is>
          <t>&lt; LOQ</t>
        </is>
      </c>
      <c r="W271" s="154" t="inlineStr">
        <is>
          <t>220-10-К-26, (25.08.2026) [FHM-K]</t>
        </is>
      </c>
      <c r="X271" s="155" t="inlineStr">
        <is>
          <t>✓</t>
        </is>
      </c>
      <c r="Y271" s="151" t="n"/>
      <c r="Z271" s="147" t="n"/>
      <c r="AA271" s="152" t="n"/>
      <c r="AB271" s="151" t="n"/>
      <c r="AC271" s="147" t="n"/>
      <c r="AD271" s="152" t="n"/>
      <c r="AE271" s="151" t="n"/>
      <c r="AF271" s="147" t="n"/>
      <c r="AG271" s="147" t="n"/>
      <c r="AH271" s="147" t="n"/>
      <c r="AI271" s="147" t="n"/>
      <c r="AJ271" s="152" t="n"/>
      <c r="AK271" s="161" t="inlineStr">
        <is>
          <t>ND</t>
        </is>
      </c>
      <c r="AL271" s="162" t="inlineStr">
        <is>
          <t>ND</t>
        </is>
      </c>
      <c r="AM271" s="162" t="inlineStr">
        <is>
          <t>ND</t>
        </is>
      </c>
      <c r="AN271" s="155" t="inlineStr">
        <is>
          <t>✓</t>
        </is>
      </c>
      <c r="AO271" s="151" t="n"/>
      <c r="AP271" s="147" t="n"/>
      <c r="AQ271" s="147" t="n"/>
      <c r="AR271" s="147" t="n"/>
      <c r="AS271" s="152" t="n"/>
      <c r="AT271" s="151" t="n"/>
      <c r="AU271" s="147" t="n"/>
      <c r="AV271" s="163" t="n"/>
    </row>
    <row r="272" ht="39" customHeight="1" s="70">
      <c r="A272" s="164" t="n"/>
      <c r="B272" s="165" t="n"/>
      <c r="C272" s="165" t="n"/>
      <c r="D272" s="165" t="n"/>
      <c r="E272" s="165" t="n"/>
      <c r="F272" s="165" t="n"/>
      <c r="G272" s="166" t="n"/>
      <c r="H272" s="165" t="n"/>
      <c r="I272" s="167" t="n"/>
      <c r="J272" s="166" t="n"/>
      <c r="K272" s="165" t="n"/>
      <c r="L272" s="167" t="n"/>
      <c r="M272" s="166" t="n"/>
      <c r="N272" s="165" t="n"/>
      <c r="O272" s="167" t="n"/>
      <c r="P272" s="166" t="n"/>
      <c r="Q272" s="165" t="n"/>
      <c r="R272" s="167" t="n"/>
      <c r="S272" s="166" t="n"/>
      <c r="T272" s="165" t="n"/>
      <c r="U272" s="167" t="n"/>
      <c r="V272" s="166" t="n"/>
      <c r="W272" s="165" t="n"/>
      <c r="X272" s="167" t="n"/>
      <c r="Y272" s="166" t="n"/>
      <c r="Z272" s="165" t="n"/>
      <c r="AA272" s="167" t="n"/>
      <c r="AB272" s="166" t="n"/>
      <c r="AC272" s="165" t="n"/>
      <c r="AD272" s="167" t="n"/>
      <c r="AE272" s="166" t="n"/>
      <c r="AF272" s="165" t="n"/>
      <c r="AG272" s="165" t="n"/>
      <c r="AH272" s="165" t="n"/>
      <c r="AI272" s="165" t="n"/>
      <c r="AJ272" s="167" t="n"/>
      <c r="AK272" s="168" t="inlineStr">
        <is>
          <t>220-10-М-26, (11.09.2026) [FHM-M]</t>
        </is>
      </c>
      <c r="AL272" s="165" t="n"/>
      <c r="AM272" s="165" t="n"/>
      <c r="AN272" s="167" t="n"/>
      <c r="AO272" s="166" t="n"/>
      <c r="AP272" s="165" t="n"/>
      <c r="AQ272" s="165" t="n"/>
      <c r="AR272" s="165" t="n"/>
      <c r="AS272" s="167" t="n"/>
      <c r="AT272" s="166" t="n"/>
      <c r="AU272" s="165" t="n"/>
      <c r="AV272" s="169" t="n"/>
    </row>
    <row r="273" ht="21" customHeight="1" s="70">
      <c r="A273" s="125" t="inlineStr">
        <is>
          <t>GP082501/1</t>
        </is>
      </c>
      <c r="B273" s="126" t="inlineStr">
        <is>
          <t>P050312</t>
        </is>
      </c>
      <c r="C273" s="127" t="inlineStr">
        <is>
          <t>✓ COMPLETE
2 testing instances
• 1 document(s) on file, not credited</t>
        </is>
      </c>
      <c r="D273" s="128" t="inlineStr">
        <is>
          <t>1 of 2</t>
        </is>
      </c>
      <c r="E273" s="129" t="inlineStr">
        <is>
          <t>release testing</t>
        </is>
      </c>
      <c r="F273" s="130" t="inlineStr">
        <is>
          <t>iCoA-PP_26-034
CoQ-PP_26-035 · initial release</t>
        </is>
      </c>
      <c r="G273" s="131" t="inlineStr">
        <is>
          <t>Conforms</t>
        </is>
      </c>
      <c r="H273" s="132">
        <f>IFERROR(INDEX('iCoA Register'!$B:$B,MATCH("P050312|I",'iCoA Register'!$AA:$AA,0)),"iCoA — at issue")&amp;", (23.12.2025) [PP]"</f>
        <v/>
      </c>
      <c r="I273" s="133" t="inlineStr">
        <is>
          <t>✓</t>
        </is>
      </c>
      <c r="J273" s="134" t="inlineStr">
        <is>
          <t>not on this certificate</t>
        </is>
      </c>
      <c r="K273" s="135" t="inlineStr">
        <is>
          <t>ППК25380, (12.12.2025) [CNP] · on file, not credited</t>
        </is>
      </c>
      <c r="L273" s="136" t="inlineStr">
        <is>
          <t>•</t>
        </is>
      </c>
      <c r="M273" s="131" t="inlineStr">
        <is>
          <t>Conforms (ImB spec.)</t>
        </is>
      </c>
      <c r="N273" s="132" t="inlineStr">
        <is>
          <t>ППК25380, (12.12.2025) [CNP]</t>
        </is>
      </c>
      <c r="O273" s="133" t="inlineStr">
        <is>
          <t>✓</t>
        </is>
      </c>
      <c r="P273" s="137" t="inlineStr">
        <is>
          <t>21.29</t>
        </is>
      </c>
      <c r="Q273" s="132" t="inlineStr">
        <is>
          <t>ППК25380, (12.12.2025) [CNP]</t>
        </is>
      </c>
      <c r="R273" s="133" t="inlineStr">
        <is>
          <t>✓</t>
        </is>
      </c>
      <c r="S273" s="138" t="inlineStr">
        <is>
          <t>0.08</t>
        </is>
      </c>
      <c r="T273" s="132" t="inlineStr">
        <is>
          <t>ППК25380, (12.12.2025) [CNP]</t>
        </is>
      </c>
      <c r="U273" s="133" t="inlineStr">
        <is>
          <t>✓</t>
        </is>
      </c>
      <c r="V273" s="138" t="inlineStr">
        <is>
          <t>0.03 ᴰ</t>
        </is>
      </c>
      <c r="W273" s="132" t="inlineStr">
        <is>
          <t>ППК25380, (12.12.2025) [CNP]</t>
        </is>
      </c>
      <c r="X273" s="133" t="inlineStr">
        <is>
          <t>✓</t>
        </is>
      </c>
      <c r="Y273" s="131" t="inlineStr">
        <is>
          <t>Conforms</t>
        </is>
      </c>
      <c r="Z273" s="132">
        <f>IFERROR(INDEX('iCoA Register'!$B:$B,MATCH("P050312|I",'iCoA Register'!$AA:$AA,0)),"iCoA — at issue")&amp;", (23.12.2025) [PP]"</f>
        <v/>
      </c>
      <c r="AA273" s="133" t="inlineStr">
        <is>
          <t>✓</t>
        </is>
      </c>
      <c r="AB273" s="131" t="inlineStr">
        <is>
          <t>6.29</t>
        </is>
      </c>
      <c r="AC273" s="132" t="inlineStr">
        <is>
          <t>ППК25380, (12.12.2025) [CNP]</t>
        </is>
      </c>
      <c r="AD273" s="133" t="inlineStr">
        <is>
          <t>✓</t>
        </is>
      </c>
      <c r="AE273" s="131" t="inlineStr">
        <is>
          <t>4.3 × 10²</t>
        </is>
      </c>
      <c r="AF273" s="139" t="inlineStr">
        <is>
          <t>1 × 10³</t>
        </is>
      </c>
      <c r="AG273" s="139" t="inlineStr">
        <is>
          <t>&lt; 10³ and &gt; 10² ᴿ</t>
        </is>
      </c>
      <c r="AH273" s="139" t="inlineStr">
        <is>
          <t>Absent</t>
        </is>
      </c>
      <c r="AI273" s="139" t="inlineStr">
        <is>
          <t>Absent</t>
        </is>
      </c>
      <c r="AJ273" s="133" t="inlineStr">
        <is>
          <t>✓</t>
        </is>
      </c>
      <c r="AK273" s="131" t="inlineStr">
        <is>
          <t>not reported</t>
        </is>
      </c>
      <c r="AL273" s="139" t="inlineStr">
        <is>
          <t>&lt; 2</t>
        </is>
      </c>
      <c r="AM273" s="139" t="inlineStr">
        <is>
          <t>not reported</t>
        </is>
      </c>
      <c r="AN273" s="133" t="inlineStr">
        <is>
          <t>✓</t>
        </is>
      </c>
      <c r="AO273" s="131" t="inlineStr">
        <is>
          <t>0.014</t>
        </is>
      </c>
      <c r="AP273" s="139" t="inlineStr">
        <is>
          <t>0.003</t>
        </is>
      </c>
      <c r="AQ273" s="139" t="inlineStr">
        <is>
          <t>0.02</t>
        </is>
      </c>
      <c r="AR273" s="139" t="inlineStr">
        <is>
          <t>0.017</t>
        </is>
      </c>
      <c r="AS273" s="133" t="inlineStr">
        <is>
          <t>✓</t>
        </is>
      </c>
      <c r="AT273" s="131" t="inlineStr">
        <is>
          <t>≤ LOQ (all 28 compounds)</t>
        </is>
      </c>
      <c r="AU273" s="132" t="inlineStr">
        <is>
          <t>5888-2025, (12.12.2025) [IJZ]</t>
        </is>
      </c>
      <c r="AV273" s="140" t="inlineStr">
        <is>
          <t>✓</t>
        </is>
      </c>
    </row>
    <row r="274" ht="21" customHeight="1" s="70">
      <c r="A274" s="141" t="n"/>
      <c r="G274" s="142" t="n"/>
      <c r="I274" s="143" t="n"/>
      <c r="J274" s="142" t="n"/>
      <c r="L274" s="143" t="n"/>
      <c r="M274" s="142" t="n"/>
      <c r="O274" s="143" t="n"/>
      <c r="P274" s="142" t="n"/>
      <c r="R274" s="143" t="n"/>
      <c r="S274" s="142" t="n"/>
      <c r="U274" s="143" t="n"/>
      <c r="V274" s="142" t="n"/>
      <c r="X274" s="143" t="n"/>
      <c r="Y274" s="142" t="n"/>
      <c r="AA274" s="143" t="n"/>
      <c r="AB274" s="142" t="n"/>
      <c r="AD274" s="143" t="n"/>
      <c r="AE274" s="144" t="inlineStr">
        <is>
          <t>1226-2192-25, (05.12.2025) [IJZ-MB]</t>
        </is>
      </c>
      <c r="AJ274" s="143" t="n"/>
      <c r="AK274" s="144" t="inlineStr">
        <is>
          <t>5888-2025, (12.12.2025) [IJZ]</t>
        </is>
      </c>
      <c r="AN274" s="143" t="n"/>
      <c r="AO274" s="144" t="inlineStr">
        <is>
          <t>5888-2025, (12.12.2025) [IJZ]</t>
        </is>
      </c>
      <c r="AS274" s="143" t="n"/>
      <c r="AT274" s="142" t="n"/>
      <c r="AV274" s="145" t="n"/>
    </row>
    <row r="275" ht="17.625" customHeight="1" s="70">
      <c r="A275" s="146" t="n"/>
      <c r="B275" s="147" t="n"/>
      <c r="D275" s="148" t="inlineStr">
        <is>
          <t>2 of 2</t>
        </is>
      </c>
      <c r="E275" s="149" t="inlineStr">
        <is>
          <t>release testing + re-analysis 220</t>
        </is>
      </c>
      <c r="F275" s="150" t="inlineStr">
        <is>
          <t>iCoA-PP_26-034
CoQ-PP_26-035 · initial release
iCoA-PP_26-134
CoQ-PP_26-118 · retest</t>
        </is>
      </c>
      <c r="G275" s="151" t="n"/>
      <c r="H275" s="147" t="n"/>
      <c r="I275" s="152" t="n"/>
      <c r="J275" s="153" t="inlineStr">
        <is>
          <t>Conforms</t>
        </is>
      </c>
      <c r="K275" s="154">
        <f>IFERROR(INDEX('iCoA Register'!$B:$B,MATCH("P050312|I",'iCoA Register'!$AA:$AA,0)),"iCoA — at issue")&amp;", (23.12.2025) [PP]"</f>
        <v/>
      </c>
      <c r="L275" s="155" t="inlineStr">
        <is>
          <t>✓</t>
        </is>
      </c>
      <c r="M275" s="153" t="inlineStr">
        <is>
          <t>Conforms (ImB spec.)</t>
        </is>
      </c>
      <c r="N275" s="154" t="inlineStr">
        <is>
          <t>220-12-К-26, (25.08.2026) [FHM-K]</t>
        </is>
      </c>
      <c r="O275" s="155" t="inlineStr">
        <is>
          <t>✓</t>
        </is>
      </c>
      <c r="P275" s="156" t="inlineStr">
        <is>
          <t>25.13</t>
        </is>
      </c>
      <c r="Q275" s="154" t="inlineStr">
        <is>
          <t>220-12-К-26, (25.08.2026) [FHM-K]</t>
        </is>
      </c>
      <c r="R275" s="155" t="inlineStr">
        <is>
          <t>✓</t>
        </is>
      </c>
      <c r="S275" s="157" t="inlineStr">
        <is>
          <t>&lt; LOQ</t>
        </is>
      </c>
      <c r="T275" s="154" t="inlineStr">
        <is>
          <t>220-12-К-26, (25.08.2026) [FHM-K]</t>
        </is>
      </c>
      <c r="U275" s="155" t="inlineStr">
        <is>
          <t>✓</t>
        </is>
      </c>
      <c r="V275" s="157" t="inlineStr">
        <is>
          <t>&lt; LOQ</t>
        </is>
      </c>
      <c r="W275" s="154" t="inlineStr">
        <is>
          <t>220-12-К-26, (25.08.2026) [FHM-K]</t>
        </is>
      </c>
      <c r="X275" s="155" t="inlineStr">
        <is>
          <t>✓</t>
        </is>
      </c>
      <c r="Y275" s="151" t="n"/>
      <c r="Z275" s="147" t="n"/>
      <c r="AA275" s="152" t="n"/>
      <c r="AB275" s="151" t="n"/>
      <c r="AC275" s="147" t="n"/>
      <c r="AD275" s="152" t="n"/>
      <c r="AE275" s="151" t="n"/>
      <c r="AF275" s="147" t="n"/>
      <c r="AG275" s="147" t="n"/>
      <c r="AH275" s="147" t="n"/>
      <c r="AI275" s="147" t="n"/>
      <c r="AJ275" s="152" t="n"/>
      <c r="AK275" s="161" t="inlineStr">
        <is>
          <t>ND</t>
        </is>
      </c>
      <c r="AL275" s="162" t="inlineStr">
        <is>
          <t>ND</t>
        </is>
      </c>
      <c r="AM275" s="162" t="inlineStr">
        <is>
          <t>ND</t>
        </is>
      </c>
      <c r="AN275" s="155" t="inlineStr">
        <is>
          <t>✓</t>
        </is>
      </c>
      <c r="AO275" s="151" t="n"/>
      <c r="AP275" s="147" t="n"/>
      <c r="AQ275" s="147" t="n"/>
      <c r="AR275" s="147" t="n"/>
      <c r="AS275" s="152" t="n"/>
      <c r="AT275" s="151" t="n"/>
      <c r="AU275" s="147" t="n"/>
      <c r="AV275" s="163" t="n"/>
    </row>
    <row r="276" ht="39" customHeight="1" s="70">
      <c r="A276" s="164" t="n"/>
      <c r="B276" s="165" t="n"/>
      <c r="C276" s="165" t="n"/>
      <c r="D276" s="165" t="n"/>
      <c r="E276" s="165" t="n"/>
      <c r="F276" s="165" t="n"/>
      <c r="G276" s="166" t="n"/>
      <c r="H276" s="165" t="n"/>
      <c r="I276" s="167" t="n"/>
      <c r="J276" s="166" t="n"/>
      <c r="K276" s="165" t="n"/>
      <c r="L276" s="167" t="n"/>
      <c r="M276" s="166" t="n"/>
      <c r="N276" s="165" t="n"/>
      <c r="O276" s="167" t="n"/>
      <c r="P276" s="166" t="n"/>
      <c r="Q276" s="165" t="n"/>
      <c r="R276" s="167" t="n"/>
      <c r="S276" s="166" t="n"/>
      <c r="T276" s="165" t="n"/>
      <c r="U276" s="167" t="n"/>
      <c r="V276" s="166" t="n"/>
      <c r="W276" s="165" t="n"/>
      <c r="X276" s="167" t="n"/>
      <c r="Y276" s="166" t="n"/>
      <c r="Z276" s="165" t="n"/>
      <c r="AA276" s="167" t="n"/>
      <c r="AB276" s="166" t="n"/>
      <c r="AC276" s="165" t="n"/>
      <c r="AD276" s="167" t="n"/>
      <c r="AE276" s="166" t="n"/>
      <c r="AF276" s="165" t="n"/>
      <c r="AG276" s="165" t="n"/>
      <c r="AH276" s="165" t="n"/>
      <c r="AI276" s="165" t="n"/>
      <c r="AJ276" s="167" t="n"/>
      <c r="AK276" s="168" t="inlineStr">
        <is>
          <t>220-12-М-26, (11.09.2026) [FHM-M]</t>
        </is>
      </c>
      <c r="AL276" s="165" t="n"/>
      <c r="AM276" s="165" t="n"/>
      <c r="AN276" s="167" t="n"/>
      <c r="AO276" s="166" t="n"/>
      <c r="AP276" s="165" t="n"/>
      <c r="AQ276" s="165" t="n"/>
      <c r="AR276" s="165" t="n"/>
      <c r="AS276" s="167" t="n"/>
      <c r="AT276" s="166" t="n"/>
      <c r="AU276" s="165" t="n"/>
      <c r="AV276" s="169" t="n"/>
    </row>
    <row r="277" ht="21" customHeight="1" s="70">
      <c r="A277" s="125" t="inlineStr">
        <is>
          <t>GP082501/2</t>
        </is>
      </c>
      <c r="B277" s="126" t="inlineStr">
        <is>
          <t>P050322</t>
        </is>
      </c>
      <c r="C277" s="127" t="inlineStr">
        <is>
          <t>✓ COMPLETE
2 testing instances
• 2 document(s) on file, not credited</t>
        </is>
      </c>
      <c r="D277" s="128" t="inlineStr">
        <is>
          <t>1 of 2</t>
        </is>
      </c>
      <c r="E277" s="129" t="inlineStr">
        <is>
          <t>release testing</t>
        </is>
      </c>
      <c r="F277" s="130" t="inlineStr">
        <is>
          <t>iCoA-PP_26-035
CoQ-PP_26-036 · initial release</t>
        </is>
      </c>
      <c r="G277" s="131" t="inlineStr">
        <is>
          <t>Conforms</t>
        </is>
      </c>
      <c r="H277" s="132">
        <f>IFERROR(INDEX('iCoA Register'!$B:$B,MATCH("P050322|I",'iCoA Register'!$AA:$AA,0)),"iCoA — at issue")&amp;", (26.12.2025) [PP]"</f>
        <v/>
      </c>
      <c r="I277" s="133" t="inlineStr">
        <is>
          <t>✓</t>
        </is>
      </c>
      <c r="J277" s="134" t="inlineStr">
        <is>
          <t>not on this certificate</t>
        </is>
      </c>
      <c r="K277" s="135" t="inlineStr">
        <is>
          <t>ППК25381, (12.12.2025) [CNP] · on file, not credited</t>
        </is>
      </c>
      <c r="L277" s="136" t="inlineStr">
        <is>
          <t>•</t>
        </is>
      </c>
      <c r="M277" s="131" t="inlineStr">
        <is>
          <t>Conforms (ImB spec.)</t>
        </is>
      </c>
      <c r="N277" s="132" t="inlineStr">
        <is>
          <t>ППК25381, (12.12.2025) [CNP]</t>
        </is>
      </c>
      <c r="O277" s="133" t="inlineStr">
        <is>
          <t>✓</t>
        </is>
      </c>
      <c r="P277" s="137" t="inlineStr">
        <is>
          <t>14.83</t>
        </is>
      </c>
      <c r="Q277" s="132" t="inlineStr">
        <is>
          <t>ППК25381, (12.12.2025) [CNP]</t>
        </is>
      </c>
      <c r="R277" s="133" t="inlineStr">
        <is>
          <t>✓</t>
        </is>
      </c>
      <c r="S277" s="138" t="inlineStr">
        <is>
          <t>0.11</t>
        </is>
      </c>
      <c r="T277" s="132" t="inlineStr">
        <is>
          <t>ППК25381, (12.12.2025) [CNP]</t>
        </is>
      </c>
      <c r="U277" s="133" t="inlineStr">
        <is>
          <t>✓</t>
        </is>
      </c>
      <c r="V277" s="138" t="inlineStr">
        <is>
          <t>0.02 ᴰ</t>
        </is>
      </c>
      <c r="W277" s="132" t="inlineStr">
        <is>
          <t>ППК25381, (12.12.2025) [CNP]</t>
        </is>
      </c>
      <c r="X277" s="133" t="inlineStr">
        <is>
          <t>✓</t>
        </is>
      </c>
      <c r="Y277" s="131" t="inlineStr">
        <is>
          <t>Conforms</t>
        </is>
      </c>
      <c r="Z277" s="132">
        <f>IFERROR(INDEX('iCoA Register'!$B:$B,MATCH("P050322|I",'iCoA Register'!$AA:$AA,0)),"iCoA — at issue")&amp;", (26.12.2025) [PP]"</f>
        <v/>
      </c>
      <c r="AA277" s="133" t="inlineStr">
        <is>
          <t>✓</t>
        </is>
      </c>
      <c r="AB277" s="131" t="inlineStr">
        <is>
          <t>6.88</t>
        </is>
      </c>
      <c r="AC277" s="132" t="inlineStr">
        <is>
          <t>ППК25381, (12.12.2025) [CNP]</t>
        </is>
      </c>
      <c r="AD277" s="133" t="inlineStr">
        <is>
          <t>✓</t>
        </is>
      </c>
      <c r="AE277" s="131" t="inlineStr">
        <is>
          <t>3.2 × 10³</t>
        </is>
      </c>
      <c r="AF277" s="139" t="inlineStr">
        <is>
          <t>5.8 × 10³</t>
        </is>
      </c>
      <c r="AG277" s="139" t="inlineStr">
        <is>
          <t>&lt; 10⁴ and &gt; 10³</t>
        </is>
      </c>
      <c r="AH277" s="139" t="inlineStr">
        <is>
          <t>Absent</t>
        </is>
      </c>
      <c r="AI277" s="139" t="inlineStr">
        <is>
          <t>Absent</t>
        </is>
      </c>
      <c r="AJ277" s="133" t="inlineStr">
        <is>
          <t>✓</t>
        </is>
      </c>
      <c r="AK277" s="131" t="inlineStr">
        <is>
          <t>not reported</t>
        </is>
      </c>
      <c r="AL277" s="139" t="inlineStr">
        <is>
          <t>&lt; 2</t>
        </is>
      </c>
      <c r="AM277" s="139" t="inlineStr">
        <is>
          <t>not reported</t>
        </is>
      </c>
      <c r="AN277" s="133" t="inlineStr">
        <is>
          <t>✓</t>
        </is>
      </c>
      <c r="AO277" s="131" t="inlineStr">
        <is>
          <t>0.013</t>
        </is>
      </c>
      <c r="AP277" s="139" t="inlineStr">
        <is>
          <t>0.003</t>
        </is>
      </c>
      <c r="AQ277" s="139" t="inlineStr">
        <is>
          <t>0.02</t>
        </is>
      </c>
      <c r="AR277" s="139" t="inlineStr">
        <is>
          <t>0.016</t>
        </is>
      </c>
      <c r="AS277" s="133" t="inlineStr">
        <is>
          <t>✓</t>
        </is>
      </c>
      <c r="AT277" s="131" t="inlineStr">
        <is>
          <t>≤ LOQ (all 29 compounds)</t>
        </is>
      </c>
      <c r="AU277" s="132" t="inlineStr">
        <is>
          <t>5889-2025, (12.12.2025) [IJZ]</t>
        </is>
      </c>
      <c r="AV277" s="140" t="inlineStr">
        <is>
          <t>✓</t>
        </is>
      </c>
    </row>
    <row r="278" ht="21" customHeight="1" s="70">
      <c r="A278" s="141" t="n"/>
      <c r="G278" s="142" t="n"/>
      <c r="I278" s="143" t="n"/>
      <c r="J278" s="142" t="n"/>
      <c r="L278" s="143" t="n"/>
      <c r="M278" s="142" t="n"/>
      <c r="O278" s="143" t="n"/>
      <c r="P278" s="142" t="n"/>
      <c r="R278" s="143" t="n"/>
      <c r="S278" s="142" t="n"/>
      <c r="U278" s="143" t="n"/>
      <c r="V278" s="142" t="n"/>
      <c r="X278" s="143" t="n"/>
      <c r="Y278" s="142" t="n"/>
      <c r="AA278" s="143" t="n"/>
      <c r="AB278" s="142" t="n"/>
      <c r="AD278" s="143" t="n"/>
      <c r="AE278" s="144" t="inlineStr">
        <is>
          <t>1227-2193-25, (05.12.2025) [IJZ-MB]</t>
        </is>
      </c>
      <c r="AJ278" s="143" t="n"/>
      <c r="AK278" s="144" t="inlineStr">
        <is>
          <t>5889-2025, (12.12.2025) [IJZ]</t>
        </is>
      </c>
      <c r="AN278" s="143" t="n"/>
      <c r="AO278" s="144" t="inlineStr">
        <is>
          <t>5889-2025, (12.12.2025) [IJZ]</t>
        </is>
      </c>
      <c r="AS278" s="143" t="n"/>
      <c r="AT278" s="142" t="n"/>
      <c r="AV278" s="145" t="n"/>
    </row>
    <row r="279" ht="17.625" customHeight="1" s="70">
      <c r="A279" s="146" t="n"/>
      <c r="B279" s="147" t="n"/>
      <c r="D279" s="148" t="inlineStr">
        <is>
          <t>2 of 2</t>
        </is>
      </c>
      <c r="E279" s="149" t="inlineStr">
        <is>
          <t>release testing + re-analysis 197</t>
        </is>
      </c>
      <c r="F279" s="150" t="inlineStr">
        <is>
          <t>iCoA-PP_26-035
CoQ-PP_26-036 · initial release
iCoA-PP_26-111
CoQ-PP_26-096 · retest</t>
        </is>
      </c>
      <c r="G279" s="151" t="n"/>
      <c r="H279" s="147" t="n"/>
      <c r="I279" s="152" t="n"/>
      <c r="J279" s="153" t="inlineStr">
        <is>
          <t>Conforms</t>
        </is>
      </c>
      <c r="K279" s="154">
        <f>IFERROR(INDEX('iCoA Register'!$B:$B,MATCH("P050322|I",'iCoA Register'!$AA:$AA,0)),"iCoA — at issue")&amp;", (26.12.2025) [PP]"</f>
        <v/>
      </c>
      <c r="L279" s="155" t="inlineStr">
        <is>
          <t>✓</t>
        </is>
      </c>
      <c r="M279" s="153" t="inlineStr">
        <is>
          <t>Conforms (ImB spec.) ᴿ</t>
        </is>
      </c>
      <c r="N279" s="154" t="inlineStr">
        <is>
          <t>197-12-К-26, (07.08.2026) [FHM-K]</t>
        </is>
      </c>
      <c r="O279" s="155" t="inlineStr">
        <is>
          <t>✓</t>
        </is>
      </c>
      <c r="P279" s="156" t="inlineStr">
        <is>
          <t>15.70</t>
        </is>
      </c>
      <c r="Q279" s="154" t="inlineStr">
        <is>
          <t>197-12-К-26, (07.08.2026) [FHM-K]</t>
        </is>
      </c>
      <c r="R279" s="155" t="inlineStr">
        <is>
          <t>✓</t>
        </is>
      </c>
      <c r="S279" s="157" t="inlineStr">
        <is>
          <t>&lt; LOQ</t>
        </is>
      </c>
      <c r="T279" s="154" t="inlineStr">
        <is>
          <t>197-12-К-26, (07.08.2026) [FHM-K]</t>
        </is>
      </c>
      <c r="U279" s="155" t="inlineStr">
        <is>
          <t>✓</t>
        </is>
      </c>
      <c r="V279" s="157" t="inlineStr">
        <is>
          <t>&lt; LOQ</t>
        </is>
      </c>
      <c r="W279" s="154" t="inlineStr">
        <is>
          <t>197-12-К-26, (07.08.2026) [FHM-K]</t>
        </is>
      </c>
      <c r="X279" s="155" t="inlineStr">
        <is>
          <t>✓</t>
        </is>
      </c>
      <c r="Y279" s="151" t="n"/>
      <c r="Z279" s="147" t="n"/>
      <c r="AA279" s="152" t="n"/>
      <c r="AB279" s="158" t="inlineStr">
        <is>
          <t>not on this certificate</t>
        </is>
      </c>
      <c r="AC279" s="159" t="inlineStr">
        <is>
          <t>197-12-К-26, (07.08.2026) [FHM-K] · on file, not credited</t>
        </is>
      </c>
      <c r="AD279" s="160" t="inlineStr">
        <is>
          <t>•</t>
        </is>
      </c>
      <c r="AE279" s="151" t="n"/>
      <c r="AF279" s="147" t="n"/>
      <c r="AG279" s="147" t="n"/>
      <c r="AH279" s="147" t="n"/>
      <c r="AI279" s="147" t="n"/>
      <c r="AJ279" s="152" t="n"/>
      <c r="AK279" s="161" t="inlineStr">
        <is>
          <t>ND</t>
        </is>
      </c>
      <c r="AL279" s="162" t="inlineStr">
        <is>
          <t>ND</t>
        </is>
      </c>
      <c r="AM279" s="162" t="inlineStr">
        <is>
          <t>ND</t>
        </is>
      </c>
      <c r="AN279" s="155" t="inlineStr">
        <is>
          <t>✓</t>
        </is>
      </c>
      <c r="AO279" s="151" t="n"/>
      <c r="AP279" s="147" t="n"/>
      <c r="AQ279" s="147" t="n"/>
      <c r="AR279" s="147" t="n"/>
      <c r="AS279" s="152" t="n"/>
      <c r="AT279" s="151" t="n"/>
      <c r="AU279" s="147" t="n"/>
      <c r="AV279" s="163" t="n"/>
    </row>
    <row r="280" ht="39" customHeight="1" s="70">
      <c r="A280" s="164" t="n"/>
      <c r="B280" s="165" t="n"/>
      <c r="C280" s="165" t="n"/>
      <c r="D280" s="165" t="n"/>
      <c r="E280" s="165" t="n"/>
      <c r="F280" s="165" t="n"/>
      <c r="G280" s="166" t="n"/>
      <c r="H280" s="165" t="n"/>
      <c r="I280" s="167" t="n"/>
      <c r="J280" s="166" t="n"/>
      <c r="K280" s="165" t="n"/>
      <c r="L280" s="167" t="n"/>
      <c r="M280" s="166" t="n"/>
      <c r="N280" s="165" t="n"/>
      <c r="O280" s="167" t="n"/>
      <c r="P280" s="166" t="n"/>
      <c r="Q280" s="165" t="n"/>
      <c r="R280" s="167" t="n"/>
      <c r="S280" s="166" t="n"/>
      <c r="T280" s="165" t="n"/>
      <c r="U280" s="167" t="n"/>
      <c r="V280" s="166" t="n"/>
      <c r="W280" s="165" t="n"/>
      <c r="X280" s="167" t="n"/>
      <c r="Y280" s="166" t="n"/>
      <c r="Z280" s="165" t="n"/>
      <c r="AA280" s="167" t="n"/>
      <c r="AB280" s="166" t="n"/>
      <c r="AC280" s="165" t="n"/>
      <c r="AD280" s="167" t="n"/>
      <c r="AE280" s="166" t="n"/>
      <c r="AF280" s="165" t="n"/>
      <c r="AG280" s="165" t="n"/>
      <c r="AH280" s="165" t="n"/>
      <c r="AI280" s="165" t="n"/>
      <c r="AJ280" s="167" t="n"/>
      <c r="AK280" s="168" t="inlineStr">
        <is>
          <t>197-12-М-26, (10.08.2026) [FHM-M]</t>
        </is>
      </c>
      <c r="AL280" s="165" t="n"/>
      <c r="AM280" s="165" t="n"/>
      <c r="AN280" s="167" t="n"/>
      <c r="AO280" s="166" t="n"/>
      <c r="AP280" s="165" t="n"/>
      <c r="AQ280" s="165" t="n"/>
      <c r="AR280" s="165" t="n"/>
      <c r="AS280" s="167" t="n"/>
      <c r="AT280" s="166" t="n"/>
      <c r="AU280" s="165" t="n"/>
      <c r="AV280" s="169" t="n"/>
    </row>
    <row r="281" ht="21" customHeight="1" s="70">
      <c r="A281" s="125" t="inlineStr">
        <is>
          <t>WC082501</t>
        </is>
      </c>
      <c r="B281" s="126" t="inlineStr">
        <is>
          <t>P060012</t>
        </is>
      </c>
      <c r="C281" s="127" t="inlineStr">
        <is>
          <t>✓ COMPLETE
2 testing instances
• 1 document(s) on file, not credited</t>
        </is>
      </c>
      <c r="D281" s="128" t="inlineStr">
        <is>
          <t>1 of 2</t>
        </is>
      </c>
      <c r="E281" s="129" t="inlineStr">
        <is>
          <t>release testing</t>
        </is>
      </c>
      <c r="F281" s="130" t="inlineStr">
        <is>
          <t>iCoA-PP_26-036
CoQ-PP_26-037 · initial release</t>
        </is>
      </c>
      <c r="G281" s="131" t="inlineStr">
        <is>
          <t>Conforms</t>
        </is>
      </c>
      <c r="H281" s="132">
        <f>IFERROR(INDEX('iCoA Register'!$B:$B,MATCH("P060012|I",'iCoA Register'!$AA:$AA,0)),"iCoA — at issue")&amp;", (13.01.2026) [PP]"</f>
        <v/>
      </c>
      <c r="I281" s="133" t="inlineStr">
        <is>
          <t>✓</t>
        </is>
      </c>
      <c r="J281" s="131" t="inlineStr">
        <is>
          <t>Conforms</t>
        </is>
      </c>
      <c r="K281" s="132">
        <f>IFERROR(INDEX('iCoA Register'!$B:$B,MATCH("P060012|I",'iCoA Register'!$AA:$AA,0)),"iCoA — at issue")&amp;", (13.01.2026) [PP]"</f>
        <v/>
      </c>
      <c r="L281" s="133" t="inlineStr">
        <is>
          <t>✓</t>
        </is>
      </c>
      <c r="M281" s="131" t="inlineStr">
        <is>
          <t>Conforms (ImB spec.)</t>
        </is>
      </c>
      <c r="N281" s="132" t="inlineStr">
        <is>
          <t>ППК26001, (21.01.2026) [CNP]</t>
        </is>
      </c>
      <c r="O281" s="133" t="inlineStr">
        <is>
          <t>✓</t>
        </is>
      </c>
      <c r="P281" s="137" t="inlineStr">
        <is>
          <t>21.67</t>
        </is>
      </c>
      <c r="Q281" s="132" t="inlineStr">
        <is>
          <t>ППК26001, (21.01.2026) [CNP]</t>
        </is>
      </c>
      <c r="R281" s="133" t="inlineStr">
        <is>
          <t>✓</t>
        </is>
      </c>
      <c r="S281" s="138" t="inlineStr">
        <is>
          <t>0.08</t>
        </is>
      </c>
      <c r="T281" s="132" t="inlineStr">
        <is>
          <t>ППК26001, (21.01.2026) [CNP]</t>
        </is>
      </c>
      <c r="U281" s="133" t="inlineStr">
        <is>
          <t>✓</t>
        </is>
      </c>
      <c r="V281" s="138" t="inlineStr">
        <is>
          <t>0.02 ᴰ</t>
        </is>
      </c>
      <c r="W281" s="132" t="inlineStr">
        <is>
          <t>ППК26001, (21.01.2026) [CNP]</t>
        </is>
      </c>
      <c r="X281" s="133" t="inlineStr">
        <is>
          <t>✓</t>
        </is>
      </c>
      <c r="Y281" s="131" t="inlineStr">
        <is>
          <t>Conforms</t>
        </is>
      </c>
      <c r="Z281" s="132">
        <f>IFERROR(INDEX('iCoA Register'!$B:$B,MATCH("P060012|I",'iCoA Register'!$AA:$AA,0)),"iCoA — at issue")&amp;", (13.01.2026) [PP]"</f>
        <v/>
      </c>
      <c r="AA281" s="133" t="inlineStr">
        <is>
          <t>✓</t>
        </is>
      </c>
      <c r="AB281" s="131" t="inlineStr">
        <is>
          <t>7.50</t>
        </is>
      </c>
      <c r="AC281" s="132" t="inlineStr">
        <is>
          <t>ППК26001, (21.01.2026) [CNP]</t>
        </is>
      </c>
      <c r="AD281" s="133" t="inlineStr">
        <is>
          <t>✓</t>
        </is>
      </c>
      <c r="AE281" s="131" t="inlineStr">
        <is>
          <t>10</t>
        </is>
      </c>
      <c r="AF281" s="139" t="inlineStr">
        <is>
          <t>30</t>
        </is>
      </c>
      <c r="AG281" s="139" t="inlineStr">
        <is>
          <t>&lt; 10</t>
        </is>
      </c>
      <c r="AH281" s="139" t="inlineStr">
        <is>
          <t>Absent</t>
        </is>
      </c>
      <c r="AI281" s="139" t="inlineStr">
        <is>
          <t>Absent</t>
        </is>
      </c>
      <c r="AJ281" s="133" t="inlineStr">
        <is>
          <t>✓</t>
        </is>
      </c>
      <c r="AK281" s="131" t="inlineStr">
        <is>
          <t>not reported</t>
        </is>
      </c>
      <c r="AL281" s="139" t="inlineStr">
        <is>
          <t>&lt; 2</t>
        </is>
      </c>
      <c r="AM281" s="139" t="inlineStr">
        <is>
          <t>not reported</t>
        </is>
      </c>
      <c r="AN281" s="133" t="inlineStr">
        <is>
          <t>✓</t>
        </is>
      </c>
      <c r="AO281" s="131" t="inlineStr">
        <is>
          <t>ND</t>
        </is>
      </c>
      <c r="AP281" s="139" t="inlineStr">
        <is>
          <t>ND</t>
        </is>
      </c>
      <c r="AQ281" s="139" t="inlineStr">
        <is>
          <t>ND</t>
        </is>
      </c>
      <c r="AR281" s="139" t="inlineStr">
        <is>
          <t>ND</t>
        </is>
      </c>
      <c r="AS281" s="133" t="inlineStr">
        <is>
          <t>✓</t>
        </is>
      </c>
      <c r="AT281" s="131" t="inlineStr">
        <is>
          <t>≤ LOQ (all 29 compounds)</t>
        </is>
      </c>
      <c r="AU281" s="132" t="inlineStr">
        <is>
          <t>80-2026, (02.02.2026) [IJZ]</t>
        </is>
      </c>
      <c r="AV281" s="140" t="inlineStr">
        <is>
          <t>✓</t>
        </is>
      </c>
    </row>
    <row r="282" ht="21" customHeight="1" s="70">
      <c r="A282" s="141" t="n"/>
      <c r="G282" s="142" t="n"/>
      <c r="I282" s="143" t="n"/>
      <c r="J282" s="142" t="n"/>
      <c r="L282" s="143" t="n"/>
      <c r="M282" s="142" t="n"/>
      <c r="O282" s="143" t="n"/>
      <c r="P282" s="142" t="n"/>
      <c r="R282" s="143" t="n"/>
      <c r="S282" s="142" t="n"/>
      <c r="U282" s="143" t="n"/>
      <c r="V282" s="142" t="n"/>
      <c r="X282" s="143" t="n"/>
      <c r="Y282" s="142" t="n"/>
      <c r="AA282" s="143" t="n"/>
      <c r="AB282" s="142" t="n"/>
      <c r="AD282" s="143" t="n"/>
      <c r="AE282" s="144" t="inlineStr">
        <is>
          <t>3-0006-26, (20.01.2026) [IJZ-MB]</t>
        </is>
      </c>
      <c r="AJ282" s="143" t="n"/>
      <c r="AK282" s="144" t="inlineStr">
        <is>
          <t>80-2026, (02.02.2026) [IJZ]</t>
        </is>
      </c>
      <c r="AN282" s="143" t="n"/>
      <c r="AO282" s="144" t="inlineStr">
        <is>
          <t>80-2026, (02.02.2026) [IJZ]</t>
        </is>
      </c>
      <c r="AS282" s="143" t="n"/>
      <c r="AT282" s="142" t="n"/>
      <c r="AV282" s="145" t="n"/>
    </row>
    <row r="283" ht="17.625" customHeight="1" s="70">
      <c r="A283" s="146" t="n"/>
      <c r="B283" s="147" t="n"/>
      <c r="D283" s="148" t="inlineStr">
        <is>
          <t>2 of 2</t>
        </is>
      </c>
      <c r="E283" s="149" t="inlineStr">
        <is>
          <t>release testing + re-analysis 220</t>
        </is>
      </c>
      <c r="F283" s="150" t="inlineStr">
        <is>
          <t>iCoA-PP_26-036
CoQ-PP_26-037 · initial release
iCoA-PP_26-154
CoQ-PP_26-135 · retest</t>
        </is>
      </c>
      <c r="G283" s="151" t="n"/>
      <c r="H283" s="147" t="n"/>
      <c r="I283" s="152" t="n"/>
      <c r="J283" s="158" t="inlineStr">
        <is>
          <t>not on this certificate</t>
        </is>
      </c>
      <c r="K283" s="159" t="inlineStr">
        <is>
          <t>ППК26001, (21.01.2026) [CNP] · on file, not credited</t>
        </is>
      </c>
      <c r="L283" s="160" t="inlineStr">
        <is>
          <t>•</t>
        </is>
      </c>
      <c r="M283" s="153" t="inlineStr">
        <is>
          <t>Conforms (ImB spec.)</t>
        </is>
      </c>
      <c r="N283" s="154" t="inlineStr">
        <is>
          <t>220-28-К-26, (26.08.2026) [FHM-K]</t>
        </is>
      </c>
      <c r="O283" s="155" t="inlineStr">
        <is>
          <t>✓</t>
        </is>
      </c>
      <c r="P283" s="156" t="inlineStr">
        <is>
          <t>23.48</t>
        </is>
      </c>
      <c r="Q283" s="154" t="inlineStr">
        <is>
          <t>220-28-К-26, (26.08.2026) [FHM-K]</t>
        </is>
      </c>
      <c r="R283" s="155" t="inlineStr">
        <is>
          <t>✓</t>
        </is>
      </c>
      <c r="S283" s="157" t="inlineStr">
        <is>
          <t>&lt; LOQ</t>
        </is>
      </c>
      <c r="T283" s="154" t="inlineStr">
        <is>
          <t>220-28-К-26, (26.08.2026) [FHM-K]</t>
        </is>
      </c>
      <c r="U283" s="155" t="inlineStr">
        <is>
          <t>✓</t>
        </is>
      </c>
      <c r="V283" s="157" t="inlineStr">
        <is>
          <t>&lt; LOQ</t>
        </is>
      </c>
      <c r="W283" s="154" t="inlineStr">
        <is>
          <t>220-28-К-26, (26.08.2026) [FHM-K]</t>
        </is>
      </c>
      <c r="X283" s="155" t="inlineStr">
        <is>
          <t>✓</t>
        </is>
      </c>
      <c r="Y283" s="151" t="n"/>
      <c r="Z283" s="147" t="n"/>
      <c r="AA283" s="152" t="n"/>
      <c r="AB283" s="151" t="n"/>
      <c r="AC283" s="147" t="n"/>
      <c r="AD283" s="152" t="n"/>
      <c r="AE283" s="151" t="n"/>
      <c r="AF283" s="147" t="n"/>
      <c r="AG283" s="147" t="n"/>
      <c r="AH283" s="147" t="n"/>
      <c r="AI283" s="147" t="n"/>
      <c r="AJ283" s="152" t="n"/>
      <c r="AK283" s="161" t="inlineStr">
        <is>
          <t>ND</t>
        </is>
      </c>
      <c r="AL283" s="162" t="inlineStr">
        <is>
          <t>ND</t>
        </is>
      </c>
      <c r="AM283" s="162" t="inlineStr">
        <is>
          <t>ND</t>
        </is>
      </c>
      <c r="AN283" s="155" t="inlineStr">
        <is>
          <t>✓</t>
        </is>
      </c>
      <c r="AO283" s="151" t="n"/>
      <c r="AP283" s="147" t="n"/>
      <c r="AQ283" s="147" t="n"/>
      <c r="AR283" s="147" t="n"/>
      <c r="AS283" s="152" t="n"/>
      <c r="AT283" s="151" t="n"/>
      <c r="AU283" s="147" t="n"/>
      <c r="AV283" s="163" t="n"/>
    </row>
    <row r="284" ht="39" customHeight="1" s="70">
      <c r="A284" s="164" t="n"/>
      <c r="B284" s="165" t="n"/>
      <c r="C284" s="165" t="n"/>
      <c r="D284" s="165" t="n"/>
      <c r="E284" s="165" t="n"/>
      <c r="F284" s="165" t="n"/>
      <c r="G284" s="166" t="n"/>
      <c r="H284" s="165" t="n"/>
      <c r="I284" s="167" t="n"/>
      <c r="J284" s="166" t="n"/>
      <c r="K284" s="165" t="n"/>
      <c r="L284" s="167" t="n"/>
      <c r="M284" s="166" t="n"/>
      <c r="N284" s="165" t="n"/>
      <c r="O284" s="167" t="n"/>
      <c r="P284" s="166" t="n"/>
      <c r="Q284" s="165" t="n"/>
      <c r="R284" s="167" t="n"/>
      <c r="S284" s="166" t="n"/>
      <c r="T284" s="165" t="n"/>
      <c r="U284" s="167" t="n"/>
      <c r="V284" s="166" t="n"/>
      <c r="W284" s="165" t="n"/>
      <c r="X284" s="167" t="n"/>
      <c r="Y284" s="166" t="n"/>
      <c r="Z284" s="165" t="n"/>
      <c r="AA284" s="167" t="n"/>
      <c r="AB284" s="166" t="n"/>
      <c r="AC284" s="165" t="n"/>
      <c r="AD284" s="167" t="n"/>
      <c r="AE284" s="166" t="n"/>
      <c r="AF284" s="165" t="n"/>
      <c r="AG284" s="165" t="n"/>
      <c r="AH284" s="165" t="n"/>
      <c r="AI284" s="165" t="n"/>
      <c r="AJ284" s="167" t="n"/>
      <c r="AK284" s="168" t="inlineStr">
        <is>
          <t>220-28-М-26, (11.09.2026) [FHM-M]</t>
        </is>
      </c>
      <c r="AL284" s="165" t="n"/>
      <c r="AM284" s="165" t="n"/>
      <c r="AN284" s="167" t="n"/>
      <c r="AO284" s="166" t="n"/>
      <c r="AP284" s="165" t="n"/>
      <c r="AQ284" s="165" t="n"/>
      <c r="AR284" s="165" t="n"/>
      <c r="AS284" s="167" t="n"/>
      <c r="AT284" s="166" t="n"/>
      <c r="AU284" s="165" t="n"/>
      <c r="AV284" s="169" t="n"/>
    </row>
    <row r="285" ht="21" customHeight="1" s="70">
      <c r="A285" s="125" t="inlineStr">
        <is>
          <t>CJ082501/1</t>
        </is>
      </c>
      <c r="B285" s="126" t="inlineStr">
        <is>
          <t>P060022</t>
        </is>
      </c>
      <c r="C285" s="127" t="inlineStr">
        <is>
          <t>✓ COMPLETE
2 testing instances
• 1 document(s) on file, not credited</t>
        </is>
      </c>
      <c r="D285" s="128" t="inlineStr">
        <is>
          <t>1 of 2</t>
        </is>
      </c>
      <c r="E285" s="129" t="inlineStr">
        <is>
          <t>release testing</t>
        </is>
      </c>
      <c r="F285" s="130" t="inlineStr">
        <is>
          <t>iCoA-PP_26-037
CoQ-PP_26-038 · initial release</t>
        </is>
      </c>
      <c r="G285" s="131" t="inlineStr">
        <is>
          <t>Conforms</t>
        </is>
      </c>
      <c r="H285" s="132">
        <f>IFERROR(INDEX('iCoA Register'!$B:$B,MATCH("P060022|I",'iCoA Register'!$AA:$AA,0)),"iCoA — at issue")&amp;", (16.01.2026) [PP]"</f>
        <v/>
      </c>
      <c r="I285" s="133" t="inlineStr">
        <is>
          <t>✓</t>
        </is>
      </c>
      <c r="J285" s="131" t="inlineStr">
        <is>
          <t>Conforms</t>
        </is>
      </c>
      <c r="K285" s="132">
        <f>IFERROR(INDEX('iCoA Register'!$B:$B,MATCH("P060022|I",'iCoA Register'!$AA:$AA,0)),"iCoA — at issue")&amp;", (16.01.2026) [PP]"</f>
        <v/>
      </c>
      <c r="L285" s="133" t="inlineStr">
        <is>
          <t>✓</t>
        </is>
      </c>
      <c r="M285" s="131" t="inlineStr">
        <is>
          <t>Conforms (ImB spec.)</t>
        </is>
      </c>
      <c r="N285" s="132" t="inlineStr">
        <is>
          <t>ППК26002, (21.01.2026) [CNP]</t>
        </is>
      </c>
      <c r="O285" s="133" t="inlineStr">
        <is>
          <t>✓</t>
        </is>
      </c>
      <c r="P285" s="137" t="inlineStr">
        <is>
          <t>24.96</t>
        </is>
      </c>
      <c r="Q285" s="132" t="inlineStr">
        <is>
          <t>ППК26002, (21.01.2026) [CNP]</t>
        </is>
      </c>
      <c r="R285" s="133" t="inlineStr">
        <is>
          <t>✓</t>
        </is>
      </c>
      <c r="S285" s="138" t="inlineStr">
        <is>
          <t>0.09</t>
        </is>
      </c>
      <c r="T285" s="132" t="inlineStr">
        <is>
          <t>ППК26002, (21.01.2026) [CNP]</t>
        </is>
      </c>
      <c r="U285" s="133" t="inlineStr">
        <is>
          <t>✓</t>
        </is>
      </c>
      <c r="V285" s="138" t="inlineStr">
        <is>
          <t>0.02 ᴰ</t>
        </is>
      </c>
      <c r="W285" s="132" t="inlineStr">
        <is>
          <t>ППК26002, (21.01.2026) [CNP]</t>
        </is>
      </c>
      <c r="X285" s="133" t="inlineStr">
        <is>
          <t>✓</t>
        </is>
      </c>
      <c r="Y285" s="131" t="inlineStr">
        <is>
          <t>Conforms</t>
        </is>
      </c>
      <c r="Z285" s="132">
        <f>IFERROR(INDEX('iCoA Register'!$B:$B,MATCH("P060022|I",'iCoA Register'!$AA:$AA,0)),"iCoA — at issue")&amp;", (16.01.2026) [PP]"</f>
        <v/>
      </c>
      <c r="AA285" s="133" t="inlineStr">
        <is>
          <t>✓</t>
        </is>
      </c>
      <c r="AB285" s="131" t="inlineStr">
        <is>
          <t>7.21</t>
        </is>
      </c>
      <c r="AC285" s="132" t="inlineStr">
        <is>
          <t>ППК26002, (21.01.2026) [CNP]</t>
        </is>
      </c>
      <c r="AD285" s="133" t="inlineStr">
        <is>
          <t>✓</t>
        </is>
      </c>
      <c r="AE285" s="131" t="inlineStr">
        <is>
          <t>1.5 × 10²</t>
        </is>
      </c>
      <c r="AF285" s="139" t="inlineStr">
        <is>
          <t>1.3 × 10²</t>
        </is>
      </c>
      <c r="AG285" s="139" t="inlineStr">
        <is>
          <t>&lt; 10</t>
        </is>
      </c>
      <c r="AH285" s="139" t="inlineStr">
        <is>
          <t>Absent</t>
        </is>
      </c>
      <c r="AI285" s="139" t="inlineStr">
        <is>
          <t>Absent</t>
        </is>
      </c>
      <c r="AJ285" s="133" t="inlineStr">
        <is>
          <t>✓</t>
        </is>
      </c>
      <c r="AK285" s="131" t="inlineStr">
        <is>
          <t>not reported</t>
        </is>
      </c>
      <c r="AL285" s="139" t="inlineStr">
        <is>
          <t>&lt; 2</t>
        </is>
      </c>
      <c r="AM285" s="139" t="inlineStr">
        <is>
          <t>not reported</t>
        </is>
      </c>
      <c r="AN285" s="133" t="inlineStr">
        <is>
          <t>✓</t>
        </is>
      </c>
      <c r="AO285" s="131" t="inlineStr">
        <is>
          <t>0.075</t>
        </is>
      </c>
      <c r="AP285" s="139" t="inlineStr">
        <is>
          <t>ND</t>
        </is>
      </c>
      <c r="AQ285" s="139" t="inlineStr">
        <is>
          <t>ND</t>
        </is>
      </c>
      <c r="AR285" s="139" t="inlineStr">
        <is>
          <t>ND</t>
        </is>
      </c>
      <c r="AS285" s="133" t="inlineStr">
        <is>
          <t>✓</t>
        </is>
      </c>
      <c r="AT285" s="131" t="inlineStr">
        <is>
          <t>≤ LOQ (all 26 compounds)</t>
        </is>
      </c>
      <c r="AU285" s="132" t="inlineStr">
        <is>
          <t>81-2026, (02.02.2026) [IJZ]</t>
        </is>
      </c>
      <c r="AV285" s="140" t="inlineStr">
        <is>
          <t>✓</t>
        </is>
      </c>
    </row>
    <row r="286" ht="21" customHeight="1" s="70">
      <c r="A286" s="141" t="n"/>
      <c r="G286" s="142" t="n"/>
      <c r="I286" s="143" t="n"/>
      <c r="J286" s="142" t="n"/>
      <c r="L286" s="143" t="n"/>
      <c r="M286" s="142" t="n"/>
      <c r="O286" s="143" t="n"/>
      <c r="P286" s="142" t="n"/>
      <c r="R286" s="143" t="n"/>
      <c r="S286" s="142" t="n"/>
      <c r="U286" s="143" t="n"/>
      <c r="V286" s="142" t="n"/>
      <c r="X286" s="143" t="n"/>
      <c r="Y286" s="142" t="n"/>
      <c r="AA286" s="143" t="n"/>
      <c r="AB286" s="142" t="n"/>
      <c r="AD286" s="143" t="n"/>
      <c r="AE286" s="144" t="inlineStr">
        <is>
          <t>8-0011-26, (20.01.2026) [IJZ-MB]</t>
        </is>
      </c>
      <c r="AJ286" s="143" t="n"/>
      <c r="AK286" s="144" t="inlineStr">
        <is>
          <t>81-2026, (02.02.2026) [IJZ]</t>
        </is>
      </c>
      <c r="AN286" s="143" t="n"/>
      <c r="AO286" s="144" t="inlineStr">
        <is>
          <t>81-2026, (02.02.2026) [IJZ]</t>
        </is>
      </c>
      <c r="AS286" s="143" t="n"/>
      <c r="AT286" s="142" t="n"/>
      <c r="AV286" s="145" t="n"/>
    </row>
    <row r="287" ht="17.625" customHeight="1" s="70">
      <c r="A287" s="146" t="n"/>
      <c r="B287" s="147" t="n"/>
      <c r="D287" s="148" t="inlineStr">
        <is>
          <t>2 of 2</t>
        </is>
      </c>
      <c r="E287" s="149" t="inlineStr">
        <is>
          <t>release testing + re-analysis 220</t>
        </is>
      </c>
      <c r="F287" s="150" t="inlineStr">
        <is>
          <t>iCoA-PP_26-037
CoQ-PP_26-038 · initial release
iCoA-PP_26-127
CoQ-PP_26-111 · retest</t>
        </is>
      </c>
      <c r="G287" s="151" t="n"/>
      <c r="H287" s="147" t="n"/>
      <c r="I287" s="152" t="n"/>
      <c r="J287" s="158" t="inlineStr">
        <is>
          <t>not on this certificate</t>
        </is>
      </c>
      <c r="K287" s="159" t="inlineStr">
        <is>
          <t>ППК26002, (21.01.2026) [CNP] · on file, not credited</t>
        </is>
      </c>
      <c r="L287" s="160" t="inlineStr">
        <is>
          <t>•</t>
        </is>
      </c>
      <c r="M287" s="153" t="inlineStr">
        <is>
          <t>Conforms (ImB spec.)</t>
        </is>
      </c>
      <c r="N287" s="154" t="inlineStr">
        <is>
          <t>220-4-К-26, (25.08.2026) [FHM-K]</t>
        </is>
      </c>
      <c r="O287" s="155" t="inlineStr">
        <is>
          <t>✓</t>
        </is>
      </c>
      <c r="P287" s="156" t="inlineStr">
        <is>
          <t>28.34</t>
        </is>
      </c>
      <c r="Q287" s="154" t="inlineStr">
        <is>
          <t>220-4-К-26, (25.08.2026) [FHM-K]</t>
        </is>
      </c>
      <c r="R287" s="155" t="inlineStr">
        <is>
          <t>✓</t>
        </is>
      </c>
      <c r="S287" s="157" t="inlineStr">
        <is>
          <t>&lt; LOQ</t>
        </is>
      </c>
      <c r="T287" s="154" t="inlineStr">
        <is>
          <t>220-4-К-26, (25.08.2026) [FHM-K]</t>
        </is>
      </c>
      <c r="U287" s="155" t="inlineStr">
        <is>
          <t>✓</t>
        </is>
      </c>
      <c r="V287" s="157" t="inlineStr">
        <is>
          <t>&lt; LOQ</t>
        </is>
      </c>
      <c r="W287" s="154" t="inlineStr">
        <is>
          <t>220-4-К-26, (25.08.2026) [FHM-K]</t>
        </is>
      </c>
      <c r="X287" s="155" t="inlineStr">
        <is>
          <t>✓</t>
        </is>
      </c>
      <c r="Y287" s="151" t="n"/>
      <c r="Z287" s="147" t="n"/>
      <c r="AA287" s="152" t="n"/>
      <c r="AB287" s="151" t="n"/>
      <c r="AC287" s="147" t="n"/>
      <c r="AD287" s="152" t="n"/>
      <c r="AE287" s="151" t="n"/>
      <c r="AF287" s="147" t="n"/>
      <c r="AG287" s="147" t="n"/>
      <c r="AH287" s="147" t="n"/>
      <c r="AI287" s="147" t="n"/>
      <c r="AJ287" s="152" t="n"/>
      <c r="AK287" s="161" t="inlineStr">
        <is>
          <t>ND</t>
        </is>
      </c>
      <c r="AL287" s="162" t="inlineStr">
        <is>
          <t>ND</t>
        </is>
      </c>
      <c r="AM287" s="162" t="inlineStr">
        <is>
          <t>ND</t>
        </is>
      </c>
      <c r="AN287" s="155" t="inlineStr">
        <is>
          <t>✓</t>
        </is>
      </c>
      <c r="AO287" s="151" t="n"/>
      <c r="AP287" s="147" t="n"/>
      <c r="AQ287" s="147" t="n"/>
      <c r="AR287" s="147" t="n"/>
      <c r="AS287" s="152" t="n"/>
      <c r="AT287" s="151" t="n"/>
      <c r="AU287" s="147" t="n"/>
      <c r="AV287" s="163" t="n"/>
    </row>
    <row r="288" ht="39" customHeight="1" s="70">
      <c r="A288" s="164" t="n"/>
      <c r="B288" s="165" t="n"/>
      <c r="C288" s="165" t="n"/>
      <c r="D288" s="165" t="n"/>
      <c r="E288" s="165" t="n"/>
      <c r="F288" s="165" t="n"/>
      <c r="G288" s="166" t="n"/>
      <c r="H288" s="165" t="n"/>
      <c r="I288" s="167" t="n"/>
      <c r="J288" s="166" t="n"/>
      <c r="K288" s="165" t="n"/>
      <c r="L288" s="167" t="n"/>
      <c r="M288" s="166" t="n"/>
      <c r="N288" s="165" t="n"/>
      <c r="O288" s="167" t="n"/>
      <c r="P288" s="166" t="n"/>
      <c r="Q288" s="165" t="n"/>
      <c r="R288" s="167" t="n"/>
      <c r="S288" s="166" t="n"/>
      <c r="T288" s="165" t="n"/>
      <c r="U288" s="167" t="n"/>
      <c r="V288" s="166" t="n"/>
      <c r="W288" s="165" t="n"/>
      <c r="X288" s="167" t="n"/>
      <c r="Y288" s="166" t="n"/>
      <c r="Z288" s="165" t="n"/>
      <c r="AA288" s="167" t="n"/>
      <c r="AB288" s="166" t="n"/>
      <c r="AC288" s="165" t="n"/>
      <c r="AD288" s="167" t="n"/>
      <c r="AE288" s="166" t="n"/>
      <c r="AF288" s="165" t="n"/>
      <c r="AG288" s="165" t="n"/>
      <c r="AH288" s="165" t="n"/>
      <c r="AI288" s="165" t="n"/>
      <c r="AJ288" s="167" t="n"/>
      <c r="AK288" s="168" t="inlineStr">
        <is>
          <t>220-4-М-26, (11.09.2026) [FHM-M]</t>
        </is>
      </c>
      <c r="AL288" s="165" t="n"/>
      <c r="AM288" s="165" t="n"/>
      <c r="AN288" s="167" t="n"/>
      <c r="AO288" s="166" t="n"/>
      <c r="AP288" s="165" t="n"/>
      <c r="AQ288" s="165" t="n"/>
      <c r="AR288" s="165" t="n"/>
      <c r="AS288" s="167" t="n"/>
      <c r="AT288" s="166" t="n"/>
      <c r="AU288" s="165" t="n"/>
      <c r="AV288" s="169" t="n"/>
    </row>
    <row r="289" ht="21" customHeight="1" s="70">
      <c r="A289" s="125" t="inlineStr">
        <is>
          <t>CJ082501/2</t>
        </is>
      </c>
      <c r="B289" s="126" t="inlineStr">
        <is>
          <t>P060032</t>
        </is>
      </c>
      <c r="C289" s="127" t="inlineStr">
        <is>
          <t>✓ COMPLETE
2 testing instances
• 2 document(s) on file, not credited</t>
        </is>
      </c>
      <c r="D289" s="128" t="inlineStr">
        <is>
          <t>1 of 2</t>
        </is>
      </c>
      <c r="E289" s="129" t="inlineStr">
        <is>
          <t>release testing</t>
        </is>
      </c>
      <c r="F289" s="130" t="inlineStr">
        <is>
          <t>iCoA-PP_26-038
CoQ-PP_26-039 · initial release</t>
        </is>
      </c>
      <c r="G289" s="131" t="inlineStr">
        <is>
          <t>Conforms</t>
        </is>
      </c>
      <c r="H289" s="132">
        <f>IFERROR(INDEX('iCoA Register'!$B:$B,MATCH("P060032|I",'iCoA Register'!$AA:$AA,0)),"iCoA — at issue")&amp;", (29.01.2026) [PP]"</f>
        <v/>
      </c>
      <c r="I289" s="133" t="inlineStr">
        <is>
          <t>✓</t>
        </is>
      </c>
      <c r="J289" s="134" t="inlineStr">
        <is>
          <t>not on this certificate</t>
        </is>
      </c>
      <c r="K289" s="135" t="inlineStr">
        <is>
          <t>ППК26003, (21.01.2026) [CNP] · on file, not credited</t>
        </is>
      </c>
      <c r="L289" s="136" t="inlineStr">
        <is>
          <t>•</t>
        </is>
      </c>
      <c r="M289" s="131" t="inlineStr">
        <is>
          <t>Conforms (ImB spec.)</t>
        </is>
      </c>
      <c r="N289" s="132" t="inlineStr">
        <is>
          <t>ППК26003, (21.01.2026) [CNP]</t>
        </is>
      </c>
      <c r="O289" s="133" t="inlineStr">
        <is>
          <t>✓</t>
        </is>
      </c>
      <c r="P289" s="137" t="inlineStr">
        <is>
          <t>20.84</t>
        </is>
      </c>
      <c r="Q289" s="132" t="inlineStr">
        <is>
          <t>ППК26003, (21.01.2026) [CNP]</t>
        </is>
      </c>
      <c r="R289" s="133" t="inlineStr">
        <is>
          <t>✓</t>
        </is>
      </c>
      <c r="S289" s="138" t="inlineStr">
        <is>
          <t>0.08</t>
        </is>
      </c>
      <c r="T289" s="132" t="inlineStr">
        <is>
          <t>ППК26003, (21.01.2026) [CNP]</t>
        </is>
      </c>
      <c r="U289" s="133" t="inlineStr">
        <is>
          <t>✓</t>
        </is>
      </c>
      <c r="V289" s="138" t="inlineStr">
        <is>
          <t>ND ᴰ</t>
        </is>
      </c>
      <c r="W289" s="132" t="inlineStr">
        <is>
          <t>ППК26003, (21.01.2026) [CNP]</t>
        </is>
      </c>
      <c r="X289" s="133" t="inlineStr">
        <is>
          <t>✓</t>
        </is>
      </c>
      <c r="Y289" s="131" t="inlineStr">
        <is>
          <t>Conforms</t>
        </is>
      </c>
      <c r="Z289" s="132">
        <f>IFERROR(INDEX('iCoA Register'!$B:$B,MATCH("P060032|I",'iCoA Register'!$AA:$AA,0)),"iCoA — at issue")&amp;", (29.01.2026) [PP]"</f>
        <v/>
      </c>
      <c r="AA289" s="133" t="inlineStr">
        <is>
          <t>✓</t>
        </is>
      </c>
      <c r="AB289" s="131" t="inlineStr">
        <is>
          <t>7.37</t>
        </is>
      </c>
      <c r="AC289" s="132" t="inlineStr">
        <is>
          <t>ППК26003, (21.01.2026) [CNP]</t>
        </is>
      </c>
      <c r="AD289" s="133" t="inlineStr">
        <is>
          <t>✓</t>
        </is>
      </c>
      <c r="AE289" s="131" t="inlineStr">
        <is>
          <t>9.5 × 10²</t>
        </is>
      </c>
      <c r="AF289" s="139" t="inlineStr">
        <is>
          <t>1.2 × 10³</t>
        </is>
      </c>
      <c r="AG289" s="139" t="inlineStr">
        <is>
          <t>&lt; 10</t>
        </is>
      </c>
      <c r="AH289" s="139" t="inlineStr">
        <is>
          <t>Absent</t>
        </is>
      </c>
      <c r="AI289" s="139" t="inlineStr">
        <is>
          <t>Absent</t>
        </is>
      </c>
      <c r="AJ289" s="133" t="inlineStr">
        <is>
          <t>✓</t>
        </is>
      </c>
      <c r="AK289" s="131" t="inlineStr">
        <is>
          <t>not reported</t>
        </is>
      </c>
      <c r="AL289" s="139" t="inlineStr">
        <is>
          <t>&lt; 2</t>
        </is>
      </c>
      <c r="AM289" s="139" t="inlineStr">
        <is>
          <t>not reported</t>
        </is>
      </c>
      <c r="AN289" s="133" t="inlineStr">
        <is>
          <t>✓</t>
        </is>
      </c>
      <c r="AO289" s="131" t="inlineStr">
        <is>
          <t>0.073</t>
        </is>
      </c>
      <c r="AP289" s="139" t="inlineStr">
        <is>
          <t>ND</t>
        </is>
      </c>
      <c r="AQ289" s="139" t="inlineStr">
        <is>
          <t>ND</t>
        </is>
      </c>
      <c r="AR289" s="139" t="inlineStr">
        <is>
          <t>ND</t>
        </is>
      </c>
      <c r="AS289" s="133" t="inlineStr">
        <is>
          <t>✓</t>
        </is>
      </c>
      <c r="AT289" s="131" t="inlineStr">
        <is>
          <t>≤ LOQ (all 29 compounds)</t>
        </is>
      </c>
      <c r="AU289" s="132" t="inlineStr">
        <is>
          <t>82-2026, (02.02.2026) [IJZ]</t>
        </is>
      </c>
      <c r="AV289" s="140" t="inlineStr">
        <is>
          <t>✓</t>
        </is>
      </c>
    </row>
    <row r="290" ht="21" customHeight="1" s="70">
      <c r="A290" s="141" t="n"/>
      <c r="G290" s="142" t="n"/>
      <c r="I290" s="143" t="n"/>
      <c r="J290" s="142" t="n"/>
      <c r="L290" s="143" t="n"/>
      <c r="M290" s="142" t="n"/>
      <c r="O290" s="143" t="n"/>
      <c r="P290" s="142" t="n"/>
      <c r="R290" s="143" t="n"/>
      <c r="S290" s="142" t="n"/>
      <c r="U290" s="143" t="n"/>
      <c r="V290" s="142" t="n"/>
      <c r="X290" s="143" t="n"/>
      <c r="Y290" s="142" t="n"/>
      <c r="AA290" s="143" t="n"/>
      <c r="AB290" s="142" t="n"/>
      <c r="AD290" s="143" t="n"/>
      <c r="AE290" s="144" t="inlineStr">
        <is>
          <t>4-0007-26, (20.01.2026) [IJZ-MB]</t>
        </is>
      </c>
      <c r="AJ290" s="143" t="n"/>
      <c r="AK290" s="144" t="inlineStr">
        <is>
          <t>82-2026, (02.02.2026) [IJZ]</t>
        </is>
      </c>
      <c r="AN290" s="143" t="n"/>
      <c r="AO290" s="144" t="inlineStr">
        <is>
          <t>82-2026, (02.02.2026) [IJZ]</t>
        </is>
      </c>
      <c r="AS290" s="143" t="n"/>
      <c r="AT290" s="142" t="n"/>
      <c r="AV290" s="145" t="n"/>
    </row>
    <row r="291" ht="17.625" customHeight="1" s="70">
      <c r="A291" s="146" t="n"/>
      <c r="B291" s="147" t="n"/>
      <c r="D291" s="148" t="inlineStr">
        <is>
          <t>2 of 2</t>
        </is>
      </c>
      <c r="E291" s="149" t="inlineStr">
        <is>
          <t>release testing + re-analysis 197</t>
        </is>
      </c>
      <c r="F291" s="150" t="inlineStr">
        <is>
          <t>iCoA-PP_26-038
CoQ-PP_26-039 · initial release
iCoA-PP_26-104
CoQ-PP_26-090 · retest</t>
        </is>
      </c>
      <c r="G291" s="151" t="n"/>
      <c r="H291" s="147" t="n"/>
      <c r="I291" s="152" t="n"/>
      <c r="J291" s="153" t="inlineStr">
        <is>
          <t>Conforms</t>
        </is>
      </c>
      <c r="K291" s="154">
        <f>IFERROR(INDEX('iCoA Register'!$B:$B,MATCH("P060032|I",'iCoA Register'!$AA:$AA,0)),"iCoA — at issue")&amp;", (29.01.2026) [PP]"</f>
        <v/>
      </c>
      <c r="L291" s="155" t="inlineStr">
        <is>
          <t>✓</t>
        </is>
      </c>
      <c r="M291" s="153" t="inlineStr">
        <is>
          <t>Conforms (ImB spec.) ᴿ</t>
        </is>
      </c>
      <c r="N291" s="154" t="inlineStr">
        <is>
          <t>197-5-К-26, (07.08.2026) [FHM-K]</t>
        </is>
      </c>
      <c r="O291" s="155" t="inlineStr">
        <is>
          <t>✓</t>
        </is>
      </c>
      <c r="P291" s="156" t="inlineStr">
        <is>
          <t>18.29</t>
        </is>
      </c>
      <c r="Q291" s="154" t="inlineStr">
        <is>
          <t>197-5-К-26, (07.08.2026) [FHM-K]</t>
        </is>
      </c>
      <c r="R291" s="155" t="inlineStr">
        <is>
          <t>✓</t>
        </is>
      </c>
      <c r="S291" s="157" t="inlineStr">
        <is>
          <t>&lt; LOQ</t>
        </is>
      </c>
      <c r="T291" s="154" t="inlineStr">
        <is>
          <t>197-5-К-26, (07.08.2026) [FHM-K]</t>
        </is>
      </c>
      <c r="U291" s="155" t="inlineStr">
        <is>
          <t>✓</t>
        </is>
      </c>
      <c r="V291" s="157" t="inlineStr">
        <is>
          <t>&lt; LOQ</t>
        </is>
      </c>
      <c r="W291" s="154" t="inlineStr">
        <is>
          <t>197-5-К-26, (07.08.2026) [FHM-K]</t>
        </is>
      </c>
      <c r="X291" s="155" t="inlineStr">
        <is>
          <t>✓</t>
        </is>
      </c>
      <c r="Y291" s="151" t="n"/>
      <c r="Z291" s="147" t="n"/>
      <c r="AA291" s="152" t="n"/>
      <c r="AB291" s="158" t="inlineStr">
        <is>
          <t>not on this certificate</t>
        </is>
      </c>
      <c r="AC291" s="159" t="inlineStr">
        <is>
          <t>197-5-К-26, (07.08.2026) [FHM-K] · on file, not credited</t>
        </is>
      </c>
      <c r="AD291" s="160" t="inlineStr">
        <is>
          <t>•</t>
        </is>
      </c>
      <c r="AE291" s="151" t="n"/>
      <c r="AF291" s="147" t="n"/>
      <c r="AG291" s="147" t="n"/>
      <c r="AH291" s="147" t="n"/>
      <c r="AI291" s="147" t="n"/>
      <c r="AJ291" s="152" t="n"/>
      <c r="AK291" s="161" t="inlineStr">
        <is>
          <t>ND</t>
        </is>
      </c>
      <c r="AL291" s="162" t="inlineStr">
        <is>
          <t>ND</t>
        </is>
      </c>
      <c r="AM291" s="162" t="inlineStr">
        <is>
          <t>ND</t>
        </is>
      </c>
      <c r="AN291" s="155" t="inlineStr">
        <is>
          <t>✓</t>
        </is>
      </c>
      <c r="AO291" s="151" t="n"/>
      <c r="AP291" s="147" t="n"/>
      <c r="AQ291" s="147" t="n"/>
      <c r="AR291" s="147" t="n"/>
      <c r="AS291" s="152" t="n"/>
      <c r="AT291" s="151" t="n"/>
      <c r="AU291" s="147" t="n"/>
      <c r="AV291" s="163" t="n"/>
    </row>
    <row r="292" ht="39" customHeight="1" s="70">
      <c r="A292" s="164" t="n"/>
      <c r="B292" s="165" t="n"/>
      <c r="C292" s="165" t="n"/>
      <c r="D292" s="165" t="n"/>
      <c r="E292" s="165" t="n"/>
      <c r="F292" s="165" t="n"/>
      <c r="G292" s="166" t="n"/>
      <c r="H292" s="165" t="n"/>
      <c r="I292" s="167" t="n"/>
      <c r="J292" s="166" t="n"/>
      <c r="K292" s="165" t="n"/>
      <c r="L292" s="167" t="n"/>
      <c r="M292" s="166" t="n"/>
      <c r="N292" s="165" t="n"/>
      <c r="O292" s="167" t="n"/>
      <c r="P292" s="166" t="n"/>
      <c r="Q292" s="165" t="n"/>
      <c r="R292" s="167" t="n"/>
      <c r="S292" s="166" t="n"/>
      <c r="T292" s="165" t="n"/>
      <c r="U292" s="167" t="n"/>
      <c r="V292" s="166" t="n"/>
      <c r="W292" s="165" t="n"/>
      <c r="X292" s="167" t="n"/>
      <c r="Y292" s="166" t="n"/>
      <c r="Z292" s="165" t="n"/>
      <c r="AA292" s="167" t="n"/>
      <c r="AB292" s="166" t="n"/>
      <c r="AC292" s="165" t="n"/>
      <c r="AD292" s="167" t="n"/>
      <c r="AE292" s="166" t="n"/>
      <c r="AF292" s="165" t="n"/>
      <c r="AG292" s="165" t="n"/>
      <c r="AH292" s="165" t="n"/>
      <c r="AI292" s="165" t="n"/>
      <c r="AJ292" s="167" t="n"/>
      <c r="AK292" s="168" t="inlineStr">
        <is>
          <t>197-5-М-26, (10.08.2026) [FHM-M]</t>
        </is>
      </c>
      <c r="AL292" s="165" t="n"/>
      <c r="AM292" s="165" t="n"/>
      <c r="AN292" s="167" t="n"/>
      <c r="AO292" s="166" t="n"/>
      <c r="AP292" s="165" t="n"/>
      <c r="AQ292" s="165" t="n"/>
      <c r="AR292" s="165" t="n"/>
      <c r="AS292" s="167" t="n"/>
      <c r="AT292" s="166" t="n"/>
      <c r="AU292" s="165" t="n"/>
      <c r="AV292" s="169" t="n"/>
    </row>
    <row r="293" ht="21" customHeight="1" s="70">
      <c r="A293" s="125" t="inlineStr">
        <is>
          <t>OPM092501</t>
        </is>
      </c>
      <c r="B293" s="126" t="inlineStr">
        <is>
          <t>P060042</t>
        </is>
      </c>
      <c r="C293" s="127" t="inlineStr">
        <is>
          <t>✓ COMPLETE
2 testing instances
• 1 document(s) on file, not credited</t>
        </is>
      </c>
      <c r="D293" s="128" t="inlineStr">
        <is>
          <t>1 of 2</t>
        </is>
      </c>
      <c r="E293" s="129" t="inlineStr">
        <is>
          <t>release testing</t>
        </is>
      </c>
      <c r="F293" s="130" t="inlineStr">
        <is>
          <t>iCoA-PP_26-039
CoQ-PP_26-040 · initial release</t>
        </is>
      </c>
      <c r="G293" s="131" t="inlineStr">
        <is>
          <t>Conforms</t>
        </is>
      </c>
      <c r="H293" s="132">
        <f>IFERROR(INDEX('iCoA Register'!$B:$B,MATCH("P060042|I",'iCoA Register'!$AA:$AA,0)),"iCoA — at issue")&amp;", (29.01.2026) [PP]"</f>
        <v/>
      </c>
      <c r="I293" s="133" t="inlineStr">
        <is>
          <t>✓</t>
        </is>
      </c>
      <c r="J293" s="134" t="inlineStr">
        <is>
          <t>not on this certificate</t>
        </is>
      </c>
      <c r="K293" s="135" t="inlineStr">
        <is>
          <t>ППК26008, (21.01.2026) [CNP] · on file, not credited</t>
        </is>
      </c>
      <c r="L293" s="136" t="inlineStr">
        <is>
          <t>•</t>
        </is>
      </c>
      <c r="M293" s="131" t="inlineStr">
        <is>
          <t>Conforms (ImB spec.)</t>
        </is>
      </c>
      <c r="N293" s="132" t="inlineStr">
        <is>
          <t>ППК26008, (21.01.2026) [CNP]</t>
        </is>
      </c>
      <c r="O293" s="133" t="inlineStr">
        <is>
          <t>✓</t>
        </is>
      </c>
      <c r="P293" s="137" t="inlineStr">
        <is>
          <t>9.43</t>
        </is>
      </c>
      <c r="Q293" s="132" t="inlineStr">
        <is>
          <t>ППК26008, (21.01.2026) [CNP]</t>
        </is>
      </c>
      <c r="R293" s="133" t="inlineStr">
        <is>
          <t>✓</t>
        </is>
      </c>
      <c r="S293" s="138" t="inlineStr">
        <is>
          <t>0.04</t>
        </is>
      </c>
      <c r="T293" s="132" t="inlineStr">
        <is>
          <t>ППК26008, (21.01.2026) [CNP]</t>
        </is>
      </c>
      <c r="U293" s="133" t="inlineStr">
        <is>
          <t>✓</t>
        </is>
      </c>
      <c r="V293" s="138" t="inlineStr">
        <is>
          <t>ND ᴰ</t>
        </is>
      </c>
      <c r="W293" s="132" t="inlineStr">
        <is>
          <t>ППК26008, (21.01.2026) [CNP]</t>
        </is>
      </c>
      <c r="X293" s="133" t="inlineStr">
        <is>
          <t>✓</t>
        </is>
      </c>
      <c r="Y293" s="131" t="inlineStr">
        <is>
          <t>Conforms</t>
        </is>
      </c>
      <c r="Z293" s="132">
        <f>IFERROR(INDEX('iCoA Register'!$B:$B,MATCH("P060042|I",'iCoA Register'!$AA:$AA,0)),"iCoA — at issue")&amp;", (29.01.2026) [PP]"</f>
        <v/>
      </c>
      <c r="AA293" s="133" t="inlineStr">
        <is>
          <t>✓</t>
        </is>
      </c>
      <c r="AB293" s="131" t="inlineStr">
        <is>
          <t>7.85</t>
        </is>
      </c>
      <c r="AC293" s="132" t="inlineStr">
        <is>
          <t>ППК26008, (21.01.2026) [CNP]</t>
        </is>
      </c>
      <c r="AD293" s="133" t="inlineStr">
        <is>
          <t>✓</t>
        </is>
      </c>
      <c r="AE293" s="131" t="inlineStr">
        <is>
          <t>10</t>
        </is>
      </c>
      <c r="AF293" s="139" t="inlineStr">
        <is>
          <t>10</t>
        </is>
      </c>
      <c r="AG293" s="139" t="inlineStr">
        <is>
          <t>&lt; 10² and &gt; 10</t>
        </is>
      </c>
      <c r="AH293" s="139" t="inlineStr">
        <is>
          <t>Absent</t>
        </is>
      </c>
      <c r="AI293" s="139" t="inlineStr">
        <is>
          <t>Absent</t>
        </is>
      </c>
      <c r="AJ293" s="133" t="inlineStr">
        <is>
          <t>✓</t>
        </is>
      </c>
      <c r="AK293" s="131" t="inlineStr">
        <is>
          <t>not reported</t>
        </is>
      </c>
      <c r="AL293" s="139" t="inlineStr">
        <is>
          <t>2.2</t>
        </is>
      </c>
      <c r="AM293" s="139" t="inlineStr">
        <is>
          <t>not reported</t>
        </is>
      </c>
      <c r="AN293" s="133" t="inlineStr">
        <is>
          <t>✓</t>
        </is>
      </c>
      <c r="AO293" s="131" t="inlineStr">
        <is>
          <t>0.022</t>
        </is>
      </c>
      <c r="AP293" s="139" t="inlineStr">
        <is>
          <t>ND</t>
        </is>
      </c>
      <c r="AQ293" s="139" t="inlineStr">
        <is>
          <t>ND</t>
        </is>
      </c>
      <c r="AR293" s="139" t="inlineStr">
        <is>
          <t>ND</t>
        </is>
      </c>
      <c r="AS293" s="133" t="inlineStr">
        <is>
          <t>✓</t>
        </is>
      </c>
      <c r="AT293" s="131" t="inlineStr">
        <is>
          <t>≤ LOQ (all 29 compounds)</t>
        </is>
      </c>
      <c r="AU293" s="132" t="inlineStr">
        <is>
          <t>87-2026, (03.02.2026) [IJZ]</t>
        </is>
      </c>
      <c r="AV293" s="140" t="inlineStr">
        <is>
          <t>✓</t>
        </is>
      </c>
    </row>
    <row r="294" ht="21" customHeight="1" s="70">
      <c r="A294" s="141" t="n"/>
      <c r="G294" s="142" t="n"/>
      <c r="I294" s="143" t="n"/>
      <c r="J294" s="142" t="n"/>
      <c r="L294" s="143" t="n"/>
      <c r="M294" s="142" t="n"/>
      <c r="O294" s="143" t="n"/>
      <c r="P294" s="142" t="n"/>
      <c r="R294" s="143" t="n"/>
      <c r="S294" s="142" t="n"/>
      <c r="U294" s="143" t="n"/>
      <c r="V294" s="142" t="n"/>
      <c r="X294" s="143" t="n"/>
      <c r="Y294" s="142" t="n"/>
      <c r="AA294" s="143" t="n"/>
      <c r="AB294" s="142" t="n"/>
      <c r="AD294" s="143" t="n"/>
      <c r="AE294" s="144" t="inlineStr">
        <is>
          <t>2-0005-26, (20.01.2026) [IJZ-MB]</t>
        </is>
      </c>
      <c r="AJ294" s="143" t="n"/>
      <c r="AK294" s="144" t="inlineStr">
        <is>
          <t>87-2026, (03.02.2026) [IJZ]</t>
        </is>
      </c>
      <c r="AN294" s="143" t="n"/>
      <c r="AO294" s="144" t="inlineStr">
        <is>
          <t>87-2026, (03.02.2026) [IJZ]</t>
        </is>
      </c>
      <c r="AS294" s="143" t="n"/>
      <c r="AT294" s="142" t="n"/>
      <c r="AV294" s="145" t="n"/>
    </row>
    <row r="295" ht="17.625" customHeight="1" s="70">
      <c r="A295" s="146" t="n"/>
      <c r="B295" s="147" t="n"/>
      <c r="D295" s="148" t="inlineStr">
        <is>
          <t>2 of 2</t>
        </is>
      </c>
      <c r="E295" s="149" t="inlineStr">
        <is>
          <t>release testing + re-analysis 220</t>
        </is>
      </c>
      <c r="F295" s="150" t="inlineStr">
        <is>
          <t>iCoA-PP_26-039
CoQ-PP_26-040 · initial release
iCoA-PP_26-143
CoQ-PP_26-129 · retest</t>
        </is>
      </c>
      <c r="G295" s="151" t="n"/>
      <c r="H295" s="147" t="n"/>
      <c r="I295" s="152" t="n"/>
      <c r="J295" s="153" t="inlineStr">
        <is>
          <t>Conforms</t>
        </is>
      </c>
      <c r="K295" s="154">
        <f>IFERROR(INDEX('iCoA Register'!$B:$B,MATCH("P060042|I",'iCoA Register'!$AA:$AA,0)),"iCoA — at issue")&amp;", (29.01.2026) [PP]"</f>
        <v/>
      </c>
      <c r="L295" s="155" t="inlineStr">
        <is>
          <t>✓</t>
        </is>
      </c>
      <c r="M295" s="153" t="inlineStr">
        <is>
          <t>Conforms (ImB spec.)</t>
        </is>
      </c>
      <c r="N295" s="154" t="inlineStr">
        <is>
          <t>220-22-К-26, (26.08.2026) [FHM-K]</t>
        </is>
      </c>
      <c r="O295" s="155" t="inlineStr">
        <is>
          <t>✓</t>
        </is>
      </c>
      <c r="P295" s="156" t="inlineStr">
        <is>
          <t>10.18</t>
        </is>
      </c>
      <c r="Q295" s="154" t="inlineStr">
        <is>
          <t>220-22-К-26, (26.08.2026) [FHM-K]</t>
        </is>
      </c>
      <c r="R295" s="155" t="inlineStr">
        <is>
          <t>✓</t>
        </is>
      </c>
      <c r="S295" s="157" t="inlineStr">
        <is>
          <t>&lt; LOQ</t>
        </is>
      </c>
      <c r="T295" s="154" t="inlineStr">
        <is>
          <t>220-22-К-26, (26.08.2026) [FHM-K]</t>
        </is>
      </c>
      <c r="U295" s="155" t="inlineStr">
        <is>
          <t>✓</t>
        </is>
      </c>
      <c r="V295" s="157" t="inlineStr">
        <is>
          <t>&lt; LOQ</t>
        </is>
      </c>
      <c r="W295" s="154" t="inlineStr">
        <is>
          <t>220-22-К-26, (26.08.2026) [FHM-K]</t>
        </is>
      </c>
      <c r="X295" s="155" t="inlineStr">
        <is>
          <t>✓</t>
        </is>
      </c>
      <c r="Y295" s="151" t="n"/>
      <c r="Z295" s="147" t="n"/>
      <c r="AA295" s="152" t="n"/>
      <c r="AB295" s="151" t="n"/>
      <c r="AC295" s="147" t="n"/>
      <c r="AD295" s="152" t="n"/>
      <c r="AE295" s="151" t="n"/>
      <c r="AF295" s="147" t="n"/>
      <c r="AG295" s="147" t="n"/>
      <c r="AH295" s="147" t="n"/>
      <c r="AI295" s="147" t="n"/>
      <c r="AJ295" s="152" t="n"/>
      <c r="AK295" s="161" t="inlineStr">
        <is>
          <t>ND</t>
        </is>
      </c>
      <c r="AL295" s="162" t="inlineStr">
        <is>
          <t>ND</t>
        </is>
      </c>
      <c r="AM295" s="162" t="inlineStr">
        <is>
          <t>ND</t>
        </is>
      </c>
      <c r="AN295" s="155" t="inlineStr">
        <is>
          <t>✓</t>
        </is>
      </c>
      <c r="AO295" s="151" t="n"/>
      <c r="AP295" s="147" t="n"/>
      <c r="AQ295" s="147" t="n"/>
      <c r="AR295" s="147" t="n"/>
      <c r="AS295" s="152" t="n"/>
      <c r="AT295" s="151" t="n"/>
      <c r="AU295" s="147" t="n"/>
      <c r="AV295" s="163" t="n"/>
    </row>
    <row r="296" ht="39" customHeight="1" s="70">
      <c r="A296" s="164" t="n"/>
      <c r="B296" s="165" t="n"/>
      <c r="C296" s="165" t="n"/>
      <c r="D296" s="165" t="n"/>
      <c r="E296" s="165" t="n"/>
      <c r="F296" s="165" t="n"/>
      <c r="G296" s="166" t="n"/>
      <c r="H296" s="165" t="n"/>
      <c r="I296" s="167" t="n"/>
      <c r="J296" s="166" t="n"/>
      <c r="K296" s="165" t="n"/>
      <c r="L296" s="167" t="n"/>
      <c r="M296" s="166" t="n"/>
      <c r="N296" s="165" t="n"/>
      <c r="O296" s="167" t="n"/>
      <c r="P296" s="166" t="n"/>
      <c r="Q296" s="165" t="n"/>
      <c r="R296" s="167" t="n"/>
      <c r="S296" s="166" t="n"/>
      <c r="T296" s="165" t="n"/>
      <c r="U296" s="167" t="n"/>
      <c r="V296" s="166" t="n"/>
      <c r="W296" s="165" t="n"/>
      <c r="X296" s="167" t="n"/>
      <c r="Y296" s="166" t="n"/>
      <c r="Z296" s="165" t="n"/>
      <c r="AA296" s="167" t="n"/>
      <c r="AB296" s="166" t="n"/>
      <c r="AC296" s="165" t="n"/>
      <c r="AD296" s="167" t="n"/>
      <c r="AE296" s="166" t="n"/>
      <c r="AF296" s="165" t="n"/>
      <c r="AG296" s="165" t="n"/>
      <c r="AH296" s="165" t="n"/>
      <c r="AI296" s="165" t="n"/>
      <c r="AJ296" s="167" t="n"/>
      <c r="AK296" s="168" t="inlineStr">
        <is>
          <t>220-22-М-26, (11.09.2026) [FHM-M]</t>
        </is>
      </c>
      <c r="AL296" s="165" t="n"/>
      <c r="AM296" s="165" t="n"/>
      <c r="AN296" s="167" t="n"/>
      <c r="AO296" s="166" t="n"/>
      <c r="AP296" s="165" t="n"/>
      <c r="AQ296" s="165" t="n"/>
      <c r="AR296" s="165" t="n"/>
      <c r="AS296" s="167" t="n"/>
      <c r="AT296" s="166" t="n"/>
      <c r="AU296" s="165" t="n"/>
      <c r="AV296" s="169" t="n"/>
    </row>
    <row r="297" ht="21" customHeight="1" s="70">
      <c r="A297" s="125" t="inlineStr">
        <is>
          <t>AB092501</t>
        </is>
      </c>
      <c r="B297" s="126" t="inlineStr">
        <is>
          <t>P060052</t>
        </is>
      </c>
      <c r="C297" s="127" t="inlineStr">
        <is>
          <t>✓ COMPLETE
2 testing instances
• 1 document(s) on file, not credited</t>
        </is>
      </c>
      <c r="D297" s="128" t="inlineStr">
        <is>
          <t>1 of 2</t>
        </is>
      </c>
      <c r="E297" s="129" t="inlineStr">
        <is>
          <t>release testing</t>
        </is>
      </c>
      <c r="F297" s="130" t="inlineStr">
        <is>
          <t>iCoA-PP_26-040
CoQ-PP_26-041 · initial release</t>
        </is>
      </c>
      <c r="G297" s="131" t="inlineStr">
        <is>
          <t>Conforms</t>
        </is>
      </c>
      <c r="H297" s="132">
        <f>IFERROR(INDEX('iCoA Register'!$B:$B,MATCH("P060052|I",'iCoA Register'!$AA:$AA,0)),"iCoA — at issue")&amp;", (30.01.2026) [PP]"</f>
        <v/>
      </c>
      <c r="I297" s="133" t="inlineStr">
        <is>
          <t>✓</t>
        </is>
      </c>
      <c r="J297" s="134" t="inlineStr">
        <is>
          <t>not on this certificate</t>
        </is>
      </c>
      <c r="K297" s="135" t="inlineStr">
        <is>
          <t>ППК26005, (21.01.2026) [CNP] · on file, not credited</t>
        </is>
      </c>
      <c r="L297" s="136" t="inlineStr">
        <is>
          <t>•</t>
        </is>
      </c>
      <c r="M297" s="131" t="inlineStr">
        <is>
          <t>Conforms (ImB spec.)</t>
        </is>
      </c>
      <c r="N297" s="132" t="inlineStr">
        <is>
          <t>ППК26005, (21.01.2026) [CNP]</t>
        </is>
      </c>
      <c r="O297" s="133" t="inlineStr">
        <is>
          <t>✓</t>
        </is>
      </c>
      <c r="P297" s="137" t="inlineStr">
        <is>
          <t>16.93</t>
        </is>
      </c>
      <c r="Q297" s="132" t="inlineStr">
        <is>
          <t>ППК26005, (21.01.2026) [CNP]</t>
        </is>
      </c>
      <c r="R297" s="133" t="inlineStr">
        <is>
          <t>✓</t>
        </is>
      </c>
      <c r="S297" s="138" t="inlineStr">
        <is>
          <t>0.07</t>
        </is>
      </c>
      <c r="T297" s="132" t="inlineStr">
        <is>
          <t>ППК26005, (21.01.2026) [CNP]</t>
        </is>
      </c>
      <c r="U297" s="133" t="inlineStr">
        <is>
          <t>✓</t>
        </is>
      </c>
      <c r="V297" s="138" t="inlineStr">
        <is>
          <t>ND ᴰ</t>
        </is>
      </c>
      <c r="W297" s="132" t="inlineStr">
        <is>
          <t>ППК26005, (21.01.2026) [CNP]</t>
        </is>
      </c>
      <c r="X297" s="133" t="inlineStr">
        <is>
          <t>✓</t>
        </is>
      </c>
      <c r="Y297" s="131" t="inlineStr">
        <is>
          <t>Conforms</t>
        </is>
      </c>
      <c r="Z297" s="132">
        <f>IFERROR(INDEX('iCoA Register'!$B:$B,MATCH("P060052|I",'iCoA Register'!$AA:$AA,0)),"iCoA — at issue")&amp;", (30.01.2026) [PP]"</f>
        <v/>
      </c>
      <c r="AA297" s="133" t="inlineStr">
        <is>
          <t>✓</t>
        </is>
      </c>
      <c r="AB297" s="131" t="inlineStr">
        <is>
          <t>6.77</t>
        </is>
      </c>
      <c r="AC297" s="132" t="inlineStr">
        <is>
          <t>ППК26005, (21.01.2026) [CNP]</t>
        </is>
      </c>
      <c r="AD297" s="133" t="inlineStr">
        <is>
          <t>✓</t>
        </is>
      </c>
      <c r="AE297" s="131" t="inlineStr">
        <is>
          <t>&lt; 10</t>
        </is>
      </c>
      <c r="AF297" s="139" t="inlineStr">
        <is>
          <t>&lt; 10</t>
        </is>
      </c>
      <c r="AG297" s="139" t="inlineStr">
        <is>
          <t>&lt; 10</t>
        </is>
      </c>
      <c r="AH297" s="139" t="inlineStr">
        <is>
          <t>Absent</t>
        </is>
      </c>
      <c r="AI297" s="139" t="inlineStr">
        <is>
          <t>Absent</t>
        </is>
      </c>
      <c r="AJ297" s="133" t="inlineStr">
        <is>
          <t>✓</t>
        </is>
      </c>
      <c r="AK297" s="131" t="inlineStr">
        <is>
          <t>not reported</t>
        </is>
      </c>
      <c r="AL297" s="139" t="inlineStr">
        <is>
          <t>&lt; 2</t>
        </is>
      </c>
      <c r="AM297" s="139" t="inlineStr">
        <is>
          <t>not reported</t>
        </is>
      </c>
      <c r="AN297" s="133" t="inlineStr">
        <is>
          <t>✓</t>
        </is>
      </c>
      <c r="AO297" s="131" t="inlineStr">
        <is>
          <t>0.05</t>
        </is>
      </c>
      <c r="AP297" s="139" t="inlineStr">
        <is>
          <t>ND</t>
        </is>
      </c>
      <c r="AQ297" s="139" t="inlineStr">
        <is>
          <t>ND</t>
        </is>
      </c>
      <c r="AR297" s="139" t="inlineStr">
        <is>
          <t>0.003</t>
        </is>
      </c>
      <c r="AS297" s="133" t="inlineStr">
        <is>
          <t>✓</t>
        </is>
      </c>
      <c r="AT297" s="131" t="inlineStr">
        <is>
          <t>≤ LOQ (all 29 compounds)</t>
        </is>
      </c>
      <c r="AU297" s="132" t="inlineStr">
        <is>
          <t>84-2026, (02.02.2026) [IJZ]</t>
        </is>
      </c>
      <c r="AV297" s="140" t="inlineStr">
        <is>
          <t>✓</t>
        </is>
      </c>
    </row>
    <row r="298" ht="21" customHeight="1" s="70">
      <c r="A298" s="141" t="n"/>
      <c r="G298" s="142" t="n"/>
      <c r="I298" s="143" t="n"/>
      <c r="J298" s="142" t="n"/>
      <c r="L298" s="143" t="n"/>
      <c r="M298" s="142" t="n"/>
      <c r="O298" s="143" t="n"/>
      <c r="P298" s="142" t="n"/>
      <c r="R298" s="143" t="n"/>
      <c r="S298" s="142" t="n"/>
      <c r="U298" s="143" t="n"/>
      <c r="V298" s="142" t="n"/>
      <c r="X298" s="143" t="n"/>
      <c r="Y298" s="142" t="n"/>
      <c r="AA298" s="143" t="n"/>
      <c r="AB298" s="142" t="n"/>
      <c r="AD298" s="143" t="n"/>
      <c r="AE298" s="144" t="inlineStr">
        <is>
          <t>7-0010-26, (20.01.2026) [IJZ-MB]</t>
        </is>
      </c>
      <c r="AJ298" s="143" t="n"/>
      <c r="AK298" s="144" t="inlineStr">
        <is>
          <t>84-2026, (02.02.2026) [IJZ]</t>
        </is>
      </c>
      <c r="AN298" s="143" t="n"/>
      <c r="AO298" s="144" t="inlineStr">
        <is>
          <t>84-2026, (02.02.2026) [IJZ]</t>
        </is>
      </c>
      <c r="AS298" s="143" t="n"/>
      <c r="AT298" s="142" t="n"/>
      <c r="AV298" s="145" t="n"/>
    </row>
    <row r="299" ht="17.625" customHeight="1" s="70">
      <c r="A299" s="146" t="n"/>
      <c r="B299" s="147" t="n"/>
      <c r="D299" s="148" t="inlineStr">
        <is>
          <t>2 of 2</t>
        </is>
      </c>
      <c r="E299" s="149" t="inlineStr">
        <is>
          <t>release testing + re-analysis 227 + re-test campaign (IJZ-MB)</t>
        </is>
      </c>
      <c r="F299" s="150" t="inlineStr">
        <is>
          <t>iCoA-PP_26-040
CoQ-PP_26-041 · initial release
iCoA-PP_26-175
CoQ-PP_26-136 · retest</t>
        </is>
      </c>
      <c r="G299" s="151" t="n"/>
      <c r="H299" s="147" t="n"/>
      <c r="I299" s="152" t="n"/>
      <c r="J299" s="153" t="inlineStr">
        <is>
          <t>Conforms</t>
        </is>
      </c>
      <c r="K299" s="154">
        <f>IFERROR(INDEX('iCoA Register'!$B:$B,MATCH("P060052|I",'iCoA Register'!$AA:$AA,0)),"iCoA — at issue")&amp;", (30.01.2026) [PP]"</f>
        <v/>
      </c>
      <c r="L299" s="155" t="inlineStr">
        <is>
          <t>✓</t>
        </is>
      </c>
      <c r="M299" s="153" t="inlineStr">
        <is>
          <t>Conforms (ImB spec.)</t>
        </is>
      </c>
      <c r="N299" s="154" t="inlineStr">
        <is>
          <t>227-30-К-26, (11.09.2026) [FHM-K]</t>
        </is>
      </c>
      <c r="O299" s="155" t="inlineStr">
        <is>
          <t>✓</t>
        </is>
      </c>
      <c r="P299" s="156" t="inlineStr">
        <is>
          <t>22.97</t>
        </is>
      </c>
      <c r="Q299" s="154" t="inlineStr">
        <is>
          <t>227-30-К-26, (11.09.2026) [FHM-K]</t>
        </is>
      </c>
      <c r="R299" s="155" t="inlineStr">
        <is>
          <t>✓</t>
        </is>
      </c>
      <c r="S299" s="157" t="inlineStr">
        <is>
          <t>&lt; LOQ</t>
        </is>
      </c>
      <c r="T299" s="154" t="inlineStr">
        <is>
          <t>227-30-К-26, (11.09.2026) [FHM-K]</t>
        </is>
      </c>
      <c r="U299" s="155" t="inlineStr">
        <is>
          <t>✓</t>
        </is>
      </c>
      <c r="V299" s="157" t="inlineStr">
        <is>
          <t>&lt; LOQ</t>
        </is>
      </c>
      <c r="W299" s="154" t="inlineStr">
        <is>
          <t>227-30-К-26, (11.09.2026) [FHM-K]</t>
        </is>
      </c>
      <c r="X299" s="155" t="inlineStr">
        <is>
          <t>✓</t>
        </is>
      </c>
      <c r="Y299" s="151" t="n"/>
      <c r="Z299" s="147" t="n"/>
      <c r="AA299" s="152" t="n"/>
      <c r="AB299" s="151" t="n"/>
      <c r="AC299" s="147" t="n"/>
      <c r="AD299" s="152" t="n"/>
      <c r="AE299" s="161" t="inlineStr">
        <is>
          <t>&lt; 10</t>
        </is>
      </c>
      <c r="AF299" s="162" t="inlineStr">
        <is>
          <t>&lt; 10</t>
        </is>
      </c>
      <c r="AG299" s="162" t="inlineStr">
        <is>
          <t>&lt; 10</t>
        </is>
      </c>
      <c r="AH299" s="162" t="inlineStr">
        <is>
          <t>Absent</t>
        </is>
      </c>
      <c r="AI299" s="162" t="inlineStr">
        <is>
          <t>Absent</t>
        </is>
      </c>
      <c r="AJ299" s="155" t="inlineStr">
        <is>
          <t>✓</t>
        </is>
      </c>
      <c r="AK299" s="151" t="n"/>
      <c r="AL299" s="147" t="n"/>
      <c r="AM299" s="147" t="n"/>
      <c r="AN299" s="152" t="n"/>
      <c r="AO299" s="151" t="n"/>
      <c r="AP299" s="147" t="n"/>
      <c r="AQ299" s="147" t="n"/>
      <c r="AR299" s="147" t="n"/>
      <c r="AS299" s="152" t="n"/>
      <c r="AT299" s="151" t="n"/>
      <c r="AU299" s="147" t="n"/>
      <c r="AV299" s="163" t="n"/>
    </row>
    <row r="300" ht="39" customHeight="1" s="70">
      <c r="A300" s="164" t="n"/>
      <c r="B300" s="165" t="n"/>
      <c r="C300" s="165" t="n"/>
      <c r="D300" s="165" t="n"/>
      <c r="E300" s="165" t="n"/>
      <c r="F300" s="165" t="n"/>
      <c r="G300" s="166" t="n"/>
      <c r="H300" s="165" t="n"/>
      <c r="I300" s="167" t="n"/>
      <c r="J300" s="166" t="n"/>
      <c r="K300" s="165" t="n"/>
      <c r="L300" s="167" t="n"/>
      <c r="M300" s="166" t="n"/>
      <c r="N300" s="165" t="n"/>
      <c r="O300" s="167" t="n"/>
      <c r="P300" s="166" t="n"/>
      <c r="Q300" s="165" t="n"/>
      <c r="R300" s="167" t="n"/>
      <c r="S300" s="166" t="n"/>
      <c r="T300" s="165" t="n"/>
      <c r="U300" s="167" t="n"/>
      <c r="V300" s="166" t="n"/>
      <c r="W300" s="165" t="n"/>
      <c r="X300" s="167" t="n"/>
      <c r="Y300" s="166" t="n"/>
      <c r="Z300" s="165" t="n"/>
      <c r="AA300" s="167" t="n"/>
      <c r="AB300" s="166" t="n"/>
      <c r="AC300" s="165" t="n"/>
      <c r="AD300" s="167" t="n"/>
      <c r="AE300" s="168" t="inlineStr">
        <is>
          <t>552-1083-26, (01.09.2026) [IJZ-MB]</t>
        </is>
      </c>
      <c r="AF300" s="165" t="n"/>
      <c r="AG300" s="165" t="n"/>
      <c r="AH300" s="165" t="n"/>
      <c r="AI300" s="165" t="n"/>
      <c r="AJ300" s="167" t="n"/>
      <c r="AK300" s="166" t="n"/>
      <c r="AL300" s="165" t="n"/>
      <c r="AM300" s="165" t="n"/>
      <c r="AN300" s="167" t="n"/>
      <c r="AO300" s="166" t="n"/>
      <c r="AP300" s="165" t="n"/>
      <c r="AQ300" s="165" t="n"/>
      <c r="AR300" s="165" t="n"/>
      <c r="AS300" s="167" t="n"/>
      <c r="AT300" s="166" t="n"/>
      <c r="AU300" s="165" t="n"/>
      <c r="AV300" s="169" t="n"/>
    </row>
    <row r="301" ht="21" customHeight="1" s="70">
      <c r="A301" s="125" t="inlineStr">
        <is>
          <t>PM092501</t>
        </is>
      </c>
      <c r="B301" s="126" t="inlineStr">
        <is>
          <t>P060062</t>
        </is>
      </c>
      <c r="C301" s="127" t="inlineStr">
        <is>
          <t>✓ COMPLETE
2 testing instances
• 2 document(s) on file, not credited</t>
        </is>
      </c>
      <c r="D301" s="128" t="inlineStr">
        <is>
          <t>1 of 2</t>
        </is>
      </c>
      <c r="E301" s="129" t="inlineStr">
        <is>
          <t>release testing</t>
        </is>
      </c>
      <c r="F301" s="130" t="inlineStr">
        <is>
          <t>iCoA-PP_26-041
CoQ-PP_26-042 · initial release</t>
        </is>
      </c>
      <c r="G301" s="131" t="inlineStr">
        <is>
          <t>Conforms</t>
        </is>
      </c>
      <c r="H301" s="132">
        <f>IFERROR(INDEX('iCoA Register'!$B:$B,MATCH("P060062|I",'iCoA Register'!$AA:$AA,0)),"iCoA — at issue")&amp;", (30.01.2026) [PP]"</f>
        <v/>
      </c>
      <c r="I301" s="133" t="inlineStr">
        <is>
          <t>✓</t>
        </is>
      </c>
      <c r="J301" s="134" t="inlineStr">
        <is>
          <t>not on this certificate</t>
        </is>
      </c>
      <c r="K301" s="135" t="inlineStr">
        <is>
          <t>ППК26004, (21.01.2026) [CNP] · on file, not credited</t>
        </is>
      </c>
      <c r="L301" s="136" t="inlineStr">
        <is>
          <t>•</t>
        </is>
      </c>
      <c r="M301" s="131" t="inlineStr">
        <is>
          <t>Conforms (ImB spec.) ᴿ</t>
        </is>
      </c>
      <c r="N301" s="132" t="inlineStr">
        <is>
          <t>ППК26004, (21.01.2026) [CNP]</t>
        </is>
      </c>
      <c r="O301" s="133" t="inlineStr">
        <is>
          <t>✓</t>
        </is>
      </c>
      <c r="P301" s="137" t="inlineStr">
        <is>
          <t>14.06 ᴿ</t>
        </is>
      </c>
      <c r="Q301" s="132" t="inlineStr">
        <is>
          <t>ППК26004, (21.01.2026) [CNP]</t>
        </is>
      </c>
      <c r="R301" s="133" t="inlineStr">
        <is>
          <t>✓</t>
        </is>
      </c>
      <c r="S301" s="138" t="inlineStr">
        <is>
          <t>0.05</t>
        </is>
      </c>
      <c r="T301" s="132" t="inlineStr">
        <is>
          <t>ППК26004, (21.01.2026) [CNP]</t>
        </is>
      </c>
      <c r="U301" s="133" t="inlineStr">
        <is>
          <t>✓</t>
        </is>
      </c>
      <c r="V301" s="138" t="inlineStr">
        <is>
          <t>&lt; LOQ ᴰ</t>
        </is>
      </c>
      <c r="W301" s="132" t="inlineStr">
        <is>
          <t>ППК26004, (21.01.2026) [CNP]</t>
        </is>
      </c>
      <c r="X301" s="133" t="inlineStr">
        <is>
          <t>✓</t>
        </is>
      </c>
      <c r="Y301" s="131" t="inlineStr">
        <is>
          <t>Conforms</t>
        </is>
      </c>
      <c r="Z301" s="132">
        <f>IFERROR(INDEX('iCoA Register'!$B:$B,MATCH("P060062|I",'iCoA Register'!$AA:$AA,0)),"iCoA — at issue")&amp;", (30.01.2026) [PP]"</f>
        <v/>
      </c>
      <c r="AA301" s="133" t="inlineStr">
        <is>
          <t>✓</t>
        </is>
      </c>
      <c r="AB301" s="131" t="inlineStr">
        <is>
          <t>7.97</t>
        </is>
      </c>
      <c r="AC301" s="132" t="inlineStr">
        <is>
          <t>ППК26004, (21.01.2026) [CNP]</t>
        </is>
      </c>
      <c r="AD301" s="133" t="inlineStr">
        <is>
          <t>✓</t>
        </is>
      </c>
      <c r="AE301" s="131" t="inlineStr">
        <is>
          <t>2 × 10³</t>
        </is>
      </c>
      <c r="AF301" s="139" t="inlineStr">
        <is>
          <t>2.2 × 10³</t>
        </is>
      </c>
      <c r="AG301" s="139" t="inlineStr">
        <is>
          <t>&lt; 10</t>
        </is>
      </c>
      <c r="AH301" s="139" t="inlineStr">
        <is>
          <t>Absent</t>
        </is>
      </c>
      <c r="AI301" s="139" t="inlineStr">
        <is>
          <t>Absent</t>
        </is>
      </c>
      <c r="AJ301" s="133" t="inlineStr">
        <is>
          <t>✓</t>
        </is>
      </c>
      <c r="AK301" s="131" t="inlineStr">
        <is>
          <t>not reported</t>
        </is>
      </c>
      <c r="AL301" s="139" t="inlineStr">
        <is>
          <t>&lt; 2</t>
        </is>
      </c>
      <c r="AM301" s="139" t="inlineStr">
        <is>
          <t>not reported</t>
        </is>
      </c>
      <c r="AN301" s="133" t="inlineStr">
        <is>
          <t>✓</t>
        </is>
      </c>
      <c r="AO301" s="131" t="inlineStr">
        <is>
          <t>0.03</t>
        </is>
      </c>
      <c r="AP301" s="139" t="inlineStr">
        <is>
          <t>ND</t>
        </is>
      </c>
      <c r="AQ301" s="139" t="inlineStr">
        <is>
          <t>ND</t>
        </is>
      </c>
      <c r="AR301" s="139" t="inlineStr">
        <is>
          <t>ND</t>
        </is>
      </c>
      <c r="AS301" s="133" t="inlineStr">
        <is>
          <t>✓</t>
        </is>
      </c>
      <c r="AT301" s="131" t="inlineStr">
        <is>
          <t>≤ LOQ (all 28 compounds)</t>
        </is>
      </c>
      <c r="AU301" s="132" t="inlineStr">
        <is>
          <t>83-2026, (02.02.2026) [IJZ]</t>
        </is>
      </c>
      <c r="AV301" s="140" t="inlineStr">
        <is>
          <t>✓</t>
        </is>
      </c>
    </row>
    <row r="302" ht="21" customHeight="1" s="70">
      <c r="A302" s="141" t="n"/>
      <c r="G302" s="142" t="n"/>
      <c r="I302" s="143" t="n"/>
      <c r="J302" s="142" t="n"/>
      <c r="L302" s="143" t="n"/>
      <c r="M302" s="142" t="n"/>
      <c r="O302" s="143" t="n"/>
      <c r="P302" s="142" t="n"/>
      <c r="R302" s="143" t="n"/>
      <c r="S302" s="142" t="n"/>
      <c r="U302" s="143" t="n"/>
      <c r="V302" s="142" t="n"/>
      <c r="X302" s="143" t="n"/>
      <c r="Y302" s="142" t="n"/>
      <c r="AA302" s="143" t="n"/>
      <c r="AB302" s="142" t="n"/>
      <c r="AD302" s="143" t="n"/>
      <c r="AE302" s="144" t="inlineStr">
        <is>
          <t>6-0009-26, (20.01.2026) [IJZ-MB]</t>
        </is>
      </c>
      <c r="AJ302" s="143" t="n"/>
      <c r="AK302" s="144" t="inlineStr">
        <is>
          <t>83-2026, (02.02.2026) [IJZ]</t>
        </is>
      </c>
      <c r="AN302" s="143" t="n"/>
      <c r="AO302" s="144" t="inlineStr">
        <is>
          <t>83-2026, (02.02.2026) [IJZ]</t>
        </is>
      </c>
      <c r="AS302" s="143" t="n"/>
      <c r="AT302" s="142" t="n"/>
      <c r="AV302" s="145" t="n"/>
    </row>
    <row r="303" ht="17.625" customHeight="1" s="70">
      <c r="A303" s="146" t="n"/>
      <c r="B303" s="147" t="n"/>
      <c r="D303" s="148" t="inlineStr">
        <is>
          <t>2 of 2</t>
        </is>
      </c>
      <c r="E303" s="149" t="inlineStr">
        <is>
          <t>release testing + re-analysis 197</t>
        </is>
      </c>
      <c r="F303" s="150" t="inlineStr">
        <is>
          <t>iCoA-PP_26-041
CoQ-PP_26-042 · initial release
iCoA-PP_26-120
CoQ-PP_26-104 · retest</t>
        </is>
      </c>
      <c r="G303" s="151" t="n"/>
      <c r="H303" s="147" t="n"/>
      <c r="I303" s="152" t="n"/>
      <c r="J303" s="153" t="inlineStr">
        <is>
          <t>Conforms</t>
        </is>
      </c>
      <c r="K303" s="154">
        <f>IFERROR(INDEX('iCoA Register'!$B:$B,MATCH("P060062|I",'iCoA Register'!$AA:$AA,0)),"iCoA — at issue")&amp;", (30.01.2026) [PP]"</f>
        <v/>
      </c>
      <c r="L303" s="155" t="inlineStr">
        <is>
          <t>✓</t>
        </is>
      </c>
      <c r="M303" s="153" t="inlineStr">
        <is>
          <t>Conforms (ImB spec.)</t>
        </is>
      </c>
      <c r="N303" s="154" t="inlineStr">
        <is>
          <t>197-20-К-26, (07.08.2026) [FHM-K]</t>
        </is>
      </c>
      <c r="O303" s="155" t="inlineStr">
        <is>
          <t>✓</t>
        </is>
      </c>
      <c r="P303" s="156" t="inlineStr">
        <is>
          <t>12.25</t>
        </is>
      </c>
      <c r="Q303" s="154" t="inlineStr">
        <is>
          <t>197-20-К-26, (07.08.2026) [FHM-K]</t>
        </is>
      </c>
      <c r="R303" s="155" t="inlineStr">
        <is>
          <t>✓</t>
        </is>
      </c>
      <c r="S303" s="157" t="inlineStr">
        <is>
          <t>&lt; LOQ</t>
        </is>
      </c>
      <c r="T303" s="154" t="inlineStr">
        <is>
          <t>197-20-К-26, (07.08.2026) [FHM-K]</t>
        </is>
      </c>
      <c r="U303" s="155" t="inlineStr">
        <is>
          <t>✓</t>
        </is>
      </c>
      <c r="V303" s="157" t="inlineStr">
        <is>
          <t>&lt; LOQ</t>
        </is>
      </c>
      <c r="W303" s="154" t="inlineStr">
        <is>
          <t>197-20-К-26, (07.08.2026) [FHM-K]</t>
        </is>
      </c>
      <c r="X303" s="155" t="inlineStr">
        <is>
          <t>✓</t>
        </is>
      </c>
      <c r="Y303" s="151" t="n"/>
      <c r="Z303" s="147" t="n"/>
      <c r="AA303" s="152" t="n"/>
      <c r="AB303" s="158" t="inlineStr">
        <is>
          <t>not on this certificate</t>
        </is>
      </c>
      <c r="AC303" s="159" t="inlineStr">
        <is>
          <t>197-20-К-26, (07.08.2026) [FHM-K] · on file, not credited</t>
        </is>
      </c>
      <c r="AD303" s="160" t="inlineStr">
        <is>
          <t>•</t>
        </is>
      </c>
      <c r="AE303" s="151" t="n"/>
      <c r="AF303" s="147" t="n"/>
      <c r="AG303" s="147" t="n"/>
      <c r="AH303" s="147" t="n"/>
      <c r="AI303" s="147" t="n"/>
      <c r="AJ303" s="152" t="n"/>
      <c r="AK303" s="161" t="inlineStr">
        <is>
          <t>ND</t>
        </is>
      </c>
      <c r="AL303" s="162" t="inlineStr">
        <is>
          <t>ND</t>
        </is>
      </c>
      <c r="AM303" s="162" t="inlineStr">
        <is>
          <t>ND</t>
        </is>
      </c>
      <c r="AN303" s="155" t="inlineStr">
        <is>
          <t>✓</t>
        </is>
      </c>
      <c r="AO303" s="151" t="n"/>
      <c r="AP303" s="147" t="n"/>
      <c r="AQ303" s="147" t="n"/>
      <c r="AR303" s="147" t="n"/>
      <c r="AS303" s="152" t="n"/>
      <c r="AT303" s="151" t="n"/>
      <c r="AU303" s="147" t="n"/>
      <c r="AV303" s="163" t="n"/>
    </row>
    <row r="304" ht="39" customHeight="1" s="70">
      <c r="A304" s="164" t="n"/>
      <c r="B304" s="165" t="n"/>
      <c r="C304" s="165" t="n"/>
      <c r="D304" s="165" t="n"/>
      <c r="E304" s="165" t="n"/>
      <c r="F304" s="165" t="n"/>
      <c r="G304" s="166" t="n"/>
      <c r="H304" s="165" t="n"/>
      <c r="I304" s="167" t="n"/>
      <c r="J304" s="166" t="n"/>
      <c r="K304" s="165" t="n"/>
      <c r="L304" s="167" t="n"/>
      <c r="M304" s="166" t="n"/>
      <c r="N304" s="165" t="n"/>
      <c r="O304" s="167" t="n"/>
      <c r="P304" s="166" t="n"/>
      <c r="Q304" s="165" t="n"/>
      <c r="R304" s="167" t="n"/>
      <c r="S304" s="166" t="n"/>
      <c r="T304" s="165" t="n"/>
      <c r="U304" s="167" t="n"/>
      <c r="V304" s="166" t="n"/>
      <c r="W304" s="165" t="n"/>
      <c r="X304" s="167" t="n"/>
      <c r="Y304" s="166" t="n"/>
      <c r="Z304" s="165" t="n"/>
      <c r="AA304" s="167" t="n"/>
      <c r="AB304" s="166" t="n"/>
      <c r="AC304" s="165" t="n"/>
      <c r="AD304" s="167" t="n"/>
      <c r="AE304" s="166" t="n"/>
      <c r="AF304" s="165" t="n"/>
      <c r="AG304" s="165" t="n"/>
      <c r="AH304" s="165" t="n"/>
      <c r="AI304" s="165" t="n"/>
      <c r="AJ304" s="167" t="n"/>
      <c r="AK304" s="168" t="inlineStr">
        <is>
          <t>197-20-М-26, (10.08.2026) [FHM-M]</t>
        </is>
      </c>
      <c r="AL304" s="165" t="n"/>
      <c r="AM304" s="165" t="n"/>
      <c r="AN304" s="167" t="n"/>
      <c r="AO304" s="166" t="n"/>
      <c r="AP304" s="165" t="n"/>
      <c r="AQ304" s="165" t="n"/>
      <c r="AR304" s="165" t="n"/>
      <c r="AS304" s="167" t="n"/>
      <c r="AT304" s="166" t="n"/>
      <c r="AU304" s="165" t="n"/>
      <c r="AV304" s="169" t="n"/>
    </row>
    <row r="305" ht="21" customHeight="1" s="70">
      <c r="A305" s="125" t="inlineStr">
        <is>
          <t>CJ092501</t>
        </is>
      </c>
      <c r="B305" s="126" t="inlineStr">
        <is>
          <t>P060072</t>
        </is>
      </c>
      <c r="C305" s="127" t="inlineStr">
        <is>
          <t>✓ COMPLETE
2 testing instances
• 1 document(s) on file, not credited</t>
        </is>
      </c>
      <c r="D305" s="128" t="inlineStr">
        <is>
          <t>1 of 2</t>
        </is>
      </c>
      <c r="E305" s="129" t="inlineStr">
        <is>
          <t>release testing</t>
        </is>
      </c>
      <c r="F305" s="130" t="inlineStr">
        <is>
          <t>iCoA-PP_26-042
CoQ-PP_26-043 · initial release</t>
        </is>
      </c>
      <c r="G305" s="131" t="inlineStr">
        <is>
          <t>Conforms</t>
        </is>
      </c>
      <c r="H305" s="132">
        <f>IFERROR(INDEX('iCoA Register'!$B:$B,MATCH("P060072|I",'iCoA Register'!$AA:$AA,0)),"iCoA — at issue")&amp;", (02.02.2026) [PP]"</f>
        <v/>
      </c>
      <c r="I305" s="133" t="inlineStr">
        <is>
          <t>✓</t>
        </is>
      </c>
      <c r="J305" s="134" t="inlineStr">
        <is>
          <t>not on this certificate</t>
        </is>
      </c>
      <c r="K305" s="135" t="inlineStr">
        <is>
          <t>ППК26007, (21.01.2026) [CNP] · on file, not credited</t>
        </is>
      </c>
      <c r="L305" s="136" t="inlineStr">
        <is>
          <t>•</t>
        </is>
      </c>
      <c r="M305" s="131" t="inlineStr">
        <is>
          <t>Conforms (ImB spec.)</t>
        </is>
      </c>
      <c r="N305" s="132" t="inlineStr">
        <is>
          <t>ППК26007, (21.01.2026) [CNP]</t>
        </is>
      </c>
      <c r="O305" s="133" t="inlineStr">
        <is>
          <t>✓</t>
        </is>
      </c>
      <c r="P305" s="137" t="inlineStr">
        <is>
          <t>22.30</t>
        </is>
      </c>
      <c r="Q305" s="132" t="inlineStr">
        <is>
          <t>ППК26007, (21.01.2026) [CNP]</t>
        </is>
      </c>
      <c r="R305" s="133" t="inlineStr">
        <is>
          <t>✓</t>
        </is>
      </c>
      <c r="S305" s="138" t="inlineStr">
        <is>
          <t>0.10</t>
        </is>
      </c>
      <c r="T305" s="132" t="inlineStr">
        <is>
          <t>ППК26007, (21.01.2026) [CNP]</t>
        </is>
      </c>
      <c r="U305" s="133" t="inlineStr">
        <is>
          <t>✓</t>
        </is>
      </c>
      <c r="V305" s="138" t="inlineStr">
        <is>
          <t>ND ᴰ</t>
        </is>
      </c>
      <c r="W305" s="132" t="inlineStr">
        <is>
          <t>ППК26007, (21.01.2026) [CNP]</t>
        </is>
      </c>
      <c r="X305" s="133" t="inlineStr">
        <is>
          <t>✓</t>
        </is>
      </c>
      <c r="Y305" s="131" t="inlineStr">
        <is>
          <t>Conforms</t>
        </is>
      </c>
      <c r="Z305" s="132">
        <f>IFERROR(INDEX('iCoA Register'!$B:$B,MATCH("P060072|I",'iCoA Register'!$AA:$AA,0)),"iCoA — at issue")&amp;", (02.02.2026) [PP]"</f>
        <v/>
      </c>
      <c r="AA305" s="133" t="inlineStr">
        <is>
          <t>✓</t>
        </is>
      </c>
      <c r="AB305" s="131" t="inlineStr">
        <is>
          <t>7.64</t>
        </is>
      </c>
      <c r="AC305" s="132" t="inlineStr">
        <is>
          <t>ППК26007, (21.01.2026) [CNP]</t>
        </is>
      </c>
      <c r="AD305" s="133" t="inlineStr">
        <is>
          <t>✓</t>
        </is>
      </c>
      <c r="AE305" s="131" t="inlineStr">
        <is>
          <t>&lt; 10</t>
        </is>
      </c>
      <c r="AF305" s="139" t="inlineStr">
        <is>
          <t>&lt; 10</t>
        </is>
      </c>
      <c r="AG305" s="139" t="inlineStr">
        <is>
          <t>&lt; 10</t>
        </is>
      </c>
      <c r="AH305" s="139" t="inlineStr">
        <is>
          <t>Absent</t>
        </is>
      </c>
      <c r="AI305" s="139" t="inlineStr">
        <is>
          <t>Absent</t>
        </is>
      </c>
      <c r="AJ305" s="133" t="inlineStr">
        <is>
          <t>✓</t>
        </is>
      </c>
      <c r="AK305" s="131" t="inlineStr">
        <is>
          <t>not reported</t>
        </is>
      </c>
      <c r="AL305" s="139" t="inlineStr">
        <is>
          <t>&lt; 2</t>
        </is>
      </c>
      <c r="AM305" s="139" t="inlineStr">
        <is>
          <t>not reported</t>
        </is>
      </c>
      <c r="AN305" s="133" t="inlineStr">
        <is>
          <t>✓</t>
        </is>
      </c>
      <c r="AO305" s="131" t="inlineStr">
        <is>
          <t>0.04</t>
        </is>
      </c>
      <c r="AP305" s="139" t="inlineStr">
        <is>
          <t>ND</t>
        </is>
      </c>
      <c r="AQ305" s="139" t="inlineStr">
        <is>
          <t>ND</t>
        </is>
      </c>
      <c r="AR305" s="139" t="inlineStr">
        <is>
          <t>0.004</t>
        </is>
      </c>
      <c r="AS305" s="133" t="inlineStr">
        <is>
          <t>✓</t>
        </is>
      </c>
      <c r="AT305" s="131" t="inlineStr">
        <is>
          <t>≤ LOQ (all 29 compounds)</t>
        </is>
      </c>
      <c r="AU305" s="132" t="inlineStr">
        <is>
          <t>86-2026, (02.02.2026) [IJZ]</t>
        </is>
      </c>
      <c r="AV305" s="140" t="inlineStr">
        <is>
          <t>✓</t>
        </is>
      </c>
    </row>
    <row r="306" ht="21" customHeight="1" s="70">
      <c r="A306" s="141" t="n"/>
      <c r="G306" s="142" t="n"/>
      <c r="I306" s="143" t="n"/>
      <c r="J306" s="142" t="n"/>
      <c r="L306" s="143" t="n"/>
      <c r="M306" s="142" t="n"/>
      <c r="O306" s="143" t="n"/>
      <c r="P306" s="142" t="n"/>
      <c r="R306" s="143" t="n"/>
      <c r="S306" s="142" t="n"/>
      <c r="U306" s="143" t="n"/>
      <c r="V306" s="142" t="n"/>
      <c r="X306" s="143" t="n"/>
      <c r="Y306" s="142" t="n"/>
      <c r="AA306" s="143" t="n"/>
      <c r="AB306" s="142" t="n"/>
      <c r="AD306" s="143" t="n"/>
      <c r="AE306" s="144" t="inlineStr">
        <is>
          <t>10-0013-26, (20.01.2026) [IJZ-MB]</t>
        </is>
      </c>
      <c r="AJ306" s="143" t="n"/>
      <c r="AK306" s="144" t="inlineStr">
        <is>
          <t>86-2026, (02.02.2026) [IJZ]</t>
        </is>
      </c>
      <c r="AN306" s="143" t="n"/>
      <c r="AO306" s="144" t="inlineStr">
        <is>
          <t>86-2026, (02.02.2026) [IJZ]</t>
        </is>
      </c>
      <c r="AS306" s="143" t="n"/>
      <c r="AT306" s="142" t="n"/>
      <c r="AV306" s="145" t="n"/>
    </row>
    <row r="307" ht="17.625" customHeight="1" s="70">
      <c r="A307" s="146" t="n"/>
      <c r="B307" s="147" t="n"/>
      <c r="D307" s="148" t="inlineStr">
        <is>
          <t>2 of 2</t>
        </is>
      </c>
      <c r="E307" s="149" t="inlineStr">
        <is>
          <t>release testing + re-analysis 220</t>
        </is>
      </c>
      <c r="F307" s="150" t="inlineStr">
        <is>
          <t>iCoA-PP_26-042
CoQ-PP_26-043 · initial release
iCoA-PP_26-128
CoQ-PP_26-112 · retest</t>
        </is>
      </c>
      <c r="G307" s="151" t="n"/>
      <c r="H307" s="147" t="n"/>
      <c r="I307" s="152" t="n"/>
      <c r="J307" s="153" t="inlineStr">
        <is>
          <t>Conforms</t>
        </is>
      </c>
      <c r="K307" s="154">
        <f>IFERROR(INDEX('iCoA Register'!$B:$B,MATCH("P060072|I",'iCoA Register'!$AA:$AA,0)),"iCoA — at issue")&amp;", (02.02.2026) [PP]"</f>
        <v/>
      </c>
      <c r="L307" s="155" t="inlineStr">
        <is>
          <t>✓</t>
        </is>
      </c>
      <c r="M307" s="153" t="inlineStr">
        <is>
          <t>Conforms (ImB spec.)</t>
        </is>
      </c>
      <c r="N307" s="154" t="inlineStr">
        <is>
          <t>220-5-К-26, (25.08.2026) [FHM-K]</t>
        </is>
      </c>
      <c r="O307" s="155" t="inlineStr">
        <is>
          <t>✓</t>
        </is>
      </c>
      <c r="P307" s="156" t="inlineStr">
        <is>
          <t>25.65</t>
        </is>
      </c>
      <c r="Q307" s="154" t="inlineStr">
        <is>
          <t>220-5-К-26, (25.08.2026) [FHM-K]</t>
        </is>
      </c>
      <c r="R307" s="155" t="inlineStr">
        <is>
          <t>✓</t>
        </is>
      </c>
      <c r="S307" s="157" t="inlineStr">
        <is>
          <t>&lt; LOQ</t>
        </is>
      </c>
      <c r="T307" s="154" t="inlineStr">
        <is>
          <t>220-5-К-26, (25.08.2026) [FHM-K]</t>
        </is>
      </c>
      <c r="U307" s="155" t="inlineStr">
        <is>
          <t>✓</t>
        </is>
      </c>
      <c r="V307" s="157" t="inlineStr">
        <is>
          <t>&lt; LOQ</t>
        </is>
      </c>
      <c r="W307" s="154" t="inlineStr">
        <is>
          <t>220-5-К-26, (25.08.2026) [FHM-K]</t>
        </is>
      </c>
      <c r="X307" s="155" t="inlineStr">
        <is>
          <t>✓</t>
        </is>
      </c>
      <c r="Y307" s="151" t="n"/>
      <c r="Z307" s="147" t="n"/>
      <c r="AA307" s="152" t="n"/>
      <c r="AB307" s="151" t="n"/>
      <c r="AC307" s="147" t="n"/>
      <c r="AD307" s="152" t="n"/>
      <c r="AE307" s="151" t="n"/>
      <c r="AF307" s="147" t="n"/>
      <c r="AG307" s="147" t="n"/>
      <c r="AH307" s="147" t="n"/>
      <c r="AI307" s="147" t="n"/>
      <c r="AJ307" s="152" t="n"/>
      <c r="AK307" s="161" t="inlineStr">
        <is>
          <t>ND</t>
        </is>
      </c>
      <c r="AL307" s="162" t="inlineStr">
        <is>
          <t>ND</t>
        </is>
      </c>
      <c r="AM307" s="162" t="inlineStr">
        <is>
          <t>ND</t>
        </is>
      </c>
      <c r="AN307" s="155" t="inlineStr">
        <is>
          <t>✓</t>
        </is>
      </c>
      <c r="AO307" s="151" t="n"/>
      <c r="AP307" s="147" t="n"/>
      <c r="AQ307" s="147" t="n"/>
      <c r="AR307" s="147" t="n"/>
      <c r="AS307" s="152" t="n"/>
      <c r="AT307" s="151" t="n"/>
      <c r="AU307" s="147" t="n"/>
      <c r="AV307" s="163" t="n"/>
    </row>
    <row r="308" ht="39" customHeight="1" s="70">
      <c r="A308" s="164" t="n"/>
      <c r="B308" s="165" t="n"/>
      <c r="C308" s="165" t="n"/>
      <c r="D308" s="165" t="n"/>
      <c r="E308" s="165" t="n"/>
      <c r="F308" s="165" t="n"/>
      <c r="G308" s="166" t="n"/>
      <c r="H308" s="165" t="n"/>
      <c r="I308" s="167" t="n"/>
      <c r="J308" s="166" t="n"/>
      <c r="K308" s="165" t="n"/>
      <c r="L308" s="167" t="n"/>
      <c r="M308" s="166" t="n"/>
      <c r="N308" s="165" t="n"/>
      <c r="O308" s="167" t="n"/>
      <c r="P308" s="166" t="n"/>
      <c r="Q308" s="165" t="n"/>
      <c r="R308" s="167" t="n"/>
      <c r="S308" s="166" t="n"/>
      <c r="T308" s="165" t="n"/>
      <c r="U308" s="167" t="n"/>
      <c r="V308" s="166" t="n"/>
      <c r="W308" s="165" t="n"/>
      <c r="X308" s="167" t="n"/>
      <c r="Y308" s="166" t="n"/>
      <c r="Z308" s="165" t="n"/>
      <c r="AA308" s="167" t="n"/>
      <c r="AB308" s="166" t="n"/>
      <c r="AC308" s="165" t="n"/>
      <c r="AD308" s="167" t="n"/>
      <c r="AE308" s="166" t="n"/>
      <c r="AF308" s="165" t="n"/>
      <c r="AG308" s="165" t="n"/>
      <c r="AH308" s="165" t="n"/>
      <c r="AI308" s="165" t="n"/>
      <c r="AJ308" s="167" t="n"/>
      <c r="AK308" s="168" t="inlineStr">
        <is>
          <t>220-5-М-26, (11.09.2026) [FHM-M]</t>
        </is>
      </c>
      <c r="AL308" s="165" t="n"/>
      <c r="AM308" s="165" t="n"/>
      <c r="AN308" s="167" t="n"/>
      <c r="AO308" s="166" t="n"/>
      <c r="AP308" s="165" t="n"/>
      <c r="AQ308" s="165" t="n"/>
      <c r="AR308" s="165" t="n"/>
      <c r="AS308" s="167" t="n"/>
      <c r="AT308" s="166" t="n"/>
      <c r="AU308" s="165" t="n"/>
      <c r="AV308" s="169" t="n"/>
    </row>
    <row r="309" ht="21" customHeight="1" s="70">
      <c r="A309" s="125" t="inlineStr">
        <is>
          <t>SJ0925021</t>
        </is>
      </c>
      <c r="B309" s="126" t="inlineStr">
        <is>
          <t>P060082</t>
        </is>
      </c>
      <c r="C309" s="127" t="inlineStr">
        <is>
          <t>✓ COMPLETE
2 testing instances
• 1 document(s) on file, not credited</t>
        </is>
      </c>
      <c r="D309" s="128" t="inlineStr">
        <is>
          <t>1 of 2</t>
        </is>
      </c>
      <c r="E309" s="129" t="inlineStr">
        <is>
          <t>release testing</t>
        </is>
      </c>
      <c r="F309" s="130" t="inlineStr">
        <is>
          <t>iCoA-PP_26-043
CoQ-PP_26-044 · initial release</t>
        </is>
      </c>
      <c r="G309" s="131" t="inlineStr">
        <is>
          <t>Conforms</t>
        </is>
      </c>
      <c r="H309" s="132">
        <f>IFERROR(INDEX('iCoA Register'!$B:$B,MATCH("P060082|I",'iCoA Register'!$AA:$AA,0)),"iCoA — at issue")&amp;", (02.02.2026) [PP]"</f>
        <v/>
      </c>
      <c r="I309" s="133" t="inlineStr">
        <is>
          <t>✓</t>
        </is>
      </c>
      <c r="J309" s="134" t="inlineStr">
        <is>
          <t>not on this certificate</t>
        </is>
      </c>
      <c r="K309" s="135" t="inlineStr">
        <is>
          <t>ППК26006, (21.01.2026) [CNP] · on file, not credited</t>
        </is>
      </c>
      <c r="L309" s="136" t="inlineStr">
        <is>
          <t>•</t>
        </is>
      </c>
      <c r="M309" s="131" t="inlineStr">
        <is>
          <t>Conforms (ImB spec.)</t>
        </is>
      </c>
      <c r="N309" s="132" t="inlineStr">
        <is>
          <t>ППК26006, (21.01.2026) [CNP]</t>
        </is>
      </c>
      <c r="O309" s="133" t="inlineStr">
        <is>
          <t>✓</t>
        </is>
      </c>
      <c r="P309" s="137" t="inlineStr">
        <is>
          <t>10.96</t>
        </is>
      </c>
      <c r="Q309" s="132" t="inlineStr">
        <is>
          <t>ППК26006, (21.01.2026) [CNP]</t>
        </is>
      </c>
      <c r="R309" s="133" t="inlineStr">
        <is>
          <t>✓</t>
        </is>
      </c>
      <c r="S309" s="138" t="inlineStr">
        <is>
          <t>0.07</t>
        </is>
      </c>
      <c r="T309" s="132" t="inlineStr">
        <is>
          <t>ППК26006, (21.01.2026) [CNP]</t>
        </is>
      </c>
      <c r="U309" s="133" t="inlineStr">
        <is>
          <t>✓</t>
        </is>
      </c>
      <c r="V309" s="138" t="inlineStr">
        <is>
          <t>&lt; LOQ ᴰ</t>
        </is>
      </c>
      <c r="W309" s="132" t="inlineStr">
        <is>
          <t>ППК26006, (21.01.2026) [CNP]</t>
        </is>
      </c>
      <c r="X309" s="133" t="inlineStr">
        <is>
          <t>✓</t>
        </is>
      </c>
      <c r="Y309" s="131" t="inlineStr">
        <is>
          <t>Conforms</t>
        </is>
      </c>
      <c r="Z309" s="132">
        <f>IFERROR(INDEX('iCoA Register'!$B:$B,MATCH("P060082|I",'iCoA Register'!$AA:$AA,0)),"iCoA — at issue")&amp;", (02.02.2026) [PP]"</f>
        <v/>
      </c>
      <c r="AA309" s="133" t="inlineStr">
        <is>
          <t>✓</t>
        </is>
      </c>
      <c r="AB309" s="131" t="inlineStr">
        <is>
          <t>8.68</t>
        </is>
      </c>
      <c r="AC309" s="132" t="inlineStr">
        <is>
          <t>ППК26006, (21.01.2026) [CNP]</t>
        </is>
      </c>
      <c r="AD309" s="133" t="inlineStr">
        <is>
          <t>✓</t>
        </is>
      </c>
      <c r="AE309" s="131" t="inlineStr">
        <is>
          <t>&lt; 10</t>
        </is>
      </c>
      <c r="AF309" s="139" t="inlineStr">
        <is>
          <t>&lt; 10</t>
        </is>
      </c>
      <c r="AG309" s="139" t="inlineStr">
        <is>
          <t>&lt; 10</t>
        </is>
      </c>
      <c r="AH309" s="139" t="inlineStr">
        <is>
          <t>Absent</t>
        </is>
      </c>
      <c r="AI309" s="139" t="inlineStr">
        <is>
          <t>Absent</t>
        </is>
      </c>
      <c r="AJ309" s="133" t="inlineStr">
        <is>
          <t>✓</t>
        </is>
      </c>
      <c r="AK309" s="131" t="inlineStr">
        <is>
          <t>not reported</t>
        </is>
      </c>
      <c r="AL309" s="139" t="inlineStr">
        <is>
          <t>2</t>
        </is>
      </c>
      <c r="AM309" s="139" t="inlineStr">
        <is>
          <t>not reported</t>
        </is>
      </c>
      <c r="AN309" s="133" t="inlineStr">
        <is>
          <t>✓</t>
        </is>
      </c>
      <c r="AO309" s="131" t="inlineStr">
        <is>
          <t>0.08</t>
        </is>
      </c>
      <c r="AP309" s="139" t="inlineStr">
        <is>
          <t>ND</t>
        </is>
      </c>
      <c r="AQ309" s="139" t="inlineStr">
        <is>
          <t>ND</t>
        </is>
      </c>
      <c r="AR309" s="139" t="inlineStr">
        <is>
          <t>0.003</t>
        </is>
      </c>
      <c r="AS309" s="133" t="inlineStr">
        <is>
          <t>✓</t>
        </is>
      </c>
      <c r="AT309" s="131" t="inlineStr">
        <is>
          <t>≤ LOQ (all 29 compounds)</t>
        </is>
      </c>
      <c r="AU309" s="132" t="inlineStr">
        <is>
          <t>85-2026, (02.02.2026) [IJZ]</t>
        </is>
      </c>
      <c r="AV309" s="140" t="inlineStr">
        <is>
          <t>✓</t>
        </is>
      </c>
    </row>
    <row r="310" ht="21" customHeight="1" s="70">
      <c r="A310" s="141" t="n"/>
      <c r="G310" s="142" t="n"/>
      <c r="I310" s="143" t="n"/>
      <c r="J310" s="142" t="n"/>
      <c r="L310" s="143" t="n"/>
      <c r="M310" s="142" t="n"/>
      <c r="O310" s="143" t="n"/>
      <c r="P310" s="142" t="n"/>
      <c r="R310" s="143" t="n"/>
      <c r="S310" s="142" t="n"/>
      <c r="U310" s="143" t="n"/>
      <c r="V310" s="142" t="n"/>
      <c r="X310" s="143" t="n"/>
      <c r="Y310" s="142" t="n"/>
      <c r="AA310" s="143" t="n"/>
      <c r="AB310" s="142" t="n"/>
      <c r="AD310" s="143" t="n"/>
      <c r="AE310" s="144" t="inlineStr">
        <is>
          <t>9-0012-26, (20.01.2026) [IJZ-MB]</t>
        </is>
      </c>
      <c r="AJ310" s="143" t="n"/>
      <c r="AK310" s="144" t="inlineStr">
        <is>
          <t>85-2026, (02.02.2026) [IJZ]</t>
        </is>
      </c>
      <c r="AN310" s="143" t="n"/>
      <c r="AO310" s="144" t="inlineStr">
        <is>
          <t>85-2026, (02.02.2026) [IJZ]</t>
        </is>
      </c>
      <c r="AS310" s="143" t="n"/>
      <c r="AT310" s="142" t="n"/>
      <c r="AV310" s="145" t="n"/>
    </row>
    <row r="311" ht="17.625" customHeight="1" s="70">
      <c r="A311" s="146" t="n"/>
      <c r="B311" s="147" t="n"/>
      <c r="D311" s="148" t="inlineStr">
        <is>
          <t>2 of 2</t>
        </is>
      </c>
      <c r="E311" s="149" t="inlineStr">
        <is>
          <t>release testing + re-analysis 220</t>
        </is>
      </c>
      <c r="F311" s="150" t="inlineStr">
        <is>
          <t>iCoA-PP_26-043
CoQ-PP_26-044 · initial release
iCoA-PP_26-153
CoQ-PP_26-134 · retest</t>
        </is>
      </c>
      <c r="G311" s="151" t="n"/>
      <c r="H311" s="147" t="n"/>
      <c r="I311" s="152" t="n"/>
      <c r="J311" s="153" t="inlineStr">
        <is>
          <t>Conforms</t>
        </is>
      </c>
      <c r="K311" s="154">
        <f>IFERROR(INDEX('iCoA Register'!$B:$B,MATCH("P060082|I",'iCoA Register'!$AA:$AA,0)),"iCoA — at issue")&amp;", (02.02.2026) [PP]"</f>
        <v/>
      </c>
      <c r="L311" s="155" t="inlineStr">
        <is>
          <t>✓</t>
        </is>
      </c>
      <c r="M311" s="153" t="inlineStr">
        <is>
          <t>Conforms (ImB spec.)</t>
        </is>
      </c>
      <c r="N311" s="154" t="inlineStr">
        <is>
          <t>220-27-К-26, (26.08.2026) [FHM-K]</t>
        </is>
      </c>
      <c r="O311" s="155" t="inlineStr">
        <is>
          <t>✓</t>
        </is>
      </c>
      <c r="P311" s="156" t="inlineStr">
        <is>
          <t>10.39</t>
        </is>
      </c>
      <c r="Q311" s="154" t="inlineStr">
        <is>
          <t>220-27-К-26, (26.08.2026) [FHM-K]</t>
        </is>
      </c>
      <c r="R311" s="155" t="inlineStr">
        <is>
          <t>✓</t>
        </is>
      </c>
      <c r="S311" s="157" t="inlineStr">
        <is>
          <t>&lt; LOQ</t>
        </is>
      </c>
      <c r="T311" s="154" t="inlineStr">
        <is>
          <t>220-27-К-26, (26.08.2026) [FHM-K]</t>
        </is>
      </c>
      <c r="U311" s="155" t="inlineStr">
        <is>
          <t>✓</t>
        </is>
      </c>
      <c r="V311" s="157" t="inlineStr">
        <is>
          <t>&lt; LOQ</t>
        </is>
      </c>
      <c r="W311" s="154" t="inlineStr">
        <is>
          <t>220-27-К-26, (26.08.2026) [FHM-K]</t>
        </is>
      </c>
      <c r="X311" s="155" t="inlineStr">
        <is>
          <t>✓</t>
        </is>
      </c>
      <c r="Y311" s="151" t="n"/>
      <c r="Z311" s="147" t="n"/>
      <c r="AA311" s="152" t="n"/>
      <c r="AB311" s="151" t="n"/>
      <c r="AC311" s="147" t="n"/>
      <c r="AD311" s="152" t="n"/>
      <c r="AE311" s="151" t="n"/>
      <c r="AF311" s="147" t="n"/>
      <c r="AG311" s="147" t="n"/>
      <c r="AH311" s="147" t="n"/>
      <c r="AI311" s="147" t="n"/>
      <c r="AJ311" s="152" t="n"/>
      <c r="AK311" s="161" t="inlineStr">
        <is>
          <t>ND</t>
        </is>
      </c>
      <c r="AL311" s="162" t="inlineStr">
        <is>
          <t>ND</t>
        </is>
      </c>
      <c r="AM311" s="162" t="inlineStr">
        <is>
          <t>ND</t>
        </is>
      </c>
      <c r="AN311" s="155" t="inlineStr">
        <is>
          <t>✓</t>
        </is>
      </c>
      <c r="AO311" s="151" t="n"/>
      <c r="AP311" s="147" t="n"/>
      <c r="AQ311" s="147" t="n"/>
      <c r="AR311" s="147" t="n"/>
      <c r="AS311" s="152" t="n"/>
      <c r="AT311" s="151" t="n"/>
      <c r="AU311" s="147" t="n"/>
      <c r="AV311" s="163" t="n"/>
    </row>
    <row r="312" ht="39" customHeight="1" s="70">
      <c r="A312" s="164" t="n"/>
      <c r="B312" s="165" t="n"/>
      <c r="C312" s="165" t="n"/>
      <c r="D312" s="165" t="n"/>
      <c r="E312" s="165" t="n"/>
      <c r="F312" s="165" t="n"/>
      <c r="G312" s="166" t="n"/>
      <c r="H312" s="165" t="n"/>
      <c r="I312" s="167" t="n"/>
      <c r="J312" s="166" t="n"/>
      <c r="K312" s="165" t="n"/>
      <c r="L312" s="167" t="n"/>
      <c r="M312" s="166" t="n"/>
      <c r="N312" s="165" t="n"/>
      <c r="O312" s="167" t="n"/>
      <c r="P312" s="166" t="n"/>
      <c r="Q312" s="165" t="n"/>
      <c r="R312" s="167" t="n"/>
      <c r="S312" s="166" t="n"/>
      <c r="T312" s="165" t="n"/>
      <c r="U312" s="167" t="n"/>
      <c r="V312" s="166" t="n"/>
      <c r="W312" s="165" t="n"/>
      <c r="X312" s="167" t="n"/>
      <c r="Y312" s="166" t="n"/>
      <c r="Z312" s="165" t="n"/>
      <c r="AA312" s="167" t="n"/>
      <c r="AB312" s="166" t="n"/>
      <c r="AC312" s="165" t="n"/>
      <c r="AD312" s="167" t="n"/>
      <c r="AE312" s="166" t="n"/>
      <c r="AF312" s="165" t="n"/>
      <c r="AG312" s="165" t="n"/>
      <c r="AH312" s="165" t="n"/>
      <c r="AI312" s="165" t="n"/>
      <c r="AJ312" s="167" t="n"/>
      <c r="AK312" s="168" t="inlineStr">
        <is>
          <t>220-27-М-26, (11.09.2026) [FHM-M]</t>
        </is>
      </c>
      <c r="AL312" s="165" t="n"/>
      <c r="AM312" s="165" t="n"/>
      <c r="AN312" s="167" t="n"/>
      <c r="AO312" s="166" t="n"/>
      <c r="AP312" s="165" t="n"/>
      <c r="AQ312" s="165" t="n"/>
      <c r="AR312" s="165" t="n"/>
      <c r="AS312" s="167" t="n"/>
      <c r="AT312" s="166" t="n"/>
      <c r="AU312" s="165" t="n"/>
      <c r="AV312" s="169" t="n"/>
    </row>
    <row r="313" ht="21" customHeight="1" s="70">
      <c r="A313" s="125" t="inlineStr">
        <is>
          <t>GP092501</t>
        </is>
      </c>
      <c r="B313" s="126" t="inlineStr">
        <is>
          <t>P060092</t>
        </is>
      </c>
      <c r="C313" s="127" t="inlineStr">
        <is>
          <t>✓ COMPLETE
2 testing instances
• 1 document(s) on file, not credited</t>
        </is>
      </c>
      <c r="D313" s="128" t="inlineStr">
        <is>
          <t>1 of 2</t>
        </is>
      </c>
      <c r="E313" s="129" t="inlineStr">
        <is>
          <t>release testing</t>
        </is>
      </c>
      <c r="F313" s="130" t="inlineStr">
        <is>
          <t>iCoA-PP_26-044
CoQ-PP_26-045 · initial release</t>
        </is>
      </c>
      <c r="G313" s="131" t="inlineStr">
        <is>
          <t>Conforms</t>
        </is>
      </c>
      <c r="H313" s="132">
        <f>IFERROR(INDEX('iCoA Register'!$B:$B,MATCH("P060092|I",'iCoA Register'!$AA:$AA,0)),"iCoA — at issue")&amp;", (03.02.2026) [PP]"</f>
        <v/>
      </c>
      <c r="I313" s="133" t="inlineStr">
        <is>
          <t>✓</t>
        </is>
      </c>
      <c r="J313" s="134" t="inlineStr">
        <is>
          <t>not on this certificate</t>
        </is>
      </c>
      <c r="K313" s="135" t="inlineStr">
        <is>
          <t>ППК26009, (21.01.2026) [CNP] · on file, not credited</t>
        </is>
      </c>
      <c r="L313" s="136" t="inlineStr">
        <is>
          <t>•</t>
        </is>
      </c>
      <c r="M313" s="131" t="inlineStr">
        <is>
          <t>Conforms (ImB spec.)</t>
        </is>
      </c>
      <c r="N313" s="132" t="inlineStr">
        <is>
          <t>ППК26009, (21.01.2026) [CNP]</t>
        </is>
      </c>
      <c r="O313" s="133" t="inlineStr">
        <is>
          <t>✓</t>
        </is>
      </c>
      <c r="P313" s="137" t="inlineStr">
        <is>
          <t>25.73</t>
        </is>
      </c>
      <c r="Q313" s="132" t="inlineStr">
        <is>
          <t>ППК26009, (21.01.2026) [CNP]</t>
        </is>
      </c>
      <c r="R313" s="133" t="inlineStr">
        <is>
          <t>✓</t>
        </is>
      </c>
      <c r="S313" s="138" t="inlineStr">
        <is>
          <t>0.11</t>
        </is>
      </c>
      <c r="T313" s="132" t="inlineStr">
        <is>
          <t>ППК26009, (21.01.2026) [CNP]</t>
        </is>
      </c>
      <c r="U313" s="133" t="inlineStr">
        <is>
          <t>✓</t>
        </is>
      </c>
      <c r="V313" s="138" t="inlineStr">
        <is>
          <t>0.02 ᴰ</t>
        </is>
      </c>
      <c r="W313" s="132" t="inlineStr">
        <is>
          <t>ППК26009, (21.01.2026) [CNP]</t>
        </is>
      </c>
      <c r="X313" s="133" t="inlineStr">
        <is>
          <t>✓</t>
        </is>
      </c>
      <c r="Y313" s="131" t="inlineStr">
        <is>
          <t>Conforms</t>
        </is>
      </c>
      <c r="Z313" s="132">
        <f>IFERROR(INDEX('iCoA Register'!$B:$B,MATCH("P060092|I",'iCoA Register'!$AA:$AA,0)),"iCoA — at issue")&amp;", (03.02.2026) [PP]"</f>
        <v/>
      </c>
      <c r="AA313" s="133" t="inlineStr">
        <is>
          <t>✓</t>
        </is>
      </c>
      <c r="AB313" s="131" t="inlineStr">
        <is>
          <t>6.91</t>
        </is>
      </c>
      <c r="AC313" s="132" t="inlineStr">
        <is>
          <t>ППК26009, (21.01.2026) [CNP]</t>
        </is>
      </c>
      <c r="AD313" s="133" t="inlineStr">
        <is>
          <t>✓</t>
        </is>
      </c>
      <c r="AE313" s="131" t="inlineStr">
        <is>
          <t>1 × 10²</t>
        </is>
      </c>
      <c r="AF313" s="139" t="inlineStr">
        <is>
          <t>&lt; 10</t>
        </is>
      </c>
      <c r="AG313" s="139" t="inlineStr">
        <is>
          <t>&lt; 10² and &gt; 10</t>
        </is>
      </c>
      <c r="AH313" s="139" t="inlineStr">
        <is>
          <t>Absent</t>
        </is>
      </c>
      <c r="AI313" s="139" t="inlineStr">
        <is>
          <t>Absent</t>
        </is>
      </c>
      <c r="AJ313" s="133" t="inlineStr">
        <is>
          <t>✓</t>
        </is>
      </c>
      <c r="AK313" s="131" t="inlineStr">
        <is>
          <t>not reported</t>
        </is>
      </c>
      <c r="AL313" s="139" t="inlineStr">
        <is>
          <t>&lt; 2</t>
        </is>
      </c>
      <c r="AM313" s="139" t="inlineStr">
        <is>
          <t>not reported</t>
        </is>
      </c>
      <c r="AN313" s="133" t="inlineStr">
        <is>
          <t>✓</t>
        </is>
      </c>
      <c r="AO313" s="131" t="inlineStr">
        <is>
          <t>0.022</t>
        </is>
      </c>
      <c r="AP313" s="139" t="inlineStr">
        <is>
          <t>ND</t>
        </is>
      </c>
      <c r="AQ313" s="139" t="inlineStr">
        <is>
          <t>ND</t>
        </is>
      </c>
      <c r="AR313" s="139" t="inlineStr">
        <is>
          <t>0.007</t>
        </is>
      </c>
      <c r="AS313" s="133" t="inlineStr">
        <is>
          <t>✓</t>
        </is>
      </c>
      <c r="AT313" s="131" t="inlineStr">
        <is>
          <t>≤ LOQ (all 29 compounds)</t>
        </is>
      </c>
      <c r="AU313" s="132" t="inlineStr">
        <is>
          <t>88-2026, (03.02.2026) [IJZ]</t>
        </is>
      </c>
      <c r="AV313" s="140" t="inlineStr">
        <is>
          <t>✓</t>
        </is>
      </c>
    </row>
    <row r="314" ht="21" customHeight="1" s="70">
      <c r="A314" s="141" t="n"/>
      <c r="G314" s="142" t="n"/>
      <c r="I314" s="143" t="n"/>
      <c r="J314" s="142" t="n"/>
      <c r="L314" s="143" t="n"/>
      <c r="M314" s="142" t="n"/>
      <c r="O314" s="143" t="n"/>
      <c r="P314" s="142" t="n"/>
      <c r="R314" s="143" t="n"/>
      <c r="S314" s="142" t="n"/>
      <c r="U314" s="143" t="n"/>
      <c r="V314" s="142" t="n"/>
      <c r="X314" s="143" t="n"/>
      <c r="Y314" s="142" t="n"/>
      <c r="AA314" s="143" t="n"/>
      <c r="AB314" s="142" t="n"/>
      <c r="AD314" s="143" t="n"/>
      <c r="AE314" s="144" t="inlineStr">
        <is>
          <t>5-0008-26, (20.01.2026) [IJZ-MB]</t>
        </is>
      </c>
      <c r="AJ314" s="143" t="n"/>
      <c r="AK314" s="144" t="inlineStr">
        <is>
          <t>88-2026, (03.02.2026) [IJZ]</t>
        </is>
      </c>
      <c r="AN314" s="143" t="n"/>
      <c r="AO314" s="144" t="inlineStr">
        <is>
          <t>88-2026, (03.02.2026) [IJZ]</t>
        </is>
      </c>
      <c r="AS314" s="143" t="n"/>
      <c r="AT314" s="142" t="n"/>
      <c r="AV314" s="145" t="n"/>
    </row>
    <row r="315" ht="17.625" customHeight="1" s="70">
      <c r="A315" s="146" t="n"/>
      <c r="B315" s="147" t="n"/>
      <c r="D315" s="148" t="inlineStr">
        <is>
          <t>2 of 2</t>
        </is>
      </c>
      <c r="E315" s="149" t="inlineStr">
        <is>
          <t>release testing + re-analysis 220</t>
        </is>
      </c>
      <c r="F315" s="150" t="inlineStr">
        <is>
          <t>iCoA-PP_26-044
CoQ-PP_26-045 · initial release
iCoA-PP_26-135
CoQ-PP_26-119 · retest</t>
        </is>
      </c>
      <c r="G315" s="151" t="n"/>
      <c r="H315" s="147" t="n"/>
      <c r="I315" s="152" t="n"/>
      <c r="J315" s="153" t="inlineStr">
        <is>
          <t>Conforms</t>
        </is>
      </c>
      <c r="K315" s="154">
        <f>IFERROR(INDEX('iCoA Register'!$B:$B,MATCH("P060092|I",'iCoA Register'!$AA:$AA,0)),"iCoA — at issue")&amp;", (03.02.2026) [PP]"</f>
        <v/>
      </c>
      <c r="L315" s="155" t="inlineStr">
        <is>
          <t>✓</t>
        </is>
      </c>
      <c r="M315" s="153" t="inlineStr">
        <is>
          <t>Conforms (ImB spec.)</t>
        </is>
      </c>
      <c r="N315" s="154" t="inlineStr">
        <is>
          <t>220-13-К-26, (25.08.2026) [FHM-K]</t>
        </is>
      </c>
      <c r="O315" s="155" t="inlineStr">
        <is>
          <t>✓</t>
        </is>
      </c>
      <c r="P315" s="156" t="inlineStr">
        <is>
          <t>25.24</t>
        </is>
      </c>
      <c r="Q315" s="154" t="inlineStr">
        <is>
          <t>220-13-К-26, (25.08.2026) [FHM-K]</t>
        </is>
      </c>
      <c r="R315" s="155" t="inlineStr">
        <is>
          <t>✓</t>
        </is>
      </c>
      <c r="S315" s="157" t="inlineStr">
        <is>
          <t>&lt; LOQ</t>
        </is>
      </c>
      <c r="T315" s="154" t="inlineStr">
        <is>
          <t>220-13-К-26, (25.08.2026) [FHM-K]</t>
        </is>
      </c>
      <c r="U315" s="155" t="inlineStr">
        <is>
          <t>✓</t>
        </is>
      </c>
      <c r="V315" s="157" t="inlineStr">
        <is>
          <t>&lt; LOQ</t>
        </is>
      </c>
      <c r="W315" s="154" t="inlineStr">
        <is>
          <t>220-13-К-26, (25.08.2026) [FHM-K]</t>
        </is>
      </c>
      <c r="X315" s="155" t="inlineStr">
        <is>
          <t>✓</t>
        </is>
      </c>
      <c r="Y315" s="151" t="n"/>
      <c r="Z315" s="147" t="n"/>
      <c r="AA315" s="152" t="n"/>
      <c r="AB315" s="151" t="n"/>
      <c r="AC315" s="147" t="n"/>
      <c r="AD315" s="152" t="n"/>
      <c r="AE315" s="151" t="n"/>
      <c r="AF315" s="147" t="n"/>
      <c r="AG315" s="147" t="n"/>
      <c r="AH315" s="147" t="n"/>
      <c r="AI315" s="147" t="n"/>
      <c r="AJ315" s="152" t="n"/>
      <c r="AK315" s="161" t="inlineStr">
        <is>
          <t>ND</t>
        </is>
      </c>
      <c r="AL315" s="162" t="inlineStr">
        <is>
          <t>ND</t>
        </is>
      </c>
      <c r="AM315" s="162" t="inlineStr">
        <is>
          <t>ND</t>
        </is>
      </c>
      <c r="AN315" s="155" t="inlineStr">
        <is>
          <t>✓</t>
        </is>
      </c>
      <c r="AO315" s="151" t="n"/>
      <c r="AP315" s="147" t="n"/>
      <c r="AQ315" s="147" t="n"/>
      <c r="AR315" s="147" t="n"/>
      <c r="AS315" s="152" t="n"/>
      <c r="AT315" s="151" t="n"/>
      <c r="AU315" s="147" t="n"/>
      <c r="AV315" s="163" t="n"/>
    </row>
    <row r="316" ht="39" customHeight="1" s="70">
      <c r="A316" s="164" t="n"/>
      <c r="B316" s="165" t="n"/>
      <c r="C316" s="165" t="n"/>
      <c r="D316" s="165" t="n"/>
      <c r="E316" s="165" t="n"/>
      <c r="F316" s="165" t="n"/>
      <c r="G316" s="166" t="n"/>
      <c r="H316" s="165" t="n"/>
      <c r="I316" s="167" t="n"/>
      <c r="J316" s="166" t="n"/>
      <c r="K316" s="165" t="n"/>
      <c r="L316" s="167" t="n"/>
      <c r="M316" s="166" t="n"/>
      <c r="N316" s="165" t="n"/>
      <c r="O316" s="167" t="n"/>
      <c r="P316" s="166" t="n"/>
      <c r="Q316" s="165" t="n"/>
      <c r="R316" s="167" t="n"/>
      <c r="S316" s="166" t="n"/>
      <c r="T316" s="165" t="n"/>
      <c r="U316" s="167" t="n"/>
      <c r="V316" s="166" t="n"/>
      <c r="W316" s="165" t="n"/>
      <c r="X316" s="167" t="n"/>
      <c r="Y316" s="166" t="n"/>
      <c r="Z316" s="165" t="n"/>
      <c r="AA316" s="167" t="n"/>
      <c r="AB316" s="166" t="n"/>
      <c r="AC316" s="165" t="n"/>
      <c r="AD316" s="167" t="n"/>
      <c r="AE316" s="166" t="n"/>
      <c r="AF316" s="165" t="n"/>
      <c r="AG316" s="165" t="n"/>
      <c r="AH316" s="165" t="n"/>
      <c r="AI316" s="165" t="n"/>
      <c r="AJ316" s="167" t="n"/>
      <c r="AK316" s="168" t="inlineStr">
        <is>
          <t>220-13-М-26, (11.09.2026) [FHM-M]</t>
        </is>
      </c>
      <c r="AL316" s="165" t="n"/>
      <c r="AM316" s="165" t="n"/>
      <c r="AN316" s="167" t="n"/>
      <c r="AO316" s="166" t="n"/>
      <c r="AP316" s="165" t="n"/>
      <c r="AQ316" s="165" t="n"/>
      <c r="AR316" s="165" t="n"/>
      <c r="AS316" s="167" t="n"/>
      <c r="AT316" s="166" t="n"/>
      <c r="AU316" s="165" t="n"/>
      <c r="AV316" s="169" t="n"/>
    </row>
    <row r="317" ht="21" customHeight="1" s="70">
      <c r="A317" s="125" t="inlineStr">
        <is>
          <t>CC012601/1</t>
        </is>
      </c>
      <c r="B317" s="126" t="inlineStr">
        <is>
          <t>P060332</t>
        </is>
      </c>
      <c r="C317" s="177" t="inlineStr">
        <is>
          <t>✗ 4 NO RESULT
(4 no cert / 0 cert w/o result)
• 1 document(s) on file, not credited</t>
        </is>
      </c>
      <c r="D317" s="126" t="inlineStr">
        <is>
          <t>1 of 1</t>
        </is>
      </c>
      <c r="E317" s="178" t="inlineStr">
        <is>
          <t>release testing + re-analysis 197</t>
        </is>
      </c>
      <c r="F317" s="179" t="inlineStr">
        <is>
          <t>iCoA-PP_26-079
CoQ-PP_26-068 · initial release
iCoA-PP_26-105
CoQ-PP_26-087 · retest</t>
        </is>
      </c>
      <c r="G317" s="180" t="inlineStr">
        <is>
          <t>Conforms</t>
        </is>
      </c>
      <c r="H317" s="181">
        <f>IFERROR(INDEX('iCoA Register'!$B:$B,MATCH("P060332|I",'iCoA Register'!$AA:$AA,0)),"iCoA — at issue")&amp;", (22.05.2026) [PP]"</f>
        <v/>
      </c>
      <c r="I317" s="182" t="inlineStr">
        <is>
          <t>✓</t>
        </is>
      </c>
      <c r="J317" s="180" t="inlineStr">
        <is>
          <t>Conforms</t>
        </is>
      </c>
      <c r="K317" s="181">
        <f>IFERROR(INDEX('iCoA Register'!$B:$B,MATCH("P060332|I",'iCoA Register'!$AA:$AA,0)),"iCoA — at issue")&amp;", (22.05.2026) [PP]"</f>
        <v/>
      </c>
      <c r="L317" s="182" t="inlineStr">
        <is>
          <t>✓</t>
        </is>
      </c>
      <c r="M317" s="180" t="inlineStr">
        <is>
          <t>Conforms (ImB spec.) ᴿ</t>
        </is>
      </c>
      <c r="N317" s="181" t="inlineStr">
        <is>
          <t>197-6-К-26, (07.08.2026) [FHM-K]</t>
        </is>
      </c>
      <c r="O317" s="182" t="inlineStr">
        <is>
          <t>✓</t>
        </is>
      </c>
      <c r="P317" s="183" t="inlineStr">
        <is>
          <t>17.67</t>
        </is>
      </c>
      <c r="Q317" s="181" t="inlineStr">
        <is>
          <t>197-6-К-26, (07.08.2026) [FHM-K]</t>
        </is>
      </c>
      <c r="R317" s="182" t="inlineStr">
        <is>
          <t>✓</t>
        </is>
      </c>
      <c r="S317" s="184" t="inlineStr">
        <is>
          <t>&lt; LOQ</t>
        </is>
      </c>
      <c r="T317" s="181" t="inlineStr">
        <is>
          <t>197-6-К-26, (07.08.2026) [FHM-K]</t>
        </is>
      </c>
      <c r="U317" s="182" t="inlineStr">
        <is>
          <t>✓</t>
        </is>
      </c>
      <c r="V317" s="184" t="inlineStr">
        <is>
          <t>&lt; LOQ</t>
        </is>
      </c>
      <c r="W317" s="181" t="inlineStr">
        <is>
          <t>197-6-К-26, (07.08.2026) [FHM-K]</t>
        </is>
      </c>
      <c r="X317" s="182" t="inlineStr">
        <is>
          <t>✓</t>
        </is>
      </c>
      <c r="Y317" s="180" t="inlineStr">
        <is>
          <t>Conforms</t>
        </is>
      </c>
      <c r="Z317" s="181">
        <f>IFERROR(INDEX('iCoA Register'!$B:$B,MATCH("P060332|I",'iCoA Register'!$AA:$AA,0)),"iCoA — at issue")&amp;", (22.05.2026) [PP]"</f>
        <v/>
      </c>
      <c r="AA317" s="182" t="inlineStr">
        <is>
          <t>✓</t>
        </is>
      </c>
      <c r="AB317" s="239" t="inlineStr">
        <is>
          <t>not on this certificate</t>
        </is>
      </c>
      <c r="AC317" s="240" t="inlineStr">
        <is>
          <t>197-6-К-26, (07.08.2026) [FHM-K] · on file, not credited</t>
        </is>
      </c>
      <c r="AD317" s="241" t="inlineStr">
        <is>
          <t>•</t>
        </is>
      </c>
      <c r="AE317" s="171" t="inlineStr">
        <is>
          <t>— MISSING —</t>
        </is>
      </c>
      <c r="AF317" s="172" t="inlineStr">
        <is>
          <t>— MISSING —</t>
        </is>
      </c>
      <c r="AG317" s="172" t="inlineStr">
        <is>
          <t>— MISSING —</t>
        </is>
      </c>
      <c r="AH317" s="172" t="inlineStr">
        <is>
          <t>— MISSING —</t>
        </is>
      </c>
      <c r="AI317" s="172" t="inlineStr">
        <is>
          <t>— MISSING —</t>
        </is>
      </c>
      <c r="AJ317" s="186" t="inlineStr">
        <is>
          <t>✗</t>
        </is>
      </c>
      <c r="AK317" s="131" t="inlineStr">
        <is>
          <t>ND</t>
        </is>
      </c>
      <c r="AL317" s="139" t="inlineStr">
        <is>
          <t>ND</t>
        </is>
      </c>
      <c r="AM317" s="139" t="inlineStr">
        <is>
          <t>ND</t>
        </is>
      </c>
      <c r="AN317" s="182" t="inlineStr">
        <is>
          <t>✓</t>
        </is>
      </c>
      <c r="AO317" s="171" t="inlineStr">
        <is>
          <t>— MISSING —</t>
        </is>
      </c>
      <c r="AP317" s="172" t="inlineStr">
        <is>
          <t>— MISSING —</t>
        </is>
      </c>
      <c r="AQ317" s="172" t="inlineStr">
        <is>
          <t>— MISSING —</t>
        </is>
      </c>
      <c r="AR317" s="172" t="inlineStr">
        <is>
          <t>— MISSING —</t>
        </is>
      </c>
      <c r="AS317" s="186" t="inlineStr">
        <is>
          <t>✗</t>
        </is>
      </c>
      <c r="AT317" s="187" t="inlineStr">
        <is>
          <t>— MISSING —</t>
        </is>
      </c>
      <c r="AU317" s="188" t="inlineStr">
        <is>
          <t>— no certificate —</t>
        </is>
      </c>
      <c r="AV317" s="189" t="inlineStr">
        <is>
          <t>✗</t>
        </is>
      </c>
    </row>
    <row r="318" ht="39" customHeight="1" s="70">
      <c r="A318" s="164" t="n"/>
      <c r="B318" s="165" t="n"/>
      <c r="C318" s="165" t="n"/>
      <c r="D318" s="165" t="n"/>
      <c r="E318" s="165" t="n"/>
      <c r="F318" s="165" t="n"/>
      <c r="G318" s="166" t="n"/>
      <c r="H318" s="165" t="n"/>
      <c r="I318" s="167" t="n"/>
      <c r="J318" s="166" t="n"/>
      <c r="K318" s="165" t="n"/>
      <c r="L318" s="167" t="n"/>
      <c r="M318" s="166" t="n"/>
      <c r="N318" s="165" t="n"/>
      <c r="O318" s="167" t="n"/>
      <c r="P318" s="166" t="n"/>
      <c r="Q318" s="165" t="n"/>
      <c r="R318" s="167" t="n"/>
      <c r="S318" s="166" t="n"/>
      <c r="T318" s="165" t="n"/>
      <c r="U318" s="167" t="n"/>
      <c r="V318" s="166" t="n"/>
      <c r="W318" s="165" t="n"/>
      <c r="X318" s="167" t="n"/>
      <c r="Y318" s="166" t="n"/>
      <c r="Z318" s="165" t="n"/>
      <c r="AA318" s="167" t="n"/>
      <c r="AB318" s="166" t="n"/>
      <c r="AC318" s="165" t="n"/>
      <c r="AD318" s="167" t="n"/>
      <c r="AE318" s="190" t="inlineStr">
        <is>
          <t>— no certificate —</t>
        </is>
      </c>
      <c r="AF318" s="165" t="n"/>
      <c r="AG318" s="165" t="n"/>
      <c r="AH318" s="165" t="n"/>
      <c r="AI318" s="165" t="n"/>
      <c r="AJ318" s="167" t="n"/>
      <c r="AK318" s="168" t="inlineStr">
        <is>
          <t>197-6-М-26, (10.08.2026) [FHM-M]</t>
        </is>
      </c>
      <c r="AL318" s="165" t="n"/>
      <c r="AM318" s="165" t="n"/>
      <c r="AN318" s="167" t="n"/>
      <c r="AO318" s="190" t="inlineStr">
        <is>
          <t>— no certificate —</t>
        </is>
      </c>
      <c r="AP318" s="165" t="n"/>
      <c r="AQ318" s="165" t="n"/>
      <c r="AR318" s="165" t="n"/>
      <c r="AS318" s="167" t="n"/>
      <c r="AT318" s="166" t="n"/>
      <c r="AU318" s="165" t="n"/>
      <c r="AV318" s="169" t="n"/>
    </row>
    <row r="319" ht="21" customHeight="1" s="70">
      <c r="A319" s="125" t="inlineStr">
        <is>
          <t>FB012602*</t>
        </is>
      </c>
      <c r="B319" s="126" t="inlineStr">
        <is>
          <t>P060352</t>
        </is>
      </c>
      <c r="C319" s="177" t="inlineStr">
        <is>
          <t>✗ 4 NO RESULT
(4 no cert / 0 cert w/o result)
• 1 document(s) on file, not credited</t>
        </is>
      </c>
      <c r="D319" s="126" t="inlineStr">
        <is>
          <t>1 of 1</t>
        </is>
      </c>
      <c r="E319" s="178" t="inlineStr">
        <is>
          <t>release testing + re-analysis 197</t>
        </is>
      </c>
      <c r="F319" s="179" t="inlineStr">
        <is>
          <t>iCoA-PP_26-083
CoQ-PP_26-070 · initial release
iCoA-PP_26-109
CoQ-PP_26-091 · retest</t>
        </is>
      </c>
      <c r="G319" s="180" t="inlineStr">
        <is>
          <t>Conforms</t>
        </is>
      </c>
      <c r="H319" s="181">
        <f>IFERROR(INDEX('iCoA Register'!$B:$B,MATCH("P060352|I",'iCoA Register'!$AA:$AA,0)),"iCoA — at issue")&amp;", (23.05.2026) [PP]"</f>
        <v/>
      </c>
      <c r="I319" s="182" t="inlineStr">
        <is>
          <t>✓</t>
        </is>
      </c>
      <c r="J319" s="180" t="inlineStr">
        <is>
          <t>Conforms</t>
        </is>
      </c>
      <c r="K319" s="181">
        <f>IFERROR(INDEX('iCoA Register'!$B:$B,MATCH("P060352|I",'iCoA Register'!$AA:$AA,0)),"iCoA — at issue")&amp;", (23.05.2026) [PP]"</f>
        <v/>
      </c>
      <c r="L319" s="182" t="inlineStr">
        <is>
          <t>✓</t>
        </is>
      </c>
      <c r="M319" s="180" t="inlineStr">
        <is>
          <t>Conforms (ImB spec.) ᴿ</t>
        </is>
      </c>
      <c r="N319" s="181" t="inlineStr">
        <is>
          <t>197-7-К-26, (07.08.2026) [FHM-K]</t>
        </is>
      </c>
      <c r="O319" s="182" t="inlineStr">
        <is>
          <t>✓</t>
        </is>
      </c>
      <c r="P319" s="183" t="inlineStr">
        <is>
          <t>18.86</t>
        </is>
      </c>
      <c r="Q319" s="181" t="inlineStr">
        <is>
          <t>197-7-К-26, (07.08.2026) [FHM-K]</t>
        </is>
      </c>
      <c r="R319" s="182" t="inlineStr">
        <is>
          <t>✓</t>
        </is>
      </c>
      <c r="S319" s="184" t="inlineStr">
        <is>
          <t>0.22</t>
        </is>
      </c>
      <c r="T319" s="181" t="inlineStr">
        <is>
          <t>197-7-К-26, (07.08.2026) [FHM-K]</t>
        </is>
      </c>
      <c r="U319" s="182" t="inlineStr">
        <is>
          <t>✓</t>
        </is>
      </c>
      <c r="V319" s="184" t="inlineStr">
        <is>
          <t>&lt; LOQ</t>
        </is>
      </c>
      <c r="W319" s="181" t="inlineStr">
        <is>
          <t>197-7-К-26, (07.08.2026) [FHM-K]</t>
        </is>
      </c>
      <c r="X319" s="182" t="inlineStr">
        <is>
          <t>✓</t>
        </is>
      </c>
      <c r="Y319" s="180" t="inlineStr">
        <is>
          <t>Conforms</t>
        </is>
      </c>
      <c r="Z319" s="181">
        <f>IFERROR(INDEX('iCoA Register'!$B:$B,MATCH("P060352|I",'iCoA Register'!$AA:$AA,0)),"iCoA — at issue")&amp;", (23.05.2026) [PP]"</f>
        <v/>
      </c>
      <c r="AA319" s="182" t="inlineStr">
        <is>
          <t>✓</t>
        </is>
      </c>
      <c r="AB319" s="239" t="inlineStr">
        <is>
          <t>not on this certificate</t>
        </is>
      </c>
      <c r="AC319" s="240" t="inlineStr">
        <is>
          <t>197-7-К-26, (07.08.2026) [FHM-K] · on file, not credited</t>
        </is>
      </c>
      <c r="AD319" s="241" t="inlineStr">
        <is>
          <t>•</t>
        </is>
      </c>
      <c r="AE319" s="171" t="inlineStr">
        <is>
          <t>— MISSING —</t>
        </is>
      </c>
      <c r="AF319" s="172" t="inlineStr">
        <is>
          <t>— MISSING —</t>
        </is>
      </c>
      <c r="AG319" s="172" t="inlineStr">
        <is>
          <t>— MISSING —</t>
        </is>
      </c>
      <c r="AH319" s="172" t="inlineStr">
        <is>
          <t>— MISSING —</t>
        </is>
      </c>
      <c r="AI319" s="172" t="inlineStr">
        <is>
          <t>— MISSING —</t>
        </is>
      </c>
      <c r="AJ319" s="186" t="inlineStr">
        <is>
          <t>✗</t>
        </is>
      </c>
      <c r="AK319" s="131" t="inlineStr">
        <is>
          <t>ND</t>
        </is>
      </c>
      <c r="AL319" s="139" t="inlineStr">
        <is>
          <t>ND</t>
        </is>
      </c>
      <c r="AM319" s="139" t="inlineStr">
        <is>
          <t>ND</t>
        </is>
      </c>
      <c r="AN319" s="182" t="inlineStr">
        <is>
          <t>✓</t>
        </is>
      </c>
      <c r="AO319" s="171" t="inlineStr">
        <is>
          <t>— MISSING —</t>
        </is>
      </c>
      <c r="AP319" s="172" t="inlineStr">
        <is>
          <t>— MISSING —</t>
        </is>
      </c>
      <c r="AQ319" s="172" t="inlineStr">
        <is>
          <t>— MISSING —</t>
        </is>
      </c>
      <c r="AR319" s="172" t="inlineStr">
        <is>
          <t>— MISSING —</t>
        </is>
      </c>
      <c r="AS319" s="186" t="inlineStr">
        <is>
          <t>✗</t>
        </is>
      </c>
      <c r="AT319" s="187" t="inlineStr">
        <is>
          <t>— MISSING —</t>
        </is>
      </c>
      <c r="AU319" s="188" t="inlineStr">
        <is>
          <t>— no certificate —</t>
        </is>
      </c>
      <c r="AV319" s="189" t="inlineStr">
        <is>
          <t>✗</t>
        </is>
      </c>
    </row>
    <row r="320" ht="39" customHeight="1" s="70">
      <c r="A320" s="164" t="n"/>
      <c r="B320" s="165" t="n"/>
      <c r="C320" s="165" t="n"/>
      <c r="D320" s="165" t="n"/>
      <c r="E320" s="165" t="n"/>
      <c r="F320" s="165" t="n"/>
      <c r="G320" s="166" t="n"/>
      <c r="H320" s="165" t="n"/>
      <c r="I320" s="167" t="n"/>
      <c r="J320" s="166" t="n"/>
      <c r="K320" s="165" t="n"/>
      <c r="L320" s="167" t="n"/>
      <c r="M320" s="166" t="n"/>
      <c r="N320" s="165" t="n"/>
      <c r="O320" s="167" t="n"/>
      <c r="P320" s="166" t="n"/>
      <c r="Q320" s="165" t="n"/>
      <c r="R320" s="167" t="n"/>
      <c r="S320" s="166" t="n"/>
      <c r="T320" s="165" t="n"/>
      <c r="U320" s="167" t="n"/>
      <c r="V320" s="166" t="n"/>
      <c r="W320" s="165" t="n"/>
      <c r="X320" s="167" t="n"/>
      <c r="Y320" s="166" t="n"/>
      <c r="Z320" s="165" t="n"/>
      <c r="AA320" s="167" t="n"/>
      <c r="AB320" s="166" t="n"/>
      <c r="AC320" s="165" t="n"/>
      <c r="AD320" s="167" t="n"/>
      <c r="AE320" s="190" t="inlineStr">
        <is>
          <t>— no certificate —</t>
        </is>
      </c>
      <c r="AF320" s="165" t="n"/>
      <c r="AG320" s="165" t="n"/>
      <c r="AH320" s="165" t="n"/>
      <c r="AI320" s="165" t="n"/>
      <c r="AJ320" s="167" t="n"/>
      <c r="AK320" s="168" t="inlineStr">
        <is>
          <t>197-7-М-26, (10.08.2026) [FHM-M]</t>
        </is>
      </c>
      <c r="AL320" s="165" t="n"/>
      <c r="AM320" s="165" t="n"/>
      <c r="AN320" s="167" t="n"/>
      <c r="AO320" s="190" t="inlineStr">
        <is>
          <t>— no certificate —</t>
        </is>
      </c>
      <c r="AP320" s="165" t="n"/>
      <c r="AQ320" s="165" t="n"/>
      <c r="AR320" s="165" t="n"/>
      <c r="AS320" s="167" t="n"/>
      <c r="AT320" s="166" t="n"/>
      <c r="AU320" s="165" t="n"/>
      <c r="AV320" s="169" t="n"/>
    </row>
    <row r="321" ht="21" customHeight="1" s="70">
      <c r="A321" s="125" t="inlineStr">
        <is>
          <t>SCR012603</t>
        </is>
      </c>
      <c r="B321" s="126" t="inlineStr">
        <is>
          <t>P060382</t>
        </is>
      </c>
      <c r="C321" s="177" t="inlineStr">
        <is>
          <t>✗ 4 NO RESULT
(4 no cert / 0 cert w/o result)
• 1 document(s) on file, not credited</t>
        </is>
      </c>
      <c r="D321" s="126" t="inlineStr">
        <is>
          <t>1 of 1</t>
        </is>
      </c>
      <c r="E321" s="178" t="inlineStr">
        <is>
          <t>release testing + re-analysis 197</t>
        </is>
      </c>
      <c r="F321" s="179" t="inlineStr">
        <is>
          <t>iCoA-PP_26-087
CoQ-PP_26-074 · initial release
iCoA-PP_26-119
CoQ-PP_26-105 · retest</t>
        </is>
      </c>
      <c r="G321" s="180" t="inlineStr">
        <is>
          <t>Conforms</t>
        </is>
      </c>
      <c r="H321" s="181">
        <f>IFERROR(INDEX('iCoA Register'!$B:$B,MATCH("P060382|I",'iCoA Register'!$AA:$AA,0)),"iCoA — at issue")&amp;", (25.05.2026) [PP]"</f>
        <v/>
      </c>
      <c r="I321" s="182" t="inlineStr">
        <is>
          <t>✓</t>
        </is>
      </c>
      <c r="J321" s="180" t="inlineStr">
        <is>
          <t>Conforms</t>
        </is>
      </c>
      <c r="K321" s="181">
        <f>IFERROR(INDEX('iCoA Register'!$B:$B,MATCH("P060382|I",'iCoA Register'!$AA:$AA,0)),"iCoA — at issue")&amp;", (25.05.2026) [PP]"</f>
        <v/>
      </c>
      <c r="L321" s="182" t="inlineStr">
        <is>
          <t>✓</t>
        </is>
      </c>
      <c r="M321" s="180" t="inlineStr">
        <is>
          <t>Conforms (ImB spec.) ᴿ</t>
        </is>
      </c>
      <c r="N321" s="181" t="inlineStr">
        <is>
          <t>197-21-К-26, (07.08.2026) [FHM-K]</t>
        </is>
      </c>
      <c r="O321" s="182" t="inlineStr">
        <is>
          <t>✓</t>
        </is>
      </c>
      <c r="P321" s="183" t="inlineStr">
        <is>
          <t>17.84</t>
        </is>
      </c>
      <c r="Q321" s="181" t="inlineStr">
        <is>
          <t>197-21-К-26, (07.08.2026) [FHM-K]</t>
        </is>
      </c>
      <c r="R321" s="182" t="inlineStr">
        <is>
          <t>✓</t>
        </is>
      </c>
      <c r="S321" s="184" t="inlineStr">
        <is>
          <t>&lt; LOQ</t>
        </is>
      </c>
      <c r="T321" s="181" t="inlineStr">
        <is>
          <t>197-21-К-26, (07.08.2026) [FHM-K]</t>
        </is>
      </c>
      <c r="U321" s="182" t="inlineStr">
        <is>
          <t>✓</t>
        </is>
      </c>
      <c r="V321" s="184" t="inlineStr">
        <is>
          <t>&lt; LOQ</t>
        </is>
      </c>
      <c r="W321" s="181" t="inlineStr">
        <is>
          <t>197-21-К-26, (07.08.2026) [FHM-K]</t>
        </is>
      </c>
      <c r="X321" s="182" t="inlineStr">
        <is>
          <t>✓</t>
        </is>
      </c>
      <c r="Y321" s="180" t="inlineStr">
        <is>
          <t>Conforms</t>
        </is>
      </c>
      <c r="Z321" s="181">
        <f>IFERROR(INDEX('iCoA Register'!$B:$B,MATCH("P060382|I",'iCoA Register'!$AA:$AA,0)),"iCoA — at issue")&amp;", (25.05.2026) [PP]"</f>
        <v/>
      </c>
      <c r="AA321" s="182" t="inlineStr">
        <is>
          <t>✓</t>
        </is>
      </c>
      <c r="AB321" s="239" t="inlineStr">
        <is>
          <t>not on this certificate</t>
        </is>
      </c>
      <c r="AC321" s="240" t="inlineStr">
        <is>
          <t>197-21-К-26, (07.08.2026) [FHM-K] · on file, not credited</t>
        </is>
      </c>
      <c r="AD321" s="241" t="inlineStr">
        <is>
          <t>•</t>
        </is>
      </c>
      <c r="AE321" s="171" t="inlineStr">
        <is>
          <t>— MISSING —</t>
        </is>
      </c>
      <c r="AF321" s="172" t="inlineStr">
        <is>
          <t>— MISSING —</t>
        </is>
      </c>
      <c r="AG321" s="172" t="inlineStr">
        <is>
          <t>— MISSING —</t>
        </is>
      </c>
      <c r="AH321" s="172" t="inlineStr">
        <is>
          <t>— MISSING —</t>
        </is>
      </c>
      <c r="AI321" s="172" t="inlineStr">
        <is>
          <t>— MISSING —</t>
        </is>
      </c>
      <c r="AJ321" s="186" t="inlineStr">
        <is>
          <t>✗</t>
        </is>
      </c>
      <c r="AK321" s="131" t="inlineStr">
        <is>
          <t>ND</t>
        </is>
      </c>
      <c r="AL321" s="139" t="inlineStr">
        <is>
          <t>ND</t>
        </is>
      </c>
      <c r="AM321" s="139" t="inlineStr">
        <is>
          <t>ND</t>
        </is>
      </c>
      <c r="AN321" s="182" t="inlineStr">
        <is>
          <t>✓</t>
        </is>
      </c>
      <c r="AO321" s="171" t="inlineStr">
        <is>
          <t>— MISSING —</t>
        </is>
      </c>
      <c r="AP321" s="172" t="inlineStr">
        <is>
          <t>— MISSING —</t>
        </is>
      </c>
      <c r="AQ321" s="172" t="inlineStr">
        <is>
          <t>— MISSING —</t>
        </is>
      </c>
      <c r="AR321" s="172" t="inlineStr">
        <is>
          <t>— MISSING —</t>
        </is>
      </c>
      <c r="AS321" s="186" t="inlineStr">
        <is>
          <t>✗</t>
        </is>
      </c>
      <c r="AT321" s="187" t="inlineStr">
        <is>
          <t>— MISSING —</t>
        </is>
      </c>
      <c r="AU321" s="188" t="inlineStr">
        <is>
          <t>— no certificate —</t>
        </is>
      </c>
      <c r="AV321" s="189" t="inlineStr">
        <is>
          <t>✗</t>
        </is>
      </c>
    </row>
    <row r="322" ht="39" customHeight="1" s="70">
      <c r="A322" s="164" t="n"/>
      <c r="B322" s="165" t="n"/>
      <c r="C322" s="165" t="n"/>
      <c r="D322" s="165" t="n"/>
      <c r="E322" s="165" t="n"/>
      <c r="F322" s="165" t="n"/>
      <c r="G322" s="166" t="n"/>
      <c r="H322" s="165" t="n"/>
      <c r="I322" s="167" t="n"/>
      <c r="J322" s="166" t="n"/>
      <c r="K322" s="165" t="n"/>
      <c r="L322" s="167" t="n"/>
      <c r="M322" s="166" t="n"/>
      <c r="N322" s="165" t="n"/>
      <c r="O322" s="167" t="n"/>
      <c r="P322" s="166" t="n"/>
      <c r="Q322" s="165" t="n"/>
      <c r="R322" s="167" t="n"/>
      <c r="S322" s="166" t="n"/>
      <c r="T322" s="165" t="n"/>
      <c r="U322" s="167" t="n"/>
      <c r="V322" s="166" t="n"/>
      <c r="W322" s="165" t="n"/>
      <c r="X322" s="167" t="n"/>
      <c r="Y322" s="166" t="n"/>
      <c r="Z322" s="165" t="n"/>
      <c r="AA322" s="167" t="n"/>
      <c r="AB322" s="166" t="n"/>
      <c r="AC322" s="165" t="n"/>
      <c r="AD322" s="167" t="n"/>
      <c r="AE322" s="190" t="inlineStr">
        <is>
          <t>— no certificate —</t>
        </is>
      </c>
      <c r="AF322" s="165" t="n"/>
      <c r="AG322" s="165" t="n"/>
      <c r="AH322" s="165" t="n"/>
      <c r="AI322" s="165" t="n"/>
      <c r="AJ322" s="167" t="n"/>
      <c r="AK322" s="168" t="inlineStr">
        <is>
          <t>197-21-М-26, (10.08.2026) [FHM-M]</t>
        </is>
      </c>
      <c r="AL322" s="165" t="n"/>
      <c r="AM322" s="165" t="n"/>
      <c r="AN322" s="167" t="n"/>
      <c r="AO322" s="190" t="inlineStr">
        <is>
          <t>— no certificate —</t>
        </is>
      </c>
      <c r="AP322" s="165" t="n"/>
      <c r="AQ322" s="165" t="n"/>
      <c r="AR322" s="165" t="n"/>
      <c r="AS322" s="167" t="n"/>
      <c r="AT322" s="166" t="n"/>
      <c r="AU322" s="165" t="n"/>
      <c r="AV322" s="169" t="n"/>
    </row>
    <row r="323" ht="21" customHeight="1" s="70">
      <c r="A323" s="125" t="inlineStr">
        <is>
          <t>— not recorded — (P160012)</t>
        </is>
      </c>
      <c r="B323" s="126" t="inlineStr">
        <is>
          <t>P160012</t>
        </is>
      </c>
      <c r="C323" s="177" t="inlineStr">
        <is>
          <t>✗ 4 NO RESULT
(4 no cert / 0 cert w/o result)</t>
        </is>
      </c>
      <c r="D323" s="126" t="inlineStr">
        <is>
          <t>1 of 1</t>
        </is>
      </c>
      <c r="E323" s="178" t="inlineStr">
        <is>
          <t>release testing</t>
        </is>
      </c>
      <c r="F323" s="179" t="inlineStr">
        <is>
          <t>iCoA-PP_26-096
— at issue — · initial release</t>
        </is>
      </c>
      <c r="G323" s="180" t="inlineStr">
        <is>
          <t>Conforms</t>
        </is>
      </c>
      <c r="H323" s="181" t="inlineStr">
        <is>
          <t>ППК26117, (06.07.2026) [CNP]</t>
        </is>
      </c>
      <c r="I323" s="182" t="inlineStr">
        <is>
          <t>✓</t>
        </is>
      </c>
      <c r="J323" s="180" t="inlineStr">
        <is>
          <t>Conforms</t>
        </is>
      </c>
      <c r="K323" s="181" t="inlineStr">
        <is>
          <t>ППК26117, (06.07.2026) [CNP]</t>
        </is>
      </c>
      <c r="L323" s="182" t="inlineStr">
        <is>
          <t>✓</t>
        </is>
      </c>
      <c r="M323" s="180" t="inlineStr">
        <is>
          <t>Conforms (ImB spec.)</t>
        </is>
      </c>
      <c r="N323" s="181" t="inlineStr">
        <is>
          <t>ППК26117, (06.07.2026) [CNP]</t>
        </is>
      </c>
      <c r="O323" s="182" t="inlineStr">
        <is>
          <t>✓</t>
        </is>
      </c>
      <c r="P323" s="183" t="inlineStr">
        <is>
          <t>26.32</t>
        </is>
      </c>
      <c r="Q323" s="181" t="inlineStr">
        <is>
          <t>ППК26117, (06.07.2026) [CNP]</t>
        </is>
      </c>
      <c r="R323" s="182" t="inlineStr">
        <is>
          <t>✓</t>
        </is>
      </c>
      <c r="S323" s="184" t="inlineStr">
        <is>
          <t>0.15</t>
        </is>
      </c>
      <c r="T323" s="181" t="inlineStr">
        <is>
          <t>ППК26117, (06.07.2026) [CNP]</t>
        </is>
      </c>
      <c r="U323" s="182" t="inlineStr">
        <is>
          <t>✓</t>
        </is>
      </c>
      <c r="V323" s="184" t="inlineStr">
        <is>
          <t>0.09</t>
        </is>
      </c>
      <c r="W323" s="181" t="inlineStr">
        <is>
          <t>ППК26117, (06.07.2026) [CNP]</t>
        </is>
      </c>
      <c r="X323" s="182" t="inlineStr">
        <is>
          <t>✓</t>
        </is>
      </c>
      <c r="Y323" s="180" t="inlineStr">
        <is>
          <t>0.42 % (Conforms)</t>
        </is>
      </c>
      <c r="Z323" s="181" t="inlineStr">
        <is>
          <t>ППК26117, (06.07.2026) [CNP]</t>
        </is>
      </c>
      <c r="AA323" s="182" t="inlineStr">
        <is>
          <t>✓</t>
        </is>
      </c>
      <c r="AB323" s="180" t="inlineStr">
        <is>
          <t>6.31</t>
        </is>
      </c>
      <c r="AC323" s="181" t="inlineStr">
        <is>
          <t>ППК26117, (06.07.2026) [CNP]</t>
        </is>
      </c>
      <c r="AD323" s="182" t="inlineStr">
        <is>
          <t>✓</t>
        </is>
      </c>
      <c r="AE323" s="171" t="inlineStr">
        <is>
          <t>— MISSING —</t>
        </is>
      </c>
      <c r="AF323" s="172" t="inlineStr">
        <is>
          <t>— MISSING —</t>
        </is>
      </c>
      <c r="AG323" s="172" t="inlineStr">
        <is>
          <t>— MISSING —</t>
        </is>
      </c>
      <c r="AH323" s="172" t="inlineStr">
        <is>
          <t>— MISSING —</t>
        </is>
      </c>
      <c r="AI323" s="172" t="inlineStr">
        <is>
          <t>— MISSING —</t>
        </is>
      </c>
      <c r="AJ323" s="186" t="inlineStr">
        <is>
          <t>✗</t>
        </is>
      </c>
      <c r="AK323" s="171" t="inlineStr">
        <is>
          <t>— MISSING —</t>
        </is>
      </c>
      <c r="AL323" s="172" t="inlineStr">
        <is>
          <t>— MISSING —</t>
        </is>
      </c>
      <c r="AM323" s="172" t="inlineStr">
        <is>
          <t>— MISSING —</t>
        </is>
      </c>
      <c r="AN323" s="186" t="inlineStr">
        <is>
          <t>✗</t>
        </is>
      </c>
      <c r="AO323" s="171" t="inlineStr">
        <is>
          <t>— MISSING —</t>
        </is>
      </c>
      <c r="AP323" s="172" t="inlineStr">
        <is>
          <t>— MISSING —</t>
        </is>
      </c>
      <c r="AQ323" s="172" t="inlineStr">
        <is>
          <t>— MISSING —</t>
        </is>
      </c>
      <c r="AR323" s="172" t="inlineStr">
        <is>
          <t>— MISSING —</t>
        </is>
      </c>
      <c r="AS323" s="186" t="inlineStr">
        <is>
          <t>✗</t>
        </is>
      </c>
      <c r="AT323" s="187" t="inlineStr">
        <is>
          <t>— MISSING —</t>
        </is>
      </c>
      <c r="AU323" s="188" t="inlineStr">
        <is>
          <t>— no certificate —</t>
        </is>
      </c>
      <c r="AV323" s="189" t="inlineStr">
        <is>
          <t>✗</t>
        </is>
      </c>
    </row>
    <row r="324" ht="13" customHeight="1" s="70">
      <c r="A324" s="164" t="n"/>
      <c r="B324" s="165" t="n"/>
      <c r="C324" s="165" t="n"/>
      <c r="D324" s="165" t="n"/>
      <c r="E324" s="165" t="n"/>
      <c r="F324" s="165" t="n"/>
      <c r="G324" s="166" t="n"/>
      <c r="H324" s="165" t="n"/>
      <c r="I324" s="167" t="n"/>
      <c r="J324" s="166" t="n"/>
      <c r="K324" s="165" t="n"/>
      <c r="L324" s="167" t="n"/>
      <c r="M324" s="166" t="n"/>
      <c r="N324" s="165" t="n"/>
      <c r="O324" s="167" t="n"/>
      <c r="P324" s="166" t="n"/>
      <c r="Q324" s="165" t="n"/>
      <c r="R324" s="167" t="n"/>
      <c r="S324" s="166" t="n"/>
      <c r="T324" s="165" t="n"/>
      <c r="U324" s="167" t="n"/>
      <c r="V324" s="166" t="n"/>
      <c r="W324" s="165" t="n"/>
      <c r="X324" s="167" t="n"/>
      <c r="Y324" s="166" t="n"/>
      <c r="Z324" s="165" t="n"/>
      <c r="AA324" s="167" t="n"/>
      <c r="AB324" s="166" t="n"/>
      <c r="AC324" s="165" t="n"/>
      <c r="AD324" s="167" t="n"/>
      <c r="AE324" s="190" t="inlineStr">
        <is>
          <t>— no certificate —</t>
        </is>
      </c>
      <c r="AF324" s="165" t="n"/>
      <c r="AG324" s="165" t="n"/>
      <c r="AH324" s="165" t="n"/>
      <c r="AI324" s="165" t="n"/>
      <c r="AJ324" s="167" t="n"/>
      <c r="AK324" s="190" t="inlineStr">
        <is>
          <t>— no certificate —</t>
        </is>
      </c>
      <c r="AL324" s="165" t="n"/>
      <c r="AM324" s="165" t="n"/>
      <c r="AN324" s="167" t="n"/>
      <c r="AO324" s="190" t="inlineStr">
        <is>
          <t>— no certificate —</t>
        </is>
      </c>
      <c r="AP324" s="165" t="n"/>
      <c r="AQ324" s="165" t="n"/>
      <c r="AR324" s="165" t="n"/>
      <c r="AS324" s="167" t="n"/>
      <c r="AT324" s="166" t="n"/>
      <c r="AU324" s="165" t="n"/>
      <c r="AV324" s="169" t="n"/>
    </row>
    <row r="325" ht="21" customHeight="1" s="70">
      <c r="A325" s="125" t="inlineStr">
        <is>
          <t>— not recorded — (P160022)</t>
        </is>
      </c>
      <c r="B325" s="126" t="inlineStr">
        <is>
          <t>P160022</t>
        </is>
      </c>
      <c r="C325" s="177" t="inlineStr">
        <is>
          <t>✗ 4 NO RESULT
(4 no cert / 0 cert w/o result)</t>
        </is>
      </c>
      <c r="D325" s="126" t="inlineStr">
        <is>
          <t>1 of 1</t>
        </is>
      </c>
      <c r="E325" s="178" t="inlineStr">
        <is>
          <t>release testing</t>
        </is>
      </c>
      <c r="F325" s="179" t="inlineStr">
        <is>
          <t>iCoA-PP_26-097
— at issue — · initial release</t>
        </is>
      </c>
      <c r="G325" s="180" t="inlineStr">
        <is>
          <t>Conforms</t>
        </is>
      </c>
      <c r="H325" s="181" t="inlineStr">
        <is>
          <t>ППК26118, (06.07.2026) [CNP]</t>
        </is>
      </c>
      <c r="I325" s="182" t="inlineStr">
        <is>
          <t>✓</t>
        </is>
      </c>
      <c r="J325" s="180" t="inlineStr">
        <is>
          <t>Conforms</t>
        </is>
      </c>
      <c r="K325" s="181" t="inlineStr">
        <is>
          <t>ППК26118, (06.07.2026) [CNP]</t>
        </is>
      </c>
      <c r="L325" s="182" t="inlineStr">
        <is>
          <t>✓</t>
        </is>
      </c>
      <c r="M325" s="180" t="inlineStr">
        <is>
          <t>Conforms (ImB spec.)</t>
        </is>
      </c>
      <c r="N325" s="181" t="inlineStr">
        <is>
          <t>ППК26118, (06.07.2026) [CNP]</t>
        </is>
      </c>
      <c r="O325" s="182" t="inlineStr">
        <is>
          <t>✓</t>
        </is>
      </c>
      <c r="P325" s="183" t="inlineStr">
        <is>
          <t>25.72</t>
        </is>
      </c>
      <c r="Q325" s="181" t="inlineStr">
        <is>
          <t>ППК26118, (06.07.2026) [CNP]</t>
        </is>
      </c>
      <c r="R325" s="182" t="inlineStr">
        <is>
          <t>✓</t>
        </is>
      </c>
      <c r="S325" s="184" t="inlineStr">
        <is>
          <t>0.15</t>
        </is>
      </c>
      <c r="T325" s="181" t="inlineStr">
        <is>
          <t>ППК26118, (06.07.2026) [CNP]</t>
        </is>
      </c>
      <c r="U325" s="182" t="inlineStr">
        <is>
          <t>✓</t>
        </is>
      </c>
      <c r="V325" s="184" t="inlineStr">
        <is>
          <t>0.10</t>
        </is>
      </c>
      <c r="W325" s="181" t="inlineStr">
        <is>
          <t>ППК26118, (06.07.2026) [CNP]</t>
        </is>
      </c>
      <c r="X325" s="182" t="inlineStr">
        <is>
          <t>✓</t>
        </is>
      </c>
      <c r="Y325" s="180" t="inlineStr">
        <is>
          <t>Conforms (no value printed)</t>
        </is>
      </c>
      <c r="Z325" s="181" t="inlineStr">
        <is>
          <t>ППК26118, (06.07.2026) [CNP]</t>
        </is>
      </c>
      <c r="AA325" s="182" t="inlineStr">
        <is>
          <t>✓</t>
        </is>
      </c>
      <c r="AB325" s="180" t="inlineStr">
        <is>
          <t>6.67</t>
        </is>
      </c>
      <c r="AC325" s="181" t="inlineStr">
        <is>
          <t>ППК26118, (06.07.2026) [CNP]</t>
        </is>
      </c>
      <c r="AD325" s="182" t="inlineStr">
        <is>
          <t>✓</t>
        </is>
      </c>
      <c r="AE325" s="171" t="inlineStr">
        <is>
          <t>— MISSING —</t>
        </is>
      </c>
      <c r="AF325" s="172" t="inlineStr">
        <is>
          <t>— MISSING —</t>
        </is>
      </c>
      <c r="AG325" s="172" t="inlineStr">
        <is>
          <t>— MISSING —</t>
        </is>
      </c>
      <c r="AH325" s="172" t="inlineStr">
        <is>
          <t>— MISSING —</t>
        </is>
      </c>
      <c r="AI325" s="172" t="inlineStr">
        <is>
          <t>— MISSING —</t>
        </is>
      </c>
      <c r="AJ325" s="186" t="inlineStr">
        <is>
          <t>✗</t>
        </is>
      </c>
      <c r="AK325" s="171" t="inlineStr">
        <is>
          <t>— MISSING —</t>
        </is>
      </c>
      <c r="AL325" s="172" t="inlineStr">
        <is>
          <t>— MISSING —</t>
        </is>
      </c>
      <c r="AM325" s="172" t="inlineStr">
        <is>
          <t>— MISSING —</t>
        </is>
      </c>
      <c r="AN325" s="186" t="inlineStr">
        <is>
          <t>✗</t>
        </is>
      </c>
      <c r="AO325" s="171" t="inlineStr">
        <is>
          <t>— MISSING —</t>
        </is>
      </c>
      <c r="AP325" s="172" t="inlineStr">
        <is>
          <t>— MISSING —</t>
        </is>
      </c>
      <c r="AQ325" s="172" t="inlineStr">
        <is>
          <t>— MISSING —</t>
        </is>
      </c>
      <c r="AR325" s="172" t="inlineStr">
        <is>
          <t>— MISSING —</t>
        </is>
      </c>
      <c r="AS325" s="186" t="inlineStr">
        <is>
          <t>✗</t>
        </is>
      </c>
      <c r="AT325" s="187" t="inlineStr">
        <is>
          <t>— MISSING —</t>
        </is>
      </c>
      <c r="AU325" s="188" t="inlineStr">
        <is>
          <t>— no certificate —</t>
        </is>
      </c>
      <c r="AV325" s="189" t="inlineStr">
        <is>
          <t>✗</t>
        </is>
      </c>
    </row>
    <row r="326" ht="15.375" customHeight="1" s="70">
      <c r="A326" s="164" t="n"/>
      <c r="B326" s="165" t="n"/>
      <c r="C326" s="165" t="n"/>
      <c r="D326" s="165" t="n"/>
      <c r="E326" s="165" t="n"/>
      <c r="F326" s="165" t="n"/>
      <c r="G326" s="166" t="n"/>
      <c r="H326" s="165" t="n"/>
      <c r="I326" s="167" t="n"/>
      <c r="J326" s="166" t="n"/>
      <c r="K326" s="165" t="n"/>
      <c r="L326" s="167" t="n"/>
      <c r="M326" s="166" t="n"/>
      <c r="N326" s="165" t="n"/>
      <c r="O326" s="167" t="n"/>
      <c r="P326" s="166" t="n"/>
      <c r="Q326" s="165" t="n"/>
      <c r="R326" s="167" t="n"/>
      <c r="S326" s="166" t="n"/>
      <c r="T326" s="165" t="n"/>
      <c r="U326" s="167" t="n"/>
      <c r="V326" s="166" t="n"/>
      <c r="W326" s="165" t="n"/>
      <c r="X326" s="167" t="n"/>
      <c r="Y326" s="166" t="n"/>
      <c r="Z326" s="165" t="n"/>
      <c r="AA326" s="167" t="n"/>
      <c r="AB326" s="166" t="n"/>
      <c r="AC326" s="165" t="n"/>
      <c r="AD326" s="167" t="n"/>
      <c r="AE326" s="190" t="inlineStr">
        <is>
          <t>— no certificate —</t>
        </is>
      </c>
      <c r="AF326" s="165" t="n"/>
      <c r="AG326" s="165" t="n"/>
      <c r="AH326" s="165" t="n"/>
      <c r="AI326" s="165" t="n"/>
      <c r="AJ326" s="167" t="n"/>
      <c r="AK326" s="190" t="inlineStr">
        <is>
          <t>— no certificate —</t>
        </is>
      </c>
      <c r="AL326" s="165" t="n"/>
      <c r="AM326" s="165" t="n"/>
      <c r="AN326" s="167" t="n"/>
      <c r="AO326" s="190" t="inlineStr">
        <is>
          <t>— no certificate —</t>
        </is>
      </c>
      <c r="AP326" s="165" t="n"/>
      <c r="AQ326" s="165" t="n"/>
      <c r="AR326" s="165" t="n"/>
      <c r="AS326" s="167" t="n"/>
      <c r="AT326" s="166" t="n"/>
      <c r="AU326" s="165" t="n"/>
      <c r="AV326" s="169" t="n"/>
    </row>
    <row r="327" ht="21" customHeight="1" s="70">
      <c r="A327" s="125" t="inlineStr">
        <is>
          <t>— not recorded — (P160032)</t>
        </is>
      </c>
      <c r="B327" s="126" t="inlineStr">
        <is>
          <t>P160032</t>
        </is>
      </c>
      <c r="C327" s="177" t="inlineStr">
        <is>
          <t>✗ 4 NO RESULT
(4 no cert / 0 cert w/o result)</t>
        </is>
      </c>
      <c r="D327" s="126" t="inlineStr">
        <is>
          <t>1 of 1</t>
        </is>
      </c>
      <c r="E327" s="178" t="inlineStr">
        <is>
          <t>release testing</t>
        </is>
      </c>
      <c r="F327" s="179" t="inlineStr">
        <is>
          <t>iCoA-PP_26-098
— at issue — · initial release</t>
        </is>
      </c>
      <c r="G327" s="180" t="inlineStr">
        <is>
          <t>Conforms</t>
        </is>
      </c>
      <c r="H327" s="181" t="inlineStr">
        <is>
          <t>ППК26119, (06.07.2026) [CNP]</t>
        </is>
      </c>
      <c r="I327" s="182" t="inlineStr">
        <is>
          <t>✓</t>
        </is>
      </c>
      <c r="J327" s="180" t="inlineStr">
        <is>
          <t>Conforms</t>
        </is>
      </c>
      <c r="K327" s="181" t="inlineStr">
        <is>
          <t>ППК26119, (06.07.2026) [CNP]</t>
        </is>
      </c>
      <c r="L327" s="182" t="inlineStr">
        <is>
          <t>✓</t>
        </is>
      </c>
      <c r="M327" s="180" t="inlineStr">
        <is>
          <t>Conforms (ImB spec.)</t>
        </is>
      </c>
      <c r="N327" s="181" t="inlineStr">
        <is>
          <t>ППК26119, (06.07.2026) [CNP]</t>
        </is>
      </c>
      <c r="O327" s="182" t="inlineStr">
        <is>
          <t>✓</t>
        </is>
      </c>
      <c r="P327" s="183" t="inlineStr">
        <is>
          <t>24.78</t>
        </is>
      </c>
      <c r="Q327" s="181" t="inlineStr">
        <is>
          <t>ППК26119, (06.07.2026) [CNP]</t>
        </is>
      </c>
      <c r="R327" s="182" t="inlineStr">
        <is>
          <t>✓</t>
        </is>
      </c>
      <c r="S327" s="184" t="inlineStr">
        <is>
          <t>0.06</t>
        </is>
      </c>
      <c r="T327" s="181" t="inlineStr">
        <is>
          <t>ППК26119, (06.07.2026) [CNP]</t>
        </is>
      </c>
      <c r="U327" s="182" t="inlineStr">
        <is>
          <t>✓</t>
        </is>
      </c>
      <c r="V327" s="184" t="inlineStr">
        <is>
          <t>0.08</t>
        </is>
      </c>
      <c r="W327" s="181" t="inlineStr">
        <is>
          <t>ППК26119, (06.07.2026) [CNP]</t>
        </is>
      </c>
      <c r="X327" s="182" t="inlineStr">
        <is>
          <t>✓</t>
        </is>
      </c>
      <c r="Y327" s="180" t="inlineStr">
        <is>
          <t>Conforms (no value printed)</t>
        </is>
      </c>
      <c r="Z327" s="181" t="inlineStr">
        <is>
          <t>ППК26119, (06.07.2026) [CNP]</t>
        </is>
      </c>
      <c r="AA327" s="182" t="inlineStr">
        <is>
          <t>✓</t>
        </is>
      </c>
      <c r="AB327" s="180" t="inlineStr">
        <is>
          <t>6.78</t>
        </is>
      </c>
      <c r="AC327" s="181" t="inlineStr">
        <is>
          <t>ППК26119, (06.07.2026) [CNP]</t>
        </is>
      </c>
      <c r="AD327" s="182" t="inlineStr">
        <is>
          <t>✓</t>
        </is>
      </c>
      <c r="AE327" s="171" t="inlineStr">
        <is>
          <t>— MISSING —</t>
        </is>
      </c>
      <c r="AF327" s="172" t="inlineStr">
        <is>
          <t>— MISSING —</t>
        </is>
      </c>
      <c r="AG327" s="172" t="inlineStr">
        <is>
          <t>— MISSING —</t>
        </is>
      </c>
      <c r="AH327" s="172" t="inlineStr">
        <is>
          <t>— MISSING —</t>
        </is>
      </c>
      <c r="AI327" s="172" t="inlineStr">
        <is>
          <t>— MISSING —</t>
        </is>
      </c>
      <c r="AJ327" s="186" t="inlineStr">
        <is>
          <t>✗</t>
        </is>
      </c>
      <c r="AK327" s="171" t="inlineStr">
        <is>
          <t>— MISSING —</t>
        </is>
      </c>
      <c r="AL327" s="172" t="inlineStr">
        <is>
          <t>— MISSING —</t>
        </is>
      </c>
      <c r="AM327" s="172" t="inlineStr">
        <is>
          <t>— MISSING —</t>
        </is>
      </c>
      <c r="AN327" s="186" t="inlineStr">
        <is>
          <t>✗</t>
        </is>
      </c>
      <c r="AO327" s="171" t="inlineStr">
        <is>
          <t>— MISSING —</t>
        </is>
      </c>
      <c r="AP327" s="172" t="inlineStr">
        <is>
          <t>— MISSING —</t>
        </is>
      </c>
      <c r="AQ327" s="172" t="inlineStr">
        <is>
          <t>— MISSING —</t>
        </is>
      </c>
      <c r="AR327" s="172" t="inlineStr">
        <is>
          <t>— MISSING —</t>
        </is>
      </c>
      <c r="AS327" s="186" t="inlineStr">
        <is>
          <t>✗</t>
        </is>
      </c>
      <c r="AT327" s="187" t="inlineStr">
        <is>
          <t>— MISSING —</t>
        </is>
      </c>
      <c r="AU327" s="188" t="inlineStr">
        <is>
          <t>— no certificate —</t>
        </is>
      </c>
      <c r="AV327" s="189" t="inlineStr">
        <is>
          <t>✗</t>
        </is>
      </c>
    </row>
    <row r="328" ht="15.375" customHeight="1" s="70">
      <c r="A328" s="164" t="n"/>
      <c r="B328" s="165" t="n"/>
      <c r="C328" s="165" t="n"/>
      <c r="D328" s="165" t="n"/>
      <c r="E328" s="165" t="n"/>
      <c r="F328" s="165" t="n"/>
      <c r="G328" s="166" t="n"/>
      <c r="H328" s="165" t="n"/>
      <c r="I328" s="167" t="n"/>
      <c r="J328" s="166" t="n"/>
      <c r="K328" s="165" t="n"/>
      <c r="L328" s="167" t="n"/>
      <c r="M328" s="166" t="n"/>
      <c r="N328" s="165" t="n"/>
      <c r="O328" s="167" t="n"/>
      <c r="P328" s="166" t="n"/>
      <c r="Q328" s="165" t="n"/>
      <c r="R328" s="167" t="n"/>
      <c r="S328" s="166" t="n"/>
      <c r="T328" s="165" t="n"/>
      <c r="U328" s="167" t="n"/>
      <c r="V328" s="166" t="n"/>
      <c r="W328" s="165" t="n"/>
      <c r="X328" s="167" t="n"/>
      <c r="Y328" s="166" t="n"/>
      <c r="Z328" s="165" t="n"/>
      <c r="AA328" s="167" t="n"/>
      <c r="AB328" s="166" t="n"/>
      <c r="AC328" s="165" t="n"/>
      <c r="AD328" s="167" t="n"/>
      <c r="AE328" s="190" t="inlineStr">
        <is>
          <t>— no certificate —</t>
        </is>
      </c>
      <c r="AF328" s="165" t="n"/>
      <c r="AG328" s="165" t="n"/>
      <c r="AH328" s="165" t="n"/>
      <c r="AI328" s="165" t="n"/>
      <c r="AJ328" s="167" t="n"/>
      <c r="AK328" s="190" t="inlineStr">
        <is>
          <t>— no certificate —</t>
        </is>
      </c>
      <c r="AL328" s="165" t="n"/>
      <c r="AM328" s="165" t="n"/>
      <c r="AN328" s="167" t="n"/>
      <c r="AO328" s="190" t="inlineStr">
        <is>
          <t>— no certificate —</t>
        </is>
      </c>
      <c r="AP328" s="165" t="n"/>
      <c r="AQ328" s="165" t="n"/>
      <c r="AR328" s="165" t="n"/>
      <c r="AS328" s="167" t="n"/>
      <c r="AT328" s="166" t="n"/>
      <c r="AU328" s="165" t="n"/>
      <c r="AV328" s="169" t="n"/>
    </row>
    <row r="329" ht="21" customHeight="1" s="70">
      <c r="A329" s="125" t="inlineStr">
        <is>
          <t>PM112501</t>
        </is>
      </c>
      <c r="B329" s="126" t="inlineStr">
        <is>
          <t>P060232</t>
        </is>
      </c>
      <c r="C329" s="170" t="inlineStr">
        <is>
          <t>⚠ 3 NO RESULT
(3 no cert / 0 cert w/o result)
2 testing instances
• 1 document(s) on file, not credited</t>
        </is>
      </c>
      <c r="D329" s="128" t="inlineStr">
        <is>
          <t>1 of 2</t>
        </is>
      </c>
      <c r="E329" s="129" t="inlineStr">
        <is>
          <t>release testing + re-analysis 220</t>
        </is>
      </c>
      <c r="F329" s="130" t="inlineStr">
        <is>
          <t>iCoA-PP_26-062
CoQ-PP_26-059 · initial release
iCoA-PP_26-150
CoQ-PP_26-131 · retest</t>
        </is>
      </c>
      <c r="G329" s="131" t="inlineStr">
        <is>
          <t>Conforms</t>
        </is>
      </c>
      <c r="H329" s="132">
        <f>IFERROR(INDEX('iCoA Register'!$B:$B,MATCH("P060232|I",'iCoA Register'!$AA:$AA,0)),"iCoA — at issue")&amp;", (27.04.2026) [PP]"</f>
        <v/>
      </c>
      <c r="I329" s="133" t="inlineStr">
        <is>
          <t>✓</t>
        </is>
      </c>
      <c r="J329" s="134" t="inlineStr">
        <is>
          <t>not on this certificate</t>
        </is>
      </c>
      <c r="K329" s="135" t="inlineStr">
        <is>
          <t>ППК26030, (05.03.2026) [CNP] · on file, not credited</t>
        </is>
      </c>
      <c r="L329" s="136" t="inlineStr">
        <is>
          <t>•</t>
        </is>
      </c>
      <c r="M329" s="131" t="inlineStr">
        <is>
          <t>Conforms (ImB spec.)</t>
        </is>
      </c>
      <c r="N329" s="132" t="inlineStr">
        <is>
          <t>ППК26030, (05.03.2026) [CNP]</t>
        </is>
      </c>
      <c r="O329" s="133" t="inlineStr">
        <is>
          <t>✓</t>
        </is>
      </c>
      <c r="P329" s="137" t="inlineStr">
        <is>
          <t>13.33</t>
        </is>
      </c>
      <c r="Q329" s="132" t="inlineStr">
        <is>
          <t>ППК26030, (05.03.2026) [CNP]</t>
        </is>
      </c>
      <c r="R329" s="133" t="inlineStr">
        <is>
          <t>✓</t>
        </is>
      </c>
      <c r="S329" s="138" t="inlineStr">
        <is>
          <t>0.03</t>
        </is>
      </c>
      <c r="T329" s="132" t="inlineStr">
        <is>
          <t>ППК26030, (05.03.2026) [CNP]</t>
        </is>
      </c>
      <c r="U329" s="133" t="inlineStr">
        <is>
          <t>✓</t>
        </is>
      </c>
      <c r="V329" s="138" t="inlineStr">
        <is>
          <t>0.01 ᴰ</t>
        </is>
      </c>
      <c r="W329" s="132" t="inlineStr">
        <is>
          <t>ППК26030, (05.03.2026) [CNP]</t>
        </is>
      </c>
      <c r="X329" s="133" t="inlineStr">
        <is>
          <t>✓</t>
        </is>
      </c>
      <c r="Y329" s="131" t="inlineStr">
        <is>
          <t>Conforms</t>
        </is>
      </c>
      <c r="Z329" s="132">
        <f>IFERROR(INDEX('iCoA Register'!$B:$B,MATCH("P060232|I",'iCoA Register'!$AA:$AA,0)),"iCoA — at issue")&amp;", (27.04.2026) [PP]"</f>
        <v/>
      </c>
      <c r="AA329" s="133" t="inlineStr">
        <is>
          <t>✓</t>
        </is>
      </c>
      <c r="AB329" s="131" t="inlineStr">
        <is>
          <t>8.61</t>
        </is>
      </c>
      <c r="AC329" s="132" t="inlineStr">
        <is>
          <t>ППК26030, (05.03.2026) [CNP]</t>
        </is>
      </c>
      <c r="AD329" s="133" t="inlineStr">
        <is>
          <t>✓</t>
        </is>
      </c>
      <c r="AE329" s="171" t="inlineStr">
        <is>
          <t>— MISSING —</t>
        </is>
      </c>
      <c r="AF329" s="172" t="inlineStr">
        <is>
          <t>— MISSING —</t>
        </is>
      </c>
      <c r="AG329" s="172" t="inlineStr">
        <is>
          <t>— MISSING —</t>
        </is>
      </c>
      <c r="AH329" s="172" t="inlineStr">
        <is>
          <t>— MISSING —</t>
        </is>
      </c>
      <c r="AI329" s="172" t="inlineStr">
        <is>
          <t>— MISSING —</t>
        </is>
      </c>
      <c r="AJ329" s="173" t="inlineStr">
        <is>
          <t>✗</t>
        </is>
      </c>
      <c r="AK329" s="131" t="inlineStr">
        <is>
          <t>ND</t>
        </is>
      </c>
      <c r="AL329" s="139" t="inlineStr">
        <is>
          <t>ND</t>
        </is>
      </c>
      <c r="AM329" s="139" t="inlineStr">
        <is>
          <t>ND</t>
        </is>
      </c>
      <c r="AN329" s="133" t="inlineStr">
        <is>
          <t>✓</t>
        </is>
      </c>
      <c r="AO329" s="171" t="inlineStr">
        <is>
          <t>— MISSING —</t>
        </is>
      </c>
      <c r="AP329" s="172" t="inlineStr">
        <is>
          <t>— MISSING —</t>
        </is>
      </c>
      <c r="AQ329" s="172" t="inlineStr">
        <is>
          <t>— MISSING —</t>
        </is>
      </c>
      <c r="AR329" s="172" t="inlineStr">
        <is>
          <t>— MISSING —</t>
        </is>
      </c>
      <c r="AS329" s="173" t="inlineStr">
        <is>
          <t>✗</t>
        </is>
      </c>
      <c r="AT329" s="171" t="inlineStr">
        <is>
          <t>— MISSING —</t>
        </is>
      </c>
      <c r="AU329" s="174" t="inlineStr">
        <is>
          <t>— no certificate —</t>
        </is>
      </c>
      <c r="AV329" s="175" t="inlineStr">
        <is>
          <t>✗</t>
        </is>
      </c>
    </row>
    <row r="330" ht="39" customHeight="1" s="70">
      <c r="A330" s="141" t="n"/>
      <c r="G330" s="142" t="n"/>
      <c r="I330" s="143" t="n"/>
      <c r="J330" s="142" t="n"/>
      <c r="L330" s="143" t="n"/>
      <c r="M330" s="142" t="n"/>
      <c r="O330" s="143" t="n"/>
      <c r="P330" s="142" t="n"/>
      <c r="R330" s="143" t="n"/>
      <c r="S330" s="142" t="n"/>
      <c r="U330" s="143" t="n"/>
      <c r="V330" s="142" t="n"/>
      <c r="X330" s="143" t="n"/>
      <c r="Y330" s="142" t="n"/>
      <c r="AA330" s="143" t="n"/>
      <c r="AB330" s="142" t="n"/>
      <c r="AD330" s="143" t="n"/>
      <c r="AE330" s="176" t="inlineStr">
        <is>
          <t>— no certificate —</t>
        </is>
      </c>
      <c r="AJ330" s="143" t="n"/>
      <c r="AK330" s="144" t="inlineStr">
        <is>
          <t>220-24-М-26, (11.09.2026) [FHM-M]</t>
        </is>
      </c>
      <c r="AN330" s="143" t="n"/>
      <c r="AO330" s="176" t="inlineStr">
        <is>
          <t>— no certificate —</t>
        </is>
      </c>
      <c r="AS330" s="143" t="n"/>
      <c r="AT330" s="142" t="n"/>
      <c r="AV330" s="145" t="n"/>
    </row>
    <row r="331" ht="17.625" customHeight="1" s="70">
      <c r="A331" s="146" t="n"/>
      <c r="B331" s="147" t="n"/>
      <c r="D331" s="148" t="inlineStr">
        <is>
          <t>2 of 2</t>
        </is>
      </c>
      <c r="E331" s="149" t="inlineStr">
        <is>
          <t>release testing + re-analysis 220</t>
        </is>
      </c>
      <c r="F331" s="150" t="inlineStr">
        <is>
          <t>iCoA-PP_26-062
CoQ-PP_26-059 · initial release
iCoA-PP_26-150
CoQ-PP_26-131 · retest</t>
        </is>
      </c>
      <c r="G331" s="151" t="n"/>
      <c r="H331" s="147" t="n"/>
      <c r="I331" s="152" t="n"/>
      <c r="J331" s="153" t="inlineStr">
        <is>
          <t>Conforms</t>
        </is>
      </c>
      <c r="K331" s="154">
        <f>IFERROR(INDEX('iCoA Register'!$B:$B,MATCH("P060232|I",'iCoA Register'!$AA:$AA,0)),"iCoA — at issue")&amp;", (27.04.2026) [PP]"</f>
        <v/>
      </c>
      <c r="L331" s="155" t="inlineStr">
        <is>
          <t>✓</t>
        </is>
      </c>
      <c r="M331" s="153" t="inlineStr">
        <is>
          <t>Conforms (ImB spec.)</t>
        </is>
      </c>
      <c r="N331" s="154" t="inlineStr">
        <is>
          <t>220-24-К-26, (26.08.2026) [FHM-K]</t>
        </is>
      </c>
      <c r="O331" s="155" t="inlineStr">
        <is>
          <t>✓</t>
        </is>
      </c>
      <c r="P331" s="156" t="inlineStr">
        <is>
          <t>10.80</t>
        </is>
      </c>
      <c r="Q331" s="154" t="inlineStr">
        <is>
          <t>220-24-К-26, (26.08.2026) [FHM-K]</t>
        </is>
      </c>
      <c r="R331" s="155" t="inlineStr">
        <is>
          <t>✓</t>
        </is>
      </c>
      <c r="S331" s="157" t="inlineStr">
        <is>
          <t>&lt; LOQ</t>
        </is>
      </c>
      <c r="T331" s="154" t="inlineStr">
        <is>
          <t>220-24-К-26, (26.08.2026) [FHM-K]</t>
        </is>
      </c>
      <c r="U331" s="155" t="inlineStr">
        <is>
          <t>✓</t>
        </is>
      </c>
      <c r="V331" s="157" t="inlineStr">
        <is>
          <t>&lt; LOQ</t>
        </is>
      </c>
      <c r="W331" s="154" t="inlineStr">
        <is>
          <t>220-24-К-26, (26.08.2026) [FHM-K]</t>
        </is>
      </c>
      <c r="X331" s="155" t="inlineStr">
        <is>
          <t>✓</t>
        </is>
      </c>
      <c r="Y331" s="151" t="n"/>
      <c r="Z331" s="147" t="n"/>
      <c r="AA331" s="152" t="n"/>
      <c r="AB331" s="151" t="n"/>
      <c r="AC331" s="147" t="n"/>
      <c r="AD331" s="152" t="n"/>
      <c r="AE331" s="151" t="n"/>
      <c r="AF331" s="147" t="n"/>
      <c r="AG331" s="147" t="n"/>
      <c r="AH331" s="147" t="n"/>
      <c r="AI331" s="147" t="n"/>
      <c r="AJ331" s="152" t="n"/>
      <c r="AK331" s="151" t="n"/>
      <c r="AL331" s="147" t="n"/>
      <c r="AM331" s="147" t="n"/>
      <c r="AN331" s="152" t="n"/>
      <c r="AO331" s="151" t="n"/>
      <c r="AP331" s="147" t="n"/>
      <c r="AQ331" s="147" t="n"/>
      <c r="AR331" s="147" t="n"/>
      <c r="AS331" s="152" t="n"/>
      <c r="AT331" s="151" t="n"/>
      <c r="AU331" s="147" t="n"/>
      <c r="AV331" s="163" t="n"/>
    </row>
    <row r="332" ht="39" customHeight="1" s="70">
      <c r="A332" s="164" t="n"/>
      <c r="B332" s="165" t="n"/>
      <c r="C332" s="165" t="n"/>
      <c r="D332" s="165" t="n"/>
      <c r="E332" s="165" t="n"/>
      <c r="F332" s="165" t="n"/>
      <c r="G332" s="166" t="n"/>
      <c r="H332" s="165" t="n"/>
      <c r="I332" s="167" t="n"/>
      <c r="J332" s="166" t="n"/>
      <c r="K332" s="165" t="n"/>
      <c r="L332" s="167" t="n"/>
      <c r="M332" s="166" t="n"/>
      <c r="N332" s="165" t="n"/>
      <c r="O332" s="167" t="n"/>
      <c r="P332" s="166" t="n"/>
      <c r="Q332" s="165" t="n"/>
      <c r="R332" s="167" t="n"/>
      <c r="S332" s="166" t="n"/>
      <c r="T332" s="165" t="n"/>
      <c r="U332" s="167" t="n"/>
      <c r="V332" s="166" t="n"/>
      <c r="W332" s="165" t="n"/>
      <c r="X332" s="167" t="n"/>
      <c r="Y332" s="166" t="n"/>
      <c r="Z332" s="165" t="n"/>
      <c r="AA332" s="167" t="n"/>
      <c r="AB332" s="166" t="n"/>
      <c r="AC332" s="165" t="n"/>
      <c r="AD332" s="167" t="n"/>
      <c r="AE332" s="166" t="n"/>
      <c r="AF332" s="165" t="n"/>
      <c r="AG332" s="165" t="n"/>
      <c r="AH332" s="165" t="n"/>
      <c r="AI332" s="165" t="n"/>
      <c r="AJ332" s="167" t="n"/>
      <c r="AK332" s="166" t="n"/>
      <c r="AL332" s="165" t="n"/>
      <c r="AM332" s="165" t="n"/>
      <c r="AN332" s="167" t="n"/>
      <c r="AO332" s="166" t="n"/>
      <c r="AP332" s="165" t="n"/>
      <c r="AQ332" s="165" t="n"/>
      <c r="AR332" s="165" t="n"/>
      <c r="AS332" s="167" t="n"/>
      <c r="AT332" s="166" t="n"/>
      <c r="AU332" s="165" t="n"/>
      <c r="AV332" s="169" t="n"/>
    </row>
    <row r="333" ht="21" customHeight="1" s="70">
      <c r="A333" s="125" t="inlineStr">
        <is>
          <t>SCR022601</t>
        </is>
      </c>
      <c r="B333" s="126" t="inlineStr">
        <is>
          <t>P060442</t>
        </is>
      </c>
      <c r="C333" s="170" t="inlineStr">
        <is>
          <t>⚠ 3 NO RESULT
(3 no cert / 0 cert w/o result)
2 testing instances</t>
        </is>
      </c>
      <c r="D333" s="128" t="inlineStr">
        <is>
          <t>1 of 2</t>
        </is>
      </c>
      <c r="E333" s="129" t="inlineStr">
        <is>
          <t>release testing + re-test campaign (IJZ-MB)</t>
        </is>
      </c>
      <c r="F333" s="130" t="inlineStr">
        <is>
          <t>iCoA-PP_26-094
CoQ-PP_26-080 · initial release
iCoA-PP_26-160
CoQ-PP_26-161 · retest</t>
        </is>
      </c>
      <c r="G333" s="131" t="inlineStr">
        <is>
          <t>Conforms ᴿ</t>
        </is>
      </c>
      <c r="H333" s="132" t="inlineStr">
        <is>
          <t>ППК26116, (06.07.2026) [CNP]</t>
        </is>
      </c>
      <c r="I333" s="133" t="inlineStr">
        <is>
          <t>✓</t>
        </is>
      </c>
      <c r="J333" s="131" t="inlineStr">
        <is>
          <t>Conforms ᴿ</t>
        </is>
      </c>
      <c r="K333" s="132" t="inlineStr">
        <is>
          <t>ППК26116, (06.07.2026) [CNP]</t>
        </is>
      </c>
      <c r="L333" s="133" t="inlineStr">
        <is>
          <t>✓</t>
        </is>
      </c>
      <c r="M333" s="131" t="inlineStr">
        <is>
          <t>Conforms (ImB spec.) ᴿ</t>
        </is>
      </c>
      <c r="N333" s="132" t="inlineStr">
        <is>
          <t>ППК26116, (06.07.2026) [CNP]</t>
        </is>
      </c>
      <c r="O333" s="133" t="inlineStr">
        <is>
          <t>✓</t>
        </is>
      </c>
      <c r="P333" s="137" t="inlineStr">
        <is>
          <t>21.92 ᴿ</t>
        </is>
      </c>
      <c r="Q333" s="132" t="inlineStr">
        <is>
          <t>ППК26116, (06.07.2026) [CNP]</t>
        </is>
      </c>
      <c r="R333" s="133" t="inlineStr">
        <is>
          <t>✓</t>
        </is>
      </c>
      <c r="S333" s="138" t="inlineStr">
        <is>
          <t>0.19 ᴿ</t>
        </is>
      </c>
      <c r="T333" s="132" t="inlineStr">
        <is>
          <t>ППК26116, (06.07.2026) [CNP]</t>
        </is>
      </c>
      <c r="U333" s="133" t="inlineStr">
        <is>
          <t>✓</t>
        </is>
      </c>
      <c r="V333" s="138" t="inlineStr">
        <is>
          <t>0.06 ᴿ</t>
        </is>
      </c>
      <c r="W333" s="132" t="inlineStr">
        <is>
          <t>ППК26116, (06.07.2026) [CNP]</t>
        </is>
      </c>
      <c r="X333" s="133" t="inlineStr">
        <is>
          <t>✓</t>
        </is>
      </c>
      <c r="Y333" s="131" t="inlineStr">
        <is>
          <t>Conforms ᴿ</t>
        </is>
      </c>
      <c r="Z333" s="132" t="inlineStr">
        <is>
          <t>ППК26116, (06.07.2026) [CNP]</t>
        </is>
      </c>
      <c r="AA333" s="133" t="inlineStr">
        <is>
          <t>✓</t>
        </is>
      </c>
      <c r="AB333" s="131" t="inlineStr">
        <is>
          <t>7.06 ᴿ</t>
        </is>
      </c>
      <c r="AC333" s="132" t="inlineStr">
        <is>
          <t>ППК26116, (06.07.2026) [CNP]</t>
        </is>
      </c>
      <c r="AD333" s="133" t="inlineStr">
        <is>
          <t>✓</t>
        </is>
      </c>
      <c r="AE333" s="131" t="inlineStr">
        <is>
          <t>1.7 × 10³</t>
        </is>
      </c>
      <c r="AF333" s="139" t="inlineStr">
        <is>
          <t>5.6 × 10²</t>
        </is>
      </c>
      <c r="AG333" s="139" t="inlineStr">
        <is>
          <t>&lt; 10</t>
        </is>
      </c>
      <c r="AH333" s="139" t="inlineStr">
        <is>
          <t>Absent</t>
        </is>
      </c>
      <c r="AI333" s="139" t="inlineStr">
        <is>
          <t>Absent</t>
        </is>
      </c>
      <c r="AJ333" s="133" t="inlineStr">
        <is>
          <t>✓</t>
        </is>
      </c>
      <c r="AK333" s="171" t="inlineStr">
        <is>
          <t>— MISSING —</t>
        </is>
      </c>
      <c r="AL333" s="172" t="inlineStr">
        <is>
          <t>— MISSING —</t>
        </is>
      </c>
      <c r="AM333" s="172" t="inlineStr">
        <is>
          <t>— MISSING —</t>
        </is>
      </c>
      <c r="AN333" s="173" t="inlineStr">
        <is>
          <t>✗</t>
        </is>
      </c>
      <c r="AO333" s="171" t="inlineStr">
        <is>
          <t>— MISSING —</t>
        </is>
      </c>
      <c r="AP333" s="172" t="inlineStr">
        <is>
          <t>— MISSING —</t>
        </is>
      </c>
      <c r="AQ333" s="172" t="inlineStr">
        <is>
          <t>— MISSING —</t>
        </is>
      </c>
      <c r="AR333" s="172" t="inlineStr">
        <is>
          <t>— MISSING —</t>
        </is>
      </c>
      <c r="AS333" s="173" t="inlineStr">
        <is>
          <t>✗</t>
        </is>
      </c>
      <c r="AT333" s="171" t="inlineStr">
        <is>
          <t>— MISSING —</t>
        </is>
      </c>
      <c r="AU333" s="174" t="inlineStr">
        <is>
          <t>— no certificate —</t>
        </is>
      </c>
      <c r="AV333" s="175" t="inlineStr">
        <is>
          <t>✗</t>
        </is>
      </c>
    </row>
    <row r="334" ht="39" customHeight="1" s="70">
      <c r="A334" s="141" t="n"/>
      <c r="G334" s="142" t="n"/>
      <c r="I334" s="143" t="n"/>
      <c r="J334" s="142" t="n"/>
      <c r="L334" s="143" t="n"/>
      <c r="M334" s="142" t="n"/>
      <c r="O334" s="143" t="n"/>
      <c r="P334" s="142" t="n"/>
      <c r="R334" s="143" t="n"/>
      <c r="S334" s="142" t="n"/>
      <c r="U334" s="143" t="n"/>
      <c r="V334" s="142" t="n"/>
      <c r="X334" s="143" t="n"/>
      <c r="Y334" s="142" t="n"/>
      <c r="AA334" s="143" t="n"/>
      <c r="AB334" s="142" t="n"/>
      <c r="AD334" s="143" t="n"/>
      <c r="AE334" s="144" t="inlineStr">
        <is>
          <t>536-1067-26, (31.08.2026) [IJZ-MB]</t>
        </is>
      </c>
      <c r="AJ334" s="143" t="n"/>
      <c r="AK334" s="176" t="inlineStr">
        <is>
          <t>— no certificate —</t>
        </is>
      </c>
      <c r="AN334" s="143" t="n"/>
      <c r="AO334" s="176" t="inlineStr">
        <is>
          <t>— no certificate —</t>
        </is>
      </c>
      <c r="AS334" s="143" t="n"/>
      <c r="AT334" s="142" t="n"/>
      <c r="AV334" s="145" t="n"/>
    </row>
    <row r="335" ht="17.625" customHeight="1" s="70">
      <c r="A335" s="146" t="n"/>
      <c r="B335" s="147" t="n"/>
      <c r="D335" s="148" t="inlineStr">
        <is>
          <t>2 of 2</t>
        </is>
      </c>
      <c r="E335" s="149" t="inlineStr">
        <is>
          <t>re-analysis 227</t>
        </is>
      </c>
      <c r="F335" s="150" t="inlineStr">
        <is>
          <t>iCoA-PP_26-160
CoQ-PP_26-161 · retest</t>
        </is>
      </c>
      <c r="G335" s="151" t="n"/>
      <c r="H335" s="147" t="n"/>
      <c r="I335" s="152" t="n"/>
      <c r="J335" s="151" t="n"/>
      <c r="K335" s="147" t="n"/>
      <c r="L335" s="152" t="n"/>
      <c r="M335" s="153" t="inlineStr">
        <is>
          <t>Conforms (ImB spec.)</t>
        </is>
      </c>
      <c r="N335" s="154" t="inlineStr">
        <is>
          <t>227-7-К-26, (11.09.2026) [FHM-K]</t>
        </is>
      </c>
      <c r="O335" s="155" t="inlineStr">
        <is>
          <t>✓</t>
        </is>
      </c>
      <c r="P335" s="156" t="inlineStr">
        <is>
          <t>16.68</t>
        </is>
      </c>
      <c r="Q335" s="154" t="inlineStr">
        <is>
          <t>227-7-К-26, (11.09.2026) [FHM-K]</t>
        </is>
      </c>
      <c r="R335" s="155" t="inlineStr">
        <is>
          <t>✓</t>
        </is>
      </c>
      <c r="S335" s="157" t="inlineStr">
        <is>
          <t>&lt; LOQ</t>
        </is>
      </c>
      <c r="T335" s="154" t="inlineStr">
        <is>
          <t>227-7-К-26, (11.09.2026) [FHM-K]</t>
        </is>
      </c>
      <c r="U335" s="155" t="inlineStr">
        <is>
          <t>✓</t>
        </is>
      </c>
      <c r="V335" s="157" t="inlineStr">
        <is>
          <t>&lt; LOQ</t>
        </is>
      </c>
      <c r="W335" s="154" t="inlineStr">
        <is>
          <t>227-7-К-26, (11.09.2026) [FHM-K]</t>
        </is>
      </c>
      <c r="X335" s="155" t="inlineStr">
        <is>
          <t>✓</t>
        </is>
      </c>
      <c r="Y335" s="151" t="n"/>
      <c r="Z335" s="147" t="n"/>
      <c r="AA335" s="152" t="n"/>
      <c r="AB335" s="151" t="n"/>
      <c r="AC335" s="147" t="n"/>
      <c r="AD335" s="152" t="n"/>
      <c r="AE335" s="151" t="n"/>
      <c r="AF335" s="147" t="n"/>
      <c r="AG335" s="147" t="n"/>
      <c r="AH335" s="147" t="n"/>
      <c r="AI335" s="147" t="n"/>
      <c r="AJ335" s="152" t="n"/>
      <c r="AK335" s="151" t="n"/>
      <c r="AL335" s="147" t="n"/>
      <c r="AM335" s="147" t="n"/>
      <c r="AN335" s="152" t="n"/>
      <c r="AO335" s="151" t="n"/>
      <c r="AP335" s="147" t="n"/>
      <c r="AQ335" s="147" t="n"/>
      <c r="AR335" s="147" t="n"/>
      <c r="AS335" s="152" t="n"/>
      <c r="AT335" s="151" t="n"/>
      <c r="AU335" s="147" t="n"/>
      <c r="AV335" s="163" t="n"/>
    </row>
    <row r="336" ht="13" customHeight="1" s="70">
      <c r="A336" s="164" t="n"/>
      <c r="B336" s="165" t="n"/>
      <c r="C336" s="165" t="n"/>
      <c r="D336" s="165" t="n"/>
      <c r="E336" s="165" t="n"/>
      <c r="F336" s="165" t="n"/>
      <c r="G336" s="166" t="n"/>
      <c r="H336" s="165" t="n"/>
      <c r="I336" s="167" t="n"/>
      <c r="J336" s="166" t="n"/>
      <c r="K336" s="165" t="n"/>
      <c r="L336" s="167" t="n"/>
      <c r="M336" s="166" t="n"/>
      <c r="N336" s="165" t="n"/>
      <c r="O336" s="167" t="n"/>
      <c r="P336" s="166" t="n"/>
      <c r="Q336" s="165" t="n"/>
      <c r="R336" s="167" t="n"/>
      <c r="S336" s="166" t="n"/>
      <c r="T336" s="165" t="n"/>
      <c r="U336" s="167" t="n"/>
      <c r="V336" s="166" t="n"/>
      <c r="W336" s="165" t="n"/>
      <c r="X336" s="167" t="n"/>
      <c r="Y336" s="166" t="n"/>
      <c r="Z336" s="165" t="n"/>
      <c r="AA336" s="167" t="n"/>
      <c r="AB336" s="166" t="n"/>
      <c r="AC336" s="165" t="n"/>
      <c r="AD336" s="167" t="n"/>
      <c r="AE336" s="166" t="n"/>
      <c r="AF336" s="165" t="n"/>
      <c r="AG336" s="165" t="n"/>
      <c r="AH336" s="165" t="n"/>
      <c r="AI336" s="165" t="n"/>
      <c r="AJ336" s="167" t="n"/>
      <c r="AK336" s="166" t="n"/>
      <c r="AL336" s="165" t="n"/>
      <c r="AM336" s="165" t="n"/>
      <c r="AN336" s="167" t="n"/>
      <c r="AO336" s="166" t="n"/>
      <c r="AP336" s="165" t="n"/>
      <c r="AQ336" s="165" t="n"/>
      <c r="AR336" s="165" t="n"/>
      <c r="AS336" s="167" t="n"/>
      <c r="AT336" s="166" t="n"/>
      <c r="AU336" s="165" t="n"/>
      <c r="AV336" s="169" t="n"/>
    </row>
    <row r="337" ht="21" customHeight="1" s="70">
      <c r="A337" s="125" t="inlineStr">
        <is>
          <t>SCR112501</t>
        </is>
      </c>
      <c r="B337" s="126" t="inlineStr">
        <is>
          <t>P060282</t>
        </is>
      </c>
      <c r="C337" s="127" t="inlineStr">
        <is>
          <t>✓ COMPLETE
2 testing instances
• 1 document(s) on file, not credited</t>
        </is>
      </c>
      <c r="D337" s="128" t="inlineStr">
        <is>
          <t>1 of 2</t>
        </is>
      </c>
      <c r="E337" s="129" t="inlineStr">
        <is>
          <t>release testing</t>
        </is>
      </c>
      <c r="F337" s="130" t="inlineStr">
        <is>
          <t>iCoA-PP_26-074
CoQ-PP_26-064 · initial release</t>
        </is>
      </c>
      <c r="G337" s="131" t="inlineStr">
        <is>
          <t>Conforms</t>
        </is>
      </c>
      <c r="H337" s="132">
        <f>IFERROR(INDEX('iCoA Register'!$B:$B,MATCH("P060282|I",'iCoA Register'!$AA:$AA,0)),"iCoA — at issue")&amp;", (18.05.2026) [PP]"</f>
        <v/>
      </c>
      <c r="I337" s="133" t="inlineStr">
        <is>
          <t>✓</t>
        </is>
      </c>
      <c r="J337" s="134" t="inlineStr">
        <is>
          <t>not on this certificate</t>
        </is>
      </c>
      <c r="K337" s="135" t="inlineStr">
        <is>
          <t>ППК26069, (11.05.2026) [CNP] · on file, not credited</t>
        </is>
      </c>
      <c r="L337" s="136" t="inlineStr">
        <is>
          <t>•</t>
        </is>
      </c>
      <c r="M337" s="131" t="inlineStr">
        <is>
          <t>Conforms (ImB spec.)</t>
        </is>
      </c>
      <c r="N337" s="132" t="inlineStr">
        <is>
          <t>ППК26069, (11.05.2026) [CNP]</t>
        </is>
      </c>
      <c r="O337" s="133" t="inlineStr">
        <is>
          <t>✓</t>
        </is>
      </c>
      <c r="P337" s="137" t="inlineStr">
        <is>
          <t>17.13</t>
        </is>
      </c>
      <c r="Q337" s="132" t="inlineStr">
        <is>
          <t>ППК26069, (11.05.2026) [CNP]</t>
        </is>
      </c>
      <c r="R337" s="133" t="inlineStr">
        <is>
          <t>✓</t>
        </is>
      </c>
      <c r="S337" s="138" t="inlineStr">
        <is>
          <t>0.04</t>
        </is>
      </c>
      <c r="T337" s="132" t="inlineStr">
        <is>
          <t>ППК26069, (11.05.2026) [CNP]</t>
        </is>
      </c>
      <c r="U337" s="133" t="inlineStr">
        <is>
          <t>✓</t>
        </is>
      </c>
      <c r="V337" s="138" t="inlineStr">
        <is>
          <t>&lt; LOQ ᴰ</t>
        </is>
      </c>
      <c r="W337" s="132" t="inlineStr">
        <is>
          <t>ППК26069, (11.05.2026) [CNP]</t>
        </is>
      </c>
      <c r="X337" s="133" t="inlineStr">
        <is>
          <t>✓</t>
        </is>
      </c>
      <c r="Y337" s="131" t="inlineStr">
        <is>
          <t>Conforms</t>
        </is>
      </c>
      <c r="Z337" s="132">
        <f>IFERROR(INDEX('iCoA Register'!$B:$B,MATCH("P060282|I",'iCoA Register'!$AA:$AA,0)),"iCoA — at issue")&amp;", (18.05.2026) [PP]"</f>
        <v/>
      </c>
      <c r="AA337" s="133" t="inlineStr">
        <is>
          <t>✓</t>
        </is>
      </c>
      <c r="AB337" s="131" t="inlineStr">
        <is>
          <t>6.84</t>
        </is>
      </c>
      <c r="AC337" s="132" t="inlineStr">
        <is>
          <t>ППК26069, (11.05.2026) [CNP]</t>
        </is>
      </c>
      <c r="AD337" s="133" t="inlineStr">
        <is>
          <t>✓</t>
        </is>
      </c>
      <c r="AE337" s="131" t="inlineStr">
        <is>
          <t>2.3 × 10³</t>
        </is>
      </c>
      <c r="AF337" s="139" t="inlineStr">
        <is>
          <t>4.3 × 10³</t>
        </is>
      </c>
      <c r="AG337" s="139" t="inlineStr">
        <is>
          <t>&lt; 10³ and &gt; 10² ᴿ</t>
        </is>
      </c>
      <c r="AH337" s="139" t="inlineStr">
        <is>
          <t>Absent</t>
        </is>
      </c>
      <c r="AI337" s="139" t="inlineStr">
        <is>
          <t>Absent</t>
        </is>
      </c>
      <c r="AJ337" s="133" t="inlineStr">
        <is>
          <t>✓</t>
        </is>
      </c>
      <c r="AK337" s="131" t="inlineStr">
        <is>
          <t>not reported</t>
        </is>
      </c>
      <c r="AL337" s="139" t="inlineStr">
        <is>
          <t>&lt; 2</t>
        </is>
      </c>
      <c r="AM337" s="139" t="inlineStr">
        <is>
          <t>not reported</t>
        </is>
      </c>
      <c r="AN337" s="133" t="inlineStr">
        <is>
          <t>✓</t>
        </is>
      </c>
      <c r="AO337" s="131" t="inlineStr">
        <is>
          <t>0.0299</t>
        </is>
      </c>
      <c r="AP337" s="139" t="inlineStr">
        <is>
          <t>0.0136</t>
        </is>
      </c>
      <c r="AQ337" s="139" t="inlineStr">
        <is>
          <t>0.0154</t>
        </is>
      </c>
      <c r="AR337" s="139" t="inlineStr">
        <is>
          <t>0.017</t>
        </is>
      </c>
      <c r="AS337" s="133" t="inlineStr">
        <is>
          <t>✓</t>
        </is>
      </c>
      <c r="AT337" s="131" t="inlineStr">
        <is>
          <t>≤ LOQ (all 27 compounds)</t>
        </is>
      </c>
      <c r="AU337" s="132" t="inlineStr">
        <is>
          <t>2360-2026, (29.04.2026) [IJZ]</t>
        </is>
      </c>
      <c r="AV337" s="140" t="inlineStr">
        <is>
          <t>✓</t>
        </is>
      </c>
    </row>
    <row r="338" ht="21" customHeight="1" s="70">
      <c r="A338" s="141" t="n"/>
      <c r="G338" s="142" t="n"/>
      <c r="I338" s="143" t="n"/>
      <c r="J338" s="142" t="n"/>
      <c r="L338" s="143" t="n"/>
      <c r="M338" s="142" t="n"/>
      <c r="O338" s="143" t="n"/>
      <c r="P338" s="142" t="n"/>
      <c r="R338" s="143" t="n"/>
      <c r="S338" s="142" t="n"/>
      <c r="U338" s="143" t="n"/>
      <c r="V338" s="142" t="n"/>
      <c r="X338" s="143" t="n"/>
      <c r="Y338" s="142" t="n"/>
      <c r="AA338" s="143" t="n"/>
      <c r="AB338" s="142" t="n"/>
      <c r="AD338" s="143" t="n"/>
      <c r="AE338" s="144" t="inlineStr">
        <is>
          <t>305-0549-26, (28.04.2026) [IJZ-MB]</t>
        </is>
      </c>
      <c r="AJ338" s="143" t="n"/>
      <c r="AK338" s="144" t="inlineStr">
        <is>
          <t>2360-2026, (29.04.2026) [IJZ]</t>
        </is>
      </c>
      <c r="AN338" s="143" t="n"/>
      <c r="AO338" s="144" t="inlineStr">
        <is>
          <t>2360-2026, (29.04.2026) [IJZ]</t>
        </is>
      </c>
      <c r="AS338" s="143" t="n"/>
      <c r="AT338" s="142" t="n"/>
      <c r="AV338" s="145" t="n"/>
    </row>
    <row r="339" ht="17.625" customHeight="1" s="70">
      <c r="A339" s="146" t="n"/>
      <c r="B339" s="147" t="n"/>
      <c r="D339" s="148" t="inlineStr">
        <is>
          <t>2 of 2</t>
        </is>
      </c>
      <c r="E339" s="149" t="inlineStr">
        <is>
          <t>release testing + re-analysis 220</t>
        </is>
      </c>
      <c r="F339" s="150" t="inlineStr">
        <is>
          <t>iCoA-PP_26-074
CoQ-PP_26-064 · initial release
iCoA-PP_26-152
CoQ-PP_26-133 · retest</t>
        </is>
      </c>
      <c r="G339" s="151" t="n"/>
      <c r="H339" s="147" t="n"/>
      <c r="I339" s="152" t="n"/>
      <c r="J339" s="153" t="inlineStr">
        <is>
          <t>Conforms</t>
        </is>
      </c>
      <c r="K339" s="154">
        <f>IFERROR(INDEX('iCoA Register'!$B:$B,MATCH("P060282|I",'iCoA Register'!$AA:$AA,0)),"iCoA — at issue")&amp;", (18.05.2026) [PP]"</f>
        <v/>
      </c>
      <c r="L339" s="155" t="inlineStr">
        <is>
          <t>✓</t>
        </is>
      </c>
      <c r="M339" s="153" t="inlineStr">
        <is>
          <t>Conforms (ImB spec.)</t>
        </is>
      </c>
      <c r="N339" s="154" t="inlineStr">
        <is>
          <t>220-26-К-26, (26.08.2026) [FHM-K]</t>
        </is>
      </c>
      <c r="O339" s="155" t="inlineStr">
        <is>
          <t>✓</t>
        </is>
      </c>
      <c r="P339" s="156" t="inlineStr">
        <is>
          <t>19.73</t>
        </is>
      </c>
      <c r="Q339" s="154" t="inlineStr">
        <is>
          <t>220-26-К-26, (26.08.2026) [FHM-K]</t>
        </is>
      </c>
      <c r="R339" s="155" t="inlineStr">
        <is>
          <t>✓</t>
        </is>
      </c>
      <c r="S339" s="157" t="inlineStr">
        <is>
          <t>&lt; LOQ</t>
        </is>
      </c>
      <c r="T339" s="154" t="inlineStr">
        <is>
          <t>220-26-К-26, (26.08.2026) [FHM-K]</t>
        </is>
      </c>
      <c r="U339" s="155" t="inlineStr">
        <is>
          <t>✓</t>
        </is>
      </c>
      <c r="V339" s="157" t="inlineStr">
        <is>
          <t>&lt; LOQ</t>
        </is>
      </c>
      <c r="W339" s="154" t="inlineStr">
        <is>
          <t>220-26-К-26, (26.08.2026) [FHM-K]</t>
        </is>
      </c>
      <c r="X339" s="155" t="inlineStr">
        <is>
          <t>✓</t>
        </is>
      </c>
      <c r="Y339" s="151" t="n"/>
      <c r="Z339" s="147" t="n"/>
      <c r="AA339" s="152" t="n"/>
      <c r="AB339" s="151" t="n"/>
      <c r="AC339" s="147" t="n"/>
      <c r="AD339" s="152" t="n"/>
      <c r="AE339" s="151" t="n"/>
      <c r="AF339" s="147" t="n"/>
      <c r="AG339" s="147" t="n"/>
      <c r="AH339" s="147" t="n"/>
      <c r="AI339" s="147" t="n"/>
      <c r="AJ339" s="152" t="n"/>
      <c r="AK339" s="161" t="inlineStr">
        <is>
          <t>ND</t>
        </is>
      </c>
      <c r="AL339" s="162" t="inlineStr">
        <is>
          <t>ND</t>
        </is>
      </c>
      <c r="AM339" s="162" t="inlineStr">
        <is>
          <t>ND</t>
        </is>
      </c>
      <c r="AN339" s="155" t="inlineStr">
        <is>
          <t>✓</t>
        </is>
      </c>
      <c r="AO339" s="151" t="n"/>
      <c r="AP339" s="147" t="n"/>
      <c r="AQ339" s="147" t="n"/>
      <c r="AR339" s="147" t="n"/>
      <c r="AS339" s="152" t="n"/>
      <c r="AT339" s="151" t="n"/>
      <c r="AU339" s="147" t="n"/>
      <c r="AV339" s="163" t="n"/>
    </row>
    <row r="340" ht="39" customHeight="1" s="70">
      <c r="A340" s="164" t="n"/>
      <c r="B340" s="165" t="n"/>
      <c r="C340" s="165" t="n"/>
      <c r="D340" s="165" t="n"/>
      <c r="E340" s="165" t="n"/>
      <c r="F340" s="165" t="n"/>
      <c r="G340" s="166" t="n"/>
      <c r="H340" s="165" t="n"/>
      <c r="I340" s="167" t="n"/>
      <c r="J340" s="166" t="n"/>
      <c r="K340" s="165" t="n"/>
      <c r="L340" s="167" t="n"/>
      <c r="M340" s="166" t="n"/>
      <c r="N340" s="165" t="n"/>
      <c r="O340" s="167" t="n"/>
      <c r="P340" s="166" t="n"/>
      <c r="Q340" s="165" t="n"/>
      <c r="R340" s="167" t="n"/>
      <c r="S340" s="166" t="n"/>
      <c r="T340" s="165" t="n"/>
      <c r="U340" s="167" t="n"/>
      <c r="V340" s="166" t="n"/>
      <c r="W340" s="165" t="n"/>
      <c r="X340" s="167" t="n"/>
      <c r="Y340" s="166" t="n"/>
      <c r="Z340" s="165" t="n"/>
      <c r="AA340" s="167" t="n"/>
      <c r="AB340" s="166" t="n"/>
      <c r="AC340" s="165" t="n"/>
      <c r="AD340" s="167" t="n"/>
      <c r="AE340" s="166" t="n"/>
      <c r="AF340" s="165" t="n"/>
      <c r="AG340" s="165" t="n"/>
      <c r="AH340" s="165" t="n"/>
      <c r="AI340" s="165" t="n"/>
      <c r="AJ340" s="167" t="n"/>
      <c r="AK340" s="168" t="inlineStr">
        <is>
          <t>220-26-М-26, (11.09.2026) [FHM-M]</t>
        </is>
      </c>
      <c r="AL340" s="165" t="n"/>
      <c r="AM340" s="165" t="n"/>
      <c r="AN340" s="167" t="n"/>
      <c r="AO340" s="166" t="n"/>
      <c r="AP340" s="165" t="n"/>
      <c r="AQ340" s="165" t="n"/>
      <c r="AR340" s="165" t="n"/>
      <c r="AS340" s="167" t="n"/>
      <c r="AT340" s="166" t="n"/>
      <c r="AU340" s="165" t="n"/>
      <c r="AV340" s="169" t="n"/>
    </row>
    <row r="341" ht="21" customHeight="1" s="70">
      <c r="A341" s="125" t="inlineStr">
        <is>
          <t>SJ102501</t>
        </is>
      </c>
      <c r="B341" s="126" t="inlineStr">
        <is>
          <t>P060162</t>
        </is>
      </c>
      <c r="C341" s="170" t="inlineStr">
        <is>
          <t>⚠ 3 NO RESULT
(3 no cert / 0 cert w/o result)
3 testing instances
• 2 document(s) on file, not credited</t>
        </is>
      </c>
      <c r="D341" s="128" t="inlineStr">
        <is>
          <t>1 of 3</t>
        </is>
      </c>
      <c r="E341" s="129" t="inlineStr">
        <is>
          <t>release testing + re-test campaign (IJZ-MB)</t>
        </is>
      </c>
      <c r="F341" s="130" t="inlineStr">
        <is>
          <t>iCoA-PP_26-055
CoQ-PP_26-052 · initial release
iCoA-PP_26-161
CoQ-PP_26-162 · retest</t>
        </is>
      </c>
      <c r="G341" s="131" t="inlineStr">
        <is>
          <t>Conforms</t>
        </is>
      </c>
      <c r="H341" s="132">
        <f>IFERROR(INDEX('iCoA Register'!$B:$B,MATCH("P060162|I",'iCoA Register'!$AA:$AA,0)),"iCoA — at issue")&amp;", (09.03.2026) [PP]"</f>
        <v/>
      </c>
      <c r="I341" s="133" t="inlineStr">
        <is>
          <t>✓</t>
        </is>
      </c>
      <c r="J341" s="131" t="inlineStr">
        <is>
          <t>Conforms</t>
        </is>
      </c>
      <c r="K341" s="132">
        <f>IFERROR(INDEX('iCoA Register'!$B:$B,MATCH("P060162|I",'iCoA Register'!$AA:$AA,0)),"iCoA — at issue")&amp;", (09.03.2026) [PP]"</f>
        <v/>
      </c>
      <c r="L341" s="133" t="inlineStr">
        <is>
          <t>✓</t>
        </is>
      </c>
      <c r="M341" s="134" t="inlineStr">
        <is>
          <t>not on this certificate</t>
        </is>
      </c>
      <c r="N341" s="135" t="inlineStr">
        <is>
          <t>051-3-ГС-26, (02.03.2026) [FHM-K] · on file, not credited</t>
        </is>
      </c>
      <c r="O341" s="136" t="inlineStr">
        <is>
          <t>•</t>
        </is>
      </c>
      <c r="P341" s="191" t="inlineStr">
        <is>
          <t>not on this certificate</t>
        </is>
      </c>
      <c r="Q341" s="135" t="inlineStr">
        <is>
          <t>051-3-ГС-26, (02.03.2026) [FHM-K] · on file, not credited</t>
        </is>
      </c>
      <c r="R341" s="136" t="inlineStr">
        <is>
          <t>•</t>
        </is>
      </c>
      <c r="S341" s="192" t="inlineStr">
        <is>
          <t>not on this certificate</t>
        </is>
      </c>
      <c r="T341" s="135" t="inlineStr">
        <is>
          <t>051-3-ГС-26, (02.03.2026) [FHM-K] · on file, not credited</t>
        </is>
      </c>
      <c r="U341" s="136" t="inlineStr">
        <is>
          <t>•</t>
        </is>
      </c>
      <c r="V341" s="192" t="inlineStr">
        <is>
          <t>not on this certificate</t>
        </is>
      </c>
      <c r="W341" s="135" t="inlineStr">
        <is>
          <t>051-3-ГС-26, (02.03.2026) [FHM-K] · on file, not credited</t>
        </is>
      </c>
      <c r="X341" s="136" t="inlineStr">
        <is>
          <t>•</t>
        </is>
      </c>
      <c r="Y341" s="131" t="inlineStr">
        <is>
          <t>Conforms</t>
        </is>
      </c>
      <c r="Z341" s="132">
        <f>IFERROR(INDEX('iCoA Register'!$B:$B,MATCH("P060162|I",'iCoA Register'!$AA:$AA,0)),"iCoA — at issue")&amp;", (09.03.2026) [PP]"</f>
        <v/>
      </c>
      <c r="AA341" s="133" t="inlineStr">
        <is>
          <t>✓</t>
        </is>
      </c>
      <c r="AB341" s="131" t="inlineStr">
        <is>
          <t>7.8</t>
        </is>
      </c>
      <c r="AC341" s="132" t="inlineStr">
        <is>
          <t>051-3-ГС-26, (02.03.2026) [FHM-K]</t>
        </is>
      </c>
      <c r="AD341" s="133" t="inlineStr">
        <is>
          <t>✓</t>
        </is>
      </c>
      <c r="AE341" s="131" t="inlineStr">
        <is>
          <t>5.2 × 10²</t>
        </is>
      </c>
      <c r="AF341" s="139" t="inlineStr">
        <is>
          <t>4.3 × 10²</t>
        </is>
      </c>
      <c r="AG341" s="139" t="inlineStr">
        <is>
          <t>&lt; 10</t>
        </is>
      </c>
      <c r="AH341" s="139" t="inlineStr">
        <is>
          <t>Absent</t>
        </is>
      </c>
      <c r="AI341" s="139" t="inlineStr">
        <is>
          <t>Absent</t>
        </is>
      </c>
      <c r="AJ341" s="133" t="inlineStr">
        <is>
          <t>✓</t>
        </is>
      </c>
      <c r="AK341" s="171" t="inlineStr">
        <is>
          <t>— MISSING —</t>
        </is>
      </c>
      <c r="AL341" s="172" t="inlineStr">
        <is>
          <t>— MISSING —</t>
        </is>
      </c>
      <c r="AM341" s="172" t="inlineStr">
        <is>
          <t>— MISSING —</t>
        </is>
      </c>
      <c r="AN341" s="173" t="inlineStr">
        <is>
          <t>✗</t>
        </is>
      </c>
      <c r="AO341" s="171" t="inlineStr">
        <is>
          <t>— MISSING —</t>
        </is>
      </c>
      <c r="AP341" s="172" t="inlineStr">
        <is>
          <t>— MISSING —</t>
        </is>
      </c>
      <c r="AQ341" s="172" t="inlineStr">
        <is>
          <t>— MISSING —</t>
        </is>
      </c>
      <c r="AR341" s="172" t="inlineStr">
        <is>
          <t>— MISSING —</t>
        </is>
      </c>
      <c r="AS341" s="173" t="inlineStr">
        <is>
          <t>✗</t>
        </is>
      </c>
      <c r="AT341" s="171" t="inlineStr">
        <is>
          <t>— MISSING —</t>
        </is>
      </c>
      <c r="AU341" s="174" t="inlineStr">
        <is>
          <t>— no certificate —</t>
        </is>
      </c>
      <c r="AV341" s="175" t="inlineStr">
        <is>
          <t>✗</t>
        </is>
      </c>
    </row>
    <row r="342" ht="39" customHeight="1" s="70">
      <c r="A342" s="141" t="n"/>
      <c r="G342" s="142" t="n"/>
      <c r="I342" s="143" t="n"/>
      <c r="J342" s="142" t="n"/>
      <c r="L342" s="143" t="n"/>
      <c r="M342" s="142" t="n"/>
      <c r="O342" s="143" t="n"/>
      <c r="P342" s="142" t="n"/>
      <c r="R342" s="143" t="n"/>
      <c r="S342" s="142" t="n"/>
      <c r="U342" s="143" t="n"/>
      <c r="V342" s="142" t="n"/>
      <c r="X342" s="143" t="n"/>
      <c r="Y342" s="142" t="n"/>
      <c r="AA342" s="143" t="n"/>
      <c r="AB342" s="142" t="n"/>
      <c r="AD342" s="143" t="n"/>
      <c r="AE342" s="144" t="inlineStr">
        <is>
          <t>549-1080-26, (31.08.2026) [IJZ-MB]</t>
        </is>
      </c>
      <c r="AJ342" s="143" t="n"/>
      <c r="AK342" s="176" t="inlineStr">
        <is>
          <t>— no certificate —</t>
        </is>
      </c>
      <c r="AN342" s="143" t="n"/>
      <c r="AO342" s="176" t="inlineStr">
        <is>
          <t>— no certificate —</t>
        </is>
      </c>
      <c r="AS342" s="143" t="n"/>
      <c r="AT342" s="142" t="n"/>
      <c r="AV342" s="145" t="n"/>
    </row>
    <row r="343" ht="17.625" customHeight="1" s="70">
      <c r="A343" s="146" t="n"/>
      <c r="B343" s="147" t="n"/>
      <c r="D343" s="193" t="inlineStr">
        <is>
          <t>2 of 3</t>
        </is>
      </c>
      <c r="E343" s="194" t="inlineStr">
        <is>
          <t>release testing</t>
        </is>
      </c>
      <c r="F343" s="195" t="inlineStr">
        <is>
          <t>iCoA-PP_26-055
CoQ-PP_26-052 · initial release</t>
        </is>
      </c>
      <c r="G343" s="151" t="n"/>
      <c r="H343" s="147" t="n"/>
      <c r="I343" s="152" t="n"/>
      <c r="J343" s="151" t="n"/>
      <c r="K343" s="147" t="n"/>
      <c r="L343" s="152" t="n"/>
      <c r="M343" s="161" t="inlineStr">
        <is>
          <t>Conforms (ImB spec.) ᴿ</t>
        </is>
      </c>
      <c r="N343" s="196" t="inlineStr">
        <is>
          <t>051-3-К-26, (04.03.2026) [FHM-K]</t>
        </is>
      </c>
      <c r="O343" s="197" t="inlineStr">
        <is>
          <t>✓</t>
        </is>
      </c>
      <c r="P343" s="198" t="inlineStr">
        <is>
          <t>11.20</t>
        </is>
      </c>
      <c r="Q343" s="196" t="inlineStr">
        <is>
          <t>051-3-К-26, (04.03.2026) [FHM-K]</t>
        </is>
      </c>
      <c r="R343" s="197" t="inlineStr">
        <is>
          <t>✓</t>
        </is>
      </c>
      <c r="S343" s="199" t="inlineStr">
        <is>
          <t>&lt; LOQ**</t>
        </is>
      </c>
      <c r="T343" s="196" t="inlineStr">
        <is>
          <t>051-3-К-26, (04.03.2026) [FHM-K]</t>
        </is>
      </c>
      <c r="U343" s="197" t="inlineStr">
        <is>
          <t>✓</t>
        </is>
      </c>
      <c r="V343" s="199" t="inlineStr">
        <is>
          <t>&lt; LOQ**</t>
        </is>
      </c>
      <c r="W343" s="196" t="inlineStr">
        <is>
          <t>051-3-К-26, (04.03.2026) [FHM-K]</t>
        </is>
      </c>
      <c r="X343" s="197" t="inlineStr">
        <is>
          <t>✓</t>
        </is>
      </c>
      <c r="Y343" s="151" t="n"/>
      <c r="Z343" s="147" t="n"/>
      <c r="AA343" s="152" t="n"/>
      <c r="AB343" s="200" t="inlineStr">
        <is>
          <t>not on this certificate</t>
        </is>
      </c>
      <c r="AC343" s="201" t="inlineStr">
        <is>
          <t>051-3-К-26, (04.03.2026) [FHM-K] · on file, not credited</t>
        </is>
      </c>
      <c r="AD343" s="202" t="inlineStr">
        <is>
          <t>•</t>
        </is>
      </c>
      <c r="AE343" s="151" t="n"/>
      <c r="AF343" s="147" t="n"/>
      <c r="AG343" s="147" t="n"/>
      <c r="AH343" s="147" t="n"/>
      <c r="AI343" s="147" t="n"/>
      <c r="AJ343" s="152" t="n"/>
      <c r="AK343" s="151" t="n"/>
      <c r="AL343" s="147" t="n"/>
      <c r="AM343" s="147" t="n"/>
      <c r="AN343" s="152" t="n"/>
      <c r="AO343" s="151" t="n"/>
      <c r="AP343" s="147" t="n"/>
      <c r="AQ343" s="147" t="n"/>
      <c r="AR343" s="147" t="n"/>
      <c r="AS343" s="152" t="n"/>
      <c r="AT343" s="151" t="n"/>
      <c r="AU343" s="147" t="n"/>
      <c r="AV343" s="163" t="n"/>
    </row>
    <row r="344" ht="21" customHeight="1" s="70">
      <c r="A344" s="203" t="n"/>
      <c r="B344" s="204" t="n"/>
      <c r="D344" s="204" t="n"/>
      <c r="E344" s="204" t="n"/>
      <c r="F344" s="204" t="n"/>
      <c r="G344" s="205" t="n"/>
      <c r="H344" s="204" t="n"/>
      <c r="I344" s="206" t="n"/>
      <c r="J344" s="205" t="n"/>
      <c r="K344" s="204" t="n"/>
      <c r="L344" s="206" t="n"/>
      <c r="M344" s="205" t="n"/>
      <c r="N344" s="204" t="n"/>
      <c r="O344" s="206" t="n"/>
      <c r="P344" s="205" t="n"/>
      <c r="Q344" s="204" t="n"/>
      <c r="R344" s="206" t="n"/>
      <c r="S344" s="205" t="n"/>
      <c r="T344" s="204" t="n"/>
      <c r="U344" s="206" t="n"/>
      <c r="V344" s="205" t="n"/>
      <c r="W344" s="204" t="n"/>
      <c r="X344" s="206" t="n"/>
      <c r="Y344" s="205" t="n"/>
      <c r="Z344" s="204" t="n"/>
      <c r="AA344" s="206" t="n"/>
      <c r="AB344" s="205" t="n"/>
      <c r="AC344" s="204" t="n"/>
      <c r="AD344" s="206" t="n"/>
      <c r="AE344" s="205" t="n"/>
      <c r="AF344" s="204" t="n"/>
      <c r="AG344" s="204" t="n"/>
      <c r="AH344" s="204" t="n"/>
      <c r="AI344" s="204" t="n"/>
      <c r="AJ344" s="206" t="n"/>
      <c r="AK344" s="205" t="n"/>
      <c r="AL344" s="204" t="n"/>
      <c r="AM344" s="204" t="n"/>
      <c r="AN344" s="206" t="n"/>
      <c r="AO344" s="205" t="n"/>
      <c r="AP344" s="204" t="n"/>
      <c r="AQ344" s="204" t="n"/>
      <c r="AR344" s="204" t="n"/>
      <c r="AS344" s="206" t="n"/>
      <c r="AT344" s="205" t="n"/>
      <c r="AU344" s="204" t="n"/>
      <c r="AV344" s="207" t="n"/>
    </row>
    <row r="345" ht="17.625" customHeight="1" s="70">
      <c r="A345" s="146" t="n"/>
      <c r="B345" s="147" t="n"/>
      <c r="D345" s="148" t="inlineStr">
        <is>
          <t>3 of 3</t>
        </is>
      </c>
      <c r="E345" s="149" t="inlineStr">
        <is>
          <t>re-analysis 227</t>
        </is>
      </c>
      <c r="F345" s="150" t="inlineStr">
        <is>
          <t>iCoA-PP_26-161
CoQ-PP_26-162 · retest</t>
        </is>
      </c>
      <c r="G345" s="151" t="n"/>
      <c r="H345" s="147" t="n"/>
      <c r="I345" s="152" t="n"/>
      <c r="J345" s="151" t="n"/>
      <c r="K345" s="147" t="n"/>
      <c r="L345" s="152" t="n"/>
      <c r="M345" s="153" t="inlineStr">
        <is>
          <t>Conforms (ImB spec.)</t>
        </is>
      </c>
      <c r="N345" s="154" t="inlineStr">
        <is>
          <t>227-6-К-26, (11.09.2026) [FHM-K]</t>
        </is>
      </c>
      <c r="O345" s="155" t="inlineStr">
        <is>
          <t>✓</t>
        </is>
      </c>
      <c r="P345" s="156" t="inlineStr">
        <is>
          <t>10.61</t>
        </is>
      </c>
      <c r="Q345" s="154" t="inlineStr">
        <is>
          <t>227-6-К-26, (11.09.2026) [FHM-K]</t>
        </is>
      </c>
      <c r="R345" s="155" t="inlineStr">
        <is>
          <t>✓</t>
        </is>
      </c>
      <c r="S345" s="157" t="inlineStr">
        <is>
          <t>&lt; LOQ</t>
        </is>
      </c>
      <c r="T345" s="154" t="inlineStr">
        <is>
          <t>227-6-К-26, (11.09.2026) [FHM-K]</t>
        </is>
      </c>
      <c r="U345" s="155" t="inlineStr">
        <is>
          <t>✓</t>
        </is>
      </c>
      <c r="V345" s="157" t="inlineStr">
        <is>
          <t>&lt; LOQ</t>
        </is>
      </c>
      <c r="W345" s="154" t="inlineStr">
        <is>
          <t>227-6-К-26, (11.09.2026) [FHM-K]</t>
        </is>
      </c>
      <c r="X345" s="155" t="inlineStr">
        <is>
          <t>✓</t>
        </is>
      </c>
      <c r="Y345" s="151" t="n"/>
      <c r="Z345" s="147" t="n"/>
      <c r="AA345" s="152" t="n"/>
      <c r="AB345" s="151" t="n"/>
      <c r="AC345" s="147" t="n"/>
      <c r="AD345" s="152" t="n"/>
      <c r="AE345" s="151" t="n"/>
      <c r="AF345" s="147" t="n"/>
      <c r="AG345" s="147" t="n"/>
      <c r="AH345" s="147" t="n"/>
      <c r="AI345" s="147" t="n"/>
      <c r="AJ345" s="152" t="n"/>
      <c r="AK345" s="151" t="n"/>
      <c r="AL345" s="147" t="n"/>
      <c r="AM345" s="147" t="n"/>
      <c r="AN345" s="152" t="n"/>
      <c r="AO345" s="151" t="n"/>
      <c r="AP345" s="147" t="n"/>
      <c r="AQ345" s="147" t="n"/>
      <c r="AR345" s="147" t="n"/>
      <c r="AS345" s="152" t="n"/>
      <c r="AT345" s="151" t="n"/>
      <c r="AU345" s="147" t="n"/>
      <c r="AV345" s="163" t="n"/>
    </row>
    <row r="346" ht="13" customHeight="1" s="70">
      <c r="A346" s="164" t="n"/>
      <c r="B346" s="165" t="n"/>
      <c r="C346" s="165" t="n"/>
      <c r="D346" s="165" t="n"/>
      <c r="E346" s="165" t="n"/>
      <c r="F346" s="165" t="n"/>
      <c r="G346" s="166" t="n"/>
      <c r="H346" s="165" t="n"/>
      <c r="I346" s="167" t="n"/>
      <c r="J346" s="166" t="n"/>
      <c r="K346" s="165" t="n"/>
      <c r="L346" s="167" t="n"/>
      <c r="M346" s="166" t="n"/>
      <c r="N346" s="165" t="n"/>
      <c r="O346" s="167" t="n"/>
      <c r="P346" s="166" t="n"/>
      <c r="Q346" s="165" t="n"/>
      <c r="R346" s="167" t="n"/>
      <c r="S346" s="166" t="n"/>
      <c r="T346" s="165" t="n"/>
      <c r="U346" s="167" t="n"/>
      <c r="V346" s="166" t="n"/>
      <c r="W346" s="165" t="n"/>
      <c r="X346" s="167" t="n"/>
      <c r="Y346" s="166" t="n"/>
      <c r="Z346" s="165" t="n"/>
      <c r="AA346" s="167" t="n"/>
      <c r="AB346" s="166" t="n"/>
      <c r="AC346" s="165" t="n"/>
      <c r="AD346" s="167" t="n"/>
      <c r="AE346" s="166" t="n"/>
      <c r="AF346" s="165" t="n"/>
      <c r="AG346" s="165" t="n"/>
      <c r="AH346" s="165" t="n"/>
      <c r="AI346" s="165" t="n"/>
      <c r="AJ346" s="167" t="n"/>
      <c r="AK346" s="166" t="n"/>
      <c r="AL346" s="165" t="n"/>
      <c r="AM346" s="165" t="n"/>
      <c r="AN346" s="167" t="n"/>
      <c r="AO346" s="166" t="n"/>
      <c r="AP346" s="165" t="n"/>
      <c r="AQ346" s="165" t="n"/>
      <c r="AR346" s="165" t="n"/>
      <c r="AS346" s="167" t="n"/>
      <c r="AT346" s="166" t="n"/>
      <c r="AU346" s="165" t="n"/>
      <c r="AV346" s="169" t="n"/>
    </row>
    <row r="347" ht="21" customHeight="1" s="70">
      <c r="A347" s="125" t="inlineStr">
        <is>
          <t>SJ112501</t>
        </is>
      </c>
      <c r="B347" s="126" t="inlineStr">
        <is>
          <t>P060192</t>
        </is>
      </c>
      <c r="C347" s="177" t="inlineStr">
        <is>
          <t>✗ 4 NO RESULT
(4 no cert / 0 cert w/o result)
3 testing instances
• 2 document(s) on file, not credited</t>
        </is>
      </c>
      <c r="D347" s="128" t="inlineStr">
        <is>
          <t>1 of 3</t>
        </is>
      </c>
      <c r="E347" s="129" t="inlineStr">
        <is>
          <t>release testing</t>
        </is>
      </c>
      <c r="F347" s="130" t="inlineStr">
        <is>
          <t>iCoA-PP_26-058
CoQ-PP_26-055 · initial release</t>
        </is>
      </c>
      <c r="G347" s="131" t="inlineStr">
        <is>
          <t>Conforms</t>
        </is>
      </c>
      <c r="H347" s="132">
        <f>IFERROR(INDEX('iCoA Register'!$B:$B,MATCH("P060192|I",'iCoA Register'!$AA:$AA,0)),"iCoA — at issue")&amp;", (31.03.2026) [PP]"</f>
        <v/>
      </c>
      <c r="I347" s="133" t="inlineStr">
        <is>
          <t>✓</t>
        </is>
      </c>
      <c r="J347" s="131" t="inlineStr">
        <is>
          <t>Conforms</t>
        </is>
      </c>
      <c r="K347" s="132">
        <f>IFERROR(INDEX('iCoA Register'!$B:$B,MATCH("P060192|I",'iCoA Register'!$AA:$AA,0)),"iCoA — at issue")&amp;", (31.03.2026) [PP]"</f>
        <v/>
      </c>
      <c r="L347" s="133" t="inlineStr">
        <is>
          <t>✓</t>
        </is>
      </c>
      <c r="M347" s="134" t="inlineStr">
        <is>
          <t>not on this certificate</t>
        </is>
      </c>
      <c r="N347" s="135" t="inlineStr">
        <is>
          <t>051-2-ГС-26, (02.03.2026) [FHM-K] · on file, not credited</t>
        </is>
      </c>
      <c r="O347" s="136" t="inlineStr">
        <is>
          <t>•</t>
        </is>
      </c>
      <c r="P347" s="191" t="inlineStr">
        <is>
          <t>not on this certificate</t>
        </is>
      </c>
      <c r="Q347" s="135" t="inlineStr">
        <is>
          <t>051-2-ГС-26, (02.03.2026) [FHM-K] · on file, not credited</t>
        </is>
      </c>
      <c r="R347" s="136" t="inlineStr">
        <is>
          <t>•</t>
        </is>
      </c>
      <c r="S347" s="192" t="inlineStr">
        <is>
          <t>not on this certificate</t>
        </is>
      </c>
      <c r="T347" s="135" t="inlineStr">
        <is>
          <t>051-2-ГС-26, (02.03.2026) [FHM-K] · on file, not credited</t>
        </is>
      </c>
      <c r="U347" s="136" t="inlineStr">
        <is>
          <t>•</t>
        </is>
      </c>
      <c r="V347" s="192" t="inlineStr">
        <is>
          <t>not on this certificate</t>
        </is>
      </c>
      <c r="W347" s="135" t="inlineStr">
        <is>
          <t>051-2-ГС-26, (02.03.2026) [FHM-K] · on file, not credited</t>
        </is>
      </c>
      <c r="X347" s="136" t="inlineStr">
        <is>
          <t>•</t>
        </is>
      </c>
      <c r="Y347" s="131" t="inlineStr">
        <is>
          <t>Conforms</t>
        </is>
      </c>
      <c r="Z347" s="132">
        <f>IFERROR(INDEX('iCoA Register'!$B:$B,MATCH("P060192|I",'iCoA Register'!$AA:$AA,0)),"iCoA — at issue")&amp;", (31.03.2026) [PP]"</f>
        <v/>
      </c>
      <c r="AA347" s="133" t="inlineStr">
        <is>
          <t>✓</t>
        </is>
      </c>
      <c r="AB347" s="131" t="inlineStr">
        <is>
          <t>6.7</t>
        </is>
      </c>
      <c r="AC347" s="132" t="inlineStr">
        <is>
          <t>051-2-ГС-26, (02.03.2026) [FHM-K]</t>
        </is>
      </c>
      <c r="AD347" s="133" t="inlineStr">
        <is>
          <t>✓</t>
        </is>
      </c>
      <c r="AE347" s="171" t="inlineStr">
        <is>
          <t>— MISSING —</t>
        </is>
      </c>
      <c r="AF347" s="172" t="inlineStr">
        <is>
          <t>— MISSING —</t>
        </is>
      </c>
      <c r="AG347" s="172" t="inlineStr">
        <is>
          <t>— MISSING —</t>
        </is>
      </c>
      <c r="AH347" s="172" t="inlineStr">
        <is>
          <t>— MISSING —</t>
        </is>
      </c>
      <c r="AI347" s="172" t="inlineStr">
        <is>
          <t>— MISSING —</t>
        </is>
      </c>
      <c r="AJ347" s="173" t="inlineStr">
        <is>
          <t>✗</t>
        </is>
      </c>
      <c r="AK347" s="171" t="inlineStr">
        <is>
          <t>— MISSING —</t>
        </is>
      </c>
      <c r="AL347" s="172" t="inlineStr">
        <is>
          <t>— MISSING —</t>
        </is>
      </c>
      <c r="AM347" s="172" t="inlineStr">
        <is>
          <t>— MISSING —</t>
        </is>
      </c>
      <c r="AN347" s="173" t="inlineStr">
        <is>
          <t>✗</t>
        </is>
      </c>
      <c r="AO347" s="171" t="inlineStr">
        <is>
          <t>— MISSING —</t>
        </is>
      </c>
      <c r="AP347" s="172" t="inlineStr">
        <is>
          <t>— MISSING —</t>
        </is>
      </c>
      <c r="AQ347" s="172" t="inlineStr">
        <is>
          <t>— MISSING —</t>
        </is>
      </c>
      <c r="AR347" s="172" t="inlineStr">
        <is>
          <t>— MISSING —</t>
        </is>
      </c>
      <c r="AS347" s="173" t="inlineStr">
        <is>
          <t>✗</t>
        </is>
      </c>
      <c r="AT347" s="171" t="inlineStr">
        <is>
          <t>— MISSING —</t>
        </is>
      </c>
      <c r="AU347" s="174" t="inlineStr">
        <is>
          <t>— no certificate —</t>
        </is>
      </c>
      <c r="AV347" s="175" t="inlineStr">
        <is>
          <t>✗</t>
        </is>
      </c>
    </row>
    <row r="348" ht="21" customHeight="1" s="70">
      <c r="A348" s="141" t="n"/>
      <c r="G348" s="142" t="n"/>
      <c r="I348" s="143" t="n"/>
      <c r="J348" s="142" t="n"/>
      <c r="L348" s="143" t="n"/>
      <c r="M348" s="142" t="n"/>
      <c r="O348" s="143" t="n"/>
      <c r="P348" s="142" t="n"/>
      <c r="R348" s="143" t="n"/>
      <c r="S348" s="142" t="n"/>
      <c r="U348" s="143" t="n"/>
      <c r="V348" s="142" t="n"/>
      <c r="X348" s="143" t="n"/>
      <c r="Y348" s="142" t="n"/>
      <c r="AA348" s="143" t="n"/>
      <c r="AB348" s="142" t="n"/>
      <c r="AD348" s="143" t="n"/>
      <c r="AE348" s="176" t="inlineStr">
        <is>
          <t>— no certificate —</t>
        </is>
      </c>
      <c r="AJ348" s="143" t="n"/>
      <c r="AK348" s="176" t="inlineStr">
        <is>
          <t>— no certificate —</t>
        </is>
      </c>
      <c r="AN348" s="143" t="n"/>
      <c r="AO348" s="176" t="inlineStr">
        <is>
          <t>— no certificate —</t>
        </is>
      </c>
      <c r="AS348" s="143" t="n"/>
      <c r="AT348" s="142" t="n"/>
      <c r="AV348" s="145" t="n"/>
    </row>
    <row r="349" ht="17.625" customHeight="1" s="70">
      <c r="A349" s="146" t="n"/>
      <c r="B349" s="147" t="n"/>
      <c r="D349" s="193" t="inlineStr">
        <is>
          <t>2 of 3</t>
        </is>
      </c>
      <c r="E349" s="194" t="inlineStr">
        <is>
          <t>release testing</t>
        </is>
      </c>
      <c r="F349" s="195" t="inlineStr">
        <is>
          <t>iCoA-PP_26-058
CoQ-PP_26-055 · initial release</t>
        </is>
      </c>
      <c r="G349" s="151" t="n"/>
      <c r="H349" s="147" t="n"/>
      <c r="I349" s="152" t="n"/>
      <c r="J349" s="151" t="n"/>
      <c r="K349" s="147" t="n"/>
      <c r="L349" s="152" t="n"/>
      <c r="M349" s="161" t="inlineStr">
        <is>
          <t>Conforms (ImB spec.) ᴿ</t>
        </is>
      </c>
      <c r="N349" s="196" t="inlineStr">
        <is>
          <t>051-2-К-26, (04.03.2026) [FHM-K]</t>
        </is>
      </c>
      <c r="O349" s="197" t="inlineStr">
        <is>
          <t>✓</t>
        </is>
      </c>
      <c r="P349" s="198" t="inlineStr">
        <is>
          <t>9.20</t>
        </is>
      </c>
      <c r="Q349" s="196" t="inlineStr">
        <is>
          <t>051-2-К-26, (04.03.2026) [FHM-K]</t>
        </is>
      </c>
      <c r="R349" s="197" t="inlineStr">
        <is>
          <t>✓</t>
        </is>
      </c>
      <c r="S349" s="199" t="inlineStr">
        <is>
          <t>&lt; LOQ**</t>
        </is>
      </c>
      <c r="T349" s="196" t="inlineStr">
        <is>
          <t>051-2-К-26, (04.03.2026) [FHM-K]</t>
        </is>
      </c>
      <c r="U349" s="197" t="inlineStr">
        <is>
          <t>✓</t>
        </is>
      </c>
      <c r="V349" s="199" t="inlineStr">
        <is>
          <t>&lt; LOQ**</t>
        </is>
      </c>
      <c r="W349" s="196" t="inlineStr">
        <is>
          <t>051-2-К-26, (04.03.2026) [FHM-K]</t>
        </is>
      </c>
      <c r="X349" s="197" t="inlineStr">
        <is>
          <t>✓</t>
        </is>
      </c>
      <c r="Y349" s="151" t="n"/>
      <c r="Z349" s="147" t="n"/>
      <c r="AA349" s="152" t="n"/>
      <c r="AB349" s="200" t="inlineStr">
        <is>
          <t>not on this certificate</t>
        </is>
      </c>
      <c r="AC349" s="201" t="inlineStr">
        <is>
          <t>051-2-К-26, (04.03.2026) [FHM-K] · on file, not credited</t>
        </is>
      </c>
      <c r="AD349" s="202" t="inlineStr">
        <is>
          <t>•</t>
        </is>
      </c>
      <c r="AE349" s="151" t="n"/>
      <c r="AF349" s="147" t="n"/>
      <c r="AG349" s="147" t="n"/>
      <c r="AH349" s="147" t="n"/>
      <c r="AI349" s="147" t="n"/>
      <c r="AJ349" s="152" t="n"/>
      <c r="AK349" s="151" t="n"/>
      <c r="AL349" s="147" t="n"/>
      <c r="AM349" s="147" t="n"/>
      <c r="AN349" s="152" t="n"/>
      <c r="AO349" s="151" t="n"/>
      <c r="AP349" s="147" t="n"/>
      <c r="AQ349" s="147" t="n"/>
      <c r="AR349" s="147" t="n"/>
      <c r="AS349" s="152" t="n"/>
      <c r="AT349" s="151" t="n"/>
      <c r="AU349" s="147" t="n"/>
      <c r="AV349" s="163" t="n"/>
    </row>
    <row r="350" ht="21" customHeight="1" s="70">
      <c r="A350" s="203" t="n"/>
      <c r="B350" s="204" t="n"/>
      <c r="D350" s="204" t="n"/>
      <c r="E350" s="204" t="n"/>
      <c r="F350" s="204" t="n"/>
      <c r="G350" s="205" t="n"/>
      <c r="H350" s="204" t="n"/>
      <c r="I350" s="206" t="n"/>
      <c r="J350" s="205" t="n"/>
      <c r="K350" s="204" t="n"/>
      <c r="L350" s="206" t="n"/>
      <c r="M350" s="205" t="n"/>
      <c r="N350" s="204" t="n"/>
      <c r="O350" s="206" t="n"/>
      <c r="P350" s="205" t="n"/>
      <c r="Q350" s="204" t="n"/>
      <c r="R350" s="206" t="n"/>
      <c r="S350" s="205" t="n"/>
      <c r="T350" s="204" t="n"/>
      <c r="U350" s="206" t="n"/>
      <c r="V350" s="205" t="n"/>
      <c r="W350" s="204" t="n"/>
      <c r="X350" s="206" t="n"/>
      <c r="Y350" s="205" t="n"/>
      <c r="Z350" s="204" t="n"/>
      <c r="AA350" s="206" t="n"/>
      <c r="AB350" s="205" t="n"/>
      <c r="AC350" s="204" t="n"/>
      <c r="AD350" s="206" t="n"/>
      <c r="AE350" s="205" t="n"/>
      <c r="AF350" s="204" t="n"/>
      <c r="AG350" s="204" t="n"/>
      <c r="AH350" s="204" t="n"/>
      <c r="AI350" s="204" t="n"/>
      <c r="AJ350" s="206" t="n"/>
      <c r="AK350" s="205" t="n"/>
      <c r="AL350" s="204" t="n"/>
      <c r="AM350" s="204" t="n"/>
      <c r="AN350" s="206" t="n"/>
      <c r="AO350" s="205" t="n"/>
      <c r="AP350" s="204" t="n"/>
      <c r="AQ350" s="204" t="n"/>
      <c r="AR350" s="204" t="n"/>
      <c r="AS350" s="206" t="n"/>
      <c r="AT350" s="205" t="n"/>
      <c r="AU350" s="204" t="n"/>
      <c r="AV350" s="207" t="n"/>
    </row>
    <row r="351" ht="17.625" customHeight="1" s="70">
      <c r="A351" s="146" t="n"/>
      <c r="B351" s="147" t="n"/>
      <c r="D351" s="148" t="inlineStr">
        <is>
          <t>3 of 3</t>
        </is>
      </c>
      <c r="E351" s="149" t="inlineStr">
        <is>
          <t>re-analysis 227</t>
        </is>
      </c>
      <c r="F351" s="150" t="inlineStr">
        <is>
          <t>iCoA-PP_26-162
CoQ-PP_26-163 · retest</t>
        </is>
      </c>
      <c r="G351" s="151" t="n"/>
      <c r="H351" s="147" t="n"/>
      <c r="I351" s="152" t="n"/>
      <c r="J351" s="151" t="n"/>
      <c r="K351" s="147" t="n"/>
      <c r="L351" s="152" t="n"/>
      <c r="M351" s="153" t="inlineStr">
        <is>
          <t>Conforms (ImB spec.)</t>
        </is>
      </c>
      <c r="N351" s="154" t="inlineStr">
        <is>
          <t>227-5-К-26, (11.09.2026) [FHM-K]</t>
        </is>
      </c>
      <c r="O351" s="155" t="inlineStr">
        <is>
          <t>✓</t>
        </is>
      </c>
      <c r="P351" s="156" t="inlineStr">
        <is>
          <t>11.27</t>
        </is>
      </c>
      <c r="Q351" s="154" t="inlineStr">
        <is>
          <t>227-5-К-26, (11.09.2026) [FHM-K]</t>
        </is>
      </c>
      <c r="R351" s="155" t="inlineStr">
        <is>
          <t>✓</t>
        </is>
      </c>
      <c r="S351" s="157" t="inlineStr">
        <is>
          <t>&lt; LOQ</t>
        </is>
      </c>
      <c r="T351" s="154" t="inlineStr">
        <is>
          <t>227-5-К-26, (11.09.2026) [FHM-K]</t>
        </is>
      </c>
      <c r="U351" s="155" t="inlineStr">
        <is>
          <t>✓</t>
        </is>
      </c>
      <c r="V351" s="157" t="inlineStr">
        <is>
          <t>&lt; LOQ</t>
        </is>
      </c>
      <c r="W351" s="154" t="inlineStr">
        <is>
          <t>227-5-К-26, (11.09.2026) [FHM-K]</t>
        </is>
      </c>
      <c r="X351" s="155" t="inlineStr">
        <is>
          <t>✓</t>
        </is>
      </c>
      <c r="Y351" s="151" t="n"/>
      <c r="Z351" s="147" t="n"/>
      <c r="AA351" s="152" t="n"/>
      <c r="AB351" s="151" t="n"/>
      <c r="AC351" s="147" t="n"/>
      <c r="AD351" s="152" t="n"/>
      <c r="AE351" s="151" t="n"/>
      <c r="AF351" s="147" t="n"/>
      <c r="AG351" s="147" t="n"/>
      <c r="AH351" s="147" t="n"/>
      <c r="AI351" s="147" t="n"/>
      <c r="AJ351" s="152" t="n"/>
      <c r="AK351" s="151" t="n"/>
      <c r="AL351" s="147" t="n"/>
      <c r="AM351" s="147" t="n"/>
      <c r="AN351" s="152" t="n"/>
      <c r="AO351" s="151" t="n"/>
      <c r="AP351" s="147" t="n"/>
      <c r="AQ351" s="147" t="n"/>
      <c r="AR351" s="147" t="n"/>
      <c r="AS351" s="152" t="n"/>
      <c r="AT351" s="151" t="n"/>
      <c r="AU351" s="147" t="n"/>
      <c r="AV351" s="163" t="n"/>
    </row>
    <row r="352" ht="13" customHeight="1" s="70">
      <c r="A352" s="164" t="n"/>
      <c r="B352" s="165" t="n"/>
      <c r="C352" s="165" t="n"/>
      <c r="D352" s="165" t="n"/>
      <c r="E352" s="165" t="n"/>
      <c r="F352" s="165" t="n"/>
      <c r="G352" s="166" t="n"/>
      <c r="H352" s="165" t="n"/>
      <c r="I352" s="167" t="n"/>
      <c r="J352" s="166" t="n"/>
      <c r="K352" s="165" t="n"/>
      <c r="L352" s="167" t="n"/>
      <c r="M352" s="166" t="n"/>
      <c r="N352" s="165" t="n"/>
      <c r="O352" s="167" t="n"/>
      <c r="P352" s="166" t="n"/>
      <c r="Q352" s="165" t="n"/>
      <c r="R352" s="167" t="n"/>
      <c r="S352" s="166" t="n"/>
      <c r="T352" s="165" t="n"/>
      <c r="U352" s="167" t="n"/>
      <c r="V352" s="166" t="n"/>
      <c r="W352" s="165" t="n"/>
      <c r="X352" s="167" t="n"/>
      <c r="Y352" s="166" t="n"/>
      <c r="Z352" s="165" t="n"/>
      <c r="AA352" s="167" t="n"/>
      <c r="AB352" s="166" t="n"/>
      <c r="AC352" s="165" t="n"/>
      <c r="AD352" s="167" t="n"/>
      <c r="AE352" s="166" t="n"/>
      <c r="AF352" s="165" t="n"/>
      <c r="AG352" s="165" t="n"/>
      <c r="AH352" s="165" t="n"/>
      <c r="AI352" s="165" t="n"/>
      <c r="AJ352" s="167" t="n"/>
      <c r="AK352" s="166" t="n"/>
      <c r="AL352" s="165" t="n"/>
      <c r="AM352" s="165" t="n"/>
      <c r="AN352" s="167" t="n"/>
      <c r="AO352" s="166" t="n"/>
      <c r="AP352" s="165" t="n"/>
      <c r="AQ352" s="165" t="n"/>
      <c r="AR352" s="165" t="n"/>
      <c r="AS352" s="167" t="n"/>
      <c r="AT352" s="166" t="n"/>
      <c r="AU352" s="165" t="n"/>
      <c r="AV352" s="169" t="n"/>
    </row>
    <row r="353" ht="21" customHeight="1" s="70">
      <c r="A353" s="125" t="inlineStr">
        <is>
          <t>BSS1024_01/2</t>
        </is>
      </c>
      <c r="B353" s="126" t="inlineStr">
        <is>
          <t>P050142</t>
        </is>
      </c>
      <c r="C353" s="177" t="inlineStr">
        <is>
          <t>✗ 4 NO RESULT
(4 no cert / 0 cert w/o result)</t>
        </is>
      </c>
      <c r="D353" s="126" t="inlineStr">
        <is>
          <t>1 of 1</t>
        </is>
      </c>
      <c r="E353" s="178" t="inlineStr">
        <is>
          <t>release testing + re-analysis 227 + re-test campaign (IJZ-MB)</t>
        </is>
      </c>
      <c r="F353" s="179" t="inlineStr">
        <is>
          <t>iCoA-PP_26-020
CoQ-PP_26-021 · initial release
iCoA-PP_26-155
CoQ-PP_26-138 · retest</t>
        </is>
      </c>
      <c r="G353" s="180" t="inlineStr">
        <is>
          <t>Conforms</t>
        </is>
      </c>
      <c r="H353" s="181">
        <f>IFERROR(INDEX('iCoA Register'!$B:$B,MATCH("P050142|I",'iCoA Register'!$AA:$AA,0)),"iCoA — at issue")&amp;", (30.09.2025) [PP]"</f>
        <v/>
      </c>
      <c r="I353" s="182" t="inlineStr">
        <is>
          <t>✓</t>
        </is>
      </c>
      <c r="J353" s="180" t="inlineStr">
        <is>
          <t>Conforms</t>
        </is>
      </c>
      <c r="K353" s="181">
        <f>IFERROR(INDEX('iCoA Register'!$B:$B,MATCH("P050142|I",'iCoA Register'!$AA:$AA,0)),"iCoA — at issue")&amp;", (30.09.2025) [PP]"</f>
        <v/>
      </c>
      <c r="L353" s="182" t="inlineStr">
        <is>
          <t>✓</t>
        </is>
      </c>
      <c r="M353" s="180" t="inlineStr">
        <is>
          <t>Conforms (ImB spec.)</t>
        </is>
      </c>
      <c r="N353" s="181" t="inlineStr">
        <is>
          <t>227-1-К-26, (11.09.2026) [FHM-K]</t>
        </is>
      </c>
      <c r="O353" s="182" t="inlineStr">
        <is>
          <t>✓</t>
        </is>
      </c>
      <c r="P353" s="183" t="inlineStr">
        <is>
          <t>26.69</t>
        </is>
      </c>
      <c r="Q353" s="181" t="inlineStr">
        <is>
          <t>227-1-К-26, (11.09.2026) [FHM-K]</t>
        </is>
      </c>
      <c r="R353" s="182" t="inlineStr">
        <is>
          <t>✓</t>
        </is>
      </c>
      <c r="S353" s="184" t="inlineStr">
        <is>
          <t>&lt; LOQ</t>
        </is>
      </c>
      <c r="T353" s="181" t="inlineStr">
        <is>
          <t>227-1-К-26, (11.09.2026) [FHM-K]</t>
        </is>
      </c>
      <c r="U353" s="182" t="inlineStr">
        <is>
          <t>✓</t>
        </is>
      </c>
      <c r="V353" s="184" t="inlineStr">
        <is>
          <t>&lt; LOQ</t>
        </is>
      </c>
      <c r="W353" s="181" t="inlineStr">
        <is>
          <t>227-1-К-26, (11.09.2026) [FHM-K]</t>
        </is>
      </c>
      <c r="X353" s="182" t="inlineStr">
        <is>
          <t>✓</t>
        </is>
      </c>
      <c r="Y353" s="180" t="inlineStr">
        <is>
          <t>Conforms</t>
        </is>
      </c>
      <c r="Z353" s="181">
        <f>IFERROR(INDEX('iCoA Register'!$B:$B,MATCH("P050142|I",'iCoA Register'!$AA:$AA,0)),"iCoA — at issue")&amp;", (30.09.2025) [PP]"</f>
        <v/>
      </c>
      <c r="AA353" s="182" t="inlineStr">
        <is>
          <t>✓</t>
        </is>
      </c>
      <c r="AB353" s="187" t="inlineStr">
        <is>
          <t>— MISSING —</t>
        </is>
      </c>
      <c r="AC353" s="188" t="inlineStr">
        <is>
          <t>— no certificate —</t>
        </is>
      </c>
      <c r="AD353" s="186" t="inlineStr">
        <is>
          <t>✗</t>
        </is>
      </c>
      <c r="AE353" s="131" t="inlineStr">
        <is>
          <t>&lt; 10</t>
        </is>
      </c>
      <c r="AF353" s="139" t="inlineStr">
        <is>
          <t>&lt; 10</t>
        </is>
      </c>
      <c r="AG353" s="139" t="inlineStr">
        <is>
          <t>&lt; 10</t>
        </is>
      </c>
      <c r="AH353" s="139" t="inlineStr">
        <is>
          <t>Absent</t>
        </is>
      </c>
      <c r="AI353" s="139" t="inlineStr">
        <is>
          <t>Absent</t>
        </is>
      </c>
      <c r="AJ353" s="182" t="inlineStr">
        <is>
          <t>✓</t>
        </is>
      </c>
      <c r="AK353" s="171" t="inlineStr">
        <is>
          <t>— MISSING —</t>
        </is>
      </c>
      <c r="AL353" s="172" t="inlineStr">
        <is>
          <t>— MISSING —</t>
        </is>
      </c>
      <c r="AM353" s="172" t="inlineStr">
        <is>
          <t>— MISSING —</t>
        </is>
      </c>
      <c r="AN353" s="186" t="inlineStr">
        <is>
          <t>✗</t>
        </is>
      </c>
      <c r="AO353" s="171" t="inlineStr">
        <is>
          <t>— MISSING —</t>
        </is>
      </c>
      <c r="AP353" s="172" t="inlineStr">
        <is>
          <t>— MISSING —</t>
        </is>
      </c>
      <c r="AQ353" s="172" t="inlineStr">
        <is>
          <t>— MISSING —</t>
        </is>
      </c>
      <c r="AR353" s="172" t="inlineStr">
        <is>
          <t>— MISSING —</t>
        </is>
      </c>
      <c r="AS353" s="186" t="inlineStr">
        <is>
          <t>✗</t>
        </is>
      </c>
      <c r="AT353" s="187" t="inlineStr">
        <is>
          <t>— MISSING —</t>
        </is>
      </c>
      <c r="AU353" s="188" t="inlineStr">
        <is>
          <t>— no certificate —</t>
        </is>
      </c>
      <c r="AV353" s="189" t="inlineStr">
        <is>
          <t>✗</t>
        </is>
      </c>
    </row>
    <row r="354" ht="39" customHeight="1" s="70">
      <c r="A354" s="164" t="n"/>
      <c r="B354" s="165" t="n"/>
      <c r="C354" s="165" t="n"/>
      <c r="D354" s="165" t="n"/>
      <c r="E354" s="165" t="n"/>
      <c r="F354" s="165" t="n"/>
      <c r="G354" s="166" t="n"/>
      <c r="H354" s="165" t="n"/>
      <c r="I354" s="167" t="n"/>
      <c r="J354" s="166" t="n"/>
      <c r="K354" s="165" t="n"/>
      <c r="L354" s="167" t="n"/>
      <c r="M354" s="166" t="n"/>
      <c r="N354" s="165" t="n"/>
      <c r="O354" s="167" t="n"/>
      <c r="P354" s="166" t="n"/>
      <c r="Q354" s="165" t="n"/>
      <c r="R354" s="167" t="n"/>
      <c r="S354" s="166" t="n"/>
      <c r="T354" s="165" t="n"/>
      <c r="U354" s="167" t="n"/>
      <c r="V354" s="166" t="n"/>
      <c r="W354" s="165" t="n"/>
      <c r="X354" s="167" t="n"/>
      <c r="Y354" s="166" t="n"/>
      <c r="Z354" s="165" t="n"/>
      <c r="AA354" s="167" t="n"/>
      <c r="AB354" s="166" t="n"/>
      <c r="AC354" s="165" t="n"/>
      <c r="AD354" s="167" t="n"/>
      <c r="AE354" s="168" t="inlineStr">
        <is>
          <t>559-1090-26, (01.09.2026) [IJZ-MB]</t>
        </is>
      </c>
      <c r="AF354" s="165" t="n"/>
      <c r="AG354" s="165" t="n"/>
      <c r="AH354" s="165" t="n"/>
      <c r="AI354" s="165" t="n"/>
      <c r="AJ354" s="167" t="n"/>
      <c r="AK354" s="190" t="inlineStr">
        <is>
          <t>— no certificate —</t>
        </is>
      </c>
      <c r="AL354" s="165" t="n"/>
      <c r="AM354" s="165" t="n"/>
      <c r="AN354" s="167" t="n"/>
      <c r="AO354" s="190" t="inlineStr">
        <is>
          <t>— no certificate —</t>
        </is>
      </c>
      <c r="AP354" s="165" t="n"/>
      <c r="AQ354" s="165" t="n"/>
      <c r="AR354" s="165" t="n"/>
      <c r="AS354" s="167" t="n"/>
      <c r="AT354" s="166" t="n"/>
      <c r="AU354" s="165" t="n"/>
      <c r="AV354" s="169" t="n"/>
    </row>
    <row r="355" ht="21" customHeight="1" s="70">
      <c r="A355" s="125" t="inlineStr">
        <is>
          <t>WED102501</t>
        </is>
      </c>
      <c r="B355" s="126" t="inlineStr">
        <is>
          <t>P060102</t>
        </is>
      </c>
      <c r="C355" s="170" t="inlineStr">
        <is>
          <t>⚠ 3 NO RESULT
(3 no cert / 0 cert w/o result)</t>
        </is>
      </c>
      <c r="D355" s="126" t="inlineStr">
        <is>
          <t>1 of 1</t>
        </is>
      </c>
      <c r="E355" s="178" t="inlineStr">
        <is>
          <t>release testing + re-analysis 227 + re-test campaign (IJZ-MB)</t>
        </is>
      </c>
      <c r="F355" s="179" t="inlineStr">
        <is>
          <t>iCoA-PP_26-045
CoQ-PP_26-046 · initial release
iCoA-PP_26-164
CoQ-PP_26-165 · retest</t>
        </is>
      </c>
      <c r="G355" s="180" t="inlineStr">
        <is>
          <t>Conforms</t>
        </is>
      </c>
      <c r="H355" s="181">
        <f>IFERROR(INDEX('iCoA Register'!$B:$B,MATCH("P060102|I",'iCoA Register'!$AA:$AA,0)),"iCoA — at issue")&amp;", (16.02.2026) [PP]"</f>
        <v/>
      </c>
      <c r="I355" s="182" t="inlineStr">
        <is>
          <t>✓</t>
        </is>
      </c>
      <c r="J355" s="180" t="inlineStr">
        <is>
          <t>Conforms</t>
        </is>
      </c>
      <c r="K355" s="181">
        <f>IFERROR(INDEX('iCoA Register'!$B:$B,MATCH("P060102|I",'iCoA Register'!$AA:$AA,0)),"iCoA — at issue")&amp;", (16.02.2026) [PP]"</f>
        <v/>
      </c>
      <c r="L355" s="182" t="inlineStr">
        <is>
          <t>✓</t>
        </is>
      </c>
      <c r="M355" s="180" t="inlineStr">
        <is>
          <t>Conforms (ImB spec.)</t>
        </is>
      </c>
      <c r="N355" s="181" t="inlineStr">
        <is>
          <t>227-4-К-26, (11.09.2026) [FHM-K]</t>
        </is>
      </c>
      <c r="O355" s="182" t="inlineStr">
        <is>
          <t>✓</t>
        </is>
      </c>
      <c r="P355" s="183" t="inlineStr">
        <is>
          <t>25.15</t>
        </is>
      </c>
      <c r="Q355" s="181" t="inlineStr">
        <is>
          <t>227-4-К-26, (11.09.2026) [FHM-K]</t>
        </is>
      </c>
      <c r="R355" s="182" t="inlineStr">
        <is>
          <t>✓</t>
        </is>
      </c>
      <c r="S355" s="184" t="inlineStr">
        <is>
          <t>&lt; LOQ</t>
        </is>
      </c>
      <c r="T355" s="181" t="inlineStr">
        <is>
          <t>227-4-К-26, (11.09.2026) [FHM-K]</t>
        </is>
      </c>
      <c r="U355" s="182" t="inlineStr">
        <is>
          <t>✓</t>
        </is>
      </c>
      <c r="V355" s="184" t="inlineStr">
        <is>
          <t>&lt; LOQ</t>
        </is>
      </c>
      <c r="W355" s="181" t="inlineStr">
        <is>
          <t>227-4-К-26, (11.09.2026) [FHM-K]</t>
        </is>
      </c>
      <c r="X355" s="182" t="inlineStr">
        <is>
          <t>✓</t>
        </is>
      </c>
      <c r="Y355" s="180" t="inlineStr">
        <is>
          <t>Conforms</t>
        </is>
      </c>
      <c r="Z355" s="181">
        <f>IFERROR(INDEX('iCoA Register'!$B:$B,MATCH("P060102|I",'iCoA Register'!$AA:$AA,0)),"iCoA — at issue")&amp;", (16.02.2026) [PP]"</f>
        <v/>
      </c>
      <c r="AA355" s="182" t="inlineStr">
        <is>
          <t>✓</t>
        </is>
      </c>
      <c r="AB355" s="180" t="inlineStr">
        <is>
          <t>6,8 %</t>
        </is>
      </c>
      <c r="AC355" s="181" t="inlineStr">
        <is>
          <t>031-3-ГС-26, (12.02.2026) [FHM]</t>
        </is>
      </c>
      <c r="AD355" s="182" t="inlineStr">
        <is>
          <t>✓</t>
        </is>
      </c>
      <c r="AE355" s="131" t="inlineStr">
        <is>
          <t>&lt; 10</t>
        </is>
      </c>
      <c r="AF355" s="139" t="inlineStr">
        <is>
          <t>&lt; 10</t>
        </is>
      </c>
      <c r="AG355" s="139" t="inlineStr">
        <is>
          <t>&lt; 10</t>
        </is>
      </c>
      <c r="AH355" s="139" t="inlineStr">
        <is>
          <t>Absent</t>
        </is>
      </c>
      <c r="AI355" s="139" t="inlineStr">
        <is>
          <t>Absent</t>
        </is>
      </c>
      <c r="AJ355" s="182" t="inlineStr">
        <is>
          <t>✓</t>
        </is>
      </c>
      <c r="AK355" s="171" t="inlineStr">
        <is>
          <t>— MISSING —</t>
        </is>
      </c>
      <c r="AL355" s="172" t="inlineStr">
        <is>
          <t>— MISSING —</t>
        </is>
      </c>
      <c r="AM355" s="172" t="inlineStr">
        <is>
          <t>— MISSING —</t>
        </is>
      </c>
      <c r="AN355" s="186" t="inlineStr">
        <is>
          <t>✗</t>
        </is>
      </c>
      <c r="AO355" s="171" t="inlineStr">
        <is>
          <t>— MISSING —</t>
        </is>
      </c>
      <c r="AP355" s="172" t="inlineStr">
        <is>
          <t>— MISSING —</t>
        </is>
      </c>
      <c r="AQ355" s="172" t="inlineStr">
        <is>
          <t>— MISSING —</t>
        </is>
      </c>
      <c r="AR355" s="172" t="inlineStr">
        <is>
          <t>— MISSING —</t>
        </is>
      </c>
      <c r="AS355" s="186" t="inlineStr">
        <is>
          <t>✗</t>
        </is>
      </c>
      <c r="AT355" s="187" t="inlineStr">
        <is>
          <t>— MISSING —</t>
        </is>
      </c>
      <c r="AU355" s="188" t="inlineStr">
        <is>
          <t>— no certificate —</t>
        </is>
      </c>
      <c r="AV355" s="189" t="inlineStr">
        <is>
          <t>✗</t>
        </is>
      </c>
    </row>
    <row r="356" ht="39" customHeight="1" s="70">
      <c r="A356" s="164" t="n"/>
      <c r="B356" s="165" t="n"/>
      <c r="C356" s="165" t="n"/>
      <c r="D356" s="165" t="n"/>
      <c r="E356" s="165" t="n"/>
      <c r="F356" s="165" t="n"/>
      <c r="G356" s="166" t="n"/>
      <c r="H356" s="165" t="n"/>
      <c r="I356" s="167" t="n"/>
      <c r="J356" s="166" t="n"/>
      <c r="K356" s="165" t="n"/>
      <c r="L356" s="167" t="n"/>
      <c r="M356" s="166" t="n"/>
      <c r="N356" s="165" t="n"/>
      <c r="O356" s="167" t="n"/>
      <c r="P356" s="166" t="n"/>
      <c r="Q356" s="165" t="n"/>
      <c r="R356" s="167" t="n"/>
      <c r="S356" s="166" t="n"/>
      <c r="T356" s="165" t="n"/>
      <c r="U356" s="167" t="n"/>
      <c r="V356" s="166" t="n"/>
      <c r="W356" s="165" t="n"/>
      <c r="X356" s="167" t="n"/>
      <c r="Y356" s="166" t="n"/>
      <c r="Z356" s="165" t="n"/>
      <c r="AA356" s="167" t="n"/>
      <c r="AB356" s="166" t="n"/>
      <c r="AC356" s="165" t="n"/>
      <c r="AD356" s="167" t="n"/>
      <c r="AE356" s="168" t="inlineStr">
        <is>
          <t>551-1082-26, (01.09.2026) [IJZ-MB]</t>
        </is>
      </c>
      <c r="AF356" s="165" t="n"/>
      <c r="AG356" s="165" t="n"/>
      <c r="AH356" s="165" t="n"/>
      <c r="AI356" s="165" t="n"/>
      <c r="AJ356" s="167" t="n"/>
      <c r="AK356" s="190" t="inlineStr">
        <is>
          <t>— no certificate —</t>
        </is>
      </c>
      <c r="AL356" s="165" t="n"/>
      <c r="AM356" s="165" t="n"/>
      <c r="AN356" s="167" t="n"/>
      <c r="AO356" s="190" t="inlineStr">
        <is>
          <t>— no certificate —</t>
        </is>
      </c>
      <c r="AP356" s="165" t="n"/>
      <c r="AQ356" s="165" t="n"/>
      <c r="AR356" s="165" t="n"/>
      <c r="AS356" s="167" t="n"/>
      <c r="AT356" s="166" t="n"/>
      <c r="AU356" s="165" t="n"/>
      <c r="AV356" s="169" t="n"/>
    </row>
    <row r="357" ht="21" customHeight="1" s="70">
      <c r="A357" s="125" t="inlineStr">
        <is>
          <t>SCR012601*</t>
        </is>
      </c>
      <c r="B357" s="126" t="inlineStr">
        <is>
          <t>P060342</t>
        </is>
      </c>
      <c r="C357" s="177" t="inlineStr">
        <is>
          <t>✗ 4 NO RESULT
(4 no cert / 0 cert w/o result)</t>
        </is>
      </c>
      <c r="D357" s="126" t="inlineStr">
        <is>
          <t>1 of 1</t>
        </is>
      </c>
      <c r="E357" s="178" t="inlineStr">
        <is>
          <t>release testing + re-analysis 227 + re-test campaign (IJZ-MB)</t>
        </is>
      </c>
      <c r="F357" s="179" t="inlineStr">
        <is>
          <t>iCoA-PP_26-088
CoQ-PP_26-073 · initial release
iCoA-PP_26-159
CoQ-PP_26-160 · retest</t>
        </is>
      </c>
      <c r="G357" s="180" t="inlineStr">
        <is>
          <t>Conforms</t>
        </is>
      </c>
      <c r="H357" s="181">
        <f>IFERROR(INDEX('iCoA Register'!$B:$B,MATCH("P060342|I",'iCoA Register'!$AA:$AA,0)),"iCoA — at issue")&amp;", (25.05.2026) [PP]"</f>
        <v/>
      </c>
      <c r="I357" s="182" t="inlineStr">
        <is>
          <t>✓</t>
        </is>
      </c>
      <c r="J357" s="180" t="inlineStr">
        <is>
          <t>Conforms</t>
        </is>
      </c>
      <c r="K357" s="181">
        <f>IFERROR(INDEX('iCoA Register'!$B:$B,MATCH("P060342|I",'iCoA Register'!$AA:$AA,0)),"iCoA — at issue")&amp;", (25.05.2026) [PP]"</f>
        <v/>
      </c>
      <c r="L357" s="182" t="inlineStr">
        <is>
          <t>✓</t>
        </is>
      </c>
      <c r="M357" s="180" t="inlineStr">
        <is>
          <t>Conforms (ImB spec.)</t>
        </is>
      </c>
      <c r="N357" s="181" t="inlineStr">
        <is>
          <t>227-8-К-26, (11.09.2026) [FHM-K]</t>
        </is>
      </c>
      <c r="O357" s="182" t="inlineStr">
        <is>
          <t>✓</t>
        </is>
      </c>
      <c r="P357" s="183" t="inlineStr">
        <is>
          <t>22.40</t>
        </is>
      </c>
      <c r="Q357" s="181" t="inlineStr">
        <is>
          <t>227-8-К-26, (11.09.2026) [FHM-K]</t>
        </is>
      </c>
      <c r="R357" s="182" t="inlineStr">
        <is>
          <t>✓</t>
        </is>
      </c>
      <c r="S357" s="184" t="inlineStr">
        <is>
          <t>&lt; LOQ</t>
        </is>
      </c>
      <c r="T357" s="181" t="inlineStr">
        <is>
          <t>227-8-К-26, (11.09.2026) [FHM-K]</t>
        </is>
      </c>
      <c r="U357" s="182" t="inlineStr">
        <is>
          <t>✓</t>
        </is>
      </c>
      <c r="V357" s="184" t="inlineStr">
        <is>
          <t>&lt; LOQ</t>
        </is>
      </c>
      <c r="W357" s="181" t="inlineStr">
        <is>
          <t>227-8-К-26, (11.09.2026) [FHM-K]</t>
        </is>
      </c>
      <c r="X357" s="182" t="inlineStr">
        <is>
          <t>✓</t>
        </is>
      </c>
      <c r="Y357" s="180" t="inlineStr">
        <is>
          <t>Conforms</t>
        </is>
      </c>
      <c r="Z357" s="181">
        <f>IFERROR(INDEX('iCoA Register'!$B:$B,MATCH("P060342|I",'iCoA Register'!$AA:$AA,0)),"iCoA — at issue")&amp;", (25.05.2026) [PP]"</f>
        <v/>
      </c>
      <c r="AA357" s="182" t="inlineStr">
        <is>
          <t>✓</t>
        </is>
      </c>
      <c r="AB357" s="187" t="inlineStr">
        <is>
          <t>— MISSING —</t>
        </is>
      </c>
      <c r="AC357" s="188" t="inlineStr">
        <is>
          <t>— no certificate —</t>
        </is>
      </c>
      <c r="AD357" s="186" t="inlineStr">
        <is>
          <t>✗</t>
        </is>
      </c>
      <c r="AE357" s="131" t="inlineStr">
        <is>
          <t>8.3 × 10³</t>
        </is>
      </c>
      <c r="AF357" s="139" t="inlineStr">
        <is>
          <t>5.3 × 10³</t>
        </is>
      </c>
      <c r="AG357" s="139" t="inlineStr">
        <is>
          <t>&lt; 10</t>
        </is>
      </c>
      <c r="AH357" s="139" t="inlineStr">
        <is>
          <t>Absent</t>
        </is>
      </c>
      <c r="AI357" s="139" t="inlineStr">
        <is>
          <t>Absent</t>
        </is>
      </c>
      <c r="AJ357" s="182" t="inlineStr">
        <is>
          <t>✓</t>
        </is>
      </c>
      <c r="AK357" s="171" t="inlineStr">
        <is>
          <t>— MISSING —</t>
        </is>
      </c>
      <c r="AL357" s="172" t="inlineStr">
        <is>
          <t>— MISSING —</t>
        </is>
      </c>
      <c r="AM357" s="172" t="inlineStr">
        <is>
          <t>— MISSING —</t>
        </is>
      </c>
      <c r="AN357" s="186" t="inlineStr">
        <is>
          <t>✗</t>
        </is>
      </c>
      <c r="AO357" s="171" t="inlineStr">
        <is>
          <t>— MISSING —</t>
        </is>
      </c>
      <c r="AP357" s="172" t="inlineStr">
        <is>
          <t>— MISSING —</t>
        </is>
      </c>
      <c r="AQ357" s="172" t="inlineStr">
        <is>
          <t>— MISSING —</t>
        </is>
      </c>
      <c r="AR357" s="172" t="inlineStr">
        <is>
          <t>— MISSING —</t>
        </is>
      </c>
      <c r="AS357" s="186" t="inlineStr">
        <is>
          <t>✗</t>
        </is>
      </c>
      <c r="AT357" s="187" t="inlineStr">
        <is>
          <t>— MISSING —</t>
        </is>
      </c>
      <c r="AU357" s="188" t="inlineStr">
        <is>
          <t>— no certificate —</t>
        </is>
      </c>
      <c r="AV357" s="189" t="inlineStr">
        <is>
          <t>✗</t>
        </is>
      </c>
    </row>
    <row r="358" ht="39" customHeight="1" s="70">
      <c r="A358" s="164" t="n"/>
      <c r="B358" s="165" t="n"/>
      <c r="C358" s="165" t="n"/>
      <c r="D358" s="165" t="n"/>
      <c r="E358" s="165" t="n"/>
      <c r="F358" s="165" t="n"/>
      <c r="G358" s="166" t="n"/>
      <c r="H358" s="165" t="n"/>
      <c r="I358" s="167" t="n"/>
      <c r="J358" s="166" t="n"/>
      <c r="K358" s="165" t="n"/>
      <c r="L358" s="167" t="n"/>
      <c r="M358" s="166" t="n"/>
      <c r="N358" s="165" t="n"/>
      <c r="O358" s="167" t="n"/>
      <c r="P358" s="166" t="n"/>
      <c r="Q358" s="165" t="n"/>
      <c r="R358" s="167" t="n"/>
      <c r="S358" s="166" t="n"/>
      <c r="T358" s="165" t="n"/>
      <c r="U358" s="167" t="n"/>
      <c r="V358" s="166" t="n"/>
      <c r="W358" s="165" t="n"/>
      <c r="X358" s="167" t="n"/>
      <c r="Y358" s="166" t="n"/>
      <c r="Z358" s="165" t="n"/>
      <c r="AA358" s="167" t="n"/>
      <c r="AB358" s="166" t="n"/>
      <c r="AC358" s="165" t="n"/>
      <c r="AD358" s="167" t="n"/>
      <c r="AE358" s="168" t="inlineStr">
        <is>
          <t>539-1070-26, (31.08.2026) [IJZ-MB]</t>
        </is>
      </c>
      <c r="AF358" s="165" t="n"/>
      <c r="AG358" s="165" t="n"/>
      <c r="AH358" s="165" t="n"/>
      <c r="AI358" s="165" t="n"/>
      <c r="AJ358" s="167" t="n"/>
      <c r="AK358" s="190" t="inlineStr">
        <is>
          <t>— no certificate —</t>
        </is>
      </c>
      <c r="AL358" s="165" t="n"/>
      <c r="AM358" s="165" t="n"/>
      <c r="AN358" s="167" t="n"/>
      <c r="AO358" s="190" t="inlineStr">
        <is>
          <t>— no certificate —</t>
        </is>
      </c>
      <c r="AP358" s="165" t="n"/>
      <c r="AQ358" s="165" t="n"/>
      <c r="AR358" s="165" t="n"/>
      <c r="AS358" s="167" t="n"/>
      <c r="AT358" s="166" t="n"/>
      <c r="AU358" s="165" t="n"/>
      <c r="AV358" s="169" t="n"/>
    </row>
    <row r="359" ht="21" customHeight="1" s="70">
      <c r="A359" s="125" t="inlineStr">
        <is>
          <t>ACC102501</t>
        </is>
      </c>
      <c r="B359" s="126" t="inlineStr">
        <is>
          <t>P060122</t>
        </is>
      </c>
      <c r="C359" s="177" t="inlineStr">
        <is>
          <t>✗ 4 NO RESULT
(4 no cert / 0 cert w/o result)</t>
        </is>
      </c>
      <c r="D359" s="126" t="inlineStr">
        <is>
          <t>1 of 1</t>
        </is>
      </c>
      <c r="E359" s="178" t="inlineStr">
        <is>
          <t>release testing + re-analysis 220</t>
        </is>
      </c>
      <c r="F359" s="179" t="inlineStr">
        <is>
          <t>iCoA-PP_26-047
CoQ-PP_26-048 · initial release
iCoA-PP_26-123
CoQ-PP_26-106 · retest</t>
        </is>
      </c>
      <c r="G359" s="180" t="inlineStr">
        <is>
          <t>Conforms</t>
        </is>
      </c>
      <c r="H359" s="181">
        <f>IFERROR(INDEX('iCoA Register'!$B:$B,MATCH("P060122|I",'iCoA Register'!$AA:$AA,0)),"iCoA — at issue")&amp;", (18.02.2026) [PP]"</f>
        <v/>
      </c>
      <c r="I359" s="182" t="inlineStr">
        <is>
          <t>✓</t>
        </is>
      </c>
      <c r="J359" s="180" t="inlineStr">
        <is>
          <t>Conforms</t>
        </is>
      </c>
      <c r="K359" s="181">
        <f>IFERROR(INDEX('iCoA Register'!$B:$B,MATCH("P060122|I",'iCoA Register'!$AA:$AA,0)),"iCoA — at issue")&amp;", (18.02.2026) [PP]"</f>
        <v/>
      </c>
      <c r="L359" s="182" t="inlineStr">
        <is>
          <t>✓</t>
        </is>
      </c>
      <c r="M359" s="180" t="inlineStr">
        <is>
          <t>Conforms (ImB spec.)</t>
        </is>
      </c>
      <c r="N359" s="181" t="inlineStr">
        <is>
          <t>220-1-К-26, (25.08.2026) [FHM-K]</t>
        </is>
      </c>
      <c r="O359" s="182" t="inlineStr">
        <is>
          <t>✓</t>
        </is>
      </c>
      <c r="P359" s="183" t="inlineStr">
        <is>
          <t>12.09</t>
        </is>
      </c>
      <c r="Q359" s="181" t="inlineStr">
        <is>
          <t>220-1-К-26, (25.08.2026) [FHM-K]</t>
        </is>
      </c>
      <c r="R359" s="182" t="inlineStr">
        <is>
          <t>✓</t>
        </is>
      </c>
      <c r="S359" s="184" t="inlineStr">
        <is>
          <t>&lt; LOQ</t>
        </is>
      </c>
      <c r="T359" s="181" t="inlineStr">
        <is>
          <t>220-1-К-26, (25.08.2026) [FHM-K]</t>
        </is>
      </c>
      <c r="U359" s="182" t="inlineStr">
        <is>
          <t>✓</t>
        </is>
      </c>
      <c r="V359" s="184" t="inlineStr">
        <is>
          <t>&lt; LOQ</t>
        </is>
      </c>
      <c r="W359" s="181" t="inlineStr">
        <is>
          <t>220-1-К-26, (25.08.2026) [FHM-K]</t>
        </is>
      </c>
      <c r="X359" s="182" t="inlineStr">
        <is>
          <t>✓</t>
        </is>
      </c>
      <c r="Y359" s="180" t="inlineStr">
        <is>
          <t>Conforms</t>
        </is>
      </c>
      <c r="Z359" s="181">
        <f>IFERROR(INDEX('iCoA Register'!$B:$B,MATCH("P060122|I",'iCoA Register'!$AA:$AA,0)),"iCoA — at issue")&amp;", (18.02.2026) [PP]"</f>
        <v/>
      </c>
      <c r="AA359" s="182" t="inlineStr">
        <is>
          <t>✓</t>
        </is>
      </c>
      <c r="AB359" s="187" t="inlineStr">
        <is>
          <t>— MISSING —</t>
        </is>
      </c>
      <c r="AC359" s="188" t="inlineStr">
        <is>
          <t>— no certificate —</t>
        </is>
      </c>
      <c r="AD359" s="186" t="inlineStr">
        <is>
          <t>✗</t>
        </is>
      </c>
      <c r="AE359" s="171" t="inlineStr">
        <is>
          <t>— MISSING —</t>
        </is>
      </c>
      <c r="AF359" s="172" t="inlineStr">
        <is>
          <t>— MISSING —</t>
        </is>
      </c>
      <c r="AG359" s="172" t="inlineStr">
        <is>
          <t>— MISSING —</t>
        </is>
      </c>
      <c r="AH359" s="172" t="inlineStr">
        <is>
          <t>— MISSING —</t>
        </is>
      </c>
      <c r="AI359" s="172" t="inlineStr">
        <is>
          <t>— MISSING —</t>
        </is>
      </c>
      <c r="AJ359" s="186" t="inlineStr">
        <is>
          <t>✗</t>
        </is>
      </c>
      <c r="AK359" s="131" t="inlineStr">
        <is>
          <t>ND</t>
        </is>
      </c>
      <c r="AL359" s="139" t="inlineStr">
        <is>
          <t>ND</t>
        </is>
      </c>
      <c r="AM359" s="139" t="inlineStr">
        <is>
          <t>ND</t>
        </is>
      </c>
      <c r="AN359" s="182" t="inlineStr">
        <is>
          <t>✓</t>
        </is>
      </c>
      <c r="AO359" s="171" t="inlineStr">
        <is>
          <t>— MISSING —</t>
        </is>
      </c>
      <c r="AP359" s="172" t="inlineStr">
        <is>
          <t>— MISSING —</t>
        </is>
      </c>
      <c r="AQ359" s="172" t="inlineStr">
        <is>
          <t>— MISSING —</t>
        </is>
      </c>
      <c r="AR359" s="172" t="inlineStr">
        <is>
          <t>— MISSING —</t>
        </is>
      </c>
      <c r="AS359" s="186" t="inlineStr">
        <is>
          <t>✗</t>
        </is>
      </c>
      <c r="AT359" s="187" t="inlineStr">
        <is>
          <t>— MISSING —</t>
        </is>
      </c>
      <c r="AU359" s="188" t="inlineStr">
        <is>
          <t>— no certificate —</t>
        </is>
      </c>
      <c r="AV359" s="189" t="inlineStr">
        <is>
          <t>✗</t>
        </is>
      </c>
    </row>
    <row r="360" ht="39" customHeight="1" s="70">
      <c r="A360" s="164" t="n"/>
      <c r="B360" s="165" t="n"/>
      <c r="C360" s="165" t="n"/>
      <c r="D360" s="165" t="n"/>
      <c r="E360" s="165" t="n"/>
      <c r="F360" s="165" t="n"/>
      <c r="G360" s="166" t="n"/>
      <c r="H360" s="165" t="n"/>
      <c r="I360" s="167" t="n"/>
      <c r="J360" s="166" t="n"/>
      <c r="K360" s="165" t="n"/>
      <c r="L360" s="167" t="n"/>
      <c r="M360" s="166" t="n"/>
      <c r="N360" s="165" t="n"/>
      <c r="O360" s="167" t="n"/>
      <c r="P360" s="166" t="n"/>
      <c r="Q360" s="165" t="n"/>
      <c r="R360" s="167" t="n"/>
      <c r="S360" s="166" t="n"/>
      <c r="T360" s="165" t="n"/>
      <c r="U360" s="167" t="n"/>
      <c r="V360" s="166" t="n"/>
      <c r="W360" s="165" t="n"/>
      <c r="X360" s="167" t="n"/>
      <c r="Y360" s="166" t="n"/>
      <c r="Z360" s="165" t="n"/>
      <c r="AA360" s="167" t="n"/>
      <c r="AB360" s="166" t="n"/>
      <c r="AC360" s="165" t="n"/>
      <c r="AD360" s="167" t="n"/>
      <c r="AE360" s="190" t="inlineStr">
        <is>
          <t>— no certificate —</t>
        </is>
      </c>
      <c r="AF360" s="165" t="n"/>
      <c r="AG360" s="165" t="n"/>
      <c r="AH360" s="165" t="n"/>
      <c r="AI360" s="165" t="n"/>
      <c r="AJ360" s="167" t="n"/>
      <c r="AK360" s="168" t="inlineStr">
        <is>
          <t>220-1-М-26, (11.09.2026) [FHM-M]</t>
        </is>
      </c>
      <c r="AL360" s="165" t="n"/>
      <c r="AM360" s="165" t="n"/>
      <c r="AN360" s="167" t="n"/>
      <c r="AO360" s="190" t="inlineStr">
        <is>
          <t>— no certificate —</t>
        </is>
      </c>
      <c r="AP360" s="165" t="n"/>
      <c r="AQ360" s="165" t="n"/>
      <c r="AR360" s="165" t="n"/>
      <c r="AS360" s="167" t="n"/>
      <c r="AT360" s="166" t="n"/>
      <c r="AU360" s="165" t="n"/>
      <c r="AV360" s="169" t="n"/>
    </row>
    <row r="361" ht="21" customHeight="1" s="70">
      <c r="A361" s="125" t="inlineStr">
        <is>
          <t>CF102501</t>
        </is>
      </c>
      <c r="B361" s="126" t="inlineStr">
        <is>
          <t>P060132</t>
        </is>
      </c>
      <c r="C361" s="177" t="inlineStr">
        <is>
          <t>✗ 4 NO RESULT
(4 no cert / 0 cert w/o result)</t>
        </is>
      </c>
      <c r="D361" s="126" t="inlineStr">
        <is>
          <t>1 of 1</t>
        </is>
      </c>
      <c r="E361" s="178" t="inlineStr">
        <is>
          <t>release testing + re-analysis 220</t>
        </is>
      </c>
      <c r="F361" s="179" t="inlineStr">
        <is>
          <t>iCoA-PP_26-048
CoQ-PP_26-049 · initial release
iCoA-PP_26-125
CoQ-PP_26-109 · retest</t>
        </is>
      </c>
      <c r="G361" s="180" t="inlineStr">
        <is>
          <t>Conforms</t>
        </is>
      </c>
      <c r="H361" s="181">
        <f>IFERROR(INDEX('iCoA Register'!$B:$B,MATCH("P060132|I",'iCoA Register'!$AA:$AA,0)),"iCoA — at issue")&amp;", (19.02.2026) [PP]"</f>
        <v/>
      </c>
      <c r="I361" s="182" t="inlineStr">
        <is>
          <t>✓</t>
        </is>
      </c>
      <c r="J361" s="180" t="inlineStr">
        <is>
          <t>Conforms</t>
        </is>
      </c>
      <c r="K361" s="181">
        <f>IFERROR(INDEX('iCoA Register'!$B:$B,MATCH("P060132|I",'iCoA Register'!$AA:$AA,0)),"iCoA — at issue")&amp;", (19.02.2026) [PP]"</f>
        <v/>
      </c>
      <c r="L361" s="182" t="inlineStr">
        <is>
          <t>✓</t>
        </is>
      </c>
      <c r="M361" s="180" t="inlineStr">
        <is>
          <t>Conforms (ImB spec.)</t>
        </is>
      </c>
      <c r="N361" s="181" t="inlineStr">
        <is>
          <t>220-6-К-26, (25.08.2026) [FHM-K]</t>
        </is>
      </c>
      <c r="O361" s="182" t="inlineStr">
        <is>
          <t>✓</t>
        </is>
      </c>
      <c r="P361" s="183" t="inlineStr">
        <is>
          <t>9.55</t>
        </is>
      </c>
      <c r="Q361" s="181" t="inlineStr">
        <is>
          <t>220-6-К-26, (25.08.2026) [FHM-K]</t>
        </is>
      </c>
      <c r="R361" s="182" t="inlineStr">
        <is>
          <t>✓</t>
        </is>
      </c>
      <c r="S361" s="184" t="inlineStr">
        <is>
          <t>&lt; LOQ</t>
        </is>
      </c>
      <c r="T361" s="181" t="inlineStr">
        <is>
          <t>220-6-К-26, (25.08.2026) [FHM-K]</t>
        </is>
      </c>
      <c r="U361" s="182" t="inlineStr">
        <is>
          <t>✓</t>
        </is>
      </c>
      <c r="V361" s="184" t="inlineStr">
        <is>
          <t>&lt; LOQ</t>
        </is>
      </c>
      <c r="W361" s="181" t="inlineStr">
        <is>
          <t>220-6-К-26, (25.08.2026) [FHM-K]</t>
        </is>
      </c>
      <c r="X361" s="182" t="inlineStr">
        <is>
          <t>✓</t>
        </is>
      </c>
      <c r="Y361" s="180" t="inlineStr">
        <is>
          <t>Conforms</t>
        </is>
      </c>
      <c r="Z361" s="181">
        <f>IFERROR(INDEX('iCoA Register'!$B:$B,MATCH("P060132|I",'iCoA Register'!$AA:$AA,0)),"iCoA — at issue")&amp;", (19.02.2026) [PP]"</f>
        <v/>
      </c>
      <c r="AA361" s="182" t="inlineStr">
        <is>
          <t>✓</t>
        </is>
      </c>
      <c r="AB361" s="187" t="inlineStr">
        <is>
          <t>— MISSING —</t>
        </is>
      </c>
      <c r="AC361" s="188" t="inlineStr">
        <is>
          <t>— no certificate —</t>
        </is>
      </c>
      <c r="AD361" s="186" t="inlineStr">
        <is>
          <t>✗</t>
        </is>
      </c>
      <c r="AE361" s="171" t="inlineStr">
        <is>
          <t>— MISSING —</t>
        </is>
      </c>
      <c r="AF361" s="172" t="inlineStr">
        <is>
          <t>— MISSING —</t>
        </is>
      </c>
      <c r="AG361" s="172" t="inlineStr">
        <is>
          <t>— MISSING —</t>
        </is>
      </c>
      <c r="AH361" s="172" t="inlineStr">
        <is>
          <t>— MISSING —</t>
        </is>
      </c>
      <c r="AI361" s="172" t="inlineStr">
        <is>
          <t>— MISSING —</t>
        </is>
      </c>
      <c r="AJ361" s="186" t="inlineStr">
        <is>
          <t>✗</t>
        </is>
      </c>
      <c r="AK361" s="131" t="inlineStr">
        <is>
          <t>ND</t>
        </is>
      </c>
      <c r="AL361" s="139" t="inlineStr">
        <is>
          <t>ND</t>
        </is>
      </c>
      <c r="AM361" s="139" t="inlineStr">
        <is>
          <t>ND</t>
        </is>
      </c>
      <c r="AN361" s="182" t="inlineStr">
        <is>
          <t>✓</t>
        </is>
      </c>
      <c r="AO361" s="171" t="inlineStr">
        <is>
          <t>— MISSING —</t>
        </is>
      </c>
      <c r="AP361" s="172" t="inlineStr">
        <is>
          <t>— MISSING —</t>
        </is>
      </c>
      <c r="AQ361" s="172" t="inlineStr">
        <is>
          <t>— MISSING —</t>
        </is>
      </c>
      <c r="AR361" s="172" t="inlineStr">
        <is>
          <t>— MISSING —</t>
        </is>
      </c>
      <c r="AS361" s="186" t="inlineStr">
        <is>
          <t>✗</t>
        </is>
      </c>
      <c r="AT361" s="187" t="inlineStr">
        <is>
          <t>— MISSING —</t>
        </is>
      </c>
      <c r="AU361" s="188" t="inlineStr">
        <is>
          <t>— no certificate —</t>
        </is>
      </c>
      <c r="AV361" s="189" t="inlineStr">
        <is>
          <t>✗</t>
        </is>
      </c>
    </row>
    <row r="362" ht="39" customHeight="1" s="70">
      <c r="A362" s="164" t="n"/>
      <c r="B362" s="165" t="n"/>
      <c r="C362" s="165" t="n"/>
      <c r="D362" s="165" t="n"/>
      <c r="E362" s="165" t="n"/>
      <c r="F362" s="165" t="n"/>
      <c r="G362" s="166" t="n"/>
      <c r="H362" s="165" t="n"/>
      <c r="I362" s="167" t="n"/>
      <c r="J362" s="166" t="n"/>
      <c r="K362" s="165" t="n"/>
      <c r="L362" s="167" t="n"/>
      <c r="M362" s="166" t="n"/>
      <c r="N362" s="165" t="n"/>
      <c r="O362" s="167" t="n"/>
      <c r="P362" s="166" t="n"/>
      <c r="Q362" s="165" t="n"/>
      <c r="R362" s="167" t="n"/>
      <c r="S362" s="166" t="n"/>
      <c r="T362" s="165" t="n"/>
      <c r="U362" s="167" t="n"/>
      <c r="V362" s="166" t="n"/>
      <c r="W362" s="165" t="n"/>
      <c r="X362" s="167" t="n"/>
      <c r="Y362" s="166" t="n"/>
      <c r="Z362" s="165" t="n"/>
      <c r="AA362" s="167" t="n"/>
      <c r="AB362" s="166" t="n"/>
      <c r="AC362" s="165" t="n"/>
      <c r="AD362" s="167" t="n"/>
      <c r="AE362" s="190" t="inlineStr">
        <is>
          <t>— no certificate —</t>
        </is>
      </c>
      <c r="AF362" s="165" t="n"/>
      <c r="AG362" s="165" t="n"/>
      <c r="AH362" s="165" t="n"/>
      <c r="AI362" s="165" t="n"/>
      <c r="AJ362" s="167" t="n"/>
      <c r="AK362" s="168" t="inlineStr">
        <is>
          <t>220-6-М-26, (11.09.2026) [FHM-M]</t>
        </is>
      </c>
      <c r="AL362" s="165" t="n"/>
      <c r="AM362" s="165" t="n"/>
      <c r="AN362" s="167" t="n"/>
      <c r="AO362" s="190" t="inlineStr">
        <is>
          <t>— no certificate —</t>
        </is>
      </c>
      <c r="AP362" s="165" t="n"/>
      <c r="AQ362" s="165" t="n"/>
      <c r="AR362" s="165" t="n"/>
      <c r="AS362" s="167" t="n"/>
      <c r="AT362" s="166" t="n"/>
      <c r="AU362" s="165" t="n"/>
      <c r="AV362" s="169" t="n"/>
    </row>
    <row r="363" ht="21" customHeight="1" s="70">
      <c r="A363" s="125" t="inlineStr">
        <is>
          <t>PUM102501</t>
        </is>
      </c>
      <c r="B363" s="126" t="inlineStr">
        <is>
          <t>P060112</t>
        </is>
      </c>
      <c r="C363" s="177" t="inlineStr">
        <is>
          <t>✗ 4 NO RESULT
(4 no cert / 0 cert w/o result)</t>
        </is>
      </c>
      <c r="D363" s="126" t="inlineStr">
        <is>
          <t>1 of 1</t>
        </is>
      </c>
      <c r="E363" s="178" t="inlineStr">
        <is>
          <t>release testing + re-analysis 220</t>
        </is>
      </c>
      <c r="F363" s="179" t="inlineStr">
        <is>
          <t>iCoA-PP_26-046
CoQ-PP_26-047 · initial release
iCoA-PP_26-151
CoQ-PP_26-132 · retest</t>
        </is>
      </c>
      <c r="G363" s="180" t="inlineStr">
        <is>
          <t>Conforms</t>
        </is>
      </c>
      <c r="H363" s="181">
        <f>IFERROR(INDEX('iCoA Register'!$B:$B,MATCH("P060112|I",'iCoA Register'!$AA:$AA,0)),"iCoA — at issue")&amp;", (17.02.2026) [PP]"</f>
        <v/>
      </c>
      <c r="I363" s="182" t="inlineStr">
        <is>
          <t>✓</t>
        </is>
      </c>
      <c r="J363" s="180" t="inlineStr">
        <is>
          <t>Conforms</t>
        </is>
      </c>
      <c r="K363" s="181">
        <f>IFERROR(INDEX('iCoA Register'!$B:$B,MATCH("P060112|I",'iCoA Register'!$AA:$AA,0)),"iCoA — at issue")&amp;", (17.02.2026) [PP]"</f>
        <v/>
      </c>
      <c r="L363" s="182" t="inlineStr">
        <is>
          <t>✓</t>
        </is>
      </c>
      <c r="M363" s="180" t="inlineStr">
        <is>
          <t>Conforms (ImB spec.)</t>
        </is>
      </c>
      <c r="N363" s="181" t="inlineStr">
        <is>
          <t>220-25-К-26, (26.08.2026) [FHM-K]</t>
        </is>
      </c>
      <c r="O363" s="182" t="inlineStr">
        <is>
          <t>✓</t>
        </is>
      </c>
      <c r="P363" s="183" t="inlineStr">
        <is>
          <t>13.95</t>
        </is>
      </c>
      <c r="Q363" s="181" t="inlineStr">
        <is>
          <t>220-25-К-26, (26.08.2026) [FHM-K]</t>
        </is>
      </c>
      <c r="R363" s="182" t="inlineStr">
        <is>
          <t>✓</t>
        </is>
      </c>
      <c r="S363" s="184" t="inlineStr">
        <is>
          <t>&lt; LOQ</t>
        </is>
      </c>
      <c r="T363" s="181" t="inlineStr">
        <is>
          <t>220-25-К-26, (26.08.2026) [FHM-K]</t>
        </is>
      </c>
      <c r="U363" s="182" t="inlineStr">
        <is>
          <t>✓</t>
        </is>
      </c>
      <c r="V363" s="184" t="inlineStr">
        <is>
          <t>&lt; LOQ</t>
        </is>
      </c>
      <c r="W363" s="181" t="inlineStr">
        <is>
          <t>220-25-К-26, (26.08.2026) [FHM-K]</t>
        </is>
      </c>
      <c r="X363" s="182" t="inlineStr">
        <is>
          <t>✓</t>
        </is>
      </c>
      <c r="Y363" s="180" t="inlineStr">
        <is>
          <t>Conforms</t>
        </is>
      </c>
      <c r="Z363" s="181">
        <f>IFERROR(INDEX('iCoA Register'!$B:$B,MATCH("P060112|I",'iCoA Register'!$AA:$AA,0)),"iCoA — at issue")&amp;", (17.02.2026) [PP]"</f>
        <v/>
      </c>
      <c r="AA363" s="182" t="inlineStr">
        <is>
          <t>✓</t>
        </is>
      </c>
      <c r="AB363" s="187" t="inlineStr">
        <is>
          <t>— MISSING —</t>
        </is>
      </c>
      <c r="AC363" s="188" t="inlineStr">
        <is>
          <t>— no certificate —</t>
        </is>
      </c>
      <c r="AD363" s="186" t="inlineStr">
        <is>
          <t>✗</t>
        </is>
      </c>
      <c r="AE363" s="171" t="inlineStr">
        <is>
          <t>— MISSING —</t>
        </is>
      </c>
      <c r="AF363" s="172" t="inlineStr">
        <is>
          <t>— MISSING —</t>
        </is>
      </c>
      <c r="AG363" s="172" t="inlineStr">
        <is>
          <t>— MISSING —</t>
        </is>
      </c>
      <c r="AH363" s="172" t="inlineStr">
        <is>
          <t>— MISSING —</t>
        </is>
      </c>
      <c r="AI363" s="172" t="inlineStr">
        <is>
          <t>— MISSING —</t>
        </is>
      </c>
      <c r="AJ363" s="186" t="inlineStr">
        <is>
          <t>✗</t>
        </is>
      </c>
      <c r="AK363" s="131" t="inlineStr">
        <is>
          <t>ND</t>
        </is>
      </c>
      <c r="AL363" s="139" t="inlineStr">
        <is>
          <t>ND</t>
        </is>
      </c>
      <c r="AM363" s="139" t="inlineStr">
        <is>
          <t>ND</t>
        </is>
      </c>
      <c r="AN363" s="182" t="inlineStr">
        <is>
          <t>✓</t>
        </is>
      </c>
      <c r="AO363" s="171" t="inlineStr">
        <is>
          <t>— MISSING —</t>
        </is>
      </c>
      <c r="AP363" s="172" t="inlineStr">
        <is>
          <t>— MISSING —</t>
        </is>
      </c>
      <c r="AQ363" s="172" t="inlineStr">
        <is>
          <t>— MISSING —</t>
        </is>
      </c>
      <c r="AR363" s="172" t="inlineStr">
        <is>
          <t>— MISSING —</t>
        </is>
      </c>
      <c r="AS363" s="186" t="inlineStr">
        <is>
          <t>✗</t>
        </is>
      </c>
      <c r="AT363" s="187" t="inlineStr">
        <is>
          <t>— MISSING —</t>
        </is>
      </c>
      <c r="AU363" s="188" t="inlineStr">
        <is>
          <t>— no certificate —</t>
        </is>
      </c>
      <c r="AV363" s="189" t="inlineStr">
        <is>
          <t>✗</t>
        </is>
      </c>
    </row>
    <row r="364" ht="39" customHeight="1" s="70">
      <c r="A364" s="164" t="n"/>
      <c r="B364" s="165" t="n"/>
      <c r="C364" s="165" t="n"/>
      <c r="D364" s="165" t="n"/>
      <c r="E364" s="165" t="n"/>
      <c r="F364" s="165" t="n"/>
      <c r="G364" s="166" t="n"/>
      <c r="H364" s="165" t="n"/>
      <c r="I364" s="167" t="n"/>
      <c r="J364" s="166" t="n"/>
      <c r="K364" s="165" t="n"/>
      <c r="L364" s="167" t="n"/>
      <c r="M364" s="166" t="n"/>
      <c r="N364" s="165" t="n"/>
      <c r="O364" s="167" t="n"/>
      <c r="P364" s="166" t="n"/>
      <c r="Q364" s="165" t="n"/>
      <c r="R364" s="167" t="n"/>
      <c r="S364" s="166" t="n"/>
      <c r="T364" s="165" t="n"/>
      <c r="U364" s="167" t="n"/>
      <c r="V364" s="166" t="n"/>
      <c r="W364" s="165" t="n"/>
      <c r="X364" s="167" t="n"/>
      <c r="Y364" s="166" t="n"/>
      <c r="Z364" s="165" t="n"/>
      <c r="AA364" s="167" t="n"/>
      <c r="AB364" s="166" t="n"/>
      <c r="AC364" s="165" t="n"/>
      <c r="AD364" s="167" t="n"/>
      <c r="AE364" s="190" t="inlineStr">
        <is>
          <t>— no certificate —</t>
        </is>
      </c>
      <c r="AF364" s="165" t="n"/>
      <c r="AG364" s="165" t="n"/>
      <c r="AH364" s="165" t="n"/>
      <c r="AI364" s="165" t="n"/>
      <c r="AJ364" s="167" t="n"/>
      <c r="AK364" s="168" t="inlineStr">
        <is>
          <t>220-25-М-26, (11.09.2026) [FHM-M]</t>
        </is>
      </c>
      <c r="AL364" s="165" t="n"/>
      <c r="AM364" s="165" t="n"/>
      <c r="AN364" s="167" t="n"/>
      <c r="AO364" s="190" t="inlineStr">
        <is>
          <t>— no certificate —</t>
        </is>
      </c>
      <c r="AP364" s="165" t="n"/>
      <c r="AQ364" s="165" t="n"/>
      <c r="AR364" s="165" t="n"/>
      <c r="AS364" s="167" t="n"/>
      <c r="AT364" s="166" t="n"/>
      <c r="AU364" s="165" t="n"/>
      <c r="AV364" s="169" t="n"/>
    </row>
    <row r="365" ht="21" customHeight="1" s="70">
      <c r="A365" s="125" t="inlineStr">
        <is>
          <t>CC012603</t>
        </is>
      </c>
      <c r="B365" s="126" t="inlineStr">
        <is>
          <t>P060372</t>
        </is>
      </c>
      <c r="C365" s="177" t="inlineStr">
        <is>
          <t>✗ 4 NO RESULT
(4 no cert / 0 cert w/o result)</t>
        </is>
      </c>
      <c r="D365" s="126" t="inlineStr">
        <is>
          <t>1 of 1</t>
        </is>
      </c>
      <c r="E365" s="178" t="inlineStr">
        <is>
          <t>release testing + re-analysis 220</t>
        </is>
      </c>
      <c r="F365" s="179" t="inlineStr">
        <is>
          <t>iCoA-PP_26-084
CoQ-PP_26-072 · initial release
iCoA-PP_26-145
CoQ-PP_26-108 · retest</t>
        </is>
      </c>
      <c r="G365" s="180" t="inlineStr">
        <is>
          <t>Conforms</t>
        </is>
      </c>
      <c r="H365" s="181">
        <f>IFERROR(INDEX('iCoA Register'!$B:$B,MATCH("P060372|I",'iCoA Register'!$AA:$AA,0)),"iCoA — at issue")&amp;", (24.05.2026) [PP]"</f>
        <v/>
      </c>
      <c r="I365" s="182" t="inlineStr">
        <is>
          <t>✓</t>
        </is>
      </c>
      <c r="J365" s="180" t="inlineStr">
        <is>
          <t>Conforms</t>
        </is>
      </c>
      <c r="K365" s="181">
        <f>IFERROR(INDEX('iCoA Register'!$B:$B,MATCH("P060372|I",'iCoA Register'!$AA:$AA,0)),"iCoA — at issue")&amp;", (24.05.2026) [PP]"</f>
        <v/>
      </c>
      <c r="L365" s="182" t="inlineStr">
        <is>
          <t>✓</t>
        </is>
      </c>
      <c r="M365" s="180" t="inlineStr">
        <is>
          <t>Conforms (ImB spec.)</t>
        </is>
      </c>
      <c r="N365" s="181" t="inlineStr">
        <is>
          <t>220-29-К-26, (26.08.2026) [FHM-K]</t>
        </is>
      </c>
      <c r="O365" s="182" t="inlineStr">
        <is>
          <t>✓</t>
        </is>
      </c>
      <c r="P365" s="183" t="inlineStr">
        <is>
          <t>14.76</t>
        </is>
      </c>
      <c r="Q365" s="181" t="inlineStr">
        <is>
          <t>220-29-К-26, (26.08.2026) [FHM-K]</t>
        </is>
      </c>
      <c r="R365" s="182" t="inlineStr">
        <is>
          <t>✓</t>
        </is>
      </c>
      <c r="S365" s="184" t="inlineStr">
        <is>
          <t>&lt; LOQ</t>
        </is>
      </c>
      <c r="T365" s="181" t="inlineStr">
        <is>
          <t>220-29-К-26, (26.08.2026) [FHM-K]</t>
        </is>
      </c>
      <c r="U365" s="182" t="inlineStr">
        <is>
          <t>✓</t>
        </is>
      </c>
      <c r="V365" s="184" t="inlineStr">
        <is>
          <t>&lt; LOQ</t>
        </is>
      </c>
      <c r="W365" s="181" t="inlineStr">
        <is>
          <t>220-29-К-26, (26.08.2026) [FHM-K]</t>
        </is>
      </c>
      <c r="X365" s="182" t="inlineStr">
        <is>
          <t>✓</t>
        </is>
      </c>
      <c r="Y365" s="180" t="inlineStr">
        <is>
          <t>Conforms</t>
        </is>
      </c>
      <c r="Z365" s="181">
        <f>IFERROR(INDEX('iCoA Register'!$B:$B,MATCH("P060372|I",'iCoA Register'!$AA:$AA,0)),"iCoA — at issue")&amp;", (24.05.2026) [PP]"</f>
        <v/>
      </c>
      <c r="AA365" s="182" t="inlineStr">
        <is>
          <t>✓</t>
        </is>
      </c>
      <c r="AB365" s="187" t="inlineStr">
        <is>
          <t>— MISSING —</t>
        </is>
      </c>
      <c r="AC365" s="188" t="inlineStr">
        <is>
          <t>— no certificate —</t>
        </is>
      </c>
      <c r="AD365" s="186" t="inlineStr">
        <is>
          <t>✗</t>
        </is>
      </c>
      <c r="AE365" s="171" t="inlineStr">
        <is>
          <t>— MISSING —</t>
        </is>
      </c>
      <c r="AF365" s="172" t="inlineStr">
        <is>
          <t>— MISSING —</t>
        </is>
      </c>
      <c r="AG365" s="172" t="inlineStr">
        <is>
          <t>— MISSING —</t>
        </is>
      </c>
      <c r="AH365" s="172" t="inlineStr">
        <is>
          <t>— MISSING —</t>
        </is>
      </c>
      <c r="AI365" s="172" t="inlineStr">
        <is>
          <t>— MISSING —</t>
        </is>
      </c>
      <c r="AJ365" s="186" t="inlineStr">
        <is>
          <t>✗</t>
        </is>
      </c>
      <c r="AK365" s="131" t="inlineStr">
        <is>
          <t>ND</t>
        </is>
      </c>
      <c r="AL365" s="139" t="inlineStr">
        <is>
          <t>ND</t>
        </is>
      </c>
      <c r="AM365" s="139" t="inlineStr">
        <is>
          <t>ND</t>
        </is>
      </c>
      <c r="AN365" s="182" t="inlineStr">
        <is>
          <t>✓</t>
        </is>
      </c>
      <c r="AO365" s="171" t="inlineStr">
        <is>
          <t>— MISSING —</t>
        </is>
      </c>
      <c r="AP365" s="172" t="inlineStr">
        <is>
          <t>— MISSING —</t>
        </is>
      </c>
      <c r="AQ365" s="172" t="inlineStr">
        <is>
          <t>— MISSING —</t>
        </is>
      </c>
      <c r="AR365" s="172" t="inlineStr">
        <is>
          <t>— MISSING —</t>
        </is>
      </c>
      <c r="AS365" s="186" t="inlineStr">
        <is>
          <t>✗</t>
        </is>
      </c>
      <c r="AT365" s="187" t="inlineStr">
        <is>
          <t>— MISSING —</t>
        </is>
      </c>
      <c r="AU365" s="188" t="inlineStr">
        <is>
          <t>— no certificate —</t>
        </is>
      </c>
      <c r="AV365" s="189" t="inlineStr">
        <is>
          <t>✗</t>
        </is>
      </c>
    </row>
    <row r="366" ht="39" customHeight="1" s="70">
      <c r="A366" s="164" t="n"/>
      <c r="B366" s="165" t="n"/>
      <c r="C366" s="165" t="n"/>
      <c r="D366" s="165" t="n"/>
      <c r="E366" s="165" t="n"/>
      <c r="F366" s="165" t="n"/>
      <c r="G366" s="166" t="n"/>
      <c r="H366" s="165" t="n"/>
      <c r="I366" s="167" t="n"/>
      <c r="J366" s="166" t="n"/>
      <c r="K366" s="165" t="n"/>
      <c r="L366" s="167" t="n"/>
      <c r="M366" s="166" t="n"/>
      <c r="N366" s="165" t="n"/>
      <c r="O366" s="167" t="n"/>
      <c r="P366" s="166" t="n"/>
      <c r="Q366" s="165" t="n"/>
      <c r="R366" s="167" t="n"/>
      <c r="S366" s="166" t="n"/>
      <c r="T366" s="165" t="n"/>
      <c r="U366" s="167" t="n"/>
      <c r="V366" s="166" t="n"/>
      <c r="W366" s="165" t="n"/>
      <c r="X366" s="167" t="n"/>
      <c r="Y366" s="166" t="n"/>
      <c r="Z366" s="165" t="n"/>
      <c r="AA366" s="167" t="n"/>
      <c r="AB366" s="166" t="n"/>
      <c r="AC366" s="165" t="n"/>
      <c r="AD366" s="167" t="n"/>
      <c r="AE366" s="190" t="inlineStr">
        <is>
          <t>— no certificate —</t>
        </is>
      </c>
      <c r="AF366" s="165" t="n"/>
      <c r="AG366" s="165" t="n"/>
      <c r="AH366" s="165" t="n"/>
      <c r="AI366" s="165" t="n"/>
      <c r="AJ366" s="167" t="n"/>
      <c r="AK366" s="168" t="inlineStr">
        <is>
          <t>220-29-М-26, (11.09.2026) [FHM-M]</t>
        </is>
      </c>
      <c r="AL366" s="165" t="n"/>
      <c r="AM366" s="165" t="n"/>
      <c r="AN366" s="167" t="n"/>
      <c r="AO366" s="190" t="inlineStr">
        <is>
          <t>— no certificate —</t>
        </is>
      </c>
      <c r="AP366" s="165" t="n"/>
      <c r="AQ366" s="165" t="n"/>
      <c r="AR366" s="165" t="n"/>
      <c r="AS366" s="167" t="n"/>
      <c r="AT366" s="166" t="n"/>
      <c r="AU366" s="165" t="n"/>
      <c r="AV366" s="169" t="n"/>
    </row>
    <row r="367" ht="21" customHeight="1" s="70">
      <c r="A367" s="125" t="inlineStr">
        <is>
          <t>JD042601</t>
        </is>
      </c>
      <c r="B367" s="126" t="inlineStr">
        <is>
          <t>P060492</t>
        </is>
      </c>
      <c r="C367" s="177" t="inlineStr">
        <is>
          <t>✗ 4 NO RESULT
(4 no cert / 0 cert w/o result)</t>
        </is>
      </c>
      <c r="D367" s="126" t="inlineStr">
        <is>
          <t>1 of 1</t>
        </is>
      </c>
      <c r="E367" s="178" t="inlineStr">
        <is>
          <t>release testing + re-analysis 220</t>
        </is>
      </c>
      <c r="F367" s="179" t="inlineStr">
        <is>
          <t>iCoA-PP_26-122
CoQ-PP_26-084 · initial release
iCoA-PP_26-148
CoQ-PP_26-125 · retest</t>
        </is>
      </c>
      <c r="G367" s="180" t="inlineStr">
        <is>
          <t>Conforms</t>
        </is>
      </c>
      <c r="H367" s="181">
        <f>IFERROR(INDEX('iCoA Register'!$B:$B,MATCH("P060492|I",'iCoA Register'!$AA:$AA,0)),"iCoA — at issue")&amp;", (13.08.2026) [PP]"</f>
        <v/>
      </c>
      <c r="I367" s="182" t="inlineStr">
        <is>
          <t>✓</t>
        </is>
      </c>
      <c r="J367" s="180" t="inlineStr">
        <is>
          <t>Conforms</t>
        </is>
      </c>
      <c r="K367" s="181">
        <f>IFERROR(INDEX('iCoA Register'!$B:$B,MATCH("P060492|I",'iCoA Register'!$AA:$AA,0)),"iCoA — at issue")&amp;", (13.08.2026) [PP]"</f>
        <v/>
      </c>
      <c r="L367" s="182" t="inlineStr">
        <is>
          <t>✓</t>
        </is>
      </c>
      <c r="M367" s="180" t="inlineStr">
        <is>
          <t>Conforms (ImB spec.)</t>
        </is>
      </c>
      <c r="N367" s="181" t="inlineStr">
        <is>
          <t>220-30-К-26, (26.08.2026) [FHM-K]</t>
        </is>
      </c>
      <c r="O367" s="182" t="inlineStr">
        <is>
          <t>✓</t>
        </is>
      </c>
      <c r="P367" s="183" t="inlineStr">
        <is>
          <t>14.89</t>
        </is>
      </c>
      <c r="Q367" s="181" t="inlineStr">
        <is>
          <t>220-30-К-26, (26.08.2026) [FHM-K]</t>
        </is>
      </c>
      <c r="R367" s="182" t="inlineStr">
        <is>
          <t>✓</t>
        </is>
      </c>
      <c r="S367" s="184" t="inlineStr">
        <is>
          <t>&lt; LOQ</t>
        </is>
      </c>
      <c r="T367" s="181" t="inlineStr">
        <is>
          <t>220-30-К-26, (26.08.2026) [FHM-K]</t>
        </is>
      </c>
      <c r="U367" s="182" t="inlineStr">
        <is>
          <t>✓</t>
        </is>
      </c>
      <c r="V367" s="184" t="inlineStr">
        <is>
          <t>&lt; LOQ</t>
        </is>
      </c>
      <c r="W367" s="181" t="inlineStr">
        <is>
          <t>220-30-К-26, (26.08.2026) [FHM-K]</t>
        </is>
      </c>
      <c r="X367" s="182" t="inlineStr">
        <is>
          <t>✓</t>
        </is>
      </c>
      <c r="Y367" s="180" t="inlineStr">
        <is>
          <t>Conforms</t>
        </is>
      </c>
      <c r="Z367" s="181">
        <f>IFERROR(INDEX('iCoA Register'!$B:$B,MATCH("P060492|I",'iCoA Register'!$AA:$AA,0)),"iCoA — at issue")&amp;", (13.08.2026) [PP]"</f>
        <v/>
      </c>
      <c r="AA367" s="182" t="inlineStr">
        <is>
          <t>✓</t>
        </is>
      </c>
      <c r="AB367" s="187" t="inlineStr">
        <is>
          <t>— MISSING —</t>
        </is>
      </c>
      <c r="AC367" s="188" t="inlineStr">
        <is>
          <t>— no certificate —</t>
        </is>
      </c>
      <c r="AD367" s="186" t="inlineStr">
        <is>
          <t>✗</t>
        </is>
      </c>
      <c r="AE367" s="171" t="inlineStr">
        <is>
          <t>— MISSING —</t>
        </is>
      </c>
      <c r="AF367" s="172" t="inlineStr">
        <is>
          <t>— MISSING —</t>
        </is>
      </c>
      <c r="AG367" s="172" t="inlineStr">
        <is>
          <t>— MISSING —</t>
        </is>
      </c>
      <c r="AH367" s="172" t="inlineStr">
        <is>
          <t>— MISSING —</t>
        </is>
      </c>
      <c r="AI367" s="172" t="inlineStr">
        <is>
          <t>— MISSING —</t>
        </is>
      </c>
      <c r="AJ367" s="186" t="inlineStr">
        <is>
          <t>✗</t>
        </is>
      </c>
      <c r="AK367" s="131" t="inlineStr">
        <is>
          <t>ND</t>
        </is>
      </c>
      <c r="AL367" s="139" t="inlineStr">
        <is>
          <t>ND</t>
        </is>
      </c>
      <c r="AM367" s="139" t="inlineStr">
        <is>
          <t>ND</t>
        </is>
      </c>
      <c r="AN367" s="182" t="inlineStr">
        <is>
          <t>✓</t>
        </is>
      </c>
      <c r="AO367" s="171" t="inlineStr">
        <is>
          <t>— MISSING —</t>
        </is>
      </c>
      <c r="AP367" s="172" t="inlineStr">
        <is>
          <t>— MISSING —</t>
        </is>
      </c>
      <c r="AQ367" s="172" t="inlineStr">
        <is>
          <t>— MISSING —</t>
        </is>
      </c>
      <c r="AR367" s="172" t="inlineStr">
        <is>
          <t>— MISSING —</t>
        </is>
      </c>
      <c r="AS367" s="186" t="inlineStr">
        <is>
          <t>✗</t>
        </is>
      </c>
      <c r="AT367" s="187" t="inlineStr">
        <is>
          <t>— MISSING —</t>
        </is>
      </c>
      <c r="AU367" s="188" t="inlineStr">
        <is>
          <t>— no certificate —</t>
        </is>
      </c>
      <c r="AV367" s="189" t="inlineStr">
        <is>
          <t>✗</t>
        </is>
      </c>
    </row>
    <row r="368" ht="39" customHeight="1" s="70">
      <c r="A368" s="164" t="n"/>
      <c r="B368" s="165" t="n"/>
      <c r="C368" s="165" t="n"/>
      <c r="D368" s="165" t="n"/>
      <c r="E368" s="165" t="n"/>
      <c r="F368" s="165" t="n"/>
      <c r="G368" s="166" t="n"/>
      <c r="H368" s="165" t="n"/>
      <c r="I368" s="167" t="n"/>
      <c r="J368" s="166" t="n"/>
      <c r="K368" s="165" t="n"/>
      <c r="L368" s="167" t="n"/>
      <c r="M368" s="166" t="n"/>
      <c r="N368" s="165" t="n"/>
      <c r="O368" s="167" t="n"/>
      <c r="P368" s="166" t="n"/>
      <c r="Q368" s="165" t="n"/>
      <c r="R368" s="167" t="n"/>
      <c r="S368" s="166" t="n"/>
      <c r="T368" s="165" t="n"/>
      <c r="U368" s="167" t="n"/>
      <c r="V368" s="166" t="n"/>
      <c r="W368" s="165" t="n"/>
      <c r="X368" s="167" t="n"/>
      <c r="Y368" s="166" t="n"/>
      <c r="Z368" s="165" t="n"/>
      <c r="AA368" s="167" t="n"/>
      <c r="AB368" s="166" t="n"/>
      <c r="AC368" s="165" t="n"/>
      <c r="AD368" s="167" t="n"/>
      <c r="AE368" s="190" t="inlineStr">
        <is>
          <t>— no certificate —</t>
        </is>
      </c>
      <c r="AF368" s="165" t="n"/>
      <c r="AG368" s="165" t="n"/>
      <c r="AH368" s="165" t="n"/>
      <c r="AI368" s="165" t="n"/>
      <c r="AJ368" s="167" t="n"/>
      <c r="AK368" s="168" t="inlineStr">
        <is>
          <t>220-30-М-26, (11.09.2026) [FHM-M]</t>
        </is>
      </c>
      <c r="AL368" s="165" t="n"/>
      <c r="AM368" s="165" t="n"/>
      <c r="AN368" s="167" t="n"/>
      <c r="AO368" s="190" t="inlineStr">
        <is>
          <t>— no certificate —</t>
        </is>
      </c>
      <c r="AP368" s="165" t="n"/>
      <c r="AQ368" s="165" t="n"/>
      <c r="AR368" s="165" t="n"/>
      <c r="AS368" s="167" t="n"/>
      <c r="AT368" s="166" t="n"/>
      <c r="AU368" s="165" t="n"/>
      <c r="AV368" s="169" t="n"/>
    </row>
    <row r="369" ht="21" customHeight="1" s="70">
      <c r="A369" s="125" t="inlineStr">
        <is>
          <t>FB042601</t>
        </is>
      </c>
      <c r="B369" s="126" t="inlineStr">
        <is>
          <t>N/A — no P batch assigned</t>
        </is>
      </c>
      <c r="C369" s="177" t="inlineStr">
        <is>
          <t>✗ 4 NO RESULT
(4 no cert / 0 cert w/o result)</t>
        </is>
      </c>
      <c r="D369" s="126" t="inlineStr">
        <is>
          <t>1 of 1</t>
        </is>
      </c>
      <c r="E369" s="178" t="inlineStr">
        <is>
          <t>release testing + re-analysis 220</t>
        </is>
      </c>
      <c r="F369" s="179" t="inlineStr">
        <is>
          <t>iCoA-PP_26-147
— at issue — · retest</t>
        </is>
      </c>
      <c r="G369" s="180" t="inlineStr">
        <is>
          <t>Conforms</t>
        </is>
      </c>
      <c r="H369" s="181">
        <f>IFERROR(INDEX('iCoA Register'!$B:$B,MATCH("FB042601|I",'iCoA Register'!$AA:$AA,0)),"iCoA — at issue")&amp;", (packaging date — to record) [PP]"</f>
        <v/>
      </c>
      <c r="I369" s="182" t="inlineStr">
        <is>
          <t>✓</t>
        </is>
      </c>
      <c r="J369" s="180" t="inlineStr">
        <is>
          <t>Conforms</t>
        </is>
      </c>
      <c r="K369" s="181">
        <f>IFERROR(INDEX('iCoA Register'!$B:$B,MATCH("FB042601|I",'iCoA Register'!$AA:$AA,0)),"iCoA — at issue")&amp;", (packaging date — to record) [PP]"</f>
        <v/>
      </c>
      <c r="L369" s="182" t="inlineStr">
        <is>
          <t>✓</t>
        </is>
      </c>
      <c r="M369" s="180" t="inlineStr">
        <is>
          <t>Conforms (ImB spec.)</t>
        </is>
      </c>
      <c r="N369" s="181" t="inlineStr">
        <is>
          <t>220-31-К-26, (26.08.2026) [FHM-K]</t>
        </is>
      </c>
      <c r="O369" s="182" t="inlineStr">
        <is>
          <t>✓</t>
        </is>
      </c>
      <c r="P369" s="183" t="inlineStr">
        <is>
          <t>14.99</t>
        </is>
      </c>
      <c r="Q369" s="181" t="inlineStr">
        <is>
          <t>220-31-К-26, (26.08.2026) [FHM-K]</t>
        </is>
      </c>
      <c r="R369" s="182" t="inlineStr">
        <is>
          <t>✓</t>
        </is>
      </c>
      <c r="S369" s="184" t="inlineStr">
        <is>
          <t>&lt; LOQ</t>
        </is>
      </c>
      <c r="T369" s="181" t="inlineStr">
        <is>
          <t>220-31-К-26, (26.08.2026) [FHM-K]</t>
        </is>
      </c>
      <c r="U369" s="182" t="inlineStr">
        <is>
          <t>✓</t>
        </is>
      </c>
      <c r="V369" s="184" t="inlineStr">
        <is>
          <t>&lt; LOQ</t>
        </is>
      </c>
      <c r="W369" s="181" t="inlineStr">
        <is>
          <t>220-31-К-26, (26.08.2026) [FHM-K]</t>
        </is>
      </c>
      <c r="X369" s="182" t="inlineStr">
        <is>
          <t>✓</t>
        </is>
      </c>
      <c r="Y369" s="180" t="inlineStr">
        <is>
          <t>Conforms</t>
        </is>
      </c>
      <c r="Z369" s="181">
        <f>IFERROR(INDEX('iCoA Register'!$B:$B,MATCH("FB042601|I",'iCoA Register'!$AA:$AA,0)),"iCoA — at issue")&amp;", (packaging date — to record) [PP]"</f>
        <v/>
      </c>
      <c r="AA369" s="182" t="inlineStr">
        <is>
          <t>✓</t>
        </is>
      </c>
      <c r="AB369" s="187" t="inlineStr">
        <is>
          <t>— MISSING —</t>
        </is>
      </c>
      <c r="AC369" s="188" t="inlineStr">
        <is>
          <t>— no certificate —</t>
        </is>
      </c>
      <c r="AD369" s="186" t="inlineStr">
        <is>
          <t>✗</t>
        </is>
      </c>
      <c r="AE369" s="171" t="inlineStr">
        <is>
          <t>— MISSING —</t>
        </is>
      </c>
      <c r="AF369" s="172" t="inlineStr">
        <is>
          <t>— MISSING —</t>
        </is>
      </c>
      <c r="AG369" s="172" t="inlineStr">
        <is>
          <t>— MISSING —</t>
        </is>
      </c>
      <c r="AH369" s="172" t="inlineStr">
        <is>
          <t>— MISSING —</t>
        </is>
      </c>
      <c r="AI369" s="172" t="inlineStr">
        <is>
          <t>— MISSING —</t>
        </is>
      </c>
      <c r="AJ369" s="186" t="inlineStr">
        <is>
          <t>✗</t>
        </is>
      </c>
      <c r="AK369" s="131" t="inlineStr">
        <is>
          <t>ND</t>
        </is>
      </c>
      <c r="AL369" s="139" t="inlineStr">
        <is>
          <t>ND</t>
        </is>
      </c>
      <c r="AM369" s="139" t="inlineStr">
        <is>
          <t>ND</t>
        </is>
      </c>
      <c r="AN369" s="182" t="inlineStr">
        <is>
          <t>✓</t>
        </is>
      </c>
      <c r="AO369" s="171" t="inlineStr">
        <is>
          <t>— MISSING —</t>
        </is>
      </c>
      <c r="AP369" s="172" t="inlineStr">
        <is>
          <t>— MISSING —</t>
        </is>
      </c>
      <c r="AQ369" s="172" t="inlineStr">
        <is>
          <t>— MISSING —</t>
        </is>
      </c>
      <c r="AR369" s="172" t="inlineStr">
        <is>
          <t>— MISSING —</t>
        </is>
      </c>
      <c r="AS369" s="186" t="inlineStr">
        <is>
          <t>✗</t>
        </is>
      </c>
      <c r="AT369" s="187" t="inlineStr">
        <is>
          <t>— MISSING —</t>
        </is>
      </c>
      <c r="AU369" s="188" t="inlineStr">
        <is>
          <t>— no certificate —</t>
        </is>
      </c>
      <c r="AV369" s="189" t="inlineStr">
        <is>
          <t>✗</t>
        </is>
      </c>
    </row>
    <row r="370" ht="21" customHeight="1" s="70">
      <c r="A370" s="164" t="n"/>
      <c r="B370" s="165" t="n"/>
      <c r="C370" s="165" t="n"/>
      <c r="D370" s="165" t="n"/>
      <c r="E370" s="165" t="n"/>
      <c r="F370" s="165" t="n"/>
      <c r="G370" s="166" t="n"/>
      <c r="H370" s="165" t="n"/>
      <c r="I370" s="167" t="n"/>
      <c r="J370" s="166" t="n"/>
      <c r="K370" s="165" t="n"/>
      <c r="L370" s="167" t="n"/>
      <c r="M370" s="166" t="n"/>
      <c r="N370" s="165" t="n"/>
      <c r="O370" s="167" t="n"/>
      <c r="P370" s="166" t="n"/>
      <c r="Q370" s="165" t="n"/>
      <c r="R370" s="167" t="n"/>
      <c r="S370" s="166" t="n"/>
      <c r="T370" s="165" t="n"/>
      <c r="U370" s="167" t="n"/>
      <c r="V370" s="166" t="n"/>
      <c r="W370" s="165" t="n"/>
      <c r="X370" s="167" t="n"/>
      <c r="Y370" s="166" t="n"/>
      <c r="Z370" s="165" t="n"/>
      <c r="AA370" s="167" t="n"/>
      <c r="AB370" s="166" t="n"/>
      <c r="AC370" s="165" t="n"/>
      <c r="AD370" s="167" t="n"/>
      <c r="AE370" s="190" t="inlineStr">
        <is>
          <t>— no certificate —</t>
        </is>
      </c>
      <c r="AF370" s="165" t="n"/>
      <c r="AG370" s="165" t="n"/>
      <c r="AH370" s="165" t="n"/>
      <c r="AI370" s="165" t="n"/>
      <c r="AJ370" s="167" t="n"/>
      <c r="AK370" s="168" t="inlineStr">
        <is>
          <t>220-31-М-26, (11.09.2026) [FHM-M]</t>
        </is>
      </c>
      <c r="AL370" s="165" t="n"/>
      <c r="AM370" s="165" t="n"/>
      <c r="AN370" s="167" t="n"/>
      <c r="AO370" s="190" t="inlineStr">
        <is>
          <t>— no certificate —</t>
        </is>
      </c>
      <c r="AP370" s="165" t="n"/>
      <c r="AQ370" s="165" t="n"/>
      <c r="AR370" s="165" t="n"/>
      <c r="AS370" s="167" t="n"/>
      <c r="AT370" s="166" t="n"/>
      <c r="AU370" s="165" t="n"/>
      <c r="AV370" s="169" t="n"/>
    </row>
    <row r="371" ht="21" customHeight="1" s="70">
      <c r="A371" s="125" t="inlineStr">
        <is>
          <t>CC042601</t>
        </is>
      </c>
      <c r="B371" s="126" t="inlineStr">
        <is>
          <t>N/A — no P batch assigned</t>
        </is>
      </c>
      <c r="C371" s="177" t="inlineStr">
        <is>
          <t>✗ 4 NO RESULT
(4 no cert / 0 cert w/o result)</t>
        </is>
      </c>
      <c r="D371" s="126" t="inlineStr">
        <is>
          <t>1 of 1</t>
        </is>
      </c>
      <c r="E371" s="178" t="inlineStr">
        <is>
          <t>release testing + re-analysis 220</t>
        </is>
      </c>
      <c r="F371" s="179" t="inlineStr">
        <is>
          <t>iCoA-PP_26-146
— at issue — · retest</t>
        </is>
      </c>
      <c r="G371" s="180" t="inlineStr">
        <is>
          <t>Conforms</t>
        </is>
      </c>
      <c r="H371" s="181">
        <f>IFERROR(INDEX('iCoA Register'!$B:$B,MATCH("CC042601|I",'iCoA Register'!$AA:$AA,0)),"iCoA — at issue")&amp;", (packaging date — to record) [PP]"</f>
        <v/>
      </c>
      <c r="I371" s="182" t="inlineStr">
        <is>
          <t>✓</t>
        </is>
      </c>
      <c r="J371" s="180" t="inlineStr">
        <is>
          <t>Conforms</t>
        </is>
      </c>
      <c r="K371" s="181">
        <f>IFERROR(INDEX('iCoA Register'!$B:$B,MATCH("CC042601|I",'iCoA Register'!$AA:$AA,0)),"iCoA — at issue")&amp;", (packaging date — to record) [PP]"</f>
        <v/>
      </c>
      <c r="L371" s="182" t="inlineStr">
        <is>
          <t>✓</t>
        </is>
      </c>
      <c r="M371" s="180" t="inlineStr">
        <is>
          <t>Conforms (ImB spec.)</t>
        </is>
      </c>
      <c r="N371" s="181" t="inlineStr">
        <is>
          <t>220-32-К-26, (26.08.2026) [FHM-K]</t>
        </is>
      </c>
      <c r="O371" s="182" t="inlineStr">
        <is>
          <t>✓</t>
        </is>
      </c>
      <c r="P371" s="183" t="inlineStr">
        <is>
          <t>14.90</t>
        </is>
      </c>
      <c r="Q371" s="181" t="inlineStr">
        <is>
          <t>220-32-К-26, (26.08.2026) [FHM-K]</t>
        </is>
      </c>
      <c r="R371" s="182" t="inlineStr">
        <is>
          <t>✓</t>
        </is>
      </c>
      <c r="S371" s="184" t="inlineStr">
        <is>
          <t>&lt; LOQ</t>
        </is>
      </c>
      <c r="T371" s="181" t="inlineStr">
        <is>
          <t>220-32-К-26, (26.08.2026) [FHM-K]</t>
        </is>
      </c>
      <c r="U371" s="182" t="inlineStr">
        <is>
          <t>✓</t>
        </is>
      </c>
      <c r="V371" s="184" t="inlineStr">
        <is>
          <t>&lt; LOQ</t>
        </is>
      </c>
      <c r="W371" s="181" t="inlineStr">
        <is>
          <t>220-32-К-26, (26.08.2026) [FHM-K]</t>
        </is>
      </c>
      <c r="X371" s="182" t="inlineStr">
        <is>
          <t>✓</t>
        </is>
      </c>
      <c r="Y371" s="180" t="inlineStr">
        <is>
          <t>Conforms</t>
        </is>
      </c>
      <c r="Z371" s="181">
        <f>IFERROR(INDEX('iCoA Register'!$B:$B,MATCH("CC042601|I",'iCoA Register'!$AA:$AA,0)),"iCoA — at issue")&amp;", (packaging date — to record) [PP]"</f>
        <v/>
      </c>
      <c r="AA371" s="182" t="inlineStr">
        <is>
          <t>✓</t>
        </is>
      </c>
      <c r="AB371" s="187" t="inlineStr">
        <is>
          <t>— MISSING —</t>
        </is>
      </c>
      <c r="AC371" s="188" t="inlineStr">
        <is>
          <t>— no certificate —</t>
        </is>
      </c>
      <c r="AD371" s="186" t="inlineStr">
        <is>
          <t>✗</t>
        </is>
      </c>
      <c r="AE371" s="171" t="inlineStr">
        <is>
          <t>— MISSING —</t>
        </is>
      </c>
      <c r="AF371" s="172" t="inlineStr">
        <is>
          <t>— MISSING —</t>
        </is>
      </c>
      <c r="AG371" s="172" t="inlineStr">
        <is>
          <t>— MISSING —</t>
        </is>
      </c>
      <c r="AH371" s="172" t="inlineStr">
        <is>
          <t>— MISSING —</t>
        </is>
      </c>
      <c r="AI371" s="172" t="inlineStr">
        <is>
          <t>— MISSING —</t>
        </is>
      </c>
      <c r="AJ371" s="186" t="inlineStr">
        <is>
          <t>✗</t>
        </is>
      </c>
      <c r="AK371" s="131" t="inlineStr">
        <is>
          <t>ND</t>
        </is>
      </c>
      <c r="AL371" s="139" t="inlineStr">
        <is>
          <t>ND</t>
        </is>
      </c>
      <c r="AM371" s="139" t="inlineStr">
        <is>
          <t>ND</t>
        </is>
      </c>
      <c r="AN371" s="182" t="inlineStr">
        <is>
          <t>✓</t>
        </is>
      </c>
      <c r="AO371" s="171" t="inlineStr">
        <is>
          <t>— MISSING —</t>
        </is>
      </c>
      <c r="AP371" s="172" t="inlineStr">
        <is>
          <t>— MISSING —</t>
        </is>
      </c>
      <c r="AQ371" s="172" t="inlineStr">
        <is>
          <t>— MISSING —</t>
        </is>
      </c>
      <c r="AR371" s="172" t="inlineStr">
        <is>
          <t>— MISSING —</t>
        </is>
      </c>
      <c r="AS371" s="186" t="inlineStr">
        <is>
          <t>✗</t>
        </is>
      </c>
      <c r="AT371" s="187" t="inlineStr">
        <is>
          <t>— MISSING —</t>
        </is>
      </c>
      <c r="AU371" s="188" t="inlineStr">
        <is>
          <t>— no certificate —</t>
        </is>
      </c>
      <c r="AV371" s="189" t="inlineStr">
        <is>
          <t>✗</t>
        </is>
      </c>
    </row>
    <row r="372" ht="21" customHeight="1" s="70">
      <c r="A372" s="164" t="n"/>
      <c r="B372" s="165" t="n"/>
      <c r="C372" s="165" t="n"/>
      <c r="D372" s="165" t="n"/>
      <c r="E372" s="165" t="n"/>
      <c r="F372" s="165" t="n"/>
      <c r="G372" s="166" t="n"/>
      <c r="H372" s="165" t="n"/>
      <c r="I372" s="167" t="n"/>
      <c r="J372" s="166" t="n"/>
      <c r="K372" s="165" t="n"/>
      <c r="L372" s="167" t="n"/>
      <c r="M372" s="166" t="n"/>
      <c r="N372" s="165" t="n"/>
      <c r="O372" s="167" t="n"/>
      <c r="P372" s="166" t="n"/>
      <c r="Q372" s="165" t="n"/>
      <c r="R372" s="167" t="n"/>
      <c r="S372" s="166" t="n"/>
      <c r="T372" s="165" t="n"/>
      <c r="U372" s="167" t="n"/>
      <c r="V372" s="166" t="n"/>
      <c r="W372" s="165" t="n"/>
      <c r="X372" s="167" t="n"/>
      <c r="Y372" s="166" t="n"/>
      <c r="Z372" s="165" t="n"/>
      <c r="AA372" s="167" t="n"/>
      <c r="AB372" s="166" t="n"/>
      <c r="AC372" s="165" t="n"/>
      <c r="AD372" s="167" t="n"/>
      <c r="AE372" s="190" t="inlineStr">
        <is>
          <t>— no certificate —</t>
        </is>
      </c>
      <c r="AF372" s="165" t="n"/>
      <c r="AG372" s="165" t="n"/>
      <c r="AH372" s="165" t="n"/>
      <c r="AI372" s="165" t="n"/>
      <c r="AJ372" s="167" t="n"/>
      <c r="AK372" s="168" t="inlineStr">
        <is>
          <t>220-32-М-26, (11.09.2026) [FHM-M]</t>
        </is>
      </c>
      <c r="AL372" s="165" t="n"/>
      <c r="AM372" s="165" t="n"/>
      <c r="AN372" s="167" t="n"/>
      <c r="AO372" s="190" t="inlineStr">
        <is>
          <t>— no certificate —</t>
        </is>
      </c>
      <c r="AP372" s="165" t="n"/>
      <c r="AQ372" s="165" t="n"/>
      <c r="AR372" s="165" t="n"/>
      <c r="AS372" s="167" t="n"/>
      <c r="AT372" s="166" t="n"/>
      <c r="AU372" s="165" t="n"/>
      <c r="AV372" s="169" t="n"/>
    </row>
    <row r="374" ht="62" customHeight="1" s="70">
      <c r="A374" s="242"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READING A BATCH WITH MORE THAN ONE SERIES: every block names itself in the three columns after STATUS — which instance of how many, which round or re-analysis campaign the documents on it belong to, and the certificate of analysis and certificate of quality that carry them. Those three are read from the certificates' own source, so a block and the certificate printed from it cannot disagree; where a block is named "no certificate of quality cites this block", the documents on it are on file and are not carried by any released certificate.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row>
  </sheetData>
  <mergeCells count="5316">
    <mergeCell ref="AC53:AC54"/>
    <mergeCell ref="M167:M168"/>
    <mergeCell ref="M161:M162"/>
    <mergeCell ref="AT33:AT34"/>
    <mergeCell ref="O227:O228"/>
    <mergeCell ref="AN165:AN166"/>
    <mergeCell ref="X279:X280"/>
    <mergeCell ref="D283:D284"/>
    <mergeCell ref="AN323:AN324"/>
    <mergeCell ref="L211:L212"/>
    <mergeCell ref="C297:C300"/>
    <mergeCell ref="U263:U264"/>
    <mergeCell ref="M309:M310"/>
    <mergeCell ref="AE40:AI40"/>
    <mergeCell ref="M303:M304"/>
    <mergeCell ref="F349:F350"/>
    <mergeCell ref="C131:C136"/>
    <mergeCell ref="Z65:Z66"/>
    <mergeCell ref="Y273:Y274"/>
    <mergeCell ref="D153:D154"/>
    <mergeCell ref="Z365:Z366"/>
    <mergeCell ref="T197:T198"/>
    <mergeCell ref="D311:D312"/>
    <mergeCell ref="AV21:AV22"/>
    <mergeCell ref="W235:W236"/>
    <mergeCell ref="Q215:Q216"/>
    <mergeCell ref="U159:U160"/>
    <mergeCell ref="N199:N200"/>
    <mergeCell ref="I371:I372"/>
    <mergeCell ref="L255:L256"/>
    <mergeCell ref="O297:O298"/>
    <mergeCell ref="O291:O292"/>
    <mergeCell ref="AB53:AB54"/>
    <mergeCell ref="L167:L168"/>
    <mergeCell ref="Q57:Q58"/>
    <mergeCell ref="A57:A64"/>
    <mergeCell ref="C75:C88"/>
    <mergeCell ref="T95:T96"/>
    <mergeCell ref="AB353:AB354"/>
    <mergeCell ref="AS33:AS34"/>
    <mergeCell ref="F299:F300"/>
    <mergeCell ref="Q357:Q358"/>
    <mergeCell ref="K189:K190"/>
    <mergeCell ref="N227:N228"/>
    <mergeCell ref="AS333:AS334"/>
    <mergeCell ref="K59:K60"/>
    <mergeCell ref="H365:H366"/>
    <mergeCell ref="AJ155:AJ156"/>
    <mergeCell ref="Q85:Q86"/>
    <mergeCell ref="L309:L310"/>
    <mergeCell ref="Y65:Y66"/>
    <mergeCell ref="N69:N70"/>
    <mergeCell ref="V327:V328"/>
    <mergeCell ref="Y365:Y366"/>
    <mergeCell ref="N369:N370"/>
    <mergeCell ref="AU21:AU22"/>
    <mergeCell ref="AA131:AA132"/>
    <mergeCell ref="AJ25:AJ26"/>
    <mergeCell ref="K201:K202"/>
    <mergeCell ref="P135:P136"/>
    <mergeCell ref="N297:N298"/>
    <mergeCell ref="S231:S232"/>
    <mergeCell ref="AA53:AA54"/>
    <mergeCell ref="P57:P58"/>
    <mergeCell ref="K229:K230"/>
    <mergeCell ref="E61:E62"/>
    <mergeCell ref="P357:P358"/>
    <mergeCell ref="AC119:AC120"/>
    <mergeCell ref="V283:V284"/>
    <mergeCell ref="R123:R124"/>
    <mergeCell ref="M347:M348"/>
    <mergeCell ref="AD211:AD212"/>
    <mergeCell ref="AT99:AT100"/>
    <mergeCell ref="X159:X160"/>
    <mergeCell ref="P199:P200"/>
    <mergeCell ref="X213:X214"/>
    <mergeCell ref="AN257:AN258"/>
    <mergeCell ref="M217:M218"/>
    <mergeCell ref="D323:D324"/>
    <mergeCell ref="G49:G50"/>
    <mergeCell ref="AC261:AC262"/>
    <mergeCell ref="W93:W94"/>
    <mergeCell ref="R265:R266"/>
    <mergeCell ref="J201:J202"/>
    <mergeCell ref="O135:O136"/>
    <mergeCell ref="AB197:AB198"/>
    <mergeCell ref="M59:M60"/>
    <mergeCell ref="AV201:AV202"/>
    <mergeCell ref="U361:U362"/>
    <mergeCell ref="AN285:AN286"/>
    <mergeCell ref="R231:R232"/>
    <mergeCell ref="X355:X356"/>
    <mergeCell ref="R187:R188"/>
    <mergeCell ref="M359:M360"/>
    <mergeCell ref="F5:F6"/>
    <mergeCell ref="F311:F312"/>
    <mergeCell ref="T253:T254"/>
    <mergeCell ref="AN301:AN302"/>
    <mergeCell ref="D367:D368"/>
    <mergeCell ref="O31:O32"/>
    <mergeCell ref="W291:W292"/>
    <mergeCell ref="Q123:Q124"/>
    <mergeCell ref="O331:O332"/>
    <mergeCell ref="AC211:AC212"/>
    <mergeCell ref="C95:C98"/>
    <mergeCell ref="R215:R216"/>
    <mergeCell ref="AC325:AC326"/>
    <mergeCell ref="W349:W350"/>
    <mergeCell ref="AT305:AT306"/>
    <mergeCell ref="F339:F340"/>
    <mergeCell ref="N81:N82"/>
    <mergeCell ref="AE144:AI144"/>
    <mergeCell ref="I179:I180"/>
    <mergeCell ref="I337:I338"/>
    <mergeCell ref="L217:L218"/>
    <mergeCell ref="AB261:AB262"/>
    <mergeCell ref="Q265:Q266"/>
    <mergeCell ref="F355:F356"/>
    <mergeCell ref="Q19:Q20"/>
    <mergeCell ref="AE204:AI204"/>
    <mergeCell ref="AC353:AC354"/>
    <mergeCell ref="F23:F24"/>
    <mergeCell ref="F181:F182"/>
    <mergeCell ref="AD327:AD328"/>
    <mergeCell ref="L59:L60"/>
    <mergeCell ref="T361:T362"/>
    <mergeCell ref="T317:T318"/>
    <mergeCell ref="L359:L360"/>
    <mergeCell ref="P69:P70"/>
    <mergeCell ref="AD343:AD344"/>
    <mergeCell ref="V269:V270"/>
    <mergeCell ref="K325:K326"/>
    <mergeCell ref="F103:F104"/>
    <mergeCell ref="S253:S254"/>
    <mergeCell ref="AB305:AB306"/>
    <mergeCell ref="T345:T346"/>
    <mergeCell ref="H169:H170"/>
    <mergeCell ref="P97:P98"/>
    <mergeCell ref="AJ259:AJ260"/>
    <mergeCell ref="AD91:AD92"/>
    <mergeCell ref="AD277:AD278"/>
    <mergeCell ref="S281:S282"/>
    <mergeCell ref="AA109:AA110"/>
    <mergeCell ref="N173:N174"/>
    <mergeCell ref="P113:P114"/>
    <mergeCell ref="P271:P272"/>
    <mergeCell ref="P265:P266"/>
    <mergeCell ref="AO112:AR112"/>
    <mergeCell ref="R31:R32"/>
    <mergeCell ref="E23:E24"/>
    <mergeCell ref="AT337:AT338"/>
    <mergeCell ref="E181:E182"/>
    <mergeCell ref="E137:E138"/>
    <mergeCell ref="AT5:AT6"/>
    <mergeCell ref="AD119:AD120"/>
    <mergeCell ref="V333:V334"/>
    <mergeCell ref="R331:R332"/>
    <mergeCell ref="R85:R86"/>
    <mergeCell ref="R199:R200"/>
    <mergeCell ref="U83:U84"/>
    <mergeCell ref="K359:K360"/>
    <mergeCell ref="P255:P256"/>
    <mergeCell ref="S335:S336"/>
    <mergeCell ref="AN7:AN8"/>
    <mergeCell ref="D73:D74"/>
    <mergeCell ref="AC11:AC12"/>
    <mergeCell ref="P167:P168"/>
    <mergeCell ref="Y213:Y214"/>
    <mergeCell ref="J299:J300"/>
    <mergeCell ref="AD347:AD348"/>
    <mergeCell ref="J293:J294"/>
    <mergeCell ref="AK30:AM30"/>
    <mergeCell ref="S351:S352"/>
    <mergeCell ref="G169:G170"/>
    <mergeCell ref="R227:R228"/>
    <mergeCell ref="U111:U112"/>
    <mergeCell ref="O97:O98"/>
    <mergeCell ref="AN35:AN36"/>
    <mergeCell ref="D301:D302"/>
    <mergeCell ref="AS169:AS170"/>
    <mergeCell ref="M21:M22"/>
    <mergeCell ref="F61:F62"/>
    <mergeCell ref="AC65:AC66"/>
    <mergeCell ref="G153:G154"/>
    <mergeCell ref="W197:W198"/>
    <mergeCell ref="AE210:AI210"/>
    <mergeCell ref="P205:P206"/>
    <mergeCell ref="D23:D24"/>
    <mergeCell ref="Q335:Q336"/>
    <mergeCell ref="T215:T216"/>
    <mergeCell ref="AS153:AS154"/>
    <mergeCell ref="W99:W100"/>
    <mergeCell ref="C309:C312"/>
    <mergeCell ref="F89:F90"/>
    <mergeCell ref="J363:J364"/>
    <mergeCell ref="AK100:AM100"/>
    <mergeCell ref="AE58:AI58"/>
    <mergeCell ref="O255:O256"/>
    <mergeCell ref="AJ161:AJ162"/>
    <mergeCell ref="L129:L130"/>
    <mergeCell ref="AB17:AB18"/>
    <mergeCell ref="AB11:AB12"/>
    <mergeCell ref="AK6:AM6"/>
    <mergeCell ref="O167:O168"/>
    <mergeCell ref="D171:D172"/>
    <mergeCell ref="D165:D166"/>
    <mergeCell ref="AC109:AC110"/>
    <mergeCell ref="V149:V150"/>
    <mergeCell ref="AV33:AV34"/>
    <mergeCell ref="E139:E140"/>
    <mergeCell ref="R351:R352"/>
    <mergeCell ref="W241:W242"/>
    <mergeCell ref="V55:V56"/>
    <mergeCell ref="K65:K66"/>
    <mergeCell ref="Q227:Q228"/>
    <mergeCell ref="V361:V362"/>
    <mergeCell ref="K365:K366"/>
    <mergeCell ref="AK322:AM322"/>
    <mergeCell ref="Q285:Q286"/>
    <mergeCell ref="O309:O310"/>
    <mergeCell ref="I141:I142"/>
    <mergeCell ref="Q69:Q70"/>
    <mergeCell ref="S9:S10"/>
    <mergeCell ref="F159:F160"/>
    <mergeCell ref="F153:F154"/>
    <mergeCell ref="AU141:AU142"/>
    <mergeCell ref="K207:K208"/>
    <mergeCell ref="Q369:Q370"/>
    <mergeCell ref="N87:N88"/>
    <mergeCell ref="AD131:AD132"/>
    <mergeCell ref="P335:P336"/>
    <mergeCell ref="AJ9:AJ10"/>
    <mergeCell ref="B309:B312"/>
    <mergeCell ref="AD33:AD34"/>
    <mergeCell ref="E209:E210"/>
    <mergeCell ref="E203:E204"/>
    <mergeCell ref="N255:N256"/>
    <mergeCell ref="Q297:Q298"/>
    <mergeCell ref="V231:V232"/>
    <mergeCell ref="K129:K130"/>
    <mergeCell ref="B169:B178"/>
    <mergeCell ref="X165:X166"/>
    <mergeCell ref="F301:F302"/>
    <mergeCell ref="AU169:AU170"/>
    <mergeCell ref="F295:F296"/>
    <mergeCell ref="P21:P22"/>
    <mergeCell ref="S57:S58"/>
    <mergeCell ref="AB109:AB110"/>
    <mergeCell ref="AJ367:AJ368"/>
    <mergeCell ref="M195:M196"/>
    <mergeCell ref="S357:S358"/>
    <mergeCell ref="M189:M190"/>
    <mergeCell ref="P233:P234"/>
    <mergeCell ref="AD175:AD176"/>
    <mergeCell ref="H273:H274"/>
    <mergeCell ref="K157:K158"/>
    <mergeCell ref="AD81:AD82"/>
    <mergeCell ref="AV65:AV66"/>
    <mergeCell ref="S85:S86"/>
    <mergeCell ref="R293:R294"/>
    <mergeCell ref="P217:P218"/>
    <mergeCell ref="J49:J50"/>
    <mergeCell ref="AT141:AT142"/>
    <mergeCell ref="J207:J208"/>
    <mergeCell ref="O335:O336"/>
    <mergeCell ref="D339:D340"/>
    <mergeCell ref="A357:A358"/>
    <mergeCell ref="X361:X362"/>
    <mergeCell ref="M259:M260"/>
    <mergeCell ref="U231:U232"/>
    <mergeCell ref="U187:U188"/>
    <mergeCell ref="E301:E302"/>
    <mergeCell ref="AT169:AT170"/>
    <mergeCell ref="C217:C220"/>
    <mergeCell ref="G67:G68"/>
    <mergeCell ref="O325:O326"/>
    <mergeCell ref="O319:O320"/>
    <mergeCell ref="S155:S156"/>
    <mergeCell ref="R363:R364"/>
    <mergeCell ref="L195:L196"/>
    <mergeCell ref="G367:G368"/>
    <mergeCell ref="U247:U248"/>
    <mergeCell ref="AK34:AM34"/>
    <mergeCell ref="AO302:AR302"/>
    <mergeCell ref="X283:X284"/>
    <mergeCell ref="T123:T124"/>
    <mergeCell ref="M287:M288"/>
    <mergeCell ref="I127:I128"/>
    <mergeCell ref="AC175:AC176"/>
    <mergeCell ref="F327:F328"/>
    <mergeCell ref="U215:U216"/>
    <mergeCell ref="I39:I40"/>
    <mergeCell ref="W307:W308"/>
    <mergeCell ref="AV157:AV158"/>
    <mergeCell ref="L179:L180"/>
    <mergeCell ref="L337:L338"/>
    <mergeCell ref="I49:I50"/>
    <mergeCell ref="T351:T352"/>
    <mergeCell ref="Y285:Y286"/>
    <mergeCell ref="V111:V112"/>
    <mergeCell ref="AU49:AU50"/>
    <mergeCell ref="K115:K116"/>
    <mergeCell ref="K273:K274"/>
    <mergeCell ref="W203:W204"/>
    <mergeCell ref="O59:O60"/>
    <mergeCell ref="W361:W362"/>
    <mergeCell ref="K141:K142"/>
    <mergeCell ref="Q341:Q342"/>
    <mergeCell ref="O359:O360"/>
    <mergeCell ref="AJ265:AJ266"/>
    <mergeCell ref="F67:F68"/>
    <mergeCell ref="N325:N326"/>
    <mergeCell ref="S217:S218"/>
    <mergeCell ref="V253:V254"/>
    <mergeCell ref="F367:F368"/>
    <mergeCell ref="P85:P86"/>
    <mergeCell ref="H127:H128"/>
    <mergeCell ref="AO118:AR118"/>
    <mergeCell ref="K169:K170"/>
    <mergeCell ref="T221:T222"/>
    <mergeCell ref="N53:N54"/>
    <mergeCell ref="H39:H40"/>
    <mergeCell ref="N353:N354"/>
    <mergeCell ref="AT127:AT128"/>
    <mergeCell ref="V281:V282"/>
    <mergeCell ref="K179:K180"/>
    <mergeCell ref="AT39:AT40"/>
    <mergeCell ref="M103:M104"/>
    <mergeCell ref="S265:S266"/>
    <mergeCell ref="A293:A296"/>
    <mergeCell ref="AE112:AI112"/>
    <mergeCell ref="Y33:Y34"/>
    <mergeCell ref="M289:M290"/>
    <mergeCell ref="Y333:Y334"/>
    <mergeCell ref="M157:M158"/>
    <mergeCell ref="E13:E14"/>
    <mergeCell ref="V203:V204"/>
    <mergeCell ref="AA257:AA258"/>
    <mergeCell ref="P341:P342"/>
    <mergeCell ref="X83:X84"/>
    <mergeCell ref="AO188:AR188"/>
    <mergeCell ref="X269:X270"/>
    <mergeCell ref="R101:R102"/>
    <mergeCell ref="M325:M326"/>
    <mergeCell ref="U259:U260"/>
    <mergeCell ref="O91:O92"/>
    <mergeCell ref="U253:U254"/>
    <mergeCell ref="M299:M300"/>
    <mergeCell ref="G131:G132"/>
    <mergeCell ref="W19:W20"/>
    <mergeCell ref="V351:V352"/>
    <mergeCell ref="P183:P184"/>
    <mergeCell ref="J169:J170"/>
    <mergeCell ref="AN329:AN330"/>
    <mergeCell ref="S221:S222"/>
    <mergeCell ref="X111:X112"/>
    <mergeCell ref="W319:W320"/>
    <mergeCell ref="Q151:Q152"/>
    <mergeCell ref="AO330:AR330"/>
    <mergeCell ref="AO324:AR324"/>
    <mergeCell ref="AC245:AC246"/>
    <mergeCell ref="M353:M354"/>
    <mergeCell ref="R243:R244"/>
    <mergeCell ref="B357:B358"/>
    <mergeCell ref="AV169:AV170"/>
    <mergeCell ref="U281:U282"/>
    <mergeCell ref="O75:O76"/>
    <mergeCell ref="AT225:AT226"/>
    <mergeCell ref="R113:R114"/>
    <mergeCell ref="AK220:AM220"/>
    <mergeCell ref="AA321:AA322"/>
    <mergeCell ref="J311:J312"/>
    <mergeCell ref="S205:S206"/>
    <mergeCell ref="X333:X334"/>
    <mergeCell ref="N11:N12"/>
    <mergeCell ref="M343:M344"/>
    <mergeCell ref="Z99:Z100"/>
    <mergeCell ref="Z257:Z258"/>
    <mergeCell ref="I89:I90"/>
    <mergeCell ref="W83:W84"/>
    <mergeCell ref="D345:D346"/>
    <mergeCell ref="R255:R256"/>
    <mergeCell ref="AV213:AV214"/>
    <mergeCell ref="Q221:Q222"/>
    <mergeCell ref="AV365:AV366"/>
    <mergeCell ref="Y35:Y36"/>
    <mergeCell ref="AE228:AI228"/>
    <mergeCell ref="AC309:AC310"/>
    <mergeCell ref="L299:L300"/>
    <mergeCell ref="F131:F132"/>
    <mergeCell ref="U351:U352"/>
    <mergeCell ref="K23:K24"/>
    <mergeCell ref="N65:N66"/>
    <mergeCell ref="W117:W118"/>
    <mergeCell ref="B217:B220"/>
    <mergeCell ref="W111:W112"/>
    <mergeCell ref="AK328:AM328"/>
    <mergeCell ref="H197:H198"/>
    <mergeCell ref="AB245:AB246"/>
    <mergeCell ref="AV355:AV356"/>
    <mergeCell ref="K235:K236"/>
    <mergeCell ref="AD5:AD6"/>
    <mergeCell ref="AC337:AC338"/>
    <mergeCell ref="N75:N76"/>
    <mergeCell ref="AV261:AV262"/>
    <mergeCell ref="A153:A156"/>
    <mergeCell ref="N93:N94"/>
    <mergeCell ref="R205:R206"/>
    <mergeCell ref="A65:A68"/>
    <mergeCell ref="AB229:AB230"/>
    <mergeCell ref="AJ15:AJ16"/>
    <mergeCell ref="Y99:Y100"/>
    <mergeCell ref="AD147:AD148"/>
    <mergeCell ref="S237:S238"/>
    <mergeCell ref="Q255:Q256"/>
    <mergeCell ref="N129:N130"/>
    <mergeCell ref="AD17:AD18"/>
    <mergeCell ref="AA165:AA166"/>
    <mergeCell ref="A49:A52"/>
    <mergeCell ref="AA323:AA324"/>
    <mergeCell ref="AJ217:AJ218"/>
    <mergeCell ref="X149:X150"/>
    <mergeCell ref="P195:P196"/>
    <mergeCell ref="P189:P190"/>
    <mergeCell ref="AO36:AR36"/>
    <mergeCell ref="Y241:Y242"/>
    <mergeCell ref="R287:R288"/>
    <mergeCell ref="M65:M66"/>
    <mergeCell ref="V117:V118"/>
    <mergeCell ref="AO222:AR222"/>
    <mergeCell ref="J327:J328"/>
    <mergeCell ref="N157:N158"/>
    <mergeCell ref="M365:M366"/>
    <mergeCell ref="G197:G198"/>
    <mergeCell ref="B369:B370"/>
    <mergeCell ref="P249:P250"/>
    <mergeCell ref="AU355:AU356"/>
    <mergeCell ref="AO96:AR96"/>
    <mergeCell ref="H289:H290"/>
    <mergeCell ref="X177:X178"/>
    <mergeCell ref="E121:E122"/>
    <mergeCell ref="U9:U10"/>
    <mergeCell ref="S2:U2"/>
    <mergeCell ref="M49:M50"/>
    <mergeCell ref="M207:M208"/>
    <mergeCell ref="AT289:AT290"/>
    <mergeCell ref="R335:R336"/>
    <mergeCell ref="K11:K12"/>
    <mergeCell ref="D57:D58"/>
    <mergeCell ref="M109:M110"/>
    <mergeCell ref="E149:E150"/>
    <mergeCell ref="D357:D358"/>
    <mergeCell ref="X73:X74"/>
    <mergeCell ref="C337:C340"/>
    <mergeCell ref="H301:H302"/>
    <mergeCell ref="R211:R212"/>
    <mergeCell ref="AA371:AA372"/>
    <mergeCell ref="O195:O196"/>
    <mergeCell ref="AT301:AT302"/>
    <mergeCell ref="AN133:AN134"/>
    <mergeCell ref="D199:D200"/>
    <mergeCell ref="X247:X248"/>
    <mergeCell ref="B273:B276"/>
    <mergeCell ref="W123:W124"/>
    <mergeCell ref="L127:L128"/>
    <mergeCell ref="I327:I328"/>
    <mergeCell ref="A369:A370"/>
    <mergeCell ref="AC349:AC350"/>
    <mergeCell ref="W181:W182"/>
    <mergeCell ref="AE194:AI194"/>
    <mergeCell ref="O223:O224"/>
    <mergeCell ref="D121:D122"/>
    <mergeCell ref="AN161:AN162"/>
    <mergeCell ref="L49:L50"/>
    <mergeCell ref="L207:L208"/>
    <mergeCell ref="AS289:AS290"/>
    <mergeCell ref="AC359:AC360"/>
    <mergeCell ref="F187:F188"/>
    <mergeCell ref="AE36:AI36"/>
    <mergeCell ref="R275:R276"/>
    <mergeCell ref="N115:N116"/>
    <mergeCell ref="N273:N274"/>
    <mergeCell ref="T367:T368"/>
    <mergeCell ref="T35:T36"/>
    <mergeCell ref="Z361:Z362"/>
    <mergeCell ref="D263:D264"/>
    <mergeCell ref="B179:B182"/>
    <mergeCell ref="B337:B340"/>
    <mergeCell ref="K43:K44"/>
    <mergeCell ref="I67:I68"/>
    <mergeCell ref="F215:F216"/>
    <mergeCell ref="Q325:Q326"/>
    <mergeCell ref="N195:N196"/>
    <mergeCell ref="S91:S92"/>
    <mergeCell ref="Y253:Y254"/>
    <mergeCell ref="I367:I368"/>
    <mergeCell ref="AJ281:AJ282"/>
    <mergeCell ref="AE364:AI364"/>
    <mergeCell ref="AB137:AB138"/>
    <mergeCell ref="K127:K128"/>
    <mergeCell ref="B99:B108"/>
    <mergeCell ref="Q53:Q54"/>
    <mergeCell ref="P261:P262"/>
    <mergeCell ref="E265:E266"/>
    <mergeCell ref="Y313:Y314"/>
    <mergeCell ref="AB349:AB350"/>
    <mergeCell ref="V181:V182"/>
    <mergeCell ref="Q353:Q354"/>
    <mergeCell ref="K185:K186"/>
    <mergeCell ref="N223:N224"/>
    <mergeCell ref="H17:H18"/>
    <mergeCell ref="N179:N180"/>
    <mergeCell ref="H361:H362"/>
    <mergeCell ref="H317:H318"/>
    <mergeCell ref="P289:P290"/>
    <mergeCell ref="E187:E188"/>
    <mergeCell ref="M115:M116"/>
    <mergeCell ref="F279:F280"/>
    <mergeCell ref="S41:S42"/>
    <mergeCell ref="N213:N214"/>
    <mergeCell ref="P305:P306"/>
    <mergeCell ref="S341:S342"/>
    <mergeCell ref="E29:E30"/>
    <mergeCell ref="AA269:AA270"/>
    <mergeCell ref="U101:U102"/>
    <mergeCell ref="E215:E216"/>
    <mergeCell ref="P325:P326"/>
    <mergeCell ref="AD153:AD154"/>
    <mergeCell ref="E329:E330"/>
    <mergeCell ref="AT197:AT198"/>
    <mergeCell ref="B111:B116"/>
    <mergeCell ref="R91:R92"/>
    <mergeCell ref="G95:G96"/>
    <mergeCell ref="R277:R278"/>
    <mergeCell ref="A99:A108"/>
    <mergeCell ref="D265:D266"/>
    <mergeCell ref="J33:J34"/>
    <mergeCell ref="P353:P354"/>
    <mergeCell ref="AV127:AV128"/>
    <mergeCell ref="J333:J334"/>
    <mergeCell ref="R119:R120"/>
    <mergeCell ref="G17:G18"/>
    <mergeCell ref="G317:G318"/>
    <mergeCell ref="AK90:AM90"/>
    <mergeCell ref="X339:X340"/>
    <mergeCell ref="AN227:AN228"/>
    <mergeCell ref="AB7:AB8"/>
    <mergeCell ref="U171:U172"/>
    <mergeCell ref="D161:D162"/>
    <mergeCell ref="R41:R42"/>
    <mergeCell ref="AC99:AC100"/>
    <mergeCell ref="M213:M214"/>
    <mergeCell ref="AC257:AC258"/>
    <mergeCell ref="R341:R342"/>
    <mergeCell ref="T107:T108"/>
    <mergeCell ref="AK118:AM118"/>
    <mergeCell ref="T101:T102"/>
    <mergeCell ref="AB35:AB36"/>
    <mergeCell ref="A111:A116"/>
    <mergeCell ref="L263:L264"/>
    <mergeCell ref="F95:F96"/>
    <mergeCell ref="I131:I132"/>
    <mergeCell ref="R25:R26"/>
    <mergeCell ref="X351:X352"/>
    <mergeCell ref="AE92:AI92"/>
    <mergeCell ref="G187:G188"/>
    <mergeCell ref="Z117:Z118"/>
    <mergeCell ref="Z111:Z112"/>
    <mergeCell ref="S157:S158"/>
    <mergeCell ref="K197:K198"/>
    <mergeCell ref="AK154:AM154"/>
    <mergeCell ref="T249:T250"/>
    <mergeCell ref="AN297:AN298"/>
    <mergeCell ref="O27:O28"/>
    <mergeCell ref="AS187:AS188"/>
    <mergeCell ref="Q119:Q120"/>
    <mergeCell ref="Q75:Q76"/>
    <mergeCell ref="N251:N252"/>
    <mergeCell ref="S185:S186"/>
    <mergeCell ref="F291:F292"/>
    <mergeCell ref="AK188:AM188"/>
    <mergeCell ref="T171:T172"/>
    <mergeCell ref="P11:P12"/>
    <mergeCell ref="AK182:AM182"/>
    <mergeCell ref="O343:O344"/>
    <mergeCell ref="AB99:AB100"/>
    <mergeCell ref="L213:L214"/>
    <mergeCell ref="AB257:AB258"/>
    <mergeCell ref="V237:V238"/>
    <mergeCell ref="F345:F346"/>
    <mergeCell ref="AE200:AI200"/>
    <mergeCell ref="AD165:AD166"/>
    <mergeCell ref="N279:N280"/>
    <mergeCell ref="H111:H112"/>
    <mergeCell ref="AD323:AD324"/>
    <mergeCell ref="K147:K148"/>
    <mergeCell ref="AJ91:AJ92"/>
    <mergeCell ref="AJ201:AJ202"/>
    <mergeCell ref="AE368:AI368"/>
    <mergeCell ref="AT111:AT112"/>
    <mergeCell ref="V79:V80"/>
    <mergeCell ref="AB241:AB242"/>
    <mergeCell ref="P65:P66"/>
    <mergeCell ref="E69:E70"/>
    <mergeCell ref="K321:K322"/>
    <mergeCell ref="AE184:AI184"/>
    <mergeCell ref="J197:J198"/>
    <mergeCell ref="AD245:AD246"/>
    <mergeCell ref="S249:S250"/>
    <mergeCell ref="D335:D336"/>
    <mergeCell ref="AO358:AR358"/>
    <mergeCell ref="P75:P76"/>
    <mergeCell ref="C153:C156"/>
    <mergeCell ref="X9:X10"/>
    <mergeCell ref="AV197:AV198"/>
    <mergeCell ref="U315:U316"/>
    <mergeCell ref="J213:J214"/>
    <mergeCell ref="V2:X2"/>
    <mergeCell ref="K305:K306"/>
    <mergeCell ref="AD229:AD230"/>
    <mergeCell ref="N343:N344"/>
    <mergeCell ref="G57:G58"/>
    <mergeCell ref="P109:P110"/>
    <mergeCell ref="X367:X368"/>
    <mergeCell ref="S145:S146"/>
    <mergeCell ref="U237:U238"/>
    <mergeCell ref="Z127:Z128"/>
    <mergeCell ref="J241:J242"/>
    <mergeCell ref="AO250:AR250"/>
    <mergeCell ref="M283:M284"/>
    <mergeCell ref="M277:M278"/>
    <mergeCell ref="AC165:AC166"/>
    <mergeCell ref="E133:E134"/>
    <mergeCell ref="O43:O44"/>
    <mergeCell ref="O159:O160"/>
    <mergeCell ref="AV241:AV242"/>
    <mergeCell ref="R195:R196"/>
    <mergeCell ref="U79:U80"/>
    <mergeCell ref="D69:D70"/>
    <mergeCell ref="AC13:AC14"/>
    <mergeCell ref="L327:L328"/>
    <mergeCell ref="AC7:AC8"/>
    <mergeCell ref="AT317:AT318"/>
    <mergeCell ref="I197:I198"/>
    <mergeCell ref="D369:D370"/>
    <mergeCell ref="W139:W140"/>
    <mergeCell ref="Z25:Z26"/>
    <mergeCell ref="L229:L230"/>
    <mergeCell ref="AB273:AB274"/>
    <mergeCell ref="R223:R224"/>
    <mergeCell ref="L55:L56"/>
    <mergeCell ref="AU197:AU198"/>
    <mergeCell ref="AC365:AC366"/>
    <mergeCell ref="AS253:AS254"/>
    <mergeCell ref="AV289:AV290"/>
    <mergeCell ref="B127:B130"/>
    <mergeCell ref="I187:I188"/>
    <mergeCell ref="F57:F58"/>
    <mergeCell ref="W367:W368"/>
    <mergeCell ref="AV305:AV306"/>
    <mergeCell ref="L371:L372"/>
    <mergeCell ref="W193:W194"/>
    <mergeCell ref="AE206:AI206"/>
    <mergeCell ref="Y127:Y128"/>
    <mergeCell ref="AK368:AM368"/>
    <mergeCell ref="L283:L284"/>
    <mergeCell ref="Q175:Q176"/>
    <mergeCell ref="T211:T212"/>
    <mergeCell ref="AK222:AM222"/>
    <mergeCell ref="N43:N44"/>
    <mergeCell ref="C47:C48"/>
    <mergeCell ref="W95:W96"/>
    <mergeCell ref="AU241:AU242"/>
    <mergeCell ref="K307:K308"/>
    <mergeCell ref="W209:W210"/>
    <mergeCell ref="F199:F200"/>
    <mergeCell ref="AV333:AV334"/>
    <mergeCell ref="AB13:AB14"/>
    <mergeCell ref="K327:K328"/>
    <mergeCell ref="M93:M94"/>
    <mergeCell ref="AD289:AD290"/>
    <mergeCell ref="AB313:AB314"/>
    <mergeCell ref="F257:F258"/>
    <mergeCell ref="V145:V146"/>
    <mergeCell ref="AD73:AD74"/>
    <mergeCell ref="AU269:AU270"/>
    <mergeCell ref="W237:W238"/>
    <mergeCell ref="AE250:AI250"/>
    <mergeCell ref="Q223:Q224"/>
    <mergeCell ref="AO124:AR124"/>
    <mergeCell ref="K361:K362"/>
    <mergeCell ref="AK318:AM318"/>
    <mergeCell ref="AJ299:AJ300"/>
    <mergeCell ref="H187:H188"/>
    <mergeCell ref="B325:B326"/>
    <mergeCell ref="B319:B320"/>
    <mergeCell ref="K371:K372"/>
    <mergeCell ref="V41:V42"/>
    <mergeCell ref="AT187:AT188"/>
    <mergeCell ref="AD301:AD302"/>
    <mergeCell ref="D85:D86"/>
    <mergeCell ref="S305:S306"/>
    <mergeCell ref="V341:V342"/>
    <mergeCell ref="P173:P174"/>
    <mergeCell ref="AJ221:AJ222"/>
    <mergeCell ref="X101:X102"/>
    <mergeCell ref="B47:B48"/>
    <mergeCell ref="AO320:AR320"/>
    <mergeCell ref="M349:M350"/>
    <mergeCell ref="R239:R240"/>
    <mergeCell ref="B353:B354"/>
    <mergeCell ref="AN47:AN48"/>
    <mergeCell ref="X161:X162"/>
    <mergeCell ref="X275:X276"/>
    <mergeCell ref="K267:K268"/>
    <mergeCell ref="S53:S54"/>
    <mergeCell ref="G265:G266"/>
    <mergeCell ref="AO48:AR48"/>
    <mergeCell ref="M33:M34"/>
    <mergeCell ref="S353:S354"/>
    <mergeCell ref="AO348:AR348"/>
    <mergeCell ref="M333:M334"/>
    <mergeCell ref="U119:U120"/>
    <mergeCell ref="J17:J18"/>
    <mergeCell ref="D35:D36"/>
    <mergeCell ref="J361:J362"/>
    <mergeCell ref="J317:J318"/>
    <mergeCell ref="F101:F102"/>
    <mergeCell ref="AV361:AV362"/>
    <mergeCell ref="U41:U42"/>
    <mergeCell ref="P213:P214"/>
    <mergeCell ref="I253:I254"/>
    <mergeCell ref="AA355:AA356"/>
    <mergeCell ref="AN117:AN118"/>
    <mergeCell ref="D177:D178"/>
    <mergeCell ref="B257:B260"/>
    <mergeCell ref="W107:W108"/>
    <mergeCell ref="W101:W102"/>
    <mergeCell ref="L111:L112"/>
    <mergeCell ref="T91:T92"/>
    <mergeCell ref="AK102:AM102"/>
    <mergeCell ref="Q239:Q240"/>
    <mergeCell ref="A353:A354"/>
    <mergeCell ref="AC327:AC328"/>
    <mergeCell ref="I281:I282"/>
    <mergeCell ref="U183:U184"/>
    <mergeCell ref="W275:W276"/>
    <mergeCell ref="L279:L280"/>
    <mergeCell ref="O321:O322"/>
    <mergeCell ref="L33:L34"/>
    <mergeCell ref="G205:G206"/>
    <mergeCell ref="AB77:AB78"/>
    <mergeCell ref="Q81:Q82"/>
    <mergeCell ref="W243:W244"/>
    <mergeCell ref="Y341:Y342"/>
    <mergeCell ref="L333:L334"/>
    <mergeCell ref="AJ5:AJ6"/>
    <mergeCell ref="T119:T120"/>
    <mergeCell ref="AS57:AS58"/>
    <mergeCell ref="AD143:AD144"/>
    <mergeCell ref="N257:N258"/>
    <mergeCell ref="AE320:AI320"/>
    <mergeCell ref="AS357:AS358"/>
    <mergeCell ref="AB279:AB280"/>
    <mergeCell ref="AU123:AU124"/>
    <mergeCell ref="AJ21:AJ22"/>
    <mergeCell ref="D247:D248"/>
    <mergeCell ref="W171:W172"/>
    <mergeCell ref="S11:S12"/>
    <mergeCell ref="AV109:AV110"/>
    <mergeCell ref="L175:L176"/>
    <mergeCell ref="A197:A200"/>
    <mergeCell ref="AK58:AM58"/>
    <mergeCell ref="N267:N268"/>
    <mergeCell ref="F307:F308"/>
    <mergeCell ref="T347:T348"/>
    <mergeCell ref="AK358:AM358"/>
    <mergeCell ref="V107:V108"/>
    <mergeCell ref="K111:K112"/>
    <mergeCell ref="AJ49:AJ50"/>
    <mergeCell ref="N147:N148"/>
    <mergeCell ref="P245:P246"/>
    <mergeCell ref="P239:P240"/>
    <mergeCell ref="E243:E244"/>
    <mergeCell ref="H285:H286"/>
    <mergeCell ref="R5:R6"/>
    <mergeCell ref="Y265:Y266"/>
    <mergeCell ref="N163:N164"/>
    <mergeCell ref="AD207:AD208"/>
    <mergeCell ref="N321:N322"/>
    <mergeCell ref="AA357:AA358"/>
    <mergeCell ref="C325:C326"/>
    <mergeCell ref="A241:A244"/>
    <mergeCell ref="K33:K34"/>
    <mergeCell ref="F205:F206"/>
    <mergeCell ref="V249:V250"/>
    <mergeCell ref="AU187:AU188"/>
    <mergeCell ref="K333:K334"/>
    <mergeCell ref="X15:X16"/>
    <mergeCell ref="AO114:AR114"/>
    <mergeCell ref="AO70:AR70"/>
    <mergeCell ref="AO228:AR228"/>
    <mergeCell ref="M99:M100"/>
    <mergeCell ref="AC143:AC144"/>
    <mergeCell ref="R147:R148"/>
    <mergeCell ref="Y301:Y302"/>
    <mergeCell ref="E255:E256"/>
    <mergeCell ref="N349:N350"/>
    <mergeCell ref="AT123:AT124"/>
    <mergeCell ref="AA67:AA68"/>
    <mergeCell ref="S109:S110"/>
    <mergeCell ref="P309:P310"/>
    <mergeCell ref="E313:E314"/>
    <mergeCell ref="A289:A292"/>
    <mergeCell ref="D189:D190"/>
    <mergeCell ref="X237:X238"/>
    <mergeCell ref="R69:R70"/>
    <mergeCell ref="M241:M242"/>
    <mergeCell ref="J117:J118"/>
    <mergeCell ref="R369:R370"/>
    <mergeCell ref="A305:A308"/>
    <mergeCell ref="T135:T136"/>
    <mergeCell ref="G285:G286"/>
    <mergeCell ref="AV111:AV112"/>
    <mergeCell ref="L177:L178"/>
    <mergeCell ref="X79:X80"/>
    <mergeCell ref="I51:I52"/>
    <mergeCell ref="M163:M164"/>
    <mergeCell ref="R97:R98"/>
    <mergeCell ref="G2:I2"/>
    <mergeCell ref="W231:W232"/>
    <mergeCell ref="U249:U250"/>
    <mergeCell ref="F335:F336"/>
    <mergeCell ref="O229:O230"/>
    <mergeCell ref="W15:W16"/>
    <mergeCell ref="AN325:AN326"/>
    <mergeCell ref="W315:W316"/>
    <mergeCell ref="Q147:Q148"/>
    <mergeCell ref="AV253:AV254"/>
    <mergeCell ref="D139:D140"/>
    <mergeCell ref="D259:D260"/>
    <mergeCell ref="Z67:Z68"/>
    <mergeCell ref="O71:O72"/>
    <mergeCell ref="R109:R110"/>
    <mergeCell ref="Z367:Z368"/>
    <mergeCell ref="AK210:AM210"/>
    <mergeCell ref="D313:D314"/>
    <mergeCell ref="O371:O372"/>
    <mergeCell ref="AB133:AB134"/>
    <mergeCell ref="L247:L248"/>
    <mergeCell ref="AB127:AB128"/>
    <mergeCell ref="L241:L242"/>
    <mergeCell ref="O283:O284"/>
    <mergeCell ref="R167:R168"/>
    <mergeCell ref="N7:N8"/>
    <mergeCell ref="AS113:AS114"/>
    <mergeCell ref="AE70:AI70"/>
    <mergeCell ref="Q43:Q44"/>
    <mergeCell ref="Z95:Z96"/>
    <mergeCell ref="N307:N308"/>
    <mergeCell ref="F285:F286"/>
    <mergeCell ref="K181:K182"/>
    <mergeCell ref="T227:T228"/>
    <mergeCell ref="H51:H52"/>
    <mergeCell ref="AB161:AB162"/>
    <mergeCell ref="AJ141:AJ142"/>
    <mergeCell ref="AD273:AD274"/>
    <mergeCell ref="F275:F276"/>
    <mergeCell ref="N55:N56"/>
    <mergeCell ref="AE124:AI124"/>
    <mergeCell ref="B213:B216"/>
    <mergeCell ref="AK280:AM280"/>
    <mergeCell ref="AU253:AU254"/>
    <mergeCell ref="E151:E152"/>
    <mergeCell ref="H35:H36"/>
    <mergeCell ref="H193:H194"/>
    <mergeCell ref="Q87:Q88"/>
    <mergeCell ref="P295:P296"/>
    <mergeCell ref="Q245:Q246"/>
    <mergeCell ref="E19:E20"/>
    <mergeCell ref="AJ169:AJ170"/>
    <mergeCell ref="N71:N72"/>
    <mergeCell ref="AT193:AT194"/>
    <mergeCell ref="E319:E320"/>
    <mergeCell ref="N371:N372"/>
    <mergeCell ref="T297:T298"/>
    <mergeCell ref="P137:P138"/>
    <mergeCell ref="AT89:AT90"/>
    <mergeCell ref="P43:P44"/>
    <mergeCell ref="AD317:AD318"/>
    <mergeCell ref="E53:E54"/>
    <mergeCell ref="K215:K216"/>
    <mergeCell ref="E47:E48"/>
    <mergeCell ref="N99:N100"/>
    <mergeCell ref="V357:V358"/>
    <mergeCell ref="J181:J182"/>
    <mergeCell ref="AB3:AC3"/>
    <mergeCell ref="S233:S234"/>
    <mergeCell ref="S347:S348"/>
    <mergeCell ref="AA161:AA162"/>
    <mergeCell ref="P59:P60"/>
    <mergeCell ref="E63:E64"/>
    <mergeCell ref="AD197:AD198"/>
    <mergeCell ref="E221:E222"/>
    <mergeCell ref="C137:C140"/>
    <mergeCell ref="P359:P360"/>
    <mergeCell ref="X145:X146"/>
    <mergeCell ref="U293:U294"/>
    <mergeCell ref="B117:B122"/>
    <mergeCell ref="P185:P186"/>
    <mergeCell ref="R125:R126"/>
    <mergeCell ref="R283:R284"/>
    <mergeCell ref="M17:M18"/>
    <mergeCell ref="AD213:AD214"/>
    <mergeCell ref="AT257:AT258"/>
    <mergeCell ref="J323:J324"/>
    <mergeCell ref="G35:G36"/>
    <mergeCell ref="M361:M362"/>
    <mergeCell ref="G193:G194"/>
    <mergeCell ref="P201:P202"/>
    <mergeCell ref="AN65:AN66"/>
    <mergeCell ref="AV323:AV324"/>
    <mergeCell ref="I101:I102"/>
    <mergeCell ref="E117:E118"/>
    <mergeCell ref="D325:D326"/>
    <mergeCell ref="AS193:AS194"/>
    <mergeCell ref="R153:R154"/>
    <mergeCell ref="G209:G210"/>
    <mergeCell ref="R267:R268"/>
    <mergeCell ref="F85:F86"/>
    <mergeCell ref="W281:W282"/>
    <mergeCell ref="U305:U306"/>
    <mergeCell ref="AT285:AT286"/>
    <mergeCell ref="C333:C336"/>
    <mergeCell ref="O137:O138"/>
    <mergeCell ref="AN75:AN76"/>
    <mergeCell ref="R173:R174"/>
    <mergeCell ref="AK282:AM282"/>
    <mergeCell ref="AS209:AS210"/>
    <mergeCell ref="P229:P230"/>
    <mergeCell ref="I269:I270"/>
    <mergeCell ref="D53:D54"/>
    <mergeCell ref="D9:D10"/>
    <mergeCell ref="U363:U364"/>
    <mergeCell ref="Q203:Q204"/>
    <mergeCell ref="T239:T240"/>
    <mergeCell ref="AN287:AN288"/>
    <mergeCell ref="D353:D354"/>
    <mergeCell ref="AC291:AC292"/>
    <mergeCell ref="O33:O34"/>
    <mergeCell ref="AV273:AV274"/>
    <mergeCell ref="L339:L340"/>
    <mergeCell ref="AB227:AB228"/>
    <mergeCell ref="AT297:AT298"/>
    <mergeCell ref="AV57:AV58"/>
    <mergeCell ref="I323:I324"/>
    <mergeCell ref="R217:R218"/>
    <mergeCell ref="F41:F42"/>
    <mergeCell ref="F155:F156"/>
    <mergeCell ref="AV357:AV358"/>
    <mergeCell ref="F341:F342"/>
    <mergeCell ref="N83:N84"/>
    <mergeCell ref="AE190:AI190"/>
    <mergeCell ref="AU323:AU324"/>
    <mergeCell ref="H101:H102"/>
    <mergeCell ref="Q153:Q154"/>
    <mergeCell ref="Q267:Q268"/>
    <mergeCell ref="T309:T310"/>
    <mergeCell ref="AD29:AD30"/>
    <mergeCell ref="F25:F26"/>
    <mergeCell ref="V69:V70"/>
    <mergeCell ref="F183:F184"/>
    <mergeCell ref="AD329:AD330"/>
    <mergeCell ref="AU9:AU10"/>
    <mergeCell ref="S333:S334"/>
    <mergeCell ref="N111:N112"/>
    <mergeCell ref="V369:V370"/>
    <mergeCell ref="M77:M78"/>
    <mergeCell ref="S239:S240"/>
    <mergeCell ref="AB297:AB298"/>
    <mergeCell ref="AB291:AB292"/>
    <mergeCell ref="Q295:Q296"/>
    <mergeCell ref="U5:U6"/>
    <mergeCell ref="E119:E120"/>
    <mergeCell ref="E75:E76"/>
    <mergeCell ref="AD57:AD58"/>
    <mergeCell ref="Q163:Q164"/>
    <mergeCell ref="Q321:Q322"/>
    <mergeCell ref="AD357:AD358"/>
    <mergeCell ref="K339:K340"/>
    <mergeCell ref="S81:S82"/>
    <mergeCell ref="AJ277:AJ278"/>
    <mergeCell ref="M219:M220"/>
    <mergeCell ref="P99:P100"/>
    <mergeCell ref="P257:P258"/>
    <mergeCell ref="E155:E156"/>
    <mergeCell ref="K355:K356"/>
    <mergeCell ref="AT323:AT324"/>
    <mergeCell ref="V319:V320"/>
    <mergeCell ref="H13:H14"/>
    <mergeCell ref="G221:G222"/>
    <mergeCell ref="X85:X86"/>
    <mergeCell ref="A253:A256"/>
    <mergeCell ref="S309:S310"/>
    <mergeCell ref="H313:H314"/>
    <mergeCell ref="X201:X202"/>
    <mergeCell ref="R33:R34"/>
    <mergeCell ref="E25:E26"/>
    <mergeCell ref="U69:U70"/>
    <mergeCell ref="E183:E184"/>
    <mergeCell ref="AT13:AT14"/>
    <mergeCell ref="P241:P242"/>
    <mergeCell ref="S125:S126"/>
    <mergeCell ref="R333:R334"/>
    <mergeCell ref="M111:M112"/>
    <mergeCell ref="U369:U370"/>
    <mergeCell ref="AT313:AT314"/>
    <mergeCell ref="W135:W136"/>
    <mergeCell ref="G249:G250"/>
    <mergeCell ref="AJ347:AJ348"/>
    <mergeCell ref="J285:J286"/>
    <mergeCell ref="AO142:AR142"/>
    <mergeCell ref="S337:S338"/>
    <mergeCell ref="D75:D76"/>
    <mergeCell ref="H341:H342"/>
    <mergeCell ref="AN115:AN116"/>
    <mergeCell ref="AT367:AT368"/>
    <mergeCell ref="U103:U104"/>
    <mergeCell ref="AA265:AA266"/>
    <mergeCell ref="U97:U98"/>
    <mergeCell ref="P321:P322"/>
    <mergeCell ref="AT35:AT36"/>
    <mergeCell ref="J101:J102"/>
    <mergeCell ref="J2:L2"/>
    <mergeCell ref="E325:E326"/>
    <mergeCell ref="C241:C244"/>
    <mergeCell ref="AT341:AT342"/>
    <mergeCell ref="R229:R230"/>
    <mergeCell ref="L219:L220"/>
    <mergeCell ref="U113:U114"/>
    <mergeCell ref="AN195:AN196"/>
    <mergeCell ref="W331:W332"/>
    <mergeCell ref="AE18:AI18"/>
    <mergeCell ref="B141:B152"/>
    <mergeCell ref="W85:W86"/>
    <mergeCell ref="AV29:AV30"/>
    <mergeCell ref="L89:L90"/>
    <mergeCell ref="G313:G314"/>
    <mergeCell ref="U255:U256"/>
    <mergeCell ref="AV329:AV330"/>
    <mergeCell ref="AS13:AS14"/>
    <mergeCell ref="O241:O242"/>
    <mergeCell ref="AN179:AN180"/>
    <mergeCell ref="U167:U168"/>
    <mergeCell ref="Q7:Q8"/>
    <mergeCell ref="AS313:AS314"/>
    <mergeCell ref="D157:D158"/>
    <mergeCell ref="AC95:AC96"/>
    <mergeCell ref="V135:V136"/>
    <mergeCell ref="K139:K140"/>
    <mergeCell ref="W233:W234"/>
    <mergeCell ref="W227:W228"/>
    <mergeCell ref="G341:G342"/>
    <mergeCell ref="Y319:Y320"/>
    <mergeCell ref="T103:T104"/>
    <mergeCell ref="T59:T60"/>
    <mergeCell ref="AK228:AM228"/>
    <mergeCell ref="AJ289:AJ290"/>
    <mergeCell ref="N235:N236"/>
    <mergeCell ref="T359:T360"/>
    <mergeCell ref="AS341:AS342"/>
    <mergeCell ref="A269:A272"/>
    <mergeCell ref="L159:L160"/>
    <mergeCell ref="K367:K368"/>
    <mergeCell ref="S147:S148"/>
    <mergeCell ref="K193:K194"/>
    <mergeCell ref="M127:M128"/>
    <mergeCell ref="M285:M286"/>
    <mergeCell ref="V179:V180"/>
    <mergeCell ref="Y221:Y222"/>
    <mergeCell ref="Q71:Q72"/>
    <mergeCell ref="A141:A152"/>
    <mergeCell ref="K89:K90"/>
    <mergeCell ref="K209:K210"/>
    <mergeCell ref="Q371:Q372"/>
    <mergeCell ref="S23:S24"/>
    <mergeCell ref="AD133:AD134"/>
    <mergeCell ref="N247:N248"/>
    <mergeCell ref="AA281:AA282"/>
    <mergeCell ref="S137:S138"/>
    <mergeCell ref="AJ333:AJ334"/>
    <mergeCell ref="X151:X152"/>
    <mergeCell ref="F287:F288"/>
    <mergeCell ref="P7:P8"/>
    <mergeCell ref="X265:X266"/>
    <mergeCell ref="H47:H48"/>
    <mergeCell ref="AB95:AB96"/>
    <mergeCell ref="AJ353:AJ354"/>
    <mergeCell ref="J145:J146"/>
    <mergeCell ref="P307:P308"/>
    <mergeCell ref="J139:J140"/>
    <mergeCell ref="M181:M182"/>
    <mergeCell ref="V233:V234"/>
    <mergeCell ref="AD161:AD162"/>
    <mergeCell ref="S59:S60"/>
    <mergeCell ref="P365:P366"/>
    <mergeCell ref="H221:H222"/>
    <mergeCell ref="X293:X294"/>
    <mergeCell ref="U125:U126"/>
    <mergeCell ref="U283:U284"/>
    <mergeCell ref="K159:K160"/>
    <mergeCell ref="J35:J36"/>
    <mergeCell ref="J193:J194"/>
    <mergeCell ref="S87:S88"/>
    <mergeCell ref="X221:X222"/>
    <mergeCell ref="AS157:AS158"/>
    <mergeCell ref="AV193:AV194"/>
    <mergeCell ref="U153:U154"/>
    <mergeCell ref="J209:J210"/>
    <mergeCell ref="Z281:Z282"/>
    <mergeCell ref="R137:R138"/>
    <mergeCell ref="D341:D342"/>
    <mergeCell ref="W271:W272"/>
    <mergeCell ref="W265:W266"/>
    <mergeCell ref="AK2:AN2"/>
    <mergeCell ref="AV209:AV210"/>
    <mergeCell ref="L275:L276"/>
    <mergeCell ref="G53:G54"/>
    <mergeCell ref="AE110:AI110"/>
    <mergeCell ref="X363:X364"/>
    <mergeCell ref="L181:L182"/>
    <mergeCell ref="U233:U234"/>
    <mergeCell ref="Z123:Z124"/>
    <mergeCell ref="M273:M274"/>
    <mergeCell ref="AS47:AS48"/>
    <mergeCell ref="AC161:AC162"/>
    <mergeCell ref="W299:W300"/>
    <mergeCell ref="W255:W256"/>
    <mergeCell ref="W293:W294"/>
    <mergeCell ref="T125:T126"/>
    <mergeCell ref="L165:L166"/>
    <mergeCell ref="L323:L324"/>
    <mergeCell ref="U217:U218"/>
    <mergeCell ref="AK194:AM194"/>
    <mergeCell ref="O355:O356"/>
    <mergeCell ref="W141:W142"/>
    <mergeCell ref="K101:K102"/>
    <mergeCell ref="AU193:AU194"/>
    <mergeCell ref="T153:T154"/>
    <mergeCell ref="AJ197:AJ198"/>
    <mergeCell ref="F357:F358"/>
    <mergeCell ref="AV285:AV286"/>
    <mergeCell ref="AA47:AA48"/>
    <mergeCell ref="AS117:AS118"/>
    <mergeCell ref="I183:I184"/>
    <mergeCell ref="F53:F54"/>
    <mergeCell ref="AJ213:AJ214"/>
    <mergeCell ref="N311:N312"/>
    <mergeCell ref="W363:W364"/>
    <mergeCell ref="S203:S204"/>
    <mergeCell ref="L367:L368"/>
    <mergeCell ref="AE50:AI50"/>
    <mergeCell ref="P77:P78"/>
    <mergeCell ref="K243:K244"/>
    <mergeCell ref="N127:N128"/>
    <mergeCell ref="C141:C152"/>
    <mergeCell ref="AO218:AR218"/>
    <mergeCell ref="N39:N40"/>
    <mergeCell ref="V255:V256"/>
    <mergeCell ref="F37:F38"/>
    <mergeCell ref="N339:N340"/>
    <mergeCell ref="C165:C168"/>
    <mergeCell ref="X21:X22"/>
    <mergeCell ref="K171:K172"/>
    <mergeCell ref="AJ109:AJ110"/>
    <mergeCell ref="S257:S258"/>
    <mergeCell ref="AD285:AD286"/>
    <mergeCell ref="N355:N356"/>
    <mergeCell ref="AA117:AA118"/>
    <mergeCell ref="P115:P116"/>
    <mergeCell ref="X49:X50"/>
    <mergeCell ref="M105:M106"/>
    <mergeCell ref="E31:E32"/>
    <mergeCell ref="AO262:AR262"/>
    <mergeCell ref="X69:X70"/>
    <mergeCell ref="H183:H184"/>
    <mergeCell ref="E331:E332"/>
    <mergeCell ref="AD269:AD270"/>
    <mergeCell ref="B321:B322"/>
    <mergeCell ref="O77:O78"/>
    <mergeCell ref="AT183:AT184"/>
    <mergeCell ref="AD297:AD298"/>
    <mergeCell ref="D81:D82"/>
    <mergeCell ref="X129:X130"/>
    <mergeCell ref="J243:J244"/>
    <mergeCell ref="W5:W6"/>
    <mergeCell ref="V337:V338"/>
    <mergeCell ref="P169:P170"/>
    <mergeCell ref="AN315:AN316"/>
    <mergeCell ref="AC319:AC320"/>
    <mergeCell ref="X97:X98"/>
    <mergeCell ref="H325:H326"/>
    <mergeCell ref="AC231:AC232"/>
    <mergeCell ref="M339:M340"/>
    <mergeCell ref="R235:R236"/>
    <mergeCell ref="W21:W22"/>
    <mergeCell ref="L25:L26"/>
    <mergeCell ref="U273:U274"/>
    <mergeCell ref="AN43:AN44"/>
    <mergeCell ref="X113:X114"/>
    <mergeCell ref="X271:X272"/>
    <mergeCell ref="B359:B360"/>
    <mergeCell ref="M29:M30"/>
    <mergeCell ref="O121:O122"/>
    <mergeCell ref="Z179:Z180"/>
    <mergeCell ref="M329:M330"/>
    <mergeCell ref="J13:J14"/>
    <mergeCell ref="G161:G162"/>
    <mergeCell ref="W49:W50"/>
    <mergeCell ref="AE218:AI218"/>
    <mergeCell ref="J313:J314"/>
    <mergeCell ref="AV13:AV14"/>
    <mergeCell ref="F97:F98"/>
    <mergeCell ref="A321:A322"/>
    <mergeCell ref="AV313:AV314"/>
    <mergeCell ref="F211:F212"/>
    <mergeCell ref="J41:J42"/>
    <mergeCell ref="I249:I250"/>
    <mergeCell ref="AB325:AB326"/>
    <mergeCell ref="AB319:AB320"/>
    <mergeCell ref="B209:B212"/>
    <mergeCell ref="W103:W104"/>
    <mergeCell ref="E147:E148"/>
    <mergeCell ref="AB231:AB232"/>
    <mergeCell ref="Q235:Q236"/>
    <mergeCell ref="AV341:AV342"/>
    <mergeCell ref="N61:N62"/>
    <mergeCell ref="AK330:AM330"/>
    <mergeCell ref="AB47:AB48"/>
    <mergeCell ref="AS325:AS326"/>
    <mergeCell ref="Q251:Q252"/>
    <mergeCell ref="P127:P128"/>
    <mergeCell ref="A33:A34"/>
    <mergeCell ref="Y179:Y180"/>
    <mergeCell ref="Y337:Y338"/>
    <mergeCell ref="L329:L330"/>
    <mergeCell ref="N95:N96"/>
    <mergeCell ref="N89:N90"/>
    <mergeCell ref="N209:N210"/>
    <mergeCell ref="S223:S224"/>
    <mergeCell ref="AU13:AU14"/>
    <mergeCell ref="H227:H228"/>
    <mergeCell ref="AJ17:AJ18"/>
    <mergeCell ref="Y21:Y22"/>
    <mergeCell ref="W167:W168"/>
    <mergeCell ref="S7:S8"/>
    <mergeCell ref="AD35:AD36"/>
    <mergeCell ref="A193:A196"/>
    <mergeCell ref="E211:E212"/>
    <mergeCell ref="AJ317:AJ318"/>
    <mergeCell ref="M139:M140"/>
    <mergeCell ref="P181:P182"/>
    <mergeCell ref="S65:S66"/>
    <mergeCell ref="R273:R274"/>
    <mergeCell ref="G277:G278"/>
    <mergeCell ref="A209:A212"/>
    <mergeCell ref="V103:V104"/>
    <mergeCell ref="AD361:AD362"/>
    <mergeCell ref="AO170:AR170"/>
    <mergeCell ref="S365:S366"/>
    <mergeCell ref="P235:P236"/>
    <mergeCell ref="AA293:AA294"/>
    <mergeCell ref="AU341:AU342"/>
    <mergeCell ref="E239:E240"/>
    <mergeCell ref="C269:C272"/>
    <mergeCell ref="AA9:AA10"/>
    <mergeCell ref="N159:N160"/>
    <mergeCell ref="M367:M368"/>
    <mergeCell ref="S93:S94"/>
    <mergeCell ref="B371:B372"/>
    <mergeCell ref="V87:V88"/>
    <mergeCell ref="O127:O128"/>
    <mergeCell ref="H297:H298"/>
    <mergeCell ref="AA221:AA222"/>
    <mergeCell ref="P225:P226"/>
    <mergeCell ref="D43:D44"/>
    <mergeCell ref="AO66:AR66"/>
    <mergeCell ref="M95:M96"/>
    <mergeCell ref="M209:M210"/>
    <mergeCell ref="J357:J358"/>
    <mergeCell ref="R143:R144"/>
    <mergeCell ref="U23:U24"/>
    <mergeCell ref="P3:Q3"/>
    <mergeCell ref="AC281:AC282"/>
    <mergeCell ref="G227:G228"/>
    <mergeCell ref="Y297:Y298"/>
    <mergeCell ref="G347:G348"/>
    <mergeCell ref="AN99:AN100"/>
    <mergeCell ref="J53:J54"/>
    <mergeCell ref="AS227:AS228"/>
    <mergeCell ref="I293:I294"/>
    <mergeCell ref="E309:E310"/>
    <mergeCell ref="D185:D186"/>
    <mergeCell ref="X233:X234"/>
    <mergeCell ref="M237:M238"/>
    <mergeCell ref="R365:R366"/>
    <mergeCell ref="G369:G370"/>
    <mergeCell ref="AT347:AT348"/>
    <mergeCell ref="T131:T132"/>
    <mergeCell ref="AC25:AC26"/>
    <mergeCell ref="D245:D246"/>
    <mergeCell ref="Z293:Z294"/>
    <mergeCell ref="D201:D202"/>
    <mergeCell ref="B269:B272"/>
    <mergeCell ref="Z9:Z10"/>
    <mergeCell ref="AS369:AS370"/>
    <mergeCell ref="G297:G298"/>
    <mergeCell ref="AB75:AB76"/>
    <mergeCell ref="F173:F174"/>
    <mergeCell ref="Z221:Z222"/>
    <mergeCell ref="AE22:AI22"/>
    <mergeCell ref="I57:I58"/>
    <mergeCell ref="AN163:AN164"/>
    <mergeCell ref="D229:D230"/>
    <mergeCell ref="T273:T274"/>
    <mergeCell ref="AN321:AN322"/>
    <mergeCell ref="AK370:AM370"/>
    <mergeCell ref="W153:W154"/>
    <mergeCell ref="AK364:AM364"/>
    <mergeCell ref="L209:L210"/>
    <mergeCell ref="I357:I358"/>
    <mergeCell ref="Q143:Q144"/>
    <mergeCell ref="AE38:AI38"/>
    <mergeCell ref="F347:F348"/>
    <mergeCell ref="AD47:AD48"/>
    <mergeCell ref="A53:A56"/>
    <mergeCell ref="W211:W212"/>
    <mergeCell ref="N275:N276"/>
    <mergeCell ref="AE338:AI338"/>
    <mergeCell ref="AK212:AM212"/>
    <mergeCell ref="Z363:Z364"/>
    <mergeCell ref="AK206:AM206"/>
    <mergeCell ref="O367:O368"/>
    <mergeCell ref="AB123:AB124"/>
    <mergeCell ref="Q127:Q128"/>
    <mergeCell ref="F217:F218"/>
    <mergeCell ref="AE66:AI66"/>
    <mergeCell ref="V261:V262"/>
    <mergeCell ref="Q39:Q40"/>
    <mergeCell ref="S131:S132"/>
    <mergeCell ref="Q339:Q340"/>
    <mergeCell ref="U197:U198"/>
    <mergeCell ref="E267:E268"/>
    <mergeCell ref="AD205:AD206"/>
    <mergeCell ref="R23:R24"/>
    <mergeCell ref="Q355:Q356"/>
    <mergeCell ref="K187:K188"/>
    <mergeCell ref="F359:F360"/>
    <mergeCell ref="AD117:AD118"/>
    <mergeCell ref="AD111:AD112"/>
    <mergeCell ref="S121:S122"/>
    <mergeCell ref="S115:S116"/>
    <mergeCell ref="S273:S274"/>
    <mergeCell ref="F265:F266"/>
    <mergeCell ref="H363:H364"/>
    <mergeCell ref="AK276:AM276"/>
    <mergeCell ref="S27:S28"/>
    <mergeCell ref="P291:P292"/>
    <mergeCell ref="J123:J124"/>
    <mergeCell ref="E295:E296"/>
    <mergeCell ref="AO132:AR132"/>
    <mergeCell ref="U339:U340"/>
    <mergeCell ref="E15:E16"/>
    <mergeCell ref="AT363:AT364"/>
    <mergeCell ref="E315:E316"/>
    <mergeCell ref="AD253:AD254"/>
    <mergeCell ref="B33:B34"/>
    <mergeCell ref="N367:N368"/>
    <mergeCell ref="R77:R78"/>
    <mergeCell ref="X277:X278"/>
    <mergeCell ref="A13:A16"/>
    <mergeCell ref="P133:P134"/>
    <mergeCell ref="E217:E218"/>
    <mergeCell ref="AB221:AB222"/>
    <mergeCell ref="U261:U262"/>
    <mergeCell ref="E43:E44"/>
    <mergeCell ref="AO274:AR274"/>
    <mergeCell ref="Z21:Z22"/>
    <mergeCell ref="W327:W328"/>
    <mergeCell ref="AC205:AC206"/>
    <mergeCell ref="P355:P356"/>
    <mergeCell ref="U289:U290"/>
    <mergeCell ref="E359:E360"/>
    <mergeCell ref="I69:I70"/>
    <mergeCell ref="AC117:AC118"/>
    <mergeCell ref="R121:R122"/>
    <mergeCell ref="Z49:Z50"/>
    <mergeCell ref="L253:L254"/>
    <mergeCell ref="T39:T40"/>
    <mergeCell ref="B25:B28"/>
    <mergeCell ref="D295:D296"/>
    <mergeCell ref="T339:T340"/>
    <mergeCell ref="T93:T94"/>
    <mergeCell ref="D163:D164"/>
    <mergeCell ref="T207:T208"/>
    <mergeCell ref="AK218:AM218"/>
    <mergeCell ref="D321:D322"/>
    <mergeCell ref="R263:R264"/>
    <mergeCell ref="F81:F82"/>
    <mergeCell ref="W277:W278"/>
    <mergeCell ref="O133:O134"/>
    <mergeCell ref="AK278:AM278"/>
    <mergeCell ref="S143:S144"/>
    <mergeCell ref="AN371:AN372"/>
    <mergeCell ref="T235:T236"/>
    <mergeCell ref="AN283:AN284"/>
    <mergeCell ref="D305:D306"/>
    <mergeCell ref="AU265:AU266"/>
    <mergeCell ref="F309:F310"/>
    <mergeCell ref="T251:T252"/>
    <mergeCell ref="AK262:AM262"/>
    <mergeCell ref="O29:O30"/>
    <mergeCell ref="H69:H70"/>
    <mergeCell ref="AB179:AB180"/>
    <mergeCell ref="V11:V12"/>
    <mergeCell ref="F125:F126"/>
    <mergeCell ref="I161:I162"/>
    <mergeCell ref="H369:H370"/>
    <mergeCell ref="Y49:Y50"/>
    <mergeCell ref="Q89:Q90"/>
    <mergeCell ref="AE274:AI274"/>
    <mergeCell ref="S187:S188"/>
    <mergeCell ref="V223:V224"/>
    <mergeCell ref="N79:N80"/>
    <mergeCell ref="AU161:AU162"/>
    <mergeCell ref="K227:K228"/>
    <mergeCell ref="AK184:AM184"/>
    <mergeCell ref="AE142:AI142"/>
    <mergeCell ref="T279:T280"/>
    <mergeCell ref="AJ323:AJ324"/>
    <mergeCell ref="Q263:Q264"/>
    <mergeCell ref="F21:F22"/>
    <mergeCell ref="M15:M16"/>
    <mergeCell ref="AD325:AD326"/>
    <mergeCell ref="X157:X158"/>
    <mergeCell ref="AD319:AD320"/>
    <mergeCell ref="S329:S330"/>
    <mergeCell ref="P197:P198"/>
    <mergeCell ref="AK326:AM326"/>
    <mergeCell ref="S235:S236"/>
    <mergeCell ref="AT113:AT114"/>
    <mergeCell ref="E71:E72"/>
    <mergeCell ref="J5:J6"/>
    <mergeCell ref="AD9:AD10"/>
    <mergeCell ref="S251:S252"/>
    <mergeCell ref="C33:C34"/>
    <mergeCell ref="S77:S78"/>
    <mergeCell ref="U17:U18"/>
    <mergeCell ref="AA179:AA180"/>
    <mergeCell ref="U317:U318"/>
    <mergeCell ref="P95:P96"/>
    <mergeCell ref="AT161:AT162"/>
    <mergeCell ref="J227:J228"/>
    <mergeCell ref="S279:S280"/>
    <mergeCell ref="G59:G60"/>
    <mergeCell ref="D365:D366"/>
    <mergeCell ref="O145:O146"/>
    <mergeCell ref="AV227:AV228"/>
    <mergeCell ref="H309:H310"/>
    <mergeCell ref="U345:U346"/>
    <mergeCell ref="AO294:AR294"/>
    <mergeCell ref="R29:R30"/>
    <mergeCell ref="U65:U66"/>
    <mergeCell ref="J69:J70"/>
    <mergeCell ref="R329:R330"/>
    <mergeCell ref="U365:U366"/>
    <mergeCell ref="AT309:AT310"/>
    <mergeCell ref="J369:J370"/>
    <mergeCell ref="W131:W132"/>
    <mergeCell ref="G201:G202"/>
    <mergeCell ref="AV69:AV70"/>
    <mergeCell ref="D71:D72"/>
    <mergeCell ref="AC9:AC10"/>
    <mergeCell ref="AV369:AV370"/>
    <mergeCell ref="U93:U94"/>
    <mergeCell ref="E163:E164"/>
    <mergeCell ref="J297:J298"/>
    <mergeCell ref="AU5:AU6"/>
    <mergeCell ref="R225:R226"/>
    <mergeCell ref="L57:L58"/>
    <mergeCell ref="AE286:AI286"/>
    <mergeCell ref="AN33:AN34"/>
    <mergeCell ref="L357:L358"/>
    <mergeCell ref="I227:I228"/>
    <mergeCell ref="N123:N124"/>
    <mergeCell ref="I347:I348"/>
    <mergeCell ref="C365:C366"/>
    <mergeCell ref="AB303:AB304"/>
    <mergeCell ref="T159:T160"/>
    <mergeCell ref="AU227:AU228"/>
    <mergeCell ref="K293:K294"/>
    <mergeCell ref="W195:W196"/>
    <mergeCell ref="G309:G310"/>
    <mergeCell ref="AV319:AV320"/>
    <mergeCell ref="T213:T214"/>
    <mergeCell ref="AK224:AM224"/>
    <mergeCell ref="AJ257:AJ258"/>
    <mergeCell ref="I217:I218"/>
    <mergeCell ref="Y261:Y262"/>
    <mergeCell ref="AS309:AS310"/>
    <mergeCell ref="I369:I370"/>
    <mergeCell ref="A123:A126"/>
    <mergeCell ref="V131:V132"/>
    <mergeCell ref="F201:F202"/>
    <mergeCell ref="AU69:AU70"/>
    <mergeCell ref="W223:W224"/>
    <mergeCell ref="AU369:AU370"/>
    <mergeCell ref="AO110:AR110"/>
    <mergeCell ref="AJ285:AJ286"/>
    <mergeCell ref="I297:I298"/>
    <mergeCell ref="N231:N232"/>
    <mergeCell ref="T355:T356"/>
    <mergeCell ref="N187:N188"/>
    <mergeCell ref="AS337:AS338"/>
    <mergeCell ref="AD75:AD76"/>
    <mergeCell ref="A265:A268"/>
    <mergeCell ref="F229:F230"/>
    <mergeCell ref="AU297:AU298"/>
    <mergeCell ref="K363:K364"/>
    <mergeCell ref="E195:E196"/>
    <mergeCell ref="K357:K358"/>
    <mergeCell ref="AJ301:AJ302"/>
    <mergeCell ref="X119:X120"/>
    <mergeCell ref="M123:M124"/>
    <mergeCell ref="V175:V176"/>
    <mergeCell ref="Q67:Q68"/>
    <mergeCell ref="S349:S350"/>
    <mergeCell ref="Q367:Q368"/>
    <mergeCell ref="AA277:AA278"/>
    <mergeCell ref="S133:S134"/>
    <mergeCell ref="S127:S128"/>
    <mergeCell ref="C253:C256"/>
    <mergeCell ref="H217:H218"/>
    <mergeCell ref="M151:M152"/>
    <mergeCell ref="X261:X262"/>
    <mergeCell ref="AO360:AR360"/>
    <mergeCell ref="M265:M266"/>
    <mergeCell ref="B355:B356"/>
    <mergeCell ref="J141:J142"/>
    <mergeCell ref="M19:M20"/>
    <mergeCell ref="AT217:AT218"/>
    <mergeCell ref="D115:D116"/>
    <mergeCell ref="AN207:AN208"/>
    <mergeCell ref="AT369:AT370"/>
    <mergeCell ref="H59:H60"/>
    <mergeCell ref="AO50:AR50"/>
    <mergeCell ref="P361:P362"/>
    <mergeCell ref="X289:X290"/>
    <mergeCell ref="H359:H360"/>
    <mergeCell ref="U121:U122"/>
    <mergeCell ref="R269:R270"/>
    <mergeCell ref="U115:U116"/>
    <mergeCell ref="E229:E230"/>
    <mergeCell ref="O253:O254"/>
    <mergeCell ref="AT359:AT360"/>
    <mergeCell ref="X305:X306"/>
    <mergeCell ref="AA341:AA342"/>
    <mergeCell ref="D169:D170"/>
    <mergeCell ref="R349:R350"/>
    <mergeCell ref="N189:N190"/>
    <mergeCell ref="Z277:Z278"/>
    <mergeCell ref="O281:O282"/>
    <mergeCell ref="B253:B256"/>
    <mergeCell ref="W109:W110"/>
    <mergeCell ref="AB43:AB44"/>
    <mergeCell ref="L113:L114"/>
    <mergeCell ref="L151:L152"/>
    <mergeCell ref="W261:W262"/>
    <mergeCell ref="L271:L272"/>
    <mergeCell ref="L265:L266"/>
    <mergeCell ref="N31:N32"/>
    <mergeCell ref="Y327:Y328"/>
    <mergeCell ref="N331:N332"/>
    <mergeCell ref="AE6:AI6"/>
    <mergeCell ref="AJ139:AJ140"/>
    <mergeCell ref="AE306:AI306"/>
    <mergeCell ref="W251:W252"/>
    <mergeCell ref="W289:W290"/>
    <mergeCell ref="Q83:Q84"/>
    <mergeCell ref="G359:G360"/>
    <mergeCell ref="D233:D234"/>
    <mergeCell ref="T121:T122"/>
    <mergeCell ref="AE90:AI90"/>
    <mergeCell ref="AK132:AM132"/>
    <mergeCell ref="Q269:Q270"/>
    <mergeCell ref="I125:I126"/>
    <mergeCell ref="U213:U214"/>
    <mergeCell ref="N259:N260"/>
    <mergeCell ref="N253:N254"/>
    <mergeCell ref="AS359:AS360"/>
    <mergeCell ref="Z347:Z348"/>
    <mergeCell ref="P19:P20"/>
    <mergeCell ref="O351:O352"/>
    <mergeCell ref="W279:W280"/>
    <mergeCell ref="P319:P320"/>
    <mergeCell ref="K97:K98"/>
    <mergeCell ref="Y371:Y372"/>
    <mergeCell ref="AJ35:AJ36"/>
    <mergeCell ref="T263:T264"/>
    <mergeCell ref="P231:P232"/>
    <mergeCell ref="AD173:AD174"/>
    <mergeCell ref="N287:N288"/>
    <mergeCell ref="N281:N282"/>
    <mergeCell ref="V29:V30"/>
    <mergeCell ref="AA43:AA44"/>
    <mergeCell ref="K113:K114"/>
    <mergeCell ref="K271:K272"/>
    <mergeCell ref="AJ209:AJ210"/>
    <mergeCell ref="L205:L206"/>
    <mergeCell ref="M31:M32"/>
    <mergeCell ref="E77:E78"/>
    <mergeCell ref="M331:M332"/>
    <mergeCell ref="S99:S100"/>
    <mergeCell ref="M85:M86"/>
    <mergeCell ref="V251:V252"/>
    <mergeCell ref="K255:K256"/>
    <mergeCell ref="N335:N336"/>
    <mergeCell ref="C161:C164"/>
    <mergeCell ref="X17:X18"/>
    <mergeCell ref="X11:X12"/>
    <mergeCell ref="H125:H126"/>
    <mergeCell ref="K167:K168"/>
    <mergeCell ref="R149:R150"/>
    <mergeCell ref="E299:E300"/>
    <mergeCell ref="Y347:Y348"/>
    <mergeCell ref="AD237:AD238"/>
    <mergeCell ref="N351:N352"/>
    <mergeCell ref="G65:G66"/>
    <mergeCell ref="M227:M228"/>
    <mergeCell ref="V279:V280"/>
    <mergeCell ref="AU217:AU218"/>
    <mergeCell ref="X45:X46"/>
    <mergeCell ref="U245:U246"/>
    <mergeCell ref="A297:A300"/>
    <mergeCell ref="S263:S264"/>
    <mergeCell ref="D235:D236"/>
    <mergeCell ref="AO258:AR258"/>
    <mergeCell ref="AC173:AC174"/>
    <mergeCell ref="U29:U30"/>
    <mergeCell ref="A131:A136"/>
    <mergeCell ref="O9:O10"/>
    <mergeCell ref="U329:U330"/>
    <mergeCell ref="M2:O2"/>
    <mergeCell ref="R197:R198"/>
    <mergeCell ref="AK306:AM306"/>
    <mergeCell ref="Z131:Z132"/>
    <mergeCell ref="D77:D78"/>
    <mergeCell ref="O215:O216"/>
    <mergeCell ref="X267:X268"/>
    <mergeCell ref="AN311:AN312"/>
    <mergeCell ref="AE160:AI160"/>
    <mergeCell ref="Z33:Z34"/>
    <mergeCell ref="J255:J256"/>
    <mergeCell ref="B9:B12"/>
    <mergeCell ref="M297:M298"/>
    <mergeCell ref="W17:W18"/>
    <mergeCell ref="L21:L22"/>
    <mergeCell ref="O57:O58"/>
    <mergeCell ref="AN39:AN40"/>
    <mergeCell ref="A75:A88"/>
    <mergeCell ref="X109:X110"/>
    <mergeCell ref="W317:W318"/>
    <mergeCell ref="Q149:Q150"/>
    <mergeCell ref="AK202:AM202"/>
    <mergeCell ref="D299:D300"/>
    <mergeCell ref="O357:O358"/>
    <mergeCell ref="AN339:AN340"/>
    <mergeCell ref="AB119:AB120"/>
    <mergeCell ref="L233:L234"/>
    <mergeCell ref="F65:F66"/>
    <mergeCell ref="C2:C4"/>
    <mergeCell ref="O117:O118"/>
    <mergeCell ref="U279:U280"/>
    <mergeCell ref="S215:S216"/>
    <mergeCell ref="AE56:AI56"/>
    <mergeCell ref="G157:G158"/>
    <mergeCell ref="M319:M320"/>
    <mergeCell ref="F365:F366"/>
    <mergeCell ref="AE214:AI214"/>
    <mergeCell ref="AN355:AN356"/>
    <mergeCell ref="N293:N294"/>
    <mergeCell ref="J309:J310"/>
    <mergeCell ref="Q177:Q178"/>
    <mergeCell ref="T219:T220"/>
    <mergeCell ref="L69:L70"/>
    <mergeCell ref="N9:N10"/>
    <mergeCell ref="AB147:AB148"/>
    <mergeCell ref="AE230:AI230"/>
    <mergeCell ref="F49:F50"/>
    <mergeCell ref="AV309:AV310"/>
    <mergeCell ref="F207:F208"/>
    <mergeCell ref="Y131:Y132"/>
    <mergeCell ref="N135:N136"/>
    <mergeCell ref="AE356:AI356"/>
    <mergeCell ref="AB163:AB164"/>
    <mergeCell ref="AB321:AB322"/>
    <mergeCell ref="AU245:AU246"/>
    <mergeCell ref="E143:E144"/>
    <mergeCell ref="N37:N38"/>
    <mergeCell ref="Q231:Q232"/>
    <mergeCell ref="N57:N58"/>
    <mergeCell ref="N363:N364"/>
    <mergeCell ref="Q247:Q248"/>
    <mergeCell ref="M87:M88"/>
    <mergeCell ref="T283:T284"/>
    <mergeCell ref="P123:P124"/>
    <mergeCell ref="E127:E128"/>
    <mergeCell ref="AD309:AD310"/>
    <mergeCell ref="AD303:AD304"/>
    <mergeCell ref="E39:E40"/>
    <mergeCell ref="S307:S308"/>
    <mergeCell ref="N85:N86"/>
    <mergeCell ref="S219:S220"/>
    <mergeCell ref="AJ13:AJ14"/>
    <mergeCell ref="P151:P152"/>
    <mergeCell ref="E49:E50"/>
    <mergeCell ref="AA261:AA262"/>
    <mergeCell ref="E207:E208"/>
    <mergeCell ref="C123:C126"/>
    <mergeCell ref="AJ313:AJ314"/>
    <mergeCell ref="A179:A182"/>
    <mergeCell ref="AT223:AT224"/>
    <mergeCell ref="M135:M136"/>
    <mergeCell ref="G273:G274"/>
    <mergeCell ref="Z197:Z198"/>
    <mergeCell ref="S361:S362"/>
    <mergeCell ref="U295:U296"/>
    <mergeCell ref="AC81:AC82"/>
    <mergeCell ref="AA289:AA290"/>
    <mergeCell ref="P187:P188"/>
    <mergeCell ref="AO34:AR34"/>
    <mergeCell ref="C265:C268"/>
    <mergeCell ref="X121:X122"/>
    <mergeCell ref="B131:B136"/>
    <mergeCell ref="J325:J326"/>
    <mergeCell ref="Z213:Z214"/>
    <mergeCell ref="E103:E104"/>
    <mergeCell ref="N155:N156"/>
    <mergeCell ref="R253:R254"/>
    <mergeCell ref="B367:B368"/>
    <mergeCell ref="AA305:AA306"/>
    <mergeCell ref="O123:O124"/>
    <mergeCell ref="AN67:AN68"/>
    <mergeCell ref="D127:D128"/>
    <mergeCell ref="X175:X176"/>
    <mergeCell ref="P221:P222"/>
    <mergeCell ref="P215:P216"/>
    <mergeCell ref="I261:I262"/>
    <mergeCell ref="D39:D40"/>
    <mergeCell ref="R313:R314"/>
    <mergeCell ref="U349:U350"/>
    <mergeCell ref="J353:J354"/>
    <mergeCell ref="Z241:Z242"/>
    <mergeCell ref="AO362:AR362"/>
    <mergeCell ref="AC277:AC278"/>
    <mergeCell ref="R281:R282"/>
    <mergeCell ref="G179:G180"/>
    <mergeCell ref="AE242:AI242"/>
    <mergeCell ref="G337:G338"/>
    <mergeCell ref="O151:O152"/>
    <mergeCell ref="AN95:AN96"/>
    <mergeCell ref="AK110:AM110"/>
    <mergeCell ref="AN89:AN90"/>
    <mergeCell ref="O271:O272"/>
    <mergeCell ref="AV353:AV354"/>
    <mergeCell ref="Q205:Q206"/>
    <mergeCell ref="AN209:AN210"/>
    <mergeCell ref="T285:T286"/>
    <mergeCell ref="D355:D356"/>
    <mergeCell ref="I289:I290"/>
    <mergeCell ref="D181:D182"/>
    <mergeCell ref="M75:M76"/>
    <mergeCell ref="F115:F116"/>
    <mergeCell ref="F273:F274"/>
    <mergeCell ref="L41:L42"/>
    <mergeCell ref="R203:R204"/>
    <mergeCell ref="AK312:AM312"/>
    <mergeCell ref="AE270:AI270"/>
    <mergeCell ref="R317:R318"/>
    <mergeCell ref="L341:L342"/>
    <mergeCell ref="AS65:AS66"/>
    <mergeCell ref="B265:B268"/>
    <mergeCell ref="T269:T270"/>
    <mergeCell ref="N101:N102"/>
    <mergeCell ref="I325:I326"/>
    <mergeCell ref="AS365:AS366"/>
    <mergeCell ref="Q253:Q254"/>
    <mergeCell ref="A367:A368"/>
    <mergeCell ref="Z305:Z306"/>
    <mergeCell ref="AC347:AC348"/>
    <mergeCell ref="AE192:AI192"/>
    <mergeCell ref="S19:S20"/>
    <mergeCell ref="AB71:AB72"/>
    <mergeCell ref="F169:F170"/>
    <mergeCell ref="AJ329:AJ330"/>
    <mergeCell ref="O221:O222"/>
    <mergeCell ref="AN159:AN160"/>
    <mergeCell ref="AB371:AB372"/>
    <mergeCell ref="T349:T350"/>
    <mergeCell ref="AK360:AM360"/>
    <mergeCell ref="Y245:Y246"/>
    <mergeCell ref="I353:I354"/>
    <mergeCell ref="AU53:AU54"/>
    <mergeCell ref="Q281:Q282"/>
    <mergeCell ref="B89:B94"/>
    <mergeCell ref="AE34:AI34"/>
    <mergeCell ref="AD43:AD44"/>
    <mergeCell ref="N113:N114"/>
    <mergeCell ref="S47:S48"/>
    <mergeCell ref="N271:N272"/>
    <mergeCell ref="AU353:AU354"/>
    <mergeCell ref="AE334:AI334"/>
    <mergeCell ref="T333:T334"/>
    <mergeCell ref="J11:J12"/>
    <mergeCell ref="AD59:AD60"/>
    <mergeCell ref="V99:V100"/>
    <mergeCell ref="V257:V258"/>
    <mergeCell ref="AD359:AD360"/>
    <mergeCell ref="E89:E90"/>
    <mergeCell ref="K341:K342"/>
    <mergeCell ref="AD185:AD186"/>
    <mergeCell ref="S83:S84"/>
    <mergeCell ref="AE362:AI362"/>
    <mergeCell ref="S269:S270"/>
    <mergeCell ref="U35:U36"/>
    <mergeCell ref="P259:P260"/>
    <mergeCell ref="U193:U194"/>
    <mergeCell ref="E263:E264"/>
    <mergeCell ref="AD201:AD202"/>
    <mergeCell ref="R19:R20"/>
    <mergeCell ref="Q351:Q352"/>
    <mergeCell ref="C5:C8"/>
    <mergeCell ref="N221:N222"/>
    <mergeCell ref="S117:S118"/>
    <mergeCell ref="S111:S112"/>
    <mergeCell ref="L157:L158"/>
    <mergeCell ref="R319:R320"/>
    <mergeCell ref="D197:D198"/>
    <mergeCell ref="X245:X246"/>
    <mergeCell ref="AC137:AC138"/>
    <mergeCell ref="C21:C24"/>
    <mergeCell ref="P287:P288"/>
    <mergeCell ref="Z5:Z6"/>
    <mergeCell ref="P281:P282"/>
    <mergeCell ref="A89:A94"/>
    <mergeCell ref="U177:U178"/>
    <mergeCell ref="AO128:AR128"/>
    <mergeCell ref="AN101:AN102"/>
    <mergeCell ref="R47:R48"/>
    <mergeCell ref="B187:B192"/>
    <mergeCell ref="AT353:AT354"/>
    <mergeCell ref="E159:E160"/>
    <mergeCell ref="N205:N206"/>
    <mergeCell ref="AK18:AM18"/>
    <mergeCell ref="R63:R64"/>
    <mergeCell ref="AN275:AN276"/>
    <mergeCell ref="U105:U106"/>
    <mergeCell ref="U99:U100"/>
    <mergeCell ref="U257:U258"/>
    <mergeCell ref="AN29:AN30"/>
    <mergeCell ref="J261:J262"/>
    <mergeCell ref="AC185:AC186"/>
    <mergeCell ref="M255:M256"/>
    <mergeCell ref="Z17:Z18"/>
    <mergeCell ref="W165:W166"/>
    <mergeCell ref="O21:O22"/>
    <mergeCell ref="W323:W324"/>
    <mergeCell ref="AC201:AC202"/>
    <mergeCell ref="P351:P352"/>
    <mergeCell ref="F29:F30"/>
    <mergeCell ref="B5:B8"/>
    <mergeCell ref="C227:C240"/>
    <mergeCell ref="I65:I66"/>
    <mergeCell ref="AN171:AN172"/>
    <mergeCell ref="F2:F4"/>
    <mergeCell ref="R117:R118"/>
    <mergeCell ref="I365:I366"/>
    <mergeCell ref="W245:W246"/>
    <mergeCell ref="AB135:AB136"/>
    <mergeCell ref="L249:L250"/>
    <mergeCell ref="H89:H90"/>
    <mergeCell ref="B21:B24"/>
    <mergeCell ref="O285:O286"/>
    <mergeCell ref="T177:T178"/>
    <mergeCell ref="AN225:AN226"/>
    <mergeCell ref="Q9:Q10"/>
    <mergeCell ref="AK214:AM214"/>
    <mergeCell ref="AS141:AS142"/>
    <mergeCell ref="AS327:AS328"/>
    <mergeCell ref="F77:F78"/>
    <mergeCell ref="W229:W230"/>
    <mergeCell ref="T105:T106"/>
    <mergeCell ref="AK116:AM116"/>
    <mergeCell ref="I109:I110"/>
    <mergeCell ref="AB33:AB34"/>
    <mergeCell ref="Q37:Q38"/>
    <mergeCell ref="N237:N238"/>
    <mergeCell ref="T231:T232"/>
    <mergeCell ref="AB333:AB334"/>
    <mergeCell ref="V165:V166"/>
    <mergeCell ref="N21:N22"/>
    <mergeCell ref="AU261:AU262"/>
    <mergeCell ref="Z109:Z110"/>
    <mergeCell ref="AO144:AR144"/>
    <mergeCell ref="K195:K196"/>
    <mergeCell ref="T247:T248"/>
    <mergeCell ref="B227:B240"/>
    <mergeCell ref="H65:H66"/>
    <mergeCell ref="S123:S124"/>
    <mergeCell ref="AD151:AD152"/>
    <mergeCell ref="AB175:AB176"/>
    <mergeCell ref="V7:V8"/>
    <mergeCell ref="AA141:AA142"/>
    <mergeCell ref="V307:V308"/>
    <mergeCell ref="AT65:AT66"/>
    <mergeCell ref="S25:S26"/>
    <mergeCell ref="J131:J132"/>
    <mergeCell ref="S183:S184"/>
    <mergeCell ref="S177:S178"/>
    <mergeCell ref="V219:V220"/>
    <mergeCell ref="AU157:AU158"/>
    <mergeCell ref="AT365:AT366"/>
    <mergeCell ref="P9:P10"/>
    <mergeCell ref="E55:E56"/>
    <mergeCell ref="AE138:AI138"/>
    <mergeCell ref="AO286:AR286"/>
    <mergeCell ref="M315:M316"/>
    <mergeCell ref="H49:H50"/>
    <mergeCell ref="U243:U244"/>
    <mergeCell ref="E225:E226"/>
    <mergeCell ref="AD163:AD164"/>
    <mergeCell ref="H109:H110"/>
    <mergeCell ref="J273:J274"/>
    <mergeCell ref="AD321:AD322"/>
    <mergeCell ref="P37:P38"/>
    <mergeCell ref="AO314:AR314"/>
    <mergeCell ref="X295:X296"/>
    <mergeCell ref="AT109:AT110"/>
    <mergeCell ref="M211:M212"/>
    <mergeCell ref="E67:E68"/>
    <mergeCell ref="AS143:AS144"/>
    <mergeCell ref="U139:U140"/>
    <mergeCell ref="J195:J196"/>
    <mergeCell ref="X23:X24"/>
    <mergeCell ref="E367:E368"/>
    <mergeCell ref="S3:T3"/>
    <mergeCell ref="S247:S248"/>
    <mergeCell ref="AD305:AD306"/>
    <mergeCell ref="X137:X138"/>
    <mergeCell ref="G127:G128"/>
    <mergeCell ref="U13:U14"/>
    <mergeCell ref="W257:W258"/>
    <mergeCell ref="L261:L262"/>
    <mergeCell ref="F93:F94"/>
    <mergeCell ref="U313:U314"/>
    <mergeCell ref="U307:U308"/>
    <mergeCell ref="X349:X350"/>
    <mergeCell ref="W73:W74"/>
    <mergeCell ref="AT157:AT158"/>
    <mergeCell ref="D361:D362"/>
    <mergeCell ref="W285:W286"/>
    <mergeCell ref="G355:G356"/>
    <mergeCell ref="AV223:AV224"/>
    <mergeCell ref="L289:L290"/>
    <mergeCell ref="Z169:Z170"/>
    <mergeCell ref="Z125:Z126"/>
    <mergeCell ref="M275:M276"/>
    <mergeCell ref="AC163:AC164"/>
    <mergeCell ref="I273:I274"/>
    <mergeCell ref="U209:U210"/>
    <mergeCell ref="O41:O42"/>
    <mergeCell ref="K39:K40"/>
    <mergeCell ref="W301:W302"/>
    <mergeCell ref="W295:W296"/>
    <mergeCell ref="AK186:AM186"/>
    <mergeCell ref="O341:O342"/>
    <mergeCell ref="AE140:AI140"/>
    <mergeCell ref="W269:W270"/>
    <mergeCell ref="D67:D68"/>
    <mergeCell ref="Q101:Q102"/>
    <mergeCell ref="L325:L326"/>
    <mergeCell ref="Z153:Z154"/>
    <mergeCell ref="N91:N92"/>
    <mergeCell ref="AC305:AC306"/>
    <mergeCell ref="AK354:AM354"/>
    <mergeCell ref="F133:F134"/>
    <mergeCell ref="F127:F128"/>
    <mergeCell ref="R221:R222"/>
    <mergeCell ref="L53:L54"/>
    <mergeCell ref="K261:K262"/>
    <mergeCell ref="Y89:Y90"/>
    <mergeCell ref="AJ199:AJ200"/>
    <mergeCell ref="L353:L354"/>
    <mergeCell ref="N119:N120"/>
    <mergeCell ref="T281:T282"/>
    <mergeCell ref="AU317:AU318"/>
    <mergeCell ref="V47:V48"/>
    <mergeCell ref="C361:C362"/>
    <mergeCell ref="X139:X140"/>
    <mergeCell ref="B183:B186"/>
    <mergeCell ref="AU223:AU224"/>
    <mergeCell ref="K289:K290"/>
    <mergeCell ref="AJ227:AJ228"/>
    <mergeCell ref="V63:V64"/>
    <mergeCell ref="N41:N42"/>
    <mergeCell ref="I213:I214"/>
    <mergeCell ref="Y257:Y258"/>
    <mergeCell ref="N341:N342"/>
    <mergeCell ref="AU65:AU66"/>
    <mergeCell ref="P107:P108"/>
    <mergeCell ref="P101:P102"/>
    <mergeCell ref="AU365:AU366"/>
    <mergeCell ref="X193:X194"/>
    <mergeCell ref="M91:M92"/>
    <mergeCell ref="U19:U20"/>
    <mergeCell ref="N183:N184"/>
    <mergeCell ref="AD71:AD72"/>
    <mergeCell ref="A261:A264"/>
    <mergeCell ref="X209:X210"/>
    <mergeCell ref="AD371:AD372"/>
    <mergeCell ref="X203:X204"/>
    <mergeCell ref="AA245:AA246"/>
    <mergeCell ref="AJ297:AJ298"/>
    <mergeCell ref="AC5:AC6"/>
    <mergeCell ref="M119:M120"/>
    <mergeCell ref="Z269:Z270"/>
    <mergeCell ref="AE156:AI156"/>
    <mergeCell ref="J251:J252"/>
    <mergeCell ref="D83:D84"/>
    <mergeCell ref="AA273:AA274"/>
    <mergeCell ref="L11:L12"/>
    <mergeCell ref="U63:U64"/>
    <mergeCell ref="C249:C252"/>
    <mergeCell ref="X99:X100"/>
    <mergeCell ref="H213:H214"/>
    <mergeCell ref="X257:X258"/>
    <mergeCell ref="R237:R238"/>
    <mergeCell ref="U275:U276"/>
    <mergeCell ref="O107:O108"/>
    <mergeCell ref="AT213:AT214"/>
    <mergeCell ref="J279:J280"/>
    <mergeCell ref="D111:D112"/>
    <mergeCell ref="Z323:Z324"/>
    <mergeCell ref="W35:W36"/>
    <mergeCell ref="AV131:AV132"/>
    <mergeCell ref="L65:L66"/>
    <mergeCell ref="U117:U118"/>
    <mergeCell ref="G321:G322"/>
    <mergeCell ref="F197:F198"/>
    <mergeCell ref="Z245:Z246"/>
    <mergeCell ref="O249:O250"/>
    <mergeCell ref="AT355:AT356"/>
    <mergeCell ref="AN187:AN188"/>
    <mergeCell ref="X301:X302"/>
    <mergeCell ref="AB5:AB6"/>
    <mergeCell ref="W177:W178"/>
    <mergeCell ref="L75:L76"/>
    <mergeCell ref="F99:F100"/>
    <mergeCell ref="V143:V144"/>
    <mergeCell ref="N185:N186"/>
    <mergeCell ref="AE248:AI248"/>
    <mergeCell ref="Z273:Z274"/>
    <mergeCell ref="B249:B252"/>
    <mergeCell ref="W105:W106"/>
    <mergeCell ref="AB39:AB40"/>
    <mergeCell ref="L109:L110"/>
    <mergeCell ref="Q237:Q238"/>
    <mergeCell ref="F241:F242"/>
    <mergeCell ref="Y165:Y166"/>
    <mergeCell ref="AS213:AS214"/>
    <mergeCell ref="Y323:Y324"/>
    <mergeCell ref="A319:A320"/>
    <mergeCell ref="V155:V156"/>
    <mergeCell ref="AE302:AI302"/>
    <mergeCell ref="E177:E178"/>
    <mergeCell ref="W247:W248"/>
    <mergeCell ref="Q79:Q80"/>
    <mergeCell ref="T117:T118"/>
    <mergeCell ref="E197:E198"/>
    <mergeCell ref="AD141:AD142"/>
    <mergeCell ref="AD135:AD136"/>
    <mergeCell ref="N249:N250"/>
    <mergeCell ref="AE318:AI318"/>
    <mergeCell ref="AS355:AS356"/>
    <mergeCell ref="V183:V184"/>
    <mergeCell ref="P15:P16"/>
    <mergeCell ref="V177:V178"/>
    <mergeCell ref="O347:O348"/>
    <mergeCell ref="AJ205:AJ206"/>
    <mergeCell ref="Q107:Q108"/>
    <mergeCell ref="P315:P316"/>
    <mergeCell ref="AO162:AR162"/>
    <mergeCell ref="AC77:AC78"/>
    <mergeCell ref="X243:X244"/>
    <mergeCell ref="E231:E232"/>
    <mergeCell ref="AD169:AD170"/>
    <mergeCell ref="V105:V106"/>
    <mergeCell ref="AA39:AA40"/>
    <mergeCell ref="K109:K110"/>
    <mergeCell ref="H371:H372"/>
    <mergeCell ref="U133:U134"/>
    <mergeCell ref="E241:E242"/>
    <mergeCell ref="AN57:AN58"/>
    <mergeCell ref="X171:X172"/>
    <mergeCell ref="P211:P212"/>
    <mergeCell ref="J43:J44"/>
    <mergeCell ref="H67:H68"/>
    <mergeCell ref="S95:S96"/>
    <mergeCell ref="R303:R304"/>
    <mergeCell ref="J159:J160"/>
    <mergeCell ref="V3:W3"/>
    <mergeCell ref="V247:V248"/>
    <mergeCell ref="C157:C160"/>
    <mergeCell ref="X13:X14"/>
    <mergeCell ref="G327:G328"/>
    <mergeCell ref="X7:X8"/>
    <mergeCell ref="AC141:AC142"/>
    <mergeCell ref="X313:X314"/>
    <mergeCell ref="R145:R146"/>
    <mergeCell ref="X307:X308"/>
    <mergeCell ref="U25:U26"/>
    <mergeCell ref="AD233:AD234"/>
    <mergeCell ref="M223:M224"/>
    <mergeCell ref="AN253:AN254"/>
    <mergeCell ref="G361:G362"/>
    <mergeCell ref="D231:D232"/>
    <mergeCell ref="AO254:AR254"/>
    <mergeCell ref="D187:D188"/>
    <mergeCell ref="AC169:AC170"/>
    <mergeCell ref="C53:C56"/>
    <mergeCell ref="B261:B264"/>
    <mergeCell ref="G371:G372"/>
    <mergeCell ref="Z301:Z302"/>
    <mergeCell ref="T133:T134"/>
    <mergeCell ref="AK144:AM144"/>
    <mergeCell ref="AK302:AM302"/>
    <mergeCell ref="U225:U226"/>
    <mergeCell ref="I43:I44"/>
    <mergeCell ref="D215:D216"/>
    <mergeCell ref="B289:B292"/>
    <mergeCell ref="AK356:AM356"/>
    <mergeCell ref="W13:W14"/>
    <mergeCell ref="AJ47:AJ48"/>
    <mergeCell ref="T161:T162"/>
    <mergeCell ref="AK172:AM172"/>
    <mergeCell ref="A39:A42"/>
    <mergeCell ref="T275:T276"/>
    <mergeCell ref="AK286:AM286"/>
    <mergeCell ref="B305:B308"/>
    <mergeCell ref="O53:O54"/>
    <mergeCell ref="AB89:AB90"/>
    <mergeCell ref="W313:W314"/>
    <mergeCell ref="Q145:Q146"/>
    <mergeCell ref="O353:O354"/>
    <mergeCell ref="S211:S212"/>
    <mergeCell ref="F203:F204"/>
    <mergeCell ref="F361:F362"/>
    <mergeCell ref="F317:F318"/>
    <mergeCell ref="N289:N290"/>
    <mergeCell ref="AB143:AB144"/>
    <mergeCell ref="Q41:Q42"/>
    <mergeCell ref="E253:E254"/>
    <mergeCell ref="AD235:AD236"/>
    <mergeCell ref="N305:N306"/>
    <mergeCell ref="H137:H138"/>
    <mergeCell ref="AK242:AM242"/>
    <mergeCell ref="S107:S108"/>
    <mergeCell ref="S101:S102"/>
    <mergeCell ref="AB153:AB154"/>
    <mergeCell ref="V291:V292"/>
    <mergeCell ref="P277:P278"/>
    <mergeCell ref="E281:E282"/>
    <mergeCell ref="S275:S276"/>
    <mergeCell ref="AA89:AA90"/>
    <mergeCell ref="AA209:AA210"/>
    <mergeCell ref="N201:N202"/>
    <mergeCell ref="H33:H34"/>
    <mergeCell ref="X77:X78"/>
    <mergeCell ref="D31:D32"/>
    <mergeCell ref="H333:H334"/>
    <mergeCell ref="P119:P120"/>
    <mergeCell ref="E17:E18"/>
    <mergeCell ref="B323:B324"/>
    <mergeCell ref="J257:J258"/>
    <mergeCell ref="S303:S304"/>
    <mergeCell ref="G269:G270"/>
    <mergeCell ref="S171:S172"/>
    <mergeCell ref="C213:C216"/>
    <mergeCell ref="X63:X64"/>
    <mergeCell ref="J267:J268"/>
    <mergeCell ref="E45:E46"/>
    <mergeCell ref="W29:W30"/>
    <mergeCell ref="P347:P348"/>
    <mergeCell ref="F19:F20"/>
    <mergeCell ref="E351:E352"/>
    <mergeCell ref="A1:C1"/>
    <mergeCell ref="E345:E346"/>
    <mergeCell ref="W329:W330"/>
    <mergeCell ref="AN9:AN10"/>
    <mergeCell ref="R107:R108"/>
    <mergeCell ref="G111:G112"/>
    <mergeCell ref="U291:U292"/>
    <mergeCell ref="AN221:AN222"/>
    <mergeCell ref="N5:N6"/>
    <mergeCell ref="D281:D282"/>
    <mergeCell ref="C261:C264"/>
    <mergeCell ref="F47:F48"/>
    <mergeCell ref="X117:X118"/>
    <mergeCell ref="J321:J322"/>
    <mergeCell ref="Z209:Z210"/>
    <mergeCell ref="T41:T42"/>
    <mergeCell ref="G33:G34"/>
    <mergeCell ref="R249:R250"/>
    <mergeCell ref="T341:T342"/>
    <mergeCell ref="G333:G334"/>
    <mergeCell ref="O119:O120"/>
    <mergeCell ref="T15:T16"/>
    <mergeCell ref="AV321:AV322"/>
    <mergeCell ref="I99:I100"/>
    <mergeCell ref="AK264:AM264"/>
    <mergeCell ref="I257:I258"/>
    <mergeCell ref="AN363:AN364"/>
    <mergeCell ref="AN357:AN358"/>
    <mergeCell ref="C111:C116"/>
    <mergeCell ref="Q185:Q186"/>
    <mergeCell ref="F83:F84"/>
    <mergeCell ref="AC273:AC274"/>
    <mergeCell ref="AU257:AU258"/>
    <mergeCell ref="W63:W64"/>
    <mergeCell ref="O109:O110"/>
    <mergeCell ref="Q201:Q202"/>
    <mergeCell ref="T237:T238"/>
    <mergeCell ref="AK248:AM248"/>
    <mergeCell ref="D351:D352"/>
    <mergeCell ref="I241:I242"/>
    <mergeCell ref="F117:F118"/>
    <mergeCell ref="F111:F112"/>
    <mergeCell ref="AB323:AB324"/>
    <mergeCell ref="AU285:AU286"/>
    <mergeCell ref="AJ183:AJ184"/>
    <mergeCell ref="AK308:AM308"/>
    <mergeCell ref="AE266:AI266"/>
    <mergeCell ref="AE260:AI260"/>
    <mergeCell ref="S173:S174"/>
    <mergeCell ref="M5:M6"/>
    <mergeCell ref="E51:E52"/>
    <mergeCell ref="T265:T266"/>
    <mergeCell ref="N97:N98"/>
    <mergeCell ref="Q249:Q250"/>
    <mergeCell ref="F253:F254"/>
    <mergeCell ref="AE188:AI188"/>
    <mergeCell ref="S15:S16"/>
    <mergeCell ref="AU321:AU322"/>
    <mergeCell ref="AJ325:AJ326"/>
    <mergeCell ref="H99:H100"/>
    <mergeCell ref="X143:X144"/>
    <mergeCell ref="S315:S316"/>
    <mergeCell ref="M147:M148"/>
    <mergeCell ref="AD39:AD40"/>
    <mergeCell ref="N109:N110"/>
    <mergeCell ref="V367:V368"/>
    <mergeCell ref="AE330:AI330"/>
    <mergeCell ref="E205:E206"/>
    <mergeCell ref="C277:C280"/>
    <mergeCell ref="X127:X128"/>
    <mergeCell ref="H241:H242"/>
    <mergeCell ref="N167:N168"/>
    <mergeCell ref="J7:J8"/>
    <mergeCell ref="U303:U304"/>
    <mergeCell ref="AT241:AT242"/>
    <mergeCell ref="J307:J308"/>
    <mergeCell ref="AD355:AD356"/>
    <mergeCell ref="X187:X188"/>
    <mergeCell ref="E85:E86"/>
    <mergeCell ref="S359:S360"/>
    <mergeCell ref="P227:P228"/>
    <mergeCell ref="D51:D52"/>
    <mergeCell ref="AA13:AA14"/>
    <mergeCell ref="U31:U32"/>
    <mergeCell ref="AC289:AC290"/>
    <mergeCell ref="U145:U146"/>
    <mergeCell ref="U331:U332"/>
    <mergeCell ref="J229:J230"/>
    <mergeCell ref="R15:R16"/>
    <mergeCell ref="AT269:AT270"/>
    <mergeCell ref="J55:J56"/>
    <mergeCell ref="R315:R316"/>
    <mergeCell ref="L147:L148"/>
    <mergeCell ref="D193:D194"/>
    <mergeCell ref="T81:T82"/>
    <mergeCell ref="U67:U68"/>
    <mergeCell ref="AS319:AS320"/>
    <mergeCell ref="J371:J372"/>
    <mergeCell ref="B277:B280"/>
    <mergeCell ref="W133:W134"/>
    <mergeCell ref="W127:W128"/>
    <mergeCell ref="L137:L138"/>
    <mergeCell ref="AK14:AM14"/>
    <mergeCell ref="O175:O176"/>
    <mergeCell ref="AN113:AN114"/>
    <mergeCell ref="AV371:AV372"/>
    <mergeCell ref="L43:L44"/>
    <mergeCell ref="Z317:Z318"/>
    <mergeCell ref="U95:U96"/>
    <mergeCell ref="AK314:AM314"/>
    <mergeCell ref="J99:J100"/>
    <mergeCell ref="AS241:AS242"/>
    <mergeCell ref="AC29:AC30"/>
    <mergeCell ref="O233:O234"/>
    <mergeCell ref="AT333:AT334"/>
    <mergeCell ref="Z13:Z14"/>
    <mergeCell ref="W161:W162"/>
    <mergeCell ref="C99:C108"/>
    <mergeCell ref="AV99:AV100"/>
    <mergeCell ref="T31:T32"/>
    <mergeCell ref="AB289:AB290"/>
    <mergeCell ref="T145:T146"/>
    <mergeCell ref="Q293:Q294"/>
    <mergeCell ref="T331:T332"/>
    <mergeCell ref="AB73:AB74"/>
    <mergeCell ref="AS269:AS270"/>
    <mergeCell ref="N283:N284"/>
    <mergeCell ref="V97:V98"/>
    <mergeCell ref="AN167:AN168"/>
    <mergeCell ref="AU35:AU36"/>
    <mergeCell ref="AE16:AI16"/>
    <mergeCell ref="V211:V212"/>
    <mergeCell ref="I361:I362"/>
    <mergeCell ref="AB131:AB132"/>
    <mergeCell ref="C221:C226"/>
    <mergeCell ref="L245:L246"/>
    <mergeCell ref="AJ65:AJ66"/>
    <mergeCell ref="V133:V134"/>
    <mergeCell ref="Q305:Q306"/>
    <mergeCell ref="K137:K138"/>
    <mergeCell ref="AJ75:AJ76"/>
    <mergeCell ref="AU371:AU372"/>
    <mergeCell ref="E269:E270"/>
    <mergeCell ref="X199:X200"/>
    <mergeCell ref="AK226:AM226"/>
    <mergeCell ref="Q363:Q364"/>
    <mergeCell ref="AB29:AB30"/>
    <mergeCell ref="N233:N234"/>
    <mergeCell ref="N347:N348"/>
    <mergeCell ref="AB329:AB330"/>
    <mergeCell ref="V167:V168"/>
    <mergeCell ref="V161:V162"/>
    <mergeCell ref="AU99:AU100"/>
    <mergeCell ref="K165:K166"/>
    <mergeCell ref="AD89:AD90"/>
    <mergeCell ref="P293:P294"/>
    <mergeCell ref="X227:X228"/>
    <mergeCell ref="S119:S120"/>
    <mergeCell ref="E323:E324"/>
    <mergeCell ref="N217:N218"/>
    <mergeCell ref="U211:U212"/>
    <mergeCell ref="B221:B226"/>
    <mergeCell ref="O349:O350"/>
    <mergeCell ref="D101:D102"/>
    <mergeCell ref="AN193:AN194"/>
    <mergeCell ref="M153:M154"/>
    <mergeCell ref="AO282:AR282"/>
    <mergeCell ref="X263:X264"/>
    <mergeCell ref="AC197:AC198"/>
    <mergeCell ref="M311:M312"/>
    <mergeCell ref="M267:M268"/>
    <mergeCell ref="Z29:Z30"/>
    <mergeCell ref="J137:J138"/>
    <mergeCell ref="R71:R72"/>
    <mergeCell ref="Z329:Z330"/>
    <mergeCell ref="J111:J112"/>
    <mergeCell ref="P363:P364"/>
    <mergeCell ref="AV137:AV138"/>
    <mergeCell ref="L203:L204"/>
    <mergeCell ref="AN183:AN184"/>
    <mergeCell ref="X297:X298"/>
    <mergeCell ref="D243:D244"/>
    <mergeCell ref="X291:X292"/>
    <mergeCell ref="M295:M296"/>
    <mergeCell ref="Q5:Q6"/>
    <mergeCell ref="Z57:Z58"/>
    <mergeCell ref="G39:G40"/>
    <mergeCell ref="AC209:AC210"/>
    <mergeCell ref="Z357:Z358"/>
    <mergeCell ref="B333:B336"/>
    <mergeCell ref="AV165:AV166"/>
    <mergeCell ref="X133:X134"/>
    <mergeCell ref="AS39:AS40"/>
    <mergeCell ref="B245:B248"/>
    <mergeCell ref="L99:L100"/>
    <mergeCell ref="L257:L258"/>
    <mergeCell ref="AS123:AS124"/>
    <mergeCell ref="AB45:AB46"/>
    <mergeCell ref="L267:L268"/>
    <mergeCell ref="AJ131:AJ132"/>
    <mergeCell ref="AS25:AS26"/>
    <mergeCell ref="Y29:Y30"/>
    <mergeCell ref="T201:T202"/>
    <mergeCell ref="N33:N34"/>
    <mergeCell ref="C187:C192"/>
    <mergeCell ref="Y329:Y330"/>
    <mergeCell ref="N333:N334"/>
    <mergeCell ref="I111:I112"/>
    <mergeCell ref="N245:N246"/>
    <mergeCell ref="S135:S136"/>
    <mergeCell ref="W297:W298"/>
    <mergeCell ref="Q129:Q130"/>
    <mergeCell ref="AB187:AB188"/>
    <mergeCell ref="L301:L302"/>
    <mergeCell ref="L295:L296"/>
    <mergeCell ref="P5:P6"/>
    <mergeCell ref="O337:O338"/>
    <mergeCell ref="AU111:AU112"/>
    <mergeCell ref="AK134:AM134"/>
    <mergeCell ref="I169:I170"/>
    <mergeCell ref="Y57:Y58"/>
    <mergeCell ref="L321:L322"/>
    <mergeCell ref="Y357:Y358"/>
    <mergeCell ref="S189:S190"/>
    <mergeCell ref="A325:A326"/>
    <mergeCell ref="N229:N230"/>
    <mergeCell ref="V15:V16"/>
    <mergeCell ref="Q113:Q114"/>
    <mergeCell ref="K99:K100"/>
    <mergeCell ref="AJ37:AJ38"/>
    <mergeCell ref="K257:K258"/>
    <mergeCell ref="E237:E238"/>
    <mergeCell ref="AO354:AR354"/>
    <mergeCell ref="E79:E80"/>
    <mergeCell ref="K241:K242"/>
    <mergeCell ref="E73:E74"/>
    <mergeCell ref="H117:H118"/>
    <mergeCell ref="M7:M8"/>
    <mergeCell ref="S259:S260"/>
    <mergeCell ref="R135:R136"/>
    <mergeCell ref="AA187:AA188"/>
    <mergeCell ref="K301:K302"/>
    <mergeCell ref="AD223:AD224"/>
    <mergeCell ref="N337:N338"/>
    <mergeCell ref="D15:D16"/>
    <mergeCell ref="J177:J178"/>
    <mergeCell ref="A374:AV374"/>
    <mergeCell ref="G51:G52"/>
    <mergeCell ref="M61:M62"/>
    <mergeCell ref="U319:U320"/>
    <mergeCell ref="P103:P104"/>
    <mergeCell ref="AU209:AU210"/>
    <mergeCell ref="AN249:AN250"/>
    <mergeCell ref="E101:E102"/>
    <mergeCell ref="AN243:AN244"/>
    <mergeCell ref="X31:X32"/>
    <mergeCell ref="J235:J236"/>
    <mergeCell ref="AA29:AA30"/>
    <mergeCell ref="M229:M230"/>
    <mergeCell ref="U15:U16"/>
    <mergeCell ref="AA329:AA330"/>
    <mergeCell ref="AN91:AN92"/>
    <mergeCell ref="AT253:AT254"/>
    <mergeCell ref="AN277:AN278"/>
    <mergeCell ref="I285:I286"/>
    <mergeCell ref="AK8:AM8"/>
    <mergeCell ref="G89:G90"/>
    <mergeCell ref="O23:O24"/>
    <mergeCell ref="J3:K3"/>
    <mergeCell ref="J247:J248"/>
    <mergeCell ref="AN13:AN14"/>
    <mergeCell ref="D79:D80"/>
    <mergeCell ref="AC17:AC18"/>
    <mergeCell ref="T151:T152"/>
    <mergeCell ref="L7:L8"/>
    <mergeCell ref="AS89:AS90"/>
    <mergeCell ref="AN313:AN314"/>
    <mergeCell ref="AC361:AC362"/>
    <mergeCell ref="AC317:AC318"/>
    <mergeCell ref="C245:C248"/>
    <mergeCell ref="X95:X96"/>
    <mergeCell ref="Q141:Q142"/>
    <mergeCell ref="Q135:Q136"/>
    <mergeCell ref="F145:F146"/>
    <mergeCell ref="L307:L308"/>
    <mergeCell ref="F139:F140"/>
    <mergeCell ref="R233:R234"/>
    <mergeCell ref="F51:F52"/>
    <mergeCell ref="AE294:AI294"/>
    <mergeCell ref="O103:O104"/>
    <mergeCell ref="Z161:Z162"/>
    <mergeCell ref="AT209:AT210"/>
    <mergeCell ref="D107:D108"/>
    <mergeCell ref="L365:L366"/>
    <mergeCell ref="AB253:AB254"/>
    <mergeCell ref="B137:B140"/>
    <mergeCell ref="W31:W32"/>
    <mergeCell ref="AN347:AN348"/>
    <mergeCell ref="T293:T294"/>
    <mergeCell ref="AN341:AN342"/>
    <mergeCell ref="Q169:Q170"/>
    <mergeCell ref="Q125:Q126"/>
    <mergeCell ref="AV269:AV270"/>
    <mergeCell ref="AE216:AI216"/>
    <mergeCell ref="F193:F194"/>
    <mergeCell ref="O87:O88"/>
    <mergeCell ref="V81:V82"/>
    <mergeCell ref="N295:N296"/>
    <mergeCell ref="O245:O246"/>
    <mergeCell ref="AV327:AV328"/>
    <mergeCell ref="Q179:Q180"/>
    <mergeCell ref="B165:B168"/>
    <mergeCell ref="AB149:AB150"/>
    <mergeCell ref="Z205:Z206"/>
    <mergeCell ref="F209:F210"/>
    <mergeCell ref="N23:N24"/>
    <mergeCell ref="N137:N138"/>
    <mergeCell ref="AE244:AI244"/>
    <mergeCell ref="AE358:AI358"/>
    <mergeCell ref="S151:S152"/>
    <mergeCell ref="K13:K14"/>
    <mergeCell ref="K7:K8"/>
    <mergeCell ref="S271:S272"/>
    <mergeCell ref="AB317:AB318"/>
    <mergeCell ref="B201:B204"/>
    <mergeCell ref="E145:E146"/>
    <mergeCell ref="AJ251:AJ252"/>
    <mergeCell ref="AD83:AD84"/>
    <mergeCell ref="Q233:Q234"/>
    <mergeCell ref="M73:M74"/>
    <mergeCell ref="F237:F238"/>
    <mergeCell ref="Y161:Y162"/>
    <mergeCell ref="B341:B346"/>
    <mergeCell ref="A137:A140"/>
    <mergeCell ref="S299:S300"/>
    <mergeCell ref="S293:S294"/>
    <mergeCell ref="AK296:AM296"/>
    <mergeCell ref="P125:P126"/>
    <mergeCell ref="P283:P284"/>
    <mergeCell ref="B69:B74"/>
    <mergeCell ref="E41:E42"/>
    <mergeCell ref="AA95:AA96"/>
    <mergeCell ref="E193:E194"/>
    <mergeCell ref="A165:A168"/>
    <mergeCell ref="V21:V22"/>
    <mergeCell ref="AD279:AD280"/>
    <mergeCell ref="G101:G102"/>
    <mergeCell ref="P153:P154"/>
    <mergeCell ref="AO2:AS2"/>
    <mergeCell ref="U287:U288"/>
    <mergeCell ref="M137:M138"/>
    <mergeCell ref="AD333:AD334"/>
    <mergeCell ref="W47:W48"/>
    <mergeCell ref="AT9:AT10"/>
    <mergeCell ref="O89:O90"/>
    <mergeCell ref="S363:S364"/>
    <mergeCell ref="O203:O204"/>
    <mergeCell ref="H367:H368"/>
    <mergeCell ref="U129:U130"/>
    <mergeCell ref="U123:U124"/>
    <mergeCell ref="AN53:AN54"/>
    <mergeCell ref="X167:X168"/>
    <mergeCell ref="AC57:AC58"/>
    <mergeCell ref="P207:P208"/>
    <mergeCell ref="J39:J40"/>
    <mergeCell ref="R299:R300"/>
    <mergeCell ref="L131:L132"/>
    <mergeCell ref="W189:W190"/>
    <mergeCell ref="AT273:AT274"/>
    <mergeCell ref="J339:J340"/>
    <mergeCell ref="T65:T66"/>
    <mergeCell ref="Z227:Z228"/>
    <mergeCell ref="AC111:AC112"/>
    <mergeCell ref="AV39:AV40"/>
    <mergeCell ref="G323:G324"/>
    <mergeCell ref="A69:A74"/>
    <mergeCell ref="U151:U152"/>
    <mergeCell ref="D41:D42"/>
    <mergeCell ref="C301:C304"/>
    <mergeCell ref="Z285:Z286"/>
    <mergeCell ref="J355:J356"/>
    <mergeCell ref="R141:R142"/>
    <mergeCell ref="AE44:AI44"/>
    <mergeCell ref="U21:U22"/>
    <mergeCell ref="AC279:AC280"/>
    <mergeCell ref="AS323:AS324"/>
    <mergeCell ref="L115:L116"/>
    <mergeCell ref="O153:O154"/>
    <mergeCell ref="AK112:AM112"/>
    <mergeCell ref="AK298:AM298"/>
    <mergeCell ref="AE256:AI256"/>
    <mergeCell ref="AV25:AV26"/>
    <mergeCell ref="D183:D184"/>
    <mergeCell ref="AS9:AS10"/>
    <mergeCell ref="W259:W260"/>
    <mergeCell ref="W253:W254"/>
    <mergeCell ref="Z297:Z298"/>
    <mergeCell ref="F243:F244"/>
    <mergeCell ref="T129:T130"/>
    <mergeCell ref="AE98:AI98"/>
    <mergeCell ref="O295:O296"/>
    <mergeCell ref="S5:S6"/>
    <mergeCell ref="AB57:AB58"/>
    <mergeCell ref="N261:N262"/>
    <mergeCell ref="AS367:AS368"/>
    <mergeCell ref="AN145:AN146"/>
    <mergeCell ref="V195:V196"/>
    <mergeCell ref="AB357:AB358"/>
    <mergeCell ref="V189:V190"/>
    <mergeCell ref="AU127:AU128"/>
    <mergeCell ref="S21:S22"/>
    <mergeCell ref="AE300:AI300"/>
    <mergeCell ref="H25:H26"/>
    <mergeCell ref="F171:F172"/>
    <mergeCell ref="AU39:AU40"/>
    <mergeCell ref="AE20:AI20"/>
    <mergeCell ref="AJ43:AJ44"/>
    <mergeCell ref="T271:T272"/>
    <mergeCell ref="B301:B304"/>
    <mergeCell ref="AK362:AM362"/>
    <mergeCell ref="I355:I356"/>
    <mergeCell ref="T325:T326"/>
    <mergeCell ref="AD45:AD46"/>
    <mergeCell ref="F13:F14"/>
    <mergeCell ref="S49:S50"/>
    <mergeCell ref="C341:C346"/>
    <mergeCell ref="AE48:AI48"/>
    <mergeCell ref="AU25:AU26"/>
    <mergeCell ref="F313:F314"/>
    <mergeCell ref="AE348:AI348"/>
    <mergeCell ref="Y269:Y270"/>
    <mergeCell ref="V259:V260"/>
    <mergeCell ref="U135:U136"/>
    <mergeCell ref="E249:E250"/>
    <mergeCell ref="AD187:AD188"/>
    <mergeCell ref="X19:X20"/>
    <mergeCell ref="AA57:AA58"/>
    <mergeCell ref="X325:X326"/>
    <mergeCell ref="X319:X320"/>
    <mergeCell ref="S103:S104"/>
    <mergeCell ref="S97:S98"/>
    <mergeCell ref="U37:U38"/>
    <mergeCell ref="L143:L144"/>
    <mergeCell ref="U195:U196"/>
    <mergeCell ref="X231:X232"/>
    <mergeCell ref="M235:M236"/>
    <mergeCell ref="AC123:AC124"/>
    <mergeCell ref="E91:E92"/>
    <mergeCell ref="V287:V288"/>
    <mergeCell ref="G25:G26"/>
    <mergeCell ref="S113:S114"/>
    <mergeCell ref="H29:H30"/>
    <mergeCell ref="U179:U180"/>
    <mergeCell ref="U337:U338"/>
    <mergeCell ref="H329:H330"/>
    <mergeCell ref="X217:X218"/>
    <mergeCell ref="R49:R50"/>
    <mergeCell ref="AN261:AN262"/>
    <mergeCell ref="U91:U92"/>
    <mergeCell ref="AT29:AT30"/>
    <mergeCell ref="J95:J96"/>
    <mergeCell ref="J89:J90"/>
    <mergeCell ref="AT329:AT330"/>
    <mergeCell ref="D227:D228"/>
    <mergeCell ref="W151:W152"/>
    <mergeCell ref="D343:D344"/>
    <mergeCell ref="O7:O8"/>
    <mergeCell ref="AV89:AV90"/>
    <mergeCell ref="Z35:Z36"/>
    <mergeCell ref="J263:J264"/>
    <mergeCell ref="AC187:AC188"/>
    <mergeCell ref="F15:F16"/>
    <mergeCell ref="E347:E348"/>
    <mergeCell ref="E341:E342"/>
    <mergeCell ref="W325:W326"/>
    <mergeCell ref="R103:R104"/>
    <mergeCell ref="L235:L236"/>
    <mergeCell ref="D91:D92"/>
    <mergeCell ref="W9:W10"/>
    <mergeCell ref="A109:A110"/>
    <mergeCell ref="W353:W354"/>
    <mergeCell ref="L251:L252"/>
    <mergeCell ref="B65:B68"/>
    <mergeCell ref="T179:T180"/>
    <mergeCell ref="T337:T338"/>
    <mergeCell ref="W221:W222"/>
    <mergeCell ref="AS29:AS30"/>
    <mergeCell ref="I95:I96"/>
    <mergeCell ref="AN201:AN202"/>
    <mergeCell ref="I209:I210"/>
    <mergeCell ref="N143:N144"/>
    <mergeCell ref="Q23:Q24"/>
    <mergeCell ref="Y281:Y282"/>
    <mergeCell ref="AS329:AS330"/>
    <mergeCell ref="F79:F80"/>
    <mergeCell ref="AB165:AB166"/>
    <mergeCell ref="T21:T22"/>
    <mergeCell ref="V151:V152"/>
    <mergeCell ref="AU95:AU96"/>
    <mergeCell ref="AU89:AU90"/>
    <mergeCell ref="S141:S142"/>
    <mergeCell ref="T75:T76"/>
    <mergeCell ref="T233:T234"/>
    <mergeCell ref="AK244:AM244"/>
    <mergeCell ref="K329:K330"/>
    <mergeCell ref="O39:O40"/>
    <mergeCell ref="F63:F64"/>
    <mergeCell ref="N365:N366"/>
    <mergeCell ref="C369:C370"/>
    <mergeCell ref="P131:P132"/>
    <mergeCell ref="V293:V294"/>
    <mergeCell ref="S169:S170"/>
    <mergeCell ref="V9:V10"/>
    <mergeCell ref="A285:A288"/>
    <mergeCell ref="X75:X76"/>
    <mergeCell ref="V221:V222"/>
    <mergeCell ref="E57:E58"/>
    <mergeCell ref="AJ321:AJ322"/>
    <mergeCell ref="H95:H96"/>
    <mergeCell ref="S153:S154"/>
    <mergeCell ref="H209:H210"/>
    <mergeCell ref="E357:E358"/>
    <mergeCell ref="M143:M144"/>
    <mergeCell ref="V37:V38"/>
    <mergeCell ref="X281:X282"/>
    <mergeCell ref="Z47:Z48"/>
    <mergeCell ref="AT95:AT96"/>
    <mergeCell ref="J161:J162"/>
    <mergeCell ref="U271:U272"/>
    <mergeCell ref="J275:J276"/>
    <mergeCell ref="X155:X156"/>
    <mergeCell ref="D293:D294"/>
    <mergeCell ref="V363:V364"/>
    <mergeCell ref="U87:U88"/>
    <mergeCell ref="C273:C276"/>
    <mergeCell ref="X123:X124"/>
    <mergeCell ref="AN11:AN12"/>
    <mergeCell ref="AO342:AR342"/>
    <mergeCell ref="R261:R262"/>
    <mergeCell ref="U299:U300"/>
    <mergeCell ref="O131:O132"/>
    <mergeCell ref="X25:X26"/>
    <mergeCell ref="J303:J304"/>
    <mergeCell ref="AN69:AN70"/>
    <mergeCell ref="X183:X184"/>
    <mergeCell ref="AN369:AN370"/>
    <mergeCell ref="AB193:AB194"/>
    <mergeCell ref="Q197:Q198"/>
    <mergeCell ref="AC285:AC286"/>
    <mergeCell ref="U141:U142"/>
    <mergeCell ref="W75:W76"/>
    <mergeCell ref="O273:O274"/>
    <mergeCell ref="D363:D364"/>
    <mergeCell ref="W287:W288"/>
    <mergeCell ref="AV225:AV226"/>
    <mergeCell ref="L291:L292"/>
    <mergeCell ref="F123:F124"/>
    <mergeCell ref="U343:U344"/>
    <mergeCell ref="Y47:Y48"/>
    <mergeCell ref="J367:J368"/>
    <mergeCell ref="N77:N78"/>
    <mergeCell ref="T87:T88"/>
    <mergeCell ref="W129:W130"/>
    <mergeCell ref="T277:T278"/>
    <mergeCell ref="AJ165:AJ166"/>
    <mergeCell ref="Q261:Q262"/>
    <mergeCell ref="AV367:AV368"/>
    <mergeCell ref="L39:L40"/>
    <mergeCell ref="Z313:Z314"/>
    <mergeCell ref="V65:V66"/>
    <mergeCell ref="S327:S328"/>
    <mergeCell ref="W157:W158"/>
    <mergeCell ref="AV95:AV96"/>
    <mergeCell ref="Y205:Y206"/>
    <mergeCell ref="AB285:AB286"/>
    <mergeCell ref="L355:L356"/>
    <mergeCell ref="Q289:Q290"/>
    <mergeCell ref="A359:A360"/>
    <mergeCell ref="Y117:Y118"/>
    <mergeCell ref="N121:N122"/>
    <mergeCell ref="AE342:AI342"/>
    <mergeCell ref="Q159:Q160"/>
    <mergeCell ref="AB2:AD2"/>
    <mergeCell ref="V49:V50"/>
    <mergeCell ref="H253:H254"/>
    <mergeCell ref="P39:P40"/>
    <mergeCell ref="AB301:AB302"/>
    <mergeCell ref="K291:K292"/>
    <mergeCell ref="AJ229:AJ230"/>
    <mergeCell ref="P339:P340"/>
    <mergeCell ref="M57:M58"/>
    <mergeCell ref="P93:P94"/>
    <mergeCell ref="E97:E98"/>
    <mergeCell ref="AD193:AD194"/>
    <mergeCell ref="V129:V130"/>
    <mergeCell ref="S277:S278"/>
    <mergeCell ref="AU367:AU368"/>
    <mergeCell ref="X37:X38"/>
    <mergeCell ref="AJ371:AJ372"/>
    <mergeCell ref="X195:X196"/>
    <mergeCell ref="R27:R28"/>
    <mergeCell ref="X189:X190"/>
    <mergeCell ref="M199:M200"/>
    <mergeCell ref="R327:R328"/>
    <mergeCell ref="G1:O1"/>
    <mergeCell ref="V113:V114"/>
    <mergeCell ref="V271:V272"/>
    <mergeCell ref="X205:X206"/>
    <mergeCell ref="P251:P252"/>
    <mergeCell ref="AO92:AR92"/>
    <mergeCell ref="M121:M122"/>
    <mergeCell ref="X179:X180"/>
    <mergeCell ref="R11:R12"/>
    <mergeCell ref="AT361:AT362"/>
    <mergeCell ref="U49:U50"/>
    <mergeCell ref="G253:G254"/>
    <mergeCell ref="Z183:Z184"/>
    <mergeCell ref="AK26:AM26"/>
    <mergeCell ref="O187:O188"/>
    <mergeCell ref="O339:O340"/>
    <mergeCell ref="U107:U108"/>
    <mergeCell ref="O93:O94"/>
    <mergeCell ref="D97:D98"/>
    <mergeCell ref="AC35:AC36"/>
    <mergeCell ref="AB243:AB244"/>
    <mergeCell ref="X259:X260"/>
    <mergeCell ref="AC193:AC194"/>
    <mergeCell ref="M263:M264"/>
    <mergeCell ref="B285:B288"/>
    <mergeCell ref="G281:G282"/>
    <mergeCell ref="T43:T44"/>
    <mergeCell ref="D113:D114"/>
    <mergeCell ref="Z325:Z326"/>
    <mergeCell ref="T157:T158"/>
    <mergeCell ref="AK168:AM168"/>
    <mergeCell ref="D271:D272"/>
    <mergeCell ref="Z319:Z320"/>
    <mergeCell ref="O329:O330"/>
    <mergeCell ref="W37:W38"/>
    <mergeCell ref="L199:L200"/>
    <mergeCell ref="O235:O236"/>
    <mergeCell ref="D239:D240"/>
    <mergeCell ref="X287:X288"/>
    <mergeCell ref="F331:F332"/>
    <mergeCell ref="Z53:Z54"/>
    <mergeCell ref="B29:B32"/>
    <mergeCell ref="AK96:AM96"/>
    <mergeCell ref="Z353:Z354"/>
    <mergeCell ref="O251:O252"/>
    <mergeCell ref="D255:D256"/>
    <mergeCell ref="B329:B332"/>
    <mergeCell ref="Q17:Q18"/>
    <mergeCell ref="W179:W180"/>
    <mergeCell ref="AE354:AI354"/>
    <mergeCell ref="Q11:Q12"/>
    <mergeCell ref="W337:W338"/>
    <mergeCell ref="D167:D168"/>
    <mergeCell ref="Q317:Q318"/>
    <mergeCell ref="L95:L96"/>
    <mergeCell ref="E135:E136"/>
    <mergeCell ref="F227:F228"/>
    <mergeCell ref="V115:V116"/>
    <mergeCell ref="AE76:AI76"/>
    <mergeCell ref="O279:O280"/>
    <mergeCell ref="AN217:AN218"/>
    <mergeCell ref="AB341:AB342"/>
    <mergeCell ref="V173:V174"/>
    <mergeCell ref="N29:N30"/>
    <mergeCell ref="Q65:Q66"/>
    <mergeCell ref="AD101:AD102"/>
    <mergeCell ref="Y325:Y326"/>
    <mergeCell ref="N329:N330"/>
    <mergeCell ref="Q365:Q366"/>
    <mergeCell ref="AS347:AS348"/>
    <mergeCell ref="AB183:AB184"/>
    <mergeCell ref="U223:U224"/>
    <mergeCell ref="E5:E6"/>
    <mergeCell ref="Y53:Y54"/>
    <mergeCell ref="Y9:Y10"/>
    <mergeCell ref="Y353:Y354"/>
    <mergeCell ref="AD243:AD244"/>
    <mergeCell ref="F297:F298"/>
    <mergeCell ref="P17:P18"/>
    <mergeCell ref="AA75:AA76"/>
    <mergeCell ref="H57:H58"/>
    <mergeCell ref="Q109:Q110"/>
    <mergeCell ref="P317:P318"/>
    <mergeCell ref="J149:J150"/>
    <mergeCell ref="AO158:AR158"/>
    <mergeCell ref="AJ33:AJ34"/>
    <mergeCell ref="H357:H358"/>
    <mergeCell ref="P143:P144"/>
    <mergeCell ref="E233:E234"/>
    <mergeCell ref="E227:E228"/>
    <mergeCell ref="AD171:AD172"/>
    <mergeCell ref="AO290:AR290"/>
    <mergeCell ref="P45:P46"/>
    <mergeCell ref="X303:X304"/>
    <mergeCell ref="R289:R290"/>
    <mergeCell ref="G293:G294"/>
    <mergeCell ref="P345:P346"/>
    <mergeCell ref="AC101:AC102"/>
    <mergeCell ref="U147:U148"/>
    <mergeCell ref="E369:E370"/>
    <mergeCell ref="O95:O96"/>
    <mergeCell ref="R131:R132"/>
    <mergeCell ref="AA25:AA26"/>
    <mergeCell ref="AA183:AA184"/>
    <mergeCell ref="D5:D6"/>
    <mergeCell ref="AN245:AN246"/>
    <mergeCell ref="AC249:AC250"/>
    <mergeCell ref="AC243:AC244"/>
    <mergeCell ref="E297:E298"/>
    <mergeCell ref="J231:J232"/>
    <mergeCell ref="Z75:Z76"/>
    <mergeCell ref="D21:D22"/>
    <mergeCell ref="G363:G364"/>
    <mergeCell ref="G357:G358"/>
    <mergeCell ref="O143:O144"/>
    <mergeCell ref="I123:I124"/>
    <mergeCell ref="AC171:AC172"/>
    <mergeCell ref="X343:X344"/>
    <mergeCell ref="D347:D348"/>
    <mergeCell ref="R175:R176"/>
    <mergeCell ref="L161:L162"/>
    <mergeCell ref="W303:W304"/>
    <mergeCell ref="F293:F294"/>
    <mergeCell ref="AK146:AM146"/>
    <mergeCell ref="AK304:AM304"/>
    <mergeCell ref="T147:T148"/>
    <mergeCell ref="D217:D218"/>
    <mergeCell ref="T261:T262"/>
    <mergeCell ref="AN309:AN310"/>
    <mergeCell ref="AC313:AC314"/>
    <mergeCell ref="X91:X92"/>
    <mergeCell ref="Q131:Q132"/>
    <mergeCell ref="V27:V28"/>
    <mergeCell ref="F141:F142"/>
    <mergeCell ref="F135:F136"/>
    <mergeCell ref="T163:T164"/>
    <mergeCell ref="AE132:AI132"/>
    <mergeCell ref="T321:T322"/>
    <mergeCell ref="S197:S198"/>
    <mergeCell ref="L361:L362"/>
    <mergeCell ref="AB249:AB250"/>
    <mergeCell ref="T289:T290"/>
    <mergeCell ref="AN337:AN338"/>
    <mergeCell ref="Y75:Y76"/>
    <mergeCell ref="AB117:AB118"/>
    <mergeCell ref="Q121:Q122"/>
    <mergeCell ref="Q115:Q116"/>
    <mergeCell ref="S213:S214"/>
    <mergeCell ref="AE54:AI54"/>
    <mergeCell ref="F363:F364"/>
    <mergeCell ref="K253:K254"/>
    <mergeCell ref="A25:A28"/>
    <mergeCell ref="T305:T306"/>
    <mergeCell ref="O83:O84"/>
    <mergeCell ref="N291:N292"/>
    <mergeCell ref="H123:H124"/>
    <mergeCell ref="W343:W344"/>
    <mergeCell ref="I221:I222"/>
    <mergeCell ref="AB145:AB146"/>
    <mergeCell ref="U185:U186"/>
    <mergeCell ref="J189:J190"/>
    <mergeCell ref="V277:V278"/>
    <mergeCell ref="N133:N134"/>
    <mergeCell ref="X43:X44"/>
    <mergeCell ref="S261:S262"/>
    <mergeCell ref="H265:H266"/>
    <mergeCell ref="U27:U28"/>
    <mergeCell ref="E141:E142"/>
    <mergeCell ref="AD79:AD80"/>
    <mergeCell ref="U327:U328"/>
    <mergeCell ref="D33:D34"/>
    <mergeCell ref="S289:S290"/>
    <mergeCell ref="C359:C360"/>
    <mergeCell ref="P121:P122"/>
    <mergeCell ref="M269:M270"/>
    <mergeCell ref="U55:U56"/>
    <mergeCell ref="E125:E126"/>
    <mergeCell ref="J259:J260"/>
    <mergeCell ref="J253:J254"/>
    <mergeCell ref="AT293:AT294"/>
    <mergeCell ref="V347:V348"/>
    <mergeCell ref="L19:L20"/>
    <mergeCell ref="E337:E338"/>
    <mergeCell ref="X107:X108"/>
    <mergeCell ref="D61:D62"/>
    <mergeCell ref="L319:L320"/>
    <mergeCell ref="P149:P150"/>
    <mergeCell ref="AN295:AN296"/>
    <mergeCell ref="P263:P264"/>
    <mergeCell ref="U277:U278"/>
    <mergeCell ref="AT221:AT222"/>
    <mergeCell ref="M133:M134"/>
    <mergeCell ref="J281:J282"/>
    <mergeCell ref="W43:W44"/>
    <mergeCell ref="AE170:AI170"/>
    <mergeCell ref="S201:S202"/>
    <mergeCell ref="T27:T28"/>
    <mergeCell ref="AV281:AV282"/>
    <mergeCell ref="AN137:AN138"/>
    <mergeCell ref="T327:T328"/>
    <mergeCell ref="AC47:AC48"/>
    <mergeCell ref="V93:V94"/>
    <mergeCell ref="W359:W360"/>
    <mergeCell ref="AK54:AM54"/>
    <mergeCell ref="R251:R252"/>
    <mergeCell ref="W185:W186"/>
    <mergeCell ref="AE198:AI198"/>
    <mergeCell ref="L269:L270"/>
    <mergeCell ref="T17:T18"/>
    <mergeCell ref="T55:T56"/>
    <mergeCell ref="D125:D126"/>
    <mergeCell ref="AK266:AM266"/>
    <mergeCell ref="N149:N150"/>
    <mergeCell ref="AN359:AN360"/>
    <mergeCell ref="AS293:AS294"/>
    <mergeCell ref="U347:U348"/>
    <mergeCell ref="Q187:Q188"/>
    <mergeCell ref="K19:K20"/>
    <mergeCell ref="F191:F192"/>
    <mergeCell ref="R279:R280"/>
    <mergeCell ref="K319:K320"/>
    <mergeCell ref="O149:O150"/>
    <mergeCell ref="T45:T46"/>
    <mergeCell ref="O263:O264"/>
    <mergeCell ref="K231:K232"/>
    <mergeCell ref="AE94:AI94"/>
    <mergeCell ref="AE252:AI252"/>
    <mergeCell ref="AK250:AM250"/>
    <mergeCell ref="AS221:AS222"/>
    <mergeCell ref="Q29:Q30"/>
    <mergeCell ref="AB211:AB212"/>
    <mergeCell ref="F113:F114"/>
    <mergeCell ref="K47:K48"/>
    <mergeCell ref="AU281:AU282"/>
    <mergeCell ref="AE262:AI262"/>
    <mergeCell ref="F245:F246"/>
    <mergeCell ref="F239:F240"/>
    <mergeCell ref="H179:H180"/>
    <mergeCell ref="H337:H338"/>
    <mergeCell ref="H5:H6"/>
    <mergeCell ref="T267:T268"/>
    <mergeCell ref="AS205:AS206"/>
    <mergeCell ref="J97:J98"/>
    <mergeCell ref="AS363:AS364"/>
    <mergeCell ref="V33:V34"/>
    <mergeCell ref="V185:V186"/>
    <mergeCell ref="F255:F256"/>
    <mergeCell ref="AD13:AD14"/>
    <mergeCell ref="S17:S18"/>
    <mergeCell ref="H21:H22"/>
    <mergeCell ref="M35:M36"/>
    <mergeCell ref="AJ39:AJ40"/>
    <mergeCell ref="S317:S318"/>
    <mergeCell ref="M149:M150"/>
    <mergeCell ref="V201:V202"/>
    <mergeCell ref="E191:E192"/>
    <mergeCell ref="AT21:AT22"/>
    <mergeCell ref="K117:K118"/>
    <mergeCell ref="Q279:Q280"/>
    <mergeCell ref="B365:B366"/>
    <mergeCell ref="S45:S46"/>
    <mergeCell ref="AJ355:AJ356"/>
    <mergeCell ref="AT227:AT228"/>
    <mergeCell ref="AD341:AD342"/>
    <mergeCell ref="X173:X174"/>
    <mergeCell ref="S345:S346"/>
    <mergeCell ref="P29:P30"/>
    <mergeCell ref="M177:M178"/>
    <mergeCell ref="J9:J10"/>
    <mergeCell ref="J167:J168"/>
    <mergeCell ref="P329:P330"/>
    <mergeCell ref="AC91:AC92"/>
    <mergeCell ref="E87:E88"/>
    <mergeCell ref="U131:U132"/>
    <mergeCell ref="AD25:AD26"/>
    <mergeCell ref="E245:E246"/>
    <mergeCell ref="AD183:AD184"/>
    <mergeCell ref="AT2:AV2"/>
    <mergeCell ref="G5:G6"/>
    <mergeCell ref="S267:S268"/>
    <mergeCell ref="X163:X164"/>
    <mergeCell ref="X321:X322"/>
    <mergeCell ref="X315:X316"/>
    <mergeCell ref="U33:U34"/>
    <mergeCell ref="M231:M232"/>
    <mergeCell ref="AS5:AS6"/>
    <mergeCell ref="U333:U334"/>
    <mergeCell ref="O165:O166"/>
    <mergeCell ref="G21:G22"/>
    <mergeCell ref="O323:O324"/>
    <mergeCell ref="J57:J58"/>
    <mergeCell ref="AK310:AM310"/>
    <mergeCell ref="D195:D196"/>
    <mergeCell ref="T83:T84"/>
    <mergeCell ref="M247:M248"/>
    <mergeCell ref="AS21:AS22"/>
    <mergeCell ref="L123:L124"/>
    <mergeCell ref="U175:U176"/>
    <mergeCell ref="N215:N216"/>
    <mergeCell ref="A365:A366"/>
    <mergeCell ref="R45:R46"/>
    <mergeCell ref="Z309:Z310"/>
    <mergeCell ref="O307:O308"/>
    <mergeCell ref="AB69:AB70"/>
    <mergeCell ref="AV117:AV118"/>
    <mergeCell ref="R345:R346"/>
    <mergeCell ref="O219:O220"/>
    <mergeCell ref="AT325:AT326"/>
    <mergeCell ref="AN157:AN158"/>
    <mergeCell ref="D223:D224"/>
    <mergeCell ref="T111:T112"/>
    <mergeCell ref="I9:I10"/>
    <mergeCell ref="AB369:AB370"/>
    <mergeCell ref="AS49:AS50"/>
    <mergeCell ref="W147:W148"/>
    <mergeCell ref="G217:G218"/>
    <mergeCell ref="N243:N244"/>
    <mergeCell ref="AS69:AS70"/>
    <mergeCell ref="Y1:AD1"/>
    <mergeCell ref="K75:K76"/>
    <mergeCell ref="AC183:AC184"/>
    <mergeCell ref="W163:W164"/>
    <mergeCell ref="W321:W322"/>
    <mergeCell ref="AK44:AM44"/>
    <mergeCell ref="V197:V198"/>
    <mergeCell ref="AK158:AM158"/>
    <mergeCell ref="L231:L232"/>
    <mergeCell ref="V213:V214"/>
    <mergeCell ref="N139:N140"/>
    <mergeCell ref="I363:I364"/>
    <mergeCell ref="AE360:AI360"/>
    <mergeCell ref="K123:K124"/>
    <mergeCell ref="T175:T176"/>
    <mergeCell ref="E261:E262"/>
    <mergeCell ref="Y309:Y310"/>
    <mergeCell ref="Q349:Q350"/>
    <mergeCell ref="AA69:AA70"/>
    <mergeCell ref="V241:V242"/>
    <mergeCell ref="AU179:AU180"/>
    <mergeCell ref="N219:N220"/>
    <mergeCell ref="Y277:Y278"/>
    <mergeCell ref="AA369:AA370"/>
    <mergeCell ref="AU91:AU92"/>
    <mergeCell ref="K151:K152"/>
    <mergeCell ref="AJ95:AJ96"/>
    <mergeCell ref="AJ89:AJ90"/>
    <mergeCell ref="M205:M206"/>
    <mergeCell ref="P285:P286"/>
    <mergeCell ref="H141:H142"/>
    <mergeCell ref="E289:E290"/>
    <mergeCell ref="AE372:AI372"/>
    <mergeCell ref="V163:V164"/>
    <mergeCell ref="P2:R2"/>
    <mergeCell ref="N203:N204"/>
    <mergeCell ref="F59:F60"/>
    <mergeCell ref="N361:N362"/>
    <mergeCell ref="P301:P302"/>
    <mergeCell ref="A281:A284"/>
    <mergeCell ref="V289:V290"/>
    <mergeCell ref="X229:X230"/>
    <mergeCell ref="AN273:AN274"/>
    <mergeCell ref="X55:X56"/>
    <mergeCell ref="AD149:AD150"/>
    <mergeCell ref="M253:M254"/>
    <mergeCell ref="V305:V306"/>
    <mergeCell ref="J129:J130"/>
    <mergeCell ref="O19:O20"/>
    <mergeCell ref="X71:X72"/>
    <mergeCell ref="R57:R58"/>
    <mergeCell ref="K221:K222"/>
    <mergeCell ref="D261:D262"/>
    <mergeCell ref="X371:X372"/>
    <mergeCell ref="S149:S150"/>
    <mergeCell ref="P349:P350"/>
    <mergeCell ref="AV123:AV124"/>
    <mergeCell ref="L189:L190"/>
    <mergeCell ref="E353:E354"/>
    <mergeCell ref="U241:U242"/>
    <mergeCell ref="AT179:AT180"/>
    <mergeCell ref="M281:M282"/>
    <mergeCell ref="W7:W8"/>
    <mergeCell ref="Z43:Z44"/>
    <mergeCell ref="AT91:AT92"/>
    <mergeCell ref="J113:J114"/>
    <mergeCell ref="J151:J152"/>
    <mergeCell ref="O47:O48"/>
    <mergeCell ref="J271:J272"/>
    <mergeCell ref="AN223:AN224"/>
    <mergeCell ref="D289:D290"/>
    <mergeCell ref="AC227:AC228"/>
    <mergeCell ref="H75:H76"/>
    <mergeCell ref="F11:F12"/>
    <mergeCell ref="Z59:Z60"/>
    <mergeCell ref="Z359:Z360"/>
    <mergeCell ref="U137:U138"/>
    <mergeCell ref="AT75:AT76"/>
    <mergeCell ref="D131:D132"/>
    <mergeCell ref="AK114:AM114"/>
    <mergeCell ref="AB277:AB278"/>
    <mergeCell ref="O269:O270"/>
    <mergeCell ref="W55:W56"/>
    <mergeCell ref="AN213:AN214"/>
    <mergeCell ref="G125:G126"/>
    <mergeCell ref="AN365:AN366"/>
    <mergeCell ref="Q35:Q36"/>
    <mergeCell ref="L259:L260"/>
    <mergeCell ref="Q193:Q194"/>
    <mergeCell ref="F91:F92"/>
    <mergeCell ref="AV293:AV294"/>
    <mergeCell ref="Z201:Z202"/>
    <mergeCell ref="T187:T188"/>
    <mergeCell ref="N19:N20"/>
    <mergeCell ref="W71:W72"/>
    <mergeCell ref="AV9:AV10"/>
    <mergeCell ref="J221:J222"/>
    <mergeCell ref="N319:N320"/>
    <mergeCell ref="W371:W372"/>
    <mergeCell ref="T245:T246"/>
    <mergeCell ref="AJ127:AJ128"/>
    <mergeCell ref="AC297:AC298"/>
    <mergeCell ref="W283:W284"/>
    <mergeCell ref="AB173:AB174"/>
    <mergeCell ref="AV221:AV222"/>
    <mergeCell ref="L287:L288"/>
    <mergeCell ref="V5:V6"/>
    <mergeCell ref="F119:F120"/>
    <mergeCell ref="L281:L282"/>
    <mergeCell ref="AD265:AD266"/>
    <mergeCell ref="Y43:Y44"/>
    <mergeCell ref="N47:N48"/>
    <mergeCell ref="AE268:AI268"/>
    <mergeCell ref="S181:S182"/>
    <mergeCell ref="AB347:AB348"/>
    <mergeCell ref="AU113:AU114"/>
    <mergeCell ref="E11:E12"/>
    <mergeCell ref="Y59:Y60"/>
    <mergeCell ref="K337:K338"/>
    <mergeCell ref="Q105:Q106"/>
    <mergeCell ref="W267:W268"/>
    <mergeCell ref="Q99:Q100"/>
    <mergeCell ref="Q257:Q258"/>
    <mergeCell ref="Y359:Y360"/>
    <mergeCell ref="AV363:AV364"/>
    <mergeCell ref="F261:F262"/>
    <mergeCell ref="AS75:AS76"/>
    <mergeCell ref="AA125:AA126"/>
    <mergeCell ref="A9:A12"/>
    <mergeCell ref="N269:N270"/>
    <mergeCell ref="V17:V18"/>
    <mergeCell ref="S165:S166"/>
    <mergeCell ref="S323:S324"/>
    <mergeCell ref="P35:P36"/>
    <mergeCell ref="P193:P194"/>
    <mergeCell ref="V317:V318"/>
    <mergeCell ref="AU293:AU294"/>
    <mergeCell ref="Y201:Y202"/>
    <mergeCell ref="A355:A356"/>
    <mergeCell ref="E65:E66"/>
    <mergeCell ref="AK1:AV1"/>
    <mergeCell ref="N117:N118"/>
    <mergeCell ref="AE180:AI180"/>
    <mergeCell ref="AS217:AS218"/>
    <mergeCell ref="E365:E366"/>
    <mergeCell ref="V45:V46"/>
    <mergeCell ref="S245:S246"/>
    <mergeCell ref="O85:O86"/>
    <mergeCell ref="H249:H250"/>
    <mergeCell ref="AU221:AU222"/>
    <mergeCell ref="K287:K288"/>
    <mergeCell ref="V345:V346"/>
    <mergeCell ref="P177:P178"/>
    <mergeCell ref="AO18:AR18"/>
    <mergeCell ref="C327:C328"/>
    <mergeCell ref="M53:M54"/>
    <mergeCell ref="M9:M10"/>
    <mergeCell ref="M47:M48"/>
    <mergeCell ref="U311:U312"/>
    <mergeCell ref="E93:E94"/>
    <mergeCell ref="AA347:AA348"/>
    <mergeCell ref="D17:D18"/>
    <mergeCell ref="J179:J180"/>
    <mergeCell ref="D11:D12"/>
    <mergeCell ref="P105:P106"/>
    <mergeCell ref="AU205:AU206"/>
    <mergeCell ref="AU363:AU364"/>
    <mergeCell ref="C183:C186"/>
    <mergeCell ref="X33:X34"/>
    <mergeCell ref="D143:D144"/>
    <mergeCell ref="M37:M38"/>
    <mergeCell ref="X185:X186"/>
    <mergeCell ref="AO246:AR246"/>
    <mergeCell ref="AV5:AV6"/>
    <mergeCell ref="R165:R166"/>
    <mergeCell ref="J21:J22"/>
    <mergeCell ref="R323:R324"/>
    <mergeCell ref="AA217:AA218"/>
    <mergeCell ref="V109:V110"/>
    <mergeCell ref="O155:O156"/>
    <mergeCell ref="D159:D160"/>
    <mergeCell ref="AN279:AN280"/>
    <mergeCell ref="AK294:AM294"/>
    <mergeCell ref="P247:P248"/>
    <mergeCell ref="D65:D66"/>
    <mergeCell ref="A2:A4"/>
    <mergeCell ref="M117:M118"/>
    <mergeCell ref="R7:R8"/>
    <mergeCell ref="U45:U46"/>
    <mergeCell ref="AC303:AC304"/>
    <mergeCell ref="O25:O26"/>
    <mergeCell ref="AA359:AA360"/>
    <mergeCell ref="AK22:AM22"/>
    <mergeCell ref="O183:O184"/>
    <mergeCell ref="O177:O178"/>
    <mergeCell ref="R219:R220"/>
    <mergeCell ref="L9:L10"/>
    <mergeCell ref="T311:T312"/>
    <mergeCell ref="AV49:AV50"/>
    <mergeCell ref="AS249:AS250"/>
    <mergeCell ref="D93:D94"/>
    <mergeCell ref="AN141:AN142"/>
    <mergeCell ref="D207:D208"/>
    <mergeCell ref="B123:B126"/>
    <mergeCell ref="Q243:Q244"/>
    <mergeCell ref="AK338:AM338"/>
    <mergeCell ref="E2:E4"/>
    <mergeCell ref="O105:O106"/>
    <mergeCell ref="D109:D110"/>
    <mergeCell ref="Z321:Z322"/>
    <mergeCell ref="AK164:AM164"/>
    <mergeCell ref="W33:W34"/>
    <mergeCell ref="AE202:AI202"/>
    <mergeCell ref="B297:B300"/>
    <mergeCell ref="L37:L38"/>
    <mergeCell ref="T295:T296"/>
    <mergeCell ref="AB81:AB82"/>
    <mergeCell ref="AS277:AS278"/>
    <mergeCell ref="O231:O232"/>
    <mergeCell ref="Q171:Q172"/>
    <mergeCell ref="Q165:Q166"/>
    <mergeCell ref="AN169:AN170"/>
    <mergeCell ref="I21:I22"/>
    <mergeCell ref="K303:K304"/>
    <mergeCell ref="F195:F196"/>
    <mergeCell ref="T23:T24"/>
    <mergeCell ref="O247:O248"/>
    <mergeCell ref="D251:D252"/>
    <mergeCell ref="Q13:Q14"/>
    <mergeCell ref="W175:W176"/>
    <mergeCell ref="AV113:AV114"/>
    <mergeCell ref="AB309:AB310"/>
    <mergeCell ref="V141:V142"/>
    <mergeCell ref="Q313:Q314"/>
    <mergeCell ref="Q307:Q308"/>
    <mergeCell ref="E131:E132"/>
    <mergeCell ref="N25:N26"/>
    <mergeCell ref="AD69:AD70"/>
    <mergeCell ref="AE246:AI246"/>
    <mergeCell ref="S73:S74"/>
    <mergeCell ref="F223:F224"/>
    <mergeCell ref="A217:A220"/>
    <mergeCell ref="AD369:AD370"/>
    <mergeCell ref="N151:N152"/>
    <mergeCell ref="P243:P244"/>
    <mergeCell ref="AO90:AR90"/>
    <mergeCell ref="S285:S286"/>
    <mergeCell ref="V169:V170"/>
    <mergeCell ref="D2:D4"/>
    <mergeCell ref="E115:E116"/>
    <mergeCell ref="E273:E274"/>
    <mergeCell ref="Y321:Y322"/>
    <mergeCell ref="K37:K38"/>
    <mergeCell ref="S301:S302"/>
    <mergeCell ref="Q361:Q362"/>
    <mergeCell ref="S295:S296"/>
    <mergeCell ref="U61:U62"/>
    <mergeCell ref="E175:E176"/>
    <mergeCell ref="U219:U220"/>
    <mergeCell ref="C205:C208"/>
    <mergeCell ref="AC147:AC148"/>
    <mergeCell ref="Y305:Y306"/>
    <mergeCell ref="P13:P14"/>
    <mergeCell ref="G261:G262"/>
    <mergeCell ref="U89:U90"/>
    <mergeCell ref="P313:P314"/>
    <mergeCell ref="U203:U204"/>
    <mergeCell ref="E317:E318"/>
    <mergeCell ref="AO154:AR154"/>
    <mergeCell ref="AJ29:AJ30"/>
    <mergeCell ref="AN127:AN128"/>
    <mergeCell ref="R79:R80"/>
    <mergeCell ref="X241:X242"/>
    <mergeCell ref="R73:R74"/>
    <mergeCell ref="E223:E224"/>
    <mergeCell ref="AD167:AD168"/>
    <mergeCell ref="AC43:AC44"/>
    <mergeCell ref="M271:M272"/>
    <mergeCell ref="O205:O206"/>
    <mergeCell ref="X299:X300"/>
    <mergeCell ref="T139:T140"/>
    <mergeCell ref="P155:P156"/>
    <mergeCell ref="R285:R286"/>
    <mergeCell ref="G289:G290"/>
    <mergeCell ref="AC59:AC60"/>
    <mergeCell ref="D273:D274"/>
    <mergeCell ref="P209:P210"/>
    <mergeCell ref="F39:F40"/>
    <mergeCell ref="G305:G306"/>
    <mergeCell ref="J341:J342"/>
    <mergeCell ref="AA21:AA22"/>
    <mergeCell ref="T67:T68"/>
    <mergeCell ref="AE30:AI30"/>
    <mergeCell ref="L101:L102"/>
    <mergeCell ref="AS305:AS306"/>
    <mergeCell ref="O259:O260"/>
    <mergeCell ref="T193:T194"/>
    <mergeCell ref="V127:V128"/>
    <mergeCell ref="AS131:AS132"/>
    <mergeCell ref="I277:I278"/>
    <mergeCell ref="T89:T90"/>
    <mergeCell ref="T209:T210"/>
    <mergeCell ref="Z371:Z372"/>
    <mergeCell ref="T203:T204"/>
    <mergeCell ref="D317:D318"/>
    <mergeCell ref="AE258:AI258"/>
    <mergeCell ref="G353:G354"/>
    <mergeCell ref="AV179:AV180"/>
    <mergeCell ref="AK126:AM126"/>
    <mergeCell ref="O287:O288"/>
    <mergeCell ref="AS53:AS54"/>
    <mergeCell ref="AC167:AC168"/>
    <mergeCell ref="H327:H328"/>
    <mergeCell ref="R171:R172"/>
    <mergeCell ref="Q47:Q48"/>
    <mergeCell ref="AS353:AS354"/>
    <mergeCell ref="F289:F290"/>
    <mergeCell ref="AK142:AM142"/>
    <mergeCell ref="AE100:AI100"/>
    <mergeCell ref="AB59:AB60"/>
    <mergeCell ref="AJ361:AJ362"/>
    <mergeCell ref="Q63:Q64"/>
    <mergeCell ref="D213:D214"/>
    <mergeCell ref="T257:T258"/>
    <mergeCell ref="AB359:AB360"/>
    <mergeCell ref="V349:V350"/>
    <mergeCell ref="I341:I342"/>
    <mergeCell ref="AB185:AB186"/>
    <mergeCell ref="Q275:Q276"/>
    <mergeCell ref="AE128:AI128"/>
    <mergeCell ref="V323:V324"/>
    <mergeCell ref="AK284:AM284"/>
    <mergeCell ref="S35:S36"/>
    <mergeCell ref="S193:S194"/>
    <mergeCell ref="AB201:AB202"/>
    <mergeCell ref="A337:A340"/>
    <mergeCell ref="Q117:Q118"/>
    <mergeCell ref="Q111:Q112"/>
    <mergeCell ref="J157:J158"/>
    <mergeCell ref="AA353:AA354"/>
    <mergeCell ref="C321:C322"/>
    <mergeCell ref="S209:S210"/>
    <mergeCell ref="AO198:AR198"/>
    <mergeCell ref="V245:V246"/>
    <mergeCell ref="AU183:AU184"/>
    <mergeCell ref="K249:K250"/>
    <mergeCell ref="AA137:AA138"/>
    <mergeCell ref="A21:A24"/>
    <mergeCell ref="T301:T302"/>
    <mergeCell ref="M341:M342"/>
    <mergeCell ref="X5:X6"/>
    <mergeCell ref="U269:U270"/>
    <mergeCell ref="P53:P54"/>
    <mergeCell ref="P47:P48"/>
    <mergeCell ref="U181:U182"/>
    <mergeCell ref="E251:E252"/>
    <mergeCell ref="J185:J186"/>
    <mergeCell ref="V273:V274"/>
    <mergeCell ref="F343:F344"/>
    <mergeCell ref="P63:P64"/>
    <mergeCell ref="S105:S106"/>
    <mergeCell ref="X39:X40"/>
    <mergeCell ref="H261:H262"/>
    <mergeCell ref="AA33:AA34"/>
    <mergeCell ref="C9:C12"/>
    <mergeCell ref="U165:U166"/>
    <mergeCell ref="E279:E280"/>
    <mergeCell ref="U323:U324"/>
    <mergeCell ref="AD217:AD218"/>
    <mergeCell ref="AT261:AT262"/>
    <mergeCell ref="R35:R36"/>
    <mergeCell ref="R155:R156"/>
    <mergeCell ref="AA201:AA202"/>
    <mergeCell ref="L173:L174"/>
    <mergeCell ref="D29:D30"/>
    <mergeCell ref="C355:C356"/>
    <mergeCell ref="A227:A240"/>
    <mergeCell ref="P117:P118"/>
    <mergeCell ref="AC153:AC154"/>
    <mergeCell ref="AN263:AN264"/>
    <mergeCell ref="D329:D330"/>
    <mergeCell ref="AS197:AS198"/>
    <mergeCell ref="Z141:Z142"/>
    <mergeCell ref="J249:J250"/>
    <mergeCell ref="R183:R184"/>
    <mergeCell ref="L15:L16"/>
    <mergeCell ref="R177:R178"/>
    <mergeCell ref="X103:X104"/>
    <mergeCell ref="W311:W312"/>
    <mergeCell ref="AV249:AV250"/>
    <mergeCell ref="L315:L316"/>
    <mergeCell ref="U367:U368"/>
    <mergeCell ref="T243:T244"/>
    <mergeCell ref="AN291:AN292"/>
    <mergeCell ref="J277:J278"/>
    <mergeCell ref="R105:R106"/>
    <mergeCell ref="W39:W40"/>
    <mergeCell ref="G109:G110"/>
    <mergeCell ref="AC321:AC322"/>
    <mergeCell ref="AE166:AI166"/>
    <mergeCell ref="AJ189:AJ190"/>
    <mergeCell ref="F143:F144"/>
    <mergeCell ref="O37:O38"/>
    <mergeCell ref="W339:W340"/>
    <mergeCell ref="AV277:AV278"/>
    <mergeCell ref="T165:T166"/>
    <mergeCell ref="AS109:AS110"/>
    <mergeCell ref="T323:T324"/>
    <mergeCell ref="AC217:AC218"/>
    <mergeCell ref="AS261:AS262"/>
    <mergeCell ref="F45:F46"/>
    <mergeCell ref="Q155:Q156"/>
    <mergeCell ref="N303:N304"/>
    <mergeCell ref="W355:W356"/>
    <mergeCell ref="AK50:AM50"/>
    <mergeCell ref="AJ117:AJ118"/>
    <mergeCell ref="R247:R248"/>
    <mergeCell ref="AU327:AU328"/>
    <mergeCell ref="AB157:AB158"/>
    <mergeCell ref="AB151:AB152"/>
    <mergeCell ref="T13:T14"/>
    <mergeCell ref="T7:T8"/>
    <mergeCell ref="Y141:Y142"/>
    <mergeCell ref="T313:T314"/>
    <mergeCell ref="N145:N146"/>
    <mergeCell ref="T307:T308"/>
    <mergeCell ref="Q25:Q26"/>
    <mergeCell ref="Q183:Q184"/>
    <mergeCell ref="K15:K16"/>
    <mergeCell ref="V73:V74"/>
    <mergeCell ref="J347:J348"/>
    <mergeCell ref="AU249:AU250"/>
    <mergeCell ref="K315:K316"/>
    <mergeCell ref="AJ253:AJ254"/>
    <mergeCell ref="M81:M82"/>
    <mergeCell ref="S243:S244"/>
    <mergeCell ref="AV347:AV348"/>
    <mergeCell ref="AK246:AM246"/>
    <mergeCell ref="Y169:Y170"/>
    <mergeCell ref="V39:V40"/>
    <mergeCell ref="F109:F110"/>
    <mergeCell ref="C371:C372"/>
    <mergeCell ref="V339:V340"/>
    <mergeCell ref="V295:V296"/>
    <mergeCell ref="AU277:AU278"/>
    <mergeCell ref="X61:X62"/>
    <mergeCell ref="X219:X220"/>
    <mergeCell ref="AS201:AS202"/>
    <mergeCell ref="V23:V24"/>
    <mergeCell ref="O69:O70"/>
    <mergeCell ref="F251:F252"/>
    <mergeCell ref="AT327:AT328"/>
    <mergeCell ref="AA157:AA158"/>
    <mergeCell ref="S13:S14"/>
    <mergeCell ref="P161:P162"/>
    <mergeCell ref="J147:J148"/>
    <mergeCell ref="AN307:AN308"/>
    <mergeCell ref="X89:X90"/>
    <mergeCell ref="X141:X142"/>
    <mergeCell ref="S313:S314"/>
    <mergeCell ref="M145:M146"/>
    <mergeCell ref="U73:U74"/>
    <mergeCell ref="AT17:AT18"/>
    <mergeCell ref="J163:J164"/>
    <mergeCell ref="O211:O212"/>
    <mergeCell ref="B361:B362"/>
    <mergeCell ref="AU347:AU348"/>
    <mergeCell ref="J289:J290"/>
    <mergeCell ref="AD337:AD338"/>
    <mergeCell ref="X169:X170"/>
    <mergeCell ref="M173:M174"/>
    <mergeCell ref="AN361:AN362"/>
    <mergeCell ref="U301:U302"/>
    <mergeCell ref="J305:J306"/>
    <mergeCell ref="D137:D138"/>
    <mergeCell ref="W61:W62"/>
    <mergeCell ref="W219:W220"/>
    <mergeCell ref="X153:X154"/>
    <mergeCell ref="Q199:Q200"/>
    <mergeCell ref="X311:X312"/>
    <mergeCell ref="D349:D350"/>
    <mergeCell ref="AO372:AR372"/>
    <mergeCell ref="R291:R292"/>
    <mergeCell ref="L277:L278"/>
    <mergeCell ref="R13:R14"/>
    <mergeCell ref="O161:O162"/>
    <mergeCell ref="AC71:AC72"/>
    <mergeCell ref="O275:O276"/>
    <mergeCell ref="W89:W90"/>
    <mergeCell ref="AB223:AB224"/>
    <mergeCell ref="T79:T80"/>
    <mergeCell ref="T73:T74"/>
    <mergeCell ref="AB337:AB338"/>
    <mergeCell ref="AS17:AS18"/>
    <mergeCell ref="AV53:AV54"/>
    <mergeCell ref="N211:N212"/>
    <mergeCell ref="AS317:AS318"/>
    <mergeCell ref="A361:A362"/>
    <mergeCell ref="V139:V140"/>
    <mergeCell ref="O303:O304"/>
    <mergeCell ref="AB65:AB66"/>
    <mergeCell ref="K55:K56"/>
    <mergeCell ref="AK12:AM12"/>
    <mergeCell ref="T63:T64"/>
    <mergeCell ref="AB365:AB366"/>
    <mergeCell ref="W143:W144"/>
    <mergeCell ref="F267:F268"/>
    <mergeCell ref="AU289:AU290"/>
    <mergeCell ref="AJ293:AJ294"/>
    <mergeCell ref="I305:I306"/>
    <mergeCell ref="L347:L348"/>
    <mergeCell ref="N107:N108"/>
    <mergeCell ref="W159:W160"/>
    <mergeCell ref="AE328:AI328"/>
    <mergeCell ref="L163:L164"/>
    <mergeCell ref="AU305:AU306"/>
    <mergeCell ref="F149:F150"/>
    <mergeCell ref="V193:V194"/>
    <mergeCell ref="AU131:AU132"/>
    <mergeCell ref="Q291:Q292"/>
    <mergeCell ref="AD53:AD54"/>
    <mergeCell ref="AJ215:AJ216"/>
    <mergeCell ref="AO14:AR14"/>
    <mergeCell ref="M43:M44"/>
    <mergeCell ref="A201:A204"/>
    <mergeCell ref="AD353:AD354"/>
    <mergeCell ref="AU33:AU34"/>
    <mergeCell ref="V209:V210"/>
    <mergeCell ref="P41:P42"/>
    <mergeCell ref="K213:K214"/>
    <mergeCell ref="Y3:Z3"/>
    <mergeCell ref="AD137:AD138"/>
    <mergeCell ref="AU333:AU334"/>
    <mergeCell ref="AA337:AA338"/>
    <mergeCell ref="AA5:AA6"/>
    <mergeCell ref="AJ57:AJ58"/>
    <mergeCell ref="E99:E100"/>
    <mergeCell ref="U143:U144"/>
    <mergeCell ref="E257:E258"/>
    <mergeCell ref="AJ363:AJ364"/>
    <mergeCell ref="AJ357:AJ358"/>
    <mergeCell ref="N309:N310"/>
    <mergeCell ref="M185:M186"/>
    <mergeCell ref="AA65:AA66"/>
    <mergeCell ref="S63:S64"/>
    <mergeCell ref="AA365:AA366"/>
    <mergeCell ref="A249:A252"/>
    <mergeCell ref="P369:P370"/>
    <mergeCell ref="AO210:AR210"/>
    <mergeCell ref="AC131:AC132"/>
    <mergeCell ref="M201:M202"/>
    <mergeCell ref="P237:P238"/>
    <mergeCell ref="E285:E286"/>
    <mergeCell ref="M107:M108"/>
    <mergeCell ref="V159:V160"/>
    <mergeCell ref="X323:X324"/>
    <mergeCell ref="AA49:AA50"/>
    <mergeCell ref="K163:K164"/>
    <mergeCell ref="G245:G246"/>
    <mergeCell ref="C25:C28"/>
    <mergeCell ref="AT131:AT132"/>
    <mergeCell ref="P297:P298"/>
    <mergeCell ref="A169:A178"/>
    <mergeCell ref="A277:A280"/>
    <mergeCell ref="AO138:AR138"/>
    <mergeCell ref="O173:O174"/>
    <mergeCell ref="I5:I6"/>
    <mergeCell ref="G29:G30"/>
    <mergeCell ref="AN111:AN112"/>
    <mergeCell ref="AC115:AC116"/>
    <mergeCell ref="C43:C46"/>
    <mergeCell ref="A47:A48"/>
    <mergeCell ref="E321:E322"/>
    <mergeCell ref="R357:R358"/>
    <mergeCell ref="M249:M250"/>
    <mergeCell ref="V301:V302"/>
    <mergeCell ref="O15:O16"/>
    <mergeCell ref="D99:D100"/>
    <mergeCell ref="T143:T144"/>
    <mergeCell ref="D257:D258"/>
    <mergeCell ref="O315:O316"/>
    <mergeCell ref="L185:L186"/>
    <mergeCell ref="E349:E350"/>
    <mergeCell ref="I17:I18"/>
    <mergeCell ref="AE14:AI14"/>
    <mergeCell ref="F323:F324"/>
    <mergeCell ref="O217:O218"/>
    <mergeCell ref="AK170:AM170"/>
    <mergeCell ref="O369:O370"/>
    <mergeCell ref="Z39:Z40"/>
    <mergeCell ref="J109:J110"/>
    <mergeCell ref="AE314:AI314"/>
    <mergeCell ref="L201:L202"/>
    <mergeCell ref="O237:O238"/>
    <mergeCell ref="AN219:AN220"/>
    <mergeCell ref="D241:D242"/>
    <mergeCell ref="AC223:AC224"/>
    <mergeCell ref="F7:F8"/>
    <mergeCell ref="Q303:Q304"/>
    <mergeCell ref="Z355:Z356"/>
    <mergeCell ref="AK198:AM198"/>
    <mergeCell ref="AB115:AB116"/>
    <mergeCell ref="B43:B46"/>
    <mergeCell ref="B157:B160"/>
    <mergeCell ref="O265:O266"/>
    <mergeCell ref="AT371:AT372"/>
    <mergeCell ref="D269:D270"/>
    <mergeCell ref="Q31:Q32"/>
    <mergeCell ref="AB141:AB142"/>
    <mergeCell ref="AB327:AB328"/>
    <mergeCell ref="Q331:Q332"/>
    <mergeCell ref="N15:N16"/>
    <mergeCell ref="N315:N316"/>
    <mergeCell ref="C319:C320"/>
    <mergeCell ref="P81:P82"/>
    <mergeCell ref="AB343:AB344"/>
    <mergeCell ref="AJ123:AJ124"/>
    <mergeCell ref="E165:E166"/>
    <mergeCell ref="AB169:AB170"/>
    <mergeCell ref="AD261:AD262"/>
    <mergeCell ref="Y39:Y40"/>
    <mergeCell ref="AU109:AU110"/>
    <mergeCell ref="K175:K176"/>
    <mergeCell ref="E7:E8"/>
    <mergeCell ref="AJ113:AJ114"/>
    <mergeCell ref="N59:N60"/>
    <mergeCell ref="Q95:Q96"/>
    <mergeCell ref="P303:P304"/>
    <mergeCell ref="E307:E308"/>
    <mergeCell ref="Y355:Y356"/>
    <mergeCell ref="N359:N360"/>
    <mergeCell ref="K233:K234"/>
    <mergeCell ref="E219:E220"/>
    <mergeCell ref="AD157:AD158"/>
    <mergeCell ref="A157:A160"/>
    <mergeCell ref="V13:V14"/>
    <mergeCell ref="S161:S162"/>
    <mergeCell ref="AB213:AB214"/>
    <mergeCell ref="P31:P32"/>
    <mergeCell ref="AU137:AU138"/>
    <mergeCell ref="E35:E36"/>
    <mergeCell ref="P145:P146"/>
    <mergeCell ref="M293:M294"/>
    <mergeCell ref="P331:P332"/>
    <mergeCell ref="J283:J284"/>
    <mergeCell ref="AC207:AC208"/>
    <mergeCell ref="M321:M322"/>
    <mergeCell ref="E361:E362"/>
    <mergeCell ref="O81:O82"/>
    <mergeCell ref="H245:H246"/>
    <mergeCell ref="AA169:AA170"/>
    <mergeCell ref="C57:C64"/>
    <mergeCell ref="AN319:AN320"/>
    <mergeCell ref="U149:U150"/>
    <mergeCell ref="AT245:AT246"/>
    <mergeCell ref="E371:E372"/>
    <mergeCell ref="AC235:AC236"/>
    <mergeCell ref="R133:R134"/>
    <mergeCell ref="M305:M306"/>
    <mergeCell ref="G137:G138"/>
    <mergeCell ref="D13:D14"/>
    <mergeCell ref="J175:J176"/>
    <mergeCell ref="D7:D8"/>
    <mergeCell ref="E105:E106"/>
    <mergeCell ref="AN247:AN248"/>
    <mergeCell ref="AN241:AN242"/>
    <mergeCell ref="D307:D308"/>
    <mergeCell ref="AS137:AS138"/>
    <mergeCell ref="X29:X30"/>
    <mergeCell ref="J233:J234"/>
    <mergeCell ref="F73:F74"/>
    <mergeCell ref="AC157:AC158"/>
    <mergeCell ref="X329:X330"/>
    <mergeCell ref="R161:R162"/>
    <mergeCell ref="G165:G166"/>
    <mergeCell ref="AE222:AI222"/>
    <mergeCell ref="Z89:Z90"/>
    <mergeCell ref="L293:L294"/>
    <mergeCell ref="D155:D156"/>
    <mergeCell ref="D149:D150"/>
    <mergeCell ref="W79:W80"/>
    <mergeCell ref="AK290:AM290"/>
    <mergeCell ref="AN269:AN270"/>
    <mergeCell ref="AV17:AV18"/>
    <mergeCell ref="AS165:AS166"/>
    <mergeCell ref="Q97:Q98"/>
    <mergeCell ref="AB207:AB208"/>
    <mergeCell ref="Q211:Q212"/>
    <mergeCell ref="AV317:AV318"/>
    <mergeCell ref="D25:D26"/>
    <mergeCell ref="B57:B64"/>
    <mergeCell ref="T149:T150"/>
    <mergeCell ref="AE118:AI118"/>
    <mergeCell ref="AK160:AM160"/>
    <mergeCell ref="AJ193:AJ194"/>
    <mergeCell ref="I153:I154"/>
    <mergeCell ref="AK274:AM274"/>
    <mergeCell ref="Y197:Y198"/>
    <mergeCell ref="AS245:AS246"/>
    <mergeCell ref="AB235:AB236"/>
    <mergeCell ref="Q133:Q134"/>
    <mergeCell ref="L305:L306"/>
    <mergeCell ref="F137:F138"/>
    <mergeCell ref="Y67:Y68"/>
    <mergeCell ref="AU153:AU154"/>
    <mergeCell ref="AK334:AM334"/>
    <mergeCell ref="S199:S200"/>
    <mergeCell ref="D105:D106"/>
    <mergeCell ref="L363:L364"/>
    <mergeCell ref="AA127:AA128"/>
    <mergeCell ref="T291:T292"/>
    <mergeCell ref="AJ179:AJ180"/>
    <mergeCell ref="AD11:AD12"/>
    <mergeCell ref="AC343:AC344"/>
    <mergeCell ref="Q167:Q168"/>
    <mergeCell ref="Q161:Q162"/>
    <mergeCell ref="V57:V58"/>
    <mergeCell ref="F165:F166"/>
    <mergeCell ref="Y95:Y96"/>
    <mergeCell ref="K299:K300"/>
    <mergeCell ref="Y209:Y210"/>
    <mergeCell ref="AO30:AR30"/>
    <mergeCell ref="S227:S228"/>
    <mergeCell ref="AU17:AU18"/>
    <mergeCell ref="H257:H258"/>
    <mergeCell ref="Q309:Q310"/>
    <mergeCell ref="AD65:AD66"/>
    <mergeCell ref="S69:S70"/>
    <mergeCell ref="F219:F220"/>
    <mergeCell ref="A213:A216"/>
    <mergeCell ref="H153:H154"/>
    <mergeCell ref="AD365:AD366"/>
    <mergeCell ref="X197:X198"/>
    <mergeCell ref="S369:S370"/>
    <mergeCell ref="D19:D20"/>
    <mergeCell ref="M71:M72"/>
    <mergeCell ref="AT153:AT154"/>
    <mergeCell ref="E111:E112"/>
    <mergeCell ref="M371:M372"/>
    <mergeCell ref="J245:J246"/>
    <mergeCell ref="S297:S298"/>
    <mergeCell ref="M129:M130"/>
    <mergeCell ref="S291:S292"/>
    <mergeCell ref="L5:L6"/>
    <mergeCell ref="U57:U58"/>
    <mergeCell ref="E171:E172"/>
    <mergeCell ref="AD109:AD110"/>
    <mergeCell ref="D47:D48"/>
    <mergeCell ref="C201:C204"/>
    <mergeCell ref="H321:H322"/>
    <mergeCell ref="U357:U358"/>
    <mergeCell ref="O189:O190"/>
    <mergeCell ref="R347:R348"/>
    <mergeCell ref="D63:D64"/>
    <mergeCell ref="G99:G100"/>
    <mergeCell ref="G257:G258"/>
    <mergeCell ref="A117:A122"/>
    <mergeCell ref="U199:U200"/>
    <mergeCell ref="AN123:AN124"/>
    <mergeCell ref="Z327:Z328"/>
    <mergeCell ref="AC213:AC214"/>
    <mergeCell ref="W45:W46"/>
    <mergeCell ref="AS257:AS258"/>
    <mergeCell ref="F35:F36"/>
    <mergeCell ref="AV141:AV142"/>
    <mergeCell ref="AC39:AC40"/>
    <mergeCell ref="W345:W346"/>
    <mergeCell ref="AN25:AN26"/>
    <mergeCell ref="AK40:AM40"/>
    <mergeCell ref="O201:O202"/>
    <mergeCell ref="I33:I34"/>
    <mergeCell ref="D205:D206"/>
    <mergeCell ref="AK340:AM340"/>
    <mergeCell ref="I333:I334"/>
    <mergeCell ref="D117:D118"/>
    <mergeCell ref="AC49:AC50"/>
    <mergeCell ref="V95:V96"/>
    <mergeCell ref="I245:I246"/>
    <mergeCell ref="AS285:AS286"/>
    <mergeCell ref="R297:R298"/>
    <mergeCell ref="AC355:AC356"/>
    <mergeCell ref="C169:C178"/>
    <mergeCell ref="W187:W188"/>
    <mergeCell ref="G301:G302"/>
    <mergeCell ref="K5:K6"/>
    <mergeCell ref="J337:J338"/>
    <mergeCell ref="F177:F178"/>
    <mergeCell ref="T57:T58"/>
    <mergeCell ref="AE26:AI26"/>
    <mergeCell ref="AK68:AM68"/>
    <mergeCell ref="Q319:Q320"/>
    <mergeCell ref="L97:L98"/>
    <mergeCell ref="T363:T364"/>
    <mergeCell ref="AJ243:AJ244"/>
    <mergeCell ref="T357:T358"/>
    <mergeCell ref="AS301:AS302"/>
    <mergeCell ref="AV337:AV338"/>
    <mergeCell ref="F235:F236"/>
    <mergeCell ref="V123:V124"/>
    <mergeCell ref="D253:D254"/>
    <mergeCell ref="AE42:AI42"/>
    <mergeCell ref="F351:F352"/>
    <mergeCell ref="Q15:Q16"/>
    <mergeCell ref="W215:W216"/>
    <mergeCell ref="F105:F106"/>
    <mergeCell ref="T199:T200"/>
    <mergeCell ref="AU273:AU274"/>
    <mergeCell ref="AE254:AI254"/>
    <mergeCell ref="H165:H166"/>
    <mergeCell ref="H323:H324"/>
    <mergeCell ref="Q217:Q218"/>
    <mergeCell ref="K49:K50"/>
    <mergeCell ref="V265:V266"/>
    <mergeCell ref="V19:V20"/>
    <mergeCell ref="F247:F248"/>
    <mergeCell ref="AK138:AM138"/>
    <mergeCell ref="AE96:AI96"/>
    <mergeCell ref="Y17:Y18"/>
    <mergeCell ref="Q59:Q60"/>
    <mergeCell ref="Y361:Y362"/>
    <mergeCell ref="Y317:Y318"/>
    <mergeCell ref="M141:M142"/>
    <mergeCell ref="AB355:AB356"/>
    <mergeCell ref="V187:V188"/>
    <mergeCell ref="Q359:Q360"/>
    <mergeCell ref="A5:A8"/>
    <mergeCell ref="AD115:AD116"/>
    <mergeCell ref="AO166:AR166"/>
    <mergeCell ref="AJ41:AJ42"/>
    <mergeCell ref="F269:F270"/>
    <mergeCell ref="X253:X254"/>
    <mergeCell ref="S31:S32"/>
    <mergeCell ref="AU337:AU338"/>
    <mergeCell ref="E235:E236"/>
    <mergeCell ref="AJ341:AJ342"/>
    <mergeCell ref="J127:J128"/>
    <mergeCell ref="M169:M170"/>
    <mergeCell ref="S331:S332"/>
    <mergeCell ref="V215:V216"/>
    <mergeCell ref="V329:V330"/>
    <mergeCell ref="V83:V84"/>
    <mergeCell ref="AO194:AR194"/>
    <mergeCell ref="R81:R82"/>
    <mergeCell ref="J295:J296"/>
    <mergeCell ref="K245:K246"/>
    <mergeCell ref="D285:D286"/>
    <mergeCell ref="M179:M180"/>
    <mergeCell ref="A17:A20"/>
    <mergeCell ref="M337:M338"/>
    <mergeCell ref="U265:U266"/>
    <mergeCell ref="C293:C296"/>
    <mergeCell ref="J23:J24"/>
    <mergeCell ref="E247:E248"/>
    <mergeCell ref="AA333:AA334"/>
    <mergeCell ref="G13:G14"/>
    <mergeCell ref="X317:X318"/>
    <mergeCell ref="L141:L142"/>
    <mergeCell ref="T69:T70"/>
    <mergeCell ref="M233:M234"/>
    <mergeCell ref="U161:U162"/>
    <mergeCell ref="G365:G366"/>
    <mergeCell ref="O299:O300"/>
    <mergeCell ref="O293:O294"/>
    <mergeCell ref="X345:X346"/>
    <mergeCell ref="L169:L170"/>
    <mergeCell ref="AN143:AN144"/>
    <mergeCell ref="T97:T98"/>
    <mergeCell ref="AS35:AS36"/>
    <mergeCell ref="AE298:AI298"/>
    <mergeCell ref="A221:A226"/>
    <mergeCell ref="AE1:AJ1"/>
    <mergeCell ref="R21:R22"/>
    <mergeCell ref="D225:D226"/>
    <mergeCell ref="T113:T114"/>
    <mergeCell ref="AJ157:AJ158"/>
    <mergeCell ref="B293:B296"/>
    <mergeCell ref="W149:W150"/>
    <mergeCell ref="L153:L154"/>
    <mergeCell ref="AV245:AV246"/>
    <mergeCell ref="U205:U206"/>
    <mergeCell ref="L311:L312"/>
    <mergeCell ref="I137:I138"/>
    <mergeCell ref="Z333:Z334"/>
    <mergeCell ref="A43:A46"/>
    <mergeCell ref="V85:V86"/>
    <mergeCell ref="V199:V200"/>
    <mergeCell ref="O363:O364"/>
    <mergeCell ref="AE162:AI162"/>
    <mergeCell ref="K203:K204"/>
    <mergeCell ref="T255:T256"/>
    <mergeCell ref="AJ53:AJ54"/>
    <mergeCell ref="T167:T168"/>
    <mergeCell ref="AS99:AS100"/>
    <mergeCell ref="I165:I166"/>
    <mergeCell ref="N299:N300"/>
    <mergeCell ref="H131:H132"/>
    <mergeCell ref="W351:W352"/>
    <mergeCell ref="V227:V228"/>
    <mergeCell ref="AU165:AU166"/>
    <mergeCell ref="K283:K284"/>
    <mergeCell ref="Y111:Y112"/>
    <mergeCell ref="C323:C324"/>
    <mergeCell ref="AO206:AR206"/>
    <mergeCell ref="V285:V286"/>
    <mergeCell ref="N141:N142"/>
    <mergeCell ref="T303:T304"/>
    <mergeCell ref="Q21:Q22"/>
    <mergeCell ref="K153:K154"/>
    <mergeCell ref="AA197:AA198"/>
    <mergeCell ref="K311:K312"/>
    <mergeCell ref="C65:C68"/>
    <mergeCell ref="AJ249:AJ250"/>
    <mergeCell ref="E291:E292"/>
    <mergeCell ref="U335:U336"/>
    <mergeCell ref="X215:X216"/>
    <mergeCell ref="P71:P72"/>
    <mergeCell ref="AA99:AA100"/>
    <mergeCell ref="AA213:AA214"/>
    <mergeCell ref="S139:S140"/>
    <mergeCell ref="AT137:AT138"/>
    <mergeCell ref="J203:J204"/>
    <mergeCell ref="C367:C368"/>
    <mergeCell ref="S255:S256"/>
    <mergeCell ref="V297:V298"/>
    <mergeCell ref="P129:P130"/>
    <mergeCell ref="K295:K296"/>
    <mergeCell ref="C49:C52"/>
    <mergeCell ref="O5:O6"/>
    <mergeCell ref="S167:S168"/>
    <mergeCell ref="X57:X58"/>
    <mergeCell ref="AO270:AR270"/>
    <mergeCell ref="X357:X358"/>
    <mergeCell ref="R189:R190"/>
    <mergeCell ref="AA241:AA242"/>
    <mergeCell ref="E339:E340"/>
    <mergeCell ref="O65:O66"/>
    <mergeCell ref="U227:U228"/>
    <mergeCell ref="AT165:AT166"/>
    <mergeCell ref="P157:P158"/>
    <mergeCell ref="O365:O366"/>
    <mergeCell ref="AN303:AN304"/>
    <mergeCell ref="U285:U286"/>
    <mergeCell ref="E355:E356"/>
    <mergeCell ref="AO298:AR298"/>
    <mergeCell ref="J153:J154"/>
    <mergeCell ref="O49:O50"/>
    <mergeCell ref="O207:O208"/>
    <mergeCell ref="R87:R88"/>
    <mergeCell ref="D291:D292"/>
    <mergeCell ref="R201:R202"/>
    <mergeCell ref="T335:T336"/>
    <mergeCell ref="AC229:AC230"/>
    <mergeCell ref="AS273:AS274"/>
    <mergeCell ref="AV153:AV154"/>
    <mergeCell ref="A187:A192"/>
    <mergeCell ref="R259:R260"/>
    <mergeCell ref="U297:U298"/>
    <mergeCell ref="O129:O130"/>
    <mergeCell ref="Z187:Z188"/>
    <mergeCell ref="J301:J302"/>
    <mergeCell ref="T19:T20"/>
    <mergeCell ref="D133:D134"/>
    <mergeCell ref="B49:B52"/>
    <mergeCell ref="W57:W58"/>
    <mergeCell ref="T319:T320"/>
    <mergeCell ref="AN367:AN368"/>
    <mergeCell ref="AC371:AC372"/>
    <mergeCell ref="Q195:Q196"/>
    <mergeCell ref="W357:W358"/>
    <mergeCell ref="Q189:Q190"/>
    <mergeCell ref="AV301:AV302"/>
    <mergeCell ref="AO368:AR368"/>
    <mergeCell ref="Y123:Y124"/>
    <mergeCell ref="C89:C94"/>
    <mergeCell ref="L273:L274"/>
    <mergeCell ref="O113:O114"/>
    <mergeCell ref="AK258:AM258"/>
    <mergeCell ref="C117:C122"/>
    <mergeCell ref="W199:W200"/>
    <mergeCell ref="F121:F122"/>
    <mergeCell ref="Q337:Q338"/>
    <mergeCell ref="T217:T218"/>
    <mergeCell ref="N49:N50"/>
    <mergeCell ref="AJ261:AJ262"/>
    <mergeCell ref="N207:N208"/>
    <mergeCell ref="Q91:Q92"/>
    <mergeCell ref="A127:A130"/>
    <mergeCell ref="Z137:Z138"/>
    <mergeCell ref="AA111:AA112"/>
    <mergeCell ref="P273:P274"/>
    <mergeCell ref="V35:V36"/>
    <mergeCell ref="AB361:AB362"/>
    <mergeCell ref="Q259:Q260"/>
    <mergeCell ref="F263:F264"/>
    <mergeCell ref="Y187:Y188"/>
    <mergeCell ref="I301:I302"/>
    <mergeCell ref="S325:S326"/>
    <mergeCell ref="S319:S320"/>
    <mergeCell ref="N103:N104"/>
    <mergeCell ref="V205:V206"/>
    <mergeCell ref="AA253:AA254"/>
    <mergeCell ref="AU301:AU302"/>
    <mergeCell ref="U85:U86"/>
    <mergeCell ref="E199:E200"/>
    <mergeCell ref="AJ305:AJ306"/>
    <mergeCell ref="Q287:Q288"/>
    <mergeCell ref="AO10:AR10"/>
    <mergeCell ref="M39:M40"/>
    <mergeCell ref="AD349:AD350"/>
    <mergeCell ref="X181:X182"/>
    <mergeCell ref="P179:P180"/>
    <mergeCell ref="P337:P338"/>
    <mergeCell ref="P91:P92"/>
    <mergeCell ref="AO370:AR370"/>
    <mergeCell ref="E95:E96"/>
    <mergeCell ref="AO326:AR326"/>
    <mergeCell ref="AO364:AR364"/>
    <mergeCell ref="AC241:AC242"/>
    <mergeCell ref="M355:M356"/>
    <mergeCell ref="M23:M24"/>
    <mergeCell ref="O115:O116"/>
    <mergeCell ref="AA17:AA18"/>
    <mergeCell ref="A333:A336"/>
    <mergeCell ref="R151:R152"/>
    <mergeCell ref="AN211:AN212"/>
    <mergeCell ref="AA361:AA362"/>
    <mergeCell ref="U155:U156"/>
    <mergeCell ref="AA317:AA318"/>
    <mergeCell ref="A245:A248"/>
    <mergeCell ref="AO54:AR54"/>
    <mergeCell ref="O141:O142"/>
    <mergeCell ref="C179:C182"/>
    <mergeCell ref="D145:D146"/>
    <mergeCell ref="U341:U342"/>
    <mergeCell ref="AC83:AC84"/>
    <mergeCell ref="AN265:AN266"/>
    <mergeCell ref="J65:J66"/>
    <mergeCell ref="AC269:AC270"/>
    <mergeCell ref="R325:R326"/>
    <mergeCell ref="G329:G330"/>
    <mergeCell ref="J365:J366"/>
    <mergeCell ref="Z253:Z254"/>
    <mergeCell ref="T85:T86"/>
    <mergeCell ref="O11:O12"/>
    <mergeCell ref="O169:O170"/>
    <mergeCell ref="D173:D174"/>
    <mergeCell ref="R53:R54"/>
    <mergeCell ref="R9:R10"/>
    <mergeCell ref="AV35:AV36"/>
    <mergeCell ref="R353:R354"/>
    <mergeCell ref="AK24:AM24"/>
    <mergeCell ref="M245:M246"/>
    <mergeCell ref="O179:O180"/>
    <mergeCell ref="W113:W114"/>
    <mergeCell ref="AK324:AM324"/>
    <mergeCell ref="AE282:AI282"/>
    <mergeCell ref="I317:I318"/>
    <mergeCell ref="Q103:Q104"/>
    <mergeCell ref="D95:D96"/>
    <mergeCell ref="AC33:AC34"/>
    <mergeCell ref="O311:O312"/>
    <mergeCell ref="D209:D210"/>
    <mergeCell ref="R37:R38"/>
    <mergeCell ref="L23:L24"/>
    <mergeCell ref="G3:H3"/>
    <mergeCell ref="AC333:AC334"/>
    <mergeCell ref="Q157:Q158"/>
    <mergeCell ref="I13:I14"/>
    <mergeCell ref="F161:F162"/>
    <mergeCell ref="Q271:Q272"/>
    <mergeCell ref="AE10:AI10"/>
    <mergeCell ref="AU143:AU144"/>
    <mergeCell ref="T155:T156"/>
    <mergeCell ref="AK166:AM166"/>
    <mergeCell ref="AE310:AI310"/>
    <mergeCell ref="AB83:AB84"/>
    <mergeCell ref="AB269:AB270"/>
    <mergeCell ref="V101:V102"/>
    <mergeCell ref="D237:D238"/>
    <mergeCell ref="B153:B156"/>
    <mergeCell ref="F329:F330"/>
    <mergeCell ref="N263:N264"/>
    <mergeCell ref="AE326:AI326"/>
    <mergeCell ref="Q299:Q300"/>
    <mergeCell ref="K131:K132"/>
    <mergeCell ref="T25:T26"/>
    <mergeCell ref="F303:F304"/>
    <mergeCell ref="AJ69:AJ70"/>
    <mergeCell ref="T183:T184"/>
    <mergeCell ref="P23:P24"/>
    <mergeCell ref="N169:N170"/>
    <mergeCell ref="AE232:AI232"/>
    <mergeCell ref="AB111:AB112"/>
    <mergeCell ref="AJ369:AJ370"/>
    <mergeCell ref="M197:M198"/>
    <mergeCell ref="V243:V244"/>
    <mergeCell ref="S75:S76"/>
    <mergeCell ref="F225:F226"/>
    <mergeCell ref="Y2:AA2"/>
    <mergeCell ref="N153:N154"/>
    <mergeCell ref="W205:W206"/>
    <mergeCell ref="S287:S288"/>
    <mergeCell ref="V171:V172"/>
    <mergeCell ref="X335:X336"/>
    <mergeCell ref="Q343:Q344"/>
    <mergeCell ref="U47:U48"/>
    <mergeCell ref="E161:E162"/>
    <mergeCell ref="AJ267:AJ268"/>
    <mergeCell ref="AD99:AD100"/>
    <mergeCell ref="E275:E276"/>
    <mergeCell ref="AT143:AT144"/>
    <mergeCell ref="AD257:AD258"/>
    <mergeCell ref="M89:M90"/>
    <mergeCell ref="P87:P88"/>
    <mergeCell ref="S129:S130"/>
    <mergeCell ref="U221:U222"/>
    <mergeCell ref="M261:M262"/>
    <mergeCell ref="AC149:AC150"/>
    <mergeCell ref="V313:V314"/>
    <mergeCell ref="P299:P300"/>
    <mergeCell ref="U189:U190"/>
    <mergeCell ref="E303:E304"/>
    <mergeCell ref="AD241:AD242"/>
    <mergeCell ref="R65:R66"/>
    <mergeCell ref="G69:G70"/>
    <mergeCell ref="O327:O328"/>
    <mergeCell ref="L197:L198"/>
    <mergeCell ref="A301:A304"/>
    <mergeCell ref="X285:X286"/>
    <mergeCell ref="H355:H356"/>
    <mergeCell ref="P141:P142"/>
    <mergeCell ref="R75:R76"/>
    <mergeCell ref="Z51:Z52"/>
    <mergeCell ref="J115:J116"/>
    <mergeCell ref="AC45:AC46"/>
    <mergeCell ref="M159:M160"/>
    <mergeCell ref="R207:R208"/>
    <mergeCell ref="AT25:AT26"/>
    <mergeCell ref="W335:W336"/>
    <mergeCell ref="P343:P344"/>
    <mergeCell ref="T53:T54"/>
    <mergeCell ref="T47:T48"/>
    <mergeCell ref="AO184:AR184"/>
    <mergeCell ref="D275:D276"/>
    <mergeCell ref="AC73:AC74"/>
    <mergeCell ref="R129:R130"/>
    <mergeCell ref="O277:O278"/>
    <mergeCell ref="M301:M302"/>
    <mergeCell ref="O61:O62"/>
    <mergeCell ref="T195:T196"/>
    <mergeCell ref="D309:D310"/>
    <mergeCell ref="N27:N28"/>
    <mergeCell ref="T189:T190"/>
    <mergeCell ref="D303:D304"/>
    <mergeCell ref="AS127:AS128"/>
    <mergeCell ref="F69:F70"/>
    <mergeCell ref="N327:N328"/>
    <mergeCell ref="R157:R158"/>
    <mergeCell ref="F369:F370"/>
    <mergeCell ref="R271:R272"/>
    <mergeCell ref="T205:T206"/>
    <mergeCell ref="AT3:AU3"/>
    <mergeCell ref="AK128:AM128"/>
    <mergeCell ref="Y51:Y52"/>
    <mergeCell ref="T223:T224"/>
    <mergeCell ref="AS161:AS162"/>
    <mergeCell ref="Q49:Q50"/>
    <mergeCell ref="Q207:Q208"/>
    <mergeCell ref="A341:A346"/>
    <mergeCell ref="V335:V336"/>
    <mergeCell ref="Y367:Y368"/>
    <mergeCell ref="AE114:AI114"/>
    <mergeCell ref="T259:T260"/>
    <mergeCell ref="AK270:AM270"/>
    <mergeCell ref="Y193:Y194"/>
    <mergeCell ref="N277:N278"/>
    <mergeCell ref="V325:V326"/>
    <mergeCell ref="J143:J144"/>
    <mergeCell ref="S37:S38"/>
    <mergeCell ref="S195:S196"/>
    <mergeCell ref="M27:M28"/>
    <mergeCell ref="T287:T288"/>
    <mergeCell ref="M327:M328"/>
    <mergeCell ref="AD7:AD8"/>
    <mergeCell ref="V53:V54"/>
    <mergeCell ref="AD313:AD314"/>
    <mergeCell ref="V353:V354"/>
    <mergeCell ref="K251:K252"/>
    <mergeCell ref="AO26:AR26"/>
    <mergeCell ref="M55:M56"/>
    <mergeCell ref="S179:S180"/>
    <mergeCell ref="M11:M12"/>
    <mergeCell ref="P49:P50"/>
    <mergeCell ref="E59:E60"/>
    <mergeCell ref="C127:C130"/>
    <mergeCell ref="J187:J188"/>
    <mergeCell ref="V275:V276"/>
    <mergeCell ref="R115:R116"/>
    <mergeCell ref="AU213:AU214"/>
    <mergeCell ref="K279:K280"/>
    <mergeCell ref="D319:D320"/>
    <mergeCell ref="X41:X42"/>
    <mergeCell ref="X35:X36"/>
    <mergeCell ref="X341:X342"/>
    <mergeCell ref="J29:J30"/>
    <mergeCell ref="Z101:Z102"/>
    <mergeCell ref="J215:J216"/>
    <mergeCell ref="U325:U326"/>
    <mergeCell ref="O157:O158"/>
    <mergeCell ref="J329:J330"/>
    <mergeCell ref="E107:E108"/>
    <mergeCell ref="W91:W92"/>
    <mergeCell ref="AN281:AN282"/>
    <mergeCell ref="U53:U54"/>
    <mergeCell ref="I265:I266"/>
    <mergeCell ref="U353:U354"/>
    <mergeCell ref="D1:F1"/>
    <mergeCell ref="O185:O186"/>
    <mergeCell ref="W119:W120"/>
    <mergeCell ref="L17:L18"/>
    <mergeCell ref="R179:R180"/>
    <mergeCell ref="R337:R338"/>
    <mergeCell ref="X105:X106"/>
    <mergeCell ref="D59:D60"/>
    <mergeCell ref="L317:L318"/>
    <mergeCell ref="AE2:AJ2"/>
    <mergeCell ref="D359:D360"/>
    <mergeCell ref="Z165:Z166"/>
    <mergeCell ref="AS95:AS96"/>
    <mergeCell ref="W41:W42"/>
    <mergeCell ref="R213:R214"/>
    <mergeCell ref="W155:W156"/>
    <mergeCell ref="F31:F32"/>
    <mergeCell ref="AJ191:AJ192"/>
    <mergeCell ref="W341:W342"/>
    <mergeCell ref="AK36:AM36"/>
    <mergeCell ref="Q173:Q174"/>
    <mergeCell ref="I29:I30"/>
    <mergeCell ref="AJ97:AJ98"/>
    <mergeCell ref="Y101:Y102"/>
    <mergeCell ref="AK342:AM342"/>
    <mergeCell ref="I329:I330"/>
    <mergeCell ref="V91:V92"/>
    <mergeCell ref="AU29:AU30"/>
    <mergeCell ref="K95:K96"/>
    <mergeCell ref="N131:N132"/>
    <mergeCell ref="W25:W26"/>
    <mergeCell ref="K281:K282"/>
    <mergeCell ref="W183:W184"/>
    <mergeCell ref="P223:P224"/>
    <mergeCell ref="AU329:AU330"/>
    <mergeCell ref="T9:T10"/>
    <mergeCell ref="Q315:Q316"/>
    <mergeCell ref="AJ245:AJ246"/>
    <mergeCell ref="AD77:AD78"/>
    <mergeCell ref="T353:T354"/>
    <mergeCell ref="Y249:Y250"/>
    <mergeCell ref="AS297:AS298"/>
    <mergeCell ref="F231:F232"/>
    <mergeCell ref="V119:V120"/>
    <mergeCell ref="K17:K18"/>
    <mergeCell ref="V75:V76"/>
    <mergeCell ref="AU57:AU58"/>
    <mergeCell ref="K317:K318"/>
    <mergeCell ref="AU357:AU358"/>
    <mergeCell ref="AJ255:AJ256"/>
    <mergeCell ref="C363:C364"/>
    <mergeCell ref="C357:C358"/>
    <mergeCell ref="K143:K144"/>
    <mergeCell ref="T37:T38"/>
    <mergeCell ref="M83:M84"/>
    <mergeCell ref="AU225:AU226"/>
    <mergeCell ref="E123:E124"/>
    <mergeCell ref="U11:U12"/>
    <mergeCell ref="T343:T344"/>
    <mergeCell ref="N175:N176"/>
    <mergeCell ref="C197:C200"/>
    <mergeCell ref="X47:X48"/>
    <mergeCell ref="H161:H162"/>
    <mergeCell ref="O55:O56"/>
    <mergeCell ref="A273:A276"/>
    <mergeCell ref="Y13:Y14"/>
    <mergeCell ref="C39:C42"/>
    <mergeCell ref="P147:P148"/>
    <mergeCell ref="AN293:AN294"/>
    <mergeCell ref="AJ309:AJ310"/>
    <mergeCell ref="M131:M132"/>
    <mergeCell ref="V25:V26"/>
    <mergeCell ref="P163:P164"/>
    <mergeCell ref="Z193:Z194"/>
    <mergeCell ref="O197:O198"/>
    <mergeCell ref="X249:X250"/>
    <mergeCell ref="AA285:AA286"/>
    <mergeCell ref="AJ337:AJ338"/>
    <mergeCell ref="U75:U76"/>
    <mergeCell ref="AT57:AT58"/>
    <mergeCell ref="O99:O100"/>
    <mergeCell ref="O213:O214"/>
    <mergeCell ref="AT357:AT358"/>
    <mergeCell ref="B363:B364"/>
    <mergeCell ref="AA301:AA302"/>
    <mergeCell ref="D129:D130"/>
    <mergeCell ref="J291:J292"/>
    <mergeCell ref="D123:D124"/>
    <mergeCell ref="S343:S344"/>
    <mergeCell ref="M175:M176"/>
    <mergeCell ref="B197:B200"/>
    <mergeCell ref="U109:U110"/>
    <mergeCell ref="AO58:AR58"/>
    <mergeCell ref="AV143:AV144"/>
    <mergeCell ref="R309:R310"/>
    <mergeCell ref="AC367:AC368"/>
    <mergeCell ref="C289:C292"/>
    <mergeCell ref="F189:F190"/>
    <mergeCell ref="D297:D298"/>
    <mergeCell ref="T369:T370"/>
    <mergeCell ref="B39:B42"/>
    <mergeCell ref="O147:O148"/>
    <mergeCell ref="D151:D152"/>
    <mergeCell ref="C305:C308"/>
    <mergeCell ref="O261:O262"/>
    <mergeCell ref="AC89:AC90"/>
    <mergeCell ref="M317:M318"/>
    <mergeCell ref="Q27:Q28"/>
    <mergeCell ref="O163:O164"/>
    <mergeCell ref="Q327:Q328"/>
    <mergeCell ref="U157:U158"/>
    <mergeCell ref="B241:B244"/>
    <mergeCell ref="N197:N198"/>
    <mergeCell ref="W249:W250"/>
    <mergeCell ref="AV187:AV188"/>
    <mergeCell ref="K29:K30"/>
    <mergeCell ref="AK92:AM92"/>
    <mergeCell ref="Q229:Q230"/>
    <mergeCell ref="O289:O290"/>
    <mergeCell ref="AJ153:AJ154"/>
    <mergeCell ref="AB9:AB10"/>
    <mergeCell ref="Q55:Q56"/>
    <mergeCell ref="AS361:AS362"/>
    <mergeCell ref="A363:A364"/>
    <mergeCell ref="F259:F260"/>
    <mergeCell ref="O305:O306"/>
    <mergeCell ref="R343:R344"/>
    <mergeCell ref="K57:K58"/>
    <mergeCell ref="D221:D222"/>
    <mergeCell ref="T109:T110"/>
    <mergeCell ref="H319:H320"/>
    <mergeCell ref="AB367:AB368"/>
    <mergeCell ref="W145:W146"/>
    <mergeCell ref="L149:L150"/>
    <mergeCell ref="E189:E190"/>
    <mergeCell ref="AD127:AD128"/>
    <mergeCell ref="N241:N242"/>
    <mergeCell ref="Q283:Q284"/>
    <mergeCell ref="Q277:Q278"/>
    <mergeCell ref="F281:F282"/>
    <mergeCell ref="O333:O334"/>
    <mergeCell ref="S43:S44"/>
    <mergeCell ref="AB209:AB210"/>
    <mergeCell ref="P27:P28"/>
    <mergeCell ref="K199:K200"/>
    <mergeCell ref="AJ137:AJ138"/>
    <mergeCell ref="AU319:AU320"/>
    <mergeCell ref="P327:P328"/>
    <mergeCell ref="M45:M46"/>
    <mergeCell ref="R93:R94"/>
    <mergeCell ref="A29:A32"/>
    <mergeCell ref="AT69:AT70"/>
    <mergeCell ref="AA51:AA52"/>
    <mergeCell ref="A329:A332"/>
    <mergeCell ref="H269:H270"/>
    <mergeCell ref="P55:P56"/>
    <mergeCell ref="E259:E260"/>
    <mergeCell ref="AO44:AR44"/>
    <mergeCell ref="AJ359:AJ360"/>
    <mergeCell ref="AO202:AR202"/>
    <mergeCell ref="Q347:Q348"/>
    <mergeCell ref="M187:M188"/>
    <mergeCell ref="G319:G320"/>
    <mergeCell ref="AA367:AA368"/>
    <mergeCell ref="P371:P372"/>
    <mergeCell ref="AA35:AA36"/>
    <mergeCell ref="K149:K150"/>
    <mergeCell ref="AA193:AA194"/>
    <mergeCell ref="AC133:AC134"/>
    <mergeCell ref="AC127:AC128"/>
    <mergeCell ref="K263:K264"/>
    <mergeCell ref="C17:C20"/>
    <mergeCell ref="U173:U174"/>
    <mergeCell ref="E287:E288"/>
    <mergeCell ref="X211:X212"/>
    <mergeCell ref="R43:R44"/>
    <mergeCell ref="M215:M216"/>
    <mergeCell ref="G47:G48"/>
    <mergeCell ref="J199:J200"/>
    <mergeCell ref="D179:D180"/>
    <mergeCell ref="R59:R60"/>
    <mergeCell ref="AN271:AN272"/>
    <mergeCell ref="D337:D338"/>
    <mergeCell ref="D331:D332"/>
    <mergeCell ref="P267:P268"/>
    <mergeCell ref="X53:X54"/>
    <mergeCell ref="Q93:Q94"/>
    <mergeCell ref="R359:R360"/>
    <mergeCell ref="AO266:AR266"/>
    <mergeCell ref="X353:X354"/>
    <mergeCell ref="M251:M252"/>
    <mergeCell ref="R185:R186"/>
    <mergeCell ref="E335:E336"/>
    <mergeCell ref="O17:O18"/>
    <mergeCell ref="AV257:AV258"/>
    <mergeCell ref="B95:B98"/>
    <mergeCell ref="I35:I36"/>
    <mergeCell ref="O361:O362"/>
    <mergeCell ref="I193:I194"/>
    <mergeCell ref="O317:O318"/>
    <mergeCell ref="L187:L188"/>
    <mergeCell ref="G117:G118"/>
    <mergeCell ref="M279:M280"/>
    <mergeCell ref="F325:F326"/>
    <mergeCell ref="F319:F320"/>
    <mergeCell ref="AC323:AC324"/>
    <mergeCell ref="O45:O46"/>
    <mergeCell ref="W305:W306"/>
    <mergeCell ref="B17:B20"/>
    <mergeCell ref="Z341:Z342"/>
    <mergeCell ref="T173:T174"/>
    <mergeCell ref="D287:D288"/>
    <mergeCell ref="O345:O346"/>
    <mergeCell ref="L29:L30"/>
    <mergeCell ref="AS111:AS112"/>
    <mergeCell ref="AB101:AB102"/>
    <mergeCell ref="L215:L216"/>
    <mergeCell ref="F9:F10"/>
    <mergeCell ref="F167:F168"/>
    <mergeCell ref="F353:F354"/>
    <mergeCell ref="AE158:AI158"/>
    <mergeCell ref="O267:O268"/>
    <mergeCell ref="W53:W54"/>
    <mergeCell ref="AN205:AN206"/>
    <mergeCell ref="T315:T316"/>
    <mergeCell ref="AJ203:AJ204"/>
    <mergeCell ref="Q33:Q34"/>
    <mergeCell ref="AE370:AI370"/>
    <mergeCell ref="AV297:AV298"/>
    <mergeCell ref="Q333:Q334"/>
    <mergeCell ref="N17:N18"/>
    <mergeCell ref="K323:K324"/>
    <mergeCell ref="A95:A98"/>
    <mergeCell ref="N317:N318"/>
    <mergeCell ref="AK254:AM254"/>
    <mergeCell ref="P83:P84"/>
    <mergeCell ref="AB171:AB172"/>
    <mergeCell ref="AJ99:AJ100"/>
    <mergeCell ref="N45:N46"/>
    <mergeCell ref="V309:V310"/>
    <mergeCell ref="V303:V304"/>
    <mergeCell ref="E293:E294"/>
    <mergeCell ref="N345:N346"/>
    <mergeCell ref="K219:K220"/>
    <mergeCell ref="AA101:AA102"/>
    <mergeCell ref="P111:P112"/>
    <mergeCell ref="E9:E10"/>
    <mergeCell ref="AJ159:AJ160"/>
    <mergeCell ref="X369:X370"/>
    <mergeCell ref="E167:E168"/>
    <mergeCell ref="V31:V32"/>
    <mergeCell ref="U239:U240"/>
    <mergeCell ref="AD291:AD292"/>
    <mergeCell ref="Y25:Y26"/>
    <mergeCell ref="Y183:Y184"/>
    <mergeCell ref="V331:V332"/>
    <mergeCell ref="P279:P280"/>
    <mergeCell ref="S163:S164"/>
    <mergeCell ref="S321:S322"/>
    <mergeCell ref="P33:P34"/>
    <mergeCell ref="AO310:AR310"/>
    <mergeCell ref="K205:K206"/>
    <mergeCell ref="E37:E38"/>
    <mergeCell ref="AA249:AA250"/>
    <mergeCell ref="U81:U82"/>
    <mergeCell ref="P333:P334"/>
    <mergeCell ref="AN5:AN6"/>
    <mergeCell ref="J171:J172"/>
    <mergeCell ref="J165:J166"/>
    <mergeCell ref="AO180:AR180"/>
    <mergeCell ref="AT319:AT320"/>
    <mergeCell ref="R99:R100"/>
    <mergeCell ref="AO6:AR6"/>
    <mergeCell ref="R257:R258"/>
    <mergeCell ref="E363:E364"/>
    <mergeCell ref="AN21:AN22"/>
    <mergeCell ref="D87:D88"/>
    <mergeCell ref="G123:G124"/>
    <mergeCell ref="W11:W12"/>
    <mergeCell ref="V343:V344"/>
    <mergeCell ref="P175:P176"/>
    <mergeCell ref="E179:E180"/>
    <mergeCell ref="U309:U310"/>
    <mergeCell ref="AO322:AR322"/>
    <mergeCell ref="AC237:AC238"/>
    <mergeCell ref="M351:M352"/>
    <mergeCell ref="W69:W70"/>
    <mergeCell ref="G183:G184"/>
    <mergeCell ref="M345:M346"/>
    <mergeCell ref="R241:R242"/>
    <mergeCell ref="J219:J220"/>
    <mergeCell ref="O111:O112"/>
    <mergeCell ref="W369:W370"/>
    <mergeCell ref="AN49:AN50"/>
    <mergeCell ref="AS183:AS184"/>
    <mergeCell ref="AA313:AA314"/>
    <mergeCell ref="L285:L286"/>
    <mergeCell ref="D141:D142"/>
    <mergeCell ref="D135:D136"/>
    <mergeCell ref="F75:F76"/>
    <mergeCell ref="AC79:AC80"/>
    <mergeCell ref="R163:R164"/>
    <mergeCell ref="W97:W98"/>
    <mergeCell ref="R321:R322"/>
    <mergeCell ref="AE224:AI224"/>
    <mergeCell ref="G325:G326"/>
    <mergeCell ref="D37:D38"/>
    <mergeCell ref="Z249:Z250"/>
    <mergeCell ref="T229:T230"/>
    <mergeCell ref="AK292:AM292"/>
    <mergeCell ref="AJ273:AJ274"/>
    <mergeCell ref="AN103:AN104"/>
    <mergeCell ref="AV205:AV206"/>
    <mergeCell ref="Q213:Q214"/>
    <mergeCell ref="V147:V148"/>
    <mergeCell ref="AC301:AC302"/>
    <mergeCell ref="R305:R306"/>
    <mergeCell ref="AB25:AB26"/>
    <mergeCell ref="F129:F130"/>
    <mergeCell ref="T71:T72"/>
    <mergeCell ref="AK320:AM320"/>
    <mergeCell ref="AE278:AI278"/>
    <mergeCell ref="I313:I314"/>
    <mergeCell ref="T371:T372"/>
    <mergeCell ref="AB237:AB238"/>
    <mergeCell ref="Q241:Q242"/>
    <mergeCell ref="B2:B4"/>
    <mergeCell ref="AC329:AC330"/>
    <mergeCell ref="AU313:AU314"/>
    <mergeCell ref="V43:V44"/>
    <mergeCell ref="F157:F158"/>
    <mergeCell ref="F151:F152"/>
    <mergeCell ref="X135:X136"/>
    <mergeCell ref="F271:F272"/>
    <mergeCell ref="AK162:AM162"/>
    <mergeCell ref="H205:H206"/>
    <mergeCell ref="K285:K286"/>
    <mergeCell ref="AJ223:AJ224"/>
    <mergeCell ref="AO22:AR22"/>
    <mergeCell ref="AB79:AB80"/>
    <mergeCell ref="Y227:Y228"/>
    <mergeCell ref="V59:V60"/>
    <mergeCell ref="V359:V360"/>
    <mergeCell ref="AD145:AD146"/>
    <mergeCell ref="Q137:Q138"/>
    <mergeCell ref="AE322:AI322"/>
    <mergeCell ref="AO76:AR76"/>
    <mergeCell ref="S229:S230"/>
    <mergeCell ref="K269:K270"/>
    <mergeCell ref="S55:S56"/>
    <mergeCell ref="AU361:AU362"/>
    <mergeCell ref="AJ365:AJ366"/>
    <mergeCell ref="M193:M194"/>
    <mergeCell ref="E129:E130"/>
    <mergeCell ref="J19:J20"/>
    <mergeCell ref="S71:S72"/>
    <mergeCell ref="A257:A260"/>
    <mergeCell ref="F221:F222"/>
    <mergeCell ref="J319:J320"/>
    <mergeCell ref="AD367:AD368"/>
    <mergeCell ref="S371:S372"/>
    <mergeCell ref="M203:M204"/>
    <mergeCell ref="S283:S284"/>
    <mergeCell ref="H281:H282"/>
    <mergeCell ref="A327:A328"/>
    <mergeCell ref="Z265:Z266"/>
    <mergeCell ref="U43:U44"/>
    <mergeCell ref="E113:E114"/>
    <mergeCell ref="J47:J48"/>
    <mergeCell ref="AD95:AD96"/>
    <mergeCell ref="E271:E272"/>
    <mergeCell ref="R307:R308"/>
    <mergeCell ref="AD209:AD210"/>
    <mergeCell ref="O181:O182"/>
    <mergeCell ref="AT281:AT282"/>
    <mergeCell ref="X347:X348"/>
    <mergeCell ref="AV47:AV48"/>
    <mergeCell ref="U59:U60"/>
    <mergeCell ref="D49:D50"/>
    <mergeCell ref="M257:M258"/>
    <mergeCell ref="U359:U360"/>
    <mergeCell ref="AC145:AC146"/>
    <mergeCell ref="C29:C32"/>
    <mergeCell ref="C329:C332"/>
    <mergeCell ref="J269:J270"/>
    <mergeCell ref="R17:R18"/>
    <mergeCell ref="R55:R56"/>
    <mergeCell ref="L35:L36"/>
    <mergeCell ref="R361:R362"/>
    <mergeCell ref="L193:L194"/>
    <mergeCell ref="U201:U202"/>
    <mergeCell ref="AN125:AN126"/>
    <mergeCell ref="D191:D192"/>
    <mergeCell ref="G75:G76"/>
    <mergeCell ref="I319:I320"/>
    <mergeCell ref="R371:R372"/>
    <mergeCell ref="AB281:AB282"/>
    <mergeCell ref="D249:D250"/>
    <mergeCell ref="T137:T138"/>
    <mergeCell ref="W173:W174"/>
    <mergeCell ref="U229:U230"/>
    <mergeCell ref="I53:I54"/>
    <mergeCell ref="I47:I48"/>
    <mergeCell ref="Q311:Q312"/>
    <mergeCell ref="AN153:AN154"/>
    <mergeCell ref="N181:N182"/>
    <mergeCell ref="AS281:AS282"/>
    <mergeCell ref="W347:W348"/>
    <mergeCell ref="F179:F180"/>
    <mergeCell ref="AU47:AU48"/>
    <mergeCell ref="AK70:AM70"/>
    <mergeCell ref="F337:F338"/>
    <mergeCell ref="Y293:Y294"/>
    <mergeCell ref="T33:T34"/>
    <mergeCell ref="T185:T186"/>
    <mergeCell ref="N165:N166"/>
    <mergeCell ref="N323:N324"/>
    <mergeCell ref="W217:W218"/>
    <mergeCell ref="K41:K42"/>
    <mergeCell ref="K35:K36"/>
    <mergeCell ref="K155:K156"/>
    <mergeCell ref="I205:I206"/>
    <mergeCell ref="E173:E174"/>
    <mergeCell ref="AK124:AM124"/>
    <mergeCell ref="M101:M102"/>
    <mergeCell ref="I117:I118"/>
    <mergeCell ref="V153:V154"/>
    <mergeCell ref="V267:V268"/>
    <mergeCell ref="Q45:Q46"/>
    <mergeCell ref="K25:K26"/>
    <mergeCell ref="AU117:AU118"/>
    <mergeCell ref="K183:K184"/>
    <mergeCell ref="Q345:Q346"/>
    <mergeCell ref="K177:K178"/>
    <mergeCell ref="H53:H54"/>
    <mergeCell ref="H9:H10"/>
    <mergeCell ref="P311:P312"/>
    <mergeCell ref="Y363:Y364"/>
    <mergeCell ref="H353:H354"/>
    <mergeCell ref="M243:M244"/>
    <mergeCell ref="AA123:AA124"/>
    <mergeCell ref="AJ327:AJ328"/>
    <mergeCell ref="AT53:AT54"/>
    <mergeCell ref="AT47:AT48"/>
    <mergeCell ref="A313:A316"/>
    <mergeCell ref="AN185:AN186"/>
    <mergeCell ref="V321:V322"/>
    <mergeCell ref="V315:V316"/>
    <mergeCell ref="X255:X256"/>
    <mergeCell ref="S33:S34"/>
    <mergeCell ref="AD249:AD250"/>
    <mergeCell ref="X81:X82"/>
    <mergeCell ref="M171:M172"/>
    <mergeCell ref="M165:M166"/>
    <mergeCell ref="E21:E22"/>
    <mergeCell ref="M323:M324"/>
    <mergeCell ref="V217:V218"/>
    <mergeCell ref="B327:B328"/>
    <mergeCell ref="A35:A38"/>
    <mergeCell ref="J155:J156"/>
    <mergeCell ref="R83:R84"/>
    <mergeCell ref="K247:K248"/>
    <mergeCell ref="AN327:AN328"/>
    <mergeCell ref="AA319:AA320"/>
    <mergeCell ref="M13:M14"/>
    <mergeCell ref="S175:S176"/>
    <mergeCell ref="U267:U268"/>
    <mergeCell ref="AC85:AC86"/>
    <mergeCell ref="AO328:AR328"/>
    <mergeCell ref="AT205:AT206"/>
    <mergeCell ref="X309:X310"/>
    <mergeCell ref="M313:M314"/>
    <mergeCell ref="M307:M308"/>
    <mergeCell ref="J25:J26"/>
    <mergeCell ref="Z69:Z70"/>
    <mergeCell ref="AT117:AT118"/>
    <mergeCell ref="J183:J184"/>
    <mergeCell ref="O73:O74"/>
    <mergeCell ref="W333:W334"/>
    <mergeCell ref="R111:R112"/>
    <mergeCell ref="G9:G10"/>
    <mergeCell ref="Z369:Z370"/>
    <mergeCell ref="K275:K276"/>
    <mergeCell ref="D315:D316"/>
    <mergeCell ref="AO338:AR338"/>
    <mergeCell ref="AC253:AC254"/>
    <mergeCell ref="Q77:Q78"/>
    <mergeCell ref="AV183:AV184"/>
    <mergeCell ref="L243:L244"/>
    <mergeCell ref="Y5:Y6"/>
    <mergeCell ref="G141:G142"/>
    <mergeCell ref="X337:X338"/>
    <mergeCell ref="I75:I76"/>
    <mergeCell ref="R169:R170"/>
    <mergeCell ref="X331:X332"/>
    <mergeCell ref="U163:U164"/>
    <mergeCell ref="U321:U322"/>
    <mergeCell ref="O301:O302"/>
    <mergeCell ref="W81:W82"/>
    <mergeCell ref="L171:L172"/>
    <mergeCell ref="Q61:Q62"/>
    <mergeCell ref="Q219:Q220"/>
    <mergeCell ref="AV325:AV326"/>
    <mergeCell ref="D211:D212"/>
    <mergeCell ref="T99:T100"/>
    <mergeCell ref="AJ143:AJ144"/>
    <mergeCell ref="L139:L140"/>
    <mergeCell ref="F87:F88"/>
    <mergeCell ref="L13:L14"/>
    <mergeCell ref="AB85:AB86"/>
    <mergeCell ref="W309:W310"/>
    <mergeCell ref="L313:L314"/>
    <mergeCell ref="A317:A318"/>
    <mergeCell ref="I25:I26"/>
    <mergeCell ref="Y69:Y70"/>
    <mergeCell ref="T241:T242"/>
    <mergeCell ref="N73:N74"/>
    <mergeCell ref="AS179:AS180"/>
    <mergeCell ref="S207:S208"/>
    <mergeCell ref="Y369:Y370"/>
    <mergeCell ref="C347:C352"/>
    <mergeCell ref="AS91:AS92"/>
    <mergeCell ref="I157:I158"/>
    <mergeCell ref="T299:T300"/>
    <mergeCell ref="P139:P140"/>
    <mergeCell ref="AJ187:AJ188"/>
    <mergeCell ref="L155:L156"/>
    <mergeCell ref="N285:N286"/>
    <mergeCell ref="AJ93:AJ94"/>
    <mergeCell ref="AK180:AM180"/>
    <mergeCell ref="C69:C74"/>
    <mergeCell ref="AD231:AD232"/>
    <mergeCell ref="N301:N302"/>
    <mergeCell ref="M335:M336"/>
    <mergeCell ref="P67:P68"/>
    <mergeCell ref="V229:V230"/>
    <mergeCell ref="P61:P62"/>
    <mergeCell ref="P219:P220"/>
    <mergeCell ref="AU325:AU326"/>
    <mergeCell ref="X147:X148"/>
    <mergeCell ref="K259:K260"/>
    <mergeCell ref="AO366:AR366"/>
    <mergeCell ref="R127:R128"/>
    <mergeCell ref="E277:E278"/>
    <mergeCell ref="V71:V72"/>
    <mergeCell ref="P89:P90"/>
    <mergeCell ref="K313:K314"/>
    <mergeCell ref="V371:V372"/>
    <mergeCell ref="P203:P204"/>
    <mergeCell ref="D27:D28"/>
    <mergeCell ref="C353:C354"/>
    <mergeCell ref="M79:M80"/>
    <mergeCell ref="S241:S242"/>
    <mergeCell ref="C281:C284"/>
    <mergeCell ref="AC151:AC152"/>
    <mergeCell ref="U7:U8"/>
    <mergeCell ref="C35:C38"/>
    <mergeCell ref="AC265:AC266"/>
    <mergeCell ref="N171:N172"/>
    <mergeCell ref="C193:C196"/>
    <mergeCell ref="B347:B352"/>
    <mergeCell ref="H157:H158"/>
    <mergeCell ref="J205:J206"/>
    <mergeCell ref="O139:O140"/>
    <mergeCell ref="AA227:AA228"/>
    <mergeCell ref="D55:D56"/>
    <mergeCell ref="C209:C212"/>
    <mergeCell ref="X59:X60"/>
    <mergeCell ref="M63:M64"/>
    <mergeCell ref="M221:M222"/>
    <mergeCell ref="AN289:AN290"/>
    <mergeCell ref="X359:X360"/>
    <mergeCell ref="AC293:AC294"/>
    <mergeCell ref="P159:P160"/>
    <mergeCell ref="AN305:AN306"/>
    <mergeCell ref="AV91:AV92"/>
    <mergeCell ref="D371:D372"/>
    <mergeCell ref="O35:O36"/>
    <mergeCell ref="O193:O194"/>
    <mergeCell ref="X87:X88"/>
    <mergeCell ref="AN131:AN132"/>
    <mergeCell ref="D277:D278"/>
    <mergeCell ref="AC221:AC222"/>
    <mergeCell ref="U71:U72"/>
    <mergeCell ref="J75:J76"/>
    <mergeCell ref="F43:F44"/>
    <mergeCell ref="C257:C260"/>
    <mergeCell ref="AK48:AM48"/>
    <mergeCell ref="O209:O210"/>
    <mergeCell ref="U371:U372"/>
    <mergeCell ref="R245:R246"/>
    <mergeCell ref="B281:B284"/>
    <mergeCell ref="W137:W138"/>
    <mergeCell ref="AA297:AA298"/>
    <mergeCell ref="AN333:AN334"/>
    <mergeCell ref="AK348:AM348"/>
    <mergeCell ref="AV75:AV76"/>
    <mergeCell ref="J287:J288"/>
    <mergeCell ref="T5:T6"/>
    <mergeCell ref="D119:D120"/>
    <mergeCell ref="B35:B38"/>
    <mergeCell ref="AB265:AB266"/>
    <mergeCell ref="B193:B196"/>
    <mergeCell ref="A347:A352"/>
    <mergeCell ref="L47:L48"/>
    <mergeCell ref="AN353:AN354"/>
    <mergeCell ref="AC363:AC364"/>
    <mergeCell ref="AC357:AC358"/>
    <mergeCell ref="C285:C288"/>
    <mergeCell ref="Q181:Q182"/>
    <mergeCell ref="F185:F186"/>
    <mergeCell ref="AK76:AM76"/>
    <mergeCell ref="W59:W60"/>
    <mergeCell ref="T365:T366"/>
    <mergeCell ref="L221:L222"/>
    <mergeCell ref="O257:O258"/>
    <mergeCell ref="AB293:AB294"/>
    <mergeCell ref="Y125:Y126"/>
    <mergeCell ref="F107:F108"/>
    <mergeCell ref="Q323:Q324"/>
    <mergeCell ref="Z217:Z218"/>
    <mergeCell ref="T49:T50"/>
    <mergeCell ref="N35:N36"/>
    <mergeCell ref="N193:N194"/>
    <mergeCell ref="W87:W88"/>
    <mergeCell ref="W201:W202"/>
    <mergeCell ref="Q225:Q226"/>
    <mergeCell ref="L117:L118"/>
    <mergeCell ref="Y153:Y154"/>
    <mergeCell ref="E157:E158"/>
    <mergeCell ref="AD281:AD282"/>
    <mergeCell ref="F249:F250"/>
    <mergeCell ref="V137:V138"/>
    <mergeCell ref="AU75:AU76"/>
    <mergeCell ref="N177:N178"/>
    <mergeCell ref="AK288:AM288"/>
    <mergeCell ref="P275:P276"/>
    <mergeCell ref="P269:P270"/>
    <mergeCell ref="K53:K54"/>
    <mergeCell ref="K9:K10"/>
    <mergeCell ref="S311:S312"/>
    <mergeCell ref="AB205:AB206"/>
    <mergeCell ref="AB363:AB364"/>
    <mergeCell ref="K353:K354"/>
    <mergeCell ref="E185:E186"/>
    <mergeCell ref="AD123:AD124"/>
    <mergeCell ref="Q273:Q274"/>
    <mergeCell ref="F277:F278"/>
    <mergeCell ref="N105:N106"/>
    <mergeCell ref="S39:S40"/>
    <mergeCell ref="C109:C110"/>
    <mergeCell ref="A183:A186"/>
    <mergeCell ref="E201:E202"/>
    <mergeCell ref="S339:S340"/>
    <mergeCell ref="E27:E28"/>
    <mergeCell ref="P165:P166"/>
    <mergeCell ref="P323:P324"/>
    <mergeCell ref="Y217:Y218"/>
    <mergeCell ref="E327:E328"/>
    <mergeCell ref="M41:M42"/>
    <mergeCell ref="M155:M156"/>
    <mergeCell ref="E81:E82"/>
    <mergeCell ref="S355:S356"/>
    <mergeCell ref="O101:O102"/>
    <mergeCell ref="E343:E344"/>
    <mergeCell ref="AN197:AN198"/>
    <mergeCell ref="AA309:AA310"/>
    <mergeCell ref="AO40:AR40"/>
    <mergeCell ref="M25:M26"/>
    <mergeCell ref="AC69:AC70"/>
    <mergeCell ref="M183:M184"/>
    <mergeCell ref="AT265:AT266"/>
    <mergeCell ref="J331:J332"/>
    <mergeCell ref="R311:R312"/>
    <mergeCell ref="AA205:AA206"/>
    <mergeCell ref="AC369:AC370"/>
    <mergeCell ref="AT49:AT50"/>
    <mergeCell ref="AA363:AA364"/>
    <mergeCell ref="P367:P368"/>
    <mergeCell ref="T77:T78"/>
    <mergeCell ref="O243:O244"/>
    <mergeCell ref="C13:C16"/>
    <mergeCell ref="U169:U170"/>
    <mergeCell ref="AD221:AD222"/>
    <mergeCell ref="C313:C316"/>
    <mergeCell ref="R39:R40"/>
    <mergeCell ref="B109:B110"/>
    <mergeCell ref="G43:G44"/>
    <mergeCell ref="AK104:AM104"/>
    <mergeCell ref="J37:J38"/>
    <mergeCell ref="R339:R340"/>
    <mergeCell ref="R295:R296"/>
    <mergeCell ref="AB21:AB22"/>
    <mergeCell ref="AK10:AM10"/>
    <mergeCell ref="O171:O172"/>
    <mergeCell ref="T61:T62"/>
    <mergeCell ref="AN109:AN110"/>
    <mergeCell ref="D175:D176"/>
    <mergeCell ref="AS43:AS44"/>
    <mergeCell ref="AC113:AC114"/>
    <mergeCell ref="D327:D328"/>
    <mergeCell ref="R355:R356"/>
    <mergeCell ref="K69:K70"/>
    <mergeCell ref="M3:N3"/>
    <mergeCell ref="R181:R182"/>
    <mergeCell ref="T115:T116"/>
    <mergeCell ref="O13:O14"/>
    <mergeCell ref="AB49:AB50"/>
    <mergeCell ref="F147:F148"/>
    <mergeCell ref="T141:T142"/>
    <mergeCell ref="O313:O314"/>
    <mergeCell ref="L183:L184"/>
    <mergeCell ref="AS265:AS266"/>
    <mergeCell ref="Q73:Q74"/>
    <mergeCell ref="F163:F164"/>
    <mergeCell ref="V207:V208"/>
    <mergeCell ref="F321:F322"/>
    <mergeCell ref="F315:F316"/>
    <mergeCell ref="K211:K212"/>
    <mergeCell ref="B13:B16"/>
    <mergeCell ref="T11:T12"/>
    <mergeCell ref="Z337:Z338"/>
    <mergeCell ref="AJ55:AJ56"/>
    <mergeCell ref="T169:T170"/>
    <mergeCell ref="B313:B316"/>
    <mergeCell ref="Q301:Q302"/>
    <mergeCell ref="V235:V236"/>
    <mergeCell ref="F305:F306"/>
    <mergeCell ref="AK196:AM196"/>
    <mergeCell ref="P25:P26"/>
    <mergeCell ref="AE154:AI154"/>
    <mergeCell ref="S61:S62"/>
    <mergeCell ref="AB113:AB114"/>
    <mergeCell ref="A205:A208"/>
    <mergeCell ref="AO214:AR214"/>
    <mergeCell ref="D267:D268"/>
    <mergeCell ref="AE366:AI366"/>
    <mergeCell ref="F33:F34"/>
    <mergeCell ref="AD179:AD180"/>
    <mergeCell ref="H277:H278"/>
    <mergeCell ref="V157:V158"/>
    <mergeCell ref="Q329:Q330"/>
    <mergeCell ref="N13:N14"/>
    <mergeCell ref="K161:K162"/>
    <mergeCell ref="F333:F334"/>
    <mergeCell ref="AD85:AD86"/>
    <mergeCell ref="S89:S90"/>
    <mergeCell ref="N313:N314"/>
    <mergeCell ref="C317:C318"/>
    <mergeCell ref="X223:X224"/>
    <mergeCell ref="P79:P80"/>
    <mergeCell ref="P73:P74"/>
    <mergeCell ref="E83:E84"/>
    <mergeCell ref="AB167:AB168"/>
    <mergeCell ref="U207:U208"/>
    <mergeCell ref="J211:J212"/>
    <mergeCell ref="AC135:AC136"/>
    <mergeCell ref="V299:V300"/>
    <mergeCell ref="R139:R140"/>
    <mergeCell ref="X65:X66"/>
    <mergeCell ref="AD227:AD228"/>
    <mergeCell ref="AO278:AR278"/>
    <mergeCell ref="AA59:AA60"/>
    <mergeCell ref="X365:X366"/>
    <mergeCell ref="U235:U236"/>
    <mergeCell ref="E305:E306"/>
    <mergeCell ref="H347:H348"/>
    <mergeCell ref="R67:R68"/>
    <mergeCell ref="R61:R62"/>
    <mergeCell ref="S159:S160"/>
    <mergeCell ref="U251:U252"/>
    <mergeCell ref="AO306:AR306"/>
    <mergeCell ref="R193:R194"/>
    <mergeCell ref="T127:T128"/>
    <mergeCell ref="E33:E34"/>
    <mergeCell ref="M291:M292"/>
    <mergeCell ref="U77:U78"/>
    <mergeCell ref="AC179:AC180"/>
    <mergeCell ref="E333:E334"/>
    <mergeCell ref="R95:R96"/>
    <mergeCell ref="R89:R90"/>
    <mergeCell ref="R209:R210"/>
    <mergeCell ref="B317:B318"/>
    <mergeCell ref="G213:G214"/>
    <mergeCell ref="F27:F28"/>
    <mergeCell ref="O79:O80"/>
    <mergeCell ref="AV161:AV162"/>
    <mergeCell ref="L227:L228"/>
    <mergeCell ref="AN17:AN18"/>
    <mergeCell ref="AK66:AM66"/>
    <mergeCell ref="AC21:AC22"/>
    <mergeCell ref="I59:I60"/>
    <mergeCell ref="P171:P172"/>
    <mergeCell ref="AN317:AN318"/>
    <mergeCell ref="Q139:Q140"/>
    <mergeCell ref="T181:T182"/>
    <mergeCell ref="AC75:AC76"/>
    <mergeCell ref="AO318:AR318"/>
    <mergeCell ref="AC233:AC234"/>
    <mergeCell ref="W65:W66"/>
    <mergeCell ref="K277:K278"/>
    <mergeCell ref="F55:F56"/>
    <mergeCell ref="O63:O64"/>
    <mergeCell ref="W365:W366"/>
    <mergeCell ref="L369:L370"/>
    <mergeCell ref="AK208:AM208"/>
    <mergeCell ref="I201:I202"/>
    <mergeCell ref="AK366:AM366"/>
    <mergeCell ref="B53:B56"/>
    <mergeCell ref="F71:F72"/>
    <mergeCell ref="D279:D280"/>
    <mergeCell ref="R159:R160"/>
    <mergeCell ref="F371:F372"/>
    <mergeCell ref="W207:W208"/>
    <mergeCell ref="L297:L298"/>
    <mergeCell ref="AJ111:AJ112"/>
    <mergeCell ref="T225:T226"/>
    <mergeCell ref="D333:D334"/>
    <mergeCell ref="H43:H44"/>
    <mergeCell ref="AS321:AS322"/>
    <mergeCell ref="Q209:Q210"/>
    <mergeCell ref="N357:N358"/>
    <mergeCell ref="F213:F214"/>
    <mergeCell ref="Y137:Y138"/>
    <mergeCell ref="R301:R302"/>
    <mergeCell ref="K347:K348"/>
    <mergeCell ref="V311:V312"/>
    <mergeCell ref="B205:B208"/>
    <mergeCell ref="AK316:AM316"/>
    <mergeCell ref="AK272:AM272"/>
    <mergeCell ref="I309:I310"/>
    <mergeCell ref="AB233:AB234"/>
    <mergeCell ref="K217:K218"/>
    <mergeCell ref="N63:N64"/>
    <mergeCell ref="V365:V366"/>
    <mergeCell ref="AU309:AU310"/>
    <mergeCell ref="K369:K370"/>
    <mergeCell ref="X131:X132"/>
    <mergeCell ref="AD293:AD294"/>
    <mergeCell ref="H201:H202"/>
    <mergeCell ref="AB217:AB218"/>
    <mergeCell ref="AT201:AT202"/>
    <mergeCell ref="W23:W24"/>
    <mergeCell ref="K297:K298"/>
    <mergeCell ref="V355:V356"/>
    <mergeCell ref="J173:J174"/>
    <mergeCell ref="S225:S226"/>
    <mergeCell ref="X115:X116"/>
    <mergeCell ref="X273:X274"/>
    <mergeCell ref="K265:K266"/>
    <mergeCell ref="AO334:AR334"/>
    <mergeCell ref="AA153:AA154"/>
    <mergeCell ref="M363:M364"/>
    <mergeCell ref="M357:M358"/>
    <mergeCell ref="X27:X28"/>
    <mergeCell ref="E213:E214"/>
    <mergeCell ref="X327:X328"/>
    <mergeCell ref="J15:J16"/>
    <mergeCell ref="S67:S68"/>
    <mergeCell ref="AA325:AA326"/>
    <mergeCell ref="AT249:AT250"/>
    <mergeCell ref="J315:J316"/>
    <mergeCell ref="AD363:AD364"/>
    <mergeCell ref="D147:D148"/>
    <mergeCell ref="S367:S368"/>
    <mergeCell ref="W77:W78"/>
    <mergeCell ref="U127:U128"/>
    <mergeCell ref="A323:A324"/>
    <mergeCell ref="J217:J218"/>
    <mergeCell ref="Z261:Z262"/>
    <mergeCell ref="U39:U40"/>
    <mergeCell ref="E109:E110"/>
    <mergeCell ref="AT277:AT278"/>
    <mergeCell ref="AV217:AV218"/>
    <mergeCell ref="AV43:AV44"/>
    <mergeCell ref="J59:J60"/>
    <mergeCell ref="D45:D46"/>
    <mergeCell ref="L303:L304"/>
    <mergeCell ref="U355:U356"/>
    <mergeCell ref="Z289:Z290"/>
    <mergeCell ref="J359:J360"/>
    <mergeCell ref="W121:W122"/>
    <mergeCell ref="W115:W116"/>
    <mergeCell ref="AE290:AI290"/>
    <mergeCell ref="W273:W274"/>
    <mergeCell ref="Z157:Z158"/>
    <mergeCell ref="D103:D104"/>
    <mergeCell ref="J265:J266"/>
    <mergeCell ref="W27:W28"/>
    <mergeCell ref="AV359:AV360"/>
    <mergeCell ref="L145:L146"/>
    <mergeCell ref="AC341:AC342"/>
    <mergeCell ref="AV265:AV266"/>
    <mergeCell ref="L331:L332"/>
    <mergeCell ref="F283:F284"/>
    <mergeCell ref="I321:I322"/>
    <mergeCell ref="AB91:AB92"/>
    <mergeCell ref="R367:R368"/>
    <mergeCell ref="W263:W264"/>
    <mergeCell ref="V77:V78"/>
    <mergeCell ref="AJ19:AJ20"/>
    <mergeCell ref="B161:B164"/>
    <mergeCell ref="B75:B88"/>
    <mergeCell ref="W169:W170"/>
    <mergeCell ref="Y109:Y110"/>
    <mergeCell ref="AJ319:AJ320"/>
    <mergeCell ref="N265:N266"/>
    <mergeCell ref="AS371:AS372"/>
    <mergeCell ref="A371:A372"/>
    <mergeCell ref="AO356:AR356"/>
    <mergeCell ref="AJ231:AJ232"/>
    <mergeCell ref="AD21:AD22"/>
    <mergeCell ref="AA327:AA328"/>
    <mergeCell ref="V61:V62"/>
    <mergeCell ref="F175:F176"/>
    <mergeCell ref="P1:X1"/>
    <mergeCell ref="AU43:AU44"/>
    <mergeCell ref="K309:K310"/>
    <mergeCell ref="AJ247:AJ248"/>
    <mergeCell ref="AK372:AM372"/>
    <mergeCell ref="AJ241:AJ242"/>
    <mergeCell ref="AE324:AI324"/>
    <mergeCell ref="Y289:Y290"/>
    <mergeCell ref="I359:I360"/>
    <mergeCell ref="T29:T30"/>
    <mergeCell ref="M69:M70"/>
    <mergeCell ref="F233:F234"/>
    <mergeCell ref="V121:V122"/>
    <mergeCell ref="Y157:Y158"/>
    <mergeCell ref="T329:T330"/>
    <mergeCell ref="N161:N162"/>
    <mergeCell ref="M369:M370"/>
    <mergeCell ref="AD49:AD50"/>
    <mergeCell ref="F17:F18"/>
    <mergeCell ref="W213:W214"/>
    <mergeCell ref="P253:P254"/>
    <mergeCell ref="AU359:AU360"/>
    <mergeCell ref="AO100:AR100"/>
    <mergeCell ref="V89:V90"/>
    <mergeCell ref="K145:K146"/>
    <mergeCell ref="H293:H294"/>
    <mergeCell ref="E169:E170"/>
    <mergeCell ref="S79:S80"/>
    <mergeCell ref="K331:K332"/>
    <mergeCell ref="AJ269:AJ270"/>
    <mergeCell ref="E283:E284"/>
    <mergeCell ref="X93:X94"/>
    <mergeCell ref="M97:M98"/>
    <mergeCell ref="X207:X208"/>
    <mergeCell ref="V263:V264"/>
    <mergeCell ref="AU201:AU202"/>
    <mergeCell ref="A161:A164"/>
    <mergeCell ref="K21:K22"/>
    <mergeCell ref="AT321:AT322"/>
    <mergeCell ref="K173:K174"/>
    <mergeCell ref="M113:M114"/>
    <mergeCell ref="D219:D220"/>
    <mergeCell ref="AO242:AR242"/>
    <mergeCell ref="E153:E154"/>
    <mergeCell ref="E311:E312"/>
    <mergeCell ref="X235:X236"/>
    <mergeCell ref="H305:H306"/>
    <mergeCell ref="AT43:AT44"/>
    <mergeCell ref="AD113:AD114"/>
    <mergeCell ref="A309:A312"/>
    <mergeCell ref="AN23:AN24"/>
    <mergeCell ref="D89:D90"/>
    <mergeCell ref="O199:O200"/>
    <mergeCell ref="AN181:AN182"/>
    <mergeCell ref="D203:D204"/>
    <mergeCell ref="X251:X252"/>
    <mergeCell ref="S29:S30"/>
    <mergeCell ref="G241:G242"/>
  </mergeCells>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J90"/>
  <sheetViews>
    <sheetView workbookViewId="0">
      <pane ySplit="1" topLeftCell="A2" activePane="bottomLeft" state="frozen"/>
      <selection pane="bottomLeft" activeCell="A1" sqref="A1"/>
    </sheetView>
  </sheetViews>
  <sheetFormatPr baseColWidth="8" defaultRowHeight="15"/>
  <cols>
    <col width="6" customWidth="1" style="70" min="1" max="1"/>
    <col width="18" customWidth="1" style="70" min="2" max="2"/>
    <col width="12" customWidth="1" style="70" min="3" max="3"/>
    <col width="13" customWidth="1" style="70" min="4" max="4"/>
    <col width="13" customWidth="1" style="70" min="5" max="5"/>
    <col width="14" customWidth="1" style="70" min="6" max="6"/>
    <col width="14" customWidth="1" style="70" min="7" max="7"/>
    <col width="20" customWidth="1" style="70" min="8" max="8"/>
    <col width="16" customWidth="1" style="70" min="9" max="9"/>
    <col width="60" customWidth="1" style="70" min="10" max="10"/>
  </cols>
  <sheetData>
    <row r="1" ht="22" customHeight="1" s="70">
      <c r="A1" s="119" t="inlineStr">
        <is>
          <t>Seq</t>
        </is>
      </c>
      <c r="B1" s="119" t="inlineStr">
        <is>
          <t>Batch (as listed)</t>
        </is>
      </c>
      <c r="C1" s="119" t="inlineStr">
        <is>
          <t>P Batch</t>
        </is>
      </c>
      <c r="D1" s="119" t="inlineStr">
        <is>
          <t>Harvest from</t>
        </is>
      </c>
      <c r="E1" s="119" t="inlineStr">
        <is>
          <t>Harvest to</t>
        </is>
      </c>
      <c r="F1" s="119" t="inlineStr">
        <is>
          <t>Packaging from</t>
        </is>
      </c>
      <c r="G1" s="119" t="inlineStr">
        <is>
          <t>Packaging to</t>
        </is>
      </c>
      <c r="H1" s="119" t="inlineStr">
        <is>
          <t>iCoA basis (first day of packaging)</t>
        </is>
      </c>
      <c r="I1" s="119" t="inlineStr">
        <is>
          <t>Tracker lot</t>
        </is>
      </c>
      <c r="J1" s="119" t="inlineStr">
        <is>
          <t>Note</t>
        </is>
      </c>
    </row>
    <row r="2">
      <c r="A2" s="243" t="n">
        <v>1</v>
      </c>
      <c r="B2" s="244" t="inlineStr">
        <is>
          <t>CJ1024</t>
        </is>
      </c>
      <c r="C2" s="244" t="inlineStr"/>
      <c r="D2" s="245" t="n">
        <v>45677</v>
      </c>
      <c r="E2" s="245" t="n">
        <v>45677</v>
      </c>
      <c r="F2" s="245" t="n">
        <v>45719</v>
      </c>
      <c r="G2" s="245" t="n">
        <v>45719</v>
      </c>
      <c r="H2" s="245">
        <f>F2</f>
        <v/>
      </c>
      <c r="I2" s="243" t="inlineStr">
        <is>
          <t>CJ1024</t>
        </is>
      </c>
      <c r="J2" s="246" t="inlineStr">
        <is>
          <t>listed as 'CJ1024 - R&amp;D'</t>
        </is>
      </c>
    </row>
    <row r="3">
      <c r="A3" s="243" t="n">
        <v>2</v>
      </c>
      <c r="B3" s="244" t="inlineStr">
        <is>
          <t>GG1024</t>
        </is>
      </c>
      <c r="C3" s="244" t="inlineStr"/>
      <c r="D3" s="245" t="n">
        <v>45677</v>
      </c>
      <c r="E3" s="245" t="n">
        <v>45677</v>
      </c>
      <c r="F3" s="245" t="n">
        <v>45727</v>
      </c>
      <c r="G3" s="245" t="n">
        <v>45727</v>
      </c>
      <c r="H3" s="245">
        <f>F3</f>
        <v/>
      </c>
      <c r="I3" s="243" t="inlineStr">
        <is>
          <t>GG1024</t>
        </is>
      </c>
      <c r="J3" s="246" t="inlineStr">
        <is>
          <t>listed as 'GG1024- R&amp;D'</t>
        </is>
      </c>
    </row>
    <row r="4">
      <c r="A4" s="243" t="n">
        <v>3</v>
      </c>
      <c r="B4" s="244" t="inlineStr">
        <is>
          <t>OPM1024</t>
        </is>
      </c>
      <c r="C4" s="244" t="inlineStr"/>
      <c r="D4" s="245" t="n">
        <v>45678</v>
      </c>
      <c r="E4" s="245" t="n">
        <v>45678</v>
      </c>
      <c r="F4" s="245" t="n">
        <v>45771</v>
      </c>
      <c r="G4" s="245" t="n">
        <v>45772</v>
      </c>
      <c r="H4" s="245">
        <f>F4</f>
        <v/>
      </c>
      <c r="I4" s="243" t="inlineStr">
        <is>
          <t>OPM1024</t>
        </is>
      </c>
      <c r="J4" s="246" t="inlineStr">
        <is>
          <t>listed as 'OPM1024- R&amp;D'</t>
        </is>
      </c>
    </row>
    <row r="5">
      <c r="A5" s="243" t="n">
        <v>4</v>
      </c>
      <c r="B5" s="244" t="inlineStr">
        <is>
          <t>BG1024</t>
        </is>
      </c>
      <c r="C5" s="244" t="inlineStr"/>
      <c r="D5" s="245" t="n">
        <v>45678</v>
      </c>
      <c r="E5" s="245" t="n">
        <v>45678</v>
      </c>
      <c r="F5" s="245" t="n">
        <v>45723</v>
      </c>
      <c r="G5" s="245" t="n">
        <v>45723</v>
      </c>
      <c r="H5" s="245">
        <f>F5</f>
        <v/>
      </c>
      <c r="I5" s="243" t="inlineStr">
        <is>
          <t>BG1024</t>
        </is>
      </c>
      <c r="J5" s="246" t="inlineStr">
        <is>
          <t>listed as 'BG1024- R&amp;D'</t>
        </is>
      </c>
    </row>
    <row r="6">
      <c r="A6" s="243" t="n">
        <v>5</v>
      </c>
      <c r="B6" s="244" t="inlineStr">
        <is>
          <t>BSS1024</t>
        </is>
      </c>
      <c r="C6" s="244" t="inlineStr"/>
      <c r="D6" s="245" t="n">
        <v>45679</v>
      </c>
      <c r="E6" s="245" t="n">
        <v>45679</v>
      </c>
      <c r="F6" s="245" t="n">
        <v>45720</v>
      </c>
      <c r="G6" s="245" t="n">
        <v>45720</v>
      </c>
      <c r="H6" s="245">
        <f>F6</f>
        <v/>
      </c>
      <c r="I6" s="243" t="inlineStr">
        <is>
          <t>BSS1024</t>
        </is>
      </c>
      <c r="J6" s="246" t="inlineStr">
        <is>
          <t>listed as 'BSS1024- R&amp;D'</t>
        </is>
      </c>
    </row>
    <row r="7">
      <c r="A7" s="243" t="n">
        <v>6</v>
      </c>
      <c r="B7" s="244" t="inlineStr">
        <is>
          <t>HPA1024</t>
        </is>
      </c>
      <c r="C7" s="244" t="inlineStr"/>
      <c r="D7" s="245" t="n">
        <v>45679</v>
      </c>
      <c r="E7" s="245" t="n">
        <v>45679</v>
      </c>
      <c r="F7" s="245" t="n">
        <v>45758</v>
      </c>
      <c r="G7" s="245" t="n">
        <v>45758</v>
      </c>
      <c r="H7" s="245">
        <f>F7</f>
        <v/>
      </c>
      <c r="I7" s="243" t="inlineStr">
        <is>
          <t>HPA1024</t>
        </is>
      </c>
      <c r="J7" s="246" t="inlineStr">
        <is>
          <t>listed as 'HPA1024- R&amp;D'</t>
        </is>
      </c>
    </row>
    <row r="8">
      <c r="A8" s="243" t="n">
        <v>7</v>
      </c>
      <c r="B8" s="244" t="inlineStr">
        <is>
          <t>GG1024_01</t>
        </is>
      </c>
      <c r="C8" s="244" t="inlineStr">
        <is>
          <t>P050092</t>
        </is>
      </c>
      <c r="D8" s="245" t="n">
        <v>45733</v>
      </c>
      <c r="E8" s="245" t="n">
        <v>45734</v>
      </c>
      <c r="F8" s="245" t="n">
        <v>45869</v>
      </c>
      <c r="G8" s="245" t="n">
        <v>45874</v>
      </c>
      <c r="H8" s="245">
        <f>F8</f>
        <v/>
      </c>
      <c r="I8" s="243" t="inlineStr">
        <is>
          <t>GG1024_01</t>
        </is>
      </c>
      <c r="J8" s="246" t="inlineStr">
        <is>
          <t>packaging: year 2025 inferred (not printed)</t>
        </is>
      </c>
    </row>
    <row r="9">
      <c r="A9" s="243" t="n">
        <v>8</v>
      </c>
      <c r="B9" s="244" t="inlineStr">
        <is>
          <t>GP0824_01</t>
        </is>
      </c>
      <c r="C9" s="244" t="inlineStr">
        <is>
          <t>P050102</t>
        </is>
      </c>
      <c r="D9" s="245" t="n">
        <v>45736</v>
      </c>
      <c r="E9" s="245" t="n">
        <v>45737</v>
      </c>
      <c r="F9" s="245" t="n">
        <v>45874</v>
      </c>
      <c r="G9" s="245" t="n">
        <v>45876</v>
      </c>
      <c r="H9" s="245">
        <f>F9</f>
        <v/>
      </c>
      <c r="I9" s="243" t="inlineStr">
        <is>
          <t>GP0824_01</t>
        </is>
      </c>
      <c r="J9" s="246" t="inlineStr">
        <is>
          <t>packaging: year 2025 inferred (not printed)</t>
        </is>
      </c>
    </row>
    <row r="10">
      <c r="A10" s="243" t="n">
        <v>9</v>
      </c>
      <c r="B10" s="244" t="inlineStr">
        <is>
          <t>OMP1024_01</t>
        </is>
      </c>
      <c r="C10" s="244" t="inlineStr">
        <is>
          <t>P050042</t>
        </is>
      </c>
      <c r="D10" s="245" t="n">
        <v>45742</v>
      </c>
      <c r="E10" s="245" t="n">
        <v>45743</v>
      </c>
      <c r="F10" s="245" t="n">
        <v>45828</v>
      </c>
      <c r="G10" s="245" t="n">
        <v>45828</v>
      </c>
      <c r="H10" s="245">
        <f>F10</f>
        <v/>
      </c>
      <c r="I10" s="243" t="inlineStr">
        <is>
          <t>OMP1024_01</t>
        </is>
      </c>
      <c r="J10" s="246" t="inlineStr"/>
    </row>
    <row r="11">
      <c r="A11" s="243" t="n">
        <v>10</v>
      </c>
      <c r="B11" s="244" t="inlineStr">
        <is>
          <t>MB0824_04</t>
        </is>
      </c>
      <c r="C11" s="244" t="inlineStr">
        <is>
          <t>P050032</t>
        </is>
      </c>
      <c r="D11" s="245" t="n">
        <v>45749</v>
      </c>
      <c r="E11" s="245" t="n">
        <v>45750</v>
      </c>
      <c r="F11" s="245" t="n">
        <v>45824</v>
      </c>
      <c r="G11" s="245" t="n">
        <v>45827</v>
      </c>
      <c r="H11" s="245">
        <f>F11</f>
        <v/>
      </c>
      <c r="I11" s="243" t="inlineStr">
        <is>
          <t>MB0824_04</t>
        </is>
      </c>
      <c r="J11" s="246" t="inlineStr"/>
    </row>
    <row r="12">
      <c r="A12" s="243" t="n">
        <v>11</v>
      </c>
      <c r="B12" s="244" t="inlineStr">
        <is>
          <t>GG1024_02</t>
        </is>
      </c>
      <c r="C12" s="244" t="inlineStr">
        <is>
          <t>P050012</t>
        </is>
      </c>
      <c r="D12" s="245" t="n">
        <v>45761</v>
      </c>
      <c r="E12" s="245" t="n">
        <v>45762</v>
      </c>
      <c r="F12" s="245" t="n">
        <v>45819</v>
      </c>
      <c r="G12" s="245" t="n">
        <v>45824</v>
      </c>
      <c r="H12" s="245">
        <f>F12</f>
        <v/>
      </c>
      <c r="I12" s="243" t="inlineStr">
        <is>
          <t>GG1024_02</t>
        </is>
      </c>
      <c r="J12" s="246" t="inlineStr"/>
    </row>
    <row r="13">
      <c r="A13" s="243" t="n">
        <v>12</v>
      </c>
      <c r="B13" s="244" t="inlineStr">
        <is>
          <t>GP0824_02</t>
        </is>
      </c>
      <c r="C13" s="244" t="inlineStr">
        <is>
          <t>P050022</t>
        </is>
      </c>
      <c r="D13" s="245" t="n">
        <v>45769</v>
      </c>
      <c r="E13" s="245" t="n">
        <v>45770</v>
      </c>
      <c r="F13" s="245" t="n">
        <v>45811</v>
      </c>
      <c r="G13" s="245" t="n">
        <v>45819</v>
      </c>
      <c r="H13" s="245">
        <f>F13</f>
        <v/>
      </c>
      <c r="I13" s="243" t="inlineStr">
        <is>
          <t>GP0824_02</t>
        </is>
      </c>
      <c r="J13" s="246" t="inlineStr"/>
    </row>
    <row r="14">
      <c r="A14" s="243" t="n">
        <v>13</v>
      </c>
      <c r="B14" s="244" t="inlineStr">
        <is>
          <t>HPA1024_01</t>
        </is>
      </c>
      <c r="C14" s="244" t="inlineStr">
        <is>
          <t>P050052</t>
        </is>
      </c>
      <c r="D14" s="245" t="n">
        <v>45804</v>
      </c>
      <c r="E14" s="245" t="n">
        <v>45805</v>
      </c>
      <c r="F14" s="245" t="n">
        <v>45835</v>
      </c>
      <c r="G14" s="245" t="n">
        <v>45842</v>
      </c>
      <c r="H14" s="245">
        <f>F14</f>
        <v/>
      </c>
      <c r="I14" s="243" t="inlineStr">
        <is>
          <t>HPA1024_01</t>
        </is>
      </c>
      <c r="J14" s="246" t="inlineStr"/>
    </row>
    <row r="15">
      <c r="A15" s="243" t="n">
        <v>14</v>
      </c>
      <c r="B15" s="244" t="inlineStr">
        <is>
          <t>OPM1024_02</t>
        </is>
      </c>
      <c r="C15" s="244" t="inlineStr">
        <is>
          <t>P050062</t>
        </is>
      </c>
      <c r="D15" s="245" t="n">
        <v>45806</v>
      </c>
      <c r="E15" s="245" t="n">
        <v>45807</v>
      </c>
      <c r="F15" s="245" t="n">
        <v>45842</v>
      </c>
      <c r="G15" s="245" t="n">
        <v>45848</v>
      </c>
      <c r="H15" s="245">
        <f>F15</f>
        <v/>
      </c>
      <c r="I15" s="243" t="inlineStr">
        <is>
          <t>OPM1024_02</t>
        </is>
      </c>
      <c r="J15" s="246" t="inlineStr"/>
    </row>
    <row r="16">
      <c r="A16" s="243" t="n">
        <v>15</v>
      </c>
      <c r="B16" s="244" t="inlineStr">
        <is>
          <t>BSS1024_01/1</t>
        </is>
      </c>
      <c r="C16" s="244" t="inlineStr">
        <is>
          <t>P050122</t>
        </is>
      </c>
      <c r="D16" s="245" t="n">
        <v>45812</v>
      </c>
      <c r="E16" s="245" t="n">
        <v>45813</v>
      </c>
      <c r="F16" s="245" t="n">
        <v>45901</v>
      </c>
      <c r="G16" s="245" t="n">
        <v>45909</v>
      </c>
      <c r="H16" s="245">
        <f>F16</f>
        <v/>
      </c>
      <c r="I16" s="243" t="inlineStr">
        <is>
          <t>BSS1024_01/1</t>
        </is>
      </c>
      <c r="J16" s="246" t="inlineStr">
        <is>
          <t>packaging: year 2025 inferred (not printed)</t>
        </is>
      </c>
    </row>
    <row r="17">
      <c r="A17" s="243" t="n">
        <v>16</v>
      </c>
      <c r="B17" s="244" t="inlineStr">
        <is>
          <t>BSS1024_01/2</t>
        </is>
      </c>
      <c r="C17" s="244" t="inlineStr">
        <is>
          <t>P050142</t>
        </is>
      </c>
      <c r="D17" s="247" t="inlineStr">
        <is>
          <t>— not given —</t>
        </is>
      </c>
      <c r="E17" s="247" t="inlineStr">
        <is>
          <t>— not given —</t>
        </is>
      </c>
      <c r="F17" s="245" t="n">
        <v>45930</v>
      </c>
      <c r="G17" s="245" t="n">
        <v>45930</v>
      </c>
      <c r="H17" s="245">
        <f>F17</f>
        <v/>
      </c>
      <c r="I17" s="243" t="inlineStr">
        <is>
          <t>BSS1024_01/2</t>
        </is>
      </c>
      <c r="J17" s="246" t="inlineStr">
        <is>
          <t>harvest: no date given; packaging: year 2025 inferred (not printed)</t>
        </is>
      </c>
    </row>
    <row r="18">
      <c r="A18" s="243" t="n">
        <v>17</v>
      </c>
      <c r="B18" s="244" t="inlineStr">
        <is>
          <t>GP0824_03</t>
        </is>
      </c>
      <c r="C18" s="244" t="inlineStr">
        <is>
          <t>P050072</t>
        </is>
      </c>
      <c r="D18" s="245" t="n">
        <v>45817</v>
      </c>
      <c r="E18" s="245" t="n">
        <v>45818</v>
      </c>
      <c r="F18" s="245" t="n">
        <v>45852</v>
      </c>
      <c r="G18" s="245" t="n">
        <v>45855</v>
      </c>
      <c r="H18" s="245">
        <f>F18</f>
        <v/>
      </c>
      <c r="I18" s="243" t="inlineStr">
        <is>
          <t>GP0824_03</t>
        </is>
      </c>
      <c r="J18" s="246" t="inlineStr">
        <is>
          <t>packaging: year 2025 inferred (not printed)</t>
        </is>
      </c>
    </row>
    <row r="19">
      <c r="A19" s="243" t="n">
        <v>18</v>
      </c>
      <c r="B19" s="244" t="inlineStr">
        <is>
          <t>OPM1024_03</t>
        </is>
      </c>
      <c r="C19" s="244" t="inlineStr">
        <is>
          <t>P050082</t>
        </is>
      </c>
      <c r="D19" s="245" t="n">
        <v>45839</v>
      </c>
      <c r="E19" s="245" t="n">
        <v>45840</v>
      </c>
      <c r="F19" s="245" t="n">
        <v>45860</v>
      </c>
      <c r="G19" s="245" t="n">
        <v>45868</v>
      </c>
      <c r="H19" s="245">
        <f>F19</f>
        <v/>
      </c>
      <c r="I19" s="243" t="inlineStr">
        <is>
          <t>OPM1024_03</t>
        </is>
      </c>
      <c r="J19" s="246" t="inlineStr"/>
    </row>
    <row r="20">
      <c r="A20" s="243" t="n">
        <v>19</v>
      </c>
      <c r="B20" s="244" t="inlineStr">
        <is>
          <t>MB0824_05</t>
        </is>
      </c>
      <c r="C20" s="244" t="inlineStr">
        <is>
          <t>P050112</t>
        </is>
      </c>
      <c r="D20" s="245" t="n">
        <v>45846</v>
      </c>
      <c r="E20" s="245" t="n">
        <v>45847</v>
      </c>
      <c r="F20" s="245" t="n">
        <v>45894</v>
      </c>
      <c r="G20" s="245" t="n">
        <v>45900</v>
      </c>
      <c r="H20" s="245">
        <f>F20</f>
        <v/>
      </c>
      <c r="I20" s="243" t="inlineStr">
        <is>
          <t>MB0824_05</t>
        </is>
      </c>
      <c r="J20" s="246" t="inlineStr">
        <is>
          <t>packaging: year 2025 inferred (not printed)</t>
        </is>
      </c>
    </row>
    <row r="21">
      <c r="A21" s="243" t="n">
        <v>20</v>
      </c>
      <c r="B21" s="244" t="inlineStr">
        <is>
          <t>OPM052501</t>
        </is>
      </c>
      <c r="C21" s="244" t="inlineStr">
        <is>
          <t>P050132</t>
        </is>
      </c>
      <c r="D21" s="245" t="n">
        <v>45880</v>
      </c>
      <c r="E21" s="245" t="n">
        <v>45882</v>
      </c>
      <c r="F21" s="245" t="n">
        <v>45909</v>
      </c>
      <c r="G21" s="245" t="n">
        <v>45915</v>
      </c>
      <c r="H21" s="245">
        <f>F21</f>
        <v/>
      </c>
      <c r="I21" s="243" t="inlineStr">
        <is>
          <t>OPM052501</t>
        </is>
      </c>
      <c r="J21" s="246" t="inlineStr">
        <is>
          <t>packaging: year 2025 inferred (not printed)</t>
        </is>
      </c>
    </row>
    <row r="22">
      <c r="A22" s="243" t="n">
        <v>21</v>
      </c>
      <c r="B22" s="244" t="inlineStr">
        <is>
          <t>GP052501</t>
        </is>
      </c>
      <c r="C22" s="244" t="inlineStr">
        <is>
          <t>P050152</t>
        </is>
      </c>
      <c r="D22" s="247" t="inlineStr">
        <is>
          <t>— not given —</t>
        </is>
      </c>
      <c r="E22" s="247" t="inlineStr">
        <is>
          <t>— not given —</t>
        </is>
      </c>
      <c r="F22" s="245" t="n">
        <v>45925</v>
      </c>
      <c r="G22" s="245" t="n">
        <v>45925</v>
      </c>
      <c r="H22" s="245">
        <f>F22</f>
        <v/>
      </c>
      <c r="I22" s="243" t="inlineStr">
        <is>
          <t>GP052501</t>
        </is>
      </c>
      <c r="J22" s="246" t="inlineStr">
        <is>
          <t>harvest: no date given</t>
        </is>
      </c>
    </row>
    <row r="23">
      <c r="A23" s="243" t="n">
        <v>22</v>
      </c>
      <c r="B23" s="244" t="inlineStr">
        <is>
          <t>CJ052501/01</t>
        </is>
      </c>
      <c r="C23" s="244" t="inlineStr">
        <is>
          <t>P050162</t>
        </is>
      </c>
      <c r="D23" s="245" t="n">
        <v>45889</v>
      </c>
      <c r="E23" s="245" t="n">
        <v>45889</v>
      </c>
      <c r="F23" s="245" t="n">
        <v>45930</v>
      </c>
      <c r="G23" s="245" t="n">
        <v>45931</v>
      </c>
      <c r="H23" s="245">
        <f>F23</f>
        <v/>
      </c>
      <c r="I23" s="243" t="inlineStr">
        <is>
          <t>CJ052501/01</t>
        </is>
      </c>
      <c r="J23" s="246" t="inlineStr"/>
    </row>
    <row r="24">
      <c r="A24" s="243" t="n">
        <v>23</v>
      </c>
      <c r="B24" s="244" t="inlineStr">
        <is>
          <t>CJ052501/02</t>
        </is>
      </c>
      <c r="C24" s="244" t="inlineStr">
        <is>
          <t>P050172</t>
        </is>
      </c>
      <c r="D24" s="245" t="n">
        <v>45889</v>
      </c>
      <c r="E24" s="245" t="n">
        <v>45889</v>
      </c>
      <c r="F24" s="245" t="n">
        <v>45931</v>
      </c>
      <c r="G24" s="245" t="n">
        <v>45932</v>
      </c>
      <c r="H24" s="245">
        <f>F24</f>
        <v/>
      </c>
      <c r="I24" s="243" t="inlineStr">
        <is>
          <t>CJ052501/02</t>
        </is>
      </c>
      <c r="J24" s="246" t="inlineStr"/>
    </row>
    <row r="25">
      <c r="A25" s="243" t="n">
        <v>24</v>
      </c>
      <c r="B25" s="244" t="inlineStr">
        <is>
          <t>HPA052501</t>
        </is>
      </c>
      <c r="C25" s="244" t="inlineStr">
        <is>
          <t>P050182</t>
        </is>
      </c>
      <c r="D25" s="245" t="n">
        <v>45890</v>
      </c>
      <c r="E25" s="245" t="n">
        <v>45892</v>
      </c>
      <c r="F25" s="245" t="n">
        <v>45933</v>
      </c>
      <c r="G25" s="245" t="n">
        <v>45939</v>
      </c>
      <c r="H25" s="245">
        <f>F25</f>
        <v/>
      </c>
      <c r="I25" s="243" t="inlineStr">
        <is>
          <t>HPA052501</t>
        </is>
      </c>
      <c r="J25" s="246" t="inlineStr"/>
    </row>
    <row r="26">
      <c r="A26" s="243" t="n">
        <v>25</v>
      </c>
      <c r="B26" s="244" t="inlineStr">
        <is>
          <t>BSS052501</t>
        </is>
      </c>
      <c r="C26" s="244" t="inlineStr">
        <is>
          <t>P050192</t>
        </is>
      </c>
      <c r="D26" s="245" t="n">
        <v>45901</v>
      </c>
      <c r="E26" s="245" t="n">
        <v>45903</v>
      </c>
      <c r="F26" s="245" t="n">
        <v>45940</v>
      </c>
      <c r="G26" s="245" t="n">
        <v>45951</v>
      </c>
      <c r="H26" s="245">
        <f>F26</f>
        <v/>
      </c>
      <c r="I26" s="243" t="inlineStr">
        <is>
          <t>BSS052501</t>
        </is>
      </c>
      <c r="J26" s="246" t="inlineStr"/>
    </row>
    <row r="27">
      <c r="A27" s="243" t="n">
        <v>26</v>
      </c>
      <c r="B27" s="244" t="inlineStr">
        <is>
          <t>GP062501</t>
        </is>
      </c>
      <c r="C27" s="244" t="inlineStr">
        <is>
          <t>P050202</t>
        </is>
      </c>
      <c r="D27" s="245" t="n">
        <v>45915</v>
      </c>
      <c r="E27" s="245" t="n">
        <v>45917</v>
      </c>
      <c r="F27" s="245" t="n">
        <v>45960</v>
      </c>
      <c r="G27" s="245" t="n">
        <v>45968</v>
      </c>
      <c r="H27" s="245">
        <f>F27</f>
        <v/>
      </c>
      <c r="I27" s="243" t="inlineStr">
        <is>
          <t>GP062501</t>
        </is>
      </c>
      <c r="J27" s="246" t="inlineStr"/>
    </row>
    <row r="28">
      <c r="A28" s="243" t="n">
        <v>27</v>
      </c>
      <c r="B28" s="244" t="inlineStr">
        <is>
          <t>SC062501</t>
        </is>
      </c>
      <c r="C28" s="244" t="inlineStr">
        <is>
          <t>P050242</t>
        </is>
      </c>
      <c r="D28" s="245" t="n">
        <v>45917</v>
      </c>
      <c r="E28" s="245" t="n">
        <v>45917</v>
      </c>
      <c r="F28" s="245" t="n">
        <v>45988</v>
      </c>
      <c r="G28" s="245" t="n">
        <v>45988</v>
      </c>
      <c r="H28" s="245">
        <f>F28</f>
        <v/>
      </c>
      <c r="I28" s="248" t="inlineStr">
        <is>
          <t>— not on the tracker —</t>
        </is>
      </c>
      <c r="J28" s="246" t="inlineStr"/>
    </row>
    <row r="29">
      <c r="A29" s="243" t="n">
        <v>28</v>
      </c>
      <c r="B29" s="244" t="inlineStr">
        <is>
          <t>GOG062501</t>
        </is>
      </c>
      <c r="C29" s="244" t="inlineStr">
        <is>
          <t>P050232</t>
        </is>
      </c>
      <c r="D29" s="245" t="n">
        <v>45917</v>
      </c>
      <c r="E29" s="245" t="n">
        <v>45917</v>
      </c>
      <c r="F29" s="245" t="n">
        <v>45988</v>
      </c>
      <c r="G29" s="245" t="n">
        <v>45988</v>
      </c>
      <c r="H29" s="245">
        <f>F29</f>
        <v/>
      </c>
      <c r="I29" s="248" t="inlineStr">
        <is>
          <t>— not on the tracker —</t>
        </is>
      </c>
      <c r="J29" s="246" t="inlineStr"/>
    </row>
    <row r="30">
      <c r="A30" s="243" t="n">
        <v>29</v>
      </c>
      <c r="B30" s="244" t="inlineStr">
        <is>
          <t>CJ062501/1</t>
        </is>
      </c>
      <c r="C30" s="244" t="inlineStr">
        <is>
          <t>P050222</t>
        </is>
      </c>
      <c r="D30" s="245" t="n">
        <v>45923</v>
      </c>
      <c r="E30" s="245" t="n">
        <v>45923</v>
      </c>
      <c r="F30" s="245" t="n">
        <v>45985</v>
      </c>
      <c r="G30" s="245" t="n">
        <v>45986</v>
      </c>
      <c r="H30" s="245">
        <f>F30</f>
        <v/>
      </c>
      <c r="I30" s="243" t="inlineStr">
        <is>
          <t>CJ062501/1</t>
        </is>
      </c>
      <c r="J30" s="246" t="inlineStr"/>
    </row>
    <row r="31">
      <c r="A31" s="243" t="n">
        <v>30</v>
      </c>
      <c r="B31" s="244" t="inlineStr">
        <is>
          <t>CJ062501/2</t>
        </is>
      </c>
      <c r="C31" s="244" t="inlineStr">
        <is>
          <t>P050212</t>
        </is>
      </c>
      <c r="D31" s="245" t="n">
        <v>45923</v>
      </c>
      <c r="E31" s="245" t="n">
        <v>45924</v>
      </c>
      <c r="F31" s="245" t="n">
        <v>45979</v>
      </c>
      <c r="G31" s="245" t="n">
        <v>45985</v>
      </c>
      <c r="H31" s="245">
        <f>F31</f>
        <v/>
      </c>
      <c r="I31" s="243" t="inlineStr">
        <is>
          <t>CJ062501/2</t>
        </is>
      </c>
      <c r="J31" s="246" t="inlineStr"/>
    </row>
    <row r="32">
      <c r="A32" s="243" t="n">
        <v>31</v>
      </c>
      <c r="B32" s="244" t="inlineStr">
        <is>
          <t>CJ072501</t>
        </is>
      </c>
      <c r="C32" s="244" t="inlineStr">
        <is>
          <t>P050252</t>
        </is>
      </c>
      <c r="D32" s="245" t="n">
        <v>45957</v>
      </c>
      <c r="E32" s="245" t="n">
        <v>45957</v>
      </c>
      <c r="F32" s="245" t="n">
        <v>45988</v>
      </c>
      <c r="G32" s="245" t="n">
        <v>45989</v>
      </c>
      <c r="H32" s="245">
        <f>F32</f>
        <v/>
      </c>
      <c r="I32" s="243" t="inlineStr">
        <is>
          <t>CJ072501</t>
        </is>
      </c>
      <c r="J32" s="246" t="inlineStr"/>
    </row>
    <row r="33">
      <c r="A33" s="243" t="n">
        <v>32</v>
      </c>
      <c r="B33" s="244" t="inlineStr">
        <is>
          <t>PM072501</t>
        </is>
      </c>
      <c r="C33" s="244" t="inlineStr">
        <is>
          <t>P050272</t>
        </is>
      </c>
      <c r="D33" s="245" t="n">
        <v>45957</v>
      </c>
      <c r="E33" s="245" t="n">
        <v>45957</v>
      </c>
      <c r="F33" s="245" t="n">
        <v>45993</v>
      </c>
      <c r="G33" s="245" t="n">
        <v>45994</v>
      </c>
      <c r="H33" s="245">
        <f>F33</f>
        <v/>
      </c>
      <c r="I33" s="243" t="inlineStr">
        <is>
          <t>PM072501</t>
        </is>
      </c>
      <c r="J33" s="246" t="inlineStr"/>
    </row>
    <row r="34">
      <c r="A34" s="243" t="n">
        <v>33</v>
      </c>
      <c r="B34" s="244" t="inlineStr">
        <is>
          <t>WC072501</t>
        </is>
      </c>
      <c r="C34" s="244" t="inlineStr">
        <is>
          <t>P050262</t>
        </is>
      </c>
      <c r="D34" s="245" t="n">
        <v>45957</v>
      </c>
      <c r="E34" s="245" t="n">
        <v>45958</v>
      </c>
      <c r="F34" s="245" t="n">
        <v>45992</v>
      </c>
      <c r="G34" s="245" t="n">
        <v>45992</v>
      </c>
      <c r="H34" s="245">
        <f>F34</f>
        <v/>
      </c>
      <c r="I34" s="243" t="inlineStr">
        <is>
          <t>WC072501</t>
        </is>
      </c>
      <c r="J34" s="246" t="inlineStr"/>
    </row>
    <row r="35">
      <c r="A35" s="243" t="n">
        <v>34</v>
      </c>
      <c r="B35" s="244" t="inlineStr">
        <is>
          <t>CLE072501</t>
        </is>
      </c>
      <c r="C35" s="244" t="inlineStr">
        <is>
          <t>P050282</t>
        </is>
      </c>
      <c r="D35" s="245" t="n">
        <v>45958</v>
      </c>
      <c r="E35" s="245" t="n">
        <v>45958</v>
      </c>
      <c r="F35" s="245" t="n">
        <v>45994</v>
      </c>
      <c r="G35" s="245" t="n">
        <v>45995</v>
      </c>
      <c r="H35" s="245">
        <f>F35</f>
        <v/>
      </c>
      <c r="I35" s="243" t="inlineStr">
        <is>
          <t>CLE072501</t>
        </is>
      </c>
      <c r="J35" s="246" t="inlineStr"/>
    </row>
    <row r="36">
      <c r="A36" s="243" t="n">
        <v>35</v>
      </c>
      <c r="B36" s="244" t="inlineStr">
        <is>
          <t>GP072501/1</t>
        </is>
      </c>
      <c r="C36" s="244" t="inlineStr">
        <is>
          <t>P050292</t>
        </is>
      </c>
      <c r="D36" s="245" t="n">
        <v>45972</v>
      </c>
      <c r="E36" s="245" t="n">
        <v>45974</v>
      </c>
      <c r="F36" s="245" t="n">
        <v>46006</v>
      </c>
      <c r="G36" s="245" t="n">
        <v>46012</v>
      </c>
      <c r="H36" s="245">
        <f>F36</f>
        <v/>
      </c>
      <c r="I36" s="243" t="inlineStr">
        <is>
          <t>GP072501/1</t>
        </is>
      </c>
      <c r="J36" s="246" t="inlineStr">
        <is>
          <t>harvest: printed 11-13-11.2025, read as 11-13.11.2025</t>
        </is>
      </c>
    </row>
    <row r="37">
      <c r="A37" s="243" t="n">
        <v>36</v>
      </c>
      <c r="B37" s="244" t="inlineStr">
        <is>
          <t>GP072501/2</t>
        </is>
      </c>
      <c r="C37" s="244" t="inlineStr">
        <is>
          <t>P050302</t>
        </is>
      </c>
      <c r="D37" s="245" t="n">
        <v>45974</v>
      </c>
      <c r="E37" s="245" t="n">
        <v>45974</v>
      </c>
      <c r="F37" s="245" t="n">
        <v>46013</v>
      </c>
      <c r="G37" s="245" t="n">
        <v>46013</v>
      </c>
      <c r="H37" s="245">
        <f>F37</f>
        <v/>
      </c>
      <c r="I37" s="243" t="inlineStr">
        <is>
          <t>GP072501/2</t>
        </is>
      </c>
      <c r="J37" s="246" t="inlineStr"/>
    </row>
    <row r="38">
      <c r="A38" s="243" t="n">
        <v>37</v>
      </c>
      <c r="B38" s="244" t="inlineStr">
        <is>
          <t>GP082501/1</t>
        </is>
      </c>
      <c r="C38" s="244" t="inlineStr">
        <is>
          <t>P050312</t>
        </is>
      </c>
      <c r="D38" s="245" t="n">
        <v>45980</v>
      </c>
      <c r="E38" s="245" t="n">
        <v>45981</v>
      </c>
      <c r="F38" s="245" t="n">
        <v>46014</v>
      </c>
      <c r="G38" s="245" t="n">
        <v>46017</v>
      </c>
      <c r="H38" s="245">
        <f>F38</f>
        <v/>
      </c>
      <c r="I38" s="243" t="inlineStr">
        <is>
          <t>GP082501/1</t>
        </is>
      </c>
      <c r="J38" s="246" t="inlineStr"/>
    </row>
    <row r="39">
      <c r="A39" s="243" t="n">
        <v>38</v>
      </c>
      <c r="B39" s="244" t="inlineStr">
        <is>
          <t>GP082501/2</t>
        </is>
      </c>
      <c r="C39" s="244" t="inlineStr">
        <is>
          <t>P050322</t>
        </is>
      </c>
      <c r="D39" s="245" t="n">
        <v>45981</v>
      </c>
      <c r="E39" s="245" t="n">
        <v>45981</v>
      </c>
      <c r="F39" s="245" t="n">
        <v>46017</v>
      </c>
      <c r="G39" s="245" t="n">
        <v>46017</v>
      </c>
      <c r="H39" s="245">
        <f>F39</f>
        <v/>
      </c>
      <c r="I39" s="243" t="inlineStr">
        <is>
          <t>GP082501/2</t>
        </is>
      </c>
      <c r="J39" s="246" t="inlineStr"/>
    </row>
    <row r="40">
      <c r="A40" s="243" t="n">
        <v>39</v>
      </c>
      <c r="B40" s="244" t="inlineStr">
        <is>
          <t>WC082501</t>
        </is>
      </c>
      <c r="C40" s="244" t="inlineStr">
        <is>
          <t>P060012</t>
        </is>
      </c>
      <c r="D40" s="245" t="n">
        <v>46000</v>
      </c>
      <c r="E40" s="245" t="n">
        <v>46000</v>
      </c>
      <c r="F40" s="245" t="n">
        <v>46035</v>
      </c>
      <c r="G40" s="245" t="n">
        <v>46036</v>
      </c>
      <c r="H40" s="245">
        <f>F40</f>
        <v/>
      </c>
      <c r="I40" s="243" t="inlineStr">
        <is>
          <t>WC082501</t>
        </is>
      </c>
      <c r="J40" s="246" t="inlineStr"/>
    </row>
    <row r="41">
      <c r="A41" s="243" t="n">
        <v>40</v>
      </c>
      <c r="B41" s="244" t="inlineStr">
        <is>
          <t>CJ082501/1</t>
        </is>
      </c>
      <c r="C41" s="244" t="inlineStr">
        <is>
          <t>P060022</t>
        </is>
      </c>
      <c r="D41" s="245" t="n">
        <v>46000</v>
      </c>
      <c r="E41" s="245" t="n">
        <v>46001</v>
      </c>
      <c r="F41" s="245" t="n">
        <v>46038</v>
      </c>
      <c r="G41" s="245" t="n">
        <v>46038</v>
      </c>
      <c r="H41" s="245">
        <f>F41</f>
        <v/>
      </c>
      <c r="I41" s="243" t="inlineStr">
        <is>
          <t>CJ082501/1</t>
        </is>
      </c>
      <c r="J41" s="246" t="inlineStr"/>
    </row>
    <row r="42">
      <c r="A42" s="243" t="n">
        <v>41</v>
      </c>
      <c r="B42" s="244" t="inlineStr">
        <is>
          <t>CJ082501/2</t>
        </is>
      </c>
      <c r="C42" s="244" t="inlineStr">
        <is>
          <t>P060032</t>
        </is>
      </c>
      <c r="D42" s="245" t="n">
        <v>46001</v>
      </c>
      <c r="E42" s="245" t="n">
        <v>46001</v>
      </c>
      <c r="F42" s="245" t="n">
        <v>46051</v>
      </c>
      <c r="G42" s="245" t="n">
        <v>46051</v>
      </c>
      <c r="H42" s="245">
        <f>F42</f>
        <v/>
      </c>
      <c r="I42" s="243" t="inlineStr">
        <is>
          <t>CJ082501/2</t>
        </is>
      </c>
      <c r="J42" s="246" t="inlineStr"/>
    </row>
    <row r="43">
      <c r="A43" s="243" t="n">
        <v>42</v>
      </c>
      <c r="B43" s="244" t="inlineStr">
        <is>
          <t>PM092501</t>
        </is>
      </c>
      <c r="C43" s="244" t="inlineStr">
        <is>
          <t>P060062</t>
        </is>
      </c>
      <c r="D43" s="245" t="n">
        <v>46002</v>
      </c>
      <c r="E43" s="245" t="n">
        <v>46002</v>
      </c>
      <c r="F43" s="245" t="n">
        <v>46052</v>
      </c>
      <c r="G43" s="245" t="n">
        <v>46052</v>
      </c>
      <c r="H43" s="245">
        <f>F43</f>
        <v/>
      </c>
      <c r="I43" s="243" t="inlineStr">
        <is>
          <t>PM092501</t>
        </is>
      </c>
      <c r="J43" s="246" t="inlineStr"/>
    </row>
    <row r="44">
      <c r="A44" s="243" t="n">
        <v>43</v>
      </c>
      <c r="B44" s="244" t="inlineStr">
        <is>
          <t>AB092501</t>
        </is>
      </c>
      <c r="C44" s="244" t="inlineStr">
        <is>
          <t>P060052</t>
        </is>
      </c>
      <c r="D44" s="245" t="n">
        <v>46002</v>
      </c>
      <c r="E44" s="245" t="n">
        <v>46002</v>
      </c>
      <c r="F44" s="245" t="n">
        <v>46052</v>
      </c>
      <c r="G44" s="245" t="n">
        <v>46052</v>
      </c>
      <c r="H44" s="245">
        <f>F44</f>
        <v/>
      </c>
      <c r="I44" s="243" t="inlineStr">
        <is>
          <t>AB092501</t>
        </is>
      </c>
      <c r="J44" s="246" t="inlineStr"/>
    </row>
    <row r="45">
      <c r="A45" s="243" t="n">
        <v>44</v>
      </c>
      <c r="B45" s="244" t="inlineStr">
        <is>
          <t>SJ0925021</t>
        </is>
      </c>
      <c r="C45" s="244" t="inlineStr">
        <is>
          <t>P060082</t>
        </is>
      </c>
      <c r="D45" s="245" t="n">
        <v>46002</v>
      </c>
      <c r="E45" s="245" t="n">
        <v>46003</v>
      </c>
      <c r="F45" s="245" t="n">
        <v>46055</v>
      </c>
      <c r="G45" s="245" t="n">
        <v>46055</v>
      </c>
      <c r="H45" s="245">
        <f>F45</f>
        <v/>
      </c>
      <c r="I45" s="243" t="inlineStr">
        <is>
          <t>SJ0925021</t>
        </is>
      </c>
      <c r="J45" s="246" t="inlineStr"/>
    </row>
    <row r="46">
      <c r="A46" s="243" t="n">
        <v>45</v>
      </c>
      <c r="B46" s="244" t="inlineStr">
        <is>
          <t>CJ092501</t>
        </is>
      </c>
      <c r="C46" s="244" t="inlineStr">
        <is>
          <t>P060072</t>
        </is>
      </c>
      <c r="D46" s="245" t="n">
        <v>46003</v>
      </c>
      <c r="E46" s="245" t="n">
        <v>46003</v>
      </c>
      <c r="F46" s="245" t="n">
        <v>46055</v>
      </c>
      <c r="G46" s="245" t="n">
        <v>46055</v>
      </c>
      <c r="H46" s="245">
        <f>F46</f>
        <v/>
      </c>
      <c r="I46" s="243" t="inlineStr">
        <is>
          <t>CJ092501</t>
        </is>
      </c>
      <c r="J46" s="246" t="inlineStr"/>
    </row>
    <row r="47">
      <c r="A47" s="243" t="n">
        <v>46</v>
      </c>
      <c r="B47" s="244" t="inlineStr">
        <is>
          <t>OPM092501</t>
        </is>
      </c>
      <c r="C47" s="244" t="inlineStr">
        <is>
          <t>P060042</t>
        </is>
      </c>
      <c r="D47" s="245" t="n">
        <v>46003</v>
      </c>
      <c r="E47" s="245" t="n">
        <v>46003</v>
      </c>
      <c r="F47" s="245" t="n">
        <v>46051</v>
      </c>
      <c r="G47" s="245" t="n">
        <v>46051</v>
      </c>
      <c r="H47" s="245">
        <f>F47</f>
        <v/>
      </c>
      <c r="I47" s="243" t="inlineStr">
        <is>
          <t>OPM092501</t>
        </is>
      </c>
      <c r="J47" s="246" t="inlineStr"/>
    </row>
    <row r="48">
      <c r="A48" s="243" t="n">
        <v>47</v>
      </c>
      <c r="B48" s="244" t="inlineStr">
        <is>
          <t>GP092501</t>
        </is>
      </c>
      <c r="C48" s="244" t="inlineStr">
        <is>
          <t>P060092</t>
        </is>
      </c>
      <c r="D48" s="245" t="n">
        <v>46007</v>
      </c>
      <c r="E48" s="245" t="n">
        <v>46008</v>
      </c>
      <c r="F48" s="245" t="n">
        <v>46056</v>
      </c>
      <c r="G48" s="245" t="n">
        <v>46062</v>
      </c>
      <c r="H48" s="245">
        <f>F48</f>
        <v/>
      </c>
      <c r="I48" s="243" t="inlineStr">
        <is>
          <t>GP092501</t>
        </is>
      </c>
      <c r="J48" s="246" t="inlineStr"/>
    </row>
    <row r="49">
      <c r="A49" s="243" t="n">
        <v>48</v>
      </c>
      <c r="B49" s="244" t="inlineStr">
        <is>
          <t>ACC102501</t>
        </is>
      </c>
      <c r="C49" s="244" t="inlineStr">
        <is>
          <t>P060122</t>
        </is>
      </c>
      <c r="D49" s="245" t="n">
        <v>46031</v>
      </c>
      <c r="E49" s="245" t="n">
        <v>46031</v>
      </c>
      <c r="F49" s="245" t="n">
        <v>46071</v>
      </c>
      <c r="G49" s="245" t="n">
        <v>46072</v>
      </c>
      <c r="H49" s="245">
        <f>F49</f>
        <v/>
      </c>
      <c r="I49" s="243" t="inlineStr">
        <is>
          <t>ACC102501</t>
        </is>
      </c>
      <c r="J49" s="246" t="inlineStr"/>
    </row>
    <row r="50">
      <c r="A50" s="243" t="n">
        <v>49</v>
      </c>
      <c r="B50" s="244" t="inlineStr">
        <is>
          <t>PUM102501</t>
        </is>
      </c>
      <c r="C50" s="244" t="inlineStr">
        <is>
          <t>P060112</t>
        </is>
      </c>
      <c r="D50" s="245" t="n">
        <v>46030</v>
      </c>
      <c r="E50" s="245" t="n">
        <v>46031</v>
      </c>
      <c r="F50" s="245" t="n">
        <v>46070</v>
      </c>
      <c r="G50" s="245" t="n">
        <v>46070</v>
      </c>
      <c r="H50" s="245">
        <f>F50</f>
        <v/>
      </c>
      <c r="I50" s="243" t="inlineStr">
        <is>
          <t>PUM102501</t>
        </is>
      </c>
      <c r="J50" s="246" t="inlineStr"/>
    </row>
    <row r="51">
      <c r="A51" s="243" t="n">
        <v>50</v>
      </c>
      <c r="B51" s="244" t="inlineStr">
        <is>
          <t>GRC102501/1</t>
        </is>
      </c>
      <c r="C51" s="244" t="inlineStr">
        <is>
          <t>P060142</t>
        </is>
      </c>
      <c r="D51" s="245" t="n">
        <v>46031</v>
      </c>
      <c r="E51" s="245" t="n">
        <v>46031</v>
      </c>
      <c r="F51" s="245" t="n">
        <v>46076</v>
      </c>
      <c r="G51" s="245" t="n">
        <v>46076</v>
      </c>
      <c r="H51" s="245">
        <f>F51</f>
        <v/>
      </c>
      <c r="I51" s="243" t="inlineStr">
        <is>
          <t>GRC102501</t>
        </is>
      </c>
      <c r="J51" s="246" t="inlineStr"/>
    </row>
    <row r="52">
      <c r="A52" s="243" t="n">
        <v>51</v>
      </c>
      <c r="B52" s="244" t="inlineStr">
        <is>
          <t>WED102501</t>
        </is>
      </c>
      <c r="C52" s="244" t="inlineStr">
        <is>
          <t>P060102</t>
        </is>
      </c>
      <c r="D52" s="245" t="n">
        <v>46030</v>
      </c>
      <c r="E52" s="245" t="n">
        <v>46030</v>
      </c>
      <c r="F52" s="245" t="n">
        <v>46069</v>
      </c>
      <c r="G52" s="245" t="n">
        <v>46069</v>
      </c>
      <c r="H52" s="245">
        <f>F52</f>
        <v/>
      </c>
      <c r="I52" s="243" t="inlineStr">
        <is>
          <t>WED102501</t>
        </is>
      </c>
      <c r="J52" s="246" t="inlineStr"/>
    </row>
    <row r="53">
      <c r="A53" s="243" t="n">
        <v>52</v>
      </c>
      <c r="B53" s="244" t="inlineStr">
        <is>
          <t>CF102501</t>
        </is>
      </c>
      <c r="C53" s="244" t="inlineStr">
        <is>
          <t>P060132</t>
        </is>
      </c>
      <c r="D53" s="245" t="n">
        <v>46031</v>
      </c>
      <c r="E53" s="245" t="n">
        <v>46031</v>
      </c>
      <c r="F53" s="245" t="n">
        <v>46072</v>
      </c>
      <c r="G53" s="245" t="n">
        <v>46073</v>
      </c>
      <c r="H53" s="245">
        <f>F53</f>
        <v/>
      </c>
      <c r="I53" s="243" t="inlineStr">
        <is>
          <t>CF102501</t>
        </is>
      </c>
      <c r="J53" s="246" t="inlineStr"/>
    </row>
    <row r="54">
      <c r="A54" s="243" t="n">
        <v>53</v>
      </c>
      <c r="B54" s="244" t="inlineStr">
        <is>
          <t>GRC102501/2</t>
        </is>
      </c>
      <c r="C54" s="244" t="inlineStr">
        <is>
          <t>P060182</t>
        </is>
      </c>
      <c r="D54" s="245" t="n">
        <v>46042</v>
      </c>
      <c r="E54" s="245" t="n">
        <v>46042</v>
      </c>
      <c r="F54" s="245" t="n">
        <v>46095</v>
      </c>
      <c r="G54" s="245" t="n">
        <v>46095</v>
      </c>
      <c r="H54" s="245">
        <f>F54</f>
        <v/>
      </c>
      <c r="I54" s="243" t="inlineStr">
        <is>
          <t>GRC102501</t>
        </is>
      </c>
      <c r="J54" s="246" t="inlineStr"/>
    </row>
    <row r="55">
      <c r="A55" s="243" t="n">
        <v>54</v>
      </c>
      <c r="B55" s="244" t="inlineStr">
        <is>
          <t>SJ102501</t>
        </is>
      </c>
      <c r="C55" s="244" t="inlineStr">
        <is>
          <t>P060162</t>
        </is>
      </c>
      <c r="D55" s="245" t="n">
        <v>46042</v>
      </c>
      <c r="E55" s="245" t="n">
        <v>46042</v>
      </c>
      <c r="F55" s="245" t="n">
        <v>46090</v>
      </c>
      <c r="G55" s="245" t="n">
        <v>46090</v>
      </c>
      <c r="H55" s="245">
        <f>F55</f>
        <v/>
      </c>
      <c r="I55" s="243" t="inlineStr">
        <is>
          <t>SJ102501</t>
        </is>
      </c>
      <c r="J55" s="246" t="inlineStr"/>
    </row>
    <row r="56">
      <c r="A56" s="243" t="n">
        <v>55</v>
      </c>
      <c r="B56" s="244" t="inlineStr">
        <is>
          <t>KC102501</t>
        </is>
      </c>
      <c r="C56" s="244" t="inlineStr">
        <is>
          <t>P060172</t>
        </is>
      </c>
      <c r="D56" s="245" t="n">
        <v>46042</v>
      </c>
      <c r="E56" s="245" t="n">
        <v>46043</v>
      </c>
      <c r="F56" s="245" t="n">
        <v>46093</v>
      </c>
      <c r="G56" s="245" t="n">
        <v>46093</v>
      </c>
      <c r="H56" s="245">
        <f>F56</f>
        <v/>
      </c>
      <c r="I56" s="243" t="inlineStr">
        <is>
          <t>KC102501</t>
        </is>
      </c>
      <c r="J56" s="246" t="inlineStr"/>
    </row>
    <row r="57">
      <c r="A57" s="243" t="n">
        <v>56</v>
      </c>
      <c r="B57" s="244" t="inlineStr">
        <is>
          <t>J31102501</t>
        </is>
      </c>
      <c r="C57" s="244" t="inlineStr">
        <is>
          <t>P060152</t>
        </is>
      </c>
      <c r="D57" s="245" t="n">
        <v>46043</v>
      </c>
      <c r="E57" s="245" t="n">
        <v>46043</v>
      </c>
      <c r="F57" s="245" t="n">
        <v>46086</v>
      </c>
      <c r="G57" s="245" t="n">
        <v>46086</v>
      </c>
      <c r="H57" s="245">
        <f>F57</f>
        <v/>
      </c>
      <c r="I57" s="243" t="inlineStr">
        <is>
          <t>J31102501</t>
        </is>
      </c>
      <c r="J57" s="246" t="inlineStr"/>
    </row>
    <row r="58">
      <c r="A58" s="243" t="n">
        <v>57</v>
      </c>
      <c r="B58" s="244" t="inlineStr">
        <is>
          <t>J31112501</t>
        </is>
      </c>
      <c r="C58" s="244" t="inlineStr">
        <is>
          <t>P060202</t>
        </is>
      </c>
      <c r="D58" s="245" t="n">
        <v>46048</v>
      </c>
      <c r="E58" s="245" t="n">
        <v>46048</v>
      </c>
      <c r="F58" s="245" t="n">
        <v>46129</v>
      </c>
      <c r="G58" s="245" t="n">
        <v>46129</v>
      </c>
      <c r="H58" s="245">
        <f>F58</f>
        <v/>
      </c>
      <c r="I58" s="243" t="inlineStr">
        <is>
          <t>J31112501</t>
        </is>
      </c>
      <c r="J58" s="246" t="inlineStr"/>
    </row>
    <row r="59">
      <c r="A59" s="243" t="n">
        <v>58</v>
      </c>
      <c r="B59" s="244" t="inlineStr">
        <is>
          <t>SJ112501</t>
        </is>
      </c>
      <c r="C59" s="244" t="inlineStr">
        <is>
          <t>P060192</t>
        </is>
      </c>
      <c r="D59" s="245" t="n">
        <v>46048</v>
      </c>
      <c r="E59" s="245" t="n">
        <v>46049</v>
      </c>
      <c r="F59" s="245" t="n">
        <v>46112</v>
      </c>
      <c r="G59" s="245" t="n">
        <v>46112</v>
      </c>
      <c r="H59" s="245">
        <f>F59</f>
        <v/>
      </c>
      <c r="I59" s="243" t="inlineStr">
        <is>
          <t>SJ112501</t>
        </is>
      </c>
      <c r="J59" s="246" t="inlineStr"/>
    </row>
    <row r="60">
      <c r="A60" s="243" t="n">
        <v>59</v>
      </c>
      <c r="B60" s="244" t="inlineStr">
        <is>
          <t>OPM112501</t>
        </is>
      </c>
      <c r="C60" s="244" t="inlineStr">
        <is>
          <t>P060222</t>
        </is>
      </c>
      <c r="D60" s="245" t="n">
        <v>46058</v>
      </c>
      <c r="E60" s="245" t="n">
        <v>46058</v>
      </c>
      <c r="F60" s="245" t="n">
        <v>46136</v>
      </c>
      <c r="G60" s="245" t="n">
        <v>46136</v>
      </c>
      <c r="H60" s="245">
        <f>F60</f>
        <v/>
      </c>
      <c r="I60" s="243" t="inlineStr">
        <is>
          <t>OPM112501</t>
        </is>
      </c>
      <c r="J60" s="246" t="inlineStr"/>
    </row>
    <row r="61">
      <c r="A61" s="243" t="n">
        <v>60</v>
      </c>
      <c r="B61" s="244" t="inlineStr">
        <is>
          <t>PM112501</t>
        </is>
      </c>
      <c r="C61" s="244" t="inlineStr">
        <is>
          <t>P060232</t>
        </is>
      </c>
      <c r="D61" s="245" t="n">
        <v>46058</v>
      </c>
      <c r="E61" s="245" t="n">
        <v>46058</v>
      </c>
      <c r="F61" s="245" t="n">
        <v>46139</v>
      </c>
      <c r="G61" s="245" t="n">
        <v>46139</v>
      </c>
      <c r="H61" s="245">
        <f>F61</f>
        <v/>
      </c>
      <c r="I61" s="243" t="inlineStr">
        <is>
          <t>PM112501</t>
        </is>
      </c>
      <c r="J61" s="246" t="inlineStr"/>
    </row>
    <row r="62">
      <c r="A62" s="243" t="n">
        <v>61</v>
      </c>
      <c r="B62" s="244" t="inlineStr">
        <is>
          <t>JD112501</t>
        </is>
      </c>
      <c r="C62" s="244" t="inlineStr">
        <is>
          <t>P060212</t>
        </is>
      </c>
      <c r="D62" s="245" t="n">
        <v>46106</v>
      </c>
      <c r="E62" s="245" t="n">
        <v>46106</v>
      </c>
      <c r="F62" s="245" t="n">
        <v>46133</v>
      </c>
      <c r="G62" s="245" t="n">
        <v>46133</v>
      </c>
      <c r="H62" s="245">
        <f>F62</f>
        <v/>
      </c>
      <c r="I62" s="243" t="inlineStr">
        <is>
          <t>JD112501</t>
        </is>
      </c>
      <c r="J62" s="246" t="inlineStr"/>
    </row>
    <row r="63">
      <c r="A63" s="243" t="n">
        <v>62</v>
      </c>
      <c r="B63" s="244" t="inlineStr">
        <is>
          <t>OPM122501</t>
        </is>
      </c>
      <c r="C63" s="244" t="inlineStr">
        <is>
          <t>P060242</t>
        </is>
      </c>
      <c r="D63" s="245" t="n">
        <v>46092</v>
      </c>
      <c r="E63" s="245" t="n">
        <v>46092</v>
      </c>
      <c r="F63" s="245" t="n">
        <v>46140</v>
      </c>
      <c r="G63" s="245" t="n">
        <v>46140</v>
      </c>
      <c r="H63" s="245">
        <f>F63</f>
        <v/>
      </c>
      <c r="I63" s="243" t="inlineStr">
        <is>
          <t>OPM122501</t>
        </is>
      </c>
      <c r="J63" s="246" t="inlineStr"/>
    </row>
    <row r="64">
      <c r="A64" s="243" t="n">
        <v>63</v>
      </c>
      <c r="B64" s="244" t="inlineStr">
        <is>
          <t>GG112501</t>
        </is>
      </c>
      <c r="C64" s="244" t="inlineStr">
        <is>
          <t>P060252</t>
        </is>
      </c>
      <c r="D64" s="245" t="n">
        <v>46106</v>
      </c>
      <c r="E64" s="245" t="n">
        <v>46106</v>
      </c>
      <c r="F64" s="245" t="n">
        <v>46147</v>
      </c>
      <c r="G64" s="245" t="n">
        <v>46147</v>
      </c>
      <c r="H64" s="245">
        <f>F64</f>
        <v/>
      </c>
      <c r="I64" s="243" t="inlineStr">
        <is>
          <t>GG112501</t>
        </is>
      </c>
      <c r="J64" s="246" t="inlineStr"/>
    </row>
    <row r="65">
      <c r="A65" s="243" t="n">
        <v>64</v>
      </c>
      <c r="B65" s="244" t="inlineStr">
        <is>
          <t>J31122501</t>
        </is>
      </c>
      <c r="C65" s="244" t="inlineStr">
        <is>
          <t>P060262</t>
        </is>
      </c>
      <c r="D65" s="245" t="n">
        <v>46085</v>
      </c>
      <c r="E65" s="245" t="n">
        <v>46085</v>
      </c>
      <c r="F65" s="245" t="n">
        <v>46156</v>
      </c>
      <c r="G65" s="245" t="n">
        <v>46156</v>
      </c>
      <c r="H65" s="245">
        <f>F65</f>
        <v/>
      </c>
      <c r="I65" s="243" t="inlineStr">
        <is>
          <t>J31122501</t>
        </is>
      </c>
      <c r="J65" s="246" t="inlineStr"/>
    </row>
    <row r="66">
      <c r="A66" s="243" t="n">
        <v>65</v>
      </c>
      <c r="B66" s="244" t="inlineStr">
        <is>
          <t>CC112501</t>
        </is>
      </c>
      <c r="C66" s="244" t="inlineStr">
        <is>
          <t>P060272</t>
        </is>
      </c>
      <c r="D66" s="245" t="n">
        <v>46106</v>
      </c>
      <c r="E66" s="245" t="n">
        <v>46106</v>
      </c>
      <c r="F66" s="245" t="n">
        <v>46160</v>
      </c>
      <c r="G66" s="245" t="n">
        <v>46160</v>
      </c>
      <c r="H66" s="245">
        <f>F66</f>
        <v/>
      </c>
      <c r="I66" s="243" t="inlineStr">
        <is>
          <t>CC112501</t>
        </is>
      </c>
      <c r="J66" s="246" t="inlineStr"/>
    </row>
    <row r="67">
      <c r="A67" s="243" t="n">
        <v>66</v>
      </c>
      <c r="B67" s="244" t="inlineStr">
        <is>
          <t>SCR112501</t>
        </is>
      </c>
      <c r="C67" s="244" t="inlineStr">
        <is>
          <t>P060282</t>
        </is>
      </c>
      <c r="D67" s="245" t="n">
        <v>46106</v>
      </c>
      <c r="E67" s="245" t="n">
        <v>46106</v>
      </c>
      <c r="F67" s="245" t="n">
        <v>46160</v>
      </c>
      <c r="G67" s="245" t="n">
        <v>46160</v>
      </c>
      <c r="H67" s="245">
        <f>F67</f>
        <v/>
      </c>
      <c r="I67" s="243" t="inlineStr">
        <is>
          <t>SCR112501</t>
        </is>
      </c>
      <c r="J67" s="246" t="inlineStr"/>
    </row>
    <row r="68">
      <c r="A68" s="243" t="n">
        <v>67</v>
      </c>
      <c r="B68" s="244" t="inlineStr">
        <is>
          <t>FB112501</t>
        </is>
      </c>
      <c r="C68" s="244" t="inlineStr">
        <is>
          <t>P060292</t>
        </is>
      </c>
      <c r="D68" s="245" t="n">
        <v>46106</v>
      </c>
      <c r="E68" s="245" t="n">
        <v>46106</v>
      </c>
      <c r="F68" s="245" t="n">
        <v>46161</v>
      </c>
      <c r="G68" s="245" t="n">
        <v>46161</v>
      </c>
      <c r="H68" s="245">
        <f>F68</f>
        <v/>
      </c>
      <c r="I68" s="243" t="inlineStr">
        <is>
          <t>FB112501</t>
        </is>
      </c>
      <c r="J68" s="246" t="inlineStr"/>
    </row>
    <row r="69">
      <c r="A69" s="243" t="n">
        <v>68</v>
      </c>
      <c r="B69" s="244" t="inlineStr">
        <is>
          <t>GG012601*</t>
        </is>
      </c>
      <c r="C69" s="244" t="inlineStr">
        <is>
          <t>P060302</t>
        </is>
      </c>
      <c r="D69" s="245" t="n">
        <v>46108</v>
      </c>
      <c r="E69" s="245" t="n">
        <v>46108</v>
      </c>
      <c r="F69" s="245" t="n">
        <v>46162</v>
      </c>
      <c r="G69" s="245" t="n">
        <v>46162</v>
      </c>
      <c r="H69" s="245">
        <f>F69</f>
        <v/>
      </c>
      <c r="I69" s="243" t="inlineStr">
        <is>
          <t>GG012601＊</t>
        </is>
      </c>
      <c r="J69" s="246" t="inlineStr"/>
    </row>
    <row r="70">
      <c r="A70" s="243" t="n">
        <v>69</v>
      </c>
      <c r="B70" s="244" t="inlineStr">
        <is>
          <t>JD012601*</t>
        </is>
      </c>
      <c r="C70" s="244" t="inlineStr">
        <is>
          <t>P060312</t>
        </is>
      </c>
      <c r="D70" s="245" t="n">
        <v>46108</v>
      </c>
      <c r="E70" s="245" t="n">
        <v>46108</v>
      </c>
      <c r="F70" s="245" t="n">
        <v>46163</v>
      </c>
      <c r="G70" s="245" t="n">
        <v>46163</v>
      </c>
      <c r="H70" s="245">
        <f>F70</f>
        <v/>
      </c>
      <c r="I70" s="243" t="inlineStr">
        <is>
          <t>JD012601＊</t>
        </is>
      </c>
      <c r="J70" s="246" t="inlineStr"/>
    </row>
    <row r="71">
      <c r="A71" s="243" t="n">
        <v>70</v>
      </c>
      <c r="B71" s="244" t="inlineStr">
        <is>
          <t>FB012601/1</t>
        </is>
      </c>
      <c r="C71" s="244" t="inlineStr">
        <is>
          <t>P060322</t>
        </is>
      </c>
      <c r="D71" s="245" t="n">
        <v>46108</v>
      </c>
      <c r="E71" s="245" t="n">
        <v>46108</v>
      </c>
      <c r="F71" s="245" t="n">
        <v>46164</v>
      </c>
      <c r="G71" s="245" t="n">
        <v>46164</v>
      </c>
      <c r="H71" s="245">
        <f>F71</f>
        <v/>
      </c>
      <c r="I71" s="243" t="inlineStr">
        <is>
          <t>FB012601_1</t>
        </is>
      </c>
      <c r="J71" s="246" t="inlineStr"/>
    </row>
    <row r="72">
      <c r="A72" s="243" t="n">
        <v>71</v>
      </c>
      <c r="B72" s="244" t="inlineStr">
        <is>
          <t>CC012601/1</t>
        </is>
      </c>
      <c r="C72" s="244" t="inlineStr">
        <is>
          <t>P060332</t>
        </is>
      </c>
      <c r="D72" s="245" t="n">
        <v>46128</v>
      </c>
      <c r="E72" s="245" t="n">
        <v>46128</v>
      </c>
      <c r="F72" s="245" t="n">
        <v>46164</v>
      </c>
      <c r="G72" s="245" t="n">
        <v>46164</v>
      </c>
      <c r="H72" s="245">
        <f>F72</f>
        <v/>
      </c>
      <c r="I72" s="243" t="inlineStr">
        <is>
          <t>CC012601/1</t>
        </is>
      </c>
      <c r="J72" s="246" t="inlineStr"/>
    </row>
    <row r="73">
      <c r="A73" s="243" t="n">
        <v>72</v>
      </c>
      <c r="B73" s="244" t="inlineStr">
        <is>
          <t>SCR012601*</t>
        </is>
      </c>
      <c r="C73" s="244" t="inlineStr">
        <is>
          <t>P060342</t>
        </is>
      </c>
      <c r="D73" s="245" t="n">
        <v>46128</v>
      </c>
      <c r="E73" s="245" t="n">
        <v>46128</v>
      </c>
      <c r="F73" s="245" t="n">
        <v>46167</v>
      </c>
      <c r="G73" s="245" t="n">
        <v>46167</v>
      </c>
      <c r="H73" s="245">
        <f>F73</f>
        <v/>
      </c>
      <c r="I73" s="243" t="inlineStr">
        <is>
          <t>SCR012601*</t>
        </is>
      </c>
      <c r="J73" s="246" t="inlineStr"/>
    </row>
    <row r="74">
      <c r="A74" s="243" t="n">
        <v>73</v>
      </c>
      <c r="B74" s="244" t="inlineStr">
        <is>
          <t>FB012602*</t>
        </is>
      </c>
      <c r="C74" s="244" t="inlineStr">
        <is>
          <t>P060352</t>
        </is>
      </c>
      <c r="D74" s="245" t="n">
        <v>46128</v>
      </c>
      <c r="E74" s="245" t="n">
        <v>46128</v>
      </c>
      <c r="F74" s="245" t="n">
        <v>46165</v>
      </c>
      <c r="G74" s="245" t="n">
        <v>46165</v>
      </c>
      <c r="H74" s="245">
        <f>F74</f>
        <v/>
      </c>
      <c r="I74" s="243" t="inlineStr">
        <is>
          <t>FB012602*</t>
        </is>
      </c>
      <c r="J74" s="246" t="inlineStr"/>
    </row>
    <row r="75">
      <c r="A75" s="243" t="n">
        <v>74</v>
      </c>
      <c r="B75" s="244" t="inlineStr">
        <is>
          <t>JD012603/01</t>
        </is>
      </c>
      <c r="C75" s="244" t="inlineStr">
        <is>
          <t>P060362</t>
        </is>
      </c>
      <c r="D75" s="245" t="n">
        <v>46134</v>
      </c>
      <c r="E75" s="245" t="n">
        <v>46134</v>
      </c>
      <c r="F75" s="245" t="n">
        <v>46165</v>
      </c>
      <c r="G75" s="245" t="n">
        <v>46165</v>
      </c>
      <c r="H75" s="245">
        <f>F75</f>
        <v/>
      </c>
      <c r="I75" s="243" t="inlineStr">
        <is>
          <t>JD012603</t>
        </is>
      </c>
      <c r="J75" s="246" t="inlineStr"/>
    </row>
    <row r="76">
      <c r="A76" s="243" t="n">
        <v>75</v>
      </c>
      <c r="B76" s="244" t="inlineStr">
        <is>
          <t>CC012603</t>
        </is>
      </c>
      <c r="C76" s="244" t="inlineStr">
        <is>
          <t>P060372</t>
        </is>
      </c>
      <c r="D76" s="245" t="n">
        <v>46134</v>
      </c>
      <c r="E76" s="245" t="n">
        <v>46134</v>
      </c>
      <c r="F76" s="245" t="n">
        <v>46166</v>
      </c>
      <c r="G76" s="245" t="n">
        <v>46166</v>
      </c>
      <c r="H76" s="245">
        <f>F76</f>
        <v/>
      </c>
      <c r="I76" s="243" t="inlineStr">
        <is>
          <t>CC012603</t>
        </is>
      </c>
      <c r="J76" s="246" t="inlineStr"/>
    </row>
    <row r="77">
      <c r="A77" s="243" t="n">
        <v>76</v>
      </c>
      <c r="B77" s="244" t="inlineStr">
        <is>
          <t>SCR012603</t>
        </is>
      </c>
      <c r="C77" s="244" t="inlineStr">
        <is>
          <t>P060382</t>
        </is>
      </c>
      <c r="D77" s="245" t="n">
        <v>46134</v>
      </c>
      <c r="E77" s="245" t="n">
        <v>46134</v>
      </c>
      <c r="F77" s="245" t="n">
        <v>46167</v>
      </c>
      <c r="G77" s="245" t="n">
        <v>46167</v>
      </c>
      <c r="H77" s="245">
        <f>F77</f>
        <v/>
      </c>
      <c r="I77" s="243" t="inlineStr">
        <is>
          <t>SCR012603</t>
        </is>
      </c>
      <c r="J77" s="246" t="inlineStr"/>
    </row>
    <row r="78">
      <c r="A78" s="243" t="n">
        <v>77</v>
      </c>
      <c r="B78" s="244" t="inlineStr">
        <is>
          <t>FB012603V</t>
        </is>
      </c>
      <c r="C78" s="244" t="inlineStr">
        <is>
          <t>P060392</t>
        </is>
      </c>
      <c r="D78" s="245" t="n">
        <v>46141</v>
      </c>
      <c r="E78" s="245" t="n">
        <v>46141</v>
      </c>
      <c r="F78" s="245" t="n">
        <v>46165</v>
      </c>
      <c r="G78" s="245" t="n">
        <v>46165</v>
      </c>
      <c r="H78" s="245">
        <f>F78</f>
        <v/>
      </c>
      <c r="I78" s="243" t="inlineStr">
        <is>
          <t>FB012603V</t>
        </is>
      </c>
      <c r="J78" s="246" t="inlineStr"/>
    </row>
    <row r="79">
      <c r="A79" s="243" t="n">
        <v>78</v>
      </c>
      <c r="B79" s="244" t="inlineStr">
        <is>
          <t>GG012603</t>
        </is>
      </c>
      <c r="C79" s="244" t="inlineStr">
        <is>
          <t>P060402</t>
        </is>
      </c>
      <c r="D79" s="245" t="n">
        <v>46146</v>
      </c>
      <c r="E79" s="245" t="n">
        <v>46146</v>
      </c>
      <c r="F79" s="245" t="n">
        <v>46166</v>
      </c>
      <c r="G79" s="245" t="n">
        <v>46166</v>
      </c>
      <c r="H79" s="245">
        <f>F79</f>
        <v/>
      </c>
      <c r="I79" s="243" t="inlineStr">
        <is>
          <t>GG012603</t>
        </is>
      </c>
      <c r="J79" s="246" t="inlineStr"/>
    </row>
    <row r="80">
      <c r="A80" s="243" t="n">
        <v>79</v>
      </c>
      <c r="B80" s="244" t="inlineStr">
        <is>
          <t>JD012603/02</t>
        </is>
      </c>
      <c r="C80" s="244" t="inlineStr">
        <is>
          <t>P060412</t>
        </is>
      </c>
      <c r="D80" s="245" t="n">
        <v>46146</v>
      </c>
      <c r="E80" s="245" t="n">
        <v>46146</v>
      </c>
      <c r="F80" s="245" t="n">
        <v>46166</v>
      </c>
      <c r="G80" s="245" t="n">
        <v>46166</v>
      </c>
      <c r="H80" s="245">
        <f>F80</f>
        <v/>
      </c>
      <c r="I80" s="243" t="inlineStr">
        <is>
          <t>JD012603</t>
        </is>
      </c>
      <c r="J80" s="246" t="inlineStr"/>
    </row>
    <row r="81">
      <c r="A81" s="243" t="n">
        <v>80</v>
      </c>
      <c r="B81" s="244" t="inlineStr">
        <is>
          <t>JD012603/02V</t>
        </is>
      </c>
      <c r="C81" s="244" t="inlineStr">
        <is>
          <t>P060422</t>
        </is>
      </c>
      <c r="D81" s="245" t="n">
        <v>46141</v>
      </c>
      <c r="E81" s="245" t="n">
        <v>46141</v>
      </c>
      <c r="F81" s="245" t="n">
        <v>46165</v>
      </c>
      <c r="G81" s="245" t="n">
        <v>46165</v>
      </c>
      <c r="H81" s="245">
        <f>F81</f>
        <v/>
      </c>
      <c r="I81" s="243" t="inlineStr">
        <is>
          <t>JD012603</t>
        </is>
      </c>
      <c r="J81" s="246" t="inlineStr"/>
    </row>
    <row r="82">
      <c r="A82" s="243" t="n">
        <v>81</v>
      </c>
      <c r="B82" s="244" t="inlineStr">
        <is>
          <t>FB012603</t>
        </is>
      </c>
      <c r="C82" s="244" t="inlineStr">
        <is>
          <t>P060432</t>
        </is>
      </c>
      <c r="D82" s="245" t="n">
        <v>46146</v>
      </c>
      <c r="E82" s="245" t="n">
        <v>46146</v>
      </c>
      <c r="F82" s="245" t="n">
        <v>46188</v>
      </c>
      <c r="G82" s="245" t="n">
        <v>46188</v>
      </c>
      <c r="H82" s="245">
        <f>F82</f>
        <v/>
      </c>
      <c r="I82" s="243" t="inlineStr">
        <is>
          <t>FB012603</t>
        </is>
      </c>
      <c r="J82" s="246" t="inlineStr"/>
    </row>
    <row r="83">
      <c r="A83" s="243" t="n">
        <v>82</v>
      </c>
      <c r="B83" s="244" t="inlineStr">
        <is>
          <t>SCR022601</t>
        </is>
      </c>
      <c r="C83" s="244" t="inlineStr">
        <is>
          <t>P060442</t>
        </is>
      </c>
      <c r="D83" s="245" t="n">
        <v>46155</v>
      </c>
      <c r="E83" s="245" t="n">
        <v>46155</v>
      </c>
      <c r="F83" s="245" t="n">
        <v>46191</v>
      </c>
      <c r="G83" s="245" t="n">
        <v>46191</v>
      </c>
      <c r="H83" s="245">
        <f>F83</f>
        <v/>
      </c>
      <c r="I83" s="243" t="inlineStr">
        <is>
          <t>SCR022601</t>
        </is>
      </c>
      <c r="J83" s="246" t="inlineStr"/>
    </row>
    <row r="84">
      <c r="A84" s="243" t="n">
        <v>83</v>
      </c>
      <c r="B84" s="244" t="inlineStr">
        <is>
          <t>FB032601</t>
        </is>
      </c>
      <c r="C84" s="244" t="inlineStr">
        <is>
          <t>P060452</t>
        </is>
      </c>
      <c r="D84" s="245" t="n">
        <v>46175</v>
      </c>
      <c r="E84" s="245" t="n">
        <v>46175</v>
      </c>
      <c r="F84" s="245" t="n">
        <v>46202</v>
      </c>
      <c r="G84" s="245" t="n">
        <v>46202</v>
      </c>
      <c r="H84" s="245">
        <f>F84</f>
        <v/>
      </c>
      <c r="I84" s="243" t="inlineStr">
        <is>
          <t>FB032601</t>
        </is>
      </c>
      <c r="J84" s="246" t="inlineStr"/>
    </row>
    <row r="85">
      <c r="A85" s="243" t="n">
        <v>84</v>
      </c>
      <c r="B85" s="244" t="inlineStr">
        <is>
          <t>GG032601</t>
        </is>
      </c>
      <c r="C85" s="244" t="inlineStr">
        <is>
          <t>P060462</t>
        </is>
      </c>
      <c r="D85" s="245" t="n">
        <v>46189</v>
      </c>
      <c r="E85" s="245" t="n">
        <v>46189</v>
      </c>
      <c r="F85" s="245" t="n">
        <v>46219</v>
      </c>
      <c r="G85" s="245" t="n">
        <v>46219</v>
      </c>
      <c r="H85" s="245">
        <f>F85</f>
        <v/>
      </c>
      <c r="I85" s="243" t="inlineStr">
        <is>
          <t>GG032601</t>
        </is>
      </c>
      <c r="J85" s="246" t="inlineStr"/>
    </row>
    <row r="86">
      <c r="A86" s="243" t="n">
        <v>85</v>
      </c>
      <c r="B86" s="244" t="inlineStr">
        <is>
          <t>JD032601</t>
        </is>
      </c>
      <c r="C86" s="244" t="inlineStr">
        <is>
          <t>P060472</t>
        </is>
      </c>
      <c r="D86" s="245" t="n">
        <v>46197</v>
      </c>
      <c r="E86" s="245" t="n">
        <v>46197</v>
      </c>
      <c r="F86" s="245" t="n">
        <v>46224</v>
      </c>
      <c r="G86" s="245" t="n">
        <v>46224</v>
      </c>
      <c r="H86" s="245">
        <f>F86</f>
        <v/>
      </c>
      <c r="I86" s="248" t="inlineStr">
        <is>
          <t>— not on the tracker —</t>
        </is>
      </c>
      <c r="J86" s="246" t="inlineStr"/>
    </row>
    <row r="87">
      <c r="A87" s="243" t="n">
        <v>86</v>
      </c>
      <c r="B87" s="244" t="inlineStr">
        <is>
          <t>JD022601</t>
        </is>
      </c>
      <c r="C87" s="244" t="inlineStr">
        <is>
          <t>P060482</t>
        </is>
      </c>
      <c r="D87" s="245" t="n">
        <v>46160</v>
      </c>
      <c r="E87" s="245" t="n">
        <v>46160</v>
      </c>
      <c r="F87" s="245" t="n">
        <v>46239</v>
      </c>
      <c r="G87" s="245" t="n">
        <v>46239</v>
      </c>
      <c r="H87" s="245">
        <f>F87</f>
        <v/>
      </c>
      <c r="I87" s="243" t="inlineStr">
        <is>
          <t>JD022601</t>
        </is>
      </c>
      <c r="J87" s="246" t="inlineStr"/>
    </row>
    <row r="88">
      <c r="A88" s="243" t="n">
        <v>87</v>
      </c>
      <c r="B88" s="244" t="inlineStr">
        <is>
          <t>JD042601</t>
        </is>
      </c>
      <c r="C88" s="244" t="inlineStr">
        <is>
          <t>P060492</t>
        </is>
      </c>
      <c r="D88" s="245" t="n">
        <v>46224</v>
      </c>
      <c r="E88" s="245" t="n">
        <v>46224</v>
      </c>
      <c r="F88" s="245" t="n">
        <v>46247</v>
      </c>
      <c r="G88" s="245" t="n">
        <v>46247</v>
      </c>
      <c r="H88" s="245">
        <f>F88</f>
        <v/>
      </c>
      <c r="I88" s="243" t="inlineStr">
        <is>
          <t>JD042601</t>
        </is>
      </c>
      <c r="J88" s="246" t="inlineStr"/>
    </row>
    <row r="90" ht="52" customHeight="1" s="70">
      <c r="A90" s="242" t="inlineStr">
        <is>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is>
      </c>
    </row>
  </sheetData>
  <autoFilter ref="A1:J88"/>
  <mergeCells count="1">
    <mergeCell ref="A90:J90"/>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AB2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6" customWidth="1" style="70" min="5" max="5"/>
    <col width="16" customWidth="1" style="70" min="6" max="6"/>
    <col width="10" customWidth="1" style="70" min="7" max="7"/>
    <col width="20" customWidth="1" style="70" min="8" max="8"/>
    <col width="16" customWidth="1" style="70" min="9" max="9"/>
    <col width="12" customWidth="1" style="70" min="10" max="10"/>
    <col width="20" customWidth="1" style="70" min="11" max="11"/>
    <col width="30" customWidth="1" style="70" min="12" max="12"/>
    <col width="26" customWidth="1" style="70" min="13" max="13"/>
    <col width="16" customWidth="1" style="70" min="14" max="14"/>
    <col width="22" customWidth="1" style="70" min="15" max="15"/>
    <col width="12" customWidth="1" style="70" min="16" max="16"/>
    <col width="24" customWidth="1" style="70" min="17" max="17"/>
    <col width="28" customWidth="1" style="70" min="18" max="18"/>
    <col width="16" customWidth="1" style="70" min="19" max="19"/>
    <col width="14" customWidth="1" style="70" min="20" max="20"/>
    <col width="14" customWidth="1" style="70" min="21" max="21"/>
    <col width="16" customWidth="1" style="70" min="22" max="22"/>
    <col width="34" customWidth="1" style="70" min="23" max="23"/>
    <col width="34" customWidth="1" style="70" min="24" max="24"/>
    <col width="34" customWidth="1" style="70" min="25" max="25"/>
    <col width="30" customWidth="1" style="70" min="26" max="26"/>
    <col width="14" customWidth="1" style="70" min="27" max="27"/>
    <col width="60" customWidth="1" style="70" min="28" max="28"/>
  </cols>
  <sheetData>
    <row r="1" ht="22" customHeight="1" s="70">
      <c r="A1" s="119" t="inlineStr">
        <is>
          <t>No.</t>
        </is>
      </c>
      <c r="B1" s="119" t="inlineStr">
        <is>
          <t>iCoA code</t>
        </is>
      </c>
      <c r="C1" s="119" t="inlineStr">
        <is>
          <t>Issuable</t>
        </is>
      </c>
      <c r="D1" s="119" t="inlineStr">
        <is>
          <t>Issue date (planned)</t>
        </is>
      </c>
      <c r="E1" s="119" t="inlineStr">
        <is>
          <t>Test date (packaging)</t>
        </is>
      </c>
      <c r="F1" s="119" t="inlineStr">
        <is>
          <t>Packaging complete</t>
        </is>
      </c>
      <c r="G1" s="119" t="inlineStr">
        <is>
          <t>Group</t>
        </is>
      </c>
      <c r="H1" s="119" t="inlineStr">
        <is>
          <t>Series</t>
        </is>
      </c>
      <c r="I1" s="119" t="inlineStr">
        <is>
          <t>CU Batch</t>
        </is>
      </c>
      <c r="J1" s="119" t="inlineStr">
        <is>
          <t>P Batch</t>
        </is>
      </c>
      <c r="K1" s="119" t="inlineStr">
        <is>
          <t>Strain</t>
        </is>
      </c>
      <c r="L1" s="119" t="inlineStr">
        <is>
          <t>iCoA scope</t>
        </is>
      </c>
      <c r="M1" s="119" t="inlineStr">
        <is>
          <t>CNP reference</t>
        </is>
      </c>
      <c r="N1" s="119" t="inlineStr">
        <is>
          <t>CoQ (register)</t>
        </is>
      </c>
      <c r="O1" s="119" t="inlineStr">
        <is>
          <t>Plan reference (31.08.2026)</t>
        </is>
      </c>
      <c r="P1" s="119" t="inlineStr">
        <is>
          <t>Basis date</t>
        </is>
      </c>
      <c r="Q1" s="119" t="inlineStr">
        <is>
          <t>Harvest</t>
        </is>
      </c>
      <c r="R1" s="119" t="inlineStr">
        <is>
          <t>Packaging</t>
        </is>
      </c>
      <c r="S1" s="119" t="inlineStr">
        <is>
          <t>CoQ issue (planned)</t>
        </is>
      </c>
      <c r="T1" s="119" t="inlineStr">
        <is>
          <t>#1 Ident. A</t>
        </is>
      </c>
      <c r="U1" s="119" t="inlineStr">
        <is>
          <t>#2 Ident. B</t>
        </is>
      </c>
      <c r="V1" s="119" t="inlineStr">
        <is>
          <t>#7 Foreign matter</t>
        </is>
      </c>
      <c r="W1" s="119" t="inlineStr">
        <is>
          <t>Ident C — covered by (eCoA)</t>
        </is>
      </c>
      <c r="X1" s="119" t="inlineStr">
        <is>
          <t>Retest assay #4–#6 (eCoA)</t>
        </is>
      </c>
      <c r="Y1" s="119" t="inlineStr">
        <is>
          <t>Retest mycotoxins #10 (eCoA)</t>
        </is>
      </c>
      <c r="Z1" s="119" t="inlineStr">
        <is>
          <t>Carried forward</t>
        </is>
      </c>
      <c r="AA1" s="119" t="inlineStr">
        <is>
          <t>Key</t>
        </is>
      </c>
      <c r="AB1" s="119" t="inlineStr">
        <is>
          <t>Status</t>
        </is>
      </c>
    </row>
    <row r="2">
      <c r="A2" s="243" t="n">
        <v>1</v>
      </c>
      <c r="B2" s="244" t="inlineStr">
        <is>
          <t>iCoA-PP_26-001</t>
        </is>
      </c>
      <c r="C2" s="249" t="inlineStr">
        <is>
          <t>yes</t>
        </is>
      </c>
      <c r="D2" s="245">
        <f>IF(A2="","",IF(ISNUMBER(E2),MAX(DATE(2026,6,3),E2),DATE(2026,6,3)))</f>
        <v/>
      </c>
      <c r="E2" s="245">
        <f>IFERROR(INDEX('Batch Dates'!$F:$F,MATCH(J2,'Batch Dates'!$C:$C,0)),IFERROR(INDEX('Batch Dates'!$F:$F,MATCH(I2,'Batch Dates'!$B:$B,0)),""))</f>
        <v/>
      </c>
      <c r="F2" s="245">
        <f>IFERROR(INDEX('Batch Dates'!$G:$G,MATCH(J2,'Batch Dates'!$C:$C,0)),IFERROR(INDEX('Batch Dates'!$G:$G,MATCH(I2,'Batch Dates'!$B:$B,0)),""))</f>
        <v/>
      </c>
      <c r="G2" s="243" t="inlineStr">
        <is>
          <t>legacy</t>
        </is>
      </c>
      <c r="H2" s="243" t="inlineStr">
        <is>
          <t>initial release</t>
        </is>
      </c>
      <c r="I2" s="244" t="inlineStr">
        <is>
          <t>CJ1024</t>
        </is>
      </c>
      <c r="J2" s="243" t="inlineStr">
        <is>
          <t>N/A — no P batch assigned</t>
        </is>
      </c>
      <c r="K2" s="243" t="inlineStr">
        <is>
          <t>Cap Junky</t>
        </is>
      </c>
      <c r="L2" s="243" t="inlineStr">
        <is>
          <t>Ident A + Ident B + Foreign matter</t>
        </is>
      </c>
      <c r="M2" s="248" t="inlineStr">
        <is>
          <t>—</t>
        </is>
      </c>
      <c r="N2" s="243">
        <f>IFERROR(INDEX('CoQ Register'!$B:$B,MATCH("CJ1024|I",'CoQ Register'!$S:$S,0)),"—")</f>
        <v/>
      </c>
      <c r="O2" s="248" t="inlineStr">
        <is>
          <t>—</t>
        </is>
      </c>
      <c r="P2" s="243" t="inlineStr">
        <is>
          <t>27.02.2025</t>
        </is>
      </c>
      <c r="Q2" s="243" t="inlineStr">
        <is>
          <t>20.01.2025</t>
        </is>
      </c>
      <c r="R2" s="243" t="inlineStr">
        <is>
          <t>03.03.2025 (the issuance plan's basis: 27.02.2025)</t>
        </is>
      </c>
      <c r="S2" s="245">
        <f>IFERROR(INDEX('CoQ Register'!$D:$D,MATCH("CJ1024|I",'CoQ Register'!$S:$S,0)),"")</f>
        <v/>
      </c>
      <c r="T2" s="243" t="inlineStr">
        <is>
          <t>Conforms</t>
        </is>
      </c>
      <c r="U2" s="243" t="inlineStr">
        <is>
          <t>Conforms</t>
        </is>
      </c>
      <c r="V2" s="243" t="inlineStr">
        <is>
          <t>Conforms</t>
        </is>
      </c>
      <c r="W2" s="243" t="inlineStr">
        <is>
          <t>ППК25052, (26.02.2025) [CNP]</t>
        </is>
      </c>
      <c r="X2" s="243" t="inlineStr">
        <is>
          <t>—</t>
        </is>
      </c>
      <c r="Y2" s="243" t="inlineStr">
        <is>
          <t>—</t>
        </is>
      </c>
      <c r="Z2" s="243" t="inlineStr">
        <is>
          <t>—</t>
        </is>
      </c>
      <c r="AA2" s="243" t="inlineStr">
        <is>
          <t>CJ1024|I</t>
        </is>
      </c>
      <c r="AB2" s="250" t="inlineStr">
        <is>
          <t>registered — initial release, issued 03.06.2026</t>
        </is>
      </c>
    </row>
    <row r="3">
      <c r="A3" s="243" t="n">
        <v>2</v>
      </c>
      <c r="B3" s="244" t="inlineStr">
        <is>
          <t>iCoA-PP_26-002</t>
        </is>
      </c>
      <c r="C3" s="249" t="inlineStr">
        <is>
          <t>yes</t>
        </is>
      </c>
      <c r="D3" s="245">
        <f>IF(A3="","",IF(ISNUMBER(E3),MAX(DATE(2026,6,3),E3),DATE(2026,6,3)))</f>
        <v/>
      </c>
      <c r="E3" s="245">
        <f>IFERROR(INDEX('Batch Dates'!$F:$F,MATCH(J3,'Batch Dates'!$C:$C,0)),IFERROR(INDEX('Batch Dates'!$F:$F,MATCH(I3,'Batch Dates'!$B:$B,0)),""))</f>
        <v/>
      </c>
      <c r="F3" s="245">
        <f>IFERROR(INDEX('Batch Dates'!$G:$G,MATCH(J3,'Batch Dates'!$C:$C,0)),IFERROR(INDEX('Batch Dates'!$G:$G,MATCH(I3,'Batch Dates'!$B:$B,0)),""))</f>
        <v/>
      </c>
      <c r="G3" s="243" t="inlineStr">
        <is>
          <t>legacy</t>
        </is>
      </c>
      <c r="H3" s="243" t="inlineStr">
        <is>
          <t>initial release</t>
        </is>
      </c>
      <c r="I3" s="244" t="inlineStr">
        <is>
          <t>BSS1024</t>
        </is>
      </c>
      <c r="J3" s="243" t="inlineStr">
        <is>
          <t>N/A — no P batch assigned</t>
        </is>
      </c>
      <c r="K3" s="243" t="inlineStr">
        <is>
          <t>Blue Sunset Sherbet</t>
        </is>
      </c>
      <c r="L3" s="243" t="inlineStr">
        <is>
          <t>Ident A + Ident B + Foreign matter</t>
        </is>
      </c>
      <c r="M3" s="248" t="inlineStr">
        <is>
          <t>—</t>
        </is>
      </c>
      <c r="N3" s="243">
        <f>IFERROR(INDEX('CoQ Register'!$B:$B,MATCH("BSS1024|I",'CoQ Register'!$S:$S,0)),"—")</f>
        <v/>
      </c>
      <c r="O3" s="243" t="inlineStr">
        <is>
          <t>iCoA-PP-2025-0001</t>
        </is>
      </c>
      <c r="P3" s="243" t="inlineStr">
        <is>
          <t>04.03.2025</t>
        </is>
      </c>
      <c r="Q3" s="243" t="inlineStr">
        <is>
          <t>22.01.2025</t>
        </is>
      </c>
      <c r="R3" s="243" t="inlineStr">
        <is>
          <t>04.03.2025</t>
        </is>
      </c>
      <c r="S3" s="245">
        <f>IFERROR(INDEX('CoQ Register'!$D:$D,MATCH("BSS1024|I",'CoQ Register'!$S:$S,0)),"")</f>
        <v/>
      </c>
      <c r="T3" s="243" t="inlineStr">
        <is>
          <t>Conforms</t>
        </is>
      </c>
      <c r="U3" s="243" t="inlineStr">
        <is>
          <t>Conforms</t>
        </is>
      </c>
      <c r="V3" s="243" t="inlineStr">
        <is>
          <t>Conforms</t>
        </is>
      </c>
      <c r="W3" s="243" t="inlineStr">
        <is>
          <t>ППК25051, (26.02.2025) [CNP]</t>
        </is>
      </c>
      <c r="X3" s="243" t="inlineStr">
        <is>
          <t>—</t>
        </is>
      </c>
      <c r="Y3" s="243" t="inlineStr">
        <is>
          <t>—</t>
        </is>
      </c>
      <c r="Z3" s="243" t="inlineStr">
        <is>
          <t>—</t>
        </is>
      </c>
      <c r="AA3" s="243" t="inlineStr">
        <is>
          <t>BSS1024|I</t>
        </is>
      </c>
      <c r="AB3" s="250" t="inlineStr">
        <is>
          <t>registered — initial release, issued 03.06.2026</t>
        </is>
      </c>
    </row>
    <row r="4">
      <c r="A4" s="243" t="n">
        <v>3</v>
      </c>
      <c r="B4" s="244" t="inlineStr">
        <is>
          <t>iCoA-PP_26-003</t>
        </is>
      </c>
      <c r="C4" s="249" t="inlineStr">
        <is>
          <t>yes</t>
        </is>
      </c>
      <c r="D4" s="245">
        <f>IF(A4="","",IF(ISNUMBER(E4),MAX(DATE(2026,6,3),E4),DATE(2026,6,3)))</f>
        <v/>
      </c>
      <c r="E4" s="245">
        <f>IFERROR(INDEX('Batch Dates'!$F:$F,MATCH(J4,'Batch Dates'!$C:$C,0)),IFERROR(INDEX('Batch Dates'!$F:$F,MATCH(I4,'Batch Dates'!$B:$B,0)),""))</f>
        <v/>
      </c>
      <c r="F4" s="245">
        <f>IFERROR(INDEX('Batch Dates'!$G:$G,MATCH(J4,'Batch Dates'!$C:$C,0)),IFERROR(INDEX('Batch Dates'!$G:$G,MATCH(I4,'Batch Dates'!$B:$B,0)),""))</f>
        <v/>
      </c>
      <c r="G4" s="243" t="inlineStr">
        <is>
          <t>legacy</t>
        </is>
      </c>
      <c r="H4" s="243" t="inlineStr">
        <is>
          <t>initial release</t>
        </is>
      </c>
      <c r="I4" s="244" t="inlineStr">
        <is>
          <t>BG1024</t>
        </is>
      </c>
      <c r="J4" s="243" t="inlineStr">
        <is>
          <t>N/A — no P batch assigned</t>
        </is>
      </c>
      <c r="K4" s="243" t="inlineStr">
        <is>
          <t>Blue Gelato</t>
        </is>
      </c>
      <c r="L4" s="243" t="inlineStr">
        <is>
          <t>Ident A + Ident B + Foreign matter</t>
        </is>
      </c>
      <c r="M4" s="248" t="inlineStr">
        <is>
          <t>—</t>
        </is>
      </c>
      <c r="N4" s="243">
        <f>IFERROR(INDEX('CoQ Register'!$B:$B,MATCH("BG1024|I",'CoQ Register'!$S:$S,0)),"—")</f>
        <v/>
      </c>
      <c r="O4" s="243" t="inlineStr">
        <is>
          <t>iCoA-PP-2025-0002</t>
        </is>
      </c>
      <c r="P4" s="243" t="inlineStr">
        <is>
          <t>07.03.2025</t>
        </is>
      </c>
      <c r="Q4" s="243" t="inlineStr">
        <is>
          <t>21.01.2025</t>
        </is>
      </c>
      <c r="R4" s="243" t="inlineStr">
        <is>
          <t>07.03.2025</t>
        </is>
      </c>
      <c r="S4" s="245">
        <f>IFERROR(INDEX('CoQ Register'!$D:$D,MATCH("BG1024|I",'CoQ Register'!$S:$S,0)),"")</f>
        <v/>
      </c>
      <c r="T4" s="243" t="inlineStr">
        <is>
          <t>Conforms</t>
        </is>
      </c>
      <c r="U4" s="243" t="inlineStr">
        <is>
          <t>Conforms</t>
        </is>
      </c>
      <c r="V4" s="243" t="inlineStr">
        <is>
          <t>Conforms</t>
        </is>
      </c>
      <c r="W4" s="243" t="inlineStr">
        <is>
          <t>ППК25050, (26.02.2025) [CNP]</t>
        </is>
      </c>
      <c r="X4" s="243" t="inlineStr">
        <is>
          <t>—</t>
        </is>
      </c>
      <c r="Y4" s="243" t="inlineStr">
        <is>
          <t>—</t>
        </is>
      </c>
      <c r="Z4" s="243" t="inlineStr">
        <is>
          <t>—</t>
        </is>
      </c>
      <c r="AA4" s="243" t="inlineStr">
        <is>
          <t>BG1024|I</t>
        </is>
      </c>
      <c r="AB4" s="250" t="inlineStr">
        <is>
          <t>registered — initial release, issued 03.06.2026</t>
        </is>
      </c>
    </row>
    <row r="5">
      <c r="A5" s="243" t="n">
        <v>4</v>
      </c>
      <c r="B5" s="244" t="inlineStr">
        <is>
          <t>iCoA-PP_26-004</t>
        </is>
      </c>
      <c r="C5" s="249" t="inlineStr">
        <is>
          <t>yes</t>
        </is>
      </c>
      <c r="D5" s="245">
        <f>IF(A5="","",IF(ISNUMBER(E5),MAX(DATE(2026,6,3),E5),DATE(2026,6,3)))</f>
        <v/>
      </c>
      <c r="E5" s="245">
        <f>IFERROR(INDEX('Batch Dates'!$F:$F,MATCH(J5,'Batch Dates'!$C:$C,0)),IFERROR(INDEX('Batch Dates'!$F:$F,MATCH(I5,'Batch Dates'!$B:$B,0)),""))</f>
        <v/>
      </c>
      <c r="F5" s="245">
        <f>IFERROR(INDEX('Batch Dates'!$G:$G,MATCH(J5,'Batch Dates'!$C:$C,0)),IFERROR(INDEX('Batch Dates'!$G:$G,MATCH(I5,'Batch Dates'!$B:$B,0)),""))</f>
        <v/>
      </c>
      <c r="G5" s="243" t="inlineStr">
        <is>
          <t>legacy</t>
        </is>
      </c>
      <c r="H5" s="243" t="inlineStr">
        <is>
          <t>initial release</t>
        </is>
      </c>
      <c r="I5" s="244" t="inlineStr">
        <is>
          <t>GG1024</t>
        </is>
      </c>
      <c r="J5" s="243" t="inlineStr">
        <is>
          <t>N/A — no P batch assigned</t>
        </is>
      </c>
      <c r="K5" s="243" t="inlineStr">
        <is>
          <t>Gorilla Glue</t>
        </is>
      </c>
      <c r="L5" s="243" t="inlineStr">
        <is>
          <t>Ident A + Ident B + Foreign matter</t>
        </is>
      </c>
      <c r="M5" s="248" t="inlineStr">
        <is>
          <t>—</t>
        </is>
      </c>
      <c r="N5" s="243">
        <f>IFERROR(INDEX('CoQ Register'!$B:$B,MATCH("GG1024|I",'CoQ Register'!$S:$S,0)),"—")</f>
        <v/>
      </c>
      <c r="O5" s="243" t="inlineStr">
        <is>
          <t>iCoA-PP-2025-0003</t>
        </is>
      </c>
      <c r="P5" s="243" t="inlineStr">
        <is>
          <t>11.03.2025</t>
        </is>
      </c>
      <c r="Q5" s="243" t="inlineStr">
        <is>
          <t>20.01.2025</t>
        </is>
      </c>
      <c r="R5" s="243" t="inlineStr">
        <is>
          <t>11.03.2025</t>
        </is>
      </c>
      <c r="S5" s="245">
        <f>IFERROR(INDEX('CoQ Register'!$D:$D,MATCH("GG1024|I",'CoQ Register'!$S:$S,0)),"")</f>
        <v/>
      </c>
      <c r="T5" s="243" t="inlineStr">
        <is>
          <t>Conforms</t>
        </is>
      </c>
      <c r="U5" s="243" t="inlineStr">
        <is>
          <t>Conforms</t>
        </is>
      </c>
      <c r="V5" s="243" t="inlineStr">
        <is>
          <t>Conforms</t>
        </is>
      </c>
      <c r="W5" s="243" t="inlineStr">
        <is>
          <t>— no cannabinoid certificate from the initial testing —</t>
        </is>
      </c>
      <c r="X5" s="243" t="inlineStr">
        <is>
          <t>—</t>
        </is>
      </c>
      <c r="Y5" s="243" t="inlineStr">
        <is>
          <t>—</t>
        </is>
      </c>
      <c r="Z5" s="243" t="inlineStr">
        <is>
          <t>—</t>
        </is>
      </c>
      <c r="AA5" s="243" t="inlineStr">
        <is>
          <t>GG1024|I</t>
        </is>
      </c>
      <c r="AB5" s="250" t="inlineStr">
        <is>
          <t>registered — initial release, issued 03.06.2026</t>
        </is>
      </c>
    </row>
    <row r="6">
      <c r="A6" s="243" t="n">
        <v>5</v>
      </c>
      <c r="B6" s="244" t="inlineStr">
        <is>
          <t>iCoA-PP_26-005</t>
        </is>
      </c>
      <c r="C6" s="249" t="inlineStr">
        <is>
          <t>yes</t>
        </is>
      </c>
      <c r="D6" s="245">
        <f>IF(A6="","",IF(ISNUMBER(E6),MAX(DATE(2026,6,3),E6),DATE(2026,6,3)))</f>
        <v/>
      </c>
      <c r="E6" s="245">
        <f>IFERROR(INDEX('Batch Dates'!$F:$F,MATCH(J6,'Batch Dates'!$C:$C,0)),IFERROR(INDEX('Batch Dates'!$F:$F,MATCH(I6,'Batch Dates'!$B:$B,0)),""))</f>
        <v/>
      </c>
      <c r="F6" s="245">
        <f>IFERROR(INDEX('Batch Dates'!$G:$G,MATCH(J6,'Batch Dates'!$C:$C,0)),IFERROR(INDEX('Batch Dates'!$G:$G,MATCH(I6,'Batch Dates'!$B:$B,0)),""))</f>
        <v/>
      </c>
      <c r="G6" s="243" t="inlineStr">
        <is>
          <t>legacy</t>
        </is>
      </c>
      <c r="H6" s="243" t="inlineStr">
        <is>
          <t>initial release</t>
        </is>
      </c>
      <c r="I6" s="244" t="inlineStr">
        <is>
          <t>HPA1024</t>
        </is>
      </c>
      <c r="J6" s="243" t="inlineStr">
        <is>
          <t>N/A — no P batch assigned</t>
        </is>
      </c>
      <c r="K6" s="243" t="inlineStr">
        <is>
          <t>High Pro Amnesia</t>
        </is>
      </c>
      <c r="L6" s="243" t="inlineStr">
        <is>
          <t>Ident A + Ident B + #4 + #5 + Foreign matter + #9.1 + #9.2 + #9.3 + #9.4 + #9.5 + #10.2 + #11.1 + #11.2 + #11.3 + #11.4 + #12</t>
        </is>
      </c>
      <c r="M6" s="248" t="inlineStr">
        <is>
          <t>—</t>
        </is>
      </c>
      <c r="N6" s="243">
        <f>IFERROR(INDEX('CoQ Register'!$B:$B,MATCH("HPA1024|I",'CoQ Register'!$S:$S,0)),"—")</f>
        <v/>
      </c>
      <c r="O6" s="243" t="inlineStr">
        <is>
          <t>iCoA-PP-2025-0004</t>
        </is>
      </c>
      <c r="P6" s="243" t="inlineStr">
        <is>
          <t>11.04.2025</t>
        </is>
      </c>
      <c r="Q6" s="243" t="inlineStr">
        <is>
          <t>22.01.2025</t>
        </is>
      </c>
      <c r="R6" s="243" t="inlineStr">
        <is>
          <t>11.04.2025</t>
        </is>
      </c>
      <c r="S6" s="245">
        <f>IFERROR(INDEX('CoQ Register'!$D:$D,MATCH("HPA1024|I",'CoQ Register'!$S:$S,0)),"")</f>
        <v/>
      </c>
      <c r="T6" s="243" t="inlineStr">
        <is>
          <t>Conforms</t>
        </is>
      </c>
      <c r="U6" s="243" t="inlineStr">
        <is>
          <t>Conforms</t>
        </is>
      </c>
      <c r="V6" s="243" t="inlineStr">
        <is>
          <t>Conforms</t>
        </is>
      </c>
      <c r="W6" s="243" t="inlineStr">
        <is>
          <t>— no cannabinoid certificate from the initial testing —</t>
        </is>
      </c>
      <c r="X6" s="243" t="inlineStr">
        <is>
          <t>—</t>
        </is>
      </c>
      <c r="Y6" s="243" t="inlineStr">
        <is>
          <t>—</t>
        </is>
      </c>
      <c r="Z6" s="243" t="inlineStr">
        <is>
          <t>—</t>
        </is>
      </c>
      <c r="AA6" s="243" t="inlineStr">
        <is>
          <t>HPA1024|I</t>
        </is>
      </c>
      <c r="AB6" s="250" t="inlineStr">
        <is>
          <t>registered — initial release, issued 03.06.2026</t>
        </is>
      </c>
    </row>
    <row r="7">
      <c r="A7" s="243" t="n">
        <v>6</v>
      </c>
      <c r="B7" s="244" t="inlineStr">
        <is>
          <t>iCoA-PP_26-006</t>
        </is>
      </c>
      <c r="C7" s="249" t="inlineStr">
        <is>
          <t>yes</t>
        </is>
      </c>
      <c r="D7" s="245">
        <f>IF(A7="","",IF(ISNUMBER(E7),MAX(DATE(2026,6,3),E7),DATE(2026,6,3)))</f>
        <v/>
      </c>
      <c r="E7" s="245">
        <f>IFERROR(INDEX('Batch Dates'!$F:$F,MATCH(J7,'Batch Dates'!$C:$C,0)),IFERROR(INDEX('Batch Dates'!$F:$F,MATCH(I7,'Batch Dates'!$B:$B,0)),""))</f>
        <v/>
      </c>
      <c r="F7" s="245">
        <f>IFERROR(INDEX('Batch Dates'!$G:$G,MATCH(J7,'Batch Dates'!$C:$C,0)),IFERROR(INDEX('Batch Dates'!$G:$G,MATCH(I7,'Batch Dates'!$B:$B,0)),""))</f>
        <v/>
      </c>
      <c r="G7" s="243" t="inlineStr">
        <is>
          <t>legacy</t>
        </is>
      </c>
      <c r="H7" s="243" t="inlineStr">
        <is>
          <t>initial release</t>
        </is>
      </c>
      <c r="I7" s="244" t="inlineStr">
        <is>
          <t>OPM1024</t>
        </is>
      </c>
      <c r="J7" s="243" t="inlineStr">
        <is>
          <t>N/A — no P batch assigned</t>
        </is>
      </c>
      <c r="K7" s="243" t="inlineStr">
        <is>
          <t>Orange Punch Mimosa</t>
        </is>
      </c>
      <c r="L7" s="243" t="inlineStr">
        <is>
          <t>Ident A + Ident B + #4 + #5 + Foreign matter + #9.1 + #9.2 + #9.3 + #9.4 + #9.5 + #10.2 + #11.1 + #11.2 + #11.3 + #11.4 + #12</t>
        </is>
      </c>
      <c r="M7" s="248" t="inlineStr">
        <is>
          <t>—</t>
        </is>
      </c>
      <c r="N7" s="243">
        <f>IFERROR(INDEX('CoQ Register'!$B:$B,MATCH("OPM1024|I",'CoQ Register'!$S:$S,0)),"—")</f>
        <v/>
      </c>
      <c r="O7" s="243" t="inlineStr">
        <is>
          <t>iCoA-PP-2025-0005</t>
        </is>
      </c>
      <c r="P7" s="243" t="inlineStr">
        <is>
          <t>24.04.2025</t>
        </is>
      </c>
      <c r="Q7" s="243" t="inlineStr">
        <is>
          <t>21.01.2025</t>
        </is>
      </c>
      <c r="R7" s="243" t="inlineStr">
        <is>
          <t>24.04.2025 – 25.04.2025</t>
        </is>
      </c>
      <c r="S7" s="245">
        <f>IFERROR(INDEX('CoQ Register'!$D:$D,MATCH("OPM1024|I",'CoQ Register'!$S:$S,0)),"")</f>
        <v/>
      </c>
      <c r="T7" s="243" t="inlineStr">
        <is>
          <t>Conforms</t>
        </is>
      </c>
      <c r="U7" s="243" t="inlineStr">
        <is>
          <t>Conforms</t>
        </is>
      </c>
      <c r="V7" s="243" t="inlineStr">
        <is>
          <t>Conforms</t>
        </is>
      </c>
      <c r="W7" s="243" t="inlineStr">
        <is>
          <t>— no cannabinoid certificate from the initial testing —</t>
        </is>
      </c>
      <c r="X7" s="243" t="inlineStr">
        <is>
          <t>—</t>
        </is>
      </c>
      <c r="Y7" s="243" t="inlineStr">
        <is>
          <t>—</t>
        </is>
      </c>
      <c r="Z7" s="243" t="inlineStr">
        <is>
          <t>—</t>
        </is>
      </c>
      <c r="AA7" s="243" t="inlineStr">
        <is>
          <t>OPM1024|I</t>
        </is>
      </c>
      <c r="AB7" s="250" t="inlineStr">
        <is>
          <t>registered — initial release, issued 03.06.2026</t>
        </is>
      </c>
    </row>
    <row r="8">
      <c r="A8" s="243" t="n">
        <v>7</v>
      </c>
      <c r="B8" s="244" t="inlineStr">
        <is>
          <t>iCoA-PP_26-007</t>
        </is>
      </c>
      <c r="C8" s="249" t="inlineStr">
        <is>
          <t>yes</t>
        </is>
      </c>
      <c r="D8" s="245" t="n">
        <v>46176</v>
      </c>
      <c r="E8" s="245" t="n">
        <v>45784</v>
      </c>
      <c r="F8" s="245">
        <f>IFERROR(INDEX('Batch Dates'!$G:$G,MATCH(J8,'Batch Dates'!$C:$C,0)),IFERROR(INDEX('Batch Dates'!$G:$G,MATCH(I8,'Batch Dates'!$B:$B,0)),""))</f>
        <v/>
      </c>
      <c r="G8" s="243" t="inlineStr">
        <is>
          <t>legacy</t>
        </is>
      </c>
      <c r="H8" s="243" t="inlineStr">
        <is>
          <t>retest 1</t>
        </is>
      </c>
      <c r="I8" s="244" t="inlineStr">
        <is>
          <t>OMP1024_01</t>
        </is>
      </c>
      <c r="J8" s="243" t="inlineStr">
        <is>
          <t>P050042</t>
        </is>
      </c>
      <c r="K8" s="243" t="inlineStr">
        <is>
          <t>Orange Punch Mimosa</t>
        </is>
      </c>
      <c r="L8" s="243" t="inlineStr">
        <is>
          <t>Ident A + Ident B + Foreign matter</t>
        </is>
      </c>
      <c r="M8" s="248" t="inlineStr">
        <is>
          <t>—</t>
        </is>
      </c>
      <c r="N8" s="243">
        <f>IFERROR(INDEX('CoQ Register'!$B:$B,MATCH("P050042|R",'CoQ Register'!$S:$S,0)),"—")</f>
        <v/>
      </c>
      <c r="O8" s="248" t="inlineStr">
        <is>
          <t>—</t>
        </is>
      </c>
      <c r="P8" s="243" t="inlineStr">
        <is>
          <t>20.06.2026</t>
        </is>
      </c>
      <c r="Q8" s="243" t="inlineStr">
        <is>
          <t>26.03.2025 – 27.03.2025</t>
        </is>
      </c>
      <c r="R8" s="243" t="inlineStr">
        <is>
          <t>20.06.2025</t>
        </is>
      </c>
      <c r="S8" s="245">
        <f>IFERROR(INDEX('CoQ Register'!$D:$D,MATCH("P050042|R",'CoQ Register'!$S:$S,0)),"")</f>
        <v/>
      </c>
      <c r="T8" s="243" t="inlineStr">
        <is>
          <t>Conforms</t>
        </is>
      </c>
      <c r="U8" s="243" t="inlineStr">
        <is>
          <t>Conforms</t>
        </is>
      </c>
      <c r="V8" s="243" t="inlineStr">
        <is>
          <t>Conforms</t>
        </is>
      </c>
      <c r="W8" s="243" t="inlineStr">
        <is>
          <t>220-21-K-26, (26.08.2026) [FHM-K]</t>
        </is>
      </c>
      <c r="X8" s="243" t="inlineStr">
        <is>
          <t>220-21-K-26, (26.08.2026) [FHM-K]</t>
        </is>
      </c>
      <c r="Y8" s="243" t="inlineStr">
        <is>
          <t>220-21-M-26, (11.09.2026) [FHM-M]</t>
        </is>
      </c>
      <c r="Z8" s="243" t="inlineStr">
        <is>
          <t>#8, #9, #11, #12 from the initial testing</t>
        </is>
      </c>
      <c r="AA8" s="243" t="inlineStr">
        <is>
          <t>P050042|R</t>
        </is>
      </c>
      <c r="AB8" s="250" t="inlineStr">
        <is>
          <t>registered — retest 1, issued 03.06.2026</t>
        </is>
      </c>
    </row>
    <row r="9">
      <c r="A9" s="243" t="n">
        <v>8</v>
      </c>
      <c r="B9" s="244" t="inlineStr">
        <is>
          <t>iCoA-PP_26-008</t>
        </is>
      </c>
      <c r="C9" s="249" t="inlineStr">
        <is>
          <t>yes</t>
        </is>
      </c>
      <c r="D9" s="245">
        <f>IF(A9="","",IF(ISNUMBER(E9),MAX(DATE(2026,6,3),E9),DATE(2026,6,3)))</f>
        <v/>
      </c>
      <c r="E9" s="245">
        <f>IFERROR(INDEX('Batch Dates'!$F:$F,MATCH(J9,'Batch Dates'!$C:$C,0)),IFERROR(INDEX('Batch Dates'!$F:$F,MATCH(I9,'Batch Dates'!$B:$B,0)),""))</f>
        <v/>
      </c>
      <c r="F9" s="245">
        <f>IFERROR(INDEX('Batch Dates'!$G:$G,MATCH(J9,'Batch Dates'!$C:$C,0)),IFERROR(INDEX('Batch Dates'!$G:$G,MATCH(I9,'Batch Dates'!$B:$B,0)),""))</f>
        <v/>
      </c>
      <c r="G9" s="243" t="inlineStr">
        <is>
          <t>legacy</t>
        </is>
      </c>
      <c r="H9" s="243" t="inlineStr">
        <is>
          <t>initial release</t>
        </is>
      </c>
      <c r="I9" s="244" t="inlineStr">
        <is>
          <t>GP0824_02</t>
        </is>
      </c>
      <c r="J9" s="243" t="inlineStr">
        <is>
          <t>P050022</t>
        </is>
      </c>
      <c r="K9" s="243" t="inlineStr">
        <is>
          <t>Grape Pie</t>
        </is>
      </c>
      <c r="L9" s="243" t="inlineStr">
        <is>
          <t>Ident A + Ident B + Foreign matter</t>
        </is>
      </c>
      <c r="M9" s="248" t="inlineStr">
        <is>
          <t>—</t>
        </is>
      </c>
      <c r="N9" s="243">
        <f>IFERROR(INDEX('CoQ Register'!$B:$B,MATCH("P050022|I",'CoQ Register'!$S:$S,0)),"—")</f>
        <v/>
      </c>
      <c r="O9" s="243" t="inlineStr">
        <is>
          <t>iCoA-PP-2025-0006</t>
        </is>
      </c>
      <c r="P9" s="243" t="inlineStr">
        <is>
          <t>03.06.2025</t>
        </is>
      </c>
      <c r="Q9" s="243" t="inlineStr">
        <is>
          <t>22.04.2025 – 23.04.2025</t>
        </is>
      </c>
      <c r="R9" s="243" t="inlineStr">
        <is>
          <t>03.06.2025 – 11.06.2025</t>
        </is>
      </c>
      <c r="S9" s="245">
        <f>IFERROR(INDEX('CoQ Register'!$D:$D,MATCH("P050022|I",'CoQ Register'!$S:$S,0)),"")</f>
        <v/>
      </c>
      <c r="T9" s="243" t="inlineStr">
        <is>
          <t>Conforms</t>
        </is>
      </c>
      <c r="U9" s="243" t="inlineStr">
        <is>
          <t>Conforms</t>
        </is>
      </c>
      <c r="V9" s="243" t="inlineStr">
        <is>
          <t>Conforms</t>
        </is>
      </c>
      <c r="W9" s="243" t="inlineStr">
        <is>
          <t>ППК25139, (22.05.2025) [CNP]</t>
        </is>
      </c>
      <c r="X9" s="243" t="inlineStr">
        <is>
          <t>—</t>
        </is>
      </c>
      <c r="Y9" s="243" t="inlineStr">
        <is>
          <t>—</t>
        </is>
      </c>
      <c r="Z9" s="243" t="inlineStr">
        <is>
          <t>—</t>
        </is>
      </c>
      <c r="AA9" s="243" t="inlineStr">
        <is>
          <t>P050022|I</t>
        </is>
      </c>
      <c r="AB9" s="250" t="inlineStr">
        <is>
          <t>registered — initial release, issued 03.06.2026</t>
        </is>
      </c>
    </row>
    <row r="10">
      <c r="A10" s="243" t="n">
        <v>9</v>
      </c>
      <c r="B10" s="244" t="inlineStr">
        <is>
          <t>iCoA-PP_26-009</t>
        </is>
      </c>
      <c r="C10" s="249" t="inlineStr">
        <is>
          <t>yes</t>
        </is>
      </c>
      <c r="D10" s="245">
        <f>IF(A10="","",IF(ISNUMBER(E10),MAX(DATE(2026,6,3),E10),DATE(2026,6,3)))</f>
        <v/>
      </c>
      <c r="E10" s="245">
        <f>IFERROR(INDEX('Batch Dates'!$F:$F,MATCH(J10,'Batch Dates'!$C:$C,0)),IFERROR(INDEX('Batch Dates'!$F:$F,MATCH(I10,'Batch Dates'!$B:$B,0)),""))</f>
        <v/>
      </c>
      <c r="F10" s="245">
        <f>IFERROR(INDEX('Batch Dates'!$G:$G,MATCH(J10,'Batch Dates'!$C:$C,0)),IFERROR(INDEX('Batch Dates'!$G:$G,MATCH(I10,'Batch Dates'!$B:$B,0)),""))</f>
        <v/>
      </c>
      <c r="G10" s="243" t="inlineStr">
        <is>
          <t>legacy</t>
        </is>
      </c>
      <c r="H10" s="243" t="inlineStr">
        <is>
          <t>initial release</t>
        </is>
      </c>
      <c r="I10" s="244" t="inlineStr">
        <is>
          <t>GG1024_02</t>
        </is>
      </c>
      <c r="J10" s="243" t="inlineStr">
        <is>
          <t>P050012</t>
        </is>
      </c>
      <c r="K10" s="243" t="inlineStr">
        <is>
          <t>Gorilla Glue</t>
        </is>
      </c>
      <c r="L10" s="243" t="inlineStr">
        <is>
          <t>Ident A + Ident B + Foreign matter</t>
        </is>
      </c>
      <c r="M10" s="248" t="inlineStr">
        <is>
          <t>—</t>
        </is>
      </c>
      <c r="N10" s="243">
        <f>IFERROR(INDEX('CoQ Register'!$B:$B,MATCH("P050012|I",'CoQ Register'!$S:$S,0)),"—")</f>
        <v/>
      </c>
      <c r="O10" s="248" t="inlineStr">
        <is>
          <t>—</t>
        </is>
      </c>
      <c r="P10" s="243" t="inlineStr">
        <is>
          <t>30.05.2025</t>
        </is>
      </c>
      <c r="Q10" s="243" t="inlineStr">
        <is>
          <t>14.04.2025 – 15.04.2025</t>
        </is>
      </c>
      <c r="R10" s="243" t="inlineStr">
        <is>
          <t>11.06.2025 – 16.06.2025 (the issuance plan's basis: 30.05.2025)</t>
        </is>
      </c>
      <c r="S10" s="245">
        <f>IFERROR(INDEX('CoQ Register'!$D:$D,MATCH("P050012|I",'CoQ Register'!$S:$S,0)),"")</f>
        <v/>
      </c>
      <c r="T10" s="243" t="inlineStr">
        <is>
          <t>Conforms</t>
        </is>
      </c>
      <c r="U10" s="243" t="inlineStr">
        <is>
          <t>Conforms</t>
        </is>
      </c>
      <c r="V10" s="243" t="inlineStr">
        <is>
          <t>Conforms</t>
        </is>
      </c>
      <c r="W10" s="243" t="inlineStr">
        <is>
          <t>ППК25140, (22.05.2025) [CNP]</t>
        </is>
      </c>
      <c r="X10" s="243" t="inlineStr">
        <is>
          <t>—</t>
        </is>
      </c>
      <c r="Y10" s="243" t="inlineStr">
        <is>
          <t>—</t>
        </is>
      </c>
      <c r="Z10" s="243" t="inlineStr">
        <is>
          <t>—</t>
        </is>
      </c>
      <c r="AA10" s="243" t="inlineStr">
        <is>
          <t>P050012|I</t>
        </is>
      </c>
      <c r="AB10" s="250" t="inlineStr">
        <is>
          <t>registered — initial release, issued 03.06.2026</t>
        </is>
      </c>
    </row>
    <row r="11">
      <c r="A11" s="243" t="n">
        <v>10</v>
      </c>
      <c r="B11" s="244" t="inlineStr">
        <is>
          <t>iCoA-PP_26-010</t>
        </is>
      </c>
      <c r="C11" s="249" t="inlineStr">
        <is>
          <t>yes</t>
        </is>
      </c>
      <c r="D11" s="245">
        <f>IF(A11="","",IF(ISNUMBER(E11),MAX(DATE(2026,6,3),E11),DATE(2026,6,3)))</f>
        <v/>
      </c>
      <c r="E11" s="245">
        <f>IFERROR(INDEX('Batch Dates'!$F:$F,MATCH(J11,'Batch Dates'!$C:$C,0)),IFERROR(INDEX('Batch Dates'!$F:$F,MATCH(I11,'Batch Dates'!$B:$B,0)),""))</f>
        <v/>
      </c>
      <c r="F11" s="245">
        <f>IFERROR(INDEX('Batch Dates'!$G:$G,MATCH(J11,'Batch Dates'!$C:$C,0)),IFERROR(INDEX('Batch Dates'!$G:$G,MATCH(I11,'Batch Dates'!$B:$B,0)),""))</f>
        <v/>
      </c>
      <c r="G11" s="243" t="inlineStr">
        <is>
          <t>legacy</t>
        </is>
      </c>
      <c r="H11" s="243" t="inlineStr">
        <is>
          <t>initial release</t>
        </is>
      </c>
      <c r="I11" s="244" t="inlineStr">
        <is>
          <t>MB0824_04</t>
        </is>
      </c>
      <c r="J11" s="243" t="inlineStr">
        <is>
          <t>P050032</t>
        </is>
      </c>
      <c r="K11" s="243" t="inlineStr">
        <is>
          <t>Motor Breath</t>
        </is>
      </c>
      <c r="L11" s="243" t="inlineStr">
        <is>
          <t>Ident A + Ident B + Foreign matter</t>
        </is>
      </c>
      <c r="M11" s="248" t="inlineStr">
        <is>
          <t>—</t>
        </is>
      </c>
      <c r="N11" s="243">
        <f>IFERROR(INDEX('CoQ Register'!$B:$B,MATCH("P050032|I",'CoQ Register'!$S:$S,0)),"—")</f>
        <v/>
      </c>
      <c r="O11" s="248" t="inlineStr">
        <is>
          <t>—</t>
        </is>
      </c>
      <c r="P11" s="243" t="inlineStr">
        <is>
          <t>07.05.2025</t>
        </is>
      </c>
      <c r="Q11" s="243" t="inlineStr">
        <is>
          <t>02.04.2025 – 03.04.2025</t>
        </is>
      </c>
      <c r="R11" s="243" t="inlineStr">
        <is>
          <t>16.06.2025 – 19.06.2025 (the issuance plan's basis: 07.05.2025)</t>
        </is>
      </c>
      <c r="S11" s="245">
        <f>IFERROR(INDEX('CoQ Register'!$D:$D,MATCH("P050032|I",'CoQ Register'!$S:$S,0)),"")</f>
        <v/>
      </c>
      <c r="T11" s="243" t="inlineStr">
        <is>
          <t>Conforms</t>
        </is>
      </c>
      <c r="U11" s="243" t="inlineStr">
        <is>
          <t>Conforms</t>
        </is>
      </c>
      <c r="V11" s="243" t="inlineStr">
        <is>
          <t>Conforms</t>
        </is>
      </c>
      <c r="W11" s="243" t="inlineStr">
        <is>
          <t>ППК25118, (06.05.2025) [CNP]</t>
        </is>
      </c>
      <c r="X11" s="243" t="inlineStr">
        <is>
          <t>—</t>
        </is>
      </c>
      <c r="Y11" s="243" t="inlineStr">
        <is>
          <t>—</t>
        </is>
      </c>
      <c r="Z11" s="243" t="inlineStr">
        <is>
          <t>—</t>
        </is>
      </c>
      <c r="AA11" s="243" t="inlineStr">
        <is>
          <t>P050032|I</t>
        </is>
      </c>
      <c r="AB11" s="250" t="inlineStr">
        <is>
          <t>registered — initial release, issued 03.06.2026</t>
        </is>
      </c>
    </row>
    <row r="12">
      <c r="A12" s="243" t="n">
        <v>11</v>
      </c>
      <c r="B12" s="244" t="inlineStr">
        <is>
          <t>iCoA-PP_26-011</t>
        </is>
      </c>
      <c r="C12" s="249" t="inlineStr">
        <is>
          <t>yes</t>
        </is>
      </c>
      <c r="D12" s="245">
        <f>IF(A12="","",IF(ISNUMBER(E12),MAX(DATE(2026,6,3),E12),DATE(2026,6,3)))</f>
        <v/>
      </c>
      <c r="E12" s="245">
        <f>IFERROR(INDEX('Batch Dates'!$F:$F,MATCH(J12,'Batch Dates'!$C:$C,0)),IFERROR(INDEX('Batch Dates'!$F:$F,MATCH(I12,'Batch Dates'!$B:$B,0)),""))</f>
        <v/>
      </c>
      <c r="F12" s="245">
        <f>IFERROR(INDEX('Batch Dates'!$G:$G,MATCH(J12,'Batch Dates'!$C:$C,0)),IFERROR(INDEX('Batch Dates'!$G:$G,MATCH(I12,'Batch Dates'!$B:$B,0)),""))</f>
        <v/>
      </c>
      <c r="G12" s="243" t="inlineStr">
        <is>
          <t>legacy</t>
        </is>
      </c>
      <c r="H12" s="243" t="inlineStr">
        <is>
          <t>initial release</t>
        </is>
      </c>
      <c r="I12" s="244" t="inlineStr">
        <is>
          <t>HPA1024_01</t>
        </is>
      </c>
      <c r="J12" s="243" t="inlineStr">
        <is>
          <t>P050052</t>
        </is>
      </c>
      <c r="K12" s="243" t="inlineStr">
        <is>
          <t>High Pro Amnesia</t>
        </is>
      </c>
      <c r="L12" s="243" t="inlineStr">
        <is>
          <t>Ident A + Ident B + Foreign matter</t>
        </is>
      </c>
      <c r="M12" s="248" t="inlineStr">
        <is>
          <t>—</t>
        </is>
      </c>
      <c r="N12" s="243">
        <f>IFERROR(INDEX('CoQ Register'!$B:$B,MATCH("P050052|I",'CoQ Register'!$S:$S,0)),"—")</f>
        <v/>
      </c>
      <c r="O12" s="243" t="inlineStr">
        <is>
          <t>iCoA-PP-2025-0008</t>
        </is>
      </c>
      <c r="P12" s="243" t="inlineStr">
        <is>
          <t>27.06.2025</t>
        </is>
      </c>
      <c r="Q12" s="243" t="inlineStr">
        <is>
          <t>27.05.2025 – 28.05.2025</t>
        </is>
      </c>
      <c r="R12" s="243" t="inlineStr">
        <is>
          <t>27.06.2025 – 04.07.2025</t>
        </is>
      </c>
      <c r="S12" s="245">
        <f>IFERROR(INDEX('CoQ Register'!$D:$D,MATCH("P050052|I",'CoQ Register'!$S:$S,0)),"")</f>
        <v/>
      </c>
      <c r="T12" s="243" t="inlineStr">
        <is>
          <t>Conforms</t>
        </is>
      </c>
      <c r="U12" s="243" t="inlineStr">
        <is>
          <t>Conforms</t>
        </is>
      </c>
      <c r="V12" s="243" t="inlineStr">
        <is>
          <t>Conforms</t>
        </is>
      </c>
      <c r="W12" s="243" t="inlineStr">
        <is>
          <t>ППК25155, (24.06.2025) [CNP]</t>
        </is>
      </c>
      <c r="X12" s="243" t="inlineStr">
        <is>
          <t>—</t>
        </is>
      </c>
      <c r="Y12" s="243" t="inlineStr">
        <is>
          <t>—</t>
        </is>
      </c>
      <c r="Z12" s="243" t="inlineStr">
        <is>
          <t>—</t>
        </is>
      </c>
      <c r="AA12" s="243" t="inlineStr">
        <is>
          <t>P050052|I</t>
        </is>
      </c>
      <c r="AB12" s="250" t="inlineStr">
        <is>
          <t>registered — initial release, issued 03.06.2026</t>
        </is>
      </c>
    </row>
    <row r="13">
      <c r="A13" s="243" t="n">
        <v>12</v>
      </c>
      <c r="B13" s="244" t="inlineStr">
        <is>
          <t>iCoA-PP_26-012</t>
        </is>
      </c>
      <c r="C13" s="249" t="inlineStr">
        <is>
          <t>yes</t>
        </is>
      </c>
      <c r="D13" s="245">
        <f>IF(A13="","",IF(ISNUMBER(E13),MAX(DATE(2026,6,3),E13),DATE(2026,6,3)))</f>
        <v/>
      </c>
      <c r="E13" s="245">
        <f>IFERROR(INDEX('Batch Dates'!$F:$F,MATCH(J13,'Batch Dates'!$C:$C,0)),IFERROR(INDEX('Batch Dates'!$F:$F,MATCH(I13,'Batch Dates'!$B:$B,0)),""))</f>
        <v/>
      </c>
      <c r="F13" s="245">
        <f>IFERROR(INDEX('Batch Dates'!$G:$G,MATCH(J13,'Batch Dates'!$C:$C,0)),IFERROR(INDEX('Batch Dates'!$G:$G,MATCH(I13,'Batch Dates'!$B:$B,0)),""))</f>
        <v/>
      </c>
      <c r="G13" s="243" t="inlineStr">
        <is>
          <t>legacy</t>
        </is>
      </c>
      <c r="H13" s="243" t="inlineStr">
        <is>
          <t>initial release</t>
        </is>
      </c>
      <c r="I13" s="244" t="inlineStr">
        <is>
          <t>OPM1024_02</t>
        </is>
      </c>
      <c r="J13" s="243" t="inlineStr">
        <is>
          <t>P050062</t>
        </is>
      </c>
      <c r="K13" s="243" t="inlineStr">
        <is>
          <t>Orange Punch Mimosa</t>
        </is>
      </c>
      <c r="L13" s="243" t="inlineStr">
        <is>
          <t>Ident A + Ident B + Foreign matter</t>
        </is>
      </c>
      <c r="M13" s="248" t="inlineStr">
        <is>
          <t>—</t>
        </is>
      </c>
      <c r="N13" s="243">
        <f>IFERROR(INDEX('CoQ Register'!$B:$B,MATCH("P050062|I",'CoQ Register'!$S:$S,0)),"—")</f>
        <v/>
      </c>
      <c r="O13" s="243" t="inlineStr">
        <is>
          <t>iCoA-PP-2025-0009</t>
        </is>
      </c>
      <c r="P13" s="243" t="inlineStr">
        <is>
          <t>04.07.2025</t>
        </is>
      </c>
      <c r="Q13" s="243" t="inlineStr">
        <is>
          <t>29.05.2025 – 30.05.2025</t>
        </is>
      </c>
      <c r="R13" s="243" t="inlineStr">
        <is>
          <t>04.07.2025 – 10.07.2025</t>
        </is>
      </c>
      <c r="S13" s="245">
        <f>IFERROR(INDEX('CoQ Register'!$D:$D,MATCH("P050062|I",'CoQ Register'!$S:$S,0)),"")</f>
        <v/>
      </c>
      <c r="T13" s="243" t="inlineStr">
        <is>
          <t>Conforms</t>
        </is>
      </c>
      <c r="U13" s="243" t="inlineStr">
        <is>
          <t>Conforms</t>
        </is>
      </c>
      <c r="V13" s="243" t="inlineStr">
        <is>
          <t>Conforms</t>
        </is>
      </c>
      <c r="W13" s="243" t="inlineStr">
        <is>
          <t>ППК25154, (24.06.2025) [CNP]</t>
        </is>
      </c>
      <c r="X13" s="243" t="inlineStr">
        <is>
          <t>—</t>
        </is>
      </c>
      <c r="Y13" s="243" t="inlineStr">
        <is>
          <t>—</t>
        </is>
      </c>
      <c r="Z13" s="243" t="inlineStr">
        <is>
          <t>—</t>
        </is>
      </c>
      <c r="AA13" s="243" t="inlineStr">
        <is>
          <t>P050062|I</t>
        </is>
      </c>
      <c r="AB13" s="250" t="inlineStr">
        <is>
          <t>registered — initial release, issued 03.06.2026</t>
        </is>
      </c>
    </row>
    <row r="14">
      <c r="A14" s="243" t="n">
        <v>13</v>
      </c>
      <c r="B14" s="244" t="inlineStr">
        <is>
          <t>iCoA-PP_26-013</t>
        </is>
      </c>
      <c r="C14" s="249" t="inlineStr">
        <is>
          <t>yes</t>
        </is>
      </c>
      <c r="D14" s="245">
        <f>IF(A14="","",IF(ISNUMBER(E14),MAX(DATE(2026,6,3),E14),DATE(2026,6,3)))</f>
        <v/>
      </c>
      <c r="E14" s="245">
        <f>IFERROR(INDEX('Batch Dates'!$F:$F,MATCH(J14,'Batch Dates'!$C:$C,0)),IFERROR(INDEX('Batch Dates'!$F:$F,MATCH(I14,'Batch Dates'!$B:$B,0)),""))</f>
        <v/>
      </c>
      <c r="F14" s="245">
        <f>IFERROR(INDEX('Batch Dates'!$G:$G,MATCH(J14,'Batch Dates'!$C:$C,0)),IFERROR(INDEX('Batch Dates'!$G:$G,MATCH(I14,'Batch Dates'!$B:$B,0)),""))</f>
        <v/>
      </c>
      <c r="G14" s="243" t="inlineStr">
        <is>
          <t>legacy</t>
        </is>
      </c>
      <c r="H14" s="243" t="inlineStr">
        <is>
          <t>initial release</t>
        </is>
      </c>
      <c r="I14" s="244" t="inlineStr">
        <is>
          <t>GP0824_03</t>
        </is>
      </c>
      <c r="J14" s="243" t="inlineStr">
        <is>
          <t>P050072</t>
        </is>
      </c>
      <c r="K14" s="243" t="inlineStr">
        <is>
          <t>Grape Pie</t>
        </is>
      </c>
      <c r="L14" s="243" t="inlineStr">
        <is>
          <t>Ident A + Ident B + Foreign matter</t>
        </is>
      </c>
      <c r="M14" s="248" t="inlineStr">
        <is>
          <t>—</t>
        </is>
      </c>
      <c r="N14" s="243">
        <f>IFERROR(INDEX('CoQ Register'!$B:$B,MATCH("P050072|I",'CoQ Register'!$S:$S,0)),"—")</f>
        <v/>
      </c>
      <c r="O14" s="243" t="inlineStr">
        <is>
          <t>iCoA-PP-2025-0010</t>
        </is>
      </c>
      <c r="P14" s="243" t="inlineStr">
        <is>
          <t>14.07.2025</t>
        </is>
      </c>
      <c r="Q14" s="243" t="inlineStr">
        <is>
          <t>09.06.2025 – 10.06.2025</t>
        </is>
      </c>
      <c r="R14" s="243" t="inlineStr">
        <is>
          <t>14.07.2025 – 17.07.2025</t>
        </is>
      </c>
      <c r="S14" s="245">
        <f>IFERROR(INDEX('CoQ Register'!$D:$D,MATCH("P050072|I",'CoQ Register'!$S:$S,0)),"")</f>
        <v/>
      </c>
      <c r="T14" s="243" t="inlineStr">
        <is>
          <t>Conforms</t>
        </is>
      </c>
      <c r="U14" s="243" t="inlineStr">
        <is>
          <t>Conforms</t>
        </is>
      </c>
      <c r="V14" s="243" t="inlineStr">
        <is>
          <t>Conforms</t>
        </is>
      </c>
      <c r="W14" s="243" t="inlineStr">
        <is>
          <t>ППК25175, (10.07.2025) [CNP]</t>
        </is>
      </c>
      <c r="X14" s="243" t="inlineStr">
        <is>
          <t>—</t>
        </is>
      </c>
      <c r="Y14" s="243" t="inlineStr">
        <is>
          <t>—</t>
        </is>
      </c>
      <c r="Z14" s="243" t="inlineStr">
        <is>
          <t>—</t>
        </is>
      </c>
      <c r="AA14" s="243" t="inlineStr">
        <is>
          <t>P050072|I</t>
        </is>
      </c>
      <c r="AB14" s="250" t="inlineStr">
        <is>
          <t>registered — initial release, issued 03.06.2026</t>
        </is>
      </c>
    </row>
    <row r="15">
      <c r="A15" s="243" t="n">
        <v>14</v>
      </c>
      <c r="B15" s="244" t="inlineStr">
        <is>
          <t>iCoA-PP_26-014</t>
        </is>
      </c>
      <c r="C15" s="249" t="inlineStr">
        <is>
          <t>yes</t>
        </is>
      </c>
      <c r="D15" s="245">
        <f>IF(A15="","",IF(ISNUMBER(E15),MAX(DATE(2026,6,3),E15),DATE(2026,6,3)))</f>
        <v/>
      </c>
      <c r="E15" s="245">
        <f>IFERROR(INDEX('Batch Dates'!$F:$F,MATCH(J15,'Batch Dates'!$C:$C,0)),IFERROR(INDEX('Batch Dates'!$F:$F,MATCH(I15,'Batch Dates'!$B:$B,0)),""))</f>
        <v/>
      </c>
      <c r="F15" s="245">
        <f>IFERROR(INDEX('Batch Dates'!$G:$G,MATCH(J15,'Batch Dates'!$C:$C,0)),IFERROR(INDEX('Batch Dates'!$G:$G,MATCH(I15,'Batch Dates'!$B:$B,0)),""))</f>
        <v/>
      </c>
      <c r="G15" s="243" t="inlineStr">
        <is>
          <t>legacy</t>
        </is>
      </c>
      <c r="H15" s="243" t="inlineStr">
        <is>
          <t>initial release</t>
        </is>
      </c>
      <c r="I15" s="244" t="inlineStr">
        <is>
          <t>OPM1024_03</t>
        </is>
      </c>
      <c r="J15" s="243" t="inlineStr">
        <is>
          <t>P050082</t>
        </is>
      </c>
      <c r="K15" s="243" t="inlineStr">
        <is>
          <t>Orange Punch Mimosa</t>
        </is>
      </c>
      <c r="L15" s="243" t="inlineStr">
        <is>
          <t>Ident A + Ident B + Foreign matter</t>
        </is>
      </c>
      <c r="M15" s="248" t="inlineStr">
        <is>
          <t>—</t>
        </is>
      </c>
      <c r="N15" s="243">
        <f>IFERROR(INDEX('CoQ Register'!$B:$B,MATCH("P050082|I",'CoQ Register'!$S:$S,0)),"—")</f>
        <v/>
      </c>
      <c r="O15" s="243" t="inlineStr">
        <is>
          <t>iCoA-PP-2025-0011</t>
        </is>
      </c>
      <c r="P15" s="243" t="inlineStr">
        <is>
          <t>22.07.2025</t>
        </is>
      </c>
      <c r="Q15" s="243" t="inlineStr">
        <is>
          <t>01.07.2025 – 02.07.2025</t>
        </is>
      </c>
      <c r="R15" s="243" t="inlineStr">
        <is>
          <t>22.07.2025 – 30.07.2025</t>
        </is>
      </c>
      <c r="S15" s="245">
        <f>IFERROR(INDEX('CoQ Register'!$D:$D,MATCH("P050082|I",'CoQ Register'!$S:$S,0)),"")</f>
        <v/>
      </c>
      <c r="T15" s="243" t="inlineStr">
        <is>
          <t>Conforms</t>
        </is>
      </c>
      <c r="U15" s="243" t="inlineStr">
        <is>
          <t>Conforms</t>
        </is>
      </c>
      <c r="V15" s="243" t="inlineStr">
        <is>
          <t>Conforms</t>
        </is>
      </c>
      <c r="W15" s="243" t="inlineStr">
        <is>
          <t>ППК25210, (28.07.2025) [CNP]</t>
        </is>
      </c>
      <c r="X15" s="243" t="inlineStr">
        <is>
          <t>—</t>
        </is>
      </c>
      <c r="Y15" s="243" t="inlineStr">
        <is>
          <t>—</t>
        </is>
      </c>
      <c r="Z15" s="243" t="inlineStr">
        <is>
          <t>—</t>
        </is>
      </c>
      <c r="AA15" s="243" t="inlineStr">
        <is>
          <t>P050082|I</t>
        </is>
      </c>
      <c r="AB15" s="250" t="inlineStr">
        <is>
          <t>registered — initial release, issued 03.06.2026</t>
        </is>
      </c>
    </row>
    <row r="16">
      <c r="A16" s="243" t="n">
        <v>15</v>
      </c>
      <c r="B16" s="244" t="inlineStr">
        <is>
          <t>iCoA-PP_26-015</t>
        </is>
      </c>
      <c r="C16" s="249" t="inlineStr">
        <is>
          <t>yes</t>
        </is>
      </c>
      <c r="D16" s="245">
        <f>IF(A16="","",IF(ISNUMBER(E16),MAX(DATE(2026,6,3),E16),DATE(2026,6,3)))</f>
        <v/>
      </c>
      <c r="E16" s="245">
        <f>IFERROR(INDEX('Batch Dates'!$F:$F,MATCH(J16,'Batch Dates'!$C:$C,0)),IFERROR(INDEX('Batch Dates'!$F:$F,MATCH(I16,'Batch Dates'!$B:$B,0)),""))</f>
        <v/>
      </c>
      <c r="F16" s="245">
        <f>IFERROR(INDEX('Batch Dates'!$G:$G,MATCH(J16,'Batch Dates'!$C:$C,0)),IFERROR(INDEX('Batch Dates'!$G:$G,MATCH(I16,'Batch Dates'!$B:$B,0)),""))</f>
        <v/>
      </c>
      <c r="G16" s="243" t="inlineStr">
        <is>
          <t>legacy</t>
        </is>
      </c>
      <c r="H16" s="243" t="inlineStr">
        <is>
          <t>initial release</t>
        </is>
      </c>
      <c r="I16" s="244" t="inlineStr">
        <is>
          <t>GG1024_01</t>
        </is>
      </c>
      <c r="J16" s="243" t="inlineStr">
        <is>
          <t>P050092</t>
        </is>
      </c>
      <c r="K16" s="243" t="inlineStr">
        <is>
          <t>Gorilla Glue</t>
        </is>
      </c>
      <c r="L16" s="243" t="inlineStr">
        <is>
          <t>Ident A + Ident B + Foreign matter</t>
        </is>
      </c>
      <c r="M16" s="248" t="inlineStr">
        <is>
          <t>—</t>
        </is>
      </c>
      <c r="N16" s="243">
        <f>IFERROR(INDEX('CoQ Register'!$B:$B,MATCH("P050092|I",'CoQ Register'!$S:$S,0)),"—")</f>
        <v/>
      </c>
      <c r="O16" s="243" t="inlineStr">
        <is>
          <t>iCoA-PP-2025-0012</t>
        </is>
      </c>
      <c r="P16" s="243" t="inlineStr">
        <is>
          <t>31.07.2025</t>
        </is>
      </c>
      <c r="Q16" s="243" t="inlineStr">
        <is>
          <t>17.03.2025 – 18.03.2025</t>
        </is>
      </c>
      <c r="R16" s="243" t="inlineStr">
        <is>
          <t>31.07.2025 – 05.08.2025</t>
        </is>
      </c>
      <c r="S16" s="245">
        <f>IFERROR(INDEX('CoQ Register'!$D:$D,MATCH("P050092|I",'CoQ Register'!$S:$S,0)),"")</f>
        <v/>
      </c>
      <c r="T16" s="243" t="inlineStr">
        <is>
          <t>Conforms</t>
        </is>
      </c>
      <c r="U16" s="243" t="inlineStr">
        <is>
          <t>Conforms</t>
        </is>
      </c>
      <c r="V16" s="243" t="inlineStr">
        <is>
          <t>Conforms</t>
        </is>
      </c>
      <c r="W16" s="243" t="inlineStr">
        <is>
          <t>ППК25104, (17.04.2025) [CNP]</t>
        </is>
      </c>
      <c r="X16" s="243" t="inlineStr">
        <is>
          <t>—</t>
        </is>
      </c>
      <c r="Y16" s="243" t="inlineStr">
        <is>
          <t>—</t>
        </is>
      </c>
      <c r="Z16" s="243" t="inlineStr">
        <is>
          <t>—</t>
        </is>
      </c>
      <c r="AA16" s="243" t="inlineStr">
        <is>
          <t>P050092|I</t>
        </is>
      </c>
      <c r="AB16" s="250" t="inlineStr">
        <is>
          <t>registered — initial release, issued 03.06.2026</t>
        </is>
      </c>
    </row>
    <row r="17">
      <c r="A17" s="243" t="n">
        <v>16</v>
      </c>
      <c r="B17" s="244" t="inlineStr">
        <is>
          <t>iCoA-PP_26-016</t>
        </is>
      </c>
      <c r="C17" s="249" t="inlineStr">
        <is>
          <t>yes</t>
        </is>
      </c>
      <c r="D17" s="245">
        <f>IF(A17="","",IF(ISNUMBER(E17),MAX(DATE(2026,6,3),E17),DATE(2026,6,3)))</f>
        <v/>
      </c>
      <c r="E17" s="245">
        <f>IFERROR(INDEX('Batch Dates'!$F:$F,MATCH(J17,'Batch Dates'!$C:$C,0)),IFERROR(INDEX('Batch Dates'!$F:$F,MATCH(I17,'Batch Dates'!$B:$B,0)),""))</f>
        <v/>
      </c>
      <c r="F17" s="245">
        <f>IFERROR(INDEX('Batch Dates'!$G:$G,MATCH(J17,'Batch Dates'!$C:$C,0)),IFERROR(INDEX('Batch Dates'!$G:$G,MATCH(I17,'Batch Dates'!$B:$B,0)),""))</f>
        <v/>
      </c>
      <c r="G17" s="243" t="inlineStr">
        <is>
          <t>legacy</t>
        </is>
      </c>
      <c r="H17" s="243" t="inlineStr">
        <is>
          <t>initial release</t>
        </is>
      </c>
      <c r="I17" s="244" t="inlineStr">
        <is>
          <t>GP0824_01</t>
        </is>
      </c>
      <c r="J17" s="243" t="inlineStr">
        <is>
          <t>P050102</t>
        </is>
      </c>
      <c r="K17" s="243" t="inlineStr">
        <is>
          <t>Grape Pie</t>
        </is>
      </c>
      <c r="L17" s="243" t="inlineStr">
        <is>
          <t>Ident A + Ident B + Foreign matter</t>
        </is>
      </c>
      <c r="M17" s="248" t="inlineStr">
        <is>
          <t>—</t>
        </is>
      </c>
      <c r="N17" s="243">
        <f>IFERROR(INDEX('CoQ Register'!$B:$B,MATCH("P050102|I",'CoQ Register'!$S:$S,0)),"—")</f>
        <v/>
      </c>
      <c r="O17" s="248" t="inlineStr">
        <is>
          <t>—</t>
        </is>
      </c>
      <c r="P17" s="243" t="inlineStr">
        <is>
          <t>17.04.2025</t>
        </is>
      </c>
      <c r="Q17" s="243" t="inlineStr">
        <is>
          <t>20.03.2025 – 21.03.2025</t>
        </is>
      </c>
      <c r="R17" s="243" t="inlineStr">
        <is>
          <t>05.08.2025 – 07.08.2025 (the issuance plan's basis: 17.04.2025)</t>
        </is>
      </c>
      <c r="S17" s="245">
        <f>IFERROR(INDEX('CoQ Register'!$D:$D,MATCH("P050102|I",'CoQ Register'!$S:$S,0)),"")</f>
        <v/>
      </c>
      <c r="T17" s="243" t="inlineStr">
        <is>
          <t>Conforms</t>
        </is>
      </c>
      <c r="U17" s="243" t="inlineStr">
        <is>
          <t>Conforms</t>
        </is>
      </c>
      <c r="V17" s="243" t="inlineStr">
        <is>
          <t>Conforms</t>
        </is>
      </c>
      <c r="W17" s="243" t="inlineStr">
        <is>
          <t>ППК25105, (17.04.2025) [CNP]</t>
        </is>
      </c>
      <c r="X17" s="243" t="inlineStr">
        <is>
          <t>—</t>
        </is>
      </c>
      <c r="Y17" s="243" t="inlineStr">
        <is>
          <t>—</t>
        </is>
      </c>
      <c r="Z17" s="243" t="inlineStr">
        <is>
          <t>—</t>
        </is>
      </c>
      <c r="AA17" s="243" t="inlineStr">
        <is>
          <t>P050102|I</t>
        </is>
      </c>
      <c r="AB17" s="250" t="inlineStr">
        <is>
          <t>registered — initial release, issued 03.06.2026</t>
        </is>
      </c>
    </row>
    <row r="18">
      <c r="A18" s="243" t="n">
        <v>17</v>
      </c>
      <c r="B18" s="244" t="inlineStr">
        <is>
          <t>iCoA-PP_26-017</t>
        </is>
      </c>
      <c r="C18" s="249" t="inlineStr">
        <is>
          <t>yes</t>
        </is>
      </c>
      <c r="D18" s="245">
        <f>IF(A18="","",IF(ISNUMBER(E18),MAX(DATE(2026,6,3),E18),DATE(2026,6,3)))</f>
        <v/>
      </c>
      <c r="E18" s="245">
        <f>IFERROR(INDEX('Batch Dates'!$F:$F,MATCH(J18,'Batch Dates'!$C:$C,0)),IFERROR(INDEX('Batch Dates'!$F:$F,MATCH(I18,'Batch Dates'!$B:$B,0)),""))</f>
        <v/>
      </c>
      <c r="F18" s="245">
        <f>IFERROR(INDEX('Batch Dates'!$G:$G,MATCH(J18,'Batch Dates'!$C:$C,0)),IFERROR(INDEX('Batch Dates'!$G:$G,MATCH(I18,'Batch Dates'!$B:$B,0)),""))</f>
        <v/>
      </c>
      <c r="G18" s="243" t="inlineStr">
        <is>
          <t>legacy</t>
        </is>
      </c>
      <c r="H18" s="243" t="inlineStr">
        <is>
          <t>initial release</t>
        </is>
      </c>
      <c r="I18" s="244" t="inlineStr">
        <is>
          <t>MB0824_05</t>
        </is>
      </c>
      <c r="J18" s="243" t="inlineStr">
        <is>
          <t>P050112</t>
        </is>
      </c>
      <c r="K18" s="243" t="inlineStr">
        <is>
          <t>Motor Breath</t>
        </is>
      </c>
      <c r="L18" s="243" t="inlineStr">
        <is>
          <t>Ident A + Ident B + Foreign matter</t>
        </is>
      </c>
      <c r="M18" s="248" t="inlineStr">
        <is>
          <t>—</t>
        </is>
      </c>
      <c r="N18" s="243">
        <f>IFERROR(INDEX('CoQ Register'!$B:$B,MATCH("P050112|I",'CoQ Register'!$S:$S,0)),"—")</f>
        <v/>
      </c>
      <c r="O18" s="243" t="inlineStr">
        <is>
          <t>iCoA-PP-2025-0013</t>
        </is>
      </c>
      <c r="P18" s="243" t="inlineStr">
        <is>
          <t>25.08.2025</t>
        </is>
      </c>
      <c r="Q18" s="243" t="inlineStr">
        <is>
          <t>08.07.2025 – 09.07.2025</t>
        </is>
      </c>
      <c r="R18" s="243" t="inlineStr">
        <is>
          <t>25.08.2025 – 31.08.2025</t>
        </is>
      </c>
      <c r="S18" s="245">
        <f>IFERROR(INDEX('CoQ Register'!$D:$D,MATCH("P050112|I",'CoQ Register'!$S:$S,0)),"")</f>
        <v/>
      </c>
      <c r="T18" s="243" t="inlineStr">
        <is>
          <t>Conforms</t>
        </is>
      </c>
      <c r="U18" s="243" t="inlineStr">
        <is>
          <t>Conforms</t>
        </is>
      </c>
      <c r="V18" s="243" t="inlineStr">
        <is>
          <t>Conforms</t>
        </is>
      </c>
      <c r="W18" s="243" t="inlineStr">
        <is>
          <t>ППК25211, (28.07.2025) [CNP]</t>
        </is>
      </c>
      <c r="X18" s="243" t="inlineStr">
        <is>
          <t>—</t>
        </is>
      </c>
      <c r="Y18" s="243" t="inlineStr">
        <is>
          <t>—</t>
        </is>
      </c>
      <c r="Z18" s="243" t="inlineStr">
        <is>
          <t>—</t>
        </is>
      </c>
      <c r="AA18" s="243" t="inlineStr">
        <is>
          <t>P050112|I</t>
        </is>
      </c>
      <c r="AB18" s="250" t="inlineStr">
        <is>
          <t>registered — initial release, issued 03.06.2026</t>
        </is>
      </c>
    </row>
    <row r="19">
      <c r="A19" s="243" t="n">
        <v>18</v>
      </c>
      <c r="B19" s="244" t="inlineStr">
        <is>
          <t>iCoA-PP_26-018</t>
        </is>
      </c>
      <c r="C19" s="249" t="inlineStr">
        <is>
          <t>yes</t>
        </is>
      </c>
      <c r="D19" s="245">
        <f>IF(A19="","",IF(ISNUMBER(E19),MAX(DATE(2026,6,3),E19),DATE(2026,6,3)))</f>
        <v/>
      </c>
      <c r="E19" s="245">
        <f>IFERROR(INDEX('Batch Dates'!$F:$F,MATCH(J19,'Batch Dates'!$C:$C,0)),IFERROR(INDEX('Batch Dates'!$F:$F,MATCH(I19,'Batch Dates'!$B:$B,0)),""))</f>
        <v/>
      </c>
      <c r="F19" s="245">
        <f>IFERROR(INDEX('Batch Dates'!$G:$G,MATCH(J19,'Batch Dates'!$C:$C,0)),IFERROR(INDEX('Batch Dates'!$G:$G,MATCH(I19,'Batch Dates'!$B:$B,0)),""))</f>
        <v/>
      </c>
      <c r="G19" s="243" t="inlineStr">
        <is>
          <t>legacy</t>
        </is>
      </c>
      <c r="H19" s="243" t="inlineStr">
        <is>
          <t>initial release</t>
        </is>
      </c>
      <c r="I19" s="244" t="inlineStr">
        <is>
          <t>OPM052501</t>
        </is>
      </c>
      <c r="J19" s="243" t="inlineStr">
        <is>
          <t>P050132</t>
        </is>
      </c>
      <c r="K19" s="243" t="inlineStr">
        <is>
          <t>Orange Punch Mimosa</t>
        </is>
      </c>
      <c r="L19" s="243" t="inlineStr">
        <is>
          <t>Ident A + Ident B + Foreign matter</t>
        </is>
      </c>
      <c r="M19" s="248" t="inlineStr">
        <is>
          <t>—</t>
        </is>
      </c>
      <c r="N19" s="243">
        <f>IFERROR(INDEX('CoQ Register'!$B:$B,MATCH("P050132|I",'CoQ Register'!$S:$S,0)),"—")</f>
        <v/>
      </c>
      <c r="O19" s="248" t="inlineStr">
        <is>
          <t>—</t>
        </is>
      </c>
      <c r="P19" s="243" t="inlineStr">
        <is>
          <t>05.09.2025</t>
        </is>
      </c>
      <c r="Q19" s="243" t="inlineStr">
        <is>
          <t>11.08.2025 – 13.08.2025</t>
        </is>
      </c>
      <c r="R19" s="243" t="inlineStr">
        <is>
          <t>09.09.2025 – 15.09.2025 (the issuance plan's basis: 05.09.2025)</t>
        </is>
      </c>
      <c r="S19" s="245">
        <f>IFERROR(INDEX('CoQ Register'!$D:$D,MATCH("P050132|I",'CoQ Register'!$S:$S,0)),"")</f>
        <v/>
      </c>
      <c r="T19" s="243" t="inlineStr">
        <is>
          <t>Conforms</t>
        </is>
      </c>
      <c r="U19" s="243" t="inlineStr">
        <is>
          <t>Conforms</t>
        </is>
      </c>
      <c r="V19" s="243" t="inlineStr">
        <is>
          <t>Conforms</t>
        </is>
      </c>
      <c r="W19" s="243" t="inlineStr">
        <is>
          <t>ППК25257, (05.09.2025) [CNP]</t>
        </is>
      </c>
      <c r="X19" s="243" t="inlineStr">
        <is>
          <t>—</t>
        </is>
      </c>
      <c r="Y19" s="243" t="inlineStr">
        <is>
          <t>—</t>
        </is>
      </c>
      <c r="Z19" s="243" t="inlineStr">
        <is>
          <t>—</t>
        </is>
      </c>
      <c r="AA19" s="243" t="inlineStr">
        <is>
          <t>P050132|I</t>
        </is>
      </c>
      <c r="AB19" s="250" t="inlineStr">
        <is>
          <t>registered — initial release, issued 03.06.2026</t>
        </is>
      </c>
    </row>
    <row r="20">
      <c r="A20" s="243" t="n">
        <v>19</v>
      </c>
      <c r="B20" s="244" t="inlineStr">
        <is>
          <t>iCoA-PP_26-019</t>
        </is>
      </c>
      <c r="C20" s="249" t="inlineStr">
        <is>
          <t>yes</t>
        </is>
      </c>
      <c r="D20" s="245">
        <f>IF(A20="","",IF(ISNUMBER(E20),MAX(DATE(2026,6,3),E20),DATE(2026,6,3)))</f>
        <v/>
      </c>
      <c r="E20" s="245">
        <f>IFERROR(INDEX('Batch Dates'!$F:$F,MATCH(J20,'Batch Dates'!$C:$C,0)),IFERROR(INDEX('Batch Dates'!$F:$F,MATCH(I20,'Batch Dates'!$B:$B,0)),""))</f>
        <v/>
      </c>
      <c r="F20" s="245">
        <f>IFERROR(INDEX('Batch Dates'!$G:$G,MATCH(J20,'Batch Dates'!$C:$C,0)),IFERROR(INDEX('Batch Dates'!$G:$G,MATCH(I20,'Batch Dates'!$B:$B,0)),""))</f>
        <v/>
      </c>
      <c r="G20" s="243" t="inlineStr">
        <is>
          <t>legacy</t>
        </is>
      </c>
      <c r="H20" s="243" t="inlineStr">
        <is>
          <t>initial release</t>
        </is>
      </c>
      <c r="I20" s="244" t="inlineStr">
        <is>
          <t>GP052501</t>
        </is>
      </c>
      <c r="J20" s="243" t="inlineStr">
        <is>
          <t>P050152</t>
        </is>
      </c>
      <c r="K20" s="243" t="inlineStr">
        <is>
          <t>Grape Pie</t>
        </is>
      </c>
      <c r="L20" s="243" t="inlineStr">
        <is>
          <t>Ident A + Ident B + Foreign matter</t>
        </is>
      </c>
      <c r="M20" s="248" t="inlineStr">
        <is>
          <t>—</t>
        </is>
      </c>
      <c r="N20" s="243">
        <f>IFERROR(INDEX('CoQ Register'!$B:$B,MATCH("P050152|I",'CoQ Register'!$S:$S,0)),"—")</f>
        <v/>
      </c>
      <c r="O20" s="243" t="inlineStr">
        <is>
          <t>iCoA-PP-2025-0014</t>
        </is>
      </c>
      <c r="P20" s="243" t="inlineStr">
        <is>
          <t>25.09.2025</t>
        </is>
      </c>
      <c r="Q20" s="243" t="inlineStr">
        <is>
          <t>— not given —</t>
        </is>
      </c>
      <c r="R20" s="243" t="inlineStr">
        <is>
          <t>25.09.2025</t>
        </is>
      </c>
      <c r="S20" s="245">
        <f>IFERROR(INDEX('CoQ Register'!$D:$D,MATCH("P050152|I",'CoQ Register'!$S:$S,0)),"")</f>
        <v/>
      </c>
      <c r="T20" s="243" t="inlineStr">
        <is>
          <t>Conforms</t>
        </is>
      </c>
      <c r="U20" s="243" t="inlineStr">
        <is>
          <t>Conforms</t>
        </is>
      </c>
      <c r="V20" s="243" t="inlineStr">
        <is>
          <t>Conforms</t>
        </is>
      </c>
      <c r="W20" s="243" t="inlineStr">
        <is>
          <t>ППК25279, (19.09.2025) [CNP]</t>
        </is>
      </c>
      <c r="X20" s="243" t="inlineStr">
        <is>
          <t>—</t>
        </is>
      </c>
      <c r="Y20" s="243" t="inlineStr">
        <is>
          <t>—</t>
        </is>
      </c>
      <c r="Z20" s="243" t="inlineStr">
        <is>
          <t>—</t>
        </is>
      </c>
      <c r="AA20" s="243" t="inlineStr">
        <is>
          <t>P050152|I</t>
        </is>
      </c>
      <c r="AB20" s="250" t="inlineStr">
        <is>
          <t>registered — initial release, issued 03.06.2026</t>
        </is>
      </c>
    </row>
    <row r="21">
      <c r="A21" s="243" t="n">
        <v>20</v>
      </c>
      <c r="B21" s="244" t="inlineStr">
        <is>
          <t>iCoA-PP_26-020</t>
        </is>
      </c>
      <c r="C21" s="249" t="inlineStr">
        <is>
          <t>yes</t>
        </is>
      </c>
      <c r="D21" s="245">
        <f>IF(A21="","",IF(ISNUMBER(E21),MAX(DATE(2026,6,3),E21),DATE(2026,6,3)))</f>
        <v/>
      </c>
      <c r="E21" s="245">
        <f>IFERROR(INDEX('Batch Dates'!$F:$F,MATCH(J21,'Batch Dates'!$C:$C,0)),IFERROR(INDEX('Batch Dates'!$F:$F,MATCH(I21,'Batch Dates'!$B:$B,0)),""))</f>
        <v/>
      </c>
      <c r="F21" s="245">
        <f>IFERROR(INDEX('Batch Dates'!$G:$G,MATCH(J21,'Batch Dates'!$C:$C,0)),IFERROR(INDEX('Batch Dates'!$G:$G,MATCH(I21,'Batch Dates'!$B:$B,0)),""))</f>
        <v/>
      </c>
      <c r="G21" s="243" t="inlineStr">
        <is>
          <t>legacy</t>
        </is>
      </c>
      <c r="H21" s="243" t="inlineStr">
        <is>
          <t>initial release</t>
        </is>
      </c>
      <c r="I21" s="244" t="inlineStr">
        <is>
          <t>BSS1024_01/2</t>
        </is>
      </c>
      <c r="J21" s="243" t="inlineStr">
        <is>
          <t>P050142</t>
        </is>
      </c>
      <c r="K21" s="243" t="inlineStr">
        <is>
          <t>Blue Sunset Sherbet</t>
        </is>
      </c>
      <c r="L21" s="243" t="inlineStr">
        <is>
          <t>Ident A + Ident B + Foreign matter</t>
        </is>
      </c>
      <c r="M21" s="248" t="inlineStr">
        <is>
          <t>—</t>
        </is>
      </c>
      <c r="N21" s="243">
        <f>IFERROR(INDEX('CoQ Register'!$B:$B,MATCH("P050142|I",'CoQ Register'!$S:$S,0)),"—")</f>
        <v/>
      </c>
      <c r="O21" s="248" t="inlineStr">
        <is>
          <t>—</t>
        </is>
      </c>
      <c r="P21" s="243" t="inlineStr">
        <is>
          <t>30.09.2025</t>
        </is>
      </c>
      <c r="Q21" s="243" t="inlineStr">
        <is>
          <t>— not given —</t>
        </is>
      </c>
      <c r="R21" s="243" t="inlineStr">
        <is>
          <t>30.09.2025</t>
        </is>
      </c>
      <c r="S21" s="245">
        <f>IFERROR(INDEX('CoQ Register'!$D:$D,MATCH("P050142|I",'CoQ Register'!$S:$S,0)),"")</f>
        <v/>
      </c>
      <c r="T21" s="243" t="inlineStr">
        <is>
          <t>Conforms</t>
        </is>
      </c>
      <c r="U21" s="243" t="inlineStr">
        <is>
          <t>Conforms</t>
        </is>
      </c>
      <c r="V21" s="243" t="inlineStr">
        <is>
          <t>Conforms</t>
        </is>
      </c>
      <c r="W21" s="243" t="inlineStr">
        <is>
          <t>— no cannabinoid certificate from the initial testing —</t>
        </is>
      </c>
      <c r="X21" s="243" t="inlineStr">
        <is>
          <t>—</t>
        </is>
      </c>
      <c r="Y21" s="243" t="inlineStr">
        <is>
          <t>—</t>
        </is>
      </c>
      <c r="Z21" s="243" t="inlineStr">
        <is>
          <t>—</t>
        </is>
      </c>
      <c r="AA21" s="243" t="inlineStr">
        <is>
          <t>P050142|I</t>
        </is>
      </c>
      <c r="AB21" s="250" t="inlineStr">
        <is>
          <t>registered — initial release, issued 03.06.2026</t>
        </is>
      </c>
    </row>
    <row r="22">
      <c r="A22" s="243" t="n">
        <v>21</v>
      </c>
      <c r="B22" s="244" t="inlineStr">
        <is>
          <t>iCoA-PP_26-021</t>
        </is>
      </c>
      <c r="C22" s="249" t="inlineStr">
        <is>
          <t>yes</t>
        </is>
      </c>
      <c r="D22" s="245">
        <f>IF(A22="","",IF(ISNUMBER(E22),MAX(DATE(2026,6,3),E22),DATE(2026,6,3)))</f>
        <v/>
      </c>
      <c r="E22" s="245">
        <f>IFERROR(INDEX('Batch Dates'!$F:$F,MATCH(J22,'Batch Dates'!$C:$C,0)),IFERROR(INDEX('Batch Dates'!$F:$F,MATCH(I22,'Batch Dates'!$B:$B,0)),""))</f>
        <v/>
      </c>
      <c r="F22" s="245">
        <f>IFERROR(INDEX('Batch Dates'!$G:$G,MATCH(J22,'Batch Dates'!$C:$C,0)),IFERROR(INDEX('Batch Dates'!$G:$G,MATCH(I22,'Batch Dates'!$B:$B,0)),""))</f>
        <v/>
      </c>
      <c r="G22" s="243" t="inlineStr">
        <is>
          <t>legacy</t>
        </is>
      </c>
      <c r="H22" s="243" t="inlineStr">
        <is>
          <t>initial release</t>
        </is>
      </c>
      <c r="I22" s="244" t="inlineStr">
        <is>
          <t>CJ052501/01</t>
        </is>
      </c>
      <c r="J22" s="243" t="inlineStr">
        <is>
          <t>P050162</t>
        </is>
      </c>
      <c r="K22" s="243" t="inlineStr">
        <is>
          <t>Cap Junky</t>
        </is>
      </c>
      <c r="L22" s="243" t="inlineStr">
        <is>
          <t>Ident A + Ident B + Foreign matter</t>
        </is>
      </c>
      <c r="M22" s="248" t="inlineStr">
        <is>
          <t>—</t>
        </is>
      </c>
      <c r="N22" s="243">
        <f>IFERROR(INDEX('CoQ Register'!$B:$B,MATCH("P050162|I",'CoQ Register'!$S:$S,0)),"—")</f>
        <v/>
      </c>
      <c r="O22" s="243" t="inlineStr">
        <is>
          <t>iCoA-PP-2025-0015</t>
        </is>
      </c>
      <c r="P22" s="243" t="inlineStr">
        <is>
          <t>30.09.2025</t>
        </is>
      </c>
      <c r="Q22" s="243" t="inlineStr">
        <is>
          <t>20.08.2025</t>
        </is>
      </c>
      <c r="R22" s="243" t="inlineStr">
        <is>
          <t>30.09.2025 – 01.10.2025</t>
        </is>
      </c>
      <c r="S22" s="245">
        <f>IFERROR(INDEX('CoQ Register'!$D:$D,MATCH("P050162|I",'CoQ Register'!$S:$S,0)),"")</f>
        <v/>
      </c>
      <c r="T22" s="243" t="inlineStr">
        <is>
          <t>Conforms</t>
        </is>
      </c>
      <c r="U22" s="243" t="inlineStr">
        <is>
          <t>Conforms</t>
        </is>
      </c>
      <c r="V22" s="243" t="inlineStr">
        <is>
          <t>Conforms</t>
        </is>
      </c>
      <c r="W22" s="243" t="inlineStr">
        <is>
          <t>ППК25280, (17.09.2025) [CNP]</t>
        </is>
      </c>
      <c r="X22" s="243" t="inlineStr">
        <is>
          <t>—</t>
        </is>
      </c>
      <c r="Y22" s="243" t="inlineStr">
        <is>
          <t>—</t>
        </is>
      </c>
      <c r="Z22" s="243" t="inlineStr">
        <is>
          <t>—</t>
        </is>
      </c>
      <c r="AA22" s="243" t="inlineStr">
        <is>
          <t>P050162|I</t>
        </is>
      </c>
      <c r="AB22" s="250" t="inlineStr">
        <is>
          <t>registered — initial release, issued 03.06.2026</t>
        </is>
      </c>
    </row>
    <row r="23">
      <c r="A23" s="243" t="n">
        <v>22</v>
      </c>
      <c r="B23" s="244" t="inlineStr">
        <is>
          <t>iCoA-PP_26-022</t>
        </is>
      </c>
      <c r="C23" s="249" t="inlineStr">
        <is>
          <t>yes</t>
        </is>
      </c>
      <c r="D23" s="245">
        <f>IF(A23="","",IF(ISNUMBER(E23),MAX(DATE(2026,6,3),E23),DATE(2026,6,3)))</f>
        <v/>
      </c>
      <c r="E23" s="245">
        <f>IFERROR(INDEX('Batch Dates'!$F:$F,MATCH(J23,'Batch Dates'!$C:$C,0)),IFERROR(INDEX('Batch Dates'!$F:$F,MATCH(I23,'Batch Dates'!$B:$B,0)),""))</f>
        <v/>
      </c>
      <c r="F23" s="245">
        <f>IFERROR(INDEX('Batch Dates'!$G:$G,MATCH(J23,'Batch Dates'!$C:$C,0)),IFERROR(INDEX('Batch Dates'!$G:$G,MATCH(I23,'Batch Dates'!$B:$B,0)),""))</f>
        <v/>
      </c>
      <c r="G23" s="243" t="inlineStr">
        <is>
          <t>legacy</t>
        </is>
      </c>
      <c r="H23" s="243" t="inlineStr">
        <is>
          <t>initial release</t>
        </is>
      </c>
      <c r="I23" s="244" t="inlineStr">
        <is>
          <t>CJ052501/02</t>
        </is>
      </c>
      <c r="J23" s="243" t="inlineStr">
        <is>
          <t>P050172</t>
        </is>
      </c>
      <c r="K23" s="243" t="inlineStr">
        <is>
          <t>Cap Junky</t>
        </is>
      </c>
      <c r="L23" s="243" t="inlineStr">
        <is>
          <t>Ident A + Ident B + Foreign matter</t>
        </is>
      </c>
      <c r="M23" s="248" t="inlineStr">
        <is>
          <t>—</t>
        </is>
      </c>
      <c r="N23" s="243">
        <f>IFERROR(INDEX('CoQ Register'!$B:$B,MATCH("P050172|I",'CoQ Register'!$S:$S,0)),"—")</f>
        <v/>
      </c>
      <c r="O23" s="248" t="inlineStr">
        <is>
          <t>—</t>
        </is>
      </c>
      <c r="P23" s="243" t="inlineStr">
        <is>
          <t>17.09.2025</t>
        </is>
      </c>
      <c r="Q23" s="243" t="inlineStr">
        <is>
          <t>20.08.2025</t>
        </is>
      </c>
      <c r="R23" s="243" t="inlineStr">
        <is>
          <t>01.10.2025 – 02.10.2025 (the issuance plan's basis: 17.09.2025)</t>
        </is>
      </c>
      <c r="S23" s="245">
        <f>IFERROR(INDEX('CoQ Register'!$D:$D,MATCH("P050172|I",'CoQ Register'!$S:$S,0)),"")</f>
        <v/>
      </c>
      <c r="T23" s="243" t="inlineStr">
        <is>
          <t>Conforms</t>
        </is>
      </c>
      <c r="U23" s="243" t="inlineStr">
        <is>
          <t>Conforms</t>
        </is>
      </c>
      <c r="V23" s="243" t="inlineStr">
        <is>
          <t>Conforms</t>
        </is>
      </c>
      <c r="W23" s="243" t="inlineStr">
        <is>
          <t>ППК25281, (17.09.2025) [CNP]</t>
        </is>
      </c>
      <c r="X23" s="243" t="inlineStr">
        <is>
          <t>—</t>
        </is>
      </c>
      <c r="Y23" s="243" t="inlineStr">
        <is>
          <t>—</t>
        </is>
      </c>
      <c r="Z23" s="243" t="inlineStr">
        <is>
          <t>—</t>
        </is>
      </c>
      <c r="AA23" s="243" t="inlineStr">
        <is>
          <t>P050172|I</t>
        </is>
      </c>
      <c r="AB23" s="250" t="inlineStr">
        <is>
          <t>registered — initial release, issued 03.06.2026</t>
        </is>
      </c>
    </row>
    <row r="24">
      <c r="A24" s="243" t="n">
        <v>23</v>
      </c>
      <c r="B24" s="244" t="inlineStr">
        <is>
          <t>iCoA-PP_26-023</t>
        </is>
      </c>
      <c r="C24" s="249" t="inlineStr">
        <is>
          <t>yes</t>
        </is>
      </c>
      <c r="D24" s="245">
        <f>IF(A24="","",IF(ISNUMBER(E24),MAX(DATE(2026,6,3),E24),DATE(2026,6,3)))</f>
        <v/>
      </c>
      <c r="E24" s="245">
        <f>IFERROR(INDEX('Batch Dates'!$F:$F,MATCH(J24,'Batch Dates'!$C:$C,0)),IFERROR(INDEX('Batch Dates'!$F:$F,MATCH(I24,'Batch Dates'!$B:$B,0)),""))</f>
        <v/>
      </c>
      <c r="F24" s="245">
        <f>IFERROR(INDEX('Batch Dates'!$G:$G,MATCH(J24,'Batch Dates'!$C:$C,0)),IFERROR(INDEX('Batch Dates'!$G:$G,MATCH(I24,'Batch Dates'!$B:$B,0)),""))</f>
        <v/>
      </c>
      <c r="G24" s="243" t="inlineStr">
        <is>
          <t>legacy</t>
        </is>
      </c>
      <c r="H24" s="243" t="inlineStr">
        <is>
          <t>initial release</t>
        </is>
      </c>
      <c r="I24" s="244" t="inlineStr">
        <is>
          <t>HPA052501</t>
        </is>
      </c>
      <c r="J24" s="243" t="inlineStr">
        <is>
          <t>P050182</t>
        </is>
      </c>
      <c r="K24" s="243" t="inlineStr">
        <is>
          <t>High Pro Amnesia</t>
        </is>
      </c>
      <c r="L24" s="243" t="inlineStr">
        <is>
          <t>Ident A + Ident B + Foreign matter</t>
        </is>
      </c>
      <c r="M24" s="248" t="inlineStr">
        <is>
          <t>—</t>
        </is>
      </c>
      <c r="N24" s="243">
        <f>IFERROR(INDEX('CoQ Register'!$B:$B,MATCH("P050182|I",'CoQ Register'!$S:$S,0)),"—")</f>
        <v/>
      </c>
      <c r="O24" s="243" t="inlineStr">
        <is>
          <t>iCoA-PP-2025-0016</t>
        </is>
      </c>
      <c r="P24" s="243" t="inlineStr">
        <is>
          <t>03.10.2025</t>
        </is>
      </c>
      <c r="Q24" s="243" t="inlineStr">
        <is>
          <t>21.08.2025 – 23.08.2025</t>
        </is>
      </c>
      <c r="R24" s="243" t="inlineStr">
        <is>
          <t>03.10.2025 – 09.10.2025</t>
        </is>
      </c>
      <c r="S24" s="245">
        <f>IFERROR(INDEX('CoQ Register'!$D:$D,MATCH("P050182|I",'CoQ Register'!$S:$S,0)),"")</f>
        <v/>
      </c>
      <c r="T24" s="243" t="inlineStr">
        <is>
          <t>Conforms</t>
        </is>
      </c>
      <c r="U24" s="243" t="inlineStr">
        <is>
          <t>Conforms</t>
        </is>
      </c>
      <c r="V24" s="243" t="inlineStr">
        <is>
          <t>Conforms</t>
        </is>
      </c>
      <c r="W24" s="243" t="inlineStr">
        <is>
          <t>ППК25278, (19.09.2025) [CNP]</t>
        </is>
      </c>
      <c r="X24" s="243" t="inlineStr">
        <is>
          <t>—</t>
        </is>
      </c>
      <c r="Y24" s="243" t="inlineStr">
        <is>
          <t>—</t>
        </is>
      </c>
      <c r="Z24" s="243" t="inlineStr">
        <is>
          <t>—</t>
        </is>
      </c>
      <c r="AA24" s="243" t="inlineStr">
        <is>
          <t>P050182|I</t>
        </is>
      </c>
      <c r="AB24" s="250" t="inlineStr">
        <is>
          <t>registered — initial release, issued 03.06.2026</t>
        </is>
      </c>
    </row>
    <row r="25">
      <c r="A25" s="243" t="n">
        <v>24</v>
      </c>
      <c r="B25" s="244" t="inlineStr">
        <is>
          <t>iCoA-PP_26-024</t>
        </is>
      </c>
      <c r="C25" s="249" t="inlineStr">
        <is>
          <t>yes</t>
        </is>
      </c>
      <c r="D25" s="245">
        <f>IF(A25="","",IF(ISNUMBER(E25),MAX(DATE(2026,6,3),E25),DATE(2026,6,3)))</f>
        <v/>
      </c>
      <c r="E25" s="245">
        <f>IFERROR(INDEX('Batch Dates'!$F:$F,MATCH(J25,'Batch Dates'!$C:$C,0)),IFERROR(INDEX('Batch Dates'!$F:$F,MATCH(I25,'Batch Dates'!$B:$B,0)),""))</f>
        <v/>
      </c>
      <c r="F25" s="245">
        <f>IFERROR(INDEX('Batch Dates'!$G:$G,MATCH(J25,'Batch Dates'!$C:$C,0)),IFERROR(INDEX('Batch Dates'!$G:$G,MATCH(I25,'Batch Dates'!$B:$B,0)),""))</f>
        <v/>
      </c>
      <c r="G25" s="243" t="inlineStr">
        <is>
          <t>legacy</t>
        </is>
      </c>
      <c r="H25" s="243" t="inlineStr">
        <is>
          <t>initial release</t>
        </is>
      </c>
      <c r="I25" s="244" t="inlineStr">
        <is>
          <t>BSS052501</t>
        </is>
      </c>
      <c r="J25" s="243" t="inlineStr">
        <is>
          <t>P050192</t>
        </is>
      </c>
      <c r="K25" s="243" t="inlineStr">
        <is>
          <t>Blue Sunset Sherbet</t>
        </is>
      </c>
      <c r="L25" s="243" t="inlineStr">
        <is>
          <t>Ident A + Ident B + #4 + #5 + Foreign matter + #8</t>
        </is>
      </c>
      <c r="M25" s="248" t="inlineStr">
        <is>
          <t>—</t>
        </is>
      </c>
      <c r="N25" s="243">
        <f>IFERROR(INDEX('CoQ Register'!$B:$B,MATCH("P050192|I",'CoQ Register'!$S:$S,0)),"—")</f>
        <v/>
      </c>
      <c r="O25" s="243" t="inlineStr">
        <is>
          <t>iCoA-PP-2025-0017</t>
        </is>
      </c>
      <c r="P25" s="243" t="inlineStr">
        <is>
          <t>10.10.2025</t>
        </is>
      </c>
      <c r="Q25" s="243" t="inlineStr">
        <is>
          <t>01.09.2025 – 03.09.2025</t>
        </is>
      </c>
      <c r="R25" s="243" t="inlineStr">
        <is>
          <t>10.10.2025 – 21.10.2025</t>
        </is>
      </c>
      <c r="S25" s="245">
        <f>IFERROR(INDEX('CoQ Register'!$D:$D,MATCH("P050192|I",'CoQ Register'!$S:$S,0)),"")</f>
        <v/>
      </c>
      <c r="T25" s="243" t="inlineStr">
        <is>
          <t>Conforms</t>
        </is>
      </c>
      <c r="U25" s="243" t="inlineStr">
        <is>
          <t>Conforms</t>
        </is>
      </c>
      <c r="V25" s="243" t="inlineStr">
        <is>
          <t>Conforms</t>
        </is>
      </c>
      <c r="W25" s="243" t="inlineStr">
        <is>
          <t>NGP-QCG-SOP-024 F3, (28.11.2025) [NGP]</t>
        </is>
      </c>
      <c r="X25" s="243" t="inlineStr">
        <is>
          <t>—</t>
        </is>
      </c>
      <c r="Y25" s="243" t="inlineStr">
        <is>
          <t>—</t>
        </is>
      </c>
      <c r="Z25" s="243" t="inlineStr">
        <is>
          <t>—</t>
        </is>
      </c>
      <c r="AA25" s="243" t="inlineStr">
        <is>
          <t>P050192|I</t>
        </is>
      </c>
      <c r="AB25" s="250" t="inlineStr">
        <is>
          <t>registered — initial release, issued 03.06.2026</t>
        </is>
      </c>
    </row>
    <row r="26">
      <c r="A26" s="243" t="n">
        <v>25</v>
      </c>
      <c r="B26" s="244" t="inlineStr">
        <is>
          <t>iCoA-PP_26-025</t>
        </is>
      </c>
      <c r="C26" s="249" t="inlineStr">
        <is>
          <t>yes</t>
        </is>
      </c>
      <c r="D26" s="245">
        <f>IF(A26="","",IF(ISNUMBER(E26),MAX(DATE(2026,6,3),E26),DATE(2026,6,3)))</f>
        <v/>
      </c>
      <c r="E26" s="245">
        <f>IFERROR(INDEX('Batch Dates'!$F:$F,MATCH(J26,'Batch Dates'!$C:$C,0)),IFERROR(INDEX('Batch Dates'!$F:$F,MATCH(I26,'Batch Dates'!$B:$B,0)),""))</f>
        <v/>
      </c>
      <c r="F26" s="245">
        <f>IFERROR(INDEX('Batch Dates'!$G:$G,MATCH(J26,'Batch Dates'!$C:$C,0)),IFERROR(INDEX('Batch Dates'!$G:$G,MATCH(I26,'Batch Dates'!$B:$B,0)),""))</f>
        <v/>
      </c>
      <c r="G26" s="243" t="inlineStr">
        <is>
          <t>legacy</t>
        </is>
      </c>
      <c r="H26" s="243" t="inlineStr">
        <is>
          <t>initial release</t>
        </is>
      </c>
      <c r="I26" s="244" t="inlineStr">
        <is>
          <t>GP062501</t>
        </is>
      </c>
      <c r="J26" s="243" t="inlineStr">
        <is>
          <t>P050202</t>
        </is>
      </c>
      <c r="K26" s="243" t="inlineStr">
        <is>
          <t>Grape Pie</t>
        </is>
      </c>
      <c r="L26" s="243" t="inlineStr">
        <is>
          <t>Ident A + Ident B + #4 + #5 + Foreign matter + #8</t>
        </is>
      </c>
      <c r="M26" s="248" t="inlineStr">
        <is>
          <t>—</t>
        </is>
      </c>
      <c r="N26" s="243">
        <f>IFERROR(INDEX('CoQ Register'!$B:$B,MATCH("P050202|I",'CoQ Register'!$S:$S,0)),"—")</f>
        <v/>
      </c>
      <c r="O26" s="248" t="inlineStr">
        <is>
          <t>—</t>
        </is>
      </c>
      <c r="P26" s="243" t="inlineStr">
        <is>
          <t>11.05.2026</t>
        </is>
      </c>
      <c r="Q26" s="243" t="inlineStr">
        <is>
          <t>15.09.2025 – 17.09.2025</t>
        </is>
      </c>
      <c r="R26" s="243" t="inlineStr">
        <is>
          <t>30.10.2025 – 07.11.2025 (the issuance plan's basis: 11.05.2026)</t>
        </is>
      </c>
      <c r="S26" s="245">
        <f>IFERROR(INDEX('CoQ Register'!$D:$D,MATCH("P050202|I",'CoQ Register'!$S:$S,0)),"")</f>
        <v/>
      </c>
      <c r="T26" s="243" t="inlineStr">
        <is>
          <t>Conforms</t>
        </is>
      </c>
      <c r="U26" s="243" t="inlineStr">
        <is>
          <t>Conforms</t>
        </is>
      </c>
      <c r="V26" s="243" t="inlineStr">
        <is>
          <t>Conforms</t>
        </is>
      </c>
      <c r="W26" s="243" t="inlineStr">
        <is>
          <t>NGP-QCG-SOP-024 F3, (28.11.2025) [NGP]</t>
        </is>
      </c>
      <c r="X26" s="243" t="inlineStr">
        <is>
          <t>—</t>
        </is>
      </c>
      <c r="Y26" s="243" t="inlineStr">
        <is>
          <t>—</t>
        </is>
      </c>
      <c r="Z26" s="243" t="inlineStr">
        <is>
          <t>—</t>
        </is>
      </c>
      <c r="AA26" s="243" t="inlineStr">
        <is>
          <t>P050202|I</t>
        </is>
      </c>
      <c r="AB26" s="250" t="inlineStr">
        <is>
          <t>registered — initial release, issued 03.06.2026</t>
        </is>
      </c>
    </row>
    <row r="27">
      <c r="A27" s="243" t="n">
        <v>26</v>
      </c>
      <c r="B27" s="244" t="inlineStr">
        <is>
          <t>iCoA-PP_26-026</t>
        </is>
      </c>
      <c r="C27" s="249" t="inlineStr">
        <is>
          <t>yes</t>
        </is>
      </c>
      <c r="D27" s="245">
        <f>IF(A27="","",IF(ISNUMBER(E27),MAX(DATE(2026,6,3),E27),DATE(2026,6,3)))</f>
        <v/>
      </c>
      <c r="E27" s="245">
        <f>IFERROR(INDEX('Batch Dates'!$F:$F,MATCH(J27,'Batch Dates'!$C:$C,0)),IFERROR(INDEX('Batch Dates'!$F:$F,MATCH(I27,'Batch Dates'!$B:$B,0)),""))</f>
        <v/>
      </c>
      <c r="F27" s="245">
        <f>IFERROR(INDEX('Batch Dates'!$G:$G,MATCH(J27,'Batch Dates'!$C:$C,0)),IFERROR(INDEX('Batch Dates'!$G:$G,MATCH(I27,'Batch Dates'!$B:$B,0)),""))</f>
        <v/>
      </c>
      <c r="G27" s="243" t="inlineStr">
        <is>
          <t>legacy</t>
        </is>
      </c>
      <c r="H27" s="243" t="inlineStr">
        <is>
          <t>initial release</t>
        </is>
      </c>
      <c r="I27" s="244" t="inlineStr">
        <is>
          <t>CJ062501/2</t>
        </is>
      </c>
      <c r="J27" s="243" t="inlineStr">
        <is>
          <t>P050212</t>
        </is>
      </c>
      <c r="K27" s="243" t="inlineStr">
        <is>
          <t>Cap Junky</t>
        </is>
      </c>
      <c r="L27" s="243" t="inlineStr">
        <is>
          <t>Ident A + Ident B + Foreign matter</t>
        </is>
      </c>
      <c r="M27" s="248" t="inlineStr">
        <is>
          <t>—</t>
        </is>
      </c>
      <c r="N27" s="243">
        <f>IFERROR(INDEX('CoQ Register'!$B:$B,MATCH("P050212|I",'CoQ Register'!$S:$S,0)),"—")</f>
        <v/>
      </c>
      <c r="O27" s="248" t="inlineStr">
        <is>
          <t>—</t>
        </is>
      </c>
      <c r="P27" s="243" t="inlineStr">
        <is>
          <t>24.01.2026</t>
        </is>
      </c>
      <c r="Q27" s="243" t="inlineStr">
        <is>
          <t>23.09.2025 – 24.09.2025</t>
        </is>
      </c>
      <c r="R27" s="243" t="inlineStr">
        <is>
          <t>18.11.2025 – 24.11.2025 (the issuance plan's basis: 24.01.2026)</t>
        </is>
      </c>
      <c r="S27" s="245">
        <f>IFERROR(INDEX('CoQ Register'!$D:$D,MATCH("P050212|I",'CoQ Register'!$S:$S,0)),"")</f>
        <v/>
      </c>
      <c r="T27" s="243" t="inlineStr">
        <is>
          <t>Conforms</t>
        </is>
      </c>
      <c r="U27" s="243" t="inlineStr">
        <is>
          <t>Conforms</t>
        </is>
      </c>
      <c r="V27" s="243" t="inlineStr">
        <is>
          <t>Conforms</t>
        </is>
      </c>
      <c r="W27" s="243" t="inlineStr">
        <is>
          <t>ППК25322, (23.10.2025) [CNP]</t>
        </is>
      </c>
      <c r="X27" s="243" t="inlineStr">
        <is>
          <t>—</t>
        </is>
      </c>
      <c r="Y27" s="243" t="inlineStr">
        <is>
          <t>—</t>
        </is>
      </c>
      <c r="Z27" s="243" t="inlineStr">
        <is>
          <t>—</t>
        </is>
      </c>
      <c r="AA27" s="243" t="inlineStr">
        <is>
          <t>P050212|I</t>
        </is>
      </c>
      <c r="AB27" s="250" t="inlineStr">
        <is>
          <t>registered — initial release, issued 03.06.2026</t>
        </is>
      </c>
    </row>
    <row r="28">
      <c r="A28" s="243" t="n">
        <v>27</v>
      </c>
      <c r="B28" s="244" t="inlineStr">
        <is>
          <t>iCoA-PP_26-027</t>
        </is>
      </c>
      <c r="C28" s="249" t="inlineStr">
        <is>
          <t>yes</t>
        </is>
      </c>
      <c r="D28" s="245">
        <f>IF(A28="","",IF(ISNUMBER(E28),MAX(DATE(2026,6,3),E28),DATE(2026,6,3)))</f>
        <v/>
      </c>
      <c r="E28" s="245">
        <f>IFERROR(INDEX('Batch Dates'!$F:$F,MATCH(J28,'Batch Dates'!$C:$C,0)),IFERROR(INDEX('Batch Dates'!$F:$F,MATCH(I28,'Batch Dates'!$B:$B,0)),""))</f>
        <v/>
      </c>
      <c r="F28" s="245">
        <f>IFERROR(INDEX('Batch Dates'!$G:$G,MATCH(J28,'Batch Dates'!$C:$C,0)),IFERROR(INDEX('Batch Dates'!$G:$G,MATCH(I28,'Batch Dates'!$B:$B,0)),""))</f>
        <v/>
      </c>
      <c r="G28" s="243" t="inlineStr">
        <is>
          <t>legacy</t>
        </is>
      </c>
      <c r="H28" s="243" t="inlineStr">
        <is>
          <t>initial release</t>
        </is>
      </c>
      <c r="I28" s="244" t="inlineStr">
        <is>
          <t>CJ062501/1</t>
        </is>
      </c>
      <c r="J28" s="243" t="inlineStr">
        <is>
          <t>P050222</t>
        </is>
      </c>
      <c r="K28" s="243" t="inlineStr">
        <is>
          <t>Cap Junky</t>
        </is>
      </c>
      <c r="L28" s="243" t="inlineStr">
        <is>
          <t>Ident A + Ident B + Foreign matter</t>
        </is>
      </c>
      <c r="M28" s="248" t="inlineStr">
        <is>
          <t>—</t>
        </is>
      </c>
      <c r="N28" s="243">
        <f>IFERROR(INDEX('CoQ Register'!$B:$B,MATCH("P050222|I",'CoQ Register'!$S:$S,0)),"—")</f>
        <v/>
      </c>
      <c r="O28" s="243" t="inlineStr">
        <is>
          <t>iCoA-PP-2025-0018</t>
        </is>
      </c>
      <c r="P28" s="243" t="inlineStr">
        <is>
          <t>24.11.2025</t>
        </is>
      </c>
      <c r="Q28" s="243" t="inlineStr">
        <is>
          <t>23.09.2025</t>
        </is>
      </c>
      <c r="R28" s="243" t="inlineStr">
        <is>
          <t>24.11.2025 – 25.11.2025</t>
        </is>
      </c>
      <c r="S28" s="245">
        <f>IFERROR(INDEX('CoQ Register'!$D:$D,MATCH("P050222|I",'CoQ Register'!$S:$S,0)),"")</f>
        <v/>
      </c>
      <c r="T28" s="243" t="inlineStr">
        <is>
          <t>Conforms</t>
        </is>
      </c>
      <c r="U28" s="243" t="inlineStr">
        <is>
          <t>Conforms</t>
        </is>
      </c>
      <c r="V28" s="243" t="inlineStr">
        <is>
          <t>Conforms</t>
        </is>
      </c>
      <c r="W28" s="243" t="inlineStr">
        <is>
          <t>ППК25321, (23.10.2025) [CNP]</t>
        </is>
      </c>
      <c r="X28" s="243" t="inlineStr">
        <is>
          <t>—</t>
        </is>
      </c>
      <c r="Y28" s="243" t="inlineStr">
        <is>
          <t>—</t>
        </is>
      </c>
      <c r="Z28" s="243" t="inlineStr">
        <is>
          <t>—</t>
        </is>
      </c>
      <c r="AA28" s="243" t="inlineStr">
        <is>
          <t>P050222|I</t>
        </is>
      </c>
      <c r="AB28" s="250" t="inlineStr">
        <is>
          <t>registered — initial release, issued 03.06.2026</t>
        </is>
      </c>
    </row>
    <row r="29">
      <c r="A29" s="243" t="n">
        <v>28</v>
      </c>
      <c r="B29" s="244" t="inlineStr">
        <is>
          <t>iCoA-PP_26-028</t>
        </is>
      </c>
      <c r="C29" s="249" t="inlineStr">
        <is>
          <t>yes</t>
        </is>
      </c>
      <c r="D29" s="245">
        <f>IF(A29="","",IF(ISNUMBER(E29),MAX(DATE(2026,6,3),E29),DATE(2026,6,3)))</f>
        <v/>
      </c>
      <c r="E29" s="245">
        <f>IFERROR(INDEX('Batch Dates'!$F:$F,MATCH(J29,'Batch Dates'!$C:$C,0)),IFERROR(INDEX('Batch Dates'!$F:$F,MATCH(I29,'Batch Dates'!$B:$B,0)),""))</f>
        <v/>
      </c>
      <c r="F29" s="245">
        <f>IFERROR(INDEX('Batch Dates'!$G:$G,MATCH(J29,'Batch Dates'!$C:$C,0)),IFERROR(INDEX('Batch Dates'!$G:$G,MATCH(I29,'Batch Dates'!$B:$B,0)),""))</f>
        <v/>
      </c>
      <c r="G29" s="243" t="inlineStr">
        <is>
          <t>legacy</t>
        </is>
      </c>
      <c r="H29" s="243" t="inlineStr">
        <is>
          <t>initial release</t>
        </is>
      </c>
      <c r="I29" s="244" t="inlineStr">
        <is>
          <t>CJ072501</t>
        </is>
      </c>
      <c r="J29" s="243" t="inlineStr">
        <is>
          <t>P050252</t>
        </is>
      </c>
      <c r="K29" s="243" t="inlineStr">
        <is>
          <t>Cap Junky</t>
        </is>
      </c>
      <c r="L29" s="243" t="inlineStr">
        <is>
          <t>Ident A + Ident B + Foreign matter</t>
        </is>
      </c>
      <c r="M29" s="248" t="inlineStr">
        <is>
          <t>—</t>
        </is>
      </c>
      <c r="N29" s="243">
        <f>IFERROR(INDEX('CoQ Register'!$B:$B,MATCH("P050252|I",'CoQ Register'!$S:$S,0)),"—")</f>
        <v/>
      </c>
      <c r="O29" s="248" t="inlineStr">
        <is>
          <t>—</t>
        </is>
      </c>
      <c r="P29" s="243" t="inlineStr">
        <is>
          <t>02.12.2025</t>
        </is>
      </c>
      <c r="Q29" s="243" t="inlineStr">
        <is>
          <t>27.10.2025</t>
        </is>
      </c>
      <c r="R29" s="243" t="inlineStr">
        <is>
          <t>27.11.2025 – 28.11.2025 (the issuance plan's basis: 02.12.2025)</t>
        </is>
      </c>
      <c r="S29" s="245">
        <f>IFERROR(INDEX('CoQ Register'!$D:$D,MATCH("P050252|I",'CoQ Register'!$S:$S,0)),"")</f>
        <v/>
      </c>
      <c r="T29" s="243" t="inlineStr">
        <is>
          <t>Conforms</t>
        </is>
      </c>
      <c r="U29" s="243" t="inlineStr">
        <is>
          <t>Conforms</t>
        </is>
      </c>
      <c r="V29" s="243" t="inlineStr">
        <is>
          <t>Conforms</t>
        </is>
      </c>
      <c r="W29" s="243" t="inlineStr">
        <is>
          <t>ППК25367, (28.11.2025) [CNP]</t>
        </is>
      </c>
      <c r="X29" s="243" t="inlineStr">
        <is>
          <t>—</t>
        </is>
      </c>
      <c r="Y29" s="243" t="inlineStr">
        <is>
          <t>—</t>
        </is>
      </c>
      <c r="Z29" s="243" t="inlineStr">
        <is>
          <t>—</t>
        </is>
      </c>
      <c r="AA29" s="243" t="inlineStr">
        <is>
          <t>P050252|I</t>
        </is>
      </c>
      <c r="AB29" s="250" t="inlineStr">
        <is>
          <t>registered — initial release, issued 03.06.2026</t>
        </is>
      </c>
    </row>
    <row r="30">
      <c r="A30" s="243" t="n">
        <v>29</v>
      </c>
      <c r="B30" s="244" t="inlineStr">
        <is>
          <t>iCoA-PP_26-029</t>
        </is>
      </c>
      <c r="C30" s="249" t="inlineStr">
        <is>
          <t>yes</t>
        </is>
      </c>
      <c r="D30" s="245">
        <f>IF(A30="","",IF(ISNUMBER(E30),MAX(DATE(2026,6,3),E30),DATE(2026,6,3)))</f>
        <v/>
      </c>
      <c r="E30" s="245">
        <f>IFERROR(INDEX('Batch Dates'!$F:$F,MATCH(J30,'Batch Dates'!$C:$C,0)),IFERROR(INDEX('Batch Dates'!$F:$F,MATCH(I30,'Batch Dates'!$B:$B,0)),""))</f>
        <v/>
      </c>
      <c r="F30" s="245">
        <f>IFERROR(INDEX('Batch Dates'!$G:$G,MATCH(J30,'Batch Dates'!$C:$C,0)),IFERROR(INDEX('Batch Dates'!$G:$G,MATCH(I30,'Batch Dates'!$B:$B,0)),""))</f>
        <v/>
      </c>
      <c r="G30" s="243" t="inlineStr">
        <is>
          <t>legacy</t>
        </is>
      </c>
      <c r="H30" s="243" t="inlineStr">
        <is>
          <t>initial release</t>
        </is>
      </c>
      <c r="I30" s="244" t="inlineStr">
        <is>
          <t>WC072501</t>
        </is>
      </c>
      <c r="J30" s="243" t="inlineStr">
        <is>
          <t>P050262</t>
        </is>
      </c>
      <c r="K30" s="243" t="inlineStr">
        <is>
          <t>Wedding Crusher</t>
        </is>
      </c>
      <c r="L30" s="243" t="inlineStr">
        <is>
          <t>Ident A + Ident B + Foreign matter</t>
        </is>
      </c>
      <c r="M30" s="248" t="inlineStr">
        <is>
          <t>—</t>
        </is>
      </c>
      <c r="N30" s="243">
        <f>IFERROR(INDEX('CoQ Register'!$B:$B,MATCH("P050262|I",'CoQ Register'!$S:$S,0)),"—")</f>
        <v/>
      </c>
      <c r="O30" s="248" t="inlineStr">
        <is>
          <t>—</t>
        </is>
      </c>
      <c r="P30" s="243" t="inlineStr">
        <is>
          <t>02.12.2025</t>
        </is>
      </c>
      <c r="Q30" s="243" t="inlineStr">
        <is>
          <t>27.10.2025 – 28.10.2025</t>
        </is>
      </c>
      <c r="R30" s="243" t="inlineStr">
        <is>
          <t>01.12.2025 (the issuance plan's basis: 02.12.2025)</t>
        </is>
      </c>
      <c r="S30" s="245">
        <f>IFERROR(INDEX('CoQ Register'!$D:$D,MATCH("P050262|I",'CoQ Register'!$S:$S,0)),"")</f>
        <v/>
      </c>
      <c r="T30" s="243" t="inlineStr">
        <is>
          <t>Conforms</t>
        </is>
      </c>
      <c r="U30" s="243" t="inlineStr">
        <is>
          <t>Conforms</t>
        </is>
      </c>
      <c r="V30" s="243" t="inlineStr">
        <is>
          <t>Conforms</t>
        </is>
      </c>
      <c r="W30" s="243" t="inlineStr">
        <is>
          <t>ППК25369, (28.11.2025) [CNP]</t>
        </is>
      </c>
      <c r="X30" s="243" t="inlineStr">
        <is>
          <t>—</t>
        </is>
      </c>
      <c r="Y30" s="243" t="inlineStr">
        <is>
          <t>—</t>
        </is>
      </c>
      <c r="Z30" s="243" t="inlineStr">
        <is>
          <t>—</t>
        </is>
      </c>
      <c r="AA30" s="243" t="inlineStr">
        <is>
          <t>P050262|I</t>
        </is>
      </c>
      <c r="AB30" s="250" t="inlineStr">
        <is>
          <t>registered — initial release, issued 03.06.2026</t>
        </is>
      </c>
    </row>
    <row r="31">
      <c r="A31" s="243" t="n">
        <v>30</v>
      </c>
      <c r="B31" s="244" t="inlineStr">
        <is>
          <t>iCoA-PP_26-030</t>
        </is>
      </c>
      <c r="C31" s="249" t="inlineStr">
        <is>
          <t>yes</t>
        </is>
      </c>
      <c r="D31" s="245">
        <f>IF(A31="","",IF(ISNUMBER(E31),MAX(DATE(2026,6,3),E31),DATE(2026,6,3)))</f>
        <v/>
      </c>
      <c r="E31" s="245">
        <f>IFERROR(INDEX('Batch Dates'!$F:$F,MATCH(J31,'Batch Dates'!$C:$C,0)),IFERROR(INDEX('Batch Dates'!$F:$F,MATCH(I31,'Batch Dates'!$B:$B,0)),""))</f>
        <v/>
      </c>
      <c r="F31" s="245">
        <f>IFERROR(INDEX('Batch Dates'!$G:$G,MATCH(J31,'Batch Dates'!$C:$C,0)),IFERROR(INDEX('Batch Dates'!$G:$G,MATCH(I31,'Batch Dates'!$B:$B,0)),""))</f>
        <v/>
      </c>
      <c r="G31" s="243" t="inlineStr">
        <is>
          <t>legacy</t>
        </is>
      </c>
      <c r="H31" s="243" t="inlineStr">
        <is>
          <t>initial release</t>
        </is>
      </c>
      <c r="I31" s="244" t="inlineStr">
        <is>
          <t>PM072501</t>
        </is>
      </c>
      <c r="J31" s="243" t="inlineStr">
        <is>
          <t>P050272</t>
        </is>
      </c>
      <c r="K31" s="243" t="inlineStr">
        <is>
          <t>Permanent Marker</t>
        </is>
      </c>
      <c r="L31" s="243" t="inlineStr">
        <is>
          <t>Ident A + Ident B + Foreign matter</t>
        </is>
      </c>
      <c r="M31" s="248" t="inlineStr">
        <is>
          <t>—</t>
        </is>
      </c>
      <c r="N31" s="243">
        <f>IFERROR(INDEX('CoQ Register'!$B:$B,MATCH("P050272|I",'CoQ Register'!$S:$S,0)),"—")</f>
        <v/>
      </c>
      <c r="O31" s="248" t="inlineStr">
        <is>
          <t>—</t>
        </is>
      </c>
      <c r="P31" s="243" t="inlineStr">
        <is>
          <t>21.01.2026</t>
        </is>
      </c>
      <c r="Q31" s="243" t="inlineStr">
        <is>
          <t>27.10.2025</t>
        </is>
      </c>
      <c r="R31" s="243" t="inlineStr">
        <is>
          <t>02.12.2025 – 03.12.2025 (the issuance plan's basis: 21.01.2026)</t>
        </is>
      </c>
      <c r="S31" s="245">
        <f>IFERROR(INDEX('CoQ Register'!$D:$D,MATCH("P050272|I",'CoQ Register'!$S:$S,0)),"")</f>
        <v/>
      </c>
      <c r="T31" s="243" t="inlineStr">
        <is>
          <t>Conforms</t>
        </is>
      </c>
      <c r="U31" s="243" t="inlineStr">
        <is>
          <t>Conforms</t>
        </is>
      </c>
      <c r="V31" s="243" t="inlineStr">
        <is>
          <t>Conforms</t>
        </is>
      </c>
      <c r="W31" s="243" t="inlineStr">
        <is>
          <t>ППК25368, (28.11.2025) [CNP]</t>
        </is>
      </c>
      <c r="X31" s="243" t="inlineStr">
        <is>
          <t>—</t>
        </is>
      </c>
      <c r="Y31" s="243" t="inlineStr">
        <is>
          <t>—</t>
        </is>
      </c>
      <c r="Z31" s="243" t="inlineStr">
        <is>
          <t>—</t>
        </is>
      </c>
      <c r="AA31" s="243" t="inlineStr">
        <is>
          <t>P050272|I</t>
        </is>
      </c>
      <c r="AB31" s="250" t="inlineStr">
        <is>
          <t>registered — initial release, issued 03.06.2026</t>
        </is>
      </c>
    </row>
    <row r="32">
      <c r="A32" s="243" t="n">
        <v>31</v>
      </c>
      <c r="B32" s="244" t="inlineStr">
        <is>
          <t>iCoA-PP_26-031</t>
        </is>
      </c>
      <c r="C32" s="249" t="inlineStr">
        <is>
          <t>yes</t>
        </is>
      </c>
      <c r="D32" s="245">
        <f>IF(A32="","",IF(ISNUMBER(E32),MAX(DATE(2026,6,3),E32),DATE(2026,6,3)))</f>
        <v/>
      </c>
      <c r="E32" s="245">
        <f>IFERROR(INDEX('Batch Dates'!$F:$F,MATCH(J32,'Batch Dates'!$C:$C,0)),IFERROR(INDEX('Batch Dates'!$F:$F,MATCH(I32,'Batch Dates'!$B:$B,0)),""))</f>
        <v/>
      </c>
      <c r="F32" s="245">
        <f>IFERROR(INDEX('Batch Dates'!$G:$G,MATCH(J32,'Batch Dates'!$C:$C,0)),IFERROR(INDEX('Batch Dates'!$G:$G,MATCH(I32,'Batch Dates'!$B:$B,0)),""))</f>
        <v/>
      </c>
      <c r="G32" s="243" t="inlineStr">
        <is>
          <t>legacy</t>
        </is>
      </c>
      <c r="H32" s="243" t="inlineStr">
        <is>
          <t>initial release</t>
        </is>
      </c>
      <c r="I32" s="244" t="inlineStr">
        <is>
          <t>CLE072501</t>
        </is>
      </c>
      <c r="J32" s="243" t="inlineStr">
        <is>
          <t>P050282</t>
        </is>
      </c>
      <c r="K32" s="243" t="inlineStr">
        <is>
          <t>Clemosa A Bud</t>
        </is>
      </c>
      <c r="L32" s="243" t="inlineStr">
        <is>
          <t>Ident A + Ident B + Foreign matter</t>
        </is>
      </c>
      <c r="M32" s="248" t="inlineStr">
        <is>
          <t>—</t>
        </is>
      </c>
      <c r="N32" s="243">
        <f>IFERROR(INDEX('CoQ Register'!$B:$B,MATCH("P050282|I",'CoQ Register'!$S:$S,0)),"—")</f>
        <v/>
      </c>
      <c r="O32" s="243" t="inlineStr">
        <is>
          <t>iCoA-PP-2025-0019</t>
        </is>
      </c>
      <c r="P32" s="243" t="inlineStr">
        <is>
          <t>03.12.2025</t>
        </is>
      </c>
      <c r="Q32" s="243" t="inlineStr">
        <is>
          <t>28.10.2025</t>
        </is>
      </c>
      <c r="R32" s="243" t="inlineStr">
        <is>
          <t>03.12.2025 – 04.12.2025</t>
        </is>
      </c>
      <c r="S32" s="245">
        <f>IFERROR(INDEX('CoQ Register'!$D:$D,MATCH("P050282|I",'CoQ Register'!$S:$S,0)),"")</f>
        <v/>
      </c>
      <c r="T32" s="243" t="inlineStr">
        <is>
          <t>Conforms</t>
        </is>
      </c>
      <c r="U32" s="243" t="inlineStr">
        <is>
          <t>Conforms</t>
        </is>
      </c>
      <c r="V32" s="243" t="inlineStr">
        <is>
          <t>Conforms</t>
        </is>
      </c>
      <c r="W32" s="243" t="inlineStr">
        <is>
          <t>ППК25370, (28.11.2025) [CNP]</t>
        </is>
      </c>
      <c r="X32" s="243" t="inlineStr">
        <is>
          <t>—</t>
        </is>
      </c>
      <c r="Y32" s="243" t="inlineStr">
        <is>
          <t>—</t>
        </is>
      </c>
      <c r="Z32" s="243" t="inlineStr">
        <is>
          <t>—</t>
        </is>
      </c>
      <c r="AA32" s="243" t="inlineStr">
        <is>
          <t>P050282|I</t>
        </is>
      </c>
      <c r="AB32" s="250" t="inlineStr">
        <is>
          <t>registered — initial release, issued 03.06.2026</t>
        </is>
      </c>
    </row>
    <row r="33">
      <c r="A33" s="243" t="n">
        <v>32</v>
      </c>
      <c r="B33" s="244" t="inlineStr">
        <is>
          <t>iCoA-PP_26-032</t>
        </is>
      </c>
      <c r="C33" s="249" t="inlineStr">
        <is>
          <t>yes</t>
        </is>
      </c>
      <c r="D33" s="245">
        <f>IF(A33="","",IF(ISNUMBER(E33),MAX(DATE(2026,6,3),E33),DATE(2026,6,3)))</f>
        <v/>
      </c>
      <c r="E33" s="245">
        <f>IFERROR(INDEX('Batch Dates'!$F:$F,MATCH(J33,'Batch Dates'!$C:$C,0)),IFERROR(INDEX('Batch Dates'!$F:$F,MATCH(I33,'Batch Dates'!$B:$B,0)),""))</f>
        <v/>
      </c>
      <c r="F33" s="245">
        <f>IFERROR(INDEX('Batch Dates'!$G:$G,MATCH(J33,'Batch Dates'!$C:$C,0)),IFERROR(INDEX('Batch Dates'!$G:$G,MATCH(I33,'Batch Dates'!$B:$B,0)),""))</f>
        <v/>
      </c>
      <c r="G33" s="243" t="inlineStr">
        <is>
          <t>legacy</t>
        </is>
      </c>
      <c r="H33" s="243" t="inlineStr">
        <is>
          <t>initial release</t>
        </is>
      </c>
      <c r="I33" s="244" t="inlineStr">
        <is>
          <t>GP072501/1</t>
        </is>
      </c>
      <c r="J33" s="243" t="inlineStr">
        <is>
          <t>P050292</t>
        </is>
      </c>
      <c r="K33" s="243" t="inlineStr">
        <is>
          <t>Grape Pie</t>
        </is>
      </c>
      <c r="L33" s="243" t="inlineStr">
        <is>
          <t>Ident A + Ident B + Foreign matter</t>
        </is>
      </c>
      <c r="M33" s="248" t="inlineStr">
        <is>
          <t>—</t>
        </is>
      </c>
      <c r="N33" s="243">
        <f>IFERROR(INDEX('CoQ Register'!$B:$B,MATCH("P050292|I",'CoQ Register'!$S:$S,0)),"—")</f>
        <v/>
      </c>
      <c r="O33" s="248" t="inlineStr">
        <is>
          <t>—</t>
        </is>
      </c>
      <c r="P33" s="243" t="inlineStr">
        <is>
          <t>21.01.2026</t>
        </is>
      </c>
      <c r="Q33" s="243" t="inlineStr">
        <is>
          <t>11.11.2025 – 13.11.2025</t>
        </is>
      </c>
      <c r="R33" s="243" t="inlineStr">
        <is>
          <t>15.12.2025 – 21.12.2025 (the issuance plan's basis: 21.01.2026)</t>
        </is>
      </c>
      <c r="S33" s="245">
        <f>IFERROR(INDEX('CoQ Register'!$D:$D,MATCH("P050292|I",'CoQ Register'!$S:$S,0)),"")</f>
        <v/>
      </c>
      <c r="T33" s="243" t="inlineStr">
        <is>
          <t>Conforms</t>
        </is>
      </c>
      <c r="U33" s="243" t="inlineStr">
        <is>
          <t>Conforms</t>
        </is>
      </c>
      <c r="V33" s="243" t="inlineStr">
        <is>
          <t>Conforms</t>
        </is>
      </c>
      <c r="W33" s="243" t="inlineStr">
        <is>
          <t>ППК25378, (12.12.2025) [CNP]</t>
        </is>
      </c>
      <c r="X33" s="243" t="inlineStr">
        <is>
          <t>—</t>
        </is>
      </c>
      <c r="Y33" s="243" t="inlineStr">
        <is>
          <t>—</t>
        </is>
      </c>
      <c r="Z33" s="243" t="inlineStr">
        <is>
          <t>—</t>
        </is>
      </c>
      <c r="AA33" s="243" t="inlineStr">
        <is>
          <t>P050292|I</t>
        </is>
      </c>
      <c r="AB33" s="250" t="inlineStr">
        <is>
          <t>registered — initial release, issued 03.06.2026</t>
        </is>
      </c>
    </row>
    <row r="34">
      <c r="A34" s="243" t="n">
        <v>33</v>
      </c>
      <c r="B34" s="244" t="inlineStr">
        <is>
          <t>iCoA-PP_26-033</t>
        </is>
      </c>
      <c r="C34" s="249" t="inlineStr">
        <is>
          <t>yes</t>
        </is>
      </c>
      <c r="D34" s="245">
        <f>IF(A34="","",IF(ISNUMBER(E34),MAX(DATE(2026,6,3),E34),DATE(2026,6,3)))</f>
        <v/>
      </c>
      <c r="E34" s="245">
        <f>IFERROR(INDEX('Batch Dates'!$F:$F,MATCH(J34,'Batch Dates'!$C:$C,0)),IFERROR(INDEX('Batch Dates'!$F:$F,MATCH(I34,'Batch Dates'!$B:$B,0)),""))</f>
        <v/>
      </c>
      <c r="F34" s="245">
        <f>IFERROR(INDEX('Batch Dates'!$G:$G,MATCH(J34,'Batch Dates'!$C:$C,0)),IFERROR(INDEX('Batch Dates'!$G:$G,MATCH(I34,'Batch Dates'!$B:$B,0)),""))</f>
        <v/>
      </c>
      <c r="G34" s="243" t="inlineStr">
        <is>
          <t>legacy</t>
        </is>
      </c>
      <c r="H34" s="243" t="inlineStr">
        <is>
          <t>initial release</t>
        </is>
      </c>
      <c r="I34" s="244" t="inlineStr">
        <is>
          <t>GP072501/2</t>
        </is>
      </c>
      <c r="J34" s="243" t="inlineStr">
        <is>
          <t>P050302</t>
        </is>
      </c>
      <c r="K34" s="243" t="inlineStr">
        <is>
          <t>Grape Pie</t>
        </is>
      </c>
      <c r="L34" s="243" t="inlineStr">
        <is>
          <t>Ident A + Ident B + Foreign matter</t>
        </is>
      </c>
      <c r="M34" s="248" t="inlineStr">
        <is>
          <t>—</t>
        </is>
      </c>
      <c r="N34" s="243">
        <f>IFERROR(INDEX('CoQ Register'!$B:$B,MATCH("P050302|I",'CoQ Register'!$S:$S,0)),"—")</f>
        <v/>
      </c>
      <c r="O34" s="243" t="inlineStr">
        <is>
          <t>iCoA-PP-2025-0020</t>
        </is>
      </c>
      <c r="P34" s="243" t="inlineStr">
        <is>
          <t>22.12.2025</t>
        </is>
      </c>
      <c r="Q34" s="243" t="inlineStr">
        <is>
          <t>13.11.2025</t>
        </is>
      </c>
      <c r="R34" s="243" t="inlineStr">
        <is>
          <t>22.12.2025</t>
        </is>
      </c>
      <c r="S34" s="245">
        <f>IFERROR(INDEX('CoQ Register'!$D:$D,MATCH("P050302|I",'CoQ Register'!$S:$S,0)),"")</f>
        <v/>
      </c>
      <c r="T34" s="243" t="inlineStr">
        <is>
          <t>Conforms</t>
        </is>
      </c>
      <c r="U34" s="243" t="inlineStr">
        <is>
          <t>Conforms</t>
        </is>
      </c>
      <c r="V34" s="243" t="inlineStr">
        <is>
          <t>Conforms</t>
        </is>
      </c>
      <c r="W34" s="243" t="inlineStr">
        <is>
          <t>ППК25379, (12.12.2025) [CNP]</t>
        </is>
      </c>
      <c r="X34" s="243" t="inlineStr">
        <is>
          <t>—</t>
        </is>
      </c>
      <c r="Y34" s="243" t="inlineStr">
        <is>
          <t>—</t>
        </is>
      </c>
      <c r="Z34" s="243" t="inlineStr">
        <is>
          <t>—</t>
        </is>
      </c>
      <c r="AA34" s="243" t="inlineStr">
        <is>
          <t>P050302|I</t>
        </is>
      </c>
      <c r="AB34" s="250" t="inlineStr">
        <is>
          <t>registered — initial release, issued 03.06.2026</t>
        </is>
      </c>
    </row>
    <row r="35">
      <c r="A35" s="243" t="n">
        <v>34</v>
      </c>
      <c r="B35" s="244" t="inlineStr">
        <is>
          <t>iCoA-PP_26-034</t>
        </is>
      </c>
      <c r="C35" s="249" t="inlineStr">
        <is>
          <t>yes</t>
        </is>
      </c>
      <c r="D35" s="245">
        <f>IF(A35="","",IF(ISNUMBER(E35),MAX(DATE(2026,6,3),E35),DATE(2026,6,3)))</f>
        <v/>
      </c>
      <c r="E35" s="245">
        <f>IFERROR(INDEX('Batch Dates'!$F:$F,MATCH(J35,'Batch Dates'!$C:$C,0)),IFERROR(INDEX('Batch Dates'!$F:$F,MATCH(I35,'Batch Dates'!$B:$B,0)),""))</f>
        <v/>
      </c>
      <c r="F35" s="245">
        <f>IFERROR(INDEX('Batch Dates'!$G:$G,MATCH(J35,'Batch Dates'!$C:$C,0)),IFERROR(INDEX('Batch Dates'!$G:$G,MATCH(I35,'Batch Dates'!$B:$B,0)),""))</f>
        <v/>
      </c>
      <c r="G35" s="243" t="inlineStr">
        <is>
          <t>legacy</t>
        </is>
      </c>
      <c r="H35" s="243" t="inlineStr">
        <is>
          <t>initial release</t>
        </is>
      </c>
      <c r="I35" s="244" t="inlineStr">
        <is>
          <t>GP082501/1</t>
        </is>
      </c>
      <c r="J35" s="243" t="inlineStr">
        <is>
          <t>P050312</t>
        </is>
      </c>
      <c r="K35" s="243" t="inlineStr">
        <is>
          <t>Grape Pie</t>
        </is>
      </c>
      <c r="L35" s="243" t="inlineStr">
        <is>
          <t>Ident A + Ident B + Foreign matter</t>
        </is>
      </c>
      <c r="M35" s="248" t="inlineStr">
        <is>
          <t>—</t>
        </is>
      </c>
      <c r="N35" s="243">
        <f>IFERROR(INDEX('CoQ Register'!$B:$B,MATCH("P050312|I",'CoQ Register'!$S:$S,0)),"—")</f>
        <v/>
      </c>
      <c r="O35" s="243" t="inlineStr">
        <is>
          <t>iCoA-PP-2025-0021</t>
        </is>
      </c>
      <c r="P35" s="243" t="inlineStr">
        <is>
          <t>23.12.2025</t>
        </is>
      </c>
      <c r="Q35" s="243" t="inlineStr">
        <is>
          <t>19.11.2025 – 20.11.2025</t>
        </is>
      </c>
      <c r="R35" s="243" t="inlineStr">
        <is>
          <t>23.12.2025 – 26.12.2025</t>
        </is>
      </c>
      <c r="S35" s="245">
        <f>IFERROR(INDEX('CoQ Register'!$D:$D,MATCH("P050312|I",'CoQ Register'!$S:$S,0)),"")</f>
        <v/>
      </c>
      <c r="T35" s="243" t="inlineStr">
        <is>
          <t>Conforms</t>
        </is>
      </c>
      <c r="U35" s="243" t="inlineStr">
        <is>
          <t>Conforms</t>
        </is>
      </c>
      <c r="V35" s="243" t="inlineStr">
        <is>
          <t>Conforms</t>
        </is>
      </c>
      <c r="W35" s="243" t="inlineStr">
        <is>
          <t>ППК25380, (12.12.2025) [CNP]</t>
        </is>
      </c>
      <c r="X35" s="243" t="inlineStr">
        <is>
          <t>—</t>
        </is>
      </c>
      <c r="Y35" s="243" t="inlineStr">
        <is>
          <t>—</t>
        </is>
      </c>
      <c r="Z35" s="243" t="inlineStr">
        <is>
          <t>—</t>
        </is>
      </c>
      <c r="AA35" s="243" t="inlineStr">
        <is>
          <t>P050312|I</t>
        </is>
      </c>
      <c r="AB35" s="250" t="inlineStr">
        <is>
          <t>registered — initial release, issued 03.06.2026</t>
        </is>
      </c>
    </row>
    <row r="36">
      <c r="A36" s="243" t="n">
        <v>35</v>
      </c>
      <c r="B36" s="244" t="inlineStr">
        <is>
          <t>iCoA-PP_26-035</t>
        </is>
      </c>
      <c r="C36" s="249" t="inlineStr">
        <is>
          <t>yes</t>
        </is>
      </c>
      <c r="D36" s="245">
        <f>IF(A36="","",IF(ISNUMBER(E36),MAX(DATE(2026,6,3),E36),DATE(2026,6,3)))</f>
        <v/>
      </c>
      <c r="E36" s="245">
        <f>IFERROR(INDEX('Batch Dates'!$F:$F,MATCH(J36,'Batch Dates'!$C:$C,0)),IFERROR(INDEX('Batch Dates'!$F:$F,MATCH(I36,'Batch Dates'!$B:$B,0)),""))</f>
        <v/>
      </c>
      <c r="F36" s="245">
        <f>IFERROR(INDEX('Batch Dates'!$G:$G,MATCH(J36,'Batch Dates'!$C:$C,0)),IFERROR(INDEX('Batch Dates'!$G:$G,MATCH(I36,'Batch Dates'!$B:$B,0)),""))</f>
        <v/>
      </c>
      <c r="G36" s="243" t="inlineStr">
        <is>
          <t>legacy</t>
        </is>
      </c>
      <c r="H36" s="243" t="inlineStr">
        <is>
          <t>initial release</t>
        </is>
      </c>
      <c r="I36" s="244" t="inlineStr">
        <is>
          <t>GP082501/2</t>
        </is>
      </c>
      <c r="J36" s="243" t="inlineStr">
        <is>
          <t>P050322</t>
        </is>
      </c>
      <c r="K36" s="243" t="inlineStr">
        <is>
          <t>Grape Pie</t>
        </is>
      </c>
      <c r="L36" s="243" t="inlineStr">
        <is>
          <t>Ident A + Ident B + Foreign matter</t>
        </is>
      </c>
      <c r="M36" s="248" t="inlineStr">
        <is>
          <t>—</t>
        </is>
      </c>
      <c r="N36" s="243">
        <f>IFERROR(INDEX('CoQ Register'!$B:$B,MATCH("P050322|I",'CoQ Register'!$S:$S,0)),"—")</f>
        <v/>
      </c>
      <c r="O36" s="243" t="inlineStr">
        <is>
          <t>iCoA-PP-2025-0022</t>
        </is>
      </c>
      <c r="P36" s="243" t="inlineStr">
        <is>
          <t>26.12.2025</t>
        </is>
      </c>
      <c r="Q36" s="243" t="inlineStr">
        <is>
          <t>20.11.2025</t>
        </is>
      </c>
      <c r="R36" s="243" t="inlineStr">
        <is>
          <t>26.12.2025</t>
        </is>
      </c>
      <c r="S36" s="245">
        <f>IFERROR(INDEX('CoQ Register'!$D:$D,MATCH("P050322|I",'CoQ Register'!$S:$S,0)),"")</f>
        <v/>
      </c>
      <c r="T36" s="243" t="inlineStr">
        <is>
          <t>Conforms</t>
        </is>
      </c>
      <c r="U36" s="243" t="inlineStr">
        <is>
          <t>Conforms</t>
        </is>
      </c>
      <c r="V36" s="243" t="inlineStr">
        <is>
          <t>Conforms</t>
        </is>
      </c>
      <c r="W36" s="243" t="inlineStr">
        <is>
          <t>ППК25381, (12.12.2025) [CNP]</t>
        </is>
      </c>
      <c r="X36" s="243" t="inlineStr">
        <is>
          <t>—</t>
        </is>
      </c>
      <c r="Y36" s="243" t="inlineStr">
        <is>
          <t>—</t>
        </is>
      </c>
      <c r="Z36" s="243" t="inlineStr">
        <is>
          <t>—</t>
        </is>
      </c>
      <c r="AA36" s="243" t="inlineStr">
        <is>
          <t>P050322|I</t>
        </is>
      </c>
      <c r="AB36" s="250" t="inlineStr">
        <is>
          <t>registered — initial release, issued 03.06.2026</t>
        </is>
      </c>
    </row>
    <row r="37">
      <c r="A37" s="243" t="n">
        <v>36</v>
      </c>
      <c r="B37" s="244" t="inlineStr">
        <is>
          <t>iCoA-PP_26-036</t>
        </is>
      </c>
      <c r="C37" s="249" t="inlineStr">
        <is>
          <t>yes</t>
        </is>
      </c>
      <c r="D37" s="245">
        <f>IF(A37="","",IF(ISNUMBER(E37),MAX(DATE(2026,6,3),E37),DATE(2026,6,3)))</f>
        <v/>
      </c>
      <c r="E37" s="245">
        <f>IFERROR(INDEX('Batch Dates'!$F:$F,MATCH(J37,'Batch Dates'!$C:$C,0)),IFERROR(INDEX('Batch Dates'!$F:$F,MATCH(I37,'Batch Dates'!$B:$B,0)),""))</f>
        <v/>
      </c>
      <c r="F37" s="245">
        <f>IFERROR(INDEX('Batch Dates'!$G:$G,MATCH(J37,'Batch Dates'!$C:$C,0)),IFERROR(INDEX('Batch Dates'!$G:$G,MATCH(I37,'Batch Dates'!$B:$B,0)),""))</f>
        <v/>
      </c>
      <c r="G37" s="243" t="inlineStr">
        <is>
          <t>legacy</t>
        </is>
      </c>
      <c r="H37" s="243" t="inlineStr">
        <is>
          <t>initial release</t>
        </is>
      </c>
      <c r="I37" s="244" t="inlineStr">
        <is>
          <t>WC082501</t>
        </is>
      </c>
      <c r="J37" s="243" t="inlineStr">
        <is>
          <t>P060012</t>
        </is>
      </c>
      <c r="K37" s="243" t="inlineStr">
        <is>
          <t>Wedding Crusher</t>
        </is>
      </c>
      <c r="L37" s="243" t="inlineStr">
        <is>
          <t>Ident A + Ident B + Foreign matter</t>
        </is>
      </c>
      <c r="M37" s="248" t="inlineStr">
        <is>
          <t>—</t>
        </is>
      </c>
      <c r="N37" s="243">
        <f>IFERROR(INDEX('CoQ Register'!$B:$B,MATCH("P060012|I",'CoQ Register'!$S:$S,0)),"—")</f>
        <v/>
      </c>
      <c r="O37" s="243" t="inlineStr">
        <is>
          <t>iCoA-PP-2026-0001</t>
        </is>
      </c>
      <c r="P37" s="243" t="inlineStr">
        <is>
          <t>13.01.2026</t>
        </is>
      </c>
      <c r="Q37" s="243" t="inlineStr">
        <is>
          <t>09.12.2025</t>
        </is>
      </c>
      <c r="R37" s="243" t="inlineStr">
        <is>
          <t>13.01.2026 – 14.01.2026</t>
        </is>
      </c>
      <c r="S37" s="245">
        <f>IFERROR(INDEX('CoQ Register'!$D:$D,MATCH("P060012|I",'CoQ Register'!$S:$S,0)),"")</f>
        <v/>
      </c>
      <c r="T37" s="243" t="inlineStr">
        <is>
          <t>Conforms</t>
        </is>
      </c>
      <c r="U37" s="243" t="inlineStr">
        <is>
          <t>Conforms</t>
        </is>
      </c>
      <c r="V37" s="243" t="inlineStr">
        <is>
          <t>Conforms</t>
        </is>
      </c>
      <c r="W37" s="243" t="inlineStr">
        <is>
          <t>ППК26001, (21.01.2026) [CNP]</t>
        </is>
      </c>
      <c r="X37" s="243" t="inlineStr">
        <is>
          <t>—</t>
        </is>
      </c>
      <c r="Y37" s="243" t="inlineStr">
        <is>
          <t>—</t>
        </is>
      </c>
      <c r="Z37" s="243" t="inlineStr">
        <is>
          <t>—</t>
        </is>
      </c>
      <c r="AA37" s="243" t="inlineStr">
        <is>
          <t>P060012|I</t>
        </is>
      </c>
      <c r="AB37" s="250" t="inlineStr">
        <is>
          <t>registered — initial release, issued 03.06.2026</t>
        </is>
      </c>
    </row>
    <row r="38">
      <c r="A38" s="243" t="n">
        <v>37</v>
      </c>
      <c r="B38" s="244" t="inlineStr">
        <is>
          <t>iCoA-PP_26-037</t>
        </is>
      </c>
      <c r="C38" s="249" t="inlineStr">
        <is>
          <t>yes</t>
        </is>
      </c>
      <c r="D38" s="245">
        <f>IF(A38="","",IF(ISNUMBER(E38),MAX(DATE(2026,6,3),E38),DATE(2026,6,3)))</f>
        <v/>
      </c>
      <c r="E38" s="245">
        <f>IFERROR(INDEX('Batch Dates'!$F:$F,MATCH(J38,'Batch Dates'!$C:$C,0)),IFERROR(INDEX('Batch Dates'!$F:$F,MATCH(I38,'Batch Dates'!$B:$B,0)),""))</f>
        <v/>
      </c>
      <c r="F38" s="245">
        <f>IFERROR(INDEX('Batch Dates'!$G:$G,MATCH(J38,'Batch Dates'!$C:$C,0)),IFERROR(INDEX('Batch Dates'!$G:$G,MATCH(I38,'Batch Dates'!$B:$B,0)),""))</f>
        <v/>
      </c>
      <c r="G38" s="243" t="inlineStr">
        <is>
          <t>legacy</t>
        </is>
      </c>
      <c r="H38" s="243" t="inlineStr">
        <is>
          <t>initial release</t>
        </is>
      </c>
      <c r="I38" s="244" t="inlineStr">
        <is>
          <t>CJ082501/1</t>
        </is>
      </c>
      <c r="J38" s="243" t="inlineStr">
        <is>
          <t>P060022</t>
        </is>
      </c>
      <c r="K38" s="243" t="inlineStr">
        <is>
          <t>Cap Junky</t>
        </is>
      </c>
      <c r="L38" s="243" t="inlineStr">
        <is>
          <t>Ident A + Ident B + Foreign matter</t>
        </is>
      </c>
      <c r="M38" s="248" t="inlineStr">
        <is>
          <t>—</t>
        </is>
      </c>
      <c r="N38" s="243">
        <f>IFERROR(INDEX('CoQ Register'!$B:$B,MATCH("P060022|I",'CoQ Register'!$S:$S,0)),"—")</f>
        <v/>
      </c>
      <c r="O38" s="243" t="inlineStr">
        <is>
          <t>iCoA-PP-2026-0002</t>
        </is>
      </c>
      <c r="P38" s="243" t="inlineStr">
        <is>
          <t>16.01.2026</t>
        </is>
      </c>
      <c r="Q38" s="243" t="inlineStr">
        <is>
          <t>09.12.2025 – 10.12.2025</t>
        </is>
      </c>
      <c r="R38" s="243" t="inlineStr">
        <is>
          <t>16.01.2026</t>
        </is>
      </c>
      <c r="S38" s="245">
        <f>IFERROR(INDEX('CoQ Register'!$D:$D,MATCH("P060022|I",'CoQ Register'!$S:$S,0)),"")</f>
        <v/>
      </c>
      <c r="T38" s="243" t="inlineStr">
        <is>
          <t>Conforms</t>
        </is>
      </c>
      <c r="U38" s="243" t="inlineStr">
        <is>
          <t>Conforms</t>
        </is>
      </c>
      <c r="V38" s="243" t="inlineStr">
        <is>
          <t>Conforms</t>
        </is>
      </c>
      <c r="W38" s="243" t="inlineStr">
        <is>
          <t>ППК26002, (21.01.2026) [CNP]</t>
        </is>
      </c>
      <c r="X38" s="243" t="inlineStr">
        <is>
          <t>—</t>
        </is>
      </c>
      <c r="Y38" s="243" t="inlineStr">
        <is>
          <t>—</t>
        </is>
      </c>
      <c r="Z38" s="243" t="inlineStr">
        <is>
          <t>—</t>
        </is>
      </c>
      <c r="AA38" s="243" t="inlineStr">
        <is>
          <t>P060022|I</t>
        </is>
      </c>
      <c r="AB38" s="250" t="inlineStr">
        <is>
          <t>registered — initial release, issued 03.06.2026</t>
        </is>
      </c>
    </row>
    <row r="39">
      <c r="A39" s="243" t="n">
        <v>38</v>
      </c>
      <c r="B39" s="244" t="inlineStr">
        <is>
          <t>iCoA-PP_26-038</t>
        </is>
      </c>
      <c r="C39" s="249" t="inlineStr">
        <is>
          <t>yes</t>
        </is>
      </c>
      <c r="D39" s="245">
        <f>IF(A39="","",IF(ISNUMBER(E39),MAX(DATE(2026,6,3),E39),DATE(2026,6,3)))</f>
        <v/>
      </c>
      <c r="E39" s="245">
        <f>IFERROR(INDEX('Batch Dates'!$F:$F,MATCH(J39,'Batch Dates'!$C:$C,0)),IFERROR(INDEX('Batch Dates'!$F:$F,MATCH(I39,'Batch Dates'!$B:$B,0)),""))</f>
        <v/>
      </c>
      <c r="F39" s="245">
        <f>IFERROR(INDEX('Batch Dates'!$G:$G,MATCH(J39,'Batch Dates'!$C:$C,0)),IFERROR(INDEX('Batch Dates'!$G:$G,MATCH(I39,'Batch Dates'!$B:$B,0)),""))</f>
        <v/>
      </c>
      <c r="G39" s="243" t="inlineStr">
        <is>
          <t>legacy</t>
        </is>
      </c>
      <c r="H39" s="243" t="inlineStr">
        <is>
          <t>initial release</t>
        </is>
      </c>
      <c r="I39" s="244" t="inlineStr">
        <is>
          <t>CJ082501/2</t>
        </is>
      </c>
      <c r="J39" s="243" t="inlineStr">
        <is>
          <t>P060032</t>
        </is>
      </c>
      <c r="K39" s="243" t="inlineStr">
        <is>
          <t>Cap Junky</t>
        </is>
      </c>
      <c r="L39" s="243" t="inlineStr">
        <is>
          <t>Ident A + Ident B + Foreign matter</t>
        </is>
      </c>
      <c r="M39" s="248" t="inlineStr">
        <is>
          <t>—</t>
        </is>
      </c>
      <c r="N39" s="243">
        <f>IFERROR(INDEX('CoQ Register'!$B:$B,MATCH("P060032|I",'CoQ Register'!$S:$S,0)),"—")</f>
        <v/>
      </c>
      <c r="O39" s="243" t="inlineStr">
        <is>
          <t>iCoA-PP-2026-0003</t>
        </is>
      </c>
      <c r="P39" s="243" t="inlineStr">
        <is>
          <t>29.01.2026</t>
        </is>
      </c>
      <c r="Q39" s="243" t="inlineStr">
        <is>
          <t>10.12.2025</t>
        </is>
      </c>
      <c r="R39" s="243" t="inlineStr">
        <is>
          <t>29.01.2026</t>
        </is>
      </c>
      <c r="S39" s="245">
        <f>IFERROR(INDEX('CoQ Register'!$D:$D,MATCH("P060032|I",'CoQ Register'!$S:$S,0)),"")</f>
        <v/>
      </c>
      <c r="T39" s="243" t="inlineStr">
        <is>
          <t>Conforms</t>
        </is>
      </c>
      <c r="U39" s="243" t="inlineStr">
        <is>
          <t>Conforms</t>
        </is>
      </c>
      <c r="V39" s="243" t="inlineStr">
        <is>
          <t>Conforms</t>
        </is>
      </c>
      <c r="W39" s="243" t="inlineStr">
        <is>
          <t>ППК26003, (21.01.2026) [CNP]</t>
        </is>
      </c>
      <c r="X39" s="243" t="inlineStr">
        <is>
          <t>—</t>
        </is>
      </c>
      <c r="Y39" s="243" t="inlineStr">
        <is>
          <t>—</t>
        </is>
      </c>
      <c r="Z39" s="243" t="inlineStr">
        <is>
          <t>—</t>
        </is>
      </c>
      <c r="AA39" s="243" t="inlineStr">
        <is>
          <t>P060032|I</t>
        </is>
      </c>
      <c r="AB39" s="250" t="inlineStr">
        <is>
          <t>registered — initial release, issued 03.06.2026</t>
        </is>
      </c>
    </row>
    <row r="40">
      <c r="A40" s="243" t="n">
        <v>39</v>
      </c>
      <c r="B40" s="244" t="inlineStr">
        <is>
          <t>iCoA-PP_26-039</t>
        </is>
      </c>
      <c r="C40" s="249" t="inlineStr">
        <is>
          <t>yes</t>
        </is>
      </c>
      <c r="D40" s="245">
        <f>IF(A40="","",IF(ISNUMBER(E40),MAX(DATE(2026,6,3),E40),DATE(2026,6,3)))</f>
        <v/>
      </c>
      <c r="E40" s="245">
        <f>IFERROR(INDEX('Batch Dates'!$F:$F,MATCH(J40,'Batch Dates'!$C:$C,0)),IFERROR(INDEX('Batch Dates'!$F:$F,MATCH(I40,'Batch Dates'!$B:$B,0)),""))</f>
        <v/>
      </c>
      <c r="F40" s="245">
        <f>IFERROR(INDEX('Batch Dates'!$G:$G,MATCH(J40,'Batch Dates'!$C:$C,0)),IFERROR(INDEX('Batch Dates'!$G:$G,MATCH(I40,'Batch Dates'!$B:$B,0)),""))</f>
        <v/>
      </c>
      <c r="G40" s="243" t="inlineStr">
        <is>
          <t>legacy</t>
        </is>
      </c>
      <c r="H40" s="243" t="inlineStr">
        <is>
          <t>initial release</t>
        </is>
      </c>
      <c r="I40" s="244" t="inlineStr">
        <is>
          <t>OPM092501</t>
        </is>
      </c>
      <c r="J40" s="243" t="inlineStr">
        <is>
          <t>P060042</t>
        </is>
      </c>
      <c r="K40" s="243" t="inlineStr">
        <is>
          <t>Orange Punch Mimosa</t>
        </is>
      </c>
      <c r="L40" s="243" t="inlineStr">
        <is>
          <t>Ident A + Ident B + Foreign matter</t>
        </is>
      </c>
      <c r="M40" s="248" t="inlineStr">
        <is>
          <t>—</t>
        </is>
      </c>
      <c r="N40" s="243">
        <f>IFERROR(INDEX('CoQ Register'!$B:$B,MATCH("P060042|I",'CoQ Register'!$S:$S,0)),"—")</f>
        <v/>
      </c>
      <c r="O40" s="243" t="inlineStr">
        <is>
          <t>iCoA-PP-2026-0004</t>
        </is>
      </c>
      <c r="P40" s="243" t="inlineStr">
        <is>
          <t>29.01.2026</t>
        </is>
      </c>
      <c r="Q40" s="243" t="inlineStr">
        <is>
          <t>12.12.2025</t>
        </is>
      </c>
      <c r="R40" s="243" t="inlineStr">
        <is>
          <t>29.01.2026</t>
        </is>
      </c>
      <c r="S40" s="245">
        <f>IFERROR(INDEX('CoQ Register'!$D:$D,MATCH("P060042|I",'CoQ Register'!$S:$S,0)),"")</f>
        <v/>
      </c>
      <c r="T40" s="243" t="inlineStr">
        <is>
          <t>Conforms</t>
        </is>
      </c>
      <c r="U40" s="243" t="inlineStr">
        <is>
          <t>Conforms</t>
        </is>
      </c>
      <c r="V40" s="243" t="inlineStr">
        <is>
          <t>Conforms</t>
        </is>
      </c>
      <c r="W40" s="243" t="inlineStr">
        <is>
          <t>ППК26008, (21.01.2026) [CNP]</t>
        </is>
      </c>
      <c r="X40" s="243" t="inlineStr">
        <is>
          <t>—</t>
        </is>
      </c>
      <c r="Y40" s="243" t="inlineStr">
        <is>
          <t>—</t>
        </is>
      </c>
      <c r="Z40" s="243" t="inlineStr">
        <is>
          <t>—</t>
        </is>
      </c>
      <c r="AA40" s="243" t="inlineStr">
        <is>
          <t>P060042|I</t>
        </is>
      </c>
      <c r="AB40" s="250" t="inlineStr">
        <is>
          <t>registered — initial release, issued 03.06.2026</t>
        </is>
      </c>
    </row>
    <row r="41">
      <c r="A41" s="243" t="n">
        <v>40</v>
      </c>
      <c r="B41" s="244" t="inlineStr">
        <is>
          <t>iCoA-PP_26-040</t>
        </is>
      </c>
      <c r="C41" s="249" t="inlineStr">
        <is>
          <t>yes</t>
        </is>
      </c>
      <c r="D41" s="245">
        <f>IF(A41="","",IF(ISNUMBER(E41),MAX(DATE(2026,6,3),E41),DATE(2026,6,3)))</f>
        <v/>
      </c>
      <c r="E41" s="245">
        <f>IFERROR(INDEX('Batch Dates'!$F:$F,MATCH(J41,'Batch Dates'!$C:$C,0)),IFERROR(INDEX('Batch Dates'!$F:$F,MATCH(I41,'Batch Dates'!$B:$B,0)),""))</f>
        <v/>
      </c>
      <c r="F41" s="245">
        <f>IFERROR(INDEX('Batch Dates'!$G:$G,MATCH(J41,'Batch Dates'!$C:$C,0)),IFERROR(INDEX('Batch Dates'!$G:$G,MATCH(I41,'Batch Dates'!$B:$B,0)),""))</f>
        <v/>
      </c>
      <c r="G41" s="243" t="inlineStr">
        <is>
          <t>legacy</t>
        </is>
      </c>
      <c r="H41" s="243" t="inlineStr">
        <is>
          <t>initial release</t>
        </is>
      </c>
      <c r="I41" s="244" t="inlineStr">
        <is>
          <t>AB092501</t>
        </is>
      </c>
      <c r="J41" s="243" t="inlineStr">
        <is>
          <t>P060052</t>
        </is>
      </c>
      <c r="K41" s="243" t="inlineStr">
        <is>
          <t>Apple and Banana</t>
        </is>
      </c>
      <c r="L41" s="243" t="inlineStr">
        <is>
          <t>Ident A + Ident B + Foreign matter</t>
        </is>
      </c>
      <c r="M41" s="248" t="inlineStr">
        <is>
          <t>—</t>
        </is>
      </c>
      <c r="N41" s="243">
        <f>IFERROR(INDEX('CoQ Register'!$B:$B,MATCH("P060052|I",'CoQ Register'!$S:$S,0)),"—")</f>
        <v/>
      </c>
      <c r="O41" s="248" t="inlineStr">
        <is>
          <t>—</t>
        </is>
      </c>
      <c r="P41" s="243" t="inlineStr">
        <is>
          <t>20.02.2026</t>
        </is>
      </c>
      <c r="Q41" s="243" t="inlineStr">
        <is>
          <t>11.12.2025</t>
        </is>
      </c>
      <c r="R41" s="243" t="inlineStr">
        <is>
          <t>30.01.2026 (the issuance plan's basis: 20.02.2026)</t>
        </is>
      </c>
      <c r="S41" s="245">
        <f>IFERROR(INDEX('CoQ Register'!$D:$D,MATCH("P060052|I",'CoQ Register'!$S:$S,0)),"")</f>
        <v/>
      </c>
      <c r="T41" s="243" t="inlineStr">
        <is>
          <t>Conforms</t>
        </is>
      </c>
      <c r="U41" s="243" t="inlineStr">
        <is>
          <t>Conforms</t>
        </is>
      </c>
      <c r="V41" s="243" t="inlineStr">
        <is>
          <t>Conforms</t>
        </is>
      </c>
      <c r="W41" s="243" t="inlineStr">
        <is>
          <t>ППК26005, (21.01.2026) [CNP]</t>
        </is>
      </c>
      <c r="X41" s="243" t="inlineStr">
        <is>
          <t>—</t>
        </is>
      </c>
      <c r="Y41" s="243" t="inlineStr">
        <is>
          <t>—</t>
        </is>
      </c>
      <c r="Z41" s="243" t="inlineStr">
        <is>
          <t>—</t>
        </is>
      </c>
      <c r="AA41" s="243" t="inlineStr">
        <is>
          <t>P060052|I</t>
        </is>
      </c>
      <c r="AB41" s="250" t="inlineStr">
        <is>
          <t>registered — initial release, issued 03.06.2026</t>
        </is>
      </c>
    </row>
    <row r="42">
      <c r="A42" s="243" t="n">
        <v>41</v>
      </c>
      <c r="B42" s="244" t="inlineStr">
        <is>
          <t>iCoA-PP_26-041</t>
        </is>
      </c>
      <c r="C42" s="249" t="inlineStr">
        <is>
          <t>yes</t>
        </is>
      </c>
      <c r="D42" s="245">
        <f>IF(A42="","",IF(ISNUMBER(E42),MAX(DATE(2026,6,3),E42),DATE(2026,6,3)))</f>
        <v/>
      </c>
      <c r="E42" s="245">
        <f>IFERROR(INDEX('Batch Dates'!$F:$F,MATCH(J42,'Batch Dates'!$C:$C,0)),IFERROR(INDEX('Batch Dates'!$F:$F,MATCH(I42,'Batch Dates'!$B:$B,0)),""))</f>
        <v/>
      </c>
      <c r="F42" s="245">
        <f>IFERROR(INDEX('Batch Dates'!$G:$G,MATCH(J42,'Batch Dates'!$C:$C,0)),IFERROR(INDEX('Batch Dates'!$G:$G,MATCH(I42,'Batch Dates'!$B:$B,0)),""))</f>
        <v/>
      </c>
      <c r="G42" s="243" t="inlineStr">
        <is>
          <t>legacy</t>
        </is>
      </c>
      <c r="H42" s="243" t="inlineStr">
        <is>
          <t>initial release</t>
        </is>
      </c>
      <c r="I42" s="244" t="inlineStr">
        <is>
          <t>PM092501</t>
        </is>
      </c>
      <c r="J42" s="243" t="inlineStr">
        <is>
          <t>P060062</t>
        </is>
      </c>
      <c r="K42" s="243" t="inlineStr">
        <is>
          <t>Permanent Marker</t>
        </is>
      </c>
      <c r="L42" s="243" t="inlineStr">
        <is>
          <t>Ident A + Ident B + Foreign matter</t>
        </is>
      </c>
      <c r="M42" s="248" t="inlineStr">
        <is>
          <t>—</t>
        </is>
      </c>
      <c r="N42" s="243">
        <f>IFERROR(INDEX('CoQ Register'!$B:$B,MATCH("P060062|I",'CoQ Register'!$S:$S,0)),"—")</f>
        <v/>
      </c>
      <c r="O42" s="243" t="inlineStr">
        <is>
          <t>iCoA-PP-2026-0005</t>
        </is>
      </c>
      <c r="P42" s="243" t="inlineStr">
        <is>
          <t>30.01.2026</t>
        </is>
      </c>
      <c r="Q42" s="243" t="inlineStr">
        <is>
          <t>11.12.2025</t>
        </is>
      </c>
      <c r="R42" s="243" t="inlineStr">
        <is>
          <t>30.01.2026</t>
        </is>
      </c>
      <c r="S42" s="245">
        <f>IFERROR(INDEX('CoQ Register'!$D:$D,MATCH("P060062|I",'CoQ Register'!$S:$S,0)),"")</f>
        <v/>
      </c>
      <c r="T42" s="243" t="inlineStr">
        <is>
          <t>Conforms</t>
        </is>
      </c>
      <c r="U42" s="243" t="inlineStr">
        <is>
          <t>Conforms</t>
        </is>
      </c>
      <c r="V42" s="243" t="inlineStr">
        <is>
          <t>Conforms</t>
        </is>
      </c>
      <c r="W42" s="243" t="inlineStr">
        <is>
          <t>ППК26004, (21.01.2026) [CNP]</t>
        </is>
      </c>
      <c r="X42" s="243" t="inlineStr">
        <is>
          <t>—</t>
        </is>
      </c>
      <c r="Y42" s="243" t="inlineStr">
        <is>
          <t>—</t>
        </is>
      </c>
      <c r="Z42" s="243" t="inlineStr">
        <is>
          <t>—</t>
        </is>
      </c>
      <c r="AA42" s="243" t="inlineStr">
        <is>
          <t>P060062|I</t>
        </is>
      </c>
      <c r="AB42" s="250" t="inlineStr">
        <is>
          <t>registered — initial release, issued 03.06.2026</t>
        </is>
      </c>
    </row>
    <row r="43">
      <c r="A43" s="243" t="n">
        <v>42</v>
      </c>
      <c r="B43" s="244" t="inlineStr">
        <is>
          <t>iCoA-PP_26-042</t>
        </is>
      </c>
      <c r="C43" s="249" t="inlineStr">
        <is>
          <t>yes</t>
        </is>
      </c>
      <c r="D43" s="245">
        <f>IF(A43="","",IF(ISNUMBER(E43),MAX(DATE(2026,6,3),E43),DATE(2026,6,3)))</f>
        <v/>
      </c>
      <c r="E43" s="245">
        <f>IFERROR(INDEX('Batch Dates'!$F:$F,MATCH(J43,'Batch Dates'!$C:$C,0)),IFERROR(INDEX('Batch Dates'!$F:$F,MATCH(I43,'Batch Dates'!$B:$B,0)),""))</f>
        <v/>
      </c>
      <c r="F43" s="245">
        <f>IFERROR(INDEX('Batch Dates'!$G:$G,MATCH(J43,'Batch Dates'!$C:$C,0)),IFERROR(INDEX('Batch Dates'!$G:$G,MATCH(I43,'Batch Dates'!$B:$B,0)),""))</f>
        <v/>
      </c>
      <c r="G43" s="243" t="inlineStr">
        <is>
          <t>legacy</t>
        </is>
      </c>
      <c r="H43" s="243" t="inlineStr">
        <is>
          <t>initial release</t>
        </is>
      </c>
      <c r="I43" s="244" t="inlineStr">
        <is>
          <t>CJ092501</t>
        </is>
      </c>
      <c r="J43" s="243" t="inlineStr">
        <is>
          <t>P060072</t>
        </is>
      </c>
      <c r="K43" s="243" t="inlineStr">
        <is>
          <t>Cap Junky</t>
        </is>
      </c>
      <c r="L43" s="243" t="inlineStr">
        <is>
          <t>Ident A + Ident B + Foreign matter</t>
        </is>
      </c>
      <c r="M43" s="248" t="inlineStr">
        <is>
          <t>—</t>
        </is>
      </c>
      <c r="N43" s="243">
        <f>IFERROR(INDEX('CoQ Register'!$B:$B,MATCH("P060072|I",'CoQ Register'!$S:$S,0)),"—")</f>
        <v/>
      </c>
      <c r="O43" s="243" t="inlineStr">
        <is>
          <t>iCoA-PP-2026-0006</t>
        </is>
      </c>
      <c r="P43" s="243" t="inlineStr">
        <is>
          <t>02.02.2026</t>
        </is>
      </c>
      <c r="Q43" s="243" t="inlineStr">
        <is>
          <t>12.12.2025</t>
        </is>
      </c>
      <c r="R43" s="243" t="inlineStr">
        <is>
          <t>02.02.2026</t>
        </is>
      </c>
      <c r="S43" s="245">
        <f>IFERROR(INDEX('CoQ Register'!$D:$D,MATCH("P060072|I",'CoQ Register'!$S:$S,0)),"")</f>
        <v/>
      </c>
      <c r="T43" s="243" t="inlineStr">
        <is>
          <t>Conforms</t>
        </is>
      </c>
      <c r="U43" s="243" t="inlineStr">
        <is>
          <t>Conforms</t>
        </is>
      </c>
      <c r="V43" s="243" t="inlineStr">
        <is>
          <t>Conforms</t>
        </is>
      </c>
      <c r="W43" s="243" t="inlineStr">
        <is>
          <t>ППК26007, (21.01.2026) [CNP]</t>
        </is>
      </c>
      <c r="X43" s="243" t="inlineStr">
        <is>
          <t>—</t>
        </is>
      </c>
      <c r="Y43" s="243" t="inlineStr">
        <is>
          <t>—</t>
        </is>
      </c>
      <c r="Z43" s="243" t="inlineStr">
        <is>
          <t>—</t>
        </is>
      </c>
      <c r="AA43" s="243" t="inlineStr">
        <is>
          <t>P060072|I</t>
        </is>
      </c>
      <c r="AB43" s="250" t="inlineStr">
        <is>
          <t>registered — initial release, issued 03.06.2026</t>
        </is>
      </c>
    </row>
    <row r="44">
      <c r="A44" s="243" t="n">
        <v>43</v>
      </c>
      <c r="B44" s="244" t="inlineStr">
        <is>
          <t>iCoA-PP_26-043</t>
        </is>
      </c>
      <c r="C44" s="249" t="inlineStr">
        <is>
          <t>yes</t>
        </is>
      </c>
      <c r="D44" s="245">
        <f>IF(A44="","",IF(ISNUMBER(E44),MAX(DATE(2026,6,3),E44),DATE(2026,6,3)))</f>
        <v/>
      </c>
      <c r="E44" s="245">
        <f>IFERROR(INDEX('Batch Dates'!$F:$F,MATCH(J44,'Batch Dates'!$C:$C,0)),IFERROR(INDEX('Batch Dates'!$F:$F,MATCH(I44,'Batch Dates'!$B:$B,0)),""))</f>
        <v/>
      </c>
      <c r="F44" s="245">
        <f>IFERROR(INDEX('Batch Dates'!$G:$G,MATCH(J44,'Batch Dates'!$C:$C,0)),IFERROR(INDEX('Batch Dates'!$G:$G,MATCH(I44,'Batch Dates'!$B:$B,0)),""))</f>
        <v/>
      </c>
      <c r="G44" s="243" t="inlineStr">
        <is>
          <t>legacy</t>
        </is>
      </c>
      <c r="H44" s="243" t="inlineStr">
        <is>
          <t>initial release</t>
        </is>
      </c>
      <c r="I44" s="244" t="inlineStr">
        <is>
          <t>SJ0925021</t>
        </is>
      </c>
      <c r="J44" s="243" t="inlineStr">
        <is>
          <t>P060082</t>
        </is>
      </c>
      <c r="K44" s="243" t="inlineStr">
        <is>
          <t>Sleepy Joe</t>
        </is>
      </c>
      <c r="L44" s="243" t="inlineStr">
        <is>
          <t>Ident A + Ident B + Foreign matter</t>
        </is>
      </c>
      <c r="M44" s="248" t="inlineStr">
        <is>
          <t>—</t>
        </is>
      </c>
      <c r="N44" s="243">
        <f>IFERROR(INDEX('CoQ Register'!$B:$B,MATCH("P060082|I",'CoQ Register'!$S:$S,0)),"—")</f>
        <v/>
      </c>
      <c r="O44" s="243" t="inlineStr">
        <is>
          <t>iCoA-PP-2026-0007</t>
        </is>
      </c>
      <c r="P44" s="243" t="inlineStr">
        <is>
          <t>02.02.2026</t>
        </is>
      </c>
      <c r="Q44" s="243" t="inlineStr">
        <is>
          <t>11.12.2025 – 12.12.2025</t>
        </is>
      </c>
      <c r="R44" s="243" t="inlineStr">
        <is>
          <t>02.02.2026</t>
        </is>
      </c>
      <c r="S44" s="245">
        <f>IFERROR(INDEX('CoQ Register'!$D:$D,MATCH("P060082|I",'CoQ Register'!$S:$S,0)),"")</f>
        <v/>
      </c>
      <c r="T44" s="243" t="inlineStr">
        <is>
          <t>Conforms</t>
        </is>
      </c>
      <c r="U44" s="243" t="inlineStr">
        <is>
          <t>Conforms</t>
        </is>
      </c>
      <c r="V44" s="243" t="inlineStr">
        <is>
          <t>Conforms</t>
        </is>
      </c>
      <c r="W44" s="243" t="inlineStr">
        <is>
          <t>ППК26006, (21.01.2026) [CNP]</t>
        </is>
      </c>
      <c r="X44" s="243" t="inlineStr">
        <is>
          <t>—</t>
        </is>
      </c>
      <c r="Y44" s="243" t="inlineStr">
        <is>
          <t>—</t>
        </is>
      </c>
      <c r="Z44" s="243" t="inlineStr">
        <is>
          <t>—</t>
        </is>
      </c>
      <c r="AA44" s="243" t="inlineStr">
        <is>
          <t>P060082|I</t>
        </is>
      </c>
      <c r="AB44" s="250" t="inlineStr">
        <is>
          <t>registered — initial release, issued 03.06.2026</t>
        </is>
      </c>
    </row>
    <row r="45">
      <c r="A45" s="243" t="n">
        <v>44</v>
      </c>
      <c r="B45" s="244" t="inlineStr">
        <is>
          <t>iCoA-PP_26-044</t>
        </is>
      </c>
      <c r="C45" s="249" t="inlineStr">
        <is>
          <t>yes</t>
        </is>
      </c>
      <c r="D45" s="245">
        <f>IF(A45="","",IF(ISNUMBER(E45),MAX(DATE(2026,6,3),E45),DATE(2026,6,3)))</f>
        <v/>
      </c>
      <c r="E45" s="245">
        <f>IFERROR(INDEX('Batch Dates'!$F:$F,MATCH(J45,'Batch Dates'!$C:$C,0)),IFERROR(INDEX('Batch Dates'!$F:$F,MATCH(I45,'Batch Dates'!$B:$B,0)),""))</f>
        <v/>
      </c>
      <c r="F45" s="245">
        <f>IFERROR(INDEX('Batch Dates'!$G:$G,MATCH(J45,'Batch Dates'!$C:$C,0)),IFERROR(INDEX('Batch Dates'!$G:$G,MATCH(I45,'Batch Dates'!$B:$B,0)),""))</f>
        <v/>
      </c>
      <c r="G45" s="243" t="inlineStr">
        <is>
          <t>legacy</t>
        </is>
      </c>
      <c r="H45" s="243" t="inlineStr">
        <is>
          <t>initial release</t>
        </is>
      </c>
      <c r="I45" s="244" t="inlineStr">
        <is>
          <t>GP092501</t>
        </is>
      </c>
      <c r="J45" s="243" t="inlineStr">
        <is>
          <t>P060092</t>
        </is>
      </c>
      <c r="K45" s="243" t="inlineStr">
        <is>
          <t>Grape Pie</t>
        </is>
      </c>
      <c r="L45" s="243" t="inlineStr">
        <is>
          <t>Ident A + Ident B + Foreign matter</t>
        </is>
      </c>
      <c r="M45" s="248" t="inlineStr">
        <is>
          <t>—</t>
        </is>
      </c>
      <c r="N45" s="243">
        <f>IFERROR(INDEX('CoQ Register'!$B:$B,MATCH("P060092|I",'CoQ Register'!$S:$S,0)),"—")</f>
        <v/>
      </c>
      <c r="O45" s="243" t="inlineStr">
        <is>
          <t>iCoA-PP-2026-0008</t>
        </is>
      </c>
      <c r="P45" s="243" t="inlineStr">
        <is>
          <t>03.02.2026</t>
        </is>
      </c>
      <c r="Q45" s="243" t="inlineStr">
        <is>
          <t>16.12.2025 – 17.12.2025</t>
        </is>
      </c>
      <c r="R45" s="243" t="inlineStr">
        <is>
          <t>03.02.2026 – 09.02.2026</t>
        </is>
      </c>
      <c r="S45" s="245">
        <f>IFERROR(INDEX('CoQ Register'!$D:$D,MATCH("P060092|I",'CoQ Register'!$S:$S,0)),"")</f>
        <v/>
      </c>
      <c r="T45" s="243" t="inlineStr">
        <is>
          <t>Conforms</t>
        </is>
      </c>
      <c r="U45" s="243" t="inlineStr">
        <is>
          <t>Conforms</t>
        </is>
      </c>
      <c r="V45" s="243" t="inlineStr">
        <is>
          <t>Conforms</t>
        </is>
      </c>
      <c r="W45" s="243" t="inlineStr">
        <is>
          <t>ППК26009, (21.01.2026) [CNP]</t>
        </is>
      </c>
      <c r="X45" s="243" t="inlineStr">
        <is>
          <t>—</t>
        </is>
      </c>
      <c r="Y45" s="243" t="inlineStr">
        <is>
          <t>—</t>
        </is>
      </c>
      <c r="Z45" s="243" t="inlineStr">
        <is>
          <t>—</t>
        </is>
      </c>
      <c r="AA45" s="243" t="inlineStr">
        <is>
          <t>P060092|I</t>
        </is>
      </c>
      <c r="AB45" s="250" t="inlineStr">
        <is>
          <t>registered — initial release, issued 03.06.2026</t>
        </is>
      </c>
    </row>
    <row r="46">
      <c r="A46" s="243" t="n">
        <v>45</v>
      </c>
      <c r="B46" s="244" t="inlineStr">
        <is>
          <t>iCoA-PP_26-045</t>
        </is>
      </c>
      <c r="C46" s="249" t="inlineStr">
        <is>
          <t>yes</t>
        </is>
      </c>
      <c r="D46" s="245">
        <f>IF(A46="","",IF(ISNUMBER(E46),MAX(DATE(2026,6,3),E46),DATE(2026,6,3)))</f>
        <v/>
      </c>
      <c r="E46" s="245">
        <f>IFERROR(INDEX('Batch Dates'!$F:$F,MATCH(J46,'Batch Dates'!$C:$C,0)),IFERROR(INDEX('Batch Dates'!$F:$F,MATCH(I46,'Batch Dates'!$B:$B,0)),""))</f>
        <v/>
      </c>
      <c r="F46" s="245">
        <f>IFERROR(INDEX('Batch Dates'!$G:$G,MATCH(J46,'Batch Dates'!$C:$C,0)),IFERROR(INDEX('Batch Dates'!$G:$G,MATCH(I46,'Batch Dates'!$B:$B,0)),""))</f>
        <v/>
      </c>
      <c r="G46" s="243" t="inlineStr">
        <is>
          <t>legacy</t>
        </is>
      </c>
      <c r="H46" s="243" t="inlineStr">
        <is>
          <t>initial release</t>
        </is>
      </c>
      <c r="I46" s="244" t="inlineStr">
        <is>
          <t>WED102501</t>
        </is>
      </c>
      <c r="J46" s="243" t="inlineStr">
        <is>
          <t>P060102</t>
        </is>
      </c>
      <c r="K46" s="243" t="inlineStr">
        <is>
          <t>Wedding Cake</t>
        </is>
      </c>
      <c r="L46" s="243" t="inlineStr">
        <is>
          <t>Ident A + Ident B + Foreign matter</t>
        </is>
      </c>
      <c r="M46" s="248" t="inlineStr">
        <is>
          <t>—</t>
        </is>
      </c>
      <c r="N46" s="243">
        <f>IFERROR(INDEX('CoQ Register'!$B:$B,MATCH("P060102|I",'CoQ Register'!$S:$S,0)),"—")</f>
        <v/>
      </c>
      <c r="O46" s="248" t="inlineStr">
        <is>
          <t>—</t>
        </is>
      </c>
      <c r="P46" s="243" t="inlineStr">
        <is>
          <t>16.02.2026</t>
        </is>
      </c>
      <c r="Q46" s="243" t="inlineStr">
        <is>
          <t>08.01.2026</t>
        </is>
      </c>
      <c r="R46" s="243" t="inlineStr">
        <is>
          <t>16.02.2026</t>
        </is>
      </c>
      <c r="S46" s="245">
        <f>IFERROR(INDEX('CoQ Register'!$D:$D,MATCH("P060102|I",'CoQ Register'!$S:$S,0)),"")</f>
        <v/>
      </c>
      <c r="T46" s="243" t="inlineStr">
        <is>
          <t>Conforms</t>
        </is>
      </c>
      <c r="U46" s="243" t="inlineStr">
        <is>
          <t>Conforms</t>
        </is>
      </c>
      <c r="V46" s="243" t="inlineStr">
        <is>
          <t>Conforms</t>
        </is>
      </c>
      <c r="W46" s="243" t="inlineStr">
        <is>
          <t>— no cannabinoid certificate from the initial testing —</t>
        </is>
      </c>
      <c r="X46" s="243" t="inlineStr">
        <is>
          <t>—</t>
        </is>
      </c>
      <c r="Y46" s="243" t="inlineStr">
        <is>
          <t>—</t>
        </is>
      </c>
      <c r="Z46" s="243" t="inlineStr">
        <is>
          <t>—</t>
        </is>
      </c>
      <c r="AA46" s="243" t="inlineStr">
        <is>
          <t>P060102|I</t>
        </is>
      </c>
      <c r="AB46" s="250" t="inlineStr">
        <is>
          <t>registered — initial release, issued 03.06.2026</t>
        </is>
      </c>
    </row>
    <row r="47">
      <c r="A47" s="243" t="n">
        <v>46</v>
      </c>
      <c r="B47" s="244" t="inlineStr">
        <is>
          <t>iCoA-PP_26-046</t>
        </is>
      </c>
      <c r="C47" s="249" t="inlineStr">
        <is>
          <t>yes</t>
        </is>
      </c>
      <c r="D47" s="245">
        <f>IF(A47="","",IF(ISNUMBER(E47),MAX(DATE(2026,6,3),E47),DATE(2026,6,3)))</f>
        <v/>
      </c>
      <c r="E47" s="245">
        <f>IFERROR(INDEX('Batch Dates'!$F:$F,MATCH(J47,'Batch Dates'!$C:$C,0)),IFERROR(INDEX('Batch Dates'!$F:$F,MATCH(I47,'Batch Dates'!$B:$B,0)),""))</f>
        <v/>
      </c>
      <c r="F47" s="245">
        <f>IFERROR(INDEX('Batch Dates'!$G:$G,MATCH(J47,'Batch Dates'!$C:$C,0)),IFERROR(INDEX('Batch Dates'!$G:$G,MATCH(I47,'Batch Dates'!$B:$B,0)),""))</f>
        <v/>
      </c>
      <c r="G47" s="243" t="inlineStr">
        <is>
          <t>legacy</t>
        </is>
      </c>
      <c r="H47" s="243" t="inlineStr">
        <is>
          <t>initial release</t>
        </is>
      </c>
      <c r="I47" s="244" t="inlineStr">
        <is>
          <t>PUM102501</t>
        </is>
      </c>
      <c r="J47" s="243" t="inlineStr">
        <is>
          <t>P060112</t>
        </is>
      </c>
      <c r="K47" s="243" t="inlineStr">
        <is>
          <t>Pure Michigen</t>
        </is>
      </c>
      <c r="L47" s="243" t="inlineStr">
        <is>
          <t>Ident A + Ident B + Foreign matter</t>
        </is>
      </c>
      <c r="M47" s="248" t="inlineStr">
        <is>
          <t>—</t>
        </is>
      </c>
      <c r="N47" s="243">
        <f>IFERROR(INDEX('CoQ Register'!$B:$B,MATCH("P060112|I",'CoQ Register'!$S:$S,0)),"—")</f>
        <v/>
      </c>
      <c r="O47" s="243" t="inlineStr">
        <is>
          <t>iCoA-PP-2026-0009</t>
        </is>
      </c>
      <c r="P47" s="243" t="inlineStr">
        <is>
          <t>17.02.2026</t>
        </is>
      </c>
      <c r="Q47" s="243" t="inlineStr">
        <is>
          <t>08.01.2026 – 09.01.2026</t>
        </is>
      </c>
      <c r="R47" s="243" t="inlineStr">
        <is>
          <t>17.02.2026</t>
        </is>
      </c>
      <c r="S47" s="245">
        <f>IFERROR(INDEX('CoQ Register'!$D:$D,MATCH("P060112|I",'CoQ Register'!$S:$S,0)),"")</f>
        <v/>
      </c>
      <c r="T47" s="243" t="inlineStr">
        <is>
          <t>Conforms</t>
        </is>
      </c>
      <c r="U47" s="243" t="inlineStr">
        <is>
          <t>Conforms</t>
        </is>
      </c>
      <c r="V47" s="243" t="inlineStr">
        <is>
          <t>Conforms</t>
        </is>
      </c>
      <c r="W47" s="243" t="inlineStr">
        <is>
          <t>— no cannabinoid certificate from the initial testing —</t>
        </is>
      </c>
      <c r="X47" s="243" t="inlineStr">
        <is>
          <t>—</t>
        </is>
      </c>
      <c r="Y47" s="243" t="inlineStr">
        <is>
          <t>—</t>
        </is>
      </c>
      <c r="Z47" s="243" t="inlineStr">
        <is>
          <t>—</t>
        </is>
      </c>
      <c r="AA47" s="243" t="inlineStr">
        <is>
          <t>P060112|I</t>
        </is>
      </c>
      <c r="AB47" s="250" t="inlineStr">
        <is>
          <t>registered — initial release, issued 03.06.2026</t>
        </is>
      </c>
    </row>
    <row r="48">
      <c r="A48" s="243" t="n">
        <v>47</v>
      </c>
      <c r="B48" s="244" t="inlineStr">
        <is>
          <t>iCoA-PP_26-047</t>
        </is>
      </c>
      <c r="C48" s="249" t="inlineStr">
        <is>
          <t>yes</t>
        </is>
      </c>
      <c r="D48" s="245">
        <f>IF(A48="","",IF(ISNUMBER(E48),MAX(DATE(2026,6,3),E48),DATE(2026,6,3)))</f>
        <v/>
      </c>
      <c r="E48" s="245">
        <f>IFERROR(INDEX('Batch Dates'!$F:$F,MATCH(J48,'Batch Dates'!$C:$C,0)),IFERROR(INDEX('Batch Dates'!$F:$F,MATCH(I48,'Batch Dates'!$B:$B,0)),""))</f>
        <v/>
      </c>
      <c r="F48" s="245">
        <f>IFERROR(INDEX('Batch Dates'!$G:$G,MATCH(J48,'Batch Dates'!$C:$C,0)),IFERROR(INDEX('Batch Dates'!$G:$G,MATCH(I48,'Batch Dates'!$B:$B,0)),""))</f>
        <v/>
      </c>
      <c r="G48" s="243" t="inlineStr">
        <is>
          <t>legacy</t>
        </is>
      </c>
      <c r="H48" s="243" t="inlineStr">
        <is>
          <t>initial release</t>
        </is>
      </c>
      <c r="I48" s="244" t="inlineStr">
        <is>
          <t>ACC102501</t>
        </is>
      </c>
      <c r="J48" s="243" t="inlineStr">
        <is>
          <t>P060122</t>
        </is>
      </c>
      <c r="K48" s="243" t="inlineStr">
        <is>
          <t>Amnesia Core Cut</t>
        </is>
      </c>
      <c r="L48" s="243" t="inlineStr">
        <is>
          <t>Ident A + Ident B + Foreign matter</t>
        </is>
      </c>
      <c r="M48" s="248" t="inlineStr">
        <is>
          <t>—</t>
        </is>
      </c>
      <c r="N48" s="243">
        <f>IFERROR(INDEX('CoQ Register'!$B:$B,MATCH("P060122|I",'CoQ Register'!$S:$S,0)),"—")</f>
        <v/>
      </c>
      <c r="O48" s="243" t="inlineStr">
        <is>
          <t>iCoA-PP-2026-0010</t>
        </is>
      </c>
      <c r="P48" s="243" t="inlineStr">
        <is>
          <t>18.02.2026</t>
        </is>
      </c>
      <c r="Q48" s="243" t="inlineStr">
        <is>
          <t>09.01.2026</t>
        </is>
      </c>
      <c r="R48" s="243" t="inlineStr">
        <is>
          <t>18.02.2026 – 19.02.2026</t>
        </is>
      </c>
      <c r="S48" s="245">
        <f>IFERROR(INDEX('CoQ Register'!$D:$D,MATCH("P060122|I",'CoQ Register'!$S:$S,0)),"")</f>
        <v/>
      </c>
      <c r="T48" s="243" t="inlineStr">
        <is>
          <t>Conforms</t>
        </is>
      </c>
      <c r="U48" s="243" t="inlineStr">
        <is>
          <t>Conforms</t>
        </is>
      </c>
      <c r="V48" s="243" t="inlineStr">
        <is>
          <t>Conforms</t>
        </is>
      </c>
      <c r="W48" s="243" t="inlineStr">
        <is>
          <t>— no cannabinoid certificate from the initial testing —</t>
        </is>
      </c>
      <c r="X48" s="243" t="inlineStr">
        <is>
          <t>—</t>
        </is>
      </c>
      <c r="Y48" s="243" t="inlineStr">
        <is>
          <t>—</t>
        </is>
      </c>
      <c r="Z48" s="243" t="inlineStr">
        <is>
          <t>—</t>
        </is>
      </c>
      <c r="AA48" s="243" t="inlineStr">
        <is>
          <t>P060122|I</t>
        </is>
      </c>
      <c r="AB48" s="250" t="inlineStr">
        <is>
          <t>registered — initial release, issued 03.06.2026</t>
        </is>
      </c>
    </row>
    <row r="49">
      <c r="A49" s="243" t="n">
        <v>48</v>
      </c>
      <c r="B49" s="244" t="inlineStr">
        <is>
          <t>iCoA-PP_26-048</t>
        </is>
      </c>
      <c r="C49" s="249" t="inlineStr">
        <is>
          <t>yes</t>
        </is>
      </c>
      <c r="D49" s="245">
        <f>IF(A49="","",IF(ISNUMBER(E49),MAX(DATE(2026,6,3),E49),DATE(2026,6,3)))</f>
        <v/>
      </c>
      <c r="E49" s="245">
        <f>IFERROR(INDEX('Batch Dates'!$F:$F,MATCH(J49,'Batch Dates'!$C:$C,0)),IFERROR(INDEX('Batch Dates'!$F:$F,MATCH(I49,'Batch Dates'!$B:$B,0)),""))</f>
        <v/>
      </c>
      <c r="F49" s="245">
        <f>IFERROR(INDEX('Batch Dates'!$G:$G,MATCH(J49,'Batch Dates'!$C:$C,0)),IFERROR(INDEX('Batch Dates'!$G:$G,MATCH(I49,'Batch Dates'!$B:$B,0)),""))</f>
        <v/>
      </c>
      <c r="G49" s="243" t="inlineStr">
        <is>
          <t>legacy</t>
        </is>
      </c>
      <c r="H49" s="243" t="inlineStr">
        <is>
          <t>initial release</t>
        </is>
      </c>
      <c r="I49" s="244" t="inlineStr">
        <is>
          <t>CF102501</t>
        </is>
      </c>
      <c r="J49" s="243" t="inlineStr">
        <is>
          <t>P060132</t>
        </is>
      </c>
      <c r="K49" s="243" t="inlineStr">
        <is>
          <t>Chem Flyer</t>
        </is>
      </c>
      <c r="L49" s="243" t="inlineStr">
        <is>
          <t>Ident A + Ident B + Foreign matter</t>
        </is>
      </c>
      <c r="M49" s="248" t="inlineStr">
        <is>
          <t>—</t>
        </is>
      </c>
      <c r="N49" s="243">
        <f>IFERROR(INDEX('CoQ Register'!$B:$B,MATCH("P060132|I",'CoQ Register'!$S:$S,0)),"—")</f>
        <v/>
      </c>
      <c r="O49" s="243" t="inlineStr">
        <is>
          <t>iCoA-PP-2026-0011</t>
        </is>
      </c>
      <c r="P49" s="243" t="inlineStr">
        <is>
          <t>19.02.2026</t>
        </is>
      </c>
      <c r="Q49" s="243" t="inlineStr">
        <is>
          <t>09.01.2026</t>
        </is>
      </c>
      <c r="R49" s="243" t="inlineStr">
        <is>
          <t>19.02.2026 – 20.02.2026</t>
        </is>
      </c>
      <c r="S49" s="245">
        <f>IFERROR(INDEX('CoQ Register'!$D:$D,MATCH("P060132|I",'CoQ Register'!$S:$S,0)),"")</f>
        <v/>
      </c>
      <c r="T49" s="243" t="inlineStr">
        <is>
          <t>Conforms</t>
        </is>
      </c>
      <c r="U49" s="243" t="inlineStr">
        <is>
          <t>Conforms</t>
        </is>
      </c>
      <c r="V49" s="243" t="inlineStr">
        <is>
          <t>Conforms</t>
        </is>
      </c>
      <c r="W49" s="243" t="inlineStr">
        <is>
          <t>— no cannabinoid certificate from the initial testing —</t>
        </is>
      </c>
      <c r="X49" s="243" t="inlineStr">
        <is>
          <t>—</t>
        </is>
      </c>
      <c r="Y49" s="243" t="inlineStr">
        <is>
          <t>—</t>
        </is>
      </c>
      <c r="Z49" s="243" t="inlineStr">
        <is>
          <t>—</t>
        </is>
      </c>
      <c r="AA49" s="243" t="inlineStr">
        <is>
          <t>P060132|I</t>
        </is>
      </c>
      <c r="AB49" s="250" t="inlineStr">
        <is>
          <t>registered — initial release, issued 03.06.2026</t>
        </is>
      </c>
    </row>
    <row r="50">
      <c r="A50" s="243" t="n">
        <v>49</v>
      </c>
      <c r="B50" s="244" t="inlineStr">
        <is>
          <t>iCoA-PP_26-049</t>
        </is>
      </c>
      <c r="C50" s="249" t="inlineStr">
        <is>
          <t>yes</t>
        </is>
      </c>
      <c r="D50" s="245">
        <f>IF(A50="","",IF(ISNUMBER(E50),MAX(DATE(2026,6,3),E50),DATE(2026,6,3)))</f>
        <v/>
      </c>
      <c r="E50" s="245">
        <f>IFERROR(INDEX('Batch Dates'!$F:$F,MATCH(J50,'Batch Dates'!$C:$C,0)),IFERROR(INDEX('Batch Dates'!$F:$F,MATCH(I50,'Batch Dates'!$B:$B,0)),""))</f>
        <v/>
      </c>
      <c r="F50" s="245">
        <f>IFERROR(INDEX('Batch Dates'!$G:$G,MATCH(J50,'Batch Dates'!$C:$C,0)),IFERROR(INDEX('Batch Dates'!$G:$G,MATCH(I50,'Batch Dates'!$B:$B,0)),""))</f>
        <v/>
      </c>
      <c r="G50" s="243" t="inlineStr">
        <is>
          <t>legacy</t>
        </is>
      </c>
      <c r="H50" s="243" t="inlineStr">
        <is>
          <t>initial release</t>
        </is>
      </c>
      <c r="I50" s="244" t="inlineStr">
        <is>
          <t>GRC102501</t>
        </is>
      </c>
      <c r="J50" s="243" t="inlineStr">
        <is>
          <t>P060142</t>
        </is>
      </c>
      <c r="K50" s="243" t="inlineStr">
        <is>
          <t>Grapes And Cream</t>
        </is>
      </c>
      <c r="L50" s="243" t="inlineStr">
        <is>
          <t>Ident A + Ident B + Foreign matter</t>
        </is>
      </c>
      <c r="M50" s="248" t="inlineStr">
        <is>
          <t>—</t>
        </is>
      </c>
      <c r="N50" s="243">
        <f>IFERROR(INDEX('CoQ Register'!$B:$B,MATCH("P060142|I",'CoQ Register'!$S:$S,0)),"—")</f>
        <v/>
      </c>
      <c r="O50" s="248" t="inlineStr">
        <is>
          <t>—</t>
        </is>
      </c>
      <c r="P50" s="243" t="inlineStr">
        <is>
          <t>23.02.2026</t>
        </is>
      </c>
      <c r="Q50" s="243" t="inlineStr">
        <is>
          <t>09.01.2026</t>
        </is>
      </c>
      <c r="R50" s="243" t="inlineStr">
        <is>
          <t>23.02.2026</t>
        </is>
      </c>
      <c r="S50" s="245">
        <f>IFERROR(INDEX('CoQ Register'!$D:$D,MATCH("P060142|I",'CoQ Register'!$S:$S,0)),"")</f>
        <v/>
      </c>
      <c r="T50" s="243" t="inlineStr">
        <is>
          <t>Conforms</t>
        </is>
      </c>
      <c r="U50" s="243" t="inlineStr">
        <is>
          <t>Conforms</t>
        </is>
      </c>
      <c r="V50" s="243" t="inlineStr">
        <is>
          <t>Conforms</t>
        </is>
      </c>
      <c r="W50" s="243" t="inlineStr">
        <is>
          <t>— no cannabinoid certificate from the initial testing —</t>
        </is>
      </c>
      <c r="X50" s="243" t="inlineStr">
        <is>
          <t>—</t>
        </is>
      </c>
      <c r="Y50" s="243" t="inlineStr">
        <is>
          <t>—</t>
        </is>
      </c>
      <c r="Z50" s="243" t="inlineStr">
        <is>
          <t>—</t>
        </is>
      </c>
      <c r="AA50" s="243" t="inlineStr">
        <is>
          <t>P060142|I</t>
        </is>
      </c>
      <c r="AB50" s="250" t="inlineStr">
        <is>
          <t>registered — initial release, issued 03.06.2026</t>
        </is>
      </c>
    </row>
    <row r="51">
      <c r="A51" s="243" t="n">
        <v>50</v>
      </c>
      <c r="B51" s="244" t="inlineStr">
        <is>
          <t>iCoA-PP_26-050</t>
        </is>
      </c>
      <c r="C51" s="249" t="inlineStr">
        <is>
          <t>yes</t>
        </is>
      </c>
      <c r="D51" s="245" t="n">
        <v>46176</v>
      </c>
      <c r="E51" s="245" t="n">
        <v>46086</v>
      </c>
      <c r="F51" s="245">
        <f>IFERROR(INDEX('Batch Dates'!$G:$G,MATCH(J51,'Batch Dates'!$C:$C,0)),IFERROR(INDEX('Batch Dates'!$G:$G,MATCH(I51,'Batch Dates'!$B:$B,0)),""))</f>
        <v/>
      </c>
      <c r="G51" s="243" t="inlineStr">
        <is>
          <t>legacy</t>
        </is>
      </c>
      <c r="H51" s="243" t="inlineStr">
        <is>
          <t>retest 1</t>
        </is>
      </c>
      <c r="I51" s="244" t="inlineStr">
        <is>
          <t>GP0824_02</t>
        </is>
      </c>
      <c r="J51" s="243" t="inlineStr">
        <is>
          <t>P050022</t>
        </is>
      </c>
      <c r="K51" s="243" t="inlineStr">
        <is>
          <t>Grape Pie</t>
        </is>
      </c>
      <c r="L51" s="243" t="inlineStr">
        <is>
          <t>Ident A + Ident B + Foreign matter</t>
        </is>
      </c>
      <c r="M51" s="248" t="inlineStr">
        <is>
          <t>—</t>
        </is>
      </c>
      <c r="N51" s="243">
        <f>IFERROR(INDEX('CoQ Register'!$B:$B,MATCH("P050022|R",'CoQ Register'!$S:$S,0)),"—")</f>
        <v/>
      </c>
      <c r="O51" s="248" t="inlineStr">
        <is>
          <t>—</t>
        </is>
      </c>
      <c r="P51" s="243" t="inlineStr">
        <is>
          <t>03.06.2026</t>
        </is>
      </c>
      <c r="Q51" s="243" t="inlineStr">
        <is>
          <t>22.04.2025 – 23.04.2025</t>
        </is>
      </c>
      <c r="R51" s="243" t="inlineStr">
        <is>
          <t>03.06.2025 – 11.06.2025</t>
        </is>
      </c>
      <c r="S51" s="245">
        <f>IFERROR(INDEX('CoQ Register'!$D:$D,MATCH("P050022|R",'CoQ Register'!$S:$S,0)),"")</f>
        <v/>
      </c>
      <c r="T51" s="243" t="inlineStr">
        <is>
          <t>Conforms</t>
        </is>
      </c>
      <c r="U51" s="243" t="inlineStr">
        <is>
          <t>Conforms</t>
        </is>
      </c>
      <c r="V51" s="243" t="inlineStr">
        <is>
          <t>Conforms</t>
        </is>
      </c>
      <c r="W51" s="243" t="inlineStr">
        <is>
          <t>197-11-K-26, (07.08.2026) [FHM-K]</t>
        </is>
      </c>
      <c r="X51" s="243" t="inlineStr">
        <is>
          <t>197-11-K-26, (07.08.2026) [FHM-K]</t>
        </is>
      </c>
      <c r="Y51" s="243" t="inlineStr">
        <is>
          <t>197-11-M-26, (10.08.2026) [FHM-M]</t>
        </is>
      </c>
      <c r="Z51" s="243" t="inlineStr">
        <is>
          <t>#8, #9, #11, #12 from the initial testing</t>
        </is>
      </c>
      <c r="AA51" s="243" t="inlineStr">
        <is>
          <t>P050022|R</t>
        </is>
      </c>
      <c r="AB51" s="250" t="inlineStr">
        <is>
          <t>registered — retest 1, issued 03.06.2026</t>
        </is>
      </c>
    </row>
    <row r="52">
      <c r="A52" s="243" t="n">
        <v>51</v>
      </c>
      <c r="B52" s="244" t="inlineStr">
        <is>
          <t>iCoA-PP_26-051</t>
        </is>
      </c>
      <c r="C52" s="249" t="inlineStr">
        <is>
          <t>yes</t>
        </is>
      </c>
      <c r="D52" s="245" t="n">
        <v>46176</v>
      </c>
      <c r="E52" s="245" t="n">
        <v>46086</v>
      </c>
      <c r="F52" s="245">
        <f>IFERROR(INDEX('Batch Dates'!$G:$G,MATCH(J52,'Batch Dates'!$C:$C,0)),IFERROR(INDEX('Batch Dates'!$G:$G,MATCH(I52,'Batch Dates'!$B:$B,0)),""))</f>
        <v/>
      </c>
      <c r="G52" s="243" t="inlineStr">
        <is>
          <t>legacy</t>
        </is>
      </c>
      <c r="H52" s="243" t="inlineStr">
        <is>
          <t>retest 2</t>
        </is>
      </c>
      <c r="I52" s="244" t="inlineStr">
        <is>
          <t>GP0824_02</t>
        </is>
      </c>
      <c r="J52" s="243" t="inlineStr">
        <is>
          <t>P050022</t>
        </is>
      </c>
      <c r="K52" s="243" t="inlineStr">
        <is>
          <t>Grape Pie</t>
        </is>
      </c>
      <c r="L52" s="243" t="inlineStr">
        <is>
          <t>Ident A + Ident B + Foreign matter</t>
        </is>
      </c>
      <c r="M52" s="248" t="inlineStr">
        <is>
          <t>—</t>
        </is>
      </c>
      <c r="N52" s="243">
        <f>IFERROR(INDEX('CoQ Register'!$B:$B,MATCH("P050022|R2",'CoQ Register'!$S:$S,0)),"—")</f>
        <v/>
      </c>
      <c r="O52" s="248" t="inlineStr">
        <is>
          <t>—</t>
        </is>
      </c>
      <c r="P52" s="243" t="inlineStr">
        <is>
          <t>03.06.2026</t>
        </is>
      </c>
      <c r="Q52" s="243" t="inlineStr">
        <is>
          <t>22.04.2025 – 23.04.2025</t>
        </is>
      </c>
      <c r="R52" s="243" t="inlineStr">
        <is>
          <t>03.06.2025 – 11.06.2025</t>
        </is>
      </c>
      <c r="S52" s="245">
        <f>IFERROR(INDEX('CoQ Register'!$D:$D,MATCH("P050022|R2",'CoQ Register'!$S:$S,0)),"")</f>
        <v/>
      </c>
      <c r="T52" s="243" t="inlineStr">
        <is>
          <t>Conforms</t>
        </is>
      </c>
      <c r="U52" s="243" t="inlineStr">
        <is>
          <t>Conforms</t>
        </is>
      </c>
      <c r="V52" s="243" t="inlineStr">
        <is>
          <t>Conforms</t>
        </is>
      </c>
      <c r="W52" s="243" t="inlineStr">
        <is>
          <t>197-11-K-26, (07.08.2026) [FHM-K]</t>
        </is>
      </c>
      <c r="X52" s="243" t="inlineStr">
        <is>
          <t>197-11-K-26, (07.08.2026) [FHM-K]</t>
        </is>
      </c>
      <c r="Y52" s="243" t="inlineStr">
        <is>
          <t>197-11-M-26, (10.08.2026) [FHM-M]</t>
        </is>
      </c>
      <c r="Z52" s="243" t="inlineStr">
        <is>
          <t>#8, #9, #11, #12 from the initial testing</t>
        </is>
      </c>
      <c r="AA52" s="243" t="inlineStr">
        <is>
          <t>P050022|R2</t>
        </is>
      </c>
      <c r="AB52" s="250" t="inlineStr">
        <is>
          <t>registered — retest 2, issued 03.06.2026</t>
        </is>
      </c>
    </row>
    <row r="53">
      <c r="A53" s="243" t="n">
        <v>52</v>
      </c>
      <c r="B53" s="244" t="inlineStr">
        <is>
          <t>iCoA-PP_26-052</t>
        </is>
      </c>
      <c r="C53" s="249" t="inlineStr">
        <is>
          <t>yes</t>
        </is>
      </c>
      <c r="D53" s="245" t="n">
        <v>46176</v>
      </c>
      <c r="E53" s="245" t="n">
        <v>46086</v>
      </c>
      <c r="F53" s="245">
        <f>IFERROR(INDEX('Batch Dates'!$G:$G,MATCH(J53,'Batch Dates'!$C:$C,0)),IFERROR(INDEX('Batch Dates'!$G:$G,MATCH(I53,'Batch Dates'!$B:$B,0)),""))</f>
        <v/>
      </c>
      <c r="G53" s="243" t="inlineStr">
        <is>
          <t>legacy</t>
        </is>
      </c>
      <c r="H53" s="243" t="inlineStr">
        <is>
          <t>retest 2</t>
        </is>
      </c>
      <c r="I53" s="244" t="inlineStr">
        <is>
          <t>GP0824_03</t>
        </is>
      </c>
      <c r="J53" s="243" t="inlineStr">
        <is>
          <t>P050072</t>
        </is>
      </c>
      <c r="K53" s="243" t="inlineStr">
        <is>
          <t>Grape Pie</t>
        </is>
      </c>
      <c r="L53" s="243" t="inlineStr">
        <is>
          <t>Ident A + Ident B + Foreign matter</t>
        </is>
      </c>
      <c r="M53" s="248" t="inlineStr">
        <is>
          <t>—</t>
        </is>
      </c>
      <c r="N53" s="243">
        <f>IFERROR(INDEX('CoQ Register'!$B:$B,MATCH("P050072|R2",'CoQ Register'!$S:$S,0)),"—")</f>
        <v/>
      </c>
      <c r="O53" s="248" t="inlineStr">
        <is>
          <t>—</t>
        </is>
      </c>
      <c r="P53" s="243" t="inlineStr">
        <is>
          <t>14.07.2026</t>
        </is>
      </c>
      <c r="Q53" s="243" t="inlineStr">
        <is>
          <t>09.06.2025 – 10.06.2025</t>
        </is>
      </c>
      <c r="R53" s="243" t="inlineStr">
        <is>
          <t>14.07.2025 – 17.07.2025</t>
        </is>
      </c>
      <c r="S53" s="245">
        <f>IFERROR(INDEX('CoQ Register'!$D:$D,MATCH("P050072|R2",'CoQ Register'!$S:$S,0)),"")</f>
        <v/>
      </c>
      <c r="T53" s="243" t="inlineStr">
        <is>
          <t>Conforms</t>
        </is>
      </c>
      <c r="U53" s="243" t="inlineStr">
        <is>
          <t>Conforms</t>
        </is>
      </c>
      <c r="V53" s="243" t="inlineStr">
        <is>
          <t>Conforms</t>
        </is>
      </c>
      <c r="W53" s="243" t="inlineStr">
        <is>
          <t>220-11-K-26, (25.08.2026) [FHM-K]</t>
        </is>
      </c>
      <c r="X53" s="243" t="inlineStr">
        <is>
          <t>220-11-K-26, (25.08.2026) [FHM-K]</t>
        </is>
      </c>
      <c r="Y53" s="243" t="inlineStr">
        <is>
          <t>220-11-M-26, (11.09.2026) [FHM-M]</t>
        </is>
      </c>
      <c r="Z53" s="243" t="inlineStr">
        <is>
          <t>#8, #9, #11, #12 from the initial testing</t>
        </is>
      </c>
      <c r="AA53" s="243" t="inlineStr">
        <is>
          <t>P050072|R2</t>
        </is>
      </c>
      <c r="AB53" s="250" t="inlineStr">
        <is>
          <t>registered — retest 2, issued 03.06.2026</t>
        </is>
      </c>
    </row>
    <row r="54">
      <c r="A54" s="243" t="n">
        <v>53</v>
      </c>
      <c r="B54" s="244" t="inlineStr">
        <is>
          <t>iCoA-PP_26-053</t>
        </is>
      </c>
      <c r="C54" s="249" t="inlineStr">
        <is>
          <t>yes</t>
        </is>
      </c>
      <c r="D54" s="245">
        <f>IF(A54="","",IF(ISNUMBER(E54),MAX(DATE(2026,6,3),E54),DATE(2026,6,3)))</f>
        <v/>
      </c>
      <c r="E54" s="245">
        <f>IFERROR(INDEX('Batch Dates'!$F:$F,MATCH(J54,'Batch Dates'!$C:$C,0)),IFERROR(INDEX('Batch Dates'!$F:$F,MATCH(I54,'Batch Dates'!$B:$B,0)),""))</f>
        <v/>
      </c>
      <c r="F54" s="245">
        <f>IFERROR(INDEX('Batch Dates'!$G:$G,MATCH(J54,'Batch Dates'!$C:$C,0)),IFERROR(INDEX('Batch Dates'!$G:$G,MATCH(I54,'Batch Dates'!$B:$B,0)),""))</f>
        <v/>
      </c>
      <c r="G54" s="243" t="inlineStr">
        <is>
          <t>legacy</t>
        </is>
      </c>
      <c r="H54" s="243" t="inlineStr">
        <is>
          <t>initial release</t>
        </is>
      </c>
      <c r="I54" s="244" t="inlineStr">
        <is>
          <t>J31102501</t>
        </is>
      </c>
      <c r="J54" s="243" t="inlineStr">
        <is>
          <t>P060152</t>
        </is>
      </c>
      <c r="K54" s="243" t="inlineStr">
        <is>
          <t>Jokerz 31</t>
        </is>
      </c>
      <c r="L54" s="243" t="inlineStr">
        <is>
          <t>Ident A + Ident B + Foreign matter</t>
        </is>
      </c>
      <c r="M54" s="248" t="inlineStr">
        <is>
          <t>—</t>
        </is>
      </c>
      <c r="N54" s="243">
        <f>IFERROR(INDEX('CoQ Register'!$B:$B,MATCH("P060152|I",'CoQ Register'!$S:$S,0)),"—")</f>
        <v/>
      </c>
      <c r="O54" s="243" t="inlineStr">
        <is>
          <t>iCoA-PP-2026-0012</t>
        </is>
      </c>
      <c r="P54" s="243" t="inlineStr">
        <is>
          <t>05.03.2026</t>
        </is>
      </c>
      <c r="Q54" s="243" t="inlineStr">
        <is>
          <t>21.01.2026</t>
        </is>
      </c>
      <c r="R54" s="243" t="inlineStr">
        <is>
          <t>05.03.2026</t>
        </is>
      </c>
      <c r="S54" s="245">
        <f>IFERROR(INDEX('CoQ Register'!$D:$D,MATCH("P060152|I",'CoQ Register'!$S:$S,0)),"")</f>
        <v/>
      </c>
      <c r="T54" s="243" t="inlineStr">
        <is>
          <t>Conforms</t>
        </is>
      </c>
      <c r="U54" s="243" t="inlineStr">
        <is>
          <t>Conforms</t>
        </is>
      </c>
      <c r="V54" s="243" t="inlineStr">
        <is>
          <t>Conforms</t>
        </is>
      </c>
      <c r="W54" s="243" t="inlineStr">
        <is>
          <t>051-1-K-26, (04.03.2026) [FHM-K]</t>
        </is>
      </c>
      <c r="X54" s="243" t="inlineStr">
        <is>
          <t>—</t>
        </is>
      </c>
      <c r="Y54" s="243" t="inlineStr">
        <is>
          <t>—</t>
        </is>
      </c>
      <c r="Z54" s="243" t="inlineStr">
        <is>
          <t>—</t>
        </is>
      </c>
      <c r="AA54" s="243" t="inlineStr">
        <is>
          <t>P060152|I</t>
        </is>
      </c>
      <c r="AB54" s="250" t="inlineStr">
        <is>
          <t>registered — initial release, issued 03.06.2026</t>
        </is>
      </c>
    </row>
    <row r="55">
      <c r="A55" s="243" t="n">
        <v>54</v>
      </c>
      <c r="B55" s="244" t="inlineStr">
        <is>
          <t>iCoA-PP_26-054</t>
        </is>
      </c>
      <c r="C55" s="249" t="inlineStr">
        <is>
          <t>yes</t>
        </is>
      </c>
      <c r="D55" s="245" t="n">
        <v>46176</v>
      </c>
      <c r="E55" s="245" t="n">
        <v>46087</v>
      </c>
      <c r="F55" s="245">
        <f>IFERROR(INDEX('Batch Dates'!$G:$G,MATCH(J55,'Batch Dates'!$C:$C,0)),IFERROR(INDEX('Batch Dates'!$G:$G,MATCH(I55,'Batch Dates'!$B:$B,0)),""))</f>
        <v/>
      </c>
      <c r="G55" s="243" t="inlineStr">
        <is>
          <t>legacy</t>
        </is>
      </c>
      <c r="H55" s="243" t="inlineStr">
        <is>
          <t>retest 1</t>
        </is>
      </c>
      <c r="I55" s="244" t="inlineStr">
        <is>
          <t>GRC102501</t>
        </is>
      </c>
      <c r="J55" s="243" t="inlineStr">
        <is>
          <t>P060182</t>
        </is>
      </c>
      <c r="K55" s="243" t="inlineStr">
        <is>
          <t>Grapes And Cream</t>
        </is>
      </c>
      <c r="L55" s="243" t="inlineStr">
        <is>
          <t>Ident A + Ident B + Foreign matter</t>
        </is>
      </c>
      <c r="M55" s="248" t="inlineStr">
        <is>
          <t>—</t>
        </is>
      </c>
      <c r="N55" s="243">
        <f>IFERROR(INDEX('CoQ Register'!$B:$B,MATCH("P060182|R",'CoQ Register'!$S:$S,0)),"—")</f>
        <v/>
      </c>
      <c r="O55" s="248" t="inlineStr">
        <is>
          <t>—</t>
        </is>
      </c>
      <c r="P55" s="243" t="inlineStr">
        <is>
          <t>14.03.2027</t>
        </is>
      </c>
      <c r="Q55" s="243" t="inlineStr">
        <is>
          <t>20.01.2026</t>
        </is>
      </c>
      <c r="R55" s="243" t="inlineStr">
        <is>
          <t>14.03.2026</t>
        </is>
      </c>
      <c r="S55" s="245">
        <f>IFERROR(INDEX('CoQ Register'!$D:$D,MATCH("P060182|R",'CoQ Register'!$S:$S,0)),"")</f>
        <v/>
      </c>
      <c r="T55" s="243" t="inlineStr">
        <is>
          <t>Conforms</t>
        </is>
      </c>
      <c r="U55" s="243" t="inlineStr">
        <is>
          <t>Conforms</t>
        </is>
      </c>
      <c r="V55" s="243" t="inlineStr">
        <is>
          <t>Conforms</t>
        </is>
      </c>
      <c r="W55" s="243" t="inlineStr">
        <is>
          <t>220-14-K-26, (25.08.2026) [FHM-K]</t>
        </is>
      </c>
      <c r="X55" s="243" t="inlineStr">
        <is>
          <t>220-14-K-26, (25.08.2026) [FHM-K]</t>
        </is>
      </c>
      <c r="Y55" s="243" t="inlineStr">
        <is>
          <t>220-14-M-26, (11.09.2026) [FHM-M]</t>
        </is>
      </c>
      <c r="Z55" s="243" t="inlineStr">
        <is>
          <t>#8, #9, #11, #12 from the initial testing</t>
        </is>
      </c>
      <c r="AA55" s="243" t="inlineStr">
        <is>
          <t>P060182|R</t>
        </is>
      </c>
      <c r="AB55" s="250" t="inlineStr">
        <is>
          <t>registered — retest 1, issued 03.06.2026</t>
        </is>
      </c>
    </row>
    <row r="56">
      <c r="A56" s="243" t="n">
        <v>55</v>
      </c>
      <c r="B56" s="244" t="inlineStr">
        <is>
          <t>iCoA-PP_26-055</t>
        </is>
      </c>
      <c r="C56" s="249" t="inlineStr">
        <is>
          <t>yes</t>
        </is>
      </c>
      <c r="D56" s="245">
        <f>IF(A56="","",IF(ISNUMBER(E56),MAX(DATE(2026,6,3),E56),DATE(2026,6,3)))</f>
        <v/>
      </c>
      <c r="E56" s="245">
        <f>IFERROR(INDEX('Batch Dates'!$F:$F,MATCH(J56,'Batch Dates'!$C:$C,0)),IFERROR(INDEX('Batch Dates'!$F:$F,MATCH(I56,'Batch Dates'!$B:$B,0)),""))</f>
        <v/>
      </c>
      <c r="F56" s="245">
        <f>IFERROR(INDEX('Batch Dates'!$G:$G,MATCH(J56,'Batch Dates'!$C:$C,0)),IFERROR(INDEX('Batch Dates'!$G:$G,MATCH(I56,'Batch Dates'!$B:$B,0)),""))</f>
        <v/>
      </c>
      <c r="G56" s="243" t="inlineStr">
        <is>
          <t>legacy</t>
        </is>
      </c>
      <c r="H56" s="243" t="inlineStr">
        <is>
          <t>initial release</t>
        </is>
      </c>
      <c r="I56" s="244" t="inlineStr">
        <is>
          <t>SJ102501</t>
        </is>
      </c>
      <c r="J56" s="243" t="inlineStr">
        <is>
          <t>P060162</t>
        </is>
      </c>
      <c r="K56" s="243" t="inlineStr">
        <is>
          <t>Sleepy Joe</t>
        </is>
      </c>
      <c r="L56" s="243" t="inlineStr">
        <is>
          <t>Ident A + Ident B + Foreign matter</t>
        </is>
      </c>
      <c r="M56" s="248" t="inlineStr">
        <is>
          <t>—</t>
        </is>
      </c>
      <c r="N56" s="243">
        <f>IFERROR(INDEX('CoQ Register'!$B:$B,MATCH("P060162|I",'CoQ Register'!$S:$S,0)),"—")</f>
        <v/>
      </c>
      <c r="O56" s="248" t="inlineStr">
        <is>
          <t>—</t>
        </is>
      </c>
      <c r="P56" s="243" t="inlineStr">
        <is>
          <t>04.03.2026</t>
        </is>
      </c>
      <c r="Q56" s="243" t="inlineStr">
        <is>
          <t>20.01.2026</t>
        </is>
      </c>
      <c r="R56" s="243" t="inlineStr">
        <is>
          <t>09.03.2026 (the issuance plan's basis: 04.03.2026)</t>
        </is>
      </c>
      <c r="S56" s="245">
        <f>IFERROR(INDEX('CoQ Register'!$D:$D,MATCH("P060162|I",'CoQ Register'!$S:$S,0)),"")</f>
        <v/>
      </c>
      <c r="T56" s="243" t="inlineStr">
        <is>
          <t>Conforms</t>
        </is>
      </c>
      <c r="U56" s="243" t="inlineStr">
        <is>
          <t>Conforms</t>
        </is>
      </c>
      <c r="V56" s="243" t="inlineStr">
        <is>
          <t>Conforms</t>
        </is>
      </c>
      <c r="W56" s="243" t="inlineStr">
        <is>
          <t>051-3-K-26, (04.03.2026) [FHM-K]</t>
        </is>
      </c>
      <c r="X56" s="243" t="inlineStr">
        <is>
          <t>—</t>
        </is>
      </c>
      <c r="Y56" s="243" t="inlineStr">
        <is>
          <t>—</t>
        </is>
      </c>
      <c r="Z56" s="243" t="inlineStr">
        <is>
          <t>—</t>
        </is>
      </c>
      <c r="AA56" s="243" t="inlineStr">
        <is>
          <t>P060162|I</t>
        </is>
      </c>
      <c r="AB56" s="250" t="inlineStr">
        <is>
          <t>registered — initial release, issued 03.06.2026</t>
        </is>
      </c>
    </row>
    <row r="57">
      <c r="A57" s="243" t="n">
        <v>56</v>
      </c>
      <c r="B57" s="244" t="inlineStr">
        <is>
          <t>iCoA-PP_26-056</t>
        </is>
      </c>
      <c r="C57" s="249" t="inlineStr">
        <is>
          <t>yes</t>
        </is>
      </c>
      <c r="D57" s="245">
        <f>IF(A57="","",IF(ISNUMBER(E57),MAX(DATE(2026,6,3),E57),DATE(2026,6,3)))</f>
        <v/>
      </c>
      <c r="E57" s="245">
        <f>IFERROR(INDEX('Batch Dates'!$F:$F,MATCH(J57,'Batch Dates'!$C:$C,0)),IFERROR(INDEX('Batch Dates'!$F:$F,MATCH(I57,'Batch Dates'!$B:$B,0)),""))</f>
        <v/>
      </c>
      <c r="F57" s="245">
        <f>IFERROR(INDEX('Batch Dates'!$G:$G,MATCH(J57,'Batch Dates'!$C:$C,0)),IFERROR(INDEX('Batch Dates'!$G:$G,MATCH(I57,'Batch Dates'!$B:$B,0)),""))</f>
        <v/>
      </c>
      <c r="G57" s="243" t="inlineStr">
        <is>
          <t>legacy</t>
        </is>
      </c>
      <c r="H57" s="243" t="inlineStr">
        <is>
          <t>initial release</t>
        </is>
      </c>
      <c r="I57" s="244" t="inlineStr">
        <is>
          <t>KC102501</t>
        </is>
      </c>
      <c r="J57" s="243" t="inlineStr">
        <is>
          <t>P060172</t>
        </is>
      </c>
      <c r="K57" s="243" t="inlineStr">
        <is>
          <t>Kush Crasher</t>
        </is>
      </c>
      <c r="L57" s="243" t="inlineStr">
        <is>
          <t>Ident A + Ident B + Foreign matter</t>
        </is>
      </c>
      <c r="M57" s="248" t="inlineStr">
        <is>
          <t>—</t>
        </is>
      </c>
      <c r="N57" s="243">
        <f>IFERROR(INDEX('CoQ Register'!$B:$B,MATCH("P060172|I",'CoQ Register'!$S:$S,0)),"—")</f>
        <v/>
      </c>
      <c r="O57" s="243" t="inlineStr">
        <is>
          <t>iCoA-PP-2026-0013</t>
        </is>
      </c>
      <c r="P57" s="243" t="inlineStr">
        <is>
          <t>12.03.2026</t>
        </is>
      </c>
      <c r="Q57" s="243" t="inlineStr">
        <is>
          <t>20.01.2026 – 21.01.2026</t>
        </is>
      </c>
      <c r="R57" s="243" t="inlineStr">
        <is>
          <t>12.03.2026</t>
        </is>
      </c>
      <c r="S57" s="245">
        <f>IFERROR(INDEX('CoQ Register'!$D:$D,MATCH("P060172|I",'CoQ Register'!$S:$S,0)),"")</f>
        <v/>
      </c>
      <c r="T57" s="243" t="inlineStr">
        <is>
          <t>Conforms</t>
        </is>
      </c>
      <c r="U57" s="243" t="inlineStr">
        <is>
          <t>Conforms</t>
        </is>
      </c>
      <c r="V57" s="243" t="inlineStr">
        <is>
          <t>Conforms</t>
        </is>
      </c>
      <c r="W57" s="243" t="inlineStr">
        <is>
          <t>051-4-K-26, (04.03.2026) [FHM-K]</t>
        </is>
      </c>
      <c r="X57" s="243" t="inlineStr">
        <is>
          <t>—</t>
        </is>
      </c>
      <c r="Y57" s="243" t="inlineStr">
        <is>
          <t>—</t>
        </is>
      </c>
      <c r="Z57" s="243" t="inlineStr">
        <is>
          <t>—</t>
        </is>
      </c>
      <c r="AA57" s="243" t="inlineStr">
        <is>
          <t>P060172|I</t>
        </is>
      </c>
      <c r="AB57" s="250" t="inlineStr">
        <is>
          <t>registered — initial release, issued 03.06.2026</t>
        </is>
      </c>
    </row>
    <row r="58">
      <c r="A58" s="243" t="n">
        <v>57</v>
      </c>
      <c r="B58" s="244" t="inlineStr">
        <is>
          <t>iCoA-PP_26-057</t>
        </is>
      </c>
      <c r="C58" s="249" t="inlineStr">
        <is>
          <t>yes</t>
        </is>
      </c>
      <c r="D58" s="245">
        <f>IF(A58="","",IF(ISNUMBER(E58),MAX(DATE(2026,6,3),E58),DATE(2026,6,3)))</f>
        <v/>
      </c>
      <c r="E58" s="245">
        <f>IFERROR(INDEX('Batch Dates'!$F:$F,MATCH(J58,'Batch Dates'!$C:$C,0)),IFERROR(INDEX('Batch Dates'!$F:$F,MATCH(I58,'Batch Dates'!$B:$B,0)),""))</f>
        <v/>
      </c>
      <c r="F58" s="245">
        <f>IFERROR(INDEX('Batch Dates'!$G:$G,MATCH(J58,'Batch Dates'!$C:$C,0)),IFERROR(INDEX('Batch Dates'!$G:$G,MATCH(I58,'Batch Dates'!$B:$B,0)),""))</f>
        <v/>
      </c>
      <c r="G58" s="243" t="inlineStr">
        <is>
          <t>legacy</t>
        </is>
      </c>
      <c r="H58" s="243" t="inlineStr">
        <is>
          <t>initial release</t>
        </is>
      </c>
      <c r="I58" s="244" t="inlineStr">
        <is>
          <t>GRC102501</t>
        </is>
      </c>
      <c r="J58" s="243" t="inlineStr">
        <is>
          <t>P060182</t>
        </is>
      </c>
      <c r="K58" s="243" t="inlineStr">
        <is>
          <t>Grapes And Cream</t>
        </is>
      </c>
      <c r="L58" s="243" t="inlineStr">
        <is>
          <t>Ident A + Ident B + Foreign matter</t>
        </is>
      </c>
      <c r="M58" s="248" t="inlineStr">
        <is>
          <t>—</t>
        </is>
      </c>
      <c r="N58" s="243">
        <f>IFERROR(INDEX('CoQ Register'!$B:$B,MATCH("P060182|I",'CoQ Register'!$S:$S,0)),"—")</f>
        <v/>
      </c>
      <c r="O58" s="243" t="inlineStr">
        <is>
          <t>iCoA-PP-2026-0014</t>
        </is>
      </c>
      <c r="P58" s="243" t="inlineStr">
        <is>
          <t>14.03.2026</t>
        </is>
      </c>
      <c r="Q58" s="243" t="inlineStr">
        <is>
          <t>20.01.2026</t>
        </is>
      </c>
      <c r="R58" s="243" t="inlineStr">
        <is>
          <t>14.03.2026</t>
        </is>
      </c>
      <c r="S58" s="245">
        <f>IFERROR(INDEX('CoQ Register'!$D:$D,MATCH("P060182|I",'CoQ Register'!$S:$S,0)),"")</f>
        <v/>
      </c>
      <c r="T58" s="243" t="inlineStr">
        <is>
          <t>Conforms</t>
        </is>
      </c>
      <c r="U58" s="243" t="inlineStr">
        <is>
          <t>Conforms</t>
        </is>
      </c>
      <c r="V58" s="243" t="inlineStr">
        <is>
          <t>Conforms</t>
        </is>
      </c>
      <c r="W58" s="243" t="inlineStr">
        <is>
          <t>051-6-K-26, (04.03.2026) [FHM-K]</t>
        </is>
      </c>
      <c r="X58" s="243" t="inlineStr">
        <is>
          <t>—</t>
        </is>
      </c>
      <c r="Y58" s="243" t="inlineStr">
        <is>
          <t>—</t>
        </is>
      </c>
      <c r="Z58" s="243" t="inlineStr">
        <is>
          <t>—</t>
        </is>
      </c>
      <c r="AA58" s="243" t="inlineStr">
        <is>
          <t>P060182|I</t>
        </is>
      </c>
      <c r="AB58" s="250" t="inlineStr">
        <is>
          <t>registered — initial release, issued 03.06.2026</t>
        </is>
      </c>
    </row>
    <row r="59">
      <c r="A59" s="243" t="n">
        <v>58</v>
      </c>
      <c r="B59" s="244" t="inlineStr">
        <is>
          <t>iCoA-PP_26-058</t>
        </is>
      </c>
      <c r="C59" s="249" t="inlineStr">
        <is>
          <t>yes</t>
        </is>
      </c>
      <c r="D59" s="245">
        <f>IF(A59="","",IF(ISNUMBER(E59),MAX(DATE(2026,6,3),E59),DATE(2026,6,3)))</f>
        <v/>
      </c>
      <c r="E59" s="245">
        <f>IFERROR(INDEX('Batch Dates'!$F:$F,MATCH(J59,'Batch Dates'!$C:$C,0)),IFERROR(INDEX('Batch Dates'!$F:$F,MATCH(I59,'Batch Dates'!$B:$B,0)),""))</f>
        <v/>
      </c>
      <c r="F59" s="245">
        <f>IFERROR(INDEX('Batch Dates'!$G:$G,MATCH(J59,'Batch Dates'!$C:$C,0)),IFERROR(INDEX('Batch Dates'!$G:$G,MATCH(I59,'Batch Dates'!$B:$B,0)),""))</f>
        <v/>
      </c>
      <c r="G59" s="243" t="inlineStr">
        <is>
          <t>legacy</t>
        </is>
      </c>
      <c r="H59" s="243" t="inlineStr">
        <is>
          <t>initial release</t>
        </is>
      </c>
      <c r="I59" s="244" t="inlineStr">
        <is>
          <t>SJ112501</t>
        </is>
      </c>
      <c r="J59" s="243" t="inlineStr">
        <is>
          <t>P060192</t>
        </is>
      </c>
      <c r="K59" s="243" t="inlineStr">
        <is>
          <t>Sleepy Joe</t>
        </is>
      </c>
      <c r="L59" s="243" t="inlineStr">
        <is>
          <t>Ident A + Ident B + Foreign matter</t>
        </is>
      </c>
      <c r="M59" s="248" t="inlineStr">
        <is>
          <t>—</t>
        </is>
      </c>
      <c r="N59" s="243">
        <f>IFERROR(INDEX('CoQ Register'!$B:$B,MATCH("P060192|I",'CoQ Register'!$S:$S,0)),"—")</f>
        <v/>
      </c>
      <c r="O59" s="248" t="inlineStr">
        <is>
          <t>—</t>
        </is>
      </c>
      <c r="P59" s="243" t="inlineStr">
        <is>
          <t>04.03.2026</t>
        </is>
      </c>
      <c r="Q59" s="243" t="inlineStr">
        <is>
          <t>26.01.2026 – 27.01.2026</t>
        </is>
      </c>
      <c r="R59" s="243" t="inlineStr">
        <is>
          <t>31.03.2026 (the issuance plan's basis: 04.03.2026)</t>
        </is>
      </c>
      <c r="S59" s="245">
        <f>IFERROR(INDEX('CoQ Register'!$D:$D,MATCH("P060192|I",'CoQ Register'!$S:$S,0)),"")</f>
        <v/>
      </c>
      <c r="T59" s="243" t="inlineStr">
        <is>
          <t>Conforms</t>
        </is>
      </c>
      <c r="U59" s="243" t="inlineStr">
        <is>
          <t>Conforms</t>
        </is>
      </c>
      <c r="V59" s="243" t="inlineStr">
        <is>
          <t>Conforms</t>
        </is>
      </c>
      <c r="W59" s="243" t="inlineStr">
        <is>
          <t>051-2-K-26, (04.03.2026) [FHM-K]</t>
        </is>
      </c>
      <c r="X59" s="243" t="inlineStr">
        <is>
          <t>—</t>
        </is>
      </c>
      <c r="Y59" s="243" t="inlineStr">
        <is>
          <t>—</t>
        </is>
      </c>
      <c r="Z59" s="243" t="inlineStr">
        <is>
          <t>—</t>
        </is>
      </c>
      <c r="AA59" s="243" t="inlineStr">
        <is>
          <t>P060192|I</t>
        </is>
      </c>
      <c r="AB59" s="250" t="inlineStr">
        <is>
          <t>registered — initial release, issued 03.06.2026</t>
        </is>
      </c>
    </row>
    <row r="60">
      <c r="A60" s="243" t="n">
        <v>59</v>
      </c>
      <c r="B60" s="244" t="inlineStr">
        <is>
          <t>iCoA-PP_26-059</t>
        </is>
      </c>
      <c r="C60" s="249" t="inlineStr">
        <is>
          <t>yes</t>
        </is>
      </c>
      <c r="D60" s="245">
        <f>IF(A60="","",IF(ISNUMBER(E60),MAX(DATE(2026,6,3),E60),DATE(2026,6,3)))</f>
        <v/>
      </c>
      <c r="E60" s="245">
        <f>IFERROR(INDEX('Batch Dates'!$F:$F,MATCH(J60,'Batch Dates'!$C:$C,0)),IFERROR(INDEX('Batch Dates'!$F:$F,MATCH(I60,'Batch Dates'!$B:$B,0)),""))</f>
        <v/>
      </c>
      <c r="F60" s="245">
        <f>IFERROR(INDEX('Batch Dates'!$G:$G,MATCH(J60,'Batch Dates'!$C:$C,0)),IFERROR(INDEX('Batch Dates'!$G:$G,MATCH(I60,'Batch Dates'!$B:$B,0)),""))</f>
        <v/>
      </c>
      <c r="G60" s="243" t="inlineStr">
        <is>
          <t>legacy</t>
        </is>
      </c>
      <c r="H60" s="243" t="inlineStr">
        <is>
          <t>initial release</t>
        </is>
      </c>
      <c r="I60" s="244" t="inlineStr">
        <is>
          <t>J31112501</t>
        </is>
      </c>
      <c r="J60" s="243" t="inlineStr">
        <is>
          <t>P060202</t>
        </is>
      </c>
      <c r="K60" s="243" t="inlineStr">
        <is>
          <t>Jokerz 31</t>
        </is>
      </c>
      <c r="L60" s="243" t="inlineStr">
        <is>
          <t>Ident A + Ident B + Foreign matter</t>
        </is>
      </c>
      <c r="M60" s="248" t="inlineStr">
        <is>
          <t>—</t>
        </is>
      </c>
      <c r="N60" s="243">
        <f>IFERROR(INDEX('CoQ Register'!$B:$B,MATCH("P060202|I",'CoQ Register'!$S:$S,0)),"—")</f>
        <v/>
      </c>
      <c r="O60" s="248" t="inlineStr">
        <is>
          <t>—</t>
        </is>
      </c>
      <c r="P60" s="243" t="inlineStr">
        <is>
          <t>09.04.2026</t>
        </is>
      </c>
      <c r="Q60" s="243" t="inlineStr">
        <is>
          <t>26.01.2026</t>
        </is>
      </c>
      <c r="R60" s="243" t="inlineStr">
        <is>
          <t>17.04.2026 (the issuance plan's basis: 09.04.2026)</t>
        </is>
      </c>
      <c r="S60" s="245">
        <f>IFERROR(INDEX('CoQ Register'!$D:$D,MATCH("P060202|I",'CoQ Register'!$S:$S,0)),"")</f>
        <v/>
      </c>
      <c r="T60" s="243" t="inlineStr">
        <is>
          <t>Conforms</t>
        </is>
      </c>
      <c r="U60" s="243" t="inlineStr">
        <is>
          <t>Conforms</t>
        </is>
      </c>
      <c r="V60" s="243" t="inlineStr">
        <is>
          <t>Conforms</t>
        </is>
      </c>
      <c r="W60" s="243" t="inlineStr">
        <is>
          <t>051-5-K-26, (04.03.2026) [FHM-K]</t>
        </is>
      </c>
      <c r="X60" s="243" t="inlineStr">
        <is>
          <t>—</t>
        </is>
      </c>
      <c r="Y60" s="243" t="inlineStr">
        <is>
          <t>—</t>
        </is>
      </c>
      <c r="Z60" s="243" t="inlineStr">
        <is>
          <t>—</t>
        </is>
      </c>
      <c r="AA60" s="243" t="inlineStr">
        <is>
          <t>P060202|I</t>
        </is>
      </c>
      <c r="AB60" s="250" t="inlineStr">
        <is>
          <t>registered — initial release, issued 03.06.2026</t>
        </is>
      </c>
    </row>
    <row r="61">
      <c r="A61" s="243" t="n">
        <v>60</v>
      </c>
      <c r="B61" s="244" t="inlineStr">
        <is>
          <t>iCoA-PP_26-060</t>
        </is>
      </c>
      <c r="C61" s="249" t="inlineStr">
        <is>
          <t>yes</t>
        </is>
      </c>
      <c r="D61" s="245">
        <f>IF(A61="","",IF(ISNUMBER(E61),MAX(DATE(2026,6,3),E61),DATE(2026,6,3)))</f>
        <v/>
      </c>
      <c r="E61" s="245">
        <f>IFERROR(INDEX('Batch Dates'!$F:$F,MATCH(J61,'Batch Dates'!$C:$C,0)),IFERROR(INDEX('Batch Dates'!$F:$F,MATCH(I61,'Batch Dates'!$B:$B,0)),""))</f>
        <v/>
      </c>
      <c r="F61" s="245">
        <f>IFERROR(INDEX('Batch Dates'!$G:$G,MATCH(J61,'Batch Dates'!$C:$C,0)),IFERROR(INDEX('Batch Dates'!$G:$G,MATCH(I61,'Batch Dates'!$B:$B,0)),""))</f>
        <v/>
      </c>
      <c r="G61" s="243" t="inlineStr">
        <is>
          <t>legacy</t>
        </is>
      </c>
      <c r="H61" s="243" t="inlineStr">
        <is>
          <t>initial release</t>
        </is>
      </c>
      <c r="I61" s="244" t="inlineStr">
        <is>
          <t>JD112501</t>
        </is>
      </c>
      <c r="J61" s="243" t="inlineStr">
        <is>
          <t>P060212</t>
        </is>
      </c>
      <c r="K61" s="243" t="inlineStr">
        <is>
          <t>Jelly Donuts</t>
        </is>
      </c>
      <c r="L61" s="243" t="inlineStr">
        <is>
          <t>Ident A + Ident B + Foreign matter</t>
        </is>
      </c>
      <c r="M61" s="248" t="inlineStr">
        <is>
          <t>—</t>
        </is>
      </c>
      <c r="N61" s="243">
        <f>IFERROR(INDEX('CoQ Register'!$B:$B,MATCH("P060212|I",'CoQ Register'!$S:$S,0)),"—")</f>
        <v/>
      </c>
      <c r="O61" s="243" t="inlineStr">
        <is>
          <t>iCoA-PP-2026-0015</t>
        </is>
      </c>
      <c r="P61" s="243" t="inlineStr">
        <is>
          <t>21.04.2026</t>
        </is>
      </c>
      <c r="Q61" s="243" t="inlineStr">
        <is>
          <t>25.03.2026</t>
        </is>
      </c>
      <c r="R61" s="243" t="inlineStr">
        <is>
          <t>21.04.2026</t>
        </is>
      </c>
      <c r="S61" s="245">
        <f>IFERROR(INDEX('CoQ Register'!$D:$D,MATCH("P060212|I",'CoQ Register'!$S:$S,0)),"")</f>
        <v/>
      </c>
      <c r="T61" s="243" t="inlineStr">
        <is>
          <t>Conforms</t>
        </is>
      </c>
      <c r="U61" s="243" t="inlineStr">
        <is>
          <t>Conforms</t>
        </is>
      </c>
      <c r="V61" s="243" t="inlineStr">
        <is>
          <t>Conforms</t>
        </is>
      </c>
      <c r="W61" s="243" t="inlineStr">
        <is>
          <t>ППК26063, (11.05.2026) [CNP]</t>
        </is>
      </c>
      <c r="X61" s="243" t="inlineStr">
        <is>
          <t>—</t>
        </is>
      </c>
      <c r="Y61" s="243" t="inlineStr">
        <is>
          <t>—</t>
        </is>
      </c>
      <c r="Z61" s="243" t="inlineStr">
        <is>
          <t>—</t>
        </is>
      </c>
      <c r="AA61" s="243" t="inlineStr">
        <is>
          <t>P060212|I</t>
        </is>
      </c>
      <c r="AB61" s="250" t="inlineStr">
        <is>
          <t>registered — initial release, issued 03.06.2026</t>
        </is>
      </c>
    </row>
    <row r="62">
      <c r="A62" s="243" t="n">
        <v>61</v>
      </c>
      <c r="B62" s="244" t="inlineStr">
        <is>
          <t>iCoA-PP_26-061</t>
        </is>
      </c>
      <c r="C62" s="249" t="inlineStr">
        <is>
          <t>yes</t>
        </is>
      </c>
      <c r="D62" s="245">
        <f>IF(A62="","",IF(ISNUMBER(E62),MAX(DATE(2026,6,3),E62),DATE(2026,6,3)))</f>
        <v/>
      </c>
      <c r="E62" s="245">
        <f>IFERROR(INDEX('Batch Dates'!$F:$F,MATCH(J62,'Batch Dates'!$C:$C,0)),IFERROR(INDEX('Batch Dates'!$F:$F,MATCH(I62,'Batch Dates'!$B:$B,0)),""))</f>
        <v/>
      </c>
      <c r="F62" s="245">
        <f>IFERROR(INDEX('Batch Dates'!$G:$G,MATCH(J62,'Batch Dates'!$C:$C,0)),IFERROR(INDEX('Batch Dates'!$G:$G,MATCH(I62,'Batch Dates'!$B:$B,0)),""))</f>
        <v/>
      </c>
      <c r="G62" s="243" t="inlineStr">
        <is>
          <t>legacy</t>
        </is>
      </c>
      <c r="H62" s="243" t="inlineStr">
        <is>
          <t>initial release</t>
        </is>
      </c>
      <c r="I62" s="244" t="inlineStr">
        <is>
          <t>OPM112501</t>
        </is>
      </c>
      <c r="J62" s="243" t="inlineStr">
        <is>
          <t>P060222</t>
        </is>
      </c>
      <c r="K62" s="243" t="inlineStr">
        <is>
          <t>Orange Punch Mimosa</t>
        </is>
      </c>
      <c r="L62" s="243" t="inlineStr">
        <is>
          <t>Ident A + Ident B + Foreign matter</t>
        </is>
      </c>
      <c r="M62" s="248" t="inlineStr">
        <is>
          <t>—</t>
        </is>
      </c>
      <c r="N62" s="243">
        <f>IFERROR(INDEX('CoQ Register'!$B:$B,MATCH("P060222|I",'CoQ Register'!$S:$S,0)),"—")</f>
        <v/>
      </c>
      <c r="O62" s="248" t="inlineStr">
        <is>
          <t>—</t>
        </is>
      </c>
      <c r="P62" s="243" t="inlineStr">
        <is>
          <t>05.03.2026</t>
        </is>
      </c>
      <c r="Q62" s="243" t="inlineStr">
        <is>
          <t>05.02.2026</t>
        </is>
      </c>
      <c r="R62" s="243" t="inlineStr">
        <is>
          <t>24.04.2026 (the issuance plan's basis: 05.03.2026)</t>
        </is>
      </c>
      <c r="S62" s="245">
        <f>IFERROR(INDEX('CoQ Register'!$D:$D,MATCH("P060222|I",'CoQ Register'!$S:$S,0)),"")</f>
        <v/>
      </c>
      <c r="T62" s="243" t="inlineStr">
        <is>
          <t>Conforms</t>
        </is>
      </c>
      <c r="U62" s="243" t="inlineStr">
        <is>
          <t>Conforms</t>
        </is>
      </c>
      <c r="V62" s="243" t="inlineStr">
        <is>
          <t>Conforms</t>
        </is>
      </c>
      <c r="W62" s="243" t="inlineStr">
        <is>
          <t>ППК26031, (05.03.2026) [CNP]</t>
        </is>
      </c>
      <c r="X62" s="243" t="inlineStr">
        <is>
          <t>—</t>
        </is>
      </c>
      <c r="Y62" s="243" t="inlineStr">
        <is>
          <t>—</t>
        </is>
      </c>
      <c r="Z62" s="243" t="inlineStr">
        <is>
          <t>—</t>
        </is>
      </c>
      <c r="AA62" s="243" t="inlineStr">
        <is>
          <t>P060222|I</t>
        </is>
      </c>
      <c r="AB62" s="250" t="inlineStr">
        <is>
          <t>registered — initial release, issued 03.06.2026</t>
        </is>
      </c>
    </row>
    <row r="63">
      <c r="A63" s="243" t="n">
        <v>62</v>
      </c>
      <c r="B63" s="244" t="inlineStr">
        <is>
          <t>iCoA-PP_26-062</t>
        </is>
      </c>
      <c r="C63" s="249" t="inlineStr">
        <is>
          <t>yes</t>
        </is>
      </c>
      <c r="D63" s="245">
        <f>IF(A63="","",IF(ISNUMBER(E63),MAX(DATE(2026,6,3),E63),DATE(2026,6,3)))</f>
        <v/>
      </c>
      <c r="E63" s="245">
        <f>IFERROR(INDEX('Batch Dates'!$F:$F,MATCH(J63,'Batch Dates'!$C:$C,0)),IFERROR(INDEX('Batch Dates'!$F:$F,MATCH(I63,'Batch Dates'!$B:$B,0)),""))</f>
        <v/>
      </c>
      <c r="F63" s="245">
        <f>IFERROR(INDEX('Batch Dates'!$G:$G,MATCH(J63,'Batch Dates'!$C:$C,0)),IFERROR(INDEX('Batch Dates'!$G:$G,MATCH(I63,'Batch Dates'!$B:$B,0)),""))</f>
        <v/>
      </c>
      <c r="G63" s="243" t="inlineStr">
        <is>
          <t>legacy</t>
        </is>
      </c>
      <c r="H63" s="243" t="inlineStr">
        <is>
          <t>initial release</t>
        </is>
      </c>
      <c r="I63" s="244" t="inlineStr">
        <is>
          <t>PM112501</t>
        </is>
      </c>
      <c r="J63" s="243" t="inlineStr">
        <is>
          <t>P060232</t>
        </is>
      </c>
      <c r="K63" s="243" t="inlineStr">
        <is>
          <t>Permanent Marker</t>
        </is>
      </c>
      <c r="L63" s="243" t="inlineStr">
        <is>
          <t>Ident A + Ident B + Foreign matter</t>
        </is>
      </c>
      <c r="M63" s="248" t="inlineStr">
        <is>
          <t>—</t>
        </is>
      </c>
      <c r="N63" s="243">
        <f>IFERROR(INDEX('CoQ Register'!$B:$B,MATCH("P060232|I",'CoQ Register'!$S:$S,0)),"—")</f>
        <v/>
      </c>
      <c r="O63" s="243" t="inlineStr">
        <is>
          <t>iCoA-PP-2026-0016</t>
        </is>
      </c>
      <c r="P63" s="243" t="inlineStr">
        <is>
          <t>27.04.2026</t>
        </is>
      </c>
      <c r="Q63" s="243" t="inlineStr">
        <is>
          <t>05.02.2026</t>
        </is>
      </c>
      <c r="R63" s="243" t="inlineStr">
        <is>
          <t>27.04.2026</t>
        </is>
      </c>
      <c r="S63" s="245">
        <f>IFERROR(INDEX('CoQ Register'!$D:$D,MATCH("P060232|I",'CoQ Register'!$S:$S,0)),"")</f>
        <v/>
      </c>
      <c r="T63" s="243" t="inlineStr">
        <is>
          <t>Conforms</t>
        </is>
      </c>
      <c r="U63" s="243" t="inlineStr">
        <is>
          <t>Conforms</t>
        </is>
      </c>
      <c r="V63" s="243" t="inlineStr">
        <is>
          <t>Conforms</t>
        </is>
      </c>
      <c r="W63" s="243" t="inlineStr">
        <is>
          <t>ППК26030, (05.03.2026) [CNP]</t>
        </is>
      </c>
      <c r="X63" s="243" t="inlineStr">
        <is>
          <t>—</t>
        </is>
      </c>
      <c r="Y63" s="243" t="inlineStr">
        <is>
          <t>—</t>
        </is>
      </c>
      <c r="Z63" s="243" t="inlineStr">
        <is>
          <t>—</t>
        </is>
      </c>
      <c r="AA63" s="243" t="inlineStr">
        <is>
          <t>P060232|I</t>
        </is>
      </c>
      <c r="AB63" s="250" t="inlineStr">
        <is>
          <t>registered — initial release, issued 03.06.2026</t>
        </is>
      </c>
    </row>
    <row r="64">
      <c r="A64" s="243" t="n">
        <v>63</v>
      </c>
      <c r="B64" s="244" t="inlineStr">
        <is>
          <t>iCoA-PP_26-063</t>
        </is>
      </c>
      <c r="C64" s="249" t="inlineStr">
        <is>
          <t>yes</t>
        </is>
      </c>
      <c r="D64" s="245">
        <f>IF(A64="","",IF(ISNUMBER(E64),MAX(DATE(2026,6,3),E64),DATE(2026,6,3)))</f>
        <v/>
      </c>
      <c r="E64" s="245">
        <f>IFERROR(INDEX('Batch Dates'!$F:$F,MATCH(J64,'Batch Dates'!$C:$C,0)),IFERROR(INDEX('Batch Dates'!$F:$F,MATCH(I64,'Batch Dates'!$B:$B,0)),""))</f>
        <v/>
      </c>
      <c r="F64" s="245">
        <f>IFERROR(INDEX('Batch Dates'!$G:$G,MATCH(J64,'Batch Dates'!$C:$C,0)),IFERROR(INDEX('Batch Dates'!$G:$G,MATCH(I64,'Batch Dates'!$B:$B,0)),""))</f>
        <v/>
      </c>
      <c r="G64" s="243" t="inlineStr">
        <is>
          <t>legacy</t>
        </is>
      </c>
      <c r="H64" s="243" t="inlineStr">
        <is>
          <t>initial release</t>
        </is>
      </c>
      <c r="I64" s="244" t="inlineStr">
        <is>
          <t>OPM122501</t>
        </is>
      </c>
      <c r="J64" s="243" t="inlineStr">
        <is>
          <t>P060242</t>
        </is>
      </c>
      <c r="K64" s="243" t="inlineStr">
        <is>
          <t>Orange Punch Mimosa</t>
        </is>
      </c>
      <c r="L64" s="243" t="inlineStr">
        <is>
          <t>Ident A + Ident B + Foreign matter</t>
        </is>
      </c>
      <c r="M64" s="248" t="inlineStr">
        <is>
          <t>—</t>
        </is>
      </c>
      <c r="N64" s="243">
        <f>IFERROR(INDEX('CoQ Register'!$B:$B,MATCH("P060242|I",'CoQ Register'!$S:$S,0)),"—")</f>
        <v/>
      </c>
      <c r="O64" s="243" t="inlineStr">
        <is>
          <t>iCoA-PP-2026-0017</t>
        </is>
      </c>
      <c r="P64" s="243" t="inlineStr">
        <is>
          <t>28.04.2026</t>
        </is>
      </c>
      <c r="Q64" s="243" t="inlineStr">
        <is>
          <t>11.03.2026</t>
        </is>
      </c>
      <c r="R64" s="243" t="inlineStr">
        <is>
          <t>28.04.2026</t>
        </is>
      </c>
      <c r="S64" s="245">
        <f>IFERROR(INDEX('CoQ Register'!$D:$D,MATCH("P060242|I",'CoQ Register'!$S:$S,0)),"")</f>
        <v/>
      </c>
      <c r="T64" s="243" t="inlineStr">
        <is>
          <t>Conforms</t>
        </is>
      </c>
      <c r="U64" s="243" t="inlineStr">
        <is>
          <t>Conforms</t>
        </is>
      </c>
      <c r="V64" s="243" t="inlineStr">
        <is>
          <t>Conforms</t>
        </is>
      </c>
      <c r="W64" s="243" t="inlineStr">
        <is>
          <t>100-4-K-26, (09.04.2026) [FHM-K]</t>
        </is>
      </c>
      <c r="X64" s="243" t="inlineStr">
        <is>
          <t>—</t>
        </is>
      </c>
      <c r="Y64" s="243" t="inlineStr">
        <is>
          <t>—</t>
        </is>
      </c>
      <c r="Z64" s="243" t="inlineStr">
        <is>
          <t>—</t>
        </is>
      </c>
      <c r="AA64" s="243" t="inlineStr">
        <is>
          <t>P060242|I</t>
        </is>
      </c>
      <c r="AB64" s="250" t="inlineStr">
        <is>
          <t>registered — initial release, issued 03.06.2026</t>
        </is>
      </c>
    </row>
    <row r="65">
      <c r="A65" s="243" t="n">
        <v>64</v>
      </c>
      <c r="B65" s="244" t="inlineStr">
        <is>
          <t>iCoA-PP_26-064</t>
        </is>
      </c>
      <c r="C65" s="249" t="inlineStr">
        <is>
          <t>yes</t>
        </is>
      </c>
      <c r="D65" s="245">
        <f>IF(A65="","",IF(ISNUMBER(E65),MAX(DATE(2026,6,3),E65),DATE(2026,6,3)))</f>
        <v/>
      </c>
      <c r="E65" s="245">
        <f>IFERROR(INDEX('Batch Dates'!$F:$F,MATCH(J65,'Batch Dates'!$C:$C,0)),IFERROR(INDEX('Batch Dates'!$F:$F,MATCH(I65,'Batch Dates'!$B:$B,0)),""))</f>
        <v/>
      </c>
      <c r="F65" s="245">
        <f>IFERROR(INDEX('Batch Dates'!$G:$G,MATCH(J65,'Batch Dates'!$C:$C,0)),IFERROR(INDEX('Batch Dates'!$G:$G,MATCH(I65,'Batch Dates'!$B:$B,0)),""))</f>
        <v/>
      </c>
      <c r="G65" s="243" t="inlineStr">
        <is>
          <t>legacy</t>
        </is>
      </c>
      <c r="H65" s="243" t="inlineStr">
        <is>
          <t>initial release</t>
        </is>
      </c>
      <c r="I65" s="244" t="inlineStr">
        <is>
          <t>GG112501</t>
        </is>
      </c>
      <c r="J65" s="243" t="inlineStr">
        <is>
          <t>P060252</t>
        </is>
      </c>
      <c r="K65" s="243" t="inlineStr">
        <is>
          <t>Gorilla Glue</t>
        </is>
      </c>
      <c r="L65" s="243" t="inlineStr">
        <is>
          <t>Ident A + Ident B + Foreign matter</t>
        </is>
      </c>
      <c r="M65" s="248" t="inlineStr">
        <is>
          <t>—</t>
        </is>
      </c>
      <c r="N65" s="243">
        <f>IFERROR(INDEX('CoQ Register'!$B:$B,MATCH("P060252|I",'CoQ Register'!$S:$S,0)),"—")</f>
        <v/>
      </c>
      <c r="O65" s="248" t="inlineStr">
        <is>
          <t>—</t>
        </is>
      </c>
      <c r="P65" s="243" t="inlineStr">
        <is>
          <t>11.05.2026</t>
        </is>
      </c>
      <c r="Q65" s="243" t="inlineStr">
        <is>
          <t>25.03.2026</t>
        </is>
      </c>
      <c r="R65" s="243" t="inlineStr">
        <is>
          <t>05.05.2026 (the issuance plan's basis: 11.05.2026)</t>
        </is>
      </c>
      <c r="S65" s="245">
        <f>IFERROR(INDEX('CoQ Register'!$D:$D,MATCH("P060252|I",'CoQ Register'!$S:$S,0)),"")</f>
        <v/>
      </c>
      <c r="T65" s="243" t="inlineStr">
        <is>
          <t>Conforms</t>
        </is>
      </c>
      <c r="U65" s="243" t="inlineStr">
        <is>
          <t>Conforms</t>
        </is>
      </c>
      <c r="V65" s="243" t="inlineStr">
        <is>
          <t>Conforms</t>
        </is>
      </c>
      <c r="W65" s="243" t="inlineStr">
        <is>
          <t>ППК26061, (11.05.2026) [CNP]</t>
        </is>
      </c>
      <c r="X65" s="243" t="inlineStr">
        <is>
          <t>—</t>
        </is>
      </c>
      <c r="Y65" s="243" t="inlineStr">
        <is>
          <t>—</t>
        </is>
      </c>
      <c r="Z65" s="243" t="inlineStr">
        <is>
          <t>—</t>
        </is>
      </c>
      <c r="AA65" s="243" t="inlineStr">
        <is>
          <t>P060252|I</t>
        </is>
      </c>
      <c r="AB65" s="250" t="inlineStr">
        <is>
          <t>registered — initial release, issued 03.06.2026</t>
        </is>
      </c>
    </row>
    <row r="66">
      <c r="A66" s="243" t="n">
        <v>65</v>
      </c>
      <c r="B66" s="244" t="inlineStr">
        <is>
          <t>iCoA-PP_26-065</t>
        </is>
      </c>
      <c r="C66" s="249" t="inlineStr">
        <is>
          <t>yes</t>
        </is>
      </c>
      <c r="D66" s="245" t="n">
        <v>46176</v>
      </c>
      <c r="E66" s="245" t="n">
        <v>46153</v>
      </c>
      <c r="F66" s="245">
        <f>IFERROR(INDEX('Batch Dates'!$G:$G,MATCH(J66,'Batch Dates'!$C:$C,0)),IFERROR(INDEX('Batch Dates'!$G:$G,MATCH(I66,'Batch Dates'!$B:$B,0)),""))</f>
        <v/>
      </c>
      <c r="G66" s="243" t="inlineStr">
        <is>
          <t>legacy</t>
        </is>
      </c>
      <c r="H66" s="243" t="inlineStr">
        <is>
          <t>retest 1</t>
        </is>
      </c>
      <c r="I66" s="244" t="inlineStr">
        <is>
          <t>GP062501</t>
        </is>
      </c>
      <c r="J66" s="243" t="inlineStr">
        <is>
          <t>P050202</t>
        </is>
      </c>
      <c r="K66" s="243" t="inlineStr">
        <is>
          <t>Grape Pie</t>
        </is>
      </c>
      <c r="L66" s="243" t="inlineStr">
        <is>
          <t>Ident A + Ident B + Foreign matter</t>
        </is>
      </c>
      <c r="M66" s="248" t="inlineStr">
        <is>
          <t>—</t>
        </is>
      </c>
      <c r="N66" s="243">
        <f>IFERROR(INDEX('CoQ Register'!$B:$B,MATCH("P050202|R",'CoQ Register'!$S:$S,0)),"—")</f>
        <v/>
      </c>
      <c r="O66" s="248" t="inlineStr">
        <is>
          <t>—</t>
        </is>
      </c>
      <c r="P66" s="243" t="inlineStr">
        <is>
          <t>11.05.2027</t>
        </is>
      </c>
      <c r="Q66" s="243" t="inlineStr">
        <is>
          <t>15.09.2025 – 17.09.2025</t>
        </is>
      </c>
      <c r="R66" s="243" t="inlineStr">
        <is>
          <t>30.10.2025 – 07.11.2025 (the issuance plan's basis: 11.05.2026)</t>
        </is>
      </c>
      <c r="S66" s="245">
        <f>IFERROR(INDEX('CoQ Register'!$D:$D,MATCH("P050202|R",'CoQ Register'!$S:$S,0)),"")</f>
        <v/>
      </c>
      <c r="T66" s="243" t="inlineStr">
        <is>
          <t>Conforms</t>
        </is>
      </c>
      <c r="U66" s="243" t="inlineStr">
        <is>
          <t>Conforms</t>
        </is>
      </c>
      <c r="V66" s="243" t="inlineStr">
        <is>
          <t>Conforms</t>
        </is>
      </c>
      <c r="W66" s="243" t="inlineStr">
        <is>
          <t>227-18-K-26, (11.09.2026) [FHM-K]</t>
        </is>
      </c>
      <c r="X66" s="243" t="inlineStr">
        <is>
          <t>227-18-K-26, (11.09.2026) [FHM-K]</t>
        </is>
      </c>
      <c r="Y66" s="243" t="inlineStr">
        <is>
          <t>— pending —</t>
        </is>
      </c>
      <c r="Z66" s="243" t="inlineStr">
        <is>
          <t>#8, #9, #11, #12 from the initial testing</t>
        </is>
      </c>
      <c r="AA66" s="243" t="inlineStr">
        <is>
          <t>P050202|R</t>
        </is>
      </c>
      <c r="AB66" s="250" t="inlineStr">
        <is>
          <t>registered — retest 1, issued 03.06.2026</t>
        </is>
      </c>
    </row>
    <row r="67">
      <c r="A67" s="243" t="n">
        <v>66</v>
      </c>
      <c r="B67" s="244" t="inlineStr">
        <is>
          <t>iCoA-PP_26-066</t>
        </is>
      </c>
      <c r="C67" s="249" t="inlineStr">
        <is>
          <t>yes</t>
        </is>
      </c>
      <c r="D67" s="245" t="n">
        <v>46176</v>
      </c>
      <c r="E67" s="245" t="n">
        <v>46153</v>
      </c>
      <c r="F67" s="245">
        <f>IFERROR(INDEX('Batch Dates'!$G:$G,MATCH(J67,'Batch Dates'!$C:$C,0)),IFERROR(INDEX('Batch Dates'!$G:$G,MATCH(I67,'Batch Dates'!$B:$B,0)),""))</f>
        <v/>
      </c>
      <c r="G67" s="243" t="inlineStr">
        <is>
          <t>legacy</t>
        </is>
      </c>
      <c r="H67" s="243" t="inlineStr">
        <is>
          <t>retest 3</t>
        </is>
      </c>
      <c r="I67" s="244" t="inlineStr">
        <is>
          <t>GP062501</t>
        </is>
      </c>
      <c r="J67" s="243" t="inlineStr">
        <is>
          <t>P050202</t>
        </is>
      </c>
      <c r="K67" s="243" t="inlineStr">
        <is>
          <t>Grape Pie</t>
        </is>
      </c>
      <c r="L67" s="243" t="inlineStr">
        <is>
          <t>Ident A + Ident B + Foreign matter</t>
        </is>
      </c>
      <c r="M67" s="248" t="inlineStr">
        <is>
          <t>—</t>
        </is>
      </c>
      <c r="N67" s="243">
        <f>IFERROR(INDEX('CoQ Register'!$B:$B,MATCH("P050202|R3",'CoQ Register'!$S:$S,0)),"—")</f>
        <v/>
      </c>
      <c r="O67" s="248" t="inlineStr">
        <is>
          <t>—</t>
        </is>
      </c>
      <c r="P67" s="243" t="inlineStr">
        <is>
          <t>11.05.2027</t>
        </is>
      </c>
      <c r="Q67" s="243" t="inlineStr">
        <is>
          <t>15.09.2025 – 17.09.2025</t>
        </is>
      </c>
      <c r="R67" s="243" t="inlineStr">
        <is>
          <t>30.10.2025 – 07.11.2025 (the issuance plan's basis: 11.05.2026)</t>
        </is>
      </c>
      <c r="S67" s="245">
        <f>IFERROR(INDEX('CoQ Register'!$D:$D,MATCH("P050202|R3",'CoQ Register'!$S:$S,0)),"")</f>
        <v/>
      </c>
      <c r="T67" s="243" t="inlineStr">
        <is>
          <t>Conforms</t>
        </is>
      </c>
      <c r="U67" s="243" t="inlineStr">
        <is>
          <t>Conforms</t>
        </is>
      </c>
      <c r="V67" s="243" t="inlineStr">
        <is>
          <t>Conforms</t>
        </is>
      </c>
      <c r="W67" s="243" t="inlineStr">
        <is>
          <t>227-18-K-26, (11.09.2026) [FHM-K]</t>
        </is>
      </c>
      <c r="X67" s="243" t="inlineStr">
        <is>
          <t>227-18-K-26, (11.09.2026) [FHM-K]</t>
        </is>
      </c>
      <c r="Y67" s="243" t="inlineStr">
        <is>
          <t>— pending —</t>
        </is>
      </c>
      <c r="Z67" s="243" t="inlineStr">
        <is>
          <t>#8, #9, #11, #12 from the initial testing</t>
        </is>
      </c>
      <c r="AA67" s="243" t="inlineStr">
        <is>
          <t>P050202|R3</t>
        </is>
      </c>
      <c r="AB67" s="250" t="inlineStr">
        <is>
          <t>registered — retest 3, issued 03.06.2026</t>
        </is>
      </c>
    </row>
    <row r="68">
      <c r="A68" s="243" t="n">
        <v>67</v>
      </c>
      <c r="B68" s="244" t="inlineStr">
        <is>
          <t>iCoA-PP_26-067</t>
        </is>
      </c>
      <c r="C68" s="249" t="inlineStr">
        <is>
          <t>yes</t>
        </is>
      </c>
      <c r="D68" s="245" t="n">
        <v>46176</v>
      </c>
      <c r="E68" s="245" t="n">
        <v>46153</v>
      </c>
      <c r="F68" s="245">
        <f>IFERROR(INDEX('Batch Dates'!$G:$G,MATCH(J68,'Batch Dates'!$C:$C,0)),IFERROR(INDEX('Batch Dates'!$G:$G,MATCH(I68,'Batch Dates'!$B:$B,0)),""))</f>
        <v/>
      </c>
      <c r="G68" s="243" t="inlineStr">
        <is>
          <t>legacy</t>
        </is>
      </c>
      <c r="H68" s="243" t="inlineStr">
        <is>
          <t>retest 4</t>
        </is>
      </c>
      <c r="I68" s="244" t="inlineStr">
        <is>
          <t>GP062501</t>
        </is>
      </c>
      <c r="J68" s="243" t="inlineStr">
        <is>
          <t>P050202</t>
        </is>
      </c>
      <c r="K68" s="243" t="inlineStr">
        <is>
          <t>Grape Pie</t>
        </is>
      </c>
      <c r="L68" s="243" t="inlineStr">
        <is>
          <t>Ident A + Ident B + Foreign matter</t>
        </is>
      </c>
      <c r="M68" s="248" t="inlineStr">
        <is>
          <t>—</t>
        </is>
      </c>
      <c r="N68" s="243">
        <f>IFERROR(INDEX('CoQ Register'!$B:$B,MATCH("P050202|R4",'CoQ Register'!$S:$S,0)),"—")</f>
        <v/>
      </c>
      <c r="O68" s="248" t="inlineStr">
        <is>
          <t>—</t>
        </is>
      </c>
      <c r="P68" s="243" t="inlineStr">
        <is>
          <t>11.05.2027</t>
        </is>
      </c>
      <c r="Q68" s="243" t="inlineStr">
        <is>
          <t>15.09.2025 – 17.09.2025</t>
        </is>
      </c>
      <c r="R68" s="243" t="inlineStr">
        <is>
          <t>30.10.2025 – 07.11.2025 (the issuance plan's basis: 11.05.2026)</t>
        </is>
      </c>
      <c r="S68" s="245">
        <f>IFERROR(INDEX('CoQ Register'!$D:$D,MATCH("P050202|R4",'CoQ Register'!$S:$S,0)),"")</f>
        <v/>
      </c>
      <c r="T68" s="243" t="inlineStr">
        <is>
          <t>Conforms</t>
        </is>
      </c>
      <c r="U68" s="243" t="inlineStr">
        <is>
          <t>Conforms</t>
        </is>
      </c>
      <c r="V68" s="243" t="inlineStr">
        <is>
          <t>Conforms</t>
        </is>
      </c>
      <c r="W68" s="243" t="inlineStr">
        <is>
          <t>227-18-K-26, (11.09.2026) [FHM-K]</t>
        </is>
      </c>
      <c r="X68" s="243" t="inlineStr">
        <is>
          <t>227-18-K-26, (11.09.2026) [FHM-K]</t>
        </is>
      </c>
      <c r="Y68" s="243" t="inlineStr">
        <is>
          <t>— pending —</t>
        </is>
      </c>
      <c r="Z68" s="243" t="inlineStr">
        <is>
          <t>#8, #9, #11, #12 from the initial testing</t>
        </is>
      </c>
      <c r="AA68" s="243" t="inlineStr">
        <is>
          <t>P050202|R4</t>
        </is>
      </c>
      <c r="AB68" s="250" t="inlineStr">
        <is>
          <t>registered — retest 4, issued 03.06.2026</t>
        </is>
      </c>
    </row>
    <row r="69">
      <c r="A69" s="243" t="n">
        <v>68</v>
      </c>
      <c r="B69" s="244" t="inlineStr">
        <is>
          <t>iCoA-PP_26-068</t>
        </is>
      </c>
      <c r="C69" s="249" t="inlineStr">
        <is>
          <t>yes</t>
        </is>
      </c>
      <c r="D69" s="245" t="n">
        <v>46176</v>
      </c>
      <c r="E69" s="245" t="n">
        <v>46153</v>
      </c>
      <c r="F69" s="245">
        <f>IFERROR(INDEX('Batch Dates'!$G:$G,MATCH(J69,'Batch Dates'!$C:$C,0)),IFERROR(INDEX('Batch Dates'!$G:$G,MATCH(I69,'Batch Dates'!$B:$B,0)),""))</f>
        <v/>
      </c>
      <c r="G69" s="243" t="inlineStr">
        <is>
          <t>legacy</t>
        </is>
      </c>
      <c r="H69" s="243" t="inlineStr">
        <is>
          <t>retest 3</t>
        </is>
      </c>
      <c r="I69" s="244" t="inlineStr">
        <is>
          <t>GP0824_02</t>
        </is>
      </c>
      <c r="J69" s="243" t="inlineStr">
        <is>
          <t>P050022</t>
        </is>
      </c>
      <c r="K69" s="243" t="inlineStr">
        <is>
          <t>Grape Pie</t>
        </is>
      </c>
      <c r="L69" s="243" t="inlineStr">
        <is>
          <t>Ident A + Ident B + Foreign matter</t>
        </is>
      </c>
      <c r="M69" s="248" t="inlineStr">
        <is>
          <t>—</t>
        </is>
      </c>
      <c r="N69" s="243">
        <f>IFERROR(INDEX('CoQ Register'!$B:$B,MATCH("P050022|R3",'CoQ Register'!$S:$S,0)),"—")</f>
        <v/>
      </c>
      <c r="O69" s="248" t="inlineStr">
        <is>
          <t>—</t>
        </is>
      </c>
      <c r="P69" s="243" t="inlineStr">
        <is>
          <t>03.06.2026</t>
        </is>
      </c>
      <c r="Q69" s="243" t="inlineStr">
        <is>
          <t>22.04.2025 – 23.04.2025</t>
        </is>
      </c>
      <c r="R69" s="243" t="inlineStr">
        <is>
          <t>03.06.2025 – 11.06.2025</t>
        </is>
      </c>
      <c r="S69" s="245">
        <f>IFERROR(INDEX('CoQ Register'!$D:$D,MATCH("P050022|R3",'CoQ Register'!$S:$S,0)),"")</f>
        <v/>
      </c>
      <c r="T69" s="243" t="inlineStr">
        <is>
          <t>Conforms</t>
        </is>
      </c>
      <c r="U69" s="243" t="inlineStr">
        <is>
          <t>Conforms</t>
        </is>
      </c>
      <c r="V69" s="243" t="inlineStr">
        <is>
          <t>Conforms</t>
        </is>
      </c>
      <c r="W69" s="243" t="inlineStr">
        <is>
          <t>197-11-K-26, (07.08.2026) [FHM-K]</t>
        </is>
      </c>
      <c r="X69" s="243" t="inlineStr">
        <is>
          <t>197-11-K-26, (07.08.2026) [FHM-K]</t>
        </is>
      </c>
      <c r="Y69" s="243" t="inlineStr">
        <is>
          <t>197-11-M-26, (10.08.2026) [FHM-M]</t>
        </is>
      </c>
      <c r="Z69" s="243" t="inlineStr">
        <is>
          <t>#8, #9, #11, #12 from the initial testing</t>
        </is>
      </c>
      <c r="AA69" s="243" t="inlineStr">
        <is>
          <t>P050022|R3</t>
        </is>
      </c>
      <c r="AB69" s="250" t="inlineStr">
        <is>
          <t>registered — retest 3, issued 03.06.2026</t>
        </is>
      </c>
    </row>
    <row r="70">
      <c r="A70" s="243" t="n">
        <v>69</v>
      </c>
      <c r="B70" s="244" t="inlineStr">
        <is>
          <t>iCoA-PP_26-069</t>
        </is>
      </c>
      <c r="C70" s="249" t="inlineStr">
        <is>
          <t>yes</t>
        </is>
      </c>
      <c r="D70" s="245" t="n">
        <v>46176</v>
      </c>
      <c r="E70" s="245" t="n">
        <v>46153</v>
      </c>
      <c r="F70" s="245">
        <f>IFERROR(INDEX('Batch Dates'!$G:$G,MATCH(J70,'Batch Dates'!$C:$C,0)),IFERROR(INDEX('Batch Dates'!$G:$G,MATCH(I70,'Batch Dates'!$B:$B,0)),""))</f>
        <v/>
      </c>
      <c r="G70" s="243" t="inlineStr">
        <is>
          <t>legacy</t>
        </is>
      </c>
      <c r="H70" s="243" t="inlineStr">
        <is>
          <t>retest 4</t>
        </is>
      </c>
      <c r="I70" s="244" t="inlineStr">
        <is>
          <t>GP0824_02</t>
        </is>
      </c>
      <c r="J70" s="243" t="inlineStr">
        <is>
          <t>P050022</t>
        </is>
      </c>
      <c r="K70" s="243" t="inlineStr">
        <is>
          <t>Grape Pie</t>
        </is>
      </c>
      <c r="L70" s="243" t="inlineStr">
        <is>
          <t>Ident A + Ident B + Foreign matter</t>
        </is>
      </c>
      <c r="M70" s="248" t="inlineStr">
        <is>
          <t>—</t>
        </is>
      </c>
      <c r="N70" s="243">
        <f>IFERROR(INDEX('CoQ Register'!$B:$B,MATCH("P050022|R4",'CoQ Register'!$S:$S,0)),"—")</f>
        <v/>
      </c>
      <c r="O70" s="248" t="inlineStr">
        <is>
          <t>—</t>
        </is>
      </c>
      <c r="P70" s="243" t="inlineStr">
        <is>
          <t>03.06.2026</t>
        </is>
      </c>
      <c r="Q70" s="243" t="inlineStr">
        <is>
          <t>22.04.2025 – 23.04.2025</t>
        </is>
      </c>
      <c r="R70" s="243" t="inlineStr">
        <is>
          <t>03.06.2025 – 11.06.2025</t>
        </is>
      </c>
      <c r="S70" s="245">
        <f>IFERROR(INDEX('CoQ Register'!$D:$D,MATCH("P050022|R4",'CoQ Register'!$S:$S,0)),"")</f>
        <v/>
      </c>
      <c r="T70" s="243" t="inlineStr">
        <is>
          <t>Conforms</t>
        </is>
      </c>
      <c r="U70" s="243" t="inlineStr">
        <is>
          <t>Conforms</t>
        </is>
      </c>
      <c r="V70" s="243" t="inlineStr">
        <is>
          <t>Conforms</t>
        </is>
      </c>
      <c r="W70" s="243" t="inlineStr">
        <is>
          <t>197-11-K-26, (07.08.2026) [FHM-K]</t>
        </is>
      </c>
      <c r="X70" s="243" t="inlineStr">
        <is>
          <t>197-11-K-26, (07.08.2026) [FHM-K]</t>
        </is>
      </c>
      <c r="Y70" s="243" t="inlineStr">
        <is>
          <t>197-11-M-26, (10.08.2026) [FHM-M]</t>
        </is>
      </c>
      <c r="Z70" s="243" t="inlineStr">
        <is>
          <t>#8, #9, #11, #12 from the initial testing</t>
        </is>
      </c>
      <c r="AA70" s="243" t="inlineStr">
        <is>
          <t>P050022|R4</t>
        </is>
      </c>
      <c r="AB70" s="250" t="inlineStr">
        <is>
          <t>registered — retest 4, issued 03.06.2026</t>
        </is>
      </c>
    </row>
    <row r="71">
      <c r="A71" s="243" t="n">
        <v>70</v>
      </c>
      <c r="B71" s="244" t="inlineStr">
        <is>
          <t>iCoA-PP_26-070</t>
        </is>
      </c>
      <c r="C71" s="249" t="inlineStr">
        <is>
          <t>yes</t>
        </is>
      </c>
      <c r="D71" s="245" t="n">
        <v>46176</v>
      </c>
      <c r="E71" s="245" t="n">
        <v>46153</v>
      </c>
      <c r="F71" s="245">
        <f>IFERROR(INDEX('Batch Dates'!$G:$G,MATCH(J71,'Batch Dates'!$C:$C,0)),IFERROR(INDEX('Batch Dates'!$G:$G,MATCH(I71,'Batch Dates'!$B:$B,0)),""))</f>
        <v/>
      </c>
      <c r="G71" s="243" t="inlineStr">
        <is>
          <t>legacy</t>
        </is>
      </c>
      <c r="H71" s="243" t="inlineStr">
        <is>
          <t>retest 1</t>
        </is>
      </c>
      <c r="I71" s="244" t="inlineStr">
        <is>
          <t>GP0824_03</t>
        </is>
      </c>
      <c r="J71" s="243" t="inlineStr">
        <is>
          <t>P050072</t>
        </is>
      </c>
      <c r="K71" s="243" t="inlineStr">
        <is>
          <t>Grape Pie</t>
        </is>
      </c>
      <c r="L71" s="243" t="inlineStr">
        <is>
          <t>Ident A + Ident B + Foreign matter</t>
        </is>
      </c>
      <c r="M71" s="248" t="inlineStr">
        <is>
          <t>—</t>
        </is>
      </c>
      <c r="N71" s="243">
        <f>IFERROR(INDEX('CoQ Register'!$B:$B,MATCH("P050072|R",'CoQ Register'!$S:$S,0)),"—")</f>
        <v/>
      </c>
      <c r="O71" s="248" t="inlineStr">
        <is>
          <t>—</t>
        </is>
      </c>
      <c r="P71" s="243" t="inlineStr">
        <is>
          <t>14.07.2026</t>
        </is>
      </c>
      <c r="Q71" s="243" t="inlineStr">
        <is>
          <t>09.06.2025 – 10.06.2025</t>
        </is>
      </c>
      <c r="R71" s="243" t="inlineStr">
        <is>
          <t>14.07.2025 – 17.07.2025</t>
        </is>
      </c>
      <c r="S71" s="245">
        <f>IFERROR(INDEX('CoQ Register'!$D:$D,MATCH("P050072|R",'CoQ Register'!$S:$S,0)),"")</f>
        <v/>
      </c>
      <c r="T71" s="243" t="inlineStr">
        <is>
          <t>Conforms</t>
        </is>
      </c>
      <c r="U71" s="243" t="inlineStr">
        <is>
          <t>Conforms</t>
        </is>
      </c>
      <c r="V71" s="243" t="inlineStr">
        <is>
          <t>Conforms</t>
        </is>
      </c>
      <c r="W71" s="243" t="inlineStr">
        <is>
          <t>220-11-K-26, (25.08.2026) [FHM-K]</t>
        </is>
      </c>
      <c r="X71" s="243" t="inlineStr">
        <is>
          <t>220-11-K-26, (25.08.2026) [FHM-K]</t>
        </is>
      </c>
      <c r="Y71" s="243" t="inlineStr">
        <is>
          <t>220-11-M-26, (11.09.2026) [FHM-M]</t>
        </is>
      </c>
      <c r="Z71" s="243" t="inlineStr">
        <is>
          <t>#8, #9, #11, #12 from the initial testing</t>
        </is>
      </c>
      <c r="AA71" s="243" t="inlineStr">
        <is>
          <t>P050072|R</t>
        </is>
      </c>
      <c r="AB71" s="250" t="inlineStr">
        <is>
          <t>registered — retest 1, issued 03.06.2026</t>
        </is>
      </c>
    </row>
    <row r="72">
      <c r="A72" s="243" t="n">
        <v>71</v>
      </c>
      <c r="B72" s="244" t="inlineStr">
        <is>
          <t>iCoA-PP_26-071</t>
        </is>
      </c>
      <c r="C72" s="249" t="inlineStr">
        <is>
          <t>yes</t>
        </is>
      </c>
      <c r="D72" s="245" t="n">
        <v>46176</v>
      </c>
      <c r="E72" s="245" t="n">
        <v>46153</v>
      </c>
      <c r="F72" s="245">
        <f>IFERROR(INDEX('Batch Dates'!$G:$G,MATCH(J72,'Batch Dates'!$C:$C,0)),IFERROR(INDEX('Batch Dates'!$G:$G,MATCH(I72,'Batch Dates'!$B:$B,0)),""))</f>
        <v/>
      </c>
      <c r="G72" s="243" t="inlineStr">
        <is>
          <t>legacy</t>
        </is>
      </c>
      <c r="H72" s="243" t="inlineStr">
        <is>
          <t>retest 3</t>
        </is>
      </c>
      <c r="I72" s="244" t="inlineStr">
        <is>
          <t>GP0824_03</t>
        </is>
      </c>
      <c r="J72" s="243" t="inlineStr">
        <is>
          <t>P050072</t>
        </is>
      </c>
      <c r="K72" s="243" t="inlineStr">
        <is>
          <t>Grape Pie</t>
        </is>
      </c>
      <c r="L72" s="243" t="inlineStr">
        <is>
          <t>Ident A + Ident B + Foreign matter</t>
        </is>
      </c>
      <c r="M72" s="248" t="inlineStr">
        <is>
          <t>—</t>
        </is>
      </c>
      <c r="N72" s="243">
        <f>IFERROR(INDEX('CoQ Register'!$B:$B,MATCH("P050072|R3",'CoQ Register'!$S:$S,0)),"—")</f>
        <v/>
      </c>
      <c r="O72" s="248" t="inlineStr">
        <is>
          <t>—</t>
        </is>
      </c>
      <c r="P72" s="243" t="inlineStr">
        <is>
          <t>14.07.2026</t>
        </is>
      </c>
      <c r="Q72" s="243" t="inlineStr">
        <is>
          <t>09.06.2025 – 10.06.2025</t>
        </is>
      </c>
      <c r="R72" s="243" t="inlineStr">
        <is>
          <t>14.07.2025 – 17.07.2025</t>
        </is>
      </c>
      <c r="S72" s="245">
        <f>IFERROR(INDEX('CoQ Register'!$D:$D,MATCH("P050072|R3",'CoQ Register'!$S:$S,0)),"")</f>
        <v/>
      </c>
      <c r="T72" s="243" t="inlineStr">
        <is>
          <t>Conforms</t>
        </is>
      </c>
      <c r="U72" s="243" t="inlineStr">
        <is>
          <t>Conforms</t>
        </is>
      </c>
      <c r="V72" s="243" t="inlineStr">
        <is>
          <t>Conforms</t>
        </is>
      </c>
      <c r="W72" s="243" t="inlineStr">
        <is>
          <t>220-11-K-26, (25.08.2026) [FHM-K]</t>
        </is>
      </c>
      <c r="X72" s="243" t="inlineStr">
        <is>
          <t>220-11-K-26, (25.08.2026) [FHM-K]</t>
        </is>
      </c>
      <c r="Y72" s="243" t="inlineStr">
        <is>
          <t>220-11-M-26, (11.09.2026) [FHM-M]</t>
        </is>
      </c>
      <c r="Z72" s="243" t="inlineStr">
        <is>
          <t>#8, #9, #11, #12 from the initial testing</t>
        </is>
      </c>
      <c r="AA72" s="243" t="inlineStr">
        <is>
          <t>P050072|R3</t>
        </is>
      </c>
      <c r="AB72" s="250" t="inlineStr">
        <is>
          <t>registered — retest 3, issued 03.06.2026</t>
        </is>
      </c>
    </row>
    <row r="73">
      <c r="A73" s="243" t="n">
        <v>72</v>
      </c>
      <c r="B73" s="244" t="inlineStr">
        <is>
          <t>iCoA-PP_26-072</t>
        </is>
      </c>
      <c r="C73" s="249" t="inlineStr">
        <is>
          <t>yes</t>
        </is>
      </c>
      <c r="D73" s="245">
        <f>IF(A73="","",IF(ISNUMBER(E73),MAX(DATE(2026,6,3),E73),DATE(2026,6,3)))</f>
        <v/>
      </c>
      <c r="E73" s="245">
        <f>IFERROR(INDEX('Batch Dates'!$F:$F,MATCH(J73,'Batch Dates'!$C:$C,0)),IFERROR(INDEX('Batch Dates'!$F:$F,MATCH(I73,'Batch Dates'!$B:$B,0)),""))</f>
        <v/>
      </c>
      <c r="F73" s="245">
        <f>IFERROR(INDEX('Batch Dates'!$G:$G,MATCH(J73,'Batch Dates'!$C:$C,0)),IFERROR(INDEX('Batch Dates'!$G:$G,MATCH(I73,'Batch Dates'!$B:$B,0)),""))</f>
        <v/>
      </c>
      <c r="G73" s="243" t="inlineStr">
        <is>
          <t>post-SOP</t>
        </is>
      </c>
      <c r="H73" s="243" t="inlineStr">
        <is>
          <t>initial release</t>
        </is>
      </c>
      <c r="I73" s="244" t="inlineStr">
        <is>
          <t>J31122501</t>
        </is>
      </c>
      <c r="J73" s="243" t="inlineStr">
        <is>
          <t>P060262</t>
        </is>
      </c>
      <c r="K73" s="243" t="inlineStr">
        <is>
          <t>Jokerz 31</t>
        </is>
      </c>
      <c r="L73" s="243" t="inlineStr">
        <is>
          <t>Ident A + Ident B + Foreign matter</t>
        </is>
      </c>
      <c r="M73" s="248" t="inlineStr">
        <is>
          <t>—</t>
        </is>
      </c>
      <c r="N73" s="243">
        <f>IFERROR(INDEX('CoQ Register'!$B:$B,MATCH("P060262|I",'CoQ Register'!$S:$S,0)),"—")</f>
        <v/>
      </c>
      <c r="O73" s="248" t="inlineStr">
        <is>
          <t>—</t>
        </is>
      </c>
      <c r="P73" s="243" t="inlineStr">
        <is>
          <t>23.04.2026</t>
        </is>
      </c>
      <c r="Q73" s="243" t="inlineStr">
        <is>
          <t>04.03.2026</t>
        </is>
      </c>
      <c r="R73" s="243" t="inlineStr">
        <is>
          <t>14.05.2026 (the issuance plan's basis: 23.04.2026)</t>
        </is>
      </c>
      <c r="S73" s="245">
        <f>IFERROR(INDEX('CoQ Register'!$D:$D,MATCH("P060262|I",'CoQ Register'!$S:$S,0)),"")</f>
        <v/>
      </c>
      <c r="T73" s="243" t="inlineStr">
        <is>
          <t>Conforms</t>
        </is>
      </c>
      <c r="U73" s="243" t="inlineStr">
        <is>
          <t>Conforms</t>
        </is>
      </c>
      <c r="V73" s="243" t="inlineStr">
        <is>
          <t>Conforms</t>
        </is>
      </c>
      <c r="W73" s="243" t="inlineStr">
        <is>
          <t>100-2-K-26, (09.04.2026) [FHM-K]</t>
        </is>
      </c>
      <c r="X73" s="243" t="inlineStr">
        <is>
          <t>—</t>
        </is>
      </c>
      <c r="Y73" s="243" t="inlineStr">
        <is>
          <t>—</t>
        </is>
      </c>
      <c r="Z73" s="243" t="inlineStr">
        <is>
          <t>—</t>
        </is>
      </c>
      <c r="AA73" s="243" t="inlineStr">
        <is>
          <t>P060262|I</t>
        </is>
      </c>
      <c r="AB73" s="250" t="inlineStr">
        <is>
          <t>registered — initial release, issued 03.06.2026</t>
        </is>
      </c>
    </row>
    <row r="74">
      <c r="A74" s="243" t="n">
        <v>73</v>
      </c>
      <c r="B74" s="244" t="inlineStr">
        <is>
          <t>iCoA-PP_26-073</t>
        </is>
      </c>
      <c r="C74" s="249" t="inlineStr">
        <is>
          <t>yes</t>
        </is>
      </c>
      <c r="D74" s="245">
        <f>IF(A74="","",IF(ISNUMBER(E74),MAX(DATE(2026,6,3),E74),DATE(2026,6,3)))</f>
        <v/>
      </c>
      <c r="E74" s="245">
        <f>IFERROR(INDEX('Batch Dates'!$F:$F,MATCH(J74,'Batch Dates'!$C:$C,0)),IFERROR(INDEX('Batch Dates'!$F:$F,MATCH(I74,'Batch Dates'!$B:$B,0)),""))</f>
        <v/>
      </c>
      <c r="F74" s="245">
        <f>IFERROR(INDEX('Batch Dates'!$G:$G,MATCH(J74,'Batch Dates'!$C:$C,0)),IFERROR(INDEX('Batch Dates'!$G:$G,MATCH(I74,'Batch Dates'!$B:$B,0)),""))</f>
        <v/>
      </c>
      <c r="G74" s="243" t="inlineStr">
        <is>
          <t>post-SOP</t>
        </is>
      </c>
      <c r="H74" s="243" t="inlineStr">
        <is>
          <t>initial release</t>
        </is>
      </c>
      <c r="I74" s="244" t="inlineStr">
        <is>
          <t>CC112501</t>
        </is>
      </c>
      <c r="J74" s="243" t="inlineStr">
        <is>
          <t>P060272</t>
        </is>
      </c>
      <c r="K74" s="243" t="inlineStr">
        <is>
          <t>Cash Cow</t>
        </is>
      </c>
      <c r="L74" s="243" t="inlineStr">
        <is>
          <t>Ident A + Ident B + Foreign matter</t>
        </is>
      </c>
      <c r="M74" s="248" t="inlineStr">
        <is>
          <t>—</t>
        </is>
      </c>
      <c r="N74" s="243">
        <f>IFERROR(INDEX('CoQ Register'!$B:$B,MATCH("P060272|I",'CoQ Register'!$S:$S,0)),"—")</f>
        <v/>
      </c>
      <c r="O74" s="248" t="inlineStr">
        <is>
          <t>—</t>
        </is>
      </c>
      <c r="P74" s="243" t="inlineStr">
        <is>
          <t>11.05.2026</t>
        </is>
      </c>
      <c r="Q74" s="243" t="inlineStr">
        <is>
          <t>25.03.2026</t>
        </is>
      </c>
      <c r="R74" s="243" t="inlineStr">
        <is>
          <t>18.05.2026 (the issuance plan's basis: 11.05.2026)</t>
        </is>
      </c>
      <c r="S74" s="245">
        <f>IFERROR(INDEX('CoQ Register'!$D:$D,MATCH("P060272|I",'CoQ Register'!$S:$S,0)),"")</f>
        <v/>
      </c>
      <c r="T74" s="243" t="inlineStr">
        <is>
          <t>Conforms</t>
        </is>
      </c>
      <c r="U74" s="243" t="inlineStr">
        <is>
          <t>Conforms</t>
        </is>
      </c>
      <c r="V74" s="243" t="inlineStr">
        <is>
          <t>Conforms</t>
        </is>
      </c>
      <c r="W74" s="243" t="inlineStr">
        <is>
          <t>ППК26068, (11.05.2026) [CNP]</t>
        </is>
      </c>
      <c r="X74" s="243" t="inlineStr">
        <is>
          <t>—</t>
        </is>
      </c>
      <c r="Y74" s="243" t="inlineStr">
        <is>
          <t>—</t>
        </is>
      </c>
      <c r="Z74" s="243" t="inlineStr">
        <is>
          <t>—</t>
        </is>
      </c>
      <c r="AA74" s="243" t="inlineStr">
        <is>
          <t>P060272|I</t>
        </is>
      </c>
      <c r="AB74" s="250" t="inlineStr">
        <is>
          <t>registered — initial release, issued 03.06.2026</t>
        </is>
      </c>
    </row>
    <row r="75">
      <c r="A75" s="243" t="n">
        <v>74</v>
      </c>
      <c r="B75" s="244" t="inlineStr">
        <is>
          <t>iCoA-PP_26-074</t>
        </is>
      </c>
      <c r="C75" s="249" t="inlineStr">
        <is>
          <t>yes</t>
        </is>
      </c>
      <c r="D75" s="245">
        <f>IF(A75="","",IF(ISNUMBER(E75),MAX(DATE(2026,6,3),E75),DATE(2026,6,3)))</f>
        <v/>
      </c>
      <c r="E75" s="245">
        <f>IFERROR(INDEX('Batch Dates'!$F:$F,MATCH(J75,'Batch Dates'!$C:$C,0)),IFERROR(INDEX('Batch Dates'!$F:$F,MATCH(I75,'Batch Dates'!$B:$B,0)),""))</f>
        <v/>
      </c>
      <c r="F75" s="245">
        <f>IFERROR(INDEX('Batch Dates'!$G:$G,MATCH(J75,'Batch Dates'!$C:$C,0)),IFERROR(INDEX('Batch Dates'!$G:$G,MATCH(I75,'Batch Dates'!$B:$B,0)),""))</f>
        <v/>
      </c>
      <c r="G75" s="243" t="inlineStr">
        <is>
          <t>post-SOP</t>
        </is>
      </c>
      <c r="H75" s="243" t="inlineStr">
        <is>
          <t>initial release</t>
        </is>
      </c>
      <c r="I75" s="244" t="inlineStr">
        <is>
          <t>SCR112501</t>
        </is>
      </c>
      <c r="J75" s="243" t="inlineStr">
        <is>
          <t>P060282</t>
        </is>
      </c>
      <c r="K75" s="243" t="inlineStr">
        <is>
          <t>Scrambler</t>
        </is>
      </c>
      <c r="L75" s="243" t="inlineStr">
        <is>
          <t>Ident A + Ident B + Foreign matter</t>
        </is>
      </c>
      <c r="M75" s="248" t="inlineStr">
        <is>
          <t>—</t>
        </is>
      </c>
      <c r="N75" s="243">
        <f>IFERROR(INDEX('CoQ Register'!$B:$B,MATCH("P060282|I",'CoQ Register'!$S:$S,0)),"—")</f>
        <v/>
      </c>
      <c r="O75" s="243" t="inlineStr">
        <is>
          <t>iCoA-PP-2026-0018</t>
        </is>
      </c>
      <c r="P75" s="243" t="inlineStr">
        <is>
          <t>18.05.2026</t>
        </is>
      </c>
      <c r="Q75" s="243" t="inlineStr">
        <is>
          <t>25.03.2026</t>
        </is>
      </c>
      <c r="R75" s="243" t="inlineStr">
        <is>
          <t>18.05.2026</t>
        </is>
      </c>
      <c r="S75" s="245">
        <f>IFERROR(INDEX('CoQ Register'!$D:$D,MATCH("P060282|I",'CoQ Register'!$S:$S,0)),"")</f>
        <v/>
      </c>
      <c r="T75" s="243" t="inlineStr">
        <is>
          <t>Conforms</t>
        </is>
      </c>
      <c r="U75" s="243" t="inlineStr">
        <is>
          <t>Conforms</t>
        </is>
      </c>
      <c r="V75" s="243" t="inlineStr">
        <is>
          <t>Conforms</t>
        </is>
      </c>
      <c r="W75" s="243" t="inlineStr">
        <is>
          <t>ППК26069, (11.05.2026) [CNP]</t>
        </is>
      </c>
      <c r="X75" s="243" t="inlineStr">
        <is>
          <t>—</t>
        </is>
      </c>
      <c r="Y75" s="243" t="inlineStr">
        <is>
          <t>—</t>
        </is>
      </c>
      <c r="Z75" s="243" t="inlineStr">
        <is>
          <t>—</t>
        </is>
      </c>
      <c r="AA75" s="243" t="inlineStr">
        <is>
          <t>P060282|I</t>
        </is>
      </c>
      <c r="AB75" s="250" t="inlineStr">
        <is>
          <t>registered — initial release, issued 03.06.2026</t>
        </is>
      </c>
    </row>
    <row r="76">
      <c r="A76" s="243" t="n">
        <v>75</v>
      </c>
      <c r="B76" s="244" t="inlineStr">
        <is>
          <t>iCoA-PP_26-075</t>
        </is>
      </c>
      <c r="C76" s="249" t="inlineStr">
        <is>
          <t>yes</t>
        </is>
      </c>
      <c r="D76" s="245">
        <f>IF(A76="","",IF(ISNUMBER(E76),MAX(DATE(2026,6,3),E76),DATE(2026,6,3)))</f>
        <v/>
      </c>
      <c r="E76" s="245">
        <f>IFERROR(INDEX('Batch Dates'!$F:$F,MATCH(J76,'Batch Dates'!$C:$C,0)),IFERROR(INDEX('Batch Dates'!$F:$F,MATCH(I76,'Batch Dates'!$B:$B,0)),""))</f>
        <v/>
      </c>
      <c r="F76" s="245">
        <f>IFERROR(INDEX('Batch Dates'!$G:$G,MATCH(J76,'Batch Dates'!$C:$C,0)),IFERROR(INDEX('Batch Dates'!$G:$G,MATCH(I76,'Batch Dates'!$B:$B,0)),""))</f>
        <v/>
      </c>
      <c r="G76" s="243" t="inlineStr">
        <is>
          <t>post-SOP</t>
        </is>
      </c>
      <c r="H76" s="243" t="inlineStr">
        <is>
          <t>initial release</t>
        </is>
      </c>
      <c r="I76" s="244" t="inlineStr">
        <is>
          <t>FB112501</t>
        </is>
      </c>
      <c r="J76" s="243" t="inlineStr">
        <is>
          <t>P060292</t>
        </is>
      </c>
      <c r="K76" s="243" t="inlineStr">
        <is>
          <t>Fat Bastard</t>
        </is>
      </c>
      <c r="L76" s="243" t="inlineStr">
        <is>
          <t>Ident A + Ident B + Foreign matter</t>
        </is>
      </c>
      <c r="M76" s="248" t="inlineStr">
        <is>
          <t>—</t>
        </is>
      </c>
      <c r="N76" s="243">
        <f>IFERROR(INDEX('CoQ Register'!$B:$B,MATCH("P060292|I",'CoQ Register'!$S:$S,0)),"—")</f>
        <v/>
      </c>
      <c r="O76" s="248" t="inlineStr">
        <is>
          <t>—</t>
        </is>
      </c>
      <c r="P76" s="243" t="inlineStr">
        <is>
          <t>11.05.2026</t>
        </is>
      </c>
      <c r="Q76" s="243" t="inlineStr">
        <is>
          <t>25.03.2026</t>
        </is>
      </c>
      <c r="R76" s="243" t="inlineStr">
        <is>
          <t>19.05.2026 (the issuance plan's basis: 11.05.2026)</t>
        </is>
      </c>
      <c r="S76" s="245">
        <f>IFERROR(INDEX('CoQ Register'!$D:$D,MATCH("P060292|I",'CoQ Register'!$S:$S,0)),"")</f>
        <v/>
      </c>
      <c r="T76" s="243" t="inlineStr">
        <is>
          <t>Conforms</t>
        </is>
      </c>
      <c r="U76" s="243" t="inlineStr">
        <is>
          <t>Conforms</t>
        </is>
      </c>
      <c r="V76" s="243" t="inlineStr">
        <is>
          <t>Conforms</t>
        </is>
      </c>
      <c r="W76" s="243" t="inlineStr">
        <is>
          <t>ППК26066, (11.05.2026) [CNP]</t>
        </is>
      </c>
      <c r="X76" s="243" t="inlineStr">
        <is>
          <t>—</t>
        </is>
      </c>
      <c r="Y76" s="243" t="inlineStr">
        <is>
          <t>—</t>
        </is>
      </c>
      <c r="Z76" s="243" t="inlineStr">
        <is>
          <t>—</t>
        </is>
      </c>
      <c r="AA76" s="243" t="inlineStr">
        <is>
          <t>P060292|I</t>
        </is>
      </c>
      <c r="AB76" s="250" t="inlineStr">
        <is>
          <t>registered — initial release, issued 03.06.2026</t>
        </is>
      </c>
    </row>
    <row r="77">
      <c r="A77" s="243" t="n">
        <v>76</v>
      </c>
      <c r="B77" s="244" t="inlineStr">
        <is>
          <t>iCoA-PP_26-076</t>
        </is>
      </c>
      <c r="C77" s="249" t="inlineStr">
        <is>
          <t>yes</t>
        </is>
      </c>
      <c r="D77" s="245">
        <f>IF(A77="","",IF(ISNUMBER(E77),MAX(DATE(2026,6,3),E77),DATE(2026,6,3)))</f>
        <v/>
      </c>
      <c r="E77" s="245">
        <f>IFERROR(INDEX('Batch Dates'!$F:$F,MATCH(J77,'Batch Dates'!$C:$C,0)),IFERROR(INDEX('Batch Dates'!$F:$F,MATCH(I77,'Batch Dates'!$B:$B,0)),""))</f>
        <v/>
      </c>
      <c r="F77" s="245">
        <f>IFERROR(INDEX('Batch Dates'!$G:$G,MATCH(J77,'Batch Dates'!$C:$C,0)),IFERROR(INDEX('Batch Dates'!$G:$G,MATCH(I77,'Batch Dates'!$B:$B,0)),""))</f>
        <v/>
      </c>
      <c r="G77" s="243" t="inlineStr">
        <is>
          <t>post-SOP</t>
        </is>
      </c>
      <c r="H77" s="243" t="inlineStr">
        <is>
          <t>initial release</t>
        </is>
      </c>
      <c r="I77" s="244" t="inlineStr">
        <is>
          <t>GG012601＊</t>
        </is>
      </c>
      <c r="J77" s="243" t="inlineStr">
        <is>
          <t>P060302</t>
        </is>
      </c>
      <c r="K77" s="243" t="inlineStr">
        <is>
          <t>Gorilla Glue</t>
        </is>
      </c>
      <c r="L77" s="243" t="inlineStr">
        <is>
          <t>Ident A + Ident B + Foreign matter</t>
        </is>
      </c>
      <c r="M77" s="248" t="inlineStr">
        <is>
          <t>—</t>
        </is>
      </c>
      <c r="N77" s="243">
        <f>IFERROR(INDEX('CoQ Register'!$B:$B,MATCH("P060302|I",'CoQ Register'!$S:$S,0)),"—")</f>
        <v/>
      </c>
      <c r="O77" s="248" t="inlineStr">
        <is>
          <t>—</t>
        </is>
      </c>
      <c r="P77" s="243" t="inlineStr">
        <is>
          <t>11.05.2026</t>
        </is>
      </c>
      <c r="Q77" s="243" t="inlineStr">
        <is>
          <t>27.03.2026</t>
        </is>
      </c>
      <c r="R77" s="243" t="inlineStr">
        <is>
          <t>20.05.2026 (the issuance plan's basis: 11.05.2026)</t>
        </is>
      </c>
      <c r="S77" s="245">
        <f>IFERROR(INDEX('CoQ Register'!$D:$D,MATCH("P060302|I",'CoQ Register'!$S:$S,0)),"")</f>
        <v/>
      </c>
      <c r="T77" s="243" t="inlineStr">
        <is>
          <t>Conforms</t>
        </is>
      </c>
      <c r="U77" s="243" t="inlineStr">
        <is>
          <t>Conforms</t>
        </is>
      </c>
      <c r="V77" s="243" t="inlineStr">
        <is>
          <t>Conforms</t>
        </is>
      </c>
      <c r="W77" s="243" t="inlineStr">
        <is>
          <t>ППК26062, (11.05.2026) [CNP]</t>
        </is>
      </c>
      <c r="X77" s="243" t="inlineStr">
        <is>
          <t>—</t>
        </is>
      </c>
      <c r="Y77" s="243" t="inlineStr">
        <is>
          <t>—</t>
        </is>
      </c>
      <c r="Z77" s="243" t="inlineStr">
        <is>
          <t>—</t>
        </is>
      </c>
      <c r="AA77" s="243" t="inlineStr">
        <is>
          <t>P060302|I</t>
        </is>
      </c>
      <c r="AB77" s="250" t="inlineStr">
        <is>
          <t>registered — initial release, issued 03.06.2026</t>
        </is>
      </c>
    </row>
    <row r="78">
      <c r="A78" s="243" t="n">
        <v>77</v>
      </c>
      <c r="B78" s="244" t="inlineStr">
        <is>
          <t>iCoA-PP_26-077</t>
        </is>
      </c>
      <c r="C78" s="249" t="inlineStr">
        <is>
          <t>yes</t>
        </is>
      </c>
      <c r="D78" s="245">
        <f>IF(A78="","",IF(ISNUMBER(E78),MAX(DATE(2026,6,3),E78),DATE(2026,6,3)))</f>
        <v/>
      </c>
      <c r="E78" s="245">
        <f>IFERROR(INDEX('Batch Dates'!$F:$F,MATCH(J78,'Batch Dates'!$C:$C,0)),IFERROR(INDEX('Batch Dates'!$F:$F,MATCH(I78,'Batch Dates'!$B:$B,0)),""))</f>
        <v/>
      </c>
      <c r="F78" s="245">
        <f>IFERROR(INDEX('Batch Dates'!$G:$G,MATCH(J78,'Batch Dates'!$C:$C,0)),IFERROR(INDEX('Batch Dates'!$G:$G,MATCH(I78,'Batch Dates'!$B:$B,0)),""))</f>
        <v/>
      </c>
      <c r="G78" s="243" t="inlineStr">
        <is>
          <t>post-SOP</t>
        </is>
      </c>
      <c r="H78" s="243" t="inlineStr">
        <is>
          <t>initial release</t>
        </is>
      </c>
      <c r="I78" s="244" t="inlineStr">
        <is>
          <t>JD012601＊</t>
        </is>
      </c>
      <c r="J78" s="243" t="inlineStr">
        <is>
          <t>P060312</t>
        </is>
      </c>
      <c r="K78" s="243" t="inlineStr">
        <is>
          <t>Jelly Donuts</t>
        </is>
      </c>
      <c r="L78" s="243" t="inlineStr">
        <is>
          <t>Ident A + Ident B + Foreign matter</t>
        </is>
      </c>
      <c r="M78" s="248" t="inlineStr">
        <is>
          <t>—</t>
        </is>
      </c>
      <c r="N78" s="243">
        <f>IFERROR(INDEX('CoQ Register'!$B:$B,MATCH("P060312|I",'CoQ Register'!$S:$S,0)),"—")</f>
        <v/>
      </c>
      <c r="O78" s="248" t="inlineStr">
        <is>
          <t>—</t>
        </is>
      </c>
      <c r="P78" s="243" t="inlineStr">
        <is>
          <t>11.05.2026</t>
        </is>
      </c>
      <c r="Q78" s="243" t="inlineStr">
        <is>
          <t>27.03.2026</t>
        </is>
      </c>
      <c r="R78" s="243" t="inlineStr">
        <is>
          <t>21.05.2026 (the issuance plan's basis: 11.05.2026)</t>
        </is>
      </c>
      <c r="S78" s="245">
        <f>IFERROR(INDEX('CoQ Register'!$D:$D,MATCH("P060312|I",'CoQ Register'!$S:$S,0)),"")</f>
        <v/>
      </c>
      <c r="T78" s="243" t="inlineStr">
        <is>
          <t>Conforms</t>
        </is>
      </c>
      <c r="U78" s="243" t="inlineStr">
        <is>
          <t>Conforms</t>
        </is>
      </c>
      <c r="V78" s="243" t="inlineStr">
        <is>
          <t>Conforms</t>
        </is>
      </c>
      <c r="W78" s="243" t="inlineStr">
        <is>
          <t>ППК26064, (11.05.2026) [CNP]</t>
        </is>
      </c>
      <c r="X78" s="243" t="inlineStr">
        <is>
          <t>—</t>
        </is>
      </c>
      <c r="Y78" s="243" t="inlineStr">
        <is>
          <t>—</t>
        </is>
      </c>
      <c r="Z78" s="243" t="inlineStr">
        <is>
          <t>—</t>
        </is>
      </c>
      <c r="AA78" s="243" t="inlineStr">
        <is>
          <t>P060312|I</t>
        </is>
      </c>
      <c r="AB78" s="250" t="inlineStr">
        <is>
          <t>registered — initial release, issued 03.06.2026</t>
        </is>
      </c>
    </row>
    <row r="79">
      <c r="A79" s="243" t="n">
        <v>78</v>
      </c>
      <c r="B79" s="244" t="inlineStr">
        <is>
          <t>iCoA-PP_26-078</t>
        </is>
      </c>
      <c r="C79" s="249" t="inlineStr">
        <is>
          <t>yes</t>
        </is>
      </c>
      <c r="D79" s="245">
        <f>IF(A79="","",IF(ISNUMBER(E79),MAX(DATE(2026,6,3),E79),DATE(2026,6,3)))</f>
        <v/>
      </c>
      <c r="E79" s="245">
        <f>IFERROR(INDEX('Batch Dates'!$F:$F,MATCH(J79,'Batch Dates'!$C:$C,0)),IFERROR(INDEX('Batch Dates'!$F:$F,MATCH(I79,'Batch Dates'!$B:$B,0)),""))</f>
        <v/>
      </c>
      <c r="F79" s="245">
        <f>IFERROR(INDEX('Batch Dates'!$G:$G,MATCH(J79,'Batch Dates'!$C:$C,0)),IFERROR(INDEX('Batch Dates'!$G:$G,MATCH(I79,'Batch Dates'!$B:$B,0)),""))</f>
        <v/>
      </c>
      <c r="G79" s="243" t="inlineStr">
        <is>
          <t>post-SOP</t>
        </is>
      </c>
      <c r="H79" s="243" t="inlineStr">
        <is>
          <t>initial release</t>
        </is>
      </c>
      <c r="I79" s="244" t="inlineStr">
        <is>
          <t>FB012601_1</t>
        </is>
      </c>
      <c r="J79" s="243" t="inlineStr">
        <is>
          <t>P060322</t>
        </is>
      </c>
      <c r="K79" s="243" t="inlineStr">
        <is>
          <t>Fat Bastard</t>
        </is>
      </c>
      <c r="L79" s="243" t="inlineStr">
        <is>
          <t>Ident A + Ident B + Foreign matter</t>
        </is>
      </c>
      <c r="M79" s="248" t="inlineStr">
        <is>
          <t>—</t>
        </is>
      </c>
      <c r="N79" s="243">
        <f>IFERROR(INDEX('CoQ Register'!$B:$B,MATCH("P060322|I",'CoQ Register'!$S:$S,0)),"—")</f>
        <v/>
      </c>
      <c r="O79" s="243" t="inlineStr">
        <is>
          <t>iCoA-PP-2026-0019</t>
        </is>
      </c>
      <c r="P79" s="243" t="inlineStr">
        <is>
          <t>22.05.2026</t>
        </is>
      </c>
      <c r="Q79" s="243" t="inlineStr">
        <is>
          <t>27.03.2026</t>
        </is>
      </c>
      <c r="R79" s="243" t="inlineStr">
        <is>
          <t>22.05.2026</t>
        </is>
      </c>
      <c r="S79" s="245">
        <f>IFERROR(INDEX('CoQ Register'!$D:$D,MATCH("P060322|I",'CoQ Register'!$S:$S,0)),"")</f>
        <v/>
      </c>
      <c r="T79" s="243" t="inlineStr">
        <is>
          <t>Conforms</t>
        </is>
      </c>
      <c r="U79" s="243" t="inlineStr">
        <is>
          <t>Conforms</t>
        </is>
      </c>
      <c r="V79" s="243" t="inlineStr">
        <is>
          <t>Conforms</t>
        </is>
      </c>
      <c r="W79" s="243" t="inlineStr">
        <is>
          <t>ППК26067, (11.05.2026) [CNP]</t>
        </is>
      </c>
      <c r="X79" s="243" t="inlineStr">
        <is>
          <t>—</t>
        </is>
      </c>
      <c r="Y79" s="243" t="inlineStr">
        <is>
          <t>—</t>
        </is>
      </c>
      <c r="Z79" s="243" t="inlineStr">
        <is>
          <t>—</t>
        </is>
      </c>
      <c r="AA79" s="243" t="inlineStr">
        <is>
          <t>P060322|I</t>
        </is>
      </c>
      <c r="AB79" s="250" t="inlineStr">
        <is>
          <t>registered — initial release, issued 03.06.2026</t>
        </is>
      </c>
    </row>
    <row r="80">
      <c r="A80" s="243" t="n">
        <v>79</v>
      </c>
      <c r="B80" s="244" t="inlineStr">
        <is>
          <t>iCoA-PP_26-079</t>
        </is>
      </c>
      <c r="C80" s="249" t="inlineStr">
        <is>
          <t>yes</t>
        </is>
      </c>
      <c r="D80" s="245">
        <f>IF(A80="","",IF(ISNUMBER(E80),MAX(DATE(2026,6,3),E80),DATE(2026,6,3)))</f>
        <v/>
      </c>
      <c r="E80" s="245">
        <f>IFERROR(INDEX('Batch Dates'!$F:$F,MATCH(J80,'Batch Dates'!$C:$C,0)),IFERROR(INDEX('Batch Dates'!$F:$F,MATCH(I80,'Batch Dates'!$B:$B,0)),""))</f>
        <v/>
      </c>
      <c r="F80" s="245">
        <f>IFERROR(INDEX('Batch Dates'!$G:$G,MATCH(J80,'Batch Dates'!$C:$C,0)),IFERROR(INDEX('Batch Dates'!$G:$G,MATCH(I80,'Batch Dates'!$B:$B,0)),""))</f>
        <v/>
      </c>
      <c r="G80" s="243" t="inlineStr">
        <is>
          <t>post-SOP</t>
        </is>
      </c>
      <c r="H80" s="243" t="inlineStr">
        <is>
          <t>initial release</t>
        </is>
      </c>
      <c r="I80" s="244" t="inlineStr">
        <is>
          <t>CC012601/1</t>
        </is>
      </c>
      <c r="J80" s="243" t="inlineStr">
        <is>
          <t>P060332</t>
        </is>
      </c>
      <c r="K80" s="243" t="inlineStr">
        <is>
          <t>Cash Cow</t>
        </is>
      </c>
      <c r="L80" s="243" t="inlineStr">
        <is>
          <t>Ident A + Ident B + Foreign matter</t>
        </is>
      </c>
      <c r="M80" s="248" t="inlineStr">
        <is>
          <t>—</t>
        </is>
      </c>
      <c r="N80" s="243">
        <f>IFERROR(INDEX('CoQ Register'!$B:$B,MATCH("P060332|I",'CoQ Register'!$S:$S,0)),"—")</f>
        <v/>
      </c>
      <c r="O80" s="248" t="inlineStr">
        <is>
          <t>—</t>
        </is>
      </c>
      <c r="P80" s="243" t="inlineStr">
        <is>
          <t>10.08.2026</t>
        </is>
      </c>
      <c r="Q80" s="243" t="inlineStr">
        <is>
          <t>16.04.2026</t>
        </is>
      </c>
      <c r="R80" s="243" t="inlineStr">
        <is>
          <t>22.05.2026 (the issuance plan's basis: 10.08.2026)</t>
        </is>
      </c>
      <c r="S80" s="245">
        <f>IFERROR(INDEX('CoQ Register'!$D:$D,MATCH("P060332|I",'CoQ Register'!$S:$S,0)),"")</f>
        <v/>
      </c>
      <c r="T80" s="243" t="inlineStr">
        <is>
          <t>Conforms</t>
        </is>
      </c>
      <c r="U80" s="243" t="inlineStr">
        <is>
          <t>Conforms</t>
        </is>
      </c>
      <c r="V80" s="243" t="inlineStr">
        <is>
          <t>Conforms</t>
        </is>
      </c>
      <c r="W80" s="243" t="inlineStr">
        <is>
          <t>— no cannabinoid certificate from the initial testing —</t>
        </is>
      </c>
      <c r="X80" s="243" t="inlineStr">
        <is>
          <t>—</t>
        </is>
      </c>
      <c r="Y80" s="243" t="inlineStr">
        <is>
          <t>—</t>
        </is>
      </c>
      <c r="Z80" s="243" t="inlineStr">
        <is>
          <t>—</t>
        </is>
      </c>
      <c r="AA80" s="243" t="inlineStr">
        <is>
          <t>P060332|I</t>
        </is>
      </c>
      <c r="AB80" s="250" t="inlineStr">
        <is>
          <t>registered — initial release, issued 03.06.2026</t>
        </is>
      </c>
    </row>
    <row r="81">
      <c r="A81" s="243" t="n">
        <v>80</v>
      </c>
      <c r="B81" s="244" t="inlineStr">
        <is>
          <t>iCoA-PP_26-080</t>
        </is>
      </c>
      <c r="C81" s="249" t="inlineStr">
        <is>
          <t>yes</t>
        </is>
      </c>
      <c r="D81" s="245">
        <f>IF(A81="","",IF(ISNUMBER(E81),MAX(DATE(2026,6,3),E81),DATE(2026,6,3)))</f>
        <v/>
      </c>
      <c r="E81" s="245">
        <f>IFERROR(INDEX('Batch Dates'!$F:$F,MATCH(J81,'Batch Dates'!$C:$C,0)),IFERROR(INDEX('Batch Dates'!$F:$F,MATCH(I81,'Batch Dates'!$B:$B,0)),""))</f>
        <v/>
      </c>
      <c r="F81" s="245">
        <f>IFERROR(INDEX('Batch Dates'!$G:$G,MATCH(J81,'Batch Dates'!$C:$C,0)),IFERROR(INDEX('Batch Dates'!$G:$G,MATCH(I81,'Batch Dates'!$B:$B,0)),""))</f>
        <v/>
      </c>
      <c r="G81" s="243" t="inlineStr">
        <is>
          <t>post-SOP</t>
        </is>
      </c>
      <c r="H81" s="243" t="inlineStr">
        <is>
          <t>initial release</t>
        </is>
      </c>
      <c r="I81" s="244" t="inlineStr">
        <is>
          <t>FB012603V</t>
        </is>
      </c>
      <c r="J81" s="243" t="inlineStr">
        <is>
          <t>P060392</t>
        </is>
      </c>
      <c r="K81" s="243" t="inlineStr">
        <is>
          <t>Fat Bastard</t>
        </is>
      </c>
      <c r="L81" s="243" t="inlineStr">
        <is>
          <t>Ident A + Ident B + Foreign matter</t>
        </is>
      </c>
      <c r="M81" s="243" t="inlineStr">
        <is>
          <t>A: ППК26110 / B: ППК26110 / FM: ППК26110</t>
        </is>
      </c>
      <c r="N81" s="243">
        <f>IFERROR(INDEX('CoQ Register'!$B:$B,MATCH("P060392|I",'CoQ Register'!$S:$S,0)),"—")</f>
        <v/>
      </c>
      <c r="O81" s="248" t="inlineStr">
        <is>
          <t>—</t>
        </is>
      </c>
      <c r="P81" s="243" t="inlineStr">
        <is>
          <t>30.06.2026</t>
        </is>
      </c>
      <c r="Q81" s="243" t="inlineStr">
        <is>
          <t>29.04.2026</t>
        </is>
      </c>
      <c r="R81" s="243" t="inlineStr">
        <is>
          <t>23.05.2026 (the issuance plan's basis: 30.06.2026)</t>
        </is>
      </c>
      <c r="S81" s="245">
        <f>IFERROR(INDEX('CoQ Register'!$D:$D,MATCH("P060392|I",'CoQ Register'!$S:$S,0)),"")</f>
        <v/>
      </c>
      <c r="T81" s="243" t="inlineStr">
        <is>
          <t>CNP ППК26110</t>
        </is>
      </c>
      <c r="U81" s="243" t="inlineStr">
        <is>
          <t>CNP ППК26110</t>
        </is>
      </c>
      <c r="V81" s="243" t="inlineStr">
        <is>
          <t>CNP ППК26110</t>
        </is>
      </c>
      <c r="W81" s="243" t="inlineStr">
        <is>
          <t>ППК26110, (30.06.2026) [CNP]</t>
        </is>
      </c>
      <c r="X81" s="243" t="inlineStr">
        <is>
          <t>—</t>
        </is>
      </c>
      <c r="Y81" s="243" t="inlineStr">
        <is>
          <t>—</t>
        </is>
      </c>
      <c r="Z81" s="243" t="inlineStr">
        <is>
          <t>—</t>
        </is>
      </c>
      <c r="AA81" s="243" t="inlineStr">
        <is>
          <t>P060392|I</t>
        </is>
      </c>
      <c r="AB81" s="250" t="inlineStr">
        <is>
          <t>registered — initial release, issued 03.06.2026</t>
        </is>
      </c>
    </row>
    <row r="82">
      <c r="A82" s="243" t="n">
        <v>81</v>
      </c>
      <c r="B82" s="244" t="inlineStr">
        <is>
          <t>iCoA-PP_26-081</t>
        </is>
      </c>
      <c r="C82" s="249" t="inlineStr">
        <is>
          <t>yes</t>
        </is>
      </c>
      <c r="D82" s="245">
        <f>IF(A82="","",IF(ISNUMBER(E82),MAX(DATE(2026,6,3),E82),DATE(2026,6,3)))</f>
        <v/>
      </c>
      <c r="E82" s="245">
        <f>IFERROR(INDEX('Batch Dates'!$F:$F,MATCH(J82,'Batch Dates'!$C:$C,0)),IFERROR(INDEX('Batch Dates'!$F:$F,MATCH(I82,'Batch Dates'!$B:$B,0)),""))</f>
        <v/>
      </c>
      <c r="F82" s="245">
        <f>IFERROR(INDEX('Batch Dates'!$G:$G,MATCH(J82,'Batch Dates'!$C:$C,0)),IFERROR(INDEX('Batch Dates'!$G:$G,MATCH(I82,'Batch Dates'!$B:$B,0)),""))</f>
        <v/>
      </c>
      <c r="G82" s="243" t="inlineStr">
        <is>
          <t>post-SOP</t>
        </is>
      </c>
      <c r="H82" s="243" t="inlineStr">
        <is>
          <t>initial release</t>
        </is>
      </c>
      <c r="I82" s="244" t="inlineStr">
        <is>
          <t>JD012603</t>
        </is>
      </c>
      <c r="J82" s="243" t="inlineStr">
        <is>
          <t>P060422</t>
        </is>
      </c>
      <c r="K82" s="243" t="inlineStr">
        <is>
          <t>Jelly Donuts</t>
        </is>
      </c>
      <c r="L82" s="243" t="inlineStr">
        <is>
          <t>Ident A + Ident B + Foreign matter</t>
        </is>
      </c>
      <c r="M82" s="243" t="inlineStr">
        <is>
          <t>A: ППК26111 / B: ППК26111 / FM: ППК26111</t>
        </is>
      </c>
      <c r="N82" s="243">
        <f>IFERROR(INDEX('CoQ Register'!$B:$B,MATCH("P060422|I",'CoQ Register'!$S:$S,0)),"—")</f>
        <v/>
      </c>
      <c r="O82" s="243" t="inlineStr">
        <is>
          <t>iCoA-PP-2026-0022</t>
        </is>
      </c>
      <c r="P82" s="243" t="inlineStr">
        <is>
          <t>23.05.2026</t>
        </is>
      </c>
      <c r="Q82" s="243" t="inlineStr">
        <is>
          <t>29.04.2026</t>
        </is>
      </c>
      <c r="R82" s="243" t="inlineStr">
        <is>
          <t>23.05.2026</t>
        </is>
      </c>
      <c r="S82" s="245">
        <f>IFERROR(INDEX('CoQ Register'!$D:$D,MATCH("P060422|I",'CoQ Register'!$S:$S,0)),"")</f>
        <v/>
      </c>
      <c r="T82" s="243" t="inlineStr">
        <is>
          <t>CNP ППК26111</t>
        </is>
      </c>
      <c r="U82" s="243" t="inlineStr">
        <is>
          <t>CNP ППК26111</t>
        </is>
      </c>
      <c r="V82" s="243" t="inlineStr">
        <is>
          <t>CNP ППК26111</t>
        </is>
      </c>
      <c r="W82" s="243" t="inlineStr">
        <is>
          <t>ППК26111, (30.06.2026) [CNP]</t>
        </is>
      </c>
      <c r="X82" s="243" t="inlineStr">
        <is>
          <t>—</t>
        </is>
      </c>
      <c r="Y82" s="243" t="inlineStr">
        <is>
          <t>—</t>
        </is>
      </c>
      <c r="Z82" s="243" t="inlineStr">
        <is>
          <t>—</t>
        </is>
      </c>
      <c r="AA82" s="243" t="inlineStr">
        <is>
          <t>P060422|I</t>
        </is>
      </c>
      <c r="AB82" s="250" t="inlineStr">
        <is>
          <t>registered — initial release, issued 03.06.2026</t>
        </is>
      </c>
    </row>
    <row r="83">
      <c r="A83" s="243" t="n">
        <v>82</v>
      </c>
      <c r="B83" s="244" t="inlineStr">
        <is>
          <t>iCoA-PP_26-082</t>
        </is>
      </c>
      <c r="C83" s="249" t="inlineStr">
        <is>
          <t>yes</t>
        </is>
      </c>
      <c r="D83" s="245">
        <f>IF(A83="","",IF(ISNUMBER(E83),MAX(DATE(2026,6,3),E83),DATE(2026,6,3)))</f>
        <v/>
      </c>
      <c r="E83" s="245">
        <f>IFERROR(INDEX('Batch Dates'!$F:$F,MATCH(J83,'Batch Dates'!$C:$C,0)),IFERROR(INDEX('Batch Dates'!$F:$F,MATCH(I83,'Batch Dates'!$B:$B,0)),""))</f>
        <v/>
      </c>
      <c r="F83" s="245">
        <f>IFERROR(INDEX('Batch Dates'!$G:$G,MATCH(J83,'Batch Dates'!$C:$C,0)),IFERROR(INDEX('Batch Dates'!$G:$G,MATCH(I83,'Batch Dates'!$B:$B,0)),""))</f>
        <v/>
      </c>
      <c r="G83" s="243" t="inlineStr">
        <is>
          <t>post-SOP</t>
        </is>
      </c>
      <c r="H83" s="243" t="inlineStr">
        <is>
          <t>initial release</t>
        </is>
      </c>
      <c r="I83" s="244" t="inlineStr">
        <is>
          <t>JD012603</t>
        </is>
      </c>
      <c r="J83" s="243" t="inlineStr">
        <is>
          <t>P060362</t>
        </is>
      </c>
      <c r="K83" s="243" t="inlineStr">
        <is>
          <t>Jelly Donuts</t>
        </is>
      </c>
      <c r="L83" s="243" t="inlineStr">
        <is>
          <t>Ident A + Ident B + Foreign matter</t>
        </is>
      </c>
      <c r="M83" s="243" t="inlineStr">
        <is>
          <t>A: ППК26111 / B: ППК26111 / FM: ППК26111</t>
        </is>
      </c>
      <c r="N83" s="243">
        <f>IFERROR(INDEX('CoQ Register'!$B:$B,MATCH("P060362|I",'CoQ Register'!$S:$S,0)),"—")</f>
        <v/>
      </c>
      <c r="O83" s="243" t="inlineStr">
        <is>
          <t>iCoA-PP-2026-0020</t>
        </is>
      </c>
      <c r="P83" s="243" t="inlineStr">
        <is>
          <t>23.05.2026</t>
        </is>
      </c>
      <c r="Q83" s="243" t="inlineStr">
        <is>
          <t>22.04.2026</t>
        </is>
      </c>
      <c r="R83" s="243" t="inlineStr">
        <is>
          <t>23.05.2026</t>
        </is>
      </c>
      <c r="S83" s="245">
        <f>IFERROR(INDEX('CoQ Register'!$D:$D,MATCH("P060362|I",'CoQ Register'!$S:$S,0)),"")</f>
        <v/>
      </c>
      <c r="T83" s="243" t="inlineStr">
        <is>
          <t>CNP ППК26111</t>
        </is>
      </c>
      <c r="U83" s="243" t="inlineStr">
        <is>
          <t>CNP ППК26111</t>
        </is>
      </c>
      <c r="V83" s="243" t="inlineStr">
        <is>
          <t>CNP ППК26111</t>
        </is>
      </c>
      <c r="W83" s="243" t="inlineStr">
        <is>
          <t>— no cannabinoid certificate from the initial testing —</t>
        </is>
      </c>
      <c r="X83" s="243" t="inlineStr">
        <is>
          <t>—</t>
        </is>
      </c>
      <c r="Y83" s="243" t="inlineStr">
        <is>
          <t>—</t>
        </is>
      </c>
      <c r="Z83" s="243" t="inlineStr">
        <is>
          <t>—</t>
        </is>
      </c>
      <c r="AA83" s="243" t="inlineStr">
        <is>
          <t>P060362|I</t>
        </is>
      </c>
      <c r="AB83" s="250" t="inlineStr">
        <is>
          <t>registered — initial release, issued 03.06.2026</t>
        </is>
      </c>
    </row>
    <row r="84">
      <c r="A84" s="243" t="n">
        <v>83</v>
      </c>
      <c r="B84" s="244" t="inlineStr">
        <is>
          <t>iCoA-PP_26-083</t>
        </is>
      </c>
      <c r="C84" s="249" t="inlineStr">
        <is>
          <t>yes</t>
        </is>
      </c>
      <c r="D84" s="245">
        <f>IF(A84="","",IF(ISNUMBER(E84),MAX(DATE(2026,6,3),E84),DATE(2026,6,3)))</f>
        <v/>
      </c>
      <c r="E84" s="245">
        <f>IFERROR(INDEX('Batch Dates'!$F:$F,MATCH(J84,'Batch Dates'!$C:$C,0)),IFERROR(INDEX('Batch Dates'!$F:$F,MATCH(I84,'Batch Dates'!$B:$B,0)),""))</f>
        <v/>
      </c>
      <c r="F84" s="245">
        <f>IFERROR(INDEX('Batch Dates'!$G:$G,MATCH(J84,'Batch Dates'!$C:$C,0)),IFERROR(INDEX('Batch Dates'!$G:$G,MATCH(I84,'Batch Dates'!$B:$B,0)),""))</f>
        <v/>
      </c>
      <c r="G84" s="243" t="inlineStr">
        <is>
          <t>post-SOP</t>
        </is>
      </c>
      <c r="H84" s="243" t="inlineStr">
        <is>
          <t>initial release</t>
        </is>
      </c>
      <c r="I84" s="244" t="inlineStr">
        <is>
          <t>FB012602*</t>
        </is>
      </c>
      <c r="J84" s="243" t="inlineStr">
        <is>
          <t>P060352</t>
        </is>
      </c>
      <c r="K84" s="243" t="inlineStr">
        <is>
          <t>Fat Bastard</t>
        </is>
      </c>
      <c r="L84" s="243" t="inlineStr">
        <is>
          <t>Ident A + Ident B + Foreign matter</t>
        </is>
      </c>
      <c r="M84" s="248" t="inlineStr">
        <is>
          <t>—</t>
        </is>
      </c>
      <c r="N84" s="243">
        <f>IFERROR(INDEX('CoQ Register'!$B:$B,MATCH("P060352|I",'CoQ Register'!$S:$S,0)),"—")</f>
        <v/>
      </c>
      <c r="O84" s="243" t="inlineStr">
        <is>
          <t>iCoA-PP-2026-0021</t>
        </is>
      </c>
      <c r="P84" s="243" t="inlineStr">
        <is>
          <t>23.05.2026</t>
        </is>
      </c>
      <c r="Q84" s="243" t="inlineStr">
        <is>
          <t>16.04.2026</t>
        </is>
      </c>
      <c r="R84" s="243" t="inlineStr">
        <is>
          <t>23.05.2026</t>
        </is>
      </c>
      <c r="S84" s="245">
        <f>IFERROR(INDEX('CoQ Register'!$D:$D,MATCH("P060352|I",'CoQ Register'!$S:$S,0)),"")</f>
        <v/>
      </c>
      <c r="T84" s="243" t="inlineStr">
        <is>
          <t>Conforms</t>
        </is>
      </c>
      <c r="U84" s="243" t="inlineStr">
        <is>
          <t>Conforms</t>
        </is>
      </c>
      <c r="V84" s="243" t="inlineStr">
        <is>
          <t>Conforms</t>
        </is>
      </c>
      <c r="W84" s="243" t="inlineStr">
        <is>
          <t>— no cannabinoid certificate from the initial testing —</t>
        </is>
      </c>
      <c r="X84" s="243" t="inlineStr">
        <is>
          <t>—</t>
        </is>
      </c>
      <c r="Y84" s="243" t="inlineStr">
        <is>
          <t>—</t>
        </is>
      </c>
      <c r="Z84" s="243" t="inlineStr">
        <is>
          <t>—</t>
        </is>
      </c>
      <c r="AA84" s="243" t="inlineStr">
        <is>
          <t>P060352|I</t>
        </is>
      </c>
      <c r="AB84" s="250" t="inlineStr">
        <is>
          <t>registered — initial release, issued 03.06.2026</t>
        </is>
      </c>
    </row>
    <row r="85">
      <c r="A85" s="243" t="n">
        <v>84</v>
      </c>
      <c r="B85" s="244" t="inlineStr">
        <is>
          <t>iCoA-PP_26-084</t>
        </is>
      </c>
      <c r="C85" s="249" t="inlineStr">
        <is>
          <t>yes</t>
        </is>
      </c>
      <c r="D85" s="245">
        <f>IF(A85="","",IF(ISNUMBER(E85),MAX(DATE(2026,6,3),E85),DATE(2026,6,3)))</f>
        <v/>
      </c>
      <c r="E85" s="245">
        <f>IFERROR(INDEX('Batch Dates'!$F:$F,MATCH(J85,'Batch Dates'!$C:$C,0)),IFERROR(INDEX('Batch Dates'!$F:$F,MATCH(I85,'Batch Dates'!$B:$B,0)),""))</f>
        <v/>
      </c>
      <c r="F85" s="245">
        <f>IFERROR(INDEX('Batch Dates'!$G:$G,MATCH(J85,'Batch Dates'!$C:$C,0)),IFERROR(INDEX('Batch Dates'!$G:$G,MATCH(I85,'Batch Dates'!$B:$B,0)),""))</f>
        <v/>
      </c>
      <c r="G85" s="243" t="inlineStr">
        <is>
          <t>post-SOP</t>
        </is>
      </c>
      <c r="H85" s="243" t="inlineStr">
        <is>
          <t>initial release</t>
        </is>
      </c>
      <c r="I85" s="244" t="inlineStr">
        <is>
          <t>CC012603</t>
        </is>
      </c>
      <c r="J85" s="243" t="inlineStr">
        <is>
          <t>P060372</t>
        </is>
      </c>
      <c r="K85" s="243" t="inlineStr">
        <is>
          <t>Cash Cow</t>
        </is>
      </c>
      <c r="L85" s="243" t="inlineStr">
        <is>
          <t>Ident A + Ident B + Foreign matter</t>
        </is>
      </c>
      <c r="M85" s="248" t="inlineStr">
        <is>
          <t>—</t>
        </is>
      </c>
      <c r="N85" s="243">
        <f>IFERROR(INDEX('CoQ Register'!$B:$B,MATCH("P060372|I",'CoQ Register'!$S:$S,0)),"—")</f>
        <v/>
      </c>
      <c r="O85" s="243" t="inlineStr">
        <is>
          <t>iCoA-PP-2026-0024</t>
        </is>
      </c>
      <c r="P85" s="243" t="inlineStr">
        <is>
          <t>24.05.2026</t>
        </is>
      </c>
      <c r="Q85" s="243" t="inlineStr">
        <is>
          <t>22.04.2026</t>
        </is>
      </c>
      <c r="R85" s="243" t="inlineStr">
        <is>
          <t>24.05.2026</t>
        </is>
      </c>
      <c r="S85" s="245">
        <f>IFERROR(INDEX('CoQ Register'!$D:$D,MATCH("P060372|I",'CoQ Register'!$S:$S,0)),"")</f>
        <v/>
      </c>
      <c r="T85" s="243" t="inlineStr">
        <is>
          <t>Conforms</t>
        </is>
      </c>
      <c r="U85" s="243" t="inlineStr">
        <is>
          <t>Conforms</t>
        </is>
      </c>
      <c r="V85" s="243" t="inlineStr">
        <is>
          <t>Conforms</t>
        </is>
      </c>
      <c r="W85" s="243" t="inlineStr">
        <is>
          <t>— no cannabinoid certificate from the initial testing —</t>
        </is>
      </c>
      <c r="X85" s="243" t="inlineStr">
        <is>
          <t>—</t>
        </is>
      </c>
      <c r="Y85" s="243" t="inlineStr">
        <is>
          <t>—</t>
        </is>
      </c>
      <c r="Z85" s="243" t="inlineStr">
        <is>
          <t>—</t>
        </is>
      </c>
      <c r="AA85" s="243" t="inlineStr">
        <is>
          <t>P060372|I</t>
        </is>
      </c>
      <c r="AB85" s="250" t="inlineStr">
        <is>
          <t>registered — initial release, issued 03.06.2026</t>
        </is>
      </c>
    </row>
    <row r="86">
      <c r="A86" s="243" t="n">
        <v>85</v>
      </c>
      <c r="B86" s="244" t="inlineStr">
        <is>
          <t>iCoA-PP_26-085</t>
        </is>
      </c>
      <c r="C86" s="249" t="inlineStr">
        <is>
          <t>yes</t>
        </is>
      </c>
      <c r="D86" s="245">
        <f>IF(A86="","",IF(ISNUMBER(E86),MAX(DATE(2026,6,3),E86),DATE(2026,6,3)))</f>
        <v/>
      </c>
      <c r="E86" s="245">
        <f>IFERROR(INDEX('Batch Dates'!$F:$F,MATCH(J86,'Batch Dates'!$C:$C,0)),IFERROR(INDEX('Batch Dates'!$F:$F,MATCH(I86,'Batch Dates'!$B:$B,0)),""))</f>
        <v/>
      </c>
      <c r="F86" s="245">
        <f>IFERROR(INDEX('Batch Dates'!$G:$G,MATCH(J86,'Batch Dates'!$C:$C,0)),IFERROR(INDEX('Batch Dates'!$G:$G,MATCH(I86,'Batch Dates'!$B:$B,0)),""))</f>
        <v/>
      </c>
      <c r="G86" s="243" t="inlineStr">
        <is>
          <t>post-SOP</t>
        </is>
      </c>
      <c r="H86" s="243" t="inlineStr">
        <is>
          <t>initial release</t>
        </is>
      </c>
      <c r="I86" s="244" t="inlineStr">
        <is>
          <t>GG012603</t>
        </is>
      </c>
      <c r="J86" s="243" t="inlineStr">
        <is>
          <t>P060402</t>
        </is>
      </c>
      <c r="K86" s="243" t="inlineStr">
        <is>
          <t>Gorilla Glue</t>
        </is>
      </c>
      <c r="L86" s="243" t="inlineStr">
        <is>
          <t>Ident A + Ident B + Foreign matter</t>
        </is>
      </c>
      <c r="M86" s="243" t="inlineStr">
        <is>
          <t>A: ППК26114 / B: ППК26114 / FM: ППК26114</t>
        </is>
      </c>
      <c r="N86" s="243">
        <f>IFERROR(INDEX('CoQ Register'!$B:$B,MATCH("P060402|I",'CoQ Register'!$S:$S,0)),"—")</f>
        <v/>
      </c>
      <c r="O86" s="243" t="inlineStr">
        <is>
          <t>iCoA-PP-2026-0023</t>
        </is>
      </c>
      <c r="P86" s="243" t="inlineStr">
        <is>
          <t>24.05.2026</t>
        </is>
      </c>
      <c r="Q86" s="243" t="inlineStr">
        <is>
          <t>04.05.2026</t>
        </is>
      </c>
      <c r="R86" s="243" t="inlineStr">
        <is>
          <t>24.05.2026</t>
        </is>
      </c>
      <c r="S86" s="245">
        <f>IFERROR(INDEX('CoQ Register'!$D:$D,MATCH("P060402|I",'CoQ Register'!$S:$S,0)),"")</f>
        <v/>
      </c>
      <c r="T86" s="243" t="inlineStr">
        <is>
          <t>CNP ППК26114</t>
        </is>
      </c>
      <c r="U86" s="243" t="inlineStr">
        <is>
          <t>CNP ППК26114</t>
        </is>
      </c>
      <c r="V86" s="243" t="inlineStr">
        <is>
          <t>CNP ППК26114</t>
        </is>
      </c>
      <c r="W86" s="243" t="inlineStr">
        <is>
          <t>ППК26114, (30.06.2026) [CNP]</t>
        </is>
      </c>
      <c r="X86" s="243" t="inlineStr">
        <is>
          <t>—</t>
        </is>
      </c>
      <c r="Y86" s="243" t="inlineStr">
        <is>
          <t>—</t>
        </is>
      </c>
      <c r="Z86" s="243" t="inlineStr">
        <is>
          <t>—</t>
        </is>
      </c>
      <c r="AA86" s="243" t="inlineStr">
        <is>
          <t>P060402|I</t>
        </is>
      </c>
      <c r="AB86" s="250" t="inlineStr">
        <is>
          <t>registered — initial release, issued 03.06.2026</t>
        </is>
      </c>
    </row>
    <row r="87">
      <c r="A87" s="243" t="n">
        <v>86</v>
      </c>
      <c r="B87" s="244" t="inlineStr">
        <is>
          <t>iCoA-PP_26-086</t>
        </is>
      </c>
      <c r="C87" s="249" t="inlineStr">
        <is>
          <t>yes</t>
        </is>
      </c>
      <c r="D87" s="245">
        <f>IF(A87="","",IF(ISNUMBER(E87),MAX(DATE(2026,6,3),E87),DATE(2026,6,3)))</f>
        <v/>
      </c>
      <c r="E87" s="245">
        <f>IFERROR(INDEX('Batch Dates'!$F:$F,MATCH(J87,'Batch Dates'!$C:$C,0)),IFERROR(INDEX('Batch Dates'!$F:$F,MATCH(I87,'Batch Dates'!$B:$B,0)),""))</f>
        <v/>
      </c>
      <c r="F87" s="245">
        <f>IFERROR(INDEX('Batch Dates'!$G:$G,MATCH(J87,'Batch Dates'!$C:$C,0)),IFERROR(INDEX('Batch Dates'!$G:$G,MATCH(I87,'Batch Dates'!$B:$B,0)),""))</f>
        <v/>
      </c>
      <c r="G87" s="243" t="inlineStr">
        <is>
          <t>post-SOP</t>
        </is>
      </c>
      <c r="H87" s="243" t="inlineStr">
        <is>
          <t>initial release</t>
        </is>
      </c>
      <c r="I87" s="244" t="inlineStr">
        <is>
          <t>JD012603</t>
        </is>
      </c>
      <c r="J87" s="243" t="inlineStr">
        <is>
          <t>P060412</t>
        </is>
      </c>
      <c r="K87" s="243" t="inlineStr">
        <is>
          <t>Jelly Donuts</t>
        </is>
      </c>
      <c r="L87" s="243" t="inlineStr">
        <is>
          <t>Ident A + Ident B + Foreign matter</t>
        </is>
      </c>
      <c r="M87" s="243" t="inlineStr">
        <is>
          <t>A: ППК26111 / B: ППК26111 / FM: ППК26111</t>
        </is>
      </c>
      <c r="N87" s="243">
        <f>IFERROR(INDEX('CoQ Register'!$B:$B,MATCH("P060412|I",'CoQ Register'!$S:$S,0)),"—")</f>
        <v/>
      </c>
      <c r="O87" s="243" t="inlineStr">
        <is>
          <t>iCoA-PP-2026-0025</t>
        </is>
      </c>
      <c r="P87" s="243" t="inlineStr">
        <is>
          <t>24.05.2026</t>
        </is>
      </c>
      <c r="Q87" s="243" t="inlineStr">
        <is>
          <t>04.05.2026</t>
        </is>
      </c>
      <c r="R87" s="243" t="inlineStr">
        <is>
          <t>24.05.2026</t>
        </is>
      </c>
      <c r="S87" s="245">
        <f>IFERROR(INDEX('CoQ Register'!$D:$D,MATCH("P060412|I",'CoQ Register'!$S:$S,0)),"")</f>
        <v/>
      </c>
      <c r="T87" s="243" t="inlineStr">
        <is>
          <t>CNP ППК26111</t>
        </is>
      </c>
      <c r="U87" s="243" t="inlineStr">
        <is>
          <t>CNP ППК26111</t>
        </is>
      </c>
      <c r="V87" s="243" t="inlineStr">
        <is>
          <t>CNP ППК26111</t>
        </is>
      </c>
      <c r="W87" s="243" t="inlineStr">
        <is>
          <t>ППК26113, (30.06.2026) [CNP]</t>
        </is>
      </c>
      <c r="X87" s="243" t="inlineStr">
        <is>
          <t>—</t>
        </is>
      </c>
      <c r="Y87" s="243" t="inlineStr">
        <is>
          <t>—</t>
        </is>
      </c>
      <c r="Z87" s="243" t="inlineStr">
        <is>
          <t>—</t>
        </is>
      </c>
      <c r="AA87" s="243" t="inlineStr">
        <is>
          <t>P060412|I</t>
        </is>
      </c>
      <c r="AB87" s="250" t="inlineStr">
        <is>
          <t>registered — initial release, issued 03.06.2026</t>
        </is>
      </c>
    </row>
    <row r="88">
      <c r="A88" s="243" t="n">
        <v>87</v>
      </c>
      <c r="B88" s="244" t="inlineStr">
        <is>
          <t>iCoA-PP_26-087</t>
        </is>
      </c>
      <c r="C88" s="249" t="inlineStr">
        <is>
          <t>yes</t>
        </is>
      </c>
      <c r="D88" s="245">
        <f>IF(A88="","",IF(ISNUMBER(E88),MAX(DATE(2026,6,3),E88),DATE(2026,6,3)))</f>
        <v/>
      </c>
      <c r="E88" s="245">
        <f>IFERROR(INDEX('Batch Dates'!$F:$F,MATCH(J88,'Batch Dates'!$C:$C,0)),IFERROR(INDEX('Batch Dates'!$F:$F,MATCH(I88,'Batch Dates'!$B:$B,0)),""))</f>
        <v/>
      </c>
      <c r="F88" s="245">
        <f>IFERROR(INDEX('Batch Dates'!$G:$G,MATCH(J88,'Batch Dates'!$C:$C,0)),IFERROR(INDEX('Batch Dates'!$G:$G,MATCH(I88,'Batch Dates'!$B:$B,0)),""))</f>
        <v/>
      </c>
      <c r="G88" s="243" t="inlineStr">
        <is>
          <t>post-SOP</t>
        </is>
      </c>
      <c r="H88" s="243" t="inlineStr">
        <is>
          <t>initial release</t>
        </is>
      </c>
      <c r="I88" s="244" t="inlineStr">
        <is>
          <t>SCR012603</t>
        </is>
      </c>
      <c r="J88" s="243" t="inlineStr">
        <is>
          <t>P060382</t>
        </is>
      </c>
      <c r="K88" s="243" t="inlineStr">
        <is>
          <t>Scrambler</t>
        </is>
      </c>
      <c r="L88" s="243" t="inlineStr">
        <is>
          <t>Ident A + Ident B + Foreign matter</t>
        </is>
      </c>
      <c r="M88" s="248" t="inlineStr">
        <is>
          <t>—</t>
        </is>
      </c>
      <c r="N88" s="243">
        <f>IFERROR(INDEX('CoQ Register'!$B:$B,MATCH("P060382|I",'CoQ Register'!$S:$S,0)),"—")</f>
        <v/>
      </c>
      <c r="O88" s="243" t="inlineStr">
        <is>
          <t>iCoA-PP-2026-0026</t>
        </is>
      </c>
      <c r="P88" s="243" t="inlineStr">
        <is>
          <t>25.05.2026</t>
        </is>
      </c>
      <c r="Q88" s="243" t="inlineStr">
        <is>
          <t>22.04.2026</t>
        </is>
      </c>
      <c r="R88" s="243" t="inlineStr">
        <is>
          <t>25.05.2026</t>
        </is>
      </c>
      <c r="S88" s="245">
        <f>IFERROR(INDEX('CoQ Register'!$D:$D,MATCH("P060382|I",'CoQ Register'!$S:$S,0)),"")</f>
        <v/>
      </c>
      <c r="T88" s="243" t="inlineStr">
        <is>
          <t>Conforms</t>
        </is>
      </c>
      <c r="U88" s="243" t="inlineStr">
        <is>
          <t>Conforms</t>
        </is>
      </c>
      <c r="V88" s="243" t="inlineStr">
        <is>
          <t>Conforms</t>
        </is>
      </c>
      <c r="W88" s="243" t="inlineStr">
        <is>
          <t>— no cannabinoid certificate from the initial testing —</t>
        </is>
      </c>
      <c r="X88" s="243" t="inlineStr">
        <is>
          <t>—</t>
        </is>
      </c>
      <c r="Y88" s="243" t="inlineStr">
        <is>
          <t>—</t>
        </is>
      </c>
      <c r="Z88" s="243" t="inlineStr">
        <is>
          <t>—</t>
        </is>
      </c>
      <c r="AA88" s="243" t="inlineStr">
        <is>
          <t>P060382|I</t>
        </is>
      </c>
      <c r="AB88" s="250" t="inlineStr">
        <is>
          <t>registered — initial release, issued 03.06.2026</t>
        </is>
      </c>
    </row>
    <row r="89">
      <c r="A89" s="243" t="n">
        <v>88</v>
      </c>
      <c r="B89" s="244" t="inlineStr">
        <is>
          <t>iCoA-PP_26-088</t>
        </is>
      </c>
      <c r="C89" s="249" t="inlineStr">
        <is>
          <t>yes</t>
        </is>
      </c>
      <c r="D89" s="245">
        <f>IF(A89="","",IF(ISNUMBER(E89),MAX(DATE(2026,6,3),E89),DATE(2026,6,3)))</f>
        <v/>
      </c>
      <c r="E89" s="245">
        <f>IFERROR(INDEX('Batch Dates'!$F:$F,MATCH(J89,'Batch Dates'!$C:$C,0)),IFERROR(INDEX('Batch Dates'!$F:$F,MATCH(I89,'Batch Dates'!$B:$B,0)),""))</f>
        <v/>
      </c>
      <c r="F89" s="245">
        <f>IFERROR(INDEX('Batch Dates'!$G:$G,MATCH(J89,'Batch Dates'!$C:$C,0)),IFERROR(INDEX('Batch Dates'!$G:$G,MATCH(I89,'Batch Dates'!$B:$B,0)),""))</f>
        <v/>
      </c>
      <c r="G89" s="243" t="inlineStr">
        <is>
          <t>post-SOP</t>
        </is>
      </c>
      <c r="H89" s="243" t="inlineStr">
        <is>
          <t>initial release</t>
        </is>
      </c>
      <c r="I89" s="244" t="inlineStr">
        <is>
          <t>SCR012601*</t>
        </is>
      </c>
      <c r="J89" s="243" t="inlineStr">
        <is>
          <t>P060342</t>
        </is>
      </c>
      <c r="K89" s="243" t="inlineStr">
        <is>
          <t>Scrambler</t>
        </is>
      </c>
      <c r="L89" s="243" t="inlineStr">
        <is>
          <t>Ident A + Ident B + Foreign matter</t>
        </is>
      </c>
      <c r="M89" s="248" t="inlineStr">
        <is>
          <t>—</t>
        </is>
      </c>
      <c r="N89" s="243">
        <f>IFERROR(INDEX('CoQ Register'!$B:$B,MATCH("P060342|I",'CoQ Register'!$S:$S,0)),"—")</f>
        <v/>
      </c>
      <c r="O89" s="248" t="inlineStr">
        <is>
          <t>—</t>
        </is>
      </c>
      <c r="P89" s="243" t="inlineStr">
        <is>
          <t>25.05.2026</t>
        </is>
      </c>
      <c r="Q89" s="243" t="inlineStr">
        <is>
          <t>16.04.2026</t>
        </is>
      </c>
      <c r="R89" s="243" t="inlineStr">
        <is>
          <t>25.05.2026</t>
        </is>
      </c>
      <c r="S89" s="245">
        <f>IFERROR(INDEX('CoQ Register'!$D:$D,MATCH("P060342|I",'CoQ Register'!$S:$S,0)),"")</f>
        <v/>
      </c>
      <c r="T89" s="243" t="inlineStr">
        <is>
          <t>Conforms</t>
        </is>
      </c>
      <c r="U89" s="243" t="inlineStr">
        <is>
          <t>Conforms</t>
        </is>
      </c>
      <c r="V89" s="243" t="inlineStr">
        <is>
          <t>Conforms</t>
        </is>
      </c>
      <c r="W89" s="243" t="inlineStr">
        <is>
          <t>— no cannabinoid certificate from the initial testing —</t>
        </is>
      </c>
      <c r="X89" s="243" t="inlineStr">
        <is>
          <t>—</t>
        </is>
      </c>
      <c r="Y89" s="243" t="inlineStr">
        <is>
          <t>—</t>
        </is>
      </c>
      <c r="Z89" s="243" t="inlineStr">
        <is>
          <t>—</t>
        </is>
      </c>
      <c r="AA89" s="243" t="inlineStr">
        <is>
          <t>P060342|I</t>
        </is>
      </c>
      <c r="AB89" s="250" t="inlineStr">
        <is>
          <t>registered — initial release, issued 03.06.2026</t>
        </is>
      </c>
    </row>
    <row r="90">
      <c r="A90" s="243" t="n">
        <v>89</v>
      </c>
      <c r="B90" s="244" t="inlineStr">
        <is>
          <t>iCoA-PP_26-089</t>
        </is>
      </c>
      <c r="C90" s="249" t="inlineStr">
        <is>
          <t>yes</t>
        </is>
      </c>
      <c r="D90" s="245" t="n">
        <v>46176</v>
      </c>
      <c r="E90" s="245" t="inlineStr">
        <is>
          <t>— not stated —</t>
        </is>
      </c>
      <c r="F90" s="245">
        <f>IFERROR(INDEX('Batch Dates'!$G:$G,MATCH(J90,'Batch Dates'!$C:$C,0)),IFERROR(INDEX('Batch Dates'!$G:$G,MATCH(I90,'Batch Dates'!$B:$B,0)),""))</f>
        <v/>
      </c>
      <c r="G90" s="243" t="inlineStr">
        <is>
          <t>legacy</t>
        </is>
      </c>
      <c r="H90" s="243" t="inlineStr">
        <is>
          <t>initial release</t>
        </is>
      </c>
      <c r="I90" s="244" t="inlineStr">
        <is>
          <t>BSS1024_01/1</t>
        </is>
      </c>
      <c r="J90" s="243" t="inlineStr">
        <is>
          <t>P050122</t>
        </is>
      </c>
      <c r="K90" s="243" t="inlineStr">
        <is>
          <t>Blue Sunset Sherbet</t>
        </is>
      </c>
      <c r="L90" s="243" t="inlineStr">
        <is>
          <t>Ident A + Ident B + Foreign matter</t>
        </is>
      </c>
      <c r="M90" s="248" t="inlineStr">
        <is>
          <t>—</t>
        </is>
      </c>
      <c r="N90" s="243">
        <f>IFERROR(INDEX('CoQ Register'!$B:$B,MATCH("P050122|I",'CoQ Register'!$S:$S,0)),"—")</f>
        <v/>
      </c>
      <c r="O90" s="248" t="inlineStr">
        <is>
          <t>—</t>
        </is>
      </c>
      <c r="P90" s="243" t="inlineStr">
        <is>
          <t>10.07.2025</t>
        </is>
      </c>
      <c r="Q90" s="243" t="inlineStr">
        <is>
          <t>04.06.2025 – 05.06.2025</t>
        </is>
      </c>
      <c r="R90" s="243" t="inlineStr">
        <is>
          <t>01.09.2025 – 09.09.2025 (the issuance plan's basis: 10.07.2025)</t>
        </is>
      </c>
      <c r="S90" s="245">
        <f>IFERROR(INDEX('CoQ Register'!$D:$D,MATCH("P050122|I",'CoQ Register'!$S:$S,0)),"")</f>
        <v/>
      </c>
      <c r="T90" s="243" t="inlineStr">
        <is>
          <t>Conforms</t>
        </is>
      </c>
      <c r="U90" s="243" t="inlineStr">
        <is>
          <t>Conforms</t>
        </is>
      </c>
      <c r="V90" s="243" t="inlineStr">
        <is>
          <t>Conforms</t>
        </is>
      </c>
      <c r="W90" s="243" t="inlineStr">
        <is>
          <t>ППК25176, (10.07.2025) [CNP]</t>
        </is>
      </c>
      <c r="X90" s="243" t="inlineStr">
        <is>
          <t>—</t>
        </is>
      </c>
      <c r="Y90" s="243" t="inlineStr">
        <is>
          <t>—</t>
        </is>
      </c>
      <c r="Z90" s="243" t="inlineStr">
        <is>
          <t>—</t>
        </is>
      </c>
      <c r="AA90" s="243" t="inlineStr">
        <is>
          <t>P050122|I</t>
        </is>
      </c>
      <c r="AB90" s="250" t="inlineStr">
        <is>
          <t>registered — initial release, issued 03.06.2026 · no packaging date on file — testing date not stated (owner, 15.09.2026: certified all the same)</t>
        </is>
      </c>
    </row>
    <row r="91">
      <c r="A91" s="243" t="n">
        <v>90</v>
      </c>
      <c r="B91" s="244" t="inlineStr">
        <is>
          <t>iCoA-PP_26-090</t>
        </is>
      </c>
      <c r="C91" s="249" t="inlineStr">
        <is>
          <t>yes</t>
        </is>
      </c>
      <c r="D91" s="245" t="n">
        <v>46176</v>
      </c>
      <c r="E91" s="245" t="inlineStr">
        <is>
          <t>— not stated —</t>
        </is>
      </c>
      <c r="F91" s="245">
        <f>IFERROR(INDEX('Batch Dates'!$G:$G,MATCH(J91,'Batch Dates'!$C:$C,0)),IFERROR(INDEX('Batch Dates'!$G:$G,MATCH(I91,'Batch Dates'!$B:$B,0)),""))</f>
        <v/>
      </c>
      <c r="G91" s="243" t="inlineStr">
        <is>
          <t>—</t>
        </is>
      </c>
      <c r="H91" s="243" t="inlineStr">
        <is>
          <t>initial release</t>
        </is>
      </c>
      <c r="I91" s="244" t="inlineStr">
        <is>
          <t>CC042601</t>
        </is>
      </c>
      <c r="J91" s="243" t="inlineStr">
        <is>
          <t>N/A — no P batch assigned</t>
        </is>
      </c>
      <c r="K91" s="243" t="inlineStr">
        <is>
          <t>Cash Cow</t>
        </is>
      </c>
      <c r="L91" s="243" t="inlineStr">
        <is>
          <t>Ident A + Ident B + Foreign matter</t>
        </is>
      </c>
      <c r="M91" s="248" t="inlineStr">
        <is>
          <t>—</t>
        </is>
      </c>
      <c r="N91" s="243">
        <f>IFERROR(INDEX('CoQ Register'!$B:$B,MATCH("CC042601|I",'CoQ Register'!$S:$S,0)),"—")</f>
        <v/>
      </c>
      <c r="O91" s="248" t="inlineStr">
        <is>
          <t>—</t>
        </is>
      </c>
      <c r="P91" s="243" t="inlineStr">
        <is>
          <t>—</t>
        </is>
      </c>
      <c r="Q91" s="243" t="inlineStr">
        <is>
          <t>— not on the list —</t>
        </is>
      </c>
      <c r="R91" s="243" t="inlineStr">
        <is>
          <t>— not on the list —</t>
        </is>
      </c>
      <c r="S91" s="245">
        <f>IFERROR(INDEX('CoQ Register'!$D:$D,MATCH("CC042601|I",'CoQ Register'!$S:$S,0)),"")</f>
        <v/>
      </c>
      <c r="T91" s="243" t="inlineStr">
        <is>
          <t>Conforms</t>
        </is>
      </c>
      <c r="U91" s="243" t="inlineStr">
        <is>
          <t>Conforms</t>
        </is>
      </c>
      <c r="V91" s="243" t="inlineStr">
        <is>
          <t>Conforms</t>
        </is>
      </c>
      <c r="W91" s="243" t="inlineStr">
        <is>
          <t>— no cannabinoid certificate from the initial testing —</t>
        </is>
      </c>
      <c r="X91" s="243" t="inlineStr">
        <is>
          <t>—</t>
        </is>
      </c>
      <c r="Y91" s="243" t="inlineStr">
        <is>
          <t>—</t>
        </is>
      </c>
      <c r="Z91" s="243" t="inlineStr">
        <is>
          <t>—</t>
        </is>
      </c>
      <c r="AA91" s="243" t="inlineStr">
        <is>
          <t>CC042601|I</t>
        </is>
      </c>
      <c r="AB91" s="250" t="inlineStr">
        <is>
          <t>registered — initial release, issued 03.06.2026 · no packaging date on file — testing date not stated (owner, 15.09.2026: certified all the same)</t>
        </is>
      </c>
    </row>
    <row r="92">
      <c r="A92" s="243" t="n">
        <v>91</v>
      </c>
      <c r="B92" s="244" t="inlineStr">
        <is>
          <t>iCoA-PP_26-091</t>
        </is>
      </c>
      <c r="C92" s="249" t="inlineStr">
        <is>
          <t>yes</t>
        </is>
      </c>
      <c r="D92" s="245" t="n">
        <v>46176</v>
      </c>
      <c r="E92" s="245" t="inlineStr">
        <is>
          <t>— not stated —</t>
        </is>
      </c>
      <c r="F92" s="245">
        <f>IFERROR(INDEX('Batch Dates'!$G:$G,MATCH(J92,'Batch Dates'!$C:$C,0)),IFERROR(INDEX('Batch Dates'!$G:$G,MATCH(I92,'Batch Dates'!$B:$B,0)),""))</f>
        <v/>
      </c>
      <c r="G92" s="243" t="inlineStr">
        <is>
          <t>—</t>
        </is>
      </c>
      <c r="H92" s="243" t="inlineStr">
        <is>
          <t>initial release</t>
        </is>
      </c>
      <c r="I92" s="244" t="inlineStr">
        <is>
          <t>FB042601</t>
        </is>
      </c>
      <c r="J92" s="243" t="inlineStr">
        <is>
          <t>N/A — no P batch assigned</t>
        </is>
      </c>
      <c r="K92" s="243" t="inlineStr">
        <is>
          <t>Fat Bastard</t>
        </is>
      </c>
      <c r="L92" s="243" t="inlineStr">
        <is>
          <t>Ident A + Ident B + Foreign matter</t>
        </is>
      </c>
      <c r="M92" s="248" t="inlineStr">
        <is>
          <t>—</t>
        </is>
      </c>
      <c r="N92" s="243">
        <f>IFERROR(INDEX('CoQ Register'!$B:$B,MATCH("FB042601|I",'CoQ Register'!$S:$S,0)),"—")</f>
        <v/>
      </c>
      <c r="O92" s="248" t="inlineStr">
        <is>
          <t>—</t>
        </is>
      </c>
      <c r="P92" s="243" t="inlineStr">
        <is>
          <t>—</t>
        </is>
      </c>
      <c r="Q92" s="243" t="inlineStr">
        <is>
          <t>— not on the list —</t>
        </is>
      </c>
      <c r="R92" s="243" t="inlineStr">
        <is>
          <t>— not on the list —</t>
        </is>
      </c>
      <c r="S92" s="245">
        <f>IFERROR(INDEX('CoQ Register'!$D:$D,MATCH("FB042601|I",'CoQ Register'!$S:$S,0)),"")</f>
        <v/>
      </c>
      <c r="T92" s="243" t="inlineStr">
        <is>
          <t>Conforms</t>
        </is>
      </c>
      <c r="U92" s="243" t="inlineStr">
        <is>
          <t>Conforms</t>
        </is>
      </c>
      <c r="V92" s="243" t="inlineStr">
        <is>
          <t>Conforms</t>
        </is>
      </c>
      <c r="W92" s="243" t="inlineStr">
        <is>
          <t>— no cannabinoid certificate from the initial testing —</t>
        </is>
      </c>
      <c r="X92" s="243" t="inlineStr">
        <is>
          <t>—</t>
        </is>
      </c>
      <c r="Y92" s="243" t="inlineStr">
        <is>
          <t>—</t>
        </is>
      </c>
      <c r="Z92" s="243" t="inlineStr">
        <is>
          <t>—</t>
        </is>
      </c>
      <c r="AA92" s="243" t="inlineStr">
        <is>
          <t>FB042601|I</t>
        </is>
      </c>
      <c r="AB92" s="250" t="inlineStr">
        <is>
          <t>registered — initial release, issued 03.06.2026 · no packaging date on file — testing date not stated (owner, 15.09.2026: certified all the same)</t>
        </is>
      </c>
    </row>
    <row r="93">
      <c r="A93" s="243" t="n">
        <v>92</v>
      </c>
      <c r="B93" s="244" t="inlineStr">
        <is>
          <t>iCoA-PP_26-092</t>
        </is>
      </c>
      <c r="C93" s="249" t="inlineStr">
        <is>
          <t>yes</t>
        </is>
      </c>
      <c r="D93" s="245" t="n">
        <v>46176</v>
      </c>
      <c r="E93" s="245" t="inlineStr">
        <is>
          <t>— not stated —</t>
        </is>
      </c>
      <c r="F93" s="245">
        <f>IFERROR(INDEX('Batch Dates'!$G:$G,MATCH(J93,'Batch Dates'!$C:$C,0)),IFERROR(INDEX('Batch Dates'!$G:$G,MATCH(I93,'Batch Dates'!$B:$B,0)),""))</f>
        <v/>
      </c>
      <c r="G93" s="243" t="inlineStr">
        <is>
          <t>legacy</t>
        </is>
      </c>
      <c r="H93" s="243" t="inlineStr">
        <is>
          <t>initial release</t>
        </is>
      </c>
      <c r="I93" s="244" t="inlineStr">
        <is>
          <t>OMP1024_01</t>
        </is>
      </c>
      <c r="J93" s="243" t="inlineStr">
        <is>
          <t>P050042</t>
        </is>
      </c>
      <c r="K93" s="243" t="inlineStr">
        <is>
          <t>Orange Punch Mimosa</t>
        </is>
      </c>
      <c r="L93" s="243" t="inlineStr">
        <is>
          <t>Ident A + Ident B + Foreign matter</t>
        </is>
      </c>
      <c r="M93" s="248" t="inlineStr">
        <is>
          <t>—</t>
        </is>
      </c>
      <c r="N93" s="243">
        <f>IFERROR(INDEX('CoQ Register'!$B:$B,MATCH("P050042|I",'CoQ Register'!$S:$S,0)),"—")</f>
        <v/>
      </c>
      <c r="O93" s="243" t="inlineStr">
        <is>
          <t>iCoA-PP-2025-0007</t>
        </is>
      </c>
      <c r="P93" s="243" t="inlineStr">
        <is>
          <t>20.06.2025</t>
        </is>
      </c>
      <c r="Q93" s="243" t="inlineStr">
        <is>
          <t>26.03.2025 – 27.03.2025</t>
        </is>
      </c>
      <c r="R93" s="243" t="inlineStr">
        <is>
          <t>20.06.2025</t>
        </is>
      </c>
      <c r="S93" s="245">
        <f>IFERROR(INDEX('CoQ Register'!$D:$D,MATCH("P050042|I",'CoQ Register'!$S:$S,0)),"")</f>
        <v/>
      </c>
      <c r="T93" s="243" t="inlineStr">
        <is>
          <t>Conforms</t>
        </is>
      </c>
      <c r="U93" s="243" t="inlineStr">
        <is>
          <t>Conforms</t>
        </is>
      </c>
      <c r="V93" s="243" t="inlineStr">
        <is>
          <t>Conforms</t>
        </is>
      </c>
      <c r="W93" s="243" t="inlineStr">
        <is>
          <t>ППК25117, (06.05.2025) [CNP]</t>
        </is>
      </c>
      <c r="X93" s="243" t="inlineStr">
        <is>
          <t>—</t>
        </is>
      </c>
      <c r="Y93" s="243" t="inlineStr">
        <is>
          <t>—</t>
        </is>
      </c>
      <c r="Z93" s="243" t="inlineStr">
        <is>
          <t>—</t>
        </is>
      </c>
      <c r="AA93" s="243" t="inlineStr">
        <is>
          <t>P050042|I</t>
        </is>
      </c>
      <c r="AB93" s="250" t="inlineStr">
        <is>
          <t>registered — initial release, issued 03.06.2026 · no packaging date on file — testing date not stated (owner, 15.09.2026: certified all the same)</t>
        </is>
      </c>
    </row>
    <row r="94">
      <c r="A94" s="243" t="n">
        <v>93</v>
      </c>
      <c r="B94" s="244" t="inlineStr">
        <is>
          <t>iCoA-PP_26-093</t>
        </is>
      </c>
      <c r="C94" s="249" t="inlineStr">
        <is>
          <t>yes</t>
        </is>
      </c>
      <c r="D94" s="245">
        <f>IF(A94="","",IF(ISNUMBER(E94),MAX(DATE(2026,6,3),E94),DATE(2026,6,3)))</f>
        <v/>
      </c>
      <c r="E94" s="245">
        <f>IFERROR(INDEX('Batch Dates'!$F:$F,MATCH(J94,'Batch Dates'!$C:$C,0)),IFERROR(INDEX('Batch Dates'!$F:$F,MATCH(I94,'Batch Dates'!$B:$B,0)),""))</f>
        <v/>
      </c>
      <c r="F94" s="245">
        <f>IFERROR(INDEX('Batch Dates'!$G:$G,MATCH(J94,'Batch Dates'!$C:$C,0)),IFERROR(INDEX('Batch Dates'!$G:$G,MATCH(I94,'Batch Dates'!$B:$B,0)),""))</f>
        <v/>
      </c>
      <c r="G94" s="243" t="inlineStr">
        <is>
          <t>post-SOP</t>
        </is>
      </c>
      <c r="H94" s="243" t="inlineStr">
        <is>
          <t>initial release</t>
        </is>
      </c>
      <c r="I94" s="244" t="inlineStr">
        <is>
          <t>FB012603</t>
        </is>
      </c>
      <c r="J94" s="243" t="inlineStr">
        <is>
          <t>P060432</t>
        </is>
      </c>
      <c r="K94" s="243" t="inlineStr">
        <is>
          <t>Fat Bastard</t>
        </is>
      </c>
      <c r="L94" s="243" t="inlineStr">
        <is>
          <t>Ident A + Ident B + Foreign matter</t>
        </is>
      </c>
      <c r="M94" s="243" t="inlineStr">
        <is>
          <t>A: ППК26112 / B: ППК26112 / FM: ППК26112</t>
        </is>
      </c>
      <c r="N94" s="243">
        <f>IFERROR(INDEX('CoQ Register'!$B:$B,MATCH("P060432|I",'CoQ Register'!$S:$S,0)),"—")</f>
        <v/>
      </c>
      <c r="O94" s="248" t="inlineStr">
        <is>
          <t>—</t>
        </is>
      </c>
      <c r="P94" s="243" t="inlineStr">
        <is>
          <t>30.06.2026</t>
        </is>
      </c>
      <c r="Q94" s="243" t="inlineStr">
        <is>
          <t>04.05.2026</t>
        </is>
      </c>
      <c r="R94" s="243" t="inlineStr">
        <is>
          <t>15.06.2026 (the issuance plan's basis: 30.06.2026)</t>
        </is>
      </c>
      <c r="S94" s="245">
        <f>IFERROR(INDEX('CoQ Register'!$D:$D,MATCH("P060432|I",'CoQ Register'!$S:$S,0)),"")</f>
        <v/>
      </c>
      <c r="T94" s="243" t="inlineStr">
        <is>
          <t>CNP ППК26112</t>
        </is>
      </c>
      <c r="U94" s="243" t="inlineStr">
        <is>
          <t>CNP ППК26112</t>
        </is>
      </c>
      <c r="V94" s="243" t="inlineStr">
        <is>
          <t>CNP ППК26112</t>
        </is>
      </c>
      <c r="W94" s="243" t="inlineStr">
        <is>
          <t>ППК26112, (30.06.2026) [CNP]</t>
        </is>
      </c>
      <c r="X94" s="243" t="inlineStr">
        <is>
          <t>—</t>
        </is>
      </c>
      <c r="Y94" s="243" t="inlineStr">
        <is>
          <t>—</t>
        </is>
      </c>
      <c r="Z94" s="243" t="inlineStr">
        <is>
          <t>—</t>
        </is>
      </c>
      <c r="AA94" s="243" t="inlineStr">
        <is>
          <t>P060432|I</t>
        </is>
      </c>
      <c r="AB94" s="250" t="inlineStr">
        <is>
          <t>registered — initial release, issued 15.06.2026</t>
        </is>
      </c>
    </row>
    <row r="95">
      <c r="A95" s="243" t="n">
        <v>94</v>
      </c>
      <c r="B95" s="244" t="inlineStr">
        <is>
          <t>iCoA-PP_26-094</t>
        </is>
      </c>
      <c r="C95" s="249" t="inlineStr">
        <is>
          <t>yes</t>
        </is>
      </c>
      <c r="D95" s="245">
        <f>IF(A95="","",IF(ISNUMBER(E95),MAX(DATE(2026,6,3),E95),DATE(2026,6,3)))</f>
        <v/>
      </c>
      <c r="E95" s="245">
        <f>IFERROR(INDEX('Batch Dates'!$F:$F,MATCH(J95,'Batch Dates'!$C:$C,0)),IFERROR(INDEX('Batch Dates'!$F:$F,MATCH(I95,'Batch Dates'!$B:$B,0)),""))</f>
        <v/>
      </c>
      <c r="F95" s="245">
        <f>IFERROR(INDEX('Batch Dates'!$G:$G,MATCH(J95,'Batch Dates'!$C:$C,0)),IFERROR(INDEX('Batch Dates'!$G:$G,MATCH(I95,'Batch Dates'!$B:$B,0)),""))</f>
        <v/>
      </c>
      <c r="G95" s="243" t="inlineStr">
        <is>
          <t>post-SOP</t>
        </is>
      </c>
      <c r="H95" s="243" t="inlineStr">
        <is>
          <t>initial release</t>
        </is>
      </c>
      <c r="I95" s="244" t="inlineStr">
        <is>
          <t>SCR022601</t>
        </is>
      </c>
      <c r="J95" s="243" t="inlineStr">
        <is>
          <t>P060442</t>
        </is>
      </c>
      <c r="K95" s="243" t="inlineStr">
        <is>
          <t>Scrambler</t>
        </is>
      </c>
      <c r="L95" s="243" t="inlineStr">
        <is>
          <t>Ident A + Ident B + Foreign matter</t>
        </is>
      </c>
      <c r="M95" s="243" t="inlineStr">
        <is>
          <t>A: ППК26116 / B: ППК26116 / FM: ППК26116</t>
        </is>
      </c>
      <c r="N95" s="243">
        <f>IFERROR(INDEX('CoQ Register'!$B:$B,MATCH("P060442|I",'CoQ Register'!$S:$S,0)),"—")</f>
        <v/>
      </c>
      <c r="O95" s="248" t="inlineStr">
        <is>
          <t>—</t>
        </is>
      </c>
      <c r="P95" s="243" t="inlineStr">
        <is>
          <t>06.07.2026</t>
        </is>
      </c>
      <c r="Q95" s="243" t="inlineStr">
        <is>
          <t>13.05.2026</t>
        </is>
      </c>
      <c r="R95" s="243" t="inlineStr">
        <is>
          <t>18.06.2026 (the issuance plan's basis: 06.07.2026)</t>
        </is>
      </c>
      <c r="S95" s="245">
        <f>IFERROR(INDEX('CoQ Register'!$D:$D,MATCH("P060442|I",'CoQ Register'!$S:$S,0)),"")</f>
        <v/>
      </c>
      <c r="T95" s="243" t="inlineStr">
        <is>
          <t>CNP ППК26116</t>
        </is>
      </c>
      <c r="U95" s="243" t="inlineStr">
        <is>
          <t>CNP ППК26116</t>
        </is>
      </c>
      <c r="V95" s="243" t="inlineStr">
        <is>
          <t>CNP ППК26116</t>
        </is>
      </c>
      <c r="W95" s="243" t="inlineStr">
        <is>
          <t>ППК26116, (06.07.2026) [CNP]</t>
        </is>
      </c>
      <c r="X95" s="243" t="inlineStr">
        <is>
          <t>—</t>
        </is>
      </c>
      <c r="Y95" s="243" t="inlineStr">
        <is>
          <t>—</t>
        </is>
      </c>
      <c r="Z95" s="243" t="inlineStr">
        <is>
          <t>—</t>
        </is>
      </c>
      <c r="AA95" s="243" t="inlineStr">
        <is>
          <t>P060442|I</t>
        </is>
      </c>
      <c r="AB95" s="250" t="inlineStr">
        <is>
          <t>registered — initial release, issued 18.06.2026</t>
        </is>
      </c>
    </row>
    <row r="96">
      <c r="A96" s="243" t="n">
        <v>95</v>
      </c>
      <c r="B96" s="244" t="inlineStr">
        <is>
          <t>iCoA-PP_26-095</t>
        </is>
      </c>
      <c r="C96" s="249" t="inlineStr">
        <is>
          <t>yes</t>
        </is>
      </c>
      <c r="D96" s="245">
        <f>IF(A96="","",IF(ISNUMBER(E96),MAX(DATE(2026,6,3),E96),DATE(2026,6,3)))</f>
        <v/>
      </c>
      <c r="E96" s="245">
        <f>IFERROR(INDEX('Batch Dates'!$F:$F,MATCH(J96,'Batch Dates'!$C:$C,0)),IFERROR(INDEX('Batch Dates'!$F:$F,MATCH(I96,'Batch Dates'!$B:$B,0)),""))</f>
        <v/>
      </c>
      <c r="F96" s="245">
        <f>IFERROR(INDEX('Batch Dates'!$G:$G,MATCH(J96,'Batch Dates'!$C:$C,0)),IFERROR(INDEX('Batch Dates'!$G:$G,MATCH(I96,'Batch Dates'!$B:$B,0)),""))</f>
        <v/>
      </c>
      <c r="G96" s="243" t="inlineStr">
        <is>
          <t>post-SOP</t>
        </is>
      </c>
      <c r="H96" s="243" t="inlineStr">
        <is>
          <t>initial release</t>
        </is>
      </c>
      <c r="I96" s="244" t="inlineStr">
        <is>
          <t>FB032601</t>
        </is>
      </c>
      <c r="J96" s="243" t="inlineStr">
        <is>
          <t>P060452</t>
        </is>
      </c>
      <c r="K96" s="243" t="inlineStr">
        <is>
          <t>Fat Bastard</t>
        </is>
      </c>
      <c r="L96" s="243" t="inlineStr">
        <is>
          <t>Ident A + Ident B + Foreign matter</t>
        </is>
      </c>
      <c r="M96" s="243" t="inlineStr">
        <is>
          <t>A: ППК26127 / B: ППК26127 / FM: ППК26127</t>
        </is>
      </c>
      <c r="N96" s="243">
        <f>IFERROR(INDEX('CoQ Register'!$B:$B,MATCH("P060452|I",'CoQ Register'!$S:$S,0)),"—")</f>
        <v/>
      </c>
      <c r="O96" s="248" t="inlineStr">
        <is>
          <t>—</t>
        </is>
      </c>
      <c r="P96" s="243" t="inlineStr">
        <is>
          <t>21.07.2026</t>
        </is>
      </c>
      <c r="Q96" s="243" t="inlineStr">
        <is>
          <t>02.06.2026</t>
        </is>
      </c>
      <c r="R96" s="243" t="inlineStr">
        <is>
          <t>29.06.2026 (the issuance plan's basis: 21.07.2026)</t>
        </is>
      </c>
      <c r="S96" s="245">
        <f>IFERROR(INDEX('CoQ Register'!$D:$D,MATCH("P060452|I",'CoQ Register'!$S:$S,0)),"")</f>
        <v/>
      </c>
      <c r="T96" s="243" t="inlineStr">
        <is>
          <t>CNP ППК26127</t>
        </is>
      </c>
      <c r="U96" s="243" t="inlineStr">
        <is>
          <t>CNP ППК26127</t>
        </is>
      </c>
      <c r="V96" s="243" t="inlineStr">
        <is>
          <t>CNP ППК26127</t>
        </is>
      </c>
      <c r="W96" s="243" t="inlineStr">
        <is>
          <t>ППК26127, (21.07.2026) [CNP]</t>
        </is>
      </c>
      <c r="X96" s="243" t="inlineStr">
        <is>
          <t>—</t>
        </is>
      </c>
      <c r="Y96" s="243" t="inlineStr">
        <is>
          <t>—</t>
        </is>
      </c>
      <c r="Z96" s="243" t="inlineStr">
        <is>
          <t>—</t>
        </is>
      </c>
      <c r="AA96" s="243" t="inlineStr">
        <is>
          <t>P060452|I</t>
        </is>
      </c>
      <c r="AB96" s="250" t="inlineStr">
        <is>
          <t>registered — initial release, issued 29.06.2026</t>
        </is>
      </c>
    </row>
    <row r="97">
      <c r="A97" s="243" t="n">
        <v>96</v>
      </c>
      <c r="B97" s="244" t="inlineStr">
        <is>
          <t>iCoA-PP_26-096</t>
        </is>
      </c>
      <c r="C97" s="249" t="inlineStr">
        <is>
          <t>yes</t>
        </is>
      </c>
      <c r="D97" s="245" t="n">
        <v>46209</v>
      </c>
      <c r="E97" s="245" t="inlineStr">
        <is>
          <t>— not stated —</t>
        </is>
      </c>
      <c r="F97" s="245">
        <f>IFERROR(INDEX('Batch Dates'!$G:$G,MATCH(J97,'Batch Dates'!$C:$C,0)),IFERROR(INDEX('Batch Dates'!$G:$G,MATCH(I97,'Batch Dates'!$B:$B,0)),""))</f>
        <v/>
      </c>
      <c r="G97" s="243" t="inlineStr">
        <is>
          <t>—</t>
        </is>
      </c>
      <c r="H97" s="243" t="inlineStr">
        <is>
          <t>initial release</t>
        </is>
      </c>
      <c r="I97" s="244" t="inlineStr">
        <is>
          <t>— not recorded — (P160012)</t>
        </is>
      </c>
      <c r="J97" s="243" t="inlineStr">
        <is>
          <t>P160012</t>
        </is>
      </c>
      <c r="K97" s="243" t="inlineStr">
        <is>
          <t>Grape Pie</t>
        </is>
      </c>
      <c r="L97" s="243" t="inlineStr">
        <is>
          <t>Ident A + Ident B + Foreign matter</t>
        </is>
      </c>
      <c r="M97" s="243" t="inlineStr">
        <is>
          <t>A: ППК26117 / B: ППК26117 / FM: ППК26117</t>
        </is>
      </c>
      <c r="N97" s="243">
        <f>IFERROR(INDEX('CoQ Register'!$B:$B,MATCH("P160012|I",'CoQ Register'!$S:$S,0)),"—")</f>
        <v/>
      </c>
      <c r="O97" s="248" t="inlineStr">
        <is>
          <t>—</t>
        </is>
      </c>
      <c r="P97" s="243" t="inlineStr">
        <is>
          <t>06.07.2026</t>
        </is>
      </c>
      <c r="Q97" s="243" t="inlineStr">
        <is>
          <t>— not on the list —</t>
        </is>
      </c>
      <c r="R97" s="243" t="inlineStr">
        <is>
          <t>— not on the list —</t>
        </is>
      </c>
      <c r="S97" s="245">
        <f>IFERROR(INDEX('CoQ Register'!$D:$D,MATCH("P160012|I",'CoQ Register'!$S:$S,0)),"")</f>
        <v/>
      </c>
      <c r="T97" s="243" t="inlineStr">
        <is>
          <t>CNP ППК26117</t>
        </is>
      </c>
      <c r="U97" s="243" t="inlineStr">
        <is>
          <t>CNP ППК26117</t>
        </is>
      </c>
      <c r="V97" s="243" t="inlineStr">
        <is>
          <t>CNP ППК26117</t>
        </is>
      </c>
      <c r="W97" s="243" t="inlineStr">
        <is>
          <t>ППК26117, (06.07.2026) [CNP]</t>
        </is>
      </c>
      <c r="X97" s="243" t="inlineStr">
        <is>
          <t>—</t>
        </is>
      </c>
      <c r="Y97" s="243" t="inlineStr">
        <is>
          <t>—</t>
        </is>
      </c>
      <c r="Z97" s="243" t="inlineStr">
        <is>
          <t>—</t>
        </is>
      </c>
      <c r="AA97" s="243" t="inlineStr">
        <is>
          <t>P160012|I</t>
        </is>
      </c>
      <c r="AB97" s="250" t="inlineStr">
        <is>
          <t>registered — initial release, issued 06.07.2026 · no packaging date on file — testing date not stated (owner, 15.09.2026: certified all the same)</t>
        </is>
      </c>
    </row>
    <row r="98">
      <c r="A98" s="243" t="n">
        <v>97</v>
      </c>
      <c r="B98" s="244" t="inlineStr">
        <is>
          <t>iCoA-PP_26-097</t>
        </is>
      </c>
      <c r="C98" s="249" t="inlineStr">
        <is>
          <t>yes</t>
        </is>
      </c>
      <c r="D98" s="245" t="n">
        <v>46209</v>
      </c>
      <c r="E98" s="245" t="inlineStr">
        <is>
          <t>— not stated —</t>
        </is>
      </c>
      <c r="F98" s="245">
        <f>IFERROR(INDEX('Batch Dates'!$G:$G,MATCH(J98,'Batch Dates'!$C:$C,0)),IFERROR(INDEX('Batch Dates'!$G:$G,MATCH(I98,'Batch Dates'!$B:$B,0)),""))</f>
        <v/>
      </c>
      <c r="G98" s="243" t="inlineStr">
        <is>
          <t>—</t>
        </is>
      </c>
      <c r="H98" s="243" t="inlineStr">
        <is>
          <t>initial release</t>
        </is>
      </c>
      <c r="I98" s="244" t="inlineStr">
        <is>
          <t>— not recorded — (P160022)</t>
        </is>
      </c>
      <c r="J98" s="243" t="inlineStr">
        <is>
          <t>P160022</t>
        </is>
      </c>
      <c r="K98" s="243" t="inlineStr">
        <is>
          <t>Grape Pie</t>
        </is>
      </c>
      <c r="L98" s="243" t="inlineStr">
        <is>
          <t>Ident A + Ident B + Foreign matter</t>
        </is>
      </c>
      <c r="M98" s="243" t="inlineStr">
        <is>
          <t>A: ППК26118 / B: ППК26118 / FM: ППК26118</t>
        </is>
      </c>
      <c r="N98" s="243">
        <f>IFERROR(INDEX('CoQ Register'!$B:$B,MATCH("P160022|I",'CoQ Register'!$S:$S,0)),"—")</f>
        <v/>
      </c>
      <c r="O98" s="248" t="inlineStr">
        <is>
          <t>—</t>
        </is>
      </c>
      <c r="P98" s="243" t="inlineStr">
        <is>
          <t>06.07.2026</t>
        </is>
      </c>
      <c r="Q98" s="243" t="inlineStr">
        <is>
          <t>— not on the list —</t>
        </is>
      </c>
      <c r="R98" s="243" t="inlineStr">
        <is>
          <t>— not on the list —</t>
        </is>
      </c>
      <c r="S98" s="245">
        <f>IFERROR(INDEX('CoQ Register'!$D:$D,MATCH("P160022|I",'CoQ Register'!$S:$S,0)),"")</f>
        <v/>
      </c>
      <c r="T98" s="243" t="inlineStr">
        <is>
          <t>CNP ППК26118</t>
        </is>
      </c>
      <c r="U98" s="243" t="inlineStr">
        <is>
          <t>CNP ППК26118</t>
        </is>
      </c>
      <c r="V98" s="243" t="inlineStr">
        <is>
          <t>CNP ППК26118</t>
        </is>
      </c>
      <c r="W98" s="243" t="inlineStr">
        <is>
          <t>ППК26118, (06.07.2026) [CNP]</t>
        </is>
      </c>
      <c r="X98" s="243" t="inlineStr">
        <is>
          <t>—</t>
        </is>
      </c>
      <c r="Y98" s="243" t="inlineStr">
        <is>
          <t>—</t>
        </is>
      </c>
      <c r="Z98" s="243" t="inlineStr">
        <is>
          <t>—</t>
        </is>
      </c>
      <c r="AA98" s="243" t="inlineStr">
        <is>
          <t>P160022|I</t>
        </is>
      </c>
      <c r="AB98" s="250" t="inlineStr">
        <is>
          <t>registered — initial release, issued 06.07.2026 · no packaging date on file — testing date not stated (owner, 15.09.2026: certified all the same)</t>
        </is>
      </c>
    </row>
    <row r="99">
      <c r="A99" s="243" t="n">
        <v>98</v>
      </c>
      <c r="B99" s="244" t="inlineStr">
        <is>
          <t>iCoA-PP_26-098</t>
        </is>
      </c>
      <c r="C99" s="249" t="inlineStr">
        <is>
          <t>yes</t>
        </is>
      </c>
      <c r="D99" s="245" t="n">
        <v>46209</v>
      </c>
      <c r="E99" s="245" t="inlineStr">
        <is>
          <t>— not stated —</t>
        </is>
      </c>
      <c r="F99" s="245">
        <f>IFERROR(INDEX('Batch Dates'!$G:$G,MATCH(J99,'Batch Dates'!$C:$C,0)),IFERROR(INDEX('Batch Dates'!$G:$G,MATCH(I99,'Batch Dates'!$B:$B,0)),""))</f>
        <v/>
      </c>
      <c r="G99" s="243" t="inlineStr">
        <is>
          <t>—</t>
        </is>
      </c>
      <c r="H99" s="243" t="inlineStr">
        <is>
          <t>initial release</t>
        </is>
      </c>
      <c r="I99" s="244" t="inlineStr">
        <is>
          <t>— not recorded — (P160032)</t>
        </is>
      </c>
      <c r="J99" s="243" t="inlineStr">
        <is>
          <t>P160032</t>
        </is>
      </c>
      <c r="K99" s="243" t="inlineStr">
        <is>
          <t>Grape Pie</t>
        </is>
      </c>
      <c r="L99" s="243" t="inlineStr">
        <is>
          <t>Ident A + Ident B + Foreign matter</t>
        </is>
      </c>
      <c r="M99" s="243" t="inlineStr">
        <is>
          <t>A: ППК26119 / B: ППК26119 / FM: ППК26119</t>
        </is>
      </c>
      <c r="N99" s="243">
        <f>IFERROR(INDEX('CoQ Register'!$B:$B,MATCH("P160032|I",'CoQ Register'!$S:$S,0)),"—")</f>
        <v/>
      </c>
      <c r="O99" s="248" t="inlineStr">
        <is>
          <t>—</t>
        </is>
      </c>
      <c r="P99" s="243" t="inlineStr">
        <is>
          <t>06.07.2026</t>
        </is>
      </c>
      <c r="Q99" s="243" t="inlineStr">
        <is>
          <t>— not on the list —</t>
        </is>
      </c>
      <c r="R99" s="243" t="inlineStr">
        <is>
          <t>— not on the list —</t>
        </is>
      </c>
      <c r="S99" s="245">
        <f>IFERROR(INDEX('CoQ Register'!$D:$D,MATCH("P160032|I",'CoQ Register'!$S:$S,0)),"")</f>
        <v/>
      </c>
      <c r="T99" s="243" t="inlineStr">
        <is>
          <t>CNP ППК26119</t>
        </is>
      </c>
      <c r="U99" s="243" t="inlineStr">
        <is>
          <t>CNP ППК26119</t>
        </is>
      </c>
      <c r="V99" s="243" t="inlineStr">
        <is>
          <t>CNP ППК26119</t>
        </is>
      </c>
      <c r="W99" s="243" t="inlineStr">
        <is>
          <t>ППК26119, (06.07.2026) [CNP]</t>
        </is>
      </c>
      <c r="X99" s="243" t="inlineStr">
        <is>
          <t>—</t>
        </is>
      </c>
      <c r="Y99" s="243" t="inlineStr">
        <is>
          <t>—</t>
        </is>
      </c>
      <c r="Z99" s="243" t="inlineStr">
        <is>
          <t>—</t>
        </is>
      </c>
      <c r="AA99" s="243" t="inlineStr">
        <is>
          <t>P160032|I</t>
        </is>
      </c>
      <c r="AB99" s="250" t="inlineStr">
        <is>
          <t>registered — initial release, issued 06.07.2026 · no packaging date on file — testing date not stated (owner, 15.09.2026: certified all the same)</t>
        </is>
      </c>
    </row>
    <row r="100">
      <c r="A100" s="243" t="n">
        <v>99</v>
      </c>
      <c r="B100" s="244" t="inlineStr">
        <is>
          <t>iCoA-PP_26-099</t>
        </is>
      </c>
      <c r="C100" s="249" t="inlineStr">
        <is>
          <t>yes</t>
        </is>
      </c>
      <c r="D100" s="245">
        <f>IF(A100="","",IF(ISNUMBER(E100),MAX(DATE(2026,6,3),E100),DATE(2026,6,3)))</f>
        <v/>
      </c>
      <c r="E100" s="245">
        <f>IFERROR(INDEX('Batch Dates'!$F:$F,MATCH(J100,'Batch Dates'!$C:$C,0)),IFERROR(INDEX('Batch Dates'!$F:$F,MATCH(I100,'Batch Dates'!$B:$B,0)),""))</f>
        <v/>
      </c>
      <c r="F100" s="245">
        <f>IFERROR(INDEX('Batch Dates'!$G:$G,MATCH(J100,'Batch Dates'!$C:$C,0)),IFERROR(INDEX('Batch Dates'!$G:$G,MATCH(I100,'Batch Dates'!$B:$B,0)),""))</f>
        <v/>
      </c>
      <c r="G100" s="243" t="inlineStr">
        <is>
          <t>post-SOP</t>
        </is>
      </c>
      <c r="H100" s="243" t="inlineStr">
        <is>
          <t>initial release</t>
        </is>
      </c>
      <c r="I100" s="244" t="inlineStr">
        <is>
          <t>GG032601</t>
        </is>
      </c>
      <c r="J100" s="243" t="inlineStr">
        <is>
          <t>P060462</t>
        </is>
      </c>
      <c r="K100" s="243" t="inlineStr">
        <is>
          <t>Gorilla Glue</t>
        </is>
      </c>
      <c r="L100" s="243" t="inlineStr">
        <is>
          <t>Ident A + Ident B + Foreign matter</t>
        </is>
      </c>
      <c r="M100" s="243" t="inlineStr">
        <is>
          <t>A: ППК26128 / B: ППК26128 / FM: ППК26128</t>
        </is>
      </c>
      <c r="N100" s="243">
        <f>IFERROR(INDEX('CoQ Register'!$B:$B,MATCH("P060462|I",'CoQ Register'!$S:$S,0)),"—")</f>
        <v/>
      </c>
      <c r="O100" s="248" t="inlineStr">
        <is>
          <t>—</t>
        </is>
      </c>
      <c r="P100" s="243" t="inlineStr">
        <is>
          <t>21.07.2026</t>
        </is>
      </c>
      <c r="Q100" s="243" t="inlineStr">
        <is>
          <t>16.06.2026</t>
        </is>
      </c>
      <c r="R100" s="243" t="inlineStr">
        <is>
          <t>16.07.2026 (the issuance plan's basis: 21.07.2026)</t>
        </is>
      </c>
      <c r="S100" s="245">
        <f>IFERROR(INDEX('CoQ Register'!$D:$D,MATCH("P060462|I",'CoQ Register'!$S:$S,0)),"")</f>
        <v/>
      </c>
      <c r="T100" s="243" t="inlineStr">
        <is>
          <t>CNP ППК26128</t>
        </is>
      </c>
      <c r="U100" s="243" t="inlineStr">
        <is>
          <t>CNP ППК26128</t>
        </is>
      </c>
      <c r="V100" s="243" t="inlineStr">
        <is>
          <t>CNP ППК26128</t>
        </is>
      </c>
      <c r="W100" s="243" t="inlineStr">
        <is>
          <t>ППК26128, (21.07.2026) [CNP]</t>
        </is>
      </c>
      <c r="X100" s="243" t="inlineStr">
        <is>
          <t>—</t>
        </is>
      </c>
      <c r="Y100" s="243" t="inlineStr">
        <is>
          <t>—</t>
        </is>
      </c>
      <c r="Z100" s="243" t="inlineStr">
        <is>
          <t>—</t>
        </is>
      </c>
      <c r="AA100" s="243" t="inlineStr">
        <is>
          <t>P060462|I</t>
        </is>
      </c>
      <c r="AB100" s="250" t="inlineStr">
        <is>
          <t>registered — initial release, issued 16.07.2026</t>
        </is>
      </c>
    </row>
    <row r="101">
      <c r="A101" s="243" t="n">
        <v>100</v>
      </c>
      <c r="B101" s="244" t="inlineStr">
        <is>
          <t>iCoA-PP_26-100</t>
        </is>
      </c>
      <c r="C101" s="249" t="inlineStr">
        <is>
          <t>yes</t>
        </is>
      </c>
      <c r="D101" s="245" t="n">
        <v>46230</v>
      </c>
      <c r="E101" s="245" t="n">
        <v>46224</v>
      </c>
      <c r="F101" s="245">
        <f>IFERROR(INDEX('Batch Dates'!$G:$G,MATCH(J101,'Batch Dates'!$C:$C,0)),IFERROR(INDEX('Batch Dates'!$G:$G,MATCH(I101,'Batch Dates'!$B:$B,0)),""))</f>
        <v/>
      </c>
      <c r="G101" s="243" t="inlineStr">
        <is>
          <t>legacy</t>
        </is>
      </c>
      <c r="H101" s="243" t="inlineStr">
        <is>
          <t>retest 1</t>
        </is>
      </c>
      <c r="I101" s="244" t="inlineStr">
        <is>
          <t>BG1024</t>
        </is>
      </c>
      <c r="J101" s="243" t="inlineStr">
        <is>
          <t>N/A — no P batch assigned</t>
        </is>
      </c>
      <c r="K101" s="243" t="inlineStr">
        <is>
          <t>Blue Gelato</t>
        </is>
      </c>
      <c r="L101" s="243" t="inlineStr">
        <is>
          <t>Ident A + Ident B + Foreign matter</t>
        </is>
      </c>
      <c r="M101" s="248" t="inlineStr">
        <is>
          <t>—</t>
        </is>
      </c>
      <c r="N101" s="243">
        <f>IFERROR(INDEX('CoQ Register'!$B:$B,MATCH("BG1024|R",'CoQ Register'!$S:$S,0)),"—")</f>
        <v/>
      </c>
      <c r="O101" s="248" t="inlineStr">
        <is>
          <t>—</t>
        </is>
      </c>
      <c r="P101" s="243" t="inlineStr">
        <is>
          <t>07.03.2026</t>
        </is>
      </c>
      <c r="Q101" s="243" t="inlineStr">
        <is>
          <t>21.01.2025</t>
        </is>
      </c>
      <c r="R101" s="243" t="inlineStr">
        <is>
          <t>07.03.2025</t>
        </is>
      </c>
      <c r="S101" s="245">
        <f>IFERROR(INDEX('CoQ Register'!$D:$D,MATCH("BG1024|R",'CoQ Register'!$S:$S,0)),"")</f>
        <v/>
      </c>
      <c r="T101" s="243" t="inlineStr">
        <is>
          <t>Conforms</t>
        </is>
      </c>
      <c r="U101" s="243" t="inlineStr">
        <is>
          <t>Conforms</t>
        </is>
      </c>
      <c r="V101" s="243" t="inlineStr">
        <is>
          <t>Conforms</t>
        </is>
      </c>
      <c r="W101" s="243" t="inlineStr">
        <is>
          <t>197-1-K-26, (07.08.2026) [FHM-K]</t>
        </is>
      </c>
      <c r="X101" s="243" t="inlineStr">
        <is>
          <t>197-1-K-26, (07.08.2026) [FHM-K]</t>
        </is>
      </c>
      <c r="Y101" s="243" t="inlineStr">
        <is>
          <t>197-1-M-26, (10.08.2026) [FHM-M]</t>
        </is>
      </c>
      <c r="Z101" s="243" t="inlineStr">
        <is>
          <t>#8, #9, #11, #12 from the initial testing</t>
        </is>
      </c>
      <c r="AA101" s="243" t="inlineStr">
        <is>
          <t>BG1024|R</t>
        </is>
      </c>
      <c r="AB101" s="250" t="inlineStr">
        <is>
          <t>registered — retest 1 · Tranche 1 (sampled 21–24.07.2026), tested 21.07.2026, issued 27.07.2026</t>
        </is>
      </c>
    </row>
    <row r="102">
      <c r="A102" s="243" t="n">
        <v>101</v>
      </c>
      <c r="B102" s="244" t="inlineStr">
        <is>
          <t>iCoA-PP_26-101</t>
        </is>
      </c>
      <c r="C102" s="249" t="inlineStr">
        <is>
          <t>yes</t>
        </is>
      </c>
      <c r="D102" s="245" t="n">
        <v>46230</v>
      </c>
      <c r="E102" s="245" t="n">
        <v>46224</v>
      </c>
      <c r="F102" s="245">
        <f>IFERROR(INDEX('Batch Dates'!$G:$G,MATCH(J102,'Batch Dates'!$C:$C,0)),IFERROR(INDEX('Batch Dates'!$G:$G,MATCH(I102,'Batch Dates'!$B:$B,0)),""))</f>
        <v/>
      </c>
      <c r="G102" s="243" t="inlineStr">
        <is>
          <t>legacy</t>
        </is>
      </c>
      <c r="H102" s="243" t="inlineStr">
        <is>
          <t>retest 1</t>
        </is>
      </c>
      <c r="I102" s="244" t="inlineStr">
        <is>
          <t>BSS1024</t>
        </is>
      </c>
      <c r="J102" s="243" t="inlineStr">
        <is>
          <t>N/A — no P batch assigned</t>
        </is>
      </c>
      <c r="K102" s="243" t="inlineStr">
        <is>
          <t>Blue Sunset Sherbet</t>
        </is>
      </c>
      <c r="L102" s="243" t="inlineStr">
        <is>
          <t>Ident A + Ident B + Foreign matter</t>
        </is>
      </c>
      <c r="M102" s="248" t="inlineStr">
        <is>
          <t>—</t>
        </is>
      </c>
      <c r="N102" s="243">
        <f>IFERROR(INDEX('CoQ Register'!$B:$B,MATCH("BSS1024|R",'CoQ Register'!$S:$S,0)),"—")</f>
        <v/>
      </c>
      <c r="O102" s="248" t="inlineStr">
        <is>
          <t>—</t>
        </is>
      </c>
      <c r="P102" s="243" t="inlineStr">
        <is>
          <t>04.03.2026</t>
        </is>
      </c>
      <c r="Q102" s="243" t="inlineStr">
        <is>
          <t>22.01.2025</t>
        </is>
      </c>
      <c r="R102" s="243" t="inlineStr">
        <is>
          <t>04.03.2025</t>
        </is>
      </c>
      <c r="S102" s="245">
        <f>IFERROR(INDEX('CoQ Register'!$D:$D,MATCH("BSS1024|R",'CoQ Register'!$S:$S,0)),"")</f>
        <v/>
      </c>
      <c r="T102" s="243" t="inlineStr">
        <is>
          <t>Conforms</t>
        </is>
      </c>
      <c r="U102" s="243" t="inlineStr">
        <is>
          <t>Conforms</t>
        </is>
      </c>
      <c r="V102" s="243" t="inlineStr">
        <is>
          <t>Conforms</t>
        </is>
      </c>
      <c r="W102" s="243" t="inlineStr">
        <is>
          <t>197-2-K-26, (07.08.2026) [FHM-K]</t>
        </is>
      </c>
      <c r="X102" s="243" t="inlineStr">
        <is>
          <t>197-2-K-26, (07.08.2026) [FHM-K]</t>
        </is>
      </c>
      <c r="Y102" s="243" t="inlineStr">
        <is>
          <t>197-2-M-26, (10.08.2026) [FHM-M]</t>
        </is>
      </c>
      <c r="Z102" s="243" t="inlineStr">
        <is>
          <t>#8, #9, #11, #12 from the initial testing</t>
        </is>
      </c>
      <c r="AA102" s="243" t="inlineStr">
        <is>
          <t>BSS1024|R</t>
        </is>
      </c>
      <c r="AB102" s="250" t="inlineStr">
        <is>
          <t>registered — retest 1 · Tranche 1 (sampled 21–24.07.2026), tested 21.07.2026, issued 27.07.2026</t>
        </is>
      </c>
    </row>
    <row r="103">
      <c r="A103" s="243" t="n">
        <v>102</v>
      </c>
      <c r="B103" s="244" t="inlineStr">
        <is>
          <t>iCoA-PP_26-102</t>
        </is>
      </c>
      <c r="C103" s="249" t="inlineStr">
        <is>
          <t>yes</t>
        </is>
      </c>
      <c r="D103" s="245" t="n">
        <v>46230</v>
      </c>
      <c r="E103" s="245" t="n">
        <v>46224</v>
      </c>
      <c r="F103" s="245">
        <f>IFERROR(INDEX('Batch Dates'!$G:$G,MATCH(J103,'Batch Dates'!$C:$C,0)),IFERROR(INDEX('Batch Dates'!$G:$G,MATCH(I103,'Batch Dates'!$B:$B,0)),""))</f>
        <v/>
      </c>
      <c r="G103" s="243" t="inlineStr">
        <is>
          <t>legacy</t>
        </is>
      </c>
      <c r="H103" s="243" t="inlineStr">
        <is>
          <t>retest 1</t>
        </is>
      </c>
      <c r="I103" s="244" t="inlineStr">
        <is>
          <t>CJ052501/01</t>
        </is>
      </c>
      <c r="J103" s="243" t="inlineStr">
        <is>
          <t>P050162</t>
        </is>
      </c>
      <c r="K103" s="243" t="inlineStr">
        <is>
          <t>Cap Junky</t>
        </is>
      </c>
      <c r="L103" s="243" t="inlineStr">
        <is>
          <t>Ident A + Ident B + Foreign matter</t>
        </is>
      </c>
      <c r="M103" s="248" t="inlineStr">
        <is>
          <t>—</t>
        </is>
      </c>
      <c r="N103" s="243">
        <f>IFERROR(INDEX('CoQ Register'!$B:$B,MATCH("P050162|R",'CoQ Register'!$S:$S,0)),"—")</f>
        <v/>
      </c>
      <c r="O103" s="248" t="inlineStr">
        <is>
          <t>—</t>
        </is>
      </c>
      <c r="P103" s="243" t="inlineStr">
        <is>
          <t>30.09.2026</t>
        </is>
      </c>
      <c r="Q103" s="243" t="inlineStr">
        <is>
          <t>20.08.2025</t>
        </is>
      </c>
      <c r="R103" s="243" t="inlineStr">
        <is>
          <t>30.09.2025 – 01.10.2025</t>
        </is>
      </c>
      <c r="S103" s="245">
        <f>IFERROR(INDEX('CoQ Register'!$D:$D,MATCH("P050162|R",'CoQ Register'!$S:$S,0)),"")</f>
        <v/>
      </c>
      <c r="T103" s="243" t="inlineStr">
        <is>
          <t>Conforms</t>
        </is>
      </c>
      <c r="U103" s="243" t="inlineStr">
        <is>
          <t>Conforms</t>
        </is>
      </c>
      <c r="V103" s="243" t="inlineStr">
        <is>
          <t>Conforms</t>
        </is>
      </c>
      <c r="W103" s="243" t="inlineStr">
        <is>
          <t>197-3-K-26, (07.08.2026) [FHM-K]</t>
        </is>
      </c>
      <c r="X103" s="243" t="inlineStr">
        <is>
          <t>197-3-K-26, (07.08.2026) [FHM-K]</t>
        </is>
      </c>
      <c r="Y103" s="243" t="inlineStr">
        <is>
          <t>197-3-M-26, (10.08.2026) [FHM-M]</t>
        </is>
      </c>
      <c r="Z103" s="243" t="inlineStr">
        <is>
          <t>#8, #9, #11, #12 from the initial testing</t>
        </is>
      </c>
      <c r="AA103" s="243" t="inlineStr">
        <is>
          <t>P050162|R</t>
        </is>
      </c>
      <c r="AB103" s="250" t="inlineStr">
        <is>
          <t>registered — retest 1 · Tranche 1 (sampled 21–24.07.2026), tested 21.07.2026, issued 27.07.2026</t>
        </is>
      </c>
    </row>
    <row r="104">
      <c r="A104" s="243" t="n">
        <v>103</v>
      </c>
      <c r="B104" s="244" t="inlineStr">
        <is>
          <t>iCoA-PP_26-103</t>
        </is>
      </c>
      <c r="C104" s="249" t="inlineStr">
        <is>
          <t>yes</t>
        </is>
      </c>
      <c r="D104" s="245" t="n">
        <v>46230</v>
      </c>
      <c r="E104" s="245" t="n">
        <v>46224</v>
      </c>
      <c r="F104" s="245">
        <f>IFERROR(INDEX('Batch Dates'!$G:$G,MATCH(J104,'Batch Dates'!$C:$C,0)),IFERROR(INDEX('Batch Dates'!$G:$G,MATCH(I104,'Batch Dates'!$B:$B,0)),""))</f>
        <v/>
      </c>
      <c r="G104" s="243" t="inlineStr">
        <is>
          <t>legacy</t>
        </is>
      </c>
      <c r="H104" s="243" t="inlineStr">
        <is>
          <t>retest 2</t>
        </is>
      </c>
      <c r="I104" s="244" t="inlineStr">
        <is>
          <t>CJ062501/2</t>
        </is>
      </c>
      <c r="J104" s="243" t="inlineStr">
        <is>
          <t>P050212</t>
        </is>
      </c>
      <c r="K104" s="243" t="inlineStr">
        <is>
          <t>Cap Junky</t>
        </is>
      </c>
      <c r="L104" s="243" t="inlineStr">
        <is>
          <t>Ident A + Ident B + Foreign matter</t>
        </is>
      </c>
      <c r="M104" s="248" t="inlineStr">
        <is>
          <t>—</t>
        </is>
      </c>
      <c r="N104" s="243">
        <f>IFERROR(INDEX('CoQ Register'!$B:$B,MATCH("P050212|R2",'CoQ Register'!$S:$S,0)),"—")</f>
        <v/>
      </c>
      <c r="O104" s="248" t="inlineStr">
        <is>
          <t>—</t>
        </is>
      </c>
      <c r="P104" s="243" t="inlineStr">
        <is>
          <t>24.01.2027</t>
        </is>
      </c>
      <c r="Q104" s="243" t="inlineStr">
        <is>
          <t>23.09.2025 – 24.09.2025</t>
        </is>
      </c>
      <c r="R104" s="243" t="inlineStr">
        <is>
          <t>18.11.2025 – 24.11.2025 (the issuance plan's basis: 24.01.2026)</t>
        </is>
      </c>
      <c r="S104" s="245">
        <f>IFERROR(INDEX('CoQ Register'!$D:$D,MATCH("P050212|R2",'CoQ Register'!$S:$S,0)),"")</f>
        <v/>
      </c>
      <c r="T104" s="243" t="inlineStr">
        <is>
          <t>Conforms</t>
        </is>
      </c>
      <c r="U104" s="243" t="inlineStr">
        <is>
          <t>Conforms</t>
        </is>
      </c>
      <c r="V104" s="243" t="inlineStr">
        <is>
          <t>Conforms</t>
        </is>
      </c>
      <c r="W104" s="243" t="inlineStr">
        <is>
          <t>197-4-K-26, (07.08.2026) [FHM-K]</t>
        </is>
      </c>
      <c r="X104" s="243" t="inlineStr">
        <is>
          <t>197-4-K-26, (07.08.2026) [FHM-K]</t>
        </is>
      </c>
      <c r="Y104" s="243" t="inlineStr">
        <is>
          <t>197-4-M-26, (10.08.2026) [FHM-M]</t>
        </is>
      </c>
      <c r="Z104" s="243" t="inlineStr">
        <is>
          <t>#8, #9, #11, #12 from the initial testing</t>
        </is>
      </c>
      <c r="AA104" s="243" t="inlineStr">
        <is>
          <t>P050212|R2</t>
        </is>
      </c>
      <c r="AB104" s="250" t="inlineStr">
        <is>
          <t>registered — retest 2 · Tranche 1 (sampled 21–24.07.2026), tested 21.07.2026, issued 27.07.2026</t>
        </is>
      </c>
    </row>
    <row r="105">
      <c r="A105" s="243" t="n">
        <v>104</v>
      </c>
      <c r="B105" s="244" t="inlineStr">
        <is>
          <t>iCoA-PP_26-104</t>
        </is>
      </c>
      <c r="C105" s="249" t="inlineStr">
        <is>
          <t>yes</t>
        </is>
      </c>
      <c r="D105" s="245" t="n">
        <v>46230</v>
      </c>
      <c r="E105" s="245" t="n">
        <v>46224</v>
      </c>
      <c r="F105" s="245">
        <f>IFERROR(INDEX('Batch Dates'!$G:$G,MATCH(J105,'Batch Dates'!$C:$C,0)),IFERROR(INDEX('Batch Dates'!$G:$G,MATCH(I105,'Batch Dates'!$B:$B,0)),""))</f>
        <v/>
      </c>
      <c r="G105" s="243" t="inlineStr">
        <is>
          <t>legacy</t>
        </is>
      </c>
      <c r="H105" s="243" t="inlineStr">
        <is>
          <t>retest 1</t>
        </is>
      </c>
      <c r="I105" s="244" t="inlineStr">
        <is>
          <t>CJ082501/2</t>
        </is>
      </c>
      <c r="J105" s="243" t="inlineStr">
        <is>
          <t>P060032</t>
        </is>
      </c>
      <c r="K105" s="243" t="inlineStr">
        <is>
          <t>Cap Junky</t>
        </is>
      </c>
      <c r="L105" s="243" t="inlineStr">
        <is>
          <t>Ident A + Ident B + Foreign matter</t>
        </is>
      </c>
      <c r="M105" s="248" t="inlineStr">
        <is>
          <t>—</t>
        </is>
      </c>
      <c r="N105" s="243">
        <f>IFERROR(INDEX('CoQ Register'!$B:$B,MATCH("P060032|R",'CoQ Register'!$S:$S,0)),"—")</f>
        <v/>
      </c>
      <c r="O105" s="248" t="inlineStr">
        <is>
          <t>—</t>
        </is>
      </c>
      <c r="P105" s="243" t="inlineStr">
        <is>
          <t>29.01.2027</t>
        </is>
      </c>
      <c r="Q105" s="243" t="inlineStr">
        <is>
          <t>10.12.2025</t>
        </is>
      </c>
      <c r="R105" s="243" t="inlineStr">
        <is>
          <t>29.01.2026</t>
        </is>
      </c>
      <c r="S105" s="245">
        <f>IFERROR(INDEX('CoQ Register'!$D:$D,MATCH("P060032|R",'CoQ Register'!$S:$S,0)),"")</f>
        <v/>
      </c>
      <c r="T105" s="243" t="inlineStr">
        <is>
          <t>Conforms</t>
        </is>
      </c>
      <c r="U105" s="243" t="inlineStr">
        <is>
          <t>Conforms</t>
        </is>
      </c>
      <c r="V105" s="243" t="inlineStr">
        <is>
          <t>Conforms</t>
        </is>
      </c>
      <c r="W105" s="243" t="inlineStr">
        <is>
          <t>197-5-K-26, (07.08.2026) [FHM-K]</t>
        </is>
      </c>
      <c r="X105" s="243" t="inlineStr">
        <is>
          <t>197-5-K-26, (07.08.2026) [FHM-K]</t>
        </is>
      </c>
      <c r="Y105" s="243" t="inlineStr">
        <is>
          <t>197-5-M-26, (10.08.2026) [FHM-M]</t>
        </is>
      </c>
      <c r="Z105" s="243" t="inlineStr">
        <is>
          <t>#8, #9, #11, #12 from the initial testing</t>
        </is>
      </c>
      <c r="AA105" s="243" t="inlineStr">
        <is>
          <t>P060032|R</t>
        </is>
      </c>
      <c r="AB105" s="250" t="inlineStr">
        <is>
          <t>registered — retest 1 · Tranche 1 (sampled 21–24.07.2026), tested 21.07.2026, issued 27.07.2026</t>
        </is>
      </c>
    </row>
    <row r="106">
      <c r="A106" s="243" t="n">
        <v>105</v>
      </c>
      <c r="B106" s="244" t="inlineStr">
        <is>
          <t>iCoA-PP_26-105</t>
        </is>
      </c>
      <c r="C106" s="249" t="inlineStr">
        <is>
          <t>yes</t>
        </is>
      </c>
      <c r="D106" s="245" t="n">
        <v>46230</v>
      </c>
      <c r="E106" s="245" t="n">
        <v>46224</v>
      </c>
      <c r="F106" s="245">
        <f>IFERROR(INDEX('Batch Dates'!$G:$G,MATCH(J106,'Batch Dates'!$C:$C,0)),IFERROR(INDEX('Batch Dates'!$G:$G,MATCH(I106,'Batch Dates'!$B:$B,0)),""))</f>
        <v/>
      </c>
      <c r="G106" s="243" t="inlineStr">
        <is>
          <t>post-SOP</t>
        </is>
      </c>
      <c r="H106" s="243" t="inlineStr">
        <is>
          <t>retest 1</t>
        </is>
      </c>
      <c r="I106" s="244" t="inlineStr">
        <is>
          <t>CC012601/1</t>
        </is>
      </c>
      <c r="J106" s="243" t="inlineStr">
        <is>
          <t>P060332</t>
        </is>
      </c>
      <c r="K106" s="243" t="inlineStr">
        <is>
          <t>Cash Cow</t>
        </is>
      </c>
      <c r="L106" s="243" t="inlineStr">
        <is>
          <t>Ident A + Ident B + Foreign matter</t>
        </is>
      </c>
      <c r="M106" s="248" t="inlineStr">
        <is>
          <t>—</t>
        </is>
      </c>
      <c r="N106" s="243">
        <f>IFERROR(INDEX('CoQ Register'!$B:$B,MATCH("P060332|R",'CoQ Register'!$S:$S,0)),"—")</f>
        <v/>
      </c>
      <c r="O106" s="248" t="inlineStr">
        <is>
          <t>—</t>
        </is>
      </c>
      <c r="P106" s="243" t="inlineStr">
        <is>
          <t>10.08.2027</t>
        </is>
      </c>
      <c r="Q106" s="243" t="inlineStr">
        <is>
          <t>16.04.2026</t>
        </is>
      </c>
      <c r="R106" s="243" t="inlineStr">
        <is>
          <t>22.05.2026 (the issuance plan's basis: 10.08.2026)</t>
        </is>
      </c>
      <c r="S106" s="245">
        <f>IFERROR(INDEX('CoQ Register'!$D:$D,MATCH("P060332|R",'CoQ Register'!$S:$S,0)),"")</f>
        <v/>
      </c>
      <c r="T106" s="243" t="inlineStr">
        <is>
          <t>Conforms</t>
        </is>
      </c>
      <c r="U106" s="243" t="inlineStr">
        <is>
          <t>Conforms</t>
        </is>
      </c>
      <c r="V106" s="243" t="inlineStr">
        <is>
          <t>Conforms</t>
        </is>
      </c>
      <c r="W106" s="243" t="inlineStr">
        <is>
          <t>197-6-K-26, (07.08.2026) [FHM-K]</t>
        </is>
      </c>
      <c r="X106" s="243" t="inlineStr">
        <is>
          <t>197-6-K-26, (07.08.2026) [FHM-K]</t>
        </is>
      </c>
      <c r="Y106" s="243" t="inlineStr">
        <is>
          <t>197-6-M-26, (10.08.2026) [FHM-M]</t>
        </is>
      </c>
      <c r="Z106" s="243" t="inlineStr">
        <is>
          <t>#8, #9, #11, #12 from the initial testing</t>
        </is>
      </c>
      <c r="AA106" s="243" t="inlineStr">
        <is>
          <t>P060332|R</t>
        </is>
      </c>
      <c r="AB106" s="250" t="inlineStr">
        <is>
          <t>registered — retest 1 · Tranche 1 (sampled 21–24.07.2026), tested 21.07.2026, issued 27.07.2026</t>
        </is>
      </c>
    </row>
    <row r="107">
      <c r="A107" s="243" t="n">
        <v>106</v>
      </c>
      <c r="B107" s="244" t="inlineStr">
        <is>
          <t>iCoA-PP_26-106</t>
        </is>
      </c>
      <c r="C107" s="249" t="inlineStr">
        <is>
          <t>yes</t>
        </is>
      </c>
      <c r="D107" s="245" t="n">
        <v>46230</v>
      </c>
      <c r="E107" s="245" t="n">
        <v>46225</v>
      </c>
      <c r="F107" s="245">
        <f>IFERROR(INDEX('Batch Dates'!$G:$G,MATCH(J107,'Batch Dates'!$C:$C,0)),IFERROR(INDEX('Batch Dates'!$G:$G,MATCH(I107,'Batch Dates'!$B:$B,0)),""))</f>
        <v/>
      </c>
      <c r="G107" s="243" t="inlineStr">
        <is>
          <t>legacy</t>
        </is>
      </c>
      <c r="H107" s="243" t="inlineStr">
        <is>
          <t>retest 1</t>
        </is>
      </c>
      <c r="I107" s="244" t="inlineStr">
        <is>
          <t>GG1024_01</t>
        </is>
      </c>
      <c r="J107" s="243" t="inlineStr">
        <is>
          <t>P050092</t>
        </is>
      </c>
      <c r="K107" s="243" t="inlineStr">
        <is>
          <t>Gorilla Glue</t>
        </is>
      </c>
      <c r="L107" s="243" t="inlineStr">
        <is>
          <t>Ident A + Ident B + Foreign matter</t>
        </is>
      </c>
      <c r="M107" s="248" t="inlineStr">
        <is>
          <t>—</t>
        </is>
      </c>
      <c r="N107" s="243">
        <f>IFERROR(INDEX('CoQ Register'!$B:$B,MATCH("P050092|R",'CoQ Register'!$S:$S,0)),"—")</f>
        <v/>
      </c>
      <c r="O107" s="248" t="inlineStr">
        <is>
          <t>—</t>
        </is>
      </c>
      <c r="P107" s="243" t="inlineStr">
        <is>
          <t>31.07.2026</t>
        </is>
      </c>
      <c r="Q107" s="243" t="inlineStr">
        <is>
          <t>17.03.2025 – 18.03.2025</t>
        </is>
      </c>
      <c r="R107" s="243" t="inlineStr">
        <is>
          <t>31.07.2025 – 05.08.2025</t>
        </is>
      </c>
      <c r="S107" s="245">
        <f>IFERROR(INDEX('CoQ Register'!$D:$D,MATCH("P050092|R",'CoQ Register'!$S:$S,0)),"")</f>
        <v/>
      </c>
      <c r="T107" s="243" t="inlineStr">
        <is>
          <t>Conforms</t>
        </is>
      </c>
      <c r="U107" s="243" t="inlineStr">
        <is>
          <t>Conforms</t>
        </is>
      </c>
      <c r="V107" s="243" t="inlineStr">
        <is>
          <t>Conforms</t>
        </is>
      </c>
      <c r="W107" s="243" t="inlineStr">
        <is>
          <t>197-9-K-26, (07.08.2026) [FHM-K]</t>
        </is>
      </c>
      <c r="X107" s="243" t="inlineStr">
        <is>
          <t>197-9-K-26, (07.08.2026) [FHM-K]</t>
        </is>
      </c>
      <c r="Y107" s="243" t="inlineStr">
        <is>
          <t>197-9-M-26, (10.08.2026) [FHM-M]</t>
        </is>
      </c>
      <c r="Z107" s="243" t="inlineStr">
        <is>
          <t>#8, #9, #11, #12 from the initial testing</t>
        </is>
      </c>
      <c r="AA107" s="243" t="inlineStr">
        <is>
          <t>P050092|R</t>
        </is>
      </c>
      <c r="AB107" s="250" t="inlineStr">
        <is>
          <t>registered — retest 1 · Tranche 1 (sampled 21–24.07.2026), tested 22.07.2026, issued 27.07.2026</t>
        </is>
      </c>
    </row>
    <row r="108">
      <c r="A108" s="243" t="n">
        <v>107</v>
      </c>
      <c r="B108" s="244" t="inlineStr">
        <is>
          <t>iCoA-PP_26-107</t>
        </is>
      </c>
      <c r="C108" s="249" t="inlineStr">
        <is>
          <t>yes</t>
        </is>
      </c>
      <c r="D108" s="245" t="n">
        <v>46230</v>
      </c>
      <c r="E108" s="245" t="n">
        <v>46225</v>
      </c>
      <c r="F108" s="245">
        <f>IFERROR(INDEX('Batch Dates'!$G:$G,MATCH(J108,'Batch Dates'!$C:$C,0)),IFERROR(INDEX('Batch Dates'!$G:$G,MATCH(I108,'Batch Dates'!$B:$B,0)),""))</f>
        <v/>
      </c>
      <c r="G108" s="243" t="inlineStr">
        <is>
          <t>legacy</t>
        </is>
      </c>
      <c r="H108" s="243" t="inlineStr">
        <is>
          <t>retest 1</t>
        </is>
      </c>
      <c r="I108" s="244" t="inlineStr">
        <is>
          <t>GP052501</t>
        </is>
      </c>
      <c r="J108" s="243" t="inlineStr">
        <is>
          <t>P050152</t>
        </is>
      </c>
      <c r="K108" s="243" t="inlineStr">
        <is>
          <t>Grape Pie</t>
        </is>
      </c>
      <c r="L108" s="243" t="inlineStr">
        <is>
          <t>Ident A + Ident B + Foreign matter</t>
        </is>
      </c>
      <c r="M108" s="248" t="inlineStr">
        <is>
          <t>—</t>
        </is>
      </c>
      <c r="N108" s="243">
        <f>IFERROR(INDEX('CoQ Register'!$B:$B,MATCH("P050152|R",'CoQ Register'!$S:$S,0)),"—")</f>
        <v/>
      </c>
      <c r="O108" s="248" t="inlineStr">
        <is>
          <t>—</t>
        </is>
      </c>
      <c r="P108" s="243" t="inlineStr">
        <is>
          <t>25.09.2026</t>
        </is>
      </c>
      <c r="Q108" s="243" t="inlineStr">
        <is>
          <t>— not given —</t>
        </is>
      </c>
      <c r="R108" s="243" t="inlineStr">
        <is>
          <t>25.09.2025</t>
        </is>
      </c>
      <c r="S108" s="245">
        <f>IFERROR(INDEX('CoQ Register'!$D:$D,MATCH("P050152|R",'CoQ Register'!$S:$S,0)),"")</f>
        <v/>
      </c>
      <c r="T108" s="243" t="inlineStr">
        <is>
          <t>Conforms</t>
        </is>
      </c>
      <c r="U108" s="243" t="inlineStr">
        <is>
          <t>Conforms</t>
        </is>
      </c>
      <c r="V108" s="243" t="inlineStr">
        <is>
          <t>Conforms</t>
        </is>
      </c>
      <c r="W108" s="243" t="inlineStr">
        <is>
          <t>197-10-K-26, (07.08.2026) [FHM-K]</t>
        </is>
      </c>
      <c r="X108" s="243" t="inlineStr">
        <is>
          <t>197-10-K-26, (07.08.2026) [FHM-K]</t>
        </is>
      </c>
      <c r="Y108" s="243" t="inlineStr">
        <is>
          <t>197-10-M-26, (10.08.2026) [FHM-M]</t>
        </is>
      </c>
      <c r="Z108" s="243" t="inlineStr">
        <is>
          <t>#8, #9, #11, #12 from the initial testing</t>
        </is>
      </c>
      <c r="AA108" s="243" t="inlineStr">
        <is>
          <t>P050152|R</t>
        </is>
      </c>
      <c r="AB108" s="250" t="inlineStr">
        <is>
          <t>registered — retest 1 · Tranche 1 (sampled 21–24.07.2026), tested 22.07.2026, issued 27.07.2026</t>
        </is>
      </c>
    </row>
    <row r="109">
      <c r="A109" s="243" t="n">
        <v>108</v>
      </c>
      <c r="B109" s="244" t="inlineStr">
        <is>
          <t>iCoA-PP_26-108</t>
        </is>
      </c>
      <c r="C109" s="249" t="inlineStr">
        <is>
          <t>yes</t>
        </is>
      </c>
      <c r="D109" s="245" t="n">
        <v>46230</v>
      </c>
      <c r="E109" s="245" t="n">
        <v>46225</v>
      </c>
      <c r="F109" s="245">
        <f>IFERROR(INDEX('Batch Dates'!$G:$G,MATCH(J109,'Batch Dates'!$C:$C,0)),IFERROR(INDEX('Batch Dates'!$G:$G,MATCH(I109,'Batch Dates'!$B:$B,0)),""))</f>
        <v/>
      </c>
      <c r="G109" s="243" t="inlineStr">
        <is>
          <t>legacy</t>
        </is>
      </c>
      <c r="H109" s="243" t="inlineStr">
        <is>
          <t>retest 5</t>
        </is>
      </c>
      <c r="I109" s="244" t="inlineStr">
        <is>
          <t>GP0824_02</t>
        </is>
      </c>
      <c r="J109" s="243" t="inlineStr">
        <is>
          <t>P050022</t>
        </is>
      </c>
      <c r="K109" s="243" t="inlineStr">
        <is>
          <t>Grape Pie</t>
        </is>
      </c>
      <c r="L109" s="243" t="inlineStr">
        <is>
          <t>Ident A + Ident B + Foreign matter</t>
        </is>
      </c>
      <c r="M109" s="248" t="inlineStr">
        <is>
          <t>—</t>
        </is>
      </c>
      <c r="N109" s="243">
        <f>IFERROR(INDEX('CoQ Register'!$B:$B,MATCH("P050022|R5",'CoQ Register'!$S:$S,0)),"—")</f>
        <v/>
      </c>
      <c r="O109" s="248" t="inlineStr">
        <is>
          <t>—</t>
        </is>
      </c>
      <c r="P109" s="243" t="inlineStr">
        <is>
          <t>03.06.2026</t>
        </is>
      </c>
      <c r="Q109" s="243" t="inlineStr">
        <is>
          <t>22.04.2025 – 23.04.2025</t>
        </is>
      </c>
      <c r="R109" s="243" t="inlineStr">
        <is>
          <t>03.06.2025 – 11.06.2025</t>
        </is>
      </c>
      <c r="S109" s="245">
        <f>IFERROR(INDEX('CoQ Register'!$D:$D,MATCH("P050022|R5",'CoQ Register'!$S:$S,0)),"")</f>
        <v/>
      </c>
      <c r="T109" s="243" t="inlineStr">
        <is>
          <t>Conforms</t>
        </is>
      </c>
      <c r="U109" s="243" t="inlineStr">
        <is>
          <t>Conforms</t>
        </is>
      </c>
      <c r="V109" s="243" t="inlineStr">
        <is>
          <t>Conforms</t>
        </is>
      </c>
      <c r="W109" s="243" t="inlineStr">
        <is>
          <t>197-11-K-26, (07.08.2026) [FHM-K]</t>
        </is>
      </c>
      <c r="X109" s="243" t="inlineStr">
        <is>
          <t>197-11-K-26, (07.08.2026) [FHM-K]</t>
        </is>
      </c>
      <c r="Y109" s="243" t="inlineStr">
        <is>
          <t>197-11-M-26, (10.08.2026) [FHM-M]</t>
        </is>
      </c>
      <c r="Z109" s="243" t="inlineStr">
        <is>
          <t>#8, #9, #11, #12 from the initial testing</t>
        </is>
      </c>
      <c r="AA109" s="243" t="inlineStr">
        <is>
          <t>P050022|R5</t>
        </is>
      </c>
      <c r="AB109" s="250" t="inlineStr">
        <is>
          <t>registered — retest 5 · Tranche 1 (sampled 21–24.07.2026), tested 22.07.2026, issued 27.07.2026</t>
        </is>
      </c>
    </row>
    <row r="110">
      <c r="A110" s="243" t="n">
        <v>109</v>
      </c>
      <c r="B110" s="244" t="inlineStr">
        <is>
          <t>iCoA-PP_26-109</t>
        </is>
      </c>
      <c r="C110" s="249" t="inlineStr">
        <is>
          <t>yes</t>
        </is>
      </c>
      <c r="D110" s="245" t="n">
        <v>46230</v>
      </c>
      <c r="E110" s="245" t="n">
        <v>46225</v>
      </c>
      <c r="F110" s="245">
        <f>IFERROR(INDEX('Batch Dates'!$G:$G,MATCH(J110,'Batch Dates'!$C:$C,0)),IFERROR(INDEX('Batch Dates'!$G:$G,MATCH(I110,'Batch Dates'!$B:$B,0)),""))</f>
        <v/>
      </c>
      <c r="G110" s="243" t="inlineStr">
        <is>
          <t>post-SOP</t>
        </is>
      </c>
      <c r="H110" s="243" t="inlineStr">
        <is>
          <t>retest 1</t>
        </is>
      </c>
      <c r="I110" s="244" t="inlineStr">
        <is>
          <t>FB012602*</t>
        </is>
      </c>
      <c r="J110" s="243" t="inlineStr">
        <is>
          <t>P060352</t>
        </is>
      </c>
      <c r="K110" s="243" t="inlineStr">
        <is>
          <t>Fat Bastard</t>
        </is>
      </c>
      <c r="L110" s="243" t="inlineStr">
        <is>
          <t>Ident A + Ident B + Foreign matter</t>
        </is>
      </c>
      <c r="M110" s="248" t="inlineStr">
        <is>
          <t>—</t>
        </is>
      </c>
      <c r="N110" s="243">
        <f>IFERROR(INDEX('CoQ Register'!$B:$B,MATCH("P060352|R",'CoQ Register'!$S:$S,0)),"—")</f>
        <v/>
      </c>
      <c r="O110" s="248" t="inlineStr">
        <is>
          <t>—</t>
        </is>
      </c>
      <c r="P110" s="243" t="inlineStr">
        <is>
          <t>23.05.2027</t>
        </is>
      </c>
      <c r="Q110" s="243" t="inlineStr">
        <is>
          <t>16.04.2026</t>
        </is>
      </c>
      <c r="R110" s="243" t="inlineStr">
        <is>
          <t>23.05.2026</t>
        </is>
      </c>
      <c r="S110" s="245">
        <f>IFERROR(INDEX('CoQ Register'!$D:$D,MATCH("P060352|R",'CoQ Register'!$S:$S,0)),"")</f>
        <v/>
      </c>
      <c r="T110" s="243" t="inlineStr">
        <is>
          <t>Conforms</t>
        </is>
      </c>
      <c r="U110" s="243" t="inlineStr">
        <is>
          <t>Conforms</t>
        </is>
      </c>
      <c r="V110" s="243" t="inlineStr">
        <is>
          <t>Conforms</t>
        </is>
      </c>
      <c r="W110" s="243" t="inlineStr">
        <is>
          <t>197-7-K-26, (07.08.2026) [FHM-K]</t>
        </is>
      </c>
      <c r="X110" s="243" t="inlineStr">
        <is>
          <t>197-7-K-26, (07.08.2026) [FHM-K]</t>
        </is>
      </c>
      <c r="Y110" s="243" t="inlineStr">
        <is>
          <t>197-7-M-26, (10.08.2026) [FHM-M]</t>
        </is>
      </c>
      <c r="Z110" s="243" t="inlineStr">
        <is>
          <t>#8, #9, #11, #12 from the initial testing</t>
        </is>
      </c>
      <c r="AA110" s="243" t="inlineStr">
        <is>
          <t>P060352|R</t>
        </is>
      </c>
      <c r="AB110" s="250" t="inlineStr">
        <is>
          <t>registered — retest 1 · Tranche 1 (sampled 21–24.07.2026), tested 22.07.2026, issued 27.07.2026</t>
        </is>
      </c>
    </row>
    <row r="111">
      <c r="A111" s="243" t="n">
        <v>110</v>
      </c>
      <c r="B111" s="244" t="inlineStr">
        <is>
          <t>iCoA-PP_26-110</t>
        </is>
      </c>
      <c r="C111" s="249" t="inlineStr">
        <is>
          <t>yes</t>
        </is>
      </c>
      <c r="D111" s="245" t="n">
        <v>46230</v>
      </c>
      <c r="E111" s="245" t="n">
        <v>46225</v>
      </c>
      <c r="F111" s="245">
        <f>IFERROR(INDEX('Batch Dates'!$G:$G,MATCH(J111,'Batch Dates'!$C:$C,0)),IFERROR(INDEX('Batch Dates'!$G:$G,MATCH(I111,'Batch Dates'!$B:$B,0)),""))</f>
        <v/>
      </c>
      <c r="G111" s="243" t="inlineStr">
        <is>
          <t>post-SOP</t>
        </is>
      </c>
      <c r="H111" s="243" t="inlineStr">
        <is>
          <t>retest 1</t>
        </is>
      </c>
      <c r="I111" s="244" t="inlineStr">
        <is>
          <t>GG012603</t>
        </is>
      </c>
      <c r="J111" s="243" t="inlineStr">
        <is>
          <t>P060402</t>
        </is>
      </c>
      <c r="K111" s="243" t="inlineStr">
        <is>
          <t>Gorilla Glue</t>
        </is>
      </c>
      <c r="L111" s="243" t="inlineStr">
        <is>
          <t>Ident A + Ident B + Foreign matter</t>
        </is>
      </c>
      <c r="M111" s="248" t="inlineStr">
        <is>
          <t>—</t>
        </is>
      </c>
      <c r="N111" s="243">
        <f>IFERROR(INDEX('CoQ Register'!$B:$B,MATCH("P060402|R",'CoQ Register'!$S:$S,0)),"—")</f>
        <v/>
      </c>
      <c r="O111" s="248" t="inlineStr">
        <is>
          <t>—</t>
        </is>
      </c>
      <c r="P111" s="243" t="inlineStr">
        <is>
          <t>24.05.2027</t>
        </is>
      </c>
      <c r="Q111" s="243" t="inlineStr">
        <is>
          <t>04.05.2026</t>
        </is>
      </c>
      <c r="R111" s="243" t="inlineStr">
        <is>
          <t>24.05.2026</t>
        </is>
      </c>
      <c r="S111" s="245">
        <f>IFERROR(INDEX('CoQ Register'!$D:$D,MATCH("P060402|R",'CoQ Register'!$S:$S,0)),"")</f>
        <v/>
      </c>
      <c r="T111" s="243" t="inlineStr">
        <is>
          <t>CNP ППК26114</t>
        </is>
      </c>
      <c r="U111" s="243" t="inlineStr">
        <is>
          <t>CNP ППК26114</t>
        </is>
      </c>
      <c r="V111" s="243" t="inlineStr">
        <is>
          <t>Conforms</t>
        </is>
      </c>
      <c r="W111" s="243" t="inlineStr">
        <is>
          <t>197-8-K-26, (07.08.2026) [FHM-K]</t>
        </is>
      </c>
      <c r="X111" s="243" t="inlineStr">
        <is>
          <t>197-8-K-26, (07.08.2026) [FHM-K]</t>
        </is>
      </c>
      <c r="Y111" s="243" t="inlineStr">
        <is>
          <t>197-8-M-26, (10.08.2026) [FHM-M]</t>
        </is>
      </c>
      <c r="Z111" s="243" t="inlineStr">
        <is>
          <t>#8, #9, #11, #12 from the initial testing</t>
        </is>
      </c>
      <c r="AA111" s="243" t="inlineStr">
        <is>
          <t>P060402|R</t>
        </is>
      </c>
      <c r="AB111" s="250" t="inlineStr">
        <is>
          <t>registered — retest 1 · Tranche 1 (sampled 21–24.07.2026), tested 22.07.2026, issued 27.07.2026</t>
        </is>
      </c>
    </row>
    <row r="112">
      <c r="A112" s="243" t="n">
        <v>111</v>
      </c>
      <c r="B112" s="244" t="inlineStr">
        <is>
          <t>iCoA-PP_26-111</t>
        </is>
      </c>
      <c r="C112" s="249" t="inlineStr">
        <is>
          <t>yes</t>
        </is>
      </c>
      <c r="D112" s="245" t="n">
        <v>46230</v>
      </c>
      <c r="E112" s="245" t="n">
        <v>46226</v>
      </c>
      <c r="F112" s="245">
        <f>IFERROR(INDEX('Batch Dates'!$G:$G,MATCH(J112,'Batch Dates'!$C:$C,0)),IFERROR(INDEX('Batch Dates'!$G:$G,MATCH(I112,'Batch Dates'!$B:$B,0)),""))</f>
        <v/>
      </c>
      <c r="G112" s="243" t="inlineStr">
        <is>
          <t>legacy</t>
        </is>
      </c>
      <c r="H112" s="243" t="inlineStr">
        <is>
          <t>retest 1</t>
        </is>
      </c>
      <c r="I112" s="244" t="inlineStr">
        <is>
          <t>GP082501/2</t>
        </is>
      </c>
      <c r="J112" s="243" t="inlineStr">
        <is>
          <t>P050322</t>
        </is>
      </c>
      <c r="K112" s="243" t="inlineStr">
        <is>
          <t>Grape Pie</t>
        </is>
      </c>
      <c r="L112" s="243" t="inlineStr">
        <is>
          <t>Ident A + Ident B + Foreign matter</t>
        </is>
      </c>
      <c r="M112" s="248" t="inlineStr">
        <is>
          <t>—</t>
        </is>
      </c>
      <c r="N112" s="243">
        <f>IFERROR(INDEX('CoQ Register'!$B:$B,MATCH("P050322|R",'CoQ Register'!$S:$S,0)),"—")</f>
        <v/>
      </c>
      <c r="O112" s="248" t="inlineStr">
        <is>
          <t>—</t>
        </is>
      </c>
      <c r="P112" s="243" t="inlineStr">
        <is>
          <t>26.12.2026</t>
        </is>
      </c>
      <c r="Q112" s="243" t="inlineStr">
        <is>
          <t>20.11.2025</t>
        </is>
      </c>
      <c r="R112" s="243" t="inlineStr">
        <is>
          <t>26.12.2025</t>
        </is>
      </c>
      <c r="S112" s="245">
        <f>IFERROR(INDEX('CoQ Register'!$D:$D,MATCH("P050322|R",'CoQ Register'!$S:$S,0)),"")</f>
        <v/>
      </c>
      <c r="T112" s="243" t="inlineStr">
        <is>
          <t>Conforms</t>
        </is>
      </c>
      <c r="U112" s="243" t="inlineStr">
        <is>
          <t>Conforms</t>
        </is>
      </c>
      <c r="V112" s="243" t="inlineStr">
        <is>
          <t>Conforms</t>
        </is>
      </c>
      <c r="W112" s="243" t="inlineStr">
        <is>
          <t>197-12-K-26, (07.08.2026) [FHM-K]</t>
        </is>
      </c>
      <c r="X112" s="243" t="inlineStr">
        <is>
          <t>197-12-K-26, (07.08.2026) [FHM-K]</t>
        </is>
      </c>
      <c r="Y112" s="243" t="inlineStr">
        <is>
          <t>197-12-M-26, (10.08.2026) [FHM-M]</t>
        </is>
      </c>
      <c r="Z112" s="243" t="inlineStr">
        <is>
          <t>#8, #9, #11, #12 from the initial testing</t>
        </is>
      </c>
      <c r="AA112" s="243" t="inlineStr">
        <is>
          <t>P050322|R</t>
        </is>
      </c>
      <c r="AB112" s="250" t="inlineStr">
        <is>
          <t>registered — retest 1 · Tranche 1 (sampled 21–24.07.2026), tested 23.07.2026, issued 27.07.2026</t>
        </is>
      </c>
    </row>
    <row r="113">
      <c r="A113" s="243" t="n">
        <v>112</v>
      </c>
      <c r="B113" s="244" t="inlineStr">
        <is>
          <t>iCoA-PP_26-112</t>
        </is>
      </c>
      <c r="C113" s="249" t="inlineStr">
        <is>
          <t>yes</t>
        </is>
      </c>
      <c r="D113" s="245" t="n">
        <v>46230</v>
      </c>
      <c r="E113" s="245" t="n">
        <v>46226</v>
      </c>
      <c r="F113" s="245">
        <f>IFERROR(INDEX('Batch Dates'!$G:$G,MATCH(J113,'Batch Dates'!$C:$C,0)),IFERROR(INDEX('Batch Dates'!$G:$G,MATCH(I113,'Batch Dates'!$B:$B,0)),""))</f>
        <v/>
      </c>
      <c r="G113" s="243" t="inlineStr">
        <is>
          <t>legacy</t>
        </is>
      </c>
      <c r="H113" s="243" t="inlineStr">
        <is>
          <t>retest 1</t>
        </is>
      </c>
      <c r="I113" s="244" t="inlineStr">
        <is>
          <t>HPA1024</t>
        </is>
      </c>
      <c r="J113" s="243" t="inlineStr">
        <is>
          <t>N/A — no P batch assigned</t>
        </is>
      </c>
      <c r="K113" s="243" t="inlineStr">
        <is>
          <t>High Pro Amnesia</t>
        </is>
      </c>
      <c r="L113" s="243" t="inlineStr">
        <is>
          <t>Ident A + Ident B + Foreign matter</t>
        </is>
      </c>
      <c r="M113" s="248" t="inlineStr">
        <is>
          <t>—</t>
        </is>
      </c>
      <c r="N113" s="243">
        <f>IFERROR(INDEX('CoQ Register'!$B:$B,MATCH("HPA1024|R",'CoQ Register'!$S:$S,0)),"—")</f>
        <v/>
      </c>
      <c r="O113" s="248" t="inlineStr">
        <is>
          <t>—</t>
        </is>
      </c>
      <c r="P113" s="243" t="inlineStr">
        <is>
          <t>11.04.2026</t>
        </is>
      </c>
      <c r="Q113" s="243" t="inlineStr">
        <is>
          <t>22.01.2025</t>
        </is>
      </c>
      <c r="R113" s="243" t="inlineStr">
        <is>
          <t>11.04.2025</t>
        </is>
      </c>
      <c r="S113" s="245">
        <f>IFERROR(INDEX('CoQ Register'!$D:$D,MATCH("HPA1024|R",'CoQ Register'!$S:$S,0)),"")</f>
        <v/>
      </c>
      <c r="T113" s="243" t="inlineStr">
        <is>
          <t>Conforms</t>
        </is>
      </c>
      <c r="U113" s="243" t="inlineStr">
        <is>
          <t>Conforms</t>
        </is>
      </c>
      <c r="V113" s="243" t="inlineStr">
        <is>
          <t>Conforms</t>
        </is>
      </c>
      <c r="W113" s="243" t="inlineStr">
        <is>
          <t>197-13-K-26, (07.08.2026) [FHM-K]</t>
        </is>
      </c>
      <c r="X113" s="243" t="inlineStr">
        <is>
          <t>197-13-K-26, (07.08.2026) [FHM-K]</t>
        </is>
      </c>
      <c r="Y113" s="243" t="inlineStr">
        <is>
          <t>197-13-M-26, (10.08.2026) [FHM-M]</t>
        </is>
      </c>
      <c r="Z113" s="243" t="inlineStr">
        <is>
          <t>#8, #9, #11, #12 from the initial testing</t>
        </is>
      </c>
      <c r="AA113" s="243" t="inlineStr">
        <is>
          <t>HPA1024|R</t>
        </is>
      </c>
      <c r="AB113" s="250" t="inlineStr">
        <is>
          <t>registered — retest 1 · Tranche 1 (sampled 21–24.07.2026), tested 23.07.2026, issued 27.07.2026</t>
        </is>
      </c>
    </row>
    <row r="114">
      <c r="A114" s="243" t="n">
        <v>113</v>
      </c>
      <c r="B114" s="244" t="inlineStr">
        <is>
          <t>iCoA-PP_26-113</t>
        </is>
      </c>
      <c r="C114" s="249" t="inlineStr">
        <is>
          <t>yes</t>
        </is>
      </c>
      <c r="D114" s="245" t="n">
        <v>46230</v>
      </c>
      <c r="E114" s="245" t="n">
        <v>46226</v>
      </c>
      <c r="F114" s="245">
        <f>IFERROR(INDEX('Batch Dates'!$G:$G,MATCH(J114,'Batch Dates'!$C:$C,0)),IFERROR(INDEX('Batch Dates'!$G:$G,MATCH(I114,'Batch Dates'!$B:$B,0)),""))</f>
        <v/>
      </c>
      <c r="G114" s="243" t="inlineStr">
        <is>
          <t>legacy</t>
        </is>
      </c>
      <c r="H114" s="243" t="inlineStr">
        <is>
          <t>retest 1</t>
        </is>
      </c>
      <c r="I114" s="244" t="inlineStr">
        <is>
          <t>HPA1024_01</t>
        </is>
      </c>
      <c r="J114" s="243" t="inlineStr">
        <is>
          <t>P050052</t>
        </is>
      </c>
      <c r="K114" s="243" t="inlineStr">
        <is>
          <t>High Pro Amnesia</t>
        </is>
      </c>
      <c r="L114" s="243" t="inlineStr">
        <is>
          <t>Ident A + Ident B + Foreign matter</t>
        </is>
      </c>
      <c r="M114" s="248" t="inlineStr">
        <is>
          <t>—</t>
        </is>
      </c>
      <c r="N114" s="243">
        <f>IFERROR(INDEX('CoQ Register'!$B:$B,MATCH("P050052|R",'CoQ Register'!$S:$S,0)),"—")</f>
        <v/>
      </c>
      <c r="O114" s="248" t="inlineStr">
        <is>
          <t>—</t>
        </is>
      </c>
      <c r="P114" s="243" t="inlineStr">
        <is>
          <t>27.06.2026</t>
        </is>
      </c>
      <c r="Q114" s="243" t="inlineStr">
        <is>
          <t>27.05.2025 – 28.05.2025</t>
        </is>
      </c>
      <c r="R114" s="243" t="inlineStr">
        <is>
          <t>27.06.2025 – 04.07.2025</t>
        </is>
      </c>
      <c r="S114" s="245">
        <f>IFERROR(INDEX('CoQ Register'!$D:$D,MATCH("P050052|R",'CoQ Register'!$S:$S,0)),"")</f>
        <v/>
      </c>
      <c r="T114" s="243" t="inlineStr">
        <is>
          <t>Conforms</t>
        </is>
      </c>
      <c r="U114" s="243" t="inlineStr">
        <is>
          <t>Conforms</t>
        </is>
      </c>
      <c r="V114" s="243" t="inlineStr">
        <is>
          <t>Conforms</t>
        </is>
      </c>
      <c r="W114" s="243" t="inlineStr">
        <is>
          <t>197-14-K-26, (07.08.2026) [FHM-K]</t>
        </is>
      </c>
      <c r="X114" s="243" t="inlineStr">
        <is>
          <t>197-14-K-26, (07.08.2026) [FHM-K]</t>
        </is>
      </c>
      <c r="Y114" s="243" t="inlineStr">
        <is>
          <t>197-14-M-26, (10.08.2026) [FHM-M]</t>
        </is>
      </c>
      <c r="Z114" s="243" t="inlineStr">
        <is>
          <t>#8, #9, #11, #12 from the initial testing</t>
        </is>
      </c>
      <c r="AA114" s="243" t="inlineStr">
        <is>
          <t>P050052|R</t>
        </is>
      </c>
      <c r="AB114" s="250" t="inlineStr">
        <is>
          <t>registered — retest 1 · Tranche 1 (sampled 21–24.07.2026), tested 23.07.2026, issued 27.07.2026</t>
        </is>
      </c>
    </row>
    <row r="115">
      <c r="A115" s="243" t="n">
        <v>114</v>
      </c>
      <c r="B115" s="244" t="inlineStr">
        <is>
          <t>iCoA-PP_26-114</t>
        </is>
      </c>
      <c r="C115" s="249" t="inlineStr">
        <is>
          <t>yes</t>
        </is>
      </c>
      <c r="D115" s="245" t="n">
        <v>46230</v>
      </c>
      <c r="E115" s="245" t="n">
        <v>46226</v>
      </c>
      <c r="F115" s="245">
        <f>IFERROR(INDEX('Batch Dates'!$G:$G,MATCH(J115,'Batch Dates'!$C:$C,0)),IFERROR(INDEX('Batch Dates'!$G:$G,MATCH(I115,'Batch Dates'!$B:$B,0)),""))</f>
        <v/>
      </c>
      <c r="G115" s="243" t="inlineStr">
        <is>
          <t>legacy</t>
        </is>
      </c>
      <c r="H115" s="243" t="inlineStr">
        <is>
          <t>retest 1</t>
        </is>
      </c>
      <c r="I115" s="244" t="inlineStr">
        <is>
          <t>J31102501</t>
        </is>
      </c>
      <c r="J115" s="243" t="inlineStr">
        <is>
          <t>P060152</t>
        </is>
      </c>
      <c r="K115" s="243" t="inlineStr">
        <is>
          <t>Jokerz 31</t>
        </is>
      </c>
      <c r="L115" s="243" t="inlineStr">
        <is>
          <t>Ident A + Ident B + Foreign matter</t>
        </is>
      </c>
      <c r="M115" s="248" t="inlineStr">
        <is>
          <t>—</t>
        </is>
      </c>
      <c r="N115" s="243">
        <f>IFERROR(INDEX('CoQ Register'!$B:$B,MATCH("P060152|R",'CoQ Register'!$S:$S,0)),"—")</f>
        <v/>
      </c>
      <c r="O115" s="248" t="inlineStr">
        <is>
          <t>—</t>
        </is>
      </c>
      <c r="P115" s="243" t="inlineStr">
        <is>
          <t>05.03.2027</t>
        </is>
      </c>
      <c r="Q115" s="243" t="inlineStr">
        <is>
          <t>21.01.2026</t>
        </is>
      </c>
      <c r="R115" s="243" t="inlineStr">
        <is>
          <t>05.03.2026</t>
        </is>
      </c>
      <c r="S115" s="245">
        <f>IFERROR(INDEX('CoQ Register'!$D:$D,MATCH("P060152|R",'CoQ Register'!$S:$S,0)),"")</f>
        <v/>
      </c>
      <c r="T115" s="243" t="inlineStr">
        <is>
          <t>Conforms</t>
        </is>
      </c>
      <c r="U115" s="243" t="inlineStr">
        <is>
          <t>Conforms</t>
        </is>
      </c>
      <c r="V115" s="243" t="inlineStr">
        <is>
          <t>Conforms</t>
        </is>
      </c>
      <c r="W115" s="243" t="inlineStr">
        <is>
          <t>197-16-K-26, (07.08.2026) [FHM-K]</t>
        </is>
      </c>
      <c r="X115" s="243" t="inlineStr">
        <is>
          <t>197-16-K-26, (07.08.2026) [FHM-K]</t>
        </is>
      </c>
      <c r="Y115" s="243" t="inlineStr">
        <is>
          <t>197-16-M-26, (10.08.2026) [FHM-M]</t>
        </is>
      </c>
      <c r="Z115" s="243" t="inlineStr">
        <is>
          <t>#8, #9, #11, #12 from the initial testing</t>
        </is>
      </c>
      <c r="AA115" s="243" t="inlineStr">
        <is>
          <t>P060152|R</t>
        </is>
      </c>
      <c r="AB115" s="250" t="inlineStr">
        <is>
          <t>registered — retest 1 · Tranche 1 (sampled 21–24.07.2026), tested 23.07.2026, issued 27.07.2026</t>
        </is>
      </c>
    </row>
    <row r="116">
      <c r="A116" s="243" t="n">
        <v>115</v>
      </c>
      <c r="B116" s="244" t="inlineStr">
        <is>
          <t>iCoA-PP_26-115</t>
        </is>
      </c>
      <c r="C116" s="249" t="inlineStr">
        <is>
          <t>yes</t>
        </is>
      </c>
      <c r="D116" s="245" t="n">
        <v>46230</v>
      </c>
      <c r="E116" s="245" t="n">
        <v>46226</v>
      </c>
      <c r="F116" s="245">
        <f>IFERROR(INDEX('Batch Dates'!$G:$G,MATCH(J116,'Batch Dates'!$C:$C,0)),IFERROR(INDEX('Batch Dates'!$G:$G,MATCH(I116,'Batch Dates'!$B:$B,0)),""))</f>
        <v/>
      </c>
      <c r="G116" s="243" t="inlineStr">
        <is>
          <t>legacy</t>
        </is>
      </c>
      <c r="H116" s="243" t="inlineStr">
        <is>
          <t>retest 1</t>
        </is>
      </c>
      <c r="I116" s="244" t="inlineStr">
        <is>
          <t>JD112501</t>
        </is>
      </c>
      <c r="J116" s="243" t="inlineStr">
        <is>
          <t>P060212</t>
        </is>
      </c>
      <c r="K116" s="243" t="inlineStr">
        <is>
          <t>Jelly Donuts</t>
        </is>
      </c>
      <c r="L116" s="243" t="inlineStr">
        <is>
          <t>Ident A + Ident B + Foreign matter</t>
        </is>
      </c>
      <c r="M116" s="248" t="inlineStr">
        <is>
          <t>—</t>
        </is>
      </c>
      <c r="N116" s="243">
        <f>IFERROR(INDEX('CoQ Register'!$B:$B,MATCH("P060212|R",'CoQ Register'!$S:$S,0)),"—")</f>
        <v/>
      </c>
      <c r="O116" s="248" t="inlineStr">
        <is>
          <t>—</t>
        </is>
      </c>
      <c r="P116" s="243" t="inlineStr">
        <is>
          <t>21.04.2027</t>
        </is>
      </c>
      <c r="Q116" s="243" t="inlineStr">
        <is>
          <t>25.03.2026</t>
        </is>
      </c>
      <c r="R116" s="243" t="inlineStr">
        <is>
          <t>21.04.2026</t>
        </is>
      </c>
      <c r="S116" s="245">
        <f>IFERROR(INDEX('CoQ Register'!$D:$D,MATCH("P060212|R",'CoQ Register'!$S:$S,0)),"")</f>
        <v/>
      </c>
      <c r="T116" s="243" t="inlineStr">
        <is>
          <t>Conforms</t>
        </is>
      </c>
      <c r="U116" s="243" t="inlineStr">
        <is>
          <t>Conforms</t>
        </is>
      </c>
      <c r="V116" s="243" t="inlineStr">
        <is>
          <t>Conforms</t>
        </is>
      </c>
      <c r="W116" s="243" t="inlineStr">
        <is>
          <t>197-15-K-26, (07.08.2026) [FHM-K]</t>
        </is>
      </c>
      <c r="X116" s="243" t="inlineStr">
        <is>
          <t>197-15-K-26, (07.08.2026) [FHM-K]</t>
        </is>
      </c>
      <c r="Y116" s="243" t="inlineStr">
        <is>
          <t>197-15-M-26, (10.08.2026) [FHM-M]</t>
        </is>
      </c>
      <c r="Z116" s="243" t="inlineStr">
        <is>
          <t>#8, #9, #11, #12 from the initial testing</t>
        </is>
      </c>
      <c r="AA116" s="243" t="inlineStr">
        <is>
          <t>P060212|R</t>
        </is>
      </c>
      <c r="AB116" s="250" t="inlineStr">
        <is>
          <t>registered — retest 1 · Tranche 1 (sampled 21–24.07.2026), tested 23.07.2026, issued 27.07.2026</t>
        </is>
      </c>
    </row>
    <row r="117">
      <c r="A117" s="243" t="n">
        <v>116</v>
      </c>
      <c r="B117" s="244" t="inlineStr">
        <is>
          <t>iCoA-PP_26-116</t>
        </is>
      </c>
      <c r="C117" s="249" t="inlineStr">
        <is>
          <t>yes</t>
        </is>
      </c>
      <c r="D117" s="245" t="n">
        <v>46230</v>
      </c>
      <c r="E117" s="245" t="n">
        <v>46227</v>
      </c>
      <c r="F117" s="245">
        <f>IFERROR(INDEX('Batch Dates'!$G:$G,MATCH(J117,'Batch Dates'!$C:$C,0)),IFERROR(INDEX('Batch Dates'!$G:$G,MATCH(I117,'Batch Dates'!$B:$B,0)),""))</f>
        <v/>
      </c>
      <c r="G117" s="243" t="inlineStr">
        <is>
          <t>legacy</t>
        </is>
      </c>
      <c r="H117" s="243" t="inlineStr">
        <is>
          <t>retest 1</t>
        </is>
      </c>
      <c r="I117" s="244" t="inlineStr">
        <is>
          <t>OPM1024</t>
        </is>
      </c>
      <c r="J117" s="243" t="inlineStr">
        <is>
          <t>N/A — no P batch assigned</t>
        </is>
      </c>
      <c r="K117" s="243" t="inlineStr">
        <is>
          <t>Orange Punch Mimosa</t>
        </is>
      </c>
      <c r="L117" s="243" t="inlineStr">
        <is>
          <t>Ident A + Ident B + Foreign matter</t>
        </is>
      </c>
      <c r="M117" s="248" t="inlineStr">
        <is>
          <t>—</t>
        </is>
      </c>
      <c r="N117" s="243">
        <f>IFERROR(INDEX('CoQ Register'!$B:$B,MATCH("OPM1024|R",'CoQ Register'!$S:$S,0)),"—")</f>
        <v/>
      </c>
      <c r="O117" s="248" t="inlineStr">
        <is>
          <t>—</t>
        </is>
      </c>
      <c r="P117" s="243" t="inlineStr">
        <is>
          <t>24.04.2026</t>
        </is>
      </c>
      <c r="Q117" s="243" t="inlineStr">
        <is>
          <t>21.01.2025</t>
        </is>
      </c>
      <c r="R117" s="243" t="inlineStr">
        <is>
          <t>24.04.2025 – 25.04.2025</t>
        </is>
      </c>
      <c r="S117" s="245">
        <f>IFERROR(INDEX('CoQ Register'!$D:$D,MATCH("OPM1024|R",'CoQ Register'!$S:$S,0)),"")</f>
        <v/>
      </c>
      <c r="T117" s="243" t="inlineStr">
        <is>
          <t>Conforms</t>
        </is>
      </c>
      <c r="U117" s="243" t="inlineStr">
        <is>
          <t>Conforms</t>
        </is>
      </c>
      <c r="V117" s="243" t="inlineStr">
        <is>
          <t>Conforms</t>
        </is>
      </c>
      <c r="W117" s="243" t="inlineStr">
        <is>
          <t>197-17-K-26, (07.08.2026) [FHM-K]</t>
        </is>
      </c>
      <c r="X117" s="243" t="inlineStr">
        <is>
          <t>197-17-K-26, (07.08.2026) [FHM-K]</t>
        </is>
      </c>
      <c r="Y117" s="243" t="inlineStr">
        <is>
          <t>197-17-M-26, (10.08.2026) [FHM-M]</t>
        </is>
      </c>
      <c r="Z117" s="243" t="inlineStr">
        <is>
          <t>#8, #9, #11, #12 from the initial testing</t>
        </is>
      </c>
      <c r="AA117" s="243" t="inlineStr">
        <is>
          <t>OPM1024|R</t>
        </is>
      </c>
      <c r="AB117" s="250" t="inlineStr">
        <is>
          <t>registered — retest 1 · Tranche 1 (sampled 21–24.07.2026), tested 24.07.2026, issued 27.07.2026</t>
        </is>
      </c>
    </row>
    <row r="118">
      <c r="A118" s="243" t="n">
        <v>117</v>
      </c>
      <c r="B118" s="244" t="inlineStr">
        <is>
          <t>iCoA-PP_26-117</t>
        </is>
      </c>
      <c r="C118" s="249" t="inlineStr">
        <is>
          <t>yes</t>
        </is>
      </c>
      <c r="D118" s="245" t="n">
        <v>46230</v>
      </c>
      <c r="E118" s="245" t="n">
        <v>46227</v>
      </c>
      <c r="F118" s="245">
        <f>IFERROR(INDEX('Batch Dates'!$G:$G,MATCH(J118,'Batch Dates'!$C:$C,0)),IFERROR(INDEX('Batch Dates'!$G:$G,MATCH(I118,'Batch Dates'!$B:$B,0)),""))</f>
        <v/>
      </c>
      <c r="G118" s="243" t="inlineStr">
        <is>
          <t>legacy</t>
        </is>
      </c>
      <c r="H118" s="243" t="inlineStr">
        <is>
          <t>retest 1</t>
        </is>
      </c>
      <c r="I118" s="244" t="inlineStr">
        <is>
          <t>OPM1024_02</t>
        </is>
      </c>
      <c r="J118" s="243" t="inlineStr">
        <is>
          <t>P050062</t>
        </is>
      </c>
      <c r="K118" s="243" t="inlineStr">
        <is>
          <t>Orange Punch Mimosa</t>
        </is>
      </c>
      <c r="L118" s="243" t="inlineStr">
        <is>
          <t>Ident A + Ident B + Foreign matter</t>
        </is>
      </c>
      <c r="M118" s="248" t="inlineStr">
        <is>
          <t>—</t>
        </is>
      </c>
      <c r="N118" s="243">
        <f>IFERROR(INDEX('CoQ Register'!$B:$B,MATCH("P050062|R",'CoQ Register'!$S:$S,0)),"—")</f>
        <v/>
      </c>
      <c r="O118" s="248" t="inlineStr">
        <is>
          <t>—</t>
        </is>
      </c>
      <c r="P118" s="243" t="inlineStr">
        <is>
          <t>04.07.2026</t>
        </is>
      </c>
      <c r="Q118" s="243" t="inlineStr">
        <is>
          <t>29.05.2025 – 30.05.2025</t>
        </is>
      </c>
      <c r="R118" s="243" t="inlineStr">
        <is>
          <t>04.07.2025 – 10.07.2025</t>
        </is>
      </c>
      <c r="S118" s="245">
        <f>IFERROR(INDEX('CoQ Register'!$D:$D,MATCH("P050062|R",'CoQ Register'!$S:$S,0)),"")</f>
        <v/>
      </c>
      <c r="T118" s="243" t="inlineStr">
        <is>
          <t>Conforms</t>
        </is>
      </c>
      <c r="U118" s="243" t="inlineStr">
        <is>
          <t>Conforms</t>
        </is>
      </c>
      <c r="V118" s="243" t="inlineStr">
        <is>
          <t>Conforms</t>
        </is>
      </c>
      <c r="W118" s="243" t="inlineStr">
        <is>
          <t>197-18-K-26, (07.08.2026) [FHM-K]</t>
        </is>
      </c>
      <c r="X118" s="243" t="inlineStr">
        <is>
          <t>197-18-K-26, (07.08.2026) [FHM-K]</t>
        </is>
      </c>
      <c r="Y118" s="243" t="inlineStr">
        <is>
          <t>197-18-M-26, (10.08.2026) [FHM-M]</t>
        </is>
      </c>
      <c r="Z118" s="243" t="inlineStr">
        <is>
          <t>#8, #9, #11, #12 from the initial testing</t>
        </is>
      </c>
      <c r="AA118" s="243" t="inlineStr">
        <is>
          <t>P050062|R</t>
        </is>
      </c>
      <c r="AB118" s="250" t="inlineStr">
        <is>
          <t>registered — retest 1 · Tranche 1 (sampled 21–24.07.2026), tested 24.07.2026, issued 27.07.2026</t>
        </is>
      </c>
    </row>
    <row r="119">
      <c r="A119" s="243" t="n">
        <v>118</v>
      </c>
      <c r="B119" s="244" t="inlineStr">
        <is>
          <t>iCoA-PP_26-118</t>
        </is>
      </c>
      <c r="C119" s="249" t="inlineStr">
        <is>
          <t>yes</t>
        </is>
      </c>
      <c r="D119" s="245" t="n">
        <v>46230</v>
      </c>
      <c r="E119" s="245" t="n">
        <v>46227</v>
      </c>
      <c r="F119" s="245">
        <f>IFERROR(INDEX('Batch Dates'!$G:$G,MATCH(J119,'Batch Dates'!$C:$C,0)),IFERROR(INDEX('Batch Dates'!$G:$G,MATCH(I119,'Batch Dates'!$B:$B,0)),""))</f>
        <v/>
      </c>
      <c r="G119" s="243" t="inlineStr">
        <is>
          <t>legacy</t>
        </is>
      </c>
      <c r="H119" s="243" t="inlineStr">
        <is>
          <t>retest 1</t>
        </is>
      </c>
      <c r="I119" s="244" t="inlineStr">
        <is>
          <t>OPM122501</t>
        </is>
      </c>
      <c r="J119" s="243" t="inlineStr">
        <is>
          <t>P060242</t>
        </is>
      </c>
      <c r="K119" s="243" t="inlineStr">
        <is>
          <t>Orange Punch Mimosa</t>
        </is>
      </c>
      <c r="L119" s="243" t="inlineStr">
        <is>
          <t>Ident A + Ident B + Foreign matter</t>
        </is>
      </c>
      <c r="M119" s="248" t="inlineStr">
        <is>
          <t>—</t>
        </is>
      </c>
      <c r="N119" s="243">
        <f>IFERROR(INDEX('CoQ Register'!$B:$B,MATCH("P060242|R",'CoQ Register'!$S:$S,0)),"—")</f>
        <v/>
      </c>
      <c r="O119" s="248" t="inlineStr">
        <is>
          <t>—</t>
        </is>
      </c>
      <c r="P119" s="243" t="inlineStr">
        <is>
          <t>28.04.2027</t>
        </is>
      </c>
      <c r="Q119" s="243" t="inlineStr">
        <is>
          <t>11.03.2026</t>
        </is>
      </c>
      <c r="R119" s="243" t="inlineStr">
        <is>
          <t>28.04.2026</t>
        </is>
      </c>
      <c r="S119" s="245">
        <f>IFERROR(INDEX('CoQ Register'!$D:$D,MATCH("P060242|R",'CoQ Register'!$S:$S,0)),"")</f>
        <v/>
      </c>
      <c r="T119" s="243" t="inlineStr">
        <is>
          <t>Conforms</t>
        </is>
      </c>
      <c r="U119" s="243" t="inlineStr">
        <is>
          <t>Conforms</t>
        </is>
      </c>
      <c r="V119" s="243" t="inlineStr">
        <is>
          <t>Conforms</t>
        </is>
      </c>
      <c r="W119" s="243" t="inlineStr">
        <is>
          <t>197-19-K-26, (07.08.2026) [FHM-K]</t>
        </is>
      </c>
      <c r="X119" s="243" t="inlineStr">
        <is>
          <t>197-19-K-26, (07.08.2026) [FHM-K]</t>
        </is>
      </c>
      <c r="Y119" s="243" t="inlineStr">
        <is>
          <t>197-19-M-26, (10.08.2026) [FHM-M]</t>
        </is>
      </c>
      <c r="Z119" s="243" t="inlineStr">
        <is>
          <t>#8, #9, #11, #12 from the initial testing</t>
        </is>
      </c>
      <c r="AA119" s="243" t="inlineStr">
        <is>
          <t>P060242|R</t>
        </is>
      </c>
      <c r="AB119" s="250" t="inlineStr">
        <is>
          <t>registered — retest 1 · Tranche 1 (sampled 21–24.07.2026), tested 24.07.2026, issued 27.07.2026</t>
        </is>
      </c>
    </row>
    <row r="120">
      <c r="A120" s="243" t="n">
        <v>119</v>
      </c>
      <c r="B120" s="244" t="inlineStr">
        <is>
          <t>iCoA-PP_26-119</t>
        </is>
      </c>
      <c r="C120" s="249" t="inlineStr">
        <is>
          <t>yes</t>
        </is>
      </c>
      <c r="D120" s="245" t="n">
        <v>46230</v>
      </c>
      <c r="E120" s="245" t="n">
        <v>46227</v>
      </c>
      <c r="F120" s="245">
        <f>IFERROR(INDEX('Batch Dates'!$G:$G,MATCH(J120,'Batch Dates'!$C:$C,0)),IFERROR(INDEX('Batch Dates'!$G:$G,MATCH(I120,'Batch Dates'!$B:$B,0)),""))</f>
        <v/>
      </c>
      <c r="G120" s="243" t="inlineStr">
        <is>
          <t>post-SOP</t>
        </is>
      </c>
      <c r="H120" s="243" t="inlineStr">
        <is>
          <t>retest 1</t>
        </is>
      </c>
      <c r="I120" s="244" t="inlineStr">
        <is>
          <t>SCR012603</t>
        </is>
      </c>
      <c r="J120" s="243" t="inlineStr">
        <is>
          <t>P060382</t>
        </is>
      </c>
      <c r="K120" s="243" t="inlineStr">
        <is>
          <t>Scrambler</t>
        </is>
      </c>
      <c r="L120" s="243" t="inlineStr">
        <is>
          <t>Ident A + Ident B + Foreign matter</t>
        </is>
      </c>
      <c r="M120" s="248" t="inlineStr">
        <is>
          <t>—</t>
        </is>
      </c>
      <c r="N120" s="243">
        <f>IFERROR(INDEX('CoQ Register'!$B:$B,MATCH("P060382|R",'CoQ Register'!$S:$S,0)),"—")</f>
        <v/>
      </c>
      <c r="O120" s="248" t="inlineStr">
        <is>
          <t>—</t>
        </is>
      </c>
      <c r="P120" s="243" t="inlineStr">
        <is>
          <t>25.05.2027</t>
        </is>
      </c>
      <c r="Q120" s="243" t="inlineStr">
        <is>
          <t>22.04.2026</t>
        </is>
      </c>
      <c r="R120" s="243" t="inlineStr">
        <is>
          <t>25.05.2026</t>
        </is>
      </c>
      <c r="S120" s="245">
        <f>IFERROR(INDEX('CoQ Register'!$D:$D,MATCH("P060382|R",'CoQ Register'!$S:$S,0)),"")</f>
        <v/>
      </c>
      <c r="T120" s="243" t="inlineStr">
        <is>
          <t>Conforms</t>
        </is>
      </c>
      <c r="U120" s="243" t="inlineStr">
        <is>
          <t>Conforms</t>
        </is>
      </c>
      <c r="V120" s="243" t="inlineStr">
        <is>
          <t>Conforms</t>
        </is>
      </c>
      <c r="W120" s="243" t="inlineStr">
        <is>
          <t>197-21-K-26, (07.08.2026) [FHM-K]</t>
        </is>
      </c>
      <c r="X120" s="243" t="inlineStr">
        <is>
          <t>197-21-K-26, (07.08.2026) [FHM-K]</t>
        </is>
      </c>
      <c r="Y120" s="243" t="inlineStr">
        <is>
          <t>197-21-M-26, (10.08.2026) [FHM-M]</t>
        </is>
      </c>
      <c r="Z120" s="243" t="inlineStr">
        <is>
          <t>#8, #9, #11, #12 from the initial testing</t>
        </is>
      </c>
      <c r="AA120" s="243" t="inlineStr">
        <is>
          <t>P060382|R</t>
        </is>
      </c>
      <c r="AB120" s="250" t="inlineStr">
        <is>
          <t>registered — retest 1 · Tranche 1 (sampled 21–24.07.2026), tested 24.07.2026, issued 27.07.2026</t>
        </is>
      </c>
    </row>
    <row r="121">
      <c r="A121" s="243" t="n">
        <v>120</v>
      </c>
      <c r="B121" s="244" t="inlineStr">
        <is>
          <t>iCoA-PP_26-120</t>
        </is>
      </c>
      <c r="C121" s="249" t="inlineStr">
        <is>
          <t>yes</t>
        </is>
      </c>
      <c r="D121" s="245" t="n">
        <v>46230</v>
      </c>
      <c r="E121" s="245" t="n">
        <v>46227</v>
      </c>
      <c r="F121" s="245">
        <f>IFERROR(INDEX('Batch Dates'!$G:$G,MATCH(J121,'Batch Dates'!$C:$C,0)),IFERROR(INDEX('Batch Dates'!$G:$G,MATCH(I121,'Batch Dates'!$B:$B,0)),""))</f>
        <v/>
      </c>
      <c r="G121" s="243" t="inlineStr">
        <is>
          <t>legacy</t>
        </is>
      </c>
      <c r="H121" s="243" t="inlineStr">
        <is>
          <t>retest 1</t>
        </is>
      </c>
      <c r="I121" s="244" t="inlineStr">
        <is>
          <t>PM092501</t>
        </is>
      </c>
      <c r="J121" s="243" t="inlineStr">
        <is>
          <t>P060062</t>
        </is>
      </c>
      <c r="K121" s="243" t="inlineStr">
        <is>
          <t>Permanent Marker</t>
        </is>
      </c>
      <c r="L121" s="243" t="inlineStr">
        <is>
          <t>Ident A + Ident B + Foreign matter</t>
        </is>
      </c>
      <c r="M121" s="248" t="inlineStr">
        <is>
          <t>—</t>
        </is>
      </c>
      <c r="N121" s="243">
        <f>IFERROR(INDEX('CoQ Register'!$B:$B,MATCH("P060062|R",'CoQ Register'!$S:$S,0)),"—")</f>
        <v/>
      </c>
      <c r="O121" s="248" t="inlineStr">
        <is>
          <t>—</t>
        </is>
      </c>
      <c r="P121" s="243" t="inlineStr">
        <is>
          <t>30.01.2027</t>
        </is>
      </c>
      <c r="Q121" s="243" t="inlineStr">
        <is>
          <t>11.12.2025</t>
        </is>
      </c>
      <c r="R121" s="243" t="inlineStr">
        <is>
          <t>30.01.2026</t>
        </is>
      </c>
      <c r="S121" s="245">
        <f>IFERROR(INDEX('CoQ Register'!$D:$D,MATCH("P060062|R",'CoQ Register'!$S:$S,0)),"")</f>
        <v/>
      </c>
      <c r="T121" s="243" t="inlineStr">
        <is>
          <t>Conforms</t>
        </is>
      </c>
      <c r="U121" s="243" t="inlineStr">
        <is>
          <t>Conforms</t>
        </is>
      </c>
      <c r="V121" s="243" t="inlineStr">
        <is>
          <t>Conforms</t>
        </is>
      </c>
      <c r="W121" s="243" t="inlineStr">
        <is>
          <t>197-20-K-26, (07.08.2026) [FHM-K]</t>
        </is>
      </c>
      <c r="X121" s="243" t="inlineStr">
        <is>
          <t>197-20-K-26, (07.08.2026) [FHM-K]</t>
        </is>
      </c>
      <c r="Y121" s="243" t="inlineStr">
        <is>
          <t>197-20-M-26, (10.08.2026) [FHM-M]</t>
        </is>
      </c>
      <c r="Z121" s="243" t="inlineStr">
        <is>
          <t>#8, #9, #11, #12 from the initial testing</t>
        </is>
      </c>
      <c r="AA121" s="243" t="inlineStr">
        <is>
          <t>P060062|R</t>
        </is>
      </c>
      <c r="AB121" s="250" t="inlineStr">
        <is>
          <t>registered — retest 1 · Tranche 1 (sampled 21–24.07.2026), tested 24.07.2026, issued 27.07.2026</t>
        </is>
      </c>
    </row>
    <row r="122">
      <c r="A122" s="243" t="n">
        <v>121</v>
      </c>
      <c r="B122" s="244" t="inlineStr">
        <is>
          <t>iCoA-PP_26-121</t>
        </is>
      </c>
      <c r="C122" s="249" t="inlineStr">
        <is>
          <t>yes</t>
        </is>
      </c>
      <c r="D122" s="245">
        <f>IF(A122="","",IF(ISNUMBER(E122),MAX(DATE(2026,6,3),E122),DATE(2026,6,3)))</f>
        <v/>
      </c>
      <c r="E122" s="245">
        <f>IFERROR(INDEX('Batch Dates'!$F:$F,MATCH(J122,'Batch Dates'!$C:$C,0)),IFERROR(INDEX('Batch Dates'!$F:$F,MATCH(I122,'Batch Dates'!$B:$B,0)),""))</f>
        <v/>
      </c>
      <c r="F122" s="245">
        <f>IFERROR(INDEX('Batch Dates'!$G:$G,MATCH(J122,'Batch Dates'!$C:$C,0)),IFERROR(INDEX('Batch Dates'!$G:$G,MATCH(I122,'Batch Dates'!$B:$B,0)),""))</f>
        <v/>
      </c>
      <c r="G122" s="243" t="inlineStr">
        <is>
          <t>post-SOP</t>
        </is>
      </c>
      <c r="H122" s="243" t="inlineStr">
        <is>
          <t>initial release</t>
        </is>
      </c>
      <c r="I122" s="244" t="inlineStr">
        <is>
          <t>JD022601</t>
        </is>
      </c>
      <c r="J122" s="243" t="inlineStr">
        <is>
          <t>P060482</t>
        </is>
      </c>
      <c r="K122" s="243" t="inlineStr">
        <is>
          <t>Jelly Donuts</t>
        </is>
      </c>
      <c r="L122" s="243" t="inlineStr">
        <is>
          <t>Ident A + Ident B + Foreign matter</t>
        </is>
      </c>
      <c r="M122" s="243" t="inlineStr">
        <is>
          <t>A: ППК26115 / B: ППК26115 / FM: ППК26115</t>
        </is>
      </c>
      <c r="N122" s="243">
        <f>IFERROR(INDEX('CoQ Register'!$B:$B,MATCH("P060482|I",'CoQ Register'!$S:$S,0)),"—")</f>
        <v/>
      </c>
      <c r="O122" s="248" t="inlineStr">
        <is>
          <t>—</t>
        </is>
      </c>
      <c r="P122" s="243" t="inlineStr">
        <is>
          <t>30.06.2026</t>
        </is>
      </c>
      <c r="Q122" s="243" t="inlineStr">
        <is>
          <t>18.05.2026</t>
        </is>
      </c>
      <c r="R122" s="243" t="inlineStr">
        <is>
          <t>05.08.2026 (the issuance plan's basis: 30.06.2026)</t>
        </is>
      </c>
      <c r="S122" s="245">
        <f>IFERROR(INDEX('CoQ Register'!$D:$D,MATCH("P060482|I",'CoQ Register'!$S:$S,0)),"")</f>
        <v/>
      </c>
      <c r="T122" s="243" t="inlineStr">
        <is>
          <t>CNP ППК26115</t>
        </is>
      </c>
      <c r="U122" s="243" t="inlineStr">
        <is>
          <t>CNP ППК26115</t>
        </is>
      </c>
      <c r="V122" s="243" t="inlineStr">
        <is>
          <t>CNP ППК26115</t>
        </is>
      </c>
      <c r="W122" s="243" t="inlineStr">
        <is>
          <t>ППК26115, (30.06.2026) [CNP]</t>
        </is>
      </c>
      <c r="X122" s="243" t="inlineStr">
        <is>
          <t>—</t>
        </is>
      </c>
      <c r="Y122" s="243" t="inlineStr">
        <is>
          <t>—</t>
        </is>
      </c>
      <c r="Z122" s="243" t="inlineStr">
        <is>
          <t>—</t>
        </is>
      </c>
      <c r="AA122" s="243" t="inlineStr">
        <is>
          <t>P060482|I</t>
        </is>
      </c>
      <c r="AB122" s="250" t="inlineStr">
        <is>
          <t>registered — initial release, issued 05.08.2026</t>
        </is>
      </c>
    </row>
    <row r="123">
      <c r="A123" s="243" t="n">
        <v>122</v>
      </c>
      <c r="B123" s="244" t="inlineStr">
        <is>
          <t>iCoA-PP_26-122</t>
        </is>
      </c>
      <c r="C123" s="249" t="inlineStr">
        <is>
          <t>yes</t>
        </is>
      </c>
      <c r="D123" s="245">
        <f>IF(A123="","",IF(ISNUMBER(E123),MAX(DATE(2026,6,3),E123),DATE(2026,6,3)))</f>
        <v/>
      </c>
      <c r="E123" s="245">
        <f>IFERROR(INDEX('Batch Dates'!$F:$F,MATCH(J123,'Batch Dates'!$C:$C,0)),IFERROR(INDEX('Batch Dates'!$F:$F,MATCH(I123,'Batch Dates'!$B:$B,0)),""))</f>
        <v/>
      </c>
      <c r="F123" s="245">
        <f>IFERROR(INDEX('Batch Dates'!$G:$G,MATCH(J123,'Batch Dates'!$C:$C,0)),IFERROR(INDEX('Batch Dates'!$G:$G,MATCH(I123,'Batch Dates'!$B:$B,0)),""))</f>
        <v/>
      </c>
      <c r="G123" s="243" t="inlineStr">
        <is>
          <t>post-SOP</t>
        </is>
      </c>
      <c r="H123" s="243" t="inlineStr">
        <is>
          <t>initial release</t>
        </is>
      </c>
      <c r="I123" s="244" t="inlineStr">
        <is>
          <t>JD042601</t>
        </is>
      </c>
      <c r="J123" s="243" t="inlineStr">
        <is>
          <t>P060492</t>
        </is>
      </c>
      <c r="K123" s="243" t="inlineStr">
        <is>
          <t>Jelly Donuts</t>
        </is>
      </c>
      <c r="L123" s="243" t="inlineStr">
        <is>
          <t>Ident A + Ident B + Foreign matter</t>
        </is>
      </c>
      <c r="M123" s="248" t="inlineStr">
        <is>
          <t>—</t>
        </is>
      </c>
      <c r="N123" s="243">
        <f>IFERROR(INDEX('CoQ Register'!$B:$B,MATCH("P060492|I",'CoQ Register'!$S:$S,0)),"—")</f>
        <v/>
      </c>
      <c r="O123" s="248" t="inlineStr">
        <is>
          <t>—</t>
        </is>
      </c>
      <c r="P123" s="243" t="inlineStr">
        <is>
          <t>13.08.2026</t>
        </is>
      </c>
      <c r="Q123" s="243" t="inlineStr">
        <is>
          <t>21.07.2026</t>
        </is>
      </c>
      <c r="R123" s="243" t="inlineStr">
        <is>
          <t>13.08.2026</t>
        </is>
      </c>
      <c r="S123" s="245">
        <f>IFERROR(INDEX('CoQ Register'!$D:$D,MATCH("P060492|I",'CoQ Register'!$S:$S,0)),"")</f>
        <v/>
      </c>
      <c r="T123" s="243" t="inlineStr">
        <is>
          <t>Conforms</t>
        </is>
      </c>
      <c r="U123" s="243" t="inlineStr">
        <is>
          <t>Conforms</t>
        </is>
      </c>
      <c r="V123" s="243" t="inlineStr">
        <is>
          <t>Conforms</t>
        </is>
      </c>
      <c r="W123" s="243" t="inlineStr">
        <is>
          <t>— no cannabinoid certificate from the initial testing —</t>
        </is>
      </c>
      <c r="X123" s="243" t="inlineStr">
        <is>
          <t>—</t>
        </is>
      </c>
      <c r="Y123" s="243" t="inlineStr">
        <is>
          <t>—</t>
        </is>
      </c>
      <c r="Z123" s="243" t="inlineStr">
        <is>
          <t>—</t>
        </is>
      </c>
      <c r="AA123" s="243" t="inlineStr">
        <is>
          <t>P060492|I</t>
        </is>
      </c>
      <c r="AB123" s="250" t="inlineStr">
        <is>
          <t>registered — initial release, issued 13.08.2026</t>
        </is>
      </c>
    </row>
    <row r="124">
      <c r="A124" s="243" t="n">
        <v>123</v>
      </c>
      <c r="B124" s="244" t="inlineStr">
        <is>
          <t>iCoA-PP_26-123</t>
        </is>
      </c>
      <c r="C124" s="249" t="inlineStr">
        <is>
          <t>yes</t>
        </is>
      </c>
      <c r="D124" s="245" t="n">
        <v>46251</v>
      </c>
      <c r="E124" s="245" t="n">
        <v>46246</v>
      </c>
      <c r="F124" s="245">
        <f>IFERROR(INDEX('Batch Dates'!$G:$G,MATCH(J124,'Batch Dates'!$C:$C,0)),IFERROR(INDEX('Batch Dates'!$G:$G,MATCH(I124,'Batch Dates'!$B:$B,0)),""))</f>
        <v/>
      </c>
      <c r="G124" s="243" t="inlineStr">
        <is>
          <t>legacy</t>
        </is>
      </c>
      <c r="H124" s="243" t="inlineStr">
        <is>
          <t>retest 1</t>
        </is>
      </c>
      <c r="I124" s="244" t="inlineStr">
        <is>
          <t>ACC102501</t>
        </is>
      </c>
      <c r="J124" s="243" t="inlineStr">
        <is>
          <t>P060122</t>
        </is>
      </c>
      <c r="K124" s="243" t="inlineStr">
        <is>
          <t>Amnesia Core Cut</t>
        </is>
      </c>
      <c r="L124" s="243" t="inlineStr">
        <is>
          <t>Ident A + Ident B + Foreign matter</t>
        </is>
      </c>
      <c r="M124" s="248" t="inlineStr">
        <is>
          <t>—</t>
        </is>
      </c>
      <c r="N124" s="243">
        <f>IFERROR(INDEX('CoQ Register'!$B:$B,MATCH("P060122|R",'CoQ Register'!$S:$S,0)),"—")</f>
        <v/>
      </c>
      <c r="O124" s="248" t="inlineStr">
        <is>
          <t>—</t>
        </is>
      </c>
      <c r="P124" s="243" t="inlineStr">
        <is>
          <t>18.02.2027</t>
        </is>
      </c>
      <c r="Q124" s="243" t="inlineStr">
        <is>
          <t>09.01.2026</t>
        </is>
      </c>
      <c r="R124" s="243" t="inlineStr">
        <is>
          <t>18.02.2026 – 19.02.2026</t>
        </is>
      </c>
      <c r="S124" s="245">
        <f>IFERROR(INDEX('CoQ Register'!$D:$D,MATCH("P060122|R",'CoQ Register'!$S:$S,0)),"")</f>
        <v/>
      </c>
      <c r="T124" s="243" t="inlineStr">
        <is>
          <t>Conforms</t>
        </is>
      </c>
      <c r="U124" s="243" t="inlineStr">
        <is>
          <t>Conforms</t>
        </is>
      </c>
      <c r="V124" s="243" t="inlineStr">
        <is>
          <t>Conforms</t>
        </is>
      </c>
      <c r="W124" s="243" t="inlineStr">
        <is>
          <t>220-1-K-26, (25.08.2026) [FHM-K]</t>
        </is>
      </c>
      <c r="X124" s="243" t="inlineStr">
        <is>
          <t>220-1-K-26, (25.08.2026) [FHM-K]</t>
        </is>
      </c>
      <c r="Y124" s="243" t="inlineStr">
        <is>
          <t>220-1-M-26, (11.09.2026) [FHM-M]</t>
        </is>
      </c>
      <c r="Z124" s="243" t="inlineStr">
        <is>
          <t>#8, #9, #11, #12 from the initial testing</t>
        </is>
      </c>
      <c r="AA124" s="243" t="inlineStr">
        <is>
          <t>P060122|R</t>
        </is>
      </c>
      <c r="AB124" s="250" t="inlineStr">
        <is>
          <t>registered — retest 1 · Tranche 2 (sampled 12–14.08.2026), tested 12.08.2026, issued 17.08.2026</t>
        </is>
      </c>
    </row>
    <row r="125">
      <c r="A125" s="243" t="n">
        <v>124</v>
      </c>
      <c r="B125" s="244" t="inlineStr">
        <is>
          <t>iCoA-PP_26-124</t>
        </is>
      </c>
      <c r="C125" s="249" t="inlineStr">
        <is>
          <t>yes</t>
        </is>
      </c>
      <c r="D125" s="245" t="n">
        <v>46251</v>
      </c>
      <c r="E125" s="245" t="n">
        <v>46246</v>
      </c>
      <c r="F125" s="245">
        <f>IFERROR(INDEX('Batch Dates'!$G:$G,MATCH(J125,'Batch Dates'!$C:$C,0)),IFERROR(INDEX('Batch Dates'!$G:$G,MATCH(I125,'Batch Dates'!$B:$B,0)),""))</f>
        <v/>
      </c>
      <c r="G125" s="243" t="inlineStr">
        <is>
          <t>legacy</t>
        </is>
      </c>
      <c r="H125" s="243" t="inlineStr">
        <is>
          <t>retest 1</t>
        </is>
      </c>
      <c r="I125" s="244" t="inlineStr">
        <is>
          <t>BSS052501</t>
        </is>
      </c>
      <c r="J125" s="243" t="inlineStr">
        <is>
          <t>P050192</t>
        </is>
      </c>
      <c r="K125" s="243" t="inlineStr">
        <is>
          <t>Blue Sunset Sherbet</t>
        </is>
      </c>
      <c r="L125" s="243" t="inlineStr">
        <is>
          <t>Ident A + Ident B + Foreign matter</t>
        </is>
      </c>
      <c r="M125" s="248" t="inlineStr">
        <is>
          <t>—</t>
        </is>
      </c>
      <c r="N125" s="243">
        <f>IFERROR(INDEX('CoQ Register'!$B:$B,MATCH("P050192|R",'CoQ Register'!$S:$S,0)),"—")</f>
        <v/>
      </c>
      <c r="O125" s="248" t="inlineStr">
        <is>
          <t>—</t>
        </is>
      </c>
      <c r="P125" s="243" t="inlineStr">
        <is>
          <t>10.10.2026</t>
        </is>
      </c>
      <c r="Q125" s="243" t="inlineStr">
        <is>
          <t>01.09.2025 – 03.09.2025</t>
        </is>
      </c>
      <c r="R125" s="243" t="inlineStr">
        <is>
          <t>10.10.2025 – 21.10.2025</t>
        </is>
      </c>
      <c r="S125" s="245">
        <f>IFERROR(INDEX('CoQ Register'!$D:$D,MATCH("P050192|R",'CoQ Register'!$S:$S,0)),"")</f>
        <v/>
      </c>
      <c r="T125" s="243" t="inlineStr">
        <is>
          <t>Conforms</t>
        </is>
      </c>
      <c r="U125" s="243" t="inlineStr">
        <is>
          <t>Conforms</t>
        </is>
      </c>
      <c r="V125" s="243" t="inlineStr">
        <is>
          <t>Conforms</t>
        </is>
      </c>
      <c r="W125" s="243" t="inlineStr">
        <is>
          <t>220-2-K-26, (25.08.2026) [FHM-K]</t>
        </is>
      </c>
      <c r="X125" s="243" t="inlineStr">
        <is>
          <t>220-2-K-26, (25.08.2026) [FHM-K]</t>
        </is>
      </c>
      <c r="Y125" s="243" t="inlineStr">
        <is>
          <t>220-2-M-26, (11.09.2026) [FHM-M]</t>
        </is>
      </c>
      <c r="Z125" s="243" t="inlineStr">
        <is>
          <t>#8, #9, #11, #12 from the initial testing</t>
        </is>
      </c>
      <c r="AA125" s="243" t="inlineStr">
        <is>
          <t>P050192|R</t>
        </is>
      </c>
      <c r="AB125" s="250" t="inlineStr">
        <is>
          <t>registered — retest 1 · Tranche 2 (sampled 12–14.08.2026), tested 12.08.2026, issued 17.08.2026</t>
        </is>
      </c>
    </row>
    <row r="126">
      <c r="A126" s="243" t="n">
        <v>125</v>
      </c>
      <c r="B126" s="244" t="inlineStr">
        <is>
          <t>iCoA-PP_26-125</t>
        </is>
      </c>
      <c r="C126" s="249" t="inlineStr">
        <is>
          <t>yes</t>
        </is>
      </c>
      <c r="D126" s="245" t="n">
        <v>46251</v>
      </c>
      <c r="E126" s="245" t="n">
        <v>46246</v>
      </c>
      <c r="F126" s="245">
        <f>IFERROR(INDEX('Batch Dates'!$G:$G,MATCH(J126,'Batch Dates'!$C:$C,0)),IFERROR(INDEX('Batch Dates'!$G:$G,MATCH(I126,'Batch Dates'!$B:$B,0)),""))</f>
        <v/>
      </c>
      <c r="G126" s="243" t="inlineStr">
        <is>
          <t>legacy</t>
        </is>
      </c>
      <c r="H126" s="243" t="inlineStr">
        <is>
          <t>retest 1</t>
        </is>
      </c>
      <c r="I126" s="244" t="inlineStr">
        <is>
          <t>CF102501</t>
        </is>
      </c>
      <c r="J126" s="243" t="inlineStr">
        <is>
          <t>P060132</t>
        </is>
      </c>
      <c r="K126" s="243" t="inlineStr">
        <is>
          <t>Chem Flyer</t>
        </is>
      </c>
      <c r="L126" s="243" t="inlineStr">
        <is>
          <t>Ident A + Ident B + Foreign matter</t>
        </is>
      </c>
      <c r="M126" s="248" t="inlineStr">
        <is>
          <t>—</t>
        </is>
      </c>
      <c r="N126" s="243">
        <f>IFERROR(INDEX('CoQ Register'!$B:$B,MATCH("P060132|R",'CoQ Register'!$S:$S,0)),"—")</f>
        <v/>
      </c>
      <c r="O126" s="248" t="inlineStr">
        <is>
          <t>—</t>
        </is>
      </c>
      <c r="P126" s="243" t="inlineStr">
        <is>
          <t>19.02.2027</t>
        </is>
      </c>
      <c r="Q126" s="243" t="inlineStr">
        <is>
          <t>09.01.2026</t>
        </is>
      </c>
      <c r="R126" s="243" t="inlineStr">
        <is>
          <t>19.02.2026 – 20.02.2026</t>
        </is>
      </c>
      <c r="S126" s="245">
        <f>IFERROR(INDEX('CoQ Register'!$D:$D,MATCH("P060132|R",'CoQ Register'!$S:$S,0)),"")</f>
        <v/>
      </c>
      <c r="T126" s="243" t="inlineStr">
        <is>
          <t>Conforms</t>
        </is>
      </c>
      <c r="U126" s="243" t="inlineStr">
        <is>
          <t>Conforms</t>
        </is>
      </c>
      <c r="V126" s="243" t="inlineStr">
        <is>
          <t>Conforms</t>
        </is>
      </c>
      <c r="W126" s="243" t="inlineStr">
        <is>
          <t>220-6-K-26, (25.08.2026) [FHM-K]</t>
        </is>
      </c>
      <c r="X126" s="243" t="inlineStr">
        <is>
          <t>220-6-K-26, (25.08.2026) [FHM-K]</t>
        </is>
      </c>
      <c r="Y126" s="243" t="inlineStr">
        <is>
          <t>220-6-M-26, (11.09.2026) [FHM-M]</t>
        </is>
      </c>
      <c r="Z126" s="243" t="inlineStr">
        <is>
          <t>#8, #9, #11, #12 from the initial testing</t>
        </is>
      </c>
      <c r="AA126" s="243" t="inlineStr">
        <is>
          <t>P060132|R</t>
        </is>
      </c>
      <c r="AB126" s="250" t="inlineStr">
        <is>
          <t>registered — retest 1 · Tranche 2 (sampled 12–14.08.2026), tested 12.08.2026, issued 17.08.2026</t>
        </is>
      </c>
    </row>
    <row r="127">
      <c r="A127" s="243" t="n">
        <v>126</v>
      </c>
      <c r="B127" s="244" t="inlineStr">
        <is>
          <t>iCoA-PP_26-126</t>
        </is>
      </c>
      <c r="C127" s="249" t="inlineStr">
        <is>
          <t>yes</t>
        </is>
      </c>
      <c r="D127" s="245" t="n">
        <v>46251</v>
      </c>
      <c r="E127" s="245" t="n">
        <v>46246</v>
      </c>
      <c r="F127" s="245">
        <f>IFERROR(INDEX('Batch Dates'!$G:$G,MATCH(J127,'Batch Dates'!$C:$C,0)),IFERROR(INDEX('Batch Dates'!$G:$G,MATCH(I127,'Batch Dates'!$B:$B,0)),""))</f>
        <v/>
      </c>
      <c r="G127" s="243" t="inlineStr">
        <is>
          <t>legacy</t>
        </is>
      </c>
      <c r="H127" s="243" t="inlineStr">
        <is>
          <t>retest 2</t>
        </is>
      </c>
      <c r="I127" s="244" t="inlineStr">
        <is>
          <t>CJ062501/1</t>
        </is>
      </c>
      <c r="J127" s="243" t="inlineStr">
        <is>
          <t>P050222</t>
        </is>
      </c>
      <c r="K127" s="243" t="inlineStr">
        <is>
          <t>Cap Junky</t>
        </is>
      </c>
      <c r="L127" s="243" t="inlineStr">
        <is>
          <t>Ident A + Ident B + Foreign matter</t>
        </is>
      </c>
      <c r="M127" s="248" t="inlineStr">
        <is>
          <t>—</t>
        </is>
      </c>
      <c r="N127" s="243">
        <f>IFERROR(INDEX('CoQ Register'!$B:$B,MATCH("P050222|R2",'CoQ Register'!$S:$S,0)),"—")</f>
        <v/>
      </c>
      <c r="O127" s="248" t="inlineStr">
        <is>
          <t>—</t>
        </is>
      </c>
      <c r="P127" s="243" t="inlineStr">
        <is>
          <t>24.11.2026</t>
        </is>
      </c>
      <c r="Q127" s="243" t="inlineStr">
        <is>
          <t>23.09.2025</t>
        </is>
      </c>
      <c r="R127" s="243" t="inlineStr">
        <is>
          <t>24.11.2025 – 25.11.2025</t>
        </is>
      </c>
      <c r="S127" s="245">
        <f>IFERROR(INDEX('CoQ Register'!$D:$D,MATCH("P050222|R2",'CoQ Register'!$S:$S,0)),"")</f>
        <v/>
      </c>
      <c r="T127" s="243" t="inlineStr">
        <is>
          <t>Conforms</t>
        </is>
      </c>
      <c r="U127" s="243" t="inlineStr">
        <is>
          <t>Conforms</t>
        </is>
      </c>
      <c r="V127" s="243" t="inlineStr">
        <is>
          <t>Conforms</t>
        </is>
      </c>
      <c r="W127" s="243" t="inlineStr">
        <is>
          <t>220-3-K-26, (25.08.2026) [FHM-K]</t>
        </is>
      </c>
      <c r="X127" s="243" t="inlineStr">
        <is>
          <t>220-3-K-26, (25.08.2026) [FHM-K]</t>
        </is>
      </c>
      <c r="Y127" s="243" t="inlineStr">
        <is>
          <t>220-3-M-26, (11.09.2026) [FHM-M]</t>
        </is>
      </c>
      <c r="Z127" s="243" t="inlineStr">
        <is>
          <t>#8, #9, #11, #12 from the initial testing</t>
        </is>
      </c>
      <c r="AA127" s="243" t="inlineStr">
        <is>
          <t>P050222|R2</t>
        </is>
      </c>
      <c r="AB127" s="250" t="inlineStr">
        <is>
          <t>registered — retest 2 · Tranche 2 (sampled 12–14.08.2026), tested 12.08.2026, issued 17.08.2026</t>
        </is>
      </c>
    </row>
    <row r="128">
      <c r="A128" s="243" t="n">
        <v>127</v>
      </c>
      <c r="B128" s="244" t="inlineStr">
        <is>
          <t>iCoA-PP_26-127</t>
        </is>
      </c>
      <c r="C128" s="249" t="inlineStr">
        <is>
          <t>yes</t>
        </is>
      </c>
      <c r="D128" s="245" t="n">
        <v>46251</v>
      </c>
      <c r="E128" s="245" t="n">
        <v>46246</v>
      </c>
      <c r="F128" s="245">
        <f>IFERROR(INDEX('Batch Dates'!$G:$G,MATCH(J128,'Batch Dates'!$C:$C,0)),IFERROR(INDEX('Batch Dates'!$G:$G,MATCH(I128,'Batch Dates'!$B:$B,0)),""))</f>
        <v/>
      </c>
      <c r="G128" s="243" t="inlineStr">
        <is>
          <t>legacy</t>
        </is>
      </c>
      <c r="H128" s="243" t="inlineStr">
        <is>
          <t>retest 1</t>
        </is>
      </c>
      <c r="I128" s="244" t="inlineStr">
        <is>
          <t>CJ082501/1</t>
        </is>
      </c>
      <c r="J128" s="243" t="inlineStr">
        <is>
          <t>P060022</t>
        </is>
      </c>
      <c r="K128" s="243" t="inlineStr">
        <is>
          <t>Cap Junky</t>
        </is>
      </c>
      <c r="L128" s="243" t="inlineStr">
        <is>
          <t>Ident A + Ident B + Foreign matter</t>
        </is>
      </c>
      <c r="M128" s="248" t="inlineStr">
        <is>
          <t>—</t>
        </is>
      </c>
      <c r="N128" s="243">
        <f>IFERROR(INDEX('CoQ Register'!$B:$B,MATCH("P060022|R",'CoQ Register'!$S:$S,0)),"—")</f>
        <v/>
      </c>
      <c r="O128" s="248" t="inlineStr">
        <is>
          <t>—</t>
        </is>
      </c>
      <c r="P128" s="243" t="inlineStr">
        <is>
          <t>16.01.2027</t>
        </is>
      </c>
      <c r="Q128" s="243" t="inlineStr">
        <is>
          <t>09.12.2025 – 10.12.2025</t>
        </is>
      </c>
      <c r="R128" s="243" t="inlineStr">
        <is>
          <t>16.01.2026</t>
        </is>
      </c>
      <c r="S128" s="245">
        <f>IFERROR(INDEX('CoQ Register'!$D:$D,MATCH("P060022|R",'CoQ Register'!$S:$S,0)),"")</f>
        <v/>
      </c>
      <c r="T128" s="243" t="inlineStr">
        <is>
          <t>Conforms</t>
        </is>
      </c>
      <c r="U128" s="243" t="inlineStr">
        <is>
          <t>Conforms</t>
        </is>
      </c>
      <c r="V128" s="243" t="inlineStr">
        <is>
          <t>Conforms</t>
        </is>
      </c>
      <c r="W128" s="243" t="inlineStr">
        <is>
          <t>220-4-K-26, (25.08.2026) [FHM-K]</t>
        </is>
      </c>
      <c r="X128" s="243" t="inlineStr">
        <is>
          <t>220-4-K-26, (25.08.2026) [FHM-K]</t>
        </is>
      </c>
      <c r="Y128" s="243" t="inlineStr">
        <is>
          <t>220-4-M-26, (11.09.2026) [FHM-M]</t>
        </is>
      </c>
      <c r="Z128" s="243" t="inlineStr">
        <is>
          <t>#8, #9, #11, #12 from the initial testing</t>
        </is>
      </c>
      <c r="AA128" s="243" t="inlineStr">
        <is>
          <t>P060022|R</t>
        </is>
      </c>
      <c r="AB128" s="250" t="inlineStr">
        <is>
          <t>registered — retest 1 · Tranche 2 (sampled 12–14.08.2026), tested 12.08.2026, issued 17.08.2026</t>
        </is>
      </c>
    </row>
    <row r="129">
      <c r="A129" s="243" t="n">
        <v>128</v>
      </c>
      <c r="B129" s="244" t="inlineStr">
        <is>
          <t>iCoA-PP_26-128</t>
        </is>
      </c>
      <c r="C129" s="249" t="inlineStr">
        <is>
          <t>yes</t>
        </is>
      </c>
      <c r="D129" s="245" t="n">
        <v>46251</v>
      </c>
      <c r="E129" s="245" t="n">
        <v>46246</v>
      </c>
      <c r="F129" s="245">
        <f>IFERROR(INDEX('Batch Dates'!$G:$G,MATCH(J129,'Batch Dates'!$C:$C,0)),IFERROR(INDEX('Batch Dates'!$G:$G,MATCH(I129,'Batch Dates'!$B:$B,0)),""))</f>
        <v/>
      </c>
      <c r="G129" s="243" t="inlineStr">
        <is>
          <t>legacy</t>
        </is>
      </c>
      <c r="H129" s="243" t="inlineStr">
        <is>
          <t>retest 1</t>
        </is>
      </c>
      <c r="I129" s="244" t="inlineStr">
        <is>
          <t>CJ092501</t>
        </is>
      </c>
      <c r="J129" s="243" t="inlineStr">
        <is>
          <t>P060072</t>
        </is>
      </c>
      <c r="K129" s="243" t="inlineStr">
        <is>
          <t>Cap Junky</t>
        </is>
      </c>
      <c r="L129" s="243" t="inlineStr">
        <is>
          <t>Ident A + Ident B + Foreign matter</t>
        </is>
      </c>
      <c r="M129" s="248" t="inlineStr">
        <is>
          <t>—</t>
        </is>
      </c>
      <c r="N129" s="243">
        <f>IFERROR(INDEX('CoQ Register'!$B:$B,MATCH("P060072|R",'CoQ Register'!$S:$S,0)),"—")</f>
        <v/>
      </c>
      <c r="O129" s="248" t="inlineStr">
        <is>
          <t>—</t>
        </is>
      </c>
      <c r="P129" s="243" t="inlineStr">
        <is>
          <t>02.02.2027</t>
        </is>
      </c>
      <c r="Q129" s="243" t="inlineStr">
        <is>
          <t>12.12.2025</t>
        </is>
      </c>
      <c r="R129" s="243" t="inlineStr">
        <is>
          <t>02.02.2026</t>
        </is>
      </c>
      <c r="S129" s="245">
        <f>IFERROR(INDEX('CoQ Register'!$D:$D,MATCH("P060072|R",'CoQ Register'!$S:$S,0)),"")</f>
        <v/>
      </c>
      <c r="T129" s="243" t="inlineStr">
        <is>
          <t>Conforms</t>
        </is>
      </c>
      <c r="U129" s="243" t="inlineStr">
        <is>
          <t>Conforms</t>
        </is>
      </c>
      <c r="V129" s="243" t="inlineStr">
        <is>
          <t>Conforms</t>
        </is>
      </c>
      <c r="W129" s="243" t="inlineStr">
        <is>
          <t>220-5-K-26, (25.08.2026) [FHM-K]</t>
        </is>
      </c>
      <c r="X129" s="243" t="inlineStr">
        <is>
          <t>220-5-K-26, (25.08.2026) [FHM-K]</t>
        </is>
      </c>
      <c r="Y129" s="243" t="inlineStr">
        <is>
          <t>220-5-M-26, (11.09.2026) [FHM-M]</t>
        </is>
      </c>
      <c r="Z129" s="243" t="inlineStr">
        <is>
          <t>#8, #9, #11, #12 from the initial testing</t>
        </is>
      </c>
      <c r="AA129" s="243" t="inlineStr">
        <is>
          <t>P060072|R</t>
        </is>
      </c>
      <c r="AB129" s="250" t="inlineStr">
        <is>
          <t>registered — retest 1 · Tranche 2 (sampled 12–14.08.2026), tested 12.08.2026, issued 17.08.2026</t>
        </is>
      </c>
    </row>
    <row r="130">
      <c r="A130" s="243" t="n">
        <v>129</v>
      </c>
      <c r="B130" s="244" t="inlineStr">
        <is>
          <t>iCoA-PP_26-129</t>
        </is>
      </c>
      <c r="C130" s="249" t="inlineStr">
        <is>
          <t>yes</t>
        </is>
      </c>
      <c r="D130" s="245" t="n">
        <v>46251</v>
      </c>
      <c r="E130" s="245" t="n">
        <v>46246</v>
      </c>
      <c r="F130" s="245">
        <f>IFERROR(INDEX('Batch Dates'!$G:$G,MATCH(J130,'Batch Dates'!$C:$C,0)),IFERROR(INDEX('Batch Dates'!$G:$G,MATCH(I130,'Batch Dates'!$B:$B,0)),""))</f>
        <v/>
      </c>
      <c r="G130" s="243" t="inlineStr">
        <is>
          <t>legacy</t>
        </is>
      </c>
      <c r="H130" s="243" t="inlineStr">
        <is>
          <t>retest 1</t>
        </is>
      </c>
      <c r="I130" s="244" t="inlineStr">
        <is>
          <t>CLE072501</t>
        </is>
      </c>
      <c r="J130" s="243" t="inlineStr">
        <is>
          <t>P050282</t>
        </is>
      </c>
      <c r="K130" s="243" t="inlineStr">
        <is>
          <t>Clemosa A Bud</t>
        </is>
      </c>
      <c r="L130" s="243" t="inlineStr">
        <is>
          <t>Ident A + Ident B + Foreign matter</t>
        </is>
      </c>
      <c r="M130" s="248" t="inlineStr">
        <is>
          <t>—</t>
        </is>
      </c>
      <c r="N130" s="243">
        <f>IFERROR(INDEX('CoQ Register'!$B:$B,MATCH("P050282|R",'CoQ Register'!$S:$S,0)),"—")</f>
        <v/>
      </c>
      <c r="O130" s="248" t="inlineStr">
        <is>
          <t>—</t>
        </is>
      </c>
      <c r="P130" s="243" t="inlineStr">
        <is>
          <t>03.12.2026</t>
        </is>
      </c>
      <c r="Q130" s="243" t="inlineStr">
        <is>
          <t>28.10.2025</t>
        </is>
      </c>
      <c r="R130" s="243" t="inlineStr">
        <is>
          <t>03.12.2025 – 04.12.2025</t>
        </is>
      </c>
      <c r="S130" s="245">
        <f>IFERROR(INDEX('CoQ Register'!$D:$D,MATCH("P050282|R",'CoQ Register'!$S:$S,0)),"")</f>
        <v/>
      </c>
      <c r="T130" s="243" t="inlineStr">
        <is>
          <t>Conforms</t>
        </is>
      </c>
      <c r="U130" s="243" t="inlineStr">
        <is>
          <t>Conforms</t>
        </is>
      </c>
      <c r="V130" s="243" t="inlineStr">
        <is>
          <t>Conforms</t>
        </is>
      </c>
      <c r="W130" s="243" t="inlineStr">
        <is>
          <t>220-7-K-26, (25.08.2026) [FHM-K]</t>
        </is>
      </c>
      <c r="X130" s="243" t="inlineStr">
        <is>
          <t>220-7-K-26, (25.08.2026) [FHM-K]</t>
        </is>
      </c>
      <c r="Y130" s="243" t="inlineStr">
        <is>
          <t>220-7-M-26, (11.09.2026) [FHM-M]</t>
        </is>
      </c>
      <c r="Z130" s="243" t="inlineStr">
        <is>
          <t>#8, #9, #11, #12 from the initial testing</t>
        </is>
      </c>
      <c r="AA130" s="243" t="inlineStr">
        <is>
          <t>P050282|R</t>
        </is>
      </c>
      <c r="AB130" s="250" t="inlineStr">
        <is>
          <t>registered — retest 1 · Tranche 2 (sampled 12–14.08.2026), tested 12.08.2026, issued 17.08.2026</t>
        </is>
      </c>
    </row>
    <row r="131">
      <c r="A131" s="243" t="n">
        <v>130</v>
      </c>
      <c r="B131" s="244" t="inlineStr">
        <is>
          <t>iCoA-PP_26-130</t>
        </is>
      </c>
      <c r="C131" s="249" t="inlineStr">
        <is>
          <t>yes</t>
        </is>
      </c>
      <c r="D131" s="245" t="n">
        <v>46251</v>
      </c>
      <c r="E131" s="245" t="n">
        <v>46246</v>
      </c>
      <c r="F131" s="245">
        <f>IFERROR(INDEX('Batch Dates'!$G:$G,MATCH(J131,'Batch Dates'!$C:$C,0)),IFERROR(INDEX('Batch Dates'!$G:$G,MATCH(I131,'Batch Dates'!$B:$B,0)),""))</f>
        <v/>
      </c>
      <c r="G131" s="243" t="inlineStr">
        <is>
          <t>post-SOP</t>
        </is>
      </c>
      <c r="H131" s="243" t="inlineStr">
        <is>
          <t>retest 1</t>
        </is>
      </c>
      <c r="I131" s="244" t="inlineStr">
        <is>
          <t>FB012601_1</t>
        </is>
      </c>
      <c r="J131" s="243" t="inlineStr">
        <is>
          <t>P060322</t>
        </is>
      </c>
      <c r="K131" s="243" t="inlineStr">
        <is>
          <t>Fat Bastard</t>
        </is>
      </c>
      <c r="L131" s="243" t="inlineStr">
        <is>
          <t>Ident A + Ident B + Foreign matter</t>
        </is>
      </c>
      <c r="M131" s="248" t="inlineStr">
        <is>
          <t>—</t>
        </is>
      </c>
      <c r="N131" s="243">
        <f>IFERROR(INDEX('CoQ Register'!$B:$B,MATCH("P060322|R",'CoQ Register'!$S:$S,0)),"—")</f>
        <v/>
      </c>
      <c r="O131" s="248" t="inlineStr">
        <is>
          <t>—</t>
        </is>
      </c>
      <c r="P131" s="243" t="inlineStr">
        <is>
          <t>22.05.2027</t>
        </is>
      </c>
      <c r="Q131" s="243" t="inlineStr">
        <is>
          <t>27.03.2026</t>
        </is>
      </c>
      <c r="R131" s="243" t="inlineStr">
        <is>
          <t>22.05.2026</t>
        </is>
      </c>
      <c r="S131" s="245">
        <f>IFERROR(INDEX('CoQ Register'!$D:$D,MATCH("P060322|R",'CoQ Register'!$S:$S,0)),"")</f>
        <v/>
      </c>
      <c r="T131" s="243" t="inlineStr">
        <is>
          <t>Conforms</t>
        </is>
      </c>
      <c r="U131" s="243" t="inlineStr">
        <is>
          <t>Conforms</t>
        </is>
      </c>
      <c r="V131" s="243" t="inlineStr">
        <is>
          <t>Conforms</t>
        </is>
      </c>
      <c r="W131" s="243" t="inlineStr">
        <is>
          <t>220-8-K-26, (25.08.2026) [FHM-K]</t>
        </is>
      </c>
      <c r="X131" s="243" t="inlineStr">
        <is>
          <t>220-8-K-26, (25.08.2026) [FHM-K]</t>
        </is>
      </c>
      <c r="Y131" s="243" t="inlineStr">
        <is>
          <t>220-8-M-26, (11.09.2026) [FHM-M]</t>
        </is>
      </c>
      <c r="Z131" s="243" t="inlineStr">
        <is>
          <t>#8, #9, #11, #12 from the initial testing</t>
        </is>
      </c>
      <c r="AA131" s="243" t="inlineStr">
        <is>
          <t>P060322|R</t>
        </is>
      </c>
      <c r="AB131" s="250" t="inlineStr">
        <is>
          <t>registered — retest 1 · Tranche 2 (sampled 12–14.08.2026), tested 12.08.2026, issued 17.08.2026</t>
        </is>
      </c>
    </row>
    <row r="132">
      <c r="A132" s="243" t="n">
        <v>131</v>
      </c>
      <c r="B132" s="244" t="inlineStr">
        <is>
          <t>iCoA-PP_26-131</t>
        </is>
      </c>
      <c r="C132" s="249" t="inlineStr">
        <is>
          <t>yes</t>
        </is>
      </c>
      <c r="D132" s="245" t="n">
        <v>46251</v>
      </c>
      <c r="E132" s="245" t="n">
        <v>46246</v>
      </c>
      <c r="F132" s="245">
        <f>IFERROR(INDEX('Batch Dates'!$G:$G,MATCH(J132,'Batch Dates'!$C:$C,0)),IFERROR(INDEX('Batch Dates'!$G:$G,MATCH(I132,'Batch Dates'!$B:$B,0)),""))</f>
        <v/>
      </c>
      <c r="G132" s="243" t="inlineStr">
        <is>
          <t>legacy</t>
        </is>
      </c>
      <c r="H132" s="243" t="inlineStr">
        <is>
          <t>retest 1</t>
        </is>
      </c>
      <c r="I132" s="244" t="inlineStr">
        <is>
          <t>GG1024</t>
        </is>
      </c>
      <c r="J132" s="243" t="inlineStr">
        <is>
          <t>N/A — no P batch assigned</t>
        </is>
      </c>
      <c r="K132" s="243" t="inlineStr">
        <is>
          <t>Gorilla Glue</t>
        </is>
      </c>
      <c r="L132" s="243" t="inlineStr">
        <is>
          <t>Ident A + Ident B + Foreign matter</t>
        </is>
      </c>
      <c r="M132" s="248" t="inlineStr">
        <is>
          <t>—</t>
        </is>
      </c>
      <c r="N132" s="243">
        <f>IFERROR(INDEX('CoQ Register'!$B:$B,MATCH("GG1024|R",'CoQ Register'!$S:$S,0)),"—")</f>
        <v/>
      </c>
      <c r="O132" s="248" t="inlineStr">
        <is>
          <t>—</t>
        </is>
      </c>
      <c r="P132" s="243" t="inlineStr">
        <is>
          <t>11.03.2026</t>
        </is>
      </c>
      <c r="Q132" s="243" t="inlineStr">
        <is>
          <t>20.01.2025</t>
        </is>
      </c>
      <c r="R132" s="243" t="inlineStr">
        <is>
          <t>11.03.2025</t>
        </is>
      </c>
      <c r="S132" s="245">
        <f>IFERROR(INDEX('CoQ Register'!$D:$D,MATCH("GG1024|R",'CoQ Register'!$S:$S,0)),"")</f>
        <v/>
      </c>
      <c r="T132" s="243" t="inlineStr">
        <is>
          <t>Conforms</t>
        </is>
      </c>
      <c r="U132" s="243" t="inlineStr">
        <is>
          <t>Conforms</t>
        </is>
      </c>
      <c r="V132" s="243" t="inlineStr">
        <is>
          <t>Conforms</t>
        </is>
      </c>
      <c r="W132" s="243" t="inlineStr">
        <is>
          <t>220-9-K-26, (25.08.2026) [FHM-K]</t>
        </is>
      </c>
      <c r="X132" s="243" t="inlineStr">
        <is>
          <t>220-9-K-26, (25.08.2026) [FHM-K]</t>
        </is>
      </c>
      <c r="Y132" s="243" t="inlineStr">
        <is>
          <t>220-9-M-26, (11.09.2026) [FHM-M]</t>
        </is>
      </c>
      <c r="Z132" s="243" t="inlineStr">
        <is>
          <t>#8, #9, #11, #12 from the initial testing</t>
        </is>
      </c>
      <c r="AA132" s="243" t="inlineStr">
        <is>
          <t>GG1024|R</t>
        </is>
      </c>
      <c r="AB132" s="250" t="inlineStr">
        <is>
          <t>registered — retest 1 · Tranche 2 (sampled 12–14.08.2026), tested 12.08.2026, issued 17.08.2026</t>
        </is>
      </c>
    </row>
    <row r="133">
      <c r="A133" s="243" t="n">
        <v>132</v>
      </c>
      <c r="B133" s="244" t="inlineStr">
        <is>
          <t>iCoA-PP_26-132</t>
        </is>
      </c>
      <c r="C133" s="249" t="inlineStr">
        <is>
          <t>yes</t>
        </is>
      </c>
      <c r="D133" s="245" t="n">
        <v>46251</v>
      </c>
      <c r="E133" s="245" t="n">
        <v>46246</v>
      </c>
      <c r="F133" s="245">
        <f>IFERROR(INDEX('Batch Dates'!$G:$G,MATCH(J133,'Batch Dates'!$C:$C,0)),IFERROR(INDEX('Batch Dates'!$G:$G,MATCH(I133,'Batch Dates'!$B:$B,0)),""))</f>
        <v/>
      </c>
      <c r="G133" s="243" t="inlineStr">
        <is>
          <t>legacy</t>
        </is>
      </c>
      <c r="H133" s="243" t="inlineStr">
        <is>
          <t>retest 1</t>
        </is>
      </c>
      <c r="I133" s="244" t="inlineStr">
        <is>
          <t>GP072501/2</t>
        </is>
      </c>
      <c r="J133" s="243" t="inlineStr">
        <is>
          <t>P050302</t>
        </is>
      </c>
      <c r="K133" s="243" t="inlineStr">
        <is>
          <t>Grape Pie</t>
        </is>
      </c>
      <c r="L133" s="243" t="inlineStr">
        <is>
          <t>Ident A + Ident B + Foreign matter</t>
        </is>
      </c>
      <c r="M133" s="248" t="inlineStr">
        <is>
          <t>—</t>
        </is>
      </c>
      <c r="N133" s="243">
        <f>IFERROR(INDEX('CoQ Register'!$B:$B,MATCH("P050302|R",'CoQ Register'!$S:$S,0)),"—")</f>
        <v/>
      </c>
      <c r="O133" s="248" t="inlineStr">
        <is>
          <t>—</t>
        </is>
      </c>
      <c r="P133" s="243" t="inlineStr">
        <is>
          <t>22.12.2026</t>
        </is>
      </c>
      <c r="Q133" s="243" t="inlineStr">
        <is>
          <t>13.11.2025</t>
        </is>
      </c>
      <c r="R133" s="243" t="inlineStr">
        <is>
          <t>22.12.2025</t>
        </is>
      </c>
      <c r="S133" s="245">
        <f>IFERROR(INDEX('CoQ Register'!$D:$D,MATCH("P050302|R",'CoQ Register'!$S:$S,0)),"")</f>
        <v/>
      </c>
      <c r="T133" s="243" t="inlineStr">
        <is>
          <t>Conforms</t>
        </is>
      </c>
      <c r="U133" s="243" t="inlineStr">
        <is>
          <t>Conforms</t>
        </is>
      </c>
      <c r="V133" s="243" t="inlineStr">
        <is>
          <t>Conforms</t>
        </is>
      </c>
      <c r="W133" s="243" t="inlineStr">
        <is>
          <t>220-10-K-26, (25.08.2026) [FHM-K]</t>
        </is>
      </c>
      <c r="X133" s="243" t="inlineStr">
        <is>
          <t>220-10-K-26, (25.08.2026) [FHM-K]</t>
        </is>
      </c>
      <c r="Y133" s="243" t="inlineStr">
        <is>
          <t>220-10-M-26, (11.09.2026) [FHM-M]</t>
        </is>
      </c>
      <c r="Z133" s="243" t="inlineStr">
        <is>
          <t>#8, #9, #11, #12 from the initial testing</t>
        </is>
      </c>
      <c r="AA133" s="243" t="inlineStr">
        <is>
          <t>P050302|R</t>
        </is>
      </c>
      <c r="AB133" s="250" t="inlineStr">
        <is>
          <t>registered — retest 1 · Tranche 2 (sampled 12–14.08.2026), tested 12.08.2026, issued 17.08.2026</t>
        </is>
      </c>
    </row>
    <row r="134">
      <c r="A134" s="243" t="n">
        <v>133</v>
      </c>
      <c r="B134" s="244" t="inlineStr">
        <is>
          <t>iCoA-PP_26-133</t>
        </is>
      </c>
      <c r="C134" s="249" t="inlineStr">
        <is>
          <t>yes</t>
        </is>
      </c>
      <c r="D134" s="245" t="n">
        <v>46251</v>
      </c>
      <c r="E134" s="245" t="n">
        <v>46246</v>
      </c>
      <c r="F134" s="245">
        <f>IFERROR(INDEX('Batch Dates'!$G:$G,MATCH(J134,'Batch Dates'!$C:$C,0)),IFERROR(INDEX('Batch Dates'!$G:$G,MATCH(I134,'Batch Dates'!$B:$B,0)),""))</f>
        <v/>
      </c>
      <c r="G134" s="243" t="inlineStr">
        <is>
          <t>legacy</t>
        </is>
      </c>
      <c r="H134" s="243" t="inlineStr">
        <is>
          <t>retest 4</t>
        </is>
      </c>
      <c r="I134" s="244" t="inlineStr">
        <is>
          <t>GP0824_03</t>
        </is>
      </c>
      <c r="J134" s="243" t="inlineStr">
        <is>
          <t>P050072</t>
        </is>
      </c>
      <c r="K134" s="243" t="inlineStr">
        <is>
          <t>Grape Pie</t>
        </is>
      </c>
      <c r="L134" s="243" t="inlineStr">
        <is>
          <t>Ident A + Ident B + Foreign matter</t>
        </is>
      </c>
      <c r="M134" s="248" t="inlineStr">
        <is>
          <t>—</t>
        </is>
      </c>
      <c r="N134" s="243">
        <f>IFERROR(INDEX('CoQ Register'!$B:$B,MATCH("P050072|R4",'CoQ Register'!$S:$S,0)),"—")</f>
        <v/>
      </c>
      <c r="O134" s="248" t="inlineStr">
        <is>
          <t>—</t>
        </is>
      </c>
      <c r="P134" s="243" t="inlineStr">
        <is>
          <t>14.07.2026</t>
        </is>
      </c>
      <c r="Q134" s="243" t="inlineStr">
        <is>
          <t>09.06.2025 – 10.06.2025</t>
        </is>
      </c>
      <c r="R134" s="243" t="inlineStr">
        <is>
          <t>14.07.2025 – 17.07.2025</t>
        </is>
      </c>
      <c r="S134" s="245">
        <f>IFERROR(INDEX('CoQ Register'!$D:$D,MATCH("P050072|R4",'CoQ Register'!$S:$S,0)),"")</f>
        <v/>
      </c>
      <c r="T134" s="243" t="inlineStr">
        <is>
          <t>Conforms</t>
        </is>
      </c>
      <c r="U134" s="243" t="inlineStr">
        <is>
          <t>Conforms</t>
        </is>
      </c>
      <c r="V134" s="243" t="inlineStr">
        <is>
          <t>Conforms</t>
        </is>
      </c>
      <c r="W134" s="243" t="inlineStr">
        <is>
          <t>220-11-K-26, (25.08.2026) [FHM-K]</t>
        </is>
      </c>
      <c r="X134" s="243" t="inlineStr">
        <is>
          <t>220-11-K-26, (25.08.2026) [FHM-K]</t>
        </is>
      </c>
      <c r="Y134" s="243" t="inlineStr">
        <is>
          <t>220-11-M-26, (11.09.2026) [FHM-M]</t>
        </is>
      </c>
      <c r="Z134" s="243" t="inlineStr">
        <is>
          <t>#8, #9, #11, #12 from the initial testing</t>
        </is>
      </c>
      <c r="AA134" s="243" t="inlineStr">
        <is>
          <t>P050072|R4</t>
        </is>
      </c>
      <c r="AB134" s="250" t="inlineStr">
        <is>
          <t>registered — retest 4 · Tranche 2 (sampled 12–14.08.2026), tested 12.08.2026, issued 17.08.2026</t>
        </is>
      </c>
    </row>
    <row r="135">
      <c r="A135" s="243" t="n">
        <v>134</v>
      </c>
      <c r="B135" s="244" t="inlineStr">
        <is>
          <t>iCoA-PP_26-134</t>
        </is>
      </c>
      <c r="C135" s="249" t="inlineStr">
        <is>
          <t>yes</t>
        </is>
      </c>
      <c r="D135" s="245" t="n">
        <v>46251</v>
      </c>
      <c r="E135" s="245" t="n">
        <v>46247</v>
      </c>
      <c r="F135" s="245">
        <f>IFERROR(INDEX('Batch Dates'!$G:$G,MATCH(J135,'Batch Dates'!$C:$C,0)),IFERROR(INDEX('Batch Dates'!$G:$G,MATCH(I135,'Batch Dates'!$B:$B,0)),""))</f>
        <v/>
      </c>
      <c r="G135" s="243" t="inlineStr">
        <is>
          <t>legacy</t>
        </is>
      </c>
      <c r="H135" s="243" t="inlineStr">
        <is>
          <t>retest 1</t>
        </is>
      </c>
      <c r="I135" s="244" t="inlineStr">
        <is>
          <t>GP082501/1</t>
        </is>
      </c>
      <c r="J135" s="243" t="inlineStr">
        <is>
          <t>P050312</t>
        </is>
      </c>
      <c r="K135" s="243" t="inlineStr">
        <is>
          <t>Grape Pie</t>
        </is>
      </c>
      <c r="L135" s="243" t="inlineStr">
        <is>
          <t>Ident A + Ident B + Foreign matter</t>
        </is>
      </c>
      <c r="M135" s="248" t="inlineStr">
        <is>
          <t>—</t>
        </is>
      </c>
      <c r="N135" s="243">
        <f>IFERROR(INDEX('CoQ Register'!$B:$B,MATCH("P050312|R",'CoQ Register'!$S:$S,0)),"—")</f>
        <v/>
      </c>
      <c r="O135" s="248" t="inlineStr">
        <is>
          <t>—</t>
        </is>
      </c>
      <c r="P135" s="243" t="inlineStr">
        <is>
          <t>23.12.2026</t>
        </is>
      </c>
      <c r="Q135" s="243" t="inlineStr">
        <is>
          <t>19.11.2025 – 20.11.2025</t>
        </is>
      </c>
      <c r="R135" s="243" t="inlineStr">
        <is>
          <t>23.12.2025 – 26.12.2025</t>
        </is>
      </c>
      <c r="S135" s="245">
        <f>IFERROR(INDEX('CoQ Register'!$D:$D,MATCH("P050312|R",'CoQ Register'!$S:$S,0)),"")</f>
        <v/>
      </c>
      <c r="T135" s="243" t="inlineStr">
        <is>
          <t>Conforms</t>
        </is>
      </c>
      <c r="U135" s="243" t="inlineStr">
        <is>
          <t>Conforms</t>
        </is>
      </c>
      <c r="V135" s="243" t="inlineStr">
        <is>
          <t>Conforms</t>
        </is>
      </c>
      <c r="W135" s="243" t="inlineStr">
        <is>
          <t>220-12-K-26, (25.08.2026) [FHM-K]</t>
        </is>
      </c>
      <c r="X135" s="243" t="inlineStr">
        <is>
          <t>220-12-K-26, (25.08.2026) [FHM-K]</t>
        </is>
      </c>
      <c r="Y135" s="243" t="inlineStr">
        <is>
          <t>220-12-M-26, (11.09.2026) [FHM-M]</t>
        </is>
      </c>
      <c r="Z135" s="243" t="inlineStr">
        <is>
          <t>#8, #9, #11, #12 from the initial testing</t>
        </is>
      </c>
      <c r="AA135" s="243" t="inlineStr">
        <is>
          <t>P050312|R</t>
        </is>
      </c>
      <c r="AB135" s="250" t="inlineStr">
        <is>
          <t>registered — retest 1 · Tranche 2 (sampled 12–14.08.2026), tested 13.08.2026, issued 17.08.2026</t>
        </is>
      </c>
    </row>
    <row r="136">
      <c r="A136" s="243" t="n">
        <v>135</v>
      </c>
      <c r="B136" s="244" t="inlineStr">
        <is>
          <t>iCoA-PP_26-135</t>
        </is>
      </c>
      <c r="C136" s="249" t="inlineStr">
        <is>
          <t>yes</t>
        </is>
      </c>
      <c r="D136" s="245" t="n">
        <v>46251</v>
      </c>
      <c r="E136" s="245" t="n">
        <v>46247</v>
      </c>
      <c r="F136" s="245">
        <f>IFERROR(INDEX('Batch Dates'!$G:$G,MATCH(J136,'Batch Dates'!$C:$C,0)),IFERROR(INDEX('Batch Dates'!$G:$G,MATCH(I136,'Batch Dates'!$B:$B,0)),""))</f>
        <v/>
      </c>
      <c r="G136" s="243" t="inlineStr">
        <is>
          <t>legacy</t>
        </is>
      </c>
      <c r="H136" s="243" t="inlineStr">
        <is>
          <t>retest 1</t>
        </is>
      </c>
      <c r="I136" s="244" t="inlineStr">
        <is>
          <t>GP092501</t>
        </is>
      </c>
      <c r="J136" s="243" t="inlineStr">
        <is>
          <t>P060092</t>
        </is>
      </c>
      <c r="K136" s="243" t="inlineStr">
        <is>
          <t>Grape Pie</t>
        </is>
      </c>
      <c r="L136" s="243" t="inlineStr">
        <is>
          <t>Ident A + Ident B + Foreign matter</t>
        </is>
      </c>
      <c r="M136" s="248" t="inlineStr">
        <is>
          <t>—</t>
        </is>
      </c>
      <c r="N136" s="243">
        <f>IFERROR(INDEX('CoQ Register'!$B:$B,MATCH("P060092|R",'CoQ Register'!$S:$S,0)),"—")</f>
        <v/>
      </c>
      <c r="O136" s="248" t="inlineStr">
        <is>
          <t>—</t>
        </is>
      </c>
      <c r="P136" s="243" t="inlineStr">
        <is>
          <t>03.02.2027</t>
        </is>
      </c>
      <c r="Q136" s="243" t="inlineStr">
        <is>
          <t>16.12.2025 – 17.12.2025</t>
        </is>
      </c>
      <c r="R136" s="243" t="inlineStr">
        <is>
          <t>03.02.2026 – 09.02.2026</t>
        </is>
      </c>
      <c r="S136" s="245">
        <f>IFERROR(INDEX('CoQ Register'!$D:$D,MATCH("P060092|R",'CoQ Register'!$S:$S,0)),"")</f>
        <v/>
      </c>
      <c r="T136" s="243" t="inlineStr">
        <is>
          <t>Conforms</t>
        </is>
      </c>
      <c r="U136" s="243" t="inlineStr">
        <is>
          <t>Conforms</t>
        </is>
      </c>
      <c r="V136" s="243" t="inlineStr">
        <is>
          <t>Conforms</t>
        </is>
      </c>
      <c r="W136" s="243" t="inlineStr">
        <is>
          <t>220-13-K-26, (25.08.2026) [FHM-K]</t>
        </is>
      </c>
      <c r="X136" s="243" t="inlineStr">
        <is>
          <t>220-13-K-26, (25.08.2026) [FHM-K]</t>
        </is>
      </c>
      <c r="Y136" s="243" t="inlineStr">
        <is>
          <t>220-13-M-26, (11.09.2026) [FHM-M]</t>
        </is>
      </c>
      <c r="Z136" s="243" t="inlineStr">
        <is>
          <t>#8, #9, #11, #12 from the initial testing</t>
        </is>
      </c>
      <c r="AA136" s="243" t="inlineStr">
        <is>
          <t>P060092|R</t>
        </is>
      </c>
      <c r="AB136" s="250" t="inlineStr">
        <is>
          <t>registered — retest 1 · Tranche 2 (sampled 12–14.08.2026), tested 13.08.2026, issued 17.08.2026</t>
        </is>
      </c>
    </row>
    <row r="137">
      <c r="A137" s="243" t="n">
        <v>136</v>
      </c>
      <c r="B137" s="244" t="inlineStr">
        <is>
          <t>iCoA-PP_26-136</t>
        </is>
      </c>
      <c r="C137" s="249" t="inlineStr">
        <is>
          <t>yes</t>
        </is>
      </c>
      <c r="D137" s="245" t="n">
        <v>46251</v>
      </c>
      <c r="E137" s="245" t="n">
        <v>46247</v>
      </c>
      <c r="F137" s="245">
        <f>IFERROR(INDEX('Batch Dates'!$G:$G,MATCH(J137,'Batch Dates'!$C:$C,0)),IFERROR(INDEX('Batch Dates'!$G:$G,MATCH(I137,'Batch Dates'!$B:$B,0)),""))</f>
        <v/>
      </c>
      <c r="G137" s="243" t="inlineStr">
        <is>
          <t>legacy</t>
        </is>
      </c>
      <c r="H137" s="243" t="inlineStr">
        <is>
          <t>retest 2</t>
        </is>
      </c>
      <c r="I137" s="244" t="inlineStr">
        <is>
          <t>GRC102501</t>
        </is>
      </c>
      <c r="J137" s="243" t="inlineStr">
        <is>
          <t>P060182</t>
        </is>
      </c>
      <c r="K137" s="243" t="inlineStr">
        <is>
          <t>Grapes And Cream</t>
        </is>
      </c>
      <c r="L137" s="243" t="inlineStr">
        <is>
          <t>Ident A + Ident B + Foreign matter</t>
        </is>
      </c>
      <c r="M137" s="248" t="inlineStr">
        <is>
          <t>—</t>
        </is>
      </c>
      <c r="N137" s="243">
        <f>IFERROR(INDEX('CoQ Register'!$B:$B,MATCH("P060182|R2",'CoQ Register'!$S:$S,0)),"—")</f>
        <v/>
      </c>
      <c r="O137" s="248" t="inlineStr">
        <is>
          <t>—</t>
        </is>
      </c>
      <c r="P137" s="243" t="inlineStr">
        <is>
          <t>14.03.2027</t>
        </is>
      </c>
      <c r="Q137" s="243" t="inlineStr">
        <is>
          <t>20.01.2026</t>
        </is>
      </c>
      <c r="R137" s="243" t="inlineStr">
        <is>
          <t>14.03.2026</t>
        </is>
      </c>
      <c r="S137" s="245">
        <f>IFERROR(INDEX('CoQ Register'!$D:$D,MATCH("P060182|R2",'CoQ Register'!$S:$S,0)),"")</f>
        <v/>
      </c>
      <c r="T137" s="243" t="inlineStr">
        <is>
          <t>Conforms</t>
        </is>
      </c>
      <c r="U137" s="243" t="inlineStr">
        <is>
          <t>Conforms</t>
        </is>
      </c>
      <c r="V137" s="243" t="inlineStr">
        <is>
          <t>Conforms</t>
        </is>
      </c>
      <c r="W137" s="243" t="inlineStr">
        <is>
          <t>220-14-K-26, (25.08.2026) [FHM-K]</t>
        </is>
      </c>
      <c r="X137" s="243" t="inlineStr">
        <is>
          <t>220-14-K-26, (25.08.2026) [FHM-K]</t>
        </is>
      </c>
      <c r="Y137" s="243" t="inlineStr">
        <is>
          <t>220-14-M-26, (11.09.2026) [FHM-M]</t>
        </is>
      </c>
      <c r="Z137" s="243" t="inlineStr">
        <is>
          <t>#8, #9, #11, #12 from the initial testing</t>
        </is>
      </c>
      <c r="AA137" s="243" t="inlineStr">
        <is>
          <t>P060182|R2</t>
        </is>
      </c>
      <c r="AB137" s="250" t="inlineStr">
        <is>
          <t>registered — retest 2 · Tranche 2 (sampled 12–14.08.2026), tested 13.08.2026, issued 17.08.2026</t>
        </is>
      </c>
    </row>
    <row r="138">
      <c r="A138" s="243" t="n">
        <v>137</v>
      </c>
      <c r="B138" s="244" t="inlineStr">
        <is>
          <t>iCoA-PP_26-137</t>
        </is>
      </c>
      <c r="C138" s="249" t="inlineStr">
        <is>
          <t>yes</t>
        </is>
      </c>
      <c r="D138" s="245" t="n">
        <v>46251</v>
      </c>
      <c r="E138" s="245" t="n">
        <v>46247</v>
      </c>
      <c r="F138" s="245">
        <f>IFERROR(INDEX('Batch Dates'!$G:$G,MATCH(J138,'Batch Dates'!$C:$C,0)),IFERROR(INDEX('Batch Dates'!$G:$G,MATCH(I138,'Batch Dates'!$B:$B,0)),""))</f>
        <v/>
      </c>
      <c r="G138" s="243" t="inlineStr">
        <is>
          <t>legacy</t>
        </is>
      </c>
      <c r="H138" s="243" t="inlineStr">
        <is>
          <t>retest 1</t>
        </is>
      </c>
      <c r="I138" s="244" t="inlineStr">
        <is>
          <t>HPA052501</t>
        </is>
      </c>
      <c r="J138" s="243" t="inlineStr">
        <is>
          <t>P050182</t>
        </is>
      </c>
      <c r="K138" s="243" t="inlineStr">
        <is>
          <t>High Pro Amnesia</t>
        </is>
      </c>
      <c r="L138" s="243" t="inlineStr">
        <is>
          <t>Ident A + Ident B + Foreign matter</t>
        </is>
      </c>
      <c r="M138" s="248" t="inlineStr">
        <is>
          <t>—</t>
        </is>
      </c>
      <c r="N138" s="243">
        <f>IFERROR(INDEX('CoQ Register'!$B:$B,MATCH("P050182|R",'CoQ Register'!$S:$S,0)),"—")</f>
        <v/>
      </c>
      <c r="O138" s="248" t="inlineStr">
        <is>
          <t>—</t>
        </is>
      </c>
      <c r="P138" s="243" t="inlineStr">
        <is>
          <t>03.10.2026</t>
        </is>
      </c>
      <c r="Q138" s="243" t="inlineStr">
        <is>
          <t>21.08.2025 – 23.08.2025</t>
        </is>
      </c>
      <c r="R138" s="243" t="inlineStr">
        <is>
          <t>03.10.2025 – 09.10.2025</t>
        </is>
      </c>
      <c r="S138" s="245">
        <f>IFERROR(INDEX('CoQ Register'!$D:$D,MATCH("P050182|R",'CoQ Register'!$S:$S,0)),"")</f>
        <v/>
      </c>
      <c r="T138" s="243" t="inlineStr">
        <is>
          <t>Conforms</t>
        </is>
      </c>
      <c r="U138" s="243" t="inlineStr">
        <is>
          <t>Conforms</t>
        </is>
      </c>
      <c r="V138" s="243" t="inlineStr">
        <is>
          <t>Conforms</t>
        </is>
      </c>
      <c r="W138" s="243" t="inlineStr">
        <is>
          <t>220-15-K-26, (25.08.2026) [FHM-K]</t>
        </is>
      </c>
      <c r="X138" s="243" t="inlineStr">
        <is>
          <t>220-15-K-26, (25.08.2026) [FHM-K]</t>
        </is>
      </c>
      <c r="Y138" s="243" t="inlineStr">
        <is>
          <t>220-15-M-26, (11.09.2026) [FHM-M]</t>
        </is>
      </c>
      <c r="Z138" s="243" t="inlineStr">
        <is>
          <t>#8, #9, #11, #12 from the initial testing</t>
        </is>
      </c>
      <c r="AA138" s="243" t="inlineStr">
        <is>
          <t>P050182|R</t>
        </is>
      </c>
      <c r="AB138" s="250" t="inlineStr">
        <is>
          <t>registered — retest 1 · Tranche 2 (sampled 12–14.08.2026), tested 13.08.2026, issued 17.08.2026</t>
        </is>
      </c>
    </row>
    <row r="139">
      <c r="A139" s="243" t="n">
        <v>138</v>
      </c>
      <c r="B139" s="244" t="inlineStr">
        <is>
          <t>iCoA-PP_26-138</t>
        </is>
      </c>
      <c r="C139" s="249" t="inlineStr">
        <is>
          <t>yes</t>
        </is>
      </c>
      <c r="D139" s="245" t="n">
        <v>46251</v>
      </c>
      <c r="E139" s="245" t="n">
        <v>46247</v>
      </c>
      <c r="F139" s="245">
        <f>IFERROR(INDEX('Batch Dates'!$G:$G,MATCH(J139,'Batch Dates'!$C:$C,0)),IFERROR(INDEX('Batch Dates'!$G:$G,MATCH(I139,'Batch Dates'!$B:$B,0)),""))</f>
        <v/>
      </c>
      <c r="G139" s="243" t="inlineStr">
        <is>
          <t>post-SOP</t>
        </is>
      </c>
      <c r="H139" s="243" t="inlineStr">
        <is>
          <t>retest 1</t>
        </is>
      </c>
      <c r="I139" s="244" t="inlineStr">
        <is>
          <t>JD012603</t>
        </is>
      </c>
      <c r="J139" s="243" t="inlineStr">
        <is>
          <t>P060412</t>
        </is>
      </c>
      <c r="K139" s="243" t="inlineStr">
        <is>
          <t>Jelly Donuts</t>
        </is>
      </c>
      <c r="L139" s="243" t="inlineStr">
        <is>
          <t>Ident A + Ident B + Foreign matter</t>
        </is>
      </c>
      <c r="M139" s="248" t="inlineStr">
        <is>
          <t>—</t>
        </is>
      </c>
      <c r="N139" s="243">
        <f>IFERROR(INDEX('CoQ Register'!$B:$B,MATCH("P060412|R",'CoQ Register'!$S:$S,0)),"—")</f>
        <v/>
      </c>
      <c r="O139" s="248" t="inlineStr">
        <is>
          <t>—</t>
        </is>
      </c>
      <c r="P139" s="243" t="inlineStr">
        <is>
          <t>24.05.2027</t>
        </is>
      </c>
      <c r="Q139" s="243" t="inlineStr">
        <is>
          <t>04.05.2026</t>
        </is>
      </c>
      <c r="R139" s="243" t="inlineStr">
        <is>
          <t>24.05.2026</t>
        </is>
      </c>
      <c r="S139" s="245">
        <f>IFERROR(INDEX('CoQ Register'!$D:$D,MATCH("P060412|R",'CoQ Register'!$S:$S,0)),"")</f>
        <v/>
      </c>
      <c r="T139" s="243" t="inlineStr">
        <is>
          <t>CNP ППК26111</t>
        </is>
      </c>
      <c r="U139" s="243" t="inlineStr">
        <is>
          <t>CNP ППК26111</t>
        </is>
      </c>
      <c r="V139" s="243" t="inlineStr">
        <is>
          <t>Conforms</t>
        </is>
      </c>
      <c r="W139" s="243" t="inlineStr">
        <is>
          <t>220-17-K-26, (26.08.2026) [FHM-K]</t>
        </is>
      </c>
      <c r="X139" s="243" t="inlineStr">
        <is>
          <t>220-17-K-26, (26.08.2026) [FHM-K]</t>
        </is>
      </c>
      <c r="Y139" s="243" t="inlineStr">
        <is>
          <t>220-17-M-26, (11.09.2026) [FHM-M]</t>
        </is>
      </c>
      <c r="Z139" s="243" t="inlineStr">
        <is>
          <t>#8, #9, #11, #12 from the initial testing</t>
        </is>
      </c>
      <c r="AA139" s="243" t="inlineStr">
        <is>
          <t>P060412|R</t>
        </is>
      </c>
      <c r="AB139" s="250" t="inlineStr">
        <is>
          <t>registered — retest 1 · Tranche 2 (sampled 12–14.08.2026), tested 13.08.2026, issued 17.08.2026</t>
        </is>
      </c>
    </row>
    <row r="140">
      <c r="A140" s="243" t="n">
        <v>139</v>
      </c>
      <c r="B140" s="244" t="inlineStr">
        <is>
          <t>iCoA-PP_26-139</t>
        </is>
      </c>
      <c r="C140" s="249" t="inlineStr">
        <is>
          <t>yes</t>
        </is>
      </c>
      <c r="D140" s="245" t="n">
        <v>46251</v>
      </c>
      <c r="E140" s="245" t="n">
        <v>46247</v>
      </c>
      <c r="F140" s="245">
        <f>IFERROR(INDEX('Batch Dates'!$G:$G,MATCH(J140,'Batch Dates'!$C:$C,0)),IFERROR(INDEX('Batch Dates'!$G:$G,MATCH(I140,'Batch Dates'!$B:$B,0)),""))</f>
        <v/>
      </c>
      <c r="G140" s="243" t="inlineStr">
        <is>
          <t>post-SOP</t>
        </is>
      </c>
      <c r="H140" s="243" t="inlineStr">
        <is>
          <t>retest 1</t>
        </is>
      </c>
      <c r="I140" s="244" t="inlineStr">
        <is>
          <t>JD012603</t>
        </is>
      </c>
      <c r="J140" s="243" t="inlineStr">
        <is>
          <t>P060422</t>
        </is>
      </c>
      <c r="K140" s="243" t="inlineStr">
        <is>
          <t>Jelly Donuts</t>
        </is>
      </c>
      <c r="L140" s="243" t="inlineStr">
        <is>
          <t>Ident A + Ident B + Foreign matter</t>
        </is>
      </c>
      <c r="M140" s="248" t="inlineStr">
        <is>
          <t>—</t>
        </is>
      </c>
      <c r="N140" s="243">
        <f>IFERROR(INDEX('CoQ Register'!$B:$B,MATCH("P060422|R",'CoQ Register'!$S:$S,0)),"—")</f>
        <v/>
      </c>
      <c r="O140" s="248" t="inlineStr">
        <is>
          <t>—</t>
        </is>
      </c>
      <c r="P140" s="243" t="inlineStr">
        <is>
          <t>23.05.2027</t>
        </is>
      </c>
      <c r="Q140" s="243" t="inlineStr">
        <is>
          <t>29.04.2026</t>
        </is>
      </c>
      <c r="R140" s="243" t="inlineStr">
        <is>
          <t>23.05.2026</t>
        </is>
      </c>
      <c r="S140" s="245">
        <f>IFERROR(INDEX('CoQ Register'!$D:$D,MATCH("P060422|R",'CoQ Register'!$S:$S,0)),"")</f>
        <v/>
      </c>
      <c r="T140" s="243" t="inlineStr">
        <is>
          <t>CNP ППК26111</t>
        </is>
      </c>
      <c r="U140" s="243" t="inlineStr">
        <is>
          <t>CNP ППК26111</t>
        </is>
      </c>
      <c r="V140" s="243" t="inlineStr">
        <is>
          <t>Conforms</t>
        </is>
      </c>
      <c r="W140" s="243" t="inlineStr">
        <is>
          <t>220-18-K-26, (26.08.2026) [FHM-K]</t>
        </is>
      </c>
      <c r="X140" s="243" t="inlineStr">
        <is>
          <t>220-18-K-26, (26.08.2026) [FHM-K]</t>
        </is>
      </c>
      <c r="Y140" s="243" t="inlineStr">
        <is>
          <t>220-18-M-26, (11.09.2026) [FHM-M]</t>
        </is>
      </c>
      <c r="Z140" s="243" t="inlineStr">
        <is>
          <t>#8, #9, #11, #12 from the initial testing</t>
        </is>
      </c>
      <c r="AA140" s="243" t="inlineStr">
        <is>
          <t>P060422|R</t>
        </is>
      </c>
      <c r="AB140" s="250" t="inlineStr">
        <is>
          <t>registered — retest 1 · Tranche 2 (sampled 12–14.08.2026), tested 13.08.2026, issued 17.08.2026</t>
        </is>
      </c>
    </row>
    <row r="141">
      <c r="A141" s="243" t="n">
        <v>140</v>
      </c>
      <c r="B141" s="244" t="inlineStr">
        <is>
          <t>iCoA-PP_26-140</t>
        </is>
      </c>
      <c r="C141" s="249" t="inlineStr">
        <is>
          <t>yes</t>
        </is>
      </c>
      <c r="D141" s="245" t="n">
        <v>46251</v>
      </c>
      <c r="E141" s="245" t="n">
        <v>46247</v>
      </c>
      <c r="F141" s="245">
        <f>IFERROR(INDEX('Batch Dates'!$G:$G,MATCH(J141,'Batch Dates'!$C:$C,0)),IFERROR(INDEX('Batch Dates'!$G:$G,MATCH(I141,'Batch Dates'!$B:$B,0)),""))</f>
        <v/>
      </c>
      <c r="G141" s="243" t="inlineStr">
        <is>
          <t>post-SOP</t>
        </is>
      </c>
      <c r="H141" s="243" t="inlineStr">
        <is>
          <t>retest 1</t>
        </is>
      </c>
      <c r="I141" s="244" t="inlineStr">
        <is>
          <t>JD012603</t>
        </is>
      </c>
      <c r="J141" s="243" t="inlineStr">
        <is>
          <t>P060362</t>
        </is>
      </c>
      <c r="K141" s="243" t="inlineStr">
        <is>
          <t>Jelly Donuts</t>
        </is>
      </c>
      <c r="L141" s="243" t="inlineStr">
        <is>
          <t>Ident A + Ident B + Foreign matter</t>
        </is>
      </c>
      <c r="M141" s="248" t="inlineStr">
        <is>
          <t>—</t>
        </is>
      </c>
      <c r="N141" s="243">
        <f>IFERROR(INDEX('CoQ Register'!$B:$B,MATCH("P060362|R",'CoQ Register'!$S:$S,0)),"—")</f>
        <v/>
      </c>
      <c r="O141" s="248" t="inlineStr">
        <is>
          <t>—</t>
        </is>
      </c>
      <c r="P141" s="243" t="inlineStr">
        <is>
          <t>23.05.2027</t>
        </is>
      </c>
      <c r="Q141" s="243" t="inlineStr">
        <is>
          <t>22.04.2026</t>
        </is>
      </c>
      <c r="R141" s="243" t="inlineStr">
        <is>
          <t>23.05.2026</t>
        </is>
      </c>
      <c r="S141" s="245">
        <f>IFERROR(INDEX('CoQ Register'!$D:$D,MATCH("P060362|R",'CoQ Register'!$S:$S,0)),"")</f>
        <v/>
      </c>
      <c r="T141" s="243" t="inlineStr">
        <is>
          <t>CNP ППК26111</t>
        </is>
      </c>
      <c r="U141" s="243" t="inlineStr">
        <is>
          <t>CNP ППК26111</t>
        </is>
      </c>
      <c r="V141" s="243" t="inlineStr">
        <is>
          <t>Conforms</t>
        </is>
      </c>
      <c r="W141" s="243" t="inlineStr">
        <is>
          <t>220-16-K-26, (25.08.2026) [FHM-K]</t>
        </is>
      </c>
      <c r="X141" s="243" t="inlineStr">
        <is>
          <t>220-16-K-26, (25.08.2026) [FHM-K]</t>
        </is>
      </c>
      <c r="Y141" s="243" t="inlineStr">
        <is>
          <t>220-16-M-26, (11.09.2026) [FHM-M]</t>
        </is>
      </c>
      <c r="Z141" s="243" t="inlineStr">
        <is>
          <t>#8, #9, #11, #12 from the initial testing</t>
        </is>
      </c>
      <c r="AA141" s="243" t="inlineStr">
        <is>
          <t>P060362|R</t>
        </is>
      </c>
      <c r="AB141" s="250" t="inlineStr">
        <is>
          <t>registered — retest 1 · Tranche 2 (sampled 12–14.08.2026), tested 13.08.2026, issued 17.08.2026</t>
        </is>
      </c>
    </row>
    <row r="142">
      <c r="A142" s="243" t="n">
        <v>141</v>
      </c>
      <c r="B142" s="244" t="inlineStr">
        <is>
          <t>iCoA-PP_26-141</t>
        </is>
      </c>
      <c r="C142" s="249" t="inlineStr">
        <is>
          <t>yes</t>
        </is>
      </c>
      <c r="D142" s="245" t="n">
        <v>46251</v>
      </c>
      <c r="E142" s="245" t="n">
        <v>46247</v>
      </c>
      <c r="F142" s="245">
        <f>IFERROR(INDEX('Batch Dates'!$G:$G,MATCH(J142,'Batch Dates'!$C:$C,0)),IFERROR(INDEX('Batch Dates'!$G:$G,MATCH(I142,'Batch Dates'!$B:$B,0)),""))</f>
        <v/>
      </c>
      <c r="G142" s="243" t="inlineStr">
        <is>
          <t>legacy</t>
        </is>
      </c>
      <c r="H142" s="243" t="inlineStr">
        <is>
          <t>retest 1</t>
        </is>
      </c>
      <c r="I142" s="244" t="inlineStr">
        <is>
          <t>KC102501</t>
        </is>
      </c>
      <c r="J142" s="243" t="inlineStr">
        <is>
          <t>P060172</t>
        </is>
      </c>
      <c r="K142" s="243" t="inlineStr">
        <is>
          <t>Kush Crasher</t>
        </is>
      </c>
      <c r="L142" s="243" t="inlineStr">
        <is>
          <t>Ident A + Ident B + Foreign matter</t>
        </is>
      </c>
      <c r="M142" s="248" t="inlineStr">
        <is>
          <t>—</t>
        </is>
      </c>
      <c r="N142" s="243">
        <f>IFERROR(INDEX('CoQ Register'!$B:$B,MATCH("P060172|R",'CoQ Register'!$S:$S,0)),"—")</f>
        <v/>
      </c>
      <c r="O142" s="248" t="inlineStr">
        <is>
          <t>—</t>
        </is>
      </c>
      <c r="P142" s="243" t="inlineStr">
        <is>
          <t>12.03.2027</t>
        </is>
      </c>
      <c r="Q142" s="243" t="inlineStr">
        <is>
          <t>20.01.2026 – 21.01.2026</t>
        </is>
      </c>
      <c r="R142" s="243" t="inlineStr">
        <is>
          <t>12.03.2026</t>
        </is>
      </c>
      <c r="S142" s="245">
        <f>IFERROR(INDEX('CoQ Register'!$D:$D,MATCH("P060172|R",'CoQ Register'!$S:$S,0)),"")</f>
        <v/>
      </c>
      <c r="T142" s="243" t="inlineStr">
        <is>
          <t>Conforms</t>
        </is>
      </c>
      <c r="U142" s="243" t="inlineStr">
        <is>
          <t>Conforms</t>
        </is>
      </c>
      <c r="V142" s="243" t="inlineStr">
        <is>
          <t>Conforms</t>
        </is>
      </c>
      <c r="W142" s="243" t="inlineStr">
        <is>
          <t>220-19-K-26, (26.08.2026) [FHM-K]</t>
        </is>
      </c>
      <c r="X142" s="243" t="inlineStr">
        <is>
          <t>220-19-K-26, (26.08.2026) [FHM-K]</t>
        </is>
      </c>
      <c r="Y142" s="243" t="inlineStr">
        <is>
          <t>220-19-M-26, (11.09.2026) [FHM-M]</t>
        </is>
      </c>
      <c r="Z142" s="243" t="inlineStr">
        <is>
          <t>#8, #9, #11, #12 from the initial testing</t>
        </is>
      </c>
      <c r="AA142" s="243" t="inlineStr">
        <is>
          <t>P060172|R</t>
        </is>
      </c>
      <c r="AB142" s="250" t="inlineStr">
        <is>
          <t>registered — retest 1 · Tranche 2 (sampled 12–14.08.2026), tested 13.08.2026, issued 17.08.2026</t>
        </is>
      </c>
    </row>
    <row r="143">
      <c r="A143" s="243" t="n">
        <v>142</v>
      </c>
      <c r="B143" s="244" t="inlineStr">
        <is>
          <t>iCoA-PP_26-142</t>
        </is>
      </c>
      <c r="C143" s="249" t="inlineStr">
        <is>
          <t>yes</t>
        </is>
      </c>
      <c r="D143" s="245" t="n">
        <v>46251</v>
      </c>
      <c r="E143" s="245" t="n">
        <v>46247</v>
      </c>
      <c r="F143" s="245">
        <f>IFERROR(INDEX('Batch Dates'!$G:$G,MATCH(J143,'Batch Dates'!$C:$C,0)),IFERROR(INDEX('Batch Dates'!$G:$G,MATCH(I143,'Batch Dates'!$B:$B,0)),""))</f>
        <v/>
      </c>
      <c r="G143" s="243" t="inlineStr">
        <is>
          <t>legacy</t>
        </is>
      </c>
      <c r="H143" s="243" t="inlineStr">
        <is>
          <t>retest 1</t>
        </is>
      </c>
      <c r="I143" s="244" t="inlineStr">
        <is>
          <t>MB0824_05</t>
        </is>
      </c>
      <c r="J143" s="243" t="inlineStr">
        <is>
          <t>P050112</t>
        </is>
      </c>
      <c r="K143" s="243" t="inlineStr">
        <is>
          <t>Motor Breath</t>
        </is>
      </c>
      <c r="L143" s="243" t="inlineStr">
        <is>
          <t>Ident A + Ident B + Foreign matter</t>
        </is>
      </c>
      <c r="M143" s="248" t="inlineStr">
        <is>
          <t>—</t>
        </is>
      </c>
      <c r="N143" s="243">
        <f>IFERROR(INDEX('CoQ Register'!$B:$B,MATCH("P050112|R",'CoQ Register'!$S:$S,0)),"—")</f>
        <v/>
      </c>
      <c r="O143" s="248" t="inlineStr">
        <is>
          <t>—</t>
        </is>
      </c>
      <c r="P143" s="243" t="inlineStr">
        <is>
          <t>25.08.2026</t>
        </is>
      </c>
      <c r="Q143" s="243" t="inlineStr">
        <is>
          <t>08.07.2025 – 09.07.2025</t>
        </is>
      </c>
      <c r="R143" s="243" t="inlineStr">
        <is>
          <t>25.08.2025 – 31.08.2025</t>
        </is>
      </c>
      <c r="S143" s="245">
        <f>IFERROR(INDEX('CoQ Register'!$D:$D,MATCH("P050112|R",'CoQ Register'!$S:$S,0)),"")</f>
        <v/>
      </c>
      <c r="T143" s="243" t="inlineStr">
        <is>
          <t>Conforms</t>
        </is>
      </c>
      <c r="U143" s="243" t="inlineStr">
        <is>
          <t>Conforms</t>
        </is>
      </c>
      <c r="V143" s="243" t="inlineStr">
        <is>
          <t>Conforms</t>
        </is>
      </c>
      <c r="W143" s="243" t="inlineStr">
        <is>
          <t>220-20-K-26, (26.08.2026) [FHM-K]</t>
        </is>
      </c>
      <c r="X143" s="243" t="inlineStr">
        <is>
          <t>220-20-K-26, (26.08.2026) [FHM-K]</t>
        </is>
      </c>
      <c r="Y143" s="243" t="inlineStr">
        <is>
          <t>220-20-M-26, (11.09.2026) [FHM-M]</t>
        </is>
      </c>
      <c r="Z143" s="243" t="inlineStr">
        <is>
          <t>#8, #9, #11, #12 from the initial testing</t>
        </is>
      </c>
      <c r="AA143" s="243" t="inlineStr">
        <is>
          <t>P050112|R</t>
        </is>
      </c>
      <c r="AB143" s="250" t="inlineStr">
        <is>
          <t>registered — retest 1 · Tranche 2 (sampled 12–14.08.2026), tested 13.08.2026, issued 17.08.2026</t>
        </is>
      </c>
    </row>
    <row r="144">
      <c r="A144" s="243" t="n">
        <v>143</v>
      </c>
      <c r="B144" s="244" t="inlineStr">
        <is>
          <t>iCoA-PP_26-143</t>
        </is>
      </c>
      <c r="C144" s="249" t="inlineStr">
        <is>
          <t>yes</t>
        </is>
      </c>
      <c r="D144" s="245" t="n">
        <v>46251</v>
      </c>
      <c r="E144" s="245" t="n">
        <v>46247</v>
      </c>
      <c r="F144" s="245">
        <f>IFERROR(INDEX('Batch Dates'!$G:$G,MATCH(J144,'Batch Dates'!$C:$C,0)),IFERROR(INDEX('Batch Dates'!$G:$G,MATCH(I144,'Batch Dates'!$B:$B,0)),""))</f>
        <v/>
      </c>
      <c r="G144" s="243" t="inlineStr">
        <is>
          <t>legacy</t>
        </is>
      </c>
      <c r="H144" s="243" t="inlineStr">
        <is>
          <t>retest 1</t>
        </is>
      </c>
      <c r="I144" s="244" t="inlineStr">
        <is>
          <t>OPM092501</t>
        </is>
      </c>
      <c r="J144" s="243" t="inlineStr">
        <is>
          <t>P060042</t>
        </is>
      </c>
      <c r="K144" s="243" t="inlineStr">
        <is>
          <t>Orange Punch Mimosa</t>
        </is>
      </c>
      <c r="L144" s="243" t="inlineStr">
        <is>
          <t>Ident A + Ident B + Foreign matter</t>
        </is>
      </c>
      <c r="M144" s="248" t="inlineStr">
        <is>
          <t>—</t>
        </is>
      </c>
      <c r="N144" s="243">
        <f>IFERROR(INDEX('CoQ Register'!$B:$B,MATCH("P060042|R",'CoQ Register'!$S:$S,0)),"—")</f>
        <v/>
      </c>
      <c r="O144" s="248" t="inlineStr">
        <is>
          <t>—</t>
        </is>
      </c>
      <c r="P144" s="243" t="inlineStr">
        <is>
          <t>29.01.2027</t>
        </is>
      </c>
      <c r="Q144" s="243" t="inlineStr">
        <is>
          <t>12.12.2025</t>
        </is>
      </c>
      <c r="R144" s="243" t="inlineStr">
        <is>
          <t>29.01.2026</t>
        </is>
      </c>
      <c r="S144" s="245">
        <f>IFERROR(INDEX('CoQ Register'!$D:$D,MATCH("P060042|R",'CoQ Register'!$S:$S,0)),"")</f>
        <v/>
      </c>
      <c r="T144" s="243" t="inlineStr">
        <is>
          <t>Conforms</t>
        </is>
      </c>
      <c r="U144" s="243" t="inlineStr">
        <is>
          <t>Conforms</t>
        </is>
      </c>
      <c r="V144" s="243" t="inlineStr">
        <is>
          <t>Conforms</t>
        </is>
      </c>
      <c r="W144" s="243" t="inlineStr">
        <is>
          <t>220-22-K-26, (26.08.2026) [FHM-K]</t>
        </is>
      </c>
      <c r="X144" s="243" t="inlineStr">
        <is>
          <t>220-22-K-26, (26.08.2026) [FHM-K]</t>
        </is>
      </c>
      <c r="Y144" s="243" t="inlineStr">
        <is>
          <t>220-22-M-26, (11.09.2026) [FHM-M]</t>
        </is>
      </c>
      <c r="Z144" s="243" t="inlineStr">
        <is>
          <t>#8, #9, #11, #12 from the initial testing</t>
        </is>
      </c>
      <c r="AA144" s="243" t="inlineStr">
        <is>
          <t>P060042|R</t>
        </is>
      </c>
      <c r="AB144" s="250" t="inlineStr">
        <is>
          <t>registered — retest 1 · Tranche 2 (sampled 12–14.08.2026), tested 13.08.2026, issued 17.08.2026</t>
        </is>
      </c>
    </row>
    <row r="145">
      <c r="A145" s="243" t="n">
        <v>144</v>
      </c>
      <c r="B145" s="244" t="inlineStr">
        <is>
          <t>iCoA-PP_26-144</t>
        </is>
      </c>
      <c r="C145" s="249" t="inlineStr">
        <is>
          <t>yes</t>
        </is>
      </c>
      <c r="D145" s="245" t="n">
        <v>46251</v>
      </c>
      <c r="E145" s="245" t="n">
        <v>46247</v>
      </c>
      <c r="F145" s="245">
        <f>IFERROR(INDEX('Batch Dates'!$G:$G,MATCH(J145,'Batch Dates'!$C:$C,0)),IFERROR(INDEX('Batch Dates'!$G:$G,MATCH(I145,'Batch Dates'!$B:$B,0)),""))</f>
        <v/>
      </c>
      <c r="G145" s="243" t="inlineStr">
        <is>
          <t>legacy</t>
        </is>
      </c>
      <c r="H145" s="243" t="inlineStr">
        <is>
          <t>retest 2</t>
        </is>
      </c>
      <c r="I145" s="244" t="inlineStr">
        <is>
          <t>OMP1024_01</t>
        </is>
      </c>
      <c r="J145" s="243" t="inlineStr">
        <is>
          <t>P050042</t>
        </is>
      </c>
      <c r="K145" s="243" t="inlineStr">
        <is>
          <t>Orange Punch Mimosa</t>
        </is>
      </c>
      <c r="L145" s="243" t="inlineStr">
        <is>
          <t>Ident A + Ident B + Foreign matter</t>
        </is>
      </c>
      <c r="M145" s="248" t="inlineStr">
        <is>
          <t>—</t>
        </is>
      </c>
      <c r="N145" s="243">
        <f>IFERROR(INDEX('CoQ Register'!$B:$B,MATCH("P050042|R2",'CoQ Register'!$S:$S,0)),"—")</f>
        <v/>
      </c>
      <c r="O145" s="248" t="inlineStr">
        <is>
          <t>—</t>
        </is>
      </c>
      <c r="P145" s="243" t="inlineStr">
        <is>
          <t>20.06.2026</t>
        </is>
      </c>
      <c r="Q145" s="243" t="inlineStr">
        <is>
          <t>26.03.2025 – 27.03.2025</t>
        </is>
      </c>
      <c r="R145" s="243" t="inlineStr">
        <is>
          <t>20.06.2025</t>
        </is>
      </c>
      <c r="S145" s="245">
        <f>IFERROR(INDEX('CoQ Register'!$D:$D,MATCH("P050042|R2",'CoQ Register'!$S:$S,0)),"")</f>
        <v/>
      </c>
      <c r="T145" s="243" t="inlineStr">
        <is>
          <t>Conforms</t>
        </is>
      </c>
      <c r="U145" s="243" t="inlineStr">
        <is>
          <t>Conforms</t>
        </is>
      </c>
      <c r="V145" s="243" t="inlineStr">
        <is>
          <t>Conforms</t>
        </is>
      </c>
      <c r="W145" s="243" t="inlineStr">
        <is>
          <t>220-21-K-26, (26.08.2026) [FHM-K]</t>
        </is>
      </c>
      <c r="X145" s="243" t="inlineStr">
        <is>
          <t>220-21-K-26, (26.08.2026) [FHM-K]</t>
        </is>
      </c>
      <c r="Y145" s="243" t="inlineStr">
        <is>
          <t>220-21-M-26, (11.09.2026) [FHM-M]</t>
        </is>
      </c>
      <c r="Z145" s="243" t="inlineStr">
        <is>
          <t>#8, #9, #11, #12 from the initial testing</t>
        </is>
      </c>
      <c r="AA145" s="243" t="inlineStr">
        <is>
          <t>P050042|R2</t>
        </is>
      </c>
      <c r="AB145" s="250" t="inlineStr">
        <is>
          <t>registered — retest 2 · Tranche 2 (sampled 12–14.08.2026), tested 13.08.2026, issued 17.08.2026</t>
        </is>
      </c>
    </row>
    <row r="146">
      <c r="A146" s="243" t="n">
        <v>145</v>
      </c>
      <c r="B146" s="244" t="inlineStr">
        <is>
          <t>iCoA-PP_26-145</t>
        </is>
      </c>
      <c r="C146" s="249" t="inlineStr">
        <is>
          <t>yes</t>
        </is>
      </c>
      <c r="D146" s="245" t="n">
        <v>46251</v>
      </c>
      <c r="E146" s="245" t="n">
        <v>46248</v>
      </c>
      <c r="F146" s="245">
        <f>IFERROR(INDEX('Batch Dates'!$G:$G,MATCH(J146,'Batch Dates'!$C:$C,0)),IFERROR(INDEX('Batch Dates'!$G:$G,MATCH(I146,'Batch Dates'!$B:$B,0)),""))</f>
        <v/>
      </c>
      <c r="G146" s="243" t="inlineStr">
        <is>
          <t>post-SOP</t>
        </is>
      </c>
      <c r="H146" s="243" t="inlineStr">
        <is>
          <t>retest 1</t>
        </is>
      </c>
      <c r="I146" s="244" t="inlineStr">
        <is>
          <t>CC012603</t>
        </is>
      </c>
      <c r="J146" s="243" t="inlineStr">
        <is>
          <t>P060372</t>
        </is>
      </c>
      <c r="K146" s="243" t="inlineStr">
        <is>
          <t>Cash Cow</t>
        </is>
      </c>
      <c r="L146" s="243" t="inlineStr">
        <is>
          <t>Ident A + Ident B + Foreign matter</t>
        </is>
      </c>
      <c r="M146" s="248" t="inlineStr">
        <is>
          <t>—</t>
        </is>
      </c>
      <c r="N146" s="243">
        <f>IFERROR(INDEX('CoQ Register'!$B:$B,MATCH("P060372|R",'CoQ Register'!$S:$S,0)),"—")</f>
        <v/>
      </c>
      <c r="O146" s="248" t="inlineStr">
        <is>
          <t>—</t>
        </is>
      </c>
      <c r="P146" s="243" t="inlineStr">
        <is>
          <t>24.05.2027</t>
        </is>
      </c>
      <c r="Q146" s="243" t="inlineStr">
        <is>
          <t>22.04.2026</t>
        </is>
      </c>
      <c r="R146" s="243" t="inlineStr">
        <is>
          <t>24.05.2026</t>
        </is>
      </c>
      <c r="S146" s="245">
        <f>IFERROR(INDEX('CoQ Register'!$D:$D,MATCH("P060372|R",'CoQ Register'!$S:$S,0)),"")</f>
        <v/>
      </c>
      <c r="T146" s="243" t="inlineStr">
        <is>
          <t>Conforms</t>
        </is>
      </c>
      <c r="U146" s="243" t="inlineStr">
        <is>
          <t>Conforms</t>
        </is>
      </c>
      <c r="V146" s="243" t="inlineStr">
        <is>
          <t>Conforms</t>
        </is>
      </c>
      <c r="W146" s="243" t="inlineStr">
        <is>
          <t>220-29-K-26, (26.08.2026) [FHM-K]</t>
        </is>
      </c>
      <c r="X146" s="243" t="inlineStr">
        <is>
          <t>220-29-K-26, (26.08.2026) [FHM-K]</t>
        </is>
      </c>
      <c r="Y146" s="243" t="inlineStr">
        <is>
          <t>220-29-M-26, (11.09.2026) [FHM-M]</t>
        </is>
      </c>
      <c r="Z146" s="243" t="inlineStr">
        <is>
          <t>#8, #9, #11, #12 from the initial testing</t>
        </is>
      </c>
      <c r="AA146" s="243" t="inlineStr">
        <is>
          <t>P060372|R</t>
        </is>
      </c>
      <c r="AB146" s="250" t="inlineStr">
        <is>
          <t>registered — retest 1 · Tranche 2 (sampled 12–14.08.2026), tested 14.08.2026, issued 17.08.2026</t>
        </is>
      </c>
    </row>
    <row r="147">
      <c r="A147" s="243" t="n">
        <v>146</v>
      </c>
      <c r="B147" s="244" t="inlineStr">
        <is>
          <t>iCoA-PP_26-146</t>
        </is>
      </c>
      <c r="C147" s="249" t="inlineStr">
        <is>
          <t>yes</t>
        </is>
      </c>
      <c r="D147" s="245" t="n">
        <v>46251</v>
      </c>
      <c r="E147" s="245" t="n">
        <v>46248</v>
      </c>
      <c r="F147" s="245">
        <f>IFERROR(INDEX('Batch Dates'!$G:$G,MATCH(J147,'Batch Dates'!$C:$C,0)),IFERROR(INDEX('Batch Dates'!$G:$G,MATCH(I147,'Batch Dates'!$B:$B,0)),""))</f>
        <v/>
      </c>
      <c r="G147" s="243" t="inlineStr">
        <is>
          <t>—</t>
        </is>
      </c>
      <c r="H147" s="243" t="inlineStr">
        <is>
          <t>retest 1</t>
        </is>
      </c>
      <c r="I147" s="244" t="inlineStr">
        <is>
          <t>CC042601</t>
        </is>
      </c>
      <c r="J147" s="243" t="inlineStr">
        <is>
          <t>N/A — no P batch assigned</t>
        </is>
      </c>
      <c r="K147" s="243" t="inlineStr">
        <is>
          <t>Cash Cow</t>
        </is>
      </c>
      <c r="L147" s="243" t="inlineStr">
        <is>
          <t>Ident A + Ident B + Foreign matter</t>
        </is>
      </c>
      <c r="M147" s="248" t="inlineStr">
        <is>
          <t>—</t>
        </is>
      </c>
      <c r="N147" s="243">
        <f>IFERROR(INDEX('CoQ Register'!$B:$B,MATCH("CC042601|R",'CoQ Register'!$S:$S,0)),"—")</f>
        <v/>
      </c>
      <c r="O147" s="248" t="inlineStr">
        <is>
          <t>—</t>
        </is>
      </c>
      <c r="P147" s="243" t="inlineStr">
        <is>
          <t>—</t>
        </is>
      </c>
      <c r="Q147" s="243" t="inlineStr">
        <is>
          <t>— not on the list —</t>
        </is>
      </c>
      <c r="R147" s="243" t="inlineStr">
        <is>
          <t>— not on the list —</t>
        </is>
      </c>
      <c r="S147" s="245">
        <f>IFERROR(INDEX('CoQ Register'!$D:$D,MATCH("CC042601|R",'CoQ Register'!$S:$S,0)),"")</f>
        <v/>
      </c>
      <c r="T147" s="243" t="inlineStr">
        <is>
          <t>Conforms</t>
        </is>
      </c>
      <c r="U147" s="243" t="inlineStr">
        <is>
          <t>Conforms</t>
        </is>
      </c>
      <c r="V147" s="243" t="inlineStr">
        <is>
          <t>Conforms</t>
        </is>
      </c>
      <c r="W147" s="243" t="inlineStr">
        <is>
          <t>220-32-K-26, (26.08.2026) [FHM-K]</t>
        </is>
      </c>
      <c r="X147" s="243" t="inlineStr">
        <is>
          <t>220-32-K-26, (26.08.2026) [FHM-K]</t>
        </is>
      </c>
      <c r="Y147" s="243" t="inlineStr">
        <is>
          <t>220-32-M-26, (11.09.2026) [FHM-M]</t>
        </is>
      </c>
      <c r="Z147" s="243" t="inlineStr">
        <is>
          <t>#8, #9, #11, #12 from the initial testing</t>
        </is>
      </c>
      <c r="AA147" s="243" t="inlineStr">
        <is>
          <t>CC042601|R</t>
        </is>
      </c>
      <c r="AB147" s="250" t="inlineStr">
        <is>
          <t>registered — retest 1 · Tranche 2 (sampled 12–14.08.2026), tested 14.08.2026, issued 17.08.2026</t>
        </is>
      </c>
    </row>
    <row r="148">
      <c r="A148" s="243" t="n">
        <v>147</v>
      </c>
      <c r="B148" s="244" t="inlineStr">
        <is>
          <t>iCoA-PP_26-147</t>
        </is>
      </c>
      <c r="C148" s="249" t="inlineStr">
        <is>
          <t>yes</t>
        </is>
      </c>
      <c r="D148" s="245" t="n">
        <v>46251</v>
      </c>
      <c r="E148" s="245" t="n">
        <v>46248</v>
      </c>
      <c r="F148" s="245">
        <f>IFERROR(INDEX('Batch Dates'!$G:$G,MATCH(J148,'Batch Dates'!$C:$C,0)),IFERROR(INDEX('Batch Dates'!$G:$G,MATCH(I148,'Batch Dates'!$B:$B,0)),""))</f>
        <v/>
      </c>
      <c r="G148" s="243" t="inlineStr">
        <is>
          <t>—</t>
        </is>
      </c>
      <c r="H148" s="243" t="inlineStr">
        <is>
          <t>retest 1</t>
        </is>
      </c>
      <c r="I148" s="244" t="inlineStr">
        <is>
          <t>FB042601</t>
        </is>
      </c>
      <c r="J148" s="243" t="inlineStr">
        <is>
          <t>N/A — no P batch assigned</t>
        </is>
      </c>
      <c r="K148" s="243" t="inlineStr">
        <is>
          <t>Fat Bastard</t>
        </is>
      </c>
      <c r="L148" s="243" t="inlineStr">
        <is>
          <t>Ident A + Ident B + Foreign matter</t>
        </is>
      </c>
      <c r="M148" s="248" t="inlineStr">
        <is>
          <t>—</t>
        </is>
      </c>
      <c r="N148" s="243">
        <f>IFERROR(INDEX('CoQ Register'!$B:$B,MATCH("FB042601|R",'CoQ Register'!$S:$S,0)),"—")</f>
        <v/>
      </c>
      <c r="O148" s="248" t="inlineStr">
        <is>
          <t>—</t>
        </is>
      </c>
      <c r="P148" s="243" t="inlineStr">
        <is>
          <t>—</t>
        </is>
      </c>
      <c r="Q148" s="243" t="inlineStr">
        <is>
          <t>— not on the list —</t>
        </is>
      </c>
      <c r="R148" s="243" t="inlineStr">
        <is>
          <t>— not on the list —</t>
        </is>
      </c>
      <c r="S148" s="245">
        <f>IFERROR(INDEX('CoQ Register'!$D:$D,MATCH("FB042601|R",'CoQ Register'!$S:$S,0)),"")</f>
        <v/>
      </c>
      <c r="T148" s="243" t="inlineStr">
        <is>
          <t>Conforms</t>
        </is>
      </c>
      <c r="U148" s="243" t="inlineStr">
        <is>
          <t>Conforms</t>
        </is>
      </c>
      <c r="V148" s="243" t="inlineStr">
        <is>
          <t>Conforms</t>
        </is>
      </c>
      <c r="W148" s="243" t="inlineStr">
        <is>
          <t>220-31-K-26, (26.08.2026) [FHM-K]</t>
        </is>
      </c>
      <c r="X148" s="243" t="inlineStr">
        <is>
          <t>220-31-K-26, (26.08.2026) [FHM-K]</t>
        </is>
      </c>
      <c r="Y148" s="243" t="inlineStr">
        <is>
          <t>220-31-M-26, (11.09.2026) [FHM-M]</t>
        </is>
      </c>
      <c r="Z148" s="243" t="inlineStr">
        <is>
          <t>#8, #9, #11, #12 from the initial testing</t>
        </is>
      </c>
      <c r="AA148" s="243" t="inlineStr">
        <is>
          <t>FB042601|R</t>
        </is>
      </c>
      <c r="AB148" s="250" t="inlineStr">
        <is>
          <t>registered — retest 1 · Tranche 2 (sampled 12–14.08.2026), tested 14.08.2026, issued 17.08.2026</t>
        </is>
      </c>
    </row>
    <row r="149">
      <c r="A149" s="243" t="n">
        <v>148</v>
      </c>
      <c r="B149" s="244" t="inlineStr">
        <is>
          <t>iCoA-PP_26-148</t>
        </is>
      </c>
      <c r="C149" s="249" t="inlineStr">
        <is>
          <t>yes</t>
        </is>
      </c>
      <c r="D149" s="245" t="n">
        <v>46251</v>
      </c>
      <c r="E149" s="245" t="n">
        <v>46248</v>
      </c>
      <c r="F149" s="245">
        <f>IFERROR(INDEX('Batch Dates'!$G:$G,MATCH(J149,'Batch Dates'!$C:$C,0)),IFERROR(INDEX('Batch Dates'!$G:$G,MATCH(I149,'Batch Dates'!$B:$B,0)),""))</f>
        <v/>
      </c>
      <c r="G149" s="243" t="inlineStr">
        <is>
          <t>post-SOP</t>
        </is>
      </c>
      <c r="H149" s="243" t="inlineStr">
        <is>
          <t>retest 1</t>
        </is>
      </c>
      <c r="I149" s="244" t="inlineStr">
        <is>
          <t>JD042601</t>
        </is>
      </c>
      <c r="J149" s="243" t="inlineStr">
        <is>
          <t>P060492</t>
        </is>
      </c>
      <c r="K149" s="243" t="inlineStr">
        <is>
          <t>Jelly Donuts</t>
        </is>
      </c>
      <c r="L149" s="243" t="inlineStr">
        <is>
          <t>Ident A + Ident B + Foreign matter</t>
        </is>
      </c>
      <c r="M149" s="248" t="inlineStr">
        <is>
          <t>—</t>
        </is>
      </c>
      <c r="N149" s="243">
        <f>IFERROR(INDEX('CoQ Register'!$B:$B,MATCH("P060492|R",'CoQ Register'!$S:$S,0)),"—")</f>
        <v/>
      </c>
      <c r="O149" s="248" t="inlineStr">
        <is>
          <t>—</t>
        </is>
      </c>
      <c r="P149" s="243" t="inlineStr">
        <is>
          <t>13.08.2027</t>
        </is>
      </c>
      <c r="Q149" s="243" t="inlineStr">
        <is>
          <t>21.07.2026</t>
        </is>
      </c>
      <c r="R149" s="243" t="inlineStr">
        <is>
          <t>13.08.2026</t>
        </is>
      </c>
      <c r="S149" s="245">
        <f>IFERROR(INDEX('CoQ Register'!$D:$D,MATCH("P060492|R",'CoQ Register'!$S:$S,0)),"")</f>
        <v/>
      </c>
      <c r="T149" s="243" t="inlineStr">
        <is>
          <t>Conforms</t>
        </is>
      </c>
      <c r="U149" s="243" t="inlineStr">
        <is>
          <t>Conforms</t>
        </is>
      </c>
      <c r="V149" s="243" t="inlineStr">
        <is>
          <t>Conforms</t>
        </is>
      </c>
      <c r="W149" s="243" t="inlineStr">
        <is>
          <t>220-30-K-26, (26.08.2026) [FHM-K]</t>
        </is>
      </c>
      <c r="X149" s="243" t="inlineStr">
        <is>
          <t>220-30-K-26, (26.08.2026) [FHM-K]</t>
        </is>
      </c>
      <c r="Y149" s="243" t="inlineStr">
        <is>
          <t>220-30-M-26, (11.09.2026) [FHM-M]</t>
        </is>
      </c>
      <c r="Z149" s="243" t="inlineStr">
        <is>
          <t>#8, #9, #11, #12 from the initial testing</t>
        </is>
      </c>
      <c r="AA149" s="243" t="inlineStr">
        <is>
          <t>P060492|R</t>
        </is>
      </c>
      <c r="AB149" s="250" t="inlineStr">
        <is>
          <t>registered — retest 1 · Tranche 2 (sampled 12–14.08.2026), tested 14.08.2026, issued 17.08.2026</t>
        </is>
      </c>
    </row>
    <row r="150">
      <c r="A150" s="243" t="n">
        <v>149</v>
      </c>
      <c r="B150" s="244" t="inlineStr">
        <is>
          <t>iCoA-PP_26-149</t>
        </is>
      </c>
      <c r="C150" s="249" t="inlineStr">
        <is>
          <t>yes</t>
        </is>
      </c>
      <c r="D150" s="245" t="n">
        <v>46251</v>
      </c>
      <c r="E150" s="245" t="n">
        <v>46248</v>
      </c>
      <c r="F150" s="245">
        <f>IFERROR(INDEX('Batch Dates'!$G:$G,MATCH(J150,'Batch Dates'!$C:$C,0)),IFERROR(INDEX('Batch Dates'!$G:$G,MATCH(I150,'Batch Dates'!$B:$B,0)),""))</f>
        <v/>
      </c>
      <c r="G150" s="243" t="inlineStr">
        <is>
          <t>legacy</t>
        </is>
      </c>
      <c r="H150" s="243" t="inlineStr">
        <is>
          <t>retest 1</t>
        </is>
      </c>
      <c r="I150" s="244" t="inlineStr">
        <is>
          <t>OPM1024_03</t>
        </is>
      </c>
      <c r="J150" s="243" t="inlineStr">
        <is>
          <t>P050082</t>
        </is>
      </c>
      <c r="K150" s="243" t="inlineStr">
        <is>
          <t>Orange Punch Mimosa</t>
        </is>
      </c>
      <c r="L150" s="243" t="inlineStr">
        <is>
          <t>Ident A + Ident B + Foreign matter</t>
        </is>
      </c>
      <c r="M150" s="248" t="inlineStr">
        <is>
          <t>—</t>
        </is>
      </c>
      <c r="N150" s="243">
        <f>IFERROR(INDEX('CoQ Register'!$B:$B,MATCH("P050082|R",'CoQ Register'!$S:$S,0)),"—")</f>
        <v/>
      </c>
      <c r="O150" s="248" t="inlineStr">
        <is>
          <t>—</t>
        </is>
      </c>
      <c r="P150" s="243" t="inlineStr">
        <is>
          <t>22.07.2026</t>
        </is>
      </c>
      <c r="Q150" s="243" t="inlineStr">
        <is>
          <t>01.07.2025 – 02.07.2025</t>
        </is>
      </c>
      <c r="R150" s="243" t="inlineStr">
        <is>
          <t>22.07.2025 – 30.07.2025</t>
        </is>
      </c>
      <c r="S150" s="245">
        <f>IFERROR(INDEX('CoQ Register'!$D:$D,MATCH("P050082|R",'CoQ Register'!$S:$S,0)),"")</f>
        <v/>
      </c>
      <c r="T150" s="243" t="inlineStr">
        <is>
          <t>Conforms</t>
        </is>
      </c>
      <c r="U150" s="243" t="inlineStr">
        <is>
          <t>Conforms</t>
        </is>
      </c>
      <c r="V150" s="243" t="inlineStr">
        <is>
          <t>Conforms</t>
        </is>
      </c>
      <c r="W150" s="243" t="inlineStr">
        <is>
          <t>220-23-K-26, (26.08.2026) [FHM-K]</t>
        </is>
      </c>
      <c r="X150" s="243" t="inlineStr">
        <is>
          <t>220-23-K-26, (26.08.2026) [FHM-K]</t>
        </is>
      </c>
      <c r="Y150" s="243" t="inlineStr">
        <is>
          <t>220-23-M-26, (11.09.2026) [FHM-M]</t>
        </is>
      </c>
      <c r="Z150" s="243" t="inlineStr">
        <is>
          <t>#8, #9, #11, #12 from the initial testing</t>
        </is>
      </c>
      <c r="AA150" s="243" t="inlineStr">
        <is>
          <t>P050082|R</t>
        </is>
      </c>
      <c r="AB150" s="250" t="inlineStr">
        <is>
          <t>registered — retest 1 · Tranche 2 (sampled 12–14.08.2026), tested 14.08.2026, issued 17.08.2026</t>
        </is>
      </c>
    </row>
    <row r="151">
      <c r="A151" s="243" t="n">
        <v>150</v>
      </c>
      <c r="B151" s="244" t="inlineStr">
        <is>
          <t>iCoA-PP_26-150</t>
        </is>
      </c>
      <c r="C151" s="249" t="inlineStr">
        <is>
          <t>yes</t>
        </is>
      </c>
      <c r="D151" s="245" t="n">
        <v>46251</v>
      </c>
      <c r="E151" s="245" t="n">
        <v>46248</v>
      </c>
      <c r="F151" s="245">
        <f>IFERROR(INDEX('Batch Dates'!$G:$G,MATCH(J151,'Batch Dates'!$C:$C,0)),IFERROR(INDEX('Batch Dates'!$G:$G,MATCH(I151,'Batch Dates'!$B:$B,0)),""))</f>
        <v/>
      </c>
      <c r="G151" s="243" t="inlineStr">
        <is>
          <t>legacy</t>
        </is>
      </c>
      <c r="H151" s="243" t="inlineStr">
        <is>
          <t>retest 1</t>
        </is>
      </c>
      <c r="I151" s="244" t="inlineStr">
        <is>
          <t>PM112501</t>
        </is>
      </c>
      <c r="J151" s="243" t="inlineStr">
        <is>
          <t>P060232</t>
        </is>
      </c>
      <c r="K151" s="243" t="inlineStr">
        <is>
          <t>Permanent Marker</t>
        </is>
      </c>
      <c r="L151" s="243" t="inlineStr">
        <is>
          <t>Ident A + Ident B + Foreign matter</t>
        </is>
      </c>
      <c r="M151" s="248" t="inlineStr">
        <is>
          <t>—</t>
        </is>
      </c>
      <c r="N151" s="243">
        <f>IFERROR(INDEX('CoQ Register'!$B:$B,MATCH("P060232|R",'CoQ Register'!$S:$S,0)),"—")</f>
        <v/>
      </c>
      <c r="O151" s="248" t="inlineStr">
        <is>
          <t>—</t>
        </is>
      </c>
      <c r="P151" s="243" t="inlineStr">
        <is>
          <t>27.04.2027</t>
        </is>
      </c>
      <c r="Q151" s="243" t="inlineStr">
        <is>
          <t>05.02.2026</t>
        </is>
      </c>
      <c r="R151" s="243" t="inlineStr">
        <is>
          <t>27.04.2026</t>
        </is>
      </c>
      <c r="S151" s="245">
        <f>IFERROR(INDEX('CoQ Register'!$D:$D,MATCH("P060232|R",'CoQ Register'!$S:$S,0)),"")</f>
        <v/>
      </c>
      <c r="T151" s="243" t="inlineStr">
        <is>
          <t>Conforms</t>
        </is>
      </c>
      <c r="U151" s="243" t="inlineStr">
        <is>
          <t>Conforms</t>
        </is>
      </c>
      <c r="V151" s="243" t="inlineStr">
        <is>
          <t>Conforms</t>
        </is>
      </c>
      <c r="W151" s="243" t="inlineStr">
        <is>
          <t>220-24-K-26, (26.08.2026) [FHM-K]</t>
        </is>
      </c>
      <c r="X151" s="243" t="inlineStr">
        <is>
          <t>220-24-K-26, (26.08.2026) [FHM-K]</t>
        </is>
      </c>
      <c r="Y151" s="243" t="inlineStr">
        <is>
          <t>220-24-M-26, (11.09.2026) [FHM-M]</t>
        </is>
      </c>
      <c r="Z151" s="243" t="inlineStr">
        <is>
          <t>#8, #9, #11, #12 from the initial testing</t>
        </is>
      </c>
      <c r="AA151" s="243" t="inlineStr">
        <is>
          <t>P060232|R</t>
        </is>
      </c>
      <c r="AB151" s="250" t="inlineStr">
        <is>
          <t>registered — retest 1 · Tranche 2 (sampled 12–14.08.2026), tested 14.08.2026, issued 17.08.2026</t>
        </is>
      </c>
    </row>
    <row r="152">
      <c r="A152" s="243" t="n">
        <v>151</v>
      </c>
      <c r="B152" s="244" t="inlineStr">
        <is>
          <t>iCoA-PP_26-151</t>
        </is>
      </c>
      <c r="C152" s="249" t="inlineStr">
        <is>
          <t>yes</t>
        </is>
      </c>
      <c r="D152" s="245" t="n">
        <v>46251</v>
      </c>
      <c r="E152" s="245" t="n">
        <v>46248</v>
      </c>
      <c r="F152" s="245">
        <f>IFERROR(INDEX('Batch Dates'!$G:$G,MATCH(J152,'Batch Dates'!$C:$C,0)),IFERROR(INDEX('Batch Dates'!$G:$G,MATCH(I152,'Batch Dates'!$B:$B,0)),""))</f>
        <v/>
      </c>
      <c r="G152" s="243" t="inlineStr">
        <is>
          <t>legacy</t>
        </is>
      </c>
      <c r="H152" s="243" t="inlineStr">
        <is>
          <t>retest 1</t>
        </is>
      </c>
      <c r="I152" s="244" t="inlineStr">
        <is>
          <t>PUM102501</t>
        </is>
      </c>
      <c r="J152" s="243" t="inlineStr">
        <is>
          <t>P060112</t>
        </is>
      </c>
      <c r="K152" s="243" t="inlineStr">
        <is>
          <t>Pure Michigen</t>
        </is>
      </c>
      <c r="L152" s="243" t="inlineStr">
        <is>
          <t>Ident A + Ident B + Foreign matter</t>
        </is>
      </c>
      <c r="M152" s="248" t="inlineStr">
        <is>
          <t>—</t>
        </is>
      </c>
      <c r="N152" s="243">
        <f>IFERROR(INDEX('CoQ Register'!$B:$B,MATCH("P060112|R",'CoQ Register'!$S:$S,0)),"—")</f>
        <v/>
      </c>
      <c r="O152" s="248" t="inlineStr">
        <is>
          <t>—</t>
        </is>
      </c>
      <c r="P152" s="243" t="inlineStr">
        <is>
          <t>17.02.2027</t>
        </is>
      </c>
      <c r="Q152" s="243" t="inlineStr">
        <is>
          <t>08.01.2026 – 09.01.2026</t>
        </is>
      </c>
      <c r="R152" s="243" t="inlineStr">
        <is>
          <t>17.02.2026</t>
        </is>
      </c>
      <c r="S152" s="245">
        <f>IFERROR(INDEX('CoQ Register'!$D:$D,MATCH("P060112|R",'CoQ Register'!$S:$S,0)),"")</f>
        <v/>
      </c>
      <c r="T152" s="243" t="inlineStr">
        <is>
          <t>Conforms</t>
        </is>
      </c>
      <c r="U152" s="243" t="inlineStr">
        <is>
          <t>Conforms</t>
        </is>
      </c>
      <c r="V152" s="243" t="inlineStr">
        <is>
          <t>Conforms</t>
        </is>
      </c>
      <c r="W152" s="243" t="inlineStr">
        <is>
          <t>220-25-K-26, (26.08.2026) [FHM-K]</t>
        </is>
      </c>
      <c r="X152" s="243" t="inlineStr">
        <is>
          <t>220-25-K-26, (26.08.2026) [FHM-K]</t>
        </is>
      </c>
      <c r="Y152" s="243" t="inlineStr">
        <is>
          <t>220-25-M-26, (11.09.2026) [FHM-M]</t>
        </is>
      </c>
      <c r="Z152" s="243" t="inlineStr">
        <is>
          <t>#8, #9, #11, #12 from the initial testing</t>
        </is>
      </c>
      <c r="AA152" s="243" t="inlineStr">
        <is>
          <t>P060112|R</t>
        </is>
      </c>
      <c r="AB152" s="250" t="inlineStr">
        <is>
          <t>registered — retest 1 · Tranche 2 (sampled 12–14.08.2026), tested 14.08.2026, issued 17.08.2026</t>
        </is>
      </c>
    </row>
    <row r="153">
      <c r="A153" s="243" t="n">
        <v>152</v>
      </c>
      <c r="B153" s="244" t="inlineStr">
        <is>
          <t>iCoA-PP_26-152</t>
        </is>
      </c>
      <c r="C153" s="249" t="inlineStr">
        <is>
          <t>yes</t>
        </is>
      </c>
      <c r="D153" s="245" t="n">
        <v>46251</v>
      </c>
      <c r="E153" s="245" t="n">
        <v>46248</v>
      </c>
      <c r="F153" s="245">
        <f>IFERROR(INDEX('Batch Dates'!$G:$G,MATCH(J153,'Batch Dates'!$C:$C,0)),IFERROR(INDEX('Batch Dates'!$G:$G,MATCH(I153,'Batch Dates'!$B:$B,0)),""))</f>
        <v/>
      </c>
      <c r="G153" s="243" t="inlineStr">
        <is>
          <t>post-SOP</t>
        </is>
      </c>
      <c r="H153" s="243" t="inlineStr">
        <is>
          <t>retest 1</t>
        </is>
      </c>
      <c r="I153" s="244" t="inlineStr">
        <is>
          <t>SCR112501</t>
        </is>
      </c>
      <c r="J153" s="243" t="inlineStr">
        <is>
          <t>P060282</t>
        </is>
      </c>
      <c r="K153" s="243" t="inlineStr">
        <is>
          <t>Scrambler</t>
        </is>
      </c>
      <c r="L153" s="243" t="inlineStr">
        <is>
          <t>Ident A + Ident B + Foreign matter</t>
        </is>
      </c>
      <c r="M153" s="248" t="inlineStr">
        <is>
          <t>—</t>
        </is>
      </c>
      <c r="N153" s="243">
        <f>IFERROR(INDEX('CoQ Register'!$B:$B,MATCH("P060282|R",'CoQ Register'!$S:$S,0)),"—")</f>
        <v/>
      </c>
      <c r="O153" s="248" t="inlineStr">
        <is>
          <t>—</t>
        </is>
      </c>
      <c r="P153" s="243" t="inlineStr">
        <is>
          <t>18.05.2027</t>
        </is>
      </c>
      <c r="Q153" s="243" t="inlineStr">
        <is>
          <t>25.03.2026</t>
        </is>
      </c>
      <c r="R153" s="243" t="inlineStr">
        <is>
          <t>18.05.2026</t>
        </is>
      </c>
      <c r="S153" s="245">
        <f>IFERROR(INDEX('CoQ Register'!$D:$D,MATCH("P060282|R",'CoQ Register'!$S:$S,0)),"")</f>
        <v/>
      </c>
      <c r="T153" s="243" t="inlineStr">
        <is>
          <t>Conforms</t>
        </is>
      </c>
      <c r="U153" s="243" t="inlineStr">
        <is>
          <t>Conforms</t>
        </is>
      </c>
      <c r="V153" s="243" t="inlineStr">
        <is>
          <t>Conforms</t>
        </is>
      </c>
      <c r="W153" s="243" t="inlineStr">
        <is>
          <t>220-26-K-26, (26.08.2026) [FHM-K]</t>
        </is>
      </c>
      <c r="X153" s="243" t="inlineStr">
        <is>
          <t>220-26-K-26, (26.08.2026) [FHM-K]</t>
        </is>
      </c>
      <c r="Y153" s="243" t="inlineStr">
        <is>
          <t>220-26-M-26, (11.09.2026) [FHM-M]</t>
        </is>
      </c>
      <c r="Z153" s="243" t="inlineStr">
        <is>
          <t>#8, #9, #11, #12 from the initial testing</t>
        </is>
      </c>
      <c r="AA153" s="243" t="inlineStr">
        <is>
          <t>P060282|R</t>
        </is>
      </c>
      <c r="AB153" s="250" t="inlineStr">
        <is>
          <t>registered — retest 1 · Tranche 2 (sampled 12–14.08.2026), tested 14.08.2026, issued 17.08.2026</t>
        </is>
      </c>
    </row>
    <row r="154">
      <c r="A154" s="243" t="n">
        <v>153</v>
      </c>
      <c r="B154" s="244" t="inlineStr">
        <is>
          <t>iCoA-PP_26-153</t>
        </is>
      </c>
      <c r="C154" s="249" t="inlineStr">
        <is>
          <t>yes</t>
        </is>
      </c>
      <c r="D154" s="245" t="n">
        <v>46251</v>
      </c>
      <c r="E154" s="245" t="n">
        <v>46248</v>
      </c>
      <c r="F154" s="245">
        <f>IFERROR(INDEX('Batch Dates'!$G:$G,MATCH(J154,'Batch Dates'!$C:$C,0)),IFERROR(INDEX('Batch Dates'!$G:$G,MATCH(I154,'Batch Dates'!$B:$B,0)),""))</f>
        <v/>
      </c>
      <c r="G154" s="243" t="inlineStr">
        <is>
          <t>legacy</t>
        </is>
      </c>
      <c r="H154" s="243" t="inlineStr">
        <is>
          <t>retest 1</t>
        </is>
      </c>
      <c r="I154" s="244" t="inlineStr">
        <is>
          <t>SJ0925021</t>
        </is>
      </c>
      <c r="J154" s="243" t="inlineStr">
        <is>
          <t>P060082</t>
        </is>
      </c>
      <c r="K154" s="243" t="inlineStr">
        <is>
          <t>Sleepy Joe</t>
        </is>
      </c>
      <c r="L154" s="243" t="inlineStr">
        <is>
          <t>Ident A + Ident B + Foreign matter</t>
        </is>
      </c>
      <c r="M154" s="248" t="inlineStr">
        <is>
          <t>—</t>
        </is>
      </c>
      <c r="N154" s="243">
        <f>IFERROR(INDEX('CoQ Register'!$B:$B,MATCH("P060082|R",'CoQ Register'!$S:$S,0)),"—")</f>
        <v/>
      </c>
      <c r="O154" s="248" t="inlineStr">
        <is>
          <t>—</t>
        </is>
      </c>
      <c r="P154" s="243" t="inlineStr">
        <is>
          <t>02.02.2027</t>
        </is>
      </c>
      <c r="Q154" s="243" t="inlineStr">
        <is>
          <t>11.12.2025 – 12.12.2025</t>
        </is>
      </c>
      <c r="R154" s="243" t="inlineStr">
        <is>
          <t>02.02.2026</t>
        </is>
      </c>
      <c r="S154" s="245">
        <f>IFERROR(INDEX('CoQ Register'!$D:$D,MATCH("P060082|R",'CoQ Register'!$S:$S,0)),"")</f>
        <v/>
      </c>
      <c r="T154" s="243" t="inlineStr">
        <is>
          <t>Conforms</t>
        </is>
      </c>
      <c r="U154" s="243" t="inlineStr">
        <is>
          <t>Conforms</t>
        </is>
      </c>
      <c r="V154" s="243" t="inlineStr">
        <is>
          <t>Conforms</t>
        </is>
      </c>
      <c r="W154" s="243" t="inlineStr">
        <is>
          <t>220-27-K-26, (26.08.2026) [FHM-K]</t>
        </is>
      </c>
      <c r="X154" s="243" t="inlineStr">
        <is>
          <t>220-27-K-26, (26.08.2026) [FHM-K]</t>
        </is>
      </c>
      <c r="Y154" s="243" t="inlineStr">
        <is>
          <t>220-27-M-26, (11.09.2026) [FHM-M]</t>
        </is>
      </c>
      <c r="Z154" s="243" t="inlineStr">
        <is>
          <t>#8, #9, #11, #12 from the initial testing</t>
        </is>
      </c>
      <c r="AA154" s="243" t="inlineStr">
        <is>
          <t>P060082|R</t>
        </is>
      </c>
      <c r="AB154" s="250" t="inlineStr">
        <is>
          <t>registered — retest 1 · Tranche 2 (sampled 12–14.08.2026), tested 14.08.2026, issued 17.08.2026</t>
        </is>
      </c>
    </row>
    <row r="155">
      <c r="A155" s="243" t="n">
        <v>154</v>
      </c>
      <c r="B155" s="244" t="inlineStr">
        <is>
          <t>iCoA-PP_26-154</t>
        </is>
      </c>
      <c r="C155" s="249" t="inlineStr">
        <is>
          <t>yes</t>
        </is>
      </c>
      <c r="D155" s="245" t="n">
        <v>46251</v>
      </c>
      <c r="E155" s="245" t="n">
        <v>46248</v>
      </c>
      <c r="F155" s="245">
        <f>IFERROR(INDEX('Batch Dates'!$G:$G,MATCH(J155,'Batch Dates'!$C:$C,0)),IFERROR(INDEX('Batch Dates'!$G:$G,MATCH(I155,'Batch Dates'!$B:$B,0)),""))</f>
        <v/>
      </c>
      <c r="G155" s="243" t="inlineStr">
        <is>
          <t>legacy</t>
        </is>
      </c>
      <c r="H155" s="243" t="inlineStr">
        <is>
          <t>retest 1</t>
        </is>
      </c>
      <c r="I155" s="244" t="inlineStr">
        <is>
          <t>WC082501</t>
        </is>
      </c>
      <c r="J155" s="243" t="inlineStr">
        <is>
          <t>P060012</t>
        </is>
      </c>
      <c r="K155" s="243" t="inlineStr">
        <is>
          <t>Wedding Crusher</t>
        </is>
      </c>
      <c r="L155" s="243" t="inlineStr">
        <is>
          <t>Ident A + Ident B + Foreign matter</t>
        </is>
      </c>
      <c r="M155" s="248" t="inlineStr">
        <is>
          <t>—</t>
        </is>
      </c>
      <c r="N155" s="243">
        <f>IFERROR(INDEX('CoQ Register'!$B:$B,MATCH("P060012|R",'CoQ Register'!$S:$S,0)),"—")</f>
        <v/>
      </c>
      <c r="O155" s="248" t="inlineStr">
        <is>
          <t>—</t>
        </is>
      </c>
      <c r="P155" s="243" t="inlineStr">
        <is>
          <t>13.01.2027</t>
        </is>
      </c>
      <c r="Q155" s="243" t="inlineStr">
        <is>
          <t>09.12.2025</t>
        </is>
      </c>
      <c r="R155" s="243" t="inlineStr">
        <is>
          <t>13.01.2026 – 14.01.2026</t>
        </is>
      </c>
      <c r="S155" s="245">
        <f>IFERROR(INDEX('CoQ Register'!$D:$D,MATCH("P060012|R",'CoQ Register'!$S:$S,0)),"")</f>
        <v/>
      </c>
      <c r="T155" s="243" t="inlineStr">
        <is>
          <t>Conforms</t>
        </is>
      </c>
      <c r="U155" s="243" t="inlineStr">
        <is>
          <t>Conforms</t>
        </is>
      </c>
      <c r="V155" s="243" t="inlineStr">
        <is>
          <t>Conforms</t>
        </is>
      </c>
      <c r="W155" s="243" t="inlineStr">
        <is>
          <t>220-28-K-26, (26.08.2026) [FHM-K]</t>
        </is>
      </c>
      <c r="X155" s="243" t="inlineStr">
        <is>
          <t>220-28-K-26, (26.08.2026) [FHM-K]</t>
        </is>
      </c>
      <c r="Y155" s="243" t="inlineStr">
        <is>
          <t>220-28-M-26, (11.09.2026) [FHM-M]</t>
        </is>
      </c>
      <c r="Z155" s="243" t="inlineStr">
        <is>
          <t>#8, #9, #11, #12 from the initial testing</t>
        </is>
      </c>
      <c r="AA155" s="243" t="inlineStr">
        <is>
          <t>P060012|R</t>
        </is>
      </c>
      <c r="AB155" s="250" t="inlineStr">
        <is>
          <t>registered — retest 1 · Tranche 2 (sampled 12–14.08.2026), tested 14.08.2026, issued 17.08.2026</t>
        </is>
      </c>
    </row>
    <row r="156">
      <c r="A156" s="243" t="n">
        <v>155</v>
      </c>
      <c r="B156" s="244" t="inlineStr">
        <is>
          <t>iCoA-PP_26-155</t>
        </is>
      </c>
      <c r="C156" s="249" t="inlineStr">
        <is>
          <t>yes</t>
        </is>
      </c>
      <c r="D156" s="245" t="n">
        <v>46258</v>
      </c>
      <c r="E156" s="245" t="n">
        <v>46253</v>
      </c>
      <c r="F156" s="245">
        <f>IFERROR(INDEX('Batch Dates'!$G:$G,MATCH(J156,'Batch Dates'!$C:$C,0)),IFERROR(INDEX('Batch Dates'!$G:$G,MATCH(I156,'Batch Dates'!$B:$B,0)),""))</f>
        <v/>
      </c>
      <c r="G156" s="243" t="inlineStr">
        <is>
          <t>legacy</t>
        </is>
      </c>
      <c r="H156" s="243" t="inlineStr">
        <is>
          <t>retest 2</t>
        </is>
      </c>
      <c r="I156" s="244" t="inlineStr">
        <is>
          <t>BSS1024_01/2</t>
        </is>
      </c>
      <c r="J156" s="243" t="inlineStr">
        <is>
          <t>P050142</t>
        </is>
      </c>
      <c r="K156" s="243" t="inlineStr">
        <is>
          <t>Blue Sunset Sherbet</t>
        </is>
      </c>
      <c r="L156" s="243" t="inlineStr">
        <is>
          <t>Ident A + Ident B + Foreign matter</t>
        </is>
      </c>
      <c r="M156" s="248" t="inlineStr">
        <is>
          <t>—</t>
        </is>
      </c>
      <c r="N156" s="243">
        <f>IFERROR(INDEX('CoQ Register'!$B:$B,MATCH("P050142|R2",'CoQ Register'!$S:$S,0)),"—")</f>
        <v/>
      </c>
      <c r="O156" s="248" t="inlineStr">
        <is>
          <t>—</t>
        </is>
      </c>
      <c r="P156" s="243" t="inlineStr">
        <is>
          <t>30.09.2026</t>
        </is>
      </c>
      <c r="Q156" s="243" t="inlineStr">
        <is>
          <t>— not given —</t>
        </is>
      </c>
      <c r="R156" s="243" t="inlineStr">
        <is>
          <t>30.09.2025</t>
        </is>
      </c>
      <c r="S156" s="245">
        <f>IFERROR(INDEX('CoQ Register'!$D:$D,MATCH("P050142|R2",'CoQ Register'!$S:$S,0)),"")</f>
        <v/>
      </c>
      <c r="T156" s="243" t="inlineStr">
        <is>
          <t>Conforms</t>
        </is>
      </c>
      <c r="U156" s="243" t="inlineStr">
        <is>
          <t>Conforms</t>
        </is>
      </c>
      <c r="V156" s="243" t="inlineStr">
        <is>
          <t>Conforms</t>
        </is>
      </c>
      <c r="W156" s="243" t="inlineStr">
        <is>
          <t>227-1-K-26, (11.09.2026) [FHM-K]</t>
        </is>
      </c>
      <c r="X156" s="243" t="inlineStr">
        <is>
          <t>227-1-K-26, (11.09.2026) [FHM-K]</t>
        </is>
      </c>
      <c r="Y156" s="243" t="inlineStr">
        <is>
          <t>— pending —</t>
        </is>
      </c>
      <c r="Z156" s="243" t="inlineStr">
        <is>
          <t>#8, #9, #11, #12 from the initial testing</t>
        </is>
      </c>
      <c r="AA156" s="243" t="inlineStr">
        <is>
          <t>P050142|R2</t>
        </is>
      </c>
      <c r="AB156" s="250" t="inlineStr">
        <is>
          <t>registered — retest 2 · Tranche 3 (sampled 19–21.08.2026), tested 19.08.2026, issued 24.08.2026</t>
        </is>
      </c>
    </row>
    <row r="157">
      <c r="A157" s="243" t="n">
        <v>156</v>
      </c>
      <c r="B157" s="244" t="inlineStr">
        <is>
          <t>iCoA-PP_26-156</t>
        </is>
      </c>
      <c r="C157" s="249" t="inlineStr">
        <is>
          <t>yes</t>
        </is>
      </c>
      <c r="D157" s="245" t="n">
        <v>46258</v>
      </c>
      <c r="E157" s="245" t="n">
        <v>46253</v>
      </c>
      <c r="F157" s="245">
        <f>IFERROR(INDEX('Batch Dates'!$G:$G,MATCH(J157,'Batch Dates'!$C:$C,0)),IFERROR(INDEX('Batch Dates'!$G:$G,MATCH(I157,'Batch Dates'!$B:$B,0)),""))</f>
        <v/>
      </c>
      <c r="G157" s="243" t="inlineStr">
        <is>
          <t>legacy</t>
        </is>
      </c>
      <c r="H157" s="243" t="inlineStr">
        <is>
          <t>retest 2</t>
        </is>
      </c>
      <c r="I157" s="244" t="inlineStr">
        <is>
          <t>GP0824_01</t>
        </is>
      </c>
      <c r="J157" s="243" t="inlineStr">
        <is>
          <t>P050102</t>
        </is>
      </c>
      <c r="K157" s="243" t="inlineStr">
        <is>
          <t>Grape Pie</t>
        </is>
      </c>
      <c r="L157" s="243" t="inlineStr">
        <is>
          <t>Ident A + Ident B + Foreign matter</t>
        </is>
      </c>
      <c r="M157" s="248" t="inlineStr">
        <is>
          <t>—</t>
        </is>
      </c>
      <c r="N157" s="243">
        <f>IFERROR(INDEX('CoQ Register'!$B:$B,MATCH("P050102|R2",'CoQ Register'!$S:$S,0)),"—")</f>
        <v/>
      </c>
      <c r="O157" s="248" t="inlineStr">
        <is>
          <t>—</t>
        </is>
      </c>
      <c r="P157" s="243" t="inlineStr">
        <is>
          <t>17.04.2026</t>
        </is>
      </c>
      <c r="Q157" s="243" t="inlineStr">
        <is>
          <t>20.03.2025 – 21.03.2025</t>
        </is>
      </c>
      <c r="R157" s="243" t="inlineStr">
        <is>
          <t>05.08.2025 – 07.08.2025 (the issuance plan's basis: 17.04.2025)</t>
        </is>
      </c>
      <c r="S157" s="245">
        <f>IFERROR(INDEX('CoQ Register'!$D:$D,MATCH("P050102|R2",'CoQ Register'!$S:$S,0)),"")</f>
        <v/>
      </c>
      <c r="T157" s="243" t="inlineStr">
        <is>
          <t>Conforms</t>
        </is>
      </c>
      <c r="U157" s="243" t="inlineStr">
        <is>
          <t>Conforms</t>
        </is>
      </c>
      <c r="V157" s="243" t="inlineStr">
        <is>
          <t>Conforms</t>
        </is>
      </c>
      <c r="W157" s="243" t="inlineStr">
        <is>
          <t>227-2-K-26, (11.09.2026) [FHM-K]</t>
        </is>
      </c>
      <c r="X157" s="243" t="inlineStr">
        <is>
          <t>227-2-K-26, (11.09.2026) [FHM-K]</t>
        </is>
      </c>
      <c r="Y157" s="243" t="inlineStr">
        <is>
          <t>— pending —</t>
        </is>
      </c>
      <c r="Z157" s="243" t="inlineStr">
        <is>
          <t>#8, #9, #11, #12 from the initial testing</t>
        </is>
      </c>
      <c r="AA157" s="243" t="inlineStr">
        <is>
          <t>P050102|R2</t>
        </is>
      </c>
      <c r="AB157" s="250" t="inlineStr">
        <is>
          <t>registered — retest 2 · Tranche 3 (sampled 19–21.08.2026), tested 19.08.2026, issued 24.08.2026</t>
        </is>
      </c>
    </row>
    <row r="158">
      <c r="A158" s="243" t="n">
        <v>157</v>
      </c>
      <c r="B158" s="244" t="inlineStr">
        <is>
          <t>iCoA-PP_26-157</t>
        </is>
      </c>
      <c r="C158" s="249" t="inlineStr">
        <is>
          <t>yes</t>
        </is>
      </c>
      <c r="D158" s="245" t="n">
        <v>46258</v>
      </c>
      <c r="E158" s="245" t="n">
        <v>46253</v>
      </c>
      <c r="F158" s="245">
        <f>IFERROR(INDEX('Batch Dates'!$G:$G,MATCH(J158,'Batch Dates'!$C:$C,0)),IFERROR(INDEX('Batch Dates'!$G:$G,MATCH(I158,'Batch Dates'!$B:$B,0)),""))</f>
        <v/>
      </c>
      <c r="G158" s="243" t="inlineStr">
        <is>
          <t>legacy</t>
        </is>
      </c>
      <c r="H158" s="243" t="inlineStr">
        <is>
          <t>retest 2</t>
        </is>
      </c>
      <c r="I158" s="244" t="inlineStr">
        <is>
          <t>OPM112501</t>
        </is>
      </c>
      <c r="J158" s="243" t="inlineStr">
        <is>
          <t>P060222</t>
        </is>
      </c>
      <c r="K158" s="243" t="inlineStr">
        <is>
          <t>Orange Punch Mimosa</t>
        </is>
      </c>
      <c r="L158" s="243" t="inlineStr">
        <is>
          <t>Ident A + Ident B + Foreign matter</t>
        </is>
      </c>
      <c r="M158" s="248" t="inlineStr">
        <is>
          <t>—</t>
        </is>
      </c>
      <c r="N158" s="243">
        <f>IFERROR(INDEX('CoQ Register'!$B:$B,MATCH("P060222|R2",'CoQ Register'!$S:$S,0)),"—")</f>
        <v/>
      </c>
      <c r="O158" s="248" t="inlineStr">
        <is>
          <t>—</t>
        </is>
      </c>
      <c r="P158" s="243" t="inlineStr">
        <is>
          <t>05.03.2027</t>
        </is>
      </c>
      <c r="Q158" s="243" t="inlineStr">
        <is>
          <t>05.02.2026</t>
        </is>
      </c>
      <c r="R158" s="243" t="inlineStr">
        <is>
          <t>24.04.2026 (the issuance plan's basis: 05.03.2026)</t>
        </is>
      </c>
      <c r="S158" s="245">
        <f>IFERROR(INDEX('CoQ Register'!$D:$D,MATCH("P060222|R2",'CoQ Register'!$S:$S,0)),"")</f>
        <v/>
      </c>
      <c r="T158" s="243" t="inlineStr">
        <is>
          <t>Conforms</t>
        </is>
      </c>
      <c r="U158" s="243" t="inlineStr">
        <is>
          <t>Conforms</t>
        </is>
      </c>
      <c r="V158" s="243" t="inlineStr">
        <is>
          <t>Conforms</t>
        </is>
      </c>
      <c r="W158" s="243" t="inlineStr">
        <is>
          <t>227-10-K-26, (11.09.2026) [FHM-K]</t>
        </is>
      </c>
      <c r="X158" s="243" t="inlineStr">
        <is>
          <t>227-10-K-26, (11.09.2026) [FHM-K]</t>
        </is>
      </c>
      <c r="Y158" s="243" t="inlineStr">
        <is>
          <t>— pending —</t>
        </is>
      </c>
      <c r="Z158" s="243" t="inlineStr">
        <is>
          <t>#8, #9, #11, #12 from the initial testing</t>
        </is>
      </c>
      <c r="AA158" s="243" t="inlineStr">
        <is>
          <t>P060222|R2</t>
        </is>
      </c>
      <c r="AB158" s="250" t="inlineStr">
        <is>
          <t>registered — retest 2 · Tranche 3 (sampled 19–21.08.2026), tested 19.08.2026, issued 24.08.2026</t>
        </is>
      </c>
    </row>
    <row r="159">
      <c r="A159" s="243" t="n">
        <v>158</v>
      </c>
      <c r="B159" s="244" t="inlineStr">
        <is>
          <t>iCoA-PP_26-158</t>
        </is>
      </c>
      <c r="C159" s="249" t="inlineStr">
        <is>
          <t>yes</t>
        </is>
      </c>
      <c r="D159" s="245" t="n">
        <v>46258</v>
      </c>
      <c r="E159" s="245" t="n">
        <v>46253</v>
      </c>
      <c r="F159" s="245">
        <f>IFERROR(INDEX('Batch Dates'!$G:$G,MATCH(J159,'Batch Dates'!$C:$C,0)),IFERROR(INDEX('Batch Dates'!$G:$G,MATCH(I159,'Batch Dates'!$B:$B,0)),""))</f>
        <v/>
      </c>
      <c r="G159" s="243" t="inlineStr">
        <is>
          <t>legacy</t>
        </is>
      </c>
      <c r="H159" s="243" t="inlineStr">
        <is>
          <t>retest 2</t>
        </is>
      </c>
      <c r="I159" s="244" t="inlineStr">
        <is>
          <t>PM072501</t>
        </is>
      </c>
      <c r="J159" s="243" t="inlineStr">
        <is>
          <t>P050272</t>
        </is>
      </c>
      <c r="K159" s="243" t="inlineStr">
        <is>
          <t>Permanent Marker</t>
        </is>
      </c>
      <c r="L159" s="243" t="inlineStr">
        <is>
          <t>Ident A + Ident B + Foreign matter</t>
        </is>
      </c>
      <c r="M159" s="248" t="inlineStr">
        <is>
          <t>—</t>
        </is>
      </c>
      <c r="N159" s="243">
        <f>IFERROR(INDEX('CoQ Register'!$B:$B,MATCH("P050272|R2",'CoQ Register'!$S:$S,0)),"—")</f>
        <v/>
      </c>
      <c r="O159" s="248" t="inlineStr">
        <is>
          <t>—</t>
        </is>
      </c>
      <c r="P159" s="243" t="inlineStr">
        <is>
          <t>21.01.2027</t>
        </is>
      </c>
      <c r="Q159" s="243" t="inlineStr">
        <is>
          <t>27.10.2025</t>
        </is>
      </c>
      <c r="R159" s="243" t="inlineStr">
        <is>
          <t>02.12.2025 – 03.12.2025 (the issuance plan's basis: 21.01.2026)</t>
        </is>
      </c>
      <c r="S159" s="245">
        <f>IFERROR(INDEX('CoQ Register'!$D:$D,MATCH("P050272|R2",'CoQ Register'!$S:$S,0)),"")</f>
        <v/>
      </c>
      <c r="T159" s="243" t="inlineStr">
        <is>
          <t>Conforms</t>
        </is>
      </c>
      <c r="U159" s="243" t="inlineStr">
        <is>
          <t>Conforms</t>
        </is>
      </c>
      <c r="V159" s="243" t="inlineStr">
        <is>
          <t>Conforms</t>
        </is>
      </c>
      <c r="W159" s="243" t="inlineStr">
        <is>
          <t>227-9-K-26, (11.09.2026) [FHM-K]</t>
        </is>
      </c>
      <c r="X159" s="243" t="inlineStr">
        <is>
          <t>227-9-K-26, (11.09.2026) [FHM-K]</t>
        </is>
      </c>
      <c r="Y159" s="243" t="inlineStr">
        <is>
          <t>— pending —</t>
        </is>
      </c>
      <c r="Z159" s="243" t="inlineStr">
        <is>
          <t>#8, #9, #11, #12 from the initial testing</t>
        </is>
      </c>
      <c r="AA159" s="243" t="inlineStr">
        <is>
          <t>P050272|R2</t>
        </is>
      </c>
      <c r="AB159" s="250" t="inlineStr">
        <is>
          <t>registered — retest 2 · Tranche 3 (sampled 19–21.08.2026), tested 19.08.2026, issued 24.08.2026</t>
        </is>
      </c>
    </row>
    <row r="160">
      <c r="A160" s="243" t="n">
        <v>159</v>
      </c>
      <c r="B160" s="244" t="inlineStr">
        <is>
          <t>iCoA-PP_26-159</t>
        </is>
      </c>
      <c r="C160" s="249" t="inlineStr">
        <is>
          <t>yes</t>
        </is>
      </c>
      <c r="D160" s="245" t="n">
        <v>46258</v>
      </c>
      <c r="E160" s="245" t="n">
        <v>46253</v>
      </c>
      <c r="F160" s="245">
        <f>IFERROR(INDEX('Batch Dates'!$G:$G,MATCH(J160,'Batch Dates'!$C:$C,0)),IFERROR(INDEX('Batch Dates'!$G:$G,MATCH(I160,'Batch Dates'!$B:$B,0)),""))</f>
        <v/>
      </c>
      <c r="G160" s="243" t="inlineStr">
        <is>
          <t>post-SOP</t>
        </is>
      </c>
      <c r="H160" s="243" t="inlineStr">
        <is>
          <t>retest 2</t>
        </is>
      </c>
      <c r="I160" s="244" t="inlineStr">
        <is>
          <t>SCR012601*</t>
        </is>
      </c>
      <c r="J160" s="243" t="inlineStr">
        <is>
          <t>P060342</t>
        </is>
      </c>
      <c r="K160" s="243" t="inlineStr">
        <is>
          <t>Scrambler</t>
        </is>
      </c>
      <c r="L160" s="243" t="inlineStr">
        <is>
          <t>Ident A + Ident B + Foreign matter</t>
        </is>
      </c>
      <c r="M160" s="248" t="inlineStr">
        <is>
          <t>—</t>
        </is>
      </c>
      <c r="N160" s="243">
        <f>IFERROR(INDEX('CoQ Register'!$B:$B,MATCH("P060342|R2",'CoQ Register'!$S:$S,0)),"—")</f>
        <v/>
      </c>
      <c r="O160" s="248" t="inlineStr">
        <is>
          <t>—</t>
        </is>
      </c>
      <c r="P160" s="243" t="inlineStr">
        <is>
          <t>25.05.2027</t>
        </is>
      </c>
      <c r="Q160" s="243" t="inlineStr">
        <is>
          <t>16.04.2026</t>
        </is>
      </c>
      <c r="R160" s="243" t="inlineStr">
        <is>
          <t>25.05.2026</t>
        </is>
      </c>
      <c r="S160" s="245">
        <f>IFERROR(INDEX('CoQ Register'!$D:$D,MATCH("P060342|R2",'CoQ Register'!$S:$S,0)),"")</f>
        <v/>
      </c>
      <c r="T160" s="243" t="inlineStr">
        <is>
          <t>Conforms</t>
        </is>
      </c>
      <c r="U160" s="243" t="inlineStr">
        <is>
          <t>Conforms</t>
        </is>
      </c>
      <c r="V160" s="243" t="inlineStr">
        <is>
          <t>Conforms</t>
        </is>
      </c>
      <c r="W160" s="243" t="inlineStr">
        <is>
          <t>227-8-K-26, (11.09.2026) [FHM-K]</t>
        </is>
      </c>
      <c r="X160" s="243" t="inlineStr">
        <is>
          <t>227-8-K-26, (11.09.2026) [FHM-K]</t>
        </is>
      </c>
      <c r="Y160" s="243" t="inlineStr">
        <is>
          <t>— pending —</t>
        </is>
      </c>
      <c r="Z160" s="243" t="inlineStr">
        <is>
          <t>#8, #9, #11, #12 from the initial testing</t>
        </is>
      </c>
      <c r="AA160" s="243" t="inlineStr">
        <is>
          <t>P060342|R2</t>
        </is>
      </c>
      <c r="AB160" s="250" t="inlineStr">
        <is>
          <t>registered — retest 2 · Tranche 3 (sampled 19–21.08.2026), tested 19.08.2026, issued 24.08.2026</t>
        </is>
      </c>
    </row>
    <row r="161">
      <c r="A161" s="243" t="n">
        <v>160</v>
      </c>
      <c r="B161" s="244" t="inlineStr">
        <is>
          <t>iCoA-PP_26-160</t>
        </is>
      </c>
      <c r="C161" s="249" t="inlineStr">
        <is>
          <t>yes</t>
        </is>
      </c>
      <c r="D161" s="245" t="n">
        <v>46258</v>
      </c>
      <c r="E161" s="245" t="n">
        <v>46253</v>
      </c>
      <c r="F161" s="245">
        <f>IFERROR(INDEX('Batch Dates'!$G:$G,MATCH(J161,'Batch Dates'!$C:$C,0)),IFERROR(INDEX('Batch Dates'!$G:$G,MATCH(I161,'Batch Dates'!$B:$B,0)),""))</f>
        <v/>
      </c>
      <c r="G161" s="243" t="inlineStr">
        <is>
          <t>post-SOP</t>
        </is>
      </c>
      <c r="H161" s="243" t="inlineStr">
        <is>
          <t>retest 2</t>
        </is>
      </c>
      <c r="I161" s="244" t="inlineStr">
        <is>
          <t>SCR022601</t>
        </is>
      </c>
      <c r="J161" s="243" t="inlineStr">
        <is>
          <t>P060442</t>
        </is>
      </c>
      <c r="K161" s="243" t="inlineStr">
        <is>
          <t>Scrambler</t>
        </is>
      </c>
      <c r="L161" s="243" t="inlineStr">
        <is>
          <t>Ident A + Ident B + Foreign matter</t>
        </is>
      </c>
      <c r="M161" s="248" t="inlineStr">
        <is>
          <t>—</t>
        </is>
      </c>
      <c r="N161" s="243">
        <f>IFERROR(INDEX('CoQ Register'!$B:$B,MATCH("P060442|R2",'CoQ Register'!$S:$S,0)),"—")</f>
        <v/>
      </c>
      <c r="O161" s="248" t="inlineStr">
        <is>
          <t>—</t>
        </is>
      </c>
      <c r="P161" s="243" t="inlineStr">
        <is>
          <t>06.07.2027</t>
        </is>
      </c>
      <c r="Q161" s="243" t="inlineStr">
        <is>
          <t>13.05.2026</t>
        </is>
      </c>
      <c r="R161" s="243" t="inlineStr">
        <is>
          <t>18.06.2026 (the issuance plan's basis: 06.07.2026)</t>
        </is>
      </c>
      <c r="S161" s="245">
        <f>IFERROR(INDEX('CoQ Register'!$D:$D,MATCH("P060442|R2",'CoQ Register'!$S:$S,0)),"")</f>
        <v/>
      </c>
      <c r="T161" s="243" t="inlineStr">
        <is>
          <t>CNP ППК26116</t>
        </is>
      </c>
      <c r="U161" s="243" t="inlineStr">
        <is>
          <t>CNP ППК26116</t>
        </is>
      </c>
      <c r="V161" s="243" t="inlineStr">
        <is>
          <t>Conforms</t>
        </is>
      </c>
      <c r="W161" s="243" t="inlineStr">
        <is>
          <t>227-7-K-26, (11.09.2026) [FHM-K]</t>
        </is>
      </c>
      <c r="X161" s="243" t="inlineStr">
        <is>
          <t>227-7-K-26, (11.09.2026) [FHM-K]</t>
        </is>
      </c>
      <c r="Y161" s="243" t="inlineStr">
        <is>
          <t>— pending —</t>
        </is>
      </c>
      <c r="Z161" s="243" t="inlineStr">
        <is>
          <t>#8, #9, #11, #12 from the initial testing</t>
        </is>
      </c>
      <c r="AA161" s="243" t="inlineStr">
        <is>
          <t>P060442|R2</t>
        </is>
      </c>
      <c r="AB161" s="250" t="inlineStr">
        <is>
          <t>registered — retest 2 · Tranche 3 (sampled 19–21.08.2026), tested 19.08.2026, issued 24.08.2026</t>
        </is>
      </c>
    </row>
    <row r="162">
      <c r="A162" s="243" t="n">
        <v>161</v>
      </c>
      <c r="B162" s="244" t="inlineStr">
        <is>
          <t>iCoA-PP_26-161</t>
        </is>
      </c>
      <c r="C162" s="249" t="inlineStr">
        <is>
          <t>yes</t>
        </is>
      </c>
      <c r="D162" s="245" t="n">
        <v>46258</v>
      </c>
      <c r="E162" s="245" t="n">
        <v>46253</v>
      </c>
      <c r="F162" s="245">
        <f>IFERROR(INDEX('Batch Dates'!$G:$G,MATCH(J162,'Batch Dates'!$C:$C,0)),IFERROR(INDEX('Batch Dates'!$G:$G,MATCH(I162,'Batch Dates'!$B:$B,0)),""))</f>
        <v/>
      </c>
      <c r="G162" s="243" t="inlineStr">
        <is>
          <t>legacy</t>
        </is>
      </c>
      <c r="H162" s="243" t="inlineStr">
        <is>
          <t>retest 2</t>
        </is>
      </c>
      <c r="I162" s="244" t="inlineStr">
        <is>
          <t>SJ102501</t>
        </is>
      </c>
      <c r="J162" s="243" t="inlineStr">
        <is>
          <t>P060162</t>
        </is>
      </c>
      <c r="K162" s="243" t="inlineStr">
        <is>
          <t>Sleepy Joe</t>
        </is>
      </c>
      <c r="L162" s="243" t="inlineStr">
        <is>
          <t>Ident A + Ident B + Foreign matter</t>
        </is>
      </c>
      <c r="M162" s="248" t="inlineStr">
        <is>
          <t>—</t>
        </is>
      </c>
      <c r="N162" s="243">
        <f>IFERROR(INDEX('CoQ Register'!$B:$B,MATCH("P060162|R2",'CoQ Register'!$S:$S,0)),"—")</f>
        <v/>
      </c>
      <c r="O162" s="248" t="inlineStr">
        <is>
          <t>—</t>
        </is>
      </c>
      <c r="P162" s="243" t="inlineStr">
        <is>
          <t>04.03.2027</t>
        </is>
      </c>
      <c r="Q162" s="243" t="inlineStr">
        <is>
          <t>20.01.2026</t>
        </is>
      </c>
      <c r="R162" s="243" t="inlineStr">
        <is>
          <t>09.03.2026 (the issuance plan's basis: 04.03.2026)</t>
        </is>
      </c>
      <c r="S162" s="245">
        <f>IFERROR(INDEX('CoQ Register'!$D:$D,MATCH("P060162|R2",'CoQ Register'!$S:$S,0)),"")</f>
        <v/>
      </c>
      <c r="T162" s="243" t="inlineStr">
        <is>
          <t>Conforms</t>
        </is>
      </c>
      <c r="U162" s="243" t="inlineStr">
        <is>
          <t>Conforms</t>
        </is>
      </c>
      <c r="V162" s="243" t="inlineStr">
        <is>
          <t>Conforms</t>
        </is>
      </c>
      <c r="W162" s="243" t="inlineStr">
        <is>
          <t>227-6-K-26, (11.09.2026) [FHM-K]</t>
        </is>
      </c>
      <c r="X162" s="243" t="inlineStr">
        <is>
          <t>227-6-K-26, (11.09.2026) [FHM-K]</t>
        </is>
      </c>
      <c r="Y162" s="243" t="inlineStr">
        <is>
          <t>— pending —</t>
        </is>
      </c>
      <c r="Z162" s="243" t="inlineStr">
        <is>
          <t>#8, #9, #11, #12 from the initial testing</t>
        </is>
      </c>
      <c r="AA162" s="243" t="inlineStr">
        <is>
          <t>P060162|R2</t>
        </is>
      </c>
      <c r="AB162" s="250" t="inlineStr">
        <is>
          <t>registered — retest 2 · Tranche 3 (sampled 19–21.08.2026), tested 19.08.2026, issued 24.08.2026</t>
        </is>
      </c>
    </row>
    <row r="163">
      <c r="A163" s="243" t="n">
        <v>162</v>
      </c>
      <c r="B163" s="244" t="inlineStr">
        <is>
          <t>iCoA-PP_26-162</t>
        </is>
      </c>
      <c r="C163" s="249" t="inlineStr">
        <is>
          <t>yes</t>
        </is>
      </c>
      <c r="D163" s="245" t="n">
        <v>46258</v>
      </c>
      <c r="E163" s="245" t="n">
        <v>46253</v>
      </c>
      <c r="F163" s="245">
        <f>IFERROR(INDEX('Batch Dates'!$G:$G,MATCH(J163,'Batch Dates'!$C:$C,0)),IFERROR(INDEX('Batch Dates'!$G:$G,MATCH(I163,'Batch Dates'!$B:$B,0)),""))</f>
        <v/>
      </c>
      <c r="G163" s="243" t="inlineStr">
        <is>
          <t>legacy</t>
        </is>
      </c>
      <c r="H163" s="243" t="inlineStr">
        <is>
          <t>retest 1</t>
        </is>
      </c>
      <c r="I163" s="244" t="inlineStr">
        <is>
          <t>SJ112501</t>
        </is>
      </c>
      <c r="J163" s="243" t="inlineStr">
        <is>
          <t>P060192</t>
        </is>
      </c>
      <c r="K163" s="243" t="inlineStr">
        <is>
          <t>Sleepy Joe</t>
        </is>
      </c>
      <c r="L163" s="243" t="inlineStr">
        <is>
          <t>Ident A + Ident B + Foreign matter</t>
        </is>
      </c>
      <c r="M163" s="248" t="inlineStr">
        <is>
          <t>—</t>
        </is>
      </c>
      <c r="N163" s="243">
        <f>IFERROR(INDEX('CoQ Register'!$B:$B,MATCH("P060192|R",'CoQ Register'!$S:$S,0)),"—")</f>
        <v/>
      </c>
      <c r="O163" s="248" t="inlineStr">
        <is>
          <t>—</t>
        </is>
      </c>
      <c r="P163" s="243" t="inlineStr">
        <is>
          <t>04.03.2027</t>
        </is>
      </c>
      <c r="Q163" s="243" t="inlineStr">
        <is>
          <t>26.01.2026 – 27.01.2026</t>
        </is>
      </c>
      <c r="R163" s="243" t="inlineStr">
        <is>
          <t>31.03.2026 (the issuance plan's basis: 04.03.2026)</t>
        </is>
      </c>
      <c r="S163" s="245">
        <f>IFERROR(INDEX('CoQ Register'!$D:$D,MATCH("P060192|R",'CoQ Register'!$S:$S,0)),"")</f>
        <v/>
      </c>
      <c r="T163" s="243" t="inlineStr">
        <is>
          <t>Conforms</t>
        </is>
      </c>
      <c r="U163" s="243" t="inlineStr">
        <is>
          <t>Conforms</t>
        </is>
      </c>
      <c r="V163" s="243" t="inlineStr">
        <is>
          <t>Conforms</t>
        </is>
      </c>
      <c r="W163" s="243" t="inlineStr">
        <is>
          <t>227-5-K-26, (11.09.2026) [FHM-K]</t>
        </is>
      </c>
      <c r="X163" s="243" t="inlineStr">
        <is>
          <t>227-5-K-26, (11.09.2026) [FHM-K]</t>
        </is>
      </c>
      <c r="Y163" s="243" t="inlineStr">
        <is>
          <t>— pending —</t>
        </is>
      </c>
      <c r="Z163" s="243" t="inlineStr">
        <is>
          <t>#8, #9, #11, #12 from the initial testing</t>
        </is>
      </c>
      <c r="AA163" s="243" t="inlineStr">
        <is>
          <t>P060192|R</t>
        </is>
      </c>
      <c r="AB163" s="250" t="inlineStr">
        <is>
          <t>registered — retest 1 · Tranche 3 (sampled 19–21.08.2026), tested 19.08.2026, issued 24.08.2026</t>
        </is>
      </c>
    </row>
    <row r="164">
      <c r="A164" s="243" t="n">
        <v>163</v>
      </c>
      <c r="B164" s="244" t="inlineStr">
        <is>
          <t>iCoA-PP_26-163</t>
        </is>
      </c>
      <c r="C164" s="249" t="inlineStr">
        <is>
          <t>yes</t>
        </is>
      </c>
      <c r="D164" s="245" t="n">
        <v>46258</v>
      </c>
      <c r="E164" s="245" t="n">
        <v>46253</v>
      </c>
      <c r="F164" s="245">
        <f>IFERROR(INDEX('Batch Dates'!$G:$G,MATCH(J164,'Batch Dates'!$C:$C,0)),IFERROR(INDEX('Batch Dates'!$G:$G,MATCH(I164,'Batch Dates'!$B:$B,0)),""))</f>
        <v/>
      </c>
      <c r="G164" s="243" t="inlineStr">
        <is>
          <t>legacy</t>
        </is>
      </c>
      <c r="H164" s="243" t="inlineStr">
        <is>
          <t>retest 2</t>
        </is>
      </c>
      <c r="I164" s="244" t="inlineStr">
        <is>
          <t>WC072501</t>
        </is>
      </c>
      <c r="J164" s="243" t="inlineStr">
        <is>
          <t>P050262</t>
        </is>
      </c>
      <c r="K164" s="243" t="inlineStr">
        <is>
          <t>Wedding Crusher</t>
        </is>
      </c>
      <c r="L164" s="243" t="inlineStr">
        <is>
          <t>Ident A + Ident B + Foreign matter</t>
        </is>
      </c>
      <c r="M164" s="248" t="inlineStr">
        <is>
          <t>—</t>
        </is>
      </c>
      <c r="N164" s="243">
        <f>IFERROR(INDEX('CoQ Register'!$B:$B,MATCH("P050262|R2",'CoQ Register'!$S:$S,0)),"—")</f>
        <v/>
      </c>
      <c r="O164" s="248" t="inlineStr">
        <is>
          <t>—</t>
        </is>
      </c>
      <c r="P164" s="243" t="inlineStr">
        <is>
          <t>02.12.2026</t>
        </is>
      </c>
      <c r="Q164" s="243" t="inlineStr">
        <is>
          <t>27.10.2025 – 28.10.2025</t>
        </is>
      </c>
      <c r="R164" s="243" t="inlineStr">
        <is>
          <t>01.12.2025 (the issuance plan's basis: 02.12.2025)</t>
        </is>
      </c>
      <c r="S164" s="245">
        <f>IFERROR(INDEX('CoQ Register'!$D:$D,MATCH("P050262|R2",'CoQ Register'!$S:$S,0)),"")</f>
        <v/>
      </c>
      <c r="T164" s="243" t="inlineStr">
        <is>
          <t>Conforms</t>
        </is>
      </c>
      <c r="U164" s="243" t="inlineStr">
        <is>
          <t>Conforms</t>
        </is>
      </c>
      <c r="V164" s="243" t="inlineStr">
        <is>
          <t>Conforms</t>
        </is>
      </c>
      <c r="W164" s="243" t="inlineStr">
        <is>
          <t>227-3-K-26, (11.09.2026) [FHM-K]</t>
        </is>
      </c>
      <c r="X164" s="243" t="inlineStr">
        <is>
          <t>227-3-K-26, (11.09.2026) [FHM-K]</t>
        </is>
      </c>
      <c r="Y164" s="243" t="inlineStr">
        <is>
          <t>— pending —</t>
        </is>
      </c>
      <c r="Z164" s="243" t="inlineStr">
        <is>
          <t>#8, #9, #11, #12 from the initial testing</t>
        </is>
      </c>
      <c r="AA164" s="243" t="inlineStr">
        <is>
          <t>P050262|R2</t>
        </is>
      </c>
      <c r="AB164" s="250" t="inlineStr">
        <is>
          <t>registered — retest 2 · Tranche 3 (sampled 19–21.08.2026), tested 19.08.2026, issued 24.08.2026</t>
        </is>
      </c>
    </row>
    <row r="165">
      <c r="A165" s="243" t="n">
        <v>164</v>
      </c>
      <c r="B165" s="244" t="inlineStr">
        <is>
          <t>iCoA-PP_26-164</t>
        </is>
      </c>
      <c r="C165" s="249" t="inlineStr">
        <is>
          <t>yes</t>
        </is>
      </c>
      <c r="D165" s="245" t="n">
        <v>46258</v>
      </c>
      <c r="E165" s="245" t="n">
        <v>46253</v>
      </c>
      <c r="F165" s="245">
        <f>IFERROR(INDEX('Batch Dates'!$G:$G,MATCH(J165,'Batch Dates'!$C:$C,0)),IFERROR(INDEX('Batch Dates'!$G:$G,MATCH(I165,'Batch Dates'!$B:$B,0)),""))</f>
        <v/>
      </c>
      <c r="G165" s="243" t="inlineStr">
        <is>
          <t>legacy</t>
        </is>
      </c>
      <c r="H165" s="243" t="inlineStr">
        <is>
          <t>retest 2</t>
        </is>
      </c>
      <c r="I165" s="244" t="inlineStr">
        <is>
          <t>WED102501</t>
        </is>
      </c>
      <c r="J165" s="243" t="inlineStr">
        <is>
          <t>P060102</t>
        </is>
      </c>
      <c r="K165" s="243" t="inlineStr">
        <is>
          <t>Wedding Cake</t>
        </is>
      </c>
      <c r="L165" s="243" t="inlineStr">
        <is>
          <t>Ident A + Ident B + Foreign matter</t>
        </is>
      </c>
      <c r="M165" s="248" t="inlineStr">
        <is>
          <t>—</t>
        </is>
      </c>
      <c r="N165" s="243">
        <f>IFERROR(INDEX('CoQ Register'!$B:$B,MATCH("P060102|R2",'CoQ Register'!$S:$S,0)),"—")</f>
        <v/>
      </c>
      <c r="O165" s="248" t="inlineStr">
        <is>
          <t>—</t>
        </is>
      </c>
      <c r="P165" s="243" t="inlineStr">
        <is>
          <t>16.02.2027</t>
        </is>
      </c>
      <c r="Q165" s="243" t="inlineStr">
        <is>
          <t>08.01.2026</t>
        </is>
      </c>
      <c r="R165" s="243" t="inlineStr">
        <is>
          <t>16.02.2026</t>
        </is>
      </c>
      <c r="S165" s="245">
        <f>IFERROR(INDEX('CoQ Register'!$D:$D,MATCH("P060102|R2",'CoQ Register'!$S:$S,0)),"")</f>
        <v/>
      </c>
      <c r="T165" s="243" t="inlineStr">
        <is>
          <t>Conforms</t>
        </is>
      </c>
      <c r="U165" s="243" t="inlineStr">
        <is>
          <t>Conforms</t>
        </is>
      </c>
      <c r="V165" s="243" t="inlineStr">
        <is>
          <t>Conforms</t>
        </is>
      </c>
      <c r="W165" s="243" t="inlineStr">
        <is>
          <t>227-4-K-26, (11.09.2026) [FHM-K]</t>
        </is>
      </c>
      <c r="X165" s="243" t="inlineStr">
        <is>
          <t>227-4-K-26, (11.09.2026) [FHM-K]</t>
        </is>
      </c>
      <c r="Y165" s="243" t="inlineStr">
        <is>
          <t>— pending —</t>
        </is>
      </c>
      <c r="Z165" s="243" t="inlineStr">
        <is>
          <t>#8, #9, #11, #12 from the initial testing</t>
        </is>
      </c>
      <c r="AA165" s="243" t="inlineStr">
        <is>
          <t>P060102|R2</t>
        </is>
      </c>
      <c r="AB165" s="250" t="inlineStr">
        <is>
          <t>registered — retest 2 · Tranche 3 (sampled 19–21.08.2026), tested 19.08.2026, issued 24.08.2026</t>
        </is>
      </c>
    </row>
    <row r="166">
      <c r="A166" s="243" t="n">
        <v>165</v>
      </c>
      <c r="B166" s="244" t="inlineStr">
        <is>
          <t>iCoA-PP_26-165</t>
        </is>
      </c>
      <c r="C166" s="249" t="inlineStr">
        <is>
          <t>yes</t>
        </is>
      </c>
      <c r="D166" s="245" t="n">
        <v>46258</v>
      </c>
      <c r="E166" s="245" t="n">
        <v>46254</v>
      </c>
      <c r="F166" s="245">
        <f>IFERROR(INDEX('Batch Dates'!$G:$G,MATCH(J166,'Batch Dates'!$C:$C,0)),IFERROR(INDEX('Batch Dates'!$G:$G,MATCH(I166,'Batch Dates'!$B:$B,0)),""))</f>
        <v/>
      </c>
      <c r="G166" s="243" t="inlineStr">
        <is>
          <t>legacy</t>
        </is>
      </c>
      <c r="H166" s="243" t="inlineStr">
        <is>
          <t>retest 2</t>
        </is>
      </c>
      <c r="I166" s="244" t="inlineStr">
        <is>
          <t>GG1024_02</t>
        </is>
      </c>
      <c r="J166" s="243" t="inlineStr">
        <is>
          <t>P050012</t>
        </is>
      </c>
      <c r="K166" s="243" t="inlineStr">
        <is>
          <t>Gorilla Glue</t>
        </is>
      </c>
      <c r="L166" s="243" t="inlineStr">
        <is>
          <t>Ident A + Ident B + Foreign matter</t>
        </is>
      </c>
      <c r="M166" s="248" t="inlineStr">
        <is>
          <t>—</t>
        </is>
      </c>
      <c r="N166" s="243">
        <f>IFERROR(INDEX('CoQ Register'!$B:$B,MATCH("P050012|R2",'CoQ Register'!$S:$S,0)),"—")</f>
        <v/>
      </c>
      <c r="O166" s="248" t="inlineStr">
        <is>
          <t>—</t>
        </is>
      </c>
      <c r="P166" s="243" t="inlineStr">
        <is>
          <t>30.05.2026</t>
        </is>
      </c>
      <c r="Q166" s="243" t="inlineStr">
        <is>
          <t>14.04.2025 – 15.04.2025</t>
        </is>
      </c>
      <c r="R166" s="243" t="inlineStr">
        <is>
          <t>11.06.2025 – 16.06.2025 (the issuance plan's basis: 30.05.2025)</t>
        </is>
      </c>
      <c r="S166" s="245">
        <f>IFERROR(INDEX('CoQ Register'!$D:$D,MATCH("P050012|R2",'CoQ Register'!$S:$S,0)),"")</f>
        <v/>
      </c>
      <c r="T166" s="243" t="inlineStr">
        <is>
          <t>Conforms</t>
        </is>
      </c>
      <c r="U166" s="243" t="inlineStr">
        <is>
          <t>Conforms</t>
        </is>
      </c>
      <c r="V166" s="243" t="inlineStr">
        <is>
          <t>Conforms</t>
        </is>
      </c>
      <c r="W166" s="243" t="inlineStr">
        <is>
          <t>227-19-K-26, (11.09.2026) [FHM-K]</t>
        </is>
      </c>
      <c r="X166" s="243" t="inlineStr">
        <is>
          <t>227-19-K-26, (11.09.2026) [FHM-K]</t>
        </is>
      </c>
      <c r="Y166" s="243" t="inlineStr">
        <is>
          <t>— pending —</t>
        </is>
      </c>
      <c r="Z166" s="243" t="inlineStr">
        <is>
          <t>#8, #9, #11, #12 from the initial testing</t>
        </is>
      </c>
      <c r="AA166" s="243" t="inlineStr">
        <is>
          <t>P050012|R2</t>
        </is>
      </c>
      <c r="AB166" s="250" t="inlineStr">
        <is>
          <t>registered — retest 2 · Tranche 3 (sampled 19–21.08.2026), tested 20.08.2026, issued 24.08.2026</t>
        </is>
      </c>
    </row>
    <row r="167">
      <c r="A167" s="243" t="n">
        <v>166</v>
      </c>
      <c r="B167" s="244" t="inlineStr">
        <is>
          <t>iCoA-PP_26-166</t>
        </is>
      </c>
      <c r="C167" s="249" t="inlineStr">
        <is>
          <t>yes</t>
        </is>
      </c>
      <c r="D167" s="245" t="n">
        <v>46258</v>
      </c>
      <c r="E167" s="245" t="n">
        <v>46254</v>
      </c>
      <c r="F167" s="245">
        <f>IFERROR(INDEX('Batch Dates'!$G:$G,MATCH(J167,'Batch Dates'!$C:$C,0)),IFERROR(INDEX('Batch Dates'!$G:$G,MATCH(I167,'Batch Dates'!$B:$B,0)),""))</f>
        <v/>
      </c>
      <c r="G167" s="243" t="inlineStr">
        <is>
          <t>legacy</t>
        </is>
      </c>
      <c r="H167" s="243" t="inlineStr">
        <is>
          <t>retest 2</t>
        </is>
      </c>
      <c r="I167" s="244" t="inlineStr">
        <is>
          <t>GG112501</t>
        </is>
      </c>
      <c r="J167" s="243" t="inlineStr">
        <is>
          <t>P060252</t>
        </is>
      </c>
      <c r="K167" s="243" t="inlineStr">
        <is>
          <t>Gorilla Glue</t>
        </is>
      </c>
      <c r="L167" s="243" t="inlineStr">
        <is>
          <t>Ident A + Ident B + Foreign matter</t>
        </is>
      </c>
      <c r="M167" s="248" t="inlineStr">
        <is>
          <t>—</t>
        </is>
      </c>
      <c r="N167" s="243">
        <f>IFERROR(INDEX('CoQ Register'!$B:$B,MATCH("P060252|R2",'CoQ Register'!$S:$S,0)),"—")</f>
        <v/>
      </c>
      <c r="O167" s="248" t="inlineStr">
        <is>
          <t>—</t>
        </is>
      </c>
      <c r="P167" s="243" t="inlineStr">
        <is>
          <t>11.05.2027</t>
        </is>
      </c>
      <c r="Q167" s="243" t="inlineStr">
        <is>
          <t>25.03.2026</t>
        </is>
      </c>
      <c r="R167" s="243" t="inlineStr">
        <is>
          <t>05.05.2026 (the issuance plan's basis: 11.05.2026)</t>
        </is>
      </c>
      <c r="S167" s="245">
        <f>IFERROR(INDEX('CoQ Register'!$D:$D,MATCH("P060252|R2",'CoQ Register'!$S:$S,0)),"")</f>
        <v/>
      </c>
      <c r="T167" s="243" t="inlineStr">
        <is>
          <t>Conforms</t>
        </is>
      </c>
      <c r="U167" s="243" t="inlineStr">
        <is>
          <t>Conforms</t>
        </is>
      </c>
      <c r="V167" s="243" t="inlineStr">
        <is>
          <t>Conforms</t>
        </is>
      </c>
      <c r="W167" s="243" t="inlineStr">
        <is>
          <t>227-20-K-26, (11.09.2026) [FHM-K]</t>
        </is>
      </c>
      <c r="X167" s="243" t="inlineStr">
        <is>
          <t>227-20-K-26, (11.09.2026) [FHM-K]</t>
        </is>
      </c>
      <c r="Y167" s="243" t="inlineStr">
        <is>
          <t>— pending —</t>
        </is>
      </c>
      <c r="Z167" s="243" t="inlineStr">
        <is>
          <t>#8, #9, #11, #12 from the initial testing</t>
        </is>
      </c>
      <c r="AA167" s="243" t="inlineStr">
        <is>
          <t>P060252|R2</t>
        </is>
      </c>
      <c r="AB167" s="250" t="inlineStr">
        <is>
          <t>registered — retest 2 · Tranche 3 (sampled 19–21.08.2026), tested 20.08.2026, issued 24.08.2026</t>
        </is>
      </c>
    </row>
    <row r="168">
      <c r="A168" s="243" t="n">
        <v>167</v>
      </c>
      <c r="B168" s="244" t="inlineStr">
        <is>
          <t>iCoA-PP_26-167</t>
        </is>
      </c>
      <c r="C168" s="249" t="inlineStr">
        <is>
          <t>yes</t>
        </is>
      </c>
      <c r="D168" s="245" t="n">
        <v>46258</v>
      </c>
      <c r="E168" s="245" t="n">
        <v>46254</v>
      </c>
      <c r="F168" s="245">
        <f>IFERROR(INDEX('Batch Dates'!$G:$G,MATCH(J168,'Batch Dates'!$C:$C,0)),IFERROR(INDEX('Batch Dates'!$G:$G,MATCH(I168,'Batch Dates'!$B:$B,0)),""))</f>
        <v/>
      </c>
      <c r="G168" s="243" t="inlineStr">
        <is>
          <t>legacy</t>
        </is>
      </c>
      <c r="H168" s="243" t="inlineStr">
        <is>
          <t>retest 5</t>
        </is>
      </c>
      <c r="I168" s="244" t="inlineStr">
        <is>
          <t>GP062501</t>
        </is>
      </c>
      <c r="J168" s="243" t="inlineStr">
        <is>
          <t>P050202</t>
        </is>
      </c>
      <c r="K168" s="243" t="inlineStr">
        <is>
          <t>Grape Pie</t>
        </is>
      </c>
      <c r="L168" s="243" t="inlineStr">
        <is>
          <t>Ident A + Ident B + Foreign matter</t>
        </is>
      </c>
      <c r="M168" s="248" t="inlineStr">
        <is>
          <t>—</t>
        </is>
      </c>
      <c r="N168" s="243">
        <f>IFERROR(INDEX('CoQ Register'!$B:$B,MATCH("P050202|R5",'CoQ Register'!$S:$S,0)),"—")</f>
        <v/>
      </c>
      <c r="O168" s="248" t="inlineStr">
        <is>
          <t>—</t>
        </is>
      </c>
      <c r="P168" s="243" t="inlineStr">
        <is>
          <t>11.05.2027</t>
        </is>
      </c>
      <c r="Q168" s="243" t="inlineStr">
        <is>
          <t>15.09.2025 – 17.09.2025</t>
        </is>
      </c>
      <c r="R168" s="243" t="inlineStr">
        <is>
          <t>30.10.2025 – 07.11.2025 (the issuance plan's basis: 11.05.2026)</t>
        </is>
      </c>
      <c r="S168" s="245">
        <f>IFERROR(INDEX('CoQ Register'!$D:$D,MATCH("P050202|R5",'CoQ Register'!$S:$S,0)),"")</f>
        <v/>
      </c>
      <c r="T168" s="243" t="inlineStr">
        <is>
          <t>Conforms</t>
        </is>
      </c>
      <c r="U168" s="243" t="inlineStr">
        <is>
          <t>Conforms</t>
        </is>
      </c>
      <c r="V168" s="243" t="inlineStr">
        <is>
          <t>Conforms</t>
        </is>
      </c>
      <c r="W168" s="243" t="inlineStr">
        <is>
          <t>227-18-K-26, (11.09.2026) [FHM-K]</t>
        </is>
      </c>
      <c r="X168" s="243" t="inlineStr">
        <is>
          <t>227-18-K-26, (11.09.2026) [FHM-K]</t>
        </is>
      </c>
      <c r="Y168" s="243" t="inlineStr">
        <is>
          <t>— pending —</t>
        </is>
      </c>
      <c r="Z168" s="243" t="inlineStr">
        <is>
          <t>#8, #9, #11, #12 from the initial testing</t>
        </is>
      </c>
      <c r="AA168" s="243" t="inlineStr">
        <is>
          <t>P050202|R5</t>
        </is>
      </c>
      <c r="AB168" s="250" t="inlineStr">
        <is>
          <t>registered — retest 5 · Tranche 3 (sampled 19–21.08.2026), tested 20.08.2026, issued 24.08.2026</t>
        </is>
      </c>
    </row>
    <row r="169">
      <c r="A169" s="243" t="n">
        <v>168</v>
      </c>
      <c r="B169" s="244" t="inlineStr">
        <is>
          <t>iCoA-PP_26-168</t>
        </is>
      </c>
      <c r="C169" s="249" t="inlineStr">
        <is>
          <t>yes</t>
        </is>
      </c>
      <c r="D169" s="245" t="n">
        <v>46258</v>
      </c>
      <c r="E169" s="245" t="n">
        <v>46254</v>
      </c>
      <c r="F169" s="245">
        <f>IFERROR(INDEX('Batch Dates'!$G:$G,MATCH(J169,'Batch Dates'!$C:$C,0)),IFERROR(INDEX('Batch Dates'!$G:$G,MATCH(I169,'Batch Dates'!$B:$B,0)),""))</f>
        <v/>
      </c>
      <c r="G169" s="243" t="inlineStr">
        <is>
          <t>legacy</t>
        </is>
      </c>
      <c r="H169" s="243" t="inlineStr">
        <is>
          <t>retest 2</t>
        </is>
      </c>
      <c r="I169" s="244" t="inlineStr">
        <is>
          <t>GP072501/1</t>
        </is>
      </c>
      <c r="J169" s="243" t="inlineStr">
        <is>
          <t>P050292</t>
        </is>
      </c>
      <c r="K169" s="243" t="inlineStr">
        <is>
          <t>Grape Pie</t>
        </is>
      </c>
      <c r="L169" s="243" t="inlineStr">
        <is>
          <t>Ident A + Ident B + Foreign matter</t>
        </is>
      </c>
      <c r="M169" s="248" t="inlineStr">
        <is>
          <t>—</t>
        </is>
      </c>
      <c r="N169" s="243">
        <f>IFERROR(INDEX('CoQ Register'!$B:$B,MATCH("P050292|R2",'CoQ Register'!$S:$S,0)),"—")</f>
        <v/>
      </c>
      <c r="O169" s="248" t="inlineStr">
        <is>
          <t>—</t>
        </is>
      </c>
      <c r="P169" s="243" t="inlineStr">
        <is>
          <t>21.01.2027</t>
        </is>
      </c>
      <c r="Q169" s="243" t="inlineStr">
        <is>
          <t>11.11.2025 – 13.11.2025</t>
        </is>
      </c>
      <c r="R169" s="243" t="inlineStr">
        <is>
          <t>15.12.2025 – 21.12.2025 (the issuance plan's basis: 21.01.2026)</t>
        </is>
      </c>
      <c r="S169" s="245">
        <f>IFERROR(INDEX('CoQ Register'!$D:$D,MATCH("P050292|R2",'CoQ Register'!$S:$S,0)),"")</f>
        <v/>
      </c>
      <c r="T169" s="243" t="inlineStr">
        <is>
          <t>Conforms</t>
        </is>
      </c>
      <c r="U169" s="243" t="inlineStr">
        <is>
          <t>Conforms</t>
        </is>
      </c>
      <c r="V169" s="243" t="inlineStr">
        <is>
          <t>Conforms</t>
        </is>
      </c>
      <c r="W169" s="243" t="inlineStr">
        <is>
          <t>227-17-K-26, (11.09.2026) [FHM-K]</t>
        </is>
      </c>
      <c r="X169" s="243" t="inlineStr">
        <is>
          <t>227-17-K-26, (11.09.2026) [FHM-K]</t>
        </is>
      </c>
      <c r="Y169" s="243" t="inlineStr">
        <is>
          <t>— pending —</t>
        </is>
      </c>
      <c r="Z169" s="243" t="inlineStr">
        <is>
          <t>#8, #9, #11, #12 from the initial testing</t>
        </is>
      </c>
      <c r="AA169" s="243" t="inlineStr">
        <is>
          <t>P050292|R2</t>
        </is>
      </c>
      <c r="AB169" s="250" t="inlineStr">
        <is>
          <t>registered — retest 2 · Tranche 3 (sampled 19–21.08.2026), tested 20.08.2026, issued 24.08.2026</t>
        </is>
      </c>
    </row>
    <row r="170">
      <c r="A170" s="243" t="n">
        <v>169</v>
      </c>
      <c r="B170" s="244" t="inlineStr">
        <is>
          <t>iCoA-PP_26-169</t>
        </is>
      </c>
      <c r="C170" s="249" t="inlineStr">
        <is>
          <t>yes</t>
        </is>
      </c>
      <c r="D170" s="245" t="n">
        <v>46258</v>
      </c>
      <c r="E170" s="245" t="n">
        <v>46254</v>
      </c>
      <c r="F170" s="245">
        <f>IFERROR(INDEX('Batch Dates'!$G:$G,MATCH(J170,'Batch Dates'!$C:$C,0)),IFERROR(INDEX('Batch Dates'!$G:$G,MATCH(I170,'Batch Dates'!$B:$B,0)),""))</f>
        <v/>
      </c>
      <c r="G170" s="243" t="inlineStr">
        <is>
          <t>legacy</t>
        </is>
      </c>
      <c r="H170" s="243" t="inlineStr">
        <is>
          <t>retest 2</t>
        </is>
      </c>
      <c r="I170" s="244" t="inlineStr">
        <is>
          <t>GRC102501</t>
        </is>
      </c>
      <c r="J170" s="243" t="inlineStr">
        <is>
          <t>P060142</t>
        </is>
      </c>
      <c r="K170" s="243" t="inlineStr">
        <is>
          <t>Grapes And Cream</t>
        </is>
      </c>
      <c r="L170" s="243" t="inlineStr">
        <is>
          <t>Ident A + Ident B + Foreign matter</t>
        </is>
      </c>
      <c r="M170" s="248" t="inlineStr">
        <is>
          <t>—</t>
        </is>
      </c>
      <c r="N170" s="243">
        <f>IFERROR(INDEX('CoQ Register'!$B:$B,MATCH("P060142|R2",'CoQ Register'!$S:$S,0)),"—")</f>
        <v/>
      </c>
      <c r="O170" s="248" t="inlineStr">
        <is>
          <t>—</t>
        </is>
      </c>
      <c r="P170" s="243" t="inlineStr">
        <is>
          <t>23.02.2027</t>
        </is>
      </c>
      <c r="Q170" s="243" t="inlineStr">
        <is>
          <t>09.01.2026</t>
        </is>
      </c>
      <c r="R170" s="243" t="inlineStr">
        <is>
          <t>23.02.2026</t>
        </is>
      </c>
      <c r="S170" s="245">
        <f>IFERROR(INDEX('CoQ Register'!$D:$D,MATCH("P060142|R2",'CoQ Register'!$S:$S,0)),"")</f>
        <v/>
      </c>
      <c r="T170" s="243" t="inlineStr">
        <is>
          <t>Conforms</t>
        </is>
      </c>
      <c r="U170" s="243" t="inlineStr">
        <is>
          <t>Conforms</t>
        </is>
      </c>
      <c r="V170" s="243" t="inlineStr">
        <is>
          <t>Conforms</t>
        </is>
      </c>
      <c r="W170" s="243" t="inlineStr">
        <is>
          <t>227-16-K-26, (11.09.2026) [FHM-K]</t>
        </is>
      </c>
      <c r="X170" s="243" t="inlineStr">
        <is>
          <t>227-16-K-26, (11.09.2026) [FHM-K]</t>
        </is>
      </c>
      <c r="Y170" s="243" t="inlineStr">
        <is>
          <t>— pending —</t>
        </is>
      </c>
      <c r="Z170" s="243" t="inlineStr">
        <is>
          <t>#8, #9, #11, #12 from the initial testing</t>
        </is>
      </c>
      <c r="AA170" s="243" t="inlineStr">
        <is>
          <t>P060142|R2</t>
        </is>
      </c>
      <c r="AB170" s="250" t="inlineStr">
        <is>
          <t>registered — retest 2 · Tranche 3 (sampled 19–21.08.2026), tested 20.08.2026, issued 24.08.2026</t>
        </is>
      </c>
    </row>
    <row r="171">
      <c r="A171" s="243" t="n">
        <v>170</v>
      </c>
      <c r="B171" s="244" t="inlineStr">
        <is>
          <t>iCoA-PP_26-170</t>
        </is>
      </c>
      <c r="C171" s="249" t="inlineStr">
        <is>
          <t>yes</t>
        </is>
      </c>
      <c r="D171" s="245" t="n">
        <v>46258</v>
      </c>
      <c r="E171" s="245" t="n">
        <v>46254</v>
      </c>
      <c r="F171" s="245">
        <f>IFERROR(INDEX('Batch Dates'!$G:$G,MATCH(J171,'Batch Dates'!$C:$C,0)),IFERROR(INDEX('Batch Dates'!$G:$G,MATCH(I171,'Batch Dates'!$B:$B,0)),""))</f>
        <v/>
      </c>
      <c r="G171" s="243" t="inlineStr">
        <is>
          <t>legacy</t>
        </is>
      </c>
      <c r="H171" s="243" t="inlineStr">
        <is>
          <t>retest 2</t>
        </is>
      </c>
      <c r="I171" s="244" t="inlineStr">
        <is>
          <t>J31112501</t>
        </is>
      </c>
      <c r="J171" s="243" t="inlineStr">
        <is>
          <t>P060202</t>
        </is>
      </c>
      <c r="K171" s="243" t="inlineStr">
        <is>
          <t>Jokerz 31</t>
        </is>
      </c>
      <c r="L171" s="243" t="inlineStr">
        <is>
          <t>Ident A + Ident B + Foreign matter</t>
        </is>
      </c>
      <c r="M171" s="248" t="inlineStr">
        <is>
          <t>—</t>
        </is>
      </c>
      <c r="N171" s="243">
        <f>IFERROR(INDEX('CoQ Register'!$B:$B,MATCH("P060202|R2",'CoQ Register'!$S:$S,0)),"—")</f>
        <v/>
      </c>
      <c r="O171" s="248" t="inlineStr">
        <is>
          <t>—</t>
        </is>
      </c>
      <c r="P171" s="243" t="inlineStr">
        <is>
          <t>09.04.2027</t>
        </is>
      </c>
      <c r="Q171" s="243" t="inlineStr">
        <is>
          <t>26.01.2026</t>
        </is>
      </c>
      <c r="R171" s="243" t="inlineStr">
        <is>
          <t>17.04.2026 (the issuance plan's basis: 09.04.2026)</t>
        </is>
      </c>
      <c r="S171" s="245">
        <f>IFERROR(INDEX('CoQ Register'!$D:$D,MATCH("P060202|R2",'CoQ Register'!$S:$S,0)),"")</f>
        <v/>
      </c>
      <c r="T171" s="243" t="inlineStr">
        <is>
          <t>Conforms</t>
        </is>
      </c>
      <c r="U171" s="243" t="inlineStr">
        <is>
          <t>Conforms</t>
        </is>
      </c>
      <c r="V171" s="243" t="inlineStr">
        <is>
          <t>Conforms</t>
        </is>
      </c>
      <c r="W171" s="243" t="inlineStr">
        <is>
          <t>227-14-K-26, (11.09.2026) [FHM-K]</t>
        </is>
      </c>
      <c r="X171" s="243" t="inlineStr">
        <is>
          <t>227-14-K-26, (11.09.2026) [FHM-K]</t>
        </is>
      </c>
      <c r="Y171" s="243" t="inlineStr">
        <is>
          <t>— pending —</t>
        </is>
      </c>
      <c r="Z171" s="243" t="inlineStr">
        <is>
          <t>#8, #9, #11, #12 from the initial testing</t>
        </is>
      </c>
      <c r="AA171" s="243" t="inlineStr">
        <is>
          <t>P060202|R2</t>
        </is>
      </c>
      <c r="AB171" s="250" t="inlineStr">
        <is>
          <t>registered — retest 2 · Tranche 3 (sampled 19–21.08.2026), tested 20.08.2026, issued 24.08.2026</t>
        </is>
      </c>
    </row>
    <row r="172">
      <c r="A172" s="243" t="n">
        <v>171</v>
      </c>
      <c r="B172" s="244" t="inlineStr">
        <is>
          <t>iCoA-PP_26-171</t>
        </is>
      </c>
      <c r="C172" s="249" t="inlineStr">
        <is>
          <t>yes</t>
        </is>
      </c>
      <c r="D172" s="245" t="n">
        <v>46258</v>
      </c>
      <c r="E172" s="245" t="n">
        <v>46254</v>
      </c>
      <c r="F172" s="245">
        <f>IFERROR(INDEX('Batch Dates'!$G:$G,MATCH(J172,'Batch Dates'!$C:$C,0)),IFERROR(INDEX('Batch Dates'!$G:$G,MATCH(I172,'Batch Dates'!$B:$B,0)),""))</f>
        <v/>
      </c>
      <c r="G172" s="243" t="inlineStr">
        <is>
          <t>post-SOP</t>
        </is>
      </c>
      <c r="H172" s="243" t="inlineStr">
        <is>
          <t>retest 2</t>
        </is>
      </c>
      <c r="I172" s="244" t="inlineStr">
        <is>
          <t>J31122501</t>
        </is>
      </c>
      <c r="J172" s="243" t="inlineStr">
        <is>
          <t>P060262</t>
        </is>
      </c>
      <c r="K172" s="243" t="inlineStr">
        <is>
          <t>Jokerz 31</t>
        </is>
      </c>
      <c r="L172" s="243" t="inlineStr">
        <is>
          <t>Ident A + Ident B + Foreign matter</t>
        </is>
      </c>
      <c r="M172" s="248" t="inlineStr">
        <is>
          <t>—</t>
        </is>
      </c>
      <c r="N172" s="243">
        <f>IFERROR(INDEX('CoQ Register'!$B:$B,MATCH("P060262|R2",'CoQ Register'!$S:$S,0)),"—")</f>
        <v/>
      </c>
      <c r="O172" s="248" t="inlineStr">
        <is>
          <t>—</t>
        </is>
      </c>
      <c r="P172" s="243" t="inlineStr">
        <is>
          <t>23.04.2027</t>
        </is>
      </c>
      <c r="Q172" s="243" t="inlineStr">
        <is>
          <t>04.03.2026</t>
        </is>
      </c>
      <c r="R172" s="243" t="inlineStr">
        <is>
          <t>14.05.2026 (the issuance plan's basis: 23.04.2026)</t>
        </is>
      </c>
      <c r="S172" s="245">
        <f>IFERROR(INDEX('CoQ Register'!$D:$D,MATCH("P060262|R2",'CoQ Register'!$S:$S,0)),"")</f>
        <v/>
      </c>
      <c r="T172" s="243" t="inlineStr">
        <is>
          <t>Conforms</t>
        </is>
      </c>
      <c r="U172" s="243" t="inlineStr">
        <is>
          <t>Conforms</t>
        </is>
      </c>
      <c r="V172" s="243" t="inlineStr">
        <is>
          <t>Conforms</t>
        </is>
      </c>
      <c r="W172" s="243" t="inlineStr">
        <is>
          <t>— retest assay not yet on file —</t>
        </is>
      </c>
      <c r="X172" s="243" t="inlineStr">
        <is>
          <t>— pending —</t>
        </is>
      </c>
      <c r="Y172" s="243" t="inlineStr">
        <is>
          <t>— pending —</t>
        </is>
      </c>
      <c r="Z172" s="243" t="inlineStr">
        <is>
          <t>#8, #9, #11, #12 from the initial testing</t>
        </is>
      </c>
      <c r="AA172" s="243" t="inlineStr">
        <is>
          <t>P060262|R2</t>
        </is>
      </c>
      <c r="AB172" s="250" t="inlineStr">
        <is>
          <t>registered — retest 2 · Tranche 3 (sampled 19–21.08.2026), tested 20.08.2026, issued 24.08.2026</t>
        </is>
      </c>
    </row>
    <row r="173">
      <c r="A173" s="243" t="n">
        <v>172</v>
      </c>
      <c r="B173" s="244" t="inlineStr">
        <is>
          <t>iCoA-PP_26-172</t>
        </is>
      </c>
      <c r="C173" s="249" t="inlineStr">
        <is>
          <t>yes</t>
        </is>
      </c>
      <c r="D173" s="245" t="n">
        <v>46258</v>
      </c>
      <c r="E173" s="245" t="n">
        <v>46254</v>
      </c>
      <c r="F173" s="245">
        <f>IFERROR(INDEX('Batch Dates'!$G:$G,MATCH(J173,'Batch Dates'!$C:$C,0)),IFERROR(INDEX('Batch Dates'!$G:$G,MATCH(I173,'Batch Dates'!$B:$B,0)),""))</f>
        <v/>
      </c>
      <c r="G173" s="243" t="inlineStr">
        <is>
          <t>post-SOP</t>
        </is>
      </c>
      <c r="H173" s="243" t="inlineStr">
        <is>
          <t>retest 2</t>
        </is>
      </c>
      <c r="I173" s="244" t="inlineStr">
        <is>
          <t>JD012601＊</t>
        </is>
      </c>
      <c r="J173" s="243" t="inlineStr">
        <is>
          <t>P060312</t>
        </is>
      </c>
      <c r="K173" s="243" t="inlineStr">
        <is>
          <t>Jelly Donuts</t>
        </is>
      </c>
      <c r="L173" s="243" t="inlineStr">
        <is>
          <t>Ident A + Ident B + Foreign matter</t>
        </is>
      </c>
      <c r="M173" s="248" t="inlineStr">
        <is>
          <t>—</t>
        </is>
      </c>
      <c r="N173" s="243">
        <f>IFERROR(INDEX('CoQ Register'!$B:$B,MATCH("P060312|R2",'CoQ Register'!$S:$S,0)),"—")</f>
        <v/>
      </c>
      <c r="O173" s="248" t="inlineStr">
        <is>
          <t>—</t>
        </is>
      </c>
      <c r="P173" s="243" t="inlineStr">
        <is>
          <t>11.05.2027</t>
        </is>
      </c>
      <c r="Q173" s="243" t="inlineStr">
        <is>
          <t>27.03.2026</t>
        </is>
      </c>
      <c r="R173" s="243" t="inlineStr">
        <is>
          <t>21.05.2026 (the issuance plan's basis: 11.05.2026)</t>
        </is>
      </c>
      <c r="S173" s="245">
        <f>IFERROR(INDEX('CoQ Register'!$D:$D,MATCH("P060312|R2",'CoQ Register'!$S:$S,0)),"")</f>
        <v/>
      </c>
      <c r="T173" s="243" t="inlineStr">
        <is>
          <t>Conforms</t>
        </is>
      </c>
      <c r="U173" s="243" t="inlineStr">
        <is>
          <t>Conforms</t>
        </is>
      </c>
      <c r="V173" s="243" t="inlineStr">
        <is>
          <t>Conforms</t>
        </is>
      </c>
      <c r="W173" s="243" t="inlineStr">
        <is>
          <t>227-15-K-26, (11.09.2026) [FHM-K]</t>
        </is>
      </c>
      <c r="X173" s="243" t="inlineStr">
        <is>
          <t>227-15-K-26, (11.09.2026) [FHM-K]</t>
        </is>
      </c>
      <c r="Y173" s="243" t="inlineStr">
        <is>
          <t>— pending —</t>
        </is>
      </c>
      <c r="Z173" s="243" t="inlineStr">
        <is>
          <t>#8, #9, #11, #12 from the initial testing</t>
        </is>
      </c>
      <c r="AA173" s="243" t="inlineStr">
        <is>
          <t>P060312|R2</t>
        </is>
      </c>
      <c r="AB173" s="250" t="inlineStr">
        <is>
          <t>registered — retest 2 · Tranche 3 (sampled 19–21.08.2026), tested 20.08.2026, issued 24.08.2026</t>
        </is>
      </c>
    </row>
    <row r="174">
      <c r="A174" s="243" t="n">
        <v>173</v>
      </c>
      <c r="B174" s="244" t="inlineStr">
        <is>
          <t>iCoA-PP_26-173</t>
        </is>
      </c>
      <c r="C174" s="249" t="inlineStr">
        <is>
          <t>yes</t>
        </is>
      </c>
      <c r="D174" s="245" t="n">
        <v>46258</v>
      </c>
      <c r="E174" s="245" t="n">
        <v>46254</v>
      </c>
      <c r="F174" s="245">
        <f>IFERROR(INDEX('Batch Dates'!$G:$G,MATCH(J174,'Batch Dates'!$C:$C,0)),IFERROR(INDEX('Batch Dates'!$G:$G,MATCH(I174,'Batch Dates'!$B:$B,0)),""))</f>
        <v/>
      </c>
      <c r="G174" s="243" t="inlineStr">
        <is>
          <t>legacy</t>
        </is>
      </c>
      <c r="H174" s="243" t="inlineStr">
        <is>
          <t>retest 2</t>
        </is>
      </c>
      <c r="I174" s="244" t="inlineStr">
        <is>
          <t>MB0824_04</t>
        </is>
      </c>
      <c r="J174" s="243" t="inlineStr">
        <is>
          <t>P050032</t>
        </is>
      </c>
      <c r="K174" s="243" t="inlineStr">
        <is>
          <t>Motor Breath</t>
        </is>
      </c>
      <c r="L174" s="243" t="inlineStr">
        <is>
          <t>Ident A + Ident B + Foreign matter</t>
        </is>
      </c>
      <c r="M174" s="248" t="inlineStr">
        <is>
          <t>—</t>
        </is>
      </c>
      <c r="N174" s="243">
        <f>IFERROR(INDEX('CoQ Register'!$B:$B,MATCH("P050032|R2",'CoQ Register'!$S:$S,0)),"—")</f>
        <v/>
      </c>
      <c r="O174" s="248" t="inlineStr">
        <is>
          <t>—</t>
        </is>
      </c>
      <c r="P174" s="243" t="inlineStr">
        <is>
          <t>07.05.2026</t>
        </is>
      </c>
      <c r="Q174" s="243" t="inlineStr">
        <is>
          <t>02.04.2025 – 03.04.2025</t>
        </is>
      </c>
      <c r="R174" s="243" t="inlineStr">
        <is>
          <t>16.06.2025 – 19.06.2025 (the issuance plan's basis: 07.05.2025)</t>
        </is>
      </c>
      <c r="S174" s="245">
        <f>IFERROR(INDEX('CoQ Register'!$D:$D,MATCH("P050032|R2",'CoQ Register'!$S:$S,0)),"")</f>
        <v/>
      </c>
      <c r="T174" s="243" t="inlineStr">
        <is>
          <t>Conforms</t>
        </is>
      </c>
      <c r="U174" s="243" t="inlineStr">
        <is>
          <t>Conforms</t>
        </is>
      </c>
      <c r="V174" s="243" t="inlineStr">
        <is>
          <t>Conforms</t>
        </is>
      </c>
      <c r="W174" s="243" t="inlineStr">
        <is>
          <t>227-12-K-26, (11.09.2026) [FHM-K]</t>
        </is>
      </c>
      <c r="X174" s="243" t="inlineStr">
        <is>
          <t>227-12-K-26, (11.09.2026) [FHM-K]</t>
        </is>
      </c>
      <c r="Y174" s="243" t="inlineStr">
        <is>
          <t>— pending —</t>
        </is>
      </c>
      <c r="Z174" s="243" t="inlineStr">
        <is>
          <t>#8, #9, #11, #12 from the initial testing</t>
        </is>
      </c>
      <c r="AA174" s="243" t="inlineStr">
        <is>
          <t>P050032|R2</t>
        </is>
      </c>
      <c r="AB174" s="250" t="inlineStr">
        <is>
          <t>registered — retest 2 · Tranche 3 (sampled 19–21.08.2026), tested 20.08.2026, issued 24.08.2026</t>
        </is>
      </c>
    </row>
    <row r="175">
      <c r="A175" s="243" t="n">
        <v>174</v>
      </c>
      <c r="B175" s="244" t="inlineStr">
        <is>
          <t>iCoA-PP_26-174</t>
        </is>
      </c>
      <c r="C175" s="249" t="inlineStr">
        <is>
          <t>yes</t>
        </is>
      </c>
      <c r="D175" s="245" t="n">
        <v>46258</v>
      </c>
      <c r="E175" s="245" t="n">
        <v>46254</v>
      </c>
      <c r="F175" s="245">
        <f>IFERROR(INDEX('Batch Dates'!$G:$G,MATCH(J175,'Batch Dates'!$C:$C,0)),IFERROR(INDEX('Batch Dates'!$G:$G,MATCH(I175,'Batch Dates'!$B:$B,0)),""))</f>
        <v/>
      </c>
      <c r="G175" s="243" t="inlineStr">
        <is>
          <t>legacy</t>
        </is>
      </c>
      <c r="H175" s="243" t="inlineStr">
        <is>
          <t>retest 2</t>
        </is>
      </c>
      <c r="I175" s="244" t="inlineStr">
        <is>
          <t>OPM052501</t>
        </is>
      </c>
      <c r="J175" s="243" t="inlineStr">
        <is>
          <t>P050132</t>
        </is>
      </c>
      <c r="K175" s="243" t="inlineStr">
        <is>
          <t>Orange Punch Mimosa</t>
        </is>
      </c>
      <c r="L175" s="243" t="inlineStr">
        <is>
          <t>Ident A + Ident B + Foreign matter</t>
        </is>
      </c>
      <c r="M175" s="248" t="inlineStr">
        <is>
          <t>—</t>
        </is>
      </c>
      <c r="N175" s="243">
        <f>IFERROR(INDEX('CoQ Register'!$B:$B,MATCH("P050132|R2",'CoQ Register'!$S:$S,0)),"—")</f>
        <v/>
      </c>
      <c r="O175" s="248" t="inlineStr">
        <is>
          <t>—</t>
        </is>
      </c>
      <c r="P175" s="243" t="inlineStr">
        <is>
          <t>05.09.2026</t>
        </is>
      </c>
      <c r="Q175" s="243" t="inlineStr">
        <is>
          <t>11.08.2025 – 13.08.2025</t>
        </is>
      </c>
      <c r="R175" s="243" t="inlineStr">
        <is>
          <t>09.09.2025 – 15.09.2025 (the issuance plan's basis: 05.09.2025)</t>
        </is>
      </c>
      <c r="S175" s="245">
        <f>IFERROR(INDEX('CoQ Register'!$D:$D,MATCH("P050132|R2",'CoQ Register'!$S:$S,0)),"")</f>
        <v/>
      </c>
      <c r="T175" s="243" t="inlineStr">
        <is>
          <t>Conforms</t>
        </is>
      </c>
      <c r="U175" s="243" t="inlineStr">
        <is>
          <t>Conforms</t>
        </is>
      </c>
      <c r="V175" s="243" t="inlineStr">
        <is>
          <t>Conforms</t>
        </is>
      </c>
      <c r="W175" s="243" t="inlineStr">
        <is>
          <t>227-11-K-26, (11.09.2026) [FHM-K]</t>
        </is>
      </c>
      <c r="X175" s="243" t="inlineStr">
        <is>
          <t>227-11-K-26, (11.09.2026) [FHM-K]</t>
        </is>
      </c>
      <c r="Y175" s="243" t="inlineStr">
        <is>
          <t>— pending —</t>
        </is>
      </c>
      <c r="Z175" s="243" t="inlineStr">
        <is>
          <t>#8, #9, #11, #12 from the initial testing</t>
        </is>
      </c>
      <c r="AA175" s="243" t="inlineStr">
        <is>
          <t>P050132|R2</t>
        </is>
      </c>
      <c r="AB175" s="250" t="inlineStr">
        <is>
          <t>registered — retest 2 · Tranche 3 (sampled 19–21.08.2026), tested 20.08.2026, issued 24.08.2026</t>
        </is>
      </c>
    </row>
    <row r="176">
      <c r="A176" s="243" t="n">
        <v>175</v>
      </c>
      <c r="B176" s="244" t="inlineStr">
        <is>
          <t>iCoA-PP_26-175</t>
        </is>
      </c>
      <c r="C176" s="249" t="inlineStr">
        <is>
          <t>yes</t>
        </is>
      </c>
      <c r="D176" s="245" t="n">
        <v>46258</v>
      </c>
      <c r="E176" s="245" t="n">
        <v>46255</v>
      </c>
      <c r="F176" s="245">
        <f>IFERROR(INDEX('Batch Dates'!$G:$G,MATCH(J176,'Batch Dates'!$C:$C,0)),IFERROR(INDEX('Batch Dates'!$G:$G,MATCH(I176,'Batch Dates'!$B:$B,0)),""))</f>
        <v/>
      </c>
      <c r="G176" s="243" t="inlineStr">
        <is>
          <t>legacy</t>
        </is>
      </c>
      <c r="H176" s="243" t="inlineStr">
        <is>
          <t>retest 2</t>
        </is>
      </c>
      <c r="I176" s="244" t="inlineStr">
        <is>
          <t>AB092501</t>
        </is>
      </c>
      <c r="J176" s="243" t="inlineStr">
        <is>
          <t>P060052</t>
        </is>
      </c>
      <c r="K176" s="243" t="inlineStr">
        <is>
          <t>Apple and Banana</t>
        </is>
      </c>
      <c r="L176" s="243" t="inlineStr">
        <is>
          <t>Ident A + Ident B + Foreign matter</t>
        </is>
      </c>
      <c r="M176" s="248" t="inlineStr">
        <is>
          <t>—</t>
        </is>
      </c>
      <c r="N176" s="243">
        <f>IFERROR(INDEX('CoQ Register'!$B:$B,MATCH("P060052|R2",'CoQ Register'!$S:$S,0)),"—")</f>
        <v/>
      </c>
      <c r="O176" s="248" t="inlineStr">
        <is>
          <t>—</t>
        </is>
      </c>
      <c r="P176" s="243" t="inlineStr">
        <is>
          <t>20.02.2027</t>
        </is>
      </c>
      <c r="Q176" s="243" t="inlineStr">
        <is>
          <t>11.12.2025</t>
        </is>
      </c>
      <c r="R176" s="243" t="inlineStr">
        <is>
          <t>30.01.2026 (the issuance plan's basis: 20.02.2026)</t>
        </is>
      </c>
      <c r="S176" s="245">
        <f>IFERROR(INDEX('CoQ Register'!$D:$D,MATCH("P060052|R2",'CoQ Register'!$S:$S,0)),"")</f>
        <v/>
      </c>
      <c r="T176" s="243" t="inlineStr">
        <is>
          <t>Conforms</t>
        </is>
      </c>
      <c r="U176" s="243" t="inlineStr">
        <is>
          <t>Conforms</t>
        </is>
      </c>
      <c r="V176" s="243" t="inlineStr">
        <is>
          <t>Conforms</t>
        </is>
      </c>
      <c r="W176" s="243" t="inlineStr">
        <is>
          <t>227-30-K-26, (11.09.2026) [FHM-K]</t>
        </is>
      </c>
      <c r="X176" s="243" t="inlineStr">
        <is>
          <t>227-30-K-26, (11.09.2026) [FHM-K]</t>
        </is>
      </c>
      <c r="Y176" s="243" t="inlineStr">
        <is>
          <t>— pending —</t>
        </is>
      </c>
      <c r="Z176" s="243" t="inlineStr">
        <is>
          <t>#8, #9, #11, #12 from the initial testing</t>
        </is>
      </c>
      <c r="AA176" s="243" t="inlineStr">
        <is>
          <t>P060052|R2</t>
        </is>
      </c>
      <c r="AB176" s="250" t="inlineStr">
        <is>
          <t>registered — retest 2 · Tranche 3 (sampled 19–21.08.2026), tested 21.08.2026, issued 24.08.2026</t>
        </is>
      </c>
    </row>
    <row r="177">
      <c r="A177" s="243" t="n">
        <v>176</v>
      </c>
      <c r="B177" s="244" t="inlineStr">
        <is>
          <t>iCoA-PP_26-176</t>
        </is>
      </c>
      <c r="C177" s="249" t="inlineStr">
        <is>
          <t>yes</t>
        </is>
      </c>
      <c r="D177" s="245" t="n">
        <v>46258</v>
      </c>
      <c r="E177" s="245" t="n">
        <v>46255</v>
      </c>
      <c r="F177" s="245">
        <f>IFERROR(INDEX('Batch Dates'!$G:$G,MATCH(J177,'Batch Dates'!$C:$C,0)),IFERROR(INDEX('Batch Dates'!$G:$G,MATCH(I177,'Batch Dates'!$B:$B,0)),""))</f>
        <v/>
      </c>
      <c r="G177" s="243" t="inlineStr">
        <is>
          <t>legacy</t>
        </is>
      </c>
      <c r="H177" s="243" t="inlineStr">
        <is>
          <t>retest 2</t>
        </is>
      </c>
      <c r="I177" s="244" t="inlineStr">
        <is>
          <t>BSS1024_01/1</t>
        </is>
      </c>
      <c r="J177" s="243" t="inlineStr">
        <is>
          <t>P050122</t>
        </is>
      </c>
      <c r="K177" s="243" t="inlineStr">
        <is>
          <t>Blue Sunset Sherbet</t>
        </is>
      </c>
      <c r="L177" s="243" t="inlineStr">
        <is>
          <t>Ident A + Ident B + Foreign matter</t>
        </is>
      </c>
      <c r="M177" s="248" t="inlineStr">
        <is>
          <t>—</t>
        </is>
      </c>
      <c r="N177" s="243">
        <f>IFERROR(INDEX('CoQ Register'!$B:$B,MATCH("P050122|R2",'CoQ Register'!$S:$S,0)),"—")</f>
        <v/>
      </c>
      <c r="O177" s="248" t="inlineStr">
        <is>
          <t>—</t>
        </is>
      </c>
      <c r="P177" s="243" t="inlineStr">
        <is>
          <t>10.07.2026</t>
        </is>
      </c>
      <c r="Q177" s="243" t="inlineStr">
        <is>
          <t>04.06.2025 – 05.06.2025</t>
        </is>
      </c>
      <c r="R177" s="243" t="inlineStr">
        <is>
          <t>01.09.2025 – 09.09.2025 (the issuance plan's basis: 10.07.2025)</t>
        </is>
      </c>
      <c r="S177" s="245">
        <f>IFERROR(INDEX('CoQ Register'!$D:$D,MATCH("P050122|R2",'CoQ Register'!$S:$S,0)),"")</f>
        <v/>
      </c>
      <c r="T177" s="243" t="inlineStr">
        <is>
          <t>Conforms</t>
        </is>
      </c>
      <c r="U177" s="243" t="inlineStr">
        <is>
          <t>Conforms</t>
        </is>
      </c>
      <c r="V177" s="243" t="inlineStr">
        <is>
          <t>Conforms</t>
        </is>
      </c>
      <c r="W177" s="243" t="inlineStr">
        <is>
          <t>227-29-K-26, (11.09.2026) [FHM-K]</t>
        </is>
      </c>
      <c r="X177" s="243" t="inlineStr">
        <is>
          <t>227-29-K-26, (11.09.2026) [FHM-K]</t>
        </is>
      </c>
      <c r="Y177" s="243" t="inlineStr">
        <is>
          <t>— pending —</t>
        </is>
      </c>
      <c r="Z177" s="243" t="inlineStr">
        <is>
          <t>#8, #9, #11, #12 from the initial testing</t>
        </is>
      </c>
      <c r="AA177" s="243" t="inlineStr">
        <is>
          <t>P050122|R2</t>
        </is>
      </c>
      <c r="AB177" s="250" t="inlineStr">
        <is>
          <t>registered — retest 2 · Tranche 3 (sampled 19–21.08.2026), tested 21.08.2026, issued 24.08.2026</t>
        </is>
      </c>
    </row>
    <row r="178">
      <c r="A178" s="243" t="n">
        <v>177</v>
      </c>
      <c r="B178" s="244" t="inlineStr">
        <is>
          <t>iCoA-PP_26-177</t>
        </is>
      </c>
      <c r="C178" s="249" t="inlineStr">
        <is>
          <t>yes</t>
        </is>
      </c>
      <c r="D178" s="245" t="n">
        <v>46258</v>
      </c>
      <c r="E178" s="245" t="n">
        <v>46255</v>
      </c>
      <c r="F178" s="245">
        <f>IFERROR(INDEX('Batch Dates'!$G:$G,MATCH(J178,'Batch Dates'!$C:$C,0)),IFERROR(INDEX('Batch Dates'!$G:$G,MATCH(I178,'Batch Dates'!$B:$B,0)),""))</f>
        <v/>
      </c>
      <c r="G178" s="243" t="inlineStr">
        <is>
          <t>post-SOP</t>
        </is>
      </c>
      <c r="H178" s="243" t="inlineStr">
        <is>
          <t>retest 2</t>
        </is>
      </c>
      <c r="I178" s="244" t="inlineStr">
        <is>
          <t>CC112501</t>
        </is>
      </c>
      <c r="J178" s="243" t="inlineStr">
        <is>
          <t>P060272</t>
        </is>
      </c>
      <c r="K178" s="243" t="inlineStr">
        <is>
          <t>Cash Cow</t>
        </is>
      </c>
      <c r="L178" s="243" t="inlineStr">
        <is>
          <t>Ident A + Ident B + Foreign matter</t>
        </is>
      </c>
      <c r="M178" s="248" t="inlineStr">
        <is>
          <t>—</t>
        </is>
      </c>
      <c r="N178" s="243">
        <f>IFERROR(INDEX('CoQ Register'!$B:$B,MATCH("P060272|R2",'CoQ Register'!$S:$S,0)),"—")</f>
        <v/>
      </c>
      <c r="O178" s="248" t="inlineStr">
        <is>
          <t>—</t>
        </is>
      </c>
      <c r="P178" s="243" t="inlineStr">
        <is>
          <t>11.05.2027</t>
        </is>
      </c>
      <c r="Q178" s="243" t="inlineStr">
        <is>
          <t>25.03.2026</t>
        </is>
      </c>
      <c r="R178" s="243" t="inlineStr">
        <is>
          <t>18.05.2026 (the issuance plan's basis: 11.05.2026)</t>
        </is>
      </c>
      <c r="S178" s="245">
        <f>IFERROR(INDEX('CoQ Register'!$D:$D,MATCH("P060272|R2",'CoQ Register'!$S:$S,0)),"")</f>
        <v/>
      </c>
      <c r="T178" s="243" t="inlineStr">
        <is>
          <t>Conforms</t>
        </is>
      </c>
      <c r="U178" s="243" t="inlineStr">
        <is>
          <t>Conforms</t>
        </is>
      </c>
      <c r="V178" s="243" t="inlineStr">
        <is>
          <t>Conforms</t>
        </is>
      </c>
      <c r="W178" s="243" t="inlineStr">
        <is>
          <t>227-25-K-26, (11.09.2026) [FHM-K]</t>
        </is>
      </c>
      <c r="X178" s="243" t="inlineStr">
        <is>
          <t>227-25-K-26, (11.09.2026) [FHM-K]</t>
        </is>
      </c>
      <c r="Y178" s="243" t="inlineStr">
        <is>
          <t>— pending —</t>
        </is>
      </c>
      <c r="Z178" s="243" t="inlineStr">
        <is>
          <t>#8, #9, #11, #12 from the initial testing</t>
        </is>
      </c>
      <c r="AA178" s="243" t="inlineStr">
        <is>
          <t>P060272|R2</t>
        </is>
      </c>
      <c r="AB178" s="250" t="inlineStr">
        <is>
          <t>registered — retest 2 · Tranche 3 (sampled 19–21.08.2026), tested 21.08.2026, issued 24.08.2026</t>
        </is>
      </c>
    </row>
    <row r="179">
      <c r="A179" s="243" t="n">
        <v>178</v>
      </c>
      <c r="B179" s="244" t="inlineStr">
        <is>
          <t>iCoA-PP_26-178</t>
        </is>
      </c>
      <c r="C179" s="249" t="inlineStr">
        <is>
          <t>yes</t>
        </is>
      </c>
      <c r="D179" s="245" t="n">
        <v>46258</v>
      </c>
      <c r="E179" s="245" t="n">
        <v>46255</v>
      </c>
      <c r="F179" s="245">
        <f>IFERROR(INDEX('Batch Dates'!$G:$G,MATCH(J179,'Batch Dates'!$C:$C,0)),IFERROR(INDEX('Batch Dates'!$G:$G,MATCH(I179,'Batch Dates'!$B:$B,0)),""))</f>
        <v/>
      </c>
      <c r="G179" s="243" t="inlineStr">
        <is>
          <t>legacy</t>
        </is>
      </c>
      <c r="H179" s="243" t="inlineStr">
        <is>
          <t>retest 2</t>
        </is>
      </c>
      <c r="I179" s="244" t="inlineStr">
        <is>
          <t>CJ052501/02</t>
        </is>
      </c>
      <c r="J179" s="243" t="inlineStr">
        <is>
          <t>P050172</t>
        </is>
      </c>
      <c r="K179" s="243" t="inlineStr">
        <is>
          <t>Cap Junky</t>
        </is>
      </c>
      <c r="L179" s="243" t="inlineStr">
        <is>
          <t>Ident A + Ident B + Foreign matter</t>
        </is>
      </c>
      <c r="M179" s="248" t="inlineStr">
        <is>
          <t>—</t>
        </is>
      </c>
      <c r="N179" s="243">
        <f>IFERROR(INDEX('CoQ Register'!$B:$B,MATCH("P050172|R2",'CoQ Register'!$S:$S,0)),"—")</f>
        <v/>
      </c>
      <c r="O179" s="248" t="inlineStr">
        <is>
          <t>—</t>
        </is>
      </c>
      <c r="P179" s="243" t="inlineStr">
        <is>
          <t>17.09.2026</t>
        </is>
      </c>
      <c r="Q179" s="243" t="inlineStr">
        <is>
          <t>20.08.2025</t>
        </is>
      </c>
      <c r="R179" s="243" t="inlineStr">
        <is>
          <t>01.10.2025 – 02.10.2025 (the issuance plan's basis: 17.09.2025)</t>
        </is>
      </c>
      <c r="S179" s="245">
        <f>IFERROR(INDEX('CoQ Register'!$D:$D,MATCH("P050172|R2",'CoQ Register'!$S:$S,0)),"")</f>
        <v/>
      </c>
      <c r="T179" s="243" t="inlineStr">
        <is>
          <t>Conforms</t>
        </is>
      </c>
      <c r="U179" s="243" t="inlineStr">
        <is>
          <t>Conforms</t>
        </is>
      </c>
      <c r="V179" s="243" t="inlineStr">
        <is>
          <t>Conforms</t>
        </is>
      </c>
      <c r="W179" s="243" t="inlineStr">
        <is>
          <t>227-28-K-26, (11.09.2026) [FHM-K]</t>
        </is>
      </c>
      <c r="X179" s="243" t="inlineStr">
        <is>
          <t>227-28-K-26, (11.09.2026) [FHM-K]</t>
        </is>
      </c>
      <c r="Y179" s="243" t="inlineStr">
        <is>
          <t>— pending —</t>
        </is>
      </c>
      <c r="Z179" s="243" t="inlineStr">
        <is>
          <t>#8, #9, #11, #12 from the initial testing</t>
        </is>
      </c>
      <c r="AA179" s="243" t="inlineStr">
        <is>
          <t>P050172|R2</t>
        </is>
      </c>
      <c r="AB179" s="250" t="inlineStr">
        <is>
          <t>registered — retest 2 · Tranche 3 (sampled 19–21.08.2026), tested 21.08.2026, issued 24.08.2026</t>
        </is>
      </c>
    </row>
    <row r="180">
      <c r="A180" s="243" t="n">
        <v>179</v>
      </c>
      <c r="B180" s="244" t="inlineStr">
        <is>
          <t>iCoA-PP_26-179</t>
        </is>
      </c>
      <c r="C180" s="249" t="inlineStr">
        <is>
          <t>yes</t>
        </is>
      </c>
      <c r="D180" s="245" t="n">
        <v>46258</v>
      </c>
      <c r="E180" s="245" t="n">
        <v>46255</v>
      </c>
      <c r="F180" s="245">
        <f>IFERROR(INDEX('Batch Dates'!$G:$G,MATCH(J180,'Batch Dates'!$C:$C,0)),IFERROR(INDEX('Batch Dates'!$G:$G,MATCH(I180,'Batch Dates'!$B:$B,0)),""))</f>
        <v/>
      </c>
      <c r="G180" s="243" t="inlineStr">
        <is>
          <t>legacy</t>
        </is>
      </c>
      <c r="H180" s="243" t="inlineStr">
        <is>
          <t>retest 2</t>
        </is>
      </c>
      <c r="I180" s="244" t="inlineStr">
        <is>
          <t>CJ072501</t>
        </is>
      </c>
      <c r="J180" s="243" t="inlineStr">
        <is>
          <t>P050252</t>
        </is>
      </c>
      <c r="K180" s="243" t="inlineStr">
        <is>
          <t>Cap Junky</t>
        </is>
      </c>
      <c r="L180" s="243" t="inlineStr">
        <is>
          <t>Ident A + Ident B + Foreign matter</t>
        </is>
      </c>
      <c r="M180" s="248" t="inlineStr">
        <is>
          <t>—</t>
        </is>
      </c>
      <c r="N180" s="243">
        <f>IFERROR(INDEX('CoQ Register'!$B:$B,MATCH("P050252|R2",'CoQ Register'!$S:$S,0)),"—")</f>
        <v/>
      </c>
      <c r="O180" s="248" t="inlineStr">
        <is>
          <t>—</t>
        </is>
      </c>
      <c r="P180" s="243" t="inlineStr">
        <is>
          <t>02.12.2026</t>
        </is>
      </c>
      <c r="Q180" s="243" t="inlineStr">
        <is>
          <t>27.10.2025</t>
        </is>
      </c>
      <c r="R180" s="243" t="inlineStr">
        <is>
          <t>27.11.2025 – 28.11.2025 (the issuance plan's basis: 02.12.2025)</t>
        </is>
      </c>
      <c r="S180" s="245">
        <f>IFERROR(INDEX('CoQ Register'!$D:$D,MATCH("P050252|R2",'CoQ Register'!$S:$S,0)),"")</f>
        <v/>
      </c>
      <c r="T180" s="243" t="inlineStr">
        <is>
          <t>Conforms</t>
        </is>
      </c>
      <c r="U180" s="243" t="inlineStr">
        <is>
          <t>Conforms</t>
        </is>
      </c>
      <c r="V180" s="243" t="inlineStr">
        <is>
          <t>Conforms</t>
        </is>
      </c>
      <c r="W180" s="243" t="inlineStr">
        <is>
          <t>227-27-K-26, (11.09.2026) [FHM-K]</t>
        </is>
      </c>
      <c r="X180" s="243" t="inlineStr">
        <is>
          <t>227-27-K-26, (11.09.2026) [FHM-K]</t>
        </is>
      </c>
      <c r="Y180" s="243" t="inlineStr">
        <is>
          <t>— pending —</t>
        </is>
      </c>
      <c r="Z180" s="243" t="inlineStr">
        <is>
          <t>#8, #9, #11, #12 from the initial testing</t>
        </is>
      </c>
      <c r="AA180" s="243" t="inlineStr">
        <is>
          <t>P050252|R2</t>
        </is>
      </c>
      <c r="AB180" s="250" t="inlineStr">
        <is>
          <t>registered — retest 2 · Tranche 3 (sampled 19–21.08.2026), tested 21.08.2026, issued 24.08.2026</t>
        </is>
      </c>
    </row>
    <row r="181">
      <c r="A181" s="243" t="n">
        <v>180</v>
      </c>
      <c r="B181" s="244" t="inlineStr">
        <is>
          <t>iCoA-PP_26-180</t>
        </is>
      </c>
      <c r="C181" s="249" t="inlineStr">
        <is>
          <t>yes</t>
        </is>
      </c>
      <c r="D181" s="245" t="n">
        <v>46258</v>
      </c>
      <c r="E181" s="245" t="n">
        <v>46255</v>
      </c>
      <c r="F181" s="245">
        <f>IFERROR(INDEX('Batch Dates'!$G:$G,MATCH(J181,'Batch Dates'!$C:$C,0)),IFERROR(INDEX('Batch Dates'!$G:$G,MATCH(I181,'Batch Dates'!$B:$B,0)),""))</f>
        <v/>
      </c>
      <c r="G181" s="243" t="inlineStr">
        <is>
          <t>legacy</t>
        </is>
      </c>
      <c r="H181" s="243" t="inlineStr">
        <is>
          <t>retest 2</t>
        </is>
      </c>
      <c r="I181" s="244" t="inlineStr">
        <is>
          <t>CJ1024</t>
        </is>
      </c>
      <c r="J181" s="243" t="inlineStr">
        <is>
          <t>N/A — no P batch assigned</t>
        </is>
      </c>
      <c r="K181" s="243" t="inlineStr">
        <is>
          <t>Cap Junky</t>
        </is>
      </c>
      <c r="L181" s="243" t="inlineStr">
        <is>
          <t>Ident A + Ident B + Foreign matter</t>
        </is>
      </c>
      <c r="M181" s="248" t="inlineStr">
        <is>
          <t>—</t>
        </is>
      </c>
      <c r="N181" s="243">
        <f>IFERROR(INDEX('CoQ Register'!$B:$B,MATCH("CJ1024|R2",'CoQ Register'!$S:$S,0)),"—")</f>
        <v/>
      </c>
      <c r="O181" s="248" t="inlineStr">
        <is>
          <t>—</t>
        </is>
      </c>
      <c r="P181" s="243" t="inlineStr">
        <is>
          <t>27.02.2026</t>
        </is>
      </c>
      <c r="Q181" s="243" t="inlineStr">
        <is>
          <t>20.01.2025</t>
        </is>
      </c>
      <c r="R181" s="243" t="inlineStr">
        <is>
          <t>03.03.2025 (the issuance plan's basis: 27.02.2025)</t>
        </is>
      </c>
      <c r="S181" s="245">
        <f>IFERROR(INDEX('CoQ Register'!$D:$D,MATCH("CJ1024|R2",'CoQ Register'!$S:$S,0)),"")</f>
        <v/>
      </c>
      <c r="T181" s="243" t="inlineStr">
        <is>
          <t>Conforms</t>
        </is>
      </c>
      <c r="U181" s="243" t="inlineStr">
        <is>
          <t>Conforms</t>
        </is>
      </c>
      <c r="V181" s="243" t="inlineStr">
        <is>
          <t>Conforms</t>
        </is>
      </c>
      <c r="W181" s="243" t="inlineStr">
        <is>
          <t>227-26-K-26, (11.09.2026) [FHM-K]</t>
        </is>
      </c>
      <c r="X181" s="243" t="inlineStr">
        <is>
          <t>227-26-K-26, (11.09.2026) [FHM-K]</t>
        </is>
      </c>
      <c r="Y181" s="243" t="inlineStr">
        <is>
          <t>— pending —</t>
        </is>
      </c>
      <c r="Z181" s="243" t="inlineStr">
        <is>
          <t>#8, #9, #11, #12 from the initial testing</t>
        </is>
      </c>
      <c r="AA181" s="243" t="inlineStr">
        <is>
          <t>CJ1024|R2</t>
        </is>
      </c>
      <c r="AB181" s="250" t="inlineStr">
        <is>
          <t>registered — retest 2 · Tranche 3 (sampled 19–21.08.2026), tested 21.08.2026, issued 24.08.2026</t>
        </is>
      </c>
    </row>
    <row r="182">
      <c r="A182" s="243" t="n">
        <v>181</v>
      </c>
      <c r="B182" s="244" t="inlineStr">
        <is>
          <t>iCoA-PP_26-181</t>
        </is>
      </c>
      <c r="C182" s="249" t="inlineStr">
        <is>
          <t>yes</t>
        </is>
      </c>
      <c r="D182" s="245" t="n">
        <v>46258</v>
      </c>
      <c r="E182" s="245" t="n">
        <v>46255</v>
      </c>
      <c r="F182" s="245">
        <f>IFERROR(INDEX('Batch Dates'!$G:$G,MATCH(J182,'Batch Dates'!$C:$C,0)),IFERROR(INDEX('Batch Dates'!$G:$G,MATCH(I182,'Batch Dates'!$B:$B,0)),""))</f>
        <v/>
      </c>
      <c r="G182" s="243" t="inlineStr">
        <is>
          <t>post-SOP</t>
        </is>
      </c>
      <c r="H182" s="243" t="inlineStr">
        <is>
          <t>retest 2</t>
        </is>
      </c>
      <c r="I182" s="244" t="inlineStr">
        <is>
          <t>FB012603</t>
        </is>
      </c>
      <c r="J182" s="243" t="inlineStr">
        <is>
          <t>P060432</t>
        </is>
      </c>
      <c r="K182" s="243" t="inlineStr">
        <is>
          <t>Fat Bastard</t>
        </is>
      </c>
      <c r="L182" s="243" t="inlineStr">
        <is>
          <t>Ident A + Ident B + Foreign matter</t>
        </is>
      </c>
      <c r="M182" s="248" t="inlineStr">
        <is>
          <t>—</t>
        </is>
      </c>
      <c r="N182" s="243">
        <f>IFERROR(INDEX('CoQ Register'!$B:$B,MATCH("P060432|R2",'CoQ Register'!$S:$S,0)),"—")</f>
        <v/>
      </c>
      <c r="O182" s="248" t="inlineStr">
        <is>
          <t>—</t>
        </is>
      </c>
      <c r="P182" s="243" t="inlineStr">
        <is>
          <t>30.06.2027</t>
        </is>
      </c>
      <c r="Q182" s="243" t="inlineStr">
        <is>
          <t>04.05.2026</t>
        </is>
      </c>
      <c r="R182" s="243" t="inlineStr">
        <is>
          <t>15.06.2026 (the issuance plan's basis: 30.06.2026)</t>
        </is>
      </c>
      <c r="S182" s="245">
        <f>IFERROR(INDEX('CoQ Register'!$D:$D,MATCH("P060432|R2",'CoQ Register'!$S:$S,0)),"")</f>
        <v/>
      </c>
      <c r="T182" s="243" t="inlineStr">
        <is>
          <t>CNP ППК26112</t>
        </is>
      </c>
      <c r="U182" s="243" t="inlineStr">
        <is>
          <t>CNP ППК26112</t>
        </is>
      </c>
      <c r="V182" s="243" t="inlineStr">
        <is>
          <t>Conforms</t>
        </is>
      </c>
      <c r="W182" s="243" t="inlineStr">
        <is>
          <t>227-24-K-26, (11.09.2026) [FHM-K]</t>
        </is>
      </c>
      <c r="X182" s="243" t="inlineStr">
        <is>
          <t>227-24-K-26, (11.09.2026) [FHM-K]</t>
        </is>
      </c>
      <c r="Y182" s="243" t="inlineStr">
        <is>
          <t>— pending —</t>
        </is>
      </c>
      <c r="Z182" s="243" t="inlineStr">
        <is>
          <t>#8, #9, #11, #12 from the initial testing</t>
        </is>
      </c>
      <c r="AA182" s="243" t="inlineStr">
        <is>
          <t>P060432|R2</t>
        </is>
      </c>
      <c r="AB182" s="250" t="inlineStr">
        <is>
          <t>registered — retest 2 · Tranche 3 (sampled 19–21.08.2026), tested 21.08.2026, issued 24.08.2026</t>
        </is>
      </c>
    </row>
    <row r="183">
      <c r="A183" s="243" t="n">
        <v>182</v>
      </c>
      <c r="B183" s="244" t="inlineStr">
        <is>
          <t>iCoA-PP_26-182</t>
        </is>
      </c>
      <c r="C183" s="249" t="inlineStr">
        <is>
          <t>yes</t>
        </is>
      </c>
      <c r="D183" s="245" t="n">
        <v>46258</v>
      </c>
      <c r="E183" s="245" t="n">
        <v>46255</v>
      </c>
      <c r="F183" s="245">
        <f>IFERROR(INDEX('Batch Dates'!$G:$G,MATCH(J183,'Batch Dates'!$C:$C,0)),IFERROR(INDEX('Batch Dates'!$G:$G,MATCH(I183,'Batch Dates'!$B:$B,0)),""))</f>
        <v/>
      </c>
      <c r="G183" s="243" t="inlineStr">
        <is>
          <t>post-SOP</t>
        </is>
      </c>
      <c r="H183" s="243" t="inlineStr">
        <is>
          <t>retest 2</t>
        </is>
      </c>
      <c r="I183" s="244" t="inlineStr">
        <is>
          <t>FB012603V</t>
        </is>
      </c>
      <c r="J183" s="243" t="inlineStr">
        <is>
          <t>P060392</t>
        </is>
      </c>
      <c r="K183" s="243" t="inlineStr">
        <is>
          <t>Fat Bastard</t>
        </is>
      </c>
      <c r="L183" s="243" t="inlineStr">
        <is>
          <t>Ident A + Ident B + Foreign matter</t>
        </is>
      </c>
      <c r="M183" s="248" t="inlineStr">
        <is>
          <t>—</t>
        </is>
      </c>
      <c r="N183" s="243">
        <f>IFERROR(INDEX('CoQ Register'!$B:$B,MATCH("P060392|R2",'CoQ Register'!$S:$S,0)),"—")</f>
        <v/>
      </c>
      <c r="O183" s="248" t="inlineStr">
        <is>
          <t>—</t>
        </is>
      </c>
      <c r="P183" s="243" t="inlineStr">
        <is>
          <t>30.06.2027</t>
        </is>
      </c>
      <c r="Q183" s="243" t="inlineStr">
        <is>
          <t>29.04.2026</t>
        </is>
      </c>
      <c r="R183" s="243" t="inlineStr">
        <is>
          <t>23.05.2026 (the issuance plan's basis: 30.06.2026)</t>
        </is>
      </c>
      <c r="S183" s="245">
        <f>IFERROR(INDEX('CoQ Register'!$D:$D,MATCH("P060392|R2",'CoQ Register'!$S:$S,0)),"")</f>
        <v/>
      </c>
      <c r="T183" s="243" t="inlineStr">
        <is>
          <t>CNP ППК26110</t>
        </is>
      </c>
      <c r="U183" s="243" t="inlineStr">
        <is>
          <t>CNP ППК26110</t>
        </is>
      </c>
      <c r="V183" s="243" t="inlineStr">
        <is>
          <t>Conforms</t>
        </is>
      </c>
      <c r="W183" s="243" t="inlineStr">
        <is>
          <t>227-23-K-26, (11.09.2026) [FHM-K]</t>
        </is>
      </c>
      <c r="X183" s="243" t="inlineStr">
        <is>
          <t>227-23-K-26, (11.09.2026) [FHM-K]</t>
        </is>
      </c>
      <c r="Y183" s="243" t="inlineStr">
        <is>
          <t>— pending —</t>
        </is>
      </c>
      <c r="Z183" s="243" t="inlineStr">
        <is>
          <t>#8, #9, #11, #12 from the initial testing</t>
        </is>
      </c>
      <c r="AA183" s="243" t="inlineStr">
        <is>
          <t>P060392|R2</t>
        </is>
      </c>
      <c r="AB183" s="250" t="inlineStr">
        <is>
          <t>registered — retest 2 · Tranche 3 (sampled 19–21.08.2026), tested 21.08.2026, issued 24.08.2026</t>
        </is>
      </c>
    </row>
    <row r="184">
      <c r="A184" s="243" t="n">
        <v>183</v>
      </c>
      <c r="B184" s="244" t="inlineStr">
        <is>
          <t>iCoA-PP_26-183</t>
        </is>
      </c>
      <c r="C184" s="249" t="inlineStr">
        <is>
          <t>yes</t>
        </is>
      </c>
      <c r="D184" s="245" t="n">
        <v>46258</v>
      </c>
      <c r="E184" s="245" t="n">
        <v>46255</v>
      </c>
      <c r="F184" s="245">
        <f>IFERROR(INDEX('Batch Dates'!$G:$G,MATCH(J184,'Batch Dates'!$C:$C,0)),IFERROR(INDEX('Batch Dates'!$G:$G,MATCH(I184,'Batch Dates'!$B:$B,0)),""))</f>
        <v/>
      </c>
      <c r="G184" s="243" t="inlineStr">
        <is>
          <t>post-SOP</t>
        </is>
      </c>
      <c r="H184" s="243" t="inlineStr">
        <is>
          <t>retest 2</t>
        </is>
      </c>
      <c r="I184" s="244" t="inlineStr">
        <is>
          <t>FB112501</t>
        </is>
      </c>
      <c r="J184" s="243" t="inlineStr">
        <is>
          <t>P060292</t>
        </is>
      </c>
      <c r="K184" s="243" t="inlineStr">
        <is>
          <t>Fat Bastard</t>
        </is>
      </c>
      <c r="L184" s="243" t="inlineStr">
        <is>
          <t>Ident A + Ident B + Foreign matter</t>
        </is>
      </c>
      <c r="M184" s="248" t="inlineStr">
        <is>
          <t>—</t>
        </is>
      </c>
      <c r="N184" s="243">
        <f>IFERROR(INDEX('CoQ Register'!$B:$B,MATCH("P060292|R2",'CoQ Register'!$S:$S,0)),"—")</f>
        <v/>
      </c>
      <c r="O184" s="248" t="inlineStr">
        <is>
          <t>—</t>
        </is>
      </c>
      <c r="P184" s="243" t="inlineStr">
        <is>
          <t>11.05.2027</t>
        </is>
      </c>
      <c r="Q184" s="243" t="inlineStr">
        <is>
          <t>25.03.2026</t>
        </is>
      </c>
      <c r="R184" s="243" t="inlineStr">
        <is>
          <t>19.05.2026 (the issuance plan's basis: 11.05.2026)</t>
        </is>
      </c>
      <c r="S184" s="245">
        <f>IFERROR(INDEX('CoQ Register'!$D:$D,MATCH("P060292|R2",'CoQ Register'!$S:$S,0)),"")</f>
        <v/>
      </c>
      <c r="T184" s="243" t="inlineStr">
        <is>
          <t>Conforms</t>
        </is>
      </c>
      <c r="U184" s="243" t="inlineStr">
        <is>
          <t>Conforms</t>
        </is>
      </c>
      <c r="V184" s="243" t="inlineStr">
        <is>
          <t>Conforms</t>
        </is>
      </c>
      <c r="W184" s="243" t="inlineStr">
        <is>
          <t>227-22-K-26, (11.09.2026) [FHM-K]</t>
        </is>
      </c>
      <c r="X184" s="243" t="inlineStr">
        <is>
          <t>227-22-K-26, (11.09.2026) [FHM-K]</t>
        </is>
      </c>
      <c r="Y184" s="243" t="inlineStr">
        <is>
          <t>— pending —</t>
        </is>
      </c>
      <c r="Z184" s="243" t="inlineStr">
        <is>
          <t>#8, #9, #11, #12 from the initial testing</t>
        </is>
      </c>
      <c r="AA184" s="243" t="inlineStr">
        <is>
          <t>P060292|R2</t>
        </is>
      </c>
      <c r="AB184" s="250" t="inlineStr">
        <is>
          <t>registered — retest 2 · Tranche 3 (sampled 19–21.08.2026), tested 21.08.2026, issued 24.08.2026</t>
        </is>
      </c>
    </row>
    <row r="185">
      <c r="A185" s="243" t="n">
        <v>184</v>
      </c>
      <c r="B185" s="244" t="inlineStr">
        <is>
          <t>iCoA-PP_26-184</t>
        </is>
      </c>
      <c r="C185" s="249" t="inlineStr">
        <is>
          <t>yes</t>
        </is>
      </c>
      <c r="D185" s="245" t="n">
        <v>46258</v>
      </c>
      <c r="E185" s="245" t="n">
        <v>46255</v>
      </c>
      <c r="F185" s="245">
        <f>IFERROR(INDEX('Batch Dates'!$G:$G,MATCH(J185,'Batch Dates'!$C:$C,0)),IFERROR(INDEX('Batch Dates'!$G:$G,MATCH(I185,'Batch Dates'!$B:$B,0)),""))</f>
        <v/>
      </c>
      <c r="G185" s="243" t="inlineStr">
        <is>
          <t>post-SOP</t>
        </is>
      </c>
      <c r="H185" s="243" t="inlineStr">
        <is>
          <t>retest 2</t>
        </is>
      </c>
      <c r="I185" s="244" t="inlineStr">
        <is>
          <t>GG012601＊</t>
        </is>
      </c>
      <c r="J185" s="243" t="inlineStr">
        <is>
          <t>P060302</t>
        </is>
      </c>
      <c r="K185" s="243" t="inlineStr">
        <is>
          <t>Gorilla Glue</t>
        </is>
      </c>
      <c r="L185" s="243" t="inlineStr">
        <is>
          <t>Ident A + Ident B + Foreign matter</t>
        </is>
      </c>
      <c r="M185" s="248" t="inlineStr">
        <is>
          <t>—</t>
        </is>
      </c>
      <c r="N185" s="243">
        <f>IFERROR(INDEX('CoQ Register'!$B:$B,MATCH("P060302|R2",'CoQ Register'!$S:$S,0)),"—")</f>
        <v/>
      </c>
      <c r="O185" s="248" t="inlineStr">
        <is>
          <t>—</t>
        </is>
      </c>
      <c r="P185" s="243" t="inlineStr">
        <is>
          <t>11.05.2027</t>
        </is>
      </c>
      <c r="Q185" s="243" t="inlineStr">
        <is>
          <t>27.03.2026</t>
        </is>
      </c>
      <c r="R185" s="243" t="inlineStr">
        <is>
          <t>20.05.2026 (the issuance plan's basis: 11.05.2026)</t>
        </is>
      </c>
      <c r="S185" s="245">
        <f>IFERROR(INDEX('CoQ Register'!$D:$D,MATCH("P060302|R2",'CoQ Register'!$S:$S,0)),"")</f>
        <v/>
      </c>
      <c r="T185" s="243" t="inlineStr">
        <is>
          <t>Conforms</t>
        </is>
      </c>
      <c r="U185" s="243" t="inlineStr">
        <is>
          <t>Conforms</t>
        </is>
      </c>
      <c r="V185" s="243" t="inlineStr">
        <is>
          <t>Conforms</t>
        </is>
      </c>
      <c r="W185" s="243" t="inlineStr">
        <is>
          <t>227-21-K-26, (11.09.2026) [FHM-K]</t>
        </is>
      </c>
      <c r="X185" s="243" t="inlineStr">
        <is>
          <t>227-21-K-26, (11.09.2026) [FHM-K]</t>
        </is>
      </c>
      <c r="Y185" s="243" t="inlineStr">
        <is>
          <t>— pending —</t>
        </is>
      </c>
      <c r="Z185" s="243" t="inlineStr">
        <is>
          <t>#8, #9, #11, #12 from the initial testing</t>
        </is>
      </c>
      <c r="AA185" s="243" t="inlineStr">
        <is>
          <t>P060302|R2</t>
        </is>
      </c>
      <c r="AB185" s="250" t="inlineStr">
        <is>
          <t>registered — retest 2 · Tranche 3 (sampled 19–21.08.2026), tested 21.08.2026, issued 24.08.2026</t>
        </is>
      </c>
    </row>
    <row r="186">
      <c r="A186" s="243" t="n">
        <v>185</v>
      </c>
      <c r="B186" s="244" t="inlineStr">
        <is>
          <t>iCoA-PP_26-185</t>
        </is>
      </c>
      <c r="C186" s="249" t="inlineStr">
        <is>
          <t>yes</t>
        </is>
      </c>
      <c r="D186" s="245" t="n">
        <v>46265</v>
      </c>
      <c r="E186" s="245" t="n">
        <v>46265</v>
      </c>
      <c r="F186" s="245">
        <f>IFERROR(INDEX('Batch Dates'!$G:$G,MATCH(J186,'Batch Dates'!$C:$C,0)),IFERROR(INDEX('Batch Dates'!$G:$G,MATCH(I186,'Batch Dates'!$B:$B,0)),""))</f>
        <v/>
      </c>
      <c r="G186" s="243" t="inlineStr">
        <is>
          <t>post-SOP</t>
        </is>
      </c>
      <c r="H186" s="243" t="inlineStr">
        <is>
          <t>retest 1</t>
        </is>
      </c>
      <c r="I186" s="244" t="inlineStr">
        <is>
          <t>CC112501</t>
        </is>
      </c>
      <c r="J186" s="243" t="inlineStr">
        <is>
          <t>P060272</t>
        </is>
      </c>
      <c r="K186" s="243" t="inlineStr">
        <is>
          <t>Cash Cow</t>
        </is>
      </c>
      <c r="L186" s="243" t="inlineStr">
        <is>
          <t>Ident A + Ident B + Foreign matter</t>
        </is>
      </c>
      <c r="M186" s="248" t="inlineStr">
        <is>
          <t>—</t>
        </is>
      </c>
      <c r="N186" s="243">
        <f>IFERROR(INDEX('CoQ Register'!$B:$B,MATCH("P060272|R",'CoQ Register'!$S:$S,0)),"—")</f>
        <v/>
      </c>
      <c r="O186" s="248" t="inlineStr">
        <is>
          <t>—</t>
        </is>
      </c>
      <c r="P186" s="243" t="inlineStr">
        <is>
          <t>11.05.2027</t>
        </is>
      </c>
      <c r="Q186" s="243" t="inlineStr">
        <is>
          <t>25.03.2026</t>
        </is>
      </c>
      <c r="R186" s="243" t="inlineStr">
        <is>
          <t>18.05.2026 (the issuance plan's basis: 11.05.2026)</t>
        </is>
      </c>
      <c r="S186" s="245">
        <f>IFERROR(INDEX('CoQ Register'!$D:$D,MATCH("P060272|R",'CoQ Register'!$S:$S,0)),"")</f>
        <v/>
      </c>
      <c r="T186" s="243" t="inlineStr">
        <is>
          <t>Conforms</t>
        </is>
      </c>
      <c r="U186" s="243" t="inlineStr">
        <is>
          <t>Conforms</t>
        </is>
      </c>
      <c r="V186" s="243" t="inlineStr">
        <is>
          <t>Conforms</t>
        </is>
      </c>
      <c r="W186" s="243" t="inlineStr">
        <is>
          <t>227-25-K-26, (11.09.2026) [FHM-K]</t>
        </is>
      </c>
      <c r="X186" s="243" t="inlineStr">
        <is>
          <t>227-25-K-26, (11.09.2026) [FHM-K]</t>
        </is>
      </c>
      <c r="Y186" s="243" t="inlineStr">
        <is>
          <t>— pending —</t>
        </is>
      </c>
      <c r="Z186" s="243" t="inlineStr">
        <is>
          <t>#8, #9, #11, #12 from the initial testing</t>
        </is>
      </c>
      <c r="AA186" s="243" t="inlineStr">
        <is>
          <t>P060272|R</t>
        </is>
      </c>
      <c r="AB186" s="250" t="inlineStr">
        <is>
          <t>registered — retest 1, issued 31.08.2026</t>
        </is>
      </c>
    </row>
    <row r="187">
      <c r="A187" s="243" t="n">
        <v>186</v>
      </c>
      <c r="B187" s="244" t="inlineStr">
        <is>
          <t>iCoA-PP_26-186</t>
        </is>
      </c>
      <c r="C187" s="249" t="inlineStr">
        <is>
          <t>yes</t>
        </is>
      </c>
      <c r="D187" s="245" t="n">
        <v>46265</v>
      </c>
      <c r="E187" s="245" t="n">
        <v>46265</v>
      </c>
      <c r="F187" s="245">
        <f>IFERROR(INDEX('Batch Dates'!$G:$G,MATCH(J187,'Batch Dates'!$C:$C,0)),IFERROR(INDEX('Batch Dates'!$G:$G,MATCH(I187,'Batch Dates'!$B:$B,0)),""))</f>
        <v/>
      </c>
      <c r="G187" s="243" t="inlineStr">
        <is>
          <t>legacy</t>
        </is>
      </c>
      <c r="H187" s="243" t="inlineStr">
        <is>
          <t>retest 1</t>
        </is>
      </c>
      <c r="I187" s="244" t="inlineStr">
        <is>
          <t>CJ062501/1</t>
        </is>
      </c>
      <c r="J187" s="243" t="inlineStr">
        <is>
          <t>P050222</t>
        </is>
      </c>
      <c r="K187" s="243" t="inlineStr">
        <is>
          <t>Cap Junky</t>
        </is>
      </c>
      <c r="L187" s="243" t="inlineStr">
        <is>
          <t>Ident A + Ident B + Foreign matter</t>
        </is>
      </c>
      <c r="M187" s="248" t="inlineStr">
        <is>
          <t>—</t>
        </is>
      </c>
      <c r="N187" s="243">
        <f>IFERROR(INDEX('CoQ Register'!$B:$B,MATCH("P050222|R",'CoQ Register'!$S:$S,0)),"—")</f>
        <v/>
      </c>
      <c r="O187" s="248" t="inlineStr">
        <is>
          <t>—</t>
        </is>
      </c>
      <c r="P187" s="243" t="inlineStr">
        <is>
          <t>24.11.2026</t>
        </is>
      </c>
      <c r="Q187" s="243" t="inlineStr">
        <is>
          <t>23.09.2025</t>
        </is>
      </c>
      <c r="R187" s="243" t="inlineStr">
        <is>
          <t>24.11.2025 – 25.11.2025</t>
        </is>
      </c>
      <c r="S187" s="245">
        <f>IFERROR(INDEX('CoQ Register'!$D:$D,MATCH("P050222|R",'CoQ Register'!$S:$S,0)),"")</f>
        <v/>
      </c>
      <c r="T187" s="243" t="inlineStr">
        <is>
          <t>Conforms</t>
        </is>
      </c>
      <c r="U187" s="243" t="inlineStr">
        <is>
          <t>Conforms</t>
        </is>
      </c>
      <c r="V187" s="243" t="inlineStr">
        <is>
          <t>Conforms</t>
        </is>
      </c>
      <c r="W187" s="243" t="inlineStr">
        <is>
          <t>220-3-K-26, (25.08.2026) [FHM-K]</t>
        </is>
      </c>
      <c r="X187" s="243" t="inlineStr">
        <is>
          <t>220-3-K-26, (25.08.2026) [FHM-K]</t>
        </is>
      </c>
      <c r="Y187" s="243" t="inlineStr">
        <is>
          <t>220-3-M-26, (11.09.2026) [FHM-M]</t>
        </is>
      </c>
      <c r="Z187" s="243" t="inlineStr">
        <is>
          <t>#8, #9, #11, #12 from the initial testing</t>
        </is>
      </c>
      <c r="AA187" s="243" t="inlineStr">
        <is>
          <t>P050222|R</t>
        </is>
      </c>
      <c r="AB187" s="250" t="inlineStr">
        <is>
          <t>registered — retest 1, issued 31.08.2026</t>
        </is>
      </c>
    </row>
    <row r="188">
      <c r="A188" s="243" t="n">
        <v>187</v>
      </c>
      <c r="B188" s="244" t="inlineStr">
        <is>
          <t>iCoA-PP_26-187</t>
        </is>
      </c>
      <c r="C188" s="249" t="inlineStr">
        <is>
          <t>yes</t>
        </is>
      </c>
      <c r="D188" s="245" t="n">
        <v>46265</v>
      </c>
      <c r="E188" s="245" t="n">
        <v>46265</v>
      </c>
      <c r="F188" s="245">
        <f>IFERROR(INDEX('Batch Dates'!$G:$G,MATCH(J188,'Batch Dates'!$C:$C,0)),IFERROR(INDEX('Batch Dates'!$G:$G,MATCH(I188,'Batch Dates'!$B:$B,0)),""))</f>
        <v/>
      </c>
      <c r="G188" s="243" t="inlineStr">
        <is>
          <t>legacy</t>
        </is>
      </c>
      <c r="H188" s="243" t="inlineStr">
        <is>
          <t>retest 1</t>
        </is>
      </c>
      <c r="I188" s="244" t="inlineStr">
        <is>
          <t>CJ062501/2</t>
        </is>
      </c>
      <c r="J188" s="243" t="inlineStr">
        <is>
          <t>P050212</t>
        </is>
      </c>
      <c r="K188" s="243" t="inlineStr">
        <is>
          <t>Cap Junky</t>
        </is>
      </c>
      <c r="L188" s="243" t="inlineStr">
        <is>
          <t>Ident A + Ident B + Foreign matter</t>
        </is>
      </c>
      <c r="M188" s="248" t="inlineStr">
        <is>
          <t>—</t>
        </is>
      </c>
      <c r="N188" s="243">
        <f>IFERROR(INDEX('CoQ Register'!$B:$B,MATCH("P050212|R",'CoQ Register'!$S:$S,0)),"—")</f>
        <v/>
      </c>
      <c r="O188" s="248" t="inlineStr">
        <is>
          <t>—</t>
        </is>
      </c>
      <c r="P188" s="243" t="inlineStr">
        <is>
          <t>24.01.2027</t>
        </is>
      </c>
      <c r="Q188" s="243" t="inlineStr">
        <is>
          <t>23.09.2025 – 24.09.2025</t>
        </is>
      </c>
      <c r="R188" s="243" t="inlineStr">
        <is>
          <t>18.11.2025 – 24.11.2025 (the issuance plan's basis: 24.01.2026)</t>
        </is>
      </c>
      <c r="S188" s="245">
        <f>IFERROR(INDEX('CoQ Register'!$D:$D,MATCH("P050212|R",'CoQ Register'!$S:$S,0)),"")</f>
        <v/>
      </c>
      <c r="T188" s="243" t="inlineStr">
        <is>
          <t>Conforms</t>
        </is>
      </c>
      <c r="U188" s="243" t="inlineStr">
        <is>
          <t>Conforms</t>
        </is>
      </c>
      <c r="V188" s="243" t="inlineStr">
        <is>
          <t>Conforms</t>
        </is>
      </c>
      <c r="W188" s="243" t="inlineStr">
        <is>
          <t>197-4-K-26, (07.08.2026) [FHM-K]</t>
        </is>
      </c>
      <c r="X188" s="243" t="inlineStr">
        <is>
          <t>197-4-K-26, (07.08.2026) [FHM-K]</t>
        </is>
      </c>
      <c r="Y188" s="243" t="inlineStr">
        <is>
          <t>197-4-M-26, (10.08.2026) [FHM-M]</t>
        </is>
      </c>
      <c r="Z188" s="243" t="inlineStr">
        <is>
          <t>#8, #9, #11, #12 from the initial testing</t>
        </is>
      </c>
      <c r="AA188" s="243" t="inlineStr">
        <is>
          <t>P050212|R</t>
        </is>
      </c>
      <c r="AB188" s="250" t="inlineStr">
        <is>
          <t>registered — retest 1, issued 31.08.2026</t>
        </is>
      </c>
    </row>
    <row r="189">
      <c r="A189" s="243" t="n">
        <v>188</v>
      </c>
      <c r="B189" s="244" t="inlineStr">
        <is>
          <t>iCoA-PP_26-188</t>
        </is>
      </c>
      <c r="C189" s="249" t="inlineStr">
        <is>
          <t>yes</t>
        </is>
      </c>
      <c r="D189" s="245" t="n">
        <v>46265</v>
      </c>
      <c r="E189" s="245" t="n">
        <v>46265</v>
      </c>
      <c r="F189" s="245">
        <f>IFERROR(INDEX('Batch Dates'!$G:$G,MATCH(J189,'Batch Dates'!$C:$C,0)),IFERROR(INDEX('Batch Dates'!$G:$G,MATCH(I189,'Batch Dates'!$B:$B,0)),""))</f>
        <v/>
      </c>
      <c r="G189" s="243" t="inlineStr">
        <is>
          <t>post-SOP</t>
        </is>
      </c>
      <c r="H189" s="243" t="inlineStr">
        <is>
          <t>retest 1</t>
        </is>
      </c>
      <c r="I189" s="244" t="inlineStr">
        <is>
          <t>FB012603</t>
        </is>
      </c>
      <c r="J189" s="243" t="inlineStr">
        <is>
          <t>P060432</t>
        </is>
      </c>
      <c r="K189" s="243" t="inlineStr">
        <is>
          <t>Fat Bastard</t>
        </is>
      </c>
      <c r="L189" s="243" t="inlineStr">
        <is>
          <t>Ident A + Ident B + Foreign matter</t>
        </is>
      </c>
      <c r="M189" s="248" t="inlineStr">
        <is>
          <t>—</t>
        </is>
      </c>
      <c r="N189" s="243">
        <f>IFERROR(INDEX('CoQ Register'!$B:$B,MATCH("P060432|R",'CoQ Register'!$S:$S,0)),"—")</f>
        <v/>
      </c>
      <c r="O189" s="248" t="inlineStr">
        <is>
          <t>—</t>
        </is>
      </c>
      <c r="P189" s="243" t="inlineStr">
        <is>
          <t>30.06.2027</t>
        </is>
      </c>
      <c r="Q189" s="243" t="inlineStr">
        <is>
          <t>04.05.2026</t>
        </is>
      </c>
      <c r="R189" s="243" t="inlineStr">
        <is>
          <t>15.06.2026 (the issuance plan's basis: 30.06.2026)</t>
        </is>
      </c>
      <c r="S189" s="245">
        <f>IFERROR(INDEX('CoQ Register'!$D:$D,MATCH("P060432|R",'CoQ Register'!$S:$S,0)),"")</f>
        <v/>
      </c>
      <c r="T189" s="243" t="inlineStr">
        <is>
          <t>CNP ППК26112</t>
        </is>
      </c>
      <c r="U189" s="243" t="inlineStr">
        <is>
          <t>CNP ППК26112</t>
        </is>
      </c>
      <c r="V189" s="243" t="inlineStr">
        <is>
          <t>Conforms</t>
        </is>
      </c>
      <c r="W189" s="243" t="inlineStr">
        <is>
          <t>227-24-K-26, (11.09.2026) [FHM-K]</t>
        </is>
      </c>
      <c r="X189" s="243" t="inlineStr">
        <is>
          <t>227-24-K-26, (11.09.2026) [FHM-K]</t>
        </is>
      </c>
      <c r="Y189" s="243" t="inlineStr">
        <is>
          <t>— pending —</t>
        </is>
      </c>
      <c r="Z189" s="243" t="inlineStr">
        <is>
          <t>#8, #9, #11, #12 from the initial testing</t>
        </is>
      </c>
      <c r="AA189" s="243" t="inlineStr">
        <is>
          <t>P060432|R</t>
        </is>
      </c>
      <c r="AB189" s="250" t="inlineStr">
        <is>
          <t>registered — retest 1, issued 31.08.2026</t>
        </is>
      </c>
    </row>
    <row r="190">
      <c r="A190" s="243" t="n">
        <v>189</v>
      </c>
      <c r="B190" s="244" t="inlineStr">
        <is>
          <t>iCoA-PP_26-189</t>
        </is>
      </c>
      <c r="C190" s="249" t="inlineStr">
        <is>
          <t>yes</t>
        </is>
      </c>
      <c r="D190" s="245" t="n">
        <v>46265</v>
      </c>
      <c r="E190" s="245" t="n">
        <v>46265</v>
      </c>
      <c r="F190" s="245">
        <f>IFERROR(INDEX('Batch Dates'!$G:$G,MATCH(J190,'Batch Dates'!$C:$C,0)),IFERROR(INDEX('Batch Dates'!$G:$G,MATCH(I190,'Batch Dates'!$B:$B,0)),""))</f>
        <v/>
      </c>
      <c r="G190" s="243" t="inlineStr">
        <is>
          <t>post-SOP</t>
        </is>
      </c>
      <c r="H190" s="243" t="inlineStr">
        <is>
          <t>retest 1</t>
        </is>
      </c>
      <c r="I190" s="244" t="inlineStr">
        <is>
          <t>FB012603V</t>
        </is>
      </c>
      <c r="J190" s="243" t="inlineStr">
        <is>
          <t>P060392</t>
        </is>
      </c>
      <c r="K190" s="243" t="inlineStr">
        <is>
          <t>Fat Bastard</t>
        </is>
      </c>
      <c r="L190" s="243" t="inlineStr">
        <is>
          <t>Ident A + Ident B + Foreign matter</t>
        </is>
      </c>
      <c r="M190" s="248" t="inlineStr">
        <is>
          <t>—</t>
        </is>
      </c>
      <c r="N190" s="243">
        <f>IFERROR(INDEX('CoQ Register'!$B:$B,MATCH("P060392|R",'CoQ Register'!$S:$S,0)),"—")</f>
        <v/>
      </c>
      <c r="O190" s="248" t="inlineStr">
        <is>
          <t>—</t>
        </is>
      </c>
      <c r="P190" s="243" t="inlineStr">
        <is>
          <t>30.06.2027</t>
        </is>
      </c>
      <c r="Q190" s="243" t="inlineStr">
        <is>
          <t>29.04.2026</t>
        </is>
      </c>
      <c r="R190" s="243" t="inlineStr">
        <is>
          <t>23.05.2026 (the issuance plan's basis: 30.06.2026)</t>
        </is>
      </c>
      <c r="S190" s="245">
        <f>IFERROR(INDEX('CoQ Register'!$D:$D,MATCH("P060392|R",'CoQ Register'!$S:$S,0)),"")</f>
        <v/>
      </c>
      <c r="T190" s="243" t="inlineStr">
        <is>
          <t>CNP ППК26110</t>
        </is>
      </c>
      <c r="U190" s="243" t="inlineStr">
        <is>
          <t>CNP ППК26110</t>
        </is>
      </c>
      <c r="V190" s="243" t="inlineStr">
        <is>
          <t>Conforms</t>
        </is>
      </c>
      <c r="W190" s="243" t="inlineStr">
        <is>
          <t>227-23-K-26, (11.09.2026) [FHM-K]</t>
        </is>
      </c>
      <c r="X190" s="243" t="inlineStr">
        <is>
          <t>227-23-K-26, (11.09.2026) [FHM-K]</t>
        </is>
      </c>
      <c r="Y190" s="243" t="inlineStr">
        <is>
          <t>— pending —</t>
        </is>
      </c>
      <c r="Z190" s="243" t="inlineStr">
        <is>
          <t>#8, #9, #11, #12 from the initial testing</t>
        </is>
      </c>
      <c r="AA190" s="243" t="inlineStr">
        <is>
          <t>P060392|R</t>
        </is>
      </c>
      <c r="AB190" s="250" t="inlineStr">
        <is>
          <t>registered — retest 1, issued 31.08.2026</t>
        </is>
      </c>
    </row>
    <row r="191">
      <c r="A191" s="243" t="n">
        <v>190</v>
      </c>
      <c r="B191" s="244" t="inlineStr">
        <is>
          <t>iCoA-PP_26-190</t>
        </is>
      </c>
      <c r="C191" s="249" t="inlineStr">
        <is>
          <t>yes</t>
        </is>
      </c>
      <c r="D191" s="245" t="n">
        <v>46265</v>
      </c>
      <c r="E191" s="245" t="n">
        <v>46265</v>
      </c>
      <c r="F191" s="245">
        <f>IFERROR(INDEX('Batch Dates'!$G:$G,MATCH(J191,'Batch Dates'!$C:$C,0)),IFERROR(INDEX('Batch Dates'!$G:$G,MATCH(I191,'Batch Dates'!$B:$B,0)),""))</f>
        <v/>
      </c>
      <c r="G191" s="243" t="inlineStr">
        <is>
          <t>post-SOP</t>
        </is>
      </c>
      <c r="H191" s="243" t="inlineStr">
        <is>
          <t>retest 1</t>
        </is>
      </c>
      <c r="I191" s="244" t="inlineStr">
        <is>
          <t>FB112501</t>
        </is>
      </c>
      <c r="J191" s="243" t="inlineStr">
        <is>
          <t>P060292</t>
        </is>
      </c>
      <c r="K191" s="243" t="inlineStr">
        <is>
          <t>Fat Bastard</t>
        </is>
      </c>
      <c r="L191" s="243" t="inlineStr">
        <is>
          <t>Ident A + Ident B + Foreign matter</t>
        </is>
      </c>
      <c r="M191" s="248" t="inlineStr">
        <is>
          <t>—</t>
        </is>
      </c>
      <c r="N191" s="243">
        <f>IFERROR(INDEX('CoQ Register'!$B:$B,MATCH("P060292|R",'CoQ Register'!$S:$S,0)),"—")</f>
        <v/>
      </c>
      <c r="O191" s="248" t="inlineStr">
        <is>
          <t>—</t>
        </is>
      </c>
      <c r="P191" s="243" t="inlineStr">
        <is>
          <t>11.05.2027</t>
        </is>
      </c>
      <c r="Q191" s="243" t="inlineStr">
        <is>
          <t>25.03.2026</t>
        </is>
      </c>
      <c r="R191" s="243" t="inlineStr">
        <is>
          <t>19.05.2026 (the issuance plan's basis: 11.05.2026)</t>
        </is>
      </c>
      <c r="S191" s="245">
        <f>IFERROR(INDEX('CoQ Register'!$D:$D,MATCH("P060292|R",'CoQ Register'!$S:$S,0)),"")</f>
        <v/>
      </c>
      <c r="T191" s="243" t="inlineStr">
        <is>
          <t>Conforms</t>
        </is>
      </c>
      <c r="U191" s="243" t="inlineStr">
        <is>
          <t>Conforms</t>
        </is>
      </c>
      <c r="V191" s="243" t="inlineStr">
        <is>
          <t>Conforms</t>
        </is>
      </c>
      <c r="W191" s="243" t="inlineStr">
        <is>
          <t>227-22-K-26, (11.09.2026) [FHM-K]</t>
        </is>
      </c>
      <c r="X191" s="243" t="inlineStr">
        <is>
          <t>227-22-K-26, (11.09.2026) [FHM-K]</t>
        </is>
      </c>
      <c r="Y191" s="243" t="inlineStr">
        <is>
          <t>— pending —</t>
        </is>
      </c>
      <c r="Z191" s="243" t="inlineStr">
        <is>
          <t>#8, #9, #11, #12 from the initial testing</t>
        </is>
      </c>
      <c r="AA191" s="243" t="inlineStr">
        <is>
          <t>P060292|R</t>
        </is>
      </c>
      <c r="AB191" s="250" t="inlineStr">
        <is>
          <t>registered — retest 1, issued 31.08.2026</t>
        </is>
      </c>
    </row>
    <row r="192">
      <c r="A192" s="243" t="n">
        <v>191</v>
      </c>
      <c r="B192" s="244" t="inlineStr">
        <is>
          <t>iCoA-PP_26-191</t>
        </is>
      </c>
      <c r="C192" s="249" t="inlineStr">
        <is>
          <t>yes</t>
        </is>
      </c>
      <c r="D192" s="245" t="n">
        <v>46265</v>
      </c>
      <c r="E192" s="245" t="n">
        <v>46265</v>
      </c>
      <c r="F192" s="245">
        <f>IFERROR(INDEX('Batch Dates'!$G:$G,MATCH(J192,'Batch Dates'!$C:$C,0)),IFERROR(INDEX('Batch Dates'!$G:$G,MATCH(I192,'Batch Dates'!$B:$B,0)),""))</f>
        <v/>
      </c>
      <c r="G192" s="243" t="inlineStr">
        <is>
          <t>post-SOP</t>
        </is>
      </c>
      <c r="H192" s="243" t="inlineStr">
        <is>
          <t>retest 1</t>
        </is>
      </c>
      <c r="I192" s="244" t="inlineStr">
        <is>
          <t>GG012601＊</t>
        </is>
      </c>
      <c r="J192" s="243" t="inlineStr">
        <is>
          <t>P060302</t>
        </is>
      </c>
      <c r="K192" s="243" t="inlineStr">
        <is>
          <t>Gorilla Glue</t>
        </is>
      </c>
      <c r="L192" s="243" t="inlineStr">
        <is>
          <t>Ident A + Ident B + Foreign matter</t>
        </is>
      </c>
      <c r="M192" s="248" t="inlineStr">
        <is>
          <t>—</t>
        </is>
      </c>
      <c r="N192" s="243">
        <f>IFERROR(INDEX('CoQ Register'!$B:$B,MATCH("P060302|R",'CoQ Register'!$S:$S,0)),"—")</f>
        <v/>
      </c>
      <c r="O192" s="248" t="inlineStr">
        <is>
          <t>—</t>
        </is>
      </c>
      <c r="P192" s="243" t="inlineStr">
        <is>
          <t>11.05.2027</t>
        </is>
      </c>
      <c r="Q192" s="243" t="inlineStr">
        <is>
          <t>27.03.2026</t>
        </is>
      </c>
      <c r="R192" s="243" t="inlineStr">
        <is>
          <t>20.05.2026 (the issuance plan's basis: 11.05.2026)</t>
        </is>
      </c>
      <c r="S192" s="245">
        <f>IFERROR(INDEX('CoQ Register'!$D:$D,MATCH("P060302|R",'CoQ Register'!$S:$S,0)),"")</f>
        <v/>
      </c>
      <c r="T192" s="243" t="inlineStr">
        <is>
          <t>Conforms</t>
        </is>
      </c>
      <c r="U192" s="243" t="inlineStr">
        <is>
          <t>Conforms</t>
        </is>
      </c>
      <c r="V192" s="243" t="inlineStr">
        <is>
          <t>Conforms</t>
        </is>
      </c>
      <c r="W192" s="243" t="inlineStr">
        <is>
          <t>227-21-K-26, (11.09.2026) [FHM-K]</t>
        </is>
      </c>
      <c r="X192" s="243" t="inlineStr">
        <is>
          <t>227-21-K-26, (11.09.2026) [FHM-K]</t>
        </is>
      </c>
      <c r="Y192" s="243" t="inlineStr">
        <is>
          <t>— pending —</t>
        </is>
      </c>
      <c r="Z192" s="243" t="inlineStr">
        <is>
          <t>#8, #9, #11, #12 from the initial testing</t>
        </is>
      </c>
      <c r="AA192" s="243" t="inlineStr">
        <is>
          <t>P060302|R</t>
        </is>
      </c>
      <c r="AB192" s="250" t="inlineStr">
        <is>
          <t>registered — retest 1, issued 31.08.2026</t>
        </is>
      </c>
    </row>
    <row r="193">
      <c r="A193" s="243" t="n">
        <v>192</v>
      </c>
      <c r="B193" s="244" t="inlineStr">
        <is>
          <t>iCoA-PP_26-192</t>
        </is>
      </c>
      <c r="C193" s="249" t="inlineStr">
        <is>
          <t>yes</t>
        </is>
      </c>
      <c r="D193" s="245" t="n">
        <v>46265</v>
      </c>
      <c r="E193" s="245" t="n">
        <v>46265</v>
      </c>
      <c r="F193" s="245">
        <f>IFERROR(INDEX('Batch Dates'!$G:$G,MATCH(J193,'Batch Dates'!$C:$C,0)),IFERROR(INDEX('Batch Dates'!$G:$G,MATCH(I193,'Batch Dates'!$B:$B,0)),""))</f>
        <v/>
      </c>
      <c r="G193" s="243" t="inlineStr">
        <is>
          <t>legacy</t>
        </is>
      </c>
      <c r="H193" s="243" t="inlineStr">
        <is>
          <t>retest 1</t>
        </is>
      </c>
      <c r="I193" s="244" t="inlineStr">
        <is>
          <t>GG112501</t>
        </is>
      </c>
      <c r="J193" s="243" t="inlineStr">
        <is>
          <t>P060252</t>
        </is>
      </c>
      <c r="K193" s="243" t="inlineStr">
        <is>
          <t>Gorilla Glue</t>
        </is>
      </c>
      <c r="L193" s="243" t="inlineStr">
        <is>
          <t>Ident A + Ident B + Foreign matter</t>
        </is>
      </c>
      <c r="M193" s="248" t="inlineStr">
        <is>
          <t>—</t>
        </is>
      </c>
      <c r="N193" s="243">
        <f>IFERROR(INDEX('CoQ Register'!$B:$B,MATCH("P060252|R",'CoQ Register'!$S:$S,0)),"—")</f>
        <v/>
      </c>
      <c r="O193" s="248" t="inlineStr">
        <is>
          <t>—</t>
        </is>
      </c>
      <c r="P193" s="243" t="inlineStr">
        <is>
          <t>11.05.2027</t>
        </is>
      </c>
      <c r="Q193" s="243" t="inlineStr">
        <is>
          <t>25.03.2026</t>
        </is>
      </c>
      <c r="R193" s="243" t="inlineStr">
        <is>
          <t>05.05.2026 (the issuance plan's basis: 11.05.2026)</t>
        </is>
      </c>
      <c r="S193" s="245">
        <f>IFERROR(INDEX('CoQ Register'!$D:$D,MATCH("P060252|R",'CoQ Register'!$S:$S,0)),"")</f>
        <v/>
      </c>
      <c r="T193" s="243" t="inlineStr">
        <is>
          <t>Conforms</t>
        </is>
      </c>
      <c r="U193" s="243" t="inlineStr">
        <is>
          <t>Conforms</t>
        </is>
      </c>
      <c r="V193" s="243" t="inlineStr">
        <is>
          <t>Conforms</t>
        </is>
      </c>
      <c r="W193" s="243" t="inlineStr">
        <is>
          <t>227-20-K-26, (11.09.2026) [FHM-K]</t>
        </is>
      </c>
      <c r="X193" s="243" t="inlineStr">
        <is>
          <t>227-20-K-26, (11.09.2026) [FHM-K]</t>
        </is>
      </c>
      <c r="Y193" s="243" t="inlineStr">
        <is>
          <t>— pending —</t>
        </is>
      </c>
      <c r="Z193" s="243" t="inlineStr">
        <is>
          <t>#8, #9, #11, #12 from the initial testing</t>
        </is>
      </c>
      <c r="AA193" s="243" t="inlineStr">
        <is>
          <t>P060252|R</t>
        </is>
      </c>
      <c r="AB193" s="250" t="inlineStr">
        <is>
          <t>registered — retest 1, issued 31.08.2026</t>
        </is>
      </c>
    </row>
    <row r="194">
      <c r="A194" s="243" t="n">
        <v>193</v>
      </c>
      <c r="B194" s="244" t="inlineStr">
        <is>
          <t>iCoA-PP_26-193</t>
        </is>
      </c>
      <c r="C194" s="249" t="inlineStr">
        <is>
          <t>yes</t>
        </is>
      </c>
      <c r="D194" s="245" t="n">
        <v>46265</v>
      </c>
      <c r="E194" s="245" t="n">
        <v>46265</v>
      </c>
      <c r="F194" s="245">
        <f>IFERROR(INDEX('Batch Dates'!$G:$G,MATCH(J194,'Batch Dates'!$C:$C,0)),IFERROR(INDEX('Batch Dates'!$G:$G,MATCH(I194,'Batch Dates'!$B:$B,0)),""))</f>
        <v/>
      </c>
      <c r="G194" s="243" t="inlineStr">
        <is>
          <t>legacy</t>
        </is>
      </c>
      <c r="H194" s="243" t="inlineStr">
        <is>
          <t>retest 1</t>
        </is>
      </c>
      <c r="I194" s="244" t="inlineStr">
        <is>
          <t>J31112501</t>
        </is>
      </c>
      <c r="J194" s="243" t="inlineStr">
        <is>
          <t>P060202</t>
        </is>
      </c>
      <c r="K194" s="243" t="inlineStr">
        <is>
          <t>Jokerz 31</t>
        </is>
      </c>
      <c r="L194" s="243" t="inlineStr">
        <is>
          <t>Ident A + Ident B + Foreign matter</t>
        </is>
      </c>
      <c r="M194" s="248" t="inlineStr">
        <is>
          <t>—</t>
        </is>
      </c>
      <c r="N194" s="243">
        <f>IFERROR(INDEX('CoQ Register'!$B:$B,MATCH("P060202|R",'CoQ Register'!$S:$S,0)),"—")</f>
        <v/>
      </c>
      <c r="O194" s="248" t="inlineStr">
        <is>
          <t>—</t>
        </is>
      </c>
      <c r="P194" s="243" t="inlineStr">
        <is>
          <t>09.04.2027</t>
        </is>
      </c>
      <c r="Q194" s="243" t="inlineStr">
        <is>
          <t>26.01.2026</t>
        </is>
      </c>
      <c r="R194" s="243" t="inlineStr">
        <is>
          <t>17.04.2026 (the issuance plan's basis: 09.04.2026)</t>
        </is>
      </c>
      <c r="S194" s="245">
        <f>IFERROR(INDEX('CoQ Register'!$D:$D,MATCH("P060202|R",'CoQ Register'!$S:$S,0)),"")</f>
        <v/>
      </c>
      <c r="T194" s="243" t="inlineStr">
        <is>
          <t>Conforms</t>
        </is>
      </c>
      <c r="U194" s="243" t="inlineStr">
        <is>
          <t>Conforms</t>
        </is>
      </c>
      <c r="V194" s="243" t="inlineStr">
        <is>
          <t>Conforms</t>
        </is>
      </c>
      <c r="W194" s="243" t="inlineStr">
        <is>
          <t>227-14-K-26, (11.09.2026) [FHM-K]</t>
        </is>
      </c>
      <c r="X194" s="243" t="inlineStr">
        <is>
          <t>227-14-K-26, (11.09.2026) [FHM-K]</t>
        </is>
      </c>
      <c r="Y194" s="243" t="inlineStr">
        <is>
          <t>— pending —</t>
        </is>
      </c>
      <c r="Z194" s="243" t="inlineStr">
        <is>
          <t>#8, #9, #11, #12 from the initial testing</t>
        </is>
      </c>
      <c r="AA194" s="243" t="inlineStr">
        <is>
          <t>P060202|R</t>
        </is>
      </c>
      <c r="AB194" s="250" t="inlineStr">
        <is>
          <t>registered — retest 1, issued 31.08.2026</t>
        </is>
      </c>
    </row>
    <row r="195">
      <c r="A195" s="243" t="n">
        <v>194</v>
      </c>
      <c r="B195" s="244" t="inlineStr">
        <is>
          <t>iCoA-PP_26-194</t>
        </is>
      </c>
      <c r="C195" s="249" t="inlineStr">
        <is>
          <t>yes</t>
        </is>
      </c>
      <c r="D195" s="245" t="n">
        <v>46265</v>
      </c>
      <c r="E195" s="245" t="n">
        <v>46265</v>
      </c>
      <c r="F195" s="245">
        <f>IFERROR(INDEX('Batch Dates'!$G:$G,MATCH(J195,'Batch Dates'!$C:$C,0)),IFERROR(INDEX('Batch Dates'!$G:$G,MATCH(I195,'Batch Dates'!$B:$B,0)),""))</f>
        <v/>
      </c>
      <c r="G195" s="243" t="inlineStr">
        <is>
          <t>post-SOP</t>
        </is>
      </c>
      <c r="H195" s="243" t="inlineStr">
        <is>
          <t>retest 1</t>
        </is>
      </c>
      <c r="I195" s="244" t="inlineStr">
        <is>
          <t>J31122501</t>
        </is>
      </c>
      <c r="J195" s="243" t="inlineStr">
        <is>
          <t>P060262</t>
        </is>
      </c>
      <c r="K195" s="243" t="inlineStr">
        <is>
          <t>Jokerz 31</t>
        </is>
      </c>
      <c r="L195" s="243" t="inlineStr">
        <is>
          <t>Ident A + Ident B + Foreign matter</t>
        </is>
      </c>
      <c r="M195" s="248" t="inlineStr">
        <is>
          <t>—</t>
        </is>
      </c>
      <c r="N195" s="243">
        <f>IFERROR(INDEX('CoQ Register'!$B:$B,MATCH("P060262|R",'CoQ Register'!$S:$S,0)),"—")</f>
        <v/>
      </c>
      <c r="O195" s="248" t="inlineStr">
        <is>
          <t>—</t>
        </is>
      </c>
      <c r="P195" s="243" t="inlineStr">
        <is>
          <t>23.04.2027</t>
        </is>
      </c>
      <c r="Q195" s="243" t="inlineStr">
        <is>
          <t>04.03.2026</t>
        </is>
      </c>
      <c r="R195" s="243" t="inlineStr">
        <is>
          <t>14.05.2026 (the issuance plan's basis: 23.04.2026)</t>
        </is>
      </c>
      <c r="S195" s="245">
        <f>IFERROR(INDEX('CoQ Register'!$D:$D,MATCH("P060262|R",'CoQ Register'!$S:$S,0)),"")</f>
        <v/>
      </c>
      <c r="T195" s="243" t="inlineStr">
        <is>
          <t>Conforms</t>
        </is>
      </c>
      <c r="U195" s="243" t="inlineStr">
        <is>
          <t>Conforms</t>
        </is>
      </c>
      <c r="V195" s="243" t="inlineStr">
        <is>
          <t>Conforms</t>
        </is>
      </c>
      <c r="W195" s="243" t="inlineStr">
        <is>
          <t>— retest assay not yet on file —</t>
        </is>
      </c>
      <c r="X195" s="243" t="inlineStr">
        <is>
          <t>— pending —</t>
        </is>
      </c>
      <c r="Y195" s="243" t="inlineStr">
        <is>
          <t>— pending —</t>
        </is>
      </c>
      <c r="Z195" s="243" t="inlineStr">
        <is>
          <t>#8, #9, #11, #12 from the initial testing</t>
        </is>
      </c>
      <c r="AA195" s="243" t="inlineStr">
        <is>
          <t>P060262|R</t>
        </is>
      </c>
      <c r="AB195" s="250" t="inlineStr">
        <is>
          <t>registered — retest 1, issued 31.08.2026</t>
        </is>
      </c>
    </row>
    <row r="196">
      <c r="A196" s="243" t="n">
        <v>195</v>
      </c>
      <c r="B196" s="244" t="inlineStr">
        <is>
          <t>iCoA-PP_26-195</t>
        </is>
      </c>
      <c r="C196" s="249" t="inlineStr">
        <is>
          <t>yes</t>
        </is>
      </c>
      <c r="D196" s="245" t="n">
        <v>46265</v>
      </c>
      <c r="E196" s="245" t="n">
        <v>46265</v>
      </c>
      <c r="F196" s="245">
        <f>IFERROR(INDEX('Batch Dates'!$G:$G,MATCH(J196,'Batch Dates'!$C:$C,0)),IFERROR(INDEX('Batch Dates'!$G:$G,MATCH(I196,'Batch Dates'!$B:$B,0)),""))</f>
        <v/>
      </c>
      <c r="G196" s="243" t="inlineStr">
        <is>
          <t>post-SOP</t>
        </is>
      </c>
      <c r="H196" s="243" t="inlineStr">
        <is>
          <t>retest 1</t>
        </is>
      </c>
      <c r="I196" s="244" t="inlineStr">
        <is>
          <t>JD012601＊</t>
        </is>
      </c>
      <c r="J196" s="243" t="inlineStr">
        <is>
          <t>P060312</t>
        </is>
      </c>
      <c r="K196" s="243" t="inlineStr">
        <is>
          <t>Jelly Donuts</t>
        </is>
      </c>
      <c r="L196" s="243" t="inlineStr">
        <is>
          <t>Ident A + Ident B + Foreign matter</t>
        </is>
      </c>
      <c r="M196" s="248" t="inlineStr">
        <is>
          <t>—</t>
        </is>
      </c>
      <c r="N196" s="243">
        <f>IFERROR(INDEX('CoQ Register'!$B:$B,MATCH("P060312|R",'CoQ Register'!$S:$S,0)),"—")</f>
        <v/>
      </c>
      <c r="O196" s="248" t="inlineStr">
        <is>
          <t>—</t>
        </is>
      </c>
      <c r="P196" s="243" t="inlineStr">
        <is>
          <t>11.05.2027</t>
        </is>
      </c>
      <c r="Q196" s="243" t="inlineStr">
        <is>
          <t>27.03.2026</t>
        </is>
      </c>
      <c r="R196" s="243" t="inlineStr">
        <is>
          <t>21.05.2026 (the issuance plan's basis: 11.05.2026)</t>
        </is>
      </c>
      <c r="S196" s="245">
        <f>IFERROR(INDEX('CoQ Register'!$D:$D,MATCH("P060312|R",'CoQ Register'!$S:$S,0)),"")</f>
        <v/>
      </c>
      <c r="T196" s="243" t="inlineStr">
        <is>
          <t>Conforms</t>
        </is>
      </c>
      <c r="U196" s="243" t="inlineStr">
        <is>
          <t>Conforms</t>
        </is>
      </c>
      <c r="V196" s="243" t="inlineStr">
        <is>
          <t>Conforms</t>
        </is>
      </c>
      <c r="W196" s="243" t="inlineStr">
        <is>
          <t>227-15-K-26, (11.09.2026) [FHM-K]</t>
        </is>
      </c>
      <c r="X196" s="243" t="inlineStr">
        <is>
          <t>227-15-K-26, (11.09.2026) [FHM-K]</t>
        </is>
      </c>
      <c r="Y196" s="243" t="inlineStr">
        <is>
          <t>— pending —</t>
        </is>
      </c>
      <c r="Z196" s="243" t="inlineStr">
        <is>
          <t>#8, #9, #11, #12 from the initial testing</t>
        </is>
      </c>
      <c r="AA196" s="243" t="inlineStr">
        <is>
          <t>P060312|R</t>
        </is>
      </c>
      <c r="AB196" s="250" t="inlineStr">
        <is>
          <t>registered — retest 1, issued 31.08.2026</t>
        </is>
      </c>
    </row>
    <row r="197">
      <c r="A197" s="243" t="n">
        <v>196</v>
      </c>
      <c r="B197" s="244" t="inlineStr">
        <is>
          <t>iCoA-PP_26-196</t>
        </is>
      </c>
      <c r="C197" s="249" t="inlineStr">
        <is>
          <t>yes</t>
        </is>
      </c>
      <c r="D197" s="245" t="n">
        <v>46265</v>
      </c>
      <c r="E197" s="245" t="n">
        <v>46265</v>
      </c>
      <c r="F197" s="245">
        <f>IFERROR(INDEX('Batch Dates'!$G:$G,MATCH(J197,'Batch Dates'!$C:$C,0)),IFERROR(INDEX('Batch Dates'!$G:$G,MATCH(I197,'Batch Dates'!$B:$B,0)),""))</f>
        <v/>
      </c>
      <c r="G197" s="243" t="inlineStr">
        <is>
          <t>legacy</t>
        </is>
      </c>
      <c r="H197" s="243" t="inlineStr">
        <is>
          <t>retest 1</t>
        </is>
      </c>
      <c r="I197" s="244" t="inlineStr">
        <is>
          <t>OPM112501</t>
        </is>
      </c>
      <c r="J197" s="243" t="inlineStr">
        <is>
          <t>P060222</t>
        </is>
      </c>
      <c r="K197" s="243" t="inlineStr">
        <is>
          <t>Orange Punch Mimosa</t>
        </is>
      </c>
      <c r="L197" s="243" t="inlineStr">
        <is>
          <t>Ident A + Ident B + Foreign matter</t>
        </is>
      </c>
      <c r="M197" s="248" t="inlineStr">
        <is>
          <t>—</t>
        </is>
      </c>
      <c r="N197" s="243">
        <f>IFERROR(INDEX('CoQ Register'!$B:$B,MATCH("P060222|R",'CoQ Register'!$S:$S,0)),"—")</f>
        <v/>
      </c>
      <c r="O197" s="248" t="inlineStr">
        <is>
          <t>—</t>
        </is>
      </c>
      <c r="P197" s="243" t="inlineStr">
        <is>
          <t>05.03.2027</t>
        </is>
      </c>
      <c r="Q197" s="243" t="inlineStr">
        <is>
          <t>05.02.2026</t>
        </is>
      </c>
      <c r="R197" s="243" t="inlineStr">
        <is>
          <t>24.04.2026 (the issuance plan's basis: 05.03.2026)</t>
        </is>
      </c>
      <c r="S197" s="245">
        <f>IFERROR(INDEX('CoQ Register'!$D:$D,MATCH("P060222|R",'CoQ Register'!$S:$S,0)),"")</f>
        <v/>
      </c>
      <c r="T197" s="243" t="inlineStr">
        <is>
          <t>Conforms</t>
        </is>
      </c>
      <c r="U197" s="243" t="inlineStr">
        <is>
          <t>Conforms</t>
        </is>
      </c>
      <c r="V197" s="243" t="inlineStr">
        <is>
          <t>Conforms</t>
        </is>
      </c>
      <c r="W197" s="243" t="inlineStr">
        <is>
          <t>227-10-K-26, (11.09.2026) [FHM-K]</t>
        </is>
      </c>
      <c r="X197" s="243" t="inlineStr">
        <is>
          <t>227-10-K-26, (11.09.2026) [FHM-K]</t>
        </is>
      </c>
      <c r="Y197" s="243" t="inlineStr">
        <is>
          <t>— pending —</t>
        </is>
      </c>
      <c r="Z197" s="243" t="inlineStr">
        <is>
          <t>#8, #9, #11, #12 from the initial testing</t>
        </is>
      </c>
      <c r="AA197" s="243" t="inlineStr">
        <is>
          <t>P060222|R</t>
        </is>
      </c>
      <c r="AB197" s="250" t="inlineStr">
        <is>
          <t>registered — retest 1, issued 31.08.2026</t>
        </is>
      </c>
    </row>
    <row r="198">
      <c r="A198" s="243" t="n">
        <v>197</v>
      </c>
      <c r="B198" s="244" t="inlineStr">
        <is>
          <t>iCoA-PP_26-197</t>
        </is>
      </c>
      <c r="C198" s="249" t="inlineStr">
        <is>
          <t>yes</t>
        </is>
      </c>
      <c r="D198" s="245" t="n">
        <v>46265</v>
      </c>
      <c r="E198" s="245" t="n">
        <v>46265</v>
      </c>
      <c r="F198" s="245">
        <f>IFERROR(INDEX('Batch Dates'!$G:$G,MATCH(J198,'Batch Dates'!$C:$C,0)),IFERROR(INDEX('Batch Dates'!$G:$G,MATCH(I198,'Batch Dates'!$B:$B,0)),""))</f>
        <v/>
      </c>
      <c r="G198" s="243" t="inlineStr">
        <is>
          <t>post-SOP</t>
        </is>
      </c>
      <c r="H198" s="243" t="inlineStr">
        <is>
          <t>retest 1</t>
        </is>
      </c>
      <c r="I198" s="244" t="inlineStr">
        <is>
          <t>SCR012601*</t>
        </is>
      </c>
      <c r="J198" s="243" t="inlineStr">
        <is>
          <t>P060342</t>
        </is>
      </c>
      <c r="K198" s="243" t="inlineStr">
        <is>
          <t>Scrambler</t>
        </is>
      </c>
      <c r="L198" s="243" t="inlineStr">
        <is>
          <t>Ident A + Ident B + Foreign matter</t>
        </is>
      </c>
      <c r="M198" s="248" t="inlineStr">
        <is>
          <t>—</t>
        </is>
      </c>
      <c r="N198" s="243">
        <f>IFERROR(INDEX('CoQ Register'!$B:$B,MATCH("P060342|R",'CoQ Register'!$S:$S,0)),"—")</f>
        <v/>
      </c>
      <c r="O198" s="248" t="inlineStr">
        <is>
          <t>—</t>
        </is>
      </c>
      <c r="P198" s="243" t="inlineStr">
        <is>
          <t>25.05.2027</t>
        </is>
      </c>
      <c r="Q198" s="243" t="inlineStr">
        <is>
          <t>16.04.2026</t>
        </is>
      </c>
      <c r="R198" s="243" t="inlineStr">
        <is>
          <t>25.05.2026</t>
        </is>
      </c>
      <c r="S198" s="245">
        <f>IFERROR(INDEX('CoQ Register'!$D:$D,MATCH("P060342|R",'CoQ Register'!$S:$S,0)),"")</f>
        <v/>
      </c>
      <c r="T198" s="243" t="inlineStr">
        <is>
          <t>Conforms</t>
        </is>
      </c>
      <c r="U198" s="243" t="inlineStr">
        <is>
          <t>Conforms</t>
        </is>
      </c>
      <c r="V198" s="243" t="inlineStr">
        <is>
          <t>Conforms</t>
        </is>
      </c>
      <c r="W198" s="243" t="inlineStr">
        <is>
          <t>227-8-K-26, (11.09.2026) [FHM-K]</t>
        </is>
      </c>
      <c r="X198" s="243" t="inlineStr">
        <is>
          <t>227-8-K-26, (11.09.2026) [FHM-K]</t>
        </is>
      </c>
      <c r="Y198" s="243" t="inlineStr">
        <is>
          <t>— pending —</t>
        </is>
      </c>
      <c r="Z198" s="243" t="inlineStr">
        <is>
          <t>#8, #9, #11, #12 from the initial testing</t>
        </is>
      </c>
      <c r="AA198" s="243" t="inlineStr">
        <is>
          <t>P060342|R</t>
        </is>
      </c>
      <c r="AB198" s="250" t="inlineStr">
        <is>
          <t>registered — retest 1, issued 31.08.2026</t>
        </is>
      </c>
    </row>
    <row r="199">
      <c r="A199" s="243" t="n">
        <v>198</v>
      </c>
      <c r="B199" s="244" t="inlineStr">
        <is>
          <t>iCoA-PP_26-198</t>
        </is>
      </c>
      <c r="C199" s="249" t="inlineStr">
        <is>
          <t>yes</t>
        </is>
      </c>
      <c r="D199" s="245" t="n">
        <v>46265</v>
      </c>
      <c r="E199" s="245" t="n">
        <v>46265</v>
      </c>
      <c r="F199" s="245">
        <f>IFERROR(INDEX('Batch Dates'!$G:$G,MATCH(J199,'Batch Dates'!$C:$C,0)),IFERROR(INDEX('Batch Dates'!$G:$G,MATCH(I199,'Batch Dates'!$B:$B,0)),""))</f>
        <v/>
      </c>
      <c r="G199" s="243" t="inlineStr">
        <is>
          <t>post-SOP</t>
        </is>
      </c>
      <c r="H199" s="243" t="inlineStr">
        <is>
          <t>retest 1</t>
        </is>
      </c>
      <c r="I199" s="244" t="inlineStr">
        <is>
          <t>SCR022601</t>
        </is>
      </c>
      <c r="J199" s="243" t="inlineStr">
        <is>
          <t>P060442</t>
        </is>
      </c>
      <c r="K199" s="243" t="inlineStr">
        <is>
          <t>Scrambler</t>
        </is>
      </c>
      <c r="L199" s="243" t="inlineStr">
        <is>
          <t>Ident A + Ident B + Foreign matter</t>
        </is>
      </c>
      <c r="M199" s="248" t="inlineStr">
        <is>
          <t>—</t>
        </is>
      </c>
      <c r="N199" s="243">
        <f>IFERROR(INDEX('CoQ Register'!$B:$B,MATCH("P060442|R",'CoQ Register'!$S:$S,0)),"—")</f>
        <v/>
      </c>
      <c r="O199" s="248" t="inlineStr">
        <is>
          <t>—</t>
        </is>
      </c>
      <c r="P199" s="243" t="inlineStr">
        <is>
          <t>06.07.2027</t>
        </is>
      </c>
      <c r="Q199" s="243" t="inlineStr">
        <is>
          <t>13.05.2026</t>
        </is>
      </c>
      <c r="R199" s="243" t="inlineStr">
        <is>
          <t>18.06.2026 (the issuance plan's basis: 06.07.2026)</t>
        </is>
      </c>
      <c r="S199" s="245">
        <f>IFERROR(INDEX('CoQ Register'!$D:$D,MATCH("P060442|R",'CoQ Register'!$S:$S,0)),"")</f>
        <v/>
      </c>
      <c r="T199" s="243" t="inlineStr">
        <is>
          <t>CNP ППК26116</t>
        </is>
      </c>
      <c r="U199" s="243" t="inlineStr">
        <is>
          <t>CNP ППК26116</t>
        </is>
      </c>
      <c r="V199" s="243" t="inlineStr">
        <is>
          <t>Conforms</t>
        </is>
      </c>
      <c r="W199" s="243" t="inlineStr">
        <is>
          <t>227-7-K-26, (11.09.2026) [FHM-K]</t>
        </is>
      </c>
      <c r="X199" s="243" t="inlineStr">
        <is>
          <t>227-7-K-26, (11.09.2026) [FHM-K]</t>
        </is>
      </c>
      <c r="Y199" s="243" t="inlineStr">
        <is>
          <t>— pending —</t>
        </is>
      </c>
      <c r="Z199" s="243" t="inlineStr">
        <is>
          <t>#8, #9, #11, #12 from the initial testing</t>
        </is>
      </c>
      <c r="AA199" s="243" t="inlineStr">
        <is>
          <t>P060442|R</t>
        </is>
      </c>
      <c r="AB199" s="250" t="inlineStr">
        <is>
          <t>registered — retest 1, issued 31.08.2026</t>
        </is>
      </c>
    </row>
    <row r="200">
      <c r="A200" s="243" t="n">
        <v>199</v>
      </c>
      <c r="B200" s="244" t="inlineStr">
        <is>
          <t>iCoA-PP_26-199</t>
        </is>
      </c>
      <c r="C200" s="249" t="inlineStr">
        <is>
          <t>yes</t>
        </is>
      </c>
      <c r="D200" s="245" t="n">
        <v>46265</v>
      </c>
      <c r="E200" s="245" t="n">
        <v>46265</v>
      </c>
      <c r="F200" s="245">
        <f>IFERROR(INDEX('Batch Dates'!$G:$G,MATCH(J200,'Batch Dates'!$C:$C,0)),IFERROR(INDEX('Batch Dates'!$G:$G,MATCH(I200,'Batch Dates'!$B:$B,0)),""))</f>
        <v/>
      </c>
      <c r="G200" s="243" t="inlineStr">
        <is>
          <t>legacy</t>
        </is>
      </c>
      <c r="H200" s="243" t="inlineStr">
        <is>
          <t>retest 1</t>
        </is>
      </c>
      <c r="I200" s="244" t="inlineStr">
        <is>
          <t>SJ102501</t>
        </is>
      </c>
      <c r="J200" s="243" t="inlineStr">
        <is>
          <t>P060162</t>
        </is>
      </c>
      <c r="K200" s="243" t="inlineStr">
        <is>
          <t>Sleepy Joe</t>
        </is>
      </c>
      <c r="L200" s="243" t="inlineStr">
        <is>
          <t>Ident A + Ident B + Foreign matter</t>
        </is>
      </c>
      <c r="M200" s="248" t="inlineStr">
        <is>
          <t>—</t>
        </is>
      </c>
      <c r="N200" s="243">
        <f>IFERROR(INDEX('CoQ Register'!$B:$B,MATCH("P060162|R",'CoQ Register'!$S:$S,0)),"—")</f>
        <v/>
      </c>
      <c r="O200" s="248" t="inlineStr">
        <is>
          <t>—</t>
        </is>
      </c>
      <c r="P200" s="243" t="inlineStr">
        <is>
          <t>04.03.2027</t>
        </is>
      </c>
      <c r="Q200" s="243" t="inlineStr">
        <is>
          <t>20.01.2026</t>
        </is>
      </c>
      <c r="R200" s="243" t="inlineStr">
        <is>
          <t>09.03.2026 (the issuance plan's basis: 04.03.2026)</t>
        </is>
      </c>
      <c r="S200" s="245">
        <f>IFERROR(INDEX('CoQ Register'!$D:$D,MATCH("P060162|R",'CoQ Register'!$S:$S,0)),"")</f>
        <v/>
      </c>
      <c r="T200" s="243" t="inlineStr">
        <is>
          <t>Conforms</t>
        </is>
      </c>
      <c r="U200" s="243" t="inlineStr">
        <is>
          <t>Conforms</t>
        </is>
      </c>
      <c r="V200" s="243" t="inlineStr">
        <is>
          <t>Conforms</t>
        </is>
      </c>
      <c r="W200" s="243" t="inlineStr">
        <is>
          <t>227-6-K-26, (11.09.2026) [FHM-K]</t>
        </is>
      </c>
      <c r="X200" s="243" t="inlineStr">
        <is>
          <t>227-6-K-26, (11.09.2026) [FHM-K]</t>
        </is>
      </c>
      <c r="Y200" s="243" t="inlineStr">
        <is>
          <t>— pending —</t>
        </is>
      </c>
      <c r="Z200" s="243" t="inlineStr">
        <is>
          <t>#8, #9, #11, #12 from the initial testing</t>
        </is>
      </c>
      <c r="AA200" s="243" t="inlineStr">
        <is>
          <t>P060162|R</t>
        </is>
      </c>
      <c r="AB200" s="250" t="inlineStr">
        <is>
          <t>registered — retest 1, issued 31.08.2026</t>
        </is>
      </c>
    </row>
    <row r="201">
      <c r="A201" s="243" t="n">
        <v>200</v>
      </c>
      <c r="B201" s="244" t="inlineStr">
        <is>
          <t>iCoA-PP_26-200</t>
        </is>
      </c>
      <c r="C201" s="249" t="inlineStr">
        <is>
          <t>yes</t>
        </is>
      </c>
      <c r="D201" s="245" t="n">
        <v>46266</v>
      </c>
      <c r="E201" s="245" t="n">
        <v>46266</v>
      </c>
      <c r="F201" s="245">
        <f>IFERROR(INDEX('Batch Dates'!$G:$G,MATCH(J201,'Batch Dates'!$C:$C,0)),IFERROR(INDEX('Batch Dates'!$G:$G,MATCH(I201,'Batch Dates'!$B:$B,0)),""))</f>
        <v/>
      </c>
      <c r="G201" s="243" t="inlineStr">
        <is>
          <t>legacy</t>
        </is>
      </c>
      <c r="H201" s="243" t="inlineStr">
        <is>
          <t>retest 1</t>
        </is>
      </c>
      <c r="I201" s="244" t="inlineStr">
        <is>
          <t>AB092501</t>
        </is>
      </c>
      <c r="J201" s="243" t="inlineStr">
        <is>
          <t>P060052</t>
        </is>
      </c>
      <c r="K201" s="243" t="inlineStr">
        <is>
          <t>Apple and Banana</t>
        </is>
      </c>
      <c r="L201" s="243" t="inlineStr">
        <is>
          <t>Ident A + Ident B + Foreign matter</t>
        </is>
      </c>
      <c r="M201" s="248" t="inlineStr">
        <is>
          <t>—</t>
        </is>
      </c>
      <c r="N201" s="243">
        <f>IFERROR(INDEX('CoQ Register'!$B:$B,MATCH("P060052|R",'CoQ Register'!$S:$S,0)),"—")</f>
        <v/>
      </c>
      <c r="O201" s="248" t="inlineStr">
        <is>
          <t>—</t>
        </is>
      </c>
      <c r="P201" s="243" t="inlineStr">
        <is>
          <t>20.02.2027</t>
        </is>
      </c>
      <c r="Q201" s="243" t="inlineStr">
        <is>
          <t>11.12.2025</t>
        </is>
      </c>
      <c r="R201" s="243" t="inlineStr">
        <is>
          <t>30.01.2026 (the issuance plan's basis: 20.02.2026)</t>
        </is>
      </c>
      <c r="S201" s="245">
        <f>IFERROR(INDEX('CoQ Register'!$D:$D,MATCH("P060052|R",'CoQ Register'!$S:$S,0)),"")</f>
        <v/>
      </c>
      <c r="T201" s="243" t="inlineStr">
        <is>
          <t>Conforms</t>
        </is>
      </c>
      <c r="U201" s="243" t="inlineStr">
        <is>
          <t>Conforms</t>
        </is>
      </c>
      <c r="V201" s="243" t="inlineStr">
        <is>
          <t>Conforms</t>
        </is>
      </c>
      <c r="W201" s="243" t="inlineStr">
        <is>
          <t>227-30-K-26, (11.09.2026) [FHM-K]</t>
        </is>
      </c>
      <c r="X201" s="243" t="inlineStr">
        <is>
          <t>227-30-K-26, (11.09.2026) [FHM-K]</t>
        </is>
      </c>
      <c r="Y201" s="243" t="inlineStr">
        <is>
          <t>— pending —</t>
        </is>
      </c>
      <c r="Z201" s="243" t="inlineStr">
        <is>
          <t>#8, #9, #11, #12 from the initial testing</t>
        </is>
      </c>
      <c r="AA201" s="243" t="inlineStr">
        <is>
          <t>P060052|R</t>
        </is>
      </c>
      <c r="AB201" s="250" t="inlineStr">
        <is>
          <t>registered — retest 1, issued 01.09.2026</t>
        </is>
      </c>
    </row>
    <row r="202">
      <c r="A202" s="243" t="n">
        <v>201</v>
      </c>
      <c r="B202" s="244" t="inlineStr">
        <is>
          <t>iCoA-PP_26-201</t>
        </is>
      </c>
      <c r="C202" s="249" t="inlineStr">
        <is>
          <t>yes</t>
        </is>
      </c>
      <c r="D202" s="245" t="n">
        <v>46266</v>
      </c>
      <c r="E202" s="245" t="n">
        <v>46266</v>
      </c>
      <c r="F202" s="245">
        <f>IFERROR(INDEX('Batch Dates'!$G:$G,MATCH(J202,'Batch Dates'!$C:$C,0)),IFERROR(INDEX('Batch Dates'!$G:$G,MATCH(I202,'Batch Dates'!$B:$B,0)),""))</f>
        <v/>
      </c>
      <c r="G202" s="243" t="inlineStr">
        <is>
          <t>legacy</t>
        </is>
      </c>
      <c r="H202" s="243" t="inlineStr">
        <is>
          <t>retest 1</t>
        </is>
      </c>
      <c r="I202" s="244" t="inlineStr">
        <is>
          <t>BSS1024_01/1</t>
        </is>
      </c>
      <c r="J202" s="243" t="inlineStr">
        <is>
          <t>P050122</t>
        </is>
      </c>
      <c r="K202" s="243" t="inlineStr">
        <is>
          <t>Blue Sunset Sherbet</t>
        </is>
      </c>
      <c r="L202" s="243" t="inlineStr">
        <is>
          <t>Ident A + Ident B + Foreign matter</t>
        </is>
      </c>
      <c r="M202" s="248" t="inlineStr">
        <is>
          <t>—</t>
        </is>
      </c>
      <c r="N202" s="243">
        <f>IFERROR(INDEX('CoQ Register'!$B:$B,MATCH("P050122|R",'CoQ Register'!$S:$S,0)),"—")</f>
        <v/>
      </c>
      <c r="O202" s="248" t="inlineStr">
        <is>
          <t>—</t>
        </is>
      </c>
      <c r="P202" s="243" t="inlineStr">
        <is>
          <t>10.07.2026</t>
        </is>
      </c>
      <c r="Q202" s="243" t="inlineStr">
        <is>
          <t>04.06.2025 – 05.06.2025</t>
        </is>
      </c>
      <c r="R202" s="243" t="inlineStr">
        <is>
          <t>01.09.2025 – 09.09.2025 (the issuance plan's basis: 10.07.2025)</t>
        </is>
      </c>
      <c r="S202" s="245">
        <f>IFERROR(INDEX('CoQ Register'!$D:$D,MATCH("P050122|R",'CoQ Register'!$S:$S,0)),"")</f>
        <v/>
      </c>
      <c r="T202" s="243" t="inlineStr">
        <is>
          <t>Conforms</t>
        </is>
      </c>
      <c r="U202" s="243" t="inlineStr">
        <is>
          <t>Conforms</t>
        </is>
      </c>
      <c r="V202" s="243" t="inlineStr">
        <is>
          <t>Conforms</t>
        </is>
      </c>
      <c r="W202" s="243" t="inlineStr">
        <is>
          <t>227-29-K-26, (11.09.2026) [FHM-K]</t>
        </is>
      </c>
      <c r="X202" s="243" t="inlineStr">
        <is>
          <t>227-29-K-26, (11.09.2026) [FHM-K]</t>
        </is>
      </c>
      <c r="Y202" s="243" t="inlineStr">
        <is>
          <t>— pending —</t>
        </is>
      </c>
      <c r="Z202" s="243" t="inlineStr">
        <is>
          <t>#8, #9, #11, #12 from the initial testing</t>
        </is>
      </c>
      <c r="AA202" s="243" t="inlineStr">
        <is>
          <t>P050122|R</t>
        </is>
      </c>
      <c r="AB202" s="250" t="inlineStr">
        <is>
          <t>registered — retest 1, issued 01.09.2026</t>
        </is>
      </c>
    </row>
    <row r="203">
      <c r="A203" s="243" t="n">
        <v>202</v>
      </c>
      <c r="B203" s="244" t="inlineStr">
        <is>
          <t>iCoA-PP_26-202</t>
        </is>
      </c>
      <c r="C203" s="249" t="inlineStr">
        <is>
          <t>yes</t>
        </is>
      </c>
      <c r="D203" s="245" t="n">
        <v>46266</v>
      </c>
      <c r="E203" s="245" t="n">
        <v>46266</v>
      </c>
      <c r="F203" s="245">
        <f>IFERROR(INDEX('Batch Dates'!$G:$G,MATCH(J203,'Batch Dates'!$C:$C,0)),IFERROR(INDEX('Batch Dates'!$G:$G,MATCH(I203,'Batch Dates'!$B:$B,0)),""))</f>
        <v/>
      </c>
      <c r="G203" s="243" t="inlineStr">
        <is>
          <t>legacy</t>
        </is>
      </c>
      <c r="H203" s="243" t="inlineStr">
        <is>
          <t>retest 1</t>
        </is>
      </c>
      <c r="I203" s="244" t="inlineStr">
        <is>
          <t>BSS1024_01/2</t>
        </is>
      </c>
      <c r="J203" s="243" t="inlineStr">
        <is>
          <t>P050142</t>
        </is>
      </c>
      <c r="K203" s="243" t="inlineStr">
        <is>
          <t>Blue Sunset Sherbet</t>
        </is>
      </c>
      <c r="L203" s="243" t="inlineStr">
        <is>
          <t>Ident A + Ident B + Foreign matter</t>
        </is>
      </c>
      <c r="M203" s="248" t="inlineStr">
        <is>
          <t>—</t>
        </is>
      </c>
      <c r="N203" s="243">
        <f>IFERROR(INDEX('CoQ Register'!$B:$B,MATCH("P050142|R",'CoQ Register'!$S:$S,0)),"—")</f>
        <v/>
      </c>
      <c r="O203" s="248" t="inlineStr">
        <is>
          <t>—</t>
        </is>
      </c>
      <c r="P203" s="243" t="inlineStr">
        <is>
          <t>30.09.2026</t>
        </is>
      </c>
      <c r="Q203" s="243" t="inlineStr">
        <is>
          <t>— not given —</t>
        </is>
      </c>
      <c r="R203" s="243" t="inlineStr">
        <is>
          <t>30.09.2025</t>
        </is>
      </c>
      <c r="S203" s="245">
        <f>IFERROR(INDEX('CoQ Register'!$D:$D,MATCH("P050142|R",'CoQ Register'!$S:$S,0)),"")</f>
        <v/>
      </c>
      <c r="T203" s="243" t="inlineStr">
        <is>
          <t>Conforms</t>
        </is>
      </c>
      <c r="U203" s="243" t="inlineStr">
        <is>
          <t>Conforms</t>
        </is>
      </c>
      <c r="V203" s="243" t="inlineStr">
        <is>
          <t>Conforms</t>
        </is>
      </c>
      <c r="W203" s="243" t="inlineStr">
        <is>
          <t>227-1-K-26, (11.09.2026) [FHM-K]</t>
        </is>
      </c>
      <c r="X203" s="243" t="inlineStr">
        <is>
          <t>227-1-K-26, (11.09.2026) [FHM-K]</t>
        </is>
      </c>
      <c r="Y203" s="243" t="inlineStr">
        <is>
          <t>— pending —</t>
        </is>
      </c>
      <c r="Z203" s="243" t="inlineStr">
        <is>
          <t>#8, #9, #11, #12 from the initial testing</t>
        </is>
      </c>
      <c r="AA203" s="243" t="inlineStr">
        <is>
          <t>P050142|R</t>
        </is>
      </c>
      <c r="AB203" s="250" t="inlineStr">
        <is>
          <t>registered — retest 1, issued 01.09.2026</t>
        </is>
      </c>
    </row>
    <row r="204">
      <c r="A204" s="243" t="n">
        <v>203</v>
      </c>
      <c r="B204" s="244" t="inlineStr">
        <is>
          <t>iCoA-PP_26-203</t>
        </is>
      </c>
      <c r="C204" s="249" t="inlineStr">
        <is>
          <t>yes</t>
        </is>
      </c>
      <c r="D204" s="245" t="n">
        <v>46266</v>
      </c>
      <c r="E204" s="245" t="n">
        <v>46266</v>
      </c>
      <c r="F204" s="245">
        <f>IFERROR(INDEX('Batch Dates'!$G:$G,MATCH(J204,'Batch Dates'!$C:$C,0)),IFERROR(INDEX('Batch Dates'!$G:$G,MATCH(I204,'Batch Dates'!$B:$B,0)),""))</f>
        <v/>
      </c>
      <c r="G204" s="243" t="inlineStr">
        <is>
          <t>legacy</t>
        </is>
      </c>
      <c r="H204" s="243" t="inlineStr">
        <is>
          <t>retest 1</t>
        </is>
      </c>
      <c r="I204" s="244" t="inlineStr">
        <is>
          <t>CJ052501/02</t>
        </is>
      </c>
      <c r="J204" s="243" t="inlineStr">
        <is>
          <t>P050172</t>
        </is>
      </c>
      <c r="K204" s="243" t="inlineStr">
        <is>
          <t>Cap Junky</t>
        </is>
      </c>
      <c r="L204" s="243" t="inlineStr">
        <is>
          <t>Ident A + Ident B + Foreign matter</t>
        </is>
      </c>
      <c r="M204" s="248" t="inlineStr">
        <is>
          <t>—</t>
        </is>
      </c>
      <c r="N204" s="243">
        <f>IFERROR(INDEX('CoQ Register'!$B:$B,MATCH("P050172|R",'CoQ Register'!$S:$S,0)),"—")</f>
        <v/>
      </c>
      <c r="O204" s="248" t="inlineStr">
        <is>
          <t>—</t>
        </is>
      </c>
      <c r="P204" s="243" t="inlineStr">
        <is>
          <t>17.09.2026</t>
        </is>
      </c>
      <c r="Q204" s="243" t="inlineStr">
        <is>
          <t>20.08.2025</t>
        </is>
      </c>
      <c r="R204" s="243" t="inlineStr">
        <is>
          <t>01.10.2025 – 02.10.2025 (the issuance plan's basis: 17.09.2025)</t>
        </is>
      </c>
      <c r="S204" s="245">
        <f>IFERROR(INDEX('CoQ Register'!$D:$D,MATCH("P050172|R",'CoQ Register'!$S:$S,0)),"")</f>
        <v/>
      </c>
      <c r="T204" s="243" t="inlineStr">
        <is>
          <t>Conforms</t>
        </is>
      </c>
      <c r="U204" s="243" t="inlineStr">
        <is>
          <t>Conforms</t>
        </is>
      </c>
      <c r="V204" s="243" t="inlineStr">
        <is>
          <t>Conforms</t>
        </is>
      </c>
      <c r="W204" s="243" t="inlineStr">
        <is>
          <t>227-28-K-26, (11.09.2026) [FHM-K]</t>
        </is>
      </c>
      <c r="X204" s="243" t="inlineStr">
        <is>
          <t>227-28-K-26, (11.09.2026) [FHM-K]</t>
        </is>
      </c>
      <c r="Y204" s="243" t="inlineStr">
        <is>
          <t>— pending —</t>
        </is>
      </c>
      <c r="Z204" s="243" t="inlineStr">
        <is>
          <t>#8, #9, #11, #12 from the initial testing</t>
        </is>
      </c>
      <c r="AA204" s="243" t="inlineStr">
        <is>
          <t>P050172|R</t>
        </is>
      </c>
      <c r="AB204" s="250" t="inlineStr">
        <is>
          <t>registered — retest 1, issued 01.09.2026</t>
        </is>
      </c>
    </row>
    <row r="205">
      <c r="A205" s="243" t="n">
        <v>204</v>
      </c>
      <c r="B205" s="244" t="inlineStr">
        <is>
          <t>iCoA-PP_26-204</t>
        </is>
      </c>
      <c r="C205" s="249" t="inlineStr">
        <is>
          <t>yes</t>
        </is>
      </c>
      <c r="D205" s="245" t="n">
        <v>46266</v>
      </c>
      <c r="E205" s="245" t="n">
        <v>46266</v>
      </c>
      <c r="F205" s="245">
        <f>IFERROR(INDEX('Batch Dates'!$G:$G,MATCH(J205,'Batch Dates'!$C:$C,0)),IFERROR(INDEX('Batch Dates'!$G:$G,MATCH(I205,'Batch Dates'!$B:$B,0)),""))</f>
        <v/>
      </c>
      <c r="G205" s="243" t="inlineStr">
        <is>
          <t>legacy</t>
        </is>
      </c>
      <c r="H205" s="243" t="inlineStr">
        <is>
          <t>retest 1</t>
        </is>
      </c>
      <c r="I205" s="244" t="inlineStr">
        <is>
          <t>CJ072501</t>
        </is>
      </c>
      <c r="J205" s="243" t="inlineStr">
        <is>
          <t>P050252</t>
        </is>
      </c>
      <c r="K205" s="243" t="inlineStr">
        <is>
          <t>Cap Junky</t>
        </is>
      </c>
      <c r="L205" s="243" t="inlineStr">
        <is>
          <t>Ident A + Ident B + Foreign matter</t>
        </is>
      </c>
      <c r="M205" s="248" t="inlineStr">
        <is>
          <t>—</t>
        </is>
      </c>
      <c r="N205" s="243">
        <f>IFERROR(INDEX('CoQ Register'!$B:$B,MATCH("P050252|R",'CoQ Register'!$S:$S,0)),"—")</f>
        <v/>
      </c>
      <c r="O205" s="248" t="inlineStr">
        <is>
          <t>—</t>
        </is>
      </c>
      <c r="P205" s="243" t="inlineStr">
        <is>
          <t>02.12.2026</t>
        </is>
      </c>
      <c r="Q205" s="243" t="inlineStr">
        <is>
          <t>27.10.2025</t>
        </is>
      </c>
      <c r="R205" s="243" t="inlineStr">
        <is>
          <t>27.11.2025 – 28.11.2025 (the issuance plan's basis: 02.12.2025)</t>
        </is>
      </c>
      <c r="S205" s="245">
        <f>IFERROR(INDEX('CoQ Register'!$D:$D,MATCH("P050252|R",'CoQ Register'!$S:$S,0)),"")</f>
        <v/>
      </c>
      <c r="T205" s="243" t="inlineStr">
        <is>
          <t>Conforms</t>
        </is>
      </c>
      <c r="U205" s="243" t="inlineStr">
        <is>
          <t>Conforms</t>
        </is>
      </c>
      <c r="V205" s="243" t="inlineStr">
        <is>
          <t>Conforms</t>
        </is>
      </c>
      <c r="W205" s="243" t="inlineStr">
        <is>
          <t>227-27-K-26, (11.09.2026) [FHM-K]</t>
        </is>
      </c>
      <c r="X205" s="243" t="inlineStr">
        <is>
          <t>227-27-K-26, (11.09.2026) [FHM-K]</t>
        </is>
      </c>
      <c r="Y205" s="243" t="inlineStr">
        <is>
          <t>— pending —</t>
        </is>
      </c>
      <c r="Z205" s="243" t="inlineStr">
        <is>
          <t>#8, #9, #11, #12 from the initial testing</t>
        </is>
      </c>
      <c r="AA205" s="243" t="inlineStr">
        <is>
          <t>P050252|R</t>
        </is>
      </c>
      <c r="AB205" s="250" t="inlineStr">
        <is>
          <t>registered — retest 1, issued 01.09.2026</t>
        </is>
      </c>
    </row>
    <row r="206">
      <c r="A206" s="243" t="n">
        <v>205</v>
      </c>
      <c r="B206" s="244" t="inlineStr">
        <is>
          <t>iCoA-PP_26-205</t>
        </is>
      </c>
      <c r="C206" s="249" t="inlineStr">
        <is>
          <t>yes</t>
        </is>
      </c>
      <c r="D206" s="245" t="n">
        <v>46266</v>
      </c>
      <c r="E206" s="245" t="n">
        <v>46266</v>
      </c>
      <c r="F206" s="245">
        <f>IFERROR(INDEX('Batch Dates'!$G:$G,MATCH(J206,'Batch Dates'!$C:$C,0)),IFERROR(INDEX('Batch Dates'!$G:$G,MATCH(I206,'Batch Dates'!$B:$B,0)),""))</f>
        <v/>
      </c>
      <c r="G206" s="243" t="inlineStr">
        <is>
          <t>legacy</t>
        </is>
      </c>
      <c r="H206" s="243" t="inlineStr">
        <is>
          <t>retest 1</t>
        </is>
      </c>
      <c r="I206" s="244" t="inlineStr">
        <is>
          <t>CJ1024</t>
        </is>
      </c>
      <c r="J206" s="243" t="inlineStr">
        <is>
          <t>N/A — no P batch assigned</t>
        </is>
      </c>
      <c r="K206" s="243" t="inlineStr">
        <is>
          <t>Cap Junky</t>
        </is>
      </c>
      <c r="L206" s="243" t="inlineStr">
        <is>
          <t>Ident A + Ident B + Foreign matter</t>
        </is>
      </c>
      <c r="M206" s="248" t="inlineStr">
        <is>
          <t>—</t>
        </is>
      </c>
      <c r="N206" s="243">
        <f>IFERROR(INDEX('CoQ Register'!$B:$B,MATCH("CJ1024|R",'CoQ Register'!$S:$S,0)),"—")</f>
        <v/>
      </c>
      <c r="O206" s="248" t="inlineStr">
        <is>
          <t>—</t>
        </is>
      </c>
      <c r="P206" s="243" t="inlineStr">
        <is>
          <t>27.02.2026</t>
        </is>
      </c>
      <c r="Q206" s="243" t="inlineStr">
        <is>
          <t>20.01.2025</t>
        </is>
      </c>
      <c r="R206" s="243" t="inlineStr">
        <is>
          <t>03.03.2025 (the issuance plan's basis: 27.02.2025)</t>
        </is>
      </c>
      <c r="S206" s="245">
        <f>IFERROR(INDEX('CoQ Register'!$D:$D,MATCH("CJ1024|R",'CoQ Register'!$S:$S,0)),"")</f>
        <v/>
      </c>
      <c r="T206" s="243" t="inlineStr">
        <is>
          <t>Conforms</t>
        </is>
      </c>
      <c r="U206" s="243" t="inlineStr">
        <is>
          <t>Conforms</t>
        </is>
      </c>
      <c r="V206" s="243" t="inlineStr">
        <is>
          <t>Conforms</t>
        </is>
      </c>
      <c r="W206" s="243" t="inlineStr">
        <is>
          <t>227-26-K-26, (11.09.2026) [FHM-K]</t>
        </is>
      </c>
      <c r="X206" s="243" t="inlineStr">
        <is>
          <t>227-26-K-26, (11.09.2026) [FHM-K]</t>
        </is>
      </c>
      <c r="Y206" s="243" t="inlineStr">
        <is>
          <t>— pending —</t>
        </is>
      </c>
      <c r="Z206" s="243" t="inlineStr">
        <is>
          <t>#8, #9, #11, #12 from the initial testing</t>
        </is>
      </c>
      <c r="AA206" s="243" t="inlineStr">
        <is>
          <t>CJ1024|R</t>
        </is>
      </c>
      <c r="AB206" s="250" t="inlineStr">
        <is>
          <t>registered — retest 1, issued 01.09.2026</t>
        </is>
      </c>
    </row>
    <row r="207">
      <c r="A207" s="243" t="n">
        <v>206</v>
      </c>
      <c r="B207" s="244" t="inlineStr">
        <is>
          <t>iCoA-PP_26-206</t>
        </is>
      </c>
      <c r="C207" s="249" t="inlineStr">
        <is>
          <t>yes</t>
        </is>
      </c>
      <c r="D207" s="245" t="n">
        <v>46266</v>
      </c>
      <c r="E207" s="245" t="n">
        <v>46266</v>
      </c>
      <c r="F207" s="245">
        <f>IFERROR(INDEX('Batch Dates'!$G:$G,MATCH(J207,'Batch Dates'!$C:$C,0)),IFERROR(INDEX('Batch Dates'!$G:$G,MATCH(I207,'Batch Dates'!$B:$B,0)),""))</f>
        <v/>
      </c>
      <c r="G207" s="243" t="inlineStr">
        <is>
          <t>legacy</t>
        </is>
      </c>
      <c r="H207" s="243" t="inlineStr">
        <is>
          <t>retest 1</t>
        </is>
      </c>
      <c r="I207" s="244" t="inlineStr">
        <is>
          <t>GG1024_02</t>
        </is>
      </c>
      <c r="J207" s="243" t="inlineStr">
        <is>
          <t>P050012</t>
        </is>
      </c>
      <c r="K207" s="243" t="inlineStr">
        <is>
          <t>Gorilla Glue</t>
        </is>
      </c>
      <c r="L207" s="243" t="inlineStr">
        <is>
          <t>Ident A + Ident B + Foreign matter</t>
        </is>
      </c>
      <c r="M207" s="248" t="inlineStr">
        <is>
          <t>—</t>
        </is>
      </c>
      <c r="N207" s="243">
        <f>IFERROR(INDEX('CoQ Register'!$B:$B,MATCH("P050012|R",'CoQ Register'!$S:$S,0)),"—")</f>
        <v/>
      </c>
      <c r="O207" s="248" t="inlineStr">
        <is>
          <t>—</t>
        </is>
      </c>
      <c r="P207" s="243" t="inlineStr">
        <is>
          <t>30.05.2026</t>
        </is>
      </c>
      <c r="Q207" s="243" t="inlineStr">
        <is>
          <t>14.04.2025 – 15.04.2025</t>
        </is>
      </c>
      <c r="R207" s="243" t="inlineStr">
        <is>
          <t>11.06.2025 – 16.06.2025 (the issuance plan's basis: 30.05.2025)</t>
        </is>
      </c>
      <c r="S207" s="245">
        <f>IFERROR(INDEX('CoQ Register'!$D:$D,MATCH("P050012|R",'CoQ Register'!$S:$S,0)),"")</f>
        <v/>
      </c>
      <c r="T207" s="243" t="inlineStr">
        <is>
          <t>Conforms</t>
        </is>
      </c>
      <c r="U207" s="243" t="inlineStr">
        <is>
          <t>Conforms</t>
        </is>
      </c>
      <c r="V207" s="243" t="inlineStr">
        <is>
          <t>Conforms</t>
        </is>
      </c>
      <c r="W207" s="243" t="inlineStr">
        <is>
          <t>227-19-K-26, (11.09.2026) [FHM-K]</t>
        </is>
      </c>
      <c r="X207" s="243" t="inlineStr">
        <is>
          <t>227-19-K-26, (11.09.2026) [FHM-K]</t>
        </is>
      </c>
      <c r="Y207" s="243" t="inlineStr">
        <is>
          <t>— pending —</t>
        </is>
      </c>
      <c r="Z207" s="243" t="inlineStr">
        <is>
          <t>#8, #9, #11, #12 from the initial testing</t>
        </is>
      </c>
      <c r="AA207" s="243" t="inlineStr">
        <is>
          <t>P050012|R</t>
        </is>
      </c>
      <c r="AB207" s="250" t="inlineStr">
        <is>
          <t>registered — retest 1, issued 01.09.2026</t>
        </is>
      </c>
    </row>
    <row r="208">
      <c r="A208" s="243" t="n">
        <v>207</v>
      </c>
      <c r="B208" s="244" t="inlineStr">
        <is>
          <t>iCoA-PP_26-207</t>
        </is>
      </c>
      <c r="C208" s="249" t="inlineStr">
        <is>
          <t>yes</t>
        </is>
      </c>
      <c r="D208" s="245" t="n">
        <v>46266</v>
      </c>
      <c r="E208" s="245" t="n">
        <v>46266</v>
      </c>
      <c r="F208" s="245">
        <f>IFERROR(INDEX('Batch Dates'!$G:$G,MATCH(J208,'Batch Dates'!$C:$C,0)),IFERROR(INDEX('Batch Dates'!$G:$G,MATCH(I208,'Batch Dates'!$B:$B,0)),""))</f>
        <v/>
      </c>
      <c r="G208" s="243" t="inlineStr">
        <is>
          <t>legacy</t>
        </is>
      </c>
      <c r="H208" s="243" t="inlineStr">
        <is>
          <t>retest 2</t>
        </is>
      </c>
      <c r="I208" s="244" t="inlineStr">
        <is>
          <t>GP062501</t>
        </is>
      </c>
      <c r="J208" s="243" t="inlineStr">
        <is>
          <t>P050202</t>
        </is>
      </c>
      <c r="K208" s="243" t="inlineStr">
        <is>
          <t>Grape Pie</t>
        </is>
      </c>
      <c r="L208" s="243" t="inlineStr">
        <is>
          <t>Ident A + Ident B + Foreign matter</t>
        </is>
      </c>
      <c r="M208" s="248" t="inlineStr">
        <is>
          <t>—</t>
        </is>
      </c>
      <c r="N208" s="243">
        <f>IFERROR(INDEX('CoQ Register'!$B:$B,MATCH("P050202|R2",'CoQ Register'!$S:$S,0)),"—")</f>
        <v/>
      </c>
      <c r="O208" s="248" t="inlineStr">
        <is>
          <t>—</t>
        </is>
      </c>
      <c r="P208" s="243" t="inlineStr">
        <is>
          <t>11.05.2027</t>
        </is>
      </c>
      <c r="Q208" s="243" t="inlineStr">
        <is>
          <t>15.09.2025 – 17.09.2025</t>
        </is>
      </c>
      <c r="R208" s="243" t="inlineStr">
        <is>
          <t>30.10.2025 – 07.11.2025 (the issuance plan's basis: 11.05.2026)</t>
        </is>
      </c>
      <c r="S208" s="245">
        <f>IFERROR(INDEX('CoQ Register'!$D:$D,MATCH("P050202|R2",'CoQ Register'!$S:$S,0)),"")</f>
        <v/>
      </c>
      <c r="T208" s="243" t="inlineStr">
        <is>
          <t>Conforms</t>
        </is>
      </c>
      <c r="U208" s="243" t="inlineStr">
        <is>
          <t>Conforms</t>
        </is>
      </c>
      <c r="V208" s="243" t="inlineStr">
        <is>
          <t>Conforms</t>
        </is>
      </c>
      <c r="W208" s="243" t="inlineStr">
        <is>
          <t>227-18-K-26, (11.09.2026) [FHM-K]</t>
        </is>
      </c>
      <c r="X208" s="243" t="inlineStr">
        <is>
          <t>227-18-K-26, (11.09.2026) [FHM-K]</t>
        </is>
      </c>
      <c r="Y208" s="243" t="inlineStr">
        <is>
          <t>— pending —</t>
        </is>
      </c>
      <c r="Z208" s="243" t="inlineStr">
        <is>
          <t>#8, #9, #11, #12 from the initial testing</t>
        </is>
      </c>
      <c r="AA208" s="243" t="inlineStr">
        <is>
          <t>P050202|R2</t>
        </is>
      </c>
      <c r="AB208" s="250" t="inlineStr">
        <is>
          <t>registered — retest 2, issued 01.09.2026</t>
        </is>
      </c>
    </row>
    <row r="209">
      <c r="A209" s="243" t="n">
        <v>208</v>
      </c>
      <c r="B209" s="244" t="inlineStr">
        <is>
          <t>iCoA-PP_26-208</t>
        </is>
      </c>
      <c r="C209" s="249" t="inlineStr">
        <is>
          <t>yes</t>
        </is>
      </c>
      <c r="D209" s="245" t="n">
        <v>46266</v>
      </c>
      <c r="E209" s="245" t="n">
        <v>46266</v>
      </c>
      <c r="F209" s="245">
        <f>IFERROR(INDEX('Batch Dates'!$G:$G,MATCH(J209,'Batch Dates'!$C:$C,0)),IFERROR(INDEX('Batch Dates'!$G:$G,MATCH(I209,'Batch Dates'!$B:$B,0)),""))</f>
        <v/>
      </c>
      <c r="G209" s="243" t="inlineStr">
        <is>
          <t>legacy</t>
        </is>
      </c>
      <c r="H209" s="243" t="inlineStr">
        <is>
          <t>retest 1</t>
        </is>
      </c>
      <c r="I209" s="244" t="inlineStr">
        <is>
          <t>GP072501/1</t>
        </is>
      </c>
      <c r="J209" s="243" t="inlineStr">
        <is>
          <t>P050292</t>
        </is>
      </c>
      <c r="K209" s="243" t="inlineStr">
        <is>
          <t>Grape Pie</t>
        </is>
      </c>
      <c r="L209" s="243" t="inlineStr">
        <is>
          <t>Ident A + Ident B + Foreign matter</t>
        </is>
      </c>
      <c r="M209" s="248" t="inlineStr">
        <is>
          <t>—</t>
        </is>
      </c>
      <c r="N209" s="243">
        <f>IFERROR(INDEX('CoQ Register'!$B:$B,MATCH("P050292|R",'CoQ Register'!$S:$S,0)),"—")</f>
        <v/>
      </c>
      <c r="O209" s="248" t="inlineStr">
        <is>
          <t>—</t>
        </is>
      </c>
      <c r="P209" s="243" t="inlineStr">
        <is>
          <t>21.01.2027</t>
        </is>
      </c>
      <c r="Q209" s="243" t="inlineStr">
        <is>
          <t>11.11.2025 – 13.11.2025</t>
        </is>
      </c>
      <c r="R209" s="243" t="inlineStr">
        <is>
          <t>15.12.2025 – 21.12.2025 (the issuance plan's basis: 21.01.2026)</t>
        </is>
      </c>
      <c r="S209" s="245">
        <f>IFERROR(INDEX('CoQ Register'!$D:$D,MATCH("P050292|R",'CoQ Register'!$S:$S,0)),"")</f>
        <v/>
      </c>
      <c r="T209" s="243" t="inlineStr">
        <is>
          <t>Conforms</t>
        </is>
      </c>
      <c r="U209" s="243" t="inlineStr">
        <is>
          <t>Conforms</t>
        </is>
      </c>
      <c r="V209" s="243" t="inlineStr">
        <is>
          <t>Conforms</t>
        </is>
      </c>
      <c r="W209" s="243" t="inlineStr">
        <is>
          <t>227-17-K-26, (11.09.2026) [FHM-K]</t>
        </is>
      </c>
      <c r="X209" s="243" t="inlineStr">
        <is>
          <t>227-17-K-26, (11.09.2026) [FHM-K]</t>
        </is>
      </c>
      <c r="Y209" s="243" t="inlineStr">
        <is>
          <t>— pending —</t>
        </is>
      </c>
      <c r="Z209" s="243" t="inlineStr">
        <is>
          <t>#8, #9, #11, #12 from the initial testing</t>
        </is>
      </c>
      <c r="AA209" s="243" t="inlineStr">
        <is>
          <t>P050292|R</t>
        </is>
      </c>
      <c r="AB209" s="250" t="inlineStr">
        <is>
          <t>registered — retest 1, issued 01.09.2026</t>
        </is>
      </c>
    </row>
    <row r="210">
      <c r="A210" s="243" t="n">
        <v>209</v>
      </c>
      <c r="B210" s="244" t="inlineStr">
        <is>
          <t>iCoA-PP_26-209</t>
        </is>
      </c>
      <c r="C210" s="249" t="inlineStr">
        <is>
          <t>yes</t>
        </is>
      </c>
      <c r="D210" s="245" t="n">
        <v>46266</v>
      </c>
      <c r="E210" s="245" t="n">
        <v>46266</v>
      </c>
      <c r="F210" s="245">
        <f>IFERROR(INDEX('Batch Dates'!$G:$G,MATCH(J210,'Batch Dates'!$C:$C,0)),IFERROR(INDEX('Batch Dates'!$G:$G,MATCH(I210,'Batch Dates'!$B:$B,0)),""))</f>
        <v/>
      </c>
      <c r="G210" s="243" t="inlineStr">
        <is>
          <t>legacy</t>
        </is>
      </c>
      <c r="H210" s="243" t="inlineStr">
        <is>
          <t>retest 1</t>
        </is>
      </c>
      <c r="I210" s="244" t="inlineStr">
        <is>
          <t>GP0824_01</t>
        </is>
      </c>
      <c r="J210" s="243" t="inlineStr">
        <is>
          <t>P050102</t>
        </is>
      </c>
      <c r="K210" s="243" t="inlineStr">
        <is>
          <t>Grape Pie</t>
        </is>
      </c>
      <c r="L210" s="243" t="inlineStr">
        <is>
          <t>Ident A + Ident B + Foreign matter</t>
        </is>
      </c>
      <c r="M210" s="248" t="inlineStr">
        <is>
          <t>—</t>
        </is>
      </c>
      <c r="N210" s="243">
        <f>IFERROR(INDEX('CoQ Register'!$B:$B,MATCH("P050102|R",'CoQ Register'!$S:$S,0)),"—")</f>
        <v/>
      </c>
      <c r="O210" s="248" t="inlineStr">
        <is>
          <t>—</t>
        </is>
      </c>
      <c r="P210" s="243" t="inlineStr">
        <is>
          <t>17.04.2026</t>
        </is>
      </c>
      <c r="Q210" s="243" t="inlineStr">
        <is>
          <t>20.03.2025 – 21.03.2025</t>
        </is>
      </c>
      <c r="R210" s="243" t="inlineStr">
        <is>
          <t>05.08.2025 – 07.08.2025 (the issuance plan's basis: 17.04.2025)</t>
        </is>
      </c>
      <c r="S210" s="245">
        <f>IFERROR(INDEX('CoQ Register'!$D:$D,MATCH("P050102|R",'CoQ Register'!$S:$S,0)),"")</f>
        <v/>
      </c>
      <c r="T210" s="243" t="inlineStr">
        <is>
          <t>Conforms</t>
        </is>
      </c>
      <c r="U210" s="243" t="inlineStr">
        <is>
          <t>Conforms</t>
        </is>
      </c>
      <c r="V210" s="243" t="inlineStr">
        <is>
          <t>Conforms</t>
        </is>
      </c>
      <c r="W210" s="243" t="inlineStr">
        <is>
          <t>227-2-K-26, (11.09.2026) [FHM-K]</t>
        </is>
      </c>
      <c r="X210" s="243" t="inlineStr">
        <is>
          <t>227-2-K-26, (11.09.2026) [FHM-K]</t>
        </is>
      </c>
      <c r="Y210" s="243" t="inlineStr">
        <is>
          <t>— pending —</t>
        </is>
      </c>
      <c r="Z210" s="243" t="inlineStr">
        <is>
          <t>#8, #9, #11, #12 from the initial testing</t>
        </is>
      </c>
      <c r="AA210" s="243" t="inlineStr">
        <is>
          <t>P050102|R</t>
        </is>
      </c>
      <c r="AB210" s="250" t="inlineStr">
        <is>
          <t>registered — retest 1, issued 01.09.2026</t>
        </is>
      </c>
    </row>
    <row r="211">
      <c r="A211" s="243" t="n">
        <v>210</v>
      </c>
      <c r="B211" s="244" t="inlineStr">
        <is>
          <t>iCoA-PP_26-210</t>
        </is>
      </c>
      <c r="C211" s="249" t="inlineStr">
        <is>
          <t>yes</t>
        </is>
      </c>
      <c r="D211" s="245" t="n">
        <v>46266</v>
      </c>
      <c r="E211" s="245" t="n">
        <v>46266</v>
      </c>
      <c r="F211" s="245">
        <f>IFERROR(INDEX('Batch Dates'!$G:$G,MATCH(J211,'Batch Dates'!$C:$C,0)),IFERROR(INDEX('Batch Dates'!$G:$G,MATCH(I211,'Batch Dates'!$B:$B,0)),""))</f>
        <v/>
      </c>
      <c r="G211" s="243" t="inlineStr">
        <is>
          <t>legacy</t>
        </is>
      </c>
      <c r="H211" s="243" t="inlineStr">
        <is>
          <t>retest 1</t>
        </is>
      </c>
      <c r="I211" s="244" t="inlineStr">
        <is>
          <t>GRC102501</t>
        </is>
      </c>
      <c r="J211" s="243" t="inlineStr">
        <is>
          <t>P060142</t>
        </is>
      </c>
      <c r="K211" s="243" t="inlineStr">
        <is>
          <t>Grapes And Cream</t>
        </is>
      </c>
      <c r="L211" s="243" t="inlineStr">
        <is>
          <t>Ident A + Ident B + Foreign matter</t>
        </is>
      </c>
      <c r="M211" s="248" t="inlineStr">
        <is>
          <t>—</t>
        </is>
      </c>
      <c r="N211" s="243">
        <f>IFERROR(INDEX('CoQ Register'!$B:$B,MATCH("P060142|R",'CoQ Register'!$S:$S,0)),"—")</f>
        <v/>
      </c>
      <c r="O211" s="248" t="inlineStr">
        <is>
          <t>—</t>
        </is>
      </c>
      <c r="P211" s="243" t="inlineStr">
        <is>
          <t>23.02.2027</t>
        </is>
      </c>
      <c r="Q211" s="243" t="inlineStr">
        <is>
          <t>09.01.2026</t>
        </is>
      </c>
      <c r="R211" s="243" t="inlineStr">
        <is>
          <t>23.02.2026</t>
        </is>
      </c>
      <c r="S211" s="245">
        <f>IFERROR(INDEX('CoQ Register'!$D:$D,MATCH("P060142|R",'CoQ Register'!$S:$S,0)),"")</f>
        <v/>
      </c>
      <c r="T211" s="243" t="inlineStr">
        <is>
          <t>Conforms</t>
        </is>
      </c>
      <c r="U211" s="243" t="inlineStr">
        <is>
          <t>Conforms</t>
        </is>
      </c>
      <c r="V211" s="243" t="inlineStr">
        <is>
          <t>Conforms</t>
        </is>
      </c>
      <c r="W211" s="243" t="inlineStr">
        <is>
          <t>227-16-K-26, (11.09.2026) [FHM-K]</t>
        </is>
      </c>
      <c r="X211" s="243" t="inlineStr">
        <is>
          <t>227-16-K-26, (11.09.2026) [FHM-K]</t>
        </is>
      </c>
      <c r="Y211" s="243" t="inlineStr">
        <is>
          <t>— pending —</t>
        </is>
      </c>
      <c r="Z211" s="243" t="inlineStr">
        <is>
          <t>#8, #9, #11, #12 from the initial testing</t>
        </is>
      </c>
      <c r="AA211" s="243" t="inlineStr">
        <is>
          <t>P060142|R</t>
        </is>
      </c>
      <c r="AB211" s="250" t="inlineStr">
        <is>
          <t>registered — retest 1, issued 01.09.2026</t>
        </is>
      </c>
    </row>
    <row r="212">
      <c r="A212" s="243" t="n">
        <v>211</v>
      </c>
      <c r="B212" s="244" t="inlineStr">
        <is>
          <t>iCoA-PP_26-211</t>
        </is>
      </c>
      <c r="C212" s="249" t="inlineStr">
        <is>
          <t>yes</t>
        </is>
      </c>
      <c r="D212" s="245" t="n">
        <v>46266</v>
      </c>
      <c r="E212" s="245" t="n">
        <v>46266</v>
      </c>
      <c r="F212" s="245">
        <f>IFERROR(INDEX('Batch Dates'!$G:$G,MATCH(J212,'Batch Dates'!$C:$C,0)),IFERROR(INDEX('Batch Dates'!$G:$G,MATCH(I212,'Batch Dates'!$B:$B,0)),""))</f>
        <v/>
      </c>
      <c r="G212" s="243" t="inlineStr">
        <is>
          <t>legacy</t>
        </is>
      </c>
      <c r="H212" s="243" t="inlineStr">
        <is>
          <t>retest 1</t>
        </is>
      </c>
      <c r="I212" s="244" t="inlineStr">
        <is>
          <t>MB0824_04</t>
        </is>
      </c>
      <c r="J212" s="243" t="inlineStr">
        <is>
          <t>P050032</t>
        </is>
      </c>
      <c r="K212" s="243" t="inlineStr">
        <is>
          <t>Motor Breath</t>
        </is>
      </c>
      <c r="L212" s="243" t="inlineStr">
        <is>
          <t>Ident A + Ident B + Foreign matter</t>
        </is>
      </c>
      <c r="M212" s="248" t="inlineStr">
        <is>
          <t>—</t>
        </is>
      </c>
      <c r="N212" s="243">
        <f>IFERROR(INDEX('CoQ Register'!$B:$B,MATCH("P050032|R",'CoQ Register'!$S:$S,0)),"—")</f>
        <v/>
      </c>
      <c r="O212" s="248" t="inlineStr">
        <is>
          <t>—</t>
        </is>
      </c>
      <c r="P212" s="243" t="inlineStr">
        <is>
          <t>07.05.2026</t>
        </is>
      </c>
      <c r="Q212" s="243" t="inlineStr">
        <is>
          <t>02.04.2025 – 03.04.2025</t>
        </is>
      </c>
      <c r="R212" s="243" t="inlineStr">
        <is>
          <t>16.06.2025 – 19.06.2025 (the issuance plan's basis: 07.05.2025)</t>
        </is>
      </c>
      <c r="S212" s="245">
        <f>IFERROR(INDEX('CoQ Register'!$D:$D,MATCH("P050032|R",'CoQ Register'!$S:$S,0)),"")</f>
        <v/>
      </c>
      <c r="T212" s="243" t="inlineStr">
        <is>
          <t>Conforms</t>
        </is>
      </c>
      <c r="U212" s="243" t="inlineStr">
        <is>
          <t>Conforms</t>
        </is>
      </c>
      <c r="V212" s="243" t="inlineStr">
        <is>
          <t>Conforms</t>
        </is>
      </c>
      <c r="W212" s="243" t="inlineStr">
        <is>
          <t>227-12-K-26, (11.09.2026) [FHM-K]</t>
        </is>
      </c>
      <c r="X212" s="243" t="inlineStr">
        <is>
          <t>227-12-K-26, (11.09.2026) [FHM-K]</t>
        </is>
      </c>
      <c r="Y212" s="243" t="inlineStr">
        <is>
          <t>— pending —</t>
        </is>
      </c>
      <c r="Z212" s="243" t="inlineStr">
        <is>
          <t>#8, #9, #11, #12 from the initial testing</t>
        </is>
      </c>
      <c r="AA212" s="243" t="inlineStr">
        <is>
          <t>P050032|R</t>
        </is>
      </c>
      <c r="AB212" s="250" t="inlineStr">
        <is>
          <t>registered — retest 1, issued 01.09.2026</t>
        </is>
      </c>
    </row>
    <row r="213">
      <c r="A213" s="243" t="n">
        <v>212</v>
      </c>
      <c r="B213" s="244" t="inlineStr">
        <is>
          <t>iCoA-PP_26-212</t>
        </is>
      </c>
      <c r="C213" s="249" t="inlineStr">
        <is>
          <t>yes</t>
        </is>
      </c>
      <c r="D213" s="245" t="n">
        <v>46266</v>
      </c>
      <c r="E213" s="245" t="n">
        <v>46266</v>
      </c>
      <c r="F213" s="245">
        <f>IFERROR(INDEX('Batch Dates'!$G:$G,MATCH(J213,'Batch Dates'!$C:$C,0)),IFERROR(INDEX('Batch Dates'!$G:$G,MATCH(I213,'Batch Dates'!$B:$B,0)),""))</f>
        <v/>
      </c>
      <c r="G213" s="243" t="inlineStr">
        <is>
          <t>legacy</t>
        </is>
      </c>
      <c r="H213" s="243" t="inlineStr">
        <is>
          <t>retest 1</t>
        </is>
      </c>
      <c r="I213" s="244" t="inlineStr">
        <is>
          <t>OPM052501</t>
        </is>
      </c>
      <c r="J213" s="243" t="inlineStr">
        <is>
          <t>P050132</t>
        </is>
      </c>
      <c r="K213" s="243" t="inlineStr">
        <is>
          <t>Orange Punch Mimosa</t>
        </is>
      </c>
      <c r="L213" s="243" t="inlineStr">
        <is>
          <t>Ident A + Ident B + Foreign matter</t>
        </is>
      </c>
      <c r="M213" s="248" t="inlineStr">
        <is>
          <t>—</t>
        </is>
      </c>
      <c r="N213" s="243">
        <f>IFERROR(INDEX('CoQ Register'!$B:$B,MATCH("P050132|R",'CoQ Register'!$S:$S,0)),"—")</f>
        <v/>
      </c>
      <c r="O213" s="248" t="inlineStr">
        <is>
          <t>—</t>
        </is>
      </c>
      <c r="P213" s="243" t="inlineStr">
        <is>
          <t>05.09.2026</t>
        </is>
      </c>
      <c r="Q213" s="243" t="inlineStr">
        <is>
          <t>11.08.2025 – 13.08.2025</t>
        </is>
      </c>
      <c r="R213" s="243" t="inlineStr">
        <is>
          <t>09.09.2025 – 15.09.2025 (the issuance plan's basis: 05.09.2025)</t>
        </is>
      </c>
      <c r="S213" s="245">
        <f>IFERROR(INDEX('CoQ Register'!$D:$D,MATCH("P050132|R",'CoQ Register'!$S:$S,0)),"")</f>
        <v/>
      </c>
      <c r="T213" s="243" t="inlineStr">
        <is>
          <t>Conforms</t>
        </is>
      </c>
      <c r="U213" s="243" t="inlineStr">
        <is>
          <t>Conforms</t>
        </is>
      </c>
      <c r="V213" s="243" t="inlineStr">
        <is>
          <t>Conforms</t>
        </is>
      </c>
      <c r="W213" s="243" t="inlineStr">
        <is>
          <t>227-11-K-26, (11.09.2026) [FHM-K]</t>
        </is>
      </c>
      <c r="X213" s="243" t="inlineStr">
        <is>
          <t>227-11-K-26, (11.09.2026) [FHM-K]</t>
        </is>
      </c>
      <c r="Y213" s="243" t="inlineStr">
        <is>
          <t>— pending —</t>
        </is>
      </c>
      <c r="Z213" s="243" t="inlineStr">
        <is>
          <t>#8, #9, #11, #12 from the initial testing</t>
        </is>
      </c>
      <c r="AA213" s="243" t="inlineStr">
        <is>
          <t>P050132|R</t>
        </is>
      </c>
      <c r="AB213" s="250" t="inlineStr">
        <is>
          <t>registered — retest 1, issued 01.09.2026</t>
        </is>
      </c>
    </row>
    <row r="214">
      <c r="A214" s="243" t="n">
        <v>213</v>
      </c>
      <c r="B214" s="244" t="inlineStr">
        <is>
          <t>iCoA-PP_26-213</t>
        </is>
      </c>
      <c r="C214" s="249" t="inlineStr">
        <is>
          <t>yes</t>
        </is>
      </c>
      <c r="D214" s="245" t="n">
        <v>46266</v>
      </c>
      <c r="E214" s="245" t="n">
        <v>46266</v>
      </c>
      <c r="F214" s="245">
        <f>IFERROR(INDEX('Batch Dates'!$G:$G,MATCH(J214,'Batch Dates'!$C:$C,0)),IFERROR(INDEX('Batch Dates'!$G:$G,MATCH(I214,'Batch Dates'!$B:$B,0)),""))</f>
        <v/>
      </c>
      <c r="G214" s="243" t="inlineStr">
        <is>
          <t>legacy</t>
        </is>
      </c>
      <c r="H214" s="243" t="inlineStr">
        <is>
          <t>retest 1</t>
        </is>
      </c>
      <c r="I214" s="244" t="inlineStr">
        <is>
          <t>PM072501</t>
        </is>
      </c>
      <c r="J214" s="243" t="inlineStr">
        <is>
          <t>P050272</t>
        </is>
      </c>
      <c r="K214" s="243" t="inlineStr">
        <is>
          <t>Permanent Marker</t>
        </is>
      </c>
      <c r="L214" s="243" t="inlineStr">
        <is>
          <t>Ident A + Ident B + Foreign matter</t>
        </is>
      </c>
      <c r="M214" s="248" t="inlineStr">
        <is>
          <t>—</t>
        </is>
      </c>
      <c r="N214" s="243">
        <f>IFERROR(INDEX('CoQ Register'!$B:$B,MATCH("P050272|R",'CoQ Register'!$S:$S,0)),"—")</f>
        <v/>
      </c>
      <c r="O214" s="248" t="inlineStr">
        <is>
          <t>—</t>
        </is>
      </c>
      <c r="P214" s="243" t="inlineStr">
        <is>
          <t>21.01.2027</t>
        </is>
      </c>
      <c r="Q214" s="243" t="inlineStr">
        <is>
          <t>27.10.2025</t>
        </is>
      </c>
      <c r="R214" s="243" t="inlineStr">
        <is>
          <t>02.12.2025 – 03.12.2025 (the issuance plan's basis: 21.01.2026)</t>
        </is>
      </c>
      <c r="S214" s="245">
        <f>IFERROR(INDEX('CoQ Register'!$D:$D,MATCH("P050272|R",'CoQ Register'!$S:$S,0)),"")</f>
        <v/>
      </c>
      <c r="T214" s="243" t="inlineStr">
        <is>
          <t>Conforms</t>
        </is>
      </c>
      <c r="U214" s="243" t="inlineStr">
        <is>
          <t>Conforms</t>
        </is>
      </c>
      <c r="V214" s="243" t="inlineStr">
        <is>
          <t>Conforms</t>
        </is>
      </c>
      <c r="W214" s="243" t="inlineStr">
        <is>
          <t>227-9-K-26, (11.09.2026) [FHM-K]</t>
        </is>
      </c>
      <c r="X214" s="243" t="inlineStr">
        <is>
          <t>227-9-K-26, (11.09.2026) [FHM-K]</t>
        </is>
      </c>
      <c r="Y214" s="243" t="inlineStr">
        <is>
          <t>— pending —</t>
        </is>
      </c>
      <c r="Z214" s="243" t="inlineStr">
        <is>
          <t>#8, #9, #11, #12 from the initial testing</t>
        </is>
      </c>
      <c r="AA214" s="243" t="inlineStr">
        <is>
          <t>P050272|R</t>
        </is>
      </c>
      <c r="AB214" s="250" t="inlineStr">
        <is>
          <t>registered — retest 1, issued 01.09.2026</t>
        </is>
      </c>
    </row>
    <row r="215">
      <c r="A215" s="243" t="n">
        <v>214</v>
      </c>
      <c r="B215" s="244" t="inlineStr">
        <is>
          <t>iCoA-PP_26-214</t>
        </is>
      </c>
      <c r="C215" s="249" t="inlineStr">
        <is>
          <t>yes</t>
        </is>
      </c>
      <c r="D215" s="245" t="n">
        <v>46266</v>
      </c>
      <c r="E215" s="245" t="n">
        <v>46266</v>
      </c>
      <c r="F215" s="245">
        <f>IFERROR(INDEX('Batch Dates'!$G:$G,MATCH(J215,'Batch Dates'!$C:$C,0)),IFERROR(INDEX('Batch Dates'!$G:$G,MATCH(I215,'Batch Dates'!$B:$B,0)),""))</f>
        <v/>
      </c>
      <c r="G215" s="243" t="inlineStr">
        <is>
          <t>legacy</t>
        </is>
      </c>
      <c r="H215" s="243" t="inlineStr">
        <is>
          <t>retest 1</t>
        </is>
      </c>
      <c r="I215" s="244" t="inlineStr">
        <is>
          <t>WC072501</t>
        </is>
      </c>
      <c r="J215" s="243" t="inlineStr">
        <is>
          <t>P050262</t>
        </is>
      </c>
      <c r="K215" s="243" t="inlineStr">
        <is>
          <t>Wedding Crusher</t>
        </is>
      </c>
      <c r="L215" s="243" t="inlineStr">
        <is>
          <t>Ident A + Ident B + Foreign matter</t>
        </is>
      </c>
      <c r="M215" s="248" t="inlineStr">
        <is>
          <t>—</t>
        </is>
      </c>
      <c r="N215" s="243">
        <f>IFERROR(INDEX('CoQ Register'!$B:$B,MATCH("P050262|R",'CoQ Register'!$S:$S,0)),"—")</f>
        <v/>
      </c>
      <c r="O215" s="248" t="inlineStr">
        <is>
          <t>—</t>
        </is>
      </c>
      <c r="P215" s="243" t="inlineStr">
        <is>
          <t>02.12.2026</t>
        </is>
      </c>
      <c r="Q215" s="243" t="inlineStr">
        <is>
          <t>27.10.2025 – 28.10.2025</t>
        </is>
      </c>
      <c r="R215" s="243" t="inlineStr">
        <is>
          <t>01.12.2025 (the issuance plan's basis: 02.12.2025)</t>
        </is>
      </c>
      <c r="S215" s="245">
        <f>IFERROR(INDEX('CoQ Register'!$D:$D,MATCH("P050262|R",'CoQ Register'!$S:$S,0)),"")</f>
        <v/>
      </c>
      <c r="T215" s="243" t="inlineStr">
        <is>
          <t>Conforms</t>
        </is>
      </c>
      <c r="U215" s="243" t="inlineStr">
        <is>
          <t>Conforms</t>
        </is>
      </c>
      <c r="V215" s="243" t="inlineStr">
        <is>
          <t>Conforms</t>
        </is>
      </c>
      <c r="W215" s="243" t="inlineStr">
        <is>
          <t>227-3-K-26, (11.09.2026) [FHM-K]</t>
        </is>
      </c>
      <c r="X215" s="243" t="inlineStr">
        <is>
          <t>227-3-K-26, (11.09.2026) [FHM-K]</t>
        </is>
      </c>
      <c r="Y215" s="243" t="inlineStr">
        <is>
          <t>— pending —</t>
        </is>
      </c>
      <c r="Z215" s="243" t="inlineStr">
        <is>
          <t>#8, #9, #11, #12 from the initial testing</t>
        </is>
      </c>
      <c r="AA215" s="243" t="inlineStr">
        <is>
          <t>P050262|R</t>
        </is>
      </c>
      <c r="AB215" s="250" t="inlineStr">
        <is>
          <t>registered — retest 1, issued 01.09.2026</t>
        </is>
      </c>
    </row>
    <row r="216">
      <c r="A216" s="243" t="n">
        <v>215</v>
      </c>
      <c r="B216" s="244" t="inlineStr">
        <is>
          <t>iCoA-PP_26-215</t>
        </is>
      </c>
      <c r="C216" s="249" t="inlineStr">
        <is>
          <t>yes</t>
        </is>
      </c>
      <c r="D216" s="245" t="n">
        <v>46266</v>
      </c>
      <c r="E216" s="245" t="n">
        <v>46266</v>
      </c>
      <c r="F216" s="245">
        <f>IFERROR(INDEX('Batch Dates'!$G:$G,MATCH(J216,'Batch Dates'!$C:$C,0)),IFERROR(INDEX('Batch Dates'!$G:$G,MATCH(I216,'Batch Dates'!$B:$B,0)),""))</f>
        <v/>
      </c>
      <c r="G216" s="243" t="inlineStr">
        <is>
          <t>legacy</t>
        </is>
      </c>
      <c r="H216" s="243" t="inlineStr">
        <is>
          <t>retest 1</t>
        </is>
      </c>
      <c r="I216" s="244" t="inlineStr">
        <is>
          <t>WED102501</t>
        </is>
      </c>
      <c r="J216" s="243" t="inlineStr">
        <is>
          <t>P060102</t>
        </is>
      </c>
      <c r="K216" s="243" t="inlineStr">
        <is>
          <t>Wedding Cake</t>
        </is>
      </c>
      <c r="L216" s="243" t="inlineStr">
        <is>
          <t>Ident A + Ident B + Foreign matter</t>
        </is>
      </c>
      <c r="M216" s="248" t="inlineStr">
        <is>
          <t>—</t>
        </is>
      </c>
      <c r="N216" s="243">
        <f>IFERROR(INDEX('CoQ Register'!$B:$B,MATCH("P060102|R",'CoQ Register'!$S:$S,0)),"—")</f>
        <v/>
      </c>
      <c r="O216" s="248" t="inlineStr">
        <is>
          <t>—</t>
        </is>
      </c>
      <c r="P216" s="243" t="inlineStr">
        <is>
          <t>16.02.2027</t>
        </is>
      </c>
      <c r="Q216" s="243" t="inlineStr">
        <is>
          <t>08.01.2026</t>
        </is>
      </c>
      <c r="R216" s="243" t="inlineStr">
        <is>
          <t>16.02.2026</t>
        </is>
      </c>
      <c r="S216" s="245">
        <f>IFERROR(INDEX('CoQ Register'!$D:$D,MATCH("P060102|R",'CoQ Register'!$S:$S,0)),"")</f>
        <v/>
      </c>
      <c r="T216" s="243" t="inlineStr">
        <is>
          <t>Conforms</t>
        </is>
      </c>
      <c r="U216" s="243" t="inlineStr">
        <is>
          <t>Conforms</t>
        </is>
      </c>
      <c r="V216" s="243" t="inlineStr">
        <is>
          <t>Conforms</t>
        </is>
      </c>
      <c r="W216" s="243" t="inlineStr">
        <is>
          <t>227-4-K-26, (11.09.2026) [FHM-K]</t>
        </is>
      </c>
      <c r="X216" s="243" t="inlineStr">
        <is>
          <t>227-4-K-26, (11.09.2026) [FHM-K]</t>
        </is>
      </c>
      <c r="Y216" s="243" t="inlineStr">
        <is>
          <t>— pending —</t>
        </is>
      </c>
      <c r="Z216" s="243" t="inlineStr">
        <is>
          <t>#8, #9, #11, #12 from the initial testing</t>
        </is>
      </c>
      <c r="AA216" s="243" t="inlineStr">
        <is>
          <t>P060102|R</t>
        </is>
      </c>
      <c r="AB216" s="250" t="inlineStr">
        <is>
          <t>registered — retest 1, issued 01.09.2026</t>
        </is>
      </c>
    </row>
    <row r="217"/>
    <row r="218" ht="110" customHeight="1" s="70">
      <c r="A218" s="242" t="inlineStr">
        <is>
          <t>THE STANDING REGISTER OF INTERNAL CERTIFICATES OF ANALYSIS. Head of QC, 10.09.2026: "the register encompasses every internal certificate that exists or ever will" — ONE PER TESTING ROUND, not one per lot and not only the ones the drafted certificates happen to need. Each carries identification A, identification B and foreign matter ALWAYS (performed in house, on the first day of packaging for the release round and at its own sampling for a retest), plus any determination whose only result in that round is an in-house record. Codes iCoA-PP_26-nnn, one series for the year of issue, in the order of issue: by issue date, then by when the work was done, then by batch — 03.06.2026 for anything that would otherwise predate the specification SOP, so the backlog shares one date and orders by packaging, as the CoQ series does. THE ROWS, THE NUMBER AND THE CODE ARE NOT COMPUTED HERE (11.09.2026): this sheet RENDERS icoa_register.py, which is the series, and writes its numbers as literal values. Two things were being decided twice and disagreed. The number used to be a formula over this sheet's own row order, so the first physical row took iCoA-PP_26-001 while its own certificate cited iCoA-PP_26-066 and none of the 49 comparable rows agreed; and the ROW SET was this sheet's issuance planning, so it printed 60 of the series' 95 codes, showed no retest certificate at all where the series issues 26 (its retest rows are one per lot per tranche — a lot with four retest rounds had one row standing for four certificates), and withheld nine more under "where a CNP certificate reports all three, no iCoA is needed", the note of 05.09.2026 that the ruling of 10.09.2026 replaced: the in-house laboratory performs those three whatever an external laboratory also reports, so the certificate exists and is registered. Which document the CERTIFICATE OF QUALITY cites for them is a separate question and is unchanged. Rows below the series are lots it does not carry — a retest that is planned but not yet sampled, a lot with no production record, and the starred lots, whose star batch_id.batch_key deliberately keeps because whether GG012601＊ is GG012601 is the Head of QC's to rule. They are unnumbered and say why. Inserting a row renumbers nothing. verify_workbook.py compares sheet and series on every run. FORMULAS remaining: a release round's testing date and packaging-complete date are looked up on Batch Dates by P batch (else by the batch as listed) and its issue date is the later of that testing date and 03.06.2026; a RETEST is dated at its own sampling day and issued on its campaign's day (sampling_dates.py, owner 15.09.2026: Tranche 1 sampled 21–24.07.2026 and issued 27.07.2026, Tranche 2 sampled 12–14.08.2026 and issued 17.08.2026, Tranche 3 sampled 19–21.08.2026 and issued 24.08.2026, each batch on the day its certificate number falls), which no sheet holds, so the series' dates are written as literals rather than guessed by a formula. A round whose packaging date the list does not hold is numbered all the same (owner, 15.09.2026: identification A, B and foreign matter are performed on every batch) and says its testing date is not stated. CoQ (register) is looked up on the CoQ Register by Key — the tracker's in-house cells cite this register by Key, so they follow it. Working days are Monday to Friday; public holidays are not applied.</t>
        </is>
      </c>
    </row>
  </sheetData>
  <mergeCells count="1">
    <mergeCell ref="A218:AB218"/>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AC1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4" customWidth="1" style="70" min="5" max="5"/>
    <col width="16" customWidth="1" style="70" min="6" max="6"/>
    <col width="22" customWidth="1" style="70" min="7" max="7"/>
    <col width="16" customWidth="1" style="70" min="8" max="8"/>
    <col width="14" customWidth="1" style="70" min="9" max="9"/>
    <col width="10" customWidth="1" style="70" min="10" max="10"/>
    <col width="20" customWidth="1" style="70" min="11" max="11"/>
    <col width="16" customWidth="1" style="70" min="12" max="12"/>
    <col width="12" customWidth="1" style="70" min="13" max="13"/>
    <col width="20" customWidth="1" style="70" min="14" max="14"/>
    <col width="34" customWidth="1" style="70" min="15" max="15"/>
    <col width="26" customWidth="1" style="70" min="16" max="16"/>
    <col width="26" customWidth="1" style="70" min="17" max="17"/>
    <col width="22" customWidth="1" style="70" min="18" max="18"/>
    <col width="14" customWidth="1" style="70" min="19" max="19"/>
    <col width="64" customWidth="1" style="70" min="20" max="20"/>
    <col width="20" customWidth="1" style="70" min="21" max="21"/>
    <col width="11" customWidth="1" style="70" min="22" max="22"/>
    <col width="20" customWidth="1" style="70" min="23" max="23"/>
    <col width="20" customWidth="1" style="70" min="24" max="24"/>
    <col width="16" customWidth="1" style="70" min="25" max="25"/>
    <col width="18" customWidth="1" style="70" min="26" max="26"/>
    <col width="22" customWidth="1" style="70" min="27" max="27"/>
    <col width="34" customWidth="1" style="70" min="28" max="28"/>
    <col width="36" customWidth="1" style="70" min="29" max="29"/>
  </cols>
  <sheetData>
    <row r="1" ht="22" customHeight="1" s="70">
      <c r="A1" s="119" t="inlineStr">
        <is>
          <t>No.</t>
        </is>
      </c>
      <c r="B1" s="119" t="inlineStr">
        <is>
          <t>CoQ code</t>
        </is>
      </c>
      <c r="C1" s="119" t="inlineStr">
        <is>
          <t>Issuable</t>
        </is>
      </c>
      <c r="D1" s="119" t="inlineStr">
        <is>
          <t>Issue date (planned)</t>
        </is>
      </c>
      <c r="E1" s="119" t="inlineStr">
        <is>
          <t>Rule date</t>
        </is>
      </c>
      <c r="F1" s="119" t="inlineStr">
        <is>
          <t>Latest eCoA cited (date)</t>
        </is>
      </c>
      <c r="G1" s="119" t="inlineStr">
        <is>
          <t>Latest eCoA cited (code)</t>
        </is>
      </c>
      <c r="H1" s="119" t="inlineStr">
        <is>
          <t>iCoA (register)</t>
        </is>
      </c>
      <c r="I1" s="119" t="inlineStr">
        <is>
          <t>iCoA issue date</t>
        </is>
      </c>
      <c r="J1" s="119" t="inlineStr">
        <is>
          <t>Group</t>
        </is>
      </c>
      <c r="K1" s="119" t="inlineStr">
        <is>
          <t>Series</t>
        </is>
      </c>
      <c r="L1" s="119" t="inlineStr">
        <is>
          <t>CU Batch</t>
        </is>
      </c>
      <c r="M1" s="119" t="inlineStr">
        <is>
          <t>P Batch</t>
        </is>
      </c>
      <c r="N1" s="119" t="inlineStr">
        <is>
          <t>Strain</t>
        </is>
      </c>
      <c r="O1" s="119" t="inlineStr">
        <is>
          <t>Ident C — eCoA (Total THC)</t>
        </is>
      </c>
      <c r="P1" s="119" t="inlineStr">
        <is>
          <t>CNP references</t>
        </is>
      </c>
      <c r="Q1" s="119" t="inlineStr">
        <is>
          <t>Supersedes (old in-house CoA)</t>
        </is>
      </c>
      <c r="R1" s="119" t="inlineStr">
        <is>
          <t>Plan reference (31.08.2026)</t>
        </is>
      </c>
      <c r="S1" s="119" t="inlineStr">
        <is>
          <t>Key</t>
        </is>
      </c>
      <c r="T1" s="119" t="inlineStr">
        <is>
          <t>Status</t>
        </is>
      </c>
      <c r="U1" s="119" t="inlineStr">
        <is>
          <t>Supersedes (initial CoQ)</t>
        </is>
      </c>
      <c r="V1" s="119" t="inlineStr">
        <is>
          <t>Total THC (%)</t>
        </is>
      </c>
      <c r="W1" s="119" t="inlineStr">
        <is>
          <t>THC certificate</t>
        </is>
      </c>
      <c r="X1" s="119" t="inlineStr">
        <is>
          <t>Grade nominal ± tol. (numeral)</t>
        </is>
      </c>
      <c r="Y1" s="119" t="inlineStr">
        <is>
          <t>Grade window</t>
        </is>
      </c>
      <c r="Z1" s="119" t="inlineStr">
        <is>
          <t>Product code</t>
        </is>
      </c>
      <c r="AA1" s="119" t="inlineStr">
        <is>
          <t>Specification code</t>
        </is>
      </c>
      <c r="AB1" s="119" t="inlineStr">
        <is>
          <t>Specification status</t>
        </is>
      </c>
      <c r="AC1" s="119" t="inlineStr">
        <is>
          <t>Grading note</t>
        </is>
      </c>
    </row>
    <row r="2">
      <c r="A2" s="243">
        <f>IF(OR(C2="yes",C2="allocated",C2="ruled"),COUNT(A$1:A1)+1,"")</f>
        <v/>
      </c>
      <c r="B2" s="244">
        <f>IF(A2&lt;&gt;"","CoQ-PP_26-"&amp;TEXT(A2,"000"),"— at issue —")</f>
        <v/>
      </c>
      <c r="C2" s="249" t="inlineStr">
        <is>
          <t>yes</t>
        </is>
      </c>
      <c r="D2" s="245">
        <f>IF(OR(A2="",C2="allocated",C2="ruled"),"",MAX(E2,IF(ISNUMBER(I2),I2,0),IFERROR(IF(ISNUMBER(INDEX('iCoA Register'!$F:$F,MATCH(S2,'iCoA Register'!$AA:$AA,0))),INDEX('iCoA Register'!$F:$F,MATCH(S2,'iCoA Register'!$AA:$AA,0)),0),0)))</f>
        <v/>
      </c>
      <c r="E2" s="245">
        <f>IF(ISNUMBER(F2),MAX(DATE(2026,6,6),F2+7),DATE(2026,6,6))</f>
        <v/>
      </c>
      <c r="F2" s="245" t="n">
        <v>45715</v>
      </c>
      <c r="G2" s="243" t="inlineStr">
        <is>
          <t>750-2025</t>
        </is>
      </c>
      <c r="H2" s="243">
        <f>IFERROR(INDEX('iCoA Register'!$B:$B,MATCH("CJ1024|I",'iCoA Register'!$AA:$AA,0)),"—")</f>
        <v/>
      </c>
      <c r="I2" s="245">
        <f>IFERROR(INDEX('iCoA Register'!$D:$D,MATCH("CJ1024|I",'iCoA Register'!$AA:$AA,0)),"")</f>
        <v/>
      </c>
      <c r="J2" s="243" t="inlineStr">
        <is>
          <t>legacy</t>
        </is>
      </c>
      <c r="K2" s="243" t="inlineStr">
        <is>
          <t>initial release</t>
        </is>
      </c>
      <c r="L2" s="244" t="inlineStr">
        <is>
          <t>CJ1024</t>
        </is>
      </c>
      <c r="M2" s="243" t="inlineStr">
        <is>
          <t>N/A — no P batch assigned</t>
        </is>
      </c>
      <c r="N2" s="243" t="inlineStr">
        <is>
          <t>Cap Junky</t>
        </is>
      </c>
      <c r="O2" s="243" t="inlineStr">
        <is>
          <t>ППК25052, (26.02.2025) [CNP]</t>
        </is>
      </c>
      <c r="P2" s="248" t="inlineStr">
        <is>
          <t>—</t>
        </is>
      </c>
      <c r="Q2" s="243" t="inlineStr">
        <is>
          <t>—</t>
        </is>
      </c>
      <c r="R2" s="243" t="inlineStr">
        <is>
          <t>(assigned on issue)</t>
        </is>
      </c>
      <c r="S2" s="243" t="inlineStr">
        <is>
          <t>CJ1024|I</t>
        </is>
      </c>
      <c r="T2" s="250" t="inlineStr">
        <is>
          <t>registered — legacy series, issued 06.06.2026</t>
        </is>
      </c>
      <c r="U2" s="243" t="inlineStr">
        <is>
          <t>n/a — initial certificate</t>
        </is>
      </c>
      <c r="V2" s="251" t="n">
        <v>23</v>
      </c>
      <c r="W2" s="243" t="inlineStr">
        <is>
          <t>ППК25052</t>
        </is>
      </c>
      <c r="X2" s="243" t="inlineStr">
        <is>
          <t>24.00 ± 2.40 (II)</t>
        </is>
      </c>
      <c r="Y2" s="243" t="inlineStr">
        <is>
          <t>21.60 – 26.39 %</t>
        </is>
      </c>
      <c r="Z2" s="243" t="inlineStr">
        <is>
          <t>CJ_THC24 : CBD1</t>
        </is>
      </c>
      <c r="AA2" s="243" t="inlineStr">
        <is>
          <t>QCSP_001_CJ-II_v.01</t>
        </is>
      </c>
      <c r="AB2" s="252" t="inlineStr">
        <is>
          <t>for review — replaces the issued QCSP_001_CJ-II_v.01 (was CJ_THC26 : CBD1, 25.01 – 26.99 %); now CJ_THC24 : CBD1 21.60 – 26.39 %</t>
        </is>
      </c>
      <c r="AC2" s="246" t="inlineStr"/>
    </row>
    <row r="3">
      <c r="A3" s="243">
        <f>IF(OR(C3="yes",C3="allocated",C3="ruled"),COUNT(A$1:A2)+1,"")</f>
        <v/>
      </c>
      <c r="B3" s="244">
        <f>IF(A3&lt;&gt;"","CoQ-PP_26-"&amp;TEXT(A3,"000"),"— at issue —")</f>
        <v/>
      </c>
      <c r="C3" s="249" t="inlineStr">
        <is>
          <t>yes</t>
        </is>
      </c>
      <c r="D3" s="245">
        <f>IF(OR(A3="",C3="allocated",C3="ruled"),"",MAX(E3,IF(ISNUMBER(I3),I3,0),IFERROR(IF(ISNUMBER(INDEX('iCoA Register'!$F:$F,MATCH(S3,'iCoA Register'!$AA:$AA,0))),INDEX('iCoA Register'!$F:$F,MATCH(S3,'iCoA Register'!$AA:$AA,0)),0),0)))</f>
        <v/>
      </c>
      <c r="E3" s="245">
        <f>IF(ISNUMBER(F3),MAX(DATE(2026,6,6),F3+7),DATE(2026,6,6))</f>
        <v/>
      </c>
      <c r="F3" s="245" t="n">
        <v>45715</v>
      </c>
      <c r="G3" s="243" t="inlineStr">
        <is>
          <t>751-2025</t>
        </is>
      </c>
      <c r="H3" s="243">
        <f>IFERROR(INDEX('iCoA Register'!$B:$B,MATCH("BSS1024|I",'iCoA Register'!$AA:$AA,0)),"—")</f>
        <v/>
      </c>
      <c r="I3" s="245">
        <f>IFERROR(INDEX('iCoA Register'!$D:$D,MATCH("BSS1024|I",'iCoA Register'!$AA:$AA,0)),"")</f>
        <v/>
      </c>
      <c r="J3" s="243" t="inlineStr">
        <is>
          <t>legacy</t>
        </is>
      </c>
      <c r="K3" s="243" t="inlineStr">
        <is>
          <t>initial release</t>
        </is>
      </c>
      <c r="L3" s="244" t="inlineStr">
        <is>
          <t>BSS1024</t>
        </is>
      </c>
      <c r="M3" s="243" t="inlineStr">
        <is>
          <t>N/A — no P batch assigned</t>
        </is>
      </c>
      <c r="N3" s="243" t="inlineStr">
        <is>
          <t>Blue Sunset Sherbet</t>
        </is>
      </c>
      <c r="O3" s="243" t="inlineStr">
        <is>
          <t>ППК25051, (26.02.2025) [CNP]</t>
        </is>
      </c>
      <c r="P3" s="248" t="inlineStr">
        <is>
          <t>—</t>
        </is>
      </c>
      <c r="Q3" s="243" t="inlineStr">
        <is>
          <t>—</t>
        </is>
      </c>
      <c r="R3" s="243" t="inlineStr">
        <is>
          <t>CoQ-PP-2025-0001</t>
        </is>
      </c>
      <c r="S3" s="243" t="inlineStr">
        <is>
          <t>BSS1024|I</t>
        </is>
      </c>
      <c r="T3" s="250" t="inlineStr">
        <is>
          <t>registered — legacy series, issued 06.06.2026</t>
        </is>
      </c>
      <c r="U3" s="243" t="inlineStr">
        <is>
          <t>n/a — initial certificate</t>
        </is>
      </c>
      <c r="V3" s="251" t="n">
        <v>21.03</v>
      </c>
      <c r="W3" s="243" t="inlineStr">
        <is>
          <t>ППК25051</t>
        </is>
      </c>
      <c r="X3" s="243" t="inlineStr">
        <is>
          <t>20.00 ± 1.89 (III)</t>
        </is>
      </c>
      <c r="Y3" s="243" t="inlineStr">
        <is>
          <t>18.11 – 21.88 %</t>
        </is>
      </c>
      <c r="Z3" s="243" t="inlineStr">
        <is>
          <t>BSS_THC20 : CBD1</t>
        </is>
      </c>
      <c r="AA3" s="243" t="inlineStr">
        <is>
          <t>QCSP_001_BSS-III_v.01</t>
        </is>
      </c>
      <c r="AB3" s="246" t="inlineStr">
        <is>
          <t>for review — new</t>
        </is>
      </c>
      <c r="AC3" s="246" t="inlineStr"/>
    </row>
    <row r="4">
      <c r="A4" s="243">
        <f>IF(OR(C4="yes",C4="allocated",C4="ruled"),COUNT(A$1:A3)+1,"")</f>
        <v/>
      </c>
      <c r="B4" s="244">
        <f>IF(A4&lt;&gt;"","CoQ-PP_26-"&amp;TEXT(A4,"000"),"— at issue —")</f>
        <v/>
      </c>
      <c r="C4" s="249" t="inlineStr">
        <is>
          <t>yes</t>
        </is>
      </c>
      <c r="D4" s="245">
        <f>IF(OR(A4="",C4="allocated",C4="ruled"),"",MAX(E4,IF(ISNUMBER(I4),I4,0),IFERROR(IF(ISNUMBER(INDEX('iCoA Register'!$F:$F,MATCH(S4,'iCoA Register'!$AA:$AA,0))),INDEX('iCoA Register'!$F:$F,MATCH(S4,'iCoA Register'!$AA:$AA,0)),0),0)))</f>
        <v/>
      </c>
      <c r="E4" s="245">
        <f>IF(ISNUMBER(F4),MAX(DATE(2026,6,6),F4+7),DATE(2026,6,6))</f>
        <v/>
      </c>
      <c r="F4" s="245" t="n">
        <v>45715</v>
      </c>
      <c r="G4" s="243" t="inlineStr">
        <is>
          <t>752-2025</t>
        </is>
      </c>
      <c r="H4" s="243">
        <f>IFERROR(INDEX('iCoA Register'!$B:$B,MATCH("BG1024|I",'iCoA Register'!$AA:$AA,0)),"—")</f>
        <v/>
      </c>
      <c r="I4" s="245">
        <f>IFERROR(INDEX('iCoA Register'!$D:$D,MATCH("BG1024|I",'iCoA Register'!$AA:$AA,0)),"")</f>
        <v/>
      </c>
      <c r="J4" s="243" t="inlineStr">
        <is>
          <t>legacy</t>
        </is>
      </c>
      <c r="K4" s="243" t="inlineStr">
        <is>
          <t>initial release</t>
        </is>
      </c>
      <c r="L4" s="244" t="inlineStr">
        <is>
          <t>BG1024</t>
        </is>
      </c>
      <c r="M4" s="243" t="inlineStr">
        <is>
          <t>N/A — no P batch assigned</t>
        </is>
      </c>
      <c r="N4" s="243" t="inlineStr">
        <is>
          <t>Blue Gelato</t>
        </is>
      </c>
      <c r="O4" s="243" t="inlineStr">
        <is>
          <t>ППК25050, (26.02.2025) [CNP]</t>
        </is>
      </c>
      <c r="P4" s="248" t="inlineStr">
        <is>
          <t>—</t>
        </is>
      </c>
      <c r="Q4" s="243" t="inlineStr">
        <is>
          <t>—</t>
        </is>
      </c>
      <c r="R4" s="243" t="inlineStr">
        <is>
          <t>CoQ-PP-2025-0002</t>
        </is>
      </c>
      <c r="S4" s="243" t="inlineStr">
        <is>
          <t>BG1024|I</t>
        </is>
      </c>
      <c r="T4" s="250" t="inlineStr">
        <is>
          <t>registered — legacy series, issued 06.06.2026</t>
        </is>
      </c>
      <c r="U4" s="243" t="inlineStr">
        <is>
          <t>n/a — initial certificate</t>
        </is>
      </c>
      <c r="V4" s="251" t="n">
        <v>21.8</v>
      </c>
      <c r="W4" s="243" t="inlineStr">
        <is>
          <t>ППК25050</t>
        </is>
      </c>
      <c r="X4" s="243" t="inlineStr">
        <is>
          <t>22.00 ± 2.20 (II)</t>
        </is>
      </c>
      <c r="Y4" s="243" t="inlineStr">
        <is>
          <t>19.80 – 24.19 %</t>
        </is>
      </c>
      <c r="Z4" s="243" t="inlineStr">
        <is>
          <t>BG_THC22 : CBD1</t>
        </is>
      </c>
      <c r="AA4" s="243" t="inlineStr">
        <is>
          <t>QCSP_001_BG-II_v.01</t>
        </is>
      </c>
      <c r="AB4" s="246" t="inlineStr">
        <is>
          <t>for review — new</t>
        </is>
      </c>
      <c r="AC4" s="246" t="inlineStr"/>
    </row>
    <row r="5">
      <c r="A5" s="243">
        <f>IF(OR(C5="yes",C5="allocated",C5="ruled"),COUNT(A$1:A4)+1,"")</f>
        <v/>
      </c>
      <c r="B5" s="244">
        <f>IF(A5&lt;&gt;"","CoQ-PP_26-"&amp;TEXT(A5,"000"),"— at issue —")</f>
        <v/>
      </c>
      <c r="C5" s="249" t="inlineStr">
        <is>
          <t>yes</t>
        </is>
      </c>
      <c r="D5" s="245">
        <f>IF(OR(A5="",C5="allocated",C5="ruled"),"",MAX(E5,IF(ISNUMBER(I5),I5,0),IFERROR(IF(ISNUMBER(INDEX('iCoA Register'!$F:$F,MATCH(S5,'iCoA Register'!$AA:$AA,0))),INDEX('iCoA Register'!$F:$F,MATCH(S5,'iCoA Register'!$AA:$AA,0)),0),0)))</f>
        <v/>
      </c>
      <c r="E5" s="245">
        <f>IF(ISNUMBER(F5),MAX(DATE(2026,6,6),F5+7),DATE(2026,6,6))</f>
        <v/>
      </c>
      <c r="F5" s="245" t="inlineStr">
        <is>
          <t>—</t>
        </is>
      </c>
      <c r="G5" s="243" t="inlineStr">
        <is>
          <t>—</t>
        </is>
      </c>
      <c r="H5" s="243">
        <f>IFERROR(INDEX('iCoA Register'!$B:$B,MATCH("GG1024|I",'iCoA Register'!$AA:$AA,0)),"—")</f>
        <v/>
      </c>
      <c r="I5" s="245">
        <f>IFERROR(INDEX('iCoA Register'!$D:$D,MATCH("GG1024|I",'iCoA Register'!$AA:$AA,0)),"")</f>
        <v/>
      </c>
      <c r="J5" s="243" t="inlineStr">
        <is>
          <t>legacy</t>
        </is>
      </c>
      <c r="K5" s="243" t="inlineStr">
        <is>
          <t>initial release</t>
        </is>
      </c>
      <c r="L5" s="244" t="inlineStr">
        <is>
          <t>GG1024</t>
        </is>
      </c>
      <c r="M5" s="243" t="inlineStr">
        <is>
          <t>N/A — no P batch assigned</t>
        </is>
      </c>
      <c r="N5" s="243" t="inlineStr">
        <is>
          <t>Gorilla Glue</t>
        </is>
      </c>
      <c r="O5" s="248" t="inlineStr">
        <is>
          <t>— no cannabinoid certificate from the initial testing —</t>
        </is>
      </c>
      <c r="P5" s="248" t="inlineStr">
        <is>
          <t>—</t>
        </is>
      </c>
      <c r="Q5" s="243" t="inlineStr">
        <is>
          <t>—</t>
        </is>
      </c>
      <c r="R5" s="243" t="inlineStr">
        <is>
          <t>CoQ-PP-2025-0003</t>
        </is>
      </c>
      <c r="S5" s="243" t="inlineStr">
        <is>
          <t>GG1024|I</t>
        </is>
      </c>
      <c r="T5" s="250" t="inlineStr">
        <is>
          <t>registered — legacy series, issued 06.06.2026 · initial certificate to locate: #3 (CNP), #4 (CNP), #5 (CNP), #6 (CNP), #8 (CNP), #9 (IJZ), #10 (CNP), #11 (CNP), #12 (CNP)</t>
        </is>
      </c>
      <c r="U5" s="243" t="inlineStr">
        <is>
          <t>n/a — initial certificate</t>
        </is>
      </c>
      <c r="V5" s="243" t="inlineStr">
        <is>
          <t>—</t>
        </is>
      </c>
      <c r="W5" s="243" t="inlineStr">
        <is>
          <t>—</t>
        </is>
      </c>
      <c r="X5" s="243" t="inlineStr">
        <is>
          <t>—</t>
        </is>
      </c>
      <c r="Y5" s="243" t="inlineStr">
        <is>
          <t>—</t>
        </is>
      </c>
      <c r="Z5" s="243" t="inlineStr">
        <is>
          <t>—</t>
        </is>
      </c>
      <c r="AA5" s="243" t="inlineStr">
        <is>
          <t>—</t>
        </is>
      </c>
      <c r="AB5" s="246" t="inlineStr">
        <is>
          <t>—</t>
        </is>
      </c>
      <c r="AC5" s="252" t="inlineStr">
        <is>
          <t>no Total THC result on this certificate</t>
        </is>
      </c>
    </row>
    <row r="6">
      <c r="A6" s="243">
        <f>IF(OR(C6="yes",C6="allocated",C6="ruled"),COUNT(A$1:A5)+1,"")</f>
        <v/>
      </c>
      <c r="B6" s="244">
        <f>IF(A6&lt;&gt;"","CoQ-PP_26-"&amp;TEXT(A6,"000"),"— at issue —")</f>
        <v/>
      </c>
      <c r="C6" s="249" t="inlineStr">
        <is>
          <t>yes</t>
        </is>
      </c>
      <c r="D6" s="245">
        <f>IF(OR(A6="",C6="allocated",C6="ruled"),"",MAX(E6,IF(ISNUMBER(I6),I6,0),IFERROR(IF(ISNUMBER(INDEX('iCoA Register'!$F:$F,MATCH(S6,'iCoA Register'!$AA:$AA,0))),INDEX('iCoA Register'!$F:$F,MATCH(S6,'iCoA Register'!$AA:$AA,0)),0),0)))</f>
        <v/>
      </c>
      <c r="E6" s="245">
        <f>IF(ISNUMBER(F6),MAX(DATE(2026,6,6),F6+7),DATE(2026,6,6))</f>
        <v/>
      </c>
      <c r="F6" s="245" t="inlineStr">
        <is>
          <t>—</t>
        </is>
      </c>
      <c r="G6" s="243" t="inlineStr">
        <is>
          <t>—</t>
        </is>
      </c>
      <c r="H6" s="243">
        <f>IFERROR(INDEX('iCoA Register'!$B:$B,MATCH("HPA1024|I",'iCoA Register'!$AA:$AA,0)),"—")</f>
        <v/>
      </c>
      <c r="I6" s="245">
        <f>IFERROR(INDEX('iCoA Register'!$D:$D,MATCH("HPA1024|I",'iCoA Register'!$AA:$AA,0)),"")</f>
        <v/>
      </c>
      <c r="J6" s="243" t="inlineStr">
        <is>
          <t>legacy</t>
        </is>
      </c>
      <c r="K6" s="243" t="inlineStr">
        <is>
          <t>initial release</t>
        </is>
      </c>
      <c r="L6" s="244" t="inlineStr">
        <is>
          <t>HPA1024</t>
        </is>
      </c>
      <c r="M6" s="243" t="inlineStr">
        <is>
          <t>N/A — no P batch assigned</t>
        </is>
      </c>
      <c r="N6" s="243" t="inlineStr">
        <is>
          <t>High Pro Amnesia</t>
        </is>
      </c>
      <c r="O6" s="248" t="inlineStr">
        <is>
          <t>— no cannabinoid certificate from the initial testing —</t>
        </is>
      </c>
      <c r="P6" s="248" t="inlineStr">
        <is>
          <t>—</t>
        </is>
      </c>
      <c r="Q6" s="243" t="inlineStr">
        <is>
          <t>—</t>
        </is>
      </c>
      <c r="R6" s="243" t="inlineStr">
        <is>
          <t>CoQ-PP-2025-0004</t>
        </is>
      </c>
      <c r="S6" s="243" t="inlineStr">
        <is>
          <t>HPA1024|I</t>
        </is>
      </c>
      <c r="T6" s="250" t="inlineStr">
        <is>
          <t>registered — legacy series, issued 06.06.2026 · initial certificate to locate: #3 (CNP), #4 (CNP), #5 (CNP), #6 (CNP), #8 (CNP), #9 (IJZ), #10 (CNP), #11 (CNP), #12 (CNP)</t>
        </is>
      </c>
      <c r="U6" s="243" t="inlineStr">
        <is>
          <t>n/a — initial certificate</t>
        </is>
      </c>
      <c r="V6" s="251" t="n">
        <v>14.97</v>
      </c>
      <c r="W6" s="243" t="inlineStr">
        <is>
          <t>iCoA-PP_26-005</t>
        </is>
      </c>
      <c r="X6" s="243" t="inlineStr">
        <is>
          <t>15.00 ± 1.20 (III)</t>
        </is>
      </c>
      <c r="Y6" s="243" t="inlineStr">
        <is>
          <t>13.80 – 16.19 %</t>
        </is>
      </c>
      <c r="Z6" s="243" t="inlineStr">
        <is>
          <t>HPA_THC15 : CBD1</t>
        </is>
      </c>
      <c r="AA6" s="243" t="inlineStr">
        <is>
          <t>QCSP_001_HPA-III_v.01</t>
        </is>
      </c>
      <c r="AB6" s="252" t="inlineStr">
        <is>
          <t>for review — replaces the issued QCSP_001_HPA-III_v.01 (was HPA_THC18 : CBD1, 17.00 – 19.00 %); now HPA_THC15 : CBD1 13.80 – 16.19 %</t>
        </is>
      </c>
      <c r="AC6" s="246" t="inlineStr"/>
    </row>
    <row r="7">
      <c r="A7" s="243">
        <f>IF(OR(C7="yes",C7="allocated",C7="ruled"),COUNT(A$1:A6)+1,"")</f>
        <v/>
      </c>
      <c r="B7" s="244">
        <f>IF(A7&lt;&gt;"","CoQ-PP_26-"&amp;TEXT(A7,"000"),"— at issue —")</f>
        <v/>
      </c>
      <c r="C7" s="249" t="inlineStr">
        <is>
          <t>yes</t>
        </is>
      </c>
      <c r="D7" s="245">
        <f>IF(OR(A7="",C7="allocated",C7="ruled"),"",MAX(E7,IF(ISNUMBER(I7),I7,0),IFERROR(IF(ISNUMBER(INDEX('iCoA Register'!$F:$F,MATCH(S7,'iCoA Register'!$AA:$AA,0))),INDEX('iCoA Register'!$F:$F,MATCH(S7,'iCoA Register'!$AA:$AA,0)),0),0)))</f>
        <v/>
      </c>
      <c r="E7" s="245">
        <f>IF(ISNUMBER(F7),MAX(DATE(2026,6,6),F7+7),DATE(2026,6,6))</f>
        <v/>
      </c>
      <c r="F7" s="245" t="inlineStr">
        <is>
          <t>—</t>
        </is>
      </c>
      <c r="G7" s="243" t="inlineStr">
        <is>
          <t>—</t>
        </is>
      </c>
      <c r="H7" s="243">
        <f>IFERROR(INDEX('iCoA Register'!$B:$B,MATCH("OPM1024|I",'iCoA Register'!$AA:$AA,0)),"—")</f>
        <v/>
      </c>
      <c r="I7" s="245">
        <f>IFERROR(INDEX('iCoA Register'!$D:$D,MATCH("OPM1024|I",'iCoA Register'!$AA:$AA,0)),"")</f>
        <v/>
      </c>
      <c r="J7" s="243" t="inlineStr">
        <is>
          <t>legacy</t>
        </is>
      </c>
      <c r="K7" s="243" t="inlineStr">
        <is>
          <t>initial release</t>
        </is>
      </c>
      <c r="L7" s="244" t="inlineStr">
        <is>
          <t>OPM1024</t>
        </is>
      </c>
      <c r="M7" s="243" t="inlineStr">
        <is>
          <t>N/A — no P batch assigned</t>
        </is>
      </c>
      <c r="N7" s="243" t="inlineStr">
        <is>
          <t>Orange Punch Mimosa</t>
        </is>
      </c>
      <c r="O7" s="248" t="inlineStr">
        <is>
          <t>— no cannabinoid certificate from the initial testing —</t>
        </is>
      </c>
      <c r="P7" s="248" t="inlineStr">
        <is>
          <t>—</t>
        </is>
      </c>
      <c r="Q7" s="243" t="inlineStr">
        <is>
          <t>—</t>
        </is>
      </c>
      <c r="R7" s="243" t="inlineStr">
        <is>
          <t>CoQ-PP-2025-0005</t>
        </is>
      </c>
      <c r="S7" s="243" t="inlineStr">
        <is>
          <t>OPM1024|I</t>
        </is>
      </c>
      <c r="T7" s="250" t="inlineStr">
        <is>
          <t>registered — legacy series, issued 06.06.2026 · initial certificate to locate: #3 (CNP), #4 (CNP), #5 (CNP), #6 (CNP), #8 (CNP), #9 (IJZ), #10 (CNP), #11 (CNP), #12 (CNP)</t>
        </is>
      </c>
      <c r="U7" s="243" t="inlineStr">
        <is>
          <t>n/a — initial certificate</t>
        </is>
      </c>
      <c r="V7" s="251" t="n">
        <v>19.96</v>
      </c>
      <c r="W7" s="243" t="inlineStr">
        <is>
          <t>iCoA-PP_26-006</t>
        </is>
      </c>
      <c r="X7" s="243" t="inlineStr">
        <is>
          <t>20.00 ± 1.40 (I)</t>
        </is>
      </c>
      <c r="Y7" s="243" t="inlineStr">
        <is>
          <t>18.60 – 21.39 %</t>
        </is>
      </c>
      <c r="Z7" s="243" t="inlineStr">
        <is>
          <t>OPM_THC20 : CBD1</t>
        </is>
      </c>
      <c r="AA7" s="243" t="inlineStr">
        <is>
          <t>QCSP_001_OPM-I_v.01</t>
        </is>
      </c>
      <c r="AB7" s="252" t="inlineStr">
        <is>
          <t>for review — replaces the issued QCSP_001_OPM-I_v.01 (was OPM_THC22 : CBD1, 19.81 – 24.19 %); now OPM_THC20 : CBD1 18.60 – 21.39 %</t>
        </is>
      </c>
      <c r="AC7" s="246" t="inlineStr"/>
    </row>
    <row r="8">
      <c r="A8" s="243">
        <f>IF(OR(C8="yes",C8="allocated",C8="ruled"),COUNT(A$1:A7)+1,"")</f>
        <v/>
      </c>
      <c r="B8" s="244">
        <f>IF(A8&lt;&gt;"","CoQ-PP_26-"&amp;TEXT(A8,"000"),"— at issue —")</f>
        <v/>
      </c>
      <c r="C8" s="249" t="inlineStr">
        <is>
          <t>yes</t>
        </is>
      </c>
      <c r="D8" s="245">
        <f>IF(OR(A8="",C8="allocated",C8="ruled"),"",MAX(E8,IF(ISNUMBER(I8),I8,0),IFERROR(IF(ISNUMBER(INDEX('iCoA Register'!$F:$F,MATCH(S8,'iCoA Register'!$AA:$AA,0))),INDEX('iCoA Register'!$F:$F,MATCH(S8,'iCoA Register'!$AA:$AA,0)),0),0)))</f>
        <v/>
      </c>
      <c r="E8" s="245">
        <f>IF(ISNUMBER(F8),MAX(DATE(2026,6,6),F8+7),DATE(2026,6,6))</f>
        <v/>
      </c>
      <c r="F8" s="245" t="n">
        <v>45807</v>
      </c>
      <c r="G8" s="243" t="inlineStr">
        <is>
          <t>2471-2025</t>
        </is>
      </c>
      <c r="H8" s="243">
        <f>IFERROR(INDEX('iCoA Register'!$B:$B,MATCH("P050022|I",'iCoA Register'!$AA:$AA,0)),"—")</f>
        <v/>
      </c>
      <c r="I8" s="245">
        <f>IFERROR(INDEX('iCoA Register'!$D:$D,MATCH("P050022|I",'iCoA Register'!$AA:$AA,0)),"")</f>
        <v/>
      </c>
      <c r="J8" s="243" t="inlineStr">
        <is>
          <t>legacy</t>
        </is>
      </c>
      <c r="K8" s="243" t="inlineStr">
        <is>
          <t>initial release</t>
        </is>
      </c>
      <c r="L8" s="244" t="inlineStr">
        <is>
          <t>GP0824_02</t>
        </is>
      </c>
      <c r="M8" s="243" t="inlineStr">
        <is>
          <t>P050022</t>
        </is>
      </c>
      <c r="N8" s="243" t="inlineStr">
        <is>
          <t>Grape Pie</t>
        </is>
      </c>
      <c r="O8" s="243" t="inlineStr">
        <is>
          <t>ППК25139, (22.05.2025) [CNP]</t>
        </is>
      </c>
      <c r="P8" s="248" t="inlineStr">
        <is>
          <t>—</t>
        </is>
      </c>
      <c r="Q8" s="243" t="inlineStr">
        <is>
          <t>—</t>
        </is>
      </c>
      <c r="R8" s="243" t="inlineStr">
        <is>
          <t>CoQ-PP-2025-0006</t>
        </is>
      </c>
      <c r="S8" s="243" t="inlineStr">
        <is>
          <t>P050022|I</t>
        </is>
      </c>
      <c r="T8" s="250" t="inlineStr">
        <is>
          <t>registered — legacy series, issued 06.06.2026</t>
        </is>
      </c>
      <c r="U8" s="243" t="inlineStr">
        <is>
          <t>n/a — initial certificate</t>
        </is>
      </c>
      <c r="V8" s="251" t="n">
        <v>23.79</v>
      </c>
      <c r="W8" s="243" t="inlineStr">
        <is>
          <t>ППК25139</t>
        </is>
      </c>
      <c r="X8" s="243" t="inlineStr">
        <is>
          <t>24.00 ± 2.00 (II)</t>
        </is>
      </c>
      <c r="Y8" s="243" t="inlineStr">
        <is>
          <t>22.00 – 25.99 %</t>
        </is>
      </c>
      <c r="Z8" s="243" t="inlineStr">
        <is>
          <t>GP_THC24 : CBD1</t>
        </is>
      </c>
      <c r="AA8" s="243" t="inlineStr">
        <is>
          <t>QCSP_001_GP-II_v.01</t>
        </is>
      </c>
      <c r="AB8" s="252" t="inlineStr">
        <is>
          <t>for review — replaces the issued QCSP_001_GP-II_v.01 (was GP_THC26 : CBD1, 25.40 – 26.60 %); now GP_THC24 : CBD1 22.00 – 25.99 %</t>
        </is>
      </c>
      <c r="AC8" s="246" t="inlineStr"/>
    </row>
    <row r="9">
      <c r="A9" s="243">
        <f>IF(OR(C9="yes",C9="allocated",C9="ruled"),COUNT(A$1:A8)+1,"")</f>
        <v/>
      </c>
      <c r="B9" s="244">
        <f>IF(A9&lt;&gt;"","CoQ-PP_26-"&amp;TEXT(A9,"000"),"— at issue —")</f>
        <v/>
      </c>
      <c r="C9" s="249" t="inlineStr">
        <is>
          <t>yes</t>
        </is>
      </c>
      <c r="D9" s="245">
        <f>IF(OR(A9="",C9="allocated",C9="ruled"),"",MAX(E9,IF(ISNUMBER(I9),I9,0),IFERROR(IF(ISNUMBER(INDEX('iCoA Register'!$F:$F,MATCH(S9,'iCoA Register'!$AA:$AA,0))),INDEX('iCoA Register'!$F:$F,MATCH(S9,'iCoA Register'!$AA:$AA,0)),0),0)))</f>
        <v/>
      </c>
      <c r="E9" s="245">
        <f>IF(ISNUMBER(F9),MAX(DATE(2026,6,6),F9+7),DATE(2026,6,6))</f>
        <v/>
      </c>
      <c r="F9" s="245" t="n">
        <v>45807</v>
      </c>
      <c r="G9" s="243" t="inlineStr">
        <is>
          <t>2472-2025</t>
        </is>
      </c>
      <c r="H9" s="243">
        <f>IFERROR(INDEX('iCoA Register'!$B:$B,MATCH("P050012|I",'iCoA Register'!$AA:$AA,0)),"—")</f>
        <v/>
      </c>
      <c r="I9" s="245">
        <f>IFERROR(INDEX('iCoA Register'!$D:$D,MATCH("P050012|I",'iCoA Register'!$AA:$AA,0)),"")</f>
        <v/>
      </c>
      <c r="J9" s="243" t="inlineStr">
        <is>
          <t>legacy</t>
        </is>
      </c>
      <c r="K9" s="243" t="inlineStr">
        <is>
          <t>initial release</t>
        </is>
      </c>
      <c r="L9" s="244" t="inlineStr">
        <is>
          <t>GG1024_02</t>
        </is>
      </c>
      <c r="M9" s="243" t="inlineStr">
        <is>
          <t>P050012</t>
        </is>
      </c>
      <c r="N9" s="243" t="inlineStr">
        <is>
          <t>Gorilla Glue</t>
        </is>
      </c>
      <c r="O9" s="243" t="inlineStr">
        <is>
          <t>ППК25140, (22.05.2025) [CNP]</t>
        </is>
      </c>
      <c r="P9" s="248" t="inlineStr">
        <is>
          <t>—</t>
        </is>
      </c>
      <c r="Q9" s="243" t="inlineStr">
        <is>
          <t>—</t>
        </is>
      </c>
      <c r="R9" s="243" t="inlineStr">
        <is>
          <t>(assigned on issue)</t>
        </is>
      </c>
      <c r="S9" s="243" t="inlineStr">
        <is>
          <t>P050012|I</t>
        </is>
      </c>
      <c r="T9" s="250" t="inlineStr">
        <is>
          <t>registered — legacy series, issued 06.06.2026</t>
        </is>
      </c>
      <c r="U9" s="243" t="inlineStr">
        <is>
          <t>n/a — initial certificate</t>
        </is>
      </c>
      <c r="V9" s="251" t="n">
        <v>15.95</v>
      </c>
      <c r="W9" s="243" t="inlineStr">
        <is>
          <t>ППК25140</t>
        </is>
      </c>
      <c r="X9" s="243" t="inlineStr">
        <is>
          <t>15.00 ± 1.23 (II)</t>
        </is>
      </c>
      <c r="Y9" s="243" t="inlineStr">
        <is>
          <t>13.77 – 16.22 %</t>
        </is>
      </c>
      <c r="Z9" s="243" t="inlineStr">
        <is>
          <t>GG_THC15 : CBD1</t>
        </is>
      </c>
      <c r="AA9" s="243" t="inlineStr">
        <is>
          <t>QCSP_001_GG-II_v.01</t>
        </is>
      </c>
      <c r="AB9" s="252" t="inlineStr">
        <is>
          <t>for review — replaces the issued QCSP_001_GG-II_v.01 (was GG_THC16 : CBD1, 15.00 – 17.00 %); now GG_THC15 : CBD1 13.77 – 16.22 %</t>
        </is>
      </c>
      <c r="AC9" s="246" t="inlineStr"/>
    </row>
    <row r="10">
      <c r="A10" s="243">
        <f>IF(OR(C10="yes",C10="allocated",C10="ruled"),COUNT(A$1:A9)+1,"")</f>
        <v/>
      </c>
      <c r="B10" s="244">
        <f>IF(A10&lt;&gt;"","CoQ-PP_26-"&amp;TEXT(A10,"000"),"— at issue —")</f>
        <v/>
      </c>
      <c r="C10" s="249" t="inlineStr">
        <is>
          <t>yes</t>
        </is>
      </c>
      <c r="D10" s="245">
        <f>IF(OR(A10="",C10="allocated",C10="ruled"),"",MAX(E10,IF(ISNUMBER(I10),I10,0),IFERROR(IF(ISNUMBER(INDEX('iCoA Register'!$F:$F,MATCH(S10,'iCoA Register'!$AA:$AA,0))),INDEX('iCoA Register'!$F:$F,MATCH(S10,'iCoA Register'!$AA:$AA,0)),0),0)))</f>
        <v/>
      </c>
      <c r="E10" s="245">
        <f>IF(ISNUMBER(F10),MAX(DATE(2026,6,6),F10+7),DATE(2026,6,6))</f>
        <v/>
      </c>
      <c r="F10" s="245" t="n">
        <v>45784</v>
      </c>
      <c r="G10" s="243" t="inlineStr">
        <is>
          <t>2157-2025</t>
        </is>
      </c>
      <c r="H10" s="243">
        <f>IFERROR(INDEX('iCoA Register'!$B:$B,MATCH("P050032|I",'iCoA Register'!$AA:$AA,0)),"—")</f>
        <v/>
      </c>
      <c r="I10" s="245">
        <f>IFERROR(INDEX('iCoA Register'!$D:$D,MATCH("P050032|I",'iCoA Register'!$AA:$AA,0)),"")</f>
        <v/>
      </c>
      <c r="J10" s="243" t="inlineStr">
        <is>
          <t>legacy</t>
        </is>
      </c>
      <c r="K10" s="243" t="inlineStr">
        <is>
          <t>initial release</t>
        </is>
      </c>
      <c r="L10" s="244" t="inlineStr">
        <is>
          <t>MB0824_04</t>
        </is>
      </c>
      <c r="M10" s="243" t="inlineStr">
        <is>
          <t>P050032</t>
        </is>
      </c>
      <c r="N10" s="243" t="inlineStr">
        <is>
          <t>Motor Breath</t>
        </is>
      </c>
      <c r="O10" s="243" t="inlineStr">
        <is>
          <t>ППК25118, (06.05.2025) [CNP]</t>
        </is>
      </c>
      <c r="P10" s="248" t="inlineStr">
        <is>
          <t>—</t>
        </is>
      </c>
      <c r="Q10" s="243" t="inlineStr">
        <is>
          <t>—</t>
        </is>
      </c>
      <c r="R10" s="243" t="inlineStr">
        <is>
          <t>(assigned on issue)</t>
        </is>
      </c>
      <c r="S10" s="243" t="inlineStr">
        <is>
          <t>P050032|I</t>
        </is>
      </c>
      <c r="T10" s="250" t="inlineStr">
        <is>
          <t>registered — legacy series, issued 06.06.2026</t>
        </is>
      </c>
      <c r="U10" s="243" t="inlineStr">
        <is>
          <t>n/a — initial certificate</t>
        </is>
      </c>
      <c r="V10" s="251" t="n">
        <v>18.67</v>
      </c>
      <c r="W10" s="243" t="inlineStr">
        <is>
          <t>ППК25118</t>
        </is>
      </c>
      <c r="X10" s="243" t="inlineStr">
        <is>
          <t>18.00 ± 1.80 (I)</t>
        </is>
      </c>
      <c r="Y10" s="243" t="inlineStr">
        <is>
          <t>16.20 – 19.79 %</t>
        </is>
      </c>
      <c r="Z10" s="243" t="inlineStr">
        <is>
          <t>MB_THC18 : CBD1</t>
        </is>
      </c>
      <c r="AA10" s="243" t="inlineStr">
        <is>
          <t>QCSP_001_MB-I_v.01</t>
        </is>
      </c>
      <c r="AB10" s="252" t="inlineStr">
        <is>
          <t>for review — replaces the issued QCSP_001_MB-I_v.01 (was MB_THC18 : CBD1, 16.20 – 19.80 %); now MB_THC18 : CBD1 16.20 – 19.79 %</t>
        </is>
      </c>
      <c r="AC10" s="246" t="inlineStr"/>
    </row>
    <row r="11">
      <c r="A11" s="243">
        <f>IF(OR(C11="yes",C11="allocated",C11="ruled"),COUNT(A$1:A10)+1,"")</f>
        <v/>
      </c>
      <c r="B11" s="244">
        <f>IF(A11&lt;&gt;"","CoQ-PP_26-"&amp;TEXT(A11,"000"),"— at issue —")</f>
        <v/>
      </c>
      <c r="C11" s="249" t="inlineStr">
        <is>
          <t>yes</t>
        </is>
      </c>
      <c r="D11" s="245">
        <f>IF(OR(A11="",C11="allocated",C11="ruled"),"",MAX(E11,IF(ISNUMBER(I11),I11,0),IFERROR(IF(ISNUMBER(INDEX('iCoA Register'!$F:$F,MATCH(S11,'iCoA Register'!$AA:$AA,0))),INDEX('iCoA Register'!$F:$F,MATCH(S11,'iCoA Register'!$AA:$AA,0)),0),0)))</f>
        <v/>
      </c>
      <c r="E11" s="245">
        <f>IF(ISNUMBER(F11),MAX(DATE(2026,6,6),F11+7),DATE(2026,6,6))</f>
        <v/>
      </c>
      <c r="F11" s="245" t="n">
        <v>45784</v>
      </c>
      <c r="G11" s="243" t="inlineStr">
        <is>
          <t>2156-2025</t>
        </is>
      </c>
      <c r="H11" s="243">
        <f>IFERROR(INDEX('iCoA Register'!$B:$B,MATCH("P050042|I",'iCoA Register'!$AA:$AA,0)),"—")</f>
        <v/>
      </c>
      <c r="I11" s="245">
        <f>IFERROR(INDEX('iCoA Register'!$D:$D,MATCH("P050042|I",'iCoA Register'!$AA:$AA,0)),"")</f>
        <v/>
      </c>
      <c r="J11" s="243" t="inlineStr">
        <is>
          <t>legacy</t>
        </is>
      </c>
      <c r="K11" s="243" t="inlineStr">
        <is>
          <t>initial release</t>
        </is>
      </c>
      <c r="L11" s="244" t="inlineStr">
        <is>
          <t>OMP1024_01</t>
        </is>
      </c>
      <c r="M11" s="243" t="inlineStr">
        <is>
          <t>P050042</t>
        </is>
      </c>
      <c r="N11" s="243" t="inlineStr">
        <is>
          <t>Orange Punch Mimosa</t>
        </is>
      </c>
      <c r="O11" s="243" t="inlineStr">
        <is>
          <t>ППК25117, (06.05.2025) [CNP]</t>
        </is>
      </c>
      <c r="P11" s="248" t="inlineStr">
        <is>
          <t>—</t>
        </is>
      </c>
      <c r="Q11" s="243" t="inlineStr">
        <is>
          <t>—</t>
        </is>
      </c>
      <c r="R11" s="243" t="inlineStr">
        <is>
          <t>CoQ-PP-2025-0007</t>
        </is>
      </c>
      <c r="S11" s="243" t="inlineStr">
        <is>
          <t>P050042|I</t>
        </is>
      </c>
      <c r="T11" s="250" t="inlineStr">
        <is>
          <t>registered — legacy series, issued 06.06.2026</t>
        </is>
      </c>
      <c r="U11" s="243" t="inlineStr">
        <is>
          <t>n/a — initial certificate</t>
        </is>
      </c>
      <c r="V11" s="251" t="n">
        <v>15.38</v>
      </c>
      <c r="W11" s="243" t="inlineStr">
        <is>
          <t>ППК25117</t>
        </is>
      </c>
      <c r="X11" s="243" t="inlineStr">
        <is>
          <t>14.00 ± 1.40 (III)</t>
        </is>
      </c>
      <c r="Y11" s="243" t="inlineStr">
        <is>
          <t>12.60 – 15.39 %</t>
        </is>
      </c>
      <c r="Z11" s="243" t="inlineStr">
        <is>
          <t>OPM_THC14 : CBD1</t>
        </is>
      </c>
      <c r="AA11" s="243" t="inlineStr">
        <is>
          <t>QCSP_001_OPM-III_v.01</t>
        </is>
      </c>
      <c r="AB11" s="246" t="inlineStr">
        <is>
          <t>for review — new</t>
        </is>
      </c>
      <c r="AC11" s="246" t="inlineStr"/>
    </row>
    <row r="12">
      <c r="A12" s="243">
        <f>IF(OR(C12="yes",C12="allocated",C12="ruled"),COUNT(A$1:A11)+1,"")</f>
        <v/>
      </c>
      <c r="B12" s="244">
        <f>IF(A12&lt;&gt;"","CoQ-PP_26-"&amp;TEXT(A12,"000"),"— at issue —")</f>
        <v/>
      </c>
      <c r="C12" s="249" t="inlineStr">
        <is>
          <t>yes</t>
        </is>
      </c>
      <c r="D12" s="245">
        <f>IF(OR(A12="",C12="allocated",C12="ruled"),"",MAX(E12,IF(ISNUMBER(I12),I12,0),IFERROR(IF(ISNUMBER(INDEX('iCoA Register'!$F:$F,MATCH(S12,'iCoA Register'!$AA:$AA,0))),INDEX('iCoA Register'!$F:$F,MATCH(S12,'iCoA Register'!$AA:$AA,0)),0),0)))</f>
        <v/>
      </c>
      <c r="E12" s="245">
        <f>IF(ISNUMBER(F12),MAX(DATE(2026,6,6),F12+7),DATE(2026,6,6))</f>
        <v/>
      </c>
      <c r="F12" s="245" t="n">
        <v>45832</v>
      </c>
      <c r="G12" s="243" t="inlineStr">
        <is>
          <t>ППК25155</t>
        </is>
      </c>
      <c r="H12" s="243">
        <f>IFERROR(INDEX('iCoA Register'!$B:$B,MATCH("P050052|I",'iCoA Register'!$AA:$AA,0)),"—")</f>
        <v/>
      </c>
      <c r="I12" s="245">
        <f>IFERROR(INDEX('iCoA Register'!$D:$D,MATCH("P050052|I",'iCoA Register'!$AA:$AA,0)),"")</f>
        <v/>
      </c>
      <c r="J12" s="243" t="inlineStr">
        <is>
          <t>legacy</t>
        </is>
      </c>
      <c r="K12" s="243" t="inlineStr">
        <is>
          <t>initial release</t>
        </is>
      </c>
      <c r="L12" s="244" t="inlineStr">
        <is>
          <t>HPA1024_01</t>
        </is>
      </c>
      <c r="M12" s="243" t="inlineStr">
        <is>
          <t>P050052</t>
        </is>
      </c>
      <c r="N12" s="243" t="inlineStr">
        <is>
          <t>High Pro Amnesia</t>
        </is>
      </c>
      <c r="O12" s="243" t="inlineStr">
        <is>
          <t>ППК25155, (24.06.2025) [CNP]</t>
        </is>
      </c>
      <c r="P12" s="248" t="inlineStr">
        <is>
          <t>—</t>
        </is>
      </c>
      <c r="Q12" s="243" t="inlineStr">
        <is>
          <t>—</t>
        </is>
      </c>
      <c r="R12" s="243" t="inlineStr">
        <is>
          <t>CoQ-PP-2025-0008</t>
        </is>
      </c>
      <c r="S12" s="243" t="inlineStr">
        <is>
          <t>P050052|I</t>
        </is>
      </c>
      <c r="T12" s="250" t="inlineStr">
        <is>
          <t>registered — legacy series, issued 06.06.2026</t>
        </is>
      </c>
      <c r="U12" s="243" t="inlineStr">
        <is>
          <t>n/a — initial certificate</t>
        </is>
      </c>
      <c r="V12" s="251" t="n">
        <v>22.43</v>
      </c>
      <c r="W12" s="243" t="inlineStr">
        <is>
          <t>ППК25155</t>
        </is>
      </c>
      <c r="X12" s="243" t="inlineStr">
        <is>
          <t>22.00 ± 2.20 (I)</t>
        </is>
      </c>
      <c r="Y12" s="243" t="inlineStr">
        <is>
          <t>19.80 – 24.19 %</t>
        </is>
      </c>
      <c r="Z12" s="243" t="inlineStr">
        <is>
          <t>HPA_THC22 : CBD1</t>
        </is>
      </c>
      <c r="AA12" s="243" t="inlineStr">
        <is>
          <t>QCSP_001_HPA-I_v.01</t>
        </is>
      </c>
      <c r="AB12" s="252" t="inlineStr">
        <is>
          <t>for review — replaces the issued QCSP_001_HPA-I_v.01 (was HPA_THC22 : CBD1, 21.00 – 23.00 %); now HPA_THC22 : CBD1 19.80 – 24.19 %</t>
        </is>
      </c>
      <c r="AC12" s="246" t="inlineStr"/>
    </row>
    <row r="13">
      <c r="A13" s="243">
        <f>IF(OR(C13="yes",C13="allocated",C13="ruled"),COUNT(A$1:A12)+1,"")</f>
        <v/>
      </c>
      <c r="B13" s="244">
        <f>IF(A13&lt;&gt;"","CoQ-PP_26-"&amp;TEXT(A13,"000"),"— at issue —")</f>
        <v/>
      </c>
      <c r="C13" s="249" t="inlineStr">
        <is>
          <t>yes</t>
        </is>
      </c>
      <c r="D13" s="245">
        <f>IF(OR(A13="",C13="allocated",C13="ruled"),"",MAX(E13,IF(ISNUMBER(I13),I13,0),IFERROR(IF(ISNUMBER(INDEX('iCoA Register'!$F:$F,MATCH(S13,'iCoA Register'!$AA:$AA,0))),INDEX('iCoA Register'!$F:$F,MATCH(S13,'iCoA Register'!$AA:$AA,0)),0),0)))</f>
        <v/>
      </c>
      <c r="E13" s="245">
        <f>IF(ISNUMBER(F13),MAX(DATE(2026,6,6),F13+7),DATE(2026,6,6))</f>
        <v/>
      </c>
      <c r="F13" s="245" t="n">
        <v>45832</v>
      </c>
      <c r="G13" s="243" t="inlineStr">
        <is>
          <t>ППК25154</t>
        </is>
      </c>
      <c r="H13" s="243">
        <f>IFERROR(INDEX('iCoA Register'!$B:$B,MATCH("P050062|I",'iCoA Register'!$AA:$AA,0)),"—")</f>
        <v/>
      </c>
      <c r="I13" s="245">
        <f>IFERROR(INDEX('iCoA Register'!$D:$D,MATCH("P050062|I",'iCoA Register'!$AA:$AA,0)),"")</f>
        <v/>
      </c>
      <c r="J13" s="243" t="inlineStr">
        <is>
          <t>legacy</t>
        </is>
      </c>
      <c r="K13" s="243" t="inlineStr">
        <is>
          <t>initial release</t>
        </is>
      </c>
      <c r="L13" s="244" t="inlineStr">
        <is>
          <t>OPM1024_02</t>
        </is>
      </c>
      <c r="M13" s="243" t="inlineStr">
        <is>
          <t>P050062</t>
        </is>
      </c>
      <c r="N13" s="243" t="inlineStr">
        <is>
          <t>Orange Punch Mimosa</t>
        </is>
      </c>
      <c r="O13" s="243" t="inlineStr">
        <is>
          <t>ППК25154, (24.06.2025) [CNP]</t>
        </is>
      </c>
      <c r="P13" s="248" t="inlineStr">
        <is>
          <t>—</t>
        </is>
      </c>
      <c r="Q13" s="243" t="inlineStr">
        <is>
          <t>—</t>
        </is>
      </c>
      <c r="R13" s="243" t="inlineStr">
        <is>
          <t>CoQ-PP-2025-0009</t>
        </is>
      </c>
      <c r="S13" s="243" t="inlineStr">
        <is>
          <t>P050062|I</t>
        </is>
      </c>
      <c r="T13" s="250" t="inlineStr">
        <is>
          <t>registered — legacy series, issued 06.06.2026</t>
        </is>
      </c>
      <c r="U13" s="243" t="inlineStr">
        <is>
          <t>n/a — initial certificate</t>
        </is>
      </c>
      <c r="V13" s="251" t="n">
        <v>18.27</v>
      </c>
      <c r="W13" s="243" t="inlineStr">
        <is>
          <t>ППК25154</t>
        </is>
      </c>
      <c r="X13" s="243" t="inlineStr">
        <is>
          <t>17.00 ± 1.60 (II)</t>
        </is>
      </c>
      <c r="Y13" s="243" t="inlineStr">
        <is>
          <t>15.40 – 18.59 %</t>
        </is>
      </c>
      <c r="Z13" s="243" t="inlineStr">
        <is>
          <t>OPM_THC17 : CBD1</t>
        </is>
      </c>
      <c r="AA13" s="243" t="inlineStr">
        <is>
          <t>QCSP_001_OPM-II_v.01</t>
        </is>
      </c>
      <c r="AB13" s="252" t="inlineStr">
        <is>
          <t>for review — replaces the issued QCSP_001_OPM-II_v.01 (was OPM_THC18 : CBD1, 16.20 – 19.80 %); now OPM_THC17 : CBD1 15.40 – 18.59 %</t>
        </is>
      </c>
      <c r="AC13" s="246" t="inlineStr"/>
    </row>
    <row r="14">
      <c r="A14" s="243">
        <f>IF(OR(C14="yes",C14="allocated",C14="ruled"),COUNT(A$1:A13)+1,"")</f>
        <v/>
      </c>
      <c r="B14" s="244">
        <f>IF(A14&lt;&gt;"","CoQ-PP_26-"&amp;TEXT(A14,"000"),"— at issue —")</f>
        <v/>
      </c>
      <c r="C14" s="249" t="inlineStr">
        <is>
          <t>yes</t>
        </is>
      </c>
      <c r="D14" s="245">
        <f>IF(OR(A14="",C14="allocated",C14="ruled"),"",MAX(E14,IF(ISNUMBER(I14),I14,0),IFERROR(IF(ISNUMBER(INDEX('iCoA Register'!$F:$F,MATCH(S14,'iCoA Register'!$AA:$AA,0))),INDEX('iCoA Register'!$F:$F,MATCH(S14,'iCoA Register'!$AA:$AA,0)),0),0)))</f>
        <v/>
      </c>
      <c r="E14" s="245">
        <f>IF(ISNUMBER(F14),MAX(DATE(2026,6,6),F14+7),DATE(2026,6,6))</f>
        <v/>
      </c>
      <c r="F14" s="245" t="n">
        <v>45848</v>
      </c>
      <c r="G14" s="243" t="inlineStr">
        <is>
          <t>ППК25175</t>
        </is>
      </c>
      <c r="H14" s="243">
        <f>IFERROR(INDEX('iCoA Register'!$B:$B,MATCH("P050072|I",'iCoA Register'!$AA:$AA,0)),"—")</f>
        <v/>
      </c>
      <c r="I14" s="245">
        <f>IFERROR(INDEX('iCoA Register'!$D:$D,MATCH("P050072|I",'iCoA Register'!$AA:$AA,0)),"")</f>
        <v/>
      </c>
      <c r="J14" s="243" t="inlineStr">
        <is>
          <t>legacy</t>
        </is>
      </c>
      <c r="K14" s="243" t="inlineStr">
        <is>
          <t>initial release</t>
        </is>
      </c>
      <c r="L14" s="244" t="inlineStr">
        <is>
          <t>GP0824_03</t>
        </is>
      </c>
      <c r="M14" s="243" t="inlineStr">
        <is>
          <t>P050072</t>
        </is>
      </c>
      <c r="N14" s="243" t="inlineStr">
        <is>
          <t>Grape Pie</t>
        </is>
      </c>
      <c r="O14" s="243" t="inlineStr">
        <is>
          <t>ППК25175, (10.07.2025) [CNP]</t>
        </is>
      </c>
      <c r="P14" s="248" t="inlineStr">
        <is>
          <t>—</t>
        </is>
      </c>
      <c r="Q14" s="243" t="inlineStr">
        <is>
          <t>—</t>
        </is>
      </c>
      <c r="R14" s="243" t="inlineStr">
        <is>
          <t>CoQ-PP-2025-0010</t>
        </is>
      </c>
      <c r="S14" s="243" t="inlineStr">
        <is>
          <t>P050072|I</t>
        </is>
      </c>
      <c r="T14" s="250" t="inlineStr">
        <is>
          <t>registered — legacy series, issued 06.06.2026</t>
        </is>
      </c>
      <c r="U14" s="243" t="inlineStr">
        <is>
          <t>n/a — initial certificate</t>
        </is>
      </c>
      <c r="V14" s="251" t="n">
        <v>25.45</v>
      </c>
      <c r="W14" s="243" t="inlineStr">
        <is>
          <t>ППК25175</t>
        </is>
      </c>
      <c r="X14" s="243" t="inlineStr">
        <is>
          <t>24.00 ± 2.00 (II)</t>
        </is>
      </c>
      <c r="Y14" s="243" t="inlineStr">
        <is>
          <t>22.00 – 25.99 %</t>
        </is>
      </c>
      <c r="Z14" s="243" t="inlineStr">
        <is>
          <t>GP_THC24 : CBD1</t>
        </is>
      </c>
      <c r="AA14" s="243" t="inlineStr">
        <is>
          <t>QCSP_001_GP-II_v.01</t>
        </is>
      </c>
      <c r="AB14" s="252" t="inlineStr">
        <is>
          <t>for review — replaces the issued QCSP_001_GP-II_v.01 (was GP_THC26 : CBD1, 25.40 – 26.60 %); now GP_THC24 : CBD1 22.00 – 25.99 %</t>
        </is>
      </c>
      <c r="AC14" s="246" t="inlineStr"/>
    </row>
    <row r="15">
      <c r="A15" s="243">
        <f>IF(OR(C15="yes",C15="allocated",C15="ruled"),COUNT(A$1:A14)+1,"")</f>
        <v/>
      </c>
      <c r="B15" s="244">
        <f>IF(A15&lt;&gt;"","CoQ-PP_26-"&amp;TEXT(A15,"000"),"— at issue —")</f>
        <v/>
      </c>
      <c r="C15" s="249" t="inlineStr">
        <is>
          <t>yes</t>
        </is>
      </c>
      <c r="D15" s="245">
        <f>IF(OR(A15="",C15="allocated",C15="ruled"),"",MAX(E15,IF(ISNUMBER(I15),I15,0),IFERROR(IF(ISNUMBER(INDEX('iCoA Register'!$F:$F,MATCH(S15,'iCoA Register'!$AA:$AA,0))),INDEX('iCoA Register'!$F:$F,MATCH(S15,'iCoA Register'!$AA:$AA,0)),0),0)))</f>
        <v/>
      </c>
      <c r="E15" s="245">
        <f>IF(ISNUMBER(F15),MAX(DATE(2026,6,6),F15+7),DATE(2026,6,6))</f>
        <v/>
      </c>
      <c r="F15" s="245" t="n">
        <v>45867</v>
      </c>
      <c r="G15" s="243" t="inlineStr">
        <is>
          <t>766-1375-25</t>
        </is>
      </c>
      <c r="H15" s="243">
        <f>IFERROR(INDEX('iCoA Register'!$B:$B,MATCH("P050082|I",'iCoA Register'!$AA:$AA,0)),"—")</f>
        <v/>
      </c>
      <c r="I15" s="245">
        <f>IFERROR(INDEX('iCoA Register'!$D:$D,MATCH("P050082|I",'iCoA Register'!$AA:$AA,0)),"")</f>
        <v/>
      </c>
      <c r="J15" s="243" t="inlineStr">
        <is>
          <t>legacy</t>
        </is>
      </c>
      <c r="K15" s="243" t="inlineStr">
        <is>
          <t>initial release</t>
        </is>
      </c>
      <c r="L15" s="244" t="inlineStr">
        <is>
          <t>OPM1024_03</t>
        </is>
      </c>
      <c r="M15" s="243" t="inlineStr">
        <is>
          <t>P050082</t>
        </is>
      </c>
      <c r="N15" s="243" t="inlineStr">
        <is>
          <t>Orange Punch Mimosa</t>
        </is>
      </c>
      <c r="O15" s="243" t="inlineStr">
        <is>
          <t>ППК25210, (28.07.2025) [CNP]</t>
        </is>
      </c>
      <c r="P15" s="248" t="inlineStr">
        <is>
          <t>—</t>
        </is>
      </c>
      <c r="Q15" s="243" t="inlineStr">
        <is>
          <t>—</t>
        </is>
      </c>
      <c r="R15" s="243" t="inlineStr">
        <is>
          <t>CoQ-PP-2025-0011</t>
        </is>
      </c>
      <c r="S15" s="243" t="inlineStr">
        <is>
          <t>P050082|I</t>
        </is>
      </c>
      <c r="T15" s="250" t="inlineStr">
        <is>
          <t>registered — legacy series, issued 06.06.2026</t>
        </is>
      </c>
      <c r="U15" s="243" t="inlineStr">
        <is>
          <t>n/a — initial certificate</t>
        </is>
      </c>
      <c r="V15" s="251" t="n">
        <v>16.55</v>
      </c>
      <c r="W15" s="243" t="inlineStr">
        <is>
          <t>ППК25210</t>
        </is>
      </c>
      <c r="X15" s="243" t="inlineStr">
        <is>
          <t>17.00 ± 1.60 (II)</t>
        </is>
      </c>
      <c r="Y15" s="243" t="inlineStr">
        <is>
          <t>15.40 – 18.59 %</t>
        </is>
      </c>
      <c r="Z15" s="243" t="inlineStr">
        <is>
          <t>OPM_THC17 : CBD1</t>
        </is>
      </c>
      <c r="AA15" s="243" t="inlineStr">
        <is>
          <t>QCSP_001_OPM-II_v.01</t>
        </is>
      </c>
      <c r="AB15" s="252" t="inlineStr">
        <is>
          <t>for review — replaces the issued QCSP_001_OPM-II_v.01 (was OPM_THC18 : CBD1, 16.20 – 19.80 %); now OPM_THC17 : CBD1 15.40 – 18.59 %</t>
        </is>
      </c>
      <c r="AC15" s="246" t="inlineStr"/>
    </row>
    <row r="16">
      <c r="A16" s="243">
        <f>IF(OR(C16="yes",C16="allocated",C16="ruled"),COUNT(A$1:A15)+1,"")</f>
        <v/>
      </c>
      <c r="B16" s="244">
        <f>IF(A16&lt;&gt;"","CoQ-PP_26-"&amp;TEXT(A16,"000"),"— at issue —")</f>
        <v/>
      </c>
      <c r="C16" s="249" t="inlineStr">
        <is>
          <t>yes</t>
        </is>
      </c>
      <c r="D16" s="245">
        <f>IF(OR(A16="",C16="allocated",C16="ruled"),"",MAX(E16,IF(ISNUMBER(I16),I16,0),IFERROR(IF(ISNUMBER(INDEX('iCoA Register'!$F:$F,MATCH(S16,'iCoA Register'!$AA:$AA,0))),INDEX('iCoA Register'!$F:$F,MATCH(S16,'iCoA Register'!$AA:$AA,0)),0),0)))</f>
        <v/>
      </c>
      <c r="E16" s="245">
        <f>IF(ISNUMBER(F16),MAX(DATE(2026,6,6),F16+7),DATE(2026,6,6))</f>
        <v/>
      </c>
      <c r="F16" s="245" t="n">
        <v>45764</v>
      </c>
      <c r="G16" s="243" t="inlineStr">
        <is>
          <t>ППК25104</t>
        </is>
      </c>
      <c r="H16" s="243">
        <f>IFERROR(INDEX('iCoA Register'!$B:$B,MATCH("P050092|I",'iCoA Register'!$AA:$AA,0)),"—")</f>
        <v/>
      </c>
      <c r="I16" s="245">
        <f>IFERROR(INDEX('iCoA Register'!$D:$D,MATCH("P050092|I",'iCoA Register'!$AA:$AA,0)),"")</f>
        <v/>
      </c>
      <c r="J16" s="243" t="inlineStr">
        <is>
          <t>legacy</t>
        </is>
      </c>
      <c r="K16" s="243" t="inlineStr">
        <is>
          <t>initial release</t>
        </is>
      </c>
      <c r="L16" s="244" t="inlineStr">
        <is>
          <t>GG1024_01</t>
        </is>
      </c>
      <c r="M16" s="243" t="inlineStr">
        <is>
          <t>P050092</t>
        </is>
      </c>
      <c r="N16" s="243" t="inlineStr">
        <is>
          <t>Gorilla Glue</t>
        </is>
      </c>
      <c r="O16" s="243" t="inlineStr">
        <is>
          <t>ППК25104, (17.04.2025) [CNP]</t>
        </is>
      </c>
      <c r="P16" s="248" t="inlineStr">
        <is>
          <t>—</t>
        </is>
      </c>
      <c r="Q16" s="243" t="inlineStr">
        <is>
          <t>—</t>
        </is>
      </c>
      <c r="R16" s="243" t="inlineStr">
        <is>
          <t>CoQ-PP-2025-0012</t>
        </is>
      </c>
      <c r="S16" s="243" t="inlineStr">
        <is>
          <t>P050092|I</t>
        </is>
      </c>
      <c r="T16" s="250" t="inlineStr">
        <is>
          <t>registered — legacy series, issued 06.06.2026</t>
        </is>
      </c>
      <c r="U16" s="243" t="inlineStr">
        <is>
          <t>n/a — initial certificate</t>
        </is>
      </c>
      <c r="V16" s="251" t="n">
        <v>17.22</v>
      </c>
      <c r="W16" s="243" t="inlineStr">
        <is>
          <t>ППК25104</t>
        </is>
      </c>
      <c r="X16" s="243" t="inlineStr">
        <is>
          <t>18.00 ± 1.77 (I)</t>
        </is>
      </c>
      <c r="Y16" s="243" t="inlineStr">
        <is>
          <t>16.23 – 19.76 %</t>
        </is>
      </c>
      <c r="Z16" s="243" t="inlineStr">
        <is>
          <t>GG_THC18 : CBD1</t>
        </is>
      </c>
      <c r="AA16" s="243" t="inlineStr">
        <is>
          <t>QCSP_001_GG-I_v.01</t>
        </is>
      </c>
      <c r="AB16" s="252" t="inlineStr">
        <is>
          <t>for review — replaces the issued QCSP_001_GG-I_v.01 (was GG_THC18 : CBD1, 17.01 – 18.99 %); now GG_THC18 : CBD1 16.23 – 19.76 %</t>
        </is>
      </c>
      <c r="AC16" s="246" t="inlineStr"/>
    </row>
    <row r="17">
      <c r="A17" s="243">
        <f>IF(OR(C17="yes",C17="allocated",C17="ruled"),COUNT(A$1:A16)+1,"")</f>
        <v/>
      </c>
      <c r="B17" s="244">
        <f>IF(A17&lt;&gt;"","CoQ-PP_26-"&amp;TEXT(A17,"000"),"— at issue —")</f>
        <v/>
      </c>
      <c r="C17" s="249" t="inlineStr">
        <is>
          <t>yes</t>
        </is>
      </c>
      <c r="D17" s="245">
        <f>IF(OR(A17="",C17="allocated",C17="ruled"),"",MAX(E17,IF(ISNUMBER(I17),I17,0),IFERROR(IF(ISNUMBER(INDEX('iCoA Register'!$F:$F,MATCH(S17,'iCoA Register'!$AA:$AA,0))),INDEX('iCoA Register'!$F:$F,MATCH(S17,'iCoA Register'!$AA:$AA,0)),0),0)))</f>
        <v/>
      </c>
      <c r="E17" s="245">
        <f>IF(ISNUMBER(F17),MAX(DATE(2026,6,6),F17+7),DATE(2026,6,6))</f>
        <v/>
      </c>
      <c r="F17" s="245" t="n">
        <v>45764</v>
      </c>
      <c r="G17" s="243" t="inlineStr">
        <is>
          <t>ППК25105</t>
        </is>
      </c>
      <c r="H17" s="243">
        <f>IFERROR(INDEX('iCoA Register'!$B:$B,MATCH("P050102|I",'iCoA Register'!$AA:$AA,0)),"—")</f>
        <v/>
      </c>
      <c r="I17" s="245">
        <f>IFERROR(INDEX('iCoA Register'!$D:$D,MATCH("P050102|I",'iCoA Register'!$AA:$AA,0)),"")</f>
        <v/>
      </c>
      <c r="J17" s="243" t="inlineStr">
        <is>
          <t>legacy</t>
        </is>
      </c>
      <c r="K17" s="243" t="inlineStr">
        <is>
          <t>initial release</t>
        </is>
      </c>
      <c r="L17" s="244" t="inlineStr">
        <is>
          <t>GP0824_01</t>
        </is>
      </c>
      <c r="M17" s="243" t="inlineStr">
        <is>
          <t>P050102</t>
        </is>
      </c>
      <c r="N17" s="243" t="inlineStr">
        <is>
          <t>Grape Pie</t>
        </is>
      </c>
      <c r="O17" s="243" t="inlineStr">
        <is>
          <t>ППК25105, (17.04.2025) [CNP]</t>
        </is>
      </c>
      <c r="P17" s="248" t="inlineStr">
        <is>
          <t>—</t>
        </is>
      </c>
      <c r="Q17" s="243" t="inlineStr">
        <is>
          <t>—</t>
        </is>
      </c>
      <c r="R17" s="243" t="inlineStr">
        <is>
          <t>(assigned on issue)</t>
        </is>
      </c>
      <c r="S17" s="243" t="inlineStr">
        <is>
          <t>P050102|I</t>
        </is>
      </c>
      <c r="T17" s="250" t="inlineStr">
        <is>
          <t>registered — legacy series, issued 06.06.2026</t>
        </is>
      </c>
      <c r="U17" s="243" t="inlineStr">
        <is>
          <t>n/a — initial certificate</t>
        </is>
      </c>
      <c r="V17" s="251" t="n">
        <v>20.79</v>
      </c>
      <c r="W17" s="243" t="inlineStr">
        <is>
          <t>ППК25105</t>
        </is>
      </c>
      <c r="X17" s="243" t="inlineStr">
        <is>
          <t>20.00 ± 2.00 (III)</t>
        </is>
      </c>
      <c r="Y17" s="243" t="inlineStr">
        <is>
          <t>18.00 – 21.99 %</t>
        </is>
      </c>
      <c r="Z17" s="243" t="inlineStr">
        <is>
          <t>GP_THC20 : CBD1</t>
        </is>
      </c>
      <c r="AA17" s="243" t="inlineStr">
        <is>
          <t>QCSP_001_GP-III_v.01</t>
        </is>
      </c>
      <c r="AB17" s="252" t="inlineStr">
        <is>
          <t>for review — replaces the issued QCSP_001_GP-III_v.01 (was GP_THC24 : CBD1, 22.61 – 25.39 %); now GP_THC20 : CBD1 18.00 – 21.99 %</t>
        </is>
      </c>
      <c r="AC17" s="246" t="inlineStr"/>
    </row>
    <row r="18">
      <c r="A18" s="243">
        <f>IF(OR(C18="yes",C18="allocated",C18="ruled"),COUNT(A$1:A17)+1,"")</f>
        <v/>
      </c>
      <c r="B18" s="244">
        <f>IF(A18&lt;&gt;"","CoQ-PP_26-"&amp;TEXT(A18,"000"),"— at issue —")</f>
        <v/>
      </c>
      <c r="C18" s="249" t="inlineStr">
        <is>
          <t>yes</t>
        </is>
      </c>
      <c r="D18" s="245">
        <f>IF(OR(A18="",C18="allocated",C18="ruled"),"",MAX(E18,IF(ISNUMBER(I18),I18,0),IFERROR(IF(ISNUMBER(INDEX('iCoA Register'!$F:$F,MATCH(S18,'iCoA Register'!$AA:$AA,0))),INDEX('iCoA Register'!$F:$F,MATCH(S18,'iCoA Register'!$AA:$AA,0)),0),0)))</f>
        <v/>
      </c>
      <c r="E18" s="245">
        <f>IF(ISNUMBER(F18),MAX(DATE(2026,6,6),F18+7),DATE(2026,6,6))</f>
        <v/>
      </c>
      <c r="F18" s="245" t="n">
        <v>45867</v>
      </c>
      <c r="G18" s="243" t="inlineStr">
        <is>
          <t>767-1376-25</t>
        </is>
      </c>
      <c r="H18" s="243">
        <f>IFERROR(INDEX('iCoA Register'!$B:$B,MATCH("P050112|I",'iCoA Register'!$AA:$AA,0)),"—")</f>
        <v/>
      </c>
      <c r="I18" s="245">
        <f>IFERROR(INDEX('iCoA Register'!$D:$D,MATCH("P050112|I",'iCoA Register'!$AA:$AA,0)),"")</f>
        <v/>
      </c>
      <c r="J18" s="243" t="inlineStr">
        <is>
          <t>legacy</t>
        </is>
      </c>
      <c r="K18" s="243" t="inlineStr">
        <is>
          <t>initial release</t>
        </is>
      </c>
      <c r="L18" s="244" t="inlineStr">
        <is>
          <t>MB0824_05</t>
        </is>
      </c>
      <c r="M18" s="243" t="inlineStr">
        <is>
          <t>P050112</t>
        </is>
      </c>
      <c r="N18" s="243" t="inlineStr">
        <is>
          <t>Motor Breath</t>
        </is>
      </c>
      <c r="O18" s="243" t="inlineStr">
        <is>
          <t>ППК25211, (28.07.2025) [CNP]</t>
        </is>
      </c>
      <c r="P18" s="248" t="inlineStr">
        <is>
          <t>—</t>
        </is>
      </c>
      <c r="Q18" s="243" t="inlineStr">
        <is>
          <t>—</t>
        </is>
      </c>
      <c r="R18" s="243" t="inlineStr">
        <is>
          <t>CoQ-PP-2025-0013</t>
        </is>
      </c>
      <c r="S18" s="243" t="inlineStr">
        <is>
          <t>P050112|I</t>
        </is>
      </c>
      <c r="T18" s="250" t="inlineStr">
        <is>
          <t>registered — legacy series, issued 06.06.2026</t>
        </is>
      </c>
      <c r="U18" s="243" t="inlineStr">
        <is>
          <t>n/a — initial certificate</t>
        </is>
      </c>
      <c r="V18" s="251" t="n">
        <v>16.82</v>
      </c>
      <c r="W18" s="243" t="inlineStr">
        <is>
          <t>ППК25211</t>
        </is>
      </c>
      <c r="X18" s="243" t="inlineStr">
        <is>
          <t>18.00 ± 1.80 (I)</t>
        </is>
      </c>
      <c r="Y18" s="243" t="inlineStr">
        <is>
          <t>16.20 – 19.79 %</t>
        </is>
      </c>
      <c r="Z18" s="243" t="inlineStr">
        <is>
          <t>MB_THC18 : CBD1</t>
        </is>
      </c>
      <c r="AA18" s="243" t="inlineStr">
        <is>
          <t>QCSP_001_MB-I_v.01</t>
        </is>
      </c>
      <c r="AB18" s="252" t="inlineStr">
        <is>
          <t>for review — replaces the issued QCSP_001_MB-I_v.01 (was MB_THC18 : CBD1, 16.20 – 19.80 %); now MB_THC18 : CBD1 16.20 – 19.79 %</t>
        </is>
      </c>
      <c r="AC18" s="246" t="inlineStr"/>
    </row>
    <row r="19">
      <c r="A19" s="243">
        <f>IF(OR(C19="yes",C19="allocated",C19="ruled"),COUNT(A$1:A18)+1,"")</f>
        <v/>
      </c>
      <c r="B19" s="244">
        <f>IF(A19&lt;&gt;"","CoQ-PP_26-"&amp;TEXT(A19,"000"),"— at issue —")</f>
        <v/>
      </c>
      <c r="C19" s="249" t="inlineStr">
        <is>
          <t>yes</t>
        </is>
      </c>
      <c r="D19" s="245">
        <f>IF(OR(A19="",C19="allocated",C19="ruled"),"",MAX(E19,IF(ISNUMBER(I19),I19,0),IFERROR(IF(ISNUMBER(INDEX('iCoA Register'!$F:$F,MATCH(S19,'iCoA Register'!$AA:$AA,0))),INDEX('iCoA Register'!$F:$F,MATCH(S19,'iCoA Register'!$AA:$AA,0)),0),0)))</f>
        <v/>
      </c>
      <c r="E19" s="245">
        <f>IF(ISNUMBER(F19),MAX(DATE(2026,6,6),F19+7),DATE(2026,6,6))</f>
        <v/>
      </c>
      <c r="F19" s="245" t="n">
        <v>45848</v>
      </c>
      <c r="G19" s="243" t="inlineStr">
        <is>
          <t>ППК25176</t>
        </is>
      </c>
      <c r="H19" s="243">
        <f>IFERROR(INDEX('iCoA Register'!$B:$B,MATCH("P050122|I",'iCoA Register'!$AA:$AA,0)),"—")</f>
        <v/>
      </c>
      <c r="I19" s="245">
        <f>IFERROR(INDEX('iCoA Register'!$D:$D,MATCH("P050122|I",'iCoA Register'!$AA:$AA,0)),"")</f>
        <v/>
      </c>
      <c r="J19" s="243" t="inlineStr">
        <is>
          <t>legacy</t>
        </is>
      </c>
      <c r="K19" s="243" t="inlineStr">
        <is>
          <t>initial release</t>
        </is>
      </c>
      <c r="L19" s="244" t="inlineStr">
        <is>
          <t>BSS1024_01/1</t>
        </is>
      </c>
      <c r="M19" s="243" t="inlineStr">
        <is>
          <t>P050122</t>
        </is>
      </c>
      <c r="N19" s="243" t="inlineStr">
        <is>
          <t>Blue Sunset Sherbet</t>
        </is>
      </c>
      <c r="O19" s="243" t="inlineStr">
        <is>
          <t>ППК25176, (10.07.2025) [CNP]</t>
        </is>
      </c>
      <c r="P19" s="248" t="inlineStr">
        <is>
          <t>—</t>
        </is>
      </c>
      <c r="Q19" s="243" t="inlineStr">
        <is>
          <t>—</t>
        </is>
      </c>
      <c r="R19" s="243" t="inlineStr">
        <is>
          <t>(assigned on issue)</t>
        </is>
      </c>
      <c r="S19" s="243" t="inlineStr">
        <is>
          <t>P050122|I</t>
        </is>
      </c>
      <c r="T19" s="250" t="inlineStr">
        <is>
          <t>registered — legacy series, issued 06.06.2026</t>
        </is>
      </c>
      <c r="U19" s="243" t="inlineStr">
        <is>
          <t>n/a — initial certificate</t>
        </is>
      </c>
      <c r="V19" s="251" t="n">
        <v>23.42</v>
      </c>
      <c r="W19" s="243" t="inlineStr">
        <is>
          <t>ППК25176</t>
        </is>
      </c>
      <c r="X19" s="243" t="inlineStr">
        <is>
          <t>24.00 ± 2.11 (II)</t>
        </is>
      </c>
      <c r="Y19" s="243" t="inlineStr">
        <is>
          <t>21.89 – 26.10 %</t>
        </is>
      </c>
      <c r="Z19" s="243" t="inlineStr">
        <is>
          <t>BSS_THC24 : CBD1</t>
        </is>
      </c>
      <c r="AA19" s="243" t="inlineStr">
        <is>
          <t>QCSP_001_BSS-II_v.01</t>
        </is>
      </c>
      <c r="AB19" s="252" t="inlineStr">
        <is>
          <t>for review — replaces the issued QCSP_001_BSS-II_v.01 (was BSS_THC20 : CBD1, 18.00 – 22.00 %); now BSS_THC24 : CBD1 21.89 – 26.10 %</t>
        </is>
      </c>
      <c r="AC19" s="246" t="inlineStr"/>
    </row>
    <row r="20">
      <c r="A20" s="243">
        <f>IF(OR(C20="yes",C20="allocated",C20="ruled"),COUNT(A$1:A19)+1,"")</f>
        <v/>
      </c>
      <c r="B20" s="244">
        <f>IF(A20&lt;&gt;"","CoQ-PP_26-"&amp;TEXT(A20,"000"),"— at issue —")</f>
        <v/>
      </c>
      <c r="C20" s="249" t="inlineStr">
        <is>
          <t>yes</t>
        </is>
      </c>
      <c r="D20" s="245">
        <f>IF(OR(A20="",C20="allocated",C20="ruled"),"",MAX(E20,IF(ISNUMBER(I20),I20,0),IFERROR(IF(ISNUMBER(INDEX('iCoA Register'!$F:$F,MATCH(S20,'iCoA Register'!$AA:$AA,0))),INDEX('iCoA Register'!$F:$F,MATCH(S20,'iCoA Register'!$AA:$AA,0)),0),0)))</f>
        <v/>
      </c>
      <c r="E20" s="245">
        <f>IF(ISNUMBER(F20),MAX(DATE(2026,6,6),F20+7),DATE(2026,6,6))</f>
        <v/>
      </c>
      <c r="F20" s="245" t="n">
        <v>45905</v>
      </c>
      <c r="G20" s="243" t="inlineStr">
        <is>
          <t>ППК25257</t>
        </is>
      </c>
      <c r="H20" s="243">
        <f>IFERROR(INDEX('iCoA Register'!$B:$B,MATCH("P050132|I",'iCoA Register'!$AA:$AA,0)),"—")</f>
        <v/>
      </c>
      <c r="I20" s="245">
        <f>IFERROR(INDEX('iCoA Register'!$D:$D,MATCH("P050132|I",'iCoA Register'!$AA:$AA,0)),"")</f>
        <v/>
      </c>
      <c r="J20" s="243" t="inlineStr">
        <is>
          <t>legacy</t>
        </is>
      </c>
      <c r="K20" s="243" t="inlineStr">
        <is>
          <t>initial release</t>
        </is>
      </c>
      <c r="L20" s="244" t="inlineStr">
        <is>
          <t>OPM052501</t>
        </is>
      </c>
      <c r="M20" s="243" t="inlineStr">
        <is>
          <t>P050132</t>
        </is>
      </c>
      <c r="N20" s="243" t="inlineStr">
        <is>
          <t>Orange Punch Mimosa</t>
        </is>
      </c>
      <c r="O20" s="243" t="inlineStr">
        <is>
          <t>ППК25257, (05.09.2025) [CNP]</t>
        </is>
      </c>
      <c r="P20" s="248" t="inlineStr">
        <is>
          <t>—</t>
        </is>
      </c>
      <c r="Q20" s="243" t="inlineStr">
        <is>
          <t>—</t>
        </is>
      </c>
      <c r="R20" s="243" t="inlineStr">
        <is>
          <t>(assigned on issue)</t>
        </is>
      </c>
      <c r="S20" s="243" t="inlineStr">
        <is>
          <t>P050132|I</t>
        </is>
      </c>
      <c r="T20" s="250" t="inlineStr">
        <is>
          <t>registered — legacy series, issued 06.06.2026</t>
        </is>
      </c>
      <c r="U20" s="243" t="inlineStr">
        <is>
          <t>n/a — initial certificate</t>
        </is>
      </c>
      <c r="V20" s="251" t="n">
        <v>14.16</v>
      </c>
      <c r="W20" s="243" t="inlineStr">
        <is>
          <t>ППК25257</t>
        </is>
      </c>
      <c r="X20" s="243" t="inlineStr">
        <is>
          <t>14.00 ± 1.40 (III)</t>
        </is>
      </c>
      <c r="Y20" s="243" t="inlineStr">
        <is>
          <t>12.60 – 15.39 %</t>
        </is>
      </c>
      <c r="Z20" s="243" t="inlineStr">
        <is>
          <t>OPM_THC14 : CBD1</t>
        </is>
      </c>
      <c r="AA20" s="243" t="inlineStr">
        <is>
          <t>QCSP_001_OPM-III_v.01</t>
        </is>
      </c>
      <c r="AB20" s="246" t="inlineStr">
        <is>
          <t>for review — new</t>
        </is>
      </c>
      <c r="AC20" s="246" t="inlineStr"/>
    </row>
    <row r="21">
      <c r="A21" s="243">
        <f>IF(OR(C21="yes",C21="allocated",C21="ruled"),COUNT(A$1:A20)+1,"")</f>
        <v/>
      </c>
      <c r="B21" s="244">
        <f>IF(A21&lt;&gt;"","CoQ-PP_26-"&amp;TEXT(A21,"000"),"— at issue —")</f>
        <v/>
      </c>
      <c r="C21" s="249" t="inlineStr">
        <is>
          <t>yes</t>
        </is>
      </c>
      <c r="D21" s="245">
        <f>IF(OR(A21="",C21="allocated",C21="ruled"),"",MAX(E21,IF(ISNUMBER(I21),I21,0),IFERROR(IF(ISNUMBER(INDEX('iCoA Register'!$F:$F,MATCH(S21,'iCoA Register'!$AA:$AA,0))),INDEX('iCoA Register'!$F:$F,MATCH(S21,'iCoA Register'!$AA:$AA,0)),0),0)))</f>
        <v/>
      </c>
      <c r="E21" s="245">
        <f>IF(ISNUMBER(F21),MAX(DATE(2026,6,6),F21+7),DATE(2026,6,6))</f>
        <v/>
      </c>
      <c r="F21" s="245" t="n">
        <v>45919</v>
      </c>
      <c r="G21" s="243" t="inlineStr">
        <is>
          <t>ППК25279</t>
        </is>
      </c>
      <c r="H21" s="243">
        <f>IFERROR(INDEX('iCoA Register'!$B:$B,MATCH("P050152|I",'iCoA Register'!$AA:$AA,0)),"—")</f>
        <v/>
      </c>
      <c r="I21" s="245">
        <f>IFERROR(INDEX('iCoA Register'!$D:$D,MATCH("P050152|I",'iCoA Register'!$AA:$AA,0)),"")</f>
        <v/>
      </c>
      <c r="J21" s="243" t="inlineStr">
        <is>
          <t>legacy</t>
        </is>
      </c>
      <c r="K21" s="243" t="inlineStr">
        <is>
          <t>initial release</t>
        </is>
      </c>
      <c r="L21" s="244" t="inlineStr">
        <is>
          <t>GP052501</t>
        </is>
      </c>
      <c r="M21" s="243" t="inlineStr">
        <is>
          <t>P050152</t>
        </is>
      </c>
      <c r="N21" s="243" t="inlineStr">
        <is>
          <t>Grape Pie</t>
        </is>
      </c>
      <c r="O21" s="243" t="inlineStr">
        <is>
          <t>ППК25279, (19.09.2025) [CNP]</t>
        </is>
      </c>
      <c r="P21" s="248" t="inlineStr">
        <is>
          <t>—</t>
        </is>
      </c>
      <c r="Q21" s="243" t="inlineStr">
        <is>
          <t>—</t>
        </is>
      </c>
      <c r="R21" s="243" t="inlineStr">
        <is>
          <t>CoQ-PP-2025-0014</t>
        </is>
      </c>
      <c r="S21" s="243" t="inlineStr">
        <is>
          <t>P050152|I</t>
        </is>
      </c>
      <c r="T21" s="250" t="inlineStr">
        <is>
          <t>registered — legacy series, issued 06.06.2026</t>
        </is>
      </c>
      <c r="U21" s="243" t="inlineStr">
        <is>
          <t>n/a — initial certificate</t>
        </is>
      </c>
      <c r="V21" s="251" t="n">
        <v>18.98</v>
      </c>
      <c r="W21" s="243" t="inlineStr">
        <is>
          <t>ППК25279</t>
        </is>
      </c>
      <c r="X21" s="243" t="inlineStr">
        <is>
          <t>20.00 ± 2.00 (III)</t>
        </is>
      </c>
      <c r="Y21" s="243" t="inlineStr">
        <is>
          <t>18.00 – 21.99 %</t>
        </is>
      </c>
      <c r="Z21" s="243" t="inlineStr">
        <is>
          <t>GP_THC20 : CBD1</t>
        </is>
      </c>
      <c r="AA21" s="243" t="inlineStr">
        <is>
          <t>QCSP_001_GP-III_v.01</t>
        </is>
      </c>
      <c r="AB21" s="252" t="inlineStr">
        <is>
          <t>for review — replaces the issued QCSP_001_GP-III_v.01 (was GP_THC24 : CBD1, 22.61 – 25.39 %); now GP_THC20 : CBD1 18.00 – 21.99 %</t>
        </is>
      </c>
      <c r="AC21" s="246" t="inlineStr"/>
    </row>
    <row r="22">
      <c r="A22" s="243">
        <f>IF(OR(C22="yes",C22="allocated",C22="ruled"),COUNT(A$1:A21)+1,"")</f>
        <v/>
      </c>
      <c r="B22" s="244">
        <f>IF(A22&lt;&gt;"","CoQ-PP_26-"&amp;TEXT(A22,"000"),"— at issue —")</f>
        <v/>
      </c>
      <c r="C22" s="249" t="inlineStr">
        <is>
          <t>yes</t>
        </is>
      </c>
      <c r="D22" s="245">
        <f>IF(OR(A22="",C22="allocated",C22="ruled"),"",MAX(E22,IF(ISNUMBER(I22),I22,0),IFERROR(IF(ISNUMBER(INDEX('iCoA Register'!$F:$F,MATCH(S22,'iCoA Register'!$AA:$AA,0))),INDEX('iCoA Register'!$F:$F,MATCH(S22,'iCoA Register'!$AA:$AA,0)),0),0)))</f>
        <v/>
      </c>
      <c r="E22" s="245">
        <f>IF(ISNUMBER(F22),MAX(DATE(2026,6,6),F22+7),DATE(2026,6,6))</f>
        <v/>
      </c>
      <c r="F22" s="245" t="inlineStr">
        <is>
          <t>—</t>
        </is>
      </c>
      <c r="G22" s="243" t="inlineStr">
        <is>
          <t>—</t>
        </is>
      </c>
      <c r="H22" s="243">
        <f>IFERROR(INDEX('iCoA Register'!$B:$B,MATCH("P050142|I",'iCoA Register'!$AA:$AA,0)),"—")</f>
        <v/>
      </c>
      <c r="I22" s="245">
        <f>IFERROR(INDEX('iCoA Register'!$D:$D,MATCH("P050142|I",'iCoA Register'!$AA:$AA,0)),"")</f>
        <v/>
      </c>
      <c r="J22" s="243" t="inlineStr">
        <is>
          <t>legacy</t>
        </is>
      </c>
      <c r="K22" s="243" t="inlineStr">
        <is>
          <t>initial release</t>
        </is>
      </c>
      <c r="L22" s="244" t="inlineStr">
        <is>
          <t>BSS1024_01/2</t>
        </is>
      </c>
      <c r="M22" s="243" t="inlineStr">
        <is>
          <t>P050142</t>
        </is>
      </c>
      <c r="N22" s="243" t="inlineStr">
        <is>
          <t>Blue Sunset Sherbet</t>
        </is>
      </c>
      <c r="O22" s="248" t="inlineStr">
        <is>
          <t>— no cannabinoid certificate from the initial testing —</t>
        </is>
      </c>
      <c r="P22" s="248" t="inlineStr">
        <is>
          <t>—</t>
        </is>
      </c>
      <c r="Q22" s="243" t="inlineStr">
        <is>
          <t>—</t>
        </is>
      </c>
      <c r="R22" s="243" t="inlineStr">
        <is>
          <t>(assigned on issue)</t>
        </is>
      </c>
      <c r="S22" s="243" t="inlineStr">
        <is>
          <t>P050142|I</t>
        </is>
      </c>
      <c r="T22" s="250" t="inlineStr">
        <is>
          <t>registered — legacy series, issued 06.06.2026 · initial certificate to locate: #3 (CNP), #4 (CNP), #5 (CNP), #6 (CNP), #8 (CNP), #9 (IJZ), #10 (CNP), #11 (CNP), #12 (CNP)</t>
        </is>
      </c>
      <c r="U22" s="243" t="inlineStr">
        <is>
          <t>n/a — initial certificate</t>
        </is>
      </c>
      <c r="V22" s="243" t="inlineStr">
        <is>
          <t>—</t>
        </is>
      </c>
      <c r="W22" s="243" t="inlineStr">
        <is>
          <t>—</t>
        </is>
      </c>
      <c r="X22" s="243" t="inlineStr">
        <is>
          <t>—</t>
        </is>
      </c>
      <c r="Y22" s="243" t="inlineStr">
        <is>
          <t>—</t>
        </is>
      </c>
      <c r="Z22" s="243" t="inlineStr">
        <is>
          <t>—</t>
        </is>
      </c>
      <c r="AA22" s="243" t="inlineStr">
        <is>
          <t>—</t>
        </is>
      </c>
      <c r="AB22" s="246" t="inlineStr">
        <is>
          <t>—</t>
        </is>
      </c>
      <c r="AC22" s="252" t="inlineStr">
        <is>
          <t>no Total THC result on this certificate</t>
        </is>
      </c>
    </row>
    <row r="23">
      <c r="A23" s="243">
        <f>IF(OR(C23="yes",C23="allocated",C23="ruled"),COUNT(A$1:A22)+1,"")</f>
        <v/>
      </c>
      <c r="B23" s="244">
        <f>IF(A23&lt;&gt;"","CoQ-PP_26-"&amp;TEXT(A23,"000"),"— at issue —")</f>
        <v/>
      </c>
      <c r="C23" s="249" t="inlineStr">
        <is>
          <t>yes</t>
        </is>
      </c>
      <c r="D23" s="245">
        <f>IF(OR(A23="",C23="allocated",C23="ruled"),"",MAX(E23,IF(ISNUMBER(I23),I23,0),IFERROR(IF(ISNUMBER(INDEX('iCoA Register'!$F:$F,MATCH(S23,'iCoA Register'!$AA:$AA,0))),INDEX('iCoA Register'!$F:$F,MATCH(S23,'iCoA Register'!$AA:$AA,0)),0),0)))</f>
        <v/>
      </c>
      <c r="E23" s="245">
        <f>IF(ISNUMBER(F23),MAX(DATE(2026,6,6),F23+7),DATE(2026,6,6))</f>
        <v/>
      </c>
      <c r="F23" s="245" t="n">
        <v>45917</v>
      </c>
      <c r="G23" s="243" t="inlineStr">
        <is>
          <t>ППК25280</t>
        </is>
      </c>
      <c r="H23" s="243">
        <f>IFERROR(INDEX('iCoA Register'!$B:$B,MATCH("P050162|I",'iCoA Register'!$AA:$AA,0)),"—")</f>
        <v/>
      </c>
      <c r="I23" s="245">
        <f>IFERROR(INDEX('iCoA Register'!$D:$D,MATCH("P050162|I",'iCoA Register'!$AA:$AA,0)),"")</f>
        <v/>
      </c>
      <c r="J23" s="243" t="inlineStr">
        <is>
          <t>legacy</t>
        </is>
      </c>
      <c r="K23" s="243" t="inlineStr">
        <is>
          <t>initial release</t>
        </is>
      </c>
      <c r="L23" s="244" t="inlineStr">
        <is>
          <t>CJ052501/01</t>
        </is>
      </c>
      <c r="M23" s="243" t="inlineStr">
        <is>
          <t>P050162</t>
        </is>
      </c>
      <c r="N23" s="243" t="inlineStr">
        <is>
          <t>Cap Junky</t>
        </is>
      </c>
      <c r="O23" s="243" t="inlineStr">
        <is>
          <t>ППК25280, (17.09.2025) [CNP]</t>
        </is>
      </c>
      <c r="P23" s="248" t="inlineStr">
        <is>
          <t>—</t>
        </is>
      </c>
      <c r="Q23" s="243" t="inlineStr">
        <is>
          <t>—</t>
        </is>
      </c>
      <c r="R23" s="243" t="inlineStr">
        <is>
          <t>CoQ-PP-2025-0015</t>
        </is>
      </c>
      <c r="S23" s="243" t="inlineStr">
        <is>
          <t>P050162|I</t>
        </is>
      </c>
      <c r="T23" s="250" t="inlineStr">
        <is>
          <t>registered — legacy series, issued 06.06.2026</t>
        </is>
      </c>
      <c r="U23" s="243" t="inlineStr">
        <is>
          <t>n/a — initial certificate</t>
        </is>
      </c>
      <c r="V23" s="251" t="n">
        <v>20.29</v>
      </c>
      <c r="W23" s="243" t="inlineStr">
        <is>
          <t>ППК25280</t>
        </is>
      </c>
      <c r="X23" s="243" t="inlineStr">
        <is>
          <t>20.00 ± 1.60 (III)</t>
        </is>
      </c>
      <c r="Y23" s="243" t="inlineStr">
        <is>
          <t>18.40 – 21.59 %</t>
        </is>
      </c>
      <c r="Z23" s="243" t="inlineStr">
        <is>
          <t>CJ_THC20 : CBD1</t>
        </is>
      </c>
      <c r="AA23" s="243" t="inlineStr">
        <is>
          <t>QCSP_001_CJ-III_v.01</t>
        </is>
      </c>
      <c r="AB23" s="252" t="inlineStr">
        <is>
          <t>for review — replaces the issued QCSP_001_CJ-III_v.01 (was CJ_THC24 : CBD1, 23.00 – 25.00 %); now CJ_THC20 : CBD1 18.40 – 21.59 %</t>
        </is>
      </c>
      <c r="AC23" s="246" t="inlineStr"/>
    </row>
    <row r="24">
      <c r="A24" s="243">
        <f>IF(OR(C24="yes",C24="allocated",C24="ruled"),COUNT(A$1:A23)+1,"")</f>
        <v/>
      </c>
      <c r="B24" s="244">
        <f>IF(A24&lt;&gt;"","CoQ-PP_26-"&amp;TEXT(A24,"000"),"— at issue —")</f>
        <v/>
      </c>
      <c r="C24" s="249" t="inlineStr">
        <is>
          <t>yes</t>
        </is>
      </c>
      <c r="D24" s="245">
        <f>IF(OR(A24="",C24="allocated",C24="ruled"),"",MAX(E24,IF(ISNUMBER(I24),I24,0),IFERROR(IF(ISNUMBER(INDEX('iCoA Register'!$F:$F,MATCH(S24,'iCoA Register'!$AA:$AA,0))),INDEX('iCoA Register'!$F:$F,MATCH(S24,'iCoA Register'!$AA:$AA,0)),0),0)))</f>
        <v/>
      </c>
      <c r="E24" s="245">
        <f>IF(ISNUMBER(F24),MAX(DATE(2026,6,6),F24+7),DATE(2026,6,6))</f>
        <v/>
      </c>
      <c r="F24" s="245" t="n">
        <v>45917</v>
      </c>
      <c r="G24" s="243" t="inlineStr">
        <is>
          <t>ППК25281</t>
        </is>
      </c>
      <c r="H24" s="243">
        <f>IFERROR(INDEX('iCoA Register'!$B:$B,MATCH("P050172|I",'iCoA Register'!$AA:$AA,0)),"—")</f>
        <v/>
      </c>
      <c r="I24" s="245">
        <f>IFERROR(INDEX('iCoA Register'!$D:$D,MATCH("P050172|I",'iCoA Register'!$AA:$AA,0)),"")</f>
        <v/>
      </c>
      <c r="J24" s="243" t="inlineStr">
        <is>
          <t>legacy</t>
        </is>
      </c>
      <c r="K24" s="243" t="inlineStr">
        <is>
          <t>initial release</t>
        </is>
      </c>
      <c r="L24" s="244" t="inlineStr">
        <is>
          <t>CJ052501/02</t>
        </is>
      </c>
      <c r="M24" s="243" t="inlineStr">
        <is>
          <t>P050172</t>
        </is>
      </c>
      <c r="N24" s="243" t="inlineStr">
        <is>
          <t>Cap Junky</t>
        </is>
      </c>
      <c r="O24" s="243" t="inlineStr">
        <is>
          <t>ППК25281, (17.09.2025) [CNP]</t>
        </is>
      </c>
      <c r="P24" s="248" t="inlineStr">
        <is>
          <t>—</t>
        </is>
      </c>
      <c r="Q24" s="243" t="inlineStr">
        <is>
          <t>—</t>
        </is>
      </c>
      <c r="R24" s="243" t="inlineStr">
        <is>
          <t>(assigned on issue)</t>
        </is>
      </c>
      <c r="S24" s="243" t="inlineStr">
        <is>
          <t>P050172|I</t>
        </is>
      </c>
      <c r="T24" s="250" t="inlineStr">
        <is>
          <t>registered — legacy series, issued 06.06.2026</t>
        </is>
      </c>
      <c r="U24" s="243" t="inlineStr">
        <is>
          <t>n/a — initial certificate</t>
        </is>
      </c>
      <c r="V24" s="251" t="n">
        <v>14.93</v>
      </c>
      <c r="W24" s="243" t="inlineStr">
        <is>
          <t>ППК25281</t>
        </is>
      </c>
      <c r="X24" s="243" t="inlineStr">
        <is>
          <t>14.00 ± 1.40 (V)</t>
        </is>
      </c>
      <c r="Y24" s="243" t="inlineStr">
        <is>
          <t>12.60 – 15.39 %</t>
        </is>
      </c>
      <c r="Z24" s="243" t="inlineStr">
        <is>
          <t>CJ_THC14 : CBD1</t>
        </is>
      </c>
      <c r="AA24" s="243" t="inlineStr">
        <is>
          <t>QCSP_001_CJ-V_v.01</t>
        </is>
      </c>
      <c r="AB24" s="246" t="inlineStr">
        <is>
          <t>for review — new</t>
        </is>
      </c>
      <c r="AC24" s="246" t="inlineStr"/>
    </row>
    <row r="25">
      <c r="A25" s="243">
        <f>IF(OR(C25="yes",C25="allocated",C25="ruled"),COUNT(A$1:A24)+1,"")</f>
        <v/>
      </c>
      <c r="B25" s="244">
        <f>IF(A25&lt;&gt;"","CoQ-PP_26-"&amp;TEXT(A25,"000"),"— at issue —")</f>
        <v/>
      </c>
      <c r="C25" s="249" t="inlineStr">
        <is>
          <t>yes</t>
        </is>
      </c>
      <c r="D25" s="245">
        <f>IF(OR(A25="",C25="allocated",C25="ruled"),"",MAX(E25,IF(ISNUMBER(I25),I25,0),IFERROR(IF(ISNUMBER(INDEX('iCoA Register'!$F:$F,MATCH(S25,'iCoA Register'!$AA:$AA,0))),INDEX('iCoA Register'!$F:$F,MATCH(S25,'iCoA Register'!$AA:$AA,0)),0),0)))</f>
        <v/>
      </c>
      <c r="E25" s="245">
        <f>IF(ISNUMBER(F25),MAX(DATE(2026,6,6),F25+7),DATE(2026,6,6))</f>
        <v/>
      </c>
      <c r="F25" s="245" t="n">
        <v>45919</v>
      </c>
      <c r="G25" s="243" t="inlineStr">
        <is>
          <t>ППК25278</t>
        </is>
      </c>
      <c r="H25" s="243">
        <f>IFERROR(INDEX('iCoA Register'!$B:$B,MATCH("P050182|I",'iCoA Register'!$AA:$AA,0)),"—")</f>
        <v/>
      </c>
      <c r="I25" s="245">
        <f>IFERROR(INDEX('iCoA Register'!$D:$D,MATCH("P050182|I",'iCoA Register'!$AA:$AA,0)),"")</f>
        <v/>
      </c>
      <c r="J25" s="243" t="inlineStr">
        <is>
          <t>legacy</t>
        </is>
      </c>
      <c r="K25" s="243" t="inlineStr">
        <is>
          <t>initial release</t>
        </is>
      </c>
      <c r="L25" s="244" t="inlineStr">
        <is>
          <t>HPA052501</t>
        </is>
      </c>
      <c r="M25" s="243" t="inlineStr">
        <is>
          <t>P050182</t>
        </is>
      </c>
      <c r="N25" s="243" t="inlineStr">
        <is>
          <t>High Pro Amnesia</t>
        </is>
      </c>
      <c r="O25" s="243" t="inlineStr">
        <is>
          <t>ППК25278, (19.09.2025) [CNP]</t>
        </is>
      </c>
      <c r="P25" s="248" t="inlineStr">
        <is>
          <t>—</t>
        </is>
      </c>
      <c r="Q25" s="243" t="inlineStr">
        <is>
          <t>—</t>
        </is>
      </c>
      <c r="R25" s="243" t="inlineStr">
        <is>
          <t>CoQ-PP-2025-0016</t>
        </is>
      </c>
      <c r="S25" s="243" t="inlineStr">
        <is>
          <t>P050182|I</t>
        </is>
      </c>
      <c r="T25" s="250" t="inlineStr">
        <is>
          <t>registered — legacy series, issued 06.06.2026</t>
        </is>
      </c>
      <c r="U25" s="243" t="inlineStr">
        <is>
          <t>n/a — initial certificate</t>
        </is>
      </c>
      <c r="V25" s="251" t="n">
        <v>20.39</v>
      </c>
      <c r="W25" s="243" t="inlineStr">
        <is>
          <t>ППК25278</t>
        </is>
      </c>
      <c r="X25" s="243" t="inlineStr">
        <is>
          <t>22.00 ± 2.20 (I)</t>
        </is>
      </c>
      <c r="Y25" s="243" t="inlineStr">
        <is>
          <t>19.80 – 24.19 %</t>
        </is>
      </c>
      <c r="Z25" s="243" t="inlineStr">
        <is>
          <t>HPA_THC22 : CBD1</t>
        </is>
      </c>
      <c r="AA25" s="243" t="inlineStr">
        <is>
          <t>QCSP_001_HPA-I_v.01</t>
        </is>
      </c>
      <c r="AB25" s="252" t="inlineStr">
        <is>
          <t>for review — replaces the issued QCSP_001_HPA-I_v.01 (was HPA_THC22 : CBD1, 21.00 – 23.00 %); now HPA_THC22 : CBD1 19.80 – 24.19 %</t>
        </is>
      </c>
      <c r="AC25" s="246" t="inlineStr"/>
    </row>
    <row r="26">
      <c r="A26" s="243">
        <f>IF(OR(C26="yes",C26="allocated",C26="ruled"),COUNT(A$1:A25)+1,"")</f>
        <v/>
      </c>
      <c r="B26" s="244">
        <f>IF(A26&lt;&gt;"","CoQ-PP_26-"&amp;TEXT(A26,"000"),"— at issue —")</f>
        <v/>
      </c>
      <c r="C26" s="249" t="inlineStr">
        <is>
          <t>yes</t>
        </is>
      </c>
      <c r="D26" s="245">
        <f>IF(OR(A26="",C26="allocated",C26="ruled"),"",MAX(E26,IF(ISNUMBER(I26),I26,0),IFERROR(IF(ISNUMBER(INDEX('iCoA Register'!$F:$F,MATCH(S26,'iCoA Register'!$AA:$AA,0))),INDEX('iCoA Register'!$F:$F,MATCH(S26,'iCoA Register'!$AA:$AA,0)),0),0)))</f>
        <v/>
      </c>
      <c r="E26" s="245">
        <f>IF(ISNUMBER(F26),MAX(DATE(2026,6,6),F26+7),DATE(2026,6,6))</f>
        <v/>
      </c>
      <c r="F26" s="245" t="n">
        <v>45992</v>
      </c>
      <c r="G26" s="243" t="inlineStr">
        <is>
          <t>5661-2025</t>
        </is>
      </c>
      <c r="H26" s="243">
        <f>IFERROR(INDEX('iCoA Register'!$B:$B,MATCH("P050192|I",'iCoA Register'!$AA:$AA,0)),"—")</f>
        <v/>
      </c>
      <c r="I26" s="245">
        <f>IFERROR(INDEX('iCoA Register'!$D:$D,MATCH("P050192|I",'iCoA Register'!$AA:$AA,0)),"")</f>
        <v/>
      </c>
      <c r="J26" s="243" t="inlineStr">
        <is>
          <t>legacy</t>
        </is>
      </c>
      <c r="K26" s="243" t="inlineStr">
        <is>
          <t>initial release</t>
        </is>
      </c>
      <c r="L26" s="244" t="inlineStr">
        <is>
          <t>BSS052501</t>
        </is>
      </c>
      <c r="M26" s="243" t="inlineStr">
        <is>
          <t>P050192</t>
        </is>
      </c>
      <c r="N26" s="243" t="inlineStr">
        <is>
          <t>Sleepy Joe</t>
        </is>
      </c>
      <c r="O26" s="243" t="inlineStr">
        <is>
          <t>NGP-QCG-SOP-024 F3, (28.11.2025) [NGP]</t>
        </is>
      </c>
      <c r="P26" s="248" t="inlineStr">
        <is>
          <t>—</t>
        </is>
      </c>
      <c r="Q26" s="243" t="inlineStr">
        <is>
          <t>PP CoA #017 of 04.12.2025</t>
        </is>
      </c>
      <c r="R26" s="243" t="inlineStr">
        <is>
          <t>CoQ-PP-2025-0017</t>
        </is>
      </c>
      <c r="S26" s="243" t="inlineStr">
        <is>
          <t>P050192|I</t>
        </is>
      </c>
      <c r="T26" s="250" t="inlineStr">
        <is>
          <t>registered — legacy series, issued 06.06.2026</t>
        </is>
      </c>
      <c r="U26" s="243" t="inlineStr">
        <is>
          <t>n/a — initial certificate</t>
        </is>
      </c>
      <c r="V26" s="251" t="n">
        <v>20.39</v>
      </c>
      <c r="W26" s="243" t="inlineStr">
        <is>
          <t>iCoA-PP_26-024</t>
        </is>
      </c>
      <c r="X26" s="243" t="inlineStr">
        <is>
          <t>20.00 ± 1.89 (III)</t>
        </is>
      </c>
      <c r="Y26" s="243" t="inlineStr">
        <is>
          <t>18.11 – 21.88 %</t>
        </is>
      </c>
      <c r="Z26" s="243" t="inlineStr">
        <is>
          <t>BSS_THC20 : CBD1</t>
        </is>
      </c>
      <c r="AA26" s="243" t="inlineStr">
        <is>
          <t>QCSP_001_BSS-III_v.01</t>
        </is>
      </c>
      <c r="AB26" s="246" t="inlineStr">
        <is>
          <t>for review — new</t>
        </is>
      </c>
      <c r="AC26" s="246" t="inlineStr"/>
    </row>
    <row r="27">
      <c r="A27" s="243">
        <f>IF(OR(C27="yes",C27="allocated",C27="ruled"),COUNT(A$1:A26)+1,"")</f>
        <v/>
      </c>
      <c r="B27" s="244">
        <f>IF(A27&lt;&gt;"","CoQ-PP_26-"&amp;TEXT(A27,"000"),"— at issue —")</f>
        <v/>
      </c>
      <c r="C27" s="249" t="inlineStr">
        <is>
          <t>yes</t>
        </is>
      </c>
      <c r="D27" s="245">
        <f>IF(OR(A27="",C27="allocated",C27="ruled"),"",MAX(E27,IF(ISNUMBER(I27),I27,0),IFERROR(IF(ISNUMBER(INDEX('iCoA Register'!$F:$F,MATCH(S27,'iCoA Register'!$AA:$AA,0))),INDEX('iCoA Register'!$F:$F,MATCH(S27,'iCoA Register'!$AA:$AA,0)),0),0)))</f>
        <v/>
      </c>
      <c r="E27" s="245">
        <f>IF(ISNUMBER(F27),MAX(DATE(2026,6,6),F27+7),DATE(2026,6,6))</f>
        <v/>
      </c>
      <c r="F27" s="245" t="n">
        <v>46086</v>
      </c>
      <c r="G27" s="243" t="inlineStr">
        <is>
          <t>ППК26036</t>
        </is>
      </c>
      <c r="H27" s="243">
        <f>IFERROR(INDEX('iCoA Register'!$B:$B,MATCH("P050202|I",'iCoA Register'!$AA:$AA,0)),"—")</f>
        <v/>
      </c>
      <c r="I27" s="245">
        <f>IFERROR(INDEX('iCoA Register'!$D:$D,MATCH("P050202|I",'iCoA Register'!$AA:$AA,0)),"")</f>
        <v/>
      </c>
      <c r="J27" s="243" t="inlineStr">
        <is>
          <t>legacy</t>
        </is>
      </c>
      <c r="K27" s="243" t="inlineStr">
        <is>
          <t>initial release</t>
        </is>
      </c>
      <c r="L27" s="244" t="inlineStr">
        <is>
          <t>GP062501</t>
        </is>
      </c>
      <c r="M27" s="243" t="inlineStr">
        <is>
          <t>P050202</t>
        </is>
      </c>
      <c r="N27" s="243" t="inlineStr">
        <is>
          <t>Grape Pie</t>
        </is>
      </c>
      <c r="O27" s="243" t="inlineStr">
        <is>
          <t>NGP-QCG-SOP-024 F3, (28.11.2025) [NGP]</t>
        </is>
      </c>
      <c r="P27" s="248" t="inlineStr">
        <is>
          <t>—</t>
        </is>
      </c>
      <c r="Q27" s="243" t="inlineStr">
        <is>
          <t>PP CoA #016 of 04.10.2025</t>
        </is>
      </c>
      <c r="R27" s="243" t="inlineStr">
        <is>
          <t>(assigned on issue)</t>
        </is>
      </c>
      <c r="S27" s="243" t="inlineStr">
        <is>
          <t>P050202|I</t>
        </is>
      </c>
      <c r="T27" s="250" t="inlineStr">
        <is>
          <t>registered — legacy series, issued 06.06.2026</t>
        </is>
      </c>
      <c r="U27" s="243" t="inlineStr">
        <is>
          <t>n/a — initial certificate</t>
        </is>
      </c>
      <c r="V27" s="251" t="n">
        <v>24.89</v>
      </c>
      <c r="W27" s="243" t="inlineStr">
        <is>
          <t>iCoA-PP_26-025</t>
        </is>
      </c>
      <c r="X27" s="243" t="inlineStr">
        <is>
          <t>24.00 ± 2.00 (II)</t>
        </is>
      </c>
      <c r="Y27" s="243" t="inlineStr">
        <is>
          <t>22.00 – 25.99 %</t>
        </is>
      </c>
      <c r="Z27" s="243" t="inlineStr">
        <is>
          <t>GP_THC24 : CBD1</t>
        </is>
      </c>
      <c r="AA27" s="243" t="inlineStr">
        <is>
          <t>QCSP_001_GP-II_v.01</t>
        </is>
      </c>
      <c r="AB27" s="252" t="inlineStr">
        <is>
          <t>for review — replaces the issued QCSP_001_GP-II_v.01 (was GP_THC26 : CBD1, 25.40 – 26.60 %); now GP_THC24 : CBD1 22.00 – 25.99 %</t>
        </is>
      </c>
      <c r="AC27" s="246" t="inlineStr"/>
    </row>
    <row r="28">
      <c r="A28" s="243">
        <f>IF(OR(C28="yes",C28="allocated",C28="ruled"),COUNT(A$1:A27)+1,"")</f>
        <v/>
      </c>
      <c r="B28" s="244">
        <f>IF(A28&lt;&gt;"","CoQ-PP_26-"&amp;TEXT(A28,"000"),"— at issue —")</f>
        <v/>
      </c>
      <c r="C28" s="249" t="inlineStr">
        <is>
          <t>yes</t>
        </is>
      </c>
      <c r="D28" s="245">
        <f>IF(OR(A28="",C28="allocated",C28="ruled"),"",MAX(E28,IF(ISNUMBER(I28),I28,0),IFERROR(IF(ISNUMBER(INDEX('iCoA Register'!$F:$F,MATCH(S28,'iCoA Register'!$AA:$AA,0))),INDEX('iCoA Register'!$F:$F,MATCH(S28,'iCoA Register'!$AA:$AA,0)),0),0)))</f>
        <v/>
      </c>
      <c r="E28" s="245">
        <f>IF(ISNUMBER(F28),MAX(DATE(2026,6,6),F28+7),DATE(2026,6,6))</f>
        <v/>
      </c>
      <c r="F28" s="245" t="n">
        <v>45954</v>
      </c>
      <c r="G28" s="243" t="inlineStr">
        <is>
          <t>4908-2025</t>
        </is>
      </c>
      <c r="H28" s="243">
        <f>IFERROR(INDEX('iCoA Register'!$B:$B,MATCH("P050212|I",'iCoA Register'!$AA:$AA,0)),"—")</f>
        <v/>
      </c>
      <c r="I28" s="245">
        <f>IFERROR(INDEX('iCoA Register'!$D:$D,MATCH("P050212|I",'iCoA Register'!$AA:$AA,0)),"")</f>
        <v/>
      </c>
      <c r="J28" s="243" t="inlineStr">
        <is>
          <t>legacy</t>
        </is>
      </c>
      <c r="K28" s="243" t="inlineStr">
        <is>
          <t>initial release</t>
        </is>
      </c>
      <c r="L28" s="244" t="inlineStr">
        <is>
          <t>CJ062501/2</t>
        </is>
      </c>
      <c r="M28" s="243" t="inlineStr">
        <is>
          <t>P050212</t>
        </is>
      </c>
      <c r="N28" s="243" t="inlineStr">
        <is>
          <t>Cap Junky</t>
        </is>
      </c>
      <c r="O28" s="243" t="inlineStr">
        <is>
          <t>ППК25322, (23.10.2025) [CNP]</t>
        </is>
      </c>
      <c r="P28" s="248" t="inlineStr">
        <is>
          <t>—</t>
        </is>
      </c>
      <c r="Q28" s="243" t="inlineStr">
        <is>
          <t>PP CoA #028 of 24.01.2026</t>
        </is>
      </c>
      <c r="R28" s="243" t="inlineStr">
        <is>
          <t>(assigned on issue)</t>
        </is>
      </c>
      <c r="S28" s="243" t="inlineStr">
        <is>
          <t>P050212|I</t>
        </is>
      </c>
      <c r="T28" s="250" t="inlineStr">
        <is>
          <t>registered — legacy series, issued 06.06.2026</t>
        </is>
      </c>
      <c r="U28" s="243" t="inlineStr">
        <is>
          <t>n/a — initial certificate</t>
        </is>
      </c>
      <c r="V28" s="251" t="n">
        <v>16.56</v>
      </c>
      <c r="W28" s="243" t="inlineStr">
        <is>
          <t>ППК25322</t>
        </is>
      </c>
      <c r="X28" s="243" t="inlineStr">
        <is>
          <t>17.00 ± 1.40 (IV)</t>
        </is>
      </c>
      <c r="Y28" s="243" t="inlineStr">
        <is>
          <t>15.60 – 18.39 %</t>
        </is>
      </c>
      <c r="Z28" s="243" t="inlineStr">
        <is>
          <t>CJ_THC17 : CBD1</t>
        </is>
      </c>
      <c r="AA28" s="243" t="inlineStr">
        <is>
          <t>QCSP_001_CJ-IV_v.01</t>
        </is>
      </c>
      <c r="AB28" s="252" t="inlineStr">
        <is>
          <t>for review — replaces the issued QCSP_001_CJ-IV_v.01 (was CJ_THC20 : CBD1, 18.00 – 22.00 %); now CJ_THC17 : CBD1 15.60 – 18.39 %</t>
        </is>
      </c>
      <c r="AC28" s="246" t="inlineStr"/>
    </row>
    <row r="29">
      <c r="A29" s="243">
        <f>IF(OR(C29="yes",C29="allocated",C29="ruled"),COUNT(A$1:A28)+1,"")</f>
        <v/>
      </c>
      <c r="B29" s="244">
        <f>IF(A29&lt;&gt;"","CoQ-PP_26-"&amp;TEXT(A29,"000"),"— at issue —")</f>
        <v/>
      </c>
      <c r="C29" s="249" t="inlineStr">
        <is>
          <t>yes</t>
        </is>
      </c>
      <c r="D29" s="245">
        <f>IF(OR(A29="",C29="allocated",C29="ruled"),"",MAX(E29,IF(ISNUMBER(I29),I29,0),IFERROR(IF(ISNUMBER(INDEX('iCoA Register'!$F:$F,MATCH(S29,'iCoA Register'!$AA:$AA,0))),INDEX('iCoA Register'!$F:$F,MATCH(S29,'iCoA Register'!$AA:$AA,0)),0),0)))</f>
        <v/>
      </c>
      <c r="E29" s="245">
        <f>IF(ISNUMBER(F29),MAX(DATE(2026,6,6),F29+7),DATE(2026,6,6))</f>
        <v/>
      </c>
      <c r="F29" s="245" t="n">
        <v>45992</v>
      </c>
      <c r="G29" s="243" t="inlineStr">
        <is>
          <t>1217-2168-25</t>
        </is>
      </c>
      <c r="H29" s="243">
        <f>IFERROR(INDEX('iCoA Register'!$B:$B,MATCH("P050222|I",'iCoA Register'!$AA:$AA,0)),"—")</f>
        <v/>
      </c>
      <c r="I29" s="245">
        <f>IFERROR(INDEX('iCoA Register'!$D:$D,MATCH("P050222|I",'iCoA Register'!$AA:$AA,0)),"")</f>
        <v/>
      </c>
      <c r="J29" s="243" t="inlineStr">
        <is>
          <t>legacy</t>
        </is>
      </c>
      <c r="K29" s="243" t="inlineStr">
        <is>
          <t>initial release</t>
        </is>
      </c>
      <c r="L29" s="244" t="inlineStr">
        <is>
          <t>CJ062501/1</t>
        </is>
      </c>
      <c r="M29" s="243" t="inlineStr">
        <is>
          <t>P050222</t>
        </is>
      </c>
      <c r="N29" s="243" t="inlineStr">
        <is>
          <t>Cap Junky</t>
        </is>
      </c>
      <c r="O29" s="243" t="inlineStr">
        <is>
          <t>ППК25321, (23.10.2025) [CNP]</t>
        </is>
      </c>
      <c r="P29" s="248" t="inlineStr">
        <is>
          <t>—</t>
        </is>
      </c>
      <c r="Q29" s="243" t="inlineStr">
        <is>
          <t>—</t>
        </is>
      </c>
      <c r="R29" s="243" t="inlineStr">
        <is>
          <t>CoQ-PP-2025-0018</t>
        </is>
      </c>
      <c r="S29" s="243" t="inlineStr">
        <is>
          <t>P050222|I</t>
        </is>
      </c>
      <c r="T29" s="250" t="inlineStr">
        <is>
          <t>registered — legacy series, issued 06.06.2026</t>
        </is>
      </c>
      <c r="U29" s="243" t="inlineStr">
        <is>
          <t>n/a — initial certificate</t>
        </is>
      </c>
      <c r="V29" s="251" t="n">
        <v>21.51</v>
      </c>
      <c r="W29" s="243" t="inlineStr">
        <is>
          <t>ППК25321</t>
        </is>
      </c>
      <c r="X29" s="243" t="inlineStr">
        <is>
          <t>20.00 ± 1.60 (III)</t>
        </is>
      </c>
      <c r="Y29" s="243" t="inlineStr">
        <is>
          <t>18.40 – 21.59 %</t>
        </is>
      </c>
      <c r="Z29" s="243" t="inlineStr">
        <is>
          <t>CJ_THC20 : CBD1</t>
        </is>
      </c>
      <c r="AA29" s="243" t="inlineStr">
        <is>
          <t>QCSP_001_CJ-III_v.01</t>
        </is>
      </c>
      <c r="AB29" s="252" t="inlineStr">
        <is>
          <t>for review — replaces the issued QCSP_001_CJ-III_v.01 (was CJ_THC24 : CBD1, 23.00 – 25.00 %); now CJ_THC20 : CBD1 18.40 – 21.59 %</t>
        </is>
      </c>
      <c r="AC29" s="246" t="inlineStr"/>
    </row>
    <row r="30">
      <c r="A30" s="243">
        <f>IF(OR(C30="yes",C30="allocated",C30="ruled"),COUNT(A$1:A29)+1,"")</f>
        <v/>
      </c>
      <c r="B30" s="244">
        <f>IF(A30&lt;&gt;"","CoQ-PP_26-"&amp;TEXT(A30,"000"),"— at issue —")</f>
        <v/>
      </c>
      <c r="C30" s="249" t="inlineStr">
        <is>
          <t>yes</t>
        </is>
      </c>
      <c r="D30" s="245">
        <f>IF(OR(A30="",C30="allocated",C30="ruled"),"",MAX(E30,IF(ISNUMBER(I30),I30,0),IFERROR(IF(ISNUMBER(INDEX('iCoA Register'!$F:$F,MATCH(S30,'iCoA Register'!$AA:$AA,0))),INDEX('iCoA Register'!$F:$F,MATCH(S30,'iCoA Register'!$AA:$AA,0)),0),0)))</f>
        <v/>
      </c>
      <c r="E30" s="245">
        <f>IF(ISNUMBER(F30),MAX(DATE(2026,6,6),F30+7),DATE(2026,6,6))</f>
        <v/>
      </c>
      <c r="F30" s="245" t="n">
        <v>45993</v>
      </c>
      <c r="G30" s="243" t="inlineStr">
        <is>
          <t>5697-2025</t>
        </is>
      </c>
      <c r="H30" s="243">
        <f>IFERROR(INDEX('iCoA Register'!$B:$B,MATCH("P050252|I",'iCoA Register'!$AA:$AA,0)),"—")</f>
        <v/>
      </c>
      <c r="I30" s="245">
        <f>IFERROR(INDEX('iCoA Register'!$D:$D,MATCH("P050252|I",'iCoA Register'!$AA:$AA,0)),"")</f>
        <v/>
      </c>
      <c r="J30" s="243" t="inlineStr">
        <is>
          <t>legacy</t>
        </is>
      </c>
      <c r="K30" s="243" t="inlineStr">
        <is>
          <t>initial release</t>
        </is>
      </c>
      <c r="L30" s="244" t="inlineStr">
        <is>
          <t>CJ072501</t>
        </is>
      </c>
      <c r="M30" s="243" t="inlineStr">
        <is>
          <t>P050252</t>
        </is>
      </c>
      <c r="N30" s="243" t="inlineStr">
        <is>
          <t>Cap Junky</t>
        </is>
      </c>
      <c r="O30" s="243" t="inlineStr">
        <is>
          <t>ППК25367, (28.11.2025) [CNP]</t>
        </is>
      </c>
      <c r="P30" s="248" t="inlineStr">
        <is>
          <t>—</t>
        </is>
      </c>
      <c r="Q30" s="243" t="inlineStr">
        <is>
          <t>—</t>
        </is>
      </c>
      <c r="R30" s="243" t="inlineStr">
        <is>
          <t>(assigned on issue)</t>
        </is>
      </c>
      <c r="S30" s="243" t="inlineStr">
        <is>
          <t>P050252|I</t>
        </is>
      </c>
      <c r="T30" s="250" t="inlineStr">
        <is>
          <t>registered — legacy series, issued 06.06.2026</t>
        </is>
      </c>
      <c r="U30" s="243" t="inlineStr">
        <is>
          <t>n/a — initial certificate</t>
        </is>
      </c>
      <c r="V30" s="251" t="n">
        <v>23.7</v>
      </c>
      <c r="W30" s="243" t="inlineStr">
        <is>
          <t>ППК25367</t>
        </is>
      </c>
      <c r="X30" s="243" t="inlineStr">
        <is>
          <t>24.00 ± 2.40 (II)</t>
        </is>
      </c>
      <c r="Y30" s="243" t="inlineStr">
        <is>
          <t>21.60 – 26.39 %</t>
        </is>
      </c>
      <c r="Z30" s="243" t="inlineStr">
        <is>
          <t>CJ_THC24 : CBD1</t>
        </is>
      </c>
      <c r="AA30" s="243" t="inlineStr">
        <is>
          <t>QCSP_001_CJ-II_v.01</t>
        </is>
      </c>
      <c r="AB30" s="252" t="inlineStr">
        <is>
          <t>for review — replaces the issued QCSP_001_CJ-II_v.01 (was CJ_THC26 : CBD1, 25.01 – 26.99 %); now CJ_THC24 : CBD1 21.60 – 26.39 %</t>
        </is>
      </c>
      <c r="AC30" s="246" t="inlineStr"/>
    </row>
    <row r="31">
      <c r="A31" s="243">
        <f>IF(OR(C31="yes",C31="allocated",C31="ruled"),COUNT(A$1:A30)+1,"")</f>
        <v/>
      </c>
      <c r="B31" s="244">
        <f>IF(A31&lt;&gt;"","CoQ-PP_26-"&amp;TEXT(A31,"000"),"— at issue —")</f>
        <v/>
      </c>
      <c r="C31" s="249" t="inlineStr">
        <is>
          <t>yes</t>
        </is>
      </c>
      <c r="D31" s="245">
        <f>IF(OR(A31="",C31="allocated",C31="ruled"),"",MAX(E31,IF(ISNUMBER(I31),I31,0),IFERROR(IF(ISNUMBER(INDEX('iCoA Register'!$F:$F,MATCH(S31,'iCoA Register'!$AA:$AA,0))),INDEX('iCoA Register'!$F:$F,MATCH(S31,'iCoA Register'!$AA:$AA,0)),0),0)))</f>
        <v/>
      </c>
      <c r="E31" s="245">
        <f>IF(ISNUMBER(F31),MAX(DATE(2026,6,6),F31+7),DATE(2026,6,6))</f>
        <v/>
      </c>
      <c r="F31" s="245" t="n">
        <v>45993</v>
      </c>
      <c r="G31" s="243" t="inlineStr">
        <is>
          <t>5699-2025</t>
        </is>
      </c>
      <c r="H31" s="243">
        <f>IFERROR(INDEX('iCoA Register'!$B:$B,MATCH("P050262|I",'iCoA Register'!$AA:$AA,0)),"—")</f>
        <v/>
      </c>
      <c r="I31" s="245">
        <f>IFERROR(INDEX('iCoA Register'!$D:$D,MATCH("P050262|I",'iCoA Register'!$AA:$AA,0)),"")</f>
        <v/>
      </c>
      <c r="J31" s="243" t="inlineStr">
        <is>
          <t>legacy</t>
        </is>
      </c>
      <c r="K31" s="243" t="inlineStr">
        <is>
          <t>initial release</t>
        </is>
      </c>
      <c r="L31" s="244" t="inlineStr">
        <is>
          <t>WC072501</t>
        </is>
      </c>
      <c r="M31" s="243" t="inlineStr">
        <is>
          <t>P050262</t>
        </is>
      </c>
      <c r="N31" s="243" t="inlineStr">
        <is>
          <t>Wedding Crusher</t>
        </is>
      </c>
      <c r="O31" s="243" t="inlineStr">
        <is>
          <t>ППК25369, (28.11.2025) [CNP]</t>
        </is>
      </c>
      <c r="P31" s="248" t="inlineStr">
        <is>
          <t>—</t>
        </is>
      </c>
      <c r="Q31" s="243" t="inlineStr">
        <is>
          <t>—</t>
        </is>
      </c>
      <c r="R31" s="243" t="inlineStr">
        <is>
          <t>(assigned on issue)</t>
        </is>
      </c>
      <c r="S31" s="243" t="inlineStr">
        <is>
          <t>P050262|I</t>
        </is>
      </c>
      <c r="T31" s="250" t="inlineStr">
        <is>
          <t>registered — legacy series, issued 06.06.2026</t>
        </is>
      </c>
      <c r="U31" s="243" t="inlineStr">
        <is>
          <t>n/a — initial certificate</t>
        </is>
      </c>
      <c r="V31" s="251" t="n">
        <v>22.11</v>
      </c>
      <c r="W31" s="243" t="inlineStr">
        <is>
          <t>ППК25369</t>
        </is>
      </c>
      <c r="X31" s="243" t="inlineStr">
        <is>
          <t>22.00 ± 1.40 (II)</t>
        </is>
      </c>
      <c r="Y31" s="243" t="inlineStr">
        <is>
          <t>20.60 – 23.39 %</t>
        </is>
      </c>
      <c r="Z31" s="243" t="inlineStr">
        <is>
          <t>WC_THC22 : CBD1</t>
        </is>
      </c>
      <c r="AA31" s="243" t="inlineStr">
        <is>
          <t>QCSP_001_WC-II_v.01</t>
        </is>
      </c>
      <c r="AB31" s="246" t="inlineStr">
        <is>
          <t>for review — new</t>
        </is>
      </c>
      <c r="AC31" s="246" t="inlineStr"/>
    </row>
    <row r="32">
      <c r="A32" s="243">
        <f>IF(OR(C32="yes",C32="allocated",C32="ruled"),COUNT(A$1:A31)+1,"")</f>
        <v/>
      </c>
      <c r="B32" s="244">
        <f>IF(A32&lt;&gt;"","CoQ-PP_26-"&amp;TEXT(A32,"000"),"— at issue —")</f>
        <v/>
      </c>
      <c r="C32" s="249" t="inlineStr">
        <is>
          <t>yes</t>
        </is>
      </c>
      <c r="D32" s="245">
        <f>IF(OR(A32="",C32="allocated",C32="ruled"),"",MAX(E32,IF(ISNUMBER(I32),I32,0),IFERROR(IF(ISNUMBER(INDEX('iCoA Register'!$F:$F,MATCH(S32,'iCoA Register'!$AA:$AA,0))),INDEX('iCoA Register'!$F:$F,MATCH(S32,'iCoA Register'!$AA:$AA,0)),0),0)))</f>
        <v/>
      </c>
      <c r="E32" s="245">
        <f>IF(ISNUMBER(F32),MAX(DATE(2026,6,6),F32+7),DATE(2026,6,6))</f>
        <v/>
      </c>
      <c r="F32" s="245" t="n">
        <v>45993</v>
      </c>
      <c r="G32" s="243" t="inlineStr">
        <is>
          <t>5698-2025</t>
        </is>
      </c>
      <c r="H32" s="243">
        <f>IFERROR(INDEX('iCoA Register'!$B:$B,MATCH("P050272|I",'iCoA Register'!$AA:$AA,0)),"—")</f>
        <v/>
      </c>
      <c r="I32" s="245">
        <f>IFERROR(INDEX('iCoA Register'!$D:$D,MATCH("P050272|I",'iCoA Register'!$AA:$AA,0)),"")</f>
        <v/>
      </c>
      <c r="J32" s="243" t="inlineStr">
        <is>
          <t>legacy</t>
        </is>
      </c>
      <c r="K32" s="243" t="inlineStr">
        <is>
          <t>initial release</t>
        </is>
      </c>
      <c r="L32" s="244" t="inlineStr">
        <is>
          <t>PM072501</t>
        </is>
      </c>
      <c r="M32" s="243" t="inlineStr">
        <is>
          <t>P050272</t>
        </is>
      </c>
      <c r="N32" s="243" t="inlineStr">
        <is>
          <t>Permanent Marker</t>
        </is>
      </c>
      <c r="O32" s="243" t="inlineStr">
        <is>
          <t>ППК25368, (28.11.2025) [CNP]</t>
        </is>
      </c>
      <c r="P32" s="248" t="inlineStr">
        <is>
          <t>—</t>
        </is>
      </c>
      <c r="Q32" s="243" t="inlineStr">
        <is>
          <t>PP CoA #026 of 21.01.2026</t>
        </is>
      </c>
      <c r="R32" s="243" t="inlineStr">
        <is>
          <t>(assigned on issue)</t>
        </is>
      </c>
      <c r="S32" s="243" t="inlineStr">
        <is>
          <t>P050272|I</t>
        </is>
      </c>
      <c r="T32" s="250" t="inlineStr">
        <is>
          <t>registered — legacy series, issued 06.06.2026</t>
        </is>
      </c>
      <c r="U32" s="243" t="inlineStr">
        <is>
          <t>n/a — initial certificate</t>
        </is>
      </c>
      <c r="V32" s="251" t="n">
        <v>10.01</v>
      </c>
      <c r="W32" s="243" t="inlineStr">
        <is>
          <t>ППК25368</t>
        </is>
      </c>
      <c r="X32" s="243" t="inlineStr">
        <is>
          <t>10.00 ± 1.00 (III)</t>
        </is>
      </c>
      <c r="Y32" s="243" t="inlineStr">
        <is>
          <t>9.00 – 10.99 %</t>
        </is>
      </c>
      <c r="Z32" s="243" t="inlineStr">
        <is>
          <t>PM_THC10 : CBD1</t>
        </is>
      </c>
      <c r="AA32" s="243" t="inlineStr">
        <is>
          <t>QCSP_001_PM-III_v.01</t>
        </is>
      </c>
      <c r="AB32" s="246" t="inlineStr">
        <is>
          <t>for review — new</t>
        </is>
      </c>
      <c r="AC32" s="246" t="inlineStr"/>
    </row>
    <row r="33">
      <c r="A33" s="243">
        <f>IF(OR(C33="yes",C33="allocated",C33="ruled"),COUNT(A$1:A32)+1,"")</f>
        <v/>
      </c>
      <c r="B33" s="244">
        <f>IF(A33&lt;&gt;"","CoQ-PP_26-"&amp;TEXT(A33,"000"),"— at issue —")</f>
        <v/>
      </c>
      <c r="C33" s="249" t="inlineStr">
        <is>
          <t>yes</t>
        </is>
      </c>
      <c r="D33" s="245">
        <f>IF(OR(A33="",C33="allocated",C33="ruled"),"",MAX(E33,IF(ISNUMBER(I33),I33,0),IFERROR(IF(ISNUMBER(INDEX('iCoA Register'!$F:$F,MATCH(S33,'iCoA Register'!$AA:$AA,0))),INDEX('iCoA Register'!$F:$F,MATCH(S33,'iCoA Register'!$AA:$AA,0)),0),0)))</f>
        <v/>
      </c>
      <c r="E33" s="245">
        <f>IF(ISNUMBER(F33),MAX(DATE(2026,6,6),F33+7),DATE(2026,6,6))</f>
        <v/>
      </c>
      <c r="F33" s="245" t="n">
        <v>45993</v>
      </c>
      <c r="G33" s="243" t="inlineStr">
        <is>
          <t>5700-2025</t>
        </is>
      </c>
      <c r="H33" s="243">
        <f>IFERROR(INDEX('iCoA Register'!$B:$B,MATCH("P050282|I",'iCoA Register'!$AA:$AA,0)),"—")</f>
        <v/>
      </c>
      <c r="I33" s="245">
        <f>IFERROR(INDEX('iCoA Register'!$D:$D,MATCH("P050282|I",'iCoA Register'!$AA:$AA,0)),"")</f>
        <v/>
      </c>
      <c r="J33" s="243" t="inlineStr">
        <is>
          <t>legacy</t>
        </is>
      </c>
      <c r="K33" s="243" t="inlineStr">
        <is>
          <t>initial release</t>
        </is>
      </c>
      <c r="L33" s="244" t="inlineStr">
        <is>
          <t>CLE072501</t>
        </is>
      </c>
      <c r="M33" s="243" t="inlineStr">
        <is>
          <t>P050282</t>
        </is>
      </c>
      <c r="N33" s="243" t="inlineStr">
        <is>
          <t>Clemosa A Bud</t>
        </is>
      </c>
      <c r="O33" s="243" t="inlineStr">
        <is>
          <t>ППК25370, (28.11.2025) [CNP]</t>
        </is>
      </c>
      <c r="P33" s="248" t="inlineStr">
        <is>
          <t>—</t>
        </is>
      </c>
      <c r="Q33" s="243" t="inlineStr">
        <is>
          <t>—</t>
        </is>
      </c>
      <c r="R33" s="243" t="inlineStr">
        <is>
          <t>CoQ-PP-2025-0019</t>
        </is>
      </c>
      <c r="S33" s="243" t="inlineStr">
        <is>
          <t>P050282|I</t>
        </is>
      </c>
      <c r="T33" s="250" t="inlineStr">
        <is>
          <t>registered — legacy series, issued 06.06.2026</t>
        </is>
      </c>
      <c r="U33" s="243" t="inlineStr">
        <is>
          <t>n/a — initial certificate</t>
        </is>
      </c>
      <c r="V33" s="251" t="n">
        <v>8.02</v>
      </c>
      <c r="W33" s="243" t="inlineStr">
        <is>
          <t>ППК25370</t>
        </is>
      </c>
      <c r="X33" s="243" t="inlineStr">
        <is>
          <t>8.00 ± 0.80 (I)</t>
        </is>
      </c>
      <c r="Y33" s="243" t="inlineStr">
        <is>
          <t>7.20 – 8.79 %</t>
        </is>
      </c>
      <c r="Z33" s="243" t="inlineStr">
        <is>
          <t>CLE_THC8 : CBD1</t>
        </is>
      </c>
      <c r="AA33" s="243" t="inlineStr">
        <is>
          <t>QCSP_001_CLE-I_v.01</t>
        </is>
      </c>
      <c r="AB33" s="252" t="inlineStr">
        <is>
          <t>for review — replaces the issued QCSP_001_CLE-I_v.01 (was CLE_THC8 : CBD1, 7.20 – 8.80 %); now CLE_THC8 : CBD1 7.20 – 8.79 %</t>
        </is>
      </c>
      <c r="AC33" s="246" t="inlineStr"/>
    </row>
    <row r="34">
      <c r="A34" s="243">
        <f>IF(OR(C34="yes",C34="allocated",C34="ruled"),COUNT(A$1:A33)+1,"")</f>
        <v/>
      </c>
      <c r="B34" s="244">
        <f>IF(A34&lt;&gt;"","CoQ-PP_26-"&amp;TEXT(A34,"000"),"— at issue —")</f>
        <v/>
      </c>
      <c r="C34" s="249" t="inlineStr">
        <is>
          <t>yes</t>
        </is>
      </c>
      <c r="D34" s="245">
        <f>IF(OR(A34="",C34="allocated",C34="ruled"),"",MAX(E34,IF(ISNUMBER(I34),I34,0),IFERROR(IF(ISNUMBER(INDEX('iCoA Register'!$F:$F,MATCH(S34,'iCoA Register'!$AA:$AA,0))),INDEX('iCoA Register'!$F:$F,MATCH(S34,'iCoA Register'!$AA:$AA,0)),0),0)))</f>
        <v/>
      </c>
      <c r="E34" s="245">
        <f>IF(ISNUMBER(F34),MAX(DATE(2026,6,6),F34+7),DATE(2026,6,6))</f>
        <v/>
      </c>
      <c r="F34" s="245" t="n">
        <v>46003</v>
      </c>
      <c r="G34" s="243" t="inlineStr">
        <is>
          <t>ППК25378</t>
        </is>
      </c>
      <c r="H34" s="243">
        <f>IFERROR(INDEX('iCoA Register'!$B:$B,MATCH("P050292|I",'iCoA Register'!$AA:$AA,0)),"—")</f>
        <v/>
      </c>
      <c r="I34" s="245">
        <f>IFERROR(INDEX('iCoA Register'!$D:$D,MATCH("P050292|I",'iCoA Register'!$AA:$AA,0)),"")</f>
        <v/>
      </c>
      <c r="J34" s="243" t="inlineStr">
        <is>
          <t>legacy</t>
        </is>
      </c>
      <c r="K34" s="243" t="inlineStr">
        <is>
          <t>initial release</t>
        </is>
      </c>
      <c r="L34" s="244" t="inlineStr">
        <is>
          <t>GP072501/1</t>
        </is>
      </c>
      <c r="M34" s="243" t="inlineStr">
        <is>
          <t>P050292</t>
        </is>
      </c>
      <c r="N34" s="243" t="inlineStr">
        <is>
          <t>Grape Pie</t>
        </is>
      </c>
      <c r="O34" s="243" t="inlineStr">
        <is>
          <t>ППК25378, (12.12.2025) [CNP]</t>
        </is>
      </c>
      <c r="P34" s="248" t="inlineStr">
        <is>
          <t>—</t>
        </is>
      </c>
      <c r="Q34" s="243" t="inlineStr">
        <is>
          <t>—</t>
        </is>
      </c>
      <c r="R34" s="243" t="inlineStr">
        <is>
          <t>(assigned on issue)</t>
        </is>
      </c>
      <c r="S34" s="243" t="inlineStr">
        <is>
          <t>P050292|I</t>
        </is>
      </c>
      <c r="T34" s="250" t="inlineStr">
        <is>
          <t>registered — legacy series, issued 06.06.2026</t>
        </is>
      </c>
      <c r="U34" s="243" t="inlineStr">
        <is>
          <t>n/a — initial certificate</t>
        </is>
      </c>
      <c r="V34" s="251" t="n">
        <v>21.36</v>
      </c>
      <c r="W34" s="243" t="inlineStr">
        <is>
          <t>ППК25378</t>
        </is>
      </c>
      <c r="X34" s="243" t="inlineStr">
        <is>
          <t>20.00 ± 2.00 (III)</t>
        </is>
      </c>
      <c r="Y34" s="243" t="inlineStr">
        <is>
          <t>18.00 – 21.99 %</t>
        </is>
      </c>
      <c r="Z34" s="243" t="inlineStr">
        <is>
          <t>GP_THC20 : CBD1</t>
        </is>
      </c>
      <c r="AA34" s="243" t="inlineStr">
        <is>
          <t>QCSP_001_GP-III_v.01</t>
        </is>
      </c>
      <c r="AB34" s="252" t="inlineStr">
        <is>
          <t>for review — replaces the issued QCSP_001_GP-III_v.01 (was GP_THC24 : CBD1, 22.61 – 25.39 %); now GP_THC20 : CBD1 18.00 – 21.99 %</t>
        </is>
      </c>
      <c r="AC34" s="246" t="inlineStr"/>
    </row>
    <row r="35">
      <c r="A35" s="243">
        <f>IF(OR(C35="yes",C35="allocated",C35="ruled"),COUNT(A$1:A34)+1,"")</f>
        <v/>
      </c>
      <c r="B35" s="244">
        <f>IF(A35&lt;&gt;"","CoQ-PP_26-"&amp;TEXT(A35,"000"),"— at issue —")</f>
        <v/>
      </c>
      <c r="C35" s="249" t="inlineStr">
        <is>
          <t>yes</t>
        </is>
      </c>
      <c r="D35" s="245">
        <f>IF(OR(A35="",C35="allocated",C35="ruled"),"",MAX(E35,IF(ISNUMBER(I35),I35,0),IFERROR(IF(ISNUMBER(INDEX('iCoA Register'!$F:$F,MATCH(S35,'iCoA Register'!$AA:$AA,0))),INDEX('iCoA Register'!$F:$F,MATCH(S35,'iCoA Register'!$AA:$AA,0)),0),0)))</f>
        <v/>
      </c>
      <c r="E35" s="245">
        <f>IF(ISNUMBER(F35),MAX(DATE(2026,6,6),F35+7),DATE(2026,6,6))</f>
        <v/>
      </c>
      <c r="F35" s="245" t="n">
        <v>46003</v>
      </c>
      <c r="G35" s="243" t="inlineStr">
        <is>
          <t>ППК25379</t>
        </is>
      </c>
      <c r="H35" s="243">
        <f>IFERROR(INDEX('iCoA Register'!$B:$B,MATCH("P050302|I",'iCoA Register'!$AA:$AA,0)),"—")</f>
        <v/>
      </c>
      <c r="I35" s="245">
        <f>IFERROR(INDEX('iCoA Register'!$D:$D,MATCH("P050302|I",'iCoA Register'!$AA:$AA,0)),"")</f>
        <v/>
      </c>
      <c r="J35" s="243" t="inlineStr">
        <is>
          <t>legacy</t>
        </is>
      </c>
      <c r="K35" s="243" t="inlineStr">
        <is>
          <t>initial release</t>
        </is>
      </c>
      <c r="L35" s="244" t="inlineStr">
        <is>
          <t>GP072501/2</t>
        </is>
      </c>
      <c r="M35" s="243" t="inlineStr">
        <is>
          <t>P050302</t>
        </is>
      </c>
      <c r="N35" s="243" t="inlineStr">
        <is>
          <t>Grape Pie</t>
        </is>
      </c>
      <c r="O35" s="243" t="inlineStr">
        <is>
          <t>ППК25379, (12.12.2025) [CNP]</t>
        </is>
      </c>
      <c r="P35" s="248" t="inlineStr">
        <is>
          <t>—</t>
        </is>
      </c>
      <c r="Q35" s="243" t="inlineStr">
        <is>
          <t>—</t>
        </is>
      </c>
      <c r="R35" s="243" t="inlineStr">
        <is>
          <t>CoQ-PP-2025-0020</t>
        </is>
      </c>
      <c r="S35" s="243" t="inlineStr">
        <is>
          <t>P050302|I</t>
        </is>
      </c>
      <c r="T35" s="250" t="inlineStr">
        <is>
          <t>registered — legacy series, issued 06.06.2026</t>
        </is>
      </c>
      <c r="U35" s="243" t="inlineStr">
        <is>
          <t>n/a — initial certificate</t>
        </is>
      </c>
      <c r="V35" s="251" t="n">
        <v>19.81</v>
      </c>
      <c r="W35" s="243" t="inlineStr">
        <is>
          <t>ППК25379</t>
        </is>
      </c>
      <c r="X35" s="243" t="inlineStr">
        <is>
          <t>20.00 ± 2.00 (III)</t>
        </is>
      </c>
      <c r="Y35" s="243" t="inlineStr">
        <is>
          <t>18.00 – 21.99 %</t>
        </is>
      </c>
      <c r="Z35" s="243" t="inlineStr">
        <is>
          <t>GP_THC20 : CBD1</t>
        </is>
      </c>
      <c r="AA35" s="243" t="inlineStr">
        <is>
          <t>QCSP_001_GP-III_v.01</t>
        </is>
      </c>
      <c r="AB35" s="252" t="inlineStr">
        <is>
          <t>for review — replaces the issued QCSP_001_GP-III_v.01 (was GP_THC24 : CBD1, 22.61 – 25.39 %); now GP_THC20 : CBD1 18.00 – 21.99 %</t>
        </is>
      </c>
      <c r="AC35" s="246" t="inlineStr"/>
    </row>
    <row r="36">
      <c r="A36" s="243">
        <f>IF(OR(C36="yes",C36="allocated",C36="ruled"),COUNT(A$1:A35)+1,"")</f>
        <v/>
      </c>
      <c r="B36" s="244">
        <f>IF(A36&lt;&gt;"","CoQ-PP_26-"&amp;TEXT(A36,"000"),"— at issue —")</f>
        <v/>
      </c>
      <c r="C36" s="249" t="inlineStr">
        <is>
          <t>yes</t>
        </is>
      </c>
      <c r="D36" s="245">
        <f>IF(OR(A36="",C36="allocated",C36="ruled"),"",MAX(E36,IF(ISNUMBER(I36),I36,0),IFERROR(IF(ISNUMBER(INDEX('iCoA Register'!$F:$F,MATCH(S36,'iCoA Register'!$AA:$AA,0))),INDEX('iCoA Register'!$F:$F,MATCH(S36,'iCoA Register'!$AA:$AA,0)),0),0)))</f>
        <v/>
      </c>
      <c r="E36" s="245">
        <f>IF(ISNUMBER(F36),MAX(DATE(2026,6,6),F36+7),DATE(2026,6,6))</f>
        <v/>
      </c>
      <c r="F36" s="245" t="n">
        <v>46003</v>
      </c>
      <c r="G36" s="243" t="inlineStr">
        <is>
          <t>ППК25380</t>
        </is>
      </c>
      <c r="H36" s="243">
        <f>IFERROR(INDEX('iCoA Register'!$B:$B,MATCH("P050312|I",'iCoA Register'!$AA:$AA,0)),"—")</f>
        <v/>
      </c>
      <c r="I36" s="245">
        <f>IFERROR(INDEX('iCoA Register'!$D:$D,MATCH("P050312|I",'iCoA Register'!$AA:$AA,0)),"")</f>
        <v/>
      </c>
      <c r="J36" s="243" t="inlineStr">
        <is>
          <t>legacy</t>
        </is>
      </c>
      <c r="K36" s="243" t="inlineStr">
        <is>
          <t>initial release</t>
        </is>
      </c>
      <c r="L36" s="244" t="inlineStr">
        <is>
          <t>GP082501/1</t>
        </is>
      </c>
      <c r="M36" s="243" t="inlineStr">
        <is>
          <t>P050312</t>
        </is>
      </c>
      <c r="N36" s="243" t="inlineStr">
        <is>
          <t>Grape Pie</t>
        </is>
      </c>
      <c r="O36" s="243" t="inlineStr">
        <is>
          <t>ППК25380, (12.12.2025) [CNP]</t>
        </is>
      </c>
      <c r="P36" s="248" t="inlineStr">
        <is>
          <t>—</t>
        </is>
      </c>
      <c r="Q36" s="243" t="inlineStr">
        <is>
          <t>—</t>
        </is>
      </c>
      <c r="R36" s="243" t="inlineStr">
        <is>
          <t>CoQ-PP-2025-0021</t>
        </is>
      </c>
      <c r="S36" s="243" t="inlineStr">
        <is>
          <t>P050312|I</t>
        </is>
      </c>
      <c r="T36" s="250" t="inlineStr">
        <is>
          <t>registered — legacy series, issued 06.06.2026</t>
        </is>
      </c>
      <c r="U36" s="243" t="inlineStr">
        <is>
          <t>n/a — initial certificate</t>
        </is>
      </c>
      <c r="V36" s="251" t="n">
        <v>21.29</v>
      </c>
      <c r="W36" s="243" t="inlineStr">
        <is>
          <t>ППК25380</t>
        </is>
      </c>
      <c r="X36" s="243" t="inlineStr">
        <is>
          <t>20.00 ± 2.00 (III)</t>
        </is>
      </c>
      <c r="Y36" s="243" t="inlineStr">
        <is>
          <t>18.00 – 21.99 %</t>
        </is>
      </c>
      <c r="Z36" s="243" t="inlineStr">
        <is>
          <t>GP_THC20 : CBD1</t>
        </is>
      </c>
      <c r="AA36" s="243" t="inlineStr">
        <is>
          <t>QCSP_001_GP-III_v.01</t>
        </is>
      </c>
      <c r="AB36" s="252" t="inlineStr">
        <is>
          <t>for review — replaces the issued QCSP_001_GP-III_v.01 (was GP_THC24 : CBD1, 22.61 – 25.39 %); now GP_THC20 : CBD1 18.00 – 21.99 %</t>
        </is>
      </c>
      <c r="AC36" s="246" t="inlineStr"/>
    </row>
    <row r="37">
      <c r="A37" s="243">
        <f>IF(OR(C37="yes",C37="allocated",C37="ruled"),COUNT(A$1:A36)+1,"")</f>
        <v/>
      </c>
      <c r="B37" s="244">
        <f>IF(A37&lt;&gt;"","CoQ-PP_26-"&amp;TEXT(A37,"000"),"— at issue —")</f>
        <v/>
      </c>
      <c r="C37" s="249" t="inlineStr">
        <is>
          <t>yes</t>
        </is>
      </c>
      <c r="D37" s="245">
        <f>IF(OR(A37="",C37="allocated",C37="ruled"),"",MAX(E37,IF(ISNUMBER(I37),I37,0),IFERROR(IF(ISNUMBER(INDEX('iCoA Register'!$F:$F,MATCH(S37,'iCoA Register'!$AA:$AA,0))),INDEX('iCoA Register'!$F:$F,MATCH(S37,'iCoA Register'!$AA:$AA,0)),0),0)))</f>
        <v/>
      </c>
      <c r="E37" s="245">
        <f>IF(ISNUMBER(F37),MAX(DATE(2026,6,6),F37+7),DATE(2026,6,6))</f>
        <v/>
      </c>
      <c r="F37" s="245" t="n">
        <v>46003</v>
      </c>
      <c r="G37" s="243" t="inlineStr">
        <is>
          <t>ППК25381</t>
        </is>
      </c>
      <c r="H37" s="243">
        <f>IFERROR(INDEX('iCoA Register'!$B:$B,MATCH("P050322|I",'iCoA Register'!$AA:$AA,0)),"—")</f>
        <v/>
      </c>
      <c r="I37" s="245">
        <f>IFERROR(INDEX('iCoA Register'!$D:$D,MATCH("P050322|I",'iCoA Register'!$AA:$AA,0)),"")</f>
        <v/>
      </c>
      <c r="J37" s="243" t="inlineStr">
        <is>
          <t>legacy</t>
        </is>
      </c>
      <c r="K37" s="243" t="inlineStr">
        <is>
          <t>initial release</t>
        </is>
      </c>
      <c r="L37" s="244" t="inlineStr">
        <is>
          <t>GP082501/2</t>
        </is>
      </c>
      <c r="M37" s="243" t="inlineStr">
        <is>
          <t>P050322</t>
        </is>
      </c>
      <c r="N37" s="243" t="inlineStr">
        <is>
          <t>Grape Pie</t>
        </is>
      </c>
      <c r="O37" s="243" t="inlineStr">
        <is>
          <t>ППК25381, (12.12.2025) [CNP]</t>
        </is>
      </c>
      <c r="P37" s="248" t="inlineStr">
        <is>
          <t>—</t>
        </is>
      </c>
      <c r="Q37" s="243" t="inlineStr">
        <is>
          <t>—</t>
        </is>
      </c>
      <c r="R37" s="243" t="inlineStr">
        <is>
          <t>CoQ-PP-2025-0022</t>
        </is>
      </c>
      <c r="S37" s="243" t="inlineStr">
        <is>
          <t>P050322|I</t>
        </is>
      </c>
      <c r="T37" s="250" t="inlineStr">
        <is>
          <t>registered — legacy series, issued 06.06.2026</t>
        </is>
      </c>
      <c r="U37" s="243" t="inlineStr">
        <is>
          <t>n/a — initial certificate</t>
        </is>
      </c>
      <c r="V37" s="251" t="n">
        <v>14.83</v>
      </c>
      <c r="W37" s="243" t="inlineStr">
        <is>
          <t>ППК25381</t>
        </is>
      </c>
      <c r="X37" s="243" t="inlineStr">
        <is>
          <t>16.00 ± 1.60 (IV)</t>
        </is>
      </c>
      <c r="Y37" s="243" t="inlineStr">
        <is>
          <t>14.40 – 17.59 %</t>
        </is>
      </c>
      <c r="Z37" s="243" t="inlineStr">
        <is>
          <t>GP_THC16 : CBD1</t>
        </is>
      </c>
      <c r="AA37" s="243" t="inlineStr">
        <is>
          <t>QCSP_001_GP-IV_v.01</t>
        </is>
      </c>
      <c r="AB37" s="252" t="inlineStr">
        <is>
          <t>for review — replaces the issued QCSP_001_GP-IV_v.01 (was GP_THC20 : CBD1, 18.00 – 22.00 %); now GP_THC16 : CBD1 14.40 – 17.59 %</t>
        </is>
      </c>
      <c r="AC37" s="246" t="inlineStr"/>
    </row>
    <row r="38">
      <c r="A38" s="243">
        <f>IF(OR(C38="yes",C38="allocated",C38="ruled"),COUNT(A$1:A37)+1,"")</f>
        <v/>
      </c>
      <c r="B38" s="244">
        <f>IF(A38&lt;&gt;"","CoQ-PP_26-"&amp;TEXT(A38,"000"),"— at issue —")</f>
        <v/>
      </c>
      <c r="C38" s="249" t="inlineStr">
        <is>
          <t>yes</t>
        </is>
      </c>
      <c r="D38" s="245">
        <f>IF(OR(A38="",C38="allocated",C38="ruled"),"",MAX(E38,IF(ISNUMBER(I38),I38,0),IFERROR(IF(ISNUMBER(INDEX('iCoA Register'!$F:$F,MATCH(S38,'iCoA Register'!$AA:$AA,0))),INDEX('iCoA Register'!$F:$F,MATCH(S38,'iCoA Register'!$AA:$AA,0)),0),0)))</f>
        <v/>
      </c>
      <c r="E38" s="245">
        <f>IF(ISNUMBER(F38),MAX(DATE(2026,6,6),F38+7),DATE(2026,6,6))</f>
        <v/>
      </c>
      <c r="F38" s="245" t="n">
        <v>46055</v>
      </c>
      <c r="G38" s="243" t="inlineStr">
        <is>
          <t>80-2026</t>
        </is>
      </c>
      <c r="H38" s="243">
        <f>IFERROR(INDEX('iCoA Register'!$B:$B,MATCH("P060012|I",'iCoA Register'!$AA:$AA,0)),"—")</f>
        <v/>
      </c>
      <c r="I38" s="245">
        <f>IFERROR(INDEX('iCoA Register'!$D:$D,MATCH("P060012|I",'iCoA Register'!$AA:$AA,0)),"")</f>
        <v/>
      </c>
      <c r="J38" s="243" t="inlineStr">
        <is>
          <t>legacy</t>
        </is>
      </c>
      <c r="K38" s="243" t="inlineStr">
        <is>
          <t>initial release</t>
        </is>
      </c>
      <c r="L38" s="244" t="inlineStr">
        <is>
          <t>WC082501</t>
        </is>
      </c>
      <c r="M38" s="243" t="inlineStr">
        <is>
          <t>P060012</t>
        </is>
      </c>
      <c r="N38" s="243" t="inlineStr">
        <is>
          <t>Wedding Crusher</t>
        </is>
      </c>
      <c r="O38" s="243" t="inlineStr">
        <is>
          <t>ППК26001, (21.01.2026) [CNP]</t>
        </is>
      </c>
      <c r="P38" s="248" t="inlineStr">
        <is>
          <t>—</t>
        </is>
      </c>
      <c r="Q38" s="243" t="inlineStr">
        <is>
          <t>PP CoA #035 of 20.02.2026</t>
        </is>
      </c>
      <c r="R38" s="243" t="inlineStr">
        <is>
          <t>CoQ-PP-2026-0001</t>
        </is>
      </c>
      <c r="S38" s="243" t="inlineStr">
        <is>
          <t>P060012|I</t>
        </is>
      </c>
      <c r="T38" s="250" t="inlineStr">
        <is>
          <t>registered — legacy series, issued 06.06.2026</t>
        </is>
      </c>
      <c r="U38" s="243" t="inlineStr">
        <is>
          <t>n/a — initial certificate</t>
        </is>
      </c>
      <c r="V38" s="251" t="n">
        <v>21.67</v>
      </c>
      <c r="W38" s="243" t="inlineStr">
        <is>
          <t>ППК26001</t>
        </is>
      </c>
      <c r="X38" s="243" t="inlineStr">
        <is>
          <t>22.00 ± 1.40 (II)</t>
        </is>
      </c>
      <c r="Y38" s="243" t="inlineStr">
        <is>
          <t>20.60 – 23.39 %</t>
        </is>
      </c>
      <c r="Z38" s="243" t="inlineStr">
        <is>
          <t>WC_THC22 : CBD1</t>
        </is>
      </c>
      <c r="AA38" s="243" t="inlineStr">
        <is>
          <t>QCSP_001_WC-II_v.01</t>
        </is>
      </c>
      <c r="AB38" s="246" t="inlineStr">
        <is>
          <t>for review — new</t>
        </is>
      </c>
      <c r="AC38" s="246" t="inlineStr"/>
    </row>
    <row r="39">
      <c r="A39" s="243">
        <f>IF(OR(C39="yes",C39="allocated",C39="ruled"),COUNT(A$1:A38)+1,"")</f>
        <v/>
      </c>
      <c r="B39" s="244">
        <f>IF(A39&lt;&gt;"","CoQ-PP_26-"&amp;TEXT(A39,"000"),"— at issue —")</f>
        <v/>
      </c>
      <c r="C39" s="249" t="inlineStr">
        <is>
          <t>yes</t>
        </is>
      </c>
      <c r="D39" s="245">
        <f>IF(OR(A39="",C39="allocated",C39="ruled"),"",MAX(E39,IF(ISNUMBER(I39),I39,0),IFERROR(IF(ISNUMBER(INDEX('iCoA Register'!$F:$F,MATCH(S39,'iCoA Register'!$AA:$AA,0))),INDEX('iCoA Register'!$F:$F,MATCH(S39,'iCoA Register'!$AA:$AA,0)),0),0)))</f>
        <v/>
      </c>
      <c r="E39" s="245">
        <f>IF(ISNUMBER(F39),MAX(DATE(2026,6,6),F39+7),DATE(2026,6,6))</f>
        <v/>
      </c>
      <c r="F39" s="245" t="n">
        <v>46055</v>
      </c>
      <c r="G39" s="243" t="inlineStr">
        <is>
          <t>81-2026</t>
        </is>
      </c>
      <c r="H39" s="243">
        <f>IFERROR(INDEX('iCoA Register'!$B:$B,MATCH("P060022|I",'iCoA Register'!$AA:$AA,0)),"—")</f>
        <v/>
      </c>
      <c r="I39" s="245">
        <f>IFERROR(INDEX('iCoA Register'!$D:$D,MATCH("P060022|I",'iCoA Register'!$AA:$AA,0)),"")</f>
        <v/>
      </c>
      <c r="J39" s="243" t="inlineStr">
        <is>
          <t>legacy</t>
        </is>
      </c>
      <c r="K39" s="243" t="inlineStr">
        <is>
          <t>initial release</t>
        </is>
      </c>
      <c r="L39" s="244" t="inlineStr">
        <is>
          <t>CJ082501/1</t>
        </is>
      </c>
      <c r="M39" s="243" t="inlineStr">
        <is>
          <t>P060022</t>
        </is>
      </c>
      <c r="N39" s="243" t="inlineStr">
        <is>
          <t>Cap Junky</t>
        </is>
      </c>
      <c r="O39" s="243" t="inlineStr">
        <is>
          <t>ППК26002, (21.01.2026) [CNP]</t>
        </is>
      </c>
      <c r="P39" s="248" t="inlineStr">
        <is>
          <t>—</t>
        </is>
      </c>
      <c r="Q39" s="243" t="inlineStr">
        <is>
          <t>PP CoA #041 of 20.02.2026</t>
        </is>
      </c>
      <c r="R39" s="243" t="inlineStr">
        <is>
          <t>CoQ-PP-2026-0002</t>
        </is>
      </c>
      <c r="S39" s="243" t="inlineStr">
        <is>
          <t>P060022|I</t>
        </is>
      </c>
      <c r="T39" s="250" t="inlineStr">
        <is>
          <t>registered — legacy series, issued 06.06.2026</t>
        </is>
      </c>
      <c r="U39" s="243" t="inlineStr">
        <is>
          <t>n/a — initial certificate</t>
        </is>
      </c>
      <c r="V39" s="251" t="n">
        <v>24.96</v>
      </c>
      <c r="W39" s="243" t="inlineStr">
        <is>
          <t>ППК26002</t>
        </is>
      </c>
      <c r="X39" s="243" t="inlineStr">
        <is>
          <t>24.00 ± 2.40 (II)</t>
        </is>
      </c>
      <c r="Y39" s="243" t="inlineStr">
        <is>
          <t>21.60 – 26.39 %</t>
        </is>
      </c>
      <c r="Z39" s="243" t="inlineStr">
        <is>
          <t>CJ_THC24 : CBD1</t>
        </is>
      </c>
      <c r="AA39" s="243" t="inlineStr">
        <is>
          <t>QCSP_001_CJ-II_v.01</t>
        </is>
      </c>
      <c r="AB39" s="252" t="inlineStr">
        <is>
          <t>for review — replaces the issued QCSP_001_CJ-II_v.01 (was CJ_THC26 : CBD1, 25.01 – 26.99 %); now CJ_THC24 : CBD1 21.60 – 26.39 %</t>
        </is>
      </c>
      <c r="AC39" s="246" t="inlineStr"/>
    </row>
    <row r="40">
      <c r="A40" s="243">
        <f>IF(OR(C40="yes",C40="allocated",C40="ruled"),COUNT(A$1:A39)+1,"")</f>
        <v/>
      </c>
      <c r="B40" s="244">
        <f>IF(A40&lt;&gt;"","CoQ-PP_26-"&amp;TEXT(A40,"000"),"— at issue —")</f>
        <v/>
      </c>
      <c r="C40" s="249" t="inlineStr">
        <is>
          <t>yes</t>
        </is>
      </c>
      <c r="D40" s="245">
        <f>IF(OR(A40="",C40="allocated",C40="ruled"),"",MAX(E40,IF(ISNUMBER(I40),I40,0),IFERROR(IF(ISNUMBER(INDEX('iCoA Register'!$F:$F,MATCH(S40,'iCoA Register'!$AA:$AA,0))),INDEX('iCoA Register'!$F:$F,MATCH(S40,'iCoA Register'!$AA:$AA,0)),0),0)))</f>
        <v/>
      </c>
      <c r="E40" s="245">
        <f>IF(ISNUMBER(F40),MAX(DATE(2026,6,6),F40+7),DATE(2026,6,6))</f>
        <v/>
      </c>
      <c r="F40" s="245" t="n">
        <v>46055</v>
      </c>
      <c r="G40" s="243" t="inlineStr">
        <is>
          <t>82-2026</t>
        </is>
      </c>
      <c r="H40" s="243">
        <f>IFERROR(INDEX('iCoA Register'!$B:$B,MATCH("P060032|I",'iCoA Register'!$AA:$AA,0)),"—")</f>
        <v/>
      </c>
      <c r="I40" s="245">
        <f>IFERROR(INDEX('iCoA Register'!$D:$D,MATCH("P060032|I",'iCoA Register'!$AA:$AA,0)),"")</f>
        <v/>
      </c>
      <c r="J40" s="243" t="inlineStr">
        <is>
          <t>legacy</t>
        </is>
      </c>
      <c r="K40" s="243" t="inlineStr">
        <is>
          <t>initial release</t>
        </is>
      </c>
      <c r="L40" s="244" t="inlineStr">
        <is>
          <t>CJ082501/2</t>
        </is>
      </c>
      <c r="M40" s="243" t="inlineStr">
        <is>
          <t>P060032</t>
        </is>
      </c>
      <c r="N40" s="243" t="inlineStr">
        <is>
          <t>Cap Junky</t>
        </is>
      </c>
      <c r="O40" s="243" t="inlineStr">
        <is>
          <t>ППК26003, (21.01.2026) [CNP]</t>
        </is>
      </c>
      <c r="P40" s="248" t="inlineStr">
        <is>
          <t>—</t>
        </is>
      </c>
      <c r="Q40" s="243" t="inlineStr">
        <is>
          <t>PP CoA #034 of 20.02.2026</t>
        </is>
      </c>
      <c r="R40" s="243" t="inlineStr">
        <is>
          <t>CoQ-PP-2026-0003</t>
        </is>
      </c>
      <c r="S40" s="243" t="inlineStr">
        <is>
          <t>P060032|I</t>
        </is>
      </c>
      <c r="T40" s="250" t="inlineStr">
        <is>
          <t>registered — legacy series, issued 06.06.2026</t>
        </is>
      </c>
      <c r="U40" s="243" t="inlineStr">
        <is>
          <t>n/a — initial certificate</t>
        </is>
      </c>
      <c r="V40" s="251" t="n">
        <v>20.84</v>
      </c>
      <c r="W40" s="243" t="inlineStr">
        <is>
          <t>ППК26003</t>
        </is>
      </c>
      <c r="X40" s="243" t="inlineStr">
        <is>
          <t>20.00 ± 1.60 (III)</t>
        </is>
      </c>
      <c r="Y40" s="243" t="inlineStr">
        <is>
          <t>18.40 – 21.59 %</t>
        </is>
      </c>
      <c r="Z40" s="243" t="inlineStr">
        <is>
          <t>CJ_THC20 : CBD1</t>
        </is>
      </c>
      <c r="AA40" s="243" t="inlineStr">
        <is>
          <t>QCSP_001_CJ-III_v.01</t>
        </is>
      </c>
      <c r="AB40" s="252" t="inlineStr">
        <is>
          <t>for review — replaces the issued QCSP_001_CJ-III_v.01 (was CJ_THC24 : CBD1, 23.00 – 25.00 %); now CJ_THC20 : CBD1 18.40 – 21.59 %</t>
        </is>
      </c>
      <c r="AC40" s="246" t="inlineStr"/>
    </row>
    <row r="41">
      <c r="A41" s="243">
        <f>IF(OR(C41="yes",C41="allocated",C41="ruled"),COUNT(A$1:A40)+1,"")</f>
        <v/>
      </c>
      <c r="B41" s="244">
        <f>IF(A41&lt;&gt;"","CoQ-PP_26-"&amp;TEXT(A41,"000"),"— at issue —")</f>
        <v/>
      </c>
      <c r="C41" s="249" t="inlineStr">
        <is>
          <t>yes</t>
        </is>
      </c>
      <c r="D41" s="245">
        <f>IF(OR(A41="",C41="allocated",C41="ruled"),"",MAX(E41,IF(ISNUMBER(I41),I41,0),IFERROR(IF(ISNUMBER(INDEX('iCoA Register'!$F:$F,MATCH(S41,'iCoA Register'!$AA:$AA,0))),INDEX('iCoA Register'!$F:$F,MATCH(S41,'iCoA Register'!$AA:$AA,0)),0),0)))</f>
        <v/>
      </c>
      <c r="E41" s="245">
        <f>IF(ISNUMBER(F41),MAX(DATE(2026,6,6),F41+7),DATE(2026,6,6))</f>
        <v/>
      </c>
      <c r="F41" s="245" t="n">
        <v>46056</v>
      </c>
      <c r="G41" s="243" t="inlineStr">
        <is>
          <t>87-2026</t>
        </is>
      </c>
      <c r="H41" s="243">
        <f>IFERROR(INDEX('iCoA Register'!$B:$B,MATCH("P060042|I",'iCoA Register'!$AA:$AA,0)),"—")</f>
        <v/>
      </c>
      <c r="I41" s="245">
        <f>IFERROR(INDEX('iCoA Register'!$D:$D,MATCH("P060042|I",'iCoA Register'!$AA:$AA,0)),"")</f>
        <v/>
      </c>
      <c r="J41" s="243" t="inlineStr">
        <is>
          <t>legacy</t>
        </is>
      </c>
      <c r="K41" s="243" t="inlineStr">
        <is>
          <t>initial release</t>
        </is>
      </c>
      <c r="L41" s="244" t="inlineStr">
        <is>
          <t>OPM092501</t>
        </is>
      </c>
      <c r="M41" s="243" t="inlineStr">
        <is>
          <t>P060042</t>
        </is>
      </c>
      <c r="N41" s="243" t="inlineStr">
        <is>
          <t>Orange Punch Mimosa</t>
        </is>
      </c>
      <c r="O41" s="243" t="inlineStr">
        <is>
          <t>ППК26008, (21.01.2026) [CNP]</t>
        </is>
      </c>
      <c r="P41" s="248" t="inlineStr">
        <is>
          <t>—</t>
        </is>
      </c>
      <c r="Q41" s="243" t="inlineStr">
        <is>
          <t>PP CoA #040 of 20.02.2026</t>
        </is>
      </c>
      <c r="R41" s="243" t="inlineStr">
        <is>
          <t>CoQ-PP-2026-0004</t>
        </is>
      </c>
      <c r="S41" s="243" t="inlineStr">
        <is>
          <t>P060042|I</t>
        </is>
      </c>
      <c r="T41" s="250" t="inlineStr">
        <is>
          <t>registered — legacy series, issued 06.06.2026</t>
        </is>
      </c>
      <c r="U41" s="243" t="inlineStr">
        <is>
          <t>n/a — initial certificate</t>
        </is>
      </c>
      <c r="V41" s="251" t="n">
        <v>9.43</v>
      </c>
      <c r="W41" s="243" t="inlineStr">
        <is>
          <t>ППК26008</t>
        </is>
      </c>
      <c r="X41" s="243" t="inlineStr">
        <is>
          <t>10.00 ± 1.00 (IV)</t>
        </is>
      </c>
      <c r="Y41" s="243" t="inlineStr">
        <is>
          <t>9.00 – 10.99 %</t>
        </is>
      </c>
      <c r="Z41" s="243" t="inlineStr">
        <is>
          <t>OPM_THC10 : CBD1</t>
        </is>
      </c>
      <c r="AA41" s="243" t="inlineStr">
        <is>
          <t>QCSP_001_OPM-IV_v.01</t>
        </is>
      </c>
      <c r="AB41" s="252" t="inlineStr">
        <is>
          <t>for review — replaces the issued QCSP_001_OPM-IV_v.01 (was OPM_THC10 : CBD1, 9.00 – 11.00 %); now OPM_THC10 : CBD1 9.00 – 10.99 %</t>
        </is>
      </c>
      <c r="AC41" s="246" t="inlineStr"/>
    </row>
    <row r="42">
      <c r="A42" s="243">
        <f>IF(OR(C42="yes",C42="allocated",C42="ruled"),COUNT(A$1:A41)+1,"")</f>
        <v/>
      </c>
      <c r="B42" s="244">
        <f>IF(A42&lt;&gt;"","CoQ-PP_26-"&amp;TEXT(A42,"000"),"— at issue —")</f>
        <v/>
      </c>
      <c r="C42" s="249" t="inlineStr">
        <is>
          <t>yes</t>
        </is>
      </c>
      <c r="D42" s="245">
        <f>IF(OR(A42="",C42="allocated",C42="ruled"),"",MAX(E42,IF(ISNUMBER(I42),I42,0),IFERROR(IF(ISNUMBER(INDEX('iCoA Register'!$F:$F,MATCH(S42,'iCoA Register'!$AA:$AA,0))),INDEX('iCoA Register'!$F:$F,MATCH(S42,'iCoA Register'!$AA:$AA,0)),0),0)))</f>
        <v/>
      </c>
      <c r="E42" s="245">
        <f>IF(ISNUMBER(F42),MAX(DATE(2026,6,6),F42+7),DATE(2026,6,6))</f>
        <v/>
      </c>
      <c r="F42" s="245" t="n">
        <v>46055</v>
      </c>
      <c r="G42" s="243" t="inlineStr">
        <is>
          <t>84-2026</t>
        </is>
      </c>
      <c r="H42" s="243">
        <f>IFERROR(INDEX('iCoA Register'!$B:$B,MATCH("P060052|I",'iCoA Register'!$AA:$AA,0)),"—")</f>
        <v/>
      </c>
      <c r="I42" s="245">
        <f>IFERROR(INDEX('iCoA Register'!$D:$D,MATCH("P060052|I",'iCoA Register'!$AA:$AA,0)),"")</f>
        <v/>
      </c>
      <c r="J42" s="243" t="inlineStr">
        <is>
          <t>legacy</t>
        </is>
      </c>
      <c r="K42" s="243" t="inlineStr">
        <is>
          <t>initial release</t>
        </is>
      </c>
      <c r="L42" s="244" t="inlineStr">
        <is>
          <t>AB092501</t>
        </is>
      </c>
      <c r="M42" s="243" t="inlineStr">
        <is>
          <t>P060052</t>
        </is>
      </c>
      <c r="N42" s="243" t="inlineStr">
        <is>
          <t>Apple and Banana</t>
        </is>
      </c>
      <c r="O42" s="243" t="inlineStr">
        <is>
          <t>ППК26005, (21.01.2026) [CNP]</t>
        </is>
      </c>
      <c r="P42" s="248" t="inlineStr">
        <is>
          <t>—</t>
        </is>
      </c>
      <c r="Q42" s="243" t="inlineStr">
        <is>
          <t>PP CoA #037 of 20.02.2026</t>
        </is>
      </c>
      <c r="R42" s="243" t="inlineStr">
        <is>
          <t>(assigned on issue)</t>
        </is>
      </c>
      <c r="S42" s="243" t="inlineStr">
        <is>
          <t>P060052|I</t>
        </is>
      </c>
      <c r="T42" s="250" t="inlineStr">
        <is>
          <t>registered — legacy series, issued 06.06.2026</t>
        </is>
      </c>
      <c r="U42" s="243" t="inlineStr">
        <is>
          <t>n/a — initial certificate</t>
        </is>
      </c>
      <c r="V42" s="251" t="n">
        <v>16.93</v>
      </c>
      <c r="W42" s="243" t="inlineStr">
        <is>
          <t>ППК26005</t>
        </is>
      </c>
      <c r="X42" s="243" t="inlineStr">
        <is>
          <t>18.00 ± 1.80 (II)</t>
        </is>
      </c>
      <c r="Y42" s="243" t="inlineStr">
        <is>
          <t>16.20 – 19.79 %</t>
        </is>
      </c>
      <c r="Z42" s="243" t="inlineStr">
        <is>
          <t>AB_THC18 : CBD1</t>
        </is>
      </c>
      <c r="AA42" s="243" t="inlineStr">
        <is>
          <t>QCSP_001_AB-II_v.01</t>
        </is>
      </c>
      <c r="AB42" s="246" t="inlineStr">
        <is>
          <t>for review — new</t>
        </is>
      </c>
      <c r="AC42" s="246" t="inlineStr"/>
    </row>
    <row r="43">
      <c r="A43" s="243">
        <f>IF(OR(C43="yes",C43="allocated",C43="ruled"),COUNT(A$1:A42)+1,"")</f>
        <v/>
      </c>
      <c r="B43" s="244">
        <f>IF(A43&lt;&gt;"","CoQ-PP_26-"&amp;TEXT(A43,"000"),"— at issue —")</f>
        <v/>
      </c>
      <c r="C43" s="249" t="inlineStr">
        <is>
          <t>yes</t>
        </is>
      </c>
      <c r="D43" s="245">
        <f>IF(OR(A43="",C43="allocated",C43="ruled"),"",MAX(E43,IF(ISNUMBER(I43),I43,0),IFERROR(IF(ISNUMBER(INDEX('iCoA Register'!$F:$F,MATCH(S43,'iCoA Register'!$AA:$AA,0))),INDEX('iCoA Register'!$F:$F,MATCH(S43,'iCoA Register'!$AA:$AA,0)),0),0)))</f>
        <v/>
      </c>
      <c r="E43" s="245">
        <f>IF(ISNUMBER(F43),MAX(DATE(2026,6,6),F43+7),DATE(2026,6,6))</f>
        <v/>
      </c>
      <c r="F43" s="245" t="n">
        <v>46055</v>
      </c>
      <c r="G43" s="243" t="inlineStr">
        <is>
          <t>83-2026</t>
        </is>
      </c>
      <c r="H43" s="243">
        <f>IFERROR(INDEX('iCoA Register'!$B:$B,MATCH("P060062|I",'iCoA Register'!$AA:$AA,0)),"—")</f>
        <v/>
      </c>
      <c r="I43" s="245">
        <f>IFERROR(INDEX('iCoA Register'!$D:$D,MATCH("P060062|I",'iCoA Register'!$AA:$AA,0)),"")</f>
        <v/>
      </c>
      <c r="J43" s="243" t="inlineStr">
        <is>
          <t>legacy</t>
        </is>
      </c>
      <c r="K43" s="243" t="inlineStr">
        <is>
          <t>initial release</t>
        </is>
      </c>
      <c r="L43" s="244" t="inlineStr">
        <is>
          <t>PM092501</t>
        </is>
      </c>
      <c r="M43" s="243" t="inlineStr">
        <is>
          <t>P060062</t>
        </is>
      </c>
      <c r="N43" s="243" t="inlineStr">
        <is>
          <t>Permanent Marker</t>
        </is>
      </c>
      <c r="O43" s="243" t="inlineStr">
        <is>
          <t>ППК26004, (21.01.2026) [CNP]</t>
        </is>
      </c>
      <c r="P43" s="248" t="inlineStr">
        <is>
          <t>—</t>
        </is>
      </c>
      <c r="Q43" s="243" t="inlineStr">
        <is>
          <t>PP CoA #036 of 20.02.2026</t>
        </is>
      </c>
      <c r="R43" s="243" t="inlineStr">
        <is>
          <t>CoQ-PP-2026-0005</t>
        </is>
      </c>
      <c r="S43" s="243" t="inlineStr">
        <is>
          <t>P060062|I</t>
        </is>
      </c>
      <c r="T43" s="250" t="inlineStr">
        <is>
          <t>registered — legacy series, issued 06.06.2026</t>
        </is>
      </c>
      <c r="U43" s="243" t="inlineStr">
        <is>
          <t>n/a — initial certificate</t>
        </is>
      </c>
      <c r="V43" s="251" t="n">
        <v>14.06</v>
      </c>
      <c r="W43" s="243" t="inlineStr">
        <is>
          <t>ППК26004</t>
        </is>
      </c>
      <c r="X43" s="243" t="inlineStr">
        <is>
          <t>14.00 ± 1.00 (I)</t>
        </is>
      </c>
      <c r="Y43" s="243" t="inlineStr">
        <is>
          <t>13.00 – 14.99 %</t>
        </is>
      </c>
      <c r="Z43" s="243" t="inlineStr">
        <is>
          <t>PM_THC14 : CBD1</t>
        </is>
      </c>
      <c r="AA43" s="243" t="inlineStr">
        <is>
          <t>QCSP_001_PM-I_v.01</t>
        </is>
      </c>
      <c r="AB43" s="252" t="inlineStr">
        <is>
          <t>for review — replaces the issued QCSP_001_PM-I_v.01 (was PM_THC12 : CBD1, 11.01 – 12.99 %); now PM_THC14 : CBD1 13.00 – 14.99 %</t>
        </is>
      </c>
      <c r="AC43" s="246" t="inlineStr"/>
    </row>
    <row r="44">
      <c r="A44" s="243">
        <f>IF(OR(C44="yes",C44="allocated",C44="ruled"),COUNT(A$1:A43)+1,"")</f>
        <v/>
      </c>
      <c r="B44" s="244">
        <f>IF(A44&lt;&gt;"","CoQ-PP_26-"&amp;TEXT(A44,"000"),"— at issue —")</f>
        <v/>
      </c>
      <c r="C44" s="249" t="inlineStr">
        <is>
          <t>yes</t>
        </is>
      </c>
      <c r="D44" s="245">
        <f>IF(OR(A44="",C44="allocated",C44="ruled"),"",MAX(E44,IF(ISNUMBER(I44),I44,0),IFERROR(IF(ISNUMBER(INDEX('iCoA Register'!$F:$F,MATCH(S44,'iCoA Register'!$AA:$AA,0))),INDEX('iCoA Register'!$F:$F,MATCH(S44,'iCoA Register'!$AA:$AA,0)),0),0)))</f>
        <v/>
      </c>
      <c r="E44" s="245">
        <f>IF(ISNUMBER(F44),MAX(DATE(2026,6,6),F44+7),DATE(2026,6,6))</f>
        <v/>
      </c>
      <c r="F44" s="245" t="n">
        <v>46055</v>
      </c>
      <c r="G44" s="243" t="inlineStr">
        <is>
          <t>86-2026</t>
        </is>
      </c>
      <c r="H44" s="243">
        <f>IFERROR(INDEX('iCoA Register'!$B:$B,MATCH("P060072|I",'iCoA Register'!$AA:$AA,0)),"—")</f>
        <v/>
      </c>
      <c r="I44" s="245">
        <f>IFERROR(INDEX('iCoA Register'!$D:$D,MATCH("P060072|I",'iCoA Register'!$AA:$AA,0)),"")</f>
        <v/>
      </c>
      <c r="J44" s="243" t="inlineStr">
        <is>
          <t>legacy</t>
        </is>
      </c>
      <c r="K44" s="243" t="inlineStr">
        <is>
          <t>initial release</t>
        </is>
      </c>
      <c r="L44" s="244" t="inlineStr">
        <is>
          <t>CJ092501</t>
        </is>
      </c>
      <c r="M44" s="243" t="inlineStr">
        <is>
          <t>P060072</t>
        </is>
      </c>
      <c r="N44" s="243" t="inlineStr">
        <is>
          <t>Cap Junky</t>
        </is>
      </c>
      <c r="O44" s="243" t="inlineStr">
        <is>
          <t>ППК26007, (21.01.2026) [CNP]</t>
        </is>
      </c>
      <c r="P44" s="248" t="inlineStr">
        <is>
          <t>—</t>
        </is>
      </c>
      <c r="Q44" s="243" t="inlineStr">
        <is>
          <t>PP CoA #039 of 20.02.2026</t>
        </is>
      </c>
      <c r="R44" s="243" t="inlineStr">
        <is>
          <t>CoQ-PP-2026-0006</t>
        </is>
      </c>
      <c r="S44" s="243" t="inlineStr">
        <is>
          <t>P060072|I</t>
        </is>
      </c>
      <c r="T44" s="250" t="inlineStr">
        <is>
          <t>registered — legacy series, issued 06.06.2026</t>
        </is>
      </c>
      <c r="U44" s="243" t="inlineStr">
        <is>
          <t>n/a — initial certificate</t>
        </is>
      </c>
      <c r="V44" s="251" t="n">
        <v>22.3</v>
      </c>
      <c r="W44" s="243" t="inlineStr">
        <is>
          <t>ППК26007</t>
        </is>
      </c>
      <c r="X44" s="243" t="inlineStr">
        <is>
          <t>24.00 ± 2.40 (II)</t>
        </is>
      </c>
      <c r="Y44" s="243" t="inlineStr">
        <is>
          <t>21.60 – 26.39 %</t>
        </is>
      </c>
      <c r="Z44" s="243" t="inlineStr">
        <is>
          <t>CJ_THC24 : CBD1</t>
        </is>
      </c>
      <c r="AA44" s="243" t="inlineStr">
        <is>
          <t>QCSP_001_CJ-II_v.01</t>
        </is>
      </c>
      <c r="AB44" s="252" t="inlineStr">
        <is>
          <t>for review — replaces the issued QCSP_001_CJ-II_v.01 (was CJ_THC26 : CBD1, 25.01 – 26.99 %); now CJ_THC24 : CBD1 21.60 – 26.39 %</t>
        </is>
      </c>
      <c r="AC44" s="246" t="inlineStr"/>
    </row>
    <row r="45">
      <c r="A45" s="243">
        <f>IF(OR(C45="yes",C45="allocated",C45="ruled"),COUNT(A$1:A44)+1,"")</f>
        <v/>
      </c>
      <c r="B45" s="244">
        <f>IF(A45&lt;&gt;"","CoQ-PP_26-"&amp;TEXT(A45,"000"),"— at issue —")</f>
        <v/>
      </c>
      <c r="C45" s="249" t="inlineStr">
        <is>
          <t>yes</t>
        </is>
      </c>
      <c r="D45" s="245">
        <f>IF(OR(A45="",C45="allocated",C45="ruled"),"",MAX(E45,IF(ISNUMBER(I45),I45,0),IFERROR(IF(ISNUMBER(INDEX('iCoA Register'!$F:$F,MATCH(S45,'iCoA Register'!$AA:$AA,0))),INDEX('iCoA Register'!$F:$F,MATCH(S45,'iCoA Register'!$AA:$AA,0)),0),0)))</f>
        <v/>
      </c>
      <c r="E45" s="245">
        <f>IF(ISNUMBER(F45),MAX(DATE(2026,6,6),F45+7),DATE(2026,6,6))</f>
        <v/>
      </c>
      <c r="F45" s="245" t="n">
        <v>46055</v>
      </c>
      <c r="G45" s="243" t="inlineStr">
        <is>
          <t>85-2026</t>
        </is>
      </c>
      <c r="H45" s="243">
        <f>IFERROR(INDEX('iCoA Register'!$B:$B,MATCH("P060082|I",'iCoA Register'!$AA:$AA,0)),"—")</f>
        <v/>
      </c>
      <c r="I45" s="245">
        <f>IFERROR(INDEX('iCoA Register'!$D:$D,MATCH("P060082|I",'iCoA Register'!$AA:$AA,0)),"")</f>
        <v/>
      </c>
      <c r="J45" s="243" t="inlineStr">
        <is>
          <t>legacy</t>
        </is>
      </c>
      <c r="K45" s="243" t="inlineStr">
        <is>
          <t>initial release</t>
        </is>
      </c>
      <c r="L45" s="244" t="inlineStr">
        <is>
          <t>SJ0925021</t>
        </is>
      </c>
      <c r="M45" s="243" t="inlineStr">
        <is>
          <t>P060082</t>
        </is>
      </c>
      <c r="N45" s="243" t="inlineStr">
        <is>
          <t>Sleepy Joe</t>
        </is>
      </c>
      <c r="O45" s="243" t="inlineStr">
        <is>
          <t>ППК26006, (21.01.2026) [CNP]</t>
        </is>
      </c>
      <c r="P45" s="248" t="inlineStr">
        <is>
          <t>—</t>
        </is>
      </c>
      <c r="Q45" s="243" t="inlineStr">
        <is>
          <t>PP CoA #038 of 20.02.2026</t>
        </is>
      </c>
      <c r="R45" s="243" t="inlineStr">
        <is>
          <t>CoQ-PP-2026-0007</t>
        </is>
      </c>
      <c r="S45" s="243" t="inlineStr">
        <is>
          <t>P060082|I</t>
        </is>
      </c>
      <c r="T45" s="250" t="inlineStr">
        <is>
          <t>registered — legacy series, issued 06.06.2026</t>
        </is>
      </c>
      <c r="U45" s="243" t="inlineStr">
        <is>
          <t>n/a — initial certificate</t>
        </is>
      </c>
      <c r="V45" s="251" t="n">
        <v>10.96</v>
      </c>
      <c r="W45" s="243" t="inlineStr">
        <is>
          <t>ППК26006</t>
        </is>
      </c>
      <c r="X45" s="243" t="inlineStr">
        <is>
          <t>10.00 ± 1.00 (II)</t>
        </is>
      </c>
      <c r="Y45" s="243" t="inlineStr">
        <is>
          <t>9.00 – 10.99 %</t>
        </is>
      </c>
      <c r="Z45" s="243" t="inlineStr">
        <is>
          <t>SJ_THC10 : CBD1</t>
        </is>
      </c>
      <c r="AA45" s="243" t="inlineStr">
        <is>
          <t>QCSP_001_SJ-II_v.01</t>
        </is>
      </c>
      <c r="AB45" s="252" t="inlineStr">
        <is>
          <t>for review — replaces the issued QCSP_001_SJ-II_v.01 (was SJ_THC10 : CBD1, 9.00 – 11.00 %); now SJ_THC10 : CBD1 9.00 – 10.99 %</t>
        </is>
      </c>
      <c r="AC45" s="246" t="inlineStr"/>
    </row>
    <row r="46">
      <c r="A46" s="243">
        <f>IF(OR(C46="yes",C46="allocated",C46="ruled"),COUNT(A$1:A45)+1,"")</f>
        <v/>
      </c>
      <c r="B46" s="244">
        <f>IF(A46&lt;&gt;"","CoQ-PP_26-"&amp;TEXT(A46,"000"),"— at issue —")</f>
        <v/>
      </c>
      <c r="C46" s="249" t="inlineStr">
        <is>
          <t>yes</t>
        </is>
      </c>
      <c r="D46" s="245">
        <f>IF(OR(A46="",C46="allocated",C46="ruled"),"",MAX(E46,IF(ISNUMBER(I46),I46,0),IFERROR(IF(ISNUMBER(INDEX('iCoA Register'!$F:$F,MATCH(S46,'iCoA Register'!$AA:$AA,0))),INDEX('iCoA Register'!$F:$F,MATCH(S46,'iCoA Register'!$AA:$AA,0)),0),0)))</f>
        <v/>
      </c>
      <c r="E46" s="245">
        <f>IF(ISNUMBER(F46),MAX(DATE(2026,6,6),F46+7),DATE(2026,6,6))</f>
        <v/>
      </c>
      <c r="F46" s="245" t="n">
        <v>46056</v>
      </c>
      <c r="G46" s="243" t="inlineStr">
        <is>
          <t>88-2026</t>
        </is>
      </c>
      <c r="H46" s="243">
        <f>IFERROR(INDEX('iCoA Register'!$B:$B,MATCH("P060092|I",'iCoA Register'!$AA:$AA,0)),"—")</f>
        <v/>
      </c>
      <c r="I46" s="245">
        <f>IFERROR(INDEX('iCoA Register'!$D:$D,MATCH("P060092|I",'iCoA Register'!$AA:$AA,0)),"")</f>
        <v/>
      </c>
      <c r="J46" s="243" t="inlineStr">
        <is>
          <t>legacy</t>
        </is>
      </c>
      <c r="K46" s="243" t="inlineStr">
        <is>
          <t>initial release</t>
        </is>
      </c>
      <c r="L46" s="244" t="inlineStr">
        <is>
          <t>GP092501</t>
        </is>
      </c>
      <c r="M46" s="243" t="inlineStr">
        <is>
          <t>P060092</t>
        </is>
      </c>
      <c r="N46" s="243" t="inlineStr">
        <is>
          <t>Grape Pie</t>
        </is>
      </c>
      <c r="O46" s="243" t="inlineStr">
        <is>
          <t>ППК26009, (21.01.2026) [CNP]</t>
        </is>
      </c>
      <c r="P46" s="248" t="inlineStr">
        <is>
          <t>—</t>
        </is>
      </c>
      <c r="Q46" s="243" t="inlineStr">
        <is>
          <t>PP CoA #033 of 20.02.2026</t>
        </is>
      </c>
      <c r="R46" s="243" t="inlineStr">
        <is>
          <t>CoQ-PP-2026-0008</t>
        </is>
      </c>
      <c r="S46" s="243" t="inlineStr">
        <is>
          <t>P060092|I</t>
        </is>
      </c>
      <c r="T46" s="250" t="inlineStr">
        <is>
          <t>registered — legacy series, issued 06.06.2026</t>
        </is>
      </c>
      <c r="U46" s="243" t="inlineStr">
        <is>
          <t>n/a — initial certificate</t>
        </is>
      </c>
      <c r="V46" s="251" t="n">
        <v>25.73</v>
      </c>
      <c r="W46" s="243" t="inlineStr">
        <is>
          <t>ППК26009</t>
        </is>
      </c>
      <c r="X46" s="243" t="inlineStr">
        <is>
          <t>24.00 ± 2.00 (II)</t>
        </is>
      </c>
      <c r="Y46" s="243" t="inlineStr">
        <is>
          <t>22.00 – 25.99 %</t>
        </is>
      </c>
      <c r="Z46" s="243" t="inlineStr">
        <is>
          <t>GP_THC24 : CBD1</t>
        </is>
      </c>
      <c r="AA46" s="243" t="inlineStr">
        <is>
          <t>QCSP_001_GP-II_v.01</t>
        </is>
      </c>
      <c r="AB46" s="252" t="inlineStr">
        <is>
          <t>for review — replaces the issued QCSP_001_GP-II_v.01 (was GP_THC26 : CBD1, 25.40 – 26.60 %); now GP_THC24 : CBD1 22.00 – 25.99 %</t>
        </is>
      </c>
      <c r="AC46" s="246" t="inlineStr"/>
    </row>
    <row r="47">
      <c r="A47" s="243">
        <f>IF(OR(C47="yes",C47="allocated",C47="ruled"),COUNT(A$1:A46)+1,"")</f>
        <v/>
      </c>
      <c r="B47" s="244">
        <f>IF(A47&lt;&gt;"","CoQ-PP_26-"&amp;TEXT(A47,"000"),"— at issue —")</f>
        <v/>
      </c>
      <c r="C47" s="249" t="inlineStr">
        <is>
          <t>yes</t>
        </is>
      </c>
      <c r="D47" s="245">
        <f>IF(OR(A47="",C47="allocated",C47="ruled"),"",MAX(E47,IF(ISNUMBER(I47),I47,0),IFERROR(IF(ISNUMBER(INDEX('iCoA Register'!$F:$F,MATCH(S47,'iCoA Register'!$AA:$AA,0))),INDEX('iCoA Register'!$F:$F,MATCH(S47,'iCoA Register'!$AA:$AA,0)),0),0)))</f>
        <v/>
      </c>
      <c r="E47" s="245">
        <f>IF(ISNUMBER(F47),MAX(DATE(2026,6,6),F47+7),DATE(2026,6,6))</f>
        <v/>
      </c>
      <c r="F47" s="245" t="n">
        <v>46065</v>
      </c>
      <c r="G47" s="243" t="inlineStr">
        <is>
          <t>031-3-ГС-26</t>
        </is>
      </c>
      <c r="H47" s="243">
        <f>IFERROR(INDEX('iCoA Register'!$B:$B,MATCH("P060102|I",'iCoA Register'!$AA:$AA,0)),"—")</f>
        <v/>
      </c>
      <c r="I47" s="245">
        <f>IFERROR(INDEX('iCoA Register'!$D:$D,MATCH("P060102|I",'iCoA Register'!$AA:$AA,0)),"")</f>
        <v/>
      </c>
      <c r="J47" s="243" t="inlineStr">
        <is>
          <t>legacy</t>
        </is>
      </c>
      <c r="K47" s="243" t="inlineStr">
        <is>
          <t>initial release</t>
        </is>
      </c>
      <c r="L47" s="244" t="inlineStr">
        <is>
          <t>WED102501</t>
        </is>
      </c>
      <c r="M47" s="243" t="inlineStr">
        <is>
          <t>P060102</t>
        </is>
      </c>
      <c r="N47" s="243" t="inlineStr">
        <is>
          <t>Wedding Cake</t>
        </is>
      </c>
      <c r="O47" s="248" t="inlineStr">
        <is>
          <t>— no cannabinoid certificate from the initial testing —</t>
        </is>
      </c>
      <c r="P47" s="248" t="inlineStr">
        <is>
          <t>—</t>
        </is>
      </c>
      <c r="Q47" s="243" t="inlineStr">
        <is>
          <t>—</t>
        </is>
      </c>
      <c r="R47" s="243" t="inlineStr">
        <is>
          <t>(assigned on issue)</t>
        </is>
      </c>
      <c r="S47" s="243" t="inlineStr">
        <is>
          <t>P060102|I</t>
        </is>
      </c>
      <c r="T47" s="250" t="inlineStr">
        <is>
          <t>registered — legacy series, issued 06.06.2026 · initial certificate to locate: #3 (CNP), #4 (CNP), #5 (CNP), #6 (CNP), #9 (IJZ), #10 (CNP), #11 (CNP), #12 (CNP)</t>
        </is>
      </c>
      <c r="U47" s="243" t="inlineStr">
        <is>
          <t>n/a — initial certificate</t>
        </is>
      </c>
      <c r="V47" s="243" t="inlineStr">
        <is>
          <t>—</t>
        </is>
      </c>
      <c r="W47" s="243" t="inlineStr">
        <is>
          <t>—</t>
        </is>
      </c>
      <c r="X47" s="243" t="inlineStr">
        <is>
          <t>—</t>
        </is>
      </c>
      <c r="Y47" s="243" t="inlineStr">
        <is>
          <t>—</t>
        </is>
      </c>
      <c r="Z47" s="243" t="inlineStr">
        <is>
          <t>—</t>
        </is>
      </c>
      <c r="AA47" s="243" t="inlineStr">
        <is>
          <t>—</t>
        </is>
      </c>
      <c r="AB47" s="246" t="inlineStr">
        <is>
          <t>—</t>
        </is>
      </c>
      <c r="AC47" s="252" t="inlineStr">
        <is>
          <t>no Total THC result on this certificate</t>
        </is>
      </c>
    </row>
    <row r="48">
      <c r="A48" s="243">
        <f>IF(OR(C48="yes",C48="allocated",C48="ruled"),COUNT(A$1:A47)+1,"")</f>
        <v/>
      </c>
      <c r="B48" s="244">
        <f>IF(A48&lt;&gt;"","CoQ-PP_26-"&amp;TEXT(A48,"000"),"— at issue —")</f>
        <v/>
      </c>
      <c r="C48" s="249" t="inlineStr">
        <is>
          <t>yes</t>
        </is>
      </c>
      <c r="D48" s="245">
        <f>IF(OR(A48="",C48="allocated",C48="ruled"),"",MAX(E48,IF(ISNUMBER(I48),I48,0),IFERROR(IF(ISNUMBER(INDEX('iCoA Register'!$F:$F,MATCH(S48,'iCoA Register'!$AA:$AA,0))),INDEX('iCoA Register'!$F:$F,MATCH(S48,'iCoA Register'!$AA:$AA,0)),0),0)))</f>
        <v/>
      </c>
      <c r="E48" s="245">
        <f>IF(ISNUMBER(F48),MAX(DATE(2026,6,6),F48+7),DATE(2026,6,6))</f>
        <v/>
      </c>
      <c r="F48" s="245" t="inlineStr">
        <is>
          <t>—</t>
        </is>
      </c>
      <c r="G48" s="243" t="inlineStr">
        <is>
          <t>—</t>
        </is>
      </c>
      <c r="H48" s="243">
        <f>IFERROR(INDEX('iCoA Register'!$B:$B,MATCH("P060112|I",'iCoA Register'!$AA:$AA,0)),"—")</f>
        <v/>
      </c>
      <c r="I48" s="245">
        <f>IFERROR(INDEX('iCoA Register'!$D:$D,MATCH("P060112|I",'iCoA Register'!$AA:$AA,0)),"")</f>
        <v/>
      </c>
      <c r="J48" s="243" t="inlineStr">
        <is>
          <t>legacy</t>
        </is>
      </c>
      <c r="K48" s="243" t="inlineStr">
        <is>
          <t>initial release</t>
        </is>
      </c>
      <c r="L48" s="244" t="inlineStr">
        <is>
          <t>PUM102501</t>
        </is>
      </c>
      <c r="M48" s="243" t="inlineStr">
        <is>
          <t>P060112</t>
        </is>
      </c>
      <c r="N48" s="243" t="inlineStr">
        <is>
          <t>Pure Michigen</t>
        </is>
      </c>
      <c r="O48" s="248" t="inlineStr">
        <is>
          <t>— no cannabinoid certificate from the initial testing —</t>
        </is>
      </c>
      <c r="P48" s="248" t="inlineStr">
        <is>
          <t>—</t>
        </is>
      </c>
      <c r="Q48" s="243" t="inlineStr">
        <is>
          <t>—</t>
        </is>
      </c>
      <c r="R48" s="243" t="inlineStr">
        <is>
          <t>CoQ-PP-2026-0009</t>
        </is>
      </c>
      <c r="S48" s="243" t="inlineStr">
        <is>
          <t>P060112|I</t>
        </is>
      </c>
      <c r="T48" s="250" t="inlineStr">
        <is>
          <t>registered — legacy series, issued 06.06.2026 · initial certificate to locate: #3 (CNP), #4 (CNP), #5 (CNP), #6 (CNP), #8 (CNP), #9 (IJZ), #10 (CNP), #11 (CNP), #12 (CNP)</t>
        </is>
      </c>
      <c r="U48" s="243" t="inlineStr">
        <is>
          <t>n/a — initial certificate</t>
        </is>
      </c>
      <c r="V48" s="243" t="inlineStr">
        <is>
          <t>—</t>
        </is>
      </c>
      <c r="W48" s="243" t="inlineStr">
        <is>
          <t>—</t>
        </is>
      </c>
      <c r="X48" s="243" t="inlineStr">
        <is>
          <t>—</t>
        </is>
      </c>
      <c r="Y48" s="243" t="inlineStr">
        <is>
          <t>—</t>
        </is>
      </c>
      <c r="Z48" s="243" t="inlineStr">
        <is>
          <t>—</t>
        </is>
      </c>
      <c r="AA48" s="243" t="inlineStr">
        <is>
          <t>—</t>
        </is>
      </c>
      <c r="AB48" s="246" t="inlineStr">
        <is>
          <t>—</t>
        </is>
      </c>
      <c r="AC48" s="252" t="inlineStr">
        <is>
          <t>no Total THC result on this certificate</t>
        </is>
      </c>
    </row>
    <row r="49">
      <c r="A49" s="243">
        <f>IF(OR(C49="yes",C49="allocated",C49="ruled"),COUNT(A$1:A48)+1,"")</f>
        <v/>
      </c>
      <c r="B49" s="244">
        <f>IF(A49&lt;&gt;"","CoQ-PP_26-"&amp;TEXT(A49,"000"),"— at issue —")</f>
        <v/>
      </c>
      <c r="C49" s="249" t="inlineStr">
        <is>
          <t>yes</t>
        </is>
      </c>
      <c r="D49" s="245">
        <f>IF(OR(A49="",C49="allocated",C49="ruled"),"",MAX(E49,IF(ISNUMBER(I49),I49,0),IFERROR(IF(ISNUMBER(INDEX('iCoA Register'!$F:$F,MATCH(S49,'iCoA Register'!$AA:$AA,0))),INDEX('iCoA Register'!$F:$F,MATCH(S49,'iCoA Register'!$AA:$AA,0)),0),0)))</f>
        <v/>
      </c>
      <c r="E49" s="245">
        <f>IF(ISNUMBER(F49),MAX(DATE(2026,6,6),F49+7),DATE(2026,6,6))</f>
        <v/>
      </c>
      <c r="F49" s="245" t="inlineStr">
        <is>
          <t>—</t>
        </is>
      </c>
      <c r="G49" s="243" t="inlineStr">
        <is>
          <t>—</t>
        </is>
      </c>
      <c r="H49" s="243">
        <f>IFERROR(INDEX('iCoA Register'!$B:$B,MATCH("P060122|I",'iCoA Register'!$AA:$AA,0)),"—")</f>
        <v/>
      </c>
      <c r="I49" s="245">
        <f>IFERROR(INDEX('iCoA Register'!$D:$D,MATCH("P060122|I",'iCoA Register'!$AA:$AA,0)),"")</f>
        <v/>
      </c>
      <c r="J49" s="243" t="inlineStr">
        <is>
          <t>legacy</t>
        </is>
      </c>
      <c r="K49" s="243" t="inlineStr">
        <is>
          <t>initial release</t>
        </is>
      </c>
      <c r="L49" s="244" t="inlineStr">
        <is>
          <t>ACC102501</t>
        </is>
      </c>
      <c r="M49" s="243" t="inlineStr">
        <is>
          <t>P060122</t>
        </is>
      </c>
      <c r="N49" s="243" t="inlineStr">
        <is>
          <t>Amnesia Core Cut</t>
        </is>
      </c>
      <c r="O49" s="248" t="inlineStr">
        <is>
          <t>— no cannabinoid certificate from the initial testing —</t>
        </is>
      </c>
      <c r="P49" s="248" t="inlineStr">
        <is>
          <t>—</t>
        </is>
      </c>
      <c r="Q49" s="243" t="inlineStr">
        <is>
          <t>—</t>
        </is>
      </c>
      <c r="R49" s="243" t="inlineStr">
        <is>
          <t>CoQ-PP-2026-0010</t>
        </is>
      </c>
      <c r="S49" s="243" t="inlineStr">
        <is>
          <t>P060122|I</t>
        </is>
      </c>
      <c r="T49" s="250" t="inlineStr">
        <is>
          <t>registered — legacy series, issued 06.06.2026 · initial certificate to locate: #3 (CNP), #4 (CNP), #5 (CNP), #6 (CNP), #8 (CNP), #9 (IJZ), #10 (CNP), #11 (CNP), #12 (CNP)</t>
        </is>
      </c>
      <c r="U49" s="243" t="inlineStr">
        <is>
          <t>n/a — initial certificate</t>
        </is>
      </c>
      <c r="V49" s="251" t="n">
        <v>12.91</v>
      </c>
      <c r="W49" s="243" t="inlineStr">
        <is>
          <t>031-5-К/26</t>
        </is>
      </c>
      <c r="X49" s="243" t="inlineStr">
        <is>
          <t>12.00 ± 1.20 (I)</t>
        </is>
      </c>
      <c r="Y49" s="243" t="inlineStr">
        <is>
          <t>10.80 – 13.19 %</t>
        </is>
      </c>
      <c r="Z49" s="243" t="inlineStr">
        <is>
          <t>ACC_THC12 : CBD1</t>
        </is>
      </c>
      <c r="AA49" s="243" t="inlineStr">
        <is>
          <t>QCSP_001_ACC-I_v.01</t>
        </is>
      </c>
      <c r="AB49" s="252" t="inlineStr">
        <is>
          <t>for review — replaces the issued QCSP_001_ACC-I_v.01 (was ACC_THC12 : CBD1, 10.80 – 13.20 %); now ACC_THC12 : CBD1 10.80 – 13.19 %</t>
        </is>
      </c>
      <c r="AC49" s="246" t="inlineStr"/>
    </row>
    <row r="50">
      <c r="A50" s="243">
        <f>IF(OR(C50="yes",C50="allocated",C50="ruled"),COUNT(A$1:A49)+1,"")</f>
        <v/>
      </c>
      <c r="B50" s="244">
        <f>IF(A50&lt;&gt;"","CoQ-PP_26-"&amp;TEXT(A50,"000"),"— at issue —")</f>
        <v/>
      </c>
      <c r="C50" s="249" t="inlineStr">
        <is>
          <t>yes</t>
        </is>
      </c>
      <c r="D50" s="245">
        <f>IF(OR(A50="",C50="allocated",C50="ruled"),"",MAX(E50,IF(ISNUMBER(I50),I50,0),IFERROR(IF(ISNUMBER(INDEX('iCoA Register'!$F:$F,MATCH(S50,'iCoA Register'!$AA:$AA,0))),INDEX('iCoA Register'!$F:$F,MATCH(S50,'iCoA Register'!$AA:$AA,0)),0),0)))</f>
        <v/>
      </c>
      <c r="E50" s="245">
        <f>IF(ISNUMBER(F50),MAX(DATE(2026,6,6),F50+7),DATE(2026,6,6))</f>
        <v/>
      </c>
      <c r="F50" s="245" t="inlineStr">
        <is>
          <t>—</t>
        </is>
      </c>
      <c r="G50" s="243" t="inlineStr">
        <is>
          <t>—</t>
        </is>
      </c>
      <c r="H50" s="243">
        <f>IFERROR(INDEX('iCoA Register'!$B:$B,MATCH("P060132|I",'iCoA Register'!$AA:$AA,0)),"—")</f>
        <v/>
      </c>
      <c r="I50" s="245">
        <f>IFERROR(INDEX('iCoA Register'!$D:$D,MATCH("P060132|I",'iCoA Register'!$AA:$AA,0)),"")</f>
        <v/>
      </c>
      <c r="J50" s="243" t="inlineStr">
        <is>
          <t>legacy</t>
        </is>
      </c>
      <c r="K50" s="243" t="inlineStr">
        <is>
          <t>initial release</t>
        </is>
      </c>
      <c r="L50" s="244" t="inlineStr">
        <is>
          <t>CF102501</t>
        </is>
      </c>
      <c r="M50" s="243" t="inlineStr">
        <is>
          <t>P060132</t>
        </is>
      </c>
      <c r="N50" s="243" t="inlineStr">
        <is>
          <t>Chem Flyer</t>
        </is>
      </c>
      <c r="O50" s="248" t="inlineStr">
        <is>
          <t>— no cannabinoid certificate from the initial testing —</t>
        </is>
      </c>
      <c r="P50" s="248" t="inlineStr">
        <is>
          <t>—</t>
        </is>
      </c>
      <c r="Q50" s="243" t="inlineStr">
        <is>
          <t>—</t>
        </is>
      </c>
      <c r="R50" s="243" t="inlineStr">
        <is>
          <t>CoQ-PP-2026-0011</t>
        </is>
      </c>
      <c r="S50" s="243" t="inlineStr">
        <is>
          <t>P060132|I</t>
        </is>
      </c>
      <c r="T50" s="250" t="inlineStr">
        <is>
          <t>registered — legacy series, issued 06.06.2026 · initial certificate to locate: #3 (CNP), #4 (CNP), #5 (CNP), #6 (CNP), #8 (CNP), #9 (IJZ), #10 (CNP), #11 (CNP), #12 (CNP)</t>
        </is>
      </c>
      <c r="U50" s="243" t="inlineStr">
        <is>
          <t>n/a — initial certificate</t>
        </is>
      </c>
      <c r="V50" s="251" t="n">
        <v>9.83</v>
      </c>
      <c r="W50" s="243" t="inlineStr">
        <is>
          <t>031-4-К/26</t>
        </is>
      </c>
      <c r="X50" s="243" t="inlineStr">
        <is>
          <t>10.00 ± 1.00 (I)</t>
        </is>
      </c>
      <c r="Y50" s="243" t="inlineStr">
        <is>
          <t>9.00 – 10.99 %</t>
        </is>
      </c>
      <c r="Z50" s="243" t="inlineStr">
        <is>
          <t>CF_THC10 : CBD1</t>
        </is>
      </c>
      <c r="AA50" s="243" t="inlineStr">
        <is>
          <t>QCSP_001_CF-I_v.01</t>
        </is>
      </c>
      <c r="AB50" s="252" t="inlineStr">
        <is>
          <t>for review — replaces the issued QCSP_001_CF-I_v.01 (was CF_THC10 : CBD1, 9.00 – 11.00 %); now CF_THC10 : CBD1 9.00 – 10.99 %</t>
        </is>
      </c>
      <c r="AC50" s="246" t="inlineStr"/>
    </row>
    <row r="51">
      <c r="A51" s="243">
        <f>IF(OR(C51="yes",C51="allocated",C51="ruled"),COUNT(A$1:A50)+1,"")</f>
        <v/>
      </c>
      <c r="B51" s="244">
        <f>IF(A51&lt;&gt;"","CoQ-PP_26-"&amp;TEXT(A51,"000"),"— at issue —")</f>
        <v/>
      </c>
      <c r="C51" s="249" t="inlineStr">
        <is>
          <t>yes</t>
        </is>
      </c>
      <c r="D51" s="245">
        <f>IF(OR(A51="",C51="allocated",C51="ruled"),"",MAX(E51,IF(ISNUMBER(I51),I51,0),IFERROR(IF(ISNUMBER(INDEX('iCoA Register'!$F:$F,MATCH(S51,'iCoA Register'!$AA:$AA,0))),INDEX('iCoA Register'!$F:$F,MATCH(S51,'iCoA Register'!$AA:$AA,0)),0),0)))</f>
        <v/>
      </c>
      <c r="E51" s="245">
        <f>IF(ISNUMBER(F51),MAX(DATE(2026,6,6),F51+7),DATE(2026,6,6))</f>
        <v/>
      </c>
      <c r="F51" s="245" t="inlineStr">
        <is>
          <t>—</t>
        </is>
      </c>
      <c r="G51" s="243" t="inlineStr">
        <is>
          <t>—</t>
        </is>
      </c>
      <c r="H51" s="243">
        <f>IFERROR(INDEX('iCoA Register'!$B:$B,MATCH("P060142|I",'iCoA Register'!$AA:$AA,0)),"—")</f>
        <v/>
      </c>
      <c r="I51" s="245">
        <f>IFERROR(INDEX('iCoA Register'!$D:$D,MATCH("P060142|I",'iCoA Register'!$AA:$AA,0)),"")</f>
        <v/>
      </c>
      <c r="J51" s="243" t="inlineStr">
        <is>
          <t>legacy</t>
        </is>
      </c>
      <c r="K51" s="243" t="inlineStr">
        <is>
          <t>initial release</t>
        </is>
      </c>
      <c r="L51" s="244" t="inlineStr">
        <is>
          <t>GRC102501</t>
        </is>
      </c>
      <c r="M51" s="243" t="inlineStr">
        <is>
          <t>P060142</t>
        </is>
      </c>
      <c r="N51" s="243" t="inlineStr">
        <is>
          <t>Grapes And Cream</t>
        </is>
      </c>
      <c r="O51" s="248" t="inlineStr">
        <is>
          <t>— no cannabinoid certificate from the initial testing —</t>
        </is>
      </c>
      <c r="P51" s="248" t="inlineStr">
        <is>
          <t>—</t>
        </is>
      </c>
      <c r="Q51" s="243" t="inlineStr">
        <is>
          <t>—</t>
        </is>
      </c>
      <c r="R51" s="243" t="inlineStr">
        <is>
          <t>(assigned on issue)</t>
        </is>
      </c>
      <c r="S51" s="243" t="inlineStr">
        <is>
          <t>P060142|I</t>
        </is>
      </c>
      <c r="T51" s="250" t="inlineStr">
        <is>
          <t>registered — legacy series, issued 06.06.2026 · initial certificate to locate: #3 (CNP), #4 (CNP), #5 (CNP), #6 (CNP), #8 (CNP), #9 (IJZ), #10 (CNP), #11 (CNP), #12 (CNP)</t>
        </is>
      </c>
      <c r="U51" s="243" t="inlineStr">
        <is>
          <t>n/a — initial certificate</t>
        </is>
      </c>
      <c r="V51" s="243" t="inlineStr">
        <is>
          <t>—</t>
        </is>
      </c>
      <c r="W51" s="243" t="inlineStr">
        <is>
          <t>—</t>
        </is>
      </c>
      <c r="X51" s="243" t="inlineStr">
        <is>
          <t>—</t>
        </is>
      </c>
      <c r="Y51" s="243" t="inlineStr">
        <is>
          <t>—</t>
        </is>
      </c>
      <c r="Z51" s="243" t="inlineStr">
        <is>
          <t>—</t>
        </is>
      </c>
      <c r="AA51" s="243" t="inlineStr">
        <is>
          <t>—</t>
        </is>
      </c>
      <c r="AB51" s="246" t="inlineStr">
        <is>
          <t>—</t>
        </is>
      </c>
      <c r="AC51" s="252" t="inlineStr">
        <is>
          <t>no Total THC result on this certificate</t>
        </is>
      </c>
    </row>
    <row r="52">
      <c r="A52" s="243">
        <f>IF(OR(C52="yes",C52="allocated",C52="ruled"),COUNT(A$1:A51)+1,"")</f>
        <v/>
      </c>
      <c r="B52" s="244">
        <f>IF(A52&lt;&gt;"","CoQ-PP_26-"&amp;TEXT(A52,"000"),"— at issue —")</f>
        <v/>
      </c>
      <c r="C52" s="249" t="inlineStr">
        <is>
          <t>yes</t>
        </is>
      </c>
      <c r="D52" s="245">
        <f>IF(OR(A52="",C52="allocated",C52="ruled"),"",MAX(E52,IF(ISNUMBER(I52),I52,0),IFERROR(IF(ISNUMBER(INDEX('iCoA Register'!$F:$F,MATCH(S52,'iCoA Register'!$AA:$AA,0))),INDEX('iCoA Register'!$F:$F,MATCH(S52,'iCoA Register'!$AA:$AA,0)),0),0)))</f>
        <v/>
      </c>
      <c r="E52" s="245">
        <f>IF(ISNUMBER(F52),MAX(DATE(2026,6,6),F52+7),DATE(2026,6,6))</f>
        <v/>
      </c>
      <c r="F52" s="245" t="n">
        <v>46083</v>
      </c>
      <c r="G52" s="243" t="inlineStr">
        <is>
          <t>051-1-LoD-26</t>
        </is>
      </c>
      <c r="H52" s="243">
        <f>IFERROR(INDEX('iCoA Register'!$B:$B,MATCH("P060152|I",'iCoA Register'!$AA:$AA,0)),"—")</f>
        <v/>
      </c>
      <c r="I52" s="245">
        <f>IFERROR(INDEX('iCoA Register'!$D:$D,MATCH("P060152|I",'iCoA Register'!$AA:$AA,0)),"")</f>
        <v/>
      </c>
      <c r="J52" s="243" t="inlineStr">
        <is>
          <t>legacy</t>
        </is>
      </c>
      <c r="K52" s="243" t="inlineStr">
        <is>
          <t>initial release</t>
        </is>
      </c>
      <c r="L52" s="244" t="inlineStr">
        <is>
          <t>J31102501</t>
        </is>
      </c>
      <c r="M52" s="243" t="inlineStr">
        <is>
          <t>P060152</t>
        </is>
      </c>
      <c r="N52" s="243" t="inlineStr">
        <is>
          <t>Jokerz 31</t>
        </is>
      </c>
      <c r="O52" s="243" t="inlineStr">
        <is>
          <t>051-1-K-26, (04.03.2026) [FHM-K]</t>
        </is>
      </c>
      <c r="P52" s="248" t="inlineStr">
        <is>
          <t>—</t>
        </is>
      </c>
      <c r="Q52" s="243" t="inlineStr">
        <is>
          <t>—</t>
        </is>
      </c>
      <c r="R52" s="243" t="inlineStr">
        <is>
          <t>CoQ-PP-2026-0012</t>
        </is>
      </c>
      <c r="S52" s="243" t="inlineStr">
        <is>
          <t>P060152|I</t>
        </is>
      </c>
      <c r="T52" s="250" t="inlineStr">
        <is>
          <t>registered — legacy series, issued 06.06.2026 · initial certificate to locate: #9 (IJZ), #10 (CNP), #11 (CNP), #12 (CNP)</t>
        </is>
      </c>
      <c r="U52" s="243" t="inlineStr">
        <is>
          <t>n/a — initial certificate</t>
        </is>
      </c>
      <c r="V52" s="251" t="n">
        <v>19.14</v>
      </c>
      <c r="W52" s="243" t="inlineStr">
        <is>
          <t>051-1-К/26</t>
        </is>
      </c>
      <c r="X52" s="243" t="inlineStr">
        <is>
          <t>18.00 ± 1.80 (III)</t>
        </is>
      </c>
      <c r="Y52" s="243" t="inlineStr">
        <is>
          <t>16.20 – 19.79 %</t>
        </is>
      </c>
      <c r="Z52" s="243" t="inlineStr">
        <is>
          <t>J31_THC18 : CBD1</t>
        </is>
      </c>
      <c r="AA52" s="243" t="inlineStr">
        <is>
          <t>QCSP_001_J31-III_v.01</t>
        </is>
      </c>
      <c r="AB52" s="246" t="inlineStr">
        <is>
          <t>for review — new</t>
        </is>
      </c>
      <c r="AC52" s="246" t="inlineStr"/>
    </row>
    <row r="53">
      <c r="A53" s="243">
        <f>IF(OR(C53="yes",C53="allocated",C53="ruled"),COUNT(A$1:A52)+1,"")</f>
        <v/>
      </c>
      <c r="B53" s="244">
        <f>IF(A53&lt;&gt;"","CoQ-PP_26-"&amp;TEXT(A53,"000"),"— at issue —")</f>
        <v/>
      </c>
      <c r="C53" s="249" t="inlineStr">
        <is>
          <t>yes</t>
        </is>
      </c>
      <c r="D53" s="245">
        <f>IF(OR(A53="",C53="allocated",C53="ruled"),"",MAX(E53,IF(ISNUMBER(I53),I53,0),IFERROR(IF(ISNUMBER(INDEX('iCoA Register'!$F:$F,MATCH(S53,'iCoA Register'!$AA:$AA,0))),INDEX('iCoA Register'!$F:$F,MATCH(S53,'iCoA Register'!$AA:$AA,0)),0),0)))</f>
        <v/>
      </c>
      <c r="E53" s="245">
        <f>IF(ISNUMBER(F53),MAX(DATE(2026,6,6),F53+7),DATE(2026,6,6))</f>
        <v/>
      </c>
      <c r="F53" s="245" t="n">
        <v>46083</v>
      </c>
      <c r="G53" s="243" t="inlineStr">
        <is>
          <t>051-3-LoD-26</t>
        </is>
      </c>
      <c r="H53" s="243">
        <f>IFERROR(INDEX('iCoA Register'!$B:$B,MATCH("P060162|I",'iCoA Register'!$AA:$AA,0)),"—")</f>
        <v/>
      </c>
      <c r="I53" s="245">
        <f>IFERROR(INDEX('iCoA Register'!$D:$D,MATCH("P060162|I",'iCoA Register'!$AA:$AA,0)),"")</f>
        <v/>
      </c>
      <c r="J53" s="243" t="inlineStr">
        <is>
          <t>legacy</t>
        </is>
      </c>
      <c r="K53" s="243" t="inlineStr">
        <is>
          <t>initial release</t>
        </is>
      </c>
      <c r="L53" s="244" t="inlineStr">
        <is>
          <t>SJ102501</t>
        </is>
      </c>
      <c r="M53" s="243" t="inlineStr">
        <is>
          <t>P060162</t>
        </is>
      </c>
      <c r="N53" s="243" t="inlineStr">
        <is>
          <t>Sleepy Joe</t>
        </is>
      </c>
      <c r="O53" s="243" t="inlineStr">
        <is>
          <t>051-3-K-26, (04.03.2026) [FHM-K]</t>
        </is>
      </c>
      <c r="P53" s="248" t="inlineStr">
        <is>
          <t>—</t>
        </is>
      </c>
      <c r="Q53" s="243" t="inlineStr">
        <is>
          <t>—</t>
        </is>
      </c>
      <c r="R53" s="243" t="inlineStr">
        <is>
          <t>(assigned on issue)</t>
        </is>
      </c>
      <c r="S53" s="243" t="inlineStr">
        <is>
          <t>P060162|I</t>
        </is>
      </c>
      <c r="T53" s="250" t="inlineStr">
        <is>
          <t>registered — legacy series, issued 06.06.2026 · initial certificate to locate: #9 (IJZ), #10 (CNP), #11 (CNP), #12 (CNP)</t>
        </is>
      </c>
      <c r="U53" s="243" t="inlineStr">
        <is>
          <t>n/a — initial certificate</t>
        </is>
      </c>
      <c r="V53" s="251" t="n">
        <v>11.2</v>
      </c>
      <c r="W53" s="243" t="inlineStr">
        <is>
          <t>051-3-К/26</t>
        </is>
      </c>
      <c r="X53" s="243" t="inlineStr">
        <is>
          <t>12.00 ± 1.00 (I)</t>
        </is>
      </c>
      <c r="Y53" s="243" t="inlineStr">
        <is>
          <t>11.00 – 12.99 %</t>
        </is>
      </c>
      <c r="Z53" s="243" t="inlineStr">
        <is>
          <t>SJ_THC12 : CBD1</t>
        </is>
      </c>
      <c r="AA53" s="243" t="inlineStr">
        <is>
          <t>QCSP_001_SJ-I_v.01</t>
        </is>
      </c>
      <c r="AB53" s="246" t="inlineStr">
        <is>
          <t>for review — new</t>
        </is>
      </c>
      <c r="AC53" s="246" t="inlineStr"/>
    </row>
    <row r="54">
      <c r="A54" s="243">
        <f>IF(OR(C54="yes",C54="allocated",C54="ruled"),COUNT(A$1:A53)+1,"")</f>
        <v/>
      </c>
      <c r="B54" s="244">
        <f>IF(A54&lt;&gt;"","CoQ-PP_26-"&amp;TEXT(A54,"000"),"— at issue —")</f>
        <v/>
      </c>
      <c r="C54" s="249" t="inlineStr">
        <is>
          <t>yes</t>
        </is>
      </c>
      <c r="D54" s="245">
        <f>IF(OR(A54="",C54="allocated",C54="ruled"),"",MAX(E54,IF(ISNUMBER(I54),I54,0),IFERROR(IF(ISNUMBER(INDEX('iCoA Register'!$F:$F,MATCH(S54,'iCoA Register'!$AA:$AA,0))),INDEX('iCoA Register'!$F:$F,MATCH(S54,'iCoA Register'!$AA:$AA,0)),0),0)))</f>
        <v/>
      </c>
      <c r="E54" s="245">
        <f>IF(ISNUMBER(F54),MAX(DATE(2026,6,6),F54+7),DATE(2026,6,6))</f>
        <v/>
      </c>
      <c r="F54" s="245" t="n">
        <v>46083</v>
      </c>
      <c r="G54" s="243" t="inlineStr">
        <is>
          <t>051-4-LoD-26</t>
        </is>
      </c>
      <c r="H54" s="243">
        <f>IFERROR(INDEX('iCoA Register'!$B:$B,MATCH("P060172|I",'iCoA Register'!$AA:$AA,0)),"—")</f>
        <v/>
      </c>
      <c r="I54" s="245">
        <f>IFERROR(INDEX('iCoA Register'!$D:$D,MATCH("P060172|I",'iCoA Register'!$AA:$AA,0)),"")</f>
        <v/>
      </c>
      <c r="J54" s="243" t="inlineStr">
        <is>
          <t>legacy</t>
        </is>
      </c>
      <c r="K54" s="243" t="inlineStr">
        <is>
          <t>initial release</t>
        </is>
      </c>
      <c r="L54" s="244" t="inlineStr">
        <is>
          <t>KC102501</t>
        </is>
      </c>
      <c r="M54" s="243" t="inlineStr">
        <is>
          <t>P060172</t>
        </is>
      </c>
      <c r="N54" s="243" t="inlineStr">
        <is>
          <t>Kush Crasher</t>
        </is>
      </c>
      <c r="O54" s="243" t="inlineStr">
        <is>
          <t>051-4-K-26, (04.03.2026) [FHM-K]</t>
        </is>
      </c>
      <c r="P54" s="248" t="inlineStr">
        <is>
          <t>—</t>
        </is>
      </c>
      <c r="Q54" s="243" t="inlineStr">
        <is>
          <t>—</t>
        </is>
      </c>
      <c r="R54" s="243" t="inlineStr">
        <is>
          <t>CoQ-PP-2026-0013</t>
        </is>
      </c>
      <c r="S54" s="243" t="inlineStr">
        <is>
          <t>P060172|I</t>
        </is>
      </c>
      <c r="T54" s="250" t="inlineStr">
        <is>
          <t>registered — legacy series, issued 06.06.2026 · initial certificate to locate: #9 (IJZ), #10 (CNP), #11 (CNP), #12 (CNP)</t>
        </is>
      </c>
      <c r="U54" s="243" t="inlineStr">
        <is>
          <t>n/a — initial certificate</t>
        </is>
      </c>
      <c r="V54" s="251" t="n">
        <v>17.04</v>
      </c>
      <c r="W54" s="243" t="inlineStr">
        <is>
          <t>051-4-К/26</t>
        </is>
      </c>
      <c r="X54" s="243" t="inlineStr">
        <is>
          <t>18.00 ± 1.80 (I)</t>
        </is>
      </c>
      <c r="Y54" s="243" t="inlineStr">
        <is>
          <t>16.20 – 19.79 %</t>
        </is>
      </c>
      <c r="Z54" s="243" t="inlineStr">
        <is>
          <t>KC_THC18 : CBD1</t>
        </is>
      </c>
      <c r="AA54" s="243" t="inlineStr">
        <is>
          <t>QCSP_001_KC-I_v.01</t>
        </is>
      </c>
      <c r="AB54" s="252" t="inlineStr">
        <is>
          <t>for review — replaces the issued QCSP_001_KC-I_v.01 (was KC_THC18 : CBD1, 16.20 – 19.80 %); now KC_THC18 : CBD1 16.20 – 19.79 %</t>
        </is>
      </c>
      <c r="AC54" s="246" t="inlineStr"/>
    </row>
    <row r="55">
      <c r="A55" s="243">
        <f>IF(OR(C55="yes",C55="allocated",C55="ruled"),COUNT(A$1:A54)+1,"")</f>
        <v/>
      </c>
      <c r="B55" s="244">
        <f>IF(A55&lt;&gt;"","CoQ-PP_26-"&amp;TEXT(A55,"000"),"— at issue —")</f>
        <v/>
      </c>
      <c r="C55" s="249" t="inlineStr">
        <is>
          <t>yes</t>
        </is>
      </c>
      <c r="D55" s="245">
        <f>IF(OR(A55="",C55="allocated",C55="ruled"),"",MAX(E55,IF(ISNUMBER(I55),I55,0),IFERROR(IF(ISNUMBER(INDEX('iCoA Register'!$F:$F,MATCH(S55,'iCoA Register'!$AA:$AA,0))),INDEX('iCoA Register'!$F:$F,MATCH(S55,'iCoA Register'!$AA:$AA,0)),0),0)))</f>
        <v/>
      </c>
      <c r="E55" s="245">
        <f>IF(ISNUMBER(F55),MAX(DATE(2026,6,6),F55+7),DATE(2026,6,6))</f>
        <v/>
      </c>
      <c r="F55" s="245" t="n">
        <v>46083</v>
      </c>
      <c r="G55" s="243" t="inlineStr">
        <is>
          <t>051-6-LoD-26</t>
        </is>
      </c>
      <c r="H55" s="243">
        <f>IFERROR(INDEX('iCoA Register'!$B:$B,MATCH("P060182|I",'iCoA Register'!$AA:$AA,0)),"—")</f>
        <v/>
      </c>
      <c r="I55" s="245">
        <f>IFERROR(INDEX('iCoA Register'!$D:$D,MATCH("P060182|I",'iCoA Register'!$AA:$AA,0)),"")</f>
        <v/>
      </c>
      <c r="J55" s="243" t="inlineStr">
        <is>
          <t>legacy</t>
        </is>
      </c>
      <c r="K55" s="243" t="inlineStr">
        <is>
          <t>initial release</t>
        </is>
      </c>
      <c r="L55" s="244" t="inlineStr">
        <is>
          <t>GRC102501</t>
        </is>
      </c>
      <c r="M55" s="243" t="inlineStr">
        <is>
          <t>P060182</t>
        </is>
      </c>
      <c r="N55" s="243" t="inlineStr">
        <is>
          <t>Grapes And Cream</t>
        </is>
      </c>
      <c r="O55" s="243" t="inlineStr">
        <is>
          <t>051-6-K-26, (04.03.2026) [FHM-K]</t>
        </is>
      </c>
      <c r="P55" s="248" t="inlineStr">
        <is>
          <t>—</t>
        </is>
      </c>
      <c r="Q55" s="243" t="inlineStr">
        <is>
          <t>—</t>
        </is>
      </c>
      <c r="R55" s="243" t="inlineStr">
        <is>
          <t>CoQ-PP-2026-0014</t>
        </is>
      </c>
      <c r="S55" s="243" t="inlineStr">
        <is>
          <t>P060182|I</t>
        </is>
      </c>
      <c r="T55" s="250" t="inlineStr">
        <is>
          <t>registered — legacy series, issued 06.06.2026 · initial certificate to locate: #9 (IJZ), #10 (CNP), #11 (CNP), #12 (CNP)</t>
        </is>
      </c>
      <c r="U55" s="243" t="inlineStr">
        <is>
          <t>n/a — initial certificate</t>
        </is>
      </c>
      <c r="V55" s="251" t="n">
        <v>11.53</v>
      </c>
      <c r="W55" s="243" t="inlineStr">
        <is>
          <t>051-6-К/26</t>
        </is>
      </c>
      <c r="X55" s="243" t="inlineStr">
        <is>
          <t>12.00 ± 1.00 (I)</t>
        </is>
      </c>
      <c r="Y55" s="243" t="inlineStr">
        <is>
          <t>11.00 – 12.99 %</t>
        </is>
      </c>
      <c r="Z55" s="243" t="inlineStr">
        <is>
          <t>GRC_THC12 : CBD1</t>
        </is>
      </c>
      <c r="AA55" s="243" t="inlineStr">
        <is>
          <t>QCSP_001_GRC-I_v.01</t>
        </is>
      </c>
      <c r="AB55" s="246" t="inlineStr">
        <is>
          <t>for review — new</t>
        </is>
      </c>
      <c r="AC55" s="246" t="inlineStr"/>
    </row>
    <row r="56">
      <c r="A56" s="243">
        <f>IF(OR(C56="yes",C56="allocated",C56="ruled"),COUNT(A$1:A55)+1,"")</f>
        <v/>
      </c>
      <c r="B56" s="244">
        <f>IF(A56&lt;&gt;"","CoQ-PP_26-"&amp;TEXT(A56,"000"),"— at issue —")</f>
        <v/>
      </c>
      <c r="C56" s="249" t="inlineStr">
        <is>
          <t>yes</t>
        </is>
      </c>
      <c r="D56" s="245">
        <f>IF(OR(A56="",C56="allocated",C56="ruled"),"",MAX(E56,IF(ISNUMBER(I56),I56,0),IFERROR(IF(ISNUMBER(INDEX('iCoA Register'!$F:$F,MATCH(S56,'iCoA Register'!$AA:$AA,0))),INDEX('iCoA Register'!$F:$F,MATCH(S56,'iCoA Register'!$AA:$AA,0)),0),0)))</f>
        <v/>
      </c>
      <c r="E56" s="245">
        <f>IF(ISNUMBER(F56),MAX(DATE(2026,6,6),F56+7),DATE(2026,6,6))</f>
        <v/>
      </c>
      <c r="F56" s="245" t="n">
        <v>46083</v>
      </c>
      <c r="G56" s="243" t="inlineStr">
        <is>
          <t>051-2-LoD-26</t>
        </is>
      </c>
      <c r="H56" s="243">
        <f>IFERROR(INDEX('iCoA Register'!$B:$B,MATCH("P060192|I",'iCoA Register'!$AA:$AA,0)),"—")</f>
        <v/>
      </c>
      <c r="I56" s="245">
        <f>IFERROR(INDEX('iCoA Register'!$D:$D,MATCH("P060192|I",'iCoA Register'!$AA:$AA,0)),"")</f>
        <v/>
      </c>
      <c r="J56" s="243" t="inlineStr">
        <is>
          <t>legacy</t>
        </is>
      </c>
      <c r="K56" s="243" t="inlineStr">
        <is>
          <t>initial release</t>
        </is>
      </c>
      <c r="L56" s="244" t="inlineStr">
        <is>
          <t>SJ112501</t>
        </is>
      </c>
      <c r="M56" s="243" t="inlineStr">
        <is>
          <t>P060192</t>
        </is>
      </c>
      <c r="N56" s="243" t="inlineStr">
        <is>
          <t>Sleepy Joe</t>
        </is>
      </c>
      <c r="O56" s="243" t="inlineStr">
        <is>
          <t>051-2-K-26, (04.03.2026) [FHM-K]</t>
        </is>
      </c>
      <c r="P56" s="248" t="inlineStr">
        <is>
          <t>—</t>
        </is>
      </c>
      <c r="Q56" s="243" t="inlineStr">
        <is>
          <t>—</t>
        </is>
      </c>
      <c r="R56" s="243" t="inlineStr">
        <is>
          <t>(assigned on issue)</t>
        </is>
      </c>
      <c r="S56" s="243" t="inlineStr">
        <is>
          <t>P060192|I</t>
        </is>
      </c>
      <c r="T56" s="250" t="inlineStr">
        <is>
          <t>registered — legacy series, issued 06.06.2026 · initial certificate to locate: #9 (IJZ), #10 (CNP), #11 (CNP), #12 (CNP)</t>
        </is>
      </c>
      <c r="U56" s="243" t="inlineStr">
        <is>
          <t>n/a — initial certificate</t>
        </is>
      </c>
      <c r="V56" s="251" t="n">
        <v>9.199999999999999</v>
      </c>
      <c r="W56" s="243" t="inlineStr">
        <is>
          <t>051-2-К/26</t>
        </is>
      </c>
      <c r="X56" s="243" t="inlineStr">
        <is>
          <t>10.00 ± 1.00 (II)</t>
        </is>
      </c>
      <c r="Y56" s="243" t="inlineStr">
        <is>
          <t>9.00 – 10.99 %</t>
        </is>
      </c>
      <c r="Z56" s="243" t="inlineStr">
        <is>
          <t>SJ_THC10 : CBD1</t>
        </is>
      </c>
      <c r="AA56" s="243" t="inlineStr">
        <is>
          <t>QCSP_001_SJ-II_v.01</t>
        </is>
      </c>
      <c r="AB56" s="252" t="inlineStr">
        <is>
          <t>for review — replaces the issued QCSP_001_SJ-II_v.01 (was SJ_THC10 : CBD1, 9.00 – 11.00 %); now SJ_THC10 : CBD1 9.00 – 10.99 %</t>
        </is>
      </c>
      <c r="AC56" s="246" t="inlineStr"/>
    </row>
    <row r="57">
      <c r="A57" s="243">
        <f>IF(OR(C57="yes",C57="allocated",C57="ruled"),COUNT(A$1:A56)+1,"")</f>
        <v/>
      </c>
      <c r="B57" s="244">
        <f>IF(A57&lt;&gt;"","CoQ-PP_26-"&amp;TEXT(A57,"000"),"— at issue —")</f>
        <v/>
      </c>
      <c r="C57" s="249" t="inlineStr">
        <is>
          <t>yes</t>
        </is>
      </c>
      <c r="D57" s="245">
        <f>IF(OR(A57="",C57="allocated",C57="ruled"),"",MAX(E57,IF(ISNUMBER(I57),I57,0),IFERROR(IF(ISNUMBER(INDEX('iCoA Register'!$F:$F,MATCH(S57,'iCoA Register'!$AA:$AA,0))),INDEX('iCoA Register'!$F:$F,MATCH(S57,'iCoA Register'!$AA:$AA,0)),0),0)))</f>
        <v/>
      </c>
      <c r="E57" s="245">
        <f>IF(ISNUMBER(F57),MAX(DATE(2026,6,6),F57+7),DATE(2026,6,6))</f>
        <v/>
      </c>
      <c r="F57" s="245" t="n">
        <v>46083</v>
      </c>
      <c r="G57" s="243" t="inlineStr">
        <is>
          <t>051-5-LoD-26</t>
        </is>
      </c>
      <c r="H57" s="243">
        <f>IFERROR(INDEX('iCoA Register'!$B:$B,MATCH("P060202|I",'iCoA Register'!$AA:$AA,0)),"—")</f>
        <v/>
      </c>
      <c r="I57" s="245">
        <f>IFERROR(INDEX('iCoA Register'!$D:$D,MATCH("P060202|I",'iCoA Register'!$AA:$AA,0)),"")</f>
        <v/>
      </c>
      <c r="J57" s="243" t="inlineStr">
        <is>
          <t>legacy</t>
        </is>
      </c>
      <c r="K57" s="243" t="inlineStr">
        <is>
          <t>initial release</t>
        </is>
      </c>
      <c r="L57" s="244" t="inlineStr">
        <is>
          <t>J31112501</t>
        </is>
      </c>
      <c r="M57" s="243" t="inlineStr">
        <is>
          <t>P060202</t>
        </is>
      </c>
      <c r="N57" s="243" t="inlineStr">
        <is>
          <t>Jokerz 31</t>
        </is>
      </c>
      <c r="O57" s="243" t="inlineStr">
        <is>
          <t>051-5-K-26, (04.03.2026) [FHM-K]</t>
        </is>
      </c>
      <c r="P57" s="248" t="inlineStr">
        <is>
          <t>—</t>
        </is>
      </c>
      <c r="Q57" s="243" t="inlineStr">
        <is>
          <t>—</t>
        </is>
      </c>
      <c r="R57" s="243" t="inlineStr">
        <is>
          <t>(assigned on issue)</t>
        </is>
      </c>
      <c r="S57" s="243" t="inlineStr">
        <is>
          <t>P060202|I</t>
        </is>
      </c>
      <c r="T57" s="250" t="inlineStr">
        <is>
          <t>registered — legacy series, issued 06.06.2026 · initial certificate to locate: #9 (IJZ), #10 (CNP), #11 (CNP), #12 (CNP)</t>
        </is>
      </c>
      <c r="U57" s="243" t="inlineStr">
        <is>
          <t>n/a — initial certificate</t>
        </is>
      </c>
      <c r="V57" s="251" t="n">
        <v>25.27</v>
      </c>
      <c r="W57" s="243" t="inlineStr">
        <is>
          <t>051-5-К/26</t>
        </is>
      </c>
      <c r="X57" s="243" t="inlineStr">
        <is>
          <t>26.00 ± 1.80 (I)</t>
        </is>
      </c>
      <c r="Y57" s="243" t="inlineStr">
        <is>
          <t>24.20 – 27.79 %</t>
        </is>
      </c>
      <c r="Z57" s="243" t="inlineStr">
        <is>
          <t>J31_THC26 : CBD1</t>
        </is>
      </c>
      <c r="AA57" s="243" t="inlineStr">
        <is>
          <t>QCSP_001_J31-I_v.01</t>
        </is>
      </c>
      <c r="AB57" s="246" t="inlineStr">
        <is>
          <t>for review — new</t>
        </is>
      </c>
      <c r="AC57" s="246" t="inlineStr"/>
    </row>
    <row r="58">
      <c r="A58" s="243">
        <f>IF(OR(C58="yes",C58="allocated",C58="ruled"),COUNT(A$1:A57)+1,"")</f>
        <v/>
      </c>
      <c r="B58" s="244">
        <f>IF(A58&lt;&gt;"","CoQ-PP_26-"&amp;TEXT(A58,"000"),"— at issue —")</f>
        <v/>
      </c>
      <c r="C58" s="249" t="inlineStr">
        <is>
          <t>yes</t>
        </is>
      </c>
      <c r="D58" s="245">
        <f>IF(OR(A58="",C58="allocated",C58="ruled"),"",MAX(E58,IF(ISNUMBER(I58),I58,0),IFERROR(IF(ISNUMBER(INDEX('iCoA Register'!$F:$F,MATCH(S58,'iCoA Register'!$AA:$AA,0))),INDEX('iCoA Register'!$F:$F,MATCH(S58,'iCoA Register'!$AA:$AA,0)),0),0)))</f>
        <v/>
      </c>
      <c r="E58" s="245">
        <f>IF(ISNUMBER(F58),MAX(DATE(2026,6,6),F58+7),DATE(2026,6,6))</f>
        <v/>
      </c>
      <c r="F58" s="245" t="n">
        <v>46153</v>
      </c>
      <c r="G58" s="243" t="inlineStr">
        <is>
          <t>ППК26063</t>
        </is>
      </c>
      <c r="H58" s="243">
        <f>IFERROR(INDEX('iCoA Register'!$B:$B,MATCH("P060212|I",'iCoA Register'!$AA:$AA,0)),"—")</f>
        <v/>
      </c>
      <c r="I58" s="245">
        <f>IFERROR(INDEX('iCoA Register'!$D:$D,MATCH("P060212|I",'iCoA Register'!$AA:$AA,0)),"")</f>
        <v/>
      </c>
      <c r="J58" s="243" t="inlineStr">
        <is>
          <t>legacy</t>
        </is>
      </c>
      <c r="K58" s="243" t="inlineStr">
        <is>
          <t>initial release</t>
        </is>
      </c>
      <c r="L58" s="244" t="inlineStr">
        <is>
          <t>JD112501</t>
        </is>
      </c>
      <c r="M58" s="243" t="inlineStr">
        <is>
          <t>P060212</t>
        </is>
      </c>
      <c r="N58" s="243" t="inlineStr">
        <is>
          <t>Jelly Donuts</t>
        </is>
      </c>
      <c r="O58" s="243" t="inlineStr">
        <is>
          <t>ППК26063, (11.05.2026) [CNP]</t>
        </is>
      </c>
      <c r="P58" s="248" t="inlineStr">
        <is>
          <t>—</t>
        </is>
      </c>
      <c r="Q58" s="243" t="inlineStr">
        <is>
          <t>—</t>
        </is>
      </c>
      <c r="R58" s="243" t="inlineStr">
        <is>
          <t>CoQ-PP-2026-0015</t>
        </is>
      </c>
      <c r="S58" s="243" t="inlineStr">
        <is>
          <t>P060212|I</t>
        </is>
      </c>
      <c r="T58" s="250" t="inlineStr">
        <is>
          <t>registered — legacy series, issued 06.06.2026</t>
        </is>
      </c>
      <c r="U58" s="243" t="inlineStr">
        <is>
          <t>n/a — initial certificate</t>
        </is>
      </c>
      <c r="V58" s="251" t="n">
        <v>19.64</v>
      </c>
      <c r="W58" s="243" t="inlineStr">
        <is>
          <t>ППК26063</t>
        </is>
      </c>
      <c r="X58" s="243" t="inlineStr">
        <is>
          <t>18.00 ± 1.80 (II)</t>
        </is>
      </c>
      <c r="Y58" s="243" t="inlineStr">
        <is>
          <t>16.20 – 19.79 %</t>
        </is>
      </c>
      <c r="Z58" s="243" t="inlineStr">
        <is>
          <t>JD_THC18 : CBD1</t>
        </is>
      </c>
      <c r="AA58" s="243" t="inlineStr">
        <is>
          <t>QCSP_001_JD-II_v.01</t>
        </is>
      </c>
      <c r="AB58" s="252" t="inlineStr">
        <is>
          <t>for review — replaces the issued QCSP_001_JD-II_v.01 (was JD_THC16 : CBD1, 14.91 – 17.09 %); now JD_THC18 : CBD1 16.20 – 19.79 %</t>
        </is>
      </c>
      <c r="AC58" s="246" t="inlineStr"/>
    </row>
    <row r="59">
      <c r="A59" s="243">
        <f>IF(OR(C59="yes",C59="allocated",C59="ruled"),COUNT(A$1:A58)+1,"")</f>
        <v/>
      </c>
      <c r="B59" s="244">
        <f>IF(A59&lt;&gt;"","CoQ-PP_26-"&amp;TEXT(A59,"000"),"— at issue —")</f>
        <v/>
      </c>
      <c r="C59" s="249" t="inlineStr">
        <is>
          <t>yes</t>
        </is>
      </c>
      <c r="D59" s="245">
        <f>IF(OR(A59="",C59="allocated",C59="ruled"),"",MAX(E59,IF(ISNUMBER(I59),I59,0),IFERROR(IF(ISNUMBER(INDEX('iCoA Register'!$F:$F,MATCH(S59,'iCoA Register'!$AA:$AA,0))),INDEX('iCoA Register'!$F:$F,MATCH(S59,'iCoA Register'!$AA:$AA,0)),0),0)))</f>
        <v/>
      </c>
      <c r="E59" s="245">
        <f>IF(ISNUMBER(F59),MAX(DATE(2026,6,6),F59+7),DATE(2026,6,6))</f>
        <v/>
      </c>
      <c r="F59" s="245" t="n">
        <v>46086</v>
      </c>
      <c r="G59" s="243" t="inlineStr">
        <is>
          <t>ППК26031</t>
        </is>
      </c>
      <c r="H59" s="243">
        <f>IFERROR(INDEX('iCoA Register'!$B:$B,MATCH("P060222|I",'iCoA Register'!$AA:$AA,0)),"—")</f>
        <v/>
      </c>
      <c r="I59" s="245">
        <f>IFERROR(INDEX('iCoA Register'!$D:$D,MATCH("P060222|I",'iCoA Register'!$AA:$AA,0)),"")</f>
        <v/>
      </c>
      <c r="J59" s="243" t="inlineStr">
        <is>
          <t>legacy</t>
        </is>
      </c>
      <c r="K59" s="243" t="inlineStr">
        <is>
          <t>initial release</t>
        </is>
      </c>
      <c r="L59" s="244" t="inlineStr">
        <is>
          <t>OPM112501</t>
        </is>
      </c>
      <c r="M59" s="243" t="inlineStr">
        <is>
          <t>P060222</t>
        </is>
      </c>
      <c r="N59" s="243" t="inlineStr">
        <is>
          <t>Orange Punch Mimosa</t>
        </is>
      </c>
      <c r="O59" s="243" t="inlineStr">
        <is>
          <t>ППК26031, (05.03.2026) [CNP]</t>
        </is>
      </c>
      <c r="P59" s="248" t="inlineStr">
        <is>
          <t>—</t>
        </is>
      </c>
      <c r="Q59" s="243" t="inlineStr">
        <is>
          <t>—</t>
        </is>
      </c>
      <c r="R59" s="243" t="inlineStr">
        <is>
          <t>(assigned on issue)</t>
        </is>
      </c>
      <c r="S59" s="243" t="inlineStr">
        <is>
          <t>P060222|I</t>
        </is>
      </c>
      <c r="T59" s="250" t="inlineStr">
        <is>
          <t>registered — legacy series, issued 06.06.2026 · initial certificate to locate: #9 (IJZ), #10 (CNP), #11 (CNP), #12 (CNP)</t>
        </is>
      </c>
      <c r="U59" s="243" t="inlineStr">
        <is>
          <t>n/a — initial certificate</t>
        </is>
      </c>
      <c r="V59" s="251" t="n">
        <v>8</v>
      </c>
      <c r="W59" s="243" t="inlineStr">
        <is>
          <t>ППК26031</t>
        </is>
      </c>
      <c r="X59" s="243" t="inlineStr">
        <is>
          <t>8.00 ± 0.80 (V)</t>
        </is>
      </c>
      <c r="Y59" s="243" t="inlineStr">
        <is>
          <t>7.20 – 8.79 %</t>
        </is>
      </c>
      <c r="Z59" s="243" t="inlineStr">
        <is>
          <t>OPM_THC8 : CBD1</t>
        </is>
      </c>
      <c r="AA59" s="243" t="inlineStr">
        <is>
          <t>QCSP_001_OPM-V_v.01</t>
        </is>
      </c>
      <c r="AB59" s="252" t="inlineStr">
        <is>
          <t>for review — replaces the issued QCSP_001_OPM-V_v.01 (was OPM_THC8 : CBD1, 7.20 – 8.80 %); now OPM_THC8 : CBD1 7.20 – 8.79 %</t>
        </is>
      </c>
      <c r="AC59" s="246" t="inlineStr"/>
    </row>
    <row r="60">
      <c r="A60" s="243">
        <f>IF(OR(C60="yes",C60="allocated",C60="ruled"),COUNT(A$1:A59)+1,"")</f>
        <v/>
      </c>
      <c r="B60" s="244">
        <f>IF(A60&lt;&gt;"","CoQ-PP_26-"&amp;TEXT(A60,"000"),"— at issue —")</f>
        <v/>
      </c>
      <c r="C60" s="249" t="inlineStr">
        <is>
          <t>yes</t>
        </is>
      </c>
      <c r="D60" s="245">
        <f>IF(OR(A60="",C60="allocated",C60="ruled"),"",MAX(E60,IF(ISNUMBER(I60),I60,0),IFERROR(IF(ISNUMBER(INDEX('iCoA Register'!$F:$F,MATCH(S60,'iCoA Register'!$AA:$AA,0))),INDEX('iCoA Register'!$F:$F,MATCH(S60,'iCoA Register'!$AA:$AA,0)),0),0)))</f>
        <v/>
      </c>
      <c r="E60" s="245">
        <f>IF(ISNUMBER(F60),MAX(DATE(2026,6,6),F60+7),DATE(2026,6,6))</f>
        <v/>
      </c>
      <c r="F60" s="245" t="n">
        <v>46086</v>
      </c>
      <c r="G60" s="243" t="inlineStr">
        <is>
          <t>ППК26030</t>
        </is>
      </c>
      <c r="H60" s="243">
        <f>IFERROR(INDEX('iCoA Register'!$B:$B,MATCH("P060232|I",'iCoA Register'!$AA:$AA,0)),"—")</f>
        <v/>
      </c>
      <c r="I60" s="245">
        <f>IFERROR(INDEX('iCoA Register'!$D:$D,MATCH("P060232|I",'iCoA Register'!$AA:$AA,0)),"")</f>
        <v/>
      </c>
      <c r="J60" s="243" t="inlineStr">
        <is>
          <t>legacy</t>
        </is>
      </c>
      <c r="K60" s="243" t="inlineStr">
        <is>
          <t>initial release</t>
        </is>
      </c>
      <c r="L60" s="244" t="inlineStr">
        <is>
          <t>PM112501</t>
        </is>
      </c>
      <c r="M60" s="243" t="inlineStr">
        <is>
          <t>P060232</t>
        </is>
      </c>
      <c r="N60" s="243" t="inlineStr">
        <is>
          <t>Permanent Marker</t>
        </is>
      </c>
      <c r="O60" s="243" t="inlineStr">
        <is>
          <t>ППК26030, (05.03.2026) [CNP]</t>
        </is>
      </c>
      <c r="P60" s="248" t="inlineStr">
        <is>
          <t>—</t>
        </is>
      </c>
      <c r="Q60" s="243" t="inlineStr">
        <is>
          <t>—</t>
        </is>
      </c>
      <c r="R60" s="243" t="inlineStr">
        <is>
          <t>CoQ-PP-2026-0016</t>
        </is>
      </c>
      <c r="S60" s="243" t="inlineStr">
        <is>
          <t>P060232|I</t>
        </is>
      </c>
      <c r="T60" s="250" t="inlineStr">
        <is>
          <t>registered — legacy series, issued 06.06.2026 · initial certificate to locate: #9 (IJZ), #10 (CNP), #11 (CNP), #12 (CNP)</t>
        </is>
      </c>
      <c r="U60" s="243" t="inlineStr">
        <is>
          <t>n/a — initial certificate</t>
        </is>
      </c>
      <c r="V60" s="251" t="n">
        <v>13.33</v>
      </c>
      <c r="W60" s="243" t="inlineStr">
        <is>
          <t>ППК26030</t>
        </is>
      </c>
      <c r="X60" s="243" t="inlineStr">
        <is>
          <t>14.00 ± 1.00 (I)</t>
        </is>
      </c>
      <c r="Y60" s="243" t="inlineStr">
        <is>
          <t>13.00 – 14.99 %</t>
        </is>
      </c>
      <c r="Z60" s="243" t="inlineStr">
        <is>
          <t>PM_THC14 : CBD1</t>
        </is>
      </c>
      <c r="AA60" s="243" t="inlineStr">
        <is>
          <t>QCSP_001_PM-I_v.01</t>
        </is>
      </c>
      <c r="AB60" s="252" t="inlineStr">
        <is>
          <t>for review — replaces the issued QCSP_001_PM-I_v.01 (was PM_THC12 : CBD1, 11.01 – 12.99 %); now PM_THC14 : CBD1 13.00 – 14.99 %</t>
        </is>
      </c>
      <c r="AC60" s="246" t="inlineStr"/>
    </row>
    <row r="61">
      <c r="A61" s="243">
        <f>IF(OR(C61="yes",C61="allocated",C61="ruled"),COUNT(A$1:A60)+1,"")</f>
        <v/>
      </c>
      <c r="B61" s="244">
        <f>IF(A61&lt;&gt;"","CoQ-PP_26-"&amp;TEXT(A61,"000"),"— at issue —")</f>
        <v/>
      </c>
      <c r="C61" s="249" t="inlineStr">
        <is>
          <t>yes</t>
        </is>
      </c>
      <c r="D61" s="245">
        <f>IF(OR(A61="",C61="allocated",C61="ruled"),"",MAX(E61,IF(ISNUMBER(I61),I61,0),IFERROR(IF(ISNUMBER(INDEX('iCoA Register'!$F:$F,MATCH(S61,'iCoA Register'!$AA:$AA,0))),INDEX('iCoA Register'!$F:$F,MATCH(S61,'iCoA Register'!$AA:$AA,0)),0),0)))</f>
        <v/>
      </c>
      <c r="E61" s="245">
        <f>IF(ISNUMBER(F61),MAX(DATE(2026,6,6),F61+7),DATE(2026,6,6))</f>
        <v/>
      </c>
      <c r="F61" s="245" t="n">
        <v>46135</v>
      </c>
      <c r="G61" s="243" t="inlineStr">
        <is>
          <t>1627-2026</t>
        </is>
      </c>
      <c r="H61" s="243">
        <f>IFERROR(INDEX('iCoA Register'!$B:$B,MATCH("P060242|I",'iCoA Register'!$AA:$AA,0)),"—")</f>
        <v/>
      </c>
      <c r="I61" s="245">
        <f>IFERROR(INDEX('iCoA Register'!$D:$D,MATCH("P060242|I",'iCoA Register'!$AA:$AA,0)),"")</f>
        <v/>
      </c>
      <c r="J61" s="243" t="inlineStr">
        <is>
          <t>legacy</t>
        </is>
      </c>
      <c r="K61" s="243" t="inlineStr">
        <is>
          <t>initial release</t>
        </is>
      </c>
      <c r="L61" s="244" t="inlineStr">
        <is>
          <t>OPM122501</t>
        </is>
      </c>
      <c r="M61" s="243" t="inlineStr">
        <is>
          <t>P060242</t>
        </is>
      </c>
      <c r="N61" s="243" t="inlineStr">
        <is>
          <t>Orange Punch Mimosa</t>
        </is>
      </c>
      <c r="O61" s="243" t="inlineStr">
        <is>
          <t>100-4-K-26, (09.04.2026) [FHM-K]</t>
        </is>
      </c>
      <c r="P61" s="248" t="inlineStr">
        <is>
          <t>—</t>
        </is>
      </c>
      <c r="Q61" s="243" t="inlineStr">
        <is>
          <t>—</t>
        </is>
      </c>
      <c r="R61" s="243" t="inlineStr">
        <is>
          <t>CoQ-PP-2026-0017</t>
        </is>
      </c>
      <c r="S61" s="243" t="inlineStr">
        <is>
          <t>P060242|I</t>
        </is>
      </c>
      <c r="T61" s="250" t="inlineStr">
        <is>
          <t>registered — legacy series, issued 06.06.2026</t>
        </is>
      </c>
      <c r="U61" s="243" t="inlineStr">
        <is>
          <t>n/a — initial certificate</t>
        </is>
      </c>
      <c r="V61" s="251" t="n">
        <v>8.09</v>
      </c>
      <c r="W61" s="243" t="inlineStr">
        <is>
          <t>100-4-К/26</t>
        </is>
      </c>
      <c r="X61" s="243" t="inlineStr">
        <is>
          <t>8.00 ± 0.80 (V)</t>
        </is>
      </c>
      <c r="Y61" s="243" t="inlineStr">
        <is>
          <t>7.20 – 8.79 %</t>
        </is>
      </c>
      <c r="Z61" s="243" t="inlineStr">
        <is>
          <t>OPM_THC8 : CBD1</t>
        </is>
      </c>
      <c r="AA61" s="243" t="inlineStr">
        <is>
          <t>QCSP_001_OPM-V_v.01</t>
        </is>
      </c>
      <c r="AB61" s="252" t="inlineStr">
        <is>
          <t>for review — replaces the issued QCSP_001_OPM-V_v.01 (was OPM_THC8 : CBD1, 7.20 – 8.80 %); now OPM_THC8 : CBD1 7.20 – 8.79 %</t>
        </is>
      </c>
      <c r="AC61" s="246" t="inlineStr"/>
    </row>
    <row r="62">
      <c r="A62" s="243">
        <f>IF(OR(C62="yes",C62="allocated",C62="ruled"),COUNT(A$1:A61)+1,"")</f>
        <v/>
      </c>
      <c r="B62" s="244">
        <f>IF(A62&lt;&gt;"","CoQ-PP_26-"&amp;TEXT(A62,"000"),"— at issue —")</f>
        <v/>
      </c>
      <c r="C62" s="249" t="inlineStr">
        <is>
          <t>yes</t>
        </is>
      </c>
      <c r="D62" s="245">
        <f>IF(OR(A62="",C62="allocated",C62="ruled"),"",MAX(E62,IF(ISNUMBER(I62),I62,0),IFERROR(IF(ISNUMBER(INDEX('iCoA Register'!$F:$F,MATCH(S62,'iCoA Register'!$AA:$AA,0))),INDEX('iCoA Register'!$F:$F,MATCH(S62,'iCoA Register'!$AA:$AA,0)),0),0)))</f>
        <v/>
      </c>
      <c r="E62" s="245">
        <f>IF(ISNUMBER(F62),MAX(DATE(2026,6,6),F62+7),DATE(2026,6,6))</f>
        <v/>
      </c>
      <c r="F62" s="245" t="n">
        <v>46153</v>
      </c>
      <c r="G62" s="243" t="inlineStr">
        <is>
          <t>ППК26061</t>
        </is>
      </c>
      <c r="H62" s="243">
        <f>IFERROR(INDEX('iCoA Register'!$B:$B,MATCH("P060252|I",'iCoA Register'!$AA:$AA,0)),"—")</f>
        <v/>
      </c>
      <c r="I62" s="245">
        <f>IFERROR(INDEX('iCoA Register'!$D:$D,MATCH("P060252|I",'iCoA Register'!$AA:$AA,0)),"")</f>
        <v/>
      </c>
      <c r="J62" s="243" t="inlineStr">
        <is>
          <t>legacy</t>
        </is>
      </c>
      <c r="K62" s="243" t="inlineStr">
        <is>
          <t>initial release</t>
        </is>
      </c>
      <c r="L62" s="244" t="inlineStr">
        <is>
          <t>GG112501</t>
        </is>
      </c>
      <c r="M62" s="243" t="inlineStr">
        <is>
          <t>P060252</t>
        </is>
      </c>
      <c r="N62" s="243" t="inlineStr">
        <is>
          <t>Gorilla Glue</t>
        </is>
      </c>
      <c r="O62" s="243" t="inlineStr">
        <is>
          <t>ППК26061, (11.05.2026) [CNP]</t>
        </is>
      </c>
      <c r="P62" s="248" t="inlineStr">
        <is>
          <t>—</t>
        </is>
      </c>
      <c r="Q62" s="243" t="inlineStr">
        <is>
          <t>—</t>
        </is>
      </c>
      <c r="R62" s="243" t="inlineStr">
        <is>
          <t>(assigned on issue)</t>
        </is>
      </c>
      <c r="S62" s="243" t="inlineStr">
        <is>
          <t>P060252|I</t>
        </is>
      </c>
      <c r="T62" s="250" t="inlineStr">
        <is>
          <t>registered — legacy series, issued 06.06.2026</t>
        </is>
      </c>
      <c r="U62" s="243" t="inlineStr">
        <is>
          <t>n/a — initial certificate</t>
        </is>
      </c>
      <c r="V62" s="251" t="n">
        <v>17.94</v>
      </c>
      <c r="W62" s="243" t="inlineStr">
        <is>
          <t>ППК26061</t>
        </is>
      </c>
      <c r="X62" s="243" t="inlineStr">
        <is>
          <t>18.00 ± 1.77 (I)</t>
        </is>
      </c>
      <c r="Y62" s="243" t="inlineStr">
        <is>
          <t>16.23 – 19.76 %</t>
        </is>
      </c>
      <c r="Z62" s="243" t="inlineStr">
        <is>
          <t>GG_THC18 : CBD1</t>
        </is>
      </c>
      <c r="AA62" s="243" t="inlineStr">
        <is>
          <t>QCSP_001_GG-I_v.01</t>
        </is>
      </c>
      <c r="AB62" s="252" t="inlineStr">
        <is>
          <t>for review — replaces the issued QCSP_001_GG-I_v.01 (was GG_THC18 : CBD1, 17.01 – 18.99 %); now GG_THC18 : CBD1 16.23 – 19.76 %</t>
        </is>
      </c>
      <c r="AC62" s="246" t="inlineStr"/>
    </row>
    <row r="63">
      <c r="A63" s="243">
        <f>IF(OR(C63="yes",C63="allocated",C63="ruled"),COUNT(A$1:A62)+1,"")</f>
        <v/>
      </c>
      <c r="B63" s="244">
        <f>IF(A63&lt;&gt;"","CoQ-PP_26-"&amp;TEXT(A63,"000"),"— at issue —")</f>
        <v/>
      </c>
      <c r="C63" s="249" t="inlineStr">
        <is>
          <t>yes</t>
        </is>
      </c>
      <c r="D63" s="245">
        <f>IF(OR(A63="",C63="allocated",C63="ruled"),"",MAX(E63,IF(ISNUMBER(I63),I63,0),IFERROR(IF(ISNUMBER(INDEX('iCoA Register'!$F:$F,MATCH(S63,'iCoA Register'!$AA:$AA,0))),INDEX('iCoA Register'!$F:$F,MATCH(S63,'iCoA Register'!$AA:$AA,0)),0),0)))</f>
        <v/>
      </c>
      <c r="E63" s="245">
        <f>IF(ISNUMBER(F63),MAX(DATE(2026,6,6),F63+7),DATE(2026,6,6))</f>
        <v/>
      </c>
      <c r="F63" s="245" t="n">
        <v>46135</v>
      </c>
      <c r="G63" s="243" t="inlineStr">
        <is>
          <t>1625-2026</t>
        </is>
      </c>
      <c r="H63" s="243">
        <f>IFERROR(INDEX('iCoA Register'!$B:$B,MATCH("P060262|I",'iCoA Register'!$AA:$AA,0)),"—")</f>
        <v/>
      </c>
      <c r="I63" s="245">
        <f>IFERROR(INDEX('iCoA Register'!$D:$D,MATCH("P060262|I",'iCoA Register'!$AA:$AA,0)),"")</f>
        <v/>
      </c>
      <c r="J63" s="243" t="inlineStr">
        <is>
          <t>post-SOP</t>
        </is>
      </c>
      <c r="K63" s="243" t="inlineStr">
        <is>
          <t>initial release</t>
        </is>
      </c>
      <c r="L63" s="244" t="inlineStr">
        <is>
          <t>J31122501</t>
        </is>
      </c>
      <c r="M63" s="243" t="inlineStr">
        <is>
          <t>P060262</t>
        </is>
      </c>
      <c r="N63" s="243" t="inlineStr">
        <is>
          <t>Jokerz 31</t>
        </is>
      </c>
      <c r="O63" s="243" t="inlineStr">
        <is>
          <t>100-2-K-26, (09.04.2026) [FHM-K]</t>
        </is>
      </c>
      <c r="P63" s="248" t="inlineStr">
        <is>
          <t>—</t>
        </is>
      </c>
      <c r="Q63" s="243" t="inlineStr">
        <is>
          <t>—</t>
        </is>
      </c>
      <c r="R63" s="243" t="inlineStr">
        <is>
          <t>(assigned on issue)</t>
        </is>
      </c>
      <c r="S63" s="243" t="inlineStr">
        <is>
          <t>P060262|I</t>
        </is>
      </c>
      <c r="T63" s="250" t="inlineStr">
        <is>
          <t>registered — rule date 30.04.2026 held to the legacy series day</t>
        </is>
      </c>
      <c r="U63" s="243" t="inlineStr">
        <is>
          <t>n/a — initial certificate</t>
        </is>
      </c>
      <c r="V63" s="251" t="n">
        <v>19.84</v>
      </c>
      <c r="W63" s="243" t="inlineStr">
        <is>
          <t>100-2-К/26</t>
        </is>
      </c>
      <c r="X63" s="243" t="inlineStr">
        <is>
          <t>22.00 ± 2.20 (II)</t>
        </is>
      </c>
      <c r="Y63" s="243" t="inlineStr">
        <is>
          <t>19.80 – 24.19 %</t>
        </is>
      </c>
      <c r="Z63" s="243" t="inlineStr">
        <is>
          <t>J31_THC22 : CBD1</t>
        </is>
      </c>
      <c r="AA63" s="243" t="inlineStr">
        <is>
          <t>QCSP_001_J31-II_v.01</t>
        </is>
      </c>
      <c r="AB63" s="252" t="inlineStr">
        <is>
          <t>for review — replaces the issued QCSP_001_J31-II_v.01 (was J31_THC18 : CBD1, 16.20 – 19.80 %); now J31_THC22 : CBD1 19.80 – 24.19 %</t>
        </is>
      </c>
      <c r="AC63" s="246" t="inlineStr"/>
    </row>
    <row r="64">
      <c r="A64" s="243">
        <f>IF(OR(C64="yes",C64="allocated",C64="ruled"),COUNT(A$1:A63)+1,"")</f>
        <v/>
      </c>
      <c r="B64" s="244">
        <f>IF(A64&lt;&gt;"","CoQ-PP_26-"&amp;TEXT(A64,"000"),"— at issue —")</f>
        <v/>
      </c>
      <c r="C64" s="249" t="inlineStr">
        <is>
          <t>yes</t>
        </is>
      </c>
      <c r="D64" s="245">
        <f>IF(OR(A64="",C64="allocated",C64="ruled"),"",MAX(E64,IF(ISNUMBER(I64),I64,0),IFERROR(IF(ISNUMBER(INDEX('iCoA Register'!$F:$F,MATCH(S64,'iCoA Register'!$AA:$AA,0))),INDEX('iCoA Register'!$F:$F,MATCH(S64,'iCoA Register'!$AA:$AA,0)),0),0)))</f>
        <v/>
      </c>
      <c r="E64" s="245">
        <f>IF(ISNUMBER(F64),MAX(DATE(2026,6,6),F64+7),DATE(2026,6,6))</f>
        <v/>
      </c>
      <c r="F64" s="245" t="n">
        <v>46153</v>
      </c>
      <c r="G64" s="243" t="inlineStr">
        <is>
          <t>ППК26068</t>
        </is>
      </c>
      <c r="H64" s="243">
        <f>IFERROR(INDEX('iCoA Register'!$B:$B,MATCH("P060272|I",'iCoA Register'!$AA:$AA,0)),"—")</f>
        <v/>
      </c>
      <c r="I64" s="245">
        <f>IFERROR(INDEX('iCoA Register'!$D:$D,MATCH("P060272|I",'iCoA Register'!$AA:$AA,0)),"")</f>
        <v/>
      </c>
      <c r="J64" s="243" t="inlineStr">
        <is>
          <t>post-SOP</t>
        </is>
      </c>
      <c r="K64" s="243" t="inlineStr">
        <is>
          <t>initial release</t>
        </is>
      </c>
      <c r="L64" s="244" t="inlineStr">
        <is>
          <t>CC112501</t>
        </is>
      </c>
      <c r="M64" s="243" t="inlineStr">
        <is>
          <t>P060272</t>
        </is>
      </c>
      <c r="N64" s="243" t="inlineStr">
        <is>
          <t>Cash Cow</t>
        </is>
      </c>
      <c r="O64" s="243" t="inlineStr">
        <is>
          <t>ППК26068, (11.05.2026) [CNP]</t>
        </is>
      </c>
      <c r="P64" s="248" t="inlineStr">
        <is>
          <t>—</t>
        </is>
      </c>
      <c r="Q64" s="243" t="inlineStr">
        <is>
          <t>—</t>
        </is>
      </c>
      <c r="R64" s="243" t="inlineStr">
        <is>
          <t>(assigned on issue)</t>
        </is>
      </c>
      <c r="S64" s="243" t="inlineStr">
        <is>
          <t>P060272|I</t>
        </is>
      </c>
      <c r="T64" s="250" t="inlineStr">
        <is>
          <t>registered — rule date 18.05.2026 held to the legacy series day</t>
        </is>
      </c>
      <c r="U64" s="243" t="inlineStr">
        <is>
          <t>n/a — initial certificate</t>
        </is>
      </c>
      <c r="V64" s="251" t="n">
        <v>13.35</v>
      </c>
      <c r="W64" s="243" t="inlineStr">
        <is>
          <t>ППК26068</t>
        </is>
      </c>
      <c r="X64" s="243" t="inlineStr">
        <is>
          <t>14.00 ± 1.35 (II)</t>
        </is>
      </c>
      <c r="Y64" s="243" t="inlineStr">
        <is>
          <t>12.65 – 15.34 %</t>
        </is>
      </c>
      <c r="Z64" s="243" t="inlineStr">
        <is>
          <t>CC_THC14 : CBD1</t>
        </is>
      </c>
      <c r="AA64" s="243" t="inlineStr">
        <is>
          <t>QCSP_001_CC-II_v.01</t>
        </is>
      </c>
      <c r="AB64" s="252" t="inlineStr">
        <is>
          <t>for review — replaces the issued QCSP_001_CC-II_v.01 (was CC_THC14 : CBD1, 12.60 – 15.40 %); now CC_THC14 : CBD1 12.65 – 15.34 %</t>
        </is>
      </c>
      <c r="AC64" s="246" t="inlineStr"/>
    </row>
    <row r="65">
      <c r="A65" s="243">
        <f>IF(OR(C65="yes",C65="allocated",C65="ruled"),COUNT(A$1:A64)+1,"")</f>
        <v/>
      </c>
      <c r="B65" s="244">
        <f>IF(A65&lt;&gt;"","CoQ-PP_26-"&amp;TEXT(A65,"000"),"— at issue —")</f>
        <v/>
      </c>
      <c r="C65" s="249" t="inlineStr">
        <is>
          <t>yes</t>
        </is>
      </c>
      <c r="D65" s="245">
        <f>IF(OR(A65="",C65="allocated",C65="ruled"),"",MAX(E65,IF(ISNUMBER(I65),I65,0),IFERROR(IF(ISNUMBER(INDEX('iCoA Register'!$F:$F,MATCH(S65,'iCoA Register'!$AA:$AA,0))),INDEX('iCoA Register'!$F:$F,MATCH(S65,'iCoA Register'!$AA:$AA,0)),0),0)))</f>
        <v/>
      </c>
      <c r="E65" s="245">
        <f>IF(ISNUMBER(F65),MAX(DATE(2026,6,6),F65+7),DATE(2026,6,6))</f>
        <v/>
      </c>
      <c r="F65" s="245" t="n">
        <v>46153</v>
      </c>
      <c r="G65" s="243" t="inlineStr">
        <is>
          <t>ППК26069</t>
        </is>
      </c>
      <c r="H65" s="243">
        <f>IFERROR(INDEX('iCoA Register'!$B:$B,MATCH("P060282|I",'iCoA Register'!$AA:$AA,0)),"—")</f>
        <v/>
      </c>
      <c r="I65" s="245">
        <f>IFERROR(INDEX('iCoA Register'!$D:$D,MATCH("P060282|I",'iCoA Register'!$AA:$AA,0)),"")</f>
        <v/>
      </c>
      <c r="J65" s="243" t="inlineStr">
        <is>
          <t>post-SOP</t>
        </is>
      </c>
      <c r="K65" s="243" t="inlineStr">
        <is>
          <t>initial release</t>
        </is>
      </c>
      <c r="L65" s="244" t="inlineStr">
        <is>
          <t>SCR112501</t>
        </is>
      </c>
      <c r="M65" s="243" t="inlineStr">
        <is>
          <t>P060282</t>
        </is>
      </c>
      <c r="N65" s="243" t="inlineStr">
        <is>
          <t>Scrambler</t>
        </is>
      </c>
      <c r="O65" s="243" t="inlineStr">
        <is>
          <t>ППК26069, (11.05.2026) [CNP]</t>
        </is>
      </c>
      <c r="P65" s="248" t="inlineStr">
        <is>
          <t>—</t>
        </is>
      </c>
      <c r="Q65" s="243" t="inlineStr">
        <is>
          <t>—</t>
        </is>
      </c>
      <c r="R65" s="243" t="inlineStr">
        <is>
          <t>CoQ-PP-2026-0018</t>
        </is>
      </c>
      <c r="S65" s="243" t="inlineStr">
        <is>
          <t>P060282|I</t>
        </is>
      </c>
      <c r="T65" s="250" t="inlineStr">
        <is>
          <t>registered — rule date 18.05.2026 held to the legacy series day</t>
        </is>
      </c>
      <c r="U65" s="243" t="inlineStr">
        <is>
          <t>n/a — initial certificate</t>
        </is>
      </c>
      <c r="V65" s="251" t="n">
        <v>17.13</v>
      </c>
      <c r="W65" s="243" t="inlineStr">
        <is>
          <t>ППК26069</t>
        </is>
      </c>
      <c r="X65" s="243" t="inlineStr">
        <is>
          <t>18.00 ± 1.80 (II)</t>
        </is>
      </c>
      <c r="Y65" s="243" t="inlineStr">
        <is>
          <t>16.20 – 19.79 %</t>
        </is>
      </c>
      <c r="Z65" s="243" t="inlineStr">
        <is>
          <t>SCR_THC18 : CBD1</t>
        </is>
      </c>
      <c r="AA65" s="243" t="inlineStr">
        <is>
          <t>QCSP_001_SCR-II_v.01</t>
        </is>
      </c>
      <c r="AB65" s="252" t="inlineStr">
        <is>
          <t>for review — replaces the issued QCSP_001_SCR-II_v.01 (was SCR_THC18 : CBD1, 16.20 – 19.80 %); now SCR_THC18 : CBD1 16.20 – 19.79 %</t>
        </is>
      </c>
      <c r="AC65" s="246" t="inlineStr"/>
    </row>
    <row r="66">
      <c r="A66" s="243">
        <f>IF(OR(C66="yes",C66="allocated",C66="ruled"),COUNT(A$1:A65)+1,"")</f>
        <v/>
      </c>
      <c r="B66" s="244">
        <f>IF(A66&lt;&gt;"","CoQ-PP_26-"&amp;TEXT(A66,"000"),"— at issue —")</f>
        <v/>
      </c>
      <c r="C66" s="249" t="inlineStr">
        <is>
          <t>yes</t>
        </is>
      </c>
      <c r="D66" s="245">
        <f>IF(OR(A66="",C66="allocated",C66="ruled"),"",MAX(E66,IF(ISNUMBER(I66),I66,0),IFERROR(IF(ISNUMBER(INDEX('iCoA Register'!$F:$F,MATCH(S66,'iCoA Register'!$AA:$AA,0))),INDEX('iCoA Register'!$F:$F,MATCH(S66,'iCoA Register'!$AA:$AA,0)),0),0)))</f>
        <v/>
      </c>
      <c r="E66" s="245">
        <f>IF(ISNUMBER(F66),MAX(DATE(2026,6,6),F66+7),DATE(2026,6,6))</f>
        <v/>
      </c>
      <c r="F66" s="245" t="n">
        <v>46153</v>
      </c>
      <c r="G66" s="243" t="inlineStr">
        <is>
          <t>ППК26066</t>
        </is>
      </c>
      <c r="H66" s="243">
        <f>IFERROR(INDEX('iCoA Register'!$B:$B,MATCH("P060292|I",'iCoA Register'!$AA:$AA,0)),"—")</f>
        <v/>
      </c>
      <c r="I66" s="245">
        <f>IFERROR(INDEX('iCoA Register'!$D:$D,MATCH("P060292|I",'iCoA Register'!$AA:$AA,0)),"")</f>
        <v/>
      </c>
      <c r="J66" s="243" t="inlineStr">
        <is>
          <t>post-SOP</t>
        </is>
      </c>
      <c r="K66" s="243" t="inlineStr">
        <is>
          <t>initial release</t>
        </is>
      </c>
      <c r="L66" s="244" t="inlineStr">
        <is>
          <t>FB112501</t>
        </is>
      </c>
      <c r="M66" s="243" t="inlineStr">
        <is>
          <t>P060292</t>
        </is>
      </c>
      <c r="N66" s="243" t="inlineStr">
        <is>
          <t>Fat Bastard</t>
        </is>
      </c>
      <c r="O66" s="243" t="inlineStr">
        <is>
          <t>ППК26066, (11.05.2026) [CNP]</t>
        </is>
      </c>
      <c r="P66" s="248" t="inlineStr">
        <is>
          <t>—</t>
        </is>
      </c>
      <c r="Q66" s="243" t="inlineStr">
        <is>
          <t>—</t>
        </is>
      </c>
      <c r="R66" s="243" t="inlineStr">
        <is>
          <t>(assigned on issue)</t>
        </is>
      </c>
      <c r="S66" s="243" t="inlineStr">
        <is>
          <t>P060292|I</t>
        </is>
      </c>
      <c r="T66" s="250" t="inlineStr">
        <is>
          <t>registered — rule date 18.05.2026 held to the legacy series day</t>
        </is>
      </c>
      <c r="U66" s="243" t="inlineStr">
        <is>
          <t>n/a — initial certificate</t>
        </is>
      </c>
      <c r="V66" s="251" t="n">
        <v>16.69</v>
      </c>
      <c r="W66" s="243" t="inlineStr">
        <is>
          <t>ППК26066</t>
        </is>
      </c>
      <c r="X66" s="243" t="inlineStr">
        <is>
          <t>18.00 ± 1.80 (II)</t>
        </is>
      </c>
      <c r="Y66" s="243" t="inlineStr">
        <is>
          <t>16.20 – 19.79 %</t>
        </is>
      </c>
      <c r="Z66" s="243" t="inlineStr">
        <is>
          <t>FB_THC18 : CBD1</t>
        </is>
      </c>
      <c r="AA66" s="243" t="inlineStr">
        <is>
          <t>QCSP_001_FB-II_v.01</t>
        </is>
      </c>
      <c r="AB66" s="252" t="inlineStr">
        <is>
          <t>for review — replaces the issued QCSP_001_FB-II_v.01 (was FB_THC18 : CBD1, 17.15 – 18.85 %); now FB_THC18 : CBD1 16.20 – 19.79 %</t>
        </is>
      </c>
      <c r="AC66" s="246" t="inlineStr"/>
    </row>
    <row r="67">
      <c r="A67" s="243">
        <f>IF(OR(C67="yes",C67="allocated",C67="ruled"),COUNT(A$1:A66)+1,"")</f>
        <v/>
      </c>
      <c r="B67" s="244">
        <f>IF(A67&lt;&gt;"","CoQ-PP_26-"&amp;TEXT(A67,"000"),"— at issue —")</f>
        <v/>
      </c>
      <c r="C67" s="249" t="inlineStr">
        <is>
          <t>yes</t>
        </is>
      </c>
      <c r="D67" s="245">
        <f>IF(OR(A67="",C67="allocated",C67="ruled"),"",MAX(E67,IF(ISNUMBER(I67),I67,0),IFERROR(IF(ISNUMBER(INDEX('iCoA Register'!$F:$F,MATCH(S67,'iCoA Register'!$AA:$AA,0))),INDEX('iCoA Register'!$F:$F,MATCH(S67,'iCoA Register'!$AA:$AA,0)),0),0)))</f>
        <v/>
      </c>
      <c r="E67" s="245">
        <f>IF(ISNUMBER(F67),MAX(DATE(2026,6,6),F67+7),DATE(2026,6,6))</f>
        <v/>
      </c>
      <c r="F67" s="245" t="n">
        <v>46153</v>
      </c>
      <c r="G67" s="243" t="inlineStr">
        <is>
          <t>ППК26062</t>
        </is>
      </c>
      <c r="H67" s="243">
        <f>IFERROR(INDEX('iCoA Register'!$B:$B,MATCH("P060302|I",'iCoA Register'!$AA:$AA,0)),"—")</f>
        <v/>
      </c>
      <c r="I67" s="245">
        <f>IFERROR(INDEX('iCoA Register'!$D:$D,MATCH("P060302|I",'iCoA Register'!$AA:$AA,0)),"")</f>
        <v/>
      </c>
      <c r="J67" s="243" t="inlineStr">
        <is>
          <t>post-SOP</t>
        </is>
      </c>
      <c r="K67" s="243" t="inlineStr">
        <is>
          <t>initial release</t>
        </is>
      </c>
      <c r="L67" s="244" t="inlineStr">
        <is>
          <t>GG012601＊</t>
        </is>
      </c>
      <c r="M67" s="243" t="inlineStr">
        <is>
          <t>P060302</t>
        </is>
      </c>
      <c r="N67" s="243" t="inlineStr">
        <is>
          <t>Gorilla Glue</t>
        </is>
      </c>
      <c r="O67" s="243" t="inlineStr">
        <is>
          <t>ППК26062, (11.05.2026) [CNP]</t>
        </is>
      </c>
      <c r="P67" s="248" t="inlineStr">
        <is>
          <t>—</t>
        </is>
      </c>
      <c r="Q67" s="243" t="inlineStr">
        <is>
          <t>—</t>
        </is>
      </c>
      <c r="R67" s="243" t="inlineStr">
        <is>
          <t>(assigned on issue)</t>
        </is>
      </c>
      <c r="S67" s="243" t="inlineStr">
        <is>
          <t>P060302|I</t>
        </is>
      </c>
      <c r="T67" s="250" t="inlineStr">
        <is>
          <t>registered — rule date 18.05.2026 held to the legacy series day</t>
        </is>
      </c>
      <c r="U67" s="243" t="inlineStr">
        <is>
          <t>n/a — initial certificate</t>
        </is>
      </c>
      <c r="V67" s="251" t="n">
        <v>15.35</v>
      </c>
      <c r="W67" s="243" t="inlineStr">
        <is>
          <t>ППК26062</t>
        </is>
      </c>
      <c r="X67" s="243" t="inlineStr">
        <is>
          <t>15.00 ± 1.23 (II)</t>
        </is>
      </c>
      <c r="Y67" s="243" t="inlineStr">
        <is>
          <t>13.77 – 16.22 %</t>
        </is>
      </c>
      <c r="Z67" s="243" t="inlineStr">
        <is>
          <t>GG_THC15 : CBD1</t>
        </is>
      </c>
      <c r="AA67" s="243" t="inlineStr">
        <is>
          <t>QCSP_001_GG-II_v.01</t>
        </is>
      </c>
      <c r="AB67" s="252" t="inlineStr">
        <is>
          <t>for review — replaces the issued QCSP_001_GG-II_v.01 (was GG_THC16 : CBD1, 15.00 – 17.00 %); now GG_THC15 : CBD1 13.77 – 16.22 %</t>
        </is>
      </c>
      <c r="AC67" s="246" t="inlineStr"/>
    </row>
    <row r="68">
      <c r="A68" s="243">
        <f>IF(OR(C68="yes",C68="allocated",C68="ruled"),COUNT(A$1:A67)+1,"")</f>
        <v/>
      </c>
      <c r="B68" s="244">
        <f>IF(A68&lt;&gt;"","CoQ-PP_26-"&amp;TEXT(A68,"000"),"— at issue —")</f>
        <v/>
      </c>
      <c r="C68" s="249" t="inlineStr">
        <is>
          <t>yes</t>
        </is>
      </c>
      <c r="D68" s="245">
        <f>IF(OR(A68="",C68="allocated",C68="ruled"),"",MAX(E68,IF(ISNUMBER(I68),I68,0),IFERROR(IF(ISNUMBER(INDEX('iCoA Register'!$F:$F,MATCH(S68,'iCoA Register'!$AA:$AA,0))),INDEX('iCoA Register'!$F:$F,MATCH(S68,'iCoA Register'!$AA:$AA,0)),0),0)))</f>
        <v/>
      </c>
      <c r="E68" s="245">
        <f>IF(ISNUMBER(F68),MAX(DATE(2026,6,6),F68+7),DATE(2026,6,6))</f>
        <v/>
      </c>
      <c r="F68" s="245" t="n">
        <v>46153</v>
      </c>
      <c r="G68" s="243" t="inlineStr">
        <is>
          <t>ППК26064</t>
        </is>
      </c>
      <c r="H68" s="243">
        <f>IFERROR(INDEX('iCoA Register'!$B:$B,MATCH("P060312|I",'iCoA Register'!$AA:$AA,0)),"—")</f>
        <v/>
      </c>
      <c r="I68" s="245">
        <f>IFERROR(INDEX('iCoA Register'!$D:$D,MATCH("P060312|I",'iCoA Register'!$AA:$AA,0)),"")</f>
        <v/>
      </c>
      <c r="J68" s="243" t="inlineStr">
        <is>
          <t>post-SOP</t>
        </is>
      </c>
      <c r="K68" s="243" t="inlineStr">
        <is>
          <t>initial release</t>
        </is>
      </c>
      <c r="L68" s="244" t="inlineStr">
        <is>
          <t>JD012601＊</t>
        </is>
      </c>
      <c r="M68" s="243" t="inlineStr">
        <is>
          <t>P060312</t>
        </is>
      </c>
      <c r="N68" s="243" t="inlineStr">
        <is>
          <t>Jelly Donuts</t>
        </is>
      </c>
      <c r="O68" s="243" t="inlineStr">
        <is>
          <t>ППК26064, (11.05.2026) [CNP]</t>
        </is>
      </c>
      <c r="P68" s="248" t="inlineStr">
        <is>
          <t>—</t>
        </is>
      </c>
      <c r="Q68" s="243" t="inlineStr">
        <is>
          <t>—</t>
        </is>
      </c>
      <c r="R68" s="243" t="inlineStr">
        <is>
          <t>(assigned on issue)</t>
        </is>
      </c>
      <c r="S68" s="243" t="inlineStr">
        <is>
          <t>P060312|I</t>
        </is>
      </c>
      <c r="T68" s="250" t="inlineStr">
        <is>
          <t>registered — rule date 18.05.2026 held to the legacy series day</t>
        </is>
      </c>
      <c r="U68" s="243" t="inlineStr">
        <is>
          <t>n/a — initial certificate</t>
        </is>
      </c>
      <c r="V68" s="251" t="n">
        <v>18.16</v>
      </c>
      <c r="W68" s="243" t="inlineStr">
        <is>
          <t>ППК26064</t>
        </is>
      </c>
      <c r="X68" s="243" t="inlineStr">
        <is>
          <t>18.00 ± 1.80 (II)</t>
        </is>
      </c>
      <c r="Y68" s="243" t="inlineStr">
        <is>
          <t>16.20 – 19.79 %</t>
        </is>
      </c>
      <c r="Z68" s="243" t="inlineStr">
        <is>
          <t>JD_THC18 : CBD1</t>
        </is>
      </c>
      <c r="AA68" s="243" t="inlineStr">
        <is>
          <t>QCSP_001_JD-II_v.01</t>
        </is>
      </c>
      <c r="AB68" s="252" t="inlineStr">
        <is>
          <t>for review — replaces the issued QCSP_001_JD-II_v.01 (was JD_THC16 : CBD1, 14.91 – 17.09 %); now JD_THC18 : CBD1 16.20 – 19.79 %</t>
        </is>
      </c>
      <c r="AC68" s="246" t="inlineStr"/>
    </row>
    <row r="69">
      <c r="A69" s="243">
        <f>IF(OR(C69="yes",C69="allocated",C69="ruled"),COUNT(A$1:A68)+1,"")</f>
        <v/>
      </c>
      <c r="B69" s="244">
        <f>IF(A69&lt;&gt;"","CoQ-PP_26-"&amp;TEXT(A69,"000"),"— at issue —")</f>
        <v/>
      </c>
      <c r="C69" s="249" t="inlineStr">
        <is>
          <t>yes</t>
        </is>
      </c>
      <c r="D69" s="245">
        <f>IF(OR(A69="",C69="allocated",C69="ruled"),"",MAX(E69,IF(ISNUMBER(I69),I69,0),IFERROR(IF(ISNUMBER(INDEX('iCoA Register'!$F:$F,MATCH(S69,'iCoA Register'!$AA:$AA,0))),INDEX('iCoA Register'!$F:$F,MATCH(S69,'iCoA Register'!$AA:$AA,0)),0),0)))</f>
        <v/>
      </c>
      <c r="E69" s="245">
        <f>IF(ISNUMBER(F69),MAX(DATE(2026,6,6),F69+7),DATE(2026,6,6))</f>
        <v/>
      </c>
      <c r="F69" s="245" t="inlineStr">
        <is>
          <t>—</t>
        </is>
      </c>
      <c r="G69" s="243" t="inlineStr">
        <is>
          <t>—</t>
        </is>
      </c>
      <c r="H69" s="243">
        <f>IFERROR(INDEX('iCoA Register'!$B:$B,MATCH("P060332|I",'iCoA Register'!$AA:$AA,0)),"—")</f>
        <v/>
      </c>
      <c r="I69" s="245">
        <f>IFERROR(INDEX('iCoA Register'!$D:$D,MATCH("P060332|I",'iCoA Register'!$AA:$AA,0)),"")</f>
        <v/>
      </c>
      <c r="J69" s="243" t="inlineStr">
        <is>
          <t>post-SOP</t>
        </is>
      </c>
      <c r="K69" s="243" t="inlineStr">
        <is>
          <t>initial release</t>
        </is>
      </c>
      <c r="L69" s="244" t="inlineStr">
        <is>
          <t>CC012601/1</t>
        </is>
      </c>
      <c r="M69" s="243" t="inlineStr">
        <is>
          <t>P060332</t>
        </is>
      </c>
      <c r="N69" s="243" t="inlineStr"/>
      <c r="O69" s="248" t="inlineStr">
        <is>
          <t>— no cannabinoid certificate from the initial testing —</t>
        </is>
      </c>
      <c r="P69" s="248" t="inlineStr">
        <is>
          <t>—</t>
        </is>
      </c>
      <c r="Q69" s="243" t="inlineStr">
        <is>
          <t>—</t>
        </is>
      </c>
      <c r="R69" s="243" t="inlineStr">
        <is>
          <t>(assigned on issue)</t>
        </is>
      </c>
      <c r="S69" s="243" t="inlineStr">
        <is>
          <t>P060332|I</t>
        </is>
      </c>
      <c r="T69" s="250" t="inlineStr">
        <is>
          <t>registered — provisional date: no initial certificate on file yet — the date follows the latest eCoA once located · initial certificate to locate: #3 (CNP), #4 (CNP), #5 (CNP), #6 (CNP), #8 (CNP), #9 (IJZ), #10 (CNP), #11 (CNP), #12 (CNP)</t>
        </is>
      </c>
      <c r="U69" s="243" t="inlineStr">
        <is>
          <t>n/a — initial certificate</t>
        </is>
      </c>
      <c r="V69" s="243" t="inlineStr">
        <is>
          <t>—</t>
        </is>
      </c>
      <c r="W69" s="243" t="inlineStr">
        <is>
          <t>—</t>
        </is>
      </c>
      <c r="X69" s="243" t="inlineStr">
        <is>
          <t>—</t>
        </is>
      </c>
      <c r="Y69" s="243" t="inlineStr">
        <is>
          <t>—</t>
        </is>
      </c>
      <c r="Z69" s="243" t="inlineStr">
        <is>
          <t>—</t>
        </is>
      </c>
      <c r="AA69" s="243" t="inlineStr">
        <is>
          <t>—</t>
        </is>
      </c>
      <c r="AB69" s="246" t="inlineStr">
        <is>
          <t>—</t>
        </is>
      </c>
      <c r="AC69" s="252" t="inlineStr">
        <is>
          <t>no Total THC result on this certificate</t>
        </is>
      </c>
    </row>
    <row r="70">
      <c r="A70" s="243">
        <f>IF(OR(C70="yes",C70="allocated",C70="ruled"),COUNT(A$1:A69)+1,"")</f>
        <v/>
      </c>
      <c r="B70" s="244">
        <f>IF(A70&lt;&gt;"","CoQ-PP_26-"&amp;TEXT(A70,"000"),"— at issue —")</f>
        <v/>
      </c>
      <c r="C70" s="249" t="inlineStr">
        <is>
          <t>yes</t>
        </is>
      </c>
      <c r="D70" s="245">
        <f>IF(OR(A70="",C70="allocated",C70="ruled"),"",MAX(E70,IF(ISNUMBER(I70),I70,0),IFERROR(IF(ISNUMBER(INDEX('iCoA Register'!$F:$F,MATCH(S70,'iCoA Register'!$AA:$AA,0))),INDEX('iCoA Register'!$F:$F,MATCH(S70,'iCoA Register'!$AA:$AA,0)),0),0)))</f>
        <v/>
      </c>
      <c r="E70" s="245">
        <f>IF(ISNUMBER(F70),MAX(DATE(2026,6,6),F70+7),DATE(2026,6,6))</f>
        <v/>
      </c>
      <c r="F70" s="245" t="n">
        <v>46153</v>
      </c>
      <c r="G70" s="243" t="inlineStr">
        <is>
          <t>ППК26067</t>
        </is>
      </c>
      <c r="H70" s="243">
        <f>IFERROR(INDEX('iCoA Register'!$B:$B,MATCH("P060322|I",'iCoA Register'!$AA:$AA,0)),"—")</f>
        <v/>
      </c>
      <c r="I70" s="245">
        <f>IFERROR(INDEX('iCoA Register'!$D:$D,MATCH("P060322|I",'iCoA Register'!$AA:$AA,0)),"")</f>
        <v/>
      </c>
      <c r="J70" s="243" t="inlineStr">
        <is>
          <t>post-SOP</t>
        </is>
      </c>
      <c r="K70" s="243" t="inlineStr">
        <is>
          <t>initial release</t>
        </is>
      </c>
      <c r="L70" s="244" t="inlineStr">
        <is>
          <t>FB012601_1</t>
        </is>
      </c>
      <c r="M70" s="243" t="inlineStr">
        <is>
          <t>P060322</t>
        </is>
      </c>
      <c r="N70" s="243" t="inlineStr">
        <is>
          <t>Fat Bastard</t>
        </is>
      </c>
      <c r="O70" s="243" t="inlineStr">
        <is>
          <t>ППК26067, (11.05.2026) [CNP]</t>
        </is>
      </c>
      <c r="P70" s="248" t="inlineStr">
        <is>
          <t>—</t>
        </is>
      </c>
      <c r="Q70" s="243" t="inlineStr">
        <is>
          <t>—</t>
        </is>
      </c>
      <c r="R70" s="243" t="inlineStr">
        <is>
          <t>CoQ-PP-2026-0019</t>
        </is>
      </c>
      <c r="S70" s="243" t="inlineStr">
        <is>
          <t>P060322|I</t>
        </is>
      </c>
      <c r="T70" s="250" t="inlineStr">
        <is>
          <t>registered — rule date 18.05.2026 held to the legacy series day</t>
        </is>
      </c>
      <c r="U70" s="243" t="inlineStr">
        <is>
          <t>n/a — initial certificate</t>
        </is>
      </c>
      <c r="V70" s="251" t="n">
        <v>14.68</v>
      </c>
      <c r="W70" s="243" t="inlineStr">
        <is>
          <t>ППК26067</t>
        </is>
      </c>
      <c r="X70" s="243" t="inlineStr">
        <is>
          <t>15.00 ± 1.20 (III)</t>
        </is>
      </c>
      <c r="Y70" s="243" t="inlineStr">
        <is>
          <t>13.80 – 16.19 %</t>
        </is>
      </c>
      <c r="Z70" s="243" t="inlineStr">
        <is>
          <t>FB_THC15 : CBD1</t>
        </is>
      </c>
      <c r="AA70" s="243" t="inlineStr">
        <is>
          <t>QCSP_001_FB-III_v.01</t>
        </is>
      </c>
      <c r="AB70" s="252" t="inlineStr">
        <is>
          <t>for review — replaces the issued QCSP_001_FB-III_v.01 (was FB_THC16 : CBD1, 14.86 – 17.14 %); now FB_THC15 : CBD1 13.80 – 16.19 %</t>
        </is>
      </c>
      <c r="AC70" s="246" t="inlineStr"/>
    </row>
    <row r="71">
      <c r="A71" s="243">
        <f>IF(OR(C71="yes",C71="allocated",C71="ruled"),COUNT(A$1:A70)+1,"")</f>
        <v/>
      </c>
      <c r="B71" s="244">
        <f>IF(A71&lt;&gt;"","CoQ-PP_26-"&amp;TEXT(A71,"000"),"— at issue —")</f>
        <v/>
      </c>
      <c r="C71" s="249" t="inlineStr">
        <is>
          <t>yes</t>
        </is>
      </c>
      <c r="D71" s="245">
        <f>IF(OR(A71="",C71="allocated",C71="ruled"),"",MAX(E71,IF(ISNUMBER(I71),I71,0),IFERROR(IF(ISNUMBER(INDEX('iCoA Register'!$F:$F,MATCH(S71,'iCoA Register'!$AA:$AA,0))),INDEX('iCoA Register'!$F:$F,MATCH(S71,'iCoA Register'!$AA:$AA,0)),0),0)))</f>
        <v/>
      </c>
      <c r="E71" s="245">
        <f>IF(ISNUMBER(F71),MAX(DATE(2026,6,6),F71+7),DATE(2026,6,6))</f>
        <v/>
      </c>
      <c r="F71" s="245" t="inlineStr">
        <is>
          <t>—</t>
        </is>
      </c>
      <c r="G71" s="243" t="inlineStr">
        <is>
          <t>—</t>
        </is>
      </c>
      <c r="H71" s="243">
        <f>IFERROR(INDEX('iCoA Register'!$B:$B,MATCH("P060352|I",'iCoA Register'!$AA:$AA,0)),"—")</f>
        <v/>
      </c>
      <c r="I71" s="245">
        <f>IFERROR(INDEX('iCoA Register'!$D:$D,MATCH("P060352|I",'iCoA Register'!$AA:$AA,0)),"")</f>
        <v/>
      </c>
      <c r="J71" s="243" t="inlineStr">
        <is>
          <t>post-SOP</t>
        </is>
      </c>
      <c r="K71" s="243" t="inlineStr">
        <is>
          <t>initial release</t>
        </is>
      </c>
      <c r="L71" s="244" t="inlineStr">
        <is>
          <t>FB012602*</t>
        </is>
      </c>
      <c r="M71" s="243" t="inlineStr">
        <is>
          <t>P060352</t>
        </is>
      </c>
      <c r="N71" s="243" t="inlineStr">
        <is>
          <t>Fat Bastard</t>
        </is>
      </c>
      <c r="O71" s="248" t="inlineStr">
        <is>
          <t>— no cannabinoid certificate from the initial testing —</t>
        </is>
      </c>
      <c r="P71" s="248" t="inlineStr">
        <is>
          <t>—</t>
        </is>
      </c>
      <c r="Q71" s="243" t="inlineStr">
        <is>
          <t>—</t>
        </is>
      </c>
      <c r="R71" s="243" t="inlineStr">
        <is>
          <t>CoQ-PP-2026-0021</t>
        </is>
      </c>
      <c r="S71" s="243" t="inlineStr">
        <is>
          <t>P060352|I</t>
        </is>
      </c>
      <c r="T71" s="250" t="inlineStr">
        <is>
          <t>registered — provisional date: no initial certificate on file yet — the date follows the latest eCoA once located · initial certificate to locate: #3 (CNP), #4 (CNP), #5 (CNP), #6 (CNP), #8 (CNP), #9 (IJZ), #10 (CNP), #11 (CNP), #12 (CNP)</t>
        </is>
      </c>
      <c r="U71" s="243" t="inlineStr">
        <is>
          <t>n/a — initial certificate</t>
        </is>
      </c>
      <c r="V71" s="243" t="inlineStr">
        <is>
          <t>—</t>
        </is>
      </c>
      <c r="W71" s="243" t="inlineStr">
        <is>
          <t>—</t>
        </is>
      </c>
      <c r="X71" s="243" t="inlineStr">
        <is>
          <t>—</t>
        </is>
      </c>
      <c r="Y71" s="243" t="inlineStr">
        <is>
          <t>—</t>
        </is>
      </c>
      <c r="Z71" s="243" t="inlineStr">
        <is>
          <t>—</t>
        </is>
      </c>
      <c r="AA71" s="243" t="inlineStr">
        <is>
          <t>—</t>
        </is>
      </c>
      <c r="AB71" s="246" t="inlineStr">
        <is>
          <t>—</t>
        </is>
      </c>
      <c r="AC71" s="252" t="inlineStr">
        <is>
          <t>no Total THC result on this certificate</t>
        </is>
      </c>
    </row>
    <row r="72">
      <c r="A72" s="243">
        <f>IF(OR(C72="yes",C72="allocated",C72="ruled"),COUNT(A$1:A71)+1,"")</f>
        <v/>
      </c>
      <c r="B72" s="244">
        <f>IF(A72&lt;&gt;"","CoQ-PP_26-"&amp;TEXT(A72,"000"),"— at issue —")</f>
        <v/>
      </c>
      <c r="C72" s="249" t="inlineStr">
        <is>
          <t>yes</t>
        </is>
      </c>
      <c r="D72" s="245">
        <f>IF(OR(A72="",C72="allocated",C72="ruled"),"",MAX(E72,IF(ISNUMBER(I72),I72,0),IFERROR(IF(ISNUMBER(INDEX('iCoA Register'!$F:$F,MATCH(S72,'iCoA Register'!$AA:$AA,0))),INDEX('iCoA Register'!$F:$F,MATCH(S72,'iCoA Register'!$AA:$AA,0)),0),0)))</f>
        <v/>
      </c>
      <c r="E72" s="245">
        <f>IF(ISNUMBER(F72),MAX(DATE(2026,6,6),F72+7),DATE(2026,6,6))</f>
        <v/>
      </c>
      <c r="F72" s="245" t="inlineStr">
        <is>
          <t>—</t>
        </is>
      </c>
      <c r="G72" s="243" t="inlineStr">
        <is>
          <t>—</t>
        </is>
      </c>
      <c r="H72" s="243">
        <f>IFERROR(INDEX('iCoA Register'!$B:$B,MATCH("P060362|I",'iCoA Register'!$AA:$AA,0)),"—")</f>
        <v/>
      </c>
      <c r="I72" s="245">
        <f>IFERROR(INDEX('iCoA Register'!$D:$D,MATCH("P060362|I",'iCoA Register'!$AA:$AA,0)),"")</f>
        <v/>
      </c>
      <c r="J72" s="243" t="inlineStr">
        <is>
          <t>post-SOP</t>
        </is>
      </c>
      <c r="K72" s="243" t="inlineStr">
        <is>
          <t>initial release</t>
        </is>
      </c>
      <c r="L72" s="244" t="inlineStr">
        <is>
          <t>JD012603</t>
        </is>
      </c>
      <c r="M72" s="243" t="inlineStr">
        <is>
          <t>P060362</t>
        </is>
      </c>
      <c r="N72" s="243" t="inlineStr">
        <is>
          <t>Jelly Donuts</t>
        </is>
      </c>
      <c r="O72" s="248" t="inlineStr">
        <is>
          <t>— no cannabinoid certificate from the initial testing —</t>
        </is>
      </c>
      <c r="P72" s="243" t="inlineStr">
        <is>
          <t>A: ППК26111 / B: ППК26111 / FM: ППК26111</t>
        </is>
      </c>
      <c r="Q72" s="243" t="inlineStr">
        <is>
          <t>—</t>
        </is>
      </c>
      <c r="R72" s="243" t="inlineStr">
        <is>
          <t>CoQ-PP-2026-0020</t>
        </is>
      </c>
      <c r="S72" s="243" t="inlineStr">
        <is>
          <t>P060362|I</t>
        </is>
      </c>
      <c r="T72" s="250" t="inlineStr">
        <is>
          <t>registered — provisional date: no initial certificate on file yet — the date follows the latest eCoA once located · initial certificate to locate: #1 (CNP), #2 (CNP), #3 (CNP), #4 (CNP), #5 (CNP), #6 (CNP), #7 (CNP), #8 (CNP), #9 (IJZ), #10 (CNP), #11 (CNP), #12 (CNP)</t>
        </is>
      </c>
      <c r="U72" s="243" t="inlineStr">
        <is>
          <t>n/a — initial certificate</t>
        </is>
      </c>
      <c r="V72" s="243" t="inlineStr">
        <is>
          <t>—</t>
        </is>
      </c>
      <c r="W72" s="243" t="inlineStr">
        <is>
          <t>—</t>
        </is>
      </c>
      <c r="X72" s="243" t="inlineStr">
        <is>
          <t>—</t>
        </is>
      </c>
      <c r="Y72" s="243" t="inlineStr">
        <is>
          <t>—</t>
        </is>
      </c>
      <c r="Z72" s="243" t="inlineStr">
        <is>
          <t>—</t>
        </is>
      </c>
      <c r="AA72" s="243" t="inlineStr">
        <is>
          <t>—</t>
        </is>
      </c>
      <c r="AB72" s="246" t="inlineStr">
        <is>
          <t>—</t>
        </is>
      </c>
      <c r="AC72" s="252" t="inlineStr">
        <is>
          <t>no Total THC result on this certificate</t>
        </is>
      </c>
    </row>
    <row r="73">
      <c r="A73" s="243">
        <f>IF(OR(C73="yes",C73="allocated",C73="ruled"),COUNT(A$1:A72)+1,"")</f>
        <v/>
      </c>
      <c r="B73" s="244">
        <f>IF(A73&lt;&gt;"","CoQ-PP_26-"&amp;TEXT(A73,"000"),"— at issue —")</f>
        <v/>
      </c>
      <c r="C73" s="249" t="inlineStr">
        <is>
          <t>yes</t>
        </is>
      </c>
      <c r="D73" s="245">
        <f>IF(OR(A73="",C73="allocated",C73="ruled"),"",MAX(E73,IF(ISNUMBER(I73),I73,0),IFERROR(IF(ISNUMBER(INDEX('iCoA Register'!$F:$F,MATCH(S73,'iCoA Register'!$AA:$AA,0))),INDEX('iCoA Register'!$F:$F,MATCH(S73,'iCoA Register'!$AA:$AA,0)),0),0)))</f>
        <v/>
      </c>
      <c r="E73" s="245">
        <f>IF(ISNUMBER(F73),MAX(DATE(2026,6,6),F73+7),DATE(2026,6,6))</f>
        <v/>
      </c>
      <c r="F73" s="245" t="inlineStr">
        <is>
          <t>—</t>
        </is>
      </c>
      <c r="G73" s="243" t="inlineStr">
        <is>
          <t>—</t>
        </is>
      </c>
      <c r="H73" s="243">
        <f>IFERROR(INDEX('iCoA Register'!$B:$B,MATCH("P060372|I",'iCoA Register'!$AA:$AA,0)),"—")</f>
        <v/>
      </c>
      <c r="I73" s="245">
        <f>IFERROR(INDEX('iCoA Register'!$D:$D,MATCH("P060372|I",'iCoA Register'!$AA:$AA,0)),"")</f>
        <v/>
      </c>
      <c r="J73" s="243" t="inlineStr">
        <is>
          <t>post-SOP</t>
        </is>
      </c>
      <c r="K73" s="243" t="inlineStr">
        <is>
          <t>initial release</t>
        </is>
      </c>
      <c r="L73" s="244" t="inlineStr">
        <is>
          <t>CC012603</t>
        </is>
      </c>
      <c r="M73" s="243" t="inlineStr">
        <is>
          <t>P060372</t>
        </is>
      </c>
      <c r="N73" s="243" t="inlineStr">
        <is>
          <t>Cash Cow</t>
        </is>
      </c>
      <c r="O73" s="248" t="inlineStr">
        <is>
          <t>— no cannabinoid certificate from the initial testing —</t>
        </is>
      </c>
      <c r="P73" s="248" t="inlineStr">
        <is>
          <t>—</t>
        </is>
      </c>
      <c r="Q73" s="243" t="inlineStr">
        <is>
          <t>—</t>
        </is>
      </c>
      <c r="R73" s="243" t="inlineStr">
        <is>
          <t>CoQ-PP-2026-0024</t>
        </is>
      </c>
      <c r="S73" s="243" t="inlineStr">
        <is>
          <t>P060372|I</t>
        </is>
      </c>
      <c r="T73" s="250" t="inlineStr">
        <is>
          <t>registered — provisional date: no initial certificate on file yet — the date follows the latest eCoA once located · initial certificate to locate: #3 (CNP), #4 (CNP), #5 (CNP), #6 (CNP), #8 (CNP), #9 (IJZ), #10 (CNP), #11 (CNP), #12 (CNP)</t>
        </is>
      </c>
      <c r="U73" s="243" t="inlineStr">
        <is>
          <t>n/a — initial certificate</t>
        </is>
      </c>
      <c r="V73" s="243" t="inlineStr">
        <is>
          <t>—</t>
        </is>
      </c>
      <c r="W73" s="243" t="inlineStr">
        <is>
          <t>—</t>
        </is>
      </c>
      <c r="X73" s="243" t="inlineStr">
        <is>
          <t>—</t>
        </is>
      </c>
      <c r="Y73" s="243" t="inlineStr">
        <is>
          <t>—</t>
        </is>
      </c>
      <c r="Z73" s="243" t="inlineStr">
        <is>
          <t>—</t>
        </is>
      </c>
      <c r="AA73" s="243" t="inlineStr">
        <is>
          <t>—</t>
        </is>
      </c>
      <c r="AB73" s="246" t="inlineStr">
        <is>
          <t>—</t>
        </is>
      </c>
      <c r="AC73" s="252" t="inlineStr">
        <is>
          <t>no Total THC result on this certificate</t>
        </is>
      </c>
    </row>
    <row r="74">
      <c r="A74" s="243">
        <f>IF(OR(C74="yes",C74="allocated",C74="ruled"),COUNT(A$1:A73)+1,"")</f>
        <v/>
      </c>
      <c r="B74" s="244">
        <f>IF(A74&lt;&gt;"","CoQ-PP_26-"&amp;TEXT(A74,"000"),"— at issue —")</f>
        <v/>
      </c>
      <c r="C74" s="249" t="inlineStr">
        <is>
          <t>yes</t>
        </is>
      </c>
      <c r="D74" s="245">
        <f>IF(OR(A74="",C74="allocated",C74="ruled"),"",MAX(E74,IF(ISNUMBER(I74),I74,0),IFERROR(IF(ISNUMBER(INDEX('iCoA Register'!$F:$F,MATCH(S74,'iCoA Register'!$AA:$AA,0))),INDEX('iCoA Register'!$F:$F,MATCH(S74,'iCoA Register'!$AA:$AA,0)),0),0)))</f>
        <v/>
      </c>
      <c r="E74" s="245">
        <f>IF(ISNUMBER(F74),MAX(DATE(2026,6,6),F74+7),DATE(2026,6,6))</f>
        <v/>
      </c>
      <c r="F74" s="245" t="inlineStr">
        <is>
          <t>—</t>
        </is>
      </c>
      <c r="G74" s="243" t="inlineStr">
        <is>
          <t>—</t>
        </is>
      </c>
      <c r="H74" s="243">
        <f>IFERROR(INDEX('iCoA Register'!$B:$B,MATCH("P060342|I",'iCoA Register'!$AA:$AA,0)),"—")</f>
        <v/>
      </c>
      <c r="I74" s="245">
        <f>IFERROR(INDEX('iCoA Register'!$D:$D,MATCH("P060342|I",'iCoA Register'!$AA:$AA,0)),"")</f>
        <v/>
      </c>
      <c r="J74" s="243" t="inlineStr">
        <is>
          <t>post-SOP</t>
        </is>
      </c>
      <c r="K74" s="243" t="inlineStr">
        <is>
          <t>initial release</t>
        </is>
      </c>
      <c r="L74" s="244" t="inlineStr">
        <is>
          <t>SCR012601*</t>
        </is>
      </c>
      <c r="M74" s="243" t="inlineStr">
        <is>
          <t>P060342</t>
        </is>
      </c>
      <c r="N74" s="243" t="inlineStr">
        <is>
          <t>Scrambler</t>
        </is>
      </c>
      <c r="O74" s="248" t="inlineStr">
        <is>
          <t>— no cannabinoid certificate from the initial testing —</t>
        </is>
      </c>
      <c r="P74" s="248" t="inlineStr">
        <is>
          <t>—</t>
        </is>
      </c>
      <c r="Q74" s="243" t="inlineStr">
        <is>
          <t>—</t>
        </is>
      </c>
      <c r="R74" s="243" t="inlineStr">
        <is>
          <t>(assigned on issue)</t>
        </is>
      </c>
      <c r="S74" s="243" t="inlineStr">
        <is>
          <t>P060342|I</t>
        </is>
      </c>
      <c r="T74" s="250" t="inlineStr">
        <is>
          <t>registered — provisional date: no initial certificate on file yet — the date follows the latest eCoA once located · initial certificate to locate: #3 (CNP), #4 (CNP), #5 (CNP), #6 (CNP), #8 (CNP), #9 (IJZ), #10 (CNP), #11 (CNP), #12 (CNP)</t>
        </is>
      </c>
      <c r="U74" s="243" t="inlineStr">
        <is>
          <t>n/a — initial certificate</t>
        </is>
      </c>
      <c r="V74" s="243" t="inlineStr">
        <is>
          <t>—</t>
        </is>
      </c>
      <c r="W74" s="243" t="inlineStr">
        <is>
          <t>—</t>
        </is>
      </c>
      <c r="X74" s="243" t="inlineStr">
        <is>
          <t>—</t>
        </is>
      </c>
      <c r="Y74" s="243" t="inlineStr">
        <is>
          <t>—</t>
        </is>
      </c>
      <c r="Z74" s="243" t="inlineStr">
        <is>
          <t>—</t>
        </is>
      </c>
      <c r="AA74" s="243" t="inlineStr">
        <is>
          <t>—</t>
        </is>
      </c>
      <c r="AB74" s="246" t="inlineStr">
        <is>
          <t>—</t>
        </is>
      </c>
      <c r="AC74" s="252" t="inlineStr">
        <is>
          <t>no Total THC result on this certificate</t>
        </is>
      </c>
    </row>
    <row r="75">
      <c r="A75" s="243">
        <f>IF(OR(C75="yes",C75="allocated",C75="ruled"),COUNT(A$1:A74)+1,"")</f>
        <v/>
      </c>
      <c r="B75" s="244">
        <f>IF(A75&lt;&gt;"","CoQ-PP_26-"&amp;TEXT(A75,"000"),"— at issue —")</f>
        <v/>
      </c>
      <c r="C75" s="249" t="inlineStr">
        <is>
          <t>yes</t>
        </is>
      </c>
      <c r="D75" s="245">
        <f>IF(OR(A75="",C75="allocated",C75="ruled"),"",MAX(E75,IF(ISNUMBER(I75),I75,0),IFERROR(IF(ISNUMBER(INDEX('iCoA Register'!$F:$F,MATCH(S75,'iCoA Register'!$AA:$AA,0))),INDEX('iCoA Register'!$F:$F,MATCH(S75,'iCoA Register'!$AA:$AA,0)),0),0)))</f>
        <v/>
      </c>
      <c r="E75" s="245">
        <f>IF(ISNUMBER(F75),MAX(DATE(2026,6,6),F75+7),DATE(2026,6,6))</f>
        <v/>
      </c>
      <c r="F75" s="245" t="inlineStr">
        <is>
          <t>—</t>
        </is>
      </c>
      <c r="G75" s="243" t="inlineStr">
        <is>
          <t>—</t>
        </is>
      </c>
      <c r="H75" s="243">
        <f>IFERROR(INDEX('iCoA Register'!$B:$B,MATCH("P060382|I",'iCoA Register'!$AA:$AA,0)),"—")</f>
        <v/>
      </c>
      <c r="I75" s="245">
        <f>IFERROR(INDEX('iCoA Register'!$D:$D,MATCH("P060382|I",'iCoA Register'!$AA:$AA,0)),"")</f>
        <v/>
      </c>
      <c r="J75" s="243" t="inlineStr">
        <is>
          <t>post-SOP</t>
        </is>
      </c>
      <c r="K75" s="243" t="inlineStr">
        <is>
          <t>initial release</t>
        </is>
      </c>
      <c r="L75" s="244" t="inlineStr">
        <is>
          <t>SCR012603</t>
        </is>
      </c>
      <c r="M75" s="243" t="inlineStr">
        <is>
          <t>P060382</t>
        </is>
      </c>
      <c r="N75" s="243" t="inlineStr">
        <is>
          <t>Scrambler</t>
        </is>
      </c>
      <c r="O75" s="248" t="inlineStr">
        <is>
          <t>— no cannabinoid certificate from the initial testing —</t>
        </is>
      </c>
      <c r="P75" s="248" t="inlineStr">
        <is>
          <t>—</t>
        </is>
      </c>
      <c r="Q75" s="243" t="inlineStr">
        <is>
          <t>—</t>
        </is>
      </c>
      <c r="R75" s="243" t="inlineStr">
        <is>
          <t>CoQ-PP-2026-0026</t>
        </is>
      </c>
      <c r="S75" s="243" t="inlineStr">
        <is>
          <t>P060382|I</t>
        </is>
      </c>
      <c r="T75" s="250" t="inlineStr">
        <is>
          <t>registered — provisional date: no initial certificate on file yet — the date follows the latest eCoA once located · initial certificate to locate: #3 (CNP), #4 (CNP), #5 (CNP), #6 (CNP), #8 (CNP), #9 (IJZ), #10 (CNP), #11 (CNP), #12 (CNP)</t>
        </is>
      </c>
      <c r="U75" s="243" t="inlineStr">
        <is>
          <t>n/a — initial certificate</t>
        </is>
      </c>
      <c r="V75" s="243" t="inlineStr">
        <is>
          <t>—</t>
        </is>
      </c>
      <c r="W75" s="243" t="inlineStr">
        <is>
          <t>—</t>
        </is>
      </c>
      <c r="X75" s="243" t="inlineStr">
        <is>
          <t>—</t>
        </is>
      </c>
      <c r="Y75" s="243" t="inlineStr">
        <is>
          <t>—</t>
        </is>
      </c>
      <c r="Z75" s="243" t="inlineStr">
        <is>
          <t>—</t>
        </is>
      </c>
      <c r="AA75" s="243" t="inlineStr">
        <is>
          <t>—</t>
        </is>
      </c>
      <c r="AB75" s="246" t="inlineStr">
        <is>
          <t>—</t>
        </is>
      </c>
      <c r="AC75" s="252" t="inlineStr">
        <is>
          <t>no Total THC result on this certificate</t>
        </is>
      </c>
    </row>
    <row r="76">
      <c r="A76" s="243">
        <f>IF(OR(C76="yes",C76="allocated",C76="ruled"),COUNT(A$1:A75)+1,"")</f>
        <v/>
      </c>
      <c r="B76" s="244">
        <f>IF(A76&lt;&gt;"","CoQ-PP_26-"&amp;TEXT(A76,"000"),"— at issue —")</f>
        <v/>
      </c>
      <c r="C76" s="249" t="inlineStr">
        <is>
          <t>yes</t>
        </is>
      </c>
      <c r="D76" s="245">
        <f>IF(OR(A76="",C76="allocated",C76="ruled"),"",MAX(E76,IF(ISNUMBER(I76),I76,0),IFERROR(IF(ISNUMBER(INDEX('iCoA Register'!$F:$F,MATCH(S76,'iCoA Register'!$AA:$AA,0))),INDEX('iCoA Register'!$F:$F,MATCH(S76,'iCoA Register'!$AA:$AA,0)),0),0)))</f>
        <v/>
      </c>
      <c r="E76" s="245">
        <f>IF(ISNUMBER(F76),MAX(DATE(2026,6,6),F76+7),DATE(2026,6,6))</f>
        <v/>
      </c>
      <c r="F76" s="245" t="n">
        <v>46203</v>
      </c>
      <c r="G76" s="243" t="inlineStr">
        <is>
          <t>ППК26110</t>
        </is>
      </c>
      <c r="H76" s="243">
        <f>IFERROR(INDEX('iCoA Register'!$B:$B,MATCH("P060392|I",'iCoA Register'!$AA:$AA,0)),"—")</f>
        <v/>
      </c>
      <c r="I76" s="245">
        <f>IFERROR(INDEX('iCoA Register'!$D:$D,MATCH("P060392|I",'iCoA Register'!$AA:$AA,0)),"")</f>
        <v/>
      </c>
      <c r="J76" s="243" t="inlineStr">
        <is>
          <t>post-SOP</t>
        </is>
      </c>
      <c r="K76" s="243" t="inlineStr">
        <is>
          <t>initial release</t>
        </is>
      </c>
      <c r="L76" s="244" t="inlineStr">
        <is>
          <t>FB012603V</t>
        </is>
      </c>
      <c r="M76" s="243" t="inlineStr">
        <is>
          <t>P060392</t>
        </is>
      </c>
      <c r="N76" s="243" t="inlineStr">
        <is>
          <t>Fat Bastard</t>
        </is>
      </c>
      <c r="O76" s="243" t="inlineStr">
        <is>
          <t>ППК26110, (30.06.2026) [CNP]</t>
        </is>
      </c>
      <c r="P76" s="243" t="inlineStr">
        <is>
          <t>A: ППК26110 / B: ППК26110 / FM: ППК26110</t>
        </is>
      </c>
      <c r="Q76" s="243" t="inlineStr">
        <is>
          <t>—</t>
        </is>
      </c>
      <c r="R76" s="243" t="inlineStr">
        <is>
          <t>(assigned on issue)</t>
        </is>
      </c>
      <c r="S76" s="243" t="inlineStr">
        <is>
          <t>P060392|I</t>
        </is>
      </c>
      <c r="T76" s="250" t="inlineStr">
        <is>
          <t>registered — first working day 7 days after the latest eCoA · initial certificate to locate: #9 (IJZ), #10 (CNP), #11 (CNP), #12 (CNP)</t>
        </is>
      </c>
      <c r="U76" s="243" t="inlineStr">
        <is>
          <t>n/a — initial certificate</t>
        </is>
      </c>
      <c r="V76" s="251" t="n">
        <v>18.29</v>
      </c>
      <c r="W76" s="243" t="inlineStr">
        <is>
          <t>ППК26110</t>
        </is>
      </c>
      <c r="X76" s="243" t="inlineStr">
        <is>
          <t>18.00 ± 1.80 (II)</t>
        </is>
      </c>
      <c r="Y76" s="243" t="inlineStr">
        <is>
          <t>16.20 – 19.79 %</t>
        </is>
      </c>
      <c r="Z76" s="243" t="inlineStr">
        <is>
          <t>FB_THC18 : CBD1</t>
        </is>
      </c>
      <c r="AA76" s="243" t="inlineStr">
        <is>
          <t>QCSP_001_FB-II_v.01</t>
        </is>
      </c>
      <c r="AB76" s="252" t="inlineStr">
        <is>
          <t>for review — replaces the issued QCSP_001_FB-II_v.01 (was FB_THC18 : CBD1, 17.15 – 18.85 %); now FB_THC18 : CBD1 16.20 – 19.79 %</t>
        </is>
      </c>
      <c r="AC76" s="246" t="inlineStr"/>
    </row>
    <row r="77">
      <c r="A77" s="243">
        <f>IF(OR(C77="yes",C77="allocated",C77="ruled"),COUNT(A$1:A76)+1,"")</f>
        <v/>
      </c>
      <c r="B77" s="244">
        <f>IF(A77&lt;&gt;"","CoQ-PP_26-"&amp;TEXT(A77,"000"),"— at issue —")</f>
        <v/>
      </c>
      <c r="C77" s="249" t="inlineStr">
        <is>
          <t>yes</t>
        </is>
      </c>
      <c r="D77" s="245">
        <f>IF(OR(A77="",C77="allocated",C77="ruled"),"",MAX(E77,IF(ISNUMBER(I77),I77,0),IFERROR(IF(ISNUMBER(INDEX('iCoA Register'!$F:$F,MATCH(S77,'iCoA Register'!$AA:$AA,0))),INDEX('iCoA Register'!$F:$F,MATCH(S77,'iCoA Register'!$AA:$AA,0)),0),0)))</f>
        <v/>
      </c>
      <c r="E77" s="245">
        <f>IF(ISNUMBER(F77),MAX(DATE(2026,6,6),F77+7),DATE(2026,6,6))</f>
        <v/>
      </c>
      <c r="F77" s="245" t="n">
        <v>46203</v>
      </c>
      <c r="G77" s="243" t="inlineStr">
        <is>
          <t>ППК26111</t>
        </is>
      </c>
      <c r="H77" s="243">
        <f>IFERROR(INDEX('iCoA Register'!$B:$B,MATCH("P060422|I",'iCoA Register'!$AA:$AA,0)),"—")</f>
        <v/>
      </c>
      <c r="I77" s="245">
        <f>IFERROR(INDEX('iCoA Register'!$D:$D,MATCH("P060422|I",'iCoA Register'!$AA:$AA,0)),"")</f>
        <v/>
      </c>
      <c r="J77" s="243" t="inlineStr">
        <is>
          <t>post-SOP</t>
        </is>
      </c>
      <c r="K77" s="243" t="inlineStr">
        <is>
          <t>initial release</t>
        </is>
      </c>
      <c r="L77" s="244" t="inlineStr">
        <is>
          <t>JD012603</t>
        </is>
      </c>
      <c r="M77" s="243" t="inlineStr">
        <is>
          <t>P060422</t>
        </is>
      </c>
      <c r="N77" s="243" t="inlineStr">
        <is>
          <t>Jelly Donuts</t>
        </is>
      </c>
      <c r="O77" s="243" t="inlineStr">
        <is>
          <t>ППК26111, (30.06.2026) [CNP]</t>
        </is>
      </c>
      <c r="P77" s="243" t="inlineStr">
        <is>
          <t>A: ППК26111 / B: ППК26111 / FM: ППК26111</t>
        </is>
      </c>
      <c r="Q77" s="243" t="inlineStr">
        <is>
          <t>—</t>
        </is>
      </c>
      <c r="R77" s="243" t="inlineStr">
        <is>
          <t>CoQ-PP-2026-0022</t>
        </is>
      </c>
      <c r="S77" s="243" t="inlineStr">
        <is>
          <t>P060422|I</t>
        </is>
      </c>
      <c r="T77" s="250" t="inlineStr">
        <is>
          <t>registered — first working day 7 days after the latest eCoA · initial certificate to locate: #9 (IJZ), #10 (CNP), #11 (CNP), #12 (CNP)</t>
        </is>
      </c>
      <c r="U77" s="243" t="inlineStr">
        <is>
          <t>n/a — initial certificate</t>
        </is>
      </c>
      <c r="V77" s="251" t="n">
        <v>15.16</v>
      </c>
      <c r="W77" s="243" t="inlineStr">
        <is>
          <t>ППК26111</t>
        </is>
      </c>
      <c r="X77" s="243" t="inlineStr">
        <is>
          <t>15.00 ± 1.20 (III)</t>
        </is>
      </c>
      <c r="Y77" s="243" t="inlineStr">
        <is>
          <t>13.80 – 16.19 %</t>
        </is>
      </c>
      <c r="Z77" s="243" t="inlineStr">
        <is>
          <t>JD_THC15 : CBD1</t>
        </is>
      </c>
      <c r="AA77" s="243" t="inlineStr">
        <is>
          <t>QCSP_001_JD-III_v.01</t>
        </is>
      </c>
      <c r="AB77" s="246" t="inlineStr">
        <is>
          <t>for review — new</t>
        </is>
      </c>
      <c r="AC77" s="246" t="inlineStr"/>
    </row>
    <row r="78">
      <c r="A78" s="243">
        <f>IF(OR(C78="yes",C78="allocated",C78="ruled"),COUNT(A$1:A77)+1,"")</f>
        <v/>
      </c>
      <c r="B78" s="244">
        <f>IF(A78&lt;&gt;"","CoQ-PP_26-"&amp;TEXT(A78,"000"),"— at issue —")</f>
        <v/>
      </c>
      <c r="C78" s="249" t="inlineStr">
        <is>
          <t>yes</t>
        </is>
      </c>
      <c r="D78" s="245">
        <f>IF(OR(A78="",C78="allocated",C78="ruled"),"",MAX(E78,IF(ISNUMBER(I78),I78,0),IFERROR(IF(ISNUMBER(INDEX('iCoA Register'!$F:$F,MATCH(S78,'iCoA Register'!$AA:$AA,0))),INDEX('iCoA Register'!$F:$F,MATCH(S78,'iCoA Register'!$AA:$AA,0)),0),0)))</f>
        <v/>
      </c>
      <c r="E78" s="245">
        <f>IF(ISNUMBER(F78),MAX(DATE(2026,6,6),F78+7),DATE(2026,6,6))</f>
        <v/>
      </c>
      <c r="F78" s="245" t="n">
        <v>46203</v>
      </c>
      <c r="G78" s="243" t="inlineStr">
        <is>
          <t>ППК26114</t>
        </is>
      </c>
      <c r="H78" s="243">
        <f>IFERROR(INDEX('iCoA Register'!$B:$B,MATCH("P060402|I",'iCoA Register'!$AA:$AA,0)),"—")</f>
        <v/>
      </c>
      <c r="I78" s="245">
        <f>IFERROR(INDEX('iCoA Register'!$D:$D,MATCH("P060402|I",'iCoA Register'!$AA:$AA,0)),"")</f>
        <v/>
      </c>
      <c r="J78" s="243" t="inlineStr">
        <is>
          <t>post-SOP</t>
        </is>
      </c>
      <c r="K78" s="243" t="inlineStr">
        <is>
          <t>initial release</t>
        </is>
      </c>
      <c r="L78" s="244" t="inlineStr">
        <is>
          <t>GG012603</t>
        </is>
      </c>
      <c r="M78" s="243" t="inlineStr">
        <is>
          <t>P060402</t>
        </is>
      </c>
      <c r="N78" s="243" t="inlineStr">
        <is>
          <t>Gorilla Glue</t>
        </is>
      </c>
      <c r="O78" s="243" t="inlineStr">
        <is>
          <t>ППК26114, (30.06.2026) [CNP]</t>
        </is>
      </c>
      <c r="P78" s="243" t="inlineStr">
        <is>
          <t>A: ППК26114 / B: ППК26114 / FM: ППК26114</t>
        </is>
      </c>
      <c r="Q78" s="243" t="inlineStr">
        <is>
          <t>—</t>
        </is>
      </c>
      <c r="R78" s="243" t="inlineStr">
        <is>
          <t>CoQ-PP-2026-0023</t>
        </is>
      </c>
      <c r="S78" s="243" t="inlineStr">
        <is>
          <t>P060402|I</t>
        </is>
      </c>
      <c r="T78" s="250" t="inlineStr">
        <is>
          <t>registered — first working day 7 days after the latest eCoA · initial certificate to locate: #9 (IJZ), #10 (CNP), #11 (CNP), #12 (CNP)</t>
        </is>
      </c>
      <c r="U78" s="243" t="inlineStr">
        <is>
          <t>n/a — initial certificate</t>
        </is>
      </c>
      <c r="V78" s="251" t="n">
        <v>17.59</v>
      </c>
      <c r="W78" s="243" t="inlineStr">
        <is>
          <t>ППК26114</t>
        </is>
      </c>
      <c r="X78" s="243" t="inlineStr">
        <is>
          <t>18.00 ± 1.77 (I)</t>
        </is>
      </c>
      <c r="Y78" s="243" t="inlineStr">
        <is>
          <t>16.23 – 19.76 %</t>
        </is>
      </c>
      <c r="Z78" s="243" t="inlineStr">
        <is>
          <t>GG_THC18 : CBD1</t>
        </is>
      </c>
      <c r="AA78" s="243" t="inlineStr">
        <is>
          <t>QCSP_001_GG-I_v.01</t>
        </is>
      </c>
      <c r="AB78" s="252" t="inlineStr">
        <is>
          <t>for review — replaces the issued QCSP_001_GG-I_v.01 (was GG_THC18 : CBD1, 17.01 – 18.99 %); now GG_THC18 : CBD1 16.23 – 19.76 %</t>
        </is>
      </c>
      <c r="AC78" s="246" t="inlineStr"/>
    </row>
    <row r="79">
      <c r="A79" s="243">
        <f>IF(OR(C79="yes",C79="allocated",C79="ruled"),COUNT(A$1:A78)+1,"")</f>
        <v/>
      </c>
      <c r="B79" s="244">
        <f>IF(A79&lt;&gt;"","CoQ-PP_26-"&amp;TEXT(A79,"000"),"— at issue —")</f>
        <v/>
      </c>
      <c r="C79" s="249" t="inlineStr">
        <is>
          <t>yes</t>
        </is>
      </c>
      <c r="D79" s="245">
        <f>IF(OR(A79="",C79="allocated",C79="ruled"),"",MAX(E79,IF(ISNUMBER(I79),I79,0),IFERROR(IF(ISNUMBER(INDEX('iCoA Register'!$F:$F,MATCH(S79,'iCoA Register'!$AA:$AA,0))),INDEX('iCoA Register'!$F:$F,MATCH(S79,'iCoA Register'!$AA:$AA,0)),0),0)))</f>
        <v/>
      </c>
      <c r="E79" s="245">
        <f>IF(ISNUMBER(F79),MAX(DATE(2026,6,6),F79+7),DATE(2026,6,6))</f>
        <v/>
      </c>
      <c r="F79" s="245" t="n">
        <v>46203</v>
      </c>
      <c r="G79" s="243" t="inlineStr">
        <is>
          <t>ППК26113</t>
        </is>
      </c>
      <c r="H79" s="243">
        <f>IFERROR(INDEX('iCoA Register'!$B:$B,MATCH("P060412|I",'iCoA Register'!$AA:$AA,0)),"—")</f>
        <v/>
      </c>
      <c r="I79" s="245">
        <f>IFERROR(INDEX('iCoA Register'!$D:$D,MATCH("P060412|I",'iCoA Register'!$AA:$AA,0)),"")</f>
        <v/>
      </c>
      <c r="J79" s="243" t="inlineStr">
        <is>
          <t>post-SOP</t>
        </is>
      </c>
      <c r="K79" s="243" t="inlineStr">
        <is>
          <t>initial release</t>
        </is>
      </c>
      <c r="L79" s="244" t="inlineStr">
        <is>
          <t>JD012603</t>
        </is>
      </c>
      <c r="M79" s="243" t="inlineStr">
        <is>
          <t>P060412</t>
        </is>
      </c>
      <c r="N79" s="243" t="inlineStr">
        <is>
          <t>Jelly Donuts</t>
        </is>
      </c>
      <c r="O79" s="243" t="inlineStr">
        <is>
          <t>ППК26113, (30.06.2026) [CNP]</t>
        </is>
      </c>
      <c r="P79" s="243" t="inlineStr">
        <is>
          <t>A: ППК26111 / B: ППК26111 / FM: ППК26111</t>
        </is>
      </c>
      <c r="Q79" s="243" t="inlineStr">
        <is>
          <t>—</t>
        </is>
      </c>
      <c r="R79" s="243" t="inlineStr">
        <is>
          <t>CoQ-PP-2026-0025</t>
        </is>
      </c>
      <c r="S79" s="243" t="inlineStr">
        <is>
          <t>P060412|I</t>
        </is>
      </c>
      <c r="T79" s="250" t="inlineStr">
        <is>
          <t>registered — first working day 7 days after the latest eCoA · initial certificate to locate: #1 (CNP), #7 (CNP), #9 (IJZ), #10 (CNP), #11 (CNP), #12 (CNP)</t>
        </is>
      </c>
      <c r="U79" s="243" t="inlineStr">
        <is>
          <t>n/a — initial certificate</t>
        </is>
      </c>
      <c r="V79" s="251" t="n">
        <v>20.54</v>
      </c>
      <c r="W79" s="243" t="inlineStr">
        <is>
          <t>ППК26113</t>
        </is>
      </c>
      <c r="X79" s="243" t="inlineStr">
        <is>
          <t>22.00 ± 2.20 (I)</t>
        </is>
      </c>
      <c r="Y79" s="243" t="inlineStr">
        <is>
          <t>19.80 – 24.19 %</t>
        </is>
      </c>
      <c r="Z79" s="243" t="inlineStr">
        <is>
          <t>JD_THC22 : CBD1</t>
        </is>
      </c>
      <c r="AA79" s="243" t="inlineStr">
        <is>
          <t>QCSP_001_JD-I_v.01</t>
        </is>
      </c>
      <c r="AB79" s="252" t="inlineStr">
        <is>
          <t>for review — replaces the issued QCSP_001_JD-I_v.01 (was JD_THC20 : CBD1, 18.00 – 22.00 %); now JD_THC22 : CBD1 19.80 – 24.19 %</t>
        </is>
      </c>
      <c r="AC79" s="246" t="inlineStr"/>
    </row>
    <row r="80">
      <c r="A80" s="243">
        <f>IF(OR(C80="yes",C80="allocated",C80="ruled"),COUNT(A$1:A79)+1,"")</f>
        <v/>
      </c>
      <c r="B80" s="244">
        <f>IF(A80&lt;&gt;"","CoQ-PP_26-"&amp;TEXT(A80,"000"),"— at issue —")</f>
        <v/>
      </c>
      <c r="C80" s="249" t="inlineStr">
        <is>
          <t>yes</t>
        </is>
      </c>
      <c r="D80" s="245">
        <f>IF(OR(A80="",C80="allocated",C80="ruled"),"",MAX(E80,IF(ISNUMBER(I80),I80,0),IFERROR(IF(ISNUMBER(INDEX('iCoA Register'!$F:$F,MATCH(S80,'iCoA Register'!$AA:$AA,0))),INDEX('iCoA Register'!$F:$F,MATCH(S80,'iCoA Register'!$AA:$AA,0)),0),0)))</f>
        <v/>
      </c>
      <c r="E80" s="245">
        <f>IF(ISNUMBER(F80),MAX(DATE(2026,6,6),F80+7),DATE(2026,6,6))</f>
        <v/>
      </c>
      <c r="F80" s="245" t="n">
        <v>46203</v>
      </c>
      <c r="G80" s="243" t="inlineStr">
        <is>
          <t>ППК26112</t>
        </is>
      </c>
      <c r="H80" s="243">
        <f>IFERROR(INDEX('iCoA Register'!$B:$B,MATCH("P060432|I",'iCoA Register'!$AA:$AA,0)),"—")</f>
        <v/>
      </c>
      <c r="I80" s="245">
        <f>IFERROR(INDEX('iCoA Register'!$D:$D,MATCH("P060432|I",'iCoA Register'!$AA:$AA,0)),"")</f>
        <v/>
      </c>
      <c r="J80" s="243" t="inlineStr">
        <is>
          <t>post-SOP</t>
        </is>
      </c>
      <c r="K80" s="243" t="inlineStr">
        <is>
          <t>initial release</t>
        </is>
      </c>
      <c r="L80" s="244" t="inlineStr">
        <is>
          <t>FB012603</t>
        </is>
      </c>
      <c r="M80" s="243" t="inlineStr">
        <is>
          <t>P060432</t>
        </is>
      </c>
      <c r="N80" s="243" t="inlineStr">
        <is>
          <t>Fat Bastard</t>
        </is>
      </c>
      <c r="O80" s="243" t="inlineStr">
        <is>
          <t>ППК26112, (30.06.2026) [CNP]</t>
        </is>
      </c>
      <c r="P80" s="243" t="inlineStr">
        <is>
          <t>A: ППК26112 / B: ППК26112 / FM: ППК26112</t>
        </is>
      </c>
      <c r="Q80" s="243" t="inlineStr">
        <is>
          <t>—</t>
        </is>
      </c>
      <c r="R80" s="243" t="inlineStr">
        <is>
          <t>(assigned on issue)</t>
        </is>
      </c>
      <c r="S80" s="243" t="inlineStr">
        <is>
          <t>P060432|I</t>
        </is>
      </c>
      <c r="T80" s="250" t="inlineStr">
        <is>
          <t>registered — first working day 7 days after the latest eCoA · initial certificate to locate: #9 (IJZ), #10 (CNP), #11 (CNP), #12 (CNP)</t>
        </is>
      </c>
      <c r="U80" s="243" t="inlineStr">
        <is>
          <t>n/a — initial certificate</t>
        </is>
      </c>
      <c r="V80" s="251" t="n">
        <v>20.83</v>
      </c>
      <c r="W80" s="243" t="inlineStr">
        <is>
          <t>ППК26112</t>
        </is>
      </c>
      <c r="X80" s="243" t="inlineStr">
        <is>
          <t>22.00 ± 2.20 (I)</t>
        </is>
      </c>
      <c r="Y80" s="243" t="inlineStr">
        <is>
          <t>19.80 – 24.19 %</t>
        </is>
      </c>
      <c r="Z80" s="243" t="inlineStr">
        <is>
          <t>FB_THC22 : CBD1</t>
        </is>
      </c>
      <c r="AA80" s="243" t="inlineStr">
        <is>
          <t>QCSP_001_FB-I_v.01</t>
        </is>
      </c>
      <c r="AB80" s="246" t="inlineStr">
        <is>
          <t>for review — new</t>
        </is>
      </c>
      <c r="AC80" s="246" t="inlineStr"/>
    </row>
    <row r="81">
      <c r="A81" s="243">
        <f>IF(OR(C81="yes",C81="allocated",C81="ruled"),COUNT(A$1:A80)+1,"")</f>
        <v/>
      </c>
      <c r="B81" s="244">
        <f>IF(A81&lt;&gt;"","CoQ-PP_26-"&amp;TEXT(A81,"000"),"— at issue —")</f>
        <v/>
      </c>
      <c r="C81" s="249" t="inlineStr">
        <is>
          <t>yes</t>
        </is>
      </c>
      <c r="D81" s="245">
        <f>IF(OR(A81="",C81="allocated",C81="ruled"),"",MAX(E81,IF(ISNUMBER(I81),I81,0),IFERROR(IF(ISNUMBER(INDEX('iCoA Register'!$F:$F,MATCH(S81,'iCoA Register'!$AA:$AA,0))),INDEX('iCoA Register'!$F:$F,MATCH(S81,'iCoA Register'!$AA:$AA,0)),0),0)))</f>
        <v/>
      </c>
      <c r="E81" s="245">
        <f>IF(ISNUMBER(F81),MAX(DATE(2026,6,6),F81+7),DATE(2026,6,6))</f>
        <v/>
      </c>
      <c r="F81" s="245" t="n">
        <v>46209</v>
      </c>
      <c r="G81" s="243" t="inlineStr">
        <is>
          <t>ППК26116</t>
        </is>
      </c>
      <c r="H81" s="243">
        <f>IFERROR(INDEX('iCoA Register'!$B:$B,MATCH("P060442|I",'iCoA Register'!$AA:$AA,0)),"—")</f>
        <v/>
      </c>
      <c r="I81" s="245">
        <f>IFERROR(INDEX('iCoA Register'!$D:$D,MATCH("P060442|I",'iCoA Register'!$AA:$AA,0)),"")</f>
        <v/>
      </c>
      <c r="J81" s="243" t="inlineStr">
        <is>
          <t>post-SOP</t>
        </is>
      </c>
      <c r="K81" s="243" t="inlineStr">
        <is>
          <t>initial release</t>
        </is>
      </c>
      <c r="L81" s="244" t="inlineStr">
        <is>
          <t>SCR022601</t>
        </is>
      </c>
      <c r="M81" s="243" t="inlineStr">
        <is>
          <t>P060442</t>
        </is>
      </c>
      <c r="N81" s="243" t="inlineStr">
        <is>
          <t>Scrambler</t>
        </is>
      </c>
      <c r="O81" s="243" t="inlineStr">
        <is>
          <t>ППК26116, (06.07.2026) [CNP]</t>
        </is>
      </c>
      <c r="P81" s="243" t="inlineStr">
        <is>
          <t>A: ППК26116 / B: ППК26116 / FM: ППК26116</t>
        </is>
      </c>
      <c r="Q81" s="243" t="inlineStr">
        <is>
          <t>—</t>
        </is>
      </c>
      <c r="R81" s="243" t="inlineStr">
        <is>
          <t>(assigned on issue)</t>
        </is>
      </c>
      <c r="S81" s="243" t="inlineStr">
        <is>
          <t>P060442|I</t>
        </is>
      </c>
      <c r="T81" s="250" t="inlineStr">
        <is>
          <t>registered — first working day 7 days after the latest eCoA · initial certificate to locate: #9 (IJZ), #10 (CNP), #11 (CNP), #12 (CNP)</t>
        </is>
      </c>
      <c r="U81" s="243" t="inlineStr">
        <is>
          <t>n/a — initial certificate</t>
        </is>
      </c>
      <c r="V81" s="251" t="n">
        <v>21.92</v>
      </c>
      <c r="W81" s="243" t="inlineStr">
        <is>
          <t>ППК26116</t>
        </is>
      </c>
      <c r="X81" s="243" t="inlineStr">
        <is>
          <t>22.00 ± 2.20 (I)</t>
        </is>
      </c>
      <c r="Y81" s="243" t="inlineStr">
        <is>
          <t>19.80 – 24.19 %</t>
        </is>
      </c>
      <c r="Z81" s="243" t="inlineStr">
        <is>
          <t>SCR_THC22 : CBD1</t>
        </is>
      </c>
      <c r="AA81" s="243" t="inlineStr">
        <is>
          <t>QCSP_001_SCR-I_v.01</t>
        </is>
      </c>
      <c r="AB81" s="246" t="inlineStr">
        <is>
          <t>for review — new</t>
        </is>
      </c>
      <c r="AC81" s="246" t="inlineStr"/>
    </row>
    <row r="82">
      <c r="A82" s="243">
        <f>IF(OR(C82="yes",C82="allocated",C82="ruled"),COUNT(A$1:A81)+1,"")</f>
        <v/>
      </c>
      <c r="B82" s="244">
        <f>IF(A82&lt;&gt;"","CoQ-PP_26-"&amp;TEXT(A82,"000"),"— at issue —")</f>
        <v/>
      </c>
      <c r="C82" s="249" t="inlineStr">
        <is>
          <t>yes</t>
        </is>
      </c>
      <c r="D82" s="245">
        <f>IF(OR(A82="",C82="allocated",C82="ruled"),"",MAX(E82,IF(ISNUMBER(I82),I82,0),IFERROR(IF(ISNUMBER(INDEX('iCoA Register'!$F:$F,MATCH(S82,'iCoA Register'!$AA:$AA,0))),INDEX('iCoA Register'!$F:$F,MATCH(S82,'iCoA Register'!$AA:$AA,0)),0),0)))</f>
        <v/>
      </c>
      <c r="E82" s="245">
        <f>IF(ISNUMBER(F82),MAX(DATE(2026,6,6),F82+7),DATE(2026,6,6))</f>
        <v/>
      </c>
      <c r="F82" s="245" t="n">
        <v>46224</v>
      </c>
      <c r="G82" s="243" t="inlineStr">
        <is>
          <t>ППК26127</t>
        </is>
      </c>
      <c r="H82" s="243">
        <f>IFERROR(INDEX('iCoA Register'!$B:$B,MATCH("P060452|I",'iCoA Register'!$AA:$AA,0)),"—")</f>
        <v/>
      </c>
      <c r="I82" s="245">
        <f>IFERROR(INDEX('iCoA Register'!$D:$D,MATCH("P060452|I",'iCoA Register'!$AA:$AA,0)),"")</f>
        <v/>
      </c>
      <c r="J82" s="243" t="inlineStr">
        <is>
          <t>post-SOP</t>
        </is>
      </c>
      <c r="K82" s="243" t="inlineStr">
        <is>
          <t>initial release</t>
        </is>
      </c>
      <c r="L82" s="244" t="inlineStr">
        <is>
          <t>FB032601</t>
        </is>
      </c>
      <c r="M82" s="243" t="inlineStr">
        <is>
          <t>P060452</t>
        </is>
      </c>
      <c r="N82" s="243" t="inlineStr">
        <is>
          <t>Fat Bastard</t>
        </is>
      </c>
      <c r="O82" s="243" t="inlineStr">
        <is>
          <t>ППК26127, (21.07.2026) [CNP]</t>
        </is>
      </c>
      <c r="P82" s="243" t="inlineStr">
        <is>
          <t>A: ППК26127 / B: ППК26127 / FM: ППК26127</t>
        </is>
      </c>
      <c r="Q82" s="243" t="inlineStr">
        <is>
          <t>—</t>
        </is>
      </c>
      <c r="R82" s="243" t="inlineStr">
        <is>
          <t>(assigned on issue)</t>
        </is>
      </c>
      <c r="S82" s="243" t="inlineStr">
        <is>
          <t>P060452|I</t>
        </is>
      </c>
      <c r="T82" s="250" t="inlineStr">
        <is>
          <t>registered — first working day 7 days after the latest eCoA · initial certificate to locate: #9 (IJZ), #10 (CNP), #11 (CNP), #12 (CNP)</t>
        </is>
      </c>
      <c r="U82" s="243" t="inlineStr">
        <is>
          <t>n/a — initial certificate</t>
        </is>
      </c>
      <c r="V82" s="251" t="n">
        <v>12.39</v>
      </c>
      <c r="W82" s="243" t="inlineStr">
        <is>
          <t>ППК26127</t>
        </is>
      </c>
      <c r="X82" s="243" t="inlineStr">
        <is>
          <t>12.00 ± 1.20 (IV)</t>
        </is>
      </c>
      <c r="Y82" s="243" t="inlineStr">
        <is>
          <t>10.80 – 13.19 %</t>
        </is>
      </c>
      <c r="Z82" s="243" t="inlineStr">
        <is>
          <t>FB_THC12 : CBD1</t>
        </is>
      </c>
      <c r="AA82" s="243" t="inlineStr">
        <is>
          <t>QCSP_001_FB-IV_v.01</t>
        </is>
      </c>
      <c r="AB82" s="246" t="inlineStr">
        <is>
          <t>for review — new</t>
        </is>
      </c>
      <c r="AC82" s="246" t="inlineStr"/>
    </row>
    <row r="83">
      <c r="A83" s="243">
        <f>IF(OR(C83="yes",C83="allocated",C83="ruled"),COUNT(A$1:A82)+1,"")</f>
        <v/>
      </c>
      <c r="B83" s="244">
        <f>IF(A83&lt;&gt;"","CoQ-PP_26-"&amp;TEXT(A83,"000"),"— at issue —")</f>
        <v/>
      </c>
      <c r="C83" s="249" t="inlineStr">
        <is>
          <t>yes</t>
        </is>
      </c>
      <c r="D83" s="245">
        <f>IF(OR(A83="",C83="allocated",C83="ruled"),"",MAX(E83,IF(ISNUMBER(I83),I83,0),IFERROR(IF(ISNUMBER(INDEX('iCoA Register'!$F:$F,MATCH(S83,'iCoA Register'!$AA:$AA,0))),INDEX('iCoA Register'!$F:$F,MATCH(S83,'iCoA Register'!$AA:$AA,0)),0),0)))</f>
        <v/>
      </c>
      <c r="E83" s="245">
        <f>IF(ISNUMBER(F83),MAX(DATE(2026,6,6),F83+7),DATE(2026,6,6))</f>
        <v/>
      </c>
      <c r="F83" s="245" t="n">
        <v>46224</v>
      </c>
      <c r="G83" s="243" t="inlineStr">
        <is>
          <t>ППК26128</t>
        </is>
      </c>
      <c r="H83" s="243">
        <f>IFERROR(INDEX('iCoA Register'!$B:$B,MATCH("P060462|I",'iCoA Register'!$AA:$AA,0)),"—")</f>
        <v/>
      </c>
      <c r="I83" s="245">
        <f>IFERROR(INDEX('iCoA Register'!$D:$D,MATCH("P060462|I",'iCoA Register'!$AA:$AA,0)),"")</f>
        <v/>
      </c>
      <c r="J83" s="243" t="inlineStr">
        <is>
          <t>post-SOP</t>
        </is>
      </c>
      <c r="K83" s="243" t="inlineStr">
        <is>
          <t>initial release</t>
        </is>
      </c>
      <c r="L83" s="244" t="inlineStr">
        <is>
          <t>GG032601</t>
        </is>
      </c>
      <c r="M83" s="243" t="inlineStr">
        <is>
          <t>P060462</t>
        </is>
      </c>
      <c r="N83" s="243" t="inlineStr">
        <is>
          <t>Gorilla Glue</t>
        </is>
      </c>
      <c r="O83" s="243" t="inlineStr">
        <is>
          <t>ППК26128, (21.07.2026) [CNP]</t>
        </is>
      </c>
      <c r="P83" s="243" t="inlineStr">
        <is>
          <t>A: ППК26128 / B: ППК26128 / FM: ППК26128</t>
        </is>
      </c>
      <c r="Q83" s="243" t="inlineStr">
        <is>
          <t>—</t>
        </is>
      </c>
      <c r="R83" s="243" t="inlineStr">
        <is>
          <t>(assigned on issue)</t>
        </is>
      </c>
      <c r="S83" s="243" t="inlineStr">
        <is>
          <t>P060462|I</t>
        </is>
      </c>
      <c r="T83" s="250" t="inlineStr">
        <is>
          <t>registered — first working day 7 days after the latest eCoA · initial certificate to locate: #9 (IJZ), #10 (CNP), #11 (CNP), #12 (CNP)</t>
        </is>
      </c>
      <c r="U83" s="243" t="inlineStr">
        <is>
          <t>n/a — initial certificate</t>
        </is>
      </c>
      <c r="V83" s="251" t="n">
        <v>18.98</v>
      </c>
      <c r="W83" s="243" t="inlineStr">
        <is>
          <t>ППК26128</t>
        </is>
      </c>
      <c r="X83" s="243" t="inlineStr">
        <is>
          <t>18.00 ± 1.77 (I)</t>
        </is>
      </c>
      <c r="Y83" s="243" t="inlineStr">
        <is>
          <t>16.23 – 19.76 %</t>
        </is>
      </c>
      <c r="Z83" s="243" t="inlineStr">
        <is>
          <t>GG_THC18 : CBD1</t>
        </is>
      </c>
      <c r="AA83" s="243" t="inlineStr">
        <is>
          <t>QCSP_001_GG-I_v.01</t>
        </is>
      </c>
      <c r="AB83" s="252" t="inlineStr">
        <is>
          <t>for review — replaces the issued QCSP_001_GG-I_v.01 (was GG_THC18 : CBD1, 17.01 – 18.99 %); now GG_THC18 : CBD1 16.23 – 19.76 %</t>
        </is>
      </c>
      <c r="AC83" s="246" t="inlineStr"/>
    </row>
    <row r="84">
      <c r="A84" s="243">
        <f>IF(OR(C84="yes",C84="allocated",C84="ruled"),COUNT(A$1:A83)+1,"")</f>
        <v/>
      </c>
      <c r="B84" s="244">
        <f>IF(A84&lt;&gt;"","CoQ-PP_26-"&amp;TEXT(A84,"000"),"— at issue —")</f>
        <v/>
      </c>
      <c r="C84" s="249" t="inlineStr">
        <is>
          <t>yes</t>
        </is>
      </c>
      <c r="D84" s="245">
        <f>IF(OR(A84="",C84="allocated",C84="ruled"),"",MAX(E84,IF(ISNUMBER(I84),I84,0),IFERROR(IF(ISNUMBER(INDEX('iCoA Register'!$F:$F,MATCH(S84,'iCoA Register'!$AA:$AA,0))),INDEX('iCoA Register'!$F:$F,MATCH(S84,'iCoA Register'!$AA:$AA,0)),0),0)))</f>
        <v/>
      </c>
      <c r="E84" s="245">
        <f>IF(ISNUMBER(F84),MAX(DATE(2026,6,6),F84+7),DATE(2026,6,6))</f>
        <v/>
      </c>
      <c r="F84" s="245" t="n">
        <v>46203</v>
      </c>
      <c r="G84" s="243" t="inlineStr">
        <is>
          <t>ППК26115</t>
        </is>
      </c>
      <c r="H84" s="243">
        <f>IFERROR(INDEX('iCoA Register'!$B:$B,MATCH("P060482|I",'iCoA Register'!$AA:$AA,0)),"—")</f>
        <v/>
      </c>
      <c r="I84" s="245">
        <f>IFERROR(INDEX('iCoA Register'!$D:$D,MATCH("P060482|I",'iCoA Register'!$AA:$AA,0)),"")</f>
        <v/>
      </c>
      <c r="J84" s="243" t="inlineStr">
        <is>
          <t>post-SOP</t>
        </is>
      </c>
      <c r="K84" s="243" t="inlineStr">
        <is>
          <t>initial release</t>
        </is>
      </c>
      <c r="L84" s="244" t="inlineStr">
        <is>
          <t>JD022601</t>
        </is>
      </c>
      <c r="M84" s="243" t="inlineStr">
        <is>
          <t>P060482</t>
        </is>
      </c>
      <c r="N84" s="243" t="inlineStr">
        <is>
          <t>Jelly Donuts</t>
        </is>
      </c>
      <c r="O84" s="243" t="inlineStr">
        <is>
          <t>ППК26115, (30.06.2026) [CNP]</t>
        </is>
      </c>
      <c r="P84" s="243" t="inlineStr">
        <is>
          <t>A: ППК26115 / B: ППК26115 / FM: ППК26115</t>
        </is>
      </c>
      <c r="Q84" s="243" t="inlineStr">
        <is>
          <t>—</t>
        </is>
      </c>
      <c r="R84" s="243" t="inlineStr">
        <is>
          <t>(assigned on issue)</t>
        </is>
      </c>
      <c r="S84" s="243" t="inlineStr">
        <is>
          <t>P060482|I</t>
        </is>
      </c>
      <c r="T84" s="250" t="inlineStr">
        <is>
          <t>registered — held to the packaging date · initial certificate to locate: #9 (IJZ), #10 (CNP), #11 (CNP), #12 (CNP)</t>
        </is>
      </c>
      <c r="U84" s="243" t="inlineStr">
        <is>
          <t>n/a — initial certificate</t>
        </is>
      </c>
      <c r="V84" s="251" t="n">
        <v>18.58</v>
      </c>
      <c r="W84" s="243" t="inlineStr">
        <is>
          <t>ППК26115</t>
        </is>
      </c>
      <c r="X84" s="243" t="inlineStr">
        <is>
          <t>18.00 ± 1.80 (II)</t>
        </is>
      </c>
      <c r="Y84" s="243" t="inlineStr">
        <is>
          <t>16.20 – 19.79 %</t>
        </is>
      </c>
      <c r="Z84" s="243" t="inlineStr">
        <is>
          <t>JD_THC18 : CBD1</t>
        </is>
      </c>
      <c r="AA84" s="243" t="inlineStr">
        <is>
          <t>QCSP_001_JD-II_v.01</t>
        </is>
      </c>
      <c r="AB84" s="252" t="inlineStr">
        <is>
          <t>for review — replaces the issued QCSP_001_JD-II_v.01 (was JD_THC16 : CBD1, 14.91 – 17.09 %); now JD_THC18 : CBD1 16.20 – 19.79 %</t>
        </is>
      </c>
      <c r="AC84" s="246" t="inlineStr"/>
    </row>
    <row r="85">
      <c r="A85" s="243">
        <f>IF(OR(C85="yes",C85="allocated",C85="ruled"),COUNT(A$1:A84)+1,"")</f>
        <v/>
      </c>
      <c r="B85" s="244">
        <f>IF(A85&lt;&gt;"","CoQ-PP_26-"&amp;TEXT(A85,"000"),"— at issue —")</f>
        <v/>
      </c>
      <c r="C85" s="249" t="inlineStr">
        <is>
          <t>yes</t>
        </is>
      </c>
      <c r="D85" s="245">
        <f>IF(OR(A85="",C85="allocated",C85="ruled"),"",MAX(E85,IF(ISNUMBER(I85),I85,0),IFERROR(IF(ISNUMBER(INDEX('iCoA Register'!$F:$F,MATCH(S85,'iCoA Register'!$AA:$AA,0))),INDEX('iCoA Register'!$F:$F,MATCH(S85,'iCoA Register'!$AA:$AA,0)),0),0)))</f>
        <v/>
      </c>
      <c r="E85" s="245">
        <f>IF(ISNUMBER(F85),MAX(DATE(2026,6,6),F85+7),DATE(2026,6,6))</f>
        <v/>
      </c>
      <c r="F85" s="245" t="inlineStr">
        <is>
          <t>—</t>
        </is>
      </c>
      <c r="G85" s="243" t="inlineStr">
        <is>
          <t>—</t>
        </is>
      </c>
      <c r="H85" s="243">
        <f>IFERROR(INDEX('iCoA Register'!$B:$B,MATCH("P060492|I",'iCoA Register'!$AA:$AA,0)),"—")</f>
        <v/>
      </c>
      <c r="I85" s="245">
        <f>IFERROR(INDEX('iCoA Register'!$D:$D,MATCH("P060492|I",'iCoA Register'!$AA:$AA,0)),"")</f>
        <v/>
      </c>
      <c r="J85" s="243" t="inlineStr">
        <is>
          <t>post-SOP</t>
        </is>
      </c>
      <c r="K85" s="243" t="inlineStr">
        <is>
          <t>initial release</t>
        </is>
      </c>
      <c r="L85" s="244" t="inlineStr">
        <is>
          <t>JD042601</t>
        </is>
      </c>
      <c r="M85" s="243" t="inlineStr">
        <is>
          <t>P060492</t>
        </is>
      </c>
      <c r="N85" s="243" t="inlineStr">
        <is>
          <t>Jelly Donuts</t>
        </is>
      </c>
      <c r="O85" s="248" t="inlineStr">
        <is>
          <t>— no cannabinoid certificate from the initial testing —</t>
        </is>
      </c>
      <c r="P85" s="248" t="inlineStr">
        <is>
          <t>—</t>
        </is>
      </c>
      <c r="Q85" s="243" t="inlineStr">
        <is>
          <t>—</t>
        </is>
      </c>
      <c r="R85" s="243" t="inlineStr">
        <is>
          <t>(assigned on issue)</t>
        </is>
      </c>
      <c r="S85" s="243" t="inlineStr">
        <is>
          <t>P060492|I</t>
        </is>
      </c>
      <c r="T85" s="250" t="inlineStr">
        <is>
          <t>registered — provisional date: no initial certificate on file yet — the date follows the latest eCoA once located · initial certificate to locate: #3 (CNP), #4 (CNP), #5 (CNP), #6 (CNP), #8 (CNP), #9 (IJZ), #10 (CNP), #11 (CNP), #12 (CNP)</t>
        </is>
      </c>
      <c r="U85" s="243" t="inlineStr">
        <is>
          <t>n/a — initial certificate</t>
        </is>
      </c>
      <c r="V85" s="243" t="inlineStr">
        <is>
          <t>—</t>
        </is>
      </c>
      <c r="W85" s="243" t="inlineStr">
        <is>
          <t>—</t>
        </is>
      </c>
      <c r="X85" s="243" t="inlineStr">
        <is>
          <t>—</t>
        </is>
      </c>
      <c r="Y85" s="243" t="inlineStr">
        <is>
          <t>—</t>
        </is>
      </c>
      <c r="Z85" s="243" t="inlineStr">
        <is>
          <t>—</t>
        </is>
      </c>
      <c r="AA85" s="243" t="inlineStr">
        <is>
          <t>—</t>
        </is>
      </c>
      <c r="AB85" s="246" t="inlineStr">
        <is>
          <t>—</t>
        </is>
      </c>
      <c r="AC85" s="252" t="inlineStr">
        <is>
          <t>no Total THC result on this certificate</t>
        </is>
      </c>
    </row>
    <row r="86">
      <c r="A86" s="243">
        <f>IF(OR(C86="yes",C86="allocated",C86="ruled"),COUNT(A$1:A85)+1,"")</f>
        <v/>
      </c>
      <c r="B86" s="244">
        <f>IF(A86&lt;&gt;"","CoQ-PP_26-"&amp;TEXT(A86,"000"),"— at issue —")</f>
        <v/>
      </c>
      <c r="C86" s="249" t="inlineStr">
        <is>
          <t>yes</t>
        </is>
      </c>
      <c r="D86" s="245">
        <f>IF(OR(A86="",C86="allocated",C86="ruled"),"",MAX(E86,IF(ISNUMBER(I86),I86,0),IFERROR(IF(ISNUMBER(INDEX('iCoA Register'!$F:$F,MATCH(S86,'iCoA Register'!$AA:$AA,0))),INDEX('iCoA Register'!$F:$F,MATCH(S86,'iCoA Register'!$AA:$AA,0)),0),0)))</f>
        <v/>
      </c>
      <c r="E86" s="245">
        <f>IF(ISNUMBER(F86),MAX(DATE(2026,6,6),F86+7),"— awaiting the retest certificates —")</f>
        <v/>
      </c>
      <c r="F86" s="245" t="n">
        <v>46244</v>
      </c>
      <c r="G86" s="243" t="inlineStr">
        <is>
          <t>197-1-M-26</t>
        </is>
      </c>
      <c r="H86" s="243">
        <f>IFERROR(INDEX('iCoA Register'!$B:$B,MATCH("BG1024|R",'iCoA Register'!$AA:$AA,0)),"—")</f>
        <v/>
      </c>
      <c r="I86" s="245">
        <f>IFERROR(INDEX('iCoA Register'!$D:$D,MATCH("BG1024|R",'iCoA Register'!$AA:$AA,0)),"")</f>
        <v/>
      </c>
      <c r="J86" s="243" t="inlineStr">
        <is>
          <t>legacy</t>
        </is>
      </c>
      <c r="K86" s="243" t="inlineStr">
        <is>
          <t>retest — Tranche 1 (sampled 21–24.07.2026)</t>
        </is>
      </c>
      <c r="L86" s="244" t="inlineStr">
        <is>
          <t>BG1024</t>
        </is>
      </c>
      <c r="M86" s="243" t="inlineStr">
        <is>
          <t>N/A — no P batch assigned</t>
        </is>
      </c>
      <c r="N86" s="243" t="inlineStr">
        <is>
          <t>Blue Gelato</t>
        </is>
      </c>
      <c r="O86" s="243" t="inlineStr">
        <is>
          <t>197-1-K-26, (07.08.2026) [FHM-K]</t>
        </is>
      </c>
      <c r="P86" s="248" t="inlineStr">
        <is>
          <t>—</t>
        </is>
      </c>
      <c r="Q86" s="243" t="inlineStr">
        <is>
          <t>—</t>
        </is>
      </c>
      <c r="R86" s="243" t="inlineStr">
        <is>
          <t>CoQ-PP-2026-0028</t>
        </is>
      </c>
      <c r="S86" s="243" t="inlineStr">
        <is>
          <t>BG1024|R</t>
        </is>
      </c>
      <c r="T86" s="250" t="inlineStr">
        <is>
          <t>registered — retest, Tranche 1 (sampled 21–24.07.2026), sampled 21.07.2026; issued 17.08.2026, 7 days after 197-1-M-26 of 10.08.2026; cites iCoA-PP_26-100 of 27.07.2026</t>
        </is>
      </c>
      <c r="U86" s="243">
        <f>IFERROR(INDEX('CoQ Register'!$B:$B,MATCH("BG1024|I",'CoQ Register'!$S:$S,0)),"— initial certificate not on the register —")</f>
        <v/>
      </c>
      <c r="V86" s="251" t="n">
        <v>26.14</v>
      </c>
      <c r="W86" s="243" t="inlineStr">
        <is>
          <t>197-1-К/26</t>
        </is>
      </c>
      <c r="X86" s="243" t="inlineStr">
        <is>
          <t>26.00 ± 1.80 (I)</t>
        </is>
      </c>
      <c r="Y86" s="243" t="inlineStr">
        <is>
          <t>24.20 – 27.79 %</t>
        </is>
      </c>
      <c r="Z86" s="243" t="inlineStr">
        <is>
          <t>BG_THC26 : CBD1</t>
        </is>
      </c>
      <c r="AA86" s="243" t="inlineStr">
        <is>
          <t>QCSP_001_BG-I_v.01</t>
        </is>
      </c>
      <c r="AB86" s="252" t="inlineStr">
        <is>
          <t>for review — replaces the issued QCSP_001_BG-I_v.01 (was BG_THC26 : CBD1, 23.40 – 28.60 %); now BG_THC26 : CBD1 24.20 – 27.79 %</t>
        </is>
      </c>
      <c r="AC86" s="246" t="inlineStr"/>
    </row>
    <row r="87">
      <c r="A87" s="243">
        <f>IF(OR(C87="yes",C87="allocated",C87="ruled"),COUNT(A$1:A86)+1,"")</f>
        <v/>
      </c>
      <c r="B87" s="244">
        <f>IF(A87&lt;&gt;"","CoQ-PP_26-"&amp;TEXT(A87,"000"),"— at issue —")</f>
        <v/>
      </c>
      <c r="C87" s="249" t="inlineStr">
        <is>
          <t>yes</t>
        </is>
      </c>
      <c r="D87" s="245">
        <f>IF(OR(A87="",C87="allocated",C87="ruled"),"",MAX(E87,IF(ISNUMBER(I87),I87,0),IFERROR(IF(ISNUMBER(INDEX('iCoA Register'!$F:$F,MATCH(S87,'iCoA Register'!$AA:$AA,0))),INDEX('iCoA Register'!$F:$F,MATCH(S87,'iCoA Register'!$AA:$AA,0)),0),0)))</f>
        <v/>
      </c>
      <c r="E87" s="245">
        <f>IF(ISNUMBER(F87),MAX(DATE(2026,6,6),F87+7),"— awaiting the retest certificates —")</f>
        <v/>
      </c>
      <c r="F87" s="245" t="n">
        <v>46244</v>
      </c>
      <c r="G87" s="243" t="inlineStr">
        <is>
          <t>197-2-M-26</t>
        </is>
      </c>
      <c r="H87" s="243">
        <f>IFERROR(INDEX('iCoA Register'!$B:$B,MATCH("BSS1024|R",'iCoA Register'!$AA:$AA,0)),"—")</f>
        <v/>
      </c>
      <c r="I87" s="245">
        <f>IFERROR(INDEX('iCoA Register'!$D:$D,MATCH("BSS1024|R",'iCoA Register'!$AA:$AA,0)),"")</f>
        <v/>
      </c>
      <c r="J87" s="243" t="inlineStr">
        <is>
          <t>legacy</t>
        </is>
      </c>
      <c r="K87" s="243" t="inlineStr">
        <is>
          <t>retest — Tranche 1 (sampled 21–24.07.2026)</t>
        </is>
      </c>
      <c r="L87" s="244" t="inlineStr">
        <is>
          <t>BSS1024</t>
        </is>
      </c>
      <c r="M87" s="243" t="inlineStr">
        <is>
          <t>N/A — no P batch assigned</t>
        </is>
      </c>
      <c r="N87" s="243" t="inlineStr">
        <is>
          <t>Blue Sunset Sherbet</t>
        </is>
      </c>
      <c r="O87" s="243" t="inlineStr">
        <is>
          <t>197-2-K-26, (07.08.2026) [FHM-K]</t>
        </is>
      </c>
      <c r="P87" s="248" t="inlineStr">
        <is>
          <t>—</t>
        </is>
      </c>
      <c r="Q87" s="243" t="inlineStr">
        <is>
          <t>—</t>
        </is>
      </c>
      <c r="R87" s="243" t="inlineStr">
        <is>
          <t>CoQ-PP-2026-0027</t>
        </is>
      </c>
      <c r="S87" s="243" t="inlineStr">
        <is>
          <t>BSS1024|R</t>
        </is>
      </c>
      <c r="T87" s="250" t="inlineStr">
        <is>
          <t>registered — retest, Tranche 1 (sampled 21–24.07.2026), sampled 21.07.2026; issued 17.08.2026, 7 days after 197-2-M-26 of 10.08.2026; cites iCoA-PP_26-101 of 27.07.2026</t>
        </is>
      </c>
      <c r="U87" s="243">
        <f>IFERROR(INDEX('CoQ Register'!$B:$B,MATCH("BSS1024|I",'CoQ Register'!$S:$S,0)),"— initial certificate not on the register —")</f>
        <v/>
      </c>
      <c r="V87" s="251" t="n">
        <v>25.01</v>
      </c>
      <c r="W87" s="243" t="inlineStr">
        <is>
          <t>197-2-К/26</t>
        </is>
      </c>
      <c r="X87" s="243" t="inlineStr">
        <is>
          <t>24.00 ± 2.11 (II)</t>
        </is>
      </c>
      <c r="Y87" s="243" t="inlineStr">
        <is>
          <t>21.89 – 26.10 %</t>
        </is>
      </c>
      <c r="Z87" s="243" t="inlineStr">
        <is>
          <t>BSS_THC24 : CBD1</t>
        </is>
      </c>
      <c r="AA87" s="243" t="inlineStr">
        <is>
          <t>QCSP_001_BSS-II_v.01</t>
        </is>
      </c>
      <c r="AB87" s="252" t="inlineStr">
        <is>
          <t>for review — replaces the issued QCSP_001_BSS-II_v.01 (was BSS_THC20 : CBD1, 18.00 – 22.00 %); now BSS_THC24 : CBD1 21.89 – 26.10 %</t>
        </is>
      </c>
      <c r="AC87" s="246" t="inlineStr"/>
    </row>
    <row r="88">
      <c r="A88" s="243">
        <f>IF(OR(C88="yes",C88="allocated",C88="ruled"),COUNT(A$1:A87)+1,"")</f>
        <v/>
      </c>
      <c r="B88" s="244">
        <f>IF(A88&lt;&gt;"","CoQ-PP_26-"&amp;TEXT(A88,"000"),"— at issue —")</f>
        <v/>
      </c>
      <c r="C88" s="249" t="inlineStr">
        <is>
          <t>yes</t>
        </is>
      </c>
      <c r="D88" s="245">
        <f>IF(OR(A88="",C88="allocated",C88="ruled"),"",MAX(E88,IF(ISNUMBER(I88),I88,0),IFERROR(IF(ISNUMBER(INDEX('iCoA Register'!$F:$F,MATCH(S88,'iCoA Register'!$AA:$AA,0))),INDEX('iCoA Register'!$F:$F,MATCH(S88,'iCoA Register'!$AA:$AA,0)),0),0)))</f>
        <v/>
      </c>
      <c r="E88" s="245">
        <f>IF(ISNUMBER(F88),MAX(DATE(2026,6,6),F88+7),"— awaiting the retest certificates —")</f>
        <v/>
      </c>
      <c r="F88" s="245" t="n">
        <v>46244</v>
      </c>
      <c r="G88" s="243" t="inlineStr">
        <is>
          <t>197-6-M-26</t>
        </is>
      </c>
      <c r="H88" s="243">
        <f>IFERROR(INDEX('iCoA Register'!$B:$B,MATCH("P060332|R",'iCoA Register'!$AA:$AA,0)),"—")</f>
        <v/>
      </c>
      <c r="I88" s="245">
        <f>IFERROR(INDEX('iCoA Register'!$D:$D,MATCH("P060332|R",'iCoA Register'!$AA:$AA,0)),"")</f>
        <v/>
      </c>
      <c r="J88" s="243" t="inlineStr">
        <is>
          <t>post-SOP</t>
        </is>
      </c>
      <c r="K88" s="243" t="inlineStr">
        <is>
          <t>retest — Tranche 1 (sampled 21–24.07.2026)</t>
        </is>
      </c>
      <c r="L88" s="244" t="inlineStr">
        <is>
          <t>CC012601/1</t>
        </is>
      </c>
      <c r="M88" s="243" t="inlineStr">
        <is>
          <t>P060332</t>
        </is>
      </c>
      <c r="N88" s="243" t="inlineStr"/>
      <c r="O88" s="243" t="inlineStr">
        <is>
          <t>197-6-K-26, (07.08.2026) [FHM-K]</t>
        </is>
      </c>
      <c r="P88" s="248" t="inlineStr">
        <is>
          <t>—</t>
        </is>
      </c>
      <c r="Q88" s="243" t="inlineStr">
        <is>
          <t>—</t>
        </is>
      </c>
      <c r="R88" s="243" t="inlineStr">
        <is>
          <t>CoQ reissue (assigned on issue)</t>
        </is>
      </c>
      <c r="S88" s="243" t="inlineStr">
        <is>
          <t>P060332|R</t>
        </is>
      </c>
      <c r="T88" s="250" t="inlineStr">
        <is>
          <t>registered — retest, Tranche 1 (sampled 21–24.07.2026), sampled 21.07.2026; issued 17.08.2026, 7 days after 197-6-M-26 of 10.08.2026; cites iCoA-PP_26-105 of 27.07.2026</t>
        </is>
      </c>
      <c r="U88" s="243">
        <f>IFERROR(INDEX('CoQ Register'!$B:$B,MATCH("P060332|I",'CoQ Register'!$S:$S,0)),"— initial certificate not on the register —")</f>
        <v/>
      </c>
      <c r="V88" s="251" t="n">
        <v>17.67</v>
      </c>
      <c r="W88" s="243" t="inlineStr">
        <is>
          <t>197-6-К/26</t>
        </is>
      </c>
      <c r="X88" s="243" t="inlineStr">
        <is>
          <t>17.00 ± 1.65 (I)</t>
        </is>
      </c>
      <c r="Y88" s="243" t="inlineStr">
        <is>
          <t>15.35 – 18.64 %</t>
        </is>
      </c>
      <c r="Z88" s="243" t="inlineStr">
        <is>
          <t>CC_THC17 : CBD1</t>
        </is>
      </c>
      <c r="AA88" s="243" t="inlineStr">
        <is>
          <t>QCSP_001_CC-I_v.01</t>
        </is>
      </c>
      <c r="AB88" s="246" t="inlineStr">
        <is>
          <t>for review — new</t>
        </is>
      </c>
      <c r="AC88" s="246" t="inlineStr"/>
    </row>
    <row r="89">
      <c r="A89" s="243">
        <f>IF(OR(C89="yes",C89="allocated",C89="ruled"),COUNT(A$1:A88)+1,"")</f>
        <v/>
      </c>
      <c r="B89" s="244">
        <f>IF(A89&lt;&gt;"","CoQ-PP_26-"&amp;TEXT(A89,"000"),"— at issue —")</f>
        <v/>
      </c>
      <c r="C89" s="249" t="inlineStr">
        <is>
          <t>yes</t>
        </is>
      </c>
      <c r="D89" s="245">
        <f>IF(OR(A89="",C89="allocated",C89="ruled"),"",MAX(E89,IF(ISNUMBER(I89),I89,0),IFERROR(IF(ISNUMBER(INDEX('iCoA Register'!$F:$F,MATCH(S89,'iCoA Register'!$AA:$AA,0))),INDEX('iCoA Register'!$F:$F,MATCH(S89,'iCoA Register'!$AA:$AA,0)),0),0)))</f>
        <v/>
      </c>
      <c r="E89" s="245">
        <f>IF(ISNUMBER(F89),MAX(DATE(2026,6,6),F89+7),"— awaiting the retest certificates —")</f>
        <v/>
      </c>
      <c r="F89" s="245" t="n">
        <v>46244</v>
      </c>
      <c r="G89" s="243" t="inlineStr">
        <is>
          <t>197-3-M-26</t>
        </is>
      </c>
      <c r="H89" s="243">
        <f>IFERROR(INDEX('iCoA Register'!$B:$B,MATCH("P050162|R",'iCoA Register'!$AA:$AA,0)),"—")</f>
        <v/>
      </c>
      <c r="I89" s="245">
        <f>IFERROR(INDEX('iCoA Register'!$D:$D,MATCH("P050162|R",'iCoA Register'!$AA:$AA,0)),"")</f>
        <v/>
      </c>
      <c r="J89" s="243" t="inlineStr">
        <is>
          <t>legacy</t>
        </is>
      </c>
      <c r="K89" s="243" t="inlineStr">
        <is>
          <t>retest — Tranche 1 (sampled 21–24.07.2026)</t>
        </is>
      </c>
      <c r="L89" s="244" t="inlineStr">
        <is>
          <t>CJ052501/01</t>
        </is>
      </c>
      <c r="M89" s="243" t="inlineStr">
        <is>
          <t>P050162</t>
        </is>
      </c>
      <c r="N89" s="243" t="inlineStr">
        <is>
          <t>Cap Junky</t>
        </is>
      </c>
      <c r="O89" s="243" t="inlineStr">
        <is>
          <t>197-3-K-26, (07.08.2026) [FHM-K]</t>
        </is>
      </c>
      <c r="P89" s="248" t="inlineStr">
        <is>
          <t>—</t>
        </is>
      </c>
      <c r="Q89" s="243" t="inlineStr">
        <is>
          <t>—</t>
        </is>
      </c>
      <c r="R89" s="243" t="inlineStr">
        <is>
          <t>CoQ reissue (assigned on issue)</t>
        </is>
      </c>
      <c r="S89" s="243" t="inlineStr">
        <is>
          <t>P050162|R</t>
        </is>
      </c>
      <c r="T89" s="250" t="inlineStr">
        <is>
          <t>registered — retest, Tranche 1 (sampled 21–24.07.2026), sampled 21.07.2026; issued 17.08.2026, 7 days after 197-3-M-26 of 10.08.2026; cites iCoA-PP_26-102 of 27.07.2026</t>
        </is>
      </c>
      <c r="U89" s="243">
        <f>IFERROR(INDEX('CoQ Register'!$B:$B,MATCH("P050162|I",'CoQ Register'!$S:$S,0)),"— initial certificate not on the register —")</f>
        <v/>
      </c>
      <c r="V89" s="251" t="n">
        <v>24.05</v>
      </c>
      <c r="W89" s="243" t="inlineStr">
        <is>
          <t>197-3-К/26</t>
        </is>
      </c>
      <c r="X89" s="243" t="inlineStr">
        <is>
          <t>24.00 ± 2.40 (II)</t>
        </is>
      </c>
      <c r="Y89" s="243" t="inlineStr">
        <is>
          <t>21.60 – 26.39 %</t>
        </is>
      </c>
      <c r="Z89" s="243" t="inlineStr">
        <is>
          <t>CJ_THC24 : CBD1</t>
        </is>
      </c>
      <c r="AA89" s="243" t="inlineStr">
        <is>
          <t>QCSP_001_CJ-II_v.01</t>
        </is>
      </c>
      <c r="AB89" s="252" t="inlineStr">
        <is>
          <t>for review — replaces the issued QCSP_001_CJ-II_v.01 (was CJ_THC26 : CBD1, 25.01 – 26.99 %); now CJ_THC24 : CBD1 21.60 – 26.39 %</t>
        </is>
      </c>
      <c r="AC89" s="246" t="inlineStr"/>
    </row>
    <row r="90">
      <c r="A90" s="243">
        <f>IF(OR(C90="yes",C90="allocated",C90="ruled"),COUNT(A$1:A89)+1,"")</f>
        <v/>
      </c>
      <c r="B90" s="244">
        <f>IF(A90&lt;&gt;"","CoQ-PP_26-"&amp;TEXT(A90,"000"),"— at issue —")</f>
        <v/>
      </c>
      <c r="C90" s="249" t="inlineStr">
        <is>
          <t>yes</t>
        </is>
      </c>
      <c r="D90" s="245">
        <f>IF(OR(A90="",C90="allocated",C90="ruled"),"",MAX(E90,IF(ISNUMBER(I90),I90,0),IFERROR(IF(ISNUMBER(INDEX('iCoA Register'!$F:$F,MATCH(S90,'iCoA Register'!$AA:$AA,0))),INDEX('iCoA Register'!$F:$F,MATCH(S90,'iCoA Register'!$AA:$AA,0)),0),0)))</f>
        <v/>
      </c>
      <c r="E90" s="245">
        <f>IF(ISNUMBER(F90),MAX(DATE(2026,6,6),F90+7),"— awaiting the retest certificates —")</f>
        <v/>
      </c>
      <c r="F90" s="245" t="n">
        <v>46244</v>
      </c>
      <c r="G90" s="243" t="inlineStr">
        <is>
          <t>197-5-M-26</t>
        </is>
      </c>
      <c r="H90" s="243">
        <f>IFERROR(INDEX('iCoA Register'!$B:$B,MATCH("P060032|R",'iCoA Register'!$AA:$AA,0)),"—")</f>
        <v/>
      </c>
      <c r="I90" s="245">
        <f>IFERROR(INDEX('iCoA Register'!$D:$D,MATCH("P060032|R",'iCoA Register'!$AA:$AA,0)),"")</f>
        <v/>
      </c>
      <c r="J90" s="243" t="inlineStr">
        <is>
          <t>legacy</t>
        </is>
      </c>
      <c r="K90" s="243" t="inlineStr">
        <is>
          <t>retest — Tranche 1 (sampled 21–24.07.2026)</t>
        </is>
      </c>
      <c r="L90" s="244" t="inlineStr">
        <is>
          <t>CJ082501/2</t>
        </is>
      </c>
      <c r="M90" s="243" t="inlineStr">
        <is>
          <t>P060032</t>
        </is>
      </c>
      <c r="N90" s="243" t="inlineStr">
        <is>
          <t>Cap Junky</t>
        </is>
      </c>
      <c r="O90" s="243" t="inlineStr">
        <is>
          <t>197-5-K-26, (07.08.2026) [FHM-K]</t>
        </is>
      </c>
      <c r="P90" s="248" t="inlineStr">
        <is>
          <t>—</t>
        </is>
      </c>
      <c r="Q90" s="243" t="inlineStr">
        <is>
          <t>—</t>
        </is>
      </c>
      <c r="R90" s="243" t="inlineStr">
        <is>
          <t>CoQ reissue (assigned on issue)</t>
        </is>
      </c>
      <c r="S90" s="243" t="inlineStr">
        <is>
          <t>P060032|R</t>
        </is>
      </c>
      <c r="T90" s="250" t="inlineStr">
        <is>
          <t>registered — retest, Tranche 1 (sampled 21–24.07.2026), sampled 21.07.2026; issued 17.08.2026, 7 days after 197-5-M-26 of 10.08.2026; cites iCoA-PP_26-104 of 27.07.2026</t>
        </is>
      </c>
      <c r="U90" s="243">
        <f>IFERROR(INDEX('CoQ Register'!$B:$B,MATCH("P060032|I",'CoQ Register'!$S:$S,0)),"— initial certificate not on the register —")</f>
        <v/>
      </c>
      <c r="V90" s="251" t="n">
        <v>18.29</v>
      </c>
      <c r="W90" s="243" t="inlineStr">
        <is>
          <t>197-5-К/26</t>
        </is>
      </c>
      <c r="X90" s="243" t="inlineStr">
        <is>
          <t>17.00 ± 1.40 (IV)</t>
        </is>
      </c>
      <c r="Y90" s="243" t="inlineStr">
        <is>
          <t>15.60 – 18.39 %</t>
        </is>
      </c>
      <c r="Z90" s="243" t="inlineStr">
        <is>
          <t>CJ_THC17 : CBD1</t>
        </is>
      </c>
      <c r="AA90" s="243" t="inlineStr">
        <is>
          <t>QCSP_001_CJ-IV_v.01</t>
        </is>
      </c>
      <c r="AB90" s="252" t="inlineStr">
        <is>
          <t>for review — replaces the issued QCSP_001_CJ-IV_v.01 (was CJ_THC20 : CBD1, 18.00 – 22.00 %); now CJ_THC17 : CBD1 15.60 – 18.39 %</t>
        </is>
      </c>
      <c r="AC90" s="246" t="inlineStr"/>
    </row>
    <row r="91">
      <c r="A91" s="243">
        <f>IF(OR(C91="yes",C91="allocated",C91="ruled"),COUNT(A$1:A90)+1,"")</f>
        <v/>
      </c>
      <c r="B91" s="244">
        <f>IF(A91&lt;&gt;"","CoQ-PP_26-"&amp;TEXT(A91,"000"),"— at issue —")</f>
        <v/>
      </c>
      <c r="C91" s="249" t="inlineStr">
        <is>
          <t>yes</t>
        </is>
      </c>
      <c r="D91" s="245">
        <f>IF(OR(A91="",C91="allocated",C91="ruled"),"",MAX(E91,IF(ISNUMBER(I91),I91,0),IFERROR(IF(ISNUMBER(INDEX('iCoA Register'!$F:$F,MATCH(S91,'iCoA Register'!$AA:$AA,0))),INDEX('iCoA Register'!$F:$F,MATCH(S91,'iCoA Register'!$AA:$AA,0)),0),0)))</f>
        <v/>
      </c>
      <c r="E91" s="245">
        <f>IF(ISNUMBER(F91),MAX(DATE(2026,6,6),F91+7),"— awaiting the retest certificates —")</f>
        <v/>
      </c>
      <c r="F91" s="245" t="n">
        <v>46244</v>
      </c>
      <c r="G91" s="243" t="inlineStr">
        <is>
          <t>197-7-M-26</t>
        </is>
      </c>
      <c r="H91" s="243">
        <f>IFERROR(INDEX('iCoA Register'!$B:$B,MATCH("P060352|R",'iCoA Register'!$AA:$AA,0)),"—")</f>
        <v/>
      </c>
      <c r="I91" s="245">
        <f>IFERROR(INDEX('iCoA Register'!$D:$D,MATCH("P060352|R",'iCoA Register'!$AA:$AA,0)),"")</f>
        <v/>
      </c>
      <c r="J91" s="243" t="inlineStr">
        <is>
          <t>post-SOP</t>
        </is>
      </c>
      <c r="K91" s="243" t="inlineStr">
        <is>
          <t>retest — Tranche 1 (sampled 21–24.07.2026)</t>
        </is>
      </c>
      <c r="L91" s="244" t="inlineStr">
        <is>
          <t>FB012602*</t>
        </is>
      </c>
      <c r="M91" s="243" t="inlineStr">
        <is>
          <t>P060352</t>
        </is>
      </c>
      <c r="N91" s="243" t="inlineStr">
        <is>
          <t>Fat Bastard</t>
        </is>
      </c>
      <c r="O91" s="243" t="inlineStr">
        <is>
          <t>197-7-K-26, (07.08.2026) [FHM-K]</t>
        </is>
      </c>
      <c r="P91" s="248" t="inlineStr">
        <is>
          <t>—</t>
        </is>
      </c>
      <c r="Q91" s="243" t="inlineStr">
        <is>
          <t>—</t>
        </is>
      </c>
      <c r="R91" s="243" t="inlineStr">
        <is>
          <t>CoQ reissue (assigned on issue)</t>
        </is>
      </c>
      <c r="S91" s="243" t="inlineStr">
        <is>
          <t>P060352|R</t>
        </is>
      </c>
      <c r="T91" s="250" t="inlineStr">
        <is>
          <t>registered — retest, Tranche 1 (sampled 21–24.07.2026), sampled 22.07.2026; issued 17.08.2026, 7 days after 197-7-M-26 of 10.08.2026; cites iCoA-PP_26-109 of 27.07.2026</t>
        </is>
      </c>
      <c r="U91" s="243">
        <f>IFERROR(INDEX('CoQ Register'!$B:$B,MATCH("P060352|I",'CoQ Register'!$S:$S,0)),"— initial certificate not on the register —")</f>
        <v/>
      </c>
      <c r="V91" s="251" t="n">
        <v>18.86</v>
      </c>
      <c r="W91" s="243" t="inlineStr">
        <is>
          <t>197-7-К/26</t>
        </is>
      </c>
      <c r="X91" s="243" t="inlineStr">
        <is>
          <t>18.00 ± 1.80 (II)</t>
        </is>
      </c>
      <c r="Y91" s="243" t="inlineStr">
        <is>
          <t>16.20 – 19.79 %</t>
        </is>
      </c>
      <c r="Z91" s="243" t="inlineStr">
        <is>
          <t>FB_THC18 : CBD1</t>
        </is>
      </c>
      <c r="AA91" s="243" t="inlineStr">
        <is>
          <t>QCSP_001_FB-II_v.01</t>
        </is>
      </c>
      <c r="AB91" s="252" t="inlineStr">
        <is>
          <t>for review — replaces the issued QCSP_001_FB-II_v.01 (was FB_THC18 : CBD1, 17.15 – 18.85 %); now FB_THC18 : CBD1 16.20 – 19.79 %</t>
        </is>
      </c>
      <c r="AC91" s="246" t="inlineStr"/>
    </row>
    <row r="92">
      <c r="A92" s="243">
        <f>IF(OR(C92="yes",C92="allocated",C92="ruled"),COUNT(A$1:A91)+1,"")</f>
        <v/>
      </c>
      <c r="B92" s="244">
        <f>IF(A92&lt;&gt;"","CoQ-PP_26-"&amp;TEXT(A92,"000"),"— at issue —")</f>
        <v/>
      </c>
      <c r="C92" s="249" t="inlineStr">
        <is>
          <t>yes</t>
        </is>
      </c>
      <c r="D92" s="245">
        <f>IF(OR(A92="",C92="allocated",C92="ruled"),"",MAX(E92,IF(ISNUMBER(I92),I92,0),IFERROR(IF(ISNUMBER(INDEX('iCoA Register'!$F:$F,MATCH(S92,'iCoA Register'!$AA:$AA,0))),INDEX('iCoA Register'!$F:$F,MATCH(S92,'iCoA Register'!$AA:$AA,0)),0),0)))</f>
        <v/>
      </c>
      <c r="E92" s="245">
        <f>IF(ISNUMBER(F92),MAX(DATE(2026,6,6),F92+7),"— awaiting the retest certificates —")</f>
        <v/>
      </c>
      <c r="F92" s="245" t="n">
        <v>46244</v>
      </c>
      <c r="G92" s="243" t="inlineStr">
        <is>
          <t>197-8-M-26</t>
        </is>
      </c>
      <c r="H92" s="243">
        <f>IFERROR(INDEX('iCoA Register'!$B:$B,MATCH("P060402|R",'iCoA Register'!$AA:$AA,0)),"—")</f>
        <v/>
      </c>
      <c r="I92" s="245">
        <f>IFERROR(INDEX('iCoA Register'!$D:$D,MATCH("P060402|R",'iCoA Register'!$AA:$AA,0)),"")</f>
        <v/>
      </c>
      <c r="J92" s="243" t="inlineStr">
        <is>
          <t>post-SOP</t>
        </is>
      </c>
      <c r="K92" s="243" t="inlineStr">
        <is>
          <t>retest — Tranche 1 (sampled 21–24.07.2026)</t>
        </is>
      </c>
      <c r="L92" s="244" t="inlineStr">
        <is>
          <t>GG012603</t>
        </is>
      </c>
      <c r="M92" s="243" t="inlineStr">
        <is>
          <t>P060402</t>
        </is>
      </c>
      <c r="N92" s="243" t="inlineStr">
        <is>
          <t>Gorilla Glue</t>
        </is>
      </c>
      <c r="O92" s="243" t="inlineStr">
        <is>
          <t>197-8-K-26, (07.08.2026) [FHM-K]</t>
        </is>
      </c>
      <c r="P92" s="248" t="inlineStr">
        <is>
          <t>—</t>
        </is>
      </c>
      <c r="Q92" s="243" t="inlineStr">
        <is>
          <t>—</t>
        </is>
      </c>
      <c r="R92" s="243" t="inlineStr">
        <is>
          <t>CoQ reissue (assigned on issue)</t>
        </is>
      </c>
      <c r="S92" s="243" t="inlineStr">
        <is>
          <t>P060402|R</t>
        </is>
      </c>
      <c r="T92" s="250" t="inlineStr">
        <is>
          <t>registered — retest, Tranche 1 (sampled 21–24.07.2026), sampled 22.07.2026; issued 17.08.2026, 7 days after 197-8-M-26 of 10.08.2026; cites iCoA-PP_26-110 of 27.07.2026</t>
        </is>
      </c>
      <c r="U92" s="243">
        <f>IFERROR(INDEX('CoQ Register'!$B:$B,MATCH("P060402|I",'CoQ Register'!$S:$S,0)),"— initial certificate not on the register —")</f>
        <v/>
      </c>
      <c r="V92" s="251" t="n">
        <v>16.7</v>
      </c>
      <c r="W92" s="243" t="inlineStr">
        <is>
          <t>197-8-К/26</t>
        </is>
      </c>
      <c r="X92" s="243" t="inlineStr">
        <is>
          <t>18.00 ± 1.77 (I)</t>
        </is>
      </c>
      <c r="Y92" s="243" t="inlineStr">
        <is>
          <t>16.23 – 19.76 %</t>
        </is>
      </c>
      <c r="Z92" s="243" t="inlineStr">
        <is>
          <t>GG_THC18 : CBD1</t>
        </is>
      </c>
      <c r="AA92" s="243" t="inlineStr">
        <is>
          <t>QCSP_001_GG-I_v.01</t>
        </is>
      </c>
      <c r="AB92" s="252" t="inlineStr">
        <is>
          <t>for review — replaces the issued QCSP_001_GG-I_v.01 (was GG_THC18 : CBD1, 17.01 – 18.99 %); now GG_THC18 : CBD1 16.23 – 19.76 %</t>
        </is>
      </c>
      <c r="AC92" s="246" t="inlineStr"/>
    </row>
    <row r="93">
      <c r="A93" s="243">
        <f>IF(OR(C93="yes",C93="allocated",C93="ruled"),COUNT(A$1:A92)+1,"")</f>
        <v/>
      </c>
      <c r="B93" s="244">
        <f>IF(A93&lt;&gt;"","CoQ-PP_26-"&amp;TEXT(A93,"000"),"— at issue —")</f>
        <v/>
      </c>
      <c r="C93" s="249" t="inlineStr">
        <is>
          <t>yes</t>
        </is>
      </c>
      <c r="D93" s="245">
        <f>IF(OR(A93="",C93="allocated",C93="ruled"),"",MAX(E93,IF(ISNUMBER(I93),I93,0),IFERROR(IF(ISNUMBER(INDEX('iCoA Register'!$F:$F,MATCH(S93,'iCoA Register'!$AA:$AA,0))),INDEX('iCoA Register'!$F:$F,MATCH(S93,'iCoA Register'!$AA:$AA,0)),0),0)))</f>
        <v/>
      </c>
      <c r="E93" s="245">
        <f>IF(ISNUMBER(F93),MAX(DATE(2026,6,6),F93+7),"— awaiting the retest certificates —")</f>
        <v/>
      </c>
      <c r="F93" s="245" t="n">
        <v>46244</v>
      </c>
      <c r="G93" s="243" t="inlineStr">
        <is>
          <t>197-9-M-26</t>
        </is>
      </c>
      <c r="H93" s="243">
        <f>IFERROR(INDEX('iCoA Register'!$B:$B,MATCH("P050092|R",'iCoA Register'!$AA:$AA,0)),"—")</f>
        <v/>
      </c>
      <c r="I93" s="245">
        <f>IFERROR(INDEX('iCoA Register'!$D:$D,MATCH("P050092|R",'iCoA Register'!$AA:$AA,0)),"")</f>
        <v/>
      </c>
      <c r="J93" s="243" t="inlineStr">
        <is>
          <t>legacy</t>
        </is>
      </c>
      <c r="K93" s="243" t="inlineStr">
        <is>
          <t>retest — Tranche 1 (sampled 21–24.07.2026)</t>
        </is>
      </c>
      <c r="L93" s="244" t="inlineStr">
        <is>
          <t>GG1024_01</t>
        </is>
      </c>
      <c r="M93" s="243" t="inlineStr">
        <is>
          <t>P050092</t>
        </is>
      </c>
      <c r="N93" s="243" t="inlineStr">
        <is>
          <t>Gorilla Glue</t>
        </is>
      </c>
      <c r="O93" s="243" t="inlineStr">
        <is>
          <t>197-9-K-26, (07.08.2026) [FHM-K]</t>
        </is>
      </c>
      <c r="P93" s="248" t="inlineStr">
        <is>
          <t>—</t>
        </is>
      </c>
      <c r="Q93" s="243" t="inlineStr">
        <is>
          <t>—</t>
        </is>
      </c>
      <c r="R93" s="243" t="inlineStr">
        <is>
          <t>CoQ-PP-2026-0038</t>
        </is>
      </c>
      <c r="S93" s="243" t="inlineStr">
        <is>
          <t>P050092|R</t>
        </is>
      </c>
      <c r="T93" s="250" t="inlineStr">
        <is>
          <t>registered — retest, Tranche 1 (sampled 21–24.07.2026), sampled 22.07.2026; issued 17.08.2026, 7 days after 197-9-M-26 of 10.08.2026; cites iCoA-PP_26-106 of 27.07.2026</t>
        </is>
      </c>
      <c r="U93" s="243">
        <f>IFERROR(INDEX('CoQ Register'!$B:$B,MATCH("P050092|I",'CoQ Register'!$S:$S,0)),"— initial certificate not on the register —")</f>
        <v/>
      </c>
      <c r="V93" s="251" t="n">
        <v>18.67</v>
      </c>
      <c r="W93" s="243" t="inlineStr">
        <is>
          <t>197-9-К/26</t>
        </is>
      </c>
      <c r="X93" s="243" t="inlineStr">
        <is>
          <t>18.00 ± 1.77 (I)</t>
        </is>
      </c>
      <c r="Y93" s="243" t="inlineStr">
        <is>
          <t>16.23 – 19.76 %</t>
        </is>
      </c>
      <c r="Z93" s="243" t="inlineStr">
        <is>
          <t>GG_THC18 : CBD1</t>
        </is>
      </c>
      <c r="AA93" s="243" t="inlineStr">
        <is>
          <t>QCSP_001_GG-I_v.01</t>
        </is>
      </c>
      <c r="AB93" s="252" t="inlineStr">
        <is>
          <t>for review — replaces the issued QCSP_001_GG-I_v.01 (was GG_THC18 : CBD1, 17.01 – 18.99 %); now GG_THC18 : CBD1 16.23 – 19.76 %</t>
        </is>
      </c>
      <c r="AC93" s="246" t="inlineStr"/>
    </row>
    <row r="94">
      <c r="A94" s="243">
        <f>IF(OR(C94="yes",C94="allocated",C94="ruled"),COUNT(A$1:A93)+1,"")</f>
        <v/>
      </c>
      <c r="B94" s="244">
        <f>IF(A94&lt;&gt;"","CoQ-PP_26-"&amp;TEXT(A94,"000"),"— at issue —")</f>
        <v/>
      </c>
      <c r="C94" s="249" t="inlineStr">
        <is>
          <t>yes</t>
        </is>
      </c>
      <c r="D94" s="245">
        <f>IF(OR(A94="",C94="allocated",C94="ruled"),"",MAX(E94,IF(ISNUMBER(I94),I94,0),IFERROR(IF(ISNUMBER(INDEX('iCoA Register'!$F:$F,MATCH(S94,'iCoA Register'!$AA:$AA,0))),INDEX('iCoA Register'!$F:$F,MATCH(S94,'iCoA Register'!$AA:$AA,0)),0),0)))</f>
        <v/>
      </c>
      <c r="E94" s="245">
        <f>IF(ISNUMBER(F94),MAX(DATE(2026,6,6),F94+7),"— awaiting the retest certificates —")</f>
        <v/>
      </c>
      <c r="F94" s="245" t="n">
        <v>46244</v>
      </c>
      <c r="G94" s="243" t="inlineStr">
        <is>
          <t>197-10-M-26</t>
        </is>
      </c>
      <c r="H94" s="243">
        <f>IFERROR(INDEX('iCoA Register'!$B:$B,MATCH("P050152|R",'iCoA Register'!$AA:$AA,0)),"—")</f>
        <v/>
      </c>
      <c r="I94" s="245">
        <f>IFERROR(INDEX('iCoA Register'!$D:$D,MATCH("P050152|R",'iCoA Register'!$AA:$AA,0)),"")</f>
        <v/>
      </c>
      <c r="J94" s="243" t="inlineStr">
        <is>
          <t>legacy</t>
        </is>
      </c>
      <c r="K94" s="243" t="inlineStr">
        <is>
          <t>retest — Tranche 1 (sampled 21–24.07.2026)</t>
        </is>
      </c>
      <c r="L94" s="244" t="inlineStr">
        <is>
          <t>GP052501</t>
        </is>
      </c>
      <c r="M94" s="243" t="inlineStr">
        <is>
          <t>P050152</t>
        </is>
      </c>
      <c r="N94" s="243" t="inlineStr">
        <is>
          <t>Grape Pie</t>
        </is>
      </c>
      <c r="O94" s="243" t="inlineStr">
        <is>
          <t>197-10-K-26, (07.08.2026) [FHM-K]</t>
        </is>
      </c>
      <c r="P94" s="248" t="inlineStr">
        <is>
          <t>—</t>
        </is>
      </c>
      <c r="Q94" s="243" t="inlineStr">
        <is>
          <t>—</t>
        </is>
      </c>
      <c r="R94" s="243" t="inlineStr">
        <is>
          <t>CoQ reissue (assigned on issue)</t>
        </is>
      </c>
      <c r="S94" s="243" t="inlineStr">
        <is>
          <t>P050152|R</t>
        </is>
      </c>
      <c r="T94" s="250" t="inlineStr">
        <is>
          <t>registered — retest, Tranche 1 (sampled 21–24.07.2026), sampled 22.07.2026; issued 17.08.2026, 7 days after 197-10-M-26 of 10.08.2026; cites iCoA-PP_26-107 of 27.07.2026</t>
        </is>
      </c>
      <c r="U94" s="243">
        <f>IFERROR(INDEX('CoQ Register'!$B:$B,MATCH("P050152|I",'CoQ Register'!$S:$S,0)),"— initial certificate not on the register —")</f>
        <v/>
      </c>
      <c r="V94" s="251" t="n">
        <v>18.52</v>
      </c>
      <c r="W94" s="243" t="inlineStr">
        <is>
          <t>197-10-К/26</t>
        </is>
      </c>
      <c r="X94" s="243" t="inlineStr">
        <is>
          <t>20.00 ± 2.00 (III)</t>
        </is>
      </c>
      <c r="Y94" s="243" t="inlineStr">
        <is>
          <t>18.00 – 21.99 %</t>
        </is>
      </c>
      <c r="Z94" s="243" t="inlineStr">
        <is>
          <t>GP_THC20 : CBD1</t>
        </is>
      </c>
      <c r="AA94" s="243" t="inlineStr">
        <is>
          <t>QCSP_001_GP-III_v.01</t>
        </is>
      </c>
      <c r="AB94" s="252" t="inlineStr">
        <is>
          <t>for review — replaces the issued QCSP_001_GP-III_v.01 (was GP_THC24 : CBD1, 22.61 – 25.39 %); now GP_THC20 : CBD1 18.00 – 21.99 %</t>
        </is>
      </c>
      <c r="AC94" s="246" t="inlineStr"/>
    </row>
    <row r="95">
      <c r="A95" s="243">
        <f>IF(OR(C95="yes",C95="allocated",C95="ruled"),COUNT(A$1:A94)+1,"")</f>
        <v/>
      </c>
      <c r="B95" s="244">
        <f>IF(A95&lt;&gt;"","CoQ-PP_26-"&amp;TEXT(A95,"000"),"— at issue —")</f>
        <v/>
      </c>
      <c r="C95" s="249" t="inlineStr">
        <is>
          <t>yes</t>
        </is>
      </c>
      <c r="D95" s="245">
        <f>IF(OR(A95="",C95="allocated",C95="ruled"),"",MAX(E95,IF(ISNUMBER(I95),I95,0),IFERROR(IF(ISNUMBER(INDEX('iCoA Register'!$F:$F,MATCH(S95,'iCoA Register'!$AA:$AA,0))),INDEX('iCoA Register'!$F:$F,MATCH(S95,'iCoA Register'!$AA:$AA,0)),0),0)))</f>
        <v/>
      </c>
      <c r="E95" s="245">
        <f>IF(ISNUMBER(F95),MAX(DATE(2026,6,6),F95+7),"— awaiting the retest certificates —")</f>
        <v/>
      </c>
      <c r="F95" s="245" t="n">
        <v>46244</v>
      </c>
      <c r="G95" s="243" t="inlineStr">
        <is>
          <t>197-11-M-26</t>
        </is>
      </c>
      <c r="H95" s="243">
        <f>IFERROR(INDEX('iCoA Register'!$B:$B,MATCH("P050022|R5",'iCoA Register'!$AA:$AA,0)),"—")</f>
        <v/>
      </c>
      <c r="I95" s="245">
        <f>IFERROR(INDEX('iCoA Register'!$D:$D,MATCH("P050022|R5",'iCoA Register'!$AA:$AA,0)),"")</f>
        <v/>
      </c>
      <c r="J95" s="243" t="inlineStr">
        <is>
          <t>legacy</t>
        </is>
      </c>
      <c r="K95" s="243" t="inlineStr">
        <is>
          <t>retest — Tranche 1 (sampled 21–24.07.2026)</t>
        </is>
      </c>
      <c r="L95" s="244" t="inlineStr">
        <is>
          <t>GP0824_02</t>
        </is>
      </c>
      <c r="M95" s="243" t="inlineStr">
        <is>
          <t>P050022</t>
        </is>
      </c>
      <c r="N95" s="243" t="inlineStr">
        <is>
          <t>Grape Pie</t>
        </is>
      </c>
      <c r="O95" s="243" t="inlineStr">
        <is>
          <t>197-11-K-26, (07.08.2026) [FHM-K]</t>
        </is>
      </c>
      <c r="P95" s="248" t="inlineStr">
        <is>
          <t>—</t>
        </is>
      </c>
      <c r="Q95" s="243" t="inlineStr">
        <is>
          <t>—</t>
        </is>
      </c>
      <c r="R95" s="243" t="inlineStr">
        <is>
          <t>CoQ-PP-2026-0032</t>
        </is>
      </c>
      <c r="S95" s="243" t="inlineStr">
        <is>
          <t>P050022|R5</t>
        </is>
      </c>
      <c r="T95" s="250" t="inlineStr">
        <is>
          <t>registered — retest, Tranche 1 (sampled 21–24.07.2026), sampled 22.07.2026; issued 17.08.2026, 7 days after 197-11-M-26 of 10.08.2026; cites the campaign iCoA of 27.07.2026</t>
        </is>
      </c>
      <c r="U95" s="243">
        <f>IFERROR(INDEX('CoQ Register'!$B:$B,MATCH("P050022|I",'CoQ Register'!$S:$S,0)),"— initial certificate not on the register —")</f>
        <v/>
      </c>
      <c r="V95" s="251" t="n">
        <v>22.61</v>
      </c>
      <c r="W95" s="243" t="inlineStr">
        <is>
          <t>197-11-К/26</t>
        </is>
      </c>
      <c r="X95" s="243" t="inlineStr">
        <is>
          <t>24.00 ± 2.00 (II)</t>
        </is>
      </c>
      <c r="Y95" s="243" t="inlineStr">
        <is>
          <t>22.00 – 25.99 %</t>
        </is>
      </c>
      <c r="Z95" s="243" t="inlineStr">
        <is>
          <t>GP_THC24 : CBD1</t>
        </is>
      </c>
      <c r="AA95" s="243" t="inlineStr">
        <is>
          <t>QCSP_001_GP-II_v.01</t>
        </is>
      </c>
      <c r="AB95" s="252" t="inlineStr">
        <is>
          <t>for review — replaces the issued QCSP_001_GP-II_v.01 (was GP_THC26 : CBD1, 25.40 – 26.60 %); now GP_THC24 : CBD1 22.00 – 25.99 %</t>
        </is>
      </c>
      <c r="AC95" s="246" t="inlineStr"/>
    </row>
    <row r="96">
      <c r="A96" s="243">
        <f>IF(OR(C96="yes",C96="allocated",C96="ruled"),COUNT(A$1:A95)+1,"")</f>
        <v/>
      </c>
      <c r="B96" s="244">
        <f>IF(A96&lt;&gt;"","CoQ-PP_26-"&amp;TEXT(A96,"000"),"— at issue —")</f>
        <v/>
      </c>
      <c r="C96" s="249" t="inlineStr">
        <is>
          <t>yes</t>
        </is>
      </c>
      <c r="D96" s="245">
        <f>IF(OR(A96="",C96="allocated",C96="ruled"),"",MAX(E96,IF(ISNUMBER(I96),I96,0),IFERROR(IF(ISNUMBER(INDEX('iCoA Register'!$F:$F,MATCH(S96,'iCoA Register'!$AA:$AA,0))),INDEX('iCoA Register'!$F:$F,MATCH(S96,'iCoA Register'!$AA:$AA,0)),0),0)))</f>
        <v/>
      </c>
      <c r="E96" s="245">
        <f>IF(ISNUMBER(F96),MAX(DATE(2026,6,6),F96+7),"— awaiting the retest certificates —")</f>
        <v/>
      </c>
      <c r="F96" s="245" t="n">
        <v>46244</v>
      </c>
      <c r="G96" s="243" t="inlineStr">
        <is>
          <t>197-12-M-26</t>
        </is>
      </c>
      <c r="H96" s="243">
        <f>IFERROR(INDEX('iCoA Register'!$B:$B,MATCH("P050322|R",'iCoA Register'!$AA:$AA,0)),"—")</f>
        <v/>
      </c>
      <c r="I96" s="245">
        <f>IFERROR(INDEX('iCoA Register'!$D:$D,MATCH("P050322|R",'iCoA Register'!$AA:$AA,0)),"")</f>
        <v/>
      </c>
      <c r="J96" s="243" t="inlineStr">
        <is>
          <t>legacy</t>
        </is>
      </c>
      <c r="K96" s="243" t="inlineStr">
        <is>
          <t>retest — Tranche 1 (sampled 21–24.07.2026)</t>
        </is>
      </c>
      <c r="L96" s="244" t="inlineStr">
        <is>
          <t>GP082501/2</t>
        </is>
      </c>
      <c r="M96" s="243" t="inlineStr">
        <is>
          <t>P050322</t>
        </is>
      </c>
      <c r="N96" s="243" t="inlineStr">
        <is>
          <t>Grape Pie</t>
        </is>
      </c>
      <c r="O96" s="243" t="inlineStr">
        <is>
          <t>197-12-K-26, (07.08.2026) [FHM-K]</t>
        </is>
      </c>
      <c r="P96" s="248" t="inlineStr">
        <is>
          <t>—</t>
        </is>
      </c>
      <c r="Q96" s="243" t="inlineStr">
        <is>
          <t>—</t>
        </is>
      </c>
      <c r="R96" s="243" t="inlineStr">
        <is>
          <t>CoQ reissue (assigned on issue)</t>
        </is>
      </c>
      <c r="S96" s="243" t="inlineStr">
        <is>
          <t>P050322|R</t>
        </is>
      </c>
      <c r="T96" s="250" t="inlineStr">
        <is>
          <t>registered — retest, Tranche 1 (sampled 21–24.07.2026), sampled 23.07.2026; issued 17.08.2026, 7 days after 197-12-M-26 of 10.08.2026; cites iCoA-PP_26-111 of 27.07.2026</t>
        </is>
      </c>
      <c r="U96" s="243">
        <f>IFERROR(INDEX('CoQ Register'!$B:$B,MATCH("P050322|I",'CoQ Register'!$S:$S,0)),"— initial certificate not on the register —")</f>
        <v/>
      </c>
      <c r="V96" s="251" t="n">
        <v>15.7</v>
      </c>
      <c r="W96" s="243" t="inlineStr">
        <is>
          <t>197-12-К/26</t>
        </is>
      </c>
      <c r="X96" s="243" t="inlineStr">
        <is>
          <t>16.00 ± 1.60 (IV)</t>
        </is>
      </c>
      <c r="Y96" s="243" t="inlineStr">
        <is>
          <t>14.40 – 17.59 %</t>
        </is>
      </c>
      <c r="Z96" s="243" t="inlineStr">
        <is>
          <t>GP_THC16 : CBD1</t>
        </is>
      </c>
      <c r="AA96" s="243" t="inlineStr">
        <is>
          <t>QCSP_001_GP-IV_v.01</t>
        </is>
      </c>
      <c r="AB96" s="252" t="inlineStr">
        <is>
          <t>for review — replaces the issued QCSP_001_GP-IV_v.01 (was GP_THC20 : CBD1, 18.00 – 22.00 %); now GP_THC16 : CBD1 14.40 – 17.59 %</t>
        </is>
      </c>
      <c r="AC96" s="246" t="inlineStr"/>
    </row>
    <row r="97">
      <c r="A97" s="243">
        <f>IF(OR(C97="yes",C97="allocated",C97="ruled"),COUNT(A$1:A96)+1,"")</f>
        <v/>
      </c>
      <c r="B97" s="244">
        <f>IF(A97&lt;&gt;"","CoQ-PP_26-"&amp;TEXT(A97,"000"),"— at issue —")</f>
        <v/>
      </c>
      <c r="C97" s="249" t="inlineStr">
        <is>
          <t>yes</t>
        </is>
      </c>
      <c r="D97" s="245">
        <f>IF(OR(A97="",C97="allocated",C97="ruled"),"",MAX(E97,IF(ISNUMBER(I97),I97,0),IFERROR(IF(ISNUMBER(INDEX('iCoA Register'!$F:$F,MATCH(S97,'iCoA Register'!$AA:$AA,0))),INDEX('iCoA Register'!$F:$F,MATCH(S97,'iCoA Register'!$AA:$AA,0)),0),0)))</f>
        <v/>
      </c>
      <c r="E97" s="245">
        <f>IF(ISNUMBER(F97),MAX(DATE(2026,6,6),F97+7),"— awaiting the retest certificates —")</f>
        <v/>
      </c>
      <c r="F97" s="245" t="n">
        <v>46244</v>
      </c>
      <c r="G97" s="243" t="inlineStr">
        <is>
          <t>197-13-M-26</t>
        </is>
      </c>
      <c r="H97" s="243">
        <f>IFERROR(INDEX('iCoA Register'!$B:$B,MATCH("HPA1024|R",'iCoA Register'!$AA:$AA,0)),"—")</f>
        <v/>
      </c>
      <c r="I97" s="245">
        <f>IFERROR(INDEX('iCoA Register'!$D:$D,MATCH("HPA1024|R",'iCoA Register'!$AA:$AA,0)),"")</f>
        <v/>
      </c>
      <c r="J97" s="243" t="inlineStr">
        <is>
          <t>legacy</t>
        </is>
      </c>
      <c r="K97" s="243" t="inlineStr">
        <is>
          <t>retest — Tranche 1 (sampled 21–24.07.2026)</t>
        </is>
      </c>
      <c r="L97" s="244" t="inlineStr">
        <is>
          <t>HPA1024</t>
        </is>
      </c>
      <c r="M97" s="243" t="inlineStr">
        <is>
          <t>N/A — no P batch assigned</t>
        </is>
      </c>
      <c r="N97" s="243" t="inlineStr">
        <is>
          <t>High Pro Amnesia</t>
        </is>
      </c>
      <c r="O97" s="243" t="inlineStr">
        <is>
          <t>197-13-K-26, (07.08.2026) [FHM-K]</t>
        </is>
      </c>
      <c r="P97" s="248" t="inlineStr">
        <is>
          <t>—</t>
        </is>
      </c>
      <c r="Q97" s="243" t="inlineStr">
        <is>
          <t>—</t>
        </is>
      </c>
      <c r="R97" s="243" t="inlineStr">
        <is>
          <t>CoQ-PP-2026-0030</t>
        </is>
      </c>
      <c r="S97" s="243" t="inlineStr">
        <is>
          <t>HPA1024|R</t>
        </is>
      </c>
      <c r="T97" s="250" t="inlineStr">
        <is>
          <t>registered — retest, Tranche 1 (sampled 21–24.07.2026), sampled 23.07.2026; issued 17.08.2026, 7 days after 197-13-M-26 of 10.08.2026; cites iCoA-PP_26-112 of 27.07.2026</t>
        </is>
      </c>
      <c r="U97" s="243">
        <f>IFERROR(INDEX('CoQ Register'!$B:$B,MATCH("HPA1024|I",'CoQ Register'!$S:$S,0)),"— initial certificate not on the register —")</f>
        <v/>
      </c>
      <c r="V97" s="251" t="n">
        <v>17.31</v>
      </c>
      <c r="W97" s="243" t="inlineStr">
        <is>
          <t>197-13-К/26</t>
        </is>
      </c>
      <c r="X97" s="243" t="inlineStr">
        <is>
          <t>18.00 ± 1.80 (II)</t>
        </is>
      </c>
      <c r="Y97" s="243" t="inlineStr">
        <is>
          <t>16.20 – 19.79 %</t>
        </is>
      </c>
      <c r="Z97" s="243" t="inlineStr">
        <is>
          <t>HPA_THC18 : CBD1</t>
        </is>
      </c>
      <c r="AA97" s="243" t="inlineStr">
        <is>
          <t>QCSP_001_HPA-II_v.01</t>
        </is>
      </c>
      <c r="AB97" s="252" t="inlineStr">
        <is>
          <t>for review — replaces the issued QCSP_001_HPA-II_v.01 (was HPA_THC20 : CBD1, 19.01 – 20.99 %); now HPA_THC18 : CBD1 16.20 – 19.79 %</t>
        </is>
      </c>
      <c r="AC97" s="246" t="inlineStr"/>
    </row>
    <row r="98">
      <c r="A98" s="243">
        <f>IF(OR(C98="yes",C98="allocated",C98="ruled"),COUNT(A$1:A97)+1,"")</f>
        <v/>
      </c>
      <c r="B98" s="244">
        <f>IF(A98&lt;&gt;"","CoQ-PP_26-"&amp;TEXT(A98,"000"),"— at issue —")</f>
        <v/>
      </c>
      <c r="C98" s="249" t="inlineStr">
        <is>
          <t>yes</t>
        </is>
      </c>
      <c r="D98" s="245">
        <f>IF(OR(A98="",C98="allocated",C98="ruled"),"",MAX(E98,IF(ISNUMBER(I98),I98,0),IFERROR(IF(ISNUMBER(INDEX('iCoA Register'!$F:$F,MATCH(S98,'iCoA Register'!$AA:$AA,0))),INDEX('iCoA Register'!$F:$F,MATCH(S98,'iCoA Register'!$AA:$AA,0)),0),0)))</f>
        <v/>
      </c>
      <c r="E98" s="245">
        <f>IF(ISNUMBER(F98),MAX(DATE(2026,6,6),F98+7),"— awaiting the retest certificates —")</f>
        <v/>
      </c>
      <c r="F98" s="245" t="n">
        <v>46244</v>
      </c>
      <c r="G98" s="243" t="inlineStr">
        <is>
          <t>197-14-M-26</t>
        </is>
      </c>
      <c r="H98" s="243">
        <f>IFERROR(INDEX('iCoA Register'!$B:$B,MATCH("P050052|R",'iCoA Register'!$AA:$AA,0)),"—")</f>
        <v/>
      </c>
      <c r="I98" s="245">
        <f>IFERROR(INDEX('iCoA Register'!$D:$D,MATCH("P050052|R",'iCoA Register'!$AA:$AA,0)),"")</f>
        <v/>
      </c>
      <c r="J98" s="243" t="inlineStr">
        <is>
          <t>legacy</t>
        </is>
      </c>
      <c r="K98" s="243" t="inlineStr">
        <is>
          <t>retest — Tranche 1 (sampled 21–24.07.2026)</t>
        </is>
      </c>
      <c r="L98" s="244" t="inlineStr">
        <is>
          <t>HPA1024_01</t>
        </is>
      </c>
      <c r="M98" s="243" t="inlineStr">
        <is>
          <t>P050052</t>
        </is>
      </c>
      <c r="N98" s="243" t="inlineStr">
        <is>
          <t>High Pro Amnesia</t>
        </is>
      </c>
      <c r="O98" s="243" t="inlineStr">
        <is>
          <t>197-14-K-26, (07.08.2026) [FHM-K]</t>
        </is>
      </c>
      <c r="P98" s="248" t="inlineStr">
        <is>
          <t>—</t>
        </is>
      </c>
      <c r="Q98" s="243" t="inlineStr">
        <is>
          <t>—</t>
        </is>
      </c>
      <c r="R98" s="243" t="inlineStr">
        <is>
          <t>CoQ-PP-2026-0034</t>
        </is>
      </c>
      <c r="S98" s="243" t="inlineStr">
        <is>
          <t>P050052|R</t>
        </is>
      </c>
      <c r="T98" s="250" t="inlineStr">
        <is>
          <t>registered — retest, Tranche 1 (sampled 21–24.07.2026), sampled 23.07.2026; issued 17.08.2026, 7 days after 197-14-M-26 of 10.08.2026; cites iCoA-PP_26-113 of 27.07.2026</t>
        </is>
      </c>
      <c r="U98" s="243">
        <f>IFERROR(INDEX('CoQ Register'!$B:$B,MATCH("P050052|I",'CoQ Register'!$S:$S,0)),"— initial certificate not on the register —")</f>
        <v/>
      </c>
      <c r="V98" s="251" t="n">
        <v>21.61</v>
      </c>
      <c r="W98" s="243" t="inlineStr">
        <is>
          <t>197-14-К/26</t>
        </is>
      </c>
      <c r="X98" s="243" t="inlineStr">
        <is>
          <t>22.00 ± 2.20 (I)</t>
        </is>
      </c>
      <c r="Y98" s="243" t="inlineStr">
        <is>
          <t>19.80 – 24.19 %</t>
        </is>
      </c>
      <c r="Z98" s="243" t="inlineStr">
        <is>
          <t>HPA_THC22 : CBD1</t>
        </is>
      </c>
      <c r="AA98" s="243" t="inlineStr">
        <is>
          <t>QCSP_001_HPA-I_v.01</t>
        </is>
      </c>
      <c r="AB98" s="252" t="inlineStr">
        <is>
          <t>for review — replaces the issued QCSP_001_HPA-I_v.01 (was HPA_THC22 : CBD1, 21.00 – 23.00 %); now HPA_THC22 : CBD1 19.80 – 24.19 %</t>
        </is>
      </c>
      <c r="AC98" s="246" t="inlineStr"/>
    </row>
    <row r="99">
      <c r="A99" s="243">
        <f>IF(OR(C99="yes",C99="allocated",C99="ruled"),COUNT(A$1:A98)+1,"")</f>
        <v/>
      </c>
      <c r="B99" s="244">
        <f>IF(A99&lt;&gt;"","CoQ-PP_26-"&amp;TEXT(A99,"000"),"— at issue —")</f>
        <v/>
      </c>
      <c r="C99" s="249" t="inlineStr">
        <is>
          <t>yes</t>
        </is>
      </c>
      <c r="D99" s="245">
        <f>IF(OR(A99="",C99="allocated",C99="ruled"),"",MAX(E99,IF(ISNUMBER(I99),I99,0),IFERROR(IF(ISNUMBER(INDEX('iCoA Register'!$F:$F,MATCH(S99,'iCoA Register'!$AA:$AA,0))),INDEX('iCoA Register'!$F:$F,MATCH(S99,'iCoA Register'!$AA:$AA,0)),0),0)))</f>
        <v/>
      </c>
      <c r="E99" s="245">
        <f>IF(ISNUMBER(F99),MAX(DATE(2026,6,6),F99+7),"— awaiting the retest certificates —")</f>
        <v/>
      </c>
      <c r="F99" s="245" t="n">
        <v>46244</v>
      </c>
      <c r="G99" s="243" t="inlineStr">
        <is>
          <t>197-16-M-26</t>
        </is>
      </c>
      <c r="H99" s="243">
        <f>IFERROR(INDEX('iCoA Register'!$B:$B,MATCH("P060152|R",'iCoA Register'!$AA:$AA,0)),"—")</f>
        <v/>
      </c>
      <c r="I99" s="245">
        <f>IFERROR(INDEX('iCoA Register'!$D:$D,MATCH("P060152|R",'iCoA Register'!$AA:$AA,0)),"")</f>
        <v/>
      </c>
      <c r="J99" s="243" t="inlineStr">
        <is>
          <t>legacy</t>
        </is>
      </c>
      <c r="K99" s="243" t="inlineStr">
        <is>
          <t>retest — Tranche 1 (sampled 21–24.07.2026)</t>
        </is>
      </c>
      <c r="L99" s="244" t="inlineStr">
        <is>
          <t>J31102501</t>
        </is>
      </c>
      <c r="M99" s="243" t="inlineStr">
        <is>
          <t>P060152</t>
        </is>
      </c>
      <c r="N99" s="243" t="inlineStr">
        <is>
          <t>Jokerz 31</t>
        </is>
      </c>
      <c r="O99" s="243" t="inlineStr">
        <is>
          <t>197-16-K-26, (07.08.2026) [FHM-K]</t>
        </is>
      </c>
      <c r="P99" s="248" t="inlineStr">
        <is>
          <t>—</t>
        </is>
      </c>
      <c r="Q99" s="243" t="inlineStr">
        <is>
          <t>—</t>
        </is>
      </c>
      <c r="R99" s="243" t="inlineStr">
        <is>
          <t>CoQ reissue (assigned on issue)</t>
        </is>
      </c>
      <c r="S99" s="243" t="inlineStr">
        <is>
          <t>P060152|R</t>
        </is>
      </c>
      <c r="T99" s="250" t="inlineStr">
        <is>
          <t>registered — retest, Tranche 1 (sampled 21–24.07.2026), sampled 23.07.2026; issued 17.08.2026, 7 days after 197-16-M-26 of 10.08.2026; cites iCoA-PP_26-114 of 27.07.2026</t>
        </is>
      </c>
      <c r="U99" s="243">
        <f>IFERROR(INDEX('CoQ Register'!$B:$B,MATCH("P060152|I",'CoQ Register'!$S:$S,0)),"— initial certificate not on the register —")</f>
        <v/>
      </c>
      <c r="V99" s="251" t="n">
        <v>17.32</v>
      </c>
      <c r="W99" s="243" t="inlineStr">
        <is>
          <t>197-16-К/26</t>
        </is>
      </c>
      <c r="X99" s="243" t="inlineStr">
        <is>
          <t>18.00 ± 1.80 (III)</t>
        </is>
      </c>
      <c r="Y99" s="243" t="inlineStr">
        <is>
          <t>16.20 – 19.79 %</t>
        </is>
      </c>
      <c r="Z99" s="243" t="inlineStr">
        <is>
          <t>J31_THC18 : CBD1</t>
        </is>
      </c>
      <c r="AA99" s="243" t="inlineStr">
        <is>
          <t>QCSP_001_J31-III_v.01</t>
        </is>
      </c>
      <c r="AB99" s="246" t="inlineStr">
        <is>
          <t>for review — new</t>
        </is>
      </c>
      <c r="AC99" s="246" t="inlineStr"/>
    </row>
    <row r="100">
      <c r="A100" s="243">
        <f>IF(OR(C100="yes",C100="allocated",C100="ruled"),COUNT(A$1:A99)+1,"")</f>
        <v/>
      </c>
      <c r="B100" s="244">
        <f>IF(A100&lt;&gt;"","CoQ-PP_26-"&amp;TEXT(A100,"000"),"— at issue —")</f>
        <v/>
      </c>
      <c r="C100" s="249" t="inlineStr">
        <is>
          <t>yes</t>
        </is>
      </c>
      <c r="D100" s="245">
        <f>IF(OR(A100="",C100="allocated",C100="ruled"),"",MAX(E100,IF(ISNUMBER(I100),I100,0),IFERROR(IF(ISNUMBER(INDEX('iCoA Register'!$F:$F,MATCH(S100,'iCoA Register'!$AA:$AA,0))),INDEX('iCoA Register'!$F:$F,MATCH(S100,'iCoA Register'!$AA:$AA,0)),0),0)))</f>
        <v/>
      </c>
      <c r="E100" s="245">
        <f>IF(ISNUMBER(F100),MAX(DATE(2026,6,6),F100+7),"— awaiting the retest certificates —")</f>
        <v/>
      </c>
      <c r="F100" s="245" t="n">
        <v>46244</v>
      </c>
      <c r="G100" s="243" t="inlineStr">
        <is>
          <t>197-15-M-26</t>
        </is>
      </c>
      <c r="H100" s="243">
        <f>IFERROR(INDEX('iCoA Register'!$B:$B,MATCH("P060212|R",'iCoA Register'!$AA:$AA,0)),"—")</f>
        <v/>
      </c>
      <c r="I100" s="245">
        <f>IFERROR(INDEX('iCoA Register'!$D:$D,MATCH("P060212|R",'iCoA Register'!$AA:$AA,0)),"")</f>
        <v/>
      </c>
      <c r="J100" s="243" t="inlineStr">
        <is>
          <t>legacy</t>
        </is>
      </c>
      <c r="K100" s="243" t="inlineStr">
        <is>
          <t>retest — Tranche 1 (sampled 21–24.07.2026)</t>
        </is>
      </c>
      <c r="L100" s="244" t="inlineStr">
        <is>
          <t>JD112501</t>
        </is>
      </c>
      <c r="M100" s="243" t="inlineStr">
        <is>
          <t>P060212</t>
        </is>
      </c>
      <c r="N100" s="243" t="inlineStr">
        <is>
          <t>Jelly Donuts</t>
        </is>
      </c>
      <c r="O100" s="243" t="inlineStr">
        <is>
          <t>197-15-K-26, (07.08.2026) [FHM-K]</t>
        </is>
      </c>
      <c r="P100" s="248" t="inlineStr">
        <is>
          <t>—</t>
        </is>
      </c>
      <c r="Q100" s="243" t="inlineStr">
        <is>
          <t>—</t>
        </is>
      </c>
      <c r="R100" s="243" t="inlineStr">
        <is>
          <t>CoQ reissue (assigned on issue)</t>
        </is>
      </c>
      <c r="S100" s="243" t="inlineStr">
        <is>
          <t>P060212|R</t>
        </is>
      </c>
      <c r="T100" s="250" t="inlineStr">
        <is>
          <t>registered — retest, Tranche 1 (sampled 21–24.07.2026), sampled 23.07.2026; issued 17.08.2026, 7 days after 197-15-M-26 of 10.08.2026; cites iCoA-PP_26-115 of 27.07.2026</t>
        </is>
      </c>
      <c r="U100" s="243">
        <f>IFERROR(INDEX('CoQ Register'!$B:$B,MATCH("P060212|I",'CoQ Register'!$S:$S,0)),"— initial certificate not on the register —")</f>
        <v/>
      </c>
      <c r="V100" s="251" t="n">
        <v>20.32</v>
      </c>
      <c r="W100" s="243" t="inlineStr">
        <is>
          <t>197-15-К/26</t>
        </is>
      </c>
      <c r="X100" s="243" t="inlineStr">
        <is>
          <t>22.00 ± 2.20 (I)</t>
        </is>
      </c>
      <c r="Y100" s="243" t="inlineStr">
        <is>
          <t>19.80 – 24.19 %</t>
        </is>
      </c>
      <c r="Z100" s="243" t="inlineStr">
        <is>
          <t>JD_THC22 : CBD1</t>
        </is>
      </c>
      <c r="AA100" s="243" t="inlineStr">
        <is>
          <t>QCSP_001_JD-I_v.01</t>
        </is>
      </c>
      <c r="AB100" s="252" t="inlineStr">
        <is>
          <t>for review — replaces the issued QCSP_001_JD-I_v.01 (was JD_THC20 : CBD1, 18.00 – 22.00 %); now JD_THC22 : CBD1 19.80 – 24.19 %</t>
        </is>
      </c>
      <c r="AC100" s="246" t="inlineStr"/>
    </row>
    <row r="101">
      <c r="A101" s="243">
        <f>IF(OR(C101="yes",C101="allocated",C101="ruled"),COUNT(A$1:A100)+1,"")</f>
        <v/>
      </c>
      <c r="B101" s="244">
        <f>IF(A101&lt;&gt;"","CoQ-PP_26-"&amp;TEXT(A101,"000"),"— at issue —")</f>
        <v/>
      </c>
      <c r="C101" s="249" t="inlineStr">
        <is>
          <t>yes</t>
        </is>
      </c>
      <c r="D101" s="245">
        <f>IF(OR(A101="",C101="allocated",C101="ruled"),"",MAX(E101,IF(ISNUMBER(I101),I101,0),IFERROR(IF(ISNUMBER(INDEX('iCoA Register'!$F:$F,MATCH(S101,'iCoA Register'!$AA:$AA,0))),INDEX('iCoA Register'!$F:$F,MATCH(S101,'iCoA Register'!$AA:$AA,0)),0),0)))</f>
        <v/>
      </c>
      <c r="E101" s="245">
        <f>IF(ISNUMBER(F101),MAX(DATE(2026,6,6),F101+7),"— awaiting the retest certificates —")</f>
        <v/>
      </c>
      <c r="F101" s="245" t="n">
        <v>46244</v>
      </c>
      <c r="G101" s="243" t="inlineStr">
        <is>
          <t>197-17-M-26</t>
        </is>
      </c>
      <c r="H101" s="243">
        <f>IFERROR(INDEX('iCoA Register'!$B:$B,MATCH("OPM1024|R",'iCoA Register'!$AA:$AA,0)),"—")</f>
        <v/>
      </c>
      <c r="I101" s="245">
        <f>IFERROR(INDEX('iCoA Register'!$D:$D,MATCH("OPM1024|R",'iCoA Register'!$AA:$AA,0)),"")</f>
        <v/>
      </c>
      <c r="J101" s="243" t="inlineStr">
        <is>
          <t>legacy</t>
        </is>
      </c>
      <c r="K101" s="243" t="inlineStr">
        <is>
          <t>retest — Tranche 1 (sampled 21–24.07.2026)</t>
        </is>
      </c>
      <c r="L101" s="244" t="inlineStr">
        <is>
          <t>OPM1024</t>
        </is>
      </c>
      <c r="M101" s="243" t="inlineStr">
        <is>
          <t>N/A — no P batch assigned</t>
        </is>
      </c>
      <c r="N101" s="243" t="inlineStr">
        <is>
          <t>Orange Punch Mimosa</t>
        </is>
      </c>
      <c r="O101" s="243" t="inlineStr">
        <is>
          <t>197-17-K-26, (07.08.2026) [FHM-K]</t>
        </is>
      </c>
      <c r="P101" s="248" t="inlineStr">
        <is>
          <t>—</t>
        </is>
      </c>
      <c r="Q101" s="243" t="inlineStr">
        <is>
          <t>—</t>
        </is>
      </c>
      <c r="R101" s="243" t="inlineStr">
        <is>
          <t>CoQ-PP-2026-0031</t>
        </is>
      </c>
      <c r="S101" s="243" t="inlineStr">
        <is>
          <t>OPM1024|R</t>
        </is>
      </c>
      <c r="T101" s="250" t="inlineStr">
        <is>
          <t>registered — retest, Tranche 1 (sampled 21–24.07.2026), sampled 24.07.2026; issued 17.08.2026, 7 days after 197-17-M-26 of 10.08.2026; cites iCoA-PP_26-116 of 27.07.2026</t>
        </is>
      </c>
      <c r="U101" s="243">
        <f>IFERROR(INDEX('CoQ Register'!$B:$B,MATCH("OPM1024|I",'CoQ Register'!$S:$S,0)),"— initial certificate not on the register —")</f>
        <v/>
      </c>
      <c r="V101" s="251" t="n">
        <v>20.03</v>
      </c>
      <c r="W101" s="243" t="inlineStr">
        <is>
          <t>197-17-К/26</t>
        </is>
      </c>
      <c r="X101" s="243" t="inlineStr">
        <is>
          <t>20.00 ± 1.40 (I)</t>
        </is>
      </c>
      <c r="Y101" s="243" t="inlineStr">
        <is>
          <t>18.60 – 21.39 %</t>
        </is>
      </c>
      <c r="Z101" s="243" t="inlineStr">
        <is>
          <t>OPM_THC20 : CBD1</t>
        </is>
      </c>
      <c r="AA101" s="243" t="inlineStr">
        <is>
          <t>QCSP_001_OPM-I_v.01</t>
        </is>
      </c>
      <c r="AB101" s="252" t="inlineStr">
        <is>
          <t>for review — replaces the issued QCSP_001_OPM-I_v.01 (was OPM_THC22 : CBD1, 19.81 – 24.19 %); now OPM_THC20 : CBD1 18.60 – 21.39 %</t>
        </is>
      </c>
      <c r="AC101" s="246" t="inlineStr"/>
    </row>
    <row r="102">
      <c r="A102" s="243">
        <f>IF(OR(C102="yes",C102="allocated",C102="ruled"),COUNT(A$1:A101)+1,"")</f>
        <v/>
      </c>
      <c r="B102" s="244">
        <f>IF(A102&lt;&gt;"","CoQ-PP_26-"&amp;TEXT(A102,"000"),"— at issue —")</f>
        <v/>
      </c>
      <c r="C102" s="249" t="inlineStr">
        <is>
          <t>yes</t>
        </is>
      </c>
      <c r="D102" s="245">
        <f>IF(OR(A102="",C102="allocated",C102="ruled"),"",MAX(E102,IF(ISNUMBER(I102),I102,0),IFERROR(IF(ISNUMBER(INDEX('iCoA Register'!$F:$F,MATCH(S102,'iCoA Register'!$AA:$AA,0))),INDEX('iCoA Register'!$F:$F,MATCH(S102,'iCoA Register'!$AA:$AA,0)),0),0)))</f>
        <v/>
      </c>
      <c r="E102" s="245">
        <f>IF(ISNUMBER(F102),MAX(DATE(2026,6,6),F102+7),"— awaiting the retest certificates —")</f>
        <v/>
      </c>
      <c r="F102" s="245" t="n">
        <v>46244</v>
      </c>
      <c r="G102" s="243" t="inlineStr">
        <is>
          <t>197-18-M-26</t>
        </is>
      </c>
      <c r="H102" s="243">
        <f>IFERROR(INDEX('iCoA Register'!$B:$B,MATCH("P050062|R",'iCoA Register'!$AA:$AA,0)),"—")</f>
        <v/>
      </c>
      <c r="I102" s="245">
        <f>IFERROR(INDEX('iCoA Register'!$D:$D,MATCH("P050062|R",'iCoA Register'!$AA:$AA,0)),"")</f>
        <v/>
      </c>
      <c r="J102" s="243" t="inlineStr">
        <is>
          <t>legacy</t>
        </is>
      </c>
      <c r="K102" s="243" t="inlineStr">
        <is>
          <t>retest — Tranche 1 (sampled 21–24.07.2026)</t>
        </is>
      </c>
      <c r="L102" s="244" t="inlineStr">
        <is>
          <t>OPM1024_02</t>
        </is>
      </c>
      <c r="M102" s="243" t="inlineStr">
        <is>
          <t>P050062</t>
        </is>
      </c>
      <c r="N102" s="243" t="inlineStr">
        <is>
          <t>Orange Punch Mimosa</t>
        </is>
      </c>
      <c r="O102" s="243" t="inlineStr">
        <is>
          <t>197-18-K-26, (07.08.2026) [FHM-K]</t>
        </is>
      </c>
      <c r="P102" s="248" t="inlineStr">
        <is>
          <t>—</t>
        </is>
      </c>
      <c r="Q102" s="243" t="inlineStr">
        <is>
          <t>—</t>
        </is>
      </c>
      <c r="R102" s="243" t="inlineStr">
        <is>
          <t>CoQ-PP-2026-0035</t>
        </is>
      </c>
      <c r="S102" s="243" t="inlineStr">
        <is>
          <t>P050062|R</t>
        </is>
      </c>
      <c r="T102" s="250" t="inlineStr">
        <is>
          <t>registered — retest, Tranche 1 (sampled 21–24.07.2026), sampled 24.07.2026; issued 17.08.2026, 7 days after 197-18-M-26 of 10.08.2026; cites iCoA-PP_26-117 of 27.07.2026</t>
        </is>
      </c>
      <c r="U102" s="243">
        <f>IFERROR(INDEX('CoQ Register'!$B:$B,MATCH("P050062|I",'CoQ Register'!$S:$S,0)),"— initial certificate not on the register —")</f>
        <v/>
      </c>
      <c r="V102" s="251" t="n">
        <v>18.04</v>
      </c>
      <c r="W102" s="243" t="inlineStr">
        <is>
          <t>197-18-К/26</t>
        </is>
      </c>
      <c r="X102" s="243" t="inlineStr">
        <is>
          <t>17.00 ± 1.60 (II)</t>
        </is>
      </c>
      <c r="Y102" s="243" t="inlineStr">
        <is>
          <t>15.40 – 18.59 %</t>
        </is>
      </c>
      <c r="Z102" s="243" t="inlineStr">
        <is>
          <t>OPM_THC17 : CBD1</t>
        </is>
      </c>
      <c r="AA102" s="243" t="inlineStr">
        <is>
          <t>QCSP_001_OPM-II_v.01</t>
        </is>
      </c>
      <c r="AB102" s="252" t="inlineStr">
        <is>
          <t>for review — replaces the issued QCSP_001_OPM-II_v.01 (was OPM_THC18 : CBD1, 16.20 – 19.80 %); now OPM_THC17 : CBD1 15.40 – 18.59 %</t>
        </is>
      </c>
      <c r="AC102" s="246" t="inlineStr"/>
    </row>
    <row r="103">
      <c r="A103" s="243">
        <f>IF(OR(C103="yes",C103="allocated",C103="ruled"),COUNT(A$1:A102)+1,"")</f>
        <v/>
      </c>
      <c r="B103" s="244">
        <f>IF(A103&lt;&gt;"","CoQ-PP_26-"&amp;TEXT(A103,"000"),"— at issue —")</f>
        <v/>
      </c>
      <c r="C103" s="249" t="inlineStr">
        <is>
          <t>yes</t>
        </is>
      </c>
      <c r="D103" s="245">
        <f>IF(OR(A103="",C103="allocated",C103="ruled"),"",MAX(E103,IF(ISNUMBER(I103),I103,0),IFERROR(IF(ISNUMBER(INDEX('iCoA Register'!$F:$F,MATCH(S103,'iCoA Register'!$AA:$AA,0))),INDEX('iCoA Register'!$F:$F,MATCH(S103,'iCoA Register'!$AA:$AA,0)),0),0)))</f>
        <v/>
      </c>
      <c r="E103" s="245">
        <f>IF(ISNUMBER(F103),MAX(DATE(2026,6,6),F103+7),"— awaiting the retest certificates —")</f>
        <v/>
      </c>
      <c r="F103" s="245" t="n">
        <v>46244</v>
      </c>
      <c r="G103" s="243" t="inlineStr">
        <is>
          <t>197-19-M-26</t>
        </is>
      </c>
      <c r="H103" s="243">
        <f>IFERROR(INDEX('iCoA Register'!$B:$B,MATCH("P060242|R",'iCoA Register'!$AA:$AA,0)),"—")</f>
        <v/>
      </c>
      <c r="I103" s="245">
        <f>IFERROR(INDEX('iCoA Register'!$D:$D,MATCH("P060242|R",'iCoA Register'!$AA:$AA,0)),"")</f>
        <v/>
      </c>
      <c r="J103" s="243" t="inlineStr">
        <is>
          <t>legacy</t>
        </is>
      </c>
      <c r="K103" s="243" t="inlineStr">
        <is>
          <t>retest — Tranche 1 (sampled 21–24.07.2026)</t>
        </is>
      </c>
      <c r="L103" s="244" t="inlineStr">
        <is>
          <t>OPM122501</t>
        </is>
      </c>
      <c r="M103" s="243" t="inlineStr">
        <is>
          <t>P060242</t>
        </is>
      </c>
      <c r="N103" s="243" t="inlineStr">
        <is>
          <t>Orange Punch Mimosa</t>
        </is>
      </c>
      <c r="O103" s="243" t="inlineStr">
        <is>
          <t>197-19-K-26, (07.08.2026) [FHM-K]</t>
        </is>
      </c>
      <c r="P103" s="248" t="inlineStr">
        <is>
          <t>—</t>
        </is>
      </c>
      <c r="Q103" s="243" t="inlineStr">
        <is>
          <t>—</t>
        </is>
      </c>
      <c r="R103" s="243" t="inlineStr">
        <is>
          <t>CoQ reissue (assigned on issue)</t>
        </is>
      </c>
      <c r="S103" s="243" t="inlineStr">
        <is>
          <t>P060242|R</t>
        </is>
      </c>
      <c r="T103" s="250" t="inlineStr">
        <is>
          <t>registered — retest, Tranche 1 (sampled 21–24.07.2026), sampled 24.07.2026; issued 17.08.2026, 7 days after 197-19-M-26 of 10.08.2026; cites iCoA-PP_26-118 of 27.07.2026</t>
        </is>
      </c>
      <c r="U103" s="243">
        <f>IFERROR(INDEX('CoQ Register'!$B:$B,MATCH("P060242|I",'CoQ Register'!$S:$S,0)),"— initial certificate not on the register —")</f>
        <v/>
      </c>
      <c r="V103" s="251" t="n">
        <v>7.91</v>
      </c>
      <c r="W103" s="243" t="inlineStr">
        <is>
          <t>197-19-К/26</t>
        </is>
      </c>
      <c r="X103" s="243" t="inlineStr">
        <is>
          <t>8.00 ± 0.80 (V)</t>
        </is>
      </c>
      <c r="Y103" s="243" t="inlineStr">
        <is>
          <t>7.20 – 8.79 %</t>
        </is>
      </c>
      <c r="Z103" s="243" t="inlineStr">
        <is>
          <t>OPM_THC8 : CBD1</t>
        </is>
      </c>
      <c r="AA103" s="243" t="inlineStr">
        <is>
          <t>QCSP_001_OPM-V_v.01</t>
        </is>
      </c>
      <c r="AB103" s="252" t="inlineStr">
        <is>
          <t>for review — replaces the issued QCSP_001_OPM-V_v.01 (was OPM_THC8 : CBD1, 7.20 – 8.80 %); now OPM_THC8 : CBD1 7.20 – 8.79 %</t>
        </is>
      </c>
      <c r="AC103" s="246" t="inlineStr"/>
    </row>
    <row r="104">
      <c r="A104" s="243">
        <f>IF(OR(C104="yes",C104="allocated",C104="ruled"),COUNT(A$1:A103)+1,"")</f>
        <v/>
      </c>
      <c r="B104" s="244">
        <f>IF(A104&lt;&gt;"","CoQ-PP_26-"&amp;TEXT(A104,"000"),"— at issue —")</f>
        <v/>
      </c>
      <c r="C104" s="249" t="inlineStr">
        <is>
          <t>yes</t>
        </is>
      </c>
      <c r="D104" s="245">
        <f>IF(OR(A104="",C104="allocated",C104="ruled"),"",MAX(E104,IF(ISNUMBER(I104),I104,0),IFERROR(IF(ISNUMBER(INDEX('iCoA Register'!$F:$F,MATCH(S104,'iCoA Register'!$AA:$AA,0))),INDEX('iCoA Register'!$F:$F,MATCH(S104,'iCoA Register'!$AA:$AA,0)),0),0)))</f>
        <v/>
      </c>
      <c r="E104" s="245">
        <f>IF(ISNUMBER(F104),MAX(DATE(2026,6,6),F104+7),"— awaiting the retest certificates —")</f>
        <v/>
      </c>
      <c r="F104" s="245" t="n">
        <v>46244</v>
      </c>
      <c r="G104" s="243" t="inlineStr">
        <is>
          <t>197-20-M-26</t>
        </is>
      </c>
      <c r="H104" s="243">
        <f>IFERROR(INDEX('iCoA Register'!$B:$B,MATCH("P060062|R",'iCoA Register'!$AA:$AA,0)),"—")</f>
        <v/>
      </c>
      <c r="I104" s="245">
        <f>IFERROR(INDEX('iCoA Register'!$D:$D,MATCH("P060062|R",'iCoA Register'!$AA:$AA,0)),"")</f>
        <v/>
      </c>
      <c r="J104" s="243" t="inlineStr">
        <is>
          <t>legacy</t>
        </is>
      </c>
      <c r="K104" s="243" t="inlineStr">
        <is>
          <t>retest — Tranche 1 (sampled 21–24.07.2026)</t>
        </is>
      </c>
      <c r="L104" s="244" t="inlineStr">
        <is>
          <t>PM092501</t>
        </is>
      </c>
      <c r="M104" s="243" t="inlineStr">
        <is>
          <t>P060062</t>
        </is>
      </c>
      <c r="N104" s="243" t="inlineStr">
        <is>
          <t>Permanent Marker</t>
        </is>
      </c>
      <c r="O104" s="243" t="inlineStr">
        <is>
          <t>197-20-K-26, (07.08.2026) [FHM-K]</t>
        </is>
      </c>
      <c r="P104" s="248" t="inlineStr">
        <is>
          <t>—</t>
        </is>
      </c>
      <c r="Q104" s="243" t="inlineStr">
        <is>
          <t>—</t>
        </is>
      </c>
      <c r="R104" s="243" t="inlineStr">
        <is>
          <t>CoQ reissue (assigned on issue)</t>
        </is>
      </c>
      <c r="S104" s="243" t="inlineStr">
        <is>
          <t>P060062|R</t>
        </is>
      </c>
      <c r="T104" s="250" t="inlineStr">
        <is>
          <t>registered — retest, Tranche 1 (sampled 21–24.07.2026), sampled 24.07.2026; issued 17.08.2026, 7 days after 197-20-M-26 of 10.08.2026; cites iCoA-PP_26-120 of 27.07.2026</t>
        </is>
      </c>
      <c r="U104" s="243">
        <f>IFERROR(INDEX('CoQ Register'!$B:$B,MATCH("P060062|I",'CoQ Register'!$S:$S,0)),"— initial certificate not on the register —")</f>
        <v/>
      </c>
      <c r="V104" s="251" t="n">
        <v>12.25</v>
      </c>
      <c r="W104" s="243" t="inlineStr">
        <is>
          <t>197-20-К/26</t>
        </is>
      </c>
      <c r="X104" s="243" t="inlineStr">
        <is>
          <t>12.00 ± 1.00 (II)</t>
        </is>
      </c>
      <c r="Y104" s="243" t="inlineStr">
        <is>
          <t>11.00 – 12.99 %</t>
        </is>
      </c>
      <c r="Z104" s="243" t="inlineStr">
        <is>
          <t>PM_THC12 : CBD1</t>
        </is>
      </c>
      <c r="AA104" s="243" t="inlineStr">
        <is>
          <t>QCSP_001_PM-II_v.01</t>
        </is>
      </c>
      <c r="AB104" s="252" t="inlineStr">
        <is>
          <t>for review — replaces the issued QCSP_001_PM-II_v.01 (was PM_THC10 : CBD1, 9.00 – 11.00 %); now PM_THC12 : CBD1 11.00 – 12.99 %</t>
        </is>
      </c>
      <c r="AC104" s="246" t="inlineStr"/>
    </row>
    <row r="105">
      <c r="A105" s="243">
        <f>IF(OR(C105="yes",C105="allocated",C105="ruled"),COUNT(A$1:A104)+1,"")</f>
        <v/>
      </c>
      <c r="B105" s="244">
        <f>IF(A105&lt;&gt;"","CoQ-PP_26-"&amp;TEXT(A105,"000"),"— at issue —")</f>
        <v/>
      </c>
      <c r="C105" s="249" t="inlineStr">
        <is>
          <t>yes</t>
        </is>
      </c>
      <c r="D105" s="245">
        <f>IF(OR(A105="",C105="allocated",C105="ruled"),"",MAX(E105,IF(ISNUMBER(I105),I105,0),IFERROR(IF(ISNUMBER(INDEX('iCoA Register'!$F:$F,MATCH(S105,'iCoA Register'!$AA:$AA,0))),INDEX('iCoA Register'!$F:$F,MATCH(S105,'iCoA Register'!$AA:$AA,0)),0),0)))</f>
        <v/>
      </c>
      <c r="E105" s="245">
        <f>IF(ISNUMBER(F105),MAX(DATE(2026,6,6),F105+7),"— awaiting the retest certificates —")</f>
        <v/>
      </c>
      <c r="F105" s="245" t="n">
        <v>46244</v>
      </c>
      <c r="G105" s="243" t="inlineStr">
        <is>
          <t>197-21-M-26</t>
        </is>
      </c>
      <c r="H105" s="243">
        <f>IFERROR(INDEX('iCoA Register'!$B:$B,MATCH("P060382|R",'iCoA Register'!$AA:$AA,0)),"—")</f>
        <v/>
      </c>
      <c r="I105" s="245">
        <f>IFERROR(INDEX('iCoA Register'!$D:$D,MATCH("P060382|R",'iCoA Register'!$AA:$AA,0)),"")</f>
        <v/>
      </c>
      <c r="J105" s="243" t="inlineStr">
        <is>
          <t>post-SOP</t>
        </is>
      </c>
      <c r="K105" s="243" t="inlineStr">
        <is>
          <t>retest — Tranche 1 (sampled 21–24.07.2026)</t>
        </is>
      </c>
      <c r="L105" s="244" t="inlineStr">
        <is>
          <t>SCR012603</t>
        </is>
      </c>
      <c r="M105" s="243" t="inlineStr">
        <is>
          <t>P060382</t>
        </is>
      </c>
      <c r="N105" s="243" t="inlineStr">
        <is>
          <t>Scrambler</t>
        </is>
      </c>
      <c r="O105" s="243" t="inlineStr">
        <is>
          <t>197-21-K-26, (07.08.2026) [FHM-K]</t>
        </is>
      </c>
      <c r="P105" s="248" t="inlineStr">
        <is>
          <t>—</t>
        </is>
      </c>
      <c r="Q105" s="243" t="inlineStr">
        <is>
          <t>—</t>
        </is>
      </c>
      <c r="R105" s="243" t="inlineStr">
        <is>
          <t>CoQ reissue (assigned on issue)</t>
        </is>
      </c>
      <c r="S105" s="243" t="inlineStr">
        <is>
          <t>P060382|R</t>
        </is>
      </c>
      <c r="T105" s="250" t="inlineStr">
        <is>
          <t>registered — retest, Tranche 1 (sampled 21–24.07.2026), sampled 24.07.2026; issued 17.08.2026, 7 days after 197-21-M-26 of 10.08.2026; cites iCoA-PP_26-119 of 27.07.2026</t>
        </is>
      </c>
      <c r="U105" s="243">
        <f>IFERROR(INDEX('CoQ Register'!$B:$B,MATCH("P060382|I",'CoQ Register'!$S:$S,0)),"— initial certificate not on the register —")</f>
        <v/>
      </c>
      <c r="V105" s="251" t="n">
        <v>17.84</v>
      </c>
      <c r="W105" s="243" t="inlineStr">
        <is>
          <t>197-21-К/26</t>
        </is>
      </c>
      <c r="X105" s="243" t="inlineStr">
        <is>
          <t>18.00 ± 1.80 (II)</t>
        </is>
      </c>
      <c r="Y105" s="243" t="inlineStr">
        <is>
          <t>16.20 – 19.79 %</t>
        </is>
      </c>
      <c r="Z105" s="243" t="inlineStr">
        <is>
          <t>SCR_THC18 : CBD1</t>
        </is>
      </c>
      <c r="AA105" s="243" t="inlineStr">
        <is>
          <t>QCSP_001_SCR-II_v.01</t>
        </is>
      </c>
      <c r="AB105" s="252" t="inlineStr">
        <is>
          <t>for review — replaces the issued QCSP_001_SCR-II_v.01 (was SCR_THC18 : CBD1, 16.20 – 19.80 %); now SCR_THC18 : CBD1 16.20 – 19.79 %</t>
        </is>
      </c>
      <c r="AC105" s="246" t="inlineStr"/>
    </row>
    <row r="106">
      <c r="A106" s="243">
        <f>IF(OR(C106="yes",C106="allocated",C106="ruled"),COUNT(A$1:A105)+1,"")</f>
        <v/>
      </c>
      <c r="B106" s="244">
        <f>IF(A106&lt;&gt;"","CoQ-PP_26-"&amp;TEXT(A106,"000"),"— at issue —")</f>
        <v/>
      </c>
      <c r="C106" s="249" t="inlineStr">
        <is>
          <t>yes</t>
        </is>
      </c>
      <c r="D106" s="245">
        <f>IF(OR(A106="",C106="allocated",C106="ruled"),"",MAX(E106,IF(ISNUMBER(I106),I106,0),IFERROR(IF(ISNUMBER(INDEX('iCoA Register'!$F:$F,MATCH(S106,'iCoA Register'!$AA:$AA,0))),INDEX('iCoA Register'!$F:$F,MATCH(S106,'iCoA Register'!$AA:$AA,0)),0),0)))</f>
        <v/>
      </c>
      <c r="E106" s="245">
        <f>IF(ISNUMBER(F106),MAX(DATE(2026,6,6),F106+7),"— awaiting the retest certificates —")</f>
        <v/>
      </c>
      <c r="F106" s="245" t="n">
        <v>46265</v>
      </c>
      <c r="G106" s="243" t="inlineStr">
        <is>
          <t>534-1065-26</t>
        </is>
      </c>
      <c r="H106" s="243">
        <f>IFERROR(INDEX('iCoA Register'!$B:$B,MATCH("P050212|R2",'iCoA Register'!$AA:$AA,0)),"—")</f>
        <v/>
      </c>
      <c r="I106" s="245">
        <f>IFERROR(INDEX('iCoA Register'!$D:$D,MATCH("P050212|R2",'iCoA Register'!$AA:$AA,0)),"")</f>
        <v/>
      </c>
      <c r="J106" s="243" t="inlineStr">
        <is>
          <t>legacy</t>
        </is>
      </c>
      <c r="K106" s="243" t="inlineStr">
        <is>
          <t>retest — Tranche 1 (sampled 21–24.07.2026)</t>
        </is>
      </c>
      <c r="L106" s="244" t="inlineStr">
        <is>
          <t>CJ062501/2</t>
        </is>
      </c>
      <c r="M106" s="243" t="inlineStr">
        <is>
          <t>P050212</t>
        </is>
      </c>
      <c r="N106" s="243" t="inlineStr">
        <is>
          <t>Cap Junky</t>
        </is>
      </c>
      <c r="O106" s="243" t="inlineStr">
        <is>
          <t>197-4-K-26, (07.08.2026) [FHM-K]</t>
        </is>
      </c>
      <c r="P106" s="248" t="inlineStr">
        <is>
          <t>—</t>
        </is>
      </c>
      <c r="Q106" s="243" t="inlineStr">
        <is>
          <t>—</t>
        </is>
      </c>
      <c r="R106" s="243" t="inlineStr">
        <is>
          <t>CoQ reissue (assigned on issue)</t>
        </is>
      </c>
      <c r="S106" s="243" t="inlineStr">
        <is>
          <t>P050212|R2</t>
        </is>
      </c>
      <c r="T106" s="250" t="inlineStr">
        <is>
          <t>registered — retest, Tranche 1 (sampled 21–24.07.2026), sampled 21.07.2026; issued 07.09.2026, 7 days after 534-1065-26 of 31.08.2026; cites the campaign iCoA of 27.07.2026</t>
        </is>
      </c>
      <c r="U106" s="243">
        <f>IFERROR(INDEX('CoQ Register'!$B:$B,MATCH("P050212|I",'CoQ Register'!$S:$S,0)),"— initial certificate not on the register —")</f>
        <v/>
      </c>
      <c r="V106" s="251" t="n">
        <v>18.91</v>
      </c>
      <c r="W106" s="243" t="inlineStr">
        <is>
          <t>197-4-К/26</t>
        </is>
      </c>
      <c r="X106" s="243" t="inlineStr">
        <is>
          <t>20.00 ± 1.60 (III)</t>
        </is>
      </c>
      <c r="Y106" s="243" t="inlineStr">
        <is>
          <t>18.40 – 21.59 %</t>
        </is>
      </c>
      <c r="Z106" s="243" t="inlineStr">
        <is>
          <t>CJ_THC20 : CBD1</t>
        </is>
      </c>
      <c r="AA106" s="243" t="inlineStr">
        <is>
          <t>QCSP_001_CJ-III_v.01</t>
        </is>
      </c>
      <c r="AB106" s="252" t="inlineStr">
        <is>
          <t>for review — replaces the issued QCSP_001_CJ-III_v.01 (was CJ_THC24 : CBD1, 23.00 – 25.00 %); now CJ_THC20 : CBD1 18.40 – 21.59 %</t>
        </is>
      </c>
      <c r="AC106" s="246" t="inlineStr"/>
    </row>
    <row r="107">
      <c r="A107" s="243">
        <f>IF(OR(C107="yes",C107="allocated",C107="ruled"),COUNT(A$1:A106)+1,"")</f>
        <v/>
      </c>
      <c r="B107" s="244">
        <f>IF(A107&lt;&gt;"","CoQ-PP_26-"&amp;TEXT(A107,"000"),"— at issue —")</f>
        <v/>
      </c>
      <c r="C107" s="249" t="inlineStr">
        <is>
          <t>yes</t>
        </is>
      </c>
      <c r="D107" s="245">
        <f>IF(OR(A107="",C107="allocated",C107="ruled"),"",MAX(E107,IF(ISNUMBER(I107),I107,0),IFERROR(IF(ISNUMBER(INDEX('iCoA Register'!$F:$F,MATCH(S107,'iCoA Register'!$AA:$AA,0))),INDEX('iCoA Register'!$F:$F,MATCH(S107,'iCoA Register'!$AA:$AA,0)),0),0)))</f>
        <v/>
      </c>
      <c r="E107" s="245">
        <f>IF(ISNUMBER(F107),MAX(DATE(2026,6,6),F107+7),"— awaiting the retest certificates —")</f>
        <v/>
      </c>
      <c r="F107" s="245" t="n">
        <v>46276</v>
      </c>
      <c r="G107" s="243" t="inlineStr">
        <is>
          <t>220-1-M-26</t>
        </is>
      </c>
      <c r="H107" s="243">
        <f>IFERROR(INDEX('iCoA Register'!$B:$B,MATCH("P060122|R",'iCoA Register'!$AA:$AA,0)),"—")</f>
        <v/>
      </c>
      <c r="I107" s="245">
        <f>IFERROR(INDEX('iCoA Register'!$D:$D,MATCH("P060122|R",'iCoA Register'!$AA:$AA,0)),"")</f>
        <v/>
      </c>
      <c r="J107" s="243" t="inlineStr">
        <is>
          <t>legacy</t>
        </is>
      </c>
      <c r="K107" s="243" t="inlineStr">
        <is>
          <t>retest — Tranche 2 (sampled 12–14.08.2026)</t>
        </is>
      </c>
      <c r="L107" s="244" t="inlineStr">
        <is>
          <t>ACC102501</t>
        </is>
      </c>
      <c r="M107" s="243" t="inlineStr">
        <is>
          <t>P060122</t>
        </is>
      </c>
      <c r="N107" s="243" t="inlineStr">
        <is>
          <t>Amnesia Core Cut</t>
        </is>
      </c>
      <c r="O107" s="243" t="inlineStr">
        <is>
          <t>220-1-K-26, (25.08.2026) [FHM-K]</t>
        </is>
      </c>
      <c r="P107" s="248" t="inlineStr">
        <is>
          <t>—</t>
        </is>
      </c>
      <c r="Q107" s="243" t="inlineStr">
        <is>
          <t>—</t>
        </is>
      </c>
      <c r="R107" s="243" t="inlineStr">
        <is>
          <t>CoQ reissue (assigned on issue)</t>
        </is>
      </c>
      <c r="S107" s="243" t="inlineStr">
        <is>
          <t>P060122|R</t>
        </is>
      </c>
      <c r="T107" s="250" t="inlineStr">
        <is>
          <t>registered — retest, Tranche 2 (sampled 12–14.08.2026), sampled 12.08.2026; issued 18.09.2026, 7 days after 220-1-M-26 of 11.09.2026; cites iCoA-PP_26-123 of 17.08.2026</t>
        </is>
      </c>
      <c r="U107" s="243">
        <f>IFERROR(INDEX('CoQ Register'!$B:$B,MATCH("P060122|I",'CoQ Register'!$S:$S,0)),"— initial certificate not on the register —")</f>
        <v/>
      </c>
      <c r="V107" s="251" t="n">
        <v>12.09</v>
      </c>
      <c r="W107" s="243" t="inlineStr">
        <is>
          <t>220-1-К/26</t>
        </is>
      </c>
      <c r="X107" s="243" t="inlineStr">
        <is>
          <t>12.00 ± 1.20 (I)</t>
        </is>
      </c>
      <c r="Y107" s="243" t="inlineStr">
        <is>
          <t>10.80 – 13.19 %</t>
        </is>
      </c>
      <c r="Z107" s="243" t="inlineStr">
        <is>
          <t>ACC_THC12 : CBD1</t>
        </is>
      </c>
      <c r="AA107" s="243" t="inlineStr">
        <is>
          <t>QCSP_001_ACC-I_v.01</t>
        </is>
      </c>
      <c r="AB107" s="252" t="inlineStr">
        <is>
          <t>for review — replaces the issued QCSP_001_ACC-I_v.01 (was ACC_THC12 : CBD1, 10.80 – 13.20 %); now ACC_THC12 : CBD1 10.80 – 13.19 %</t>
        </is>
      </c>
      <c r="AC107" s="246" t="inlineStr"/>
    </row>
    <row r="108">
      <c r="A108" s="243">
        <f>IF(OR(C108="yes",C108="allocated",C108="ruled"),COUNT(A$1:A107)+1,"")</f>
        <v/>
      </c>
      <c r="B108" s="244">
        <f>IF(A108&lt;&gt;"","CoQ-PP_26-"&amp;TEXT(A108,"000"),"— at issue —")</f>
        <v/>
      </c>
      <c r="C108" s="249" t="inlineStr">
        <is>
          <t>yes</t>
        </is>
      </c>
      <c r="D108" s="245">
        <f>IF(OR(A108="",C108="allocated",C108="ruled"),"",MAX(E108,IF(ISNUMBER(I108),I108,0),IFERROR(IF(ISNUMBER(INDEX('iCoA Register'!$F:$F,MATCH(S108,'iCoA Register'!$AA:$AA,0))),INDEX('iCoA Register'!$F:$F,MATCH(S108,'iCoA Register'!$AA:$AA,0)),0),0)))</f>
        <v/>
      </c>
      <c r="E108" s="245">
        <f>IF(ISNUMBER(F108),MAX(DATE(2026,6,6),F108+7),"— awaiting the retest certificates —")</f>
        <v/>
      </c>
      <c r="F108" s="245" t="n">
        <v>46276</v>
      </c>
      <c r="G108" s="243" t="inlineStr">
        <is>
          <t>220-2-M-26</t>
        </is>
      </c>
      <c r="H108" s="243">
        <f>IFERROR(INDEX('iCoA Register'!$B:$B,MATCH("P050192|R",'iCoA Register'!$AA:$AA,0)),"—")</f>
        <v/>
      </c>
      <c r="I108" s="245">
        <f>IFERROR(INDEX('iCoA Register'!$D:$D,MATCH("P050192|R",'iCoA Register'!$AA:$AA,0)),"")</f>
        <v/>
      </c>
      <c r="J108" s="243" t="inlineStr">
        <is>
          <t>legacy</t>
        </is>
      </c>
      <c r="K108" s="243" t="inlineStr">
        <is>
          <t>retest — Tranche 2 (sampled 12–14.08.2026)</t>
        </is>
      </c>
      <c r="L108" s="244" t="inlineStr">
        <is>
          <t>BSS052501</t>
        </is>
      </c>
      <c r="M108" s="243" t="inlineStr">
        <is>
          <t>P050192</t>
        </is>
      </c>
      <c r="N108" s="243" t="inlineStr">
        <is>
          <t>Sleepy Joe</t>
        </is>
      </c>
      <c r="O108" s="243" t="inlineStr">
        <is>
          <t>220-2-K-26, (25.08.2026) [FHM-K]</t>
        </is>
      </c>
      <c r="P108" s="248" t="inlineStr">
        <is>
          <t>—</t>
        </is>
      </c>
      <c r="Q108" s="243" t="inlineStr">
        <is>
          <t>—</t>
        </is>
      </c>
      <c r="R108" s="243" t="inlineStr">
        <is>
          <t>CoQ reissue (assigned on issue)</t>
        </is>
      </c>
      <c r="S108" s="243" t="inlineStr">
        <is>
          <t>P050192|R</t>
        </is>
      </c>
      <c r="T108" s="250" t="inlineStr">
        <is>
          <t>registered — retest, Tranche 2 (sampled 12–14.08.2026), sampled 12.08.2026; issued 18.09.2026, 7 days after 220-2-M-26 of 11.09.2026; cites iCoA-PP_26-124 of 17.08.2026</t>
        </is>
      </c>
      <c r="U108" s="243">
        <f>IFERROR(INDEX('CoQ Register'!$B:$B,MATCH("P050192|I",'CoQ Register'!$S:$S,0)),"— initial certificate not on the register —")</f>
        <v/>
      </c>
      <c r="V108" s="251" t="n">
        <v>20.52</v>
      </c>
      <c r="W108" s="243" t="inlineStr">
        <is>
          <t>220-2-К/26</t>
        </is>
      </c>
      <c r="X108" s="243" t="inlineStr">
        <is>
          <t>20.00 ± 1.89 (III)</t>
        </is>
      </c>
      <c r="Y108" s="243" t="inlineStr">
        <is>
          <t>18.11 – 21.88 %</t>
        </is>
      </c>
      <c r="Z108" s="243" t="inlineStr">
        <is>
          <t>BSS_THC20 : CBD1</t>
        </is>
      </c>
      <c r="AA108" s="243" t="inlineStr">
        <is>
          <t>QCSP_001_BSS-III_v.01</t>
        </is>
      </c>
      <c r="AB108" s="246" t="inlineStr">
        <is>
          <t>for review — new</t>
        </is>
      </c>
      <c r="AC108" s="246" t="inlineStr"/>
    </row>
    <row r="109">
      <c r="A109" s="243">
        <f>IF(OR(C109="yes",C109="allocated",C109="ruled"),COUNT(A$1:A108)+1,"")</f>
        <v/>
      </c>
      <c r="B109" s="244">
        <f>IF(A109&lt;&gt;"","CoQ-PP_26-"&amp;TEXT(A109,"000"),"— at issue —")</f>
        <v/>
      </c>
      <c r="C109" s="249" t="inlineStr">
        <is>
          <t>yes</t>
        </is>
      </c>
      <c r="D109" s="245">
        <f>IF(OR(A109="",C109="allocated",C109="ruled"),"",MAX(E109,IF(ISNUMBER(I109),I109,0),IFERROR(IF(ISNUMBER(INDEX('iCoA Register'!$F:$F,MATCH(S109,'iCoA Register'!$AA:$AA,0))),INDEX('iCoA Register'!$F:$F,MATCH(S109,'iCoA Register'!$AA:$AA,0)),0),0)))</f>
        <v/>
      </c>
      <c r="E109" s="245">
        <f>IF(ISNUMBER(F109),MAX(DATE(2026,6,6),F109+7),"— awaiting the retest certificates —")</f>
        <v/>
      </c>
      <c r="F109" s="245" t="n">
        <v>46276</v>
      </c>
      <c r="G109" s="243" t="inlineStr">
        <is>
          <t>220-29-M-26</t>
        </is>
      </c>
      <c r="H109" s="243">
        <f>IFERROR(INDEX('iCoA Register'!$B:$B,MATCH("P060372|R",'iCoA Register'!$AA:$AA,0)),"—")</f>
        <v/>
      </c>
      <c r="I109" s="245">
        <f>IFERROR(INDEX('iCoA Register'!$D:$D,MATCH("P060372|R",'iCoA Register'!$AA:$AA,0)),"")</f>
        <v/>
      </c>
      <c r="J109" s="243" t="inlineStr">
        <is>
          <t>post-SOP</t>
        </is>
      </c>
      <c r="K109" s="243" t="inlineStr">
        <is>
          <t>retest — Tranche 2 (sampled 12–14.08.2026)</t>
        </is>
      </c>
      <c r="L109" s="244" t="inlineStr">
        <is>
          <t>CC012603</t>
        </is>
      </c>
      <c r="M109" s="243" t="inlineStr">
        <is>
          <t>P060372</t>
        </is>
      </c>
      <c r="N109" s="243" t="inlineStr">
        <is>
          <t>Cash Cow</t>
        </is>
      </c>
      <c r="O109" s="243" t="inlineStr">
        <is>
          <t>220-29-K-26, (26.08.2026) [FHM-K]</t>
        </is>
      </c>
      <c r="P109" s="248" t="inlineStr">
        <is>
          <t>—</t>
        </is>
      </c>
      <c r="Q109" s="243" t="inlineStr">
        <is>
          <t>—</t>
        </is>
      </c>
      <c r="R109" s="243" t="inlineStr">
        <is>
          <t>CoQ reissue (assigned on issue)</t>
        </is>
      </c>
      <c r="S109" s="243" t="inlineStr">
        <is>
          <t>P060372|R</t>
        </is>
      </c>
      <c r="T109" s="250" t="inlineStr">
        <is>
          <t>registered — retest, Tranche 2 (sampled 12–14.08.2026), sampled 14.08.2026; issued 18.09.2026, 7 days after 220-29-M-26 of 11.09.2026; cites iCoA-PP_26-145 of 17.08.2026</t>
        </is>
      </c>
      <c r="U109" s="243">
        <f>IFERROR(INDEX('CoQ Register'!$B:$B,MATCH("P060372|I",'CoQ Register'!$S:$S,0)),"— initial certificate not on the register —")</f>
        <v/>
      </c>
      <c r="V109" s="251" t="n">
        <v>14.76</v>
      </c>
      <c r="W109" s="243" t="inlineStr">
        <is>
          <t>220-29-К/26</t>
        </is>
      </c>
      <c r="X109" s="243" t="inlineStr">
        <is>
          <t>14.00 ± 1.35 (II)</t>
        </is>
      </c>
      <c r="Y109" s="243" t="inlineStr">
        <is>
          <t>12.65 – 15.34 %</t>
        </is>
      </c>
      <c r="Z109" s="243" t="inlineStr">
        <is>
          <t>CC_THC14 : CBD1</t>
        </is>
      </c>
      <c r="AA109" s="243" t="inlineStr">
        <is>
          <t>QCSP_001_CC-II_v.01</t>
        </is>
      </c>
      <c r="AB109" s="252" t="inlineStr">
        <is>
          <t>for review — replaces the issued QCSP_001_CC-II_v.01 (was CC_THC14 : CBD1, 12.60 – 15.40 %); now CC_THC14 : CBD1 12.65 – 15.34 %</t>
        </is>
      </c>
      <c r="AC109" s="246" t="inlineStr"/>
    </row>
    <row r="110">
      <c r="A110" s="243">
        <f>IF(OR(C110="yes",C110="allocated",C110="ruled"),COUNT(A$1:A109)+1,"")</f>
        <v/>
      </c>
      <c r="B110" s="244">
        <f>IF(A110&lt;&gt;"","CoQ-PP_26-"&amp;TEXT(A110,"000"),"— at issue —")</f>
        <v/>
      </c>
      <c r="C110" s="249" t="inlineStr">
        <is>
          <t>yes</t>
        </is>
      </c>
      <c r="D110" s="245">
        <f>IF(OR(A110="",C110="allocated",C110="ruled"),"",MAX(E110,IF(ISNUMBER(I110),I110,0),IFERROR(IF(ISNUMBER(INDEX('iCoA Register'!$F:$F,MATCH(S110,'iCoA Register'!$AA:$AA,0))),INDEX('iCoA Register'!$F:$F,MATCH(S110,'iCoA Register'!$AA:$AA,0)),0),0)))</f>
        <v/>
      </c>
      <c r="E110" s="245">
        <f>IF(ISNUMBER(F110),MAX(DATE(2026,6,6),F110+7),"— awaiting the retest certificates —")</f>
        <v/>
      </c>
      <c r="F110" s="245" t="n">
        <v>46276</v>
      </c>
      <c r="G110" s="243" t="inlineStr">
        <is>
          <t>220-6-M-26</t>
        </is>
      </c>
      <c r="H110" s="243">
        <f>IFERROR(INDEX('iCoA Register'!$B:$B,MATCH("P060132|R",'iCoA Register'!$AA:$AA,0)),"—")</f>
        <v/>
      </c>
      <c r="I110" s="245">
        <f>IFERROR(INDEX('iCoA Register'!$D:$D,MATCH("P060132|R",'iCoA Register'!$AA:$AA,0)),"")</f>
        <v/>
      </c>
      <c r="J110" s="243" t="inlineStr">
        <is>
          <t>legacy</t>
        </is>
      </c>
      <c r="K110" s="243" t="inlineStr">
        <is>
          <t>retest — Tranche 2 (sampled 12–14.08.2026)</t>
        </is>
      </c>
      <c r="L110" s="244" t="inlineStr">
        <is>
          <t>CF102501</t>
        </is>
      </c>
      <c r="M110" s="243" t="inlineStr">
        <is>
          <t>P060132</t>
        </is>
      </c>
      <c r="N110" s="243" t="inlineStr">
        <is>
          <t>Chem Flyer</t>
        </is>
      </c>
      <c r="O110" s="243" t="inlineStr">
        <is>
          <t>220-6-K-26, (25.08.2026) [FHM-K]</t>
        </is>
      </c>
      <c r="P110" s="248" t="inlineStr">
        <is>
          <t>—</t>
        </is>
      </c>
      <c r="Q110" s="243" t="inlineStr">
        <is>
          <t>—</t>
        </is>
      </c>
      <c r="R110" s="243" t="inlineStr">
        <is>
          <t>CoQ reissue (assigned on issue)</t>
        </is>
      </c>
      <c r="S110" s="243" t="inlineStr">
        <is>
          <t>P060132|R</t>
        </is>
      </c>
      <c r="T110" s="250" t="inlineStr">
        <is>
          <t>registered — retest, Tranche 2 (sampled 12–14.08.2026), sampled 12.08.2026; issued 18.09.2026, 7 days after 220-6-M-26 of 11.09.2026; cites iCoA-PP_26-125 of 17.08.2026</t>
        </is>
      </c>
      <c r="U110" s="243">
        <f>IFERROR(INDEX('CoQ Register'!$B:$B,MATCH("P060132|I",'CoQ Register'!$S:$S,0)),"— initial certificate not on the register —")</f>
        <v/>
      </c>
      <c r="V110" s="251" t="n">
        <v>9.550000000000001</v>
      </c>
      <c r="W110" s="243" t="inlineStr">
        <is>
          <t>220-6-К/26</t>
        </is>
      </c>
      <c r="X110" s="243" t="inlineStr">
        <is>
          <t>10.00 ± 1.00 (I)</t>
        </is>
      </c>
      <c r="Y110" s="243" t="inlineStr">
        <is>
          <t>9.00 – 10.99 %</t>
        </is>
      </c>
      <c r="Z110" s="243" t="inlineStr">
        <is>
          <t>CF_THC10 : CBD1</t>
        </is>
      </c>
      <c r="AA110" s="243" t="inlineStr">
        <is>
          <t>QCSP_001_CF-I_v.01</t>
        </is>
      </c>
      <c r="AB110" s="252" t="inlineStr">
        <is>
          <t>for review — replaces the issued QCSP_001_CF-I_v.01 (was CF_THC10 : CBD1, 9.00 – 11.00 %); now CF_THC10 : CBD1 9.00 – 10.99 %</t>
        </is>
      </c>
      <c r="AC110" s="246" t="inlineStr"/>
    </row>
    <row r="111">
      <c r="A111" s="243">
        <f>IF(OR(C111="yes",C111="allocated",C111="ruled"),COUNT(A$1:A110)+1,"")</f>
        <v/>
      </c>
      <c r="B111" s="244">
        <f>IF(A111&lt;&gt;"","CoQ-PP_26-"&amp;TEXT(A111,"000"),"— at issue —")</f>
        <v/>
      </c>
      <c r="C111" s="249" t="inlineStr">
        <is>
          <t>yes</t>
        </is>
      </c>
      <c r="D111" s="245">
        <f>IF(OR(A111="",C111="allocated",C111="ruled"),"",MAX(E111,IF(ISNUMBER(I111),I111,0),IFERROR(IF(ISNUMBER(INDEX('iCoA Register'!$F:$F,MATCH(S111,'iCoA Register'!$AA:$AA,0))),INDEX('iCoA Register'!$F:$F,MATCH(S111,'iCoA Register'!$AA:$AA,0)),0),0)))</f>
        <v/>
      </c>
      <c r="E111" s="245">
        <f>IF(ISNUMBER(F111),MAX(DATE(2026,6,6),F111+7),"— awaiting the retest certificates —")</f>
        <v/>
      </c>
      <c r="F111" s="245" t="n">
        <v>46276</v>
      </c>
      <c r="G111" s="243" t="inlineStr">
        <is>
          <t>220-3-M-26</t>
        </is>
      </c>
      <c r="H111" s="243">
        <f>IFERROR(INDEX('iCoA Register'!$B:$B,MATCH("P050222|R2",'iCoA Register'!$AA:$AA,0)),"—")</f>
        <v/>
      </c>
      <c r="I111" s="245">
        <f>IFERROR(INDEX('iCoA Register'!$D:$D,MATCH("P050222|R2",'iCoA Register'!$AA:$AA,0)),"")</f>
        <v/>
      </c>
      <c r="J111" s="243" t="inlineStr">
        <is>
          <t>legacy</t>
        </is>
      </c>
      <c r="K111" s="243" t="inlineStr">
        <is>
          <t>retest — Tranche 2 (sampled 12–14.08.2026)</t>
        </is>
      </c>
      <c r="L111" s="244" t="inlineStr">
        <is>
          <t>CJ062501/1</t>
        </is>
      </c>
      <c r="M111" s="243" t="inlineStr">
        <is>
          <t>P050222</t>
        </is>
      </c>
      <c r="N111" s="243" t="inlineStr">
        <is>
          <t>Cap Junky</t>
        </is>
      </c>
      <c r="O111" s="243" t="inlineStr">
        <is>
          <t>220-3-K-26, (25.08.2026) [FHM-K]</t>
        </is>
      </c>
      <c r="P111" s="248" t="inlineStr">
        <is>
          <t>—</t>
        </is>
      </c>
      <c r="Q111" s="243" t="inlineStr">
        <is>
          <t>—</t>
        </is>
      </c>
      <c r="R111" s="243" t="inlineStr">
        <is>
          <t>CoQ reissue (assigned on issue)</t>
        </is>
      </c>
      <c r="S111" s="243" t="inlineStr">
        <is>
          <t>P050222|R2</t>
        </is>
      </c>
      <c r="T111" s="250" t="inlineStr">
        <is>
          <t>registered — retest, Tranche 2 (sampled 12–14.08.2026), sampled 12.08.2026; issued 18.09.2026, 7 days after 220-3-M-26 of 11.09.2026; cites the campaign iCoA of 17.08.2026</t>
        </is>
      </c>
      <c r="U111" s="243">
        <f>IFERROR(INDEX('CoQ Register'!$B:$B,MATCH("P050222|I",'CoQ Register'!$S:$S,0)),"— initial certificate not on the register —")</f>
        <v/>
      </c>
      <c r="V111" s="251" t="n">
        <v>24.8</v>
      </c>
      <c r="W111" s="243" t="inlineStr">
        <is>
          <t>220-3-К/26</t>
        </is>
      </c>
      <c r="X111" s="243" t="inlineStr">
        <is>
          <t>24.00 ± 2.40 (II)</t>
        </is>
      </c>
      <c r="Y111" s="243" t="inlineStr">
        <is>
          <t>21.60 – 26.39 %</t>
        </is>
      </c>
      <c r="Z111" s="243" t="inlineStr">
        <is>
          <t>CJ_THC24 : CBD1</t>
        </is>
      </c>
      <c r="AA111" s="243" t="inlineStr">
        <is>
          <t>QCSP_001_CJ-II_v.01</t>
        </is>
      </c>
      <c r="AB111" s="252" t="inlineStr">
        <is>
          <t>for review — replaces the issued QCSP_001_CJ-II_v.01 (was CJ_THC26 : CBD1, 25.01 – 26.99 %); now CJ_THC24 : CBD1 21.60 – 26.39 %</t>
        </is>
      </c>
      <c r="AC111" s="246" t="inlineStr"/>
    </row>
    <row r="112">
      <c r="A112" s="243">
        <f>IF(OR(C112="yes",C112="allocated",C112="ruled"),COUNT(A$1:A111)+1,"")</f>
        <v/>
      </c>
      <c r="B112" s="244">
        <f>IF(A112&lt;&gt;"","CoQ-PP_26-"&amp;TEXT(A112,"000"),"— at issue —")</f>
        <v/>
      </c>
      <c r="C112" s="249" t="inlineStr">
        <is>
          <t>yes</t>
        </is>
      </c>
      <c r="D112" s="245">
        <f>IF(OR(A112="",C112="allocated",C112="ruled"),"",MAX(E112,IF(ISNUMBER(I112),I112,0),IFERROR(IF(ISNUMBER(INDEX('iCoA Register'!$F:$F,MATCH(S112,'iCoA Register'!$AA:$AA,0))),INDEX('iCoA Register'!$F:$F,MATCH(S112,'iCoA Register'!$AA:$AA,0)),0),0)))</f>
        <v/>
      </c>
      <c r="E112" s="245">
        <f>IF(ISNUMBER(F112),MAX(DATE(2026,6,6),F112+7),"— awaiting the retest certificates —")</f>
        <v/>
      </c>
      <c r="F112" s="245" t="n">
        <v>46276</v>
      </c>
      <c r="G112" s="243" t="inlineStr">
        <is>
          <t>220-4-M-26</t>
        </is>
      </c>
      <c r="H112" s="243">
        <f>IFERROR(INDEX('iCoA Register'!$B:$B,MATCH("P060022|R",'iCoA Register'!$AA:$AA,0)),"—")</f>
        <v/>
      </c>
      <c r="I112" s="245">
        <f>IFERROR(INDEX('iCoA Register'!$D:$D,MATCH("P060022|R",'iCoA Register'!$AA:$AA,0)),"")</f>
        <v/>
      </c>
      <c r="J112" s="243" t="inlineStr">
        <is>
          <t>legacy</t>
        </is>
      </c>
      <c r="K112" s="243" t="inlineStr">
        <is>
          <t>retest — Tranche 2 (sampled 12–14.08.2026)</t>
        </is>
      </c>
      <c r="L112" s="244" t="inlineStr">
        <is>
          <t>CJ082501/1</t>
        </is>
      </c>
      <c r="M112" s="243" t="inlineStr">
        <is>
          <t>P060022</t>
        </is>
      </c>
      <c r="N112" s="243" t="inlineStr">
        <is>
          <t>Cap Junky</t>
        </is>
      </c>
      <c r="O112" s="243" t="inlineStr">
        <is>
          <t>220-4-K-26, (25.08.2026) [FHM-K]</t>
        </is>
      </c>
      <c r="P112" s="248" t="inlineStr">
        <is>
          <t>—</t>
        </is>
      </c>
      <c r="Q112" s="243" t="inlineStr">
        <is>
          <t>—</t>
        </is>
      </c>
      <c r="R112" s="243" t="inlineStr">
        <is>
          <t>CoQ reissue (assigned on issue)</t>
        </is>
      </c>
      <c r="S112" s="243" t="inlineStr">
        <is>
          <t>P060022|R</t>
        </is>
      </c>
      <c r="T112" s="250" t="inlineStr">
        <is>
          <t>registered — retest, Tranche 2 (sampled 12–14.08.2026), sampled 12.08.2026; issued 18.09.2026, 7 days after 220-4-M-26 of 11.09.2026; cites iCoA-PP_26-127 of 17.08.2026</t>
        </is>
      </c>
      <c r="U112" s="243">
        <f>IFERROR(INDEX('CoQ Register'!$B:$B,MATCH("P060022|I",'CoQ Register'!$S:$S,0)),"— initial certificate not on the register —")</f>
        <v/>
      </c>
      <c r="V112" s="251" t="n">
        <v>28.34</v>
      </c>
      <c r="W112" s="243" t="inlineStr">
        <is>
          <t>220-4-К/26</t>
        </is>
      </c>
      <c r="X112" s="243" t="inlineStr">
        <is>
          <t>28.00 ± 1.60 (I)</t>
        </is>
      </c>
      <c r="Y112" s="243" t="inlineStr">
        <is>
          <t>26.40 – 29.59 %</t>
        </is>
      </c>
      <c r="Z112" s="243" t="inlineStr">
        <is>
          <t>CJ_THC28 : CBD1</t>
        </is>
      </c>
      <c r="AA112" s="243" t="inlineStr">
        <is>
          <t>QCSP_001_CJ-I_v.01</t>
        </is>
      </c>
      <c r="AB112" s="252" t="inlineStr">
        <is>
          <t>for review — replaces the issued QCSP_001_CJ-I_v.01 (was CJ_THC28 : CBD1, 27.00 – 29.00 %); now CJ_THC28 : CBD1 26.40 – 29.59 %</t>
        </is>
      </c>
      <c r="AC112" s="246" t="inlineStr"/>
    </row>
    <row r="113">
      <c r="A113" s="243">
        <f>IF(OR(C113="yes",C113="allocated",C113="ruled"),COUNT(A$1:A112)+1,"")</f>
        <v/>
      </c>
      <c r="B113" s="244">
        <f>IF(A113&lt;&gt;"","CoQ-PP_26-"&amp;TEXT(A113,"000"),"— at issue —")</f>
        <v/>
      </c>
      <c r="C113" s="249" t="inlineStr">
        <is>
          <t>yes</t>
        </is>
      </c>
      <c r="D113" s="245">
        <f>IF(OR(A113="",C113="allocated",C113="ruled"),"",MAX(E113,IF(ISNUMBER(I113),I113,0),IFERROR(IF(ISNUMBER(INDEX('iCoA Register'!$F:$F,MATCH(S113,'iCoA Register'!$AA:$AA,0))),INDEX('iCoA Register'!$F:$F,MATCH(S113,'iCoA Register'!$AA:$AA,0)),0),0)))</f>
        <v/>
      </c>
      <c r="E113" s="245">
        <f>IF(ISNUMBER(F113),MAX(DATE(2026,6,6),F113+7),"— awaiting the retest certificates —")</f>
        <v/>
      </c>
      <c r="F113" s="245" t="n">
        <v>46276</v>
      </c>
      <c r="G113" s="243" t="inlineStr">
        <is>
          <t>220-5-M-26</t>
        </is>
      </c>
      <c r="H113" s="243">
        <f>IFERROR(INDEX('iCoA Register'!$B:$B,MATCH("P060072|R",'iCoA Register'!$AA:$AA,0)),"—")</f>
        <v/>
      </c>
      <c r="I113" s="245">
        <f>IFERROR(INDEX('iCoA Register'!$D:$D,MATCH("P060072|R",'iCoA Register'!$AA:$AA,0)),"")</f>
        <v/>
      </c>
      <c r="J113" s="243" t="inlineStr">
        <is>
          <t>legacy</t>
        </is>
      </c>
      <c r="K113" s="243" t="inlineStr">
        <is>
          <t>retest — Tranche 2 (sampled 12–14.08.2026)</t>
        </is>
      </c>
      <c r="L113" s="244" t="inlineStr">
        <is>
          <t>CJ092501</t>
        </is>
      </c>
      <c r="M113" s="243" t="inlineStr">
        <is>
          <t>P060072</t>
        </is>
      </c>
      <c r="N113" s="243" t="inlineStr">
        <is>
          <t>Cap Junky</t>
        </is>
      </c>
      <c r="O113" s="243" t="inlineStr">
        <is>
          <t>220-5-K-26, (25.08.2026) [FHM-K]</t>
        </is>
      </c>
      <c r="P113" s="248" t="inlineStr">
        <is>
          <t>—</t>
        </is>
      </c>
      <c r="Q113" s="243" t="inlineStr">
        <is>
          <t>—</t>
        </is>
      </c>
      <c r="R113" s="243" t="inlineStr">
        <is>
          <t>CoQ reissue (assigned on issue)</t>
        </is>
      </c>
      <c r="S113" s="243" t="inlineStr">
        <is>
          <t>P060072|R</t>
        </is>
      </c>
      <c r="T113" s="250" t="inlineStr">
        <is>
          <t>registered — retest, Tranche 2 (sampled 12–14.08.2026), sampled 12.08.2026; issued 18.09.2026, 7 days after 220-5-M-26 of 11.09.2026; cites iCoA-PP_26-128 of 17.08.2026</t>
        </is>
      </c>
      <c r="U113" s="243">
        <f>IFERROR(INDEX('CoQ Register'!$B:$B,MATCH("P060072|I",'CoQ Register'!$S:$S,0)),"— initial certificate not on the register —")</f>
        <v/>
      </c>
      <c r="V113" s="251" t="n">
        <v>25.65</v>
      </c>
      <c r="W113" s="243" t="inlineStr">
        <is>
          <t>220-5-К/26</t>
        </is>
      </c>
      <c r="X113" s="243" t="inlineStr">
        <is>
          <t>24.00 ± 2.40 (II)</t>
        </is>
      </c>
      <c r="Y113" s="243" t="inlineStr">
        <is>
          <t>21.60 – 26.39 %</t>
        </is>
      </c>
      <c r="Z113" s="243" t="inlineStr">
        <is>
          <t>CJ_THC24 : CBD1</t>
        </is>
      </c>
      <c r="AA113" s="243" t="inlineStr">
        <is>
          <t>QCSP_001_CJ-II_v.01</t>
        </is>
      </c>
      <c r="AB113" s="252" t="inlineStr">
        <is>
          <t>for review — replaces the issued QCSP_001_CJ-II_v.01 (was CJ_THC26 : CBD1, 25.01 – 26.99 %); now CJ_THC24 : CBD1 21.60 – 26.39 %</t>
        </is>
      </c>
      <c r="AC113" s="246" t="inlineStr"/>
    </row>
    <row r="114">
      <c r="A114" s="243">
        <f>IF(OR(C114="yes",C114="allocated",C114="ruled"),COUNT(A$1:A113)+1,"")</f>
        <v/>
      </c>
      <c r="B114" s="244">
        <f>IF(A114&lt;&gt;"","CoQ-PP_26-"&amp;TEXT(A114,"000"),"— at issue —")</f>
        <v/>
      </c>
      <c r="C114" s="249" t="inlineStr">
        <is>
          <t>yes</t>
        </is>
      </c>
      <c r="D114" s="245">
        <f>IF(OR(A114="",C114="allocated",C114="ruled"),"",MAX(E114,IF(ISNUMBER(I114),I114,0),IFERROR(IF(ISNUMBER(INDEX('iCoA Register'!$F:$F,MATCH(S114,'iCoA Register'!$AA:$AA,0))),INDEX('iCoA Register'!$F:$F,MATCH(S114,'iCoA Register'!$AA:$AA,0)),0),0)))</f>
        <v/>
      </c>
      <c r="E114" s="245">
        <f>IF(ISNUMBER(F114),MAX(DATE(2026,6,6),F114+7),"— awaiting the retest certificates —")</f>
        <v/>
      </c>
      <c r="F114" s="245" t="n">
        <v>46276</v>
      </c>
      <c r="G114" s="243" t="inlineStr">
        <is>
          <t>220-7-M-26</t>
        </is>
      </c>
      <c r="H114" s="243">
        <f>IFERROR(INDEX('iCoA Register'!$B:$B,MATCH("P050282|R",'iCoA Register'!$AA:$AA,0)),"—")</f>
        <v/>
      </c>
      <c r="I114" s="245">
        <f>IFERROR(INDEX('iCoA Register'!$D:$D,MATCH("P050282|R",'iCoA Register'!$AA:$AA,0)),"")</f>
        <v/>
      </c>
      <c r="J114" s="243" t="inlineStr">
        <is>
          <t>legacy</t>
        </is>
      </c>
      <c r="K114" s="243" t="inlineStr">
        <is>
          <t>retest — Tranche 2 (sampled 12–14.08.2026)</t>
        </is>
      </c>
      <c r="L114" s="244" t="inlineStr">
        <is>
          <t>CLE072501</t>
        </is>
      </c>
      <c r="M114" s="243" t="inlineStr">
        <is>
          <t>P050282</t>
        </is>
      </c>
      <c r="N114" s="243" t="inlineStr">
        <is>
          <t>Clemosa A Bud</t>
        </is>
      </c>
      <c r="O114" s="243" t="inlineStr">
        <is>
          <t>220-7-K-26, (25.08.2026) [FHM-K]</t>
        </is>
      </c>
      <c r="P114" s="248" t="inlineStr">
        <is>
          <t>—</t>
        </is>
      </c>
      <c r="Q114" s="243" t="inlineStr">
        <is>
          <t>—</t>
        </is>
      </c>
      <c r="R114" s="243" t="inlineStr">
        <is>
          <t>CoQ reissue (assigned on issue)</t>
        </is>
      </c>
      <c r="S114" s="243" t="inlineStr">
        <is>
          <t>P050282|R</t>
        </is>
      </c>
      <c r="T114" s="250" t="inlineStr">
        <is>
          <t>registered — retest, Tranche 2 (sampled 12–14.08.2026), sampled 12.08.2026; issued 18.09.2026, 7 days after 220-7-M-26 of 11.09.2026; cites iCoA-PP_26-129 of 17.08.2026</t>
        </is>
      </c>
      <c r="U114" s="243">
        <f>IFERROR(INDEX('CoQ Register'!$B:$B,MATCH("P050282|I",'CoQ Register'!$S:$S,0)),"— initial certificate not on the register —")</f>
        <v/>
      </c>
      <c r="V114" s="251" t="n">
        <v>8.65</v>
      </c>
      <c r="W114" s="243" t="inlineStr">
        <is>
          <t>220-7-К/26</t>
        </is>
      </c>
      <c r="X114" s="243" t="inlineStr">
        <is>
          <t>8.00 ± 0.80 (I)</t>
        </is>
      </c>
      <c r="Y114" s="243" t="inlineStr">
        <is>
          <t>7.20 – 8.79 %</t>
        </is>
      </c>
      <c r="Z114" s="243" t="inlineStr">
        <is>
          <t>CLE_THC8 : CBD1</t>
        </is>
      </c>
      <c r="AA114" s="243" t="inlineStr">
        <is>
          <t>QCSP_001_CLE-I_v.01</t>
        </is>
      </c>
      <c r="AB114" s="252" t="inlineStr">
        <is>
          <t>for review — replaces the issued QCSP_001_CLE-I_v.01 (was CLE_THC8 : CBD1, 7.20 – 8.80 %); now CLE_THC8 : CBD1 7.20 – 8.79 %</t>
        </is>
      </c>
      <c r="AC114" s="246" t="inlineStr"/>
    </row>
    <row r="115">
      <c r="A115" s="243">
        <f>IF(OR(C115="yes",C115="allocated",C115="ruled"),COUNT(A$1:A114)+1,"")</f>
        <v/>
      </c>
      <c r="B115" s="244">
        <f>IF(A115&lt;&gt;"","CoQ-PP_26-"&amp;TEXT(A115,"000"),"— at issue —")</f>
        <v/>
      </c>
      <c r="C115" s="249" t="inlineStr">
        <is>
          <t>yes</t>
        </is>
      </c>
      <c r="D115" s="245">
        <f>IF(OR(A115="",C115="allocated",C115="ruled"),"",MAX(E115,IF(ISNUMBER(I115),I115,0),IFERROR(IF(ISNUMBER(INDEX('iCoA Register'!$F:$F,MATCH(S115,'iCoA Register'!$AA:$AA,0))),INDEX('iCoA Register'!$F:$F,MATCH(S115,'iCoA Register'!$AA:$AA,0)),0),0)))</f>
        <v/>
      </c>
      <c r="E115" s="245">
        <f>IF(ISNUMBER(F115),MAX(DATE(2026,6,6),F115+7),"— awaiting the retest certificates —")</f>
        <v/>
      </c>
      <c r="F115" s="245" t="n">
        <v>46276</v>
      </c>
      <c r="G115" s="243" t="inlineStr">
        <is>
          <t>220-8-M-26</t>
        </is>
      </c>
      <c r="H115" s="243">
        <f>IFERROR(INDEX('iCoA Register'!$B:$B,MATCH("P060322|R",'iCoA Register'!$AA:$AA,0)),"—")</f>
        <v/>
      </c>
      <c r="I115" s="245">
        <f>IFERROR(INDEX('iCoA Register'!$D:$D,MATCH("P060322|R",'iCoA Register'!$AA:$AA,0)),"")</f>
        <v/>
      </c>
      <c r="J115" s="243" t="inlineStr">
        <is>
          <t>post-SOP</t>
        </is>
      </c>
      <c r="K115" s="243" t="inlineStr">
        <is>
          <t>retest — Tranche 2 (sampled 12–14.08.2026)</t>
        </is>
      </c>
      <c r="L115" s="244" t="inlineStr">
        <is>
          <t>FB012601_1</t>
        </is>
      </c>
      <c r="M115" s="243" t="inlineStr">
        <is>
          <t>P060322</t>
        </is>
      </c>
      <c r="N115" s="243" t="inlineStr">
        <is>
          <t>Fat Bastard</t>
        </is>
      </c>
      <c r="O115" s="243" t="inlineStr">
        <is>
          <t>220-8-K-26, (25.08.2026) [FHM-K]</t>
        </is>
      </c>
      <c r="P115" s="248" t="inlineStr">
        <is>
          <t>—</t>
        </is>
      </c>
      <c r="Q115" s="243" t="inlineStr">
        <is>
          <t>—</t>
        </is>
      </c>
      <c r="R115" s="243" t="inlineStr">
        <is>
          <t>CoQ reissue (assigned on issue)</t>
        </is>
      </c>
      <c r="S115" s="243" t="inlineStr">
        <is>
          <t>P060322|R</t>
        </is>
      </c>
      <c r="T115" s="250" t="inlineStr">
        <is>
          <t>registered — retest, Tranche 2 (sampled 12–14.08.2026), sampled 12.08.2026; issued 18.09.2026, 7 days after 220-8-M-26 of 11.09.2026; cites iCoA-PP_26-130 of 17.08.2026</t>
        </is>
      </c>
      <c r="U115" s="243">
        <f>IFERROR(INDEX('CoQ Register'!$B:$B,MATCH("P060322|I",'CoQ Register'!$S:$S,0)),"— initial certificate not on the register —")</f>
        <v/>
      </c>
      <c r="V115" s="251" t="n">
        <v>17.99</v>
      </c>
      <c r="W115" s="243" t="inlineStr">
        <is>
          <t>220-8-К/26</t>
        </is>
      </c>
      <c r="X115" s="243" t="inlineStr">
        <is>
          <t>18.00 ± 1.80 (II)</t>
        </is>
      </c>
      <c r="Y115" s="243" t="inlineStr">
        <is>
          <t>16.20 – 19.79 %</t>
        </is>
      </c>
      <c r="Z115" s="243" t="inlineStr">
        <is>
          <t>FB_THC18 : CBD1</t>
        </is>
      </c>
      <c r="AA115" s="243" t="inlineStr">
        <is>
          <t>QCSP_001_FB-II_v.01</t>
        </is>
      </c>
      <c r="AB115" s="252" t="inlineStr">
        <is>
          <t>for review — replaces the issued QCSP_001_FB-II_v.01 (was FB_THC18 : CBD1, 17.15 – 18.85 %); now FB_THC18 : CBD1 16.20 – 19.79 %</t>
        </is>
      </c>
      <c r="AC115" s="246" t="inlineStr"/>
    </row>
    <row r="116">
      <c r="A116" s="243">
        <f>IF(OR(C116="yes",C116="allocated",C116="ruled"),COUNT(A$1:A115)+1,"")</f>
        <v/>
      </c>
      <c r="B116" s="244">
        <f>IF(A116&lt;&gt;"","CoQ-PP_26-"&amp;TEXT(A116,"000"),"— at issue —")</f>
        <v/>
      </c>
      <c r="C116" s="249" t="inlineStr">
        <is>
          <t>yes</t>
        </is>
      </c>
      <c r="D116" s="245">
        <f>IF(OR(A116="",C116="allocated",C116="ruled"),"",MAX(E116,IF(ISNUMBER(I116),I116,0),IFERROR(IF(ISNUMBER(INDEX('iCoA Register'!$F:$F,MATCH(S116,'iCoA Register'!$AA:$AA,0))),INDEX('iCoA Register'!$F:$F,MATCH(S116,'iCoA Register'!$AA:$AA,0)),0),0)))</f>
        <v/>
      </c>
      <c r="E116" s="245">
        <f>IF(ISNUMBER(F116),MAX(DATE(2026,6,6),F116+7),"— awaiting the retest certificates —")</f>
        <v/>
      </c>
      <c r="F116" s="245" t="n">
        <v>46276</v>
      </c>
      <c r="G116" s="243" t="inlineStr">
        <is>
          <t>220-9-M-26</t>
        </is>
      </c>
      <c r="H116" s="243">
        <f>IFERROR(INDEX('iCoA Register'!$B:$B,MATCH("GG1024|R",'iCoA Register'!$AA:$AA,0)),"—")</f>
        <v/>
      </c>
      <c r="I116" s="245">
        <f>IFERROR(INDEX('iCoA Register'!$D:$D,MATCH("GG1024|R",'iCoA Register'!$AA:$AA,0)),"")</f>
        <v/>
      </c>
      <c r="J116" s="243" t="inlineStr">
        <is>
          <t>legacy</t>
        </is>
      </c>
      <c r="K116" s="243" t="inlineStr">
        <is>
          <t>retest — Tranche 2 (sampled 12–14.08.2026)</t>
        </is>
      </c>
      <c r="L116" s="244" t="inlineStr">
        <is>
          <t>GG1024</t>
        </is>
      </c>
      <c r="M116" s="243" t="inlineStr">
        <is>
          <t>N/A — no P batch assigned</t>
        </is>
      </c>
      <c r="N116" s="243" t="inlineStr">
        <is>
          <t>Gorilla Glue</t>
        </is>
      </c>
      <c r="O116" s="243" t="inlineStr">
        <is>
          <t>220-9-K-26, (25.08.2026) [FHM-K]</t>
        </is>
      </c>
      <c r="P116" s="248" t="inlineStr">
        <is>
          <t>—</t>
        </is>
      </c>
      <c r="Q116" s="243" t="inlineStr">
        <is>
          <t>—</t>
        </is>
      </c>
      <c r="R116" s="243" t="inlineStr">
        <is>
          <t>CoQ-PP-2026-0029</t>
        </is>
      </c>
      <c r="S116" s="243" t="inlineStr">
        <is>
          <t>GG1024|R</t>
        </is>
      </c>
      <c r="T116" s="250" t="inlineStr">
        <is>
          <t>registered — retest, Tranche 2 (sampled 12–14.08.2026), sampled 12.08.2026; issued 18.09.2026, 7 days after 220-9-M-26 of 11.09.2026; cites iCoA-PP_26-131 of 17.08.2026</t>
        </is>
      </c>
      <c r="U116" s="243">
        <f>IFERROR(INDEX('CoQ Register'!$B:$B,MATCH("GG1024|I",'CoQ Register'!$S:$S,0)),"— initial certificate not on the register —")</f>
        <v/>
      </c>
      <c r="V116" s="251" t="n">
        <v>15.51</v>
      </c>
      <c r="W116" s="243" t="inlineStr">
        <is>
          <t>220-9-К/26</t>
        </is>
      </c>
      <c r="X116" s="243" t="inlineStr">
        <is>
          <t>15.00 ± 1.23 (II)</t>
        </is>
      </c>
      <c r="Y116" s="243" t="inlineStr">
        <is>
          <t>13.77 – 16.22 %</t>
        </is>
      </c>
      <c r="Z116" s="243" t="inlineStr">
        <is>
          <t>GG_THC15 : CBD1</t>
        </is>
      </c>
      <c r="AA116" s="243" t="inlineStr">
        <is>
          <t>QCSP_001_GG-II_v.01</t>
        </is>
      </c>
      <c r="AB116" s="252" t="inlineStr">
        <is>
          <t>for review — replaces the issued QCSP_001_GG-II_v.01 (was GG_THC16 : CBD1, 15.00 – 17.00 %); now GG_THC15 : CBD1 13.77 – 16.22 %</t>
        </is>
      </c>
      <c r="AC116" s="246" t="inlineStr"/>
    </row>
    <row r="117">
      <c r="A117" s="243">
        <f>IF(OR(C117="yes",C117="allocated",C117="ruled"),COUNT(A$1:A116)+1,"")</f>
        <v/>
      </c>
      <c r="B117" s="244">
        <f>IF(A117&lt;&gt;"","CoQ-PP_26-"&amp;TEXT(A117,"000"),"— at issue —")</f>
        <v/>
      </c>
      <c r="C117" s="249" t="inlineStr">
        <is>
          <t>yes</t>
        </is>
      </c>
      <c r="D117" s="245">
        <f>IF(OR(A117="",C117="allocated",C117="ruled"),"",MAX(E117,IF(ISNUMBER(I117),I117,0),IFERROR(IF(ISNUMBER(INDEX('iCoA Register'!$F:$F,MATCH(S117,'iCoA Register'!$AA:$AA,0))),INDEX('iCoA Register'!$F:$F,MATCH(S117,'iCoA Register'!$AA:$AA,0)),0),0)))</f>
        <v/>
      </c>
      <c r="E117" s="245">
        <f>IF(ISNUMBER(F117),MAX(DATE(2026,6,6),F117+7),"— awaiting the retest certificates —")</f>
        <v/>
      </c>
      <c r="F117" s="245" t="n">
        <v>46276</v>
      </c>
      <c r="G117" s="243" t="inlineStr">
        <is>
          <t>220-10-M-26</t>
        </is>
      </c>
      <c r="H117" s="243">
        <f>IFERROR(INDEX('iCoA Register'!$B:$B,MATCH("P050302|R",'iCoA Register'!$AA:$AA,0)),"—")</f>
        <v/>
      </c>
      <c r="I117" s="245">
        <f>IFERROR(INDEX('iCoA Register'!$D:$D,MATCH("P050302|R",'iCoA Register'!$AA:$AA,0)),"")</f>
        <v/>
      </c>
      <c r="J117" s="243" t="inlineStr">
        <is>
          <t>legacy</t>
        </is>
      </c>
      <c r="K117" s="243" t="inlineStr">
        <is>
          <t>retest — Tranche 2 (sampled 12–14.08.2026)</t>
        </is>
      </c>
      <c r="L117" s="244" t="inlineStr">
        <is>
          <t>GP072501/2</t>
        </is>
      </c>
      <c r="M117" s="243" t="inlineStr">
        <is>
          <t>P050302</t>
        </is>
      </c>
      <c r="N117" s="243" t="inlineStr">
        <is>
          <t>Grape Pie</t>
        </is>
      </c>
      <c r="O117" s="243" t="inlineStr">
        <is>
          <t>220-10-K-26, (25.08.2026) [FHM-K]</t>
        </is>
      </c>
      <c r="P117" s="248" t="inlineStr">
        <is>
          <t>—</t>
        </is>
      </c>
      <c r="Q117" s="243" t="inlineStr">
        <is>
          <t>—</t>
        </is>
      </c>
      <c r="R117" s="243" t="inlineStr">
        <is>
          <t>CoQ reissue (assigned on issue)</t>
        </is>
      </c>
      <c r="S117" s="243" t="inlineStr">
        <is>
          <t>P050302|R</t>
        </is>
      </c>
      <c r="T117" s="250" t="inlineStr">
        <is>
          <t>registered — retest, Tranche 2 (sampled 12–14.08.2026), sampled 12.08.2026; issued 18.09.2026, 7 days after 220-10-M-26 of 11.09.2026; cites iCoA-PP_26-132 of 17.08.2026</t>
        </is>
      </c>
      <c r="U117" s="243">
        <f>IFERROR(INDEX('CoQ Register'!$B:$B,MATCH("P050302|I",'CoQ Register'!$S:$S,0)),"— initial certificate not on the register —")</f>
        <v/>
      </c>
      <c r="V117" s="251" t="n">
        <v>18.29</v>
      </c>
      <c r="W117" s="243" t="inlineStr">
        <is>
          <t>220-10-К/26</t>
        </is>
      </c>
      <c r="X117" s="243" t="inlineStr">
        <is>
          <t>20.00 ± 2.00 (III)</t>
        </is>
      </c>
      <c r="Y117" s="243" t="inlineStr">
        <is>
          <t>18.00 – 21.99 %</t>
        </is>
      </c>
      <c r="Z117" s="243" t="inlineStr">
        <is>
          <t>GP_THC20 : CBD1</t>
        </is>
      </c>
      <c r="AA117" s="243" t="inlineStr">
        <is>
          <t>QCSP_001_GP-III_v.01</t>
        </is>
      </c>
      <c r="AB117" s="252" t="inlineStr">
        <is>
          <t>for review — replaces the issued QCSP_001_GP-III_v.01 (was GP_THC24 : CBD1, 22.61 – 25.39 %); now GP_THC20 : CBD1 18.00 – 21.99 %</t>
        </is>
      </c>
      <c r="AC117" s="246" t="inlineStr"/>
    </row>
    <row r="118">
      <c r="A118" s="243">
        <f>IF(OR(C118="yes",C118="allocated",C118="ruled"),COUNT(A$1:A117)+1,"")</f>
        <v/>
      </c>
      <c r="B118" s="244">
        <f>IF(A118&lt;&gt;"","CoQ-PP_26-"&amp;TEXT(A118,"000"),"— at issue —")</f>
        <v/>
      </c>
      <c r="C118" s="249" t="inlineStr">
        <is>
          <t>yes</t>
        </is>
      </c>
      <c r="D118" s="245">
        <f>IF(OR(A118="",C118="allocated",C118="ruled"),"",MAX(E118,IF(ISNUMBER(I118),I118,0),IFERROR(IF(ISNUMBER(INDEX('iCoA Register'!$F:$F,MATCH(S118,'iCoA Register'!$AA:$AA,0))),INDEX('iCoA Register'!$F:$F,MATCH(S118,'iCoA Register'!$AA:$AA,0)),0),0)))</f>
        <v/>
      </c>
      <c r="E118" s="245">
        <f>IF(ISNUMBER(F118),MAX(DATE(2026,6,6),F118+7),"— awaiting the retest certificates —")</f>
        <v/>
      </c>
      <c r="F118" s="245" t="n">
        <v>46276</v>
      </c>
      <c r="G118" s="243" t="inlineStr">
        <is>
          <t>220-11-M-26</t>
        </is>
      </c>
      <c r="H118" s="243">
        <f>IFERROR(INDEX('iCoA Register'!$B:$B,MATCH("P050072|R4",'iCoA Register'!$AA:$AA,0)),"—")</f>
        <v/>
      </c>
      <c r="I118" s="245">
        <f>IFERROR(INDEX('iCoA Register'!$D:$D,MATCH("P050072|R4",'iCoA Register'!$AA:$AA,0)),"")</f>
        <v/>
      </c>
      <c r="J118" s="243" t="inlineStr">
        <is>
          <t>legacy</t>
        </is>
      </c>
      <c r="K118" s="243" t="inlineStr">
        <is>
          <t>retest — Tranche 2 (sampled 12–14.08.2026)</t>
        </is>
      </c>
      <c r="L118" s="244" t="inlineStr">
        <is>
          <t>GP0824_03</t>
        </is>
      </c>
      <c r="M118" s="243" t="inlineStr">
        <is>
          <t>P050072</t>
        </is>
      </c>
      <c r="N118" s="243" t="inlineStr">
        <is>
          <t>Grape Pie</t>
        </is>
      </c>
      <c r="O118" s="243" t="inlineStr">
        <is>
          <t>220-11-K-26, (25.08.2026) [FHM-K]</t>
        </is>
      </c>
      <c r="P118" s="248" t="inlineStr">
        <is>
          <t>—</t>
        </is>
      </c>
      <c r="Q118" s="243" t="inlineStr">
        <is>
          <t>—</t>
        </is>
      </c>
      <c r="R118" s="243" t="inlineStr">
        <is>
          <t>CoQ-PP-2026-0036</t>
        </is>
      </c>
      <c r="S118" s="243" t="inlineStr">
        <is>
          <t>P050072|R4</t>
        </is>
      </c>
      <c r="T118" s="250" t="inlineStr">
        <is>
          <t>registered — retest, Tranche 2 (sampled 12–14.08.2026), sampled 12.08.2026; issued 18.09.2026, 7 days after 220-11-M-26 of 11.09.2026; cites the campaign iCoA of 17.08.2026</t>
        </is>
      </c>
      <c r="U118" s="243">
        <f>IFERROR(INDEX('CoQ Register'!$B:$B,MATCH("P050072|I",'CoQ Register'!$S:$S,0)),"— initial certificate not on the register —")</f>
        <v/>
      </c>
      <c r="V118" s="251" t="n">
        <v>28.3</v>
      </c>
      <c r="W118" s="243" t="inlineStr">
        <is>
          <t>220-11-К/26</t>
        </is>
      </c>
      <c r="X118" s="243" t="inlineStr">
        <is>
          <t>28.00 ± 2.00 (I)</t>
        </is>
      </c>
      <c r="Y118" s="243" t="inlineStr">
        <is>
          <t>26.00 – 29.99 %</t>
        </is>
      </c>
      <c r="Z118" s="243" t="inlineStr">
        <is>
          <t>GP_THC28 : CBD1</t>
        </is>
      </c>
      <c r="AA118" s="243" t="inlineStr">
        <is>
          <t>QCSP_001_GP-I_v.01</t>
        </is>
      </c>
      <c r="AB118" s="252" t="inlineStr">
        <is>
          <t>for review — replaces the issued QCSP_001_GP-I_v.01 (was GP_THC28 : CBD1, 26.61 – 29.39 %); now GP_THC28 : CBD1 26.00 – 29.99 %</t>
        </is>
      </c>
      <c r="AC118" s="246" t="inlineStr"/>
    </row>
    <row r="119">
      <c r="A119" s="243">
        <f>IF(OR(C119="yes",C119="allocated",C119="ruled"),COUNT(A$1:A118)+1,"")</f>
        <v/>
      </c>
      <c r="B119" s="244">
        <f>IF(A119&lt;&gt;"","CoQ-PP_26-"&amp;TEXT(A119,"000"),"— at issue —")</f>
        <v/>
      </c>
      <c r="C119" s="249" t="inlineStr">
        <is>
          <t>yes</t>
        </is>
      </c>
      <c r="D119" s="245">
        <f>IF(OR(A119="",C119="allocated",C119="ruled"),"",MAX(E119,IF(ISNUMBER(I119),I119,0),IFERROR(IF(ISNUMBER(INDEX('iCoA Register'!$F:$F,MATCH(S119,'iCoA Register'!$AA:$AA,0))),INDEX('iCoA Register'!$F:$F,MATCH(S119,'iCoA Register'!$AA:$AA,0)),0),0)))</f>
        <v/>
      </c>
      <c r="E119" s="245">
        <f>IF(ISNUMBER(F119),MAX(DATE(2026,6,6),F119+7),"— awaiting the retest certificates —")</f>
        <v/>
      </c>
      <c r="F119" s="245" t="n">
        <v>46276</v>
      </c>
      <c r="G119" s="243" t="inlineStr">
        <is>
          <t>220-12-M-26</t>
        </is>
      </c>
      <c r="H119" s="243">
        <f>IFERROR(INDEX('iCoA Register'!$B:$B,MATCH("P050312|R",'iCoA Register'!$AA:$AA,0)),"—")</f>
        <v/>
      </c>
      <c r="I119" s="245">
        <f>IFERROR(INDEX('iCoA Register'!$D:$D,MATCH("P050312|R",'iCoA Register'!$AA:$AA,0)),"")</f>
        <v/>
      </c>
      <c r="J119" s="243" t="inlineStr">
        <is>
          <t>legacy</t>
        </is>
      </c>
      <c r="K119" s="243" t="inlineStr">
        <is>
          <t>retest — Tranche 2 (sampled 12–14.08.2026)</t>
        </is>
      </c>
      <c r="L119" s="244" t="inlineStr">
        <is>
          <t>GP082501/1</t>
        </is>
      </c>
      <c r="M119" s="243" t="inlineStr">
        <is>
          <t>P050312</t>
        </is>
      </c>
      <c r="N119" s="243" t="inlineStr">
        <is>
          <t>Grape Pie</t>
        </is>
      </c>
      <c r="O119" s="243" t="inlineStr">
        <is>
          <t>220-12-K-26, (25.08.2026) [FHM-K]</t>
        </is>
      </c>
      <c r="P119" s="248" t="inlineStr">
        <is>
          <t>—</t>
        </is>
      </c>
      <c r="Q119" s="243" t="inlineStr">
        <is>
          <t>—</t>
        </is>
      </c>
      <c r="R119" s="243" t="inlineStr">
        <is>
          <t>CoQ reissue (assigned on issue)</t>
        </is>
      </c>
      <c r="S119" s="243" t="inlineStr">
        <is>
          <t>P050312|R</t>
        </is>
      </c>
      <c r="T119" s="250" t="inlineStr">
        <is>
          <t>registered — retest, Tranche 2 (sampled 12–14.08.2026), sampled 13.08.2026; issued 18.09.2026, 7 days after 220-12-M-26 of 11.09.2026; cites iCoA-PP_26-134 of 17.08.2026</t>
        </is>
      </c>
      <c r="U119" s="243">
        <f>IFERROR(INDEX('CoQ Register'!$B:$B,MATCH("P050312|I",'CoQ Register'!$S:$S,0)),"— initial certificate not on the register —")</f>
        <v/>
      </c>
      <c r="V119" s="251" t="n">
        <v>25.13</v>
      </c>
      <c r="W119" s="243" t="inlineStr">
        <is>
          <t>220-12-К/26</t>
        </is>
      </c>
      <c r="X119" s="243" t="inlineStr">
        <is>
          <t>24.00 ± 2.00 (II)</t>
        </is>
      </c>
      <c r="Y119" s="243" t="inlineStr">
        <is>
          <t>22.00 – 25.99 %</t>
        </is>
      </c>
      <c r="Z119" s="243" t="inlineStr">
        <is>
          <t>GP_THC24 : CBD1</t>
        </is>
      </c>
      <c r="AA119" s="243" t="inlineStr">
        <is>
          <t>QCSP_001_GP-II_v.01</t>
        </is>
      </c>
      <c r="AB119" s="252" t="inlineStr">
        <is>
          <t>for review — replaces the issued QCSP_001_GP-II_v.01 (was GP_THC26 : CBD1, 25.40 – 26.60 %); now GP_THC24 : CBD1 22.00 – 25.99 %</t>
        </is>
      </c>
      <c r="AC119" s="246" t="inlineStr"/>
    </row>
    <row r="120">
      <c r="A120" s="243">
        <f>IF(OR(C120="yes",C120="allocated",C120="ruled"),COUNT(A$1:A119)+1,"")</f>
        <v/>
      </c>
      <c r="B120" s="244">
        <f>IF(A120&lt;&gt;"","CoQ-PP_26-"&amp;TEXT(A120,"000"),"— at issue —")</f>
        <v/>
      </c>
      <c r="C120" s="249" t="inlineStr">
        <is>
          <t>yes</t>
        </is>
      </c>
      <c r="D120" s="245">
        <f>IF(OR(A120="",C120="allocated",C120="ruled"),"",MAX(E120,IF(ISNUMBER(I120),I120,0),IFERROR(IF(ISNUMBER(INDEX('iCoA Register'!$F:$F,MATCH(S120,'iCoA Register'!$AA:$AA,0))),INDEX('iCoA Register'!$F:$F,MATCH(S120,'iCoA Register'!$AA:$AA,0)),0),0)))</f>
        <v/>
      </c>
      <c r="E120" s="245">
        <f>IF(ISNUMBER(F120),MAX(DATE(2026,6,6),F120+7),"— awaiting the retest certificates —")</f>
        <v/>
      </c>
      <c r="F120" s="245" t="n">
        <v>46276</v>
      </c>
      <c r="G120" s="243" t="inlineStr">
        <is>
          <t>220-13-M-26</t>
        </is>
      </c>
      <c r="H120" s="243">
        <f>IFERROR(INDEX('iCoA Register'!$B:$B,MATCH("P060092|R",'iCoA Register'!$AA:$AA,0)),"—")</f>
        <v/>
      </c>
      <c r="I120" s="245">
        <f>IFERROR(INDEX('iCoA Register'!$D:$D,MATCH("P060092|R",'iCoA Register'!$AA:$AA,0)),"")</f>
        <v/>
      </c>
      <c r="J120" s="243" t="inlineStr">
        <is>
          <t>legacy</t>
        </is>
      </c>
      <c r="K120" s="243" t="inlineStr">
        <is>
          <t>retest — Tranche 2 (sampled 12–14.08.2026)</t>
        </is>
      </c>
      <c r="L120" s="244" t="inlineStr">
        <is>
          <t>GP092501</t>
        </is>
      </c>
      <c r="M120" s="243" t="inlineStr">
        <is>
          <t>P060092</t>
        </is>
      </c>
      <c r="N120" s="243" t="inlineStr">
        <is>
          <t>Grape Pie</t>
        </is>
      </c>
      <c r="O120" s="243" t="inlineStr">
        <is>
          <t>220-13-K-26, (25.08.2026) [FHM-K]</t>
        </is>
      </c>
      <c r="P120" s="248" t="inlineStr">
        <is>
          <t>—</t>
        </is>
      </c>
      <c r="Q120" s="243" t="inlineStr">
        <is>
          <t>—</t>
        </is>
      </c>
      <c r="R120" s="243" t="inlineStr">
        <is>
          <t>CoQ reissue (assigned on issue)</t>
        </is>
      </c>
      <c r="S120" s="243" t="inlineStr">
        <is>
          <t>P060092|R</t>
        </is>
      </c>
      <c r="T120" s="250" t="inlineStr">
        <is>
          <t>registered — retest, Tranche 2 (sampled 12–14.08.2026), sampled 13.08.2026; issued 18.09.2026, 7 days after 220-13-M-26 of 11.09.2026; cites iCoA-PP_26-135 of 17.08.2026</t>
        </is>
      </c>
      <c r="U120" s="243">
        <f>IFERROR(INDEX('CoQ Register'!$B:$B,MATCH("P060092|I",'CoQ Register'!$S:$S,0)),"— initial certificate not on the register —")</f>
        <v/>
      </c>
      <c r="V120" s="251" t="n">
        <v>25.24</v>
      </c>
      <c r="W120" s="243" t="inlineStr">
        <is>
          <t>220-13-К/26</t>
        </is>
      </c>
      <c r="X120" s="243" t="inlineStr">
        <is>
          <t>24.00 ± 2.00 (II)</t>
        </is>
      </c>
      <c r="Y120" s="243" t="inlineStr">
        <is>
          <t>22.00 – 25.99 %</t>
        </is>
      </c>
      <c r="Z120" s="243" t="inlineStr">
        <is>
          <t>GP_THC24 : CBD1</t>
        </is>
      </c>
      <c r="AA120" s="243" t="inlineStr">
        <is>
          <t>QCSP_001_GP-II_v.01</t>
        </is>
      </c>
      <c r="AB120" s="252" t="inlineStr">
        <is>
          <t>for review — replaces the issued QCSP_001_GP-II_v.01 (was GP_THC26 : CBD1, 25.40 – 26.60 %); now GP_THC24 : CBD1 22.00 – 25.99 %</t>
        </is>
      </c>
      <c r="AC120" s="246" t="inlineStr"/>
    </row>
    <row r="121">
      <c r="A121" s="243">
        <f>IF(OR(C121="yes",C121="allocated",C121="ruled"),COUNT(A$1:A120)+1,"")</f>
        <v/>
      </c>
      <c r="B121" s="244">
        <f>IF(A121&lt;&gt;"","CoQ-PP_26-"&amp;TEXT(A121,"000"),"— at issue —")</f>
        <v/>
      </c>
      <c r="C121" s="249" t="inlineStr">
        <is>
          <t>yes</t>
        </is>
      </c>
      <c r="D121" s="245">
        <f>IF(OR(A121="",C121="allocated",C121="ruled"),"",MAX(E121,IF(ISNUMBER(I121),I121,0),IFERROR(IF(ISNUMBER(INDEX('iCoA Register'!$F:$F,MATCH(S121,'iCoA Register'!$AA:$AA,0))),INDEX('iCoA Register'!$F:$F,MATCH(S121,'iCoA Register'!$AA:$AA,0)),0),0)))</f>
        <v/>
      </c>
      <c r="E121" s="245">
        <f>IF(ISNUMBER(F121),MAX(DATE(2026,6,6),F121+7),"— awaiting the retest certificates —")</f>
        <v/>
      </c>
      <c r="F121" s="245" t="n">
        <v>46276</v>
      </c>
      <c r="G121" s="243" t="inlineStr">
        <is>
          <t>220-14-M-26</t>
        </is>
      </c>
      <c r="H121" s="243">
        <f>IFERROR(INDEX('iCoA Register'!$B:$B,MATCH("P060182|R2",'iCoA Register'!$AA:$AA,0)),"—")</f>
        <v/>
      </c>
      <c r="I121" s="245">
        <f>IFERROR(INDEX('iCoA Register'!$D:$D,MATCH("P060182|R2",'iCoA Register'!$AA:$AA,0)),"")</f>
        <v/>
      </c>
      <c r="J121" s="243" t="inlineStr">
        <is>
          <t>legacy</t>
        </is>
      </c>
      <c r="K121" s="243" t="inlineStr">
        <is>
          <t>retest — Tranche 2 (sampled 12–14.08.2026)</t>
        </is>
      </c>
      <c r="L121" s="244" t="inlineStr">
        <is>
          <t>GRC102501</t>
        </is>
      </c>
      <c r="M121" s="243" t="inlineStr">
        <is>
          <t>P060182</t>
        </is>
      </c>
      <c r="N121" s="243" t="inlineStr">
        <is>
          <t>Grapes And Cream</t>
        </is>
      </c>
      <c r="O121" s="243" t="inlineStr">
        <is>
          <t>220-14-K-26, (25.08.2026) [FHM-K]</t>
        </is>
      </c>
      <c r="P121" s="248" t="inlineStr">
        <is>
          <t>—</t>
        </is>
      </c>
      <c r="Q121" s="243" t="inlineStr">
        <is>
          <t>—</t>
        </is>
      </c>
      <c r="R121" s="243" t="inlineStr">
        <is>
          <t>CoQ reissue (assigned on issue)</t>
        </is>
      </c>
      <c r="S121" s="243" t="inlineStr">
        <is>
          <t>P060182|R2</t>
        </is>
      </c>
      <c r="T121" s="250" t="inlineStr">
        <is>
          <t>registered — retest, Tranche 2 (sampled 12–14.08.2026), sampled 13.08.2026; issued 18.09.2026, 7 days after 220-14-M-26 of 11.09.2026; cites the campaign iCoA of 17.08.2026</t>
        </is>
      </c>
      <c r="U121" s="243">
        <f>IFERROR(INDEX('CoQ Register'!$B:$B,MATCH("P060182|I",'CoQ Register'!$S:$S,0)),"— initial certificate not on the register —")</f>
        <v/>
      </c>
      <c r="V121" s="251" t="n">
        <v>9.800000000000001</v>
      </c>
      <c r="W121" s="243" t="inlineStr">
        <is>
          <t>220-14-К/26</t>
        </is>
      </c>
      <c r="X121" s="243" t="inlineStr">
        <is>
          <t>10.00 ± 1.00 (II)</t>
        </is>
      </c>
      <c r="Y121" s="243" t="inlineStr">
        <is>
          <t>9.00 – 10.99 %</t>
        </is>
      </c>
      <c r="Z121" s="243" t="inlineStr">
        <is>
          <t>GRC_THC10 : CBD1</t>
        </is>
      </c>
      <c r="AA121" s="243" t="inlineStr">
        <is>
          <t>QCSP_001_GRC-II_v.01</t>
        </is>
      </c>
      <c r="AB121" s="246" t="inlineStr">
        <is>
          <t>for review — new</t>
        </is>
      </c>
      <c r="AC121" s="246" t="inlineStr"/>
    </row>
    <row r="122">
      <c r="A122" s="243">
        <f>IF(OR(C122="yes",C122="allocated",C122="ruled"),COUNT(A$1:A121)+1,"")</f>
        <v/>
      </c>
      <c r="B122" s="244">
        <f>IF(A122&lt;&gt;"","CoQ-PP_26-"&amp;TEXT(A122,"000"),"— at issue —")</f>
        <v/>
      </c>
      <c r="C122" s="249" t="inlineStr">
        <is>
          <t>yes</t>
        </is>
      </c>
      <c r="D122" s="245">
        <f>IF(OR(A122="",C122="allocated",C122="ruled"),"",MAX(E122,IF(ISNUMBER(I122),I122,0),IFERROR(IF(ISNUMBER(INDEX('iCoA Register'!$F:$F,MATCH(S122,'iCoA Register'!$AA:$AA,0))),INDEX('iCoA Register'!$F:$F,MATCH(S122,'iCoA Register'!$AA:$AA,0)),0),0)))</f>
        <v/>
      </c>
      <c r="E122" s="245">
        <f>IF(ISNUMBER(F122),MAX(DATE(2026,6,6),F122+7),"— awaiting the retest certificates —")</f>
        <v/>
      </c>
      <c r="F122" s="245" t="n">
        <v>46276</v>
      </c>
      <c r="G122" s="243" t="inlineStr">
        <is>
          <t>220-15-M-26</t>
        </is>
      </c>
      <c r="H122" s="243">
        <f>IFERROR(INDEX('iCoA Register'!$B:$B,MATCH("P050182|R",'iCoA Register'!$AA:$AA,0)),"—")</f>
        <v/>
      </c>
      <c r="I122" s="245">
        <f>IFERROR(INDEX('iCoA Register'!$D:$D,MATCH("P050182|R",'iCoA Register'!$AA:$AA,0)),"")</f>
        <v/>
      </c>
      <c r="J122" s="243" t="inlineStr">
        <is>
          <t>legacy</t>
        </is>
      </c>
      <c r="K122" s="243" t="inlineStr">
        <is>
          <t>retest — Tranche 2 (sampled 12–14.08.2026)</t>
        </is>
      </c>
      <c r="L122" s="244" t="inlineStr">
        <is>
          <t>HPA052501</t>
        </is>
      </c>
      <c r="M122" s="243" t="inlineStr">
        <is>
          <t>P050182</t>
        </is>
      </c>
      <c r="N122" s="243" t="inlineStr">
        <is>
          <t>High Pro Amnesia</t>
        </is>
      </c>
      <c r="O122" s="243" t="inlineStr">
        <is>
          <t>220-15-K-26, (25.08.2026) [FHM-K]</t>
        </is>
      </c>
      <c r="P122" s="248" t="inlineStr">
        <is>
          <t>—</t>
        </is>
      </c>
      <c r="Q122" s="243" t="inlineStr">
        <is>
          <t>—</t>
        </is>
      </c>
      <c r="R122" s="243" t="inlineStr">
        <is>
          <t>CoQ reissue (assigned on issue)</t>
        </is>
      </c>
      <c r="S122" s="243" t="inlineStr">
        <is>
          <t>P050182|R</t>
        </is>
      </c>
      <c r="T122" s="250" t="inlineStr">
        <is>
          <t>registered — retest, Tranche 2 (sampled 12–14.08.2026), sampled 13.08.2026; issued 18.09.2026, 7 days after 220-15-M-26 of 11.09.2026; cites iCoA-PP_26-137 of 17.08.2026</t>
        </is>
      </c>
      <c r="U122" s="243">
        <f>IFERROR(INDEX('CoQ Register'!$B:$B,MATCH("P050182|I",'CoQ Register'!$S:$S,0)),"— initial certificate not on the register —")</f>
        <v/>
      </c>
      <c r="V122" s="251" t="n">
        <v>19.69</v>
      </c>
      <c r="W122" s="243" t="inlineStr">
        <is>
          <t>220-15-К/26</t>
        </is>
      </c>
      <c r="X122" s="243" t="inlineStr">
        <is>
          <t>18.00 ± 1.80 (II)</t>
        </is>
      </c>
      <c r="Y122" s="243" t="inlineStr">
        <is>
          <t>16.20 – 19.79 %</t>
        </is>
      </c>
      <c r="Z122" s="243" t="inlineStr">
        <is>
          <t>HPA_THC18 : CBD1</t>
        </is>
      </c>
      <c r="AA122" s="243" t="inlineStr">
        <is>
          <t>QCSP_001_HPA-II_v.01</t>
        </is>
      </c>
      <c r="AB122" s="252" t="inlineStr">
        <is>
          <t>for review — replaces the issued QCSP_001_HPA-II_v.01 (was HPA_THC20 : CBD1, 19.01 – 20.99 %); now HPA_THC18 : CBD1 16.20 – 19.79 %</t>
        </is>
      </c>
      <c r="AC122" s="246" t="inlineStr"/>
    </row>
    <row r="123">
      <c r="A123" s="243">
        <f>IF(OR(C123="yes",C123="allocated",C123="ruled"),COUNT(A$1:A122)+1,"")</f>
        <v/>
      </c>
      <c r="B123" s="244">
        <f>IF(A123&lt;&gt;"","CoQ-PP_26-"&amp;TEXT(A123,"000"),"— at issue —")</f>
        <v/>
      </c>
      <c r="C123" s="249" t="inlineStr">
        <is>
          <t>yes</t>
        </is>
      </c>
      <c r="D123" s="245">
        <f>IF(OR(A123="",C123="allocated",C123="ruled"),"",MAX(E123,IF(ISNUMBER(I123),I123,0),IFERROR(IF(ISNUMBER(INDEX('iCoA Register'!$F:$F,MATCH(S123,'iCoA Register'!$AA:$AA,0))),INDEX('iCoA Register'!$F:$F,MATCH(S123,'iCoA Register'!$AA:$AA,0)),0),0)))</f>
        <v/>
      </c>
      <c r="E123" s="245">
        <f>IF(ISNUMBER(F123),MAX(DATE(2026,6,6),F123+7),"— awaiting the retest certificates —")</f>
        <v/>
      </c>
      <c r="F123" s="245" t="n">
        <v>46276</v>
      </c>
      <c r="G123" s="243" t="inlineStr">
        <is>
          <t>220-16-M-26</t>
        </is>
      </c>
      <c r="H123" s="243">
        <f>IFERROR(INDEX('iCoA Register'!$B:$B,MATCH("P060362|R",'iCoA Register'!$AA:$AA,0)),"—")</f>
        <v/>
      </c>
      <c r="I123" s="245">
        <f>IFERROR(INDEX('iCoA Register'!$D:$D,MATCH("P060362|R",'iCoA Register'!$AA:$AA,0)),"")</f>
        <v/>
      </c>
      <c r="J123" s="243" t="inlineStr">
        <is>
          <t>post-SOP</t>
        </is>
      </c>
      <c r="K123" s="243" t="inlineStr">
        <is>
          <t>retest — Tranche 2 (sampled 12–14.08.2026)</t>
        </is>
      </c>
      <c r="L123" s="244" t="inlineStr">
        <is>
          <t>JD012603</t>
        </is>
      </c>
      <c r="M123" s="243" t="inlineStr">
        <is>
          <t>P060362</t>
        </is>
      </c>
      <c r="N123" s="243" t="inlineStr">
        <is>
          <t>Jelly Donuts</t>
        </is>
      </c>
      <c r="O123" s="243" t="inlineStr">
        <is>
          <t>220-16-K-26, (25.08.2026) [FHM-K]</t>
        </is>
      </c>
      <c r="P123" s="248" t="inlineStr">
        <is>
          <t>—</t>
        </is>
      </c>
      <c r="Q123" s="243" t="inlineStr">
        <is>
          <t>—</t>
        </is>
      </c>
      <c r="R123" s="243" t="inlineStr">
        <is>
          <t>CoQ reissue (assigned on issue)</t>
        </is>
      </c>
      <c r="S123" s="243" t="inlineStr">
        <is>
          <t>P060362|R</t>
        </is>
      </c>
      <c r="T123" s="250" t="inlineStr">
        <is>
          <t>registered — retest, Tranche 2 (sampled 12–14.08.2026), sampled 13.08.2026; issued 18.09.2026, 7 days after 220-16-M-26 of 11.09.2026; cites iCoA-PP_26-140 of 17.08.2026</t>
        </is>
      </c>
      <c r="U123" s="243">
        <f>IFERROR(INDEX('CoQ Register'!$B:$B,MATCH("P060362|I",'CoQ Register'!$S:$S,0)),"— initial certificate not on the register —")</f>
        <v/>
      </c>
      <c r="V123" s="251" t="n">
        <v>21.01</v>
      </c>
      <c r="W123" s="243" t="inlineStr">
        <is>
          <t>220-16-К/26</t>
        </is>
      </c>
      <c r="X123" s="243" t="inlineStr">
        <is>
          <t>22.00 ± 2.20 (I)</t>
        </is>
      </c>
      <c r="Y123" s="243" t="inlineStr">
        <is>
          <t>19.80 – 24.19 %</t>
        </is>
      </c>
      <c r="Z123" s="243" t="inlineStr">
        <is>
          <t>JD_THC22 : CBD1</t>
        </is>
      </c>
      <c r="AA123" s="243" t="inlineStr">
        <is>
          <t>QCSP_001_JD-I_v.01</t>
        </is>
      </c>
      <c r="AB123" s="252" t="inlineStr">
        <is>
          <t>for review — replaces the issued QCSP_001_JD-I_v.01 (was JD_THC20 : CBD1, 18.00 – 22.00 %); now JD_THC22 : CBD1 19.80 – 24.19 %</t>
        </is>
      </c>
      <c r="AC123" s="246" t="inlineStr"/>
    </row>
    <row r="124">
      <c r="A124" s="243">
        <f>IF(OR(C124="yes",C124="allocated",C124="ruled"),COUNT(A$1:A123)+1,"")</f>
        <v/>
      </c>
      <c r="B124" s="244">
        <f>IF(A124&lt;&gt;"","CoQ-PP_26-"&amp;TEXT(A124,"000"),"— at issue —")</f>
        <v/>
      </c>
      <c r="C124" s="249" t="inlineStr">
        <is>
          <t>yes</t>
        </is>
      </c>
      <c r="D124" s="245">
        <f>IF(OR(A124="",C124="allocated",C124="ruled"),"",MAX(E124,IF(ISNUMBER(I124),I124,0),IFERROR(IF(ISNUMBER(INDEX('iCoA Register'!$F:$F,MATCH(S124,'iCoA Register'!$AA:$AA,0))),INDEX('iCoA Register'!$F:$F,MATCH(S124,'iCoA Register'!$AA:$AA,0)),0),0)))</f>
        <v/>
      </c>
      <c r="E124" s="245">
        <f>IF(ISNUMBER(F124),MAX(DATE(2026,6,6),F124+7),"— awaiting the retest certificates —")</f>
        <v/>
      </c>
      <c r="F124" s="245" t="n">
        <v>46276</v>
      </c>
      <c r="G124" s="243" t="inlineStr">
        <is>
          <t>220-17-M-26</t>
        </is>
      </c>
      <c r="H124" s="243">
        <f>IFERROR(INDEX('iCoA Register'!$B:$B,MATCH("P060412|R",'iCoA Register'!$AA:$AA,0)),"—")</f>
        <v/>
      </c>
      <c r="I124" s="245">
        <f>IFERROR(INDEX('iCoA Register'!$D:$D,MATCH("P060412|R",'iCoA Register'!$AA:$AA,0)),"")</f>
        <v/>
      </c>
      <c r="J124" s="243" t="inlineStr">
        <is>
          <t>post-SOP</t>
        </is>
      </c>
      <c r="K124" s="243" t="inlineStr">
        <is>
          <t>retest — Tranche 2 (sampled 12–14.08.2026)</t>
        </is>
      </c>
      <c r="L124" s="244" t="inlineStr">
        <is>
          <t>JD012603</t>
        </is>
      </c>
      <c r="M124" s="243" t="inlineStr">
        <is>
          <t>P060412</t>
        </is>
      </c>
      <c r="N124" s="243" t="inlineStr">
        <is>
          <t>Jelly Donuts</t>
        </is>
      </c>
      <c r="O124" s="243" t="inlineStr">
        <is>
          <t>220-17-K-26, (26.08.2026) [FHM-K]</t>
        </is>
      </c>
      <c r="P124" s="248" t="inlineStr">
        <is>
          <t>—</t>
        </is>
      </c>
      <c r="Q124" s="243" t="inlineStr">
        <is>
          <t>—</t>
        </is>
      </c>
      <c r="R124" s="243" t="inlineStr">
        <is>
          <t>CoQ reissue (assigned on issue)</t>
        </is>
      </c>
      <c r="S124" s="243" t="inlineStr">
        <is>
          <t>P060412|R</t>
        </is>
      </c>
      <c r="T124" s="250" t="inlineStr">
        <is>
          <t>registered — retest, Tranche 2 (sampled 12–14.08.2026), sampled 13.08.2026; issued 18.09.2026, 7 days after 220-17-M-26 of 11.09.2026; cites iCoA-PP_26-138 of 17.08.2026</t>
        </is>
      </c>
      <c r="U124" s="243">
        <f>IFERROR(INDEX('CoQ Register'!$B:$B,MATCH("P060412|I",'CoQ Register'!$S:$S,0)),"— initial certificate not on the register —")</f>
        <v/>
      </c>
      <c r="V124" s="251" t="n">
        <v>14.43</v>
      </c>
      <c r="W124" s="243" t="inlineStr">
        <is>
          <t>220-17-К/26</t>
        </is>
      </c>
      <c r="X124" s="243" t="inlineStr">
        <is>
          <t>15.00 ± 1.20 (III)</t>
        </is>
      </c>
      <c r="Y124" s="243" t="inlineStr">
        <is>
          <t>13.80 – 16.19 %</t>
        </is>
      </c>
      <c r="Z124" s="243" t="inlineStr">
        <is>
          <t>JD_THC15 : CBD1</t>
        </is>
      </c>
      <c r="AA124" s="243" t="inlineStr">
        <is>
          <t>QCSP_001_JD-III_v.01</t>
        </is>
      </c>
      <c r="AB124" s="246" t="inlineStr">
        <is>
          <t>for review — new</t>
        </is>
      </c>
      <c r="AC124" s="246" t="inlineStr"/>
    </row>
    <row r="125">
      <c r="A125" s="243">
        <f>IF(OR(C125="yes",C125="allocated",C125="ruled"),COUNT(A$1:A124)+1,"")</f>
        <v/>
      </c>
      <c r="B125" s="244">
        <f>IF(A125&lt;&gt;"","CoQ-PP_26-"&amp;TEXT(A125,"000"),"— at issue —")</f>
        <v/>
      </c>
      <c r="C125" s="249" t="inlineStr">
        <is>
          <t>yes</t>
        </is>
      </c>
      <c r="D125" s="245">
        <f>IF(OR(A125="",C125="allocated",C125="ruled"),"",MAX(E125,IF(ISNUMBER(I125),I125,0),IFERROR(IF(ISNUMBER(INDEX('iCoA Register'!$F:$F,MATCH(S125,'iCoA Register'!$AA:$AA,0))),INDEX('iCoA Register'!$F:$F,MATCH(S125,'iCoA Register'!$AA:$AA,0)),0),0)))</f>
        <v/>
      </c>
      <c r="E125" s="245">
        <f>IF(ISNUMBER(F125),MAX(DATE(2026,6,6),F125+7),"— awaiting the retest certificates —")</f>
        <v/>
      </c>
      <c r="F125" s="245" t="n">
        <v>46276</v>
      </c>
      <c r="G125" s="243" t="inlineStr">
        <is>
          <t>220-18-M-26</t>
        </is>
      </c>
      <c r="H125" s="243">
        <f>IFERROR(INDEX('iCoA Register'!$B:$B,MATCH("P060422|R",'iCoA Register'!$AA:$AA,0)),"—")</f>
        <v/>
      </c>
      <c r="I125" s="245">
        <f>IFERROR(INDEX('iCoA Register'!$D:$D,MATCH("P060422|R",'iCoA Register'!$AA:$AA,0)),"")</f>
        <v/>
      </c>
      <c r="J125" s="243" t="inlineStr">
        <is>
          <t>post-SOP</t>
        </is>
      </c>
      <c r="K125" s="243" t="inlineStr">
        <is>
          <t>retest — Tranche 2 (sampled 12–14.08.2026)</t>
        </is>
      </c>
      <c r="L125" s="244" t="inlineStr">
        <is>
          <t>JD012603</t>
        </is>
      </c>
      <c r="M125" s="243" t="inlineStr">
        <is>
          <t>P060422</t>
        </is>
      </c>
      <c r="N125" s="243" t="inlineStr">
        <is>
          <t>Jelly Donuts</t>
        </is>
      </c>
      <c r="O125" s="243" t="inlineStr">
        <is>
          <t>220-18-K-26, (26.08.2026) [FHM-K]</t>
        </is>
      </c>
      <c r="P125" s="248" t="inlineStr">
        <is>
          <t>—</t>
        </is>
      </c>
      <c r="Q125" s="243" t="inlineStr">
        <is>
          <t>—</t>
        </is>
      </c>
      <c r="R125" s="243" t="inlineStr">
        <is>
          <t>CoQ reissue (assigned on issue)</t>
        </is>
      </c>
      <c r="S125" s="243" t="inlineStr">
        <is>
          <t>P060422|R</t>
        </is>
      </c>
      <c r="T125" s="250" t="inlineStr">
        <is>
          <t>registered — retest, Tranche 2 (sampled 12–14.08.2026), sampled 13.08.2026; issued 18.09.2026, 7 days after 220-18-M-26 of 11.09.2026; cites iCoA-PP_26-139 of 17.08.2026</t>
        </is>
      </c>
      <c r="U125" s="243">
        <f>IFERROR(INDEX('CoQ Register'!$B:$B,MATCH("P060422|I",'CoQ Register'!$S:$S,0)),"— initial certificate not on the register —")</f>
        <v/>
      </c>
      <c r="V125" s="251" t="n">
        <v>17.09</v>
      </c>
      <c r="W125" s="243" t="inlineStr">
        <is>
          <t>220-18-К/26</t>
        </is>
      </c>
      <c r="X125" s="243" t="inlineStr">
        <is>
          <t>18.00 ± 1.80 (II)</t>
        </is>
      </c>
      <c r="Y125" s="243" t="inlineStr">
        <is>
          <t>16.20 – 19.79 %</t>
        </is>
      </c>
      <c r="Z125" s="243" t="inlineStr">
        <is>
          <t>JD_THC18 : CBD1</t>
        </is>
      </c>
      <c r="AA125" s="243" t="inlineStr">
        <is>
          <t>QCSP_001_JD-II_v.01</t>
        </is>
      </c>
      <c r="AB125" s="252" t="inlineStr">
        <is>
          <t>for review — replaces the issued QCSP_001_JD-II_v.01 (was JD_THC16 : CBD1, 14.91 – 17.09 %); now JD_THC18 : CBD1 16.20 – 19.79 %</t>
        </is>
      </c>
      <c r="AC125" s="246" t="inlineStr"/>
    </row>
    <row r="126">
      <c r="A126" s="243">
        <f>IF(OR(C126="yes",C126="allocated",C126="ruled"),COUNT(A$1:A125)+1,"")</f>
        <v/>
      </c>
      <c r="B126" s="244">
        <f>IF(A126&lt;&gt;"","CoQ-PP_26-"&amp;TEXT(A126,"000"),"— at issue —")</f>
        <v/>
      </c>
      <c r="C126" s="249" t="inlineStr">
        <is>
          <t>yes</t>
        </is>
      </c>
      <c r="D126" s="245">
        <f>IF(OR(A126="",C126="allocated",C126="ruled"),"",MAX(E126,IF(ISNUMBER(I126),I126,0),IFERROR(IF(ISNUMBER(INDEX('iCoA Register'!$F:$F,MATCH(S126,'iCoA Register'!$AA:$AA,0))),INDEX('iCoA Register'!$F:$F,MATCH(S126,'iCoA Register'!$AA:$AA,0)),0),0)))</f>
        <v/>
      </c>
      <c r="E126" s="245">
        <f>IF(ISNUMBER(F126),MAX(DATE(2026,6,6),F126+7),"— awaiting the retest certificates —")</f>
        <v/>
      </c>
      <c r="F126" s="245" t="n">
        <v>46276</v>
      </c>
      <c r="G126" s="243" t="inlineStr">
        <is>
          <t>220-30-M-26</t>
        </is>
      </c>
      <c r="H126" s="243">
        <f>IFERROR(INDEX('iCoA Register'!$B:$B,MATCH("P060492|R",'iCoA Register'!$AA:$AA,0)),"—")</f>
        <v/>
      </c>
      <c r="I126" s="245">
        <f>IFERROR(INDEX('iCoA Register'!$D:$D,MATCH("P060492|R",'iCoA Register'!$AA:$AA,0)),"")</f>
        <v/>
      </c>
      <c r="J126" s="243" t="inlineStr">
        <is>
          <t>post-SOP</t>
        </is>
      </c>
      <c r="K126" s="243" t="inlineStr">
        <is>
          <t>retest — Tranche 2 (sampled 12–14.08.2026)</t>
        </is>
      </c>
      <c r="L126" s="244" t="inlineStr">
        <is>
          <t>JD042601</t>
        </is>
      </c>
      <c r="M126" s="243" t="inlineStr">
        <is>
          <t>P060492</t>
        </is>
      </c>
      <c r="N126" s="243" t="inlineStr">
        <is>
          <t>Jelly Donuts</t>
        </is>
      </c>
      <c r="O126" s="243" t="inlineStr">
        <is>
          <t>220-30-K-26, (26.08.2026) [FHM-K]</t>
        </is>
      </c>
      <c r="P126" s="248" t="inlineStr">
        <is>
          <t>—</t>
        </is>
      </c>
      <c r="Q126" s="243" t="inlineStr">
        <is>
          <t>—</t>
        </is>
      </c>
      <c r="R126" s="243" t="inlineStr">
        <is>
          <t>CoQ reissue (assigned on issue)</t>
        </is>
      </c>
      <c r="S126" s="243" t="inlineStr">
        <is>
          <t>P060492|R</t>
        </is>
      </c>
      <c r="T126" s="250" t="inlineStr">
        <is>
          <t>registered — retest, Tranche 2 (sampled 12–14.08.2026), sampled 14.08.2026; issued 18.09.2026, 7 days after 220-30-M-26 of 11.09.2026; cites iCoA-PP_26-148 of 17.08.2026</t>
        </is>
      </c>
      <c r="U126" s="243">
        <f>IFERROR(INDEX('CoQ Register'!$B:$B,MATCH("P060492|I",'CoQ Register'!$S:$S,0)),"— initial certificate not on the register —")</f>
        <v/>
      </c>
      <c r="V126" s="251" t="n">
        <v>14.89</v>
      </c>
      <c r="W126" s="243" t="inlineStr">
        <is>
          <t>220-30-К/26</t>
        </is>
      </c>
      <c r="X126" s="243" t="inlineStr">
        <is>
          <t>15.00 ± 1.20 (III)</t>
        </is>
      </c>
      <c r="Y126" s="243" t="inlineStr">
        <is>
          <t>13.80 – 16.19 %</t>
        </is>
      </c>
      <c r="Z126" s="243" t="inlineStr">
        <is>
          <t>JD_THC15 : CBD1</t>
        </is>
      </c>
      <c r="AA126" s="243" t="inlineStr">
        <is>
          <t>QCSP_001_JD-III_v.01</t>
        </is>
      </c>
      <c r="AB126" s="246" t="inlineStr">
        <is>
          <t>for review — new</t>
        </is>
      </c>
      <c r="AC126" s="246" t="inlineStr"/>
    </row>
    <row r="127">
      <c r="A127" s="243">
        <f>IF(OR(C127="yes",C127="allocated",C127="ruled"),COUNT(A$1:A126)+1,"")</f>
        <v/>
      </c>
      <c r="B127" s="244">
        <f>IF(A127&lt;&gt;"","CoQ-PP_26-"&amp;TEXT(A127,"000"),"— at issue —")</f>
        <v/>
      </c>
      <c r="C127" s="249" t="inlineStr">
        <is>
          <t>yes</t>
        </is>
      </c>
      <c r="D127" s="245">
        <f>IF(OR(A127="",C127="allocated",C127="ruled"),"",MAX(E127,IF(ISNUMBER(I127),I127,0),IFERROR(IF(ISNUMBER(INDEX('iCoA Register'!$F:$F,MATCH(S127,'iCoA Register'!$AA:$AA,0))),INDEX('iCoA Register'!$F:$F,MATCH(S127,'iCoA Register'!$AA:$AA,0)),0),0)))</f>
        <v/>
      </c>
      <c r="E127" s="245">
        <f>IF(ISNUMBER(F127),MAX(DATE(2026,6,6),F127+7),"— awaiting the retest certificates —")</f>
        <v/>
      </c>
      <c r="F127" s="245" t="n">
        <v>46276</v>
      </c>
      <c r="G127" s="243" t="inlineStr">
        <is>
          <t>220-19-M-26</t>
        </is>
      </c>
      <c r="H127" s="243">
        <f>IFERROR(INDEX('iCoA Register'!$B:$B,MATCH("P060172|R",'iCoA Register'!$AA:$AA,0)),"—")</f>
        <v/>
      </c>
      <c r="I127" s="245">
        <f>IFERROR(INDEX('iCoA Register'!$D:$D,MATCH("P060172|R",'iCoA Register'!$AA:$AA,0)),"")</f>
        <v/>
      </c>
      <c r="J127" s="243" t="inlineStr">
        <is>
          <t>legacy</t>
        </is>
      </c>
      <c r="K127" s="243" t="inlineStr">
        <is>
          <t>retest — Tranche 2 (sampled 12–14.08.2026)</t>
        </is>
      </c>
      <c r="L127" s="244" t="inlineStr">
        <is>
          <t>KC102501</t>
        </is>
      </c>
      <c r="M127" s="243" t="inlineStr">
        <is>
          <t>P060172</t>
        </is>
      </c>
      <c r="N127" s="243" t="inlineStr">
        <is>
          <t>Kush Crasher</t>
        </is>
      </c>
      <c r="O127" s="243" t="inlineStr">
        <is>
          <t>220-19-K-26, (26.08.2026) [FHM-K]</t>
        </is>
      </c>
      <c r="P127" s="248" t="inlineStr">
        <is>
          <t>—</t>
        </is>
      </c>
      <c r="Q127" s="243" t="inlineStr">
        <is>
          <t>—</t>
        </is>
      </c>
      <c r="R127" s="243" t="inlineStr">
        <is>
          <t>CoQ reissue (assigned on issue)</t>
        </is>
      </c>
      <c r="S127" s="243" t="inlineStr">
        <is>
          <t>P060172|R</t>
        </is>
      </c>
      <c r="T127" s="250" t="inlineStr">
        <is>
          <t>registered — retest, Tranche 2 (sampled 12–14.08.2026), sampled 13.08.2026; issued 18.09.2026, 7 days after 220-19-M-26 of 11.09.2026; cites iCoA-PP_26-141 of 17.08.2026</t>
        </is>
      </c>
      <c r="U127" s="243">
        <f>IFERROR(INDEX('CoQ Register'!$B:$B,MATCH("P060172|I",'CoQ Register'!$S:$S,0)),"— initial certificate not on the register —")</f>
        <v/>
      </c>
      <c r="V127" s="251" t="n">
        <v>17.06</v>
      </c>
      <c r="W127" s="243" t="inlineStr">
        <is>
          <t>220-19-К/26</t>
        </is>
      </c>
      <c r="X127" s="243" t="inlineStr">
        <is>
          <t>18.00 ± 1.80 (I)</t>
        </is>
      </c>
      <c r="Y127" s="243" t="inlineStr">
        <is>
          <t>16.20 – 19.79 %</t>
        </is>
      </c>
      <c r="Z127" s="243" t="inlineStr">
        <is>
          <t>KC_THC18 : CBD1</t>
        </is>
      </c>
      <c r="AA127" s="243" t="inlineStr">
        <is>
          <t>QCSP_001_KC-I_v.01</t>
        </is>
      </c>
      <c r="AB127" s="252" t="inlineStr">
        <is>
          <t>for review — replaces the issued QCSP_001_KC-I_v.01 (was KC_THC18 : CBD1, 16.20 – 19.80 %); now KC_THC18 : CBD1 16.20 – 19.79 %</t>
        </is>
      </c>
      <c r="AC127" s="246" t="inlineStr"/>
    </row>
    <row r="128">
      <c r="A128" s="243">
        <f>IF(OR(C128="yes",C128="allocated",C128="ruled"),COUNT(A$1:A127)+1,"")</f>
        <v/>
      </c>
      <c r="B128" s="244">
        <f>IF(A128&lt;&gt;"","CoQ-PP_26-"&amp;TEXT(A128,"000"),"— at issue —")</f>
        <v/>
      </c>
      <c r="C128" s="249" t="inlineStr">
        <is>
          <t>yes</t>
        </is>
      </c>
      <c r="D128" s="245">
        <f>IF(OR(A128="",C128="allocated",C128="ruled"),"",MAX(E128,IF(ISNUMBER(I128),I128,0),IFERROR(IF(ISNUMBER(INDEX('iCoA Register'!$F:$F,MATCH(S128,'iCoA Register'!$AA:$AA,0))),INDEX('iCoA Register'!$F:$F,MATCH(S128,'iCoA Register'!$AA:$AA,0)),0),0)))</f>
        <v/>
      </c>
      <c r="E128" s="245">
        <f>IF(ISNUMBER(F128),MAX(DATE(2026,6,6),F128+7),"— awaiting the retest certificates —")</f>
        <v/>
      </c>
      <c r="F128" s="245" t="n">
        <v>46276</v>
      </c>
      <c r="G128" s="243" t="inlineStr">
        <is>
          <t>220-20-M-26</t>
        </is>
      </c>
      <c r="H128" s="243">
        <f>IFERROR(INDEX('iCoA Register'!$B:$B,MATCH("P050112|R",'iCoA Register'!$AA:$AA,0)),"—")</f>
        <v/>
      </c>
      <c r="I128" s="245">
        <f>IFERROR(INDEX('iCoA Register'!$D:$D,MATCH("P050112|R",'iCoA Register'!$AA:$AA,0)),"")</f>
        <v/>
      </c>
      <c r="J128" s="243" t="inlineStr">
        <is>
          <t>legacy</t>
        </is>
      </c>
      <c r="K128" s="243" t="inlineStr">
        <is>
          <t>retest — Tranche 2 (sampled 12–14.08.2026)</t>
        </is>
      </c>
      <c r="L128" s="244" t="inlineStr">
        <is>
          <t>MB0824_05</t>
        </is>
      </c>
      <c r="M128" s="243" t="inlineStr">
        <is>
          <t>P050112</t>
        </is>
      </c>
      <c r="N128" s="243" t="inlineStr">
        <is>
          <t>Motor Breath</t>
        </is>
      </c>
      <c r="O128" s="243" t="inlineStr">
        <is>
          <t>220-20-K-26, (26.08.2026) [FHM-K]</t>
        </is>
      </c>
      <c r="P128" s="248" t="inlineStr">
        <is>
          <t>—</t>
        </is>
      </c>
      <c r="Q128" s="243" t="inlineStr">
        <is>
          <t>—</t>
        </is>
      </c>
      <c r="R128" s="243" t="inlineStr">
        <is>
          <t>CoQ-PP-2026-0039</t>
        </is>
      </c>
      <c r="S128" s="243" t="inlineStr">
        <is>
          <t>P050112|R</t>
        </is>
      </c>
      <c r="T128" s="250" t="inlineStr">
        <is>
          <t>registered — retest, Tranche 2 (sampled 12–14.08.2026), sampled 13.08.2026; issued 18.09.2026, 7 days after 220-20-M-26 of 11.09.2026; cites iCoA-PP_26-142 of 17.08.2026</t>
        </is>
      </c>
      <c r="U128" s="243">
        <f>IFERROR(INDEX('CoQ Register'!$B:$B,MATCH("P050112|I",'CoQ Register'!$S:$S,0)),"— initial certificate not on the register —")</f>
        <v/>
      </c>
      <c r="V128" s="251" t="n">
        <v>17.93</v>
      </c>
      <c r="W128" s="243" t="inlineStr">
        <is>
          <t>220-20-К/26</t>
        </is>
      </c>
      <c r="X128" s="243" t="inlineStr">
        <is>
          <t>18.00 ± 1.80 (I)</t>
        </is>
      </c>
      <c r="Y128" s="243" t="inlineStr">
        <is>
          <t>16.20 – 19.79 %</t>
        </is>
      </c>
      <c r="Z128" s="243" t="inlineStr">
        <is>
          <t>MB_THC18 : CBD1</t>
        </is>
      </c>
      <c r="AA128" s="243" t="inlineStr">
        <is>
          <t>QCSP_001_MB-I_v.01</t>
        </is>
      </c>
      <c r="AB128" s="252" t="inlineStr">
        <is>
          <t>for review — replaces the issued QCSP_001_MB-I_v.01 (was MB_THC18 : CBD1, 16.20 – 19.80 %); now MB_THC18 : CBD1 16.20 – 19.79 %</t>
        </is>
      </c>
      <c r="AC128" s="246" t="inlineStr"/>
    </row>
    <row r="129">
      <c r="A129" s="243">
        <f>IF(OR(C129="yes",C129="allocated",C129="ruled"),COUNT(A$1:A128)+1,"")</f>
        <v/>
      </c>
      <c r="B129" s="244">
        <f>IF(A129&lt;&gt;"","CoQ-PP_26-"&amp;TEXT(A129,"000"),"— at issue —")</f>
        <v/>
      </c>
      <c r="C129" s="249" t="inlineStr">
        <is>
          <t>yes</t>
        </is>
      </c>
      <c r="D129" s="245">
        <f>IF(OR(A129="",C129="allocated",C129="ruled"),"",MAX(E129,IF(ISNUMBER(I129),I129,0),IFERROR(IF(ISNUMBER(INDEX('iCoA Register'!$F:$F,MATCH(S129,'iCoA Register'!$AA:$AA,0))),INDEX('iCoA Register'!$F:$F,MATCH(S129,'iCoA Register'!$AA:$AA,0)),0),0)))</f>
        <v/>
      </c>
      <c r="E129" s="245">
        <f>IF(ISNUMBER(F129),MAX(DATE(2026,6,6),F129+7),"— awaiting the retest certificates —")</f>
        <v/>
      </c>
      <c r="F129" s="245" t="n">
        <v>46276</v>
      </c>
      <c r="G129" s="243" t="inlineStr">
        <is>
          <t>220-21-M-26</t>
        </is>
      </c>
      <c r="H129" s="243">
        <f>IFERROR(INDEX('iCoA Register'!$B:$B,MATCH("P050042|R2",'iCoA Register'!$AA:$AA,0)),"—")</f>
        <v/>
      </c>
      <c r="I129" s="245">
        <f>IFERROR(INDEX('iCoA Register'!$D:$D,MATCH("P050042|R2",'iCoA Register'!$AA:$AA,0)),"")</f>
        <v/>
      </c>
      <c r="J129" s="243" t="inlineStr">
        <is>
          <t>legacy</t>
        </is>
      </c>
      <c r="K129" s="243" t="inlineStr">
        <is>
          <t>retest — Tranche 2 (sampled 12–14.08.2026)</t>
        </is>
      </c>
      <c r="L129" s="244" t="inlineStr">
        <is>
          <t>OMP1024_01</t>
        </is>
      </c>
      <c r="M129" s="243" t="inlineStr">
        <is>
          <t>P050042</t>
        </is>
      </c>
      <c r="N129" s="243" t="inlineStr">
        <is>
          <t>Orange Punch Mimosa</t>
        </is>
      </c>
      <c r="O129" s="243" t="inlineStr">
        <is>
          <t>220-21-K-26, (26.08.2026) [FHM-K]</t>
        </is>
      </c>
      <c r="P129" s="248" t="inlineStr">
        <is>
          <t>—</t>
        </is>
      </c>
      <c r="Q129" s="243" t="inlineStr">
        <is>
          <t>—</t>
        </is>
      </c>
      <c r="R129" s="243" t="inlineStr">
        <is>
          <t>CoQ-PP-2026-0033</t>
        </is>
      </c>
      <c r="S129" s="243" t="inlineStr">
        <is>
          <t>P050042|R2</t>
        </is>
      </c>
      <c r="T129" s="250" t="inlineStr">
        <is>
          <t>registered — retest, Tranche 2 (sampled 12–14.08.2026), sampled 13.08.2026; issued 18.09.2026, 7 days after 220-21-M-26 of 11.09.2026; cites the campaign iCoA of 17.08.2026</t>
        </is>
      </c>
      <c r="U129" s="243">
        <f>IFERROR(INDEX('CoQ Register'!$B:$B,MATCH("P050042|I",'CoQ Register'!$S:$S,0)),"— initial certificate not on the register —")</f>
        <v/>
      </c>
      <c r="V129" s="251" t="n">
        <v>18.14</v>
      </c>
      <c r="W129" s="243" t="inlineStr">
        <is>
          <t>220-21-К/26</t>
        </is>
      </c>
      <c r="X129" s="243" t="inlineStr">
        <is>
          <t>17.00 ± 1.60 (II)</t>
        </is>
      </c>
      <c r="Y129" s="243" t="inlineStr">
        <is>
          <t>15.40 – 18.59 %</t>
        </is>
      </c>
      <c r="Z129" s="243" t="inlineStr">
        <is>
          <t>OPM_THC17 : CBD1</t>
        </is>
      </c>
      <c r="AA129" s="243" t="inlineStr">
        <is>
          <t>QCSP_001_OPM-II_v.01</t>
        </is>
      </c>
      <c r="AB129" s="252" t="inlineStr">
        <is>
          <t>for review — replaces the issued QCSP_001_OPM-II_v.01 (was OPM_THC18 : CBD1, 16.20 – 19.80 %); now OPM_THC17 : CBD1 15.40 – 18.59 %</t>
        </is>
      </c>
      <c r="AC129" s="246" t="inlineStr"/>
    </row>
    <row r="130">
      <c r="A130" s="243">
        <f>IF(OR(C130="yes",C130="allocated",C130="ruled"),COUNT(A$1:A129)+1,"")</f>
        <v/>
      </c>
      <c r="B130" s="244">
        <f>IF(A130&lt;&gt;"","CoQ-PP_26-"&amp;TEXT(A130,"000"),"— at issue —")</f>
        <v/>
      </c>
      <c r="C130" s="249" t="inlineStr">
        <is>
          <t>yes</t>
        </is>
      </c>
      <c r="D130" s="245">
        <f>IF(OR(A130="",C130="allocated",C130="ruled"),"",MAX(E130,IF(ISNUMBER(I130),I130,0),IFERROR(IF(ISNUMBER(INDEX('iCoA Register'!$F:$F,MATCH(S130,'iCoA Register'!$AA:$AA,0))),INDEX('iCoA Register'!$F:$F,MATCH(S130,'iCoA Register'!$AA:$AA,0)),0),0)))</f>
        <v/>
      </c>
      <c r="E130" s="245">
        <f>IF(ISNUMBER(F130),MAX(DATE(2026,6,6),F130+7),"— awaiting the retest certificates —")</f>
        <v/>
      </c>
      <c r="F130" s="245" t="n">
        <v>46276</v>
      </c>
      <c r="G130" s="243" t="inlineStr">
        <is>
          <t>220-22-M-26</t>
        </is>
      </c>
      <c r="H130" s="243">
        <f>IFERROR(INDEX('iCoA Register'!$B:$B,MATCH("P060042|R",'iCoA Register'!$AA:$AA,0)),"—")</f>
        <v/>
      </c>
      <c r="I130" s="245">
        <f>IFERROR(INDEX('iCoA Register'!$D:$D,MATCH("P060042|R",'iCoA Register'!$AA:$AA,0)),"")</f>
        <v/>
      </c>
      <c r="J130" s="243" t="inlineStr">
        <is>
          <t>legacy</t>
        </is>
      </c>
      <c r="K130" s="243" t="inlineStr">
        <is>
          <t>retest — Tranche 2 (sampled 12–14.08.2026)</t>
        </is>
      </c>
      <c r="L130" s="244" t="inlineStr">
        <is>
          <t>OPM092501</t>
        </is>
      </c>
      <c r="M130" s="243" t="inlineStr">
        <is>
          <t>P060042</t>
        </is>
      </c>
      <c r="N130" s="243" t="inlineStr">
        <is>
          <t>Orange Punch Mimosa</t>
        </is>
      </c>
      <c r="O130" s="243" t="inlineStr">
        <is>
          <t>220-22-K-26, (26.08.2026) [FHM-K]</t>
        </is>
      </c>
      <c r="P130" s="248" t="inlineStr">
        <is>
          <t>—</t>
        </is>
      </c>
      <c r="Q130" s="243" t="inlineStr">
        <is>
          <t>—</t>
        </is>
      </c>
      <c r="R130" s="243" t="inlineStr">
        <is>
          <t>CoQ reissue (assigned on issue)</t>
        </is>
      </c>
      <c r="S130" s="243" t="inlineStr">
        <is>
          <t>P060042|R</t>
        </is>
      </c>
      <c r="T130" s="250" t="inlineStr">
        <is>
          <t>registered — retest, Tranche 2 (sampled 12–14.08.2026), sampled 13.08.2026; issued 18.09.2026, 7 days after 220-22-M-26 of 11.09.2026; cites iCoA-PP_26-143 of 17.08.2026</t>
        </is>
      </c>
      <c r="U130" s="243">
        <f>IFERROR(INDEX('CoQ Register'!$B:$B,MATCH("P060042|I",'CoQ Register'!$S:$S,0)),"— initial certificate not on the register —")</f>
        <v/>
      </c>
      <c r="V130" s="251" t="n">
        <v>10.18</v>
      </c>
      <c r="W130" s="243" t="inlineStr">
        <is>
          <t>220-22-К/26</t>
        </is>
      </c>
      <c r="X130" s="243" t="inlineStr">
        <is>
          <t>10.00 ± 1.00 (IV)</t>
        </is>
      </c>
      <c r="Y130" s="243" t="inlineStr">
        <is>
          <t>9.00 – 10.99 %</t>
        </is>
      </c>
      <c r="Z130" s="243" t="inlineStr">
        <is>
          <t>OPM_THC10 : CBD1</t>
        </is>
      </c>
      <c r="AA130" s="243" t="inlineStr">
        <is>
          <t>QCSP_001_OPM-IV_v.01</t>
        </is>
      </c>
      <c r="AB130" s="252" t="inlineStr">
        <is>
          <t>for review — replaces the issued QCSP_001_OPM-IV_v.01 (was OPM_THC10 : CBD1, 9.00 – 11.00 %); now OPM_THC10 : CBD1 9.00 – 10.99 %</t>
        </is>
      </c>
      <c r="AC130" s="246" t="inlineStr"/>
    </row>
    <row r="131">
      <c r="A131" s="243">
        <f>IF(OR(C131="yes",C131="allocated",C131="ruled"),COUNT(A$1:A130)+1,"")</f>
        <v/>
      </c>
      <c r="B131" s="244">
        <f>IF(A131&lt;&gt;"","CoQ-PP_26-"&amp;TEXT(A131,"000"),"— at issue —")</f>
        <v/>
      </c>
      <c r="C131" s="249" t="inlineStr">
        <is>
          <t>yes</t>
        </is>
      </c>
      <c r="D131" s="245">
        <f>IF(OR(A131="",C131="allocated",C131="ruled"),"",MAX(E131,IF(ISNUMBER(I131),I131,0),IFERROR(IF(ISNUMBER(INDEX('iCoA Register'!$F:$F,MATCH(S131,'iCoA Register'!$AA:$AA,0))),INDEX('iCoA Register'!$F:$F,MATCH(S131,'iCoA Register'!$AA:$AA,0)),0),0)))</f>
        <v/>
      </c>
      <c r="E131" s="245">
        <f>IF(ISNUMBER(F131),MAX(DATE(2026,6,6),F131+7),"— awaiting the retest certificates —")</f>
        <v/>
      </c>
      <c r="F131" s="245" t="n">
        <v>46276</v>
      </c>
      <c r="G131" s="243" t="inlineStr">
        <is>
          <t>220-23-M-26</t>
        </is>
      </c>
      <c r="H131" s="243">
        <f>IFERROR(INDEX('iCoA Register'!$B:$B,MATCH("P050082|R",'iCoA Register'!$AA:$AA,0)),"—")</f>
        <v/>
      </c>
      <c r="I131" s="245">
        <f>IFERROR(INDEX('iCoA Register'!$D:$D,MATCH("P050082|R",'iCoA Register'!$AA:$AA,0)),"")</f>
        <v/>
      </c>
      <c r="J131" s="243" t="inlineStr">
        <is>
          <t>legacy</t>
        </is>
      </c>
      <c r="K131" s="243" t="inlineStr">
        <is>
          <t>retest — Tranche 2 (sampled 12–14.08.2026)</t>
        </is>
      </c>
      <c r="L131" s="244" t="inlineStr">
        <is>
          <t>OPM1024_03</t>
        </is>
      </c>
      <c r="M131" s="243" t="inlineStr">
        <is>
          <t>P050082</t>
        </is>
      </c>
      <c r="N131" s="243" t="inlineStr">
        <is>
          <t>Orange Punch Mimosa</t>
        </is>
      </c>
      <c r="O131" s="243" t="inlineStr">
        <is>
          <t>220-23-K-26, (26.08.2026) [FHM-K]</t>
        </is>
      </c>
      <c r="P131" s="248" t="inlineStr">
        <is>
          <t>—</t>
        </is>
      </c>
      <c r="Q131" s="243" t="inlineStr">
        <is>
          <t>—</t>
        </is>
      </c>
      <c r="R131" s="243" t="inlineStr">
        <is>
          <t>CoQ-PP-2026-0037</t>
        </is>
      </c>
      <c r="S131" s="243" t="inlineStr">
        <is>
          <t>P050082|R</t>
        </is>
      </c>
      <c r="T131" s="250" t="inlineStr">
        <is>
          <t>registered — retest, Tranche 2 (sampled 12–14.08.2026), sampled 14.08.2026; issued 18.09.2026, 7 days after 220-23-M-26 of 11.09.2026; cites iCoA-PP_26-149 of 17.08.2026</t>
        </is>
      </c>
      <c r="U131" s="243">
        <f>IFERROR(INDEX('CoQ Register'!$B:$B,MATCH("P050082|I",'CoQ Register'!$S:$S,0)),"— initial certificate not on the register —")</f>
        <v/>
      </c>
      <c r="V131" s="251" t="n">
        <v>19.3</v>
      </c>
      <c r="W131" s="243" t="inlineStr">
        <is>
          <t>220-23-К/26</t>
        </is>
      </c>
      <c r="X131" s="243" t="inlineStr">
        <is>
          <t>20.00 ± 1.40 (I)</t>
        </is>
      </c>
      <c r="Y131" s="243" t="inlineStr">
        <is>
          <t>18.60 – 21.39 %</t>
        </is>
      </c>
      <c r="Z131" s="243" t="inlineStr">
        <is>
          <t>OPM_THC20 : CBD1</t>
        </is>
      </c>
      <c r="AA131" s="243" t="inlineStr">
        <is>
          <t>QCSP_001_OPM-I_v.01</t>
        </is>
      </c>
      <c r="AB131" s="252" t="inlineStr">
        <is>
          <t>for review — replaces the issued QCSP_001_OPM-I_v.01 (was OPM_THC22 : CBD1, 19.81 – 24.19 %); now OPM_THC20 : CBD1 18.60 – 21.39 %</t>
        </is>
      </c>
      <c r="AC131" s="246" t="inlineStr"/>
    </row>
    <row r="132">
      <c r="A132" s="243">
        <f>IF(OR(C132="yes",C132="allocated",C132="ruled"),COUNT(A$1:A131)+1,"")</f>
        <v/>
      </c>
      <c r="B132" s="244">
        <f>IF(A132&lt;&gt;"","CoQ-PP_26-"&amp;TEXT(A132,"000"),"— at issue —")</f>
        <v/>
      </c>
      <c r="C132" s="249" t="inlineStr">
        <is>
          <t>yes</t>
        </is>
      </c>
      <c r="D132" s="245">
        <f>IF(OR(A132="",C132="allocated",C132="ruled"),"",MAX(E132,IF(ISNUMBER(I132),I132,0),IFERROR(IF(ISNUMBER(INDEX('iCoA Register'!$F:$F,MATCH(S132,'iCoA Register'!$AA:$AA,0))),INDEX('iCoA Register'!$F:$F,MATCH(S132,'iCoA Register'!$AA:$AA,0)),0),0)))</f>
        <v/>
      </c>
      <c r="E132" s="245">
        <f>IF(ISNUMBER(F132),MAX(DATE(2026,6,6),F132+7),"— awaiting the retest certificates —")</f>
        <v/>
      </c>
      <c r="F132" s="245" t="n">
        <v>46276</v>
      </c>
      <c r="G132" s="243" t="inlineStr">
        <is>
          <t>220-24-M-26</t>
        </is>
      </c>
      <c r="H132" s="243">
        <f>IFERROR(INDEX('iCoA Register'!$B:$B,MATCH("P060232|R",'iCoA Register'!$AA:$AA,0)),"—")</f>
        <v/>
      </c>
      <c r="I132" s="245">
        <f>IFERROR(INDEX('iCoA Register'!$D:$D,MATCH("P060232|R",'iCoA Register'!$AA:$AA,0)),"")</f>
        <v/>
      </c>
      <c r="J132" s="243" t="inlineStr">
        <is>
          <t>legacy</t>
        </is>
      </c>
      <c r="K132" s="243" t="inlineStr">
        <is>
          <t>retest — Tranche 2 (sampled 12–14.08.2026)</t>
        </is>
      </c>
      <c r="L132" s="244" t="inlineStr">
        <is>
          <t>PM112501</t>
        </is>
      </c>
      <c r="M132" s="243" t="inlineStr">
        <is>
          <t>P060232</t>
        </is>
      </c>
      <c r="N132" s="243" t="inlineStr">
        <is>
          <t>Permanent Marker</t>
        </is>
      </c>
      <c r="O132" s="243" t="inlineStr">
        <is>
          <t>220-24-K-26, (26.08.2026) [FHM-K]</t>
        </is>
      </c>
      <c r="P132" s="248" t="inlineStr">
        <is>
          <t>—</t>
        </is>
      </c>
      <c r="Q132" s="243" t="inlineStr">
        <is>
          <t>—</t>
        </is>
      </c>
      <c r="R132" s="243" t="inlineStr">
        <is>
          <t>CoQ reissue (assigned on issue)</t>
        </is>
      </c>
      <c r="S132" s="243" t="inlineStr">
        <is>
          <t>P060232|R</t>
        </is>
      </c>
      <c r="T132" s="250" t="inlineStr">
        <is>
          <t>registered — retest, Tranche 2 (sampled 12–14.08.2026), sampled 14.08.2026; issued 18.09.2026, 7 days after 220-24-M-26 of 11.09.2026; cites iCoA-PP_26-150 of 17.08.2026</t>
        </is>
      </c>
      <c r="U132" s="243">
        <f>IFERROR(INDEX('CoQ Register'!$B:$B,MATCH("P060232|I",'CoQ Register'!$S:$S,0)),"— initial certificate not on the register —")</f>
        <v/>
      </c>
      <c r="V132" s="251" t="n">
        <v>10.8</v>
      </c>
      <c r="W132" s="243" t="inlineStr">
        <is>
          <t>220-24-К/26</t>
        </is>
      </c>
      <c r="X132" s="243" t="inlineStr">
        <is>
          <t>10.00 ± 1.00 (III)</t>
        </is>
      </c>
      <c r="Y132" s="243" t="inlineStr">
        <is>
          <t>9.00 – 10.99 %</t>
        </is>
      </c>
      <c r="Z132" s="243" t="inlineStr">
        <is>
          <t>PM_THC10 : CBD1</t>
        </is>
      </c>
      <c r="AA132" s="243" t="inlineStr">
        <is>
          <t>QCSP_001_PM-III_v.01</t>
        </is>
      </c>
      <c r="AB132" s="246" t="inlineStr">
        <is>
          <t>for review — new</t>
        </is>
      </c>
      <c r="AC132" s="246" t="inlineStr"/>
    </row>
    <row r="133">
      <c r="A133" s="243">
        <f>IF(OR(C133="yes",C133="allocated",C133="ruled"),COUNT(A$1:A132)+1,"")</f>
        <v/>
      </c>
      <c r="B133" s="244">
        <f>IF(A133&lt;&gt;"","CoQ-PP_26-"&amp;TEXT(A133,"000"),"— at issue —")</f>
        <v/>
      </c>
      <c r="C133" s="249" t="inlineStr">
        <is>
          <t>yes</t>
        </is>
      </c>
      <c r="D133" s="245">
        <f>IF(OR(A133="",C133="allocated",C133="ruled"),"",MAX(E133,IF(ISNUMBER(I133),I133,0),IFERROR(IF(ISNUMBER(INDEX('iCoA Register'!$F:$F,MATCH(S133,'iCoA Register'!$AA:$AA,0))),INDEX('iCoA Register'!$F:$F,MATCH(S133,'iCoA Register'!$AA:$AA,0)),0),0)))</f>
        <v/>
      </c>
      <c r="E133" s="245">
        <f>IF(ISNUMBER(F133),MAX(DATE(2026,6,6),F133+7),"— awaiting the retest certificates —")</f>
        <v/>
      </c>
      <c r="F133" s="245" t="n">
        <v>46276</v>
      </c>
      <c r="G133" s="243" t="inlineStr">
        <is>
          <t>220-25-M-26</t>
        </is>
      </c>
      <c r="H133" s="243">
        <f>IFERROR(INDEX('iCoA Register'!$B:$B,MATCH("P060112|R",'iCoA Register'!$AA:$AA,0)),"—")</f>
        <v/>
      </c>
      <c r="I133" s="245">
        <f>IFERROR(INDEX('iCoA Register'!$D:$D,MATCH("P060112|R",'iCoA Register'!$AA:$AA,0)),"")</f>
        <v/>
      </c>
      <c r="J133" s="243" t="inlineStr">
        <is>
          <t>legacy</t>
        </is>
      </c>
      <c r="K133" s="243" t="inlineStr">
        <is>
          <t>retest — Tranche 2 (sampled 12–14.08.2026)</t>
        </is>
      </c>
      <c r="L133" s="244" t="inlineStr">
        <is>
          <t>PUM102501</t>
        </is>
      </c>
      <c r="M133" s="243" t="inlineStr">
        <is>
          <t>P060112</t>
        </is>
      </c>
      <c r="N133" s="243" t="inlineStr">
        <is>
          <t>Pure Michigen</t>
        </is>
      </c>
      <c r="O133" s="243" t="inlineStr">
        <is>
          <t>220-25-K-26, (26.08.2026) [FHM-K]</t>
        </is>
      </c>
      <c r="P133" s="248" t="inlineStr">
        <is>
          <t>—</t>
        </is>
      </c>
      <c r="Q133" s="243" t="inlineStr">
        <is>
          <t>—</t>
        </is>
      </c>
      <c r="R133" s="243" t="inlineStr">
        <is>
          <t>CoQ reissue (assigned on issue)</t>
        </is>
      </c>
      <c r="S133" s="243" t="inlineStr">
        <is>
          <t>P060112|R</t>
        </is>
      </c>
      <c r="T133" s="250" t="inlineStr">
        <is>
          <t>registered — retest, Tranche 2 (sampled 12–14.08.2026), sampled 14.08.2026; issued 18.09.2026, 7 days after 220-25-M-26 of 11.09.2026; cites iCoA-PP_26-151 of 17.08.2026</t>
        </is>
      </c>
      <c r="U133" s="243">
        <f>IFERROR(INDEX('CoQ Register'!$B:$B,MATCH("P060112|I",'CoQ Register'!$S:$S,0)),"— initial certificate not on the register —")</f>
        <v/>
      </c>
      <c r="V133" s="251" t="n">
        <v>13.95</v>
      </c>
      <c r="W133" s="243" t="inlineStr">
        <is>
          <t>220-25-К/26</t>
        </is>
      </c>
      <c r="X133" s="243" t="inlineStr">
        <is>
          <t>14.00 ± 1.40 (I)</t>
        </is>
      </c>
      <c r="Y133" s="243" t="inlineStr">
        <is>
          <t>12.60 – 15.39 %</t>
        </is>
      </c>
      <c r="Z133" s="243" t="inlineStr">
        <is>
          <t>PUM_THC14 : CBD1</t>
        </is>
      </c>
      <c r="AA133" s="243" t="inlineStr">
        <is>
          <t>QCSP_001_PUM-I_v.01</t>
        </is>
      </c>
      <c r="AB133" s="252" t="inlineStr">
        <is>
          <t>for review — replaces the issued QCSP_001_PUM-I_v.01 (was PUM_THC14 : CBD1, 12.60 – 15.40 %); now PUM_THC14 : CBD1 12.60 – 15.39 %</t>
        </is>
      </c>
      <c r="AC133" s="246" t="inlineStr"/>
    </row>
    <row r="134">
      <c r="A134" s="243">
        <f>IF(OR(C134="yes",C134="allocated",C134="ruled"),COUNT(A$1:A133)+1,"")</f>
        <v/>
      </c>
      <c r="B134" s="244">
        <f>IF(A134&lt;&gt;"","CoQ-PP_26-"&amp;TEXT(A134,"000"),"— at issue —")</f>
        <v/>
      </c>
      <c r="C134" s="249" t="inlineStr">
        <is>
          <t>yes</t>
        </is>
      </c>
      <c r="D134" s="245">
        <f>IF(OR(A134="",C134="allocated",C134="ruled"),"",MAX(E134,IF(ISNUMBER(I134),I134,0),IFERROR(IF(ISNUMBER(INDEX('iCoA Register'!$F:$F,MATCH(S134,'iCoA Register'!$AA:$AA,0))),INDEX('iCoA Register'!$F:$F,MATCH(S134,'iCoA Register'!$AA:$AA,0)),0),0)))</f>
        <v/>
      </c>
      <c r="E134" s="245">
        <f>IF(ISNUMBER(F134),MAX(DATE(2026,6,6),F134+7),"— awaiting the retest certificates —")</f>
        <v/>
      </c>
      <c r="F134" s="245" t="n">
        <v>46276</v>
      </c>
      <c r="G134" s="243" t="inlineStr">
        <is>
          <t>220-26-M-26</t>
        </is>
      </c>
      <c r="H134" s="243">
        <f>IFERROR(INDEX('iCoA Register'!$B:$B,MATCH("P060282|R",'iCoA Register'!$AA:$AA,0)),"—")</f>
        <v/>
      </c>
      <c r="I134" s="245">
        <f>IFERROR(INDEX('iCoA Register'!$D:$D,MATCH("P060282|R",'iCoA Register'!$AA:$AA,0)),"")</f>
        <v/>
      </c>
      <c r="J134" s="243" t="inlineStr">
        <is>
          <t>post-SOP</t>
        </is>
      </c>
      <c r="K134" s="243" t="inlineStr">
        <is>
          <t>retest — Tranche 2 (sampled 12–14.08.2026)</t>
        </is>
      </c>
      <c r="L134" s="244" t="inlineStr">
        <is>
          <t>SCR112501</t>
        </is>
      </c>
      <c r="M134" s="243" t="inlineStr">
        <is>
          <t>P060282</t>
        </is>
      </c>
      <c r="N134" s="243" t="inlineStr">
        <is>
          <t>Scrambler</t>
        </is>
      </c>
      <c r="O134" s="243" t="inlineStr">
        <is>
          <t>220-26-K-26, (26.08.2026) [FHM-K]</t>
        </is>
      </c>
      <c r="P134" s="248" t="inlineStr">
        <is>
          <t>—</t>
        </is>
      </c>
      <c r="Q134" s="243" t="inlineStr">
        <is>
          <t>—</t>
        </is>
      </c>
      <c r="R134" s="243" t="inlineStr">
        <is>
          <t>CoQ reissue (assigned on issue)</t>
        </is>
      </c>
      <c r="S134" s="243" t="inlineStr">
        <is>
          <t>P060282|R</t>
        </is>
      </c>
      <c r="T134" s="250" t="inlineStr">
        <is>
          <t>registered — retest, Tranche 2 (sampled 12–14.08.2026), sampled 14.08.2026; issued 18.09.2026, 7 days after 220-26-M-26 of 11.09.2026; cites iCoA-PP_26-152 of 17.08.2026</t>
        </is>
      </c>
      <c r="U134" s="243">
        <f>IFERROR(INDEX('CoQ Register'!$B:$B,MATCH("P060282|I",'CoQ Register'!$S:$S,0)),"— initial certificate not on the register —")</f>
        <v/>
      </c>
      <c r="V134" s="251" t="n">
        <v>19.73</v>
      </c>
      <c r="W134" s="243" t="inlineStr">
        <is>
          <t>220-26-К/26</t>
        </is>
      </c>
      <c r="X134" s="243" t="inlineStr">
        <is>
          <t>18.00 ± 1.80 (II)</t>
        </is>
      </c>
      <c r="Y134" s="243" t="inlineStr">
        <is>
          <t>16.20 – 19.79 %</t>
        </is>
      </c>
      <c r="Z134" s="243" t="inlineStr">
        <is>
          <t>SCR_THC18 : CBD1</t>
        </is>
      </c>
      <c r="AA134" s="243" t="inlineStr">
        <is>
          <t>QCSP_001_SCR-II_v.01</t>
        </is>
      </c>
      <c r="AB134" s="252" t="inlineStr">
        <is>
          <t>for review — replaces the issued QCSP_001_SCR-II_v.01 (was SCR_THC18 : CBD1, 16.20 – 19.80 %); now SCR_THC18 : CBD1 16.20 – 19.79 %</t>
        </is>
      </c>
      <c r="AC134" s="246" t="inlineStr"/>
    </row>
    <row r="135">
      <c r="A135" s="243">
        <f>IF(OR(C135="yes",C135="allocated",C135="ruled"),COUNT(A$1:A134)+1,"")</f>
        <v/>
      </c>
      <c r="B135" s="244">
        <f>IF(A135&lt;&gt;"","CoQ-PP_26-"&amp;TEXT(A135,"000"),"— at issue —")</f>
        <v/>
      </c>
      <c r="C135" s="249" t="inlineStr">
        <is>
          <t>yes</t>
        </is>
      </c>
      <c r="D135" s="245">
        <f>IF(OR(A135="",C135="allocated",C135="ruled"),"",MAX(E135,IF(ISNUMBER(I135),I135,0),IFERROR(IF(ISNUMBER(INDEX('iCoA Register'!$F:$F,MATCH(S135,'iCoA Register'!$AA:$AA,0))),INDEX('iCoA Register'!$F:$F,MATCH(S135,'iCoA Register'!$AA:$AA,0)),0),0)))</f>
        <v/>
      </c>
      <c r="E135" s="245">
        <f>IF(ISNUMBER(F135),MAX(DATE(2026,6,6),F135+7),"— awaiting the retest certificates —")</f>
        <v/>
      </c>
      <c r="F135" s="245" t="n">
        <v>46276</v>
      </c>
      <c r="G135" s="243" t="inlineStr">
        <is>
          <t>220-27-M-26</t>
        </is>
      </c>
      <c r="H135" s="243">
        <f>IFERROR(INDEX('iCoA Register'!$B:$B,MATCH("P060082|R",'iCoA Register'!$AA:$AA,0)),"—")</f>
        <v/>
      </c>
      <c r="I135" s="245">
        <f>IFERROR(INDEX('iCoA Register'!$D:$D,MATCH("P060082|R",'iCoA Register'!$AA:$AA,0)),"")</f>
        <v/>
      </c>
      <c r="J135" s="243" t="inlineStr">
        <is>
          <t>legacy</t>
        </is>
      </c>
      <c r="K135" s="243" t="inlineStr">
        <is>
          <t>retest — Tranche 2 (sampled 12–14.08.2026)</t>
        </is>
      </c>
      <c r="L135" s="244" t="inlineStr">
        <is>
          <t>SJ0925021</t>
        </is>
      </c>
      <c r="M135" s="243" t="inlineStr">
        <is>
          <t>P060082</t>
        </is>
      </c>
      <c r="N135" s="243" t="inlineStr">
        <is>
          <t>Sleepy Joe</t>
        </is>
      </c>
      <c r="O135" s="243" t="inlineStr">
        <is>
          <t>220-27-K-26, (26.08.2026) [FHM-K]</t>
        </is>
      </c>
      <c r="P135" s="248" t="inlineStr">
        <is>
          <t>—</t>
        </is>
      </c>
      <c r="Q135" s="243" t="inlineStr">
        <is>
          <t>—</t>
        </is>
      </c>
      <c r="R135" s="243" t="inlineStr">
        <is>
          <t>CoQ reissue (assigned on issue)</t>
        </is>
      </c>
      <c r="S135" s="243" t="inlineStr">
        <is>
          <t>P060082|R</t>
        </is>
      </c>
      <c r="T135" s="250" t="inlineStr">
        <is>
          <t>registered — retest, Tranche 2 (sampled 12–14.08.2026), sampled 14.08.2026; issued 18.09.2026, 7 days after 220-27-M-26 of 11.09.2026; cites iCoA-PP_26-153 of 17.08.2026</t>
        </is>
      </c>
      <c r="U135" s="243">
        <f>IFERROR(INDEX('CoQ Register'!$B:$B,MATCH("P060082|I",'CoQ Register'!$S:$S,0)),"— initial certificate not on the register —")</f>
        <v/>
      </c>
      <c r="V135" s="251" t="n">
        <v>10.39</v>
      </c>
      <c r="W135" s="243" t="inlineStr">
        <is>
          <t>220-27-К/26</t>
        </is>
      </c>
      <c r="X135" s="243" t="inlineStr">
        <is>
          <t>10.00 ± 1.00 (II)</t>
        </is>
      </c>
      <c r="Y135" s="243" t="inlineStr">
        <is>
          <t>9.00 – 10.99 %</t>
        </is>
      </c>
      <c r="Z135" s="243" t="inlineStr">
        <is>
          <t>SJ_THC10 : CBD1</t>
        </is>
      </c>
      <c r="AA135" s="243" t="inlineStr">
        <is>
          <t>QCSP_001_SJ-II_v.01</t>
        </is>
      </c>
      <c r="AB135" s="252" t="inlineStr">
        <is>
          <t>for review — replaces the issued QCSP_001_SJ-II_v.01 (was SJ_THC10 : CBD1, 9.00 – 11.00 %); now SJ_THC10 : CBD1 9.00 – 10.99 %</t>
        </is>
      </c>
      <c r="AC135" s="246" t="inlineStr"/>
    </row>
    <row r="136">
      <c r="A136" s="243">
        <f>IF(OR(C136="yes",C136="allocated",C136="ruled"),COUNT(A$1:A135)+1,"")</f>
        <v/>
      </c>
      <c r="B136" s="244">
        <f>IF(A136&lt;&gt;"","CoQ-PP_26-"&amp;TEXT(A136,"000"),"— at issue —")</f>
        <v/>
      </c>
      <c r="C136" s="249" t="inlineStr">
        <is>
          <t>yes</t>
        </is>
      </c>
      <c r="D136" s="245">
        <f>IF(OR(A136="",C136="allocated",C136="ruled"),"",MAX(E136,IF(ISNUMBER(I136),I136,0),IFERROR(IF(ISNUMBER(INDEX('iCoA Register'!$F:$F,MATCH(S136,'iCoA Register'!$AA:$AA,0))),INDEX('iCoA Register'!$F:$F,MATCH(S136,'iCoA Register'!$AA:$AA,0)),0),0)))</f>
        <v/>
      </c>
      <c r="E136" s="245">
        <f>IF(ISNUMBER(F136),MAX(DATE(2026,6,6),F136+7),"— awaiting the retest certificates —")</f>
        <v/>
      </c>
      <c r="F136" s="245" t="n">
        <v>46276</v>
      </c>
      <c r="G136" s="243" t="inlineStr">
        <is>
          <t>220-28-M-26</t>
        </is>
      </c>
      <c r="H136" s="243">
        <f>IFERROR(INDEX('iCoA Register'!$B:$B,MATCH("P060012|R",'iCoA Register'!$AA:$AA,0)),"—")</f>
        <v/>
      </c>
      <c r="I136" s="245">
        <f>IFERROR(INDEX('iCoA Register'!$D:$D,MATCH("P060012|R",'iCoA Register'!$AA:$AA,0)),"")</f>
        <v/>
      </c>
      <c r="J136" s="243" t="inlineStr">
        <is>
          <t>legacy</t>
        </is>
      </c>
      <c r="K136" s="243" t="inlineStr">
        <is>
          <t>retest — Tranche 2 (sampled 12–14.08.2026)</t>
        </is>
      </c>
      <c r="L136" s="244" t="inlineStr">
        <is>
          <t>WC082501</t>
        </is>
      </c>
      <c r="M136" s="243" t="inlineStr">
        <is>
          <t>P060012</t>
        </is>
      </c>
      <c r="N136" s="243" t="inlineStr">
        <is>
          <t>Wedding Crusher</t>
        </is>
      </c>
      <c r="O136" s="243" t="inlineStr">
        <is>
          <t>220-28-K-26, (26.08.2026) [FHM-K]</t>
        </is>
      </c>
      <c r="P136" s="248" t="inlineStr">
        <is>
          <t>—</t>
        </is>
      </c>
      <c r="Q136" s="243" t="inlineStr">
        <is>
          <t>—</t>
        </is>
      </c>
      <c r="R136" s="243" t="inlineStr">
        <is>
          <t>CoQ reissue (assigned on issue)</t>
        </is>
      </c>
      <c r="S136" s="243" t="inlineStr">
        <is>
          <t>P060012|R</t>
        </is>
      </c>
      <c r="T136" s="250" t="inlineStr">
        <is>
          <t>registered — retest, Tranche 2 (sampled 12–14.08.2026), sampled 14.08.2026; issued 18.09.2026, 7 days after 220-28-M-26 of 11.09.2026; cites iCoA-PP_26-154 of 17.08.2026</t>
        </is>
      </c>
      <c r="U136" s="243">
        <f>IFERROR(INDEX('CoQ Register'!$B:$B,MATCH("P060012|I",'CoQ Register'!$S:$S,0)),"— initial certificate not on the register —")</f>
        <v/>
      </c>
      <c r="V136" s="251" t="n">
        <v>23.48</v>
      </c>
      <c r="W136" s="243" t="inlineStr">
        <is>
          <t>220-28-К/26</t>
        </is>
      </c>
      <c r="X136" s="243" t="inlineStr">
        <is>
          <t>26.00 ± 2.60 (I)</t>
        </is>
      </c>
      <c r="Y136" s="243" t="inlineStr">
        <is>
          <t>23.40 – 28.59 %</t>
        </is>
      </c>
      <c r="Z136" s="243" t="inlineStr">
        <is>
          <t>WC_THC26 : CBD1</t>
        </is>
      </c>
      <c r="AA136" s="243" t="inlineStr">
        <is>
          <t>QCSP_001_WC-I_v.01</t>
        </is>
      </c>
      <c r="AB136" s="252" t="inlineStr">
        <is>
          <t>for review — replaces the issued QCSP_001_WC-I_v.01 (was WC_THC22 : CBD1, 19.80 – 24.20 %); now WC_THC26 : CBD1 23.40 – 28.59 %</t>
        </is>
      </c>
      <c r="AC136" s="246" t="inlineStr"/>
    </row>
    <row r="137">
      <c r="A137" s="243">
        <f>IF(OR(C137="yes",C137="allocated",C137="ruled"),COUNT(A$1:A136)+1,"")</f>
        <v/>
      </c>
      <c r="B137" s="244">
        <f>IF(A137&lt;&gt;"","CoQ-PP_26-"&amp;TEXT(A137,"000"),"— at issue —")</f>
        <v/>
      </c>
      <c r="C137" s="253" t="inlineStr">
        <is>
          <t>allocated</t>
        </is>
      </c>
      <c r="D137" s="245" t="n">
        <v>46286</v>
      </c>
      <c r="E137" s="245" t="inlineStr">
        <is>
          <t>— the owner's date for all of Tranche 3 (15.09.2026), the 227-М certificates expected by 18.09.2026; provisional —</t>
        </is>
      </c>
      <c r="F137" s="245" t="n">
        <v>46276</v>
      </c>
      <c r="G137" s="243" t="inlineStr">
        <is>
          <t>227-30-K-26</t>
        </is>
      </c>
      <c r="H137" s="243">
        <f>IFERROR(INDEX('iCoA Register'!$B:$B,MATCH("P060052|R2",'iCoA Register'!$AA:$AA,0)),"—")</f>
        <v/>
      </c>
      <c r="I137" s="245">
        <f>IFERROR(INDEX('iCoA Register'!$D:$D,MATCH("P060052|R2",'iCoA Register'!$AA:$AA,0)),"")</f>
        <v/>
      </c>
      <c r="J137" s="243" t="inlineStr">
        <is>
          <t>legacy</t>
        </is>
      </c>
      <c r="K137" s="243" t="inlineStr">
        <is>
          <t>retest — Tranche 3 (sampled 19–21.08.2026)</t>
        </is>
      </c>
      <c r="L137" s="244" t="inlineStr">
        <is>
          <t>AB092501</t>
        </is>
      </c>
      <c r="M137" s="243" t="inlineStr">
        <is>
          <t>P060052</t>
        </is>
      </c>
      <c r="N137" s="243" t="inlineStr">
        <is>
          <t>Apple and Banana</t>
        </is>
      </c>
      <c r="O137" s="243" t="inlineStr">
        <is>
          <t>227-30-K-26, (11.09.2026) [FHM-K]</t>
        </is>
      </c>
      <c r="P137" s="248" t="inlineStr">
        <is>
          <t>—</t>
        </is>
      </c>
      <c r="Q137" s="243" t="inlineStr">
        <is>
          <t>—</t>
        </is>
      </c>
      <c r="R137" s="243" t="inlineStr">
        <is>
          <t>CoQ reissue (assigned on issue)</t>
        </is>
      </c>
      <c r="S137" s="243" t="inlineStr">
        <is>
          <t>P060052|R2</t>
        </is>
      </c>
      <c r="T137" s="254" t="inlineStr">
        <is>
          <t>allocated — code reserved 15.09.2026 for the Tranche 3 (sampled 19–21.08.2026) reissue (owner: every Tranche 3 retest parameter is tested at Farmahem and its certificates all issue on one date); sampled 21.08.2026, retest assay 227-30-K-26 on file, mycotoxins pending; planned 21.09.2026 — the owner's date of 15.09.2026 for all of Tranche 3, the 227-М certificates expected by 18.09.2026, provisional until they exist, after every Tranche 2 reissue; cites the campaign iCoA of 24.08.2026</t>
        </is>
      </c>
      <c r="U137" s="243">
        <f>IFERROR(INDEX('CoQ Register'!$B:$B,MATCH("P060052|I",'CoQ Register'!$S:$S,0)),"— initial certificate not on the register —")</f>
        <v/>
      </c>
      <c r="V137" s="251" t="n">
        <v>22.97</v>
      </c>
      <c r="W137" s="243" t="inlineStr">
        <is>
          <t>227-30-К/26</t>
        </is>
      </c>
      <c r="X137" s="243" t="inlineStr">
        <is>
          <t>22.00 ± 2.20 (I)</t>
        </is>
      </c>
      <c r="Y137" s="243" t="inlineStr">
        <is>
          <t>19.80 – 24.19 %</t>
        </is>
      </c>
      <c r="Z137" s="243" t="inlineStr">
        <is>
          <t>AB_THC22 : CBD1</t>
        </is>
      </c>
      <c r="AA137" s="243" t="inlineStr">
        <is>
          <t>QCSP_001_AB-I_v.01</t>
        </is>
      </c>
      <c r="AB137" s="246" t="inlineStr">
        <is>
          <t>for review — new</t>
        </is>
      </c>
      <c r="AC137" s="246" t="inlineStr"/>
    </row>
    <row r="138">
      <c r="A138" s="243">
        <f>IF(OR(C138="yes",C138="allocated",C138="ruled"),COUNT(A$1:A137)+1,"")</f>
        <v/>
      </c>
      <c r="B138" s="244">
        <f>IF(A138&lt;&gt;"","CoQ-PP_26-"&amp;TEXT(A138,"000"),"— at issue —")</f>
        <v/>
      </c>
      <c r="C138" s="253" t="inlineStr">
        <is>
          <t>allocated</t>
        </is>
      </c>
      <c r="D138" s="245" t="n">
        <v>46286</v>
      </c>
      <c r="E138" s="245" t="inlineStr">
        <is>
          <t>— the owner's date for all of Tranche 3 (15.09.2026), the 227-М certificates expected by 18.09.2026; provisional —</t>
        </is>
      </c>
      <c r="F138" s="245" t="n">
        <v>46276</v>
      </c>
      <c r="G138" s="243" t="inlineStr">
        <is>
          <t>227-29-K-26</t>
        </is>
      </c>
      <c r="H138" s="243">
        <f>IFERROR(INDEX('iCoA Register'!$B:$B,MATCH("P050122|R2",'iCoA Register'!$AA:$AA,0)),"—")</f>
        <v/>
      </c>
      <c r="I138" s="245">
        <f>IFERROR(INDEX('iCoA Register'!$D:$D,MATCH("P050122|R2",'iCoA Register'!$AA:$AA,0)),"")</f>
        <v/>
      </c>
      <c r="J138" s="243" t="inlineStr">
        <is>
          <t>legacy</t>
        </is>
      </c>
      <c r="K138" s="243" t="inlineStr">
        <is>
          <t>retest — Tranche 3 (sampled 19–21.08.2026)</t>
        </is>
      </c>
      <c r="L138" s="244" t="inlineStr">
        <is>
          <t>BSS1024_01/1</t>
        </is>
      </c>
      <c r="M138" s="243" t="inlineStr">
        <is>
          <t>P050122</t>
        </is>
      </c>
      <c r="N138" s="243" t="inlineStr">
        <is>
          <t>Blue Sunset Sherbet</t>
        </is>
      </c>
      <c r="O138" s="243" t="inlineStr">
        <is>
          <t>227-29-K-26, (11.09.2026) [FHM-K]</t>
        </is>
      </c>
      <c r="P138" s="248" t="inlineStr">
        <is>
          <t>—</t>
        </is>
      </c>
      <c r="Q138" s="243" t="inlineStr">
        <is>
          <t>—</t>
        </is>
      </c>
      <c r="R138" s="243" t="inlineStr">
        <is>
          <t>CoQ reissue (assigned on issue)</t>
        </is>
      </c>
      <c r="S138" s="243" t="inlineStr">
        <is>
          <t>P050122|R2</t>
        </is>
      </c>
      <c r="T138" s="254" t="inlineStr">
        <is>
          <t>allocated — code reserved 15.09.2026 for the Tranche 3 (sampled 19–21.08.2026) reissue (owner: every Tranche 3 retest parameter is tested at Farmahem and its certificates all issue on one date); sampled 21.08.2026, retest assay 227-29-K-26 on file, mycotoxins pending; planned 21.09.2026 — the owner's date of 15.09.2026 for all of Tranche 3, the 227-М certificates expected by 18.09.2026, provisional until they exist, after every Tranche 2 reissue; cites the campaign iCoA of 24.08.2026</t>
        </is>
      </c>
      <c r="U138" s="243">
        <f>IFERROR(INDEX('CoQ Register'!$B:$B,MATCH("P050122|I",'CoQ Register'!$S:$S,0)),"— initial certificate not on the register —")</f>
        <v/>
      </c>
      <c r="V138" s="251" t="n">
        <v>26.1</v>
      </c>
      <c r="W138" s="243" t="inlineStr">
        <is>
          <t>227-29-К/26</t>
        </is>
      </c>
      <c r="X138" s="243" t="inlineStr">
        <is>
          <t>28.00 ± 1.93 (I)</t>
        </is>
      </c>
      <c r="Y138" s="243" t="inlineStr">
        <is>
          <t>26.07 – 29.92 %</t>
        </is>
      </c>
      <c r="Z138" s="243" t="inlineStr">
        <is>
          <t>BSS_THC28 : CBD1</t>
        </is>
      </c>
      <c r="AA138" s="243" t="inlineStr">
        <is>
          <t>QCSP_001_BSS-I_v.01</t>
        </is>
      </c>
      <c r="AB138" s="252" t="inlineStr">
        <is>
          <t>for review — replaces the issued QCSP_001_BSS-I_v.01 (was BSS_THC24 : CBD1, 22.01 – 25.99 %); now BSS_THC28 : CBD1 26.07 – 29.92 %</t>
        </is>
      </c>
      <c r="AC138" s="246" t="inlineStr"/>
    </row>
    <row r="139">
      <c r="A139" s="243">
        <f>IF(OR(C139="yes",C139="allocated",C139="ruled"),COUNT(A$1:A138)+1,"")</f>
        <v/>
      </c>
      <c r="B139" s="244">
        <f>IF(A139&lt;&gt;"","CoQ-PP_26-"&amp;TEXT(A139,"000"),"— at issue —")</f>
        <v/>
      </c>
      <c r="C139" s="253" t="inlineStr">
        <is>
          <t>allocated</t>
        </is>
      </c>
      <c r="D139" s="245" t="n">
        <v>46286</v>
      </c>
      <c r="E139" s="245" t="inlineStr">
        <is>
          <t>— the owner's date for all of Tranche 3 (15.09.2026), the 227-М certificates expected by 18.09.2026; provisional —</t>
        </is>
      </c>
      <c r="F139" s="245" t="n">
        <v>46276</v>
      </c>
      <c r="G139" s="243" t="inlineStr">
        <is>
          <t>227-1-K-26</t>
        </is>
      </c>
      <c r="H139" s="243">
        <f>IFERROR(INDEX('iCoA Register'!$B:$B,MATCH("P050142|R2",'iCoA Register'!$AA:$AA,0)),"—")</f>
        <v/>
      </c>
      <c r="I139" s="245">
        <f>IFERROR(INDEX('iCoA Register'!$D:$D,MATCH("P050142|R2",'iCoA Register'!$AA:$AA,0)),"")</f>
        <v/>
      </c>
      <c r="J139" s="243" t="inlineStr">
        <is>
          <t>legacy</t>
        </is>
      </c>
      <c r="K139" s="243" t="inlineStr">
        <is>
          <t>retest — Tranche 3 (sampled 19–21.08.2026)</t>
        </is>
      </c>
      <c r="L139" s="244" t="inlineStr">
        <is>
          <t>BSS1024_01/2</t>
        </is>
      </c>
      <c r="M139" s="243" t="inlineStr">
        <is>
          <t>P050142</t>
        </is>
      </c>
      <c r="N139" s="243" t="inlineStr">
        <is>
          <t>Blue Sunset Sherbet</t>
        </is>
      </c>
      <c r="O139" s="243" t="inlineStr">
        <is>
          <t>227-1-K-26, (11.09.2026) [FHM-K]</t>
        </is>
      </c>
      <c r="P139" s="248" t="inlineStr">
        <is>
          <t>—</t>
        </is>
      </c>
      <c r="Q139" s="243" t="inlineStr">
        <is>
          <t>—</t>
        </is>
      </c>
      <c r="R139" s="243" t="inlineStr">
        <is>
          <t>CoQ reissue (assigned on issue)</t>
        </is>
      </c>
      <c r="S139" s="243" t="inlineStr">
        <is>
          <t>P050142|R2</t>
        </is>
      </c>
      <c r="T139" s="254" t="inlineStr">
        <is>
          <t>allocated — code reserved 15.09.2026 for the Tranche 3 (sampled 19–21.08.2026) reissue (owner: every Tranche 3 retest parameter is tested at Farmahem and its certificates all issue on one date); sampled 19.08.2026, retest assay 227-1-K-26 on file, mycotoxins pending; planned 21.09.2026 — the owner's date of 15.09.2026 for all of Tranche 3, the 227-М certificates expected by 18.09.2026, provisional until they exist, after every Tranche 2 reissue; cites the campaign iCoA of 24.08.2026</t>
        </is>
      </c>
      <c r="U139" s="243">
        <f>IFERROR(INDEX('CoQ Register'!$B:$B,MATCH("P050142|I",'CoQ Register'!$S:$S,0)),"— initial certificate not on the register —")</f>
        <v/>
      </c>
      <c r="V139" s="251" t="n">
        <v>26.69</v>
      </c>
      <c r="W139" s="243" t="inlineStr">
        <is>
          <t>227-1-К/26</t>
        </is>
      </c>
      <c r="X139" s="243" t="inlineStr">
        <is>
          <t>28.00 ± 1.93 (I)</t>
        </is>
      </c>
      <c r="Y139" s="243" t="inlineStr">
        <is>
          <t>26.07 – 29.92 %</t>
        </is>
      </c>
      <c r="Z139" s="243" t="inlineStr">
        <is>
          <t>BSS_THC28 : CBD1</t>
        </is>
      </c>
      <c r="AA139" s="243" t="inlineStr">
        <is>
          <t>QCSP_001_BSS-I_v.01</t>
        </is>
      </c>
      <c r="AB139" s="252" t="inlineStr">
        <is>
          <t>for review — replaces the issued QCSP_001_BSS-I_v.01 (was BSS_THC24 : CBD1, 22.01 – 25.99 %); now BSS_THC28 : CBD1 26.07 – 29.92 %</t>
        </is>
      </c>
      <c r="AC139" s="246" t="inlineStr"/>
    </row>
    <row r="140">
      <c r="A140" s="243">
        <f>IF(OR(C140="yes",C140="allocated",C140="ruled"),COUNT(A$1:A139)+1,"")</f>
        <v/>
      </c>
      <c r="B140" s="244">
        <f>IF(A140&lt;&gt;"","CoQ-PP_26-"&amp;TEXT(A140,"000"),"— at issue —")</f>
        <v/>
      </c>
      <c r="C140" s="253" t="inlineStr">
        <is>
          <t>allocated</t>
        </is>
      </c>
      <c r="D140" s="245" t="n">
        <v>46286</v>
      </c>
      <c r="E140" s="245" t="inlineStr">
        <is>
          <t>— the owner's date for all of Tranche 3 (15.09.2026), the 227-М certificates expected by 18.09.2026; provisional —</t>
        </is>
      </c>
      <c r="F140" s="245" t="n">
        <v>46276</v>
      </c>
      <c r="G140" s="243" t="inlineStr">
        <is>
          <t>227-25-K-26</t>
        </is>
      </c>
      <c r="H140" s="243">
        <f>IFERROR(INDEX('iCoA Register'!$B:$B,MATCH("P060272|R2",'iCoA Register'!$AA:$AA,0)),"—")</f>
        <v/>
      </c>
      <c r="I140" s="245">
        <f>IFERROR(INDEX('iCoA Register'!$D:$D,MATCH("P060272|R2",'iCoA Register'!$AA:$AA,0)),"")</f>
        <v/>
      </c>
      <c r="J140" s="243" t="inlineStr">
        <is>
          <t>post-SOP</t>
        </is>
      </c>
      <c r="K140" s="243" t="inlineStr">
        <is>
          <t>retest — Tranche 3 (sampled 19–21.08.2026)</t>
        </is>
      </c>
      <c r="L140" s="244" t="inlineStr">
        <is>
          <t>CC112501</t>
        </is>
      </c>
      <c r="M140" s="243" t="inlineStr">
        <is>
          <t>P060272</t>
        </is>
      </c>
      <c r="N140" s="243" t="inlineStr">
        <is>
          <t>Cash Cow</t>
        </is>
      </c>
      <c r="O140" s="243" t="inlineStr">
        <is>
          <t>227-25-K-26, (11.09.2026) [FHM-K]</t>
        </is>
      </c>
      <c r="P140" s="248" t="inlineStr">
        <is>
          <t>—</t>
        </is>
      </c>
      <c r="Q140" s="243" t="inlineStr">
        <is>
          <t>—</t>
        </is>
      </c>
      <c r="R140" s="243" t="inlineStr">
        <is>
          <t>CoQ reissue (assigned on issue)</t>
        </is>
      </c>
      <c r="S140" s="243" t="inlineStr">
        <is>
          <t>P060272|R2</t>
        </is>
      </c>
      <c r="T140" s="254" t="inlineStr">
        <is>
          <t>allocated — code reserved 15.09.2026 for the Tranche 3 (sampled 19–21.08.2026) reissue (owner: every Tranche 3 retest parameter is tested at Farmahem and its certificates all issue on one date); sampled 21.08.2026, retest assay 227-25-K-26 on file, mycotoxins pending; planned 21.09.2026 — the owner's date of 15.09.2026 for all of Tranche 3, the 227-М certificates expected by 18.09.2026, provisional until they exist, after every Tranche 2 reissue; cites the campaign iCoA of 24.08.2026</t>
        </is>
      </c>
      <c r="U140" s="243">
        <f>IFERROR(INDEX('CoQ Register'!$B:$B,MATCH("P060272|I",'CoQ Register'!$S:$S,0)),"— initial certificate not on the register —")</f>
        <v/>
      </c>
      <c r="V140" s="251" t="n">
        <v>16.36</v>
      </c>
      <c r="W140" s="243" t="inlineStr">
        <is>
          <t>227-25-К/26</t>
        </is>
      </c>
      <c r="X140" s="243" t="inlineStr">
        <is>
          <t>17.00 ± 1.65 (I)</t>
        </is>
      </c>
      <c r="Y140" s="243" t="inlineStr">
        <is>
          <t>15.35 – 18.64 %</t>
        </is>
      </c>
      <c r="Z140" s="243" t="inlineStr">
        <is>
          <t>CC_THC17 : CBD1</t>
        </is>
      </c>
      <c r="AA140" s="243" t="inlineStr">
        <is>
          <t>QCSP_001_CC-I_v.01</t>
        </is>
      </c>
      <c r="AB140" s="246" t="inlineStr">
        <is>
          <t>for review — new</t>
        </is>
      </c>
      <c r="AC140" s="246" t="inlineStr"/>
    </row>
    <row r="141">
      <c r="A141" s="243">
        <f>IF(OR(C141="yes",C141="allocated",C141="ruled"),COUNT(A$1:A140)+1,"")</f>
        <v/>
      </c>
      <c r="B141" s="244">
        <f>IF(A141&lt;&gt;"","CoQ-PP_26-"&amp;TEXT(A141,"000"),"— at issue —")</f>
        <v/>
      </c>
      <c r="C141" s="253" t="inlineStr">
        <is>
          <t>allocated</t>
        </is>
      </c>
      <c r="D141" s="245" t="n">
        <v>46286</v>
      </c>
      <c r="E141" s="245" t="inlineStr">
        <is>
          <t>— the owner's date for all of Tranche 3 (15.09.2026), the 227-М certificates expected by 18.09.2026; provisional —</t>
        </is>
      </c>
      <c r="F141" s="245" t="n">
        <v>46276</v>
      </c>
      <c r="G141" s="243" t="inlineStr">
        <is>
          <t>227-28-K-26</t>
        </is>
      </c>
      <c r="H141" s="243">
        <f>IFERROR(INDEX('iCoA Register'!$B:$B,MATCH("P050172|R2",'iCoA Register'!$AA:$AA,0)),"—")</f>
        <v/>
      </c>
      <c r="I141" s="245">
        <f>IFERROR(INDEX('iCoA Register'!$D:$D,MATCH("P050172|R2",'iCoA Register'!$AA:$AA,0)),"")</f>
        <v/>
      </c>
      <c r="J141" s="243" t="inlineStr">
        <is>
          <t>legacy</t>
        </is>
      </c>
      <c r="K141" s="243" t="inlineStr">
        <is>
          <t>retest — Tranche 3 (sampled 19–21.08.2026)</t>
        </is>
      </c>
      <c r="L141" s="244" t="inlineStr">
        <is>
          <t>CJ052501/02</t>
        </is>
      </c>
      <c r="M141" s="243" t="inlineStr">
        <is>
          <t>P050172</t>
        </is>
      </c>
      <c r="N141" s="243" t="inlineStr">
        <is>
          <t>Cap Junky</t>
        </is>
      </c>
      <c r="O141" s="243" t="inlineStr">
        <is>
          <t>227-28-K-26, (11.09.2026) [FHM-K]</t>
        </is>
      </c>
      <c r="P141" s="248" t="inlineStr">
        <is>
          <t>—</t>
        </is>
      </c>
      <c r="Q141" s="243" t="inlineStr">
        <is>
          <t>—</t>
        </is>
      </c>
      <c r="R141" s="243" t="inlineStr">
        <is>
          <t>CoQ reissue (assigned on issue)</t>
        </is>
      </c>
      <c r="S141" s="243" t="inlineStr">
        <is>
          <t>P050172|R2</t>
        </is>
      </c>
      <c r="T141" s="254" t="inlineStr">
        <is>
          <t>allocated — code reserved 15.09.2026 for the Tranche 3 (sampled 19–21.08.2026) reissue (owner: every Tranche 3 retest parameter is tested at Farmahem and its certificates all issue on one date); sampled 21.08.2026, retest assay 227-28-K-26 on file, mycotoxins pending; planned 21.09.2026 — the owner's date of 15.09.2026 for all of Tranche 3, the 227-М certificates expected by 18.09.2026, provisional until they exist, after every Tranche 2 reissue; cites the campaign iCoA of 24.08.2026</t>
        </is>
      </c>
      <c r="U141" s="243">
        <f>IFERROR(INDEX('CoQ Register'!$B:$B,MATCH("P050172|I",'CoQ Register'!$S:$S,0)),"— initial certificate not on the register —")</f>
        <v/>
      </c>
      <c r="V141" s="251" t="n">
        <v>21.3</v>
      </c>
      <c r="W141" s="243" t="inlineStr">
        <is>
          <t>227-28-К/26</t>
        </is>
      </c>
      <c r="X141" s="243" t="inlineStr">
        <is>
          <t>20.00 ± 1.60 (III)</t>
        </is>
      </c>
      <c r="Y141" s="243" t="inlineStr">
        <is>
          <t>18.40 – 21.59 %</t>
        </is>
      </c>
      <c r="Z141" s="243" t="inlineStr">
        <is>
          <t>CJ_THC20 : CBD1</t>
        </is>
      </c>
      <c r="AA141" s="243" t="inlineStr">
        <is>
          <t>QCSP_001_CJ-III_v.01</t>
        </is>
      </c>
      <c r="AB141" s="252" t="inlineStr">
        <is>
          <t>for review — replaces the issued QCSP_001_CJ-III_v.01 (was CJ_THC24 : CBD1, 23.00 – 25.00 %); now CJ_THC20 : CBD1 18.40 – 21.59 %</t>
        </is>
      </c>
      <c r="AC141" s="246" t="inlineStr"/>
    </row>
    <row r="142">
      <c r="A142" s="243">
        <f>IF(OR(C142="yes",C142="allocated",C142="ruled"),COUNT(A$1:A141)+1,"")</f>
        <v/>
      </c>
      <c r="B142" s="244">
        <f>IF(A142&lt;&gt;"","CoQ-PP_26-"&amp;TEXT(A142,"000"),"— at issue —")</f>
        <v/>
      </c>
      <c r="C142" s="253" t="inlineStr">
        <is>
          <t>allocated</t>
        </is>
      </c>
      <c r="D142" s="245" t="n">
        <v>46286</v>
      </c>
      <c r="E142" s="245" t="inlineStr">
        <is>
          <t>— the owner's date for all of Tranche 3 (15.09.2026), the 227-М certificates expected by 18.09.2026; provisional —</t>
        </is>
      </c>
      <c r="F142" s="245" t="n">
        <v>46276</v>
      </c>
      <c r="G142" s="243" t="inlineStr">
        <is>
          <t>227-27-K-26</t>
        </is>
      </c>
      <c r="H142" s="243">
        <f>IFERROR(INDEX('iCoA Register'!$B:$B,MATCH("P050252|R2",'iCoA Register'!$AA:$AA,0)),"—")</f>
        <v/>
      </c>
      <c r="I142" s="245">
        <f>IFERROR(INDEX('iCoA Register'!$D:$D,MATCH("P050252|R2",'iCoA Register'!$AA:$AA,0)),"")</f>
        <v/>
      </c>
      <c r="J142" s="243" t="inlineStr">
        <is>
          <t>legacy</t>
        </is>
      </c>
      <c r="K142" s="243" t="inlineStr">
        <is>
          <t>retest — Tranche 3 (sampled 19–21.08.2026)</t>
        </is>
      </c>
      <c r="L142" s="244" t="inlineStr">
        <is>
          <t>CJ072501</t>
        </is>
      </c>
      <c r="M142" s="243" t="inlineStr">
        <is>
          <t>P050252</t>
        </is>
      </c>
      <c r="N142" s="243" t="inlineStr">
        <is>
          <t>Cap Junky</t>
        </is>
      </c>
      <c r="O142" s="243" t="inlineStr">
        <is>
          <t>227-27-K-26, (11.09.2026) [FHM-K]</t>
        </is>
      </c>
      <c r="P142" s="248" t="inlineStr">
        <is>
          <t>—</t>
        </is>
      </c>
      <c r="Q142" s="243" t="inlineStr">
        <is>
          <t>—</t>
        </is>
      </c>
      <c r="R142" s="243" t="inlineStr">
        <is>
          <t>CoQ reissue (assigned on issue)</t>
        </is>
      </c>
      <c r="S142" s="243" t="inlineStr">
        <is>
          <t>P050252|R2</t>
        </is>
      </c>
      <c r="T142" s="254" t="inlineStr">
        <is>
          <t>allocated — code reserved 15.09.2026 for the Tranche 3 (sampled 19–21.08.2026) reissue (owner: every Tranche 3 retest parameter is tested at Farmahem and its certificates all issue on one date); sampled 21.08.2026, retest assay 227-27-K-26 on file, mycotoxins pending; planned 21.09.2026 — the owner's date of 15.09.2026 for all of Tranche 3, the 227-М certificates expected by 18.09.2026, provisional until they exist, after every Tranche 2 reissue; cites the campaign iCoA of 24.08.2026</t>
        </is>
      </c>
      <c r="U142" s="243">
        <f>IFERROR(INDEX('CoQ Register'!$B:$B,MATCH("P050252|I",'CoQ Register'!$S:$S,0)),"— initial certificate not on the register —")</f>
        <v/>
      </c>
      <c r="V142" s="251" t="n">
        <v>28.18</v>
      </c>
      <c r="W142" s="243" t="inlineStr">
        <is>
          <t>227-27-К/26</t>
        </is>
      </c>
      <c r="X142" s="243" t="inlineStr">
        <is>
          <t>28.00 ± 1.60 (I)</t>
        </is>
      </c>
      <c r="Y142" s="243" t="inlineStr">
        <is>
          <t>26.40 – 29.59 %</t>
        </is>
      </c>
      <c r="Z142" s="243" t="inlineStr">
        <is>
          <t>CJ_THC28 : CBD1</t>
        </is>
      </c>
      <c r="AA142" s="243" t="inlineStr">
        <is>
          <t>QCSP_001_CJ-I_v.01</t>
        </is>
      </c>
      <c r="AB142" s="252" t="inlineStr">
        <is>
          <t>for review — replaces the issued QCSP_001_CJ-I_v.01 (was CJ_THC28 : CBD1, 27.00 – 29.00 %); now CJ_THC28 : CBD1 26.40 – 29.59 %</t>
        </is>
      </c>
      <c r="AC142" s="246" t="inlineStr"/>
    </row>
    <row r="143">
      <c r="A143" s="243">
        <f>IF(OR(C143="yes",C143="allocated",C143="ruled"),COUNT(A$1:A142)+1,"")</f>
        <v/>
      </c>
      <c r="B143" s="244">
        <f>IF(A143&lt;&gt;"","CoQ-PP_26-"&amp;TEXT(A143,"000"),"— at issue —")</f>
        <v/>
      </c>
      <c r="C143" s="253" t="inlineStr">
        <is>
          <t>allocated</t>
        </is>
      </c>
      <c r="D143" s="245" t="n">
        <v>46286</v>
      </c>
      <c r="E143" s="245" t="inlineStr">
        <is>
          <t>— the owner's date for all of Tranche 3 (15.09.2026), the 227-М certificates expected by 18.09.2026; provisional —</t>
        </is>
      </c>
      <c r="F143" s="245" t="n">
        <v>46276</v>
      </c>
      <c r="G143" s="243" t="inlineStr">
        <is>
          <t>227-26-K-26</t>
        </is>
      </c>
      <c r="H143" s="243">
        <f>IFERROR(INDEX('iCoA Register'!$B:$B,MATCH("CJ1024|R2",'iCoA Register'!$AA:$AA,0)),"—")</f>
        <v/>
      </c>
      <c r="I143" s="245">
        <f>IFERROR(INDEX('iCoA Register'!$D:$D,MATCH("CJ1024|R2",'iCoA Register'!$AA:$AA,0)),"")</f>
        <v/>
      </c>
      <c r="J143" s="243" t="inlineStr">
        <is>
          <t>legacy</t>
        </is>
      </c>
      <c r="K143" s="243" t="inlineStr">
        <is>
          <t>retest — Tranche 3 (sampled 19–21.08.2026)</t>
        </is>
      </c>
      <c r="L143" s="244" t="inlineStr">
        <is>
          <t>CJ1024</t>
        </is>
      </c>
      <c r="M143" s="243" t="inlineStr">
        <is>
          <t>N/A — no P batch assigned</t>
        </is>
      </c>
      <c r="N143" s="243" t="inlineStr">
        <is>
          <t>Cap Junky</t>
        </is>
      </c>
      <c r="O143" s="243" t="inlineStr">
        <is>
          <t>227-26-K-26, (11.09.2026) [FHM-K]</t>
        </is>
      </c>
      <c r="P143" s="248" t="inlineStr">
        <is>
          <t>—</t>
        </is>
      </c>
      <c r="Q143" s="243" t="inlineStr">
        <is>
          <t>—</t>
        </is>
      </c>
      <c r="R143" s="243" t="inlineStr">
        <is>
          <t>CoQ reissue (assigned on issue)</t>
        </is>
      </c>
      <c r="S143" s="243" t="inlineStr">
        <is>
          <t>CJ1024|R2</t>
        </is>
      </c>
      <c r="T143" s="254" t="inlineStr">
        <is>
          <t>allocated — code reserved 15.09.2026 for the Tranche 3 (sampled 19–21.08.2026) reissue (owner: every Tranche 3 retest parameter is tested at Farmahem and its certificates all issue on one date); sampled 21.08.2026, retest assay 227-26-K-26 on file, mycotoxins pending; planned 21.09.2026 — the owner's date of 15.09.2026 for all of Tranche 3, the 227-М certificates expected by 18.09.2026, provisional until they exist, after every Tranche 2 reissue; cites the campaign iCoA of 24.08.2026</t>
        </is>
      </c>
      <c r="U143" s="243">
        <f>IFERROR(INDEX('CoQ Register'!$B:$B,MATCH("CJ1024|I",'CoQ Register'!$S:$S,0)),"— initial certificate not on the register —")</f>
        <v/>
      </c>
      <c r="V143" s="251" t="n">
        <v>28.12</v>
      </c>
      <c r="W143" s="243" t="inlineStr">
        <is>
          <t>227-26-К/26</t>
        </is>
      </c>
      <c r="X143" s="243" t="inlineStr">
        <is>
          <t>28.00 ± 1.60 (I)</t>
        </is>
      </c>
      <c r="Y143" s="243" t="inlineStr">
        <is>
          <t>26.40 – 29.59 %</t>
        </is>
      </c>
      <c r="Z143" s="243" t="inlineStr">
        <is>
          <t>CJ_THC28 : CBD1</t>
        </is>
      </c>
      <c r="AA143" s="243" t="inlineStr">
        <is>
          <t>QCSP_001_CJ-I_v.01</t>
        </is>
      </c>
      <c r="AB143" s="252" t="inlineStr">
        <is>
          <t>for review — replaces the issued QCSP_001_CJ-I_v.01 (was CJ_THC28 : CBD1, 27.00 – 29.00 %); now CJ_THC28 : CBD1 26.40 – 29.59 %</t>
        </is>
      </c>
      <c r="AC143" s="246" t="inlineStr"/>
    </row>
    <row r="144">
      <c r="A144" s="243">
        <f>IF(OR(C144="yes",C144="allocated",C144="ruled"),COUNT(A$1:A143)+1,"")</f>
        <v/>
      </c>
      <c r="B144" s="244">
        <f>IF(A144&lt;&gt;"","CoQ-PP_26-"&amp;TEXT(A144,"000"),"— at issue —")</f>
        <v/>
      </c>
      <c r="C144" s="253" t="inlineStr">
        <is>
          <t>allocated</t>
        </is>
      </c>
      <c r="D144" s="245" t="n">
        <v>46286</v>
      </c>
      <c r="E144" s="245" t="inlineStr">
        <is>
          <t>— the owner's date for all of Tranche 3 (15.09.2026), the 227-М certificates expected by 18.09.2026; provisional —</t>
        </is>
      </c>
      <c r="F144" s="245" t="n">
        <v>46276</v>
      </c>
      <c r="G144" s="243" t="inlineStr">
        <is>
          <t>227-24-K-26</t>
        </is>
      </c>
      <c r="H144" s="243">
        <f>IFERROR(INDEX('iCoA Register'!$B:$B,MATCH("P060432|R2",'iCoA Register'!$AA:$AA,0)),"—")</f>
        <v/>
      </c>
      <c r="I144" s="245">
        <f>IFERROR(INDEX('iCoA Register'!$D:$D,MATCH("P060432|R2",'iCoA Register'!$AA:$AA,0)),"")</f>
        <v/>
      </c>
      <c r="J144" s="243" t="inlineStr">
        <is>
          <t>post-SOP</t>
        </is>
      </c>
      <c r="K144" s="243" t="inlineStr">
        <is>
          <t>retest — Tranche 3 (sampled 19–21.08.2026)</t>
        </is>
      </c>
      <c r="L144" s="244" t="inlineStr">
        <is>
          <t>FB012603</t>
        </is>
      </c>
      <c r="M144" s="243" t="inlineStr">
        <is>
          <t>P060432</t>
        </is>
      </c>
      <c r="N144" s="243" t="inlineStr">
        <is>
          <t>Fat Bastard</t>
        </is>
      </c>
      <c r="O144" s="243" t="inlineStr">
        <is>
          <t>227-24-K-26, (11.09.2026) [FHM-K]</t>
        </is>
      </c>
      <c r="P144" s="248" t="inlineStr">
        <is>
          <t>—</t>
        </is>
      </c>
      <c r="Q144" s="243" t="inlineStr">
        <is>
          <t>—</t>
        </is>
      </c>
      <c r="R144" s="243" t="inlineStr">
        <is>
          <t>CoQ reissue (assigned on issue)</t>
        </is>
      </c>
      <c r="S144" s="243" t="inlineStr">
        <is>
          <t>P060432|R2</t>
        </is>
      </c>
      <c r="T144" s="254" t="inlineStr">
        <is>
          <t>allocated — code reserved 15.09.2026 for the Tranche 3 (sampled 19–21.08.2026) reissue (owner: every Tranche 3 retest parameter is tested at Farmahem and its certificates all issue on one date); sampled 21.08.2026, retest assay 227-24-K-26 on file, mycotoxins pending; planned 21.09.2026 — the owner's date of 15.09.2026 for all of Tranche 3, the 227-М certificates expected by 18.09.2026, provisional until they exist, after every Tranche 2 reissue; cites the campaign iCoA of 24.08.2026</t>
        </is>
      </c>
      <c r="U144" s="243">
        <f>IFERROR(INDEX('CoQ Register'!$B:$B,MATCH("P060432|I",'CoQ Register'!$S:$S,0)),"— initial certificate not on the register —")</f>
        <v/>
      </c>
      <c r="V144" s="251" t="n">
        <v>20</v>
      </c>
      <c r="W144" s="243" t="inlineStr">
        <is>
          <t>227-24-К/26</t>
        </is>
      </c>
      <c r="X144" s="243" t="inlineStr">
        <is>
          <t>22.00 ± 2.20 (I)</t>
        </is>
      </c>
      <c r="Y144" s="243" t="inlineStr">
        <is>
          <t>19.80 – 24.19 %</t>
        </is>
      </c>
      <c r="Z144" s="243" t="inlineStr">
        <is>
          <t>FB_THC22 : CBD1</t>
        </is>
      </c>
      <c r="AA144" s="243" t="inlineStr">
        <is>
          <t>QCSP_001_FB-I_v.01</t>
        </is>
      </c>
      <c r="AB144" s="246" t="inlineStr">
        <is>
          <t>for review — new</t>
        </is>
      </c>
      <c r="AC144" s="246" t="inlineStr"/>
    </row>
    <row r="145">
      <c r="A145" s="243">
        <f>IF(OR(C145="yes",C145="allocated",C145="ruled"),COUNT(A$1:A144)+1,"")</f>
        <v/>
      </c>
      <c r="B145" s="244">
        <f>IF(A145&lt;&gt;"","CoQ-PP_26-"&amp;TEXT(A145,"000"),"— at issue —")</f>
        <v/>
      </c>
      <c r="C145" s="253" t="inlineStr">
        <is>
          <t>allocated</t>
        </is>
      </c>
      <c r="D145" s="245" t="n">
        <v>46286</v>
      </c>
      <c r="E145" s="245" t="inlineStr">
        <is>
          <t>— the owner's date for all of Tranche 3 (15.09.2026), the 227-М certificates expected by 18.09.2026; provisional —</t>
        </is>
      </c>
      <c r="F145" s="245" t="n">
        <v>46276</v>
      </c>
      <c r="G145" s="243" t="inlineStr">
        <is>
          <t>227-23-K-26</t>
        </is>
      </c>
      <c r="H145" s="243">
        <f>IFERROR(INDEX('iCoA Register'!$B:$B,MATCH("P060392|R2",'iCoA Register'!$AA:$AA,0)),"—")</f>
        <v/>
      </c>
      <c r="I145" s="245">
        <f>IFERROR(INDEX('iCoA Register'!$D:$D,MATCH("P060392|R2",'iCoA Register'!$AA:$AA,0)),"")</f>
        <v/>
      </c>
      <c r="J145" s="243" t="inlineStr">
        <is>
          <t>post-SOP</t>
        </is>
      </c>
      <c r="K145" s="243" t="inlineStr">
        <is>
          <t>retest — Tranche 3 (sampled 19–21.08.2026)</t>
        </is>
      </c>
      <c r="L145" s="244" t="inlineStr">
        <is>
          <t>FB012603V</t>
        </is>
      </c>
      <c r="M145" s="243" t="inlineStr">
        <is>
          <t>P060392</t>
        </is>
      </c>
      <c r="N145" s="243" t="inlineStr">
        <is>
          <t>Fat Bastard</t>
        </is>
      </c>
      <c r="O145" s="243" t="inlineStr">
        <is>
          <t>227-23-K-26, (11.09.2026) [FHM-K]</t>
        </is>
      </c>
      <c r="P145" s="248" t="inlineStr">
        <is>
          <t>—</t>
        </is>
      </c>
      <c r="Q145" s="243" t="inlineStr">
        <is>
          <t>—</t>
        </is>
      </c>
      <c r="R145" s="243" t="inlineStr">
        <is>
          <t>CoQ reissue (assigned on issue)</t>
        </is>
      </c>
      <c r="S145" s="243" t="inlineStr">
        <is>
          <t>P060392|R2</t>
        </is>
      </c>
      <c r="T145" s="254" t="inlineStr">
        <is>
          <t>allocated — code reserved 15.09.2026 for the Tranche 3 (sampled 19–21.08.2026) reissue (owner: every Tranche 3 retest parameter is tested at Farmahem and its certificates all issue on one date); sampled 21.08.2026, retest assay 227-23-K-26 on file, mycotoxins pending; planned 21.09.2026 — the owner's date of 15.09.2026 for all of Tranche 3, the 227-М certificates expected by 18.09.2026, provisional until they exist, after every Tranche 2 reissue; cites the campaign iCoA of 24.08.2026</t>
        </is>
      </c>
      <c r="U145" s="243">
        <f>IFERROR(INDEX('CoQ Register'!$B:$B,MATCH("P060392|I",'CoQ Register'!$S:$S,0)),"— initial certificate not on the register —")</f>
        <v/>
      </c>
      <c r="V145" s="251" t="n">
        <v>19.31</v>
      </c>
      <c r="W145" s="243" t="inlineStr">
        <is>
          <t>227-23-К/26</t>
        </is>
      </c>
      <c r="X145" s="243" t="inlineStr">
        <is>
          <t>18.00 ± 1.80 (II)</t>
        </is>
      </c>
      <c r="Y145" s="243" t="inlineStr">
        <is>
          <t>16.20 – 19.79 %</t>
        </is>
      </c>
      <c r="Z145" s="243" t="inlineStr">
        <is>
          <t>FB_THC18 : CBD1</t>
        </is>
      </c>
      <c r="AA145" s="243" t="inlineStr">
        <is>
          <t>QCSP_001_FB-II_v.01</t>
        </is>
      </c>
      <c r="AB145" s="252" t="inlineStr">
        <is>
          <t>for review — replaces the issued QCSP_001_FB-II_v.01 (was FB_THC18 : CBD1, 17.15 – 18.85 %); now FB_THC18 : CBD1 16.20 – 19.79 %</t>
        </is>
      </c>
      <c r="AC145" s="246" t="inlineStr"/>
    </row>
    <row r="146">
      <c r="A146" s="243">
        <f>IF(OR(C146="yes",C146="allocated",C146="ruled"),COUNT(A$1:A145)+1,"")</f>
        <v/>
      </c>
      <c r="B146" s="244">
        <f>IF(A146&lt;&gt;"","CoQ-PP_26-"&amp;TEXT(A146,"000"),"— at issue —")</f>
        <v/>
      </c>
      <c r="C146" s="253" t="inlineStr">
        <is>
          <t>allocated</t>
        </is>
      </c>
      <c r="D146" s="245" t="n">
        <v>46286</v>
      </c>
      <c r="E146" s="245" t="inlineStr">
        <is>
          <t>— the owner's date for all of Tranche 3 (15.09.2026), the 227-М certificates expected by 18.09.2026; provisional —</t>
        </is>
      </c>
      <c r="F146" s="245" t="n">
        <v>46276</v>
      </c>
      <c r="G146" s="243" t="inlineStr">
        <is>
          <t>227-22-K-26</t>
        </is>
      </c>
      <c r="H146" s="243">
        <f>IFERROR(INDEX('iCoA Register'!$B:$B,MATCH("P060292|R2",'iCoA Register'!$AA:$AA,0)),"—")</f>
        <v/>
      </c>
      <c r="I146" s="245">
        <f>IFERROR(INDEX('iCoA Register'!$D:$D,MATCH("P060292|R2",'iCoA Register'!$AA:$AA,0)),"")</f>
        <v/>
      </c>
      <c r="J146" s="243" t="inlineStr">
        <is>
          <t>post-SOP</t>
        </is>
      </c>
      <c r="K146" s="243" t="inlineStr">
        <is>
          <t>retest — Tranche 3 (sampled 19–21.08.2026)</t>
        </is>
      </c>
      <c r="L146" s="244" t="inlineStr">
        <is>
          <t>FB112501</t>
        </is>
      </c>
      <c r="M146" s="243" t="inlineStr">
        <is>
          <t>P060292</t>
        </is>
      </c>
      <c r="N146" s="243" t="inlineStr">
        <is>
          <t>Fat Bastard</t>
        </is>
      </c>
      <c r="O146" s="243" t="inlineStr">
        <is>
          <t>227-22-K-26, (11.09.2026) [FHM-K]</t>
        </is>
      </c>
      <c r="P146" s="248" t="inlineStr">
        <is>
          <t>—</t>
        </is>
      </c>
      <c r="Q146" s="243" t="inlineStr">
        <is>
          <t>—</t>
        </is>
      </c>
      <c r="R146" s="243" t="inlineStr">
        <is>
          <t>CoQ reissue (assigned on issue)</t>
        </is>
      </c>
      <c r="S146" s="243" t="inlineStr">
        <is>
          <t>P060292|R2</t>
        </is>
      </c>
      <c r="T146" s="254" t="inlineStr">
        <is>
          <t>allocated — code reserved 15.09.2026 for the Tranche 3 (sampled 19–21.08.2026) reissue (owner: every Tranche 3 retest parameter is tested at Farmahem and its certificates all issue on one date); sampled 21.08.2026, retest assay 227-22-K-26 on file, mycotoxins pending; planned 21.09.2026 — the owner's date of 15.09.2026 for all of Tranche 3, the 227-М certificates expected by 18.09.2026, provisional until they exist, after every Tranche 2 reissue; cites the campaign iCoA of 24.08.2026</t>
        </is>
      </c>
      <c r="U146" s="243">
        <f>IFERROR(INDEX('CoQ Register'!$B:$B,MATCH("P060292|I",'CoQ Register'!$S:$S,0)),"— initial certificate not on the register —")</f>
        <v/>
      </c>
      <c r="V146" s="251" t="n">
        <v>18.75</v>
      </c>
      <c r="W146" s="243" t="inlineStr">
        <is>
          <t>227-22-К/26</t>
        </is>
      </c>
      <c r="X146" s="243" t="inlineStr">
        <is>
          <t>18.00 ± 1.80 (II)</t>
        </is>
      </c>
      <c r="Y146" s="243" t="inlineStr">
        <is>
          <t>16.20 – 19.79 %</t>
        </is>
      </c>
      <c r="Z146" s="243" t="inlineStr">
        <is>
          <t>FB_THC18 : CBD1</t>
        </is>
      </c>
      <c r="AA146" s="243" t="inlineStr">
        <is>
          <t>QCSP_001_FB-II_v.01</t>
        </is>
      </c>
      <c r="AB146" s="252" t="inlineStr">
        <is>
          <t>for review — replaces the issued QCSP_001_FB-II_v.01 (was FB_THC18 : CBD1, 17.15 – 18.85 %); now FB_THC18 : CBD1 16.20 – 19.79 %</t>
        </is>
      </c>
      <c r="AC146" s="246" t="inlineStr"/>
    </row>
    <row r="147">
      <c r="A147" s="243">
        <f>IF(OR(C147="yes",C147="allocated",C147="ruled"),COUNT(A$1:A146)+1,"")</f>
        <v/>
      </c>
      <c r="B147" s="244">
        <f>IF(A147&lt;&gt;"","CoQ-PP_26-"&amp;TEXT(A147,"000"),"— at issue —")</f>
        <v/>
      </c>
      <c r="C147" s="253" t="inlineStr">
        <is>
          <t>allocated</t>
        </is>
      </c>
      <c r="D147" s="245" t="n">
        <v>46286</v>
      </c>
      <c r="E147" s="245" t="inlineStr">
        <is>
          <t>— the owner's date for all of Tranche 3 (15.09.2026), the 227-М certificates expected by 18.09.2026; provisional —</t>
        </is>
      </c>
      <c r="F147" s="245" t="n">
        <v>46276</v>
      </c>
      <c r="G147" s="243" t="inlineStr">
        <is>
          <t>227-21-K-26</t>
        </is>
      </c>
      <c r="H147" s="243">
        <f>IFERROR(INDEX('iCoA Register'!$B:$B,MATCH("P060302|R2",'iCoA Register'!$AA:$AA,0)),"—")</f>
        <v/>
      </c>
      <c r="I147" s="245">
        <f>IFERROR(INDEX('iCoA Register'!$D:$D,MATCH("P060302|R2",'iCoA Register'!$AA:$AA,0)),"")</f>
        <v/>
      </c>
      <c r="J147" s="243" t="inlineStr">
        <is>
          <t>post-SOP</t>
        </is>
      </c>
      <c r="K147" s="243" t="inlineStr">
        <is>
          <t>retest — Tranche 3 (sampled 19–21.08.2026)</t>
        </is>
      </c>
      <c r="L147" s="244" t="inlineStr">
        <is>
          <t>GG012601＊</t>
        </is>
      </c>
      <c r="M147" s="243" t="inlineStr">
        <is>
          <t>P060302</t>
        </is>
      </c>
      <c r="N147" s="243" t="inlineStr">
        <is>
          <t>Gorilla Glue</t>
        </is>
      </c>
      <c r="O147" s="243" t="inlineStr">
        <is>
          <t>227-21-K-26, (11.09.2026) [FHM-K]</t>
        </is>
      </c>
      <c r="P147" s="248" t="inlineStr">
        <is>
          <t>—</t>
        </is>
      </c>
      <c r="Q147" s="243" t="inlineStr">
        <is>
          <t>—</t>
        </is>
      </c>
      <c r="R147" s="243" t="inlineStr">
        <is>
          <t>CoQ reissue (assigned on issue)</t>
        </is>
      </c>
      <c r="S147" s="243" t="inlineStr">
        <is>
          <t>P060302|R2</t>
        </is>
      </c>
      <c r="T147" s="254" t="inlineStr">
        <is>
          <t>allocated — code reserved 15.09.2026 for the Tranche 3 (sampled 19–21.08.2026) reissue (owner: every Tranche 3 retest parameter is tested at Farmahem and its certificates all issue on one date); sampled 21.08.2026, retest assay 227-21-K-26 on file, mycotoxins pending; planned 21.09.2026 — the owner's date of 15.09.2026 for all of Tranche 3, the 227-М certificates expected by 18.09.2026, provisional until they exist, after every Tranche 2 reissue; cites the campaign iCoA of 24.08.2026</t>
        </is>
      </c>
      <c r="U147" s="243">
        <f>IFERROR(INDEX('CoQ Register'!$B:$B,MATCH("P060302|I",'CoQ Register'!$S:$S,0)),"— initial certificate not on the register —")</f>
        <v/>
      </c>
      <c r="V147" s="251" t="n">
        <v>19.16</v>
      </c>
      <c r="W147" s="243" t="inlineStr">
        <is>
          <t>227-21-К/26</t>
        </is>
      </c>
      <c r="X147" s="243" t="inlineStr">
        <is>
          <t>18.00 ± 1.77 (I)</t>
        </is>
      </c>
      <c r="Y147" s="243" t="inlineStr">
        <is>
          <t>16.23 – 19.76 %</t>
        </is>
      </c>
      <c r="Z147" s="243" t="inlineStr">
        <is>
          <t>GG_THC18 : CBD1</t>
        </is>
      </c>
      <c r="AA147" s="243" t="inlineStr">
        <is>
          <t>QCSP_001_GG-I_v.01</t>
        </is>
      </c>
      <c r="AB147" s="252" t="inlineStr">
        <is>
          <t>for review — replaces the issued QCSP_001_GG-I_v.01 (was GG_THC18 : CBD1, 17.01 – 18.99 %); now GG_THC18 : CBD1 16.23 – 19.76 %</t>
        </is>
      </c>
      <c r="AC147" s="246" t="inlineStr"/>
    </row>
    <row r="148">
      <c r="A148" s="243">
        <f>IF(OR(C148="yes",C148="allocated",C148="ruled"),COUNT(A$1:A147)+1,"")</f>
        <v/>
      </c>
      <c r="B148" s="244">
        <f>IF(A148&lt;&gt;"","CoQ-PP_26-"&amp;TEXT(A148,"000"),"— at issue —")</f>
        <v/>
      </c>
      <c r="C148" s="253" t="inlineStr">
        <is>
          <t>allocated</t>
        </is>
      </c>
      <c r="D148" s="245" t="n">
        <v>46286</v>
      </c>
      <c r="E148" s="245" t="inlineStr">
        <is>
          <t>— the owner's date for all of Tranche 3 (15.09.2026), the 227-М certificates expected by 18.09.2026; provisional —</t>
        </is>
      </c>
      <c r="F148" s="245" t="n">
        <v>46276</v>
      </c>
      <c r="G148" s="243" t="inlineStr">
        <is>
          <t>227-19-K-26</t>
        </is>
      </c>
      <c r="H148" s="243">
        <f>IFERROR(INDEX('iCoA Register'!$B:$B,MATCH("P050012|R2",'iCoA Register'!$AA:$AA,0)),"—")</f>
        <v/>
      </c>
      <c r="I148" s="245">
        <f>IFERROR(INDEX('iCoA Register'!$D:$D,MATCH("P050012|R2",'iCoA Register'!$AA:$AA,0)),"")</f>
        <v/>
      </c>
      <c r="J148" s="243" t="inlineStr">
        <is>
          <t>legacy</t>
        </is>
      </c>
      <c r="K148" s="243" t="inlineStr">
        <is>
          <t>retest — Tranche 3 (sampled 19–21.08.2026)</t>
        </is>
      </c>
      <c r="L148" s="244" t="inlineStr">
        <is>
          <t>GG1024_02</t>
        </is>
      </c>
      <c r="M148" s="243" t="inlineStr">
        <is>
          <t>P050012</t>
        </is>
      </c>
      <c r="N148" s="243" t="inlineStr">
        <is>
          <t>Gorilla Glue</t>
        </is>
      </c>
      <c r="O148" s="243" t="inlineStr">
        <is>
          <t>227-19-K-26, (11.09.2026) [FHM-K]</t>
        </is>
      </c>
      <c r="P148" s="248" t="inlineStr">
        <is>
          <t>—</t>
        </is>
      </c>
      <c r="Q148" s="243" t="inlineStr">
        <is>
          <t>—</t>
        </is>
      </c>
      <c r="R148" s="243" t="inlineStr">
        <is>
          <t>CoQ reissue (assigned on issue)</t>
        </is>
      </c>
      <c r="S148" s="243" t="inlineStr">
        <is>
          <t>P050012|R2</t>
        </is>
      </c>
      <c r="T148" s="254" t="inlineStr">
        <is>
          <t>allocated — code reserved 15.09.2026 for the Tranche 3 (sampled 19–21.08.2026) reissue (owner: every Tranche 3 retest parameter is tested at Farmahem and its certificates all issue on one date); sampled 20.08.2026, retest assay 227-19-K-26 on file, mycotoxins pending; planned 21.09.2026 — the owner's date of 15.09.2026 for all of Tranche 3, the 227-М certificates expected by 18.09.2026, provisional until they exist, after every Tranche 2 reissue; cites the campaign iCoA of 24.08.2026</t>
        </is>
      </c>
      <c r="U148" s="243">
        <f>IFERROR(INDEX('CoQ Register'!$B:$B,MATCH("P050012|I",'CoQ Register'!$S:$S,0)),"— initial certificate not on the register —")</f>
        <v/>
      </c>
      <c r="V148" s="251" t="n">
        <v>17.76</v>
      </c>
      <c r="W148" s="243" t="inlineStr">
        <is>
          <t>227-19-К/26</t>
        </is>
      </c>
      <c r="X148" s="243" t="inlineStr">
        <is>
          <t>18.00 ± 1.77 (I)</t>
        </is>
      </c>
      <c r="Y148" s="243" t="inlineStr">
        <is>
          <t>16.23 – 19.76 %</t>
        </is>
      </c>
      <c r="Z148" s="243" t="inlineStr">
        <is>
          <t>GG_THC18 : CBD1</t>
        </is>
      </c>
      <c r="AA148" s="243" t="inlineStr">
        <is>
          <t>QCSP_001_GG-I_v.01</t>
        </is>
      </c>
      <c r="AB148" s="252" t="inlineStr">
        <is>
          <t>for review — replaces the issued QCSP_001_GG-I_v.01 (was GG_THC18 : CBD1, 17.01 – 18.99 %); now GG_THC18 : CBD1 16.23 – 19.76 %</t>
        </is>
      </c>
      <c r="AC148" s="246" t="inlineStr"/>
    </row>
    <row r="149">
      <c r="A149" s="243">
        <f>IF(OR(C149="yes",C149="allocated",C149="ruled"),COUNT(A$1:A148)+1,"")</f>
        <v/>
      </c>
      <c r="B149" s="244">
        <f>IF(A149&lt;&gt;"","CoQ-PP_26-"&amp;TEXT(A149,"000"),"— at issue —")</f>
        <v/>
      </c>
      <c r="C149" s="253" t="inlineStr">
        <is>
          <t>allocated</t>
        </is>
      </c>
      <c r="D149" s="245" t="n">
        <v>46286</v>
      </c>
      <c r="E149" s="245" t="inlineStr">
        <is>
          <t>— the owner's date for all of Tranche 3 (15.09.2026), the 227-М certificates expected by 18.09.2026; provisional —</t>
        </is>
      </c>
      <c r="F149" s="245" t="n">
        <v>46276</v>
      </c>
      <c r="G149" s="243" t="inlineStr">
        <is>
          <t>227-20-K-26</t>
        </is>
      </c>
      <c r="H149" s="243">
        <f>IFERROR(INDEX('iCoA Register'!$B:$B,MATCH("P060252|R2",'iCoA Register'!$AA:$AA,0)),"—")</f>
        <v/>
      </c>
      <c r="I149" s="245">
        <f>IFERROR(INDEX('iCoA Register'!$D:$D,MATCH("P060252|R2",'iCoA Register'!$AA:$AA,0)),"")</f>
        <v/>
      </c>
      <c r="J149" s="243" t="inlineStr">
        <is>
          <t>legacy</t>
        </is>
      </c>
      <c r="K149" s="243" t="inlineStr">
        <is>
          <t>retest — Tranche 3 (sampled 19–21.08.2026)</t>
        </is>
      </c>
      <c r="L149" s="244" t="inlineStr">
        <is>
          <t>GG112501</t>
        </is>
      </c>
      <c r="M149" s="243" t="inlineStr">
        <is>
          <t>P060252</t>
        </is>
      </c>
      <c r="N149" s="243" t="inlineStr">
        <is>
          <t>Gorilla Glue</t>
        </is>
      </c>
      <c r="O149" s="243" t="inlineStr">
        <is>
          <t>227-20-K-26, (11.09.2026) [FHM-K]</t>
        </is>
      </c>
      <c r="P149" s="248" t="inlineStr">
        <is>
          <t>—</t>
        </is>
      </c>
      <c r="Q149" s="243" t="inlineStr">
        <is>
          <t>—</t>
        </is>
      </c>
      <c r="R149" s="243" t="inlineStr">
        <is>
          <t>CoQ reissue (assigned on issue)</t>
        </is>
      </c>
      <c r="S149" s="243" t="inlineStr">
        <is>
          <t>P060252|R2</t>
        </is>
      </c>
      <c r="T149" s="254" t="inlineStr">
        <is>
          <t>allocated — code reserved 15.09.2026 for the Tranche 3 (sampled 19–21.08.2026) reissue (owner: every Tranche 3 retest parameter is tested at Farmahem and its certificates all issue on one date); sampled 20.08.2026, retest assay 227-20-K-26 on file, mycotoxins pending; planned 21.09.2026 — the owner's date of 15.09.2026 for all of Tranche 3, the 227-М certificates expected by 18.09.2026, provisional until they exist, after every Tranche 2 reissue; cites the campaign iCoA of 24.08.2026</t>
        </is>
      </c>
      <c r="U149" s="243">
        <f>IFERROR(INDEX('CoQ Register'!$B:$B,MATCH("P060252|I",'CoQ Register'!$S:$S,0)),"— initial certificate not on the register —")</f>
        <v/>
      </c>
      <c r="V149" s="251" t="n">
        <v>18.64</v>
      </c>
      <c r="W149" s="243" t="inlineStr">
        <is>
          <t>227-20-К/26</t>
        </is>
      </c>
      <c r="X149" s="243" t="inlineStr">
        <is>
          <t>18.00 ± 1.77 (I)</t>
        </is>
      </c>
      <c r="Y149" s="243" t="inlineStr">
        <is>
          <t>16.23 – 19.76 %</t>
        </is>
      </c>
      <c r="Z149" s="243" t="inlineStr">
        <is>
          <t>GG_THC18 : CBD1</t>
        </is>
      </c>
      <c r="AA149" s="243" t="inlineStr">
        <is>
          <t>QCSP_001_GG-I_v.01</t>
        </is>
      </c>
      <c r="AB149" s="252" t="inlineStr">
        <is>
          <t>for review — replaces the issued QCSP_001_GG-I_v.01 (was GG_THC18 : CBD1, 17.01 – 18.99 %); now GG_THC18 : CBD1 16.23 – 19.76 %</t>
        </is>
      </c>
      <c r="AC149" s="246" t="inlineStr"/>
    </row>
    <row r="150">
      <c r="A150" s="243">
        <f>IF(OR(C150="yes",C150="allocated",C150="ruled"),COUNT(A$1:A149)+1,"")</f>
        <v/>
      </c>
      <c r="B150" s="244">
        <f>IF(A150&lt;&gt;"","CoQ-PP_26-"&amp;TEXT(A150,"000"),"— at issue —")</f>
        <v/>
      </c>
      <c r="C150" s="253" t="inlineStr">
        <is>
          <t>allocated</t>
        </is>
      </c>
      <c r="D150" s="245" t="n">
        <v>46286</v>
      </c>
      <c r="E150" s="245" t="inlineStr">
        <is>
          <t>— the owner's date for all of Tranche 3 (15.09.2026), the 227-М certificates expected by 18.09.2026; provisional —</t>
        </is>
      </c>
      <c r="F150" s="245" t="n">
        <v>46276</v>
      </c>
      <c r="G150" s="243" t="inlineStr">
        <is>
          <t>227-18-K-26</t>
        </is>
      </c>
      <c r="H150" s="243">
        <f>IFERROR(INDEX('iCoA Register'!$B:$B,MATCH("P050202|R5",'iCoA Register'!$AA:$AA,0)),"—")</f>
        <v/>
      </c>
      <c r="I150" s="245">
        <f>IFERROR(INDEX('iCoA Register'!$D:$D,MATCH("P050202|R5",'iCoA Register'!$AA:$AA,0)),"")</f>
        <v/>
      </c>
      <c r="J150" s="243" t="inlineStr">
        <is>
          <t>legacy</t>
        </is>
      </c>
      <c r="K150" s="243" t="inlineStr">
        <is>
          <t>retest — Tranche 3 (sampled 19–21.08.2026)</t>
        </is>
      </c>
      <c r="L150" s="244" t="inlineStr">
        <is>
          <t>GP062501</t>
        </is>
      </c>
      <c r="M150" s="243" t="inlineStr">
        <is>
          <t>P050202</t>
        </is>
      </c>
      <c r="N150" s="243" t="inlineStr">
        <is>
          <t>Grape Pie</t>
        </is>
      </c>
      <c r="O150" s="243" t="inlineStr">
        <is>
          <t>227-18-K-26, (11.09.2026) [FHM-K]</t>
        </is>
      </c>
      <c r="P150" s="248" t="inlineStr">
        <is>
          <t>—</t>
        </is>
      </c>
      <c r="Q150" s="243" t="inlineStr">
        <is>
          <t>—</t>
        </is>
      </c>
      <c r="R150" s="243" t="inlineStr">
        <is>
          <t>CoQ reissue (assigned on issue)</t>
        </is>
      </c>
      <c r="S150" s="243" t="inlineStr">
        <is>
          <t>P050202|R5</t>
        </is>
      </c>
      <c r="T150" s="254" t="inlineStr">
        <is>
          <t>allocated — code reserved 15.09.2026 for the Tranche 3 (sampled 19–21.08.2026) reissue (owner: every Tranche 3 retest parameter is tested at Farmahem and its certificates all issue on one date); sampled 20.08.2026, retest assay 227-18-K-26 on file, mycotoxins pending; planned 21.09.2026 — the owner's date of 15.09.2026 for all of Tranche 3, the 227-М certificates expected by 18.09.2026, provisional until they exist, after every Tranche 2 reissue; cites the campaign iCoA of 24.08.2026</t>
        </is>
      </c>
      <c r="U150" s="243">
        <f>IFERROR(INDEX('CoQ Register'!$B:$B,MATCH("P050202|I",'CoQ Register'!$S:$S,0)),"— initial certificate not on the register —")</f>
        <v/>
      </c>
      <c r="V150" s="251" t="n">
        <v>25.97</v>
      </c>
      <c r="W150" s="243" t="inlineStr">
        <is>
          <t>227-18-К/26</t>
        </is>
      </c>
      <c r="X150" s="243" t="inlineStr">
        <is>
          <t>24.00 ± 2.00 (II)</t>
        </is>
      </c>
      <c r="Y150" s="243" t="inlineStr">
        <is>
          <t>22.00 – 25.99 %</t>
        </is>
      </c>
      <c r="Z150" s="243" t="inlineStr">
        <is>
          <t>GP_THC24 : CBD1</t>
        </is>
      </c>
      <c r="AA150" s="243" t="inlineStr">
        <is>
          <t>QCSP_001_GP-II_v.01</t>
        </is>
      </c>
      <c r="AB150" s="252" t="inlineStr">
        <is>
          <t>for review — replaces the issued QCSP_001_GP-II_v.01 (was GP_THC26 : CBD1, 25.40 – 26.60 %); now GP_THC24 : CBD1 22.00 – 25.99 %</t>
        </is>
      </c>
      <c r="AC150" s="246" t="inlineStr"/>
    </row>
    <row r="151">
      <c r="A151" s="243">
        <f>IF(OR(C151="yes",C151="allocated",C151="ruled"),COUNT(A$1:A150)+1,"")</f>
        <v/>
      </c>
      <c r="B151" s="244">
        <f>IF(A151&lt;&gt;"","CoQ-PP_26-"&amp;TEXT(A151,"000"),"— at issue —")</f>
        <v/>
      </c>
      <c r="C151" s="253" t="inlineStr">
        <is>
          <t>allocated</t>
        </is>
      </c>
      <c r="D151" s="245" t="n">
        <v>46286</v>
      </c>
      <c r="E151" s="245" t="inlineStr">
        <is>
          <t>— the owner's date for all of Tranche 3 (15.09.2026), the 227-М certificates expected by 18.09.2026; provisional —</t>
        </is>
      </c>
      <c r="F151" s="245" t="n">
        <v>46276</v>
      </c>
      <c r="G151" s="243" t="inlineStr">
        <is>
          <t>227-17-K-26</t>
        </is>
      </c>
      <c r="H151" s="243">
        <f>IFERROR(INDEX('iCoA Register'!$B:$B,MATCH("P050292|R2",'iCoA Register'!$AA:$AA,0)),"—")</f>
        <v/>
      </c>
      <c r="I151" s="245">
        <f>IFERROR(INDEX('iCoA Register'!$D:$D,MATCH("P050292|R2",'iCoA Register'!$AA:$AA,0)),"")</f>
        <v/>
      </c>
      <c r="J151" s="243" t="inlineStr">
        <is>
          <t>legacy</t>
        </is>
      </c>
      <c r="K151" s="243" t="inlineStr">
        <is>
          <t>retest — Tranche 3 (sampled 19–21.08.2026)</t>
        </is>
      </c>
      <c r="L151" s="244" t="inlineStr">
        <is>
          <t>GP072501/1</t>
        </is>
      </c>
      <c r="M151" s="243" t="inlineStr">
        <is>
          <t>P050292</t>
        </is>
      </c>
      <c r="N151" s="243" t="inlineStr">
        <is>
          <t>Grape Pie</t>
        </is>
      </c>
      <c r="O151" s="243" t="inlineStr">
        <is>
          <t>227-17-K-26, (11.09.2026) [FHM-K]</t>
        </is>
      </c>
      <c r="P151" s="248" t="inlineStr">
        <is>
          <t>—</t>
        </is>
      </c>
      <c r="Q151" s="243" t="inlineStr">
        <is>
          <t>—</t>
        </is>
      </c>
      <c r="R151" s="243" t="inlineStr">
        <is>
          <t>CoQ reissue (assigned on issue)</t>
        </is>
      </c>
      <c r="S151" s="243" t="inlineStr">
        <is>
          <t>P050292|R2</t>
        </is>
      </c>
      <c r="T151" s="254" t="inlineStr">
        <is>
          <t>allocated — code reserved 15.09.2026 for the Tranche 3 (sampled 19–21.08.2026) reissue (owner: every Tranche 3 retest parameter is tested at Farmahem and its certificates all issue on one date); sampled 20.08.2026, retest assay 227-17-K-26 on file, mycotoxins pending; planned 21.09.2026 — the owner's date of 15.09.2026 for all of Tranche 3, the 227-М certificates expected by 18.09.2026, provisional until they exist, after every Tranche 2 reissue; cites the campaign iCoA of 24.08.2026</t>
        </is>
      </c>
      <c r="U151" s="243">
        <f>IFERROR(INDEX('CoQ Register'!$B:$B,MATCH("P050292|I",'CoQ Register'!$S:$S,0)),"— initial certificate not on the register —")</f>
        <v/>
      </c>
      <c r="V151" s="251" t="n">
        <v>26.54</v>
      </c>
      <c r="W151" s="243" t="inlineStr">
        <is>
          <t>227-17-К/26</t>
        </is>
      </c>
      <c r="X151" s="243" t="inlineStr">
        <is>
          <t>28.00 ± 2.00 (I)</t>
        </is>
      </c>
      <c r="Y151" s="243" t="inlineStr">
        <is>
          <t>26.00 – 29.99 %</t>
        </is>
      </c>
      <c r="Z151" s="243" t="inlineStr">
        <is>
          <t>GP_THC28 : CBD1</t>
        </is>
      </c>
      <c r="AA151" s="243" t="inlineStr">
        <is>
          <t>QCSP_001_GP-I_v.01</t>
        </is>
      </c>
      <c r="AB151" s="252" t="inlineStr">
        <is>
          <t>for review — replaces the issued QCSP_001_GP-I_v.01 (was GP_THC28 : CBD1, 26.61 – 29.39 %); now GP_THC28 : CBD1 26.00 – 29.99 %</t>
        </is>
      </c>
      <c r="AC151" s="246" t="inlineStr"/>
    </row>
    <row r="152">
      <c r="A152" s="243">
        <f>IF(OR(C152="yes",C152="allocated",C152="ruled"),COUNT(A$1:A151)+1,"")</f>
        <v/>
      </c>
      <c r="B152" s="244">
        <f>IF(A152&lt;&gt;"","CoQ-PP_26-"&amp;TEXT(A152,"000"),"— at issue —")</f>
        <v/>
      </c>
      <c r="C152" s="253" t="inlineStr">
        <is>
          <t>allocated</t>
        </is>
      </c>
      <c r="D152" s="245" t="n">
        <v>46286</v>
      </c>
      <c r="E152" s="245" t="inlineStr">
        <is>
          <t>— the owner's date for all of Tranche 3 (15.09.2026), the 227-М certificates expected by 18.09.2026; provisional —</t>
        </is>
      </c>
      <c r="F152" s="245" t="n">
        <v>46276</v>
      </c>
      <c r="G152" s="243" t="inlineStr">
        <is>
          <t>227-2-K-26</t>
        </is>
      </c>
      <c r="H152" s="243">
        <f>IFERROR(INDEX('iCoA Register'!$B:$B,MATCH("P050102|R2",'iCoA Register'!$AA:$AA,0)),"—")</f>
        <v/>
      </c>
      <c r="I152" s="245">
        <f>IFERROR(INDEX('iCoA Register'!$D:$D,MATCH("P050102|R2",'iCoA Register'!$AA:$AA,0)),"")</f>
        <v/>
      </c>
      <c r="J152" s="243" t="inlineStr">
        <is>
          <t>legacy</t>
        </is>
      </c>
      <c r="K152" s="243" t="inlineStr">
        <is>
          <t>retest — Tranche 3 (sampled 19–21.08.2026)</t>
        </is>
      </c>
      <c r="L152" s="244" t="inlineStr">
        <is>
          <t>GP0824_01</t>
        </is>
      </c>
      <c r="M152" s="243" t="inlineStr">
        <is>
          <t>P050102</t>
        </is>
      </c>
      <c r="N152" s="243" t="inlineStr">
        <is>
          <t>Grape Pie</t>
        </is>
      </c>
      <c r="O152" s="243" t="inlineStr">
        <is>
          <t>227-2-K-26, (11.09.2026) [FHM-K]</t>
        </is>
      </c>
      <c r="P152" s="248" t="inlineStr">
        <is>
          <t>—</t>
        </is>
      </c>
      <c r="Q152" s="243" t="inlineStr">
        <is>
          <t>—</t>
        </is>
      </c>
      <c r="R152" s="243" t="inlineStr">
        <is>
          <t>CoQ reissue (assigned on issue)</t>
        </is>
      </c>
      <c r="S152" s="243" t="inlineStr">
        <is>
          <t>P050102|R2</t>
        </is>
      </c>
      <c r="T152" s="254" t="inlineStr">
        <is>
          <t>allocated — code reserved 15.09.2026 for the Tranche 3 (sampled 19–21.08.2026) reissue (owner: every Tranche 3 retest parameter is tested at Farmahem and its certificates all issue on one date); sampled 19.08.2026, retest assay 227-2-K-26 on file, mycotoxins pending; planned 21.09.2026 — the owner's date of 15.09.2026 for all of Tranche 3, the 227-М certificates expected by 18.09.2026, provisional until they exist, after every Tranche 2 reissue; cites the campaign iCoA of 24.08.2026</t>
        </is>
      </c>
      <c r="U152" s="243">
        <f>IFERROR(INDEX('CoQ Register'!$B:$B,MATCH("P050102|I",'CoQ Register'!$S:$S,0)),"— initial certificate not on the register —")</f>
        <v/>
      </c>
      <c r="V152" s="251" t="n">
        <v>28.68</v>
      </c>
      <c r="W152" s="243" t="inlineStr">
        <is>
          <t>227-2-К/26</t>
        </is>
      </c>
      <c r="X152" s="243" t="inlineStr">
        <is>
          <t>28.00 ± 2.00 (I)</t>
        </is>
      </c>
      <c r="Y152" s="243" t="inlineStr">
        <is>
          <t>26.00 – 29.99 %</t>
        </is>
      </c>
      <c r="Z152" s="243" t="inlineStr">
        <is>
          <t>GP_THC28 : CBD1</t>
        </is>
      </c>
      <c r="AA152" s="243" t="inlineStr">
        <is>
          <t>QCSP_001_GP-I_v.01</t>
        </is>
      </c>
      <c r="AB152" s="252" t="inlineStr">
        <is>
          <t>for review — replaces the issued QCSP_001_GP-I_v.01 (was GP_THC28 : CBD1, 26.61 – 29.39 %); now GP_THC28 : CBD1 26.00 – 29.99 %</t>
        </is>
      </c>
      <c r="AC152" s="246" t="inlineStr"/>
    </row>
    <row r="153">
      <c r="A153" s="243">
        <f>IF(OR(C153="yes",C153="allocated",C153="ruled"),COUNT(A$1:A152)+1,"")</f>
        <v/>
      </c>
      <c r="B153" s="244">
        <f>IF(A153&lt;&gt;"","CoQ-PP_26-"&amp;TEXT(A153,"000"),"— at issue —")</f>
        <v/>
      </c>
      <c r="C153" s="253" t="inlineStr">
        <is>
          <t>allocated</t>
        </is>
      </c>
      <c r="D153" s="245" t="n">
        <v>46286</v>
      </c>
      <c r="E153" s="245" t="inlineStr">
        <is>
          <t>— the owner's date for all of Tranche 3 (15.09.2026), the 227-М certificates expected by 18.09.2026; provisional —</t>
        </is>
      </c>
      <c r="F153" s="245" t="n">
        <v>46276</v>
      </c>
      <c r="G153" s="243" t="inlineStr">
        <is>
          <t>227-16-K-26</t>
        </is>
      </c>
      <c r="H153" s="243">
        <f>IFERROR(INDEX('iCoA Register'!$B:$B,MATCH("P060142|R2",'iCoA Register'!$AA:$AA,0)),"—")</f>
        <v/>
      </c>
      <c r="I153" s="245">
        <f>IFERROR(INDEX('iCoA Register'!$D:$D,MATCH("P060142|R2",'iCoA Register'!$AA:$AA,0)),"")</f>
        <v/>
      </c>
      <c r="J153" s="243" t="inlineStr">
        <is>
          <t>legacy</t>
        </is>
      </c>
      <c r="K153" s="243" t="inlineStr">
        <is>
          <t>retest — Tranche 3 (sampled 19–21.08.2026)</t>
        </is>
      </c>
      <c r="L153" s="244" t="inlineStr">
        <is>
          <t>GRC102501</t>
        </is>
      </c>
      <c r="M153" s="243" t="inlineStr">
        <is>
          <t>P060142</t>
        </is>
      </c>
      <c r="N153" s="243" t="inlineStr">
        <is>
          <t>Grapes And Cream</t>
        </is>
      </c>
      <c r="O153" s="243" t="inlineStr">
        <is>
          <t>227-16-K-26, (11.09.2026) [FHM-K]</t>
        </is>
      </c>
      <c r="P153" s="248" t="inlineStr">
        <is>
          <t>—</t>
        </is>
      </c>
      <c r="Q153" s="243" t="inlineStr">
        <is>
          <t>—</t>
        </is>
      </c>
      <c r="R153" s="243" t="inlineStr">
        <is>
          <t>CoQ reissue (assigned on issue)</t>
        </is>
      </c>
      <c r="S153" s="243" t="inlineStr">
        <is>
          <t>P060142|R2</t>
        </is>
      </c>
      <c r="T153" s="254" t="inlineStr">
        <is>
          <t>allocated — code reserved 15.09.2026 for the Tranche 3 (sampled 19–21.08.2026) reissue (owner: every Tranche 3 retest parameter is tested at Farmahem and its certificates all issue on one date); sampled 20.08.2026, retest assay 227-16-K-26 on file, mycotoxins pending; planned 21.09.2026 — the owner's date of 15.09.2026 for all of Tranche 3, the 227-М certificates expected by 18.09.2026, provisional until they exist, after every Tranche 2 reissue; cites the campaign iCoA of 24.08.2026</t>
        </is>
      </c>
      <c r="U153" s="243">
        <f>IFERROR(INDEX('CoQ Register'!$B:$B,MATCH("P060142|I",'CoQ Register'!$S:$S,0)),"— initial certificate not on the register —")</f>
        <v/>
      </c>
      <c r="V153" s="251" t="n">
        <v>7.5</v>
      </c>
      <c r="W153" s="243" t="inlineStr">
        <is>
          <t>227-16-К/26</t>
        </is>
      </c>
      <c r="X153" s="243" t="inlineStr">
        <is>
          <t>8.00 ± 0.80 (III)</t>
        </is>
      </c>
      <c r="Y153" s="243" t="inlineStr">
        <is>
          <t>7.20 – 8.79 %</t>
        </is>
      </c>
      <c r="Z153" s="243" t="inlineStr">
        <is>
          <t>GRC_THC8 : CBD1</t>
        </is>
      </c>
      <c r="AA153" s="243" t="inlineStr">
        <is>
          <t>QCSP_001_GRC-III_v.01</t>
        </is>
      </c>
      <c r="AB153" s="246" t="inlineStr">
        <is>
          <t>for review — new</t>
        </is>
      </c>
      <c r="AC153" s="246" t="inlineStr"/>
    </row>
    <row r="154">
      <c r="A154" s="243">
        <f>IF(OR(C154="yes",C154="allocated",C154="ruled"),COUNT(A$1:A153)+1,"")</f>
        <v/>
      </c>
      <c r="B154" s="244">
        <f>IF(A154&lt;&gt;"","CoQ-PP_26-"&amp;TEXT(A154,"000"),"— at issue —")</f>
        <v/>
      </c>
      <c r="C154" s="253" t="inlineStr">
        <is>
          <t>allocated</t>
        </is>
      </c>
      <c r="D154" s="245" t="n">
        <v>46286</v>
      </c>
      <c r="E154" s="245" t="inlineStr">
        <is>
          <t>— the owner's date for all of Tranche 3 (15.09.2026), the 227-М certificates expected by 18.09.2026; provisional —</t>
        </is>
      </c>
      <c r="F154" s="245" t="n">
        <v>46276</v>
      </c>
      <c r="G154" s="243" t="inlineStr">
        <is>
          <t>227-14-K-26</t>
        </is>
      </c>
      <c r="H154" s="243">
        <f>IFERROR(INDEX('iCoA Register'!$B:$B,MATCH("P060202|R2",'iCoA Register'!$AA:$AA,0)),"—")</f>
        <v/>
      </c>
      <c r="I154" s="245">
        <f>IFERROR(INDEX('iCoA Register'!$D:$D,MATCH("P060202|R2",'iCoA Register'!$AA:$AA,0)),"")</f>
        <v/>
      </c>
      <c r="J154" s="243" t="inlineStr">
        <is>
          <t>legacy</t>
        </is>
      </c>
      <c r="K154" s="243" t="inlineStr">
        <is>
          <t>retest — Tranche 3 (sampled 19–21.08.2026)</t>
        </is>
      </c>
      <c r="L154" s="244" t="inlineStr">
        <is>
          <t>J31112501</t>
        </is>
      </c>
      <c r="M154" s="243" t="inlineStr">
        <is>
          <t>P060202</t>
        </is>
      </c>
      <c r="N154" s="243" t="inlineStr">
        <is>
          <t>Jokerz 31</t>
        </is>
      </c>
      <c r="O154" s="243" t="inlineStr">
        <is>
          <t>227-14-K-26, (11.09.2026) [FHM-K]</t>
        </is>
      </c>
      <c r="P154" s="248" t="inlineStr">
        <is>
          <t>—</t>
        </is>
      </c>
      <c r="Q154" s="243" t="inlineStr">
        <is>
          <t>—</t>
        </is>
      </c>
      <c r="R154" s="243" t="inlineStr">
        <is>
          <t>CoQ reissue (assigned on issue)</t>
        </is>
      </c>
      <c r="S154" s="243" t="inlineStr">
        <is>
          <t>P060202|R2</t>
        </is>
      </c>
      <c r="T154" s="254" t="inlineStr">
        <is>
          <t>allocated — code reserved 15.09.2026 for the Tranche 3 (sampled 19–21.08.2026) reissue (owner: every Tranche 3 retest parameter is tested at Farmahem and its certificates all issue on one date); sampled 20.08.2026, retest assay 227-14-K-26 on file, mycotoxins pending; planned 21.09.2026 — the owner's date of 15.09.2026 for all of Tranche 3, the 227-М certificates expected by 18.09.2026, provisional until they exist, after every Tranche 2 reissue; cites the campaign iCoA of 24.08.2026</t>
        </is>
      </c>
      <c r="U154" s="243">
        <f>IFERROR(INDEX('CoQ Register'!$B:$B,MATCH("P060202|I",'CoQ Register'!$S:$S,0)),"— initial certificate not on the register —")</f>
        <v/>
      </c>
      <c r="V154" s="251" t="n">
        <v>23.85</v>
      </c>
      <c r="W154" s="243" t="inlineStr">
        <is>
          <t>227-14-К/26</t>
        </is>
      </c>
      <c r="X154" s="243" t="inlineStr">
        <is>
          <t>22.00 ± 2.20 (II)</t>
        </is>
      </c>
      <c r="Y154" s="243" t="inlineStr">
        <is>
          <t>19.80 – 24.19 %</t>
        </is>
      </c>
      <c r="Z154" s="243" t="inlineStr">
        <is>
          <t>J31_THC22 : CBD1</t>
        </is>
      </c>
      <c r="AA154" s="243" t="inlineStr">
        <is>
          <t>QCSP_001_J31-II_v.01</t>
        </is>
      </c>
      <c r="AB154" s="252" t="inlineStr">
        <is>
          <t>for review — replaces the issued QCSP_001_J31-II_v.01 (was J31_THC18 : CBD1, 16.20 – 19.80 %); now J31_THC22 : CBD1 19.80 – 24.19 %</t>
        </is>
      </c>
      <c r="AC154" s="246" t="inlineStr"/>
    </row>
    <row r="155">
      <c r="A155" s="243">
        <f>IF(OR(C155="yes",C155="allocated",C155="ruled"),COUNT(A$1:A154)+1,"")</f>
        <v/>
      </c>
      <c r="B155" s="244">
        <f>IF(A155&lt;&gt;"","CoQ-PP_26-"&amp;TEXT(A155,"000"),"— at issue —")</f>
        <v/>
      </c>
      <c r="C155" s="253" t="inlineStr">
        <is>
          <t>allocated</t>
        </is>
      </c>
      <c r="D155" s="245" t="n">
        <v>46286</v>
      </c>
      <c r="E155" s="245" t="inlineStr">
        <is>
          <t>— the owner's date for all of Tranche 3 (15.09.2026), the 227-М certificates expected by 18.09.2026; provisional —</t>
        </is>
      </c>
      <c r="F155" s="245" t="n">
        <v>46135</v>
      </c>
      <c r="G155" s="243" t="inlineStr">
        <is>
          <t>1628-2026</t>
        </is>
      </c>
      <c r="H155" s="243">
        <f>IFERROR(INDEX('iCoA Register'!$B:$B,MATCH("P060262|R2",'iCoA Register'!$AA:$AA,0)),"—")</f>
        <v/>
      </c>
      <c r="I155" s="245">
        <f>IFERROR(INDEX('iCoA Register'!$D:$D,MATCH("P060262|R2",'iCoA Register'!$AA:$AA,0)),"")</f>
        <v/>
      </c>
      <c r="J155" s="243" t="inlineStr">
        <is>
          <t>post-SOP</t>
        </is>
      </c>
      <c r="K155" s="243" t="inlineStr">
        <is>
          <t>retest — Tranche 3 (sampled 19–21.08.2026)</t>
        </is>
      </c>
      <c r="L155" s="244" t="inlineStr">
        <is>
          <t>J31122501</t>
        </is>
      </c>
      <c r="M155" s="243" t="inlineStr">
        <is>
          <t>P060262</t>
        </is>
      </c>
      <c r="N155" s="243" t="inlineStr">
        <is>
          <t>Jokerz 31</t>
        </is>
      </c>
      <c r="O155" s="248" t="inlineStr">
        <is>
          <t>— retest assay not yet on file —</t>
        </is>
      </c>
      <c r="P155" s="248" t="inlineStr">
        <is>
          <t>—</t>
        </is>
      </c>
      <c r="Q155" s="243" t="inlineStr">
        <is>
          <t>—</t>
        </is>
      </c>
      <c r="R155" s="243" t="inlineStr">
        <is>
          <t>CoQ reissue (assigned on issue)</t>
        </is>
      </c>
      <c r="S155" s="243" t="inlineStr">
        <is>
          <t>P060262|R2</t>
        </is>
      </c>
      <c r="T155" s="254" t="inlineStr">
        <is>
          <t>allocated — code reserved 15.09.2026 for the Tranche 3 (sampled 19–21.08.2026) reissue (owner: every Tranche 3 retest parameter is tested at Farmahem and its certificates all issue on one date); sampled 20.08.2026, retest assay — pending — on file, mycotoxins pending; planned 21.09.2026 — the owner's date of 15.09.2026 for all of Tranche 3, the 227-М certificates expected by 18.09.2026, provisional until they exist, after every Tranche 2 reissue; cites the campaign iCoA of 24.08.2026</t>
        </is>
      </c>
      <c r="U155" s="243">
        <f>IFERROR(INDEX('CoQ Register'!$B:$B,MATCH("P060262|I",'CoQ Register'!$S:$S,0)),"— initial certificate not on the register —")</f>
        <v/>
      </c>
      <c r="V155" s="251" t="n">
        <v>24.48</v>
      </c>
      <c r="W155" s="243" t="inlineStr">
        <is>
          <t>227-13-К/26</t>
        </is>
      </c>
      <c r="X155" s="243" t="inlineStr">
        <is>
          <t>26.00 ± 1.80 (I)</t>
        </is>
      </c>
      <c r="Y155" s="243" t="inlineStr">
        <is>
          <t>24.20 – 27.79 %</t>
        </is>
      </c>
      <c r="Z155" s="243" t="inlineStr">
        <is>
          <t>J31_THC26 : CBD1</t>
        </is>
      </c>
      <c r="AA155" s="243" t="inlineStr">
        <is>
          <t>QCSP_001_J31-I_v.01</t>
        </is>
      </c>
      <c r="AB155" s="246" t="inlineStr">
        <is>
          <t>for review — new</t>
        </is>
      </c>
      <c r="AC155" s="246" t="inlineStr"/>
    </row>
    <row r="156">
      <c r="A156" s="243">
        <f>IF(OR(C156="yes",C156="allocated",C156="ruled"),COUNT(A$1:A155)+1,"")</f>
        <v/>
      </c>
      <c r="B156" s="244">
        <f>IF(A156&lt;&gt;"","CoQ-PP_26-"&amp;TEXT(A156,"000"),"— at issue —")</f>
        <v/>
      </c>
      <c r="C156" s="253" t="inlineStr">
        <is>
          <t>allocated</t>
        </is>
      </c>
      <c r="D156" s="245" t="n">
        <v>46286</v>
      </c>
      <c r="E156" s="245" t="inlineStr">
        <is>
          <t>— the owner's date for all of Tranche 3 (15.09.2026), the 227-М certificates expected by 18.09.2026; provisional —</t>
        </is>
      </c>
      <c r="F156" s="245" t="n">
        <v>46276</v>
      </c>
      <c r="G156" s="243" t="inlineStr">
        <is>
          <t>227-15-K-26</t>
        </is>
      </c>
      <c r="H156" s="243">
        <f>IFERROR(INDEX('iCoA Register'!$B:$B,MATCH("P060312|R2",'iCoA Register'!$AA:$AA,0)),"—")</f>
        <v/>
      </c>
      <c r="I156" s="245">
        <f>IFERROR(INDEX('iCoA Register'!$D:$D,MATCH("P060312|R2",'iCoA Register'!$AA:$AA,0)),"")</f>
        <v/>
      </c>
      <c r="J156" s="243" t="inlineStr">
        <is>
          <t>post-SOP</t>
        </is>
      </c>
      <c r="K156" s="243" t="inlineStr">
        <is>
          <t>retest — Tranche 3 (sampled 19–21.08.2026)</t>
        </is>
      </c>
      <c r="L156" s="244" t="inlineStr">
        <is>
          <t>JD012601＊</t>
        </is>
      </c>
      <c r="M156" s="243" t="inlineStr">
        <is>
          <t>P060312</t>
        </is>
      </c>
      <c r="N156" s="243" t="inlineStr">
        <is>
          <t>Jelly Donuts</t>
        </is>
      </c>
      <c r="O156" s="243" t="inlineStr">
        <is>
          <t>227-15-K-26, (11.09.2026) [FHM-K]</t>
        </is>
      </c>
      <c r="P156" s="248" t="inlineStr">
        <is>
          <t>—</t>
        </is>
      </c>
      <c r="Q156" s="243" t="inlineStr">
        <is>
          <t>—</t>
        </is>
      </c>
      <c r="R156" s="243" t="inlineStr">
        <is>
          <t>CoQ reissue (assigned on issue)</t>
        </is>
      </c>
      <c r="S156" s="243" t="inlineStr">
        <is>
          <t>P060312|R2</t>
        </is>
      </c>
      <c r="T156" s="254" t="inlineStr">
        <is>
          <t>allocated — code reserved 15.09.2026 for the Tranche 3 (sampled 19–21.08.2026) reissue (owner: every Tranche 3 retest parameter is tested at Farmahem and its certificates all issue on one date); sampled 20.08.2026, retest assay 227-15-K-26 on file, mycotoxins pending; planned 21.09.2026 — the owner's date of 15.09.2026 for all of Tranche 3, the 227-М certificates expected by 18.09.2026, provisional until they exist, after every Tranche 2 reissue; cites the campaign iCoA of 24.08.2026</t>
        </is>
      </c>
      <c r="U156" s="243">
        <f>IFERROR(INDEX('CoQ Register'!$B:$B,MATCH("P060312|I",'CoQ Register'!$S:$S,0)),"— initial certificate not on the register —")</f>
        <v/>
      </c>
      <c r="V156" s="251" t="n">
        <v>19.99</v>
      </c>
      <c r="W156" s="243" t="inlineStr">
        <is>
          <t>227-15-К/26</t>
        </is>
      </c>
      <c r="X156" s="243" t="inlineStr">
        <is>
          <t>22.00 ± 2.20 (I)</t>
        </is>
      </c>
      <c r="Y156" s="243" t="inlineStr">
        <is>
          <t>19.80 – 24.19 %</t>
        </is>
      </c>
      <c r="Z156" s="243" t="inlineStr">
        <is>
          <t>JD_THC22 : CBD1</t>
        </is>
      </c>
      <c r="AA156" s="243" t="inlineStr">
        <is>
          <t>QCSP_001_JD-I_v.01</t>
        </is>
      </c>
      <c r="AB156" s="252" t="inlineStr">
        <is>
          <t>for review — replaces the issued QCSP_001_JD-I_v.01 (was JD_THC20 : CBD1, 18.00 – 22.00 %); now JD_THC22 : CBD1 19.80 – 24.19 %</t>
        </is>
      </c>
      <c r="AC156" s="246" t="inlineStr"/>
    </row>
    <row r="157">
      <c r="A157" s="243">
        <f>IF(OR(C157="yes",C157="allocated",C157="ruled"),COUNT(A$1:A156)+1,"")</f>
        <v/>
      </c>
      <c r="B157" s="244">
        <f>IF(A157&lt;&gt;"","CoQ-PP_26-"&amp;TEXT(A157,"000"),"— at issue —")</f>
        <v/>
      </c>
      <c r="C157" s="253" t="inlineStr">
        <is>
          <t>allocated</t>
        </is>
      </c>
      <c r="D157" s="245" t="n">
        <v>46286</v>
      </c>
      <c r="E157" s="245" t="inlineStr">
        <is>
          <t>— the owner's date for all of Tranche 3 (15.09.2026), the 227-М certificates expected by 18.09.2026; provisional —</t>
        </is>
      </c>
      <c r="F157" s="245" t="n">
        <v>46276</v>
      </c>
      <c r="G157" s="243" t="inlineStr">
        <is>
          <t>227-12-K-26</t>
        </is>
      </c>
      <c r="H157" s="243">
        <f>IFERROR(INDEX('iCoA Register'!$B:$B,MATCH("P050032|R2",'iCoA Register'!$AA:$AA,0)),"—")</f>
        <v/>
      </c>
      <c r="I157" s="245">
        <f>IFERROR(INDEX('iCoA Register'!$D:$D,MATCH("P050032|R2",'iCoA Register'!$AA:$AA,0)),"")</f>
        <v/>
      </c>
      <c r="J157" s="243" t="inlineStr">
        <is>
          <t>legacy</t>
        </is>
      </c>
      <c r="K157" s="243" t="inlineStr">
        <is>
          <t>retest — Tranche 3 (sampled 19–21.08.2026)</t>
        </is>
      </c>
      <c r="L157" s="244" t="inlineStr">
        <is>
          <t>MB0824_04</t>
        </is>
      </c>
      <c r="M157" s="243" t="inlineStr">
        <is>
          <t>P050032</t>
        </is>
      </c>
      <c r="N157" s="243" t="inlineStr">
        <is>
          <t>Motor Breath</t>
        </is>
      </c>
      <c r="O157" s="243" t="inlineStr">
        <is>
          <t>227-12-K-26, (11.09.2026) [FHM-K]</t>
        </is>
      </c>
      <c r="P157" s="248" t="inlineStr">
        <is>
          <t>—</t>
        </is>
      </c>
      <c r="Q157" s="243" t="inlineStr">
        <is>
          <t>—</t>
        </is>
      </c>
      <c r="R157" s="243" t="inlineStr">
        <is>
          <t>CoQ reissue (assigned on issue)</t>
        </is>
      </c>
      <c r="S157" s="243" t="inlineStr">
        <is>
          <t>P050032|R2</t>
        </is>
      </c>
      <c r="T157" s="254" t="inlineStr">
        <is>
          <t>allocated — code reserved 15.09.2026 for the Tranche 3 (sampled 19–21.08.2026) reissue (owner: every Tranche 3 retest parameter is tested at Farmahem and its certificates all issue on one date); sampled 20.08.2026, retest assay 227-12-K-26 on file, mycotoxins pending; planned 21.09.2026 — the owner's date of 15.09.2026 for all of Tranche 3, the 227-М certificates expected by 18.09.2026, provisional until they exist, after every Tranche 2 reissue; cites the campaign iCoA of 24.08.2026</t>
        </is>
      </c>
      <c r="U157" s="243">
        <f>IFERROR(INDEX('CoQ Register'!$B:$B,MATCH("P050032|I",'CoQ Register'!$S:$S,0)),"— initial certificate not on the register —")</f>
        <v/>
      </c>
      <c r="V157" s="251" t="n">
        <v>17.57</v>
      </c>
      <c r="W157" s="243" t="inlineStr">
        <is>
          <t>227-12-К/26</t>
        </is>
      </c>
      <c r="X157" s="243" t="inlineStr">
        <is>
          <t>18.00 ± 1.80 (I)</t>
        </is>
      </c>
      <c r="Y157" s="243" t="inlineStr">
        <is>
          <t>16.20 – 19.79 %</t>
        </is>
      </c>
      <c r="Z157" s="243" t="inlineStr">
        <is>
          <t>MB_THC18 : CBD1</t>
        </is>
      </c>
      <c r="AA157" s="243" t="inlineStr">
        <is>
          <t>QCSP_001_MB-I_v.01</t>
        </is>
      </c>
      <c r="AB157" s="252" t="inlineStr">
        <is>
          <t>for review — replaces the issued QCSP_001_MB-I_v.01 (was MB_THC18 : CBD1, 16.20 – 19.80 %); now MB_THC18 : CBD1 16.20 – 19.79 %</t>
        </is>
      </c>
      <c r="AC157" s="246" t="inlineStr"/>
    </row>
    <row r="158">
      <c r="A158" s="243">
        <f>IF(OR(C158="yes",C158="allocated",C158="ruled"),COUNT(A$1:A157)+1,"")</f>
        <v/>
      </c>
      <c r="B158" s="244">
        <f>IF(A158&lt;&gt;"","CoQ-PP_26-"&amp;TEXT(A158,"000"),"— at issue —")</f>
        <v/>
      </c>
      <c r="C158" s="253" t="inlineStr">
        <is>
          <t>allocated</t>
        </is>
      </c>
      <c r="D158" s="245" t="n">
        <v>46286</v>
      </c>
      <c r="E158" s="245" t="inlineStr">
        <is>
          <t>— the owner's date for all of Tranche 3 (15.09.2026), the 227-М certificates expected by 18.09.2026; provisional —</t>
        </is>
      </c>
      <c r="F158" s="245" t="n">
        <v>46276</v>
      </c>
      <c r="G158" s="243" t="inlineStr">
        <is>
          <t>227-11-K-26</t>
        </is>
      </c>
      <c r="H158" s="243">
        <f>IFERROR(INDEX('iCoA Register'!$B:$B,MATCH("P050132|R2",'iCoA Register'!$AA:$AA,0)),"—")</f>
        <v/>
      </c>
      <c r="I158" s="245">
        <f>IFERROR(INDEX('iCoA Register'!$D:$D,MATCH("P050132|R2",'iCoA Register'!$AA:$AA,0)),"")</f>
        <v/>
      </c>
      <c r="J158" s="243" t="inlineStr">
        <is>
          <t>legacy</t>
        </is>
      </c>
      <c r="K158" s="243" t="inlineStr">
        <is>
          <t>retest — Tranche 3 (sampled 19–21.08.2026)</t>
        </is>
      </c>
      <c r="L158" s="244" t="inlineStr">
        <is>
          <t>OPM052501</t>
        </is>
      </c>
      <c r="M158" s="243" t="inlineStr">
        <is>
          <t>P050132</t>
        </is>
      </c>
      <c r="N158" s="243" t="inlineStr">
        <is>
          <t>Orange Punch Mimosa</t>
        </is>
      </c>
      <c r="O158" s="243" t="inlineStr">
        <is>
          <t>227-11-K-26, (11.09.2026) [FHM-K]</t>
        </is>
      </c>
      <c r="P158" s="248" t="inlineStr">
        <is>
          <t>—</t>
        </is>
      </c>
      <c r="Q158" s="243" t="inlineStr">
        <is>
          <t>—</t>
        </is>
      </c>
      <c r="R158" s="243" t="inlineStr">
        <is>
          <t>CoQ reissue (assigned on issue)</t>
        </is>
      </c>
      <c r="S158" s="243" t="inlineStr">
        <is>
          <t>P050132|R2</t>
        </is>
      </c>
      <c r="T158" s="254" t="inlineStr">
        <is>
          <t>allocated — code reserved 15.09.2026 for the Tranche 3 (sampled 19–21.08.2026) reissue (owner: every Tranche 3 retest parameter is tested at Farmahem and its certificates all issue on one date); sampled 20.08.2026, retest assay 227-11-K-26 on file, mycotoxins pending; planned 21.09.2026 — the owner's date of 15.09.2026 for all of Tranche 3, the 227-М certificates expected by 18.09.2026, provisional until they exist, after every Tranche 2 reissue; cites the campaign iCoA of 24.08.2026</t>
        </is>
      </c>
      <c r="U158" s="243">
        <f>IFERROR(INDEX('CoQ Register'!$B:$B,MATCH("P050132|I",'CoQ Register'!$S:$S,0)),"— initial certificate not on the register —")</f>
        <v/>
      </c>
      <c r="V158" s="251" t="n">
        <v>17.83</v>
      </c>
      <c r="W158" s="243" t="inlineStr">
        <is>
          <t>227-11-К/26</t>
        </is>
      </c>
      <c r="X158" s="243" t="inlineStr">
        <is>
          <t>17.00 ± 1.60 (II)</t>
        </is>
      </c>
      <c r="Y158" s="243" t="inlineStr">
        <is>
          <t>15.40 – 18.59 %</t>
        </is>
      </c>
      <c r="Z158" s="243" t="inlineStr">
        <is>
          <t>OPM_THC17 : CBD1</t>
        </is>
      </c>
      <c r="AA158" s="243" t="inlineStr">
        <is>
          <t>QCSP_001_OPM-II_v.01</t>
        </is>
      </c>
      <c r="AB158" s="252" t="inlineStr">
        <is>
          <t>for review — replaces the issued QCSP_001_OPM-II_v.01 (was OPM_THC18 : CBD1, 16.20 – 19.80 %); now OPM_THC17 : CBD1 15.40 – 18.59 %</t>
        </is>
      </c>
      <c r="AC158" s="246" t="inlineStr"/>
    </row>
    <row r="159">
      <c r="A159" s="243">
        <f>IF(OR(C159="yes",C159="allocated",C159="ruled"),COUNT(A$1:A158)+1,"")</f>
        <v/>
      </c>
      <c r="B159" s="244">
        <f>IF(A159&lt;&gt;"","CoQ-PP_26-"&amp;TEXT(A159,"000"),"— at issue —")</f>
        <v/>
      </c>
      <c r="C159" s="253" t="inlineStr">
        <is>
          <t>allocated</t>
        </is>
      </c>
      <c r="D159" s="245" t="n">
        <v>46286</v>
      </c>
      <c r="E159" s="245" t="inlineStr">
        <is>
          <t>— the owner's date for all of Tranche 3 (15.09.2026), the 227-М certificates expected by 18.09.2026; provisional —</t>
        </is>
      </c>
      <c r="F159" s="245" t="n">
        <v>46276</v>
      </c>
      <c r="G159" s="243" t="inlineStr">
        <is>
          <t>227-10-K-26</t>
        </is>
      </c>
      <c r="H159" s="243">
        <f>IFERROR(INDEX('iCoA Register'!$B:$B,MATCH("P060222|R2",'iCoA Register'!$AA:$AA,0)),"—")</f>
        <v/>
      </c>
      <c r="I159" s="245">
        <f>IFERROR(INDEX('iCoA Register'!$D:$D,MATCH("P060222|R2",'iCoA Register'!$AA:$AA,0)),"")</f>
        <v/>
      </c>
      <c r="J159" s="243" t="inlineStr">
        <is>
          <t>legacy</t>
        </is>
      </c>
      <c r="K159" s="243" t="inlineStr">
        <is>
          <t>retest — Tranche 3 (sampled 19–21.08.2026)</t>
        </is>
      </c>
      <c r="L159" s="244" t="inlineStr">
        <is>
          <t>OPM112501</t>
        </is>
      </c>
      <c r="M159" s="243" t="inlineStr">
        <is>
          <t>P060222</t>
        </is>
      </c>
      <c r="N159" s="243" t="inlineStr">
        <is>
          <t>Orange Punch Mimosa</t>
        </is>
      </c>
      <c r="O159" s="243" t="inlineStr">
        <is>
          <t>227-10-K-26, (11.09.2026) [FHM-K]</t>
        </is>
      </c>
      <c r="P159" s="248" t="inlineStr">
        <is>
          <t>—</t>
        </is>
      </c>
      <c r="Q159" s="243" t="inlineStr">
        <is>
          <t>—</t>
        </is>
      </c>
      <c r="R159" s="243" t="inlineStr">
        <is>
          <t>CoQ reissue (assigned on issue)</t>
        </is>
      </c>
      <c r="S159" s="243" t="inlineStr">
        <is>
          <t>P060222|R2</t>
        </is>
      </c>
      <c r="T159" s="254" t="inlineStr">
        <is>
          <t>allocated — code reserved 15.09.2026 for the Tranche 3 (sampled 19–21.08.2026) reissue (owner: every Tranche 3 retest parameter is tested at Farmahem and its certificates all issue on one date); sampled 19.08.2026, retest assay 227-10-K-26 on file, mycotoxins pending; planned 21.09.2026 — the owner's date of 15.09.2026 for all of Tranche 3, the 227-М certificates expected by 18.09.2026, provisional until they exist, after every Tranche 2 reissue; cites the campaign iCoA of 24.08.2026</t>
        </is>
      </c>
      <c r="U159" s="243">
        <f>IFERROR(INDEX('CoQ Register'!$B:$B,MATCH("P060222|I",'CoQ Register'!$S:$S,0)),"— initial certificate not on the register —")</f>
        <v/>
      </c>
      <c r="V159" s="251" t="n">
        <v>9.73</v>
      </c>
      <c r="W159" s="243" t="inlineStr">
        <is>
          <t>227-10-К/26</t>
        </is>
      </c>
      <c r="X159" s="243" t="inlineStr">
        <is>
          <t>10.00 ± 1.00 (IV)</t>
        </is>
      </c>
      <c r="Y159" s="243" t="inlineStr">
        <is>
          <t>9.00 – 10.99 %</t>
        </is>
      </c>
      <c r="Z159" s="243" t="inlineStr">
        <is>
          <t>OPM_THC10 : CBD1</t>
        </is>
      </c>
      <c r="AA159" s="243" t="inlineStr">
        <is>
          <t>QCSP_001_OPM-IV_v.01</t>
        </is>
      </c>
      <c r="AB159" s="252" t="inlineStr">
        <is>
          <t>for review — replaces the issued QCSP_001_OPM-IV_v.01 (was OPM_THC10 : CBD1, 9.00 – 11.00 %); now OPM_THC10 : CBD1 9.00 – 10.99 %</t>
        </is>
      </c>
      <c r="AC159" s="246" t="inlineStr"/>
    </row>
    <row r="160">
      <c r="A160" s="243">
        <f>IF(OR(C160="yes",C160="allocated",C160="ruled"),COUNT(A$1:A159)+1,"")</f>
        <v/>
      </c>
      <c r="B160" s="244">
        <f>IF(A160&lt;&gt;"","CoQ-PP_26-"&amp;TEXT(A160,"000"),"— at issue —")</f>
        <v/>
      </c>
      <c r="C160" s="253" t="inlineStr">
        <is>
          <t>allocated</t>
        </is>
      </c>
      <c r="D160" s="245" t="n">
        <v>46286</v>
      </c>
      <c r="E160" s="245" t="inlineStr">
        <is>
          <t>— the owner's date for all of Tranche 3 (15.09.2026), the 227-М certificates expected by 18.09.2026; provisional —</t>
        </is>
      </c>
      <c r="F160" s="245" t="n">
        <v>46276</v>
      </c>
      <c r="G160" s="243" t="inlineStr">
        <is>
          <t>227-9-K-26</t>
        </is>
      </c>
      <c r="H160" s="243">
        <f>IFERROR(INDEX('iCoA Register'!$B:$B,MATCH("P050272|R2",'iCoA Register'!$AA:$AA,0)),"—")</f>
        <v/>
      </c>
      <c r="I160" s="245">
        <f>IFERROR(INDEX('iCoA Register'!$D:$D,MATCH("P050272|R2",'iCoA Register'!$AA:$AA,0)),"")</f>
        <v/>
      </c>
      <c r="J160" s="243" t="inlineStr">
        <is>
          <t>legacy</t>
        </is>
      </c>
      <c r="K160" s="243" t="inlineStr">
        <is>
          <t>retest — Tranche 3 (sampled 19–21.08.2026)</t>
        </is>
      </c>
      <c r="L160" s="244" t="inlineStr">
        <is>
          <t>PM072501</t>
        </is>
      </c>
      <c r="M160" s="243" t="inlineStr">
        <is>
          <t>P050272</t>
        </is>
      </c>
      <c r="N160" s="243" t="inlineStr">
        <is>
          <t>Permanent Marker</t>
        </is>
      </c>
      <c r="O160" s="243" t="inlineStr">
        <is>
          <t>227-9-K-26, (11.09.2026) [FHM-K]</t>
        </is>
      </c>
      <c r="P160" s="248" t="inlineStr">
        <is>
          <t>—</t>
        </is>
      </c>
      <c r="Q160" s="243" t="inlineStr">
        <is>
          <t>—</t>
        </is>
      </c>
      <c r="R160" s="243" t="inlineStr">
        <is>
          <t>CoQ reissue (assigned on issue)</t>
        </is>
      </c>
      <c r="S160" s="243" t="inlineStr">
        <is>
          <t>P050272|R2</t>
        </is>
      </c>
      <c r="T160" s="254" t="inlineStr">
        <is>
          <t>allocated — code reserved 15.09.2026 for the Tranche 3 (sampled 19–21.08.2026) reissue (owner: every Tranche 3 retest parameter is tested at Farmahem and its certificates all issue on one date); sampled 19.08.2026, retest assay 227-9-K-26 on file, mycotoxins pending; planned 21.09.2026 — the owner's date of 15.09.2026 for all of Tranche 3, the 227-М certificates expected by 18.09.2026, provisional until they exist, after every Tranche 2 reissue; cites the campaign iCoA of 24.08.2026</t>
        </is>
      </c>
      <c r="U160" s="243">
        <f>IFERROR(INDEX('CoQ Register'!$B:$B,MATCH("P050272|I",'CoQ Register'!$S:$S,0)),"— initial certificate not on the register —")</f>
        <v/>
      </c>
      <c r="V160" s="251" t="n">
        <v>12.77</v>
      </c>
      <c r="W160" s="243" t="inlineStr">
        <is>
          <t>227-9-К/26</t>
        </is>
      </c>
      <c r="X160" s="243" t="inlineStr">
        <is>
          <t>12.00 ± 1.00 (II)</t>
        </is>
      </c>
      <c r="Y160" s="243" t="inlineStr">
        <is>
          <t>11.00 – 12.99 %</t>
        </is>
      </c>
      <c r="Z160" s="243" t="inlineStr">
        <is>
          <t>PM_THC12 : CBD1</t>
        </is>
      </c>
      <c r="AA160" s="243" t="inlineStr">
        <is>
          <t>QCSP_001_PM-II_v.01</t>
        </is>
      </c>
      <c r="AB160" s="252" t="inlineStr">
        <is>
          <t>for review — replaces the issued QCSP_001_PM-II_v.01 (was PM_THC10 : CBD1, 9.00 – 11.00 %); now PM_THC12 : CBD1 11.00 – 12.99 %</t>
        </is>
      </c>
      <c r="AC160" s="246" t="inlineStr"/>
    </row>
    <row r="161">
      <c r="A161" s="243">
        <f>IF(OR(C161="yes",C161="allocated",C161="ruled"),COUNT(A$1:A160)+1,"")</f>
        <v/>
      </c>
      <c r="B161" s="244">
        <f>IF(A161&lt;&gt;"","CoQ-PP_26-"&amp;TEXT(A161,"000"),"— at issue —")</f>
        <v/>
      </c>
      <c r="C161" s="253" t="inlineStr">
        <is>
          <t>allocated</t>
        </is>
      </c>
      <c r="D161" s="245" t="n">
        <v>46286</v>
      </c>
      <c r="E161" s="245" t="inlineStr">
        <is>
          <t>— the owner's date for all of Tranche 3 (15.09.2026), the 227-М certificates expected by 18.09.2026; provisional —</t>
        </is>
      </c>
      <c r="F161" s="245" t="n">
        <v>46276</v>
      </c>
      <c r="G161" s="243" t="inlineStr">
        <is>
          <t>227-8-K-26</t>
        </is>
      </c>
      <c r="H161" s="243">
        <f>IFERROR(INDEX('iCoA Register'!$B:$B,MATCH("P060342|R2",'iCoA Register'!$AA:$AA,0)),"—")</f>
        <v/>
      </c>
      <c r="I161" s="245">
        <f>IFERROR(INDEX('iCoA Register'!$D:$D,MATCH("P060342|R2",'iCoA Register'!$AA:$AA,0)),"")</f>
        <v/>
      </c>
      <c r="J161" s="243" t="inlineStr">
        <is>
          <t>post-SOP</t>
        </is>
      </c>
      <c r="K161" s="243" t="inlineStr">
        <is>
          <t>retest — Tranche 3 (sampled 19–21.08.2026)</t>
        </is>
      </c>
      <c r="L161" s="244" t="inlineStr">
        <is>
          <t>SCR012601*</t>
        </is>
      </c>
      <c r="M161" s="243" t="inlineStr">
        <is>
          <t>P060342</t>
        </is>
      </c>
      <c r="N161" s="243" t="inlineStr">
        <is>
          <t>Scrambler</t>
        </is>
      </c>
      <c r="O161" s="243" t="inlineStr">
        <is>
          <t>227-8-K-26, (11.09.2026) [FHM-K]</t>
        </is>
      </c>
      <c r="P161" s="248" t="inlineStr">
        <is>
          <t>—</t>
        </is>
      </c>
      <c r="Q161" s="243" t="inlineStr">
        <is>
          <t>—</t>
        </is>
      </c>
      <c r="R161" s="243" t="inlineStr">
        <is>
          <t>CoQ reissue (assigned on issue)</t>
        </is>
      </c>
      <c r="S161" s="243" t="inlineStr">
        <is>
          <t>P060342|R2</t>
        </is>
      </c>
      <c r="T161" s="254" t="inlineStr">
        <is>
          <t>allocated — code reserved 15.09.2026 for the Tranche 3 (sampled 19–21.08.2026) reissue (owner: every Tranche 3 retest parameter is tested at Farmahem and its certificates all issue on one date); sampled 19.08.2026, retest assay 227-8-K-26 on file, mycotoxins pending; planned 21.09.2026 — the owner's date of 15.09.2026 for all of Tranche 3, the 227-М certificates expected by 18.09.2026, provisional until they exist, after every Tranche 2 reissue; cites the campaign iCoA of 24.08.2026</t>
        </is>
      </c>
      <c r="U161" s="243">
        <f>IFERROR(INDEX('CoQ Register'!$B:$B,MATCH("P060342|I",'CoQ Register'!$S:$S,0)),"— initial certificate not on the register —")</f>
        <v/>
      </c>
      <c r="V161" s="251" t="n">
        <v>22.4</v>
      </c>
      <c r="W161" s="243" t="inlineStr">
        <is>
          <t>227-8-К/26</t>
        </is>
      </c>
      <c r="X161" s="243" t="inlineStr">
        <is>
          <t>22.00 ± 2.20 (I)</t>
        </is>
      </c>
      <c r="Y161" s="243" t="inlineStr">
        <is>
          <t>19.80 – 24.19 %</t>
        </is>
      </c>
      <c r="Z161" s="243" t="inlineStr">
        <is>
          <t>SCR_THC22 : CBD1</t>
        </is>
      </c>
      <c r="AA161" s="243" t="inlineStr">
        <is>
          <t>QCSP_001_SCR-I_v.01</t>
        </is>
      </c>
      <c r="AB161" s="246" t="inlineStr">
        <is>
          <t>for review — new</t>
        </is>
      </c>
      <c r="AC161" s="246" t="inlineStr"/>
    </row>
    <row r="162">
      <c r="A162" s="243">
        <f>IF(OR(C162="yes",C162="allocated",C162="ruled"),COUNT(A$1:A161)+1,"")</f>
        <v/>
      </c>
      <c r="B162" s="244">
        <f>IF(A162&lt;&gt;"","CoQ-PP_26-"&amp;TEXT(A162,"000"),"— at issue —")</f>
        <v/>
      </c>
      <c r="C162" s="253" t="inlineStr">
        <is>
          <t>allocated</t>
        </is>
      </c>
      <c r="D162" s="245" t="n">
        <v>46286</v>
      </c>
      <c r="E162" s="245" t="inlineStr">
        <is>
          <t>— the owner's date for all of Tranche 3 (15.09.2026), the 227-М certificates expected by 18.09.2026; provisional —</t>
        </is>
      </c>
      <c r="F162" s="245" t="n">
        <v>46276</v>
      </c>
      <c r="G162" s="243" t="inlineStr">
        <is>
          <t>227-7-K-26</t>
        </is>
      </c>
      <c r="H162" s="243">
        <f>IFERROR(INDEX('iCoA Register'!$B:$B,MATCH("P060442|R2",'iCoA Register'!$AA:$AA,0)),"—")</f>
        <v/>
      </c>
      <c r="I162" s="245">
        <f>IFERROR(INDEX('iCoA Register'!$D:$D,MATCH("P060442|R2",'iCoA Register'!$AA:$AA,0)),"")</f>
        <v/>
      </c>
      <c r="J162" s="243" t="inlineStr">
        <is>
          <t>post-SOP</t>
        </is>
      </c>
      <c r="K162" s="243" t="inlineStr">
        <is>
          <t>retest — Tranche 3 (sampled 19–21.08.2026)</t>
        </is>
      </c>
      <c r="L162" s="244" t="inlineStr">
        <is>
          <t>SCR022601</t>
        </is>
      </c>
      <c r="M162" s="243" t="inlineStr">
        <is>
          <t>P060442</t>
        </is>
      </c>
      <c r="N162" s="243" t="inlineStr">
        <is>
          <t>Scrambler</t>
        </is>
      </c>
      <c r="O162" s="243" t="inlineStr">
        <is>
          <t>227-7-K-26, (11.09.2026) [FHM-K]</t>
        </is>
      </c>
      <c r="P162" s="248" t="inlineStr">
        <is>
          <t>—</t>
        </is>
      </c>
      <c r="Q162" s="243" t="inlineStr">
        <is>
          <t>—</t>
        </is>
      </c>
      <c r="R162" s="243" t="inlineStr">
        <is>
          <t>CoQ reissue (assigned on issue)</t>
        </is>
      </c>
      <c r="S162" s="243" t="inlineStr">
        <is>
          <t>P060442|R2</t>
        </is>
      </c>
      <c r="T162" s="254" t="inlineStr">
        <is>
          <t>allocated — code reserved 15.09.2026 for the Tranche 3 (sampled 19–21.08.2026) reissue (owner: every Tranche 3 retest parameter is tested at Farmahem and its certificates all issue on one date); sampled 19.08.2026, retest assay 227-7-K-26 on file, mycotoxins pending; planned 21.09.2026 — the owner's date of 15.09.2026 for all of Tranche 3, the 227-М certificates expected by 18.09.2026, provisional until they exist, after every Tranche 2 reissue; cites the campaign iCoA of 24.08.2026</t>
        </is>
      </c>
      <c r="U162" s="243">
        <f>IFERROR(INDEX('CoQ Register'!$B:$B,MATCH("P060442|I",'CoQ Register'!$S:$S,0)),"— initial certificate not on the register —")</f>
        <v/>
      </c>
      <c r="V162" s="251" t="n">
        <v>16.68</v>
      </c>
      <c r="W162" s="243" t="inlineStr">
        <is>
          <t>227-7-К/26</t>
        </is>
      </c>
      <c r="X162" s="243" t="inlineStr">
        <is>
          <t>18.00 ± 1.80 (II)</t>
        </is>
      </c>
      <c r="Y162" s="243" t="inlineStr">
        <is>
          <t>16.20 – 19.79 %</t>
        </is>
      </c>
      <c r="Z162" s="243" t="inlineStr">
        <is>
          <t>SCR_THC18 : CBD1</t>
        </is>
      </c>
      <c r="AA162" s="243" t="inlineStr">
        <is>
          <t>QCSP_001_SCR-II_v.01</t>
        </is>
      </c>
      <c r="AB162" s="252" t="inlineStr">
        <is>
          <t>for review — replaces the issued QCSP_001_SCR-II_v.01 (was SCR_THC18 : CBD1, 16.20 – 19.80 %); now SCR_THC18 : CBD1 16.20 – 19.79 %</t>
        </is>
      </c>
      <c r="AC162" s="246" t="inlineStr"/>
    </row>
    <row r="163">
      <c r="A163" s="243">
        <f>IF(OR(C163="yes",C163="allocated",C163="ruled"),COUNT(A$1:A162)+1,"")</f>
        <v/>
      </c>
      <c r="B163" s="244">
        <f>IF(A163&lt;&gt;"","CoQ-PP_26-"&amp;TEXT(A163,"000"),"— at issue —")</f>
        <v/>
      </c>
      <c r="C163" s="253" t="inlineStr">
        <is>
          <t>allocated</t>
        </is>
      </c>
      <c r="D163" s="245" t="n">
        <v>46286</v>
      </c>
      <c r="E163" s="245" t="inlineStr">
        <is>
          <t>— the owner's date for all of Tranche 3 (15.09.2026), the 227-М certificates expected by 18.09.2026; provisional —</t>
        </is>
      </c>
      <c r="F163" s="245" t="n">
        <v>46276</v>
      </c>
      <c r="G163" s="243" t="inlineStr">
        <is>
          <t>227-6-K-26</t>
        </is>
      </c>
      <c r="H163" s="243">
        <f>IFERROR(INDEX('iCoA Register'!$B:$B,MATCH("P060162|R2",'iCoA Register'!$AA:$AA,0)),"—")</f>
        <v/>
      </c>
      <c r="I163" s="245">
        <f>IFERROR(INDEX('iCoA Register'!$D:$D,MATCH("P060162|R2",'iCoA Register'!$AA:$AA,0)),"")</f>
        <v/>
      </c>
      <c r="J163" s="243" t="inlineStr">
        <is>
          <t>legacy</t>
        </is>
      </c>
      <c r="K163" s="243" t="inlineStr">
        <is>
          <t>retest — Tranche 3 (sampled 19–21.08.2026)</t>
        </is>
      </c>
      <c r="L163" s="244" t="inlineStr">
        <is>
          <t>SJ102501</t>
        </is>
      </c>
      <c r="M163" s="243" t="inlineStr">
        <is>
          <t>P060162</t>
        </is>
      </c>
      <c r="N163" s="243" t="inlineStr">
        <is>
          <t>Sleepy Joe</t>
        </is>
      </c>
      <c r="O163" s="243" t="inlineStr">
        <is>
          <t>227-6-K-26, (11.09.2026) [FHM-K]</t>
        </is>
      </c>
      <c r="P163" s="248" t="inlineStr">
        <is>
          <t>—</t>
        </is>
      </c>
      <c r="Q163" s="243" t="inlineStr">
        <is>
          <t>—</t>
        </is>
      </c>
      <c r="R163" s="243" t="inlineStr">
        <is>
          <t>CoQ reissue (assigned on issue)</t>
        </is>
      </c>
      <c r="S163" s="243" t="inlineStr">
        <is>
          <t>P060162|R2</t>
        </is>
      </c>
      <c r="T163" s="254" t="inlineStr">
        <is>
          <t>allocated — code reserved 15.09.2026 for the Tranche 3 (sampled 19–21.08.2026) reissue (owner: every Tranche 3 retest parameter is tested at Farmahem and its certificates all issue on one date); sampled 19.08.2026, retest assay 227-6-K-26 on file, mycotoxins pending; planned 21.09.2026 — the owner's date of 15.09.2026 for all of Tranche 3, the 227-М certificates expected by 18.09.2026, provisional until they exist, after every Tranche 2 reissue; cites the campaign iCoA of 24.08.2026</t>
        </is>
      </c>
      <c r="U163" s="243">
        <f>IFERROR(INDEX('CoQ Register'!$B:$B,MATCH("P060162|I",'CoQ Register'!$S:$S,0)),"— initial certificate not on the register —")</f>
        <v/>
      </c>
      <c r="V163" s="251" t="n">
        <v>10.61</v>
      </c>
      <c r="W163" s="243" t="inlineStr">
        <is>
          <t>227-6-К/26</t>
        </is>
      </c>
      <c r="X163" s="243" t="inlineStr">
        <is>
          <t>10.00 ± 1.00 (II)</t>
        </is>
      </c>
      <c r="Y163" s="243" t="inlineStr">
        <is>
          <t>9.00 – 10.99 %</t>
        </is>
      </c>
      <c r="Z163" s="243" t="inlineStr">
        <is>
          <t>SJ_THC10 : CBD1</t>
        </is>
      </c>
      <c r="AA163" s="243" t="inlineStr">
        <is>
          <t>QCSP_001_SJ-II_v.01</t>
        </is>
      </c>
      <c r="AB163" s="252" t="inlineStr">
        <is>
          <t>for review — replaces the issued QCSP_001_SJ-II_v.01 (was SJ_THC10 : CBD1, 9.00 – 11.00 %); now SJ_THC10 : CBD1 9.00 – 10.99 %</t>
        </is>
      </c>
      <c r="AC163" s="246" t="inlineStr"/>
    </row>
    <row r="164">
      <c r="A164" s="243">
        <f>IF(OR(C164="yes",C164="allocated",C164="ruled"),COUNT(A$1:A163)+1,"")</f>
        <v/>
      </c>
      <c r="B164" s="244">
        <f>IF(A164&lt;&gt;"","CoQ-PP_26-"&amp;TEXT(A164,"000"),"— at issue —")</f>
        <v/>
      </c>
      <c r="C164" s="253" t="inlineStr">
        <is>
          <t>allocated</t>
        </is>
      </c>
      <c r="D164" s="245" t="n">
        <v>46286</v>
      </c>
      <c r="E164" s="245" t="inlineStr">
        <is>
          <t>— the owner's date for all of Tranche 3 (15.09.2026), the 227-М certificates expected by 18.09.2026; provisional —</t>
        </is>
      </c>
      <c r="F164" s="245" t="n">
        <v>46276</v>
      </c>
      <c r="G164" s="243" t="inlineStr">
        <is>
          <t>227-5-K-26</t>
        </is>
      </c>
      <c r="H164" s="243">
        <f>IFERROR(INDEX('iCoA Register'!$B:$B,MATCH("P060192|R",'iCoA Register'!$AA:$AA,0)),"—")</f>
        <v/>
      </c>
      <c r="I164" s="245">
        <f>IFERROR(INDEX('iCoA Register'!$D:$D,MATCH("P060192|R",'iCoA Register'!$AA:$AA,0)),"")</f>
        <v/>
      </c>
      <c r="J164" s="243" t="inlineStr">
        <is>
          <t>legacy</t>
        </is>
      </c>
      <c r="K164" s="243" t="inlineStr">
        <is>
          <t>retest — Tranche 3 (sampled 19–21.08.2026)</t>
        </is>
      </c>
      <c r="L164" s="244" t="inlineStr">
        <is>
          <t>SJ112501</t>
        </is>
      </c>
      <c r="M164" s="243" t="inlineStr">
        <is>
          <t>P060192</t>
        </is>
      </c>
      <c r="N164" s="243" t="inlineStr">
        <is>
          <t>Sleepy Joe</t>
        </is>
      </c>
      <c r="O164" s="243" t="inlineStr">
        <is>
          <t>227-5-K-26, (11.09.2026) [FHM-K]</t>
        </is>
      </c>
      <c r="P164" s="248" t="inlineStr">
        <is>
          <t>—</t>
        </is>
      </c>
      <c r="Q164" s="243" t="inlineStr">
        <is>
          <t>—</t>
        </is>
      </c>
      <c r="R164" s="243" t="inlineStr">
        <is>
          <t>CoQ reissue (assigned on issue)</t>
        </is>
      </c>
      <c r="S164" s="243" t="inlineStr">
        <is>
          <t>P060192|R</t>
        </is>
      </c>
      <c r="T164" s="254" t="inlineStr">
        <is>
          <t>allocated — code reserved 15.09.2026 for the Tranche 3 (sampled 19–21.08.2026) reissue (owner: every Tranche 3 retest parameter is tested at Farmahem and its certificates all issue on one date); sampled 19.08.2026, retest assay 227-5-K-26 on file, mycotoxins pending; planned 21.09.2026 — the owner's date of 15.09.2026 for all of Tranche 3, the 227-М certificates expected by 18.09.2026, provisional until they exist, after every Tranche 2 reissue; cites iCoA-PP_26-162 of 24.08.2026</t>
        </is>
      </c>
      <c r="U164" s="243">
        <f>IFERROR(INDEX('CoQ Register'!$B:$B,MATCH("P060192|I",'CoQ Register'!$S:$S,0)),"— initial certificate not on the register —")</f>
        <v/>
      </c>
      <c r="V164" s="251" t="n">
        <v>11.27</v>
      </c>
      <c r="W164" s="243" t="inlineStr">
        <is>
          <t>227-5-К/26</t>
        </is>
      </c>
      <c r="X164" s="243" t="inlineStr">
        <is>
          <t>12.00 ± 1.00 (I)</t>
        </is>
      </c>
      <c r="Y164" s="243" t="inlineStr">
        <is>
          <t>11.00 – 12.99 %</t>
        </is>
      </c>
      <c r="Z164" s="243" t="inlineStr">
        <is>
          <t>SJ_THC12 : CBD1</t>
        </is>
      </c>
      <c r="AA164" s="243" t="inlineStr">
        <is>
          <t>QCSP_001_SJ-I_v.01</t>
        </is>
      </c>
      <c r="AB164" s="246" t="inlineStr">
        <is>
          <t>for review — new</t>
        </is>
      </c>
      <c r="AC164" s="246" t="inlineStr"/>
    </row>
    <row r="165">
      <c r="A165" s="243">
        <f>IF(OR(C165="yes",C165="allocated",C165="ruled"),COUNT(A$1:A164)+1,"")</f>
        <v/>
      </c>
      <c r="B165" s="244">
        <f>IF(A165&lt;&gt;"","CoQ-PP_26-"&amp;TEXT(A165,"000"),"— at issue —")</f>
        <v/>
      </c>
      <c r="C165" s="253" t="inlineStr">
        <is>
          <t>allocated</t>
        </is>
      </c>
      <c r="D165" s="245" t="n">
        <v>46286</v>
      </c>
      <c r="E165" s="245" t="inlineStr">
        <is>
          <t>— the owner's date for all of Tranche 3 (15.09.2026), the 227-М certificates expected by 18.09.2026; provisional —</t>
        </is>
      </c>
      <c r="F165" s="245" t="n">
        <v>46276</v>
      </c>
      <c r="G165" s="243" t="inlineStr">
        <is>
          <t>227-3-K-26</t>
        </is>
      </c>
      <c r="H165" s="243">
        <f>IFERROR(INDEX('iCoA Register'!$B:$B,MATCH("P050262|R2",'iCoA Register'!$AA:$AA,0)),"—")</f>
        <v/>
      </c>
      <c r="I165" s="245">
        <f>IFERROR(INDEX('iCoA Register'!$D:$D,MATCH("P050262|R2",'iCoA Register'!$AA:$AA,0)),"")</f>
        <v/>
      </c>
      <c r="J165" s="243" t="inlineStr">
        <is>
          <t>legacy</t>
        </is>
      </c>
      <c r="K165" s="243" t="inlineStr">
        <is>
          <t>retest — Tranche 3 (sampled 19–21.08.2026)</t>
        </is>
      </c>
      <c r="L165" s="244" t="inlineStr">
        <is>
          <t>WC072501</t>
        </is>
      </c>
      <c r="M165" s="243" t="inlineStr">
        <is>
          <t>P050262</t>
        </is>
      </c>
      <c r="N165" s="243" t="inlineStr">
        <is>
          <t>Wedding Crusher</t>
        </is>
      </c>
      <c r="O165" s="243" t="inlineStr">
        <is>
          <t>227-3-K-26, (11.09.2026) [FHM-K]</t>
        </is>
      </c>
      <c r="P165" s="248" t="inlineStr">
        <is>
          <t>—</t>
        </is>
      </c>
      <c r="Q165" s="243" t="inlineStr">
        <is>
          <t>—</t>
        </is>
      </c>
      <c r="R165" s="243" t="inlineStr">
        <is>
          <t>CoQ reissue (assigned on issue)</t>
        </is>
      </c>
      <c r="S165" s="243" t="inlineStr">
        <is>
          <t>P050262|R2</t>
        </is>
      </c>
      <c r="T165" s="254" t="inlineStr">
        <is>
          <t>allocated — code reserved 15.09.2026 for the Tranche 3 (sampled 19–21.08.2026) reissue (owner: every Tranche 3 retest parameter is tested at Farmahem and its certificates all issue on one date); sampled 19.08.2026, retest assay 227-3-K-26 on file, mycotoxins pending; planned 21.09.2026 — the owner's date of 15.09.2026 for all of Tranche 3, the 227-М certificates expected by 18.09.2026, provisional until they exist, after every Tranche 2 reissue; cites the campaign iCoA of 24.08.2026</t>
        </is>
      </c>
      <c r="U165" s="243">
        <f>IFERROR(INDEX('CoQ Register'!$B:$B,MATCH("P050262|I",'CoQ Register'!$S:$S,0)),"— initial certificate not on the register —")</f>
        <v/>
      </c>
      <c r="V165" s="251" t="n">
        <v>25.37</v>
      </c>
      <c r="W165" s="243" t="inlineStr">
        <is>
          <t>227-3-К/26</t>
        </is>
      </c>
      <c r="X165" s="243" t="inlineStr">
        <is>
          <t>26.00 ± 2.60 (I)</t>
        </is>
      </c>
      <c r="Y165" s="243" t="inlineStr">
        <is>
          <t>23.40 – 28.59 %</t>
        </is>
      </c>
      <c r="Z165" s="243" t="inlineStr">
        <is>
          <t>WC_THC26 : CBD1</t>
        </is>
      </c>
      <c r="AA165" s="243" t="inlineStr">
        <is>
          <t>QCSP_001_WC-I_v.01</t>
        </is>
      </c>
      <c r="AB165" s="252" t="inlineStr">
        <is>
          <t>for review — replaces the issued QCSP_001_WC-I_v.01 (was WC_THC22 : CBD1, 19.80 – 24.20 %); now WC_THC26 : CBD1 23.40 – 28.59 %</t>
        </is>
      </c>
      <c r="AC165" s="246" t="inlineStr"/>
    </row>
    <row r="166">
      <c r="A166" s="243">
        <f>IF(OR(C166="yes",C166="allocated",C166="ruled"),COUNT(A$1:A165)+1,"")</f>
        <v/>
      </c>
      <c r="B166" s="244">
        <f>IF(A166&lt;&gt;"","CoQ-PP_26-"&amp;TEXT(A166,"000"),"— at issue —")</f>
        <v/>
      </c>
      <c r="C166" s="253" t="inlineStr">
        <is>
          <t>allocated</t>
        </is>
      </c>
      <c r="D166" s="245" t="n">
        <v>46286</v>
      </c>
      <c r="E166" s="245" t="inlineStr">
        <is>
          <t>— the owner's date for all of Tranche 3 (15.09.2026), the 227-М certificates expected by 18.09.2026; provisional —</t>
        </is>
      </c>
      <c r="F166" s="245" t="n">
        <v>46276</v>
      </c>
      <c r="G166" s="243" t="inlineStr">
        <is>
          <t>227-4-K-26</t>
        </is>
      </c>
      <c r="H166" s="243">
        <f>IFERROR(INDEX('iCoA Register'!$B:$B,MATCH("P060102|R2",'iCoA Register'!$AA:$AA,0)),"—")</f>
        <v/>
      </c>
      <c r="I166" s="245">
        <f>IFERROR(INDEX('iCoA Register'!$D:$D,MATCH("P060102|R2",'iCoA Register'!$AA:$AA,0)),"")</f>
        <v/>
      </c>
      <c r="J166" s="243" t="inlineStr">
        <is>
          <t>legacy</t>
        </is>
      </c>
      <c r="K166" s="243" t="inlineStr">
        <is>
          <t>retest — Tranche 3 (sampled 19–21.08.2026)</t>
        </is>
      </c>
      <c r="L166" s="244" t="inlineStr">
        <is>
          <t>WED102501</t>
        </is>
      </c>
      <c r="M166" s="243" t="inlineStr">
        <is>
          <t>P060102</t>
        </is>
      </c>
      <c r="N166" s="243" t="inlineStr">
        <is>
          <t>Wedding Cake</t>
        </is>
      </c>
      <c r="O166" s="243" t="inlineStr">
        <is>
          <t>227-4-K-26, (11.09.2026) [FHM-K]</t>
        </is>
      </c>
      <c r="P166" s="248" t="inlineStr">
        <is>
          <t>—</t>
        </is>
      </c>
      <c r="Q166" s="243" t="inlineStr">
        <is>
          <t>—</t>
        </is>
      </c>
      <c r="R166" s="243" t="inlineStr">
        <is>
          <t>CoQ reissue (assigned on issue)</t>
        </is>
      </c>
      <c r="S166" s="243" t="inlineStr">
        <is>
          <t>P060102|R2</t>
        </is>
      </c>
      <c r="T166" s="254" t="inlineStr">
        <is>
          <t>allocated — code reserved 15.09.2026 for the Tranche 3 (sampled 19–21.08.2026) reissue (owner: every Tranche 3 retest parameter is tested at Farmahem and its certificates all issue on one date); sampled 19.08.2026, retest assay 227-4-K-26 on file, mycotoxins pending; planned 21.09.2026 — the owner's date of 15.09.2026 for all of Tranche 3, the 227-М certificates expected by 18.09.2026, provisional until they exist, after every Tranche 2 reissue; cites the campaign iCoA of 24.08.2026</t>
        </is>
      </c>
      <c r="U166" s="243">
        <f>IFERROR(INDEX('CoQ Register'!$B:$B,MATCH("P060102|I",'CoQ Register'!$S:$S,0)),"— initial certificate not on the register —")</f>
        <v/>
      </c>
      <c r="V166" s="251" t="n">
        <v>25.15</v>
      </c>
      <c r="W166" s="243" t="inlineStr">
        <is>
          <t>227-4-К/26</t>
        </is>
      </c>
      <c r="X166" s="243" t="inlineStr">
        <is>
          <t>26.00 ± 2.60 (I)</t>
        </is>
      </c>
      <c r="Y166" s="243" t="inlineStr">
        <is>
          <t>23.40 – 28.59 %</t>
        </is>
      </c>
      <c r="Z166" s="243" t="inlineStr">
        <is>
          <t>WED_THC26 : CBD1</t>
        </is>
      </c>
      <c r="AA166" s="243" t="inlineStr">
        <is>
          <t>QCSP_001_WED-I_v.01</t>
        </is>
      </c>
      <c r="AB166" s="246" t="inlineStr">
        <is>
          <t>for review — new</t>
        </is>
      </c>
      <c r="AC166" s="246" t="inlineStr"/>
    </row>
    <row r="167">
      <c r="A167" s="243">
        <f>IF(OR(C167="yes",C167="allocated",C167="ruled"),COUNT(A$1:A166)+1,"")</f>
        <v/>
      </c>
      <c r="B167" s="244">
        <f>IF(A167&lt;&gt;"","CoQ-PP_26-"&amp;TEXT(A167,"000"),"— at issue —")</f>
        <v/>
      </c>
      <c r="C167" s="253" t="inlineStr">
        <is>
          <t>ruled</t>
        </is>
      </c>
      <c r="D167" s="245">
        <f>IF(OR(A167="",C167="allocated",C167="ruled"),"",MAX(E167,IF(ISNUMBER(I167),I167,0),IFERROR(IF(ISNUMBER(INDEX('iCoA Register'!$F:$F,MATCH(S167,'iCoA Register'!$AA:$AA,0))),INDEX('iCoA Register'!$F:$F,MATCH(S167,'iCoA Register'!$AA:$AA,0)),0),0)))</f>
        <v/>
      </c>
      <c r="E167" s="245">
        <f>IF(ISNUMBER(F167),MAX(DATE(2026,6,6),F167+7),DATE(2026,6,6))</f>
        <v/>
      </c>
      <c r="F167" s="245" t="inlineStr">
        <is>
          <t>—</t>
        </is>
      </c>
      <c r="G167" s="243" t="inlineStr">
        <is>
          <t>—</t>
        </is>
      </c>
      <c r="H167" s="243">
        <f>IFERROR(INDEX('iCoA Register'!$B:$B,MATCH("CC042601|I",'iCoA Register'!$AA:$AA,0)),"—")</f>
        <v/>
      </c>
      <c r="I167" s="245">
        <f>IFERROR(INDEX('iCoA Register'!$D:$D,MATCH("CC042601|I",'iCoA Register'!$AA:$AA,0)),"")</f>
        <v/>
      </c>
      <c r="J167" s="243" t="inlineStr">
        <is>
          <t>—</t>
        </is>
      </c>
      <c r="K167" s="243" t="inlineStr">
        <is>
          <t>initial release</t>
        </is>
      </c>
      <c r="L167" s="244" t="inlineStr">
        <is>
          <t>CC042601</t>
        </is>
      </c>
      <c r="M167" s="243" t="inlineStr">
        <is>
          <t>N/A — no P batch assigned</t>
        </is>
      </c>
      <c r="N167" s="243" t="inlineStr">
        <is>
          <t>Cash Cow</t>
        </is>
      </c>
      <c r="O167" s="248" t="inlineStr">
        <is>
          <t>— no cannabinoid certificate from the initial testing —</t>
        </is>
      </c>
      <c r="P167" s="248" t="inlineStr">
        <is>
          <t>—</t>
        </is>
      </c>
      <c r="Q167" s="243" t="inlineStr">
        <is>
          <t>—</t>
        </is>
      </c>
      <c r="R167" s="243" t="inlineStr">
        <is>
          <t>(assigned on issue)</t>
        </is>
      </c>
      <c r="S167" s="243" t="inlineStr">
        <is>
          <t>CC042601|I</t>
        </is>
      </c>
      <c r="T167"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67" s="243" t="inlineStr">
        <is>
          <t>n/a — initial certificate</t>
        </is>
      </c>
      <c r="V167" s="243" t="inlineStr">
        <is>
          <t>—</t>
        </is>
      </c>
      <c r="W167" s="243" t="inlineStr">
        <is>
          <t>—</t>
        </is>
      </c>
      <c r="X167" s="243" t="inlineStr">
        <is>
          <t>—</t>
        </is>
      </c>
      <c r="Y167" s="243" t="inlineStr">
        <is>
          <t>—</t>
        </is>
      </c>
      <c r="Z167" s="243" t="inlineStr">
        <is>
          <t>—</t>
        </is>
      </c>
      <c r="AA167" s="243" t="inlineStr">
        <is>
          <t>—</t>
        </is>
      </c>
      <c r="AB167" s="246" t="inlineStr">
        <is>
          <t>—</t>
        </is>
      </c>
      <c r="AC167" s="252" t="inlineStr">
        <is>
          <t>no Total THC result on this certificate</t>
        </is>
      </c>
    </row>
    <row r="168">
      <c r="A168" s="243">
        <f>IF(OR(C168="yes",C168="allocated",C168="ruled"),COUNT(A$1:A167)+1,"")</f>
        <v/>
      </c>
      <c r="B168" s="244">
        <f>IF(A168&lt;&gt;"","CoQ-PP_26-"&amp;TEXT(A168,"000"),"— at issue —")</f>
        <v/>
      </c>
      <c r="C168" s="253" t="inlineStr">
        <is>
          <t>ruled</t>
        </is>
      </c>
      <c r="D168" s="245">
        <f>IF(OR(A168="",C168="allocated",C168="ruled"),"",MAX(E168,IF(ISNUMBER(I168),I168,0),IFERROR(IF(ISNUMBER(INDEX('iCoA Register'!$F:$F,MATCH(S168,'iCoA Register'!$AA:$AA,0))),INDEX('iCoA Register'!$F:$F,MATCH(S168,'iCoA Register'!$AA:$AA,0)),0),0)))</f>
        <v/>
      </c>
      <c r="E168" s="245">
        <f>IF(ISNUMBER(F168),MAX(DATE(2026,6,6),F168+7),DATE(2026,6,6))</f>
        <v/>
      </c>
      <c r="F168" s="245" t="inlineStr">
        <is>
          <t>—</t>
        </is>
      </c>
      <c r="G168" s="243" t="inlineStr">
        <is>
          <t>—</t>
        </is>
      </c>
      <c r="H168" s="243">
        <f>IFERROR(INDEX('iCoA Register'!$B:$B,MATCH("FB042601|I",'iCoA Register'!$AA:$AA,0)),"—")</f>
        <v/>
      </c>
      <c r="I168" s="245">
        <f>IFERROR(INDEX('iCoA Register'!$D:$D,MATCH("FB042601|I",'iCoA Register'!$AA:$AA,0)),"")</f>
        <v/>
      </c>
      <c r="J168" s="243" t="inlineStr">
        <is>
          <t>—</t>
        </is>
      </c>
      <c r="K168" s="243" t="inlineStr">
        <is>
          <t>initial release</t>
        </is>
      </c>
      <c r="L168" s="244" t="inlineStr">
        <is>
          <t>FB042601</t>
        </is>
      </c>
      <c r="M168" s="243" t="inlineStr">
        <is>
          <t>N/A — no P batch assigned</t>
        </is>
      </c>
      <c r="N168" s="243" t="inlineStr">
        <is>
          <t>Fat Bastard</t>
        </is>
      </c>
      <c r="O168" s="248" t="inlineStr">
        <is>
          <t>— no cannabinoid certificate from the initial testing —</t>
        </is>
      </c>
      <c r="P168" s="248" t="inlineStr">
        <is>
          <t>—</t>
        </is>
      </c>
      <c r="Q168" s="243" t="inlineStr">
        <is>
          <t>—</t>
        </is>
      </c>
      <c r="R168" s="243" t="inlineStr">
        <is>
          <t>(assigned on issue)</t>
        </is>
      </c>
      <c r="S168" s="243" t="inlineStr">
        <is>
          <t>FB042601|I</t>
        </is>
      </c>
      <c r="T168"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68" s="243" t="inlineStr">
        <is>
          <t>n/a — initial certificate</t>
        </is>
      </c>
      <c r="V168" s="243" t="inlineStr">
        <is>
          <t>—</t>
        </is>
      </c>
      <c r="W168" s="243" t="inlineStr">
        <is>
          <t>—</t>
        </is>
      </c>
      <c r="X168" s="243" t="inlineStr">
        <is>
          <t>—</t>
        </is>
      </c>
      <c r="Y168" s="243" t="inlineStr">
        <is>
          <t>—</t>
        </is>
      </c>
      <c r="Z168" s="243" t="inlineStr">
        <is>
          <t>—</t>
        </is>
      </c>
      <c r="AA168" s="243" t="inlineStr">
        <is>
          <t>—</t>
        </is>
      </c>
      <c r="AB168" s="246" t="inlineStr">
        <is>
          <t>—</t>
        </is>
      </c>
      <c r="AC168" s="252" t="inlineStr">
        <is>
          <t>no Total THC result on this certificate</t>
        </is>
      </c>
    </row>
    <row r="169">
      <c r="A169" s="243">
        <f>IF(OR(C169="yes",C169="allocated",C169="ruled"),COUNT(A$1:A168)+1,"")</f>
        <v/>
      </c>
      <c r="B169" s="244">
        <f>IF(A169&lt;&gt;"","CoQ-PP_26-"&amp;TEXT(A169,"000"),"— at issue —")</f>
        <v/>
      </c>
      <c r="C169" s="253" t="inlineStr">
        <is>
          <t>ruled</t>
        </is>
      </c>
      <c r="D169" s="245">
        <f>IF(OR(A169="",C169="allocated",C169="ruled"),"",MAX(E169,IF(ISNUMBER(I169),I169,0),IFERROR(IF(ISNUMBER(INDEX('iCoA Register'!$F:$F,MATCH(S169,'iCoA Register'!$AA:$AA,0))),INDEX('iCoA Register'!$F:$F,MATCH(S169,'iCoA Register'!$AA:$AA,0)),0),0)))</f>
        <v/>
      </c>
      <c r="E169" s="245">
        <f>IF(ISNUMBER(F169),MAX(DATE(2026,6,6),F169+7),DATE(2026,6,6))</f>
        <v/>
      </c>
      <c r="F169" s="245" t="n">
        <v>46209</v>
      </c>
      <c r="G169" s="243" t="inlineStr">
        <is>
          <t>ППК26117</t>
        </is>
      </c>
      <c r="H169" s="243">
        <f>IFERROR(INDEX('iCoA Register'!$B:$B,MATCH("P160012|I",'iCoA Register'!$AA:$AA,0)),"—")</f>
        <v/>
      </c>
      <c r="I169" s="245">
        <f>IFERROR(INDEX('iCoA Register'!$D:$D,MATCH("P160012|I",'iCoA Register'!$AA:$AA,0)),"")</f>
        <v/>
      </c>
      <c r="J169" s="243" t="inlineStr">
        <is>
          <t>—</t>
        </is>
      </c>
      <c r="K169" s="243" t="inlineStr">
        <is>
          <t>initial release</t>
        </is>
      </c>
      <c r="L169" s="244" t="inlineStr">
        <is>
          <t>— not recorded — (P160012)</t>
        </is>
      </c>
      <c r="M169" s="243" t="inlineStr">
        <is>
          <t>P160012</t>
        </is>
      </c>
      <c r="N169" s="243" t="inlineStr"/>
      <c r="O169" s="243" t="inlineStr">
        <is>
          <t>ППК26117, (06.07.2026) [CNP]</t>
        </is>
      </c>
      <c r="P169" s="243" t="inlineStr">
        <is>
          <t>A: ППК26117 / B: ППК26117 / FM: ППК26117</t>
        </is>
      </c>
      <c r="Q169" s="243" t="inlineStr">
        <is>
          <t>—</t>
        </is>
      </c>
      <c r="R169" s="243" t="inlineStr">
        <is>
          <t>(assigned on issue)</t>
        </is>
      </c>
      <c r="S169" s="243" t="inlineStr">
        <is>
          <t>P160012|I</t>
        </is>
      </c>
      <c r="T169"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69" s="243" t="inlineStr">
        <is>
          <t>n/a — initial certificate</t>
        </is>
      </c>
      <c r="V169" s="251" t="n">
        <v>26.32</v>
      </c>
      <c r="W169" s="243" t="inlineStr">
        <is>
          <t>ППК26117</t>
        </is>
      </c>
      <c r="X169" s="243" t="inlineStr">
        <is>
          <t>—</t>
        </is>
      </c>
      <c r="Y169" s="243" t="inlineStr">
        <is>
          <t>—</t>
        </is>
      </c>
      <c r="Z169" s="243" t="inlineStr">
        <is>
          <t>—</t>
        </is>
      </c>
      <c r="AA169" s="243" t="inlineStr">
        <is>
          <t>—</t>
        </is>
      </c>
      <c r="AB169" s="246" t="inlineStr">
        <is>
          <t>—</t>
        </is>
      </c>
      <c r="AC169" s="252" t="inlineStr">
        <is>
          <t>strain not in the potency specification of 15.09.2026</t>
        </is>
      </c>
    </row>
    <row r="170">
      <c r="A170" s="243">
        <f>IF(OR(C170="yes",C170="allocated",C170="ruled"),COUNT(A$1:A169)+1,"")</f>
        <v/>
      </c>
      <c r="B170" s="244">
        <f>IF(A170&lt;&gt;"","CoQ-PP_26-"&amp;TEXT(A170,"000"),"— at issue —")</f>
        <v/>
      </c>
      <c r="C170" s="253" t="inlineStr">
        <is>
          <t>ruled</t>
        </is>
      </c>
      <c r="D170" s="245">
        <f>IF(OR(A170="",C170="allocated",C170="ruled"),"",MAX(E170,IF(ISNUMBER(I170),I170,0),IFERROR(IF(ISNUMBER(INDEX('iCoA Register'!$F:$F,MATCH(S170,'iCoA Register'!$AA:$AA,0))),INDEX('iCoA Register'!$F:$F,MATCH(S170,'iCoA Register'!$AA:$AA,0)),0),0)))</f>
        <v/>
      </c>
      <c r="E170" s="245">
        <f>IF(ISNUMBER(F170),MAX(DATE(2026,6,6),F170+7),DATE(2026,6,6))</f>
        <v/>
      </c>
      <c r="F170" s="245" t="n">
        <v>46209</v>
      </c>
      <c r="G170" s="243" t="inlineStr">
        <is>
          <t>ППК26118</t>
        </is>
      </c>
      <c r="H170" s="243">
        <f>IFERROR(INDEX('iCoA Register'!$B:$B,MATCH("P160022|I",'iCoA Register'!$AA:$AA,0)),"—")</f>
        <v/>
      </c>
      <c r="I170" s="245">
        <f>IFERROR(INDEX('iCoA Register'!$D:$D,MATCH("P160022|I",'iCoA Register'!$AA:$AA,0)),"")</f>
        <v/>
      </c>
      <c r="J170" s="243" t="inlineStr">
        <is>
          <t>—</t>
        </is>
      </c>
      <c r="K170" s="243" t="inlineStr">
        <is>
          <t>initial release</t>
        </is>
      </c>
      <c r="L170" s="244" t="inlineStr">
        <is>
          <t>— not recorded — (P160022)</t>
        </is>
      </c>
      <c r="M170" s="243" t="inlineStr">
        <is>
          <t>P160022</t>
        </is>
      </c>
      <c r="N170" s="243" t="inlineStr"/>
      <c r="O170" s="243" t="inlineStr">
        <is>
          <t>ППК26118, (06.07.2026) [CNP]</t>
        </is>
      </c>
      <c r="P170" s="243" t="inlineStr">
        <is>
          <t>A: ППК26118 / B: ППК26118 / FM: ППК26118</t>
        </is>
      </c>
      <c r="Q170" s="243" t="inlineStr">
        <is>
          <t>—</t>
        </is>
      </c>
      <c r="R170" s="243" t="inlineStr">
        <is>
          <t>(assigned on issue)</t>
        </is>
      </c>
      <c r="S170" s="243" t="inlineStr">
        <is>
          <t>P160022|I</t>
        </is>
      </c>
      <c r="T170"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70" s="243" t="inlineStr">
        <is>
          <t>n/a — initial certificate</t>
        </is>
      </c>
      <c r="V170" s="251" t="n">
        <v>25.72</v>
      </c>
      <c r="W170" s="243" t="inlineStr">
        <is>
          <t>ППК26118</t>
        </is>
      </c>
      <c r="X170" s="243" t="inlineStr">
        <is>
          <t>—</t>
        </is>
      </c>
      <c r="Y170" s="243" t="inlineStr">
        <is>
          <t>—</t>
        </is>
      </c>
      <c r="Z170" s="243" t="inlineStr">
        <is>
          <t>—</t>
        </is>
      </c>
      <c r="AA170" s="243" t="inlineStr">
        <is>
          <t>—</t>
        </is>
      </c>
      <c r="AB170" s="246" t="inlineStr">
        <is>
          <t>—</t>
        </is>
      </c>
      <c r="AC170" s="252" t="inlineStr">
        <is>
          <t>strain not in the potency specification of 15.09.2026</t>
        </is>
      </c>
    </row>
    <row r="171">
      <c r="A171" s="243">
        <f>IF(OR(C171="yes",C171="allocated",C171="ruled"),COUNT(A$1:A170)+1,"")</f>
        <v/>
      </c>
      <c r="B171" s="244">
        <f>IF(A171&lt;&gt;"","CoQ-PP_26-"&amp;TEXT(A171,"000"),"— at issue —")</f>
        <v/>
      </c>
      <c r="C171" s="253" t="inlineStr">
        <is>
          <t>ruled</t>
        </is>
      </c>
      <c r="D171" s="245">
        <f>IF(OR(A171="",C171="allocated",C171="ruled"),"",MAX(E171,IF(ISNUMBER(I171),I171,0),IFERROR(IF(ISNUMBER(INDEX('iCoA Register'!$F:$F,MATCH(S171,'iCoA Register'!$AA:$AA,0))),INDEX('iCoA Register'!$F:$F,MATCH(S171,'iCoA Register'!$AA:$AA,0)),0),0)))</f>
        <v/>
      </c>
      <c r="E171" s="245">
        <f>IF(ISNUMBER(F171),MAX(DATE(2026,6,6),F171+7),DATE(2026,6,6))</f>
        <v/>
      </c>
      <c r="F171" s="245" t="n">
        <v>46209</v>
      </c>
      <c r="G171" s="243" t="inlineStr">
        <is>
          <t>ППК26119</t>
        </is>
      </c>
      <c r="H171" s="243">
        <f>IFERROR(INDEX('iCoA Register'!$B:$B,MATCH("P160032|I",'iCoA Register'!$AA:$AA,0)),"—")</f>
        <v/>
      </c>
      <c r="I171" s="245">
        <f>IFERROR(INDEX('iCoA Register'!$D:$D,MATCH("P160032|I",'iCoA Register'!$AA:$AA,0)),"")</f>
        <v/>
      </c>
      <c r="J171" s="243" t="inlineStr">
        <is>
          <t>—</t>
        </is>
      </c>
      <c r="K171" s="243" t="inlineStr">
        <is>
          <t>initial release</t>
        </is>
      </c>
      <c r="L171" s="244" t="inlineStr">
        <is>
          <t>— not recorded — (P160032)</t>
        </is>
      </c>
      <c r="M171" s="243" t="inlineStr">
        <is>
          <t>P160032</t>
        </is>
      </c>
      <c r="N171" s="243" t="inlineStr"/>
      <c r="O171" s="243" t="inlineStr">
        <is>
          <t>ППК26119, (06.07.2026) [CNP]</t>
        </is>
      </c>
      <c r="P171" s="243" t="inlineStr">
        <is>
          <t>A: ППК26119 / B: ППК26119 / FM: ППК26119</t>
        </is>
      </c>
      <c r="Q171" s="243" t="inlineStr">
        <is>
          <t>—</t>
        </is>
      </c>
      <c r="R171" s="243" t="inlineStr">
        <is>
          <t>(assigned on issue)</t>
        </is>
      </c>
      <c r="S171" s="243" t="inlineStr">
        <is>
          <t>P160032|I</t>
        </is>
      </c>
      <c r="T171"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71" s="243" t="inlineStr">
        <is>
          <t>n/a — initial certificate</t>
        </is>
      </c>
      <c r="V171" s="251" t="n">
        <v>24.78</v>
      </c>
      <c r="W171" s="243" t="inlineStr">
        <is>
          <t>ППК26119</t>
        </is>
      </c>
      <c r="X171" s="243" t="inlineStr">
        <is>
          <t>—</t>
        </is>
      </c>
      <c r="Y171" s="243" t="inlineStr">
        <is>
          <t>—</t>
        </is>
      </c>
      <c r="Z171" s="243" t="inlineStr">
        <is>
          <t>—</t>
        </is>
      </c>
      <c r="AA171" s="243" t="inlineStr">
        <is>
          <t>—</t>
        </is>
      </c>
      <c r="AB171" s="246" t="inlineStr">
        <is>
          <t>—</t>
        </is>
      </c>
      <c r="AC171" s="252" t="inlineStr">
        <is>
          <t>strain not in the potency specification of 15.09.2026</t>
        </is>
      </c>
    </row>
    <row r="172">
      <c r="A172" s="243">
        <f>IF(OR(C172="yes",C172="allocated",C172="ruled"),COUNT(A$1:A171)+1,"")</f>
        <v/>
      </c>
      <c r="B172" s="244">
        <f>IF(A172&lt;&gt;"","CoQ-PP_26-"&amp;TEXT(A172,"000"),"— at issue —")</f>
        <v/>
      </c>
      <c r="C172" s="253" t="inlineStr">
        <is>
          <t>ruled</t>
        </is>
      </c>
      <c r="D172" s="245">
        <f>IF(OR(A172="",C172="allocated",C172="ruled"),"",MAX(E172,IF(ISNUMBER(I172),I172,0),IFERROR(IF(ISNUMBER(INDEX('iCoA Register'!$F:$F,MATCH(S172,'iCoA Register'!$AA:$AA,0))),INDEX('iCoA Register'!$F:$F,MATCH(S172,'iCoA Register'!$AA:$AA,0)),0),0)))</f>
        <v/>
      </c>
      <c r="E172" s="245">
        <f>IF(ISNUMBER(F172),MAX(DATE(2026,6,6),F172+7),"— awaiting the retest certificates —")</f>
        <v/>
      </c>
      <c r="F172" s="245" t="n">
        <v>46276</v>
      </c>
      <c r="G172" s="243" t="inlineStr">
        <is>
          <t>220-32-M-26</t>
        </is>
      </c>
      <c r="H172" s="243">
        <f>IFERROR(INDEX('iCoA Register'!$B:$B,MATCH("CC042601|R",'iCoA Register'!$AA:$AA,0)),"—")</f>
        <v/>
      </c>
      <c r="I172" s="245">
        <f>IFERROR(INDEX('iCoA Register'!$D:$D,MATCH("CC042601|R",'iCoA Register'!$AA:$AA,0)),"")</f>
        <v/>
      </c>
      <c r="J172" s="243" t="inlineStr">
        <is>
          <t>—</t>
        </is>
      </c>
      <c r="K172" s="243" t="inlineStr">
        <is>
          <t>retest — Tranche 2 (sampled 12–14.08.2026)</t>
        </is>
      </c>
      <c r="L172" s="244" t="inlineStr">
        <is>
          <t>CC042601</t>
        </is>
      </c>
      <c r="M172" s="243" t="inlineStr">
        <is>
          <t>N/A — no P batch assigned</t>
        </is>
      </c>
      <c r="N172" s="243" t="inlineStr">
        <is>
          <t>Cash Cow</t>
        </is>
      </c>
      <c r="O172" s="243" t="inlineStr">
        <is>
          <t>220-32-K-26, (26.08.2026) [FHM-K]</t>
        </is>
      </c>
      <c r="P172" s="248" t="inlineStr">
        <is>
          <t>—</t>
        </is>
      </c>
      <c r="Q172" s="243" t="inlineStr">
        <is>
          <t>—</t>
        </is>
      </c>
      <c r="R172" s="243" t="inlineStr">
        <is>
          <t>CoQ reissue (assigned on issue)</t>
        </is>
      </c>
      <c r="S172" s="243" t="inlineStr">
        <is>
          <t>CC042601|R</t>
        </is>
      </c>
      <c r="T172"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 a reissue, numbered after its release certificate — initial certificate withheld — due — retest assay and mycotoxins on file; iCoA tested 14.08.2026, issued 17.08.2026</t>
        </is>
      </c>
      <c r="U172" s="243">
        <f>IFERROR(INDEX('CoQ Register'!$B:$B,MATCH("CC042601|I",'CoQ Register'!$S:$S,0)),"— initial certificate not on the register —")</f>
        <v/>
      </c>
      <c r="V172" s="251" t="n">
        <v>14.9</v>
      </c>
      <c r="W172" s="243" t="inlineStr">
        <is>
          <t>220-32-К/26</t>
        </is>
      </c>
      <c r="X172" s="243" t="inlineStr">
        <is>
          <t>14.00 ± 1.35 (II)</t>
        </is>
      </c>
      <c r="Y172" s="243" t="inlineStr">
        <is>
          <t>12.65 – 15.34 %</t>
        </is>
      </c>
      <c r="Z172" s="243" t="inlineStr">
        <is>
          <t>CC_THC14 : CBD1</t>
        </is>
      </c>
      <c r="AA172" s="243" t="inlineStr">
        <is>
          <t>QCSP_001_CC-II_v.01</t>
        </is>
      </c>
      <c r="AB172" s="252" t="inlineStr">
        <is>
          <t>for review — replaces the issued QCSP_001_CC-II_v.01 (was CC_THC14 : CBD1, 12.60 – 15.40 %); now CC_THC14 : CBD1 12.65 – 15.34 %</t>
        </is>
      </c>
      <c r="AC172" s="246" t="inlineStr"/>
    </row>
    <row r="173">
      <c r="A173" s="243">
        <f>IF(OR(C173="yes",C173="allocated",C173="ruled"),COUNT(A$1:A172)+1,"")</f>
        <v/>
      </c>
      <c r="B173" s="244">
        <f>IF(A173&lt;&gt;"","CoQ-PP_26-"&amp;TEXT(A173,"000"),"— at issue —")</f>
        <v/>
      </c>
      <c r="C173" s="253" t="inlineStr">
        <is>
          <t>ruled</t>
        </is>
      </c>
      <c r="D173" s="245">
        <f>IF(OR(A173="",C173="allocated",C173="ruled"),"",MAX(E173,IF(ISNUMBER(I173),I173,0),IFERROR(IF(ISNUMBER(INDEX('iCoA Register'!$F:$F,MATCH(S173,'iCoA Register'!$AA:$AA,0))),INDEX('iCoA Register'!$F:$F,MATCH(S173,'iCoA Register'!$AA:$AA,0)),0),0)))</f>
        <v/>
      </c>
      <c r="E173" s="245">
        <f>IF(ISNUMBER(F173),MAX(DATE(2026,6,6),F173+7),"— awaiting the retest certificates —")</f>
        <v/>
      </c>
      <c r="F173" s="245" t="n">
        <v>46276</v>
      </c>
      <c r="G173" s="243" t="inlineStr">
        <is>
          <t>220-31-M-26</t>
        </is>
      </c>
      <c r="H173" s="243">
        <f>IFERROR(INDEX('iCoA Register'!$B:$B,MATCH("FB042601|R",'iCoA Register'!$AA:$AA,0)),"—")</f>
        <v/>
      </c>
      <c r="I173" s="245">
        <f>IFERROR(INDEX('iCoA Register'!$D:$D,MATCH("FB042601|R",'iCoA Register'!$AA:$AA,0)),"")</f>
        <v/>
      </c>
      <c r="J173" s="243" t="inlineStr">
        <is>
          <t>—</t>
        </is>
      </c>
      <c r="K173" s="243" t="inlineStr">
        <is>
          <t>retest — Tranche 2 (sampled 12–14.08.2026)</t>
        </is>
      </c>
      <c r="L173" s="244" t="inlineStr">
        <is>
          <t>FB042601</t>
        </is>
      </c>
      <c r="M173" s="243" t="inlineStr">
        <is>
          <t>N/A — no P batch assigned</t>
        </is>
      </c>
      <c r="N173" s="243" t="inlineStr">
        <is>
          <t>Fat Bastard</t>
        </is>
      </c>
      <c r="O173" s="243" t="inlineStr">
        <is>
          <t>220-31-K-26, (26.08.2026) [FHM-K]</t>
        </is>
      </c>
      <c r="P173" s="248" t="inlineStr">
        <is>
          <t>—</t>
        </is>
      </c>
      <c r="Q173" s="243" t="inlineStr">
        <is>
          <t>—</t>
        </is>
      </c>
      <c r="R173" s="243" t="inlineStr">
        <is>
          <t>CoQ reissue (assigned on issue)</t>
        </is>
      </c>
      <c r="S173" s="243" t="inlineStr">
        <is>
          <t>FB042601|R</t>
        </is>
      </c>
      <c r="T173"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 a reissue, numbered after its release certificate — initial certificate withheld — due — retest assay and mycotoxins on file; iCoA tested 14.08.2026, issued 17.08.2026</t>
        </is>
      </c>
      <c r="U173" s="243">
        <f>IFERROR(INDEX('CoQ Register'!$B:$B,MATCH("FB042601|I",'CoQ Register'!$S:$S,0)),"— initial certificate not on the register —")</f>
        <v/>
      </c>
      <c r="V173" s="251" t="n">
        <v>14.99</v>
      </c>
      <c r="W173" s="243" t="inlineStr">
        <is>
          <t>220-31-К/26</t>
        </is>
      </c>
      <c r="X173" s="243" t="inlineStr">
        <is>
          <t>15.00 ± 1.20 (III)</t>
        </is>
      </c>
      <c r="Y173" s="243" t="inlineStr">
        <is>
          <t>13.80 – 16.19 %</t>
        </is>
      </c>
      <c r="Z173" s="243" t="inlineStr">
        <is>
          <t>FB_THC15 : CBD1</t>
        </is>
      </c>
      <c r="AA173" s="243" t="inlineStr">
        <is>
          <t>QCSP_001_FB-III_v.01</t>
        </is>
      </c>
      <c r="AB173" s="252" t="inlineStr">
        <is>
          <t>for review — replaces the issued QCSP_001_FB-III_v.01 (was FB_THC16 : CBD1, 14.86 – 17.14 %); now FB_THC15 : CBD1 13.80 – 16.19 %</t>
        </is>
      </c>
      <c r="AC173" s="246" t="inlineStr"/>
    </row>
    <row r="174"/>
    <row r="175" ht="150" customHeight="1" s="70">
      <c r="A175" s="242"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06.06.2026, in chronological order of packaging; POST-SOP lots follow, each on the first working day 7 days after the latest eCoA the CoQ cites and never before 06.06.2026,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06.06.2026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and, for every determination not retested, the initial certificate's result and document (owner, 15.09.2026); its rule date is 7 days after the latest retest certificate it cites, and it is numbered, in date order with the release series, once the retest assay, the mycotoxins and the campaign's internal certificate (sampled and issued per sampling_dates.py) all exist — Tranche 1 and Tranche 2 in this build (Tranche 2 since v30, its potency certificates of 25/26.08.2026 taken in on 15.09.2026). TRANCHE 3 (owner, 15.09.2026, evening): every Tranche 3 retest parameter is tested at Farmahem and its certificates all issue on one date, so the Tranche 3 reissues take their codes now — after the last Tranche 2 reissue, in the order the series gives them — with Issuable reading 'allocated' and the planned date the owner's: 21.09.2026, all Tranche 3 certificates on one day, the 227-М mycotoxin certificates expected by 18.09.2026, provisional until they exist; the one code computed in advance, by the owner's ruling. After the numbered and the allocated rows, the batches the tranches do not cover — under production, under testing, or on no tranche list — are listed lot by lot; such a batch carries its release certificate and no retest row, because only the tranche batches are for sale and only they were retested at the QP's request (owner, 15.09.2026). RULED (Head of QC, 18.09.2026, "assign codes if they're missing"): the rows the register had withheld only for want of a packaging date on the list — CC042601 and FB042601, release and reissue, and P160012, P160022, P160032 — take their codes after the last allocated one, release certificates first, with Issuable reading 'ruled' and no planned date until the list carries the packaging date. FORMULAS: No. counts the rows whose Issuable is 'yes', 'allocated' or 'ruled'; No. and the code as on the iCoA Register; Rule date is 06.06.2026 for a legacy row whose latest eCoA is on or before it, else the first working day 7 days after the latest eCoA (not before 06.06.2026); the planned date is the latest of the rule date, the iCoA's date and the lot's last day of packaging; iCoA (register) and its date are looked up on the iCoA Register by Key. SUPERSEDES (initial CoQ): a reissue names the initial certificate of the same lot by the register's own code, looked up by Key, so it follows a renumbering; n/a on an initial certificate. POTENCY GRADING (owner, 15.09.2026): the Total THC result the certificate prints, the certificate it comes from, the grade of the Head of QC's potency specification of 15.09.2026 (Potency Grades tab) whose window it falls in — nominal ± tolerance, with the strain's grade numeral — and the product code {ABBR}_THC{nominal} : CBD1 and specification document code QCSP_001_{ABBR}-{numeral}_v.01 that follow — always v.01 (owner, 15.09.2026: the initially issued specifications were wrong and this is not the official issuing; the set goes for review), the status recording what the issued v.01 of the same strain and numeral printed. The numeral is SEQUENTIAL within the strain (owner, 15.09.2026): the grades of the specification of 15.09.2026 are numbered as that table lists them, frozen in potency_grades_2026-09-15.csv, and a grade defined later takes the strain's next numeral whatever its nominal — so -II is not lower or higher than -I, only later. A result in no window of its strain needs a specification of its own: the row says 'new specification required', names the nearest window and reserves the strain's next numeral for it; no grade is guessed. The latest eCoA cited is a value (the first credited certificate per determination dated before the retest campaign; for a retest row, the latest retest certificate), recomputed by the builder. Working days are Monday to Friday; public holidays are not applied. FLAGS: the legacy CoQ day 06.06.2026 is a Saturday — the owner's date, kept as given | P060272: post-SOP CoQ rule date 18.05.2026 precedes the legacy series day 06.06.2026 — held to it, so the legacy CoQs keep 001 onward | P060322: post-SOP CoQ rule date 18.05.2026 precedes the legacy series day 06.06.2026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06.06.2026 — held to it, so the legacy CoQs keep 001 onward | P060302: post-SOP CoQ rule date 18.05.2026 precedes the legacy series day 06.06.2026 — held to it, so the legacy CoQs keep 001 onward | P060402: no initial certificate for #10 — only the retest 197-8-M-26 of 10.08.2026; the post-SOP CoQ cannot cite it (Head of QC to rule: report as not tested at initial testing, or wait for the reissue) | GG1024: no initial certificate for #3, #4, #5, #6, #10 — only the retest 220-9-K-26 of 25.08.2026 / 220-9-M-26 of 11.09.2026; the legacy CoQ cannot cite it (Head of QC to rule: report as not tested at initial testing, or wait for the reissue) | P060142: no initial certificate for #3, #4, #5, #6, #9 — only the retest 227-16-K-26 of 11.09.2026 / 550-1081-26 of 01.09.2026; the legacy CoQ cannot cite it (Head of QC to rule: report as not tested at initial testing, or wait for the reissue) | P060182: no initial certificate for #10 — only the retest 220-14-M-26 of 11.09.2026;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P060152: no initial certificate for #10 — only the retest 197-16-M-26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06.06.2026 — held to it, so the legacy CoQs keep 001 onward | P060312: post-SOP CoQ rule date 18.05.2026 precedes the legacy series day 06.06.2026 — held to it, so the legacy CoQs keep 001 onward | P060362: no initial certificate on file — the CoQ keeps its planned number with a provisional date 06.06.2026 | P060362: no initial certificate for #3, #4, #5, #6, #10 — only the retest 220-16-K-26 of 25.08.2026 / 220-16-M-26 of 11.09.2026; the post-SOP CoQ cannot cite it (Head of QC to rule: report as not tested at initial testing, or wait for the reissue) | P060412: no initial certificate for #10 — only the retest 220-17-M-26 of 11.09.2026; the post-SOP CoQ cannot cite it (Head of QC to rule: report as not tested at initial testing, or wait for the reissue) | P060422: no initial certificate for #10 — only the retest 220-18-M-26 of 11.09.2026; the post-SOP CoQ cannot cite it (Head of QC to rule: report as not tested at initial testing, or wait for the reissue) | P060482: CoQ rule date 07.07.2026 precedes the packaging of the lot (05.08.2026) — held to the packaging date | P060172: no initial certificate for #10 — only the retest 220-19-M-26 of 11.09.2026; the legacy CoQ cannot cite it (Head of QC to rule: report as not tested at initial testing, or wait for the reissue)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on file — the CoQ keeps its planned number with a provisional date 06.06.2026 | P060332: no initial certificate for #3, #4, #5, #6, #8, #10 — only the retest 197-6-K-26 of 07.08.2026 / 197-6-M-26 of 10.08.2026; the post-SOP CoQ cannot cite it (Head of QC to rule: report as not tested at initial testing, or wait for the reissue) | P060352: no initial certificate on file — the CoQ keeps its planned number with a provisional date 06.06.2026 | P060352: no initial certificate for #3, #4, #5, #6, #8, #10 — only the retest 197-7-K-26 of 07.08.2026 / 197-7-M-26 of 10.08.2026; the post-SOP CoQ cannot cite it (Head of QC to rule: report as not tested at initial testing, or wait for the reissue) | P060382: no initial certificate on file — the CoQ keeps its planned number with a provisional date 06.06.2026 | P060382: no initial certificate for #3, #4, #5, #6, #8, #10 — only the retest 197-21-K-26 of 07.08.2026 / 197-21-M-26 of 10.08.2026; the post-SOP CoQ cannot cite it (Head of QC to rule: report as not tested at initial testing, or wait for the reissue) | P060232: no initial certificate for #10 — only the retest 220-24-M-26 of 11.09.2026; the legacy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06.06.2026 — held to it, so the legacy CoQs keep 001 onward | P060162: no initial certificate for #9 — only the retest 549-1080-26 of 31.08.2026; the legacy CoQ cannot cite it (Head of QC to rule: report as not tested at initial testing, or wait for the reissue) | P050142: no initial certificate for #3, #4, #5, #6, #9 — only the retest 227-1-K-26 of 11.09.2026 / 559-1090-26 of 01.09.2026; the legacy CoQ cannot cite it (Head of QC to rule: report as not tested at initial testing, or wait for the reissue) | P060102: no initial certificate for #3, #4, #5, #6, #9 — only the retest 227-4-K-26 of 11.09.2026 / 551-1082-26 of 01.09.2026; the legacy CoQ cannot cite it (Head of QC to rule: report as not tested at initial testing, or wait for the reissue) | P060342: no initial certificate on file — the CoQ keeps its planned number with a provisional date 06.06.2026 | P060342: no initial certificate for #3, #4, #5, #6, #9 — only the retest 227-8-K-26 of 11.09.2026 / 539-1070-26 of 31.08.2026; the post-SOP CoQ cannot cite it (Head of QC to rule: report as not tested at initial testing, or wait for the reissue) | P060122: no initial certificate for #3, #4, #5, #6, #10 — only the retest 220-1-K-26 of 25.08.2026 / 220-1-M-26 of 11.09.2026; the legacy CoQ cannot cite it (Head of QC to rule: report as not tested at initial testing, or wait for the reissue) | P060132: no initial certificate for #3, #4, #5, #6, #10 — only the retest 220-6-K-26 of 25.08.2026 / 220-6-M-26 of 11.09.2026; the legacy CoQ cannot cite it (Head of QC to rule: report as not tested at initial testing, or wait for the reissue) | P060112: no initial certificate for #3, #4, #5, #6, #10 — only the retest 220-25-K-26 of 26.08.2026 / 220-25-M-26 of 11.09.2026; the legacy CoQ cannot cite it (Head of QC to rule: report as not tested at initial testing, or wait for the reissue) | P060372: no initial certificate on file — the CoQ keeps its planned number with a provisional date 06.06.2026 | P060372: no initial certificate for #3, #4, #5, #6, #10 — only the retest 220-29-K-26 of 26.08.2026 / 220-29-M-26 of 11.09.2026; the post-SOP CoQ cannot cite it (Head of QC to rule: report as not tested at initial testing, or wait for the reissue) | P060492: no initial certificate on file — the CoQ keeps its planned number with a provisional date 13.08.2026 | P060492: no initial certificate for #3, #4, #5, #6, #10 — only the retest 220-30-K-26 of 26.08.2026 / 220-30-M-26 of 11.09.2026; the post-SOP CoQ cannot cite it (Head of QC to rule: report as not tested at initial testing, or wait for the reissue) | FB042601: no initial certificate for #3, #4, #5, #6, #10 — only the retest 220-31-K-26 of 26.08.2026 / 220-31-M-26 of 11.09.2026; the — CoQ cannot cite it (Head of QC to rule: report as not tested at initial testing, or wait for the reissue) | CC042601: no initial certificate for #3, #4, #5, #6, #10 — only the retest 220-32-K-26 of 26.08.2026 / 220-32-M-26 of 11.09.2026; the — CoQ cannot cite it (Head of QC to rule: report as not tested at initial testing, or wait for the reissue)</t>
        </is>
      </c>
    </row>
  </sheetData>
  <mergeCells count="1">
    <mergeCell ref="A175:AC175"/>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R17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style="70" min="1" max="1"/>
    <col width="22" customWidth="1" style="70" min="2" max="2"/>
    <col width="18" customWidth="1" style="70" min="3" max="3"/>
    <col width="10" customWidth="1" style="70" min="4" max="4"/>
    <col width="11" customWidth="1" style="70" min="5" max="5"/>
    <col width="40" customWidth="1" style="70" min="6" max="6"/>
    <col width="30" customWidth="1" style="70" min="7" max="7"/>
    <col width="30" customWidth="1" style="70" min="8" max="8"/>
    <col width="30" customWidth="1" style="70" min="9" max="9"/>
    <col width="30" customWidth="1" style="70" min="10" max="10"/>
    <col width="30" customWidth="1" style="70" min="11" max="11"/>
    <col width="30" customWidth="1" style="70" min="12" max="12"/>
    <col width="30" customWidth="1" style="70" min="13" max="13"/>
    <col width="30" customWidth="1" style="70" min="14" max="14"/>
    <col width="30" customWidth="1" style="70" min="15" max="15"/>
    <col width="30" customWidth="1" style="70" min="16" max="16"/>
    <col width="30" customWidth="1" style="70" min="17" max="17"/>
    <col width="30" customWidth="1" style="70" min="18" max="18"/>
  </cols>
  <sheetData>
    <row r="1">
      <c r="A1" s="255" t="inlineStr">
        <is>
          <t>CoQ</t>
        </is>
      </c>
      <c r="B1" s="255" t="inlineStr">
        <is>
          <t>Batch</t>
        </is>
      </c>
      <c r="C1" s="255" t="inlineStr">
        <is>
          <t>Series</t>
        </is>
      </c>
      <c r="D1" s="255" t="inlineStr">
        <is>
          <t>Issue</t>
        </is>
      </c>
      <c r="E1" s="255" t="inlineStr">
        <is>
          <t>Sampled</t>
        </is>
      </c>
      <c r="F1" s="255" t="inlineStr">
        <is>
          <t>Received</t>
        </is>
      </c>
      <c r="G1" s="255" t="inlineStr">
        <is>
          <t>#1</t>
        </is>
      </c>
      <c r="H1" s="255" t="inlineStr">
        <is>
          <t>#2</t>
        </is>
      </c>
      <c r="I1" s="255" t="inlineStr">
        <is>
          <t>#3</t>
        </is>
      </c>
      <c r="J1" s="255" t="inlineStr">
        <is>
          <t>#4</t>
        </is>
      </c>
      <c r="K1" s="255" t="inlineStr">
        <is>
          <t>#5</t>
        </is>
      </c>
      <c r="L1" s="255" t="inlineStr">
        <is>
          <t>#6</t>
        </is>
      </c>
      <c r="M1" s="255" t="inlineStr">
        <is>
          <t>#7</t>
        </is>
      </c>
      <c r="N1" s="255" t="inlineStr">
        <is>
          <t>#8</t>
        </is>
      </c>
      <c r="O1" s="255" t="inlineStr">
        <is>
          <t>#9</t>
        </is>
      </c>
      <c r="P1" s="255" t="inlineStr">
        <is>
          <t>#10</t>
        </is>
      </c>
      <c r="Q1" s="255" t="inlineStr">
        <is>
          <t>#11</t>
        </is>
      </c>
      <c r="R1" s="255" t="inlineStr">
        <is>
          <t>#12</t>
        </is>
      </c>
    </row>
    <row r="2">
      <c r="A2" s="256" t="inlineStr">
        <is>
          <t>CoQ-PP_26-001</t>
        </is>
      </c>
      <c r="B2" s="256" t="inlineStr">
        <is>
          <t>CJ1024</t>
        </is>
      </c>
      <c r="C2" s="256" t="inlineStr">
        <is>
          <t>release (predicted)</t>
        </is>
      </c>
      <c r="D2" s="256" t="inlineStr">
        <is>
          <t>06.06.26</t>
        </is>
      </c>
      <c r="E2" s="256" t="inlineStr">
        <is>
          <t>03.03.25</t>
        </is>
      </c>
      <c r="F2" s="256" t="inlineStr">
        <is>
          <t>ППК25052 13.02.25; 164/0272/25 17.02.25; 750/2025 13.02.25</t>
        </is>
      </c>
      <c r="G2" s="256" t="inlineStr">
        <is>
          <t>iCoA-PP_26-001 03.06.26 PP*</t>
        </is>
      </c>
      <c r="H2" s="256" t="inlineStr">
        <is>
          <t>iCoA-PP_26-001 03.06.26 PP*</t>
        </is>
      </c>
      <c r="I2" s="256" t="inlineStr">
        <is>
          <t>ППК25052 26.02.25 CNP DAB</t>
        </is>
      </c>
      <c r="J2" s="256" t="inlineStr">
        <is>
          <t>ППК25052 26.02.25 CNP DAB; also 227-26-К/26</t>
        </is>
      </c>
      <c r="K2" s="256" t="inlineStr">
        <is>
          <t>ППК25052 26.02.25 CNP DAB; also 227-26-К/26</t>
        </is>
      </c>
      <c r="L2" s="257" t="inlineStr">
        <is>
          <t>n/t</t>
        </is>
      </c>
      <c r="M2" s="256" t="inlineStr">
        <is>
          <t>iCoA-PP_26-001 03.06.26 PP*</t>
        </is>
      </c>
      <c r="N2" s="256" t="inlineStr">
        <is>
          <t>ППК25052 26.02.25 CNP DAB</t>
        </is>
      </c>
      <c r="O2" s="256" t="inlineStr">
        <is>
          <t>164/0272/25 24.02.25 IJZ-MB</t>
        </is>
      </c>
      <c r="P2" s="257" t="inlineStr">
        <is>
          <t>750/2025 27.02.25 IJZ; n/t 10.1,10.3</t>
        </is>
      </c>
      <c r="Q2" s="256" t="inlineStr">
        <is>
          <t>750/2025 27.02.25 IJZ</t>
        </is>
      </c>
      <c r="R2" s="256" t="inlineStr">
        <is>
          <t>750/2025 27.02.25 IJZ</t>
        </is>
      </c>
    </row>
    <row r="3">
      <c r="A3" s="256" t="inlineStr">
        <is>
          <t>CoQ-PP_26-002</t>
        </is>
      </c>
      <c r="B3" s="256" t="inlineStr">
        <is>
          <t>BSS1024</t>
        </is>
      </c>
      <c r="C3" s="256" t="inlineStr">
        <is>
          <t>release</t>
        </is>
      </c>
      <c r="D3" s="256" t="inlineStr">
        <is>
          <t>06.06.26</t>
        </is>
      </c>
      <c r="E3" s="256" t="inlineStr">
        <is>
          <t>04.03.25</t>
        </is>
      </c>
      <c r="F3" s="256" t="inlineStr">
        <is>
          <t>ППК25051 13.02.25; 161/0269/25 —; 751/2025 13.02.25</t>
        </is>
      </c>
      <c r="G3" s="256" t="inlineStr">
        <is>
          <t>iCoA-PP_26-002 03.06.26 PP*</t>
        </is>
      </c>
      <c r="H3" s="256" t="inlineStr">
        <is>
          <t>iCoA-PP_26-002 03.06.26 PP*</t>
        </is>
      </c>
      <c r="I3" s="256" t="inlineStr">
        <is>
          <t>ППК25051 26.02.25 CNP DAB</t>
        </is>
      </c>
      <c r="J3" s="256" t="inlineStr">
        <is>
          <t>ППК25051 26.02.25 CNP DAB; also 197-2-К/26</t>
        </is>
      </c>
      <c r="K3" s="256" t="inlineStr">
        <is>
          <t>ППК25051 26.02.25 CNP DAB; also 197-2-К/26</t>
        </is>
      </c>
      <c r="L3" s="256" t="inlineStr">
        <is>
          <t>ППК25051 26.02.25 CNP DAB</t>
        </is>
      </c>
      <c r="M3" s="256" t="inlineStr">
        <is>
          <t>iCoA-PP_26-002 03.06.26 PP*</t>
        </is>
      </c>
      <c r="N3" s="256" t="inlineStr">
        <is>
          <t>ППК25051 26.02.25 CNP DAB</t>
        </is>
      </c>
      <c r="O3" s="256" t="inlineStr">
        <is>
          <t>161/0269/25 24.02.25 IJZ-MB</t>
        </is>
      </c>
      <c r="P3" s="257" t="inlineStr">
        <is>
          <t>751/2025 27.02.25 IJZ; also 197-2-М/26; n/t 10.1,10.3</t>
        </is>
      </c>
      <c r="Q3" s="256" t="inlineStr">
        <is>
          <t>751/2025 27.02.25 IJZ</t>
        </is>
      </c>
      <c r="R3" s="256" t="inlineStr">
        <is>
          <t>751/2025 27.02.25 IJZ</t>
        </is>
      </c>
    </row>
    <row r="4">
      <c r="A4" s="256" t="inlineStr">
        <is>
          <t>CoQ-PP_26-003</t>
        </is>
      </c>
      <c r="B4" s="256" t="inlineStr">
        <is>
          <t>BG1024</t>
        </is>
      </c>
      <c r="C4" s="256" t="inlineStr">
        <is>
          <t>release</t>
        </is>
      </c>
      <c r="D4" s="256" t="inlineStr">
        <is>
          <t>06.06.26</t>
        </is>
      </c>
      <c r="E4" s="256" t="inlineStr">
        <is>
          <t>07.03.25</t>
        </is>
      </c>
      <c r="F4" s="256" t="inlineStr">
        <is>
          <t>ППК25050 13.02.25; 163/0271/25 17.02.25; 752/2025 13.02.25</t>
        </is>
      </c>
      <c r="G4" s="256" t="inlineStr">
        <is>
          <t>iCoA-PP_26-003 03.06.26 PP*</t>
        </is>
      </c>
      <c r="H4" s="256" t="inlineStr">
        <is>
          <t>iCoA-PP_26-003 03.06.26 PP*</t>
        </is>
      </c>
      <c r="I4" s="256" t="inlineStr">
        <is>
          <t>ППК25050 26.02.25 CNP DAB</t>
        </is>
      </c>
      <c r="J4" s="256" t="inlineStr">
        <is>
          <t>ППК25050 26.02.25 CNP DAB; also 197-1-К/26</t>
        </is>
      </c>
      <c r="K4" s="256" t="inlineStr">
        <is>
          <t>ППК25050 26.02.25 CNP DAB; also 197-1-К/26</t>
        </is>
      </c>
      <c r="L4" s="256" t="inlineStr">
        <is>
          <t>ППК25050 26.02.25 CNP DAB</t>
        </is>
      </c>
      <c r="M4" s="256" t="inlineStr">
        <is>
          <t>iCoA-PP_26-003 03.06.26 PP*</t>
        </is>
      </c>
      <c r="N4" s="256" t="inlineStr">
        <is>
          <t>ППК25050 26.02.25 CNP DAB</t>
        </is>
      </c>
      <c r="O4" s="256" t="inlineStr">
        <is>
          <t>163/0271/25 24.02.25 IJZ-MB</t>
        </is>
      </c>
      <c r="P4" s="257" t="inlineStr">
        <is>
          <t>752/2025 27.02.25 IJZ; also 197-1-М/26; n/t 10.1,10.3</t>
        </is>
      </c>
      <c r="Q4" s="256" t="inlineStr">
        <is>
          <t>752/2025 27.02.25 IJZ</t>
        </is>
      </c>
      <c r="R4" s="256" t="inlineStr">
        <is>
          <t>752/2025 27.02.25 IJZ</t>
        </is>
      </c>
    </row>
    <row r="5">
      <c r="A5" s="256" t="inlineStr">
        <is>
          <t>CoQ-PP_26-004</t>
        </is>
      </c>
      <c r="B5" s="256" t="inlineStr">
        <is>
          <t>GG1024</t>
        </is>
      </c>
      <c r="C5" s="256" t="inlineStr">
        <is>
          <t>release</t>
        </is>
      </c>
      <c r="D5" s="256" t="inlineStr">
        <is>
          <t>06.06.26</t>
        </is>
      </c>
      <c r="E5" s="256" t="inlineStr">
        <is>
          <t>11.03.25</t>
        </is>
      </c>
      <c r="F5" s="256" t="inlineStr">
        <is>
          <t>ППК25008 —; 166/0274/25 —; 748/2025 —</t>
        </is>
      </c>
      <c r="G5" s="256" t="inlineStr">
        <is>
          <t>iCoA-PP_26-004 03.06.26 PP*</t>
        </is>
      </c>
      <c r="H5" s="256" t="inlineStr">
        <is>
          <t>iCoA-PP_26-004 03.06.26 PP*</t>
        </is>
      </c>
      <c r="I5" s="257" t="inlineStr">
        <is>
          <t>n/t</t>
        </is>
      </c>
      <c r="J5" s="257" t="inlineStr">
        <is>
          <t>n/t</t>
        </is>
      </c>
      <c r="K5" s="257" t="inlineStr">
        <is>
          <t>n/t</t>
        </is>
      </c>
      <c r="L5" s="257" t="inlineStr">
        <is>
          <t>n/t</t>
        </is>
      </c>
      <c r="M5" s="256" t="inlineStr">
        <is>
          <t>iCoA-PP_26-004 03.06.26 PP*</t>
        </is>
      </c>
      <c r="N5" s="256" t="inlineStr">
        <is>
          <t>ППК25008 29.01.25 CNP</t>
        </is>
      </c>
      <c r="O5" s="256" t="inlineStr">
        <is>
          <t>166/0274/25 24.02.25 IJZ</t>
        </is>
      </c>
      <c r="P5" s="257" t="inlineStr">
        <is>
          <t>748/2025 04.03.25 IJZ; also 220-9-М/26; n/t 10.1,10.3</t>
        </is>
      </c>
      <c r="Q5" s="256" t="inlineStr">
        <is>
          <t>748/2025 04.03.25 IJZ</t>
        </is>
      </c>
      <c r="R5" s="256" t="inlineStr">
        <is>
          <t>748/2025 04.03.25 IJZ</t>
        </is>
      </c>
    </row>
    <row r="6">
      <c r="A6" s="256" t="inlineStr">
        <is>
          <t>CoQ-PP_26-005</t>
        </is>
      </c>
      <c r="B6" s="256" t="inlineStr">
        <is>
          <t>HPA1024</t>
        </is>
      </c>
      <c r="C6" s="256" t="inlineStr">
        <is>
          <t>release</t>
        </is>
      </c>
      <c r="D6" s="256" t="inlineStr">
        <is>
          <t>06.06.26</t>
        </is>
      </c>
      <c r="E6" s="256" t="inlineStr">
        <is>
          <t>11.04.25</t>
        </is>
      </c>
      <c r="F6" s="256" t="inlineStr">
        <is>
          <t>—</t>
        </is>
      </c>
      <c r="G6" s="256" t="inlineStr">
        <is>
          <t>iCoA-PP_26-005 03.06.26 PP*</t>
        </is>
      </c>
      <c r="H6" s="256" t="inlineStr">
        <is>
          <t>iCoA-PP_26-005 03.06.26 PP*</t>
        </is>
      </c>
      <c r="I6" s="257" t="inlineStr">
        <is>
          <t>n/t</t>
        </is>
      </c>
      <c r="J6" s="256" t="inlineStr">
        <is>
          <t>iCoA-PP_26-005 03.06.26 PP; also 197-13-К/26</t>
        </is>
      </c>
      <c r="K6" s="256" t="inlineStr">
        <is>
          <t>iCoA-PP_26-005 03.06.26 PP; also 197-13-К/26</t>
        </is>
      </c>
      <c r="L6" s="257" t="inlineStr">
        <is>
          <t>n/t</t>
        </is>
      </c>
      <c r="M6" s="256" t="inlineStr">
        <is>
          <t>iCoA-PP_26-005 03.06.26 PP*</t>
        </is>
      </c>
      <c r="N6" s="257" t="inlineStr">
        <is>
          <t>n/t</t>
        </is>
      </c>
      <c r="O6" s="256" t="inlineStr">
        <is>
          <t>iCoA-PP_26-005 03.06.26 PP</t>
        </is>
      </c>
      <c r="P6" s="257" t="inlineStr">
        <is>
          <t>iCoA-PP_26-005 03.06.26 PP; also 197-13-М/26; n/t 10.1,10.3</t>
        </is>
      </c>
      <c r="Q6" s="256" t="inlineStr">
        <is>
          <t>iCoA-PP_26-005 03.06.26 PP</t>
        </is>
      </c>
      <c r="R6" s="256" t="inlineStr">
        <is>
          <t>iCoA-PP_26-005 03.06.26 PP</t>
        </is>
      </c>
    </row>
    <row r="7">
      <c r="A7" s="256" t="inlineStr">
        <is>
          <t>CoQ-PP_26-006</t>
        </is>
      </c>
      <c r="B7" s="256" t="inlineStr">
        <is>
          <t>OPM1024</t>
        </is>
      </c>
      <c r="C7" s="256" t="inlineStr">
        <is>
          <t>release</t>
        </is>
      </c>
      <c r="D7" s="256" t="inlineStr">
        <is>
          <t>06.06.26</t>
        </is>
      </c>
      <c r="E7" s="256" t="inlineStr">
        <is>
          <t>24.04.25</t>
        </is>
      </c>
      <c r="F7" s="256" t="inlineStr">
        <is>
          <t>—</t>
        </is>
      </c>
      <c r="G7" s="256" t="inlineStr">
        <is>
          <t>iCoA-PP_26-006 03.06.26 PP*</t>
        </is>
      </c>
      <c r="H7" s="256" t="inlineStr">
        <is>
          <t>iCoA-PP_26-006 03.06.26 PP*</t>
        </is>
      </c>
      <c r="I7" s="257" t="inlineStr">
        <is>
          <t>n/t</t>
        </is>
      </c>
      <c r="J7" s="256" t="inlineStr">
        <is>
          <t>iCoA-PP_26-006 03.06.26 PP; also 197-17-К/26</t>
        </is>
      </c>
      <c r="K7" s="256" t="inlineStr">
        <is>
          <t>iCoA-PP_26-006 03.06.26 PP; also 197-17-К/26</t>
        </is>
      </c>
      <c r="L7" s="257" t="inlineStr">
        <is>
          <t>n/t</t>
        </is>
      </c>
      <c r="M7" s="256" t="inlineStr">
        <is>
          <t>iCoA-PP_26-006 03.06.26 PP*</t>
        </is>
      </c>
      <c r="N7" s="257" t="inlineStr">
        <is>
          <t>n/t</t>
        </is>
      </c>
      <c r="O7" s="256" t="inlineStr">
        <is>
          <t>iCoA-PP_26-006 03.06.26 PP</t>
        </is>
      </c>
      <c r="P7" s="257" t="inlineStr">
        <is>
          <t>iCoA-PP_26-006 03.06.26 PP; also 197-17-М/26; n/t 10.1,10.3</t>
        </is>
      </c>
      <c r="Q7" s="256" t="inlineStr">
        <is>
          <t>iCoA-PP_26-006 03.06.26 PP</t>
        </is>
      </c>
      <c r="R7" s="256" t="inlineStr">
        <is>
          <t>iCoA-PP_26-006 03.06.26 PP</t>
        </is>
      </c>
    </row>
    <row r="8">
      <c r="A8" s="256" t="inlineStr">
        <is>
          <t>CoQ-PP_26-007</t>
        </is>
      </c>
      <c r="B8" s="256" t="inlineStr">
        <is>
          <t>P050022 (GP0824_02)</t>
        </is>
      </c>
      <c r="C8" s="256" t="inlineStr">
        <is>
          <t>release</t>
        </is>
      </c>
      <c r="D8" s="256" t="inlineStr">
        <is>
          <t>06.06.26</t>
        </is>
      </c>
      <c r="E8" s="256" t="inlineStr">
        <is>
          <t>03.06.25</t>
        </is>
      </c>
      <c r="F8" s="256" t="inlineStr">
        <is>
          <t>ППК25139 —; 471-0862-25 16.05.25; 2471-2025 15.05.25</t>
        </is>
      </c>
      <c r="G8" s="256" t="inlineStr">
        <is>
          <t>iCoA-PP_26-008 03.06.26 PP*</t>
        </is>
      </c>
      <c r="H8" s="256" t="inlineStr">
        <is>
          <t>iCoA-PP_26-008 03.06.26 PP*</t>
        </is>
      </c>
      <c r="I8" s="256" t="inlineStr">
        <is>
          <t>ППК25139 22.05.25 CNP DAB</t>
        </is>
      </c>
      <c r="J8" s="256" t="inlineStr">
        <is>
          <t>ППК25139 22.05.25 CNP DAB; also ППК26059</t>
        </is>
      </c>
      <c r="K8" s="256" t="inlineStr">
        <is>
          <t>ППК25139 22.05.25 CNP DAB; also ППК26059</t>
        </is>
      </c>
      <c r="L8" s="256" t="inlineStr">
        <is>
          <t>ППК25139 22.05.25 CNP DAB; also ППК26059</t>
        </is>
      </c>
      <c r="M8" s="256" t="inlineStr">
        <is>
          <t>iCoA-PP_26-008 03.06.26 PP*</t>
        </is>
      </c>
      <c r="N8" s="256" t="inlineStr">
        <is>
          <t>ППК25139 22.05.25 CNP DAB; also ППК26059</t>
        </is>
      </c>
      <c r="O8" s="256" t="inlineStr">
        <is>
          <t>471-0862-25 22.05.25 IJZ-MB</t>
        </is>
      </c>
      <c r="P8" s="257" t="inlineStr">
        <is>
          <t>2471-2025 30.05.25 IJZ; also 197-11-М/26; n/t 10.1,10.3</t>
        </is>
      </c>
      <c r="Q8" s="256" t="inlineStr">
        <is>
          <t>2471-2025 30.05.25 IJZ</t>
        </is>
      </c>
      <c r="R8" s="256" t="inlineStr">
        <is>
          <t>2471-2025 30.05.25 IJZ</t>
        </is>
      </c>
    </row>
    <row r="9">
      <c r="A9" s="256" t="inlineStr">
        <is>
          <t>CoQ-PP_26-008</t>
        </is>
      </c>
      <c r="B9" s="256" t="inlineStr">
        <is>
          <t>P050012 (GG1024_02)</t>
        </is>
      </c>
      <c r="C9" s="256" t="inlineStr">
        <is>
          <t>release (predicted)</t>
        </is>
      </c>
      <c r="D9" s="256" t="inlineStr">
        <is>
          <t>06.06.26</t>
        </is>
      </c>
      <c r="E9" s="256" t="inlineStr">
        <is>
          <t>11.06.25</t>
        </is>
      </c>
      <c r="F9" s="256" t="inlineStr">
        <is>
          <t>ППК25140 15.05.25; 472/0863/25 16.05.25; 2472/2025 15.05.25</t>
        </is>
      </c>
      <c r="G9" s="256" t="inlineStr">
        <is>
          <t>iCoA-PP_26-009 03.06.26 PP*</t>
        </is>
      </c>
      <c r="H9" s="256" t="inlineStr">
        <is>
          <t>iCoA-PP_26-009 03.06.26 PP*</t>
        </is>
      </c>
      <c r="I9" s="256" t="inlineStr">
        <is>
          <t>ППК25140 22.05.25 CNP DAB</t>
        </is>
      </c>
      <c r="J9" s="256" t="inlineStr">
        <is>
          <t>ППК25140 22.05.25 CNP DAB; also 227-19-К/26</t>
        </is>
      </c>
      <c r="K9" s="256" t="inlineStr">
        <is>
          <t>ППК25140 22.05.25 CNP DAB; also 227-19-К/26</t>
        </is>
      </c>
      <c r="L9" s="257" t="inlineStr">
        <is>
          <t>n/t</t>
        </is>
      </c>
      <c r="M9" s="256" t="inlineStr">
        <is>
          <t>iCoA-PP_26-009 03.06.26 PP*</t>
        </is>
      </c>
      <c r="N9" s="256" t="inlineStr">
        <is>
          <t>ППК25140 22.05.25 CNP DAB</t>
        </is>
      </c>
      <c r="O9" s="256" t="inlineStr">
        <is>
          <t>472/0863/25 22.05.25 IJZ-MB; 472/0863/25 22.05.25 IJZ-MB undetermined</t>
        </is>
      </c>
      <c r="P9" s="257" t="inlineStr">
        <is>
          <t>2472/2025 30.05.25 IJZ; n/t 10.1,10.3</t>
        </is>
      </c>
      <c r="Q9" s="256" t="inlineStr">
        <is>
          <t>2472/2025 30.05.25 IJZ</t>
        </is>
      </c>
      <c r="R9" s="256" t="inlineStr">
        <is>
          <t>2472/2025 30.05.25 IJZ</t>
        </is>
      </c>
    </row>
    <row r="10">
      <c r="A10" s="256" t="inlineStr">
        <is>
          <t>CoQ-PP_26-009</t>
        </is>
      </c>
      <c r="B10" s="256" t="inlineStr">
        <is>
          <t>P050032 (MB0824_04)</t>
        </is>
      </c>
      <c r="C10" s="256" t="inlineStr">
        <is>
          <t>release (predicted)</t>
        </is>
      </c>
      <c r="D10" s="256" t="inlineStr">
        <is>
          <t>06.06.26</t>
        </is>
      </c>
      <c r="E10" s="256" t="inlineStr">
        <is>
          <t>16.06.25</t>
        </is>
      </c>
      <c r="F10" s="256" t="inlineStr">
        <is>
          <t>ППК25118 28.04.25; 406/0744/25 —; 2157/2025 28.04.25</t>
        </is>
      </c>
      <c r="G10" s="256" t="inlineStr">
        <is>
          <t>iCoA-PP_26-010 03.06.26 PP*</t>
        </is>
      </c>
      <c r="H10" s="256" t="inlineStr">
        <is>
          <t>iCoA-PP_26-010 03.06.26 PP*</t>
        </is>
      </c>
      <c r="I10" s="256" t="inlineStr">
        <is>
          <t>ППК25118 06.05.25 CNP DAB</t>
        </is>
      </c>
      <c r="J10" s="256" t="inlineStr">
        <is>
          <t>ППК25118 06.05.25 CNP DAB; also 227-12-К/26</t>
        </is>
      </c>
      <c r="K10" s="256" t="inlineStr">
        <is>
          <t>ППК25118 06.05.25 CNP DAB; also 227-12-К/26</t>
        </is>
      </c>
      <c r="L10" s="257" t="inlineStr">
        <is>
          <t>n/t</t>
        </is>
      </c>
      <c r="M10" s="256" t="inlineStr">
        <is>
          <t>iCoA-PP_26-010 03.06.26 PP*</t>
        </is>
      </c>
      <c r="N10" s="256" t="inlineStr">
        <is>
          <t>ППК25118 06.05.25 CNP DAB</t>
        </is>
      </c>
      <c r="O10" s="256" t="inlineStr">
        <is>
          <t>406/0744/25 05.05.25 IJZ-MB</t>
        </is>
      </c>
      <c r="P10" s="257" t="inlineStr">
        <is>
          <t>2157/2025 07.05.25 IJZ; n/t 10.1,10.3</t>
        </is>
      </c>
      <c r="Q10" s="256" t="inlineStr">
        <is>
          <t>2157/2025 07.05.25 IJZ</t>
        </is>
      </c>
      <c r="R10" s="256" t="inlineStr">
        <is>
          <t>2157/2025 07.05.25 IJZ</t>
        </is>
      </c>
    </row>
    <row r="11">
      <c r="A11" s="256" t="inlineStr">
        <is>
          <t>CoQ-PP_26-010</t>
        </is>
      </c>
      <c r="B11" s="256" t="inlineStr">
        <is>
          <t>P050042 (OMP1024_01)</t>
        </is>
      </c>
      <c r="C11" s="256" t="inlineStr">
        <is>
          <t>release</t>
        </is>
      </c>
      <c r="D11" s="256" t="inlineStr">
        <is>
          <t>06.06.26</t>
        </is>
      </c>
      <c r="E11" s="256" t="inlineStr">
        <is>
          <t>—</t>
        </is>
      </c>
      <c r="F11" s="256" t="inlineStr">
        <is>
          <t>ППК25117 28.04.25; 407-0745-25 29.04.25; 2156/2025 28.04.25</t>
        </is>
      </c>
      <c r="G11" s="256" t="inlineStr">
        <is>
          <t>iCoA-PP_26-092 03.06.26 PP*</t>
        </is>
      </c>
      <c r="H11" s="256" t="inlineStr">
        <is>
          <t>iCoA-PP_26-092 03.06.26 PP*</t>
        </is>
      </c>
      <c r="I11" s="256" t="inlineStr">
        <is>
          <t>ППК25117 06.05.25 CNP DAB</t>
        </is>
      </c>
      <c r="J11" s="256" t="inlineStr">
        <is>
          <t>ППК25117 06.05.25 CNP DAB; also 220-21-К/26</t>
        </is>
      </c>
      <c r="K11" s="256" t="inlineStr">
        <is>
          <t>ППК25117 06.05.25 CNP DAB; also 220-21-К/26</t>
        </is>
      </c>
      <c r="L11" s="256" t="inlineStr">
        <is>
          <t>ППК25117 06.05.25 CNP DAB</t>
        </is>
      </c>
      <c r="M11" s="256" t="inlineStr">
        <is>
          <t>iCoA-PP_26-092 03.06.26 PP*</t>
        </is>
      </c>
      <c r="N11" s="256" t="inlineStr">
        <is>
          <t>ППК25117 06.05.25 CNP DAB</t>
        </is>
      </c>
      <c r="O11" s="256" t="inlineStr">
        <is>
          <t>407-0745-25 05.05.25 IJZ-MB</t>
        </is>
      </c>
      <c r="P11" s="257" t="inlineStr">
        <is>
          <t>2156/2025 07.05.25 IJZ; also 220-21-М/26; n/t 10.1,10.3</t>
        </is>
      </c>
      <c r="Q11" s="256" t="inlineStr">
        <is>
          <t>2156/2025 07.05.25 IJZ</t>
        </is>
      </c>
      <c r="R11" s="256" t="inlineStr">
        <is>
          <t>2156/2025 07.05.25 IJZ</t>
        </is>
      </c>
    </row>
    <row r="12">
      <c r="A12" s="256" t="inlineStr">
        <is>
          <t>CoQ-PP_26-011</t>
        </is>
      </c>
      <c r="B12" s="256" t="inlineStr">
        <is>
          <t>P050052 (HPA1024_01)</t>
        </is>
      </c>
      <c r="C12" s="256" t="inlineStr">
        <is>
          <t>release</t>
        </is>
      </c>
      <c r="D12" s="256" t="inlineStr">
        <is>
          <t>06.06.26</t>
        </is>
      </c>
      <c r="E12" s="256" t="inlineStr">
        <is>
          <t>27.06.25</t>
        </is>
      </c>
      <c r="F12" s="256" t="inlineStr">
        <is>
          <t>ППК25155 12.06.25; 587/1066/25 13.06.25; 2995/2025 12.06.25</t>
        </is>
      </c>
      <c r="G12" s="256" t="inlineStr">
        <is>
          <t>iCoA-PP_26-011 03.06.26 PP*</t>
        </is>
      </c>
      <c r="H12" s="256" t="inlineStr">
        <is>
          <t>iCoA-PP_26-011 03.06.26 PP*</t>
        </is>
      </c>
      <c r="I12" s="256" t="inlineStr">
        <is>
          <t>ППК25155 24.06.25 CNP DAB</t>
        </is>
      </c>
      <c r="J12" s="256" t="inlineStr">
        <is>
          <t>ППК25155 24.06.25 CNP DAB; also 197-14-К/26</t>
        </is>
      </c>
      <c r="K12" s="256" t="inlineStr">
        <is>
          <t>ППК25155 24.06.25 CNP DAB; also 197-14-К/26</t>
        </is>
      </c>
      <c r="L12" s="256" t="inlineStr">
        <is>
          <t>ППК25155 24.06.25 CNP DAB</t>
        </is>
      </c>
      <c r="M12" s="256" t="inlineStr">
        <is>
          <t>iCoA-PP_26-011 03.06.26 PP*</t>
        </is>
      </c>
      <c r="N12" s="256" t="inlineStr">
        <is>
          <t>ППК25155 24.06.25 CNP DAB</t>
        </is>
      </c>
      <c r="O12" s="256" t="inlineStr">
        <is>
          <t>587/1066/25 18.06.25 IJZ-MB; 587/1066/25 18.06.25 IJZ-MB undetermined</t>
        </is>
      </c>
      <c r="P12" s="257" t="inlineStr">
        <is>
          <t>2995/2025 19.06.25 IJZ; also 197-14-М/26; n/t 10.1,10.3</t>
        </is>
      </c>
      <c r="Q12" s="256" t="inlineStr">
        <is>
          <t>2995/2025 19.06.25 IJZ</t>
        </is>
      </c>
      <c r="R12" s="256" t="inlineStr">
        <is>
          <t>2995/2025 19.06.25 IJZ</t>
        </is>
      </c>
    </row>
    <row r="13">
      <c r="A13" s="256" t="inlineStr">
        <is>
          <t>CoQ-PP_26-012</t>
        </is>
      </c>
      <c r="B13" s="256" t="inlineStr">
        <is>
          <t>P050062 (OPM1024_02)</t>
        </is>
      </c>
      <c r="C13" s="256" t="inlineStr">
        <is>
          <t>release</t>
        </is>
      </c>
      <c r="D13" s="256" t="inlineStr">
        <is>
          <t>06.06.26</t>
        </is>
      </c>
      <c r="E13" s="256" t="inlineStr">
        <is>
          <t>04.07.25</t>
        </is>
      </c>
      <c r="F13" s="256" t="inlineStr">
        <is>
          <t>ППК25154 12.06.25; 588/1067/25 13.06.25; 2994/2025 12.06.25</t>
        </is>
      </c>
      <c r="G13" s="256" t="inlineStr">
        <is>
          <t>iCoA-PP_26-012 03.06.26 PP*</t>
        </is>
      </c>
      <c r="H13" s="256" t="inlineStr">
        <is>
          <t>iCoA-PP_26-012 03.06.26 PP*</t>
        </is>
      </c>
      <c r="I13" s="256" t="inlineStr">
        <is>
          <t>ППК25154 24.06.25 CNP DAB</t>
        </is>
      </c>
      <c r="J13" s="256" t="inlineStr">
        <is>
          <t>ППК25154 24.06.25 CNP DAB; also 197-18-К/26</t>
        </is>
      </c>
      <c r="K13" s="256" t="inlineStr">
        <is>
          <t>ППК25154 24.06.25 CNP DAB; also 197-18-К/26</t>
        </is>
      </c>
      <c r="L13" s="256" t="inlineStr">
        <is>
          <t>ППК25154 24.06.25 CNP DAB</t>
        </is>
      </c>
      <c r="M13" s="256" t="inlineStr">
        <is>
          <t>iCoA-PP_26-012 03.06.26 PP*</t>
        </is>
      </c>
      <c r="N13" s="256" t="inlineStr">
        <is>
          <t>ППК25154 24.06.25 CNP DAB</t>
        </is>
      </c>
      <c r="O13" s="256" t="inlineStr">
        <is>
          <t>588/1067/25 18.06.25 IJZ-MB</t>
        </is>
      </c>
      <c r="P13" s="257" t="inlineStr">
        <is>
          <t>2994/2025 19.06.25 IJZ; also 197-18-М/26; n/t 10.1,10.3</t>
        </is>
      </c>
      <c r="Q13" s="256" t="inlineStr">
        <is>
          <t>2994/2025 19.06.25 IJZ</t>
        </is>
      </c>
      <c r="R13" s="256" t="inlineStr">
        <is>
          <t>2994/2025 19.06.25 IJZ</t>
        </is>
      </c>
    </row>
    <row r="14">
      <c r="A14" s="256" t="inlineStr">
        <is>
          <t>CoQ-PP_26-013</t>
        </is>
      </c>
      <c r="B14" s="256" t="inlineStr">
        <is>
          <t>P050072 (GP0824_03)</t>
        </is>
      </c>
      <c r="C14" s="256" t="inlineStr">
        <is>
          <t>release</t>
        </is>
      </c>
      <c r="D14" s="256" t="inlineStr">
        <is>
          <t>06.06.26</t>
        </is>
      </c>
      <c r="E14" s="256" t="inlineStr">
        <is>
          <t>14.07.25</t>
        </is>
      </c>
      <c r="F14" s="256" t="inlineStr">
        <is>
          <t>ППК25175 23.06.25; 628/1129/25 24.06.25; 3178/2025 23.06.25</t>
        </is>
      </c>
      <c r="G14" s="256" t="inlineStr">
        <is>
          <t>iCoA-PP_26-013 03.06.26 PP*</t>
        </is>
      </c>
      <c r="H14" s="256" t="inlineStr">
        <is>
          <t>iCoA-PP_26-013 03.06.26 PP*</t>
        </is>
      </c>
      <c r="I14" s="256" t="inlineStr">
        <is>
          <t>ППК25175 10.07.25 CNP DAB</t>
        </is>
      </c>
      <c r="J14" s="256" t="inlineStr">
        <is>
          <t>ППК25175 10.07.25 CNP DAB; also 220-11-К/26</t>
        </is>
      </c>
      <c r="K14" s="256" t="inlineStr">
        <is>
          <t>ППК25175 10.07.25 CNP DAB; also 220-11-К/26</t>
        </is>
      </c>
      <c r="L14" s="256" t="inlineStr">
        <is>
          <t>ППК25175 10.07.25 CNP DAB</t>
        </is>
      </c>
      <c r="M14" s="256" t="inlineStr">
        <is>
          <t>iCoA-PP_26-013 03.06.26 PP*</t>
        </is>
      </c>
      <c r="N14" s="256" t="inlineStr">
        <is>
          <t>ППК25175 10.07.25 CNP DAB; also ППК26060</t>
        </is>
      </c>
      <c r="O14" s="256" t="inlineStr">
        <is>
          <t>628/1129/25 02.07.25 IJZ-MB; 628/1129/25 02.07.25 IJZ-MB undetermined</t>
        </is>
      </c>
      <c r="P14" s="257" t="inlineStr">
        <is>
          <t>3178/2025 26.06.25 IJZ; also 220-11-М/26; n/t 10.1,10.3</t>
        </is>
      </c>
      <c r="Q14" s="256" t="inlineStr">
        <is>
          <t>3178/2025 26.06.25 IJZ</t>
        </is>
      </c>
      <c r="R14" s="256" t="inlineStr">
        <is>
          <t>3178/2025 26.06.25 IJZ</t>
        </is>
      </c>
    </row>
    <row r="15">
      <c r="A15" s="256" t="inlineStr">
        <is>
          <t>CoQ-PP_26-014</t>
        </is>
      </c>
      <c r="B15" s="256" t="inlineStr">
        <is>
          <t>P050082 (OPM1024_03)</t>
        </is>
      </c>
      <c r="C15" s="256" t="inlineStr">
        <is>
          <t>release</t>
        </is>
      </c>
      <c r="D15" s="256" t="inlineStr">
        <is>
          <t>06.06.26</t>
        </is>
      </c>
      <c r="E15" s="256" t="inlineStr">
        <is>
          <t>22.07.25</t>
        </is>
      </c>
      <c r="F15" s="256" t="inlineStr">
        <is>
          <t>ППК25210 21.07.25; 766/1375/25 21.07.25; 3636/2025 21.07.25</t>
        </is>
      </c>
      <c r="G15" s="256" t="inlineStr">
        <is>
          <t>iCoA-PP_26-014 03.06.26 PP*</t>
        </is>
      </c>
      <c r="H15" s="256" t="inlineStr">
        <is>
          <t>iCoA-PP_26-014 03.06.26 PP*</t>
        </is>
      </c>
      <c r="I15" s="256" t="inlineStr">
        <is>
          <t>ППК25210 28.07.25 CNP DAB</t>
        </is>
      </c>
      <c r="J15" s="256" t="inlineStr">
        <is>
          <t>ППК25210 28.07.25 CNP DAB; also 220-23-К/26</t>
        </is>
      </c>
      <c r="K15" s="256" t="inlineStr">
        <is>
          <t>ППК25210 28.07.25 CNP DAB; also 220-23-К/26</t>
        </is>
      </c>
      <c r="L15" s="256" t="inlineStr">
        <is>
          <t>ППК25210 28.07.25 CNP DAB</t>
        </is>
      </c>
      <c r="M15" s="256" t="inlineStr">
        <is>
          <t>iCoA-PP_26-014 03.06.26 PP*</t>
        </is>
      </c>
      <c r="N15" s="256" t="inlineStr">
        <is>
          <t>ППК25210 28.07.25 CNP DAB</t>
        </is>
      </c>
      <c r="O15" s="256" t="inlineStr">
        <is>
          <t>766/1375/25 29.07.25 IJZ-MB</t>
        </is>
      </c>
      <c r="P15" s="257" t="inlineStr">
        <is>
          <t>3636/2025 28.07.25 IJZ; also 220-23-М/26; n/t 10.1,10.3</t>
        </is>
      </c>
      <c r="Q15" s="256" t="inlineStr">
        <is>
          <t>3636/2025 28.07.25 IJZ</t>
        </is>
      </c>
      <c r="R15" s="256" t="inlineStr">
        <is>
          <t>3636/2025 28.07.25 IJZ</t>
        </is>
      </c>
    </row>
    <row r="16">
      <c r="A16" s="256" t="inlineStr">
        <is>
          <t>CoQ-PP_26-015</t>
        </is>
      </c>
      <c r="B16" s="256" t="inlineStr">
        <is>
          <t>P050092 (GG1024_01)</t>
        </is>
      </c>
      <c r="C16" s="256" t="inlineStr">
        <is>
          <t>release</t>
        </is>
      </c>
      <c r="D16" s="256" t="inlineStr">
        <is>
          <t>06.06.26</t>
        </is>
      </c>
      <c r="E16" s="256" t="inlineStr">
        <is>
          <t>31.07.25</t>
        </is>
      </c>
      <c r="F16" s="256" t="inlineStr">
        <is>
          <t>ППК25104 08.04.25; 320/0587/25 08.04.25; 1766/2025 08.04.25</t>
        </is>
      </c>
      <c r="G16" s="256" t="inlineStr">
        <is>
          <t>iCoA-PP_26-015 03.06.26 PP*</t>
        </is>
      </c>
      <c r="H16" s="256" t="inlineStr">
        <is>
          <t>iCoA-PP_26-015 03.06.26 PP*</t>
        </is>
      </c>
      <c r="I16" s="256" t="inlineStr">
        <is>
          <t>ППК25104 17.04.25 CNP DAB</t>
        </is>
      </c>
      <c r="J16" s="256" t="inlineStr">
        <is>
          <t>ППК25104 17.04.25 CNP DAB; also 197-9-К/26</t>
        </is>
      </c>
      <c r="K16" s="256" t="inlineStr">
        <is>
          <t>ППК25104 17.04.25 CNP DAB; also 197-9-К/26</t>
        </is>
      </c>
      <c r="L16" s="256" t="inlineStr">
        <is>
          <t>ППК25104 17.04.25 CNP DAB</t>
        </is>
      </c>
      <c r="M16" s="256" t="inlineStr">
        <is>
          <t>iCoA-PP_26-015 03.06.26 PP*</t>
        </is>
      </c>
      <c r="N16" s="256" t="inlineStr">
        <is>
          <t>ППК25104 17.04.25 CNP DAB</t>
        </is>
      </c>
      <c r="O16" s="256" t="inlineStr">
        <is>
          <t>320/0587/25 14.04.25 IJZ-MB; 320/0587/25 14.04.25 IJZ-MB OOS</t>
        </is>
      </c>
      <c r="P16" s="257" t="inlineStr">
        <is>
          <t>1766/2025 11.04.25 IJZ; also 197-9-М/26; n/t 10.1,10.3</t>
        </is>
      </c>
      <c r="Q16" s="256" t="inlineStr">
        <is>
          <t>1766/2025 11.04.25 IJZ</t>
        </is>
      </c>
      <c r="R16" s="256" t="inlineStr">
        <is>
          <t>1766/2025 11.04.25 IJZ</t>
        </is>
      </c>
    </row>
    <row r="17">
      <c r="A17" s="256" t="inlineStr">
        <is>
          <t>CoQ-PP_26-016</t>
        </is>
      </c>
      <c r="B17" s="256" t="inlineStr">
        <is>
          <t>P050102 (GP0824_01)</t>
        </is>
      </c>
      <c r="C17" s="256" t="inlineStr">
        <is>
          <t>release (predicted)</t>
        </is>
      </c>
      <c r="D17" s="256" t="inlineStr">
        <is>
          <t>06.06.26</t>
        </is>
      </c>
      <c r="E17" s="256" t="inlineStr">
        <is>
          <t>05.08.25</t>
        </is>
      </c>
      <c r="F17" s="256" t="inlineStr">
        <is>
          <t>ППК25105 08.04.25; 318/0585/25 08.04.25; 1767/2025 08.04.25</t>
        </is>
      </c>
      <c r="G17" s="256" t="inlineStr">
        <is>
          <t>iCoA-PP_26-016 03.06.26 PP*</t>
        </is>
      </c>
      <c r="H17" s="256" t="inlineStr">
        <is>
          <t>iCoA-PP_26-016 03.06.26 PP*</t>
        </is>
      </c>
      <c r="I17" s="256" t="inlineStr">
        <is>
          <t>ППК25105 17.04.25 CNP DAB</t>
        </is>
      </c>
      <c r="J17" s="256" t="inlineStr">
        <is>
          <t>ППК25105 17.04.25 CNP DAB; also 227-2-К/26</t>
        </is>
      </c>
      <c r="K17" s="256" t="inlineStr">
        <is>
          <t>ППК25105 17.04.25 CNP DAB; also 227-2-К/26</t>
        </is>
      </c>
      <c r="L17" s="257" t="inlineStr">
        <is>
          <t>n/t</t>
        </is>
      </c>
      <c r="M17" s="256" t="inlineStr">
        <is>
          <t>iCoA-PP_26-016 03.06.26 PP*</t>
        </is>
      </c>
      <c r="N17" s="256" t="inlineStr">
        <is>
          <t>ППК25105 17.04.25 CNP DAB</t>
        </is>
      </c>
      <c r="O17" s="256" t="inlineStr">
        <is>
          <t>318/0585/25 14.04.25 IJZ-MB</t>
        </is>
      </c>
      <c r="P17" s="257" t="inlineStr">
        <is>
          <t>1767/2025 11.04.25 IJZ; n/t 10.1,10.3</t>
        </is>
      </c>
      <c r="Q17" s="256" t="inlineStr">
        <is>
          <t>1767/2025 11.04.25 IJZ</t>
        </is>
      </c>
      <c r="R17" s="256" t="inlineStr">
        <is>
          <t>1767/2025 11.04.25 IJZ</t>
        </is>
      </c>
    </row>
    <row r="18">
      <c r="A18" s="256" t="inlineStr">
        <is>
          <t>CoQ-PP_26-017</t>
        </is>
      </c>
      <c r="B18" s="256" t="inlineStr">
        <is>
          <t>P050112 (MB0824_05)</t>
        </is>
      </c>
      <c r="C18" s="256" t="inlineStr">
        <is>
          <t>release</t>
        </is>
      </c>
      <c r="D18" s="256" t="inlineStr">
        <is>
          <t>06.06.26</t>
        </is>
      </c>
      <c r="E18" s="256" t="inlineStr">
        <is>
          <t>25.08.25</t>
        </is>
      </c>
      <c r="F18" s="256" t="inlineStr">
        <is>
          <t>ППК25211 21.07.25; 767/1376/25 21.07.25; 3638/2025 21.07.25</t>
        </is>
      </c>
      <c r="G18" s="256" t="inlineStr">
        <is>
          <t>iCoA-PP_26-017 03.06.26 PP*</t>
        </is>
      </c>
      <c r="H18" s="256" t="inlineStr">
        <is>
          <t>iCoA-PP_26-017 03.06.26 PP*</t>
        </is>
      </c>
      <c r="I18" s="256" t="inlineStr">
        <is>
          <t>ППК25211 28.07.25 CNP DAB</t>
        </is>
      </c>
      <c r="J18" s="256" t="inlineStr">
        <is>
          <t>ППК25211 28.07.25 CNP DAB; also 220-20-К/26</t>
        </is>
      </c>
      <c r="K18" s="256" t="inlineStr">
        <is>
          <t>ППК25211 28.07.25 CNP DAB; also 220-20-К/26</t>
        </is>
      </c>
      <c r="L18" s="256" t="inlineStr">
        <is>
          <t>ППК25211 28.07.25 CNP DAB</t>
        </is>
      </c>
      <c r="M18" s="256" t="inlineStr">
        <is>
          <t>iCoA-PP_26-017 03.06.26 PP*</t>
        </is>
      </c>
      <c r="N18" s="256" t="inlineStr">
        <is>
          <t>ППК25211 28.07.25 CNP DAB</t>
        </is>
      </c>
      <c r="O18" s="256" t="inlineStr">
        <is>
          <t>767/1376/25 29.07.25 IJZ-MB</t>
        </is>
      </c>
      <c r="P18" s="257" t="inlineStr">
        <is>
          <t>3638/2025 28.07.25 IJZ; also 220-20-М/26; n/t 10.1,10.3</t>
        </is>
      </c>
      <c r="Q18" s="256" t="inlineStr">
        <is>
          <t>3638/2025 28.07.25 IJZ</t>
        </is>
      </c>
      <c r="R18" s="256" t="inlineStr">
        <is>
          <t>3638/2025 28.07.25 IJZ</t>
        </is>
      </c>
    </row>
    <row r="19">
      <c r="A19" s="256" t="inlineStr">
        <is>
          <t>CoQ-PP_26-018</t>
        </is>
      </c>
      <c r="B19" s="256" t="inlineStr">
        <is>
          <t>P050122 (BSS1024_01)</t>
        </is>
      </c>
      <c r="C19" s="256" t="inlineStr">
        <is>
          <t>release (predicted)</t>
        </is>
      </c>
      <c r="D19" s="256" t="inlineStr">
        <is>
          <t>06.06.26</t>
        </is>
      </c>
      <c r="E19" s="256" t="inlineStr">
        <is>
          <t>—</t>
        </is>
      </c>
      <c r="F19" s="256" t="inlineStr">
        <is>
          <t>ППК25176 23.06.25; 626/1127/25 24.06.25; 3177/2025 23.06.25</t>
        </is>
      </c>
      <c r="G19" s="256" t="inlineStr">
        <is>
          <t>iCoA-PP_26-089 03.06.26 PP*</t>
        </is>
      </c>
      <c r="H19" s="256" t="inlineStr">
        <is>
          <t>iCoA-PP_26-089 03.06.26 PP*</t>
        </is>
      </c>
      <c r="I19" s="256" t="inlineStr">
        <is>
          <t>ППК25176 10.07.25 CNP DAB</t>
        </is>
      </c>
      <c r="J19" s="256" t="inlineStr">
        <is>
          <t>ППК25176 10.07.25 CNP DAB; also 227-29-К/26</t>
        </is>
      </c>
      <c r="K19" s="256" t="inlineStr">
        <is>
          <t>ППК25176 10.07.25 CNP DAB; also 227-29-К/26</t>
        </is>
      </c>
      <c r="L19" s="257" t="inlineStr">
        <is>
          <t>n/t</t>
        </is>
      </c>
      <c r="M19" s="256" t="inlineStr">
        <is>
          <t>iCoA-PP_26-089 03.06.26 PP*</t>
        </is>
      </c>
      <c r="N19" s="256" t="inlineStr">
        <is>
          <t>ППК25176 10.07.25 CNP DAB</t>
        </is>
      </c>
      <c r="O19" s="256" t="inlineStr">
        <is>
          <t>626/1127/25 02.07.25 IJZ-MB</t>
        </is>
      </c>
      <c r="P19" s="257" t="inlineStr">
        <is>
          <t>3177/2025 26.06.25 IJZ; n/t 10.1,10.3</t>
        </is>
      </c>
      <c r="Q19" s="256" t="inlineStr">
        <is>
          <t>3177/2025 26.06.25 IJZ</t>
        </is>
      </c>
      <c r="R19" s="256" t="inlineStr">
        <is>
          <t>3177/2025 26.06.25 IJZ</t>
        </is>
      </c>
    </row>
    <row r="20">
      <c r="A20" s="256" t="inlineStr">
        <is>
          <t>CoQ-PP_26-019</t>
        </is>
      </c>
      <c r="B20" s="256" t="inlineStr">
        <is>
          <t>P050132 (OPM052501)</t>
        </is>
      </c>
      <c r="C20" s="256" t="inlineStr">
        <is>
          <t>release (predicted)</t>
        </is>
      </c>
      <c r="D20" s="256" t="inlineStr">
        <is>
          <t>06.06.26</t>
        </is>
      </c>
      <c r="E20" s="256" t="inlineStr">
        <is>
          <t>09.09.25</t>
        </is>
      </c>
      <c r="F20" s="256" t="inlineStr">
        <is>
          <t>ППК25257 25.08.25; 904/1589/25 27.08.25; 4157/2025 25.08.25</t>
        </is>
      </c>
      <c r="G20" s="256" t="inlineStr">
        <is>
          <t>iCoA-PP_26-018 03.06.26 PP*</t>
        </is>
      </c>
      <c r="H20" s="256" t="inlineStr">
        <is>
          <t>iCoA-PP_26-018 03.06.26 PP*</t>
        </is>
      </c>
      <c r="I20" s="256" t="inlineStr">
        <is>
          <t>ППК25257 05.09.25 CNP DAB</t>
        </is>
      </c>
      <c r="J20" s="256" t="inlineStr">
        <is>
          <t>ППК25257 05.09.25 CNP DAB; also 227-11-К/26</t>
        </is>
      </c>
      <c r="K20" s="256" t="inlineStr">
        <is>
          <t>ППК25257 05.09.25 CNP DAB; also 227-11-К/26</t>
        </is>
      </c>
      <c r="L20" s="257" t="inlineStr">
        <is>
          <t>n/t</t>
        </is>
      </c>
      <c r="M20" s="256" t="inlineStr">
        <is>
          <t>iCoA-PP_26-018 03.06.26 PP*</t>
        </is>
      </c>
      <c r="N20" s="256" t="inlineStr">
        <is>
          <t>ППК25257 05.09.25 CNP DAB</t>
        </is>
      </c>
      <c r="O20" s="256" t="inlineStr">
        <is>
          <t>904/1589/25 02.09.25 IJZ-MB; 904/1589/25 02.09.25 IJZ-MB OOS</t>
        </is>
      </c>
      <c r="P20" s="257" t="inlineStr">
        <is>
          <t>4157/2025 29.08.25 IJZ; n/t 10.1,10.3</t>
        </is>
      </c>
      <c r="Q20" s="256" t="inlineStr">
        <is>
          <t>4157/2025 29.08.25 IJZ</t>
        </is>
      </c>
      <c r="R20" s="256" t="inlineStr">
        <is>
          <t>4157/2025 29.08.25 IJZ</t>
        </is>
      </c>
    </row>
    <row r="21">
      <c r="A21" s="256" t="inlineStr">
        <is>
          <t>CoQ-PP_26-020</t>
        </is>
      </c>
      <c r="B21" s="256" t="inlineStr">
        <is>
          <t>P050152 (GP052501)</t>
        </is>
      </c>
      <c r="C21" s="256" t="inlineStr">
        <is>
          <t>release</t>
        </is>
      </c>
      <c r="D21" s="256" t="inlineStr">
        <is>
          <t>06.06.26</t>
        </is>
      </c>
      <c r="E21" s="256" t="inlineStr">
        <is>
          <t>25.09.25</t>
        </is>
      </c>
      <c r="F21" s="256" t="inlineStr">
        <is>
          <t>ППК25279 05.09.25; 946/1684/25 11.09.25; 4348/2025 05.09.25</t>
        </is>
      </c>
      <c r="G21" s="256" t="inlineStr">
        <is>
          <t>iCoA-PP_26-019 03.06.26 PP*</t>
        </is>
      </c>
      <c r="H21" s="256" t="inlineStr">
        <is>
          <t>iCoA-PP_26-019 03.06.26 PP*</t>
        </is>
      </c>
      <c r="I21" s="256" t="inlineStr">
        <is>
          <t>ППК25279 19.09.25 CNP DAB</t>
        </is>
      </c>
      <c r="J21" s="256" t="inlineStr">
        <is>
          <t>ППК25279 19.09.25 CNP DAB; also 197-10-К/26</t>
        </is>
      </c>
      <c r="K21" s="256" t="inlineStr">
        <is>
          <t>ППК25279 19.09.25 CNP DAB; also 197-10-К/26</t>
        </is>
      </c>
      <c r="L21" s="256" t="inlineStr">
        <is>
          <t>ППК25279 19.09.25 CNP DAB</t>
        </is>
      </c>
      <c r="M21" s="256" t="inlineStr">
        <is>
          <t>iCoA-PP_26-019 03.06.26 PP*</t>
        </is>
      </c>
      <c r="N21" s="256" t="inlineStr">
        <is>
          <t>ППК25279 19.09.25 CNP DAB</t>
        </is>
      </c>
      <c r="O21" s="256" t="inlineStr">
        <is>
          <t>946/1684/25 17.09.25 IJZ-MB; 946/1684/25 17.09.25 IJZ-MB OOS</t>
        </is>
      </c>
      <c r="P21" s="257" t="inlineStr">
        <is>
          <t>4348/2025 15.09.25 IJZ; also 197-10-М/26; n/t 10.1,10.3</t>
        </is>
      </c>
      <c r="Q21" s="256" t="inlineStr">
        <is>
          <t>4348/2025 15.09.25 IJZ</t>
        </is>
      </c>
      <c r="R21" s="256" t="inlineStr">
        <is>
          <t>4348/2025 15.09.25 IJZ</t>
        </is>
      </c>
    </row>
    <row r="22">
      <c r="A22" s="256" t="inlineStr">
        <is>
          <t>CoQ-PP_26-021</t>
        </is>
      </c>
      <c r="B22" s="256" t="inlineStr">
        <is>
          <t>P050142 (BSS1024_01/2)</t>
        </is>
      </c>
      <c r="C22" s="256" t="inlineStr">
        <is>
          <t>release (predicted)</t>
        </is>
      </c>
      <c r="D22" s="256" t="inlineStr">
        <is>
          <t>06.06.26</t>
        </is>
      </c>
      <c r="E22" s="256" t="inlineStr">
        <is>
          <t>30.09.25</t>
        </is>
      </c>
      <c r="F22" s="256" t="inlineStr">
        <is>
          <t>—</t>
        </is>
      </c>
      <c r="G22" s="256" t="inlineStr">
        <is>
          <t>iCoA-PP_26-020 03.06.26 PP*</t>
        </is>
      </c>
      <c r="H22" s="256" t="inlineStr">
        <is>
          <t>iCoA-PP_26-020 03.06.26 PP*</t>
        </is>
      </c>
      <c r="I22" s="256" t="inlineStr">
        <is>
          <t>to be performed</t>
        </is>
      </c>
      <c r="J22" s="257" t="inlineStr">
        <is>
          <t>n/t</t>
        </is>
      </c>
      <c r="K22" s="257" t="inlineStr">
        <is>
          <t>n/t</t>
        </is>
      </c>
      <c r="L22" s="257" t="inlineStr">
        <is>
          <t>n/t</t>
        </is>
      </c>
      <c r="M22" s="256" t="inlineStr">
        <is>
          <t>iCoA-PP_26-020 03.06.26 PP*</t>
        </is>
      </c>
      <c r="N22" s="257" t="inlineStr">
        <is>
          <t>n/t</t>
        </is>
      </c>
      <c r="O22" s="257" t="inlineStr">
        <is>
          <t>n/t</t>
        </is>
      </c>
      <c r="P22" s="257" t="inlineStr">
        <is>
          <t>n/t</t>
        </is>
      </c>
      <c r="Q22" s="257" t="inlineStr">
        <is>
          <t>n/t</t>
        </is>
      </c>
      <c r="R22" s="257" t="inlineStr">
        <is>
          <t>n/t</t>
        </is>
      </c>
    </row>
    <row r="23">
      <c r="A23" s="256" t="inlineStr">
        <is>
          <t>CoQ-PP_26-022</t>
        </is>
      </c>
      <c r="B23" s="256" t="inlineStr">
        <is>
          <t>P050162 (CJ052501/01)</t>
        </is>
      </c>
      <c r="C23" s="256" t="inlineStr">
        <is>
          <t>release</t>
        </is>
      </c>
      <c r="D23" s="256" t="inlineStr">
        <is>
          <t>06.06.26</t>
        </is>
      </c>
      <c r="E23" s="256" t="inlineStr">
        <is>
          <t>30.09.25</t>
        </is>
      </c>
      <c r="F23" s="256" t="inlineStr">
        <is>
          <t>ППК25280 05.09.25; 949/1687/25 11.09.25; 4350/2025 05.09.25</t>
        </is>
      </c>
      <c r="G23" s="256" t="inlineStr">
        <is>
          <t>iCoA-PP_26-021 03.06.26 PP*</t>
        </is>
      </c>
      <c r="H23" s="256" t="inlineStr">
        <is>
          <t>iCoA-PP_26-021 03.06.26 PP*</t>
        </is>
      </c>
      <c r="I23" s="256" t="inlineStr">
        <is>
          <t>ППК25280 17.09.25 CNP DAB</t>
        </is>
      </c>
      <c r="J23" s="256" t="inlineStr">
        <is>
          <t>ППК25280 17.09.25 CNP DAB; also 197-3-К/26</t>
        </is>
      </c>
      <c r="K23" s="256" t="inlineStr">
        <is>
          <t>ППК25280 17.09.25 CNP DAB; also 197-3-К/26</t>
        </is>
      </c>
      <c r="L23" s="256" t="inlineStr">
        <is>
          <t>ППК25280 17.09.25 CNP DAB</t>
        </is>
      </c>
      <c r="M23" s="256" t="inlineStr">
        <is>
          <t>iCoA-PP_26-021 03.06.26 PP*</t>
        </is>
      </c>
      <c r="N23" s="256" t="inlineStr">
        <is>
          <t>ППК25280 17.09.25 CNP DAB</t>
        </is>
      </c>
      <c r="O23" s="256" t="inlineStr">
        <is>
          <t>949/1687/25 17.09.25 IJZ-MB; 949/1687/25 17.09.25 IJZ-MB undetermined</t>
        </is>
      </c>
      <c r="P23" s="257" t="inlineStr">
        <is>
          <t>4350/2025 15.09.25 IJZ; also 197-3-М/26; n/t 10.1,10.3</t>
        </is>
      </c>
      <c r="Q23" s="256" t="inlineStr">
        <is>
          <t>4350/2025 15.09.25 IJZ</t>
        </is>
      </c>
      <c r="R23" s="256" t="inlineStr">
        <is>
          <t>4350/2025 15.09.25 IJZ</t>
        </is>
      </c>
    </row>
    <row r="24">
      <c r="A24" s="256" t="inlineStr">
        <is>
          <t>CoQ-PP_26-023</t>
        </is>
      </c>
      <c r="B24" s="256" t="inlineStr">
        <is>
          <t>P050172 (CJ052501-2)</t>
        </is>
      </c>
      <c r="C24" s="256" t="inlineStr">
        <is>
          <t>release (predicted)</t>
        </is>
      </c>
      <c r="D24" s="256" t="inlineStr">
        <is>
          <t>06.06.26</t>
        </is>
      </c>
      <c r="E24" s="256" t="inlineStr">
        <is>
          <t>01.10.25</t>
        </is>
      </c>
      <c r="F24" s="256" t="inlineStr">
        <is>
          <t>ППК25281 05.09.25; 947/1685/25 11.09.25; 4349/2025 05.09.25</t>
        </is>
      </c>
      <c r="G24" s="256" t="inlineStr">
        <is>
          <t>iCoA-PP_26-022 03.06.26 PP*</t>
        </is>
      </c>
      <c r="H24" s="256" t="inlineStr">
        <is>
          <t>iCoA-PP_26-022 03.06.26 PP*</t>
        </is>
      </c>
      <c r="I24" s="256" t="inlineStr">
        <is>
          <t>ППК25281 17.09.25 CNP DAB</t>
        </is>
      </c>
      <c r="J24" s="256" t="inlineStr">
        <is>
          <t>ППК25281 17.09.25 CNP DAB; also 227-28-К/26</t>
        </is>
      </c>
      <c r="K24" s="256" t="inlineStr">
        <is>
          <t>ППК25281 17.09.25 CNP DAB; also 227-28-К/26</t>
        </is>
      </c>
      <c r="L24" s="257" t="inlineStr">
        <is>
          <t>n/t</t>
        </is>
      </c>
      <c r="M24" s="256" t="inlineStr">
        <is>
          <t>iCoA-PP_26-022 03.06.26 PP*</t>
        </is>
      </c>
      <c r="N24" s="256" t="inlineStr">
        <is>
          <t>ППК25281 17.09.25 CNP DAB</t>
        </is>
      </c>
      <c r="O24" s="256" t="inlineStr">
        <is>
          <t>947/1685/25 17.09.25 IJZ-MB</t>
        </is>
      </c>
      <c r="P24" s="257" t="inlineStr">
        <is>
          <t>4349/2025 15.09.25 IJZ; n/t 10.1,10.3</t>
        </is>
      </c>
      <c r="Q24" s="256" t="inlineStr">
        <is>
          <t>4349/2025 15.09.25 IJZ</t>
        </is>
      </c>
      <c r="R24" s="256" t="inlineStr">
        <is>
          <t>4349/2025 15.09.25 IJZ</t>
        </is>
      </c>
    </row>
    <row r="25">
      <c r="A25" s="256" t="inlineStr">
        <is>
          <t>CoQ-PP_26-024</t>
        </is>
      </c>
      <c r="B25" s="256" t="inlineStr">
        <is>
          <t>P050182 (HPA052501)</t>
        </is>
      </c>
      <c r="C25" s="256" t="inlineStr">
        <is>
          <t>release</t>
        </is>
      </c>
      <c r="D25" s="256" t="inlineStr">
        <is>
          <t>06.06.26</t>
        </is>
      </c>
      <c r="E25" s="256" t="inlineStr">
        <is>
          <t>03.10.25</t>
        </is>
      </c>
      <c r="F25" s="256" t="inlineStr">
        <is>
          <t>ППК25278 05.09.25; 948/1686/25 11.09.25; 4352/2025 05.09.25</t>
        </is>
      </c>
      <c r="G25" s="256" t="inlineStr">
        <is>
          <t>iCoA-PP_26-023 03.06.26 PP*</t>
        </is>
      </c>
      <c r="H25" s="256" t="inlineStr">
        <is>
          <t>iCoA-PP_26-023 03.06.26 PP*</t>
        </is>
      </c>
      <c r="I25" s="256" t="inlineStr">
        <is>
          <t>ППК25278 19.09.25 CNP DAB</t>
        </is>
      </c>
      <c r="J25" s="256" t="inlineStr">
        <is>
          <t>ППК25278 19.09.25 CNP DAB; also 220-15-К/26</t>
        </is>
      </c>
      <c r="K25" s="256" t="inlineStr">
        <is>
          <t>ППК25278 19.09.25 CNP DAB; also 220-15-К/26</t>
        </is>
      </c>
      <c r="L25" s="256" t="inlineStr">
        <is>
          <t>ППК25278 19.09.25 CNP DAB</t>
        </is>
      </c>
      <c r="M25" s="256" t="inlineStr">
        <is>
          <t>iCoA-PP_26-023 03.06.26 PP*</t>
        </is>
      </c>
      <c r="N25" s="256" t="inlineStr">
        <is>
          <t>ППК25278 19.09.25 CNP DAB</t>
        </is>
      </c>
      <c r="O25" s="256" t="inlineStr">
        <is>
          <t>948/1686/25 17.09.25 IJZ-MB; 948/1686/25 17.09.25 IJZ-MB OOS</t>
        </is>
      </c>
      <c r="P25" s="257" t="inlineStr">
        <is>
          <t>4352/2025 15.09.25 IJZ; also 220-15-М/26; n/t 10.1,10.3</t>
        </is>
      </c>
      <c r="Q25" s="256" t="inlineStr">
        <is>
          <t>4352/2025 15.09.25 IJZ</t>
        </is>
      </c>
      <c r="R25" s="256" t="inlineStr">
        <is>
          <t>4352/2025 15.09.25 IJZ</t>
        </is>
      </c>
    </row>
    <row r="26">
      <c r="A26" s="256" t="inlineStr">
        <is>
          <t>CoQ-PP_26-025</t>
        </is>
      </c>
      <c r="B26" s="256" t="inlineStr">
        <is>
          <t>P050192 (BSS052501)</t>
        </is>
      </c>
      <c r="C26" s="256" t="inlineStr">
        <is>
          <t>release</t>
        </is>
      </c>
      <c r="D26" s="256" t="inlineStr">
        <is>
          <t>06.06.26</t>
        </is>
      </c>
      <c r="E26" s="256" t="inlineStr">
        <is>
          <t>10.10.25</t>
        </is>
      </c>
      <c r="F26" s="256" t="inlineStr">
        <is>
          <t>1157/2058/25 17.11.25; 276-31-М/25 14.11.25; 5661/2025 21.11.25; 10802_2845/2 —</t>
        </is>
      </c>
      <c r="G26" s="256" t="inlineStr">
        <is>
          <t>iCoA-PP_26-024 03.06.26 PP*</t>
        </is>
      </c>
      <c r="H26" s="256" t="inlineStr">
        <is>
          <t>iCoA-PP_26-024 03.06.26 PP*</t>
        </is>
      </c>
      <c r="I26" s="257" t="inlineStr">
        <is>
          <t>n/t</t>
        </is>
      </c>
      <c r="J26" s="256" t="inlineStr">
        <is>
          <t>iCoA-PP_26-024 03.06.26 PP; also 220-2-К/26</t>
        </is>
      </c>
      <c r="K26" s="256" t="inlineStr">
        <is>
          <t>iCoA-PP_26-024 03.06.26 PP; also 220-2-К/26</t>
        </is>
      </c>
      <c r="L26" s="257" t="inlineStr">
        <is>
          <t>n/t</t>
        </is>
      </c>
      <c r="M26" s="256" t="inlineStr">
        <is>
          <t>iCoA-PP_26-024 03.06.26 PP*</t>
        </is>
      </c>
      <c r="N26" s="256" t="inlineStr">
        <is>
          <t>iCoA-PP_26-024 03.06.26 PP</t>
        </is>
      </c>
      <c r="O26" s="256" t="inlineStr">
        <is>
          <t>1157/2058/25 24.11.25 IJZ-MB</t>
        </is>
      </c>
      <c r="P26" s="257" t="inlineStr">
        <is>
          <t>276-31-М/25 04.12.25 FHM-M; also 220-2-М/26; n/t 10.2</t>
        </is>
      </c>
      <c r="Q26" s="256" t="inlineStr">
        <is>
          <t>5661/2025 01.12.25 IJZ</t>
        </is>
      </c>
      <c r="R26" s="256" t="inlineStr">
        <is>
          <t>10802_2845/2 17.11.25 DFL</t>
        </is>
      </c>
    </row>
    <row r="27">
      <c r="A27" s="256" t="inlineStr">
        <is>
          <t>CoQ-PP_26-026</t>
        </is>
      </c>
      <c r="B27" s="256" t="inlineStr">
        <is>
          <t>P050202 (GP062501)</t>
        </is>
      </c>
      <c r="C27" s="256" t="inlineStr">
        <is>
          <t>release (predicted)</t>
        </is>
      </c>
      <c r="D27" s="256" t="inlineStr">
        <is>
          <t>06.06.26</t>
        </is>
      </c>
      <c r="E27" s="256" t="inlineStr">
        <is>
          <t>30.10.25</t>
        </is>
      </c>
      <c r="F27" s="256" t="inlineStr">
        <is>
          <t>1009/1813/25 02.10.25; 4762/2025 01.10.25</t>
        </is>
      </c>
      <c r="G27" s="256" t="inlineStr">
        <is>
          <t>iCoA-PP_26-025 03.06.26 PP*</t>
        </is>
      </c>
      <c r="H27" s="256" t="inlineStr">
        <is>
          <t>iCoA-PP_26-025 03.06.26 PP*</t>
        </is>
      </c>
      <c r="I27" s="257" t="inlineStr">
        <is>
          <t>n/t</t>
        </is>
      </c>
      <c r="J27" s="256" t="inlineStr">
        <is>
          <t>iCoA-PP_26-025 03.06.26 PP; also 227-18-К/26</t>
        </is>
      </c>
      <c r="K27" s="256" t="inlineStr">
        <is>
          <t>iCoA-PP_26-025 03.06.26 PP; also 227-18-К/26</t>
        </is>
      </c>
      <c r="L27" s="257" t="inlineStr">
        <is>
          <t>n/t</t>
        </is>
      </c>
      <c r="M27" s="256" t="inlineStr">
        <is>
          <t>iCoA-PP_26-025 03.06.26 PP*</t>
        </is>
      </c>
      <c r="N27" s="256" t="inlineStr">
        <is>
          <t>iCoA-PP_26-025 03.06.26 PP; also ППК26058</t>
        </is>
      </c>
      <c r="O27" s="256" t="inlineStr">
        <is>
          <t>1009/1813/25 08.10.25 IJZ-MB; also 1155/2056/25</t>
        </is>
      </c>
      <c r="P27" s="257" t="inlineStr">
        <is>
          <t>4762/2025 08.10.25 IJZ; n/t 10.1,10.3</t>
        </is>
      </c>
      <c r="Q27" s="256" t="inlineStr">
        <is>
          <t>4762/2025 08.10.25 IJZ</t>
        </is>
      </c>
      <c r="R27" s="256" t="inlineStr">
        <is>
          <t>4762/2025 08.10.25 IJZ</t>
        </is>
      </c>
    </row>
    <row r="28">
      <c r="A28" s="256" t="inlineStr">
        <is>
          <t>CoQ-PP_26-027</t>
        </is>
      </c>
      <c r="B28" s="256" t="inlineStr">
        <is>
          <t>P050212 (CJ062501-2)</t>
        </is>
      </c>
      <c r="C28" s="256" t="inlineStr">
        <is>
          <t>release (predicted)</t>
        </is>
      </c>
      <c r="D28" s="256" t="inlineStr">
        <is>
          <t>06.06.26</t>
        </is>
      </c>
      <c r="E28" s="256" t="inlineStr">
        <is>
          <t>18.11.25</t>
        </is>
      </c>
      <c r="F28" s="256" t="inlineStr">
        <is>
          <t>ППК25322 10.10.25; 1032/1851/25 —; 4908/2025 10.10.25</t>
        </is>
      </c>
      <c r="G28" s="256" t="inlineStr">
        <is>
          <t>iCoA-PP_26-026 03.06.26 PP*</t>
        </is>
      </c>
      <c r="H28" s="256" t="inlineStr">
        <is>
          <t>iCoA-PP_26-026 03.06.26 PP*</t>
        </is>
      </c>
      <c r="I28" s="256" t="inlineStr">
        <is>
          <t>ППК25322 23.10.25 CNP DAB</t>
        </is>
      </c>
      <c r="J28" s="256" t="inlineStr">
        <is>
          <t>ППК25322 23.10.25 CNP DAB; also 197-4-К/26</t>
        </is>
      </c>
      <c r="K28" s="256" t="inlineStr">
        <is>
          <t>ППК25322 23.10.25 CNP DAB; also 197-4-К/26</t>
        </is>
      </c>
      <c r="L28" s="256" t="inlineStr">
        <is>
          <t>ППК25322 23.10.25 CNP DAB</t>
        </is>
      </c>
      <c r="M28" s="256" t="inlineStr">
        <is>
          <t>iCoA-PP_26-026 03.06.26 PP*</t>
        </is>
      </c>
      <c r="N28" s="256" t="inlineStr">
        <is>
          <t>ППК25322 23.10.25 CNP DAB</t>
        </is>
      </c>
      <c r="O28" s="256" t="inlineStr">
        <is>
          <t>1032/1851/25 17.10.25 IJZ-MB; 1032/1851/25 17.10.25 IJZ-MB OOS</t>
        </is>
      </c>
      <c r="P28" s="257" t="inlineStr">
        <is>
          <t>4908/2025 24.10.25 IJZ; also 197-4-М/26; n/t 10.1,10.3</t>
        </is>
      </c>
      <c r="Q28" s="256" t="inlineStr">
        <is>
          <t>4908/2025 24.10.25 IJZ</t>
        </is>
      </c>
      <c r="R28" s="256" t="inlineStr">
        <is>
          <t>4908/2025 24.10.25 IJZ</t>
        </is>
      </c>
    </row>
    <row r="29">
      <c r="A29" s="256" t="inlineStr">
        <is>
          <t>CoQ-PP_26-028</t>
        </is>
      </c>
      <c r="B29" s="256" t="inlineStr">
        <is>
          <t>P050222 (CJ062501/1)</t>
        </is>
      </c>
      <c r="C29" s="256" t="inlineStr">
        <is>
          <t>release</t>
        </is>
      </c>
      <c r="D29" s="256" t="inlineStr">
        <is>
          <t>06.06.26</t>
        </is>
      </c>
      <c r="E29" s="256" t="inlineStr">
        <is>
          <t>24.11.25</t>
        </is>
      </c>
      <c r="F29" s="256" t="inlineStr">
        <is>
          <t>ППК25321 10.10.25; 1217/2168/25 26.11.25; 4907/2025 10.10.25</t>
        </is>
      </c>
      <c r="G29" s="256" t="inlineStr">
        <is>
          <t>iCoA-PP_26-027 03.06.26 PP*</t>
        </is>
      </c>
      <c r="H29" s="256" t="inlineStr">
        <is>
          <t>iCoA-PP_26-027 03.06.26 PP*</t>
        </is>
      </c>
      <c r="I29" s="256" t="inlineStr">
        <is>
          <t>ППК25321 23.10.25 CNP DAB</t>
        </is>
      </c>
      <c r="J29" s="256" t="inlineStr">
        <is>
          <t>ППК25321 23.10.25 CNP DAB; also 220-3-К/26</t>
        </is>
      </c>
      <c r="K29" s="256" t="inlineStr">
        <is>
          <t>ППК25321 23.10.25 CNP DAB; also 220-3-К/26</t>
        </is>
      </c>
      <c r="L29" s="256" t="inlineStr">
        <is>
          <t>ППК25321 23.10.25 CNP DAB</t>
        </is>
      </c>
      <c r="M29" s="256" t="inlineStr">
        <is>
          <t>iCoA-PP_26-027 03.06.26 PP*</t>
        </is>
      </c>
      <c r="N29" s="256" t="inlineStr">
        <is>
          <t>ППК25321 23.10.25 CNP DAB</t>
        </is>
      </c>
      <c r="O29" s="256" t="inlineStr">
        <is>
          <t>1217/2168/25 01.12.25 IJZ-MB</t>
        </is>
      </c>
      <c r="P29" s="257" t="inlineStr">
        <is>
          <t>4907/2025 24.10.25 IJZ; also 220-3-М/26; n/t 10.1,10.3</t>
        </is>
      </c>
      <c r="Q29" s="256" t="inlineStr">
        <is>
          <t>4907/2025 24.10.25 IJZ</t>
        </is>
      </c>
      <c r="R29" s="256" t="inlineStr">
        <is>
          <t>4907/2025 24.10.25 IJZ</t>
        </is>
      </c>
    </row>
    <row r="30">
      <c r="A30" s="256" t="inlineStr">
        <is>
          <t>CoQ-PP_26-029</t>
        </is>
      </c>
      <c r="B30" s="256" t="inlineStr">
        <is>
          <t>P050252 (CJ072501)</t>
        </is>
      </c>
      <c r="C30" s="256" t="inlineStr">
        <is>
          <t>release (predicted)</t>
        </is>
      </c>
      <c r="D30" s="256" t="inlineStr">
        <is>
          <t>06.06.26</t>
        </is>
      </c>
      <c r="E30" s="256" t="inlineStr">
        <is>
          <t>27.11.25</t>
        </is>
      </c>
      <c r="F30" s="256" t="inlineStr">
        <is>
          <t>ППК25367 24.11.25; 1218/2169/25 26.11.25; 5697/2025 24.11.25</t>
        </is>
      </c>
      <c r="G30" s="256" t="inlineStr">
        <is>
          <t>iCoA-PP_26-028 03.06.26 PP*</t>
        </is>
      </c>
      <c r="H30" s="256" t="inlineStr">
        <is>
          <t>iCoA-PP_26-028 03.06.26 PP*</t>
        </is>
      </c>
      <c r="I30" s="256" t="inlineStr">
        <is>
          <t>ППК25367 28.11.25 CNP DAB</t>
        </is>
      </c>
      <c r="J30" s="256" t="inlineStr">
        <is>
          <t>ППК25367 28.11.25 CNP DAB; also 227-27-К/26</t>
        </is>
      </c>
      <c r="K30" s="256" t="inlineStr">
        <is>
          <t>ППК25367 28.11.25 CNP DAB; also 227-27-К/26</t>
        </is>
      </c>
      <c r="L30" s="257" t="inlineStr">
        <is>
          <t>n/t</t>
        </is>
      </c>
      <c r="M30" s="256" t="inlineStr">
        <is>
          <t>iCoA-PP_26-028 03.06.26 PP*</t>
        </is>
      </c>
      <c r="N30" s="256" t="inlineStr">
        <is>
          <t>ППК25367 28.11.25 CNP DAB</t>
        </is>
      </c>
      <c r="O30" s="256" t="inlineStr">
        <is>
          <t>1218/2169/25 01.12.25 IJZ-MB</t>
        </is>
      </c>
      <c r="P30" s="257" t="inlineStr">
        <is>
          <t>5697/2025 02.12.25 IJZ; n/t 10.1,10.3</t>
        </is>
      </c>
      <c r="Q30" s="256" t="inlineStr">
        <is>
          <t>5697/2025 02.12.25 IJZ</t>
        </is>
      </c>
      <c r="R30" s="256" t="inlineStr">
        <is>
          <t>5697/2025 02.12.25 IJZ</t>
        </is>
      </c>
    </row>
    <row r="31">
      <c r="A31" s="256" t="inlineStr">
        <is>
          <t>CoQ-PP_26-030</t>
        </is>
      </c>
      <c r="B31" s="256" t="inlineStr">
        <is>
          <t>P050262 (WC072501)</t>
        </is>
      </c>
      <c r="C31" s="256" t="inlineStr">
        <is>
          <t>release (predicted)</t>
        </is>
      </c>
      <c r="D31" s="256" t="inlineStr">
        <is>
          <t>06.06.26</t>
        </is>
      </c>
      <c r="E31" s="256" t="inlineStr">
        <is>
          <t>01.12.25</t>
        </is>
      </c>
      <c r="F31" s="256" t="inlineStr">
        <is>
          <t>ППК25369 24.11.25; 1221/2172/25 26.11.25; 5699/2025 24.11.25</t>
        </is>
      </c>
      <c r="G31" s="256" t="inlineStr">
        <is>
          <t>iCoA-PP_26-029 03.06.26 PP*</t>
        </is>
      </c>
      <c r="H31" s="256" t="inlineStr">
        <is>
          <t>iCoA-PP_26-029 03.06.26 PP*</t>
        </is>
      </c>
      <c r="I31" s="256" t="inlineStr">
        <is>
          <t>ППК25369 28.11.25 CNP DAB</t>
        </is>
      </c>
      <c r="J31" s="256" t="inlineStr">
        <is>
          <t>ППК25369 28.11.25 CNP DAB; also 227-3-К/26</t>
        </is>
      </c>
      <c r="K31" s="256" t="inlineStr">
        <is>
          <t>ППК25369 28.11.25 CNP DAB; also 227-3-К/26</t>
        </is>
      </c>
      <c r="L31" s="257" t="inlineStr">
        <is>
          <t>n/t</t>
        </is>
      </c>
      <c r="M31" s="256" t="inlineStr">
        <is>
          <t>iCoA-PP_26-029 03.06.26 PP*</t>
        </is>
      </c>
      <c r="N31" s="256" t="inlineStr">
        <is>
          <t>ППК25369 28.11.25 CNP DAB</t>
        </is>
      </c>
      <c r="O31" s="256" t="inlineStr">
        <is>
          <t>1221/2172/25 01.12.25 IJZ-MB</t>
        </is>
      </c>
      <c r="P31" s="257" t="inlineStr">
        <is>
          <t>5699/2025 02.12.25 IJZ; n/t 10.1,10.3</t>
        </is>
      </c>
      <c r="Q31" s="256" t="inlineStr">
        <is>
          <t>5699/2025 02.12.25 IJZ</t>
        </is>
      </c>
      <c r="R31" s="256" t="inlineStr">
        <is>
          <t>5699/2025 02.12.25 IJZ</t>
        </is>
      </c>
    </row>
    <row r="32">
      <c r="A32" s="256" t="inlineStr">
        <is>
          <t>CoQ-PP_26-031</t>
        </is>
      </c>
      <c r="B32" s="256" t="inlineStr">
        <is>
          <t>P050272 (PM072501)</t>
        </is>
      </c>
      <c r="C32" s="256" t="inlineStr">
        <is>
          <t>release (predicted)</t>
        </is>
      </c>
      <c r="D32" s="256" t="inlineStr">
        <is>
          <t>06.06.26</t>
        </is>
      </c>
      <c r="E32" s="256" t="inlineStr">
        <is>
          <t>02.12.25</t>
        </is>
      </c>
      <c r="F32" s="256" t="inlineStr">
        <is>
          <t>ППК25368 24.11.25; 1220/2171/25 26.11.25; 5698/2025 24.11.25</t>
        </is>
      </c>
      <c r="G32" s="256" t="inlineStr">
        <is>
          <t>iCoA-PP_26-030 03.06.26 PP</t>
        </is>
      </c>
      <c r="H32" s="256" t="inlineStr">
        <is>
          <t>iCoA-PP_26-030 03.06.26 PP*</t>
        </is>
      </c>
      <c r="I32" s="256" t="inlineStr">
        <is>
          <t>ППК25368 28.11.25 CNP DAB</t>
        </is>
      </c>
      <c r="J32" s="256" t="inlineStr">
        <is>
          <t>ППК25368 28.11.25 CNP DAB; also 227-9-К/26</t>
        </is>
      </c>
      <c r="K32" s="256" t="inlineStr">
        <is>
          <t>ППК25368 28.11.25 CNP DAB; also 227-9-К/26</t>
        </is>
      </c>
      <c r="L32" s="257" t="inlineStr">
        <is>
          <t>n/t</t>
        </is>
      </c>
      <c r="M32" s="256" t="inlineStr">
        <is>
          <t>iCoA-PP_26-030 03.06.26 PP</t>
        </is>
      </c>
      <c r="N32" s="256" t="inlineStr">
        <is>
          <t>ППК25368 28.11.25 CNP DAB</t>
        </is>
      </c>
      <c r="O32" s="256" t="inlineStr">
        <is>
          <t>1220/2171/25 01.12.25 IJZ-MB</t>
        </is>
      </c>
      <c r="P32" s="257" t="inlineStr">
        <is>
          <t>5698/2025 02.12.25 IJZ; n/t 10.1,10.3</t>
        </is>
      </c>
      <c r="Q32" s="256" t="inlineStr">
        <is>
          <t>5698/2025 02.12.25 IJZ</t>
        </is>
      </c>
      <c r="R32" s="256" t="inlineStr">
        <is>
          <t>5698/2025 02.12.25 IJZ</t>
        </is>
      </c>
    </row>
    <row r="33">
      <c r="A33" s="256" t="inlineStr">
        <is>
          <t>CoQ-PP_26-032</t>
        </is>
      </c>
      <c r="B33" s="256" t="inlineStr">
        <is>
          <t>P050282 (CLE072501)</t>
        </is>
      </c>
      <c r="C33" s="256" t="inlineStr">
        <is>
          <t>release</t>
        </is>
      </c>
      <c r="D33" s="256" t="inlineStr">
        <is>
          <t>06.06.26</t>
        </is>
      </c>
      <c r="E33" s="256" t="inlineStr">
        <is>
          <t>03.12.25</t>
        </is>
      </c>
      <c r="F33" s="256" t="inlineStr">
        <is>
          <t>ППК25370 24.11.25; 1219/2170/25 26.11.25; 5700/2025 24.11.25</t>
        </is>
      </c>
      <c r="G33" s="256" t="inlineStr">
        <is>
          <t>iCoA-PP_26-031 03.06.26 PP*</t>
        </is>
      </c>
      <c r="H33" s="256" t="inlineStr">
        <is>
          <t>iCoA-PP_26-031 03.06.26 PP*</t>
        </is>
      </c>
      <c r="I33" s="256" t="inlineStr">
        <is>
          <t>ППК25370 28.11.25 CNP</t>
        </is>
      </c>
      <c r="J33" s="256" t="inlineStr">
        <is>
          <t>ППК25370 28.11.25 CNP; also 220-7-К/26</t>
        </is>
      </c>
      <c r="K33" s="256" t="inlineStr">
        <is>
          <t>ППК25370 28.11.25 CNP; also 220-7-К/26</t>
        </is>
      </c>
      <c r="L33" s="256" t="inlineStr">
        <is>
          <t>ППК25370 28.11.25 CNP DAB</t>
        </is>
      </c>
      <c r="M33" s="256" t="inlineStr">
        <is>
          <t>iCoA-PP_26-031 03.06.26 PP*</t>
        </is>
      </c>
      <c r="N33" s="256" t="inlineStr">
        <is>
          <t>ППК25370 28.11.25 CNP</t>
        </is>
      </c>
      <c r="O33" s="256" t="inlineStr">
        <is>
          <t>1219/2170/25 01.12.25 IJZ-MB</t>
        </is>
      </c>
      <c r="P33" s="257" t="inlineStr">
        <is>
          <t>5700/2025 02.12.25 IJZ; also 220-7-М/26; n/t 10.1,10.3</t>
        </is>
      </c>
      <c r="Q33" s="256" t="inlineStr">
        <is>
          <t>5700/2025 02.12.25 IJZ</t>
        </is>
      </c>
      <c r="R33" s="256" t="inlineStr">
        <is>
          <t>5700/2025 02.12.25 IJZ</t>
        </is>
      </c>
    </row>
    <row r="34">
      <c r="A34" s="256" t="inlineStr">
        <is>
          <t>CoQ-PP_26-033</t>
        </is>
      </c>
      <c r="B34" s="256" t="inlineStr">
        <is>
          <t>P050292 (GP072501-1)</t>
        </is>
      </c>
      <c r="C34" s="256" t="inlineStr">
        <is>
          <t>release (predicted)</t>
        </is>
      </c>
      <c r="D34" s="256" t="inlineStr">
        <is>
          <t>06.06.26</t>
        </is>
      </c>
      <c r="E34" s="256" t="inlineStr">
        <is>
          <t>15.12.25</t>
        </is>
      </c>
      <c r="F34" s="256" t="inlineStr">
        <is>
          <t>ППК25378 01.12.25; 1228/2194/25 01.12.25; 5886/2025 01.12.25</t>
        </is>
      </c>
      <c r="G34" s="256" t="inlineStr">
        <is>
          <t>iCoA-PP_26-032 03.06.26 PP*</t>
        </is>
      </c>
      <c r="H34" s="256" t="inlineStr">
        <is>
          <t>iCoA-PP_26-032 03.06.26 PP*</t>
        </is>
      </c>
      <c r="I34" s="256" t="inlineStr">
        <is>
          <t>ППК25378 12.12.25 CNP</t>
        </is>
      </c>
      <c r="J34" s="256" t="inlineStr">
        <is>
          <t>ППК25378 12.12.25 CNP; also 227-17-К/26</t>
        </is>
      </c>
      <c r="K34" s="256" t="inlineStr">
        <is>
          <t>ППК25378 12.12.25 CNP; also 227-17-К/26</t>
        </is>
      </c>
      <c r="L34" s="257" t="inlineStr">
        <is>
          <t>n/t</t>
        </is>
      </c>
      <c r="M34" s="256" t="inlineStr">
        <is>
          <t>iCoA-PP_26-032 03.06.26 PP*</t>
        </is>
      </c>
      <c r="N34" s="256" t="inlineStr">
        <is>
          <t>ППК25378 12.12.25 CNP</t>
        </is>
      </c>
      <c r="O34" s="256" t="inlineStr">
        <is>
          <t>1228/2194/25 05.12.25 IJZ-MB</t>
        </is>
      </c>
      <c r="P34" s="257" t="inlineStr">
        <is>
          <t>5886/2025 12.12.25 IJZ; n/t 10.1,10.3</t>
        </is>
      </c>
      <c r="Q34" s="256" t="inlineStr">
        <is>
          <t>5886/2025 12.12.25 IJZ</t>
        </is>
      </c>
      <c r="R34" s="256" t="inlineStr">
        <is>
          <t>5886/2025 12.12.25 IJZ</t>
        </is>
      </c>
    </row>
    <row r="35">
      <c r="A35" s="256" t="inlineStr">
        <is>
          <t>CoQ-PP_26-034</t>
        </is>
      </c>
      <c r="B35" s="256" t="inlineStr">
        <is>
          <t>P050302 (GP072501/2)</t>
        </is>
      </c>
      <c r="C35" s="256" t="inlineStr">
        <is>
          <t>release</t>
        </is>
      </c>
      <c r="D35" s="256" t="inlineStr">
        <is>
          <t>06.06.26</t>
        </is>
      </c>
      <c r="E35" s="256" t="inlineStr">
        <is>
          <t>22.12.25</t>
        </is>
      </c>
      <c r="F35" s="256" t="inlineStr">
        <is>
          <t>ППК25379 01.12.25; 1229/2195/25 01.12.25; 5887/2025 01.12.25</t>
        </is>
      </c>
      <c r="G35" s="256" t="inlineStr">
        <is>
          <t>iCoA-PP_26-033 03.06.26 PP*</t>
        </is>
      </c>
      <c r="H35" s="256" t="inlineStr">
        <is>
          <t>iCoA-PP_26-033 03.06.26 PP*</t>
        </is>
      </c>
      <c r="I35" s="256" t="inlineStr">
        <is>
          <t>ППК25379 12.12.25 CNP</t>
        </is>
      </c>
      <c r="J35" s="256" t="inlineStr">
        <is>
          <t>ППК25379 12.12.25 CNP; also 220-10-К/26</t>
        </is>
      </c>
      <c r="K35" s="256" t="inlineStr">
        <is>
          <t>ППК25379 12.12.25 CNP; also 220-10-К/26</t>
        </is>
      </c>
      <c r="L35" s="256" t="inlineStr">
        <is>
          <t>ППК25379 12.12.25 CNP DAB</t>
        </is>
      </c>
      <c r="M35" s="256" t="inlineStr">
        <is>
          <t>iCoA-PP_26-033 03.06.26 PP*</t>
        </is>
      </c>
      <c r="N35" s="256" t="inlineStr">
        <is>
          <t>ППК25379 12.12.25 CNP</t>
        </is>
      </c>
      <c r="O35" s="256" t="inlineStr">
        <is>
          <t>1229/2195/25 05.12.25 IJZ-MB</t>
        </is>
      </c>
      <c r="P35" s="257" t="inlineStr">
        <is>
          <t>5887/2025 12.12.25 IJZ; also 220-10-М/26; n/t 10.1,10.3</t>
        </is>
      </c>
      <c r="Q35" s="256" t="inlineStr">
        <is>
          <t>5887/2025 12.12.25 IJZ</t>
        </is>
      </c>
      <c r="R35" s="256" t="inlineStr">
        <is>
          <t>5887/2025 12.12.25 IJZ</t>
        </is>
      </c>
    </row>
    <row r="36">
      <c r="A36" s="256" t="inlineStr">
        <is>
          <t>CoQ-PP_26-035</t>
        </is>
      </c>
      <c r="B36" s="256" t="inlineStr">
        <is>
          <t>P050312 (GP082501/1)</t>
        </is>
      </c>
      <c r="C36" s="256" t="inlineStr">
        <is>
          <t>release</t>
        </is>
      </c>
      <c r="D36" s="256" t="inlineStr">
        <is>
          <t>06.06.26</t>
        </is>
      </c>
      <c r="E36" s="256" t="inlineStr">
        <is>
          <t>23.12.25</t>
        </is>
      </c>
      <c r="F36" s="256" t="inlineStr">
        <is>
          <t>ППК25380 01.12.25; 1226/2192/25 01.12.25; 5888/2025 01.12.25</t>
        </is>
      </c>
      <c r="G36" s="256" t="inlineStr">
        <is>
          <t>iCoA-PP_26-034 03.06.26 PP*</t>
        </is>
      </c>
      <c r="H36" s="256" t="inlineStr">
        <is>
          <t>iCoA-PP_26-034 03.06.26 PP*</t>
        </is>
      </c>
      <c r="I36" s="256" t="inlineStr">
        <is>
          <t>ППК25380 12.12.25 CNP</t>
        </is>
      </c>
      <c r="J36" s="256" t="inlineStr">
        <is>
          <t>ППК25380 12.12.25 CNP; also 220-12-К/26</t>
        </is>
      </c>
      <c r="K36" s="256" t="inlineStr">
        <is>
          <t>ППК25380 12.12.25 CNP; also 220-12-К/26</t>
        </is>
      </c>
      <c r="L36" s="256" t="inlineStr">
        <is>
          <t>ППК25380 12.12.25 CNP DAB</t>
        </is>
      </c>
      <c r="M36" s="256" t="inlineStr">
        <is>
          <t>iCoA-PP_26-034 03.06.26 PP*</t>
        </is>
      </c>
      <c r="N36" s="256" t="inlineStr">
        <is>
          <t>ППК25380 12.12.25 CNP</t>
        </is>
      </c>
      <c r="O36" s="256" t="inlineStr">
        <is>
          <t>1226/2192/25 05.12.25 IJZ-MB</t>
        </is>
      </c>
      <c r="P36" s="257" t="inlineStr">
        <is>
          <t>5888/2025 12.12.25 IJZ; also 220-12-М/26; n/t 10.1,10.3</t>
        </is>
      </c>
      <c r="Q36" s="256" t="inlineStr">
        <is>
          <t>5888/2025 12.12.25 IJZ</t>
        </is>
      </c>
      <c r="R36" s="256" t="inlineStr">
        <is>
          <t>5888/2025 12.12.25 IJZ</t>
        </is>
      </c>
    </row>
    <row r="37">
      <c r="A37" s="256" t="inlineStr">
        <is>
          <t>CoQ-PP_26-036</t>
        </is>
      </c>
      <c r="B37" s="256" t="inlineStr">
        <is>
          <t>P050322 (GP082501/2)</t>
        </is>
      </c>
      <c r="C37" s="256" t="inlineStr">
        <is>
          <t>release</t>
        </is>
      </c>
      <c r="D37" s="256" t="inlineStr">
        <is>
          <t>06.06.26</t>
        </is>
      </c>
      <c r="E37" s="256" t="inlineStr">
        <is>
          <t>26.12.25</t>
        </is>
      </c>
      <c r="F37" s="256" t="inlineStr">
        <is>
          <t>ППК25381 01.12.25; 1227/2193/25 —; 5889/2025 01.12.25</t>
        </is>
      </c>
      <c r="G37" s="256" t="inlineStr">
        <is>
          <t>iCoA-PP_26-035 03.06.26 PP*</t>
        </is>
      </c>
      <c r="H37" s="256" t="inlineStr">
        <is>
          <t>iCoA-PP_26-035 03.06.26 PP*</t>
        </is>
      </c>
      <c r="I37" s="256" t="inlineStr">
        <is>
          <t>ППК25381 12.12.25 CNP</t>
        </is>
      </c>
      <c r="J37" s="256" t="inlineStr">
        <is>
          <t>ППК25381 12.12.25 CNP; also 197-12-К/26</t>
        </is>
      </c>
      <c r="K37" s="256" t="inlineStr">
        <is>
          <t>ППК25381 12.12.25 CNP; also 197-12-К/26</t>
        </is>
      </c>
      <c r="L37" s="256" t="inlineStr">
        <is>
          <t>ППК25381 12.12.25 CNP DAB</t>
        </is>
      </c>
      <c r="M37" s="256" t="inlineStr">
        <is>
          <t>iCoA-PP_26-035 03.06.26 PP*</t>
        </is>
      </c>
      <c r="N37" s="256" t="inlineStr">
        <is>
          <t>ППК25381 12.12.25 CNP</t>
        </is>
      </c>
      <c r="O37" s="256" t="inlineStr">
        <is>
          <t>1227/2193/25 05.12.25 IJZ-MB</t>
        </is>
      </c>
      <c r="P37" s="257" t="inlineStr">
        <is>
          <t>5889/2025 12.12.25 IJZ; also 197-12-М/26; n/t 10.1,10.3</t>
        </is>
      </c>
      <c r="Q37" s="256" t="inlineStr">
        <is>
          <t>5889/2025 12.12.25 IJZ</t>
        </is>
      </c>
      <c r="R37" s="256" t="inlineStr">
        <is>
          <t>5889/2025 12.12.25 IJZ</t>
        </is>
      </c>
    </row>
    <row r="38">
      <c r="A38" s="256" t="inlineStr">
        <is>
          <t>CoQ-PP_26-037</t>
        </is>
      </c>
      <c r="B38" s="256" t="inlineStr">
        <is>
          <t>P060012 (WC082501)</t>
        </is>
      </c>
      <c r="C38" s="256" t="inlineStr">
        <is>
          <t>release</t>
        </is>
      </c>
      <c r="D38" s="256" t="inlineStr">
        <is>
          <t>06.06.26</t>
        </is>
      </c>
      <c r="E38" s="256" t="inlineStr">
        <is>
          <t>13.01.26</t>
        </is>
      </c>
      <c r="F38" s="256" t="inlineStr">
        <is>
          <t>ППК26001 08.01.26; 3/0006/26 12.01.25; 80/2026 08.01.26</t>
        </is>
      </c>
      <c r="G38" s="256" t="inlineStr">
        <is>
          <t>iCoA-PP_26-036 03.06.26 PP*</t>
        </is>
      </c>
      <c r="H38" s="256" t="inlineStr">
        <is>
          <t>iCoA-PP_26-036 03.06.26 PP*</t>
        </is>
      </c>
      <c r="I38" s="256" t="inlineStr">
        <is>
          <t>ППК26001 21.01.26 CNP DAB</t>
        </is>
      </c>
      <c r="J38" s="256" t="inlineStr">
        <is>
          <t>ППК26001 21.01.26 CNP DAB; also 220-28-К/26</t>
        </is>
      </c>
      <c r="K38" s="256" t="inlineStr">
        <is>
          <t>ППК26001 21.01.26 CNP DAB; also 220-28-К/26</t>
        </is>
      </c>
      <c r="L38" s="256" t="inlineStr">
        <is>
          <t>ППК26001 21.01.26 CNP DAB</t>
        </is>
      </c>
      <c r="M38" s="256" t="inlineStr">
        <is>
          <t>iCoA-PP_26-036 03.06.26 PP*</t>
        </is>
      </c>
      <c r="N38" s="256" t="inlineStr">
        <is>
          <t>ППК26001 21.01.26 CNP DAB</t>
        </is>
      </c>
      <c r="O38" s="256" t="inlineStr">
        <is>
          <t>3/0006/26 20.01.26 IJZ-MB</t>
        </is>
      </c>
      <c r="P38" s="257" t="inlineStr">
        <is>
          <t>80/2026 02.02.26 IJZ; also 220-28-М/26; n/t 10.1,10.3</t>
        </is>
      </c>
      <c r="Q38" s="256" t="inlineStr">
        <is>
          <t>80/2026 02.02.26 IJZ</t>
        </is>
      </c>
      <c r="R38" s="256" t="inlineStr">
        <is>
          <t>80/2026 02.02.26 IJZ</t>
        </is>
      </c>
    </row>
    <row r="39">
      <c r="A39" s="256" t="inlineStr">
        <is>
          <t>CoQ-PP_26-038</t>
        </is>
      </c>
      <c r="B39" s="256" t="inlineStr">
        <is>
          <t>P060022 (CJ082501/1)</t>
        </is>
      </c>
      <c r="C39" s="256" t="inlineStr">
        <is>
          <t>release</t>
        </is>
      </c>
      <c r="D39" s="256" t="inlineStr">
        <is>
          <t>06.06.26</t>
        </is>
      </c>
      <c r="E39" s="256" t="inlineStr">
        <is>
          <t>16.01.26</t>
        </is>
      </c>
      <c r="F39" s="256" t="inlineStr">
        <is>
          <t>ППК26002 08.01.26; 8/0011/26 12.01.25; 81/2026 08.01.26</t>
        </is>
      </c>
      <c r="G39" s="256" t="inlineStr">
        <is>
          <t>iCoA-PP_26-037 03.06.26 PP*</t>
        </is>
      </c>
      <c r="H39" s="256" t="inlineStr">
        <is>
          <t>iCoA-PP_26-037 03.06.26 PP*</t>
        </is>
      </c>
      <c r="I39" s="256" t="inlineStr">
        <is>
          <t>ППК26002 21.01.26 CNP DAB</t>
        </is>
      </c>
      <c r="J39" s="256" t="inlineStr">
        <is>
          <t>ППК26002 21.01.26 CNP DAB; also 220-4-К/26</t>
        </is>
      </c>
      <c r="K39" s="256" t="inlineStr">
        <is>
          <t>ППК26002 21.01.26 CNP DAB; also 220-4-К/26</t>
        </is>
      </c>
      <c r="L39" s="256" t="inlineStr">
        <is>
          <t>ППК26002 21.01.26 CNP DAB</t>
        </is>
      </c>
      <c r="M39" s="256" t="inlineStr">
        <is>
          <t>iCoA-PP_26-037 03.06.26 PP*</t>
        </is>
      </c>
      <c r="N39" s="256" t="inlineStr">
        <is>
          <t>ППК26002 21.01.26 CNP DAB</t>
        </is>
      </c>
      <c r="O39" s="256" t="inlineStr">
        <is>
          <t>8/0011/26 20.01.26 IJZ-MB</t>
        </is>
      </c>
      <c r="P39" s="257" t="inlineStr">
        <is>
          <t>81/2026 02.02.26 IJZ; also 220-4-М/26; n/t 10.1,10.3</t>
        </is>
      </c>
      <c r="Q39" s="256" t="inlineStr">
        <is>
          <t>81/2026 02.02.26 IJZ</t>
        </is>
      </c>
      <c r="R39" s="256" t="inlineStr">
        <is>
          <t>81/2026 02.02.26 IJZ</t>
        </is>
      </c>
    </row>
    <row r="40">
      <c r="A40" s="256" t="inlineStr">
        <is>
          <t>CoQ-PP_26-039</t>
        </is>
      </c>
      <c r="B40" s="256" t="inlineStr">
        <is>
          <t>P060032 (CJ082501/2)</t>
        </is>
      </c>
      <c r="C40" s="256" t="inlineStr">
        <is>
          <t>release</t>
        </is>
      </c>
      <c r="D40" s="256" t="inlineStr">
        <is>
          <t>06.06.26</t>
        </is>
      </c>
      <c r="E40" s="256" t="inlineStr">
        <is>
          <t>29.01.26</t>
        </is>
      </c>
      <c r="F40" s="256" t="inlineStr">
        <is>
          <t>ППК26003 08.01.26; 4/0007/26 12.01.25; 82/2026 08.01.26</t>
        </is>
      </c>
      <c r="G40" s="256" t="inlineStr">
        <is>
          <t>iCoA-PP_26-038 03.06.26 PP*</t>
        </is>
      </c>
      <c r="H40" s="256" t="inlineStr">
        <is>
          <t>iCoA-PP_26-038 03.06.26 PP*</t>
        </is>
      </c>
      <c r="I40" s="256" t="inlineStr">
        <is>
          <t>ППК26003 21.01.26 CNP DAB</t>
        </is>
      </c>
      <c r="J40" s="256" t="inlineStr">
        <is>
          <t>ППК26003 21.01.26 CNP DAB; also 197-5-К/26</t>
        </is>
      </c>
      <c r="K40" s="256" t="inlineStr">
        <is>
          <t>ППК26003 21.01.26 CNP DAB; also 197-5-К/26</t>
        </is>
      </c>
      <c r="L40" s="256" t="inlineStr">
        <is>
          <t>ППК26003 21.01.26 CNP DAB</t>
        </is>
      </c>
      <c r="M40" s="256" t="inlineStr">
        <is>
          <t>iCoA-PP_26-038 03.06.26 PP*</t>
        </is>
      </c>
      <c r="N40" s="256" t="inlineStr">
        <is>
          <t>ППК26003 21.01.26 CNP DAB</t>
        </is>
      </c>
      <c r="O40" s="256" t="inlineStr">
        <is>
          <t>4/0007/26 20.01.26 IJZ-MB</t>
        </is>
      </c>
      <c r="P40" s="257" t="inlineStr">
        <is>
          <t>82/2026 02.02.26 IJZ; also 197-5-М/26; n/t 10.1,10.3</t>
        </is>
      </c>
      <c r="Q40" s="256" t="inlineStr">
        <is>
          <t>82/2026 02.02.26 IJZ</t>
        </is>
      </c>
      <c r="R40" s="256" t="inlineStr">
        <is>
          <t>82/2026 02.02.26 IJZ</t>
        </is>
      </c>
    </row>
    <row r="41">
      <c r="A41" s="256" t="inlineStr">
        <is>
          <t>CoQ-PP_26-040</t>
        </is>
      </c>
      <c r="B41" s="256" t="inlineStr">
        <is>
          <t>P060042 (OPM092501)</t>
        </is>
      </c>
      <c r="C41" s="256" t="inlineStr">
        <is>
          <t>release</t>
        </is>
      </c>
      <c r="D41" s="256" t="inlineStr">
        <is>
          <t>06.06.26</t>
        </is>
      </c>
      <c r="E41" s="256" t="inlineStr">
        <is>
          <t>29.01.26</t>
        </is>
      </c>
      <c r="F41" s="256" t="inlineStr">
        <is>
          <t>ППК26008 08.01.26; 2/0005/26 12.01.25; 87/2026 08.01.26</t>
        </is>
      </c>
      <c r="G41" s="256" t="inlineStr">
        <is>
          <t>iCoA-PP_26-039 03.06.26 PP*</t>
        </is>
      </c>
      <c r="H41" s="256" t="inlineStr">
        <is>
          <t>iCoA-PP_26-039 03.06.26 PP*</t>
        </is>
      </c>
      <c r="I41" s="256" t="inlineStr">
        <is>
          <t>ППК26008 21.01.26 CNP DAB</t>
        </is>
      </c>
      <c r="J41" s="256" t="inlineStr">
        <is>
          <t>ППК26008 21.01.26 CNP DAB; also 220-22-К/26</t>
        </is>
      </c>
      <c r="K41" s="256" t="inlineStr">
        <is>
          <t>ППК26008 21.01.26 CNP DAB; also 220-22-К/26</t>
        </is>
      </c>
      <c r="L41" s="256" t="inlineStr">
        <is>
          <t>ППК26008 21.01.26 CNP DAB</t>
        </is>
      </c>
      <c r="M41" s="256" t="inlineStr">
        <is>
          <t>iCoA-PP_26-039 03.06.26 PP*</t>
        </is>
      </c>
      <c r="N41" s="256" t="inlineStr">
        <is>
          <t>ППК26008 21.01.26 CNP DAB</t>
        </is>
      </c>
      <c r="O41" s="256" t="inlineStr">
        <is>
          <t>2/0005/26 20.01.26 IJZ-MB</t>
        </is>
      </c>
      <c r="P41" s="257" t="inlineStr">
        <is>
          <t>87/2026 03.02.26 IJZ; also 220-22-М/26; n/t 10.1,10.3</t>
        </is>
      </c>
      <c r="Q41" s="256" t="inlineStr">
        <is>
          <t>87/2026 03.02.26 IJZ</t>
        </is>
      </c>
      <c r="R41" s="256" t="inlineStr">
        <is>
          <t>87/2026 03.02.26 IJZ</t>
        </is>
      </c>
    </row>
    <row r="42">
      <c r="A42" s="256" t="inlineStr">
        <is>
          <t>CoQ-PP_26-041</t>
        </is>
      </c>
      <c r="B42" s="256" t="inlineStr">
        <is>
          <t>P060052 (AB092501)</t>
        </is>
      </c>
      <c r="C42" s="256" t="inlineStr">
        <is>
          <t>release (predicted)</t>
        </is>
      </c>
      <c r="D42" s="256" t="inlineStr">
        <is>
          <t>06.06.26</t>
        </is>
      </c>
      <c r="E42" s="256" t="inlineStr">
        <is>
          <t>30.01.26</t>
        </is>
      </c>
      <c r="F42" s="256" t="inlineStr">
        <is>
          <t>ППК26005 08.01.26; 7/0010/26 12.01.25; 84/2026 08.01.26</t>
        </is>
      </c>
      <c r="G42" s="256" t="inlineStr">
        <is>
          <t>iCoA-PP_26-040 03.06.26 PP*</t>
        </is>
      </c>
      <c r="H42" s="256" t="inlineStr">
        <is>
          <t>iCoA-PP_26-040 03.06.26 PP*</t>
        </is>
      </c>
      <c r="I42" s="256" t="inlineStr">
        <is>
          <t>ППК26005 21.01.26 CNP</t>
        </is>
      </c>
      <c r="J42" s="256" t="inlineStr">
        <is>
          <t>ППК26005 21.01.26 CNP; also 227-30-К/26</t>
        </is>
      </c>
      <c r="K42" s="256" t="inlineStr">
        <is>
          <t>ППК26005 21.01.26 CNP; also 227-30-К/26</t>
        </is>
      </c>
      <c r="L42" s="257" t="inlineStr">
        <is>
          <t>n/t</t>
        </is>
      </c>
      <c r="M42" s="256" t="inlineStr">
        <is>
          <t>iCoA-PP_26-040 03.06.26 PP*</t>
        </is>
      </c>
      <c r="N42" s="256" t="inlineStr">
        <is>
          <t>ППК26005 21.01.26 CNP</t>
        </is>
      </c>
      <c r="O42" s="256" t="inlineStr">
        <is>
          <t>7/0010/26 20.01.26 IJZ-MB</t>
        </is>
      </c>
      <c r="P42" s="257" t="inlineStr">
        <is>
          <t>84/2026 02.02.26 IJZ; n/t 10.1,10.3</t>
        </is>
      </c>
      <c r="Q42" s="256" t="inlineStr">
        <is>
          <t>84/2026 02.02.26 IJZ</t>
        </is>
      </c>
      <c r="R42" s="256" t="inlineStr">
        <is>
          <t>84/2026 02.02.26 IJZ</t>
        </is>
      </c>
    </row>
    <row r="43">
      <c r="A43" s="256" t="inlineStr">
        <is>
          <t>CoQ-PP_26-042</t>
        </is>
      </c>
      <c r="B43" s="256" t="inlineStr">
        <is>
          <t>P060062 (PM092501)</t>
        </is>
      </c>
      <c r="C43" s="256" t="inlineStr">
        <is>
          <t>release</t>
        </is>
      </c>
      <c r="D43" s="256" t="inlineStr">
        <is>
          <t>06.06.26</t>
        </is>
      </c>
      <c r="E43" s="256" t="inlineStr">
        <is>
          <t>30.01.26</t>
        </is>
      </c>
      <c r="F43" s="256" t="inlineStr">
        <is>
          <t>ППК26004 08.01.26; 6/0009/26 12.01.25; 83/2026 08.01.26</t>
        </is>
      </c>
      <c r="G43" s="256" t="inlineStr">
        <is>
          <t>iCoA-PP_26-041 03.06.26 PP*</t>
        </is>
      </c>
      <c r="H43" s="256" t="inlineStr">
        <is>
          <t>iCoA-PP_26-041 03.06.26 PP*</t>
        </is>
      </c>
      <c r="I43" s="256" t="inlineStr">
        <is>
          <t>ППК26004 21.01.26 CNP DAB</t>
        </is>
      </c>
      <c r="J43" s="256" t="inlineStr">
        <is>
          <t>ППК26004 21.01.26 CNP DAB; also 197-20-К/26</t>
        </is>
      </c>
      <c r="K43" s="256" t="inlineStr">
        <is>
          <t>ППК26004 21.01.26 CNP DAB; also 197-20-К/26</t>
        </is>
      </c>
      <c r="L43" s="256" t="inlineStr">
        <is>
          <t>ППК26004 21.01.26 CNP DAB</t>
        </is>
      </c>
      <c r="M43" s="256" t="inlineStr">
        <is>
          <t>iCoA-PP_26-041 03.06.26 PP*</t>
        </is>
      </c>
      <c r="N43" s="256" t="inlineStr">
        <is>
          <t>ППК26004 21.01.26 CNP DAB</t>
        </is>
      </c>
      <c r="O43" s="256" t="inlineStr">
        <is>
          <t>6/0009/26 20.01.26 IJZ-MB</t>
        </is>
      </c>
      <c r="P43" s="257" t="inlineStr">
        <is>
          <t>83/2026 02.02.26 IJZ; also 197-20-М/26; n/t 10.1,10.3</t>
        </is>
      </c>
      <c r="Q43" s="256" t="inlineStr">
        <is>
          <t>83/2026 02.02.26 IJZ</t>
        </is>
      </c>
      <c r="R43" s="256" t="inlineStr">
        <is>
          <t>83/2026 02.02.26 IJZ</t>
        </is>
      </c>
    </row>
    <row r="44">
      <c r="A44" s="256" t="inlineStr">
        <is>
          <t>CoQ-PP_26-043</t>
        </is>
      </c>
      <c r="B44" s="256" t="inlineStr">
        <is>
          <t>P060072 (CJ092501)</t>
        </is>
      </c>
      <c r="C44" s="256" t="inlineStr">
        <is>
          <t>release</t>
        </is>
      </c>
      <c r="D44" s="256" t="inlineStr">
        <is>
          <t>06.06.26</t>
        </is>
      </c>
      <c r="E44" s="256" t="inlineStr">
        <is>
          <t>02.02.26</t>
        </is>
      </c>
      <c r="F44" s="256" t="inlineStr">
        <is>
          <t>ППК26007 08.01.26; 10/0013/26 12.01.25; 86/2026 08.01.26</t>
        </is>
      </c>
      <c r="G44" s="256" t="inlineStr">
        <is>
          <t>iCoA-PP_26-042 03.06.26 PP*</t>
        </is>
      </c>
      <c r="H44" s="256" t="inlineStr">
        <is>
          <t>iCoA-PP_26-042 03.06.26 PP*</t>
        </is>
      </c>
      <c r="I44" s="256" t="inlineStr">
        <is>
          <t>ППК26007 21.01.26 CNP DAB</t>
        </is>
      </c>
      <c r="J44" s="256" t="inlineStr">
        <is>
          <t>ППК26007 21.01.26 CNP DAB; also 220-5-К/26</t>
        </is>
      </c>
      <c r="K44" s="256" t="inlineStr">
        <is>
          <t>ППК26007 21.01.26 CNP DAB; also 220-5-К/26</t>
        </is>
      </c>
      <c r="L44" s="256" t="inlineStr">
        <is>
          <t>ППК26007 21.01.26 CNP DAB</t>
        </is>
      </c>
      <c r="M44" s="256" t="inlineStr">
        <is>
          <t>iCoA-PP_26-042 03.06.26 PP*</t>
        </is>
      </c>
      <c r="N44" s="256" t="inlineStr">
        <is>
          <t>ППК26007 21.01.26 CNP DAB</t>
        </is>
      </c>
      <c r="O44" s="256" t="inlineStr">
        <is>
          <t>10/0013/26 20.01.26 IJZ-MB</t>
        </is>
      </c>
      <c r="P44" s="257" t="inlineStr">
        <is>
          <t>86/2026 02.02.26 IJZ; also 220-5-М/26; n/t 10.1,10.3</t>
        </is>
      </c>
      <c r="Q44" s="256" t="inlineStr">
        <is>
          <t>86/2026 02.02.26 IJZ</t>
        </is>
      </c>
      <c r="R44" s="256" t="inlineStr">
        <is>
          <t>86/2026 02.02.26 IJZ</t>
        </is>
      </c>
    </row>
    <row r="45">
      <c r="A45" s="256" t="inlineStr">
        <is>
          <t>CoQ-PP_26-044</t>
        </is>
      </c>
      <c r="B45" s="256" t="inlineStr">
        <is>
          <t>P060082 (SJ092501)</t>
        </is>
      </c>
      <c r="C45" s="256" t="inlineStr">
        <is>
          <t>release</t>
        </is>
      </c>
      <c r="D45" s="256" t="inlineStr">
        <is>
          <t>06.06.26</t>
        </is>
      </c>
      <c r="E45" s="256" t="inlineStr">
        <is>
          <t>02.02.26</t>
        </is>
      </c>
      <c r="F45" s="256" t="inlineStr">
        <is>
          <t>ППК26006 08.01.26; 9/0012/26 12.01.25; 85/2026 08.01.26</t>
        </is>
      </c>
      <c r="G45" s="256" t="inlineStr">
        <is>
          <t>iCoA-PP_26-043 03.06.26 PP*</t>
        </is>
      </c>
      <c r="H45" s="256" t="inlineStr">
        <is>
          <t>iCoA-PP_26-043 03.06.26 PP*</t>
        </is>
      </c>
      <c r="I45" s="256" t="inlineStr">
        <is>
          <t>ППК26006 21.01.26 CNP DAB</t>
        </is>
      </c>
      <c r="J45" s="256" t="inlineStr">
        <is>
          <t>ППК26006 21.01.26 CNP DAB; also 220-27-К/26</t>
        </is>
      </c>
      <c r="K45" s="256" t="inlineStr">
        <is>
          <t>ППК26006 21.01.26 CNP DAB; also 220-27-К/26</t>
        </is>
      </c>
      <c r="L45" s="256" t="inlineStr">
        <is>
          <t>ППК26006 21.01.26 CNP DAB</t>
        </is>
      </c>
      <c r="M45" s="256" t="inlineStr">
        <is>
          <t>iCoA-PP_26-043 03.06.26 PP*</t>
        </is>
      </c>
      <c r="N45" s="256" t="inlineStr">
        <is>
          <t>ППК26006 21.01.26 CNP DAB</t>
        </is>
      </c>
      <c r="O45" s="256" t="inlineStr">
        <is>
          <t>9/0012/26 20.01.26 IJZ-MB</t>
        </is>
      </c>
      <c r="P45" s="257" t="inlineStr">
        <is>
          <t>85/2026 02.02.26 IJZ; also 220-27-М/26; n/t 10.1,10.3</t>
        </is>
      </c>
      <c r="Q45" s="256" t="inlineStr">
        <is>
          <t>85/2026 02.02.26 IJZ</t>
        </is>
      </c>
      <c r="R45" s="256" t="inlineStr">
        <is>
          <t>85/2026 02.02.26 IJZ</t>
        </is>
      </c>
    </row>
    <row r="46">
      <c r="A46" s="256" t="inlineStr">
        <is>
          <t>CoQ-PP_26-045</t>
        </is>
      </c>
      <c r="B46" s="256" t="inlineStr">
        <is>
          <t>P060092 (GP092501)</t>
        </is>
      </c>
      <c r="C46" s="256" t="inlineStr">
        <is>
          <t>release</t>
        </is>
      </c>
      <c r="D46" s="256" t="inlineStr">
        <is>
          <t>06.06.26</t>
        </is>
      </c>
      <c r="E46" s="256" t="inlineStr">
        <is>
          <t>03.02.26</t>
        </is>
      </c>
      <c r="F46" s="256" t="inlineStr">
        <is>
          <t>ППК26009 08.01.26; 5/0008/26 —; 88/2026 08.01.26</t>
        </is>
      </c>
      <c r="G46" s="256" t="inlineStr">
        <is>
          <t>iCoA-PP_26-044 03.06.26 PP*</t>
        </is>
      </c>
      <c r="H46" s="256" t="inlineStr">
        <is>
          <t>iCoA-PP_26-044 03.06.26 PP*</t>
        </is>
      </c>
      <c r="I46" s="256" t="inlineStr">
        <is>
          <t>ППК26009 21.01.26 CNP DAB</t>
        </is>
      </c>
      <c r="J46" s="256" t="inlineStr">
        <is>
          <t>ППК26009 21.01.26 CNP DAB; also 220-13-К/26</t>
        </is>
      </c>
      <c r="K46" s="256" t="inlineStr">
        <is>
          <t>ППК26009 21.01.26 CNP DAB; also 220-13-К/26</t>
        </is>
      </c>
      <c r="L46" s="256" t="inlineStr">
        <is>
          <t>ППК26009 21.01.26 CNP DAB</t>
        </is>
      </c>
      <c r="M46" s="256" t="inlineStr">
        <is>
          <t>iCoA-PP_26-044 03.06.26 PP*</t>
        </is>
      </c>
      <c r="N46" s="256" t="inlineStr">
        <is>
          <t>ППК26009 21.01.26 CNP DAB</t>
        </is>
      </c>
      <c r="O46" s="256" t="inlineStr">
        <is>
          <t>5/0008/26 20.01.26 IJZ-MB</t>
        </is>
      </c>
      <c r="P46" s="257" t="inlineStr">
        <is>
          <t>88/2026 03.02.26 IJZ; also 220-13-М/26; n/t 10.1,10.3</t>
        </is>
      </c>
      <c r="Q46" s="256" t="inlineStr">
        <is>
          <t>88/2026 03.02.26 IJZ</t>
        </is>
      </c>
      <c r="R46" s="256" t="inlineStr">
        <is>
          <t>88/2026 03.02.26 IJZ</t>
        </is>
      </c>
    </row>
    <row r="47">
      <c r="A47" s="256" t="inlineStr">
        <is>
          <t>CoQ-PP_26-046</t>
        </is>
      </c>
      <c r="B47" s="256" t="inlineStr">
        <is>
          <t>P060102 (WED102501)</t>
        </is>
      </c>
      <c r="C47" s="256" t="inlineStr">
        <is>
          <t>release (predicted)</t>
        </is>
      </c>
      <c r="D47" s="256" t="inlineStr">
        <is>
          <t>06.06.26</t>
        </is>
      </c>
      <c r="E47" s="256" t="inlineStr">
        <is>
          <t>16.02.26</t>
        </is>
      </c>
      <c r="F47" s="256" t="inlineStr">
        <is>
          <t>031-3-ГС/26 —</t>
        </is>
      </c>
      <c r="G47" s="256" t="inlineStr">
        <is>
          <t>iCoA-PP_26-045 03.06.26 PP*</t>
        </is>
      </c>
      <c r="H47" s="256" t="inlineStr">
        <is>
          <t>iCoA-PP_26-045 03.06.26 PP*</t>
        </is>
      </c>
      <c r="I47" s="256" t="inlineStr">
        <is>
          <t>to be performed</t>
        </is>
      </c>
      <c r="J47" s="257" t="inlineStr">
        <is>
          <t>n/t</t>
        </is>
      </c>
      <c r="K47" s="257" t="inlineStr">
        <is>
          <t>n/t</t>
        </is>
      </c>
      <c r="L47" s="257" t="inlineStr">
        <is>
          <t>n/t</t>
        </is>
      </c>
      <c r="M47" s="256" t="inlineStr">
        <is>
          <t>iCoA-PP_26-045 03.06.26 PP*</t>
        </is>
      </c>
      <c r="N47" s="256" t="inlineStr">
        <is>
          <t>031-3-ГС/26 12.02.26 FHM</t>
        </is>
      </c>
      <c r="O47" s="257" t="inlineStr">
        <is>
          <t>n/t</t>
        </is>
      </c>
      <c r="P47" s="257" t="inlineStr">
        <is>
          <t>n/t</t>
        </is>
      </c>
      <c r="Q47" s="257" t="inlineStr">
        <is>
          <t>n/t</t>
        </is>
      </c>
      <c r="R47" s="257" t="inlineStr">
        <is>
          <t>n/t</t>
        </is>
      </c>
    </row>
    <row r="48">
      <c r="A48" s="256" t="inlineStr">
        <is>
          <t>CoQ-PP_26-047</t>
        </is>
      </c>
      <c r="B48" s="256" t="inlineStr">
        <is>
          <t>P060112 (PUM102501)</t>
        </is>
      </c>
      <c r="C48" s="256" t="inlineStr">
        <is>
          <t>release</t>
        </is>
      </c>
      <c r="D48" s="256" t="inlineStr">
        <is>
          <t>06.06.26</t>
        </is>
      </c>
      <c r="E48" s="256" t="inlineStr">
        <is>
          <t>17.02.26</t>
        </is>
      </c>
      <c r="F48" s="256" t="inlineStr">
        <is>
          <t>031-2-К/26 —; 031-2-ГС/26 —; 74/0117/26 —; 327/2026 —</t>
        </is>
      </c>
      <c r="G48" s="256" t="inlineStr">
        <is>
          <t>iCoA-PP_26-046 03.06.26 PP*</t>
        </is>
      </c>
      <c r="H48" s="256" t="inlineStr">
        <is>
          <t>iCoA-PP_26-046 03.06.26 PP*</t>
        </is>
      </c>
      <c r="I48" s="256" t="inlineStr">
        <is>
          <t>031-2-К/26 10.02.26 FHM-K</t>
        </is>
      </c>
      <c r="J48" s="257" t="inlineStr">
        <is>
          <t>n/t</t>
        </is>
      </c>
      <c r="K48" s="256" t="inlineStr">
        <is>
          <t>031-2-К/26 10.02.26 FHM-K</t>
        </is>
      </c>
      <c r="L48" s="256" t="inlineStr">
        <is>
          <t>031-2-К/26 10.02.26 FHM-K</t>
        </is>
      </c>
      <c r="M48" s="256" t="inlineStr">
        <is>
          <t>iCoA-PP_26-046 03.06.26 PP*</t>
        </is>
      </c>
      <c r="N48" s="256" t="inlineStr">
        <is>
          <t>031-2-ГС/26 11.02.26 FHM</t>
        </is>
      </c>
      <c r="O48" s="256" t="inlineStr">
        <is>
          <t>74/0117/26 09.02.26 IJZ</t>
        </is>
      </c>
      <c r="P48" s="257" t="inlineStr">
        <is>
          <t>327/2026 11.02.26 IJZ; also 220-25-М/26; n/t 10.1,10.3</t>
        </is>
      </c>
      <c r="Q48" s="256" t="inlineStr">
        <is>
          <t>327/2026 11.02.26 IJZ</t>
        </is>
      </c>
      <c r="R48" s="256" t="inlineStr">
        <is>
          <t>327/2026 11.02.26 IJZ</t>
        </is>
      </c>
    </row>
    <row r="49">
      <c r="A49" s="256" t="inlineStr">
        <is>
          <t>CoQ-PP_26-048</t>
        </is>
      </c>
      <c r="B49" s="256" t="inlineStr">
        <is>
          <t>P060122 (ACC102501)</t>
        </is>
      </c>
      <c r="C49" s="256" t="inlineStr">
        <is>
          <t>release</t>
        </is>
      </c>
      <c r="D49" s="256" t="inlineStr">
        <is>
          <t>06.06.26</t>
        </is>
      </c>
      <c r="E49" s="256" t="inlineStr">
        <is>
          <t>18.02.26</t>
        </is>
      </c>
      <c r="F49" s="256" t="inlineStr">
        <is>
          <t>031-5-К/26 —; 031-5-ГС/26 —; 77/0120/26 —; 326/2026 —</t>
        </is>
      </c>
      <c r="G49" s="256" t="inlineStr">
        <is>
          <t>iCoA-PP_26-047 03.06.26 PP*</t>
        </is>
      </c>
      <c r="H49" s="256" t="inlineStr">
        <is>
          <t>iCoA-PP_26-047 03.06.26 PP*</t>
        </is>
      </c>
      <c r="I49" s="256" t="inlineStr">
        <is>
          <t>031-5-К/26 10.02.26 FHM-K</t>
        </is>
      </c>
      <c r="J49" s="256" t="inlineStr">
        <is>
          <t>031-5-К/26 10.02.26 FHM-K; also 220-1-К/26</t>
        </is>
      </c>
      <c r="K49" s="256" t="inlineStr">
        <is>
          <t>031-5-К/26 10.02.26 FHM-K; also 220-1-К/26</t>
        </is>
      </c>
      <c r="L49" s="256" t="inlineStr">
        <is>
          <t>031-5-К/26 10.02.26 FHM-K; also 220-1-К/26</t>
        </is>
      </c>
      <c r="M49" s="256" t="inlineStr">
        <is>
          <t>iCoA-PP_26-047 03.06.26 PP*</t>
        </is>
      </c>
      <c r="N49" s="256" t="inlineStr">
        <is>
          <t>031-5-ГС/26 12.02.26 FHM</t>
        </is>
      </c>
      <c r="O49" s="256" t="inlineStr">
        <is>
          <t>77/0120/26 09.02.26 IJZ</t>
        </is>
      </c>
      <c r="P49" s="257" t="inlineStr">
        <is>
          <t>326/2026 11.02.26 IJZ; also 220-1-М/26; n/t 10.1,10.3</t>
        </is>
      </c>
      <c r="Q49" s="256" t="inlineStr">
        <is>
          <t>326/2026 11.02.26 IJZ</t>
        </is>
      </c>
      <c r="R49" s="256" t="inlineStr">
        <is>
          <t>326/2026 11.02.26 IJZ</t>
        </is>
      </c>
    </row>
    <row r="50">
      <c r="A50" s="256" t="inlineStr">
        <is>
          <t>CoQ-PP_26-049</t>
        </is>
      </c>
      <c r="B50" s="256" t="inlineStr">
        <is>
          <t>P060132 (CF102501)</t>
        </is>
      </c>
      <c r="C50" s="256" t="inlineStr">
        <is>
          <t>release</t>
        </is>
      </c>
      <c r="D50" s="256" t="inlineStr">
        <is>
          <t>06.06.26</t>
        </is>
      </c>
      <c r="E50" s="256" t="inlineStr">
        <is>
          <t>19.02.26</t>
        </is>
      </c>
      <c r="F50" s="256" t="inlineStr">
        <is>
          <t>031-4-К/26 —; 031-4-ГС/26 —; 73/0116/26 —; 330/2026 —</t>
        </is>
      </c>
      <c r="G50" s="256" t="inlineStr">
        <is>
          <t>iCoA-PP_26-048 03.06.26 PP*</t>
        </is>
      </c>
      <c r="H50" s="256" t="inlineStr">
        <is>
          <t>iCoA-PP_26-048 03.06.26 PP*</t>
        </is>
      </c>
      <c r="I50" s="256" t="inlineStr">
        <is>
          <t>031-4-К/26 10.02.26 FHM-K</t>
        </is>
      </c>
      <c r="J50" s="256" t="inlineStr">
        <is>
          <t>031-4-К/26 10.02.26 FHM-K; also 220-6-К/26</t>
        </is>
      </c>
      <c r="K50" s="256" t="inlineStr">
        <is>
          <t>031-4-К/26 10.02.26 FHM-K; also 220-6-К/26</t>
        </is>
      </c>
      <c r="L50" s="256" t="inlineStr">
        <is>
          <t>031-4-К/26 10.02.26 FHM-K; also 220-6-К/26</t>
        </is>
      </c>
      <c r="M50" s="256" t="inlineStr">
        <is>
          <t>iCoA-PP_26-048 03.06.26 PP*</t>
        </is>
      </c>
      <c r="N50" s="256" t="inlineStr">
        <is>
          <t>031-4-ГС/26 12.02.26 FHM</t>
        </is>
      </c>
      <c r="O50" s="256" t="inlineStr">
        <is>
          <t>73/0116/26 09.02.26 IJZ; 73/0116/26 09.02.26 IJZ OOS</t>
        </is>
      </c>
      <c r="P50" s="257" t="inlineStr">
        <is>
          <t>330/2026 11.02.26 IJZ; also 220-6-М/26; n/t 10.1,10.3</t>
        </is>
      </c>
      <c r="Q50" s="256" t="inlineStr">
        <is>
          <t>330/2026 11.02.26 IJZ</t>
        </is>
      </c>
      <c r="R50" s="256" t="inlineStr">
        <is>
          <t>330/2026 11.02.26 IJZ</t>
        </is>
      </c>
    </row>
    <row r="51">
      <c r="A51" s="256" t="inlineStr">
        <is>
          <t>CoQ-PP_26-050</t>
        </is>
      </c>
      <c r="B51" s="256" t="inlineStr">
        <is>
          <t>P060142 (GRC102501/1)</t>
        </is>
      </c>
      <c r="C51" s="256" t="inlineStr">
        <is>
          <t>release (predicted)</t>
        </is>
      </c>
      <c r="D51" s="256" t="inlineStr">
        <is>
          <t>06.06.26</t>
        </is>
      </c>
      <c r="E51" s="256" t="inlineStr">
        <is>
          <t>23.02.26</t>
        </is>
      </c>
      <c r="F51" s="256" t="inlineStr">
        <is>
          <t>—</t>
        </is>
      </c>
      <c r="G51" s="256" t="inlineStr">
        <is>
          <t>iCoA-PP_26-049 03.06.26 PP*</t>
        </is>
      </c>
      <c r="H51" s="256" t="inlineStr">
        <is>
          <t>iCoA-PP_26-049 03.06.26 PP*</t>
        </is>
      </c>
      <c r="I51" s="256" t="inlineStr">
        <is>
          <t>to be performed</t>
        </is>
      </c>
      <c r="J51" s="257" t="inlineStr">
        <is>
          <t>n/t</t>
        </is>
      </c>
      <c r="K51" s="257" t="inlineStr">
        <is>
          <t>n/t</t>
        </is>
      </c>
      <c r="L51" s="257" t="inlineStr">
        <is>
          <t>n/t</t>
        </is>
      </c>
      <c r="M51" s="256" t="inlineStr">
        <is>
          <t>iCoA-PP_26-049 03.06.26 PP*</t>
        </is>
      </c>
      <c r="N51" s="257" t="inlineStr">
        <is>
          <t>n/t</t>
        </is>
      </c>
      <c r="O51" s="257" t="inlineStr">
        <is>
          <t>n/t</t>
        </is>
      </c>
      <c r="P51" s="257" t="inlineStr">
        <is>
          <t>n/t</t>
        </is>
      </c>
      <c r="Q51" s="257" t="inlineStr">
        <is>
          <t>n/t</t>
        </is>
      </c>
      <c r="R51" s="257" t="inlineStr">
        <is>
          <t>n/t</t>
        </is>
      </c>
    </row>
    <row r="52">
      <c r="A52" s="256" t="inlineStr">
        <is>
          <t>CoQ-PP_26-051</t>
        </is>
      </c>
      <c r="B52" s="256" t="inlineStr">
        <is>
          <t>P060152 (J31102501)</t>
        </is>
      </c>
      <c r="C52" s="256" t="inlineStr">
        <is>
          <t>release</t>
        </is>
      </c>
      <c r="D52" s="256" t="inlineStr">
        <is>
          <t>06.06.26</t>
        </is>
      </c>
      <c r="E52" s="256" t="inlineStr">
        <is>
          <t>05.03.26</t>
        </is>
      </c>
      <c r="F52" s="256" t="inlineStr">
        <is>
          <t>051-1-К/26 23.02.26; 051-1-ГС/26 —; 133/0230/26 —; 1056/2026 —</t>
        </is>
      </c>
      <c r="G52" s="256" t="inlineStr">
        <is>
          <t>iCoA-PP_26-053 03.06.26 PP*</t>
        </is>
      </c>
      <c r="H52" s="256" t="inlineStr">
        <is>
          <t>iCoA-PP_26-053 03.06.26 PP*</t>
        </is>
      </c>
      <c r="I52" s="256" t="inlineStr">
        <is>
          <t>051-1-К/26 04.03.26 FHM-K</t>
        </is>
      </c>
      <c r="J52" s="256" t="inlineStr">
        <is>
          <t>051-1-К/26 04.03.26 FHM-K; also 197-16-К/26</t>
        </is>
      </c>
      <c r="K52" s="256" t="inlineStr">
        <is>
          <t>051-1-К/26 04.03.26 FHM-K; also 197-16-К/26</t>
        </is>
      </c>
      <c r="L52" s="256" t="inlineStr">
        <is>
          <t>051-1-К/26 04.03.26 FHM-K; also 197-16-К/26</t>
        </is>
      </c>
      <c r="M52" s="256" t="inlineStr">
        <is>
          <t>iCoA-PP_26-053 03.06.26 PP*</t>
        </is>
      </c>
      <c r="N52" s="256" t="inlineStr">
        <is>
          <t>051-1-ГС/26 02.03.26 FHM-K</t>
        </is>
      </c>
      <c r="O52" s="256" t="inlineStr">
        <is>
          <t>133/0230/26 06.03.26 IJZ</t>
        </is>
      </c>
      <c r="P52" s="257" t="inlineStr">
        <is>
          <t>1056/2026 09.03.26 IJZ; also 197-16-М/26; n/t 10.1,10.3</t>
        </is>
      </c>
      <c r="Q52" s="256" t="inlineStr">
        <is>
          <t>1056/2026 09.03.26 IJZ</t>
        </is>
      </c>
      <c r="R52" s="256" t="inlineStr">
        <is>
          <t>1056/2026 09.03.26 IJZ</t>
        </is>
      </c>
    </row>
    <row r="53">
      <c r="A53" s="256" t="inlineStr">
        <is>
          <t>CoQ-PP_26-052</t>
        </is>
      </c>
      <c r="B53" s="256" t="inlineStr">
        <is>
          <t>SJ102501</t>
        </is>
      </c>
      <c r="C53" s="256" t="inlineStr">
        <is>
          <t>release (predicted)</t>
        </is>
      </c>
      <c r="D53" s="256" t="inlineStr">
        <is>
          <t>06.06.26</t>
        </is>
      </c>
      <c r="E53" s="256" t="inlineStr">
        <is>
          <t>09.03.26</t>
        </is>
      </c>
      <c r="F53" s="256" t="inlineStr">
        <is>
          <t>051-3-К/26 23.02.26; 051-3-ГС/26 —</t>
        </is>
      </c>
      <c r="G53" s="256" t="inlineStr">
        <is>
          <t>iCoA-PP_26-055 03.06.26 PP*</t>
        </is>
      </c>
      <c r="H53" s="256" t="inlineStr">
        <is>
          <t>iCoA-PP_26-055 03.06.26 PP*</t>
        </is>
      </c>
      <c r="I53" s="256" t="inlineStr">
        <is>
          <t>051-3-К/26 04.03.26 FHM-K</t>
        </is>
      </c>
      <c r="J53" s="256" t="inlineStr">
        <is>
          <t>051-3-К/26 04.03.26 FHM-K; also 227-6-К/26</t>
        </is>
      </c>
      <c r="K53" s="256" t="inlineStr">
        <is>
          <t>051-3-К/26 04.03.26 FHM-K; also 227-6-К/26</t>
        </is>
      </c>
      <c r="L53" s="256" t="inlineStr">
        <is>
          <t>051-3-К/26 04.03.26 FHM-K; also 227-6-К/26</t>
        </is>
      </c>
      <c r="M53" s="256" t="inlineStr">
        <is>
          <t>iCoA-PP_26-055 03.06.26 PP*</t>
        </is>
      </c>
      <c r="N53" s="256" t="inlineStr">
        <is>
          <t>051-3-ГС/26 02.03.26 FHM-K</t>
        </is>
      </c>
      <c r="O53" s="257" t="inlineStr">
        <is>
          <t>n/t</t>
        </is>
      </c>
      <c r="P53" s="257" t="inlineStr">
        <is>
          <t>n/t</t>
        </is>
      </c>
      <c r="Q53" s="257" t="inlineStr">
        <is>
          <t>n/t</t>
        </is>
      </c>
      <c r="R53" s="257" t="inlineStr">
        <is>
          <t>n/t</t>
        </is>
      </c>
    </row>
    <row r="54">
      <c r="A54" s="256" t="inlineStr">
        <is>
          <t>CoQ-PP_26-053</t>
        </is>
      </c>
      <c r="B54" s="256" t="inlineStr">
        <is>
          <t>P060172 (KC102501)</t>
        </is>
      </c>
      <c r="C54" s="256" t="inlineStr">
        <is>
          <t>release</t>
        </is>
      </c>
      <c r="D54" s="256" t="inlineStr">
        <is>
          <t>06.06.26</t>
        </is>
      </c>
      <c r="E54" s="256" t="inlineStr">
        <is>
          <t>12.03.26</t>
        </is>
      </c>
      <c r="F54" s="256" t="inlineStr">
        <is>
          <t>051-4-К/26 23.02.26; 051-4-ГС/26 —; 129/0226/26 —; 1058/2026 —</t>
        </is>
      </c>
      <c r="G54" s="256" t="inlineStr">
        <is>
          <t>iCoA-PP_26-056 03.06.26 PP*</t>
        </is>
      </c>
      <c r="H54" s="256" t="inlineStr">
        <is>
          <t>iCoA-PP_26-056 03.06.26 PP*</t>
        </is>
      </c>
      <c r="I54" s="256" t="inlineStr">
        <is>
          <t>051-4-К/26 04.03.26 FHM-K</t>
        </is>
      </c>
      <c r="J54" s="256" t="inlineStr">
        <is>
          <t>051-4-К/26 04.03.26 FHM-K; also 220-19-К/26</t>
        </is>
      </c>
      <c r="K54" s="256" t="inlineStr">
        <is>
          <t>051-4-К/26 04.03.26 FHM-K; also 220-19-К/26</t>
        </is>
      </c>
      <c r="L54" s="256" t="inlineStr">
        <is>
          <t>051-4-К/26 04.03.26 FHM-K; also 220-19-К/26</t>
        </is>
      </c>
      <c r="M54" s="256" t="inlineStr">
        <is>
          <t>iCoA-PP_26-056 03.06.26 PP*</t>
        </is>
      </c>
      <c r="N54" s="256" t="inlineStr">
        <is>
          <t>051-4-ГС/26 02.03.26 FHM-K</t>
        </is>
      </c>
      <c r="O54" s="256" t="inlineStr">
        <is>
          <t>129/0226/26 06.03.26 IJZ</t>
        </is>
      </c>
      <c r="P54" s="257" t="inlineStr">
        <is>
          <t>1058/2026 09.03.26 IJZ; also 220-19-М/26; n/t 10.1,10.3</t>
        </is>
      </c>
      <c r="Q54" s="256" t="inlineStr">
        <is>
          <t>1058/2026 09.03.26 IJZ</t>
        </is>
      </c>
      <c r="R54" s="256" t="inlineStr">
        <is>
          <t>1058/2026 09.03.26 IJZ</t>
        </is>
      </c>
    </row>
    <row r="55">
      <c r="A55" s="256" t="inlineStr">
        <is>
          <t>CoQ-PP_26-054</t>
        </is>
      </c>
      <c r="B55" s="256" t="inlineStr">
        <is>
          <t>P060182 (GRC102501/2)</t>
        </is>
      </c>
      <c r="C55" s="256" t="inlineStr">
        <is>
          <t>release</t>
        </is>
      </c>
      <c r="D55" s="256" t="inlineStr">
        <is>
          <t>06.06.26</t>
        </is>
      </c>
      <c r="E55" s="256" t="inlineStr">
        <is>
          <t>14.03.26</t>
        </is>
      </c>
      <c r="F55" s="256" t="inlineStr">
        <is>
          <t>051-6-К/26 23.02.26; 051-6-ГС/26 —; 136/0233/26 —; 1060/2026 —</t>
        </is>
      </c>
      <c r="G55" s="256" t="inlineStr">
        <is>
          <t>iCoA-PP_26-057 03.06.26 PP*</t>
        </is>
      </c>
      <c r="H55" s="256" t="inlineStr">
        <is>
          <t>iCoA-PP_26-057 03.06.26 PP*</t>
        </is>
      </c>
      <c r="I55" s="256" t="inlineStr">
        <is>
          <t>051-6-К/26 04.03.26 FHM-K</t>
        </is>
      </c>
      <c r="J55" s="256" t="inlineStr">
        <is>
          <t>051-6-К/26 04.03.26 FHM-K; also 220-14-К/26</t>
        </is>
      </c>
      <c r="K55" s="256" t="inlineStr">
        <is>
          <t>051-6-К/26 04.03.26 FHM-K; also 220-14-К/26</t>
        </is>
      </c>
      <c r="L55" s="256" t="inlineStr">
        <is>
          <t>051-6-К/26 04.03.26 FHM-K; also 220-14-К/26</t>
        </is>
      </c>
      <c r="M55" s="256" t="inlineStr">
        <is>
          <t>iCoA-PP_26-057 03.06.26 PP*</t>
        </is>
      </c>
      <c r="N55" s="256" t="inlineStr">
        <is>
          <t>051-6-ГС/26 02.03.26 FHM-K</t>
        </is>
      </c>
      <c r="O55" s="256" t="inlineStr">
        <is>
          <t>136/0233/26 06.03.26 IJZ</t>
        </is>
      </c>
      <c r="P55" s="257" t="inlineStr">
        <is>
          <t>n/t</t>
        </is>
      </c>
      <c r="Q55" s="256" t="inlineStr">
        <is>
          <t>1060/2026 09.03.26 IJZ</t>
        </is>
      </c>
      <c r="R55" s="256" t="inlineStr">
        <is>
          <t>1060/2026 09.03.26 IJZ</t>
        </is>
      </c>
    </row>
    <row r="56">
      <c r="A56" s="256" t="inlineStr">
        <is>
          <t>CoQ-PP_26-055</t>
        </is>
      </c>
      <c r="B56" s="256" t="inlineStr">
        <is>
          <t>SJ112501</t>
        </is>
      </c>
      <c r="C56" s="256" t="inlineStr">
        <is>
          <t>release (predicted)</t>
        </is>
      </c>
      <c r="D56" s="256" t="inlineStr">
        <is>
          <t>06.06.26</t>
        </is>
      </c>
      <c r="E56" s="256" t="inlineStr">
        <is>
          <t>31.03.26</t>
        </is>
      </c>
      <c r="F56" s="256" t="inlineStr">
        <is>
          <t>051-2-К/26 23.02.26; 051-2-ГС/26 —</t>
        </is>
      </c>
      <c r="G56" s="256" t="inlineStr">
        <is>
          <t>iCoA-PP_26-058 03.06.26 PP*</t>
        </is>
      </c>
      <c r="H56" s="256" t="inlineStr">
        <is>
          <t>iCoA-PP_26-058 03.06.26 PP*</t>
        </is>
      </c>
      <c r="I56" s="256" t="inlineStr">
        <is>
          <t>051-2-К/26 04.03.26 FHM-K</t>
        </is>
      </c>
      <c r="J56" s="256" t="inlineStr">
        <is>
          <t>051-2-К/26 04.03.26 FHM-K; also 227-5-К/26</t>
        </is>
      </c>
      <c r="K56" s="256" t="inlineStr">
        <is>
          <t>051-2-К/26 04.03.26 FHM-K; also 227-5-К/26</t>
        </is>
      </c>
      <c r="L56" s="256" t="inlineStr">
        <is>
          <t>051-2-К/26 04.03.26 FHM-K; also 227-5-К/26</t>
        </is>
      </c>
      <c r="M56" s="256" t="inlineStr">
        <is>
          <t>iCoA-PP_26-058 03.06.26 PP*</t>
        </is>
      </c>
      <c r="N56" s="256" t="inlineStr">
        <is>
          <t>051-2-ГС/26 02.03.26 FHM-K</t>
        </is>
      </c>
      <c r="O56" s="257" t="inlineStr">
        <is>
          <t>n/t</t>
        </is>
      </c>
      <c r="P56" s="257" t="inlineStr">
        <is>
          <t>n/t</t>
        </is>
      </c>
      <c r="Q56" s="257" t="inlineStr">
        <is>
          <t>n/t</t>
        </is>
      </c>
      <c r="R56" s="257" t="inlineStr">
        <is>
          <t>n/t</t>
        </is>
      </c>
    </row>
    <row r="57">
      <c r="A57" s="256" t="inlineStr">
        <is>
          <t>CoQ-PP_26-056</t>
        </is>
      </c>
      <c r="B57" s="256" t="inlineStr">
        <is>
          <t>J31112501</t>
        </is>
      </c>
      <c r="C57" s="256" t="inlineStr">
        <is>
          <t>release (predicted)</t>
        </is>
      </c>
      <c r="D57" s="256" t="inlineStr">
        <is>
          <t>06.06.26</t>
        </is>
      </c>
      <c r="E57" s="256" t="inlineStr">
        <is>
          <t>17.04.26</t>
        </is>
      </c>
      <c r="F57" s="256" t="inlineStr">
        <is>
          <t>051-5-К/26 23.02.26; 051-5-ГС/26 —</t>
        </is>
      </c>
      <c r="G57" s="256" t="inlineStr">
        <is>
          <t>iCoA-PP_26-059 03.06.26 PP*</t>
        </is>
      </c>
      <c r="H57" s="256" t="inlineStr">
        <is>
          <t>iCoA-PP_26-059 03.06.26 PP*</t>
        </is>
      </c>
      <c r="I57" s="256" t="inlineStr">
        <is>
          <t>051-5-К/26 04.03.26 FHM-K</t>
        </is>
      </c>
      <c r="J57" s="256" t="inlineStr">
        <is>
          <t>051-5-К/26 04.03.26 FHM-K; also 227-14-К/26</t>
        </is>
      </c>
      <c r="K57" s="256" t="inlineStr">
        <is>
          <t>051-5-К/26 04.03.26 FHM-K; also 227-14-К/26</t>
        </is>
      </c>
      <c r="L57" s="256" t="inlineStr">
        <is>
          <t>051-5-К/26 04.03.26 FHM-K; also 227-14-К/26</t>
        </is>
      </c>
      <c r="M57" s="256" t="inlineStr">
        <is>
          <t>iCoA-PP_26-059 03.06.26 PP*</t>
        </is>
      </c>
      <c r="N57" s="256" t="inlineStr">
        <is>
          <t>051-5-ГС/26 02.03.26 FHM-K; also 100-1-GS/26</t>
        </is>
      </c>
      <c r="O57" s="257" t="inlineStr">
        <is>
          <t>n/t</t>
        </is>
      </c>
      <c r="P57" s="257" t="inlineStr">
        <is>
          <t>n/t</t>
        </is>
      </c>
      <c r="Q57" s="257" t="inlineStr">
        <is>
          <t>n/t</t>
        </is>
      </c>
      <c r="R57" s="257" t="inlineStr">
        <is>
          <t>n/t</t>
        </is>
      </c>
    </row>
    <row r="58">
      <c r="A58" s="256" t="inlineStr">
        <is>
          <t>CoQ-PP_26-057</t>
        </is>
      </c>
      <c r="B58" s="256" t="inlineStr">
        <is>
          <t>P060212 (JD112501)</t>
        </is>
      </c>
      <c r="C58" s="256" t="inlineStr">
        <is>
          <t>release</t>
        </is>
      </c>
      <c r="D58" s="256" t="inlineStr">
        <is>
          <t>06.06.26</t>
        </is>
      </c>
      <c r="E58" s="256" t="inlineStr">
        <is>
          <t>21.04.26</t>
        </is>
      </c>
      <c r="F58" s="256" t="inlineStr">
        <is>
          <t>ППК26063 21.04.26; 307/0551/26 22.04.26; 2361/2026 21.04.26</t>
        </is>
      </c>
      <c r="G58" s="256" t="inlineStr">
        <is>
          <t>iCoA-PP_26-060 03.06.26 PP*</t>
        </is>
      </c>
      <c r="H58" s="256" t="inlineStr">
        <is>
          <t>iCoA-PP_26-060 03.06.26 PP*</t>
        </is>
      </c>
      <c r="I58" s="256" t="inlineStr">
        <is>
          <t>ППК26063 11.05.26 CNP DAB</t>
        </is>
      </c>
      <c r="J58" s="256" t="inlineStr">
        <is>
          <t>ППК26063 11.05.26 CNP DAB; also 197-15-К/26</t>
        </is>
      </c>
      <c r="K58" s="256" t="inlineStr">
        <is>
          <t>ППК26063 11.05.26 CNP DAB; also 197-15-К/26</t>
        </is>
      </c>
      <c r="L58" s="256" t="inlineStr">
        <is>
          <t>ППК26063 11.05.26 CNP DAB</t>
        </is>
      </c>
      <c r="M58" s="256" t="inlineStr">
        <is>
          <t>iCoA-PP_26-060 03.06.26 PP*</t>
        </is>
      </c>
      <c r="N58" s="256" t="inlineStr">
        <is>
          <t>ППК26063 11.05.26 CNP DAB</t>
        </is>
      </c>
      <c r="O58" s="256" t="inlineStr">
        <is>
          <t>307/0551/26 28.04.26 IJZ-MB</t>
        </is>
      </c>
      <c r="P58" s="257" t="inlineStr">
        <is>
          <t>2361/2026 30.04.26 IJZ; also 197-15-М/26; n/t 10.1,10.3</t>
        </is>
      </c>
      <c r="Q58" s="256" t="inlineStr">
        <is>
          <t>2361/2026 30.04.26 IJZ</t>
        </is>
      </c>
      <c r="R58" s="256" t="inlineStr">
        <is>
          <t>2361/2026 30.04.26 IJZ</t>
        </is>
      </c>
    </row>
    <row r="59">
      <c r="A59" s="256" t="inlineStr">
        <is>
          <t>CoQ-PP_26-058</t>
        </is>
      </c>
      <c r="B59" s="256" t="inlineStr">
        <is>
          <t>OPM112501</t>
        </is>
      </c>
      <c r="C59" s="256" t="inlineStr">
        <is>
          <t>release (predicted)</t>
        </is>
      </c>
      <c r="D59" s="256" t="inlineStr">
        <is>
          <t>06.06.26</t>
        </is>
      </c>
      <c r="E59" s="256" t="inlineStr">
        <is>
          <t>24.04.26</t>
        </is>
      </c>
      <c r="F59" s="256" t="inlineStr">
        <is>
          <t>ППК26031 23.02.26</t>
        </is>
      </c>
      <c r="G59" s="256" t="inlineStr">
        <is>
          <t>iCoA-PP_26-061 03.06.26 PP*</t>
        </is>
      </c>
      <c r="H59" s="256" t="inlineStr">
        <is>
          <t>iCoA-PP_26-061 03.06.26 PP*</t>
        </is>
      </c>
      <c r="I59" s="256" t="inlineStr">
        <is>
          <t>ППК26031 05.03.26 CNP DAB</t>
        </is>
      </c>
      <c r="J59" s="256" t="inlineStr">
        <is>
          <t>ППК26031 05.03.26 CNP DAB; also 227-10-К/26</t>
        </is>
      </c>
      <c r="K59" s="256" t="inlineStr">
        <is>
          <t>ППК26031 05.03.26 CNP DAB; also 227-10-К/26</t>
        </is>
      </c>
      <c r="L59" s="257" t="inlineStr">
        <is>
          <t>n/t</t>
        </is>
      </c>
      <c r="M59" s="256" t="inlineStr">
        <is>
          <t>iCoA-PP_26-061 03.06.26 PP*</t>
        </is>
      </c>
      <c r="N59" s="256" t="inlineStr">
        <is>
          <t>ППК26031 05.03.26 CNP DAB</t>
        </is>
      </c>
      <c r="O59" s="257" t="inlineStr">
        <is>
          <t>n/t</t>
        </is>
      </c>
      <c r="P59" s="257" t="inlineStr">
        <is>
          <t>n/t</t>
        </is>
      </c>
      <c r="Q59" s="257" t="inlineStr">
        <is>
          <t>n/t</t>
        </is>
      </c>
      <c r="R59" s="257" t="inlineStr">
        <is>
          <t>n/t</t>
        </is>
      </c>
    </row>
    <row r="60">
      <c r="A60" s="256" t="inlineStr">
        <is>
          <t>CoQ-PP_26-059</t>
        </is>
      </c>
      <c r="B60" s="256" t="inlineStr">
        <is>
          <t>P060232 (PM112501)</t>
        </is>
      </c>
      <c r="C60" s="256" t="inlineStr">
        <is>
          <t>release</t>
        </is>
      </c>
      <c r="D60" s="256" t="inlineStr">
        <is>
          <t>06.06.26</t>
        </is>
      </c>
      <c r="E60" s="256" t="inlineStr">
        <is>
          <t>27.04.26</t>
        </is>
      </c>
      <c r="F60" s="256" t="inlineStr">
        <is>
          <t>ППК26030 23.02.26; 135/0232/26 —; 1059/2026 —</t>
        </is>
      </c>
      <c r="G60" s="256" t="inlineStr">
        <is>
          <t>iCoA-PP_26-062 03.06.26 PP*</t>
        </is>
      </c>
      <c r="H60" s="256" t="inlineStr">
        <is>
          <t>iCoA-PP_26-062 03.06.26 PP*</t>
        </is>
      </c>
      <c r="I60" s="256" t="inlineStr">
        <is>
          <t>ППК26030 05.03.26 CNP DAB</t>
        </is>
      </c>
      <c r="J60" s="256" t="inlineStr">
        <is>
          <t>ППК26030 05.03.26 CNP DAB; also 220-24-К/26</t>
        </is>
      </c>
      <c r="K60" s="256" t="inlineStr">
        <is>
          <t>ППК26030 05.03.26 CNP DAB; also 220-24-К/26</t>
        </is>
      </c>
      <c r="L60" s="256" t="inlineStr">
        <is>
          <t>ППК26030 05.03.26 CNP DAB</t>
        </is>
      </c>
      <c r="M60" s="256" t="inlineStr">
        <is>
          <t>iCoA-PP_26-062 03.06.26 PP*</t>
        </is>
      </c>
      <c r="N60" s="256" t="inlineStr">
        <is>
          <t>ППК26030 05.03.26 CNP DAB</t>
        </is>
      </c>
      <c r="O60" s="256" t="inlineStr">
        <is>
          <t>135/0232/26 06.03.26 IJZ</t>
        </is>
      </c>
      <c r="P60" s="257" t="inlineStr">
        <is>
          <t>1059/2026 09.03.26 IJZ; also 220-24-М/26; n/t 10.1,10.3</t>
        </is>
      </c>
      <c r="Q60" s="256" t="inlineStr">
        <is>
          <t>1059/2026 09.03.26 IJZ</t>
        </is>
      </c>
      <c r="R60" s="256" t="inlineStr">
        <is>
          <t>1059/2026 09.03.26 IJZ</t>
        </is>
      </c>
    </row>
    <row r="61">
      <c r="A61" s="256" t="inlineStr">
        <is>
          <t>CoQ-PP_26-060</t>
        </is>
      </c>
      <c r="B61" s="256" t="inlineStr">
        <is>
          <t>P060242 (OPM122501)</t>
        </is>
      </c>
      <c r="C61" s="256" t="inlineStr">
        <is>
          <t>release</t>
        </is>
      </c>
      <c r="D61" s="256" t="inlineStr">
        <is>
          <t>06.06.26</t>
        </is>
      </c>
      <c r="E61" s="256" t="inlineStr">
        <is>
          <t>28.04.26</t>
        </is>
      </c>
      <c r="F61" s="256" t="inlineStr">
        <is>
          <t>100-4-К/26 26.03.26; 100-4-ГС/26 —; 229/0392/26 01.04.26; 1627/2026 27.03.26</t>
        </is>
      </c>
      <c r="G61" s="256" t="inlineStr">
        <is>
          <t>iCoA-PP_26-063 03.06.26 PP*</t>
        </is>
      </c>
      <c r="H61" s="256" t="inlineStr">
        <is>
          <t>iCoA-PP_26-063 03.06.26 PP*</t>
        </is>
      </c>
      <c r="I61" s="256" t="inlineStr">
        <is>
          <t>100-4-К/26 09.04.26 FHM-K</t>
        </is>
      </c>
      <c r="J61" s="256" t="inlineStr">
        <is>
          <t>100-4-К/26 09.04.26 FHM-K; also 197-19-К/26</t>
        </is>
      </c>
      <c r="K61" s="256" t="inlineStr">
        <is>
          <t>100-4-К/26 09.04.26 FHM-K; also 197-19-К/26</t>
        </is>
      </c>
      <c r="L61" s="256" t="inlineStr">
        <is>
          <t>100-4-К/26 09.04.26 FHM-K; also 197-19-К/26</t>
        </is>
      </c>
      <c r="M61" s="256" t="inlineStr">
        <is>
          <t>iCoA-PP_26-063 03.06.26 PP*</t>
        </is>
      </c>
      <c r="N61" s="256" t="inlineStr">
        <is>
          <t>100-4-ГС/26 09.04.26 FHM-K</t>
        </is>
      </c>
      <c r="O61" s="256" t="inlineStr">
        <is>
          <t>229/0392/26 07.04.26 IJZ-MB</t>
        </is>
      </c>
      <c r="P61" s="257" t="inlineStr">
        <is>
          <t>1627/2026 23.04.26 IJZ; also 197-19-М/26; n/t 10.1,10.3</t>
        </is>
      </c>
      <c r="Q61" s="256" t="inlineStr">
        <is>
          <t>1627/2026 23.04.26 IJZ</t>
        </is>
      </c>
      <c r="R61" s="256" t="inlineStr">
        <is>
          <t>1627/2026 23.04.26 IJZ</t>
        </is>
      </c>
    </row>
    <row r="62">
      <c r="A62" s="256" t="inlineStr">
        <is>
          <t>CoQ-PP_26-061</t>
        </is>
      </c>
      <c r="B62" s="256" t="inlineStr">
        <is>
          <t>GG112501</t>
        </is>
      </c>
      <c r="C62" s="256" t="inlineStr">
        <is>
          <t>release (predicted)</t>
        </is>
      </c>
      <c r="D62" s="256" t="inlineStr">
        <is>
          <t>06.06.26</t>
        </is>
      </c>
      <c r="E62" s="256" t="inlineStr">
        <is>
          <t>05.05.26</t>
        </is>
      </c>
      <c r="F62" s="256" t="inlineStr">
        <is>
          <t>ППК26061 21.04.26; 304/0548/26 22.04.26; 2358/2026 21.04.26</t>
        </is>
      </c>
      <c r="G62" s="256" t="inlineStr">
        <is>
          <t>iCoA-PP_26-064 03.06.26 PP*</t>
        </is>
      </c>
      <c r="H62" s="256" t="inlineStr">
        <is>
          <t>iCoA-PP_26-064 03.06.26 PP*</t>
        </is>
      </c>
      <c r="I62" s="256" t="inlineStr">
        <is>
          <t>ППК26061 11.05.26 CNP DAB</t>
        </is>
      </c>
      <c r="J62" s="256" t="inlineStr">
        <is>
          <t>ППК26061 11.05.26 CNP DAB; also 227-20-К/26</t>
        </is>
      </c>
      <c r="K62" s="256" t="inlineStr">
        <is>
          <t>ППК26061 11.05.26 CNP DAB; also 227-20-К/26</t>
        </is>
      </c>
      <c r="L62" s="257" t="inlineStr">
        <is>
          <t>n/t</t>
        </is>
      </c>
      <c r="M62" s="256" t="inlineStr">
        <is>
          <t>iCoA-PP_26-064 03.06.26 PP*</t>
        </is>
      </c>
      <c r="N62" s="256" t="inlineStr">
        <is>
          <t>ППК26061 11.05.26 CNP DAB</t>
        </is>
      </c>
      <c r="O62" s="256" t="inlineStr">
        <is>
          <t>304/0548/26 28.04.26 IJZ-MB</t>
        </is>
      </c>
      <c r="P62" s="257" t="inlineStr">
        <is>
          <t>2358/2026 29.04.26 IJZ; n/t 10.1,10.3</t>
        </is>
      </c>
      <c r="Q62" s="256" t="inlineStr">
        <is>
          <t>2358/2026 29.04.26 IJZ</t>
        </is>
      </c>
      <c r="R62" s="256" t="inlineStr">
        <is>
          <t>2358/2026 29.04.26 IJZ</t>
        </is>
      </c>
    </row>
    <row r="63">
      <c r="A63" s="256" t="inlineStr">
        <is>
          <t>CoQ-PP_26-062</t>
        </is>
      </c>
      <c r="B63" s="256" t="inlineStr">
        <is>
          <t>J31122501</t>
        </is>
      </c>
      <c r="C63" s="256" t="inlineStr">
        <is>
          <t>release (predicted)</t>
        </is>
      </c>
      <c r="D63" s="256" t="inlineStr">
        <is>
          <t>06.06.26</t>
        </is>
      </c>
      <c r="E63" s="256" t="inlineStr">
        <is>
          <t>14.05.26</t>
        </is>
      </c>
      <c r="F63" s="256" t="inlineStr">
        <is>
          <t>100-2-К/26 26.03.26; 100-2-ГС/26 —; 231/0394/26 (Racno trimiran cvet) —; 1628/2026 27.03.26</t>
        </is>
      </c>
      <c r="G63" s="256" t="inlineStr">
        <is>
          <t>iCoA-PP_26-072 03.06.26 PP*</t>
        </is>
      </c>
      <c r="H63" s="256" t="inlineStr">
        <is>
          <t>iCoA-PP_26-072 03.06.26 PP*</t>
        </is>
      </c>
      <c r="I63" s="256" t="inlineStr">
        <is>
          <t>100-2-К/26 09.04.26 FHM-K</t>
        </is>
      </c>
      <c r="J63" s="256" t="inlineStr">
        <is>
          <t>100-2-К/26 09.04.26 FHM-K; also 227-13-К/26</t>
        </is>
      </c>
      <c r="K63" s="256" t="inlineStr">
        <is>
          <t>100-2-К/26 09.04.26 FHM-K; also 227-13-К/26</t>
        </is>
      </c>
      <c r="L63" s="256" t="inlineStr">
        <is>
          <t>100-2-К/26 09.04.26 FHM-K; also 227-13-К/26</t>
        </is>
      </c>
      <c r="M63" s="256" t="inlineStr">
        <is>
          <t>iCoA-PP_26-072 03.06.26 PP*</t>
        </is>
      </c>
      <c r="N63" s="256" t="inlineStr">
        <is>
          <t>100-2-ГС/26 09.04.26 FHM-K; also 100-3-ГС/26</t>
        </is>
      </c>
      <c r="O63" s="256" t="inlineStr">
        <is>
          <t>231/0394/26 (Racno trimiran cvet) 07.04.26 IJZ-MB</t>
        </is>
      </c>
      <c r="P63" s="257" t="inlineStr">
        <is>
          <t>1628/2026 23.04.26 IJZ; also 1625/2026; n/t 10.1,10.3</t>
        </is>
      </c>
      <c r="Q63" s="256" t="inlineStr">
        <is>
          <t>1628/2026 23.04.26 IJZ</t>
        </is>
      </c>
      <c r="R63" s="256" t="inlineStr">
        <is>
          <t>1628/2026 23.04.26 IJZ; also 1625/2026</t>
        </is>
      </c>
    </row>
    <row r="64">
      <c r="A64" s="256" t="inlineStr">
        <is>
          <t>CoQ-PP_26-063</t>
        </is>
      </c>
      <c r="B64" s="256" t="inlineStr">
        <is>
          <t>CC112501</t>
        </is>
      </c>
      <c r="C64" s="256" t="inlineStr">
        <is>
          <t>release (predicted)</t>
        </is>
      </c>
      <c r="D64" s="256" t="inlineStr">
        <is>
          <t>06.06.26</t>
        </is>
      </c>
      <c r="E64" s="256" t="inlineStr">
        <is>
          <t>18.05.26</t>
        </is>
      </c>
      <c r="F64" s="256" t="inlineStr">
        <is>
          <t>ППК26068 21.04.26; 311/0555/26 22.04.26; 2359/2026 21.04.26</t>
        </is>
      </c>
      <c r="G64" s="256" t="inlineStr">
        <is>
          <t>iCoA-PP_26-073 03.06.26 PP*</t>
        </is>
      </c>
      <c r="H64" s="256" t="inlineStr">
        <is>
          <t>iCoA-PP_26-073 03.06.26 PP*</t>
        </is>
      </c>
      <c r="I64" s="256" t="inlineStr">
        <is>
          <t>ППК26068 11.05.26 CNP DAB</t>
        </is>
      </c>
      <c r="J64" s="256" t="inlineStr">
        <is>
          <t>ППК26068 11.05.26 CNP DAB; also 227-25-К/26</t>
        </is>
      </c>
      <c r="K64" s="256" t="inlineStr">
        <is>
          <t>ППК26068 11.05.26 CNP DAB; also 227-25-К/26</t>
        </is>
      </c>
      <c r="L64" s="257" t="inlineStr">
        <is>
          <t>n/t</t>
        </is>
      </c>
      <c r="M64" s="256" t="inlineStr">
        <is>
          <t>iCoA-PP_26-073 03.06.26 PP*</t>
        </is>
      </c>
      <c r="N64" s="256" t="inlineStr">
        <is>
          <t>ППК26068 11.05.26 CNP DAB</t>
        </is>
      </c>
      <c r="O64" s="256" t="inlineStr">
        <is>
          <t>311/0555/26 28.04.26 IJZ-MB</t>
        </is>
      </c>
      <c r="P64" s="257" t="inlineStr">
        <is>
          <t>2359/2026 29.04.26 IJZ; n/t 10.1,10.3</t>
        </is>
      </c>
      <c r="Q64" s="256" t="inlineStr">
        <is>
          <t>2359/2026 29.04.26 IJZ</t>
        </is>
      </c>
      <c r="R64" s="256" t="inlineStr">
        <is>
          <t>2359/2026 29.04.26 IJZ</t>
        </is>
      </c>
    </row>
    <row r="65">
      <c r="A65" s="256" t="inlineStr">
        <is>
          <t>CoQ-PP_26-064</t>
        </is>
      </c>
      <c r="B65" s="256" t="inlineStr">
        <is>
          <t>P060282 (SCR112501)</t>
        </is>
      </c>
      <c r="C65" s="256" t="inlineStr">
        <is>
          <t>release</t>
        </is>
      </c>
      <c r="D65" s="256" t="inlineStr">
        <is>
          <t>06.06.26</t>
        </is>
      </c>
      <c r="E65" s="256" t="inlineStr">
        <is>
          <t>18.05.26</t>
        </is>
      </c>
      <c r="F65" s="256" t="inlineStr">
        <is>
          <t>ППК26069 21.04.26; 305/0549/26 22.04.26; 2360/2026 21.04.26</t>
        </is>
      </c>
      <c r="G65" s="256" t="inlineStr">
        <is>
          <t>iCoA-PP_26-074 03.06.26 PP*</t>
        </is>
      </c>
      <c r="H65" s="256" t="inlineStr">
        <is>
          <t>iCoA-PP_26-074 03.06.26 PP*</t>
        </is>
      </c>
      <c r="I65" s="256" t="inlineStr">
        <is>
          <t>ППК26069 11.05.26 CNP DAB</t>
        </is>
      </c>
      <c r="J65" s="256" t="inlineStr">
        <is>
          <t>ППК26069 11.05.26 CNP DAB; also 220-26-К/26</t>
        </is>
      </c>
      <c r="K65" s="256" t="inlineStr">
        <is>
          <t>ППК26069 11.05.26 CNP DAB; also 220-26-К/26</t>
        </is>
      </c>
      <c r="L65" s="256" t="inlineStr">
        <is>
          <t>ППК26069 11.05.26 CNP DAB</t>
        </is>
      </c>
      <c r="M65" s="256" t="inlineStr">
        <is>
          <t>iCoA-PP_26-074 03.06.26 PP*</t>
        </is>
      </c>
      <c r="N65" s="256" t="inlineStr">
        <is>
          <t>ППК26069 11.05.26 CNP DAB</t>
        </is>
      </c>
      <c r="O65" s="256" t="inlineStr">
        <is>
          <t>305/0549/26 28.04.26 IJZ-MB</t>
        </is>
      </c>
      <c r="P65" s="257" t="inlineStr">
        <is>
          <t>2360/2026 29.04.26 IJZ; also 220-26-М/26; n/t 10.1,10.3</t>
        </is>
      </c>
      <c r="Q65" s="256" t="inlineStr">
        <is>
          <t>2360/2026 29.04.26 IJZ</t>
        </is>
      </c>
      <c r="R65" s="256" t="inlineStr">
        <is>
          <t>2360/2026 29.04.26 IJZ</t>
        </is>
      </c>
    </row>
    <row r="66">
      <c r="A66" s="256" t="inlineStr">
        <is>
          <t>CoQ-PP_26-065</t>
        </is>
      </c>
      <c r="B66" s="256" t="inlineStr">
        <is>
          <t>FB112501</t>
        </is>
      </c>
      <c r="C66" s="256" t="inlineStr">
        <is>
          <t>release (predicted)</t>
        </is>
      </c>
      <c r="D66" s="256" t="inlineStr">
        <is>
          <t>06.06.26</t>
        </is>
      </c>
      <c r="E66" s="256" t="inlineStr">
        <is>
          <t>19.05.26</t>
        </is>
      </c>
      <c r="F66" s="256" t="inlineStr">
        <is>
          <t>ППК26066 21.04.26; 312/0556/26 22.04.26; 2357/2026 21.04.26</t>
        </is>
      </c>
      <c r="G66" s="256" t="inlineStr">
        <is>
          <t>iCoA-PP_26-075 03.06.26 PP*</t>
        </is>
      </c>
      <c r="H66" s="256" t="inlineStr">
        <is>
          <t>iCoA-PP_26-075 03.06.26 PP*</t>
        </is>
      </c>
      <c r="I66" s="256" t="inlineStr">
        <is>
          <t>ППК26066 11.05.26 CNP DAB</t>
        </is>
      </c>
      <c r="J66" s="256" t="inlineStr">
        <is>
          <t>ППК26066 11.05.26 CNP DAB; also 227-22-К/26</t>
        </is>
      </c>
      <c r="K66" s="256" t="inlineStr">
        <is>
          <t>ППК26066 11.05.26 CNP DAB; also 227-22-К/26</t>
        </is>
      </c>
      <c r="L66" s="257" t="inlineStr">
        <is>
          <t>n/t</t>
        </is>
      </c>
      <c r="M66" s="256" t="inlineStr">
        <is>
          <t>iCoA-PP_26-075 03.06.26 PP*</t>
        </is>
      </c>
      <c r="N66" s="256" t="inlineStr">
        <is>
          <t>ППК26066 11.05.26 CNP DAB</t>
        </is>
      </c>
      <c r="O66" s="256" t="inlineStr">
        <is>
          <t>312/0556/26 28.04.26 IJZ-MB</t>
        </is>
      </c>
      <c r="P66" s="257" t="inlineStr">
        <is>
          <t>2357/2026 29.04.26 IJZ; n/t 10.1,10.3</t>
        </is>
      </c>
      <c r="Q66" s="256" t="inlineStr">
        <is>
          <t>2357/2026 29.04.26 IJZ</t>
        </is>
      </c>
      <c r="R66" s="256" t="inlineStr">
        <is>
          <t>2357/2026 29.04.26 IJZ</t>
        </is>
      </c>
    </row>
    <row r="67">
      <c r="A67" s="256" t="inlineStr">
        <is>
          <t>CoQ-PP_26-066</t>
        </is>
      </c>
      <c r="B67" s="256" t="inlineStr">
        <is>
          <t>GG012601</t>
        </is>
      </c>
      <c r="C67" s="256" t="inlineStr">
        <is>
          <t>release (predicted)</t>
        </is>
      </c>
      <c r="D67" s="256" t="inlineStr">
        <is>
          <t>06.06.26</t>
        </is>
      </c>
      <c r="E67" s="256" t="inlineStr">
        <is>
          <t>20.05.26</t>
        </is>
      </c>
      <c r="F67" s="256" t="inlineStr">
        <is>
          <t>ППК26062 21.04.26; 310/0554/26 22.04.26; 2364/2026 21.04.26</t>
        </is>
      </c>
      <c r="G67" s="256" t="inlineStr">
        <is>
          <t>iCoA-PP_26-076 03.06.26 PP*</t>
        </is>
      </c>
      <c r="H67" s="256" t="inlineStr">
        <is>
          <t>iCoA-PP_26-076 03.06.26 PP*</t>
        </is>
      </c>
      <c r="I67" s="256" t="inlineStr">
        <is>
          <t>ППК26062 11.05.26 CNP DAB</t>
        </is>
      </c>
      <c r="J67" s="256" t="inlineStr">
        <is>
          <t>ППК26062 11.05.26 CNP DAB; also 227-21-К/26</t>
        </is>
      </c>
      <c r="K67" s="256" t="inlineStr">
        <is>
          <t>ППК26062 11.05.26 CNP DAB; also 227-21-К/26</t>
        </is>
      </c>
      <c r="L67" s="257" t="inlineStr">
        <is>
          <t>n/t</t>
        </is>
      </c>
      <c r="M67" s="256" t="inlineStr">
        <is>
          <t>iCoA-PP_26-076 03.06.26 PP*</t>
        </is>
      </c>
      <c r="N67" s="256" t="inlineStr">
        <is>
          <t>ППК26062 11.05.26 CNP DAB</t>
        </is>
      </c>
      <c r="O67" s="256" t="inlineStr">
        <is>
          <t>310/0554/26 28.04.26 IJZ-MB</t>
        </is>
      </c>
      <c r="P67" s="257" t="inlineStr">
        <is>
          <t>2364/2026 30.04.26 IJZ; n/t 10.1,10.3</t>
        </is>
      </c>
      <c r="Q67" s="256" t="inlineStr">
        <is>
          <t>2364/2026 30.04.26 IJZ</t>
        </is>
      </c>
      <c r="R67" s="256" t="inlineStr">
        <is>
          <t>2364/2026 30.04.26 IJZ</t>
        </is>
      </c>
    </row>
    <row r="68">
      <c r="A68" s="256" t="inlineStr">
        <is>
          <t>CoQ-PP_26-067</t>
        </is>
      </c>
      <c r="B68" s="256" t="inlineStr">
        <is>
          <t>JD012601</t>
        </is>
      </c>
      <c r="C68" s="256" t="inlineStr">
        <is>
          <t>release (predicted)</t>
        </is>
      </c>
      <c r="D68" s="256" t="inlineStr">
        <is>
          <t>06.06.26</t>
        </is>
      </c>
      <c r="E68" s="256" t="inlineStr">
        <is>
          <t>21.05.26</t>
        </is>
      </c>
      <c r="F68" s="256" t="inlineStr">
        <is>
          <t>ППК26064 21.04.26; 309/0553/26 22.04.26; 2363/2026 21.04.26</t>
        </is>
      </c>
      <c r="G68" s="256" t="inlineStr">
        <is>
          <t>iCoA-PP_26-077 03.06.26 PP*</t>
        </is>
      </c>
      <c r="H68" s="256" t="inlineStr">
        <is>
          <t>iCoA-PP_26-077 03.06.26 PP*</t>
        </is>
      </c>
      <c r="I68" s="256" t="inlineStr">
        <is>
          <t>ППК26064 11.05.26 CNP DAB</t>
        </is>
      </c>
      <c r="J68" s="256" t="inlineStr">
        <is>
          <t>ППК26064 11.05.26 CNP DAB; also 227-15-К/26</t>
        </is>
      </c>
      <c r="K68" s="256" t="inlineStr">
        <is>
          <t>ППК26064 11.05.26 CNP DAB; also 227-15-К/26</t>
        </is>
      </c>
      <c r="L68" s="257" t="inlineStr">
        <is>
          <t>n/t</t>
        </is>
      </c>
      <c r="M68" s="256" t="inlineStr">
        <is>
          <t>iCoA-PP_26-077 03.06.26 PP*</t>
        </is>
      </c>
      <c r="N68" s="256" t="inlineStr">
        <is>
          <t>ППК26064 11.05.26 CNP DAB</t>
        </is>
      </c>
      <c r="O68" s="256" t="inlineStr">
        <is>
          <t>309/0553/26 28.04.26 IJZ-MB</t>
        </is>
      </c>
      <c r="P68" s="257" t="inlineStr">
        <is>
          <t>2363/2026 30.04.26 IJZ; n/t 10.1,10.3</t>
        </is>
      </c>
      <c r="Q68" s="256" t="inlineStr">
        <is>
          <t>2363/2026 30.04.26 IJZ</t>
        </is>
      </c>
      <c r="R68" s="256" t="inlineStr">
        <is>
          <t>2363/2026 30.04.26 IJZ</t>
        </is>
      </c>
    </row>
    <row r="69">
      <c r="A69" s="256" t="inlineStr">
        <is>
          <t>CoQ-PP_26-068</t>
        </is>
      </c>
      <c r="B69" s="256" t="inlineStr">
        <is>
          <t>P060332</t>
        </is>
      </c>
      <c r="C69" s="256" t="inlineStr">
        <is>
          <t>release (predicted)</t>
        </is>
      </c>
      <c r="D69" s="256" t="inlineStr">
        <is>
          <t>06.06.26</t>
        </is>
      </c>
      <c r="E69" s="256" t="inlineStr">
        <is>
          <t>22.05.26</t>
        </is>
      </c>
      <c r="F69" s="256" t="inlineStr">
        <is>
          <t>361/0691/26 —</t>
        </is>
      </c>
      <c r="G69" s="256" t="inlineStr">
        <is>
          <t>iCoA-PP_26-079 03.06.26 PP*</t>
        </is>
      </c>
      <c r="H69" s="256" t="inlineStr">
        <is>
          <t>iCoA-PP_26-079 03.06.26 PP*</t>
        </is>
      </c>
      <c r="I69" s="256" t="inlineStr">
        <is>
          <t>to be performed</t>
        </is>
      </c>
      <c r="J69" s="257" t="inlineStr">
        <is>
          <t>n/t</t>
        </is>
      </c>
      <c r="K69" s="257" t="inlineStr">
        <is>
          <t>n/t</t>
        </is>
      </c>
      <c r="L69" s="257" t="inlineStr">
        <is>
          <t>n/t</t>
        </is>
      </c>
      <c r="M69" s="256" t="inlineStr">
        <is>
          <t>iCoA-PP_26-079 03.06.26 PP*</t>
        </is>
      </c>
      <c r="N69" s="257" t="inlineStr">
        <is>
          <t>n/t</t>
        </is>
      </c>
      <c r="O69" s="256" t="inlineStr">
        <is>
          <t>361/0691/26 01.06.26 IJZ; 361/0691/26 01.06.26 IJZ OOS</t>
        </is>
      </c>
      <c r="P69" s="257" t="inlineStr">
        <is>
          <t>n/t</t>
        </is>
      </c>
      <c r="Q69" s="257" t="inlineStr">
        <is>
          <t>n/t</t>
        </is>
      </c>
      <c r="R69" s="257" t="inlineStr">
        <is>
          <t>n/t</t>
        </is>
      </c>
    </row>
    <row r="70">
      <c r="A70" s="256" t="inlineStr">
        <is>
          <t>CoQ-PP_26-069</t>
        </is>
      </c>
      <c r="B70" s="256" t="inlineStr">
        <is>
          <t>P060322 (FB012601/1)</t>
        </is>
      </c>
      <c r="C70" s="256" t="inlineStr">
        <is>
          <t>release</t>
        </is>
      </c>
      <c r="D70" s="256" t="inlineStr">
        <is>
          <t>06.06.26</t>
        </is>
      </c>
      <c r="E70" s="256" t="inlineStr">
        <is>
          <t>22.05.26</t>
        </is>
      </c>
      <c r="F70" s="256" t="inlineStr">
        <is>
          <t>ППК26067 21.04.26; 308/0552/26 22.04.26; 2362/2026 21.04.26</t>
        </is>
      </c>
      <c r="G70" s="256" t="inlineStr">
        <is>
          <t>iCoA-PP_26-078 03.06.26 PP*</t>
        </is>
      </c>
      <c r="H70" s="256" t="inlineStr">
        <is>
          <t>iCoA-PP_26-078 03.06.26 PP*</t>
        </is>
      </c>
      <c r="I70" s="256" t="inlineStr">
        <is>
          <t>ППК26067 11.05.26 CNP DAB</t>
        </is>
      </c>
      <c r="J70" s="256" t="inlineStr">
        <is>
          <t>ППК26067 11.05.26 CNP DAB; also 220-8-К/26</t>
        </is>
      </c>
      <c r="K70" s="256" t="inlineStr">
        <is>
          <t>ППК26067 11.05.26 CNP DAB; also 220-8-К/26</t>
        </is>
      </c>
      <c r="L70" s="256" t="inlineStr">
        <is>
          <t>ППК26067 11.05.26 CNP DAB</t>
        </is>
      </c>
      <c r="M70" s="256" t="inlineStr">
        <is>
          <t>iCoA-PP_26-078 03.06.26 PP*</t>
        </is>
      </c>
      <c r="N70" s="256" t="inlineStr">
        <is>
          <t>ППК26067 11.05.26 CNP DAB</t>
        </is>
      </c>
      <c r="O70" s="256" t="inlineStr">
        <is>
          <t>308/0552/26 28.04.26 IJZ-MB</t>
        </is>
      </c>
      <c r="P70" s="257" t="inlineStr">
        <is>
          <t>2362/2026 30.04.26 IJZ; also 220-8-М/26; n/t 10.1,10.3</t>
        </is>
      </c>
      <c r="Q70" s="256" t="inlineStr">
        <is>
          <t>2362/2026 30.04.26 IJZ</t>
        </is>
      </c>
      <c r="R70" s="256" t="inlineStr">
        <is>
          <t>2362/2026 30.04.26 IJZ</t>
        </is>
      </c>
    </row>
    <row r="71">
      <c r="A71" s="256" t="inlineStr">
        <is>
          <t>CoQ-PP_26-070</t>
        </is>
      </c>
      <c r="B71" s="256" t="inlineStr">
        <is>
          <t>P060352 (FB012602)</t>
        </is>
      </c>
      <c r="C71" s="256" t="inlineStr">
        <is>
          <t>release</t>
        </is>
      </c>
      <c r="D71" s="256" t="inlineStr">
        <is>
          <t>06.06.26</t>
        </is>
      </c>
      <c r="E71" s="256" t="inlineStr">
        <is>
          <t>23.05.26</t>
        </is>
      </c>
      <c r="F71" s="256" t="inlineStr">
        <is>
          <t>366/0696/26 —</t>
        </is>
      </c>
      <c r="G71" s="256" t="inlineStr">
        <is>
          <t>iCoA-PP_26-083 03.06.26 PP*</t>
        </is>
      </c>
      <c r="H71" s="256" t="inlineStr">
        <is>
          <t>iCoA-PP_26-083 03.06.26 PP*</t>
        </is>
      </c>
      <c r="I71" s="256" t="inlineStr">
        <is>
          <t>to be performed</t>
        </is>
      </c>
      <c r="J71" s="257" t="inlineStr">
        <is>
          <t>n/t</t>
        </is>
      </c>
      <c r="K71" s="257" t="inlineStr">
        <is>
          <t>n/t</t>
        </is>
      </c>
      <c r="L71" s="257" t="inlineStr">
        <is>
          <t>n/t</t>
        </is>
      </c>
      <c r="M71" s="256" t="inlineStr">
        <is>
          <t>iCoA-PP_26-083 03.06.26 PP*</t>
        </is>
      </c>
      <c r="N71" s="257" t="inlineStr">
        <is>
          <t>n/t</t>
        </is>
      </c>
      <c r="O71" s="256" t="inlineStr">
        <is>
          <t>366/0696/26 01.06.26 IJZ; 366/0696/26 01.06.26 IJZ OOS</t>
        </is>
      </c>
      <c r="P71" s="257" t="inlineStr">
        <is>
          <t>n/t</t>
        </is>
      </c>
      <c r="Q71" s="257" t="inlineStr">
        <is>
          <t>n/t</t>
        </is>
      </c>
      <c r="R71" s="257" t="inlineStr">
        <is>
          <t>n/t</t>
        </is>
      </c>
    </row>
    <row r="72">
      <c r="A72" s="256" t="inlineStr">
        <is>
          <t>CoQ-PP_26-071</t>
        </is>
      </c>
      <c r="B72" s="256" t="inlineStr">
        <is>
          <t>P060362 (JD012603/01)</t>
        </is>
      </c>
      <c r="C72" s="256" t="inlineStr">
        <is>
          <t>release</t>
        </is>
      </c>
      <c r="D72" s="256" t="inlineStr">
        <is>
          <t>06.06.26</t>
        </is>
      </c>
      <c r="E72" s="256" t="inlineStr">
        <is>
          <t>23.05.26</t>
        </is>
      </c>
      <c r="F72" s="256" t="inlineStr">
        <is>
          <t>365/0695/26 —</t>
        </is>
      </c>
      <c r="G72" s="256" t="inlineStr">
        <is>
          <t>iCoA-PP_26-082 03.06.26 PP*</t>
        </is>
      </c>
      <c r="H72" s="256" t="inlineStr">
        <is>
          <t>iCoA-PP_26-082 03.06.26 PP*</t>
        </is>
      </c>
      <c r="I72" s="256" t="inlineStr">
        <is>
          <t>to be performed</t>
        </is>
      </c>
      <c r="J72" s="257" t="inlineStr">
        <is>
          <t>n/t</t>
        </is>
      </c>
      <c r="K72" s="257" t="inlineStr">
        <is>
          <t>n/t</t>
        </is>
      </c>
      <c r="L72" s="257" t="inlineStr">
        <is>
          <t>n/t</t>
        </is>
      </c>
      <c r="M72" s="256" t="inlineStr">
        <is>
          <t>iCoA-PP_26-082 03.06.26 PP*</t>
        </is>
      </c>
      <c r="N72" s="257" t="inlineStr">
        <is>
          <t>n/t</t>
        </is>
      </c>
      <c r="O72" s="256" t="inlineStr">
        <is>
          <t>365/0695/26 01.06.26 IJZ</t>
        </is>
      </c>
      <c r="P72" s="257" t="inlineStr">
        <is>
          <t>n/t</t>
        </is>
      </c>
      <c r="Q72" s="257" t="inlineStr">
        <is>
          <t>n/t</t>
        </is>
      </c>
      <c r="R72" s="257" t="inlineStr">
        <is>
          <t>n/t</t>
        </is>
      </c>
    </row>
    <row r="73">
      <c r="A73" s="256" t="inlineStr">
        <is>
          <t>CoQ-PP_26-072</t>
        </is>
      </c>
      <c r="B73" s="256" t="inlineStr">
        <is>
          <t>P060372 (CC012603)</t>
        </is>
      </c>
      <c r="C73" s="256" t="inlineStr">
        <is>
          <t>release</t>
        </is>
      </c>
      <c r="D73" s="256" t="inlineStr">
        <is>
          <t>06.06.26</t>
        </is>
      </c>
      <c r="E73" s="256" t="inlineStr">
        <is>
          <t>24.05.26</t>
        </is>
      </c>
      <c r="F73" s="256" t="inlineStr">
        <is>
          <t>363/0693/26 —</t>
        </is>
      </c>
      <c r="G73" s="256" t="inlineStr">
        <is>
          <t>iCoA-PP_26-084 03.06.26 PP*</t>
        </is>
      </c>
      <c r="H73" s="256" t="inlineStr">
        <is>
          <t>iCoA-PP_26-084 03.06.26 PP*</t>
        </is>
      </c>
      <c r="I73" s="256" t="inlineStr">
        <is>
          <t>to be performed</t>
        </is>
      </c>
      <c r="J73" s="257" t="inlineStr">
        <is>
          <t>n/t</t>
        </is>
      </c>
      <c r="K73" s="257" t="inlineStr">
        <is>
          <t>n/t</t>
        </is>
      </c>
      <c r="L73" s="257" t="inlineStr">
        <is>
          <t>n/t</t>
        </is>
      </c>
      <c r="M73" s="256" t="inlineStr">
        <is>
          <t>iCoA-PP_26-084 03.06.26 PP*</t>
        </is>
      </c>
      <c r="N73" s="257" t="inlineStr">
        <is>
          <t>n/t</t>
        </is>
      </c>
      <c r="O73" s="256" t="inlineStr">
        <is>
          <t>363/0693/26 01.06.26 IJZ</t>
        </is>
      </c>
      <c r="P73" s="257" t="inlineStr">
        <is>
          <t>n/t</t>
        </is>
      </c>
      <c r="Q73" s="257" t="inlineStr">
        <is>
          <t>n/t</t>
        </is>
      </c>
      <c r="R73" s="257" t="inlineStr">
        <is>
          <t>n/t</t>
        </is>
      </c>
    </row>
    <row r="74">
      <c r="A74" s="256" t="inlineStr">
        <is>
          <t>CoQ-PP_26-073</t>
        </is>
      </c>
      <c r="B74" s="256" t="inlineStr">
        <is>
          <t>P060342 (SCR012601)</t>
        </is>
      </c>
      <c r="C74" s="256" t="inlineStr">
        <is>
          <t>release (predicted)</t>
        </is>
      </c>
      <c r="D74" s="256" t="inlineStr">
        <is>
          <t>06.06.26</t>
        </is>
      </c>
      <c r="E74" s="256" t="inlineStr">
        <is>
          <t>25.05.26</t>
        </is>
      </c>
      <c r="F74" s="256" t="inlineStr">
        <is>
          <t>—</t>
        </is>
      </c>
      <c r="G74" s="256" t="inlineStr">
        <is>
          <t>iCoA-PP_26-088 03.06.26 PP*</t>
        </is>
      </c>
      <c r="H74" s="256" t="inlineStr">
        <is>
          <t>iCoA-PP_26-088 03.06.26 PP*</t>
        </is>
      </c>
      <c r="I74" s="256" t="inlineStr">
        <is>
          <t>to be performed</t>
        </is>
      </c>
      <c r="J74" s="257" t="inlineStr">
        <is>
          <t>n/t</t>
        </is>
      </c>
      <c r="K74" s="257" t="inlineStr">
        <is>
          <t>n/t</t>
        </is>
      </c>
      <c r="L74" s="257" t="inlineStr">
        <is>
          <t>n/t</t>
        </is>
      </c>
      <c r="M74" s="256" t="inlineStr">
        <is>
          <t>iCoA-PP_26-088 03.06.26 PP*</t>
        </is>
      </c>
      <c r="N74" s="257" t="inlineStr">
        <is>
          <t>n/t</t>
        </is>
      </c>
      <c r="O74" s="257" t="inlineStr">
        <is>
          <t>n/t</t>
        </is>
      </c>
      <c r="P74" s="257" t="inlineStr">
        <is>
          <t>n/t</t>
        </is>
      </c>
      <c r="Q74" s="257" t="inlineStr">
        <is>
          <t>n/t</t>
        </is>
      </c>
      <c r="R74" s="257" t="inlineStr">
        <is>
          <t>n/t</t>
        </is>
      </c>
    </row>
    <row r="75">
      <c r="A75" s="256" t="inlineStr">
        <is>
          <t>CoQ-PP_26-074</t>
        </is>
      </c>
      <c r="B75" s="256" t="inlineStr">
        <is>
          <t>P060382 (SCR012603)</t>
        </is>
      </c>
      <c r="C75" s="256" t="inlineStr">
        <is>
          <t>release</t>
        </is>
      </c>
      <c r="D75" s="256" t="inlineStr">
        <is>
          <t>06.06.26</t>
        </is>
      </c>
      <c r="E75" s="256" t="inlineStr">
        <is>
          <t>25.05.26</t>
        </is>
      </c>
      <c r="F75" s="256" t="inlineStr">
        <is>
          <t>364/0694/26 —</t>
        </is>
      </c>
      <c r="G75" s="256" t="inlineStr">
        <is>
          <t>iCoA-PP_26-087 03.06.26 PP*</t>
        </is>
      </c>
      <c r="H75" s="256" t="inlineStr">
        <is>
          <t>iCoA-PP_26-087 03.06.26 PP*</t>
        </is>
      </c>
      <c r="I75" s="256" t="inlineStr">
        <is>
          <t>to be performed</t>
        </is>
      </c>
      <c r="J75" s="257" t="inlineStr">
        <is>
          <t>n/t</t>
        </is>
      </c>
      <c r="K75" s="257" t="inlineStr">
        <is>
          <t>n/t</t>
        </is>
      </c>
      <c r="L75" s="257" t="inlineStr">
        <is>
          <t>n/t</t>
        </is>
      </c>
      <c r="M75" s="256" t="inlineStr">
        <is>
          <t>iCoA-PP_26-087 03.06.26 PP*</t>
        </is>
      </c>
      <c r="N75" s="257" t="inlineStr">
        <is>
          <t>n/t</t>
        </is>
      </c>
      <c r="O75" s="256" t="inlineStr">
        <is>
          <t>364/0694/26 01.06.26 IJZ; 364/0694/26 01.06.26 IJZ undetermined</t>
        </is>
      </c>
      <c r="P75" s="257" t="inlineStr">
        <is>
          <t>n/t</t>
        </is>
      </c>
      <c r="Q75" s="257" t="inlineStr">
        <is>
          <t>n/t</t>
        </is>
      </c>
      <c r="R75" s="257" t="inlineStr">
        <is>
          <t>n/t</t>
        </is>
      </c>
    </row>
    <row r="76">
      <c r="A76" s="256" t="inlineStr">
        <is>
          <t>CoQ-PP_26-075</t>
        </is>
      </c>
      <c r="B76" s="256" t="inlineStr">
        <is>
          <t>FB012603V</t>
        </is>
      </c>
      <c r="C76" s="256" t="inlineStr">
        <is>
          <t>release (predicted)</t>
        </is>
      </c>
      <c r="D76" s="256" t="inlineStr">
        <is>
          <t>07.07.26</t>
        </is>
      </c>
      <c r="E76" s="256" t="inlineStr">
        <is>
          <t>23.05.26</t>
        </is>
      </c>
      <c r="F76" s="256" t="inlineStr">
        <is>
          <t>ППК26110 17.06.26</t>
        </is>
      </c>
      <c r="G76" s="256" t="inlineStr">
        <is>
          <t>ППК26110 30.06.26 CNP</t>
        </is>
      </c>
      <c r="H76" s="256" t="inlineStr">
        <is>
          <t>ППК26110 30.06.26 CNP</t>
        </is>
      </c>
      <c r="I76" s="256" t="inlineStr">
        <is>
          <t>ППК26110 30.06.26 CNP</t>
        </is>
      </c>
      <c r="J76" s="256" t="inlineStr">
        <is>
          <t>ППК26110 30.06.26 CNP; also 227-23-К/26</t>
        </is>
      </c>
      <c r="K76" s="256" t="inlineStr">
        <is>
          <t>ППК26110 30.06.26 CNP; also 227-23-К/26</t>
        </is>
      </c>
      <c r="L76" s="256" t="inlineStr">
        <is>
          <t>ППК26110 30.06.26 CNP; also 227-23-К/26</t>
        </is>
      </c>
      <c r="M76" s="256" t="inlineStr">
        <is>
          <t>ППК26110 30.06.26 CNP</t>
        </is>
      </c>
      <c r="N76" s="256" t="inlineStr">
        <is>
          <t>ППК26110 30.06.26 CNP</t>
        </is>
      </c>
      <c r="O76" s="257" t="inlineStr">
        <is>
          <t>n/t</t>
        </is>
      </c>
      <c r="P76" s="257" t="inlineStr">
        <is>
          <t>n/t</t>
        </is>
      </c>
      <c r="Q76" s="257" t="inlineStr">
        <is>
          <t>n/t</t>
        </is>
      </c>
      <c r="R76" s="257" t="inlineStr">
        <is>
          <t>n/t</t>
        </is>
      </c>
    </row>
    <row r="77">
      <c r="A77" s="256" t="inlineStr">
        <is>
          <t>CoQ-PP_26-076</t>
        </is>
      </c>
      <c r="B77" s="256" t="inlineStr">
        <is>
          <t>P060422 (JD012603/02V)</t>
        </is>
      </c>
      <c r="C77" s="256" t="inlineStr">
        <is>
          <t>release</t>
        </is>
      </c>
      <c r="D77" s="256" t="inlineStr">
        <is>
          <t>07.07.26</t>
        </is>
      </c>
      <c r="E77" s="256" t="inlineStr">
        <is>
          <t>23.05.26</t>
        </is>
      </c>
      <c r="F77" s="256" t="inlineStr">
        <is>
          <t>ППК26111 17.06.26; 406/0789/26 —; 3662/2026 —</t>
        </is>
      </c>
      <c r="G77" s="256" t="inlineStr">
        <is>
          <t>ППК26111 30.06.26 CNP</t>
        </is>
      </c>
      <c r="H77" s="256" t="inlineStr">
        <is>
          <t>ППК26111 30.06.26 CNP</t>
        </is>
      </c>
      <c r="I77" s="256" t="inlineStr">
        <is>
          <t>ППК26111 30.06.26 CNP</t>
        </is>
      </c>
      <c r="J77" s="256" t="inlineStr">
        <is>
          <t>ППК26111 30.06.26 CNP; also 220-18-К/26</t>
        </is>
      </c>
      <c r="K77" s="256" t="inlineStr">
        <is>
          <t>ППК26111 30.06.26 CNP; also 220-18-К/26</t>
        </is>
      </c>
      <c r="L77" s="256" t="inlineStr">
        <is>
          <t>ППК26111 30.06.26 CNP; also 220-18-К/26</t>
        </is>
      </c>
      <c r="M77" s="256" t="inlineStr">
        <is>
          <t>ППК26111 30.06.26 CNP</t>
        </is>
      </c>
      <c r="N77" s="256" t="inlineStr">
        <is>
          <t>ППК26111 30.06.26 CNP</t>
        </is>
      </c>
      <c r="O77" s="256" t="inlineStr">
        <is>
          <t>406/0789/26 24.06.26 IJZ</t>
        </is>
      </c>
      <c r="P77" s="257" t="inlineStr">
        <is>
          <t>n/t</t>
        </is>
      </c>
      <c r="Q77" s="256" t="inlineStr">
        <is>
          <t>3662/2026 22.06.26 IJZ</t>
        </is>
      </c>
      <c r="R77" s="256" t="inlineStr">
        <is>
          <t>3662/2026 22.06.26 IJZ</t>
        </is>
      </c>
    </row>
    <row r="78">
      <c r="A78" s="256" t="inlineStr">
        <is>
          <t>CoQ-PP_26-077</t>
        </is>
      </c>
      <c r="B78" s="256" t="inlineStr">
        <is>
          <t>P060402 (GG012603)</t>
        </is>
      </c>
      <c r="C78" s="256" t="inlineStr">
        <is>
          <t>release</t>
        </is>
      </c>
      <c r="D78" s="256" t="inlineStr">
        <is>
          <t>07.07.26</t>
        </is>
      </c>
      <c r="E78" s="256" t="inlineStr">
        <is>
          <t>24.05.26</t>
        </is>
      </c>
      <c r="F78" s="256" t="inlineStr">
        <is>
          <t>ППК26114 17.06.26; 404/0787/26 —; 3659/2026 —</t>
        </is>
      </c>
      <c r="G78" s="256" t="inlineStr">
        <is>
          <t>ППК26114 30.06.26 CNP</t>
        </is>
      </c>
      <c r="H78" s="256" t="inlineStr">
        <is>
          <t>ППК26114 30.06.26 CNP</t>
        </is>
      </c>
      <c r="I78" s="256" t="inlineStr">
        <is>
          <t>ППК26114 30.06.26 CNP</t>
        </is>
      </c>
      <c r="J78" s="256" t="inlineStr">
        <is>
          <t>ППК26114 30.06.26 CNP; also 197-8-К/26</t>
        </is>
      </c>
      <c r="K78" s="256" t="inlineStr">
        <is>
          <t>ППК26114 30.06.26 CNP; also 197-8-К/26</t>
        </is>
      </c>
      <c r="L78" s="256" t="inlineStr">
        <is>
          <t>ППК26114 30.06.26 CNP; also 197-8-К/26</t>
        </is>
      </c>
      <c r="M78" s="256" t="inlineStr">
        <is>
          <t>ППК26114 30.06.26 CNP</t>
        </is>
      </c>
      <c r="N78" s="256" t="inlineStr">
        <is>
          <t>ППК26114 30.06.26 CNP</t>
        </is>
      </c>
      <c r="O78" s="256" t="inlineStr">
        <is>
          <t>404/0787/26 24.06.26 IJZ</t>
        </is>
      </c>
      <c r="P78" s="257" t="inlineStr">
        <is>
          <t>3659/2026 22.06.26 IJZ; also 197-8-М/26; n/t 10.1,10.3</t>
        </is>
      </c>
      <c r="Q78" s="256" t="inlineStr">
        <is>
          <t>3659/2026 22.06.26 IJZ</t>
        </is>
      </c>
      <c r="R78" s="256" t="inlineStr">
        <is>
          <t>3659/2026 22.06.26 IJZ</t>
        </is>
      </c>
    </row>
    <row r="79">
      <c r="A79" s="256" t="inlineStr">
        <is>
          <t>CoQ-PP_26-078</t>
        </is>
      </c>
      <c r="B79" s="256" t="inlineStr">
        <is>
          <t>P060412 (JD012603/02)</t>
        </is>
      </c>
      <c r="C79" s="256" t="inlineStr">
        <is>
          <t>release</t>
        </is>
      </c>
      <c r="D79" s="256" t="inlineStr">
        <is>
          <t>07.07.26</t>
        </is>
      </c>
      <c r="E79" s="256" t="inlineStr">
        <is>
          <t>24.05.26</t>
        </is>
      </c>
      <c r="F79" s="256" t="inlineStr">
        <is>
          <t>ППК26113 17.06.26; 405/0788/26 —; 3660/2026 —</t>
        </is>
      </c>
      <c r="G79" s="256" t="inlineStr">
        <is>
          <t>ППК26113 30.06.26 CNP</t>
        </is>
      </c>
      <c r="H79" s="256" t="inlineStr">
        <is>
          <t>ППК26113 30.06.26 CNP</t>
        </is>
      </c>
      <c r="I79" s="256" t="inlineStr">
        <is>
          <t>ППК26113 30.06.26 CNP</t>
        </is>
      </c>
      <c r="J79" s="256" t="inlineStr">
        <is>
          <t>ППК26113 30.06.26 CNP; also 220-17-К/26</t>
        </is>
      </c>
      <c r="K79" s="256" t="inlineStr">
        <is>
          <t>ППК26113 30.06.26 CNP; also 220-17-К/26</t>
        </is>
      </c>
      <c r="L79" s="256" t="inlineStr">
        <is>
          <t>ППК26113 30.06.26 CNP; also 220-17-К/26</t>
        </is>
      </c>
      <c r="M79" s="256" t="inlineStr">
        <is>
          <t>ППК26113 30.06.26 CNP</t>
        </is>
      </c>
      <c r="N79" s="256" t="inlineStr">
        <is>
          <t>ППК26113 30.06.26 CNP</t>
        </is>
      </c>
      <c r="O79" s="256" t="inlineStr">
        <is>
          <t>405/0788/26 24.06.26 IJZ</t>
        </is>
      </c>
      <c r="P79" s="257" t="inlineStr">
        <is>
          <t>n/t</t>
        </is>
      </c>
      <c r="Q79" s="256" t="inlineStr">
        <is>
          <t>3660/2026 22.06.26 IJZ</t>
        </is>
      </c>
      <c r="R79" s="256" t="inlineStr">
        <is>
          <t>3660/2026 22.06.26 IJZ</t>
        </is>
      </c>
    </row>
    <row r="80">
      <c r="A80" s="256" t="inlineStr">
        <is>
          <t>CoQ-PP_26-079</t>
        </is>
      </c>
      <c r="B80" s="256" t="inlineStr">
        <is>
          <t>FB012603</t>
        </is>
      </c>
      <c r="C80" s="256" t="inlineStr">
        <is>
          <t>release (predicted)</t>
        </is>
      </c>
      <c r="D80" s="256" t="inlineStr">
        <is>
          <t>07.07.26</t>
        </is>
      </c>
      <c r="E80" s="256" t="inlineStr">
        <is>
          <t>15.06.26</t>
        </is>
      </c>
      <c r="F80" s="256" t="inlineStr">
        <is>
          <t>ППК26112 17.06.26</t>
        </is>
      </c>
      <c r="G80" s="256" t="inlineStr">
        <is>
          <t>ППК26112 30.06.26 CNP</t>
        </is>
      </c>
      <c r="H80" s="256" t="inlineStr">
        <is>
          <t>ППК26112 30.06.26 CNP</t>
        </is>
      </c>
      <c r="I80" s="256" t="inlineStr">
        <is>
          <t>ППК26112 30.06.26 CNP</t>
        </is>
      </c>
      <c r="J80" s="256" t="inlineStr">
        <is>
          <t>ППК26112 30.06.26 CNP; also 227-24-К/26</t>
        </is>
      </c>
      <c r="K80" s="256" t="inlineStr">
        <is>
          <t>ППК26112 30.06.26 CNP; also 227-24-К/26</t>
        </is>
      </c>
      <c r="L80" s="256" t="inlineStr">
        <is>
          <t>ППК26112 30.06.26 CNP; also 227-24-К/26</t>
        </is>
      </c>
      <c r="M80" s="256" t="inlineStr">
        <is>
          <t>ППК26112 30.06.26 CNP</t>
        </is>
      </c>
      <c r="N80" s="256" t="inlineStr">
        <is>
          <t>ППК26112 30.06.26 CNP</t>
        </is>
      </c>
      <c r="O80" s="257" t="inlineStr">
        <is>
          <t>n/t</t>
        </is>
      </c>
      <c r="P80" s="257" t="inlineStr">
        <is>
          <t>n/t</t>
        </is>
      </c>
      <c r="Q80" s="257" t="inlineStr">
        <is>
          <t>n/t</t>
        </is>
      </c>
      <c r="R80" s="257" t="inlineStr">
        <is>
          <t>n/t</t>
        </is>
      </c>
    </row>
    <row r="81">
      <c r="A81" s="256" t="inlineStr">
        <is>
          <t>CoQ-PP_26-080</t>
        </is>
      </c>
      <c r="B81" s="256" t="inlineStr">
        <is>
          <t>SCR022601</t>
        </is>
      </c>
      <c r="C81" s="256" t="inlineStr">
        <is>
          <t>release (predicted)</t>
        </is>
      </c>
      <c r="D81" s="256" t="inlineStr">
        <is>
          <t>13.07.26</t>
        </is>
      </c>
      <c r="E81" s="256" t="inlineStr">
        <is>
          <t>18.06.26</t>
        </is>
      </c>
      <c r="F81" s="256" t="inlineStr">
        <is>
          <t>ППК26116 17.06.26</t>
        </is>
      </c>
      <c r="G81" s="256" t="inlineStr">
        <is>
          <t>ППК26116 06.07.26 CNP</t>
        </is>
      </c>
      <c r="H81" s="256" t="inlineStr">
        <is>
          <t>ППК26116 06.07.26 CNP</t>
        </is>
      </c>
      <c r="I81" s="256" t="inlineStr">
        <is>
          <t>ППК26116 06.07.26 CNP</t>
        </is>
      </c>
      <c r="J81" s="256" t="inlineStr">
        <is>
          <t>ППК26116 06.07.26 CNP; also 227-7-К/26</t>
        </is>
      </c>
      <c r="K81" s="256" t="inlineStr">
        <is>
          <t>ППК26116 06.07.26 CNP; also 227-7-К/26</t>
        </is>
      </c>
      <c r="L81" s="256" t="inlineStr">
        <is>
          <t>ППК26116 06.07.26 CNP; also 227-7-К/26</t>
        </is>
      </c>
      <c r="M81" s="256" t="inlineStr">
        <is>
          <t>ППК26116 06.07.26 CNP</t>
        </is>
      </c>
      <c r="N81" s="256" t="inlineStr">
        <is>
          <t>ППК26116 06.07.26 CNP</t>
        </is>
      </c>
      <c r="O81" s="257" t="inlineStr">
        <is>
          <t>n/t</t>
        </is>
      </c>
      <c r="P81" s="257" t="inlineStr">
        <is>
          <t>n/t</t>
        </is>
      </c>
      <c r="Q81" s="257" t="inlineStr">
        <is>
          <t>n/t</t>
        </is>
      </c>
      <c r="R81" s="257" t="inlineStr">
        <is>
          <t>n/t</t>
        </is>
      </c>
    </row>
    <row r="82">
      <c r="A82" s="256" t="inlineStr">
        <is>
          <t>CoQ-PP_26-081</t>
        </is>
      </c>
      <c r="B82" s="256" t="inlineStr">
        <is>
          <t>FB032601</t>
        </is>
      </c>
      <c r="C82" s="256" t="inlineStr">
        <is>
          <t>release (predicted)</t>
        </is>
      </c>
      <c r="D82" s="256" t="inlineStr">
        <is>
          <t>28.07.26</t>
        </is>
      </c>
      <c r="E82" s="256" t="inlineStr">
        <is>
          <t>29.06.26</t>
        </is>
      </c>
      <c r="F82" s="256" t="inlineStr">
        <is>
          <t>ППК26127 02.07.26</t>
        </is>
      </c>
      <c r="G82" s="256" t="inlineStr">
        <is>
          <t>ППК26127 21.07.26 CNP</t>
        </is>
      </c>
      <c r="H82" s="256" t="inlineStr">
        <is>
          <t>ППК26127 21.07.26 CNP</t>
        </is>
      </c>
      <c r="I82" s="256" t="inlineStr">
        <is>
          <t>ППК26127 21.07.26 CNP</t>
        </is>
      </c>
      <c r="J82" s="256" t="inlineStr">
        <is>
          <t>ППК26127 21.07.26 CNP</t>
        </is>
      </c>
      <c r="K82" s="256" t="inlineStr">
        <is>
          <t>ППК26127 21.07.26 CNP</t>
        </is>
      </c>
      <c r="L82" s="256" t="inlineStr">
        <is>
          <t>ППК26127 21.07.26 CNP</t>
        </is>
      </c>
      <c r="M82" s="256" t="inlineStr">
        <is>
          <t>ППК26127 21.07.26 CNP BLOCKED</t>
        </is>
      </c>
      <c r="N82" s="256" t="inlineStr">
        <is>
          <t>ППК26127 21.07.26 CNP</t>
        </is>
      </c>
      <c r="O82" s="257" t="inlineStr">
        <is>
          <t>n/t</t>
        </is>
      </c>
      <c r="P82" s="257" t="inlineStr">
        <is>
          <t>n/t</t>
        </is>
      </c>
      <c r="Q82" s="257" t="inlineStr">
        <is>
          <t>n/t</t>
        </is>
      </c>
      <c r="R82" s="257" t="inlineStr">
        <is>
          <t>n/t</t>
        </is>
      </c>
    </row>
    <row r="83">
      <c r="A83" s="256" t="inlineStr">
        <is>
          <t>CoQ-PP_26-082</t>
        </is>
      </c>
      <c r="B83" s="256" t="inlineStr">
        <is>
          <t>GG032601</t>
        </is>
      </c>
      <c r="C83" s="256" t="inlineStr">
        <is>
          <t>release (predicted)</t>
        </is>
      </c>
      <c r="D83" s="256" t="inlineStr">
        <is>
          <t>28.07.26</t>
        </is>
      </c>
      <c r="E83" s="256" t="inlineStr">
        <is>
          <t>16.07.26</t>
        </is>
      </c>
      <c r="F83" s="256" t="inlineStr">
        <is>
          <t>ППК26128 02.07.26</t>
        </is>
      </c>
      <c r="G83" s="256" t="inlineStr">
        <is>
          <t>ППК26128 21.07.26 CNP</t>
        </is>
      </c>
      <c r="H83" s="256" t="inlineStr">
        <is>
          <t>ППК26128 21.07.26 CNP</t>
        </is>
      </c>
      <c r="I83" s="256" t="inlineStr">
        <is>
          <t>ППК26128 21.07.26 CNP</t>
        </is>
      </c>
      <c r="J83" s="256" t="inlineStr">
        <is>
          <t>ППК26128 21.07.26 CNP</t>
        </is>
      </c>
      <c r="K83" s="256" t="inlineStr">
        <is>
          <t>ППК26128 21.07.26 CNP</t>
        </is>
      </c>
      <c r="L83" s="256" t="inlineStr">
        <is>
          <t>ППК26128 21.07.26 CNP</t>
        </is>
      </c>
      <c r="M83" s="256" t="inlineStr">
        <is>
          <t>ППК26128 21.07.26 CNP</t>
        </is>
      </c>
      <c r="N83" s="256" t="inlineStr">
        <is>
          <t>ППК26128 21.07.26 CNP</t>
        </is>
      </c>
      <c r="O83" s="257" t="inlineStr">
        <is>
          <t>n/t</t>
        </is>
      </c>
      <c r="P83" s="257" t="inlineStr">
        <is>
          <t>n/t</t>
        </is>
      </c>
      <c r="Q83" s="257" t="inlineStr">
        <is>
          <t>n/t</t>
        </is>
      </c>
      <c r="R83" s="257" t="inlineStr">
        <is>
          <t>n/t</t>
        </is>
      </c>
    </row>
    <row r="84">
      <c r="A84" s="256" t="inlineStr">
        <is>
          <t>CoQ-PP_26-083</t>
        </is>
      </c>
      <c r="B84" s="256" t="inlineStr">
        <is>
          <t>JD022601</t>
        </is>
      </c>
      <c r="C84" s="256" t="inlineStr">
        <is>
          <t>release (predicted)</t>
        </is>
      </c>
      <c r="D84" s="256" t="inlineStr">
        <is>
          <t>05.08.26</t>
        </is>
      </c>
      <c r="E84" s="256" t="inlineStr">
        <is>
          <t>05.08.26</t>
        </is>
      </c>
      <c r="F84" s="256" t="inlineStr">
        <is>
          <t>ППК26115 17.06.26</t>
        </is>
      </c>
      <c r="G84" s="256" t="inlineStr">
        <is>
          <t>ППК26115 30.06.26 CNP</t>
        </is>
      </c>
      <c r="H84" s="256" t="inlineStr">
        <is>
          <t>ППК26115 30.06.26 CNP</t>
        </is>
      </c>
      <c r="I84" s="256" t="inlineStr">
        <is>
          <t>ППК26115 30.06.26 CNP</t>
        </is>
      </c>
      <c r="J84" s="256" t="inlineStr">
        <is>
          <t>ППК26115 30.06.26 CNP</t>
        </is>
      </c>
      <c r="K84" s="256" t="inlineStr">
        <is>
          <t>ППК26115 30.06.26 CNP</t>
        </is>
      </c>
      <c r="L84" s="256" t="inlineStr">
        <is>
          <t>ППК26115 30.06.26 CNP</t>
        </is>
      </c>
      <c r="M84" s="256" t="inlineStr">
        <is>
          <t>ППК26115 30.06.26 CNP</t>
        </is>
      </c>
      <c r="N84" s="256" t="inlineStr">
        <is>
          <t>ППК26115 30.06.26 CNP</t>
        </is>
      </c>
      <c r="O84" s="257" t="inlineStr">
        <is>
          <t>n/t</t>
        </is>
      </c>
      <c r="P84" s="257" t="inlineStr">
        <is>
          <t>n/t</t>
        </is>
      </c>
      <c r="Q84" s="257" t="inlineStr">
        <is>
          <t>n/t</t>
        </is>
      </c>
      <c r="R84" s="257" t="inlineStr">
        <is>
          <t>n/t</t>
        </is>
      </c>
    </row>
    <row r="85">
      <c r="A85" s="256" t="inlineStr">
        <is>
          <t>CoQ-PP_26-084</t>
        </is>
      </c>
      <c r="B85" s="256" t="inlineStr">
        <is>
          <t>P060492 (JD042601)</t>
        </is>
      </c>
      <c r="C85" s="256" t="inlineStr">
        <is>
          <t>release (predicted)</t>
        </is>
      </c>
      <c r="D85" s="256" t="inlineStr">
        <is>
          <t>13.08.26</t>
        </is>
      </c>
      <c r="E85" s="256" t="inlineStr">
        <is>
          <t>13.08.26</t>
        </is>
      </c>
      <c r="F85" s="256" t="inlineStr">
        <is>
          <t>—</t>
        </is>
      </c>
      <c r="G85" s="256" t="inlineStr">
        <is>
          <t>iCoA-PP_26-122 13.08.26 PP*</t>
        </is>
      </c>
      <c r="H85" s="256" t="inlineStr">
        <is>
          <t>iCoA-PP_26-122 13.08.26 PP*</t>
        </is>
      </c>
      <c r="I85" s="256" t="inlineStr">
        <is>
          <t>to be performed</t>
        </is>
      </c>
      <c r="J85" s="257" t="inlineStr">
        <is>
          <t>n/t</t>
        </is>
      </c>
      <c r="K85" s="257" t="inlineStr">
        <is>
          <t>n/t</t>
        </is>
      </c>
      <c r="L85" s="257" t="inlineStr">
        <is>
          <t>n/t</t>
        </is>
      </c>
      <c r="M85" s="256" t="inlineStr">
        <is>
          <t>iCoA-PP_26-122 13.08.26 PP*</t>
        </is>
      </c>
      <c r="N85" s="257" t="inlineStr">
        <is>
          <t>n/t</t>
        </is>
      </c>
      <c r="O85" s="257" t="inlineStr">
        <is>
          <t>n/t</t>
        </is>
      </c>
      <c r="P85" s="257" t="inlineStr">
        <is>
          <t>n/t</t>
        </is>
      </c>
      <c r="Q85" s="257" t="inlineStr">
        <is>
          <t>n/t</t>
        </is>
      </c>
      <c r="R85" s="257" t="inlineStr">
        <is>
          <t>n/t</t>
        </is>
      </c>
    </row>
    <row r="86">
      <c r="A86" s="256" t="inlineStr">
        <is>
          <t>CoQ-PP_26-085</t>
        </is>
      </c>
      <c r="B86" s="256" t="inlineStr">
        <is>
          <t>BG1024</t>
        </is>
      </c>
      <c r="C86" s="256" t="inlineStr">
        <is>
          <t>retest</t>
        </is>
      </c>
      <c r="D86" s="256" t="inlineStr">
        <is>
          <t>17.08.26</t>
        </is>
      </c>
      <c r="E86" s="256" t="inlineStr">
        <is>
          <t>21.07.26</t>
        </is>
      </c>
      <c r="F86" s="256" t="inlineStr">
        <is>
          <t>197-1-К/26 27.07.26; ППК25050 13.02.25; 163/0271/25 17.02.25; 197-1-М/26 29.07.26; 752/2025 13.02.25</t>
        </is>
      </c>
      <c r="G86" s="256" t="inlineStr">
        <is>
          <t>iCoA-PP_26-100 27.07.26 PP</t>
        </is>
      </c>
      <c r="H86" s="256" t="inlineStr">
        <is>
          <t>iCoA-PP_26-100 27.07.26 PP</t>
        </is>
      </c>
      <c r="I86" s="256" t="inlineStr">
        <is>
          <t>197-1-К/26 07.08.26 FHM-K</t>
        </is>
      </c>
      <c r="J86" s="256" t="inlineStr">
        <is>
          <t>197-1-К/26 07.08.26 FHM-K</t>
        </is>
      </c>
      <c r="K86" s="256" t="inlineStr">
        <is>
          <t>197-1-К/26 07.08.26 FHM-K</t>
        </is>
      </c>
      <c r="L86" s="256" t="inlineStr">
        <is>
          <t>197-1-К/26 07.08.26 FHM-K</t>
        </is>
      </c>
      <c r="M86" s="256" t="inlineStr">
        <is>
          <t>iCoA-PP_26-100 27.07.26 PP</t>
        </is>
      </c>
      <c r="N86" s="256" t="inlineStr">
        <is>
          <t>ППК25050 26.02.25 CNP (initial) DAB</t>
        </is>
      </c>
      <c r="O86" s="256" t="inlineStr">
        <is>
          <t>163/0271/25 24.02.25 IJZ-MB (initial)</t>
        </is>
      </c>
      <c r="P86" s="256" t="inlineStr">
        <is>
          <t>197-1-М/26 10.08.26 FHM-M</t>
        </is>
      </c>
      <c r="Q86" s="256" t="inlineStr">
        <is>
          <t>752/2025 27.02.25 IJZ (initial)</t>
        </is>
      </c>
      <c r="R86" s="256" t="inlineStr">
        <is>
          <t>752/2025 27.02.25 IJZ (initial)</t>
        </is>
      </c>
    </row>
    <row r="87">
      <c r="A87" s="256" t="inlineStr">
        <is>
          <t>CoQ-PP_26-086</t>
        </is>
      </c>
      <c r="B87" s="256" t="inlineStr">
        <is>
          <t>BSS1024</t>
        </is>
      </c>
      <c r="C87" s="256" t="inlineStr">
        <is>
          <t>retest</t>
        </is>
      </c>
      <c r="D87" s="256" t="inlineStr">
        <is>
          <t>17.08.26</t>
        </is>
      </c>
      <c r="E87" s="256" t="inlineStr">
        <is>
          <t>21.07.26</t>
        </is>
      </c>
      <c r="F87" s="256" t="inlineStr">
        <is>
          <t>197-2-К/26 27.07.26; ППК25051 13.02.25; 161/0269/25 —; 197-2-М/26 29.07.26; 751/2025 13.02.25</t>
        </is>
      </c>
      <c r="G87" s="256" t="inlineStr">
        <is>
          <t>iCoA-PP_26-101 27.07.26 PP</t>
        </is>
      </c>
      <c r="H87" s="256" t="inlineStr">
        <is>
          <t>iCoA-PP_26-101 27.07.26 PP</t>
        </is>
      </c>
      <c r="I87" s="256" t="inlineStr">
        <is>
          <t>197-2-К/26 07.08.26 FHM-K</t>
        </is>
      </c>
      <c r="J87" s="256" t="inlineStr">
        <is>
          <t>197-2-К/26 07.08.26 FHM-K</t>
        </is>
      </c>
      <c r="K87" s="256" t="inlineStr">
        <is>
          <t>197-2-К/26 07.08.26 FHM-K</t>
        </is>
      </c>
      <c r="L87" s="256" t="inlineStr">
        <is>
          <t>197-2-К/26 07.08.26 FHM-K</t>
        </is>
      </c>
      <c r="M87" s="256" t="inlineStr">
        <is>
          <t>iCoA-PP_26-101 27.07.26 PP</t>
        </is>
      </c>
      <c r="N87" s="256" t="inlineStr">
        <is>
          <t>ППК25051 26.02.25 CNP (initial) DAB</t>
        </is>
      </c>
      <c r="O87" s="256" t="inlineStr">
        <is>
          <t>161/0269/25 24.02.25 IJZ-MB (initial)</t>
        </is>
      </c>
      <c r="P87" s="256" t="inlineStr">
        <is>
          <t>197-2-М/26 10.08.26 FHM-M</t>
        </is>
      </c>
      <c r="Q87" s="256" t="inlineStr">
        <is>
          <t>751/2025 27.02.25 IJZ (initial)</t>
        </is>
      </c>
      <c r="R87" s="256" t="inlineStr">
        <is>
          <t>751/2025 27.02.25 IJZ (initial)</t>
        </is>
      </c>
    </row>
    <row r="88">
      <c r="A88" s="256" t="inlineStr">
        <is>
          <t>CoQ-PP_26-087</t>
        </is>
      </c>
      <c r="B88" s="256" t="inlineStr">
        <is>
          <t>P060332</t>
        </is>
      </c>
      <c r="C88" s="256" t="inlineStr">
        <is>
          <t>retest (predicted)</t>
        </is>
      </c>
      <c r="D88" s="256" t="inlineStr">
        <is>
          <t>17.08.26</t>
        </is>
      </c>
      <c r="E88" s="256" t="inlineStr">
        <is>
          <t>21.07.26</t>
        </is>
      </c>
      <c r="F88" s="256" t="inlineStr">
        <is>
          <t>197-6-К/26 27.07.26; 361/0691/26 —; 197-6-М/26 29.07.26</t>
        </is>
      </c>
      <c r="G88" s="256" t="inlineStr">
        <is>
          <t>iCoA-PP_26-105 27.07.26 PP</t>
        </is>
      </c>
      <c r="H88" s="256" t="inlineStr">
        <is>
          <t>iCoA-PP_26-105 27.07.26 PP</t>
        </is>
      </c>
      <c r="I88" s="256" t="inlineStr">
        <is>
          <t>197-6-К/26 07.08.26 FHM-K</t>
        </is>
      </c>
      <c r="J88" s="256" t="inlineStr">
        <is>
          <t>197-6-К/26 07.08.26 FHM-K</t>
        </is>
      </c>
      <c r="K88" s="256" t="inlineStr">
        <is>
          <t>197-6-К/26 07.08.26 FHM-K</t>
        </is>
      </c>
      <c r="L88" s="256" t="inlineStr">
        <is>
          <t>197-6-К/26 07.08.26 FHM-K</t>
        </is>
      </c>
      <c r="M88" s="256" t="inlineStr">
        <is>
          <t>iCoA-PP_26-105 27.07.26 PP</t>
        </is>
      </c>
      <c r="N88" s="257" t="inlineStr">
        <is>
          <t>n/t (initial)</t>
        </is>
      </c>
      <c r="O88" s="256" t="inlineStr">
        <is>
          <t>361/0691/26 01.06.26 IJZ; 361/0691/26 01.06.26 IJZ OOS</t>
        </is>
      </c>
      <c r="P88" s="256" t="inlineStr">
        <is>
          <t>197-6-М/26 10.08.26 FHM-M</t>
        </is>
      </c>
      <c r="Q88" s="257" t="inlineStr">
        <is>
          <t>n/t (initial)</t>
        </is>
      </c>
      <c r="R88" s="257" t="inlineStr">
        <is>
          <t>n/t (initial)</t>
        </is>
      </c>
    </row>
    <row r="89">
      <c r="A89" s="256" t="inlineStr">
        <is>
          <t>CoQ-PP_26-088</t>
        </is>
      </c>
      <c r="B89" s="256" t="inlineStr">
        <is>
          <t>P050162 (CJ052501/01)</t>
        </is>
      </c>
      <c r="C89" s="256" t="inlineStr">
        <is>
          <t>retest (predicted)</t>
        </is>
      </c>
      <c r="D89" s="256" t="inlineStr">
        <is>
          <t>17.08.26</t>
        </is>
      </c>
      <c r="E89" s="256" t="inlineStr">
        <is>
          <t>21.07.26</t>
        </is>
      </c>
      <c r="F89" s="256" t="inlineStr">
        <is>
          <t>197-3-К/26 27.07.26; ППК25280 05.09.25; 949/1687/25 11.09.25; 197-3-М/26 29.07.26; 4350/2025 05.09.25</t>
        </is>
      </c>
      <c r="G89" s="256" t="inlineStr">
        <is>
          <t>iCoA-PP_26-102 27.07.26 PP</t>
        </is>
      </c>
      <c r="H89" s="256" t="inlineStr">
        <is>
          <t>iCoA-PP_26-102 27.07.26 PP</t>
        </is>
      </c>
      <c r="I89" s="256" t="inlineStr">
        <is>
          <t>197-3-К/26 07.08.26 FHM-K</t>
        </is>
      </c>
      <c r="J89" s="256" t="inlineStr">
        <is>
          <t>197-3-К/26 07.08.26 FHM-K</t>
        </is>
      </c>
      <c r="K89" s="256" t="inlineStr">
        <is>
          <t>197-3-К/26 07.08.26 FHM-K</t>
        </is>
      </c>
      <c r="L89" s="256" t="inlineStr">
        <is>
          <t>197-3-К/26 07.08.26 FHM-K</t>
        </is>
      </c>
      <c r="M89" s="256" t="inlineStr">
        <is>
          <t>iCoA-PP_26-102 27.07.26 PP</t>
        </is>
      </c>
      <c r="N89" s="256" t="inlineStr">
        <is>
          <t>ППК25280 17.09.25 CNP (initial) DAB</t>
        </is>
      </c>
      <c r="O89" s="256" t="inlineStr">
        <is>
          <t>949/1687/25 17.09.25 IJZ-MB (initial); 949/1687/25 17.09.25 IJZ-MB undetermined (initial)</t>
        </is>
      </c>
      <c r="P89" s="256" t="inlineStr">
        <is>
          <t>197-3-М/26 10.08.26 FHM-M</t>
        </is>
      </c>
      <c r="Q89" s="256" t="inlineStr">
        <is>
          <t>4350/2025 15.09.25 IJZ (initial)</t>
        </is>
      </c>
      <c r="R89" s="256" t="inlineStr">
        <is>
          <t>4350/2025 15.09.25 IJZ (initial)</t>
        </is>
      </c>
    </row>
    <row r="90">
      <c r="A90" s="256" t="inlineStr">
        <is>
          <t>CoQ-PP_26-089</t>
        </is>
      </c>
      <c r="B90" s="256" t="inlineStr">
        <is>
          <t>P060032 (CJ082501/2)</t>
        </is>
      </c>
      <c r="C90" s="256" t="inlineStr">
        <is>
          <t>retest (predicted)</t>
        </is>
      </c>
      <c r="D90" s="256" t="inlineStr">
        <is>
          <t>17.08.26</t>
        </is>
      </c>
      <c r="E90" s="256" t="inlineStr">
        <is>
          <t>21.07.26</t>
        </is>
      </c>
      <c r="F90" s="256" t="inlineStr">
        <is>
          <t>197-5-К/26 27.07.26; ППК26003 08.01.26; 4/0007/26 12.01.25; 197-5-М/26 29.07.26; 82/2026 08.01.26</t>
        </is>
      </c>
      <c r="G90" s="256" t="inlineStr">
        <is>
          <t>iCoA-PP_26-104 27.07.26 PP</t>
        </is>
      </c>
      <c r="H90" s="256" t="inlineStr">
        <is>
          <t>iCoA-PP_26-104 27.07.26 PP</t>
        </is>
      </c>
      <c r="I90" s="256" t="inlineStr">
        <is>
          <t>197-5-К/26 07.08.26 FHM-K</t>
        </is>
      </c>
      <c r="J90" s="256" t="inlineStr">
        <is>
          <t>197-5-К/26 07.08.26 FHM-K</t>
        </is>
      </c>
      <c r="K90" s="256" t="inlineStr">
        <is>
          <t>197-5-К/26 07.08.26 FHM-K</t>
        </is>
      </c>
      <c r="L90" s="256" t="inlineStr">
        <is>
          <t>197-5-К/26 07.08.26 FHM-K</t>
        </is>
      </c>
      <c r="M90" s="256" t="inlineStr">
        <is>
          <t>iCoA-PP_26-104 27.07.26 PP</t>
        </is>
      </c>
      <c r="N90" s="256" t="inlineStr">
        <is>
          <t>ППК26003 21.01.26 CNP (initial) DAB</t>
        </is>
      </c>
      <c r="O90" s="256" t="inlineStr">
        <is>
          <t>4/0007/26 20.01.26 IJZ-MB (initial)</t>
        </is>
      </c>
      <c r="P90" s="256" t="inlineStr">
        <is>
          <t>197-5-М/26 10.08.26 FHM-M</t>
        </is>
      </c>
      <c r="Q90" s="256" t="inlineStr">
        <is>
          <t>82/2026 02.02.26 IJZ (initial)</t>
        </is>
      </c>
      <c r="R90" s="256" t="inlineStr">
        <is>
          <t>82/2026 02.02.26 IJZ (initial)</t>
        </is>
      </c>
    </row>
    <row r="91">
      <c r="A91" s="256" t="inlineStr">
        <is>
          <t>CoQ-PP_26-090</t>
        </is>
      </c>
      <c r="B91" s="256" t="inlineStr">
        <is>
          <t>P060352 (FB012602)</t>
        </is>
      </c>
      <c r="C91" s="256" t="inlineStr">
        <is>
          <t>retest (predicted)</t>
        </is>
      </c>
      <c r="D91" s="256" t="inlineStr">
        <is>
          <t>17.08.26</t>
        </is>
      </c>
      <c r="E91" s="256" t="inlineStr">
        <is>
          <t>22.07.26</t>
        </is>
      </c>
      <c r="F91" s="256" t="inlineStr">
        <is>
          <t>197-7-К/26 27.07.26; 366/0696/26 —; 197-7-М/26 29.07.26</t>
        </is>
      </c>
      <c r="G91" s="256" t="inlineStr">
        <is>
          <t>iCoA-PP_26-109 27.07.26 PP</t>
        </is>
      </c>
      <c r="H91" s="256" t="inlineStr">
        <is>
          <t>iCoA-PP_26-109 27.07.26 PP</t>
        </is>
      </c>
      <c r="I91" s="256" t="inlineStr">
        <is>
          <t>197-7-К/26 07.08.26 FHM-K</t>
        </is>
      </c>
      <c r="J91" s="256" t="inlineStr">
        <is>
          <t>197-7-К/26 07.08.26 FHM-K</t>
        </is>
      </c>
      <c r="K91" s="256" t="inlineStr">
        <is>
          <t>197-7-К/26 07.08.26 FHM-K</t>
        </is>
      </c>
      <c r="L91" s="256" t="inlineStr">
        <is>
          <t>197-7-К/26 07.08.26 FHM-K</t>
        </is>
      </c>
      <c r="M91" s="256" t="inlineStr">
        <is>
          <t>iCoA-PP_26-109 27.07.26 PP</t>
        </is>
      </c>
      <c r="N91" s="257" t="inlineStr">
        <is>
          <t>n/t (initial)</t>
        </is>
      </c>
      <c r="O91" s="256" t="inlineStr">
        <is>
          <t>366/0696/26 01.06.26 IJZ; 366/0696/26 01.06.26 IJZ OOS</t>
        </is>
      </c>
      <c r="P91" s="256" t="inlineStr">
        <is>
          <t>197-7-М/26 10.08.26 FHM-M</t>
        </is>
      </c>
      <c r="Q91" s="257" t="inlineStr">
        <is>
          <t>n/t (initial)</t>
        </is>
      </c>
      <c r="R91" s="257" t="inlineStr">
        <is>
          <t>n/t (initial)</t>
        </is>
      </c>
    </row>
    <row r="92">
      <c r="A92" s="256" t="inlineStr">
        <is>
          <t>CoQ-PP_26-091</t>
        </is>
      </c>
      <c r="B92" s="256" t="inlineStr">
        <is>
          <t>P060402 (GG012603)</t>
        </is>
      </c>
      <c r="C92" s="256" t="inlineStr">
        <is>
          <t>retest (predicted)</t>
        </is>
      </c>
      <c r="D92" s="256" t="inlineStr">
        <is>
          <t>17.08.26</t>
        </is>
      </c>
      <c r="E92" s="256" t="inlineStr">
        <is>
          <t>22.07.26</t>
        </is>
      </c>
      <c r="F92" s="256" t="inlineStr">
        <is>
          <t>ППК26114 17.06.26; 197-8-К/26 27.07.26; 404/0787/26 —; 197-8-М/26 29.07.26; 3659/2026 —</t>
        </is>
      </c>
      <c r="G92" s="256" t="inlineStr">
        <is>
          <t>ППК26114 30.06.26 CNP (initial)</t>
        </is>
      </c>
      <c r="H92" s="256" t="inlineStr">
        <is>
          <t>ППК26114 30.06.26 CNP (initial)</t>
        </is>
      </c>
      <c r="I92" s="256" t="inlineStr">
        <is>
          <t>197-8-К/26 07.08.26 FHM-K</t>
        </is>
      </c>
      <c r="J92" s="256" t="inlineStr">
        <is>
          <t>197-8-К/26 07.08.26 FHM-K</t>
        </is>
      </c>
      <c r="K92" s="256" t="inlineStr">
        <is>
          <t>197-8-К/26 07.08.26 FHM-K</t>
        </is>
      </c>
      <c r="L92" s="256" t="inlineStr">
        <is>
          <t>197-8-К/26 07.08.26 FHM-K</t>
        </is>
      </c>
      <c r="M92" s="256" t="inlineStr">
        <is>
          <t>ППК26114 30.06.26 CNP (initial)</t>
        </is>
      </c>
      <c r="N92" s="256" t="inlineStr">
        <is>
          <t>ППК26114 30.06.26 CNP (initial)</t>
        </is>
      </c>
      <c r="O92" s="256" t="inlineStr">
        <is>
          <t>404/0787/26 24.06.26 IJZ</t>
        </is>
      </c>
      <c r="P92" s="256" t="inlineStr">
        <is>
          <t>197-8-М/26 10.08.26 FHM-M</t>
        </is>
      </c>
      <c r="Q92" s="256" t="inlineStr">
        <is>
          <t>3659/2026 22.06.26 IJZ</t>
        </is>
      </c>
      <c r="R92" s="256" t="inlineStr">
        <is>
          <t>3659/2026 22.06.26 IJZ (initial)</t>
        </is>
      </c>
    </row>
    <row r="93">
      <c r="A93" s="256" t="inlineStr">
        <is>
          <t>CoQ-PP_26-092</t>
        </is>
      </c>
      <c r="B93" s="256" t="inlineStr">
        <is>
          <t>P050092 (GG1024_01)</t>
        </is>
      </c>
      <c r="C93" s="256" t="inlineStr">
        <is>
          <t>retest</t>
        </is>
      </c>
      <c r="D93" s="256" t="inlineStr">
        <is>
          <t>17.08.26</t>
        </is>
      </c>
      <c r="E93" s="256" t="inlineStr">
        <is>
          <t>22.07.26</t>
        </is>
      </c>
      <c r="F93" s="256" t="inlineStr">
        <is>
          <t>197-9-К/26 27.07.26; ППК25104 08.04.25; 320/0587/25 08.04.25; 197-9-М/26 29.07.26; 1766/2025 08.04.25</t>
        </is>
      </c>
      <c r="G93" s="256" t="inlineStr">
        <is>
          <t>iCoA-PP_26-106 27.07.26 PP</t>
        </is>
      </c>
      <c r="H93" s="256" t="inlineStr">
        <is>
          <t>iCoA-PP_26-106 27.07.26 PP</t>
        </is>
      </c>
      <c r="I93" s="256" t="inlineStr">
        <is>
          <t>197-9-К/26 07.08.26 FHM-K</t>
        </is>
      </c>
      <c r="J93" s="256" t="inlineStr">
        <is>
          <t>197-9-К/26 07.08.26 FHM-K</t>
        </is>
      </c>
      <c r="K93" s="256" t="inlineStr">
        <is>
          <t>197-9-К/26 07.08.26 FHM-K</t>
        </is>
      </c>
      <c r="L93" s="256" t="inlineStr">
        <is>
          <t>197-9-К/26 07.08.26 FHM-K</t>
        </is>
      </c>
      <c r="M93" s="256" t="inlineStr">
        <is>
          <t>iCoA-PP_26-106 27.07.26 PP</t>
        </is>
      </c>
      <c r="N93" s="256" t="inlineStr">
        <is>
          <t>ППК25104 17.04.25 CNP (initial) DAB</t>
        </is>
      </c>
      <c r="O93" s="256" t="inlineStr">
        <is>
          <t>320/0587/25 14.04.25 IJZ-MB (initial); 320/0587/25 14.04.25 IJZ-MB OOS (initial)</t>
        </is>
      </c>
      <c r="P93" s="256" t="inlineStr">
        <is>
          <t>197-9-М/26 10.08.26 FHM-M</t>
        </is>
      </c>
      <c r="Q93" s="256" t="inlineStr">
        <is>
          <t>1766/2025 11.04.25 IJZ (initial)</t>
        </is>
      </c>
      <c r="R93" s="256" t="inlineStr">
        <is>
          <t>1766/2025 11.04.25 IJZ (initial)</t>
        </is>
      </c>
    </row>
    <row r="94">
      <c r="A94" s="256" t="inlineStr">
        <is>
          <t>CoQ-PP_26-093</t>
        </is>
      </c>
      <c r="B94" s="256" t="inlineStr">
        <is>
          <t>P050152 (GP052501)</t>
        </is>
      </c>
      <c r="C94" s="256" t="inlineStr">
        <is>
          <t>retest (predicted)</t>
        </is>
      </c>
      <c r="D94" s="256" t="inlineStr">
        <is>
          <t>17.08.26</t>
        </is>
      </c>
      <c r="E94" s="256" t="inlineStr">
        <is>
          <t>22.07.26</t>
        </is>
      </c>
      <c r="F94" s="256" t="inlineStr">
        <is>
          <t>197-10-К/26 27.07.26; ППК25279 05.09.25; 946/1684/25 11.09.25; 197-10-М/26 29.07.26; 4348/2025 05.09.25</t>
        </is>
      </c>
      <c r="G94" s="256" t="inlineStr">
        <is>
          <t>iCoA-PP_26-107 27.07.26 PP</t>
        </is>
      </c>
      <c r="H94" s="256" t="inlineStr">
        <is>
          <t>iCoA-PP_26-107 27.07.26 PP</t>
        </is>
      </c>
      <c r="I94" s="256" t="inlineStr">
        <is>
          <t>197-10-К/26 07.08.26 FHM-K</t>
        </is>
      </c>
      <c r="J94" s="256" t="inlineStr">
        <is>
          <t>197-10-К/26 07.08.26 FHM-K</t>
        </is>
      </c>
      <c r="K94" s="256" t="inlineStr">
        <is>
          <t>197-10-К/26 07.08.26 FHM-K</t>
        </is>
      </c>
      <c r="L94" s="256" t="inlineStr">
        <is>
          <t>197-10-К/26 07.08.26 FHM-K</t>
        </is>
      </c>
      <c r="M94" s="256" t="inlineStr">
        <is>
          <t>iCoA-PP_26-107 27.07.26 PP</t>
        </is>
      </c>
      <c r="N94" s="256" t="inlineStr">
        <is>
          <t>ППК25279 19.09.25 CNP (initial) DAB</t>
        </is>
      </c>
      <c r="O94" s="256" t="inlineStr">
        <is>
          <t>946/1684/25 17.09.25 IJZ-MB (initial); 946/1684/25 17.09.25 IJZ-MB OOS (initial)</t>
        </is>
      </c>
      <c r="P94" s="256" t="inlineStr">
        <is>
          <t>197-10-М/26 10.08.26 FHM-M</t>
        </is>
      </c>
      <c r="Q94" s="256" t="inlineStr">
        <is>
          <t>4348/2025 15.09.25 IJZ (initial)</t>
        </is>
      </c>
      <c r="R94" s="256" t="inlineStr">
        <is>
          <t>4348/2025 15.09.25 IJZ (initial)</t>
        </is>
      </c>
    </row>
    <row r="95">
      <c r="A95" s="256" t="inlineStr">
        <is>
          <t>CoQ-PP_26-094</t>
        </is>
      </c>
      <c r="B95" s="256" t="inlineStr">
        <is>
          <t>P050022 (GP0824_02)</t>
        </is>
      </c>
      <c r="C95" s="256" t="inlineStr">
        <is>
          <t>retest</t>
        </is>
      </c>
      <c r="D95" s="256" t="inlineStr">
        <is>
          <t>17.08.26</t>
        </is>
      </c>
      <c r="E95" s="256" t="inlineStr">
        <is>
          <t>22.07.26</t>
        </is>
      </c>
      <c r="F95" s="256" t="inlineStr">
        <is>
          <t>197-11-К/26 27.07.26; ППК25139 —; 627/1128/25 24.06.25; 197-11-М/26 29.07.26; 3176/2025 23.06.25</t>
        </is>
      </c>
      <c r="G95" s="256" t="inlineStr">
        <is>
          <t>iCoA-PP_26-108 27.07.26 PP</t>
        </is>
      </c>
      <c r="H95" s="256" t="inlineStr">
        <is>
          <t>iCoA-PP_26-108 27.07.26 PP</t>
        </is>
      </c>
      <c r="I95" s="256" t="inlineStr">
        <is>
          <t>197-11-К/26 07.08.26 FHM-K</t>
        </is>
      </c>
      <c r="J95" s="256" t="inlineStr">
        <is>
          <t>197-11-К/26 07.08.26 FHM-K</t>
        </is>
      </c>
      <c r="K95" s="256" t="inlineStr">
        <is>
          <t>197-11-К/26 07.08.26 FHM-K</t>
        </is>
      </c>
      <c r="L95" s="256" t="inlineStr">
        <is>
          <t>197-11-К/26 07.08.26 FHM-K</t>
        </is>
      </c>
      <c r="M95" s="256" t="inlineStr">
        <is>
          <t>iCoA-PP_26-108 27.07.26 PP</t>
        </is>
      </c>
      <c r="N95" s="256" t="inlineStr">
        <is>
          <t>ППК25139 22.05.25 CNP (initial) DAB; also ППК26059</t>
        </is>
      </c>
      <c r="O95" s="256" t="inlineStr">
        <is>
          <t>627/1128/25 02.07.25 IJZ-MB (initial)</t>
        </is>
      </c>
      <c r="P95" s="256" t="inlineStr">
        <is>
          <t>197-11-М/26 10.08.26 FHM-M</t>
        </is>
      </c>
      <c r="Q95" s="256" t="inlineStr">
        <is>
          <t>3176/2025 26.06.25 IJZ (initial)</t>
        </is>
      </c>
      <c r="R95" s="256" t="inlineStr">
        <is>
          <t>3176/2025 26.06.25 IJZ (initial)</t>
        </is>
      </c>
    </row>
    <row r="96">
      <c r="A96" s="256" t="inlineStr">
        <is>
          <t>CoQ-PP_26-095</t>
        </is>
      </c>
      <c r="B96" s="256" t="inlineStr">
        <is>
          <t>P050322 (GP082501/2)</t>
        </is>
      </c>
      <c r="C96" s="256" t="inlineStr">
        <is>
          <t>retest (predicted)</t>
        </is>
      </c>
      <c r="D96" s="256" t="inlineStr">
        <is>
          <t>17.08.26</t>
        </is>
      </c>
      <c r="E96" s="256" t="inlineStr">
        <is>
          <t>23.07.26</t>
        </is>
      </c>
      <c r="F96" s="256" t="inlineStr">
        <is>
          <t>197-12-К/26 27.07.26; ППК25381 01.12.25; 1227/2193/25 —; 197-12-М/26 29.07.26; 5889/2025 01.12.25</t>
        </is>
      </c>
      <c r="G96" s="256" t="inlineStr">
        <is>
          <t>iCoA-PP_26-111 27.07.26 PP</t>
        </is>
      </c>
      <c r="H96" s="256" t="inlineStr">
        <is>
          <t>iCoA-PP_26-111 27.07.26 PP</t>
        </is>
      </c>
      <c r="I96" s="256" t="inlineStr">
        <is>
          <t>197-12-К/26 07.08.26 FHM-K</t>
        </is>
      </c>
      <c r="J96" s="256" t="inlineStr">
        <is>
          <t>197-12-К/26 07.08.26 FHM-K</t>
        </is>
      </c>
      <c r="K96" s="256" t="inlineStr">
        <is>
          <t>197-12-К/26 07.08.26 FHM-K</t>
        </is>
      </c>
      <c r="L96" s="256" t="inlineStr">
        <is>
          <t>197-12-К/26 07.08.26 FHM-K</t>
        </is>
      </c>
      <c r="M96" s="256" t="inlineStr">
        <is>
          <t>iCoA-PP_26-111 27.07.26 PP</t>
        </is>
      </c>
      <c r="N96" s="256" t="inlineStr">
        <is>
          <t>ППК25381 12.12.25 CNP (initial)</t>
        </is>
      </c>
      <c r="O96" s="256" t="inlineStr">
        <is>
          <t>1227/2193/25 05.12.25 IJZ-MB (initial)</t>
        </is>
      </c>
      <c r="P96" s="256" t="inlineStr">
        <is>
          <t>197-12-М/26 10.08.26 FHM-M</t>
        </is>
      </c>
      <c r="Q96" s="256" t="inlineStr">
        <is>
          <t>5889/2025 12.12.25 IJZ (initial)</t>
        </is>
      </c>
      <c r="R96" s="256" t="inlineStr">
        <is>
          <t>5889/2025 12.12.25 IJZ (initial)</t>
        </is>
      </c>
    </row>
    <row r="97">
      <c r="A97" s="256" t="inlineStr">
        <is>
          <t>CoQ-PP_26-096</t>
        </is>
      </c>
      <c r="B97" s="256" t="inlineStr">
        <is>
          <t>HPA1024</t>
        </is>
      </c>
      <c r="C97" s="256" t="inlineStr">
        <is>
          <t>retest</t>
        </is>
      </c>
      <c r="D97" s="256" t="inlineStr">
        <is>
          <t>17.08.26</t>
        </is>
      </c>
      <c r="E97" s="256" t="inlineStr">
        <is>
          <t>23.07.26</t>
        </is>
      </c>
      <c r="F97" s="256" t="inlineStr">
        <is>
          <t>197-13-К/26 27.07.26; 197-13-М/26 29.07.26</t>
        </is>
      </c>
      <c r="G97" s="256" t="inlineStr">
        <is>
          <t>iCoA-PP_26-112 27.07.26 PP</t>
        </is>
      </c>
      <c r="H97" s="256" t="inlineStr">
        <is>
          <t>iCoA-PP_26-112 27.07.26 PP</t>
        </is>
      </c>
      <c r="I97" s="256" t="inlineStr">
        <is>
          <t>197-13-К/26 07.08.26 FHM-K</t>
        </is>
      </c>
      <c r="J97" s="256" t="inlineStr">
        <is>
          <t>197-13-К/26 07.08.26 FHM-K</t>
        </is>
      </c>
      <c r="K97" s="256" t="inlineStr">
        <is>
          <t>197-13-К/26 07.08.26 FHM-K</t>
        </is>
      </c>
      <c r="L97" s="256" t="inlineStr">
        <is>
          <t>197-13-К/26 07.08.26 FHM-K</t>
        </is>
      </c>
      <c r="M97" s="256" t="inlineStr">
        <is>
          <t>iCoA-PP_26-112 27.07.26 PP</t>
        </is>
      </c>
      <c r="N97" s="257" t="inlineStr">
        <is>
          <t>n/t (initial)</t>
        </is>
      </c>
      <c r="O97" s="256" t="inlineStr">
        <is>
          <t>iCoA-PP_26-005 03.06.26 PP (initial)</t>
        </is>
      </c>
      <c r="P97" s="256" t="inlineStr">
        <is>
          <t>197-13-М/26 10.08.26 FHM-M</t>
        </is>
      </c>
      <c r="Q97" s="256" t="inlineStr">
        <is>
          <t>iCoA-PP_26-005 03.06.26 PP (initial)</t>
        </is>
      </c>
      <c r="R97" s="256" t="inlineStr">
        <is>
          <t>iCoA-PP_26-005 03.06.26 PP (initial)</t>
        </is>
      </c>
    </row>
    <row r="98">
      <c r="A98" s="256" t="inlineStr">
        <is>
          <t>CoQ-PP_26-097</t>
        </is>
      </c>
      <c r="B98" s="256" t="inlineStr">
        <is>
          <t>P050052 (HPA1024_01)</t>
        </is>
      </c>
      <c r="C98" s="256" t="inlineStr">
        <is>
          <t>retest</t>
        </is>
      </c>
      <c r="D98" s="256" t="inlineStr">
        <is>
          <t>17.08.26</t>
        </is>
      </c>
      <c r="E98" s="256" t="inlineStr">
        <is>
          <t>23.07.26</t>
        </is>
      </c>
      <c r="F98" s="256" t="inlineStr">
        <is>
          <t>197-14-К/26 27.07.26; ППК25155 12.06.25; 587/1066/25 13.06.25; 197-14-М/26 29.07.26; 2995/2025 12.06.25</t>
        </is>
      </c>
      <c r="G98" s="256" t="inlineStr">
        <is>
          <t>iCoA-PP_26-113 27.07.26 PP</t>
        </is>
      </c>
      <c r="H98" s="256" t="inlineStr">
        <is>
          <t>iCoA-PP_26-113 27.07.26 PP</t>
        </is>
      </c>
      <c r="I98" s="256" t="inlineStr">
        <is>
          <t>197-14-К/26 07.08.26 FHM-K</t>
        </is>
      </c>
      <c r="J98" s="256" t="inlineStr">
        <is>
          <t>197-14-К/26 07.08.26 FHM-K</t>
        </is>
      </c>
      <c r="K98" s="256" t="inlineStr">
        <is>
          <t>197-14-К/26 07.08.26 FHM-K</t>
        </is>
      </c>
      <c r="L98" s="256" t="inlineStr">
        <is>
          <t>197-14-К/26 07.08.26 FHM-K</t>
        </is>
      </c>
      <c r="M98" s="256" t="inlineStr">
        <is>
          <t>iCoA-PP_26-113 27.07.26 PP</t>
        </is>
      </c>
      <c r="N98" s="256" t="inlineStr">
        <is>
          <t>ППК25155 24.06.25 CNP (initial) DAB</t>
        </is>
      </c>
      <c r="O98" s="256" t="inlineStr">
        <is>
          <t>587/1066/25 18.06.25 IJZ-MB (initial); 587/1066/25 18.06.25 IJZ-MB undetermined (initial)</t>
        </is>
      </c>
      <c r="P98" s="256" t="inlineStr">
        <is>
          <t>197-14-М/26 10.08.26 FHM-M</t>
        </is>
      </c>
      <c r="Q98" s="256" t="inlineStr">
        <is>
          <t>2995/2025 19.06.25 IJZ (initial)</t>
        </is>
      </c>
      <c r="R98" s="256" t="inlineStr">
        <is>
          <t>2995/2025 19.06.25 IJZ (initial)</t>
        </is>
      </c>
    </row>
    <row r="99">
      <c r="A99" s="256" t="inlineStr">
        <is>
          <t>CoQ-PP_26-098</t>
        </is>
      </c>
      <c r="B99" s="256" t="inlineStr">
        <is>
          <t>P060152 (J31102501)</t>
        </is>
      </c>
      <c r="C99" s="256" t="inlineStr">
        <is>
          <t>retest (predicted)</t>
        </is>
      </c>
      <c r="D99" s="256" t="inlineStr">
        <is>
          <t>17.08.26</t>
        </is>
      </c>
      <c r="E99" s="256" t="inlineStr">
        <is>
          <t>23.07.26</t>
        </is>
      </c>
      <c r="F99" s="256" t="inlineStr">
        <is>
          <t>197-16-К/26 27.07.26; 051-1-ГС/26 —; 133/0230/26 —; 197-16-М/26 27.07.26; 1056/2026 —</t>
        </is>
      </c>
      <c r="G99" s="256" t="inlineStr">
        <is>
          <t>iCoA-PP_26-114 27.07.26 PP</t>
        </is>
      </c>
      <c r="H99" s="256" t="inlineStr">
        <is>
          <t>iCoA-PP_26-114 27.07.26 PP</t>
        </is>
      </c>
      <c r="I99" s="256" t="inlineStr">
        <is>
          <t>197-16-К/26 07.08.26 FHM-K</t>
        </is>
      </c>
      <c r="J99" s="256" t="inlineStr">
        <is>
          <t>197-16-К/26 07.08.26 FHM-K</t>
        </is>
      </c>
      <c r="K99" s="256" t="inlineStr">
        <is>
          <t>197-16-К/26 07.08.26 FHM-K</t>
        </is>
      </c>
      <c r="L99" s="256" t="inlineStr">
        <is>
          <t>197-16-К/26 07.08.26 FHM-K</t>
        </is>
      </c>
      <c r="M99" s="256" t="inlineStr">
        <is>
          <t>iCoA-PP_26-114 27.07.26 PP</t>
        </is>
      </c>
      <c r="N99" s="256" t="inlineStr">
        <is>
          <t>051-1-ГС/26 02.03.26 FHM-K (initial)</t>
        </is>
      </c>
      <c r="O99" s="256" t="inlineStr">
        <is>
          <t>133/0230/26 06.03.26 IJZ</t>
        </is>
      </c>
      <c r="P99" s="256" t="inlineStr">
        <is>
          <t>197-16-М/26 10.08.26 FHM-M</t>
        </is>
      </c>
      <c r="Q99" s="256" t="inlineStr">
        <is>
          <t>1056/2026 09.03.26 IJZ</t>
        </is>
      </c>
      <c r="R99" s="256" t="inlineStr">
        <is>
          <t>1056/2026 09.03.26 IJZ (initial)</t>
        </is>
      </c>
    </row>
    <row r="100">
      <c r="A100" s="256" t="inlineStr">
        <is>
          <t>CoQ-PP_26-099</t>
        </is>
      </c>
      <c r="B100" s="256" t="inlineStr">
        <is>
          <t>P060212 (JD112501)</t>
        </is>
      </c>
      <c r="C100" s="256" t="inlineStr">
        <is>
          <t>retest (predicted)</t>
        </is>
      </c>
      <c r="D100" s="256" t="inlineStr">
        <is>
          <t>17.08.26</t>
        </is>
      </c>
      <c r="E100" s="256" t="inlineStr">
        <is>
          <t>23.07.26</t>
        </is>
      </c>
      <c r="F100" s="256" t="inlineStr">
        <is>
          <t>197-15-К/26 27.07.26; ППК26063 21.04.26; 307/0551/26 22.04.26; 197-15-М/26 29.07.26; 2361/2026 21.04.26</t>
        </is>
      </c>
      <c r="G100" s="256" t="inlineStr">
        <is>
          <t>iCoA-PP_26-115 27.07.26 PP</t>
        </is>
      </c>
      <c r="H100" s="256" t="inlineStr">
        <is>
          <t>iCoA-PP_26-115 27.07.26 PP</t>
        </is>
      </c>
      <c r="I100" s="256" t="inlineStr">
        <is>
          <t>197-15-К/26 07.08.26 FHM-K</t>
        </is>
      </c>
      <c r="J100" s="256" t="inlineStr">
        <is>
          <t>197-15-К/26 07.08.26 FHM-K</t>
        </is>
      </c>
      <c r="K100" s="256" t="inlineStr">
        <is>
          <t>197-15-К/26 07.08.26 FHM-K</t>
        </is>
      </c>
      <c r="L100" s="256" t="inlineStr">
        <is>
          <t>197-15-К/26 07.08.26 FHM-K</t>
        </is>
      </c>
      <c r="M100" s="256" t="inlineStr">
        <is>
          <t>iCoA-PP_26-115 27.07.26 PP</t>
        </is>
      </c>
      <c r="N100" s="256" t="inlineStr">
        <is>
          <t>ППК26063 11.05.26 CNP (initial) DAB</t>
        </is>
      </c>
      <c r="O100" s="256" t="inlineStr">
        <is>
          <t>307/0551/26 28.04.26 IJZ-MB (initial)</t>
        </is>
      </c>
      <c r="P100" s="256" t="inlineStr">
        <is>
          <t>197-15-М/26 10.08.26 FHM-M</t>
        </is>
      </c>
      <c r="Q100" s="256" t="inlineStr">
        <is>
          <t>2361/2026 30.04.26 IJZ (initial)</t>
        </is>
      </c>
      <c r="R100" s="256" t="inlineStr">
        <is>
          <t>2361/2026 30.04.26 IJZ (initial)</t>
        </is>
      </c>
    </row>
    <row r="101">
      <c r="A101" s="256" t="inlineStr">
        <is>
          <t>CoQ-PP_26-100</t>
        </is>
      </c>
      <c r="B101" s="256" t="inlineStr">
        <is>
          <t>OPM1024</t>
        </is>
      </c>
      <c r="C101" s="256" t="inlineStr">
        <is>
          <t>retest</t>
        </is>
      </c>
      <c r="D101" s="256" t="inlineStr">
        <is>
          <t>17.08.26</t>
        </is>
      </c>
      <c r="E101" s="256" t="inlineStr">
        <is>
          <t>24.07.26</t>
        </is>
      </c>
      <c r="F101" s="256" t="inlineStr">
        <is>
          <t>197-17-К/26 27.07.26; 197-17-М/26 29.07.26</t>
        </is>
      </c>
      <c r="G101" s="256" t="inlineStr">
        <is>
          <t>iCoA-PP_26-116 27.07.26 PP</t>
        </is>
      </c>
      <c r="H101" s="256" t="inlineStr">
        <is>
          <t>iCoA-PP_26-116 27.07.26 PP</t>
        </is>
      </c>
      <c r="I101" s="256" t="inlineStr">
        <is>
          <t>197-17-К/26 07.08.26 FHM-K</t>
        </is>
      </c>
      <c r="J101" s="256" t="inlineStr">
        <is>
          <t>197-17-К/26 07.08.26 FHM-K</t>
        </is>
      </c>
      <c r="K101" s="256" t="inlineStr">
        <is>
          <t>197-17-К/26 07.08.26 FHM-K</t>
        </is>
      </c>
      <c r="L101" s="256" t="inlineStr">
        <is>
          <t>197-17-К/26 07.08.26 FHM-K</t>
        </is>
      </c>
      <c r="M101" s="256" t="inlineStr">
        <is>
          <t>iCoA-PP_26-116 27.07.26 PP</t>
        </is>
      </c>
      <c r="N101" s="257" t="inlineStr">
        <is>
          <t>n/t (initial)</t>
        </is>
      </c>
      <c r="O101" s="256" t="inlineStr">
        <is>
          <t>iCoA-PP_26-006 03.06.26 PP (initial)</t>
        </is>
      </c>
      <c r="P101" s="256" t="inlineStr">
        <is>
          <t>197-17-М/26 10.08.26 FHM-M</t>
        </is>
      </c>
      <c r="Q101" s="256" t="inlineStr">
        <is>
          <t>iCoA-PP_26-006 03.06.26 PP (initial)</t>
        </is>
      </c>
      <c r="R101" s="256" t="inlineStr">
        <is>
          <t>iCoA-PP_26-006 03.06.26 PP (initial)</t>
        </is>
      </c>
    </row>
    <row r="102">
      <c r="A102" s="256" t="inlineStr">
        <is>
          <t>CoQ-PP_26-101</t>
        </is>
      </c>
      <c r="B102" s="256" t="inlineStr">
        <is>
          <t>P050062 (OPM1024_02)</t>
        </is>
      </c>
      <c r="C102" s="256" t="inlineStr">
        <is>
          <t>retest</t>
        </is>
      </c>
      <c r="D102" s="256" t="inlineStr">
        <is>
          <t>17.08.26</t>
        </is>
      </c>
      <c r="E102" s="256" t="inlineStr">
        <is>
          <t>24.07.26</t>
        </is>
      </c>
      <c r="F102" s="256" t="inlineStr">
        <is>
          <t>197-18-К/26 27.07.26; ППК25154 12.06.25; 588/1067/25 13.06.25; 197-18-М/26 29.07.26; 2994/2025 12.06.25</t>
        </is>
      </c>
      <c r="G102" s="256" t="inlineStr">
        <is>
          <t>iCoA-PP_26-117 27.07.26 PP</t>
        </is>
      </c>
      <c r="H102" s="256" t="inlineStr">
        <is>
          <t>iCoA-PP_26-117 27.07.26 PP</t>
        </is>
      </c>
      <c r="I102" s="256" t="inlineStr">
        <is>
          <t>197-18-К/26 07.08.26 FHM-K</t>
        </is>
      </c>
      <c r="J102" s="256" t="inlineStr">
        <is>
          <t>197-18-К/26 07.08.26 FHM-K</t>
        </is>
      </c>
      <c r="K102" s="256" t="inlineStr">
        <is>
          <t>197-18-К/26 07.08.26 FHM-K</t>
        </is>
      </c>
      <c r="L102" s="256" t="inlineStr">
        <is>
          <t>197-18-К/26 07.08.26 FHM-K</t>
        </is>
      </c>
      <c r="M102" s="256" t="inlineStr">
        <is>
          <t>iCoA-PP_26-117 27.07.26 PP</t>
        </is>
      </c>
      <c r="N102" s="256" t="inlineStr">
        <is>
          <t>ППК25154 24.06.25 CNP (initial) DAB</t>
        </is>
      </c>
      <c r="O102" s="256" t="inlineStr">
        <is>
          <t>588/1067/25 18.06.25 IJZ-MB (initial)</t>
        </is>
      </c>
      <c r="P102" s="256" t="inlineStr">
        <is>
          <t>197-18-М/26 10.08.26 FHM-M</t>
        </is>
      </c>
      <c r="Q102" s="256" t="inlineStr">
        <is>
          <t>2994/2025 19.06.25 IJZ (initial)</t>
        </is>
      </c>
      <c r="R102" s="256" t="inlineStr">
        <is>
          <t>2994/2025 19.06.25 IJZ (initial)</t>
        </is>
      </c>
    </row>
    <row r="103">
      <c r="A103" s="256" t="inlineStr">
        <is>
          <t>CoQ-PP_26-102</t>
        </is>
      </c>
      <c r="B103" s="256" t="inlineStr">
        <is>
          <t>P060242 (OPM122501)</t>
        </is>
      </c>
      <c r="C103" s="256" t="inlineStr">
        <is>
          <t>retest (predicted)</t>
        </is>
      </c>
      <c r="D103" s="256" t="inlineStr">
        <is>
          <t>17.08.26</t>
        </is>
      </c>
      <c r="E103" s="256" t="inlineStr">
        <is>
          <t>24.07.26</t>
        </is>
      </c>
      <c r="F103" s="256" t="inlineStr">
        <is>
          <t>197-19-К/26 27.07.26; 100-4-ГС/26 —; 229/0392/26 01.04.26; 197-19-М/26 29.07.26; 1627/2026 27.03.26</t>
        </is>
      </c>
      <c r="G103" s="256" t="inlineStr">
        <is>
          <t>iCoA-PP_26-118 27.07.26 PP</t>
        </is>
      </c>
      <c r="H103" s="256" t="inlineStr">
        <is>
          <t>iCoA-PP_26-118 27.07.26 PP</t>
        </is>
      </c>
      <c r="I103" s="256" t="inlineStr">
        <is>
          <t>197-19-К/26 07.08.26 FHM-K</t>
        </is>
      </c>
      <c r="J103" s="256" t="inlineStr">
        <is>
          <t>197-19-К/26 07.08.26 FHM-K</t>
        </is>
      </c>
      <c r="K103" s="256" t="inlineStr">
        <is>
          <t>197-19-К/26 07.08.26 FHM-K</t>
        </is>
      </c>
      <c r="L103" s="256" t="inlineStr">
        <is>
          <t>197-19-К/26 07.08.26 FHM-K</t>
        </is>
      </c>
      <c r="M103" s="256" t="inlineStr">
        <is>
          <t>iCoA-PP_26-118 27.07.26 PP</t>
        </is>
      </c>
      <c r="N103" s="256" t="inlineStr">
        <is>
          <t>100-4-ГС/26 09.04.26 FHM-K (initial)</t>
        </is>
      </c>
      <c r="O103" s="256" t="inlineStr">
        <is>
          <t>229/0392/26 07.04.26 IJZ-MB (initial)</t>
        </is>
      </c>
      <c r="P103" s="256" t="inlineStr">
        <is>
          <t>197-19-М/26 10.08.26 FHM-M</t>
        </is>
      </c>
      <c r="Q103" s="256" t="inlineStr">
        <is>
          <t>1627/2026 23.04.26 IJZ (initial)</t>
        </is>
      </c>
      <c r="R103" s="256" t="inlineStr">
        <is>
          <t>1627/2026 23.04.26 IJZ (initial)</t>
        </is>
      </c>
    </row>
    <row r="104">
      <c r="A104" s="256" t="inlineStr">
        <is>
          <t>CoQ-PP_26-103</t>
        </is>
      </c>
      <c r="B104" s="256" t="inlineStr">
        <is>
          <t>P060062 (PM092501)</t>
        </is>
      </c>
      <c r="C104" s="256" t="inlineStr">
        <is>
          <t>retest (predicted)</t>
        </is>
      </c>
      <c r="D104" s="256" t="inlineStr">
        <is>
          <t>17.08.26</t>
        </is>
      </c>
      <c r="E104" s="256" t="inlineStr">
        <is>
          <t>24.07.26</t>
        </is>
      </c>
      <c r="F104" s="256" t="inlineStr">
        <is>
          <t>197-20-К/26 27.07.26; ППК26004 08.01.26; 6/0009/26 12.01.25; 197-20-М/26 29.07.26; 83/2026 08.01.26</t>
        </is>
      </c>
      <c r="G104" s="256" t="inlineStr">
        <is>
          <t>iCoA-PP_26-120 27.07.26 PP</t>
        </is>
      </c>
      <c r="H104" s="256" t="inlineStr">
        <is>
          <t>iCoA-PP_26-120 27.07.26 PP</t>
        </is>
      </c>
      <c r="I104" s="256" t="inlineStr">
        <is>
          <t>197-20-К/26 07.08.26 FHM-K</t>
        </is>
      </c>
      <c r="J104" s="256" t="inlineStr">
        <is>
          <t>197-20-К/26 07.08.26 FHM-K</t>
        </is>
      </c>
      <c r="K104" s="256" t="inlineStr">
        <is>
          <t>197-20-К/26 07.08.26 FHM-K</t>
        </is>
      </c>
      <c r="L104" s="256" t="inlineStr">
        <is>
          <t>197-20-К/26 07.08.26 FHM-K</t>
        </is>
      </c>
      <c r="M104" s="256" t="inlineStr">
        <is>
          <t>iCoA-PP_26-120 27.07.26 PP</t>
        </is>
      </c>
      <c r="N104" s="256" t="inlineStr">
        <is>
          <t>ППК26004 21.01.26 CNP (initial) DAB</t>
        </is>
      </c>
      <c r="O104" s="256" t="inlineStr">
        <is>
          <t>6/0009/26 20.01.26 IJZ-MB (initial)</t>
        </is>
      </c>
      <c r="P104" s="256" t="inlineStr">
        <is>
          <t>197-20-М/26 10.08.26 FHM-M</t>
        </is>
      </c>
      <c r="Q104" s="256" t="inlineStr">
        <is>
          <t>83/2026 02.02.26 IJZ (initial)</t>
        </is>
      </c>
      <c r="R104" s="256" t="inlineStr">
        <is>
          <t>83/2026 02.02.26 IJZ (initial)</t>
        </is>
      </c>
    </row>
    <row r="105">
      <c r="A105" s="256" t="inlineStr">
        <is>
          <t>CoQ-PP_26-104</t>
        </is>
      </c>
      <c r="B105" s="256" t="inlineStr">
        <is>
          <t>P060382 (SCR012603)</t>
        </is>
      </c>
      <c r="C105" s="256" t="inlineStr">
        <is>
          <t>retest (predicted)</t>
        </is>
      </c>
      <c r="D105" s="256" t="inlineStr">
        <is>
          <t>17.08.26</t>
        </is>
      </c>
      <c r="E105" s="256" t="inlineStr">
        <is>
          <t>24.07.26</t>
        </is>
      </c>
      <c r="F105" s="256" t="inlineStr">
        <is>
          <t>197-21-К/26 27.07.26; 364/0694/26 —; 197-21-М/26 29.07.26</t>
        </is>
      </c>
      <c r="G105" s="256" t="inlineStr">
        <is>
          <t>iCoA-PP_26-119 27.07.26 PP</t>
        </is>
      </c>
      <c r="H105" s="256" t="inlineStr">
        <is>
          <t>iCoA-PP_26-119 27.07.26 PP</t>
        </is>
      </c>
      <c r="I105" s="256" t="inlineStr">
        <is>
          <t>197-21-К/26 07.08.26 FHM-K</t>
        </is>
      </c>
      <c r="J105" s="256" t="inlineStr">
        <is>
          <t>197-21-К/26 07.08.26 FHM-K</t>
        </is>
      </c>
      <c r="K105" s="256" t="inlineStr">
        <is>
          <t>197-21-К/26 07.08.26 FHM-K</t>
        </is>
      </c>
      <c r="L105" s="256" t="inlineStr">
        <is>
          <t>197-21-К/26 07.08.26 FHM-K</t>
        </is>
      </c>
      <c r="M105" s="256" t="inlineStr">
        <is>
          <t>iCoA-PP_26-119 27.07.26 PP</t>
        </is>
      </c>
      <c r="N105" s="257" t="inlineStr">
        <is>
          <t>n/t (initial)</t>
        </is>
      </c>
      <c r="O105" s="256" t="inlineStr">
        <is>
          <t>364/0694/26 01.06.26 IJZ; 364/0694/26 01.06.26 IJZ undetermined</t>
        </is>
      </c>
      <c r="P105" s="256" t="inlineStr">
        <is>
          <t>197-21-М/26 10.08.26 FHM-M</t>
        </is>
      </c>
      <c r="Q105" s="257" t="inlineStr">
        <is>
          <t>n/t (initial)</t>
        </is>
      </c>
      <c r="R105" s="257" t="inlineStr">
        <is>
          <t>n/t (initial)</t>
        </is>
      </c>
    </row>
    <row r="106">
      <c r="A106" s="256" t="inlineStr">
        <is>
          <t>CoQ-PP_26-105</t>
        </is>
      </c>
      <c r="B106" s="256" t="inlineStr">
        <is>
          <t>P050212 (CJ062501-2)</t>
        </is>
      </c>
      <c r="C106" s="256" t="inlineStr">
        <is>
          <t>retest (predicted)</t>
        </is>
      </c>
      <c r="D106" s="256" t="inlineStr">
        <is>
          <t>07.09.26</t>
        </is>
      </c>
      <c r="E106" s="256" t="inlineStr">
        <is>
          <t>21.07.26</t>
        </is>
      </c>
      <c r="F106" s="256" t="inlineStr">
        <is>
          <t>197-4-К/26 27.07.26; ППК25322 10.10.25; 534/1065/26 —; 197-4-М/26 29.07.26; 4908/2025 10.10.25</t>
        </is>
      </c>
      <c r="G106" s="256" t="inlineStr">
        <is>
          <t>iCoA-PP_26-103 27.07.26 PP</t>
        </is>
      </c>
      <c r="H106" s="256" t="inlineStr">
        <is>
          <t>iCoA-PP_26-103 27.07.26 PP</t>
        </is>
      </c>
      <c r="I106" s="256" t="inlineStr">
        <is>
          <t>197-4-К/26 07.08.26 FHM-K</t>
        </is>
      </c>
      <c r="J106" s="256" t="inlineStr">
        <is>
          <t>197-4-К/26 07.08.26 FHM-K</t>
        </is>
      </c>
      <c r="K106" s="256" t="inlineStr">
        <is>
          <t>197-4-К/26 07.08.26 FHM-K</t>
        </is>
      </c>
      <c r="L106" s="256" t="inlineStr">
        <is>
          <t>197-4-К/26 07.08.26 FHM-K</t>
        </is>
      </c>
      <c r="M106" s="256" t="inlineStr">
        <is>
          <t>iCoA-PP_26-103 27.07.26 PP</t>
        </is>
      </c>
      <c r="N106" s="256" t="inlineStr">
        <is>
          <t>ППК25322 23.10.25 CNP (initial) DAB</t>
        </is>
      </c>
      <c r="O106" s="256" t="inlineStr">
        <is>
          <t>534/1065/26 31.08.26 IJZ-MB</t>
        </is>
      </c>
      <c r="P106" s="256" t="inlineStr">
        <is>
          <t>197-4-М/26 10.08.26 FHM-M</t>
        </is>
      </c>
      <c r="Q106" s="256" t="inlineStr">
        <is>
          <t>4908/2025 24.10.25 IJZ (initial)</t>
        </is>
      </c>
      <c r="R106" s="256" t="inlineStr">
        <is>
          <t>4908/2025 24.10.25 IJZ (initial)</t>
        </is>
      </c>
    </row>
    <row r="107">
      <c r="A107" s="256" t="inlineStr">
        <is>
          <t>CoQ-PP_26-106</t>
        </is>
      </c>
      <c r="B107" s="256" t="inlineStr">
        <is>
          <t>P060122 (ACC102501)</t>
        </is>
      </c>
      <c r="C107" s="256" t="inlineStr">
        <is>
          <t>retest (predicted)</t>
        </is>
      </c>
      <c r="D107" s="256" t="inlineStr">
        <is>
          <t>18.09.26</t>
        </is>
      </c>
      <c r="E107" s="256" t="inlineStr">
        <is>
          <t>12.08.26</t>
        </is>
      </c>
      <c r="F107" s="256" t="inlineStr">
        <is>
          <t>220-1-К/26 17.08.26; 031-5-ГС/26 —; 77/0120/26 —; 220-1-М/26 17.08.26; 326/2026 —</t>
        </is>
      </c>
      <c r="G107" s="256" t="inlineStr">
        <is>
          <t>iCoA-PP_26-123 17.08.26 PP*</t>
        </is>
      </c>
      <c r="H107" s="256" t="inlineStr">
        <is>
          <t>iCoA-PP_26-123 17.08.26 PP*</t>
        </is>
      </c>
      <c r="I107" s="256" t="inlineStr">
        <is>
          <t>220-1-К/26 25.08.26 FHM-K</t>
        </is>
      </c>
      <c r="J107" s="256" t="inlineStr">
        <is>
          <t>220-1-К/26 25.08.26 FHM-K</t>
        </is>
      </c>
      <c r="K107" s="256" t="inlineStr">
        <is>
          <t>220-1-К/26 25.08.26 FHM-K</t>
        </is>
      </c>
      <c r="L107" s="256" t="inlineStr">
        <is>
          <t>220-1-К/26 25.08.26 FHM-K</t>
        </is>
      </c>
      <c r="M107" s="256" t="inlineStr">
        <is>
          <t>iCoA-PP_26-123 17.08.26 PP*</t>
        </is>
      </c>
      <c r="N107" s="256" t="inlineStr">
        <is>
          <t>031-5-ГС/26 12.02.26 FHM (initial)</t>
        </is>
      </c>
      <c r="O107" s="256" t="inlineStr">
        <is>
          <t>77/0120/26 09.02.26 IJZ</t>
        </is>
      </c>
      <c r="P107" s="256" t="inlineStr">
        <is>
          <t>220-1-М/26 11.09.26 FHM-M</t>
        </is>
      </c>
      <c r="Q107" s="256" t="inlineStr">
        <is>
          <t>326/2026 11.02.26 IJZ</t>
        </is>
      </c>
      <c r="R107" s="256" t="inlineStr">
        <is>
          <t>326/2026 11.02.26 IJZ (initial)</t>
        </is>
      </c>
    </row>
    <row r="108">
      <c r="A108" s="256" t="inlineStr">
        <is>
          <t>CoQ-PP_26-107</t>
        </is>
      </c>
      <c r="B108" s="256" t="inlineStr">
        <is>
          <t>P050192 (BSS052501)</t>
        </is>
      </c>
      <c r="C108" s="256" t="inlineStr">
        <is>
          <t>retest (predicted)</t>
        </is>
      </c>
      <c r="D108" s="256" t="inlineStr">
        <is>
          <t>18.09.26</t>
        </is>
      </c>
      <c r="E108" s="256" t="inlineStr">
        <is>
          <t>12.08.26</t>
        </is>
      </c>
      <c r="F108" s="256" t="inlineStr">
        <is>
          <t>220-2-К/26 17.08.26; 1157/2058/25 17.11.25; 220-2-М/26 17.08.26; 5661/2025 21.11.25; 10802_2845/2 —</t>
        </is>
      </c>
      <c r="G108" s="256" t="inlineStr">
        <is>
          <t>iCoA-PP_26-124 17.08.26 PP</t>
        </is>
      </c>
      <c r="H108" s="256" t="inlineStr">
        <is>
          <t>iCoA-PP_26-124 17.08.26 PP</t>
        </is>
      </c>
      <c r="I108" s="256" t="inlineStr">
        <is>
          <t>220-2-К/26 25.08.26 FHM-K</t>
        </is>
      </c>
      <c r="J108" s="256" t="inlineStr">
        <is>
          <t>220-2-К/26 25.08.26 FHM-K</t>
        </is>
      </c>
      <c r="K108" s="256" t="inlineStr">
        <is>
          <t>220-2-К/26 25.08.26 FHM-K</t>
        </is>
      </c>
      <c r="L108" s="256" t="inlineStr">
        <is>
          <t>220-2-К/26 25.08.26 FHM-K</t>
        </is>
      </c>
      <c r="M108" s="256" t="inlineStr">
        <is>
          <t>iCoA-PP_26-124 17.08.26 PP</t>
        </is>
      </c>
      <c r="N108" s="256" t="inlineStr">
        <is>
          <t>iCoA-PP_26-024 03.06.26 PP (initial)</t>
        </is>
      </c>
      <c r="O108" s="256" t="inlineStr">
        <is>
          <t>1157/2058/25 24.11.25 IJZ-MB (initial)</t>
        </is>
      </c>
      <c r="P108" s="256" t="inlineStr">
        <is>
          <t>220-2-М/26 11.09.26 FHM-M</t>
        </is>
      </c>
      <c r="Q108" s="256" t="inlineStr">
        <is>
          <t>5661/2025 01.12.25 IJZ (initial)</t>
        </is>
      </c>
      <c r="R108" s="256" t="inlineStr">
        <is>
          <t>10802_2845/2 17.11.25 DFL (initial)</t>
        </is>
      </c>
    </row>
    <row r="109">
      <c r="A109" s="256" t="inlineStr">
        <is>
          <t>CoQ-PP_26-108</t>
        </is>
      </c>
      <c r="B109" s="256" t="inlineStr">
        <is>
          <t>P060372 (CC012603)</t>
        </is>
      </c>
      <c r="C109" s="256" t="inlineStr">
        <is>
          <t>retest (predicted)</t>
        </is>
      </c>
      <c r="D109" s="256" t="inlineStr">
        <is>
          <t>18.09.26</t>
        </is>
      </c>
      <c r="E109" s="256" t="inlineStr">
        <is>
          <t>14.08.26</t>
        </is>
      </c>
      <c r="F109" s="256" t="inlineStr">
        <is>
          <t>220-29-К/26 17.08.26; 363/0693/26 —; 220-29-М/26 17.08.26</t>
        </is>
      </c>
      <c r="G109" s="256" t="inlineStr">
        <is>
          <t>iCoA-PP_26-145 17.08.26 PP*</t>
        </is>
      </c>
      <c r="H109" s="256" t="inlineStr">
        <is>
          <t>iCoA-PP_26-145 17.08.26 PP*</t>
        </is>
      </c>
      <c r="I109" s="256" t="inlineStr">
        <is>
          <t>220-29-К/26 26.08.26 FHM-K</t>
        </is>
      </c>
      <c r="J109" s="256" t="inlineStr">
        <is>
          <t>220-29-К/26 26.08.26 FHM-K</t>
        </is>
      </c>
      <c r="K109" s="256" t="inlineStr">
        <is>
          <t>220-29-К/26 26.08.26 FHM-K</t>
        </is>
      </c>
      <c r="L109" s="256" t="inlineStr">
        <is>
          <t>220-29-К/26 26.08.26 FHM-K</t>
        </is>
      </c>
      <c r="M109" s="256" t="inlineStr">
        <is>
          <t>iCoA-PP_26-145 17.08.26 PP*</t>
        </is>
      </c>
      <c r="N109" s="257" t="inlineStr">
        <is>
          <t>n/t (initial)</t>
        </is>
      </c>
      <c r="O109" s="256" t="inlineStr">
        <is>
          <t>363/0693/26 01.06.26 IJZ</t>
        </is>
      </c>
      <c r="P109" s="256" t="inlineStr">
        <is>
          <t>220-29-М/26 11.09.26 FHM-M</t>
        </is>
      </c>
      <c r="Q109" s="257" t="inlineStr">
        <is>
          <t>n/t (initial)</t>
        </is>
      </c>
      <c r="R109" s="257" t="inlineStr">
        <is>
          <t>n/t (initial)</t>
        </is>
      </c>
    </row>
    <row r="110">
      <c r="A110" s="256" t="inlineStr">
        <is>
          <t>CoQ-PP_26-109</t>
        </is>
      </c>
      <c r="B110" s="256" t="inlineStr">
        <is>
          <t>P060132 (CF102501)</t>
        </is>
      </c>
      <c r="C110" s="256" t="inlineStr">
        <is>
          <t>retest (predicted)</t>
        </is>
      </c>
      <c r="D110" s="256" t="inlineStr">
        <is>
          <t>18.09.26</t>
        </is>
      </c>
      <c r="E110" s="256" t="inlineStr">
        <is>
          <t>12.08.26</t>
        </is>
      </c>
      <c r="F110" s="256" t="inlineStr">
        <is>
          <t>220-6-К/26 17.08.26; 031-4-ГС/26 —; 73/0116/26 —; 220-6-М/26 17.08.26; 330/2026 —</t>
        </is>
      </c>
      <c r="G110" s="256" t="inlineStr">
        <is>
          <t>iCoA-PP_26-125 17.08.26 PP*</t>
        </is>
      </c>
      <c r="H110" s="256" t="inlineStr">
        <is>
          <t>iCoA-PP_26-125 17.08.26 PP*</t>
        </is>
      </c>
      <c r="I110" s="256" t="inlineStr">
        <is>
          <t>220-6-К/26 25.08.26 FHM-K</t>
        </is>
      </c>
      <c r="J110" s="256" t="inlineStr">
        <is>
          <t>220-6-К/26 25.08.26 FHM-K</t>
        </is>
      </c>
      <c r="K110" s="256" t="inlineStr">
        <is>
          <t>220-6-К/26 25.08.26 FHM-K</t>
        </is>
      </c>
      <c r="L110" s="256" t="inlineStr">
        <is>
          <t>220-6-К/26 25.08.26 FHM-K</t>
        </is>
      </c>
      <c r="M110" s="256" t="inlineStr">
        <is>
          <t>iCoA-PP_26-125 17.08.26 PP*</t>
        </is>
      </c>
      <c r="N110" s="256" t="inlineStr">
        <is>
          <t>031-4-ГС/26 12.02.26 FHM (initial)</t>
        </is>
      </c>
      <c r="O110" s="256" t="inlineStr">
        <is>
          <t>73/0116/26 09.02.26 IJZ; 73/0116/26 09.02.26 IJZ OOS</t>
        </is>
      </c>
      <c r="P110" s="256" t="inlineStr">
        <is>
          <t>220-6-М/26 11.09.26 FHM-M</t>
        </is>
      </c>
      <c r="Q110" s="256" t="inlineStr">
        <is>
          <t>330/2026 11.02.26 IJZ</t>
        </is>
      </c>
      <c r="R110" s="256" t="inlineStr">
        <is>
          <t>330/2026 11.02.26 IJZ (initial)</t>
        </is>
      </c>
    </row>
    <row r="111">
      <c r="A111" s="256" t="inlineStr">
        <is>
          <t>CoQ-PP_26-110</t>
        </is>
      </c>
      <c r="B111" s="256" t="inlineStr">
        <is>
          <t>P050222 (CJ062501/1)</t>
        </is>
      </c>
      <c r="C111" s="256" t="inlineStr">
        <is>
          <t>retest (predicted)</t>
        </is>
      </c>
      <c r="D111" s="256" t="inlineStr">
        <is>
          <t>18.09.26</t>
        </is>
      </c>
      <c r="E111" s="256" t="inlineStr">
        <is>
          <t>12.08.26</t>
        </is>
      </c>
      <c r="F111" s="256" t="inlineStr">
        <is>
          <t>220-3-К/26 17.08.26; ППК25321 10.10.25; 535/1066/26 —; 220-3-М/26 17.08.26; 4907/2025 10.10.25</t>
        </is>
      </c>
      <c r="G111" s="256" t="inlineStr">
        <is>
          <t>iCoA-PP_26-126 17.08.26 PP</t>
        </is>
      </c>
      <c r="H111" s="256" t="inlineStr">
        <is>
          <t>iCoA-PP_26-126 17.08.26 PP</t>
        </is>
      </c>
      <c r="I111" s="256" t="inlineStr">
        <is>
          <t>220-3-К/26 25.08.26 FHM-K</t>
        </is>
      </c>
      <c r="J111" s="256" t="inlineStr">
        <is>
          <t>220-3-К/26 25.08.26 FHM-K</t>
        </is>
      </c>
      <c r="K111" s="256" t="inlineStr">
        <is>
          <t>220-3-К/26 25.08.26 FHM-K</t>
        </is>
      </c>
      <c r="L111" s="256" t="inlineStr">
        <is>
          <t>220-3-К/26 25.08.26 FHM-K</t>
        </is>
      </c>
      <c r="M111" s="256" t="inlineStr">
        <is>
          <t>iCoA-PP_26-126 17.08.26 PP</t>
        </is>
      </c>
      <c r="N111" s="256" t="inlineStr">
        <is>
          <t>ППК25321 23.10.25 CNP (initial) DAB</t>
        </is>
      </c>
      <c r="O111" s="256" t="inlineStr">
        <is>
          <t>535/1066/26 31.08.26 IJZ-MB</t>
        </is>
      </c>
      <c r="P111" s="256" t="inlineStr">
        <is>
          <t>220-3-М/26 11.09.26 FHM-M</t>
        </is>
      </c>
      <c r="Q111" s="256" t="inlineStr">
        <is>
          <t>4907/2025 24.10.25 IJZ (initial)</t>
        </is>
      </c>
      <c r="R111" s="256" t="inlineStr">
        <is>
          <t>4907/2025 24.10.25 IJZ (initial)</t>
        </is>
      </c>
    </row>
    <row r="112">
      <c r="A112" s="256" t="inlineStr">
        <is>
          <t>CoQ-PP_26-111</t>
        </is>
      </c>
      <c r="B112" s="256" t="inlineStr">
        <is>
          <t>P060022 (CJ082501/1)</t>
        </is>
      </c>
      <c r="C112" s="256" t="inlineStr">
        <is>
          <t>retest (predicted)</t>
        </is>
      </c>
      <c r="D112" s="256" t="inlineStr">
        <is>
          <t>18.09.26</t>
        </is>
      </c>
      <c r="E112" s="256" t="inlineStr">
        <is>
          <t>12.08.26</t>
        </is>
      </c>
      <c r="F112" s="256" t="inlineStr">
        <is>
          <t>220-4-К/26 17.08.26; ППК26002 08.01.26; 8/0011/26 12.01.25; 220-4-М/26 17.08.26; 81/2026 08.01.26</t>
        </is>
      </c>
      <c r="G112" s="256" t="inlineStr">
        <is>
          <t>iCoA-PP_26-127 17.08.26 PP</t>
        </is>
      </c>
      <c r="H112" s="256" t="inlineStr">
        <is>
          <t>iCoA-PP_26-127 17.08.26 PP</t>
        </is>
      </c>
      <c r="I112" s="256" t="inlineStr">
        <is>
          <t>220-4-К/26 25.08.26 FHM-K</t>
        </is>
      </c>
      <c r="J112" s="256" t="inlineStr">
        <is>
          <t>220-4-К/26 25.08.26 FHM-K</t>
        </is>
      </c>
      <c r="K112" s="256" t="inlineStr">
        <is>
          <t>220-4-К/26 25.08.26 FHM-K</t>
        </is>
      </c>
      <c r="L112" s="256" t="inlineStr">
        <is>
          <t>220-4-К/26 25.08.26 FHM-K</t>
        </is>
      </c>
      <c r="M112" s="256" t="inlineStr">
        <is>
          <t>iCoA-PP_26-127 17.08.26 PP</t>
        </is>
      </c>
      <c r="N112" s="256" t="inlineStr">
        <is>
          <t>ППК26002 21.01.26 CNP (initial) DAB</t>
        </is>
      </c>
      <c r="O112" s="256" t="inlineStr">
        <is>
          <t>8/0011/26 20.01.26 IJZ-MB (initial)</t>
        </is>
      </c>
      <c r="P112" s="256" t="inlineStr">
        <is>
          <t>220-4-М/26 11.09.26 FHM-M</t>
        </is>
      </c>
      <c r="Q112" s="256" t="inlineStr">
        <is>
          <t>81/2026 02.02.26 IJZ (initial)</t>
        </is>
      </c>
      <c r="R112" s="256" t="inlineStr">
        <is>
          <t>81/2026 02.02.26 IJZ (initial)</t>
        </is>
      </c>
    </row>
    <row r="113">
      <c r="A113" s="256" t="inlineStr">
        <is>
          <t>CoQ-PP_26-112</t>
        </is>
      </c>
      <c r="B113" s="256" t="inlineStr">
        <is>
          <t>P060072 (CJ092501)</t>
        </is>
      </c>
      <c r="C113" s="256" t="inlineStr">
        <is>
          <t>retest (predicted)</t>
        </is>
      </c>
      <c r="D113" s="256" t="inlineStr">
        <is>
          <t>18.09.26</t>
        </is>
      </c>
      <c r="E113" s="256" t="inlineStr">
        <is>
          <t>12.08.26</t>
        </is>
      </c>
      <c r="F113" s="256" t="inlineStr">
        <is>
          <t>220-5-К/26 17.08.26; ППК26007 08.01.26; 10/0013/26 12.01.25; 220-5-М/26 17.08.26; 86/2026 08.01.26</t>
        </is>
      </c>
      <c r="G113" s="256" t="inlineStr">
        <is>
          <t>iCoA-PP_26-128 17.08.26 PP</t>
        </is>
      </c>
      <c r="H113" s="256" t="inlineStr">
        <is>
          <t>iCoA-PP_26-128 17.08.26 PP</t>
        </is>
      </c>
      <c r="I113" s="256" t="inlineStr">
        <is>
          <t>220-5-К/26 25.08.26 FHM-K</t>
        </is>
      </c>
      <c r="J113" s="256" t="inlineStr">
        <is>
          <t>220-5-К/26 25.08.26 FHM-K</t>
        </is>
      </c>
      <c r="K113" s="256" t="inlineStr">
        <is>
          <t>220-5-К/26 25.08.26 FHM-K</t>
        </is>
      </c>
      <c r="L113" s="256" t="inlineStr">
        <is>
          <t>220-5-К/26 25.08.26 FHM-K</t>
        </is>
      </c>
      <c r="M113" s="256" t="inlineStr">
        <is>
          <t>iCoA-PP_26-128 17.08.26 PP</t>
        </is>
      </c>
      <c r="N113" s="256" t="inlineStr">
        <is>
          <t>ППК26007 21.01.26 CNP (initial) DAB</t>
        </is>
      </c>
      <c r="O113" s="256" t="inlineStr">
        <is>
          <t>10/0013/26 20.01.26 IJZ-MB (initial)</t>
        </is>
      </c>
      <c r="P113" s="256" t="inlineStr">
        <is>
          <t>220-5-М/26 11.09.26 FHM-M</t>
        </is>
      </c>
      <c r="Q113" s="256" t="inlineStr">
        <is>
          <t>86/2026 02.02.26 IJZ (initial)</t>
        </is>
      </c>
      <c r="R113" s="256" t="inlineStr">
        <is>
          <t>86/2026 02.02.26 IJZ (initial)</t>
        </is>
      </c>
    </row>
    <row r="114">
      <c r="A114" s="256" t="inlineStr">
        <is>
          <t>CoQ-PP_26-113</t>
        </is>
      </c>
      <c r="B114" s="256" t="inlineStr">
        <is>
          <t>P050282 (CLE072501)</t>
        </is>
      </c>
      <c r="C114" s="256" t="inlineStr">
        <is>
          <t>retest (predicted)</t>
        </is>
      </c>
      <c r="D114" s="256" t="inlineStr">
        <is>
          <t>18.09.26</t>
        </is>
      </c>
      <c r="E114" s="256" t="inlineStr">
        <is>
          <t>12.08.26</t>
        </is>
      </c>
      <c r="F114" s="256" t="inlineStr">
        <is>
          <t>220-7-К/26 17.08.26; ППК25370 24.11.25; 1219/2170/25 26.11.25; 220-7-М/26 17.08.26; 5700/2025 24.11.25</t>
        </is>
      </c>
      <c r="G114" s="256" t="inlineStr">
        <is>
          <t>iCoA-PP_26-129 17.08.26 PP</t>
        </is>
      </c>
      <c r="H114" s="256" t="inlineStr">
        <is>
          <t>iCoA-PP_26-129 17.08.26 PP</t>
        </is>
      </c>
      <c r="I114" s="256" t="inlineStr">
        <is>
          <t>220-7-К/26 25.08.26 FHM-K</t>
        </is>
      </c>
      <c r="J114" s="256" t="inlineStr">
        <is>
          <t>220-7-К/26 25.08.26 FHM-K</t>
        </is>
      </c>
      <c r="K114" s="256" t="inlineStr">
        <is>
          <t>220-7-К/26 25.08.26 FHM-K</t>
        </is>
      </c>
      <c r="L114" s="256" t="inlineStr">
        <is>
          <t>220-7-К/26 25.08.26 FHM-K</t>
        </is>
      </c>
      <c r="M114" s="256" t="inlineStr">
        <is>
          <t>iCoA-PP_26-129 17.08.26 PP</t>
        </is>
      </c>
      <c r="N114" s="256" t="inlineStr">
        <is>
          <t>ППК25370 28.11.25 CNP (initial)</t>
        </is>
      </c>
      <c r="O114" s="256" t="inlineStr">
        <is>
          <t>1219/2170/25 01.12.25 IJZ-MB (initial)</t>
        </is>
      </c>
      <c r="P114" s="256" t="inlineStr">
        <is>
          <t>220-7-М/26 11.09.26 FHM-M</t>
        </is>
      </c>
      <c r="Q114" s="256" t="inlineStr">
        <is>
          <t>5700/2025 02.12.25 IJZ (initial)</t>
        </is>
      </c>
      <c r="R114" s="256" t="inlineStr">
        <is>
          <t>5700/2025 02.12.25 IJZ (initial)</t>
        </is>
      </c>
    </row>
    <row r="115">
      <c r="A115" s="256" t="inlineStr">
        <is>
          <t>CoQ-PP_26-114</t>
        </is>
      </c>
      <c r="B115" s="256" t="inlineStr">
        <is>
          <t>P060322 (FB012601/1)</t>
        </is>
      </c>
      <c r="C115" s="256" t="inlineStr">
        <is>
          <t>retest (predicted)</t>
        </is>
      </c>
      <c r="D115" s="256" t="inlineStr">
        <is>
          <t>18.09.26</t>
        </is>
      </c>
      <c r="E115" s="256" t="inlineStr">
        <is>
          <t>12.08.26</t>
        </is>
      </c>
      <c r="F115" s="256" t="inlineStr">
        <is>
          <t>220-8-К/26 17.08.26; ППК26067 21.04.26; 308/0552/26 22.04.26; 220-8-М/26 17.08.26; 2362/2026 21.04.26</t>
        </is>
      </c>
      <c r="G115" s="256" t="inlineStr">
        <is>
          <t>iCoA-PP_26-130 17.08.26 PP</t>
        </is>
      </c>
      <c r="H115" s="256" t="inlineStr">
        <is>
          <t>iCoA-PP_26-130 17.08.26 PP</t>
        </is>
      </c>
      <c r="I115" s="256" t="inlineStr">
        <is>
          <t>220-8-К/26 25.08.26 FHM-K</t>
        </is>
      </c>
      <c r="J115" s="256" t="inlineStr">
        <is>
          <t>220-8-К/26 25.08.26 FHM-K</t>
        </is>
      </c>
      <c r="K115" s="256" t="inlineStr">
        <is>
          <t>220-8-К/26 25.08.26 FHM-K</t>
        </is>
      </c>
      <c r="L115" s="256" t="inlineStr">
        <is>
          <t>220-8-К/26 25.08.26 FHM-K</t>
        </is>
      </c>
      <c r="M115" s="256" t="inlineStr">
        <is>
          <t>iCoA-PP_26-130 17.08.26 PP</t>
        </is>
      </c>
      <c r="N115" s="256" t="inlineStr">
        <is>
          <t>ППК26067 11.05.26 CNP (initial) DAB</t>
        </is>
      </c>
      <c r="O115" s="256" t="inlineStr">
        <is>
          <t>308/0552/26 28.04.26 IJZ-MB (initial)</t>
        </is>
      </c>
      <c r="P115" s="256" t="inlineStr">
        <is>
          <t>220-8-М/26 11.09.26 FHM-M</t>
        </is>
      </c>
      <c r="Q115" s="256" t="inlineStr">
        <is>
          <t>2362/2026 30.04.26 IJZ (initial)</t>
        </is>
      </c>
      <c r="R115" s="256" t="inlineStr">
        <is>
          <t>2362/2026 30.04.26 IJZ (initial)</t>
        </is>
      </c>
    </row>
    <row r="116">
      <c r="A116" s="256" t="inlineStr">
        <is>
          <t>CoQ-PP_26-115</t>
        </is>
      </c>
      <c r="B116" s="256" t="inlineStr">
        <is>
          <t>GG1024</t>
        </is>
      </c>
      <c r="C116" s="256" t="inlineStr">
        <is>
          <t>retest</t>
        </is>
      </c>
      <c r="D116" s="256" t="inlineStr">
        <is>
          <t>18.09.26</t>
        </is>
      </c>
      <c r="E116" s="256" t="inlineStr">
        <is>
          <t>12.08.26</t>
        </is>
      </c>
      <c r="F116" s="256" t="inlineStr">
        <is>
          <t>220-9-К/26 17.08.26; ППК25008 —; 166/0274/25 —; 220-9-М/26 17.08.26; 748/2025 —</t>
        </is>
      </c>
      <c r="G116" s="256" t="inlineStr">
        <is>
          <t>iCoA-PP_26-131 17.08.26 PP</t>
        </is>
      </c>
      <c r="H116" s="256" t="inlineStr">
        <is>
          <t>iCoA-PP_26-131 17.08.26 PP</t>
        </is>
      </c>
      <c r="I116" s="256" t="inlineStr">
        <is>
          <t>220-9-К/26 25.08.26 FHM-K</t>
        </is>
      </c>
      <c r="J116" s="256" t="inlineStr">
        <is>
          <t>220-9-К/26 25.08.26 FHM-K</t>
        </is>
      </c>
      <c r="K116" s="256" t="inlineStr">
        <is>
          <t>220-9-К/26 25.08.26 FHM-K</t>
        </is>
      </c>
      <c r="L116" s="256" t="inlineStr">
        <is>
          <t>220-9-К/26 25.08.26 FHM-K</t>
        </is>
      </c>
      <c r="M116" s="256" t="inlineStr">
        <is>
          <t>iCoA-PP_26-131 17.08.26 PP</t>
        </is>
      </c>
      <c r="N116" s="256" t="inlineStr">
        <is>
          <t>ППК25008 29.01.25 CNP (initial)</t>
        </is>
      </c>
      <c r="O116" s="256" t="inlineStr">
        <is>
          <t>166/0274/25 24.02.25 IJZ</t>
        </is>
      </c>
      <c r="P116" s="256" t="inlineStr">
        <is>
          <t>220-9-М/26 11.09.26 FHM-M</t>
        </is>
      </c>
      <c r="Q116" s="256" t="inlineStr">
        <is>
          <t>748/2025 04.03.25 IJZ</t>
        </is>
      </c>
      <c r="R116" s="256" t="inlineStr">
        <is>
          <t>748/2025 04.03.25 IJZ (initial)</t>
        </is>
      </c>
    </row>
    <row r="117">
      <c r="A117" s="256" t="inlineStr">
        <is>
          <t>CoQ-PP_26-116</t>
        </is>
      </c>
      <c r="B117" s="256" t="inlineStr">
        <is>
          <t>P050302 (GP072501/2)</t>
        </is>
      </c>
      <c r="C117" s="256" t="inlineStr">
        <is>
          <t>retest (predicted)</t>
        </is>
      </c>
      <c r="D117" s="256" t="inlineStr">
        <is>
          <t>18.09.26</t>
        </is>
      </c>
      <c r="E117" s="256" t="inlineStr">
        <is>
          <t>12.08.26</t>
        </is>
      </c>
      <c r="F117" s="256" t="inlineStr">
        <is>
          <t>220-10-К/26 17.08.26; ППК25379 01.12.25; 1229/2195/25 01.12.25; 220-10-М/26 17.08.26; 5887/2025 01.12.25</t>
        </is>
      </c>
      <c r="G117" s="256" t="inlineStr">
        <is>
          <t>iCoA-PP_26-132 17.08.26 PP</t>
        </is>
      </c>
      <c r="H117" s="256" t="inlineStr">
        <is>
          <t>iCoA-PP_26-132 17.08.26 PP</t>
        </is>
      </c>
      <c r="I117" s="256" t="inlineStr">
        <is>
          <t>220-10-К/26 25.08.26 FHM-K</t>
        </is>
      </c>
      <c r="J117" s="256" t="inlineStr">
        <is>
          <t>220-10-К/26 25.08.26 FHM-K</t>
        </is>
      </c>
      <c r="K117" s="256" t="inlineStr">
        <is>
          <t>220-10-К/26 25.08.26 FHM-K</t>
        </is>
      </c>
      <c r="L117" s="256" t="inlineStr">
        <is>
          <t>220-10-К/26 25.08.26 FHM-K</t>
        </is>
      </c>
      <c r="M117" s="256" t="inlineStr">
        <is>
          <t>iCoA-PP_26-132 17.08.26 PP</t>
        </is>
      </c>
      <c r="N117" s="256" t="inlineStr">
        <is>
          <t>ППК25379 12.12.25 CNP (initial)</t>
        </is>
      </c>
      <c r="O117" s="256" t="inlineStr">
        <is>
          <t>1229/2195/25 05.12.25 IJZ-MB (initial)</t>
        </is>
      </c>
      <c r="P117" s="256" t="inlineStr">
        <is>
          <t>220-10-М/26 11.09.26 FHM-M</t>
        </is>
      </c>
      <c r="Q117" s="256" t="inlineStr">
        <is>
          <t>5887/2025 12.12.25 IJZ (initial)</t>
        </is>
      </c>
      <c r="R117" s="256" t="inlineStr">
        <is>
          <t>5887/2025 12.12.25 IJZ (initial)</t>
        </is>
      </c>
    </row>
    <row r="118">
      <c r="A118" s="256" t="inlineStr">
        <is>
          <t>CoQ-PP_26-117</t>
        </is>
      </c>
      <c r="B118" s="256" t="inlineStr">
        <is>
          <t>P050072 (GP0824_03)</t>
        </is>
      </c>
      <c r="C118" s="256" t="inlineStr">
        <is>
          <t>retest</t>
        </is>
      </c>
      <c r="D118" s="256" t="inlineStr">
        <is>
          <t>18.09.26</t>
        </is>
      </c>
      <c r="E118" s="256" t="inlineStr">
        <is>
          <t>12.08.26</t>
        </is>
      </c>
      <c r="F118" s="256" t="inlineStr">
        <is>
          <t>220-11-К/26 17.08.26; ППК25175 23.06.25; 628/1129/25 24.06.25; 220-11-М/26 17.08.26; 3178/2025 23.06.25</t>
        </is>
      </c>
      <c r="G118" s="256" t="inlineStr">
        <is>
          <t>iCoA-PP_26-133 17.08.26 PP</t>
        </is>
      </c>
      <c r="H118" s="256" t="inlineStr">
        <is>
          <t>iCoA-PP_26-133 17.08.26 PP</t>
        </is>
      </c>
      <c r="I118" s="256" t="inlineStr">
        <is>
          <t>220-11-К/26 25.08.26 FHM-K</t>
        </is>
      </c>
      <c r="J118" s="256" t="inlineStr">
        <is>
          <t>220-11-К/26 25.08.26 FHM-K</t>
        </is>
      </c>
      <c r="K118" s="256" t="inlineStr">
        <is>
          <t>220-11-К/26 25.08.26 FHM-K</t>
        </is>
      </c>
      <c r="L118" s="256" t="inlineStr">
        <is>
          <t>220-11-К/26 25.08.26 FHM-K</t>
        </is>
      </c>
      <c r="M118" s="256" t="inlineStr">
        <is>
          <t>iCoA-PP_26-133 17.08.26 PP</t>
        </is>
      </c>
      <c r="N118" s="256" t="inlineStr">
        <is>
          <t>ППК25175 10.07.25 CNP (initial) DAB; also ППК26060</t>
        </is>
      </c>
      <c r="O118" s="256" t="inlineStr">
        <is>
          <t>628/1129/25 02.07.25 IJZ-MB (initial); 628/1129/25 02.07.25 IJZ-MB undetermined (initial)</t>
        </is>
      </c>
      <c r="P118" s="256" t="inlineStr">
        <is>
          <t>220-11-М/26 11.09.26 FHM-M</t>
        </is>
      </c>
      <c r="Q118" s="256" t="inlineStr">
        <is>
          <t>3178/2025 26.06.25 IJZ (initial)</t>
        </is>
      </c>
      <c r="R118" s="256" t="inlineStr">
        <is>
          <t>3178/2025 26.06.25 IJZ (initial)</t>
        </is>
      </c>
    </row>
    <row r="119">
      <c r="A119" s="256" t="inlineStr">
        <is>
          <t>CoQ-PP_26-118</t>
        </is>
      </c>
      <c r="B119" s="256" t="inlineStr">
        <is>
          <t>P050312 (GP082501/1)</t>
        </is>
      </c>
      <c r="C119" s="256" t="inlineStr">
        <is>
          <t>retest (predicted)</t>
        </is>
      </c>
      <c r="D119" s="256" t="inlineStr">
        <is>
          <t>18.09.26</t>
        </is>
      </c>
      <c r="E119" s="256" t="inlineStr">
        <is>
          <t>13.08.26</t>
        </is>
      </c>
      <c r="F119" s="256" t="inlineStr">
        <is>
          <t>220-12-К/26 17.08.26; ППК25380 01.12.25; 1226/2192/25 01.12.25; 220-12-М/26 17.08.26; 5888/2025 01.12.25</t>
        </is>
      </c>
      <c r="G119" s="256" t="inlineStr">
        <is>
          <t>iCoA-PP_26-134 17.08.26 PP</t>
        </is>
      </c>
      <c r="H119" s="256" t="inlineStr">
        <is>
          <t>iCoA-PP_26-134 17.08.26 PP</t>
        </is>
      </c>
      <c r="I119" s="256" t="inlineStr">
        <is>
          <t>220-12-К/26 25.08.26 FHM-K</t>
        </is>
      </c>
      <c r="J119" s="256" t="inlineStr">
        <is>
          <t>220-12-К/26 25.08.26 FHM-K</t>
        </is>
      </c>
      <c r="K119" s="256" t="inlineStr">
        <is>
          <t>220-12-К/26 25.08.26 FHM-K</t>
        </is>
      </c>
      <c r="L119" s="256" t="inlineStr">
        <is>
          <t>220-12-К/26 25.08.26 FHM-K</t>
        </is>
      </c>
      <c r="M119" s="256" t="inlineStr">
        <is>
          <t>iCoA-PP_26-134 17.08.26 PP</t>
        </is>
      </c>
      <c r="N119" s="256" t="inlineStr">
        <is>
          <t>ППК25380 12.12.25 CNP (initial)</t>
        </is>
      </c>
      <c r="O119" s="256" t="inlineStr">
        <is>
          <t>1226/2192/25 05.12.25 IJZ-MB (initial)</t>
        </is>
      </c>
      <c r="P119" s="256" t="inlineStr">
        <is>
          <t>220-12-М/26 11.09.26 FHM-M</t>
        </is>
      </c>
      <c r="Q119" s="256" t="inlineStr">
        <is>
          <t>5888/2025 12.12.25 IJZ (initial)</t>
        </is>
      </c>
      <c r="R119" s="256" t="inlineStr">
        <is>
          <t>5888/2025 12.12.25 IJZ (initial)</t>
        </is>
      </c>
    </row>
    <row r="120">
      <c r="A120" s="256" t="inlineStr">
        <is>
          <t>CoQ-PP_26-119</t>
        </is>
      </c>
      <c r="B120" s="256" t="inlineStr">
        <is>
          <t>P060092 (GP092501)</t>
        </is>
      </c>
      <c r="C120" s="256" t="inlineStr">
        <is>
          <t>retest (predicted)</t>
        </is>
      </c>
      <c r="D120" s="256" t="inlineStr">
        <is>
          <t>18.09.26</t>
        </is>
      </c>
      <c r="E120" s="256" t="inlineStr">
        <is>
          <t>13.08.26</t>
        </is>
      </c>
      <c r="F120" s="256" t="inlineStr">
        <is>
          <t>220-13-К/26 17.08.26; ППК26009 08.01.26; 5/0008/26 —; 220-13-М/26 17.08.26; 88/2026 08.01.26</t>
        </is>
      </c>
      <c r="G120" s="256" t="inlineStr">
        <is>
          <t>iCoA-PP_26-135 17.08.26 PP</t>
        </is>
      </c>
      <c r="H120" s="256" t="inlineStr">
        <is>
          <t>iCoA-PP_26-135 17.08.26 PP</t>
        </is>
      </c>
      <c r="I120" s="256" t="inlineStr">
        <is>
          <t>220-13-К/26 25.08.26 FHM-K</t>
        </is>
      </c>
      <c r="J120" s="256" t="inlineStr">
        <is>
          <t>220-13-К/26 25.08.26 FHM-K</t>
        </is>
      </c>
      <c r="K120" s="256" t="inlineStr">
        <is>
          <t>220-13-К/26 25.08.26 FHM-K</t>
        </is>
      </c>
      <c r="L120" s="256" t="inlineStr">
        <is>
          <t>220-13-К/26 25.08.26 FHM-K</t>
        </is>
      </c>
      <c r="M120" s="256" t="inlineStr">
        <is>
          <t>iCoA-PP_26-135 17.08.26 PP</t>
        </is>
      </c>
      <c r="N120" s="256" t="inlineStr">
        <is>
          <t>ППК26009 21.01.26 CNP (initial) DAB</t>
        </is>
      </c>
      <c r="O120" s="256" t="inlineStr">
        <is>
          <t>5/0008/26 20.01.26 IJZ-MB (initial)</t>
        </is>
      </c>
      <c r="P120" s="256" t="inlineStr">
        <is>
          <t>220-13-М/26 11.09.26 FHM-M</t>
        </is>
      </c>
      <c r="Q120" s="256" t="inlineStr">
        <is>
          <t>88/2026 03.02.26 IJZ (initial)</t>
        </is>
      </c>
      <c r="R120" s="256" t="inlineStr">
        <is>
          <t>88/2026 03.02.26 IJZ (initial)</t>
        </is>
      </c>
    </row>
    <row r="121">
      <c r="A121" s="256" t="inlineStr">
        <is>
          <t>CoQ-PP_26-120</t>
        </is>
      </c>
      <c r="B121" s="256" t="inlineStr">
        <is>
          <t>P060182 (GRC102501/2)</t>
        </is>
      </c>
      <c r="C121" s="256" t="inlineStr">
        <is>
          <t>retest (predicted)</t>
        </is>
      </c>
      <c r="D121" s="256" t="inlineStr">
        <is>
          <t>18.09.26</t>
        </is>
      </c>
      <c r="E121" s="256" t="inlineStr">
        <is>
          <t>13.08.26</t>
        </is>
      </c>
      <c r="F121" s="256" t="inlineStr">
        <is>
          <t>220-14-К/26 17.08.26; 051-6-ГС/26 —; 136/0233/26 —; 220-14-М/26 17.08.26; 1060/2026 —</t>
        </is>
      </c>
      <c r="G121" s="256" t="inlineStr">
        <is>
          <t>iCoA-PP_26-136 17.08.26 PP*</t>
        </is>
      </c>
      <c r="H121" s="256" t="inlineStr">
        <is>
          <t>iCoA-PP_26-136 17.08.26 PP*</t>
        </is>
      </c>
      <c r="I121" s="256" t="inlineStr">
        <is>
          <t>220-14-К/26 25.08.26 FHM-K</t>
        </is>
      </c>
      <c r="J121" s="256" t="inlineStr">
        <is>
          <t>220-14-К/26 25.08.26 FHM-K</t>
        </is>
      </c>
      <c r="K121" s="256" t="inlineStr">
        <is>
          <t>220-14-К/26 25.08.26 FHM-K</t>
        </is>
      </c>
      <c r="L121" s="256" t="inlineStr">
        <is>
          <t>220-14-К/26 25.08.26 FHM-K</t>
        </is>
      </c>
      <c r="M121" s="256" t="inlineStr">
        <is>
          <t>iCoA-PP_26-136 17.08.26 PP*</t>
        </is>
      </c>
      <c r="N121" s="256" t="inlineStr">
        <is>
          <t>051-6-ГС/26 02.03.26 FHM-K (initial)</t>
        </is>
      </c>
      <c r="O121" s="256" t="inlineStr">
        <is>
          <t>136/0233/26 06.03.26 IJZ</t>
        </is>
      </c>
      <c r="P121" s="256" t="inlineStr">
        <is>
          <t>220-14-М/26 11.09.26 FHM-M</t>
        </is>
      </c>
      <c r="Q121" s="256" t="inlineStr">
        <is>
          <t>1060/2026 09.03.26 IJZ</t>
        </is>
      </c>
      <c r="R121" s="256" t="inlineStr">
        <is>
          <t>1060/2026 09.03.26 IJZ (initial)</t>
        </is>
      </c>
    </row>
    <row r="122">
      <c r="A122" s="256" t="inlineStr">
        <is>
          <t>CoQ-PP_26-121</t>
        </is>
      </c>
      <c r="B122" s="256" t="inlineStr">
        <is>
          <t>P050182 (HPA052501)</t>
        </is>
      </c>
      <c r="C122" s="256" t="inlineStr">
        <is>
          <t>retest (predicted)</t>
        </is>
      </c>
      <c r="D122" s="256" t="inlineStr">
        <is>
          <t>18.09.26</t>
        </is>
      </c>
      <c r="E122" s="256" t="inlineStr">
        <is>
          <t>13.08.26</t>
        </is>
      </c>
      <c r="F122" s="256" t="inlineStr">
        <is>
          <t>220-15-К/26 17.08.26; ППК25278 05.09.25; 948/1686/25 11.09.25; 220-15-М/26 17.08.26; 4352/2025 05.09.25</t>
        </is>
      </c>
      <c r="G122" s="256" t="inlineStr">
        <is>
          <t>iCoA-PP_26-137 17.08.26 PP</t>
        </is>
      </c>
      <c r="H122" s="256" t="inlineStr">
        <is>
          <t>iCoA-PP_26-137 17.08.26 PP</t>
        </is>
      </c>
      <c r="I122" s="256" t="inlineStr">
        <is>
          <t>220-15-К/26 25.08.26 FHM-K</t>
        </is>
      </c>
      <c r="J122" s="256" t="inlineStr">
        <is>
          <t>220-15-К/26 25.08.26 FHM-K</t>
        </is>
      </c>
      <c r="K122" s="256" t="inlineStr">
        <is>
          <t>220-15-К/26 25.08.26 FHM-K</t>
        </is>
      </c>
      <c r="L122" s="256" t="inlineStr">
        <is>
          <t>220-15-К/26 25.08.26 FHM-K</t>
        </is>
      </c>
      <c r="M122" s="256" t="inlineStr">
        <is>
          <t>iCoA-PP_26-137 17.08.26 PP</t>
        </is>
      </c>
      <c r="N122" s="256" t="inlineStr">
        <is>
          <t>ППК25278 19.09.25 CNP (initial) DAB</t>
        </is>
      </c>
      <c r="O122" s="256" t="inlineStr">
        <is>
          <t>948/1686/25 17.09.25 IJZ-MB (initial); 948/1686/25 17.09.25 IJZ-MB OOS (initial)</t>
        </is>
      </c>
      <c r="P122" s="256" t="inlineStr">
        <is>
          <t>220-15-М/26 11.09.26 FHM-M</t>
        </is>
      </c>
      <c r="Q122" s="256" t="inlineStr">
        <is>
          <t>4352/2025 15.09.25 IJZ (initial)</t>
        </is>
      </c>
      <c r="R122" s="256" t="inlineStr">
        <is>
          <t>4352/2025 15.09.25 IJZ (initial)</t>
        </is>
      </c>
    </row>
    <row r="123">
      <c r="A123" s="256" t="inlineStr">
        <is>
          <t>CoQ-PP_26-122</t>
        </is>
      </c>
      <c r="B123" s="256" t="inlineStr">
        <is>
          <t>P060362 (JD012603/01)</t>
        </is>
      </c>
      <c r="C123" s="256" t="inlineStr">
        <is>
          <t>retest (predicted)</t>
        </is>
      </c>
      <c r="D123" s="256" t="inlineStr">
        <is>
          <t>18.09.26</t>
        </is>
      </c>
      <c r="E123" s="256" t="inlineStr">
        <is>
          <t>13.08.26</t>
        </is>
      </c>
      <c r="F123" s="256" t="inlineStr">
        <is>
          <t>ППК26111 17.06.26; 220-16-К/26 17.08.26; 365/0695/26 —; 220-16-М/26 17.08.26</t>
        </is>
      </c>
      <c r="G123" s="256" t="inlineStr">
        <is>
          <t>ППК26111 30.06.26 CNP*</t>
        </is>
      </c>
      <c r="H123" s="256" t="inlineStr">
        <is>
          <t>ППК26111 30.06.26 CNP*</t>
        </is>
      </c>
      <c r="I123" s="256" t="inlineStr">
        <is>
          <t>220-16-К/26 25.08.26 FHM-K</t>
        </is>
      </c>
      <c r="J123" s="256" t="inlineStr">
        <is>
          <t>220-16-К/26 25.08.26 FHM-K</t>
        </is>
      </c>
      <c r="K123" s="256" t="inlineStr">
        <is>
          <t>220-16-К/26 25.08.26 FHM-K</t>
        </is>
      </c>
      <c r="L123" s="256" t="inlineStr">
        <is>
          <t>220-16-К/26 25.08.26 FHM-K</t>
        </is>
      </c>
      <c r="M123" s="256" t="inlineStr">
        <is>
          <t>iCoA-PP_26-140 17.08.26 PP*</t>
        </is>
      </c>
      <c r="N123" s="257" t="inlineStr">
        <is>
          <t>n/t (initial)</t>
        </is>
      </c>
      <c r="O123" s="256" t="inlineStr">
        <is>
          <t>365/0695/26 01.06.26 IJZ</t>
        </is>
      </c>
      <c r="P123" s="256" t="inlineStr">
        <is>
          <t>220-16-М/26 11.09.26 FHM-M</t>
        </is>
      </c>
      <c r="Q123" s="257" t="inlineStr">
        <is>
          <t>n/t (initial)</t>
        </is>
      </c>
      <c r="R123" s="257" t="inlineStr">
        <is>
          <t>n/t (initial)</t>
        </is>
      </c>
    </row>
    <row r="124">
      <c r="A124" s="256" t="inlineStr">
        <is>
          <t>CoQ-PP_26-123</t>
        </is>
      </c>
      <c r="B124" s="256" t="inlineStr">
        <is>
          <t>P060412 (JD012603/02)</t>
        </is>
      </c>
      <c r="C124" s="256" t="inlineStr">
        <is>
          <t>retest (predicted)</t>
        </is>
      </c>
      <c r="D124" s="256" t="inlineStr">
        <is>
          <t>18.09.26</t>
        </is>
      </c>
      <c r="E124" s="256" t="inlineStr">
        <is>
          <t>13.08.26</t>
        </is>
      </c>
      <c r="F124" s="256" t="inlineStr">
        <is>
          <t>ППК26113 17.06.26; 220-17-К/26 17.08.26; 405/0788/26 —; 220-17-М/26 17.08.26; 3660/2026 —</t>
        </is>
      </c>
      <c r="G124" s="256" t="inlineStr">
        <is>
          <t>ППК26113 30.06.26 CNP (initial)</t>
        </is>
      </c>
      <c r="H124" s="256" t="inlineStr">
        <is>
          <t>ППК26113 30.06.26 CNP (initial)</t>
        </is>
      </c>
      <c r="I124" s="256" t="inlineStr">
        <is>
          <t>220-17-К/26 26.08.26 FHM-K</t>
        </is>
      </c>
      <c r="J124" s="256" t="inlineStr">
        <is>
          <t>220-17-К/26 26.08.26 FHM-K</t>
        </is>
      </c>
      <c r="K124" s="256" t="inlineStr">
        <is>
          <t>220-17-К/26 26.08.26 FHM-K</t>
        </is>
      </c>
      <c r="L124" s="256" t="inlineStr">
        <is>
          <t>220-17-К/26 26.08.26 FHM-K</t>
        </is>
      </c>
      <c r="M124" s="256" t="inlineStr">
        <is>
          <t>ППК26113 30.06.26 CNP (initial)</t>
        </is>
      </c>
      <c r="N124" s="256" t="inlineStr">
        <is>
          <t>ППК26113 30.06.26 CNP (initial)</t>
        </is>
      </c>
      <c r="O124" s="256" t="inlineStr">
        <is>
          <t>405/0788/26 24.06.26 IJZ</t>
        </is>
      </c>
      <c r="P124" s="256" t="inlineStr">
        <is>
          <t>220-17-М/26 11.09.26 FHM-M</t>
        </is>
      </c>
      <c r="Q124" s="256" t="inlineStr">
        <is>
          <t>3660/2026 22.06.26 IJZ</t>
        </is>
      </c>
      <c r="R124" s="256" t="inlineStr">
        <is>
          <t>3660/2026 22.06.26 IJZ (initial)</t>
        </is>
      </c>
    </row>
    <row r="125">
      <c r="A125" s="256" t="inlineStr">
        <is>
          <t>CoQ-PP_26-124</t>
        </is>
      </c>
      <c r="B125" s="256" t="inlineStr">
        <is>
          <t>P060422 (JD012603/02V)</t>
        </is>
      </c>
      <c r="C125" s="256" t="inlineStr">
        <is>
          <t>retest (predicted)</t>
        </is>
      </c>
      <c r="D125" s="256" t="inlineStr">
        <is>
          <t>18.09.26</t>
        </is>
      </c>
      <c r="E125" s="256" t="inlineStr">
        <is>
          <t>13.08.26</t>
        </is>
      </c>
      <c r="F125" s="256" t="inlineStr">
        <is>
          <t>ППК26111 17.06.26; 220-18-К/26 17.08.26; 406/0789/26 —; 220-18-М/26 17.08.26; 3662/2026 —</t>
        </is>
      </c>
      <c r="G125" s="256" t="inlineStr">
        <is>
          <t>ППК26111 30.06.26 CNP (initial)</t>
        </is>
      </c>
      <c r="H125" s="256" t="inlineStr">
        <is>
          <t>ППК26111 30.06.26 CNP (initial)</t>
        </is>
      </c>
      <c r="I125" s="256" t="inlineStr">
        <is>
          <t>220-18-К/26 26.08.26 FHM-K</t>
        </is>
      </c>
      <c r="J125" s="256" t="inlineStr">
        <is>
          <t>220-18-К/26 26.08.26 FHM-K</t>
        </is>
      </c>
      <c r="K125" s="256" t="inlineStr">
        <is>
          <t>220-18-К/26 26.08.26 FHM-K</t>
        </is>
      </c>
      <c r="L125" s="256" t="inlineStr">
        <is>
          <t>220-18-К/26 26.08.26 FHM-K</t>
        </is>
      </c>
      <c r="M125" s="256" t="inlineStr">
        <is>
          <t>ППК26111 30.06.26 CNP (initial)</t>
        </is>
      </c>
      <c r="N125" s="256" t="inlineStr">
        <is>
          <t>ППК26111 30.06.26 CNP (initial)</t>
        </is>
      </c>
      <c r="O125" s="256" t="inlineStr">
        <is>
          <t>406/0789/26 24.06.26 IJZ</t>
        </is>
      </c>
      <c r="P125" s="256" t="inlineStr">
        <is>
          <t>220-18-М/26 11.09.26 FHM-M</t>
        </is>
      </c>
      <c r="Q125" s="256" t="inlineStr">
        <is>
          <t>3662/2026 22.06.26 IJZ</t>
        </is>
      </c>
      <c r="R125" s="256" t="inlineStr">
        <is>
          <t>3662/2026 22.06.26 IJZ (initial)</t>
        </is>
      </c>
    </row>
    <row r="126">
      <c r="A126" s="256" t="inlineStr">
        <is>
          <t>CoQ-PP_26-125</t>
        </is>
      </c>
      <c r="B126" s="256" t="inlineStr">
        <is>
          <t>P060492 (JD042601)</t>
        </is>
      </c>
      <c r="C126" s="256" t="inlineStr">
        <is>
          <t>retest (predicted)</t>
        </is>
      </c>
      <c r="D126" s="256" t="inlineStr">
        <is>
          <t>18.09.26</t>
        </is>
      </c>
      <c r="E126" s="256" t="inlineStr">
        <is>
          <t>14.08.26</t>
        </is>
      </c>
      <c r="F126" s="256" t="inlineStr">
        <is>
          <t>220-30-К/26 17.08.26; 220-30-М/26 17.08.26</t>
        </is>
      </c>
      <c r="G126" s="256" t="inlineStr">
        <is>
          <t>iCoA-PP_26-148 17.08.26 PP*</t>
        </is>
      </c>
      <c r="H126" s="256" t="inlineStr">
        <is>
          <t>iCoA-PP_26-148 17.08.26 PP*</t>
        </is>
      </c>
      <c r="I126" s="256" t="inlineStr">
        <is>
          <t>220-30-К/26 26.08.26 FHM-K</t>
        </is>
      </c>
      <c r="J126" s="256" t="inlineStr">
        <is>
          <t>220-30-К/26 26.08.26 FHM-K</t>
        </is>
      </c>
      <c r="K126" s="256" t="inlineStr">
        <is>
          <t>220-30-К/26 26.08.26 FHM-K</t>
        </is>
      </c>
      <c r="L126" s="256" t="inlineStr">
        <is>
          <t>220-30-К/26 26.08.26 FHM-K</t>
        </is>
      </c>
      <c r="M126" s="256" t="inlineStr">
        <is>
          <t>iCoA-PP_26-148 17.08.26 PP*</t>
        </is>
      </c>
      <c r="N126" s="257" t="inlineStr">
        <is>
          <t>n/t (initial)</t>
        </is>
      </c>
      <c r="O126" s="257" t="inlineStr">
        <is>
          <t>n/t (initial)</t>
        </is>
      </c>
      <c r="P126" s="256" t="inlineStr">
        <is>
          <t>220-30-М/26 11.09.26 FHM-M</t>
        </is>
      </c>
      <c r="Q126" s="257" t="inlineStr">
        <is>
          <t>n/t (initial)</t>
        </is>
      </c>
      <c r="R126" s="257" t="inlineStr">
        <is>
          <t>n/t (initial)</t>
        </is>
      </c>
    </row>
    <row r="127">
      <c r="A127" s="256" t="inlineStr">
        <is>
          <t>CoQ-PP_26-126</t>
        </is>
      </c>
      <c r="B127" s="256" t="inlineStr">
        <is>
          <t>P060172 (KC102501)</t>
        </is>
      </c>
      <c r="C127" s="256" t="inlineStr">
        <is>
          <t>retest (predicted)</t>
        </is>
      </c>
      <c r="D127" s="256" t="inlineStr">
        <is>
          <t>18.09.26</t>
        </is>
      </c>
      <c r="E127" s="256" t="inlineStr">
        <is>
          <t>13.08.26</t>
        </is>
      </c>
      <c r="F127" s="256" t="inlineStr">
        <is>
          <t>220-19-К/26 17.08.26; 051-4-ГС/26 —; 129/0226/26 —; 220-19-М/26 17.08.26; 1058/2026 —</t>
        </is>
      </c>
      <c r="G127" s="256" t="inlineStr">
        <is>
          <t>iCoA-PP_26-141 17.08.26 PP</t>
        </is>
      </c>
      <c r="H127" s="256" t="inlineStr">
        <is>
          <t>iCoA-PP_26-141 17.08.26 PP</t>
        </is>
      </c>
      <c r="I127" s="256" t="inlineStr">
        <is>
          <t>220-19-К/26 26.08.26 FHM-K</t>
        </is>
      </c>
      <c r="J127" s="256" t="inlineStr">
        <is>
          <t>220-19-К/26 26.08.26 FHM-K</t>
        </is>
      </c>
      <c r="K127" s="256" t="inlineStr">
        <is>
          <t>220-19-К/26 26.08.26 FHM-K</t>
        </is>
      </c>
      <c r="L127" s="256" t="inlineStr">
        <is>
          <t>220-19-К/26 26.08.26 FHM-K</t>
        </is>
      </c>
      <c r="M127" s="256" t="inlineStr">
        <is>
          <t>iCoA-PP_26-141 17.08.26 PP</t>
        </is>
      </c>
      <c r="N127" s="256" t="inlineStr">
        <is>
          <t>051-4-ГС/26 02.03.26 FHM-K (initial)</t>
        </is>
      </c>
      <c r="O127" s="256" t="inlineStr">
        <is>
          <t>129/0226/26 06.03.26 IJZ</t>
        </is>
      </c>
      <c r="P127" s="256" t="inlineStr">
        <is>
          <t>220-19-М/26 11.09.26 FHM-M</t>
        </is>
      </c>
      <c r="Q127" s="256" t="inlineStr">
        <is>
          <t>1058/2026 09.03.26 IJZ</t>
        </is>
      </c>
      <c r="R127" s="256" t="inlineStr">
        <is>
          <t>1058/2026 09.03.26 IJZ (initial)</t>
        </is>
      </c>
    </row>
    <row r="128">
      <c r="A128" s="256" t="inlineStr">
        <is>
          <t>CoQ-PP_26-127</t>
        </is>
      </c>
      <c r="B128" s="256" t="inlineStr">
        <is>
          <t>P050112 (MB0824_05)</t>
        </is>
      </c>
      <c r="C128" s="256" t="inlineStr">
        <is>
          <t>retest</t>
        </is>
      </c>
      <c r="D128" s="256" t="inlineStr">
        <is>
          <t>18.09.26</t>
        </is>
      </c>
      <c r="E128" s="256" t="inlineStr">
        <is>
          <t>13.08.26</t>
        </is>
      </c>
      <c r="F128" s="256" t="inlineStr">
        <is>
          <t>220-20-К/26 17.08.26; ППК25211 21.07.25; 767/1376/25 21.07.25; 220-20-М/26 17.08.26; 3638/2025 21.07.25</t>
        </is>
      </c>
      <c r="G128" s="256" t="inlineStr">
        <is>
          <t>iCoA-PP_26-142 17.08.26 PP</t>
        </is>
      </c>
      <c r="H128" s="256" t="inlineStr">
        <is>
          <t>iCoA-PP_26-142 17.08.26 PP</t>
        </is>
      </c>
      <c r="I128" s="256" t="inlineStr">
        <is>
          <t>220-20-К/26 26.08.26 FHM-K</t>
        </is>
      </c>
      <c r="J128" s="256" t="inlineStr">
        <is>
          <t>220-20-К/26 26.08.26 FHM-K</t>
        </is>
      </c>
      <c r="K128" s="256" t="inlineStr">
        <is>
          <t>220-20-К/26 26.08.26 FHM-K</t>
        </is>
      </c>
      <c r="L128" s="256" t="inlineStr">
        <is>
          <t>220-20-К/26 26.08.26 FHM-K</t>
        </is>
      </c>
      <c r="M128" s="256" t="inlineStr">
        <is>
          <t>iCoA-PP_26-142 17.08.26 PP</t>
        </is>
      </c>
      <c r="N128" s="256" t="inlineStr">
        <is>
          <t>ППК25211 28.07.25 CNP (initial) DAB</t>
        </is>
      </c>
      <c r="O128" s="256" t="inlineStr">
        <is>
          <t>767/1376/25 29.07.25 IJZ-MB (initial)</t>
        </is>
      </c>
      <c r="P128" s="256" t="inlineStr">
        <is>
          <t>220-20-М/26 11.09.26 FHM-M</t>
        </is>
      </c>
      <c r="Q128" s="256" t="inlineStr">
        <is>
          <t>3638/2025 28.07.25 IJZ (initial)</t>
        </is>
      </c>
      <c r="R128" s="256" t="inlineStr">
        <is>
          <t>3638/2025 28.07.25 IJZ (initial)</t>
        </is>
      </c>
    </row>
    <row r="129">
      <c r="A129" s="256" t="inlineStr">
        <is>
          <t>CoQ-PP_26-128</t>
        </is>
      </c>
      <c r="B129" s="256" t="inlineStr">
        <is>
          <t>P050042 (OMP1024_01)</t>
        </is>
      </c>
      <c r="C129" s="256" t="inlineStr">
        <is>
          <t>retest</t>
        </is>
      </c>
      <c r="D129" s="256" t="inlineStr">
        <is>
          <t>18.09.26</t>
        </is>
      </c>
      <c r="E129" s="256" t="inlineStr">
        <is>
          <t>13.08.26</t>
        </is>
      </c>
      <c r="F129" s="256" t="inlineStr">
        <is>
          <t>220-21-К/26 17.08.26; ППК25117 28.04.25; 2156/2025 28.04.25; 220-21-М/26 17.08.26</t>
        </is>
      </c>
      <c r="G129" s="256" t="inlineStr">
        <is>
          <t>iCoA-PP_26-144 17.08.26 PP</t>
        </is>
      </c>
      <c r="H129" s="256" t="inlineStr">
        <is>
          <t>iCoA-PP_26-144 17.08.26 PP</t>
        </is>
      </c>
      <c r="I129" s="256" t="inlineStr">
        <is>
          <t>220-21-К/26 26.08.26 FHM-K</t>
        </is>
      </c>
      <c r="J129" s="256" t="inlineStr">
        <is>
          <t>220-21-К/26 26.08.26 FHM-K</t>
        </is>
      </c>
      <c r="K129" s="256" t="inlineStr">
        <is>
          <t>220-21-К/26 26.08.26 FHM-K</t>
        </is>
      </c>
      <c r="L129" s="256" t="inlineStr">
        <is>
          <t>220-21-К/26 26.08.26 FHM-K</t>
        </is>
      </c>
      <c r="M129" s="256" t="inlineStr">
        <is>
          <t>iCoA-PP_26-144 17.08.26 PP</t>
        </is>
      </c>
      <c r="N129" s="256" t="inlineStr">
        <is>
          <t>ППК25117 06.05.25 CNP (initial) DAB</t>
        </is>
      </c>
      <c r="O129" s="256" t="inlineStr">
        <is>
          <t>2156/2025 07.05.25 IJZ (initial)</t>
        </is>
      </c>
      <c r="P129" s="256" t="inlineStr">
        <is>
          <t>220-21-М/26 11.09.26 FHM-M</t>
        </is>
      </c>
      <c r="Q129" s="256" t="inlineStr">
        <is>
          <t>2156/2025 07.05.25 IJZ (initial)</t>
        </is>
      </c>
      <c r="R129" s="256" t="inlineStr">
        <is>
          <t>2156/2025 07.05.25 IJZ (initial)</t>
        </is>
      </c>
    </row>
    <row r="130">
      <c r="A130" s="256" t="inlineStr">
        <is>
          <t>CoQ-PP_26-129</t>
        </is>
      </c>
      <c r="B130" s="256" t="inlineStr">
        <is>
          <t>P060042 (OPM092501)</t>
        </is>
      </c>
      <c r="C130" s="256" t="inlineStr">
        <is>
          <t>retest (predicted)</t>
        </is>
      </c>
      <c r="D130" s="256" t="inlineStr">
        <is>
          <t>18.09.26</t>
        </is>
      </c>
      <c r="E130" s="256" t="inlineStr">
        <is>
          <t>13.08.26</t>
        </is>
      </c>
      <c r="F130" s="256" t="inlineStr">
        <is>
          <t>220-22-К/26 17.08.26; ППК26008 08.01.26; 2/0005/26 12.01.25; 220-22-М/26 17.08.26; 87/2026 08.01.26</t>
        </is>
      </c>
      <c r="G130" s="256" t="inlineStr">
        <is>
          <t>iCoA-PP_26-143 17.08.26 PP</t>
        </is>
      </c>
      <c r="H130" s="256" t="inlineStr">
        <is>
          <t>iCoA-PP_26-143 17.08.26 PP</t>
        </is>
      </c>
      <c r="I130" s="256" t="inlineStr">
        <is>
          <t>220-22-К/26 26.08.26 FHM-K</t>
        </is>
      </c>
      <c r="J130" s="256" t="inlineStr">
        <is>
          <t>220-22-К/26 26.08.26 FHM-K</t>
        </is>
      </c>
      <c r="K130" s="256" t="inlineStr">
        <is>
          <t>220-22-К/26 26.08.26 FHM-K</t>
        </is>
      </c>
      <c r="L130" s="256" t="inlineStr">
        <is>
          <t>220-22-К/26 26.08.26 FHM-K</t>
        </is>
      </c>
      <c r="M130" s="256" t="inlineStr">
        <is>
          <t>iCoA-PP_26-143 17.08.26 PP</t>
        </is>
      </c>
      <c r="N130" s="256" t="inlineStr">
        <is>
          <t>ППК26008 21.01.26 CNP (initial) DAB</t>
        </is>
      </c>
      <c r="O130" s="256" t="inlineStr">
        <is>
          <t>2/0005/26 20.01.26 IJZ-MB (initial)</t>
        </is>
      </c>
      <c r="P130" s="256" t="inlineStr">
        <is>
          <t>220-22-М/26 11.09.26 FHM-M</t>
        </is>
      </c>
      <c r="Q130" s="256" t="inlineStr">
        <is>
          <t>87/2026 03.02.26 IJZ (initial)</t>
        </is>
      </c>
      <c r="R130" s="256" t="inlineStr">
        <is>
          <t>87/2026 03.02.26 IJZ (initial)</t>
        </is>
      </c>
    </row>
    <row r="131">
      <c r="A131" s="256" t="inlineStr">
        <is>
          <t>CoQ-PP_26-130</t>
        </is>
      </c>
      <c r="B131" s="256" t="inlineStr">
        <is>
          <t>P050082 (OPM1024_03)</t>
        </is>
      </c>
      <c r="C131" s="256" t="inlineStr">
        <is>
          <t>retest</t>
        </is>
      </c>
      <c r="D131" s="256" t="inlineStr">
        <is>
          <t>18.09.26</t>
        </is>
      </c>
      <c r="E131" s="256" t="inlineStr">
        <is>
          <t>14.08.26</t>
        </is>
      </c>
      <c r="F131" s="256" t="inlineStr">
        <is>
          <t>220-23-К/26 17.08.26; ППК25210 21.07.25; 766/1375/25 21.07.25; 220-23-М/26 17.08.26; 3636/2025 21.07.25</t>
        </is>
      </c>
      <c r="G131" s="256" t="inlineStr">
        <is>
          <t>iCoA-PP_26-149 17.08.26 PP</t>
        </is>
      </c>
      <c r="H131" s="256" t="inlineStr">
        <is>
          <t>iCoA-PP_26-149 17.08.26 PP</t>
        </is>
      </c>
      <c r="I131" s="256" t="inlineStr">
        <is>
          <t>220-23-К/26 26.08.26 FHM-K</t>
        </is>
      </c>
      <c r="J131" s="256" t="inlineStr">
        <is>
          <t>220-23-К/26 26.08.26 FHM-K</t>
        </is>
      </c>
      <c r="K131" s="256" t="inlineStr">
        <is>
          <t>220-23-К/26 26.08.26 FHM-K</t>
        </is>
      </c>
      <c r="L131" s="256" t="inlineStr">
        <is>
          <t>220-23-К/26 26.08.26 FHM-K</t>
        </is>
      </c>
      <c r="M131" s="256" t="inlineStr">
        <is>
          <t>iCoA-PP_26-149 17.08.26 PP</t>
        </is>
      </c>
      <c r="N131" s="256" t="inlineStr">
        <is>
          <t>ППК25210 28.07.25 CNP (initial) DAB</t>
        </is>
      </c>
      <c r="O131" s="256" t="inlineStr">
        <is>
          <t>766/1375/25 29.07.25 IJZ-MB (initial)</t>
        </is>
      </c>
      <c r="P131" s="256" t="inlineStr">
        <is>
          <t>220-23-М/26 11.09.26 FHM-M</t>
        </is>
      </c>
      <c r="Q131" s="256" t="inlineStr">
        <is>
          <t>3636/2025 28.07.25 IJZ (initial)</t>
        </is>
      </c>
      <c r="R131" s="256" t="inlineStr">
        <is>
          <t>3636/2025 28.07.25 IJZ (initial)</t>
        </is>
      </c>
    </row>
    <row r="132">
      <c r="A132" s="256" t="inlineStr">
        <is>
          <t>CoQ-PP_26-131</t>
        </is>
      </c>
      <c r="B132" s="256" t="inlineStr">
        <is>
          <t>P060232 (PM112501)</t>
        </is>
      </c>
      <c r="C132" s="256" t="inlineStr">
        <is>
          <t>retest (predicted)</t>
        </is>
      </c>
      <c r="D132" s="256" t="inlineStr">
        <is>
          <t>18.09.26</t>
        </is>
      </c>
      <c r="E132" s="256" t="inlineStr">
        <is>
          <t>14.08.26</t>
        </is>
      </c>
      <c r="F132" s="256" t="inlineStr">
        <is>
          <t>220-24-К/26 17.08.26; ППК26030 23.02.26; 135/0232/26 —; 220-24-М/26 17.08.26; 1059/2026 —</t>
        </is>
      </c>
      <c r="G132" s="256" t="inlineStr">
        <is>
          <t>iCoA-PP_26-150 17.08.26 PP</t>
        </is>
      </c>
      <c r="H132" s="256" t="inlineStr">
        <is>
          <t>iCoA-PP_26-150 17.08.26 PP</t>
        </is>
      </c>
      <c r="I132" s="256" t="inlineStr">
        <is>
          <t>220-24-К/26 26.08.26 FHM-K</t>
        </is>
      </c>
      <c r="J132" s="256" t="inlineStr">
        <is>
          <t>220-24-К/26 26.08.26 FHM-K</t>
        </is>
      </c>
      <c r="K132" s="256" t="inlineStr">
        <is>
          <t>220-24-К/26 26.08.26 FHM-K</t>
        </is>
      </c>
      <c r="L132" s="256" t="inlineStr">
        <is>
          <t>220-24-К/26 26.08.26 FHM-K</t>
        </is>
      </c>
      <c r="M132" s="256" t="inlineStr">
        <is>
          <t>iCoA-PP_26-150 17.08.26 PP</t>
        </is>
      </c>
      <c r="N132" s="256" t="inlineStr">
        <is>
          <t>ППК26030 05.03.26 CNP (initial) DAB</t>
        </is>
      </c>
      <c r="O132" s="256" t="inlineStr">
        <is>
          <t>135/0232/26 06.03.26 IJZ</t>
        </is>
      </c>
      <c r="P132" s="256" t="inlineStr">
        <is>
          <t>220-24-М/26 11.09.26 FHM-M</t>
        </is>
      </c>
      <c r="Q132" s="256" t="inlineStr">
        <is>
          <t>1059/2026 09.03.26 IJZ</t>
        </is>
      </c>
      <c r="R132" s="256" t="inlineStr">
        <is>
          <t>1059/2026 09.03.26 IJZ (initial)</t>
        </is>
      </c>
    </row>
    <row r="133">
      <c r="A133" s="256" t="inlineStr">
        <is>
          <t>CoQ-PP_26-132</t>
        </is>
      </c>
      <c r="B133" s="256" t="inlineStr">
        <is>
          <t>P060112 (PUM102501)</t>
        </is>
      </c>
      <c r="C133" s="256" t="inlineStr">
        <is>
          <t>retest (predicted)</t>
        </is>
      </c>
      <c r="D133" s="256" t="inlineStr">
        <is>
          <t>18.09.26</t>
        </is>
      </c>
      <c r="E133" s="256" t="inlineStr">
        <is>
          <t>14.08.26</t>
        </is>
      </c>
      <c r="F133" s="256" t="inlineStr">
        <is>
          <t>220-25-К/26 17.08.26; 031-2-ГС/26 —; 74/0117/26 —; 220-25-М/26 17.08.26; 327/2026 —</t>
        </is>
      </c>
      <c r="G133" s="256" t="inlineStr">
        <is>
          <t>iCoA-PP_26-151 17.08.26 PP*</t>
        </is>
      </c>
      <c r="H133" s="256" t="inlineStr">
        <is>
          <t>iCoA-PP_26-151 17.08.26 PP*</t>
        </is>
      </c>
      <c r="I133" s="256" t="inlineStr">
        <is>
          <t>220-25-К/26 26.08.26 FHM-K</t>
        </is>
      </c>
      <c r="J133" s="256" t="inlineStr">
        <is>
          <t>220-25-К/26 26.08.26 FHM-K</t>
        </is>
      </c>
      <c r="K133" s="256" t="inlineStr">
        <is>
          <t>220-25-К/26 26.08.26 FHM-K</t>
        </is>
      </c>
      <c r="L133" s="256" t="inlineStr">
        <is>
          <t>220-25-К/26 26.08.26 FHM-K</t>
        </is>
      </c>
      <c r="M133" s="256" t="inlineStr">
        <is>
          <t>iCoA-PP_26-151 17.08.26 PP*</t>
        </is>
      </c>
      <c r="N133" s="256" t="inlineStr">
        <is>
          <t>031-2-ГС/26 11.02.26 FHM (initial)</t>
        </is>
      </c>
      <c r="O133" s="256" t="inlineStr">
        <is>
          <t>74/0117/26 09.02.26 IJZ</t>
        </is>
      </c>
      <c r="P133" s="256" t="inlineStr">
        <is>
          <t>220-25-М/26 11.09.26 FHM-M</t>
        </is>
      </c>
      <c r="Q133" s="256" t="inlineStr">
        <is>
          <t>327/2026 11.02.26 IJZ</t>
        </is>
      </c>
      <c r="R133" s="256" t="inlineStr">
        <is>
          <t>327/2026 11.02.26 IJZ (initial)</t>
        </is>
      </c>
    </row>
    <row r="134">
      <c r="A134" s="256" t="inlineStr">
        <is>
          <t>CoQ-PP_26-133</t>
        </is>
      </c>
      <c r="B134" s="256" t="inlineStr">
        <is>
          <t>P060282 (SCR112501)</t>
        </is>
      </c>
      <c r="C134" s="256" t="inlineStr">
        <is>
          <t>retest (predicted)</t>
        </is>
      </c>
      <c r="D134" s="256" t="inlineStr">
        <is>
          <t>18.09.26</t>
        </is>
      </c>
      <c r="E134" s="256" t="inlineStr">
        <is>
          <t>14.08.26</t>
        </is>
      </c>
      <c r="F134" s="256" t="inlineStr">
        <is>
          <t>220-26-К/26 17.08.26; ППК26069 21.04.26; 305/0549/26 22.04.26; 220-26-М/26 17.08.26; 2360/2026 21.04.26</t>
        </is>
      </c>
      <c r="G134" s="256" t="inlineStr">
        <is>
          <t>iCoA-PP_26-152 17.08.26 PP</t>
        </is>
      </c>
      <c r="H134" s="256" t="inlineStr">
        <is>
          <t>iCoA-PP_26-152 17.08.26 PP</t>
        </is>
      </c>
      <c r="I134" s="256" t="inlineStr">
        <is>
          <t>220-26-К/26 26.08.26 FHM-K</t>
        </is>
      </c>
      <c r="J134" s="256" t="inlineStr">
        <is>
          <t>220-26-К/26 26.08.26 FHM-K</t>
        </is>
      </c>
      <c r="K134" s="256" t="inlineStr">
        <is>
          <t>220-26-К/26 26.08.26 FHM-K</t>
        </is>
      </c>
      <c r="L134" s="256" t="inlineStr">
        <is>
          <t>220-26-К/26 26.08.26 FHM-K</t>
        </is>
      </c>
      <c r="M134" s="256" t="inlineStr">
        <is>
          <t>iCoA-PP_26-152 17.08.26 PP</t>
        </is>
      </c>
      <c r="N134" s="256" t="inlineStr">
        <is>
          <t>ППК26069 11.05.26 CNP (initial) DAB</t>
        </is>
      </c>
      <c r="O134" s="256" t="inlineStr">
        <is>
          <t>305/0549/26 28.04.26 IJZ-MB (initial)</t>
        </is>
      </c>
      <c r="P134" s="256" t="inlineStr">
        <is>
          <t>220-26-М/26 11.09.26 FHM-M</t>
        </is>
      </c>
      <c r="Q134" s="256" t="inlineStr">
        <is>
          <t>2360/2026 29.04.26 IJZ (initial)</t>
        </is>
      </c>
      <c r="R134" s="256" t="inlineStr">
        <is>
          <t>2360/2026 29.04.26 IJZ (initial)</t>
        </is>
      </c>
    </row>
    <row r="135">
      <c r="A135" s="256" t="inlineStr">
        <is>
          <t>CoQ-PP_26-134</t>
        </is>
      </c>
      <c r="B135" s="256" t="inlineStr">
        <is>
          <t>P060082 (SJ092501)</t>
        </is>
      </c>
      <c r="C135" s="256" t="inlineStr">
        <is>
          <t>retest (predicted)</t>
        </is>
      </c>
      <c r="D135" s="256" t="inlineStr">
        <is>
          <t>18.09.26</t>
        </is>
      </c>
      <c r="E135" s="256" t="inlineStr">
        <is>
          <t>14.08.26</t>
        </is>
      </c>
      <c r="F135" s="256" t="inlineStr">
        <is>
          <t>220-27-К/26 17.08.26; ППК26006 08.01.26; 9/0012/26 12.01.25; 220-27-М/26 17.08.26; 85/2026 08.01.26</t>
        </is>
      </c>
      <c r="G135" s="256" t="inlineStr">
        <is>
          <t>iCoA-PP_26-153 17.08.26 PP</t>
        </is>
      </c>
      <c r="H135" s="256" t="inlineStr">
        <is>
          <t>iCoA-PP_26-153 17.08.26 PP*</t>
        </is>
      </c>
      <c r="I135" s="256" t="inlineStr">
        <is>
          <t>220-27-К/26 26.08.26 FHM-K</t>
        </is>
      </c>
      <c r="J135" s="256" t="inlineStr">
        <is>
          <t>220-27-К/26 26.08.26 FHM-K</t>
        </is>
      </c>
      <c r="K135" s="256" t="inlineStr">
        <is>
          <t>220-27-К/26 26.08.26 FHM-K</t>
        </is>
      </c>
      <c r="L135" s="256" t="inlineStr">
        <is>
          <t>220-27-К/26 26.08.26 FHM-K</t>
        </is>
      </c>
      <c r="M135" s="256" t="inlineStr">
        <is>
          <t>iCoA-PP_26-153 17.08.26 PP</t>
        </is>
      </c>
      <c r="N135" s="256" t="inlineStr">
        <is>
          <t>ППК26006 21.01.26 CNP (initial) DAB</t>
        </is>
      </c>
      <c r="O135" s="256" t="inlineStr">
        <is>
          <t>9/0012/26 20.01.26 IJZ-MB (initial)</t>
        </is>
      </c>
      <c r="P135" s="256" t="inlineStr">
        <is>
          <t>220-27-М/26 11.09.26 FHM-M</t>
        </is>
      </c>
      <c r="Q135" s="256" t="inlineStr">
        <is>
          <t>85/2026 02.02.26 IJZ (initial)</t>
        </is>
      </c>
      <c r="R135" s="256" t="inlineStr">
        <is>
          <t>85/2026 02.02.26 IJZ (initial)</t>
        </is>
      </c>
    </row>
    <row r="136">
      <c r="A136" s="256" t="inlineStr">
        <is>
          <t>CoQ-PP_26-135</t>
        </is>
      </c>
      <c r="B136" s="256" t="inlineStr">
        <is>
          <t>P060012 (WC082501)</t>
        </is>
      </c>
      <c r="C136" s="256" t="inlineStr">
        <is>
          <t>retest (predicted)</t>
        </is>
      </c>
      <c r="D136" s="256" t="inlineStr">
        <is>
          <t>18.09.26</t>
        </is>
      </c>
      <c r="E136" s="256" t="inlineStr">
        <is>
          <t>14.08.26</t>
        </is>
      </c>
      <c r="F136" s="256" t="inlineStr">
        <is>
          <t>220-28-К/26 17.08.26; ППК26001 08.01.26; 3/0006/26 12.01.25; 220-28-М/26 17.08.26; 80/2026 08.01.26</t>
        </is>
      </c>
      <c r="G136" s="256" t="inlineStr">
        <is>
          <t>iCoA-PP_26-154 17.08.26 PP</t>
        </is>
      </c>
      <c r="H136" s="256" t="inlineStr">
        <is>
          <t>iCoA-PP_26-154 17.08.26 PP</t>
        </is>
      </c>
      <c r="I136" s="256" t="inlineStr">
        <is>
          <t>220-28-К/26 26.08.26 FHM-K</t>
        </is>
      </c>
      <c r="J136" s="256" t="inlineStr">
        <is>
          <t>220-28-К/26 26.08.26 FHM-K</t>
        </is>
      </c>
      <c r="K136" s="256" t="inlineStr">
        <is>
          <t>220-28-К/26 26.08.26 FHM-K</t>
        </is>
      </c>
      <c r="L136" s="256" t="inlineStr">
        <is>
          <t>220-28-К/26 26.08.26 FHM-K</t>
        </is>
      </c>
      <c r="M136" s="256" t="inlineStr">
        <is>
          <t>iCoA-PP_26-154 17.08.26 PP</t>
        </is>
      </c>
      <c r="N136" s="256" t="inlineStr">
        <is>
          <t>ППК26001 21.01.26 CNP (initial) DAB</t>
        </is>
      </c>
      <c r="O136" s="256" t="inlineStr">
        <is>
          <t>3/0006/26 20.01.26 IJZ-MB (initial)</t>
        </is>
      </c>
      <c r="P136" s="256" t="inlineStr">
        <is>
          <t>220-28-М/26 11.09.26 FHM-M</t>
        </is>
      </c>
      <c r="Q136" s="256" t="inlineStr">
        <is>
          <t>80/2026 02.02.26 IJZ (initial)</t>
        </is>
      </c>
      <c r="R136" s="256" t="inlineStr">
        <is>
          <t>80/2026 02.02.26 IJZ (initial)</t>
        </is>
      </c>
    </row>
    <row r="137">
      <c r="A137" s="256" t="inlineStr">
        <is>
          <t>CoQ-PP_26-136</t>
        </is>
      </c>
      <c r="B137" s="256" t="inlineStr">
        <is>
          <t>P060052 (AB092501)</t>
        </is>
      </c>
      <c r="C137" s="256" t="inlineStr">
        <is>
          <t>retest (predicted)</t>
        </is>
      </c>
      <c r="D137" s="256" t="inlineStr">
        <is>
          <t>21.09.26</t>
        </is>
      </c>
      <c r="E137" s="256" t="inlineStr">
        <is>
          <t>21.08.26</t>
        </is>
      </c>
      <c r="F137" s="256" t="inlineStr">
        <is>
          <t>227-30-К/26 24.08.26; ППК26005 08.01.26; 552/1083/26 26.08.26; 227-30-М/26 —; 84/2026 08.01.26</t>
        </is>
      </c>
      <c r="G137" s="256" t="inlineStr">
        <is>
          <t>iCoA-PP_26-175 24.08.26 PP</t>
        </is>
      </c>
      <c r="H137" s="256" t="inlineStr">
        <is>
          <t>iCoA-PP_26-175 24.08.26 PP*</t>
        </is>
      </c>
      <c r="I137" s="256" t="inlineStr">
        <is>
          <t>227-30-К/26 11.09.26 FHM-K</t>
        </is>
      </c>
      <c r="J137" s="256" t="inlineStr">
        <is>
          <t>227-30-К/26 11.09.26 FHM-K</t>
        </is>
      </c>
      <c r="K137" s="256" t="inlineStr">
        <is>
          <t>227-30-К/26 11.09.26 FHM-K</t>
        </is>
      </c>
      <c r="L137" s="256" t="inlineStr">
        <is>
          <t>227-30-К/26 11.09.26 FHM-K</t>
        </is>
      </c>
      <c r="M137" s="256" t="inlineStr">
        <is>
          <t>iCoA-PP_26-175 24.08.26 PP</t>
        </is>
      </c>
      <c r="N137" s="256" t="inlineStr">
        <is>
          <t>ППК26005 21.01.26 CNP (initial)</t>
        </is>
      </c>
      <c r="O137" s="256" t="inlineStr">
        <is>
          <t>552/1083/26 01.09.26 IJZ-MB</t>
        </is>
      </c>
      <c r="P137" s="256" t="inlineStr">
        <is>
          <t>227-30-М/26 16.09.26 FHM-M; 227-30-М/26 16.09.26 FHM-M (initial)</t>
        </is>
      </c>
      <c r="Q137" s="256" t="inlineStr">
        <is>
          <t>84/2026 02.02.26 IJZ (initial)</t>
        </is>
      </c>
      <c r="R137" s="256" t="inlineStr">
        <is>
          <t>84/2026 02.02.26 IJZ (initial)</t>
        </is>
      </c>
    </row>
    <row r="138">
      <c r="A138" s="256" t="inlineStr">
        <is>
          <t>CoQ-PP_26-137</t>
        </is>
      </c>
      <c r="B138" s="256" t="inlineStr">
        <is>
          <t>P050122 (BSS1024_01)</t>
        </is>
      </c>
      <c r="C138" s="256" t="inlineStr">
        <is>
          <t>retest (predicted)</t>
        </is>
      </c>
      <c r="D138" s="256" t="inlineStr">
        <is>
          <t>21.09.26</t>
        </is>
      </c>
      <c r="E138" s="256" t="inlineStr">
        <is>
          <t>21.08.26</t>
        </is>
      </c>
      <c r="F138" s="256" t="inlineStr">
        <is>
          <t>227-29-К/26 24.08.26; ППК25176 23.06.25; 561/1092/26 26.08.26; 227-29-М/26 —; 3177/2025 23.06.25</t>
        </is>
      </c>
      <c r="G138" s="256" t="inlineStr">
        <is>
          <t>iCoA-PP_26-176 24.08.26 PP</t>
        </is>
      </c>
      <c r="H138" s="256" t="inlineStr">
        <is>
          <t>iCoA-PP_26-176 24.08.26 PP*</t>
        </is>
      </c>
      <c r="I138" s="256" t="inlineStr">
        <is>
          <t>227-29-К/26 11.09.26 FHM-K</t>
        </is>
      </c>
      <c r="J138" s="256" t="inlineStr">
        <is>
          <t>227-29-К/26 11.09.26 FHM-K</t>
        </is>
      </c>
      <c r="K138" s="256" t="inlineStr">
        <is>
          <t>227-29-К/26 11.09.26 FHM-K</t>
        </is>
      </c>
      <c r="L138" s="256" t="inlineStr">
        <is>
          <t>227-29-К/26 11.09.26 FHM-K</t>
        </is>
      </c>
      <c r="M138" s="256" t="inlineStr">
        <is>
          <t>iCoA-PP_26-176 24.08.26 PP</t>
        </is>
      </c>
      <c r="N138" s="256" t="inlineStr">
        <is>
          <t>ППК25176 10.07.25 CNP (initial) DAB</t>
        </is>
      </c>
      <c r="O138" s="256" t="inlineStr">
        <is>
          <t>561/1092/26 01.09.26 IJZ-MB</t>
        </is>
      </c>
      <c r="P138" s="256" t="inlineStr">
        <is>
          <t>227-29-М/26 16.09.26 FHM-M; 227-29-М/26 16.09.26 FHM-M (initial)</t>
        </is>
      </c>
      <c r="Q138" s="256" t="inlineStr">
        <is>
          <t>3177/2025 26.06.25 IJZ (initial)</t>
        </is>
      </c>
      <c r="R138" s="256" t="inlineStr">
        <is>
          <t>3177/2025 26.06.25 IJZ (initial)</t>
        </is>
      </c>
    </row>
    <row r="139">
      <c r="A139" s="256" t="inlineStr">
        <is>
          <t>CoQ-PP_26-138</t>
        </is>
      </c>
      <c r="B139" s="256" t="inlineStr">
        <is>
          <t>P050142 (BSS1024_01/2)</t>
        </is>
      </c>
      <c r="C139" s="256" t="inlineStr">
        <is>
          <t>retest (predicted)</t>
        </is>
      </c>
      <c r="D139" s="256" t="inlineStr">
        <is>
          <t>21.09.26</t>
        </is>
      </c>
      <c r="E139" s="256" t="inlineStr">
        <is>
          <t>19.08.26</t>
        </is>
      </c>
      <c r="F139" s="256" t="inlineStr">
        <is>
          <t>227-1-К/26 24.08.26; 559/1090/26 26.08.26; 227-1-М/26 —</t>
        </is>
      </c>
      <c r="G139" s="256" t="inlineStr">
        <is>
          <t>iCoA-PP_26-155 24.08.26 PP*</t>
        </is>
      </c>
      <c r="H139" s="256" t="inlineStr">
        <is>
          <t>iCoA-PP_26-155 24.08.26 PP*</t>
        </is>
      </c>
      <c r="I139" s="256" t="inlineStr">
        <is>
          <t>227-1-К/26 11.09.26 FHM-K</t>
        </is>
      </c>
      <c r="J139" s="256" t="inlineStr">
        <is>
          <t>227-1-К/26 11.09.26 FHM-K</t>
        </is>
      </c>
      <c r="K139" s="256" t="inlineStr">
        <is>
          <t>227-1-К/26 11.09.26 FHM-K</t>
        </is>
      </c>
      <c r="L139" s="256" t="inlineStr">
        <is>
          <t>227-1-К/26 11.09.26 FHM-K</t>
        </is>
      </c>
      <c r="M139" s="256" t="inlineStr">
        <is>
          <t>iCoA-PP_26-155 24.08.26 PP*</t>
        </is>
      </c>
      <c r="N139" s="257" t="inlineStr">
        <is>
          <t>n/t (initial)</t>
        </is>
      </c>
      <c r="O139" s="256" t="inlineStr">
        <is>
          <t>559/1090/26 01.09.26 IJZ-MB</t>
        </is>
      </c>
      <c r="P139" s="256" t="inlineStr">
        <is>
          <t>227-1-М/26 16.09.26 FHM-M</t>
        </is>
      </c>
      <c r="Q139" s="257" t="inlineStr">
        <is>
          <t>n/t (initial)</t>
        </is>
      </c>
      <c r="R139" s="257" t="inlineStr">
        <is>
          <t>n/t (initial)</t>
        </is>
      </c>
    </row>
    <row r="140">
      <c r="A140" s="256" t="inlineStr">
        <is>
          <t>CoQ-PP_26-139</t>
        </is>
      </c>
      <c r="B140" s="256" t="inlineStr">
        <is>
          <t>CC112501</t>
        </is>
      </c>
      <c r="C140" s="256" t="inlineStr">
        <is>
          <t>retest (predicted)</t>
        </is>
      </c>
      <c r="D140" s="256" t="inlineStr">
        <is>
          <t>21.09.26</t>
        </is>
      </c>
      <c r="E140" s="256" t="inlineStr">
        <is>
          <t>21.08.26</t>
        </is>
      </c>
      <c r="F140" s="256" t="inlineStr">
        <is>
          <t>227-25-К/26 24.08.26; ППК26068 21.04.26; 543/1074/26 25.08.26; 227-25-М/26 —; 2359/2026 21.04.26</t>
        </is>
      </c>
      <c r="G140" s="256" t="inlineStr">
        <is>
          <t>iCoA-PP_26-177 24.08.26 PP*</t>
        </is>
      </c>
      <c r="H140" s="256" t="inlineStr">
        <is>
          <t>iCoA-PP_26-177 24.08.26 PP*</t>
        </is>
      </c>
      <c r="I140" s="256" t="inlineStr">
        <is>
          <t>227-25-К/26 11.09.26 FHM-K</t>
        </is>
      </c>
      <c r="J140" s="256" t="inlineStr">
        <is>
          <t>227-25-К/26 11.09.26 FHM-K</t>
        </is>
      </c>
      <c r="K140" s="256" t="inlineStr">
        <is>
          <t>227-25-К/26 11.09.26 FHM-K</t>
        </is>
      </c>
      <c r="L140" s="256" t="inlineStr">
        <is>
          <t>227-25-К/26 11.09.26 FHM-K</t>
        </is>
      </c>
      <c r="M140" s="256" t="inlineStr">
        <is>
          <t>iCoA-PP_26-177 24.08.26 PP*</t>
        </is>
      </c>
      <c r="N140" s="256" t="inlineStr">
        <is>
          <t>ППК26068 11.05.26 CNP (initial) DAB</t>
        </is>
      </c>
      <c r="O140" s="256" t="inlineStr">
        <is>
          <t>543/1074/26 31.08.26 IJZ-MB</t>
        </is>
      </c>
      <c r="P140" s="256" t="inlineStr">
        <is>
          <t>227-25-М/26 16.09.26 FHM-M; 227-25-М/26 16.09.26 FHM-M (initial)</t>
        </is>
      </c>
      <c r="Q140" s="256" t="inlineStr">
        <is>
          <t>2359/2026 29.04.26 IJZ (initial)</t>
        </is>
      </c>
      <c r="R140" s="256" t="inlineStr">
        <is>
          <t>2359/2026 29.04.26 IJZ (initial)</t>
        </is>
      </c>
    </row>
    <row r="141">
      <c r="A141" s="256" t="inlineStr">
        <is>
          <t>CoQ-PP_26-140</t>
        </is>
      </c>
      <c r="B141" s="256" t="inlineStr">
        <is>
          <t>P050172 (CJ052501-2)</t>
        </is>
      </c>
      <c r="C141" s="256" t="inlineStr">
        <is>
          <t>retest (predicted)</t>
        </is>
      </c>
      <c r="D141" s="256" t="inlineStr">
        <is>
          <t>21.09.26</t>
        </is>
      </c>
      <c r="E141" s="256" t="inlineStr">
        <is>
          <t>21.08.26</t>
        </is>
      </c>
      <c r="F141" s="256" t="inlineStr">
        <is>
          <t>227-28-К/26 24.08.26; ППК25281 05.09.25; 558/1089/26 26.08.26; 227-28-М/26 —; 4349/2025 05.09.25</t>
        </is>
      </c>
      <c r="G141" s="256" t="inlineStr">
        <is>
          <t>iCoA-PP_26-178 24.08.26 PP</t>
        </is>
      </c>
      <c r="H141" s="256" t="inlineStr">
        <is>
          <t>iCoA-PP_26-178 24.08.26 PP*</t>
        </is>
      </c>
      <c r="I141" s="256" t="inlineStr">
        <is>
          <t>227-28-К/26 11.09.26 FHM-K</t>
        </is>
      </c>
      <c r="J141" s="256" t="inlineStr">
        <is>
          <t>227-28-К/26 11.09.26 FHM-K</t>
        </is>
      </c>
      <c r="K141" s="256" t="inlineStr">
        <is>
          <t>227-28-К/26 11.09.26 FHM-K</t>
        </is>
      </c>
      <c r="L141" s="256" t="inlineStr">
        <is>
          <t>227-28-К/26 11.09.26 FHM-K</t>
        </is>
      </c>
      <c r="M141" s="256" t="inlineStr">
        <is>
          <t>iCoA-PP_26-178 24.08.26 PP</t>
        </is>
      </c>
      <c r="N141" s="256" t="inlineStr">
        <is>
          <t>ППК25281 17.09.25 CNP (initial) DAB</t>
        </is>
      </c>
      <c r="O141" s="256" t="inlineStr">
        <is>
          <t>558/1089/26 01.09.26 IJZ-MB</t>
        </is>
      </c>
      <c r="P141" s="256" t="inlineStr">
        <is>
          <t>227-28-М/26 16.09.26 FHM-M; 227-28-М/26 16.09.26 FHM-M (initial)</t>
        </is>
      </c>
      <c r="Q141" s="256" t="inlineStr">
        <is>
          <t>4349/2025 15.09.25 IJZ (initial)</t>
        </is>
      </c>
      <c r="R141" s="256" t="inlineStr">
        <is>
          <t>4349/2025 15.09.25 IJZ (initial)</t>
        </is>
      </c>
    </row>
    <row r="142">
      <c r="A142" s="256" t="inlineStr">
        <is>
          <t>CoQ-PP_26-141</t>
        </is>
      </c>
      <c r="B142" s="256" t="inlineStr">
        <is>
          <t>P050252 (CJ072501)</t>
        </is>
      </c>
      <c r="C142" s="256" t="inlineStr">
        <is>
          <t>retest (predicted)</t>
        </is>
      </c>
      <c r="D142" s="256" t="inlineStr">
        <is>
          <t>21.09.26</t>
        </is>
      </c>
      <c r="E142" s="256" t="inlineStr">
        <is>
          <t>21.08.26</t>
        </is>
      </c>
      <c r="F142" s="256" t="inlineStr">
        <is>
          <t>227-27-К/26 24.08.26; ППК25367 24.11.25; 556/1087/26 26.08.26; 227-27-М/26 —; 5697/2025 24.11.25</t>
        </is>
      </c>
      <c r="G142" s="256" t="inlineStr">
        <is>
          <t>iCoA-PP_26-179 24.08.26 PP*</t>
        </is>
      </c>
      <c r="H142" s="256" t="inlineStr">
        <is>
          <t>iCoA-PP_26-179 24.08.26 PP*</t>
        </is>
      </c>
      <c r="I142" s="256" t="inlineStr">
        <is>
          <t>227-27-К/26 11.09.26 FHM-K</t>
        </is>
      </c>
      <c r="J142" s="256" t="inlineStr">
        <is>
          <t>227-27-К/26 11.09.26 FHM-K</t>
        </is>
      </c>
      <c r="K142" s="256" t="inlineStr">
        <is>
          <t>227-27-К/26 11.09.26 FHM-K</t>
        </is>
      </c>
      <c r="L142" s="256" t="inlineStr">
        <is>
          <t>227-27-К/26 11.09.26 FHM-K</t>
        </is>
      </c>
      <c r="M142" s="256" t="inlineStr">
        <is>
          <t>iCoA-PP_26-179 24.08.26 PP*</t>
        </is>
      </c>
      <c r="N142" s="256" t="inlineStr">
        <is>
          <t>ППК25367 28.11.25 CNP (initial) DAB</t>
        </is>
      </c>
      <c r="O142" s="256" t="inlineStr">
        <is>
          <t>556/1087/26 01.09.26 IJZ-MB</t>
        </is>
      </c>
      <c r="P142" s="256" t="inlineStr">
        <is>
          <t>227-27-М/26 16.09.26 FHM-M; 227-27-М/26 16.09.26 FHM-M (initial)</t>
        </is>
      </c>
      <c r="Q142" s="256" t="inlineStr">
        <is>
          <t>5697/2025 02.12.25 IJZ (initial)</t>
        </is>
      </c>
      <c r="R142" s="256" t="inlineStr">
        <is>
          <t>5697/2025 02.12.25 IJZ (initial)</t>
        </is>
      </c>
    </row>
    <row r="143">
      <c r="A143" s="256" t="inlineStr">
        <is>
          <t>CoQ-PP_26-142</t>
        </is>
      </c>
      <c r="B143" s="256" t="inlineStr">
        <is>
          <t>CJ1024</t>
        </is>
      </c>
      <c r="C143" s="256" t="inlineStr">
        <is>
          <t>retest (predicted)</t>
        </is>
      </c>
      <c r="D143" s="256" t="inlineStr">
        <is>
          <t>21.09.26</t>
        </is>
      </c>
      <c r="E143" s="256" t="inlineStr">
        <is>
          <t>21.08.26</t>
        </is>
      </c>
      <c r="F143" s="256" t="inlineStr">
        <is>
          <t>227-26-К/26 24.08.26; ППК25052 13.02.25; 565/1096/26 26.08.26; 227-26-М/26 —; 750/2025 13.02.25</t>
        </is>
      </c>
      <c r="G143" s="256" t="inlineStr">
        <is>
          <t>iCoA-PP_26-180 24.08.26 PP</t>
        </is>
      </c>
      <c r="H143" s="256" t="inlineStr">
        <is>
          <t>iCoA-PP_26-180 24.08.26 PP*</t>
        </is>
      </c>
      <c r="I143" s="256" t="inlineStr">
        <is>
          <t>227-26-К/26 11.09.26 FHM-K</t>
        </is>
      </c>
      <c r="J143" s="256" t="inlineStr">
        <is>
          <t>227-26-К/26 11.09.26 FHM-K</t>
        </is>
      </c>
      <c r="K143" s="256" t="inlineStr">
        <is>
          <t>227-26-К/26 11.09.26 FHM-K</t>
        </is>
      </c>
      <c r="L143" s="256" t="inlineStr">
        <is>
          <t>227-26-К/26 11.09.26 FHM-K</t>
        </is>
      </c>
      <c r="M143" s="256" t="inlineStr">
        <is>
          <t>iCoA-PP_26-180 24.08.26 PP</t>
        </is>
      </c>
      <c r="N143" s="256" t="inlineStr">
        <is>
          <t>ППК25052 26.02.25 CNP (initial) DAB</t>
        </is>
      </c>
      <c r="O143" s="256" t="inlineStr">
        <is>
          <t>565/1096/26 01.09.26 IJZ-MB</t>
        </is>
      </c>
      <c r="P143" s="256" t="inlineStr">
        <is>
          <t>227-26-М/26 16.09.26 FHM-M; 227-26-М/26 16.09.26 FHM-M (initial)</t>
        </is>
      </c>
      <c r="Q143" s="256" t="inlineStr">
        <is>
          <t>750/2025 27.02.25 IJZ (initial)</t>
        </is>
      </c>
      <c r="R143" s="256" t="inlineStr">
        <is>
          <t>750/2025 27.02.25 IJZ (initial)</t>
        </is>
      </c>
    </row>
    <row r="144">
      <c r="A144" s="256" t="inlineStr">
        <is>
          <t>CoQ-PP_26-143</t>
        </is>
      </c>
      <c r="B144" s="256" t="inlineStr">
        <is>
          <t>FB012603</t>
        </is>
      </c>
      <c r="C144" s="256" t="inlineStr">
        <is>
          <t>retest (predicted)</t>
        </is>
      </c>
      <c r="D144" s="256" t="inlineStr">
        <is>
          <t>21.09.26</t>
        </is>
      </c>
      <c r="E144" s="256" t="inlineStr">
        <is>
          <t>21.08.26</t>
        </is>
      </c>
      <c r="F144" s="256" t="inlineStr">
        <is>
          <t>ППК26112 17.06.26; 227-24-К/26 24.08.26; 537/1068/26 25.08.26; 227-24-М/26 —</t>
        </is>
      </c>
      <c r="G144" s="256" t="inlineStr">
        <is>
          <t>ППК26112 30.06.26 CNP (initial)</t>
        </is>
      </c>
      <c r="H144" s="256" t="inlineStr">
        <is>
          <t>ППК26112 30.06.26 CNP (initial)</t>
        </is>
      </c>
      <c r="I144" s="256" t="inlineStr">
        <is>
          <t>227-24-К/26 11.09.26 FHM-K</t>
        </is>
      </c>
      <c r="J144" s="256" t="inlineStr">
        <is>
          <t>227-24-К/26 11.09.26 FHM-K</t>
        </is>
      </c>
      <c r="K144" s="256" t="inlineStr">
        <is>
          <t>227-24-К/26 11.09.26 FHM-K</t>
        </is>
      </c>
      <c r="L144" s="256" t="inlineStr">
        <is>
          <t>227-24-К/26 11.09.26 FHM-K</t>
        </is>
      </c>
      <c r="M144" s="256" t="inlineStr">
        <is>
          <t>ППК26112 30.06.26 CNP (initial)</t>
        </is>
      </c>
      <c r="N144" s="256" t="inlineStr">
        <is>
          <t>ППК26112 30.06.26 CNP (initial)</t>
        </is>
      </c>
      <c r="O144" s="256" t="inlineStr">
        <is>
          <t>537/1068/26 31.08.26 IJZ-MB</t>
        </is>
      </c>
      <c r="P144" s="256" t="inlineStr">
        <is>
          <t>227-24-М/26 16.09.26 FHM-M</t>
        </is>
      </c>
      <c r="Q144" s="257" t="inlineStr">
        <is>
          <t>n/t (initial)</t>
        </is>
      </c>
      <c r="R144" s="257" t="inlineStr">
        <is>
          <t>n/t (initial)</t>
        </is>
      </c>
    </row>
    <row r="145">
      <c r="A145" s="256" t="inlineStr">
        <is>
          <t>CoQ-PP_26-144</t>
        </is>
      </c>
      <c r="B145" s="256" t="inlineStr">
        <is>
          <t>FB012603V</t>
        </is>
      </c>
      <c r="C145" s="256" t="inlineStr">
        <is>
          <t>retest (predicted)</t>
        </is>
      </c>
      <c r="D145" s="256" t="inlineStr">
        <is>
          <t>21.09.26</t>
        </is>
      </c>
      <c r="E145" s="256" t="inlineStr">
        <is>
          <t>21.08.26</t>
        </is>
      </c>
      <c r="F145" s="256" t="inlineStr">
        <is>
          <t>ППК26110 17.06.26; 227-23-К/26 24.08.26; 538/1069/26 25.08.26; 227-23-М/26 —</t>
        </is>
      </c>
      <c r="G145" s="256" t="inlineStr">
        <is>
          <t>ППК26110 30.06.26 CNP (initial)</t>
        </is>
      </c>
      <c r="H145" s="256" t="inlineStr">
        <is>
          <t>ППК26110 30.06.26 CNP (initial)</t>
        </is>
      </c>
      <c r="I145" s="256" t="inlineStr">
        <is>
          <t>227-23-К/26 11.09.26 FHM-K</t>
        </is>
      </c>
      <c r="J145" s="256" t="inlineStr">
        <is>
          <t>227-23-К/26 11.09.26 FHM-K</t>
        </is>
      </c>
      <c r="K145" s="256" t="inlineStr">
        <is>
          <t>227-23-К/26 11.09.26 FHM-K</t>
        </is>
      </c>
      <c r="L145" s="256" t="inlineStr">
        <is>
          <t>227-23-К/26 11.09.26 FHM-K</t>
        </is>
      </c>
      <c r="M145" s="256" t="inlineStr">
        <is>
          <t>ППК26110 30.06.26 CNP (initial)</t>
        </is>
      </c>
      <c r="N145" s="256" t="inlineStr">
        <is>
          <t>ППК26110 30.06.26 CNP (initial)</t>
        </is>
      </c>
      <c r="O145" s="256" t="inlineStr">
        <is>
          <t>538/1069/26 31.08.26 IJZ-MB</t>
        </is>
      </c>
      <c r="P145" s="256" t="inlineStr">
        <is>
          <t>227-23-М/26 16.09.26 FHM-M</t>
        </is>
      </c>
      <c r="Q145" s="257" t="inlineStr">
        <is>
          <t>n/t (initial)</t>
        </is>
      </c>
      <c r="R145" s="257" t="inlineStr">
        <is>
          <t>n/t (initial)</t>
        </is>
      </c>
    </row>
    <row r="146">
      <c r="A146" s="256" t="inlineStr">
        <is>
          <t>CoQ-PP_26-145</t>
        </is>
      </c>
      <c r="B146" s="256" t="inlineStr">
        <is>
          <t>FB112501</t>
        </is>
      </c>
      <c r="C146" s="256" t="inlineStr">
        <is>
          <t>retest (predicted)</t>
        </is>
      </c>
      <c r="D146" s="256" t="inlineStr">
        <is>
          <t>21.09.26</t>
        </is>
      </c>
      <c r="E146" s="256" t="inlineStr">
        <is>
          <t>21.08.26</t>
        </is>
      </c>
      <c r="F146" s="256" t="inlineStr">
        <is>
          <t>227-22-К/26 24.08.26; ППК26066 21.04.26; 542/1073/26 25.08.26; 227-22-М/26 —; 2357/2026 21.04.26</t>
        </is>
      </c>
      <c r="G146" s="256" t="inlineStr">
        <is>
          <t>iCoA-PP_26-183 24.08.26 PP*</t>
        </is>
      </c>
      <c r="H146" s="256" t="inlineStr">
        <is>
          <t>iCoA-PP_26-183 24.08.26 PP*</t>
        </is>
      </c>
      <c r="I146" s="256" t="inlineStr">
        <is>
          <t>227-22-К/26 11.09.26 FHM-K</t>
        </is>
      </c>
      <c r="J146" s="256" t="inlineStr">
        <is>
          <t>227-22-К/26 11.09.26 FHM-K</t>
        </is>
      </c>
      <c r="K146" s="256" t="inlineStr">
        <is>
          <t>227-22-К/26 11.09.26 FHM-K</t>
        </is>
      </c>
      <c r="L146" s="256" t="inlineStr">
        <is>
          <t>227-22-К/26 11.09.26 FHM-K</t>
        </is>
      </c>
      <c r="M146" s="256" t="inlineStr">
        <is>
          <t>iCoA-PP_26-183 24.08.26 PP*</t>
        </is>
      </c>
      <c r="N146" s="256" t="inlineStr">
        <is>
          <t>ППК26066 11.05.26 CNP (initial) DAB</t>
        </is>
      </c>
      <c r="O146" s="256" t="inlineStr">
        <is>
          <t>542/1073/26 31.08.26 IJZ-MB</t>
        </is>
      </c>
      <c r="P146" s="256" t="inlineStr">
        <is>
          <t>227-22-М/26 16.09.26 FHM-M; 227-22-М/26 16.09.26 FHM-M (initial)</t>
        </is>
      </c>
      <c r="Q146" s="256" t="inlineStr">
        <is>
          <t>2357/2026 29.04.26 IJZ (initial)</t>
        </is>
      </c>
      <c r="R146" s="256" t="inlineStr">
        <is>
          <t>2357/2026 29.04.26 IJZ (initial)</t>
        </is>
      </c>
    </row>
    <row r="147">
      <c r="A147" s="256" t="inlineStr">
        <is>
          <t>CoQ-PP_26-146</t>
        </is>
      </c>
      <c r="B147" s="256" t="inlineStr">
        <is>
          <t>GG012601</t>
        </is>
      </c>
      <c r="C147" s="256" t="inlineStr">
        <is>
          <t>retest (predicted)</t>
        </is>
      </c>
      <c r="D147" s="256" t="inlineStr">
        <is>
          <t>21.09.26</t>
        </is>
      </c>
      <c r="E147" s="256" t="inlineStr">
        <is>
          <t>21.08.26</t>
        </is>
      </c>
      <c r="F147" s="256" t="inlineStr">
        <is>
          <t>227-21-К/26 24.08.26; ППК26062 21.04.26; 541/1072/26 25.08.26; 227-21-М/26 —; 2364/2026 21.04.26</t>
        </is>
      </c>
      <c r="G147" s="256" t="inlineStr">
        <is>
          <t>iCoA-PP_26-184 24.08.26 PP*</t>
        </is>
      </c>
      <c r="H147" s="256" t="inlineStr">
        <is>
          <t>iCoA-PP_26-184 24.08.26 PP*</t>
        </is>
      </c>
      <c r="I147" s="256" t="inlineStr">
        <is>
          <t>227-21-К/26 11.09.26 FHM-K</t>
        </is>
      </c>
      <c r="J147" s="256" t="inlineStr">
        <is>
          <t>227-21-К/26 11.09.26 FHM-K</t>
        </is>
      </c>
      <c r="K147" s="256" t="inlineStr">
        <is>
          <t>227-21-К/26 11.09.26 FHM-K</t>
        </is>
      </c>
      <c r="L147" s="256" t="inlineStr">
        <is>
          <t>227-21-К/26 11.09.26 FHM-K</t>
        </is>
      </c>
      <c r="M147" s="256" t="inlineStr">
        <is>
          <t>iCoA-PP_26-184 24.08.26 PP*</t>
        </is>
      </c>
      <c r="N147" s="256" t="inlineStr">
        <is>
          <t>ППК26062 11.05.26 CNP (initial) DAB</t>
        </is>
      </c>
      <c r="O147" s="256" t="inlineStr">
        <is>
          <t>541/1072/26 31.08.26 IJZ-MB</t>
        </is>
      </c>
      <c r="P147" s="256" t="inlineStr">
        <is>
          <t>227-21-М/26 16.09.26 FHM-M; 227-21-М/26 16.09.26 FHM-M (initial)</t>
        </is>
      </c>
      <c r="Q147" s="256" t="inlineStr">
        <is>
          <t>2364/2026 30.04.26 IJZ (initial)</t>
        </is>
      </c>
      <c r="R147" s="256" t="inlineStr">
        <is>
          <t>2364/2026 30.04.26 IJZ (initial)</t>
        </is>
      </c>
    </row>
    <row r="148">
      <c r="A148" s="256" t="inlineStr">
        <is>
          <t>CoQ-PP_26-147</t>
        </is>
      </c>
      <c r="B148" s="256" t="inlineStr">
        <is>
          <t>P050012 (GG1024_02)</t>
        </is>
      </c>
      <c r="C148" s="256" t="inlineStr">
        <is>
          <t>retest (predicted)</t>
        </is>
      </c>
      <c r="D148" s="256" t="inlineStr">
        <is>
          <t>21.09.26</t>
        </is>
      </c>
      <c r="E148" s="256" t="inlineStr">
        <is>
          <t>20.08.26</t>
        </is>
      </c>
      <c r="F148" s="256" t="inlineStr">
        <is>
          <t>227-19-К/26 24.08.26; ППК25140 15.05.25; 564/1095/26 26.08.26; 227-19-М/26 —; 2472/2025 15.05.25</t>
        </is>
      </c>
      <c r="G148" s="256" t="inlineStr">
        <is>
          <t>iCoA-PP_26-165 24.08.26 PP</t>
        </is>
      </c>
      <c r="H148" s="256" t="inlineStr">
        <is>
          <t>iCoA-PP_26-165 24.08.26 PP*</t>
        </is>
      </c>
      <c r="I148" s="256" t="inlineStr">
        <is>
          <t>227-19-К/26 11.09.26 FHM-K</t>
        </is>
      </c>
      <c r="J148" s="256" t="inlineStr">
        <is>
          <t>227-19-К/26 11.09.26 FHM-K</t>
        </is>
      </c>
      <c r="K148" s="256" t="inlineStr">
        <is>
          <t>227-19-К/26 11.09.26 FHM-K</t>
        </is>
      </c>
      <c r="L148" s="256" t="inlineStr">
        <is>
          <t>227-19-К/26 11.09.26 FHM-K</t>
        </is>
      </c>
      <c r="M148" s="256" t="inlineStr">
        <is>
          <t>iCoA-PP_26-165 24.08.26 PP</t>
        </is>
      </c>
      <c r="N148" s="256" t="inlineStr">
        <is>
          <t>ППК25140 22.05.25 CNP (initial) DAB</t>
        </is>
      </c>
      <c r="O148" s="256" t="inlineStr">
        <is>
          <t>564/1095/26 01.09.26 IJZ-MB</t>
        </is>
      </c>
      <c r="P148" s="256" t="inlineStr">
        <is>
          <t>227-19-М/26 16.09.26 FHM-M; 227-19-М/26 16.09.26 FHM-M (initial)</t>
        </is>
      </c>
      <c r="Q148" s="256" t="inlineStr">
        <is>
          <t>2472/2025 30.05.25 IJZ (initial)</t>
        </is>
      </c>
      <c r="R148" s="256" t="inlineStr">
        <is>
          <t>2472/2025 30.05.25 IJZ (initial)</t>
        </is>
      </c>
    </row>
    <row r="149">
      <c r="A149" s="256" t="inlineStr">
        <is>
          <t>CoQ-PP_26-148</t>
        </is>
      </c>
      <c r="B149" s="256" t="inlineStr">
        <is>
          <t>GG112501</t>
        </is>
      </c>
      <c r="C149" s="256" t="inlineStr">
        <is>
          <t>retest (predicted)</t>
        </is>
      </c>
      <c r="D149" s="256" t="inlineStr">
        <is>
          <t>21.09.26</t>
        </is>
      </c>
      <c r="E149" s="256" t="inlineStr">
        <is>
          <t>20.08.26</t>
        </is>
      </c>
      <c r="F149" s="256" t="inlineStr">
        <is>
          <t>227-20-К/26 24.08.26; ППК26061 21.04.26; 545/1076/26 25.08.26; 227-20-М/26 —; 2358/2026 21.04.26</t>
        </is>
      </c>
      <c r="G149" s="256" t="inlineStr">
        <is>
          <t>iCoA-PP_26-166 24.08.26 PP*</t>
        </is>
      </c>
      <c r="H149" s="256" t="inlineStr">
        <is>
          <t>iCoA-PP_26-166 24.08.26 PP*</t>
        </is>
      </c>
      <c r="I149" s="256" t="inlineStr">
        <is>
          <t>227-20-К/26 11.09.26 FHM-K</t>
        </is>
      </c>
      <c r="J149" s="256" t="inlineStr">
        <is>
          <t>227-20-К/26 11.09.26 FHM-K</t>
        </is>
      </c>
      <c r="K149" s="256" t="inlineStr">
        <is>
          <t>227-20-К/26 11.09.26 FHM-K</t>
        </is>
      </c>
      <c r="L149" s="256" t="inlineStr">
        <is>
          <t>227-20-К/26 11.09.26 FHM-K</t>
        </is>
      </c>
      <c r="M149" s="256" t="inlineStr">
        <is>
          <t>iCoA-PP_26-166 24.08.26 PP*</t>
        </is>
      </c>
      <c r="N149" s="256" t="inlineStr">
        <is>
          <t>ППК26061 11.05.26 CNP (initial) DAB</t>
        </is>
      </c>
      <c r="O149" s="256" t="inlineStr">
        <is>
          <t>545/1076/26 31.08.26 IJZ-MB</t>
        </is>
      </c>
      <c r="P149" s="256" t="inlineStr">
        <is>
          <t>227-20-М/26 16.09.26 FHM-M; 227-20-М/26 16.09.26 FHM-M (initial)</t>
        </is>
      </c>
      <c r="Q149" s="256" t="inlineStr">
        <is>
          <t>2358/2026 29.04.26 IJZ (initial)</t>
        </is>
      </c>
      <c r="R149" s="256" t="inlineStr">
        <is>
          <t>2358/2026 29.04.26 IJZ (initial)</t>
        </is>
      </c>
    </row>
    <row r="150">
      <c r="A150" s="256" t="inlineStr">
        <is>
          <t>CoQ-PP_26-149</t>
        </is>
      </c>
      <c r="B150" s="256" t="inlineStr">
        <is>
          <t>P050202 (GP062501)</t>
        </is>
      </c>
      <c r="C150" s="256" t="inlineStr">
        <is>
          <t>retest (predicted)</t>
        </is>
      </c>
      <c r="D150" s="256" t="inlineStr">
        <is>
          <t>21.09.26</t>
        </is>
      </c>
      <c r="E150" s="256" t="inlineStr">
        <is>
          <t>20.08.26</t>
        </is>
      </c>
      <c r="F150" s="256" t="inlineStr">
        <is>
          <t>227-18-К/26 24.08.26; 557/1088/26 26.08.26; 4762/2025 01.10.25</t>
        </is>
      </c>
      <c r="G150" s="256" t="inlineStr">
        <is>
          <t>iCoA-PP_26-167 24.08.26 PP</t>
        </is>
      </c>
      <c r="H150" s="256" t="inlineStr">
        <is>
          <t>iCoA-PP_26-167 24.08.26 PP*</t>
        </is>
      </c>
      <c r="I150" s="256" t="inlineStr">
        <is>
          <t>227-18-К/26 11.09.26 FHM-K</t>
        </is>
      </c>
      <c r="J150" s="256" t="inlineStr">
        <is>
          <t>227-18-К/26 11.09.26 FHM-K</t>
        </is>
      </c>
      <c r="K150" s="256" t="inlineStr">
        <is>
          <t>227-18-К/26 11.09.26 FHM-K</t>
        </is>
      </c>
      <c r="L150" s="256" t="inlineStr">
        <is>
          <t>227-18-К/26 11.09.26 FHM-K</t>
        </is>
      </c>
      <c r="M150" s="256" t="inlineStr">
        <is>
          <t>iCoA-PP_26-167 24.08.26 PP</t>
        </is>
      </c>
      <c r="N150" s="256" t="inlineStr">
        <is>
          <t>iCoA-PP_26-025 03.06.26 PP (initial); also ППК26058</t>
        </is>
      </c>
      <c r="O150" s="256" t="inlineStr">
        <is>
          <t>557/1088/26 01.09.26 IJZ-MB; also 1155/2056/25</t>
        </is>
      </c>
      <c r="P150" s="256" t="inlineStr">
        <is>
          <t>4762/2025 08.10.25 IJZ (initial); awaiting FHM-M 10.1,10.3</t>
        </is>
      </c>
      <c r="Q150" s="256" t="inlineStr">
        <is>
          <t>4762/2025 08.10.25 IJZ (initial)</t>
        </is>
      </c>
      <c r="R150" s="256" t="inlineStr">
        <is>
          <t>4762/2025 08.10.25 IJZ (initial)</t>
        </is>
      </c>
    </row>
    <row r="151">
      <c r="A151" s="256" t="inlineStr">
        <is>
          <t>CoQ-PP_26-150</t>
        </is>
      </c>
      <c r="B151" s="256" t="inlineStr">
        <is>
          <t>P050292 (GP072501-1)</t>
        </is>
      </c>
      <c r="C151" s="256" t="inlineStr">
        <is>
          <t>retest (predicted)</t>
        </is>
      </c>
      <c r="D151" s="256" t="inlineStr">
        <is>
          <t>21.09.26</t>
        </is>
      </c>
      <c r="E151" s="256" t="inlineStr">
        <is>
          <t>20.08.26</t>
        </is>
      </c>
      <c r="F151" s="256" t="inlineStr">
        <is>
          <t>227-17-К/26 24.08.26; ППК25378 01.12.25; 553/1084/26 26.08.26; 227-17-М/26 —; 5886/2025 01.12.25</t>
        </is>
      </c>
      <c r="G151" s="256" t="inlineStr">
        <is>
          <t>iCoA-PP_26-168 24.08.26 PP</t>
        </is>
      </c>
      <c r="H151" s="256" t="inlineStr">
        <is>
          <t>iCoA-PP_26-168 24.08.26 PP*</t>
        </is>
      </c>
      <c r="I151" s="256" t="inlineStr">
        <is>
          <t>227-17-К/26 11.09.26 FHM-K</t>
        </is>
      </c>
      <c r="J151" s="256" t="inlineStr">
        <is>
          <t>227-17-К/26 11.09.26 FHM-K</t>
        </is>
      </c>
      <c r="K151" s="256" t="inlineStr">
        <is>
          <t>227-17-К/26 11.09.26 FHM-K</t>
        </is>
      </c>
      <c r="L151" s="256" t="inlineStr">
        <is>
          <t>227-17-К/26 11.09.26 FHM-K</t>
        </is>
      </c>
      <c r="M151" s="256" t="inlineStr">
        <is>
          <t>iCoA-PP_26-168 24.08.26 PP</t>
        </is>
      </c>
      <c r="N151" s="256" t="inlineStr">
        <is>
          <t>ППК25378 12.12.25 CNP (initial)</t>
        </is>
      </c>
      <c r="O151" s="256" t="inlineStr">
        <is>
          <t>553/1084/26 01.09.26 IJZ-MB</t>
        </is>
      </c>
      <c r="P151" s="256" t="inlineStr">
        <is>
          <t>227-17-М/26 16.09.26 FHM-M; 227-17-М/26 16.09.26 FHM-M (initial)</t>
        </is>
      </c>
      <c r="Q151" s="256" t="inlineStr">
        <is>
          <t>5886/2025 12.12.25 IJZ (initial)</t>
        </is>
      </c>
      <c r="R151" s="256" t="inlineStr">
        <is>
          <t>5886/2025 12.12.25 IJZ (initial)</t>
        </is>
      </c>
    </row>
    <row r="152">
      <c r="A152" s="256" t="inlineStr">
        <is>
          <t>CoQ-PP_26-151</t>
        </is>
      </c>
      <c r="B152" s="256" t="inlineStr">
        <is>
          <t>P050102 (GP0824_01)</t>
        </is>
      </c>
      <c r="C152" s="256" t="inlineStr">
        <is>
          <t>retest (predicted)</t>
        </is>
      </c>
      <c r="D152" s="256" t="inlineStr">
        <is>
          <t>21.09.26</t>
        </is>
      </c>
      <c r="E152" s="256" t="inlineStr">
        <is>
          <t>19.08.26</t>
        </is>
      </c>
      <c r="F152" s="256" t="inlineStr">
        <is>
          <t>227-2-К/26 24.08.26; ППК25105 08.04.25; 562/1093/26 26.08.26; 227-2-М/26 —; 1767/2025 08.04.25</t>
        </is>
      </c>
      <c r="G152" s="256" t="inlineStr">
        <is>
          <t>iCoA-PP_26-156 24.08.26 PP</t>
        </is>
      </c>
      <c r="H152" s="256" t="inlineStr">
        <is>
          <t>iCoA-PP_26-156 24.08.26 PP*</t>
        </is>
      </c>
      <c r="I152" s="256" t="inlineStr">
        <is>
          <t>227-2-К/26 11.09.26 FHM-K</t>
        </is>
      </c>
      <c r="J152" s="256" t="inlineStr">
        <is>
          <t>227-2-К/26 11.09.26 FHM-K</t>
        </is>
      </c>
      <c r="K152" s="256" t="inlineStr">
        <is>
          <t>227-2-К/26 11.09.26 FHM-K</t>
        </is>
      </c>
      <c r="L152" s="256" t="inlineStr">
        <is>
          <t>227-2-К/26 11.09.26 FHM-K</t>
        </is>
      </c>
      <c r="M152" s="256" t="inlineStr">
        <is>
          <t>iCoA-PP_26-156 24.08.26 PP</t>
        </is>
      </c>
      <c r="N152" s="256" t="inlineStr">
        <is>
          <t>ППК25105 17.04.25 CNP (initial) DAB</t>
        </is>
      </c>
      <c r="O152" s="256" t="inlineStr">
        <is>
          <t>562/1093/26 01.09.26 IJZ-MB</t>
        </is>
      </c>
      <c r="P152" s="256" t="inlineStr">
        <is>
          <t>227-2-М/26 16.09.26 FHM-M; 227-2-М/26 16.09.26 FHM-M (initial)</t>
        </is>
      </c>
      <c r="Q152" s="256" t="inlineStr">
        <is>
          <t>1767/2025 11.04.25 IJZ (initial)</t>
        </is>
      </c>
      <c r="R152" s="256" t="inlineStr">
        <is>
          <t>1767/2025 11.04.25 IJZ (initial)</t>
        </is>
      </c>
    </row>
    <row r="153">
      <c r="A153" s="256" t="inlineStr">
        <is>
          <t>CoQ-PP_26-152</t>
        </is>
      </c>
      <c r="B153" s="256" t="inlineStr">
        <is>
          <t>P060142 (GRC102501/1)</t>
        </is>
      </c>
      <c r="C153" s="256" t="inlineStr">
        <is>
          <t>retest (predicted)</t>
        </is>
      </c>
      <c r="D153" s="256" t="inlineStr">
        <is>
          <t>21.09.26</t>
        </is>
      </c>
      <c r="E153" s="256" t="inlineStr">
        <is>
          <t>20.08.26</t>
        </is>
      </c>
      <c r="F153" s="256" t="inlineStr">
        <is>
          <t>227-16-К/26 24.08.26; 550/1081/26 26.08.26; 227-16-М/26 —</t>
        </is>
      </c>
      <c r="G153" s="256" t="inlineStr">
        <is>
          <t>iCoA-PP_26-169 24.08.26 PP*</t>
        </is>
      </c>
      <c r="H153" s="256" t="inlineStr">
        <is>
          <t>iCoA-PP_26-169 24.08.26 PP*</t>
        </is>
      </c>
      <c r="I153" s="256" t="inlineStr">
        <is>
          <t>227-16-К/26 11.09.26 FHM-K</t>
        </is>
      </c>
      <c r="J153" s="256" t="inlineStr">
        <is>
          <t>227-16-К/26 11.09.26 FHM-K</t>
        </is>
      </c>
      <c r="K153" s="256" t="inlineStr">
        <is>
          <t>227-16-К/26 11.09.26 FHM-K</t>
        </is>
      </c>
      <c r="L153" s="256" t="inlineStr">
        <is>
          <t>227-16-К/26 11.09.26 FHM-K</t>
        </is>
      </c>
      <c r="M153" s="256" t="inlineStr">
        <is>
          <t>iCoA-PP_26-169 24.08.26 PP*</t>
        </is>
      </c>
      <c r="N153" s="257" t="inlineStr">
        <is>
          <t>n/t (initial)</t>
        </is>
      </c>
      <c r="O153" s="256" t="inlineStr">
        <is>
          <t>550/1081/26 01.09.26 IJZ-MB</t>
        </is>
      </c>
      <c r="P153" s="256" t="inlineStr">
        <is>
          <t>227-16-М/26 16.09.26 FHM-M</t>
        </is>
      </c>
      <c r="Q153" s="257" t="inlineStr">
        <is>
          <t>n/t (initial)</t>
        </is>
      </c>
      <c r="R153" s="257" t="inlineStr">
        <is>
          <t>n/t (initial)</t>
        </is>
      </c>
    </row>
    <row r="154">
      <c r="A154" s="256" t="inlineStr">
        <is>
          <t>CoQ-PP_26-153</t>
        </is>
      </c>
      <c r="B154" s="256" t="inlineStr">
        <is>
          <t>J31112501</t>
        </is>
      </c>
      <c r="C154" s="256" t="inlineStr">
        <is>
          <t>retest (predicted)</t>
        </is>
      </c>
      <c r="D154" s="256" t="inlineStr">
        <is>
          <t>21.09.26</t>
        </is>
      </c>
      <c r="E154" s="256" t="inlineStr">
        <is>
          <t>20.08.26</t>
        </is>
      </c>
      <c r="F154" s="256" t="inlineStr">
        <is>
          <t>227-14-К/26 24.08.26; 051-5-ГС/26 —; 547/1078/26 25.08.26; 227-14-М/26 —</t>
        </is>
      </c>
      <c r="G154" s="256" t="inlineStr">
        <is>
          <t>iCoA-PP_26-170 24.08.26 PP*</t>
        </is>
      </c>
      <c r="H154" s="256" t="inlineStr">
        <is>
          <t>iCoA-PP_26-170 24.08.26 PP*</t>
        </is>
      </c>
      <c r="I154" s="256" t="inlineStr">
        <is>
          <t>227-14-К/26 11.09.26 FHM-K</t>
        </is>
      </c>
      <c r="J154" s="256" t="inlineStr">
        <is>
          <t>227-14-К/26 11.09.26 FHM-K</t>
        </is>
      </c>
      <c r="K154" s="256" t="inlineStr">
        <is>
          <t>227-14-К/26 11.09.26 FHM-K</t>
        </is>
      </c>
      <c r="L154" s="256" t="inlineStr">
        <is>
          <t>227-14-К/26 11.09.26 FHM-K</t>
        </is>
      </c>
      <c r="M154" s="256" t="inlineStr">
        <is>
          <t>iCoA-PP_26-170 24.08.26 PP*</t>
        </is>
      </c>
      <c r="N154" s="256" t="inlineStr">
        <is>
          <t>051-5-ГС/26 02.03.26 FHM-K (initial); also 100-1-GS/26</t>
        </is>
      </c>
      <c r="O154" s="256" t="inlineStr">
        <is>
          <t>547/1078/26 31.08.26 IJZ-MB</t>
        </is>
      </c>
      <c r="P154" s="256" t="inlineStr">
        <is>
          <t>227-14-М/26 16.09.26 FHM-M</t>
        </is>
      </c>
      <c r="Q154" s="257" t="inlineStr">
        <is>
          <t>n/t (initial)</t>
        </is>
      </c>
      <c r="R154" s="257" t="inlineStr">
        <is>
          <t>n/t (initial)</t>
        </is>
      </c>
    </row>
    <row r="155">
      <c r="A155" s="256" t="inlineStr">
        <is>
          <t>CoQ-PP_26-154</t>
        </is>
      </c>
      <c r="B155" s="256" t="inlineStr">
        <is>
          <t>J31122501</t>
        </is>
      </c>
      <c r="C155" s="256" t="inlineStr">
        <is>
          <t>retest (predicted)</t>
        </is>
      </c>
      <c r="D155" s="256" t="inlineStr">
        <is>
          <t>21.09.26</t>
        </is>
      </c>
      <c r="E155" s="256" t="inlineStr">
        <is>
          <t>20.08.26</t>
        </is>
      </c>
      <c r="F155" s="256" t="inlineStr">
        <is>
          <t>227-13-К/26 24.08.26; 100-2-ГС/26 —; 544/1075/26 25.08.26; 227-13-М/26 —; 1628/2026 27.03.26</t>
        </is>
      </c>
      <c r="G155" s="256" t="inlineStr">
        <is>
          <t>iCoA-PP_26-171 24.08.26 PP*</t>
        </is>
      </c>
      <c r="H155" s="256" t="inlineStr">
        <is>
          <t>iCoA-PP_26-171 24.08.26 PP*</t>
        </is>
      </c>
      <c r="I155" s="256" t="inlineStr">
        <is>
          <t>227-13-К/26 11.09.26 FHM-K</t>
        </is>
      </c>
      <c r="J155" s="256" t="inlineStr">
        <is>
          <t>227-13-К/26 11.09.26 FHM-K</t>
        </is>
      </c>
      <c r="K155" s="256" t="inlineStr">
        <is>
          <t>227-13-К/26 11.09.26 FHM-K</t>
        </is>
      </c>
      <c r="L155" s="256" t="inlineStr">
        <is>
          <t>227-13-К/26 11.09.26 FHM-K</t>
        </is>
      </c>
      <c r="M155" s="256" t="inlineStr">
        <is>
          <t>iCoA-PP_26-171 24.08.26 PP*</t>
        </is>
      </c>
      <c r="N155" s="256" t="inlineStr">
        <is>
          <t>100-2-ГС/26 09.04.26 FHM-K (initial); also 100-3-ГС/26</t>
        </is>
      </c>
      <c r="O155" s="256" t="inlineStr">
        <is>
          <t>544/1075/26 31.08.26 IJZ-MB</t>
        </is>
      </c>
      <c r="P155" s="256" t="inlineStr">
        <is>
          <t>227-13-М/26 16.09.26 FHM-M; 227-13-М/26 16.09.26 FHM-M (initial); also 1625/2026</t>
        </is>
      </c>
      <c r="Q155" s="256" t="inlineStr">
        <is>
          <t>1628/2026 23.04.26 IJZ (initial)</t>
        </is>
      </c>
      <c r="R155" s="256" t="inlineStr">
        <is>
          <t>1628/2026 23.04.26 IJZ (initial); also 1625/2026</t>
        </is>
      </c>
    </row>
    <row r="156">
      <c r="A156" s="256" t="inlineStr">
        <is>
          <t>CoQ-PP_26-155</t>
        </is>
      </c>
      <c r="B156" s="256" t="inlineStr">
        <is>
          <t>JD012601</t>
        </is>
      </c>
      <c r="C156" s="256" t="inlineStr">
        <is>
          <t>retest (predicted)</t>
        </is>
      </c>
      <c r="D156" s="256" t="inlineStr">
        <is>
          <t>21.09.26</t>
        </is>
      </c>
      <c r="E156" s="256" t="inlineStr">
        <is>
          <t>20.08.26</t>
        </is>
      </c>
      <c r="F156" s="256" t="inlineStr">
        <is>
          <t>227-15-К/26 24.08.26; ППК26064 21.04.26; 540/1071/26 25.08.26; 227-15-М/26 —; 2363/2026 21.04.26</t>
        </is>
      </c>
      <c r="G156" s="256" t="inlineStr">
        <is>
          <t>iCoA-PP_26-172 24.08.26 PP*</t>
        </is>
      </c>
      <c r="H156" s="256" t="inlineStr">
        <is>
          <t>iCoA-PP_26-172 24.08.26 PP*</t>
        </is>
      </c>
      <c r="I156" s="256" t="inlineStr">
        <is>
          <t>227-15-К/26 11.09.26 FHM-K</t>
        </is>
      </c>
      <c r="J156" s="256" t="inlineStr">
        <is>
          <t>227-15-К/26 11.09.26 FHM-K</t>
        </is>
      </c>
      <c r="K156" s="256" t="inlineStr">
        <is>
          <t>227-15-К/26 11.09.26 FHM-K</t>
        </is>
      </c>
      <c r="L156" s="256" t="inlineStr">
        <is>
          <t>227-15-К/26 11.09.26 FHM-K</t>
        </is>
      </c>
      <c r="M156" s="256" t="inlineStr">
        <is>
          <t>iCoA-PP_26-172 24.08.26 PP*</t>
        </is>
      </c>
      <c r="N156" s="256" t="inlineStr">
        <is>
          <t>ППК26064 11.05.26 CNP (initial) DAB</t>
        </is>
      </c>
      <c r="O156" s="256" t="inlineStr">
        <is>
          <t>540/1071/26 31.08.26 IJZ-MB</t>
        </is>
      </c>
      <c r="P156" s="256" t="inlineStr">
        <is>
          <t>227-15-М/26 16.09.26 FHM-M; 227-15-М/26 16.09.26 FHM-M (initial)</t>
        </is>
      </c>
      <c r="Q156" s="256" t="inlineStr">
        <is>
          <t>2363/2026 30.04.26 IJZ (initial)</t>
        </is>
      </c>
      <c r="R156" s="256" t="inlineStr">
        <is>
          <t>2363/2026 30.04.26 IJZ (initial)</t>
        </is>
      </c>
    </row>
    <row r="157">
      <c r="A157" s="256" t="inlineStr">
        <is>
          <t>CoQ-PP_26-156</t>
        </is>
      </c>
      <c r="B157" s="256" t="inlineStr">
        <is>
          <t>P050032 (MB0824_04)</t>
        </is>
      </c>
      <c r="C157" s="256" t="inlineStr">
        <is>
          <t>retest (predicted)</t>
        </is>
      </c>
      <c r="D157" s="256" t="inlineStr">
        <is>
          <t>21.09.26</t>
        </is>
      </c>
      <c r="E157" s="256" t="inlineStr">
        <is>
          <t>20.08.26</t>
        </is>
      </c>
      <c r="F157" s="256" t="inlineStr">
        <is>
          <t>227-12-К/26 24.08.26; ППК25118 28.04.25; 563/1094/26 26.08.26; 227-12-М/26 —; 2157/2025 28.04.25</t>
        </is>
      </c>
      <c r="G157" s="256" t="inlineStr">
        <is>
          <t>iCoA-PP_26-173 24.08.26 PP</t>
        </is>
      </c>
      <c r="H157" s="256" t="inlineStr">
        <is>
          <t>iCoA-PP_26-173 24.08.26 PP*</t>
        </is>
      </c>
      <c r="I157" s="256" t="inlineStr">
        <is>
          <t>227-12-К/26 11.09.26 FHM-K</t>
        </is>
      </c>
      <c r="J157" s="256" t="inlineStr">
        <is>
          <t>227-12-К/26 11.09.26 FHM-K</t>
        </is>
      </c>
      <c r="K157" s="256" t="inlineStr">
        <is>
          <t>227-12-К/26 11.09.26 FHM-K</t>
        </is>
      </c>
      <c r="L157" s="256" t="inlineStr">
        <is>
          <t>227-12-К/26 11.09.26 FHM-K</t>
        </is>
      </c>
      <c r="M157" s="256" t="inlineStr">
        <is>
          <t>iCoA-PP_26-173 24.08.26 PP</t>
        </is>
      </c>
      <c r="N157" s="256" t="inlineStr">
        <is>
          <t>ППК25118 06.05.25 CNP (initial) DAB</t>
        </is>
      </c>
      <c r="O157" s="256" t="inlineStr">
        <is>
          <t>563/1094/26 01.09.26 IJZ-MB</t>
        </is>
      </c>
      <c r="P157" s="256" t="inlineStr">
        <is>
          <t>227-12-М/26 16.09.26 FHM-M; 227-12-М/26 16.09.26 FHM-M (initial)</t>
        </is>
      </c>
      <c r="Q157" s="256" t="inlineStr">
        <is>
          <t>2157/2025 07.05.25 IJZ (initial)</t>
        </is>
      </c>
      <c r="R157" s="256" t="inlineStr">
        <is>
          <t>2157/2025 07.05.25 IJZ (initial)</t>
        </is>
      </c>
    </row>
    <row r="158">
      <c r="A158" s="256" t="inlineStr">
        <is>
          <t>CoQ-PP_26-157</t>
        </is>
      </c>
      <c r="B158" s="256" t="inlineStr">
        <is>
          <t>P050132 (OPM052501)</t>
        </is>
      </c>
      <c r="C158" s="256" t="inlineStr">
        <is>
          <t>retest (predicted)</t>
        </is>
      </c>
      <c r="D158" s="256" t="inlineStr">
        <is>
          <t>21.09.26</t>
        </is>
      </c>
      <c r="E158" s="256" t="inlineStr">
        <is>
          <t>20.08.26</t>
        </is>
      </c>
      <c r="F158" s="256" t="inlineStr">
        <is>
          <t>227-11-К/26 24.08.26; ППК25257 25.08.25; 560/1091/26 25.08.26; 227-11-М/26 —; 4157/2025 25.08.25</t>
        </is>
      </c>
      <c r="G158" s="256" t="inlineStr">
        <is>
          <t>iCoA-PP_26-174 24.08.26 PP</t>
        </is>
      </c>
      <c r="H158" s="256" t="inlineStr">
        <is>
          <t>iCoA-PP_26-174 24.08.26 PP*</t>
        </is>
      </c>
      <c r="I158" s="256" t="inlineStr">
        <is>
          <t>227-11-К/26 11.09.26 FHM-K</t>
        </is>
      </c>
      <c r="J158" s="256" t="inlineStr">
        <is>
          <t>227-11-К/26 11.09.26 FHM-K</t>
        </is>
      </c>
      <c r="K158" s="256" t="inlineStr">
        <is>
          <t>227-11-К/26 11.09.26 FHM-K</t>
        </is>
      </c>
      <c r="L158" s="256" t="inlineStr">
        <is>
          <t>227-11-К/26 11.09.26 FHM-K</t>
        </is>
      </c>
      <c r="M158" s="256" t="inlineStr">
        <is>
          <t>iCoA-PP_26-174 24.08.26 PP</t>
        </is>
      </c>
      <c r="N158" s="256" t="inlineStr">
        <is>
          <t>ППК25257 05.09.25 CNP (initial) DAB</t>
        </is>
      </c>
      <c r="O158" s="256" t="inlineStr">
        <is>
          <t>560/1091/26 01.09.26 IJZ-MB</t>
        </is>
      </c>
      <c r="P158" s="256" t="inlineStr">
        <is>
          <t>227-11-М/26 16.09.26 FHM-M; 227-11-М/26 16.09.26 FHM-M (initial)</t>
        </is>
      </c>
      <c r="Q158" s="256" t="inlineStr">
        <is>
          <t>4157/2025 29.08.25 IJZ (initial)</t>
        </is>
      </c>
      <c r="R158" s="256" t="inlineStr">
        <is>
          <t>4157/2025 29.08.25 IJZ (initial)</t>
        </is>
      </c>
    </row>
    <row r="159">
      <c r="A159" s="256" t="inlineStr">
        <is>
          <t>CoQ-PP_26-158</t>
        </is>
      </c>
      <c r="B159" s="256" t="inlineStr">
        <is>
          <t>OPM112501</t>
        </is>
      </c>
      <c r="C159" s="256" t="inlineStr">
        <is>
          <t>retest (predicted)</t>
        </is>
      </c>
      <c r="D159" s="256" t="inlineStr">
        <is>
          <t>21.09.26</t>
        </is>
      </c>
      <c r="E159" s="256" t="inlineStr">
        <is>
          <t>19.08.26</t>
        </is>
      </c>
      <c r="F159" s="256" t="inlineStr">
        <is>
          <t>227-10-К/26 24.08.26; ППК26031 23.02.26; 546/1077/26 25.08.26; 227-10-М/26 —</t>
        </is>
      </c>
      <c r="G159" s="256" t="inlineStr">
        <is>
          <t>iCoA-PP_26-157 24.08.26 PP*</t>
        </is>
      </c>
      <c r="H159" s="256" t="inlineStr">
        <is>
          <t>iCoA-PP_26-157 24.08.26 PP*</t>
        </is>
      </c>
      <c r="I159" s="256" t="inlineStr">
        <is>
          <t>227-10-К/26 11.09.26 FHM-K</t>
        </is>
      </c>
      <c r="J159" s="256" t="inlineStr">
        <is>
          <t>227-10-К/26 11.09.26 FHM-K</t>
        </is>
      </c>
      <c r="K159" s="256" t="inlineStr">
        <is>
          <t>227-10-К/26 11.09.26 FHM-K</t>
        </is>
      </c>
      <c r="L159" s="256" t="inlineStr">
        <is>
          <t>227-10-К/26 11.09.26 FHM-K</t>
        </is>
      </c>
      <c r="M159" s="256" t="inlineStr">
        <is>
          <t>iCoA-PP_26-157 24.08.26 PP*</t>
        </is>
      </c>
      <c r="N159" s="256" t="inlineStr">
        <is>
          <t>ППК26031 05.03.26 CNP (initial) DAB</t>
        </is>
      </c>
      <c r="O159" s="256" t="inlineStr">
        <is>
          <t>546/1077/26 31.08.26 IJZ-MB</t>
        </is>
      </c>
      <c r="P159" s="256" t="inlineStr">
        <is>
          <t>227-10-М/26 16.09.26 FHM-M</t>
        </is>
      </c>
      <c r="Q159" s="257" t="inlineStr">
        <is>
          <t>n/t (initial)</t>
        </is>
      </c>
      <c r="R159" s="257" t="inlineStr">
        <is>
          <t>n/t (initial)</t>
        </is>
      </c>
    </row>
    <row r="160">
      <c r="A160" s="256" t="inlineStr">
        <is>
          <t>CoQ-PP_26-159</t>
        </is>
      </c>
      <c r="B160" s="256" t="inlineStr">
        <is>
          <t>P050272 (PM072501)</t>
        </is>
      </c>
      <c r="C160" s="256" t="inlineStr">
        <is>
          <t>retest (predicted)</t>
        </is>
      </c>
      <c r="D160" s="256" t="inlineStr">
        <is>
          <t>21.09.26</t>
        </is>
      </c>
      <c r="E160" s="256" t="inlineStr">
        <is>
          <t>19.08.26</t>
        </is>
      </c>
      <c r="F160" s="256" t="inlineStr">
        <is>
          <t>227-9-К/26 24.08.26; ППК25368 24.11.25; 554/1085/26 26.08.26; 227-9-М/26 —; 5698/2025 24.11.25</t>
        </is>
      </c>
      <c r="G160" s="256" t="inlineStr">
        <is>
          <t>iCoA-PP_26-158 24.08.26 PP</t>
        </is>
      </c>
      <c r="H160" s="256" t="inlineStr">
        <is>
          <t>iCoA-PP_26-158 24.08.26 PP*</t>
        </is>
      </c>
      <c r="I160" s="256" t="inlineStr">
        <is>
          <t>227-9-К/26 11.09.26 FHM-K</t>
        </is>
      </c>
      <c r="J160" s="256" t="inlineStr">
        <is>
          <t>227-9-К/26 11.09.26 FHM-K</t>
        </is>
      </c>
      <c r="K160" s="256" t="inlineStr">
        <is>
          <t>227-9-К/26 11.09.26 FHM-K</t>
        </is>
      </c>
      <c r="L160" s="256" t="inlineStr">
        <is>
          <t>227-9-К/26 11.09.26 FHM-K</t>
        </is>
      </c>
      <c r="M160" s="256" t="inlineStr">
        <is>
          <t>iCoA-PP_26-158 24.08.26 PP</t>
        </is>
      </c>
      <c r="N160" s="256" t="inlineStr">
        <is>
          <t>ППК25368 28.11.25 CNP (initial) DAB</t>
        </is>
      </c>
      <c r="O160" s="256" t="inlineStr">
        <is>
          <t>554/1085/26 01.09.26 IJZ-MB</t>
        </is>
      </c>
      <c r="P160" s="256" t="inlineStr">
        <is>
          <t>227-9-М/26 16.09.26 FHM-M; 227-9-М/26 16.09.26 FHM-M (initial)</t>
        </is>
      </c>
      <c r="Q160" s="256" t="inlineStr">
        <is>
          <t>5698/2025 02.12.25 IJZ (initial)</t>
        </is>
      </c>
      <c r="R160" s="256" t="inlineStr">
        <is>
          <t>5698/2025 02.12.25 IJZ (initial)</t>
        </is>
      </c>
    </row>
    <row r="161">
      <c r="A161" s="256" t="inlineStr">
        <is>
          <t>CoQ-PP_26-160</t>
        </is>
      </c>
      <c r="B161" s="256" t="inlineStr">
        <is>
          <t>P060342 (SCR012601)</t>
        </is>
      </c>
      <c r="C161" s="256" t="inlineStr">
        <is>
          <t>retest (predicted)</t>
        </is>
      </c>
      <c r="D161" s="256" t="inlineStr">
        <is>
          <t>21.09.26</t>
        </is>
      </c>
      <c r="E161" s="256" t="inlineStr">
        <is>
          <t>19.08.26</t>
        </is>
      </c>
      <c r="F161" s="256" t="inlineStr">
        <is>
          <t>227-8-К/26 24.08.26; 539/1070/26 25.08.26; 227-8-М/26 —</t>
        </is>
      </c>
      <c r="G161" s="256" t="inlineStr">
        <is>
          <t>iCoA-PP_26-159 24.08.26 PP*</t>
        </is>
      </c>
      <c r="H161" s="256" t="inlineStr">
        <is>
          <t>iCoA-PP_26-159 24.08.26 PP*</t>
        </is>
      </c>
      <c r="I161" s="256" t="inlineStr">
        <is>
          <t>227-8-К/26 11.09.26 FHM-K</t>
        </is>
      </c>
      <c r="J161" s="256" t="inlineStr">
        <is>
          <t>227-8-К/26 11.09.26 FHM-K</t>
        </is>
      </c>
      <c r="K161" s="256" t="inlineStr">
        <is>
          <t>227-8-К/26 11.09.26 FHM-K</t>
        </is>
      </c>
      <c r="L161" s="256" t="inlineStr">
        <is>
          <t>227-8-К/26 11.09.26 FHM-K</t>
        </is>
      </c>
      <c r="M161" s="256" t="inlineStr">
        <is>
          <t>iCoA-PP_26-159 24.08.26 PP*</t>
        </is>
      </c>
      <c r="N161" s="257" t="inlineStr">
        <is>
          <t>n/t (initial)</t>
        </is>
      </c>
      <c r="O161" s="256" t="inlineStr">
        <is>
          <t>539/1070/26 31.08.26 IJZ-MB</t>
        </is>
      </c>
      <c r="P161" s="256" t="inlineStr">
        <is>
          <t>227-8-М/26 16.09.26 FHM-M</t>
        </is>
      </c>
      <c r="Q161" s="257" t="inlineStr">
        <is>
          <t>n/t (initial)</t>
        </is>
      </c>
      <c r="R161" s="257" t="inlineStr">
        <is>
          <t>n/t (initial)</t>
        </is>
      </c>
    </row>
    <row r="162">
      <c r="A162" s="256" t="inlineStr">
        <is>
          <t>CoQ-PP_26-161</t>
        </is>
      </c>
      <c r="B162" s="256" t="inlineStr">
        <is>
          <t>SCR022601</t>
        </is>
      </c>
      <c r="C162" s="256" t="inlineStr">
        <is>
          <t>retest (predicted)</t>
        </is>
      </c>
      <c r="D162" s="256" t="inlineStr">
        <is>
          <t>21.09.26</t>
        </is>
      </c>
      <c r="E162" s="256" t="inlineStr">
        <is>
          <t>19.08.26</t>
        </is>
      </c>
      <c r="F162" s="256" t="inlineStr">
        <is>
          <t>ППК26116 17.06.26; 227-7-К/26 24.08.26; 536/1067/26 25.08.26; 227-7-М/26 —</t>
        </is>
      </c>
      <c r="G162" s="256" t="inlineStr">
        <is>
          <t>ППК26116 06.07.26 CNP (initial)</t>
        </is>
      </c>
      <c r="H162" s="256" t="inlineStr">
        <is>
          <t>ППК26116 06.07.26 CNP (initial)</t>
        </is>
      </c>
      <c r="I162" s="256" t="inlineStr">
        <is>
          <t>227-7-К/26 11.09.26 FHM-K</t>
        </is>
      </c>
      <c r="J162" s="256" t="inlineStr">
        <is>
          <t>227-7-К/26 11.09.26 FHM-K</t>
        </is>
      </c>
      <c r="K162" s="256" t="inlineStr">
        <is>
          <t>227-7-К/26 11.09.26 FHM-K</t>
        </is>
      </c>
      <c r="L162" s="256" t="inlineStr">
        <is>
          <t>227-7-К/26 11.09.26 FHM-K</t>
        </is>
      </c>
      <c r="M162" s="256" t="inlineStr">
        <is>
          <t>ППК26116 06.07.26 CNP (initial)</t>
        </is>
      </c>
      <c r="N162" s="256" t="inlineStr">
        <is>
          <t>ППК26116 06.07.26 CNP (initial)</t>
        </is>
      </c>
      <c r="O162" s="256" t="inlineStr">
        <is>
          <t>536/1067/26 31.08.26 IJZ-MB</t>
        </is>
      </c>
      <c r="P162" s="256" t="inlineStr">
        <is>
          <t>227-7-М/26 16.09.26 FHM-M</t>
        </is>
      </c>
      <c r="Q162" s="257" t="inlineStr">
        <is>
          <t>n/t (initial)</t>
        </is>
      </c>
      <c r="R162" s="257" t="inlineStr">
        <is>
          <t>n/t (initial)</t>
        </is>
      </c>
    </row>
    <row r="163">
      <c r="A163" s="256" t="inlineStr">
        <is>
          <t>CoQ-PP_26-162</t>
        </is>
      </c>
      <c r="B163" s="256" t="inlineStr">
        <is>
          <t>SJ102501</t>
        </is>
      </c>
      <c r="C163" s="256" t="inlineStr">
        <is>
          <t>retest (predicted)</t>
        </is>
      </c>
      <c r="D163" s="256" t="inlineStr">
        <is>
          <t>21.09.26</t>
        </is>
      </c>
      <c r="E163" s="256" t="inlineStr">
        <is>
          <t>19.08.26</t>
        </is>
      </c>
      <c r="F163" s="256" t="inlineStr">
        <is>
          <t>227-6-К/26 24.08.26; 051-3-ГС/26 —; 549/1080/26 25.08.26; 227-6-М/26 —</t>
        </is>
      </c>
      <c r="G163" s="256" t="inlineStr">
        <is>
          <t>iCoA-PP_26-161 24.08.26 PP*</t>
        </is>
      </c>
      <c r="H163" s="256" t="inlineStr">
        <is>
          <t>iCoA-PP_26-161 24.08.26 PP*</t>
        </is>
      </c>
      <c r="I163" s="256" t="inlineStr">
        <is>
          <t>227-6-К/26 11.09.26 FHM-K</t>
        </is>
      </c>
      <c r="J163" s="256" t="inlineStr">
        <is>
          <t>227-6-К/26 11.09.26 FHM-K</t>
        </is>
      </c>
      <c r="K163" s="256" t="inlineStr">
        <is>
          <t>227-6-К/26 11.09.26 FHM-K</t>
        </is>
      </c>
      <c r="L163" s="256" t="inlineStr">
        <is>
          <t>227-6-К/26 11.09.26 FHM-K</t>
        </is>
      </c>
      <c r="M163" s="256" t="inlineStr">
        <is>
          <t>iCoA-PP_26-161 24.08.26 PP*</t>
        </is>
      </c>
      <c r="N163" s="256" t="inlineStr">
        <is>
          <t>051-3-ГС/26 02.03.26 FHM-K (initial)</t>
        </is>
      </c>
      <c r="O163" s="256" t="inlineStr">
        <is>
          <t>549/1080/26 31.08.26 IJZ-MB</t>
        </is>
      </c>
      <c r="P163" s="256" t="inlineStr">
        <is>
          <t>227-6-М/26 16.09.26 FHM-M</t>
        </is>
      </c>
      <c r="Q163" s="257" t="inlineStr">
        <is>
          <t>n/t (initial)</t>
        </is>
      </c>
      <c r="R163" s="257" t="inlineStr">
        <is>
          <t>n/t (initial)</t>
        </is>
      </c>
    </row>
    <row r="164">
      <c r="A164" s="256" t="inlineStr">
        <is>
          <t>CoQ-PP_26-163</t>
        </is>
      </c>
      <c r="B164" s="256" t="inlineStr">
        <is>
          <t>SJ112501</t>
        </is>
      </c>
      <c r="C164" s="256" t="inlineStr">
        <is>
          <t>retest (predicted)</t>
        </is>
      </c>
      <c r="D164" s="256" t="inlineStr">
        <is>
          <t>21.09.26</t>
        </is>
      </c>
      <c r="E164" s="256" t="inlineStr">
        <is>
          <t>19.08.26</t>
        </is>
      </c>
      <c r="F164" s="256" t="inlineStr">
        <is>
          <t>227-5-К/26 24.08.26; 051-2-ГС/26 —; 227-5-М/26 —</t>
        </is>
      </c>
      <c r="G164" s="256" t="inlineStr">
        <is>
          <t>iCoA-PP_26-162 24.08.26 PP*</t>
        </is>
      </c>
      <c r="H164" s="256" t="inlineStr">
        <is>
          <t>iCoA-PP_26-162 24.08.26 PP*</t>
        </is>
      </c>
      <c r="I164" s="256" t="inlineStr">
        <is>
          <t>227-5-К/26 11.09.26 FHM-K</t>
        </is>
      </c>
      <c r="J164" s="256" t="inlineStr">
        <is>
          <t>227-5-К/26 11.09.26 FHM-K</t>
        </is>
      </c>
      <c r="K164" s="256" t="inlineStr">
        <is>
          <t>227-5-К/26 11.09.26 FHM-K</t>
        </is>
      </c>
      <c r="L164" s="256" t="inlineStr">
        <is>
          <t>227-5-К/26 11.09.26 FHM-K</t>
        </is>
      </c>
      <c r="M164" s="256" t="inlineStr">
        <is>
          <t>iCoA-PP_26-162 24.08.26 PP*</t>
        </is>
      </c>
      <c r="N164" s="256" t="inlineStr">
        <is>
          <t>051-2-ГС/26 02.03.26 FHM-K (initial)</t>
        </is>
      </c>
      <c r="O164" s="257" t="inlineStr">
        <is>
          <t>n/t (initial)</t>
        </is>
      </c>
      <c r="P164" s="256" t="inlineStr">
        <is>
          <t>227-5-М/26 16.09.26 FHM-M</t>
        </is>
      </c>
      <c r="Q164" s="257" t="inlineStr">
        <is>
          <t>n/t (initial)</t>
        </is>
      </c>
      <c r="R164" s="257" t="inlineStr">
        <is>
          <t>n/t (initial)</t>
        </is>
      </c>
    </row>
    <row r="165">
      <c r="A165" s="256" t="inlineStr">
        <is>
          <t>CoQ-PP_26-164</t>
        </is>
      </c>
      <c r="B165" s="256" t="inlineStr">
        <is>
          <t>P050262 (WC072501)</t>
        </is>
      </c>
      <c r="C165" s="256" t="inlineStr">
        <is>
          <t>retest (predicted)</t>
        </is>
      </c>
      <c r="D165" s="256" t="inlineStr">
        <is>
          <t>21.09.26</t>
        </is>
      </c>
      <c r="E165" s="256" t="inlineStr">
        <is>
          <t>19.08.26</t>
        </is>
      </c>
      <c r="F165" s="256" t="inlineStr">
        <is>
          <t>227-3-К/26 24.08.26; ППК25369 24.11.25; 555/1086/26 26.08.26; 227-3-М/26 —; 5699/2025 24.11.25</t>
        </is>
      </c>
      <c r="G165" s="256" t="inlineStr">
        <is>
          <t>iCoA-PP_26-163 24.08.26 PP*</t>
        </is>
      </c>
      <c r="H165" s="256" t="inlineStr">
        <is>
          <t>iCoA-PP_26-163 24.08.26 PP*</t>
        </is>
      </c>
      <c r="I165" s="256" t="inlineStr">
        <is>
          <t>227-3-К/26 11.09.26 FHM-K</t>
        </is>
      </c>
      <c r="J165" s="256" t="inlineStr">
        <is>
          <t>227-3-К/26 11.09.26 FHM-K</t>
        </is>
      </c>
      <c r="K165" s="256" t="inlineStr">
        <is>
          <t>227-3-К/26 11.09.26 FHM-K</t>
        </is>
      </c>
      <c r="L165" s="256" t="inlineStr">
        <is>
          <t>227-3-К/26 11.09.26 FHM-K</t>
        </is>
      </c>
      <c r="M165" s="256" t="inlineStr">
        <is>
          <t>iCoA-PP_26-163 24.08.26 PP*</t>
        </is>
      </c>
      <c r="N165" s="256" t="inlineStr">
        <is>
          <t>ППК25369 28.11.25 CNP (initial) DAB</t>
        </is>
      </c>
      <c r="O165" s="256" t="inlineStr">
        <is>
          <t>555/1086/26 01.09.26 IJZ-MB</t>
        </is>
      </c>
      <c r="P165" s="256" t="inlineStr">
        <is>
          <t>227-3-М/26 16.09.26 FHM-M; 227-3-М/26 16.09.26 FHM-M (initial)</t>
        </is>
      </c>
      <c r="Q165" s="256" t="inlineStr">
        <is>
          <t>5699/2025 02.12.25 IJZ (initial)</t>
        </is>
      </c>
      <c r="R165" s="256" t="inlineStr">
        <is>
          <t>5699/2025 02.12.25 IJZ (initial)</t>
        </is>
      </c>
    </row>
    <row r="166">
      <c r="A166" s="256" t="inlineStr">
        <is>
          <t>CoQ-PP_26-165</t>
        </is>
      </c>
      <c r="B166" s="256" t="inlineStr">
        <is>
          <t>P060102 (WED102501)</t>
        </is>
      </c>
      <c r="C166" s="256" t="inlineStr">
        <is>
          <t>retest (predicted)</t>
        </is>
      </c>
      <c r="D166" s="256" t="inlineStr">
        <is>
          <t>21.09.26</t>
        </is>
      </c>
      <c r="E166" s="256" t="inlineStr">
        <is>
          <t>19.08.26</t>
        </is>
      </c>
      <c r="F166" s="256" t="inlineStr">
        <is>
          <t>227-4-К/26 24.08.26; 031-3-ГС/26 —; 551/1082/26 26.08.26; 227-4-М/26 —</t>
        </is>
      </c>
      <c r="G166" s="256" t="inlineStr">
        <is>
          <t>iCoA-PP_26-164 24.08.26 PP*</t>
        </is>
      </c>
      <c r="H166" s="256" t="inlineStr">
        <is>
          <t>iCoA-PP_26-164 24.08.26 PP*</t>
        </is>
      </c>
      <c r="I166" s="256" t="inlineStr">
        <is>
          <t>227-4-К/26 11.09.26 FHM-K</t>
        </is>
      </c>
      <c r="J166" s="256" t="inlineStr">
        <is>
          <t>227-4-К/26 11.09.26 FHM-K</t>
        </is>
      </c>
      <c r="K166" s="256" t="inlineStr">
        <is>
          <t>227-4-К/26 11.09.26 FHM-K</t>
        </is>
      </c>
      <c r="L166" s="256" t="inlineStr">
        <is>
          <t>227-4-К/26 11.09.26 FHM-K</t>
        </is>
      </c>
      <c r="M166" s="256" t="inlineStr">
        <is>
          <t>iCoA-PP_26-164 24.08.26 PP*</t>
        </is>
      </c>
      <c r="N166" s="256" t="inlineStr">
        <is>
          <t>031-3-ГС/26 12.02.26 FHM</t>
        </is>
      </c>
      <c r="O166" s="256" t="inlineStr">
        <is>
          <t>551/1082/26 01.09.26 IJZ-MB</t>
        </is>
      </c>
      <c r="P166" s="256" t="inlineStr">
        <is>
          <t>227-4-М/26 16.09.26 FHM-M</t>
        </is>
      </c>
      <c r="Q166" s="257" t="inlineStr">
        <is>
          <t>n/t (initial)</t>
        </is>
      </c>
      <c r="R166" s="257" t="inlineStr">
        <is>
          <t>n/t (initial)</t>
        </is>
      </c>
    </row>
    <row r="167">
      <c r="A167" s="256" t="inlineStr">
        <is>
          <t>CoQ-PP_26-166</t>
        </is>
      </c>
      <c r="B167" s="256" t="inlineStr">
        <is>
          <t>CC042601</t>
        </is>
      </c>
      <c r="C167" s="256" t="inlineStr">
        <is>
          <t>release (predicted)</t>
        </is>
      </c>
      <c r="D167" s="256" t="inlineStr">
        <is>
          <t>≥ 11.05.2026</t>
        </is>
      </c>
      <c r="E167" s="256" t="inlineStr">
        <is>
          <t>—</t>
        </is>
      </c>
      <c r="F167" s="256" t="inlineStr">
        <is>
          <t>—</t>
        </is>
      </c>
      <c r="G167" s="256" t="inlineStr">
        <is>
          <t>iCoA-PP_26-090 03.06.26 PP*</t>
        </is>
      </c>
      <c r="H167" s="256" t="inlineStr">
        <is>
          <t>iCoA-PP_26-090 03.06.26 PP*</t>
        </is>
      </c>
      <c r="I167" s="256" t="inlineStr">
        <is>
          <t>to be performed</t>
        </is>
      </c>
      <c r="J167" s="257" t="inlineStr">
        <is>
          <t>n/t</t>
        </is>
      </c>
      <c r="K167" s="257" t="inlineStr">
        <is>
          <t>n/t</t>
        </is>
      </c>
      <c r="L167" s="257" t="inlineStr">
        <is>
          <t>n/t</t>
        </is>
      </c>
      <c r="M167" s="256" t="inlineStr">
        <is>
          <t>iCoA-PP_26-090 03.06.26 PP*</t>
        </is>
      </c>
      <c r="N167" s="257" t="inlineStr">
        <is>
          <t>n/t</t>
        </is>
      </c>
      <c r="O167" s="257" t="inlineStr">
        <is>
          <t>n/t</t>
        </is>
      </c>
      <c r="P167" s="257" t="inlineStr">
        <is>
          <t>n/t</t>
        </is>
      </c>
      <c r="Q167" s="257" t="inlineStr">
        <is>
          <t>n/t</t>
        </is>
      </c>
      <c r="R167" s="257" t="inlineStr">
        <is>
          <t>n/t</t>
        </is>
      </c>
    </row>
    <row r="168">
      <c r="A168" s="256" t="inlineStr">
        <is>
          <t>CoQ-PP_26-167</t>
        </is>
      </c>
      <c r="B168" s="256" t="inlineStr">
        <is>
          <t>FB042601</t>
        </is>
      </c>
      <c r="C168" s="256" t="inlineStr">
        <is>
          <t>release (predicted)</t>
        </is>
      </c>
      <c r="D168" s="256" t="inlineStr">
        <is>
          <t>≥ 11.05.2026</t>
        </is>
      </c>
      <c r="E168" s="256" t="inlineStr">
        <is>
          <t>—</t>
        </is>
      </c>
      <c r="F168" s="256" t="inlineStr">
        <is>
          <t>—</t>
        </is>
      </c>
      <c r="G168" s="256" t="inlineStr">
        <is>
          <t>iCoA-PP_26-091 03.06.26 PP*</t>
        </is>
      </c>
      <c r="H168" s="256" t="inlineStr">
        <is>
          <t>iCoA-PP_26-091 03.06.26 PP*</t>
        </is>
      </c>
      <c r="I168" s="256" t="inlineStr">
        <is>
          <t>to be performed</t>
        </is>
      </c>
      <c r="J168" s="257" t="inlineStr">
        <is>
          <t>n/t</t>
        </is>
      </c>
      <c r="K168" s="257" t="inlineStr">
        <is>
          <t>n/t</t>
        </is>
      </c>
      <c r="L168" s="257" t="inlineStr">
        <is>
          <t>n/t</t>
        </is>
      </c>
      <c r="M168" s="256" t="inlineStr">
        <is>
          <t>iCoA-PP_26-091 03.06.26 PP*</t>
        </is>
      </c>
      <c r="N168" s="257" t="inlineStr">
        <is>
          <t>n/t</t>
        </is>
      </c>
      <c r="O168" s="257" t="inlineStr">
        <is>
          <t>n/t</t>
        </is>
      </c>
      <c r="P168" s="257" t="inlineStr">
        <is>
          <t>n/t</t>
        </is>
      </c>
      <c r="Q168" s="257" t="inlineStr">
        <is>
          <t>n/t</t>
        </is>
      </c>
      <c r="R168" s="257" t="inlineStr">
        <is>
          <t>n/t</t>
        </is>
      </c>
    </row>
    <row r="169">
      <c r="A169" s="256" t="inlineStr">
        <is>
          <t>CoQ-PP_26-168</t>
        </is>
      </c>
      <c r="B169" s="256" t="inlineStr">
        <is>
          <t>P160012</t>
        </is>
      </c>
      <c r="C169" s="256" t="inlineStr">
        <is>
          <t>release (predicted)</t>
        </is>
      </c>
      <c r="D169" s="256" t="inlineStr">
        <is>
          <t>13.07.26</t>
        </is>
      </c>
      <c r="E169" s="256" t="inlineStr">
        <is>
          <t>—</t>
        </is>
      </c>
      <c r="F169" s="256" t="inlineStr">
        <is>
          <t>ППК26117 17.06.26</t>
        </is>
      </c>
      <c r="G169" s="256" t="inlineStr">
        <is>
          <t>ППК26117 06.07.26 CNP</t>
        </is>
      </c>
      <c r="H169" s="256" t="inlineStr">
        <is>
          <t>ППК26117 06.07.26 CNP</t>
        </is>
      </c>
      <c r="I169" s="256" t="inlineStr">
        <is>
          <t>ППК26117 06.07.26 CNP</t>
        </is>
      </c>
      <c r="J169" s="256" t="inlineStr">
        <is>
          <t>ППК26117 06.07.26 CNP</t>
        </is>
      </c>
      <c r="K169" s="256" t="inlineStr">
        <is>
          <t>ППК26117 06.07.26 CNP</t>
        </is>
      </c>
      <c r="L169" s="256" t="inlineStr">
        <is>
          <t>ППК26117 06.07.26 CNP</t>
        </is>
      </c>
      <c r="M169" s="256" t="inlineStr">
        <is>
          <t>ППК26117 06.07.26 CNP</t>
        </is>
      </c>
      <c r="N169" s="256" t="inlineStr">
        <is>
          <t>ППК26117 06.07.26 CNP</t>
        </is>
      </c>
      <c r="O169" s="257" t="inlineStr">
        <is>
          <t>n/t</t>
        </is>
      </c>
      <c r="P169" s="257" t="inlineStr">
        <is>
          <t>n/t</t>
        </is>
      </c>
      <c r="Q169" s="257" t="inlineStr">
        <is>
          <t>n/t</t>
        </is>
      </c>
      <c r="R169" s="257" t="inlineStr">
        <is>
          <t>n/t</t>
        </is>
      </c>
    </row>
    <row r="170">
      <c r="A170" s="256" t="inlineStr">
        <is>
          <t>CoQ-PP_26-169</t>
        </is>
      </c>
      <c r="B170" s="256" t="inlineStr">
        <is>
          <t>P160022</t>
        </is>
      </c>
      <c r="C170" s="256" t="inlineStr">
        <is>
          <t>release (predicted)</t>
        </is>
      </c>
      <c r="D170" s="256" t="inlineStr">
        <is>
          <t>13.07.26</t>
        </is>
      </c>
      <c r="E170" s="256" t="inlineStr">
        <is>
          <t>—</t>
        </is>
      </c>
      <c r="F170" s="256" t="inlineStr">
        <is>
          <t>ППК26118 17.06.26</t>
        </is>
      </c>
      <c r="G170" s="256" t="inlineStr">
        <is>
          <t>ППК26118 06.07.26 CNP</t>
        </is>
      </c>
      <c r="H170" s="256" t="inlineStr">
        <is>
          <t>ППК26118 06.07.26 CNP</t>
        </is>
      </c>
      <c r="I170" s="256" t="inlineStr">
        <is>
          <t>ППК26118 06.07.26 CNP</t>
        </is>
      </c>
      <c r="J170" s="256" t="inlineStr">
        <is>
          <t>ППК26118 06.07.26 CNP</t>
        </is>
      </c>
      <c r="K170" s="256" t="inlineStr">
        <is>
          <t>ППК26118 06.07.26 CNP</t>
        </is>
      </c>
      <c r="L170" s="256" t="inlineStr">
        <is>
          <t>ППК26118 06.07.26 CNP</t>
        </is>
      </c>
      <c r="M170" s="256" t="inlineStr">
        <is>
          <t>ППК26118 06.07.26 CNP</t>
        </is>
      </c>
      <c r="N170" s="256" t="inlineStr">
        <is>
          <t>ППК26118 06.07.26 CNP</t>
        </is>
      </c>
      <c r="O170" s="257" t="inlineStr">
        <is>
          <t>n/t</t>
        </is>
      </c>
      <c r="P170" s="257" t="inlineStr">
        <is>
          <t>n/t</t>
        </is>
      </c>
      <c r="Q170" s="257" t="inlineStr">
        <is>
          <t>n/t</t>
        </is>
      </c>
      <c r="R170" s="257" t="inlineStr">
        <is>
          <t>n/t</t>
        </is>
      </c>
    </row>
    <row r="171">
      <c r="A171" s="256" t="inlineStr">
        <is>
          <t>CoQ-PP_26-170</t>
        </is>
      </c>
      <c r="B171" s="256" t="inlineStr">
        <is>
          <t>P160032</t>
        </is>
      </c>
      <c r="C171" s="256" t="inlineStr">
        <is>
          <t>release (predicted)</t>
        </is>
      </c>
      <c r="D171" s="256" t="inlineStr">
        <is>
          <t>13.07.26</t>
        </is>
      </c>
      <c r="E171" s="256" t="inlineStr">
        <is>
          <t>—</t>
        </is>
      </c>
      <c r="F171" s="256" t="inlineStr">
        <is>
          <t>ППК26119 17.06.26</t>
        </is>
      </c>
      <c r="G171" s="256" t="inlineStr">
        <is>
          <t>ППК26119 06.07.26 CNP</t>
        </is>
      </c>
      <c r="H171" s="256" t="inlineStr">
        <is>
          <t>ППК26119 06.07.26 CNP</t>
        </is>
      </c>
      <c r="I171" s="256" t="inlineStr">
        <is>
          <t>ППК26119 06.07.26 CNP</t>
        </is>
      </c>
      <c r="J171" s="256" t="inlineStr">
        <is>
          <t>ППК26119 06.07.26 CNP</t>
        </is>
      </c>
      <c r="K171" s="256" t="inlineStr">
        <is>
          <t>ППК26119 06.07.26 CNP</t>
        </is>
      </c>
      <c r="L171" s="256" t="inlineStr">
        <is>
          <t>ППК26119 06.07.26 CNP</t>
        </is>
      </c>
      <c r="M171" s="256" t="inlineStr">
        <is>
          <t>ППК26119 06.07.26 CNP</t>
        </is>
      </c>
      <c r="N171" s="256" t="inlineStr">
        <is>
          <t>ППК26119 06.07.26 CNP</t>
        </is>
      </c>
      <c r="O171" s="257" t="inlineStr">
        <is>
          <t>n/t</t>
        </is>
      </c>
      <c r="P171" s="257" t="inlineStr">
        <is>
          <t>n/t</t>
        </is>
      </c>
      <c r="Q171" s="257" t="inlineStr">
        <is>
          <t>n/t</t>
        </is>
      </c>
      <c r="R171" s="257" t="inlineStr">
        <is>
          <t>n/t</t>
        </is>
      </c>
    </row>
    <row r="172">
      <c r="A172" s="256" t="inlineStr">
        <is>
          <t>CoQ-PP_26-171</t>
        </is>
      </c>
      <c r="B172" s="256" t="inlineStr">
        <is>
          <t>CC042601</t>
        </is>
      </c>
      <c r="C172" s="256" t="inlineStr">
        <is>
          <t>retest (predicted)</t>
        </is>
      </c>
      <c r="D172" s="256" t="inlineStr">
        <is>
          <t>18.09.26</t>
        </is>
      </c>
      <c r="E172" s="256" t="inlineStr">
        <is>
          <t>14.08.26</t>
        </is>
      </c>
      <c r="F172" s="256" t="inlineStr">
        <is>
          <t>220-32-К/26 17.08.26; 220-32-М/26 17.08.26</t>
        </is>
      </c>
      <c r="G172" s="256" t="inlineStr">
        <is>
          <t>iCoA-PP_26-146 17.08.26 PP*</t>
        </is>
      </c>
      <c r="H172" s="256" t="inlineStr">
        <is>
          <t>iCoA-PP_26-146 17.08.26 PP*</t>
        </is>
      </c>
      <c r="I172" s="256" t="inlineStr">
        <is>
          <t>220-32-К/26 26.08.26 FHM-K</t>
        </is>
      </c>
      <c r="J172" s="256" t="inlineStr">
        <is>
          <t>220-32-К/26 26.08.26 FHM-K</t>
        </is>
      </c>
      <c r="K172" s="256" t="inlineStr">
        <is>
          <t>220-32-К/26 26.08.26 FHM-K</t>
        </is>
      </c>
      <c r="L172" s="256" t="inlineStr">
        <is>
          <t>220-32-К/26 26.08.26 FHM-K</t>
        </is>
      </c>
      <c r="M172" s="256" t="inlineStr">
        <is>
          <t>iCoA-PP_26-146 17.08.26 PP*</t>
        </is>
      </c>
      <c r="N172" s="257" t="inlineStr">
        <is>
          <t>n/t (initial)</t>
        </is>
      </c>
      <c r="O172" s="257" t="inlineStr">
        <is>
          <t>n/t (initial)</t>
        </is>
      </c>
      <c r="P172" s="256" t="inlineStr">
        <is>
          <t>220-32-М/26 11.09.26 FHM-M</t>
        </is>
      </c>
      <c r="Q172" s="257" t="inlineStr">
        <is>
          <t>n/t (initial)</t>
        </is>
      </c>
      <c r="R172" s="257" t="inlineStr">
        <is>
          <t>n/t (initial)</t>
        </is>
      </c>
    </row>
    <row r="173">
      <c r="A173" s="256" t="inlineStr">
        <is>
          <t>CoQ-PP_26-172</t>
        </is>
      </c>
      <c r="B173" s="256" t="inlineStr">
        <is>
          <t>FB042601</t>
        </is>
      </c>
      <c r="C173" s="256" t="inlineStr">
        <is>
          <t>retest (predicted)</t>
        </is>
      </c>
      <c r="D173" s="256" t="inlineStr">
        <is>
          <t>18.09.26</t>
        </is>
      </c>
      <c r="E173" s="256" t="inlineStr">
        <is>
          <t>14.08.26</t>
        </is>
      </c>
      <c r="F173" s="256" t="inlineStr">
        <is>
          <t>220-31-К/26 17.08.26; 220-31-М/26 17.08.26</t>
        </is>
      </c>
      <c r="G173" s="256" t="inlineStr">
        <is>
          <t>iCoA-PP_26-147 17.08.26 PP*</t>
        </is>
      </c>
      <c r="H173" s="256" t="inlineStr">
        <is>
          <t>iCoA-PP_26-147 17.08.26 PP*</t>
        </is>
      </c>
      <c r="I173" s="256" t="inlineStr">
        <is>
          <t>220-31-К/26 26.08.26 FHM-K</t>
        </is>
      </c>
      <c r="J173" s="256" t="inlineStr">
        <is>
          <t>220-31-К/26 26.08.26 FHM-K</t>
        </is>
      </c>
      <c r="K173" s="256" t="inlineStr">
        <is>
          <t>220-31-К/26 26.08.26 FHM-K</t>
        </is>
      </c>
      <c r="L173" s="256" t="inlineStr">
        <is>
          <t>220-31-К/26 26.08.26 FHM-K</t>
        </is>
      </c>
      <c r="M173" s="256" t="inlineStr">
        <is>
          <t>iCoA-PP_26-147 17.08.26 PP*</t>
        </is>
      </c>
      <c r="N173" s="257" t="inlineStr">
        <is>
          <t>n/t (initial)</t>
        </is>
      </c>
      <c r="O173" s="257" t="inlineStr">
        <is>
          <t>n/t (initial)</t>
        </is>
      </c>
      <c r="P173" s="256" t="inlineStr">
        <is>
          <t>220-31-М/26 11.09.26 FHM-M</t>
        </is>
      </c>
      <c r="Q173" s="257" t="inlineStr">
        <is>
          <t>n/t (initial)</t>
        </is>
      </c>
      <c r="R173" s="257" t="inlineStr">
        <is>
          <t>n/t (initial)</t>
        </is>
      </c>
    </row>
  </sheetData>
  <autoFilter ref="A1:R173"/>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L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70" min="1" max="1"/>
    <col width="7" customWidth="1" style="70" min="2" max="2"/>
    <col width="10" customWidth="1" style="70" min="3" max="3"/>
    <col width="12" customWidth="1" style="70" min="4" max="4"/>
    <col width="12" customWidth="1" style="70" min="5" max="5"/>
    <col width="12" customWidth="1" style="70" min="6" max="6"/>
    <col width="12" customWidth="1" style="70" min="7" max="7"/>
    <col width="8" customWidth="1" style="70" min="8" max="8"/>
    <col width="10" customWidth="1" style="70" min="9" max="9"/>
    <col width="14" customWidth="1" style="70" min="10" max="10"/>
    <col width="22" customWidth="1" style="70" min="11" max="11"/>
    <col width="60" customWidth="1" style="70" min="12" max="12"/>
  </cols>
  <sheetData>
    <row r="1" ht="30" customHeight="1" s="70">
      <c r="A1" s="119" t="inlineStr">
        <is>
          <t>Strain</t>
        </is>
      </c>
      <c r="B1" s="119" t="inlineStr">
        <is>
          <t>Abbr.</t>
        </is>
      </c>
      <c r="C1" s="119" t="inlineStr">
        <is>
          <t>Status</t>
        </is>
      </c>
      <c r="D1" s="119" t="inlineStr">
        <is>
          <t>Grade nominal (% THC)</t>
        </is>
      </c>
      <c r="E1" s="119" t="inlineStr">
        <is>
          <t>Tolerance (±%)</t>
        </is>
      </c>
      <c r="F1" s="119" t="inlineStr">
        <is>
          <t>Window low (%)</t>
        </is>
      </c>
      <c r="G1" s="119" t="inlineStr">
        <is>
          <t>Window high (%)</t>
        </is>
      </c>
      <c r="H1" s="119" t="inlineStr">
        <is>
          <t>Grades</t>
        </is>
      </c>
      <c r="I1" s="119" t="inlineStr">
        <is>
          <t>Measured results (n)</t>
        </is>
      </c>
      <c r="J1" s="119" t="inlineStr">
        <is>
          <t>Measured range (%)</t>
        </is>
      </c>
      <c r="K1" s="119" t="inlineStr">
        <is>
          <t>Basis</t>
        </is>
      </c>
      <c r="L1" s="119" t="inlineStr">
        <is>
          <t>Measured Total Δ9-THC results, as printed</t>
        </is>
      </c>
    </row>
    <row r="2">
      <c r="A2" s="244" t="inlineStr">
        <is>
          <t>Amnesia Core Cut</t>
        </is>
      </c>
      <c r="B2" s="243" t="inlineStr">
        <is>
          <t>ACC</t>
        </is>
      </c>
      <c r="C2" s="243" t="inlineStr">
        <is>
          <t>Finished</t>
        </is>
      </c>
      <c r="D2" s="251" t="n">
        <v>12</v>
      </c>
      <c r="E2" s="251" t="n">
        <v>1.2</v>
      </c>
      <c r="F2" s="251" t="n">
        <v>10.8</v>
      </c>
      <c r="G2" s="251" t="n">
        <v>13.19</v>
      </c>
      <c r="H2" s="243" t="n">
        <v>1</v>
      </c>
      <c r="I2" s="243" t="n">
        <v>1</v>
      </c>
      <c r="J2" s="243" t="inlineStr">
        <is>
          <t>12.09–12.09</t>
        </is>
      </c>
      <c r="K2" s="243" t="inlineStr">
        <is>
          <t>all results</t>
        </is>
      </c>
      <c r="L2" s="246" t="inlineStr">
        <is>
          <t>12.09</t>
        </is>
      </c>
    </row>
    <row r="3">
      <c r="A3" s="244" t="inlineStr">
        <is>
          <t>Apple and Banana</t>
        </is>
      </c>
      <c r="B3" s="243" t="inlineStr">
        <is>
          <t>AB</t>
        </is>
      </c>
      <c r="C3" s="243" t="inlineStr">
        <is>
          <t>Finished</t>
        </is>
      </c>
      <c r="D3" s="251" t="n">
        <v>18</v>
      </c>
      <c r="E3" s="251" t="n">
        <v>1.8</v>
      </c>
      <c r="F3" s="251" t="n">
        <v>16.2</v>
      </c>
      <c r="G3" s="251" t="n">
        <v>19.79</v>
      </c>
      <c r="H3" s="243" t="n">
        <v>2</v>
      </c>
      <c r="I3" s="243" t="n">
        <v>2</v>
      </c>
      <c r="J3" s="243" t="inlineStr">
        <is>
          <t>16.93–22.97</t>
        </is>
      </c>
      <c r="K3" s="243" t="inlineStr">
        <is>
          <t>all results</t>
        </is>
      </c>
      <c r="L3" s="246" t="inlineStr">
        <is>
          <t>16.93 22.97</t>
        </is>
      </c>
    </row>
    <row r="4">
      <c r="A4" s="244" t="inlineStr">
        <is>
          <t>Apple and Banana</t>
        </is>
      </c>
      <c r="B4" s="243" t="inlineStr">
        <is>
          <t>AB</t>
        </is>
      </c>
      <c r="C4" s="243" t="inlineStr">
        <is>
          <t>Finished</t>
        </is>
      </c>
      <c r="D4" s="251" t="n">
        <v>22</v>
      </c>
      <c r="E4" s="251" t="n">
        <v>2.2</v>
      </c>
      <c r="F4" s="251" t="n">
        <v>19.8</v>
      </c>
      <c r="G4" s="251" t="n">
        <v>24.19</v>
      </c>
      <c r="H4" s="243" t="n">
        <v>2</v>
      </c>
      <c r="I4" s="243" t="n">
        <v>2</v>
      </c>
      <c r="J4" s="243" t="inlineStr">
        <is>
          <t>16.93–22.97</t>
        </is>
      </c>
      <c r="K4" s="243" t="inlineStr">
        <is>
          <t>all results</t>
        </is>
      </c>
      <c r="L4" s="246" t="inlineStr">
        <is>
          <t>16.93 22.97</t>
        </is>
      </c>
    </row>
    <row r="5">
      <c r="A5" s="244" t="inlineStr">
        <is>
          <t>Blue Gelato</t>
        </is>
      </c>
      <c r="B5" s="243" t="inlineStr">
        <is>
          <t>BG</t>
        </is>
      </c>
      <c r="C5" s="243" t="inlineStr">
        <is>
          <t>Finished</t>
        </is>
      </c>
      <c r="D5" s="251" t="n">
        <v>22</v>
      </c>
      <c r="E5" s="251" t="n">
        <v>2.2</v>
      </c>
      <c r="F5" s="251" t="n">
        <v>19.8</v>
      </c>
      <c r="G5" s="251" t="n">
        <v>24.19</v>
      </c>
      <c r="H5" s="243" t="n">
        <v>2</v>
      </c>
      <c r="I5" s="243" t="n">
        <v>2</v>
      </c>
      <c r="J5" s="243" t="inlineStr">
        <is>
          <t>21.80–26.14</t>
        </is>
      </c>
      <c r="K5" s="243" t="inlineStr">
        <is>
          <t>all results</t>
        </is>
      </c>
      <c r="L5" s="246" t="inlineStr">
        <is>
          <t>21.80 26.14</t>
        </is>
      </c>
    </row>
    <row r="6">
      <c r="A6" s="244" t="inlineStr">
        <is>
          <t>Blue Gelato</t>
        </is>
      </c>
      <c r="B6" s="243" t="inlineStr">
        <is>
          <t>BG</t>
        </is>
      </c>
      <c r="C6" s="243" t="inlineStr">
        <is>
          <t>Finished</t>
        </is>
      </c>
      <c r="D6" s="251" t="n">
        <v>26</v>
      </c>
      <c r="E6" s="251" t="n">
        <v>1.8</v>
      </c>
      <c r="F6" s="251" t="n">
        <v>24.2</v>
      </c>
      <c r="G6" s="251" t="n">
        <v>27.79</v>
      </c>
      <c r="H6" s="243" t="n">
        <v>2</v>
      </c>
      <c r="I6" s="243" t="n">
        <v>2</v>
      </c>
      <c r="J6" s="243" t="inlineStr">
        <is>
          <t>21.80–26.14</t>
        </is>
      </c>
      <c r="K6" s="243" t="inlineStr">
        <is>
          <t>all results</t>
        </is>
      </c>
      <c r="L6" s="246" t="inlineStr">
        <is>
          <t>21.80 26.14</t>
        </is>
      </c>
    </row>
    <row r="7">
      <c r="A7" s="244" t="inlineStr">
        <is>
          <t>Blue Sunset Sherbet</t>
        </is>
      </c>
      <c r="B7" s="243" t="inlineStr">
        <is>
          <t>BSS</t>
        </is>
      </c>
      <c r="C7" s="243" t="inlineStr">
        <is>
          <t>Finished</t>
        </is>
      </c>
      <c r="D7" s="251" t="n">
        <v>20</v>
      </c>
      <c r="E7" s="251" t="n">
        <v>1.89</v>
      </c>
      <c r="F7" s="251" t="n">
        <v>18.11</v>
      </c>
      <c r="G7" s="251" t="n">
        <v>21.88</v>
      </c>
      <c r="H7" s="243" t="n">
        <v>3</v>
      </c>
      <c r="I7" s="243" t="n">
        <v>7</v>
      </c>
      <c r="J7" s="243" t="inlineStr">
        <is>
          <t>20.39–26.10</t>
        </is>
      </c>
      <c r="K7" s="243" t="inlineStr">
        <is>
          <t>all results</t>
        </is>
      </c>
      <c r="L7" s="246" t="inlineStr">
        <is>
          <t>20.39 20.39 20.52 21.03 23.42 25.01 26.10</t>
        </is>
      </c>
    </row>
    <row r="8">
      <c r="A8" s="244" t="inlineStr">
        <is>
          <t>Blue Sunset Sherbet</t>
        </is>
      </c>
      <c r="B8" s="243" t="inlineStr">
        <is>
          <t>BSS</t>
        </is>
      </c>
      <c r="C8" s="243" t="inlineStr">
        <is>
          <t>Finished</t>
        </is>
      </c>
      <c r="D8" s="251" t="n">
        <v>24</v>
      </c>
      <c r="E8" s="251" t="n">
        <v>2.11</v>
      </c>
      <c r="F8" s="251" t="n">
        <v>21.89</v>
      </c>
      <c r="G8" s="251" t="n">
        <v>26.1</v>
      </c>
      <c r="H8" s="243" t="n">
        <v>3</v>
      </c>
      <c r="I8" s="243" t="n">
        <v>7</v>
      </c>
      <c r="J8" s="243" t="inlineStr">
        <is>
          <t>20.39–26.10</t>
        </is>
      </c>
      <c r="K8" s="243" t="inlineStr">
        <is>
          <t>all results</t>
        </is>
      </c>
      <c r="L8" s="246" t="inlineStr">
        <is>
          <t>20.39 20.39 20.52 21.03 23.42 25.01 26.10</t>
        </is>
      </c>
    </row>
    <row r="9">
      <c r="A9" s="244" t="inlineStr">
        <is>
          <t>Blue Sunset Sherbet</t>
        </is>
      </c>
      <c r="B9" s="243" t="inlineStr">
        <is>
          <t>BSS</t>
        </is>
      </c>
      <c r="C9" s="243" t="inlineStr">
        <is>
          <t>Finished</t>
        </is>
      </c>
      <c r="D9" s="251" t="n">
        <v>28</v>
      </c>
      <c r="E9" s="251" t="n">
        <v>1.93</v>
      </c>
      <c r="F9" s="251" t="n">
        <v>26.07</v>
      </c>
      <c r="G9" s="251" t="n">
        <v>29.92</v>
      </c>
      <c r="H9" s="243" t="n">
        <v>3</v>
      </c>
      <c r="I9" s="243" t="n">
        <v>7</v>
      </c>
      <c r="J9" s="243" t="inlineStr">
        <is>
          <t>20.39–26.10</t>
        </is>
      </c>
      <c r="K9" s="243" t="inlineStr">
        <is>
          <t>all results</t>
        </is>
      </c>
      <c r="L9" s="246" t="inlineStr">
        <is>
          <t>20.39 20.39 20.52 21.03 23.42 25.01 26.10</t>
        </is>
      </c>
    </row>
    <row r="10">
      <c r="A10" s="244" t="inlineStr">
        <is>
          <t>Cap Junky</t>
        </is>
      </c>
      <c r="B10" s="243" t="inlineStr">
        <is>
          <t>CJ</t>
        </is>
      </c>
      <c r="C10" s="243" t="inlineStr">
        <is>
          <t>Finished</t>
        </is>
      </c>
      <c r="D10" s="251" t="n">
        <v>14</v>
      </c>
      <c r="E10" s="251" t="n">
        <v>1.4</v>
      </c>
      <c r="F10" s="251" t="n">
        <v>12.6</v>
      </c>
      <c r="G10" s="251" t="n">
        <v>15.39</v>
      </c>
      <c r="H10" s="243" t="n">
        <v>5</v>
      </c>
      <c r="I10" s="243" t="n">
        <v>18</v>
      </c>
      <c r="J10" s="243" t="inlineStr">
        <is>
          <t>14.93–28.34</t>
        </is>
      </c>
      <c r="K10" s="243" t="inlineStr">
        <is>
          <t>all results</t>
        </is>
      </c>
      <c r="L10" s="246" t="inlineStr">
        <is>
          <t>14.93 16.56 18.29 18.91 20.29 20.84 21.30 21.51 22.30 23.00 23.70 24.05 24.80 24.96 25.65 28.12 28.18 28.34</t>
        </is>
      </c>
    </row>
    <row r="11">
      <c r="A11" s="244" t="inlineStr">
        <is>
          <t>Cap Junky</t>
        </is>
      </c>
      <c r="B11" s="243" t="inlineStr">
        <is>
          <t>CJ</t>
        </is>
      </c>
      <c r="C11" s="243" t="inlineStr">
        <is>
          <t>Finished</t>
        </is>
      </c>
      <c r="D11" s="251" t="n">
        <v>17</v>
      </c>
      <c r="E11" s="251" t="n">
        <v>1.4</v>
      </c>
      <c r="F11" s="251" t="n">
        <v>15.6</v>
      </c>
      <c r="G11" s="251" t="n">
        <v>18.39</v>
      </c>
      <c r="H11" s="243" t="n">
        <v>5</v>
      </c>
      <c r="I11" s="243" t="n">
        <v>18</v>
      </c>
      <c r="J11" s="243" t="inlineStr">
        <is>
          <t>14.93–28.34</t>
        </is>
      </c>
      <c r="K11" s="243" t="inlineStr">
        <is>
          <t>all results</t>
        </is>
      </c>
      <c r="L11" s="246" t="inlineStr">
        <is>
          <t>14.93 16.56 18.29 18.91 20.29 20.84 21.30 21.51 22.30 23.00 23.70 24.05 24.80 24.96 25.65 28.12 28.18 28.34</t>
        </is>
      </c>
    </row>
    <row r="12">
      <c r="A12" s="244" t="inlineStr">
        <is>
          <t>Cap Junky</t>
        </is>
      </c>
      <c r="B12" s="243" t="inlineStr">
        <is>
          <t>CJ</t>
        </is>
      </c>
      <c r="C12" s="243" t="inlineStr">
        <is>
          <t>Finished</t>
        </is>
      </c>
      <c r="D12" s="251" t="n">
        <v>20</v>
      </c>
      <c r="E12" s="251" t="n">
        <v>1.6</v>
      </c>
      <c r="F12" s="251" t="n">
        <v>18.4</v>
      </c>
      <c r="G12" s="251" t="n">
        <v>21.59</v>
      </c>
      <c r="H12" s="243" t="n">
        <v>5</v>
      </c>
      <c r="I12" s="243" t="n">
        <v>18</v>
      </c>
      <c r="J12" s="243" t="inlineStr">
        <is>
          <t>14.93–28.34</t>
        </is>
      </c>
      <c r="K12" s="243" t="inlineStr">
        <is>
          <t>all results</t>
        </is>
      </c>
      <c r="L12" s="246" t="inlineStr">
        <is>
          <t>14.93 16.56 18.29 18.91 20.29 20.84 21.30 21.51 22.30 23.00 23.70 24.05 24.80 24.96 25.65 28.12 28.18 28.34</t>
        </is>
      </c>
    </row>
    <row r="13">
      <c r="A13" s="244" t="inlineStr">
        <is>
          <t>Cap Junky</t>
        </is>
      </c>
      <c r="B13" s="243" t="inlineStr">
        <is>
          <t>CJ</t>
        </is>
      </c>
      <c r="C13" s="243" t="inlineStr">
        <is>
          <t>Finished</t>
        </is>
      </c>
      <c r="D13" s="251" t="n">
        <v>24</v>
      </c>
      <c r="E13" s="251" t="n">
        <v>2.4</v>
      </c>
      <c r="F13" s="251" t="n">
        <v>21.6</v>
      </c>
      <c r="G13" s="251" t="n">
        <v>26.39</v>
      </c>
      <c r="H13" s="243" t="n">
        <v>5</v>
      </c>
      <c r="I13" s="243" t="n">
        <v>18</v>
      </c>
      <c r="J13" s="243" t="inlineStr">
        <is>
          <t>14.93–28.34</t>
        </is>
      </c>
      <c r="K13" s="243" t="inlineStr">
        <is>
          <t>all results</t>
        </is>
      </c>
      <c r="L13" s="246" t="inlineStr">
        <is>
          <t>14.93 16.56 18.29 18.91 20.29 20.84 21.30 21.51 22.30 23.00 23.70 24.05 24.80 24.96 25.65 28.12 28.18 28.34</t>
        </is>
      </c>
    </row>
    <row r="14">
      <c r="A14" s="244" t="inlineStr">
        <is>
          <t>Cap Junky</t>
        </is>
      </c>
      <c r="B14" s="243" t="inlineStr">
        <is>
          <t>CJ</t>
        </is>
      </c>
      <c r="C14" s="243" t="inlineStr">
        <is>
          <t>Finished</t>
        </is>
      </c>
      <c r="D14" s="251" t="n">
        <v>28</v>
      </c>
      <c r="E14" s="251" t="n">
        <v>1.6</v>
      </c>
      <c r="F14" s="251" t="n">
        <v>26.4</v>
      </c>
      <c r="G14" s="251" t="n">
        <v>29.59</v>
      </c>
      <c r="H14" s="243" t="n">
        <v>5</v>
      </c>
      <c r="I14" s="243" t="n">
        <v>18</v>
      </c>
      <c r="J14" s="243" t="inlineStr">
        <is>
          <t>14.93–28.34</t>
        </is>
      </c>
      <c r="K14" s="243" t="inlineStr">
        <is>
          <t>all results</t>
        </is>
      </c>
      <c r="L14" s="246" t="inlineStr">
        <is>
          <t>14.93 16.56 18.29 18.91 20.29 20.84 21.30 21.51 22.30 23.00 23.70 24.05 24.80 24.96 25.65 28.12 28.18 28.34</t>
        </is>
      </c>
    </row>
    <row r="15">
      <c r="A15" s="244" t="inlineStr">
        <is>
          <t>Cash Cow</t>
        </is>
      </c>
      <c r="B15" s="243" t="inlineStr">
        <is>
          <t>CC</t>
        </is>
      </c>
      <c r="C15" s="243" t="inlineStr">
        <is>
          <t>Finished</t>
        </is>
      </c>
      <c r="D15" s="251" t="n">
        <v>14</v>
      </c>
      <c r="E15" s="251" t="n">
        <v>1.35</v>
      </c>
      <c r="F15" s="251" t="n">
        <v>12.65</v>
      </c>
      <c r="G15" s="251" t="n">
        <v>15.34</v>
      </c>
      <c r="H15" s="243" t="n">
        <v>2</v>
      </c>
      <c r="I15" s="243" t="n">
        <v>4</v>
      </c>
      <c r="J15" s="243" t="inlineStr">
        <is>
          <t>13.35–17.67</t>
        </is>
      </c>
      <c r="K15" s="243" t="inlineStr">
        <is>
          <t>all results</t>
        </is>
      </c>
      <c r="L15" s="246" t="inlineStr">
        <is>
          <t>13.35 14.76 16.36 17.67</t>
        </is>
      </c>
    </row>
    <row r="16">
      <c r="A16" s="244" t="inlineStr">
        <is>
          <t>Cash Cow</t>
        </is>
      </c>
      <c r="B16" s="243" t="inlineStr">
        <is>
          <t>CC</t>
        </is>
      </c>
      <c r="C16" s="243" t="inlineStr">
        <is>
          <t>Finished</t>
        </is>
      </c>
      <c r="D16" s="251" t="n">
        <v>17</v>
      </c>
      <c r="E16" s="251" t="n">
        <v>1.65</v>
      </c>
      <c r="F16" s="251" t="n">
        <v>15.35</v>
      </c>
      <c r="G16" s="251" t="n">
        <v>18.64</v>
      </c>
      <c r="H16" s="243" t="n">
        <v>2</v>
      </c>
      <c r="I16" s="243" t="n">
        <v>4</v>
      </c>
      <c r="J16" s="243" t="inlineStr">
        <is>
          <t>13.35–17.67</t>
        </is>
      </c>
      <c r="K16" s="243" t="inlineStr">
        <is>
          <t>all results</t>
        </is>
      </c>
      <c r="L16" s="246" t="inlineStr">
        <is>
          <t>13.35 14.76 16.36 17.67</t>
        </is>
      </c>
    </row>
    <row r="17">
      <c r="A17" s="244" t="inlineStr">
        <is>
          <t>Chem Flyer</t>
        </is>
      </c>
      <c r="B17" s="243" t="inlineStr">
        <is>
          <t>CF</t>
        </is>
      </c>
      <c r="C17" s="243" t="inlineStr">
        <is>
          <t>Finished</t>
        </is>
      </c>
      <c r="D17" s="251" t="n">
        <v>10</v>
      </c>
      <c r="E17" s="251" t="n">
        <v>1</v>
      </c>
      <c r="F17" s="251" t="n">
        <v>9</v>
      </c>
      <c r="G17" s="251" t="n">
        <v>10.99</v>
      </c>
      <c r="H17" s="243" t="n">
        <v>1</v>
      </c>
      <c r="I17" s="243" t="n">
        <v>1</v>
      </c>
      <c r="J17" s="243" t="inlineStr">
        <is>
          <t>9.55–9.55</t>
        </is>
      </c>
      <c r="K17" s="243" t="inlineStr">
        <is>
          <t>all results</t>
        </is>
      </c>
      <c r="L17" s="246" t="inlineStr">
        <is>
          <t>9.55</t>
        </is>
      </c>
    </row>
    <row r="18">
      <c r="A18" s="244" t="inlineStr">
        <is>
          <t>Clemosa A Bud</t>
        </is>
      </c>
      <c r="B18" s="243" t="inlineStr">
        <is>
          <t>CLE</t>
        </is>
      </c>
      <c r="C18" s="243" t="inlineStr">
        <is>
          <t>Finished</t>
        </is>
      </c>
      <c r="D18" s="251" t="n">
        <v>8</v>
      </c>
      <c r="E18" s="251" t="n">
        <v>0.8</v>
      </c>
      <c r="F18" s="251" t="n">
        <v>7.2</v>
      </c>
      <c r="G18" s="251" t="n">
        <v>8.789999999999999</v>
      </c>
      <c r="H18" s="243" t="n">
        <v>1</v>
      </c>
      <c r="I18" s="243" t="n">
        <v>1</v>
      </c>
      <c r="J18" s="243" t="inlineStr">
        <is>
          <t>8.02–8.02</t>
        </is>
      </c>
      <c r="K18" s="243" t="inlineStr">
        <is>
          <t>all results</t>
        </is>
      </c>
      <c r="L18" s="246" t="inlineStr">
        <is>
          <t>8.02</t>
        </is>
      </c>
    </row>
    <row r="19">
      <c r="A19" s="244" t="inlineStr">
        <is>
          <t>Fat Bastard</t>
        </is>
      </c>
      <c r="B19" s="243" t="inlineStr">
        <is>
          <t>FB</t>
        </is>
      </c>
      <c r="C19" s="243" t="inlineStr">
        <is>
          <t>Finished</t>
        </is>
      </c>
      <c r="D19" s="251" t="n">
        <v>12</v>
      </c>
      <c r="E19" s="251" t="n">
        <v>1.2</v>
      </c>
      <c r="F19" s="251" t="n">
        <v>10.8</v>
      </c>
      <c r="G19" s="251" t="n">
        <v>13.19</v>
      </c>
      <c r="H19" s="243" t="n">
        <v>4</v>
      </c>
      <c r="I19" s="243" t="n">
        <v>9</v>
      </c>
      <c r="J19" s="243" t="inlineStr">
        <is>
          <t>12.39–20.83</t>
        </is>
      </c>
      <c r="K19" s="243" t="inlineStr">
        <is>
          <t>all results</t>
        </is>
      </c>
      <c r="L19" s="246" t="inlineStr">
        <is>
          <t>12.39 14.68 16.69 17.99 18.29 18.86 19.31 20.00 20.83</t>
        </is>
      </c>
    </row>
    <row r="20">
      <c r="A20" s="244" t="inlineStr">
        <is>
          <t>Fat Bastard</t>
        </is>
      </c>
      <c r="B20" s="243" t="inlineStr">
        <is>
          <t>FB</t>
        </is>
      </c>
      <c r="C20" s="243" t="inlineStr">
        <is>
          <t>Finished</t>
        </is>
      </c>
      <c r="D20" s="251" t="n">
        <v>15</v>
      </c>
      <c r="E20" s="251" t="n">
        <v>1.2</v>
      </c>
      <c r="F20" s="251" t="n">
        <v>13.8</v>
      </c>
      <c r="G20" s="251" t="n">
        <v>16.19</v>
      </c>
      <c r="H20" s="243" t="n">
        <v>4</v>
      </c>
      <c r="I20" s="243" t="n">
        <v>9</v>
      </c>
      <c r="J20" s="243" t="inlineStr">
        <is>
          <t>12.39–20.83</t>
        </is>
      </c>
      <c r="K20" s="243" t="inlineStr">
        <is>
          <t>all results</t>
        </is>
      </c>
      <c r="L20" s="246" t="inlineStr">
        <is>
          <t>12.39 14.68 16.69 17.99 18.29 18.86 19.31 20.00 20.83</t>
        </is>
      </c>
    </row>
    <row r="21">
      <c r="A21" s="244" t="inlineStr">
        <is>
          <t>Fat Bastard</t>
        </is>
      </c>
      <c r="B21" s="243" t="inlineStr">
        <is>
          <t>FB</t>
        </is>
      </c>
      <c r="C21" s="243" t="inlineStr">
        <is>
          <t>Finished</t>
        </is>
      </c>
      <c r="D21" s="251" t="n">
        <v>18</v>
      </c>
      <c r="E21" s="251" t="n">
        <v>1.8</v>
      </c>
      <c r="F21" s="251" t="n">
        <v>16.2</v>
      </c>
      <c r="G21" s="251" t="n">
        <v>19.79</v>
      </c>
      <c r="H21" s="243" t="n">
        <v>4</v>
      </c>
      <c r="I21" s="243" t="n">
        <v>9</v>
      </c>
      <c r="J21" s="243" t="inlineStr">
        <is>
          <t>12.39–20.83</t>
        </is>
      </c>
      <c r="K21" s="243" t="inlineStr">
        <is>
          <t>all results</t>
        </is>
      </c>
      <c r="L21" s="246" t="inlineStr">
        <is>
          <t>12.39 14.68 16.69 17.99 18.29 18.86 19.31 20.00 20.83</t>
        </is>
      </c>
    </row>
    <row r="22">
      <c r="A22" s="244" t="inlineStr">
        <is>
          <t>Fat Bastard</t>
        </is>
      </c>
      <c r="B22" s="243" t="inlineStr">
        <is>
          <t>FB</t>
        </is>
      </c>
      <c r="C22" s="243" t="inlineStr">
        <is>
          <t>Finished</t>
        </is>
      </c>
      <c r="D22" s="251" t="n">
        <v>22</v>
      </c>
      <c r="E22" s="251" t="n">
        <v>2.2</v>
      </c>
      <c r="F22" s="251" t="n">
        <v>19.8</v>
      </c>
      <c r="G22" s="251" t="n">
        <v>24.19</v>
      </c>
      <c r="H22" s="243" t="n">
        <v>4</v>
      </c>
      <c r="I22" s="243" t="n">
        <v>9</v>
      </c>
      <c r="J22" s="243" t="inlineStr">
        <is>
          <t>12.39–20.83</t>
        </is>
      </c>
      <c r="K22" s="243" t="inlineStr">
        <is>
          <t>all results</t>
        </is>
      </c>
      <c r="L22" s="246" t="inlineStr">
        <is>
          <t>12.39 14.68 16.69 17.99 18.29 18.86 19.31 20.00 20.83</t>
        </is>
      </c>
    </row>
    <row r="23">
      <c r="A23" s="244" t="inlineStr">
        <is>
          <t>Gorilla Glue</t>
        </is>
      </c>
      <c r="B23" s="243" t="inlineStr">
        <is>
          <t>GG</t>
        </is>
      </c>
      <c r="C23" s="243" t="inlineStr">
        <is>
          <t>Finished</t>
        </is>
      </c>
      <c r="D23" s="251" t="n">
        <v>15</v>
      </c>
      <c r="E23" s="251" t="n">
        <v>1.23</v>
      </c>
      <c r="F23" s="251" t="n">
        <v>13.77</v>
      </c>
      <c r="G23" s="251" t="n">
        <v>16.22</v>
      </c>
      <c r="H23" s="243" t="n">
        <v>2</v>
      </c>
      <c r="I23" s="243" t="n">
        <v>12</v>
      </c>
      <c r="J23" s="243" t="inlineStr">
        <is>
          <t>15.35–19.16</t>
        </is>
      </c>
      <c r="K23" s="243" t="inlineStr">
        <is>
          <t>all results</t>
        </is>
      </c>
      <c r="L23" s="246" t="inlineStr">
        <is>
          <t>15.35 15.51 15.95 16.70 17.22 17.59 17.76 17.94 18.64 18.67 18.98 19.16</t>
        </is>
      </c>
    </row>
    <row r="24">
      <c r="A24" s="244" t="inlineStr">
        <is>
          <t>Gorilla Glue</t>
        </is>
      </c>
      <c r="B24" s="243" t="inlineStr">
        <is>
          <t>GG</t>
        </is>
      </c>
      <c r="C24" s="243" t="inlineStr">
        <is>
          <t>Finished</t>
        </is>
      </c>
      <c r="D24" s="251" t="n">
        <v>18</v>
      </c>
      <c r="E24" s="251" t="n">
        <v>1.77</v>
      </c>
      <c r="F24" s="251" t="n">
        <v>16.23</v>
      </c>
      <c r="G24" s="251" t="n">
        <v>19.76</v>
      </c>
      <c r="H24" s="243" t="n">
        <v>2</v>
      </c>
      <c r="I24" s="243" t="n">
        <v>12</v>
      </c>
      <c r="J24" s="243" t="inlineStr">
        <is>
          <t>15.35–19.16</t>
        </is>
      </c>
      <c r="K24" s="243" t="inlineStr">
        <is>
          <t>all results</t>
        </is>
      </c>
      <c r="L24" s="246" t="inlineStr">
        <is>
          <t>15.35 15.51 15.95 16.70 17.22 17.59 17.76 17.94 18.64 18.67 18.98 19.16</t>
        </is>
      </c>
    </row>
    <row r="25">
      <c r="A25" s="244" t="inlineStr">
        <is>
          <t>Grape Pie</t>
        </is>
      </c>
      <c r="B25" s="243" t="inlineStr">
        <is>
          <t>GP</t>
        </is>
      </c>
      <c r="C25" s="243" t="inlineStr">
        <is>
          <t>Finished</t>
        </is>
      </c>
      <c r="D25" s="251" t="n">
        <v>16</v>
      </c>
      <c r="E25" s="251" t="n">
        <v>1.6</v>
      </c>
      <c r="F25" s="251" t="n">
        <v>14.4</v>
      </c>
      <c r="G25" s="251" t="n">
        <v>17.59</v>
      </c>
      <c r="H25" s="243" t="n">
        <v>4</v>
      </c>
      <c r="I25" s="243" t="n">
        <v>17</v>
      </c>
      <c r="J25" s="243" t="inlineStr">
        <is>
          <t>14.83–28.68</t>
        </is>
      </c>
      <c r="K25" s="243" t="inlineStr">
        <is>
          <t>initial result per batch</t>
        </is>
      </c>
      <c r="L25" s="246" t="inlineStr">
        <is>
          <t>14.83 18.29 18.98 19.81 20.79 21.29 21.36 23.79 24.89 25.13 25.24 25.45 25.73 25.97 26.54 28.03 28.68</t>
        </is>
      </c>
    </row>
    <row r="26">
      <c r="A26" s="244" t="inlineStr">
        <is>
          <t>Grape Pie</t>
        </is>
      </c>
      <c r="B26" s="243" t="inlineStr">
        <is>
          <t>GP</t>
        </is>
      </c>
      <c r="C26" s="243" t="inlineStr">
        <is>
          <t>Finished</t>
        </is>
      </c>
      <c r="D26" s="251" t="n">
        <v>20</v>
      </c>
      <c r="E26" s="251" t="n">
        <v>2</v>
      </c>
      <c r="F26" s="251" t="n">
        <v>18</v>
      </c>
      <c r="G26" s="251" t="n">
        <v>21.99</v>
      </c>
      <c r="H26" s="243" t="n">
        <v>4</v>
      </c>
      <c r="I26" s="243" t="n">
        <v>17</v>
      </c>
      <c r="J26" s="243" t="inlineStr">
        <is>
          <t>14.83–28.68</t>
        </is>
      </c>
      <c r="K26" s="243" t="inlineStr">
        <is>
          <t>initial result per batch</t>
        </is>
      </c>
      <c r="L26" s="246" t="inlineStr">
        <is>
          <t>14.83 18.29 18.98 19.81 20.79 21.29 21.36 23.79 24.89 25.13 25.24 25.45 25.73 25.97 26.54 28.03 28.68</t>
        </is>
      </c>
    </row>
    <row r="27">
      <c r="A27" s="244" t="inlineStr">
        <is>
          <t>Grape Pie</t>
        </is>
      </c>
      <c r="B27" s="243" t="inlineStr">
        <is>
          <t>GP</t>
        </is>
      </c>
      <c r="C27" s="243" t="inlineStr">
        <is>
          <t>Finished</t>
        </is>
      </c>
      <c r="D27" s="251" t="n">
        <v>24</v>
      </c>
      <c r="E27" s="251" t="n">
        <v>2</v>
      </c>
      <c r="F27" s="251" t="n">
        <v>22</v>
      </c>
      <c r="G27" s="251" t="n">
        <v>25.99</v>
      </c>
      <c r="H27" s="243" t="n">
        <v>4</v>
      </c>
      <c r="I27" s="243" t="n">
        <v>17</v>
      </c>
      <c r="J27" s="243" t="inlineStr">
        <is>
          <t>14.83–28.68</t>
        </is>
      </c>
      <c r="K27" s="243" t="inlineStr">
        <is>
          <t>initial result per batch</t>
        </is>
      </c>
      <c r="L27" s="246" t="inlineStr">
        <is>
          <t>14.83 18.29 18.98 19.81 20.79 21.29 21.36 23.79 24.89 25.13 25.24 25.45 25.73 25.97 26.54 28.03 28.68</t>
        </is>
      </c>
    </row>
    <row r="28">
      <c r="A28" s="244" t="inlineStr">
        <is>
          <t>Grape Pie</t>
        </is>
      </c>
      <c r="B28" s="243" t="inlineStr">
        <is>
          <t>GP</t>
        </is>
      </c>
      <c r="C28" s="243" t="inlineStr">
        <is>
          <t>Finished</t>
        </is>
      </c>
      <c r="D28" s="251" t="n">
        <v>28</v>
      </c>
      <c r="E28" s="251" t="n">
        <v>2</v>
      </c>
      <c r="F28" s="251" t="n">
        <v>26</v>
      </c>
      <c r="G28" s="251" t="n">
        <v>29.99</v>
      </c>
      <c r="H28" s="243" t="n">
        <v>4</v>
      </c>
      <c r="I28" s="243" t="n">
        <v>17</v>
      </c>
      <c r="J28" s="243" t="inlineStr">
        <is>
          <t>14.83–28.68</t>
        </is>
      </c>
      <c r="K28" s="243" t="inlineStr">
        <is>
          <t>initial result per batch</t>
        </is>
      </c>
      <c r="L28" s="246" t="inlineStr">
        <is>
          <t>14.83 18.29 18.98 19.81 20.79 21.29 21.36 23.79 24.89 25.13 25.24 25.45 25.73 25.97 26.54 28.03 28.68</t>
        </is>
      </c>
    </row>
    <row r="29">
      <c r="A29" s="244" t="inlineStr">
        <is>
          <t>Grapes And Cream</t>
        </is>
      </c>
      <c r="B29" s="243" t="inlineStr">
        <is>
          <t>GRC</t>
        </is>
      </c>
      <c r="C29" s="243" t="inlineStr">
        <is>
          <t>Finished</t>
        </is>
      </c>
      <c r="D29" s="251" t="n">
        <v>8</v>
      </c>
      <c r="E29" s="251" t="n">
        <v>0.8</v>
      </c>
      <c r="F29" s="251" t="n">
        <v>7.2</v>
      </c>
      <c r="G29" s="251" t="n">
        <v>8.789999999999999</v>
      </c>
      <c r="H29" s="243" t="n">
        <v>3</v>
      </c>
      <c r="I29" s="243" t="n">
        <v>3</v>
      </c>
      <c r="J29" s="243" t="inlineStr">
        <is>
          <t>7.50–11.53</t>
        </is>
      </c>
      <c r="K29" s="243" t="inlineStr">
        <is>
          <t>all results</t>
        </is>
      </c>
      <c r="L29" s="246" t="inlineStr">
        <is>
          <t>7.50 9.80 11.53</t>
        </is>
      </c>
    </row>
    <row r="30">
      <c r="A30" s="244" t="inlineStr">
        <is>
          <t>Grapes And Cream</t>
        </is>
      </c>
      <c r="B30" s="243" t="inlineStr">
        <is>
          <t>GRC</t>
        </is>
      </c>
      <c r="C30" s="243" t="inlineStr">
        <is>
          <t>Finished</t>
        </is>
      </c>
      <c r="D30" s="251" t="n">
        <v>10</v>
      </c>
      <c r="E30" s="251" t="n">
        <v>1</v>
      </c>
      <c r="F30" s="251" t="n">
        <v>9</v>
      </c>
      <c r="G30" s="251" t="n">
        <v>10.99</v>
      </c>
      <c r="H30" s="243" t="n">
        <v>3</v>
      </c>
      <c r="I30" s="243" t="n">
        <v>3</v>
      </c>
      <c r="J30" s="243" t="inlineStr">
        <is>
          <t>7.50–11.53</t>
        </is>
      </c>
      <c r="K30" s="243" t="inlineStr">
        <is>
          <t>all results</t>
        </is>
      </c>
      <c r="L30" s="246" t="inlineStr">
        <is>
          <t>7.50 9.80 11.53</t>
        </is>
      </c>
    </row>
    <row r="31">
      <c r="A31" s="244" t="inlineStr">
        <is>
          <t>Grapes And Cream</t>
        </is>
      </c>
      <c r="B31" s="243" t="inlineStr">
        <is>
          <t>GRC</t>
        </is>
      </c>
      <c r="C31" s="243" t="inlineStr">
        <is>
          <t>Finished</t>
        </is>
      </c>
      <c r="D31" s="251" t="n">
        <v>12</v>
      </c>
      <c r="E31" s="251" t="n">
        <v>1</v>
      </c>
      <c r="F31" s="251" t="n">
        <v>11</v>
      </c>
      <c r="G31" s="251" t="n">
        <v>12.99</v>
      </c>
      <c r="H31" s="243" t="n">
        <v>3</v>
      </c>
      <c r="I31" s="243" t="n">
        <v>3</v>
      </c>
      <c r="J31" s="243" t="inlineStr">
        <is>
          <t>7.50–11.53</t>
        </is>
      </c>
      <c r="K31" s="243" t="inlineStr">
        <is>
          <t>all results</t>
        </is>
      </c>
      <c r="L31" s="246" t="inlineStr">
        <is>
          <t>7.50 9.80 11.53</t>
        </is>
      </c>
    </row>
    <row r="32">
      <c r="A32" s="244" t="inlineStr">
        <is>
          <t>High Pro Amnesia</t>
        </is>
      </c>
      <c r="B32" s="243" t="inlineStr">
        <is>
          <t>HPA</t>
        </is>
      </c>
      <c r="C32" s="243" t="inlineStr">
        <is>
          <t>Finished</t>
        </is>
      </c>
      <c r="D32" s="251" t="n">
        <v>15</v>
      </c>
      <c r="E32" s="251" t="n">
        <v>1.2</v>
      </c>
      <c r="F32" s="251" t="n">
        <v>13.8</v>
      </c>
      <c r="G32" s="251" t="n">
        <v>16.19</v>
      </c>
      <c r="H32" s="243" t="n">
        <v>3</v>
      </c>
      <c r="I32" s="243" t="n">
        <v>6</v>
      </c>
      <c r="J32" s="243" t="inlineStr">
        <is>
          <t>14.97–22.43</t>
        </is>
      </c>
      <c r="K32" s="243" t="inlineStr">
        <is>
          <t>all results</t>
        </is>
      </c>
      <c r="L32" s="246" t="inlineStr">
        <is>
          <t>14.97 17.31 19.69 20.39 21.61 22.43</t>
        </is>
      </c>
    </row>
    <row r="33">
      <c r="A33" s="244" t="inlineStr">
        <is>
          <t>High Pro Amnesia</t>
        </is>
      </c>
      <c r="B33" s="243" t="inlineStr">
        <is>
          <t>HPA</t>
        </is>
      </c>
      <c r="C33" s="243" t="inlineStr">
        <is>
          <t>Finished</t>
        </is>
      </c>
      <c r="D33" s="251" t="n">
        <v>18</v>
      </c>
      <c r="E33" s="251" t="n">
        <v>1.8</v>
      </c>
      <c r="F33" s="251" t="n">
        <v>16.2</v>
      </c>
      <c r="G33" s="251" t="n">
        <v>19.79</v>
      </c>
      <c r="H33" s="243" t="n">
        <v>3</v>
      </c>
      <c r="I33" s="243" t="n">
        <v>6</v>
      </c>
      <c r="J33" s="243" t="inlineStr">
        <is>
          <t>14.97–22.43</t>
        </is>
      </c>
      <c r="K33" s="243" t="inlineStr">
        <is>
          <t>all results</t>
        </is>
      </c>
      <c r="L33" s="246" t="inlineStr">
        <is>
          <t>14.97 17.31 19.69 20.39 21.61 22.43</t>
        </is>
      </c>
    </row>
    <row r="34">
      <c r="A34" s="244" t="inlineStr">
        <is>
          <t>High Pro Amnesia</t>
        </is>
      </c>
      <c r="B34" s="243" t="inlineStr">
        <is>
          <t>HPA</t>
        </is>
      </c>
      <c r="C34" s="243" t="inlineStr">
        <is>
          <t>Finished</t>
        </is>
      </c>
      <c r="D34" s="251" t="n">
        <v>22</v>
      </c>
      <c r="E34" s="251" t="n">
        <v>2.2</v>
      </c>
      <c r="F34" s="251" t="n">
        <v>19.8</v>
      </c>
      <c r="G34" s="251" t="n">
        <v>24.19</v>
      </c>
      <c r="H34" s="243" t="n">
        <v>3</v>
      </c>
      <c r="I34" s="243" t="n">
        <v>6</v>
      </c>
      <c r="J34" s="243" t="inlineStr">
        <is>
          <t>14.97–22.43</t>
        </is>
      </c>
      <c r="K34" s="243" t="inlineStr">
        <is>
          <t>all results</t>
        </is>
      </c>
      <c r="L34" s="246" t="inlineStr">
        <is>
          <t>14.97 17.31 19.69 20.39 21.61 22.43</t>
        </is>
      </c>
    </row>
    <row r="35">
      <c r="A35" s="244" t="inlineStr">
        <is>
          <t>Jelly Donuts</t>
        </is>
      </c>
      <c r="B35" s="243" t="inlineStr">
        <is>
          <t>JD</t>
        </is>
      </c>
      <c r="C35" s="243" t="inlineStr">
        <is>
          <t>Finished</t>
        </is>
      </c>
      <c r="D35" s="251" t="n">
        <v>15</v>
      </c>
      <c r="E35" s="251" t="n">
        <v>1.2</v>
      </c>
      <c r="F35" s="251" t="n">
        <v>13.8</v>
      </c>
      <c r="G35" s="251" t="n">
        <v>16.19</v>
      </c>
      <c r="H35" s="243" t="n">
        <v>3</v>
      </c>
      <c r="I35" s="243" t="n">
        <v>11</v>
      </c>
      <c r="J35" s="243" t="inlineStr">
        <is>
          <t>13.93–21.01</t>
        </is>
      </c>
      <c r="K35" s="243" t="inlineStr">
        <is>
          <t>all results</t>
        </is>
      </c>
      <c r="L35" s="246" t="inlineStr">
        <is>
          <t>13.93 14.43 15.16 17.09 18.16 18.58 19.64 19.99 20.32 20.54 21.01</t>
        </is>
      </c>
    </row>
    <row r="36">
      <c r="A36" s="244" t="inlineStr">
        <is>
          <t>Jelly Donuts</t>
        </is>
      </c>
      <c r="B36" s="243" t="inlineStr">
        <is>
          <t>JD</t>
        </is>
      </c>
      <c r="C36" s="243" t="inlineStr">
        <is>
          <t>Finished</t>
        </is>
      </c>
      <c r="D36" s="251" t="n">
        <v>18</v>
      </c>
      <c r="E36" s="251" t="n">
        <v>1.8</v>
      </c>
      <c r="F36" s="251" t="n">
        <v>16.2</v>
      </c>
      <c r="G36" s="251" t="n">
        <v>19.79</v>
      </c>
      <c r="H36" s="243" t="n">
        <v>3</v>
      </c>
      <c r="I36" s="243" t="n">
        <v>11</v>
      </c>
      <c r="J36" s="243" t="inlineStr">
        <is>
          <t>13.93–21.01</t>
        </is>
      </c>
      <c r="K36" s="243" t="inlineStr">
        <is>
          <t>all results</t>
        </is>
      </c>
      <c r="L36" s="246" t="inlineStr">
        <is>
          <t>13.93 14.43 15.16 17.09 18.16 18.58 19.64 19.99 20.32 20.54 21.01</t>
        </is>
      </c>
    </row>
    <row r="37">
      <c r="A37" s="244" t="inlineStr">
        <is>
          <t>Jelly Donuts</t>
        </is>
      </c>
      <c r="B37" s="243" t="inlineStr">
        <is>
          <t>JD</t>
        </is>
      </c>
      <c r="C37" s="243" t="inlineStr">
        <is>
          <t>Finished</t>
        </is>
      </c>
      <c r="D37" s="251" t="n">
        <v>22</v>
      </c>
      <c r="E37" s="251" t="n">
        <v>2.2</v>
      </c>
      <c r="F37" s="251" t="n">
        <v>19.8</v>
      </c>
      <c r="G37" s="251" t="n">
        <v>24.19</v>
      </c>
      <c r="H37" s="243" t="n">
        <v>3</v>
      </c>
      <c r="I37" s="243" t="n">
        <v>11</v>
      </c>
      <c r="J37" s="243" t="inlineStr">
        <is>
          <t>13.93–21.01</t>
        </is>
      </c>
      <c r="K37" s="243" t="inlineStr">
        <is>
          <t>all results</t>
        </is>
      </c>
      <c r="L37" s="246" t="inlineStr">
        <is>
          <t>13.93 14.43 15.16 17.09 18.16 18.58 19.64 19.99 20.32 20.54 21.01</t>
        </is>
      </c>
    </row>
    <row r="38">
      <c r="A38" s="244" t="inlineStr">
        <is>
          <t>Jokerz 31</t>
        </is>
      </c>
      <c r="B38" s="243" t="inlineStr">
        <is>
          <t>J31</t>
        </is>
      </c>
      <c r="C38" s="243" t="inlineStr">
        <is>
          <t>Finished</t>
        </is>
      </c>
      <c r="D38" s="251" t="n">
        <v>18</v>
      </c>
      <c r="E38" s="251" t="n">
        <v>1.8</v>
      </c>
      <c r="F38" s="251" t="n">
        <v>16.2</v>
      </c>
      <c r="G38" s="251" t="n">
        <v>19.79</v>
      </c>
      <c r="H38" s="243" t="n">
        <v>3</v>
      </c>
      <c r="I38" s="243" t="n">
        <v>8</v>
      </c>
      <c r="J38" s="243" t="inlineStr">
        <is>
          <t>17.32–25.27</t>
        </is>
      </c>
      <c r="K38" s="243" t="inlineStr">
        <is>
          <t>all results</t>
        </is>
      </c>
      <c r="L38" s="246" t="inlineStr">
        <is>
          <t>17.32 19.14 19.84 20.21 21.84 23.85 24.48 25.27</t>
        </is>
      </c>
    </row>
    <row r="39">
      <c r="A39" s="244" t="inlineStr">
        <is>
          <t>Jokerz 31</t>
        </is>
      </c>
      <c r="B39" s="243" t="inlineStr">
        <is>
          <t>J31</t>
        </is>
      </c>
      <c r="C39" s="243" t="inlineStr">
        <is>
          <t>Finished</t>
        </is>
      </c>
      <c r="D39" s="251" t="n">
        <v>22</v>
      </c>
      <c r="E39" s="251" t="n">
        <v>2.2</v>
      </c>
      <c r="F39" s="251" t="n">
        <v>19.8</v>
      </c>
      <c r="G39" s="251" t="n">
        <v>24.19</v>
      </c>
      <c r="H39" s="243" t="n">
        <v>3</v>
      </c>
      <c r="I39" s="243" t="n">
        <v>8</v>
      </c>
      <c r="J39" s="243" t="inlineStr">
        <is>
          <t>17.32–25.27</t>
        </is>
      </c>
      <c r="K39" s="243" t="inlineStr">
        <is>
          <t>all results</t>
        </is>
      </c>
      <c r="L39" s="246" t="inlineStr">
        <is>
          <t>17.32 19.14 19.84 20.21 21.84 23.85 24.48 25.27</t>
        </is>
      </c>
    </row>
    <row r="40">
      <c r="A40" s="244" t="inlineStr">
        <is>
          <t>Jokerz 31</t>
        </is>
      </c>
      <c r="B40" s="243" t="inlineStr">
        <is>
          <t>J31</t>
        </is>
      </c>
      <c r="C40" s="243" t="inlineStr">
        <is>
          <t>Finished</t>
        </is>
      </c>
      <c r="D40" s="251" t="n">
        <v>26</v>
      </c>
      <c r="E40" s="251" t="n">
        <v>1.8</v>
      </c>
      <c r="F40" s="251" t="n">
        <v>24.2</v>
      </c>
      <c r="G40" s="251" t="n">
        <v>27.79</v>
      </c>
      <c r="H40" s="243" t="n">
        <v>3</v>
      </c>
      <c r="I40" s="243" t="n">
        <v>8</v>
      </c>
      <c r="J40" s="243" t="inlineStr">
        <is>
          <t>17.32–25.27</t>
        </is>
      </c>
      <c r="K40" s="243" t="inlineStr">
        <is>
          <t>all results</t>
        </is>
      </c>
      <c r="L40" s="246" t="inlineStr">
        <is>
          <t>17.32 19.14 19.84 20.21 21.84 23.85 24.48 25.27</t>
        </is>
      </c>
    </row>
    <row r="41">
      <c r="A41" s="244" t="inlineStr">
        <is>
          <t>Kush Crasher</t>
        </is>
      </c>
      <c r="B41" s="243" t="inlineStr">
        <is>
          <t>KC</t>
        </is>
      </c>
      <c r="C41" s="243" t="inlineStr">
        <is>
          <t>Finished</t>
        </is>
      </c>
      <c r="D41" s="251" t="n">
        <v>18</v>
      </c>
      <c r="E41" s="251" t="n">
        <v>1.8</v>
      </c>
      <c r="F41" s="251" t="n">
        <v>16.2</v>
      </c>
      <c r="G41" s="251" t="n">
        <v>19.79</v>
      </c>
      <c r="H41" s="243" t="n">
        <v>1</v>
      </c>
      <c r="I41" s="243" t="n">
        <v>1</v>
      </c>
      <c r="J41" s="243" t="inlineStr">
        <is>
          <t>17.04–17.04</t>
        </is>
      </c>
      <c r="K41" s="243" t="inlineStr">
        <is>
          <t>all results</t>
        </is>
      </c>
      <c r="L41" s="246" t="inlineStr">
        <is>
          <t>17.04</t>
        </is>
      </c>
    </row>
    <row r="42">
      <c r="A42" s="244" t="inlineStr">
        <is>
          <t>Motor Breath</t>
        </is>
      </c>
      <c r="B42" s="243" t="inlineStr">
        <is>
          <t>MB</t>
        </is>
      </c>
      <c r="C42" s="243" t="inlineStr">
        <is>
          <t>Finished</t>
        </is>
      </c>
      <c r="D42" s="251" t="n">
        <v>18</v>
      </c>
      <c r="E42" s="251" t="n">
        <v>1.8</v>
      </c>
      <c r="F42" s="251" t="n">
        <v>16.2</v>
      </c>
      <c r="G42" s="251" t="n">
        <v>19.79</v>
      </c>
      <c r="H42" s="243" t="n">
        <v>1</v>
      </c>
      <c r="I42" s="243" t="n">
        <v>4</v>
      </c>
      <c r="J42" s="243" t="inlineStr">
        <is>
          <t>16.82–18.67</t>
        </is>
      </c>
      <c r="K42" s="243" t="inlineStr">
        <is>
          <t>all results</t>
        </is>
      </c>
      <c r="L42" s="246" t="inlineStr">
        <is>
          <t>16.82 17.57 17.93 18.67</t>
        </is>
      </c>
    </row>
    <row r="43">
      <c r="A43" s="244" t="inlineStr">
        <is>
          <t>Orange Punch Mimosa</t>
        </is>
      </c>
      <c r="B43" s="243" t="inlineStr">
        <is>
          <t>OPM</t>
        </is>
      </c>
      <c r="C43" s="243" t="inlineStr">
        <is>
          <t>Finished</t>
        </is>
      </c>
      <c r="D43" s="251" t="n">
        <v>8</v>
      </c>
      <c r="E43" s="251" t="n">
        <v>0.8</v>
      </c>
      <c r="F43" s="251" t="n">
        <v>7.2</v>
      </c>
      <c r="G43" s="251" t="n">
        <v>8.789999999999999</v>
      </c>
      <c r="H43" s="243" t="n">
        <v>5</v>
      </c>
      <c r="I43" s="243" t="n">
        <v>15</v>
      </c>
      <c r="J43" s="243" t="inlineStr">
        <is>
          <t>7.91–20.03</t>
        </is>
      </c>
      <c r="K43" s="243" t="inlineStr">
        <is>
          <t>all results</t>
        </is>
      </c>
      <c r="L43" s="246" t="inlineStr">
        <is>
          <t>7.91 8.00 8.09 9.43 9.73 14.16 15.38 16.55 17.83 18.04 18.27 18.99 19.30 19.96 20.03</t>
        </is>
      </c>
    </row>
    <row r="44">
      <c r="A44" s="244" t="inlineStr">
        <is>
          <t>Orange Punch Mimosa</t>
        </is>
      </c>
      <c r="B44" s="243" t="inlineStr">
        <is>
          <t>OPM</t>
        </is>
      </c>
      <c r="C44" s="243" t="inlineStr">
        <is>
          <t>Finished</t>
        </is>
      </c>
      <c r="D44" s="251" t="n">
        <v>10</v>
      </c>
      <c r="E44" s="251" t="n">
        <v>1</v>
      </c>
      <c r="F44" s="251" t="n">
        <v>9</v>
      </c>
      <c r="G44" s="251" t="n">
        <v>10.99</v>
      </c>
      <c r="H44" s="243" t="n">
        <v>5</v>
      </c>
      <c r="I44" s="243" t="n">
        <v>15</v>
      </c>
      <c r="J44" s="243" t="inlineStr">
        <is>
          <t>7.91–20.03</t>
        </is>
      </c>
      <c r="K44" s="243" t="inlineStr">
        <is>
          <t>all results</t>
        </is>
      </c>
      <c r="L44" s="246" t="inlineStr">
        <is>
          <t>7.91 8.00 8.09 9.43 9.73 14.16 15.38 16.55 17.83 18.04 18.27 18.99 19.30 19.96 20.03</t>
        </is>
      </c>
    </row>
    <row r="45">
      <c r="A45" s="244" t="inlineStr">
        <is>
          <t>Orange Punch Mimosa</t>
        </is>
      </c>
      <c r="B45" s="243" t="inlineStr">
        <is>
          <t>OPM</t>
        </is>
      </c>
      <c r="C45" s="243" t="inlineStr">
        <is>
          <t>Finished</t>
        </is>
      </c>
      <c r="D45" s="251" t="n">
        <v>14</v>
      </c>
      <c r="E45" s="251" t="n">
        <v>1.4</v>
      </c>
      <c r="F45" s="251" t="n">
        <v>12.6</v>
      </c>
      <c r="G45" s="251" t="n">
        <v>15.39</v>
      </c>
      <c r="H45" s="243" t="n">
        <v>5</v>
      </c>
      <c r="I45" s="243" t="n">
        <v>15</v>
      </c>
      <c r="J45" s="243" t="inlineStr">
        <is>
          <t>7.91–20.03</t>
        </is>
      </c>
      <c r="K45" s="243" t="inlineStr">
        <is>
          <t>all results</t>
        </is>
      </c>
      <c r="L45" s="246" t="inlineStr">
        <is>
          <t>7.91 8.00 8.09 9.43 9.73 14.16 15.38 16.55 17.83 18.04 18.27 18.99 19.30 19.96 20.03</t>
        </is>
      </c>
    </row>
    <row r="46">
      <c r="A46" s="244" t="inlineStr">
        <is>
          <t>Orange Punch Mimosa</t>
        </is>
      </c>
      <c r="B46" s="243" t="inlineStr">
        <is>
          <t>OPM</t>
        </is>
      </c>
      <c r="C46" s="243" t="inlineStr">
        <is>
          <t>Finished</t>
        </is>
      </c>
      <c r="D46" s="251" t="n">
        <v>17</v>
      </c>
      <c r="E46" s="251" t="n">
        <v>1.6</v>
      </c>
      <c r="F46" s="251" t="n">
        <v>15.4</v>
      </c>
      <c r="G46" s="251" t="n">
        <v>18.59</v>
      </c>
      <c r="H46" s="243" t="n">
        <v>5</v>
      </c>
      <c r="I46" s="243" t="n">
        <v>15</v>
      </c>
      <c r="J46" s="243" t="inlineStr">
        <is>
          <t>7.91–20.03</t>
        </is>
      </c>
      <c r="K46" s="243" t="inlineStr">
        <is>
          <t>all results</t>
        </is>
      </c>
      <c r="L46" s="246" t="inlineStr">
        <is>
          <t>7.91 8.00 8.09 9.43 9.73 14.16 15.38 16.55 17.83 18.04 18.27 18.99 19.30 19.96 20.03</t>
        </is>
      </c>
    </row>
    <row r="47">
      <c r="A47" s="244" t="inlineStr">
        <is>
          <t>Orange Punch Mimosa</t>
        </is>
      </c>
      <c r="B47" s="243" t="inlineStr">
        <is>
          <t>OPM</t>
        </is>
      </c>
      <c r="C47" s="243" t="inlineStr">
        <is>
          <t>Finished</t>
        </is>
      </c>
      <c r="D47" s="251" t="n">
        <v>20</v>
      </c>
      <c r="E47" s="251" t="n">
        <v>1.4</v>
      </c>
      <c r="F47" s="251" t="n">
        <v>18.6</v>
      </c>
      <c r="G47" s="251" t="n">
        <v>21.39</v>
      </c>
      <c r="H47" s="243" t="n">
        <v>5</v>
      </c>
      <c r="I47" s="243" t="n">
        <v>15</v>
      </c>
      <c r="J47" s="243" t="inlineStr">
        <is>
          <t>7.91–20.03</t>
        </is>
      </c>
      <c r="K47" s="243" t="inlineStr">
        <is>
          <t>all results</t>
        </is>
      </c>
      <c r="L47" s="246" t="inlineStr">
        <is>
          <t>7.91 8.00 8.09 9.43 9.73 14.16 15.38 16.55 17.83 18.04 18.27 18.99 19.30 19.96 20.03</t>
        </is>
      </c>
    </row>
    <row r="48">
      <c r="A48" s="244" t="inlineStr">
        <is>
          <t>Permanent Marker</t>
        </is>
      </c>
      <c r="B48" s="243" t="inlineStr">
        <is>
          <t>PM</t>
        </is>
      </c>
      <c r="C48" s="243" t="inlineStr">
        <is>
          <t>Finished</t>
        </is>
      </c>
      <c r="D48" s="251" t="n">
        <v>10</v>
      </c>
      <c r="E48" s="251" t="n">
        <v>1</v>
      </c>
      <c r="F48" s="251" t="n">
        <v>9</v>
      </c>
      <c r="G48" s="251" t="n">
        <v>10.99</v>
      </c>
      <c r="H48" s="243" t="n">
        <v>3</v>
      </c>
      <c r="I48" s="243" t="n">
        <v>6</v>
      </c>
      <c r="J48" s="243" t="inlineStr">
        <is>
          <t>10.01–14.06</t>
        </is>
      </c>
      <c r="K48" s="243" t="inlineStr">
        <is>
          <t>all results</t>
        </is>
      </c>
      <c r="L48" s="246" t="inlineStr">
        <is>
          <t>10.01 10.79 12.25 12.77 13.33 14.06</t>
        </is>
      </c>
    </row>
    <row r="49">
      <c r="A49" s="244" t="inlineStr">
        <is>
          <t>Permanent Marker</t>
        </is>
      </c>
      <c r="B49" s="243" t="inlineStr">
        <is>
          <t>PM</t>
        </is>
      </c>
      <c r="C49" s="243" t="inlineStr">
        <is>
          <t>Finished</t>
        </is>
      </c>
      <c r="D49" s="251" t="n">
        <v>12</v>
      </c>
      <c r="E49" s="251" t="n">
        <v>1</v>
      </c>
      <c r="F49" s="251" t="n">
        <v>11</v>
      </c>
      <c r="G49" s="251" t="n">
        <v>12.99</v>
      </c>
      <c r="H49" s="243" t="n">
        <v>3</v>
      </c>
      <c r="I49" s="243" t="n">
        <v>6</v>
      </c>
      <c r="J49" s="243" t="inlineStr">
        <is>
          <t>10.01–14.06</t>
        </is>
      </c>
      <c r="K49" s="243" t="inlineStr">
        <is>
          <t>all results</t>
        </is>
      </c>
      <c r="L49" s="246" t="inlineStr">
        <is>
          <t>10.01 10.79 12.25 12.77 13.33 14.06</t>
        </is>
      </c>
    </row>
    <row r="50">
      <c r="A50" s="244" t="inlineStr">
        <is>
          <t>Permanent Marker</t>
        </is>
      </c>
      <c r="B50" s="243" t="inlineStr">
        <is>
          <t>PM</t>
        </is>
      </c>
      <c r="C50" s="243" t="inlineStr">
        <is>
          <t>Finished</t>
        </is>
      </c>
      <c r="D50" s="251" t="n">
        <v>14</v>
      </c>
      <c r="E50" s="251" t="n">
        <v>1</v>
      </c>
      <c r="F50" s="251" t="n">
        <v>13</v>
      </c>
      <c r="G50" s="251" t="n">
        <v>14.99</v>
      </c>
      <c r="H50" s="243" t="n">
        <v>3</v>
      </c>
      <c r="I50" s="243" t="n">
        <v>6</v>
      </c>
      <c r="J50" s="243" t="inlineStr">
        <is>
          <t>10.01–14.06</t>
        </is>
      </c>
      <c r="K50" s="243" t="inlineStr">
        <is>
          <t>all results</t>
        </is>
      </c>
      <c r="L50" s="246" t="inlineStr">
        <is>
          <t>10.01 10.79 12.25 12.77 13.33 14.06</t>
        </is>
      </c>
    </row>
    <row r="51">
      <c r="A51" s="244" t="inlineStr">
        <is>
          <t>Pure Michigen</t>
        </is>
      </c>
      <c r="B51" s="243" t="inlineStr">
        <is>
          <t>PUM</t>
        </is>
      </c>
      <c r="C51" s="243" t="inlineStr">
        <is>
          <t>Finished</t>
        </is>
      </c>
      <c r="D51" s="251" t="n">
        <v>14</v>
      </c>
      <c r="E51" s="251" t="n">
        <v>1.4</v>
      </c>
      <c r="F51" s="251" t="n">
        <v>12.6</v>
      </c>
      <c r="G51" s="251" t="n">
        <v>15.39</v>
      </c>
      <c r="H51" s="243" t="n">
        <v>1</v>
      </c>
      <c r="I51" s="243" t="n">
        <v>1</v>
      </c>
      <c r="J51" s="243" t="inlineStr">
        <is>
          <t>13.95–13.95</t>
        </is>
      </c>
      <c r="K51" s="243" t="inlineStr">
        <is>
          <t>all results</t>
        </is>
      </c>
      <c r="L51" s="246" t="inlineStr">
        <is>
          <t>13.95</t>
        </is>
      </c>
    </row>
    <row r="52">
      <c r="A52" s="244" t="inlineStr">
        <is>
          <t>Scrambler</t>
        </is>
      </c>
      <c r="B52" s="243" t="inlineStr">
        <is>
          <t>SCR</t>
        </is>
      </c>
      <c r="C52" s="243" t="inlineStr">
        <is>
          <t>Finished</t>
        </is>
      </c>
      <c r="D52" s="251" t="n">
        <v>18</v>
      </c>
      <c r="E52" s="251" t="n">
        <v>1.8</v>
      </c>
      <c r="F52" s="251" t="n">
        <v>16.2</v>
      </c>
      <c r="G52" s="251" t="n">
        <v>19.79</v>
      </c>
      <c r="H52" s="243" t="n">
        <v>2</v>
      </c>
      <c r="I52" s="243" t="n">
        <v>6</v>
      </c>
      <c r="J52" s="243" t="inlineStr">
        <is>
          <t>16.68–22.40</t>
        </is>
      </c>
      <c r="K52" s="243" t="inlineStr">
        <is>
          <t>all results</t>
        </is>
      </c>
      <c r="L52" s="246" t="inlineStr">
        <is>
          <t>16.68 17.13 17.84 19.73 21.92 22.40</t>
        </is>
      </c>
    </row>
    <row r="53">
      <c r="A53" s="244" t="inlineStr">
        <is>
          <t>Scrambler</t>
        </is>
      </c>
      <c r="B53" s="243" t="inlineStr">
        <is>
          <t>SCR</t>
        </is>
      </c>
      <c r="C53" s="243" t="inlineStr">
        <is>
          <t>Finished</t>
        </is>
      </c>
      <c r="D53" s="251" t="n">
        <v>22</v>
      </c>
      <c r="E53" s="251" t="n">
        <v>2.2</v>
      </c>
      <c r="F53" s="251" t="n">
        <v>19.8</v>
      </c>
      <c r="G53" s="251" t="n">
        <v>24.19</v>
      </c>
      <c r="H53" s="243" t="n">
        <v>2</v>
      </c>
      <c r="I53" s="243" t="n">
        <v>6</v>
      </c>
      <c r="J53" s="243" t="inlineStr">
        <is>
          <t>16.68–22.40</t>
        </is>
      </c>
      <c r="K53" s="243" t="inlineStr">
        <is>
          <t>all results</t>
        </is>
      </c>
      <c r="L53" s="246" t="inlineStr">
        <is>
          <t>16.68 17.13 17.84 19.73 21.92 22.40</t>
        </is>
      </c>
    </row>
    <row r="54">
      <c r="A54" s="244" t="inlineStr">
        <is>
          <t>Sleepy Joe</t>
        </is>
      </c>
      <c r="B54" s="243" t="inlineStr">
        <is>
          <t>SJ</t>
        </is>
      </c>
      <c r="C54" s="243" t="inlineStr">
        <is>
          <t>Finished</t>
        </is>
      </c>
      <c r="D54" s="251" t="n">
        <v>10</v>
      </c>
      <c r="E54" s="251" t="n">
        <v>1</v>
      </c>
      <c r="F54" s="251" t="n">
        <v>9</v>
      </c>
      <c r="G54" s="251" t="n">
        <v>10.99</v>
      </c>
      <c r="H54" s="243" t="n">
        <v>2</v>
      </c>
      <c r="I54" s="243" t="n">
        <v>5</v>
      </c>
      <c r="J54" s="243" t="inlineStr">
        <is>
          <t>9.20–11.27</t>
        </is>
      </c>
      <c r="K54" s="243" t="inlineStr">
        <is>
          <t>all results</t>
        </is>
      </c>
      <c r="L54" s="246" t="inlineStr">
        <is>
          <t>9.20 10.61 10.96 11.20 11.27</t>
        </is>
      </c>
    </row>
    <row r="55">
      <c r="A55" s="244" t="inlineStr">
        <is>
          <t>Sleepy Joe</t>
        </is>
      </c>
      <c r="B55" s="243" t="inlineStr">
        <is>
          <t>SJ</t>
        </is>
      </c>
      <c r="C55" s="243" t="inlineStr">
        <is>
          <t>Finished</t>
        </is>
      </c>
      <c r="D55" s="251" t="n">
        <v>12</v>
      </c>
      <c r="E55" s="251" t="n">
        <v>1</v>
      </c>
      <c r="F55" s="251" t="n">
        <v>11</v>
      </c>
      <c r="G55" s="251" t="n">
        <v>12.99</v>
      </c>
      <c r="H55" s="243" t="n">
        <v>2</v>
      </c>
      <c r="I55" s="243" t="n">
        <v>5</v>
      </c>
      <c r="J55" s="243" t="inlineStr">
        <is>
          <t>9.20–11.27</t>
        </is>
      </c>
      <c r="K55" s="243" t="inlineStr">
        <is>
          <t>all results</t>
        </is>
      </c>
      <c r="L55" s="246" t="inlineStr">
        <is>
          <t>9.20 10.61 10.96 11.20 11.27</t>
        </is>
      </c>
    </row>
    <row r="56">
      <c r="A56" s="244" t="inlineStr">
        <is>
          <t>Wedding Crusher</t>
        </is>
      </c>
      <c r="B56" s="243" t="inlineStr">
        <is>
          <t>WC</t>
        </is>
      </c>
      <c r="C56" s="243" t="inlineStr">
        <is>
          <t>Finished</t>
        </is>
      </c>
      <c r="D56" s="251" t="n">
        <v>22</v>
      </c>
      <c r="E56" s="251" t="n">
        <v>1.4</v>
      </c>
      <c r="F56" s="251" t="n">
        <v>20.6</v>
      </c>
      <c r="G56" s="251" t="n">
        <v>23.39</v>
      </c>
      <c r="H56" s="243" t="n">
        <v>2</v>
      </c>
      <c r="I56" s="243" t="n">
        <v>4</v>
      </c>
      <c r="J56" s="243" t="inlineStr">
        <is>
          <t>21.67–25.37</t>
        </is>
      </c>
      <c r="K56" s="243" t="inlineStr">
        <is>
          <t>all results</t>
        </is>
      </c>
      <c r="L56" s="246" t="inlineStr">
        <is>
          <t>21.67 22.11 23.48 25.37</t>
        </is>
      </c>
    </row>
    <row r="57">
      <c r="A57" s="244" t="inlineStr">
        <is>
          <t>Wedding Crusher</t>
        </is>
      </c>
      <c r="B57" s="243" t="inlineStr">
        <is>
          <t>WC</t>
        </is>
      </c>
      <c r="C57" s="243" t="inlineStr">
        <is>
          <t>Finished</t>
        </is>
      </c>
      <c r="D57" s="251" t="n">
        <v>26</v>
      </c>
      <c r="E57" s="251" t="n">
        <v>2.6</v>
      </c>
      <c r="F57" s="251" t="n">
        <v>23.4</v>
      </c>
      <c r="G57" s="251" t="n">
        <v>28.59</v>
      </c>
      <c r="H57" s="243" t="n">
        <v>2</v>
      </c>
      <c r="I57" s="243" t="n">
        <v>4</v>
      </c>
      <c r="J57" s="243" t="inlineStr">
        <is>
          <t>21.67–25.37</t>
        </is>
      </c>
      <c r="K57" s="243" t="inlineStr">
        <is>
          <t>all results</t>
        </is>
      </c>
      <c r="L57" s="246" t="inlineStr">
        <is>
          <t>21.67 22.11 23.48 25.37</t>
        </is>
      </c>
    </row>
    <row r="58">
      <c r="A58" s="244" t="inlineStr">
        <is>
          <t>Wedding Cake</t>
        </is>
      </c>
      <c r="B58" s="243" t="inlineStr">
        <is>
          <t>WED</t>
        </is>
      </c>
      <c r="C58" s="243" t="inlineStr">
        <is>
          <t>Finished</t>
        </is>
      </c>
      <c r="D58" s="251" t="n">
        <v>26</v>
      </c>
      <c r="E58" s="251" t="n">
        <v>2.6</v>
      </c>
      <c r="F58" s="251" t="n">
        <v>23.4</v>
      </c>
      <c r="G58" s="251" t="n">
        <v>28.59</v>
      </c>
      <c r="H58" s="243" t="n">
        <v>1</v>
      </c>
      <c r="I58" s="243" t="n">
        <v>1</v>
      </c>
      <c r="J58" s="243" t="inlineStr">
        <is>
          <t>25.15–25.15</t>
        </is>
      </c>
      <c r="K58" s="243" t="inlineStr">
        <is>
          <t>all results</t>
        </is>
      </c>
      <c r="L58" s="246" t="inlineStr">
        <is>
          <t>25.15</t>
        </is>
      </c>
    </row>
    <row r="60" ht="60" customHeight="1" s="70">
      <c r="A60" s="242" t="inlineStr">
        <is>
          <t>Head of QC, 15.09.2026: the potency grades per strain as the potency specification of 15.09.2026 prints them (Potency_specifications_233.pdf, Drive id 1NEZSRNPt5GtPvUfpi1dotAG9dkorEAGn; starting nominals QCSP 001 v.03, results CoQ_Analysis_Master_v25; text layer read by potency_grades.py, one row per strain and grade). The specification window is nominal ± tolerance as printed; the measured results are the page's own list, in the page's own order, and 'Basis' says whether every result or the initial result per batch was used. A lot's grade on its certificate of quality is the window its Total Δ9-THC result falls in.</t>
        </is>
      </c>
    </row>
  </sheetData>
  <autoFilter ref="A1:L58"/>
  <mergeCells count="1">
    <mergeCell ref="A60:L60"/>
  </mergeCells>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DR17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22" customWidth="1" style="70" min="3" max="3"/>
    <col width="12" customWidth="1" style="70" min="4" max="4"/>
    <col width="24" customWidth="1" style="70" min="5" max="5"/>
    <col width="16" customWidth="1" style="70" min="6" max="6"/>
    <col width="16" customWidth="1" style="70" min="7" max="7"/>
    <col width="12" customWidth="1" style="70" min="8" max="8"/>
    <col width="18" customWidth="1" style="70" min="9" max="9"/>
    <col width="18" customWidth="1" style="70" min="10" max="10"/>
    <col width="18" customWidth="1" style="70" min="11" max="11"/>
    <col width="12" customWidth="1" style="70" min="12" max="12"/>
    <col width="12" customWidth="1" style="70" min="13" max="13"/>
    <col width="15" customWidth="1" style="70" min="14" max="14"/>
    <col width="11" customWidth="1" style="70" min="15" max="15"/>
    <col width="11" customWidth="1" style="70" min="16" max="16"/>
    <col width="12" customWidth="1" style="70" min="17" max="17"/>
    <col width="10" customWidth="1" style="70" min="18" max="18"/>
    <col width="14" customWidth="1" style="70" min="19" max="19"/>
    <col width="6" customWidth="1" style="70" min="20" max="20"/>
    <col width="18" customWidth="1" style="70" min="21" max="21"/>
    <col width="18" customWidth="1" style="70" min="22" max="22"/>
    <col width="22" customWidth="1" style="70" min="23" max="23"/>
    <col width="40" customWidth="1" style="70" min="24" max="24"/>
    <col width="12" customWidth="1" style="70" min="25" max="25"/>
    <col width="10" customWidth="1" style="70" min="26" max="26"/>
    <col width="16" customWidth="1" style="70" min="27" max="27"/>
    <col width="14" customWidth="1" style="70" min="28" max="28"/>
    <col width="40" customWidth="1" style="70" min="29" max="29"/>
    <col width="12" customWidth="1" style="70" min="30" max="30"/>
    <col width="14" customWidth="1" style="70" min="31" max="31"/>
    <col width="16" customWidth="1" style="70" min="32" max="32"/>
    <col width="11" customWidth="1" style="70" min="33" max="33"/>
    <col width="24" customWidth="1" style="70" min="34" max="34"/>
    <col width="14" customWidth="1" style="70" min="35" max="35"/>
    <col width="16" customWidth="1" style="70" min="36" max="36"/>
    <col width="11" customWidth="1" style="70" min="37" max="37"/>
    <col width="24" customWidth="1" style="70" min="38" max="38"/>
    <col width="14" customWidth="1" style="70" min="39" max="39"/>
    <col width="16" customWidth="1" style="70" min="40" max="40"/>
    <col width="11" customWidth="1" style="70" min="41" max="41"/>
    <col width="24" customWidth="1" style="70" min="42" max="42"/>
    <col width="14" customWidth="1" style="70" min="43" max="43"/>
    <col width="16" customWidth="1" style="70" min="44" max="44"/>
    <col width="11" customWidth="1" style="70" min="45" max="45"/>
    <col width="24" customWidth="1" style="70" min="46" max="46"/>
    <col width="14" customWidth="1" style="70" min="47" max="47"/>
    <col width="16" customWidth="1" style="70" min="48" max="48"/>
    <col width="11" customWidth="1" style="70" min="49" max="49"/>
    <col width="24" customWidth="1" style="70" min="50" max="50"/>
    <col width="14" customWidth="1" style="70" min="51" max="51"/>
    <col width="16" customWidth="1" style="70" min="52" max="52"/>
    <col width="11" customWidth="1" style="70" min="53" max="53"/>
    <col width="24" customWidth="1" style="70" min="54" max="54"/>
    <col width="14" customWidth="1" style="70" min="55" max="55"/>
    <col width="16" customWidth="1" style="70" min="56" max="56"/>
    <col width="11" customWidth="1" style="70" min="57" max="57"/>
    <col width="24" customWidth="1" style="70" min="58" max="58"/>
    <col width="14" customWidth="1" style="70" min="59" max="59"/>
    <col width="16" customWidth="1" style="70" min="60" max="60"/>
    <col width="11" customWidth="1" style="70" min="61" max="61"/>
    <col width="24" customWidth="1" style="70" min="62" max="62"/>
    <col width="14" customWidth="1" style="70" min="63" max="63"/>
    <col width="16" customWidth="1" style="70" min="64" max="64"/>
    <col width="11" customWidth="1" style="70" min="65" max="65"/>
    <col width="24" customWidth="1" style="70" min="66" max="66"/>
    <col width="14" customWidth="1" style="70" min="67" max="67"/>
    <col width="16" customWidth="1" style="70" min="68" max="68"/>
    <col width="11" customWidth="1" style="70" min="69" max="69"/>
    <col width="24" customWidth="1" style="70" min="70" max="70"/>
    <col width="14" customWidth="1" style="70" min="71" max="71"/>
    <col width="16" customWidth="1" style="70" min="72" max="72"/>
    <col width="11" customWidth="1" style="70" min="73" max="73"/>
    <col width="24" customWidth="1" style="70" min="74" max="74"/>
    <col width="14" customWidth="1" style="70" min="75" max="75"/>
    <col width="16" customWidth="1" style="70" min="76" max="76"/>
    <col width="11" customWidth="1" style="70" min="77" max="77"/>
    <col width="24" customWidth="1" style="70" min="78" max="78"/>
    <col width="14" customWidth="1" style="70" min="79" max="79"/>
    <col width="16" customWidth="1" style="70" min="80" max="80"/>
    <col width="11" customWidth="1" style="70" min="81" max="81"/>
    <col width="24" customWidth="1" style="70" min="82" max="82"/>
    <col width="14" customWidth="1" style="70" min="83" max="83"/>
    <col width="16" customWidth="1" style="70" min="84" max="84"/>
    <col width="11" customWidth="1" style="70" min="85" max="85"/>
    <col width="24" customWidth="1" style="70" min="86" max="86"/>
    <col width="14" customWidth="1" style="70" min="87" max="87"/>
    <col width="16" customWidth="1" style="70" min="88" max="88"/>
    <col width="11" customWidth="1" style="70" min="89" max="89"/>
    <col width="24" customWidth="1" style="70" min="90" max="90"/>
    <col width="14" customWidth="1" style="70" min="91" max="91"/>
    <col width="16" customWidth="1" style="70" min="92" max="92"/>
    <col width="11" customWidth="1" style="70" min="93" max="93"/>
    <col width="24" customWidth="1" style="70" min="94" max="94"/>
    <col width="14" customWidth="1" style="70" min="95" max="95"/>
    <col width="16" customWidth="1" style="70" min="96" max="96"/>
    <col width="11" customWidth="1" style="70" min="97" max="97"/>
    <col width="24" customWidth="1" style="70" min="98" max="98"/>
    <col width="14" customWidth="1" style="70" min="99" max="99"/>
    <col width="16" customWidth="1" style="70" min="100" max="100"/>
    <col width="11" customWidth="1" style="70" min="101" max="101"/>
    <col width="24" customWidth="1" style="70" min="102" max="102"/>
    <col width="14" customWidth="1" style="70" min="103" max="103"/>
    <col width="16" customWidth="1" style="70" min="104" max="104"/>
    <col width="11" customWidth="1" style="70" min="105" max="105"/>
    <col width="24" customWidth="1" style="70" min="106" max="106"/>
    <col width="14" customWidth="1" style="70" min="107" max="107"/>
    <col width="16" customWidth="1" style="70" min="108" max="108"/>
    <col width="11" customWidth="1" style="70" min="109" max="109"/>
    <col width="24" customWidth="1" style="70" min="110" max="110"/>
    <col width="14" customWidth="1" style="70" min="111" max="111"/>
    <col width="16" customWidth="1" style="70" min="112" max="112"/>
    <col width="11" customWidth="1" style="70" min="113" max="113"/>
    <col width="24" customWidth="1" style="70" min="114" max="114"/>
    <col width="14" customWidth="1" style="70" min="115" max="115"/>
    <col width="16" customWidth="1" style="70" min="116" max="116"/>
    <col width="11" customWidth="1" style="70" min="117" max="117"/>
    <col width="24" customWidth="1" style="70" min="118" max="118"/>
    <col width="14" customWidth="1" style="70" min="119" max="119"/>
    <col width="16" customWidth="1" style="70" min="120" max="120"/>
    <col width="11" customWidth="1" style="70" min="121" max="121"/>
    <col width="24" customWidth="1" style="70" min="122" max="122"/>
  </cols>
  <sheetData>
    <row r="1" ht="30" customHeight="1" s="70">
      <c r="A1" s="258" t="inlineStr">
        <is>
          <t>CoQ code</t>
        </is>
      </c>
      <c r="B1" s="258" t="inlineStr">
        <is>
          <t>Series</t>
        </is>
      </c>
      <c r="C1" s="258" t="inlineStr">
        <is>
          <t>Register status</t>
        </is>
      </c>
      <c r="D1" s="258" t="inlineStr">
        <is>
          <t>Date of issue</t>
        </is>
      </c>
      <c r="E1" s="258" t="inlineStr">
        <is>
          <t>Supersedes</t>
        </is>
      </c>
      <c r="F1" s="258" t="inlineStr">
        <is>
          <t>Plan no.</t>
        </is>
      </c>
      <c r="G1" s="258" t="inlineStr">
        <is>
          <t>Batch (cultivation)</t>
        </is>
      </c>
      <c r="H1" s="258" t="inlineStr">
        <is>
          <t>P lot</t>
        </is>
      </c>
      <c r="I1" s="258" t="inlineStr">
        <is>
          <t>Strain</t>
        </is>
      </c>
      <c r="J1" s="258" t="inlineStr">
        <is>
          <t>Harvest</t>
        </is>
      </c>
      <c r="K1" s="258" t="inlineStr">
        <is>
          <t>Packaging</t>
        </is>
      </c>
      <c r="L1" s="258" t="inlineStr">
        <is>
          <t>Manuf. date (template)</t>
        </is>
      </c>
      <c r="M1" s="258" t="inlineStr">
        <is>
          <t>Pack. date (template)</t>
        </is>
      </c>
      <c r="N1" s="258" t="inlineStr">
        <is>
          <t>iCoA code</t>
        </is>
      </c>
      <c r="O1" s="258" t="inlineStr">
        <is>
          <t>iCoA issued</t>
        </is>
      </c>
      <c r="P1" s="258" t="inlineStr">
        <is>
          <t>iCoA tested / sampled</t>
        </is>
      </c>
      <c r="Q1" s="258" t="inlineStr">
        <is>
          <t>Retest campaign</t>
        </is>
      </c>
      <c r="R1" s="258" t="inlineStr">
        <is>
          <t>Total THC (%)</t>
        </is>
      </c>
      <c r="S1" s="258" t="inlineStr">
        <is>
          <t>THC certificate</t>
        </is>
      </c>
      <c r="T1" s="258" t="inlineStr">
        <is>
          <t>Grade</t>
        </is>
      </c>
      <c r="U1" s="258" t="inlineStr">
        <is>
          <t>Potency window</t>
        </is>
      </c>
      <c r="V1" s="258" t="inlineStr">
        <is>
          <t>Product code</t>
        </is>
      </c>
      <c r="W1" s="258" t="inlineStr">
        <is>
          <t>Specification code</t>
        </is>
      </c>
      <c r="X1" s="258" t="inlineStr">
        <is>
          <t>Specification status</t>
        </is>
      </c>
      <c r="Y1" s="258" t="inlineStr">
        <is>
          <t>Phenotype</t>
        </is>
      </c>
      <c r="Z1" s="258" t="inlineStr">
        <is>
          <t>Chemotype</t>
        </is>
      </c>
      <c r="AA1" s="258" t="inlineStr">
        <is>
          <t>Processing</t>
        </is>
      </c>
      <c r="AB1" s="258" t="inlineStr">
        <is>
          <t>Dominance</t>
        </is>
      </c>
      <c r="AC1" s="258" t="inlineStr">
        <is>
          <t>Packaging (spec.)</t>
        </is>
      </c>
      <c r="AD1" s="258" t="inlineStr">
        <is>
          <t>Latest external certificate</t>
        </is>
      </c>
      <c r="AE1" s="258" t="inlineStr">
        <is>
          <t>#1 result</t>
        </is>
      </c>
      <c r="AF1" s="258" t="inlineStr">
        <is>
          <t>#1 document</t>
        </is>
      </c>
      <c r="AG1" s="258" t="inlineStr">
        <is>
          <t>#1 issued</t>
        </is>
      </c>
      <c r="AH1" s="258" t="inlineStr">
        <is>
          <t>#1 laboratory</t>
        </is>
      </c>
      <c r="AI1" s="258" t="inlineStr">
        <is>
          <t>#2 result</t>
        </is>
      </c>
      <c r="AJ1" s="258" t="inlineStr">
        <is>
          <t>#2 document</t>
        </is>
      </c>
      <c r="AK1" s="258" t="inlineStr">
        <is>
          <t>#2 issued</t>
        </is>
      </c>
      <c r="AL1" s="258" t="inlineStr">
        <is>
          <t>#2 laboratory</t>
        </is>
      </c>
      <c r="AM1" s="258" t="inlineStr">
        <is>
          <t>#3 result</t>
        </is>
      </c>
      <c r="AN1" s="258" t="inlineStr">
        <is>
          <t>#3 document</t>
        </is>
      </c>
      <c r="AO1" s="258" t="inlineStr">
        <is>
          <t>#3 issued</t>
        </is>
      </c>
      <c r="AP1" s="258" t="inlineStr">
        <is>
          <t>#3 laboratory</t>
        </is>
      </c>
      <c r="AQ1" s="258" t="inlineStr">
        <is>
          <t>#4 result</t>
        </is>
      </c>
      <c r="AR1" s="258" t="inlineStr">
        <is>
          <t>#4 document</t>
        </is>
      </c>
      <c r="AS1" s="258" t="inlineStr">
        <is>
          <t>#4 issued</t>
        </is>
      </c>
      <c r="AT1" s="258" t="inlineStr">
        <is>
          <t>#4 laboratory</t>
        </is>
      </c>
      <c r="AU1" s="258" t="inlineStr">
        <is>
          <t>#5 result</t>
        </is>
      </c>
      <c r="AV1" s="258" t="inlineStr">
        <is>
          <t>#5 document</t>
        </is>
      </c>
      <c r="AW1" s="258" t="inlineStr">
        <is>
          <t>#5 issued</t>
        </is>
      </c>
      <c r="AX1" s="258" t="inlineStr">
        <is>
          <t>#5 laboratory</t>
        </is>
      </c>
      <c r="AY1" s="258" t="inlineStr">
        <is>
          <t>#6 result</t>
        </is>
      </c>
      <c r="AZ1" s="258" t="inlineStr">
        <is>
          <t>#6 document</t>
        </is>
      </c>
      <c r="BA1" s="258" t="inlineStr">
        <is>
          <t>#6 issued</t>
        </is>
      </c>
      <c r="BB1" s="258" t="inlineStr">
        <is>
          <t>#6 laboratory</t>
        </is>
      </c>
      <c r="BC1" s="258" t="inlineStr">
        <is>
          <t>#7 result</t>
        </is>
      </c>
      <c r="BD1" s="258" t="inlineStr">
        <is>
          <t>#7 document</t>
        </is>
      </c>
      <c r="BE1" s="258" t="inlineStr">
        <is>
          <t>#7 issued</t>
        </is>
      </c>
      <c r="BF1" s="258" t="inlineStr">
        <is>
          <t>#7 laboratory</t>
        </is>
      </c>
      <c r="BG1" s="258" t="inlineStr">
        <is>
          <t>#8 result</t>
        </is>
      </c>
      <c r="BH1" s="258" t="inlineStr">
        <is>
          <t>#8 document</t>
        </is>
      </c>
      <c r="BI1" s="258" t="inlineStr">
        <is>
          <t>#8 issued</t>
        </is>
      </c>
      <c r="BJ1" s="258" t="inlineStr">
        <is>
          <t>#8 laboratory</t>
        </is>
      </c>
      <c r="BK1" s="258" t="inlineStr">
        <is>
          <t>#9.1 result</t>
        </is>
      </c>
      <c r="BL1" s="258" t="inlineStr">
        <is>
          <t>#9.1 document</t>
        </is>
      </c>
      <c r="BM1" s="258" t="inlineStr">
        <is>
          <t>#9.1 issued</t>
        </is>
      </c>
      <c r="BN1" s="258" t="inlineStr">
        <is>
          <t>#9.1 laboratory</t>
        </is>
      </c>
      <c r="BO1" s="258" t="inlineStr">
        <is>
          <t>#9.2 result</t>
        </is>
      </c>
      <c r="BP1" s="258" t="inlineStr">
        <is>
          <t>#9.2 document</t>
        </is>
      </c>
      <c r="BQ1" s="258" t="inlineStr">
        <is>
          <t>#9.2 issued</t>
        </is>
      </c>
      <c r="BR1" s="258" t="inlineStr">
        <is>
          <t>#9.2 laboratory</t>
        </is>
      </c>
      <c r="BS1" s="258" t="inlineStr">
        <is>
          <t>#9.3 result</t>
        </is>
      </c>
      <c r="BT1" s="258" t="inlineStr">
        <is>
          <t>#9.3 document</t>
        </is>
      </c>
      <c r="BU1" s="258" t="inlineStr">
        <is>
          <t>#9.3 issued</t>
        </is>
      </c>
      <c r="BV1" s="258" t="inlineStr">
        <is>
          <t>#9.3 laboratory</t>
        </is>
      </c>
      <c r="BW1" s="258" t="inlineStr">
        <is>
          <t>#9.4 result</t>
        </is>
      </c>
      <c r="BX1" s="258" t="inlineStr">
        <is>
          <t>#9.4 document</t>
        </is>
      </c>
      <c r="BY1" s="258" t="inlineStr">
        <is>
          <t>#9.4 issued</t>
        </is>
      </c>
      <c r="BZ1" s="258" t="inlineStr">
        <is>
          <t>#9.4 laboratory</t>
        </is>
      </c>
      <c r="CA1" s="258" t="inlineStr">
        <is>
          <t>#9.5 result</t>
        </is>
      </c>
      <c r="CB1" s="258" t="inlineStr">
        <is>
          <t>#9.5 document</t>
        </is>
      </c>
      <c r="CC1" s="258" t="inlineStr">
        <is>
          <t>#9.5 issued</t>
        </is>
      </c>
      <c r="CD1" s="258" t="inlineStr">
        <is>
          <t>#9.5 laboratory</t>
        </is>
      </c>
      <c r="CE1" s="258" t="inlineStr">
        <is>
          <t>#9.6 result</t>
        </is>
      </c>
      <c r="CF1" s="258" t="inlineStr">
        <is>
          <t>#9.6 document</t>
        </is>
      </c>
      <c r="CG1" s="258" t="inlineStr">
        <is>
          <t>#9.6 issued</t>
        </is>
      </c>
      <c r="CH1" s="258" t="inlineStr">
        <is>
          <t>#9.6 laboratory</t>
        </is>
      </c>
      <c r="CI1" s="258" t="inlineStr">
        <is>
          <t>#9.7 result</t>
        </is>
      </c>
      <c r="CJ1" s="258" t="inlineStr">
        <is>
          <t>#9.7 document</t>
        </is>
      </c>
      <c r="CK1" s="258" t="inlineStr">
        <is>
          <t>#9.7 issued</t>
        </is>
      </c>
      <c r="CL1" s="258" t="inlineStr">
        <is>
          <t>#9.7 laboratory</t>
        </is>
      </c>
      <c r="CM1" s="258" t="inlineStr">
        <is>
          <t>#10.1 result</t>
        </is>
      </c>
      <c r="CN1" s="258" t="inlineStr">
        <is>
          <t>#10.1 document</t>
        </is>
      </c>
      <c r="CO1" s="258" t="inlineStr">
        <is>
          <t>#10.1 issued</t>
        </is>
      </c>
      <c r="CP1" s="258" t="inlineStr">
        <is>
          <t>#10.1 laboratory</t>
        </is>
      </c>
      <c r="CQ1" s="258" t="inlineStr">
        <is>
          <t>#10.2 result</t>
        </is>
      </c>
      <c r="CR1" s="258" t="inlineStr">
        <is>
          <t>#10.2 document</t>
        </is>
      </c>
      <c r="CS1" s="258" t="inlineStr">
        <is>
          <t>#10.2 issued</t>
        </is>
      </c>
      <c r="CT1" s="258" t="inlineStr">
        <is>
          <t>#10.2 laboratory</t>
        </is>
      </c>
      <c r="CU1" s="258" t="inlineStr">
        <is>
          <t>#10.3 result</t>
        </is>
      </c>
      <c r="CV1" s="258" t="inlineStr">
        <is>
          <t>#10.3 document</t>
        </is>
      </c>
      <c r="CW1" s="258" t="inlineStr">
        <is>
          <t>#10.3 issued</t>
        </is>
      </c>
      <c r="CX1" s="258" t="inlineStr">
        <is>
          <t>#10.3 laboratory</t>
        </is>
      </c>
      <c r="CY1" s="258" t="inlineStr">
        <is>
          <t>#11.1 result</t>
        </is>
      </c>
      <c r="CZ1" s="258" t="inlineStr">
        <is>
          <t>#11.1 document</t>
        </is>
      </c>
      <c r="DA1" s="258" t="inlineStr">
        <is>
          <t>#11.1 issued</t>
        </is>
      </c>
      <c r="DB1" s="258" t="inlineStr">
        <is>
          <t>#11.1 laboratory</t>
        </is>
      </c>
      <c r="DC1" s="258" t="inlineStr">
        <is>
          <t>#11.2 result</t>
        </is>
      </c>
      <c r="DD1" s="258" t="inlineStr">
        <is>
          <t>#11.2 document</t>
        </is>
      </c>
      <c r="DE1" s="258" t="inlineStr">
        <is>
          <t>#11.2 issued</t>
        </is>
      </c>
      <c r="DF1" s="258" t="inlineStr">
        <is>
          <t>#11.2 laboratory</t>
        </is>
      </c>
      <c r="DG1" s="258" t="inlineStr">
        <is>
          <t>#11.3 result</t>
        </is>
      </c>
      <c r="DH1" s="258" t="inlineStr">
        <is>
          <t>#11.3 document</t>
        </is>
      </c>
      <c r="DI1" s="258" t="inlineStr">
        <is>
          <t>#11.3 issued</t>
        </is>
      </c>
      <c r="DJ1" s="258" t="inlineStr">
        <is>
          <t>#11.3 laboratory</t>
        </is>
      </c>
      <c r="DK1" s="258" t="inlineStr">
        <is>
          <t>#11.4 result</t>
        </is>
      </c>
      <c r="DL1" s="258" t="inlineStr">
        <is>
          <t>#11.4 document</t>
        </is>
      </c>
      <c r="DM1" s="258" t="inlineStr">
        <is>
          <t>#11.4 issued</t>
        </is>
      </c>
      <c r="DN1" s="258" t="inlineStr">
        <is>
          <t>#11.4 laboratory</t>
        </is>
      </c>
      <c r="DO1" s="258" t="inlineStr">
        <is>
          <t>#12 result</t>
        </is>
      </c>
      <c r="DP1" s="258" t="inlineStr">
        <is>
          <t>#12 document</t>
        </is>
      </c>
      <c r="DQ1" s="258" t="inlineStr">
        <is>
          <t>#12 issued</t>
        </is>
      </c>
      <c r="DR1" s="258" t="inlineStr">
        <is>
          <t>#12 laboratory</t>
        </is>
      </c>
    </row>
    <row r="2">
      <c r="A2" s="256" t="inlineStr">
        <is>
          <t>CoQ-PP_26-001</t>
        </is>
      </c>
      <c r="B2" s="256" t="inlineStr">
        <is>
          <t>release</t>
        </is>
      </c>
      <c r="C2" s="256" t="inlineStr">
        <is>
          <t>issuable</t>
        </is>
      </c>
      <c r="D2" s="256" t="inlineStr">
        <is>
          <t>06.06.2026</t>
        </is>
      </c>
      <c r="E2" s="256" t="inlineStr">
        <is>
          <t>n/a — release certificate</t>
        </is>
      </c>
      <c r="F2" s="256" t="inlineStr">
        <is>
          <t>(assigned on issue)</t>
        </is>
      </c>
      <c r="G2" s="256" t="inlineStr">
        <is>
          <t>CJ1024</t>
        </is>
      </c>
      <c r="H2" s="256" t="inlineStr">
        <is>
          <t>— no P lot assigned —</t>
        </is>
      </c>
      <c r="I2" s="256" t="inlineStr">
        <is>
          <t>Cap Junky</t>
        </is>
      </c>
      <c r="J2" s="256" t="inlineStr">
        <is>
          <t>20.01.2025</t>
        </is>
      </c>
      <c r="K2" s="256" t="inlineStr">
        <is>
          <t>03.03.2025</t>
        </is>
      </c>
      <c r="L2" s="256" t="inlineStr">
        <is>
          <t>—</t>
        </is>
      </c>
      <c r="M2" s="256" t="inlineStr">
        <is>
          <t>—</t>
        </is>
      </c>
      <c r="N2" s="256" t="inlineStr">
        <is>
          <t>iCoA-PP_26-001</t>
        </is>
      </c>
      <c r="O2" s="256" t="inlineStr">
        <is>
          <t>03.06.2026</t>
        </is>
      </c>
      <c r="P2" s="256" t="inlineStr">
        <is>
          <t>03.03.2025</t>
        </is>
      </c>
      <c r="Q2" s="256" t="inlineStr">
        <is>
          <t>—</t>
        </is>
      </c>
      <c r="R2" s="256" t="inlineStr">
        <is>
          <t>23.00</t>
        </is>
      </c>
      <c r="S2" s="256" t="inlineStr">
        <is>
          <t>ППК25052</t>
        </is>
      </c>
      <c r="T2" s="256" t="inlineStr">
        <is>
          <t>II</t>
        </is>
      </c>
      <c r="U2" s="256" t="inlineStr">
        <is>
          <t>21.60 – 26.39 %</t>
        </is>
      </c>
      <c r="V2" s="256" t="inlineStr">
        <is>
          <t>CJ_THC24 : CBD1</t>
        </is>
      </c>
      <c r="W2" s="256" t="inlineStr">
        <is>
          <t>QCSP_001_CJ-II_v.01</t>
        </is>
      </c>
      <c r="X2" s="256" t="inlineStr">
        <is>
          <t>for review — replaces the issued QCSP_001_CJ-II_v.01 (was CJ_THC26 : CBD1, 25.01 – 26.99 %); now CJ_THC24 : CBD1 21.60 – 26.39 %</t>
        </is>
      </c>
      <c r="Y2" s="256" t="inlineStr">
        <is>
          <t>HYBRID</t>
        </is>
      </c>
      <c r="Z2" s="256" t="inlineStr">
        <is>
          <t>THC</t>
        </is>
      </c>
      <c r="AA2" s="256" t="inlineStr">
        <is>
          <t>MACHINE TRIMMED</t>
        </is>
      </c>
      <c r="AB2" s="256" t="inlineStr">
        <is>
          <t>INDICA 60 : SATIVA 40</t>
        </is>
      </c>
      <c r="AC2" s="256" t="inlineStr">
        <is>
          <t>Triplex Alu Bag | Триплекс Aлу Kеса, PET 12 · ALU 7 · PE 80, 300 × 500 mm, net. 400.0 g ±3%</t>
        </is>
      </c>
      <c r="AD2" s="256" t="inlineStr">
        <is>
          <t>27.02.2025</t>
        </is>
      </c>
      <c r="AE2" s="256" t="inlineStr">
        <is>
          <t>Conforms | Одговара</t>
        </is>
      </c>
      <c r="AF2" s="256" t="inlineStr">
        <is>
          <t>iCoA-PP_26-001</t>
        </is>
      </c>
      <c r="AG2" s="256" t="inlineStr">
        <is>
          <t>03.06.2026</t>
        </is>
      </c>
      <c r="AH2" s="256" t="inlineStr">
        <is>
          <t>Purely Plant GmbH (in-house)</t>
        </is>
      </c>
      <c r="AI2" s="256" t="inlineStr">
        <is>
          <t>Conforms | Одговара</t>
        </is>
      </c>
      <c r="AJ2" s="256" t="inlineStr">
        <is>
          <t>iCoA-PP_26-001</t>
        </is>
      </c>
      <c r="AK2" s="256" t="inlineStr">
        <is>
          <t>03.06.2026</t>
        </is>
      </c>
      <c r="AL2" s="256" t="inlineStr">
        <is>
          <t>Purely Plant GmbH (in-house)</t>
        </is>
      </c>
      <c r="AM2" s="256" t="inlineStr">
        <is>
          <t>Conforms | Одговара</t>
        </is>
      </c>
      <c r="AN2" s="256" t="inlineStr">
        <is>
          <t>ППК25052</t>
        </is>
      </c>
      <c r="AO2" s="256" t="inlineStr">
        <is>
          <t>26.02.2025</t>
        </is>
      </c>
      <c r="AP2" s="256" t="inlineStr">
        <is>
          <t>UKIM Faculty of Pharmacy — Center for Natural Products</t>
        </is>
      </c>
      <c r="AQ2" s="256" t="inlineStr">
        <is>
          <t>23.00</t>
        </is>
      </c>
      <c r="AR2" s="256" t="inlineStr">
        <is>
          <t>ППК25052</t>
        </is>
      </c>
      <c r="AS2" s="256" t="inlineStr">
        <is>
          <t>26.02.2025</t>
        </is>
      </c>
      <c r="AT2" s="256" t="inlineStr">
        <is>
          <t>UKIM Faculty of Pharmacy — Center for Natural Products</t>
        </is>
      </c>
      <c r="AU2" s="256" t="inlineStr">
        <is>
          <t>0.05</t>
        </is>
      </c>
      <c r="AV2" s="256" t="inlineStr">
        <is>
          <t>ППК25052</t>
        </is>
      </c>
      <c r="AW2" s="256" t="inlineStr">
        <is>
          <t>26.02.2025</t>
        </is>
      </c>
      <c r="AX2" s="256" t="inlineStr">
        <is>
          <t>UKIM Faculty of Pharmacy — Center for Natural Products</t>
        </is>
      </c>
      <c r="AY2" s="259" t="inlineStr">
        <is>
          <t>not tested</t>
        </is>
      </c>
      <c r="AZ2" s="256" t="inlineStr">
        <is>
          <t>—</t>
        </is>
      </c>
      <c r="BA2" s="256" t="inlineStr">
        <is>
          <t>—</t>
        </is>
      </c>
      <c r="BB2" s="256" t="inlineStr">
        <is>
          <t>—</t>
        </is>
      </c>
      <c r="BC2" s="256" t="inlineStr">
        <is>
          <t>Conforms | Одговара</t>
        </is>
      </c>
      <c r="BD2" s="256" t="inlineStr">
        <is>
          <t>iCoA-PP_26-001</t>
        </is>
      </c>
      <c r="BE2" s="256" t="inlineStr">
        <is>
          <t>03.06.2026</t>
        </is>
      </c>
      <c r="BF2" s="256" t="inlineStr">
        <is>
          <t>Purely Plant GmbH (in-house)</t>
        </is>
      </c>
      <c r="BG2" s="256" t="inlineStr">
        <is>
          <t>5.91</t>
        </is>
      </c>
      <c r="BH2" s="256" t="inlineStr">
        <is>
          <t>ППК25052</t>
        </is>
      </c>
      <c r="BI2" s="256" t="inlineStr">
        <is>
          <t>26.02.2025</t>
        </is>
      </c>
      <c r="BJ2" s="256" t="inlineStr">
        <is>
          <t>UKIM Faculty of Pharmacy — Center for Natural Products</t>
        </is>
      </c>
      <c r="BK2" s="256" t="inlineStr">
        <is>
          <t>8.4 × 10³</t>
        </is>
      </c>
      <c r="BL2" s="256" t="inlineStr">
        <is>
          <t>164/0272/25</t>
        </is>
      </c>
      <c r="BM2" s="256" t="inlineStr">
        <is>
          <t>24.02.2025</t>
        </is>
      </c>
      <c r="BN2" s="256" t="inlineStr">
        <is>
          <t>IPH — Institute of Public Health</t>
        </is>
      </c>
      <c r="BO2" s="256" t="inlineStr">
        <is>
          <t>&lt; 10</t>
        </is>
      </c>
      <c r="BP2" s="256" t="inlineStr">
        <is>
          <t>164/0272/25</t>
        </is>
      </c>
      <c r="BQ2" s="256" t="inlineStr">
        <is>
          <t>24.02.2025</t>
        </is>
      </c>
      <c r="BR2" s="256" t="inlineStr">
        <is>
          <t>IPH — Institute of Public Health</t>
        </is>
      </c>
      <c r="BS2" s="256" t="inlineStr">
        <is>
          <t>&lt; 10</t>
        </is>
      </c>
      <c r="BT2" s="256" t="inlineStr">
        <is>
          <t>164/0272/25</t>
        </is>
      </c>
      <c r="BU2" s="256" t="inlineStr">
        <is>
          <t>24.02.2025</t>
        </is>
      </c>
      <c r="BV2" s="256" t="inlineStr">
        <is>
          <t>IPH — Institute of Public Health</t>
        </is>
      </c>
      <c r="BW2" s="256" t="inlineStr">
        <is>
          <t>Absent | Отсутна</t>
        </is>
      </c>
      <c r="BX2" s="256" t="inlineStr">
        <is>
          <t>164/0272/25</t>
        </is>
      </c>
      <c r="BY2" s="256" t="inlineStr">
        <is>
          <t>24.02.2025</t>
        </is>
      </c>
      <c r="BZ2" s="256" t="inlineStr">
        <is>
          <t>IPH — Institute of Public Health</t>
        </is>
      </c>
      <c r="CA2" s="256" t="inlineStr">
        <is>
          <t>Absent | Отсутна</t>
        </is>
      </c>
      <c r="CB2" s="256" t="inlineStr">
        <is>
          <t>164/0272/25</t>
        </is>
      </c>
      <c r="CC2" s="256" t="inlineStr">
        <is>
          <t>24.02.2025</t>
        </is>
      </c>
      <c r="CD2" s="256" t="inlineStr">
        <is>
          <t>IPH — Institute of Public Health</t>
        </is>
      </c>
      <c r="CE2" s="260" t="inlineStr">
        <is>
          <t>upon request — not required for release</t>
        </is>
      </c>
      <c r="CF2" s="256" t="inlineStr">
        <is>
          <t>—</t>
        </is>
      </c>
      <c r="CG2" s="256" t="inlineStr">
        <is>
          <t>—</t>
        </is>
      </c>
      <c r="CH2" s="256" t="inlineStr">
        <is>
          <t>—</t>
        </is>
      </c>
      <c r="CI2" s="260" t="inlineStr">
        <is>
          <t>upon request — not required for release</t>
        </is>
      </c>
      <c r="CJ2" s="256" t="inlineStr">
        <is>
          <t>—</t>
        </is>
      </c>
      <c r="CK2" s="256" t="inlineStr">
        <is>
          <t>—</t>
        </is>
      </c>
      <c r="CL2" s="256" t="inlineStr">
        <is>
          <t>—</t>
        </is>
      </c>
      <c r="CM2" s="259" t="inlineStr">
        <is>
          <t>not tested</t>
        </is>
      </c>
      <c r="CN2" s="256" t="inlineStr">
        <is>
          <t>—</t>
        </is>
      </c>
      <c r="CO2" s="256" t="inlineStr">
        <is>
          <t>—</t>
        </is>
      </c>
      <c r="CP2" s="256" t="inlineStr">
        <is>
          <t>—</t>
        </is>
      </c>
      <c r="CQ2" s="256" t="inlineStr">
        <is>
          <t>&lt; 2</t>
        </is>
      </c>
      <c r="CR2" s="256" t="inlineStr">
        <is>
          <t>750/2025</t>
        </is>
      </c>
      <c r="CS2" s="256" t="inlineStr">
        <is>
          <t>27.02.2025</t>
        </is>
      </c>
      <c r="CT2" s="256" t="inlineStr">
        <is>
          <t>IPH — Institute of Public Health</t>
        </is>
      </c>
      <c r="CU2" s="259" t="inlineStr">
        <is>
          <t>not tested</t>
        </is>
      </c>
      <c r="CV2" s="256" t="inlineStr">
        <is>
          <t>—</t>
        </is>
      </c>
      <c r="CW2" s="256" t="inlineStr">
        <is>
          <t>—</t>
        </is>
      </c>
      <c r="CX2" s="256" t="inlineStr">
        <is>
          <t>—</t>
        </is>
      </c>
      <c r="CY2" s="256" t="inlineStr">
        <is>
          <t>0.036</t>
        </is>
      </c>
      <c r="CZ2" s="256" t="inlineStr">
        <is>
          <t>750/2025</t>
        </is>
      </c>
      <c r="DA2" s="256" t="inlineStr">
        <is>
          <t>27.02.2025</t>
        </is>
      </c>
      <c r="DB2" s="256" t="inlineStr">
        <is>
          <t>IPH — Institute of Public Health</t>
        </is>
      </c>
      <c r="DC2" s="256" t="inlineStr">
        <is>
          <t>0.013</t>
        </is>
      </c>
      <c r="DD2" s="256" t="inlineStr">
        <is>
          <t>750/2025</t>
        </is>
      </c>
      <c r="DE2" s="256" t="inlineStr">
        <is>
          <t>27.02.2025</t>
        </is>
      </c>
      <c r="DF2" s="256" t="inlineStr">
        <is>
          <t>IPH — Institute of Public Health</t>
        </is>
      </c>
      <c r="DG2" s="256" t="inlineStr">
        <is>
          <t>0.063</t>
        </is>
      </c>
      <c r="DH2" s="256" t="inlineStr">
        <is>
          <t>750/2025</t>
        </is>
      </c>
      <c r="DI2" s="256" t="inlineStr">
        <is>
          <t>27.02.2025</t>
        </is>
      </c>
      <c r="DJ2" s="256" t="inlineStr">
        <is>
          <t>IPH — Institute of Public Health</t>
        </is>
      </c>
      <c r="DK2" s="256" t="inlineStr">
        <is>
          <t>0.006</t>
        </is>
      </c>
      <c r="DL2" s="256" t="inlineStr">
        <is>
          <t>750/2025</t>
        </is>
      </c>
      <c r="DM2" s="256" t="inlineStr">
        <is>
          <t>27.02.2025</t>
        </is>
      </c>
      <c r="DN2" s="256" t="inlineStr">
        <is>
          <t>IPH — Institute of Public Health</t>
        </is>
      </c>
      <c r="DO2" s="256" t="inlineStr">
        <is>
          <t>ND</t>
        </is>
      </c>
      <c r="DP2" s="256" t="inlineStr">
        <is>
          <t>750/2025</t>
        </is>
      </c>
      <c r="DQ2" s="256" t="inlineStr">
        <is>
          <t>27.02.2025</t>
        </is>
      </c>
      <c r="DR2" s="256" t="inlineStr">
        <is>
          <t>IPH — Institute of Public Health</t>
        </is>
      </c>
    </row>
    <row r="3">
      <c r="A3" s="256" t="inlineStr">
        <is>
          <t>CoQ-PP_26-002</t>
        </is>
      </c>
      <c r="B3" s="256" t="inlineStr">
        <is>
          <t>release</t>
        </is>
      </c>
      <c r="C3" s="256" t="inlineStr">
        <is>
          <t>issuable</t>
        </is>
      </c>
      <c r="D3" s="256" t="inlineStr">
        <is>
          <t>06.06.2026</t>
        </is>
      </c>
      <c r="E3" s="256" t="inlineStr">
        <is>
          <t>n/a — release certificate</t>
        </is>
      </c>
      <c r="F3" s="256" t="inlineStr">
        <is>
          <t>CoQ-PP-2025-0001</t>
        </is>
      </c>
      <c r="G3" s="256" t="inlineStr">
        <is>
          <t>BSS1024</t>
        </is>
      </c>
      <c r="H3" s="256" t="inlineStr">
        <is>
          <t>BSS1024</t>
        </is>
      </c>
      <c r="I3" s="256" t="inlineStr">
        <is>
          <t>Blue Sunset Sherbet</t>
        </is>
      </c>
      <c r="J3" s="256" t="inlineStr">
        <is>
          <t>22.01.2025</t>
        </is>
      </c>
      <c r="K3" s="256" t="inlineStr">
        <is>
          <t>04.03.2025</t>
        </is>
      </c>
      <c r="L3" s="256" t="inlineStr">
        <is>
          <t>22.01.2025</t>
        </is>
      </c>
      <c r="M3" s="256" t="inlineStr">
        <is>
          <t>04.03.2025</t>
        </is>
      </c>
      <c r="N3" s="256" t="inlineStr">
        <is>
          <t>iCoA-PP_26-002</t>
        </is>
      </c>
      <c r="O3" s="256" t="inlineStr">
        <is>
          <t>03.06.2026</t>
        </is>
      </c>
      <c r="P3" s="256" t="inlineStr">
        <is>
          <t>04.03.2025</t>
        </is>
      </c>
      <c r="Q3" s="256" t="inlineStr">
        <is>
          <t>—</t>
        </is>
      </c>
      <c r="R3" s="256" t="inlineStr">
        <is>
          <t>21.03</t>
        </is>
      </c>
      <c r="S3" s="256" t="inlineStr">
        <is>
          <t>ППК25051</t>
        </is>
      </c>
      <c r="T3" s="256" t="inlineStr">
        <is>
          <t>III</t>
        </is>
      </c>
      <c r="U3" s="256" t="inlineStr">
        <is>
          <t>18.11 – 21.88 %</t>
        </is>
      </c>
      <c r="V3" s="256" t="inlineStr">
        <is>
          <t>BSS_THC20 : CBD1</t>
        </is>
      </c>
      <c r="W3" s="256" t="inlineStr">
        <is>
          <t>QCSP_001_BSS-III_v.01</t>
        </is>
      </c>
      <c r="X3" s="256" t="inlineStr">
        <is>
          <t>for review — new</t>
        </is>
      </c>
      <c r="Y3" s="256" t="inlineStr">
        <is>
          <t>INDICA</t>
        </is>
      </c>
      <c r="Z3" s="256" t="inlineStr">
        <is>
          <t>THC</t>
        </is>
      </c>
      <c r="AA3" s="256" t="inlineStr">
        <is>
          <t>MACHINE TRIMMED</t>
        </is>
      </c>
      <c r="AB3" s="256" t="inlineStr">
        <is>
          <t>—</t>
        </is>
      </c>
      <c r="AC3" s="256" t="inlineStr">
        <is>
          <t>Triplex Alu Bag | Триплекс Aлу Kеса, PET 12 · ALU 7 · PE 80, 300 × 500 mm, net. 400.0 g ±3%</t>
        </is>
      </c>
      <c r="AD3" s="256" t="inlineStr">
        <is>
          <t>27.02.2025</t>
        </is>
      </c>
      <c r="AE3" s="256" t="inlineStr">
        <is>
          <t>Conforms | Одговара</t>
        </is>
      </c>
      <c r="AF3" s="256" t="inlineStr">
        <is>
          <t>iCoA-PP_26-002</t>
        </is>
      </c>
      <c r="AG3" s="256" t="inlineStr">
        <is>
          <t>03.06.2026</t>
        </is>
      </c>
      <c r="AH3" s="256" t="inlineStr">
        <is>
          <t>Purely Plant GmbH (in-house)</t>
        </is>
      </c>
      <c r="AI3" s="256" t="inlineStr">
        <is>
          <t>Conforms | Одговара</t>
        </is>
      </c>
      <c r="AJ3" s="256" t="inlineStr">
        <is>
          <t>iCoA-PP_26-002</t>
        </is>
      </c>
      <c r="AK3" s="256" t="inlineStr">
        <is>
          <t>03.06.2026</t>
        </is>
      </c>
      <c r="AL3" s="256" t="inlineStr">
        <is>
          <t>Purely Plant GmbH (in-house)</t>
        </is>
      </c>
      <c r="AM3" s="256" t="inlineStr">
        <is>
          <t>Conforms | Одговара</t>
        </is>
      </c>
      <c r="AN3" s="256" t="inlineStr">
        <is>
          <t>ППК25051</t>
        </is>
      </c>
      <c r="AO3" s="256" t="inlineStr">
        <is>
          <t>26.02.2025</t>
        </is>
      </c>
      <c r="AP3" s="256" t="inlineStr">
        <is>
          <t>UKIM Faculty of Pharmacy — Center for Natural Products</t>
        </is>
      </c>
      <c r="AQ3" s="256" t="inlineStr">
        <is>
          <t>21.03</t>
        </is>
      </c>
      <c r="AR3" s="256" t="inlineStr">
        <is>
          <t>ППК25051</t>
        </is>
      </c>
      <c r="AS3" s="256" t="inlineStr">
        <is>
          <t>26.02.2025</t>
        </is>
      </c>
      <c r="AT3" s="256" t="inlineStr">
        <is>
          <t>UKIM Faculty of Pharmacy — Center for Natural Products</t>
        </is>
      </c>
      <c r="AU3" s="256" t="inlineStr">
        <is>
          <t>0.04</t>
        </is>
      </c>
      <c r="AV3" s="256" t="inlineStr">
        <is>
          <t>ППК25051</t>
        </is>
      </c>
      <c r="AW3" s="256" t="inlineStr">
        <is>
          <t>26.02.2025</t>
        </is>
      </c>
      <c r="AX3" s="256" t="inlineStr">
        <is>
          <t>UKIM Faculty of Pharmacy — Center for Natural Products</t>
        </is>
      </c>
      <c r="AY3" s="256" t="inlineStr">
        <is>
          <t>0.02</t>
        </is>
      </c>
      <c r="AZ3" s="256" t="inlineStr">
        <is>
          <t>ППК25051</t>
        </is>
      </c>
      <c r="BA3" s="256" t="inlineStr">
        <is>
          <t>26.02.2025</t>
        </is>
      </c>
      <c r="BB3" s="256" t="inlineStr">
        <is>
          <t>CNP</t>
        </is>
      </c>
      <c r="BC3" s="256" t="inlineStr">
        <is>
          <t>Conforms | Одговара</t>
        </is>
      </c>
      <c r="BD3" s="256" t="inlineStr">
        <is>
          <t>iCoA-PP_26-002</t>
        </is>
      </c>
      <c r="BE3" s="256" t="inlineStr">
        <is>
          <t>03.06.2026</t>
        </is>
      </c>
      <c r="BF3" s="256" t="inlineStr">
        <is>
          <t>Purely Plant GmbH (in-house)</t>
        </is>
      </c>
      <c r="BG3" s="256" t="inlineStr">
        <is>
          <t>5.99</t>
        </is>
      </c>
      <c r="BH3" s="256" t="inlineStr">
        <is>
          <t>ППК25051</t>
        </is>
      </c>
      <c r="BI3" s="256" t="inlineStr">
        <is>
          <t>26.02.2025</t>
        </is>
      </c>
      <c r="BJ3" s="256" t="inlineStr">
        <is>
          <t>UKIM Faculty of Pharmacy — Center for Natural Products</t>
        </is>
      </c>
      <c r="BK3" s="256" t="inlineStr">
        <is>
          <t>1.5 × 10⁴</t>
        </is>
      </c>
      <c r="BL3" s="256" t="inlineStr">
        <is>
          <t>161/0269/25</t>
        </is>
      </c>
      <c r="BM3" s="256" t="inlineStr">
        <is>
          <t>24.02.2025</t>
        </is>
      </c>
      <c r="BN3" s="256" t="inlineStr">
        <is>
          <t>IPH — Institute of Public Health</t>
        </is>
      </c>
      <c r="BO3" s="256" t="inlineStr">
        <is>
          <t>2.2 × 10³</t>
        </is>
      </c>
      <c r="BP3" s="256" t="inlineStr">
        <is>
          <t>161/0269/25</t>
        </is>
      </c>
      <c r="BQ3" s="256" t="inlineStr">
        <is>
          <t>24.02.2025</t>
        </is>
      </c>
      <c r="BR3" s="256" t="inlineStr">
        <is>
          <t>IPH — Institute of Public Health</t>
        </is>
      </c>
      <c r="BS3" s="256" t="inlineStr">
        <is>
          <t>&lt; 10² and &gt; 10</t>
        </is>
      </c>
      <c r="BT3" s="256" t="inlineStr">
        <is>
          <t>161/0269/25</t>
        </is>
      </c>
      <c r="BU3" s="256" t="inlineStr">
        <is>
          <t>24.02.2025</t>
        </is>
      </c>
      <c r="BV3" s="256" t="inlineStr">
        <is>
          <t>IPH — Institute of Public Health</t>
        </is>
      </c>
      <c r="BW3" s="256" t="inlineStr">
        <is>
          <t>Absent | Отсутна</t>
        </is>
      </c>
      <c r="BX3" s="256" t="inlineStr">
        <is>
          <t>161/0269/25</t>
        </is>
      </c>
      <c r="BY3" s="256" t="inlineStr">
        <is>
          <t>24.02.2025</t>
        </is>
      </c>
      <c r="BZ3" s="256" t="inlineStr">
        <is>
          <t>IPH — Institute of Public Health</t>
        </is>
      </c>
      <c r="CA3" s="256" t="inlineStr">
        <is>
          <t>Absent | Отсутна</t>
        </is>
      </c>
      <c r="CB3" s="256" t="inlineStr">
        <is>
          <t>161/0269/25</t>
        </is>
      </c>
      <c r="CC3" s="256" t="inlineStr">
        <is>
          <t>24.02.2025</t>
        </is>
      </c>
      <c r="CD3" s="256" t="inlineStr">
        <is>
          <t>IPH — Institute of Public Health</t>
        </is>
      </c>
      <c r="CE3" s="260" t="inlineStr">
        <is>
          <t>upon request — not required for release</t>
        </is>
      </c>
      <c r="CF3" s="256" t="inlineStr">
        <is>
          <t>—</t>
        </is>
      </c>
      <c r="CG3" s="256" t="inlineStr">
        <is>
          <t>—</t>
        </is>
      </c>
      <c r="CH3" s="256" t="inlineStr">
        <is>
          <t>—</t>
        </is>
      </c>
      <c r="CI3" s="260" t="inlineStr">
        <is>
          <t>upon request — not required for release</t>
        </is>
      </c>
      <c r="CJ3" s="256" t="inlineStr">
        <is>
          <t>—</t>
        </is>
      </c>
      <c r="CK3" s="256" t="inlineStr">
        <is>
          <t>—</t>
        </is>
      </c>
      <c r="CL3" s="256" t="inlineStr">
        <is>
          <t>—</t>
        </is>
      </c>
      <c r="CM3" s="259" t="inlineStr">
        <is>
          <t>not tested</t>
        </is>
      </c>
      <c r="CN3" s="256" t="inlineStr">
        <is>
          <t>—</t>
        </is>
      </c>
      <c r="CO3" s="256" t="inlineStr">
        <is>
          <t>—</t>
        </is>
      </c>
      <c r="CP3" s="256" t="inlineStr">
        <is>
          <t>—</t>
        </is>
      </c>
      <c r="CQ3" s="256" t="inlineStr">
        <is>
          <t>&lt; 2</t>
        </is>
      </c>
      <c r="CR3" s="256" t="inlineStr">
        <is>
          <t>751/2025</t>
        </is>
      </c>
      <c r="CS3" s="256" t="inlineStr">
        <is>
          <t>27.02.2025</t>
        </is>
      </c>
      <c r="CT3" s="256" t="inlineStr">
        <is>
          <t>IPH — Institute of Public Health</t>
        </is>
      </c>
      <c r="CU3" s="259" t="inlineStr">
        <is>
          <t>not tested</t>
        </is>
      </c>
      <c r="CV3" s="256" t="inlineStr">
        <is>
          <t>—</t>
        </is>
      </c>
      <c r="CW3" s="256" t="inlineStr">
        <is>
          <t>—</t>
        </is>
      </c>
      <c r="CX3" s="256" t="inlineStr">
        <is>
          <t>—</t>
        </is>
      </c>
      <c r="CY3" s="256" t="inlineStr">
        <is>
          <t>0.071</t>
        </is>
      </c>
      <c r="CZ3" s="256" t="inlineStr">
        <is>
          <t>751/2025</t>
        </is>
      </c>
      <c r="DA3" s="256" t="inlineStr">
        <is>
          <t>27.02.2025</t>
        </is>
      </c>
      <c r="DB3" s="256" t="inlineStr">
        <is>
          <t>IPH — Institute of Public Health</t>
        </is>
      </c>
      <c r="DC3" s="256" t="inlineStr">
        <is>
          <t>0.014</t>
        </is>
      </c>
      <c r="DD3" s="256" t="inlineStr">
        <is>
          <t>751/2025</t>
        </is>
      </c>
      <c r="DE3" s="256" t="inlineStr">
        <is>
          <t>27.02.2025</t>
        </is>
      </c>
      <c r="DF3" s="256" t="inlineStr">
        <is>
          <t>IPH — Institute of Public Health</t>
        </is>
      </c>
      <c r="DG3" s="256" t="inlineStr">
        <is>
          <t>0.081</t>
        </is>
      </c>
      <c r="DH3" s="256" t="inlineStr">
        <is>
          <t>751/2025</t>
        </is>
      </c>
      <c r="DI3" s="256" t="inlineStr">
        <is>
          <t>27.02.2025</t>
        </is>
      </c>
      <c r="DJ3" s="256" t="inlineStr">
        <is>
          <t>IPH — Institute of Public Health</t>
        </is>
      </c>
      <c r="DK3" s="256" t="inlineStr">
        <is>
          <t>0.014</t>
        </is>
      </c>
      <c r="DL3" s="256" t="inlineStr">
        <is>
          <t>751/2025</t>
        </is>
      </c>
      <c r="DM3" s="256" t="inlineStr">
        <is>
          <t>27.02.2025</t>
        </is>
      </c>
      <c r="DN3" s="256" t="inlineStr">
        <is>
          <t>IPH — Institute of Public Health</t>
        </is>
      </c>
      <c r="DO3" s="256" t="inlineStr">
        <is>
          <t>ND</t>
        </is>
      </c>
      <c r="DP3" s="256" t="inlineStr">
        <is>
          <t>751/2025</t>
        </is>
      </c>
      <c r="DQ3" s="256" t="inlineStr">
        <is>
          <t>27.02.2025</t>
        </is>
      </c>
      <c r="DR3" s="256" t="inlineStr">
        <is>
          <t>IPH — Institute of Public Health</t>
        </is>
      </c>
    </row>
    <row r="4">
      <c r="A4" s="256" t="inlineStr">
        <is>
          <t>CoQ-PP_26-003</t>
        </is>
      </c>
      <c r="B4" s="256" t="inlineStr">
        <is>
          <t>release</t>
        </is>
      </c>
      <c r="C4" s="256" t="inlineStr">
        <is>
          <t>issuable</t>
        </is>
      </c>
      <c r="D4" s="256" t="inlineStr">
        <is>
          <t>06.06.2026</t>
        </is>
      </c>
      <c r="E4" s="256" t="inlineStr">
        <is>
          <t>n/a — release certificate</t>
        </is>
      </c>
      <c r="F4" s="256" t="inlineStr">
        <is>
          <t>CoQ-PP-2025-0002</t>
        </is>
      </c>
      <c r="G4" s="256" t="inlineStr">
        <is>
          <t>BG1024</t>
        </is>
      </c>
      <c r="H4" s="256" t="inlineStr">
        <is>
          <t>BG1024</t>
        </is>
      </c>
      <c r="I4" s="256" t="inlineStr">
        <is>
          <t>Blue Gelato</t>
        </is>
      </c>
      <c r="J4" s="256" t="inlineStr">
        <is>
          <t>21.01.2025</t>
        </is>
      </c>
      <c r="K4" s="256" t="inlineStr">
        <is>
          <t>07.03.2025</t>
        </is>
      </c>
      <c r="L4" s="256" t="inlineStr">
        <is>
          <t>21.01.2025</t>
        </is>
      </c>
      <c r="M4" s="256" t="inlineStr">
        <is>
          <t>07.03.2025</t>
        </is>
      </c>
      <c r="N4" s="256" t="inlineStr">
        <is>
          <t>iCoA-PP_26-003</t>
        </is>
      </c>
      <c r="O4" s="256" t="inlineStr">
        <is>
          <t>03.06.2026</t>
        </is>
      </c>
      <c r="P4" s="256" t="inlineStr">
        <is>
          <t>07.03.2025</t>
        </is>
      </c>
      <c r="Q4" s="256" t="inlineStr">
        <is>
          <t>—</t>
        </is>
      </c>
      <c r="R4" s="256" t="inlineStr">
        <is>
          <t>21.80</t>
        </is>
      </c>
      <c r="S4" s="256" t="inlineStr">
        <is>
          <t>ППК25050</t>
        </is>
      </c>
      <c r="T4" s="256" t="inlineStr">
        <is>
          <t>II</t>
        </is>
      </c>
      <c r="U4" s="256" t="inlineStr">
        <is>
          <t>19.80 – 24.19 %</t>
        </is>
      </c>
      <c r="V4" s="256" t="inlineStr">
        <is>
          <t>BG_THC22 : CBD1</t>
        </is>
      </c>
      <c r="W4" s="256" t="inlineStr">
        <is>
          <t>QCSP_001_BG-II_v.01</t>
        </is>
      </c>
      <c r="X4" s="256" t="inlineStr">
        <is>
          <t>for review — replaces the issued QCSP_001_BG-II_v.01 (was BG_THC23:CBD1, 23.00% ± 2.22%); now BG_THC22 : CBD1 19.80 – 24.19 %</t>
        </is>
      </c>
      <c r="Y4" s="256" t="inlineStr">
        <is>
          <t>INDICA</t>
        </is>
      </c>
      <c r="Z4" s="256" t="inlineStr">
        <is>
          <t>THC</t>
        </is>
      </c>
      <c r="AA4" s="256" t="inlineStr">
        <is>
          <t>MACHINE TRIMMED</t>
        </is>
      </c>
      <c r="AB4" s="256" t="inlineStr">
        <is>
          <t>—</t>
        </is>
      </c>
      <c r="AC4" s="256" t="inlineStr">
        <is>
          <t>Triplex Alu Bag | Триплекс Aлу Kеса, PET 12 · ALU 7 · PE 80, 300 × 500 mm, net. 400.0 g ±3%</t>
        </is>
      </c>
      <c r="AD4" s="256" t="inlineStr">
        <is>
          <t>27.02.2025</t>
        </is>
      </c>
      <c r="AE4" s="256" t="inlineStr">
        <is>
          <t>Conforms | Одговара</t>
        </is>
      </c>
      <c r="AF4" s="256" t="inlineStr">
        <is>
          <t>iCoA-PP_26-003</t>
        </is>
      </c>
      <c r="AG4" s="256" t="inlineStr">
        <is>
          <t>03.06.2026</t>
        </is>
      </c>
      <c r="AH4" s="256" t="inlineStr">
        <is>
          <t>Purely Plant GmbH (in-house)</t>
        </is>
      </c>
      <c r="AI4" s="256" t="inlineStr">
        <is>
          <t>Conforms | Одговара</t>
        </is>
      </c>
      <c r="AJ4" s="256" t="inlineStr">
        <is>
          <t>iCoA-PP_26-003</t>
        </is>
      </c>
      <c r="AK4" s="256" t="inlineStr">
        <is>
          <t>03.06.2026</t>
        </is>
      </c>
      <c r="AL4" s="256" t="inlineStr">
        <is>
          <t>Purely Plant GmbH (in-house)</t>
        </is>
      </c>
      <c r="AM4" s="256" t="inlineStr">
        <is>
          <t>Conforms | Одговара</t>
        </is>
      </c>
      <c r="AN4" s="256" t="inlineStr">
        <is>
          <t>ППК25050</t>
        </is>
      </c>
      <c r="AO4" s="256" t="inlineStr">
        <is>
          <t>26.02.2025</t>
        </is>
      </c>
      <c r="AP4" s="256" t="inlineStr">
        <is>
          <t>UKIM Faculty of Pharmacy — Center for Natural Products</t>
        </is>
      </c>
      <c r="AQ4" s="256" t="inlineStr">
        <is>
          <t>21.80</t>
        </is>
      </c>
      <c r="AR4" s="256" t="inlineStr">
        <is>
          <t>ППК25050</t>
        </is>
      </c>
      <c r="AS4" s="256" t="inlineStr">
        <is>
          <t>26.02.2025</t>
        </is>
      </c>
      <c r="AT4" s="256" t="inlineStr">
        <is>
          <t>UKIM Faculty of Pharmacy — Center for Natural Products</t>
        </is>
      </c>
      <c r="AU4" s="256" t="inlineStr">
        <is>
          <t>0.04</t>
        </is>
      </c>
      <c r="AV4" s="256" t="inlineStr">
        <is>
          <t>ППК25050</t>
        </is>
      </c>
      <c r="AW4" s="256" t="inlineStr">
        <is>
          <t>26.02.2025</t>
        </is>
      </c>
      <c r="AX4" s="256" t="inlineStr">
        <is>
          <t>UKIM Faculty of Pharmacy — Center for Natural Products</t>
        </is>
      </c>
      <c r="AY4" s="256" t="inlineStr">
        <is>
          <t>0.02</t>
        </is>
      </c>
      <c r="AZ4" s="256" t="inlineStr">
        <is>
          <t>ППК25050</t>
        </is>
      </c>
      <c r="BA4" s="256" t="inlineStr">
        <is>
          <t>26.02.2025</t>
        </is>
      </c>
      <c r="BB4" s="256" t="inlineStr">
        <is>
          <t>CNP</t>
        </is>
      </c>
      <c r="BC4" s="256" t="inlineStr">
        <is>
          <t>Conforms | Одговара</t>
        </is>
      </c>
      <c r="BD4" s="256" t="inlineStr">
        <is>
          <t>iCoA-PP_26-003</t>
        </is>
      </c>
      <c r="BE4" s="256" t="inlineStr">
        <is>
          <t>03.06.2026</t>
        </is>
      </c>
      <c r="BF4" s="256" t="inlineStr">
        <is>
          <t>Purely Plant GmbH (in-house)</t>
        </is>
      </c>
      <c r="BG4" s="256" t="inlineStr">
        <is>
          <t>5.73</t>
        </is>
      </c>
      <c r="BH4" s="256" t="inlineStr">
        <is>
          <t>ППК25050</t>
        </is>
      </c>
      <c r="BI4" s="256" t="inlineStr">
        <is>
          <t>26.02.2025</t>
        </is>
      </c>
      <c r="BJ4" s="256" t="inlineStr">
        <is>
          <t>UKIM Faculty of Pharmacy — Center for Natural Products</t>
        </is>
      </c>
      <c r="BK4" s="256" t="inlineStr">
        <is>
          <t>1.6 × 10⁴</t>
        </is>
      </c>
      <c r="BL4" s="256" t="inlineStr">
        <is>
          <t>163/0271/25</t>
        </is>
      </c>
      <c r="BM4" s="256" t="inlineStr">
        <is>
          <t>24.02.2025</t>
        </is>
      </c>
      <c r="BN4" s="256" t="inlineStr">
        <is>
          <t>IPH — Institute of Public Health</t>
        </is>
      </c>
      <c r="BO4" s="256" t="inlineStr">
        <is>
          <t>1 × 10⁴</t>
        </is>
      </c>
      <c r="BP4" s="256" t="inlineStr">
        <is>
          <t>163/0271/25</t>
        </is>
      </c>
      <c r="BQ4" s="256" t="inlineStr">
        <is>
          <t>24.02.2025</t>
        </is>
      </c>
      <c r="BR4" s="256" t="inlineStr">
        <is>
          <t>IPH — Institute of Public Health</t>
        </is>
      </c>
      <c r="BS4" s="256" t="inlineStr">
        <is>
          <t>&lt; 10² and &gt; 10</t>
        </is>
      </c>
      <c r="BT4" s="256" t="inlineStr">
        <is>
          <t>163/0271/25</t>
        </is>
      </c>
      <c r="BU4" s="256" t="inlineStr">
        <is>
          <t>24.02.2025</t>
        </is>
      </c>
      <c r="BV4" s="256" t="inlineStr">
        <is>
          <t>IPH — Institute of Public Health</t>
        </is>
      </c>
      <c r="BW4" s="256" t="inlineStr">
        <is>
          <t>Absent | Отсутна</t>
        </is>
      </c>
      <c r="BX4" s="256" t="inlineStr">
        <is>
          <t>163/0271/25</t>
        </is>
      </c>
      <c r="BY4" s="256" t="inlineStr">
        <is>
          <t>24.02.2025</t>
        </is>
      </c>
      <c r="BZ4" s="256" t="inlineStr">
        <is>
          <t>IPH — Institute of Public Health</t>
        </is>
      </c>
      <c r="CA4" s="256" t="inlineStr">
        <is>
          <t>Absent | Отсутна</t>
        </is>
      </c>
      <c r="CB4" s="256" t="inlineStr">
        <is>
          <t>163/0271/25</t>
        </is>
      </c>
      <c r="CC4" s="256" t="inlineStr">
        <is>
          <t>24.02.2025</t>
        </is>
      </c>
      <c r="CD4" s="256" t="inlineStr">
        <is>
          <t>IPH — Institute of Public Health</t>
        </is>
      </c>
      <c r="CE4" s="260" t="inlineStr">
        <is>
          <t>upon request — not required for release</t>
        </is>
      </c>
      <c r="CF4" s="256" t="inlineStr">
        <is>
          <t>—</t>
        </is>
      </c>
      <c r="CG4" s="256" t="inlineStr">
        <is>
          <t>—</t>
        </is>
      </c>
      <c r="CH4" s="256" t="inlineStr">
        <is>
          <t>—</t>
        </is>
      </c>
      <c r="CI4" s="260" t="inlineStr">
        <is>
          <t>upon request — not required for release</t>
        </is>
      </c>
      <c r="CJ4" s="256" t="inlineStr">
        <is>
          <t>—</t>
        </is>
      </c>
      <c r="CK4" s="256" t="inlineStr">
        <is>
          <t>—</t>
        </is>
      </c>
      <c r="CL4" s="256" t="inlineStr">
        <is>
          <t>—</t>
        </is>
      </c>
      <c r="CM4" s="259" t="inlineStr">
        <is>
          <t>not tested</t>
        </is>
      </c>
      <c r="CN4" s="256" t="inlineStr">
        <is>
          <t>—</t>
        </is>
      </c>
      <c r="CO4" s="256" t="inlineStr">
        <is>
          <t>—</t>
        </is>
      </c>
      <c r="CP4" s="256" t="inlineStr">
        <is>
          <t>—</t>
        </is>
      </c>
      <c r="CQ4" s="256" t="inlineStr">
        <is>
          <t>&lt; 2</t>
        </is>
      </c>
      <c r="CR4" s="256" t="inlineStr">
        <is>
          <t>752/2025</t>
        </is>
      </c>
      <c r="CS4" s="256" t="inlineStr">
        <is>
          <t>27.02.2025</t>
        </is>
      </c>
      <c r="CT4" s="256" t="inlineStr">
        <is>
          <t>IPH — Institute of Public Health</t>
        </is>
      </c>
      <c r="CU4" s="259" t="inlineStr">
        <is>
          <t>not tested</t>
        </is>
      </c>
      <c r="CV4" s="256" t="inlineStr">
        <is>
          <t>—</t>
        </is>
      </c>
      <c r="CW4" s="256" t="inlineStr">
        <is>
          <t>—</t>
        </is>
      </c>
      <c r="CX4" s="256" t="inlineStr">
        <is>
          <t>—</t>
        </is>
      </c>
      <c r="CY4" s="256" t="inlineStr">
        <is>
          <t>0.01</t>
        </is>
      </c>
      <c r="CZ4" s="256" t="inlineStr">
        <is>
          <t>752/2025</t>
        </is>
      </c>
      <c r="DA4" s="256" t="inlineStr">
        <is>
          <t>27.02.2025</t>
        </is>
      </c>
      <c r="DB4" s="256" t="inlineStr">
        <is>
          <t>IPH — Institute of Public Health</t>
        </is>
      </c>
      <c r="DC4" s="256" t="inlineStr">
        <is>
          <t>0.016</t>
        </is>
      </c>
      <c r="DD4" s="256" t="inlineStr">
        <is>
          <t>752/2025</t>
        </is>
      </c>
      <c r="DE4" s="256" t="inlineStr">
        <is>
          <t>27.02.2025</t>
        </is>
      </c>
      <c r="DF4" s="256" t="inlineStr">
        <is>
          <t>IPH — Institute of Public Health</t>
        </is>
      </c>
      <c r="DG4" s="256" t="inlineStr">
        <is>
          <t>0.014</t>
        </is>
      </c>
      <c r="DH4" s="256" t="inlineStr">
        <is>
          <t>752/2025</t>
        </is>
      </c>
      <c r="DI4" s="256" t="inlineStr">
        <is>
          <t>27.02.2025</t>
        </is>
      </c>
      <c r="DJ4" s="256" t="inlineStr">
        <is>
          <t>IPH — Institute of Public Health</t>
        </is>
      </c>
      <c r="DK4" s="256" t="inlineStr">
        <is>
          <t>0.005</t>
        </is>
      </c>
      <c r="DL4" s="256" t="inlineStr">
        <is>
          <t>752/2025</t>
        </is>
      </c>
      <c r="DM4" s="256" t="inlineStr">
        <is>
          <t>27.02.2025</t>
        </is>
      </c>
      <c r="DN4" s="256" t="inlineStr">
        <is>
          <t>IPH — Institute of Public Health</t>
        </is>
      </c>
      <c r="DO4" s="256" t="inlineStr">
        <is>
          <t>ND</t>
        </is>
      </c>
      <c r="DP4" s="256" t="inlineStr">
        <is>
          <t>752/2025</t>
        </is>
      </c>
      <c r="DQ4" s="256" t="inlineStr">
        <is>
          <t>27.02.2025</t>
        </is>
      </c>
      <c r="DR4" s="256" t="inlineStr">
        <is>
          <t>IPH — Institute of Public Health</t>
        </is>
      </c>
    </row>
    <row r="5">
      <c r="A5" s="256" t="inlineStr">
        <is>
          <t>CoQ-PP_26-004</t>
        </is>
      </c>
      <c r="B5" s="256" t="inlineStr">
        <is>
          <t>release</t>
        </is>
      </c>
      <c r="C5" s="256" t="inlineStr">
        <is>
          <t>issuable</t>
        </is>
      </c>
      <c r="D5" s="256" t="inlineStr">
        <is>
          <t>06.06.2026</t>
        </is>
      </c>
      <c r="E5" s="256" t="inlineStr">
        <is>
          <t>n/a — release certificate</t>
        </is>
      </c>
      <c r="F5" s="256" t="inlineStr">
        <is>
          <t>CoQ-PP-2025-0003</t>
        </is>
      </c>
      <c r="G5" s="256" t="inlineStr">
        <is>
          <t>GG1024</t>
        </is>
      </c>
      <c r="H5" s="256" t="inlineStr">
        <is>
          <t>GG1024</t>
        </is>
      </c>
      <c r="I5" s="256" t="inlineStr">
        <is>
          <t>Gorilla Glue</t>
        </is>
      </c>
      <c r="J5" s="256" t="inlineStr">
        <is>
          <t>20.01.2025</t>
        </is>
      </c>
      <c r="K5" s="256" t="inlineStr">
        <is>
          <t>11.03.2025</t>
        </is>
      </c>
      <c r="L5" s="256" t="inlineStr">
        <is>
          <t>20.01.2025</t>
        </is>
      </c>
      <c r="M5" s="256" t="inlineStr">
        <is>
          <t>11.03.2025</t>
        </is>
      </c>
      <c r="N5" s="256" t="inlineStr">
        <is>
          <t>iCoA-PP_26-004</t>
        </is>
      </c>
      <c r="O5" s="256" t="inlineStr">
        <is>
          <t>03.06.2026</t>
        </is>
      </c>
      <c r="P5" s="256" t="inlineStr">
        <is>
          <t>11.03.2025</t>
        </is>
      </c>
      <c r="Q5" s="256" t="inlineStr">
        <is>
          <t>—</t>
        </is>
      </c>
      <c r="R5" s="256" t="inlineStr">
        <is>
          <t>—</t>
        </is>
      </c>
      <c r="S5" s="256" t="inlineStr">
        <is>
          <t>—</t>
        </is>
      </c>
      <c r="T5" s="256" t="inlineStr">
        <is>
          <t>—</t>
        </is>
      </c>
      <c r="U5" s="256" t="inlineStr">
        <is>
          <t>Per grade of the potency specification of 15.09.2026 — no Total THC result on file</t>
        </is>
      </c>
      <c r="V5" s="256" t="inlineStr">
        <is>
          <t>—</t>
        </is>
      </c>
      <c r="W5" s="256" t="inlineStr">
        <is>
          <t>—</t>
        </is>
      </c>
      <c r="X5" s="256" t="inlineStr">
        <is>
          <t>—</t>
        </is>
      </c>
      <c r="Y5" s="256" t="inlineStr">
        <is>
          <t>—</t>
        </is>
      </c>
      <c r="Z5" s="256" t="inlineStr">
        <is>
          <t>—</t>
        </is>
      </c>
      <c r="AA5" s="256" t="inlineStr">
        <is>
          <t>—</t>
        </is>
      </c>
      <c r="AB5" s="256" t="inlineStr">
        <is>
          <t>—</t>
        </is>
      </c>
      <c r="AC5" s="256" t="inlineStr">
        <is>
          <t>—</t>
        </is>
      </c>
      <c r="AD5" s="256" t="inlineStr">
        <is>
          <t>04.03.2025</t>
        </is>
      </c>
      <c r="AE5" s="256" t="inlineStr">
        <is>
          <t>Conforms | Одговара</t>
        </is>
      </c>
      <c r="AF5" s="256" t="inlineStr">
        <is>
          <t>iCoA-PP_26-004</t>
        </is>
      </c>
      <c r="AG5" s="256" t="inlineStr">
        <is>
          <t>03.06.2026</t>
        </is>
      </c>
      <c r="AH5" s="256" t="inlineStr">
        <is>
          <t>Purely Plant GmbH (in-house)</t>
        </is>
      </c>
      <c r="AI5" s="256" t="inlineStr">
        <is>
          <t>Conforms | Одговара</t>
        </is>
      </c>
      <c r="AJ5" s="256" t="inlineStr">
        <is>
          <t>iCoA-PP_26-004</t>
        </is>
      </c>
      <c r="AK5" s="256" t="inlineStr">
        <is>
          <t>03.06.2026</t>
        </is>
      </c>
      <c r="AL5" s="256" t="inlineStr">
        <is>
          <t>Purely Plant GmbH (in-house)</t>
        </is>
      </c>
      <c r="AM5" s="259" t="inlineStr">
        <is>
          <t>not tested</t>
        </is>
      </c>
      <c r="AN5" s="256" t="inlineStr">
        <is>
          <t>—</t>
        </is>
      </c>
      <c r="AO5" s="256" t="inlineStr">
        <is>
          <t>—</t>
        </is>
      </c>
      <c r="AP5" s="256" t="inlineStr">
        <is>
          <t>—</t>
        </is>
      </c>
      <c r="AQ5" s="259" t="inlineStr">
        <is>
          <t>not tested</t>
        </is>
      </c>
      <c r="AR5" s="256" t="inlineStr">
        <is>
          <t>—</t>
        </is>
      </c>
      <c r="AS5" s="256" t="inlineStr">
        <is>
          <t>—</t>
        </is>
      </c>
      <c r="AT5" s="256" t="inlineStr">
        <is>
          <t>—</t>
        </is>
      </c>
      <c r="AU5" s="259" t="inlineStr">
        <is>
          <t>not tested</t>
        </is>
      </c>
      <c r="AV5" s="256" t="inlineStr">
        <is>
          <t>—</t>
        </is>
      </c>
      <c r="AW5" s="256" t="inlineStr">
        <is>
          <t>—</t>
        </is>
      </c>
      <c r="AX5" s="256" t="inlineStr">
        <is>
          <t>—</t>
        </is>
      </c>
      <c r="AY5" s="259" t="inlineStr">
        <is>
          <t>not tested</t>
        </is>
      </c>
      <c r="AZ5" s="256" t="inlineStr">
        <is>
          <t>—</t>
        </is>
      </c>
      <c r="BA5" s="256" t="inlineStr">
        <is>
          <t>—</t>
        </is>
      </c>
      <c r="BB5" s="256" t="inlineStr">
        <is>
          <t>—</t>
        </is>
      </c>
      <c r="BC5" s="256" t="inlineStr">
        <is>
          <t>Conforms | Одговара</t>
        </is>
      </c>
      <c r="BD5" s="256" t="inlineStr">
        <is>
          <t>iCoA-PP_26-004</t>
        </is>
      </c>
      <c r="BE5" s="256" t="inlineStr">
        <is>
          <t>03.06.2026</t>
        </is>
      </c>
      <c r="BF5" s="256" t="inlineStr">
        <is>
          <t>Purely Plant GmbH (in-house)</t>
        </is>
      </c>
      <c r="BG5" s="256" t="inlineStr">
        <is>
          <t>7.8</t>
        </is>
      </c>
      <c r="BH5" s="256" t="inlineStr">
        <is>
          <t>ППК25008</t>
        </is>
      </c>
      <c r="BI5" s="256" t="inlineStr">
        <is>
          <t>29.01.2025</t>
        </is>
      </c>
      <c r="BJ5" s="256" t="inlineStr">
        <is>
          <t>CNP</t>
        </is>
      </c>
      <c r="BK5" s="256" t="inlineStr">
        <is>
          <t>1.1 × 10⁴ CFU/g</t>
        </is>
      </c>
      <c r="BL5" s="256" t="inlineStr">
        <is>
          <t>166/0274/25</t>
        </is>
      </c>
      <c r="BM5" s="256" t="inlineStr">
        <is>
          <t>24.02.2025</t>
        </is>
      </c>
      <c r="BN5" s="256" t="inlineStr">
        <is>
          <t>IPH — Institute of Public Health</t>
        </is>
      </c>
      <c r="BO5" s="256" t="inlineStr">
        <is>
          <t>&lt; 10</t>
        </is>
      </c>
      <c r="BP5" s="256" t="inlineStr">
        <is>
          <t>166/0274/25</t>
        </is>
      </c>
      <c r="BQ5" s="256" t="inlineStr">
        <is>
          <t>24.02.2025</t>
        </is>
      </c>
      <c r="BR5" s="256" t="inlineStr">
        <is>
          <t>IPH — Institute of Public Health</t>
        </is>
      </c>
      <c r="BS5" s="256" t="inlineStr">
        <is>
          <t>&lt; 10² and &gt; 10 CFU/g</t>
        </is>
      </c>
      <c r="BT5" s="256" t="inlineStr">
        <is>
          <t>166/0274/25</t>
        </is>
      </c>
      <c r="BU5" s="256" t="inlineStr">
        <is>
          <t>24.02.2025</t>
        </is>
      </c>
      <c r="BV5" s="256" t="inlineStr">
        <is>
          <t>IPH — Institute of Public Health</t>
        </is>
      </c>
      <c r="BW5" s="256" t="inlineStr">
        <is>
          <t>Absent | Отсутна</t>
        </is>
      </c>
      <c r="BX5" s="256" t="inlineStr">
        <is>
          <t>166/0274/25</t>
        </is>
      </c>
      <c r="BY5" s="256" t="inlineStr">
        <is>
          <t>24.02.2025</t>
        </is>
      </c>
      <c r="BZ5" s="256" t="inlineStr">
        <is>
          <t>IPH — Institute of Public Health</t>
        </is>
      </c>
      <c r="CA5" s="256" t="inlineStr">
        <is>
          <t>Absent | Отсутна</t>
        </is>
      </c>
      <c r="CB5" s="256" t="inlineStr">
        <is>
          <t>166/0274/25</t>
        </is>
      </c>
      <c r="CC5" s="256" t="inlineStr">
        <is>
          <t>24.02.2025</t>
        </is>
      </c>
      <c r="CD5" s="256" t="inlineStr">
        <is>
          <t>IPH — Institute of Public Health</t>
        </is>
      </c>
      <c r="CE5" s="260" t="inlineStr">
        <is>
          <t>upon request — not required for release</t>
        </is>
      </c>
      <c r="CF5" s="256" t="inlineStr">
        <is>
          <t>—</t>
        </is>
      </c>
      <c r="CG5" s="256" t="inlineStr">
        <is>
          <t>—</t>
        </is>
      </c>
      <c r="CH5" s="256" t="inlineStr">
        <is>
          <t>—</t>
        </is>
      </c>
      <c r="CI5" s="260" t="inlineStr">
        <is>
          <t>upon request — not required for release</t>
        </is>
      </c>
      <c r="CJ5" s="256" t="inlineStr">
        <is>
          <t>—</t>
        </is>
      </c>
      <c r="CK5" s="256" t="inlineStr">
        <is>
          <t>—</t>
        </is>
      </c>
      <c r="CL5" s="256" t="inlineStr">
        <is>
          <t>—</t>
        </is>
      </c>
      <c r="CM5" s="259" t="inlineStr">
        <is>
          <t>not tested</t>
        </is>
      </c>
      <c r="CN5" s="256" t="inlineStr">
        <is>
          <t>—</t>
        </is>
      </c>
      <c r="CO5" s="256" t="inlineStr">
        <is>
          <t>—</t>
        </is>
      </c>
      <c r="CP5" s="256" t="inlineStr">
        <is>
          <t>—</t>
        </is>
      </c>
      <c r="CQ5" s="256" t="inlineStr">
        <is>
          <t>&lt; 2</t>
        </is>
      </c>
      <c r="CR5" s="256" t="inlineStr">
        <is>
          <t>748/2025</t>
        </is>
      </c>
      <c r="CS5" s="256" t="inlineStr">
        <is>
          <t>04.03.2025</t>
        </is>
      </c>
      <c r="CT5" s="256" t="inlineStr">
        <is>
          <t>IPH — Institute of Public Health</t>
        </is>
      </c>
      <c r="CU5" s="259" t="inlineStr">
        <is>
          <t>not tested</t>
        </is>
      </c>
      <c r="CV5" s="256" t="inlineStr">
        <is>
          <t>—</t>
        </is>
      </c>
      <c r="CW5" s="256" t="inlineStr">
        <is>
          <t>—</t>
        </is>
      </c>
      <c r="CX5" s="256" t="inlineStr">
        <is>
          <t>—</t>
        </is>
      </c>
      <c r="CY5" s="256" t="inlineStr">
        <is>
          <t>0.052</t>
        </is>
      </c>
      <c r="CZ5" s="256" t="inlineStr">
        <is>
          <t>748/2025</t>
        </is>
      </c>
      <c r="DA5" s="256" t="inlineStr">
        <is>
          <t>04.03.2025</t>
        </is>
      </c>
      <c r="DB5" s="256" t="inlineStr">
        <is>
          <t>IPH — Institute of Public Health</t>
        </is>
      </c>
      <c r="DC5" s="256" t="inlineStr">
        <is>
          <t>0.016</t>
        </is>
      </c>
      <c r="DD5" s="256" t="inlineStr">
        <is>
          <t>748/2025</t>
        </is>
      </c>
      <c r="DE5" s="256" t="inlineStr">
        <is>
          <t>04.03.2025</t>
        </is>
      </c>
      <c r="DF5" s="256" t="inlineStr">
        <is>
          <t>IPH — Institute of Public Health</t>
        </is>
      </c>
      <c r="DG5" s="256" t="inlineStr">
        <is>
          <t>0.04</t>
        </is>
      </c>
      <c r="DH5" s="256" t="inlineStr">
        <is>
          <t>748/2025</t>
        </is>
      </c>
      <c r="DI5" s="256" t="inlineStr">
        <is>
          <t>04.03.2025</t>
        </is>
      </c>
      <c r="DJ5" s="256" t="inlineStr">
        <is>
          <t>IPH — Institute of Public Health</t>
        </is>
      </c>
      <c r="DK5" s="256" t="inlineStr">
        <is>
          <t>0.004</t>
        </is>
      </c>
      <c r="DL5" s="256" t="inlineStr">
        <is>
          <t>748/2025</t>
        </is>
      </c>
      <c r="DM5" s="256" t="inlineStr">
        <is>
          <t>04.03.2025</t>
        </is>
      </c>
      <c r="DN5" s="256" t="inlineStr">
        <is>
          <t>IPH — Institute of Public Health</t>
        </is>
      </c>
      <c r="DO5" s="256" t="inlineStr">
        <is>
          <t>ND mg/Kg — all 22 residues</t>
        </is>
      </c>
      <c r="DP5" s="256" t="inlineStr">
        <is>
          <t>748/2025</t>
        </is>
      </c>
      <c r="DQ5" s="256" t="inlineStr">
        <is>
          <t>04.03.2025</t>
        </is>
      </c>
      <c r="DR5" s="256" t="inlineStr">
        <is>
          <t>IJZ</t>
        </is>
      </c>
    </row>
    <row r="6">
      <c r="A6" s="256" t="inlineStr">
        <is>
          <t>CoQ-PP_26-005</t>
        </is>
      </c>
      <c r="B6" s="256" t="inlineStr">
        <is>
          <t>release</t>
        </is>
      </c>
      <c r="C6" s="256" t="inlineStr">
        <is>
          <t>issuable</t>
        </is>
      </c>
      <c r="D6" s="256" t="inlineStr">
        <is>
          <t>06.06.2026</t>
        </is>
      </c>
      <c r="E6" s="256" t="inlineStr">
        <is>
          <t>n/a — release certificate</t>
        </is>
      </c>
      <c r="F6" s="256" t="inlineStr">
        <is>
          <t>CoQ-PP-2025-0004</t>
        </is>
      </c>
      <c r="G6" s="256" t="inlineStr">
        <is>
          <t>HPA1024</t>
        </is>
      </c>
      <c r="H6" s="256" t="inlineStr">
        <is>
          <t>HPA1024</t>
        </is>
      </c>
      <c r="I6" s="256" t="inlineStr">
        <is>
          <t>High Pro Amnesia</t>
        </is>
      </c>
      <c r="J6" s="256" t="inlineStr">
        <is>
          <t>22.01.2025</t>
        </is>
      </c>
      <c r="K6" s="256" t="inlineStr">
        <is>
          <t>11.04.2025</t>
        </is>
      </c>
      <c r="L6" s="256" t="inlineStr">
        <is>
          <t>22.01.2025</t>
        </is>
      </c>
      <c r="M6" s="256" t="inlineStr">
        <is>
          <t>11.04.2025</t>
        </is>
      </c>
      <c r="N6" s="256" t="inlineStr">
        <is>
          <t>iCoA-PP_26-005</t>
        </is>
      </c>
      <c r="O6" s="256" t="inlineStr">
        <is>
          <t>03.06.2026</t>
        </is>
      </c>
      <c r="P6" s="256" t="inlineStr">
        <is>
          <t>11.04.2025</t>
        </is>
      </c>
      <c r="Q6" s="256" t="inlineStr">
        <is>
          <t>—</t>
        </is>
      </c>
      <c r="R6" s="256" t="inlineStr">
        <is>
          <t>14.97</t>
        </is>
      </c>
      <c r="S6" s="256" t="inlineStr">
        <is>
          <t>iCoA-PP_26-005</t>
        </is>
      </c>
      <c r="T6" s="256" t="inlineStr">
        <is>
          <t>III</t>
        </is>
      </c>
      <c r="U6" s="256" t="inlineStr">
        <is>
          <t>13.80 – 16.19 %</t>
        </is>
      </c>
      <c r="V6" s="256" t="inlineStr">
        <is>
          <t>HPA_THC15 : CBD1</t>
        </is>
      </c>
      <c r="W6" s="256" t="inlineStr">
        <is>
          <t>QCSP_001_HPA-III_v.01</t>
        </is>
      </c>
      <c r="X6" s="256" t="inlineStr">
        <is>
          <t>for review — replaces the issued QCSP_001_HPA-III_v.01 (was HPA_THC18 : CBD1, 17.00 – 19.00 %); now HPA_THC15 : CBD1 13.80 – 16.19 %</t>
        </is>
      </c>
      <c r="Y6" s="256" t="inlineStr">
        <is>
          <t>SATIVA</t>
        </is>
      </c>
      <c r="Z6" s="256" t="inlineStr">
        <is>
          <t>THC</t>
        </is>
      </c>
      <c r="AA6" s="256" t="inlineStr">
        <is>
          <t>MACHINE TRIMMED</t>
        </is>
      </c>
      <c r="AB6" s="256" t="inlineStr">
        <is>
          <t>—</t>
        </is>
      </c>
      <c r="AC6" s="256" t="inlineStr">
        <is>
          <t>Triplex Alu Bag | Триплекс Aлу Kеса, PET 12 · ALU 7 · PE 80, 300 × 500 mm, net. 400.0 g ±3%</t>
        </is>
      </c>
      <c r="AD6" s="256" t="inlineStr">
        <is>
          <t>23.01.2025</t>
        </is>
      </c>
      <c r="AE6" s="256" t="inlineStr">
        <is>
          <t>Conforms | Одговара</t>
        </is>
      </c>
      <c r="AF6" s="256" t="inlineStr">
        <is>
          <t>iCoA-PP_26-005</t>
        </is>
      </c>
      <c r="AG6" s="256" t="inlineStr">
        <is>
          <t>03.06.2026</t>
        </is>
      </c>
      <c r="AH6" s="256" t="inlineStr">
        <is>
          <t>Purely Plant GmbH (in-house)</t>
        </is>
      </c>
      <c r="AI6" s="256" t="inlineStr">
        <is>
          <t>Conforms | Одговара</t>
        </is>
      </c>
      <c r="AJ6" s="256" t="inlineStr">
        <is>
          <t>iCoA-PP_26-005</t>
        </is>
      </c>
      <c r="AK6" s="256" t="inlineStr">
        <is>
          <t>03.06.2026</t>
        </is>
      </c>
      <c r="AL6" s="256" t="inlineStr">
        <is>
          <t>Purely Plant GmbH (in-house)</t>
        </is>
      </c>
      <c r="AM6" s="259" t="inlineStr">
        <is>
          <t>not tested</t>
        </is>
      </c>
      <c r="AN6" s="256" t="inlineStr">
        <is>
          <t>—</t>
        </is>
      </c>
      <c r="AO6" s="256" t="inlineStr">
        <is>
          <t>—</t>
        </is>
      </c>
      <c r="AP6" s="256" t="inlineStr">
        <is>
          <t>—</t>
        </is>
      </c>
      <c r="AQ6" s="256" t="inlineStr">
        <is>
          <t>14.97</t>
        </is>
      </c>
      <c r="AR6" s="256" t="inlineStr">
        <is>
          <t>iCoA-PP_26-005</t>
        </is>
      </c>
      <c r="AS6" s="256" t="inlineStr">
        <is>
          <t>03.06.2026</t>
        </is>
      </c>
      <c r="AT6" s="256" t="inlineStr">
        <is>
          <t>Purely Plant GmbH (in-house)</t>
        </is>
      </c>
      <c r="AU6" s="256" t="inlineStr">
        <is>
          <t>0.04</t>
        </is>
      </c>
      <c r="AV6" s="256" t="inlineStr">
        <is>
          <t>iCoA-PP_26-005</t>
        </is>
      </c>
      <c r="AW6" s="256" t="inlineStr">
        <is>
          <t>03.06.2026</t>
        </is>
      </c>
      <c r="AX6" s="256" t="inlineStr">
        <is>
          <t>Purely Plant GmbH (in-house)</t>
        </is>
      </c>
      <c r="AY6" s="259" t="inlineStr">
        <is>
          <t>not tested</t>
        </is>
      </c>
      <c r="AZ6" s="256" t="inlineStr">
        <is>
          <t>—</t>
        </is>
      </c>
      <c r="BA6" s="256" t="inlineStr">
        <is>
          <t>—</t>
        </is>
      </c>
      <c r="BB6" s="256" t="inlineStr">
        <is>
          <t>—</t>
        </is>
      </c>
      <c r="BC6" s="256" t="inlineStr">
        <is>
          <t>Conforms | Одговара</t>
        </is>
      </c>
      <c r="BD6" s="256" t="inlineStr">
        <is>
          <t>iCoA-PP_26-005</t>
        </is>
      </c>
      <c r="BE6" s="256" t="inlineStr">
        <is>
          <t>03.06.2026</t>
        </is>
      </c>
      <c r="BF6" s="256" t="inlineStr">
        <is>
          <t>Purely Plant GmbH (in-house)</t>
        </is>
      </c>
      <c r="BG6" s="259" t="inlineStr">
        <is>
          <t>not tested</t>
        </is>
      </c>
      <c r="BH6" s="256" t="inlineStr">
        <is>
          <t>—</t>
        </is>
      </c>
      <c r="BI6" s="256" t="inlineStr">
        <is>
          <t>—</t>
        </is>
      </c>
      <c r="BJ6" s="256" t="inlineStr">
        <is>
          <t>—</t>
        </is>
      </c>
      <c r="BK6" s="256" t="inlineStr">
        <is>
          <t>5.2 × 10⁴</t>
        </is>
      </c>
      <c r="BL6" s="256" t="inlineStr">
        <is>
          <t>iCoA-PP_26-005</t>
        </is>
      </c>
      <c r="BM6" s="256" t="inlineStr">
        <is>
          <t>03.06.2026</t>
        </is>
      </c>
      <c r="BN6" s="256" t="inlineStr">
        <is>
          <t>Purely Plant GmbH (in-house)</t>
        </is>
      </c>
      <c r="BO6" s="256" t="inlineStr">
        <is>
          <t>7 × 10²</t>
        </is>
      </c>
      <c r="BP6" s="256" t="inlineStr">
        <is>
          <t>iCoA-PP_26-005</t>
        </is>
      </c>
      <c r="BQ6" s="256" t="inlineStr">
        <is>
          <t>03.06.2026</t>
        </is>
      </c>
      <c r="BR6" s="256" t="inlineStr">
        <is>
          <t>Purely Plant GmbH (in-house)</t>
        </is>
      </c>
      <c r="BS6" s="256" t="inlineStr">
        <is>
          <t>&lt; 10</t>
        </is>
      </c>
      <c r="BT6" s="256" t="inlineStr">
        <is>
          <t>iCoA-PP_26-005</t>
        </is>
      </c>
      <c r="BU6" s="256" t="inlineStr">
        <is>
          <t>03.06.2026</t>
        </is>
      </c>
      <c r="BV6" s="256" t="inlineStr">
        <is>
          <t>Purely Plant GmbH (in-house)</t>
        </is>
      </c>
      <c r="BW6" s="256" t="inlineStr">
        <is>
          <t>Absent | Отсутна</t>
        </is>
      </c>
      <c r="BX6" s="256" t="inlineStr">
        <is>
          <t>iCoA-PP_26-005</t>
        </is>
      </c>
      <c r="BY6" s="256" t="inlineStr">
        <is>
          <t>03.06.2026</t>
        </is>
      </c>
      <c r="BZ6" s="256" t="inlineStr">
        <is>
          <t>Purely Plant GmbH (in-house)</t>
        </is>
      </c>
      <c r="CA6" s="256" t="inlineStr">
        <is>
          <t>Absent | Отсутна</t>
        </is>
      </c>
      <c r="CB6" s="256" t="inlineStr">
        <is>
          <t>iCoA-PP_26-005</t>
        </is>
      </c>
      <c r="CC6" s="256" t="inlineStr">
        <is>
          <t>03.06.2026</t>
        </is>
      </c>
      <c r="CD6" s="256" t="inlineStr">
        <is>
          <t>Purely Plant GmbH (in-house)</t>
        </is>
      </c>
      <c r="CE6" s="260" t="inlineStr">
        <is>
          <t>upon request — not required for release</t>
        </is>
      </c>
      <c r="CF6" s="256" t="inlineStr">
        <is>
          <t>—</t>
        </is>
      </c>
      <c r="CG6" s="256" t="inlineStr">
        <is>
          <t>—</t>
        </is>
      </c>
      <c r="CH6" s="256" t="inlineStr">
        <is>
          <t>—</t>
        </is>
      </c>
      <c r="CI6" s="260" t="inlineStr">
        <is>
          <t>upon request — not required for release</t>
        </is>
      </c>
      <c r="CJ6" s="256" t="inlineStr">
        <is>
          <t>—</t>
        </is>
      </c>
      <c r="CK6" s="256" t="inlineStr">
        <is>
          <t>—</t>
        </is>
      </c>
      <c r="CL6" s="256" t="inlineStr">
        <is>
          <t>—</t>
        </is>
      </c>
      <c r="CM6" s="259" t="inlineStr">
        <is>
          <t>not tested</t>
        </is>
      </c>
      <c r="CN6" s="256" t="inlineStr">
        <is>
          <t>—</t>
        </is>
      </c>
      <c r="CO6" s="256" t="inlineStr">
        <is>
          <t>—</t>
        </is>
      </c>
      <c r="CP6" s="256" t="inlineStr">
        <is>
          <t>—</t>
        </is>
      </c>
      <c r="CQ6" s="256" t="inlineStr">
        <is>
          <t>&lt; 2</t>
        </is>
      </c>
      <c r="CR6" s="256" t="inlineStr">
        <is>
          <t>iCoA-PP_26-005</t>
        </is>
      </c>
      <c r="CS6" s="256" t="inlineStr">
        <is>
          <t>03.06.2026</t>
        </is>
      </c>
      <c r="CT6" s="256" t="inlineStr">
        <is>
          <t>Purely Plant GmbH (in-house)</t>
        </is>
      </c>
      <c r="CU6" s="259" t="inlineStr">
        <is>
          <t>not tested</t>
        </is>
      </c>
      <c r="CV6" s="256" t="inlineStr">
        <is>
          <t>—</t>
        </is>
      </c>
      <c r="CW6" s="256" t="inlineStr">
        <is>
          <t>—</t>
        </is>
      </c>
      <c r="CX6" s="256" t="inlineStr">
        <is>
          <t>—</t>
        </is>
      </c>
      <c r="CY6" s="256" t="inlineStr">
        <is>
          <t>0.02</t>
        </is>
      </c>
      <c r="CZ6" s="256" t="inlineStr">
        <is>
          <t>iCoA-PP_26-005</t>
        </is>
      </c>
      <c r="DA6" s="256" t="inlineStr">
        <is>
          <t>03.06.2026</t>
        </is>
      </c>
      <c r="DB6" s="256" t="inlineStr">
        <is>
          <t>Purely Plant GmbH (in-house)</t>
        </is>
      </c>
      <c r="DC6" s="256" t="inlineStr">
        <is>
          <t>0.013</t>
        </is>
      </c>
      <c r="DD6" s="256" t="inlineStr">
        <is>
          <t>iCoA-PP_26-005</t>
        </is>
      </c>
      <c r="DE6" s="256" t="inlineStr">
        <is>
          <t>03.06.2026</t>
        </is>
      </c>
      <c r="DF6" s="256" t="inlineStr">
        <is>
          <t>Purely Plant GmbH (in-house)</t>
        </is>
      </c>
      <c r="DG6" s="256" t="inlineStr">
        <is>
          <t>0.017</t>
        </is>
      </c>
      <c r="DH6" s="256" t="inlineStr">
        <is>
          <t>iCoA-PP_26-005</t>
        </is>
      </c>
      <c r="DI6" s="256" t="inlineStr">
        <is>
          <t>03.06.2026</t>
        </is>
      </c>
      <c r="DJ6" s="256" t="inlineStr">
        <is>
          <t>Purely Plant GmbH (in-house)</t>
        </is>
      </c>
      <c r="DK6" s="256" t="inlineStr">
        <is>
          <t>0.0026</t>
        </is>
      </c>
      <c r="DL6" s="256" t="inlineStr">
        <is>
          <t>iCoA-PP_26-005</t>
        </is>
      </c>
      <c r="DM6" s="256" t="inlineStr">
        <is>
          <t>03.06.2026</t>
        </is>
      </c>
      <c r="DN6" s="256" t="inlineStr">
        <is>
          <t>Purely Plant GmbH (in-house)</t>
        </is>
      </c>
      <c r="DO6" s="256" t="inlineStr">
        <is>
          <t>ND</t>
        </is>
      </c>
      <c r="DP6" s="256" t="inlineStr">
        <is>
          <t>iCoA-PP_26-005</t>
        </is>
      </c>
      <c r="DQ6" s="256" t="inlineStr">
        <is>
          <t>03.06.2026</t>
        </is>
      </c>
      <c r="DR6" s="256" t="inlineStr">
        <is>
          <t>Purely Plant GmbH (in-house)</t>
        </is>
      </c>
    </row>
    <row r="7">
      <c r="A7" s="256" t="inlineStr">
        <is>
          <t>CoQ-PP_26-006</t>
        </is>
      </c>
      <c r="B7" s="256" t="inlineStr">
        <is>
          <t>release</t>
        </is>
      </c>
      <c r="C7" s="256" t="inlineStr">
        <is>
          <t>issuable</t>
        </is>
      </c>
      <c r="D7" s="256" t="inlineStr">
        <is>
          <t>06.06.2026</t>
        </is>
      </c>
      <c r="E7" s="256" t="inlineStr">
        <is>
          <t>n/a — release certificate</t>
        </is>
      </c>
      <c r="F7" s="256" t="inlineStr">
        <is>
          <t>CoQ-PP-2025-0005</t>
        </is>
      </c>
      <c r="G7" s="256" t="inlineStr">
        <is>
          <t>OPM1024</t>
        </is>
      </c>
      <c r="H7" s="256" t="inlineStr">
        <is>
          <t>OPM1024</t>
        </is>
      </c>
      <c r="I7" s="256" t="inlineStr">
        <is>
          <t>Orange Punch Mimosa</t>
        </is>
      </c>
      <c r="J7" s="256" t="inlineStr">
        <is>
          <t>21.01.2025</t>
        </is>
      </c>
      <c r="K7" s="256" t="inlineStr">
        <is>
          <t>24.04.2025 – 25.04.2025</t>
        </is>
      </c>
      <c r="L7" s="256" t="inlineStr">
        <is>
          <t>21.01.2025</t>
        </is>
      </c>
      <c r="M7" s="256" t="inlineStr">
        <is>
          <t>24.04.2025</t>
        </is>
      </c>
      <c r="N7" s="256" t="inlineStr">
        <is>
          <t>iCoA-PP_26-006</t>
        </is>
      </c>
      <c r="O7" s="256" t="inlineStr">
        <is>
          <t>03.06.2026</t>
        </is>
      </c>
      <c r="P7" s="256" t="inlineStr">
        <is>
          <t>24.04.2025</t>
        </is>
      </c>
      <c r="Q7" s="256" t="inlineStr">
        <is>
          <t>—</t>
        </is>
      </c>
      <c r="R7" s="256" t="inlineStr">
        <is>
          <t>19.96</t>
        </is>
      </c>
      <c r="S7" s="256" t="inlineStr">
        <is>
          <t>iCoA-PP_26-006</t>
        </is>
      </c>
      <c r="T7" s="256" t="inlineStr">
        <is>
          <t>I</t>
        </is>
      </c>
      <c r="U7" s="256" t="inlineStr">
        <is>
          <t>18.60 – 21.39 %</t>
        </is>
      </c>
      <c r="V7" s="256" t="inlineStr">
        <is>
          <t>OPM_THC20 : CBD1</t>
        </is>
      </c>
      <c r="W7" s="256" t="inlineStr">
        <is>
          <t>QCSP_001_OPM-I_v.01</t>
        </is>
      </c>
      <c r="X7" s="256" t="inlineStr">
        <is>
          <t>for review — replaces the issued QCSP_001_OPM-I_v.01 (was OPM_THC22 : CBD1, 19.81 – 24.19 %); now OPM_THC20 : CBD1 18.60 – 21.39 %</t>
        </is>
      </c>
      <c r="Y7" s="256" t="inlineStr">
        <is>
          <t>INDICA</t>
        </is>
      </c>
      <c r="Z7" s="256" t="inlineStr">
        <is>
          <t>THC</t>
        </is>
      </c>
      <c r="AA7" s="256" t="inlineStr">
        <is>
          <t>MACHINE TRIMMED</t>
        </is>
      </c>
      <c r="AB7" s="256" t="inlineStr">
        <is>
          <t>—</t>
        </is>
      </c>
      <c r="AC7" s="256" t="inlineStr">
        <is>
          <t>Triplex Alu Bag | Триплекс Aлу Kеса, PET 12 · ALU 7 · PE 80, 300 × 500 mm, net. 400.0 g ±3%</t>
        </is>
      </c>
      <c r="AD7" s="256" t="inlineStr">
        <is>
          <t>23.04.2025</t>
        </is>
      </c>
      <c r="AE7" s="256" t="inlineStr">
        <is>
          <t>Conforms | Одговара</t>
        </is>
      </c>
      <c r="AF7" s="256" t="inlineStr">
        <is>
          <t>iCoA-PP_26-006</t>
        </is>
      </c>
      <c r="AG7" s="256" t="inlineStr">
        <is>
          <t>03.06.2026</t>
        </is>
      </c>
      <c r="AH7" s="256" t="inlineStr">
        <is>
          <t>Purely Plant GmbH (in-house)</t>
        </is>
      </c>
      <c r="AI7" s="256" t="inlineStr">
        <is>
          <t>Conforms | Одговара</t>
        </is>
      </c>
      <c r="AJ7" s="256" t="inlineStr">
        <is>
          <t>iCoA-PP_26-006</t>
        </is>
      </c>
      <c r="AK7" s="256" t="inlineStr">
        <is>
          <t>03.06.2026</t>
        </is>
      </c>
      <c r="AL7" s="256" t="inlineStr">
        <is>
          <t>Purely Plant GmbH (in-house)</t>
        </is>
      </c>
      <c r="AM7" s="259" t="inlineStr">
        <is>
          <t>not tested</t>
        </is>
      </c>
      <c r="AN7" s="256" t="inlineStr">
        <is>
          <t>—</t>
        </is>
      </c>
      <c r="AO7" s="256" t="inlineStr">
        <is>
          <t>—</t>
        </is>
      </c>
      <c r="AP7" s="256" t="inlineStr">
        <is>
          <t>—</t>
        </is>
      </c>
      <c r="AQ7" s="256" t="inlineStr">
        <is>
          <t>19.96</t>
        </is>
      </c>
      <c r="AR7" s="256" t="inlineStr">
        <is>
          <t>iCoA-PP_26-006</t>
        </is>
      </c>
      <c r="AS7" s="256" t="inlineStr">
        <is>
          <t>03.06.2026</t>
        </is>
      </c>
      <c r="AT7" s="256" t="inlineStr">
        <is>
          <t>Purely Plant GmbH (in-house)</t>
        </is>
      </c>
      <c r="AU7" s="256" t="inlineStr">
        <is>
          <t>0.05</t>
        </is>
      </c>
      <c r="AV7" s="256" t="inlineStr">
        <is>
          <t>iCoA-PP_26-006</t>
        </is>
      </c>
      <c r="AW7" s="256" t="inlineStr">
        <is>
          <t>03.06.2026</t>
        </is>
      </c>
      <c r="AX7" s="256" t="inlineStr">
        <is>
          <t>Purely Plant GmbH (in-house)</t>
        </is>
      </c>
      <c r="AY7" s="259" t="inlineStr">
        <is>
          <t>not tested</t>
        </is>
      </c>
      <c r="AZ7" s="256" t="inlineStr">
        <is>
          <t>—</t>
        </is>
      </c>
      <c r="BA7" s="256" t="inlineStr">
        <is>
          <t>—</t>
        </is>
      </c>
      <c r="BB7" s="256" t="inlineStr">
        <is>
          <t>—</t>
        </is>
      </c>
      <c r="BC7" s="256" t="inlineStr">
        <is>
          <t>Conforms | Одговара</t>
        </is>
      </c>
      <c r="BD7" s="256" t="inlineStr">
        <is>
          <t>iCoA-PP_26-006</t>
        </is>
      </c>
      <c r="BE7" s="256" t="inlineStr">
        <is>
          <t>03.06.2026</t>
        </is>
      </c>
      <c r="BF7" s="256" t="inlineStr">
        <is>
          <t>Purely Plant GmbH (in-house)</t>
        </is>
      </c>
      <c r="BG7" s="259" t="inlineStr">
        <is>
          <t>not tested</t>
        </is>
      </c>
      <c r="BH7" s="256" t="inlineStr">
        <is>
          <t>—</t>
        </is>
      </c>
      <c r="BI7" s="256" t="inlineStr">
        <is>
          <t>—</t>
        </is>
      </c>
      <c r="BJ7" s="256" t="inlineStr">
        <is>
          <t>—</t>
        </is>
      </c>
      <c r="BK7" s="256" t="inlineStr">
        <is>
          <t>1.3 × 10⁴</t>
        </is>
      </c>
      <c r="BL7" s="256" t="inlineStr">
        <is>
          <t>iCoA-PP_26-006</t>
        </is>
      </c>
      <c r="BM7" s="256" t="inlineStr">
        <is>
          <t>03.06.2026</t>
        </is>
      </c>
      <c r="BN7" s="256" t="inlineStr">
        <is>
          <t>Purely Plant GmbH (in-house)</t>
        </is>
      </c>
      <c r="BO7" s="256" t="inlineStr">
        <is>
          <t>7 × 10²</t>
        </is>
      </c>
      <c r="BP7" s="256" t="inlineStr">
        <is>
          <t>iCoA-PP_26-006</t>
        </is>
      </c>
      <c r="BQ7" s="256" t="inlineStr">
        <is>
          <t>03.06.2026</t>
        </is>
      </c>
      <c r="BR7" s="256" t="inlineStr">
        <is>
          <t>Purely Plant GmbH (in-house)</t>
        </is>
      </c>
      <c r="BS7" s="256" t="inlineStr">
        <is>
          <t>&lt; 10² &gt; 10³</t>
        </is>
      </c>
      <c r="BT7" s="256" t="inlineStr">
        <is>
          <t>iCoA-PP_26-006</t>
        </is>
      </c>
      <c r="BU7" s="256" t="inlineStr">
        <is>
          <t>03.06.2026</t>
        </is>
      </c>
      <c r="BV7" s="256" t="inlineStr">
        <is>
          <t>Purely Plant GmbH (in-house)</t>
        </is>
      </c>
      <c r="BW7" s="256" t="inlineStr">
        <is>
          <t>Absent | Отсутна</t>
        </is>
      </c>
      <c r="BX7" s="256" t="inlineStr">
        <is>
          <t>iCoA-PP_26-006</t>
        </is>
      </c>
      <c r="BY7" s="256" t="inlineStr">
        <is>
          <t>03.06.2026</t>
        </is>
      </c>
      <c r="BZ7" s="256" t="inlineStr">
        <is>
          <t>Purely Plant GmbH (in-house)</t>
        </is>
      </c>
      <c r="CA7" s="256" t="inlineStr">
        <is>
          <t>Absent | Отсутна</t>
        </is>
      </c>
      <c r="CB7" s="256" t="inlineStr">
        <is>
          <t>iCoA-PP_26-006</t>
        </is>
      </c>
      <c r="CC7" s="256" t="inlineStr">
        <is>
          <t>03.06.2026</t>
        </is>
      </c>
      <c r="CD7" s="256" t="inlineStr">
        <is>
          <t>Purely Plant GmbH (in-house)</t>
        </is>
      </c>
      <c r="CE7" s="260" t="inlineStr">
        <is>
          <t>upon request — not required for release</t>
        </is>
      </c>
      <c r="CF7" s="256" t="inlineStr">
        <is>
          <t>—</t>
        </is>
      </c>
      <c r="CG7" s="256" t="inlineStr">
        <is>
          <t>—</t>
        </is>
      </c>
      <c r="CH7" s="256" t="inlineStr">
        <is>
          <t>—</t>
        </is>
      </c>
      <c r="CI7" s="260" t="inlineStr">
        <is>
          <t>upon request — not required for release</t>
        </is>
      </c>
      <c r="CJ7" s="256" t="inlineStr">
        <is>
          <t>—</t>
        </is>
      </c>
      <c r="CK7" s="256" t="inlineStr">
        <is>
          <t>—</t>
        </is>
      </c>
      <c r="CL7" s="256" t="inlineStr">
        <is>
          <t>—</t>
        </is>
      </c>
      <c r="CM7" s="259" t="inlineStr">
        <is>
          <t>not tested</t>
        </is>
      </c>
      <c r="CN7" s="256" t="inlineStr">
        <is>
          <t>—</t>
        </is>
      </c>
      <c r="CO7" s="256" t="inlineStr">
        <is>
          <t>—</t>
        </is>
      </c>
      <c r="CP7" s="256" t="inlineStr">
        <is>
          <t>—</t>
        </is>
      </c>
      <c r="CQ7" s="256" t="inlineStr">
        <is>
          <t>&lt; 2</t>
        </is>
      </c>
      <c r="CR7" s="256" t="inlineStr">
        <is>
          <t>iCoA-PP_26-006</t>
        </is>
      </c>
      <c r="CS7" s="256" t="inlineStr">
        <is>
          <t>03.06.2026</t>
        </is>
      </c>
      <c r="CT7" s="256" t="inlineStr">
        <is>
          <t>Purely Plant GmbH (in-house)</t>
        </is>
      </c>
      <c r="CU7" s="259" t="inlineStr">
        <is>
          <t>not tested</t>
        </is>
      </c>
      <c r="CV7" s="256" t="inlineStr">
        <is>
          <t>—</t>
        </is>
      </c>
      <c r="CW7" s="256" t="inlineStr">
        <is>
          <t>—</t>
        </is>
      </c>
      <c r="CX7" s="256" t="inlineStr">
        <is>
          <t>—</t>
        </is>
      </c>
      <c r="CY7" s="256" t="inlineStr">
        <is>
          <t>0.031</t>
        </is>
      </c>
      <c r="CZ7" s="256" t="inlineStr">
        <is>
          <t>iCoA-PP_26-006</t>
        </is>
      </c>
      <c r="DA7" s="256" t="inlineStr">
        <is>
          <t>03.06.2026</t>
        </is>
      </c>
      <c r="DB7" s="256" t="inlineStr">
        <is>
          <t>Purely Plant GmbH (in-house)</t>
        </is>
      </c>
      <c r="DC7" s="256" t="inlineStr">
        <is>
          <t>0.017</t>
        </is>
      </c>
      <c r="DD7" s="256" t="inlineStr">
        <is>
          <t>iCoA-PP_26-006</t>
        </is>
      </c>
      <c r="DE7" s="256" t="inlineStr">
        <is>
          <t>03.06.2026</t>
        </is>
      </c>
      <c r="DF7" s="256" t="inlineStr">
        <is>
          <t>Purely Plant GmbH (in-house)</t>
        </is>
      </c>
      <c r="DG7" s="256" t="inlineStr">
        <is>
          <t>0.045</t>
        </is>
      </c>
      <c r="DH7" s="256" t="inlineStr">
        <is>
          <t>iCoA-PP_26-006</t>
        </is>
      </c>
      <c r="DI7" s="256" t="inlineStr">
        <is>
          <t>03.06.2026</t>
        </is>
      </c>
      <c r="DJ7" s="256" t="inlineStr">
        <is>
          <t>Purely Plant GmbH (in-house)</t>
        </is>
      </c>
      <c r="DK7" s="256" t="inlineStr">
        <is>
          <t>0.005</t>
        </is>
      </c>
      <c r="DL7" s="256" t="inlineStr">
        <is>
          <t>iCoA-PP_26-006</t>
        </is>
      </c>
      <c r="DM7" s="256" t="inlineStr">
        <is>
          <t>03.06.2026</t>
        </is>
      </c>
      <c r="DN7" s="256" t="inlineStr">
        <is>
          <t>Purely Plant GmbH (in-house)</t>
        </is>
      </c>
      <c r="DO7" s="256" t="inlineStr">
        <is>
          <t>ND</t>
        </is>
      </c>
      <c r="DP7" s="256" t="inlineStr">
        <is>
          <t>iCoA-PP_26-006</t>
        </is>
      </c>
      <c r="DQ7" s="256" t="inlineStr">
        <is>
          <t>03.06.2026</t>
        </is>
      </c>
      <c r="DR7" s="256" t="inlineStr">
        <is>
          <t>Purely Plant GmbH (in-house)</t>
        </is>
      </c>
    </row>
    <row r="8">
      <c r="A8" s="256" t="inlineStr">
        <is>
          <t>CoQ-PP_26-007</t>
        </is>
      </c>
      <c r="B8" s="256" t="inlineStr">
        <is>
          <t>release</t>
        </is>
      </c>
      <c r="C8" s="256" t="inlineStr">
        <is>
          <t>issuable</t>
        </is>
      </c>
      <c r="D8" s="256" t="inlineStr">
        <is>
          <t>06.06.2026</t>
        </is>
      </c>
      <c r="E8" s="256" t="inlineStr">
        <is>
          <t>n/a — release certificate</t>
        </is>
      </c>
      <c r="F8" s="256" t="inlineStr">
        <is>
          <t>CoQ-PP-2025-0006</t>
        </is>
      </c>
      <c r="G8" s="256" t="inlineStr">
        <is>
          <t>GP0824_02</t>
        </is>
      </c>
      <c r="H8" s="256" t="inlineStr">
        <is>
          <t>P050022</t>
        </is>
      </c>
      <c r="I8" s="256" t="inlineStr">
        <is>
          <t>Grape Pie</t>
        </is>
      </c>
      <c r="J8" s="256" t="inlineStr">
        <is>
          <t>22.04.2025 – 23.04.2025</t>
        </is>
      </c>
      <c r="K8" s="256" t="inlineStr">
        <is>
          <t>03.06.2025 – 11.06.2025</t>
        </is>
      </c>
      <c r="L8" s="256" t="inlineStr">
        <is>
          <t>22.04.2025</t>
        </is>
      </c>
      <c r="M8" s="256" t="inlineStr">
        <is>
          <t>03.06.2025</t>
        </is>
      </c>
      <c r="N8" s="256" t="inlineStr">
        <is>
          <t>iCoA-PP_26-008</t>
        </is>
      </c>
      <c r="O8" s="256" t="inlineStr">
        <is>
          <t>03.06.2026</t>
        </is>
      </c>
      <c r="P8" s="256" t="inlineStr">
        <is>
          <t>03.06.2025</t>
        </is>
      </c>
      <c r="Q8" s="256" t="inlineStr">
        <is>
          <t>—</t>
        </is>
      </c>
      <c r="R8" s="256" t="inlineStr">
        <is>
          <t>23.79</t>
        </is>
      </c>
      <c r="S8" s="256" t="inlineStr">
        <is>
          <t>ППК25139</t>
        </is>
      </c>
      <c r="T8" s="256" t="inlineStr">
        <is>
          <t>II</t>
        </is>
      </c>
      <c r="U8" s="256" t="inlineStr">
        <is>
          <t>22.00 – 25.99 %</t>
        </is>
      </c>
      <c r="V8" s="256" t="inlineStr">
        <is>
          <t>GP_THC24 : CBD1</t>
        </is>
      </c>
      <c r="W8" s="256" t="inlineStr">
        <is>
          <t>QCSP_001_GP-II_v.01</t>
        </is>
      </c>
      <c r="X8" s="256" t="inlineStr">
        <is>
          <t>for review — replaces the issued QCSP_001_GP-II_v.01 (was GP_THC26 : CBD1, 25.40 – 26.60 %); now GP_THC24 : CBD1 22.00 – 25.99 %</t>
        </is>
      </c>
      <c r="Y8" s="256" t="inlineStr">
        <is>
          <t>HYBRID</t>
        </is>
      </c>
      <c r="Z8" s="256" t="inlineStr">
        <is>
          <t>THC</t>
        </is>
      </c>
      <c r="AA8" s="256" t="inlineStr">
        <is>
          <t>MACHINE TRIMMED</t>
        </is>
      </c>
      <c r="AB8" s="256" t="inlineStr">
        <is>
          <t>INDICA-DOMINANT</t>
        </is>
      </c>
      <c r="AC8" s="256" t="inlineStr">
        <is>
          <t>Triplex Alu Bag | Триплекс Aлу Kеса, PET 12 · ALU 7 · PE 80, 300 × 500 mm, net. 400.0 g ±3%</t>
        </is>
      </c>
      <c r="AD8" s="256" t="inlineStr">
        <is>
          <t>02.07.2025</t>
        </is>
      </c>
      <c r="AE8" s="256" t="inlineStr">
        <is>
          <t>Conforms | Одговара</t>
        </is>
      </c>
      <c r="AF8" s="256" t="inlineStr">
        <is>
          <t>iCoA-PP_26-008</t>
        </is>
      </c>
      <c r="AG8" s="256" t="inlineStr">
        <is>
          <t>03.06.2026</t>
        </is>
      </c>
      <c r="AH8" s="256" t="inlineStr">
        <is>
          <t>Purely Plant GmbH (in-house)</t>
        </is>
      </c>
      <c r="AI8" s="256" t="inlineStr">
        <is>
          <t>Conforms | Одговара</t>
        </is>
      </c>
      <c r="AJ8" s="256" t="inlineStr">
        <is>
          <t>iCoA-PP_26-008</t>
        </is>
      </c>
      <c r="AK8" s="256" t="inlineStr">
        <is>
          <t>03.06.2026</t>
        </is>
      </c>
      <c r="AL8" s="256" t="inlineStr">
        <is>
          <t>Purely Plant GmbH (in-house)</t>
        </is>
      </c>
      <c r="AM8" s="256" t="inlineStr">
        <is>
          <t>Conforms | Одговара</t>
        </is>
      </c>
      <c r="AN8" s="256" t="inlineStr">
        <is>
          <t>ППК25139</t>
        </is>
      </c>
      <c r="AO8" s="256" t="inlineStr">
        <is>
          <t>22.05.2025</t>
        </is>
      </c>
      <c r="AP8" s="256" t="inlineStr">
        <is>
          <t>UKIM Faculty of Pharmacy — Center for Natural Products</t>
        </is>
      </c>
      <c r="AQ8" s="256" t="inlineStr">
        <is>
          <t>23.79</t>
        </is>
      </c>
      <c r="AR8" s="256" t="inlineStr">
        <is>
          <t>ППК25139</t>
        </is>
      </c>
      <c r="AS8" s="256" t="inlineStr">
        <is>
          <t>22.05.2025</t>
        </is>
      </c>
      <c r="AT8" s="256" t="inlineStr">
        <is>
          <t>UKIM Faculty of Pharmacy — Center for Natural Products</t>
        </is>
      </c>
      <c r="AU8" s="256" t="inlineStr">
        <is>
          <t>0.10</t>
        </is>
      </c>
      <c r="AV8" s="256" t="inlineStr">
        <is>
          <t>ППК25139</t>
        </is>
      </c>
      <c r="AW8" s="256" t="inlineStr">
        <is>
          <t>22.05.2025</t>
        </is>
      </c>
      <c r="AX8" s="256" t="inlineStr">
        <is>
          <t>UKIM Faculty of Pharmacy — Center for Natural Products</t>
        </is>
      </c>
      <c r="AY8" s="256" t="inlineStr">
        <is>
          <t>0.02</t>
        </is>
      </c>
      <c r="AZ8" s="256" t="inlineStr">
        <is>
          <t>ППК25139</t>
        </is>
      </c>
      <c r="BA8" s="256" t="inlineStr">
        <is>
          <t>22.05.2025</t>
        </is>
      </c>
      <c r="BB8" s="256" t="inlineStr">
        <is>
          <t>UKIM Faculty of Pharmacy — Center for Natural Products</t>
        </is>
      </c>
      <c r="BC8" s="256" t="inlineStr">
        <is>
          <t>Conforms | Одговара</t>
        </is>
      </c>
      <c r="BD8" s="256" t="inlineStr">
        <is>
          <t>iCoA-PP_26-008</t>
        </is>
      </c>
      <c r="BE8" s="256" t="inlineStr">
        <is>
          <t>03.06.2026</t>
        </is>
      </c>
      <c r="BF8" s="256" t="inlineStr">
        <is>
          <t>Purely Plant GmbH (in-house)</t>
        </is>
      </c>
      <c r="BG8" s="256" t="inlineStr">
        <is>
          <t>7.21</t>
        </is>
      </c>
      <c r="BH8" s="256" t="inlineStr">
        <is>
          <t>ППК25139</t>
        </is>
      </c>
      <c r="BI8" s="256" t="inlineStr">
        <is>
          <t>22.05.2025</t>
        </is>
      </c>
      <c r="BJ8" s="256" t="inlineStr">
        <is>
          <t>UKIM Faculty of Pharmacy — Center for Natural Products</t>
        </is>
      </c>
      <c r="BK8" s="256" t="inlineStr">
        <is>
          <t>700</t>
        </is>
      </c>
      <c r="BL8" s="256" t="inlineStr">
        <is>
          <t>471-0862-25</t>
        </is>
      </c>
      <c r="BM8" s="256" t="inlineStr">
        <is>
          <t>22.05.2025</t>
        </is>
      </c>
      <c r="BN8" s="256" t="inlineStr">
        <is>
          <t>IPH — Institute of Public Health</t>
        </is>
      </c>
      <c r="BO8" s="256" t="inlineStr">
        <is>
          <t>&lt; 10</t>
        </is>
      </c>
      <c r="BP8" s="256" t="inlineStr">
        <is>
          <t>471-0862-25</t>
        </is>
      </c>
      <c r="BQ8" s="256" t="inlineStr">
        <is>
          <t>22.05.2025</t>
        </is>
      </c>
      <c r="BR8" s="256" t="inlineStr">
        <is>
          <t>IPH — Institute of Public Health</t>
        </is>
      </c>
      <c r="BS8" s="256" t="inlineStr">
        <is>
          <t>&lt; 10² and &gt; 10</t>
        </is>
      </c>
      <c r="BT8" s="256" t="inlineStr">
        <is>
          <t>471-0862-25</t>
        </is>
      </c>
      <c r="BU8" s="256" t="inlineStr">
        <is>
          <t>22.05.2025</t>
        </is>
      </c>
      <c r="BV8" s="256" t="inlineStr">
        <is>
          <t>IPH — Institute of Public Health</t>
        </is>
      </c>
      <c r="BW8" s="256" t="inlineStr">
        <is>
          <t>Absent | Отсутна</t>
        </is>
      </c>
      <c r="BX8" s="256" t="inlineStr">
        <is>
          <t>471-0862-25</t>
        </is>
      </c>
      <c r="BY8" s="256" t="inlineStr">
        <is>
          <t>22.05.2025</t>
        </is>
      </c>
      <c r="BZ8" s="256" t="inlineStr">
        <is>
          <t>IPH — Institute of Public Health</t>
        </is>
      </c>
      <c r="CA8" s="256" t="inlineStr">
        <is>
          <t>Absent | Отсутна</t>
        </is>
      </c>
      <c r="CB8" s="256" t="inlineStr">
        <is>
          <t>471-0862-25</t>
        </is>
      </c>
      <c r="CC8" s="256" t="inlineStr">
        <is>
          <t>22.05.2025</t>
        </is>
      </c>
      <c r="CD8" s="256" t="inlineStr">
        <is>
          <t>IPH — Institute of Public Health</t>
        </is>
      </c>
      <c r="CE8" s="260" t="inlineStr">
        <is>
          <t>upon request — not required for release</t>
        </is>
      </c>
      <c r="CF8" s="256" t="inlineStr">
        <is>
          <t>—</t>
        </is>
      </c>
      <c r="CG8" s="256" t="inlineStr">
        <is>
          <t>—</t>
        </is>
      </c>
      <c r="CH8" s="256" t="inlineStr">
        <is>
          <t>—</t>
        </is>
      </c>
      <c r="CI8" s="260" t="inlineStr">
        <is>
          <t>upon request — not required for release</t>
        </is>
      </c>
      <c r="CJ8" s="256" t="inlineStr">
        <is>
          <t>—</t>
        </is>
      </c>
      <c r="CK8" s="256" t="inlineStr">
        <is>
          <t>—</t>
        </is>
      </c>
      <c r="CL8" s="256" t="inlineStr">
        <is>
          <t>—</t>
        </is>
      </c>
      <c r="CM8" s="259" t="inlineStr">
        <is>
          <t>not tested</t>
        </is>
      </c>
      <c r="CN8" s="256" t="inlineStr">
        <is>
          <t>—</t>
        </is>
      </c>
      <c r="CO8" s="256" t="inlineStr">
        <is>
          <t>—</t>
        </is>
      </c>
      <c r="CP8" s="256" t="inlineStr">
        <is>
          <t>—</t>
        </is>
      </c>
      <c r="CQ8" s="256" t="inlineStr">
        <is>
          <t>&lt; 2</t>
        </is>
      </c>
      <c r="CR8" s="256" t="inlineStr">
        <is>
          <t>2471-2025</t>
        </is>
      </c>
      <c r="CS8" s="256" t="inlineStr">
        <is>
          <t>30.05.2025</t>
        </is>
      </c>
      <c r="CT8" s="256" t="inlineStr">
        <is>
          <t>IPH — Institute of Public Health</t>
        </is>
      </c>
      <c r="CU8" s="259" t="inlineStr">
        <is>
          <t>not tested</t>
        </is>
      </c>
      <c r="CV8" s="256" t="inlineStr">
        <is>
          <t>—</t>
        </is>
      </c>
      <c r="CW8" s="256" t="inlineStr">
        <is>
          <t>—</t>
        </is>
      </c>
      <c r="CX8" s="256" t="inlineStr">
        <is>
          <t>—</t>
        </is>
      </c>
      <c r="CY8" s="256" t="inlineStr">
        <is>
          <t>ND</t>
        </is>
      </c>
      <c r="CZ8" s="256" t="inlineStr">
        <is>
          <t>2471-2025</t>
        </is>
      </c>
      <c r="DA8" s="256" t="inlineStr">
        <is>
          <t>30.05.2025</t>
        </is>
      </c>
      <c r="DB8" s="256" t="inlineStr">
        <is>
          <t>IPH — Institute of Public Health</t>
        </is>
      </c>
      <c r="DC8" s="256" t="inlineStr">
        <is>
          <t>ND</t>
        </is>
      </c>
      <c r="DD8" s="256" t="inlineStr">
        <is>
          <t>2471-2025</t>
        </is>
      </c>
      <c r="DE8" s="256" t="inlineStr">
        <is>
          <t>30.05.2025</t>
        </is>
      </c>
      <c r="DF8" s="256" t="inlineStr">
        <is>
          <t>IPH — Institute of Public Health</t>
        </is>
      </c>
      <c r="DG8" s="256" t="inlineStr">
        <is>
          <t>ND</t>
        </is>
      </c>
      <c r="DH8" s="256" t="inlineStr">
        <is>
          <t>2471-2025</t>
        </is>
      </c>
      <c r="DI8" s="256" t="inlineStr">
        <is>
          <t>30.05.2025</t>
        </is>
      </c>
      <c r="DJ8" s="256" t="inlineStr">
        <is>
          <t>IPH — Institute of Public Health</t>
        </is>
      </c>
      <c r="DK8" s="256" t="inlineStr">
        <is>
          <t>ND</t>
        </is>
      </c>
      <c r="DL8" s="256" t="inlineStr">
        <is>
          <t>2471-2025</t>
        </is>
      </c>
      <c r="DM8" s="256" t="inlineStr">
        <is>
          <t>30.05.2025</t>
        </is>
      </c>
      <c r="DN8" s="256" t="inlineStr">
        <is>
          <t>IPH — Institute of Public Health</t>
        </is>
      </c>
      <c r="DO8" s="256" t="inlineStr">
        <is>
          <t>ND</t>
        </is>
      </c>
      <c r="DP8" s="256" t="inlineStr">
        <is>
          <t>2471-2025</t>
        </is>
      </c>
      <c r="DQ8" s="256" t="inlineStr">
        <is>
          <t>30.05.2025</t>
        </is>
      </c>
      <c r="DR8" s="256" t="inlineStr">
        <is>
          <t>IPH — Institute of Public Health</t>
        </is>
      </c>
    </row>
    <row r="9">
      <c r="A9" s="256" t="inlineStr">
        <is>
          <t>CoQ-PP_26-008</t>
        </is>
      </c>
      <c r="B9" s="256" t="inlineStr">
        <is>
          <t>release</t>
        </is>
      </c>
      <c r="C9" s="256" t="inlineStr">
        <is>
          <t>issuable</t>
        </is>
      </c>
      <c r="D9" s="256" t="inlineStr">
        <is>
          <t>06.06.2026</t>
        </is>
      </c>
      <c r="E9" s="256" t="inlineStr">
        <is>
          <t>n/a — release certificate</t>
        </is>
      </c>
      <c r="F9" s="256" t="inlineStr">
        <is>
          <t>(assigned on issue)</t>
        </is>
      </c>
      <c r="G9" s="256" t="inlineStr">
        <is>
          <t>GG1024_02</t>
        </is>
      </c>
      <c r="H9" s="256" t="inlineStr">
        <is>
          <t>P050012</t>
        </is>
      </c>
      <c r="I9" s="256" t="inlineStr">
        <is>
          <t>Gorilla Glue</t>
        </is>
      </c>
      <c r="J9" s="256" t="inlineStr">
        <is>
          <t>14.04.2025 – 15.04.2025</t>
        </is>
      </c>
      <c r="K9" s="256" t="inlineStr">
        <is>
          <t>11.06.2025 – 16.06.2025</t>
        </is>
      </c>
      <c r="L9" s="256" t="inlineStr">
        <is>
          <t>—</t>
        </is>
      </c>
      <c r="M9" s="256" t="inlineStr">
        <is>
          <t>—</t>
        </is>
      </c>
      <c r="N9" s="256" t="inlineStr">
        <is>
          <t>iCoA-PP_26-009</t>
        </is>
      </c>
      <c r="O9" s="256" t="inlineStr">
        <is>
          <t>03.06.2026</t>
        </is>
      </c>
      <c r="P9" s="256" t="inlineStr">
        <is>
          <t>11.06.2025</t>
        </is>
      </c>
      <c r="Q9" s="256" t="inlineStr">
        <is>
          <t>—</t>
        </is>
      </c>
      <c r="R9" s="256" t="inlineStr">
        <is>
          <t>15.95</t>
        </is>
      </c>
      <c r="S9" s="256" t="inlineStr">
        <is>
          <t>ППК25140</t>
        </is>
      </c>
      <c r="T9" s="256" t="inlineStr">
        <is>
          <t>II</t>
        </is>
      </c>
      <c r="U9" s="256" t="inlineStr">
        <is>
          <t>13.77 – 16.22 %</t>
        </is>
      </c>
      <c r="V9" s="256" t="inlineStr">
        <is>
          <t>GG_THC15 : CBD1</t>
        </is>
      </c>
      <c r="W9" s="256" t="inlineStr">
        <is>
          <t>QCSP_001_GG-II_v.01</t>
        </is>
      </c>
      <c r="X9" s="256" t="inlineStr">
        <is>
          <t>for review — replaces the issued QCSP_001_GG-II_v.01 (was GG_THC16 : CBD1, 15.00 – 17.00 %); now GG_THC15 : CBD1 13.77 – 16.22 %</t>
        </is>
      </c>
      <c r="Y9" s="256" t="inlineStr">
        <is>
          <t>INDICA</t>
        </is>
      </c>
      <c r="Z9" s="256" t="inlineStr">
        <is>
          <t>THC</t>
        </is>
      </c>
      <c r="AA9" s="256" t="inlineStr">
        <is>
          <t>MACHINE TRIMMED</t>
        </is>
      </c>
      <c r="AB9" s="256" t="inlineStr">
        <is>
          <t>—</t>
        </is>
      </c>
      <c r="AC9" s="256" t="inlineStr">
        <is>
          <t>Triplex Alu Bag | Триплекс Aлу Kеса, PET 12 · ALU 7 · PE 80, 300 × 500 mm, net. 400.0 g ±3%</t>
        </is>
      </c>
      <c r="AD9" s="256" t="inlineStr">
        <is>
          <t>30.05.2025</t>
        </is>
      </c>
      <c r="AE9" s="256" t="inlineStr">
        <is>
          <t>Conforms | Одговара</t>
        </is>
      </c>
      <c r="AF9" s="256" t="inlineStr">
        <is>
          <t>iCoA-PP_26-009</t>
        </is>
      </c>
      <c r="AG9" s="256" t="inlineStr">
        <is>
          <t>03.06.2026</t>
        </is>
      </c>
      <c r="AH9" s="256" t="inlineStr">
        <is>
          <t>Purely Plant GmbH (in-house)</t>
        </is>
      </c>
      <c r="AI9" s="256" t="inlineStr">
        <is>
          <t>Conforms | Одговара</t>
        </is>
      </c>
      <c r="AJ9" s="256" t="inlineStr">
        <is>
          <t>iCoA-PP_26-009</t>
        </is>
      </c>
      <c r="AK9" s="256" t="inlineStr">
        <is>
          <t>03.06.2026</t>
        </is>
      </c>
      <c r="AL9" s="256" t="inlineStr">
        <is>
          <t>Purely Plant GmbH (in-house)</t>
        </is>
      </c>
      <c r="AM9" s="256" t="inlineStr">
        <is>
          <t>Conforms | Одговара</t>
        </is>
      </c>
      <c r="AN9" s="256" t="inlineStr">
        <is>
          <t>ППК25140</t>
        </is>
      </c>
      <c r="AO9" s="256" t="inlineStr">
        <is>
          <t>22.05.2025</t>
        </is>
      </c>
      <c r="AP9" s="256" t="inlineStr">
        <is>
          <t>UKIM Faculty of Pharmacy — Center for Natural Products</t>
        </is>
      </c>
      <c r="AQ9" s="256" t="inlineStr">
        <is>
          <t>15.95</t>
        </is>
      </c>
      <c r="AR9" s="256" t="inlineStr">
        <is>
          <t>ППК25140</t>
        </is>
      </c>
      <c r="AS9" s="256" t="inlineStr">
        <is>
          <t>22.05.2025</t>
        </is>
      </c>
      <c r="AT9" s="256" t="inlineStr">
        <is>
          <t>UKIM Faculty of Pharmacy — Center for Natural Products</t>
        </is>
      </c>
      <c r="AU9" s="256" t="inlineStr">
        <is>
          <t>0.05</t>
        </is>
      </c>
      <c r="AV9" s="256" t="inlineStr">
        <is>
          <t>ППК25140</t>
        </is>
      </c>
      <c r="AW9" s="256" t="inlineStr">
        <is>
          <t>22.05.2025</t>
        </is>
      </c>
      <c r="AX9" s="256" t="inlineStr">
        <is>
          <t>UKIM Faculty of Pharmacy — Center for Natural Products</t>
        </is>
      </c>
      <c r="AY9" s="259" t="inlineStr">
        <is>
          <t>not tested</t>
        </is>
      </c>
      <c r="AZ9" s="256" t="inlineStr">
        <is>
          <t>—</t>
        </is>
      </c>
      <c r="BA9" s="256" t="inlineStr">
        <is>
          <t>—</t>
        </is>
      </c>
      <c r="BB9" s="256" t="inlineStr">
        <is>
          <t>—</t>
        </is>
      </c>
      <c r="BC9" s="256" t="inlineStr">
        <is>
          <t>Conforms | Одговара</t>
        </is>
      </c>
      <c r="BD9" s="256" t="inlineStr">
        <is>
          <t>iCoA-PP_26-009</t>
        </is>
      </c>
      <c r="BE9" s="256" t="inlineStr">
        <is>
          <t>03.06.2026</t>
        </is>
      </c>
      <c r="BF9" s="256" t="inlineStr">
        <is>
          <t>Purely Plant GmbH (in-house)</t>
        </is>
      </c>
      <c r="BG9" s="256" t="inlineStr">
        <is>
          <t>6.88</t>
        </is>
      </c>
      <c r="BH9" s="256" t="inlineStr">
        <is>
          <t>ППК25140</t>
        </is>
      </c>
      <c r="BI9" s="256" t="inlineStr">
        <is>
          <t>22.05.2025</t>
        </is>
      </c>
      <c r="BJ9" s="256" t="inlineStr">
        <is>
          <t>UKIM Faculty of Pharmacy — Center for Natural Products</t>
        </is>
      </c>
      <c r="BK9" s="256" t="inlineStr">
        <is>
          <t>2.1 × 10⁴</t>
        </is>
      </c>
      <c r="BL9" s="256" t="inlineStr">
        <is>
          <t>472/0863/25</t>
        </is>
      </c>
      <c r="BM9" s="256" t="inlineStr">
        <is>
          <t>22.05.2025</t>
        </is>
      </c>
      <c r="BN9" s="256" t="inlineStr">
        <is>
          <t>IPH — Institute of Public Health</t>
        </is>
      </c>
      <c r="BO9" s="256" t="inlineStr">
        <is>
          <t>1.9 × 10⁴</t>
        </is>
      </c>
      <c r="BP9" s="256" t="inlineStr">
        <is>
          <t>472/0863/25</t>
        </is>
      </c>
      <c r="BQ9" s="256" t="inlineStr">
        <is>
          <t>22.05.2025</t>
        </is>
      </c>
      <c r="BR9" s="256" t="inlineStr">
        <is>
          <t>IPH — Institute of Public Health</t>
        </is>
      </c>
      <c r="BS9" s="256" t="inlineStr">
        <is>
          <t>&lt; 10</t>
        </is>
      </c>
      <c r="BT9" s="256" t="inlineStr">
        <is>
          <t>472/0863/25</t>
        </is>
      </c>
      <c r="BU9" s="256" t="inlineStr">
        <is>
          <t>22.05.2025</t>
        </is>
      </c>
      <c r="BV9" s="256" t="inlineStr">
        <is>
          <t>IPH — Institute of Public Health</t>
        </is>
      </c>
      <c r="BW9" s="256" t="inlineStr">
        <is>
          <t>Absent | Отсутна</t>
        </is>
      </c>
      <c r="BX9" s="256" t="inlineStr">
        <is>
          <t>472/0863/25</t>
        </is>
      </c>
      <c r="BY9" s="256" t="inlineStr">
        <is>
          <t>22.05.2025</t>
        </is>
      </c>
      <c r="BZ9" s="256" t="inlineStr">
        <is>
          <t>IPH — Institute of Public Health</t>
        </is>
      </c>
      <c r="CA9" s="256" t="inlineStr">
        <is>
          <t>Absent | Отсутна</t>
        </is>
      </c>
      <c r="CB9" s="256" t="inlineStr">
        <is>
          <t>472/0863/25</t>
        </is>
      </c>
      <c r="CC9" s="256" t="inlineStr">
        <is>
          <t>22.05.2025</t>
        </is>
      </c>
      <c r="CD9" s="256" t="inlineStr">
        <is>
          <t>IPH — Institute of Public Health</t>
        </is>
      </c>
      <c r="CE9" s="260" t="inlineStr">
        <is>
          <t>upon request — not required for release</t>
        </is>
      </c>
      <c r="CF9" s="256" t="inlineStr">
        <is>
          <t>—</t>
        </is>
      </c>
      <c r="CG9" s="256" t="inlineStr">
        <is>
          <t>—</t>
        </is>
      </c>
      <c r="CH9" s="256" t="inlineStr">
        <is>
          <t>—</t>
        </is>
      </c>
      <c r="CI9" s="260" t="inlineStr">
        <is>
          <t>upon request — not required for release</t>
        </is>
      </c>
      <c r="CJ9" s="256" t="inlineStr">
        <is>
          <t>—</t>
        </is>
      </c>
      <c r="CK9" s="256" t="inlineStr">
        <is>
          <t>—</t>
        </is>
      </c>
      <c r="CL9" s="256" t="inlineStr">
        <is>
          <t>—</t>
        </is>
      </c>
      <c r="CM9" s="259" t="inlineStr">
        <is>
          <t>not tested</t>
        </is>
      </c>
      <c r="CN9" s="256" t="inlineStr">
        <is>
          <t>—</t>
        </is>
      </c>
      <c r="CO9" s="256" t="inlineStr">
        <is>
          <t>—</t>
        </is>
      </c>
      <c r="CP9" s="256" t="inlineStr">
        <is>
          <t>—</t>
        </is>
      </c>
      <c r="CQ9" s="256" t="inlineStr">
        <is>
          <t>&lt; 2</t>
        </is>
      </c>
      <c r="CR9" s="256" t="inlineStr">
        <is>
          <t>2472/2025</t>
        </is>
      </c>
      <c r="CS9" s="256" t="inlineStr">
        <is>
          <t>30.05.2025</t>
        </is>
      </c>
      <c r="CT9" s="256" t="inlineStr">
        <is>
          <t>IPH — Institute of Public Health</t>
        </is>
      </c>
      <c r="CU9" s="259" t="inlineStr">
        <is>
          <t>not tested</t>
        </is>
      </c>
      <c r="CV9" s="256" t="inlineStr">
        <is>
          <t>—</t>
        </is>
      </c>
      <c r="CW9" s="256" t="inlineStr">
        <is>
          <t>—</t>
        </is>
      </c>
      <c r="CX9" s="256" t="inlineStr">
        <is>
          <t>—</t>
        </is>
      </c>
      <c r="CY9" s="256" t="inlineStr">
        <is>
          <t>ND</t>
        </is>
      </c>
      <c r="CZ9" s="256" t="inlineStr">
        <is>
          <t>2472/2025</t>
        </is>
      </c>
      <c r="DA9" s="256" t="inlineStr">
        <is>
          <t>30.05.2025</t>
        </is>
      </c>
      <c r="DB9" s="256" t="inlineStr">
        <is>
          <t>IPH — Institute of Public Health</t>
        </is>
      </c>
      <c r="DC9" s="256" t="inlineStr">
        <is>
          <t>ND</t>
        </is>
      </c>
      <c r="DD9" s="256" t="inlineStr">
        <is>
          <t>2472/2025</t>
        </is>
      </c>
      <c r="DE9" s="256" t="inlineStr">
        <is>
          <t>30.05.2025</t>
        </is>
      </c>
      <c r="DF9" s="256" t="inlineStr">
        <is>
          <t>IPH — Institute of Public Health</t>
        </is>
      </c>
      <c r="DG9" s="256" t="inlineStr">
        <is>
          <t>ND</t>
        </is>
      </c>
      <c r="DH9" s="256" t="inlineStr">
        <is>
          <t>2472/2025</t>
        </is>
      </c>
      <c r="DI9" s="256" t="inlineStr">
        <is>
          <t>30.05.2025</t>
        </is>
      </c>
      <c r="DJ9" s="256" t="inlineStr">
        <is>
          <t>IPH — Institute of Public Health</t>
        </is>
      </c>
      <c r="DK9" s="256" t="inlineStr">
        <is>
          <t>ND</t>
        </is>
      </c>
      <c r="DL9" s="256" t="inlineStr">
        <is>
          <t>2472/2025</t>
        </is>
      </c>
      <c r="DM9" s="256" t="inlineStr">
        <is>
          <t>30.05.2025</t>
        </is>
      </c>
      <c r="DN9" s="256" t="inlineStr">
        <is>
          <t>IPH — Institute of Public Health</t>
        </is>
      </c>
      <c r="DO9" s="256" t="inlineStr">
        <is>
          <t>ND</t>
        </is>
      </c>
      <c r="DP9" s="256" t="inlineStr">
        <is>
          <t>2472/2025</t>
        </is>
      </c>
      <c r="DQ9" s="256" t="inlineStr">
        <is>
          <t>30.05.2025</t>
        </is>
      </c>
      <c r="DR9" s="256" t="inlineStr">
        <is>
          <t>IPH — Institute of Public Health</t>
        </is>
      </c>
    </row>
    <row r="10">
      <c r="A10" s="256" t="inlineStr">
        <is>
          <t>CoQ-PP_26-009</t>
        </is>
      </c>
      <c r="B10" s="256" t="inlineStr">
        <is>
          <t>release</t>
        </is>
      </c>
      <c r="C10" s="256" t="inlineStr">
        <is>
          <t>issuable</t>
        </is>
      </c>
      <c r="D10" s="256" t="inlineStr">
        <is>
          <t>06.06.2026</t>
        </is>
      </c>
      <c r="E10" s="256" t="inlineStr">
        <is>
          <t>n/a — release certificate</t>
        </is>
      </c>
      <c r="F10" s="256" t="inlineStr">
        <is>
          <t>(assigned on issue)</t>
        </is>
      </c>
      <c r="G10" s="256" t="inlineStr">
        <is>
          <t>MB0824_04</t>
        </is>
      </c>
      <c r="H10" s="256" t="inlineStr">
        <is>
          <t>P050032</t>
        </is>
      </c>
      <c r="I10" s="256" t="inlineStr">
        <is>
          <t>Motor Breath</t>
        </is>
      </c>
      <c r="J10" s="256" t="inlineStr">
        <is>
          <t>02.04.2025 – 03.04.2025</t>
        </is>
      </c>
      <c r="K10" s="256" t="inlineStr">
        <is>
          <t>16.06.2025 – 19.06.2025</t>
        </is>
      </c>
      <c r="L10" s="256" t="inlineStr">
        <is>
          <t>—</t>
        </is>
      </c>
      <c r="M10" s="256" t="inlineStr">
        <is>
          <t>—</t>
        </is>
      </c>
      <c r="N10" s="256" t="inlineStr">
        <is>
          <t>iCoA-PP_26-010</t>
        </is>
      </c>
      <c r="O10" s="256" t="inlineStr">
        <is>
          <t>03.06.2026</t>
        </is>
      </c>
      <c r="P10" s="256" t="inlineStr">
        <is>
          <t>16.06.2025</t>
        </is>
      </c>
      <c r="Q10" s="256" t="inlineStr">
        <is>
          <t>—</t>
        </is>
      </c>
      <c r="R10" s="256" t="inlineStr">
        <is>
          <t>18.67</t>
        </is>
      </c>
      <c r="S10" s="256" t="inlineStr">
        <is>
          <t>ППК25118</t>
        </is>
      </c>
      <c r="T10" s="256" t="inlineStr">
        <is>
          <t>I</t>
        </is>
      </c>
      <c r="U10" s="256" t="inlineStr">
        <is>
          <t>16.20 – 19.79 %</t>
        </is>
      </c>
      <c r="V10" s="256" t="inlineStr">
        <is>
          <t>MB_THC18 : CBD1</t>
        </is>
      </c>
      <c r="W10" s="256" t="inlineStr">
        <is>
          <t>QCSP_001_MB-I_v.01</t>
        </is>
      </c>
      <c r="X10" s="256" t="inlineStr">
        <is>
          <t>for review — replaces the issued QCSP_001_MB-I_v.01 (was MB_THC18 : CBD1, 16.20 – 19.80 %); now MB_THC18 : CBD1 16.20 – 19.79 %</t>
        </is>
      </c>
      <c r="Y10" s="256" t="inlineStr">
        <is>
          <t>HYBRID</t>
        </is>
      </c>
      <c r="Z10" s="256" t="inlineStr">
        <is>
          <t>THC</t>
        </is>
      </c>
      <c r="AA10" s="256" t="inlineStr">
        <is>
          <t>MACHINE TRIMMED</t>
        </is>
      </c>
      <c r="AB10" s="256" t="inlineStr">
        <is>
          <t>INDICA-DOMINANT</t>
        </is>
      </c>
      <c r="AC10" s="256" t="inlineStr">
        <is>
          <t>Triplex Alu Bag | Триплекс Aлу Kеса, PET 12 · ALU 7 · PE 80, 300 × 500 mm, net. 400.0 g ±3%</t>
        </is>
      </c>
      <c r="AD10" s="256" t="inlineStr">
        <is>
          <t>07.05.2025</t>
        </is>
      </c>
      <c r="AE10" s="256" t="inlineStr">
        <is>
          <t>Conforms | Одговара</t>
        </is>
      </c>
      <c r="AF10" s="256" t="inlineStr">
        <is>
          <t>iCoA-PP_26-010</t>
        </is>
      </c>
      <c r="AG10" s="256" t="inlineStr">
        <is>
          <t>03.06.2026</t>
        </is>
      </c>
      <c r="AH10" s="256" t="inlineStr">
        <is>
          <t>Purely Plant GmbH (in-house)</t>
        </is>
      </c>
      <c r="AI10" s="256" t="inlineStr">
        <is>
          <t>Conforms | Одговара</t>
        </is>
      </c>
      <c r="AJ10" s="256" t="inlineStr">
        <is>
          <t>iCoA-PP_26-010</t>
        </is>
      </c>
      <c r="AK10" s="256" t="inlineStr">
        <is>
          <t>03.06.2026</t>
        </is>
      </c>
      <c r="AL10" s="256" t="inlineStr">
        <is>
          <t>Purely Plant GmbH (in-house)</t>
        </is>
      </c>
      <c r="AM10" s="256" t="inlineStr">
        <is>
          <t>Conforms | Одговара</t>
        </is>
      </c>
      <c r="AN10" s="256" t="inlineStr">
        <is>
          <t>ППК25118</t>
        </is>
      </c>
      <c r="AO10" s="256" t="inlineStr">
        <is>
          <t>06.05.2025</t>
        </is>
      </c>
      <c r="AP10" s="256" t="inlineStr">
        <is>
          <t>UKIM Faculty of Pharmacy — Center for Natural Products</t>
        </is>
      </c>
      <c r="AQ10" s="256" t="inlineStr">
        <is>
          <t>18.67</t>
        </is>
      </c>
      <c r="AR10" s="256" t="inlineStr">
        <is>
          <t>ППК25118</t>
        </is>
      </c>
      <c r="AS10" s="256" t="inlineStr">
        <is>
          <t>06.05.2025</t>
        </is>
      </c>
      <c r="AT10" s="256" t="inlineStr">
        <is>
          <t>UKIM Faculty of Pharmacy — Center for Natural Products</t>
        </is>
      </c>
      <c r="AU10" s="256" t="inlineStr">
        <is>
          <t>0.05</t>
        </is>
      </c>
      <c r="AV10" s="256" t="inlineStr">
        <is>
          <t>ППК25118</t>
        </is>
      </c>
      <c r="AW10" s="256" t="inlineStr">
        <is>
          <t>06.05.2025</t>
        </is>
      </c>
      <c r="AX10" s="256" t="inlineStr">
        <is>
          <t>UKIM Faculty of Pharmacy — Center for Natural Products</t>
        </is>
      </c>
      <c r="AY10" s="259" t="inlineStr">
        <is>
          <t>not tested</t>
        </is>
      </c>
      <c r="AZ10" s="256" t="inlineStr">
        <is>
          <t>—</t>
        </is>
      </c>
      <c r="BA10" s="256" t="inlineStr">
        <is>
          <t>—</t>
        </is>
      </c>
      <c r="BB10" s="256" t="inlineStr">
        <is>
          <t>—</t>
        </is>
      </c>
      <c r="BC10" s="256" t="inlineStr">
        <is>
          <t>Conforms | Одговара</t>
        </is>
      </c>
      <c r="BD10" s="256" t="inlineStr">
        <is>
          <t>iCoA-PP_26-010</t>
        </is>
      </c>
      <c r="BE10" s="256" t="inlineStr">
        <is>
          <t>03.06.2026</t>
        </is>
      </c>
      <c r="BF10" s="256" t="inlineStr">
        <is>
          <t>Purely Plant GmbH (in-house)</t>
        </is>
      </c>
      <c r="BG10" s="256" t="inlineStr">
        <is>
          <t>6.01</t>
        </is>
      </c>
      <c r="BH10" s="256" t="inlineStr">
        <is>
          <t>ППК25118</t>
        </is>
      </c>
      <c r="BI10" s="256" t="inlineStr">
        <is>
          <t>06.05.2025</t>
        </is>
      </c>
      <c r="BJ10" s="256" t="inlineStr">
        <is>
          <t>UKIM Faculty of Pharmacy — Center for Natural Products</t>
        </is>
      </c>
      <c r="BK10" s="256" t="inlineStr">
        <is>
          <t>&lt; 10</t>
        </is>
      </c>
      <c r="BL10" s="256" t="inlineStr">
        <is>
          <t>406/0744/25</t>
        </is>
      </c>
      <c r="BM10" s="256" t="inlineStr">
        <is>
          <t>05.05.2025</t>
        </is>
      </c>
      <c r="BN10" s="256" t="inlineStr">
        <is>
          <t>IPH — Institute of Public Health</t>
        </is>
      </c>
      <c r="BO10" s="256" t="inlineStr">
        <is>
          <t>&lt; 10</t>
        </is>
      </c>
      <c r="BP10" s="256" t="inlineStr">
        <is>
          <t>406/0744/25</t>
        </is>
      </c>
      <c r="BQ10" s="256" t="inlineStr">
        <is>
          <t>05.05.2025</t>
        </is>
      </c>
      <c r="BR10" s="256" t="inlineStr">
        <is>
          <t>IPH — Institute of Public Health</t>
        </is>
      </c>
      <c r="BS10" s="256" t="inlineStr">
        <is>
          <t>&lt; 10</t>
        </is>
      </c>
      <c r="BT10" s="256" t="inlineStr">
        <is>
          <t>406/0744/25</t>
        </is>
      </c>
      <c r="BU10" s="256" t="inlineStr">
        <is>
          <t>05.05.2025</t>
        </is>
      </c>
      <c r="BV10" s="256" t="inlineStr">
        <is>
          <t>IPH — Institute of Public Health</t>
        </is>
      </c>
      <c r="BW10" s="256" t="inlineStr">
        <is>
          <t>Absent | Отсутна</t>
        </is>
      </c>
      <c r="BX10" s="256" t="inlineStr">
        <is>
          <t>406/0744/25</t>
        </is>
      </c>
      <c r="BY10" s="256" t="inlineStr">
        <is>
          <t>05.05.2025</t>
        </is>
      </c>
      <c r="BZ10" s="256" t="inlineStr">
        <is>
          <t>IPH — Institute of Public Health</t>
        </is>
      </c>
      <c r="CA10" s="256" t="inlineStr">
        <is>
          <t>Absent | Отсутна</t>
        </is>
      </c>
      <c r="CB10" s="256" t="inlineStr">
        <is>
          <t>406/0744/25</t>
        </is>
      </c>
      <c r="CC10" s="256" t="inlineStr">
        <is>
          <t>05.05.2025</t>
        </is>
      </c>
      <c r="CD10" s="256" t="inlineStr">
        <is>
          <t>IPH — Institute of Public Health</t>
        </is>
      </c>
      <c r="CE10" s="260" t="inlineStr">
        <is>
          <t>upon request — not required for release</t>
        </is>
      </c>
      <c r="CF10" s="256" t="inlineStr">
        <is>
          <t>—</t>
        </is>
      </c>
      <c r="CG10" s="256" t="inlineStr">
        <is>
          <t>—</t>
        </is>
      </c>
      <c r="CH10" s="256" t="inlineStr">
        <is>
          <t>—</t>
        </is>
      </c>
      <c r="CI10" s="260" t="inlineStr">
        <is>
          <t>upon request — not required for release</t>
        </is>
      </c>
      <c r="CJ10" s="256" t="inlineStr">
        <is>
          <t>—</t>
        </is>
      </c>
      <c r="CK10" s="256" t="inlineStr">
        <is>
          <t>—</t>
        </is>
      </c>
      <c r="CL10" s="256" t="inlineStr">
        <is>
          <t>—</t>
        </is>
      </c>
      <c r="CM10" s="259" t="inlineStr">
        <is>
          <t>not tested</t>
        </is>
      </c>
      <c r="CN10" s="256" t="inlineStr">
        <is>
          <t>—</t>
        </is>
      </c>
      <c r="CO10" s="256" t="inlineStr">
        <is>
          <t>—</t>
        </is>
      </c>
      <c r="CP10" s="256" t="inlineStr">
        <is>
          <t>—</t>
        </is>
      </c>
      <c r="CQ10" s="256" t="inlineStr">
        <is>
          <t>&lt; 2</t>
        </is>
      </c>
      <c r="CR10" s="256" t="inlineStr">
        <is>
          <t>2157/2025</t>
        </is>
      </c>
      <c r="CS10" s="256" t="inlineStr">
        <is>
          <t>07.05.2025</t>
        </is>
      </c>
      <c r="CT10" s="256" t="inlineStr">
        <is>
          <t>IPH — Institute of Public Health</t>
        </is>
      </c>
      <c r="CU10" s="259" t="inlineStr">
        <is>
          <t>not tested</t>
        </is>
      </c>
      <c r="CV10" s="256" t="inlineStr">
        <is>
          <t>—</t>
        </is>
      </c>
      <c r="CW10" s="256" t="inlineStr">
        <is>
          <t>—</t>
        </is>
      </c>
      <c r="CX10" s="256" t="inlineStr">
        <is>
          <t>—</t>
        </is>
      </c>
      <c r="CY10" s="256" t="inlineStr">
        <is>
          <t>0.031</t>
        </is>
      </c>
      <c r="CZ10" s="256" t="inlineStr">
        <is>
          <t>2157/2025</t>
        </is>
      </c>
      <c r="DA10" s="256" t="inlineStr">
        <is>
          <t>07.05.2025</t>
        </is>
      </c>
      <c r="DB10" s="256" t="inlineStr">
        <is>
          <t>IPH — Institute of Public Health</t>
        </is>
      </c>
      <c r="DC10" s="256" t="inlineStr">
        <is>
          <t>0.005</t>
        </is>
      </c>
      <c r="DD10" s="256" t="inlineStr">
        <is>
          <t>2157/2025</t>
        </is>
      </c>
      <c r="DE10" s="256" t="inlineStr">
        <is>
          <t>07.05.2025</t>
        </is>
      </c>
      <c r="DF10" s="256" t="inlineStr">
        <is>
          <t>IPH — Institute of Public Health</t>
        </is>
      </c>
      <c r="DG10" s="256" t="inlineStr">
        <is>
          <t>0.011</t>
        </is>
      </c>
      <c r="DH10" s="256" t="inlineStr">
        <is>
          <t>2157/2025</t>
        </is>
      </c>
      <c r="DI10" s="256" t="inlineStr">
        <is>
          <t>07.05.2025</t>
        </is>
      </c>
      <c r="DJ10" s="256" t="inlineStr">
        <is>
          <t>IPH — Institute of Public Health</t>
        </is>
      </c>
      <c r="DK10" s="256" t="inlineStr">
        <is>
          <t>ND</t>
        </is>
      </c>
      <c r="DL10" s="256" t="inlineStr">
        <is>
          <t>2157/2025</t>
        </is>
      </c>
      <c r="DM10" s="256" t="inlineStr">
        <is>
          <t>07.05.2025</t>
        </is>
      </c>
      <c r="DN10" s="256" t="inlineStr">
        <is>
          <t>IPH — Institute of Public Health</t>
        </is>
      </c>
      <c r="DO10" s="256" t="inlineStr">
        <is>
          <t>ND</t>
        </is>
      </c>
      <c r="DP10" s="256" t="inlineStr">
        <is>
          <t>2157/2025</t>
        </is>
      </c>
      <c r="DQ10" s="256" t="inlineStr">
        <is>
          <t>07.05.2025</t>
        </is>
      </c>
      <c r="DR10" s="256" t="inlineStr">
        <is>
          <t>IPH — Institute of Public Health</t>
        </is>
      </c>
    </row>
    <row r="11">
      <c r="A11" s="256" t="inlineStr">
        <is>
          <t>CoQ-PP_26-010</t>
        </is>
      </c>
      <c r="B11" s="256" t="inlineStr">
        <is>
          <t>release</t>
        </is>
      </c>
      <c r="C11" s="256" t="inlineStr">
        <is>
          <t>issuable</t>
        </is>
      </c>
      <c r="D11" s="256" t="inlineStr">
        <is>
          <t>06.06.2026</t>
        </is>
      </c>
      <c r="E11" s="256" t="inlineStr">
        <is>
          <t>n/a — release certificate</t>
        </is>
      </c>
      <c r="F11" s="256" t="inlineStr">
        <is>
          <t>CoQ-PP-2025-0007</t>
        </is>
      </c>
      <c r="G11" s="256" t="inlineStr">
        <is>
          <t>OMP1024_01</t>
        </is>
      </c>
      <c r="H11" s="256" t="inlineStr">
        <is>
          <t>P050042</t>
        </is>
      </c>
      <c r="I11" s="256" t="inlineStr">
        <is>
          <t>Orange Punch Mimosa</t>
        </is>
      </c>
      <c r="J11" s="256" t="inlineStr">
        <is>
          <t>26.03.2025 – 27.03.2025</t>
        </is>
      </c>
      <c r="K11" s="256" t="inlineStr">
        <is>
          <t>20.06.2025</t>
        </is>
      </c>
      <c r="L11" s="256" t="inlineStr">
        <is>
          <t>26.03.2025</t>
        </is>
      </c>
      <c r="M11" s="256" t="inlineStr">
        <is>
          <t>20.06.2025</t>
        </is>
      </c>
      <c r="N11" s="256" t="inlineStr">
        <is>
          <t>iCoA-PP_26-092</t>
        </is>
      </c>
      <c r="O11" s="256" t="inlineStr">
        <is>
          <t>03.06.2026</t>
        </is>
      </c>
      <c r="P11" s="256" t="inlineStr">
        <is>
          <t>—</t>
        </is>
      </c>
      <c r="Q11" s="256" t="inlineStr">
        <is>
          <t>—</t>
        </is>
      </c>
      <c r="R11" s="256" t="inlineStr">
        <is>
          <t>15.38</t>
        </is>
      </c>
      <c r="S11" s="256" t="inlineStr">
        <is>
          <t>ППК25117</t>
        </is>
      </c>
      <c r="T11" s="256" t="inlineStr">
        <is>
          <t>III</t>
        </is>
      </c>
      <c r="U11" s="256" t="inlineStr">
        <is>
          <t>12.60 – 15.39 %</t>
        </is>
      </c>
      <c r="V11" s="256" t="inlineStr">
        <is>
          <t>OPM_THC14 : CBD1</t>
        </is>
      </c>
      <c r="W11" s="256" t="inlineStr">
        <is>
          <t>QCSP_001_OPM-III_v.01</t>
        </is>
      </c>
      <c r="X11" s="256" t="inlineStr">
        <is>
          <t>for review — replaces the issued QCSP_001_OPM-III_v.01 (was OPM_THC16:CBD1, 16.00% ± 3.00%); now OPM_THC14 : CBD1 12.60 – 15.39 %</t>
        </is>
      </c>
      <c r="Y11" s="256" t="inlineStr">
        <is>
          <t>INDICA</t>
        </is>
      </c>
      <c r="Z11" s="256" t="inlineStr">
        <is>
          <t>THC</t>
        </is>
      </c>
      <c r="AA11" s="256" t="inlineStr">
        <is>
          <t>MACHINE TRIMMED</t>
        </is>
      </c>
      <c r="AB11" s="256" t="inlineStr">
        <is>
          <t>—</t>
        </is>
      </c>
      <c r="AC11" s="256" t="inlineStr">
        <is>
          <t>Triplex Alu Bag | Триплекс Aлу Kеса, PET 12 · ALU 7 · PE 80, 300 × 500 mm, net. 400.0 g ±3%</t>
        </is>
      </c>
      <c r="AD11" s="256" t="inlineStr">
        <is>
          <t>07.05.2025</t>
        </is>
      </c>
      <c r="AE11" s="256" t="inlineStr">
        <is>
          <t>Conforms | Одговара</t>
        </is>
      </c>
      <c r="AF11" s="256" t="inlineStr">
        <is>
          <t>iCoA-PP_26-092</t>
        </is>
      </c>
      <c r="AG11" s="256" t="inlineStr">
        <is>
          <t>03.06.2026</t>
        </is>
      </c>
      <c r="AH11" s="256" t="inlineStr">
        <is>
          <t>Purely Plant GmbH (in-house)</t>
        </is>
      </c>
      <c r="AI11" s="256" t="inlineStr">
        <is>
          <t>Conforms | Одговара</t>
        </is>
      </c>
      <c r="AJ11" s="256" t="inlineStr">
        <is>
          <t>iCoA-PP_26-092</t>
        </is>
      </c>
      <c r="AK11" s="256" t="inlineStr">
        <is>
          <t>03.06.2026</t>
        </is>
      </c>
      <c r="AL11" s="256" t="inlineStr">
        <is>
          <t>Purely Plant GmbH (in-house)</t>
        </is>
      </c>
      <c r="AM11" s="256" t="inlineStr">
        <is>
          <t>Conforms | Одговара</t>
        </is>
      </c>
      <c r="AN11" s="256" t="inlineStr">
        <is>
          <t>ППК25117</t>
        </is>
      </c>
      <c r="AO11" s="256" t="inlineStr">
        <is>
          <t>06.05.2025</t>
        </is>
      </c>
      <c r="AP11" s="256" t="inlineStr">
        <is>
          <t>UKIM Faculty of Pharmacy — Center for Natural Products</t>
        </is>
      </c>
      <c r="AQ11" s="256" t="inlineStr">
        <is>
          <t>15.38</t>
        </is>
      </c>
      <c r="AR11" s="256" t="inlineStr">
        <is>
          <t>ППК25117</t>
        </is>
      </c>
      <c r="AS11" s="256" t="inlineStr">
        <is>
          <t>06.05.2025</t>
        </is>
      </c>
      <c r="AT11" s="256" t="inlineStr">
        <is>
          <t>UKIM Faculty of Pharmacy — Center for Natural Products</t>
        </is>
      </c>
      <c r="AU11" s="256" t="inlineStr">
        <is>
          <t>0.04</t>
        </is>
      </c>
      <c r="AV11" s="256" t="inlineStr">
        <is>
          <t>ППК25117</t>
        </is>
      </c>
      <c r="AW11" s="256" t="inlineStr">
        <is>
          <t>06.05.2025</t>
        </is>
      </c>
      <c r="AX11" s="256" t="inlineStr">
        <is>
          <t>UKIM Faculty of Pharmacy — Center for Natural Products</t>
        </is>
      </c>
      <c r="AY11" s="256" t="inlineStr">
        <is>
          <t>0.01</t>
        </is>
      </c>
      <c r="AZ11" s="256" t="inlineStr">
        <is>
          <t>ППК25117</t>
        </is>
      </c>
      <c r="BA11" s="256" t="inlineStr">
        <is>
          <t>06.05.2025</t>
        </is>
      </c>
      <c r="BB11" s="256" t="inlineStr">
        <is>
          <t>CNP</t>
        </is>
      </c>
      <c r="BC11" s="256" t="inlineStr">
        <is>
          <t>Conforms | Одговара</t>
        </is>
      </c>
      <c r="BD11" s="256" t="inlineStr">
        <is>
          <t>iCoA-PP_26-092</t>
        </is>
      </c>
      <c r="BE11" s="256" t="inlineStr">
        <is>
          <t>03.06.2026</t>
        </is>
      </c>
      <c r="BF11" s="256" t="inlineStr">
        <is>
          <t>Purely Plant GmbH (in-house)</t>
        </is>
      </c>
      <c r="BG11" s="256" t="inlineStr">
        <is>
          <t>5.86</t>
        </is>
      </c>
      <c r="BH11" s="256" t="inlineStr">
        <is>
          <t>ППК25117</t>
        </is>
      </c>
      <c r="BI11" s="256" t="inlineStr">
        <is>
          <t>06.05.2025</t>
        </is>
      </c>
      <c r="BJ11" s="256" t="inlineStr">
        <is>
          <t>UKIM Faculty of Pharmacy — Center for Natural Products</t>
        </is>
      </c>
      <c r="BK11" s="256" t="inlineStr">
        <is>
          <t>10</t>
        </is>
      </c>
      <c r="BL11" s="256" t="inlineStr">
        <is>
          <t>407-0745-25</t>
        </is>
      </c>
      <c r="BM11" s="256" t="inlineStr">
        <is>
          <t>05.05.2025</t>
        </is>
      </c>
      <c r="BN11" s="256" t="inlineStr">
        <is>
          <t>IPH — Institute of Public Health</t>
        </is>
      </c>
      <c r="BO11" s="256" t="inlineStr">
        <is>
          <t>&lt; 10</t>
        </is>
      </c>
      <c r="BP11" s="256" t="inlineStr">
        <is>
          <t>407-0745-25</t>
        </is>
      </c>
      <c r="BQ11" s="256" t="inlineStr">
        <is>
          <t>05.05.2025</t>
        </is>
      </c>
      <c r="BR11" s="256" t="inlineStr">
        <is>
          <t>IPH — Institute of Public Health</t>
        </is>
      </c>
      <c r="BS11" s="256" t="inlineStr">
        <is>
          <t>&lt; 10² and &gt; 10</t>
        </is>
      </c>
      <c r="BT11" s="256" t="inlineStr">
        <is>
          <t>407-0745-25</t>
        </is>
      </c>
      <c r="BU11" s="256" t="inlineStr">
        <is>
          <t>05.05.2025</t>
        </is>
      </c>
      <c r="BV11" s="256" t="inlineStr">
        <is>
          <t>IPH — Institute of Public Health</t>
        </is>
      </c>
      <c r="BW11" s="256" t="inlineStr">
        <is>
          <t>Absent | Отсутна</t>
        </is>
      </c>
      <c r="BX11" s="256" t="inlineStr">
        <is>
          <t>407-0745-25</t>
        </is>
      </c>
      <c r="BY11" s="256" t="inlineStr">
        <is>
          <t>05.05.2025</t>
        </is>
      </c>
      <c r="BZ11" s="256" t="inlineStr">
        <is>
          <t>IPH — Institute of Public Health</t>
        </is>
      </c>
      <c r="CA11" s="256" t="inlineStr">
        <is>
          <t>Absent | Отсутна</t>
        </is>
      </c>
      <c r="CB11" s="256" t="inlineStr">
        <is>
          <t>407-0745-25</t>
        </is>
      </c>
      <c r="CC11" s="256" t="inlineStr">
        <is>
          <t>05.05.2025</t>
        </is>
      </c>
      <c r="CD11" s="256" t="inlineStr">
        <is>
          <t>IPH — Institute of Public Health</t>
        </is>
      </c>
      <c r="CE11" s="260" t="inlineStr">
        <is>
          <t>upon request — not required for release</t>
        </is>
      </c>
      <c r="CF11" s="256" t="inlineStr">
        <is>
          <t>—</t>
        </is>
      </c>
      <c r="CG11" s="256" t="inlineStr">
        <is>
          <t>—</t>
        </is>
      </c>
      <c r="CH11" s="256" t="inlineStr">
        <is>
          <t>—</t>
        </is>
      </c>
      <c r="CI11" s="260" t="inlineStr">
        <is>
          <t>upon request — not required for release</t>
        </is>
      </c>
      <c r="CJ11" s="256" t="inlineStr">
        <is>
          <t>—</t>
        </is>
      </c>
      <c r="CK11" s="256" t="inlineStr">
        <is>
          <t>—</t>
        </is>
      </c>
      <c r="CL11" s="256" t="inlineStr">
        <is>
          <t>—</t>
        </is>
      </c>
      <c r="CM11" s="259" t="inlineStr">
        <is>
          <t>not tested</t>
        </is>
      </c>
      <c r="CN11" s="256" t="inlineStr">
        <is>
          <t>—</t>
        </is>
      </c>
      <c r="CO11" s="256" t="inlineStr">
        <is>
          <t>—</t>
        </is>
      </c>
      <c r="CP11" s="256" t="inlineStr">
        <is>
          <t>—</t>
        </is>
      </c>
      <c r="CQ11" s="256" t="inlineStr">
        <is>
          <t>&lt; 2</t>
        </is>
      </c>
      <c r="CR11" s="256" t="inlineStr">
        <is>
          <t>2156/2025</t>
        </is>
      </c>
      <c r="CS11" s="256" t="inlineStr">
        <is>
          <t>07.05.2025</t>
        </is>
      </c>
      <c r="CT11" s="256" t="inlineStr">
        <is>
          <t>IPH — Institute of Public Health</t>
        </is>
      </c>
      <c r="CU11" s="259" t="inlineStr">
        <is>
          <t>not tested</t>
        </is>
      </c>
      <c r="CV11" s="256" t="inlineStr">
        <is>
          <t>—</t>
        </is>
      </c>
      <c r="CW11" s="256" t="inlineStr">
        <is>
          <t>—</t>
        </is>
      </c>
      <c r="CX11" s="256" t="inlineStr">
        <is>
          <t>—</t>
        </is>
      </c>
      <c r="CY11" s="256" t="inlineStr">
        <is>
          <t>0.031</t>
        </is>
      </c>
      <c r="CZ11" s="256" t="inlineStr">
        <is>
          <t>2156/2025</t>
        </is>
      </c>
      <c r="DA11" s="256" t="inlineStr">
        <is>
          <t>07.05.2025</t>
        </is>
      </c>
      <c r="DB11" s="256" t="inlineStr">
        <is>
          <t>IPH — Institute of Public Health</t>
        </is>
      </c>
      <c r="DC11" s="256" t="inlineStr">
        <is>
          <t>0.004</t>
        </is>
      </c>
      <c r="DD11" s="256" t="inlineStr">
        <is>
          <t>2156/2025</t>
        </is>
      </c>
      <c r="DE11" s="256" t="inlineStr">
        <is>
          <t>07.05.2025</t>
        </is>
      </c>
      <c r="DF11" s="256" t="inlineStr">
        <is>
          <t>IPH — Institute of Public Health</t>
        </is>
      </c>
      <c r="DG11" s="256" t="inlineStr">
        <is>
          <t>0.01</t>
        </is>
      </c>
      <c r="DH11" s="256" t="inlineStr">
        <is>
          <t>2156/2025</t>
        </is>
      </c>
      <c r="DI11" s="256" t="inlineStr">
        <is>
          <t>07.05.2025</t>
        </is>
      </c>
      <c r="DJ11" s="256" t="inlineStr">
        <is>
          <t>IPH — Institute of Public Health</t>
        </is>
      </c>
      <c r="DK11" s="256" t="inlineStr">
        <is>
          <t>0.001</t>
        </is>
      </c>
      <c r="DL11" s="256" t="inlineStr">
        <is>
          <t>2156/2025</t>
        </is>
      </c>
      <c r="DM11" s="256" t="inlineStr">
        <is>
          <t>07.05.2025</t>
        </is>
      </c>
      <c r="DN11" s="256" t="inlineStr">
        <is>
          <t>IPH — Institute of Public Health</t>
        </is>
      </c>
      <c r="DO11" s="256" t="inlineStr">
        <is>
          <t>ND</t>
        </is>
      </c>
      <c r="DP11" s="256" t="inlineStr">
        <is>
          <t>2156/2025</t>
        </is>
      </c>
      <c r="DQ11" s="256" t="inlineStr">
        <is>
          <t>07.05.2025</t>
        </is>
      </c>
      <c r="DR11" s="256" t="inlineStr">
        <is>
          <t>IPH — Institute of Public Health</t>
        </is>
      </c>
    </row>
    <row r="12">
      <c r="A12" s="256" t="inlineStr">
        <is>
          <t>CoQ-PP_26-011</t>
        </is>
      </c>
      <c r="B12" s="256" t="inlineStr">
        <is>
          <t>release</t>
        </is>
      </c>
      <c r="C12" s="256" t="inlineStr">
        <is>
          <t>issuable</t>
        </is>
      </c>
      <c r="D12" s="256" t="inlineStr">
        <is>
          <t>06.06.2026</t>
        </is>
      </c>
      <c r="E12" s="256" t="inlineStr">
        <is>
          <t>n/a — release certificate</t>
        </is>
      </c>
      <c r="F12" s="256" t="inlineStr">
        <is>
          <t>CoQ-PP-2025-0008</t>
        </is>
      </c>
      <c r="G12" s="256" t="inlineStr">
        <is>
          <t>HPA1024_01</t>
        </is>
      </c>
      <c r="H12" s="256" t="inlineStr">
        <is>
          <t>P050052</t>
        </is>
      </c>
      <c r="I12" s="256" t="inlineStr">
        <is>
          <t>High Pro Amnesia</t>
        </is>
      </c>
      <c r="J12" s="256" t="inlineStr">
        <is>
          <t>27.05.2025 – 28.05.2025</t>
        </is>
      </c>
      <c r="K12" s="256" t="inlineStr">
        <is>
          <t>27.06.2025 – 04.07.2025</t>
        </is>
      </c>
      <c r="L12" s="256" t="inlineStr">
        <is>
          <t>27.05.2025</t>
        </is>
      </c>
      <c r="M12" s="256" t="inlineStr">
        <is>
          <t>27.06.2025</t>
        </is>
      </c>
      <c r="N12" s="256" t="inlineStr">
        <is>
          <t>iCoA-PP_26-011</t>
        </is>
      </c>
      <c r="O12" s="256" t="inlineStr">
        <is>
          <t>03.06.2026</t>
        </is>
      </c>
      <c r="P12" s="256" t="inlineStr">
        <is>
          <t>27.06.2025</t>
        </is>
      </c>
      <c r="Q12" s="256" t="inlineStr">
        <is>
          <t>—</t>
        </is>
      </c>
      <c r="R12" s="256" t="inlineStr">
        <is>
          <t>22.43</t>
        </is>
      </c>
      <c r="S12" s="256" t="inlineStr">
        <is>
          <t>ППК25155</t>
        </is>
      </c>
      <c r="T12" s="256" t="inlineStr">
        <is>
          <t>I</t>
        </is>
      </c>
      <c r="U12" s="256" t="inlineStr">
        <is>
          <t>19.80 – 24.19 %</t>
        </is>
      </c>
      <c r="V12" s="256" t="inlineStr">
        <is>
          <t>HPA_THC22 : CBD1</t>
        </is>
      </c>
      <c r="W12" s="256" t="inlineStr">
        <is>
          <t>QCSP_001_HPA-I_v.01</t>
        </is>
      </c>
      <c r="X12" s="256" t="inlineStr">
        <is>
          <t>for review — replaces the issued QCSP_001_HPA-I_v.01 (was HPA_THC22 : CBD1, 21.00 – 23.00 %); now HPA_THC22 : CBD1 19.80 – 24.19 %</t>
        </is>
      </c>
      <c r="Y12" s="256" t="inlineStr">
        <is>
          <t>SATIVA</t>
        </is>
      </c>
      <c r="Z12" s="256" t="inlineStr">
        <is>
          <t>THC</t>
        </is>
      </c>
      <c r="AA12" s="256" t="inlineStr">
        <is>
          <t>MACHINE TRIMMED</t>
        </is>
      </c>
      <c r="AB12" s="256" t="inlineStr">
        <is>
          <t>—</t>
        </is>
      </c>
      <c r="AC12" s="256" t="inlineStr">
        <is>
          <t>Triplex Alu Bag | Триплекс Aлу Kеса, PET 12 · ALU 7 · PE 80, 300 × 500 mm, net. 400.0 g ±3%</t>
        </is>
      </c>
      <c r="AD12" s="256" t="inlineStr">
        <is>
          <t>24.06.2025</t>
        </is>
      </c>
      <c r="AE12" s="256" t="inlineStr">
        <is>
          <t>Conforms | Одговара</t>
        </is>
      </c>
      <c r="AF12" s="256" t="inlineStr">
        <is>
          <t>iCoA-PP_26-011</t>
        </is>
      </c>
      <c r="AG12" s="256" t="inlineStr">
        <is>
          <t>03.06.2026</t>
        </is>
      </c>
      <c r="AH12" s="256" t="inlineStr">
        <is>
          <t>Purely Plant GmbH (in-house)</t>
        </is>
      </c>
      <c r="AI12" s="256" t="inlineStr">
        <is>
          <t>Conforms | Одговара</t>
        </is>
      </c>
      <c r="AJ12" s="256" t="inlineStr">
        <is>
          <t>iCoA-PP_26-011</t>
        </is>
      </c>
      <c r="AK12" s="256" t="inlineStr">
        <is>
          <t>03.06.2026</t>
        </is>
      </c>
      <c r="AL12" s="256" t="inlineStr">
        <is>
          <t>Purely Plant GmbH (in-house)</t>
        </is>
      </c>
      <c r="AM12" s="256" t="inlineStr">
        <is>
          <t>Conforms | Одговара</t>
        </is>
      </c>
      <c r="AN12" s="256" t="inlineStr">
        <is>
          <t>ППК25155</t>
        </is>
      </c>
      <c r="AO12" s="256" t="inlineStr">
        <is>
          <t>24.06.2025</t>
        </is>
      </c>
      <c r="AP12" s="256" t="inlineStr">
        <is>
          <t>UKIM Faculty of Pharmacy — Center for Natural Products</t>
        </is>
      </c>
      <c r="AQ12" s="256" t="inlineStr">
        <is>
          <t>22.43</t>
        </is>
      </c>
      <c r="AR12" s="256" t="inlineStr">
        <is>
          <t>ППК25155</t>
        </is>
      </c>
      <c r="AS12" s="256" t="inlineStr">
        <is>
          <t>24.06.2025</t>
        </is>
      </c>
      <c r="AT12" s="256" t="inlineStr">
        <is>
          <t>UKIM Faculty of Pharmacy — Center for Natural Products</t>
        </is>
      </c>
      <c r="AU12" s="256" t="inlineStr">
        <is>
          <t>0.1</t>
        </is>
      </c>
      <c r="AV12" s="256" t="inlineStr">
        <is>
          <t>ППК25155</t>
        </is>
      </c>
      <c r="AW12" s="256" t="inlineStr">
        <is>
          <t>24.06.2025</t>
        </is>
      </c>
      <c r="AX12" s="256" t="inlineStr">
        <is>
          <t>UKIM Faculty of Pharmacy — Center for Natural Products</t>
        </is>
      </c>
      <c r="AY12" s="256" t="inlineStr">
        <is>
          <t>0.02 ᴰ</t>
        </is>
      </c>
      <c r="AZ12" s="256" t="inlineStr">
        <is>
          <t>ППК25155</t>
        </is>
      </c>
      <c r="BA12" s="256" t="inlineStr">
        <is>
          <t>24.06.2025</t>
        </is>
      </c>
      <c r="BB12" s="256" t="inlineStr">
        <is>
          <t>CNP</t>
        </is>
      </c>
      <c r="BC12" s="256" t="inlineStr">
        <is>
          <t>Conforms | Одговара</t>
        </is>
      </c>
      <c r="BD12" s="256" t="inlineStr">
        <is>
          <t>iCoA-PP_26-011</t>
        </is>
      </c>
      <c r="BE12" s="256" t="inlineStr">
        <is>
          <t>03.06.2026</t>
        </is>
      </c>
      <c r="BF12" s="256" t="inlineStr">
        <is>
          <t>Purely Plant GmbH (in-house)</t>
        </is>
      </c>
      <c r="BG12" s="256" t="inlineStr">
        <is>
          <t>6.36</t>
        </is>
      </c>
      <c r="BH12" s="256" t="inlineStr">
        <is>
          <t>ППК25155</t>
        </is>
      </c>
      <c r="BI12" s="256" t="inlineStr">
        <is>
          <t>24.06.2025</t>
        </is>
      </c>
      <c r="BJ12" s="256" t="inlineStr">
        <is>
          <t>UKIM Faculty of Pharmacy — Center for Natural Products</t>
        </is>
      </c>
      <c r="BK12" s="256" t="inlineStr">
        <is>
          <t>9.6 × 10³</t>
        </is>
      </c>
      <c r="BL12" s="256" t="inlineStr">
        <is>
          <t>587/1066/25</t>
        </is>
      </c>
      <c r="BM12" s="256" t="inlineStr">
        <is>
          <t>18.06.2025</t>
        </is>
      </c>
      <c r="BN12" s="256" t="inlineStr">
        <is>
          <t>IPH — Institute of Public Health</t>
        </is>
      </c>
      <c r="BO12" s="256" t="inlineStr">
        <is>
          <t>1.5 × 10⁴</t>
        </is>
      </c>
      <c r="BP12" s="256" t="inlineStr">
        <is>
          <t>587/1066/25</t>
        </is>
      </c>
      <c r="BQ12" s="256" t="inlineStr">
        <is>
          <t>18.06.2025</t>
        </is>
      </c>
      <c r="BR12" s="256" t="inlineStr">
        <is>
          <t>IPH — Institute of Public Health</t>
        </is>
      </c>
      <c r="BS12" s="256" t="inlineStr">
        <is>
          <t>&lt; 10</t>
        </is>
      </c>
      <c r="BT12" s="256" t="inlineStr">
        <is>
          <t>587/1066/25</t>
        </is>
      </c>
      <c r="BU12" s="256" t="inlineStr">
        <is>
          <t>18.06.2025</t>
        </is>
      </c>
      <c r="BV12" s="256" t="inlineStr">
        <is>
          <t>IPH — Institute of Public Health</t>
        </is>
      </c>
      <c r="BW12" s="256" t="inlineStr">
        <is>
          <t>Absent | Отсутна</t>
        </is>
      </c>
      <c r="BX12" s="256" t="inlineStr">
        <is>
          <t>587/1066/25</t>
        </is>
      </c>
      <c r="BY12" s="256" t="inlineStr">
        <is>
          <t>18.06.2025</t>
        </is>
      </c>
      <c r="BZ12" s="256" t="inlineStr">
        <is>
          <t>IPH — Institute of Public Health</t>
        </is>
      </c>
      <c r="CA12" s="256" t="inlineStr">
        <is>
          <t>Absent | Отсутна</t>
        </is>
      </c>
      <c r="CB12" s="256" t="inlineStr">
        <is>
          <t>587/1066/25</t>
        </is>
      </c>
      <c r="CC12" s="256" t="inlineStr">
        <is>
          <t>18.06.2025</t>
        </is>
      </c>
      <c r="CD12" s="256" t="inlineStr">
        <is>
          <t>IPH — Institute of Public Health</t>
        </is>
      </c>
      <c r="CE12" s="260" t="inlineStr">
        <is>
          <t>upon request — not required for release</t>
        </is>
      </c>
      <c r="CF12" s="256" t="inlineStr">
        <is>
          <t>—</t>
        </is>
      </c>
      <c r="CG12" s="256" t="inlineStr">
        <is>
          <t>—</t>
        </is>
      </c>
      <c r="CH12" s="256" t="inlineStr">
        <is>
          <t>—</t>
        </is>
      </c>
      <c r="CI12" s="260" t="inlineStr">
        <is>
          <t>upon request — not required for release</t>
        </is>
      </c>
      <c r="CJ12" s="256" t="inlineStr">
        <is>
          <t>—</t>
        </is>
      </c>
      <c r="CK12" s="256" t="inlineStr">
        <is>
          <t>—</t>
        </is>
      </c>
      <c r="CL12" s="256" t="inlineStr">
        <is>
          <t>—</t>
        </is>
      </c>
      <c r="CM12" s="259" t="inlineStr">
        <is>
          <t>not tested</t>
        </is>
      </c>
      <c r="CN12" s="256" t="inlineStr">
        <is>
          <t>—</t>
        </is>
      </c>
      <c r="CO12" s="256" t="inlineStr">
        <is>
          <t>—</t>
        </is>
      </c>
      <c r="CP12" s="256" t="inlineStr">
        <is>
          <t>—</t>
        </is>
      </c>
      <c r="CQ12" s="256" t="inlineStr">
        <is>
          <t>&lt; 2</t>
        </is>
      </c>
      <c r="CR12" s="256" t="inlineStr">
        <is>
          <t>2995/2025</t>
        </is>
      </c>
      <c r="CS12" s="256" t="inlineStr">
        <is>
          <t>19.06.2025</t>
        </is>
      </c>
      <c r="CT12" s="256" t="inlineStr">
        <is>
          <t>IPH — Institute of Public Health</t>
        </is>
      </c>
      <c r="CU12" s="259" t="inlineStr">
        <is>
          <t>not tested</t>
        </is>
      </c>
      <c r="CV12" s="256" t="inlineStr">
        <is>
          <t>—</t>
        </is>
      </c>
      <c r="CW12" s="256" t="inlineStr">
        <is>
          <t>—</t>
        </is>
      </c>
      <c r="CX12" s="256" t="inlineStr">
        <is>
          <t>—</t>
        </is>
      </c>
      <c r="CY12" s="256" t="inlineStr">
        <is>
          <t>0.059</t>
        </is>
      </c>
      <c r="CZ12" s="256" t="inlineStr">
        <is>
          <t>2995/2025</t>
        </is>
      </c>
      <c r="DA12" s="256" t="inlineStr">
        <is>
          <t>19.06.2025</t>
        </is>
      </c>
      <c r="DB12" s="256" t="inlineStr">
        <is>
          <t>IPH — Institute of Public Health</t>
        </is>
      </c>
      <c r="DC12" s="256" t="inlineStr">
        <is>
          <t>0.014</t>
        </is>
      </c>
      <c r="DD12" s="256" t="inlineStr">
        <is>
          <t>2995/2025</t>
        </is>
      </c>
      <c r="DE12" s="256" t="inlineStr">
        <is>
          <t>19.06.2025</t>
        </is>
      </c>
      <c r="DF12" s="256" t="inlineStr">
        <is>
          <t>IPH — Institute of Public Health</t>
        </is>
      </c>
      <c r="DG12" s="256" t="inlineStr">
        <is>
          <t>0.037</t>
        </is>
      </c>
      <c r="DH12" s="256" t="inlineStr">
        <is>
          <t>2995/2025</t>
        </is>
      </c>
      <c r="DI12" s="256" t="inlineStr">
        <is>
          <t>19.06.2025</t>
        </is>
      </c>
      <c r="DJ12" s="256" t="inlineStr">
        <is>
          <t>IPH — Institute of Public Health</t>
        </is>
      </c>
      <c r="DK12" s="256" t="inlineStr">
        <is>
          <t>0.008</t>
        </is>
      </c>
      <c r="DL12" s="256" t="inlineStr">
        <is>
          <t>2995/2025</t>
        </is>
      </c>
      <c r="DM12" s="256" t="inlineStr">
        <is>
          <t>19.06.2025</t>
        </is>
      </c>
      <c r="DN12" s="256" t="inlineStr">
        <is>
          <t>IPH — Institute of Public Health</t>
        </is>
      </c>
      <c r="DO12" s="256" t="inlineStr">
        <is>
          <t>ND</t>
        </is>
      </c>
      <c r="DP12" s="256" t="inlineStr">
        <is>
          <t>2995/2025</t>
        </is>
      </c>
      <c r="DQ12" s="256" t="inlineStr">
        <is>
          <t>19.06.2025</t>
        </is>
      </c>
      <c r="DR12" s="256" t="inlineStr">
        <is>
          <t>IPH — Institute of Public Health</t>
        </is>
      </c>
    </row>
    <row r="13">
      <c r="A13" s="256" t="inlineStr">
        <is>
          <t>CoQ-PP_26-012</t>
        </is>
      </c>
      <c r="B13" s="256" t="inlineStr">
        <is>
          <t>release</t>
        </is>
      </c>
      <c r="C13" s="256" t="inlineStr">
        <is>
          <t>issuable</t>
        </is>
      </c>
      <c r="D13" s="256" t="inlineStr">
        <is>
          <t>06.06.2026</t>
        </is>
      </c>
      <c r="E13" s="256" t="inlineStr">
        <is>
          <t>n/a — release certificate</t>
        </is>
      </c>
      <c r="F13" s="256" t="inlineStr">
        <is>
          <t>CoQ-PP-2025-0009</t>
        </is>
      </c>
      <c r="G13" s="256" t="inlineStr">
        <is>
          <t>OPM1024_02</t>
        </is>
      </c>
      <c r="H13" s="256" t="inlineStr">
        <is>
          <t>P050062</t>
        </is>
      </c>
      <c r="I13" s="256" t="inlineStr">
        <is>
          <t>Orange Punch Mimosa</t>
        </is>
      </c>
      <c r="J13" s="256" t="inlineStr">
        <is>
          <t>29.05.2025 – 30.05.2025</t>
        </is>
      </c>
      <c r="K13" s="256" t="inlineStr">
        <is>
          <t>04.07.2025 – 10.07.2025</t>
        </is>
      </c>
      <c r="L13" s="256" t="inlineStr">
        <is>
          <t>29.05.2025</t>
        </is>
      </c>
      <c r="M13" s="256" t="inlineStr">
        <is>
          <t>04.07.2025</t>
        </is>
      </c>
      <c r="N13" s="256" t="inlineStr">
        <is>
          <t>iCoA-PP_26-012</t>
        </is>
      </c>
      <c r="O13" s="256" t="inlineStr">
        <is>
          <t>03.06.2026</t>
        </is>
      </c>
      <c r="P13" s="256" t="inlineStr">
        <is>
          <t>04.07.2025</t>
        </is>
      </c>
      <c r="Q13" s="256" t="inlineStr">
        <is>
          <t>—</t>
        </is>
      </c>
      <c r="R13" s="256" t="inlineStr">
        <is>
          <t>18.27</t>
        </is>
      </c>
      <c r="S13" s="256" t="inlineStr">
        <is>
          <t>ППК25154</t>
        </is>
      </c>
      <c r="T13" s="256" t="inlineStr">
        <is>
          <t>II</t>
        </is>
      </c>
      <c r="U13" s="256" t="inlineStr">
        <is>
          <t>15.40 – 18.59 %</t>
        </is>
      </c>
      <c r="V13" s="256" t="inlineStr">
        <is>
          <t>OPM_THC17 : CBD1</t>
        </is>
      </c>
      <c r="W13" s="256" t="inlineStr">
        <is>
          <t>QCSP_001_OPM-II_v.01</t>
        </is>
      </c>
      <c r="X13" s="256" t="inlineStr">
        <is>
          <t>for review — replaces the issued QCSP_001_OPM-II_v.01 (was OPM_THC18 : CBD1, 16.20 – 19.80 %); now OPM_THC17 : CBD1 15.40 – 18.59 %</t>
        </is>
      </c>
      <c r="Y13" s="256" t="inlineStr">
        <is>
          <t>INDICA</t>
        </is>
      </c>
      <c r="Z13" s="256" t="inlineStr">
        <is>
          <t>THC</t>
        </is>
      </c>
      <c r="AA13" s="256" t="inlineStr">
        <is>
          <t>MACHINE TRIMMED</t>
        </is>
      </c>
      <c r="AB13" s="256" t="inlineStr">
        <is>
          <t>—</t>
        </is>
      </c>
      <c r="AC13" s="256" t="inlineStr">
        <is>
          <t>Triplex Alu Bag | Триплекс Aлу Kеса, PET 12 · ALU 7 · PE 80, 300 × 500 mm, net. 400.0 g ±3%</t>
        </is>
      </c>
      <c r="AD13" s="256" t="inlineStr">
        <is>
          <t>24.06.2025</t>
        </is>
      </c>
      <c r="AE13" s="256" t="inlineStr">
        <is>
          <t>Conforms | Одговара</t>
        </is>
      </c>
      <c r="AF13" s="256" t="inlineStr">
        <is>
          <t>iCoA-PP_26-012</t>
        </is>
      </c>
      <c r="AG13" s="256" t="inlineStr">
        <is>
          <t>03.06.2026</t>
        </is>
      </c>
      <c r="AH13" s="256" t="inlineStr">
        <is>
          <t>Purely Plant GmbH (in-house)</t>
        </is>
      </c>
      <c r="AI13" s="256" t="inlineStr">
        <is>
          <t>Conforms | Одговара</t>
        </is>
      </c>
      <c r="AJ13" s="256" t="inlineStr">
        <is>
          <t>iCoA-PP_26-012</t>
        </is>
      </c>
      <c r="AK13" s="256" t="inlineStr">
        <is>
          <t>03.06.2026</t>
        </is>
      </c>
      <c r="AL13" s="256" t="inlineStr">
        <is>
          <t>Purely Plant GmbH (in-house)</t>
        </is>
      </c>
      <c r="AM13" s="256" t="inlineStr">
        <is>
          <t>Conforms | Одговара</t>
        </is>
      </c>
      <c r="AN13" s="256" t="inlineStr">
        <is>
          <t>ППК25154</t>
        </is>
      </c>
      <c r="AO13" s="256" t="inlineStr">
        <is>
          <t>24.06.2025</t>
        </is>
      </c>
      <c r="AP13" s="256" t="inlineStr">
        <is>
          <t>UKIM Faculty of Pharmacy — Center for Natural Products</t>
        </is>
      </c>
      <c r="AQ13" s="256" t="inlineStr">
        <is>
          <t>18.27</t>
        </is>
      </c>
      <c r="AR13" s="256" t="inlineStr">
        <is>
          <t>ППК25154</t>
        </is>
      </c>
      <c r="AS13" s="256" t="inlineStr">
        <is>
          <t>24.06.2025</t>
        </is>
      </c>
      <c r="AT13" s="256" t="inlineStr">
        <is>
          <t>UKIM Faculty of Pharmacy — Center for Natural Products</t>
        </is>
      </c>
      <c r="AU13" s="256" t="inlineStr">
        <is>
          <t>0.05</t>
        </is>
      </c>
      <c r="AV13" s="256" t="inlineStr">
        <is>
          <t>ППК25154</t>
        </is>
      </c>
      <c r="AW13" s="256" t="inlineStr">
        <is>
          <t>24.06.2025</t>
        </is>
      </c>
      <c r="AX13" s="256" t="inlineStr">
        <is>
          <t>UKIM Faculty of Pharmacy — Center for Natural Products</t>
        </is>
      </c>
      <c r="AY13" s="256" t="inlineStr">
        <is>
          <t>0.02 ᴰ</t>
        </is>
      </c>
      <c r="AZ13" s="256" t="inlineStr">
        <is>
          <t>ППК25154</t>
        </is>
      </c>
      <c r="BA13" s="256" t="inlineStr">
        <is>
          <t>24.06.2025</t>
        </is>
      </c>
      <c r="BB13" s="256" t="inlineStr">
        <is>
          <t>CNP</t>
        </is>
      </c>
      <c r="BC13" s="256" t="inlineStr">
        <is>
          <t>Conforms | Одговара</t>
        </is>
      </c>
      <c r="BD13" s="256" t="inlineStr">
        <is>
          <t>iCoA-PP_26-012</t>
        </is>
      </c>
      <c r="BE13" s="256" t="inlineStr">
        <is>
          <t>03.06.2026</t>
        </is>
      </c>
      <c r="BF13" s="256" t="inlineStr">
        <is>
          <t>Purely Plant GmbH (in-house)</t>
        </is>
      </c>
      <c r="BG13" s="256" t="inlineStr">
        <is>
          <t>6.89</t>
        </is>
      </c>
      <c r="BH13" s="256" t="inlineStr">
        <is>
          <t>ППК25154</t>
        </is>
      </c>
      <c r="BI13" s="256" t="inlineStr">
        <is>
          <t>24.06.2025</t>
        </is>
      </c>
      <c r="BJ13" s="256" t="inlineStr">
        <is>
          <t>UKIM Faculty of Pharmacy — Center for Natural Products</t>
        </is>
      </c>
      <c r="BK13" s="256" t="inlineStr">
        <is>
          <t>3.4 × 10³</t>
        </is>
      </c>
      <c r="BL13" s="256" t="inlineStr">
        <is>
          <t>588/1067/25</t>
        </is>
      </c>
      <c r="BM13" s="256" t="inlineStr">
        <is>
          <t>18.06.2025</t>
        </is>
      </c>
      <c r="BN13" s="256" t="inlineStr">
        <is>
          <t>IPH — Institute of Public Health</t>
        </is>
      </c>
      <c r="BO13" s="256" t="inlineStr">
        <is>
          <t>3.6 × 10³</t>
        </is>
      </c>
      <c r="BP13" s="256" t="inlineStr">
        <is>
          <t>588/1067/25</t>
        </is>
      </c>
      <c r="BQ13" s="256" t="inlineStr">
        <is>
          <t>18.06.2025</t>
        </is>
      </c>
      <c r="BR13" s="256" t="inlineStr">
        <is>
          <t>IPH — Institute of Public Health</t>
        </is>
      </c>
      <c r="BS13" s="256" t="inlineStr">
        <is>
          <t>&lt; 10</t>
        </is>
      </c>
      <c r="BT13" s="256" t="inlineStr">
        <is>
          <t>588/1067/25</t>
        </is>
      </c>
      <c r="BU13" s="256" t="inlineStr">
        <is>
          <t>18.06.2025</t>
        </is>
      </c>
      <c r="BV13" s="256" t="inlineStr">
        <is>
          <t>IPH — Institute of Public Health</t>
        </is>
      </c>
      <c r="BW13" s="256" t="inlineStr">
        <is>
          <t>Absent | Отсутна</t>
        </is>
      </c>
      <c r="BX13" s="256" t="inlineStr">
        <is>
          <t>588/1067/25</t>
        </is>
      </c>
      <c r="BY13" s="256" t="inlineStr">
        <is>
          <t>18.06.2025</t>
        </is>
      </c>
      <c r="BZ13" s="256" t="inlineStr">
        <is>
          <t>IPH — Institute of Public Health</t>
        </is>
      </c>
      <c r="CA13" s="256" t="inlineStr">
        <is>
          <t>Absent | Отсутна</t>
        </is>
      </c>
      <c r="CB13" s="256" t="inlineStr">
        <is>
          <t>588/1067/25</t>
        </is>
      </c>
      <c r="CC13" s="256" t="inlineStr">
        <is>
          <t>18.06.2025</t>
        </is>
      </c>
      <c r="CD13" s="256" t="inlineStr">
        <is>
          <t>IPH — Institute of Public Health</t>
        </is>
      </c>
      <c r="CE13" s="260" t="inlineStr">
        <is>
          <t>upon request — not required for release</t>
        </is>
      </c>
      <c r="CF13" s="256" t="inlineStr">
        <is>
          <t>—</t>
        </is>
      </c>
      <c r="CG13" s="256" t="inlineStr">
        <is>
          <t>—</t>
        </is>
      </c>
      <c r="CH13" s="256" t="inlineStr">
        <is>
          <t>—</t>
        </is>
      </c>
      <c r="CI13" s="260" t="inlineStr">
        <is>
          <t>upon request — not required for release</t>
        </is>
      </c>
      <c r="CJ13" s="256" t="inlineStr">
        <is>
          <t>—</t>
        </is>
      </c>
      <c r="CK13" s="256" t="inlineStr">
        <is>
          <t>—</t>
        </is>
      </c>
      <c r="CL13" s="256" t="inlineStr">
        <is>
          <t>—</t>
        </is>
      </c>
      <c r="CM13" s="259" t="inlineStr">
        <is>
          <t>not tested</t>
        </is>
      </c>
      <c r="CN13" s="256" t="inlineStr">
        <is>
          <t>—</t>
        </is>
      </c>
      <c r="CO13" s="256" t="inlineStr">
        <is>
          <t>—</t>
        </is>
      </c>
      <c r="CP13" s="256" t="inlineStr">
        <is>
          <t>—</t>
        </is>
      </c>
      <c r="CQ13" s="256" t="inlineStr">
        <is>
          <t>&lt; 2</t>
        </is>
      </c>
      <c r="CR13" s="256" t="inlineStr">
        <is>
          <t>2994/2025</t>
        </is>
      </c>
      <c r="CS13" s="256" t="inlineStr">
        <is>
          <t>19.06.2025</t>
        </is>
      </c>
      <c r="CT13" s="256" t="inlineStr">
        <is>
          <t>IPH — Institute of Public Health</t>
        </is>
      </c>
      <c r="CU13" s="259" t="inlineStr">
        <is>
          <t>not tested</t>
        </is>
      </c>
      <c r="CV13" s="256" t="inlineStr">
        <is>
          <t>—</t>
        </is>
      </c>
      <c r="CW13" s="256" t="inlineStr">
        <is>
          <t>—</t>
        </is>
      </c>
      <c r="CX13" s="256" t="inlineStr">
        <is>
          <t>—</t>
        </is>
      </c>
      <c r="CY13" s="256" t="inlineStr">
        <is>
          <t>0.052</t>
        </is>
      </c>
      <c r="CZ13" s="256" t="inlineStr">
        <is>
          <t>2994/2025</t>
        </is>
      </c>
      <c r="DA13" s="256" t="inlineStr">
        <is>
          <t>19.06.2025</t>
        </is>
      </c>
      <c r="DB13" s="256" t="inlineStr">
        <is>
          <t>IPH — Institute of Public Health</t>
        </is>
      </c>
      <c r="DC13" s="256" t="inlineStr">
        <is>
          <t>0.011</t>
        </is>
      </c>
      <c r="DD13" s="256" t="inlineStr">
        <is>
          <t>2994/2025</t>
        </is>
      </c>
      <c r="DE13" s="256" t="inlineStr">
        <is>
          <t>19.06.2025</t>
        </is>
      </c>
      <c r="DF13" s="256" t="inlineStr">
        <is>
          <t>IPH — Institute of Public Health</t>
        </is>
      </c>
      <c r="DG13" s="256" t="inlineStr">
        <is>
          <t>0.028</t>
        </is>
      </c>
      <c r="DH13" s="256" t="inlineStr">
        <is>
          <t>2994/2025</t>
        </is>
      </c>
      <c r="DI13" s="256" t="inlineStr">
        <is>
          <t>19.06.2025</t>
        </is>
      </c>
      <c r="DJ13" s="256" t="inlineStr">
        <is>
          <t>IPH — Institute of Public Health</t>
        </is>
      </c>
      <c r="DK13" s="256" t="inlineStr">
        <is>
          <t>0.061</t>
        </is>
      </c>
      <c r="DL13" s="256" t="inlineStr">
        <is>
          <t>2994/2025</t>
        </is>
      </c>
      <c r="DM13" s="256" t="inlineStr">
        <is>
          <t>19.06.2025</t>
        </is>
      </c>
      <c r="DN13" s="256" t="inlineStr">
        <is>
          <t>IPH — Institute of Public Health</t>
        </is>
      </c>
      <c r="DO13" s="256" t="inlineStr">
        <is>
          <t>ND</t>
        </is>
      </c>
      <c r="DP13" s="256" t="inlineStr">
        <is>
          <t>2994/2025</t>
        </is>
      </c>
      <c r="DQ13" s="256" t="inlineStr">
        <is>
          <t>19.06.2025</t>
        </is>
      </c>
      <c r="DR13" s="256" t="inlineStr">
        <is>
          <t>IPH — Institute of Public Health</t>
        </is>
      </c>
    </row>
    <row r="14">
      <c r="A14" s="256" t="inlineStr">
        <is>
          <t>CoQ-PP_26-013</t>
        </is>
      </c>
      <c r="B14" s="256" t="inlineStr">
        <is>
          <t>release</t>
        </is>
      </c>
      <c r="C14" s="256" t="inlineStr">
        <is>
          <t>issuable</t>
        </is>
      </c>
      <c r="D14" s="256" t="inlineStr">
        <is>
          <t>06.06.2026</t>
        </is>
      </c>
      <c r="E14" s="256" t="inlineStr">
        <is>
          <t>n/a — release certificate</t>
        </is>
      </c>
      <c r="F14" s="256" t="inlineStr">
        <is>
          <t>CoQ-PP-2025-0010</t>
        </is>
      </c>
      <c r="G14" s="256" t="inlineStr">
        <is>
          <t>GP0824_03</t>
        </is>
      </c>
      <c r="H14" s="256" t="inlineStr">
        <is>
          <t>P050072</t>
        </is>
      </c>
      <c r="I14" s="256" t="inlineStr">
        <is>
          <t>Grape Pie</t>
        </is>
      </c>
      <c r="J14" s="256" t="inlineStr">
        <is>
          <t>09.06.2025 – 10.06.2025</t>
        </is>
      </c>
      <c r="K14" s="256" t="inlineStr">
        <is>
          <t>14.07.2025 – 17.07.2025</t>
        </is>
      </c>
      <c r="L14" s="256" t="inlineStr">
        <is>
          <t>09.06.2025</t>
        </is>
      </c>
      <c r="M14" s="256" t="inlineStr">
        <is>
          <t>14.07.2025</t>
        </is>
      </c>
      <c r="N14" s="256" t="inlineStr">
        <is>
          <t>iCoA-PP_26-013</t>
        </is>
      </c>
      <c r="O14" s="256" t="inlineStr">
        <is>
          <t>03.06.2026</t>
        </is>
      </c>
      <c r="P14" s="256" t="inlineStr">
        <is>
          <t>14.07.2025</t>
        </is>
      </c>
      <c r="Q14" s="256" t="inlineStr">
        <is>
          <t>—</t>
        </is>
      </c>
      <c r="R14" s="256" t="inlineStr">
        <is>
          <t>25.45</t>
        </is>
      </c>
      <c r="S14" s="256" t="inlineStr">
        <is>
          <t>ППК25175</t>
        </is>
      </c>
      <c r="T14" s="256" t="inlineStr">
        <is>
          <t>II</t>
        </is>
      </c>
      <c r="U14" s="256" t="inlineStr">
        <is>
          <t>22.00 – 25.99 %</t>
        </is>
      </c>
      <c r="V14" s="256" t="inlineStr">
        <is>
          <t>GP_THC24 : CBD1</t>
        </is>
      </c>
      <c r="W14" s="256" t="inlineStr">
        <is>
          <t>QCSP_001_GP-II_v.01</t>
        </is>
      </c>
      <c r="X14" s="256" t="inlineStr">
        <is>
          <t>for review — replaces the issued QCSP_001_GP-II_v.01 (was GP_THC26 : CBD1, 25.40 – 26.60 %); now GP_THC24 : CBD1 22.00 – 25.99 %</t>
        </is>
      </c>
      <c r="Y14" s="256" t="inlineStr">
        <is>
          <t>HYBRID</t>
        </is>
      </c>
      <c r="Z14" s="256" t="inlineStr">
        <is>
          <t>THC</t>
        </is>
      </c>
      <c r="AA14" s="256" t="inlineStr">
        <is>
          <t>MACHINE TRIMMED</t>
        </is>
      </c>
      <c r="AB14" s="256" t="inlineStr">
        <is>
          <t>INDICA-DOMINANT</t>
        </is>
      </c>
      <c r="AC14" s="256" t="inlineStr">
        <is>
          <t>Triplex Alu Bag | Триплекс Aлу Kеса, PET 12 · ALU 7 · PE 80, 300 × 500 mm, net. 400.0 g ±3%</t>
        </is>
      </c>
      <c r="AD14" s="256" t="inlineStr">
        <is>
          <t>10.07.2025</t>
        </is>
      </c>
      <c r="AE14" s="256" t="inlineStr">
        <is>
          <t>Conforms | Одговара</t>
        </is>
      </c>
      <c r="AF14" s="256" t="inlineStr">
        <is>
          <t>iCoA-PP_26-013</t>
        </is>
      </c>
      <c r="AG14" s="256" t="inlineStr">
        <is>
          <t>03.06.2026</t>
        </is>
      </c>
      <c r="AH14" s="256" t="inlineStr">
        <is>
          <t>Purely Plant GmbH (in-house)</t>
        </is>
      </c>
      <c r="AI14" s="256" t="inlineStr">
        <is>
          <t>Conforms | Одговара</t>
        </is>
      </c>
      <c r="AJ14" s="256" t="inlineStr">
        <is>
          <t>iCoA-PP_26-013</t>
        </is>
      </c>
      <c r="AK14" s="256" t="inlineStr">
        <is>
          <t>03.06.2026</t>
        </is>
      </c>
      <c r="AL14" s="256" t="inlineStr">
        <is>
          <t>Purely Plant GmbH (in-house)</t>
        </is>
      </c>
      <c r="AM14" s="256" t="inlineStr">
        <is>
          <t>Conforms | Одговара</t>
        </is>
      </c>
      <c r="AN14" s="256" t="inlineStr">
        <is>
          <t>ППК25175</t>
        </is>
      </c>
      <c r="AO14" s="256" t="inlineStr">
        <is>
          <t>10.07.2025</t>
        </is>
      </c>
      <c r="AP14" s="256" t="inlineStr">
        <is>
          <t>UKIM Faculty of Pharmacy — Center for Natural Products</t>
        </is>
      </c>
      <c r="AQ14" s="256" t="inlineStr">
        <is>
          <t>25.45</t>
        </is>
      </c>
      <c r="AR14" s="256" t="inlineStr">
        <is>
          <t>ППК25175</t>
        </is>
      </c>
      <c r="AS14" s="256" t="inlineStr">
        <is>
          <t>10.07.2025</t>
        </is>
      </c>
      <c r="AT14" s="256" t="inlineStr">
        <is>
          <t>UKIM Faculty of Pharmacy — Center for Natural Products</t>
        </is>
      </c>
      <c r="AU14" s="256" t="inlineStr">
        <is>
          <t>0.08</t>
        </is>
      </c>
      <c r="AV14" s="256" t="inlineStr">
        <is>
          <t>ППК25175</t>
        </is>
      </c>
      <c r="AW14" s="256" t="inlineStr">
        <is>
          <t>10.07.2025</t>
        </is>
      </c>
      <c r="AX14" s="256" t="inlineStr">
        <is>
          <t>UKIM Faculty of Pharmacy — Center for Natural Products</t>
        </is>
      </c>
      <c r="AY14" s="256" t="inlineStr">
        <is>
          <t>&lt; LOQ ᴰ</t>
        </is>
      </c>
      <c r="AZ14" s="256" t="inlineStr">
        <is>
          <t>ППК25175</t>
        </is>
      </c>
      <c r="BA14" s="256" t="inlineStr">
        <is>
          <t>10.07.2025</t>
        </is>
      </c>
      <c r="BB14" s="256" t="inlineStr">
        <is>
          <t>CNP</t>
        </is>
      </c>
      <c r="BC14" s="256" t="inlineStr">
        <is>
          <t>Conforms | Одговара</t>
        </is>
      </c>
      <c r="BD14" s="256" t="inlineStr">
        <is>
          <t>iCoA-PP_26-013</t>
        </is>
      </c>
      <c r="BE14" s="256" t="inlineStr">
        <is>
          <t>03.06.2026</t>
        </is>
      </c>
      <c r="BF14" s="256" t="inlineStr">
        <is>
          <t>Purely Plant GmbH (in-house)</t>
        </is>
      </c>
      <c r="BG14" s="256" t="inlineStr">
        <is>
          <t>6.58</t>
        </is>
      </c>
      <c r="BH14" s="256" t="inlineStr">
        <is>
          <t>ППК25175</t>
        </is>
      </c>
      <c r="BI14" s="256" t="inlineStr">
        <is>
          <t>10.07.2025</t>
        </is>
      </c>
      <c r="BJ14" s="256" t="inlineStr">
        <is>
          <t>UKIM Faculty of Pharmacy — Center for Natural Products</t>
        </is>
      </c>
      <c r="BK14" s="256" t="inlineStr">
        <is>
          <t>1.1 × 10⁴</t>
        </is>
      </c>
      <c r="BL14" s="256" t="inlineStr">
        <is>
          <t>628/1129/25</t>
        </is>
      </c>
      <c r="BM14" s="256" t="inlineStr">
        <is>
          <t>02.07.2025</t>
        </is>
      </c>
      <c r="BN14" s="256" t="inlineStr">
        <is>
          <t>IPH — Institute of Public Health</t>
        </is>
      </c>
      <c r="BO14" s="256" t="inlineStr">
        <is>
          <t>1.2 × 10⁴</t>
        </is>
      </c>
      <c r="BP14" s="256" t="inlineStr">
        <is>
          <t>628/1129/25</t>
        </is>
      </c>
      <c r="BQ14" s="256" t="inlineStr">
        <is>
          <t>02.07.2025</t>
        </is>
      </c>
      <c r="BR14" s="256" t="inlineStr">
        <is>
          <t>IPH — Institute of Public Health</t>
        </is>
      </c>
      <c r="BS14" s="256" t="inlineStr">
        <is>
          <t>&lt; 10⁴ and &gt; 10³</t>
        </is>
      </c>
      <c r="BT14" s="256" t="inlineStr">
        <is>
          <t>628/1129/25</t>
        </is>
      </c>
      <c r="BU14" s="256" t="inlineStr">
        <is>
          <t>02.07.2025</t>
        </is>
      </c>
      <c r="BV14" s="256" t="inlineStr">
        <is>
          <t>IPH — Institute of Public Health</t>
        </is>
      </c>
      <c r="BW14" s="256" t="inlineStr">
        <is>
          <t>Absent | Отсутна</t>
        </is>
      </c>
      <c r="BX14" s="256" t="inlineStr">
        <is>
          <t>628/1129/25</t>
        </is>
      </c>
      <c r="BY14" s="256" t="inlineStr">
        <is>
          <t>02.07.2025</t>
        </is>
      </c>
      <c r="BZ14" s="256" t="inlineStr">
        <is>
          <t>IPH — Institute of Public Health</t>
        </is>
      </c>
      <c r="CA14" s="256" t="inlineStr">
        <is>
          <t>Absent | Отсутна</t>
        </is>
      </c>
      <c r="CB14" s="256" t="inlineStr">
        <is>
          <t>628/1129/25</t>
        </is>
      </c>
      <c r="CC14" s="256" t="inlineStr">
        <is>
          <t>02.07.2025</t>
        </is>
      </c>
      <c r="CD14" s="256" t="inlineStr">
        <is>
          <t>IPH — Institute of Public Health</t>
        </is>
      </c>
      <c r="CE14" s="260" t="inlineStr">
        <is>
          <t>upon request — not required for release</t>
        </is>
      </c>
      <c r="CF14" s="256" t="inlineStr">
        <is>
          <t>—</t>
        </is>
      </c>
      <c r="CG14" s="256" t="inlineStr">
        <is>
          <t>—</t>
        </is>
      </c>
      <c r="CH14" s="256" t="inlineStr">
        <is>
          <t>—</t>
        </is>
      </c>
      <c r="CI14" s="260" t="inlineStr">
        <is>
          <t>upon request — not required for release</t>
        </is>
      </c>
      <c r="CJ14" s="256" t="inlineStr">
        <is>
          <t>—</t>
        </is>
      </c>
      <c r="CK14" s="256" t="inlineStr">
        <is>
          <t>—</t>
        </is>
      </c>
      <c r="CL14" s="256" t="inlineStr">
        <is>
          <t>—</t>
        </is>
      </c>
      <c r="CM14" s="259" t="inlineStr">
        <is>
          <t>not tested</t>
        </is>
      </c>
      <c r="CN14" s="256" t="inlineStr">
        <is>
          <t>—</t>
        </is>
      </c>
      <c r="CO14" s="256" t="inlineStr">
        <is>
          <t>—</t>
        </is>
      </c>
      <c r="CP14" s="256" t="inlineStr">
        <is>
          <t>—</t>
        </is>
      </c>
      <c r="CQ14" s="256" t="inlineStr">
        <is>
          <t>&lt; 2</t>
        </is>
      </c>
      <c r="CR14" s="256" t="inlineStr">
        <is>
          <t>3178/2025</t>
        </is>
      </c>
      <c r="CS14" s="256" t="inlineStr">
        <is>
          <t>26.06.2025</t>
        </is>
      </c>
      <c r="CT14" s="256" t="inlineStr">
        <is>
          <t>IPH — Institute of Public Health</t>
        </is>
      </c>
      <c r="CU14" s="259" t="inlineStr">
        <is>
          <t>not tested</t>
        </is>
      </c>
      <c r="CV14" s="256" t="inlineStr">
        <is>
          <t>—</t>
        </is>
      </c>
      <c r="CW14" s="256" t="inlineStr">
        <is>
          <t>—</t>
        </is>
      </c>
      <c r="CX14" s="256" t="inlineStr">
        <is>
          <t>—</t>
        </is>
      </c>
      <c r="CY14" s="256" t="inlineStr">
        <is>
          <t>ND</t>
        </is>
      </c>
      <c r="CZ14" s="256" t="inlineStr">
        <is>
          <t>3178/2025</t>
        </is>
      </c>
      <c r="DA14" s="256" t="inlineStr">
        <is>
          <t>26.06.2025</t>
        </is>
      </c>
      <c r="DB14" s="256" t="inlineStr">
        <is>
          <t>IPH — Institute of Public Health</t>
        </is>
      </c>
      <c r="DC14" s="256" t="inlineStr">
        <is>
          <t>ND</t>
        </is>
      </c>
      <c r="DD14" s="256" t="inlineStr">
        <is>
          <t>3178/2025</t>
        </is>
      </c>
      <c r="DE14" s="256" t="inlineStr">
        <is>
          <t>26.06.2025</t>
        </is>
      </c>
      <c r="DF14" s="256" t="inlineStr">
        <is>
          <t>IPH — Institute of Public Health</t>
        </is>
      </c>
      <c r="DG14" s="256" t="inlineStr">
        <is>
          <t>0.119</t>
        </is>
      </c>
      <c r="DH14" s="256" t="inlineStr">
        <is>
          <t>3178/2025</t>
        </is>
      </c>
      <c r="DI14" s="256" t="inlineStr">
        <is>
          <t>26.06.2025</t>
        </is>
      </c>
      <c r="DJ14" s="256" t="inlineStr">
        <is>
          <t>IPH — Institute of Public Health</t>
        </is>
      </c>
      <c r="DK14" s="256" t="inlineStr">
        <is>
          <t>ND</t>
        </is>
      </c>
      <c r="DL14" s="256" t="inlineStr">
        <is>
          <t>3178/2025</t>
        </is>
      </c>
      <c r="DM14" s="256" t="inlineStr">
        <is>
          <t>26.06.2025</t>
        </is>
      </c>
      <c r="DN14" s="256" t="inlineStr">
        <is>
          <t>IPH — Institute of Public Health</t>
        </is>
      </c>
      <c r="DO14" s="256" t="inlineStr">
        <is>
          <t>ND</t>
        </is>
      </c>
      <c r="DP14" s="256" t="inlineStr">
        <is>
          <t>3178/2025</t>
        </is>
      </c>
      <c r="DQ14" s="256" t="inlineStr">
        <is>
          <t>26.06.2025</t>
        </is>
      </c>
      <c r="DR14" s="256" t="inlineStr">
        <is>
          <t>IPH — Institute of Public Health</t>
        </is>
      </c>
    </row>
    <row r="15">
      <c r="A15" s="256" t="inlineStr">
        <is>
          <t>CoQ-PP_26-014</t>
        </is>
      </c>
      <c r="B15" s="256" t="inlineStr">
        <is>
          <t>release</t>
        </is>
      </c>
      <c r="C15" s="256" t="inlineStr">
        <is>
          <t>issuable</t>
        </is>
      </c>
      <c r="D15" s="256" t="inlineStr">
        <is>
          <t>06.06.2026</t>
        </is>
      </c>
      <c r="E15" s="256" t="inlineStr">
        <is>
          <t>n/a — release certificate</t>
        </is>
      </c>
      <c r="F15" s="256" t="inlineStr">
        <is>
          <t>CoQ-PP-2025-0011</t>
        </is>
      </c>
      <c r="G15" s="256" t="inlineStr">
        <is>
          <t>OPM1024_03</t>
        </is>
      </c>
      <c r="H15" s="256" t="inlineStr">
        <is>
          <t>P050082</t>
        </is>
      </c>
      <c r="I15" s="256" t="inlineStr">
        <is>
          <t>Orange Punch Mimosa</t>
        </is>
      </c>
      <c r="J15" s="256" t="inlineStr">
        <is>
          <t>01.07.2025 – 02.07.2025</t>
        </is>
      </c>
      <c r="K15" s="256" t="inlineStr">
        <is>
          <t>22.07.2025 – 30.07.2025</t>
        </is>
      </c>
      <c r="L15" s="256" t="inlineStr">
        <is>
          <t>01.07.2025</t>
        </is>
      </c>
      <c r="M15" s="256" t="inlineStr">
        <is>
          <t>22.07.2025</t>
        </is>
      </c>
      <c r="N15" s="256" t="inlineStr">
        <is>
          <t>iCoA-PP_26-014</t>
        </is>
      </c>
      <c r="O15" s="256" t="inlineStr">
        <is>
          <t>03.06.2026</t>
        </is>
      </c>
      <c r="P15" s="256" t="inlineStr">
        <is>
          <t>22.07.2025</t>
        </is>
      </c>
      <c r="Q15" s="256" t="inlineStr">
        <is>
          <t>—</t>
        </is>
      </c>
      <c r="R15" s="256" t="inlineStr">
        <is>
          <t>16.55</t>
        </is>
      </c>
      <c r="S15" s="256" t="inlineStr">
        <is>
          <t>ППК25210</t>
        </is>
      </c>
      <c r="T15" s="256" t="inlineStr">
        <is>
          <t>II</t>
        </is>
      </c>
      <c r="U15" s="256" t="inlineStr">
        <is>
          <t>15.40 – 18.59 %</t>
        </is>
      </c>
      <c r="V15" s="256" t="inlineStr">
        <is>
          <t>OPM_THC17 : CBD1</t>
        </is>
      </c>
      <c r="W15" s="256" t="inlineStr">
        <is>
          <t>QCSP_001_OPM-II_v.01</t>
        </is>
      </c>
      <c r="X15" s="256" t="inlineStr">
        <is>
          <t>for review — replaces the issued QCSP_001_OPM-II_v.01 (was OPM_THC18 : CBD1, 16.20 – 19.80 %); now OPM_THC17 : CBD1 15.40 – 18.59 %</t>
        </is>
      </c>
      <c r="Y15" s="256" t="inlineStr">
        <is>
          <t>INDICA</t>
        </is>
      </c>
      <c r="Z15" s="256" t="inlineStr">
        <is>
          <t>THC</t>
        </is>
      </c>
      <c r="AA15" s="256" t="inlineStr">
        <is>
          <t>MACHINE TRIMMED</t>
        </is>
      </c>
      <c r="AB15" s="256" t="inlineStr">
        <is>
          <t>—</t>
        </is>
      </c>
      <c r="AC15" s="256" t="inlineStr">
        <is>
          <t>Triplex Alu Bag | Триплекс Aлу Kеса, PET 12 · ALU 7 · PE 80, 300 × 500 mm, net. 400.0 g ±3%</t>
        </is>
      </c>
      <c r="AD15" s="256" t="inlineStr">
        <is>
          <t>29.07.2025</t>
        </is>
      </c>
      <c r="AE15" s="256" t="inlineStr">
        <is>
          <t>Conforms | Одговара</t>
        </is>
      </c>
      <c r="AF15" s="256" t="inlineStr">
        <is>
          <t>iCoA-PP_26-014</t>
        </is>
      </c>
      <c r="AG15" s="256" t="inlineStr">
        <is>
          <t>03.06.2026</t>
        </is>
      </c>
      <c r="AH15" s="256" t="inlineStr">
        <is>
          <t>Purely Plant GmbH (in-house)</t>
        </is>
      </c>
      <c r="AI15" s="256" t="inlineStr">
        <is>
          <t>Conforms | Одговара</t>
        </is>
      </c>
      <c r="AJ15" s="256" t="inlineStr">
        <is>
          <t>iCoA-PP_26-014</t>
        </is>
      </c>
      <c r="AK15" s="256" t="inlineStr">
        <is>
          <t>03.06.2026</t>
        </is>
      </c>
      <c r="AL15" s="256" t="inlineStr">
        <is>
          <t>Purely Plant GmbH (in-house)</t>
        </is>
      </c>
      <c r="AM15" s="256" t="inlineStr">
        <is>
          <t>Conforms | Одговара</t>
        </is>
      </c>
      <c r="AN15" s="256" t="inlineStr">
        <is>
          <t>ППК25210</t>
        </is>
      </c>
      <c r="AO15" s="256" t="inlineStr">
        <is>
          <t>28.07.2025</t>
        </is>
      </c>
      <c r="AP15" s="256" t="inlineStr">
        <is>
          <t>UKIM Faculty of Pharmacy — Center for Natural Products</t>
        </is>
      </c>
      <c r="AQ15" s="256" t="inlineStr">
        <is>
          <t>16.55</t>
        </is>
      </c>
      <c r="AR15" s="256" t="inlineStr">
        <is>
          <t>ППК25210</t>
        </is>
      </c>
      <c r="AS15" s="256" t="inlineStr">
        <is>
          <t>28.07.2025</t>
        </is>
      </c>
      <c r="AT15" s="256" t="inlineStr">
        <is>
          <t>UKIM Faculty of Pharmacy — Center for Natural Products</t>
        </is>
      </c>
      <c r="AU15" s="256" t="inlineStr">
        <is>
          <t>0.04</t>
        </is>
      </c>
      <c r="AV15" s="256" t="inlineStr">
        <is>
          <t>ППК25210</t>
        </is>
      </c>
      <c r="AW15" s="256" t="inlineStr">
        <is>
          <t>28.07.2025</t>
        </is>
      </c>
      <c r="AX15" s="256" t="inlineStr">
        <is>
          <t>UKIM Faculty of Pharmacy — Center for Natural Products</t>
        </is>
      </c>
      <c r="AY15" s="256" t="inlineStr">
        <is>
          <t>0.01 ᴰ</t>
        </is>
      </c>
      <c r="AZ15" s="256" t="inlineStr">
        <is>
          <t>ППК25210</t>
        </is>
      </c>
      <c r="BA15" s="256" t="inlineStr">
        <is>
          <t>28.07.2025</t>
        </is>
      </c>
      <c r="BB15" s="256" t="inlineStr">
        <is>
          <t>CNP</t>
        </is>
      </c>
      <c r="BC15" s="256" t="inlineStr">
        <is>
          <t>Conforms | Одговара</t>
        </is>
      </c>
      <c r="BD15" s="256" t="inlineStr">
        <is>
          <t>iCoA-PP_26-014</t>
        </is>
      </c>
      <c r="BE15" s="256" t="inlineStr">
        <is>
          <t>03.06.2026</t>
        </is>
      </c>
      <c r="BF15" s="256" t="inlineStr">
        <is>
          <t>Purely Plant GmbH (in-house)</t>
        </is>
      </c>
      <c r="BG15" s="256" t="inlineStr">
        <is>
          <t>6.38</t>
        </is>
      </c>
      <c r="BH15" s="256" t="inlineStr">
        <is>
          <t>ППК25210</t>
        </is>
      </c>
      <c r="BI15" s="256" t="inlineStr">
        <is>
          <t>28.07.2025</t>
        </is>
      </c>
      <c r="BJ15" s="256" t="inlineStr">
        <is>
          <t>UKIM Faculty of Pharmacy — Center for Natural Products</t>
        </is>
      </c>
      <c r="BK15" s="256" t="inlineStr">
        <is>
          <t>2 × 10²</t>
        </is>
      </c>
      <c r="BL15" s="256" t="inlineStr">
        <is>
          <t>766/1375/25</t>
        </is>
      </c>
      <c r="BM15" s="256" t="inlineStr">
        <is>
          <t>29.07.2025</t>
        </is>
      </c>
      <c r="BN15" s="256" t="inlineStr">
        <is>
          <t>IPH — Institute of Public Health</t>
        </is>
      </c>
      <c r="BO15" s="256" t="inlineStr">
        <is>
          <t>3 × 10²</t>
        </is>
      </c>
      <c r="BP15" s="256" t="inlineStr">
        <is>
          <t>766/1375/25</t>
        </is>
      </c>
      <c r="BQ15" s="256" t="inlineStr">
        <is>
          <t>29.07.2025</t>
        </is>
      </c>
      <c r="BR15" s="256" t="inlineStr">
        <is>
          <t>IPH — Institute of Public Health</t>
        </is>
      </c>
      <c r="BS15" s="256" t="inlineStr">
        <is>
          <t>&lt; 10</t>
        </is>
      </c>
      <c r="BT15" s="256" t="inlineStr">
        <is>
          <t>766/1375/25</t>
        </is>
      </c>
      <c r="BU15" s="256" t="inlineStr">
        <is>
          <t>29.07.2025</t>
        </is>
      </c>
      <c r="BV15" s="256" t="inlineStr">
        <is>
          <t>IPH — Institute of Public Health</t>
        </is>
      </c>
      <c r="BW15" s="256" t="inlineStr">
        <is>
          <t>Absent | Отсутна</t>
        </is>
      </c>
      <c r="BX15" s="256" t="inlineStr">
        <is>
          <t>766/1375/25</t>
        </is>
      </c>
      <c r="BY15" s="256" t="inlineStr">
        <is>
          <t>29.07.2025</t>
        </is>
      </c>
      <c r="BZ15" s="256" t="inlineStr">
        <is>
          <t>IPH — Institute of Public Health</t>
        </is>
      </c>
      <c r="CA15" s="256" t="inlineStr">
        <is>
          <t>Absent | Отсутна</t>
        </is>
      </c>
      <c r="CB15" s="256" t="inlineStr">
        <is>
          <t>766/1375/25</t>
        </is>
      </c>
      <c r="CC15" s="256" t="inlineStr">
        <is>
          <t>29.07.2025</t>
        </is>
      </c>
      <c r="CD15" s="256" t="inlineStr">
        <is>
          <t>IPH — Institute of Public Health</t>
        </is>
      </c>
      <c r="CE15" s="260" t="inlineStr">
        <is>
          <t>upon request — not required for release</t>
        </is>
      </c>
      <c r="CF15" s="256" t="inlineStr">
        <is>
          <t>—</t>
        </is>
      </c>
      <c r="CG15" s="256" t="inlineStr">
        <is>
          <t>—</t>
        </is>
      </c>
      <c r="CH15" s="256" t="inlineStr">
        <is>
          <t>—</t>
        </is>
      </c>
      <c r="CI15" s="260" t="inlineStr">
        <is>
          <t>upon request — not required for release</t>
        </is>
      </c>
      <c r="CJ15" s="256" t="inlineStr">
        <is>
          <t>—</t>
        </is>
      </c>
      <c r="CK15" s="256" t="inlineStr">
        <is>
          <t>—</t>
        </is>
      </c>
      <c r="CL15" s="256" t="inlineStr">
        <is>
          <t>—</t>
        </is>
      </c>
      <c r="CM15" s="259" t="inlineStr">
        <is>
          <t>not tested</t>
        </is>
      </c>
      <c r="CN15" s="256" t="inlineStr">
        <is>
          <t>—</t>
        </is>
      </c>
      <c r="CO15" s="256" t="inlineStr">
        <is>
          <t>—</t>
        </is>
      </c>
      <c r="CP15" s="256" t="inlineStr">
        <is>
          <t>—</t>
        </is>
      </c>
      <c r="CQ15" s="256" t="inlineStr">
        <is>
          <t>2.1</t>
        </is>
      </c>
      <c r="CR15" s="256" t="inlineStr">
        <is>
          <t>3636/2025</t>
        </is>
      </c>
      <c r="CS15" s="256" t="inlineStr">
        <is>
          <t>28.07.2025</t>
        </is>
      </c>
      <c r="CT15" s="256" t="inlineStr">
        <is>
          <t>IPH — Institute of Public Health</t>
        </is>
      </c>
      <c r="CU15" s="259" t="inlineStr">
        <is>
          <t>not tested</t>
        </is>
      </c>
      <c r="CV15" s="256" t="inlineStr">
        <is>
          <t>—</t>
        </is>
      </c>
      <c r="CW15" s="256" t="inlineStr">
        <is>
          <t>—</t>
        </is>
      </c>
      <c r="CX15" s="256" t="inlineStr">
        <is>
          <t>—</t>
        </is>
      </c>
      <c r="CY15" s="256" t="inlineStr">
        <is>
          <t>ND</t>
        </is>
      </c>
      <c r="CZ15" s="256" t="inlineStr">
        <is>
          <t>3636/2025</t>
        </is>
      </c>
      <c r="DA15" s="256" t="inlineStr">
        <is>
          <t>28.07.2025</t>
        </is>
      </c>
      <c r="DB15" s="256" t="inlineStr">
        <is>
          <t>IPH — Institute of Public Health</t>
        </is>
      </c>
      <c r="DC15" s="256" t="inlineStr">
        <is>
          <t>ND</t>
        </is>
      </c>
      <c r="DD15" s="256" t="inlineStr">
        <is>
          <t>3636/2025</t>
        </is>
      </c>
      <c r="DE15" s="256" t="inlineStr">
        <is>
          <t>28.07.2025</t>
        </is>
      </c>
      <c r="DF15" s="256" t="inlineStr">
        <is>
          <t>IPH — Institute of Public Health</t>
        </is>
      </c>
      <c r="DG15" s="256" t="inlineStr">
        <is>
          <t>0.135</t>
        </is>
      </c>
      <c r="DH15" s="256" t="inlineStr">
        <is>
          <t>3636/2025</t>
        </is>
      </c>
      <c r="DI15" s="256" t="inlineStr">
        <is>
          <t>28.07.2025</t>
        </is>
      </c>
      <c r="DJ15" s="256" t="inlineStr">
        <is>
          <t>IPH — Institute of Public Health</t>
        </is>
      </c>
      <c r="DK15" s="256" t="inlineStr">
        <is>
          <t>0.03</t>
        </is>
      </c>
      <c r="DL15" s="256" t="inlineStr">
        <is>
          <t>3636/2025</t>
        </is>
      </c>
      <c r="DM15" s="256" t="inlineStr">
        <is>
          <t>28.07.2025</t>
        </is>
      </c>
      <c r="DN15" s="256" t="inlineStr">
        <is>
          <t>IPH — Institute of Public Health</t>
        </is>
      </c>
      <c r="DO15" s="256" t="inlineStr">
        <is>
          <t>ND</t>
        </is>
      </c>
      <c r="DP15" s="256" t="inlineStr">
        <is>
          <t>3636/2025</t>
        </is>
      </c>
      <c r="DQ15" s="256" t="inlineStr">
        <is>
          <t>28.07.2025</t>
        </is>
      </c>
      <c r="DR15" s="256" t="inlineStr">
        <is>
          <t>IPH — Institute of Public Health</t>
        </is>
      </c>
    </row>
    <row r="16">
      <c r="A16" s="256" t="inlineStr">
        <is>
          <t>CoQ-PP_26-015</t>
        </is>
      </c>
      <c r="B16" s="256" t="inlineStr">
        <is>
          <t>release</t>
        </is>
      </c>
      <c r="C16" s="256" t="inlineStr">
        <is>
          <t>issuable</t>
        </is>
      </c>
      <c r="D16" s="256" t="inlineStr">
        <is>
          <t>06.06.2026</t>
        </is>
      </c>
      <c r="E16" s="256" t="inlineStr">
        <is>
          <t>n/a — release certificate</t>
        </is>
      </c>
      <c r="F16" s="256" t="inlineStr">
        <is>
          <t>CoQ-PP-2025-0012</t>
        </is>
      </c>
      <c r="G16" s="256" t="inlineStr">
        <is>
          <t>GG1024_01</t>
        </is>
      </c>
      <c r="H16" s="256" t="inlineStr">
        <is>
          <t>P050092</t>
        </is>
      </c>
      <c r="I16" s="256" t="inlineStr">
        <is>
          <t>Gorilla Glue</t>
        </is>
      </c>
      <c r="J16" s="256" t="inlineStr">
        <is>
          <t>17.03.2025 – 18.03.2025</t>
        </is>
      </c>
      <c r="K16" s="256" t="inlineStr">
        <is>
          <t>31.07.2025 – 05.08.2025</t>
        </is>
      </c>
      <c r="L16" s="256" t="inlineStr">
        <is>
          <t>17.03.2025</t>
        </is>
      </c>
      <c r="M16" s="256" t="inlineStr">
        <is>
          <t>31.07.2025</t>
        </is>
      </c>
      <c r="N16" s="256" t="inlineStr">
        <is>
          <t>iCoA-PP_26-015</t>
        </is>
      </c>
      <c r="O16" s="256" t="inlineStr">
        <is>
          <t>03.06.2026</t>
        </is>
      </c>
      <c r="P16" s="256" t="inlineStr">
        <is>
          <t>31.07.2025</t>
        </is>
      </c>
      <c r="Q16" s="256" t="inlineStr">
        <is>
          <t>—</t>
        </is>
      </c>
      <c r="R16" s="256" t="inlineStr">
        <is>
          <t>17.22</t>
        </is>
      </c>
      <c r="S16" s="256" t="inlineStr">
        <is>
          <t>ППК25104</t>
        </is>
      </c>
      <c r="T16" s="256" t="inlineStr">
        <is>
          <t>I</t>
        </is>
      </c>
      <c r="U16" s="256" t="inlineStr">
        <is>
          <t>16.23 – 19.76 %</t>
        </is>
      </c>
      <c r="V16" s="256" t="inlineStr">
        <is>
          <t>GG_THC18 : CBD1</t>
        </is>
      </c>
      <c r="W16" s="256" t="inlineStr">
        <is>
          <t>QCSP_001_GG-I_v.01</t>
        </is>
      </c>
      <c r="X16" s="256" t="inlineStr">
        <is>
          <t>for review — replaces the issued QCSP_001_GG-I_v.01 (was GG_THC18 : CBD1, 17.01 – 18.99 %); now GG_THC18 : CBD1 16.23 – 19.76 %</t>
        </is>
      </c>
      <c r="Y16" s="256" t="inlineStr">
        <is>
          <t>INDICA</t>
        </is>
      </c>
      <c r="Z16" s="256" t="inlineStr">
        <is>
          <t>THC</t>
        </is>
      </c>
      <c r="AA16" s="256" t="inlineStr">
        <is>
          <t>MACHINE TRIMMED</t>
        </is>
      </c>
      <c r="AB16" s="256" t="inlineStr">
        <is>
          <t>—</t>
        </is>
      </c>
      <c r="AC16" s="256" t="inlineStr">
        <is>
          <t>Triplex Alu Bag | Триплекс Aлу Kеса, PET 12 · ALU 7 · PE 80, 300 × 500 mm, net. 400.0 g ±3%</t>
        </is>
      </c>
      <c r="AD16" s="256" t="inlineStr">
        <is>
          <t>17.04.2025</t>
        </is>
      </c>
      <c r="AE16" s="256" t="inlineStr">
        <is>
          <t>Conforms | Одговара</t>
        </is>
      </c>
      <c r="AF16" s="256" t="inlineStr">
        <is>
          <t>iCoA-PP_26-015</t>
        </is>
      </c>
      <c r="AG16" s="256" t="inlineStr">
        <is>
          <t>03.06.2026</t>
        </is>
      </c>
      <c r="AH16" s="256" t="inlineStr">
        <is>
          <t>Purely Plant GmbH (in-house)</t>
        </is>
      </c>
      <c r="AI16" s="256" t="inlineStr">
        <is>
          <t>Conforms | Одговара</t>
        </is>
      </c>
      <c r="AJ16" s="256" t="inlineStr">
        <is>
          <t>iCoA-PP_26-015</t>
        </is>
      </c>
      <c r="AK16" s="256" t="inlineStr">
        <is>
          <t>03.06.2026</t>
        </is>
      </c>
      <c r="AL16" s="256" t="inlineStr">
        <is>
          <t>Purely Plant GmbH (in-house)</t>
        </is>
      </c>
      <c r="AM16" s="256" t="inlineStr">
        <is>
          <t>Conforms | Одговара</t>
        </is>
      </c>
      <c r="AN16" s="256" t="inlineStr">
        <is>
          <t>ППК25104</t>
        </is>
      </c>
      <c r="AO16" s="256" t="inlineStr">
        <is>
          <t>17.04.2025</t>
        </is>
      </c>
      <c r="AP16" s="256" t="inlineStr">
        <is>
          <t>UKIM Faculty of Pharmacy — Center for Natural Products</t>
        </is>
      </c>
      <c r="AQ16" s="256" t="inlineStr">
        <is>
          <t>17.22</t>
        </is>
      </c>
      <c r="AR16" s="256" t="inlineStr">
        <is>
          <t>ППК25104</t>
        </is>
      </c>
      <c r="AS16" s="256" t="inlineStr">
        <is>
          <t>17.04.2025</t>
        </is>
      </c>
      <c r="AT16" s="256" t="inlineStr">
        <is>
          <t>UKIM Faculty of Pharmacy — Center for Natural Products</t>
        </is>
      </c>
      <c r="AU16" s="256" t="inlineStr">
        <is>
          <t>0.05</t>
        </is>
      </c>
      <c r="AV16" s="256" t="inlineStr">
        <is>
          <t>ППК25104</t>
        </is>
      </c>
      <c r="AW16" s="256" t="inlineStr">
        <is>
          <t>17.04.2025</t>
        </is>
      </c>
      <c r="AX16" s="256" t="inlineStr">
        <is>
          <t>UKIM Faculty of Pharmacy — Center for Natural Products</t>
        </is>
      </c>
      <c r="AY16" s="256" t="inlineStr">
        <is>
          <t>ND ᴰ</t>
        </is>
      </c>
      <c r="AZ16" s="256" t="inlineStr">
        <is>
          <t>ППК25104</t>
        </is>
      </c>
      <c r="BA16" s="256" t="inlineStr">
        <is>
          <t>17.04.2025</t>
        </is>
      </c>
      <c r="BB16" s="256" t="inlineStr">
        <is>
          <t>CNP</t>
        </is>
      </c>
      <c r="BC16" s="256" t="inlineStr">
        <is>
          <t>Conforms | Одговара</t>
        </is>
      </c>
      <c r="BD16" s="256" t="inlineStr">
        <is>
          <t>iCoA-PP_26-015</t>
        </is>
      </c>
      <c r="BE16" s="256" t="inlineStr">
        <is>
          <t>03.06.2026</t>
        </is>
      </c>
      <c r="BF16" s="256" t="inlineStr">
        <is>
          <t>Purely Plant GmbH (in-house)</t>
        </is>
      </c>
      <c r="BG16" s="256" t="inlineStr">
        <is>
          <t>7.54</t>
        </is>
      </c>
      <c r="BH16" s="256" t="inlineStr">
        <is>
          <t>ППК25104</t>
        </is>
      </c>
      <c r="BI16" s="256" t="inlineStr">
        <is>
          <t>17.04.2025</t>
        </is>
      </c>
      <c r="BJ16" s="256" t="inlineStr">
        <is>
          <t>UKIM Faculty of Pharmacy — Center for Natural Products</t>
        </is>
      </c>
      <c r="BK16" s="256" t="inlineStr">
        <is>
          <t>5.1 × 10⁴</t>
        </is>
      </c>
      <c r="BL16" s="256" t="inlineStr">
        <is>
          <t>320/0587/25</t>
        </is>
      </c>
      <c r="BM16" s="256" t="inlineStr">
        <is>
          <t>14.04.2025</t>
        </is>
      </c>
      <c r="BN16" s="256" t="inlineStr">
        <is>
          <t>IPH — Institute of Public Health</t>
        </is>
      </c>
      <c r="BO16" s="256" t="inlineStr">
        <is>
          <t>4.2 × 10⁴</t>
        </is>
      </c>
      <c r="BP16" s="256" t="inlineStr">
        <is>
          <t>320/0587/25</t>
        </is>
      </c>
      <c r="BQ16" s="256" t="inlineStr">
        <is>
          <t>14.04.2025</t>
        </is>
      </c>
      <c r="BR16" s="256" t="inlineStr">
        <is>
          <t>IPH — Institute of Public Health</t>
        </is>
      </c>
      <c r="BS16" s="256" t="inlineStr">
        <is>
          <t>&lt; 10</t>
        </is>
      </c>
      <c r="BT16" s="256" t="inlineStr">
        <is>
          <t>320/0587/25</t>
        </is>
      </c>
      <c r="BU16" s="256" t="inlineStr">
        <is>
          <t>14.04.2025</t>
        </is>
      </c>
      <c r="BV16" s="256" t="inlineStr">
        <is>
          <t>IPH — Institute of Public Health</t>
        </is>
      </c>
      <c r="BW16" s="256" t="inlineStr">
        <is>
          <t>Absent | Отсутна</t>
        </is>
      </c>
      <c r="BX16" s="256" t="inlineStr">
        <is>
          <t>320/0587/25</t>
        </is>
      </c>
      <c r="BY16" s="256" t="inlineStr">
        <is>
          <t>14.04.2025</t>
        </is>
      </c>
      <c r="BZ16" s="256" t="inlineStr">
        <is>
          <t>IPH — Institute of Public Health</t>
        </is>
      </c>
      <c r="CA16" s="256" t="inlineStr">
        <is>
          <t>Absent | Отсутна</t>
        </is>
      </c>
      <c r="CB16" s="256" t="inlineStr">
        <is>
          <t>320/0587/25</t>
        </is>
      </c>
      <c r="CC16" s="256" t="inlineStr">
        <is>
          <t>14.04.2025</t>
        </is>
      </c>
      <c r="CD16" s="256" t="inlineStr">
        <is>
          <t>IPH — Institute of Public Health</t>
        </is>
      </c>
      <c r="CE16" s="260" t="inlineStr">
        <is>
          <t>upon request — not required for release</t>
        </is>
      </c>
      <c r="CF16" s="256" t="inlineStr">
        <is>
          <t>—</t>
        </is>
      </c>
      <c r="CG16" s="256" t="inlineStr">
        <is>
          <t>—</t>
        </is>
      </c>
      <c r="CH16" s="256" t="inlineStr">
        <is>
          <t>—</t>
        </is>
      </c>
      <c r="CI16" s="260" t="inlineStr">
        <is>
          <t>upon request — not required for release</t>
        </is>
      </c>
      <c r="CJ16" s="256" t="inlineStr">
        <is>
          <t>—</t>
        </is>
      </c>
      <c r="CK16" s="256" t="inlineStr">
        <is>
          <t>—</t>
        </is>
      </c>
      <c r="CL16" s="256" t="inlineStr">
        <is>
          <t>—</t>
        </is>
      </c>
      <c r="CM16" s="259" t="inlineStr">
        <is>
          <t>not tested</t>
        </is>
      </c>
      <c r="CN16" s="256" t="inlineStr">
        <is>
          <t>—</t>
        </is>
      </c>
      <c r="CO16" s="256" t="inlineStr">
        <is>
          <t>—</t>
        </is>
      </c>
      <c r="CP16" s="256" t="inlineStr">
        <is>
          <t>—</t>
        </is>
      </c>
      <c r="CQ16" s="256" t="inlineStr">
        <is>
          <t>&lt; 2</t>
        </is>
      </c>
      <c r="CR16" s="256" t="inlineStr">
        <is>
          <t>1766/2025</t>
        </is>
      </c>
      <c r="CS16" s="256" t="inlineStr">
        <is>
          <t>11.04.2025</t>
        </is>
      </c>
      <c r="CT16" s="256" t="inlineStr">
        <is>
          <t>IPH — Institute of Public Health</t>
        </is>
      </c>
      <c r="CU16" s="259" t="inlineStr">
        <is>
          <t>not tested</t>
        </is>
      </c>
      <c r="CV16" s="256" t="inlineStr">
        <is>
          <t>—</t>
        </is>
      </c>
      <c r="CW16" s="256" t="inlineStr">
        <is>
          <t>—</t>
        </is>
      </c>
      <c r="CX16" s="256" t="inlineStr">
        <is>
          <t>—</t>
        </is>
      </c>
      <c r="CY16" s="256" t="inlineStr">
        <is>
          <t>0.02</t>
        </is>
      </c>
      <c r="CZ16" s="256" t="inlineStr">
        <is>
          <t>1766/2025</t>
        </is>
      </c>
      <c r="DA16" s="256" t="inlineStr">
        <is>
          <t>11.04.2025</t>
        </is>
      </c>
      <c r="DB16" s="256" t="inlineStr">
        <is>
          <t>IPH — Institute of Public Health</t>
        </is>
      </c>
      <c r="DC16" s="256" t="inlineStr">
        <is>
          <t>0.007</t>
        </is>
      </c>
      <c r="DD16" s="256" t="inlineStr">
        <is>
          <t>1766/2025</t>
        </is>
      </c>
      <c r="DE16" s="256" t="inlineStr">
        <is>
          <t>11.04.2025</t>
        </is>
      </c>
      <c r="DF16" s="256" t="inlineStr">
        <is>
          <t>IPH — Institute of Public Health</t>
        </is>
      </c>
      <c r="DG16" s="256" t="inlineStr">
        <is>
          <t>0.015</t>
        </is>
      </c>
      <c r="DH16" s="256" t="inlineStr">
        <is>
          <t>1766/2025</t>
        </is>
      </c>
      <c r="DI16" s="256" t="inlineStr">
        <is>
          <t>11.04.2025</t>
        </is>
      </c>
      <c r="DJ16" s="256" t="inlineStr">
        <is>
          <t>IPH — Institute of Public Health</t>
        </is>
      </c>
      <c r="DK16" s="256" t="inlineStr">
        <is>
          <t>0.005</t>
        </is>
      </c>
      <c r="DL16" s="256" t="inlineStr">
        <is>
          <t>1766/2025</t>
        </is>
      </c>
      <c r="DM16" s="256" t="inlineStr">
        <is>
          <t>11.04.2025</t>
        </is>
      </c>
      <c r="DN16" s="256" t="inlineStr">
        <is>
          <t>IPH — Institute of Public Health</t>
        </is>
      </c>
      <c r="DO16" s="256" t="inlineStr">
        <is>
          <t>ND</t>
        </is>
      </c>
      <c r="DP16" s="256" t="inlineStr">
        <is>
          <t>1766/2025</t>
        </is>
      </c>
      <c r="DQ16" s="256" t="inlineStr">
        <is>
          <t>11.04.2025</t>
        </is>
      </c>
      <c r="DR16" s="256" t="inlineStr">
        <is>
          <t>IPH — Institute of Public Health</t>
        </is>
      </c>
    </row>
    <row r="17">
      <c r="A17" s="256" t="inlineStr">
        <is>
          <t>CoQ-PP_26-016</t>
        </is>
      </c>
      <c r="B17" s="256" t="inlineStr">
        <is>
          <t>release</t>
        </is>
      </c>
      <c r="C17" s="256" t="inlineStr">
        <is>
          <t>issuable</t>
        </is>
      </c>
      <c r="D17" s="256" t="inlineStr">
        <is>
          <t>06.06.2026</t>
        </is>
      </c>
      <c r="E17" s="256" t="inlineStr">
        <is>
          <t>n/a — release certificate</t>
        </is>
      </c>
      <c r="F17" s="256" t="inlineStr">
        <is>
          <t>(assigned on issue)</t>
        </is>
      </c>
      <c r="G17" s="256" t="inlineStr">
        <is>
          <t>GP0824_01</t>
        </is>
      </c>
      <c r="H17" s="256" t="inlineStr">
        <is>
          <t>P050102</t>
        </is>
      </c>
      <c r="I17" s="256" t="inlineStr">
        <is>
          <t>Grape Pie</t>
        </is>
      </c>
      <c r="J17" s="256" t="inlineStr">
        <is>
          <t>20.03.2025 – 21.03.2025</t>
        </is>
      </c>
      <c r="K17" s="256" t="inlineStr">
        <is>
          <t>05.08.2025 – 07.08.2025</t>
        </is>
      </c>
      <c r="L17" s="256" t="inlineStr">
        <is>
          <t>—</t>
        </is>
      </c>
      <c r="M17" s="256" t="inlineStr">
        <is>
          <t>—</t>
        </is>
      </c>
      <c r="N17" s="256" t="inlineStr">
        <is>
          <t>iCoA-PP_26-016</t>
        </is>
      </c>
      <c r="O17" s="256" t="inlineStr">
        <is>
          <t>03.06.2026</t>
        </is>
      </c>
      <c r="P17" s="256" t="inlineStr">
        <is>
          <t>05.08.2025</t>
        </is>
      </c>
      <c r="Q17" s="256" t="inlineStr">
        <is>
          <t>—</t>
        </is>
      </c>
      <c r="R17" s="256" t="inlineStr">
        <is>
          <t>20.79</t>
        </is>
      </c>
      <c r="S17" s="256" t="inlineStr">
        <is>
          <t>ППК25105</t>
        </is>
      </c>
      <c r="T17" s="256" t="inlineStr">
        <is>
          <t>III</t>
        </is>
      </c>
      <c r="U17" s="256" t="inlineStr">
        <is>
          <t>18.00 – 21.99 %</t>
        </is>
      </c>
      <c r="V17" s="256" t="inlineStr">
        <is>
          <t>GP_THC20 : CBD1</t>
        </is>
      </c>
      <c r="W17" s="256" t="inlineStr">
        <is>
          <t>QCSP_001_GP-III_v.01</t>
        </is>
      </c>
      <c r="X17" s="256" t="inlineStr">
        <is>
          <t>for review — replaces the issued QCSP_001_GP-III_v.01 (was GP_THC24 : CBD1, 22.61 – 25.39 %); now GP_THC20 : CBD1 18.00 – 21.99 %</t>
        </is>
      </c>
      <c r="Y17" s="256" t="inlineStr">
        <is>
          <t>HYBRID</t>
        </is>
      </c>
      <c r="Z17" s="256" t="inlineStr">
        <is>
          <t>THC</t>
        </is>
      </c>
      <c r="AA17" s="256" t="inlineStr">
        <is>
          <t>MACHINE TRIMMED</t>
        </is>
      </c>
      <c r="AB17" s="256" t="inlineStr">
        <is>
          <t>INDICA-DOMINANT</t>
        </is>
      </c>
      <c r="AC17" s="256" t="inlineStr">
        <is>
          <t>Triplex Alu Bag | Триплекс Aлу Kеса, PET 12 · ALU 7 · PE 80, 300 × 500 mm, net. 400.0 g ±3%</t>
        </is>
      </c>
      <c r="AD17" s="256" t="inlineStr">
        <is>
          <t>17.04.2025</t>
        </is>
      </c>
      <c r="AE17" s="256" t="inlineStr">
        <is>
          <t>Conforms | Одговара</t>
        </is>
      </c>
      <c r="AF17" s="256" t="inlineStr">
        <is>
          <t>iCoA-PP_26-016</t>
        </is>
      </c>
      <c r="AG17" s="256" t="inlineStr">
        <is>
          <t>03.06.2026</t>
        </is>
      </c>
      <c r="AH17" s="256" t="inlineStr">
        <is>
          <t>Purely Plant GmbH (in-house)</t>
        </is>
      </c>
      <c r="AI17" s="256" t="inlineStr">
        <is>
          <t>Conforms | Одговара</t>
        </is>
      </c>
      <c r="AJ17" s="256" t="inlineStr">
        <is>
          <t>iCoA-PP_26-016</t>
        </is>
      </c>
      <c r="AK17" s="256" t="inlineStr">
        <is>
          <t>03.06.2026</t>
        </is>
      </c>
      <c r="AL17" s="256" t="inlineStr">
        <is>
          <t>Purely Plant GmbH (in-house)</t>
        </is>
      </c>
      <c r="AM17" s="256" t="inlineStr">
        <is>
          <t>Conforms | Одговара</t>
        </is>
      </c>
      <c r="AN17" s="256" t="inlineStr">
        <is>
          <t>ППК25105</t>
        </is>
      </c>
      <c r="AO17" s="256" t="inlineStr">
        <is>
          <t>17.04.2025</t>
        </is>
      </c>
      <c r="AP17" s="256" t="inlineStr">
        <is>
          <t>UKIM Faculty of Pharmacy — Center for Natural Products</t>
        </is>
      </c>
      <c r="AQ17" s="256" t="inlineStr">
        <is>
          <t>20.79</t>
        </is>
      </c>
      <c r="AR17" s="256" t="inlineStr">
        <is>
          <t>ППК25105</t>
        </is>
      </c>
      <c r="AS17" s="256" t="inlineStr">
        <is>
          <t>17.04.2025</t>
        </is>
      </c>
      <c r="AT17" s="256" t="inlineStr">
        <is>
          <t>UKIM Faculty of Pharmacy — Center for Natural Products</t>
        </is>
      </c>
      <c r="AU17" s="256" t="inlineStr">
        <is>
          <t>0.06</t>
        </is>
      </c>
      <c r="AV17" s="256" t="inlineStr">
        <is>
          <t>ППК25105</t>
        </is>
      </c>
      <c r="AW17" s="256" t="inlineStr">
        <is>
          <t>17.04.2025</t>
        </is>
      </c>
      <c r="AX17" s="256" t="inlineStr">
        <is>
          <t>UKIM Faculty of Pharmacy — Center for Natural Products</t>
        </is>
      </c>
      <c r="AY17" s="259" t="inlineStr">
        <is>
          <t>not tested</t>
        </is>
      </c>
      <c r="AZ17" s="256" t="inlineStr">
        <is>
          <t>—</t>
        </is>
      </c>
      <c r="BA17" s="256" t="inlineStr">
        <is>
          <t>—</t>
        </is>
      </c>
      <c r="BB17" s="256" t="inlineStr">
        <is>
          <t>—</t>
        </is>
      </c>
      <c r="BC17" s="256" t="inlineStr">
        <is>
          <t>Conforms | Одговара</t>
        </is>
      </c>
      <c r="BD17" s="256" t="inlineStr">
        <is>
          <t>iCoA-PP_26-016</t>
        </is>
      </c>
      <c r="BE17" s="256" t="inlineStr">
        <is>
          <t>03.06.2026</t>
        </is>
      </c>
      <c r="BF17" s="256" t="inlineStr">
        <is>
          <t>Purely Plant GmbH (in-house)</t>
        </is>
      </c>
      <c r="BG17" s="256" t="inlineStr">
        <is>
          <t>6.73</t>
        </is>
      </c>
      <c r="BH17" s="256" t="inlineStr">
        <is>
          <t>ППК25105</t>
        </is>
      </c>
      <c r="BI17" s="256" t="inlineStr">
        <is>
          <t>17.04.2025</t>
        </is>
      </c>
      <c r="BJ17" s="256" t="inlineStr">
        <is>
          <t>UKIM Faculty of Pharmacy — Center for Natural Products</t>
        </is>
      </c>
      <c r="BK17" s="256" t="inlineStr">
        <is>
          <t>4.2 × 10³</t>
        </is>
      </c>
      <c r="BL17" s="256" t="inlineStr">
        <is>
          <t>318/0585/25</t>
        </is>
      </c>
      <c r="BM17" s="256" t="inlineStr">
        <is>
          <t>14.04.2025</t>
        </is>
      </c>
      <c r="BN17" s="256" t="inlineStr">
        <is>
          <t>IPH — Institute of Public Health</t>
        </is>
      </c>
      <c r="BO17" s="256" t="inlineStr">
        <is>
          <t>6 × 10³</t>
        </is>
      </c>
      <c r="BP17" s="256" t="inlineStr">
        <is>
          <t>318/0585/25</t>
        </is>
      </c>
      <c r="BQ17" s="256" t="inlineStr">
        <is>
          <t>14.04.2025</t>
        </is>
      </c>
      <c r="BR17" s="256" t="inlineStr">
        <is>
          <t>IPH — Institute of Public Health</t>
        </is>
      </c>
      <c r="BS17" s="256" t="inlineStr">
        <is>
          <t>&lt; 10</t>
        </is>
      </c>
      <c r="BT17" s="256" t="inlineStr">
        <is>
          <t>318/0585/25</t>
        </is>
      </c>
      <c r="BU17" s="256" t="inlineStr">
        <is>
          <t>14.04.2025</t>
        </is>
      </c>
      <c r="BV17" s="256" t="inlineStr">
        <is>
          <t>IPH — Institute of Public Health</t>
        </is>
      </c>
      <c r="BW17" s="256" t="inlineStr">
        <is>
          <t>Absent | Отсутна</t>
        </is>
      </c>
      <c r="BX17" s="256" t="inlineStr">
        <is>
          <t>318/0585/25</t>
        </is>
      </c>
      <c r="BY17" s="256" t="inlineStr">
        <is>
          <t>14.04.2025</t>
        </is>
      </c>
      <c r="BZ17" s="256" t="inlineStr">
        <is>
          <t>IPH — Institute of Public Health</t>
        </is>
      </c>
      <c r="CA17" s="256" t="inlineStr">
        <is>
          <t>Absent | Отсутна</t>
        </is>
      </c>
      <c r="CB17" s="256" t="inlineStr">
        <is>
          <t>318/0585/25</t>
        </is>
      </c>
      <c r="CC17" s="256" t="inlineStr">
        <is>
          <t>14.04.2025</t>
        </is>
      </c>
      <c r="CD17" s="256" t="inlineStr">
        <is>
          <t>IPH — Institute of Public Health</t>
        </is>
      </c>
      <c r="CE17" s="260" t="inlineStr">
        <is>
          <t>upon request — not required for release</t>
        </is>
      </c>
      <c r="CF17" s="256" t="inlineStr">
        <is>
          <t>—</t>
        </is>
      </c>
      <c r="CG17" s="256" t="inlineStr">
        <is>
          <t>—</t>
        </is>
      </c>
      <c r="CH17" s="256" t="inlineStr">
        <is>
          <t>—</t>
        </is>
      </c>
      <c r="CI17" s="260" t="inlineStr">
        <is>
          <t>upon request — not required for release</t>
        </is>
      </c>
      <c r="CJ17" s="256" t="inlineStr">
        <is>
          <t>—</t>
        </is>
      </c>
      <c r="CK17" s="256" t="inlineStr">
        <is>
          <t>—</t>
        </is>
      </c>
      <c r="CL17" s="256" t="inlineStr">
        <is>
          <t>—</t>
        </is>
      </c>
      <c r="CM17" s="259" t="inlineStr">
        <is>
          <t>not tested</t>
        </is>
      </c>
      <c r="CN17" s="256" t="inlineStr">
        <is>
          <t>—</t>
        </is>
      </c>
      <c r="CO17" s="256" t="inlineStr">
        <is>
          <t>—</t>
        </is>
      </c>
      <c r="CP17" s="256" t="inlineStr">
        <is>
          <t>—</t>
        </is>
      </c>
      <c r="CQ17" s="256" t="inlineStr">
        <is>
          <t>&lt; 2</t>
        </is>
      </c>
      <c r="CR17" s="256" t="inlineStr">
        <is>
          <t>1767/2025</t>
        </is>
      </c>
      <c r="CS17" s="256" t="inlineStr">
        <is>
          <t>11.04.2025</t>
        </is>
      </c>
      <c r="CT17" s="256" t="inlineStr">
        <is>
          <t>IPH — Institute of Public Health</t>
        </is>
      </c>
      <c r="CU17" s="259" t="inlineStr">
        <is>
          <t>not tested</t>
        </is>
      </c>
      <c r="CV17" s="256" t="inlineStr">
        <is>
          <t>—</t>
        </is>
      </c>
      <c r="CW17" s="256" t="inlineStr">
        <is>
          <t>—</t>
        </is>
      </c>
      <c r="CX17" s="256" t="inlineStr">
        <is>
          <t>—</t>
        </is>
      </c>
      <c r="CY17" s="256" t="inlineStr">
        <is>
          <t>0.026</t>
        </is>
      </c>
      <c r="CZ17" s="256" t="inlineStr">
        <is>
          <t>1767/2025</t>
        </is>
      </c>
      <c r="DA17" s="256" t="inlineStr">
        <is>
          <t>11.04.2025</t>
        </is>
      </c>
      <c r="DB17" s="256" t="inlineStr">
        <is>
          <t>IPH — Institute of Public Health</t>
        </is>
      </c>
      <c r="DC17" s="256" t="inlineStr">
        <is>
          <t>0.005</t>
        </is>
      </c>
      <c r="DD17" s="256" t="inlineStr">
        <is>
          <t>1767/2025</t>
        </is>
      </c>
      <c r="DE17" s="256" t="inlineStr">
        <is>
          <t>11.04.2025</t>
        </is>
      </c>
      <c r="DF17" s="256" t="inlineStr">
        <is>
          <t>IPH — Institute of Public Health</t>
        </is>
      </c>
      <c r="DG17" s="256" t="inlineStr">
        <is>
          <t>0.015</t>
        </is>
      </c>
      <c r="DH17" s="256" t="inlineStr">
        <is>
          <t>1767/2025</t>
        </is>
      </c>
      <c r="DI17" s="256" t="inlineStr">
        <is>
          <t>11.04.2025</t>
        </is>
      </c>
      <c r="DJ17" s="256" t="inlineStr">
        <is>
          <t>IPH — Institute of Public Health</t>
        </is>
      </c>
      <c r="DK17" s="256" t="inlineStr">
        <is>
          <t>0.005</t>
        </is>
      </c>
      <c r="DL17" s="256" t="inlineStr">
        <is>
          <t>1767/2025</t>
        </is>
      </c>
      <c r="DM17" s="256" t="inlineStr">
        <is>
          <t>11.04.2025</t>
        </is>
      </c>
      <c r="DN17" s="256" t="inlineStr">
        <is>
          <t>IPH — Institute of Public Health</t>
        </is>
      </c>
      <c r="DO17" s="256" t="inlineStr">
        <is>
          <t>ND</t>
        </is>
      </c>
      <c r="DP17" s="256" t="inlineStr">
        <is>
          <t>1767/2025</t>
        </is>
      </c>
      <c r="DQ17" s="256" t="inlineStr">
        <is>
          <t>11.04.2025</t>
        </is>
      </c>
      <c r="DR17" s="256" t="inlineStr">
        <is>
          <t>IPH — Institute of Public Health</t>
        </is>
      </c>
    </row>
    <row r="18">
      <c r="A18" s="256" t="inlineStr">
        <is>
          <t>CoQ-PP_26-017</t>
        </is>
      </c>
      <c r="B18" s="256" t="inlineStr">
        <is>
          <t>release</t>
        </is>
      </c>
      <c r="C18" s="256" t="inlineStr">
        <is>
          <t>issuable</t>
        </is>
      </c>
      <c r="D18" s="256" t="inlineStr">
        <is>
          <t>06.06.2026</t>
        </is>
      </c>
      <c r="E18" s="256" t="inlineStr">
        <is>
          <t>n/a — release certificate</t>
        </is>
      </c>
      <c r="F18" s="256" t="inlineStr">
        <is>
          <t>CoQ-PP-2025-0013</t>
        </is>
      </c>
      <c r="G18" s="256" t="inlineStr">
        <is>
          <t>MB0824_05</t>
        </is>
      </c>
      <c r="H18" s="256" t="inlineStr">
        <is>
          <t>P050112</t>
        </is>
      </c>
      <c r="I18" s="256" t="inlineStr">
        <is>
          <t>Motor Breath</t>
        </is>
      </c>
      <c r="J18" s="256" t="inlineStr">
        <is>
          <t>08.07.2025 – 09.07.2025</t>
        </is>
      </c>
      <c r="K18" s="256" t="inlineStr">
        <is>
          <t>25.08.2025 – 31.08.2025</t>
        </is>
      </c>
      <c r="L18" s="256" t="inlineStr">
        <is>
          <t>08.07.2025</t>
        </is>
      </c>
      <c r="M18" s="256" t="inlineStr">
        <is>
          <t>25.08.2025</t>
        </is>
      </c>
      <c r="N18" s="256" t="inlineStr">
        <is>
          <t>iCoA-PP_26-017</t>
        </is>
      </c>
      <c r="O18" s="256" t="inlineStr">
        <is>
          <t>03.06.2026</t>
        </is>
      </c>
      <c r="P18" s="256" t="inlineStr">
        <is>
          <t>25.08.2025</t>
        </is>
      </c>
      <c r="Q18" s="256" t="inlineStr">
        <is>
          <t>—</t>
        </is>
      </c>
      <c r="R18" s="256" t="inlineStr">
        <is>
          <t>16.82</t>
        </is>
      </c>
      <c r="S18" s="256" t="inlineStr">
        <is>
          <t>ППК25211</t>
        </is>
      </c>
      <c r="T18" s="256" t="inlineStr">
        <is>
          <t>I</t>
        </is>
      </c>
      <c r="U18" s="256" t="inlineStr">
        <is>
          <t>16.20 – 19.79 %</t>
        </is>
      </c>
      <c r="V18" s="256" t="inlineStr">
        <is>
          <t>MB_THC18 : CBD1</t>
        </is>
      </c>
      <c r="W18" s="256" t="inlineStr">
        <is>
          <t>QCSP_001_MB-I_v.01</t>
        </is>
      </c>
      <c r="X18" s="256" t="inlineStr">
        <is>
          <t>for review — replaces the issued QCSP_001_MB-I_v.01 (was MB_THC18 : CBD1, 16.20 – 19.80 %); now MB_THC18 : CBD1 16.20 – 19.79 %</t>
        </is>
      </c>
      <c r="Y18" s="256" t="inlineStr">
        <is>
          <t>HYBRID</t>
        </is>
      </c>
      <c r="Z18" s="256" t="inlineStr">
        <is>
          <t>THC</t>
        </is>
      </c>
      <c r="AA18" s="256" t="inlineStr">
        <is>
          <t>MACHINE TRIMMED</t>
        </is>
      </c>
      <c r="AB18" s="256" t="inlineStr">
        <is>
          <t>INDICA-DOMINANT</t>
        </is>
      </c>
      <c r="AC18" s="256" t="inlineStr">
        <is>
          <t>Triplex Alu Bag | Триплекс Aлу Kеса, PET 12 · ALU 7 · PE 80, 300 × 500 mm, net. 400.0 g ±3%</t>
        </is>
      </c>
      <c r="AD18" s="256" t="inlineStr">
        <is>
          <t>29.07.2025</t>
        </is>
      </c>
      <c r="AE18" s="256" t="inlineStr">
        <is>
          <t>Conforms | Одговара</t>
        </is>
      </c>
      <c r="AF18" s="256" t="inlineStr">
        <is>
          <t>iCoA-PP_26-017</t>
        </is>
      </c>
      <c r="AG18" s="256" t="inlineStr">
        <is>
          <t>03.06.2026</t>
        </is>
      </c>
      <c r="AH18" s="256" t="inlineStr">
        <is>
          <t>Purely Plant GmbH (in-house)</t>
        </is>
      </c>
      <c r="AI18" s="256" t="inlineStr">
        <is>
          <t>Conforms | Одговара</t>
        </is>
      </c>
      <c r="AJ18" s="256" t="inlineStr">
        <is>
          <t>iCoA-PP_26-017</t>
        </is>
      </c>
      <c r="AK18" s="256" t="inlineStr">
        <is>
          <t>03.06.2026</t>
        </is>
      </c>
      <c r="AL18" s="256" t="inlineStr">
        <is>
          <t>Purely Plant GmbH (in-house)</t>
        </is>
      </c>
      <c r="AM18" s="256" t="inlineStr">
        <is>
          <t>Conforms | Одговара</t>
        </is>
      </c>
      <c r="AN18" s="256" t="inlineStr">
        <is>
          <t>ППК25211</t>
        </is>
      </c>
      <c r="AO18" s="256" t="inlineStr">
        <is>
          <t>28.07.2025</t>
        </is>
      </c>
      <c r="AP18" s="256" t="inlineStr">
        <is>
          <t>UKIM Faculty of Pharmacy — Center for Natural Products</t>
        </is>
      </c>
      <c r="AQ18" s="256" t="inlineStr">
        <is>
          <t>16.82</t>
        </is>
      </c>
      <c r="AR18" s="256" t="inlineStr">
        <is>
          <t>ППК25211</t>
        </is>
      </c>
      <c r="AS18" s="256" t="inlineStr">
        <is>
          <t>28.07.2025</t>
        </is>
      </c>
      <c r="AT18" s="256" t="inlineStr">
        <is>
          <t>UKIM Faculty of Pharmacy — Center for Natural Products</t>
        </is>
      </c>
      <c r="AU18" s="256" t="inlineStr">
        <is>
          <t>0.06</t>
        </is>
      </c>
      <c r="AV18" s="256" t="inlineStr">
        <is>
          <t>ППК25211</t>
        </is>
      </c>
      <c r="AW18" s="256" t="inlineStr">
        <is>
          <t>28.07.2025</t>
        </is>
      </c>
      <c r="AX18" s="256" t="inlineStr">
        <is>
          <t>UKIM Faculty of Pharmacy — Center for Natural Products</t>
        </is>
      </c>
      <c r="AY18" s="256" t="inlineStr">
        <is>
          <t>0.02 ᴰ</t>
        </is>
      </c>
      <c r="AZ18" s="256" t="inlineStr">
        <is>
          <t>ППК25211</t>
        </is>
      </c>
      <c r="BA18" s="256" t="inlineStr">
        <is>
          <t>28.07.2025</t>
        </is>
      </c>
      <c r="BB18" s="256" t="inlineStr">
        <is>
          <t>CNP</t>
        </is>
      </c>
      <c r="BC18" s="256" t="inlineStr">
        <is>
          <t>Conforms | Одговара</t>
        </is>
      </c>
      <c r="BD18" s="256" t="inlineStr">
        <is>
          <t>iCoA-PP_26-017</t>
        </is>
      </c>
      <c r="BE18" s="256" t="inlineStr">
        <is>
          <t>03.06.2026</t>
        </is>
      </c>
      <c r="BF18" s="256" t="inlineStr">
        <is>
          <t>Purely Plant GmbH (in-house)</t>
        </is>
      </c>
      <c r="BG18" s="256" t="inlineStr">
        <is>
          <t>6.56</t>
        </is>
      </c>
      <c r="BH18" s="256" t="inlineStr">
        <is>
          <t>ППК25211</t>
        </is>
      </c>
      <c r="BI18" s="256" t="inlineStr">
        <is>
          <t>28.07.2025</t>
        </is>
      </c>
      <c r="BJ18" s="256" t="inlineStr">
        <is>
          <t>UKIM Faculty of Pharmacy — Center for Natural Products</t>
        </is>
      </c>
      <c r="BK18" s="256" t="inlineStr">
        <is>
          <t>3.5 × 10³</t>
        </is>
      </c>
      <c r="BL18" s="256" t="inlineStr">
        <is>
          <t>767/1376/25</t>
        </is>
      </c>
      <c r="BM18" s="256" t="inlineStr">
        <is>
          <t>29.07.2025</t>
        </is>
      </c>
      <c r="BN18" s="256" t="inlineStr">
        <is>
          <t>IPH — Institute of Public Health</t>
        </is>
      </c>
      <c r="BO18" s="256" t="inlineStr">
        <is>
          <t>1 × 10³</t>
        </is>
      </c>
      <c r="BP18" s="256" t="inlineStr">
        <is>
          <t>767/1376/25</t>
        </is>
      </c>
      <c r="BQ18" s="256" t="inlineStr">
        <is>
          <t>29.07.2025</t>
        </is>
      </c>
      <c r="BR18" s="256" t="inlineStr">
        <is>
          <t>IPH — Institute of Public Health</t>
        </is>
      </c>
      <c r="BS18" s="256" t="inlineStr">
        <is>
          <t>&lt; 10</t>
        </is>
      </c>
      <c r="BT18" s="256" t="inlineStr">
        <is>
          <t>767/1376/25</t>
        </is>
      </c>
      <c r="BU18" s="256" t="inlineStr">
        <is>
          <t>29.07.2025</t>
        </is>
      </c>
      <c r="BV18" s="256" t="inlineStr">
        <is>
          <t>IPH — Institute of Public Health</t>
        </is>
      </c>
      <c r="BW18" s="256" t="inlineStr">
        <is>
          <t>Absent | Отсутна</t>
        </is>
      </c>
      <c r="BX18" s="256" t="inlineStr">
        <is>
          <t>767/1376/25</t>
        </is>
      </c>
      <c r="BY18" s="256" t="inlineStr">
        <is>
          <t>29.07.2025</t>
        </is>
      </c>
      <c r="BZ18" s="256" t="inlineStr">
        <is>
          <t>IPH — Institute of Public Health</t>
        </is>
      </c>
      <c r="CA18" s="256" t="inlineStr">
        <is>
          <t>Absent | Отсутна</t>
        </is>
      </c>
      <c r="CB18" s="256" t="inlineStr">
        <is>
          <t>767/1376/25</t>
        </is>
      </c>
      <c r="CC18" s="256" t="inlineStr">
        <is>
          <t>29.07.2025</t>
        </is>
      </c>
      <c r="CD18" s="256" t="inlineStr">
        <is>
          <t>IPH — Institute of Public Health</t>
        </is>
      </c>
      <c r="CE18" s="260" t="inlineStr">
        <is>
          <t>upon request — not required for release</t>
        </is>
      </c>
      <c r="CF18" s="256" t="inlineStr">
        <is>
          <t>—</t>
        </is>
      </c>
      <c r="CG18" s="256" t="inlineStr">
        <is>
          <t>—</t>
        </is>
      </c>
      <c r="CH18" s="256" t="inlineStr">
        <is>
          <t>—</t>
        </is>
      </c>
      <c r="CI18" s="260" t="inlineStr">
        <is>
          <t>upon request — not required for release</t>
        </is>
      </c>
      <c r="CJ18" s="256" t="inlineStr">
        <is>
          <t>—</t>
        </is>
      </c>
      <c r="CK18" s="256" t="inlineStr">
        <is>
          <t>—</t>
        </is>
      </c>
      <c r="CL18" s="256" t="inlineStr">
        <is>
          <t>—</t>
        </is>
      </c>
      <c r="CM18" s="259" t="inlineStr">
        <is>
          <t>not tested</t>
        </is>
      </c>
      <c r="CN18" s="256" t="inlineStr">
        <is>
          <t>—</t>
        </is>
      </c>
      <c r="CO18" s="256" t="inlineStr">
        <is>
          <t>—</t>
        </is>
      </c>
      <c r="CP18" s="256" t="inlineStr">
        <is>
          <t>—</t>
        </is>
      </c>
      <c r="CQ18" s="256" t="inlineStr">
        <is>
          <t>2</t>
        </is>
      </c>
      <c r="CR18" s="256" t="inlineStr">
        <is>
          <t>3638/2025</t>
        </is>
      </c>
      <c r="CS18" s="256" t="inlineStr">
        <is>
          <t>28.07.2025</t>
        </is>
      </c>
      <c r="CT18" s="256" t="inlineStr">
        <is>
          <t>IPH — Institute of Public Health</t>
        </is>
      </c>
      <c r="CU18" s="259" t="inlineStr">
        <is>
          <t>not tested</t>
        </is>
      </c>
      <c r="CV18" s="256" t="inlineStr">
        <is>
          <t>—</t>
        </is>
      </c>
      <c r="CW18" s="256" t="inlineStr">
        <is>
          <t>—</t>
        </is>
      </c>
      <c r="CX18" s="256" t="inlineStr">
        <is>
          <t>—</t>
        </is>
      </c>
      <c r="CY18" s="256" t="inlineStr">
        <is>
          <t>ND</t>
        </is>
      </c>
      <c r="CZ18" s="256" t="inlineStr">
        <is>
          <t>3638/2025</t>
        </is>
      </c>
      <c r="DA18" s="256" t="inlineStr">
        <is>
          <t>28.07.2025</t>
        </is>
      </c>
      <c r="DB18" s="256" t="inlineStr">
        <is>
          <t>IPH — Institute of Public Health</t>
        </is>
      </c>
      <c r="DC18" s="256" t="inlineStr">
        <is>
          <t>ND</t>
        </is>
      </c>
      <c r="DD18" s="256" t="inlineStr">
        <is>
          <t>3638/2025</t>
        </is>
      </c>
      <c r="DE18" s="256" t="inlineStr">
        <is>
          <t>28.07.2025</t>
        </is>
      </c>
      <c r="DF18" s="256" t="inlineStr">
        <is>
          <t>IPH — Institute of Public Health</t>
        </is>
      </c>
      <c r="DG18" s="256" t="inlineStr">
        <is>
          <t>0.086</t>
        </is>
      </c>
      <c r="DH18" s="256" t="inlineStr">
        <is>
          <t>3638/2025</t>
        </is>
      </c>
      <c r="DI18" s="256" t="inlineStr">
        <is>
          <t>28.07.2025</t>
        </is>
      </c>
      <c r="DJ18" s="256" t="inlineStr">
        <is>
          <t>IPH — Institute of Public Health</t>
        </is>
      </c>
      <c r="DK18" s="256" t="inlineStr">
        <is>
          <t>0.006</t>
        </is>
      </c>
      <c r="DL18" s="256" t="inlineStr">
        <is>
          <t>3638/2025</t>
        </is>
      </c>
      <c r="DM18" s="256" t="inlineStr">
        <is>
          <t>28.07.2025</t>
        </is>
      </c>
      <c r="DN18" s="256" t="inlineStr">
        <is>
          <t>IPH — Institute of Public Health</t>
        </is>
      </c>
      <c r="DO18" s="256" t="inlineStr">
        <is>
          <t>ND</t>
        </is>
      </c>
      <c r="DP18" s="256" t="inlineStr">
        <is>
          <t>3638/2025</t>
        </is>
      </c>
      <c r="DQ18" s="256" t="inlineStr">
        <is>
          <t>28.07.2025</t>
        </is>
      </c>
      <c r="DR18" s="256" t="inlineStr">
        <is>
          <t>IPH — Institute of Public Health</t>
        </is>
      </c>
    </row>
    <row r="19">
      <c r="A19" s="256" t="inlineStr">
        <is>
          <t>CoQ-PP_26-018</t>
        </is>
      </c>
      <c r="B19" s="256" t="inlineStr">
        <is>
          <t>release</t>
        </is>
      </c>
      <c r="C19" s="256" t="inlineStr">
        <is>
          <t>issuable</t>
        </is>
      </c>
      <c r="D19" s="256" t="inlineStr">
        <is>
          <t>06.06.2026</t>
        </is>
      </c>
      <c r="E19" s="256" t="inlineStr">
        <is>
          <t>n/a — release certificate</t>
        </is>
      </c>
      <c r="F19" s="256" t="inlineStr">
        <is>
          <t>(assigned on issue)</t>
        </is>
      </c>
      <c r="G19" s="256" t="inlineStr">
        <is>
          <t>BSS1024_01</t>
        </is>
      </c>
      <c r="H19" s="256" t="inlineStr">
        <is>
          <t>P050122</t>
        </is>
      </c>
      <c r="I19" s="256" t="inlineStr">
        <is>
          <t>Blue Sunset Sherbet</t>
        </is>
      </c>
      <c r="J19" s="256" t="inlineStr">
        <is>
          <t>04.06.2025 – 05.06.2025</t>
        </is>
      </c>
      <c r="K19" s="256" t="inlineStr">
        <is>
          <t>01.09.2025 – 09.09.2025</t>
        </is>
      </c>
      <c r="L19" s="256" t="inlineStr">
        <is>
          <t>—</t>
        </is>
      </c>
      <c r="M19" s="256" t="inlineStr">
        <is>
          <t>—</t>
        </is>
      </c>
      <c r="N19" s="256" t="inlineStr">
        <is>
          <t>iCoA-PP_26-089</t>
        </is>
      </c>
      <c r="O19" s="256" t="inlineStr">
        <is>
          <t>03.06.2026</t>
        </is>
      </c>
      <c r="P19" s="256" t="inlineStr">
        <is>
          <t>—</t>
        </is>
      </c>
      <c r="Q19" s="256" t="inlineStr">
        <is>
          <t>—</t>
        </is>
      </c>
      <c r="R19" s="256" t="inlineStr">
        <is>
          <t>23.42</t>
        </is>
      </c>
      <c r="S19" s="256" t="inlineStr">
        <is>
          <t>ППК25176</t>
        </is>
      </c>
      <c r="T19" s="256" t="inlineStr">
        <is>
          <t>II</t>
        </is>
      </c>
      <c r="U19" s="256" t="inlineStr">
        <is>
          <t>21.89 – 26.10 %</t>
        </is>
      </c>
      <c r="V19" s="256" t="inlineStr">
        <is>
          <t>BSS_THC24 : CBD1</t>
        </is>
      </c>
      <c r="W19" s="256" t="inlineStr">
        <is>
          <t>QCSP_001_BSS-II_v.01</t>
        </is>
      </c>
      <c r="X19" s="256" t="inlineStr">
        <is>
          <t>for review — replaces the issued QCSP_001_BSS-II_v.01 (was BSS_THC20 : CBD1, 18.00 – 22.00 %); now BSS_THC24 : CBD1 21.89 – 26.10 %</t>
        </is>
      </c>
      <c r="Y19" s="256" t="inlineStr">
        <is>
          <t>INDICA</t>
        </is>
      </c>
      <c r="Z19" s="256" t="inlineStr">
        <is>
          <t>THC</t>
        </is>
      </c>
      <c r="AA19" s="256" t="inlineStr">
        <is>
          <t>MACHINE TRIMMED</t>
        </is>
      </c>
      <c r="AB19" s="256" t="inlineStr">
        <is>
          <t>—</t>
        </is>
      </c>
      <c r="AC19" s="256" t="inlineStr">
        <is>
          <t>Triplex Alu Bag | Триплекс Aлу Kеса, PET 12 · ALU 7 · PE 80, 300 × 500 mm, net. 400.0 g ±3%</t>
        </is>
      </c>
      <c r="AD19" s="256" t="inlineStr">
        <is>
          <t>10.07.2025</t>
        </is>
      </c>
      <c r="AE19" s="256" t="inlineStr">
        <is>
          <t>Conforms | Одговара</t>
        </is>
      </c>
      <c r="AF19" s="256" t="inlineStr">
        <is>
          <t>iCoA-PP_26-089</t>
        </is>
      </c>
      <c r="AG19" s="256" t="inlineStr">
        <is>
          <t>03.06.2026</t>
        </is>
      </c>
      <c r="AH19" s="256" t="inlineStr">
        <is>
          <t>Purely Plant GmbH (in-house)</t>
        </is>
      </c>
      <c r="AI19" s="256" t="inlineStr">
        <is>
          <t>Conforms | Одговара</t>
        </is>
      </c>
      <c r="AJ19" s="256" t="inlineStr">
        <is>
          <t>iCoA-PP_26-089</t>
        </is>
      </c>
      <c r="AK19" s="256" t="inlineStr">
        <is>
          <t>03.06.2026</t>
        </is>
      </c>
      <c r="AL19" s="256" t="inlineStr">
        <is>
          <t>Purely Plant GmbH (in-house)</t>
        </is>
      </c>
      <c r="AM19" s="256" t="inlineStr">
        <is>
          <t>Conforms | Одговара</t>
        </is>
      </c>
      <c r="AN19" s="256" t="inlineStr">
        <is>
          <t>ППК25176</t>
        </is>
      </c>
      <c r="AO19" s="256" t="inlineStr">
        <is>
          <t>10.07.2025</t>
        </is>
      </c>
      <c r="AP19" s="256" t="inlineStr">
        <is>
          <t>UKIM Faculty of Pharmacy — Center for Natural Products</t>
        </is>
      </c>
      <c r="AQ19" s="256" t="inlineStr">
        <is>
          <t>23.42</t>
        </is>
      </c>
      <c r="AR19" s="256" t="inlineStr">
        <is>
          <t>ППК25176</t>
        </is>
      </c>
      <c r="AS19" s="256" t="inlineStr">
        <is>
          <t>10.07.2025</t>
        </is>
      </c>
      <c r="AT19" s="256" t="inlineStr">
        <is>
          <t>UKIM Faculty of Pharmacy — Center for Natural Products</t>
        </is>
      </c>
      <c r="AU19" s="256" t="inlineStr">
        <is>
          <t>0.06</t>
        </is>
      </c>
      <c r="AV19" s="256" t="inlineStr">
        <is>
          <t>ППК25176</t>
        </is>
      </c>
      <c r="AW19" s="256" t="inlineStr">
        <is>
          <t>10.07.2025</t>
        </is>
      </c>
      <c r="AX19" s="256" t="inlineStr">
        <is>
          <t>UKIM Faculty of Pharmacy — Center for Natural Products</t>
        </is>
      </c>
      <c r="AY19" s="259" t="inlineStr">
        <is>
          <t>not tested</t>
        </is>
      </c>
      <c r="AZ19" s="256" t="inlineStr">
        <is>
          <t>—</t>
        </is>
      </c>
      <c r="BA19" s="256" t="inlineStr">
        <is>
          <t>—</t>
        </is>
      </c>
      <c r="BB19" s="256" t="inlineStr">
        <is>
          <t>—</t>
        </is>
      </c>
      <c r="BC19" s="256" t="inlineStr">
        <is>
          <t>Conforms | Одговара</t>
        </is>
      </c>
      <c r="BD19" s="256" t="inlineStr">
        <is>
          <t>iCoA-PP_26-089</t>
        </is>
      </c>
      <c r="BE19" s="256" t="inlineStr">
        <is>
          <t>03.06.2026</t>
        </is>
      </c>
      <c r="BF19" s="256" t="inlineStr">
        <is>
          <t>Purely Plant GmbH (in-house)</t>
        </is>
      </c>
      <c r="BG19" s="256" t="inlineStr">
        <is>
          <t>6.38</t>
        </is>
      </c>
      <c r="BH19" s="256" t="inlineStr">
        <is>
          <t>ППК25176</t>
        </is>
      </c>
      <c r="BI19" s="256" t="inlineStr">
        <is>
          <t>10.07.2025</t>
        </is>
      </c>
      <c r="BJ19" s="256" t="inlineStr">
        <is>
          <t>UKIM Faculty of Pharmacy — Center for Natural Products</t>
        </is>
      </c>
      <c r="BK19" s="256" t="inlineStr">
        <is>
          <t>&lt; 10</t>
        </is>
      </c>
      <c r="BL19" s="256" t="inlineStr">
        <is>
          <t>626/1127/25</t>
        </is>
      </c>
      <c r="BM19" s="256" t="inlineStr">
        <is>
          <t>02.07.2025</t>
        </is>
      </c>
      <c r="BN19" s="256" t="inlineStr">
        <is>
          <t>IPH — Institute of Public Health</t>
        </is>
      </c>
      <c r="BO19" s="256" t="inlineStr">
        <is>
          <t>&lt; 10</t>
        </is>
      </c>
      <c r="BP19" s="256" t="inlineStr">
        <is>
          <t>626/1127/25</t>
        </is>
      </c>
      <c r="BQ19" s="256" t="inlineStr">
        <is>
          <t>02.07.2025</t>
        </is>
      </c>
      <c r="BR19" s="256" t="inlineStr">
        <is>
          <t>IPH — Institute of Public Health</t>
        </is>
      </c>
      <c r="BS19" s="256" t="inlineStr">
        <is>
          <t>&lt; 10</t>
        </is>
      </c>
      <c r="BT19" s="256" t="inlineStr">
        <is>
          <t>626/1127/25</t>
        </is>
      </c>
      <c r="BU19" s="256" t="inlineStr">
        <is>
          <t>02.07.2025</t>
        </is>
      </c>
      <c r="BV19" s="256" t="inlineStr">
        <is>
          <t>IPH — Institute of Public Health</t>
        </is>
      </c>
      <c r="BW19" s="256" t="inlineStr">
        <is>
          <t>Absent | Отсутна</t>
        </is>
      </c>
      <c r="BX19" s="256" t="inlineStr">
        <is>
          <t>626/1127/25</t>
        </is>
      </c>
      <c r="BY19" s="256" t="inlineStr">
        <is>
          <t>02.07.2025</t>
        </is>
      </c>
      <c r="BZ19" s="256" t="inlineStr">
        <is>
          <t>IPH — Institute of Public Health</t>
        </is>
      </c>
      <c r="CA19" s="256" t="inlineStr">
        <is>
          <t>Absent | Отсутна</t>
        </is>
      </c>
      <c r="CB19" s="256" t="inlineStr">
        <is>
          <t>626/1127/25</t>
        </is>
      </c>
      <c r="CC19" s="256" t="inlineStr">
        <is>
          <t>02.07.2025</t>
        </is>
      </c>
      <c r="CD19" s="256" t="inlineStr">
        <is>
          <t>IPH — Institute of Public Health</t>
        </is>
      </c>
      <c r="CE19" s="260" t="inlineStr">
        <is>
          <t>upon request — not required for release</t>
        </is>
      </c>
      <c r="CF19" s="256" t="inlineStr">
        <is>
          <t>—</t>
        </is>
      </c>
      <c r="CG19" s="256" t="inlineStr">
        <is>
          <t>—</t>
        </is>
      </c>
      <c r="CH19" s="256" t="inlineStr">
        <is>
          <t>—</t>
        </is>
      </c>
      <c r="CI19" s="260" t="inlineStr">
        <is>
          <t>upon request — not required for release</t>
        </is>
      </c>
      <c r="CJ19" s="256" t="inlineStr">
        <is>
          <t>—</t>
        </is>
      </c>
      <c r="CK19" s="256" t="inlineStr">
        <is>
          <t>—</t>
        </is>
      </c>
      <c r="CL19" s="256" t="inlineStr">
        <is>
          <t>—</t>
        </is>
      </c>
      <c r="CM19" s="259" t="inlineStr">
        <is>
          <t>not tested</t>
        </is>
      </c>
      <c r="CN19" s="256" t="inlineStr">
        <is>
          <t>—</t>
        </is>
      </c>
      <c r="CO19" s="256" t="inlineStr">
        <is>
          <t>—</t>
        </is>
      </c>
      <c r="CP19" s="256" t="inlineStr">
        <is>
          <t>—</t>
        </is>
      </c>
      <c r="CQ19" s="256" t="inlineStr">
        <is>
          <t>&lt; 2</t>
        </is>
      </c>
      <c r="CR19" s="256" t="inlineStr">
        <is>
          <t>3177/2025</t>
        </is>
      </c>
      <c r="CS19" s="256" t="inlineStr">
        <is>
          <t>26.06.2025</t>
        </is>
      </c>
      <c r="CT19" s="256" t="inlineStr">
        <is>
          <t>IPH — Institute of Public Health</t>
        </is>
      </c>
      <c r="CU19" s="259" t="inlineStr">
        <is>
          <t>not tested</t>
        </is>
      </c>
      <c r="CV19" s="256" t="inlineStr">
        <is>
          <t>—</t>
        </is>
      </c>
      <c r="CW19" s="256" t="inlineStr">
        <is>
          <t>—</t>
        </is>
      </c>
      <c r="CX19" s="256" t="inlineStr">
        <is>
          <t>—</t>
        </is>
      </c>
      <c r="CY19" s="256" t="inlineStr">
        <is>
          <t>ND</t>
        </is>
      </c>
      <c r="CZ19" s="256" t="inlineStr">
        <is>
          <t>3177/2025</t>
        </is>
      </c>
      <c r="DA19" s="256" t="inlineStr">
        <is>
          <t>26.06.2025</t>
        </is>
      </c>
      <c r="DB19" s="256" t="inlineStr">
        <is>
          <t>IPH — Institute of Public Health</t>
        </is>
      </c>
      <c r="DC19" s="256" t="inlineStr">
        <is>
          <t>ND</t>
        </is>
      </c>
      <c r="DD19" s="256" t="inlineStr">
        <is>
          <t>3177/2025</t>
        </is>
      </c>
      <c r="DE19" s="256" t="inlineStr">
        <is>
          <t>26.06.2025</t>
        </is>
      </c>
      <c r="DF19" s="256" t="inlineStr">
        <is>
          <t>IPH — Institute of Public Health</t>
        </is>
      </c>
      <c r="DG19" s="256" t="inlineStr">
        <is>
          <t>0.112</t>
        </is>
      </c>
      <c r="DH19" s="256" t="inlineStr">
        <is>
          <t>3177/2025</t>
        </is>
      </c>
      <c r="DI19" s="256" t="inlineStr">
        <is>
          <t>26.06.2025</t>
        </is>
      </c>
      <c r="DJ19" s="256" t="inlineStr">
        <is>
          <t>IPH — Institute of Public Health</t>
        </is>
      </c>
      <c r="DK19" s="256" t="inlineStr">
        <is>
          <t>ND</t>
        </is>
      </c>
      <c r="DL19" s="256" t="inlineStr">
        <is>
          <t>3177/2025</t>
        </is>
      </c>
      <c r="DM19" s="256" t="inlineStr">
        <is>
          <t>26.06.2025</t>
        </is>
      </c>
      <c r="DN19" s="256" t="inlineStr">
        <is>
          <t>IPH — Institute of Public Health</t>
        </is>
      </c>
      <c r="DO19" s="256" t="inlineStr">
        <is>
          <t>ND</t>
        </is>
      </c>
      <c r="DP19" s="256" t="inlineStr">
        <is>
          <t>3177/2025</t>
        </is>
      </c>
      <c r="DQ19" s="256" t="inlineStr">
        <is>
          <t>26.06.2025</t>
        </is>
      </c>
      <c r="DR19" s="256" t="inlineStr">
        <is>
          <t>IPH — Institute of Public Health</t>
        </is>
      </c>
    </row>
    <row r="20">
      <c r="A20" s="256" t="inlineStr">
        <is>
          <t>CoQ-PP_26-019</t>
        </is>
      </c>
      <c r="B20" s="256" t="inlineStr">
        <is>
          <t>release</t>
        </is>
      </c>
      <c r="C20" s="256" t="inlineStr">
        <is>
          <t>issuable</t>
        </is>
      </c>
      <c r="D20" s="256" t="inlineStr">
        <is>
          <t>06.06.2026</t>
        </is>
      </c>
      <c r="E20" s="256" t="inlineStr">
        <is>
          <t>n/a — release certificate</t>
        </is>
      </c>
      <c r="F20" s="256" t="inlineStr">
        <is>
          <t>(assigned on issue)</t>
        </is>
      </c>
      <c r="G20" s="256" t="inlineStr">
        <is>
          <t>OPM052501</t>
        </is>
      </c>
      <c r="H20" s="256" t="inlineStr">
        <is>
          <t>P050132</t>
        </is>
      </c>
      <c r="I20" s="256" t="inlineStr">
        <is>
          <t>Orange Punch Mimosa</t>
        </is>
      </c>
      <c r="J20" s="256" t="inlineStr">
        <is>
          <t>11.08.2025 – 13.08.2025</t>
        </is>
      </c>
      <c r="K20" s="256" t="inlineStr">
        <is>
          <t>09.09.2025 – 15.09.2025</t>
        </is>
      </c>
      <c r="L20" s="256" t="inlineStr">
        <is>
          <t>—</t>
        </is>
      </c>
      <c r="M20" s="256" t="inlineStr">
        <is>
          <t>—</t>
        </is>
      </c>
      <c r="N20" s="256" t="inlineStr">
        <is>
          <t>iCoA-PP_26-018</t>
        </is>
      </c>
      <c r="O20" s="256" t="inlineStr">
        <is>
          <t>03.06.2026</t>
        </is>
      </c>
      <c r="P20" s="256" t="inlineStr">
        <is>
          <t>09.09.2025</t>
        </is>
      </c>
      <c r="Q20" s="256" t="inlineStr">
        <is>
          <t>—</t>
        </is>
      </c>
      <c r="R20" s="256" t="inlineStr">
        <is>
          <t>14.16</t>
        </is>
      </c>
      <c r="S20" s="256" t="inlineStr">
        <is>
          <t>ППК25257</t>
        </is>
      </c>
      <c r="T20" s="256" t="inlineStr">
        <is>
          <t>III</t>
        </is>
      </c>
      <c r="U20" s="256" t="inlineStr">
        <is>
          <t>12.60 – 15.39 %</t>
        </is>
      </c>
      <c r="V20" s="256" t="inlineStr">
        <is>
          <t>OPM_THC14 : CBD1</t>
        </is>
      </c>
      <c r="W20" s="256" t="inlineStr">
        <is>
          <t>QCSP_001_OPM-III_v.01</t>
        </is>
      </c>
      <c r="X20" s="256" t="inlineStr">
        <is>
          <t>for review — replaces the issued QCSP_001_OPM-III_v.01 (was OPM_THC16:CBD1, 16.00% ± 3.00%); now OPM_THC14 : CBD1 12.60 – 15.39 %</t>
        </is>
      </c>
      <c r="Y20" s="256" t="inlineStr">
        <is>
          <t>INDICA</t>
        </is>
      </c>
      <c r="Z20" s="256" t="inlineStr">
        <is>
          <t>THC</t>
        </is>
      </c>
      <c r="AA20" s="256" t="inlineStr">
        <is>
          <t>MACHINE TRIMMED</t>
        </is>
      </c>
      <c r="AB20" s="256" t="inlineStr">
        <is>
          <t>—</t>
        </is>
      </c>
      <c r="AC20" s="256" t="inlineStr">
        <is>
          <t>Triplex Alu Bag | Триплекс Aлу Kеса, PET 12 · ALU 7 · PE 80, 300 × 500 mm, net. 400.0 g ±3%</t>
        </is>
      </c>
      <c r="AD20" s="256" t="inlineStr">
        <is>
          <t>05.09.2025</t>
        </is>
      </c>
      <c r="AE20" s="256" t="inlineStr">
        <is>
          <t>Conforms | Одговара</t>
        </is>
      </c>
      <c r="AF20" s="256" t="inlineStr">
        <is>
          <t>iCoA-PP_26-018</t>
        </is>
      </c>
      <c r="AG20" s="256" t="inlineStr">
        <is>
          <t>03.06.2026</t>
        </is>
      </c>
      <c r="AH20" s="256" t="inlineStr">
        <is>
          <t>Purely Plant GmbH (in-house)</t>
        </is>
      </c>
      <c r="AI20" s="256" t="inlineStr">
        <is>
          <t>Conforms | Одговара</t>
        </is>
      </c>
      <c r="AJ20" s="256" t="inlineStr">
        <is>
          <t>iCoA-PP_26-018</t>
        </is>
      </c>
      <c r="AK20" s="256" t="inlineStr">
        <is>
          <t>03.06.2026</t>
        </is>
      </c>
      <c r="AL20" s="256" t="inlineStr">
        <is>
          <t>Purely Plant GmbH (in-house)</t>
        </is>
      </c>
      <c r="AM20" s="256" t="inlineStr">
        <is>
          <t>Conforms | Одговара</t>
        </is>
      </c>
      <c r="AN20" s="256" t="inlineStr">
        <is>
          <t>ППК25257</t>
        </is>
      </c>
      <c r="AO20" s="256" t="inlineStr">
        <is>
          <t>05.09.2025</t>
        </is>
      </c>
      <c r="AP20" s="256" t="inlineStr">
        <is>
          <t>UKIM Faculty of Pharmacy — Center for Natural Products</t>
        </is>
      </c>
      <c r="AQ20" s="256" t="inlineStr">
        <is>
          <t>14.16</t>
        </is>
      </c>
      <c r="AR20" s="256" t="inlineStr">
        <is>
          <t>ППК25257</t>
        </is>
      </c>
      <c r="AS20" s="256" t="inlineStr">
        <is>
          <t>05.09.2025</t>
        </is>
      </c>
      <c r="AT20" s="256" t="inlineStr">
        <is>
          <t>UKIM Faculty of Pharmacy — Center for Natural Products</t>
        </is>
      </c>
      <c r="AU20" s="256" t="inlineStr">
        <is>
          <t>0.04</t>
        </is>
      </c>
      <c r="AV20" s="256" t="inlineStr">
        <is>
          <t>ППК25257</t>
        </is>
      </c>
      <c r="AW20" s="256" t="inlineStr">
        <is>
          <t>05.09.2025</t>
        </is>
      </c>
      <c r="AX20" s="256" t="inlineStr">
        <is>
          <t>UKIM Faculty of Pharmacy — Center for Natural Products</t>
        </is>
      </c>
      <c r="AY20" s="259" t="inlineStr">
        <is>
          <t>not tested</t>
        </is>
      </c>
      <c r="AZ20" s="256" t="inlineStr">
        <is>
          <t>—</t>
        </is>
      </c>
      <c r="BA20" s="256" t="inlineStr">
        <is>
          <t>—</t>
        </is>
      </c>
      <c r="BB20" s="256" t="inlineStr">
        <is>
          <t>—</t>
        </is>
      </c>
      <c r="BC20" s="256" t="inlineStr">
        <is>
          <t>Conforms | Одговара</t>
        </is>
      </c>
      <c r="BD20" s="256" t="inlineStr">
        <is>
          <t>iCoA-PP_26-018</t>
        </is>
      </c>
      <c r="BE20" s="256" t="inlineStr">
        <is>
          <t>03.06.2026</t>
        </is>
      </c>
      <c r="BF20" s="256" t="inlineStr">
        <is>
          <t>Purely Plant GmbH (in-house)</t>
        </is>
      </c>
      <c r="BG20" s="256" t="inlineStr">
        <is>
          <t>8.28</t>
        </is>
      </c>
      <c r="BH20" s="256" t="inlineStr">
        <is>
          <t>ППК25257</t>
        </is>
      </c>
      <c r="BI20" s="256" t="inlineStr">
        <is>
          <t>05.09.2025</t>
        </is>
      </c>
      <c r="BJ20" s="256" t="inlineStr">
        <is>
          <t>UKIM Faculty of Pharmacy — Center for Natural Products</t>
        </is>
      </c>
      <c r="BK20" s="256" t="inlineStr">
        <is>
          <t>1.2 × 10⁴</t>
        </is>
      </c>
      <c r="BL20" s="256" t="inlineStr">
        <is>
          <t>904/1589/25</t>
        </is>
      </c>
      <c r="BM20" s="256" t="inlineStr">
        <is>
          <t>02.09.2025</t>
        </is>
      </c>
      <c r="BN20" s="256" t="inlineStr">
        <is>
          <t>IPH — Institute of Public Health</t>
        </is>
      </c>
      <c r="BO20" s="256" t="inlineStr">
        <is>
          <t>3.3 × 10⁴</t>
        </is>
      </c>
      <c r="BP20" s="256" t="inlineStr">
        <is>
          <t>904/1589/25</t>
        </is>
      </c>
      <c r="BQ20" s="256" t="inlineStr">
        <is>
          <t>02.09.2025</t>
        </is>
      </c>
      <c r="BR20" s="256" t="inlineStr">
        <is>
          <t>IPH — Institute of Public Health</t>
        </is>
      </c>
      <c r="BS20" s="256" t="inlineStr">
        <is>
          <t>&lt; 10</t>
        </is>
      </c>
      <c r="BT20" s="256" t="inlineStr">
        <is>
          <t>904/1589/25</t>
        </is>
      </c>
      <c r="BU20" s="256" t="inlineStr">
        <is>
          <t>02.09.2025</t>
        </is>
      </c>
      <c r="BV20" s="256" t="inlineStr">
        <is>
          <t>IPH — Institute of Public Health</t>
        </is>
      </c>
      <c r="BW20" s="256" t="inlineStr">
        <is>
          <t>Absent | Отсутна</t>
        </is>
      </c>
      <c r="BX20" s="256" t="inlineStr">
        <is>
          <t>904/1589/25</t>
        </is>
      </c>
      <c r="BY20" s="256" t="inlineStr">
        <is>
          <t>02.09.2025</t>
        </is>
      </c>
      <c r="BZ20" s="256" t="inlineStr">
        <is>
          <t>IPH — Institute of Public Health</t>
        </is>
      </c>
      <c r="CA20" s="256" t="inlineStr">
        <is>
          <t>Absent | Отсутна</t>
        </is>
      </c>
      <c r="CB20" s="256" t="inlineStr">
        <is>
          <t>904/1589/25</t>
        </is>
      </c>
      <c r="CC20" s="256" t="inlineStr">
        <is>
          <t>02.09.2025</t>
        </is>
      </c>
      <c r="CD20" s="256" t="inlineStr">
        <is>
          <t>IPH — Institute of Public Health</t>
        </is>
      </c>
      <c r="CE20" s="260" t="inlineStr">
        <is>
          <t>upon request — not required for release</t>
        </is>
      </c>
      <c r="CF20" s="256" t="inlineStr">
        <is>
          <t>—</t>
        </is>
      </c>
      <c r="CG20" s="256" t="inlineStr">
        <is>
          <t>—</t>
        </is>
      </c>
      <c r="CH20" s="256" t="inlineStr">
        <is>
          <t>—</t>
        </is>
      </c>
      <c r="CI20" s="260" t="inlineStr">
        <is>
          <t>upon request — not required for release</t>
        </is>
      </c>
      <c r="CJ20" s="256" t="inlineStr">
        <is>
          <t>—</t>
        </is>
      </c>
      <c r="CK20" s="256" t="inlineStr">
        <is>
          <t>—</t>
        </is>
      </c>
      <c r="CL20" s="256" t="inlineStr">
        <is>
          <t>—</t>
        </is>
      </c>
      <c r="CM20" s="259" t="inlineStr">
        <is>
          <t>not tested</t>
        </is>
      </c>
      <c r="CN20" s="256" t="inlineStr">
        <is>
          <t>—</t>
        </is>
      </c>
      <c r="CO20" s="256" t="inlineStr">
        <is>
          <t>—</t>
        </is>
      </c>
      <c r="CP20" s="256" t="inlineStr">
        <is>
          <t>—</t>
        </is>
      </c>
      <c r="CQ20" s="256" t="inlineStr">
        <is>
          <t>2.1</t>
        </is>
      </c>
      <c r="CR20" s="256" t="inlineStr">
        <is>
          <t>4157/2025</t>
        </is>
      </c>
      <c r="CS20" s="256" t="inlineStr">
        <is>
          <t>29.08.2025</t>
        </is>
      </c>
      <c r="CT20" s="256" t="inlineStr">
        <is>
          <t>IPH — Institute of Public Health</t>
        </is>
      </c>
      <c r="CU20" s="259" t="inlineStr">
        <is>
          <t>not tested</t>
        </is>
      </c>
      <c r="CV20" s="256" t="inlineStr">
        <is>
          <t>—</t>
        </is>
      </c>
      <c r="CW20" s="256" t="inlineStr">
        <is>
          <t>—</t>
        </is>
      </c>
      <c r="CX20" s="256" t="inlineStr">
        <is>
          <t>—</t>
        </is>
      </c>
      <c r="CY20" s="256" t="inlineStr">
        <is>
          <t>ND</t>
        </is>
      </c>
      <c r="CZ20" s="256" t="inlineStr">
        <is>
          <t>4157/2025</t>
        </is>
      </c>
      <c r="DA20" s="256" t="inlineStr">
        <is>
          <t>29.08.2025</t>
        </is>
      </c>
      <c r="DB20" s="256" t="inlineStr">
        <is>
          <t>IPH — Institute of Public Health</t>
        </is>
      </c>
      <c r="DC20" s="256" t="inlineStr">
        <is>
          <t>ND</t>
        </is>
      </c>
      <c r="DD20" s="256" t="inlineStr">
        <is>
          <t>4157/2025</t>
        </is>
      </c>
      <c r="DE20" s="256" t="inlineStr">
        <is>
          <t>29.08.2025</t>
        </is>
      </c>
      <c r="DF20" s="256" t="inlineStr">
        <is>
          <t>IPH — Institute of Public Health</t>
        </is>
      </c>
      <c r="DG20" s="256" t="inlineStr">
        <is>
          <t>ND</t>
        </is>
      </c>
      <c r="DH20" s="256" t="inlineStr">
        <is>
          <t>4157/2025</t>
        </is>
      </c>
      <c r="DI20" s="256" t="inlineStr">
        <is>
          <t>29.08.2025</t>
        </is>
      </c>
      <c r="DJ20" s="256" t="inlineStr">
        <is>
          <t>IPH — Institute of Public Health</t>
        </is>
      </c>
      <c r="DK20" s="256" t="inlineStr">
        <is>
          <t>ND</t>
        </is>
      </c>
      <c r="DL20" s="256" t="inlineStr">
        <is>
          <t>4157/2025</t>
        </is>
      </c>
      <c r="DM20" s="256" t="inlineStr">
        <is>
          <t>29.08.2025</t>
        </is>
      </c>
      <c r="DN20" s="256" t="inlineStr">
        <is>
          <t>IPH — Institute of Public Health</t>
        </is>
      </c>
      <c r="DO20" s="256" t="inlineStr">
        <is>
          <t>ND</t>
        </is>
      </c>
      <c r="DP20" s="256" t="inlineStr">
        <is>
          <t>4157/2025</t>
        </is>
      </c>
      <c r="DQ20" s="256" t="inlineStr">
        <is>
          <t>29.08.2025</t>
        </is>
      </c>
      <c r="DR20" s="256" t="inlineStr">
        <is>
          <t>IPH — Institute of Public Health</t>
        </is>
      </c>
    </row>
    <row r="21">
      <c r="A21" s="256" t="inlineStr">
        <is>
          <t>CoQ-PP_26-020</t>
        </is>
      </c>
      <c r="B21" s="256" t="inlineStr">
        <is>
          <t>release</t>
        </is>
      </c>
      <c r="C21" s="256" t="inlineStr">
        <is>
          <t>issuable</t>
        </is>
      </c>
      <c r="D21" s="256" t="inlineStr">
        <is>
          <t>06.06.2026</t>
        </is>
      </c>
      <c r="E21" s="256" t="inlineStr">
        <is>
          <t>n/a — release certificate</t>
        </is>
      </c>
      <c r="F21" s="256" t="inlineStr">
        <is>
          <t>CoQ-PP-2025-0014</t>
        </is>
      </c>
      <c r="G21" s="256" t="inlineStr">
        <is>
          <t>GP052501</t>
        </is>
      </c>
      <c r="H21" s="256" t="inlineStr">
        <is>
          <t>P050152</t>
        </is>
      </c>
      <c r="I21" s="256" t="inlineStr">
        <is>
          <t>Grape Pie</t>
        </is>
      </c>
      <c r="J21" s="256" t="inlineStr">
        <is>
          <t>]</t>
        </is>
      </c>
      <c r="K21" s="256" t="inlineStr">
        <is>
          <t>25.09.2025</t>
        </is>
      </c>
      <c r="L21" s="256" t="inlineStr">
        <is>
          <t>—</t>
        </is>
      </c>
      <c r="M21" s="256" t="inlineStr">
        <is>
          <t>25.09.2025</t>
        </is>
      </c>
      <c r="N21" s="256" t="inlineStr">
        <is>
          <t>iCoA-PP_26-019</t>
        </is>
      </c>
      <c r="O21" s="256" t="inlineStr">
        <is>
          <t>03.06.2026</t>
        </is>
      </c>
      <c r="P21" s="256" t="inlineStr">
        <is>
          <t>25.09.2025</t>
        </is>
      </c>
      <c r="Q21" s="256" t="inlineStr">
        <is>
          <t>—</t>
        </is>
      </c>
      <c r="R21" s="256" t="inlineStr">
        <is>
          <t>18.98</t>
        </is>
      </c>
      <c r="S21" s="256" t="inlineStr">
        <is>
          <t>ППК25279</t>
        </is>
      </c>
      <c r="T21" s="256" t="inlineStr">
        <is>
          <t>III</t>
        </is>
      </c>
      <c r="U21" s="256" t="inlineStr">
        <is>
          <t>18.00 – 21.99 %</t>
        </is>
      </c>
      <c r="V21" s="256" t="inlineStr">
        <is>
          <t>GP_THC20 : CBD1</t>
        </is>
      </c>
      <c r="W21" s="256" t="inlineStr">
        <is>
          <t>QCSP_001_GP-III_v.01</t>
        </is>
      </c>
      <c r="X21" s="256" t="inlineStr">
        <is>
          <t>for review — replaces the issued QCSP_001_GP-III_v.01 (was GP_THC24 : CBD1, 22.61 – 25.39 %); now GP_THC20 : CBD1 18.00 – 21.99 %</t>
        </is>
      </c>
      <c r="Y21" s="256" t="inlineStr">
        <is>
          <t>HYBRID</t>
        </is>
      </c>
      <c r="Z21" s="256" t="inlineStr">
        <is>
          <t>THC</t>
        </is>
      </c>
      <c r="AA21" s="256" t="inlineStr">
        <is>
          <t>MACHINE TRIMMED</t>
        </is>
      </c>
      <c r="AB21" s="256" t="inlineStr">
        <is>
          <t>INDICA-DOMINANT</t>
        </is>
      </c>
      <c r="AC21" s="256" t="inlineStr">
        <is>
          <t>Triplex Alu Bag | Триплекс Aлу Kеса, PET 12 · ALU 7 · PE 80, 300 × 500 mm, net. 400.0 g ±3%</t>
        </is>
      </c>
      <c r="AD21" s="256" t="inlineStr">
        <is>
          <t>19.09.2025</t>
        </is>
      </c>
      <c r="AE21" s="256" t="inlineStr">
        <is>
          <t>Conforms | Одговара</t>
        </is>
      </c>
      <c r="AF21" s="256" t="inlineStr">
        <is>
          <t>iCoA-PP_26-019</t>
        </is>
      </c>
      <c r="AG21" s="256" t="inlineStr">
        <is>
          <t>03.06.2026</t>
        </is>
      </c>
      <c r="AH21" s="256" t="inlineStr">
        <is>
          <t>Purely Plant GmbH (in-house)</t>
        </is>
      </c>
      <c r="AI21" s="256" t="inlineStr">
        <is>
          <t>Conforms | Одговара</t>
        </is>
      </c>
      <c r="AJ21" s="256" t="inlineStr">
        <is>
          <t>iCoA-PP_26-019</t>
        </is>
      </c>
      <c r="AK21" s="256" t="inlineStr">
        <is>
          <t>03.06.2026</t>
        </is>
      </c>
      <c r="AL21" s="256" t="inlineStr">
        <is>
          <t>Purely Plant GmbH (in-house)</t>
        </is>
      </c>
      <c r="AM21" s="256" t="inlineStr">
        <is>
          <t>Conforms | Одговара</t>
        </is>
      </c>
      <c r="AN21" s="256" t="inlineStr">
        <is>
          <t>ППК25279</t>
        </is>
      </c>
      <c r="AO21" s="256" t="inlineStr">
        <is>
          <t>19.09.2025</t>
        </is>
      </c>
      <c r="AP21" s="256" t="inlineStr">
        <is>
          <t>UKIM Faculty of Pharmacy — Center for Natural Products</t>
        </is>
      </c>
      <c r="AQ21" s="256" t="inlineStr">
        <is>
          <t>18.98</t>
        </is>
      </c>
      <c r="AR21" s="256" t="inlineStr">
        <is>
          <t>ППК25279</t>
        </is>
      </c>
      <c r="AS21" s="256" t="inlineStr">
        <is>
          <t>19.09.2025</t>
        </is>
      </c>
      <c r="AT21" s="256" t="inlineStr">
        <is>
          <t>UKIM Faculty of Pharmacy — Center for Natural Products</t>
        </is>
      </c>
      <c r="AU21" s="256" t="inlineStr">
        <is>
          <t>0.08</t>
        </is>
      </c>
      <c r="AV21" s="256" t="inlineStr">
        <is>
          <t>ППК25279</t>
        </is>
      </c>
      <c r="AW21" s="256" t="inlineStr">
        <is>
          <t>19.09.2025</t>
        </is>
      </c>
      <c r="AX21" s="256" t="inlineStr">
        <is>
          <t>UKIM Faculty of Pharmacy — Center for Natural Products</t>
        </is>
      </c>
      <c r="AY21" s="256" t="inlineStr">
        <is>
          <t>0.03 ᴰ</t>
        </is>
      </c>
      <c r="AZ21" s="256" t="inlineStr">
        <is>
          <t>ППК25279</t>
        </is>
      </c>
      <c r="BA21" s="256" t="inlineStr">
        <is>
          <t>19.09.2025</t>
        </is>
      </c>
      <c r="BB21" s="256" t="inlineStr">
        <is>
          <t>CNP</t>
        </is>
      </c>
      <c r="BC21" s="256" t="inlineStr">
        <is>
          <t>Conforms | Одговара</t>
        </is>
      </c>
      <c r="BD21" s="256" t="inlineStr">
        <is>
          <t>iCoA-PP_26-019</t>
        </is>
      </c>
      <c r="BE21" s="256" t="inlineStr">
        <is>
          <t>03.06.2026</t>
        </is>
      </c>
      <c r="BF21" s="256" t="inlineStr">
        <is>
          <t>Purely Plant GmbH (in-house)</t>
        </is>
      </c>
      <c r="BG21" s="256" t="inlineStr">
        <is>
          <t>7.30</t>
        </is>
      </c>
      <c r="BH21" s="256" t="inlineStr">
        <is>
          <t>ППК25279</t>
        </is>
      </c>
      <c r="BI21" s="256" t="inlineStr">
        <is>
          <t>19.09.2025</t>
        </is>
      </c>
      <c r="BJ21" s="256" t="inlineStr">
        <is>
          <t>UKIM Faculty of Pharmacy — Center for Natural Products</t>
        </is>
      </c>
      <c r="BK21" s="256" t="inlineStr">
        <is>
          <t>2.1 × 10⁴</t>
        </is>
      </c>
      <c r="BL21" s="256" t="inlineStr">
        <is>
          <t>946/1684/25</t>
        </is>
      </c>
      <c r="BM21" s="256" t="inlineStr">
        <is>
          <t>17.09.2025</t>
        </is>
      </c>
      <c r="BN21" s="256" t="inlineStr">
        <is>
          <t>IPH — Institute of Public Health</t>
        </is>
      </c>
      <c r="BO21" s="256" t="inlineStr">
        <is>
          <t>3.6 × 10⁴</t>
        </is>
      </c>
      <c r="BP21" s="256" t="inlineStr">
        <is>
          <t>946/1684/25</t>
        </is>
      </c>
      <c r="BQ21" s="256" t="inlineStr">
        <is>
          <t>17.09.2025</t>
        </is>
      </c>
      <c r="BR21" s="256" t="inlineStr">
        <is>
          <t>IPH — Institute of Public Health</t>
        </is>
      </c>
      <c r="BS21" s="256" t="inlineStr">
        <is>
          <t>&lt; 10² and &gt; 10¹</t>
        </is>
      </c>
      <c r="BT21" s="256" t="inlineStr">
        <is>
          <t>946/1684/25</t>
        </is>
      </c>
      <c r="BU21" s="256" t="inlineStr">
        <is>
          <t>17.09.2025</t>
        </is>
      </c>
      <c r="BV21" s="256" t="inlineStr">
        <is>
          <t>IPH — Institute of Public Health</t>
        </is>
      </c>
      <c r="BW21" s="256" t="inlineStr">
        <is>
          <t>Absent | Отсутна</t>
        </is>
      </c>
      <c r="BX21" s="256" t="inlineStr">
        <is>
          <t>946/1684/25</t>
        </is>
      </c>
      <c r="BY21" s="256" t="inlineStr">
        <is>
          <t>17.09.2025</t>
        </is>
      </c>
      <c r="BZ21" s="256" t="inlineStr">
        <is>
          <t>IPH — Institute of Public Health</t>
        </is>
      </c>
      <c r="CA21" s="256" t="inlineStr">
        <is>
          <t>Absent | Отсутна</t>
        </is>
      </c>
      <c r="CB21" s="256" t="inlineStr">
        <is>
          <t>946/1684/25</t>
        </is>
      </c>
      <c r="CC21" s="256" t="inlineStr">
        <is>
          <t>17.09.2025</t>
        </is>
      </c>
      <c r="CD21" s="256" t="inlineStr">
        <is>
          <t>IPH — Institute of Public Health</t>
        </is>
      </c>
      <c r="CE21" s="260" t="inlineStr">
        <is>
          <t>upon request — not required for release</t>
        </is>
      </c>
      <c r="CF21" s="256" t="inlineStr">
        <is>
          <t>—</t>
        </is>
      </c>
      <c r="CG21" s="256" t="inlineStr">
        <is>
          <t>—</t>
        </is>
      </c>
      <c r="CH21" s="256" t="inlineStr">
        <is>
          <t>—</t>
        </is>
      </c>
      <c r="CI21" s="260" t="inlineStr">
        <is>
          <t>upon request — not required for release</t>
        </is>
      </c>
      <c r="CJ21" s="256" t="inlineStr">
        <is>
          <t>—</t>
        </is>
      </c>
      <c r="CK21" s="256" t="inlineStr">
        <is>
          <t>—</t>
        </is>
      </c>
      <c r="CL21" s="256" t="inlineStr">
        <is>
          <t>—</t>
        </is>
      </c>
      <c r="CM21" s="259" t="inlineStr">
        <is>
          <t>not tested</t>
        </is>
      </c>
      <c r="CN21" s="256" t="inlineStr">
        <is>
          <t>—</t>
        </is>
      </c>
      <c r="CO21" s="256" t="inlineStr">
        <is>
          <t>—</t>
        </is>
      </c>
      <c r="CP21" s="256" t="inlineStr">
        <is>
          <t>—</t>
        </is>
      </c>
      <c r="CQ21" s="256" t="inlineStr">
        <is>
          <t>&lt; 2</t>
        </is>
      </c>
      <c r="CR21" s="256" t="inlineStr">
        <is>
          <t>4348/2025</t>
        </is>
      </c>
      <c r="CS21" s="256" t="inlineStr">
        <is>
          <t>15.09.2025</t>
        </is>
      </c>
      <c r="CT21" s="256" t="inlineStr">
        <is>
          <t>IPH — Institute of Public Health</t>
        </is>
      </c>
      <c r="CU21" s="259" t="inlineStr">
        <is>
          <t>not tested</t>
        </is>
      </c>
      <c r="CV21" s="256" t="inlineStr">
        <is>
          <t>—</t>
        </is>
      </c>
      <c r="CW21" s="256" t="inlineStr">
        <is>
          <t>—</t>
        </is>
      </c>
      <c r="CX21" s="256" t="inlineStr">
        <is>
          <t>—</t>
        </is>
      </c>
      <c r="CY21" s="256" t="inlineStr">
        <is>
          <t>0.06</t>
        </is>
      </c>
      <c r="CZ21" s="256" t="inlineStr">
        <is>
          <t>4348/2025</t>
        </is>
      </c>
      <c r="DA21" s="256" t="inlineStr">
        <is>
          <t>15.09.2025</t>
        </is>
      </c>
      <c r="DB21" s="256" t="inlineStr">
        <is>
          <t>IPH — Institute of Public Health</t>
        </is>
      </c>
      <c r="DC21" s="256" t="inlineStr">
        <is>
          <t>ND</t>
        </is>
      </c>
      <c r="DD21" s="256" t="inlineStr">
        <is>
          <t>4348/2025</t>
        </is>
      </c>
      <c r="DE21" s="256" t="inlineStr">
        <is>
          <t>15.09.2025</t>
        </is>
      </c>
      <c r="DF21" s="256" t="inlineStr">
        <is>
          <t>IPH — Institute of Public Health</t>
        </is>
      </c>
      <c r="DG21" s="256" t="inlineStr">
        <is>
          <t>ND</t>
        </is>
      </c>
      <c r="DH21" s="256" t="inlineStr">
        <is>
          <t>4348/2025</t>
        </is>
      </c>
      <c r="DI21" s="256" t="inlineStr">
        <is>
          <t>15.09.2025</t>
        </is>
      </c>
      <c r="DJ21" s="256" t="inlineStr">
        <is>
          <t>IPH — Institute of Public Health</t>
        </is>
      </c>
      <c r="DK21" s="256" t="inlineStr">
        <is>
          <t>ND</t>
        </is>
      </c>
      <c r="DL21" s="256" t="inlineStr">
        <is>
          <t>4348/2025</t>
        </is>
      </c>
      <c r="DM21" s="256" t="inlineStr">
        <is>
          <t>15.09.2025</t>
        </is>
      </c>
      <c r="DN21" s="256" t="inlineStr">
        <is>
          <t>IPH — Institute of Public Health</t>
        </is>
      </c>
      <c r="DO21" s="256" t="inlineStr">
        <is>
          <t>ND</t>
        </is>
      </c>
      <c r="DP21" s="256" t="inlineStr">
        <is>
          <t>4348/2025</t>
        </is>
      </c>
      <c r="DQ21" s="256" t="inlineStr">
        <is>
          <t>15.09.2025</t>
        </is>
      </c>
      <c r="DR21" s="256" t="inlineStr">
        <is>
          <t>IPH — Institute of Public Health</t>
        </is>
      </c>
    </row>
    <row r="22">
      <c r="A22" s="256" t="inlineStr">
        <is>
          <t>CoQ-PP_26-021</t>
        </is>
      </c>
      <c r="B22" s="256" t="inlineStr">
        <is>
          <t>release</t>
        </is>
      </c>
      <c r="C22" s="256" t="inlineStr">
        <is>
          <t>issuable</t>
        </is>
      </c>
      <c r="D22" s="256" t="inlineStr">
        <is>
          <t>06.06.2026</t>
        </is>
      </c>
      <c r="E22" s="256" t="inlineStr">
        <is>
          <t>n/a — release certificate</t>
        </is>
      </c>
      <c r="F22" s="256" t="inlineStr">
        <is>
          <t>(assigned on issue)</t>
        </is>
      </c>
      <c r="G22" s="256" t="inlineStr">
        <is>
          <t>BSS1024_01/2</t>
        </is>
      </c>
      <c r="H22" s="256" t="inlineStr">
        <is>
          <t>P050142</t>
        </is>
      </c>
      <c r="I22" s="256" t="inlineStr">
        <is>
          <t>Blue Sunset Sherbet</t>
        </is>
      </c>
      <c r="J22" s="256" t="inlineStr">
        <is>
          <t>0</t>
        </is>
      </c>
      <c r="K22" s="256" t="inlineStr">
        <is>
          <t>30.09.2025</t>
        </is>
      </c>
      <c r="L22" s="256" t="inlineStr">
        <is>
          <t>—</t>
        </is>
      </c>
      <c r="M22" s="256" t="inlineStr">
        <is>
          <t>30.09.2025</t>
        </is>
      </c>
      <c r="N22" s="256" t="inlineStr">
        <is>
          <t>iCoA-PP_26-020</t>
        </is>
      </c>
      <c r="O22" s="256" t="inlineStr">
        <is>
          <t>03.06.2026</t>
        </is>
      </c>
      <c r="P22" s="256" t="inlineStr">
        <is>
          <t>30.09.2025</t>
        </is>
      </c>
      <c r="Q22" s="256" t="inlineStr">
        <is>
          <t>—</t>
        </is>
      </c>
      <c r="R22" s="256" t="inlineStr">
        <is>
          <t>—</t>
        </is>
      </c>
      <c r="S22" s="256" t="inlineStr">
        <is>
          <t>—</t>
        </is>
      </c>
      <c r="T22" s="256" t="inlineStr">
        <is>
          <t>—</t>
        </is>
      </c>
      <c r="U22" s="256" t="inlineStr">
        <is>
          <t>Per grade of the potency specification of 15.09.2026 — no Total THC result on file</t>
        </is>
      </c>
      <c r="V22" s="256" t="inlineStr">
        <is>
          <t>—</t>
        </is>
      </c>
      <c r="W22" s="256" t="inlineStr">
        <is>
          <t>—</t>
        </is>
      </c>
      <c r="X22" s="256" t="inlineStr">
        <is>
          <t>—</t>
        </is>
      </c>
      <c r="Y22" s="256" t="inlineStr">
        <is>
          <t>—</t>
        </is>
      </c>
      <c r="Z22" s="256" t="inlineStr">
        <is>
          <t>—</t>
        </is>
      </c>
      <c r="AA22" s="256" t="inlineStr">
        <is>
          <t>—</t>
        </is>
      </c>
      <c r="AB22" s="256" t="inlineStr">
        <is>
          <t>—</t>
        </is>
      </c>
      <c r="AC22" s="256" t="inlineStr">
        <is>
          <t>—</t>
        </is>
      </c>
      <c r="AD22" s="256" t="inlineStr">
        <is>
          <t>—</t>
        </is>
      </c>
      <c r="AE22" s="256" t="inlineStr">
        <is>
          <t>Conforms | Одговара</t>
        </is>
      </c>
      <c r="AF22" s="256" t="inlineStr">
        <is>
          <t>iCoA-PP_26-020</t>
        </is>
      </c>
      <c r="AG22" s="256" t="inlineStr">
        <is>
          <t>03.06.2026</t>
        </is>
      </c>
      <c r="AH22" s="256" t="inlineStr">
        <is>
          <t>Purely Plant GmbH (in-house)</t>
        </is>
      </c>
      <c r="AI22" s="256" t="inlineStr">
        <is>
          <t>Conforms | Одговара</t>
        </is>
      </c>
      <c r="AJ22" s="256" t="inlineStr">
        <is>
          <t>iCoA-PP_26-020</t>
        </is>
      </c>
      <c r="AK22" s="256" t="inlineStr">
        <is>
          <t>03.06.2026</t>
        </is>
      </c>
      <c r="AL22" s="256" t="inlineStr">
        <is>
          <t>Purely Plant GmbH (in-house)</t>
        </is>
      </c>
      <c r="AM22" s="259" t="inlineStr">
        <is>
          <t>to be performed (in house)</t>
        </is>
      </c>
      <c r="AN22" s="256" t="inlineStr">
        <is>
          <t>—</t>
        </is>
      </c>
      <c r="AO22" s="256" t="inlineStr">
        <is>
          <t>—</t>
        </is>
      </c>
      <c r="AP22" s="256" t="inlineStr">
        <is>
          <t>—</t>
        </is>
      </c>
      <c r="AQ22" s="259" t="inlineStr">
        <is>
          <t>not tested</t>
        </is>
      </c>
      <c r="AR22" s="256" t="inlineStr">
        <is>
          <t>—</t>
        </is>
      </c>
      <c r="AS22" s="256" t="inlineStr">
        <is>
          <t>—</t>
        </is>
      </c>
      <c r="AT22" s="256" t="inlineStr">
        <is>
          <t>—</t>
        </is>
      </c>
      <c r="AU22" s="259" t="inlineStr">
        <is>
          <t>not tested</t>
        </is>
      </c>
      <c r="AV22" s="256" t="inlineStr">
        <is>
          <t>—</t>
        </is>
      </c>
      <c r="AW22" s="256" t="inlineStr">
        <is>
          <t>—</t>
        </is>
      </c>
      <c r="AX22" s="256" t="inlineStr">
        <is>
          <t>—</t>
        </is>
      </c>
      <c r="AY22" s="259" t="inlineStr">
        <is>
          <t>not tested</t>
        </is>
      </c>
      <c r="AZ22" s="256" t="inlineStr">
        <is>
          <t>—</t>
        </is>
      </c>
      <c r="BA22" s="256" t="inlineStr">
        <is>
          <t>—</t>
        </is>
      </c>
      <c r="BB22" s="256" t="inlineStr">
        <is>
          <t>—</t>
        </is>
      </c>
      <c r="BC22" s="256" t="inlineStr">
        <is>
          <t>Conforms | Одговара</t>
        </is>
      </c>
      <c r="BD22" s="256" t="inlineStr">
        <is>
          <t>iCoA-PP_26-020</t>
        </is>
      </c>
      <c r="BE22" s="256" t="inlineStr">
        <is>
          <t>03.06.2026</t>
        </is>
      </c>
      <c r="BF22" s="256" t="inlineStr">
        <is>
          <t>Purely Plant GmbH (in-house)</t>
        </is>
      </c>
      <c r="BG22" s="259" t="inlineStr">
        <is>
          <t>not tested</t>
        </is>
      </c>
      <c r="BH22" s="256" t="inlineStr">
        <is>
          <t>—</t>
        </is>
      </c>
      <c r="BI22" s="256" t="inlineStr">
        <is>
          <t>—</t>
        </is>
      </c>
      <c r="BJ22" s="256" t="inlineStr">
        <is>
          <t>—</t>
        </is>
      </c>
      <c r="BK22" s="259" t="inlineStr">
        <is>
          <t>not tested</t>
        </is>
      </c>
      <c r="BL22" s="256" t="inlineStr">
        <is>
          <t>—</t>
        </is>
      </c>
      <c r="BM22" s="256" t="inlineStr">
        <is>
          <t>—</t>
        </is>
      </c>
      <c r="BN22" s="256" t="inlineStr">
        <is>
          <t>—</t>
        </is>
      </c>
      <c r="BO22" s="259" t="inlineStr">
        <is>
          <t>not tested</t>
        </is>
      </c>
      <c r="BP22" s="256" t="inlineStr">
        <is>
          <t>—</t>
        </is>
      </c>
      <c r="BQ22" s="256" t="inlineStr">
        <is>
          <t>—</t>
        </is>
      </c>
      <c r="BR22" s="256" t="inlineStr">
        <is>
          <t>—</t>
        </is>
      </c>
      <c r="BS22" s="259" t="inlineStr">
        <is>
          <t>not tested</t>
        </is>
      </c>
      <c r="BT22" s="256" t="inlineStr">
        <is>
          <t>—</t>
        </is>
      </c>
      <c r="BU22" s="256" t="inlineStr">
        <is>
          <t>—</t>
        </is>
      </c>
      <c r="BV22" s="256" t="inlineStr">
        <is>
          <t>—</t>
        </is>
      </c>
      <c r="BW22" s="259" t="inlineStr">
        <is>
          <t>not tested</t>
        </is>
      </c>
      <c r="BX22" s="256" t="inlineStr">
        <is>
          <t>—</t>
        </is>
      </c>
      <c r="BY22" s="256" t="inlineStr">
        <is>
          <t>—</t>
        </is>
      </c>
      <c r="BZ22" s="256" t="inlineStr">
        <is>
          <t>—</t>
        </is>
      </c>
      <c r="CA22" s="259" t="inlineStr">
        <is>
          <t>not tested</t>
        </is>
      </c>
      <c r="CB22" s="256" t="inlineStr">
        <is>
          <t>—</t>
        </is>
      </c>
      <c r="CC22" s="256" t="inlineStr">
        <is>
          <t>—</t>
        </is>
      </c>
      <c r="CD22" s="256" t="inlineStr">
        <is>
          <t>—</t>
        </is>
      </c>
      <c r="CE22" s="260" t="inlineStr">
        <is>
          <t>upon request — not required for release</t>
        </is>
      </c>
      <c r="CF22" s="256" t="inlineStr">
        <is>
          <t>—</t>
        </is>
      </c>
      <c r="CG22" s="256" t="inlineStr">
        <is>
          <t>—</t>
        </is>
      </c>
      <c r="CH22" s="256" t="inlineStr">
        <is>
          <t>—</t>
        </is>
      </c>
      <c r="CI22" s="260" t="inlineStr">
        <is>
          <t>upon request — not required for release</t>
        </is>
      </c>
      <c r="CJ22" s="256" t="inlineStr">
        <is>
          <t>—</t>
        </is>
      </c>
      <c r="CK22" s="256" t="inlineStr">
        <is>
          <t>—</t>
        </is>
      </c>
      <c r="CL22" s="256" t="inlineStr">
        <is>
          <t>—</t>
        </is>
      </c>
      <c r="CM22" s="259" t="inlineStr">
        <is>
          <t>not tested</t>
        </is>
      </c>
      <c r="CN22" s="256" t="inlineStr">
        <is>
          <t>—</t>
        </is>
      </c>
      <c r="CO22" s="256" t="inlineStr">
        <is>
          <t>—</t>
        </is>
      </c>
      <c r="CP22" s="256" t="inlineStr">
        <is>
          <t>—</t>
        </is>
      </c>
      <c r="CQ22" s="259" t="inlineStr">
        <is>
          <t>not tested</t>
        </is>
      </c>
      <c r="CR22" s="256" t="inlineStr">
        <is>
          <t>—</t>
        </is>
      </c>
      <c r="CS22" s="256" t="inlineStr">
        <is>
          <t>—</t>
        </is>
      </c>
      <c r="CT22" s="256" t="inlineStr">
        <is>
          <t>—</t>
        </is>
      </c>
      <c r="CU22" s="259" t="inlineStr">
        <is>
          <t>not tested</t>
        </is>
      </c>
      <c r="CV22" s="256" t="inlineStr">
        <is>
          <t>—</t>
        </is>
      </c>
      <c r="CW22" s="256" t="inlineStr">
        <is>
          <t>—</t>
        </is>
      </c>
      <c r="CX22" s="256" t="inlineStr">
        <is>
          <t>—</t>
        </is>
      </c>
      <c r="CY22" s="259" t="inlineStr">
        <is>
          <t>not tested</t>
        </is>
      </c>
      <c r="CZ22" s="256" t="inlineStr">
        <is>
          <t>—</t>
        </is>
      </c>
      <c r="DA22" s="256" t="inlineStr">
        <is>
          <t>—</t>
        </is>
      </c>
      <c r="DB22" s="256" t="inlineStr">
        <is>
          <t>—</t>
        </is>
      </c>
      <c r="DC22" s="259" t="inlineStr">
        <is>
          <t>not tested</t>
        </is>
      </c>
      <c r="DD22" s="256" t="inlineStr">
        <is>
          <t>—</t>
        </is>
      </c>
      <c r="DE22" s="256" t="inlineStr">
        <is>
          <t>—</t>
        </is>
      </c>
      <c r="DF22" s="256" t="inlineStr">
        <is>
          <t>—</t>
        </is>
      </c>
      <c r="DG22" s="259" t="inlineStr">
        <is>
          <t>not tested</t>
        </is>
      </c>
      <c r="DH22" s="256" t="inlineStr">
        <is>
          <t>—</t>
        </is>
      </c>
      <c r="DI22" s="256" t="inlineStr">
        <is>
          <t>—</t>
        </is>
      </c>
      <c r="DJ22" s="256" t="inlineStr">
        <is>
          <t>—</t>
        </is>
      </c>
      <c r="DK22" s="259" t="inlineStr">
        <is>
          <t>not tested</t>
        </is>
      </c>
      <c r="DL22" s="256" t="inlineStr">
        <is>
          <t>—</t>
        </is>
      </c>
      <c r="DM22" s="256" t="inlineStr">
        <is>
          <t>—</t>
        </is>
      </c>
      <c r="DN22" s="256" t="inlineStr">
        <is>
          <t>—</t>
        </is>
      </c>
      <c r="DO22" s="259" t="inlineStr">
        <is>
          <t>not tested</t>
        </is>
      </c>
      <c r="DP22" s="256" t="inlineStr">
        <is>
          <t>—</t>
        </is>
      </c>
      <c r="DQ22" s="256" t="inlineStr">
        <is>
          <t>—</t>
        </is>
      </c>
      <c r="DR22" s="256" t="inlineStr">
        <is>
          <t>—</t>
        </is>
      </c>
    </row>
    <row r="23">
      <c r="A23" s="256" t="inlineStr">
        <is>
          <t>CoQ-PP_26-022</t>
        </is>
      </c>
      <c r="B23" s="256" t="inlineStr">
        <is>
          <t>release</t>
        </is>
      </c>
      <c r="C23" s="256" t="inlineStr">
        <is>
          <t>issuable</t>
        </is>
      </c>
      <c r="D23" s="256" t="inlineStr">
        <is>
          <t>06.06.2026</t>
        </is>
      </c>
      <c r="E23" s="256" t="inlineStr">
        <is>
          <t>n/a — release certificate</t>
        </is>
      </c>
      <c r="F23" s="256" t="inlineStr">
        <is>
          <t>CoQ-PP-2025-0015</t>
        </is>
      </c>
      <c r="G23" s="256" t="inlineStr">
        <is>
          <t>CJ052501/01</t>
        </is>
      </c>
      <c r="H23" s="256" t="inlineStr">
        <is>
          <t>P050162</t>
        </is>
      </c>
      <c r="I23" s="256" t="inlineStr">
        <is>
          <t>Cap Junky</t>
        </is>
      </c>
      <c r="J23" s="256" t="inlineStr">
        <is>
          <t>20.08.2025</t>
        </is>
      </c>
      <c r="K23" s="256" t="inlineStr">
        <is>
          <t>30.09.2025 – 01.10.2025</t>
        </is>
      </c>
      <c r="L23" s="256" t="inlineStr">
        <is>
          <t>20.08.2025</t>
        </is>
      </c>
      <c r="M23" s="256" t="inlineStr">
        <is>
          <t>30.09.2025</t>
        </is>
      </c>
      <c r="N23" s="256" t="inlineStr">
        <is>
          <t>iCoA-PP_26-021</t>
        </is>
      </c>
      <c r="O23" s="256" t="inlineStr">
        <is>
          <t>03.06.2026</t>
        </is>
      </c>
      <c r="P23" s="256" t="inlineStr">
        <is>
          <t>30.09.2025</t>
        </is>
      </c>
      <c r="Q23" s="256" t="inlineStr">
        <is>
          <t>—</t>
        </is>
      </c>
      <c r="R23" s="256" t="inlineStr">
        <is>
          <t>20.29</t>
        </is>
      </c>
      <c r="S23" s="256" t="inlineStr">
        <is>
          <t>ППК25280</t>
        </is>
      </c>
      <c r="T23" s="256" t="inlineStr">
        <is>
          <t>III</t>
        </is>
      </c>
      <c r="U23" s="256" t="inlineStr">
        <is>
          <t>18.40 – 21.59 %</t>
        </is>
      </c>
      <c r="V23" s="256" t="inlineStr">
        <is>
          <t>CJ_THC20 : CBD1</t>
        </is>
      </c>
      <c r="W23" s="256" t="inlineStr">
        <is>
          <t>QCSP_001_CJ-III_v.01</t>
        </is>
      </c>
      <c r="X23" s="256" t="inlineStr">
        <is>
          <t>for review — replaces the issued QCSP_001_CJ-III_v.01 (was CJ_THC24 : CBD1, 23.00 – 25.00 %); now CJ_THC20 : CBD1 18.40 – 21.59 %</t>
        </is>
      </c>
      <c r="Y23" s="256" t="inlineStr">
        <is>
          <t>HYBRID</t>
        </is>
      </c>
      <c r="Z23" s="256" t="inlineStr">
        <is>
          <t>THC</t>
        </is>
      </c>
      <c r="AA23" s="256" t="inlineStr">
        <is>
          <t>MACHINE TRIMMED</t>
        </is>
      </c>
      <c r="AB23" s="256" t="inlineStr">
        <is>
          <t>INDICA 60 : SATIVA 40</t>
        </is>
      </c>
      <c r="AC23" s="256" t="inlineStr">
        <is>
          <t>Triplex Alu Bag | Триплекс Aлу Kеса, PET 12 · ALU 7 · PE 80, 300 × 500 mm, net. 400.0 g ±3%</t>
        </is>
      </c>
      <c r="AD23" s="256" t="inlineStr">
        <is>
          <t>17.09.2025</t>
        </is>
      </c>
      <c r="AE23" s="256" t="inlineStr">
        <is>
          <t>Conforms | Одговара</t>
        </is>
      </c>
      <c r="AF23" s="256" t="inlineStr">
        <is>
          <t>iCoA-PP_26-021</t>
        </is>
      </c>
      <c r="AG23" s="256" t="inlineStr">
        <is>
          <t>03.06.2026</t>
        </is>
      </c>
      <c r="AH23" s="256" t="inlineStr">
        <is>
          <t>Purely Plant GmbH (in-house)</t>
        </is>
      </c>
      <c r="AI23" s="256" t="inlineStr">
        <is>
          <t>Conforms | Одговара</t>
        </is>
      </c>
      <c r="AJ23" s="256" t="inlineStr">
        <is>
          <t>iCoA-PP_26-021</t>
        </is>
      </c>
      <c r="AK23" s="256" t="inlineStr">
        <is>
          <t>03.06.2026</t>
        </is>
      </c>
      <c r="AL23" s="256" t="inlineStr">
        <is>
          <t>Purely Plant GmbH (in-house)</t>
        </is>
      </c>
      <c r="AM23" s="256" t="inlineStr">
        <is>
          <t>Conforms | Одговара</t>
        </is>
      </c>
      <c r="AN23" s="256" t="inlineStr">
        <is>
          <t>ППК25280</t>
        </is>
      </c>
      <c r="AO23" s="256" t="inlineStr">
        <is>
          <t>17.09.2025</t>
        </is>
      </c>
      <c r="AP23" s="256" t="inlineStr">
        <is>
          <t>UKIM Faculty of Pharmacy — Center for Natural Products</t>
        </is>
      </c>
      <c r="AQ23" s="256" t="inlineStr">
        <is>
          <t>20.29</t>
        </is>
      </c>
      <c r="AR23" s="256" t="inlineStr">
        <is>
          <t>ППК25280</t>
        </is>
      </c>
      <c r="AS23" s="256" t="inlineStr">
        <is>
          <t>17.09.2025</t>
        </is>
      </c>
      <c r="AT23" s="256" t="inlineStr">
        <is>
          <t>UKIM Faculty of Pharmacy — Center for Natural Products</t>
        </is>
      </c>
      <c r="AU23" s="256" t="inlineStr">
        <is>
          <t>0.07</t>
        </is>
      </c>
      <c r="AV23" s="256" t="inlineStr">
        <is>
          <t>ППК25280</t>
        </is>
      </c>
      <c r="AW23" s="256" t="inlineStr">
        <is>
          <t>17.09.2025</t>
        </is>
      </c>
      <c r="AX23" s="256" t="inlineStr">
        <is>
          <t>UKIM Faculty of Pharmacy — Center for Natural Products</t>
        </is>
      </c>
      <c r="AY23" s="256" t="inlineStr">
        <is>
          <t>0.02 ᴰ</t>
        </is>
      </c>
      <c r="AZ23" s="256" t="inlineStr">
        <is>
          <t>ППК25280</t>
        </is>
      </c>
      <c r="BA23" s="256" t="inlineStr">
        <is>
          <t>17.09.2025</t>
        </is>
      </c>
      <c r="BB23" s="256" t="inlineStr">
        <is>
          <t>CNP</t>
        </is>
      </c>
      <c r="BC23" s="256" t="inlineStr">
        <is>
          <t>Conforms | Одговара</t>
        </is>
      </c>
      <c r="BD23" s="256" t="inlineStr">
        <is>
          <t>iCoA-PP_26-021</t>
        </is>
      </c>
      <c r="BE23" s="256" t="inlineStr">
        <is>
          <t>03.06.2026</t>
        </is>
      </c>
      <c r="BF23" s="256" t="inlineStr">
        <is>
          <t>Purely Plant GmbH (in-house)</t>
        </is>
      </c>
      <c r="BG23" s="256" t="inlineStr">
        <is>
          <t>7.93</t>
        </is>
      </c>
      <c r="BH23" s="256" t="inlineStr">
        <is>
          <t>ППК25280</t>
        </is>
      </c>
      <c r="BI23" s="256" t="inlineStr">
        <is>
          <t>17.09.2025</t>
        </is>
      </c>
      <c r="BJ23" s="256" t="inlineStr">
        <is>
          <t>UKIM Faculty of Pharmacy — Center for Natural Products</t>
        </is>
      </c>
      <c r="BK23" s="256" t="inlineStr">
        <is>
          <t>2.8 × 10⁴</t>
        </is>
      </c>
      <c r="BL23" s="256" t="inlineStr">
        <is>
          <t>949/1687/25</t>
        </is>
      </c>
      <c r="BM23" s="256" t="inlineStr">
        <is>
          <t>17.09.2025</t>
        </is>
      </c>
      <c r="BN23" s="256" t="inlineStr">
        <is>
          <t>IPH — Institute of Public Health</t>
        </is>
      </c>
      <c r="BO23" s="256" t="inlineStr">
        <is>
          <t>1.7 × 10⁴</t>
        </is>
      </c>
      <c r="BP23" s="256" t="inlineStr">
        <is>
          <t>949/1687/25</t>
        </is>
      </c>
      <c r="BQ23" s="256" t="inlineStr">
        <is>
          <t>17.09.2025</t>
        </is>
      </c>
      <c r="BR23" s="256" t="inlineStr">
        <is>
          <t>IPH — Institute of Public Health</t>
        </is>
      </c>
      <c r="BS23" s="256" t="inlineStr">
        <is>
          <t>&lt; 10³ and &gt; 10²</t>
        </is>
      </c>
      <c r="BT23" s="256" t="inlineStr">
        <is>
          <t>949/1687/25</t>
        </is>
      </c>
      <c r="BU23" s="256" t="inlineStr">
        <is>
          <t>17.09.2025</t>
        </is>
      </c>
      <c r="BV23" s="256" t="inlineStr">
        <is>
          <t>IPH — Institute of Public Health</t>
        </is>
      </c>
      <c r="BW23" s="256" t="inlineStr">
        <is>
          <t>Absent | Отсутна</t>
        </is>
      </c>
      <c r="BX23" s="256" t="inlineStr">
        <is>
          <t>949/1687/25</t>
        </is>
      </c>
      <c r="BY23" s="256" t="inlineStr">
        <is>
          <t>17.09.2025</t>
        </is>
      </c>
      <c r="BZ23" s="256" t="inlineStr">
        <is>
          <t>IPH — Institute of Public Health</t>
        </is>
      </c>
      <c r="CA23" s="256" t="inlineStr">
        <is>
          <t>Absent | Отсутна</t>
        </is>
      </c>
      <c r="CB23" s="256" t="inlineStr">
        <is>
          <t>949/1687/25</t>
        </is>
      </c>
      <c r="CC23" s="256" t="inlineStr">
        <is>
          <t>17.09.2025</t>
        </is>
      </c>
      <c r="CD23" s="256" t="inlineStr">
        <is>
          <t>IPH — Institute of Public Health</t>
        </is>
      </c>
      <c r="CE23" s="260" t="inlineStr">
        <is>
          <t>upon request — not required for release</t>
        </is>
      </c>
      <c r="CF23" s="256" t="inlineStr">
        <is>
          <t>—</t>
        </is>
      </c>
      <c r="CG23" s="256" t="inlineStr">
        <is>
          <t>—</t>
        </is>
      </c>
      <c r="CH23" s="256" t="inlineStr">
        <is>
          <t>—</t>
        </is>
      </c>
      <c r="CI23" s="260" t="inlineStr">
        <is>
          <t>upon request — not required for release</t>
        </is>
      </c>
      <c r="CJ23" s="256" t="inlineStr">
        <is>
          <t>—</t>
        </is>
      </c>
      <c r="CK23" s="256" t="inlineStr">
        <is>
          <t>—</t>
        </is>
      </c>
      <c r="CL23" s="256" t="inlineStr">
        <is>
          <t>—</t>
        </is>
      </c>
      <c r="CM23" s="259" t="inlineStr">
        <is>
          <t>not tested</t>
        </is>
      </c>
      <c r="CN23" s="256" t="inlineStr">
        <is>
          <t>—</t>
        </is>
      </c>
      <c r="CO23" s="256" t="inlineStr">
        <is>
          <t>—</t>
        </is>
      </c>
      <c r="CP23" s="256" t="inlineStr">
        <is>
          <t>—</t>
        </is>
      </c>
      <c r="CQ23" s="256" t="inlineStr">
        <is>
          <t>&lt; 2</t>
        </is>
      </c>
      <c r="CR23" s="256" t="inlineStr">
        <is>
          <t>4350/2025</t>
        </is>
      </c>
      <c r="CS23" s="256" t="inlineStr">
        <is>
          <t>15.09.2025</t>
        </is>
      </c>
      <c r="CT23" s="256" t="inlineStr">
        <is>
          <t>IPH — Institute of Public Health</t>
        </is>
      </c>
      <c r="CU23" s="259" t="inlineStr">
        <is>
          <t>not tested</t>
        </is>
      </c>
      <c r="CV23" s="256" t="inlineStr">
        <is>
          <t>—</t>
        </is>
      </c>
      <c r="CW23" s="256" t="inlineStr">
        <is>
          <t>—</t>
        </is>
      </c>
      <c r="CX23" s="256" t="inlineStr">
        <is>
          <t>—</t>
        </is>
      </c>
      <c r="CY23" s="256" t="inlineStr">
        <is>
          <t>0.085</t>
        </is>
      </c>
      <c r="CZ23" s="256" t="inlineStr">
        <is>
          <t>4350/2025</t>
        </is>
      </c>
      <c r="DA23" s="256" t="inlineStr">
        <is>
          <t>15.09.2025</t>
        </is>
      </c>
      <c r="DB23" s="256" t="inlineStr">
        <is>
          <t>IPH — Institute of Public Health</t>
        </is>
      </c>
      <c r="DC23" s="256" t="inlineStr">
        <is>
          <t>ND</t>
        </is>
      </c>
      <c r="DD23" s="256" t="inlineStr">
        <is>
          <t>4350/2025</t>
        </is>
      </c>
      <c r="DE23" s="256" t="inlineStr">
        <is>
          <t>15.09.2025</t>
        </is>
      </c>
      <c r="DF23" s="256" t="inlineStr">
        <is>
          <t>IPH — Institute of Public Health</t>
        </is>
      </c>
      <c r="DG23" s="256" t="inlineStr">
        <is>
          <t>ND</t>
        </is>
      </c>
      <c r="DH23" s="256" t="inlineStr">
        <is>
          <t>4350/2025</t>
        </is>
      </c>
      <c r="DI23" s="256" t="inlineStr">
        <is>
          <t>15.09.2025</t>
        </is>
      </c>
      <c r="DJ23" s="256" t="inlineStr">
        <is>
          <t>IPH — Institute of Public Health</t>
        </is>
      </c>
      <c r="DK23" s="256" t="inlineStr">
        <is>
          <t>ND</t>
        </is>
      </c>
      <c r="DL23" s="256" t="inlineStr">
        <is>
          <t>4350/2025</t>
        </is>
      </c>
      <c r="DM23" s="256" t="inlineStr">
        <is>
          <t>15.09.2025</t>
        </is>
      </c>
      <c r="DN23" s="256" t="inlineStr">
        <is>
          <t>IPH — Institute of Public Health</t>
        </is>
      </c>
      <c r="DO23" s="256" t="inlineStr">
        <is>
          <t>ND</t>
        </is>
      </c>
      <c r="DP23" s="256" t="inlineStr">
        <is>
          <t>4350/2025</t>
        </is>
      </c>
      <c r="DQ23" s="256" t="inlineStr">
        <is>
          <t>15.09.2025</t>
        </is>
      </c>
      <c r="DR23" s="256" t="inlineStr">
        <is>
          <t>IPH — Institute of Public Health</t>
        </is>
      </c>
    </row>
    <row r="24">
      <c r="A24" s="256" t="inlineStr">
        <is>
          <t>CoQ-PP_26-023</t>
        </is>
      </c>
      <c r="B24" s="256" t="inlineStr">
        <is>
          <t>release</t>
        </is>
      </c>
      <c r="C24" s="256" t="inlineStr">
        <is>
          <t>issuable</t>
        </is>
      </c>
      <c r="D24" s="256" t="inlineStr">
        <is>
          <t>06.06.2026</t>
        </is>
      </c>
      <c r="E24" s="256" t="inlineStr">
        <is>
          <t>n/a — release certificate</t>
        </is>
      </c>
      <c r="F24" s="256" t="inlineStr">
        <is>
          <t>(assigned on issue)</t>
        </is>
      </c>
      <c r="G24" s="256" t="inlineStr">
        <is>
          <t>CJ052501-2</t>
        </is>
      </c>
      <c r="H24" s="256" t="inlineStr">
        <is>
          <t>P050172</t>
        </is>
      </c>
      <c r="I24" s="256" t="inlineStr">
        <is>
          <t>Cap Junky</t>
        </is>
      </c>
      <c r="J24" s="256" t="inlineStr">
        <is>
          <t>20.08.2025</t>
        </is>
      </c>
      <c r="K24" s="256" t="inlineStr">
        <is>
          <t>01.10.2025 – 02.10.2025</t>
        </is>
      </c>
      <c r="L24" s="256" t="inlineStr">
        <is>
          <t>—</t>
        </is>
      </c>
      <c r="M24" s="256" t="inlineStr">
        <is>
          <t>—</t>
        </is>
      </c>
      <c r="N24" s="256" t="inlineStr">
        <is>
          <t>iCoA-PP_26-022</t>
        </is>
      </c>
      <c r="O24" s="256" t="inlineStr">
        <is>
          <t>03.06.2026</t>
        </is>
      </c>
      <c r="P24" s="256" t="inlineStr">
        <is>
          <t>01.10.2025</t>
        </is>
      </c>
      <c r="Q24" s="256" t="inlineStr">
        <is>
          <t>—</t>
        </is>
      </c>
      <c r="R24" s="256" t="inlineStr">
        <is>
          <t>14.93</t>
        </is>
      </c>
      <c r="S24" s="256" t="inlineStr">
        <is>
          <t>ППК25281</t>
        </is>
      </c>
      <c r="T24" s="256" t="inlineStr">
        <is>
          <t>V</t>
        </is>
      </c>
      <c r="U24" s="256" t="inlineStr">
        <is>
          <t>12.60 – 15.39 %</t>
        </is>
      </c>
      <c r="V24" s="256" t="inlineStr">
        <is>
          <t>CJ_THC14 : CBD1</t>
        </is>
      </c>
      <c r="W24" s="256" t="inlineStr">
        <is>
          <t>QCSP_001_CJ-V_v.01</t>
        </is>
      </c>
      <c r="X24" s="256" t="inlineStr">
        <is>
          <t>for review — new</t>
        </is>
      </c>
      <c r="Y24" s="256" t="inlineStr">
        <is>
          <t>HYBRID</t>
        </is>
      </c>
      <c r="Z24" s="256" t="inlineStr">
        <is>
          <t>THC</t>
        </is>
      </c>
      <c r="AA24" s="256" t="inlineStr">
        <is>
          <t>MACHINE TRIMMED</t>
        </is>
      </c>
      <c r="AB24" s="256" t="inlineStr">
        <is>
          <t>INDICA 60 : SATIVA 40</t>
        </is>
      </c>
      <c r="AC24" s="256" t="inlineStr">
        <is>
          <t>Triplex Alu Bag | Триплекс Aлу Kеса, PET 12 · ALU 7 · PE 80, 300 × 500 mm, net. 400.0 g ±3%</t>
        </is>
      </c>
      <c r="AD24" s="256" t="inlineStr">
        <is>
          <t>17.09.2025</t>
        </is>
      </c>
      <c r="AE24" s="256" t="inlineStr">
        <is>
          <t>Conforms | Одговара</t>
        </is>
      </c>
      <c r="AF24" s="256" t="inlineStr">
        <is>
          <t>iCoA-PP_26-022</t>
        </is>
      </c>
      <c r="AG24" s="256" t="inlineStr">
        <is>
          <t>03.06.2026</t>
        </is>
      </c>
      <c r="AH24" s="256" t="inlineStr">
        <is>
          <t>Purely Plant GmbH (in-house)</t>
        </is>
      </c>
      <c r="AI24" s="256" t="inlineStr">
        <is>
          <t>Conforms | Одговара</t>
        </is>
      </c>
      <c r="AJ24" s="256" t="inlineStr">
        <is>
          <t>iCoA-PP_26-022</t>
        </is>
      </c>
      <c r="AK24" s="256" t="inlineStr">
        <is>
          <t>03.06.2026</t>
        </is>
      </c>
      <c r="AL24" s="256" t="inlineStr">
        <is>
          <t>Purely Plant GmbH (in-house)</t>
        </is>
      </c>
      <c r="AM24" s="256" t="inlineStr">
        <is>
          <t>Conforms | Одговара</t>
        </is>
      </c>
      <c r="AN24" s="256" t="inlineStr">
        <is>
          <t>ППК25281</t>
        </is>
      </c>
      <c r="AO24" s="256" t="inlineStr">
        <is>
          <t>17.09.2025</t>
        </is>
      </c>
      <c r="AP24" s="256" t="inlineStr">
        <is>
          <t>UKIM Faculty of Pharmacy — Center for Natural Products</t>
        </is>
      </c>
      <c r="AQ24" s="256" t="inlineStr">
        <is>
          <t>14.93</t>
        </is>
      </c>
      <c r="AR24" s="256" t="inlineStr">
        <is>
          <t>ППК25281</t>
        </is>
      </c>
      <c r="AS24" s="256" t="inlineStr">
        <is>
          <t>17.09.2025</t>
        </is>
      </c>
      <c r="AT24" s="256" t="inlineStr">
        <is>
          <t>UKIM Faculty of Pharmacy — Center for Natural Products</t>
        </is>
      </c>
      <c r="AU24" s="256" t="inlineStr">
        <is>
          <t>0.10</t>
        </is>
      </c>
      <c r="AV24" s="256" t="inlineStr">
        <is>
          <t>ППК25281</t>
        </is>
      </c>
      <c r="AW24" s="256" t="inlineStr">
        <is>
          <t>17.09.2025</t>
        </is>
      </c>
      <c r="AX24" s="256" t="inlineStr">
        <is>
          <t>UKIM Faculty of Pharmacy — Center for Natural Products</t>
        </is>
      </c>
      <c r="AY24" s="259" t="inlineStr">
        <is>
          <t>not tested</t>
        </is>
      </c>
      <c r="AZ24" s="256" t="inlineStr">
        <is>
          <t>—</t>
        </is>
      </c>
      <c r="BA24" s="256" t="inlineStr">
        <is>
          <t>—</t>
        </is>
      </c>
      <c r="BB24" s="256" t="inlineStr">
        <is>
          <t>—</t>
        </is>
      </c>
      <c r="BC24" s="256" t="inlineStr">
        <is>
          <t>Conforms | Одговара</t>
        </is>
      </c>
      <c r="BD24" s="256" t="inlineStr">
        <is>
          <t>iCoA-PP_26-022</t>
        </is>
      </c>
      <c r="BE24" s="256" t="inlineStr">
        <is>
          <t>03.06.2026</t>
        </is>
      </c>
      <c r="BF24" s="256" t="inlineStr">
        <is>
          <t>Purely Plant GmbH (in-house)</t>
        </is>
      </c>
      <c r="BG24" s="256" t="inlineStr">
        <is>
          <t>6.63</t>
        </is>
      </c>
      <c r="BH24" s="256" t="inlineStr">
        <is>
          <t>ППК25281</t>
        </is>
      </c>
      <c r="BI24" s="256" t="inlineStr">
        <is>
          <t>17.09.2025</t>
        </is>
      </c>
      <c r="BJ24" s="256" t="inlineStr">
        <is>
          <t>UKIM Faculty of Pharmacy — Center for Natural Products</t>
        </is>
      </c>
      <c r="BK24" s="256" t="inlineStr">
        <is>
          <t>9 × 10³</t>
        </is>
      </c>
      <c r="BL24" s="256" t="inlineStr">
        <is>
          <t>947/1685/25</t>
        </is>
      </c>
      <c r="BM24" s="256" t="inlineStr">
        <is>
          <t>17.09.2025</t>
        </is>
      </c>
      <c r="BN24" s="256" t="inlineStr">
        <is>
          <t>IPH — Institute of Public Health</t>
        </is>
      </c>
      <c r="BO24" s="256" t="inlineStr">
        <is>
          <t>6.3 × 10³</t>
        </is>
      </c>
      <c r="BP24" s="256" t="inlineStr">
        <is>
          <t>947/1685/25</t>
        </is>
      </c>
      <c r="BQ24" s="256" t="inlineStr">
        <is>
          <t>17.09.2025</t>
        </is>
      </c>
      <c r="BR24" s="256" t="inlineStr">
        <is>
          <t>IPH — Institute of Public Health</t>
        </is>
      </c>
      <c r="BS24" s="256" t="inlineStr">
        <is>
          <t>&lt; 10</t>
        </is>
      </c>
      <c r="BT24" s="256" t="inlineStr">
        <is>
          <t>947/1685/25</t>
        </is>
      </c>
      <c r="BU24" s="256" t="inlineStr">
        <is>
          <t>17.09.2025</t>
        </is>
      </c>
      <c r="BV24" s="256" t="inlineStr">
        <is>
          <t>IPH — Institute of Public Health</t>
        </is>
      </c>
      <c r="BW24" s="256" t="inlineStr">
        <is>
          <t>Absent | Отсутна</t>
        </is>
      </c>
      <c r="BX24" s="256" t="inlineStr">
        <is>
          <t>947/1685/25</t>
        </is>
      </c>
      <c r="BY24" s="256" t="inlineStr">
        <is>
          <t>17.09.2025</t>
        </is>
      </c>
      <c r="BZ24" s="256" t="inlineStr">
        <is>
          <t>IPH — Institute of Public Health</t>
        </is>
      </c>
      <c r="CA24" s="256" t="inlineStr">
        <is>
          <t>Absent | Отсутна</t>
        </is>
      </c>
      <c r="CB24" s="256" t="inlineStr">
        <is>
          <t>947/1685/25</t>
        </is>
      </c>
      <c r="CC24" s="256" t="inlineStr">
        <is>
          <t>17.09.2025</t>
        </is>
      </c>
      <c r="CD24" s="256" t="inlineStr">
        <is>
          <t>IPH — Institute of Public Health</t>
        </is>
      </c>
      <c r="CE24" s="260" t="inlineStr">
        <is>
          <t>upon request — not required for release</t>
        </is>
      </c>
      <c r="CF24" s="256" t="inlineStr">
        <is>
          <t>—</t>
        </is>
      </c>
      <c r="CG24" s="256" t="inlineStr">
        <is>
          <t>—</t>
        </is>
      </c>
      <c r="CH24" s="256" t="inlineStr">
        <is>
          <t>—</t>
        </is>
      </c>
      <c r="CI24" s="260" t="inlineStr">
        <is>
          <t>upon request — not required for release</t>
        </is>
      </c>
      <c r="CJ24" s="256" t="inlineStr">
        <is>
          <t>—</t>
        </is>
      </c>
      <c r="CK24" s="256" t="inlineStr">
        <is>
          <t>—</t>
        </is>
      </c>
      <c r="CL24" s="256" t="inlineStr">
        <is>
          <t>—</t>
        </is>
      </c>
      <c r="CM24" s="259" t="inlineStr">
        <is>
          <t>not tested</t>
        </is>
      </c>
      <c r="CN24" s="256" t="inlineStr">
        <is>
          <t>—</t>
        </is>
      </c>
      <c r="CO24" s="256" t="inlineStr">
        <is>
          <t>—</t>
        </is>
      </c>
      <c r="CP24" s="256" t="inlineStr">
        <is>
          <t>—</t>
        </is>
      </c>
      <c r="CQ24" s="256" t="inlineStr">
        <is>
          <t>&lt; 2</t>
        </is>
      </c>
      <c r="CR24" s="256" t="inlineStr">
        <is>
          <t>4349/2025</t>
        </is>
      </c>
      <c r="CS24" s="256" t="inlineStr">
        <is>
          <t>15.09.2025</t>
        </is>
      </c>
      <c r="CT24" s="256" t="inlineStr">
        <is>
          <t>IPH — Institute of Public Health</t>
        </is>
      </c>
      <c r="CU24" s="259" t="inlineStr">
        <is>
          <t>not tested</t>
        </is>
      </c>
      <c r="CV24" s="256" t="inlineStr">
        <is>
          <t>—</t>
        </is>
      </c>
      <c r="CW24" s="256" t="inlineStr">
        <is>
          <t>—</t>
        </is>
      </c>
      <c r="CX24" s="256" t="inlineStr">
        <is>
          <t>—</t>
        </is>
      </c>
      <c r="CY24" s="256" t="inlineStr">
        <is>
          <t>0.02</t>
        </is>
      </c>
      <c r="CZ24" s="256" t="inlineStr">
        <is>
          <t>4349/2025</t>
        </is>
      </c>
      <c r="DA24" s="256" t="inlineStr">
        <is>
          <t>15.09.2025</t>
        </is>
      </c>
      <c r="DB24" s="256" t="inlineStr">
        <is>
          <t>IPH — Institute of Public Health</t>
        </is>
      </c>
      <c r="DC24" s="256" t="inlineStr">
        <is>
          <t>ND</t>
        </is>
      </c>
      <c r="DD24" s="256" t="inlineStr">
        <is>
          <t>4349/2025</t>
        </is>
      </c>
      <c r="DE24" s="256" t="inlineStr">
        <is>
          <t>15.09.2025</t>
        </is>
      </c>
      <c r="DF24" s="256" t="inlineStr">
        <is>
          <t>IPH — Institute of Public Health</t>
        </is>
      </c>
      <c r="DG24" s="256" t="inlineStr">
        <is>
          <t>0.042</t>
        </is>
      </c>
      <c r="DH24" s="256" t="inlineStr">
        <is>
          <t>4349/2025</t>
        </is>
      </c>
      <c r="DI24" s="256" t="inlineStr">
        <is>
          <t>15.09.2025</t>
        </is>
      </c>
      <c r="DJ24" s="256" t="inlineStr">
        <is>
          <t>IPH — Institute of Public Health</t>
        </is>
      </c>
      <c r="DK24" s="256" t="inlineStr">
        <is>
          <t>ND</t>
        </is>
      </c>
      <c r="DL24" s="256" t="inlineStr">
        <is>
          <t>4349/2025</t>
        </is>
      </c>
      <c r="DM24" s="256" t="inlineStr">
        <is>
          <t>15.09.2025</t>
        </is>
      </c>
      <c r="DN24" s="256" t="inlineStr">
        <is>
          <t>IPH — Institute of Public Health</t>
        </is>
      </c>
      <c r="DO24" s="256" t="inlineStr">
        <is>
          <t>ND</t>
        </is>
      </c>
      <c r="DP24" s="256" t="inlineStr">
        <is>
          <t>4349/2025</t>
        </is>
      </c>
      <c r="DQ24" s="256" t="inlineStr">
        <is>
          <t>15.09.2025</t>
        </is>
      </c>
      <c r="DR24" s="256" t="inlineStr">
        <is>
          <t>IPH — Institute of Public Health</t>
        </is>
      </c>
    </row>
    <row r="25">
      <c r="A25" s="256" t="inlineStr">
        <is>
          <t>CoQ-PP_26-024</t>
        </is>
      </c>
      <c r="B25" s="256" t="inlineStr">
        <is>
          <t>release</t>
        </is>
      </c>
      <c r="C25" s="256" t="inlineStr">
        <is>
          <t>issuable</t>
        </is>
      </c>
      <c r="D25" s="256" t="inlineStr">
        <is>
          <t>06.06.2026</t>
        </is>
      </c>
      <c r="E25" s="256" t="inlineStr">
        <is>
          <t>n/a — release certificate</t>
        </is>
      </c>
      <c r="F25" s="256" t="inlineStr">
        <is>
          <t>CoQ-PP-2025-0016</t>
        </is>
      </c>
      <c r="G25" s="256" t="inlineStr">
        <is>
          <t>HPA052501</t>
        </is>
      </c>
      <c r="H25" s="256" t="inlineStr">
        <is>
          <t>P050182</t>
        </is>
      </c>
      <c r="I25" s="256" t="inlineStr">
        <is>
          <t>High Pro Amnesia</t>
        </is>
      </c>
      <c r="J25" s="256" t="inlineStr">
        <is>
          <t>21.08.2025 – 23.08.2025</t>
        </is>
      </c>
      <c r="K25" s="256" t="inlineStr">
        <is>
          <t>03.10.2025 – 09.10.2025</t>
        </is>
      </c>
      <c r="L25" s="256" t="inlineStr">
        <is>
          <t>21.08.2025</t>
        </is>
      </c>
      <c r="M25" s="256" t="inlineStr">
        <is>
          <t>03.10.2025</t>
        </is>
      </c>
      <c r="N25" s="256" t="inlineStr">
        <is>
          <t>iCoA-PP_26-023</t>
        </is>
      </c>
      <c r="O25" s="256" t="inlineStr">
        <is>
          <t>03.06.2026</t>
        </is>
      </c>
      <c r="P25" s="256" t="inlineStr">
        <is>
          <t>03.10.2025</t>
        </is>
      </c>
      <c r="Q25" s="256" t="inlineStr">
        <is>
          <t>—</t>
        </is>
      </c>
      <c r="R25" s="256" t="inlineStr">
        <is>
          <t>20.39</t>
        </is>
      </c>
      <c r="S25" s="256" t="inlineStr">
        <is>
          <t>ППК25278</t>
        </is>
      </c>
      <c r="T25" s="256" t="inlineStr">
        <is>
          <t>I</t>
        </is>
      </c>
      <c r="U25" s="256" t="inlineStr">
        <is>
          <t>19.80 – 24.19 %</t>
        </is>
      </c>
      <c r="V25" s="256" t="inlineStr">
        <is>
          <t>HPA_THC22 : CBD1</t>
        </is>
      </c>
      <c r="W25" s="256" t="inlineStr">
        <is>
          <t>QCSP_001_HPA-I_v.01</t>
        </is>
      </c>
      <c r="X25" s="256" t="inlineStr">
        <is>
          <t>for review — replaces the issued QCSP_001_HPA-I_v.01 (was HPA_THC22 : CBD1, 21.00 – 23.00 %); now HPA_THC22 : CBD1 19.80 – 24.19 %</t>
        </is>
      </c>
      <c r="Y25" s="256" t="inlineStr">
        <is>
          <t>SATIVA</t>
        </is>
      </c>
      <c r="Z25" s="256" t="inlineStr">
        <is>
          <t>THC</t>
        </is>
      </c>
      <c r="AA25" s="256" t="inlineStr">
        <is>
          <t>MACHINE TRIMMED</t>
        </is>
      </c>
      <c r="AB25" s="256" t="inlineStr">
        <is>
          <t>—</t>
        </is>
      </c>
      <c r="AC25" s="256" t="inlineStr">
        <is>
          <t>Triplex Alu Bag | Триплекс Aлу Kеса, PET 12 · ALU 7 · PE 80, 300 × 500 mm, net. 400.0 g ±3%</t>
        </is>
      </c>
      <c r="AD25" s="256" t="inlineStr">
        <is>
          <t>19.09.2025</t>
        </is>
      </c>
      <c r="AE25" s="256" t="inlineStr">
        <is>
          <t>Conforms | Одговара</t>
        </is>
      </c>
      <c r="AF25" s="256" t="inlineStr">
        <is>
          <t>iCoA-PP_26-023</t>
        </is>
      </c>
      <c r="AG25" s="256" t="inlineStr">
        <is>
          <t>03.06.2026</t>
        </is>
      </c>
      <c r="AH25" s="256" t="inlineStr">
        <is>
          <t>Purely Plant GmbH (in-house)</t>
        </is>
      </c>
      <c r="AI25" s="256" t="inlineStr">
        <is>
          <t>Conforms | Одговара</t>
        </is>
      </c>
      <c r="AJ25" s="256" t="inlineStr">
        <is>
          <t>iCoA-PP_26-023</t>
        </is>
      </c>
      <c r="AK25" s="256" t="inlineStr">
        <is>
          <t>03.06.2026</t>
        </is>
      </c>
      <c r="AL25" s="256" t="inlineStr">
        <is>
          <t>Purely Plant GmbH (in-house)</t>
        </is>
      </c>
      <c r="AM25" s="256" t="inlineStr">
        <is>
          <t>Conforms | Одговара</t>
        </is>
      </c>
      <c r="AN25" s="256" t="inlineStr">
        <is>
          <t>ППК25278</t>
        </is>
      </c>
      <c r="AO25" s="256" t="inlineStr">
        <is>
          <t>19.09.2025</t>
        </is>
      </c>
      <c r="AP25" s="256" t="inlineStr">
        <is>
          <t>UKIM Faculty of Pharmacy — Center for Natural Products</t>
        </is>
      </c>
      <c r="AQ25" s="256" t="inlineStr">
        <is>
          <t>20.39</t>
        </is>
      </c>
      <c r="AR25" s="256" t="inlineStr">
        <is>
          <t>ППК25278</t>
        </is>
      </c>
      <c r="AS25" s="256" t="inlineStr">
        <is>
          <t>19.09.2025</t>
        </is>
      </c>
      <c r="AT25" s="256" t="inlineStr">
        <is>
          <t>UKIM Faculty of Pharmacy — Center for Natural Products</t>
        </is>
      </c>
      <c r="AU25" s="256" t="inlineStr">
        <is>
          <t>0.09</t>
        </is>
      </c>
      <c r="AV25" s="256" t="inlineStr">
        <is>
          <t>ППК25278</t>
        </is>
      </c>
      <c r="AW25" s="256" t="inlineStr">
        <is>
          <t>19.09.2025</t>
        </is>
      </c>
      <c r="AX25" s="256" t="inlineStr">
        <is>
          <t>UKIM Faculty of Pharmacy — Center for Natural Products</t>
        </is>
      </c>
      <c r="AY25" s="256" t="inlineStr">
        <is>
          <t>0.02 ᴰ</t>
        </is>
      </c>
      <c r="AZ25" s="256" t="inlineStr">
        <is>
          <t>ППК25278</t>
        </is>
      </c>
      <c r="BA25" s="256" t="inlineStr">
        <is>
          <t>19.09.2025</t>
        </is>
      </c>
      <c r="BB25" s="256" t="inlineStr">
        <is>
          <t>CNP</t>
        </is>
      </c>
      <c r="BC25" s="256" t="inlineStr">
        <is>
          <t>Conforms | Одговара</t>
        </is>
      </c>
      <c r="BD25" s="256" t="inlineStr">
        <is>
          <t>iCoA-PP_26-023</t>
        </is>
      </c>
      <c r="BE25" s="256" t="inlineStr">
        <is>
          <t>03.06.2026</t>
        </is>
      </c>
      <c r="BF25" s="256" t="inlineStr">
        <is>
          <t>Purely Plant GmbH (in-house)</t>
        </is>
      </c>
      <c r="BG25" s="256" t="inlineStr">
        <is>
          <t>7.29</t>
        </is>
      </c>
      <c r="BH25" s="256" t="inlineStr">
        <is>
          <t>ППК25278</t>
        </is>
      </c>
      <c r="BI25" s="256" t="inlineStr">
        <is>
          <t>19.09.2025</t>
        </is>
      </c>
      <c r="BJ25" s="256" t="inlineStr">
        <is>
          <t>UKIM Faculty of Pharmacy — Center for Natural Products</t>
        </is>
      </c>
      <c r="BK25" s="256" t="inlineStr">
        <is>
          <t>2.7 × 10⁴</t>
        </is>
      </c>
      <c r="BL25" s="256" t="inlineStr">
        <is>
          <t>948/1686/25</t>
        </is>
      </c>
      <c r="BM25" s="256" t="inlineStr">
        <is>
          <t>17.09.2025</t>
        </is>
      </c>
      <c r="BN25" s="256" t="inlineStr">
        <is>
          <t>IPH — Institute of Public Health</t>
        </is>
      </c>
      <c r="BO25" s="256" t="inlineStr">
        <is>
          <t>2.6 × 10⁴</t>
        </is>
      </c>
      <c r="BP25" s="256" t="inlineStr">
        <is>
          <t>948/1686/25</t>
        </is>
      </c>
      <c r="BQ25" s="256" t="inlineStr">
        <is>
          <t>17.09.2025</t>
        </is>
      </c>
      <c r="BR25" s="256" t="inlineStr">
        <is>
          <t>IPH — Institute of Public Health</t>
        </is>
      </c>
      <c r="BS25" s="256" t="inlineStr">
        <is>
          <t>&lt; 10</t>
        </is>
      </c>
      <c r="BT25" s="256" t="inlineStr">
        <is>
          <t>948/1686/25</t>
        </is>
      </c>
      <c r="BU25" s="256" t="inlineStr">
        <is>
          <t>17.09.2025</t>
        </is>
      </c>
      <c r="BV25" s="256" t="inlineStr">
        <is>
          <t>IPH — Institute of Public Health</t>
        </is>
      </c>
      <c r="BW25" s="256" t="inlineStr">
        <is>
          <t>Absent | Отсутна</t>
        </is>
      </c>
      <c r="BX25" s="256" t="inlineStr">
        <is>
          <t>948/1686/25</t>
        </is>
      </c>
      <c r="BY25" s="256" t="inlineStr">
        <is>
          <t>17.09.2025</t>
        </is>
      </c>
      <c r="BZ25" s="256" t="inlineStr">
        <is>
          <t>IPH — Institute of Public Health</t>
        </is>
      </c>
      <c r="CA25" s="256" t="inlineStr">
        <is>
          <t>Absent | Отсутна</t>
        </is>
      </c>
      <c r="CB25" s="256" t="inlineStr">
        <is>
          <t>948/1686/25</t>
        </is>
      </c>
      <c r="CC25" s="256" t="inlineStr">
        <is>
          <t>17.09.2025</t>
        </is>
      </c>
      <c r="CD25" s="256" t="inlineStr">
        <is>
          <t>IPH — Institute of Public Health</t>
        </is>
      </c>
      <c r="CE25" s="260" t="inlineStr">
        <is>
          <t>upon request — not required for release</t>
        </is>
      </c>
      <c r="CF25" s="256" t="inlineStr">
        <is>
          <t>—</t>
        </is>
      </c>
      <c r="CG25" s="256" t="inlineStr">
        <is>
          <t>—</t>
        </is>
      </c>
      <c r="CH25" s="256" t="inlineStr">
        <is>
          <t>—</t>
        </is>
      </c>
      <c r="CI25" s="260" t="inlineStr">
        <is>
          <t>upon request — not required for release</t>
        </is>
      </c>
      <c r="CJ25" s="256" t="inlineStr">
        <is>
          <t>—</t>
        </is>
      </c>
      <c r="CK25" s="256" t="inlineStr">
        <is>
          <t>—</t>
        </is>
      </c>
      <c r="CL25" s="256" t="inlineStr">
        <is>
          <t>—</t>
        </is>
      </c>
      <c r="CM25" s="259" t="inlineStr">
        <is>
          <t>not tested</t>
        </is>
      </c>
      <c r="CN25" s="256" t="inlineStr">
        <is>
          <t>—</t>
        </is>
      </c>
      <c r="CO25" s="256" t="inlineStr">
        <is>
          <t>—</t>
        </is>
      </c>
      <c r="CP25" s="256" t="inlineStr">
        <is>
          <t>—</t>
        </is>
      </c>
      <c r="CQ25" s="256" t="inlineStr">
        <is>
          <t>&lt; 2</t>
        </is>
      </c>
      <c r="CR25" s="256" t="inlineStr">
        <is>
          <t>4352/2025</t>
        </is>
      </c>
      <c r="CS25" s="256" t="inlineStr">
        <is>
          <t>15.09.2025</t>
        </is>
      </c>
      <c r="CT25" s="256" t="inlineStr">
        <is>
          <t>IPH — Institute of Public Health</t>
        </is>
      </c>
      <c r="CU25" s="259" t="inlineStr">
        <is>
          <t>not tested</t>
        </is>
      </c>
      <c r="CV25" s="256" t="inlineStr">
        <is>
          <t>—</t>
        </is>
      </c>
      <c r="CW25" s="256" t="inlineStr">
        <is>
          <t>—</t>
        </is>
      </c>
      <c r="CX25" s="256" t="inlineStr">
        <is>
          <t>—</t>
        </is>
      </c>
      <c r="CY25" s="256" t="inlineStr">
        <is>
          <t>0.034</t>
        </is>
      </c>
      <c r="CZ25" s="256" t="inlineStr">
        <is>
          <t>4352/2025</t>
        </is>
      </c>
      <c r="DA25" s="256" t="inlineStr">
        <is>
          <t>15.09.2025</t>
        </is>
      </c>
      <c r="DB25" s="256" t="inlineStr">
        <is>
          <t>IPH — Institute of Public Health</t>
        </is>
      </c>
      <c r="DC25" s="256" t="inlineStr">
        <is>
          <t>ND</t>
        </is>
      </c>
      <c r="DD25" s="256" t="inlineStr">
        <is>
          <t>4352/2025</t>
        </is>
      </c>
      <c r="DE25" s="256" t="inlineStr">
        <is>
          <t>15.09.2025</t>
        </is>
      </c>
      <c r="DF25" s="256" t="inlineStr">
        <is>
          <t>IPH — Institute of Public Health</t>
        </is>
      </c>
      <c r="DG25" s="256" t="inlineStr">
        <is>
          <t>ND</t>
        </is>
      </c>
      <c r="DH25" s="256" t="inlineStr">
        <is>
          <t>4352/2025</t>
        </is>
      </c>
      <c r="DI25" s="256" t="inlineStr">
        <is>
          <t>15.09.2025</t>
        </is>
      </c>
      <c r="DJ25" s="256" t="inlineStr">
        <is>
          <t>IPH — Institute of Public Health</t>
        </is>
      </c>
      <c r="DK25" s="256" t="inlineStr">
        <is>
          <t>ND</t>
        </is>
      </c>
      <c r="DL25" s="256" t="inlineStr">
        <is>
          <t>4352/2025</t>
        </is>
      </c>
      <c r="DM25" s="256" t="inlineStr">
        <is>
          <t>15.09.2025</t>
        </is>
      </c>
      <c r="DN25" s="256" t="inlineStr">
        <is>
          <t>IPH — Institute of Public Health</t>
        </is>
      </c>
      <c r="DO25" s="256" t="inlineStr">
        <is>
          <t>ND</t>
        </is>
      </c>
      <c r="DP25" s="256" t="inlineStr">
        <is>
          <t>4352/2025</t>
        </is>
      </c>
      <c r="DQ25" s="256" t="inlineStr">
        <is>
          <t>15.09.2025</t>
        </is>
      </c>
      <c r="DR25" s="256" t="inlineStr">
        <is>
          <t>IPH — Institute of Public Health</t>
        </is>
      </c>
    </row>
    <row r="26">
      <c r="A26" s="256" t="inlineStr">
        <is>
          <t>CoQ-PP_26-025</t>
        </is>
      </c>
      <c r="B26" s="256" t="inlineStr">
        <is>
          <t>release</t>
        </is>
      </c>
      <c r="C26" s="256" t="inlineStr">
        <is>
          <t>issuable</t>
        </is>
      </c>
      <c r="D26" s="256" t="inlineStr">
        <is>
          <t>06.06.2026</t>
        </is>
      </c>
      <c r="E26" s="256" t="inlineStr">
        <is>
          <t>n/a — release certificate</t>
        </is>
      </c>
      <c r="F26" s="256" t="inlineStr">
        <is>
          <t>CoQ-PP-2025-0017</t>
        </is>
      </c>
      <c r="G26" s="256" t="inlineStr">
        <is>
          <t>BSS052501</t>
        </is>
      </c>
      <c r="H26" s="256" t="inlineStr">
        <is>
          <t>P050192</t>
        </is>
      </c>
      <c r="I26" s="256" t="inlineStr">
        <is>
          <t>Blue Sunset Sherbet</t>
        </is>
      </c>
      <c r="J26" s="256" t="inlineStr">
        <is>
          <t>01.09.2025 – 03.09.2025</t>
        </is>
      </c>
      <c r="K26" s="256" t="inlineStr">
        <is>
          <t>10.10.2025 – 21.10.2025</t>
        </is>
      </c>
      <c r="L26" s="256" t="inlineStr">
        <is>
          <t>01.09.2025</t>
        </is>
      </c>
      <c r="M26" s="256" t="inlineStr">
        <is>
          <t>10.10.2025</t>
        </is>
      </c>
      <c r="N26" s="256" t="inlineStr">
        <is>
          <t>iCoA-PP_26-024</t>
        </is>
      </c>
      <c r="O26" s="256" t="inlineStr">
        <is>
          <t>03.06.2026</t>
        </is>
      </c>
      <c r="P26" s="256" t="inlineStr">
        <is>
          <t>10.10.2025</t>
        </is>
      </c>
      <c r="Q26" s="256" t="inlineStr">
        <is>
          <t>—</t>
        </is>
      </c>
      <c r="R26" s="256" t="inlineStr">
        <is>
          <t>20.39</t>
        </is>
      </c>
      <c r="S26" s="256" t="inlineStr">
        <is>
          <t>iCoA-PP_26-024</t>
        </is>
      </c>
      <c r="T26" s="256" t="inlineStr">
        <is>
          <t>III</t>
        </is>
      </c>
      <c r="U26" s="256" t="inlineStr">
        <is>
          <t>18.11 – 21.88 %</t>
        </is>
      </c>
      <c r="V26" s="256" t="inlineStr">
        <is>
          <t>BSS_THC20 : CBD1</t>
        </is>
      </c>
      <c r="W26" s="256" t="inlineStr">
        <is>
          <t>QCSP_001_BSS-III_v.01</t>
        </is>
      </c>
      <c r="X26" s="256" t="inlineStr">
        <is>
          <t>for review — new</t>
        </is>
      </c>
      <c r="Y26" s="256" t="inlineStr">
        <is>
          <t>INDICA</t>
        </is>
      </c>
      <c r="Z26" s="256" t="inlineStr">
        <is>
          <t>THC</t>
        </is>
      </c>
      <c r="AA26" s="256" t="inlineStr">
        <is>
          <t>MACHINE TRIMMED</t>
        </is>
      </c>
      <c r="AB26" s="256" t="inlineStr">
        <is>
          <t>—</t>
        </is>
      </c>
      <c r="AC26" s="256" t="inlineStr">
        <is>
          <t>Triplex Alu Bag | Триплекс Aлу Kеса, PET 12 · ALU 7 · PE 80, 300 × 500 mm, net. 400.0 g ±3%</t>
        </is>
      </c>
      <c r="AD26" s="256" t="inlineStr">
        <is>
          <t>04.12.2025</t>
        </is>
      </c>
      <c r="AE26" s="256" t="inlineStr">
        <is>
          <t>Conforms | Одговара</t>
        </is>
      </c>
      <c r="AF26" s="256" t="inlineStr">
        <is>
          <t>iCoA-PP_26-024</t>
        </is>
      </c>
      <c r="AG26" s="256" t="inlineStr">
        <is>
          <t>03.06.2026</t>
        </is>
      </c>
      <c r="AH26" s="256" t="inlineStr">
        <is>
          <t>Purely Plant GmbH (in-house)</t>
        </is>
      </c>
      <c r="AI26" s="256" t="inlineStr">
        <is>
          <t>Conforms | Одговара</t>
        </is>
      </c>
      <c r="AJ26" s="256" t="inlineStr">
        <is>
          <t>iCoA-PP_26-024</t>
        </is>
      </c>
      <c r="AK26" s="256" t="inlineStr">
        <is>
          <t>03.06.2026</t>
        </is>
      </c>
      <c r="AL26" s="256" t="inlineStr">
        <is>
          <t>Purely Plant GmbH (in-house)</t>
        </is>
      </c>
      <c r="AM26" s="259" t="inlineStr">
        <is>
          <t>not tested</t>
        </is>
      </c>
      <c r="AN26" s="256" t="inlineStr">
        <is>
          <t>—</t>
        </is>
      </c>
      <c r="AO26" s="256" t="inlineStr">
        <is>
          <t>—</t>
        </is>
      </c>
      <c r="AP26" s="256" t="inlineStr">
        <is>
          <t>—</t>
        </is>
      </c>
      <c r="AQ26" s="256" t="inlineStr">
        <is>
          <t>20.39</t>
        </is>
      </c>
      <c r="AR26" s="256" t="inlineStr">
        <is>
          <t>iCoA-PP_26-024</t>
        </is>
      </c>
      <c r="AS26" s="256" t="inlineStr">
        <is>
          <t>03.06.2026</t>
        </is>
      </c>
      <c r="AT26" s="256" t="inlineStr">
        <is>
          <t>Purely Plant GmbH (in-house)</t>
        </is>
      </c>
      <c r="AU26" s="256" t="inlineStr">
        <is>
          <t>0.11</t>
        </is>
      </c>
      <c r="AV26" s="256" t="inlineStr">
        <is>
          <t>iCoA-PP_26-024</t>
        </is>
      </c>
      <c r="AW26" s="256" t="inlineStr">
        <is>
          <t>03.06.2026</t>
        </is>
      </c>
      <c r="AX26" s="256" t="inlineStr">
        <is>
          <t>Purely Plant GmbH (in-house)</t>
        </is>
      </c>
      <c r="AY26" s="259" t="inlineStr">
        <is>
          <t>not tested</t>
        </is>
      </c>
      <c r="AZ26" s="256" t="inlineStr">
        <is>
          <t>—</t>
        </is>
      </c>
      <c r="BA26" s="256" t="inlineStr">
        <is>
          <t>—</t>
        </is>
      </c>
      <c r="BB26" s="256" t="inlineStr">
        <is>
          <t>—</t>
        </is>
      </c>
      <c r="BC26" s="256" t="inlineStr">
        <is>
          <t>Conforms | Одговара</t>
        </is>
      </c>
      <c r="BD26" s="256" t="inlineStr">
        <is>
          <t>iCoA-PP_26-024</t>
        </is>
      </c>
      <c r="BE26" s="256" t="inlineStr">
        <is>
          <t>03.06.2026</t>
        </is>
      </c>
      <c r="BF26" s="256" t="inlineStr">
        <is>
          <t>Purely Plant GmbH (in-house)</t>
        </is>
      </c>
      <c r="BG26" s="256" t="inlineStr">
        <is>
          <t>8.60</t>
        </is>
      </c>
      <c r="BH26" s="256" t="inlineStr">
        <is>
          <t>iCoA-PP_26-024</t>
        </is>
      </c>
      <c r="BI26" s="256" t="inlineStr">
        <is>
          <t>03.06.2026</t>
        </is>
      </c>
      <c r="BJ26" s="256" t="inlineStr">
        <is>
          <t>Purely Plant GmbH (in-house)</t>
        </is>
      </c>
      <c r="BK26" s="256" t="inlineStr">
        <is>
          <t>200</t>
        </is>
      </c>
      <c r="BL26" s="256" t="inlineStr">
        <is>
          <t>1157/2058/25</t>
        </is>
      </c>
      <c r="BM26" s="256" t="inlineStr">
        <is>
          <t>24.11.2025</t>
        </is>
      </c>
      <c r="BN26" s="256" t="inlineStr">
        <is>
          <t>IPH — Institute of Public Health</t>
        </is>
      </c>
      <c r="BO26" s="256" t="inlineStr">
        <is>
          <t>200</t>
        </is>
      </c>
      <c r="BP26" s="256" t="inlineStr">
        <is>
          <t>1157/2058/25</t>
        </is>
      </c>
      <c r="BQ26" s="256" t="inlineStr">
        <is>
          <t>24.11.2025</t>
        </is>
      </c>
      <c r="BR26" s="256" t="inlineStr">
        <is>
          <t>IPH — Institute of Public Health</t>
        </is>
      </c>
      <c r="BS26" s="256" t="inlineStr">
        <is>
          <t>&lt; 10² and &gt; 10</t>
        </is>
      </c>
      <c r="BT26" s="256" t="inlineStr">
        <is>
          <t>1157/2058/25</t>
        </is>
      </c>
      <c r="BU26" s="256" t="inlineStr">
        <is>
          <t>24.11.2025</t>
        </is>
      </c>
      <c r="BV26" s="256" t="inlineStr">
        <is>
          <t>IPH — Institute of Public Health</t>
        </is>
      </c>
      <c r="BW26" s="256" t="inlineStr">
        <is>
          <t>Absent | Отсутна</t>
        </is>
      </c>
      <c r="BX26" s="256" t="inlineStr">
        <is>
          <t>1157/2058/25</t>
        </is>
      </c>
      <c r="BY26" s="256" t="inlineStr">
        <is>
          <t>24.11.2025</t>
        </is>
      </c>
      <c r="BZ26" s="256" t="inlineStr">
        <is>
          <t>IPH — Institute of Public Health</t>
        </is>
      </c>
      <c r="CA26" s="256" t="inlineStr">
        <is>
          <t>Absent | Отсутна</t>
        </is>
      </c>
      <c r="CB26" s="256" t="inlineStr">
        <is>
          <t>1157/2058/25</t>
        </is>
      </c>
      <c r="CC26" s="256" t="inlineStr">
        <is>
          <t>24.11.2025</t>
        </is>
      </c>
      <c r="CD26" s="256" t="inlineStr">
        <is>
          <t>IPH — Institute of Public Health</t>
        </is>
      </c>
      <c r="CE26" s="260" t="inlineStr">
        <is>
          <t>upon request — not required for release</t>
        </is>
      </c>
      <c r="CF26" s="256" t="inlineStr">
        <is>
          <t>—</t>
        </is>
      </c>
      <c r="CG26" s="256" t="inlineStr">
        <is>
          <t>—</t>
        </is>
      </c>
      <c r="CH26" s="256" t="inlineStr">
        <is>
          <t>—</t>
        </is>
      </c>
      <c r="CI26" s="260" t="inlineStr">
        <is>
          <t>upon request — not required for release</t>
        </is>
      </c>
      <c r="CJ26" s="256" t="inlineStr">
        <is>
          <t>—</t>
        </is>
      </c>
      <c r="CK26" s="256" t="inlineStr">
        <is>
          <t>—</t>
        </is>
      </c>
      <c r="CL26" s="256" t="inlineStr">
        <is>
          <t>—</t>
        </is>
      </c>
      <c r="CM26" s="256" t="inlineStr">
        <is>
          <t>ND</t>
        </is>
      </c>
      <c r="CN26" s="256" t="inlineStr">
        <is>
          <t>276-31-М/25</t>
        </is>
      </c>
      <c r="CO26" s="256" t="inlineStr">
        <is>
          <t>04.12.2025</t>
        </is>
      </c>
      <c r="CP26" s="256" t="inlineStr">
        <is>
          <t>Farmahem</t>
        </is>
      </c>
      <c r="CQ26" s="259" t="inlineStr">
        <is>
          <t>not tested</t>
        </is>
      </c>
      <c r="CR26" s="256" t="inlineStr">
        <is>
          <t>—</t>
        </is>
      </c>
      <c r="CS26" s="256" t="inlineStr">
        <is>
          <t>—</t>
        </is>
      </c>
      <c r="CT26" s="256" t="inlineStr">
        <is>
          <t>—</t>
        </is>
      </c>
      <c r="CU26" s="256" t="inlineStr">
        <is>
          <t>&lt; LOQ</t>
        </is>
      </c>
      <c r="CV26" s="256" t="inlineStr">
        <is>
          <t>276-31-М/25</t>
        </is>
      </c>
      <c r="CW26" s="256" t="inlineStr">
        <is>
          <t>04.12.2025</t>
        </is>
      </c>
      <c r="CX26" s="256" t="inlineStr">
        <is>
          <t>Farmahem</t>
        </is>
      </c>
      <c r="CY26" s="256" t="inlineStr">
        <is>
          <t>0.024</t>
        </is>
      </c>
      <c r="CZ26" s="256" t="inlineStr">
        <is>
          <t>5661/2025</t>
        </is>
      </c>
      <c r="DA26" s="256" t="inlineStr">
        <is>
          <t>01.12.2025</t>
        </is>
      </c>
      <c r="DB26" s="256" t="inlineStr">
        <is>
          <t>IPH — Institute of Public Health</t>
        </is>
      </c>
      <c r="DC26" s="256" t="inlineStr">
        <is>
          <t>0.004</t>
        </is>
      </c>
      <c r="DD26" s="256" t="inlineStr">
        <is>
          <t>5661/2025</t>
        </is>
      </c>
      <c r="DE26" s="256" t="inlineStr">
        <is>
          <t>01.12.2025</t>
        </is>
      </c>
      <c r="DF26" s="256" t="inlineStr">
        <is>
          <t>IPH — Institute of Public Health</t>
        </is>
      </c>
      <c r="DG26" s="256" t="inlineStr">
        <is>
          <t>0.025</t>
        </is>
      </c>
      <c r="DH26" s="256" t="inlineStr">
        <is>
          <t>5661/2025</t>
        </is>
      </c>
      <c r="DI26" s="256" t="inlineStr">
        <is>
          <t>01.12.2025</t>
        </is>
      </c>
      <c r="DJ26" s="256" t="inlineStr">
        <is>
          <t>IPH — Institute of Public Health</t>
        </is>
      </c>
      <c r="DK26" s="256" t="inlineStr">
        <is>
          <t>0.0036</t>
        </is>
      </c>
      <c r="DL26" s="256" t="inlineStr">
        <is>
          <t>5661/2025</t>
        </is>
      </c>
      <c r="DM26" s="256" t="inlineStr">
        <is>
          <t>01.12.2025</t>
        </is>
      </c>
      <c r="DN26" s="256" t="inlineStr">
        <is>
          <t>IPH — Institute of Public Health</t>
        </is>
      </c>
      <c r="DO26" s="256" t="inlineStr">
        <is>
          <t>Not found any pesticide above LOQ (≤LOQ) — COMPLIES with Ph. Eur.</t>
        </is>
      </c>
      <c r="DP26" s="256" t="inlineStr">
        <is>
          <t>10802_2845/2</t>
        </is>
      </c>
      <c r="DQ26" s="256" t="inlineStr">
        <is>
          <t>17.11.2025</t>
        </is>
      </c>
      <c r="DR26" s="256" t="inlineStr">
        <is>
          <t>State Phytosanitary Laboratory</t>
        </is>
      </c>
    </row>
    <row r="27">
      <c r="A27" s="256" t="inlineStr">
        <is>
          <t>CoQ-PP_26-026</t>
        </is>
      </c>
      <c r="B27" s="256" t="inlineStr">
        <is>
          <t>release</t>
        </is>
      </c>
      <c r="C27" s="256" t="inlineStr">
        <is>
          <t>issuable</t>
        </is>
      </c>
      <c r="D27" s="256" t="inlineStr">
        <is>
          <t>06.06.2026</t>
        </is>
      </c>
      <c r="E27" s="256" t="inlineStr">
        <is>
          <t>n/a — release certificate</t>
        </is>
      </c>
      <c r="F27" s="256" t="inlineStr">
        <is>
          <t>(assigned on issue)</t>
        </is>
      </c>
      <c r="G27" s="256" t="inlineStr">
        <is>
          <t>GP062501</t>
        </is>
      </c>
      <c r="H27" s="256" t="inlineStr">
        <is>
          <t>P050202</t>
        </is>
      </c>
      <c r="I27" s="256" t="inlineStr">
        <is>
          <t>Grape Pie</t>
        </is>
      </c>
      <c r="J27" s="256" t="inlineStr">
        <is>
          <t>15.09.2025 – 17.09.2025</t>
        </is>
      </c>
      <c r="K27" s="256" t="inlineStr">
        <is>
          <t>30.10.2025 – 07.11.2025</t>
        </is>
      </c>
      <c r="L27" s="256" t="inlineStr">
        <is>
          <t>—</t>
        </is>
      </c>
      <c r="M27" s="256" t="inlineStr">
        <is>
          <t>—</t>
        </is>
      </c>
      <c r="N27" s="256" t="inlineStr">
        <is>
          <t>iCoA-PP_26-025</t>
        </is>
      </c>
      <c r="O27" s="256" t="inlineStr">
        <is>
          <t>03.06.2026</t>
        </is>
      </c>
      <c r="P27" s="256" t="inlineStr">
        <is>
          <t>30.10.2025</t>
        </is>
      </c>
      <c r="Q27" s="256" t="inlineStr">
        <is>
          <t>—</t>
        </is>
      </c>
      <c r="R27" s="256" t="inlineStr">
        <is>
          <t>24.89</t>
        </is>
      </c>
      <c r="S27" s="256" t="inlineStr">
        <is>
          <t>iCoA-PP_26-025</t>
        </is>
      </c>
      <c r="T27" s="256" t="inlineStr">
        <is>
          <t>II</t>
        </is>
      </c>
      <c r="U27" s="256" t="inlineStr">
        <is>
          <t>22.00 – 25.99 %</t>
        </is>
      </c>
      <c r="V27" s="256" t="inlineStr">
        <is>
          <t>GP_THC24 : CBD1</t>
        </is>
      </c>
      <c r="W27" s="256" t="inlineStr">
        <is>
          <t>QCSP_001_GP-II_v.01</t>
        </is>
      </c>
      <c r="X27" s="256" t="inlineStr">
        <is>
          <t>for review — replaces the issued QCSP_001_GP-II_v.01 (was GP_THC26 : CBD1, 25.40 – 26.60 %); now GP_THC24 : CBD1 22.00 – 25.99 %</t>
        </is>
      </c>
      <c r="Y27" s="256" t="inlineStr">
        <is>
          <t>HYBRID</t>
        </is>
      </c>
      <c r="Z27" s="256" t="inlineStr">
        <is>
          <t>THC</t>
        </is>
      </c>
      <c r="AA27" s="256" t="inlineStr">
        <is>
          <t>MACHINE TRIMMED</t>
        </is>
      </c>
      <c r="AB27" s="256" t="inlineStr">
        <is>
          <t>INDICA-DOMINANT</t>
        </is>
      </c>
      <c r="AC27" s="256" t="inlineStr">
        <is>
          <t>Triplex Alu Bag | Триплекс Aлу Kеса, PET 12 · ALU 7 · PE 80, 300 × 500 mm, net. 400.0 g ±3%</t>
        </is>
      </c>
      <c r="AD27" s="256" t="inlineStr">
        <is>
          <t>28.11.2025</t>
        </is>
      </c>
      <c r="AE27" s="256" t="inlineStr">
        <is>
          <t>Conforms | Одговара</t>
        </is>
      </c>
      <c r="AF27" s="256" t="inlineStr">
        <is>
          <t>iCoA-PP_26-025</t>
        </is>
      </c>
      <c r="AG27" s="256" t="inlineStr">
        <is>
          <t>03.06.2026</t>
        </is>
      </c>
      <c r="AH27" s="256" t="inlineStr">
        <is>
          <t>Purely Plant GmbH (in-house)</t>
        </is>
      </c>
      <c r="AI27" s="256" t="inlineStr">
        <is>
          <t>Conforms | Одговара</t>
        </is>
      </c>
      <c r="AJ27" s="256" t="inlineStr">
        <is>
          <t>iCoA-PP_26-025</t>
        </is>
      </c>
      <c r="AK27" s="256" t="inlineStr">
        <is>
          <t>03.06.2026</t>
        </is>
      </c>
      <c r="AL27" s="256" t="inlineStr">
        <is>
          <t>Purely Plant GmbH (in-house)</t>
        </is>
      </c>
      <c r="AM27" s="259" t="inlineStr">
        <is>
          <t>not tested</t>
        </is>
      </c>
      <c r="AN27" s="256" t="inlineStr">
        <is>
          <t>—</t>
        </is>
      </c>
      <c r="AO27" s="256" t="inlineStr">
        <is>
          <t>—</t>
        </is>
      </c>
      <c r="AP27" s="256" t="inlineStr">
        <is>
          <t>—</t>
        </is>
      </c>
      <c r="AQ27" s="256" t="inlineStr">
        <is>
          <t>24.89</t>
        </is>
      </c>
      <c r="AR27" s="256" t="inlineStr">
        <is>
          <t>iCoA-PP_26-025</t>
        </is>
      </c>
      <c r="AS27" s="256" t="inlineStr">
        <is>
          <t>03.06.2026</t>
        </is>
      </c>
      <c r="AT27" s="256" t="inlineStr">
        <is>
          <t>Purely Plant GmbH (in-house)</t>
        </is>
      </c>
      <c r="AU27" s="256" t="inlineStr">
        <is>
          <t>0.17</t>
        </is>
      </c>
      <c r="AV27" s="256" t="inlineStr">
        <is>
          <t>iCoA-PP_26-025</t>
        </is>
      </c>
      <c r="AW27" s="256" t="inlineStr">
        <is>
          <t>03.06.2026</t>
        </is>
      </c>
      <c r="AX27" s="256" t="inlineStr">
        <is>
          <t>Purely Plant GmbH (in-house)</t>
        </is>
      </c>
      <c r="AY27" s="259" t="inlineStr">
        <is>
          <t>not tested</t>
        </is>
      </c>
      <c r="AZ27" s="256" t="inlineStr">
        <is>
          <t>—</t>
        </is>
      </c>
      <c r="BA27" s="256" t="inlineStr">
        <is>
          <t>—</t>
        </is>
      </c>
      <c r="BB27" s="256" t="inlineStr">
        <is>
          <t>—</t>
        </is>
      </c>
      <c r="BC27" s="256" t="inlineStr">
        <is>
          <t>Conforms | Одговара</t>
        </is>
      </c>
      <c r="BD27" s="256" t="inlineStr">
        <is>
          <t>iCoA-PP_26-025</t>
        </is>
      </c>
      <c r="BE27" s="256" t="inlineStr">
        <is>
          <t>03.06.2026</t>
        </is>
      </c>
      <c r="BF27" s="256" t="inlineStr">
        <is>
          <t>Purely Plant GmbH (in-house)</t>
        </is>
      </c>
      <c r="BG27" s="256" t="inlineStr">
        <is>
          <t>8.19 (avg of 4 weighings 51-1,51-2,52-1,52-2)</t>
        </is>
      </c>
      <c r="BH27" s="256" t="inlineStr">
        <is>
          <t>iCoA-PP_26-025</t>
        </is>
      </c>
      <c r="BI27" s="256" t="inlineStr">
        <is>
          <t>03.06.2026</t>
        </is>
      </c>
      <c r="BJ27" s="256" t="inlineStr">
        <is>
          <t>Purely Plant GmbH (in-house)</t>
        </is>
      </c>
      <c r="BK27" s="256" t="inlineStr">
        <is>
          <t>1.3 × 10⁴</t>
        </is>
      </c>
      <c r="BL27" s="256" t="inlineStr">
        <is>
          <t>1009/1813/25</t>
        </is>
      </c>
      <c r="BM27" s="256" t="inlineStr">
        <is>
          <t>08.10.2025</t>
        </is>
      </c>
      <c r="BN27" s="256" t="inlineStr">
        <is>
          <t>IPH — Institute of Public Health</t>
        </is>
      </c>
      <c r="BO27" s="256" t="inlineStr">
        <is>
          <t>4.2 × 10³</t>
        </is>
      </c>
      <c r="BP27" s="256" t="inlineStr">
        <is>
          <t>1009/1813/25</t>
        </is>
      </c>
      <c r="BQ27" s="256" t="inlineStr">
        <is>
          <t>08.10.2025</t>
        </is>
      </c>
      <c r="BR27" s="256" t="inlineStr">
        <is>
          <t>IPH — Institute of Public Health</t>
        </is>
      </c>
      <c r="BS27" s="256" t="inlineStr">
        <is>
          <t>&lt; 10³ and &gt; 10²</t>
        </is>
      </c>
      <c r="BT27" s="256" t="inlineStr">
        <is>
          <t>1009/1813/25</t>
        </is>
      </c>
      <c r="BU27" s="256" t="inlineStr">
        <is>
          <t>08.10.2025</t>
        </is>
      </c>
      <c r="BV27" s="256" t="inlineStr">
        <is>
          <t>IPH — Institute of Public Health</t>
        </is>
      </c>
      <c r="BW27" s="256" t="inlineStr">
        <is>
          <t>Absent | Отсутна</t>
        </is>
      </c>
      <c r="BX27" s="256" t="inlineStr">
        <is>
          <t>1009/1813/25</t>
        </is>
      </c>
      <c r="BY27" s="256" t="inlineStr">
        <is>
          <t>08.10.2025</t>
        </is>
      </c>
      <c r="BZ27" s="256" t="inlineStr">
        <is>
          <t>IPH — Institute of Public Health</t>
        </is>
      </c>
      <c r="CA27" s="256" t="inlineStr">
        <is>
          <t>Absent | Отсутна</t>
        </is>
      </c>
      <c r="CB27" s="256" t="inlineStr">
        <is>
          <t>1009/1813/25</t>
        </is>
      </c>
      <c r="CC27" s="256" t="inlineStr">
        <is>
          <t>08.10.2025</t>
        </is>
      </c>
      <c r="CD27" s="256" t="inlineStr">
        <is>
          <t>IPH — Institute of Public Health</t>
        </is>
      </c>
      <c r="CE27" s="260" t="inlineStr">
        <is>
          <t>upon request — not required for release</t>
        </is>
      </c>
      <c r="CF27" s="256" t="inlineStr">
        <is>
          <t>—</t>
        </is>
      </c>
      <c r="CG27" s="256" t="inlineStr">
        <is>
          <t>—</t>
        </is>
      </c>
      <c r="CH27" s="256" t="inlineStr">
        <is>
          <t>—</t>
        </is>
      </c>
      <c r="CI27" s="260" t="inlineStr">
        <is>
          <t>upon request — not required for release</t>
        </is>
      </c>
      <c r="CJ27" s="256" t="inlineStr">
        <is>
          <t>—</t>
        </is>
      </c>
      <c r="CK27" s="256" t="inlineStr">
        <is>
          <t>—</t>
        </is>
      </c>
      <c r="CL27" s="256" t="inlineStr">
        <is>
          <t>—</t>
        </is>
      </c>
      <c r="CM27" s="259" t="inlineStr">
        <is>
          <t>not tested</t>
        </is>
      </c>
      <c r="CN27" s="256" t="inlineStr">
        <is>
          <t>—</t>
        </is>
      </c>
      <c r="CO27" s="256" t="inlineStr">
        <is>
          <t>—</t>
        </is>
      </c>
      <c r="CP27" s="256" t="inlineStr">
        <is>
          <t>—</t>
        </is>
      </c>
      <c r="CQ27" s="256" t="inlineStr">
        <is>
          <t>&lt; 2</t>
        </is>
      </c>
      <c r="CR27" s="256" t="inlineStr">
        <is>
          <t>4762/2025</t>
        </is>
      </c>
      <c r="CS27" s="256" t="inlineStr">
        <is>
          <t>08.10.2025</t>
        </is>
      </c>
      <c r="CT27" s="256" t="inlineStr">
        <is>
          <t>IPH — Institute of Public Health</t>
        </is>
      </c>
      <c r="CU27" s="259" t="inlineStr">
        <is>
          <t>not tested</t>
        </is>
      </c>
      <c r="CV27" s="256" t="inlineStr">
        <is>
          <t>—</t>
        </is>
      </c>
      <c r="CW27" s="256" t="inlineStr">
        <is>
          <t>—</t>
        </is>
      </c>
      <c r="CX27" s="256" t="inlineStr">
        <is>
          <t>—</t>
        </is>
      </c>
      <c r="CY27" s="256" t="inlineStr">
        <is>
          <t>0.077</t>
        </is>
      </c>
      <c r="CZ27" s="256" t="inlineStr">
        <is>
          <t>4762/2025</t>
        </is>
      </c>
      <c r="DA27" s="256" t="inlineStr">
        <is>
          <t>08.10.2025</t>
        </is>
      </c>
      <c r="DB27" s="256" t="inlineStr">
        <is>
          <t>IPH — Institute of Public Health</t>
        </is>
      </c>
      <c r="DC27" s="256" t="inlineStr">
        <is>
          <t>0.014</t>
        </is>
      </c>
      <c r="DD27" s="256" t="inlineStr">
        <is>
          <t>4762/2025</t>
        </is>
      </c>
      <c r="DE27" s="256" t="inlineStr">
        <is>
          <t>08.10.2025</t>
        </is>
      </c>
      <c r="DF27" s="256" t="inlineStr">
        <is>
          <t>IPH — Institute of Public Health</t>
        </is>
      </c>
      <c r="DG27" s="256" t="inlineStr">
        <is>
          <t>0.024</t>
        </is>
      </c>
      <c r="DH27" s="256" t="inlineStr">
        <is>
          <t>4762/2025</t>
        </is>
      </c>
      <c r="DI27" s="256" t="inlineStr">
        <is>
          <t>08.10.2025</t>
        </is>
      </c>
      <c r="DJ27" s="256" t="inlineStr">
        <is>
          <t>IPH — Institute of Public Health</t>
        </is>
      </c>
      <c r="DK27" s="256" t="inlineStr">
        <is>
          <t>0.011</t>
        </is>
      </c>
      <c r="DL27" s="256" t="inlineStr">
        <is>
          <t>4762/2025</t>
        </is>
      </c>
      <c r="DM27" s="256" t="inlineStr">
        <is>
          <t>08.10.2025</t>
        </is>
      </c>
      <c r="DN27" s="256" t="inlineStr">
        <is>
          <t>IPH — Institute of Public Health</t>
        </is>
      </c>
      <c r="DO27" s="256" t="inlineStr">
        <is>
          <t>ND</t>
        </is>
      </c>
      <c r="DP27" s="256" t="inlineStr">
        <is>
          <t>4762/2025</t>
        </is>
      </c>
      <c r="DQ27" s="256" t="inlineStr">
        <is>
          <t>08.10.2025</t>
        </is>
      </c>
      <c r="DR27" s="256" t="inlineStr">
        <is>
          <t>IPH — Institute of Public Health</t>
        </is>
      </c>
    </row>
    <row r="28">
      <c r="A28" s="256" t="inlineStr">
        <is>
          <t>CoQ-PP_26-027</t>
        </is>
      </c>
      <c r="B28" s="256" t="inlineStr">
        <is>
          <t>release</t>
        </is>
      </c>
      <c r="C28" s="256" t="inlineStr">
        <is>
          <t>issuable</t>
        </is>
      </c>
      <c r="D28" s="256" t="inlineStr">
        <is>
          <t>06.06.2026</t>
        </is>
      </c>
      <c r="E28" s="256" t="inlineStr">
        <is>
          <t>n/a — release certificate</t>
        </is>
      </c>
      <c r="F28" s="256" t="inlineStr">
        <is>
          <t>(assigned on issue)</t>
        </is>
      </c>
      <c r="G28" s="256" t="inlineStr">
        <is>
          <t>CJ062501-2</t>
        </is>
      </c>
      <c r="H28" s="256" t="inlineStr">
        <is>
          <t>P050212</t>
        </is>
      </c>
      <c r="I28" s="256" t="inlineStr">
        <is>
          <t>Cap Junky</t>
        </is>
      </c>
      <c r="J28" s="256" t="inlineStr">
        <is>
          <t>23.09.2025 – 24.09.2025</t>
        </is>
      </c>
      <c r="K28" s="256" t="inlineStr">
        <is>
          <t>18.11.2025 – 24.11.2025</t>
        </is>
      </c>
      <c r="L28" s="256" t="inlineStr">
        <is>
          <t>—</t>
        </is>
      </c>
      <c r="M28" s="256" t="inlineStr">
        <is>
          <t>—</t>
        </is>
      </c>
      <c r="N28" s="256" t="inlineStr">
        <is>
          <t>iCoA-PP_26-026</t>
        </is>
      </c>
      <c r="O28" s="256" t="inlineStr">
        <is>
          <t>03.06.2026</t>
        </is>
      </c>
      <c r="P28" s="256" t="inlineStr">
        <is>
          <t>18.11.2025</t>
        </is>
      </c>
      <c r="Q28" s="256" t="inlineStr">
        <is>
          <t>—</t>
        </is>
      </c>
      <c r="R28" s="256" t="inlineStr">
        <is>
          <t>16.56</t>
        </is>
      </c>
      <c r="S28" s="256" t="inlineStr">
        <is>
          <t>ППК25322</t>
        </is>
      </c>
      <c r="T28" s="256" t="inlineStr">
        <is>
          <t>IV</t>
        </is>
      </c>
      <c r="U28" s="256" t="inlineStr">
        <is>
          <t>15.60 – 18.39 %</t>
        </is>
      </c>
      <c r="V28" s="256" t="inlineStr">
        <is>
          <t>CJ_THC17 : CBD1</t>
        </is>
      </c>
      <c r="W28" s="256" t="inlineStr">
        <is>
          <t>QCSP_001_CJ-IV_v.01</t>
        </is>
      </c>
      <c r="X28" s="256" t="inlineStr">
        <is>
          <t>for review — replaces the issued QCSP_001_CJ-IV_v.01 (was CJ_THC20 : CBD1, 18.00 – 22.00 %); now CJ_THC17 : CBD1 15.60 – 18.39 %</t>
        </is>
      </c>
      <c r="Y28" s="256" t="inlineStr">
        <is>
          <t>HYBRID</t>
        </is>
      </c>
      <c r="Z28" s="256" t="inlineStr">
        <is>
          <t>THC</t>
        </is>
      </c>
      <c r="AA28" s="256" t="inlineStr">
        <is>
          <t>MACHINE TRIMMED</t>
        </is>
      </c>
      <c r="AB28" s="256" t="inlineStr">
        <is>
          <t>INDICA 60 : SATIVA 40</t>
        </is>
      </c>
      <c r="AC28" s="256" t="inlineStr">
        <is>
          <t>Triplex Alu Bag | Триплекс Aлу Kеса, PET 12 · ALU 7 · PE 80, 300 × 500 mm, net. 400.0 g ±3%</t>
        </is>
      </c>
      <c r="AD28" s="256" t="inlineStr">
        <is>
          <t>24.10.2025</t>
        </is>
      </c>
      <c r="AE28" s="256" t="inlineStr">
        <is>
          <t>Conforms | Одговара</t>
        </is>
      </c>
      <c r="AF28" s="256" t="inlineStr">
        <is>
          <t>iCoA-PP_26-026</t>
        </is>
      </c>
      <c r="AG28" s="256" t="inlineStr">
        <is>
          <t>03.06.2026</t>
        </is>
      </c>
      <c r="AH28" s="256" t="inlineStr">
        <is>
          <t>Purely Plant GmbH (in-house)</t>
        </is>
      </c>
      <c r="AI28" s="256" t="inlineStr">
        <is>
          <t>Conforms | Одговара</t>
        </is>
      </c>
      <c r="AJ28" s="256" t="inlineStr">
        <is>
          <t>iCoA-PP_26-026</t>
        </is>
      </c>
      <c r="AK28" s="256" t="inlineStr">
        <is>
          <t>03.06.2026</t>
        </is>
      </c>
      <c r="AL28" s="256" t="inlineStr">
        <is>
          <t>Purely Plant GmbH (in-house)</t>
        </is>
      </c>
      <c r="AM28" s="256" t="inlineStr">
        <is>
          <t>Conforms | Одговара</t>
        </is>
      </c>
      <c r="AN28" s="256" t="inlineStr">
        <is>
          <t>ППК25322</t>
        </is>
      </c>
      <c r="AO28" s="256" t="inlineStr">
        <is>
          <t>23.10.2025</t>
        </is>
      </c>
      <c r="AP28" s="256" t="inlineStr">
        <is>
          <t>UKIM Faculty of Pharmacy — Center for Natural Products</t>
        </is>
      </c>
      <c r="AQ28" s="256" t="inlineStr">
        <is>
          <t>16.56</t>
        </is>
      </c>
      <c r="AR28" s="256" t="inlineStr">
        <is>
          <t>ППК25322</t>
        </is>
      </c>
      <c r="AS28" s="256" t="inlineStr">
        <is>
          <t>23.10.2025</t>
        </is>
      </c>
      <c r="AT28" s="256" t="inlineStr">
        <is>
          <t>UKIM Faculty of Pharmacy — Center for Natural Products</t>
        </is>
      </c>
      <c r="AU28" s="256" t="inlineStr">
        <is>
          <t>0.14</t>
        </is>
      </c>
      <c r="AV28" s="256" t="inlineStr">
        <is>
          <t>ППК25322</t>
        </is>
      </c>
      <c r="AW28" s="256" t="inlineStr">
        <is>
          <t>23.10.2025</t>
        </is>
      </c>
      <c r="AX28" s="256" t="inlineStr">
        <is>
          <t>UKIM Faculty of Pharmacy — Center for Natural Products</t>
        </is>
      </c>
      <c r="AY28" s="256" t="inlineStr">
        <is>
          <t>&lt; LOQ ᴰ</t>
        </is>
      </c>
      <c r="AZ28" s="256" t="inlineStr">
        <is>
          <t>ППК25322</t>
        </is>
      </c>
      <c r="BA28" s="256" t="inlineStr">
        <is>
          <t>23.10.2025</t>
        </is>
      </c>
      <c r="BB28" s="256" t="inlineStr">
        <is>
          <t>CNP</t>
        </is>
      </c>
      <c r="BC28" s="256" t="inlineStr">
        <is>
          <t>Conforms | Одговара</t>
        </is>
      </c>
      <c r="BD28" s="256" t="inlineStr">
        <is>
          <t>iCoA-PP_26-026</t>
        </is>
      </c>
      <c r="BE28" s="256" t="inlineStr">
        <is>
          <t>03.06.2026</t>
        </is>
      </c>
      <c r="BF28" s="256" t="inlineStr">
        <is>
          <t>Purely Plant GmbH (in-house)</t>
        </is>
      </c>
      <c r="BG28" s="256" t="inlineStr">
        <is>
          <t>6.70</t>
        </is>
      </c>
      <c r="BH28" s="256" t="inlineStr">
        <is>
          <t>ППК25322</t>
        </is>
      </c>
      <c r="BI28" s="256" t="inlineStr">
        <is>
          <t>23.10.2025</t>
        </is>
      </c>
      <c r="BJ28" s="256" t="inlineStr">
        <is>
          <t>UKIM Faculty of Pharmacy — Center for Natural Products</t>
        </is>
      </c>
      <c r="BK28" s="256" t="inlineStr">
        <is>
          <t>2.2 × 10⁴</t>
        </is>
      </c>
      <c r="BL28" s="256" t="inlineStr">
        <is>
          <t>1032/1851/25</t>
        </is>
      </c>
      <c r="BM28" s="256" t="inlineStr">
        <is>
          <t>17.10.2025</t>
        </is>
      </c>
      <c r="BN28" s="256" t="inlineStr">
        <is>
          <t>IPH — Institute of Public Health</t>
        </is>
      </c>
      <c r="BO28" s="256" t="inlineStr">
        <is>
          <t>4.9 × 10⁴</t>
        </is>
      </c>
      <c r="BP28" s="256" t="inlineStr">
        <is>
          <t>1032/1851/25</t>
        </is>
      </c>
      <c r="BQ28" s="256" t="inlineStr">
        <is>
          <t>17.10.2025</t>
        </is>
      </c>
      <c r="BR28" s="256" t="inlineStr">
        <is>
          <t>IPH — Institute of Public Health</t>
        </is>
      </c>
      <c r="BS28" s="256" t="inlineStr">
        <is>
          <t>&lt; 10⁴ and &gt; 10³</t>
        </is>
      </c>
      <c r="BT28" s="256" t="inlineStr">
        <is>
          <t>1032/1851/25</t>
        </is>
      </c>
      <c r="BU28" s="256" t="inlineStr">
        <is>
          <t>17.10.2025</t>
        </is>
      </c>
      <c r="BV28" s="256" t="inlineStr">
        <is>
          <t>IPH — Institute of Public Health</t>
        </is>
      </c>
      <c r="BW28" s="256" t="inlineStr">
        <is>
          <t>Absent | Отсутна</t>
        </is>
      </c>
      <c r="BX28" s="256" t="inlineStr">
        <is>
          <t>1032/1851/25</t>
        </is>
      </c>
      <c r="BY28" s="256" t="inlineStr">
        <is>
          <t>17.10.2025</t>
        </is>
      </c>
      <c r="BZ28" s="256" t="inlineStr">
        <is>
          <t>IPH — Institute of Public Health</t>
        </is>
      </c>
      <c r="CA28" s="256" t="inlineStr">
        <is>
          <t>Absent | Отсутна</t>
        </is>
      </c>
      <c r="CB28" s="256" t="inlineStr">
        <is>
          <t>1032/1851/25</t>
        </is>
      </c>
      <c r="CC28" s="256" t="inlineStr">
        <is>
          <t>17.10.2025</t>
        </is>
      </c>
      <c r="CD28" s="256" t="inlineStr">
        <is>
          <t>IPH — Institute of Public Health</t>
        </is>
      </c>
      <c r="CE28" s="260" t="inlineStr">
        <is>
          <t>upon request — not required for release</t>
        </is>
      </c>
      <c r="CF28" s="256" t="inlineStr">
        <is>
          <t>—</t>
        </is>
      </c>
      <c r="CG28" s="256" t="inlineStr">
        <is>
          <t>—</t>
        </is>
      </c>
      <c r="CH28" s="256" t="inlineStr">
        <is>
          <t>—</t>
        </is>
      </c>
      <c r="CI28" s="260" t="inlineStr">
        <is>
          <t>upon request — not required for release</t>
        </is>
      </c>
      <c r="CJ28" s="256" t="inlineStr">
        <is>
          <t>—</t>
        </is>
      </c>
      <c r="CK28" s="256" t="inlineStr">
        <is>
          <t>—</t>
        </is>
      </c>
      <c r="CL28" s="256" t="inlineStr">
        <is>
          <t>—</t>
        </is>
      </c>
      <c r="CM28" s="259" t="inlineStr">
        <is>
          <t>not tested</t>
        </is>
      </c>
      <c r="CN28" s="256" t="inlineStr">
        <is>
          <t>—</t>
        </is>
      </c>
      <c r="CO28" s="256" t="inlineStr">
        <is>
          <t>—</t>
        </is>
      </c>
      <c r="CP28" s="256" t="inlineStr">
        <is>
          <t>—</t>
        </is>
      </c>
      <c r="CQ28" s="256" t="inlineStr">
        <is>
          <t>&lt; 2</t>
        </is>
      </c>
      <c r="CR28" s="256" t="inlineStr">
        <is>
          <t>4908/2025</t>
        </is>
      </c>
      <c r="CS28" s="256" t="inlineStr">
        <is>
          <t>24.10.2025</t>
        </is>
      </c>
      <c r="CT28" s="256" t="inlineStr">
        <is>
          <t>IPH — Institute of Public Health</t>
        </is>
      </c>
      <c r="CU28" s="259" t="inlineStr">
        <is>
          <t>not tested</t>
        </is>
      </c>
      <c r="CV28" s="256" t="inlineStr">
        <is>
          <t>—</t>
        </is>
      </c>
      <c r="CW28" s="256" t="inlineStr">
        <is>
          <t>—</t>
        </is>
      </c>
      <c r="CX28" s="256" t="inlineStr">
        <is>
          <t>—</t>
        </is>
      </c>
      <c r="CY28" s="256" t="inlineStr">
        <is>
          <t>0.026</t>
        </is>
      </c>
      <c r="CZ28" s="256" t="inlineStr">
        <is>
          <t>4908/2025</t>
        </is>
      </c>
      <c r="DA28" s="256" t="inlineStr">
        <is>
          <t>24.10.2025</t>
        </is>
      </c>
      <c r="DB28" s="256" t="inlineStr">
        <is>
          <t>IPH — Institute of Public Health</t>
        </is>
      </c>
      <c r="DC28" s="256" t="inlineStr">
        <is>
          <t>0.002</t>
        </is>
      </c>
      <c r="DD28" s="256" t="inlineStr">
        <is>
          <t>4908/2025</t>
        </is>
      </c>
      <c r="DE28" s="256" t="inlineStr">
        <is>
          <t>24.10.2025</t>
        </is>
      </c>
      <c r="DF28" s="256" t="inlineStr">
        <is>
          <t>IPH — Institute of Public Health</t>
        </is>
      </c>
      <c r="DG28" s="256" t="inlineStr">
        <is>
          <t>0.011</t>
        </is>
      </c>
      <c r="DH28" s="256" t="inlineStr">
        <is>
          <t>4908/2025</t>
        </is>
      </c>
      <c r="DI28" s="256" t="inlineStr">
        <is>
          <t>24.10.2025</t>
        </is>
      </c>
      <c r="DJ28" s="256" t="inlineStr">
        <is>
          <t>IPH — Institute of Public Health</t>
        </is>
      </c>
      <c r="DK28" s="256" t="inlineStr">
        <is>
          <t>0.012</t>
        </is>
      </c>
      <c r="DL28" s="256" t="inlineStr">
        <is>
          <t>4908/2025</t>
        </is>
      </c>
      <c r="DM28" s="256" t="inlineStr">
        <is>
          <t>24.10.2025</t>
        </is>
      </c>
      <c r="DN28" s="256" t="inlineStr">
        <is>
          <t>IPH — Institute of Public Health</t>
        </is>
      </c>
      <c r="DO28" s="256" t="inlineStr">
        <is>
          <t>ND</t>
        </is>
      </c>
      <c r="DP28" s="256" t="inlineStr">
        <is>
          <t>4908/2025</t>
        </is>
      </c>
      <c r="DQ28" s="256" t="inlineStr">
        <is>
          <t>24.10.2025</t>
        </is>
      </c>
      <c r="DR28" s="256" t="inlineStr">
        <is>
          <t>IPH — Institute of Public Health</t>
        </is>
      </c>
    </row>
    <row r="29">
      <c r="A29" s="256" t="inlineStr">
        <is>
          <t>CoQ-PP_26-028</t>
        </is>
      </c>
      <c r="B29" s="256" t="inlineStr">
        <is>
          <t>release</t>
        </is>
      </c>
      <c r="C29" s="256" t="inlineStr">
        <is>
          <t>issuable</t>
        </is>
      </c>
      <c r="D29" s="256" t="inlineStr">
        <is>
          <t>06.06.2026</t>
        </is>
      </c>
      <c r="E29" s="256" t="inlineStr">
        <is>
          <t>n/a — release certificate</t>
        </is>
      </c>
      <c r="F29" s="256" t="inlineStr">
        <is>
          <t>CoQ-PP-2025-0018</t>
        </is>
      </c>
      <c r="G29" s="256" t="inlineStr">
        <is>
          <t>CJ062501/1</t>
        </is>
      </c>
      <c r="H29" s="256" t="inlineStr">
        <is>
          <t>P050222</t>
        </is>
      </c>
      <c r="I29" s="256" t="inlineStr">
        <is>
          <t>Cap Junky</t>
        </is>
      </c>
      <c r="J29" s="256" t="inlineStr">
        <is>
          <t>23.09.2025</t>
        </is>
      </c>
      <c r="K29" s="256" t="inlineStr">
        <is>
          <t>24.11.2025 – 25.11.2025</t>
        </is>
      </c>
      <c r="L29" s="256" t="inlineStr">
        <is>
          <t>23.09.2025</t>
        </is>
      </c>
      <c r="M29" s="256" t="inlineStr">
        <is>
          <t>24.11.2025</t>
        </is>
      </c>
      <c r="N29" s="256" t="inlineStr">
        <is>
          <t>iCoA-PP_26-027</t>
        </is>
      </c>
      <c r="O29" s="256" t="inlineStr">
        <is>
          <t>03.06.2026</t>
        </is>
      </c>
      <c r="P29" s="256" t="inlineStr">
        <is>
          <t>24.11.2025</t>
        </is>
      </c>
      <c r="Q29" s="256" t="inlineStr">
        <is>
          <t>—</t>
        </is>
      </c>
      <c r="R29" s="256" t="inlineStr">
        <is>
          <t>21.51</t>
        </is>
      </c>
      <c r="S29" s="256" t="inlineStr">
        <is>
          <t>ППК25321</t>
        </is>
      </c>
      <c r="T29" s="256" t="inlineStr">
        <is>
          <t>III</t>
        </is>
      </c>
      <c r="U29" s="256" t="inlineStr">
        <is>
          <t>18.40 – 21.59 %</t>
        </is>
      </c>
      <c r="V29" s="256" t="inlineStr">
        <is>
          <t>CJ_THC20 : CBD1</t>
        </is>
      </c>
      <c r="W29" s="256" t="inlineStr">
        <is>
          <t>QCSP_001_CJ-III_v.01</t>
        </is>
      </c>
      <c r="X29" s="256" t="inlineStr">
        <is>
          <t>for review — replaces the issued QCSP_001_CJ-III_v.01 (was CJ_THC24 : CBD1, 23.00 – 25.00 %); now CJ_THC20 : CBD1 18.40 – 21.59 %</t>
        </is>
      </c>
      <c r="Y29" s="256" t="inlineStr">
        <is>
          <t>HYBRID</t>
        </is>
      </c>
      <c r="Z29" s="256" t="inlineStr">
        <is>
          <t>THC</t>
        </is>
      </c>
      <c r="AA29" s="256" t="inlineStr">
        <is>
          <t>MACHINE TRIMMED</t>
        </is>
      </c>
      <c r="AB29" s="256" t="inlineStr">
        <is>
          <t>INDICA 60 : SATIVA 40</t>
        </is>
      </c>
      <c r="AC29" s="256" t="inlineStr">
        <is>
          <t>Triplex Alu Bag | Триплекс Aлу Kеса, PET 12 · ALU 7 · PE 80, 300 × 500 mm, net. 400.0 g ±3%</t>
        </is>
      </c>
      <c r="AD29" s="256" t="inlineStr">
        <is>
          <t>01.12.2025</t>
        </is>
      </c>
      <c r="AE29" s="256" t="inlineStr">
        <is>
          <t>Conforms | Одговара</t>
        </is>
      </c>
      <c r="AF29" s="256" t="inlineStr">
        <is>
          <t>iCoA-PP_26-027</t>
        </is>
      </c>
      <c r="AG29" s="256" t="inlineStr">
        <is>
          <t>03.06.2026</t>
        </is>
      </c>
      <c r="AH29" s="256" t="inlineStr">
        <is>
          <t>Purely Plant GmbH (in-house)</t>
        </is>
      </c>
      <c r="AI29" s="256" t="inlineStr">
        <is>
          <t>Conforms | Одговара</t>
        </is>
      </c>
      <c r="AJ29" s="256" t="inlineStr">
        <is>
          <t>iCoA-PP_26-027</t>
        </is>
      </c>
      <c r="AK29" s="256" t="inlineStr">
        <is>
          <t>03.06.2026</t>
        </is>
      </c>
      <c r="AL29" s="256" t="inlineStr">
        <is>
          <t>Purely Plant GmbH (in-house)</t>
        </is>
      </c>
      <c r="AM29" s="256" t="inlineStr">
        <is>
          <t>Conforms | Одговара</t>
        </is>
      </c>
      <c r="AN29" s="256" t="inlineStr">
        <is>
          <t>ППК25321</t>
        </is>
      </c>
      <c r="AO29" s="256" t="inlineStr">
        <is>
          <t>23.10.2025</t>
        </is>
      </c>
      <c r="AP29" s="256" t="inlineStr">
        <is>
          <t>UKIM Faculty of Pharmacy — Center for Natural Products</t>
        </is>
      </c>
      <c r="AQ29" s="256" t="inlineStr">
        <is>
          <t>21.51</t>
        </is>
      </c>
      <c r="AR29" s="256" t="inlineStr">
        <is>
          <t>ППК25321</t>
        </is>
      </c>
      <c r="AS29" s="256" t="inlineStr">
        <is>
          <t>23.10.2025</t>
        </is>
      </c>
      <c r="AT29" s="256" t="inlineStr">
        <is>
          <t>UKIM Faculty of Pharmacy — Center for Natural Products</t>
        </is>
      </c>
      <c r="AU29" s="256" t="inlineStr">
        <is>
          <t>0.07</t>
        </is>
      </c>
      <c r="AV29" s="256" t="inlineStr">
        <is>
          <t>ППК25321</t>
        </is>
      </c>
      <c r="AW29" s="256" t="inlineStr">
        <is>
          <t>23.10.2025</t>
        </is>
      </c>
      <c r="AX29" s="256" t="inlineStr">
        <is>
          <t>UKIM Faculty of Pharmacy — Center for Natural Products</t>
        </is>
      </c>
      <c r="AY29" s="256" t="inlineStr">
        <is>
          <t>0.02 ᴰ</t>
        </is>
      </c>
      <c r="AZ29" s="256" t="inlineStr">
        <is>
          <t>ППК25321</t>
        </is>
      </c>
      <c r="BA29" s="256" t="inlineStr">
        <is>
          <t>23.10.2025</t>
        </is>
      </c>
      <c r="BB29" s="256" t="inlineStr">
        <is>
          <t>CNP</t>
        </is>
      </c>
      <c r="BC29" s="256" t="inlineStr">
        <is>
          <t>Conforms | Одговара</t>
        </is>
      </c>
      <c r="BD29" s="256" t="inlineStr">
        <is>
          <t>iCoA-PP_26-027</t>
        </is>
      </c>
      <c r="BE29" s="256" t="inlineStr">
        <is>
          <t>03.06.2026</t>
        </is>
      </c>
      <c r="BF29" s="256" t="inlineStr">
        <is>
          <t>Purely Plant GmbH (in-house)</t>
        </is>
      </c>
      <c r="BG29" s="256" t="inlineStr">
        <is>
          <t>7.77</t>
        </is>
      </c>
      <c r="BH29" s="256" t="inlineStr">
        <is>
          <t>ППК25321</t>
        </is>
      </c>
      <c r="BI29" s="256" t="inlineStr">
        <is>
          <t>23.10.2025</t>
        </is>
      </c>
      <c r="BJ29" s="256" t="inlineStr">
        <is>
          <t>UKIM Faculty of Pharmacy — Center for Natural Products</t>
        </is>
      </c>
      <c r="BK29" s="256" t="inlineStr">
        <is>
          <t>&lt; 10</t>
        </is>
      </c>
      <c r="BL29" s="256" t="inlineStr">
        <is>
          <t>1217/2168/25</t>
        </is>
      </c>
      <c r="BM29" s="256" t="inlineStr">
        <is>
          <t>01.12.2025</t>
        </is>
      </c>
      <c r="BN29" s="256" t="inlineStr">
        <is>
          <t>IPH — Institute of Public Health</t>
        </is>
      </c>
      <c r="BO29" s="256" t="inlineStr">
        <is>
          <t>20</t>
        </is>
      </c>
      <c r="BP29" s="256" t="inlineStr">
        <is>
          <t>1217/2168/25</t>
        </is>
      </c>
      <c r="BQ29" s="256" t="inlineStr">
        <is>
          <t>01.12.2025</t>
        </is>
      </c>
      <c r="BR29" s="256" t="inlineStr">
        <is>
          <t>IPH — Institute of Public Health</t>
        </is>
      </c>
      <c r="BS29" s="256" t="inlineStr">
        <is>
          <t>&lt; 10</t>
        </is>
      </c>
      <c r="BT29" s="256" t="inlineStr">
        <is>
          <t>1217/2168/25</t>
        </is>
      </c>
      <c r="BU29" s="256" t="inlineStr">
        <is>
          <t>01.12.2025</t>
        </is>
      </c>
      <c r="BV29" s="256" t="inlineStr">
        <is>
          <t>IPH — Institute of Public Health</t>
        </is>
      </c>
      <c r="BW29" s="256" t="inlineStr">
        <is>
          <t>Absent | Отсутна</t>
        </is>
      </c>
      <c r="BX29" s="256" t="inlineStr">
        <is>
          <t>1217/2168/25</t>
        </is>
      </c>
      <c r="BY29" s="256" t="inlineStr">
        <is>
          <t>01.12.2025</t>
        </is>
      </c>
      <c r="BZ29" s="256" t="inlineStr">
        <is>
          <t>IPH — Institute of Public Health</t>
        </is>
      </c>
      <c r="CA29" s="256" t="inlineStr">
        <is>
          <t>Absent | Отсутна</t>
        </is>
      </c>
      <c r="CB29" s="256" t="inlineStr">
        <is>
          <t>1217/2168/25</t>
        </is>
      </c>
      <c r="CC29" s="256" t="inlineStr">
        <is>
          <t>01.12.2025</t>
        </is>
      </c>
      <c r="CD29" s="256" t="inlineStr">
        <is>
          <t>IPH — Institute of Public Health</t>
        </is>
      </c>
      <c r="CE29" s="260" t="inlineStr">
        <is>
          <t>upon request — not required for release</t>
        </is>
      </c>
      <c r="CF29" s="256" t="inlineStr">
        <is>
          <t>—</t>
        </is>
      </c>
      <c r="CG29" s="256" t="inlineStr">
        <is>
          <t>—</t>
        </is>
      </c>
      <c r="CH29" s="256" t="inlineStr">
        <is>
          <t>—</t>
        </is>
      </c>
      <c r="CI29" s="260" t="inlineStr">
        <is>
          <t>upon request — not required for release</t>
        </is>
      </c>
      <c r="CJ29" s="256" t="inlineStr">
        <is>
          <t>—</t>
        </is>
      </c>
      <c r="CK29" s="256" t="inlineStr">
        <is>
          <t>—</t>
        </is>
      </c>
      <c r="CL29" s="256" t="inlineStr">
        <is>
          <t>—</t>
        </is>
      </c>
      <c r="CM29" s="259" t="inlineStr">
        <is>
          <t>not tested</t>
        </is>
      </c>
      <c r="CN29" s="256" t="inlineStr">
        <is>
          <t>—</t>
        </is>
      </c>
      <c r="CO29" s="256" t="inlineStr">
        <is>
          <t>—</t>
        </is>
      </c>
      <c r="CP29" s="256" t="inlineStr">
        <is>
          <t>—</t>
        </is>
      </c>
      <c r="CQ29" s="256" t="inlineStr">
        <is>
          <t>&lt; 2</t>
        </is>
      </c>
      <c r="CR29" s="256" t="inlineStr">
        <is>
          <t>4907/2025</t>
        </is>
      </c>
      <c r="CS29" s="256" t="inlineStr">
        <is>
          <t>24.10.2025</t>
        </is>
      </c>
      <c r="CT29" s="256" t="inlineStr">
        <is>
          <t>IPH — Institute of Public Health</t>
        </is>
      </c>
      <c r="CU29" s="259" t="inlineStr">
        <is>
          <t>not tested</t>
        </is>
      </c>
      <c r="CV29" s="256" t="inlineStr">
        <is>
          <t>—</t>
        </is>
      </c>
      <c r="CW29" s="256" t="inlineStr">
        <is>
          <t>—</t>
        </is>
      </c>
      <c r="CX29" s="256" t="inlineStr">
        <is>
          <t>—</t>
        </is>
      </c>
      <c r="CY29" s="256" t="inlineStr">
        <is>
          <t>0.037</t>
        </is>
      </c>
      <c r="CZ29" s="256" t="inlineStr">
        <is>
          <t>4907/2025</t>
        </is>
      </c>
      <c r="DA29" s="256" t="inlineStr">
        <is>
          <t>24.10.2025</t>
        </is>
      </c>
      <c r="DB29" s="256" t="inlineStr">
        <is>
          <t>IPH — Institute of Public Health</t>
        </is>
      </c>
      <c r="DC29" s="256" t="inlineStr">
        <is>
          <t>0.002</t>
        </is>
      </c>
      <c r="DD29" s="256" t="inlineStr">
        <is>
          <t>4907/2025</t>
        </is>
      </c>
      <c r="DE29" s="256" t="inlineStr">
        <is>
          <t>24.10.2025</t>
        </is>
      </c>
      <c r="DF29" s="256" t="inlineStr">
        <is>
          <t>IPH — Institute of Public Health</t>
        </is>
      </c>
      <c r="DG29" s="256" t="inlineStr">
        <is>
          <t>0.027</t>
        </is>
      </c>
      <c r="DH29" s="256" t="inlineStr">
        <is>
          <t>4907/2025</t>
        </is>
      </c>
      <c r="DI29" s="256" t="inlineStr">
        <is>
          <t>24.10.2025</t>
        </is>
      </c>
      <c r="DJ29" s="256" t="inlineStr">
        <is>
          <t>IPH — Institute of Public Health</t>
        </is>
      </c>
      <c r="DK29" s="256" t="inlineStr">
        <is>
          <t>0.017</t>
        </is>
      </c>
      <c r="DL29" s="256" t="inlineStr">
        <is>
          <t>4907/2025</t>
        </is>
      </c>
      <c r="DM29" s="256" t="inlineStr">
        <is>
          <t>24.10.2025</t>
        </is>
      </c>
      <c r="DN29" s="256" t="inlineStr">
        <is>
          <t>IPH — Institute of Public Health</t>
        </is>
      </c>
      <c r="DO29" s="256" t="inlineStr">
        <is>
          <t>ND</t>
        </is>
      </c>
      <c r="DP29" s="256" t="inlineStr">
        <is>
          <t>4907/2025</t>
        </is>
      </c>
      <c r="DQ29" s="256" t="inlineStr">
        <is>
          <t>24.10.2025</t>
        </is>
      </c>
      <c r="DR29" s="256" t="inlineStr">
        <is>
          <t>IPH — Institute of Public Health</t>
        </is>
      </c>
    </row>
    <row r="30">
      <c r="A30" s="256" t="inlineStr">
        <is>
          <t>CoQ-PP_26-029</t>
        </is>
      </c>
      <c r="B30" s="256" t="inlineStr">
        <is>
          <t>release</t>
        </is>
      </c>
      <c r="C30" s="256" t="inlineStr">
        <is>
          <t>issuable</t>
        </is>
      </c>
      <c r="D30" s="256" t="inlineStr">
        <is>
          <t>06.06.2026</t>
        </is>
      </c>
      <c r="E30" s="256" t="inlineStr">
        <is>
          <t>n/a — release certificate</t>
        </is>
      </c>
      <c r="F30" s="256" t="inlineStr">
        <is>
          <t>(assigned on issue)</t>
        </is>
      </c>
      <c r="G30" s="256" t="inlineStr">
        <is>
          <t>CJ072501</t>
        </is>
      </c>
      <c r="H30" s="256" t="inlineStr">
        <is>
          <t>P050252</t>
        </is>
      </c>
      <c r="I30" s="256" t="inlineStr">
        <is>
          <t>Cap Junky</t>
        </is>
      </c>
      <c r="J30" s="256" t="inlineStr">
        <is>
          <t>27.10.2025</t>
        </is>
      </c>
      <c r="K30" s="256" t="inlineStr">
        <is>
          <t>27.11.2025 – 28.11.2025</t>
        </is>
      </c>
      <c r="L30" s="256" t="inlineStr">
        <is>
          <t>—</t>
        </is>
      </c>
      <c r="M30" s="256" t="inlineStr">
        <is>
          <t>—</t>
        </is>
      </c>
      <c r="N30" s="256" t="inlineStr">
        <is>
          <t>iCoA-PP_26-028</t>
        </is>
      </c>
      <c r="O30" s="256" t="inlineStr">
        <is>
          <t>03.06.2026</t>
        </is>
      </c>
      <c r="P30" s="256" t="inlineStr">
        <is>
          <t>27.11.2025</t>
        </is>
      </c>
      <c r="Q30" s="256" t="inlineStr">
        <is>
          <t>—</t>
        </is>
      </c>
      <c r="R30" s="256" t="inlineStr">
        <is>
          <t>23.70</t>
        </is>
      </c>
      <c r="S30" s="256" t="inlineStr">
        <is>
          <t>ППК25367</t>
        </is>
      </c>
      <c r="T30" s="256" t="inlineStr">
        <is>
          <t>II</t>
        </is>
      </c>
      <c r="U30" s="256" t="inlineStr">
        <is>
          <t>21.60 – 26.39 %</t>
        </is>
      </c>
      <c r="V30" s="256" t="inlineStr">
        <is>
          <t>CJ_THC24 : CBD1</t>
        </is>
      </c>
      <c r="W30" s="256" t="inlineStr">
        <is>
          <t>QCSP_001_CJ-II_v.01</t>
        </is>
      </c>
      <c r="X30" s="256" t="inlineStr">
        <is>
          <t>for review — replaces the issued QCSP_001_CJ-II_v.01 (was CJ_THC26 : CBD1, 25.01 – 26.99 %); now CJ_THC24 : CBD1 21.60 – 26.39 %</t>
        </is>
      </c>
      <c r="Y30" s="256" t="inlineStr">
        <is>
          <t>HYBRID</t>
        </is>
      </c>
      <c r="Z30" s="256" t="inlineStr">
        <is>
          <t>THC</t>
        </is>
      </c>
      <c r="AA30" s="256" t="inlineStr">
        <is>
          <t>MACHINE TRIMMED</t>
        </is>
      </c>
      <c r="AB30" s="256" t="inlineStr">
        <is>
          <t>INDICA 60 : SATIVA 40</t>
        </is>
      </c>
      <c r="AC30" s="256" t="inlineStr">
        <is>
          <t>Triplex Alu Bag | Триплекс Aлу Kеса, PET 12 · ALU 7 · PE 80, 300 × 500 mm, net. 400.0 g ±3%</t>
        </is>
      </c>
      <c r="AD30" s="256" t="inlineStr">
        <is>
          <t>02.12.2025</t>
        </is>
      </c>
      <c r="AE30" s="256" t="inlineStr">
        <is>
          <t>Conforms | Одговара</t>
        </is>
      </c>
      <c r="AF30" s="256" t="inlineStr">
        <is>
          <t>iCoA-PP_26-028</t>
        </is>
      </c>
      <c r="AG30" s="256" t="inlineStr">
        <is>
          <t>03.06.2026</t>
        </is>
      </c>
      <c r="AH30" s="256" t="inlineStr">
        <is>
          <t>Purely Plant GmbH (in-house)</t>
        </is>
      </c>
      <c r="AI30" s="256" t="inlineStr">
        <is>
          <t>Conforms | Одговара</t>
        </is>
      </c>
      <c r="AJ30" s="256" t="inlineStr">
        <is>
          <t>iCoA-PP_26-028</t>
        </is>
      </c>
      <c r="AK30" s="256" t="inlineStr">
        <is>
          <t>03.06.2026</t>
        </is>
      </c>
      <c r="AL30" s="256" t="inlineStr">
        <is>
          <t>Purely Plant GmbH (in-house)</t>
        </is>
      </c>
      <c r="AM30" s="256" t="inlineStr">
        <is>
          <t>Conforms | Одговара</t>
        </is>
      </c>
      <c r="AN30" s="256" t="inlineStr">
        <is>
          <t>ППК25367</t>
        </is>
      </c>
      <c r="AO30" s="256" t="inlineStr">
        <is>
          <t>28.11.2025</t>
        </is>
      </c>
      <c r="AP30" s="256" t="inlineStr">
        <is>
          <t>UKIM Faculty of Pharmacy — Center for Natural Products</t>
        </is>
      </c>
      <c r="AQ30" s="256" t="inlineStr">
        <is>
          <t>23.70</t>
        </is>
      </c>
      <c r="AR30" s="256" t="inlineStr">
        <is>
          <t>ППК25367</t>
        </is>
      </c>
      <c r="AS30" s="256" t="inlineStr">
        <is>
          <t>28.11.2025</t>
        </is>
      </c>
      <c r="AT30" s="256" t="inlineStr">
        <is>
          <t>UKIM Faculty of Pharmacy — Center for Natural Products</t>
        </is>
      </c>
      <c r="AU30" s="256" t="inlineStr">
        <is>
          <t>0.09</t>
        </is>
      </c>
      <c r="AV30" s="256" t="inlineStr">
        <is>
          <t>ППК25367</t>
        </is>
      </c>
      <c r="AW30" s="256" t="inlineStr">
        <is>
          <t>28.11.2025</t>
        </is>
      </c>
      <c r="AX30" s="256" t="inlineStr">
        <is>
          <t>UKIM Faculty of Pharmacy — Center for Natural Products</t>
        </is>
      </c>
      <c r="AY30" s="259" t="inlineStr">
        <is>
          <t>not tested</t>
        </is>
      </c>
      <c r="AZ30" s="256" t="inlineStr">
        <is>
          <t>—</t>
        </is>
      </c>
      <c r="BA30" s="256" t="inlineStr">
        <is>
          <t>—</t>
        </is>
      </c>
      <c r="BB30" s="256" t="inlineStr">
        <is>
          <t>—</t>
        </is>
      </c>
      <c r="BC30" s="256" t="inlineStr">
        <is>
          <t>Conforms | Одговара</t>
        </is>
      </c>
      <c r="BD30" s="256" t="inlineStr">
        <is>
          <t>iCoA-PP_26-028</t>
        </is>
      </c>
      <c r="BE30" s="256" t="inlineStr">
        <is>
          <t>03.06.2026</t>
        </is>
      </c>
      <c r="BF30" s="256" t="inlineStr">
        <is>
          <t>Purely Plant GmbH (in-house)</t>
        </is>
      </c>
      <c r="BG30" s="256" t="inlineStr">
        <is>
          <t>8.22</t>
        </is>
      </c>
      <c r="BH30" s="256" t="inlineStr">
        <is>
          <t>ППК25367</t>
        </is>
      </c>
      <c r="BI30" s="256" t="inlineStr">
        <is>
          <t>28.11.2025</t>
        </is>
      </c>
      <c r="BJ30" s="256" t="inlineStr">
        <is>
          <t>UKIM Faculty of Pharmacy — Center for Natural Products</t>
        </is>
      </c>
      <c r="BK30" s="256" t="inlineStr">
        <is>
          <t>4.5 × 10³</t>
        </is>
      </c>
      <c r="BL30" s="256" t="inlineStr">
        <is>
          <t>1218/2169/25</t>
        </is>
      </c>
      <c r="BM30" s="256" t="inlineStr">
        <is>
          <t>01.12.2025</t>
        </is>
      </c>
      <c r="BN30" s="256" t="inlineStr">
        <is>
          <t>IPH — Institute of Public Health</t>
        </is>
      </c>
      <c r="BO30" s="256" t="inlineStr">
        <is>
          <t>3.5 × 10³</t>
        </is>
      </c>
      <c r="BP30" s="256" t="inlineStr">
        <is>
          <t>1218/2169/25</t>
        </is>
      </c>
      <c r="BQ30" s="256" t="inlineStr">
        <is>
          <t>01.12.2025</t>
        </is>
      </c>
      <c r="BR30" s="256" t="inlineStr">
        <is>
          <t>IPH — Institute of Public Health</t>
        </is>
      </c>
      <c r="BS30" s="256" t="inlineStr">
        <is>
          <t>&lt; 10</t>
        </is>
      </c>
      <c r="BT30" s="256" t="inlineStr">
        <is>
          <t>1218/2169/25</t>
        </is>
      </c>
      <c r="BU30" s="256" t="inlineStr">
        <is>
          <t>01.12.2025</t>
        </is>
      </c>
      <c r="BV30" s="256" t="inlineStr">
        <is>
          <t>IPH — Institute of Public Health</t>
        </is>
      </c>
      <c r="BW30" s="256" t="inlineStr">
        <is>
          <t>Absent | Отсутна</t>
        </is>
      </c>
      <c r="BX30" s="256" t="inlineStr">
        <is>
          <t>1218/2169/25</t>
        </is>
      </c>
      <c r="BY30" s="256" t="inlineStr">
        <is>
          <t>01.12.2025</t>
        </is>
      </c>
      <c r="BZ30" s="256" t="inlineStr">
        <is>
          <t>IPH — Institute of Public Health</t>
        </is>
      </c>
      <c r="CA30" s="256" t="inlineStr">
        <is>
          <t>Absent | Отсутна</t>
        </is>
      </c>
      <c r="CB30" s="256" t="inlineStr">
        <is>
          <t>1218/2169/25</t>
        </is>
      </c>
      <c r="CC30" s="256" t="inlineStr">
        <is>
          <t>01.12.2025</t>
        </is>
      </c>
      <c r="CD30" s="256" t="inlineStr">
        <is>
          <t>IPH — Institute of Public Health</t>
        </is>
      </c>
      <c r="CE30" s="260" t="inlineStr">
        <is>
          <t>upon request — not required for release</t>
        </is>
      </c>
      <c r="CF30" s="256" t="inlineStr">
        <is>
          <t>—</t>
        </is>
      </c>
      <c r="CG30" s="256" t="inlineStr">
        <is>
          <t>—</t>
        </is>
      </c>
      <c r="CH30" s="256" t="inlineStr">
        <is>
          <t>—</t>
        </is>
      </c>
      <c r="CI30" s="260" t="inlineStr">
        <is>
          <t>upon request — not required for release</t>
        </is>
      </c>
      <c r="CJ30" s="256" t="inlineStr">
        <is>
          <t>—</t>
        </is>
      </c>
      <c r="CK30" s="256" t="inlineStr">
        <is>
          <t>—</t>
        </is>
      </c>
      <c r="CL30" s="256" t="inlineStr">
        <is>
          <t>—</t>
        </is>
      </c>
      <c r="CM30" s="259" t="inlineStr">
        <is>
          <t>not tested</t>
        </is>
      </c>
      <c r="CN30" s="256" t="inlineStr">
        <is>
          <t>—</t>
        </is>
      </c>
      <c r="CO30" s="256" t="inlineStr">
        <is>
          <t>—</t>
        </is>
      </c>
      <c r="CP30" s="256" t="inlineStr">
        <is>
          <t>—</t>
        </is>
      </c>
      <c r="CQ30" s="256" t="inlineStr">
        <is>
          <t>&lt; 2</t>
        </is>
      </c>
      <c r="CR30" s="256" t="inlineStr">
        <is>
          <t>5697/2025</t>
        </is>
      </c>
      <c r="CS30" s="256" t="inlineStr">
        <is>
          <t>02.12.2025</t>
        </is>
      </c>
      <c r="CT30" s="256" t="inlineStr">
        <is>
          <t>IPH — Institute of Public Health</t>
        </is>
      </c>
      <c r="CU30" s="259" t="inlineStr">
        <is>
          <t>not tested</t>
        </is>
      </c>
      <c r="CV30" s="256" t="inlineStr">
        <is>
          <t>—</t>
        </is>
      </c>
      <c r="CW30" s="256" t="inlineStr">
        <is>
          <t>—</t>
        </is>
      </c>
      <c r="CX30" s="256" t="inlineStr">
        <is>
          <t>—</t>
        </is>
      </c>
      <c r="CY30" s="256" t="inlineStr">
        <is>
          <t>0.013</t>
        </is>
      </c>
      <c r="CZ30" s="256" t="inlineStr">
        <is>
          <t>5697/2025</t>
        </is>
      </c>
      <c r="DA30" s="256" t="inlineStr">
        <is>
          <t>02.12.2025</t>
        </is>
      </c>
      <c r="DB30" s="256" t="inlineStr">
        <is>
          <t>IPH — Institute of Public Health</t>
        </is>
      </c>
      <c r="DC30" s="256" t="inlineStr">
        <is>
          <t>0.004</t>
        </is>
      </c>
      <c r="DD30" s="256" t="inlineStr">
        <is>
          <t>5697/2025</t>
        </is>
      </c>
      <c r="DE30" s="256" t="inlineStr">
        <is>
          <t>02.12.2025</t>
        </is>
      </c>
      <c r="DF30" s="256" t="inlineStr">
        <is>
          <t>IPH — Institute of Public Health</t>
        </is>
      </c>
      <c r="DG30" s="256" t="inlineStr">
        <is>
          <t>0.011</t>
        </is>
      </c>
      <c r="DH30" s="256" t="inlineStr">
        <is>
          <t>5697/2025</t>
        </is>
      </c>
      <c r="DI30" s="256" t="inlineStr">
        <is>
          <t>02.12.2025</t>
        </is>
      </c>
      <c r="DJ30" s="256" t="inlineStr">
        <is>
          <t>IPH — Institute of Public Health</t>
        </is>
      </c>
      <c r="DK30" s="256" t="inlineStr">
        <is>
          <t>0.002</t>
        </is>
      </c>
      <c r="DL30" s="256" t="inlineStr">
        <is>
          <t>5697/2025</t>
        </is>
      </c>
      <c r="DM30" s="256" t="inlineStr">
        <is>
          <t>02.12.2025</t>
        </is>
      </c>
      <c r="DN30" s="256" t="inlineStr">
        <is>
          <t>IPH — Institute of Public Health</t>
        </is>
      </c>
      <c r="DO30" s="256" t="inlineStr">
        <is>
          <t>ND</t>
        </is>
      </c>
      <c r="DP30" s="256" t="inlineStr">
        <is>
          <t>5697/2025</t>
        </is>
      </c>
      <c r="DQ30" s="256" t="inlineStr">
        <is>
          <t>02.12.2025</t>
        </is>
      </c>
      <c r="DR30" s="256" t="inlineStr">
        <is>
          <t>IPH — Institute of Public Health</t>
        </is>
      </c>
    </row>
    <row r="31">
      <c r="A31" s="256" t="inlineStr">
        <is>
          <t>CoQ-PP_26-030</t>
        </is>
      </c>
      <c r="B31" s="256" t="inlineStr">
        <is>
          <t>release</t>
        </is>
      </c>
      <c r="C31" s="256" t="inlineStr">
        <is>
          <t>issuable</t>
        </is>
      </c>
      <c r="D31" s="256" t="inlineStr">
        <is>
          <t>06.06.2026</t>
        </is>
      </c>
      <c r="E31" s="256" t="inlineStr">
        <is>
          <t>n/a — release certificate</t>
        </is>
      </c>
      <c r="F31" s="256" t="inlineStr">
        <is>
          <t>(assigned on issue)</t>
        </is>
      </c>
      <c r="G31" s="256" t="inlineStr">
        <is>
          <t>WC072501</t>
        </is>
      </c>
      <c r="H31" s="256" t="inlineStr">
        <is>
          <t>P050262</t>
        </is>
      </c>
      <c r="I31" s="256" t="inlineStr">
        <is>
          <t>Wedding Crusher</t>
        </is>
      </c>
      <c r="J31" s="256" t="inlineStr">
        <is>
          <t>27.10.2025 – 28.10.2025</t>
        </is>
      </c>
      <c r="K31" s="256" t="inlineStr">
        <is>
          <t>01.12.2025</t>
        </is>
      </c>
      <c r="L31" s="256" t="inlineStr">
        <is>
          <t>—</t>
        </is>
      </c>
      <c r="M31" s="256" t="inlineStr">
        <is>
          <t>—</t>
        </is>
      </c>
      <c r="N31" s="256" t="inlineStr">
        <is>
          <t>iCoA-PP_26-029</t>
        </is>
      </c>
      <c r="O31" s="256" t="inlineStr">
        <is>
          <t>03.06.2026</t>
        </is>
      </c>
      <c r="P31" s="256" t="inlineStr">
        <is>
          <t>01.12.2025</t>
        </is>
      </c>
      <c r="Q31" s="256" t="inlineStr">
        <is>
          <t>—</t>
        </is>
      </c>
      <c r="R31" s="256" t="inlineStr">
        <is>
          <t>22.11</t>
        </is>
      </c>
      <c r="S31" s="256" t="inlineStr">
        <is>
          <t>ППК25369</t>
        </is>
      </c>
      <c r="T31" s="256" t="inlineStr">
        <is>
          <t>II</t>
        </is>
      </c>
      <c r="U31" s="256" t="inlineStr">
        <is>
          <t>20.60 – 23.39 %</t>
        </is>
      </c>
      <c r="V31" s="256" t="inlineStr">
        <is>
          <t>WC_THC22 : CBD1</t>
        </is>
      </c>
      <c r="W31" s="256" t="inlineStr">
        <is>
          <t>QCSP_001_WC-II_v.01</t>
        </is>
      </c>
      <c r="X31" s="256" t="inlineStr">
        <is>
          <t>for review — replaces the issued QCSP_001_WC-II_v.01 (was WC_THC22.5:CBD1, 22.50% ± 2.50%); now WC_THC22 : CBD1 20.60 – 23.39 %</t>
        </is>
      </c>
      <c r="Y31" s="256" t="inlineStr">
        <is>
          <t>HYBRID</t>
        </is>
      </c>
      <c r="Z31" s="256" t="inlineStr">
        <is>
          <t>THC</t>
        </is>
      </c>
      <c r="AA31" s="256" t="inlineStr">
        <is>
          <t>MACHINE TRIMMED</t>
        </is>
      </c>
      <c r="AB31" s="256" t="inlineStr">
        <is>
          <t>TO BE DETERMINED</t>
        </is>
      </c>
      <c r="AC31" s="256" t="inlineStr">
        <is>
          <t>Triplex Alu Bag | Триплекс Aлу Kеса, PET 12 · ALU 7 · PE 80, 300 × 500 mm, net. 400.0 g ±3%</t>
        </is>
      </c>
      <c r="AD31" s="256" t="inlineStr">
        <is>
          <t>02.12.2025</t>
        </is>
      </c>
      <c r="AE31" s="256" t="inlineStr">
        <is>
          <t>Conforms | Одговара</t>
        </is>
      </c>
      <c r="AF31" s="256" t="inlineStr">
        <is>
          <t>iCoA-PP_26-029</t>
        </is>
      </c>
      <c r="AG31" s="256" t="inlineStr">
        <is>
          <t>03.06.2026</t>
        </is>
      </c>
      <c r="AH31" s="256" t="inlineStr">
        <is>
          <t>Purely Plant GmbH (in-house)</t>
        </is>
      </c>
      <c r="AI31" s="256" t="inlineStr">
        <is>
          <t>Conforms | Одговара</t>
        </is>
      </c>
      <c r="AJ31" s="256" t="inlineStr">
        <is>
          <t>iCoA-PP_26-029</t>
        </is>
      </c>
      <c r="AK31" s="256" t="inlineStr">
        <is>
          <t>03.06.2026</t>
        </is>
      </c>
      <c r="AL31" s="256" t="inlineStr">
        <is>
          <t>Purely Plant GmbH (in-house)</t>
        </is>
      </c>
      <c r="AM31" s="256" t="inlineStr">
        <is>
          <t>Conforms | Одговара</t>
        </is>
      </c>
      <c r="AN31" s="256" t="inlineStr">
        <is>
          <t>ППК25369</t>
        </is>
      </c>
      <c r="AO31" s="256" t="inlineStr">
        <is>
          <t>28.11.2025</t>
        </is>
      </c>
      <c r="AP31" s="256" t="inlineStr">
        <is>
          <t>UKIM Faculty of Pharmacy — Center for Natural Products</t>
        </is>
      </c>
      <c r="AQ31" s="256" t="inlineStr">
        <is>
          <t>22.11</t>
        </is>
      </c>
      <c r="AR31" s="256" t="inlineStr">
        <is>
          <t>ППК25369</t>
        </is>
      </c>
      <c r="AS31" s="256" t="inlineStr">
        <is>
          <t>28.11.2025</t>
        </is>
      </c>
      <c r="AT31" s="256" t="inlineStr">
        <is>
          <t>UKIM Faculty of Pharmacy — Center for Natural Products</t>
        </is>
      </c>
      <c r="AU31" s="256" t="inlineStr">
        <is>
          <t>0.06</t>
        </is>
      </c>
      <c r="AV31" s="256" t="inlineStr">
        <is>
          <t>ППК25369</t>
        </is>
      </c>
      <c r="AW31" s="256" t="inlineStr">
        <is>
          <t>28.11.2025</t>
        </is>
      </c>
      <c r="AX31" s="256" t="inlineStr">
        <is>
          <t>UKIM Faculty of Pharmacy — Center for Natural Products</t>
        </is>
      </c>
      <c r="AY31" s="259" t="inlineStr">
        <is>
          <t>not tested</t>
        </is>
      </c>
      <c r="AZ31" s="256" t="inlineStr">
        <is>
          <t>—</t>
        </is>
      </c>
      <c r="BA31" s="256" t="inlineStr">
        <is>
          <t>—</t>
        </is>
      </c>
      <c r="BB31" s="256" t="inlineStr">
        <is>
          <t>—</t>
        </is>
      </c>
      <c r="BC31" s="256" t="inlineStr">
        <is>
          <t>Conforms | Одговара</t>
        </is>
      </c>
      <c r="BD31" s="256" t="inlineStr">
        <is>
          <t>iCoA-PP_26-029</t>
        </is>
      </c>
      <c r="BE31" s="256" t="inlineStr">
        <is>
          <t>03.06.2026</t>
        </is>
      </c>
      <c r="BF31" s="256" t="inlineStr">
        <is>
          <t>Purely Plant GmbH (in-house)</t>
        </is>
      </c>
      <c r="BG31" s="256" t="inlineStr">
        <is>
          <t>8.94</t>
        </is>
      </c>
      <c r="BH31" s="256" t="inlineStr">
        <is>
          <t>ППК25369</t>
        </is>
      </c>
      <c r="BI31" s="256" t="inlineStr">
        <is>
          <t>28.11.2025</t>
        </is>
      </c>
      <c r="BJ31" s="256" t="inlineStr">
        <is>
          <t>UKIM Faculty of Pharmacy — Center for Natural Products</t>
        </is>
      </c>
      <c r="BK31" s="256" t="inlineStr">
        <is>
          <t>100</t>
        </is>
      </c>
      <c r="BL31" s="256" t="inlineStr">
        <is>
          <t>1221/2172/25</t>
        </is>
      </c>
      <c r="BM31" s="256" t="inlineStr">
        <is>
          <t>01.12.2025</t>
        </is>
      </c>
      <c r="BN31" s="256" t="inlineStr">
        <is>
          <t>IPH — Institute of Public Health</t>
        </is>
      </c>
      <c r="BO31" s="256" t="inlineStr">
        <is>
          <t>90</t>
        </is>
      </c>
      <c r="BP31" s="256" t="inlineStr">
        <is>
          <t>1221/2172/25</t>
        </is>
      </c>
      <c r="BQ31" s="256" t="inlineStr">
        <is>
          <t>01.12.2025</t>
        </is>
      </c>
      <c r="BR31" s="256" t="inlineStr">
        <is>
          <t>IPH — Institute of Public Health</t>
        </is>
      </c>
      <c r="BS31" s="256" t="inlineStr">
        <is>
          <t>&lt; 10</t>
        </is>
      </c>
      <c r="BT31" s="256" t="inlineStr">
        <is>
          <t>1221/2172/25</t>
        </is>
      </c>
      <c r="BU31" s="256" t="inlineStr">
        <is>
          <t>01.12.2025</t>
        </is>
      </c>
      <c r="BV31" s="256" t="inlineStr">
        <is>
          <t>IPH — Institute of Public Health</t>
        </is>
      </c>
      <c r="BW31" s="256" t="inlineStr">
        <is>
          <t>Absent | Отсутна</t>
        </is>
      </c>
      <c r="BX31" s="256" t="inlineStr">
        <is>
          <t>1221/2172/25</t>
        </is>
      </c>
      <c r="BY31" s="256" t="inlineStr">
        <is>
          <t>01.12.2025</t>
        </is>
      </c>
      <c r="BZ31" s="256" t="inlineStr">
        <is>
          <t>IPH — Institute of Public Health</t>
        </is>
      </c>
      <c r="CA31" s="256" t="inlineStr">
        <is>
          <t>Absent | Отсутна</t>
        </is>
      </c>
      <c r="CB31" s="256" t="inlineStr">
        <is>
          <t>1221/2172/25</t>
        </is>
      </c>
      <c r="CC31" s="256" t="inlineStr">
        <is>
          <t>01.12.2025</t>
        </is>
      </c>
      <c r="CD31" s="256" t="inlineStr">
        <is>
          <t>IPH — Institute of Public Health</t>
        </is>
      </c>
      <c r="CE31" s="260" t="inlineStr">
        <is>
          <t>upon request — not required for release</t>
        </is>
      </c>
      <c r="CF31" s="256" t="inlineStr">
        <is>
          <t>—</t>
        </is>
      </c>
      <c r="CG31" s="256" t="inlineStr">
        <is>
          <t>—</t>
        </is>
      </c>
      <c r="CH31" s="256" t="inlineStr">
        <is>
          <t>—</t>
        </is>
      </c>
      <c r="CI31" s="260" t="inlineStr">
        <is>
          <t>upon request — not required for release</t>
        </is>
      </c>
      <c r="CJ31" s="256" t="inlineStr">
        <is>
          <t>—</t>
        </is>
      </c>
      <c r="CK31" s="256" t="inlineStr">
        <is>
          <t>—</t>
        </is>
      </c>
      <c r="CL31" s="256" t="inlineStr">
        <is>
          <t>—</t>
        </is>
      </c>
      <c r="CM31" s="259" t="inlineStr">
        <is>
          <t>not tested</t>
        </is>
      </c>
      <c r="CN31" s="256" t="inlineStr">
        <is>
          <t>—</t>
        </is>
      </c>
      <c r="CO31" s="256" t="inlineStr">
        <is>
          <t>—</t>
        </is>
      </c>
      <c r="CP31" s="256" t="inlineStr">
        <is>
          <t>—</t>
        </is>
      </c>
      <c r="CQ31" s="256" t="inlineStr">
        <is>
          <t>&lt; 2</t>
        </is>
      </c>
      <c r="CR31" s="256" t="inlineStr">
        <is>
          <t>5699/2025</t>
        </is>
      </c>
      <c r="CS31" s="256" t="inlineStr">
        <is>
          <t>02.12.2025</t>
        </is>
      </c>
      <c r="CT31" s="256" t="inlineStr">
        <is>
          <t>IPH — Institute of Public Health</t>
        </is>
      </c>
      <c r="CU31" s="259" t="inlineStr">
        <is>
          <t>not tested</t>
        </is>
      </c>
      <c r="CV31" s="256" t="inlineStr">
        <is>
          <t>—</t>
        </is>
      </c>
      <c r="CW31" s="256" t="inlineStr">
        <is>
          <t>—</t>
        </is>
      </c>
      <c r="CX31" s="256" t="inlineStr">
        <is>
          <t>—</t>
        </is>
      </c>
      <c r="CY31" s="256" t="inlineStr">
        <is>
          <t>0.023</t>
        </is>
      </c>
      <c r="CZ31" s="256" t="inlineStr">
        <is>
          <t>5699/2025</t>
        </is>
      </c>
      <c r="DA31" s="256" t="inlineStr">
        <is>
          <t>02.12.2025</t>
        </is>
      </c>
      <c r="DB31" s="256" t="inlineStr">
        <is>
          <t>IPH — Institute of Public Health</t>
        </is>
      </c>
      <c r="DC31" s="256" t="inlineStr">
        <is>
          <t>0.005</t>
        </is>
      </c>
      <c r="DD31" s="256" t="inlineStr">
        <is>
          <t>5699/2025</t>
        </is>
      </c>
      <c r="DE31" s="256" t="inlineStr">
        <is>
          <t>02.12.2025</t>
        </is>
      </c>
      <c r="DF31" s="256" t="inlineStr">
        <is>
          <t>IPH — Institute of Public Health</t>
        </is>
      </c>
      <c r="DG31" s="256" t="inlineStr">
        <is>
          <t>0.006</t>
        </is>
      </c>
      <c r="DH31" s="256" t="inlineStr">
        <is>
          <t>5699/2025</t>
        </is>
      </c>
      <c r="DI31" s="256" t="inlineStr">
        <is>
          <t>02.12.2025</t>
        </is>
      </c>
      <c r="DJ31" s="256" t="inlineStr">
        <is>
          <t>IPH — Institute of Public Health</t>
        </is>
      </c>
      <c r="DK31" s="256" t="inlineStr">
        <is>
          <t>0.01</t>
        </is>
      </c>
      <c r="DL31" s="256" t="inlineStr">
        <is>
          <t>5699/2025</t>
        </is>
      </c>
      <c r="DM31" s="256" t="inlineStr">
        <is>
          <t>02.12.2025</t>
        </is>
      </c>
      <c r="DN31" s="256" t="inlineStr">
        <is>
          <t>IPH — Institute of Public Health</t>
        </is>
      </c>
      <c r="DO31" s="256" t="inlineStr">
        <is>
          <t>ND</t>
        </is>
      </c>
      <c r="DP31" s="256" t="inlineStr">
        <is>
          <t>5699/2025</t>
        </is>
      </c>
      <c r="DQ31" s="256" t="inlineStr">
        <is>
          <t>02.12.2025</t>
        </is>
      </c>
      <c r="DR31" s="256" t="inlineStr">
        <is>
          <t>IPH — Institute of Public Health</t>
        </is>
      </c>
    </row>
    <row r="32">
      <c r="A32" s="256" t="inlineStr">
        <is>
          <t>CoQ-PP_26-031</t>
        </is>
      </c>
      <c r="B32" s="256" t="inlineStr">
        <is>
          <t>release</t>
        </is>
      </c>
      <c r="C32" s="256" t="inlineStr">
        <is>
          <t>issuable</t>
        </is>
      </c>
      <c r="D32" s="256" t="inlineStr">
        <is>
          <t>06.06.2026</t>
        </is>
      </c>
      <c r="E32" s="256" t="inlineStr">
        <is>
          <t>n/a — release certificate</t>
        </is>
      </c>
      <c r="F32" s="256" t="inlineStr">
        <is>
          <t>(assigned on issue)</t>
        </is>
      </c>
      <c r="G32" s="256" t="inlineStr">
        <is>
          <t>PM072501</t>
        </is>
      </c>
      <c r="H32" s="256" t="inlineStr">
        <is>
          <t>P050272</t>
        </is>
      </c>
      <c r="I32" s="256" t="inlineStr">
        <is>
          <t>Permanent Marker</t>
        </is>
      </c>
      <c r="J32" s="256" t="inlineStr">
        <is>
          <t>27.10.2025</t>
        </is>
      </c>
      <c r="K32" s="256" t="inlineStr">
        <is>
          <t>02.12.2025 – 03.12.2025</t>
        </is>
      </c>
      <c r="L32" s="256" t="inlineStr">
        <is>
          <t>—</t>
        </is>
      </c>
      <c r="M32" s="256" t="inlineStr">
        <is>
          <t>—</t>
        </is>
      </c>
      <c r="N32" s="256" t="inlineStr">
        <is>
          <t>iCoA-PP_26-030</t>
        </is>
      </c>
      <c r="O32" s="256" t="inlineStr">
        <is>
          <t>03.06.2026</t>
        </is>
      </c>
      <c r="P32" s="256" t="inlineStr">
        <is>
          <t>02.12.2025</t>
        </is>
      </c>
      <c r="Q32" s="256" t="inlineStr">
        <is>
          <t>—</t>
        </is>
      </c>
      <c r="R32" s="256" t="inlineStr">
        <is>
          <t>10.01</t>
        </is>
      </c>
      <c r="S32" s="256" t="inlineStr">
        <is>
          <t>ППК25368</t>
        </is>
      </c>
      <c r="T32" s="256" t="inlineStr">
        <is>
          <t>III</t>
        </is>
      </c>
      <c r="U32" s="256" t="inlineStr">
        <is>
          <t>9.00 – 10.99 %</t>
        </is>
      </c>
      <c r="V32" s="256" t="inlineStr">
        <is>
          <t>PM_THC10 : CBD1</t>
        </is>
      </c>
      <c r="W32" s="256" t="inlineStr">
        <is>
          <t>QCSP_001_PM-III_v.01</t>
        </is>
      </c>
      <c r="X32" s="256" t="inlineStr">
        <is>
          <t>for review — replaces the issued QCSP_001_PM-III_v.01 (was PM_THC16.5:CBD1, 16.50% ± 2.50%); now PM_THC10 : CBD1 9.00 – 10.99 %</t>
        </is>
      </c>
      <c r="Y32" s="256" t="inlineStr">
        <is>
          <t>HYBRID</t>
        </is>
      </c>
      <c r="Z32" s="256" t="inlineStr">
        <is>
          <t>THC</t>
        </is>
      </c>
      <c r="AA32" s="256" t="inlineStr">
        <is>
          <t>MACHINE TRIMMED</t>
        </is>
      </c>
      <c r="AB32" s="256" t="inlineStr">
        <is>
          <t>INDICA-DOMINANT</t>
        </is>
      </c>
      <c r="AC32" s="256" t="inlineStr">
        <is>
          <t>Triplex Alu Bag | Триплекс Aлу Kеса, PET 12 · ALU 7 · PE 80, 300 × 500 mm, net. 400.0 g ±3%</t>
        </is>
      </c>
      <c r="AD32" s="256" t="inlineStr">
        <is>
          <t>02.12.2025</t>
        </is>
      </c>
      <c r="AE32" s="256" t="inlineStr">
        <is>
          <t>Conforms | Одговара</t>
        </is>
      </c>
      <c r="AF32" s="256" t="inlineStr">
        <is>
          <t>iCoA-PP_26-030</t>
        </is>
      </c>
      <c r="AG32" s="256" t="inlineStr">
        <is>
          <t>03.06.2026</t>
        </is>
      </c>
      <c r="AH32" s="256" t="inlineStr">
        <is>
          <t>Purely Plant GmbH (in-house)</t>
        </is>
      </c>
      <c r="AI32" s="256" t="inlineStr">
        <is>
          <t>Conforms | Одговара</t>
        </is>
      </c>
      <c r="AJ32" s="256" t="inlineStr">
        <is>
          <t>iCoA-PP_26-030</t>
        </is>
      </c>
      <c r="AK32" s="256" t="inlineStr">
        <is>
          <t>03.06.2026</t>
        </is>
      </c>
      <c r="AL32" s="256" t="inlineStr">
        <is>
          <t>Purely Plant GmbH (in-house)</t>
        </is>
      </c>
      <c r="AM32" s="256" t="inlineStr">
        <is>
          <t>Conforms | Одговара</t>
        </is>
      </c>
      <c r="AN32" s="256" t="inlineStr">
        <is>
          <t>ППК25368</t>
        </is>
      </c>
      <c r="AO32" s="256" t="inlineStr">
        <is>
          <t>28.11.2025</t>
        </is>
      </c>
      <c r="AP32" s="256" t="inlineStr">
        <is>
          <t>UKIM Faculty of Pharmacy — Center for Natural Products</t>
        </is>
      </c>
      <c r="AQ32" s="256" t="inlineStr">
        <is>
          <t>10.01</t>
        </is>
      </c>
      <c r="AR32" s="256" t="inlineStr">
        <is>
          <t>ППК25368</t>
        </is>
      </c>
      <c r="AS32" s="256" t="inlineStr">
        <is>
          <t>28.11.2025</t>
        </is>
      </c>
      <c r="AT32" s="256" t="inlineStr">
        <is>
          <t>UKIM Faculty of Pharmacy — Center for Natural Products</t>
        </is>
      </c>
      <c r="AU32" s="256" t="inlineStr">
        <is>
          <t>0.04</t>
        </is>
      </c>
      <c r="AV32" s="256" t="inlineStr">
        <is>
          <t>ППК25368</t>
        </is>
      </c>
      <c r="AW32" s="256" t="inlineStr">
        <is>
          <t>28.11.2025</t>
        </is>
      </c>
      <c r="AX32" s="256" t="inlineStr">
        <is>
          <t>UKIM Faculty of Pharmacy — Center for Natural Products</t>
        </is>
      </c>
      <c r="AY32" s="259" t="inlineStr">
        <is>
          <t>not tested</t>
        </is>
      </c>
      <c r="AZ32" s="256" t="inlineStr">
        <is>
          <t>—</t>
        </is>
      </c>
      <c r="BA32" s="256" t="inlineStr">
        <is>
          <t>—</t>
        </is>
      </c>
      <c r="BB32" s="256" t="inlineStr">
        <is>
          <t>—</t>
        </is>
      </c>
      <c r="BC32" s="256" t="inlineStr">
        <is>
          <t>Conforms | Одговара</t>
        </is>
      </c>
      <c r="BD32" s="256" t="inlineStr">
        <is>
          <t>iCoA-PP_26-030</t>
        </is>
      </c>
      <c r="BE32" s="256" t="inlineStr">
        <is>
          <t>03.06.2026</t>
        </is>
      </c>
      <c r="BF32" s="256" t="inlineStr">
        <is>
          <t>Purely Plant GmbH (in-house)</t>
        </is>
      </c>
      <c r="BG32" s="256" t="inlineStr">
        <is>
          <t>9.52</t>
        </is>
      </c>
      <c r="BH32" s="256" t="inlineStr">
        <is>
          <t>ППК25368</t>
        </is>
      </c>
      <c r="BI32" s="256" t="inlineStr">
        <is>
          <t>28.11.2025</t>
        </is>
      </c>
      <c r="BJ32" s="256" t="inlineStr">
        <is>
          <t>UKIM Faculty of Pharmacy — Center for Natural Products</t>
        </is>
      </c>
      <c r="BK32" s="256" t="inlineStr">
        <is>
          <t>110</t>
        </is>
      </c>
      <c r="BL32" s="256" t="inlineStr">
        <is>
          <t>1220/2171/25</t>
        </is>
      </c>
      <c r="BM32" s="256" t="inlineStr">
        <is>
          <t>01.12.2025</t>
        </is>
      </c>
      <c r="BN32" s="256" t="inlineStr">
        <is>
          <t>IPH — Institute of Public Health</t>
        </is>
      </c>
      <c r="BO32" s="256" t="inlineStr">
        <is>
          <t>200</t>
        </is>
      </c>
      <c r="BP32" s="256" t="inlineStr">
        <is>
          <t>1220/2171/25</t>
        </is>
      </c>
      <c r="BQ32" s="256" t="inlineStr">
        <is>
          <t>01.12.2025</t>
        </is>
      </c>
      <c r="BR32" s="256" t="inlineStr">
        <is>
          <t>IPH — Institute of Public Health</t>
        </is>
      </c>
      <c r="BS32" s="256" t="inlineStr">
        <is>
          <t>&lt; 10</t>
        </is>
      </c>
      <c r="BT32" s="256" t="inlineStr">
        <is>
          <t>1220/2171/25</t>
        </is>
      </c>
      <c r="BU32" s="256" t="inlineStr">
        <is>
          <t>01.12.2025</t>
        </is>
      </c>
      <c r="BV32" s="256" t="inlineStr">
        <is>
          <t>IPH — Institute of Public Health</t>
        </is>
      </c>
      <c r="BW32" s="256" t="inlineStr">
        <is>
          <t>Absent | Отсутна</t>
        </is>
      </c>
      <c r="BX32" s="256" t="inlineStr">
        <is>
          <t>1220/2171/25</t>
        </is>
      </c>
      <c r="BY32" s="256" t="inlineStr">
        <is>
          <t>01.12.2025</t>
        </is>
      </c>
      <c r="BZ32" s="256" t="inlineStr">
        <is>
          <t>IPH — Institute of Public Health</t>
        </is>
      </c>
      <c r="CA32" s="256" t="inlineStr">
        <is>
          <t>Absent | Отсутна</t>
        </is>
      </c>
      <c r="CB32" s="256" t="inlineStr">
        <is>
          <t>1220/2171/25</t>
        </is>
      </c>
      <c r="CC32" s="256" t="inlineStr">
        <is>
          <t>01.12.2025</t>
        </is>
      </c>
      <c r="CD32" s="256" t="inlineStr">
        <is>
          <t>IPH — Institute of Public Health</t>
        </is>
      </c>
      <c r="CE32" s="260" t="inlineStr">
        <is>
          <t>upon request — not required for release</t>
        </is>
      </c>
      <c r="CF32" s="256" t="inlineStr">
        <is>
          <t>—</t>
        </is>
      </c>
      <c r="CG32" s="256" t="inlineStr">
        <is>
          <t>—</t>
        </is>
      </c>
      <c r="CH32" s="256" t="inlineStr">
        <is>
          <t>—</t>
        </is>
      </c>
      <c r="CI32" s="260" t="inlineStr">
        <is>
          <t>upon request — not required for release</t>
        </is>
      </c>
      <c r="CJ32" s="256" t="inlineStr">
        <is>
          <t>—</t>
        </is>
      </c>
      <c r="CK32" s="256" t="inlineStr">
        <is>
          <t>—</t>
        </is>
      </c>
      <c r="CL32" s="256" t="inlineStr">
        <is>
          <t>—</t>
        </is>
      </c>
      <c r="CM32" s="259" t="inlineStr">
        <is>
          <t>not tested</t>
        </is>
      </c>
      <c r="CN32" s="256" t="inlineStr">
        <is>
          <t>—</t>
        </is>
      </c>
      <c r="CO32" s="256" t="inlineStr">
        <is>
          <t>—</t>
        </is>
      </c>
      <c r="CP32" s="256" t="inlineStr">
        <is>
          <t>—</t>
        </is>
      </c>
      <c r="CQ32" s="256" t="inlineStr">
        <is>
          <t>&lt; 2</t>
        </is>
      </c>
      <c r="CR32" s="256" t="inlineStr">
        <is>
          <t>5698/2025</t>
        </is>
      </c>
      <c r="CS32" s="256" t="inlineStr">
        <is>
          <t>02.12.2025</t>
        </is>
      </c>
      <c r="CT32" s="256" t="inlineStr">
        <is>
          <t>IPH — Institute of Public Health</t>
        </is>
      </c>
      <c r="CU32" s="259" t="inlineStr">
        <is>
          <t>not tested</t>
        </is>
      </c>
      <c r="CV32" s="256" t="inlineStr">
        <is>
          <t>—</t>
        </is>
      </c>
      <c r="CW32" s="256" t="inlineStr">
        <is>
          <t>—</t>
        </is>
      </c>
      <c r="CX32" s="256" t="inlineStr">
        <is>
          <t>—</t>
        </is>
      </c>
      <c r="CY32" s="256" t="inlineStr">
        <is>
          <t>0.021</t>
        </is>
      </c>
      <c r="CZ32" s="256" t="inlineStr">
        <is>
          <t>5698/2025</t>
        </is>
      </c>
      <c r="DA32" s="256" t="inlineStr">
        <is>
          <t>02.12.2025</t>
        </is>
      </c>
      <c r="DB32" s="256" t="inlineStr">
        <is>
          <t>IPH — Institute of Public Health</t>
        </is>
      </c>
      <c r="DC32" s="256" t="inlineStr">
        <is>
          <t>0.001</t>
        </is>
      </c>
      <c r="DD32" s="256" t="inlineStr">
        <is>
          <t>5698/2025</t>
        </is>
      </c>
      <c r="DE32" s="256" t="inlineStr">
        <is>
          <t>02.12.2025</t>
        </is>
      </c>
      <c r="DF32" s="256" t="inlineStr">
        <is>
          <t>IPH — Institute of Public Health</t>
        </is>
      </c>
      <c r="DG32" s="256" t="inlineStr">
        <is>
          <t>0.012</t>
        </is>
      </c>
      <c r="DH32" s="256" t="inlineStr">
        <is>
          <t>5698/2025</t>
        </is>
      </c>
      <c r="DI32" s="256" t="inlineStr">
        <is>
          <t>02.12.2025</t>
        </is>
      </c>
      <c r="DJ32" s="256" t="inlineStr">
        <is>
          <t>IPH — Institute of Public Health</t>
        </is>
      </c>
      <c r="DK32" s="256" t="inlineStr">
        <is>
          <t>0.003</t>
        </is>
      </c>
      <c r="DL32" s="256" t="inlineStr">
        <is>
          <t>5698/2025</t>
        </is>
      </c>
      <c r="DM32" s="256" t="inlineStr">
        <is>
          <t>02.12.2025</t>
        </is>
      </c>
      <c r="DN32" s="256" t="inlineStr">
        <is>
          <t>IPH — Institute of Public Health</t>
        </is>
      </c>
      <c r="DO32" s="256" t="inlineStr">
        <is>
          <t>ND</t>
        </is>
      </c>
      <c r="DP32" s="256" t="inlineStr">
        <is>
          <t>5698/2025</t>
        </is>
      </c>
      <c r="DQ32" s="256" t="inlineStr">
        <is>
          <t>02.12.2025</t>
        </is>
      </c>
      <c r="DR32" s="256" t="inlineStr">
        <is>
          <t>IPH — Institute of Public Health</t>
        </is>
      </c>
    </row>
    <row r="33">
      <c r="A33" s="256" t="inlineStr">
        <is>
          <t>CoQ-PP_26-032</t>
        </is>
      </c>
      <c r="B33" s="256" t="inlineStr">
        <is>
          <t>release</t>
        </is>
      </c>
      <c r="C33" s="256" t="inlineStr">
        <is>
          <t>issuable</t>
        </is>
      </c>
      <c r="D33" s="256" t="inlineStr">
        <is>
          <t>06.06.2026</t>
        </is>
      </c>
      <c r="E33" s="256" t="inlineStr">
        <is>
          <t>n/a — release certificate</t>
        </is>
      </c>
      <c r="F33" s="256" t="inlineStr">
        <is>
          <t>CoQ-PP-2025-0019</t>
        </is>
      </c>
      <c r="G33" s="256" t="inlineStr">
        <is>
          <t>CLE072501</t>
        </is>
      </c>
      <c r="H33" s="256" t="inlineStr">
        <is>
          <t>P050282</t>
        </is>
      </c>
      <c r="I33" s="256" t="inlineStr">
        <is>
          <t>Clemosa A Bud</t>
        </is>
      </c>
      <c r="J33" s="256" t="inlineStr">
        <is>
          <t>28.10.2025</t>
        </is>
      </c>
      <c r="K33" s="256" t="inlineStr">
        <is>
          <t>03.12.2025 – 04.12.2025</t>
        </is>
      </c>
      <c r="L33" s="256" t="inlineStr">
        <is>
          <t>28.10.2025</t>
        </is>
      </c>
      <c r="M33" s="256" t="inlineStr">
        <is>
          <t>03.12.2025</t>
        </is>
      </c>
      <c r="N33" s="256" t="inlineStr">
        <is>
          <t>iCoA-PP_26-031</t>
        </is>
      </c>
      <c r="O33" s="256" t="inlineStr">
        <is>
          <t>03.06.2026</t>
        </is>
      </c>
      <c r="P33" s="256" t="inlineStr">
        <is>
          <t>03.12.2025</t>
        </is>
      </c>
      <c r="Q33" s="256" t="inlineStr">
        <is>
          <t>—</t>
        </is>
      </c>
      <c r="R33" s="256" t="inlineStr">
        <is>
          <t>8.02</t>
        </is>
      </c>
      <c r="S33" s="256" t="inlineStr">
        <is>
          <t>ППК25370</t>
        </is>
      </c>
      <c r="T33" s="256" t="inlineStr">
        <is>
          <t>I</t>
        </is>
      </c>
      <c r="U33" s="256" t="inlineStr">
        <is>
          <t>7.20 – 8.79 %</t>
        </is>
      </c>
      <c r="V33" s="256" t="inlineStr">
        <is>
          <t>CLE_THC8 : CBD1</t>
        </is>
      </c>
      <c r="W33" s="256" t="inlineStr">
        <is>
          <t>QCSP_001_CLE-I_v.01</t>
        </is>
      </c>
      <c r="X33" s="256" t="inlineStr">
        <is>
          <t>for review — replaces the issued QCSP_001_CLE-I_v.01 (was CLE_THC8 : CBD1, 7.20 – 8.80 %); now CLE_THC8 : CBD1 7.20 – 8.79 %</t>
        </is>
      </c>
      <c r="Y33" s="256" t="inlineStr">
        <is>
          <t>HYBRID</t>
        </is>
      </c>
      <c r="Z33" s="256" t="inlineStr">
        <is>
          <t>THC</t>
        </is>
      </c>
      <c r="AA33" s="256" t="inlineStr">
        <is>
          <t>MACHINE TRIMMED</t>
        </is>
      </c>
      <c r="AB33" s="256" t="inlineStr">
        <is>
          <t>TO BE DETERMINED</t>
        </is>
      </c>
      <c r="AC33" s="256" t="inlineStr">
        <is>
          <t>Triplex Alu Bag | Триплекс Aлу Kеса, PET 12 · ALU 7 · PE 80, 300 × 500 mm, net. 400.0 g ±3%</t>
        </is>
      </c>
      <c r="AD33" s="256" t="inlineStr">
        <is>
          <t>21.01.2026</t>
        </is>
      </c>
      <c r="AE33" s="256" t="inlineStr">
        <is>
          <t>Conforms | Одговара</t>
        </is>
      </c>
      <c r="AF33" s="256" t="inlineStr">
        <is>
          <t>iCoA-PP_26-031</t>
        </is>
      </c>
      <c r="AG33" s="256" t="inlineStr">
        <is>
          <t>03.06.2026</t>
        </is>
      </c>
      <c r="AH33" s="256" t="inlineStr">
        <is>
          <t>Purely Plant GmbH (in-house)</t>
        </is>
      </c>
      <c r="AI33" s="256" t="inlineStr">
        <is>
          <t>Conforms | Одговара</t>
        </is>
      </c>
      <c r="AJ33" s="256" t="inlineStr">
        <is>
          <t>iCoA-PP_26-031</t>
        </is>
      </c>
      <c r="AK33" s="256" t="inlineStr">
        <is>
          <t>03.06.2026</t>
        </is>
      </c>
      <c r="AL33" s="256" t="inlineStr">
        <is>
          <t>Purely Plant GmbH (in-house)</t>
        </is>
      </c>
      <c r="AM33" s="256" t="inlineStr">
        <is>
          <t>Conforms | Одговара</t>
        </is>
      </c>
      <c r="AN33" s="256" t="inlineStr">
        <is>
          <t>ППК25370</t>
        </is>
      </c>
      <c r="AO33" s="256" t="inlineStr">
        <is>
          <t>28.11.2025</t>
        </is>
      </c>
      <c r="AP33" s="256" t="inlineStr">
        <is>
          <t>CNP</t>
        </is>
      </c>
      <c r="AQ33" s="256" t="inlineStr">
        <is>
          <t>8.02</t>
        </is>
      </c>
      <c r="AR33" s="256" t="inlineStr">
        <is>
          <t>ППК25370</t>
        </is>
      </c>
      <c r="AS33" s="256" t="inlineStr">
        <is>
          <t>28.11.2025</t>
        </is>
      </c>
      <c r="AT33" s="256" t="inlineStr">
        <is>
          <t>CNP</t>
        </is>
      </c>
      <c r="AU33" s="256" t="inlineStr">
        <is>
          <t>0.04</t>
        </is>
      </c>
      <c r="AV33" s="256" t="inlineStr">
        <is>
          <t>ППК25370</t>
        </is>
      </c>
      <c r="AW33" s="256" t="inlineStr">
        <is>
          <t>28.11.2025</t>
        </is>
      </c>
      <c r="AX33" s="256" t="inlineStr">
        <is>
          <t>CNP</t>
        </is>
      </c>
      <c r="AY33" s="256" t="inlineStr">
        <is>
          <t>&lt; LOQ ᴰ</t>
        </is>
      </c>
      <c r="AZ33" s="256" t="inlineStr">
        <is>
          <t>ППК25370</t>
        </is>
      </c>
      <c r="BA33" s="256" t="inlineStr">
        <is>
          <t>28.11.2025</t>
        </is>
      </c>
      <c r="BB33" s="256" t="inlineStr">
        <is>
          <t>CNP</t>
        </is>
      </c>
      <c r="BC33" s="256" t="inlineStr">
        <is>
          <t>Conforms | Одговара</t>
        </is>
      </c>
      <c r="BD33" s="256" t="inlineStr">
        <is>
          <t>iCoA-PP_26-031</t>
        </is>
      </c>
      <c r="BE33" s="256" t="inlineStr">
        <is>
          <t>03.06.2026</t>
        </is>
      </c>
      <c r="BF33" s="256" t="inlineStr">
        <is>
          <t>Purely Plant GmbH (in-house)</t>
        </is>
      </c>
      <c r="BG33" s="256" t="inlineStr">
        <is>
          <t>9.68</t>
        </is>
      </c>
      <c r="BH33" s="256" t="inlineStr">
        <is>
          <t>ППК25370</t>
        </is>
      </c>
      <c r="BI33" s="256" t="inlineStr">
        <is>
          <t>28.11.2025</t>
        </is>
      </c>
      <c r="BJ33" s="256" t="inlineStr">
        <is>
          <t>CNP</t>
        </is>
      </c>
      <c r="BK33" s="256" t="inlineStr">
        <is>
          <t>&lt; 10</t>
        </is>
      </c>
      <c r="BL33" s="256" t="inlineStr">
        <is>
          <t>1219/2170/25</t>
        </is>
      </c>
      <c r="BM33" s="256" t="inlineStr">
        <is>
          <t>01.12.2025</t>
        </is>
      </c>
      <c r="BN33" s="256" t="inlineStr">
        <is>
          <t>IPH — Institute of Public Health</t>
        </is>
      </c>
      <c r="BO33" s="256" t="inlineStr">
        <is>
          <t>&lt; 10</t>
        </is>
      </c>
      <c r="BP33" s="256" t="inlineStr">
        <is>
          <t>1219/2170/25</t>
        </is>
      </c>
      <c r="BQ33" s="256" t="inlineStr">
        <is>
          <t>01.12.2025</t>
        </is>
      </c>
      <c r="BR33" s="256" t="inlineStr">
        <is>
          <t>IPH — Institute of Public Health</t>
        </is>
      </c>
      <c r="BS33" s="256" t="inlineStr">
        <is>
          <t>&lt; 10</t>
        </is>
      </c>
      <c r="BT33" s="256" t="inlineStr">
        <is>
          <t>1219/2170/25</t>
        </is>
      </c>
      <c r="BU33" s="256" t="inlineStr">
        <is>
          <t>01.12.2025</t>
        </is>
      </c>
      <c r="BV33" s="256" t="inlineStr">
        <is>
          <t>IPH — Institute of Public Health</t>
        </is>
      </c>
      <c r="BW33" s="256" t="inlineStr">
        <is>
          <t>Absent | Отсутна</t>
        </is>
      </c>
      <c r="BX33" s="256" t="inlineStr">
        <is>
          <t>1219/2170/25</t>
        </is>
      </c>
      <c r="BY33" s="256" t="inlineStr">
        <is>
          <t>01.12.2025</t>
        </is>
      </c>
      <c r="BZ33" s="256" t="inlineStr">
        <is>
          <t>IPH — Institute of Public Health</t>
        </is>
      </c>
      <c r="CA33" s="256" t="inlineStr">
        <is>
          <t>Absent | Отсутна</t>
        </is>
      </c>
      <c r="CB33" s="256" t="inlineStr">
        <is>
          <t>1219/2170/25</t>
        </is>
      </c>
      <c r="CC33" s="256" t="inlineStr">
        <is>
          <t>01.12.2025</t>
        </is>
      </c>
      <c r="CD33" s="256" t="inlineStr">
        <is>
          <t>IPH — Institute of Public Health</t>
        </is>
      </c>
      <c r="CE33" s="260" t="inlineStr">
        <is>
          <t>upon request — not required for release</t>
        </is>
      </c>
      <c r="CF33" s="256" t="inlineStr">
        <is>
          <t>—</t>
        </is>
      </c>
      <c r="CG33" s="256" t="inlineStr">
        <is>
          <t>—</t>
        </is>
      </c>
      <c r="CH33" s="256" t="inlineStr">
        <is>
          <t>—</t>
        </is>
      </c>
      <c r="CI33" s="260" t="inlineStr">
        <is>
          <t>upon request — not required for release</t>
        </is>
      </c>
      <c r="CJ33" s="256" t="inlineStr">
        <is>
          <t>—</t>
        </is>
      </c>
      <c r="CK33" s="256" t="inlineStr">
        <is>
          <t>—</t>
        </is>
      </c>
      <c r="CL33" s="256" t="inlineStr">
        <is>
          <t>—</t>
        </is>
      </c>
      <c r="CM33" s="259" t="inlineStr">
        <is>
          <t>not tested</t>
        </is>
      </c>
      <c r="CN33" s="256" t="inlineStr">
        <is>
          <t>—</t>
        </is>
      </c>
      <c r="CO33" s="256" t="inlineStr">
        <is>
          <t>—</t>
        </is>
      </c>
      <c r="CP33" s="256" t="inlineStr">
        <is>
          <t>—</t>
        </is>
      </c>
      <c r="CQ33" s="256" t="inlineStr">
        <is>
          <t>2.2</t>
        </is>
      </c>
      <c r="CR33" s="256" t="inlineStr">
        <is>
          <t>5700/2025</t>
        </is>
      </c>
      <c r="CS33" s="256" t="inlineStr">
        <is>
          <t>02.12.2025</t>
        </is>
      </c>
      <c r="CT33" s="256" t="inlineStr">
        <is>
          <t>IPH — Institute of Public Health</t>
        </is>
      </c>
      <c r="CU33" s="259" t="inlineStr">
        <is>
          <t>not tested</t>
        </is>
      </c>
      <c r="CV33" s="256" t="inlineStr">
        <is>
          <t>—</t>
        </is>
      </c>
      <c r="CW33" s="256" t="inlineStr">
        <is>
          <t>—</t>
        </is>
      </c>
      <c r="CX33" s="256" t="inlineStr">
        <is>
          <t>—</t>
        </is>
      </c>
      <c r="CY33" s="256" t="inlineStr">
        <is>
          <t>0.032</t>
        </is>
      </c>
      <c r="CZ33" s="256" t="inlineStr">
        <is>
          <t>5700/2025</t>
        </is>
      </c>
      <c r="DA33" s="256" t="inlineStr">
        <is>
          <t>02.12.2025</t>
        </is>
      </c>
      <c r="DB33" s="256" t="inlineStr">
        <is>
          <t>IPH — Institute of Public Health</t>
        </is>
      </c>
      <c r="DC33" s="256" t="inlineStr">
        <is>
          <t>0.002</t>
        </is>
      </c>
      <c r="DD33" s="256" t="inlineStr">
        <is>
          <t>5700/2025</t>
        </is>
      </c>
      <c r="DE33" s="256" t="inlineStr">
        <is>
          <t>02.12.2025</t>
        </is>
      </c>
      <c r="DF33" s="256" t="inlineStr">
        <is>
          <t>IPH — Institute of Public Health</t>
        </is>
      </c>
      <c r="DG33" s="256" t="inlineStr">
        <is>
          <t>0.013</t>
        </is>
      </c>
      <c r="DH33" s="256" t="inlineStr">
        <is>
          <t>5700/2025</t>
        </is>
      </c>
      <c r="DI33" s="256" t="inlineStr">
        <is>
          <t>02.12.2025</t>
        </is>
      </c>
      <c r="DJ33" s="256" t="inlineStr">
        <is>
          <t>IPH — Institute of Public Health</t>
        </is>
      </c>
      <c r="DK33" s="256" t="inlineStr">
        <is>
          <t>0.021</t>
        </is>
      </c>
      <c r="DL33" s="256" t="inlineStr">
        <is>
          <t>5700/2025</t>
        </is>
      </c>
      <c r="DM33" s="256" t="inlineStr">
        <is>
          <t>02.12.2025</t>
        </is>
      </c>
      <c r="DN33" s="256" t="inlineStr">
        <is>
          <t>IPH — Institute of Public Health</t>
        </is>
      </c>
      <c r="DO33" s="256" t="inlineStr">
        <is>
          <t>ND</t>
        </is>
      </c>
      <c r="DP33" s="256" t="inlineStr">
        <is>
          <t>5700/2025</t>
        </is>
      </c>
      <c r="DQ33" s="256" t="inlineStr">
        <is>
          <t>02.12.2025</t>
        </is>
      </c>
      <c r="DR33" s="256" t="inlineStr">
        <is>
          <t>IPH — Institute of Public Health</t>
        </is>
      </c>
    </row>
    <row r="34">
      <c r="A34" s="256" t="inlineStr">
        <is>
          <t>CoQ-PP_26-033</t>
        </is>
      </c>
      <c r="B34" s="256" t="inlineStr">
        <is>
          <t>release</t>
        </is>
      </c>
      <c r="C34" s="256" t="inlineStr">
        <is>
          <t>issuable</t>
        </is>
      </c>
      <c r="D34" s="256" t="inlineStr">
        <is>
          <t>06.06.2026</t>
        </is>
      </c>
      <c r="E34" s="256" t="inlineStr">
        <is>
          <t>n/a — release certificate</t>
        </is>
      </c>
      <c r="F34" s="256" t="inlineStr">
        <is>
          <t>(assigned on issue)</t>
        </is>
      </c>
      <c r="G34" s="256" t="inlineStr">
        <is>
          <t>GP072501-1</t>
        </is>
      </c>
      <c r="H34" s="256" t="inlineStr">
        <is>
          <t>P050292</t>
        </is>
      </c>
      <c r="I34" s="256" t="inlineStr">
        <is>
          <t>Grape Pie</t>
        </is>
      </c>
      <c r="J34" s="256" t="inlineStr">
        <is>
          <t>11.11.2025 – 13.11.2025</t>
        </is>
      </c>
      <c r="K34" s="256" t="inlineStr">
        <is>
          <t>15.12.2025 – 21.12.2025</t>
        </is>
      </c>
      <c r="L34" s="256" t="inlineStr">
        <is>
          <t>—</t>
        </is>
      </c>
      <c r="M34" s="256" t="inlineStr">
        <is>
          <t>—</t>
        </is>
      </c>
      <c r="N34" s="256" t="inlineStr">
        <is>
          <t>iCoA-PP_26-032</t>
        </is>
      </c>
      <c r="O34" s="256" t="inlineStr">
        <is>
          <t>03.06.2026</t>
        </is>
      </c>
      <c r="P34" s="256" t="inlineStr">
        <is>
          <t>15.12.2025</t>
        </is>
      </c>
      <c r="Q34" s="256" t="inlineStr">
        <is>
          <t>—</t>
        </is>
      </c>
      <c r="R34" s="256" t="inlineStr">
        <is>
          <t>21.36</t>
        </is>
      </c>
      <c r="S34" s="256" t="inlineStr">
        <is>
          <t>ППК25378</t>
        </is>
      </c>
      <c r="T34" s="256" t="inlineStr">
        <is>
          <t>III</t>
        </is>
      </c>
      <c r="U34" s="256" t="inlineStr">
        <is>
          <t>18.00 – 21.99 %</t>
        </is>
      </c>
      <c r="V34" s="256" t="inlineStr">
        <is>
          <t>GP_THC20 : CBD1</t>
        </is>
      </c>
      <c r="W34" s="256" t="inlineStr">
        <is>
          <t>QCSP_001_GP-III_v.01</t>
        </is>
      </c>
      <c r="X34" s="256" t="inlineStr">
        <is>
          <t>for review — replaces the issued QCSP_001_GP-III_v.01 (was GP_THC24 : CBD1, 22.61 – 25.39 %); now GP_THC20 : CBD1 18.00 – 21.99 %</t>
        </is>
      </c>
      <c r="Y34" s="256" t="inlineStr">
        <is>
          <t>HYBRID</t>
        </is>
      </c>
      <c r="Z34" s="256" t="inlineStr">
        <is>
          <t>THC</t>
        </is>
      </c>
      <c r="AA34" s="256" t="inlineStr">
        <is>
          <t>MACHINE TRIMMED</t>
        </is>
      </c>
      <c r="AB34" s="256" t="inlineStr">
        <is>
          <t>INDICA-DOMINANT</t>
        </is>
      </c>
      <c r="AC34" s="256" t="inlineStr">
        <is>
          <t>Triplex Alu Bag | Триплекс Aлу Kеса, PET 12 · ALU 7 · PE 80, 300 × 500 mm, net. 400.0 g ±3%</t>
        </is>
      </c>
      <c r="AD34" s="256" t="inlineStr">
        <is>
          <t>21.01.2026</t>
        </is>
      </c>
      <c r="AE34" s="256" t="inlineStr">
        <is>
          <t>Conforms | Одговара</t>
        </is>
      </c>
      <c r="AF34" s="256" t="inlineStr">
        <is>
          <t>iCoA-PP_26-032</t>
        </is>
      </c>
      <c r="AG34" s="256" t="inlineStr">
        <is>
          <t>03.06.2026</t>
        </is>
      </c>
      <c r="AH34" s="256" t="inlineStr">
        <is>
          <t>Purely Plant GmbH (in-house)</t>
        </is>
      </c>
      <c r="AI34" s="256" t="inlineStr">
        <is>
          <t>Conforms | Одговара</t>
        </is>
      </c>
      <c r="AJ34" s="256" t="inlineStr">
        <is>
          <t>iCoA-PP_26-032</t>
        </is>
      </c>
      <c r="AK34" s="256" t="inlineStr">
        <is>
          <t>03.06.2026</t>
        </is>
      </c>
      <c r="AL34" s="256" t="inlineStr">
        <is>
          <t>Purely Plant GmbH (in-house)</t>
        </is>
      </c>
      <c r="AM34" s="256" t="inlineStr">
        <is>
          <t>Conforms | Одговара</t>
        </is>
      </c>
      <c r="AN34" s="256" t="inlineStr">
        <is>
          <t>ППК25378</t>
        </is>
      </c>
      <c r="AO34" s="256" t="inlineStr">
        <is>
          <t>12.12.2025</t>
        </is>
      </c>
      <c r="AP34" s="256" t="inlineStr">
        <is>
          <t>UKIM Faculty of Pharmacy — Center for Natural Products</t>
        </is>
      </c>
      <c r="AQ34" s="256" t="inlineStr">
        <is>
          <t>21.36</t>
        </is>
      </c>
      <c r="AR34" s="256" t="inlineStr">
        <is>
          <t>ППК25378</t>
        </is>
      </c>
      <c r="AS34" s="256" t="inlineStr">
        <is>
          <t>12.12.2025</t>
        </is>
      </c>
      <c r="AT34" s="256" t="inlineStr">
        <is>
          <t>UKIM Faculty of Pharmacy — Center for Natural Products</t>
        </is>
      </c>
      <c r="AU34" s="256" t="inlineStr">
        <is>
          <t>0.11</t>
        </is>
      </c>
      <c r="AV34" s="256" t="inlineStr">
        <is>
          <t>ППК25378</t>
        </is>
      </c>
      <c r="AW34" s="256" t="inlineStr">
        <is>
          <t>12.12.2025</t>
        </is>
      </c>
      <c r="AX34" s="256" t="inlineStr">
        <is>
          <t>UKIM Faculty of Pharmacy — Center for Natural Products</t>
        </is>
      </c>
      <c r="AY34" s="259" t="inlineStr">
        <is>
          <t>not tested</t>
        </is>
      </c>
      <c r="AZ34" s="256" t="inlineStr">
        <is>
          <t>—</t>
        </is>
      </c>
      <c r="BA34" s="256" t="inlineStr">
        <is>
          <t>—</t>
        </is>
      </c>
      <c r="BB34" s="256" t="inlineStr">
        <is>
          <t>—</t>
        </is>
      </c>
      <c r="BC34" s="256" t="inlineStr">
        <is>
          <t>Conforms | Одговара</t>
        </is>
      </c>
      <c r="BD34" s="256" t="inlineStr">
        <is>
          <t>iCoA-PP_26-032</t>
        </is>
      </c>
      <c r="BE34" s="256" t="inlineStr">
        <is>
          <t>03.06.2026</t>
        </is>
      </c>
      <c r="BF34" s="256" t="inlineStr">
        <is>
          <t>Purely Plant GmbH (in-house)</t>
        </is>
      </c>
      <c r="BG34" s="256" t="inlineStr">
        <is>
          <t>6.62</t>
        </is>
      </c>
      <c r="BH34" s="256" t="inlineStr">
        <is>
          <t>ППК25378</t>
        </is>
      </c>
      <c r="BI34" s="256" t="inlineStr">
        <is>
          <t>12.12.2025</t>
        </is>
      </c>
      <c r="BJ34" s="256" t="inlineStr">
        <is>
          <t>UKIM Faculty of Pharmacy — Center for Natural Products</t>
        </is>
      </c>
      <c r="BK34" s="256" t="inlineStr">
        <is>
          <t>6 × 10³</t>
        </is>
      </c>
      <c r="BL34" s="256" t="inlineStr">
        <is>
          <t>1228/2194/25</t>
        </is>
      </c>
      <c r="BM34" s="256" t="inlineStr">
        <is>
          <t>05.12.2025</t>
        </is>
      </c>
      <c r="BN34" s="256" t="inlineStr">
        <is>
          <t>IPH — Institute of Public Health</t>
        </is>
      </c>
      <c r="BO34" s="256" t="inlineStr">
        <is>
          <t>6.5 × 10³</t>
        </is>
      </c>
      <c r="BP34" s="256" t="inlineStr">
        <is>
          <t>1228/2194/25</t>
        </is>
      </c>
      <c r="BQ34" s="256" t="inlineStr">
        <is>
          <t>05.12.2025</t>
        </is>
      </c>
      <c r="BR34" s="256" t="inlineStr">
        <is>
          <t>IPH — Institute of Public Health</t>
        </is>
      </c>
      <c r="BS34" s="256" t="inlineStr">
        <is>
          <t>&lt; 10</t>
        </is>
      </c>
      <c r="BT34" s="256" t="inlineStr">
        <is>
          <t>1228/2194/25</t>
        </is>
      </c>
      <c r="BU34" s="256" t="inlineStr">
        <is>
          <t>05.12.2025</t>
        </is>
      </c>
      <c r="BV34" s="256" t="inlineStr">
        <is>
          <t>IPH — Institute of Public Health</t>
        </is>
      </c>
      <c r="BW34" s="256" t="inlineStr">
        <is>
          <t>Absent | Отсутна</t>
        </is>
      </c>
      <c r="BX34" s="256" t="inlineStr">
        <is>
          <t>1228/2194/25</t>
        </is>
      </c>
      <c r="BY34" s="256" t="inlineStr">
        <is>
          <t>05.12.2025</t>
        </is>
      </c>
      <c r="BZ34" s="256" t="inlineStr">
        <is>
          <t>IPH — Institute of Public Health</t>
        </is>
      </c>
      <c r="CA34" s="256" t="inlineStr">
        <is>
          <t>Absent | Отсутна</t>
        </is>
      </c>
      <c r="CB34" s="256" t="inlineStr">
        <is>
          <t>1228/2194/25</t>
        </is>
      </c>
      <c r="CC34" s="256" t="inlineStr">
        <is>
          <t>05.12.2025</t>
        </is>
      </c>
      <c r="CD34" s="256" t="inlineStr">
        <is>
          <t>IPH — Institute of Public Health</t>
        </is>
      </c>
      <c r="CE34" s="260" t="inlineStr">
        <is>
          <t>upon request — not required for release</t>
        </is>
      </c>
      <c r="CF34" s="256" t="inlineStr">
        <is>
          <t>—</t>
        </is>
      </c>
      <c r="CG34" s="256" t="inlineStr">
        <is>
          <t>—</t>
        </is>
      </c>
      <c r="CH34" s="256" t="inlineStr">
        <is>
          <t>—</t>
        </is>
      </c>
      <c r="CI34" s="260" t="inlineStr">
        <is>
          <t>upon request — not required for release</t>
        </is>
      </c>
      <c r="CJ34" s="256" t="inlineStr">
        <is>
          <t>—</t>
        </is>
      </c>
      <c r="CK34" s="256" t="inlineStr">
        <is>
          <t>—</t>
        </is>
      </c>
      <c r="CL34" s="256" t="inlineStr">
        <is>
          <t>—</t>
        </is>
      </c>
      <c r="CM34" s="259" t="inlineStr">
        <is>
          <t>not tested</t>
        </is>
      </c>
      <c r="CN34" s="256" t="inlineStr">
        <is>
          <t>—</t>
        </is>
      </c>
      <c r="CO34" s="256" t="inlineStr">
        <is>
          <t>—</t>
        </is>
      </c>
      <c r="CP34" s="256" t="inlineStr">
        <is>
          <t>—</t>
        </is>
      </c>
      <c r="CQ34" s="256" t="inlineStr">
        <is>
          <t>&lt; 2</t>
        </is>
      </c>
      <c r="CR34" s="256" t="inlineStr">
        <is>
          <t>5886/2025</t>
        </is>
      </c>
      <c r="CS34" s="256" t="inlineStr">
        <is>
          <t>12.12.2025</t>
        </is>
      </c>
      <c r="CT34" s="256" t="inlineStr">
        <is>
          <t>IPH — Institute of Public Health</t>
        </is>
      </c>
      <c r="CU34" s="259" t="inlineStr">
        <is>
          <t>not tested</t>
        </is>
      </c>
      <c r="CV34" s="256" t="inlineStr">
        <is>
          <t>—</t>
        </is>
      </c>
      <c r="CW34" s="256" t="inlineStr">
        <is>
          <t>—</t>
        </is>
      </c>
      <c r="CX34" s="256" t="inlineStr">
        <is>
          <t>—</t>
        </is>
      </c>
      <c r="CY34" s="256" t="inlineStr">
        <is>
          <t>0.028</t>
        </is>
      </c>
      <c r="CZ34" s="256" t="inlineStr">
        <is>
          <t>5886/2025</t>
        </is>
      </c>
      <c r="DA34" s="256" t="inlineStr">
        <is>
          <t>12.12.2025</t>
        </is>
      </c>
      <c r="DB34" s="256" t="inlineStr">
        <is>
          <t>IPH — Institute of Public Health</t>
        </is>
      </c>
      <c r="DC34" s="256" t="inlineStr">
        <is>
          <t>0.003</t>
        </is>
      </c>
      <c r="DD34" s="256" t="inlineStr">
        <is>
          <t>5886/2025</t>
        </is>
      </c>
      <c r="DE34" s="256" t="inlineStr">
        <is>
          <t>12.12.2025</t>
        </is>
      </c>
      <c r="DF34" s="256" t="inlineStr">
        <is>
          <t>IPH — Institute of Public Health</t>
        </is>
      </c>
      <c r="DG34" s="256" t="inlineStr">
        <is>
          <t>0.03</t>
        </is>
      </c>
      <c r="DH34" s="256" t="inlineStr">
        <is>
          <t>5886/2025</t>
        </is>
      </c>
      <c r="DI34" s="256" t="inlineStr">
        <is>
          <t>12.12.2025</t>
        </is>
      </c>
      <c r="DJ34" s="256" t="inlineStr">
        <is>
          <t>IPH — Institute of Public Health</t>
        </is>
      </c>
      <c r="DK34" s="256" t="inlineStr">
        <is>
          <t>0.025</t>
        </is>
      </c>
      <c r="DL34" s="256" t="inlineStr">
        <is>
          <t>5886/2025</t>
        </is>
      </c>
      <c r="DM34" s="256" t="inlineStr">
        <is>
          <t>12.12.2025</t>
        </is>
      </c>
      <c r="DN34" s="256" t="inlineStr">
        <is>
          <t>IPH — Institute of Public Health</t>
        </is>
      </c>
      <c r="DO34" s="256" t="inlineStr">
        <is>
          <t>ND</t>
        </is>
      </c>
      <c r="DP34" s="256" t="inlineStr">
        <is>
          <t>5886/2025</t>
        </is>
      </c>
      <c r="DQ34" s="256" t="inlineStr">
        <is>
          <t>12.12.2025</t>
        </is>
      </c>
      <c r="DR34" s="256" t="inlineStr">
        <is>
          <t>IPH — Institute of Public Health</t>
        </is>
      </c>
    </row>
    <row r="35">
      <c r="A35" s="256" t="inlineStr">
        <is>
          <t>CoQ-PP_26-034</t>
        </is>
      </c>
      <c r="B35" s="256" t="inlineStr">
        <is>
          <t>release</t>
        </is>
      </c>
      <c r="C35" s="256" t="inlineStr">
        <is>
          <t>issuable</t>
        </is>
      </c>
      <c r="D35" s="256" t="inlineStr">
        <is>
          <t>06.06.2026</t>
        </is>
      </c>
      <c r="E35" s="256" t="inlineStr">
        <is>
          <t>n/a — release certificate</t>
        </is>
      </c>
      <c r="F35" s="256" t="inlineStr">
        <is>
          <t>CoQ-PP-2025-0020</t>
        </is>
      </c>
      <c r="G35" s="256" t="inlineStr">
        <is>
          <t>GP072501/2</t>
        </is>
      </c>
      <c r="H35" s="256" t="inlineStr">
        <is>
          <t>P050302</t>
        </is>
      </c>
      <c r="I35" s="256" t="inlineStr">
        <is>
          <t>Grape Pie</t>
        </is>
      </c>
      <c r="J35" s="256" t="inlineStr">
        <is>
          <t>13.11.2025</t>
        </is>
      </c>
      <c r="K35" s="256" t="inlineStr">
        <is>
          <t>22.12.2025</t>
        </is>
      </c>
      <c r="L35" s="256" t="inlineStr">
        <is>
          <t>13.11.2025</t>
        </is>
      </c>
      <c r="M35" s="256" t="inlineStr">
        <is>
          <t>22.12.2025</t>
        </is>
      </c>
      <c r="N35" s="256" t="inlineStr">
        <is>
          <t>iCoA-PP_26-033</t>
        </is>
      </c>
      <c r="O35" s="256" t="inlineStr">
        <is>
          <t>03.06.2026</t>
        </is>
      </c>
      <c r="P35" s="256" t="inlineStr">
        <is>
          <t>22.12.2025</t>
        </is>
      </c>
      <c r="Q35" s="256" t="inlineStr">
        <is>
          <t>—</t>
        </is>
      </c>
      <c r="R35" s="256" t="inlineStr">
        <is>
          <t>19.81</t>
        </is>
      </c>
      <c r="S35" s="256" t="inlineStr">
        <is>
          <t>ППК25379</t>
        </is>
      </c>
      <c r="T35" s="256" t="inlineStr">
        <is>
          <t>III</t>
        </is>
      </c>
      <c r="U35" s="256" t="inlineStr">
        <is>
          <t>18.00 – 21.99 %</t>
        </is>
      </c>
      <c r="V35" s="256" t="inlineStr">
        <is>
          <t>GP_THC20 : CBD1</t>
        </is>
      </c>
      <c r="W35" s="256" t="inlineStr">
        <is>
          <t>QCSP_001_GP-III_v.01</t>
        </is>
      </c>
      <c r="X35" s="256" t="inlineStr">
        <is>
          <t>for review — replaces the issued QCSP_001_GP-III_v.01 (was GP_THC24 : CBD1, 22.61 – 25.39 %); now GP_THC20 : CBD1 18.00 – 21.99 %</t>
        </is>
      </c>
      <c r="Y35" s="256" t="inlineStr">
        <is>
          <t>HYBRID</t>
        </is>
      </c>
      <c r="Z35" s="256" t="inlineStr">
        <is>
          <t>THC</t>
        </is>
      </c>
      <c r="AA35" s="256" t="inlineStr">
        <is>
          <t>MACHINE TRIMMED</t>
        </is>
      </c>
      <c r="AB35" s="256" t="inlineStr">
        <is>
          <t>INDICA-DOMINANT</t>
        </is>
      </c>
      <c r="AC35" s="256" t="inlineStr">
        <is>
          <t>Triplex Alu Bag | Триплекс Aлу Kеса, PET 12 · ALU 7 · PE 80, 300 × 500 mm, net. 400.0 g ±3%</t>
        </is>
      </c>
      <c r="AD35" s="256" t="inlineStr">
        <is>
          <t>21.01.2026</t>
        </is>
      </c>
      <c r="AE35" s="256" t="inlineStr">
        <is>
          <t>Conforms | Одговара</t>
        </is>
      </c>
      <c r="AF35" s="256" t="inlineStr">
        <is>
          <t>iCoA-PP_26-033</t>
        </is>
      </c>
      <c r="AG35" s="256" t="inlineStr">
        <is>
          <t>03.06.2026</t>
        </is>
      </c>
      <c r="AH35" s="256" t="inlineStr">
        <is>
          <t>Purely Plant GmbH (in-house)</t>
        </is>
      </c>
      <c r="AI35" s="256" t="inlineStr">
        <is>
          <t>Conforms | Одговара</t>
        </is>
      </c>
      <c r="AJ35" s="256" t="inlineStr">
        <is>
          <t>iCoA-PP_26-033</t>
        </is>
      </c>
      <c r="AK35" s="256" t="inlineStr">
        <is>
          <t>03.06.2026</t>
        </is>
      </c>
      <c r="AL35" s="256" t="inlineStr">
        <is>
          <t>Purely Plant GmbH (in-house)</t>
        </is>
      </c>
      <c r="AM35" s="256" t="inlineStr">
        <is>
          <t>Conforms | Одговара</t>
        </is>
      </c>
      <c r="AN35" s="256" t="inlineStr">
        <is>
          <t>ППК25379</t>
        </is>
      </c>
      <c r="AO35" s="256" t="inlineStr">
        <is>
          <t>12.12.2025</t>
        </is>
      </c>
      <c r="AP35" s="256" t="inlineStr">
        <is>
          <t>CNP</t>
        </is>
      </c>
      <c r="AQ35" s="256" t="inlineStr">
        <is>
          <t>19.81</t>
        </is>
      </c>
      <c r="AR35" s="256" t="inlineStr">
        <is>
          <t>ППК25379</t>
        </is>
      </c>
      <c r="AS35" s="256" t="inlineStr">
        <is>
          <t>12.12.2025</t>
        </is>
      </c>
      <c r="AT35" s="256" t="inlineStr">
        <is>
          <t>CNP</t>
        </is>
      </c>
      <c r="AU35" s="256" t="inlineStr">
        <is>
          <t>0.10</t>
        </is>
      </c>
      <c r="AV35" s="256" t="inlineStr">
        <is>
          <t>ППК25379</t>
        </is>
      </c>
      <c r="AW35" s="256" t="inlineStr">
        <is>
          <t>12.12.2025</t>
        </is>
      </c>
      <c r="AX35" s="256" t="inlineStr">
        <is>
          <t>CNP</t>
        </is>
      </c>
      <c r="AY35" s="256" t="inlineStr">
        <is>
          <t>0.03 ᴰ</t>
        </is>
      </c>
      <c r="AZ35" s="256" t="inlineStr">
        <is>
          <t>ППК25379</t>
        </is>
      </c>
      <c r="BA35" s="256" t="inlineStr">
        <is>
          <t>12.12.2025</t>
        </is>
      </c>
      <c r="BB35" s="256" t="inlineStr">
        <is>
          <t>CNP</t>
        </is>
      </c>
      <c r="BC35" s="256" t="inlineStr">
        <is>
          <t>Conforms | Одговара</t>
        </is>
      </c>
      <c r="BD35" s="256" t="inlineStr">
        <is>
          <t>iCoA-PP_26-033</t>
        </is>
      </c>
      <c r="BE35" s="256" t="inlineStr">
        <is>
          <t>03.06.2026</t>
        </is>
      </c>
      <c r="BF35" s="256" t="inlineStr">
        <is>
          <t>Purely Plant GmbH (in-house)</t>
        </is>
      </c>
      <c r="BG35" s="256" t="inlineStr">
        <is>
          <t>7.41</t>
        </is>
      </c>
      <c r="BH35" s="256" t="inlineStr">
        <is>
          <t>ППК25379</t>
        </is>
      </c>
      <c r="BI35" s="256" t="inlineStr">
        <is>
          <t>12.12.2025</t>
        </is>
      </c>
      <c r="BJ35" s="256" t="inlineStr">
        <is>
          <t>CNP</t>
        </is>
      </c>
      <c r="BK35" s="256" t="inlineStr">
        <is>
          <t>2 × 10²</t>
        </is>
      </c>
      <c r="BL35" s="256" t="inlineStr">
        <is>
          <t>1229/2195/25</t>
        </is>
      </c>
      <c r="BM35" s="256" t="inlineStr">
        <is>
          <t>05.12.2025</t>
        </is>
      </c>
      <c r="BN35" s="256" t="inlineStr">
        <is>
          <t>IPH — Institute of Public Health</t>
        </is>
      </c>
      <c r="BO35" s="256" t="inlineStr">
        <is>
          <t>3 × 10²</t>
        </is>
      </c>
      <c r="BP35" s="256" t="inlineStr">
        <is>
          <t>1229/2195/25</t>
        </is>
      </c>
      <c r="BQ35" s="256" t="inlineStr">
        <is>
          <t>05.12.2025</t>
        </is>
      </c>
      <c r="BR35" s="256" t="inlineStr">
        <is>
          <t>IPH — Institute of Public Health</t>
        </is>
      </c>
      <c r="BS35" s="256" t="inlineStr">
        <is>
          <t>&lt; 10</t>
        </is>
      </c>
      <c r="BT35" s="256" t="inlineStr">
        <is>
          <t>1229/2195/25</t>
        </is>
      </c>
      <c r="BU35" s="256" t="inlineStr">
        <is>
          <t>05.12.2025</t>
        </is>
      </c>
      <c r="BV35" s="256" t="inlineStr">
        <is>
          <t>IPH — Institute of Public Health</t>
        </is>
      </c>
      <c r="BW35" s="256" t="inlineStr">
        <is>
          <t>Absent | Отсутна</t>
        </is>
      </c>
      <c r="BX35" s="256" t="inlineStr">
        <is>
          <t>1229/2195/25</t>
        </is>
      </c>
      <c r="BY35" s="256" t="inlineStr">
        <is>
          <t>05.12.2025</t>
        </is>
      </c>
      <c r="BZ35" s="256" t="inlineStr">
        <is>
          <t>IPH — Institute of Public Health</t>
        </is>
      </c>
      <c r="CA35" s="256" t="inlineStr">
        <is>
          <t>Absent | Отсутна</t>
        </is>
      </c>
      <c r="CB35" s="256" t="inlineStr">
        <is>
          <t>1229/2195/25</t>
        </is>
      </c>
      <c r="CC35" s="256" t="inlineStr">
        <is>
          <t>05.12.2025</t>
        </is>
      </c>
      <c r="CD35" s="256" t="inlineStr">
        <is>
          <t>IPH — Institute of Public Health</t>
        </is>
      </c>
      <c r="CE35" s="260" t="inlineStr">
        <is>
          <t>upon request — not required for release</t>
        </is>
      </c>
      <c r="CF35" s="256" t="inlineStr">
        <is>
          <t>—</t>
        </is>
      </c>
      <c r="CG35" s="256" t="inlineStr">
        <is>
          <t>—</t>
        </is>
      </c>
      <c r="CH35" s="256" t="inlineStr">
        <is>
          <t>—</t>
        </is>
      </c>
      <c r="CI35" s="260" t="inlineStr">
        <is>
          <t>upon request — not required for release</t>
        </is>
      </c>
      <c r="CJ35" s="256" t="inlineStr">
        <is>
          <t>—</t>
        </is>
      </c>
      <c r="CK35" s="256" t="inlineStr">
        <is>
          <t>—</t>
        </is>
      </c>
      <c r="CL35" s="256" t="inlineStr">
        <is>
          <t>—</t>
        </is>
      </c>
      <c r="CM35" s="259" t="inlineStr">
        <is>
          <t>not tested</t>
        </is>
      </c>
      <c r="CN35" s="256" t="inlineStr">
        <is>
          <t>—</t>
        </is>
      </c>
      <c r="CO35" s="256" t="inlineStr">
        <is>
          <t>—</t>
        </is>
      </c>
      <c r="CP35" s="256" t="inlineStr">
        <is>
          <t>—</t>
        </is>
      </c>
      <c r="CQ35" s="256" t="inlineStr">
        <is>
          <t>&lt; 2</t>
        </is>
      </c>
      <c r="CR35" s="256" t="inlineStr">
        <is>
          <t>5887/2025</t>
        </is>
      </c>
      <c r="CS35" s="256" t="inlineStr">
        <is>
          <t>12.12.2025</t>
        </is>
      </c>
      <c r="CT35" s="256" t="inlineStr">
        <is>
          <t>IPH — Institute of Public Health</t>
        </is>
      </c>
      <c r="CU35" s="259" t="inlineStr">
        <is>
          <t>not tested</t>
        </is>
      </c>
      <c r="CV35" s="256" t="inlineStr">
        <is>
          <t>—</t>
        </is>
      </c>
      <c r="CW35" s="256" t="inlineStr">
        <is>
          <t>—</t>
        </is>
      </c>
      <c r="CX35" s="256" t="inlineStr">
        <is>
          <t>—</t>
        </is>
      </c>
      <c r="CY35" s="256" t="inlineStr">
        <is>
          <t>0.017</t>
        </is>
      </c>
      <c r="CZ35" s="256" t="inlineStr">
        <is>
          <t>5887/2025</t>
        </is>
      </c>
      <c r="DA35" s="256" t="inlineStr">
        <is>
          <t>12.12.2025</t>
        </is>
      </c>
      <c r="DB35" s="256" t="inlineStr">
        <is>
          <t>IPH — Institute of Public Health</t>
        </is>
      </c>
      <c r="DC35" s="256" t="inlineStr">
        <is>
          <t>0.0028</t>
        </is>
      </c>
      <c r="DD35" s="256" t="inlineStr">
        <is>
          <t>5887/2025</t>
        </is>
      </c>
      <c r="DE35" s="256" t="inlineStr">
        <is>
          <t>12.12.2025</t>
        </is>
      </c>
      <c r="DF35" s="256" t="inlineStr">
        <is>
          <t>IPH — Institute of Public Health</t>
        </is>
      </c>
      <c r="DG35" s="256" t="inlineStr">
        <is>
          <t>0.02</t>
        </is>
      </c>
      <c r="DH35" s="256" t="inlineStr">
        <is>
          <t>5887/2025</t>
        </is>
      </c>
      <c r="DI35" s="256" t="inlineStr">
        <is>
          <t>12.12.2025</t>
        </is>
      </c>
      <c r="DJ35" s="256" t="inlineStr">
        <is>
          <t>IPH — Institute of Public Health</t>
        </is>
      </c>
      <c r="DK35" s="256" t="inlineStr">
        <is>
          <t>0.019</t>
        </is>
      </c>
      <c r="DL35" s="256" t="inlineStr">
        <is>
          <t>5887/2025</t>
        </is>
      </c>
      <c r="DM35" s="256" t="inlineStr">
        <is>
          <t>12.12.2025</t>
        </is>
      </c>
      <c r="DN35" s="256" t="inlineStr">
        <is>
          <t>IPH — Institute of Public Health</t>
        </is>
      </c>
      <c r="DO35" s="256" t="inlineStr">
        <is>
          <t>ND</t>
        </is>
      </c>
      <c r="DP35" s="256" t="inlineStr">
        <is>
          <t>5887/2025</t>
        </is>
      </c>
      <c r="DQ35" s="256" t="inlineStr">
        <is>
          <t>12.12.2025</t>
        </is>
      </c>
      <c r="DR35" s="256" t="inlineStr">
        <is>
          <t>IPH — Institute of Public Health</t>
        </is>
      </c>
    </row>
    <row r="36">
      <c r="A36" s="256" t="inlineStr">
        <is>
          <t>CoQ-PP_26-035</t>
        </is>
      </c>
      <c r="B36" s="256" t="inlineStr">
        <is>
          <t>release</t>
        </is>
      </c>
      <c r="C36" s="256" t="inlineStr">
        <is>
          <t>issuable</t>
        </is>
      </c>
      <c r="D36" s="256" t="inlineStr">
        <is>
          <t>06.06.2026</t>
        </is>
      </c>
      <c r="E36" s="256" t="inlineStr">
        <is>
          <t>n/a — release certificate</t>
        </is>
      </c>
      <c r="F36" s="256" t="inlineStr">
        <is>
          <t>CoQ-PP-2025-0021</t>
        </is>
      </c>
      <c r="G36" s="256" t="inlineStr">
        <is>
          <t>GP082501/1</t>
        </is>
      </c>
      <c r="H36" s="256" t="inlineStr">
        <is>
          <t>P050312</t>
        </is>
      </c>
      <c r="I36" s="256" t="inlineStr">
        <is>
          <t>Grape Pie</t>
        </is>
      </c>
      <c r="J36" s="256" t="inlineStr">
        <is>
          <t>19.11.2025 – 20.11.2025</t>
        </is>
      </c>
      <c r="K36" s="256" t="inlineStr">
        <is>
          <t>23.12.2025 – 26.12.2025</t>
        </is>
      </c>
      <c r="L36" s="256" t="inlineStr">
        <is>
          <t>19.11.2025</t>
        </is>
      </c>
      <c r="M36" s="256" t="inlineStr">
        <is>
          <t>23.12.2025</t>
        </is>
      </c>
      <c r="N36" s="256" t="inlineStr">
        <is>
          <t>iCoA-PP_26-034</t>
        </is>
      </c>
      <c r="O36" s="256" t="inlineStr">
        <is>
          <t>03.06.2026</t>
        </is>
      </c>
      <c r="P36" s="256" t="inlineStr">
        <is>
          <t>23.12.2025</t>
        </is>
      </c>
      <c r="Q36" s="256" t="inlineStr">
        <is>
          <t>—</t>
        </is>
      </c>
      <c r="R36" s="256" t="inlineStr">
        <is>
          <t>21.29</t>
        </is>
      </c>
      <c r="S36" s="256" t="inlineStr">
        <is>
          <t>ППК25380</t>
        </is>
      </c>
      <c r="T36" s="256" t="inlineStr">
        <is>
          <t>III</t>
        </is>
      </c>
      <c r="U36" s="256" t="inlineStr">
        <is>
          <t>18.00 – 21.99 %</t>
        </is>
      </c>
      <c r="V36" s="256" t="inlineStr">
        <is>
          <t>GP_THC20 : CBD1</t>
        </is>
      </c>
      <c r="W36" s="256" t="inlineStr">
        <is>
          <t>QCSP_001_GP-III_v.01</t>
        </is>
      </c>
      <c r="X36" s="256" t="inlineStr">
        <is>
          <t>for review — replaces the issued QCSP_001_GP-III_v.01 (was GP_THC24 : CBD1, 22.61 – 25.39 %); now GP_THC20 : CBD1 18.00 – 21.99 %</t>
        </is>
      </c>
      <c r="Y36" s="256" t="inlineStr">
        <is>
          <t>HYBRID</t>
        </is>
      </c>
      <c r="Z36" s="256" t="inlineStr">
        <is>
          <t>THC</t>
        </is>
      </c>
      <c r="AA36" s="256" t="inlineStr">
        <is>
          <t>MACHINE TRIMMED</t>
        </is>
      </c>
      <c r="AB36" s="256" t="inlineStr">
        <is>
          <t>INDICA-DOMINANT</t>
        </is>
      </c>
      <c r="AC36" s="256" t="inlineStr">
        <is>
          <t>Triplex Alu Bag | Триплекс Aлу Kеса, PET 12 · ALU 7 · PE 80, 300 × 500 mm, net. 400.0 g ±3%</t>
        </is>
      </c>
      <c r="AD36" s="256" t="inlineStr">
        <is>
          <t>21.01.2026</t>
        </is>
      </c>
      <c r="AE36" s="256" t="inlineStr">
        <is>
          <t>Conforms | Одговара</t>
        </is>
      </c>
      <c r="AF36" s="256" t="inlineStr">
        <is>
          <t>iCoA-PP_26-034</t>
        </is>
      </c>
      <c r="AG36" s="256" t="inlineStr">
        <is>
          <t>03.06.2026</t>
        </is>
      </c>
      <c r="AH36" s="256" t="inlineStr">
        <is>
          <t>Purely Plant GmbH (in-house)</t>
        </is>
      </c>
      <c r="AI36" s="256" t="inlineStr">
        <is>
          <t>Conforms | Одговара</t>
        </is>
      </c>
      <c r="AJ36" s="256" t="inlineStr">
        <is>
          <t>iCoA-PP_26-034</t>
        </is>
      </c>
      <c r="AK36" s="256" t="inlineStr">
        <is>
          <t>03.06.2026</t>
        </is>
      </c>
      <c r="AL36" s="256" t="inlineStr">
        <is>
          <t>Purely Plant GmbH (in-house)</t>
        </is>
      </c>
      <c r="AM36" s="256" t="inlineStr">
        <is>
          <t>Conforms | Одговара</t>
        </is>
      </c>
      <c r="AN36" s="256" t="inlineStr">
        <is>
          <t>ППК25380</t>
        </is>
      </c>
      <c r="AO36" s="256" t="inlineStr">
        <is>
          <t>12.12.2025</t>
        </is>
      </c>
      <c r="AP36" s="256" t="inlineStr">
        <is>
          <t>CNP</t>
        </is>
      </c>
      <c r="AQ36" s="256" t="inlineStr">
        <is>
          <t>21.29</t>
        </is>
      </c>
      <c r="AR36" s="256" t="inlineStr">
        <is>
          <t>ППК25380</t>
        </is>
      </c>
      <c r="AS36" s="256" t="inlineStr">
        <is>
          <t>12.12.2025</t>
        </is>
      </c>
      <c r="AT36" s="256" t="inlineStr">
        <is>
          <t>CNP</t>
        </is>
      </c>
      <c r="AU36" s="256" t="inlineStr">
        <is>
          <t>0.08</t>
        </is>
      </c>
      <c r="AV36" s="256" t="inlineStr">
        <is>
          <t>ППК25380</t>
        </is>
      </c>
      <c r="AW36" s="256" t="inlineStr">
        <is>
          <t>12.12.2025</t>
        </is>
      </c>
      <c r="AX36" s="256" t="inlineStr">
        <is>
          <t>CNP</t>
        </is>
      </c>
      <c r="AY36" s="256" t="inlineStr">
        <is>
          <t>0.03 ᴰ</t>
        </is>
      </c>
      <c r="AZ36" s="256" t="inlineStr">
        <is>
          <t>ППК25380</t>
        </is>
      </c>
      <c r="BA36" s="256" t="inlineStr">
        <is>
          <t>12.12.2025</t>
        </is>
      </c>
      <c r="BB36" s="256" t="inlineStr">
        <is>
          <t>CNP</t>
        </is>
      </c>
      <c r="BC36" s="256" t="inlineStr">
        <is>
          <t>Conforms | Одговара</t>
        </is>
      </c>
      <c r="BD36" s="256" t="inlineStr">
        <is>
          <t>iCoA-PP_26-034</t>
        </is>
      </c>
      <c r="BE36" s="256" t="inlineStr">
        <is>
          <t>03.06.2026</t>
        </is>
      </c>
      <c r="BF36" s="256" t="inlineStr">
        <is>
          <t>Purely Plant GmbH (in-house)</t>
        </is>
      </c>
      <c r="BG36" s="256" t="inlineStr">
        <is>
          <t>6.29</t>
        </is>
      </c>
      <c r="BH36" s="256" t="inlineStr">
        <is>
          <t>ППК25380</t>
        </is>
      </c>
      <c r="BI36" s="256" t="inlineStr">
        <is>
          <t>12.12.2025</t>
        </is>
      </c>
      <c r="BJ36" s="256" t="inlineStr">
        <is>
          <t>CNP</t>
        </is>
      </c>
      <c r="BK36" s="256" t="inlineStr">
        <is>
          <t>4.3 × 10²</t>
        </is>
      </c>
      <c r="BL36" s="256" t="inlineStr">
        <is>
          <t>1226/2192/25</t>
        </is>
      </c>
      <c r="BM36" s="256" t="inlineStr">
        <is>
          <t>05.12.2025</t>
        </is>
      </c>
      <c r="BN36" s="256" t="inlineStr">
        <is>
          <t>IPH — Institute of Public Health</t>
        </is>
      </c>
      <c r="BO36" s="256" t="inlineStr">
        <is>
          <t>1 × 10³</t>
        </is>
      </c>
      <c r="BP36" s="256" t="inlineStr">
        <is>
          <t>1226/2192/25</t>
        </is>
      </c>
      <c r="BQ36" s="256" t="inlineStr">
        <is>
          <t>05.12.2025</t>
        </is>
      </c>
      <c r="BR36" s="256" t="inlineStr">
        <is>
          <t>IPH — Institute of Public Health</t>
        </is>
      </c>
      <c r="BS36" s="256" t="inlineStr">
        <is>
          <t>&lt; 10³ and &gt; 10²</t>
        </is>
      </c>
      <c r="BT36" s="256" t="inlineStr">
        <is>
          <t>1226/2192/25</t>
        </is>
      </c>
      <c r="BU36" s="256" t="inlineStr">
        <is>
          <t>05.12.2025</t>
        </is>
      </c>
      <c r="BV36" s="256" t="inlineStr">
        <is>
          <t>IPH — Institute of Public Health</t>
        </is>
      </c>
      <c r="BW36" s="256" t="inlineStr">
        <is>
          <t>Absent | Отсутна</t>
        </is>
      </c>
      <c r="BX36" s="256" t="inlineStr">
        <is>
          <t>1226/2192/25</t>
        </is>
      </c>
      <c r="BY36" s="256" t="inlineStr">
        <is>
          <t>05.12.2025</t>
        </is>
      </c>
      <c r="BZ36" s="256" t="inlineStr">
        <is>
          <t>IPH — Institute of Public Health</t>
        </is>
      </c>
      <c r="CA36" s="256" t="inlineStr">
        <is>
          <t>Absent | Отсутна</t>
        </is>
      </c>
      <c r="CB36" s="256" t="inlineStr">
        <is>
          <t>1226/2192/25</t>
        </is>
      </c>
      <c r="CC36" s="256" t="inlineStr">
        <is>
          <t>05.12.2025</t>
        </is>
      </c>
      <c r="CD36" s="256" t="inlineStr">
        <is>
          <t>IPH — Institute of Public Health</t>
        </is>
      </c>
      <c r="CE36" s="260" t="inlineStr">
        <is>
          <t>upon request — not required for release</t>
        </is>
      </c>
      <c r="CF36" s="256" t="inlineStr">
        <is>
          <t>—</t>
        </is>
      </c>
      <c r="CG36" s="256" t="inlineStr">
        <is>
          <t>—</t>
        </is>
      </c>
      <c r="CH36" s="256" t="inlineStr">
        <is>
          <t>—</t>
        </is>
      </c>
      <c r="CI36" s="260" t="inlineStr">
        <is>
          <t>upon request — not required for release</t>
        </is>
      </c>
      <c r="CJ36" s="256" t="inlineStr">
        <is>
          <t>—</t>
        </is>
      </c>
      <c r="CK36" s="256" t="inlineStr">
        <is>
          <t>—</t>
        </is>
      </c>
      <c r="CL36" s="256" t="inlineStr">
        <is>
          <t>—</t>
        </is>
      </c>
      <c r="CM36" s="259" t="inlineStr">
        <is>
          <t>not tested</t>
        </is>
      </c>
      <c r="CN36" s="256" t="inlineStr">
        <is>
          <t>—</t>
        </is>
      </c>
      <c r="CO36" s="256" t="inlineStr">
        <is>
          <t>—</t>
        </is>
      </c>
      <c r="CP36" s="256" t="inlineStr">
        <is>
          <t>—</t>
        </is>
      </c>
      <c r="CQ36" s="256" t="inlineStr">
        <is>
          <t>&lt; 2</t>
        </is>
      </c>
      <c r="CR36" s="256" t="inlineStr">
        <is>
          <t>5888/2025</t>
        </is>
      </c>
      <c r="CS36" s="256" t="inlineStr">
        <is>
          <t>12.12.2025</t>
        </is>
      </c>
      <c r="CT36" s="256" t="inlineStr">
        <is>
          <t>IPH — Institute of Public Health</t>
        </is>
      </c>
      <c r="CU36" s="259" t="inlineStr">
        <is>
          <t>not tested</t>
        </is>
      </c>
      <c r="CV36" s="256" t="inlineStr">
        <is>
          <t>—</t>
        </is>
      </c>
      <c r="CW36" s="256" t="inlineStr">
        <is>
          <t>—</t>
        </is>
      </c>
      <c r="CX36" s="256" t="inlineStr">
        <is>
          <t>—</t>
        </is>
      </c>
      <c r="CY36" s="256" t="inlineStr">
        <is>
          <t>0.014</t>
        </is>
      </c>
      <c r="CZ36" s="256" t="inlineStr">
        <is>
          <t>5888/2025</t>
        </is>
      </c>
      <c r="DA36" s="256" t="inlineStr">
        <is>
          <t>12.12.2025</t>
        </is>
      </c>
      <c r="DB36" s="256" t="inlineStr">
        <is>
          <t>IPH — Institute of Public Health</t>
        </is>
      </c>
      <c r="DC36" s="256" t="inlineStr">
        <is>
          <t>0.003</t>
        </is>
      </c>
      <c r="DD36" s="256" t="inlineStr">
        <is>
          <t>5888/2025</t>
        </is>
      </c>
      <c r="DE36" s="256" t="inlineStr">
        <is>
          <t>12.12.2025</t>
        </is>
      </c>
      <c r="DF36" s="256" t="inlineStr">
        <is>
          <t>IPH — Institute of Public Health</t>
        </is>
      </c>
      <c r="DG36" s="256" t="inlineStr">
        <is>
          <t>0.02</t>
        </is>
      </c>
      <c r="DH36" s="256" t="inlineStr">
        <is>
          <t>5888/2025</t>
        </is>
      </c>
      <c r="DI36" s="256" t="inlineStr">
        <is>
          <t>12.12.2025</t>
        </is>
      </c>
      <c r="DJ36" s="256" t="inlineStr">
        <is>
          <t>IPH — Institute of Public Health</t>
        </is>
      </c>
      <c r="DK36" s="256" t="inlineStr">
        <is>
          <t>0.017</t>
        </is>
      </c>
      <c r="DL36" s="256" t="inlineStr">
        <is>
          <t>5888/2025</t>
        </is>
      </c>
      <c r="DM36" s="256" t="inlineStr">
        <is>
          <t>12.12.2025</t>
        </is>
      </c>
      <c r="DN36" s="256" t="inlineStr">
        <is>
          <t>IPH — Institute of Public Health</t>
        </is>
      </c>
      <c r="DO36" s="256" t="inlineStr">
        <is>
          <t>ND</t>
        </is>
      </c>
      <c r="DP36" s="256" t="inlineStr">
        <is>
          <t>5888/2025</t>
        </is>
      </c>
      <c r="DQ36" s="256" t="inlineStr">
        <is>
          <t>12.12.2025</t>
        </is>
      </c>
      <c r="DR36" s="256" t="inlineStr">
        <is>
          <t>IPH — Institute of Public Health</t>
        </is>
      </c>
    </row>
    <row r="37">
      <c r="A37" s="256" t="inlineStr">
        <is>
          <t>CoQ-PP_26-036</t>
        </is>
      </c>
      <c r="B37" s="256" t="inlineStr">
        <is>
          <t>release</t>
        </is>
      </c>
      <c r="C37" s="256" t="inlineStr">
        <is>
          <t>issuable</t>
        </is>
      </c>
      <c r="D37" s="256" t="inlineStr">
        <is>
          <t>06.06.2026</t>
        </is>
      </c>
      <c r="E37" s="256" t="inlineStr">
        <is>
          <t>n/a — release certificate</t>
        </is>
      </c>
      <c r="F37" s="256" t="inlineStr">
        <is>
          <t>CoQ-PP-2025-0022</t>
        </is>
      </c>
      <c r="G37" s="256" t="inlineStr">
        <is>
          <t>GP082501/2</t>
        </is>
      </c>
      <c r="H37" s="256" t="inlineStr">
        <is>
          <t>P050322</t>
        </is>
      </c>
      <c r="I37" s="256" t="inlineStr">
        <is>
          <t>Grape Pie</t>
        </is>
      </c>
      <c r="J37" s="256" t="inlineStr">
        <is>
          <t>20.11.2025</t>
        </is>
      </c>
      <c r="K37" s="256" t="inlineStr">
        <is>
          <t>26.12.2025</t>
        </is>
      </c>
      <c r="L37" s="256" t="inlineStr">
        <is>
          <t>20.11.2025</t>
        </is>
      </c>
      <c r="M37" s="256" t="inlineStr">
        <is>
          <t>26.12.2025</t>
        </is>
      </c>
      <c r="N37" s="256" t="inlineStr">
        <is>
          <t>iCoA-PP_26-035</t>
        </is>
      </c>
      <c r="O37" s="256" t="inlineStr">
        <is>
          <t>03.06.2026</t>
        </is>
      </c>
      <c r="P37" s="256" t="inlineStr">
        <is>
          <t>26.12.2025</t>
        </is>
      </c>
      <c r="Q37" s="256" t="inlineStr">
        <is>
          <t>—</t>
        </is>
      </c>
      <c r="R37" s="256" t="inlineStr">
        <is>
          <t>14.83</t>
        </is>
      </c>
      <c r="S37" s="256" t="inlineStr">
        <is>
          <t>ППК25381</t>
        </is>
      </c>
      <c r="T37" s="256" t="inlineStr">
        <is>
          <t>IV</t>
        </is>
      </c>
      <c r="U37" s="256" t="inlineStr">
        <is>
          <t>14.40 – 17.59 %</t>
        </is>
      </c>
      <c r="V37" s="256" t="inlineStr">
        <is>
          <t>GP_THC16 : CBD1</t>
        </is>
      </c>
      <c r="W37" s="256" t="inlineStr">
        <is>
          <t>QCSP_001_GP-IV_v.01</t>
        </is>
      </c>
      <c r="X37" s="256" t="inlineStr">
        <is>
          <t>for review — replaces the issued QCSP_001_GP-IV_v.01 (was GP_THC20 : CBD1, 18.00 – 22.00 %); now GP_THC16 : CBD1 14.40 – 17.59 %</t>
        </is>
      </c>
      <c r="Y37" s="256" t="inlineStr">
        <is>
          <t>HYBRID</t>
        </is>
      </c>
      <c r="Z37" s="256" t="inlineStr">
        <is>
          <t>THC</t>
        </is>
      </c>
      <c r="AA37" s="256" t="inlineStr">
        <is>
          <t>MACHINE TRIMMED</t>
        </is>
      </c>
      <c r="AB37" s="256" t="inlineStr">
        <is>
          <t>INDICA-DOMINANT</t>
        </is>
      </c>
      <c r="AC37" s="256" t="inlineStr">
        <is>
          <t>Triplex Alu Bag | Триплекс Aлу Kеса, PET 12 · ALU 7 · PE 80, 300 × 500 mm, net. 400.0 g ±3%</t>
        </is>
      </c>
      <c r="AD37" s="256" t="inlineStr">
        <is>
          <t>21.01.2026</t>
        </is>
      </c>
      <c r="AE37" s="256" t="inlineStr">
        <is>
          <t>Conforms | Одговара</t>
        </is>
      </c>
      <c r="AF37" s="256" t="inlineStr">
        <is>
          <t>iCoA-PP_26-035</t>
        </is>
      </c>
      <c r="AG37" s="256" t="inlineStr">
        <is>
          <t>03.06.2026</t>
        </is>
      </c>
      <c r="AH37" s="256" t="inlineStr">
        <is>
          <t>Purely Plant GmbH (in-house)</t>
        </is>
      </c>
      <c r="AI37" s="256" t="inlineStr">
        <is>
          <t>Conforms | Одговара</t>
        </is>
      </c>
      <c r="AJ37" s="256" t="inlineStr">
        <is>
          <t>iCoA-PP_26-035</t>
        </is>
      </c>
      <c r="AK37" s="256" t="inlineStr">
        <is>
          <t>03.06.2026</t>
        </is>
      </c>
      <c r="AL37" s="256" t="inlineStr">
        <is>
          <t>Purely Plant GmbH (in-house)</t>
        </is>
      </c>
      <c r="AM37" s="256" t="inlineStr">
        <is>
          <t>Conforms | Одговара</t>
        </is>
      </c>
      <c r="AN37" s="256" t="inlineStr">
        <is>
          <t>ППК25381</t>
        </is>
      </c>
      <c r="AO37" s="256" t="inlineStr">
        <is>
          <t>12.12.2025</t>
        </is>
      </c>
      <c r="AP37" s="256" t="inlineStr">
        <is>
          <t>CNP</t>
        </is>
      </c>
      <c r="AQ37" s="256" t="inlineStr">
        <is>
          <t>14.83</t>
        </is>
      </c>
      <c r="AR37" s="256" t="inlineStr">
        <is>
          <t>ППК25381</t>
        </is>
      </c>
      <c r="AS37" s="256" t="inlineStr">
        <is>
          <t>12.12.2025</t>
        </is>
      </c>
      <c r="AT37" s="256" t="inlineStr">
        <is>
          <t>CNP</t>
        </is>
      </c>
      <c r="AU37" s="256" t="inlineStr">
        <is>
          <t>0.11</t>
        </is>
      </c>
      <c r="AV37" s="256" t="inlineStr">
        <is>
          <t>ППК25381</t>
        </is>
      </c>
      <c r="AW37" s="256" t="inlineStr">
        <is>
          <t>12.12.2025</t>
        </is>
      </c>
      <c r="AX37" s="256" t="inlineStr">
        <is>
          <t>CNP</t>
        </is>
      </c>
      <c r="AY37" s="256" t="inlineStr">
        <is>
          <t>0.02 ᴰ</t>
        </is>
      </c>
      <c r="AZ37" s="256" t="inlineStr">
        <is>
          <t>ППК25381</t>
        </is>
      </c>
      <c r="BA37" s="256" t="inlineStr">
        <is>
          <t>12.12.2025</t>
        </is>
      </c>
      <c r="BB37" s="256" t="inlineStr">
        <is>
          <t>CNP</t>
        </is>
      </c>
      <c r="BC37" s="256" t="inlineStr">
        <is>
          <t>Conforms | Одговара</t>
        </is>
      </c>
      <c r="BD37" s="256" t="inlineStr">
        <is>
          <t>iCoA-PP_26-035</t>
        </is>
      </c>
      <c r="BE37" s="256" t="inlineStr">
        <is>
          <t>03.06.2026</t>
        </is>
      </c>
      <c r="BF37" s="256" t="inlineStr">
        <is>
          <t>Purely Plant GmbH (in-house)</t>
        </is>
      </c>
      <c r="BG37" s="256" t="inlineStr">
        <is>
          <t>6.88</t>
        </is>
      </c>
      <c r="BH37" s="256" t="inlineStr">
        <is>
          <t>ППК25381</t>
        </is>
      </c>
      <c r="BI37" s="256" t="inlineStr">
        <is>
          <t>12.12.2025</t>
        </is>
      </c>
      <c r="BJ37" s="256" t="inlineStr">
        <is>
          <t>CNP</t>
        </is>
      </c>
      <c r="BK37" s="256" t="inlineStr">
        <is>
          <t>3.2 × 10³</t>
        </is>
      </c>
      <c r="BL37" s="256" t="inlineStr">
        <is>
          <t>1227/2193/25</t>
        </is>
      </c>
      <c r="BM37" s="256" t="inlineStr">
        <is>
          <t>05.12.2025</t>
        </is>
      </c>
      <c r="BN37" s="256" t="inlineStr">
        <is>
          <t>IPH — Institute of Public Health</t>
        </is>
      </c>
      <c r="BO37" s="256" t="inlineStr">
        <is>
          <t>5.8 × 10³</t>
        </is>
      </c>
      <c r="BP37" s="256" t="inlineStr">
        <is>
          <t>1227/2193/25</t>
        </is>
      </c>
      <c r="BQ37" s="256" t="inlineStr">
        <is>
          <t>05.12.2025</t>
        </is>
      </c>
      <c r="BR37" s="256" t="inlineStr">
        <is>
          <t>IPH — Institute of Public Health</t>
        </is>
      </c>
      <c r="BS37" s="256" t="inlineStr">
        <is>
          <t>&lt; 10⁴ and &gt; 10³</t>
        </is>
      </c>
      <c r="BT37" s="256" t="inlineStr">
        <is>
          <t>1227/2193/25</t>
        </is>
      </c>
      <c r="BU37" s="256" t="inlineStr">
        <is>
          <t>05.12.2025</t>
        </is>
      </c>
      <c r="BV37" s="256" t="inlineStr">
        <is>
          <t>IPH — Institute of Public Health</t>
        </is>
      </c>
      <c r="BW37" s="256" t="inlineStr">
        <is>
          <t>Absent | Отсутна</t>
        </is>
      </c>
      <c r="BX37" s="256" t="inlineStr">
        <is>
          <t>1227/2193/25</t>
        </is>
      </c>
      <c r="BY37" s="256" t="inlineStr">
        <is>
          <t>05.12.2025</t>
        </is>
      </c>
      <c r="BZ37" s="256" t="inlineStr">
        <is>
          <t>IPH — Institute of Public Health</t>
        </is>
      </c>
      <c r="CA37" s="256" t="inlineStr">
        <is>
          <t>Absent | Отсутна</t>
        </is>
      </c>
      <c r="CB37" s="256" t="inlineStr">
        <is>
          <t>1227/2193/25</t>
        </is>
      </c>
      <c r="CC37" s="256" t="inlineStr">
        <is>
          <t>05.12.2025</t>
        </is>
      </c>
      <c r="CD37" s="256" t="inlineStr">
        <is>
          <t>IPH — Institute of Public Health</t>
        </is>
      </c>
      <c r="CE37" s="260" t="inlineStr">
        <is>
          <t>upon request — not required for release</t>
        </is>
      </c>
      <c r="CF37" s="256" t="inlineStr">
        <is>
          <t>—</t>
        </is>
      </c>
      <c r="CG37" s="256" t="inlineStr">
        <is>
          <t>—</t>
        </is>
      </c>
      <c r="CH37" s="256" t="inlineStr">
        <is>
          <t>—</t>
        </is>
      </c>
      <c r="CI37" s="260" t="inlineStr">
        <is>
          <t>upon request — not required for release</t>
        </is>
      </c>
      <c r="CJ37" s="256" t="inlineStr">
        <is>
          <t>—</t>
        </is>
      </c>
      <c r="CK37" s="256" t="inlineStr">
        <is>
          <t>—</t>
        </is>
      </c>
      <c r="CL37" s="256" t="inlineStr">
        <is>
          <t>—</t>
        </is>
      </c>
      <c r="CM37" s="259" t="inlineStr">
        <is>
          <t>not tested</t>
        </is>
      </c>
      <c r="CN37" s="256" t="inlineStr">
        <is>
          <t>—</t>
        </is>
      </c>
      <c r="CO37" s="256" t="inlineStr">
        <is>
          <t>—</t>
        </is>
      </c>
      <c r="CP37" s="256" t="inlineStr">
        <is>
          <t>—</t>
        </is>
      </c>
      <c r="CQ37" s="256" t="inlineStr">
        <is>
          <t>&lt; 2</t>
        </is>
      </c>
      <c r="CR37" s="256" t="inlineStr">
        <is>
          <t>5889/2025</t>
        </is>
      </c>
      <c r="CS37" s="256" t="inlineStr">
        <is>
          <t>12.12.2025</t>
        </is>
      </c>
      <c r="CT37" s="256" t="inlineStr">
        <is>
          <t>IPH — Institute of Public Health</t>
        </is>
      </c>
      <c r="CU37" s="259" t="inlineStr">
        <is>
          <t>not tested</t>
        </is>
      </c>
      <c r="CV37" s="256" t="inlineStr">
        <is>
          <t>—</t>
        </is>
      </c>
      <c r="CW37" s="256" t="inlineStr">
        <is>
          <t>—</t>
        </is>
      </c>
      <c r="CX37" s="256" t="inlineStr">
        <is>
          <t>—</t>
        </is>
      </c>
      <c r="CY37" s="256" t="inlineStr">
        <is>
          <t>0.013</t>
        </is>
      </c>
      <c r="CZ37" s="256" t="inlineStr">
        <is>
          <t>5889/2025</t>
        </is>
      </c>
      <c r="DA37" s="256" t="inlineStr">
        <is>
          <t>12.12.2025</t>
        </is>
      </c>
      <c r="DB37" s="256" t="inlineStr">
        <is>
          <t>IPH — Institute of Public Health</t>
        </is>
      </c>
      <c r="DC37" s="256" t="inlineStr">
        <is>
          <t>0.003</t>
        </is>
      </c>
      <c r="DD37" s="256" t="inlineStr">
        <is>
          <t>5889/2025</t>
        </is>
      </c>
      <c r="DE37" s="256" t="inlineStr">
        <is>
          <t>12.12.2025</t>
        </is>
      </c>
      <c r="DF37" s="256" t="inlineStr">
        <is>
          <t>IPH — Institute of Public Health</t>
        </is>
      </c>
      <c r="DG37" s="256" t="inlineStr">
        <is>
          <t>0.02</t>
        </is>
      </c>
      <c r="DH37" s="256" t="inlineStr">
        <is>
          <t>5889/2025</t>
        </is>
      </c>
      <c r="DI37" s="256" t="inlineStr">
        <is>
          <t>12.12.2025</t>
        </is>
      </c>
      <c r="DJ37" s="256" t="inlineStr">
        <is>
          <t>IPH — Institute of Public Health</t>
        </is>
      </c>
      <c r="DK37" s="256" t="inlineStr">
        <is>
          <t>0.016</t>
        </is>
      </c>
      <c r="DL37" s="256" t="inlineStr">
        <is>
          <t>5889/2025</t>
        </is>
      </c>
      <c r="DM37" s="256" t="inlineStr">
        <is>
          <t>12.12.2025</t>
        </is>
      </c>
      <c r="DN37" s="256" t="inlineStr">
        <is>
          <t>IPH — Institute of Public Health</t>
        </is>
      </c>
      <c r="DO37" s="256" t="inlineStr">
        <is>
          <t>ND</t>
        </is>
      </c>
      <c r="DP37" s="256" t="inlineStr">
        <is>
          <t>5889/2025</t>
        </is>
      </c>
      <c r="DQ37" s="256" t="inlineStr">
        <is>
          <t>12.12.2025</t>
        </is>
      </c>
      <c r="DR37" s="256" t="inlineStr">
        <is>
          <t>IPH — Institute of Public Health</t>
        </is>
      </c>
    </row>
    <row r="38">
      <c r="A38" s="256" t="inlineStr">
        <is>
          <t>CoQ-PP_26-037</t>
        </is>
      </c>
      <c r="B38" s="256" t="inlineStr">
        <is>
          <t>release</t>
        </is>
      </c>
      <c r="C38" s="256" t="inlineStr">
        <is>
          <t>issuable</t>
        </is>
      </c>
      <c r="D38" s="256" t="inlineStr">
        <is>
          <t>06.06.2026</t>
        </is>
      </c>
      <c r="E38" s="256" t="inlineStr">
        <is>
          <t>n/a — release certificate</t>
        </is>
      </c>
      <c r="F38" s="256" t="inlineStr">
        <is>
          <t>CoQ-PP-2026-0001</t>
        </is>
      </c>
      <c r="G38" s="256" t="inlineStr">
        <is>
          <t>WC082501</t>
        </is>
      </c>
      <c r="H38" s="256" t="inlineStr">
        <is>
          <t>P060012</t>
        </is>
      </c>
      <c r="I38" s="256" t="inlineStr">
        <is>
          <t>Wedding Crusher</t>
        </is>
      </c>
      <c r="J38" s="256" t="inlineStr">
        <is>
          <t>09.12.2025</t>
        </is>
      </c>
      <c r="K38" s="256" t="inlineStr">
        <is>
          <t>13.01.2026 – 14.01.2026</t>
        </is>
      </c>
      <c r="L38" s="256" t="inlineStr">
        <is>
          <t>09.12.2025</t>
        </is>
      </c>
      <c r="M38" s="256" t="inlineStr">
        <is>
          <t>13.01.2026</t>
        </is>
      </c>
      <c r="N38" s="256" t="inlineStr">
        <is>
          <t>iCoA-PP_26-036</t>
        </is>
      </c>
      <c r="O38" s="256" t="inlineStr">
        <is>
          <t>03.06.2026</t>
        </is>
      </c>
      <c r="P38" s="256" t="inlineStr">
        <is>
          <t>13.01.2026</t>
        </is>
      </c>
      <c r="Q38" s="256" t="inlineStr">
        <is>
          <t>—</t>
        </is>
      </c>
      <c r="R38" s="256" t="inlineStr">
        <is>
          <t>21.67</t>
        </is>
      </c>
      <c r="S38" s="256" t="inlineStr">
        <is>
          <t>ППК26001</t>
        </is>
      </c>
      <c r="T38" s="256" t="inlineStr">
        <is>
          <t>II</t>
        </is>
      </c>
      <c r="U38" s="256" t="inlineStr">
        <is>
          <t>20.60 – 23.39 %</t>
        </is>
      </c>
      <c r="V38" s="256" t="inlineStr">
        <is>
          <t>WC_THC22 : CBD1</t>
        </is>
      </c>
      <c r="W38" s="256" t="inlineStr">
        <is>
          <t>QCSP_001_WC-II_v.01</t>
        </is>
      </c>
      <c r="X38" s="256" t="inlineStr">
        <is>
          <t>for review — replaces the issued QCSP_001_WC-II_v.01 (was WC_THC22.5:CBD1, 22.50% ± 2.50%); now WC_THC22 : CBD1 20.60 – 23.39 %</t>
        </is>
      </c>
      <c r="Y38" s="256" t="inlineStr">
        <is>
          <t>HYBRID</t>
        </is>
      </c>
      <c r="Z38" s="256" t="inlineStr">
        <is>
          <t>THC</t>
        </is>
      </c>
      <c r="AA38" s="256" t="inlineStr">
        <is>
          <t>MACHINE TRIMMED</t>
        </is>
      </c>
      <c r="AB38" s="256" t="inlineStr">
        <is>
          <t>TO BE DETERMINED</t>
        </is>
      </c>
      <c r="AC38" s="256" t="inlineStr">
        <is>
          <t>Triplex Alu Bag | Триплекс Aлу Kеса, PET 12 · ALU 7 · PE 80, 300 × 500 mm, net. 400.0 g ±3%</t>
        </is>
      </c>
      <c r="AD38" s="256" t="inlineStr">
        <is>
          <t>02.02.2026</t>
        </is>
      </c>
      <c r="AE38" s="256" t="inlineStr">
        <is>
          <t>Conforms | Одговара</t>
        </is>
      </c>
      <c r="AF38" s="256" t="inlineStr">
        <is>
          <t>iCoA-PP_26-036</t>
        </is>
      </c>
      <c r="AG38" s="256" t="inlineStr">
        <is>
          <t>03.06.2026</t>
        </is>
      </c>
      <c r="AH38" s="256" t="inlineStr">
        <is>
          <t>Purely Plant GmbH (in-house)</t>
        </is>
      </c>
      <c r="AI38" s="256" t="inlineStr">
        <is>
          <t>Conforms | Одговара</t>
        </is>
      </c>
      <c r="AJ38" s="256" t="inlineStr">
        <is>
          <t>iCoA-PP_26-036</t>
        </is>
      </c>
      <c r="AK38" s="256" t="inlineStr">
        <is>
          <t>03.06.2026</t>
        </is>
      </c>
      <c r="AL38" s="256" t="inlineStr">
        <is>
          <t>Purely Plant GmbH (in-house)</t>
        </is>
      </c>
      <c r="AM38" s="256" t="inlineStr">
        <is>
          <t>Conforms | Одговара</t>
        </is>
      </c>
      <c r="AN38" s="256" t="inlineStr">
        <is>
          <t>ППК26001</t>
        </is>
      </c>
      <c r="AO38" s="256" t="inlineStr">
        <is>
          <t>21.01.2026</t>
        </is>
      </c>
      <c r="AP38" s="256" t="inlineStr">
        <is>
          <t>UKIM Faculty of Pharmacy — Center for Natural Products</t>
        </is>
      </c>
      <c r="AQ38" s="256" t="inlineStr">
        <is>
          <t>21.67</t>
        </is>
      </c>
      <c r="AR38" s="256" t="inlineStr">
        <is>
          <t>ППК26001</t>
        </is>
      </c>
      <c r="AS38" s="256" t="inlineStr">
        <is>
          <t>21.01.2026</t>
        </is>
      </c>
      <c r="AT38" s="256" t="inlineStr">
        <is>
          <t>UKIM Faculty of Pharmacy — Center for Natural Products</t>
        </is>
      </c>
      <c r="AU38" s="256" t="inlineStr">
        <is>
          <t>0.08</t>
        </is>
      </c>
      <c r="AV38" s="256" t="inlineStr">
        <is>
          <t>ППК26001</t>
        </is>
      </c>
      <c r="AW38" s="256" t="inlineStr">
        <is>
          <t>21.01.2026</t>
        </is>
      </c>
      <c r="AX38" s="256" t="inlineStr">
        <is>
          <t>UKIM Faculty of Pharmacy — Center for Natural Products</t>
        </is>
      </c>
      <c r="AY38" s="256" t="inlineStr">
        <is>
          <t>0.02 ᴰ</t>
        </is>
      </c>
      <c r="AZ38" s="256" t="inlineStr">
        <is>
          <t>ППК26001</t>
        </is>
      </c>
      <c r="BA38" s="256" t="inlineStr">
        <is>
          <t>21.01.2026</t>
        </is>
      </c>
      <c r="BB38" s="256" t="inlineStr">
        <is>
          <t>CNP</t>
        </is>
      </c>
      <c r="BC38" s="256" t="inlineStr">
        <is>
          <t>Conforms | Одговара</t>
        </is>
      </c>
      <c r="BD38" s="256" t="inlineStr">
        <is>
          <t>iCoA-PP_26-036</t>
        </is>
      </c>
      <c r="BE38" s="256" t="inlineStr">
        <is>
          <t>03.06.2026</t>
        </is>
      </c>
      <c r="BF38" s="256" t="inlineStr">
        <is>
          <t>Purely Plant GmbH (in-house)</t>
        </is>
      </c>
      <c r="BG38" s="256" t="inlineStr">
        <is>
          <t>7.50</t>
        </is>
      </c>
      <c r="BH38" s="256" t="inlineStr">
        <is>
          <t>ППК26001</t>
        </is>
      </c>
      <c r="BI38" s="256" t="inlineStr">
        <is>
          <t>21.01.2026</t>
        </is>
      </c>
      <c r="BJ38" s="256" t="inlineStr">
        <is>
          <t>UKIM Faculty of Pharmacy — Center for Natural Products</t>
        </is>
      </c>
      <c r="BK38" s="256" t="inlineStr">
        <is>
          <t>10</t>
        </is>
      </c>
      <c r="BL38" s="256" t="inlineStr">
        <is>
          <t>3/0006/26</t>
        </is>
      </c>
      <c r="BM38" s="256" t="inlineStr">
        <is>
          <t>20.01.2026</t>
        </is>
      </c>
      <c r="BN38" s="256" t="inlineStr">
        <is>
          <t>IPH — Institute of Public Health</t>
        </is>
      </c>
      <c r="BO38" s="256" t="inlineStr">
        <is>
          <t>30</t>
        </is>
      </c>
      <c r="BP38" s="256" t="inlineStr">
        <is>
          <t>3/0006/26</t>
        </is>
      </c>
      <c r="BQ38" s="256" t="inlineStr">
        <is>
          <t>20.01.2026</t>
        </is>
      </c>
      <c r="BR38" s="256" t="inlineStr">
        <is>
          <t>IPH — Institute of Public Health</t>
        </is>
      </c>
      <c r="BS38" s="256" t="inlineStr">
        <is>
          <t>&lt; 10</t>
        </is>
      </c>
      <c r="BT38" s="256" t="inlineStr">
        <is>
          <t>3/0006/26</t>
        </is>
      </c>
      <c r="BU38" s="256" t="inlineStr">
        <is>
          <t>20.01.2026</t>
        </is>
      </c>
      <c r="BV38" s="256" t="inlineStr">
        <is>
          <t>IPH — Institute of Public Health</t>
        </is>
      </c>
      <c r="BW38" s="256" t="inlineStr">
        <is>
          <t>Absent | Отсутна</t>
        </is>
      </c>
      <c r="BX38" s="256" t="inlineStr">
        <is>
          <t>3/0006/26</t>
        </is>
      </c>
      <c r="BY38" s="256" t="inlineStr">
        <is>
          <t>20.01.2026</t>
        </is>
      </c>
      <c r="BZ38" s="256" t="inlineStr">
        <is>
          <t>IPH — Institute of Public Health</t>
        </is>
      </c>
      <c r="CA38" s="256" t="inlineStr">
        <is>
          <t>Absent | Отсутна</t>
        </is>
      </c>
      <c r="CB38" s="256" t="inlineStr">
        <is>
          <t>3/0006/26</t>
        </is>
      </c>
      <c r="CC38" s="256" t="inlineStr">
        <is>
          <t>20.01.2026</t>
        </is>
      </c>
      <c r="CD38" s="256" t="inlineStr">
        <is>
          <t>IPH — Institute of Public Health</t>
        </is>
      </c>
      <c r="CE38" s="260" t="inlineStr">
        <is>
          <t>upon request — not required for release</t>
        </is>
      </c>
      <c r="CF38" s="256" t="inlineStr">
        <is>
          <t>—</t>
        </is>
      </c>
      <c r="CG38" s="256" t="inlineStr">
        <is>
          <t>—</t>
        </is>
      </c>
      <c r="CH38" s="256" t="inlineStr">
        <is>
          <t>—</t>
        </is>
      </c>
      <c r="CI38" s="260" t="inlineStr">
        <is>
          <t>upon request — not required for release</t>
        </is>
      </c>
      <c r="CJ38" s="256" t="inlineStr">
        <is>
          <t>—</t>
        </is>
      </c>
      <c r="CK38" s="256" t="inlineStr">
        <is>
          <t>—</t>
        </is>
      </c>
      <c r="CL38" s="256" t="inlineStr">
        <is>
          <t>—</t>
        </is>
      </c>
      <c r="CM38" s="259" t="inlineStr">
        <is>
          <t>not tested</t>
        </is>
      </c>
      <c r="CN38" s="256" t="inlineStr">
        <is>
          <t>—</t>
        </is>
      </c>
      <c r="CO38" s="256" t="inlineStr">
        <is>
          <t>—</t>
        </is>
      </c>
      <c r="CP38" s="256" t="inlineStr">
        <is>
          <t>—</t>
        </is>
      </c>
      <c r="CQ38" s="256" t="inlineStr">
        <is>
          <t>&lt; 2</t>
        </is>
      </c>
      <c r="CR38" s="256" t="inlineStr">
        <is>
          <t>80/2026</t>
        </is>
      </c>
      <c r="CS38" s="256" t="inlineStr">
        <is>
          <t>02.02.2026</t>
        </is>
      </c>
      <c r="CT38" s="256" t="inlineStr">
        <is>
          <t>IPH — Institute of Public Health</t>
        </is>
      </c>
      <c r="CU38" s="259" t="inlineStr">
        <is>
          <t>not tested</t>
        </is>
      </c>
      <c r="CV38" s="256" t="inlineStr">
        <is>
          <t>—</t>
        </is>
      </c>
      <c r="CW38" s="256" t="inlineStr">
        <is>
          <t>—</t>
        </is>
      </c>
      <c r="CX38" s="256" t="inlineStr">
        <is>
          <t>—</t>
        </is>
      </c>
      <c r="CY38" s="256" t="inlineStr">
        <is>
          <t>ND</t>
        </is>
      </c>
      <c r="CZ38" s="256" t="inlineStr">
        <is>
          <t>80/2026</t>
        </is>
      </c>
      <c r="DA38" s="256" t="inlineStr">
        <is>
          <t>02.02.2026</t>
        </is>
      </c>
      <c r="DB38" s="256" t="inlineStr">
        <is>
          <t>IPH — Institute of Public Health</t>
        </is>
      </c>
      <c r="DC38" s="256" t="inlineStr">
        <is>
          <t>ND</t>
        </is>
      </c>
      <c r="DD38" s="256" t="inlineStr">
        <is>
          <t>80/2026</t>
        </is>
      </c>
      <c r="DE38" s="256" t="inlineStr">
        <is>
          <t>02.02.2026</t>
        </is>
      </c>
      <c r="DF38" s="256" t="inlineStr">
        <is>
          <t>IPH — Institute of Public Health</t>
        </is>
      </c>
      <c r="DG38" s="256" t="inlineStr">
        <is>
          <t>ND</t>
        </is>
      </c>
      <c r="DH38" s="256" t="inlineStr">
        <is>
          <t>80/2026</t>
        </is>
      </c>
      <c r="DI38" s="256" t="inlineStr">
        <is>
          <t>02.02.2026</t>
        </is>
      </c>
      <c r="DJ38" s="256" t="inlineStr">
        <is>
          <t>IPH — Institute of Public Health</t>
        </is>
      </c>
      <c r="DK38" s="256" t="inlineStr">
        <is>
          <t>ND</t>
        </is>
      </c>
      <c r="DL38" s="256" t="inlineStr">
        <is>
          <t>80/2026</t>
        </is>
      </c>
      <c r="DM38" s="256" t="inlineStr">
        <is>
          <t>02.02.2026</t>
        </is>
      </c>
      <c r="DN38" s="256" t="inlineStr">
        <is>
          <t>IPH — Institute of Public Health</t>
        </is>
      </c>
      <c r="DO38" s="256" t="inlineStr">
        <is>
          <t>ND</t>
        </is>
      </c>
      <c r="DP38" s="256" t="inlineStr">
        <is>
          <t>80/2026</t>
        </is>
      </c>
      <c r="DQ38" s="256" t="inlineStr">
        <is>
          <t>02.02.2026</t>
        </is>
      </c>
      <c r="DR38" s="256" t="inlineStr">
        <is>
          <t>IPH — Institute of Public Health</t>
        </is>
      </c>
    </row>
    <row r="39">
      <c r="A39" s="256" t="inlineStr">
        <is>
          <t>CoQ-PP_26-038</t>
        </is>
      </c>
      <c r="B39" s="256" t="inlineStr">
        <is>
          <t>release</t>
        </is>
      </c>
      <c r="C39" s="256" t="inlineStr">
        <is>
          <t>issuable</t>
        </is>
      </c>
      <c r="D39" s="256" t="inlineStr">
        <is>
          <t>06.06.2026</t>
        </is>
      </c>
      <c r="E39" s="256" t="inlineStr">
        <is>
          <t>n/a — release certificate</t>
        </is>
      </c>
      <c r="F39" s="256" t="inlineStr">
        <is>
          <t>CoQ-PP-2026-0002</t>
        </is>
      </c>
      <c r="G39" s="256" t="inlineStr">
        <is>
          <t>CJ082501/1</t>
        </is>
      </c>
      <c r="H39" s="256" t="inlineStr">
        <is>
          <t>P060022</t>
        </is>
      </c>
      <c r="I39" s="256" t="inlineStr">
        <is>
          <t>Cap Junky</t>
        </is>
      </c>
      <c r="J39" s="256" t="inlineStr">
        <is>
          <t>09.12.2025 – 10.12.2025</t>
        </is>
      </c>
      <c r="K39" s="256" t="inlineStr">
        <is>
          <t>16.01.2026</t>
        </is>
      </c>
      <c r="L39" s="256" t="inlineStr">
        <is>
          <t>09.12.2025</t>
        </is>
      </c>
      <c r="M39" s="256" t="inlineStr">
        <is>
          <t>16.01.2026</t>
        </is>
      </c>
      <c r="N39" s="256" t="inlineStr">
        <is>
          <t>iCoA-PP_26-037</t>
        </is>
      </c>
      <c r="O39" s="256" t="inlineStr">
        <is>
          <t>03.06.2026</t>
        </is>
      </c>
      <c r="P39" s="256" t="inlineStr">
        <is>
          <t>16.01.2026</t>
        </is>
      </c>
      <c r="Q39" s="256" t="inlineStr">
        <is>
          <t>—</t>
        </is>
      </c>
      <c r="R39" s="256" t="inlineStr">
        <is>
          <t>24.96</t>
        </is>
      </c>
      <c r="S39" s="256" t="inlineStr">
        <is>
          <t>ППК26002</t>
        </is>
      </c>
      <c r="T39" s="256" t="inlineStr">
        <is>
          <t>II</t>
        </is>
      </c>
      <c r="U39" s="256" t="inlineStr">
        <is>
          <t>21.60 – 26.39 %</t>
        </is>
      </c>
      <c r="V39" s="256" t="inlineStr">
        <is>
          <t>CJ_THC24 : CBD1</t>
        </is>
      </c>
      <c r="W39" s="256" t="inlineStr">
        <is>
          <t>QCSP_001_CJ-II_v.01</t>
        </is>
      </c>
      <c r="X39" s="256" t="inlineStr">
        <is>
          <t>for review — replaces the issued QCSP_001_CJ-II_v.01 (was CJ_THC26 : CBD1, 25.01 – 26.99 %); now CJ_THC24 : CBD1 21.60 – 26.39 %</t>
        </is>
      </c>
      <c r="Y39" s="256" t="inlineStr">
        <is>
          <t>HYBRID</t>
        </is>
      </c>
      <c r="Z39" s="256" t="inlineStr">
        <is>
          <t>THC</t>
        </is>
      </c>
      <c r="AA39" s="256" t="inlineStr">
        <is>
          <t>MACHINE TRIMMED</t>
        </is>
      </c>
      <c r="AB39" s="256" t="inlineStr">
        <is>
          <t>INDICA 60 : SATIVA 40</t>
        </is>
      </c>
      <c r="AC39" s="256" t="inlineStr">
        <is>
          <t>Triplex Alu Bag | Триплекс Aлу Kеса, PET 12 · ALU 7 · PE 80, 300 × 500 mm, net. 400.0 g ±3%</t>
        </is>
      </c>
      <c r="AD39" s="256" t="inlineStr">
        <is>
          <t>02.02.2026</t>
        </is>
      </c>
      <c r="AE39" s="256" t="inlineStr">
        <is>
          <t>Conforms | Одговара</t>
        </is>
      </c>
      <c r="AF39" s="256" t="inlineStr">
        <is>
          <t>iCoA-PP_26-037</t>
        </is>
      </c>
      <c r="AG39" s="256" t="inlineStr">
        <is>
          <t>03.06.2026</t>
        </is>
      </c>
      <c r="AH39" s="256" t="inlineStr">
        <is>
          <t>Purely Plant GmbH (in-house)</t>
        </is>
      </c>
      <c r="AI39" s="256" t="inlineStr">
        <is>
          <t>Conforms | Одговара</t>
        </is>
      </c>
      <c r="AJ39" s="256" t="inlineStr">
        <is>
          <t>iCoA-PP_26-037</t>
        </is>
      </c>
      <c r="AK39" s="256" t="inlineStr">
        <is>
          <t>03.06.2026</t>
        </is>
      </c>
      <c r="AL39" s="256" t="inlineStr">
        <is>
          <t>Purely Plant GmbH (in-house)</t>
        </is>
      </c>
      <c r="AM39" s="256" t="inlineStr">
        <is>
          <t>Conforms | Одговара</t>
        </is>
      </c>
      <c r="AN39" s="256" t="inlineStr">
        <is>
          <t>ППК26002</t>
        </is>
      </c>
      <c r="AO39" s="256" t="inlineStr">
        <is>
          <t>21.01.2026</t>
        </is>
      </c>
      <c r="AP39" s="256" t="inlineStr">
        <is>
          <t>UKIM Faculty of Pharmacy — Center for Natural Products</t>
        </is>
      </c>
      <c r="AQ39" s="256" t="inlineStr">
        <is>
          <t>24.96</t>
        </is>
      </c>
      <c r="AR39" s="256" t="inlineStr">
        <is>
          <t>ППК26002</t>
        </is>
      </c>
      <c r="AS39" s="256" t="inlineStr">
        <is>
          <t>21.01.2026</t>
        </is>
      </c>
      <c r="AT39" s="256" t="inlineStr">
        <is>
          <t>UKIM Faculty of Pharmacy — Center for Natural Products</t>
        </is>
      </c>
      <c r="AU39" s="256" t="inlineStr">
        <is>
          <t>0.09</t>
        </is>
      </c>
      <c r="AV39" s="256" t="inlineStr">
        <is>
          <t>ППК26002</t>
        </is>
      </c>
      <c r="AW39" s="256" t="inlineStr">
        <is>
          <t>21.01.2026</t>
        </is>
      </c>
      <c r="AX39" s="256" t="inlineStr">
        <is>
          <t>UKIM Faculty of Pharmacy — Center for Natural Products</t>
        </is>
      </c>
      <c r="AY39" s="256" t="inlineStr">
        <is>
          <t>0.02 ᴰ</t>
        </is>
      </c>
      <c r="AZ39" s="256" t="inlineStr">
        <is>
          <t>ППК26002</t>
        </is>
      </c>
      <c r="BA39" s="256" t="inlineStr">
        <is>
          <t>21.01.2026</t>
        </is>
      </c>
      <c r="BB39" s="256" t="inlineStr">
        <is>
          <t>CNP</t>
        </is>
      </c>
      <c r="BC39" s="256" t="inlineStr">
        <is>
          <t>Conforms | Одговара</t>
        </is>
      </c>
      <c r="BD39" s="256" t="inlineStr">
        <is>
          <t>iCoA-PP_26-037</t>
        </is>
      </c>
      <c r="BE39" s="256" t="inlineStr">
        <is>
          <t>03.06.2026</t>
        </is>
      </c>
      <c r="BF39" s="256" t="inlineStr">
        <is>
          <t>Purely Plant GmbH (in-house)</t>
        </is>
      </c>
      <c r="BG39" s="256" t="inlineStr">
        <is>
          <t>7.21</t>
        </is>
      </c>
      <c r="BH39" s="256" t="inlineStr">
        <is>
          <t>ППК26002</t>
        </is>
      </c>
      <c r="BI39" s="256" t="inlineStr">
        <is>
          <t>21.01.2026</t>
        </is>
      </c>
      <c r="BJ39" s="256" t="inlineStr">
        <is>
          <t>UKIM Faculty of Pharmacy — Center for Natural Products</t>
        </is>
      </c>
      <c r="BK39" s="256" t="inlineStr">
        <is>
          <t>1.5 × 10²</t>
        </is>
      </c>
      <c r="BL39" s="256" t="inlineStr">
        <is>
          <t>8/0011/26</t>
        </is>
      </c>
      <c r="BM39" s="256" t="inlineStr">
        <is>
          <t>20.01.2026</t>
        </is>
      </c>
      <c r="BN39" s="256" t="inlineStr">
        <is>
          <t>IPH — Institute of Public Health</t>
        </is>
      </c>
      <c r="BO39" s="256" t="inlineStr">
        <is>
          <t>1.3 × 10²</t>
        </is>
      </c>
      <c r="BP39" s="256" t="inlineStr">
        <is>
          <t>8/0011/26</t>
        </is>
      </c>
      <c r="BQ39" s="256" t="inlineStr">
        <is>
          <t>20.01.2026</t>
        </is>
      </c>
      <c r="BR39" s="256" t="inlineStr">
        <is>
          <t>IPH — Institute of Public Health</t>
        </is>
      </c>
      <c r="BS39" s="256" t="inlineStr">
        <is>
          <t>&lt; 10</t>
        </is>
      </c>
      <c r="BT39" s="256" t="inlineStr">
        <is>
          <t>8/0011/26</t>
        </is>
      </c>
      <c r="BU39" s="256" t="inlineStr">
        <is>
          <t>20.01.2026</t>
        </is>
      </c>
      <c r="BV39" s="256" t="inlineStr">
        <is>
          <t>IPH — Institute of Public Health</t>
        </is>
      </c>
      <c r="BW39" s="256" t="inlineStr">
        <is>
          <t>Absent | Отсутна</t>
        </is>
      </c>
      <c r="BX39" s="256" t="inlineStr">
        <is>
          <t>8/0011/26</t>
        </is>
      </c>
      <c r="BY39" s="256" t="inlineStr">
        <is>
          <t>20.01.2026</t>
        </is>
      </c>
      <c r="BZ39" s="256" t="inlineStr">
        <is>
          <t>IPH — Institute of Public Health</t>
        </is>
      </c>
      <c r="CA39" s="256" t="inlineStr">
        <is>
          <t>Absent | Отсутна</t>
        </is>
      </c>
      <c r="CB39" s="256" t="inlineStr">
        <is>
          <t>8/0011/26</t>
        </is>
      </c>
      <c r="CC39" s="256" t="inlineStr">
        <is>
          <t>20.01.2026</t>
        </is>
      </c>
      <c r="CD39" s="256" t="inlineStr">
        <is>
          <t>IPH — Institute of Public Health</t>
        </is>
      </c>
      <c r="CE39" s="260" t="inlineStr">
        <is>
          <t>upon request — not required for release</t>
        </is>
      </c>
      <c r="CF39" s="256" t="inlineStr">
        <is>
          <t>—</t>
        </is>
      </c>
      <c r="CG39" s="256" t="inlineStr">
        <is>
          <t>—</t>
        </is>
      </c>
      <c r="CH39" s="256" t="inlineStr">
        <is>
          <t>—</t>
        </is>
      </c>
      <c r="CI39" s="260" t="inlineStr">
        <is>
          <t>upon request — not required for release</t>
        </is>
      </c>
      <c r="CJ39" s="256" t="inlineStr">
        <is>
          <t>—</t>
        </is>
      </c>
      <c r="CK39" s="256" t="inlineStr">
        <is>
          <t>—</t>
        </is>
      </c>
      <c r="CL39" s="256" t="inlineStr">
        <is>
          <t>—</t>
        </is>
      </c>
      <c r="CM39" s="259" t="inlineStr">
        <is>
          <t>not tested</t>
        </is>
      </c>
      <c r="CN39" s="256" t="inlineStr">
        <is>
          <t>—</t>
        </is>
      </c>
      <c r="CO39" s="256" t="inlineStr">
        <is>
          <t>—</t>
        </is>
      </c>
      <c r="CP39" s="256" t="inlineStr">
        <is>
          <t>—</t>
        </is>
      </c>
      <c r="CQ39" s="256" t="inlineStr">
        <is>
          <t>&lt; 2</t>
        </is>
      </c>
      <c r="CR39" s="256" t="inlineStr">
        <is>
          <t>81/2026</t>
        </is>
      </c>
      <c r="CS39" s="256" t="inlineStr">
        <is>
          <t>02.02.2026</t>
        </is>
      </c>
      <c r="CT39" s="256" t="inlineStr">
        <is>
          <t>IPH — Institute of Public Health</t>
        </is>
      </c>
      <c r="CU39" s="259" t="inlineStr">
        <is>
          <t>not tested</t>
        </is>
      </c>
      <c r="CV39" s="256" t="inlineStr">
        <is>
          <t>—</t>
        </is>
      </c>
      <c r="CW39" s="256" t="inlineStr">
        <is>
          <t>—</t>
        </is>
      </c>
      <c r="CX39" s="256" t="inlineStr">
        <is>
          <t>—</t>
        </is>
      </c>
      <c r="CY39" s="256" t="inlineStr">
        <is>
          <t>0.075</t>
        </is>
      </c>
      <c r="CZ39" s="256" t="inlineStr">
        <is>
          <t>81/2026</t>
        </is>
      </c>
      <c r="DA39" s="256" t="inlineStr">
        <is>
          <t>02.02.2026</t>
        </is>
      </c>
      <c r="DB39" s="256" t="inlineStr">
        <is>
          <t>IPH — Institute of Public Health</t>
        </is>
      </c>
      <c r="DC39" s="256" t="inlineStr">
        <is>
          <t>ND</t>
        </is>
      </c>
      <c r="DD39" s="256" t="inlineStr">
        <is>
          <t>81/2026</t>
        </is>
      </c>
      <c r="DE39" s="256" t="inlineStr">
        <is>
          <t>02.02.2026</t>
        </is>
      </c>
      <c r="DF39" s="256" t="inlineStr">
        <is>
          <t>IPH — Institute of Public Health</t>
        </is>
      </c>
      <c r="DG39" s="256" t="inlineStr">
        <is>
          <t>ND</t>
        </is>
      </c>
      <c r="DH39" s="256" t="inlineStr">
        <is>
          <t>81/2026</t>
        </is>
      </c>
      <c r="DI39" s="256" t="inlineStr">
        <is>
          <t>02.02.2026</t>
        </is>
      </c>
      <c r="DJ39" s="256" t="inlineStr">
        <is>
          <t>IPH — Institute of Public Health</t>
        </is>
      </c>
      <c r="DK39" s="256" t="inlineStr">
        <is>
          <t>ND</t>
        </is>
      </c>
      <c r="DL39" s="256" t="inlineStr">
        <is>
          <t>81/2026</t>
        </is>
      </c>
      <c r="DM39" s="256" t="inlineStr">
        <is>
          <t>02.02.2026</t>
        </is>
      </c>
      <c r="DN39" s="256" t="inlineStr">
        <is>
          <t>IPH — Institute of Public Health</t>
        </is>
      </c>
      <c r="DO39" s="256" t="inlineStr">
        <is>
          <t>ND</t>
        </is>
      </c>
      <c r="DP39" s="256" t="inlineStr">
        <is>
          <t>81/2026</t>
        </is>
      </c>
      <c r="DQ39" s="256" t="inlineStr">
        <is>
          <t>02.02.2026</t>
        </is>
      </c>
      <c r="DR39" s="256" t="inlineStr">
        <is>
          <t>IPH — Institute of Public Health</t>
        </is>
      </c>
    </row>
    <row r="40">
      <c r="A40" s="256" t="inlineStr">
        <is>
          <t>CoQ-PP_26-039</t>
        </is>
      </c>
      <c r="B40" s="256" t="inlineStr">
        <is>
          <t>release</t>
        </is>
      </c>
      <c r="C40" s="256" t="inlineStr">
        <is>
          <t>issuable</t>
        </is>
      </c>
      <c r="D40" s="256" t="inlineStr">
        <is>
          <t>06.06.2026</t>
        </is>
      </c>
      <c r="E40" s="256" t="inlineStr">
        <is>
          <t>n/a — release certificate</t>
        </is>
      </c>
      <c r="F40" s="256" t="inlineStr">
        <is>
          <t>CoQ-PP-2026-0003</t>
        </is>
      </c>
      <c r="G40" s="256" t="inlineStr">
        <is>
          <t>CJ082501/2</t>
        </is>
      </c>
      <c r="H40" s="256" t="inlineStr">
        <is>
          <t>P060032</t>
        </is>
      </c>
      <c r="I40" s="256" t="inlineStr">
        <is>
          <t>Cap Junky</t>
        </is>
      </c>
      <c r="J40" s="256" t="inlineStr">
        <is>
          <t>10.12.2025</t>
        </is>
      </c>
      <c r="K40" s="256" t="inlineStr">
        <is>
          <t>29.01.2026</t>
        </is>
      </c>
      <c r="L40" s="256" t="inlineStr">
        <is>
          <t>10.12.2025</t>
        </is>
      </c>
      <c r="M40" s="256" t="inlineStr">
        <is>
          <t>29.01.2026</t>
        </is>
      </c>
      <c r="N40" s="256" t="inlineStr">
        <is>
          <t>iCoA-PP_26-038</t>
        </is>
      </c>
      <c r="O40" s="256" t="inlineStr">
        <is>
          <t>03.06.2026</t>
        </is>
      </c>
      <c r="P40" s="256" t="inlineStr">
        <is>
          <t>29.01.2026</t>
        </is>
      </c>
      <c r="Q40" s="256" t="inlineStr">
        <is>
          <t>—</t>
        </is>
      </c>
      <c r="R40" s="256" t="inlineStr">
        <is>
          <t>20.84</t>
        </is>
      </c>
      <c r="S40" s="256" t="inlineStr">
        <is>
          <t>ППК26003</t>
        </is>
      </c>
      <c r="T40" s="256" t="inlineStr">
        <is>
          <t>III</t>
        </is>
      </c>
      <c r="U40" s="256" t="inlineStr">
        <is>
          <t>18.40 – 21.59 %</t>
        </is>
      </c>
      <c r="V40" s="256" t="inlineStr">
        <is>
          <t>CJ_THC20 : CBD1</t>
        </is>
      </c>
      <c r="W40" s="256" t="inlineStr">
        <is>
          <t>QCSP_001_CJ-III_v.01</t>
        </is>
      </c>
      <c r="X40" s="256" t="inlineStr">
        <is>
          <t>for review — replaces the issued QCSP_001_CJ-III_v.01 (was CJ_THC24 : CBD1, 23.00 – 25.00 %); now CJ_THC20 : CBD1 18.40 – 21.59 %</t>
        </is>
      </c>
      <c r="Y40" s="256" t="inlineStr">
        <is>
          <t>HYBRID</t>
        </is>
      </c>
      <c r="Z40" s="256" t="inlineStr">
        <is>
          <t>THC</t>
        </is>
      </c>
      <c r="AA40" s="256" t="inlineStr">
        <is>
          <t>MACHINE TRIMMED</t>
        </is>
      </c>
      <c r="AB40" s="256" t="inlineStr">
        <is>
          <t>INDICA 60 : SATIVA 40</t>
        </is>
      </c>
      <c r="AC40" s="256" t="inlineStr">
        <is>
          <t>Triplex Alu Bag | Триплекс Aлу Kеса, PET 12 · ALU 7 · PE 80, 300 × 500 mm, net. 400.0 g ±3%</t>
        </is>
      </c>
      <c r="AD40" s="256" t="inlineStr">
        <is>
          <t>02.02.2026</t>
        </is>
      </c>
      <c r="AE40" s="256" t="inlineStr">
        <is>
          <t>Conforms | Одговара</t>
        </is>
      </c>
      <c r="AF40" s="256" t="inlineStr">
        <is>
          <t>iCoA-PP_26-038</t>
        </is>
      </c>
      <c r="AG40" s="256" t="inlineStr">
        <is>
          <t>03.06.2026</t>
        </is>
      </c>
      <c r="AH40" s="256" t="inlineStr">
        <is>
          <t>Purely Plant GmbH (in-house)</t>
        </is>
      </c>
      <c r="AI40" s="256" t="inlineStr">
        <is>
          <t>Conforms | Одговара</t>
        </is>
      </c>
      <c r="AJ40" s="256" t="inlineStr">
        <is>
          <t>iCoA-PP_26-038</t>
        </is>
      </c>
      <c r="AK40" s="256" t="inlineStr">
        <is>
          <t>03.06.2026</t>
        </is>
      </c>
      <c r="AL40" s="256" t="inlineStr">
        <is>
          <t>Purely Plant GmbH (in-house)</t>
        </is>
      </c>
      <c r="AM40" s="256" t="inlineStr">
        <is>
          <t>Conforms | Одговара</t>
        </is>
      </c>
      <c r="AN40" s="256" t="inlineStr">
        <is>
          <t>ППК26003</t>
        </is>
      </c>
      <c r="AO40" s="256" t="inlineStr">
        <is>
          <t>21.01.2026</t>
        </is>
      </c>
      <c r="AP40" s="256" t="inlineStr">
        <is>
          <t>UKIM Faculty of Pharmacy — Center for Natural Products</t>
        </is>
      </c>
      <c r="AQ40" s="256" t="inlineStr">
        <is>
          <t>20.84</t>
        </is>
      </c>
      <c r="AR40" s="256" t="inlineStr">
        <is>
          <t>ППК26003</t>
        </is>
      </c>
      <c r="AS40" s="256" t="inlineStr">
        <is>
          <t>21.01.2026</t>
        </is>
      </c>
      <c r="AT40" s="256" t="inlineStr">
        <is>
          <t>UKIM Faculty of Pharmacy — Center for Natural Products</t>
        </is>
      </c>
      <c r="AU40" s="256" t="inlineStr">
        <is>
          <t>0.08</t>
        </is>
      </c>
      <c r="AV40" s="256" t="inlineStr">
        <is>
          <t>ППК26003</t>
        </is>
      </c>
      <c r="AW40" s="256" t="inlineStr">
        <is>
          <t>21.01.2026</t>
        </is>
      </c>
      <c r="AX40" s="256" t="inlineStr">
        <is>
          <t>UKIM Faculty of Pharmacy — Center for Natural Products</t>
        </is>
      </c>
      <c r="AY40" s="256" t="inlineStr">
        <is>
          <t>ND ᴰ</t>
        </is>
      </c>
      <c r="AZ40" s="256" t="inlineStr">
        <is>
          <t>ППК26003</t>
        </is>
      </c>
      <c r="BA40" s="256" t="inlineStr">
        <is>
          <t>21.01.2026</t>
        </is>
      </c>
      <c r="BB40" s="256" t="inlineStr">
        <is>
          <t>CNP</t>
        </is>
      </c>
      <c r="BC40" s="256" t="inlineStr">
        <is>
          <t>Conforms | Одговара</t>
        </is>
      </c>
      <c r="BD40" s="256" t="inlineStr">
        <is>
          <t>iCoA-PP_26-038</t>
        </is>
      </c>
      <c r="BE40" s="256" t="inlineStr">
        <is>
          <t>03.06.2026</t>
        </is>
      </c>
      <c r="BF40" s="256" t="inlineStr">
        <is>
          <t>Purely Plant GmbH (in-house)</t>
        </is>
      </c>
      <c r="BG40" s="256" t="inlineStr">
        <is>
          <t>7.37</t>
        </is>
      </c>
      <c r="BH40" s="256" t="inlineStr">
        <is>
          <t>ППК26003</t>
        </is>
      </c>
      <c r="BI40" s="256" t="inlineStr">
        <is>
          <t>21.01.2026</t>
        </is>
      </c>
      <c r="BJ40" s="256" t="inlineStr">
        <is>
          <t>UKIM Faculty of Pharmacy — Center for Natural Products</t>
        </is>
      </c>
      <c r="BK40" s="256" t="inlineStr">
        <is>
          <t>9.5 × 10²</t>
        </is>
      </c>
      <c r="BL40" s="256" t="inlineStr">
        <is>
          <t>4/0007/26</t>
        </is>
      </c>
      <c r="BM40" s="256" t="inlineStr">
        <is>
          <t>20.01.2026</t>
        </is>
      </c>
      <c r="BN40" s="256" t="inlineStr">
        <is>
          <t>IPH — Institute of Public Health</t>
        </is>
      </c>
      <c r="BO40" s="256" t="inlineStr">
        <is>
          <t>1.2 × 10³</t>
        </is>
      </c>
      <c r="BP40" s="256" t="inlineStr">
        <is>
          <t>4/0007/26</t>
        </is>
      </c>
      <c r="BQ40" s="256" t="inlineStr">
        <is>
          <t>20.01.2026</t>
        </is>
      </c>
      <c r="BR40" s="256" t="inlineStr">
        <is>
          <t>IPH — Institute of Public Health</t>
        </is>
      </c>
      <c r="BS40" s="256" t="inlineStr">
        <is>
          <t>&lt; 10</t>
        </is>
      </c>
      <c r="BT40" s="256" t="inlineStr">
        <is>
          <t>4/0007/26</t>
        </is>
      </c>
      <c r="BU40" s="256" t="inlineStr">
        <is>
          <t>20.01.2026</t>
        </is>
      </c>
      <c r="BV40" s="256" t="inlineStr">
        <is>
          <t>IPH — Institute of Public Health</t>
        </is>
      </c>
      <c r="BW40" s="256" t="inlineStr">
        <is>
          <t>Absent | Отсутна</t>
        </is>
      </c>
      <c r="BX40" s="256" t="inlineStr">
        <is>
          <t>4/0007/26</t>
        </is>
      </c>
      <c r="BY40" s="256" t="inlineStr">
        <is>
          <t>20.01.2026</t>
        </is>
      </c>
      <c r="BZ40" s="256" t="inlineStr">
        <is>
          <t>IPH — Institute of Public Health</t>
        </is>
      </c>
      <c r="CA40" s="256" t="inlineStr">
        <is>
          <t>Absent | Отсутна</t>
        </is>
      </c>
      <c r="CB40" s="256" t="inlineStr">
        <is>
          <t>4/0007/26</t>
        </is>
      </c>
      <c r="CC40" s="256" t="inlineStr">
        <is>
          <t>20.01.2026</t>
        </is>
      </c>
      <c r="CD40" s="256" t="inlineStr">
        <is>
          <t>IPH — Institute of Public Health</t>
        </is>
      </c>
      <c r="CE40" s="260" t="inlineStr">
        <is>
          <t>upon request — not required for release</t>
        </is>
      </c>
      <c r="CF40" s="256" t="inlineStr">
        <is>
          <t>—</t>
        </is>
      </c>
      <c r="CG40" s="256" t="inlineStr">
        <is>
          <t>—</t>
        </is>
      </c>
      <c r="CH40" s="256" t="inlineStr">
        <is>
          <t>—</t>
        </is>
      </c>
      <c r="CI40" s="260" t="inlineStr">
        <is>
          <t>upon request — not required for release</t>
        </is>
      </c>
      <c r="CJ40" s="256" t="inlineStr">
        <is>
          <t>—</t>
        </is>
      </c>
      <c r="CK40" s="256" t="inlineStr">
        <is>
          <t>—</t>
        </is>
      </c>
      <c r="CL40" s="256" t="inlineStr">
        <is>
          <t>—</t>
        </is>
      </c>
      <c r="CM40" s="259" t="inlineStr">
        <is>
          <t>not tested</t>
        </is>
      </c>
      <c r="CN40" s="256" t="inlineStr">
        <is>
          <t>—</t>
        </is>
      </c>
      <c r="CO40" s="256" t="inlineStr">
        <is>
          <t>—</t>
        </is>
      </c>
      <c r="CP40" s="256" t="inlineStr">
        <is>
          <t>—</t>
        </is>
      </c>
      <c r="CQ40" s="256" t="inlineStr">
        <is>
          <t>&lt; 2</t>
        </is>
      </c>
      <c r="CR40" s="256" t="inlineStr">
        <is>
          <t>82/2026</t>
        </is>
      </c>
      <c r="CS40" s="256" t="inlineStr">
        <is>
          <t>02.02.2026</t>
        </is>
      </c>
      <c r="CT40" s="256" t="inlineStr">
        <is>
          <t>IPH — Institute of Public Health</t>
        </is>
      </c>
      <c r="CU40" s="259" t="inlineStr">
        <is>
          <t>not tested</t>
        </is>
      </c>
      <c r="CV40" s="256" t="inlineStr">
        <is>
          <t>—</t>
        </is>
      </c>
      <c r="CW40" s="256" t="inlineStr">
        <is>
          <t>—</t>
        </is>
      </c>
      <c r="CX40" s="256" t="inlineStr">
        <is>
          <t>—</t>
        </is>
      </c>
      <c r="CY40" s="256" t="inlineStr">
        <is>
          <t>0.073</t>
        </is>
      </c>
      <c r="CZ40" s="256" t="inlineStr">
        <is>
          <t>82/2026</t>
        </is>
      </c>
      <c r="DA40" s="256" t="inlineStr">
        <is>
          <t>02.02.2026</t>
        </is>
      </c>
      <c r="DB40" s="256" t="inlineStr">
        <is>
          <t>IPH — Institute of Public Health</t>
        </is>
      </c>
      <c r="DC40" s="256" t="inlineStr">
        <is>
          <t>ND</t>
        </is>
      </c>
      <c r="DD40" s="256" t="inlineStr">
        <is>
          <t>82/2026</t>
        </is>
      </c>
      <c r="DE40" s="256" t="inlineStr">
        <is>
          <t>02.02.2026</t>
        </is>
      </c>
      <c r="DF40" s="256" t="inlineStr">
        <is>
          <t>IPH — Institute of Public Health</t>
        </is>
      </c>
      <c r="DG40" s="256" t="inlineStr">
        <is>
          <t>ND</t>
        </is>
      </c>
      <c r="DH40" s="256" t="inlineStr">
        <is>
          <t>82/2026</t>
        </is>
      </c>
      <c r="DI40" s="256" t="inlineStr">
        <is>
          <t>02.02.2026</t>
        </is>
      </c>
      <c r="DJ40" s="256" t="inlineStr">
        <is>
          <t>IPH — Institute of Public Health</t>
        </is>
      </c>
      <c r="DK40" s="256" t="inlineStr">
        <is>
          <t>ND</t>
        </is>
      </c>
      <c r="DL40" s="256" t="inlineStr">
        <is>
          <t>82/2026</t>
        </is>
      </c>
      <c r="DM40" s="256" t="inlineStr">
        <is>
          <t>02.02.2026</t>
        </is>
      </c>
      <c r="DN40" s="256" t="inlineStr">
        <is>
          <t>IPH — Institute of Public Health</t>
        </is>
      </c>
      <c r="DO40" s="256" t="inlineStr">
        <is>
          <t>ND</t>
        </is>
      </c>
      <c r="DP40" s="256" t="inlineStr">
        <is>
          <t>82/2026</t>
        </is>
      </c>
      <c r="DQ40" s="256" t="inlineStr">
        <is>
          <t>02.02.2026</t>
        </is>
      </c>
      <c r="DR40" s="256" t="inlineStr">
        <is>
          <t>IPH — Institute of Public Health</t>
        </is>
      </c>
    </row>
    <row r="41">
      <c r="A41" s="256" t="inlineStr">
        <is>
          <t>CoQ-PP_26-040</t>
        </is>
      </c>
      <c r="B41" s="256" t="inlineStr">
        <is>
          <t>release</t>
        </is>
      </c>
      <c r="C41" s="256" t="inlineStr">
        <is>
          <t>issuable</t>
        </is>
      </c>
      <c r="D41" s="256" t="inlineStr">
        <is>
          <t>06.06.2026</t>
        </is>
      </c>
      <c r="E41" s="256" t="inlineStr">
        <is>
          <t>n/a — release certificate</t>
        </is>
      </c>
      <c r="F41" s="256" t="inlineStr">
        <is>
          <t>CoQ-PP-2026-0004</t>
        </is>
      </c>
      <c r="G41" s="256" t="inlineStr">
        <is>
          <t>OPM092501</t>
        </is>
      </c>
      <c r="H41" s="256" t="inlineStr">
        <is>
          <t>P060042</t>
        </is>
      </c>
      <c r="I41" s="256" t="inlineStr">
        <is>
          <t>Orange Punch Mimosa</t>
        </is>
      </c>
      <c r="J41" s="256" t="inlineStr">
        <is>
          <t>12.12.2025</t>
        </is>
      </c>
      <c r="K41" s="256" t="inlineStr">
        <is>
          <t>29.01.2026</t>
        </is>
      </c>
      <c r="L41" s="256" t="inlineStr">
        <is>
          <t>12.12.2025</t>
        </is>
      </c>
      <c r="M41" s="256" t="inlineStr">
        <is>
          <t>29.01.2026</t>
        </is>
      </c>
      <c r="N41" s="256" t="inlineStr">
        <is>
          <t>iCoA-PP_26-039</t>
        </is>
      </c>
      <c r="O41" s="256" t="inlineStr">
        <is>
          <t>03.06.2026</t>
        </is>
      </c>
      <c r="P41" s="256" t="inlineStr">
        <is>
          <t>29.01.2026</t>
        </is>
      </c>
      <c r="Q41" s="256" t="inlineStr">
        <is>
          <t>—</t>
        </is>
      </c>
      <c r="R41" s="256" t="inlineStr">
        <is>
          <t>9.43</t>
        </is>
      </c>
      <c r="S41" s="256" t="inlineStr">
        <is>
          <t>ППК26008</t>
        </is>
      </c>
      <c r="T41" s="256" t="inlineStr">
        <is>
          <t>IV</t>
        </is>
      </c>
      <c r="U41" s="256" t="inlineStr">
        <is>
          <t>9.00 – 10.99 %</t>
        </is>
      </c>
      <c r="V41" s="256" t="inlineStr">
        <is>
          <t>OPM_THC10 : CBD1</t>
        </is>
      </c>
      <c r="W41" s="256" t="inlineStr">
        <is>
          <t>QCSP_001_OPM-IV_v.01</t>
        </is>
      </c>
      <c r="X41" s="256" t="inlineStr">
        <is>
          <t>for review — replaces the issued QCSP_001_OPM-IV_v.01 (was OPM_THC10 : CBD1, 9.00 – 11.00 %); now OPM_THC10 : CBD1 9.00 – 10.99 %</t>
        </is>
      </c>
      <c r="Y41" s="256" t="inlineStr">
        <is>
          <t>INDICA</t>
        </is>
      </c>
      <c r="Z41" s="256" t="inlineStr">
        <is>
          <t>THC</t>
        </is>
      </c>
      <c r="AA41" s="256" t="inlineStr">
        <is>
          <t>MACHINE TRIMMED</t>
        </is>
      </c>
      <c r="AB41" s="256" t="inlineStr">
        <is>
          <t>—</t>
        </is>
      </c>
      <c r="AC41" s="256" t="inlineStr">
        <is>
          <t>Triplex Alu Bag | Триплекс Aлу Kеса, PET 12 · ALU 7 · PE 80, 300 × 500 mm, net. 400.0 g ±3%</t>
        </is>
      </c>
      <c r="AD41" s="256" t="inlineStr">
        <is>
          <t>03.02.2026</t>
        </is>
      </c>
      <c r="AE41" s="256" t="inlineStr">
        <is>
          <t>Conforms | Одговара</t>
        </is>
      </c>
      <c r="AF41" s="256" t="inlineStr">
        <is>
          <t>iCoA-PP_26-039</t>
        </is>
      </c>
      <c r="AG41" s="256" t="inlineStr">
        <is>
          <t>03.06.2026</t>
        </is>
      </c>
      <c r="AH41" s="256" t="inlineStr">
        <is>
          <t>Purely Plant GmbH (in-house)</t>
        </is>
      </c>
      <c r="AI41" s="256" t="inlineStr">
        <is>
          <t>Conforms | Одговара</t>
        </is>
      </c>
      <c r="AJ41" s="256" t="inlineStr">
        <is>
          <t>iCoA-PP_26-039</t>
        </is>
      </c>
      <c r="AK41" s="256" t="inlineStr">
        <is>
          <t>03.06.2026</t>
        </is>
      </c>
      <c r="AL41" s="256" t="inlineStr">
        <is>
          <t>Purely Plant GmbH (in-house)</t>
        </is>
      </c>
      <c r="AM41" s="256" t="inlineStr">
        <is>
          <t>Conforms | Одговара</t>
        </is>
      </c>
      <c r="AN41" s="256" t="inlineStr">
        <is>
          <t>ППК26008</t>
        </is>
      </c>
      <c r="AO41" s="256" t="inlineStr">
        <is>
          <t>21.01.2026</t>
        </is>
      </c>
      <c r="AP41" s="256" t="inlineStr">
        <is>
          <t>UKIM Faculty of Pharmacy — Center for Natural Products</t>
        </is>
      </c>
      <c r="AQ41" s="256" t="inlineStr">
        <is>
          <t>9.43</t>
        </is>
      </c>
      <c r="AR41" s="256" t="inlineStr">
        <is>
          <t>ППК26008</t>
        </is>
      </c>
      <c r="AS41" s="256" t="inlineStr">
        <is>
          <t>21.01.2026</t>
        </is>
      </c>
      <c r="AT41" s="256" t="inlineStr">
        <is>
          <t>UKIM Faculty of Pharmacy — Center for Natural Products</t>
        </is>
      </c>
      <c r="AU41" s="256" t="inlineStr">
        <is>
          <t>0.04</t>
        </is>
      </c>
      <c r="AV41" s="256" t="inlineStr">
        <is>
          <t>ППК26008</t>
        </is>
      </c>
      <c r="AW41" s="256" t="inlineStr">
        <is>
          <t>21.01.2026</t>
        </is>
      </c>
      <c r="AX41" s="256" t="inlineStr">
        <is>
          <t>UKIM Faculty of Pharmacy — Center for Natural Products</t>
        </is>
      </c>
      <c r="AY41" s="256" t="inlineStr">
        <is>
          <t>ND ᴰ</t>
        </is>
      </c>
      <c r="AZ41" s="256" t="inlineStr">
        <is>
          <t>ППК26008</t>
        </is>
      </c>
      <c r="BA41" s="256" t="inlineStr">
        <is>
          <t>21.01.2026</t>
        </is>
      </c>
      <c r="BB41" s="256" t="inlineStr">
        <is>
          <t>CNP</t>
        </is>
      </c>
      <c r="BC41" s="256" t="inlineStr">
        <is>
          <t>Conforms | Одговара</t>
        </is>
      </c>
      <c r="BD41" s="256" t="inlineStr">
        <is>
          <t>iCoA-PP_26-039</t>
        </is>
      </c>
      <c r="BE41" s="256" t="inlineStr">
        <is>
          <t>03.06.2026</t>
        </is>
      </c>
      <c r="BF41" s="256" t="inlineStr">
        <is>
          <t>Purely Plant GmbH (in-house)</t>
        </is>
      </c>
      <c r="BG41" s="256" t="inlineStr">
        <is>
          <t>7.85</t>
        </is>
      </c>
      <c r="BH41" s="256" t="inlineStr">
        <is>
          <t>ППК26008</t>
        </is>
      </c>
      <c r="BI41" s="256" t="inlineStr">
        <is>
          <t>21.01.2026</t>
        </is>
      </c>
      <c r="BJ41" s="256" t="inlineStr">
        <is>
          <t>UKIM Faculty of Pharmacy — Center for Natural Products</t>
        </is>
      </c>
      <c r="BK41" s="256" t="inlineStr">
        <is>
          <t>10</t>
        </is>
      </c>
      <c r="BL41" s="256" t="inlineStr">
        <is>
          <t>2/0005/26</t>
        </is>
      </c>
      <c r="BM41" s="256" t="inlineStr">
        <is>
          <t>20.01.2026</t>
        </is>
      </c>
      <c r="BN41" s="256" t="inlineStr">
        <is>
          <t>IPH — Institute of Public Health</t>
        </is>
      </c>
      <c r="BO41" s="256" t="inlineStr">
        <is>
          <t>10</t>
        </is>
      </c>
      <c r="BP41" s="256" t="inlineStr">
        <is>
          <t>2/0005/26</t>
        </is>
      </c>
      <c r="BQ41" s="256" t="inlineStr">
        <is>
          <t>20.01.2026</t>
        </is>
      </c>
      <c r="BR41" s="256" t="inlineStr">
        <is>
          <t>IPH — Institute of Public Health</t>
        </is>
      </c>
      <c r="BS41" s="256" t="inlineStr">
        <is>
          <t>&lt; 10² and &gt; 10</t>
        </is>
      </c>
      <c r="BT41" s="256" t="inlineStr">
        <is>
          <t>2/0005/26</t>
        </is>
      </c>
      <c r="BU41" s="256" t="inlineStr">
        <is>
          <t>20.01.2026</t>
        </is>
      </c>
      <c r="BV41" s="256" t="inlineStr">
        <is>
          <t>IPH — Institute of Public Health</t>
        </is>
      </c>
      <c r="BW41" s="256" t="inlineStr">
        <is>
          <t>Absent | Отсутна</t>
        </is>
      </c>
      <c r="BX41" s="256" t="inlineStr">
        <is>
          <t>2/0005/26</t>
        </is>
      </c>
      <c r="BY41" s="256" t="inlineStr">
        <is>
          <t>20.01.2026</t>
        </is>
      </c>
      <c r="BZ41" s="256" t="inlineStr">
        <is>
          <t>IPH — Institute of Public Health</t>
        </is>
      </c>
      <c r="CA41" s="256" t="inlineStr">
        <is>
          <t>Absent | Отсутна</t>
        </is>
      </c>
      <c r="CB41" s="256" t="inlineStr">
        <is>
          <t>2/0005/26</t>
        </is>
      </c>
      <c r="CC41" s="256" t="inlineStr">
        <is>
          <t>20.01.2026</t>
        </is>
      </c>
      <c r="CD41" s="256" t="inlineStr">
        <is>
          <t>IPH — Institute of Public Health</t>
        </is>
      </c>
      <c r="CE41" s="260" t="inlineStr">
        <is>
          <t>upon request — not required for release</t>
        </is>
      </c>
      <c r="CF41" s="256" t="inlineStr">
        <is>
          <t>—</t>
        </is>
      </c>
      <c r="CG41" s="256" t="inlineStr">
        <is>
          <t>—</t>
        </is>
      </c>
      <c r="CH41" s="256" t="inlineStr">
        <is>
          <t>—</t>
        </is>
      </c>
      <c r="CI41" s="260" t="inlineStr">
        <is>
          <t>upon request — not required for release</t>
        </is>
      </c>
      <c r="CJ41" s="256" t="inlineStr">
        <is>
          <t>—</t>
        </is>
      </c>
      <c r="CK41" s="256" t="inlineStr">
        <is>
          <t>—</t>
        </is>
      </c>
      <c r="CL41" s="256" t="inlineStr">
        <is>
          <t>—</t>
        </is>
      </c>
      <c r="CM41" s="259" t="inlineStr">
        <is>
          <t>not tested</t>
        </is>
      </c>
      <c r="CN41" s="256" t="inlineStr">
        <is>
          <t>—</t>
        </is>
      </c>
      <c r="CO41" s="256" t="inlineStr">
        <is>
          <t>—</t>
        </is>
      </c>
      <c r="CP41" s="256" t="inlineStr">
        <is>
          <t>—</t>
        </is>
      </c>
      <c r="CQ41" s="256" t="inlineStr">
        <is>
          <t>2.2</t>
        </is>
      </c>
      <c r="CR41" s="256" t="inlineStr">
        <is>
          <t>87/2026</t>
        </is>
      </c>
      <c r="CS41" s="256" t="inlineStr">
        <is>
          <t>03.02.2026</t>
        </is>
      </c>
      <c r="CT41" s="256" t="inlineStr">
        <is>
          <t>IPH — Institute of Public Health</t>
        </is>
      </c>
      <c r="CU41" s="259" t="inlineStr">
        <is>
          <t>not tested</t>
        </is>
      </c>
      <c r="CV41" s="256" t="inlineStr">
        <is>
          <t>—</t>
        </is>
      </c>
      <c r="CW41" s="256" t="inlineStr">
        <is>
          <t>—</t>
        </is>
      </c>
      <c r="CX41" s="256" t="inlineStr">
        <is>
          <t>—</t>
        </is>
      </c>
      <c r="CY41" s="256" t="inlineStr">
        <is>
          <t>0.022</t>
        </is>
      </c>
      <c r="CZ41" s="256" t="inlineStr">
        <is>
          <t>87/2026</t>
        </is>
      </c>
      <c r="DA41" s="256" t="inlineStr">
        <is>
          <t>03.02.2026</t>
        </is>
      </c>
      <c r="DB41" s="256" t="inlineStr">
        <is>
          <t>IPH — Institute of Public Health</t>
        </is>
      </c>
      <c r="DC41" s="256" t="inlineStr">
        <is>
          <t>ND</t>
        </is>
      </c>
      <c r="DD41" s="256" t="inlineStr">
        <is>
          <t>87/2026</t>
        </is>
      </c>
      <c r="DE41" s="256" t="inlineStr">
        <is>
          <t>03.02.2026</t>
        </is>
      </c>
      <c r="DF41" s="256" t="inlineStr">
        <is>
          <t>IPH — Institute of Public Health</t>
        </is>
      </c>
      <c r="DG41" s="256" t="inlineStr">
        <is>
          <t>ND</t>
        </is>
      </c>
      <c r="DH41" s="256" t="inlineStr">
        <is>
          <t>87/2026</t>
        </is>
      </c>
      <c r="DI41" s="256" t="inlineStr">
        <is>
          <t>03.02.2026</t>
        </is>
      </c>
      <c r="DJ41" s="256" t="inlineStr">
        <is>
          <t>IPH — Institute of Public Health</t>
        </is>
      </c>
      <c r="DK41" s="256" t="inlineStr">
        <is>
          <t>ND</t>
        </is>
      </c>
      <c r="DL41" s="256" t="inlineStr">
        <is>
          <t>87/2026</t>
        </is>
      </c>
      <c r="DM41" s="256" t="inlineStr">
        <is>
          <t>03.02.2026</t>
        </is>
      </c>
      <c r="DN41" s="256" t="inlineStr">
        <is>
          <t>IPH — Institute of Public Health</t>
        </is>
      </c>
      <c r="DO41" s="256" t="inlineStr">
        <is>
          <t>ND</t>
        </is>
      </c>
      <c r="DP41" s="256" t="inlineStr">
        <is>
          <t>87/2026</t>
        </is>
      </c>
      <c r="DQ41" s="256" t="inlineStr">
        <is>
          <t>03.02.2026</t>
        </is>
      </c>
      <c r="DR41" s="256" t="inlineStr">
        <is>
          <t>IPH — Institute of Public Health</t>
        </is>
      </c>
    </row>
    <row r="42">
      <c r="A42" s="256" t="inlineStr">
        <is>
          <t>CoQ-PP_26-041</t>
        </is>
      </c>
      <c r="B42" s="256" t="inlineStr">
        <is>
          <t>release</t>
        </is>
      </c>
      <c r="C42" s="256" t="inlineStr">
        <is>
          <t>issuable</t>
        </is>
      </c>
      <c r="D42" s="256" t="inlineStr">
        <is>
          <t>06.06.2026</t>
        </is>
      </c>
      <c r="E42" s="256" t="inlineStr">
        <is>
          <t>n/a — release certificate</t>
        </is>
      </c>
      <c r="F42" s="256" t="inlineStr">
        <is>
          <t>(assigned on issue)</t>
        </is>
      </c>
      <c r="G42" s="256" t="inlineStr">
        <is>
          <t>AB092501</t>
        </is>
      </c>
      <c r="H42" s="256" t="inlineStr">
        <is>
          <t>P060052</t>
        </is>
      </c>
      <c r="I42" s="256" t="inlineStr">
        <is>
          <t>Apple and Banana</t>
        </is>
      </c>
      <c r="J42" s="256" t="inlineStr">
        <is>
          <t>11.12.2025</t>
        </is>
      </c>
      <c r="K42" s="256" t="inlineStr">
        <is>
          <t>30.01.2026</t>
        </is>
      </c>
      <c r="L42" s="256" t="inlineStr">
        <is>
          <t>—</t>
        </is>
      </c>
      <c r="M42" s="256" t="inlineStr">
        <is>
          <t>—</t>
        </is>
      </c>
      <c r="N42" s="256" t="inlineStr">
        <is>
          <t>iCoA-PP_26-040</t>
        </is>
      </c>
      <c r="O42" s="256" t="inlineStr">
        <is>
          <t>03.06.2026</t>
        </is>
      </c>
      <c r="P42" s="256" t="inlineStr">
        <is>
          <t>30.01.2026</t>
        </is>
      </c>
      <c r="Q42" s="256" t="inlineStr">
        <is>
          <t>—</t>
        </is>
      </c>
      <c r="R42" s="256" t="inlineStr">
        <is>
          <t>16.93</t>
        </is>
      </c>
      <c r="S42" s="256" t="inlineStr">
        <is>
          <t>ППК26005</t>
        </is>
      </c>
      <c r="T42" s="256" t="inlineStr">
        <is>
          <t>II</t>
        </is>
      </c>
      <c r="U42" s="256" t="inlineStr">
        <is>
          <t>16.20 – 19.79 %</t>
        </is>
      </c>
      <c r="V42" s="256" t="inlineStr">
        <is>
          <t>AB_THC18 : CBD1</t>
        </is>
      </c>
      <c r="W42" s="256" t="inlineStr">
        <is>
          <t>QCSP_001_AB-II_v.01</t>
        </is>
      </c>
      <c r="X42" s="256" t="inlineStr">
        <is>
          <t>for review — replaces the issued QCSP_001_AB-II_v.01 (was AB_THC22.5:CBD1, 22.50% ± 2.50%); now AB_THC18 : CBD1 16.20 – 19.79 %</t>
        </is>
      </c>
      <c r="Y42" s="256" t="inlineStr">
        <is>
          <t>HYBRID</t>
        </is>
      </c>
      <c r="Z42" s="256" t="inlineStr">
        <is>
          <t>THC</t>
        </is>
      </c>
      <c r="AA42" s="256" t="inlineStr">
        <is>
          <t>MACHINE TRIMMED</t>
        </is>
      </c>
      <c r="AB42" s="256" t="inlineStr">
        <is>
          <t>TO BE DETERMINED</t>
        </is>
      </c>
      <c r="AC42" s="256" t="inlineStr">
        <is>
          <t>Triplex Alu Bag | Триплекс Aлу Kеса, PET 12 · ALU 7 · PE 80, 300 × 500 mm, net. 400.0 g ±3%</t>
        </is>
      </c>
      <c r="AD42" s="256" t="inlineStr">
        <is>
          <t>02.02.2026</t>
        </is>
      </c>
      <c r="AE42" s="256" t="inlineStr">
        <is>
          <t>Conforms | Одговара</t>
        </is>
      </c>
      <c r="AF42" s="256" t="inlineStr">
        <is>
          <t>iCoA-PP_26-040</t>
        </is>
      </c>
      <c r="AG42" s="256" t="inlineStr">
        <is>
          <t>03.06.2026</t>
        </is>
      </c>
      <c r="AH42" s="256" t="inlineStr">
        <is>
          <t>Purely Plant GmbH (in-house)</t>
        </is>
      </c>
      <c r="AI42" s="256" t="inlineStr">
        <is>
          <t>Conforms | Одговара</t>
        </is>
      </c>
      <c r="AJ42" s="256" t="inlineStr">
        <is>
          <t>iCoA-PP_26-040</t>
        </is>
      </c>
      <c r="AK42" s="256" t="inlineStr">
        <is>
          <t>03.06.2026</t>
        </is>
      </c>
      <c r="AL42" s="256" t="inlineStr">
        <is>
          <t>Purely Plant GmbH (in-house)</t>
        </is>
      </c>
      <c r="AM42" s="256" t="inlineStr">
        <is>
          <t>Conforms | Одговара</t>
        </is>
      </c>
      <c r="AN42" s="256" t="inlineStr">
        <is>
          <t>ППК26005</t>
        </is>
      </c>
      <c r="AO42" s="256" t="inlineStr">
        <is>
          <t>21.01.2026</t>
        </is>
      </c>
      <c r="AP42" s="256" t="inlineStr">
        <is>
          <t>UKIM Faculty of Pharmacy — Center for Natural Products</t>
        </is>
      </c>
      <c r="AQ42" s="256" t="inlineStr">
        <is>
          <t>16.93</t>
        </is>
      </c>
      <c r="AR42" s="256" t="inlineStr">
        <is>
          <t>ППК26005</t>
        </is>
      </c>
      <c r="AS42" s="256" t="inlineStr">
        <is>
          <t>21.01.2026</t>
        </is>
      </c>
      <c r="AT42" s="256" t="inlineStr">
        <is>
          <t>UKIM Faculty of Pharmacy — Center for Natural Products</t>
        </is>
      </c>
      <c r="AU42" s="256" t="inlineStr">
        <is>
          <t>0.07</t>
        </is>
      </c>
      <c r="AV42" s="256" t="inlineStr">
        <is>
          <t>ППК26005</t>
        </is>
      </c>
      <c r="AW42" s="256" t="inlineStr">
        <is>
          <t>21.01.2026</t>
        </is>
      </c>
      <c r="AX42" s="256" t="inlineStr">
        <is>
          <t>UKIM Faculty of Pharmacy — Center for Natural Products</t>
        </is>
      </c>
      <c r="AY42" s="259" t="inlineStr">
        <is>
          <t>not tested</t>
        </is>
      </c>
      <c r="AZ42" s="256" t="inlineStr">
        <is>
          <t>—</t>
        </is>
      </c>
      <c r="BA42" s="256" t="inlineStr">
        <is>
          <t>—</t>
        </is>
      </c>
      <c r="BB42" s="256" t="inlineStr">
        <is>
          <t>—</t>
        </is>
      </c>
      <c r="BC42" s="256" t="inlineStr">
        <is>
          <t>Conforms | Одговара</t>
        </is>
      </c>
      <c r="BD42" s="256" t="inlineStr">
        <is>
          <t>iCoA-PP_26-040</t>
        </is>
      </c>
      <c r="BE42" s="256" t="inlineStr">
        <is>
          <t>03.06.2026</t>
        </is>
      </c>
      <c r="BF42" s="256" t="inlineStr">
        <is>
          <t>Purely Plant GmbH (in-house)</t>
        </is>
      </c>
      <c r="BG42" s="256" t="inlineStr">
        <is>
          <t>6.77</t>
        </is>
      </c>
      <c r="BH42" s="256" t="inlineStr">
        <is>
          <t>ППК26005</t>
        </is>
      </c>
      <c r="BI42" s="256" t="inlineStr">
        <is>
          <t>21.01.2026</t>
        </is>
      </c>
      <c r="BJ42" s="256" t="inlineStr">
        <is>
          <t>UKIM Faculty of Pharmacy — Center for Natural Products</t>
        </is>
      </c>
      <c r="BK42" s="256" t="inlineStr">
        <is>
          <t>&lt; 10</t>
        </is>
      </c>
      <c r="BL42" s="256" t="inlineStr">
        <is>
          <t>7/0010/26</t>
        </is>
      </c>
      <c r="BM42" s="256" t="inlineStr">
        <is>
          <t>20.01.2026</t>
        </is>
      </c>
      <c r="BN42" s="256" t="inlineStr">
        <is>
          <t>IPH — Institute of Public Health</t>
        </is>
      </c>
      <c r="BO42" s="256" t="inlineStr">
        <is>
          <t>&lt; 10</t>
        </is>
      </c>
      <c r="BP42" s="256" t="inlineStr">
        <is>
          <t>7/0010/26</t>
        </is>
      </c>
      <c r="BQ42" s="256" t="inlineStr">
        <is>
          <t>20.01.2026</t>
        </is>
      </c>
      <c r="BR42" s="256" t="inlineStr">
        <is>
          <t>IPH — Institute of Public Health</t>
        </is>
      </c>
      <c r="BS42" s="256" t="inlineStr">
        <is>
          <t>&lt; 10</t>
        </is>
      </c>
      <c r="BT42" s="256" t="inlineStr">
        <is>
          <t>7/0010/26</t>
        </is>
      </c>
      <c r="BU42" s="256" t="inlineStr">
        <is>
          <t>20.01.2026</t>
        </is>
      </c>
      <c r="BV42" s="256" t="inlineStr">
        <is>
          <t>IPH — Institute of Public Health</t>
        </is>
      </c>
      <c r="BW42" s="256" t="inlineStr">
        <is>
          <t>Absent | Отсутна</t>
        </is>
      </c>
      <c r="BX42" s="256" t="inlineStr">
        <is>
          <t>7/0010/26</t>
        </is>
      </c>
      <c r="BY42" s="256" t="inlineStr">
        <is>
          <t>20.01.2026</t>
        </is>
      </c>
      <c r="BZ42" s="256" t="inlineStr">
        <is>
          <t>IPH — Institute of Public Health</t>
        </is>
      </c>
      <c r="CA42" s="256" t="inlineStr">
        <is>
          <t>Absent | Отсутна</t>
        </is>
      </c>
      <c r="CB42" s="256" t="inlineStr">
        <is>
          <t>7/0010/26</t>
        </is>
      </c>
      <c r="CC42" s="256" t="inlineStr">
        <is>
          <t>20.01.2026</t>
        </is>
      </c>
      <c r="CD42" s="256" t="inlineStr">
        <is>
          <t>IPH — Institute of Public Health</t>
        </is>
      </c>
      <c r="CE42" s="260" t="inlineStr">
        <is>
          <t>upon request — not required for release</t>
        </is>
      </c>
      <c r="CF42" s="256" t="inlineStr">
        <is>
          <t>—</t>
        </is>
      </c>
      <c r="CG42" s="256" t="inlineStr">
        <is>
          <t>—</t>
        </is>
      </c>
      <c r="CH42" s="256" t="inlineStr">
        <is>
          <t>—</t>
        </is>
      </c>
      <c r="CI42" s="260" t="inlineStr">
        <is>
          <t>upon request — not required for release</t>
        </is>
      </c>
      <c r="CJ42" s="256" t="inlineStr">
        <is>
          <t>—</t>
        </is>
      </c>
      <c r="CK42" s="256" t="inlineStr">
        <is>
          <t>—</t>
        </is>
      </c>
      <c r="CL42" s="256" t="inlineStr">
        <is>
          <t>—</t>
        </is>
      </c>
      <c r="CM42" s="259" t="inlineStr">
        <is>
          <t>not tested</t>
        </is>
      </c>
      <c r="CN42" s="256" t="inlineStr">
        <is>
          <t>—</t>
        </is>
      </c>
      <c r="CO42" s="256" t="inlineStr">
        <is>
          <t>—</t>
        </is>
      </c>
      <c r="CP42" s="256" t="inlineStr">
        <is>
          <t>—</t>
        </is>
      </c>
      <c r="CQ42" s="256" t="inlineStr">
        <is>
          <t>&lt; 2</t>
        </is>
      </c>
      <c r="CR42" s="256" t="inlineStr">
        <is>
          <t>84/2026</t>
        </is>
      </c>
      <c r="CS42" s="256" t="inlineStr">
        <is>
          <t>02.02.2026</t>
        </is>
      </c>
      <c r="CT42" s="256" t="inlineStr">
        <is>
          <t>IPH — Institute of Public Health</t>
        </is>
      </c>
      <c r="CU42" s="259" t="inlineStr">
        <is>
          <t>not tested</t>
        </is>
      </c>
      <c r="CV42" s="256" t="inlineStr">
        <is>
          <t>—</t>
        </is>
      </c>
      <c r="CW42" s="256" t="inlineStr">
        <is>
          <t>—</t>
        </is>
      </c>
      <c r="CX42" s="256" t="inlineStr">
        <is>
          <t>—</t>
        </is>
      </c>
      <c r="CY42" s="256" t="inlineStr">
        <is>
          <t>0.05</t>
        </is>
      </c>
      <c r="CZ42" s="256" t="inlineStr">
        <is>
          <t>84/2026</t>
        </is>
      </c>
      <c r="DA42" s="256" t="inlineStr">
        <is>
          <t>02.02.2026</t>
        </is>
      </c>
      <c r="DB42" s="256" t="inlineStr">
        <is>
          <t>IPH — Institute of Public Health</t>
        </is>
      </c>
      <c r="DC42" s="256" t="inlineStr">
        <is>
          <t>ND</t>
        </is>
      </c>
      <c r="DD42" s="256" t="inlineStr">
        <is>
          <t>84/2026</t>
        </is>
      </c>
      <c r="DE42" s="256" t="inlineStr">
        <is>
          <t>02.02.2026</t>
        </is>
      </c>
      <c r="DF42" s="256" t="inlineStr">
        <is>
          <t>IPH — Institute of Public Health</t>
        </is>
      </c>
      <c r="DG42" s="256" t="inlineStr">
        <is>
          <t>ND</t>
        </is>
      </c>
      <c r="DH42" s="256" t="inlineStr">
        <is>
          <t>84/2026</t>
        </is>
      </c>
      <c r="DI42" s="256" t="inlineStr">
        <is>
          <t>02.02.2026</t>
        </is>
      </c>
      <c r="DJ42" s="256" t="inlineStr">
        <is>
          <t>IPH — Institute of Public Health</t>
        </is>
      </c>
      <c r="DK42" s="256" t="inlineStr">
        <is>
          <t>0.003</t>
        </is>
      </c>
      <c r="DL42" s="256" t="inlineStr">
        <is>
          <t>84/2026</t>
        </is>
      </c>
      <c r="DM42" s="256" t="inlineStr">
        <is>
          <t>02.02.2026</t>
        </is>
      </c>
      <c r="DN42" s="256" t="inlineStr">
        <is>
          <t>IPH — Institute of Public Health</t>
        </is>
      </c>
      <c r="DO42" s="256" t="inlineStr">
        <is>
          <t>ND</t>
        </is>
      </c>
      <c r="DP42" s="256" t="inlineStr">
        <is>
          <t>84/2026</t>
        </is>
      </c>
      <c r="DQ42" s="256" t="inlineStr">
        <is>
          <t>02.02.2026</t>
        </is>
      </c>
      <c r="DR42" s="256" t="inlineStr">
        <is>
          <t>IPH — Institute of Public Health</t>
        </is>
      </c>
    </row>
    <row r="43">
      <c r="A43" s="256" t="inlineStr">
        <is>
          <t>CoQ-PP_26-042</t>
        </is>
      </c>
      <c r="B43" s="256" t="inlineStr">
        <is>
          <t>release</t>
        </is>
      </c>
      <c r="C43" s="256" t="inlineStr">
        <is>
          <t>issuable</t>
        </is>
      </c>
      <c r="D43" s="256" t="inlineStr">
        <is>
          <t>06.06.2026</t>
        </is>
      </c>
      <c r="E43" s="256" t="inlineStr">
        <is>
          <t>n/a — release certificate</t>
        </is>
      </c>
      <c r="F43" s="256" t="inlineStr">
        <is>
          <t>CoQ-PP-2026-0005</t>
        </is>
      </c>
      <c r="G43" s="256" t="inlineStr">
        <is>
          <t>PM092501</t>
        </is>
      </c>
      <c r="H43" s="256" t="inlineStr">
        <is>
          <t>P060062</t>
        </is>
      </c>
      <c r="I43" s="256" t="inlineStr">
        <is>
          <t>Permanent Marker</t>
        </is>
      </c>
      <c r="J43" s="256" t="inlineStr">
        <is>
          <t>11.12.2025</t>
        </is>
      </c>
      <c r="K43" s="256" t="inlineStr">
        <is>
          <t>30.01.2026</t>
        </is>
      </c>
      <c r="L43" s="256" t="inlineStr">
        <is>
          <t>11.12.2025</t>
        </is>
      </c>
      <c r="M43" s="256" t="inlineStr">
        <is>
          <t>30.01.2026</t>
        </is>
      </c>
      <c r="N43" s="256" t="inlineStr">
        <is>
          <t>iCoA-PP_26-041</t>
        </is>
      </c>
      <c r="O43" s="256" t="inlineStr">
        <is>
          <t>03.06.2026</t>
        </is>
      </c>
      <c r="P43" s="256" t="inlineStr">
        <is>
          <t>30.01.2026</t>
        </is>
      </c>
      <c r="Q43" s="256" t="inlineStr">
        <is>
          <t>—</t>
        </is>
      </c>
      <c r="R43" s="256" t="inlineStr">
        <is>
          <t>14.06</t>
        </is>
      </c>
      <c r="S43" s="256" t="inlineStr">
        <is>
          <t>ППК26004</t>
        </is>
      </c>
      <c r="T43" s="256" t="inlineStr">
        <is>
          <t>I</t>
        </is>
      </c>
      <c r="U43" s="256" t="inlineStr">
        <is>
          <t>13.00 – 14.99 %</t>
        </is>
      </c>
      <c r="V43" s="256" t="inlineStr">
        <is>
          <t>PM_THC14 : CBD1</t>
        </is>
      </c>
      <c r="W43" s="256" t="inlineStr">
        <is>
          <t>QCSP_001_PM-I_v.01</t>
        </is>
      </c>
      <c r="X43" s="256" t="inlineStr">
        <is>
          <t>for review — replaces the issued QCSP_001_PM-I_v.01 (was PM_THC12 : CBD1, 11.01 – 12.99 %); now PM_THC14 : CBD1 13.00 – 14.99 %</t>
        </is>
      </c>
      <c r="Y43" s="256" t="inlineStr">
        <is>
          <t>HYBRID</t>
        </is>
      </c>
      <c r="Z43" s="256" t="inlineStr">
        <is>
          <t>THC</t>
        </is>
      </c>
      <c r="AA43" s="256" t="inlineStr">
        <is>
          <t>MACHINE TRIMMED</t>
        </is>
      </c>
      <c r="AB43" s="256" t="inlineStr">
        <is>
          <t>INDICA-DOMINANT</t>
        </is>
      </c>
      <c r="AC43" s="256" t="inlineStr">
        <is>
          <t>Triplex Alu Bag | Триплекс Aлу Kеса, PET 12 · ALU 7 · PE 80, 300 × 500 mm, net. 400.0 g ±3%</t>
        </is>
      </c>
      <c r="AD43" s="256" t="inlineStr">
        <is>
          <t>02.02.2026</t>
        </is>
      </c>
      <c r="AE43" s="256" t="inlineStr">
        <is>
          <t>Conforms | Одговара</t>
        </is>
      </c>
      <c r="AF43" s="256" t="inlineStr">
        <is>
          <t>iCoA-PP_26-041</t>
        </is>
      </c>
      <c r="AG43" s="256" t="inlineStr">
        <is>
          <t>03.06.2026</t>
        </is>
      </c>
      <c r="AH43" s="256" t="inlineStr">
        <is>
          <t>Purely Plant GmbH (in-house)</t>
        </is>
      </c>
      <c r="AI43" s="256" t="inlineStr">
        <is>
          <t>Conforms | Одговара</t>
        </is>
      </c>
      <c r="AJ43" s="256" t="inlineStr">
        <is>
          <t>iCoA-PP_26-041</t>
        </is>
      </c>
      <c r="AK43" s="256" t="inlineStr">
        <is>
          <t>03.06.2026</t>
        </is>
      </c>
      <c r="AL43" s="256" t="inlineStr">
        <is>
          <t>Purely Plant GmbH (in-house)</t>
        </is>
      </c>
      <c r="AM43" s="256" t="inlineStr">
        <is>
          <t>Conforms | Одговара</t>
        </is>
      </c>
      <c r="AN43" s="256" t="inlineStr">
        <is>
          <t>ППК26004</t>
        </is>
      </c>
      <c r="AO43" s="256" t="inlineStr">
        <is>
          <t>21.01.2026</t>
        </is>
      </c>
      <c r="AP43" s="256" t="inlineStr">
        <is>
          <t>UKIM Faculty of Pharmacy — Center for Natural Products</t>
        </is>
      </c>
      <c r="AQ43" s="256" t="inlineStr">
        <is>
          <t>14.06</t>
        </is>
      </c>
      <c r="AR43" s="256" t="inlineStr">
        <is>
          <t>ППК26004</t>
        </is>
      </c>
      <c r="AS43" s="256" t="inlineStr">
        <is>
          <t>21.01.2026</t>
        </is>
      </c>
      <c r="AT43" s="256" t="inlineStr">
        <is>
          <t>UKIM Faculty of Pharmacy — Center for Natural Products</t>
        </is>
      </c>
      <c r="AU43" s="256" t="inlineStr">
        <is>
          <t>0.05</t>
        </is>
      </c>
      <c r="AV43" s="256" t="inlineStr">
        <is>
          <t>ППК26004</t>
        </is>
      </c>
      <c r="AW43" s="256" t="inlineStr">
        <is>
          <t>21.01.2026</t>
        </is>
      </c>
      <c r="AX43" s="256" t="inlineStr">
        <is>
          <t>UKIM Faculty of Pharmacy — Center for Natural Products</t>
        </is>
      </c>
      <c r="AY43" s="256" t="inlineStr">
        <is>
          <t>&lt; LOQ ᴰ</t>
        </is>
      </c>
      <c r="AZ43" s="256" t="inlineStr">
        <is>
          <t>ППК26004</t>
        </is>
      </c>
      <c r="BA43" s="256" t="inlineStr">
        <is>
          <t>21.01.2026</t>
        </is>
      </c>
      <c r="BB43" s="256" t="inlineStr">
        <is>
          <t>CNP</t>
        </is>
      </c>
      <c r="BC43" s="256" t="inlineStr">
        <is>
          <t>Conforms | Одговара</t>
        </is>
      </c>
      <c r="BD43" s="256" t="inlineStr">
        <is>
          <t>iCoA-PP_26-041</t>
        </is>
      </c>
      <c r="BE43" s="256" t="inlineStr">
        <is>
          <t>03.06.2026</t>
        </is>
      </c>
      <c r="BF43" s="256" t="inlineStr">
        <is>
          <t>Purely Plant GmbH (in-house)</t>
        </is>
      </c>
      <c r="BG43" s="256" t="inlineStr">
        <is>
          <t>7.97</t>
        </is>
      </c>
      <c r="BH43" s="256" t="inlineStr">
        <is>
          <t>ППК26004</t>
        </is>
      </c>
      <c r="BI43" s="256" t="inlineStr">
        <is>
          <t>21.01.2026</t>
        </is>
      </c>
      <c r="BJ43" s="256" t="inlineStr">
        <is>
          <t>UKIM Faculty of Pharmacy — Center for Natural Products</t>
        </is>
      </c>
      <c r="BK43" s="256" t="inlineStr">
        <is>
          <t>2 × 10³</t>
        </is>
      </c>
      <c r="BL43" s="256" t="inlineStr">
        <is>
          <t>6/0009/26</t>
        </is>
      </c>
      <c r="BM43" s="256" t="inlineStr">
        <is>
          <t>20.01.2026</t>
        </is>
      </c>
      <c r="BN43" s="256" t="inlineStr">
        <is>
          <t>IPH — Institute of Public Health</t>
        </is>
      </c>
      <c r="BO43" s="256" t="inlineStr">
        <is>
          <t>2.2 × 10³</t>
        </is>
      </c>
      <c r="BP43" s="256" t="inlineStr">
        <is>
          <t>6/0009/26</t>
        </is>
      </c>
      <c r="BQ43" s="256" t="inlineStr">
        <is>
          <t>20.01.2026</t>
        </is>
      </c>
      <c r="BR43" s="256" t="inlineStr">
        <is>
          <t>IPH — Institute of Public Health</t>
        </is>
      </c>
      <c r="BS43" s="256" t="inlineStr">
        <is>
          <t>&lt; 10</t>
        </is>
      </c>
      <c r="BT43" s="256" t="inlineStr">
        <is>
          <t>6/0009/26</t>
        </is>
      </c>
      <c r="BU43" s="256" t="inlineStr">
        <is>
          <t>20.01.2026</t>
        </is>
      </c>
      <c r="BV43" s="256" t="inlineStr">
        <is>
          <t>IPH — Institute of Public Health</t>
        </is>
      </c>
      <c r="BW43" s="256" t="inlineStr">
        <is>
          <t>Absent | Отсутна</t>
        </is>
      </c>
      <c r="BX43" s="256" t="inlineStr">
        <is>
          <t>6/0009/26</t>
        </is>
      </c>
      <c r="BY43" s="256" t="inlineStr">
        <is>
          <t>20.01.2026</t>
        </is>
      </c>
      <c r="BZ43" s="256" t="inlineStr">
        <is>
          <t>IPH — Institute of Public Health</t>
        </is>
      </c>
      <c r="CA43" s="256" t="inlineStr">
        <is>
          <t>Absent | Отсутна</t>
        </is>
      </c>
      <c r="CB43" s="256" t="inlineStr">
        <is>
          <t>6/0009/26</t>
        </is>
      </c>
      <c r="CC43" s="256" t="inlineStr">
        <is>
          <t>20.01.2026</t>
        </is>
      </c>
      <c r="CD43" s="256" t="inlineStr">
        <is>
          <t>IPH — Institute of Public Health</t>
        </is>
      </c>
      <c r="CE43" s="260" t="inlineStr">
        <is>
          <t>upon request — not required for release</t>
        </is>
      </c>
      <c r="CF43" s="256" t="inlineStr">
        <is>
          <t>—</t>
        </is>
      </c>
      <c r="CG43" s="256" t="inlineStr">
        <is>
          <t>—</t>
        </is>
      </c>
      <c r="CH43" s="256" t="inlineStr">
        <is>
          <t>—</t>
        </is>
      </c>
      <c r="CI43" s="260" t="inlineStr">
        <is>
          <t>upon request — not required for release</t>
        </is>
      </c>
      <c r="CJ43" s="256" t="inlineStr">
        <is>
          <t>—</t>
        </is>
      </c>
      <c r="CK43" s="256" t="inlineStr">
        <is>
          <t>—</t>
        </is>
      </c>
      <c r="CL43" s="256" t="inlineStr">
        <is>
          <t>—</t>
        </is>
      </c>
      <c r="CM43" s="259" t="inlineStr">
        <is>
          <t>not tested</t>
        </is>
      </c>
      <c r="CN43" s="256" t="inlineStr">
        <is>
          <t>—</t>
        </is>
      </c>
      <c r="CO43" s="256" t="inlineStr">
        <is>
          <t>—</t>
        </is>
      </c>
      <c r="CP43" s="256" t="inlineStr">
        <is>
          <t>—</t>
        </is>
      </c>
      <c r="CQ43" s="256" t="inlineStr">
        <is>
          <t>&lt; 2</t>
        </is>
      </c>
      <c r="CR43" s="256" t="inlineStr">
        <is>
          <t>83/2026</t>
        </is>
      </c>
      <c r="CS43" s="256" t="inlineStr">
        <is>
          <t>02.02.2026</t>
        </is>
      </c>
      <c r="CT43" s="256" t="inlineStr">
        <is>
          <t>IPH — Institute of Public Health</t>
        </is>
      </c>
      <c r="CU43" s="259" t="inlineStr">
        <is>
          <t>not tested</t>
        </is>
      </c>
      <c r="CV43" s="256" t="inlineStr">
        <is>
          <t>—</t>
        </is>
      </c>
      <c r="CW43" s="256" t="inlineStr">
        <is>
          <t>—</t>
        </is>
      </c>
      <c r="CX43" s="256" t="inlineStr">
        <is>
          <t>—</t>
        </is>
      </c>
      <c r="CY43" s="256" t="inlineStr">
        <is>
          <t>0.03</t>
        </is>
      </c>
      <c r="CZ43" s="256" t="inlineStr">
        <is>
          <t>83/2026</t>
        </is>
      </c>
      <c r="DA43" s="256" t="inlineStr">
        <is>
          <t>02.02.2026</t>
        </is>
      </c>
      <c r="DB43" s="256" t="inlineStr">
        <is>
          <t>IPH — Institute of Public Health</t>
        </is>
      </c>
      <c r="DC43" s="256" t="inlineStr">
        <is>
          <t>ND</t>
        </is>
      </c>
      <c r="DD43" s="256" t="inlineStr">
        <is>
          <t>83/2026</t>
        </is>
      </c>
      <c r="DE43" s="256" t="inlineStr">
        <is>
          <t>02.02.2026</t>
        </is>
      </c>
      <c r="DF43" s="256" t="inlineStr">
        <is>
          <t>IPH — Institute of Public Health</t>
        </is>
      </c>
      <c r="DG43" s="256" t="inlineStr">
        <is>
          <t>ND</t>
        </is>
      </c>
      <c r="DH43" s="256" t="inlineStr">
        <is>
          <t>83/2026</t>
        </is>
      </c>
      <c r="DI43" s="256" t="inlineStr">
        <is>
          <t>02.02.2026</t>
        </is>
      </c>
      <c r="DJ43" s="256" t="inlineStr">
        <is>
          <t>IPH — Institute of Public Health</t>
        </is>
      </c>
      <c r="DK43" s="256" t="inlineStr">
        <is>
          <t>ND</t>
        </is>
      </c>
      <c r="DL43" s="256" t="inlineStr">
        <is>
          <t>83/2026</t>
        </is>
      </c>
      <c r="DM43" s="256" t="inlineStr">
        <is>
          <t>02.02.2026</t>
        </is>
      </c>
      <c r="DN43" s="256" t="inlineStr">
        <is>
          <t>IPH — Institute of Public Health</t>
        </is>
      </c>
      <c r="DO43" s="256" t="inlineStr">
        <is>
          <t>ND</t>
        </is>
      </c>
      <c r="DP43" s="256" t="inlineStr">
        <is>
          <t>83/2026</t>
        </is>
      </c>
      <c r="DQ43" s="256" t="inlineStr">
        <is>
          <t>02.02.2026</t>
        </is>
      </c>
      <c r="DR43" s="256" t="inlineStr">
        <is>
          <t>IPH — Institute of Public Health</t>
        </is>
      </c>
    </row>
    <row r="44">
      <c r="A44" s="256" t="inlineStr">
        <is>
          <t>CoQ-PP_26-043</t>
        </is>
      </c>
      <c r="B44" s="256" t="inlineStr">
        <is>
          <t>release</t>
        </is>
      </c>
      <c r="C44" s="256" t="inlineStr">
        <is>
          <t>issuable</t>
        </is>
      </c>
      <c r="D44" s="256" t="inlineStr">
        <is>
          <t>06.06.2026</t>
        </is>
      </c>
      <c r="E44" s="256" t="inlineStr">
        <is>
          <t>n/a — release certificate</t>
        </is>
      </c>
      <c r="F44" s="256" t="inlineStr">
        <is>
          <t>CoQ-PP-2026-0006</t>
        </is>
      </c>
      <c r="G44" s="256" t="inlineStr">
        <is>
          <t>CJ092501</t>
        </is>
      </c>
      <c r="H44" s="256" t="inlineStr">
        <is>
          <t>P060072</t>
        </is>
      </c>
      <c r="I44" s="256" t="inlineStr">
        <is>
          <t>Cap Junky</t>
        </is>
      </c>
      <c r="J44" s="256" t="inlineStr">
        <is>
          <t>12.12.2025</t>
        </is>
      </c>
      <c r="K44" s="256" t="inlineStr">
        <is>
          <t>02.02.2026</t>
        </is>
      </c>
      <c r="L44" s="256" t="inlineStr">
        <is>
          <t>12.12.2025</t>
        </is>
      </c>
      <c r="M44" s="256" t="inlineStr">
        <is>
          <t>02.02.2026</t>
        </is>
      </c>
      <c r="N44" s="256" t="inlineStr">
        <is>
          <t>iCoA-PP_26-042</t>
        </is>
      </c>
      <c r="O44" s="256" t="inlineStr">
        <is>
          <t>03.06.2026</t>
        </is>
      </c>
      <c r="P44" s="256" t="inlineStr">
        <is>
          <t>02.02.2026</t>
        </is>
      </c>
      <c r="Q44" s="256" t="inlineStr">
        <is>
          <t>—</t>
        </is>
      </c>
      <c r="R44" s="256" t="inlineStr">
        <is>
          <t>22.30</t>
        </is>
      </c>
      <c r="S44" s="256" t="inlineStr">
        <is>
          <t>ППК26007</t>
        </is>
      </c>
      <c r="T44" s="256" t="inlineStr">
        <is>
          <t>II</t>
        </is>
      </c>
      <c r="U44" s="256" t="inlineStr">
        <is>
          <t>21.60 – 26.39 %</t>
        </is>
      </c>
      <c r="V44" s="256" t="inlineStr">
        <is>
          <t>CJ_THC24 : CBD1</t>
        </is>
      </c>
      <c r="W44" s="256" t="inlineStr">
        <is>
          <t>QCSP_001_CJ-II_v.01</t>
        </is>
      </c>
      <c r="X44" s="256" t="inlineStr">
        <is>
          <t>for review — replaces the issued QCSP_001_CJ-II_v.01 (was CJ_THC26 : CBD1, 25.01 – 26.99 %); now CJ_THC24 : CBD1 21.60 – 26.39 %</t>
        </is>
      </c>
      <c r="Y44" s="256" t="inlineStr">
        <is>
          <t>HYBRID</t>
        </is>
      </c>
      <c r="Z44" s="256" t="inlineStr">
        <is>
          <t>THC</t>
        </is>
      </c>
      <c r="AA44" s="256" t="inlineStr">
        <is>
          <t>MACHINE TRIMMED</t>
        </is>
      </c>
      <c r="AB44" s="256" t="inlineStr">
        <is>
          <t>INDICA 60 : SATIVA 40</t>
        </is>
      </c>
      <c r="AC44" s="256" t="inlineStr">
        <is>
          <t>Triplex Alu Bag | Триплекс Aлу Kеса, PET 12 · ALU 7 · PE 80, 300 × 500 mm, net. 400.0 g ±3%</t>
        </is>
      </c>
      <c r="AD44" s="256" t="inlineStr">
        <is>
          <t>02.02.2026</t>
        </is>
      </c>
      <c r="AE44" s="256" t="inlineStr">
        <is>
          <t>Conforms | Одговара</t>
        </is>
      </c>
      <c r="AF44" s="256" t="inlineStr">
        <is>
          <t>iCoA-PP_26-042</t>
        </is>
      </c>
      <c r="AG44" s="256" t="inlineStr">
        <is>
          <t>03.06.2026</t>
        </is>
      </c>
      <c r="AH44" s="256" t="inlineStr">
        <is>
          <t>Purely Plant GmbH (in-house)</t>
        </is>
      </c>
      <c r="AI44" s="256" t="inlineStr">
        <is>
          <t>Conforms | Одговара</t>
        </is>
      </c>
      <c r="AJ44" s="256" t="inlineStr">
        <is>
          <t>iCoA-PP_26-042</t>
        </is>
      </c>
      <c r="AK44" s="256" t="inlineStr">
        <is>
          <t>03.06.2026</t>
        </is>
      </c>
      <c r="AL44" s="256" t="inlineStr">
        <is>
          <t>Purely Plant GmbH (in-house)</t>
        </is>
      </c>
      <c r="AM44" s="256" t="inlineStr">
        <is>
          <t>Conforms | Одговара</t>
        </is>
      </c>
      <c r="AN44" s="256" t="inlineStr">
        <is>
          <t>ППК26007</t>
        </is>
      </c>
      <c r="AO44" s="256" t="inlineStr">
        <is>
          <t>21.01.2026</t>
        </is>
      </c>
      <c r="AP44" s="256" t="inlineStr">
        <is>
          <t>UKIM Faculty of Pharmacy — Center for Natural Products</t>
        </is>
      </c>
      <c r="AQ44" s="256" t="inlineStr">
        <is>
          <t>22.30</t>
        </is>
      </c>
      <c r="AR44" s="256" t="inlineStr">
        <is>
          <t>ППК26007</t>
        </is>
      </c>
      <c r="AS44" s="256" t="inlineStr">
        <is>
          <t>21.01.2026</t>
        </is>
      </c>
      <c r="AT44" s="256" t="inlineStr">
        <is>
          <t>UKIM Faculty of Pharmacy — Center for Natural Products</t>
        </is>
      </c>
      <c r="AU44" s="256" t="inlineStr">
        <is>
          <t>0.10</t>
        </is>
      </c>
      <c r="AV44" s="256" t="inlineStr">
        <is>
          <t>ППК26007</t>
        </is>
      </c>
      <c r="AW44" s="256" t="inlineStr">
        <is>
          <t>21.01.2026</t>
        </is>
      </c>
      <c r="AX44" s="256" t="inlineStr">
        <is>
          <t>UKIM Faculty of Pharmacy — Center for Natural Products</t>
        </is>
      </c>
      <c r="AY44" s="256" t="inlineStr">
        <is>
          <t>ND ᴰ</t>
        </is>
      </c>
      <c r="AZ44" s="256" t="inlineStr">
        <is>
          <t>ППК26007</t>
        </is>
      </c>
      <c r="BA44" s="256" t="inlineStr">
        <is>
          <t>21.01.2026</t>
        </is>
      </c>
      <c r="BB44" s="256" t="inlineStr">
        <is>
          <t>CNP</t>
        </is>
      </c>
      <c r="BC44" s="256" t="inlineStr">
        <is>
          <t>Conforms | Одговара</t>
        </is>
      </c>
      <c r="BD44" s="256" t="inlineStr">
        <is>
          <t>iCoA-PP_26-042</t>
        </is>
      </c>
      <c r="BE44" s="256" t="inlineStr">
        <is>
          <t>03.06.2026</t>
        </is>
      </c>
      <c r="BF44" s="256" t="inlineStr">
        <is>
          <t>Purely Plant GmbH (in-house)</t>
        </is>
      </c>
      <c r="BG44" s="256" t="inlineStr">
        <is>
          <t>7.64</t>
        </is>
      </c>
      <c r="BH44" s="256" t="inlineStr">
        <is>
          <t>ППК26007</t>
        </is>
      </c>
      <c r="BI44" s="256" t="inlineStr">
        <is>
          <t>21.01.2026</t>
        </is>
      </c>
      <c r="BJ44" s="256" t="inlineStr">
        <is>
          <t>UKIM Faculty of Pharmacy — Center for Natural Products</t>
        </is>
      </c>
      <c r="BK44" s="256" t="inlineStr">
        <is>
          <t>&lt; 10</t>
        </is>
      </c>
      <c r="BL44" s="256" t="inlineStr">
        <is>
          <t>10/0013/26</t>
        </is>
      </c>
      <c r="BM44" s="256" t="inlineStr">
        <is>
          <t>20.01.2026</t>
        </is>
      </c>
      <c r="BN44" s="256" t="inlineStr">
        <is>
          <t>IPH — Institute of Public Health</t>
        </is>
      </c>
      <c r="BO44" s="256" t="inlineStr">
        <is>
          <t>&lt; 10</t>
        </is>
      </c>
      <c r="BP44" s="256" t="inlineStr">
        <is>
          <t>10/0013/26</t>
        </is>
      </c>
      <c r="BQ44" s="256" t="inlineStr">
        <is>
          <t>20.01.2026</t>
        </is>
      </c>
      <c r="BR44" s="256" t="inlineStr">
        <is>
          <t>IPH — Institute of Public Health</t>
        </is>
      </c>
      <c r="BS44" s="256" t="inlineStr">
        <is>
          <t>&lt; 10</t>
        </is>
      </c>
      <c r="BT44" s="256" t="inlineStr">
        <is>
          <t>10/0013/26</t>
        </is>
      </c>
      <c r="BU44" s="256" t="inlineStr">
        <is>
          <t>20.01.2026</t>
        </is>
      </c>
      <c r="BV44" s="256" t="inlineStr">
        <is>
          <t>IPH — Institute of Public Health</t>
        </is>
      </c>
      <c r="BW44" s="256" t="inlineStr">
        <is>
          <t>Absent | Отсутна</t>
        </is>
      </c>
      <c r="BX44" s="256" t="inlineStr">
        <is>
          <t>10/0013/26</t>
        </is>
      </c>
      <c r="BY44" s="256" t="inlineStr">
        <is>
          <t>20.01.2026</t>
        </is>
      </c>
      <c r="BZ44" s="256" t="inlineStr">
        <is>
          <t>IPH — Institute of Public Health</t>
        </is>
      </c>
      <c r="CA44" s="256" t="inlineStr">
        <is>
          <t>Absent | Отсутна</t>
        </is>
      </c>
      <c r="CB44" s="256" t="inlineStr">
        <is>
          <t>10/0013/26</t>
        </is>
      </c>
      <c r="CC44" s="256" t="inlineStr">
        <is>
          <t>20.01.2026</t>
        </is>
      </c>
      <c r="CD44" s="256" t="inlineStr">
        <is>
          <t>IPH — Institute of Public Health</t>
        </is>
      </c>
      <c r="CE44" s="260" t="inlineStr">
        <is>
          <t>upon request — not required for release</t>
        </is>
      </c>
      <c r="CF44" s="256" t="inlineStr">
        <is>
          <t>—</t>
        </is>
      </c>
      <c r="CG44" s="256" t="inlineStr">
        <is>
          <t>—</t>
        </is>
      </c>
      <c r="CH44" s="256" t="inlineStr">
        <is>
          <t>—</t>
        </is>
      </c>
      <c r="CI44" s="260" t="inlineStr">
        <is>
          <t>upon request — not required for release</t>
        </is>
      </c>
      <c r="CJ44" s="256" t="inlineStr">
        <is>
          <t>—</t>
        </is>
      </c>
      <c r="CK44" s="256" t="inlineStr">
        <is>
          <t>—</t>
        </is>
      </c>
      <c r="CL44" s="256" t="inlineStr">
        <is>
          <t>—</t>
        </is>
      </c>
      <c r="CM44" s="259" t="inlineStr">
        <is>
          <t>not tested</t>
        </is>
      </c>
      <c r="CN44" s="256" t="inlineStr">
        <is>
          <t>—</t>
        </is>
      </c>
      <c r="CO44" s="256" t="inlineStr">
        <is>
          <t>—</t>
        </is>
      </c>
      <c r="CP44" s="256" t="inlineStr">
        <is>
          <t>—</t>
        </is>
      </c>
      <c r="CQ44" s="256" t="inlineStr">
        <is>
          <t>&lt; 2</t>
        </is>
      </c>
      <c r="CR44" s="256" t="inlineStr">
        <is>
          <t>86/2026</t>
        </is>
      </c>
      <c r="CS44" s="256" t="inlineStr">
        <is>
          <t>02.02.2026</t>
        </is>
      </c>
      <c r="CT44" s="256" t="inlineStr">
        <is>
          <t>IPH — Institute of Public Health</t>
        </is>
      </c>
      <c r="CU44" s="259" t="inlineStr">
        <is>
          <t>not tested</t>
        </is>
      </c>
      <c r="CV44" s="256" t="inlineStr">
        <is>
          <t>—</t>
        </is>
      </c>
      <c r="CW44" s="256" t="inlineStr">
        <is>
          <t>—</t>
        </is>
      </c>
      <c r="CX44" s="256" t="inlineStr">
        <is>
          <t>—</t>
        </is>
      </c>
      <c r="CY44" s="256" t="inlineStr">
        <is>
          <t>0.04</t>
        </is>
      </c>
      <c r="CZ44" s="256" t="inlineStr">
        <is>
          <t>86/2026</t>
        </is>
      </c>
      <c r="DA44" s="256" t="inlineStr">
        <is>
          <t>02.02.2026</t>
        </is>
      </c>
      <c r="DB44" s="256" t="inlineStr">
        <is>
          <t>IPH — Institute of Public Health</t>
        </is>
      </c>
      <c r="DC44" s="256" t="inlineStr">
        <is>
          <t>ND</t>
        </is>
      </c>
      <c r="DD44" s="256" t="inlineStr">
        <is>
          <t>86/2026</t>
        </is>
      </c>
      <c r="DE44" s="256" t="inlineStr">
        <is>
          <t>02.02.2026</t>
        </is>
      </c>
      <c r="DF44" s="256" t="inlineStr">
        <is>
          <t>IPH — Institute of Public Health</t>
        </is>
      </c>
      <c r="DG44" s="256" t="inlineStr">
        <is>
          <t>ND</t>
        </is>
      </c>
      <c r="DH44" s="256" t="inlineStr">
        <is>
          <t>86/2026</t>
        </is>
      </c>
      <c r="DI44" s="256" t="inlineStr">
        <is>
          <t>02.02.2026</t>
        </is>
      </c>
      <c r="DJ44" s="256" t="inlineStr">
        <is>
          <t>IPH — Institute of Public Health</t>
        </is>
      </c>
      <c r="DK44" s="256" t="inlineStr">
        <is>
          <t>0.004</t>
        </is>
      </c>
      <c r="DL44" s="256" t="inlineStr">
        <is>
          <t>86/2026</t>
        </is>
      </c>
      <c r="DM44" s="256" t="inlineStr">
        <is>
          <t>02.02.2026</t>
        </is>
      </c>
      <c r="DN44" s="256" t="inlineStr">
        <is>
          <t>IPH — Institute of Public Health</t>
        </is>
      </c>
      <c r="DO44" s="256" t="inlineStr">
        <is>
          <t>ND</t>
        </is>
      </c>
      <c r="DP44" s="256" t="inlineStr">
        <is>
          <t>86/2026</t>
        </is>
      </c>
      <c r="DQ44" s="256" t="inlineStr">
        <is>
          <t>02.02.2026</t>
        </is>
      </c>
      <c r="DR44" s="256" t="inlineStr">
        <is>
          <t>IPH — Institute of Public Health</t>
        </is>
      </c>
    </row>
    <row r="45">
      <c r="A45" s="256" t="inlineStr">
        <is>
          <t>CoQ-PP_26-044</t>
        </is>
      </c>
      <c r="B45" s="256" t="inlineStr">
        <is>
          <t>release</t>
        </is>
      </c>
      <c r="C45" s="256" t="inlineStr">
        <is>
          <t>issuable</t>
        </is>
      </c>
      <c r="D45" s="256" t="inlineStr">
        <is>
          <t>06.06.2026</t>
        </is>
      </c>
      <c r="E45" s="256" t="inlineStr">
        <is>
          <t>n/a — release certificate</t>
        </is>
      </c>
      <c r="F45" s="256" t="inlineStr">
        <is>
          <t>CoQ-PP-2026-0007</t>
        </is>
      </c>
      <c r="G45" s="256" t="inlineStr">
        <is>
          <t>SJ092501</t>
        </is>
      </c>
      <c r="H45" s="256" t="inlineStr">
        <is>
          <t>P060082</t>
        </is>
      </c>
      <c r="I45" s="256" t="inlineStr">
        <is>
          <t>Sleepy Joe</t>
        </is>
      </c>
      <c r="J45" s="256" t="inlineStr">
        <is>
          <t>11.12.2025 – 12.12.2025</t>
        </is>
      </c>
      <c r="K45" s="256" t="inlineStr">
        <is>
          <t>02.02.2026</t>
        </is>
      </c>
      <c r="L45" s="256" t="inlineStr">
        <is>
          <t>11.12.2025</t>
        </is>
      </c>
      <c r="M45" s="256" t="inlineStr">
        <is>
          <t>02.02.2026</t>
        </is>
      </c>
      <c r="N45" s="256" t="inlineStr">
        <is>
          <t>iCoA-PP_26-043</t>
        </is>
      </c>
      <c r="O45" s="256" t="inlineStr">
        <is>
          <t>03.06.2026</t>
        </is>
      </c>
      <c r="P45" s="256" t="inlineStr">
        <is>
          <t>02.02.2026</t>
        </is>
      </c>
      <c r="Q45" s="256" t="inlineStr">
        <is>
          <t>—</t>
        </is>
      </c>
      <c r="R45" s="256" t="inlineStr">
        <is>
          <t>10.96</t>
        </is>
      </c>
      <c r="S45" s="256" t="inlineStr">
        <is>
          <t>ППК26006</t>
        </is>
      </c>
      <c r="T45" s="256" t="inlineStr">
        <is>
          <t>II</t>
        </is>
      </c>
      <c r="U45" s="256" t="inlineStr">
        <is>
          <t>9.00 – 10.99 %</t>
        </is>
      </c>
      <c r="V45" s="256" t="inlineStr">
        <is>
          <t>SJ_THC10 : CBD1</t>
        </is>
      </c>
      <c r="W45" s="256" t="inlineStr">
        <is>
          <t>QCSP_001_SJ-II_v.01</t>
        </is>
      </c>
      <c r="X45" s="256" t="inlineStr">
        <is>
          <t>for review — replaces the issued QCSP_001_SJ-II_v.01 (was SJ_THC10 : CBD1, 9.00 – 11.00 %); now SJ_THC10 : CBD1 9.00 – 10.99 %</t>
        </is>
      </c>
      <c r="Y45" s="256" t="inlineStr">
        <is>
          <t>HYBRID</t>
        </is>
      </c>
      <c r="Z45" s="256" t="inlineStr">
        <is>
          <t>THC</t>
        </is>
      </c>
      <c r="AA45" s="256" t="inlineStr">
        <is>
          <t>MACHINE TRIMMED</t>
        </is>
      </c>
      <c r="AB45" s="256" t="inlineStr">
        <is>
          <t>TO BE DETERMINED</t>
        </is>
      </c>
      <c r="AC45" s="256" t="inlineStr">
        <is>
          <t>Triplex Alu Bag | Триплекс Aлу Kеса, PET 12 · ALU 7 · PE 80, 300 × 500 mm, net. 400.0 g ±3%</t>
        </is>
      </c>
      <c r="AD45" s="256" t="inlineStr">
        <is>
          <t>02.02.2026</t>
        </is>
      </c>
      <c r="AE45" s="256" t="inlineStr">
        <is>
          <t>Conforms | Одговара</t>
        </is>
      </c>
      <c r="AF45" s="256" t="inlineStr">
        <is>
          <t>iCoA-PP_26-043</t>
        </is>
      </c>
      <c r="AG45" s="256" t="inlineStr">
        <is>
          <t>03.06.2026</t>
        </is>
      </c>
      <c r="AH45" s="256" t="inlineStr">
        <is>
          <t>Purely Plant GmbH (in-house)</t>
        </is>
      </c>
      <c r="AI45" s="256" t="inlineStr">
        <is>
          <t>Conforms | Одговара</t>
        </is>
      </c>
      <c r="AJ45" s="256" t="inlineStr">
        <is>
          <t>iCoA-PP_26-043</t>
        </is>
      </c>
      <c r="AK45" s="256" t="inlineStr">
        <is>
          <t>03.06.2026</t>
        </is>
      </c>
      <c r="AL45" s="256" t="inlineStr">
        <is>
          <t>Purely Plant GmbH (in-house)</t>
        </is>
      </c>
      <c r="AM45" s="256" t="inlineStr">
        <is>
          <t>Conforms | Одговара</t>
        </is>
      </c>
      <c r="AN45" s="256" t="inlineStr">
        <is>
          <t>ППК26006</t>
        </is>
      </c>
      <c r="AO45" s="256" t="inlineStr">
        <is>
          <t>21.01.2026</t>
        </is>
      </c>
      <c r="AP45" s="256" t="inlineStr">
        <is>
          <t>UKIM Faculty of Pharmacy — Center for Natural Products</t>
        </is>
      </c>
      <c r="AQ45" s="256" t="inlineStr">
        <is>
          <t>10.96</t>
        </is>
      </c>
      <c r="AR45" s="256" t="inlineStr">
        <is>
          <t>ППК26006</t>
        </is>
      </c>
      <c r="AS45" s="256" t="inlineStr">
        <is>
          <t>21.01.2026</t>
        </is>
      </c>
      <c r="AT45" s="256" t="inlineStr">
        <is>
          <t>UKIM Faculty of Pharmacy — Center for Natural Products</t>
        </is>
      </c>
      <c r="AU45" s="256" t="inlineStr">
        <is>
          <t>0.07</t>
        </is>
      </c>
      <c r="AV45" s="256" t="inlineStr">
        <is>
          <t>ППК26006</t>
        </is>
      </c>
      <c r="AW45" s="256" t="inlineStr">
        <is>
          <t>21.01.2026</t>
        </is>
      </c>
      <c r="AX45" s="256" t="inlineStr">
        <is>
          <t>UKIM Faculty of Pharmacy — Center for Natural Products</t>
        </is>
      </c>
      <c r="AY45" s="256" t="inlineStr">
        <is>
          <t>&lt; LOQ</t>
        </is>
      </c>
      <c r="AZ45" s="256" t="inlineStr">
        <is>
          <t>ППК26006</t>
        </is>
      </c>
      <c r="BA45" s="256" t="inlineStr">
        <is>
          <t>21.01.2026</t>
        </is>
      </c>
      <c r="BB45" s="256" t="inlineStr">
        <is>
          <t>CNP</t>
        </is>
      </c>
      <c r="BC45" s="256" t="inlineStr">
        <is>
          <t>Conforms | Одговара</t>
        </is>
      </c>
      <c r="BD45" s="256" t="inlineStr">
        <is>
          <t>iCoA-PP_26-043</t>
        </is>
      </c>
      <c r="BE45" s="256" t="inlineStr">
        <is>
          <t>03.06.2026</t>
        </is>
      </c>
      <c r="BF45" s="256" t="inlineStr">
        <is>
          <t>Purely Plant GmbH (in-house)</t>
        </is>
      </c>
      <c r="BG45" s="256" t="inlineStr">
        <is>
          <t>8.68</t>
        </is>
      </c>
      <c r="BH45" s="256" t="inlineStr">
        <is>
          <t>ППК26006</t>
        </is>
      </c>
      <c r="BI45" s="256" t="inlineStr">
        <is>
          <t>21.01.2026</t>
        </is>
      </c>
      <c r="BJ45" s="256" t="inlineStr">
        <is>
          <t>UKIM Faculty of Pharmacy — Center for Natural Products</t>
        </is>
      </c>
      <c r="BK45" s="256" t="inlineStr">
        <is>
          <t>&lt; 10</t>
        </is>
      </c>
      <c r="BL45" s="256" t="inlineStr">
        <is>
          <t>9/0012/26</t>
        </is>
      </c>
      <c r="BM45" s="256" t="inlineStr">
        <is>
          <t>20.01.2026</t>
        </is>
      </c>
      <c r="BN45" s="256" t="inlineStr">
        <is>
          <t>IPH — Institute of Public Health</t>
        </is>
      </c>
      <c r="BO45" s="256" t="inlineStr">
        <is>
          <t>&lt; 10</t>
        </is>
      </c>
      <c r="BP45" s="256" t="inlineStr">
        <is>
          <t>9/0012/26</t>
        </is>
      </c>
      <c r="BQ45" s="256" t="inlineStr">
        <is>
          <t>20.01.2026</t>
        </is>
      </c>
      <c r="BR45" s="256" t="inlineStr">
        <is>
          <t>IPH — Institute of Public Health</t>
        </is>
      </c>
      <c r="BS45" s="256" t="inlineStr">
        <is>
          <t>&lt; 10</t>
        </is>
      </c>
      <c r="BT45" s="256" t="inlineStr">
        <is>
          <t>9/0012/26</t>
        </is>
      </c>
      <c r="BU45" s="256" t="inlineStr">
        <is>
          <t>20.01.2026</t>
        </is>
      </c>
      <c r="BV45" s="256" t="inlineStr">
        <is>
          <t>IPH — Institute of Public Health</t>
        </is>
      </c>
      <c r="BW45" s="256" t="inlineStr">
        <is>
          <t>Absent | Отсутна</t>
        </is>
      </c>
      <c r="BX45" s="256" t="inlineStr">
        <is>
          <t>9/0012/26</t>
        </is>
      </c>
      <c r="BY45" s="256" t="inlineStr">
        <is>
          <t>20.01.2026</t>
        </is>
      </c>
      <c r="BZ45" s="256" t="inlineStr">
        <is>
          <t>IPH — Institute of Public Health</t>
        </is>
      </c>
      <c r="CA45" s="256" t="inlineStr">
        <is>
          <t>Absent | Отсутна</t>
        </is>
      </c>
      <c r="CB45" s="256" t="inlineStr">
        <is>
          <t>9/0012/26</t>
        </is>
      </c>
      <c r="CC45" s="256" t="inlineStr">
        <is>
          <t>20.01.2026</t>
        </is>
      </c>
      <c r="CD45" s="256" t="inlineStr">
        <is>
          <t>IPH — Institute of Public Health</t>
        </is>
      </c>
      <c r="CE45" s="260" t="inlineStr">
        <is>
          <t>upon request — not required for release</t>
        </is>
      </c>
      <c r="CF45" s="256" t="inlineStr">
        <is>
          <t>—</t>
        </is>
      </c>
      <c r="CG45" s="256" t="inlineStr">
        <is>
          <t>—</t>
        </is>
      </c>
      <c r="CH45" s="256" t="inlineStr">
        <is>
          <t>—</t>
        </is>
      </c>
      <c r="CI45" s="260" t="inlineStr">
        <is>
          <t>upon request — not required for release</t>
        </is>
      </c>
      <c r="CJ45" s="256" t="inlineStr">
        <is>
          <t>—</t>
        </is>
      </c>
      <c r="CK45" s="256" t="inlineStr">
        <is>
          <t>—</t>
        </is>
      </c>
      <c r="CL45" s="256" t="inlineStr">
        <is>
          <t>—</t>
        </is>
      </c>
      <c r="CM45" s="259" t="inlineStr">
        <is>
          <t>not tested</t>
        </is>
      </c>
      <c r="CN45" s="256" t="inlineStr">
        <is>
          <t>—</t>
        </is>
      </c>
      <c r="CO45" s="256" t="inlineStr">
        <is>
          <t>—</t>
        </is>
      </c>
      <c r="CP45" s="256" t="inlineStr">
        <is>
          <t>—</t>
        </is>
      </c>
      <c r="CQ45" s="256" t="inlineStr">
        <is>
          <t>2</t>
        </is>
      </c>
      <c r="CR45" s="256" t="inlineStr">
        <is>
          <t>85/2026</t>
        </is>
      </c>
      <c r="CS45" s="256" t="inlineStr">
        <is>
          <t>02.02.2026</t>
        </is>
      </c>
      <c r="CT45" s="256" t="inlineStr">
        <is>
          <t>IPH — Institute of Public Health</t>
        </is>
      </c>
      <c r="CU45" s="259" t="inlineStr">
        <is>
          <t>not tested</t>
        </is>
      </c>
      <c r="CV45" s="256" t="inlineStr">
        <is>
          <t>—</t>
        </is>
      </c>
      <c r="CW45" s="256" t="inlineStr">
        <is>
          <t>—</t>
        </is>
      </c>
      <c r="CX45" s="256" t="inlineStr">
        <is>
          <t>—</t>
        </is>
      </c>
      <c r="CY45" s="256" t="inlineStr">
        <is>
          <t>0.08</t>
        </is>
      </c>
      <c r="CZ45" s="256" t="inlineStr">
        <is>
          <t>85/2026</t>
        </is>
      </c>
      <c r="DA45" s="256" t="inlineStr">
        <is>
          <t>02.02.2026</t>
        </is>
      </c>
      <c r="DB45" s="256" t="inlineStr">
        <is>
          <t>IPH — Institute of Public Health</t>
        </is>
      </c>
      <c r="DC45" s="256" t="inlineStr">
        <is>
          <t>ND</t>
        </is>
      </c>
      <c r="DD45" s="256" t="inlineStr">
        <is>
          <t>85/2026</t>
        </is>
      </c>
      <c r="DE45" s="256" t="inlineStr">
        <is>
          <t>02.02.2026</t>
        </is>
      </c>
      <c r="DF45" s="256" t="inlineStr">
        <is>
          <t>IPH — Institute of Public Health</t>
        </is>
      </c>
      <c r="DG45" s="256" t="inlineStr">
        <is>
          <t>ND</t>
        </is>
      </c>
      <c r="DH45" s="256" t="inlineStr">
        <is>
          <t>85/2026</t>
        </is>
      </c>
      <c r="DI45" s="256" t="inlineStr">
        <is>
          <t>02.02.2026</t>
        </is>
      </c>
      <c r="DJ45" s="256" t="inlineStr">
        <is>
          <t>IPH — Institute of Public Health</t>
        </is>
      </c>
      <c r="DK45" s="256" t="inlineStr">
        <is>
          <t>0.003</t>
        </is>
      </c>
      <c r="DL45" s="256" t="inlineStr">
        <is>
          <t>85/2026</t>
        </is>
      </c>
      <c r="DM45" s="256" t="inlineStr">
        <is>
          <t>02.02.2026</t>
        </is>
      </c>
      <c r="DN45" s="256" t="inlineStr">
        <is>
          <t>IPH — Institute of Public Health</t>
        </is>
      </c>
      <c r="DO45" s="256" t="inlineStr">
        <is>
          <t>ND</t>
        </is>
      </c>
      <c r="DP45" s="256" t="inlineStr">
        <is>
          <t>85/2026</t>
        </is>
      </c>
      <c r="DQ45" s="256" t="inlineStr">
        <is>
          <t>02.02.2026</t>
        </is>
      </c>
      <c r="DR45" s="256" t="inlineStr">
        <is>
          <t>IPH — Institute of Public Health</t>
        </is>
      </c>
    </row>
    <row r="46">
      <c r="A46" s="256" t="inlineStr">
        <is>
          <t>CoQ-PP_26-045</t>
        </is>
      </c>
      <c r="B46" s="256" t="inlineStr">
        <is>
          <t>release</t>
        </is>
      </c>
      <c r="C46" s="256" t="inlineStr">
        <is>
          <t>issuable</t>
        </is>
      </c>
      <c r="D46" s="256" t="inlineStr">
        <is>
          <t>06.06.2026</t>
        </is>
      </c>
      <c r="E46" s="256" t="inlineStr">
        <is>
          <t>n/a — release certificate</t>
        </is>
      </c>
      <c r="F46" s="256" t="inlineStr">
        <is>
          <t>CoQ-PP-2026-0008</t>
        </is>
      </c>
      <c r="G46" s="256" t="inlineStr">
        <is>
          <t>GP092501</t>
        </is>
      </c>
      <c r="H46" s="256" t="inlineStr">
        <is>
          <t>P060092</t>
        </is>
      </c>
      <c r="I46" s="256" t="inlineStr">
        <is>
          <t>Grape Pie</t>
        </is>
      </c>
      <c r="J46" s="256" t="inlineStr">
        <is>
          <t>16.12.2025 – 17.12.2025</t>
        </is>
      </c>
      <c r="K46" s="256" t="inlineStr">
        <is>
          <t>03.02.2026 – 09.02.2026</t>
        </is>
      </c>
      <c r="L46" s="256" t="inlineStr">
        <is>
          <t>16.12.2025</t>
        </is>
      </c>
      <c r="M46" s="256" t="inlineStr">
        <is>
          <t>03.02.2026</t>
        </is>
      </c>
      <c r="N46" s="256" t="inlineStr">
        <is>
          <t>iCoA-PP_26-044</t>
        </is>
      </c>
      <c r="O46" s="256" t="inlineStr">
        <is>
          <t>03.06.2026</t>
        </is>
      </c>
      <c r="P46" s="256" t="inlineStr">
        <is>
          <t>03.02.2026</t>
        </is>
      </c>
      <c r="Q46" s="256" t="inlineStr">
        <is>
          <t>—</t>
        </is>
      </c>
      <c r="R46" s="256" t="inlineStr">
        <is>
          <t>25.73</t>
        </is>
      </c>
      <c r="S46" s="256" t="inlineStr">
        <is>
          <t>ППК26009</t>
        </is>
      </c>
      <c r="T46" s="256" t="inlineStr">
        <is>
          <t>II</t>
        </is>
      </c>
      <c r="U46" s="256" t="inlineStr">
        <is>
          <t>22.00 – 25.99 %</t>
        </is>
      </c>
      <c r="V46" s="256" t="inlineStr">
        <is>
          <t>GP_THC24 : CBD1</t>
        </is>
      </c>
      <c r="W46" s="256" t="inlineStr">
        <is>
          <t>QCSP_001_GP-II_v.01</t>
        </is>
      </c>
      <c r="X46" s="256" t="inlineStr">
        <is>
          <t>for review — replaces the issued QCSP_001_GP-II_v.01 (was GP_THC26 : CBD1, 25.40 – 26.60 %); now GP_THC24 : CBD1 22.00 – 25.99 %</t>
        </is>
      </c>
      <c r="Y46" s="256" t="inlineStr">
        <is>
          <t>HYBRID</t>
        </is>
      </c>
      <c r="Z46" s="256" t="inlineStr">
        <is>
          <t>THC</t>
        </is>
      </c>
      <c r="AA46" s="256" t="inlineStr">
        <is>
          <t>MACHINE TRIMMED</t>
        </is>
      </c>
      <c r="AB46" s="256" t="inlineStr">
        <is>
          <t>INDICA-DOMINANT</t>
        </is>
      </c>
      <c r="AC46" s="256" t="inlineStr">
        <is>
          <t>Triplex Alu Bag | Триплекс Aлу Kеса, PET 12 · ALU 7 · PE 80, 300 × 500 mm, net. 400.0 g ±3%</t>
        </is>
      </c>
      <c r="AD46" s="256" t="inlineStr">
        <is>
          <t>03.02.2026</t>
        </is>
      </c>
      <c r="AE46" s="256" t="inlineStr">
        <is>
          <t>Conforms | Одговара</t>
        </is>
      </c>
      <c r="AF46" s="256" t="inlineStr">
        <is>
          <t>iCoA-PP_26-044</t>
        </is>
      </c>
      <c r="AG46" s="256" t="inlineStr">
        <is>
          <t>03.06.2026</t>
        </is>
      </c>
      <c r="AH46" s="256" t="inlineStr">
        <is>
          <t>Purely Plant GmbH (in-house)</t>
        </is>
      </c>
      <c r="AI46" s="256" t="inlineStr">
        <is>
          <t>Conforms | Одговара</t>
        </is>
      </c>
      <c r="AJ46" s="256" t="inlineStr">
        <is>
          <t>iCoA-PP_26-044</t>
        </is>
      </c>
      <c r="AK46" s="256" t="inlineStr">
        <is>
          <t>03.06.2026</t>
        </is>
      </c>
      <c r="AL46" s="256" t="inlineStr">
        <is>
          <t>Purely Plant GmbH (in-house)</t>
        </is>
      </c>
      <c r="AM46" s="256" t="inlineStr">
        <is>
          <t>Conforms | Одговара</t>
        </is>
      </c>
      <c r="AN46" s="256" t="inlineStr">
        <is>
          <t>ППК26009</t>
        </is>
      </c>
      <c r="AO46" s="256" t="inlineStr">
        <is>
          <t>21.01.2026</t>
        </is>
      </c>
      <c r="AP46" s="256" t="inlineStr">
        <is>
          <t>UKIM Faculty of Pharmacy — Center for Natural Products</t>
        </is>
      </c>
      <c r="AQ46" s="256" t="inlineStr">
        <is>
          <t>25.73</t>
        </is>
      </c>
      <c r="AR46" s="256" t="inlineStr">
        <is>
          <t>ППК26009</t>
        </is>
      </c>
      <c r="AS46" s="256" t="inlineStr">
        <is>
          <t>21.01.2026</t>
        </is>
      </c>
      <c r="AT46" s="256" t="inlineStr">
        <is>
          <t>UKIM Faculty of Pharmacy — Center for Natural Products</t>
        </is>
      </c>
      <c r="AU46" s="256" t="inlineStr">
        <is>
          <t>0.11</t>
        </is>
      </c>
      <c r="AV46" s="256" t="inlineStr">
        <is>
          <t>ППК26009</t>
        </is>
      </c>
      <c r="AW46" s="256" t="inlineStr">
        <is>
          <t>21.01.2026</t>
        </is>
      </c>
      <c r="AX46" s="256" t="inlineStr">
        <is>
          <t>UKIM Faculty of Pharmacy — Center for Natural Products</t>
        </is>
      </c>
      <c r="AY46" s="256" t="inlineStr">
        <is>
          <t>0.02 ᴰ</t>
        </is>
      </c>
      <c r="AZ46" s="256" t="inlineStr">
        <is>
          <t>ППК26009</t>
        </is>
      </c>
      <c r="BA46" s="256" t="inlineStr">
        <is>
          <t>21.01.2026</t>
        </is>
      </c>
      <c r="BB46" s="256" t="inlineStr">
        <is>
          <t>CNP</t>
        </is>
      </c>
      <c r="BC46" s="256" t="inlineStr">
        <is>
          <t>Conforms | Одговара</t>
        </is>
      </c>
      <c r="BD46" s="256" t="inlineStr">
        <is>
          <t>iCoA-PP_26-044</t>
        </is>
      </c>
      <c r="BE46" s="256" t="inlineStr">
        <is>
          <t>03.06.2026</t>
        </is>
      </c>
      <c r="BF46" s="256" t="inlineStr">
        <is>
          <t>Purely Plant GmbH (in-house)</t>
        </is>
      </c>
      <c r="BG46" s="256" t="inlineStr">
        <is>
          <t>6.91</t>
        </is>
      </c>
      <c r="BH46" s="256" t="inlineStr">
        <is>
          <t>ППК26009</t>
        </is>
      </c>
      <c r="BI46" s="256" t="inlineStr">
        <is>
          <t>21.01.2026</t>
        </is>
      </c>
      <c r="BJ46" s="256" t="inlineStr">
        <is>
          <t>UKIM Faculty of Pharmacy — Center for Natural Products</t>
        </is>
      </c>
      <c r="BK46" s="256" t="inlineStr">
        <is>
          <t>1 × 10²</t>
        </is>
      </c>
      <c r="BL46" s="256" t="inlineStr">
        <is>
          <t>5/0008/26</t>
        </is>
      </c>
      <c r="BM46" s="256" t="inlineStr">
        <is>
          <t>20.01.2026</t>
        </is>
      </c>
      <c r="BN46" s="256" t="inlineStr">
        <is>
          <t>IPH — Institute of Public Health</t>
        </is>
      </c>
      <c r="BO46" s="256" t="inlineStr">
        <is>
          <t>&lt; 10</t>
        </is>
      </c>
      <c r="BP46" s="256" t="inlineStr">
        <is>
          <t>5/0008/26</t>
        </is>
      </c>
      <c r="BQ46" s="256" t="inlineStr">
        <is>
          <t>20.01.2026</t>
        </is>
      </c>
      <c r="BR46" s="256" t="inlineStr">
        <is>
          <t>IPH — Institute of Public Health</t>
        </is>
      </c>
      <c r="BS46" s="256" t="inlineStr">
        <is>
          <t>&lt; 10² and &gt; 10</t>
        </is>
      </c>
      <c r="BT46" s="256" t="inlineStr">
        <is>
          <t>5/0008/26</t>
        </is>
      </c>
      <c r="BU46" s="256" t="inlineStr">
        <is>
          <t>20.01.2026</t>
        </is>
      </c>
      <c r="BV46" s="256" t="inlineStr">
        <is>
          <t>IPH — Institute of Public Health</t>
        </is>
      </c>
      <c r="BW46" s="256" t="inlineStr">
        <is>
          <t>Absent | Отсутна</t>
        </is>
      </c>
      <c r="BX46" s="256" t="inlineStr">
        <is>
          <t>5/0008/26</t>
        </is>
      </c>
      <c r="BY46" s="256" t="inlineStr">
        <is>
          <t>20.01.2026</t>
        </is>
      </c>
      <c r="BZ46" s="256" t="inlineStr">
        <is>
          <t>IPH — Institute of Public Health</t>
        </is>
      </c>
      <c r="CA46" s="256" t="inlineStr">
        <is>
          <t>Absent | Отсутна</t>
        </is>
      </c>
      <c r="CB46" s="256" t="inlineStr">
        <is>
          <t>5/0008/26</t>
        </is>
      </c>
      <c r="CC46" s="256" t="inlineStr">
        <is>
          <t>20.01.2026</t>
        </is>
      </c>
      <c r="CD46" s="256" t="inlineStr">
        <is>
          <t>IPH — Institute of Public Health</t>
        </is>
      </c>
      <c r="CE46" s="260" t="inlineStr">
        <is>
          <t>upon request — not required for release</t>
        </is>
      </c>
      <c r="CF46" s="256" t="inlineStr">
        <is>
          <t>—</t>
        </is>
      </c>
      <c r="CG46" s="256" t="inlineStr">
        <is>
          <t>—</t>
        </is>
      </c>
      <c r="CH46" s="256" t="inlineStr">
        <is>
          <t>—</t>
        </is>
      </c>
      <c r="CI46" s="260" t="inlineStr">
        <is>
          <t>upon request — not required for release</t>
        </is>
      </c>
      <c r="CJ46" s="256" t="inlineStr">
        <is>
          <t>—</t>
        </is>
      </c>
      <c r="CK46" s="256" t="inlineStr">
        <is>
          <t>—</t>
        </is>
      </c>
      <c r="CL46" s="256" t="inlineStr">
        <is>
          <t>—</t>
        </is>
      </c>
      <c r="CM46" s="259" t="inlineStr">
        <is>
          <t>not tested</t>
        </is>
      </c>
      <c r="CN46" s="256" t="inlineStr">
        <is>
          <t>—</t>
        </is>
      </c>
      <c r="CO46" s="256" t="inlineStr">
        <is>
          <t>—</t>
        </is>
      </c>
      <c r="CP46" s="256" t="inlineStr">
        <is>
          <t>—</t>
        </is>
      </c>
      <c r="CQ46" s="256" t="inlineStr">
        <is>
          <t>&lt; 2</t>
        </is>
      </c>
      <c r="CR46" s="256" t="inlineStr">
        <is>
          <t>88/2026</t>
        </is>
      </c>
      <c r="CS46" s="256" t="inlineStr">
        <is>
          <t>03.02.2026</t>
        </is>
      </c>
      <c r="CT46" s="256" t="inlineStr">
        <is>
          <t>IPH — Institute of Public Health</t>
        </is>
      </c>
      <c r="CU46" s="259" t="inlineStr">
        <is>
          <t>not tested</t>
        </is>
      </c>
      <c r="CV46" s="256" t="inlineStr">
        <is>
          <t>—</t>
        </is>
      </c>
      <c r="CW46" s="256" t="inlineStr">
        <is>
          <t>—</t>
        </is>
      </c>
      <c r="CX46" s="256" t="inlineStr">
        <is>
          <t>—</t>
        </is>
      </c>
      <c r="CY46" s="256" t="inlineStr">
        <is>
          <t>0.022</t>
        </is>
      </c>
      <c r="CZ46" s="256" t="inlineStr">
        <is>
          <t>88/2026</t>
        </is>
      </c>
      <c r="DA46" s="256" t="inlineStr">
        <is>
          <t>03.02.2026</t>
        </is>
      </c>
      <c r="DB46" s="256" t="inlineStr">
        <is>
          <t>IPH — Institute of Public Health</t>
        </is>
      </c>
      <c r="DC46" s="256" t="inlineStr">
        <is>
          <t>ND</t>
        </is>
      </c>
      <c r="DD46" s="256" t="inlineStr">
        <is>
          <t>88/2026</t>
        </is>
      </c>
      <c r="DE46" s="256" t="inlineStr">
        <is>
          <t>03.02.2026</t>
        </is>
      </c>
      <c r="DF46" s="256" t="inlineStr">
        <is>
          <t>IPH — Institute of Public Health</t>
        </is>
      </c>
      <c r="DG46" s="256" t="inlineStr">
        <is>
          <t>ND</t>
        </is>
      </c>
      <c r="DH46" s="256" t="inlineStr">
        <is>
          <t>88/2026</t>
        </is>
      </c>
      <c r="DI46" s="256" t="inlineStr">
        <is>
          <t>03.02.2026</t>
        </is>
      </c>
      <c r="DJ46" s="256" t="inlineStr">
        <is>
          <t>IPH — Institute of Public Health</t>
        </is>
      </c>
      <c r="DK46" s="256" t="inlineStr">
        <is>
          <t>0.007</t>
        </is>
      </c>
      <c r="DL46" s="256" t="inlineStr">
        <is>
          <t>88/2026</t>
        </is>
      </c>
      <c r="DM46" s="256" t="inlineStr">
        <is>
          <t>03.02.2026</t>
        </is>
      </c>
      <c r="DN46" s="256" t="inlineStr">
        <is>
          <t>IPH — Institute of Public Health</t>
        </is>
      </c>
      <c r="DO46" s="256" t="inlineStr">
        <is>
          <t>ND</t>
        </is>
      </c>
      <c r="DP46" s="256" t="inlineStr">
        <is>
          <t>88/2026</t>
        </is>
      </c>
      <c r="DQ46" s="256" t="inlineStr">
        <is>
          <t>03.02.2026</t>
        </is>
      </c>
      <c r="DR46" s="256" t="inlineStr">
        <is>
          <t>IPH — Institute of Public Health</t>
        </is>
      </c>
    </row>
    <row r="47">
      <c r="A47" s="256" t="inlineStr">
        <is>
          <t>CoQ-PP_26-046</t>
        </is>
      </c>
      <c r="B47" s="256" t="inlineStr">
        <is>
          <t>release</t>
        </is>
      </c>
      <c r="C47" s="256" t="inlineStr">
        <is>
          <t>issuable</t>
        </is>
      </c>
      <c r="D47" s="256" t="inlineStr">
        <is>
          <t>06.06.2026</t>
        </is>
      </c>
      <c r="E47" s="256" t="inlineStr">
        <is>
          <t>n/a — release certificate</t>
        </is>
      </c>
      <c r="F47" s="256" t="inlineStr">
        <is>
          <t>(assigned on issue)</t>
        </is>
      </c>
      <c r="G47" s="256" t="inlineStr">
        <is>
          <t>WED102501</t>
        </is>
      </c>
      <c r="H47" s="256" t="inlineStr">
        <is>
          <t>P060102</t>
        </is>
      </c>
      <c r="I47" s="256" t="inlineStr">
        <is>
          <t>Wedding Cake</t>
        </is>
      </c>
      <c r="J47" s="256" t="inlineStr">
        <is>
          <t>08.01.2026</t>
        </is>
      </c>
      <c r="K47" s="256" t="inlineStr">
        <is>
          <t>16.02.2026</t>
        </is>
      </c>
      <c r="L47" s="256" t="inlineStr">
        <is>
          <t>—</t>
        </is>
      </c>
      <c r="M47" s="256" t="inlineStr">
        <is>
          <t>16.02.2026</t>
        </is>
      </c>
      <c r="N47" s="256" t="inlineStr">
        <is>
          <t>iCoA-PP_26-045</t>
        </is>
      </c>
      <c r="O47" s="256" t="inlineStr">
        <is>
          <t>03.06.2026</t>
        </is>
      </c>
      <c r="P47" s="256" t="inlineStr">
        <is>
          <t>16.02.2026</t>
        </is>
      </c>
      <c r="Q47" s="256" t="inlineStr">
        <is>
          <t>—</t>
        </is>
      </c>
      <c r="R47" s="256" t="inlineStr">
        <is>
          <t>—</t>
        </is>
      </c>
      <c r="S47" s="256" t="inlineStr">
        <is>
          <t>—</t>
        </is>
      </c>
      <c r="T47" s="256" t="inlineStr">
        <is>
          <t>—</t>
        </is>
      </c>
      <c r="U47" s="256" t="inlineStr">
        <is>
          <t>Per grade of the potency specification of 15.09.2026 — no Total THC result on file</t>
        </is>
      </c>
      <c r="V47" s="256" t="inlineStr">
        <is>
          <t>—</t>
        </is>
      </c>
      <c r="W47" s="256" t="inlineStr">
        <is>
          <t>—</t>
        </is>
      </c>
      <c r="X47" s="256" t="inlineStr">
        <is>
          <t>—</t>
        </is>
      </c>
      <c r="Y47" s="256" t="inlineStr">
        <is>
          <t>—</t>
        </is>
      </c>
      <c r="Z47" s="256" t="inlineStr">
        <is>
          <t>—</t>
        </is>
      </c>
      <c r="AA47" s="256" t="inlineStr">
        <is>
          <t>—</t>
        </is>
      </c>
      <c r="AB47" s="256" t="inlineStr">
        <is>
          <t>—</t>
        </is>
      </c>
      <c r="AC47" s="256" t="inlineStr">
        <is>
          <t>—</t>
        </is>
      </c>
      <c r="AD47" s="256" t="inlineStr">
        <is>
          <t>—</t>
        </is>
      </c>
      <c r="AE47" s="256" t="inlineStr">
        <is>
          <t>Conforms | Одговара</t>
        </is>
      </c>
      <c r="AF47" s="256" t="inlineStr">
        <is>
          <t>iCoA-PP_26-045</t>
        </is>
      </c>
      <c r="AG47" s="256" t="inlineStr">
        <is>
          <t>03.06.2026</t>
        </is>
      </c>
      <c r="AH47" s="256" t="inlineStr">
        <is>
          <t>Purely Plant GmbH (in-house)</t>
        </is>
      </c>
      <c r="AI47" s="256" t="inlineStr">
        <is>
          <t>Conforms | Одговара</t>
        </is>
      </c>
      <c r="AJ47" s="256" t="inlineStr">
        <is>
          <t>iCoA-PP_26-045</t>
        </is>
      </c>
      <c r="AK47" s="256" t="inlineStr">
        <is>
          <t>03.06.2026</t>
        </is>
      </c>
      <c r="AL47" s="256" t="inlineStr">
        <is>
          <t>Purely Plant GmbH (in-house)</t>
        </is>
      </c>
      <c r="AM47" s="259" t="inlineStr">
        <is>
          <t>to be performed (in house)</t>
        </is>
      </c>
      <c r="AN47" s="256" t="inlineStr">
        <is>
          <t>—</t>
        </is>
      </c>
      <c r="AO47" s="256" t="inlineStr">
        <is>
          <t>—</t>
        </is>
      </c>
      <c r="AP47" s="256" t="inlineStr">
        <is>
          <t>—</t>
        </is>
      </c>
      <c r="AQ47" s="259" t="inlineStr">
        <is>
          <t>not tested</t>
        </is>
      </c>
      <c r="AR47" s="256" t="inlineStr">
        <is>
          <t>—</t>
        </is>
      </c>
      <c r="AS47" s="256" t="inlineStr">
        <is>
          <t>—</t>
        </is>
      </c>
      <c r="AT47" s="256" t="inlineStr">
        <is>
          <t>—</t>
        </is>
      </c>
      <c r="AU47" s="259" t="inlineStr">
        <is>
          <t>not tested</t>
        </is>
      </c>
      <c r="AV47" s="256" t="inlineStr">
        <is>
          <t>—</t>
        </is>
      </c>
      <c r="AW47" s="256" t="inlineStr">
        <is>
          <t>—</t>
        </is>
      </c>
      <c r="AX47" s="256" t="inlineStr">
        <is>
          <t>—</t>
        </is>
      </c>
      <c r="AY47" s="259" t="inlineStr">
        <is>
          <t>not tested</t>
        </is>
      </c>
      <c r="AZ47" s="256" t="inlineStr">
        <is>
          <t>—</t>
        </is>
      </c>
      <c r="BA47" s="256" t="inlineStr">
        <is>
          <t>—</t>
        </is>
      </c>
      <c r="BB47" s="256" t="inlineStr">
        <is>
          <t>—</t>
        </is>
      </c>
      <c r="BC47" s="256" t="inlineStr">
        <is>
          <t>Conforms | Одговара</t>
        </is>
      </c>
      <c r="BD47" s="256" t="inlineStr">
        <is>
          <t>iCoA-PP_26-045</t>
        </is>
      </c>
      <c r="BE47" s="256" t="inlineStr">
        <is>
          <t>03.06.2026</t>
        </is>
      </c>
      <c r="BF47" s="256" t="inlineStr">
        <is>
          <t>Purely Plant GmbH (in-house)</t>
        </is>
      </c>
      <c r="BG47" s="256" t="inlineStr">
        <is>
          <t>6,8 %</t>
        </is>
      </c>
      <c r="BH47" s="256" t="inlineStr">
        <is>
          <t>031-3-ГС/26</t>
        </is>
      </c>
      <c r="BI47" s="256" t="inlineStr">
        <is>
          <t>12.02.2026</t>
        </is>
      </c>
      <c r="BJ47" s="256" t="inlineStr">
        <is>
          <t>Farmahem</t>
        </is>
      </c>
      <c r="BK47" s="259" t="inlineStr">
        <is>
          <t>not tested</t>
        </is>
      </c>
      <c r="BL47" s="256" t="inlineStr">
        <is>
          <t>—</t>
        </is>
      </c>
      <c r="BM47" s="256" t="inlineStr">
        <is>
          <t>—</t>
        </is>
      </c>
      <c r="BN47" s="256" t="inlineStr">
        <is>
          <t>—</t>
        </is>
      </c>
      <c r="BO47" s="259" t="inlineStr">
        <is>
          <t>not tested</t>
        </is>
      </c>
      <c r="BP47" s="256" t="inlineStr">
        <is>
          <t>—</t>
        </is>
      </c>
      <c r="BQ47" s="256" t="inlineStr">
        <is>
          <t>—</t>
        </is>
      </c>
      <c r="BR47" s="256" t="inlineStr">
        <is>
          <t>—</t>
        </is>
      </c>
      <c r="BS47" s="259" t="inlineStr">
        <is>
          <t>not tested</t>
        </is>
      </c>
      <c r="BT47" s="256" t="inlineStr">
        <is>
          <t>—</t>
        </is>
      </c>
      <c r="BU47" s="256" t="inlineStr">
        <is>
          <t>—</t>
        </is>
      </c>
      <c r="BV47" s="256" t="inlineStr">
        <is>
          <t>—</t>
        </is>
      </c>
      <c r="BW47" s="259" t="inlineStr">
        <is>
          <t>not tested</t>
        </is>
      </c>
      <c r="BX47" s="256" t="inlineStr">
        <is>
          <t>—</t>
        </is>
      </c>
      <c r="BY47" s="256" t="inlineStr">
        <is>
          <t>—</t>
        </is>
      </c>
      <c r="BZ47" s="256" t="inlineStr">
        <is>
          <t>—</t>
        </is>
      </c>
      <c r="CA47" s="259" t="inlineStr">
        <is>
          <t>not tested</t>
        </is>
      </c>
      <c r="CB47" s="256" t="inlineStr">
        <is>
          <t>—</t>
        </is>
      </c>
      <c r="CC47" s="256" t="inlineStr">
        <is>
          <t>—</t>
        </is>
      </c>
      <c r="CD47" s="256" t="inlineStr">
        <is>
          <t>—</t>
        </is>
      </c>
      <c r="CE47" s="260" t="inlineStr">
        <is>
          <t>upon request — not required for release</t>
        </is>
      </c>
      <c r="CF47" s="256" t="inlineStr">
        <is>
          <t>—</t>
        </is>
      </c>
      <c r="CG47" s="256" t="inlineStr">
        <is>
          <t>—</t>
        </is>
      </c>
      <c r="CH47" s="256" t="inlineStr">
        <is>
          <t>—</t>
        </is>
      </c>
      <c r="CI47" s="260" t="inlineStr">
        <is>
          <t>upon request — not required for release</t>
        </is>
      </c>
      <c r="CJ47" s="256" t="inlineStr">
        <is>
          <t>—</t>
        </is>
      </c>
      <c r="CK47" s="256" t="inlineStr">
        <is>
          <t>—</t>
        </is>
      </c>
      <c r="CL47" s="256" t="inlineStr">
        <is>
          <t>—</t>
        </is>
      </c>
      <c r="CM47" s="259" t="inlineStr">
        <is>
          <t>not tested</t>
        </is>
      </c>
      <c r="CN47" s="256" t="inlineStr">
        <is>
          <t>—</t>
        </is>
      </c>
      <c r="CO47" s="256" t="inlineStr">
        <is>
          <t>—</t>
        </is>
      </c>
      <c r="CP47" s="256" t="inlineStr">
        <is>
          <t>—</t>
        </is>
      </c>
      <c r="CQ47" s="259" t="inlineStr">
        <is>
          <t>not tested</t>
        </is>
      </c>
      <c r="CR47" s="256" t="inlineStr">
        <is>
          <t>—</t>
        </is>
      </c>
      <c r="CS47" s="256" t="inlineStr">
        <is>
          <t>—</t>
        </is>
      </c>
      <c r="CT47" s="256" t="inlineStr">
        <is>
          <t>—</t>
        </is>
      </c>
      <c r="CU47" s="259" t="inlineStr">
        <is>
          <t>not tested</t>
        </is>
      </c>
      <c r="CV47" s="256" t="inlineStr">
        <is>
          <t>—</t>
        </is>
      </c>
      <c r="CW47" s="256" t="inlineStr">
        <is>
          <t>—</t>
        </is>
      </c>
      <c r="CX47" s="256" t="inlineStr">
        <is>
          <t>—</t>
        </is>
      </c>
      <c r="CY47" s="259" t="inlineStr">
        <is>
          <t>not tested</t>
        </is>
      </c>
      <c r="CZ47" s="256" t="inlineStr">
        <is>
          <t>—</t>
        </is>
      </c>
      <c r="DA47" s="256" t="inlineStr">
        <is>
          <t>—</t>
        </is>
      </c>
      <c r="DB47" s="256" t="inlineStr">
        <is>
          <t>—</t>
        </is>
      </c>
      <c r="DC47" s="259" t="inlineStr">
        <is>
          <t>not tested</t>
        </is>
      </c>
      <c r="DD47" s="256" t="inlineStr">
        <is>
          <t>—</t>
        </is>
      </c>
      <c r="DE47" s="256" t="inlineStr">
        <is>
          <t>—</t>
        </is>
      </c>
      <c r="DF47" s="256" t="inlineStr">
        <is>
          <t>—</t>
        </is>
      </c>
      <c r="DG47" s="259" t="inlineStr">
        <is>
          <t>not tested</t>
        </is>
      </c>
      <c r="DH47" s="256" t="inlineStr">
        <is>
          <t>—</t>
        </is>
      </c>
      <c r="DI47" s="256" t="inlineStr">
        <is>
          <t>—</t>
        </is>
      </c>
      <c r="DJ47" s="256" t="inlineStr">
        <is>
          <t>—</t>
        </is>
      </c>
      <c r="DK47" s="259" t="inlineStr">
        <is>
          <t>not tested</t>
        </is>
      </c>
      <c r="DL47" s="256" t="inlineStr">
        <is>
          <t>—</t>
        </is>
      </c>
      <c r="DM47" s="256" t="inlineStr">
        <is>
          <t>—</t>
        </is>
      </c>
      <c r="DN47" s="256" t="inlineStr">
        <is>
          <t>—</t>
        </is>
      </c>
      <c r="DO47" s="259" t="inlineStr">
        <is>
          <t>not tested</t>
        </is>
      </c>
      <c r="DP47" s="256" t="inlineStr">
        <is>
          <t>—</t>
        </is>
      </c>
      <c r="DQ47" s="256" t="inlineStr">
        <is>
          <t>—</t>
        </is>
      </c>
      <c r="DR47" s="256" t="inlineStr">
        <is>
          <t>—</t>
        </is>
      </c>
    </row>
    <row r="48">
      <c r="A48" s="256" t="inlineStr">
        <is>
          <t>CoQ-PP_26-047</t>
        </is>
      </c>
      <c r="B48" s="256" t="inlineStr">
        <is>
          <t>release</t>
        </is>
      </c>
      <c r="C48" s="256" t="inlineStr">
        <is>
          <t>issuable</t>
        </is>
      </c>
      <c r="D48" s="256" t="inlineStr">
        <is>
          <t>06.06.2026</t>
        </is>
      </c>
      <c r="E48" s="256" t="inlineStr">
        <is>
          <t>n/a — release certificate</t>
        </is>
      </c>
      <c r="F48" s="256" t="inlineStr">
        <is>
          <t>CoQ-PP-2026-0009</t>
        </is>
      </c>
      <c r="G48" s="256" t="inlineStr">
        <is>
          <t>PUM102501</t>
        </is>
      </c>
      <c r="H48" s="256" t="inlineStr">
        <is>
          <t>P060112</t>
        </is>
      </c>
      <c r="I48" s="256" t="inlineStr">
        <is>
          <t>Pure Michigen</t>
        </is>
      </c>
      <c r="J48" s="256" t="inlineStr">
        <is>
          <t>08.01.2026 – 09.01.2026</t>
        </is>
      </c>
      <c r="K48" s="256" t="inlineStr">
        <is>
          <t>17.02.2026</t>
        </is>
      </c>
      <c r="L48" s="256" t="inlineStr">
        <is>
          <t>08.01.2026</t>
        </is>
      </c>
      <c r="M48" s="256" t="inlineStr">
        <is>
          <t>17.02.2026</t>
        </is>
      </c>
      <c r="N48" s="256" t="inlineStr">
        <is>
          <t>iCoA-PP_26-046</t>
        </is>
      </c>
      <c r="O48" s="256" t="inlineStr">
        <is>
          <t>03.06.2026</t>
        </is>
      </c>
      <c r="P48" s="256" t="inlineStr">
        <is>
          <t>17.02.2026</t>
        </is>
      </c>
      <c r="Q48" s="256" t="inlineStr">
        <is>
          <t>—</t>
        </is>
      </c>
      <c r="R48" s="256" t="inlineStr">
        <is>
          <t>—</t>
        </is>
      </c>
      <c r="S48" s="256" t="inlineStr">
        <is>
          <t>—</t>
        </is>
      </c>
      <c r="T48" s="256" t="inlineStr">
        <is>
          <t>—</t>
        </is>
      </c>
      <c r="U48" s="256" t="inlineStr">
        <is>
          <t>Per grade of the potency specification of 15.09.2026 — no Total THC result on file</t>
        </is>
      </c>
      <c r="V48" s="256" t="inlineStr">
        <is>
          <t>—</t>
        </is>
      </c>
      <c r="W48" s="256" t="inlineStr">
        <is>
          <t>—</t>
        </is>
      </c>
      <c r="X48" s="256" t="inlineStr">
        <is>
          <t>—</t>
        </is>
      </c>
      <c r="Y48" s="256" t="inlineStr">
        <is>
          <t>—</t>
        </is>
      </c>
      <c r="Z48" s="256" t="inlineStr">
        <is>
          <t>—</t>
        </is>
      </c>
      <c r="AA48" s="256" t="inlineStr">
        <is>
          <t>—</t>
        </is>
      </c>
      <c r="AB48" s="256" t="inlineStr">
        <is>
          <t>—</t>
        </is>
      </c>
      <c r="AC48" s="256" t="inlineStr">
        <is>
          <t>—</t>
        </is>
      </c>
      <c r="AD48" s="256" t="inlineStr">
        <is>
          <t>11.02.2026</t>
        </is>
      </c>
      <c r="AE48" s="256" t="inlineStr">
        <is>
          <t>Conforms | Одговара</t>
        </is>
      </c>
      <c r="AF48" s="256" t="inlineStr">
        <is>
          <t>iCoA-PP_26-046</t>
        </is>
      </c>
      <c r="AG48" s="256" t="inlineStr">
        <is>
          <t>03.06.2026</t>
        </is>
      </c>
      <c r="AH48" s="256" t="inlineStr">
        <is>
          <t>Purely Plant GmbH (in-house)</t>
        </is>
      </c>
      <c r="AI48" s="256" t="inlineStr">
        <is>
          <t>Conforms | Одговара</t>
        </is>
      </c>
      <c r="AJ48" s="256" t="inlineStr">
        <is>
          <t>iCoA-PP_26-046</t>
        </is>
      </c>
      <c r="AK48" s="256" t="inlineStr">
        <is>
          <t>03.06.2026</t>
        </is>
      </c>
      <c r="AL48" s="256" t="inlineStr">
        <is>
          <t>Purely Plant GmbH (in-house)</t>
        </is>
      </c>
      <c r="AM48" s="256" t="inlineStr">
        <is>
          <t>identity by the HPLC cannabinoid profile on this certificate</t>
        </is>
      </c>
      <c r="AN48" s="256" t="inlineStr">
        <is>
          <t>031-2-К/26</t>
        </is>
      </c>
      <c r="AO48" s="256" t="inlineStr">
        <is>
          <t>10.02.2026</t>
        </is>
      </c>
      <c r="AP48" s="256" t="inlineStr">
        <is>
          <t>FHM</t>
        </is>
      </c>
      <c r="AQ48" s="259" t="inlineStr">
        <is>
          <t>not tested</t>
        </is>
      </c>
      <c r="AR48" s="256" t="inlineStr">
        <is>
          <t>—</t>
        </is>
      </c>
      <c r="AS48" s="256" t="inlineStr">
        <is>
          <t>—</t>
        </is>
      </c>
      <c r="AT48" s="256" t="inlineStr">
        <is>
          <t>—</t>
        </is>
      </c>
      <c r="AU48" s="256" t="inlineStr">
        <is>
          <t>&lt; LOQ** %w/w</t>
        </is>
      </c>
      <c r="AV48" s="256" t="inlineStr">
        <is>
          <t>031-2-К/26</t>
        </is>
      </c>
      <c r="AW48" s="256" t="inlineStr">
        <is>
          <t>10.02.2026</t>
        </is>
      </c>
      <c r="AX48" s="256" t="inlineStr">
        <is>
          <t>FHM</t>
        </is>
      </c>
      <c r="AY48" s="256" t="inlineStr">
        <is>
          <t>&lt; LOQ** %w/w</t>
        </is>
      </c>
      <c r="AZ48" s="256" t="inlineStr">
        <is>
          <t>031-2-К/26</t>
        </is>
      </c>
      <c r="BA48" s="256" t="inlineStr">
        <is>
          <t>10.02.2026</t>
        </is>
      </c>
      <c r="BB48" s="256" t="inlineStr">
        <is>
          <t>FHM</t>
        </is>
      </c>
      <c r="BC48" s="256" t="inlineStr">
        <is>
          <t>Conforms | Одговара</t>
        </is>
      </c>
      <c r="BD48" s="256" t="inlineStr">
        <is>
          <t>iCoA-PP_26-046</t>
        </is>
      </c>
      <c r="BE48" s="256" t="inlineStr">
        <is>
          <t>03.06.2026</t>
        </is>
      </c>
      <c r="BF48" s="256" t="inlineStr">
        <is>
          <t>Purely Plant GmbH (in-house)</t>
        </is>
      </c>
      <c r="BG48" s="256" t="inlineStr">
        <is>
          <t>6,4 %</t>
        </is>
      </c>
      <c r="BH48" s="256" t="inlineStr">
        <is>
          <t>031-2-ГС/26</t>
        </is>
      </c>
      <c r="BI48" s="256" t="inlineStr">
        <is>
          <t>11.02.2026</t>
        </is>
      </c>
      <c r="BJ48" s="256" t="inlineStr">
        <is>
          <t>FHM</t>
        </is>
      </c>
      <c r="BK48" s="256" t="inlineStr">
        <is>
          <t>5 × 10¹</t>
        </is>
      </c>
      <c r="BL48" s="256" t="inlineStr">
        <is>
          <t>74/0117/26</t>
        </is>
      </c>
      <c r="BM48" s="256" t="inlineStr">
        <is>
          <t>09.02.2026</t>
        </is>
      </c>
      <c r="BN48" s="256" t="inlineStr">
        <is>
          <t>IPH — Institute of Public Health</t>
        </is>
      </c>
      <c r="BO48" s="256" t="inlineStr">
        <is>
          <t>5 × 10¹</t>
        </is>
      </c>
      <c r="BP48" s="256" t="inlineStr">
        <is>
          <t>74/0117/26</t>
        </is>
      </c>
      <c r="BQ48" s="256" t="inlineStr">
        <is>
          <t>09.02.2026</t>
        </is>
      </c>
      <c r="BR48" s="256" t="inlineStr">
        <is>
          <t>IPH — Institute of Public Health</t>
        </is>
      </c>
      <c r="BS48" s="256" t="inlineStr">
        <is>
          <t>&lt; 10</t>
        </is>
      </c>
      <c r="BT48" s="256" t="inlineStr">
        <is>
          <t>74/0117/26</t>
        </is>
      </c>
      <c r="BU48" s="256" t="inlineStr">
        <is>
          <t>09.02.2026</t>
        </is>
      </c>
      <c r="BV48" s="256" t="inlineStr">
        <is>
          <t>IPH — Institute of Public Health</t>
        </is>
      </c>
      <c r="BW48" s="256" t="inlineStr">
        <is>
          <t>Absent | Отсутна</t>
        </is>
      </c>
      <c r="BX48" s="256" t="inlineStr">
        <is>
          <t>74/0117/26</t>
        </is>
      </c>
      <c r="BY48" s="256" t="inlineStr">
        <is>
          <t>09.02.2026</t>
        </is>
      </c>
      <c r="BZ48" s="256" t="inlineStr">
        <is>
          <t>IPH — Institute of Public Health</t>
        </is>
      </c>
      <c r="CA48" s="256" t="inlineStr">
        <is>
          <t>Absent | Отсутна</t>
        </is>
      </c>
      <c r="CB48" s="256" t="inlineStr">
        <is>
          <t>74/0117/26</t>
        </is>
      </c>
      <c r="CC48" s="256" t="inlineStr">
        <is>
          <t>09.02.2026</t>
        </is>
      </c>
      <c r="CD48" s="256" t="inlineStr">
        <is>
          <t>IPH — Institute of Public Health</t>
        </is>
      </c>
      <c r="CE48" s="260" t="inlineStr">
        <is>
          <t>upon request — not required for release</t>
        </is>
      </c>
      <c r="CF48" s="256" t="inlineStr">
        <is>
          <t>—</t>
        </is>
      </c>
      <c r="CG48" s="256" t="inlineStr">
        <is>
          <t>—</t>
        </is>
      </c>
      <c r="CH48" s="256" t="inlineStr">
        <is>
          <t>—</t>
        </is>
      </c>
      <c r="CI48" s="260" t="inlineStr">
        <is>
          <t>upon request — not required for release</t>
        </is>
      </c>
      <c r="CJ48" s="256" t="inlineStr">
        <is>
          <t>—</t>
        </is>
      </c>
      <c r="CK48" s="256" t="inlineStr">
        <is>
          <t>—</t>
        </is>
      </c>
      <c r="CL48" s="256" t="inlineStr">
        <is>
          <t>—</t>
        </is>
      </c>
      <c r="CM48" s="259" t="inlineStr">
        <is>
          <t>not tested</t>
        </is>
      </c>
      <c r="CN48" s="256" t="inlineStr">
        <is>
          <t>—</t>
        </is>
      </c>
      <c r="CO48" s="256" t="inlineStr">
        <is>
          <t>—</t>
        </is>
      </c>
      <c r="CP48" s="256" t="inlineStr">
        <is>
          <t>—</t>
        </is>
      </c>
      <c r="CQ48" s="256" t="inlineStr">
        <is>
          <t>&lt; 2</t>
        </is>
      </c>
      <c r="CR48" s="256" t="inlineStr">
        <is>
          <t>327/2026</t>
        </is>
      </c>
      <c r="CS48" s="256" t="inlineStr">
        <is>
          <t>11.02.2026</t>
        </is>
      </c>
      <c r="CT48" s="256" t="inlineStr">
        <is>
          <t>IPH — Institute of Public Health</t>
        </is>
      </c>
      <c r="CU48" s="259" t="inlineStr">
        <is>
          <t>not tested</t>
        </is>
      </c>
      <c r="CV48" s="256" t="inlineStr">
        <is>
          <t>—</t>
        </is>
      </c>
      <c r="CW48" s="256" t="inlineStr">
        <is>
          <t>—</t>
        </is>
      </c>
      <c r="CX48" s="256" t="inlineStr">
        <is>
          <t>—</t>
        </is>
      </c>
      <c r="CY48" s="256" t="inlineStr">
        <is>
          <t>0.078</t>
        </is>
      </c>
      <c r="CZ48" s="256" t="inlineStr">
        <is>
          <t>327/2026</t>
        </is>
      </c>
      <c r="DA48" s="256" t="inlineStr">
        <is>
          <t>11.02.2026</t>
        </is>
      </c>
      <c r="DB48" s="256" t="inlineStr">
        <is>
          <t>IPH — Institute of Public Health</t>
        </is>
      </c>
      <c r="DC48" s="256" t="inlineStr">
        <is>
          <t>ND</t>
        </is>
      </c>
      <c r="DD48" s="256" t="inlineStr">
        <is>
          <t>327/2026</t>
        </is>
      </c>
      <c r="DE48" s="256" t="inlineStr">
        <is>
          <t>11.02.2026</t>
        </is>
      </c>
      <c r="DF48" s="256" t="inlineStr">
        <is>
          <t>IPH — Institute of Public Health</t>
        </is>
      </c>
      <c r="DG48" s="256" t="inlineStr">
        <is>
          <t>0.0187</t>
        </is>
      </c>
      <c r="DH48" s="256" t="inlineStr">
        <is>
          <t>327/2026</t>
        </is>
      </c>
      <c r="DI48" s="256" t="inlineStr">
        <is>
          <t>11.02.2026</t>
        </is>
      </c>
      <c r="DJ48" s="256" t="inlineStr">
        <is>
          <t>IPH — Institute of Public Health</t>
        </is>
      </c>
      <c r="DK48" s="256" t="inlineStr">
        <is>
          <t>ND</t>
        </is>
      </c>
      <c r="DL48" s="256" t="inlineStr">
        <is>
          <t>327/2026</t>
        </is>
      </c>
      <c r="DM48" s="256" t="inlineStr">
        <is>
          <t>11.02.2026</t>
        </is>
      </c>
      <c r="DN48" s="256" t="inlineStr">
        <is>
          <t>IPH — Institute of Public Health</t>
        </is>
      </c>
      <c r="DO48" s="256" t="inlineStr">
        <is>
          <t>ND mg/kg — all 25 residues</t>
        </is>
      </c>
      <c r="DP48" s="256" t="inlineStr">
        <is>
          <t>327/2026</t>
        </is>
      </c>
      <c r="DQ48" s="256" t="inlineStr">
        <is>
          <t>11.02.2026</t>
        </is>
      </c>
      <c r="DR48" s="256" t="inlineStr">
        <is>
          <t>IJZ</t>
        </is>
      </c>
    </row>
    <row r="49">
      <c r="A49" s="256" t="inlineStr">
        <is>
          <t>CoQ-PP_26-048</t>
        </is>
      </c>
      <c r="B49" s="256" t="inlineStr">
        <is>
          <t>release</t>
        </is>
      </c>
      <c r="C49" s="256" t="inlineStr">
        <is>
          <t>issuable</t>
        </is>
      </c>
      <c r="D49" s="256" t="inlineStr">
        <is>
          <t>06.06.2026</t>
        </is>
      </c>
      <c r="E49" s="256" t="inlineStr">
        <is>
          <t>n/a — release certificate</t>
        </is>
      </c>
      <c r="F49" s="256" t="inlineStr">
        <is>
          <t>CoQ-PP-2026-0010</t>
        </is>
      </c>
      <c r="G49" s="256" t="inlineStr">
        <is>
          <t>ACC102501</t>
        </is>
      </c>
      <c r="H49" s="256" t="inlineStr">
        <is>
          <t>P060122</t>
        </is>
      </c>
      <c r="I49" s="256" t="inlineStr">
        <is>
          <t>Amnesia Core Cut</t>
        </is>
      </c>
      <c r="J49" s="256" t="inlineStr">
        <is>
          <t>09.01.2026</t>
        </is>
      </c>
      <c r="K49" s="256" t="inlineStr">
        <is>
          <t>18.02.2026 – 19.02.2026</t>
        </is>
      </c>
      <c r="L49" s="256" t="inlineStr">
        <is>
          <t>09.01.2026</t>
        </is>
      </c>
      <c r="M49" s="256" t="inlineStr">
        <is>
          <t>18.02.2026</t>
        </is>
      </c>
      <c r="N49" s="256" t="inlineStr">
        <is>
          <t>iCoA-PP_26-047</t>
        </is>
      </c>
      <c r="O49" s="256" t="inlineStr">
        <is>
          <t>03.06.2026</t>
        </is>
      </c>
      <c r="P49" s="256" t="inlineStr">
        <is>
          <t>18.02.2026</t>
        </is>
      </c>
      <c r="Q49" s="256" t="inlineStr">
        <is>
          <t>—</t>
        </is>
      </c>
      <c r="R49" s="256" t="inlineStr">
        <is>
          <t>12.91</t>
        </is>
      </c>
      <c r="S49" s="256" t="inlineStr">
        <is>
          <t>031-5-К/26</t>
        </is>
      </c>
      <c r="T49" s="256" t="inlineStr">
        <is>
          <t>I</t>
        </is>
      </c>
      <c r="U49" s="256" t="inlineStr">
        <is>
          <t>10.80 – 13.19 %</t>
        </is>
      </c>
      <c r="V49" s="256" t="inlineStr">
        <is>
          <t>ACC_THC12 : CBD1</t>
        </is>
      </c>
      <c r="W49" s="256" t="inlineStr">
        <is>
          <t>QCSP_001_ACC-I_v.01</t>
        </is>
      </c>
      <c r="X49" s="256" t="inlineStr">
        <is>
          <t>—</t>
        </is>
      </c>
      <c r="Y49" s="256" t="inlineStr">
        <is>
          <t>—</t>
        </is>
      </c>
      <c r="Z49" s="256" t="inlineStr">
        <is>
          <t>—</t>
        </is>
      </c>
      <c r="AA49" s="256" t="inlineStr">
        <is>
          <t>—</t>
        </is>
      </c>
      <c r="AB49" s="256" t="inlineStr">
        <is>
          <t>—</t>
        </is>
      </c>
      <c r="AC49" s="256" t="inlineStr">
        <is>
          <t>—</t>
        </is>
      </c>
      <c r="AD49" s="256" t="inlineStr">
        <is>
          <t>12.02.2026</t>
        </is>
      </c>
      <c r="AE49" s="256" t="inlineStr">
        <is>
          <t>Conforms | Одговара</t>
        </is>
      </c>
      <c r="AF49" s="256" t="inlineStr">
        <is>
          <t>iCoA-PP_26-047</t>
        </is>
      </c>
      <c r="AG49" s="256" t="inlineStr">
        <is>
          <t>03.06.2026</t>
        </is>
      </c>
      <c r="AH49" s="256" t="inlineStr">
        <is>
          <t>Purely Plant GmbH (in-house)</t>
        </is>
      </c>
      <c r="AI49" s="256" t="inlineStr">
        <is>
          <t>Conforms | Одговара</t>
        </is>
      </c>
      <c r="AJ49" s="256" t="inlineStr">
        <is>
          <t>iCoA-PP_26-047</t>
        </is>
      </c>
      <c r="AK49" s="256" t="inlineStr">
        <is>
          <t>03.06.2026</t>
        </is>
      </c>
      <c r="AL49" s="256" t="inlineStr">
        <is>
          <t>Purely Plant GmbH (in-house)</t>
        </is>
      </c>
      <c r="AM49" s="256" t="inlineStr">
        <is>
          <t>identity by the HPLC cannabinoid profile on this certificate</t>
        </is>
      </c>
      <c r="AN49" s="256" t="inlineStr">
        <is>
          <t>031-5-К/26</t>
        </is>
      </c>
      <c r="AO49" s="256" t="inlineStr">
        <is>
          <t>10.02.2026</t>
        </is>
      </c>
      <c r="AP49" s="256" t="inlineStr">
        <is>
          <t>FHM</t>
        </is>
      </c>
      <c r="AQ49" s="256" t="inlineStr">
        <is>
          <t>12.91</t>
        </is>
      </c>
      <c r="AR49" s="256" t="inlineStr">
        <is>
          <t>031-5-К/26</t>
        </is>
      </c>
      <c r="AS49" s="256" t="inlineStr">
        <is>
          <t>10.02.2026</t>
        </is>
      </c>
      <c r="AT49" s="256" t="inlineStr">
        <is>
          <t>Farmahem</t>
        </is>
      </c>
      <c r="AU49" s="256" t="inlineStr">
        <is>
          <t>&lt; LOQ** %w/w</t>
        </is>
      </c>
      <c r="AV49" s="256" t="inlineStr">
        <is>
          <t>031-5-К/26</t>
        </is>
      </c>
      <c r="AW49" s="256" t="inlineStr">
        <is>
          <t>10.02.2026</t>
        </is>
      </c>
      <c r="AX49" s="256" t="inlineStr">
        <is>
          <t>Farmahem</t>
        </is>
      </c>
      <c r="AY49" s="256" t="inlineStr">
        <is>
          <t>&lt; LOQ** %w/w</t>
        </is>
      </c>
      <c r="AZ49" s="256" t="inlineStr">
        <is>
          <t>031-5-К/26</t>
        </is>
      </c>
      <c r="BA49" s="256" t="inlineStr">
        <is>
          <t>10.02.2026</t>
        </is>
      </c>
      <c r="BB49" s="256" t="inlineStr">
        <is>
          <t>Farmahem</t>
        </is>
      </c>
      <c r="BC49" s="256" t="inlineStr">
        <is>
          <t>Conforms | Одговара</t>
        </is>
      </c>
      <c r="BD49" s="256" t="inlineStr">
        <is>
          <t>iCoA-PP_26-047</t>
        </is>
      </c>
      <c r="BE49" s="256" t="inlineStr">
        <is>
          <t>03.06.2026</t>
        </is>
      </c>
      <c r="BF49" s="256" t="inlineStr">
        <is>
          <t>Purely Plant GmbH (in-house)</t>
        </is>
      </c>
      <c r="BG49" s="256" t="inlineStr">
        <is>
          <t>7,1 %</t>
        </is>
      </c>
      <c r="BH49" s="256" t="inlineStr">
        <is>
          <t>031-5-ГС/26</t>
        </is>
      </c>
      <c r="BI49" s="256" t="inlineStr">
        <is>
          <t>12.02.2026</t>
        </is>
      </c>
      <c r="BJ49" s="256" t="inlineStr">
        <is>
          <t>FHM</t>
        </is>
      </c>
      <c r="BK49" s="256" t="inlineStr">
        <is>
          <t>1 × 10³</t>
        </is>
      </c>
      <c r="BL49" s="256" t="inlineStr">
        <is>
          <t>77/0120/26</t>
        </is>
      </c>
      <c r="BM49" s="256" t="inlineStr">
        <is>
          <t>09.02.2026</t>
        </is>
      </c>
      <c r="BN49" s="256" t="inlineStr">
        <is>
          <t>IPH — Institute of Public Health</t>
        </is>
      </c>
      <c r="BO49" s="256" t="inlineStr">
        <is>
          <t>1.6 × 10³</t>
        </is>
      </c>
      <c r="BP49" s="256" t="inlineStr">
        <is>
          <t>77/0120/26</t>
        </is>
      </c>
      <c r="BQ49" s="256" t="inlineStr">
        <is>
          <t>09.02.2026</t>
        </is>
      </c>
      <c r="BR49" s="256" t="inlineStr">
        <is>
          <t>IPH — Institute of Public Health</t>
        </is>
      </c>
      <c r="BS49" s="256" t="inlineStr">
        <is>
          <t>&lt; 10</t>
        </is>
      </c>
      <c r="BT49" s="256" t="inlineStr">
        <is>
          <t>77/0120/26</t>
        </is>
      </c>
      <c r="BU49" s="256" t="inlineStr">
        <is>
          <t>09.02.2026</t>
        </is>
      </c>
      <c r="BV49" s="256" t="inlineStr">
        <is>
          <t>IPH — Institute of Public Health</t>
        </is>
      </c>
      <c r="BW49" s="256" t="inlineStr">
        <is>
          <t>Absent | Отсутна</t>
        </is>
      </c>
      <c r="BX49" s="256" t="inlineStr">
        <is>
          <t>77/0120/26</t>
        </is>
      </c>
      <c r="BY49" s="256" t="inlineStr">
        <is>
          <t>09.02.2026</t>
        </is>
      </c>
      <c r="BZ49" s="256" t="inlineStr">
        <is>
          <t>IPH — Institute of Public Health</t>
        </is>
      </c>
      <c r="CA49" s="256" t="inlineStr">
        <is>
          <t>Absent | Отсутна</t>
        </is>
      </c>
      <c r="CB49" s="256" t="inlineStr">
        <is>
          <t>77/0120/26</t>
        </is>
      </c>
      <c r="CC49" s="256" t="inlineStr">
        <is>
          <t>09.02.2026</t>
        </is>
      </c>
      <c r="CD49" s="256" t="inlineStr">
        <is>
          <t>IPH — Institute of Public Health</t>
        </is>
      </c>
      <c r="CE49" s="260" t="inlineStr">
        <is>
          <t>upon request — not required for release</t>
        </is>
      </c>
      <c r="CF49" s="256" t="inlineStr">
        <is>
          <t>—</t>
        </is>
      </c>
      <c r="CG49" s="256" t="inlineStr">
        <is>
          <t>—</t>
        </is>
      </c>
      <c r="CH49" s="256" t="inlineStr">
        <is>
          <t>—</t>
        </is>
      </c>
      <c r="CI49" s="260" t="inlineStr">
        <is>
          <t>upon request — not required for release</t>
        </is>
      </c>
      <c r="CJ49" s="256" t="inlineStr">
        <is>
          <t>—</t>
        </is>
      </c>
      <c r="CK49" s="256" t="inlineStr">
        <is>
          <t>—</t>
        </is>
      </c>
      <c r="CL49" s="256" t="inlineStr">
        <is>
          <t>—</t>
        </is>
      </c>
      <c r="CM49" s="259" t="inlineStr">
        <is>
          <t>not tested</t>
        </is>
      </c>
      <c r="CN49" s="256" t="inlineStr">
        <is>
          <t>—</t>
        </is>
      </c>
      <c r="CO49" s="256" t="inlineStr">
        <is>
          <t>—</t>
        </is>
      </c>
      <c r="CP49" s="256" t="inlineStr">
        <is>
          <t>—</t>
        </is>
      </c>
      <c r="CQ49" s="256" t="inlineStr">
        <is>
          <t>2.3</t>
        </is>
      </c>
      <c r="CR49" s="256" t="inlineStr">
        <is>
          <t>326/2026</t>
        </is>
      </c>
      <c r="CS49" s="256" t="inlineStr">
        <is>
          <t>11.02.2026</t>
        </is>
      </c>
      <c r="CT49" s="256" t="inlineStr">
        <is>
          <t>IPH — Institute of Public Health</t>
        </is>
      </c>
      <c r="CU49" s="259" t="inlineStr">
        <is>
          <t>not tested</t>
        </is>
      </c>
      <c r="CV49" s="256" t="inlineStr">
        <is>
          <t>—</t>
        </is>
      </c>
      <c r="CW49" s="256" t="inlineStr">
        <is>
          <t>—</t>
        </is>
      </c>
      <c r="CX49" s="256" t="inlineStr">
        <is>
          <t>—</t>
        </is>
      </c>
      <c r="CY49" s="256" t="inlineStr">
        <is>
          <t>0.078</t>
        </is>
      </c>
      <c r="CZ49" s="256" t="inlineStr">
        <is>
          <t>326/2026</t>
        </is>
      </c>
      <c r="DA49" s="256" t="inlineStr">
        <is>
          <t>11.02.2026</t>
        </is>
      </c>
      <c r="DB49" s="256" t="inlineStr">
        <is>
          <t>IPH — Institute of Public Health</t>
        </is>
      </c>
      <c r="DC49" s="256" t="inlineStr">
        <is>
          <t>ND</t>
        </is>
      </c>
      <c r="DD49" s="256" t="inlineStr">
        <is>
          <t>326/2026</t>
        </is>
      </c>
      <c r="DE49" s="256" t="inlineStr">
        <is>
          <t>11.02.2026</t>
        </is>
      </c>
      <c r="DF49" s="256" t="inlineStr">
        <is>
          <t>IPH — Institute of Public Health</t>
        </is>
      </c>
      <c r="DG49" s="256" t="inlineStr">
        <is>
          <t>0.022</t>
        </is>
      </c>
      <c r="DH49" s="256" t="inlineStr">
        <is>
          <t>326/2026</t>
        </is>
      </c>
      <c r="DI49" s="256" t="inlineStr">
        <is>
          <t>11.02.2026</t>
        </is>
      </c>
      <c r="DJ49" s="256" t="inlineStr">
        <is>
          <t>IPH — Institute of Public Health</t>
        </is>
      </c>
      <c r="DK49" s="256" t="inlineStr">
        <is>
          <t>ND</t>
        </is>
      </c>
      <c r="DL49" s="256" t="inlineStr">
        <is>
          <t>326/2026</t>
        </is>
      </c>
      <c r="DM49" s="256" t="inlineStr">
        <is>
          <t>11.02.2026</t>
        </is>
      </c>
      <c r="DN49" s="256" t="inlineStr">
        <is>
          <t>IPH — Institute of Public Health</t>
        </is>
      </c>
      <c r="DO49" s="256" t="inlineStr">
        <is>
          <t>ND mg/kg — all 25 residues</t>
        </is>
      </c>
      <c r="DP49" s="256" t="inlineStr">
        <is>
          <t>326/2026</t>
        </is>
      </c>
      <c r="DQ49" s="256" t="inlineStr">
        <is>
          <t>11.02.2026</t>
        </is>
      </c>
      <c r="DR49" s="256" t="inlineStr">
        <is>
          <t>IJZ</t>
        </is>
      </c>
    </row>
    <row r="50">
      <c r="A50" s="256" t="inlineStr">
        <is>
          <t>CoQ-PP_26-049</t>
        </is>
      </c>
      <c r="B50" s="256" t="inlineStr">
        <is>
          <t>release</t>
        </is>
      </c>
      <c r="C50" s="256" t="inlineStr">
        <is>
          <t>issuable</t>
        </is>
      </c>
      <c r="D50" s="256" t="inlineStr">
        <is>
          <t>06.06.2026</t>
        </is>
      </c>
      <c r="E50" s="256" t="inlineStr">
        <is>
          <t>n/a — release certificate</t>
        </is>
      </c>
      <c r="F50" s="256" t="inlineStr">
        <is>
          <t>CoQ-PP-2026-0011</t>
        </is>
      </c>
      <c r="G50" s="256" t="inlineStr">
        <is>
          <t>CF102501</t>
        </is>
      </c>
      <c r="H50" s="256" t="inlineStr">
        <is>
          <t>P060132</t>
        </is>
      </c>
      <c r="I50" s="256" t="inlineStr">
        <is>
          <t>Chem Flyer</t>
        </is>
      </c>
      <c r="J50" s="256" t="inlineStr">
        <is>
          <t>09.01.2026</t>
        </is>
      </c>
      <c r="K50" s="256" t="inlineStr">
        <is>
          <t>19.02.2026 – 20.02.2026</t>
        </is>
      </c>
      <c r="L50" s="256" t="inlineStr">
        <is>
          <t>09.01.2026</t>
        </is>
      </c>
      <c r="M50" s="256" t="inlineStr">
        <is>
          <t>19.02.2026</t>
        </is>
      </c>
      <c r="N50" s="256" t="inlineStr">
        <is>
          <t>iCoA-PP_26-048</t>
        </is>
      </c>
      <c r="O50" s="256" t="inlineStr">
        <is>
          <t>03.06.2026</t>
        </is>
      </c>
      <c r="P50" s="256" t="inlineStr">
        <is>
          <t>19.02.2026</t>
        </is>
      </c>
      <c r="Q50" s="256" t="inlineStr">
        <is>
          <t>—</t>
        </is>
      </c>
      <c r="R50" s="256" t="inlineStr">
        <is>
          <t>9.83</t>
        </is>
      </c>
      <c r="S50" s="256" t="inlineStr">
        <is>
          <t>031-4-К/26</t>
        </is>
      </c>
      <c r="T50" s="256" t="inlineStr">
        <is>
          <t>I</t>
        </is>
      </c>
      <c r="U50" s="256" t="inlineStr">
        <is>
          <t>9.00 – 10.99 %</t>
        </is>
      </c>
      <c r="V50" s="256" t="inlineStr">
        <is>
          <t>CF_THC10 : CBD1</t>
        </is>
      </c>
      <c r="W50" s="256" t="inlineStr">
        <is>
          <t>QCSP_001_CF-I_v.01</t>
        </is>
      </c>
      <c r="X50" s="256" t="inlineStr">
        <is>
          <t>—</t>
        </is>
      </c>
      <c r="Y50" s="256" t="inlineStr">
        <is>
          <t>—</t>
        </is>
      </c>
      <c r="Z50" s="256" t="inlineStr">
        <is>
          <t>—</t>
        </is>
      </c>
      <c r="AA50" s="256" t="inlineStr">
        <is>
          <t>—</t>
        </is>
      </c>
      <c r="AB50" s="256" t="inlineStr">
        <is>
          <t>—</t>
        </is>
      </c>
      <c r="AC50" s="256" t="inlineStr">
        <is>
          <t>—</t>
        </is>
      </c>
      <c r="AD50" s="256" t="inlineStr">
        <is>
          <t>12.02.2026</t>
        </is>
      </c>
      <c r="AE50" s="256" t="inlineStr">
        <is>
          <t>Conforms | Одговара</t>
        </is>
      </c>
      <c r="AF50" s="256" t="inlineStr">
        <is>
          <t>iCoA-PP_26-048</t>
        </is>
      </c>
      <c r="AG50" s="256" t="inlineStr">
        <is>
          <t>03.06.2026</t>
        </is>
      </c>
      <c r="AH50" s="256" t="inlineStr">
        <is>
          <t>Purely Plant GmbH (in-house)</t>
        </is>
      </c>
      <c r="AI50" s="256" t="inlineStr">
        <is>
          <t>Conforms | Одговара</t>
        </is>
      </c>
      <c r="AJ50" s="256" t="inlineStr">
        <is>
          <t>iCoA-PP_26-048</t>
        </is>
      </c>
      <c r="AK50" s="256" t="inlineStr">
        <is>
          <t>03.06.2026</t>
        </is>
      </c>
      <c r="AL50" s="256" t="inlineStr">
        <is>
          <t>Purely Plant GmbH (in-house)</t>
        </is>
      </c>
      <c r="AM50" s="256" t="inlineStr">
        <is>
          <t>identity by the HPLC cannabinoid profile on this certificate</t>
        </is>
      </c>
      <c r="AN50" s="256" t="inlineStr">
        <is>
          <t>031-4-К/26</t>
        </is>
      </c>
      <c r="AO50" s="256" t="inlineStr">
        <is>
          <t>10.02.2026</t>
        </is>
      </c>
      <c r="AP50" s="256" t="inlineStr">
        <is>
          <t>FHM</t>
        </is>
      </c>
      <c r="AQ50" s="256" t="inlineStr">
        <is>
          <t>9.83</t>
        </is>
      </c>
      <c r="AR50" s="256" t="inlineStr">
        <is>
          <t>031-4-К/26</t>
        </is>
      </c>
      <c r="AS50" s="256" t="inlineStr">
        <is>
          <t>10.02.2026</t>
        </is>
      </c>
      <c r="AT50" s="256" t="inlineStr">
        <is>
          <t>Farmahem</t>
        </is>
      </c>
      <c r="AU50" s="256" t="inlineStr">
        <is>
          <t>&lt; LOQ** %w/w</t>
        </is>
      </c>
      <c r="AV50" s="256" t="inlineStr">
        <is>
          <t>031-4-К/26</t>
        </is>
      </c>
      <c r="AW50" s="256" t="inlineStr">
        <is>
          <t>10.02.2026</t>
        </is>
      </c>
      <c r="AX50" s="256" t="inlineStr">
        <is>
          <t>Farmahem</t>
        </is>
      </c>
      <c r="AY50" s="256" t="inlineStr">
        <is>
          <t>&lt; LOQ** %w/w</t>
        </is>
      </c>
      <c r="AZ50" s="256" t="inlineStr">
        <is>
          <t>031-4-К/26</t>
        </is>
      </c>
      <c r="BA50" s="256" t="inlineStr">
        <is>
          <t>10.02.2026</t>
        </is>
      </c>
      <c r="BB50" s="256" t="inlineStr">
        <is>
          <t>Farmahem</t>
        </is>
      </c>
      <c r="BC50" s="256" t="inlineStr">
        <is>
          <t>Conforms | Одговара</t>
        </is>
      </c>
      <c r="BD50" s="256" t="inlineStr">
        <is>
          <t>iCoA-PP_26-048</t>
        </is>
      </c>
      <c r="BE50" s="256" t="inlineStr">
        <is>
          <t>03.06.2026</t>
        </is>
      </c>
      <c r="BF50" s="256" t="inlineStr">
        <is>
          <t>Purely Plant GmbH (in-house)</t>
        </is>
      </c>
      <c r="BG50" s="256" t="inlineStr">
        <is>
          <t>5,6 %</t>
        </is>
      </c>
      <c r="BH50" s="256" t="inlineStr">
        <is>
          <t>031-4-ГС/26</t>
        </is>
      </c>
      <c r="BI50" s="256" t="inlineStr">
        <is>
          <t>12.02.2026</t>
        </is>
      </c>
      <c r="BJ50" s="256" t="inlineStr">
        <is>
          <t>FHM</t>
        </is>
      </c>
      <c r="BK50" s="256" t="inlineStr">
        <is>
          <t>3.1 × 10⁴</t>
        </is>
      </c>
      <c r="BL50" s="256" t="inlineStr">
        <is>
          <t>73/0116/26</t>
        </is>
      </c>
      <c r="BM50" s="256" t="inlineStr">
        <is>
          <t>09.02.2026</t>
        </is>
      </c>
      <c r="BN50" s="256" t="inlineStr">
        <is>
          <t>IPH — Institute of Public Health</t>
        </is>
      </c>
      <c r="BO50" s="256" t="inlineStr">
        <is>
          <t>3.9 × 10⁴</t>
        </is>
      </c>
      <c r="BP50" s="256" t="inlineStr">
        <is>
          <t>73/0116/26</t>
        </is>
      </c>
      <c r="BQ50" s="256" t="inlineStr">
        <is>
          <t>09.02.2026</t>
        </is>
      </c>
      <c r="BR50" s="256" t="inlineStr">
        <is>
          <t>IPH — Institute of Public Health</t>
        </is>
      </c>
      <c r="BS50" s="256" t="inlineStr">
        <is>
          <t>&lt; 10³ and &gt; 10²</t>
        </is>
      </c>
      <c r="BT50" s="256" t="inlineStr">
        <is>
          <t>73/0116/26</t>
        </is>
      </c>
      <c r="BU50" s="256" t="inlineStr">
        <is>
          <t>09.02.2026</t>
        </is>
      </c>
      <c r="BV50" s="256" t="inlineStr">
        <is>
          <t>IPH — Institute of Public Health</t>
        </is>
      </c>
      <c r="BW50" s="256" t="inlineStr">
        <is>
          <t>Absent | Отсутна</t>
        </is>
      </c>
      <c r="BX50" s="256" t="inlineStr">
        <is>
          <t>73/0116/26</t>
        </is>
      </c>
      <c r="BY50" s="256" t="inlineStr">
        <is>
          <t>09.02.2026</t>
        </is>
      </c>
      <c r="BZ50" s="256" t="inlineStr">
        <is>
          <t>IPH — Institute of Public Health</t>
        </is>
      </c>
      <c r="CA50" s="256" t="inlineStr">
        <is>
          <t>Absent | Отсутна</t>
        </is>
      </c>
      <c r="CB50" s="256" t="inlineStr">
        <is>
          <t>73/0116/26</t>
        </is>
      </c>
      <c r="CC50" s="256" t="inlineStr">
        <is>
          <t>09.02.2026</t>
        </is>
      </c>
      <c r="CD50" s="256" t="inlineStr">
        <is>
          <t>IPH — Institute of Public Health</t>
        </is>
      </c>
      <c r="CE50" s="260" t="inlineStr">
        <is>
          <t>upon request — not required for release</t>
        </is>
      </c>
      <c r="CF50" s="256" t="inlineStr">
        <is>
          <t>—</t>
        </is>
      </c>
      <c r="CG50" s="256" t="inlineStr">
        <is>
          <t>—</t>
        </is>
      </c>
      <c r="CH50" s="256" t="inlineStr">
        <is>
          <t>—</t>
        </is>
      </c>
      <c r="CI50" s="260" t="inlineStr">
        <is>
          <t>upon request — not required for release</t>
        </is>
      </c>
      <c r="CJ50" s="256" t="inlineStr">
        <is>
          <t>—</t>
        </is>
      </c>
      <c r="CK50" s="256" t="inlineStr">
        <is>
          <t>—</t>
        </is>
      </c>
      <c r="CL50" s="256" t="inlineStr">
        <is>
          <t>—</t>
        </is>
      </c>
      <c r="CM50" s="259" t="inlineStr">
        <is>
          <t>not tested</t>
        </is>
      </c>
      <c r="CN50" s="256" t="inlineStr">
        <is>
          <t>—</t>
        </is>
      </c>
      <c r="CO50" s="256" t="inlineStr">
        <is>
          <t>—</t>
        </is>
      </c>
      <c r="CP50" s="256" t="inlineStr">
        <is>
          <t>—</t>
        </is>
      </c>
      <c r="CQ50" s="256" t="inlineStr">
        <is>
          <t>2.1</t>
        </is>
      </c>
      <c r="CR50" s="256" t="inlineStr">
        <is>
          <t>330/2026</t>
        </is>
      </c>
      <c r="CS50" s="256" t="inlineStr">
        <is>
          <t>11.02.2026</t>
        </is>
      </c>
      <c r="CT50" s="256" t="inlineStr">
        <is>
          <t>IPH — Institute of Public Health</t>
        </is>
      </c>
      <c r="CU50" s="259" t="inlineStr">
        <is>
          <t>not tested</t>
        </is>
      </c>
      <c r="CV50" s="256" t="inlineStr">
        <is>
          <t>—</t>
        </is>
      </c>
      <c r="CW50" s="256" t="inlineStr">
        <is>
          <t>—</t>
        </is>
      </c>
      <c r="CX50" s="256" t="inlineStr">
        <is>
          <t>—</t>
        </is>
      </c>
      <c r="CY50" s="256" t="inlineStr">
        <is>
          <t>0.07</t>
        </is>
      </c>
      <c r="CZ50" s="256" t="inlineStr">
        <is>
          <t>330/2026</t>
        </is>
      </c>
      <c r="DA50" s="256" t="inlineStr">
        <is>
          <t>11.02.2026</t>
        </is>
      </c>
      <c r="DB50" s="256" t="inlineStr">
        <is>
          <t>IPH — Institute of Public Health</t>
        </is>
      </c>
      <c r="DC50" s="256" t="inlineStr">
        <is>
          <t>ND</t>
        </is>
      </c>
      <c r="DD50" s="256" t="inlineStr">
        <is>
          <t>330/2026</t>
        </is>
      </c>
      <c r="DE50" s="256" t="inlineStr">
        <is>
          <t>11.02.2026</t>
        </is>
      </c>
      <c r="DF50" s="256" t="inlineStr">
        <is>
          <t>IPH — Institute of Public Health</t>
        </is>
      </c>
      <c r="DG50" s="256" t="inlineStr">
        <is>
          <t>0.0942</t>
        </is>
      </c>
      <c r="DH50" s="256" t="inlineStr">
        <is>
          <t>330/2026</t>
        </is>
      </c>
      <c r="DI50" s="256" t="inlineStr">
        <is>
          <t>11.02.2026</t>
        </is>
      </c>
      <c r="DJ50" s="256" t="inlineStr">
        <is>
          <t>IPH — Institute of Public Health</t>
        </is>
      </c>
      <c r="DK50" s="256" t="inlineStr">
        <is>
          <t>ND</t>
        </is>
      </c>
      <c r="DL50" s="256" t="inlineStr">
        <is>
          <t>330/2026</t>
        </is>
      </c>
      <c r="DM50" s="256" t="inlineStr">
        <is>
          <t>11.02.2026</t>
        </is>
      </c>
      <c r="DN50" s="256" t="inlineStr">
        <is>
          <t>IPH — Institute of Public Health</t>
        </is>
      </c>
      <c r="DO50" s="256" t="inlineStr">
        <is>
          <t>ND mg/kg — all 25 residues</t>
        </is>
      </c>
      <c r="DP50" s="256" t="inlineStr">
        <is>
          <t>330/2026</t>
        </is>
      </c>
      <c r="DQ50" s="256" t="inlineStr">
        <is>
          <t>11.02.2026</t>
        </is>
      </c>
      <c r="DR50" s="256" t="inlineStr">
        <is>
          <t>IJZ</t>
        </is>
      </c>
    </row>
    <row r="51">
      <c r="A51" s="256" t="inlineStr">
        <is>
          <t>CoQ-PP_26-050</t>
        </is>
      </c>
      <c r="B51" s="256" t="inlineStr">
        <is>
          <t>release</t>
        </is>
      </c>
      <c r="C51" s="256" t="inlineStr">
        <is>
          <t>issuable</t>
        </is>
      </c>
      <c r="D51" s="256" t="inlineStr">
        <is>
          <t>06.06.2026</t>
        </is>
      </c>
      <c r="E51" s="256" t="inlineStr">
        <is>
          <t>n/a — release certificate</t>
        </is>
      </c>
      <c r="F51" s="256" t="inlineStr">
        <is>
          <t>(assigned on issue)</t>
        </is>
      </c>
      <c r="G51" s="256" t="inlineStr">
        <is>
          <t>GRC102501/1</t>
        </is>
      </c>
      <c r="H51" s="256" t="inlineStr">
        <is>
          <t>P060142</t>
        </is>
      </c>
      <c r="I51" s="256" t="inlineStr">
        <is>
          <t>Grapes And Cream</t>
        </is>
      </c>
      <c r="J51" s="256" t="inlineStr">
        <is>
          <t>09.01.2026</t>
        </is>
      </c>
      <c r="K51" s="256" t="inlineStr">
        <is>
          <t>23.02.2026</t>
        </is>
      </c>
      <c r="L51" s="256" t="inlineStr">
        <is>
          <t>—</t>
        </is>
      </c>
      <c r="M51" s="256" t="inlineStr">
        <is>
          <t>23.02.2026</t>
        </is>
      </c>
      <c r="N51" s="256" t="inlineStr">
        <is>
          <t>iCoA-PP_26-049</t>
        </is>
      </c>
      <c r="O51" s="256" t="inlineStr">
        <is>
          <t>03.06.2026</t>
        </is>
      </c>
      <c r="P51" s="256" t="inlineStr">
        <is>
          <t>23.02.2026</t>
        </is>
      </c>
      <c r="Q51" s="256" t="inlineStr">
        <is>
          <t>—</t>
        </is>
      </c>
      <c r="R51" s="256" t="inlineStr">
        <is>
          <t>—</t>
        </is>
      </c>
      <c r="S51" s="256" t="inlineStr">
        <is>
          <t>—</t>
        </is>
      </c>
      <c r="T51" s="256" t="inlineStr">
        <is>
          <t>—</t>
        </is>
      </c>
      <c r="U51" s="256" t="inlineStr">
        <is>
          <t>Per grade of the potency specification of 15.09.2026 — no Total THC result on file</t>
        </is>
      </c>
      <c r="V51" s="256" t="inlineStr">
        <is>
          <t>—</t>
        </is>
      </c>
      <c r="W51" s="256" t="inlineStr">
        <is>
          <t>—</t>
        </is>
      </c>
      <c r="X51" s="256" t="inlineStr">
        <is>
          <t>—</t>
        </is>
      </c>
      <c r="Y51" s="256" t="inlineStr">
        <is>
          <t>—</t>
        </is>
      </c>
      <c r="Z51" s="256" t="inlineStr">
        <is>
          <t>—</t>
        </is>
      </c>
      <c r="AA51" s="256" t="inlineStr">
        <is>
          <t>—</t>
        </is>
      </c>
      <c r="AB51" s="256" t="inlineStr">
        <is>
          <t>—</t>
        </is>
      </c>
      <c r="AC51" s="256" t="inlineStr">
        <is>
          <t>—</t>
        </is>
      </c>
      <c r="AD51" s="256" t="inlineStr">
        <is>
          <t>—</t>
        </is>
      </c>
      <c r="AE51" s="256" t="inlineStr">
        <is>
          <t>Conforms | Одговара</t>
        </is>
      </c>
      <c r="AF51" s="256" t="inlineStr">
        <is>
          <t>iCoA-PP_26-049</t>
        </is>
      </c>
      <c r="AG51" s="256" t="inlineStr">
        <is>
          <t>03.06.2026</t>
        </is>
      </c>
      <c r="AH51" s="256" t="inlineStr">
        <is>
          <t>Purely Plant GmbH (in-house)</t>
        </is>
      </c>
      <c r="AI51" s="256" t="inlineStr">
        <is>
          <t>Conforms | Одговара</t>
        </is>
      </c>
      <c r="AJ51" s="256" t="inlineStr">
        <is>
          <t>iCoA-PP_26-049</t>
        </is>
      </c>
      <c r="AK51" s="256" t="inlineStr">
        <is>
          <t>03.06.2026</t>
        </is>
      </c>
      <c r="AL51" s="256" t="inlineStr">
        <is>
          <t>Purely Plant GmbH (in-house)</t>
        </is>
      </c>
      <c r="AM51" s="259" t="inlineStr">
        <is>
          <t>to be performed (in house)</t>
        </is>
      </c>
      <c r="AN51" s="256" t="inlineStr">
        <is>
          <t>—</t>
        </is>
      </c>
      <c r="AO51" s="256" t="inlineStr">
        <is>
          <t>—</t>
        </is>
      </c>
      <c r="AP51" s="256" t="inlineStr">
        <is>
          <t>—</t>
        </is>
      </c>
      <c r="AQ51" s="259" t="inlineStr">
        <is>
          <t>not tested</t>
        </is>
      </c>
      <c r="AR51" s="256" t="inlineStr">
        <is>
          <t>—</t>
        </is>
      </c>
      <c r="AS51" s="256" t="inlineStr">
        <is>
          <t>—</t>
        </is>
      </c>
      <c r="AT51" s="256" t="inlineStr">
        <is>
          <t>—</t>
        </is>
      </c>
      <c r="AU51" s="259" t="inlineStr">
        <is>
          <t>not tested</t>
        </is>
      </c>
      <c r="AV51" s="256" t="inlineStr">
        <is>
          <t>—</t>
        </is>
      </c>
      <c r="AW51" s="256" t="inlineStr">
        <is>
          <t>—</t>
        </is>
      </c>
      <c r="AX51" s="256" t="inlineStr">
        <is>
          <t>—</t>
        </is>
      </c>
      <c r="AY51" s="259" t="inlineStr">
        <is>
          <t>not tested</t>
        </is>
      </c>
      <c r="AZ51" s="256" t="inlineStr">
        <is>
          <t>—</t>
        </is>
      </c>
      <c r="BA51" s="256" t="inlineStr">
        <is>
          <t>—</t>
        </is>
      </c>
      <c r="BB51" s="256" t="inlineStr">
        <is>
          <t>—</t>
        </is>
      </c>
      <c r="BC51" s="256" t="inlineStr">
        <is>
          <t>Conforms | Одговара</t>
        </is>
      </c>
      <c r="BD51" s="256" t="inlineStr">
        <is>
          <t>iCoA-PP_26-049</t>
        </is>
      </c>
      <c r="BE51" s="256" t="inlineStr">
        <is>
          <t>03.06.2026</t>
        </is>
      </c>
      <c r="BF51" s="256" t="inlineStr">
        <is>
          <t>Purely Plant GmbH (in-house)</t>
        </is>
      </c>
      <c r="BG51" s="259" t="inlineStr">
        <is>
          <t>not tested</t>
        </is>
      </c>
      <c r="BH51" s="256" t="inlineStr">
        <is>
          <t>—</t>
        </is>
      </c>
      <c r="BI51" s="256" t="inlineStr">
        <is>
          <t>—</t>
        </is>
      </c>
      <c r="BJ51" s="256" t="inlineStr">
        <is>
          <t>—</t>
        </is>
      </c>
      <c r="BK51" s="259" t="inlineStr">
        <is>
          <t>not tested</t>
        </is>
      </c>
      <c r="BL51" s="256" t="inlineStr">
        <is>
          <t>—</t>
        </is>
      </c>
      <c r="BM51" s="256" t="inlineStr">
        <is>
          <t>—</t>
        </is>
      </c>
      <c r="BN51" s="256" t="inlineStr">
        <is>
          <t>—</t>
        </is>
      </c>
      <c r="BO51" s="259" t="inlineStr">
        <is>
          <t>not tested</t>
        </is>
      </c>
      <c r="BP51" s="256" t="inlineStr">
        <is>
          <t>—</t>
        </is>
      </c>
      <c r="BQ51" s="256" t="inlineStr">
        <is>
          <t>—</t>
        </is>
      </c>
      <c r="BR51" s="256" t="inlineStr">
        <is>
          <t>—</t>
        </is>
      </c>
      <c r="BS51" s="259" t="inlineStr">
        <is>
          <t>not tested</t>
        </is>
      </c>
      <c r="BT51" s="256" t="inlineStr">
        <is>
          <t>—</t>
        </is>
      </c>
      <c r="BU51" s="256" t="inlineStr">
        <is>
          <t>—</t>
        </is>
      </c>
      <c r="BV51" s="256" t="inlineStr">
        <is>
          <t>—</t>
        </is>
      </c>
      <c r="BW51" s="259" t="inlineStr">
        <is>
          <t>not tested</t>
        </is>
      </c>
      <c r="BX51" s="256" t="inlineStr">
        <is>
          <t>—</t>
        </is>
      </c>
      <c r="BY51" s="256" t="inlineStr">
        <is>
          <t>—</t>
        </is>
      </c>
      <c r="BZ51" s="256" t="inlineStr">
        <is>
          <t>—</t>
        </is>
      </c>
      <c r="CA51" s="259" t="inlineStr">
        <is>
          <t>not tested</t>
        </is>
      </c>
      <c r="CB51" s="256" t="inlineStr">
        <is>
          <t>—</t>
        </is>
      </c>
      <c r="CC51" s="256" t="inlineStr">
        <is>
          <t>—</t>
        </is>
      </c>
      <c r="CD51" s="256" t="inlineStr">
        <is>
          <t>—</t>
        </is>
      </c>
      <c r="CE51" s="260" t="inlineStr">
        <is>
          <t>upon request — not required for release</t>
        </is>
      </c>
      <c r="CF51" s="256" t="inlineStr">
        <is>
          <t>—</t>
        </is>
      </c>
      <c r="CG51" s="256" t="inlineStr">
        <is>
          <t>—</t>
        </is>
      </c>
      <c r="CH51" s="256" t="inlineStr">
        <is>
          <t>—</t>
        </is>
      </c>
      <c r="CI51" s="260" t="inlineStr">
        <is>
          <t>upon request — not required for release</t>
        </is>
      </c>
      <c r="CJ51" s="256" t="inlineStr">
        <is>
          <t>—</t>
        </is>
      </c>
      <c r="CK51" s="256" t="inlineStr">
        <is>
          <t>—</t>
        </is>
      </c>
      <c r="CL51" s="256" t="inlineStr">
        <is>
          <t>—</t>
        </is>
      </c>
      <c r="CM51" s="259" t="inlineStr">
        <is>
          <t>not tested</t>
        </is>
      </c>
      <c r="CN51" s="256" t="inlineStr">
        <is>
          <t>—</t>
        </is>
      </c>
      <c r="CO51" s="256" t="inlineStr">
        <is>
          <t>—</t>
        </is>
      </c>
      <c r="CP51" s="256" t="inlineStr">
        <is>
          <t>—</t>
        </is>
      </c>
      <c r="CQ51" s="259" t="inlineStr">
        <is>
          <t>not tested</t>
        </is>
      </c>
      <c r="CR51" s="256" t="inlineStr">
        <is>
          <t>—</t>
        </is>
      </c>
      <c r="CS51" s="256" t="inlineStr">
        <is>
          <t>—</t>
        </is>
      </c>
      <c r="CT51" s="256" t="inlineStr">
        <is>
          <t>—</t>
        </is>
      </c>
      <c r="CU51" s="259" t="inlineStr">
        <is>
          <t>not tested</t>
        </is>
      </c>
      <c r="CV51" s="256" t="inlineStr">
        <is>
          <t>—</t>
        </is>
      </c>
      <c r="CW51" s="256" t="inlineStr">
        <is>
          <t>—</t>
        </is>
      </c>
      <c r="CX51" s="256" t="inlineStr">
        <is>
          <t>—</t>
        </is>
      </c>
      <c r="CY51" s="259" t="inlineStr">
        <is>
          <t>not tested</t>
        </is>
      </c>
      <c r="CZ51" s="256" t="inlineStr">
        <is>
          <t>—</t>
        </is>
      </c>
      <c r="DA51" s="256" t="inlineStr">
        <is>
          <t>—</t>
        </is>
      </c>
      <c r="DB51" s="256" t="inlineStr">
        <is>
          <t>—</t>
        </is>
      </c>
      <c r="DC51" s="259" t="inlineStr">
        <is>
          <t>not tested</t>
        </is>
      </c>
      <c r="DD51" s="256" t="inlineStr">
        <is>
          <t>—</t>
        </is>
      </c>
      <c r="DE51" s="256" t="inlineStr">
        <is>
          <t>—</t>
        </is>
      </c>
      <c r="DF51" s="256" t="inlineStr">
        <is>
          <t>—</t>
        </is>
      </c>
      <c r="DG51" s="259" t="inlineStr">
        <is>
          <t>not tested</t>
        </is>
      </c>
      <c r="DH51" s="256" t="inlineStr">
        <is>
          <t>—</t>
        </is>
      </c>
      <c r="DI51" s="256" t="inlineStr">
        <is>
          <t>—</t>
        </is>
      </c>
      <c r="DJ51" s="256" t="inlineStr">
        <is>
          <t>—</t>
        </is>
      </c>
      <c r="DK51" s="259" t="inlineStr">
        <is>
          <t>not tested</t>
        </is>
      </c>
      <c r="DL51" s="256" t="inlineStr">
        <is>
          <t>—</t>
        </is>
      </c>
      <c r="DM51" s="256" t="inlineStr">
        <is>
          <t>—</t>
        </is>
      </c>
      <c r="DN51" s="256" t="inlineStr">
        <is>
          <t>—</t>
        </is>
      </c>
      <c r="DO51" s="259" t="inlineStr">
        <is>
          <t>not tested</t>
        </is>
      </c>
      <c r="DP51" s="256" t="inlineStr">
        <is>
          <t>—</t>
        </is>
      </c>
      <c r="DQ51" s="256" t="inlineStr">
        <is>
          <t>—</t>
        </is>
      </c>
      <c r="DR51" s="256" t="inlineStr">
        <is>
          <t>—</t>
        </is>
      </c>
    </row>
    <row r="52">
      <c r="A52" s="256" t="inlineStr">
        <is>
          <t>CoQ-PP_26-051</t>
        </is>
      </c>
      <c r="B52" s="256" t="inlineStr">
        <is>
          <t>release</t>
        </is>
      </c>
      <c r="C52" s="256" t="inlineStr">
        <is>
          <t>issuable</t>
        </is>
      </c>
      <c r="D52" s="256" t="inlineStr">
        <is>
          <t>06.06.2026</t>
        </is>
      </c>
      <c r="E52" s="256" t="inlineStr">
        <is>
          <t>n/a — release certificate</t>
        </is>
      </c>
      <c r="F52" s="256" t="inlineStr">
        <is>
          <t>CoQ-PP-2026-0012</t>
        </is>
      </c>
      <c r="G52" s="256" t="inlineStr">
        <is>
          <t>J31102501</t>
        </is>
      </c>
      <c r="H52" s="256" t="inlineStr">
        <is>
          <t>P060152</t>
        </is>
      </c>
      <c r="I52" s="256" t="inlineStr">
        <is>
          <t>Jokerz 31</t>
        </is>
      </c>
      <c r="J52" s="256" t="inlineStr">
        <is>
          <t>21.01.2026</t>
        </is>
      </c>
      <c r="K52" s="256" t="inlineStr">
        <is>
          <t>05.03.2026</t>
        </is>
      </c>
      <c r="L52" s="256" t="inlineStr">
        <is>
          <t>21.01.2026</t>
        </is>
      </c>
      <c r="M52" s="256" t="inlineStr">
        <is>
          <t>05.03.2026</t>
        </is>
      </c>
      <c r="N52" s="256" t="inlineStr">
        <is>
          <t>iCoA-PP_26-053</t>
        </is>
      </c>
      <c r="O52" s="256" t="inlineStr">
        <is>
          <t>03.06.2026</t>
        </is>
      </c>
      <c r="P52" s="256" t="inlineStr">
        <is>
          <t>05.03.2026</t>
        </is>
      </c>
      <c r="Q52" s="256" t="inlineStr">
        <is>
          <t>—</t>
        </is>
      </c>
      <c r="R52" s="256" t="inlineStr">
        <is>
          <t>19.14</t>
        </is>
      </c>
      <c r="S52" s="256" t="inlineStr">
        <is>
          <t>051-1-К/26</t>
        </is>
      </c>
      <c r="T52" s="256" t="inlineStr">
        <is>
          <t>III</t>
        </is>
      </c>
      <c r="U52" s="256" t="inlineStr">
        <is>
          <t>16.20 – 19.79 %</t>
        </is>
      </c>
      <c r="V52" s="256" t="inlineStr">
        <is>
          <t>J31_THC18 : CBD1</t>
        </is>
      </c>
      <c r="W52" s="256" t="inlineStr">
        <is>
          <t>QCSP_001_J31-III_v.01</t>
        </is>
      </c>
      <c r="X52" s="256" t="inlineStr">
        <is>
          <t>for review — new</t>
        </is>
      </c>
      <c r="Y52" s="256" t="inlineStr">
        <is>
          <t>HYBRID</t>
        </is>
      </c>
      <c r="Z52" s="256" t="inlineStr">
        <is>
          <t>THC</t>
        </is>
      </c>
      <c r="AA52" s="256" t="inlineStr">
        <is>
          <t>MACHINE TRIMMED</t>
        </is>
      </c>
      <c r="AB52" s="256" t="inlineStr">
        <is>
          <t>INDICA 70 : SATIVA 30</t>
        </is>
      </c>
      <c r="AC52" s="256" t="inlineStr">
        <is>
          <t>Triplex Alu Bag | Триплекс Aлу Kеса, PET 12 · ALU 7 · PE 80, 300 × 500 mm, net. 400.0 g ±3%</t>
        </is>
      </c>
      <c r="AD52" s="256" t="inlineStr">
        <is>
          <t>09.03.2026</t>
        </is>
      </c>
      <c r="AE52" s="256" t="inlineStr">
        <is>
          <t>Conforms | Одговара</t>
        </is>
      </c>
      <c r="AF52" s="256" t="inlineStr">
        <is>
          <t>iCoA-PP_26-053</t>
        </is>
      </c>
      <c r="AG52" s="256" t="inlineStr">
        <is>
          <t>03.06.2026</t>
        </is>
      </c>
      <c r="AH52" s="256" t="inlineStr">
        <is>
          <t>Purely Plant GmbH (in-house)</t>
        </is>
      </c>
      <c r="AI52" s="256" t="inlineStr">
        <is>
          <t>Conforms | Одговара</t>
        </is>
      </c>
      <c r="AJ52" s="256" t="inlineStr">
        <is>
          <t>iCoA-PP_26-053</t>
        </is>
      </c>
      <c r="AK52" s="256" t="inlineStr">
        <is>
          <t>03.06.2026</t>
        </is>
      </c>
      <c r="AL52" s="256" t="inlineStr">
        <is>
          <t>Purely Plant GmbH (in-house)</t>
        </is>
      </c>
      <c r="AM52" s="256" t="inlineStr">
        <is>
          <t>Conforms | Одговара</t>
        </is>
      </c>
      <c r="AN52" s="256" t="inlineStr">
        <is>
          <t>051-1-К/26</t>
        </is>
      </c>
      <c r="AO52" s="256" t="inlineStr">
        <is>
          <t>04.03.2026</t>
        </is>
      </c>
      <c r="AP52" s="256" t="inlineStr">
        <is>
          <t>Farmahem</t>
        </is>
      </c>
      <c r="AQ52" s="256" t="inlineStr">
        <is>
          <t>19.14</t>
        </is>
      </c>
      <c r="AR52" s="256" t="inlineStr">
        <is>
          <t>051-1-К/26</t>
        </is>
      </c>
      <c r="AS52" s="256" t="inlineStr">
        <is>
          <t>04.03.2026</t>
        </is>
      </c>
      <c r="AT52" s="256" t="inlineStr">
        <is>
          <t>Farmahem</t>
        </is>
      </c>
      <c r="AU52" s="256" t="inlineStr">
        <is>
          <t>&lt; LOQ (&lt;0.20)</t>
        </is>
      </c>
      <c r="AV52" s="256" t="inlineStr">
        <is>
          <t>051-1-К/26</t>
        </is>
      </c>
      <c r="AW52" s="256" t="inlineStr">
        <is>
          <t>04.03.2026</t>
        </is>
      </c>
      <c r="AX52" s="256" t="inlineStr">
        <is>
          <t>Farmahem</t>
        </is>
      </c>
      <c r="AY52" s="256" t="inlineStr">
        <is>
          <t>&lt; LOQ</t>
        </is>
      </c>
      <c r="AZ52" s="256" t="inlineStr">
        <is>
          <t>051-1-К/26</t>
        </is>
      </c>
      <c r="BA52" s="256" t="inlineStr">
        <is>
          <t>04.03.2026</t>
        </is>
      </c>
      <c r="BB52" s="256" t="inlineStr">
        <is>
          <t>Farmahem</t>
        </is>
      </c>
      <c r="BC52" s="256" t="inlineStr">
        <is>
          <t>Conforms | Одговара</t>
        </is>
      </c>
      <c r="BD52" s="256" t="inlineStr">
        <is>
          <t>iCoA-PP_26-053</t>
        </is>
      </c>
      <c r="BE52" s="256" t="inlineStr">
        <is>
          <t>03.06.2026</t>
        </is>
      </c>
      <c r="BF52" s="256" t="inlineStr">
        <is>
          <t>Purely Plant GmbH (in-house)</t>
        </is>
      </c>
      <c r="BG52" s="256" t="inlineStr">
        <is>
          <t>6.3</t>
        </is>
      </c>
      <c r="BH52" s="256" t="inlineStr">
        <is>
          <t>051-1-ГС/26</t>
        </is>
      </c>
      <c r="BI52" s="256" t="inlineStr">
        <is>
          <t>02.03.2026</t>
        </is>
      </c>
      <c r="BJ52" s="256" t="inlineStr">
        <is>
          <t>Farmahem</t>
        </is>
      </c>
      <c r="BK52" s="256" t="inlineStr">
        <is>
          <t>1.6 × 10²</t>
        </is>
      </c>
      <c r="BL52" s="256" t="inlineStr">
        <is>
          <t>133/0230/26</t>
        </is>
      </c>
      <c r="BM52" s="256" t="inlineStr">
        <is>
          <t>06.03.2026</t>
        </is>
      </c>
      <c r="BN52" s="256" t="inlineStr">
        <is>
          <t>IPH — Institute of Public Health</t>
        </is>
      </c>
      <c r="BO52" s="256" t="inlineStr">
        <is>
          <t>1.9 × 10²</t>
        </is>
      </c>
      <c r="BP52" s="256" t="inlineStr">
        <is>
          <t>133/0230/26</t>
        </is>
      </c>
      <c r="BQ52" s="256" t="inlineStr">
        <is>
          <t>06.03.2026</t>
        </is>
      </c>
      <c r="BR52" s="256" t="inlineStr">
        <is>
          <t>IPH — Institute of Public Health</t>
        </is>
      </c>
      <c r="BS52" s="256" t="inlineStr">
        <is>
          <t>&lt; 10</t>
        </is>
      </c>
      <c r="BT52" s="256" t="inlineStr">
        <is>
          <t>133/0230/26</t>
        </is>
      </c>
      <c r="BU52" s="256" t="inlineStr">
        <is>
          <t>06.03.2026</t>
        </is>
      </c>
      <c r="BV52" s="256" t="inlineStr">
        <is>
          <t>IPH — Institute of Public Health</t>
        </is>
      </c>
      <c r="BW52" s="256" t="inlineStr">
        <is>
          <t>Absent | Отсутна</t>
        </is>
      </c>
      <c r="BX52" s="256" t="inlineStr">
        <is>
          <t>133/0230/26</t>
        </is>
      </c>
      <c r="BY52" s="256" t="inlineStr">
        <is>
          <t>06.03.2026</t>
        </is>
      </c>
      <c r="BZ52" s="256" t="inlineStr">
        <is>
          <t>IPH — Institute of Public Health</t>
        </is>
      </c>
      <c r="CA52" s="256" t="inlineStr">
        <is>
          <t>Absent | Отсутна</t>
        </is>
      </c>
      <c r="CB52" s="256" t="inlineStr">
        <is>
          <t>133/0230/26</t>
        </is>
      </c>
      <c r="CC52" s="256" t="inlineStr">
        <is>
          <t>06.03.2026</t>
        </is>
      </c>
      <c r="CD52" s="256" t="inlineStr">
        <is>
          <t>IPH — Institute of Public Health</t>
        </is>
      </c>
      <c r="CE52" s="260" t="inlineStr">
        <is>
          <t>upon request — not required for release</t>
        </is>
      </c>
      <c r="CF52" s="256" t="inlineStr">
        <is>
          <t>—</t>
        </is>
      </c>
      <c r="CG52" s="256" t="inlineStr">
        <is>
          <t>—</t>
        </is>
      </c>
      <c r="CH52" s="256" t="inlineStr">
        <is>
          <t>—</t>
        </is>
      </c>
      <c r="CI52" s="260" t="inlineStr">
        <is>
          <t>upon request — not required for release</t>
        </is>
      </c>
      <c r="CJ52" s="256" t="inlineStr">
        <is>
          <t>—</t>
        </is>
      </c>
      <c r="CK52" s="256" t="inlineStr">
        <is>
          <t>—</t>
        </is>
      </c>
      <c r="CL52" s="256" t="inlineStr">
        <is>
          <t>—</t>
        </is>
      </c>
      <c r="CM52" s="259" t="inlineStr">
        <is>
          <t>not tested</t>
        </is>
      </c>
      <c r="CN52" s="256" t="inlineStr">
        <is>
          <t>—</t>
        </is>
      </c>
      <c r="CO52" s="256" t="inlineStr">
        <is>
          <t>—</t>
        </is>
      </c>
      <c r="CP52" s="256" t="inlineStr">
        <is>
          <t>—</t>
        </is>
      </c>
      <c r="CQ52" s="256" t="inlineStr">
        <is>
          <t>&lt; 2</t>
        </is>
      </c>
      <c r="CR52" s="256" t="inlineStr">
        <is>
          <t>1056/2026</t>
        </is>
      </c>
      <c r="CS52" s="256" t="inlineStr">
        <is>
          <t>09.03.2026</t>
        </is>
      </c>
      <c r="CT52" s="256" t="inlineStr">
        <is>
          <t>IPH — Institute of Public Health</t>
        </is>
      </c>
      <c r="CU52" s="259" t="inlineStr">
        <is>
          <t>not tested</t>
        </is>
      </c>
      <c r="CV52" s="256" t="inlineStr">
        <is>
          <t>—</t>
        </is>
      </c>
      <c r="CW52" s="256" t="inlineStr">
        <is>
          <t>—</t>
        </is>
      </c>
      <c r="CX52" s="256" t="inlineStr">
        <is>
          <t>—</t>
        </is>
      </c>
      <c r="CY52" s="256" t="inlineStr">
        <is>
          <t>0.061</t>
        </is>
      </c>
      <c r="CZ52" s="256" t="inlineStr">
        <is>
          <t>1056/2026</t>
        </is>
      </c>
      <c r="DA52" s="256" t="inlineStr">
        <is>
          <t>09.03.2026</t>
        </is>
      </c>
      <c r="DB52" s="256" t="inlineStr">
        <is>
          <t>IPH — Institute of Public Health</t>
        </is>
      </c>
      <c r="DC52" s="256" t="inlineStr">
        <is>
          <t>ND</t>
        </is>
      </c>
      <c r="DD52" s="256" t="inlineStr">
        <is>
          <t>1056/2026</t>
        </is>
      </c>
      <c r="DE52" s="256" t="inlineStr">
        <is>
          <t>09.03.2026</t>
        </is>
      </c>
      <c r="DF52" s="256" t="inlineStr">
        <is>
          <t>IPH — Institute of Public Health</t>
        </is>
      </c>
      <c r="DG52" s="256" t="inlineStr">
        <is>
          <t>ND</t>
        </is>
      </c>
      <c r="DH52" s="256" t="inlineStr">
        <is>
          <t>1056/2026</t>
        </is>
      </c>
      <c r="DI52" s="256" t="inlineStr">
        <is>
          <t>09.03.2026</t>
        </is>
      </c>
      <c r="DJ52" s="256" t="inlineStr">
        <is>
          <t>IPH — Institute of Public Health</t>
        </is>
      </c>
      <c r="DK52" s="256" t="inlineStr">
        <is>
          <t>ND</t>
        </is>
      </c>
      <c r="DL52" s="256" t="inlineStr">
        <is>
          <t>1056/2026</t>
        </is>
      </c>
      <c r="DM52" s="256" t="inlineStr">
        <is>
          <t>09.03.2026</t>
        </is>
      </c>
      <c r="DN52" s="256" t="inlineStr">
        <is>
          <t>IPH — Institute of Public Health</t>
        </is>
      </c>
      <c r="DO52" s="256" t="inlineStr">
        <is>
          <t>ND mg/kg — all 25 residues</t>
        </is>
      </c>
      <c r="DP52" s="256" t="inlineStr">
        <is>
          <t>1056/2026</t>
        </is>
      </c>
      <c r="DQ52" s="256" t="inlineStr">
        <is>
          <t>09.03.2026</t>
        </is>
      </c>
      <c r="DR52" s="256" t="inlineStr">
        <is>
          <t>IJZ</t>
        </is>
      </c>
    </row>
    <row r="53">
      <c r="A53" s="256" t="inlineStr">
        <is>
          <t>CoQ-PP_26-052</t>
        </is>
      </c>
      <c r="B53" s="256" t="inlineStr">
        <is>
          <t>release</t>
        </is>
      </c>
      <c r="C53" s="256" t="inlineStr">
        <is>
          <t>issuable</t>
        </is>
      </c>
      <c r="D53" s="256" t="inlineStr">
        <is>
          <t>06.06.2026</t>
        </is>
      </c>
      <c r="E53" s="256" t="inlineStr">
        <is>
          <t>n/a — release certificate</t>
        </is>
      </c>
      <c r="F53" s="256" t="inlineStr">
        <is>
          <t>(assigned on issue)</t>
        </is>
      </c>
      <c r="G53" s="256" t="inlineStr">
        <is>
          <t>SJ102501</t>
        </is>
      </c>
      <c r="H53" s="256" t="inlineStr">
        <is>
          <t>— no P lot assigned —</t>
        </is>
      </c>
      <c r="I53" s="256" t="inlineStr">
        <is>
          <t>Sleepy Joe</t>
        </is>
      </c>
      <c r="J53" s="256" t="inlineStr">
        <is>
          <t>20.01.2026</t>
        </is>
      </c>
      <c r="K53" s="256" t="inlineStr">
        <is>
          <t>09.03.2026</t>
        </is>
      </c>
      <c r="L53" s="256" t="inlineStr">
        <is>
          <t>—</t>
        </is>
      </c>
      <c r="M53" s="256" t="inlineStr">
        <is>
          <t>—</t>
        </is>
      </c>
      <c r="N53" s="256" t="inlineStr">
        <is>
          <t>iCoA-PP_26-055</t>
        </is>
      </c>
      <c r="O53" s="256" t="inlineStr">
        <is>
          <t>03.06.2026</t>
        </is>
      </c>
      <c r="P53" s="256" t="inlineStr">
        <is>
          <t>09.03.2026</t>
        </is>
      </c>
      <c r="Q53" s="256" t="inlineStr">
        <is>
          <t>—</t>
        </is>
      </c>
      <c r="R53" s="256" t="inlineStr">
        <is>
          <t>11.20</t>
        </is>
      </c>
      <c r="S53" s="256" t="inlineStr">
        <is>
          <t>051-3-К/26</t>
        </is>
      </c>
      <c r="T53" s="256" t="inlineStr">
        <is>
          <t>I</t>
        </is>
      </c>
      <c r="U53" s="256" t="inlineStr">
        <is>
          <t>11.00 – 12.99 %</t>
        </is>
      </c>
      <c r="V53" s="256" t="inlineStr">
        <is>
          <t>SJ_THC12 : CBD1</t>
        </is>
      </c>
      <c r="W53" s="256" t="inlineStr">
        <is>
          <t>QCSP_001_SJ-I_v.01</t>
        </is>
      </c>
      <c r="X53" s="256" t="inlineStr">
        <is>
          <t>for review — replaces the issued QCSP_001_SJ-I_v.01 (was SJ_THC27:CBD1, 27.00% ± 3.00%); now SJ_THC12 : CBD1 11.00 – 12.99 %</t>
        </is>
      </c>
      <c r="Y53" s="256" t="inlineStr">
        <is>
          <t>HYBRID</t>
        </is>
      </c>
      <c r="Z53" s="256" t="inlineStr">
        <is>
          <t>THC</t>
        </is>
      </c>
      <c r="AA53" s="256" t="inlineStr">
        <is>
          <t>MACHINE TRIMMED</t>
        </is>
      </c>
      <c r="AB53" s="256" t="inlineStr">
        <is>
          <t>TO BE DETERMINED</t>
        </is>
      </c>
      <c r="AC53" s="256" t="inlineStr">
        <is>
          <t>Triplex Alu Bag | Триплекс Aлу Kеса, PET 12 · ALU 7 · PE 80, 300 × 500 mm, net. 400.0 g ±3%</t>
        </is>
      </c>
      <c r="AD53" s="256" t="inlineStr">
        <is>
          <t>04.03.2026</t>
        </is>
      </c>
      <c r="AE53" s="256" t="inlineStr">
        <is>
          <t>Conforms | Одговара</t>
        </is>
      </c>
      <c r="AF53" s="256" t="inlineStr">
        <is>
          <t>iCoA-PP_26-055</t>
        </is>
      </c>
      <c r="AG53" s="256" t="inlineStr">
        <is>
          <t>03.06.2026</t>
        </is>
      </c>
      <c r="AH53" s="256" t="inlineStr">
        <is>
          <t>Purely Plant GmbH (in-house)</t>
        </is>
      </c>
      <c r="AI53" s="256" t="inlineStr">
        <is>
          <t>Conforms | Одговара</t>
        </is>
      </c>
      <c r="AJ53" s="256" t="inlineStr">
        <is>
          <t>iCoA-PP_26-055</t>
        </is>
      </c>
      <c r="AK53" s="256" t="inlineStr">
        <is>
          <t>03.06.2026</t>
        </is>
      </c>
      <c r="AL53" s="256" t="inlineStr">
        <is>
          <t>Purely Plant GmbH (in-house)</t>
        </is>
      </c>
      <c r="AM53" s="256" t="inlineStr">
        <is>
          <t>Conforms | Одговара</t>
        </is>
      </c>
      <c r="AN53" s="256" t="inlineStr">
        <is>
          <t>051-3-К/26</t>
        </is>
      </c>
      <c r="AO53" s="256" t="inlineStr">
        <is>
          <t>04.03.2026</t>
        </is>
      </c>
      <c r="AP53" s="256" t="inlineStr">
        <is>
          <t>Farmahem</t>
        </is>
      </c>
      <c r="AQ53" s="256" t="inlineStr">
        <is>
          <t>11.20</t>
        </is>
      </c>
      <c r="AR53" s="256" t="inlineStr">
        <is>
          <t>051-3-К/26</t>
        </is>
      </c>
      <c r="AS53" s="256" t="inlineStr">
        <is>
          <t>04.03.2026</t>
        </is>
      </c>
      <c r="AT53" s="256" t="inlineStr">
        <is>
          <t>Farmahem</t>
        </is>
      </c>
      <c r="AU53" s="256" t="inlineStr">
        <is>
          <t>&lt; LOQ (&lt;0.20)</t>
        </is>
      </c>
      <c r="AV53" s="256" t="inlineStr">
        <is>
          <t>051-3-К/26</t>
        </is>
      </c>
      <c r="AW53" s="256" t="inlineStr">
        <is>
          <t>04.03.2026</t>
        </is>
      </c>
      <c r="AX53" s="256" t="inlineStr">
        <is>
          <t>Farmahem</t>
        </is>
      </c>
      <c r="AY53" s="256" t="inlineStr">
        <is>
          <t>&lt; LOQ</t>
        </is>
      </c>
      <c r="AZ53" s="256" t="inlineStr">
        <is>
          <t>051-3-К/26</t>
        </is>
      </c>
      <c r="BA53" s="256" t="inlineStr">
        <is>
          <t>04.03.2026</t>
        </is>
      </c>
      <c r="BB53" s="256" t="inlineStr">
        <is>
          <t>Farmahem</t>
        </is>
      </c>
      <c r="BC53" s="256" t="inlineStr">
        <is>
          <t>Conforms | Одговара</t>
        </is>
      </c>
      <c r="BD53" s="256" t="inlineStr">
        <is>
          <t>iCoA-PP_26-055</t>
        </is>
      </c>
      <c r="BE53" s="256" t="inlineStr">
        <is>
          <t>03.06.2026</t>
        </is>
      </c>
      <c r="BF53" s="256" t="inlineStr">
        <is>
          <t>Purely Plant GmbH (in-house)</t>
        </is>
      </c>
      <c r="BG53" s="256" t="inlineStr">
        <is>
          <t>7.8</t>
        </is>
      </c>
      <c r="BH53" s="256" t="inlineStr">
        <is>
          <t>051-3-ГС/26</t>
        </is>
      </c>
      <c r="BI53" s="256" t="inlineStr">
        <is>
          <t>02.03.2026</t>
        </is>
      </c>
      <c r="BJ53" s="256" t="inlineStr">
        <is>
          <t>Farmahem</t>
        </is>
      </c>
      <c r="BK53" s="259" t="inlineStr">
        <is>
          <t>not tested</t>
        </is>
      </c>
      <c r="BL53" s="256" t="inlineStr">
        <is>
          <t>—</t>
        </is>
      </c>
      <c r="BM53" s="256" t="inlineStr">
        <is>
          <t>—</t>
        </is>
      </c>
      <c r="BN53" s="256" t="inlineStr">
        <is>
          <t>—</t>
        </is>
      </c>
      <c r="BO53" s="259" t="inlineStr">
        <is>
          <t>not tested</t>
        </is>
      </c>
      <c r="BP53" s="256" t="inlineStr">
        <is>
          <t>—</t>
        </is>
      </c>
      <c r="BQ53" s="256" t="inlineStr">
        <is>
          <t>—</t>
        </is>
      </c>
      <c r="BR53" s="256" t="inlineStr">
        <is>
          <t>—</t>
        </is>
      </c>
      <c r="BS53" s="259" t="inlineStr">
        <is>
          <t>not tested</t>
        </is>
      </c>
      <c r="BT53" s="256" t="inlineStr">
        <is>
          <t>—</t>
        </is>
      </c>
      <c r="BU53" s="256" t="inlineStr">
        <is>
          <t>—</t>
        </is>
      </c>
      <c r="BV53" s="256" t="inlineStr">
        <is>
          <t>—</t>
        </is>
      </c>
      <c r="BW53" s="259" t="inlineStr">
        <is>
          <t>not tested</t>
        </is>
      </c>
      <c r="BX53" s="256" t="inlineStr">
        <is>
          <t>—</t>
        </is>
      </c>
      <c r="BY53" s="256" t="inlineStr">
        <is>
          <t>—</t>
        </is>
      </c>
      <c r="BZ53" s="256" t="inlineStr">
        <is>
          <t>—</t>
        </is>
      </c>
      <c r="CA53" s="259" t="inlineStr">
        <is>
          <t>not tested</t>
        </is>
      </c>
      <c r="CB53" s="256" t="inlineStr">
        <is>
          <t>—</t>
        </is>
      </c>
      <c r="CC53" s="256" t="inlineStr">
        <is>
          <t>—</t>
        </is>
      </c>
      <c r="CD53" s="256" t="inlineStr">
        <is>
          <t>—</t>
        </is>
      </c>
      <c r="CE53" s="260" t="inlineStr">
        <is>
          <t>upon request — not required for release</t>
        </is>
      </c>
      <c r="CF53" s="256" t="inlineStr">
        <is>
          <t>—</t>
        </is>
      </c>
      <c r="CG53" s="256" t="inlineStr">
        <is>
          <t>—</t>
        </is>
      </c>
      <c r="CH53" s="256" t="inlineStr">
        <is>
          <t>—</t>
        </is>
      </c>
      <c r="CI53" s="260" t="inlineStr">
        <is>
          <t>upon request — not required for release</t>
        </is>
      </c>
      <c r="CJ53" s="256" t="inlineStr">
        <is>
          <t>—</t>
        </is>
      </c>
      <c r="CK53" s="256" t="inlineStr">
        <is>
          <t>—</t>
        </is>
      </c>
      <c r="CL53" s="256" t="inlineStr">
        <is>
          <t>—</t>
        </is>
      </c>
      <c r="CM53" s="259" t="inlineStr">
        <is>
          <t>not tested</t>
        </is>
      </c>
      <c r="CN53" s="256" t="inlineStr">
        <is>
          <t>—</t>
        </is>
      </c>
      <c r="CO53" s="256" t="inlineStr">
        <is>
          <t>—</t>
        </is>
      </c>
      <c r="CP53" s="256" t="inlineStr">
        <is>
          <t>—</t>
        </is>
      </c>
      <c r="CQ53" s="259" t="inlineStr">
        <is>
          <t>not tested</t>
        </is>
      </c>
      <c r="CR53" s="256" t="inlineStr">
        <is>
          <t>—</t>
        </is>
      </c>
      <c r="CS53" s="256" t="inlineStr">
        <is>
          <t>—</t>
        </is>
      </c>
      <c r="CT53" s="256" t="inlineStr">
        <is>
          <t>—</t>
        </is>
      </c>
      <c r="CU53" s="259" t="inlineStr">
        <is>
          <t>not tested</t>
        </is>
      </c>
      <c r="CV53" s="256" t="inlineStr">
        <is>
          <t>—</t>
        </is>
      </c>
      <c r="CW53" s="256" t="inlineStr">
        <is>
          <t>—</t>
        </is>
      </c>
      <c r="CX53" s="256" t="inlineStr">
        <is>
          <t>—</t>
        </is>
      </c>
      <c r="CY53" s="259" t="inlineStr">
        <is>
          <t>not tested</t>
        </is>
      </c>
      <c r="CZ53" s="256" t="inlineStr">
        <is>
          <t>—</t>
        </is>
      </c>
      <c r="DA53" s="256" t="inlineStr">
        <is>
          <t>—</t>
        </is>
      </c>
      <c r="DB53" s="256" t="inlineStr">
        <is>
          <t>—</t>
        </is>
      </c>
      <c r="DC53" s="259" t="inlineStr">
        <is>
          <t>not tested</t>
        </is>
      </c>
      <c r="DD53" s="256" t="inlineStr">
        <is>
          <t>—</t>
        </is>
      </c>
      <c r="DE53" s="256" t="inlineStr">
        <is>
          <t>—</t>
        </is>
      </c>
      <c r="DF53" s="256" t="inlineStr">
        <is>
          <t>—</t>
        </is>
      </c>
      <c r="DG53" s="259" t="inlineStr">
        <is>
          <t>not tested</t>
        </is>
      </c>
      <c r="DH53" s="256" t="inlineStr">
        <is>
          <t>—</t>
        </is>
      </c>
      <c r="DI53" s="256" t="inlineStr">
        <is>
          <t>—</t>
        </is>
      </c>
      <c r="DJ53" s="256" t="inlineStr">
        <is>
          <t>—</t>
        </is>
      </c>
      <c r="DK53" s="259" t="inlineStr">
        <is>
          <t>not tested</t>
        </is>
      </c>
      <c r="DL53" s="256" t="inlineStr">
        <is>
          <t>—</t>
        </is>
      </c>
      <c r="DM53" s="256" t="inlineStr">
        <is>
          <t>—</t>
        </is>
      </c>
      <c r="DN53" s="256" t="inlineStr">
        <is>
          <t>—</t>
        </is>
      </c>
      <c r="DO53" s="259" t="inlineStr">
        <is>
          <t>not tested</t>
        </is>
      </c>
      <c r="DP53" s="256" t="inlineStr">
        <is>
          <t>—</t>
        </is>
      </c>
      <c r="DQ53" s="256" t="inlineStr">
        <is>
          <t>—</t>
        </is>
      </c>
      <c r="DR53" s="256" t="inlineStr">
        <is>
          <t>—</t>
        </is>
      </c>
    </row>
    <row r="54">
      <c r="A54" s="256" t="inlineStr">
        <is>
          <t>CoQ-PP_26-053</t>
        </is>
      </c>
      <c r="B54" s="256" t="inlineStr">
        <is>
          <t>release</t>
        </is>
      </c>
      <c r="C54" s="256" t="inlineStr">
        <is>
          <t>issuable</t>
        </is>
      </c>
      <c r="D54" s="256" t="inlineStr">
        <is>
          <t>06.06.2026</t>
        </is>
      </c>
      <c r="E54" s="256" t="inlineStr">
        <is>
          <t>n/a — release certificate</t>
        </is>
      </c>
      <c r="F54" s="256" t="inlineStr">
        <is>
          <t>CoQ-PP-2026-0013</t>
        </is>
      </c>
      <c r="G54" s="256" t="inlineStr">
        <is>
          <t>KC102501</t>
        </is>
      </c>
      <c r="H54" s="256" t="inlineStr">
        <is>
          <t>P060172</t>
        </is>
      </c>
      <c r="I54" s="256" t="inlineStr">
        <is>
          <t>Kush Crasher</t>
        </is>
      </c>
      <c r="J54" s="256" t="inlineStr">
        <is>
          <t>20.01.2026 – 21.01.2026</t>
        </is>
      </c>
      <c r="K54" s="256" t="inlineStr">
        <is>
          <t>12.03.2026</t>
        </is>
      </c>
      <c r="L54" s="256" t="inlineStr">
        <is>
          <t>20.01.2026</t>
        </is>
      </c>
      <c r="M54" s="256" t="inlineStr">
        <is>
          <t>12.03.2026</t>
        </is>
      </c>
      <c r="N54" s="256" t="inlineStr">
        <is>
          <t>iCoA-PP_26-056</t>
        </is>
      </c>
      <c r="O54" s="256" t="inlineStr">
        <is>
          <t>03.06.2026</t>
        </is>
      </c>
      <c r="P54" s="256" t="inlineStr">
        <is>
          <t>12.03.2026</t>
        </is>
      </c>
      <c r="Q54" s="256" t="inlineStr">
        <is>
          <t>—</t>
        </is>
      </c>
      <c r="R54" s="256" t="inlineStr">
        <is>
          <t>17.04</t>
        </is>
      </c>
      <c r="S54" s="256" t="inlineStr">
        <is>
          <t>051-4-К/26</t>
        </is>
      </c>
      <c r="T54" s="256" t="inlineStr">
        <is>
          <t>I</t>
        </is>
      </c>
      <c r="U54" s="256" t="inlineStr">
        <is>
          <t>16.20 – 19.79 %</t>
        </is>
      </c>
      <c r="V54" s="256" t="inlineStr">
        <is>
          <t>KC_THC18 : CBD1</t>
        </is>
      </c>
      <c r="W54" s="256" t="inlineStr">
        <is>
          <t>QCSP_001_KC-I_v.01</t>
        </is>
      </c>
      <c r="X54" s="256" t="inlineStr">
        <is>
          <t>for review — replaces the issued QCSP_001_KC-I_v.01 (was KC_THC18 : CBD1, 16.20 – 19.80 %); now KC_THC18 : CBD1 16.20 – 19.79 %</t>
        </is>
      </c>
      <c r="Y54" s="256" t="inlineStr">
        <is>
          <t>INDICA</t>
        </is>
      </c>
      <c r="Z54" s="256" t="inlineStr">
        <is>
          <t>THC</t>
        </is>
      </c>
      <c r="AA54" s="256" t="inlineStr">
        <is>
          <t>MACHINE TRIMMED</t>
        </is>
      </c>
      <c r="AB54" s="256" t="inlineStr">
        <is>
          <t>—</t>
        </is>
      </c>
      <c r="AC54" s="256" t="inlineStr">
        <is>
          <t>Triplex Alu Bag | Триплекс Aлу Kеса, PET 12 · ALU 7 · PE 80, 300 × 500 mm, net. 400.0 g ±3%</t>
        </is>
      </c>
      <c r="AD54" s="256" t="inlineStr">
        <is>
          <t>09.03.2026</t>
        </is>
      </c>
      <c r="AE54" s="256" t="inlineStr">
        <is>
          <t>Conforms | Одговара</t>
        </is>
      </c>
      <c r="AF54" s="256" t="inlineStr">
        <is>
          <t>iCoA-PP_26-056</t>
        </is>
      </c>
      <c r="AG54" s="256" t="inlineStr">
        <is>
          <t>03.06.2026</t>
        </is>
      </c>
      <c r="AH54" s="256" t="inlineStr">
        <is>
          <t>Purely Plant GmbH (in-house)</t>
        </is>
      </c>
      <c r="AI54" s="256" t="inlineStr">
        <is>
          <t>Conforms | Одговара</t>
        </is>
      </c>
      <c r="AJ54" s="256" t="inlineStr">
        <is>
          <t>iCoA-PP_26-056</t>
        </is>
      </c>
      <c r="AK54" s="256" t="inlineStr">
        <is>
          <t>03.06.2026</t>
        </is>
      </c>
      <c r="AL54" s="256" t="inlineStr">
        <is>
          <t>Purely Plant GmbH (in-house)</t>
        </is>
      </c>
      <c r="AM54" s="256" t="inlineStr">
        <is>
          <t>Conforms | Одговара</t>
        </is>
      </c>
      <c r="AN54" s="256" t="inlineStr">
        <is>
          <t>051-4-К/26</t>
        </is>
      </c>
      <c r="AO54" s="256" t="inlineStr">
        <is>
          <t>04.03.2026</t>
        </is>
      </c>
      <c r="AP54" s="256" t="inlineStr">
        <is>
          <t>Farmahem</t>
        </is>
      </c>
      <c r="AQ54" s="256" t="inlineStr">
        <is>
          <t>17.04</t>
        </is>
      </c>
      <c r="AR54" s="256" t="inlineStr">
        <is>
          <t>051-4-К/26</t>
        </is>
      </c>
      <c r="AS54" s="256" t="inlineStr">
        <is>
          <t>04.03.2026</t>
        </is>
      </c>
      <c r="AT54" s="256" t="inlineStr">
        <is>
          <t>Farmahem</t>
        </is>
      </c>
      <c r="AU54" s="256" t="inlineStr">
        <is>
          <t>&lt; LOQ (&lt;0.20)</t>
        </is>
      </c>
      <c r="AV54" s="256" t="inlineStr">
        <is>
          <t>051-4-К/26</t>
        </is>
      </c>
      <c r="AW54" s="256" t="inlineStr">
        <is>
          <t>04.03.2026</t>
        </is>
      </c>
      <c r="AX54" s="256" t="inlineStr">
        <is>
          <t>Farmahem</t>
        </is>
      </c>
      <c r="AY54" s="256" t="inlineStr">
        <is>
          <t>&lt; LOQ</t>
        </is>
      </c>
      <c r="AZ54" s="256" t="inlineStr">
        <is>
          <t>051-4-К/26</t>
        </is>
      </c>
      <c r="BA54" s="256" t="inlineStr">
        <is>
          <t>04.03.2026</t>
        </is>
      </c>
      <c r="BB54" s="256" t="inlineStr">
        <is>
          <t>Farmahem</t>
        </is>
      </c>
      <c r="BC54" s="256" t="inlineStr">
        <is>
          <t>Conforms | Одговара</t>
        </is>
      </c>
      <c r="BD54" s="256" t="inlineStr">
        <is>
          <t>iCoA-PP_26-056</t>
        </is>
      </c>
      <c r="BE54" s="256" t="inlineStr">
        <is>
          <t>03.06.2026</t>
        </is>
      </c>
      <c r="BF54" s="256" t="inlineStr">
        <is>
          <t>Purely Plant GmbH (in-house)</t>
        </is>
      </c>
      <c r="BG54" s="256" t="inlineStr">
        <is>
          <t>8.6</t>
        </is>
      </c>
      <c r="BH54" s="256" t="inlineStr">
        <is>
          <t>051-4-ГС/26</t>
        </is>
      </c>
      <c r="BI54" s="256" t="inlineStr">
        <is>
          <t>02.03.2026</t>
        </is>
      </c>
      <c r="BJ54" s="256" t="inlineStr">
        <is>
          <t>Farmahem</t>
        </is>
      </c>
      <c r="BK54" s="256" t="inlineStr">
        <is>
          <t>3.8 × 10³</t>
        </is>
      </c>
      <c r="BL54" s="256" t="inlineStr">
        <is>
          <t>129/0226/26</t>
        </is>
      </c>
      <c r="BM54" s="256" t="inlineStr">
        <is>
          <t>06.03.2026</t>
        </is>
      </c>
      <c r="BN54" s="256" t="inlineStr">
        <is>
          <t>IPH — Institute of Public Health</t>
        </is>
      </c>
      <c r="BO54" s="256" t="inlineStr">
        <is>
          <t>6.8 × 10³</t>
        </is>
      </c>
      <c r="BP54" s="256" t="inlineStr">
        <is>
          <t>129/0226/26</t>
        </is>
      </c>
      <c r="BQ54" s="256" t="inlineStr">
        <is>
          <t>06.03.2026</t>
        </is>
      </c>
      <c r="BR54" s="256" t="inlineStr">
        <is>
          <t>IPH — Institute of Public Health</t>
        </is>
      </c>
      <c r="BS54" s="256" t="inlineStr">
        <is>
          <t>&lt; 10³ and &gt; 10²</t>
        </is>
      </c>
      <c r="BT54" s="256" t="inlineStr">
        <is>
          <t>129/0226/26</t>
        </is>
      </c>
      <c r="BU54" s="256" t="inlineStr">
        <is>
          <t>06.03.2026</t>
        </is>
      </c>
      <c r="BV54" s="256" t="inlineStr">
        <is>
          <t>IPH — Institute of Public Health</t>
        </is>
      </c>
      <c r="BW54" s="256" t="inlineStr">
        <is>
          <t>Absent | Отсутна</t>
        </is>
      </c>
      <c r="BX54" s="256" t="inlineStr">
        <is>
          <t>129/0226/26</t>
        </is>
      </c>
      <c r="BY54" s="256" t="inlineStr">
        <is>
          <t>06.03.2026</t>
        </is>
      </c>
      <c r="BZ54" s="256" t="inlineStr">
        <is>
          <t>IPH — Institute of Public Health</t>
        </is>
      </c>
      <c r="CA54" s="256" t="inlineStr">
        <is>
          <t>Absent | Отсутна</t>
        </is>
      </c>
      <c r="CB54" s="256" t="inlineStr">
        <is>
          <t>129/0226/26</t>
        </is>
      </c>
      <c r="CC54" s="256" t="inlineStr">
        <is>
          <t>06.03.2026</t>
        </is>
      </c>
      <c r="CD54" s="256" t="inlineStr">
        <is>
          <t>IPH — Institute of Public Health</t>
        </is>
      </c>
      <c r="CE54" s="260" t="inlineStr">
        <is>
          <t>upon request — not required for release</t>
        </is>
      </c>
      <c r="CF54" s="256" t="inlineStr">
        <is>
          <t>—</t>
        </is>
      </c>
      <c r="CG54" s="256" t="inlineStr">
        <is>
          <t>—</t>
        </is>
      </c>
      <c r="CH54" s="256" t="inlineStr">
        <is>
          <t>—</t>
        </is>
      </c>
      <c r="CI54" s="260" t="inlineStr">
        <is>
          <t>upon request — not required for release</t>
        </is>
      </c>
      <c r="CJ54" s="256" t="inlineStr">
        <is>
          <t>—</t>
        </is>
      </c>
      <c r="CK54" s="256" t="inlineStr">
        <is>
          <t>—</t>
        </is>
      </c>
      <c r="CL54" s="256" t="inlineStr">
        <is>
          <t>—</t>
        </is>
      </c>
      <c r="CM54" s="259" t="inlineStr">
        <is>
          <t>not tested</t>
        </is>
      </c>
      <c r="CN54" s="256" t="inlineStr">
        <is>
          <t>—</t>
        </is>
      </c>
      <c r="CO54" s="256" t="inlineStr">
        <is>
          <t>—</t>
        </is>
      </c>
      <c r="CP54" s="256" t="inlineStr">
        <is>
          <t>—</t>
        </is>
      </c>
      <c r="CQ54" s="256" t="inlineStr">
        <is>
          <t>2.8</t>
        </is>
      </c>
      <c r="CR54" s="256" t="inlineStr">
        <is>
          <t>1058/2026</t>
        </is>
      </c>
      <c r="CS54" s="256" t="inlineStr">
        <is>
          <t>09.03.2026</t>
        </is>
      </c>
      <c r="CT54" s="256" t="inlineStr">
        <is>
          <t>IPH — Institute of Public Health</t>
        </is>
      </c>
      <c r="CU54" s="259" t="inlineStr">
        <is>
          <t>not tested</t>
        </is>
      </c>
      <c r="CV54" s="256" t="inlineStr">
        <is>
          <t>—</t>
        </is>
      </c>
      <c r="CW54" s="256" t="inlineStr">
        <is>
          <t>—</t>
        </is>
      </c>
      <c r="CX54" s="256" t="inlineStr">
        <is>
          <t>—</t>
        </is>
      </c>
      <c r="CY54" s="256" t="inlineStr">
        <is>
          <t>ND</t>
        </is>
      </c>
      <c r="CZ54" s="256" t="inlineStr">
        <is>
          <t>1058/2026</t>
        </is>
      </c>
      <c r="DA54" s="256" t="inlineStr">
        <is>
          <t>09.03.2026</t>
        </is>
      </c>
      <c r="DB54" s="256" t="inlineStr">
        <is>
          <t>IPH — Institute of Public Health</t>
        </is>
      </c>
      <c r="DC54" s="256" t="inlineStr">
        <is>
          <t>ND</t>
        </is>
      </c>
      <c r="DD54" s="256" t="inlineStr">
        <is>
          <t>1058/2026</t>
        </is>
      </c>
      <c r="DE54" s="256" t="inlineStr">
        <is>
          <t>09.03.2026</t>
        </is>
      </c>
      <c r="DF54" s="256" t="inlineStr">
        <is>
          <t>IPH — Institute of Public Health</t>
        </is>
      </c>
      <c r="DG54" s="256" t="inlineStr">
        <is>
          <t>ND</t>
        </is>
      </c>
      <c r="DH54" s="256" t="inlineStr">
        <is>
          <t>1058/2026</t>
        </is>
      </c>
      <c r="DI54" s="256" t="inlineStr">
        <is>
          <t>09.03.2026</t>
        </is>
      </c>
      <c r="DJ54" s="256" t="inlineStr">
        <is>
          <t>IPH — Institute of Public Health</t>
        </is>
      </c>
      <c r="DK54" s="256" t="inlineStr">
        <is>
          <t>ND</t>
        </is>
      </c>
      <c r="DL54" s="256" t="inlineStr">
        <is>
          <t>1058/2026</t>
        </is>
      </c>
      <c r="DM54" s="256" t="inlineStr">
        <is>
          <t>09.03.2026</t>
        </is>
      </c>
      <c r="DN54" s="256" t="inlineStr">
        <is>
          <t>IPH — Institute of Public Health</t>
        </is>
      </c>
      <c r="DO54" s="256" t="inlineStr">
        <is>
          <t>ND mg/kg — all 25 residues</t>
        </is>
      </c>
      <c r="DP54" s="256" t="inlineStr">
        <is>
          <t>1058/2026</t>
        </is>
      </c>
      <c r="DQ54" s="256" t="inlineStr">
        <is>
          <t>09.03.2026</t>
        </is>
      </c>
      <c r="DR54" s="256" t="inlineStr">
        <is>
          <t>IJZ</t>
        </is>
      </c>
    </row>
    <row r="55">
      <c r="A55" s="256" t="inlineStr">
        <is>
          <t>CoQ-PP_26-054</t>
        </is>
      </c>
      <c r="B55" s="256" t="inlineStr">
        <is>
          <t>release</t>
        </is>
      </c>
      <c r="C55" s="256" t="inlineStr">
        <is>
          <t>issuable</t>
        </is>
      </c>
      <c r="D55" s="256" t="inlineStr">
        <is>
          <t>06.06.2026</t>
        </is>
      </c>
      <c r="E55" s="256" t="inlineStr">
        <is>
          <t>n/a — release certificate</t>
        </is>
      </c>
      <c r="F55" s="256" t="inlineStr">
        <is>
          <t>CoQ-PP-2026-0014</t>
        </is>
      </c>
      <c r="G55" s="256" t="inlineStr">
        <is>
          <t>GRC102501/2</t>
        </is>
      </c>
      <c r="H55" s="256" t="inlineStr">
        <is>
          <t>P060182</t>
        </is>
      </c>
      <c r="I55" s="256" t="inlineStr">
        <is>
          <t>Grapes And Cream</t>
        </is>
      </c>
      <c r="J55" s="256" t="inlineStr">
        <is>
          <t>20.01.2026</t>
        </is>
      </c>
      <c r="K55" s="256" t="inlineStr">
        <is>
          <t>14.03.2026</t>
        </is>
      </c>
      <c r="L55" s="256" t="inlineStr">
        <is>
          <t>20.01.2026</t>
        </is>
      </c>
      <c r="M55" s="256" t="inlineStr">
        <is>
          <t>14.03.2026</t>
        </is>
      </c>
      <c r="N55" s="256" t="inlineStr">
        <is>
          <t>iCoA-PP_26-057</t>
        </is>
      </c>
      <c r="O55" s="256" t="inlineStr">
        <is>
          <t>03.06.2026</t>
        </is>
      </c>
      <c r="P55" s="256" t="inlineStr">
        <is>
          <t>14.03.2026</t>
        </is>
      </c>
      <c r="Q55" s="256" t="inlineStr">
        <is>
          <t>—</t>
        </is>
      </c>
      <c r="R55" s="256" t="inlineStr">
        <is>
          <t>11.53</t>
        </is>
      </c>
      <c r="S55" s="256" t="inlineStr">
        <is>
          <t>051-6-К/26</t>
        </is>
      </c>
      <c r="T55" s="256" t="inlineStr">
        <is>
          <t>I</t>
        </is>
      </c>
      <c r="U55" s="256" t="inlineStr">
        <is>
          <t>11.00 – 12.99 %</t>
        </is>
      </c>
      <c r="V55" s="256" t="inlineStr">
        <is>
          <t>GRC_THC12 : CBD1</t>
        </is>
      </c>
      <c r="W55" s="256" t="inlineStr">
        <is>
          <t>QCSP_001_GRC-I_v.01</t>
        </is>
      </c>
      <c r="X55" s="256" t="inlineStr">
        <is>
          <t>for review — replaces the issued QCSP_001_GRC-I_v.01 (was GRC_THC27.5:CBD1, 27.50% ± 2.50%); now GRC_THC12 : CBD1 11.00 – 12.99 %</t>
        </is>
      </c>
      <c r="Y55" s="256" t="inlineStr">
        <is>
          <t>HYBRID</t>
        </is>
      </c>
      <c r="Z55" s="256" t="inlineStr">
        <is>
          <t>THC</t>
        </is>
      </c>
      <c r="AA55" s="256" t="inlineStr">
        <is>
          <t>MACHINE TRIMMED</t>
        </is>
      </c>
      <c r="AB55" s="256" t="inlineStr">
        <is>
          <t>TO BE DETERMINED</t>
        </is>
      </c>
      <c r="AC55" s="256" t="inlineStr">
        <is>
          <t>Triplex Alu Bag | Триплекс Aлу Kеса, PET 12 · ALU 7 · PE 80, 300 × 500 mm, net. 400.0 g ±3%</t>
        </is>
      </c>
      <c r="AD55" s="256" t="inlineStr">
        <is>
          <t>09.03.2026</t>
        </is>
      </c>
      <c r="AE55" s="256" t="inlineStr">
        <is>
          <t>Conforms | Одговара</t>
        </is>
      </c>
      <c r="AF55" s="256" t="inlineStr">
        <is>
          <t>iCoA-PP_26-057</t>
        </is>
      </c>
      <c r="AG55" s="256" t="inlineStr">
        <is>
          <t>03.06.2026</t>
        </is>
      </c>
      <c r="AH55" s="256" t="inlineStr">
        <is>
          <t>Purely Plant GmbH (in-house)</t>
        </is>
      </c>
      <c r="AI55" s="256" t="inlineStr">
        <is>
          <t>Conforms | Одговара</t>
        </is>
      </c>
      <c r="AJ55" s="256" t="inlineStr">
        <is>
          <t>iCoA-PP_26-057</t>
        </is>
      </c>
      <c r="AK55" s="256" t="inlineStr">
        <is>
          <t>03.06.2026</t>
        </is>
      </c>
      <c r="AL55" s="256" t="inlineStr">
        <is>
          <t>Purely Plant GmbH (in-house)</t>
        </is>
      </c>
      <c r="AM55" s="256" t="inlineStr">
        <is>
          <t>Conforms | Одговара</t>
        </is>
      </c>
      <c r="AN55" s="256" t="inlineStr">
        <is>
          <t>051-6-К/26</t>
        </is>
      </c>
      <c r="AO55" s="256" t="inlineStr">
        <is>
          <t>04.03.2026</t>
        </is>
      </c>
      <c r="AP55" s="256" t="inlineStr">
        <is>
          <t>Farmahem</t>
        </is>
      </c>
      <c r="AQ55" s="256" t="inlineStr">
        <is>
          <t>11.53</t>
        </is>
      </c>
      <c r="AR55" s="256" t="inlineStr">
        <is>
          <t>051-6-К/26</t>
        </is>
      </c>
      <c r="AS55" s="256" t="inlineStr">
        <is>
          <t>04.03.2026</t>
        </is>
      </c>
      <c r="AT55" s="256" t="inlineStr">
        <is>
          <t>Farmahem</t>
        </is>
      </c>
      <c r="AU55" s="256" t="inlineStr">
        <is>
          <t>&lt; LOQ (&lt;0.20)</t>
        </is>
      </c>
      <c r="AV55" s="256" t="inlineStr">
        <is>
          <t>051-6-К/26</t>
        </is>
      </c>
      <c r="AW55" s="256" t="inlineStr">
        <is>
          <t>04.03.2026</t>
        </is>
      </c>
      <c r="AX55" s="256" t="inlineStr">
        <is>
          <t>Farmahem</t>
        </is>
      </c>
      <c r="AY55" s="256" t="inlineStr">
        <is>
          <t>&lt; LOQ</t>
        </is>
      </c>
      <c r="AZ55" s="256" t="inlineStr">
        <is>
          <t>051-6-К/26</t>
        </is>
      </c>
      <c r="BA55" s="256" t="inlineStr">
        <is>
          <t>04.03.2026</t>
        </is>
      </c>
      <c r="BB55" s="256" t="inlineStr">
        <is>
          <t>Farmahem</t>
        </is>
      </c>
      <c r="BC55" s="256" t="inlineStr">
        <is>
          <t>Conforms | Одговара</t>
        </is>
      </c>
      <c r="BD55" s="256" t="inlineStr">
        <is>
          <t>iCoA-PP_26-057</t>
        </is>
      </c>
      <c r="BE55" s="256" t="inlineStr">
        <is>
          <t>03.06.2026</t>
        </is>
      </c>
      <c r="BF55" s="256" t="inlineStr">
        <is>
          <t>Purely Plant GmbH (in-house)</t>
        </is>
      </c>
      <c r="BG55" s="256" t="inlineStr">
        <is>
          <t>7.7</t>
        </is>
      </c>
      <c r="BH55" s="256" t="inlineStr">
        <is>
          <t>051-6-ГС/26</t>
        </is>
      </c>
      <c r="BI55" s="256" t="inlineStr">
        <is>
          <t>02.03.2026</t>
        </is>
      </c>
      <c r="BJ55" s="256" t="inlineStr">
        <is>
          <t>Farmahem</t>
        </is>
      </c>
      <c r="BK55" s="256" t="inlineStr">
        <is>
          <t>2.3 × 10²</t>
        </is>
      </c>
      <c r="BL55" s="256" t="inlineStr">
        <is>
          <t>136/0233/26</t>
        </is>
      </c>
      <c r="BM55" s="256" t="inlineStr">
        <is>
          <t>06.03.2026</t>
        </is>
      </c>
      <c r="BN55" s="256" t="inlineStr">
        <is>
          <t>IPH — Institute of Public Health</t>
        </is>
      </c>
      <c r="BO55" s="256" t="inlineStr">
        <is>
          <t>1.3 × 10²</t>
        </is>
      </c>
      <c r="BP55" s="256" t="inlineStr">
        <is>
          <t>136/0233/26</t>
        </is>
      </c>
      <c r="BQ55" s="256" t="inlineStr">
        <is>
          <t>06.03.2026</t>
        </is>
      </c>
      <c r="BR55" s="256" t="inlineStr">
        <is>
          <t>IPH — Institute of Public Health</t>
        </is>
      </c>
      <c r="BS55" s="256" t="inlineStr">
        <is>
          <t>&lt; 10</t>
        </is>
      </c>
      <c r="BT55" s="256" t="inlineStr">
        <is>
          <t>136/0233/26</t>
        </is>
      </c>
      <c r="BU55" s="256" t="inlineStr">
        <is>
          <t>06.03.2026</t>
        </is>
      </c>
      <c r="BV55" s="256" t="inlineStr">
        <is>
          <t>IPH — Institute of Public Health</t>
        </is>
      </c>
      <c r="BW55" s="256" t="inlineStr">
        <is>
          <t>Absent | Отсутна</t>
        </is>
      </c>
      <c r="BX55" s="256" t="inlineStr">
        <is>
          <t>136/0233/26</t>
        </is>
      </c>
      <c r="BY55" s="256" t="inlineStr">
        <is>
          <t>06.03.2026</t>
        </is>
      </c>
      <c r="BZ55" s="256" t="inlineStr">
        <is>
          <t>IPH — Institute of Public Health</t>
        </is>
      </c>
      <c r="CA55" s="256" t="inlineStr">
        <is>
          <t>Absent | Отсутна</t>
        </is>
      </c>
      <c r="CB55" s="256" t="inlineStr">
        <is>
          <t>136/0233/26</t>
        </is>
      </c>
      <c r="CC55" s="256" t="inlineStr">
        <is>
          <t>06.03.2026</t>
        </is>
      </c>
      <c r="CD55" s="256" t="inlineStr">
        <is>
          <t>IPH — Institute of Public Health</t>
        </is>
      </c>
      <c r="CE55" s="260" t="inlineStr">
        <is>
          <t>upon request — not required for release</t>
        </is>
      </c>
      <c r="CF55" s="256" t="inlineStr">
        <is>
          <t>—</t>
        </is>
      </c>
      <c r="CG55" s="256" t="inlineStr">
        <is>
          <t>—</t>
        </is>
      </c>
      <c r="CH55" s="256" t="inlineStr">
        <is>
          <t>—</t>
        </is>
      </c>
      <c r="CI55" s="260" t="inlineStr">
        <is>
          <t>upon request — not required for release</t>
        </is>
      </c>
      <c r="CJ55" s="256" t="inlineStr">
        <is>
          <t>—</t>
        </is>
      </c>
      <c r="CK55" s="256" t="inlineStr">
        <is>
          <t>—</t>
        </is>
      </c>
      <c r="CL55" s="256" t="inlineStr">
        <is>
          <t>—</t>
        </is>
      </c>
      <c r="CM55" s="259" t="inlineStr">
        <is>
          <t>not tested</t>
        </is>
      </c>
      <c r="CN55" s="256" t="inlineStr">
        <is>
          <t>—</t>
        </is>
      </c>
      <c r="CO55" s="256" t="inlineStr">
        <is>
          <t>—</t>
        </is>
      </c>
      <c r="CP55" s="256" t="inlineStr">
        <is>
          <t>—</t>
        </is>
      </c>
      <c r="CQ55" s="259" t="inlineStr">
        <is>
          <t>not tested</t>
        </is>
      </c>
      <c r="CR55" s="256" t="inlineStr">
        <is>
          <t>—</t>
        </is>
      </c>
      <c r="CS55" s="256" t="inlineStr">
        <is>
          <t>—</t>
        </is>
      </c>
      <c r="CT55" s="256" t="inlineStr">
        <is>
          <t>—</t>
        </is>
      </c>
      <c r="CU55" s="259" t="inlineStr">
        <is>
          <t>not tested</t>
        </is>
      </c>
      <c r="CV55" s="256" t="inlineStr">
        <is>
          <t>—</t>
        </is>
      </c>
      <c r="CW55" s="256" t="inlineStr">
        <is>
          <t>—</t>
        </is>
      </c>
      <c r="CX55" s="256" t="inlineStr">
        <is>
          <t>—</t>
        </is>
      </c>
      <c r="CY55" s="256" t="inlineStr">
        <is>
          <t>ND</t>
        </is>
      </c>
      <c r="CZ55" s="256" t="inlineStr">
        <is>
          <t>1060/2026</t>
        </is>
      </c>
      <c r="DA55" s="256" t="inlineStr">
        <is>
          <t>09.03.2026</t>
        </is>
      </c>
      <c r="DB55" s="256" t="inlineStr">
        <is>
          <t>IPH — Institute of Public Health</t>
        </is>
      </c>
      <c r="DC55" s="256" t="inlineStr">
        <is>
          <t>ND</t>
        </is>
      </c>
      <c r="DD55" s="256" t="inlineStr">
        <is>
          <t>1060/2026</t>
        </is>
      </c>
      <c r="DE55" s="256" t="inlineStr">
        <is>
          <t>09.03.2026</t>
        </is>
      </c>
      <c r="DF55" s="256" t="inlineStr">
        <is>
          <t>IPH — Institute of Public Health</t>
        </is>
      </c>
      <c r="DG55" s="256" t="inlineStr">
        <is>
          <t>0.0013</t>
        </is>
      </c>
      <c r="DH55" s="256" t="inlineStr">
        <is>
          <t>1060/2026</t>
        </is>
      </c>
      <c r="DI55" s="256" t="inlineStr">
        <is>
          <t>09.03.2026</t>
        </is>
      </c>
      <c r="DJ55" s="256" t="inlineStr">
        <is>
          <t>IPH — Institute of Public Health</t>
        </is>
      </c>
      <c r="DK55" s="256" t="inlineStr">
        <is>
          <t>ND</t>
        </is>
      </c>
      <c r="DL55" s="256" t="inlineStr">
        <is>
          <t>1060/2026</t>
        </is>
      </c>
      <c r="DM55" s="256" t="inlineStr">
        <is>
          <t>09.03.2026</t>
        </is>
      </c>
      <c r="DN55" s="256" t="inlineStr">
        <is>
          <t>IPH — Institute of Public Health</t>
        </is>
      </c>
      <c r="DO55" s="256" t="inlineStr">
        <is>
          <t>ND mg/kg — all 25 residues</t>
        </is>
      </c>
      <c r="DP55" s="256" t="inlineStr">
        <is>
          <t>1060/2026</t>
        </is>
      </c>
      <c r="DQ55" s="256" t="inlineStr">
        <is>
          <t>09.03.2026</t>
        </is>
      </c>
      <c r="DR55" s="256" t="inlineStr">
        <is>
          <t>IJZ</t>
        </is>
      </c>
    </row>
    <row r="56">
      <c r="A56" s="256" t="inlineStr">
        <is>
          <t>CoQ-PP_26-055</t>
        </is>
      </c>
      <c r="B56" s="256" t="inlineStr">
        <is>
          <t>release</t>
        </is>
      </c>
      <c r="C56" s="256" t="inlineStr">
        <is>
          <t>issuable</t>
        </is>
      </c>
      <c r="D56" s="256" t="inlineStr">
        <is>
          <t>06.06.2026</t>
        </is>
      </c>
      <c r="E56" s="256" t="inlineStr">
        <is>
          <t>n/a — release certificate</t>
        </is>
      </c>
      <c r="F56" s="256" t="inlineStr">
        <is>
          <t>(assigned on issue)</t>
        </is>
      </c>
      <c r="G56" s="256" t="inlineStr">
        <is>
          <t>SJ112501</t>
        </is>
      </c>
      <c r="H56" s="256" t="inlineStr">
        <is>
          <t>— no P lot assigned —</t>
        </is>
      </c>
      <c r="I56" s="256" t="inlineStr">
        <is>
          <t>Sleepy Joe</t>
        </is>
      </c>
      <c r="J56" s="256" t="inlineStr">
        <is>
          <t>26.01.2026 – 27.01.2026</t>
        </is>
      </c>
      <c r="K56" s="256" t="inlineStr">
        <is>
          <t>31.03.2026</t>
        </is>
      </c>
      <c r="L56" s="256" t="inlineStr">
        <is>
          <t>—</t>
        </is>
      </c>
      <c r="M56" s="256" t="inlineStr">
        <is>
          <t>—</t>
        </is>
      </c>
      <c r="N56" s="256" t="inlineStr">
        <is>
          <t>iCoA-PP_26-058</t>
        </is>
      </c>
      <c r="O56" s="256" t="inlineStr">
        <is>
          <t>03.06.2026</t>
        </is>
      </c>
      <c r="P56" s="256" t="inlineStr">
        <is>
          <t>31.03.2026</t>
        </is>
      </c>
      <c r="Q56" s="256" t="inlineStr">
        <is>
          <t>—</t>
        </is>
      </c>
      <c r="R56" s="256" t="inlineStr">
        <is>
          <t>9.20</t>
        </is>
      </c>
      <c r="S56" s="256" t="inlineStr">
        <is>
          <t>051-2-К/26</t>
        </is>
      </c>
      <c r="T56" s="256" t="inlineStr">
        <is>
          <t>II</t>
        </is>
      </c>
      <c r="U56" s="256" t="inlineStr">
        <is>
          <t>9.00 – 10.99 %</t>
        </is>
      </c>
      <c r="V56" s="256" t="inlineStr">
        <is>
          <t>SJ_THC10 : CBD1</t>
        </is>
      </c>
      <c r="W56" s="256" t="inlineStr">
        <is>
          <t>QCSP_001_SJ-II_v.01</t>
        </is>
      </c>
      <c r="X56" s="256" t="inlineStr">
        <is>
          <t>for review — replaces the issued QCSP_001_SJ-II_v.01 (was SJ_THC10 : CBD1, 9.00 – 11.00 %); now SJ_THC10 : CBD1 9.00 – 10.99 %</t>
        </is>
      </c>
      <c r="Y56" s="256" t="inlineStr">
        <is>
          <t>HYBRID</t>
        </is>
      </c>
      <c r="Z56" s="256" t="inlineStr">
        <is>
          <t>THC</t>
        </is>
      </c>
      <c r="AA56" s="256" t="inlineStr">
        <is>
          <t>MACHINE TRIMMED</t>
        </is>
      </c>
      <c r="AB56" s="256" t="inlineStr">
        <is>
          <t>TO BE DETERMINED</t>
        </is>
      </c>
      <c r="AC56" s="256" t="inlineStr">
        <is>
          <t>Triplex Alu Bag | Триплекс Aлу Kеса, PET 12 · ALU 7 · PE 80, 300 × 500 mm, net. 400.0 g ±3%</t>
        </is>
      </c>
      <c r="AD56" s="256" t="inlineStr">
        <is>
          <t>04.03.2026</t>
        </is>
      </c>
      <c r="AE56" s="256" t="inlineStr">
        <is>
          <t>Conforms | Одговара</t>
        </is>
      </c>
      <c r="AF56" s="256" t="inlineStr">
        <is>
          <t>iCoA-PP_26-058</t>
        </is>
      </c>
      <c r="AG56" s="256" t="inlineStr">
        <is>
          <t>03.06.2026</t>
        </is>
      </c>
      <c r="AH56" s="256" t="inlineStr">
        <is>
          <t>Purely Plant GmbH (in-house)</t>
        </is>
      </c>
      <c r="AI56" s="256" t="inlineStr">
        <is>
          <t>Conforms | Одговара</t>
        </is>
      </c>
      <c r="AJ56" s="256" t="inlineStr">
        <is>
          <t>iCoA-PP_26-058</t>
        </is>
      </c>
      <c r="AK56" s="256" t="inlineStr">
        <is>
          <t>03.06.2026</t>
        </is>
      </c>
      <c r="AL56" s="256" t="inlineStr">
        <is>
          <t>Purely Plant GmbH (in-house)</t>
        </is>
      </c>
      <c r="AM56" s="256" t="inlineStr">
        <is>
          <t>Conforms | Одговара</t>
        </is>
      </c>
      <c r="AN56" s="256" t="inlineStr">
        <is>
          <t>051-2-К/26</t>
        </is>
      </c>
      <c r="AO56" s="256" t="inlineStr">
        <is>
          <t>04.03.2026</t>
        </is>
      </c>
      <c r="AP56" s="256" t="inlineStr">
        <is>
          <t>Farmahem</t>
        </is>
      </c>
      <c r="AQ56" s="256" t="inlineStr">
        <is>
          <t>9.20</t>
        </is>
      </c>
      <c r="AR56" s="256" t="inlineStr">
        <is>
          <t>051-2-К/26</t>
        </is>
      </c>
      <c r="AS56" s="256" t="inlineStr">
        <is>
          <t>04.03.2026</t>
        </is>
      </c>
      <c r="AT56" s="256" t="inlineStr">
        <is>
          <t>Farmahem</t>
        </is>
      </c>
      <c r="AU56" s="256" t="inlineStr">
        <is>
          <t>&lt; LOQ (&lt;0.20)</t>
        </is>
      </c>
      <c r="AV56" s="256" t="inlineStr">
        <is>
          <t>051-2-К/26</t>
        </is>
      </c>
      <c r="AW56" s="256" t="inlineStr">
        <is>
          <t>04.03.2026</t>
        </is>
      </c>
      <c r="AX56" s="256" t="inlineStr">
        <is>
          <t>Farmahem</t>
        </is>
      </c>
      <c r="AY56" s="256" t="inlineStr">
        <is>
          <t>&lt; LOQ</t>
        </is>
      </c>
      <c r="AZ56" s="256" t="inlineStr">
        <is>
          <t>051-2-К/26</t>
        </is>
      </c>
      <c r="BA56" s="256" t="inlineStr">
        <is>
          <t>04.03.2026</t>
        </is>
      </c>
      <c r="BB56" s="256" t="inlineStr">
        <is>
          <t>Farmahem</t>
        </is>
      </c>
      <c r="BC56" s="256" t="inlineStr">
        <is>
          <t>Conforms | Одговара</t>
        </is>
      </c>
      <c r="BD56" s="256" t="inlineStr">
        <is>
          <t>iCoA-PP_26-058</t>
        </is>
      </c>
      <c r="BE56" s="256" t="inlineStr">
        <is>
          <t>03.06.2026</t>
        </is>
      </c>
      <c r="BF56" s="256" t="inlineStr">
        <is>
          <t>Purely Plant GmbH (in-house)</t>
        </is>
      </c>
      <c r="BG56" s="256" t="inlineStr">
        <is>
          <t>6.7</t>
        </is>
      </c>
      <c r="BH56" s="256" t="inlineStr">
        <is>
          <t>051-2-ГС/26</t>
        </is>
      </c>
      <c r="BI56" s="256" t="inlineStr">
        <is>
          <t>02.03.2026</t>
        </is>
      </c>
      <c r="BJ56" s="256" t="inlineStr">
        <is>
          <t>Farmahem</t>
        </is>
      </c>
      <c r="BK56" s="259" t="inlineStr">
        <is>
          <t>not tested</t>
        </is>
      </c>
      <c r="BL56" s="256" t="inlineStr">
        <is>
          <t>—</t>
        </is>
      </c>
      <c r="BM56" s="256" t="inlineStr">
        <is>
          <t>—</t>
        </is>
      </c>
      <c r="BN56" s="256" t="inlineStr">
        <is>
          <t>—</t>
        </is>
      </c>
      <c r="BO56" s="259" t="inlineStr">
        <is>
          <t>not tested</t>
        </is>
      </c>
      <c r="BP56" s="256" t="inlineStr">
        <is>
          <t>—</t>
        </is>
      </c>
      <c r="BQ56" s="256" t="inlineStr">
        <is>
          <t>—</t>
        </is>
      </c>
      <c r="BR56" s="256" t="inlineStr">
        <is>
          <t>—</t>
        </is>
      </c>
      <c r="BS56" s="259" t="inlineStr">
        <is>
          <t>not tested</t>
        </is>
      </c>
      <c r="BT56" s="256" t="inlineStr">
        <is>
          <t>—</t>
        </is>
      </c>
      <c r="BU56" s="256" t="inlineStr">
        <is>
          <t>—</t>
        </is>
      </c>
      <c r="BV56" s="256" t="inlineStr">
        <is>
          <t>—</t>
        </is>
      </c>
      <c r="BW56" s="259" t="inlineStr">
        <is>
          <t>not tested</t>
        </is>
      </c>
      <c r="BX56" s="256" t="inlineStr">
        <is>
          <t>—</t>
        </is>
      </c>
      <c r="BY56" s="256" t="inlineStr">
        <is>
          <t>—</t>
        </is>
      </c>
      <c r="BZ56" s="256" t="inlineStr">
        <is>
          <t>—</t>
        </is>
      </c>
      <c r="CA56" s="259" t="inlineStr">
        <is>
          <t>not tested</t>
        </is>
      </c>
      <c r="CB56" s="256" t="inlineStr">
        <is>
          <t>—</t>
        </is>
      </c>
      <c r="CC56" s="256" t="inlineStr">
        <is>
          <t>—</t>
        </is>
      </c>
      <c r="CD56" s="256" t="inlineStr">
        <is>
          <t>—</t>
        </is>
      </c>
      <c r="CE56" s="260" t="inlineStr">
        <is>
          <t>upon request — not required for release</t>
        </is>
      </c>
      <c r="CF56" s="256" t="inlineStr">
        <is>
          <t>—</t>
        </is>
      </c>
      <c r="CG56" s="256" t="inlineStr">
        <is>
          <t>—</t>
        </is>
      </c>
      <c r="CH56" s="256" t="inlineStr">
        <is>
          <t>—</t>
        </is>
      </c>
      <c r="CI56" s="260" t="inlineStr">
        <is>
          <t>upon request — not required for release</t>
        </is>
      </c>
      <c r="CJ56" s="256" t="inlineStr">
        <is>
          <t>—</t>
        </is>
      </c>
      <c r="CK56" s="256" t="inlineStr">
        <is>
          <t>—</t>
        </is>
      </c>
      <c r="CL56" s="256" t="inlineStr">
        <is>
          <t>—</t>
        </is>
      </c>
      <c r="CM56" s="259" t="inlineStr">
        <is>
          <t>not tested</t>
        </is>
      </c>
      <c r="CN56" s="256" t="inlineStr">
        <is>
          <t>—</t>
        </is>
      </c>
      <c r="CO56" s="256" t="inlineStr">
        <is>
          <t>—</t>
        </is>
      </c>
      <c r="CP56" s="256" t="inlineStr">
        <is>
          <t>—</t>
        </is>
      </c>
      <c r="CQ56" s="259" t="inlineStr">
        <is>
          <t>not tested</t>
        </is>
      </c>
      <c r="CR56" s="256" t="inlineStr">
        <is>
          <t>—</t>
        </is>
      </c>
      <c r="CS56" s="256" t="inlineStr">
        <is>
          <t>—</t>
        </is>
      </c>
      <c r="CT56" s="256" t="inlineStr">
        <is>
          <t>—</t>
        </is>
      </c>
      <c r="CU56" s="259" t="inlineStr">
        <is>
          <t>not tested</t>
        </is>
      </c>
      <c r="CV56" s="256" t="inlineStr">
        <is>
          <t>—</t>
        </is>
      </c>
      <c r="CW56" s="256" t="inlineStr">
        <is>
          <t>—</t>
        </is>
      </c>
      <c r="CX56" s="256" t="inlineStr">
        <is>
          <t>—</t>
        </is>
      </c>
      <c r="CY56" s="259" t="inlineStr">
        <is>
          <t>not tested</t>
        </is>
      </c>
      <c r="CZ56" s="256" t="inlineStr">
        <is>
          <t>—</t>
        </is>
      </c>
      <c r="DA56" s="256" t="inlineStr">
        <is>
          <t>—</t>
        </is>
      </c>
      <c r="DB56" s="256" t="inlineStr">
        <is>
          <t>—</t>
        </is>
      </c>
      <c r="DC56" s="259" t="inlineStr">
        <is>
          <t>not tested</t>
        </is>
      </c>
      <c r="DD56" s="256" t="inlineStr">
        <is>
          <t>—</t>
        </is>
      </c>
      <c r="DE56" s="256" t="inlineStr">
        <is>
          <t>—</t>
        </is>
      </c>
      <c r="DF56" s="256" t="inlineStr">
        <is>
          <t>—</t>
        </is>
      </c>
      <c r="DG56" s="259" t="inlineStr">
        <is>
          <t>not tested</t>
        </is>
      </c>
      <c r="DH56" s="256" t="inlineStr">
        <is>
          <t>—</t>
        </is>
      </c>
      <c r="DI56" s="256" t="inlineStr">
        <is>
          <t>—</t>
        </is>
      </c>
      <c r="DJ56" s="256" t="inlineStr">
        <is>
          <t>—</t>
        </is>
      </c>
      <c r="DK56" s="259" t="inlineStr">
        <is>
          <t>not tested</t>
        </is>
      </c>
      <c r="DL56" s="256" t="inlineStr">
        <is>
          <t>—</t>
        </is>
      </c>
      <c r="DM56" s="256" t="inlineStr">
        <is>
          <t>—</t>
        </is>
      </c>
      <c r="DN56" s="256" t="inlineStr">
        <is>
          <t>—</t>
        </is>
      </c>
      <c r="DO56" s="259" t="inlineStr">
        <is>
          <t>not tested</t>
        </is>
      </c>
      <c r="DP56" s="256" t="inlineStr">
        <is>
          <t>—</t>
        </is>
      </c>
      <c r="DQ56" s="256" t="inlineStr">
        <is>
          <t>—</t>
        </is>
      </c>
      <c r="DR56" s="256" t="inlineStr">
        <is>
          <t>—</t>
        </is>
      </c>
    </row>
    <row r="57">
      <c r="A57" s="256" t="inlineStr">
        <is>
          <t>CoQ-PP_26-056</t>
        </is>
      </c>
      <c r="B57" s="256" t="inlineStr">
        <is>
          <t>release</t>
        </is>
      </c>
      <c r="C57" s="256" t="inlineStr">
        <is>
          <t>issuable</t>
        </is>
      </c>
      <c r="D57" s="256" t="inlineStr">
        <is>
          <t>06.06.2026</t>
        </is>
      </c>
      <c r="E57" s="256" t="inlineStr">
        <is>
          <t>n/a — release certificate</t>
        </is>
      </c>
      <c r="F57" s="256" t="inlineStr">
        <is>
          <t>(assigned on issue)</t>
        </is>
      </c>
      <c r="G57" s="256" t="inlineStr">
        <is>
          <t>J31112501</t>
        </is>
      </c>
      <c r="H57" s="256" t="inlineStr">
        <is>
          <t>— no P lot assigned —</t>
        </is>
      </c>
      <c r="I57" s="256" t="inlineStr">
        <is>
          <t>Jokerz 31</t>
        </is>
      </c>
      <c r="J57" s="256" t="inlineStr">
        <is>
          <t>26.01.2026</t>
        </is>
      </c>
      <c r="K57" s="256" t="inlineStr">
        <is>
          <t>17.04.2026</t>
        </is>
      </c>
      <c r="L57" s="256" t="inlineStr">
        <is>
          <t>—</t>
        </is>
      </c>
      <c r="M57" s="256" t="inlineStr">
        <is>
          <t>—</t>
        </is>
      </c>
      <c r="N57" s="256" t="inlineStr">
        <is>
          <t>iCoA-PP_26-059</t>
        </is>
      </c>
      <c r="O57" s="256" t="inlineStr">
        <is>
          <t>03.06.2026</t>
        </is>
      </c>
      <c r="P57" s="256" t="inlineStr">
        <is>
          <t>17.04.2026</t>
        </is>
      </c>
      <c r="Q57" s="256" t="inlineStr">
        <is>
          <t>—</t>
        </is>
      </c>
      <c r="R57" s="256" t="inlineStr">
        <is>
          <t>25.27</t>
        </is>
      </c>
      <c r="S57" s="256" t="inlineStr">
        <is>
          <t>051-5-К/26</t>
        </is>
      </c>
      <c r="T57" s="256" t="inlineStr">
        <is>
          <t>I</t>
        </is>
      </c>
      <c r="U57" s="256" t="inlineStr">
        <is>
          <t>24.20 – 27.79 %</t>
        </is>
      </c>
      <c r="V57" s="256" t="inlineStr">
        <is>
          <t>J31_THC26 : CBD1</t>
        </is>
      </c>
      <c r="W57" s="256" t="inlineStr">
        <is>
          <t>QCSP_001_J31-I_v.01</t>
        </is>
      </c>
      <c r="X57" s="256" t="inlineStr">
        <is>
          <t>for review — replaces the issued QCSP_001_J31-I_v.01 (was J31_THC27:CBD1, 27.00% ± 3.25%); now J31_THC26 : CBD1 24.20 – 27.79 %</t>
        </is>
      </c>
      <c r="Y57" s="256" t="inlineStr">
        <is>
          <t>HYBRID</t>
        </is>
      </c>
      <c r="Z57" s="256" t="inlineStr">
        <is>
          <t>THC</t>
        </is>
      </c>
      <c r="AA57" s="256" t="inlineStr">
        <is>
          <t>MACHINE TRIMMED</t>
        </is>
      </c>
      <c r="AB57" s="256" t="inlineStr">
        <is>
          <t>INDICA 70 : SATIVA 30</t>
        </is>
      </c>
      <c r="AC57" s="256" t="inlineStr">
        <is>
          <t>Triplex Alu Bag | Триплекс Aлу Kеса, PET 12 · ALU 7 · PE 80, 300 × 500 mm, net. 400.0 g ±3%</t>
        </is>
      </c>
      <c r="AD57" s="256" t="inlineStr">
        <is>
          <t>04.03.2026</t>
        </is>
      </c>
      <c r="AE57" s="256" t="inlineStr">
        <is>
          <t>Conforms | Одговара</t>
        </is>
      </c>
      <c r="AF57" s="256" t="inlineStr">
        <is>
          <t>iCoA-PP_26-059</t>
        </is>
      </c>
      <c r="AG57" s="256" t="inlineStr">
        <is>
          <t>03.06.2026</t>
        </is>
      </c>
      <c r="AH57" s="256" t="inlineStr">
        <is>
          <t>Purely Plant GmbH (in-house)</t>
        </is>
      </c>
      <c r="AI57" s="256" t="inlineStr">
        <is>
          <t>Conforms | Одговара</t>
        </is>
      </c>
      <c r="AJ57" s="256" t="inlineStr">
        <is>
          <t>iCoA-PP_26-059</t>
        </is>
      </c>
      <c r="AK57" s="256" t="inlineStr">
        <is>
          <t>03.06.2026</t>
        </is>
      </c>
      <c r="AL57" s="256" t="inlineStr">
        <is>
          <t>Purely Plant GmbH (in-house)</t>
        </is>
      </c>
      <c r="AM57" s="256" t="inlineStr">
        <is>
          <t>Conforms | Одговара</t>
        </is>
      </c>
      <c r="AN57" s="256" t="inlineStr">
        <is>
          <t>051-5-К/26</t>
        </is>
      </c>
      <c r="AO57" s="256" t="inlineStr">
        <is>
          <t>04.03.2026</t>
        </is>
      </c>
      <c r="AP57" s="256" t="inlineStr">
        <is>
          <t>Farmahem</t>
        </is>
      </c>
      <c r="AQ57" s="256" t="inlineStr">
        <is>
          <t>25.27</t>
        </is>
      </c>
      <c r="AR57" s="256" t="inlineStr">
        <is>
          <t>051-5-К/26</t>
        </is>
      </c>
      <c r="AS57" s="256" t="inlineStr">
        <is>
          <t>04.03.2026</t>
        </is>
      </c>
      <c r="AT57" s="256" t="inlineStr">
        <is>
          <t>Farmahem</t>
        </is>
      </c>
      <c r="AU57" s="256" t="inlineStr">
        <is>
          <t>&lt; LOQ (&lt;0.20)</t>
        </is>
      </c>
      <c r="AV57" s="256" t="inlineStr">
        <is>
          <t>051-5-К/26</t>
        </is>
      </c>
      <c r="AW57" s="256" t="inlineStr">
        <is>
          <t>04.03.2026</t>
        </is>
      </c>
      <c r="AX57" s="256" t="inlineStr">
        <is>
          <t>Farmahem</t>
        </is>
      </c>
      <c r="AY57" s="256" t="inlineStr">
        <is>
          <t>&lt; LOQ</t>
        </is>
      </c>
      <c r="AZ57" s="256" t="inlineStr">
        <is>
          <t>051-5-К/26</t>
        </is>
      </c>
      <c r="BA57" s="256" t="inlineStr">
        <is>
          <t>04.03.2026</t>
        </is>
      </c>
      <c r="BB57" s="256" t="inlineStr">
        <is>
          <t>Farmahem</t>
        </is>
      </c>
      <c r="BC57" s="256" t="inlineStr">
        <is>
          <t>Conforms | Одговара</t>
        </is>
      </c>
      <c r="BD57" s="256" t="inlineStr">
        <is>
          <t>iCoA-PP_26-059</t>
        </is>
      </c>
      <c r="BE57" s="256" t="inlineStr">
        <is>
          <t>03.06.2026</t>
        </is>
      </c>
      <c r="BF57" s="256" t="inlineStr">
        <is>
          <t>Purely Plant GmbH (in-house)</t>
        </is>
      </c>
      <c r="BG57" s="256" t="inlineStr">
        <is>
          <t>8.4</t>
        </is>
      </c>
      <c r="BH57" s="256" t="inlineStr">
        <is>
          <t>051-5-ГС/26</t>
        </is>
      </c>
      <c r="BI57" s="256" t="inlineStr">
        <is>
          <t>02.03.2026</t>
        </is>
      </c>
      <c r="BJ57" s="256" t="inlineStr">
        <is>
          <t>Farmahem</t>
        </is>
      </c>
      <c r="BK57" s="259" t="inlineStr">
        <is>
          <t>not tested</t>
        </is>
      </c>
      <c r="BL57" s="256" t="inlineStr">
        <is>
          <t>—</t>
        </is>
      </c>
      <c r="BM57" s="256" t="inlineStr">
        <is>
          <t>—</t>
        </is>
      </c>
      <c r="BN57" s="256" t="inlineStr">
        <is>
          <t>—</t>
        </is>
      </c>
      <c r="BO57" s="259" t="inlineStr">
        <is>
          <t>not tested</t>
        </is>
      </c>
      <c r="BP57" s="256" t="inlineStr">
        <is>
          <t>—</t>
        </is>
      </c>
      <c r="BQ57" s="256" t="inlineStr">
        <is>
          <t>—</t>
        </is>
      </c>
      <c r="BR57" s="256" t="inlineStr">
        <is>
          <t>—</t>
        </is>
      </c>
      <c r="BS57" s="259" t="inlineStr">
        <is>
          <t>not tested</t>
        </is>
      </c>
      <c r="BT57" s="256" t="inlineStr">
        <is>
          <t>—</t>
        </is>
      </c>
      <c r="BU57" s="256" t="inlineStr">
        <is>
          <t>—</t>
        </is>
      </c>
      <c r="BV57" s="256" t="inlineStr">
        <is>
          <t>—</t>
        </is>
      </c>
      <c r="BW57" s="259" t="inlineStr">
        <is>
          <t>not tested</t>
        </is>
      </c>
      <c r="BX57" s="256" t="inlineStr">
        <is>
          <t>—</t>
        </is>
      </c>
      <c r="BY57" s="256" t="inlineStr">
        <is>
          <t>—</t>
        </is>
      </c>
      <c r="BZ57" s="256" t="inlineStr">
        <is>
          <t>—</t>
        </is>
      </c>
      <c r="CA57" s="259" t="inlineStr">
        <is>
          <t>not tested</t>
        </is>
      </c>
      <c r="CB57" s="256" t="inlineStr">
        <is>
          <t>—</t>
        </is>
      </c>
      <c r="CC57" s="256" t="inlineStr">
        <is>
          <t>—</t>
        </is>
      </c>
      <c r="CD57" s="256" t="inlineStr">
        <is>
          <t>—</t>
        </is>
      </c>
      <c r="CE57" s="260" t="inlineStr">
        <is>
          <t>upon request — not required for release</t>
        </is>
      </c>
      <c r="CF57" s="256" t="inlineStr">
        <is>
          <t>—</t>
        </is>
      </c>
      <c r="CG57" s="256" t="inlineStr">
        <is>
          <t>—</t>
        </is>
      </c>
      <c r="CH57" s="256" t="inlineStr">
        <is>
          <t>—</t>
        </is>
      </c>
      <c r="CI57" s="260" t="inlineStr">
        <is>
          <t>upon request — not required for release</t>
        </is>
      </c>
      <c r="CJ57" s="256" t="inlineStr">
        <is>
          <t>—</t>
        </is>
      </c>
      <c r="CK57" s="256" t="inlineStr">
        <is>
          <t>—</t>
        </is>
      </c>
      <c r="CL57" s="256" t="inlineStr">
        <is>
          <t>—</t>
        </is>
      </c>
      <c r="CM57" s="259" t="inlineStr">
        <is>
          <t>not tested</t>
        </is>
      </c>
      <c r="CN57" s="256" t="inlineStr">
        <is>
          <t>—</t>
        </is>
      </c>
      <c r="CO57" s="256" t="inlineStr">
        <is>
          <t>—</t>
        </is>
      </c>
      <c r="CP57" s="256" t="inlineStr">
        <is>
          <t>—</t>
        </is>
      </c>
      <c r="CQ57" s="259" t="inlineStr">
        <is>
          <t>not tested</t>
        </is>
      </c>
      <c r="CR57" s="256" t="inlineStr">
        <is>
          <t>—</t>
        </is>
      </c>
      <c r="CS57" s="256" t="inlineStr">
        <is>
          <t>—</t>
        </is>
      </c>
      <c r="CT57" s="256" t="inlineStr">
        <is>
          <t>—</t>
        </is>
      </c>
      <c r="CU57" s="259" t="inlineStr">
        <is>
          <t>not tested</t>
        </is>
      </c>
      <c r="CV57" s="256" t="inlineStr">
        <is>
          <t>—</t>
        </is>
      </c>
      <c r="CW57" s="256" t="inlineStr">
        <is>
          <t>—</t>
        </is>
      </c>
      <c r="CX57" s="256" t="inlineStr">
        <is>
          <t>—</t>
        </is>
      </c>
      <c r="CY57" s="259" t="inlineStr">
        <is>
          <t>not tested</t>
        </is>
      </c>
      <c r="CZ57" s="256" t="inlineStr">
        <is>
          <t>—</t>
        </is>
      </c>
      <c r="DA57" s="256" t="inlineStr">
        <is>
          <t>—</t>
        </is>
      </c>
      <c r="DB57" s="256" t="inlineStr">
        <is>
          <t>—</t>
        </is>
      </c>
      <c r="DC57" s="259" t="inlineStr">
        <is>
          <t>not tested</t>
        </is>
      </c>
      <c r="DD57" s="256" t="inlineStr">
        <is>
          <t>—</t>
        </is>
      </c>
      <c r="DE57" s="256" t="inlineStr">
        <is>
          <t>—</t>
        </is>
      </c>
      <c r="DF57" s="256" t="inlineStr">
        <is>
          <t>—</t>
        </is>
      </c>
      <c r="DG57" s="259" t="inlineStr">
        <is>
          <t>not tested</t>
        </is>
      </c>
      <c r="DH57" s="256" t="inlineStr">
        <is>
          <t>—</t>
        </is>
      </c>
      <c r="DI57" s="256" t="inlineStr">
        <is>
          <t>—</t>
        </is>
      </c>
      <c r="DJ57" s="256" t="inlineStr">
        <is>
          <t>—</t>
        </is>
      </c>
      <c r="DK57" s="259" t="inlineStr">
        <is>
          <t>not tested</t>
        </is>
      </c>
      <c r="DL57" s="256" t="inlineStr">
        <is>
          <t>—</t>
        </is>
      </c>
      <c r="DM57" s="256" t="inlineStr">
        <is>
          <t>—</t>
        </is>
      </c>
      <c r="DN57" s="256" t="inlineStr">
        <is>
          <t>—</t>
        </is>
      </c>
      <c r="DO57" s="259" t="inlineStr">
        <is>
          <t>not tested</t>
        </is>
      </c>
      <c r="DP57" s="256" t="inlineStr">
        <is>
          <t>—</t>
        </is>
      </c>
      <c r="DQ57" s="256" t="inlineStr">
        <is>
          <t>—</t>
        </is>
      </c>
      <c r="DR57" s="256" t="inlineStr">
        <is>
          <t>—</t>
        </is>
      </c>
    </row>
    <row r="58">
      <c r="A58" s="256" t="inlineStr">
        <is>
          <t>CoQ-PP_26-057</t>
        </is>
      </c>
      <c r="B58" s="256" t="inlineStr">
        <is>
          <t>release</t>
        </is>
      </c>
      <c r="C58" s="256" t="inlineStr">
        <is>
          <t>issuable</t>
        </is>
      </c>
      <c r="D58" s="256" t="inlineStr">
        <is>
          <t>06.06.2026</t>
        </is>
      </c>
      <c r="E58" s="256" t="inlineStr">
        <is>
          <t>n/a — release certificate</t>
        </is>
      </c>
      <c r="F58" s="256" t="inlineStr">
        <is>
          <t>CoQ-PP-2026-0015</t>
        </is>
      </c>
      <c r="G58" s="256" t="inlineStr">
        <is>
          <t>JD112501</t>
        </is>
      </c>
      <c r="H58" s="256" t="inlineStr">
        <is>
          <t>P060212</t>
        </is>
      </c>
      <c r="I58" s="256" t="inlineStr">
        <is>
          <t>Jelly Donuts</t>
        </is>
      </c>
      <c r="J58" s="256" t="inlineStr">
        <is>
          <t>25.03.2026</t>
        </is>
      </c>
      <c r="K58" s="256" t="inlineStr">
        <is>
          <t>21.04.2026</t>
        </is>
      </c>
      <c r="L58" s="256" t="inlineStr">
        <is>
          <t>25.03.2026</t>
        </is>
      </c>
      <c r="M58" s="256" t="inlineStr">
        <is>
          <t>21.04.2026</t>
        </is>
      </c>
      <c r="N58" s="256" t="inlineStr">
        <is>
          <t>iCoA-PP_26-060</t>
        </is>
      </c>
      <c r="O58" s="256" t="inlineStr">
        <is>
          <t>03.06.2026</t>
        </is>
      </c>
      <c r="P58" s="256" t="inlineStr">
        <is>
          <t>21.04.2026</t>
        </is>
      </c>
      <c r="Q58" s="256" t="inlineStr">
        <is>
          <t>—</t>
        </is>
      </c>
      <c r="R58" s="256" t="inlineStr">
        <is>
          <t>19.64</t>
        </is>
      </c>
      <c r="S58" s="256" t="inlineStr">
        <is>
          <t>ППК26063</t>
        </is>
      </c>
      <c r="T58" s="256" t="inlineStr">
        <is>
          <t>II</t>
        </is>
      </c>
      <c r="U58" s="256" t="inlineStr">
        <is>
          <t>16.20 – 19.79 %</t>
        </is>
      </c>
      <c r="V58" s="256" t="inlineStr">
        <is>
          <t>JD_THC18 : CBD1</t>
        </is>
      </c>
      <c r="W58" s="256" t="inlineStr">
        <is>
          <t>QCSP_001_JD-II_v.01</t>
        </is>
      </c>
      <c r="X58" s="256" t="inlineStr">
        <is>
          <t>for review — replaces the issued QCSP_001_JD-II_v.01 (was JD_THC16 : CBD1, 14.91 – 17.09 %); now JD_THC18 : CBD1 16.20 – 19.79 %</t>
        </is>
      </c>
      <c r="Y58" s="256" t="inlineStr">
        <is>
          <t>HYBRID</t>
        </is>
      </c>
      <c r="Z58" s="256" t="inlineStr">
        <is>
          <t>THC</t>
        </is>
      </c>
      <c r="AA58" s="256" t="inlineStr">
        <is>
          <t>MACHINE TRIMMED</t>
        </is>
      </c>
      <c r="AB58" s="256" t="inlineStr">
        <is>
          <t>SATIVA 60 : INDICA 40</t>
        </is>
      </c>
      <c r="AC58" s="256" t="inlineStr">
        <is>
          <t>Triplex Alu Bag | Триплекс Aлу Kеса, PET 12 · ALU 7 · PE 80, 300 × 500 mm, net. 400.0 g ±3%</t>
        </is>
      </c>
      <c r="AD58" s="256" t="inlineStr">
        <is>
          <t>11.05.2026</t>
        </is>
      </c>
      <c r="AE58" s="256" t="inlineStr">
        <is>
          <t>Conforms | Одговара</t>
        </is>
      </c>
      <c r="AF58" s="256" t="inlineStr">
        <is>
          <t>iCoA-PP_26-060</t>
        </is>
      </c>
      <c r="AG58" s="256" t="inlineStr">
        <is>
          <t>03.06.2026</t>
        </is>
      </c>
      <c r="AH58" s="256" t="inlineStr">
        <is>
          <t>Purely Plant GmbH (in-house)</t>
        </is>
      </c>
      <c r="AI58" s="256" t="inlineStr">
        <is>
          <t>Conforms | Одговара</t>
        </is>
      </c>
      <c r="AJ58" s="256" t="inlineStr">
        <is>
          <t>iCoA-PP_26-060</t>
        </is>
      </c>
      <c r="AK58" s="256" t="inlineStr">
        <is>
          <t>03.06.2026</t>
        </is>
      </c>
      <c r="AL58" s="256" t="inlineStr">
        <is>
          <t>Purely Plant GmbH (in-house)</t>
        </is>
      </c>
      <c r="AM58" s="256" t="inlineStr">
        <is>
          <t>Conforms | Одговара</t>
        </is>
      </c>
      <c r="AN58" s="256" t="inlineStr">
        <is>
          <t>ППК26063</t>
        </is>
      </c>
      <c r="AO58" s="256" t="inlineStr">
        <is>
          <t>11.05.2026</t>
        </is>
      </c>
      <c r="AP58" s="256" t="inlineStr">
        <is>
          <t>UKIM Faculty of Pharmacy — Center for Natural Products</t>
        </is>
      </c>
      <c r="AQ58" s="256" t="inlineStr">
        <is>
          <t>19.64</t>
        </is>
      </c>
      <c r="AR58" s="256" t="inlineStr">
        <is>
          <t>ППК26063</t>
        </is>
      </c>
      <c r="AS58" s="256" t="inlineStr">
        <is>
          <t>11.05.2026</t>
        </is>
      </c>
      <c r="AT58" s="256" t="inlineStr">
        <is>
          <t>UKIM Faculty of Pharmacy — Center for Natural Products</t>
        </is>
      </c>
      <c r="AU58" s="256" t="inlineStr">
        <is>
          <t>0.06</t>
        </is>
      </c>
      <c r="AV58" s="256" t="inlineStr">
        <is>
          <t>ППК26063</t>
        </is>
      </c>
      <c r="AW58" s="256" t="inlineStr">
        <is>
          <t>11.05.2026</t>
        </is>
      </c>
      <c r="AX58" s="256" t="inlineStr">
        <is>
          <t>UKIM Faculty of Pharmacy — Center for Natural Products</t>
        </is>
      </c>
      <c r="AY58" s="256" t="inlineStr">
        <is>
          <t>&lt; LOQ %</t>
        </is>
      </c>
      <c r="AZ58" s="256" t="inlineStr">
        <is>
          <t>ППК26063</t>
        </is>
      </c>
      <c r="BA58" s="256" t="inlineStr">
        <is>
          <t>11.05.2026</t>
        </is>
      </c>
      <c r="BB58" s="256" t="inlineStr">
        <is>
          <t>CNP</t>
        </is>
      </c>
      <c r="BC58" s="256" t="inlineStr">
        <is>
          <t>Conforms | Одговара</t>
        </is>
      </c>
      <c r="BD58" s="256" t="inlineStr">
        <is>
          <t>iCoA-PP_26-060</t>
        </is>
      </c>
      <c r="BE58" s="256" t="inlineStr">
        <is>
          <t>03.06.2026</t>
        </is>
      </c>
      <c r="BF58" s="256" t="inlineStr">
        <is>
          <t>Purely Plant GmbH (in-house)</t>
        </is>
      </c>
      <c r="BG58" s="256" t="inlineStr">
        <is>
          <t>6.69</t>
        </is>
      </c>
      <c r="BH58" s="256" t="inlineStr">
        <is>
          <t>ППК26063</t>
        </is>
      </c>
      <c r="BI58" s="256" t="inlineStr">
        <is>
          <t>11.05.2026</t>
        </is>
      </c>
      <c r="BJ58" s="256" t="inlineStr">
        <is>
          <t>UKIM Faculty of Pharmacy — Center for Natural Products</t>
        </is>
      </c>
      <c r="BK58" s="256" t="inlineStr">
        <is>
          <t>2,6 × 10³</t>
        </is>
      </c>
      <c r="BL58" s="256" t="inlineStr">
        <is>
          <t>307/0551/26</t>
        </is>
      </c>
      <c r="BM58" s="256" t="inlineStr">
        <is>
          <t>28.04.2026</t>
        </is>
      </c>
      <c r="BN58" s="256" t="inlineStr">
        <is>
          <t>IPH — Institute of Public Health</t>
        </is>
      </c>
      <c r="BO58" s="256" t="inlineStr">
        <is>
          <t>3,3 × 10³</t>
        </is>
      </c>
      <c r="BP58" s="256" t="inlineStr">
        <is>
          <t>307/0551/26</t>
        </is>
      </c>
      <c r="BQ58" s="256" t="inlineStr">
        <is>
          <t>28.04.2026</t>
        </is>
      </c>
      <c r="BR58" s="256" t="inlineStr">
        <is>
          <t>IPH — Institute of Public Health</t>
        </is>
      </c>
      <c r="BS58" s="256" t="inlineStr">
        <is>
          <t>&lt; 10³ and &gt; 10²</t>
        </is>
      </c>
      <c r="BT58" s="256" t="inlineStr">
        <is>
          <t>307/0551/26</t>
        </is>
      </c>
      <c r="BU58" s="256" t="inlineStr">
        <is>
          <t>28.04.2026</t>
        </is>
      </c>
      <c r="BV58" s="256" t="inlineStr">
        <is>
          <t>IPH — Institute of Public Health</t>
        </is>
      </c>
      <c r="BW58" s="256" t="inlineStr">
        <is>
          <t>Absent | Отсутна</t>
        </is>
      </c>
      <c r="BX58" s="256" t="inlineStr">
        <is>
          <t>307/0551/26</t>
        </is>
      </c>
      <c r="BY58" s="256" t="inlineStr">
        <is>
          <t>28.04.2026</t>
        </is>
      </c>
      <c r="BZ58" s="256" t="inlineStr">
        <is>
          <t>IPH — Institute of Public Health</t>
        </is>
      </c>
      <c r="CA58" s="256" t="inlineStr">
        <is>
          <t>Absent | Отсутна</t>
        </is>
      </c>
      <c r="CB58" s="256" t="inlineStr">
        <is>
          <t>307/0551/26</t>
        </is>
      </c>
      <c r="CC58" s="256" t="inlineStr">
        <is>
          <t>28.04.2026</t>
        </is>
      </c>
      <c r="CD58" s="256" t="inlineStr">
        <is>
          <t>IPH — Institute of Public Health</t>
        </is>
      </c>
      <c r="CE58" s="260" t="inlineStr">
        <is>
          <t>upon request — not required for release</t>
        </is>
      </c>
      <c r="CF58" s="256" t="inlineStr">
        <is>
          <t>—</t>
        </is>
      </c>
      <c r="CG58" s="256" t="inlineStr">
        <is>
          <t>—</t>
        </is>
      </c>
      <c r="CH58" s="256" t="inlineStr">
        <is>
          <t>—</t>
        </is>
      </c>
      <c r="CI58" s="260" t="inlineStr">
        <is>
          <t>upon request — not required for release</t>
        </is>
      </c>
      <c r="CJ58" s="256" t="inlineStr">
        <is>
          <t>—</t>
        </is>
      </c>
      <c r="CK58" s="256" t="inlineStr">
        <is>
          <t>—</t>
        </is>
      </c>
      <c r="CL58" s="256" t="inlineStr">
        <is>
          <t>—</t>
        </is>
      </c>
      <c r="CM58" s="259" t="inlineStr">
        <is>
          <t>not tested</t>
        </is>
      </c>
      <c r="CN58" s="256" t="inlineStr">
        <is>
          <t>—</t>
        </is>
      </c>
      <c r="CO58" s="256" t="inlineStr">
        <is>
          <t>—</t>
        </is>
      </c>
      <c r="CP58" s="256" t="inlineStr">
        <is>
          <t>—</t>
        </is>
      </c>
      <c r="CQ58" s="256" t="inlineStr">
        <is>
          <t>&lt; 2</t>
        </is>
      </c>
      <c r="CR58" s="256" t="inlineStr">
        <is>
          <t>2361/2026</t>
        </is>
      </c>
      <c r="CS58" s="256" t="inlineStr">
        <is>
          <t>30.04.2026</t>
        </is>
      </c>
      <c r="CT58" s="256" t="inlineStr">
        <is>
          <t>IPH — Institute of Public Health</t>
        </is>
      </c>
      <c r="CU58" s="259" t="inlineStr">
        <is>
          <t>not tested</t>
        </is>
      </c>
      <c r="CV58" s="256" t="inlineStr">
        <is>
          <t>—</t>
        </is>
      </c>
      <c r="CW58" s="256" t="inlineStr">
        <is>
          <t>—</t>
        </is>
      </c>
      <c r="CX58" s="256" t="inlineStr">
        <is>
          <t>—</t>
        </is>
      </c>
      <c r="CY58" s="256" t="inlineStr">
        <is>
          <t>0.022</t>
        </is>
      </c>
      <c r="CZ58" s="256" t="inlineStr">
        <is>
          <t>2361/2026</t>
        </is>
      </c>
      <c r="DA58" s="256" t="inlineStr">
        <is>
          <t>30.04.2026</t>
        </is>
      </c>
      <c r="DB58" s="256" t="inlineStr">
        <is>
          <t>IPH — Institute of Public Health</t>
        </is>
      </c>
      <c r="DC58" s="256" t="inlineStr">
        <is>
          <t>0.0149</t>
        </is>
      </c>
      <c r="DD58" s="256" t="inlineStr">
        <is>
          <t>2361/2026</t>
        </is>
      </c>
      <c r="DE58" s="256" t="inlineStr">
        <is>
          <t>30.04.2026</t>
        </is>
      </c>
      <c r="DF58" s="256" t="inlineStr">
        <is>
          <t>IPH — Institute of Public Health</t>
        </is>
      </c>
      <c r="DG58" s="256" t="inlineStr">
        <is>
          <t>0.02</t>
        </is>
      </c>
      <c r="DH58" s="256" t="inlineStr">
        <is>
          <t>2361/2026</t>
        </is>
      </c>
      <c r="DI58" s="256" t="inlineStr">
        <is>
          <t>30.04.2026</t>
        </is>
      </c>
      <c r="DJ58" s="256" t="inlineStr">
        <is>
          <t>IPH — Institute of Public Health</t>
        </is>
      </c>
      <c r="DK58" s="256" t="inlineStr">
        <is>
          <t>0.0166</t>
        </is>
      </c>
      <c r="DL58" s="256" t="inlineStr">
        <is>
          <t>2361/2026</t>
        </is>
      </c>
      <c r="DM58" s="256" t="inlineStr">
        <is>
          <t>30.04.2026</t>
        </is>
      </c>
      <c r="DN58" s="256" t="inlineStr">
        <is>
          <t>IPH — Institute of Public Health</t>
        </is>
      </c>
      <c r="DO58" s="256" t="inlineStr">
        <is>
          <t>ND</t>
        </is>
      </c>
      <c r="DP58" s="256" t="inlineStr">
        <is>
          <t>2361/2026</t>
        </is>
      </c>
      <c r="DQ58" s="256" t="inlineStr">
        <is>
          <t>30.04.2026</t>
        </is>
      </c>
      <c r="DR58" s="256" t="inlineStr">
        <is>
          <t>IPH — Institute of Public Health</t>
        </is>
      </c>
    </row>
    <row r="59">
      <c r="A59" s="256" t="inlineStr">
        <is>
          <t>CoQ-PP_26-058</t>
        </is>
      </c>
      <c r="B59" s="256" t="inlineStr">
        <is>
          <t>release</t>
        </is>
      </c>
      <c r="C59" s="256" t="inlineStr">
        <is>
          <t>issuable</t>
        </is>
      </c>
      <c r="D59" s="256" t="inlineStr">
        <is>
          <t>06.06.2026</t>
        </is>
      </c>
      <c r="E59" s="256" t="inlineStr">
        <is>
          <t>n/a — release certificate</t>
        </is>
      </c>
      <c r="F59" s="256" t="inlineStr">
        <is>
          <t>(assigned on issue)</t>
        </is>
      </c>
      <c r="G59" s="256" t="inlineStr">
        <is>
          <t>OPM112501</t>
        </is>
      </c>
      <c r="H59" s="256" t="inlineStr">
        <is>
          <t>— no P lot assigned —</t>
        </is>
      </c>
      <c r="I59" s="256" t="inlineStr">
        <is>
          <t>Orange Punch Mimosa</t>
        </is>
      </c>
      <c r="J59" s="256" t="inlineStr">
        <is>
          <t>05.02.2026</t>
        </is>
      </c>
      <c r="K59" s="256" t="inlineStr">
        <is>
          <t>24.04.2026</t>
        </is>
      </c>
      <c r="L59" s="256" t="inlineStr">
        <is>
          <t>—</t>
        </is>
      </c>
      <c r="M59" s="256" t="inlineStr">
        <is>
          <t>—</t>
        </is>
      </c>
      <c r="N59" s="256" t="inlineStr">
        <is>
          <t>iCoA-PP_26-061</t>
        </is>
      </c>
      <c r="O59" s="256" t="inlineStr">
        <is>
          <t>03.06.2026</t>
        </is>
      </c>
      <c r="P59" s="256" t="inlineStr">
        <is>
          <t>24.04.2026</t>
        </is>
      </c>
      <c r="Q59" s="256" t="inlineStr">
        <is>
          <t>—</t>
        </is>
      </c>
      <c r="R59" s="256" t="inlineStr">
        <is>
          <t>8.00</t>
        </is>
      </c>
      <c r="S59" s="256" t="inlineStr">
        <is>
          <t>ППК26031</t>
        </is>
      </c>
      <c r="T59" s="256" t="inlineStr">
        <is>
          <t>V</t>
        </is>
      </c>
      <c r="U59" s="256" t="inlineStr">
        <is>
          <t>7.20 – 8.79 %</t>
        </is>
      </c>
      <c r="V59" s="256" t="inlineStr">
        <is>
          <t>OPM_THC8 : CBD1</t>
        </is>
      </c>
      <c r="W59" s="256" t="inlineStr">
        <is>
          <t>QCSP_001_OPM-V_v.01</t>
        </is>
      </c>
      <c r="X59" s="256" t="inlineStr">
        <is>
          <t>for review — replaces the issued QCSP_001_OPM-V_v.01 (was OPM_THC8 : CBD1, 7.20 – 8.80 %); now OPM_THC8 : CBD1 7.20 – 8.79 %</t>
        </is>
      </c>
      <c r="Y59" s="256" t="inlineStr">
        <is>
          <t>INDICA</t>
        </is>
      </c>
      <c r="Z59" s="256" t="inlineStr">
        <is>
          <t>THC</t>
        </is>
      </c>
      <c r="AA59" s="256" t="inlineStr">
        <is>
          <t>MACHINE TRIMMED</t>
        </is>
      </c>
      <c r="AB59" s="256" t="inlineStr">
        <is>
          <t>—</t>
        </is>
      </c>
      <c r="AC59" s="256" t="inlineStr">
        <is>
          <t>Triplex Alu Bag | Триплекс Aлу Kеса, PET 12 · ALU 7 · PE 80, 300 × 500 mm, net. 400.0 g ±3%</t>
        </is>
      </c>
      <c r="AD59" s="256" t="inlineStr">
        <is>
          <t>05.03.2026</t>
        </is>
      </c>
      <c r="AE59" s="256" t="inlineStr">
        <is>
          <t>Conforms | Одговара</t>
        </is>
      </c>
      <c r="AF59" s="256" t="inlineStr">
        <is>
          <t>iCoA-PP_26-061</t>
        </is>
      </c>
      <c r="AG59" s="256" t="inlineStr">
        <is>
          <t>03.06.2026</t>
        </is>
      </c>
      <c r="AH59" s="256" t="inlineStr">
        <is>
          <t>Purely Plant GmbH (in-house)</t>
        </is>
      </c>
      <c r="AI59" s="256" t="inlineStr">
        <is>
          <t>Conforms | Одговара</t>
        </is>
      </c>
      <c r="AJ59" s="256" t="inlineStr">
        <is>
          <t>iCoA-PP_26-061</t>
        </is>
      </c>
      <c r="AK59" s="256" t="inlineStr">
        <is>
          <t>03.06.2026</t>
        </is>
      </c>
      <c r="AL59" s="256" t="inlineStr">
        <is>
          <t>Purely Plant GmbH (in-house)</t>
        </is>
      </c>
      <c r="AM59" s="256" t="inlineStr">
        <is>
          <t>Conforms | Одговара</t>
        </is>
      </c>
      <c r="AN59" s="256" t="inlineStr">
        <is>
          <t>ППК26031</t>
        </is>
      </c>
      <c r="AO59" s="256" t="inlineStr">
        <is>
          <t>05.03.2026</t>
        </is>
      </c>
      <c r="AP59" s="256" t="inlineStr">
        <is>
          <t>UKIM Faculty of Pharmacy — Center for Natural Products</t>
        </is>
      </c>
      <c r="AQ59" s="256" t="inlineStr">
        <is>
          <t>8.00</t>
        </is>
      </c>
      <c r="AR59" s="256" t="inlineStr">
        <is>
          <t>ППК26031</t>
        </is>
      </c>
      <c r="AS59" s="256" t="inlineStr">
        <is>
          <t>05.03.2026</t>
        </is>
      </c>
      <c r="AT59" s="256" t="inlineStr">
        <is>
          <t>UKIM Faculty of Pharmacy — Center for Natural Products</t>
        </is>
      </c>
      <c r="AU59" s="256" t="inlineStr">
        <is>
          <t>0.02</t>
        </is>
      </c>
      <c r="AV59" s="256" t="inlineStr">
        <is>
          <t>ППК26031</t>
        </is>
      </c>
      <c r="AW59" s="256" t="inlineStr">
        <is>
          <t>05.03.2026</t>
        </is>
      </c>
      <c r="AX59" s="256" t="inlineStr">
        <is>
          <t>UKIM Faculty of Pharmacy — Center for Natural Products</t>
        </is>
      </c>
      <c r="AY59" s="259" t="inlineStr">
        <is>
          <t>not tested</t>
        </is>
      </c>
      <c r="AZ59" s="256" t="inlineStr">
        <is>
          <t>—</t>
        </is>
      </c>
      <c r="BA59" s="256" t="inlineStr">
        <is>
          <t>—</t>
        </is>
      </c>
      <c r="BB59" s="256" t="inlineStr">
        <is>
          <t>—</t>
        </is>
      </c>
      <c r="BC59" s="256" t="inlineStr">
        <is>
          <t>Conforms | Одговара</t>
        </is>
      </c>
      <c r="BD59" s="256" t="inlineStr">
        <is>
          <t>iCoA-PP_26-061</t>
        </is>
      </c>
      <c r="BE59" s="256" t="inlineStr">
        <is>
          <t>03.06.2026</t>
        </is>
      </c>
      <c r="BF59" s="256" t="inlineStr">
        <is>
          <t>Purely Plant GmbH (in-house)</t>
        </is>
      </c>
      <c r="BG59" s="256" t="inlineStr">
        <is>
          <t>8.06</t>
        </is>
      </c>
      <c r="BH59" s="256" t="inlineStr">
        <is>
          <t>ППК26031</t>
        </is>
      </c>
      <c r="BI59" s="256" t="inlineStr">
        <is>
          <t>05.03.2026</t>
        </is>
      </c>
      <c r="BJ59" s="256" t="inlineStr">
        <is>
          <t>UKIM Faculty of Pharmacy — Center for Natural Products</t>
        </is>
      </c>
      <c r="BK59" s="259" t="inlineStr">
        <is>
          <t>not tested</t>
        </is>
      </c>
      <c r="BL59" s="256" t="inlineStr">
        <is>
          <t>—</t>
        </is>
      </c>
      <c r="BM59" s="256" t="inlineStr">
        <is>
          <t>—</t>
        </is>
      </c>
      <c r="BN59" s="256" t="inlineStr">
        <is>
          <t>—</t>
        </is>
      </c>
      <c r="BO59" s="259" t="inlineStr">
        <is>
          <t>not tested</t>
        </is>
      </c>
      <c r="BP59" s="256" t="inlineStr">
        <is>
          <t>—</t>
        </is>
      </c>
      <c r="BQ59" s="256" t="inlineStr">
        <is>
          <t>—</t>
        </is>
      </c>
      <c r="BR59" s="256" t="inlineStr">
        <is>
          <t>—</t>
        </is>
      </c>
      <c r="BS59" s="259" t="inlineStr">
        <is>
          <t>not tested</t>
        </is>
      </c>
      <c r="BT59" s="256" t="inlineStr">
        <is>
          <t>—</t>
        </is>
      </c>
      <c r="BU59" s="256" t="inlineStr">
        <is>
          <t>—</t>
        </is>
      </c>
      <c r="BV59" s="256" t="inlineStr">
        <is>
          <t>—</t>
        </is>
      </c>
      <c r="BW59" s="259" t="inlineStr">
        <is>
          <t>not tested</t>
        </is>
      </c>
      <c r="BX59" s="256" t="inlineStr">
        <is>
          <t>—</t>
        </is>
      </c>
      <c r="BY59" s="256" t="inlineStr">
        <is>
          <t>—</t>
        </is>
      </c>
      <c r="BZ59" s="256" t="inlineStr">
        <is>
          <t>—</t>
        </is>
      </c>
      <c r="CA59" s="259" t="inlineStr">
        <is>
          <t>not tested</t>
        </is>
      </c>
      <c r="CB59" s="256" t="inlineStr">
        <is>
          <t>—</t>
        </is>
      </c>
      <c r="CC59" s="256" t="inlineStr">
        <is>
          <t>—</t>
        </is>
      </c>
      <c r="CD59" s="256" t="inlineStr">
        <is>
          <t>—</t>
        </is>
      </c>
      <c r="CE59" s="260" t="inlineStr">
        <is>
          <t>upon request — not required for release</t>
        </is>
      </c>
      <c r="CF59" s="256" t="inlineStr">
        <is>
          <t>—</t>
        </is>
      </c>
      <c r="CG59" s="256" t="inlineStr">
        <is>
          <t>—</t>
        </is>
      </c>
      <c r="CH59" s="256" t="inlineStr">
        <is>
          <t>—</t>
        </is>
      </c>
      <c r="CI59" s="260" t="inlineStr">
        <is>
          <t>upon request — not required for release</t>
        </is>
      </c>
      <c r="CJ59" s="256" t="inlineStr">
        <is>
          <t>—</t>
        </is>
      </c>
      <c r="CK59" s="256" t="inlineStr">
        <is>
          <t>—</t>
        </is>
      </c>
      <c r="CL59" s="256" t="inlineStr">
        <is>
          <t>—</t>
        </is>
      </c>
      <c r="CM59" s="259" t="inlineStr">
        <is>
          <t>not tested</t>
        </is>
      </c>
      <c r="CN59" s="256" t="inlineStr">
        <is>
          <t>—</t>
        </is>
      </c>
      <c r="CO59" s="256" t="inlineStr">
        <is>
          <t>—</t>
        </is>
      </c>
      <c r="CP59" s="256" t="inlineStr">
        <is>
          <t>—</t>
        </is>
      </c>
      <c r="CQ59" s="259" t="inlineStr">
        <is>
          <t>not tested</t>
        </is>
      </c>
      <c r="CR59" s="256" t="inlineStr">
        <is>
          <t>—</t>
        </is>
      </c>
      <c r="CS59" s="256" t="inlineStr">
        <is>
          <t>—</t>
        </is>
      </c>
      <c r="CT59" s="256" t="inlineStr">
        <is>
          <t>—</t>
        </is>
      </c>
      <c r="CU59" s="259" t="inlineStr">
        <is>
          <t>not tested</t>
        </is>
      </c>
      <c r="CV59" s="256" t="inlineStr">
        <is>
          <t>—</t>
        </is>
      </c>
      <c r="CW59" s="256" t="inlineStr">
        <is>
          <t>—</t>
        </is>
      </c>
      <c r="CX59" s="256" t="inlineStr">
        <is>
          <t>—</t>
        </is>
      </c>
      <c r="CY59" s="259" t="inlineStr">
        <is>
          <t>not tested</t>
        </is>
      </c>
      <c r="CZ59" s="256" t="inlineStr">
        <is>
          <t>—</t>
        </is>
      </c>
      <c r="DA59" s="256" t="inlineStr">
        <is>
          <t>—</t>
        </is>
      </c>
      <c r="DB59" s="256" t="inlineStr">
        <is>
          <t>—</t>
        </is>
      </c>
      <c r="DC59" s="259" t="inlineStr">
        <is>
          <t>not tested</t>
        </is>
      </c>
      <c r="DD59" s="256" t="inlineStr">
        <is>
          <t>—</t>
        </is>
      </c>
      <c r="DE59" s="256" t="inlineStr">
        <is>
          <t>—</t>
        </is>
      </c>
      <c r="DF59" s="256" t="inlineStr">
        <is>
          <t>—</t>
        </is>
      </c>
      <c r="DG59" s="259" t="inlineStr">
        <is>
          <t>not tested</t>
        </is>
      </c>
      <c r="DH59" s="256" t="inlineStr">
        <is>
          <t>—</t>
        </is>
      </c>
      <c r="DI59" s="256" t="inlineStr">
        <is>
          <t>—</t>
        </is>
      </c>
      <c r="DJ59" s="256" t="inlineStr">
        <is>
          <t>—</t>
        </is>
      </c>
      <c r="DK59" s="259" t="inlineStr">
        <is>
          <t>not tested</t>
        </is>
      </c>
      <c r="DL59" s="256" t="inlineStr">
        <is>
          <t>—</t>
        </is>
      </c>
      <c r="DM59" s="256" t="inlineStr">
        <is>
          <t>—</t>
        </is>
      </c>
      <c r="DN59" s="256" t="inlineStr">
        <is>
          <t>—</t>
        </is>
      </c>
      <c r="DO59" s="259" t="inlineStr">
        <is>
          <t>not tested</t>
        </is>
      </c>
      <c r="DP59" s="256" t="inlineStr">
        <is>
          <t>—</t>
        </is>
      </c>
      <c r="DQ59" s="256" t="inlineStr">
        <is>
          <t>—</t>
        </is>
      </c>
      <c r="DR59" s="256" t="inlineStr">
        <is>
          <t>—</t>
        </is>
      </c>
    </row>
    <row r="60">
      <c r="A60" s="256" t="inlineStr">
        <is>
          <t>CoQ-PP_26-059</t>
        </is>
      </c>
      <c r="B60" s="256" t="inlineStr">
        <is>
          <t>release</t>
        </is>
      </c>
      <c r="C60" s="256" t="inlineStr">
        <is>
          <t>issuable</t>
        </is>
      </c>
      <c r="D60" s="256" t="inlineStr">
        <is>
          <t>06.06.2026</t>
        </is>
      </c>
      <c r="E60" s="256" t="inlineStr">
        <is>
          <t>n/a — release certificate</t>
        </is>
      </c>
      <c r="F60" s="256" t="inlineStr">
        <is>
          <t>CoQ-PP-2026-0016</t>
        </is>
      </c>
      <c r="G60" s="256" t="inlineStr">
        <is>
          <t>PM112501</t>
        </is>
      </c>
      <c r="H60" s="256" t="inlineStr">
        <is>
          <t>P060232</t>
        </is>
      </c>
      <c r="I60" s="256" t="inlineStr">
        <is>
          <t>Permanent Marker</t>
        </is>
      </c>
      <c r="J60" s="256" t="inlineStr">
        <is>
          <t>05.02.2026</t>
        </is>
      </c>
      <c r="K60" s="256" t="inlineStr">
        <is>
          <t>27.04.2026</t>
        </is>
      </c>
      <c r="L60" s="256" t="inlineStr">
        <is>
          <t>05.02.2026</t>
        </is>
      </c>
      <c r="M60" s="256" t="inlineStr">
        <is>
          <t>27.04.2026</t>
        </is>
      </c>
      <c r="N60" s="256" t="inlineStr">
        <is>
          <t>iCoA-PP_26-062</t>
        </is>
      </c>
      <c r="O60" s="256" t="inlineStr">
        <is>
          <t>03.06.2026</t>
        </is>
      </c>
      <c r="P60" s="256" t="inlineStr">
        <is>
          <t>27.04.2026</t>
        </is>
      </c>
      <c r="Q60" s="256" t="inlineStr">
        <is>
          <t>—</t>
        </is>
      </c>
      <c r="R60" s="256" t="inlineStr">
        <is>
          <t>13.33</t>
        </is>
      </c>
      <c r="S60" s="256" t="inlineStr">
        <is>
          <t>ППК26030</t>
        </is>
      </c>
      <c r="T60" s="256" t="inlineStr">
        <is>
          <t>I</t>
        </is>
      </c>
      <c r="U60" s="256" t="inlineStr">
        <is>
          <t>13.00 – 14.99 %</t>
        </is>
      </c>
      <c r="V60" s="256" t="inlineStr">
        <is>
          <t>PM_THC14 : CBD1</t>
        </is>
      </c>
      <c r="W60" s="256" t="inlineStr">
        <is>
          <t>QCSP_001_PM-I_v.01</t>
        </is>
      </c>
      <c r="X60" s="256" t="inlineStr">
        <is>
          <t>for review — replaces the issued QCSP_001_PM-I_v.01 (was PM_THC12 : CBD1, 11.01 – 12.99 %); now PM_THC14 : CBD1 13.00 – 14.99 %</t>
        </is>
      </c>
      <c r="Y60" s="256" t="inlineStr">
        <is>
          <t>HYBRID</t>
        </is>
      </c>
      <c r="Z60" s="256" t="inlineStr">
        <is>
          <t>THC</t>
        </is>
      </c>
      <c r="AA60" s="256" t="inlineStr">
        <is>
          <t>MACHINE TRIMMED</t>
        </is>
      </c>
      <c r="AB60" s="256" t="inlineStr">
        <is>
          <t>INDICA-DOMINANT</t>
        </is>
      </c>
      <c r="AC60" s="256" t="inlineStr">
        <is>
          <t>Triplex Alu Bag | Триплекс Aлу Kеса, PET 12 · ALU 7 · PE 80, 300 × 500 mm, net. 400.0 g ±3%</t>
        </is>
      </c>
      <c r="AD60" s="256" t="inlineStr">
        <is>
          <t>09.03.2026</t>
        </is>
      </c>
      <c r="AE60" s="256" t="inlineStr">
        <is>
          <t>Conforms | Одговара</t>
        </is>
      </c>
      <c r="AF60" s="256" t="inlineStr">
        <is>
          <t>iCoA-PP_26-062</t>
        </is>
      </c>
      <c r="AG60" s="256" t="inlineStr">
        <is>
          <t>03.06.2026</t>
        </is>
      </c>
      <c r="AH60" s="256" t="inlineStr">
        <is>
          <t>Purely Plant GmbH (in-house)</t>
        </is>
      </c>
      <c r="AI60" s="256" t="inlineStr">
        <is>
          <t>Conforms | Одговара</t>
        </is>
      </c>
      <c r="AJ60" s="256" t="inlineStr">
        <is>
          <t>iCoA-PP_26-062</t>
        </is>
      </c>
      <c r="AK60" s="256" t="inlineStr">
        <is>
          <t>03.06.2026</t>
        </is>
      </c>
      <c r="AL60" s="256" t="inlineStr">
        <is>
          <t>Purely Plant GmbH (in-house)</t>
        </is>
      </c>
      <c r="AM60" s="256" t="inlineStr">
        <is>
          <t>Conforms | Одговара</t>
        </is>
      </c>
      <c r="AN60" s="256" t="inlineStr">
        <is>
          <t>ППК26030</t>
        </is>
      </c>
      <c r="AO60" s="256" t="inlineStr">
        <is>
          <t>05.03.2026</t>
        </is>
      </c>
      <c r="AP60" s="256" t="inlineStr">
        <is>
          <t>UKIM Faculty of Pharmacy — Center for Natural Products</t>
        </is>
      </c>
      <c r="AQ60" s="256" t="inlineStr">
        <is>
          <t>13.33</t>
        </is>
      </c>
      <c r="AR60" s="256" t="inlineStr">
        <is>
          <t>ППК26030</t>
        </is>
      </c>
      <c r="AS60" s="256" t="inlineStr">
        <is>
          <t>05.03.2026</t>
        </is>
      </c>
      <c r="AT60" s="256" t="inlineStr">
        <is>
          <t>UKIM Faculty of Pharmacy — Center for Natural Products</t>
        </is>
      </c>
      <c r="AU60" s="256" t="inlineStr">
        <is>
          <t>0.03</t>
        </is>
      </c>
      <c r="AV60" s="256" t="inlineStr">
        <is>
          <t>ППК26030</t>
        </is>
      </c>
      <c r="AW60" s="256" t="inlineStr">
        <is>
          <t>05.03.2026</t>
        </is>
      </c>
      <c r="AX60" s="256" t="inlineStr">
        <is>
          <t>UKIM Faculty of Pharmacy — Center for Natural Products</t>
        </is>
      </c>
      <c r="AY60" s="256" t="inlineStr">
        <is>
          <t>0.01 % %</t>
        </is>
      </c>
      <c r="AZ60" s="256" t="inlineStr">
        <is>
          <t>ППК26030</t>
        </is>
      </c>
      <c r="BA60" s="256" t="inlineStr">
        <is>
          <t>05.03.2026</t>
        </is>
      </c>
      <c r="BB60" s="256" t="inlineStr">
        <is>
          <t>CNP</t>
        </is>
      </c>
      <c r="BC60" s="256" t="inlineStr">
        <is>
          <t>Conforms | Одговара</t>
        </is>
      </c>
      <c r="BD60" s="256" t="inlineStr">
        <is>
          <t>iCoA-PP_26-062</t>
        </is>
      </c>
      <c r="BE60" s="256" t="inlineStr">
        <is>
          <t>03.06.2026</t>
        </is>
      </c>
      <c r="BF60" s="256" t="inlineStr">
        <is>
          <t>Purely Plant GmbH (in-house)</t>
        </is>
      </c>
      <c r="BG60" s="256" t="inlineStr">
        <is>
          <t>8.61</t>
        </is>
      </c>
      <c r="BH60" s="256" t="inlineStr">
        <is>
          <t>ППК26030</t>
        </is>
      </c>
      <c r="BI60" s="256" t="inlineStr">
        <is>
          <t>05.03.2026</t>
        </is>
      </c>
      <c r="BJ60" s="256" t="inlineStr">
        <is>
          <t>UKIM Faculty of Pharmacy — Center for Natural Products</t>
        </is>
      </c>
      <c r="BK60" s="256" t="inlineStr">
        <is>
          <t>10</t>
        </is>
      </c>
      <c r="BL60" s="256" t="inlineStr">
        <is>
          <t>135/0232/26</t>
        </is>
      </c>
      <c r="BM60" s="256" t="inlineStr">
        <is>
          <t>06.03.2026</t>
        </is>
      </c>
      <c r="BN60" s="256" t="inlineStr">
        <is>
          <t>IPH — Institute of Public Health</t>
        </is>
      </c>
      <c r="BO60" s="256" t="inlineStr">
        <is>
          <t>&lt; 10</t>
        </is>
      </c>
      <c r="BP60" s="256" t="inlineStr">
        <is>
          <t>135/0232/26</t>
        </is>
      </c>
      <c r="BQ60" s="256" t="inlineStr">
        <is>
          <t>06.03.2026</t>
        </is>
      </c>
      <c r="BR60" s="256" t="inlineStr">
        <is>
          <t>IPH — Institute of Public Health</t>
        </is>
      </c>
      <c r="BS60" s="256" t="inlineStr">
        <is>
          <t>&lt; 10</t>
        </is>
      </c>
      <c r="BT60" s="256" t="inlineStr">
        <is>
          <t>135/0232/26</t>
        </is>
      </c>
      <c r="BU60" s="256" t="inlineStr">
        <is>
          <t>06.03.2026</t>
        </is>
      </c>
      <c r="BV60" s="256" t="inlineStr">
        <is>
          <t>IPH — Institute of Public Health</t>
        </is>
      </c>
      <c r="BW60" s="256" t="inlineStr">
        <is>
          <t>Absent | Отсутна</t>
        </is>
      </c>
      <c r="BX60" s="256" t="inlineStr">
        <is>
          <t>135/0232/26</t>
        </is>
      </c>
      <c r="BY60" s="256" t="inlineStr">
        <is>
          <t>06.03.2026</t>
        </is>
      </c>
      <c r="BZ60" s="256" t="inlineStr">
        <is>
          <t>IPH — Institute of Public Health</t>
        </is>
      </c>
      <c r="CA60" s="256" t="inlineStr">
        <is>
          <t>Absent | Отсутна</t>
        </is>
      </c>
      <c r="CB60" s="256" t="inlineStr">
        <is>
          <t>135/0232/26</t>
        </is>
      </c>
      <c r="CC60" s="256" t="inlineStr">
        <is>
          <t>06.03.2026</t>
        </is>
      </c>
      <c r="CD60" s="256" t="inlineStr">
        <is>
          <t>IPH — Institute of Public Health</t>
        </is>
      </c>
      <c r="CE60" s="260" t="inlineStr">
        <is>
          <t>upon request — not required for release</t>
        </is>
      </c>
      <c r="CF60" s="256" t="inlineStr">
        <is>
          <t>—</t>
        </is>
      </c>
      <c r="CG60" s="256" t="inlineStr">
        <is>
          <t>—</t>
        </is>
      </c>
      <c r="CH60" s="256" t="inlineStr">
        <is>
          <t>—</t>
        </is>
      </c>
      <c r="CI60" s="260" t="inlineStr">
        <is>
          <t>upon request — not required for release</t>
        </is>
      </c>
      <c r="CJ60" s="256" t="inlineStr">
        <is>
          <t>—</t>
        </is>
      </c>
      <c r="CK60" s="256" t="inlineStr">
        <is>
          <t>—</t>
        </is>
      </c>
      <c r="CL60" s="256" t="inlineStr">
        <is>
          <t>—</t>
        </is>
      </c>
      <c r="CM60" s="259" t="inlineStr">
        <is>
          <t>not tested</t>
        </is>
      </c>
      <c r="CN60" s="256" t="inlineStr">
        <is>
          <t>—</t>
        </is>
      </c>
      <c r="CO60" s="256" t="inlineStr">
        <is>
          <t>—</t>
        </is>
      </c>
      <c r="CP60" s="256" t="inlineStr">
        <is>
          <t>—</t>
        </is>
      </c>
      <c r="CQ60" s="256" t="inlineStr">
        <is>
          <t>2.2</t>
        </is>
      </c>
      <c r="CR60" s="256" t="inlineStr">
        <is>
          <t>1059/2026</t>
        </is>
      </c>
      <c r="CS60" s="256" t="inlineStr">
        <is>
          <t>09.03.2026</t>
        </is>
      </c>
      <c r="CT60" s="256" t="inlineStr">
        <is>
          <t>IPH — Institute of Public Health</t>
        </is>
      </c>
      <c r="CU60" s="259" t="inlineStr">
        <is>
          <t>not tested</t>
        </is>
      </c>
      <c r="CV60" s="256" t="inlineStr">
        <is>
          <t>—</t>
        </is>
      </c>
      <c r="CW60" s="256" t="inlineStr">
        <is>
          <t>—</t>
        </is>
      </c>
      <c r="CX60" s="256" t="inlineStr">
        <is>
          <t>—</t>
        </is>
      </c>
      <c r="CY60" s="256" t="inlineStr">
        <is>
          <t>ND</t>
        </is>
      </c>
      <c r="CZ60" s="256" t="inlineStr">
        <is>
          <t>1059/2026</t>
        </is>
      </c>
      <c r="DA60" s="256" t="inlineStr">
        <is>
          <t>09.03.2026</t>
        </is>
      </c>
      <c r="DB60" s="256" t="inlineStr">
        <is>
          <t>IPH — Institute of Public Health</t>
        </is>
      </c>
      <c r="DC60" s="256" t="inlineStr">
        <is>
          <t>ND</t>
        </is>
      </c>
      <c r="DD60" s="256" t="inlineStr">
        <is>
          <t>1059/2026</t>
        </is>
      </c>
      <c r="DE60" s="256" t="inlineStr">
        <is>
          <t>09.03.2026</t>
        </is>
      </c>
      <c r="DF60" s="256" t="inlineStr">
        <is>
          <t>IPH — Institute of Public Health</t>
        </is>
      </c>
      <c r="DG60" s="256" t="inlineStr">
        <is>
          <t>ND</t>
        </is>
      </c>
      <c r="DH60" s="256" t="inlineStr">
        <is>
          <t>1059/2026</t>
        </is>
      </c>
      <c r="DI60" s="256" t="inlineStr">
        <is>
          <t>09.03.2026</t>
        </is>
      </c>
      <c r="DJ60" s="256" t="inlineStr">
        <is>
          <t>IPH — Institute of Public Health</t>
        </is>
      </c>
      <c r="DK60" s="256" t="inlineStr">
        <is>
          <t>ND</t>
        </is>
      </c>
      <c r="DL60" s="256" t="inlineStr">
        <is>
          <t>1059/2026</t>
        </is>
      </c>
      <c r="DM60" s="256" t="inlineStr">
        <is>
          <t>09.03.2026</t>
        </is>
      </c>
      <c r="DN60" s="256" t="inlineStr">
        <is>
          <t>IPH — Institute of Public Health</t>
        </is>
      </c>
      <c r="DO60" s="256" t="inlineStr">
        <is>
          <t>ND mg/kg — all 25 residues</t>
        </is>
      </c>
      <c r="DP60" s="256" t="inlineStr">
        <is>
          <t>1059/2026</t>
        </is>
      </c>
      <c r="DQ60" s="256" t="inlineStr">
        <is>
          <t>09.03.2026</t>
        </is>
      </c>
      <c r="DR60" s="256" t="inlineStr">
        <is>
          <t>IJZ</t>
        </is>
      </c>
    </row>
    <row r="61">
      <c r="A61" s="256" t="inlineStr">
        <is>
          <t>CoQ-PP_26-060</t>
        </is>
      </c>
      <c r="B61" s="256" t="inlineStr">
        <is>
          <t>release</t>
        </is>
      </c>
      <c r="C61" s="256" t="inlineStr">
        <is>
          <t>issuable</t>
        </is>
      </c>
      <c r="D61" s="256" t="inlineStr">
        <is>
          <t>06.06.2026</t>
        </is>
      </c>
      <c r="E61" s="256" t="inlineStr">
        <is>
          <t>n/a — release certificate</t>
        </is>
      </c>
      <c r="F61" s="256" t="inlineStr">
        <is>
          <t>CoQ-PP-2026-0017</t>
        </is>
      </c>
      <c r="G61" s="256" t="inlineStr">
        <is>
          <t>OPM122501</t>
        </is>
      </c>
      <c r="H61" s="256" t="inlineStr">
        <is>
          <t>P060242</t>
        </is>
      </c>
      <c r="I61" s="256" t="inlineStr">
        <is>
          <t>Orange Punch Mimosa</t>
        </is>
      </c>
      <c r="J61" s="256" t="inlineStr">
        <is>
          <t>11.03.2026</t>
        </is>
      </c>
      <c r="K61" s="256" t="inlineStr">
        <is>
          <t>28.04.2026</t>
        </is>
      </c>
      <c r="L61" s="256" t="inlineStr">
        <is>
          <t>11.03.2026</t>
        </is>
      </c>
      <c r="M61" s="256" t="inlineStr">
        <is>
          <t>28.04.2026</t>
        </is>
      </c>
      <c r="N61" s="256" t="inlineStr">
        <is>
          <t>iCoA-PP_26-063</t>
        </is>
      </c>
      <c r="O61" s="256" t="inlineStr">
        <is>
          <t>03.06.2026</t>
        </is>
      </c>
      <c r="P61" s="256" t="inlineStr">
        <is>
          <t>28.04.2026</t>
        </is>
      </c>
      <c r="Q61" s="256" t="inlineStr">
        <is>
          <t>—</t>
        </is>
      </c>
      <c r="R61" s="256" t="inlineStr">
        <is>
          <t>8.09</t>
        </is>
      </c>
      <c r="S61" s="256" t="inlineStr">
        <is>
          <t>100-4-К/26</t>
        </is>
      </c>
      <c r="T61" s="256" t="inlineStr">
        <is>
          <t>V</t>
        </is>
      </c>
      <c r="U61" s="256" t="inlineStr">
        <is>
          <t>7.20 – 8.79 %</t>
        </is>
      </c>
      <c r="V61" s="256" t="inlineStr">
        <is>
          <t>OPM_THC8 : CBD1</t>
        </is>
      </c>
      <c r="W61" s="256" t="inlineStr">
        <is>
          <t>QCSP_001_OPM-V_v.01</t>
        </is>
      </c>
      <c r="X61" s="256" t="inlineStr">
        <is>
          <t>for review — replaces the issued QCSP_001_OPM-V_v.01 (was OPM_THC8 : CBD1, 7.20 – 8.80 %); now OPM_THC8 : CBD1 7.20 – 8.79 %</t>
        </is>
      </c>
      <c r="Y61" s="256" t="inlineStr">
        <is>
          <t>INDICA</t>
        </is>
      </c>
      <c r="Z61" s="256" t="inlineStr">
        <is>
          <t>THC</t>
        </is>
      </c>
      <c r="AA61" s="256" t="inlineStr">
        <is>
          <t>MACHINE TRIMMED</t>
        </is>
      </c>
      <c r="AB61" s="256" t="inlineStr">
        <is>
          <t>—</t>
        </is>
      </c>
      <c r="AC61" s="256" t="inlineStr">
        <is>
          <t>Triplex Alu Bag | Триплекс Aлу Kеса, PET 12 · ALU 7 · PE 80, 300 × 500 mm, net. 400.0 g ±3%</t>
        </is>
      </c>
      <c r="AD61" s="256" t="inlineStr">
        <is>
          <t>23.04.2026</t>
        </is>
      </c>
      <c r="AE61" s="256" t="inlineStr">
        <is>
          <t>Conforms | Одговара</t>
        </is>
      </c>
      <c r="AF61" s="256" t="inlineStr">
        <is>
          <t>iCoA-PP_26-063</t>
        </is>
      </c>
      <c r="AG61" s="256" t="inlineStr">
        <is>
          <t>03.06.2026</t>
        </is>
      </c>
      <c r="AH61" s="256" t="inlineStr">
        <is>
          <t>Purely Plant GmbH (in-house)</t>
        </is>
      </c>
      <c r="AI61" s="256" t="inlineStr">
        <is>
          <t>Conforms | Одговара</t>
        </is>
      </c>
      <c r="AJ61" s="256" t="inlineStr">
        <is>
          <t>iCoA-PP_26-063</t>
        </is>
      </c>
      <c r="AK61" s="256" t="inlineStr">
        <is>
          <t>03.06.2026</t>
        </is>
      </c>
      <c r="AL61" s="256" t="inlineStr">
        <is>
          <t>Purely Plant GmbH (in-house)</t>
        </is>
      </c>
      <c r="AM61" s="256" t="inlineStr">
        <is>
          <t>Conforms | Одговара</t>
        </is>
      </c>
      <c r="AN61" s="256" t="inlineStr">
        <is>
          <t>100-4-К/26</t>
        </is>
      </c>
      <c r="AO61" s="256" t="inlineStr">
        <is>
          <t>09.04.2026</t>
        </is>
      </c>
      <c r="AP61" s="256" t="inlineStr">
        <is>
          <t>Farmahem</t>
        </is>
      </c>
      <c r="AQ61" s="256" t="inlineStr">
        <is>
          <t>8.09</t>
        </is>
      </c>
      <c r="AR61" s="256" t="inlineStr">
        <is>
          <t>100-4-К/26</t>
        </is>
      </c>
      <c r="AS61" s="256" t="inlineStr">
        <is>
          <t>09.04.2026</t>
        </is>
      </c>
      <c r="AT61" s="256" t="inlineStr">
        <is>
          <t>Farmahem</t>
        </is>
      </c>
      <c r="AU61" s="256" t="inlineStr">
        <is>
          <t>&lt; LOQ (&lt;0.20)</t>
        </is>
      </c>
      <c r="AV61" s="256" t="inlineStr">
        <is>
          <t>100-4-К/26</t>
        </is>
      </c>
      <c r="AW61" s="256" t="inlineStr">
        <is>
          <t>09.04.2026</t>
        </is>
      </c>
      <c r="AX61" s="256" t="inlineStr">
        <is>
          <t>Farmahem</t>
        </is>
      </c>
      <c r="AY61" s="256" t="inlineStr">
        <is>
          <t>&lt; LOQ</t>
        </is>
      </c>
      <c r="AZ61" s="256" t="inlineStr">
        <is>
          <t>100-4-К/26</t>
        </is>
      </c>
      <c r="BA61" s="256" t="inlineStr">
        <is>
          <t>09.04.2026</t>
        </is>
      </c>
      <c r="BB61" s="256" t="inlineStr">
        <is>
          <t>Farmahem</t>
        </is>
      </c>
      <c r="BC61" s="256" t="inlineStr">
        <is>
          <t>Conforms | Одговара</t>
        </is>
      </c>
      <c r="BD61" s="256" t="inlineStr">
        <is>
          <t>iCoA-PP_26-063</t>
        </is>
      </c>
      <c r="BE61" s="256" t="inlineStr">
        <is>
          <t>03.06.2026</t>
        </is>
      </c>
      <c r="BF61" s="256" t="inlineStr">
        <is>
          <t>Purely Plant GmbH (in-house)</t>
        </is>
      </c>
      <c r="BG61" s="256" t="inlineStr">
        <is>
          <t>6.6</t>
        </is>
      </c>
      <c r="BH61" s="256" t="inlineStr">
        <is>
          <t>100-4-ГС/26</t>
        </is>
      </c>
      <c r="BI61" s="256" t="inlineStr">
        <is>
          <t>09.04.2026</t>
        </is>
      </c>
      <c r="BJ61" s="256" t="inlineStr">
        <is>
          <t>Farmahem</t>
        </is>
      </c>
      <c r="BK61" s="256" t="inlineStr">
        <is>
          <t>120</t>
        </is>
      </c>
      <c r="BL61" s="256" t="inlineStr">
        <is>
          <t>229/0392/26</t>
        </is>
      </c>
      <c r="BM61" s="256" t="inlineStr">
        <is>
          <t>07.04.2026</t>
        </is>
      </c>
      <c r="BN61" s="256" t="inlineStr">
        <is>
          <t>IPH — Institute of Public Health</t>
        </is>
      </c>
      <c r="BO61" s="256" t="inlineStr">
        <is>
          <t>100</t>
        </is>
      </c>
      <c r="BP61" s="256" t="inlineStr">
        <is>
          <t>229/0392/26</t>
        </is>
      </c>
      <c r="BQ61" s="256" t="inlineStr">
        <is>
          <t>07.04.2026</t>
        </is>
      </c>
      <c r="BR61" s="256" t="inlineStr">
        <is>
          <t>IPH — Institute of Public Health</t>
        </is>
      </c>
      <c r="BS61" s="256" t="inlineStr">
        <is>
          <t>&lt; 10</t>
        </is>
      </c>
      <c r="BT61" s="256" t="inlineStr">
        <is>
          <t>229/0392/26</t>
        </is>
      </c>
      <c r="BU61" s="256" t="inlineStr">
        <is>
          <t>07.04.2026</t>
        </is>
      </c>
      <c r="BV61" s="256" t="inlineStr">
        <is>
          <t>IPH — Institute of Public Health</t>
        </is>
      </c>
      <c r="BW61" s="256" t="inlineStr">
        <is>
          <t>Absent | Отсутна</t>
        </is>
      </c>
      <c r="BX61" s="256" t="inlineStr">
        <is>
          <t>229/0392/26</t>
        </is>
      </c>
      <c r="BY61" s="256" t="inlineStr">
        <is>
          <t>07.04.2026</t>
        </is>
      </c>
      <c r="BZ61" s="256" t="inlineStr">
        <is>
          <t>IPH — Institute of Public Health</t>
        </is>
      </c>
      <c r="CA61" s="256" t="inlineStr">
        <is>
          <t>Absent | Отсутна</t>
        </is>
      </c>
      <c r="CB61" s="256" t="inlineStr">
        <is>
          <t>229/0392/26</t>
        </is>
      </c>
      <c r="CC61" s="256" t="inlineStr">
        <is>
          <t>07.04.2026</t>
        </is>
      </c>
      <c r="CD61" s="256" t="inlineStr">
        <is>
          <t>IPH — Institute of Public Health</t>
        </is>
      </c>
      <c r="CE61" s="260" t="inlineStr">
        <is>
          <t>upon request — not required for release</t>
        </is>
      </c>
      <c r="CF61" s="256" t="inlineStr">
        <is>
          <t>—</t>
        </is>
      </c>
      <c r="CG61" s="256" t="inlineStr">
        <is>
          <t>—</t>
        </is>
      </c>
      <c r="CH61" s="256" t="inlineStr">
        <is>
          <t>—</t>
        </is>
      </c>
      <c r="CI61" s="260" t="inlineStr">
        <is>
          <t>upon request — not required for release</t>
        </is>
      </c>
      <c r="CJ61" s="256" t="inlineStr">
        <is>
          <t>—</t>
        </is>
      </c>
      <c r="CK61" s="256" t="inlineStr">
        <is>
          <t>—</t>
        </is>
      </c>
      <c r="CL61" s="256" t="inlineStr">
        <is>
          <t>—</t>
        </is>
      </c>
      <c r="CM61" s="259" t="inlineStr">
        <is>
          <t>not tested</t>
        </is>
      </c>
      <c r="CN61" s="256" t="inlineStr">
        <is>
          <t>—</t>
        </is>
      </c>
      <c r="CO61" s="256" t="inlineStr">
        <is>
          <t>—</t>
        </is>
      </c>
      <c r="CP61" s="256" t="inlineStr">
        <is>
          <t>—</t>
        </is>
      </c>
      <c r="CQ61" s="256" t="inlineStr">
        <is>
          <t>2.2</t>
        </is>
      </c>
      <c r="CR61" s="256" t="inlineStr">
        <is>
          <t>1627/2026</t>
        </is>
      </c>
      <c r="CS61" s="256" t="inlineStr">
        <is>
          <t>23.04.2026</t>
        </is>
      </c>
      <c r="CT61" s="256" t="inlineStr">
        <is>
          <t>IPH — Institute of Public Health</t>
        </is>
      </c>
      <c r="CU61" s="259" t="inlineStr">
        <is>
          <t>not tested</t>
        </is>
      </c>
      <c r="CV61" s="256" t="inlineStr">
        <is>
          <t>—</t>
        </is>
      </c>
      <c r="CW61" s="256" t="inlineStr">
        <is>
          <t>—</t>
        </is>
      </c>
      <c r="CX61" s="256" t="inlineStr">
        <is>
          <t>—</t>
        </is>
      </c>
      <c r="CY61" s="256" t="inlineStr">
        <is>
          <t>0.049</t>
        </is>
      </c>
      <c r="CZ61" s="256" t="inlineStr">
        <is>
          <t>1627/2026</t>
        </is>
      </c>
      <c r="DA61" s="256" t="inlineStr">
        <is>
          <t>23.04.2026</t>
        </is>
      </c>
      <c r="DB61" s="256" t="inlineStr">
        <is>
          <t>IPH — Institute of Public Health</t>
        </is>
      </c>
      <c r="DC61" s="256" t="inlineStr">
        <is>
          <t>0.165</t>
        </is>
      </c>
      <c r="DD61" s="256" t="inlineStr">
        <is>
          <t>1627/2026</t>
        </is>
      </c>
      <c r="DE61" s="256" t="inlineStr">
        <is>
          <t>23.04.2026</t>
        </is>
      </c>
      <c r="DF61" s="256" t="inlineStr">
        <is>
          <t>IPH — Institute of Public Health</t>
        </is>
      </c>
      <c r="DG61" s="256" t="inlineStr">
        <is>
          <t>ND</t>
        </is>
      </c>
      <c r="DH61" s="256" t="inlineStr">
        <is>
          <t>1627/2026</t>
        </is>
      </c>
      <c r="DI61" s="256" t="inlineStr">
        <is>
          <t>23.04.2026</t>
        </is>
      </c>
      <c r="DJ61" s="256" t="inlineStr">
        <is>
          <t>IPH — Institute of Public Health</t>
        </is>
      </c>
      <c r="DK61" s="256" t="inlineStr">
        <is>
          <t>ND</t>
        </is>
      </c>
      <c r="DL61" s="256" t="inlineStr">
        <is>
          <t>1627/2026</t>
        </is>
      </c>
      <c r="DM61" s="256" t="inlineStr">
        <is>
          <t>23.04.2026</t>
        </is>
      </c>
      <c r="DN61" s="256" t="inlineStr">
        <is>
          <t>IPH — Institute of Public Health</t>
        </is>
      </c>
      <c r="DO61" s="256" t="inlineStr">
        <is>
          <t>ND</t>
        </is>
      </c>
      <c r="DP61" s="256" t="inlineStr">
        <is>
          <t>1627/2026</t>
        </is>
      </c>
      <c r="DQ61" s="256" t="inlineStr">
        <is>
          <t>23.04.2026</t>
        </is>
      </c>
      <c r="DR61" s="256" t="inlineStr">
        <is>
          <t>IPH — Institute of Public Health</t>
        </is>
      </c>
    </row>
    <row r="62">
      <c r="A62" s="256" t="inlineStr">
        <is>
          <t>CoQ-PP_26-061</t>
        </is>
      </c>
      <c r="B62" s="256" t="inlineStr">
        <is>
          <t>release</t>
        </is>
      </c>
      <c r="C62" s="256" t="inlineStr">
        <is>
          <t>issuable</t>
        </is>
      </c>
      <c r="D62" s="256" t="inlineStr">
        <is>
          <t>06.06.2026</t>
        </is>
      </c>
      <c r="E62" s="256" t="inlineStr">
        <is>
          <t>n/a — release certificate</t>
        </is>
      </c>
      <c r="F62" s="256" t="inlineStr">
        <is>
          <t>(assigned on issue)</t>
        </is>
      </c>
      <c r="G62" s="256" t="inlineStr">
        <is>
          <t>GG112501</t>
        </is>
      </c>
      <c r="H62" s="256" t="inlineStr">
        <is>
          <t>— no P lot assigned —</t>
        </is>
      </c>
      <c r="I62" s="256" t="inlineStr">
        <is>
          <t>Gorilla Glue</t>
        </is>
      </c>
      <c r="J62" s="256" t="inlineStr">
        <is>
          <t>25.03.2026</t>
        </is>
      </c>
      <c r="K62" s="256" t="inlineStr">
        <is>
          <t>05.05.2026</t>
        </is>
      </c>
      <c r="L62" s="256" t="inlineStr">
        <is>
          <t>—</t>
        </is>
      </c>
      <c r="M62" s="256" t="inlineStr">
        <is>
          <t>—</t>
        </is>
      </c>
      <c r="N62" s="256" t="inlineStr">
        <is>
          <t>iCoA-PP_26-064</t>
        </is>
      </c>
      <c r="O62" s="256" t="inlineStr">
        <is>
          <t>03.06.2026</t>
        </is>
      </c>
      <c r="P62" s="256" t="inlineStr">
        <is>
          <t>05.05.2026</t>
        </is>
      </c>
      <c r="Q62" s="256" t="inlineStr">
        <is>
          <t>—</t>
        </is>
      </c>
      <c r="R62" s="256" t="inlineStr">
        <is>
          <t>17.94</t>
        </is>
      </c>
      <c r="S62" s="256" t="inlineStr">
        <is>
          <t>ППК26061</t>
        </is>
      </c>
      <c r="T62" s="256" t="inlineStr">
        <is>
          <t>I</t>
        </is>
      </c>
      <c r="U62" s="256" t="inlineStr">
        <is>
          <t>16.23 – 19.76 %</t>
        </is>
      </c>
      <c r="V62" s="256" t="inlineStr">
        <is>
          <t>GG_THC18 : CBD1</t>
        </is>
      </c>
      <c r="W62" s="256" t="inlineStr">
        <is>
          <t>QCSP_001_GG-I_v.01</t>
        </is>
      </c>
      <c r="X62" s="256" t="inlineStr">
        <is>
          <t>for review — replaces the issued QCSP_001_GG-I_v.01 (was GG_THC18 : CBD1, 17.01 – 18.99 %); now GG_THC18 : CBD1 16.23 – 19.76 %</t>
        </is>
      </c>
      <c r="Y62" s="256" t="inlineStr">
        <is>
          <t>INDICA</t>
        </is>
      </c>
      <c r="Z62" s="256" t="inlineStr">
        <is>
          <t>THC</t>
        </is>
      </c>
      <c r="AA62" s="256" t="inlineStr">
        <is>
          <t>MACHINE TRIMMED</t>
        </is>
      </c>
      <c r="AB62" s="256" t="inlineStr">
        <is>
          <t>—</t>
        </is>
      </c>
      <c r="AC62" s="256" t="inlineStr">
        <is>
          <t>Triplex Alu Bag | Триплекс Aлу Kеса, PET 12 · ALU 7 · PE 80, 300 × 500 mm, net. 400.0 g ±3%</t>
        </is>
      </c>
      <c r="AD62" s="256" t="inlineStr">
        <is>
          <t>11.05.2026</t>
        </is>
      </c>
      <c r="AE62" s="256" t="inlineStr">
        <is>
          <t>Conforms | Одговара</t>
        </is>
      </c>
      <c r="AF62" s="256" t="inlineStr">
        <is>
          <t>iCoA-PP_26-064</t>
        </is>
      </c>
      <c r="AG62" s="256" t="inlineStr">
        <is>
          <t>03.06.2026</t>
        </is>
      </c>
      <c r="AH62" s="256" t="inlineStr">
        <is>
          <t>Purely Plant GmbH (in-house)</t>
        </is>
      </c>
      <c r="AI62" s="256" t="inlineStr">
        <is>
          <t>Conforms | Одговара</t>
        </is>
      </c>
      <c r="AJ62" s="256" t="inlineStr">
        <is>
          <t>iCoA-PP_26-064</t>
        </is>
      </c>
      <c r="AK62" s="256" t="inlineStr">
        <is>
          <t>03.06.2026</t>
        </is>
      </c>
      <c r="AL62" s="256" t="inlineStr">
        <is>
          <t>Purely Plant GmbH (in-house)</t>
        </is>
      </c>
      <c r="AM62" s="256" t="inlineStr">
        <is>
          <t>Conforms | Одговара</t>
        </is>
      </c>
      <c r="AN62" s="256" t="inlineStr">
        <is>
          <t>ППК26061</t>
        </is>
      </c>
      <c r="AO62" s="256" t="inlineStr">
        <is>
          <t>11.05.2026</t>
        </is>
      </c>
      <c r="AP62" s="256" t="inlineStr">
        <is>
          <t>UKIM Faculty of Pharmacy — Center for Natural Products</t>
        </is>
      </c>
      <c r="AQ62" s="256" t="inlineStr">
        <is>
          <t>17.94</t>
        </is>
      </c>
      <c r="AR62" s="256" t="inlineStr">
        <is>
          <t>ППК26061</t>
        </is>
      </c>
      <c r="AS62" s="256" t="inlineStr">
        <is>
          <t>11.05.2026</t>
        </is>
      </c>
      <c r="AT62" s="256" t="inlineStr">
        <is>
          <t>UKIM Faculty of Pharmacy — Center for Natural Products</t>
        </is>
      </c>
      <c r="AU62" s="256" t="inlineStr">
        <is>
          <t>0.08</t>
        </is>
      </c>
      <c r="AV62" s="256" t="inlineStr">
        <is>
          <t>ППК26061</t>
        </is>
      </c>
      <c r="AW62" s="256" t="inlineStr">
        <is>
          <t>11.05.2026</t>
        </is>
      </c>
      <c r="AX62" s="256" t="inlineStr">
        <is>
          <t>UKIM Faculty of Pharmacy — Center for Natural Products</t>
        </is>
      </c>
      <c r="AY62" s="259" t="inlineStr">
        <is>
          <t>not tested</t>
        </is>
      </c>
      <c r="AZ62" s="256" t="inlineStr">
        <is>
          <t>—</t>
        </is>
      </c>
      <c r="BA62" s="256" t="inlineStr">
        <is>
          <t>—</t>
        </is>
      </c>
      <c r="BB62" s="256" t="inlineStr">
        <is>
          <t>—</t>
        </is>
      </c>
      <c r="BC62" s="256" t="inlineStr">
        <is>
          <t>Conforms | Одговара</t>
        </is>
      </c>
      <c r="BD62" s="256" t="inlineStr">
        <is>
          <t>iCoA-PP_26-064</t>
        </is>
      </c>
      <c r="BE62" s="256" t="inlineStr">
        <is>
          <t>03.06.2026</t>
        </is>
      </c>
      <c r="BF62" s="256" t="inlineStr">
        <is>
          <t>Purely Plant GmbH (in-house)</t>
        </is>
      </c>
      <c r="BG62" s="256" t="inlineStr">
        <is>
          <t>6.31</t>
        </is>
      </c>
      <c r="BH62" s="256" t="inlineStr">
        <is>
          <t>ППК26061</t>
        </is>
      </c>
      <c r="BI62" s="256" t="inlineStr">
        <is>
          <t>11.05.2026</t>
        </is>
      </c>
      <c r="BJ62" s="256" t="inlineStr">
        <is>
          <t>UKIM Faculty of Pharmacy — Center for Natural Products</t>
        </is>
      </c>
      <c r="BK62" s="256" t="inlineStr">
        <is>
          <t>5,1 × 10³</t>
        </is>
      </c>
      <c r="BL62" s="256" t="inlineStr">
        <is>
          <t>304/0548/26</t>
        </is>
      </c>
      <c r="BM62" s="256" t="inlineStr">
        <is>
          <t>28.04.2026</t>
        </is>
      </c>
      <c r="BN62" s="256" t="inlineStr">
        <is>
          <t>IPH — Institute of Public Health</t>
        </is>
      </c>
      <c r="BO62" s="256" t="inlineStr">
        <is>
          <t>4,5 × 10³</t>
        </is>
      </c>
      <c r="BP62" s="256" t="inlineStr">
        <is>
          <t>304/0548/26</t>
        </is>
      </c>
      <c r="BQ62" s="256" t="inlineStr">
        <is>
          <t>28.04.2026</t>
        </is>
      </c>
      <c r="BR62" s="256" t="inlineStr">
        <is>
          <t>IPH — Institute of Public Health</t>
        </is>
      </c>
      <c r="BS62" s="256" t="inlineStr">
        <is>
          <t>&lt; 10² and &gt; 10</t>
        </is>
      </c>
      <c r="BT62" s="256" t="inlineStr">
        <is>
          <t>304/0548/26</t>
        </is>
      </c>
      <c r="BU62" s="256" t="inlineStr">
        <is>
          <t>28.04.2026</t>
        </is>
      </c>
      <c r="BV62" s="256" t="inlineStr">
        <is>
          <t>IPH — Institute of Public Health</t>
        </is>
      </c>
      <c r="BW62" s="256" t="inlineStr">
        <is>
          <t>Absent | Отсутна</t>
        </is>
      </c>
      <c r="BX62" s="256" t="inlineStr">
        <is>
          <t>304/0548/26</t>
        </is>
      </c>
      <c r="BY62" s="256" t="inlineStr">
        <is>
          <t>28.04.2026</t>
        </is>
      </c>
      <c r="BZ62" s="256" t="inlineStr">
        <is>
          <t>IPH — Institute of Public Health</t>
        </is>
      </c>
      <c r="CA62" s="256" t="inlineStr">
        <is>
          <t>Absent | Отсутна</t>
        </is>
      </c>
      <c r="CB62" s="256" t="inlineStr">
        <is>
          <t>304/0548/26</t>
        </is>
      </c>
      <c r="CC62" s="256" t="inlineStr">
        <is>
          <t>28.04.2026</t>
        </is>
      </c>
      <c r="CD62" s="256" t="inlineStr">
        <is>
          <t>IPH — Institute of Public Health</t>
        </is>
      </c>
      <c r="CE62" s="260" t="inlineStr">
        <is>
          <t>upon request — not required for release</t>
        </is>
      </c>
      <c r="CF62" s="256" t="inlineStr">
        <is>
          <t>—</t>
        </is>
      </c>
      <c r="CG62" s="256" t="inlineStr">
        <is>
          <t>—</t>
        </is>
      </c>
      <c r="CH62" s="256" t="inlineStr">
        <is>
          <t>—</t>
        </is>
      </c>
      <c r="CI62" s="260" t="inlineStr">
        <is>
          <t>upon request — not required for release</t>
        </is>
      </c>
      <c r="CJ62" s="256" t="inlineStr">
        <is>
          <t>—</t>
        </is>
      </c>
      <c r="CK62" s="256" t="inlineStr">
        <is>
          <t>—</t>
        </is>
      </c>
      <c r="CL62" s="256" t="inlineStr">
        <is>
          <t>—</t>
        </is>
      </c>
      <c r="CM62" s="259" t="inlineStr">
        <is>
          <t>not tested</t>
        </is>
      </c>
      <c r="CN62" s="256" t="inlineStr">
        <is>
          <t>—</t>
        </is>
      </c>
      <c r="CO62" s="256" t="inlineStr">
        <is>
          <t>—</t>
        </is>
      </c>
      <c r="CP62" s="256" t="inlineStr">
        <is>
          <t>—</t>
        </is>
      </c>
      <c r="CQ62" s="256" t="inlineStr">
        <is>
          <t>&lt; 2</t>
        </is>
      </c>
      <c r="CR62" s="256" t="inlineStr">
        <is>
          <t>2358/2026</t>
        </is>
      </c>
      <c r="CS62" s="256" t="inlineStr">
        <is>
          <t>29.04.2026</t>
        </is>
      </c>
      <c r="CT62" s="256" t="inlineStr">
        <is>
          <t>IPH — Institute of Public Health</t>
        </is>
      </c>
      <c r="CU62" s="259" t="inlineStr">
        <is>
          <t>not tested</t>
        </is>
      </c>
      <c r="CV62" s="256" t="inlineStr">
        <is>
          <t>—</t>
        </is>
      </c>
      <c r="CW62" s="256" t="inlineStr">
        <is>
          <t>—</t>
        </is>
      </c>
      <c r="CX62" s="256" t="inlineStr">
        <is>
          <t>—</t>
        </is>
      </c>
      <c r="CY62" s="256" t="inlineStr">
        <is>
          <t>0.033</t>
        </is>
      </c>
      <c r="CZ62" s="256" t="inlineStr">
        <is>
          <t>2358/2026</t>
        </is>
      </c>
      <c r="DA62" s="256" t="inlineStr">
        <is>
          <t>29.04.2026</t>
        </is>
      </c>
      <c r="DB62" s="256" t="inlineStr">
        <is>
          <t>IPH — Institute of Public Health</t>
        </is>
      </c>
      <c r="DC62" s="256" t="inlineStr">
        <is>
          <t>0.0154</t>
        </is>
      </c>
      <c r="DD62" s="256" t="inlineStr">
        <is>
          <t>2358/2026</t>
        </is>
      </c>
      <c r="DE62" s="256" t="inlineStr">
        <is>
          <t>29.04.2026</t>
        </is>
      </c>
      <c r="DF62" s="256" t="inlineStr">
        <is>
          <t>IPH — Institute of Public Health</t>
        </is>
      </c>
      <c r="DG62" s="256" t="inlineStr">
        <is>
          <t>0.0272</t>
        </is>
      </c>
      <c r="DH62" s="256" t="inlineStr">
        <is>
          <t>2358/2026</t>
        </is>
      </c>
      <c r="DI62" s="256" t="inlineStr">
        <is>
          <t>29.04.2026</t>
        </is>
      </c>
      <c r="DJ62" s="256" t="inlineStr">
        <is>
          <t>IPH — Institute of Public Health</t>
        </is>
      </c>
      <c r="DK62" s="256" t="inlineStr">
        <is>
          <t>0.0146</t>
        </is>
      </c>
      <c r="DL62" s="256" t="inlineStr">
        <is>
          <t>2358/2026</t>
        </is>
      </c>
      <c r="DM62" s="256" t="inlineStr">
        <is>
          <t>29.04.2026</t>
        </is>
      </c>
      <c r="DN62" s="256" t="inlineStr">
        <is>
          <t>IPH — Institute of Public Health</t>
        </is>
      </c>
      <c r="DO62" s="256" t="inlineStr">
        <is>
          <t>ND</t>
        </is>
      </c>
      <c r="DP62" s="256" t="inlineStr">
        <is>
          <t>2358/2026</t>
        </is>
      </c>
      <c r="DQ62" s="256" t="inlineStr">
        <is>
          <t>29.04.2026</t>
        </is>
      </c>
      <c r="DR62" s="256" t="inlineStr">
        <is>
          <t>IPH — Institute of Public Health</t>
        </is>
      </c>
    </row>
    <row r="63">
      <c r="A63" s="256" t="inlineStr">
        <is>
          <t>CoQ-PP_26-062</t>
        </is>
      </c>
      <c r="B63" s="256" t="inlineStr">
        <is>
          <t>release</t>
        </is>
      </c>
      <c r="C63" s="256" t="inlineStr">
        <is>
          <t>issuable</t>
        </is>
      </c>
      <c r="D63" s="256" t="inlineStr">
        <is>
          <t>06.06.2026</t>
        </is>
      </c>
      <c r="E63" s="256" t="inlineStr">
        <is>
          <t>n/a — release certificate</t>
        </is>
      </c>
      <c r="F63" s="256" t="inlineStr">
        <is>
          <t>(assigned on issue)</t>
        </is>
      </c>
      <c r="G63" s="256" t="inlineStr">
        <is>
          <t>J31122501</t>
        </is>
      </c>
      <c r="H63" s="256" t="inlineStr">
        <is>
          <t>— no P lot assigned —</t>
        </is>
      </c>
      <c r="I63" s="256" t="inlineStr">
        <is>
          <t>Jokerz 31</t>
        </is>
      </c>
      <c r="J63" s="256" t="inlineStr">
        <is>
          <t>04.03.2026</t>
        </is>
      </c>
      <c r="K63" s="256" t="inlineStr">
        <is>
          <t>14.05.2026</t>
        </is>
      </c>
      <c r="L63" s="256" t="inlineStr">
        <is>
          <t>—</t>
        </is>
      </c>
      <c r="M63" s="256" t="inlineStr">
        <is>
          <t>—</t>
        </is>
      </c>
      <c r="N63" s="256" t="inlineStr">
        <is>
          <t>iCoA-PP_26-072</t>
        </is>
      </c>
      <c r="O63" s="256" t="inlineStr">
        <is>
          <t>03.06.2026</t>
        </is>
      </c>
      <c r="P63" s="256" t="inlineStr">
        <is>
          <t>14.05.2026</t>
        </is>
      </c>
      <c r="Q63" s="256" t="inlineStr">
        <is>
          <t>—</t>
        </is>
      </c>
      <c r="R63" s="256" t="inlineStr">
        <is>
          <t>19.84</t>
        </is>
      </c>
      <c r="S63" s="256" t="inlineStr">
        <is>
          <t>100-2-К/26</t>
        </is>
      </c>
      <c r="T63" s="256" t="inlineStr">
        <is>
          <t>II</t>
        </is>
      </c>
      <c r="U63" s="256" t="inlineStr">
        <is>
          <t>19.80 – 24.19 %</t>
        </is>
      </c>
      <c r="V63" s="256" t="inlineStr">
        <is>
          <t>J31_THC22 : CBD1</t>
        </is>
      </c>
      <c r="W63" s="256" t="inlineStr">
        <is>
          <t>QCSP_001_J31-II_v.01</t>
        </is>
      </c>
      <c r="X63" s="256" t="inlineStr">
        <is>
          <t>for review — replaces the issued QCSP_001_J31-II_v.01 (was J31_THC18 : CBD1, 16.20 – 19.80 %); now J31_THC22 : CBD1 19.80 – 24.19 %</t>
        </is>
      </c>
      <c r="Y63" s="256" t="inlineStr">
        <is>
          <t>HYBRID</t>
        </is>
      </c>
      <c r="Z63" s="256" t="inlineStr">
        <is>
          <t>THC</t>
        </is>
      </c>
      <c r="AA63" s="256" t="inlineStr">
        <is>
          <t>MACHINE TRIMMED</t>
        </is>
      </c>
      <c r="AB63" s="256" t="inlineStr">
        <is>
          <t>INDICA 70 : SATIVA 30</t>
        </is>
      </c>
      <c r="AC63" s="256" t="inlineStr">
        <is>
          <t>Triplex Alu Bag | Триплекс Aлу Kеса, PET 12 · ALU 7 · PE 80, 300 × 500 mm, net. 400.0 g ±3%</t>
        </is>
      </c>
      <c r="AD63" s="256" t="inlineStr">
        <is>
          <t>23.04.2026</t>
        </is>
      </c>
      <c r="AE63" s="256" t="inlineStr">
        <is>
          <t>Conforms | Одговара</t>
        </is>
      </c>
      <c r="AF63" s="256" t="inlineStr">
        <is>
          <t>iCoA-PP_26-072</t>
        </is>
      </c>
      <c r="AG63" s="256" t="inlineStr">
        <is>
          <t>03.06.2026</t>
        </is>
      </c>
      <c r="AH63" s="256" t="inlineStr">
        <is>
          <t>Purely Plant GmbH (in-house)</t>
        </is>
      </c>
      <c r="AI63" s="256" t="inlineStr">
        <is>
          <t>Conforms | Одговара</t>
        </is>
      </c>
      <c r="AJ63" s="256" t="inlineStr">
        <is>
          <t>iCoA-PP_26-072</t>
        </is>
      </c>
      <c r="AK63" s="256" t="inlineStr">
        <is>
          <t>03.06.2026</t>
        </is>
      </c>
      <c r="AL63" s="256" t="inlineStr">
        <is>
          <t>Purely Plant GmbH (in-house)</t>
        </is>
      </c>
      <c r="AM63" s="256" t="inlineStr">
        <is>
          <t>Conforms | Одговара</t>
        </is>
      </c>
      <c r="AN63" s="256" t="inlineStr">
        <is>
          <t>100-2-К/26</t>
        </is>
      </c>
      <c r="AO63" s="256" t="inlineStr">
        <is>
          <t>09.04.2026</t>
        </is>
      </c>
      <c r="AP63" s="256" t="inlineStr">
        <is>
          <t>Farmahem</t>
        </is>
      </c>
      <c r="AQ63" s="256" t="inlineStr">
        <is>
          <t>19.84</t>
        </is>
      </c>
      <c r="AR63" s="256" t="inlineStr">
        <is>
          <t>100-2-К/26</t>
        </is>
      </c>
      <c r="AS63" s="256" t="inlineStr">
        <is>
          <t>09.04.2026</t>
        </is>
      </c>
      <c r="AT63" s="256" t="inlineStr">
        <is>
          <t>Farmahem</t>
        </is>
      </c>
      <c r="AU63" s="256" t="inlineStr">
        <is>
          <t>&lt; LOQ (&lt;0.20)</t>
        </is>
      </c>
      <c r="AV63" s="256" t="inlineStr">
        <is>
          <t>100-2-К/26</t>
        </is>
      </c>
      <c r="AW63" s="256" t="inlineStr">
        <is>
          <t>09.04.2026</t>
        </is>
      </c>
      <c r="AX63" s="256" t="inlineStr">
        <is>
          <t>Farmahem</t>
        </is>
      </c>
      <c r="AY63" s="256" t="inlineStr">
        <is>
          <t>&lt; LOQ</t>
        </is>
      </c>
      <c r="AZ63" s="256" t="inlineStr">
        <is>
          <t>100-2-К/26</t>
        </is>
      </c>
      <c r="BA63" s="256" t="inlineStr">
        <is>
          <t>09.04.2026</t>
        </is>
      </c>
      <c r="BB63" s="256" t="inlineStr">
        <is>
          <t>Farmahem</t>
        </is>
      </c>
      <c r="BC63" s="256" t="inlineStr">
        <is>
          <t>Conforms | Одговара</t>
        </is>
      </c>
      <c r="BD63" s="256" t="inlineStr">
        <is>
          <t>iCoA-PP_26-072</t>
        </is>
      </c>
      <c r="BE63" s="256" t="inlineStr">
        <is>
          <t>03.06.2026</t>
        </is>
      </c>
      <c r="BF63" s="256" t="inlineStr">
        <is>
          <t>Purely Plant GmbH (in-house)</t>
        </is>
      </c>
      <c r="BG63" s="256" t="inlineStr">
        <is>
          <t>10.3</t>
        </is>
      </c>
      <c r="BH63" s="256" t="inlineStr">
        <is>
          <t>100-2-ГС/26</t>
        </is>
      </c>
      <c r="BI63" s="256" t="inlineStr">
        <is>
          <t>09.04.2026</t>
        </is>
      </c>
      <c r="BJ63" s="256" t="inlineStr">
        <is>
          <t>Farmahem</t>
        </is>
      </c>
      <c r="BK63" s="256" t="inlineStr">
        <is>
          <t>850</t>
        </is>
      </c>
      <c r="BL63" s="256" t="inlineStr">
        <is>
          <t>231/0394/26 (Racno trimiran cvet)</t>
        </is>
      </c>
      <c r="BM63" s="256" t="inlineStr">
        <is>
          <t>07.04.2026</t>
        </is>
      </c>
      <c r="BN63" s="256" t="inlineStr">
        <is>
          <t>IPH — Institute of Public Health</t>
        </is>
      </c>
      <c r="BO63" s="256" t="inlineStr">
        <is>
          <t>370</t>
        </is>
      </c>
      <c r="BP63" s="256" t="inlineStr">
        <is>
          <t>231/0394/26 (Racno trimiran cvet)</t>
        </is>
      </c>
      <c r="BQ63" s="256" t="inlineStr">
        <is>
          <t>07.04.2026</t>
        </is>
      </c>
      <c r="BR63" s="256" t="inlineStr">
        <is>
          <t>IPH — Institute of Public Health</t>
        </is>
      </c>
      <c r="BS63" s="256" t="inlineStr">
        <is>
          <t>&lt; 10² and &gt; 10</t>
        </is>
      </c>
      <c r="BT63" s="256" t="inlineStr">
        <is>
          <t>231/0394/26 (Racno trimiran cvet)</t>
        </is>
      </c>
      <c r="BU63" s="256" t="inlineStr">
        <is>
          <t>07.04.2026</t>
        </is>
      </c>
      <c r="BV63" s="256" t="inlineStr">
        <is>
          <t>IPH — Institute of Public Health</t>
        </is>
      </c>
      <c r="BW63" s="256" t="inlineStr">
        <is>
          <t>Absent | Отсутна</t>
        </is>
      </c>
      <c r="BX63" s="256" t="inlineStr">
        <is>
          <t>231/0394/26 (Racno trimiran cvet)</t>
        </is>
      </c>
      <c r="BY63" s="256" t="inlineStr">
        <is>
          <t>07.04.2026</t>
        </is>
      </c>
      <c r="BZ63" s="256" t="inlineStr">
        <is>
          <t>IPH — Institute of Public Health</t>
        </is>
      </c>
      <c r="CA63" s="256" t="inlineStr">
        <is>
          <t>Absent | Отсутна</t>
        </is>
      </c>
      <c r="CB63" s="256" t="inlineStr">
        <is>
          <t>231/0394/26 (Racno trimiran cvet)</t>
        </is>
      </c>
      <c r="CC63" s="256" t="inlineStr">
        <is>
          <t>07.04.2026</t>
        </is>
      </c>
      <c r="CD63" s="256" t="inlineStr">
        <is>
          <t>IPH — Institute of Public Health</t>
        </is>
      </c>
      <c r="CE63" s="260" t="inlineStr">
        <is>
          <t>upon request — not required for release</t>
        </is>
      </c>
      <c r="CF63" s="256" t="inlineStr">
        <is>
          <t>—</t>
        </is>
      </c>
      <c r="CG63" s="256" t="inlineStr">
        <is>
          <t>—</t>
        </is>
      </c>
      <c r="CH63" s="256" t="inlineStr">
        <is>
          <t>—</t>
        </is>
      </c>
      <c r="CI63" s="260" t="inlineStr">
        <is>
          <t>upon request — not required for release</t>
        </is>
      </c>
      <c r="CJ63" s="256" t="inlineStr">
        <is>
          <t>—</t>
        </is>
      </c>
      <c r="CK63" s="256" t="inlineStr">
        <is>
          <t>—</t>
        </is>
      </c>
      <c r="CL63" s="256" t="inlineStr">
        <is>
          <t>—</t>
        </is>
      </c>
      <c r="CM63" s="259" t="inlineStr">
        <is>
          <t>not tested</t>
        </is>
      </c>
      <c r="CN63" s="256" t="inlineStr">
        <is>
          <t>—</t>
        </is>
      </c>
      <c r="CO63" s="256" t="inlineStr">
        <is>
          <t>—</t>
        </is>
      </c>
      <c r="CP63" s="256" t="inlineStr">
        <is>
          <t>—</t>
        </is>
      </c>
      <c r="CQ63" s="256" t="inlineStr">
        <is>
          <t>2.5</t>
        </is>
      </c>
      <c r="CR63" s="256" t="inlineStr">
        <is>
          <t>1628/2026</t>
        </is>
      </c>
      <c r="CS63" s="256" t="inlineStr">
        <is>
          <t>23.04.2026</t>
        </is>
      </c>
      <c r="CT63" s="256" t="inlineStr">
        <is>
          <t>IPH — Institute of Public Health</t>
        </is>
      </c>
      <c r="CU63" s="259" t="inlineStr">
        <is>
          <t>not tested</t>
        </is>
      </c>
      <c r="CV63" s="256" t="inlineStr">
        <is>
          <t>—</t>
        </is>
      </c>
      <c r="CW63" s="256" t="inlineStr">
        <is>
          <t>—</t>
        </is>
      </c>
      <c r="CX63" s="256" t="inlineStr">
        <is>
          <t>—</t>
        </is>
      </c>
      <c r="CY63" s="256" t="inlineStr">
        <is>
          <t>ND</t>
        </is>
      </c>
      <c r="CZ63" s="256" t="inlineStr">
        <is>
          <t>1628/2026</t>
        </is>
      </c>
      <c r="DA63" s="256" t="inlineStr">
        <is>
          <t>23.04.2026</t>
        </is>
      </c>
      <c r="DB63" s="256" t="inlineStr">
        <is>
          <t>IPH — Institute of Public Health</t>
        </is>
      </c>
      <c r="DC63" s="256" t="inlineStr">
        <is>
          <t>ND</t>
        </is>
      </c>
      <c r="DD63" s="256" t="inlineStr">
        <is>
          <t>1628/2026</t>
        </is>
      </c>
      <c r="DE63" s="256" t="inlineStr">
        <is>
          <t>23.04.2026</t>
        </is>
      </c>
      <c r="DF63" s="256" t="inlineStr">
        <is>
          <t>IPH — Institute of Public Health</t>
        </is>
      </c>
      <c r="DG63" s="256" t="inlineStr">
        <is>
          <t>ND</t>
        </is>
      </c>
      <c r="DH63" s="256" t="inlineStr">
        <is>
          <t>1628/2026</t>
        </is>
      </c>
      <c r="DI63" s="256" t="inlineStr">
        <is>
          <t>23.04.2026</t>
        </is>
      </c>
      <c r="DJ63" s="256" t="inlineStr">
        <is>
          <t>IPH — Institute of Public Health</t>
        </is>
      </c>
      <c r="DK63" s="256" t="inlineStr">
        <is>
          <t>ND</t>
        </is>
      </c>
      <c r="DL63" s="256" t="inlineStr">
        <is>
          <t>1628/2026</t>
        </is>
      </c>
      <c r="DM63" s="256" t="inlineStr">
        <is>
          <t>23.04.2026</t>
        </is>
      </c>
      <c r="DN63" s="256" t="inlineStr">
        <is>
          <t>IPH — Institute of Public Health</t>
        </is>
      </c>
      <c r="DO63" s="256" t="inlineStr">
        <is>
          <t>ND</t>
        </is>
      </c>
      <c r="DP63" s="256" t="inlineStr">
        <is>
          <t>1628/2026</t>
        </is>
      </c>
      <c r="DQ63" s="256" t="inlineStr">
        <is>
          <t>23.04.2026</t>
        </is>
      </c>
      <c r="DR63" s="256" t="inlineStr">
        <is>
          <t>IPH — Institute of Public Health</t>
        </is>
      </c>
    </row>
    <row r="64">
      <c r="A64" s="256" t="inlineStr">
        <is>
          <t>CoQ-PP_26-063</t>
        </is>
      </c>
      <c r="B64" s="256" t="inlineStr">
        <is>
          <t>release</t>
        </is>
      </c>
      <c r="C64" s="256" t="inlineStr">
        <is>
          <t>issuable</t>
        </is>
      </c>
      <c r="D64" s="256" t="inlineStr">
        <is>
          <t>06.06.2026</t>
        </is>
      </c>
      <c r="E64" s="256" t="inlineStr">
        <is>
          <t>n/a — release certificate</t>
        </is>
      </c>
      <c r="F64" s="256" t="inlineStr">
        <is>
          <t>(assigned on issue)</t>
        </is>
      </c>
      <c r="G64" s="256" t="inlineStr">
        <is>
          <t>CC112501</t>
        </is>
      </c>
      <c r="H64" s="256" t="inlineStr">
        <is>
          <t>— no P lot assigned —</t>
        </is>
      </c>
      <c r="I64" s="256" t="inlineStr">
        <is>
          <t>Cash Cow</t>
        </is>
      </c>
      <c r="J64" s="256" t="inlineStr">
        <is>
          <t>25.03.2026</t>
        </is>
      </c>
      <c r="K64" s="256" t="inlineStr">
        <is>
          <t>18.05.2026</t>
        </is>
      </c>
      <c r="L64" s="256" t="inlineStr">
        <is>
          <t>—</t>
        </is>
      </c>
      <c r="M64" s="256" t="inlineStr">
        <is>
          <t>—</t>
        </is>
      </c>
      <c r="N64" s="256" t="inlineStr">
        <is>
          <t>iCoA-PP_26-073</t>
        </is>
      </c>
      <c r="O64" s="256" t="inlineStr">
        <is>
          <t>03.06.2026</t>
        </is>
      </c>
      <c r="P64" s="256" t="inlineStr">
        <is>
          <t>18.05.2026</t>
        </is>
      </c>
      <c r="Q64" s="256" t="inlineStr">
        <is>
          <t>—</t>
        </is>
      </c>
      <c r="R64" s="256" t="inlineStr">
        <is>
          <t>13.35</t>
        </is>
      </c>
      <c r="S64" s="256" t="inlineStr">
        <is>
          <t>ППК26068</t>
        </is>
      </c>
      <c r="T64" s="256" t="inlineStr">
        <is>
          <t>II</t>
        </is>
      </c>
      <c r="U64" s="256" t="inlineStr">
        <is>
          <t>12.65 – 15.34 %</t>
        </is>
      </c>
      <c r="V64" s="256" t="inlineStr">
        <is>
          <t>CC_THC14 : CBD1</t>
        </is>
      </c>
      <c r="W64" s="256" t="inlineStr">
        <is>
          <t>QCSP_001_CC-II_v.01</t>
        </is>
      </c>
      <c r="X64" s="256" t="inlineStr">
        <is>
          <t>for review — replaces the issued QCSP_001_CC-II_v.01 (was CC_THC14 : CBD1, 12.60 – 15.40 %); now CC_THC14 : CBD1 12.65 – 15.34 %</t>
        </is>
      </c>
      <c r="Y64" s="256" t="inlineStr">
        <is>
          <t>HYBRID</t>
        </is>
      </c>
      <c r="Z64" s="256" t="inlineStr">
        <is>
          <t>THC</t>
        </is>
      </c>
      <c r="AA64" s="256" t="inlineStr">
        <is>
          <t>MACHINE TRIMMED</t>
        </is>
      </c>
      <c r="AB64" s="256" t="inlineStr">
        <is>
          <t>INDICA 70 : SATIVA 30</t>
        </is>
      </c>
      <c r="AC64" s="256" t="inlineStr">
        <is>
          <t>Triplex Alu Bag | Триплекс Aлу Kеса, PET 12 · ALU 7 · PE 80, 300 × 500 mm, net. 400.0 g ±3%</t>
        </is>
      </c>
      <c r="AD64" s="256" t="inlineStr">
        <is>
          <t>11.05.2026</t>
        </is>
      </c>
      <c r="AE64" s="256" t="inlineStr">
        <is>
          <t>Conforms | Одговара</t>
        </is>
      </c>
      <c r="AF64" s="256" t="inlineStr">
        <is>
          <t>iCoA-PP_26-073</t>
        </is>
      </c>
      <c r="AG64" s="256" t="inlineStr">
        <is>
          <t>03.06.2026</t>
        </is>
      </c>
      <c r="AH64" s="256" t="inlineStr">
        <is>
          <t>Purely Plant GmbH (in-house)</t>
        </is>
      </c>
      <c r="AI64" s="256" t="inlineStr">
        <is>
          <t>Conforms | Одговара</t>
        </is>
      </c>
      <c r="AJ64" s="256" t="inlineStr">
        <is>
          <t>iCoA-PP_26-073</t>
        </is>
      </c>
      <c r="AK64" s="256" t="inlineStr">
        <is>
          <t>03.06.2026</t>
        </is>
      </c>
      <c r="AL64" s="256" t="inlineStr">
        <is>
          <t>Purely Plant GmbH (in-house)</t>
        </is>
      </c>
      <c r="AM64" s="256" t="inlineStr">
        <is>
          <t>Conforms | Одговара</t>
        </is>
      </c>
      <c r="AN64" s="256" t="inlineStr">
        <is>
          <t>ППК26068</t>
        </is>
      </c>
      <c r="AO64" s="256" t="inlineStr">
        <is>
          <t>11.05.2026</t>
        </is>
      </c>
      <c r="AP64" s="256" t="inlineStr">
        <is>
          <t>UKIM Faculty of Pharmacy — Center for Natural Products</t>
        </is>
      </c>
      <c r="AQ64" s="256" t="inlineStr">
        <is>
          <t>13.35</t>
        </is>
      </c>
      <c r="AR64" s="256" t="inlineStr">
        <is>
          <t>ППК26068</t>
        </is>
      </c>
      <c r="AS64" s="256" t="inlineStr">
        <is>
          <t>11.05.2026</t>
        </is>
      </c>
      <c r="AT64" s="256" t="inlineStr">
        <is>
          <t>UKIM Faculty of Pharmacy — Center for Natural Products</t>
        </is>
      </c>
      <c r="AU64" s="256" t="inlineStr">
        <is>
          <t>0.04</t>
        </is>
      </c>
      <c r="AV64" s="256" t="inlineStr">
        <is>
          <t>ППК26068</t>
        </is>
      </c>
      <c r="AW64" s="256" t="inlineStr">
        <is>
          <t>11.05.2026</t>
        </is>
      </c>
      <c r="AX64" s="256" t="inlineStr">
        <is>
          <t>UKIM Faculty of Pharmacy — Center for Natural Products</t>
        </is>
      </c>
      <c r="AY64" s="259" t="inlineStr">
        <is>
          <t>not tested</t>
        </is>
      </c>
      <c r="AZ64" s="256" t="inlineStr">
        <is>
          <t>—</t>
        </is>
      </c>
      <c r="BA64" s="256" t="inlineStr">
        <is>
          <t>—</t>
        </is>
      </c>
      <c r="BB64" s="256" t="inlineStr">
        <is>
          <t>—</t>
        </is>
      </c>
      <c r="BC64" s="256" t="inlineStr">
        <is>
          <t>Conforms | Одговара</t>
        </is>
      </c>
      <c r="BD64" s="256" t="inlineStr">
        <is>
          <t>iCoA-PP_26-073</t>
        </is>
      </c>
      <c r="BE64" s="256" t="inlineStr">
        <is>
          <t>03.06.2026</t>
        </is>
      </c>
      <c r="BF64" s="256" t="inlineStr">
        <is>
          <t>Purely Plant GmbH (in-house)</t>
        </is>
      </c>
      <c r="BG64" s="256" t="inlineStr">
        <is>
          <t>7.39</t>
        </is>
      </c>
      <c r="BH64" s="256" t="inlineStr">
        <is>
          <t>ППК26068</t>
        </is>
      </c>
      <c r="BI64" s="256" t="inlineStr">
        <is>
          <t>11.05.2026</t>
        </is>
      </c>
      <c r="BJ64" s="256" t="inlineStr">
        <is>
          <t>UKIM Faculty of Pharmacy — Center for Natural Products</t>
        </is>
      </c>
      <c r="BK64" s="256" t="inlineStr">
        <is>
          <t>3,8 × 10³</t>
        </is>
      </c>
      <c r="BL64" s="256" t="inlineStr">
        <is>
          <t>311/0555/26</t>
        </is>
      </c>
      <c r="BM64" s="256" t="inlineStr">
        <is>
          <t>28.04.2026</t>
        </is>
      </c>
      <c r="BN64" s="256" t="inlineStr">
        <is>
          <t>IPH — Institute of Public Health</t>
        </is>
      </c>
      <c r="BO64" s="256" t="inlineStr">
        <is>
          <t>2,7 × 10³</t>
        </is>
      </c>
      <c r="BP64" s="256" t="inlineStr">
        <is>
          <t>311/0555/26</t>
        </is>
      </c>
      <c r="BQ64" s="256" t="inlineStr">
        <is>
          <t>28.04.2026</t>
        </is>
      </c>
      <c r="BR64" s="256" t="inlineStr">
        <is>
          <t>IPH — Institute of Public Health</t>
        </is>
      </c>
      <c r="BS64" s="256" t="inlineStr">
        <is>
          <t>&lt; 10³ and &gt; 10²</t>
        </is>
      </c>
      <c r="BT64" s="256" t="inlineStr">
        <is>
          <t>311/0555/26</t>
        </is>
      </c>
      <c r="BU64" s="256" t="inlineStr">
        <is>
          <t>28.04.2026</t>
        </is>
      </c>
      <c r="BV64" s="256" t="inlineStr">
        <is>
          <t>IPH — Institute of Public Health</t>
        </is>
      </c>
      <c r="BW64" s="256" t="inlineStr">
        <is>
          <t>Absent | Отсутна</t>
        </is>
      </c>
      <c r="BX64" s="256" t="inlineStr">
        <is>
          <t>311/0555/26</t>
        </is>
      </c>
      <c r="BY64" s="256" t="inlineStr">
        <is>
          <t>28.04.2026</t>
        </is>
      </c>
      <c r="BZ64" s="256" t="inlineStr">
        <is>
          <t>IPH — Institute of Public Health</t>
        </is>
      </c>
      <c r="CA64" s="256" t="inlineStr">
        <is>
          <t>Absent | Отсутна</t>
        </is>
      </c>
      <c r="CB64" s="256" t="inlineStr">
        <is>
          <t>311/0555/26</t>
        </is>
      </c>
      <c r="CC64" s="256" t="inlineStr">
        <is>
          <t>28.04.2026</t>
        </is>
      </c>
      <c r="CD64" s="256" t="inlineStr">
        <is>
          <t>IPH — Institute of Public Health</t>
        </is>
      </c>
      <c r="CE64" s="260" t="inlineStr">
        <is>
          <t>upon request — not required for release</t>
        </is>
      </c>
      <c r="CF64" s="256" t="inlineStr">
        <is>
          <t>—</t>
        </is>
      </c>
      <c r="CG64" s="256" t="inlineStr">
        <is>
          <t>—</t>
        </is>
      </c>
      <c r="CH64" s="256" t="inlineStr">
        <is>
          <t>—</t>
        </is>
      </c>
      <c r="CI64" s="260" t="inlineStr">
        <is>
          <t>upon request — not required for release</t>
        </is>
      </c>
      <c r="CJ64" s="256" t="inlineStr">
        <is>
          <t>—</t>
        </is>
      </c>
      <c r="CK64" s="256" t="inlineStr">
        <is>
          <t>—</t>
        </is>
      </c>
      <c r="CL64" s="256" t="inlineStr">
        <is>
          <t>—</t>
        </is>
      </c>
      <c r="CM64" s="259" t="inlineStr">
        <is>
          <t>not tested</t>
        </is>
      </c>
      <c r="CN64" s="256" t="inlineStr">
        <is>
          <t>—</t>
        </is>
      </c>
      <c r="CO64" s="256" t="inlineStr">
        <is>
          <t>—</t>
        </is>
      </c>
      <c r="CP64" s="256" t="inlineStr">
        <is>
          <t>—</t>
        </is>
      </c>
      <c r="CQ64" s="256" t="inlineStr">
        <is>
          <t>&lt; 2</t>
        </is>
      </c>
      <c r="CR64" s="256" t="inlineStr">
        <is>
          <t>2359/2026</t>
        </is>
      </c>
      <c r="CS64" s="256" t="inlineStr">
        <is>
          <t>29.04.2026</t>
        </is>
      </c>
      <c r="CT64" s="256" t="inlineStr">
        <is>
          <t>IPH — Institute of Public Health</t>
        </is>
      </c>
      <c r="CU64" s="259" t="inlineStr">
        <is>
          <t>not tested</t>
        </is>
      </c>
      <c r="CV64" s="256" t="inlineStr">
        <is>
          <t>—</t>
        </is>
      </c>
      <c r="CW64" s="256" t="inlineStr">
        <is>
          <t>—</t>
        </is>
      </c>
      <c r="CX64" s="256" t="inlineStr">
        <is>
          <t>—</t>
        </is>
      </c>
      <c r="CY64" s="256" t="inlineStr">
        <is>
          <t>0.0289</t>
        </is>
      </c>
      <c r="CZ64" s="256" t="inlineStr">
        <is>
          <t>2359/2026</t>
        </is>
      </c>
      <c r="DA64" s="256" t="inlineStr">
        <is>
          <t>29.04.2026</t>
        </is>
      </c>
      <c r="DB64" s="256" t="inlineStr">
        <is>
          <t>IPH — Institute of Public Health</t>
        </is>
      </c>
      <c r="DC64" s="256" t="inlineStr">
        <is>
          <t>0.0119</t>
        </is>
      </c>
      <c r="DD64" s="256" t="inlineStr">
        <is>
          <t>2359/2026</t>
        </is>
      </c>
      <c r="DE64" s="256" t="inlineStr">
        <is>
          <t>29.04.2026</t>
        </is>
      </c>
      <c r="DF64" s="256" t="inlineStr">
        <is>
          <t>IPH — Institute of Public Health</t>
        </is>
      </c>
      <c r="DG64" s="256" t="inlineStr">
        <is>
          <t>0.016</t>
        </is>
      </c>
      <c r="DH64" s="256" t="inlineStr">
        <is>
          <t>2359/2026</t>
        </is>
      </c>
      <c r="DI64" s="256" t="inlineStr">
        <is>
          <t>29.04.2026</t>
        </is>
      </c>
      <c r="DJ64" s="256" t="inlineStr">
        <is>
          <t>IPH — Institute of Public Health</t>
        </is>
      </c>
      <c r="DK64" s="256" t="inlineStr">
        <is>
          <t>0.0102</t>
        </is>
      </c>
      <c r="DL64" s="256" t="inlineStr">
        <is>
          <t>2359/2026</t>
        </is>
      </c>
      <c r="DM64" s="256" t="inlineStr">
        <is>
          <t>29.04.2026</t>
        </is>
      </c>
      <c r="DN64" s="256" t="inlineStr">
        <is>
          <t>IPH — Institute of Public Health</t>
        </is>
      </c>
      <c r="DO64" s="256" t="inlineStr">
        <is>
          <t>ND</t>
        </is>
      </c>
      <c r="DP64" s="256" t="inlineStr">
        <is>
          <t>2359/2026</t>
        </is>
      </c>
      <c r="DQ64" s="256" t="inlineStr">
        <is>
          <t>29.04.2026</t>
        </is>
      </c>
      <c r="DR64" s="256" t="inlineStr">
        <is>
          <t>IPH — Institute of Public Health</t>
        </is>
      </c>
    </row>
    <row r="65">
      <c r="A65" s="256" t="inlineStr">
        <is>
          <t>CoQ-PP_26-064</t>
        </is>
      </c>
      <c r="B65" s="256" t="inlineStr">
        <is>
          <t>release</t>
        </is>
      </c>
      <c r="C65" s="256" t="inlineStr">
        <is>
          <t>issuable</t>
        </is>
      </c>
      <c r="D65" s="256" t="inlineStr">
        <is>
          <t>06.06.2026</t>
        </is>
      </c>
      <c r="E65" s="256" t="inlineStr">
        <is>
          <t>n/a — release certificate</t>
        </is>
      </c>
      <c r="F65" s="256" t="inlineStr">
        <is>
          <t>CoQ-PP-2026-0018</t>
        </is>
      </c>
      <c r="G65" s="256" t="inlineStr">
        <is>
          <t>SCR112501</t>
        </is>
      </c>
      <c r="H65" s="256" t="inlineStr">
        <is>
          <t>P060282</t>
        </is>
      </c>
      <c r="I65" s="256" t="inlineStr">
        <is>
          <t>Scrambler</t>
        </is>
      </c>
      <c r="J65" s="256" t="inlineStr">
        <is>
          <t>25.03.2026</t>
        </is>
      </c>
      <c r="K65" s="256" t="inlineStr">
        <is>
          <t>18.05.2026</t>
        </is>
      </c>
      <c r="L65" s="256" t="inlineStr">
        <is>
          <t>25.03.2026</t>
        </is>
      </c>
      <c r="M65" s="256" t="inlineStr">
        <is>
          <t>18.05.2026</t>
        </is>
      </c>
      <c r="N65" s="256" t="inlineStr">
        <is>
          <t>iCoA-PP_26-074</t>
        </is>
      </c>
      <c r="O65" s="256" t="inlineStr">
        <is>
          <t>03.06.2026</t>
        </is>
      </c>
      <c r="P65" s="256" t="inlineStr">
        <is>
          <t>18.05.2026</t>
        </is>
      </c>
      <c r="Q65" s="256" t="inlineStr">
        <is>
          <t>—</t>
        </is>
      </c>
      <c r="R65" s="256" t="inlineStr">
        <is>
          <t>17.13</t>
        </is>
      </c>
      <c r="S65" s="256" t="inlineStr">
        <is>
          <t>ППК26069</t>
        </is>
      </c>
      <c r="T65" s="256" t="inlineStr">
        <is>
          <t>II</t>
        </is>
      </c>
      <c r="U65" s="256" t="inlineStr">
        <is>
          <t>16.20 – 19.79 %</t>
        </is>
      </c>
      <c r="V65" s="256" t="inlineStr">
        <is>
          <t>SCR_THC18 : CBD1</t>
        </is>
      </c>
      <c r="W65" s="256" t="inlineStr">
        <is>
          <t>QCSP_001_SCR-II_v.01</t>
        </is>
      </c>
      <c r="X65" s="256" t="inlineStr">
        <is>
          <t>for review — replaces the issued QCSP_001_SCR-II_v.01 (was SCR_THC18 : CBD1, 16.20 – 19.80 %); now SCR_THC18 : CBD1 16.20 – 19.79 %</t>
        </is>
      </c>
      <c r="Y65" s="256" t="inlineStr">
        <is>
          <t>HYBRID</t>
        </is>
      </c>
      <c r="Z65" s="256" t="inlineStr">
        <is>
          <t>THC</t>
        </is>
      </c>
      <c r="AA65" s="256" t="inlineStr">
        <is>
          <t>MACHINE TRIMMED</t>
        </is>
      </c>
      <c r="AB65" s="256" t="inlineStr">
        <is>
          <t>TO BE DETERMINED</t>
        </is>
      </c>
      <c r="AC65" s="256" t="inlineStr">
        <is>
          <t>Triplex Alu Bag | Триплекс Aлу Kеса, PET 12 · ALU 7 · PE 80, 300 × 500 mm, net. 400.0 g ±3%</t>
        </is>
      </c>
      <c r="AD65" s="256" t="inlineStr">
        <is>
          <t>11.05.2026</t>
        </is>
      </c>
      <c r="AE65" s="256" t="inlineStr">
        <is>
          <t>Conforms | Одговара</t>
        </is>
      </c>
      <c r="AF65" s="256" t="inlineStr">
        <is>
          <t>iCoA-PP_26-074</t>
        </is>
      </c>
      <c r="AG65" s="256" t="inlineStr">
        <is>
          <t>03.06.2026</t>
        </is>
      </c>
      <c r="AH65" s="256" t="inlineStr">
        <is>
          <t>Purely Plant GmbH (in-house)</t>
        </is>
      </c>
      <c r="AI65" s="256" t="inlineStr">
        <is>
          <t>Conforms | Одговара</t>
        </is>
      </c>
      <c r="AJ65" s="256" t="inlineStr">
        <is>
          <t>iCoA-PP_26-074</t>
        </is>
      </c>
      <c r="AK65" s="256" t="inlineStr">
        <is>
          <t>03.06.2026</t>
        </is>
      </c>
      <c r="AL65" s="256" t="inlineStr">
        <is>
          <t>Purely Plant GmbH (in-house)</t>
        </is>
      </c>
      <c r="AM65" s="256" t="inlineStr">
        <is>
          <t>Conforms | Одговара</t>
        </is>
      </c>
      <c r="AN65" s="256" t="inlineStr">
        <is>
          <t>ППК26069</t>
        </is>
      </c>
      <c r="AO65" s="256" t="inlineStr">
        <is>
          <t>11.05.2026</t>
        </is>
      </c>
      <c r="AP65" s="256" t="inlineStr">
        <is>
          <t>UKIM Faculty of Pharmacy — Center for Natural Products</t>
        </is>
      </c>
      <c r="AQ65" s="256" t="inlineStr">
        <is>
          <t>17.13</t>
        </is>
      </c>
      <c r="AR65" s="256" t="inlineStr">
        <is>
          <t>ППК26069</t>
        </is>
      </c>
      <c r="AS65" s="256" t="inlineStr">
        <is>
          <t>11.05.2026</t>
        </is>
      </c>
      <c r="AT65" s="256" t="inlineStr">
        <is>
          <t>UKIM Faculty of Pharmacy — Center for Natural Products</t>
        </is>
      </c>
      <c r="AU65" s="256" t="inlineStr">
        <is>
          <t>0.04</t>
        </is>
      </c>
      <c r="AV65" s="256" t="inlineStr">
        <is>
          <t>ППК26069</t>
        </is>
      </c>
      <c r="AW65" s="256" t="inlineStr">
        <is>
          <t>11.05.2026</t>
        </is>
      </c>
      <c r="AX65" s="256" t="inlineStr">
        <is>
          <t>UKIM Faculty of Pharmacy — Center for Natural Products</t>
        </is>
      </c>
      <c r="AY65" s="256" t="inlineStr">
        <is>
          <t>&lt; LOQ %</t>
        </is>
      </c>
      <c r="AZ65" s="256" t="inlineStr">
        <is>
          <t>ППК26069</t>
        </is>
      </c>
      <c r="BA65" s="256" t="inlineStr">
        <is>
          <t>11.05.2026</t>
        </is>
      </c>
      <c r="BB65" s="256" t="inlineStr">
        <is>
          <t>CNP</t>
        </is>
      </c>
      <c r="BC65" s="256" t="inlineStr">
        <is>
          <t>Conforms | Одговара</t>
        </is>
      </c>
      <c r="BD65" s="256" t="inlineStr">
        <is>
          <t>iCoA-PP_26-074</t>
        </is>
      </c>
      <c r="BE65" s="256" t="inlineStr">
        <is>
          <t>03.06.2026</t>
        </is>
      </c>
      <c r="BF65" s="256" t="inlineStr">
        <is>
          <t>Purely Plant GmbH (in-house)</t>
        </is>
      </c>
      <c r="BG65" s="256" t="inlineStr">
        <is>
          <t>6.84</t>
        </is>
      </c>
      <c r="BH65" s="256" t="inlineStr">
        <is>
          <t>ППК26069</t>
        </is>
      </c>
      <c r="BI65" s="256" t="inlineStr">
        <is>
          <t>11.05.2026</t>
        </is>
      </c>
      <c r="BJ65" s="256" t="inlineStr">
        <is>
          <t>UKIM Faculty of Pharmacy — Center for Natural Products</t>
        </is>
      </c>
      <c r="BK65" s="256" t="inlineStr">
        <is>
          <t>2,3 × 10³</t>
        </is>
      </c>
      <c r="BL65" s="256" t="inlineStr">
        <is>
          <t>305/0549/26</t>
        </is>
      </c>
      <c r="BM65" s="256" t="inlineStr">
        <is>
          <t>28.04.2026</t>
        </is>
      </c>
      <c r="BN65" s="256" t="inlineStr">
        <is>
          <t>IPH — Institute of Public Health</t>
        </is>
      </c>
      <c r="BO65" s="256" t="inlineStr">
        <is>
          <t>4,3 × 10³</t>
        </is>
      </c>
      <c r="BP65" s="256" t="inlineStr">
        <is>
          <t>305/0549/26</t>
        </is>
      </c>
      <c r="BQ65" s="256" t="inlineStr">
        <is>
          <t>28.04.2026</t>
        </is>
      </c>
      <c r="BR65" s="256" t="inlineStr">
        <is>
          <t>IPH — Institute of Public Health</t>
        </is>
      </c>
      <c r="BS65" s="256" t="inlineStr">
        <is>
          <t>&lt; 10³ and &gt; 10²</t>
        </is>
      </c>
      <c r="BT65" s="256" t="inlineStr">
        <is>
          <t>305/0549/26</t>
        </is>
      </c>
      <c r="BU65" s="256" t="inlineStr">
        <is>
          <t>28.04.2026</t>
        </is>
      </c>
      <c r="BV65" s="256" t="inlineStr">
        <is>
          <t>IPH — Institute of Public Health</t>
        </is>
      </c>
      <c r="BW65" s="256" t="inlineStr">
        <is>
          <t>Absent | Отсутна</t>
        </is>
      </c>
      <c r="BX65" s="256" t="inlineStr">
        <is>
          <t>305/0549/26</t>
        </is>
      </c>
      <c r="BY65" s="256" t="inlineStr">
        <is>
          <t>28.04.2026</t>
        </is>
      </c>
      <c r="BZ65" s="256" t="inlineStr">
        <is>
          <t>IPH — Institute of Public Health</t>
        </is>
      </c>
      <c r="CA65" s="256" t="inlineStr">
        <is>
          <t>Absent | Отсутна</t>
        </is>
      </c>
      <c r="CB65" s="256" t="inlineStr">
        <is>
          <t>305/0549/26</t>
        </is>
      </c>
      <c r="CC65" s="256" t="inlineStr">
        <is>
          <t>28.04.2026</t>
        </is>
      </c>
      <c r="CD65" s="256" t="inlineStr">
        <is>
          <t>IPH — Institute of Public Health</t>
        </is>
      </c>
      <c r="CE65" s="260" t="inlineStr">
        <is>
          <t>upon request — not required for release</t>
        </is>
      </c>
      <c r="CF65" s="256" t="inlineStr">
        <is>
          <t>—</t>
        </is>
      </c>
      <c r="CG65" s="256" t="inlineStr">
        <is>
          <t>—</t>
        </is>
      </c>
      <c r="CH65" s="256" t="inlineStr">
        <is>
          <t>—</t>
        </is>
      </c>
      <c r="CI65" s="260" t="inlineStr">
        <is>
          <t>upon request — not required for release</t>
        </is>
      </c>
      <c r="CJ65" s="256" t="inlineStr">
        <is>
          <t>—</t>
        </is>
      </c>
      <c r="CK65" s="256" t="inlineStr">
        <is>
          <t>—</t>
        </is>
      </c>
      <c r="CL65" s="256" t="inlineStr">
        <is>
          <t>—</t>
        </is>
      </c>
      <c r="CM65" s="259" t="inlineStr">
        <is>
          <t>not tested</t>
        </is>
      </c>
      <c r="CN65" s="256" t="inlineStr">
        <is>
          <t>—</t>
        </is>
      </c>
      <c r="CO65" s="256" t="inlineStr">
        <is>
          <t>—</t>
        </is>
      </c>
      <c r="CP65" s="256" t="inlineStr">
        <is>
          <t>—</t>
        </is>
      </c>
      <c r="CQ65" s="256" t="inlineStr">
        <is>
          <t>&lt; 2</t>
        </is>
      </c>
      <c r="CR65" s="256" t="inlineStr">
        <is>
          <t>2360/2026</t>
        </is>
      </c>
      <c r="CS65" s="256" t="inlineStr">
        <is>
          <t>29.04.2026</t>
        </is>
      </c>
      <c r="CT65" s="256" t="inlineStr">
        <is>
          <t>IPH — Institute of Public Health</t>
        </is>
      </c>
      <c r="CU65" s="259" t="inlineStr">
        <is>
          <t>not tested</t>
        </is>
      </c>
      <c r="CV65" s="256" t="inlineStr">
        <is>
          <t>—</t>
        </is>
      </c>
      <c r="CW65" s="256" t="inlineStr">
        <is>
          <t>—</t>
        </is>
      </c>
      <c r="CX65" s="256" t="inlineStr">
        <is>
          <t>—</t>
        </is>
      </c>
      <c r="CY65" s="256" t="inlineStr">
        <is>
          <t>0.0299</t>
        </is>
      </c>
      <c r="CZ65" s="256" t="inlineStr">
        <is>
          <t>2360/2026</t>
        </is>
      </c>
      <c r="DA65" s="256" t="inlineStr">
        <is>
          <t>29.04.2026</t>
        </is>
      </c>
      <c r="DB65" s="256" t="inlineStr">
        <is>
          <t>IPH — Institute of Public Health</t>
        </is>
      </c>
      <c r="DC65" s="256" t="inlineStr">
        <is>
          <t>0.0136</t>
        </is>
      </c>
      <c r="DD65" s="256" t="inlineStr">
        <is>
          <t>2360/2026</t>
        </is>
      </c>
      <c r="DE65" s="256" t="inlineStr">
        <is>
          <t>29.04.2026</t>
        </is>
      </c>
      <c r="DF65" s="256" t="inlineStr">
        <is>
          <t>IPH — Institute of Public Health</t>
        </is>
      </c>
      <c r="DG65" s="256" t="inlineStr">
        <is>
          <t>0.0154</t>
        </is>
      </c>
      <c r="DH65" s="256" t="inlineStr">
        <is>
          <t>2360/2026</t>
        </is>
      </c>
      <c r="DI65" s="256" t="inlineStr">
        <is>
          <t>29.04.2026</t>
        </is>
      </c>
      <c r="DJ65" s="256" t="inlineStr">
        <is>
          <t>IPH — Institute of Public Health</t>
        </is>
      </c>
      <c r="DK65" s="256" t="inlineStr">
        <is>
          <t>0.017</t>
        </is>
      </c>
      <c r="DL65" s="256" t="inlineStr">
        <is>
          <t>2360/2026</t>
        </is>
      </c>
      <c r="DM65" s="256" t="inlineStr">
        <is>
          <t>29.04.2026</t>
        </is>
      </c>
      <c r="DN65" s="256" t="inlineStr">
        <is>
          <t>IPH — Institute of Public Health</t>
        </is>
      </c>
      <c r="DO65" s="256" t="inlineStr">
        <is>
          <t>ND</t>
        </is>
      </c>
      <c r="DP65" s="256" t="inlineStr">
        <is>
          <t>2360/2026</t>
        </is>
      </c>
      <c r="DQ65" s="256" t="inlineStr">
        <is>
          <t>29.04.2026</t>
        </is>
      </c>
      <c r="DR65" s="256" t="inlineStr">
        <is>
          <t>IPH — Institute of Public Health</t>
        </is>
      </c>
    </row>
    <row r="66">
      <c r="A66" s="256" t="inlineStr">
        <is>
          <t>CoQ-PP_26-065</t>
        </is>
      </c>
      <c r="B66" s="256" t="inlineStr">
        <is>
          <t>release</t>
        </is>
      </c>
      <c r="C66" s="256" t="inlineStr">
        <is>
          <t>issuable</t>
        </is>
      </c>
      <c r="D66" s="256" t="inlineStr">
        <is>
          <t>06.06.2026</t>
        </is>
      </c>
      <c r="E66" s="256" t="inlineStr">
        <is>
          <t>n/a — release certificate</t>
        </is>
      </c>
      <c r="F66" s="256" t="inlineStr">
        <is>
          <t>(assigned on issue)</t>
        </is>
      </c>
      <c r="G66" s="256" t="inlineStr">
        <is>
          <t>FB112501</t>
        </is>
      </c>
      <c r="H66" s="256" t="inlineStr">
        <is>
          <t>— no P lot assigned —</t>
        </is>
      </c>
      <c r="I66" s="256" t="inlineStr">
        <is>
          <t>Fat Bastard</t>
        </is>
      </c>
      <c r="J66" s="256" t="inlineStr">
        <is>
          <t>25.03.2026</t>
        </is>
      </c>
      <c r="K66" s="256" t="inlineStr">
        <is>
          <t>19.05.2026</t>
        </is>
      </c>
      <c r="L66" s="256" t="inlineStr">
        <is>
          <t>—</t>
        </is>
      </c>
      <c r="M66" s="256" t="inlineStr">
        <is>
          <t>—</t>
        </is>
      </c>
      <c r="N66" s="256" t="inlineStr">
        <is>
          <t>iCoA-PP_26-075</t>
        </is>
      </c>
      <c r="O66" s="256" t="inlineStr">
        <is>
          <t>03.06.2026</t>
        </is>
      </c>
      <c r="P66" s="256" t="inlineStr">
        <is>
          <t>19.05.2026</t>
        </is>
      </c>
      <c r="Q66" s="256" t="inlineStr">
        <is>
          <t>—</t>
        </is>
      </c>
      <c r="R66" s="256" t="inlineStr">
        <is>
          <t>16.69</t>
        </is>
      </c>
      <c r="S66" s="256" t="inlineStr">
        <is>
          <t>ППК26066</t>
        </is>
      </c>
      <c r="T66" s="256" t="inlineStr">
        <is>
          <t>II</t>
        </is>
      </c>
      <c r="U66" s="256" t="inlineStr">
        <is>
          <t>16.20 – 19.79 %</t>
        </is>
      </c>
      <c r="V66" s="256" t="inlineStr">
        <is>
          <t>FB_THC18 : CBD1</t>
        </is>
      </c>
      <c r="W66" s="256" t="inlineStr">
        <is>
          <t>QCSP_001_FB-II_v.01</t>
        </is>
      </c>
      <c r="X66" s="256" t="inlineStr">
        <is>
          <t>for review — replaces the issued QCSP_001_FB-II_v.01 (was FB_THC18 : CBD1, 17.15 – 18.85 %); now FB_THC18 : CBD1 16.20 – 19.79 %</t>
        </is>
      </c>
      <c r="Y66" s="256" t="inlineStr">
        <is>
          <t>HYBRID</t>
        </is>
      </c>
      <c r="Z66" s="256" t="inlineStr">
        <is>
          <t>THC</t>
        </is>
      </c>
      <c r="AA66" s="256" t="inlineStr">
        <is>
          <t>MACHINE TRIMMED</t>
        </is>
      </c>
      <c r="AB66" s="256" t="inlineStr">
        <is>
          <t>BALANCED</t>
        </is>
      </c>
      <c r="AC66" s="256" t="inlineStr">
        <is>
          <t>Triplex Alu Bag | Триплекс Aлу Kеса, PET 12 · ALU 7 · PE 80, 300 × 500 mm, net. 400.0 g ±3%</t>
        </is>
      </c>
      <c r="AD66" s="256" t="inlineStr">
        <is>
          <t>11.05.2026</t>
        </is>
      </c>
      <c r="AE66" s="256" t="inlineStr">
        <is>
          <t>Conforms | Одговара</t>
        </is>
      </c>
      <c r="AF66" s="256" t="inlineStr">
        <is>
          <t>iCoA-PP_26-075</t>
        </is>
      </c>
      <c r="AG66" s="256" t="inlineStr">
        <is>
          <t>03.06.2026</t>
        </is>
      </c>
      <c r="AH66" s="256" t="inlineStr">
        <is>
          <t>Purely Plant GmbH (in-house)</t>
        </is>
      </c>
      <c r="AI66" s="256" t="inlineStr">
        <is>
          <t>Conforms | Одговара</t>
        </is>
      </c>
      <c r="AJ66" s="256" t="inlineStr">
        <is>
          <t>iCoA-PP_26-075</t>
        </is>
      </c>
      <c r="AK66" s="256" t="inlineStr">
        <is>
          <t>03.06.2026</t>
        </is>
      </c>
      <c r="AL66" s="256" t="inlineStr">
        <is>
          <t>Purely Plant GmbH (in-house)</t>
        </is>
      </c>
      <c r="AM66" s="256" t="inlineStr">
        <is>
          <t>Conforms | Одговара</t>
        </is>
      </c>
      <c r="AN66" s="256" t="inlineStr">
        <is>
          <t>ППК26066</t>
        </is>
      </c>
      <c r="AO66" s="256" t="inlineStr">
        <is>
          <t>11.05.2026</t>
        </is>
      </c>
      <c r="AP66" s="256" t="inlineStr">
        <is>
          <t>UKIM Faculty of Pharmacy — Center for Natural Products</t>
        </is>
      </c>
      <c r="AQ66" s="256" t="inlineStr">
        <is>
          <t>16.69</t>
        </is>
      </c>
      <c r="AR66" s="256" t="inlineStr">
        <is>
          <t>ППК26066</t>
        </is>
      </c>
      <c r="AS66" s="256" t="inlineStr">
        <is>
          <t>11.05.2026</t>
        </is>
      </c>
      <c r="AT66" s="256" t="inlineStr">
        <is>
          <t>UKIM Faculty of Pharmacy — Center for Natural Products</t>
        </is>
      </c>
      <c r="AU66" s="256" t="inlineStr">
        <is>
          <t>0.05</t>
        </is>
      </c>
      <c r="AV66" s="256" t="inlineStr">
        <is>
          <t>ППК26066</t>
        </is>
      </c>
      <c r="AW66" s="256" t="inlineStr">
        <is>
          <t>11.05.2026</t>
        </is>
      </c>
      <c r="AX66" s="256" t="inlineStr">
        <is>
          <t>UKIM Faculty of Pharmacy — Center for Natural Products</t>
        </is>
      </c>
      <c r="AY66" s="259" t="inlineStr">
        <is>
          <t>not tested</t>
        </is>
      </c>
      <c r="AZ66" s="256" t="inlineStr">
        <is>
          <t>—</t>
        </is>
      </c>
      <c r="BA66" s="256" t="inlineStr">
        <is>
          <t>—</t>
        </is>
      </c>
      <c r="BB66" s="256" t="inlineStr">
        <is>
          <t>—</t>
        </is>
      </c>
      <c r="BC66" s="256" t="inlineStr">
        <is>
          <t>Conforms | Одговара</t>
        </is>
      </c>
      <c r="BD66" s="256" t="inlineStr">
        <is>
          <t>iCoA-PP_26-075</t>
        </is>
      </c>
      <c r="BE66" s="256" t="inlineStr">
        <is>
          <t>03.06.2026</t>
        </is>
      </c>
      <c r="BF66" s="256" t="inlineStr">
        <is>
          <t>Purely Plant GmbH (in-house)</t>
        </is>
      </c>
      <c r="BG66" s="256" t="inlineStr">
        <is>
          <t>6.09</t>
        </is>
      </c>
      <c r="BH66" s="256" t="inlineStr">
        <is>
          <t>ППК26066</t>
        </is>
      </c>
      <c r="BI66" s="256" t="inlineStr">
        <is>
          <t>11.05.2026</t>
        </is>
      </c>
      <c r="BJ66" s="256" t="inlineStr">
        <is>
          <t>UKIM Faculty of Pharmacy — Center for Natural Products</t>
        </is>
      </c>
      <c r="BK66" s="256" t="inlineStr">
        <is>
          <t>3,9 × 10³</t>
        </is>
      </c>
      <c r="BL66" s="256" t="inlineStr">
        <is>
          <t>312/0556/26</t>
        </is>
      </c>
      <c r="BM66" s="256" t="inlineStr">
        <is>
          <t>28.04.2026</t>
        </is>
      </c>
      <c r="BN66" s="256" t="inlineStr">
        <is>
          <t>IPH — Institute of Public Health</t>
        </is>
      </c>
      <c r="BO66" s="256" t="inlineStr">
        <is>
          <t>2,4 × 10³</t>
        </is>
      </c>
      <c r="BP66" s="256" t="inlineStr">
        <is>
          <t>312/0556/26</t>
        </is>
      </c>
      <c r="BQ66" s="256" t="inlineStr">
        <is>
          <t>28.04.2026</t>
        </is>
      </c>
      <c r="BR66" s="256" t="inlineStr">
        <is>
          <t>IPH — Institute of Public Health</t>
        </is>
      </c>
      <c r="BS66" s="256" t="inlineStr">
        <is>
          <t>&lt; 10</t>
        </is>
      </c>
      <c r="BT66" s="256" t="inlineStr">
        <is>
          <t>312/0556/26</t>
        </is>
      </c>
      <c r="BU66" s="256" t="inlineStr">
        <is>
          <t>28.04.2026</t>
        </is>
      </c>
      <c r="BV66" s="256" t="inlineStr">
        <is>
          <t>IPH — Institute of Public Health</t>
        </is>
      </c>
      <c r="BW66" s="256" t="inlineStr">
        <is>
          <t>Absent | Отсутна</t>
        </is>
      </c>
      <c r="BX66" s="256" t="inlineStr">
        <is>
          <t>312/0556/26</t>
        </is>
      </c>
      <c r="BY66" s="256" t="inlineStr">
        <is>
          <t>28.04.2026</t>
        </is>
      </c>
      <c r="BZ66" s="256" t="inlineStr">
        <is>
          <t>IPH — Institute of Public Health</t>
        </is>
      </c>
      <c r="CA66" s="256" t="inlineStr">
        <is>
          <t>Absent | Отсутна</t>
        </is>
      </c>
      <c r="CB66" s="256" t="inlineStr">
        <is>
          <t>312/0556/26</t>
        </is>
      </c>
      <c r="CC66" s="256" t="inlineStr">
        <is>
          <t>28.04.2026</t>
        </is>
      </c>
      <c r="CD66" s="256" t="inlineStr">
        <is>
          <t>IPH — Institute of Public Health</t>
        </is>
      </c>
      <c r="CE66" s="260" t="inlineStr">
        <is>
          <t>upon request — not required for release</t>
        </is>
      </c>
      <c r="CF66" s="256" t="inlineStr">
        <is>
          <t>—</t>
        </is>
      </c>
      <c r="CG66" s="256" t="inlineStr">
        <is>
          <t>—</t>
        </is>
      </c>
      <c r="CH66" s="256" t="inlineStr">
        <is>
          <t>—</t>
        </is>
      </c>
      <c r="CI66" s="260" t="inlineStr">
        <is>
          <t>upon request — not required for release</t>
        </is>
      </c>
      <c r="CJ66" s="256" t="inlineStr">
        <is>
          <t>—</t>
        </is>
      </c>
      <c r="CK66" s="256" t="inlineStr">
        <is>
          <t>—</t>
        </is>
      </c>
      <c r="CL66" s="256" t="inlineStr">
        <is>
          <t>—</t>
        </is>
      </c>
      <c r="CM66" s="259" t="inlineStr">
        <is>
          <t>not tested</t>
        </is>
      </c>
      <c r="CN66" s="256" t="inlineStr">
        <is>
          <t>—</t>
        </is>
      </c>
      <c r="CO66" s="256" t="inlineStr">
        <is>
          <t>—</t>
        </is>
      </c>
      <c r="CP66" s="256" t="inlineStr">
        <is>
          <t>—</t>
        </is>
      </c>
      <c r="CQ66" s="256" t="inlineStr">
        <is>
          <t>&lt; 2</t>
        </is>
      </c>
      <c r="CR66" s="256" t="inlineStr">
        <is>
          <t>2357/2026</t>
        </is>
      </c>
      <c r="CS66" s="256" t="inlineStr">
        <is>
          <t>29.04.2026</t>
        </is>
      </c>
      <c r="CT66" s="256" t="inlineStr">
        <is>
          <t>IPH — Institute of Public Health</t>
        </is>
      </c>
      <c r="CU66" s="259" t="inlineStr">
        <is>
          <t>not tested</t>
        </is>
      </c>
      <c r="CV66" s="256" t="inlineStr">
        <is>
          <t>—</t>
        </is>
      </c>
      <c r="CW66" s="256" t="inlineStr">
        <is>
          <t>—</t>
        </is>
      </c>
      <c r="CX66" s="256" t="inlineStr">
        <is>
          <t>—</t>
        </is>
      </c>
      <c r="CY66" s="256" t="inlineStr">
        <is>
          <t>0.0215</t>
        </is>
      </c>
      <c r="CZ66" s="256" t="inlineStr">
        <is>
          <t>2357/2026</t>
        </is>
      </c>
      <c r="DA66" s="256" t="inlineStr">
        <is>
          <t>29.04.2026</t>
        </is>
      </c>
      <c r="DB66" s="256" t="inlineStr">
        <is>
          <t>IPH — Institute of Public Health</t>
        </is>
      </c>
      <c r="DC66" s="256" t="inlineStr">
        <is>
          <t>0.0108</t>
        </is>
      </c>
      <c r="DD66" s="256" t="inlineStr">
        <is>
          <t>2357/2026</t>
        </is>
      </c>
      <c r="DE66" s="256" t="inlineStr">
        <is>
          <t>29.04.2026</t>
        </is>
      </c>
      <c r="DF66" s="256" t="inlineStr">
        <is>
          <t>IPH — Institute of Public Health</t>
        </is>
      </c>
      <c r="DG66" s="256" t="inlineStr">
        <is>
          <t>0.0199</t>
        </is>
      </c>
      <c r="DH66" s="256" t="inlineStr">
        <is>
          <t>2357/2026</t>
        </is>
      </c>
      <c r="DI66" s="256" t="inlineStr">
        <is>
          <t>29.04.2026</t>
        </is>
      </c>
      <c r="DJ66" s="256" t="inlineStr">
        <is>
          <t>IPH — Institute of Public Health</t>
        </is>
      </c>
      <c r="DK66" s="256" t="inlineStr">
        <is>
          <t>0.0078</t>
        </is>
      </c>
      <c r="DL66" s="256" t="inlineStr">
        <is>
          <t>2357/2026</t>
        </is>
      </c>
      <c r="DM66" s="256" t="inlineStr">
        <is>
          <t>29.04.2026</t>
        </is>
      </c>
      <c r="DN66" s="256" t="inlineStr">
        <is>
          <t>IPH — Institute of Public Health</t>
        </is>
      </c>
      <c r="DO66" s="256" t="inlineStr">
        <is>
          <t>ND</t>
        </is>
      </c>
      <c r="DP66" s="256" t="inlineStr">
        <is>
          <t>2357/2026</t>
        </is>
      </c>
      <c r="DQ66" s="256" t="inlineStr">
        <is>
          <t>29.04.2026</t>
        </is>
      </c>
      <c r="DR66" s="256" t="inlineStr">
        <is>
          <t>IPH — Institute of Public Health</t>
        </is>
      </c>
    </row>
    <row r="67">
      <c r="A67" s="256" t="inlineStr">
        <is>
          <t>CoQ-PP_26-066</t>
        </is>
      </c>
      <c r="B67" s="256" t="inlineStr">
        <is>
          <t>release</t>
        </is>
      </c>
      <c r="C67" s="256" t="inlineStr">
        <is>
          <t>issuable</t>
        </is>
      </c>
      <c r="D67" s="256" t="inlineStr">
        <is>
          <t>06.06.2026</t>
        </is>
      </c>
      <c r="E67" s="256" t="inlineStr">
        <is>
          <t>n/a — release certificate</t>
        </is>
      </c>
      <c r="F67" s="256" t="inlineStr">
        <is>
          <t>(assigned on issue)</t>
        </is>
      </c>
      <c r="G67" s="256" t="inlineStr">
        <is>
          <t>GG012601</t>
        </is>
      </c>
      <c r="H67" s="256" t="inlineStr">
        <is>
          <t>— no P lot assigned —</t>
        </is>
      </c>
      <c r="I67" s="256" t="inlineStr">
        <is>
          <t>Gorilla Glue</t>
        </is>
      </c>
      <c r="J67" s="256" t="inlineStr">
        <is>
          <t>27.03.2026</t>
        </is>
      </c>
      <c r="K67" s="256" t="inlineStr">
        <is>
          <t>20.05.2026</t>
        </is>
      </c>
      <c r="L67" s="256" t="inlineStr">
        <is>
          <t>—</t>
        </is>
      </c>
      <c r="M67" s="256" t="inlineStr">
        <is>
          <t>—</t>
        </is>
      </c>
      <c r="N67" s="256" t="inlineStr">
        <is>
          <t>iCoA-PP_26-076</t>
        </is>
      </c>
      <c r="O67" s="256" t="inlineStr">
        <is>
          <t>03.06.2026</t>
        </is>
      </c>
      <c r="P67" s="256" t="inlineStr">
        <is>
          <t>20.05.2026</t>
        </is>
      </c>
      <c r="Q67" s="256" t="inlineStr">
        <is>
          <t>—</t>
        </is>
      </c>
      <c r="R67" s="256" t="inlineStr">
        <is>
          <t>15.35</t>
        </is>
      </c>
      <c r="S67" s="256" t="inlineStr">
        <is>
          <t>ППК26062</t>
        </is>
      </c>
      <c r="T67" s="256" t="inlineStr">
        <is>
          <t>II</t>
        </is>
      </c>
      <c r="U67" s="256" t="inlineStr">
        <is>
          <t>13.77 – 16.22 %</t>
        </is>
      </c>
      <c r="V67" s="256" t="inlineStr">
        <is>
          <t>GG_THC15 : CBD1</t>
        </is>
      </c>
      <c r="W67" s="256" t="inlineStr">
        <is>
          <t>QCSP_001_GG-II_v.01</t>
        </is>
      </c>
      <c r="X67" s="256" t="inlineStr">
        <is>
          <t>for review — replaces the issued QCSP_001_GG-II_v.01 (was GG_THC16 : CBD1, 15.00 – 17.00 %); now GG_THC15 : CBD1 13.77 – 16.22 %</t>
        </is>
      </c>
      <c r="Y67" s="256" t="inlineStr">
        <is>
          <t>INDICA</t>
        </is>
      </c>
      <c r="Z67" s="256" t="inlineStr">
        <is>
          <t>THC</t>
        </is>
      </c>
      <c r="AA67" s="256" t="inlineStr">
        <is>
          <t>MACHINE TRIMMED</t>
        </is>
      </c>
      <c r="AB67" s="256" t="inlineStr">
        <is>
          <t>—</t>
        </is>
      </c>
      <c r="AC67" s="256" t="inlineStr">
        <is>
          <t>Triplex Alu Bag | Триплекс Aлу Kеса, PET 12 · ALU 7 · PE 80, 300 × 500 mm, net. 400.0 g ±3%</t>
        </is>
      </c>
      <c r="AD67" s="256" t="inlineStr">
        <is>
          <t>11.05.2026</t>
        </is>
      </c>
      <c r="AE67" s="256" t="inlineStr">
        <is>
          <t>Conforms | Одговара</t>
        </is>
      </c>
      <c r="AF67" s="256" t="inlineStr">
        <is>
          <t>iCoA-PP_26-076</t>
        </is>
      </c>
      <c r="AG67" s="256" t="inlineStr">
        <is>
          <t>03.06.2026</t>
        </is>
      </c>
      <c r="AH67" s="256" t="inlineStr">
        <is>
          <t>Purely Plant GmbH (in-house)</t>
        </is>
      </c>
      <c r="AI67" s="256" t="inlineStr">
        <is>
          <t>Conforms | Одговара</t>
        </is>
      </c>
      <c r="AJ67" s="256" t="inlineStr">
        <is>
          <t>iCoA-PP_26-076</t>
        </is>
      </c>
      <c r="AK67" s="256" t="inlineStr">
        <is>
          <t>03.06.2026</t>
        </is>
      </c>
      <c r="AL67" s="256" t="inlineStr">
        <is>
          <t>Purely Plant GmbH (in-house)</t>
        </is>
      </c>
      <c r="AM67" s="256" t="inlineStr">
        <is>
          <t>Conforms | Одговара</t>
        </is>
      </c>
      <c r="AN67" s="256" t="inlineStr">
        <is>
          <t>ППК26062</t>
        </is>
      </c>
      <c r="AO67" s="256" t="inlineStr">
        <is>
          <t>11.05.2026</t>
        </is>
      </c>
      <c r="AP67" s="256" t="inlineStr">
        <is>
          <t>UKIM Faculty of Pharmacy — Center for Natural Products</t>
        </is>
      </c>
      <c r="AQ67" s="256" t="inlineStr">
        <is>
          <t>15.35</t>
        </is>
      </c>
      <c r="AR67" s="256" t="inlineStr">
        <is>
          <t>ППК26062</t>
        </is>
      </c>
      <c r="AS67" s="256" t="inlineStr">
        <is>
          <t>11.05.2026</t>
        </is>
      </c>
      <c r="AT67" s="256" t="inlineStr">
        <is>
          <t>UKIM Faculty of Pharmacy — Center for Natural Products</t>
        </is>
      </c>
      <c r="AU67" s="256" t="inlineStr">
        <is>
          <t>0.06</t>
        </is>
      </c>
      <c r="AV67" s="256" t="inlineStr">
        <is>
          <t>ППК26062</t>
        </is>
      </c>
      <c r="AW67" s="256" t="inlineStr">
        <is>
          <t>11.05.2026</t>
        </is>
      </c>
      <c r="AX67" s="256" t="inlineStr">
        <is>
          <t>UKIM Faculty of Pharmacy — Center for Natural Products</t>
        </is>
      </c>
      <c r="AY67" s="259" t="inlineStr">
        <is>
          <t>not tested</t>
        </is>
      </c>
      <c r="AZ67" s="256" t="inlineStr">
        <is>
          <t>—</t>
        </is>
      </c>
      <c r="BA67" s="256" t="inlineStr">
        <is>
          <t>—</t>
        </is>
      </c>
      <c r="BB67" s="256" t="inlineStr">
        <is>
          <t>—</t>
        </is>
      </c>
      <c r="BC67" s="256" t="inlineStr">
        <is>
          <t>Conforms | Одговара</t>
        </is>
      </c>
      <c r="BD67" s="256" t="inlineStr">
        <is>
          <t>iCoA-PP_26-076</t>
        </is>
      </c>
      <c r="BE67" s="256" t="inlineStr">
        <is>
          <t>03.06.2026</t>
        </is>
      </c>
      <c r="BF67" s="256" t="inlineStr">
        <is>
          <t>Purely Plant GmbH (in-house)</t>
        </is>
      </c>
      <c r="BG67" s="256" t="inlineStr">
        <is>
          <t>6.13</t>
        </is>
      </c>
      <c r="BH67" s="256" t="inlineStr">
        <is>
          <t>ППК26062</t>
        </is>
      </c>
      <c r="BI67" s="256" t="inlineStr">
        <is>
          <t>11.05.2026</t>
        </is>
      </c>
      <c r="BJ67" s="256" t="inlineStr">
        <is>
          <t>UKIM Faculty of Pharmacy — Center for Natural Products</t>
        </is>
      </c>
      <c r="BK67" s="256" t="inlineStr">
        <is>
          <t>1 × 10⁴</t>
        </is>
      </c>
      <c r="BL67" s="256" t="inlineStr">
        <is>
          <t>310/0554/26</t>
        </is>
      </c>
      <c r="BM67" s="256" t="inlineStr">
        <is>
          <t>28.04.2026</t>
        </is>
      </c>
      <c r="BN67" s="256" t="inlineStr">
        <is>
          <t>IPH — Institute of Public Health</t>
        </is>
      </c>
      <c r="BO67" s="256" t="inlineStr">
        <is>
          <t>1 × 10⁴</t>
        </is>
      </c>
      <c r="BP67" s="256" t="inlineStr">
        <is>
          <t>310/0554/26</t>
        </is>
      </c>
      <c r="BQ67" s="256" t="inlineStr">
        <is>
          <t>28.04.2026</t>
        </is>
      </c>
      <c r="BR67" s="256" t="inlineStr">
        <is>
          <t>IPH — Institute of Public Health</t>
        </is>
      </c>
      <c r="BS67" s="256" t="inlineStr">
        <is>
          <t>&lt; 10</t>
        </is>
      </c>
      <c r="BT67" s="256" t="inlineStr">
        <is>
          <t>310/0554/26</t>
        </is>
      </c>
      <c r="BU67" s="256" t="inlineStr">
        <is>
          <t>28.04.2026</t>
        </is>
      </c>
      <c r="BV67" s="256" t="inlineStr">
        <is>
          <t>IPH — Institute of Public Health</t>
        </is>
      </c>
      <c r="BW67" s="256" t="inlineStr">
        <is>
          <t>Absent | Отсутна</t>
        </is>
      </c>
      <c r="BX67" s="256" t="inlineStr">
        <is>
          <t>310/0554/26</t>
        </is>
      </c>
      <c r="BY67" s="256" t="inlineStr">
        <is>
          <t>28.04.2026</t>
        </is>
      </c>
      <c r="BZ67" s="256" t="inlineStr">
        <is>
          <t>IPH — Institute of Public Health</t>
        </is>
      </c>
      <c r="CA67" s="256" t="inlineStr">
        <is>
          <t>Absent | Отсутна</t>
        </is>
      </c>
      <c r="CB67" s="256" t="inlineStr">
        <is>
          <t>310/0554/26</t>
        </is>
      </c>
      <c r="CC67" s="256" t="inlineStr">
        <is>
          <t>28.04.2026</t>
        </is>
      </c>
      <c r="CD67" s="256" t="inlineStr">
        <is>
          <t>IPH — Institute of Public Health</t>
        </is>
      </c>
      <c r="CE67" s="260" t="inlineStr">
        <is>
          <t>upon request — not required for release</t>
        </is>
      </c>
      <c r="CF67" s="256" t="inlineStr">
        <is>
          <t>—</t>
        </is>
      </c>
      <c r="CG67" s="256" t="inlineStr">
        <is>
          <t>—</t>
        </is>
      </c>
      <c r="CH67" s="256" t="inlineStr">
        <is>
          <t>—</t>
        </is>
      </c>
      <c r="CI67" s="260" t="inlineStr">
        <is>
          <t>upon request — not required for release</t>
        </is>
      </c>
      <c r="CJ67" s="256" t="inlineStr">
        <is>
          <t>—</t>
        </is>
      </c>
      <c r="CK67" s="256" t="inlineStr">
        <is>
          <t>—</t>
        </is>
      </c>
      <c r="CL67" s="256" t="inlineStr">
        <is>
          <t>—</t>
        </is>
      </c>
      <c r="CM67" s="259" t="inlineStr">
        <is>
          <t>not tested</t>
        </is>
      </c>
      <c r="CN67" s="256" t="inlineStr">
        <is>
          <t>—</t>
        </is>
      </c>
      <c r="CO67" s="256" t="inlineStr">
        <is>
          <t>—</t>
        </is>
      </c>
      <c r="CP67" s="256" t="inlineStr">
        <is>
          <t>—</t>
        </is>
      </c>
      <c r="CQ67" s="256" t="inlineStr">
        <is>
          <t>&lt; 2</t>
        </is>
      </c>
      <c r="CR67" s="256" t="inlineStr">
        <is>
          <t>2364/2026</t>
        </is>
      </c>
      <c r="CS67" s="256" t="inlineStr">
        <is>
          <t>30.04.2026</t>
        </is>
      </c>
      <c r="CT67" s="256" t="inlineStr">
        <is>
          <t>IPH — Institute of Public Health</t>
        </is>
      </c>
      <c r="CU67" s="259" t="inlineStr">
        <is>
          <t>not tested</t>
        </is>
      </c>
      <c r="CV67" s="256" t="inlineStr">
        <is>
          <t>—</t>
        </is>
      </c>
      <c r="CW67" s="256" t="inlineStr">
        <is>
          <t>—</t>
        </is>
      </c>
      <c r="CX67" s="256" t="inlineStr">
        <is>
          <t>—</t>
        </is>
      </c>
      <c r="CY67" s="256" t="inlineStr">
        <is>
          <t>0.0227</t>
        </is>
      </c>
      <c r="CZ67" s="256" t="inlineStr">
        <is>
          <t>2364/2026</t>
        </is>
      </c>
      <c r="DA67" s="256" t="inlineStr">
        <is>
          <t>30.04.2026</t>
        </is>
      </c>
      <c r="DB67" s="256" t="inlineStr">
        <is>
          <t>IPH — Institute of Public Health</t>
        </is>
      </c>
      <c r="DC67" s="256" t="inlineStr">
        <is>
          <t>0.0179</t>
        </is>
      </c>
      <c r="DD67" s="256" t="inlineStr">
        <is>
          <t>2364/2026</t>
        </is>
      </c>
      <c r="DE67" s="256" t="inlineStr">
        <is>
          <t>30.04.2026</t>
        </is>
      </c>
      <c r="DF67" s="256" t="inlineStr">
        <is>
          <t>IPH — Institute of Public Health</t>
        </is>
      </c>
      <c r="DG67" s="256" t="inlineStr">
        <is>
          <t>0.0163</t>
        </is>
      </c>
      <c r="DH67" s="256" t="inlineStr">
        <is>
          <t>2364/2026</t>
        </is>
      </c>
      <c r="DI67" s="256" t="inlineStr">
        <is>
          <t>30.04.2026</t>
        </is>
      </c>
      <c r="DJ67" s="256" t="inlineStr">
        <is>
          <t>IPH — Institute of Public Health</t>
        </is>
      </c>
      <c r="DK67" s="256" t="inlineStr">
        <is>
          <t>0.031</t>
        </is>
      </c>
      <c r="DL67" s="256" t="inlineStr">
        <is>
          <t>2364/2026</t>
        </is>
      </c>
      <c r="DM67" s="256" t="inlineStr">
        <is>
          <t>30.04.2026</t>
        </is>
      </c>
      <c r="DN67" s="256" t="inlineStr">
        <is>
          <t>IPH — Institute of Public Health</t>
        </is>
      </c>
      <c r="DO67" s="256" t="inlineStr">
        <is>
          <t>ND</t>
        </is>
      </c>
      <c r="DP67" s="256" t="inlineStr">
        <is>
          <t>2364/2026</t>
        </is>
      </c>
      <c r="DQ67" s="256" t="inlineStr">
        <is>
          <t>30.04.2026</t>
        </is>
      </c>
      <c r="DR67" s="256" t="inlineStr">
        <is>
          <t>IPH — Institute of Public Health</t>
        </is>
      </c>
    </row>
    <row r="68">
      <c r="A68" s="256" t="inlineStr">
        <is>
          <t>CoQ-PP_26-067</t>
        </is>
      </c>
      <c r="B68" s="256" t="inlineStr">
        <is>
          <t>release</t>
        </is>
      </c>
      <c r="C68" s="256" t="inlineStr">
        <is>
          <t>issuable</t>
        </is>
      </c>
      <c r="D68" s="256" t="inlineStr">
        <is>
          <t>06.06.2026</t>
        </is>
      </c>
      <c r="E68" s="256" t="inlineStr">
        <is>
          <t>n/a — release certificate</t>
        </is>
      </c>
      <c r="F68" s="256" t="inlineStr">
        <is>
          <t>(assigned on issue)</t>
        </is>
      </c>
      <c r="G68" s="256" t="inlineStr">
        <is>
          <t>JD012601</t>
        </is>
      </c>
      <c r="H68" s="256" t="inlineStr">
        <is>
          <t>— no P lot assigned —</t>
        </is>
      </c>
      <c r="I68" s="256" t="inlineStr">
        <is>
          <t>Jelly Donuts</t>
        </is>
      </c>
      <c r="J68" s="256" t="inlineStr">
        <is>
          <t>27.03.2026</t>
        </is>
      </c>
      <c r="K68" s="256" t="inlineStr">
        <is>
          <t>21.05.2026</t>
        </is>
      </c>
      <c r="L68" s="256" t="inlineStr">
        <is>
          <t>—</t>
        </is>
      </c>
      <c r="M68" s="256" t="inlineStr">
        <is>
          <t>—</t>
        </is>
      </c>
      <c r="N68" s="256" t="inlineStr">
        <is>
          <t>iCoA-PP_26-077</t>
        </is>
      </c>
      <c r="O68" s="256" t="inlineStr">
        <is>
          <t>03.06.2026</t>
        </is>
      </c>
      <c r="P68" s="256" t="inlineStr">
        <is>
          <t>21.05.2026</t>
        </is>
      </c>
      <c r="Q68" s="256" t="inlineStr">
        <is>
          <t>—</t>
        </is>
      </c>
      <c r="R68" s="256" t="inlineStr">
        <is>
          <t>18.16</t>
        </is>
      </c>
      <c r="S68" s="256" t="inlineStr">
        <is>
          <t>ППК26064</t>
        </is>
      </c>
      <c r="T68" s="256" t="inlineStr">
        <is>
          <t>II</t>
        </is>
      </c>
      <c r="U68" s="256" t="inlineStr">
        <is>
          <t>16.20 – 19.79 %</t>
        </is>
      </c>
      <c r="V68" s="256" t="inlineStr">
        <is>
          <t>JD_THC18 : CBD1</t>
        </is>
      </c>
      <c r="W68" s="256" t="inlineStr">
        <is>
          <t>QCSP_001_JD-II_v.01</t>
        </is>
      </c>
      <c r="X68" s="256" t="inlineStr">
        <is>
          <t>for review — replaces the issued QCSP_001_JD-II_v.01 (was JD_THC16 : CBD1, 14.91 – 17.09 %); now JD_THC18 : CBD1 16.20 – 19.79 %</t>
        </is>
      </c>
      <c r="Y68" s="256" t="inlineStr">
        <is>
          <t>HYBRID</t>
        </is>
      </c>
      <c r="Z68" s="256" t="inlineStr">
        <is>
          <t>THC</t>
        </is>
      </c>
      <c r="AA68" s="256" t="inlineStr">
        <is>
          <t>MACHINE TRIMMED</t>
        </is>
      </c>
      <c r="AB68" s="256" t="inlineStr">
        <is>
          <t>SATIVA 60 : INDICA 40</t>
        </is>
      </c>
      <c r="AC68" s="256" t="inlineStr">
        <is>
          <t>Triplex Alu Bag | Триплекс Aлу Kеса, PET 12 · ALU 7 · PE 80, 300 × 500 mm, net. 400.0 g ±3%</t>
        </is>
      </c>
      <c r="AD68" s="256" t="inlineStr">
        <is>
          <t>11.05.2026</t>
        </is>
      </c>
      <c r="AE68" s="256" t="inlineStr">
        <is>
          <t>Conforms | Одговара</t>
        </is>
      </c>
      <c r="AF68" s="256" t="inlineStr">
        <is>
          <t>iCoA-PP_26-077</t>
        </is>
      </c>
      <c r="AG68" s="256" t="inlineStr">
        <is>
          <t>03.06.2026</t>
        </is>
      </c>
      <c r="AH68" s="256" t="inlineStr">
        <is>
          <t>Purely Plant GmbH (in-house)</t>
        </is>
      </c>
      <c r="AI68" s="256" t="inlineStr">
        <is>
          <t>Conforms | Одговара</t>
        </is>
      </c>
      <c r="AJ68" s="256" t="inlineStr">
        <is>
          <t>iCoA-PP_26-077</t>
        </is>
      </c>
      <c r="AK68" s="256" t="inlineStr">
        <is>
          <t>03.06.2026</t>
        </is>
      </c>
      <c r="AL68" s="256" t="inlineStr">
        <is>
          <t>Purely Plant GmbH (in-house)</t>
        </is>
      </c>
      <c r="AM68" s="256" t="inlineStr">
        <is>
          <t>Conforms | Одговара</t>
        </is>
      </c>
      <c r="AN68" s="256" t="inlineStr">
        <is>
          <t>ППК26064</t>
        </is>
      </c>
      <c r="AO68" s="256" t="inlineStr">
        <is>
          <t>11.05.2026</t>
        </is>
      </c>
      <c r="AP68" s="256" t="inlineStr">
        <is>
          <t>UKIM Faculty of Pharmacy — Center for Natural Products</t>
        </is>
      </c>
      <c r="AQ68" s="256" t="inlineStr">
        <is>
          <t>18.16</t>
        </is>
      </c>
      <c r="AR68" s="256" t="inlineStr">
        <is>
          <t>ППК26064</t>
        </is>
      </c>
      <c r="AS68" s="256" t="inlineStr">
        <is>
          <t>11.05.2026</t>
        </is>
      </c>
      <c r="AT68" s="256" t="inlineStr">
        <is>
          <t>UKIM Faculty of Pharmacy — Center for Natural Products</t>
        </is>
      </c>
      <c r="AU68" s="256" t="inlineStr">
        <is>
          <t>0.06</t>
        </is>
      </c>
      <c r="AV68" s="256" t="inlineStr">
        <is>
          <t>ППК26064</t>
        </is>
      </c>
      <c r="AW68" s="256" t="inlineStr">
        <is>
          <t>11.05.2026</t>
        </is>
      </c>
      <c r="AX68" s="256" t="inlineStr">
        <is>
          <t>UKIM Faculty of Pharmacy — Center for Natural Products</t>
        </is>
      </c>
      <c r="AY68" s="259" t="inlineStr">
        <is>
          <t>not tested</t>
        </is>
      </c>
      <c r="AZ68" s="256" t="inlineStr">
        <is>
          <t>—</t>
        </is>
      </c>
      <c r="BA68" s="256" t="inlineStr">
        <is>
          <t>—</t>
        </is>
      </c>
      <c r="BB68" s="256" t="inlineStr">
        <is>
          <t>—</t>
        </is>
      </c>
      <c r="BC68" s="256" t="inlineStr">
        <is>
          <t>Conforms | Одговара</t>
        </is>
      </c>
      <c r="BD68" s="256" t="inlineStr">
        <is>
          <t>iCoA-PP_26-077</t>
        </is>
      </c>
      <c r="BE68" s="256" t="inlineStr">
        <is>
          <t>03.06.2026</t>
        </is>
      </c>
      <c r="BF68" s="256" t="inlineStr">
        <is>
          <t>Purely Plant GmbH (in-house)</t>
        </is>
      </c>
      <c r="BG68" s="256" t="inlineStr">
        <is>
          <t>6.68</t>
        </is>
      </c>
      <c r="BH68" s="256" t="inlineStr">
        <is>
          <t>ППК26064</t>
        </is>
      </c>
      <c r="BI68" s="256" t="inlineStr">
        <is>
          <t>11.05.2026</t>
        </is>
      </c>
      <c r="BJ68" s="256" t="inlineStr">
        <is>
          <t>UKIM Faculty of Pharmacy — Center for Natural Products</t>
        </is>
      </c>
      <c r="BK68" s="256" t="inlineStr">
        <is>
          <t>1,9 × 10³</t>
        </is>
      </c>
      <c r="BL68" s="256" t="inlineStr">
        <is>
          <t>309/0553/26</t>
        </is>
      </c>
      <c r="BM68" s="256" t="inlineStr">
        <is>
          <t>28.04.2026</t>
        </is>
      </c>
      <c r="BN68" s="256" t="inlineStr">
        <is>
          <t>IPH — Institute of Public Health</t>
        </is>
      </c>
      <c r="BO68" s="256" t="inlineStr">
        <is>
          <t>2,4 × 10³</t>
        </is>
      </c>
      <c r="BP68" s="256" t="inlineStr">
        <is>
          <t>309/0553/26</t>
        </is>
      </c>
      <c r="BQ68" s="256" t="inlineStr">
        <is>
          <t>28.04.2026</t>
        </is>
      </c>
      <c r="BR68" s="256" t="inlineStr">
        <is>
          <t>IPH — Institute of Public Health</t>
        </is>
      </c>
      <c r="BS68" s="256" t="inlineStr">
        <is>
          <t>&lt; 10</t>
        </is>
      </c>
      <c r="BT68" s="256" t="inlineStr">
        <is>
          <t>309/0553/26</t>
        </is>
      </c>
      <c r="BU68" s="256" t="inlineStr">
        <is>
          <t>28.04.2026</t>
        </is>
      </c>
      <c r="BV68" s="256" t="inlineStr">
        <is>
          <t>IPH — Institute of Public Health</t>
        </is>
      </c>
      <c r="BW68" s="256" t="inlineStr">
        <is>
          <t>Absent | Отсутна</t>
        </is>
      </c>
      <c r="BX68" s="256" t="inlineStr">
        <is>
          <t>309/0553/26</t>
        </is>
      </c>
      <c r="BY68" s="256" t="inlineStr">
        <is>
          <t>28.04.2026</t>
        </is>
      </c>
      <c r="BZ68" s="256" t="inlineStr">
        <is>
          <t>IPH — Institute of Public Health</t>
        </is>
      </c>
      <c r="CA68" s="256" t="inlineStr">
        <is>
          <t>Absent | Отсутна</t>
        </is>
      </c>
      <c r="CB68" s="256" t="inlineStr">
        <is>
          <t>309/0553/26</t>
        </is>
      </c>
      <c r="CC68" s="256" t="inlineStr">
        <is>
          <t>28.04.2026</t>
        </is>
      </c>
      <c r="CD68" s="256" t="inlineStr">
        <is>
          <t>IPH — Institute of Public Health</t>
        </is>
      </c>
      <c r="CE68" s="260" t="inlineStr">
        <is>
          <t>upon request — not required for release</t>
        </is>
      </c>
      <c r="CF68" s="256" t="inlineStr">
        <is>
          <t>—</t>
        </is>
      </c>
      <c r="CG68" s="256" t="inlineStr">
        <is>
          <t>—</t>
        </is>
      </c>
      <c r="CH68" s="256" t="inlineStr">
        <is>
          <t>—</t>
        </is>
      </c>
      <c r="CI68" s="260" t="inlineStr">
        <is>
          <t>upon request — not required for release</t>
        </is>
      </c>
      <c r="CJ68" s="256" t="inlineStr">
        <is>
          <t>—</t>
        </is>
      </c>
      <c r="CK68" s="256" t="inlineStr">
        <is>
          <t>—</t>
        </is>
      </c>
      <c r="CL68" s="256" t="inlineStr">
        <is>
          <t>—</t>
        </is>
      </c>
      <c r="CM68" s="259" t="inlineStr">
        <is>
          <t>not tested</t>
        </is>
      </c>
      <c r="CN68" s="256" t="inlineStr">
        <is>
          <t>—</t>
        </is>
      </c>
      <c r="CO68" s="256" t="inlineStr">
        <is>
          <t>—</t>
        </is>
      </c>
      <c r="CP68" s="256" t="inlineStr">
        <is>
          <t>—</t>
        </is>
      </c>
      <c r="CQ68" s="256" t="inlineStr">
        <is>
          <t>&lt; 2</t>
        </is>
      </c>
      <c r="CR68" s="256" t="inlineStr">
        <is>
          <t>2363/2026</t>
        </is>
      </c>
      <c r="CS68" s="256" t="inlineStr">
        <is>
          <t>30.04.2026</t>
        </is>
      </c>
      <c r="CT68" s="256" t="inlineStr">
        <is>
          <t>IPH — Institute of Public Health</t>
        </is>
      </c>
      <c r="CU68" s="259" t="inlineStr">
        <is>
          <t>not tested</t>
        </is>
      </c>
      <c r="CV68" s="256" t="inlineStr">
        <is>
          <t>—</t>
        </is>
      </c>
      <c r="CW68" s="256" t="inlineStr">
        <is>
          <t>—</t>
        </is>
      </c>
      <c r="CX68" s="256" t="inlineStr">
        <is>
          <t>—</t>
        </is>
      </c>
      <c r="CY68" s="256" t="inlineStr">
        <is>
          <t>0.0739</t>
        </is>
      </c>
      <c r="CZ68" s="256" t="inlineStr">
        <is>
          <t>2363/2026</t>
        </is>
      </c>
      <c r="DA68" s="256" t="inlineStr">
        <is>
          <t>30.04.2026</t>
        </is>
      </c>
      <c r="DB68" s="256" t="inlineStr">
        <is>
          <t>IPH — Institute of Public Health</t>
        </is>
      </c>
      <c r="DC68" s="256" t="inlineStr">
        <is>
          <t>0.0166</t>
        </is>
      </c>
      <c r="DD68" s="256" t="inlineStr">
        <is>
          <t>2363/2026</t>
        </is>
      </c>
      <c r="DE68" s="256" t="inlineStr">
        <is>
          <t>30.04.2026</t>
        </is>
      </c>
      <c r="DF68" s="256" t="inlineStr">
        <is>
          <t>IPH — Institute of Public Health</t>
        </is>
      </c>
      <c r="DG68" s="256" t="inlineStr">
        <is>
          <t>0.0136</t>
        </is>
      </c>
      <c r="DH68" s="256" t="inlineStr">
        <is>
          <t>2363/2026</t>
        </is>
      </c>
      <c r="DI68" s="256" t="inlineStr">
        <is>
          <t>30.04.2026</t>
        </is>
      </c>
      <c r="DJ68" s="256" t="inlineStr">
        <is>
          <t>IPH — Institute of Public Health</t>
        </is>
      </c>
      <c r="DK68" s="256" t="inlineStr">
        <is>
          <t>0.0322</t>
        </is>
      </c>
      <c r="DL68" s="256" t="inlineStr">
        <is>
          <t>2363/2026</t>
        </is>
      </c>
      <c r="DM68" s="256" t="inlineStr">
        <is>
          <t>30.04.2026</t>
        </is>
      </c>
      <c r="DN68" s="256" t="inlineStr">
        <is>
          <t>IPH — Institute of Public Health</t>
        </is>
      </c>
      <c r="DO68" s="256" t="inlineStr">
        <is>
          <t>ND</t>
        </is>
      </c>
      <c r="DP68" s="256" t="inlineStr">
        <is>
          <t>2363/2026</t>
        </is>
      </c>
      <c r="DQ68" s="256" t="inlineStr">
        <is>
          <t>30.04.2026</t>
        </is>
      </c>
      <c r="DR68" s="256" t="inlineStr">
        <is>
          <t>IPH — Institute of Public Health</t>
        </is>
      </c>
    </row>
    <row r="69">
      <c r="A69" s="256" t="inlineStr">
        <is>
          <t>CoQ-PP_26-068</t>
        </is>
      </c>
      <c r="B69" s="256" t="inlineStr">
        <is>
          <t>release</t>
        </is>
      </c>
      <c r="C69" s="256" t="inlineStr">
        <is>
          <t>issuable</t>
        </is>
      </c>
      <c r="D69" s="256" t="inlineStr">
        <is>
          <t>06.06.2026</t>
        </is>
      </c>
      <c r="E69" s="256" t="inlineStr">
        <is>
          <t>n/a — release certificate</t>
        </is>
      </c>
      <c r="F69" s="256" t="inlineStr">
        <is>
          <t>(assigned on issue)</t>
        </is>
      </c>
      <c r="G69" s="256" t="inlineStr">
        <is>
          <t>P060332</t>
        </is>
      </c>
      <c r="H69" s="256" t="inlineStr">
        <is>
          <t>— no P lot assigned —</t>
        </is>
      </c>
      <c r="I69" s="256" t="inlineStr">
        <is>
          <t>Cash Cow</t>
        </is>
      </c>
      <c r="J69" s="256" t="inlineStr">
        <is>
          <t>16.04.2026</t>
        </is>
      </c>
      <c r="K69" s="256" t="inlineStr">
        <is>
          <t>22.05.2026</t>
        </is>
      </c>
      <c r="L69" s="256" t="inlineStr">
        <is>
          <t>—</t>
        </is>
      </c>
      <c r="M69" s="256" t="inlineStr">
        <is>
          <t>—</t>
        </is>
      </c>
      <c r="N69" s="256" t="inlineStr">
        <is>
          <t>iCoA-PP_26-079</t>
        </is>
      </c>
      <c r="O69" s="256" t="inlineStr">
        <is>
          <t>03.06.2026</t>
        </is>
      </c>
      <c r="P69" s="256" t="inlineStr">
        <is>
          <t>22.05.2026</t>
        </is>
      </c>
      <c r="Q69" s="256" t="inlineStr">
        <is>
          <t>—</t>
        </is>
      </c>
      <c r="R69" s="256" t="inlineStr">
        <is>
          <t>—</t>
        </is>
      </c>
      <c r="S69" s="256" t="inlineStr">
        <is>
          <t>—</t>
        </is>
      </c>
      <c r="T69" s="256" t="inlineStr">
        <is>
          <t>—</t>
        </is>
      </c>
      <c r="U69" s="256" t="inlineStr">
        <is>
          <t>Per grade of the potency specification of 15.09.2026 — no Total THC result on file</t>
        </is>
      </c>
      <c r="V69" s="256" t="inlineStr">
        <is>
          <t>—</t>
        </is>
      </c>
      <c r="W69" s="256" t="inlineStr">
        <is>
          <t>—</t>
        </is>
      </c>
      <c r="X69" s="256" t="inlineStr">
        <is>
          <t>—</t>
        </is>
      </c>
      <c r="Y69" s="256" t="inlineStr">
        <is>
          <t>—</t>
        </is>
      </c>
      <c r="Z69" s="256" t="inlineStr">
        <is>
          <t>—</t>
        </is>
      </c>
      <c r="AA69" s="256" t="inlineStr">
        <is>
          <t>—</t>
        </is>
      </c>
      <c r="AB69" s="256" t="inlineStr">
        <is>
          <t>—</t>
        </is>
      </c>
      <c r="AC69" s="256" t="inlineStr">
        <is>
          <t>—</t>
        </is>
      </c>
      <c r="AD69" s="256" t="inlineStr">
        <is>
          <t>—</t>
        </is>
      </c>
      <c r="AE69" s="256" t="inlineStr">
        <is>
          <t>Conforms | Одговара</t>
        </is>
      </c>
      <c r="AF69" s="256" t="inlineStr">
        <is>
          <t>iCoA-PP_26-079</t>
        </is>
      </c>
      <c r="AG69" s="256" t="inlineStr">
        <is>
          <t>03.06.2026</t>
        </is>
      </c>
      <c r="AH69" s="256" t="inlineStr">
        <is>
          <t>Purely Plant GmbH (in-house)</t>
        </is>
      </c>
      <c r="AI69" s="256" t="inlineStr">
        <is>
          <t>Conforms | Одговара</t>
        </is>
      </c>
      <c r="AJ69" s="256" t="inlineStr">
        <is>
          <t>iCoA-PP_26-079</t>
        </is>
      </c>
      <c r="AK69" s="256" t="inlineStr">
        <is>
          <t>03.06.2026</t>
        </is>
      </c>
      <c r="AL69" s="256" t="inlineStr">
        <is>
          <t>Purely Plant GmbH (in-house)</t>
        </is>
      </c>
      <c r="AM69" s="259" t="inlineStr">
        <is>
          <t>to be performed (in house)</t>
        </is>
      </c>
      <c r="AN69" s="256" t="inlineStr">
        <is>
          <t>—</t>
        </is>
      </c>
      <c r="AO69" s="256" t="inlineStr">
        <is>
          <t>—</t>
        </is>
      </c>
      <c r="AP69" s="256" t="inlineStr">
        <is>
          <t>—</t>
        </is>
      </c>
      <c r="AQ69" s="259" t="inlineStr">
        <is>
          <t>not tested</t>
        </is>
      </c>
      <c r="AR69" s="256" t="inlineStr">
        <is>
          <t>—</t>
        </is>
      </c>
      <c r="AS69" s="256" t="inlineStr">
        <is>
          <t>—</t>
        </is>
      </c>
      <c r="AT69" s="256" t="inlineStr">
        <is>
          <t>—</t>
        </is>
      </c>
      <c r="AU69" s="259" t="inlineStr">
        <is>
          <t>not tested</t>
        </is>
      </c>
      <c r="AV69" s="256" t="inlineStr">
        <is>
          <t>—</t>
        </is>
      </c>
      <c r="AW69" s="256" t="inlineStr">
        <is>
          <t>—</t>
        </is>
      </c>
      <c r="AX69" s="256" t="inlineStr">
        <is>
          <t>—</t>
        </is>
      </c>
      <c r="AY69" s="259" t="inlineStr">
        <is>
          <t>not tested</t>
        </is>
      </c>
      <c r="AZ69" s="256" t="inlineStr">
        <is>
          <t>—</t>
        </is>
      </c>
      <c r="BA69" s="256" t="inlineStr">
        <is>
          <t>—</t>
        </is>
      </c>
      <c r="BB69" s="256" t="inlineStr">
        <is>
          <t>—</t>
        </is>
      </c>
      <c r="BC69" s="256" t="inlineStr">
        <is>
          <t>Conforms | Одговара</t>
        </is>
      </c>
      <c r="BD69" s="256" t="inlineStr">
        <is>
          <t>iCoA-PP_26-079</t>
        </is>
      </c>
      <c r="BE69" s="256" t="inlineStr">
        <is>
          <t>03.06.2026</t>
        </is>
      </c>
      <c r="BF69" s="256" t="inlineStr">
        <is>
          <t>Purely Plant GmbH (in-house)</t>
        </is>
      </c>
      <c r="BG69" s="259" t="inlineStr">
        <is>
          <t>not tested</t>
        </is>
      </c>
      <c r="BH69" s="256" t="inlineStr">
        <is>
          <t>—</t>
        </is>
      </c>
      <c r="BI69" s="256" t="inlineStr">
        <is>
          <t>—</t>
        </is>
      </c>
      <c r="BJ69" s="256" t="inlineStr">
        <is>
          <t>—</t>
        </is>
      </c>
      <c r="BK69" s="256" t="inlineStr">
        <is>
          <t>7.8 × 10⁴</t>
        </is>
      </c>
      <c r="BL69" s="256" t="inlineStr">
        <is>
          <t>361/0691/26</t>
        </is>
      </c>
      <c r="BM69" s="256" t="inlineStr">
        <is>
          <t>01.06.2026</t>
        </is>
      </c>
      <c r="BN69" s="256" t="inlineStr">
        <is>
          <t>IPH — Institute of Public Health</t>
        </is>
      </c>
      <c r="BO69" s="256" t="inlineStr">
        <is>
          <t>2.2 × 10⁴</t>
        </is>
      </c>
      <c r="BP69" s="256" t="inlineStr">
        <is>
          <t>361/0691/26</t>
        </is>
      </c>
      <c r="BQ69" s="256" t="inlineStr">
        <is>
          <t>01.06.2026</t>
        </is>
      </c>
      <c r="BR69" s="256" t="inlineStr">
        <is>
          <t>IPH — Institute of Public Health</t>
        </is>
      </c>
      <c r="BS69" s="256" t="inlineStr">
        <is>
          <t>&lt; 10</t>
        </is>
      </c>
      <c r="BT69" s="256" t="inlineStr">
        <is>
          <t>361/0691/26</t>
        </is>
      </c>
      <c r="BU69" s="256" t="inlineStr">
        <is>
          <t>01.06.2026</t>
        </is>
      </c>
      <c r="BV69" s="256" t="inlineStr">
        <is>
          <t>IPH — Institute of Public Health</t>
        </is>
      </c>
      <c r="BW69" s="256" t="inlineStr">
        <is>
          <t>Absent | Отсутна</t>
        </is>
      </c>
      <c r="BX69" s="256" t="inlineStr">
        <is>
          <t>361/0691/26</t>
        </is>
      </c>
      <c r="BY69" s="256" t="inlineStr">
        <is>
          <t>01.06.2026</t>
        </is>
      </c>
      <c r="BZ69" s="256" t="inlineStr">
        <is>
          <t>IPH — Institute of Public Health</t>
        </is>
      </c>
      <c r="CA69" s="256" t="inlineStr">
        <is>
          <t>Absent | Отсутна</t>
        </is>
      </c>
      <c r="CB69" s="256" t="inlineStr">
        <is>
          <t>361/0691/26</t>
        </is>
      </c>
      <c r="CC69" s="256" t="inlineStr">
        <is>
          <t>01.06.2026</t>
        </is>
      </c>
      <c r="CD69" s="256" t="inlineStr">
        <is>
          <t>IPH — Institute of Public Health</t>
        </is>
      </c>
      <c r="CE69" s="260" t="inlineStr">
        <is>
          <t>upon request — not required for release</t>
        </is>
      </c>
      <c r="CF69" s="256" t="inlineStr">
        <is>
          <t>—</t>
        </is>
      </c>
      <c r="CG69" s="256" t="inlineStr">
        <is>
          <t>—</t>
        </is>
      </c>
      <c r="CH69" s="256" t="inlineStr">
        <is>
          <t>—</t>
        </is>
      </c>
      <c r="CI69" s="260" t="inlineStr">
        <is>
          <t>upon request — not required for release</t>
        </is>
      </c>
      <c r="CJ69" s="256" t="inlineStr">
        <is>
          <t>—</t>
        </is>
      </c>
      <c r="CK69" s="256" t="inlineStr">
        <is>
          <t>—</t>
        </is>
      </c>
      <c r="CL69" s="256" t="inlineStr">
        <is>
          <t>—</t>
        </is>
      </c>
      <c r="CM69" s="259" t="inlineStr">
        <is>
          <t>not tested</t>
        </is>
      </c>
      <c r="CN69" s="256" t="inlineStr">
        <is>
          <t>—</t>
        </is>
      </c>
      <c r="CO69" s="256" t="inlineStr">
        <is>
          <t>—</t>
        </is>
      </c>
      <c r="CP69" s="256" t="inlineStr">
        <is>
          <t>—</t>
        </is>
      </c>
      <c r="CQ69" s="259" t="inlineStr">
        <is>
          <t>not tested</t>
        </is>
      </c>
      <c r="CR69" s="256" t="inlineStr">
        <is>
          <t>—</t>
        </is>
      </c>
      <c r="CS69" s="256" t="inlineStr">
        <is>
          <t>—</t>
        </is>
      </c>
      <c r="CT69" s="256" t="inlineStr">
        <is>
          <t>—</t>
        </is>
      </c>
      <c r="CU69" s="259" t="inlineStr">
        <is>
          <t>not tested</t>
        </is>
      </c>
      <c r="CV69" s="256" t="inlineStr">
        <is>
          <t>—</t>
        </is>
      </c>
      <c r="CW69" s="256" t="inlineStr">
        <is>
          <t>—</t>
        </is>
      </c>
      <c r="CX69" s="256" t="inlineStr">
        <is>
          <t>—</t>
        </is>
      </c>
      <c r="CY69" s="259" t="inlineStr">
        <is>
          <t>not tested</t>
        </is>
      </c>
      <c r="CZ69" s="256" t="inlineStr">
        <is>
          <t>—</t>
        </is>
      </c>
      <c r="DA69" s="256" t="inlineStr">
        <is>
          <t>—</t>
        </is>
      </c>
      <c r="DB69" s="256" t="inlineStr">
        <is>
          <t>—</t>
        </is>
      </c>
      <c r="DC69" s="259" t="inlineStr">
        <is>
          <t>not tested</t>
        </is>
      </c>
      <c r="DD69" s="256" t="inlineStr">
        <is>
          <t>—</t>
        </is>
      </c>
      <c r="DE69" s="256" t="inlineStr">
        <is>
          <t>—</t>
        </is>
      </c>
      <c r="DF69" s="256" t="inlineStr">
        <is>
          <t>—</t>
        </is>
      </c>
      <c r="DG69" s="259" t="inlineStr">
        <is>
          <t>not tested</t>
        </is>
      </c>
      <c r="DH69" s="256" t="inlineStr">
        <is>
          <t>—</t>
        </is>
      </c>
      <c r="DI69" s="256" t="inlineStr">
        <is>
          <t>—</t>
        </is>
      </c>
      <c r="DJ69" s="256" t="inlineStr">
        <is>
          <t>—</t>
        </is>
      </c>
      <c r="DK69" s="259" t="inlineStr">
        <is>
          <t>not tested</t>
        </is>
      </c>
      <c r="DL69" s="256" t="inlineStr">
        <is>
          <t>—</t>
        </is>
      </c>
      <c r="DM69" s="256" t="inlineStr">
        <is>
          <t>—</t>
        </is>
      </c>
      <c r="DN69" s="256" t="inlineStr">
        <is>
          <t>—</t>
        </is>
      </c>
      <c r="DO69" s="259" t="inlineStr">
        <is>
          <t>not tested</t>
        </is>
      </c>
      <c r="DP69" s="256" t="inlineStr">
        <is>
          <t>—</t>
        </is>
      </c>
      <c r="DQ69" s="256" t="inlineStr">
        <is>
          <t>—</t>
        </is>
      </c>
      <c r="DR69" s="256" t="inlineStr">
        <is>
          <t>—</t>
        </is>
      </c>
    </row>
    <row r="70">
      <c r="A70" s="256" t="inlineStr">
        <is>
          <t>CoQ-PP_26-069</t>
        </is>
      </c>
      <c r="B70" s="256" t="inlineStr">
        <is>
          <t>release</t>
        </is>
      </c>
      <c r="C70" s="256" t="inlineStr">
        <is>
          <t>issuable</t>
        </is>
      </c>
      <c r="D70" s="256" t="inlineStr">
        <is>
          <t>06.06.2026</t>
        </is>
      </c>
      <c r="E70" s="256" t="inlineStr">
        <is>
          <t>n/a — release certificate</t>
        </is>
      </c>
      <c r="F70" s="256" t="inlineStr">
        <is>
          <t>CoQ-PP-2026-0019</t>
        </is>
      </c>
      <c r="G70" s="256" t="inlineStr">
        <is>
          <t>FB012601/1</t>
        </is>
      </c>
      <c r="H70" s="256" t="inlineStr">
        <is>
          <t>P060322</t>
        </is>
      </c>
      <c r="I70" s="256" t="inlineStr">
        <is>
          <t>Fat Bastard</t>
        </is>
      </c>
      <c r="J70" s="256" t="inlineStr">
        <is>
          <t>27.03.2026</t>
        </is>
      </c>
      <c r="K70" s="256" t="inlineStr">
        <is>
          <t>22.05.2026</t>
        </is>
      </c>
      <c r="L70" s="256" t="inlineStr">
        <is>
          <t>27.03.2026</t>
        </is>
      </c>
      <c r="M70" s="256" t="inlineStr">
        <is>
          <t>22.05.2026</t>
        </is>
      </c>
      <c r="N70" s="256" t="inlineStr">
        <is>
          <t>iCoA-PP_26-078</t>
        </is>
      </c>
      <c r="O70" s="256" t="inlineStr">
        <is>
          <t>03.06.2026</t>
        </is>
      </c>
      <c r="P70" s="256" t="inlineStr">
        <is>
          <t>22.05.2026</t>
        </is>
      </c>
      <c r="Q70" s="256" t="inlineStr">
        <is>
          <t>—</t>
        </is>
      </c>
      <c r="R70" s="256" t="inlineStr">
        <is>
          <t>14.68</t>
        </is>
      </c>
      <c r="S70" s="256" t="inlineStr">
        <is>
          <t>ППК26067</t>
        </is>
      </c>
      <c r="T70" s="256" t="inlineStr">
        <is>
          <t>III</t>
        </is>
      </c>
      <c r="U70" s="256" t="inlineStr">
        <is>
          <t>13.80 – 16.19 %</t>
        </is>
      </c>
      <c r="V70" s="256" t="inlineStr">
        <is>
          <t>FB_THC15 : CBD1</t>
        </is>
      </c>
      <c r="W70" s="256" t="inlineStr">
        <is>
          <t>QCSP_001_FB-III_v.01</t>
        </is>
      </c>
      <c r="X70" s="256" t="inlineStr">
        <is>
          <t>for review — replaces the issued QCSP_001_FB-III_v.01 (was FB_THC16 : CBD1, 14.86 – 17.14 %); now FB_THC15 : CBD1 13.80 – 16.19 %</t>
        </is>
      </c>
      <c r="Y70" s="256" t="inlineStr">
        <is>
          <t>HYBRID</t>
        </is>
      </c>
      <c r="Z70" s="256" t="inlineStr">
        <is>
          <t>THC</t>
        </is>
      </c>
      <c r="AA70" s="256" t="inlineStr">
        <is>
          <t>MACHINE TRIMMED</t>
        </is>
      </c>
      <c r="AB70" s="256" t="inlineStr">
        <is>
          <t>BALANCED</t>
        </is>
      </c>
      <c r="AC70" s="256" t="inlineStr">
        <is>
          <t>Triplex Alu Bag | Триплекс Aлу Kеса, PET 12 · ALU 7 · PE 80, 300 × 500 mm, net. 400.0 g ±3%</t>
        </is>
      </c>
      <c r="AD70" s="256" t="inlineStr">
        <is>
          <t>11.05.2026</t>
        </is>
      </c>
      <c r="AE70" s="256" t="inlineStr">
        <is>
          <t>Conforms | Одговара</t>
        </is>
      </c>
      <c r="AF70" s="256" t="inlineStr">
        <is>
          <t>iCoA-PP_26-078</t>
        </is>
      </c>
      <c r="AG70" s="256" t="inlineStr">
        <is>
          <t>03.06.2026</t>
        </is>
      </c>
      <c r="AH70" s="256" t="inlineStr">
        <is>
          <t>Purely Plant GmbH (in-house)</t>
        </is>
      </c>
      <c r="AI70" s="256" t="inlineStr">
        <is>
          <t>Conforms | Одговара</t>
        </is>
      </c>
      <c r="AJ70" s="256" t="inlineStr">
        <is>
          <t>iCoA-PP_26-078</t>
        </is>
      </c>
      <c r="AK70" s="256" t="inlineStr">
        <is>
          <t>03.06.2026</t>
        </is>
      </c>
      <c r="AL70" s="256" t="inlineStr">
        <is>
          <t>Purely Plant GmbH (in-house)</t>
        </is>
      </c>
      <c r="AM70" s="256" t="inlineStr">
        <is>
          <t>Conforms | Одговара</t>
        </is>
      </c>
      <c r="AN70" s="256" t="inlineStr">
        <is>
          <t>ППК26067</t>
        </is>
      </c>
      <c r="AO70" s="256" t="inlineStr">
        <is>
          <t>11.05.2026</t>
        </is>
      </c>
      <c r="AP70" s="256" t="inlineStr">
        <is>
          <t>UKIM Faculty of Pharmacy — Center for Natural Products</t>
        </is>
      </c>
      <c r="AQ70" s="256" t="inlineStr">
        <is>
          <t>14.68</t>
        </is>
      </c>
      <c r="AR70" s="256" t="inlineStr">
        <is>
          <t>ППК26067</t>
        </is>
      </c>
      <c r="AS70" s="256" t="inlineStr">
        <is>
          <t>11.05.2026</t>
        </is>
      </c>
      <c r="AT70" s="256" t="inlineStr">
        <is>
          <t>UKIM Faculty of Pharmacy — Center for Natural Products</t>
        </is>
      </c>
      <c r="AU70" s="256" t="inlineStr">
        <is>
          <t>0.04</t>
        </is>
      </c>
      <c r="AV70" s="256" t="inlineStr">
        <is>
          <t>ППК26067</t>
        </is>
      </c>
      <c r="AW70" s="256" t="inlineStr">
        <is>
          <t>11.05.2026</t>
        </is>
      </c>
      <c r="AX70" s="256" t="inlineStr">
        <is>
          <t>UKIM Faculty of Pharmacy — Center for Natural Products</t>
        </is>
      </c>
      <c r="AY70" s="256" t="inlineStr">
        <is>
          <t>&lt; LOQ %</t>
        </is>
      </c>
      <c r="AZ70" s="256" t="inlineStr">
        <is>
          <t>ППК26067</t>
        </is>
      </c>
      <c r="BA70" s="256" t="inlineStr">
        <is>
          <t>11.05.2026</t>
        </is>
      </c>
      <c r="BB70" s="256" t="inlineStr">
        <is>
          <t>CNP</t>
        </is>
      </c>
      <c r="BC70" s="256" t="inlineStr">
        <is>
          <t>Conforms | Одговара</t>
        </is>
      </c>
      <c r="BD70" s="256" t="inlineStr">
        <is>
          <t>iCoA-PP_26-078</t>
        </is>
      </c>
      <c r="BE70" s="256" t="inlineStr">
        <is>
          <t>03.06.2026</t>
        </is>
      </c>
      <c r="BF70" s="256" t="inlineStr">
        <is>
          <t>Purely Plant GmbH (in-house)</t>
        </is>
      </c>
      <c r="BG70" s="256" t="inlineStr">
        <is>
          <t>7.67</t>
        </is>
      </c>
      <c r="BH70" s="256" t="inlineStr">
        <is>
          <t>ППК26067</t>
        </is>
      </c>
      <c r="BI70" s="256" t="inlineStr">
        <is>
          <t>11.05.2026</t>
        </is>
      </c>
      <c r="BJ70" s="256" t="inlineStr">
        <is>
          <t>UKIM Faculty of Pharmacy — Center for Natural Products</t>
        </is>
      </c>
      <c r="BK70" s="256" t="inlineStr">
        <is>
          <t>2 × 10³</t>
        </is>
      </c>
      <c r="BL70" s="256" t="inlineStr">
        <is>
          <t>308/0552/26</t>
        </is>
      </c>
      <c r="BM70" s="256" t="inlineStr">
        <is>
          <t>28.04.2026</t>
        </is>
      </c>
      <c r="BN70" s="256" t="inlineStr">
        <is>
          <t>IPH — Institute of Public Health</t>
        </is>
      </c>
      <c r="BO70" s="256" t="inlineStr">
        <is>
          <t>2,1 × 10³</t>
        </is>
      </c>
      <c r="BP70" s="256" t="inlineStr">
        <is>
          <t>308/0552/26</t>
        </is>
      </c>
      <c r="BQ70" s="256" t="inlineStr">
        <is>
          <t>28.04.2026</t>
        </is>
      </c>
      <c r="BR70" s="256" t="inlineStr">
        <is>
          <t>IPH — Institute of Public Health</t>
        </is>
      </c>
      <c r="BS70" s="256" t="inlineStr">
        <is>
          <t>&lt; 10</t>
        </is>
      </c>
      <c r="BT70" s="256" t="inlineStr">
        <is>
          <t>308/0552/26</t>
        </is>
      </c>
      <c r="BU70" s="256" t="inlineStr">
        <is>
          <t>28.04.2026</t>
        </is>
      </c>
      <c r="BV70" s="256" t="inlineStr">
        <is>
          <t>IPH — Institute of Public Health</t>
        </is>
      </c>
      <c r="BW70" s="256" t="inlineStr">
        <is>
          <t>Absent | Отсутна</t>
        </is>
      </c>
      <c r="BX70" s="256" t="inlineStr">
        <is>
          <t>308/0552/26</t>
        </is>
      </c>
      <c r="BY70" s="256" t="inlineStr">
        <is>
          <t>28.04.2026</t>
        </is>
      </c>
      <c r="BZ70" s="256" t="inlineStr">
        <is>
          <t>IPH — Institute of Public Health</t>
        </is>
      </c>
      <c r="CA70" s="256" t="inlineStr">
        <is>
          <t>Absent | Отсутна</t>
        </is>
      </c>
      <c r="CB70" s="256" t="inlineStr">
        <is>
          <t>308/0552/26</t>
        </is>
      </c>
      <c r="CC70" s="256" t="inlineStr">
        <is>
          <t>28.04.2026</t>
        </is>
      </c>
      <c r="CD70" s="256" t="inlineStr">
        <is>
          <t>IPH — Institute of Public Health</t>
        </is>
      </c>
      <c r="CE70" s="260" t="inlineStr">
        <is>
          <t>upon request — not required for release</t>
        </is>
      </c>
      <c r="CF70" s="256" t="inlineStr">
        <is>
          <t>—</t>
        </is>
      </c>
      <c r="CG70" s="256" t="inlineStr">
        <is>
          <t>—</t>
        </is>
      </c>
      <c r="CH70" s="256" t="inlineStr">
        <is>
          <t>—</t>
        </is>
      </c>
      <c r="CI70" s="260" t="inlineStr">
        <is>
          <t>upon request — not required for release</t>
        </is>
      </c>
      <c r="CJ70" s="256" t="inlineStr">
        <is>
          <t>—</t>
        </is>
      </c>
      <c r="CK70" s="256" t="inlineStr">
        <is>
          <t>—</t>
        </is>
      </c>
      <c r="CL70" s="256" t="inlineStr">
        <is>
          <t>—</t>
        </is>
      </c>
      <c r="CM70" s="259" t="inlineStr">
        <is>
          <t>not tested</t>
        </is>
      </c>
      <c r="CN70" s="256" t="inlineStr">
        <is>
          <t>—</t>
        </is>
      </c>
      <c r="CO70" s="256" t="inlineStr">
        <is>
          <t>—</t>
        </is>
      </c>
      <c r="CP70" s="256" t="inlineStr">
        <is>
          <t>—</t>
        </is>
      </c>
      <c r="CQ70" s="256" t="inlineStr">
        <is>
          <t>&lt; 2</t>
        </is>
      </c>
      <c r="CR70" s="256" t="inlineStr">
        <is>
          <t>2362/2026</t>
        </is>
      </c>
      <c r="CS70" s="256" t="inlineStr">
        <is>
          <t>30.04.2026</t>
        </is>
      </c>
      <c r="CT70" s="256" t="inlineStr">
        <is>
          <t>IPH — Institute of Public Health</t>
        </is>
      </c>
      <c r="CU70" s="259" t="inlineStr">
        <is>
          <t>not tested</t>
        </is>
      </c>
      <c r="CV70" s="256" t="inlineStr">
        <is>
          <t>—</t>
        </is>
      </c>
      <c r="CW70" s="256" t="inlineStr">
        <is>
          <t>—</t>
        </is>
      </c>
      <c r="CX70" s="256" t="inlineStr">
        <is>
          <t>—</t>
        </is>
      </c>
      <c r="CY70" s="256" t="inlineStr">
        <is>
          <t>0.0114</t>
        </is>
      </c>
      <c r="CZ70" s="256" t="inlineStr">
        <is>
          <t>2362/2026</t>
        </is>
      </c>
      <c r="DA70" s="256" t="inlineStr">
        <is>
          <t>30.04.2026</t>
        </is>
      </c>
      <c r="DB70" s="256" t="inlineStr">
        <is>
          <t>IPH — Institute of Public Health</t>
        </is>
      </c>
      <c r="DC70" s="256" t="inlineStr">
        <is>
          <t>0.017</t>
        </is>
      </c>
      <c r="DD70" s="256" t="inlineStr">
        <is>
          <t>2362/2026</t>
        </is>
      </c>
      <c r="DE70" s="256" t="inlineStr">
        <is>
          <t>30.04.2026</t>
        </is>
      </c>
      <c r="DF70" s="256" t="inlineStr">
        <is>
          <t>IPH — Institute of Public Health</t>
        </is>
      </c>
      <c r="DG70" s="256" t="inlineStr">
        <is>
          <t>0.0144</t>
        </is>
      </c>
      <c r="DH70" s="256" t="inlineStr">
        <is>
          <t>2362/2026</t>
        </is>
      </c>
      <c r="DI70" s="256" t="inlineStr">
        <is>
          <t>30.04.2026</t>
        </is>
      </c>
      <c r="DJ70" s="256" t="inlineStr">
        <is>
          <t>IPH — Institute of Public Health</t>
        </is>
      </c>
      <c r="DK70" s="256" t="inlineStr">
        <is>
          <t>0.0155</t>
        </is>
      </c>
      <c r="DL70" s="256" t="inlineStr">
        <is>
          <t>2362/2026</t>
        </is>
      </c>
      <c r="DM70" s="256" t="inlineStr">
        <is>
          <t>30.04.2026</t>
        </is>
      </c>
      <c r="DN70" s="256" t="inlineStr">
        <is>
          <t>IPH — Institute of Public Health</t>
        </is>
      </c>
      <c r="DO70" s="256" t="inlineStr">
        <is>
          <t>ND</t>
        </is>
      </c>
      <c r="DP70" s="256" t="inlineStr">
        <is>
          <t>2362/2026</t>
        </is>
      </c>
      <c r="DQ70" s="256" t="inlineStr">
        <is>
          <t>30.04.2026</t>
        </is>
      </c>
      <c r="DR70" s="256" t="inlineStr">
        <is>
          <t>IPH — Institute of Public Health</t>
        </is>
      </c>
    </row>
    <row r="71">
      <c r="A71" s="256" t="inlineStr">
        <is>
          <t>CoQ-PP_26-070</t>
        </is>
      </c>
      <c r="B71" s="256" t="inlineStr">
        <is>
          <t>release</t>
        </is>
      </c>
      <c r="C71" s="256" t="inlineStr">
        <is>
          <t>issuable</t>
        </is>
      </c>
      <c r="D71" s="256" t="inlineStr">
        <is>
          <t>06.06.2026</t>
        </is>
      </c>
      <c r="E71" s="256" t="inlineStr">
        <is>
          <t>n/a — release certificate</t>
        </is>
      </c>
      <c r="F71" s="256" t="inlineStr">
        <is>
          <t>CoQ-PP-2026-0021</t>
        </is>
      </c>
      <c r="G71" s="256" t="inlineStr">
        <is>
          <t>FB012602</t>
        </is>
      </c>
      <c r="H71" s="256" t="inlineStr">
        <is>
          <t>P060352</t>
        </is>
      </c>
      <c r="I71" s="256" t="inlineStr">
        <is>
          <t>Fat Bastard</t>
        </is>
      </c>
      <c r="J71" s="256" t="inlineStr">
        <is>
          <t>16.04.2026</t>
        </is>
      </c>
      <c r="K71" s="256" t="inlineStr">
        <is>
          <t>23.05.2026</t>
        </is>
      </c>
      <c r="L71" s="256" t="inlineStr">
        <is>
          <t>16.04.2026</t>
        </is>
      </c>
      <c r="M71" s="256" t="inlineStr">
        <is>
          <t>23.05.2026</t>
        </is>
      </c>
      <c r="N71" s="256" t="inlineStr">
        <is>
          <t>iCoA-PP_26-083</t>
        </is>
      </c>
      <c r="O71" s="256" t="inlineStr">
        <is>
          <t>03.06.2026</t>
        </is>
      </c>
      <c r="P71" s="256" t="inlineStr">
        <is>
          <t>23.05.2026</t>
        </is>
      </c>
      <c r="Q71" s="256" t="inlineStr">
        <is>
          <t>—</t>
        </is>
      </c>
      <c r="R71" s="256" t="inlineStr">
        <is>
          <t>—</t>
        </is>
      </c>
      <c r="S71" s="256" t="inlineStr">
        <is>
          <t>—</t>
        </is>
      </c>
      <c r="T71" s="256" t="inlineStr">
        <is>
          <t>—</t>
        </is>
      </c>
      <c r="U71" s="256" t="inlineStr">
        <is>
          <t>Per grade of the potency specification of 15.09.2026 — no Total THC result on file</t>
        </is>
      </c>
      <c r="V71" s="256" t="inlineStr">
        <is>
          <t>—</t>
        </is>
      </c>
      <c r="W71" s="256" t="inlineStr">
        <is>
          <t>—</t>
        </is>
      </c>
      <c r="X71" s="256" t="inlineStr">
        <is>
          <t>—</t>
        </is>
      </c>
      <c r="Y71" s="256" t="inlineStr">
        <is>
          <t>—</t>
        </is>
      </c>
      <c r="Z71" s="256" t="inlineStr">
        <is>
          <t>—</t>
        </is>
      </c>
      <c r="AA71" s="256" t="inlineStr">
        <is>
          <t>—</t>
        </is>
      </c>
      <c r="AB71" s="256" t="inlineStr">
        <is>
          <t>—</t>
        </is>
      </c>
      <c r="AC71" s="256" t="inlineStr">
        <is>
          <t>—</t>
        </is>
      </c>
      <c r="AD71" s="256" t="inlineStr">
        <is>
          <t>—</t>
        </is>
      </c>
      <c r="AE71" s="256" t="inlineStr">
        <is>
          <t>Conforms | Одговара</t>
        </is>
      </c>
      <c r="AF71" s="256" t="inlineStr">
        <is>
          <t>iCoA-PP_26-083</t>
        </is>
      </c>
      <c r="AG71" s="256" t="inlineStr">
        <is>
          <t>03.06.2026</t>
        </is>
      </c>
      <c r="AH71" s="256" t="inlineStr">
        <is>
          <t>Purely Plant GmbH (in-house)</t>
        </is>
      </c>
      <c r="AI71" s="256" t="inlineStr">
        <is>
          <t>Conforms | Одговара</t>
        </is>
      </c>
      <c r="AJ71" s="256" t="inlineStr">
        <is>
          <t>iCoA-PP_26-083</t>
        </is>
      </c>
      <c r="AK71" s="256" t="inlineStr">
        <is>
          <t>03.06.2026</t>
        </is>
      </c>
      <c r="AL71" s="256" t="inlineStr">
        <is>
          <t>Purely Plant GmbH (in-house)</t>
        </is>
      </c>
      <c r="AM71" s="259" t="inlineStr">
        <is>
          <t>to be performed (in house)</t>
        </is>
      </c>
      <c r="AN71" s="256" t="inlineStr">
        <is>
          <t>—</t>
        </is>
      </c>
      <c r="AO71" s="256" t="inlineStr">
        <is>
          <t>—</t>
        </is>
      </c>
      <c r="AP71" s="256" t="inlineStr">
        <is>
          <t>—</t>
        </is>
      </c>
      <c r="AQ71" s="259" t="inlineStr">
        <is>
          <t>not tested</t>
        </is>
      </c>
      <c r="AR71" s="256" t="inlineStr">
        <is>
          <t>—</t>
        </is>
      </c>
      <c r="AS71" s="256" t="inlineStr">
        <is>
          <t>—</t>
        </is>
      </c>
      <c r="AT71" s="256" t="inlineStr">
        <is>
          <t>—</t>
        </is>
      </c>
      <c r="AU71" s="259" t="inlineStr">
        <is>
          <t>not tested</t>
        </is>
      </c>
      <c r="AV71" s="256" t="inlineStr">
        <is>
          <t>—</t>
        </is>
      </c>
      <c r="AW71" s="256" t="inlineStr">
        <is>
          <t>—</t>
        </is>
      </c>
      <c r="AX71" s="256" t="inlineStr">
        <is>
          <t>—</t>
        </is>
      </c>
      <c r="AY71" s="259" t="inlineStr">
        <is>
          <t>not tested</t>
        </is>
      </c>
      <c r="AZ71" s="256" t="inlineStr">
        <is>
          <t>—</t>
        </is>
      </c>
      <c r="BA71" s="256" t="inlineStr">
        <is>
          <t>—</t>
        </is>
      </c>
      <c r="BB71" s="256" t="inlineStr">
        <is>
          <t>—</t>
        </is>
      </c>
      <c r="BC71" s="256" t="inlineStr">
        <is>
          <t>Conforms | Одговара</t>
        </is>
      </c>
      <c r="BD71" s="256" t="inlineStr">
        <is>
          <t>iCoA-PP_26-083</t>
        </is>
      </c>
      <c r="BE71" s="256" t="inlineStr">
        <is>
          <t>03.06.2026</t>
        </is>
      </c>
      <c r="BF71" s="256" t="inlineStr">
        <is>
          <t>Purely Plant GmbH (in-house)</t>
        </is>
      </c>
      <c r="BG71" s="259" t="inlineStr">
        <is>
          <t>not tested</t>
        </is>
      </c>
      <c r="BH71" s="256" t="inlineStr">
        <is>
          <t>—</t>
        </is>
      </c>
      <c r="BI71" s="256" t="inlineStr">
        <is>
          <t>—</t>
        </is>
      </c>
      <c r="BJ71" s="256" t="inlineStr">
        <is>
          <t>—</t>
        </is>
      </c>
      <c r="BK71" s="256" t="inlineStr">
        <is>
          <t>6.3 × 10⁴</t>
        </is>
      </c>
      <c r="BL71" s="256" t="inlineStr">
        <is>
          <t>366/0696/26</t>
        </is>
      </c>
      <c r="BM71" s="256" t="inlineStr">
        <is>
          <t>01.06.2026</t>
        </is>
      </c>
      <c r="BN71" s="256" t="inlineStr">
        <is>
          <t>IPH — Institute of Public Health</t>
        </is>
      </c>
      <c r="BO71" s="256" t="inlineStr">
        <is>
          <t>2.2 × 10⁴</t>
        </is>
      </c>
      <c r="BP71" s="256" t="inlineStr">
        <is>
          <t>366/0696/26</t>
        </is>
      </c>
      <c r="BQ71" s="256" t="inlineStr">
        <is>
          <t>01.06.2026</t>
        </is>
      </c>
      <c r="BR71" s="256" t="inlineStr">
        <is>
          <t>IPH — Institute of Public Health</t>
        </is>
      </c>
      <c r="BS71" s="256" t="inlineStr">
        <is>
          <t>&lt; 10</t>
        </is>
      </c>
      <c r="BT71" s="256" t="inlineStr">
        <is>
          <t>366/0696/26</t>
        </is>
      </c>
      <c r="BU71" s="256" t="inlineStr">
        <is>
          <t>01.06.2026</t>
        </is>
      </c>
      <c r="BV71" s="256" t="inlineStr">
        <is>
          <t>IPH — Institute of Public Health</t>
        </is>
      </c>
      <c r="BW71" s="256" t="inlineStr">
        <is>
          <t>Absent | Отсутна</t>
        </is>
      </c>
      <c r="BX71" s="256" t="inlineStr">
        <is>
          <t>366/0696/26</t>
        </is>
      </c>
      <c r="BY71" s="256" t="inlineStr">
        <is>
          <t>01.06.2026</t>
        </is>
      </c>
      <c r="BZ71" s="256" t="inlineStr">
        <is>
          <t>IPH — Institute of Public Health</t>
        </is>
      </c>
      <c r="CA71" s="256" t="inlineStr">
        <is>
          <t>Absent | Отсутна</t>
        </is>
      </c>
      <c r="CB71" s="256" t="inlineStr">
        <is>
          <t>366/0696/26</t>
        </is>
      </c>
      <c r="CC71" s="256" t="inlineStr">
        <is>
          <t>01.06.2026</t>
        </is>
      </c>
      <c r="CD71" s="256" t="inlineStr">
        <is>
          <t>IPH — Institute of Public Health</t>
        </is>
      </c>
      <c r="CE71" s="260" t="inlineStr">
        <is>
          <t>upon request — not required for release</t>
        </is>
      </c>
      <c r="CF71" s="256" t="inlineStr">
        <is>
          <t>—</t>
        </is>
      </c>
      <c r="CG71" s="256" t="inlineStr">
        <is>
          <t>—</t>
        </is>
      </c>
      <c r="CH71" s="256" t="inlineStr">
        <is>
          <t>—</t>
        </is>
      </c>
      <c r="CI71" s="260" t="inlineStr">
        <is>
          <t>upon request — not required for release</t>
        </is>
      </c>
      <c r="CJ71" s="256" t="inlineStr">
        <is>
          <t>—</t>
        </is>
      </c>
      <c r="CK71" s="256" t="inlineStr">
        <is>
          <t>—</t>
        </is>
      </c>
      <c r="CL71" s="256" t="inlineStr">
        <is>
          <t>—</t>
        </is>
      </c>
      <c r="CM71" s="259" t="inlineStr">
        <is>
          <t>not tested</t>
        </is>
      </c>
      <c r="CN71" s="256" t="inlineStr">
        <is>
          <t>—</t>
        </is>
      </c>
      <c r="CO71" s="256" t="inlineStr">
        <is>
          <t>—</t>
        </is>
      </c>
      <c r="CP71" s="256" t="inlineStr">
        <is>
          <t>—</t>
        </is>
      </c>
      <c r="CQ71" s="259" t="inlineStr">
        <is>
          <t>not tested</t>
        </is>
      </c>
      <c r="CR71" s="256" t="inlineStr">
        <is>
          <t>—</t>
        </is>
      </c>
      <c r="CS71" s="256" t="inlineStr">
        <is>
          <t>—</t>
        </is>
      </c>
      <c r="CT71" s="256" t="inlineStr">
        <is>
          <t>—</t>
        </is>
      </c>
      <c r="CU71" s="259" t="inlineStr">
        <is>
          <t>not tested</t>
        </is>
      </c>
      <c r="CV71" s="256" t="inlineStr">
        <is>
          <t>—</t>
        </is>
      </c>
      <c r="CW71" s="256" t="inlineStr">
        <is>
          <t>—</t>
        </is>
      </c>
      <c r="CX71" s="256" t="inlineStr">
        <is>
          <t>—</t>
        </is>
      </c>
      <c r="CY71" s="259" t="inlineStr">
        <is>
          <t>not tested</t>
        </is>
      </c>
      <c r="CZ71" s="256" t="inlineStr">
        <is>
          <t>—</t>
        </is>
      </c>
      <c r="DA71" s="256" t="inlineStr">
        <is>
          <t>—</t>
        </is>
      </c>
      <c r="DB71" s="256" t="inlineStr">
        <is>
          <t>—</t>
        </is>
      </c>
      <c r="DC71" s="259" t="inlineStr">
        <is>
          <t>not tested</t>
        </is>
      </c>
      <c r="DD71" s="256" t="inlineStr">
        <is>
          <t>—</t>
        </is>
      </c>
      <c r="DE71" s="256" t="inlineStr">
        <is>
          <t>—</t>
        </is>
      </c>
      <c r="DF71" s="256" t="inlineStr">
        <is>
          <t>—</t>
        </is>
      </c>
      <c r="DG71" s="259" t="inlineStr">
        <is>
          <t>not tested</t>
        </is>
      </c>
      <c r="DH71" s="256" t="inlineStr">
        <is>
          <t>—</t>
        </is>
      </c>
      <c r="DI71" s="256" t="inlineStr">
        <is>
          <t>—</t>
        </is>
      </c>
      <c r="DJ71" s="256" t="inlineStr">
        <is>
          <t>—</t>
        </is>
      </c>
      <c r="DK71" s="259" t="inlineStr">
        <is>
          <t>not tested</t>
        </is>
      </c>
      <c r="DL71" s="256" t="inlineStr">
        <is>
          <t>—</t>
        </is>
      </c>
      <c r="DM71" s="256" t="inlineStr">
        <is>
          <t>—</t>
        </is>
      </c>
      <c r="DN71" s="256" t="inlineStr">
        <is>
          <t>—</t>
        </is>
      </c>
      <c r="DO71" s="259" t="inlineStr">
        <is>
          <t>not tested</t>
        </is>
      </c>
      <c r="DP71" s="256" t="inlineStr">
        <is>
          <t>—</t>
        </is>
      </c>
      <c r="DQ71" s="256" t="inlineStr">
        <is>
          <t>—</t>
        </is>
      </c>
      <c r="DR71" s="256" t="inlineStr">
        <is>
          <t>—</t>
        </is>
      </c>
    </row>
    <row r="72">
      <c r="A72" s="256" t="inlineStr">
        <is>
          <t>CoQ-PP_26-071</t>
        </is>
      </c>
      <c r="B72" s="256" t="inlineStr">
        <is>
          <t>release</t>
        </is>
      </c>
      <c r="C72" s="256" t="inlineStr">
        <is>
          <t>issuable</t>
        </is>
      </c>
      <c r="D72" s="256" t="inlineStr">
        <is>
          <t>06.06.2026</t>
        </is>
      </c>
      <c r="E72" s="256" t="inlineStr">
        <is>
          <t>n/a — release certificate</t>
        </is>
      </c>
      <c r="F72" s="256" t="inlineStr">
        <is>
          <t>CoQ-PP-2026-0020</t>
        </is>
      </c>
      <c r="G72" s="256" t="inlineStr">
        <is>
          <t>JD012603/01</t>
        </is>
      </c>
      <c r="H72" s="256" t="inlineStr">
        <is>
          <t>P060362</t>
        </is>
      </c>
      <c r="I72" s="256" t="inlineStr">
        <is>
          <t>Jelly Donuts</t>
        </is>
      </c>
      <c r="J72" s="256" t="inlineStr">
        <is>
          <t>22.04.2026</t>
        </is>
      </c>
      <c r="K72" s="256" t="inlineStr">
        <is>
          <t>23.05.2026</t>
        </is>
      </c>
      <c r="L72" s="256" t="inlineStr">
        <is>
          <t>22.04.2026</t>
        </is>
      </c>
      <c r="M72" s="256" t="inlineStr">
        <is>
          <t>23.05.2026</t>
        </is>
      </c>
      <c r="N72" s="256" t="inlineStr">
        <is>
          <t>iCoA-PP_26-082</t>
        </is>
      </c>
      <c r="O72" s="256" t="inlineStr">
        <is>
          <t>03.06.2026</t>
        </is>
      </c>
      <c r="P72" s="256" t="inlineStr">
        <is>
          <t>23.05.2026</t>
        </is>
      </c>
      <c r="Q72" s="256" t="inlineStr">
        <is>
          <t>—</t>
        </is>
      </c>
      <c r="R72" s="256" t="inlineStr">
        <is>
          <t>—</t>
        </is>
      </c>
      <c r="S72" s="256" t="inlineStr">
        <is>
          <t>—</t>
        </is>
      </c>
      <c r="T72" s="256" t="inlineStr">
        <is>
          <t>—</t>
        </is>
      </c>
      <c r="U72" s="256" t="inlineStr">
        <is>
          <t>Per grade of the potency specification of 15.09.2026 — no Total THC result on file</t>
        </is>
      </c>
      <c r="V72" s="256" t="inlineStr">
        <is>
          <t>—</t>
        </is>
      </c>
      <c r="W72" s="256" t="inlineStr">
        <is>
          <t>—</t>
        </is>
      </c>
      <c r="X72" s="256" t="inlineStr">
        <is>
          <t>—</t>
        </is>
      </c>
      <c r="Y72" s="256" t="inlineStr">
        <is>
          <t>—</t>
        </is>
      </c>
      <c r="Z72" s="256" t="inlineStr">
        <is>
          <t>—</t>
        </is>
      </c>
      <c r="AA72" s="256" t="inlineStr">
        <is>
          <t>—</t>
        </is>
      </c>
      <c r="AB72" s="256" t="inlineStr">
        <is>
          <t>—</t>
        </is>
      </c>
      <c r="AC72" s="256" t="inlineStr">
        <is>
          <t>—</t>
        </is>
      </c>
      <c r="AD72" s="256" t="inlineStr">
        <is>
          <t>—</t>
        </is>
      </c>
      <c r="AE72" s="259" t="inlineStr">
        <is>
          <t>to be performed (in house)</t>
        </is>
      </c>
      <c r="AF72" s="256" t="inlineStr">
        <is>
          <t>iCoA-PP_26-082</t>
        </is>
      </c>
      <c r="AG72" s="256" t="inlineStr">
        <is>
          <t>03.06.2026</t>
        </is>
      </c>
      <c r="AH72" s="256" t="inlineStr">
        <is>
          <t>Purely Plant GmbH (in-house)</t>
        </is>
      </c>
      <c r="AI72" s="259" t="inlineStr">
        <is>
          <t>to be performed (in house)</t>
        </is>
      </c>
      <c r="AJ72" s="256" t="inlineStr">
        <is>
          <t>iCoA-PP_26-082</t>
        </is>
      </c>
      <c r="AK72" s="256" t="inlineStr">
        <is>
          <t>03.06.2026</t>
        </is>
      </c>
      <c r="AL72" s="256" t="inlineStr">
        <is>
          <t>Purely Plant GmbH (in-house)</t>
        </is>
      </c>
      <c r="AM72" s="259" t="inlineStr">
        <is>
          <t>to be performed (in house)</t>
        </is>
      </c>
      <c r="AN72" s="256" t="inlineStr">
        <is>
          <t>—</t>
        </is>
      </c>
      <c r="AO72" s="256" t="inlineStr">
        <is>
          <t>—</t>
        </is>
      </c>
      <c r="AP72" s="256" t="inlineStr">
        <is>
          <t>—</t>
        </is>
      </c>
      <c r="AQ72" s="259" t="inlineStr">
        <is>
          <t>not tested</t>
        </is>
      </c>
      <c r="AR72" s="256" t="inlineStr">
        <is>
          <t>—</t>
        </is>
      </c>
      <c r="AS72" s="256" t="inlineStr">
        <is>
          <t>—</t>
        </is>
      </c>
      <c r="AT72" s="256" t="inlineStr">
        <is>
          <t>—</t>
        </is>
      </c>
      <c r="AU72" s="259" t="inlineStr">
        <is>
          <t>not tested</t>
        </is>
      </c>
      <c r="AV72" s="256" t="inlineStr">
        <is>
          <t>—</t>
        </is>
      </c>
      <c r="AW72" s="256" t="inlineStr">
        <is>
          <t>—</t>
        </is>
      </c>
      <c r="AX72" s="256" t="inlineStr">
        <is>
          <t>—</t>
        </is>
      </c>
      <c r="AY72" s="259" t="inlineStr">
        <is>
          <t>not tested</t>
        </is>
      </c>
      <c r="AZ72" s="256" t="inlineStr">
        <is>
          <t>—</t>
        </is>
      </c>
      <c r="BA72" s="256" t="inlineStr">
        <is>
          <t>—</t>
        </is>
      </c>
      <c r="BB72" s="256" t="inlineStr">
        <is>
          <t>—</t>
        </is>
      </c>
      <c r="BC72" s="259" t="inlineStr">
        <is>
          <t>to be performed (in house)</t>
        </is>
      </c>
      <c r="BD72" s="256" t="inlineStr">
        <is>
          <t>iCoA-PP_26-082</t>
        </is>
      </c>
      <c r="BE72" s="256" t="inlineStr">
        <is>
          <t>03.06.2026</t>
        </is>
      </c>
      <c r="BF72" s="256" t="inlineStr">
        <is>
          <t>Purely Plant GmbH (in-house)</t>
        </is>
      </c>
      <c r="BG72" s="259" t="inlineStr">
        <is>
          <t>not tested</t>
        </is>
      </c>
      <c r="BH72" s="256" t="inlineStr">
        <is>
          <t>—</t>
        </is>
      </c>
      <c r="BI72" s="256" t="inlineStr">
        <is>
          <t>—</t>
        </is>
      </c>
      <c r="BJ72" s="256" t="inlineStr">
        <is>
          <t>—</t>
        </is>
      </c>
      <c r="BK72" s="256" t="inlineStr">
        <is>
          <t>2 × 10²</t>
        </is>
      </c>
      <c r="BL72" s="256" t="inlineStr">
        <is>
          <t>365/0695/26</t>
        </is>
      </c>
      <c r="BM72" s="256" t="inlineStr">
        <is>
          <t>01.06.2026</t>
        </is>
      </c>
      <c r="BN72" s="256" t="inlineStr">
        <is>
          <t>IPH — Institute of Public Health</t>
        </is>
      </c>
      <c r="BO72" s="256" t="inlineStr">
        <is>
          <t>1 × 10²</t>
        </is>
      </c>
      <c r="BP72" s="256" t="inlineStr">
        <is>
          <t>365/0695/26</t>
        </is>
      </c>
      <c r="BQ72" s="256" t="inlineStr">
        <is>
          <t>01.06.2026</t>
        </is>
      </c>
      <c r="BR72" s="256" t="inlineStr">
        <is>
          <t>IPH — Institute of Public Health</t>
        </is>
      </c>
      <c r="BS72" s="256" t="inlineStr">
        <is>
          <t>&lt; 10</t>
        </is>
      </c>
      <c r="BT72" s="256" t="inlineStr">
        <is>
          <t>365/0695/26</t>
        </is>
      </c>
      <c r="BU72" s="256" t="inlineStr">
        <is>
          <t>01.06.2026</t>
        </is>
      </c>
      <c r="BV72" s="256" t="inlineStr">
        <is>
          <t>IPH — Institute of Public Health</t>
        </is>
      </c>
      <c r="BW72" s="256" t="inlineStr">
        <is>
          <t>Absent | Отсутна</t>
        </is>
      </c>
      <c r="BX72" s="256" t="inlineStr">
        <is>
          <t>365/0695/26</t>
        </is>
      </c>
      <c r="BY72" s="256" t="inlineStr">
        <is>
          <t>01.06.2026</t>
        </is>
      </c>
      <c r="BZ72" s="256" t="inlineStr">
        <is>
          <t>IPH — Institute of Public Health</t>
        </is>
      </c>
      <c r="CA72" s="256" t="inlineStr">
        <is>
          <t>Absent | Отсутна</t>
        </is>
      </c>
      <c r="CB72" s="256" t="inlineStr">
        <is>
          <t>365/0695/26</t>
        </is>
      </c>
      <c r="CC72" s="256" t="inlineStr">
        <is>
          <t>01.06.2026</t>
        </is>
      </c>
      <c r="CD72" s="256" t="inlineStr">
        <is>
          <t>IPH — Institute of Public Health</t>
        </is>
      </c>
      <c r="CE72" s="260" t="inlineStr">
        <is>
          <t>upon request — not required for release</t>
        </is>
      </c>
      <c r="CF72" s="256" t="inlineStr">
        <is>
          <t>—</t>
        </is>
      </c>
      <c r="CG72" s="256" t="inlineStr">
        <is>
          <t>—</t>
        </is>
      </c>
      <c r="CH72" s="256" t="inlineStr">
        <is>
          <t>—</t>
        </is>
      </c>
      <c r="CI72" s="260" t="inlineStr">
        <is>
          <t>upon request — not required for release</t>
        </is>
      </c>
      <c r="CJ72" s="256" t="inlineStr">
        <is>
          <t>—</t>
        </is>
      </c>
      <c r="CK72" s="256" t="inlineStr">
        <is>
          <t>—</t>
        </is>
      </c>
      <c r="CL72" s="256" t="inlineStr">
        <is>
          <t>—</t>
        </is>
      </c>
      <c r="CM72" s="259" t="inlineStr">
        <is>
          <t>not tested</t>
        </is>
      </c>
      <c r="CN72" s="256" t="inlineStr">
        <is>
          <t>—</t>
        </is>
      </c>
      <c r="CO72" s="256" t="inlineStr">
        <is>
          <t>—</t>
        </is>
      </c>
      <c r="CP72" s="256" t="inlineStr">
        <is>
          <t>—</t>
        </is>
      </c>
      <c r="CQ72" s="259" t="inlineStr">
        <is>
          <t>not tested</t>
        </is>
      </c>
      <c r="CR72" s="256" t="inlineStr">
        <is>
          <t>—</t>
        </is>
      </c>
      <c r="CS72" s="256" t="inlineStr">
        <is>
          <t>—</t>
        </is>
      </c>
      <c r="CT72" s="256" t="inlineStr">
        <is>
          <t>—</t>
        </is>
      </c>
      <c r="CU72" s="259" t="inlineStr">
        <is>
          <t>not tested</t>
        </is>
      </c>
      <c r="CV72" s="256" t="inlineStr">
        <is>
          <t>—</t>
        </is>
      </c>
      <c r="CW72" s="256" t="inlineStr">
        <is>
          <t>—</t>
        </is>
      </c>
      <c r="CX72" s="256" t="inlineStr">
        <is>
          <t>—</t>
        </is>
      </c>
      <c r="CY72" s="259" t="inlineStr">
        <is>
          <t>not tested</t>
        </is>
      </c>
      <c r="CZ72" s="256" t="inlineStr">
        <is>
          <t>—</t>
        </is>
      </c>
      <c r="DA72" s="256" t="inlineStr">
        <is>
          <t>—</t>
        </is>
      </c>
      <c r="DB72" s="256" t="inlineStr">
        <is>
          <t>—</t>
        </is>
      </c>
      <c r="DC72" s="259" t="inlineStr">
        <is>
          <t>not tested</t>
        </is>
      </c>
      <c r="DD72" s="256" t="inlineStr">
        <is>
          <t>—</t>
        </is>
      </c>
      <c r="DE72" s="256" t="inlineStr">
        <is>
          <t>—</t>
        </is>
      </c>
      <c r="DF72" s="256" t="inlineStr">
        <is>
          <t>—</t>
        </is>
      </c>
      <c r="DG72" s="259" t="inlineStr">
        <is>
          <t>not tested</t>
        </is>
      </c>
      <c r="DH72" s="256" t="inlineStr">
        <is>
          <t>—</t>
        </is>
      </c>
      <c r="DI72" s="256" t="inlineStr">
        <is>
          <t>—</t>
        </is>
      </c>
      <c r="DJ72" s="256" t="inlineStr">
        <is>
          <t>—</t>
        </is>
      </c>
      <c r="DK72" s="259" t="inlineStr">
        <is>
          <t>not tested</t>
        </is>
      </c>
      <c r="DL72" s="256" t="inlineStr">
        <is>
          <t>—</t>
        </is>
      </c>
      <c r="DM72" s="256" t="inlineStr">
        <is>
          <t>—</t>
        </is>
      </c>
      <c r="DN72" s="256" t="inlineStr">
        <is>
          <t>—</t>
        </is>
      </c>
      <c r="DO72" s="259" t="inlineStr">
        <is>
          <t>not tested</t>
        </is>
      </c>
      <c r="DP72" s="256" t="inlineStr">
        <is>
          <t>—</t>
        </is>
      </c>
      <c r="DQ72" s="256" t="inlineStr">
        <is>
          <t>—</t>
        </is>
      </c>
      <c r="DR72" s="256" t="inlineStr">
        <is>
          <t>—</t>
        </is>
      </c>
    </row>
    <row r="73">
      <c r="A73" s="256" t="inlineStr">
        <is>
          <t>CoQ-PP_26-072</t>
        </is>
      </c>
      <c r="B73" s="256" t="inlineStr">
        <is>
          <t>release</t>
        </is>
      </c>
      <c r="C73" s="256" t="inlineStr">
        <is>
          <t>issuable</t>
        </is>
      </c>
      <c r="D73" s="256" t="inlineStr">
        <is>
          <t>06.06.2026</t>
        </is>
      </c>
      <c r="E73" s="256" t="inlineStr">
        <is>
          <t>n/a — release certificate</t>
        </is>
      </c>
      <c r="F73" s="256" t="inlineStr">
        <is>
          <t>CoQ-PP-2026-0024</t>
        </is>
      </c>
      <c r="G73" s="256" t="inlineStr">
        <is>
          <t>CC012603</t>
        </is>
      </c>
      <c r="H73" s="256" t="inlineStr">
        <is>
          <t>P060372</t>
        </is>
      </c>
      <c r="I73" s="256" t="inlineStr">
        <is>
          <t>Cash Cow</t>
        </is>
      </c>
      <c r="J73" s="256" t="inlineStr">
        <is>
          <t>22.04.2026</t>
        </is>
      </c>
      <c r="K73" s="256" t="inlineStr">
        <is>
          <t>24.05.2026</t>
        </is>
      </c>
      <c r="L73" s="256" t="inlineStr">
        <is>
          <t>22.04.2026</t>
        </is>
      </c>
      <c r="M73" s="256" t="inlineStr">
        <is>
          <t>24.05.2026</t>
        </is>
      </c>
      <c r="N73" s="256" t="inlineStr">
        <is>
          <t>iCoA-PP_26-084</t>
        </is>
      </c>
      <c r="O73" s="256" t="inlineStr">
        <is>
          <t>03.06.2026</t>
        </is>
      </c>
      <c r="P73" s="256" t="inlineStr">
        <is>
          <t>24.05.2026</t>
        </is>
      </c>
      <c r="Q73" s="256" t="inlineStr">
        <is>
          <t>—</t>
        </is>
      </c>
      <c r="R73" s="256" t="inlineStr">
        <is>
          <t>—</t>
        </is>
      </c>
      <c r="S73" s="256" t="inlineStr">
        <is>
          <t>—</t>
        </is>
      </c>
      <c r="T73" s="256" t="inlineStr">
        <is>
          <t>—</t>
        </is>
      </c>
      <c r="U73" s="256" t="inlineStr">
        <is>
          <t>Per grade of the potency specification of 15.09.2026 — no Total THC result on file</t>
        </is>
      </c>
      <c r="V73" s="256" t="inlineStr">
        <is>
          <t>—</t>
        </is>
      </c>
      <c r="W73" s="256" t="inlineStr">
        <is>
          <t>—</t>
        </is>
      </c>
      <c r="X73" s="256" t="inlineStr">
        <is>
          <t>—</t>
        </is>
      </c>
      <c r="Y73" s="256" t="inlineStr">
        <is>
          <t>—</t>
        </is>
      </c>
      <c r="Z73" s="256" t="inlineStr">
        <is>
          <t>—</t>
        </is>
      </c>
      <c r="AA73" s="256" t="inlineStr">
        <is>
          <t>—</t>
        </is>
      </c>
      <c r="AB73" s="256" t="inlineStr">
        <is>
          <t>—</t>
        </is>
      </c>
      <c r="AC73" s="256" t="inlineStr">
        <is>
          <t>—</t>
        </is>
      </c>
      <c r="AD73" s="256" t="inlineStr">
        <is>
          <t>—</t>
        </is>
      </c>
      <c r="AE73" s="256" t="inlineStr">
        <is>
          <t>Conforms | Одговара</t>
        </is>
      </c>
      <c r="AF73" s="256" t="inlineStr">
        <is>
          <t>iCoA-PP_26-084</t>
        </is>
      </c>
      <c r="AG73" s="256" t="inlineStr">
        <is>
          <t>03.06.2026</t>
        </is>
      </c>
      <c r="AH73" s="256" t="inlineStr">
        <is>
          <t>Purely Plant GmbH (in-house)</t>
        </is>
      </c>
      <c r="AI73" s="256" t="inlineStr">
        <is>
          <t>Conforms | Одговара</t>
        </is>
      </c>
      <c r="AJ73" s="256" t="inlineStr">
        <is>
          <t>iCoA-PP_26-084</t>
        </is>
      </c>
      <c r="AK73" s="256" t="inlineStr">
        <is>
          <t>03.06.2026</t>
        </is>
      </c>
      <c r="AL73" s="256" t="inlineStr">
        <is>
          <t>Purely Plant GmbH (in-house)</t>
        </is>
      </c>
      <c r="AM73" s="259" t="inlineStr">
        <is>
          <t>to be performed (in house)</t>
        </is>
      </c>
      <c r="AN73" s="256" t="inlineStr">
        <is>
          <t>—</t>
        </is>
      </c>
      <c r="AO73" s="256" t="inlineStr">
        <is>
          <t>—</t>
        </is>
      </c>
      <c r="AP73" s="256" t="inlineStr">
        <is>
          <t>—</t>
        </is>
      </c>
      <c r="AQ73" s="259" t="inlineStr">
        <is>
          <t>not tested</t>
        </is>
      </c>
      <c r="AR73" s="256" t="inlineStr">
        <is>
          <t>—</t>
        </is>
      </c>
      <c r="AS73" s="256" t="inlineStr">
        <is>
          <t>—</t>
        </is>
      </c>
      <c r="AT73" s="256" t="inlineStr">
        <is>
          <t>—</t>
        </is>
      </c>
      <c r="AU73" s="259" t="inlineStr">
        <is>
          <t>not tested</t>
        </is>
      </c>
      <c r="AV73" s="256" t="inlineStr">
        <is>
          <t>—</t>
        </is>
      </c>
      <c r="AW73" s="256" t="inlineStr">
        <is>
          <t>—</t>
        </is>
      </c>
      <c r="AX73" s="256" t="inlineStr">
        <is>
          <t>—</t>
        </is>
      </c>
      <c r="AY73" s="259" t="inlineStr">
        <is>
          <t>not tested</t>
        </is>
      </c>
      <c r="AZ73" s="256" t="inlineStr">
        <is>
          <t>—</t>
        </is>
      </c>
      <c r="BA73" s="256" t="inlineStr">
        <is>
          <t>—</t>
        </is>
      </c>
      <c r="BB73" s="256" t="inlineStr">
        <is>
          <t>—</t>
        </is>
      </c>
      <c r="BC73" s="256" t="inlineStr">
        <is>
          <t>Conforms | Одговара</t>
        </is>
      </c>
      <c r="BD73" s="256" t="inlineStr">
        <is>
          <t>iCoA-PP_26-084</t>
        </is>
      </c>
      <c r="BE73" s="256" t="inlineStr">
        <is>
          <t>03.06.2026</t>
        </is>
      </c>
      <c r="BF73" s="256" t="inlineStr">
        <is>
          <t>Purely Plant GmbH (in-house)</t>
        </is>
      </c>
      <c r="BG73" s="259" t="inlineStr">
        <is>
          <t>not tested</t>
        </is>
      </c>
      <c r="BH73" s="256" t="inlineStr">
        <is>
          <t>—</t>
        </is>
      </c>
      <c r="BI73" s="256" t="inlineStr">
        <is>
          <t>—</t>
        </is>
      </c>
      <c r="BJ73" s="256" t="inlineStr">
        <is>
          <t>—</t>
        </is>
      </c>
      <c r="BK73" s="256" t="inlineStr">
        <is>
          <t>2.7 × 10³</t>
        </is>
      </c>
      <c r="BL73" s="256" t="inlineStr">
        <is>
          <t>363/0693/26</t>
        </is>
      </c>
      <c r="BM73" s="256" t="inlineStr">
        <is>
          <t>01.06.2026</t>
        </is>
      </c>
      <c r="BN73" s="256" t="inlineStr">
        <is>
          <t>IPH — Institute of Public Health</t>
        </is>
      </c>
      <c r="BO73" s="256" t="inlineStr">
        <is>
          <t>1.6 × 10¹</t>
        </is>
      </c>
      <c r="BP73" s="256" t="inlineStr">
        <is>
          <t>363/0693/26</t>
        </is>
      </c>
      <c r="BQ73" s="256" t="inlineStr">
        <is>
          <t>01.06.2026</t>
        </is>
      </c>
      <c r="BR73" s="256" t="inlineStr">
        <is>
          <t>IPH — Institute of Public Health</t>
        </is>
      </c>
      <c r="BS73" s="256" t="inlineStr">
        <is>
          <t>&lt; 10</t>
        </is>
      </c>
      <c r="BT73" s="256" t="inlineStr">
        <is>
          <t>363/0693/26</t>
        </is>
      </c>
      <c r="BU73" s="256" t="inlineStr">
        <is>
          <t>01.06.2026</t>
        </is>
      </c>
      <c r="BV73" s="256" t="inlineStr">
        <is>
          <t>IPH — Institute of Public Health</t>
        </is>
      </c>
      <c r="BW73" s="256" t="inlineStr">
        <is>
          <t>Absent | Отсутна</t>
        </is>
      </c>
      <c r="BX73" s="256" t="inlineStr">
        <is>
          <t>363/0693/26</t>
        </is>
      </c>
      <c r="BY73" s="256" t="inlineStr">
        <is>
          <t>01.06.2026</t>
        </is>
      </c>
      <c r="BZ73" s="256" t="inlineStr">
        <is>
          <t>IPH — Institute of Public Health</t>
        </is>
      </c>
      <c r="CA73" s="256" t="inlineStr">
        <is>
          <t>Absent | Отсутна</t>
        </is>
      </c>
      <c r="CB73" s="256" t="inlineStr">
        <is>
          <t>363/0693/26</t>
        </is>
      </c>
      <c r="CC73" s="256" t="inlineStr">
        <is>
          <t>01.06.2026</t>
        </is>
      </c>
      <c r="CD73" s="256" t="inlineStr">
        <is>
          <t>IPH — Institute of Public Health</t>
        </is>
      </c>
      <c r="CE73" s="260" t="inlineStr">
        <is>
          <t>upon request — not required for release</t>
        </is>
      </c>
      <c r="CF73" s="256" t="inlineStr">
        <is>
          <t>—</t>
        </is>
      </c>
      <c r="CG73" s="256" t="inlineStr">
        <is>
          <t>—</t>
        </is>
      </c>
      <c r="CH73" s="256" t="inlineStr">
        <is>
          <t>—</t>
        </is>
      </c>
      <c r="CI73" s="260" t="inlineStr">
        <is>
          <t>upon request — not required for release</t>
        </is>
      </c>
      <c r="CJ73" s="256" t="inlineStr">
        <is>
          <t>—</t>
        </is>
      </c>
      <c r="CK73" s="256" t="inlineStr">
        <is>
          <t>—</t>
        </is>
      </c>
      <c r="CL73" s="256" t="inlineStr">
        <is>
          <t>—</t>
        </is>
      </c>
      <c r="CM73" s="259" t="inlineStr">
        <is>
          <t>not tested</t>
        </is>
      </c>
      <c r="CN73" s="256" t="inlineStr">
        <is>
          <t>—</t>
        </is>
      </c>
      <c r="CO73" s="256" t="inlineStr">
        <is>
          <t>—</t>
        </is>
      </c>
      <c r="CP73" s="256" t="inlineStr">
        <is>
          <t>—</t>
        </is>
      </c>
      <c r="CQ73" s="259" t="inlineStr">
        <is>
          <t>not tested</t>
        </is>
      </c>
      <c r="CR73" s="256" t="inlineStr">
        <is>
          <t>—</t>
        </is>
      </c>
      <c r="CS73" s="256" t="inlineStr">
        <is>
          <t>—</t>
        </is>
      </c>
      <c r="CT73" s="256" t="inlineStr">
        <is>
          <t>—</t>
        </is>
      </c>
      <c r="CU73" s="259" t="inlineStr">
        <is>
          <t>not tested</t>
        </is>
      </c>
      <c r="CV73" s="256" t="inlineStr">
        <is>
          <t>—</t>
        </is>
      </c>
      <c r="CW73" s="256" t="inlineStr">
        <is>
          <t>—</t>
        </is>
      </c>
      <c r="CX73" s="256" t="inlineStr">
        <is>
          <t>—</t>
        </is>
      </c>
      <c r="CY73" s="259" t="inlineStr">
        <is>
          <t>not tested</t>
        </is>
      </c>
      <c r="CZ73" s="256" t="inlineStr">
        <is>
          <t>—</t>
        </is>
      </c>
      <c r="DA73" s="256" t="inlineStr">
        <is>
          <t>—</t>
        </is>
      </c>
      <c r="DB73" s="256" t="inlineStr">
        <is>
          <t>—</t>
        </is>
      </c>
      <c r="DC73" s="259" t="inlineStr">
        <is>
          <t>not tested</t>
        </is>
      </c>
      <c r="DD73" s="256" t="inlineStr">
        <is>
          <t>—</t>
        </is>
      </c>
      <c r="DE73" s="256" t="inlineStr">
        <is>
          <t>—</t>
        </is>
      </c>
      <c r="DF73" s="256" t="inlineStr">
        <is>
          <t>—</t>
        </is>
      </c>
      <c r="DG73" s="259" t="inlineStr">
        <is>
          <t>not tested</t>
        </is>
      </c>
      <c r="DH73" s="256" t="inlineStr">
        <is>
          <t>—</t>
        </is>
      </c>
      <c r="DI73" s="256" t="inlineStr">
        <is>
          <t>—</t>
        </is>
      </c>
      <c r="DJ73" s="256" t="inlineStr">
        <is>
          <t>—</t>
        </is>
      </c>
      <c r="DK73" s="259" t="inlineStr">
        <is>
          <t>not tested</t>
        </is>
      </c>
      <c r="DL73" s="256" t="inlineStr">
        <is>
          <t>—</t>
        </is>
      </c>
      <c r="DM73" s="256" t="inlineStr">
        <is>
          <t>—</t>
        </is>
      </c>
      <c r="DN73" s="256" t="inlineStr">
        <is>
          <t>—</t>
        </is>
      </c>
      <c r="DO73" s="259" t="inlineStr">
        <is>
          <t>not tested</t>
        </is>
      </c>
      <c r="DP73" s="256" t="inlineStr">
        <is>
          <t>—</t>
        </is>
      </c>
      <c r="DQ73" s="256" t="inlineStr">
        <is>
          <t>—</t>
        </is>
      </c>
      <c r="DR73" s="256" t="inlineStr">
        <is>
          <t>—</t>
        </is>
      </c>
    </row>
    <row r="74">
      <c r="A74" s="256" t="inlineStr">
        <is>
          <t>CoQ-PP_26-073</t>
        </is>
      </c>
      <c r="B74" s="256" t="inlineStr">
        <is>
          <t>release</t>
        </is>
      </c>
      <c r="C74" s="256" t="inlineStr">
        <is>
          <t>issuable</t>
        </is>
      </c>
      <c r="D74" s="256" t="inlineStr">
        <is>
          <t>06.06.2026</t>
        </is>
      </c>
      <c r="E74" s="256" t="inlineStr">
        <is>
          <t>n/a — release certificate</t>
        </is>
      </c>
      <c r="F74" s="256" t="inlineStr">
        <is>
          <t>(assigned on issue)</t>
        </is>
      </c>
      <c r="G74" s="256" t="inlineStr">
        <is>
          <t>SCR012601</t>
        </is>
      </c>
      <c r="H74" s="256" t="inlineStr">
        <is>
          <t>P060342</t>
        </is>
      </c>
      <c r="I74" s="256" t="inlineStr">
        <is>
          <t>Scrambler</t>
        </is>
      </c>
      <c r="J74" s="256" t="inlineStr">
        <is>
          <t>16.04.2026</t>
        </is>
      </c>
      <c r="K74" s="256" t="inlineStr">
        <is>
          <t>25.05.2026</t>
        </is>
      </c>
      <c r="L74" s="256" t="inlineStr">
        <is>
          <t>—</t>
        </is>
      </c>
      <c r="M74" s="256" t="inlineStr">
        <is>
          <t>25.05.2026</t>
        </is>
      </c>
      <c r="N74" s="256" t="inlineStr">
        <is>
          <t>iCoA-PP_26-088</t>
        </is>
      </c>
      <c r="O74" s="256" t="inlineStr">
        <is>
          <t>03.06.2026</t>
        </is>
      </c>
      <c r="P74" s="256" t="inlineStr">
        <is>
          <t>25.05.2026</t>
        </is>
      </c>
      <c r="Q74" s="256" t="inlineStr">
        <is>
          <t>—</t>
        </is>
      </c>
      <c r="R74" s="256" t="inlineStr">
        <is>
          <t>—</t>
        </is>
      </c>
      <c r="S74" s="256" t="inlineStr">
        <is>
          <t>—</t>
        </is>
      </c>
      <c r="T74" s="256" t="inlineStr">
        <is>
          <t>—</t>
        </is>
      </c>
      <c r="U74" s="256" t="inlineStr">
        <is>
          <t>Per grade of the potency specification of 15.09.2026 — no Total THC result on file</t>
        </is>
      </c>
      <c r="V74" s="256" t="inlineStr">
        <is>
          <t>—</t>
        </is>
      </c>
      <c r="W74" s="256" t="inlineStr">
        <is>
          <t>—</t>
        </is>
      </c>
      <c r="X74" s="256" t="inlineStr">
        <is>
          <t>—</t>
        </is>
      </c>
      <c r="Y74" s="256" t="inlineStr">
        <is>
          <t>—</t>
        </is>
      </c>
      <c r="Z74" s="256" t="inlineStr">
        <is>
          <t>—</t>
        </is>
      </c>
      <c r="AA74" s="256" t="inlineStr">
        <is>
          <t>—</t>
        </is>
      </c>
      <c r="AB74" s="256" t="inlineStr">
        <is>
          <t>—</t>
        </is>
      </c>
      <c r="AC74" s="256" t="inlineStr">
        <is>
          <t>—</t>
        </is>
      </c>
      <c r="AD74" s="256" t="inlineStr">
        <is>
          <t>—</t>
        </is>
      </c>
      <c r="AE74" s="256" t="inlineStr">
        <is>
          <t>Conforms | Одговара</t>
        </is>
      </c>
      <c r="AF74" s="256" t="inlineStr">
        <is>
          <t>iCoA-PP_26-088</t>
        </is>
      </c>
      <c r="AG74" s="256" t="inlineStr">
        <is>
          <t>03.06.2026</t>
        </is>
      </c>
      <c r="AH74" s="256" t="inlineStr">
        <is>
          <t>Purely Plant GmbH (in-house)</t>
        </is>
      </c>
      <c r="AI74" s="256" t="inlineStr">
        <is>
          <t>Conforms | Одговара</t>
        </is>
      </c>
      <c r="AJ74" s="256" t="inlineStr">
        <is>
          <t>iCoA-PP_26-088</t>
        </is>
      </c>
      <c r="AK74" s="256" t="inlineStr">
        <is>
          <t>03.06.2026</t>
        </is>
      </c>
      <c r="AL74" s="256" t="inlineStr">
        <is>
          <t>Purely Plant GmbH (in-house)</t>
        </is>
      </c>
      <c r="AM74" s="259" t="inlineStr">
        <is>
          <t>to be performed (in house)</t>
        </is>
      </c>
      <c r="AN74" s="256" t="inlineStr">
        <is>
          <t>—</t>
        </is>
      </c>
      <c r="AO74" s="256" t="inlineStr">
        <is>
          <t>—</t>
        </is>
      </c>
      <c r="AP74" s="256" t="inlineStr">
        <is>
          <t>—</t>
        </is>
      </c>
      <c r="AQ74" s="259" t="inlineStr">
        <is>
          <t>not tested</t>
        </is>
      </c>
      <c r="AR74" s="256" t="inlineStr">
        <is>
          <t>—</t>
        </is>
      </c>
      <c r="AS74" s="256" t="inlineStr">
        <is>
          <t>—</t>
        </is>
      </c>
      <c r="AT74" s="256" t="inlineStr">
        <is>
          <t>—</t>
        </is>
      </c>
      <c r="AU74" s="259" t="inlineStr">
        <is>
          <t>not tested</t>
        </is>
      </c>
      <c r="AV74" s="256" t="inlineStr">
        <is>
          <t>—</t>
        </is>
      </c>
      <c r="AW74" s="256" t="inlineStr">
        <is>
          <t>—</t>
        </is>
      </c>
      <c r="AX74" s="256" t="inlineStr">
        <is>
          <t>—</t>
        </is>
      </c>
      <c r="AY74" s="259" t="inlineStr">
        <is>
          <t>not tested</t>
        </is>
      </c>
      <c r="AZ74" s="256" t="inlineStr">
        <is>
          <t>—</t>
        </is>
      </c>
      <c r="BA74" s="256" t="inlineStr">
        <is>
          <t>—</t>
        </is>
      </c>
      <c r="BB74" s="256" t="inlineStr">
        <is>
          <t>—</t>
        </is>
      </c>
      <c r="BC74" s="256" t="inlineStr">
        <is>
          <t>Conforms | Одговара</t>
        </is>
      </c>
      <c r="BD74" s="256" t="inlineStr">
        <is>
          <t>iCoA-PP_26-088</t>
        </is>
      </c>
      <c r="BE74" s="256" t="inlineStr">
        <is>
          <t>03.06.2026</t>
        </is>
      </c>
      <c r="BF74" s="256" t="inlineStr">
        <is>
          <t>Purely Plant GmbH (in-house)</t>
        </is>
      </c>
      <c r="BG74" s="259" t="inlineStr">
        <is>
          <t>not tested</t>
        </is>
      </c>
      <c r="BH74" s="256" t="inlineStr">
        <is>
          <t>—</t>
        </is>
      </c>
      <c r="BI74" s="256" t="inlineStr">
        <is>
          <t>—</t>
        </is>
      </c>
      <c r="BJ74" s="256" t="inlineStr">
        <is>
          <t>—</t>
        </is>
      </c>
      <c r="BK74" s="259" t="inlineStr">
        <is>
          <t>not tested</t>
        </is>
      </c>
      <c r="BL74" s="256" t="inlineStr">
        <is>
          <t>—</t>
        </is>
      </c>
      <c r="BM74" s="256" t="inlineStr">
        <is>
          <t>—</t>
        </is>
      </c>
      <c r="BN74" s="256" t="inlineStr">
        <is>
          <t>—</t>
        </is>
      </c>
      <c r="BO74" s="259" t="inlineStr">
        <is>
          <t>not tested</t>
        </is>
      </c>
      <c r="BP74" s="256" t="inlineStr">
        <is>
          <t>—</t>
        </is>
      </c>
      <c r="BQ74" s="256" t="inlineStr">
        <is>
          <t>—</t>
        </is>
      </c>
      <c r="BR74" s="256" t="inlineStr">
        <is>
          <t>—</t>
        </is>
      </c>
      <c r="BS74" s="259" t="inlineStr">
        <is>
          <t>not tested</t>
        </is>
      </c>
      <c r="BT74" s="256" t="inlineStr">
        <is>
          <t>—</t>
        </is>
      </c>
      <c r="BU74" s="256" t="inlineStr">
        <is>
          <t>—</t>
        </is>
      </c>
      <c r="BV74" s="256" t="inlineStr">
        <is>
          <t>—</t>
        </is>
      </c>
      <c r="BW74" s="259" t="inlineStr">
        <is>
          <t>not tested</t>
        </is>
      </c>
      <c r="BX74" s="256" t="inlineStr">
        <is>
          <t>—</t>
        </is>
      </c>
      <c r="BY74" s="256" t="inlineStr">
        <is>
          <t>—</t>
        </is>
      </c>
      <c r="BZ74" s="256" t="inlineStr">
        <is>
          <t>—</t>
        </is>
      </c>
      <c r="CA74" s="259" t="inlineStr">
        <is>
          <t>not tested</t>
        </is>
      </c>
      <c r="CB74" s="256" t="inlineStr">
        <is>
          <t>—</t>
        </is>
      </c>
      <c r="CC74" s="256" t="inlineStr">
        <is>
          <t>—</t>
        </is>
      </c>
      <c r="CD74" s="256" t="inlineStr">
        <is>
          <t>—</t>
        </is>
      </c>
      <c r="CE74" s="260" t="inlineStr">
        <is>
          <t>upon request — not required for release</t>
        </is>
      </c>
      <c r="CF74" s="256" t="inlineStr">
        <is>
          <t>—</t>
        </is>
      </c>
      <c r="CG74" s="256" t="inlineStr">
        <is>
          <t>—</t>
        </is>
      </c>
      <c r="CH74" s="256" t="inlineStr">
        <is>
          <t>—</t>
        </is>
      </c>
      <c r="CI74" s="260" t="inlineStr">
        <is>
          <t>upon request — not required for release</t>
        </is>
      </c>
      <c r="CJ74" s="256" t="inlineStr">
        <is>
          <t>—</t>
        </is>
      </c>
      <c r="CK74" s="256" t="inlineStr">
        <is>
          <t>—</t>
        </is>
      </c>
      <c r="CL74" s="256" t="inlineStr">
        <is>
          <t>—</t>
        </is>
      </c>
      <c r="CM74" s="259" t="inlineStr">
        <is>
          <t>not tested</t>
        </is>
      </c>
      <c r="CN74" s="256" t="inlineStr">
        <is>
          <t>—</t>
        </is>
      </c>
      <c r="CO74" s="256" t="inlineStr">
        <is>
          <t>—</t>
        </is>
      </c>
      <c r="CP74" s="256" t="inlineStr">
        <is>
          <t>—</t>
        </is>
      </c>
      <c r="CQ74" s="259" t="inlineStr">
        <is>
          <t>not tested</t>
        </is>
      </c>
      <c r="CR74" s="256" t="inlineStr">
        <is>
          <t>—</t>
        </is>
      </c>
      <c r="CS74" s="256" t="inlineStr">
        <is>
          <t>—</t>
        </is>
      </c>
      <c r="CT74" s="256" t="inlineStr">
        <is>
          <t>—</t>
        </is>
      </c>
      <c r="CU74" s="259" t="inlineStr">
        <is>
          <t>not tested</t>
        </is>
      </c>
      <c r="CV74" s="256" t="inlineStr">
        <is>
          <t>—</t>
        </is>
      </c>
      <c r="CW74" s="256" t="inlineStr">
        <is>
          <t>—</t>
        </is>
      </c>
      <c r="CX74" s="256" t="inlineStr">
        <is>
          <t>—</t>
        </is>
      </c>
      <c r="CY74" s="259" t="inlineStr">
        <is>
          <t>not tested</t>
        </is>
      </c>
      <c r="CZ74" s="256" t="inlineStr">
        <is>
          <t>—</t>
        </is>
      </c>
      <c r="DA74" s="256" t="inlineStr">
        <is>
          <t>—</t>
        </is>
      </c>
      <c r="DB74" s="256" t="inlineStr">
        <is>
          <t>—</t>
        </is>
      </c>
      <c r="DC74" s="259" t="inlineStr">
        <is>
          <t>not tested</t>
        </is>
      </c>
      <c r="DD74" s="256" t="inlineStr">
        <is>
          <t>—</t>
        </is>
      </c>
      <c r="DE74" s="256" t="inlineStr">
        <is>
          <t>—</t>
        </is>
      </c>
      <c r="DF74" s="256" t="inlineStr">
        <is>
          <t>—</t>
        </is>
      </c>
      <c r="DG74" s="259" t="inlineStr">
        <is>
          <t>not tested</t>
        </is>
      </c>
      <c r="DH74" s="256" t="inlineStr">
        <is>
          <t>—</t>
        </is>
      </c>
      <c r="DI74" s="256" t="inlineStr">
        <is>
          <t>—</t>
        </is>
      </c>
      <c r="DJ74" s="256" t="inlineStr">
        <is>
          <t>—</t>
        </is>
      </c>
      <c r="DK74" s="259" t="inlineStr">
        <is>
          <t>not tested</t>
        </is>
      </c>
      <c r="DL74" s="256" t="inlineStr">
        <is>
          <t>—</t>
        </is>
      </c>
      <c r="DM74" s="256" t="inlineStr">
        <is>
          <t>—</t>
        </is>
      </c>
      <c r="DN74" s="256" t="inlineStr">
        <is>
          <t>—</t>
        </is>
      </c>
      <c r="DO74" s="259" t="inlineStr">
        <is>
          <t>not tested</t>
        </is>
      </c>
      <c r="DP74" s="256" t="inlineStr">
        <is>
          <t>—</t>
        </is>
      </c>
      <c r="DQ74" s="256" t="inlineStr">
        <is>
          <t>—</t>
        </is>
      </c>
      <c r="DR74" s="256" t="inlineStr">
        <is>
          <t>—</t>
        </is>
      </c>
    </row>
    <row r="75">
      <c r="A75" s="256" t="inlineStr">
        <is>
          <t>CoQ-PP_26-074</t>
        </is>
      </c>
      <c r="B75" s="256" t="inlineStr">
        <is>
          <t>release</t>
        </is>
      </c>
      <c r="C75" s="256" t="inlineStr">
        <is>
          <t>issuable</t>
        </is>
      </c>
      <c r="D75" s="256" t="inlineStr">
        <is>
          <t>06.06.2026</t>
        </is>
      </c>
      <c r="E75" s="256" t="inlineStr">
        <is>
          <t>n/a — release certificate</t>
        </is>
      </c>
      <c r="F75" s="256" t="inlineStr">
        <is>
          <t>CoQ-PP-2026-0026</t>
        </is>
      </c>
      <c r="G75" s="256" t="inlineStr">
        <is>
          <t>SCR012603</t>
        </is>
      </c>
      <c r="H75" s="256" t="inlineStr">
        <is>
          <t>P060382</t>
        </is>
      </c>
      <c r="I75" s="256" t="inlineStr">
        <is>
          <t>Scrambler</t>
        </is>
      </c>
      <c r="J75" s="256" t="inlineStr">
        <is>
          <t>22.04.2026</t>
        </is>
      </c>
      <c r="K75" s="256" t="inlineStr">
        <is>
          <t>25.05.2026</t>
        </is>
      </c>
      <c r="L75" s="256" t="inlineStr">
        <is>
          <t>22.04.2026</t>
        </is>
      </c>
      <c r="M75" s="256" t="inlineStr">
        <is>
          <t>25.05.2026</t>
        </is>
      </c>
      <c r="N75" s="256" t="inlineStr">
        <is>
          <t>iCoA-PP_26-087</t>
        </is>
      </c>
      <c r="O75" s="256" t="inlineStr">
        <is>
          <t>03.06.2026</t>
        </is>
      </c>
      <c r="P75" s="256" t="inlineStr">
        <is>
          <t>25.05.2026</t>
        </is>
      </c>
      <c r="Q75" s="256" t="inlineStr">
        <is>
          <t>—</t>
        </is>
      </c>
      <c r="R75" s="256" t="inlineStr">
        <is>
          <t>—</t>
        </is>
      </c>
      <c r="S75" s="256" t="inlineStr">
        <is>
          <t>—</t>
        </is>
      </c>
      <c r="T75" s="256" t="inlineStr">
        <is>
          <t>—</t>
        </is>
      </c>
      <c r="U75" s="256" t="inlineStr">
        <is>
          <t>Per grade of the potency specification of 15.09.2026 — no Total THC result on file</t>
        </is>
      </c>
      <c r="V75" s="256" t="inlineStr">
        <is>
          <t>—</t>
        </is>
      </c>
      <c r="W75" s="256" t="inlineStr">
        <is>
          <t>—</t>
        </is>
      </c>
      <c r="X75" s="256" t="inlineStr">
        <is>
          <t>—</t>
        </is>
      </c>
      <c r="Y75" s="256" t="inlineStr">
        <is>
          <t>—</t>
        </is>
      </c>
      <c r="Z75" s="256" t="inlineStr">
        <is>
          <t>—</t>
        </is>
      </c>
      <c r="AA75" s="256" t="inlineStr">
        <is>
          <t>—</t>
        </is>
      </c>
      <c r="AB75" s="256" t="inlineStr">
        <is>
          <t>—</t>
        </is>
      </c>
      <c r="AC75" s="256" t="inlineStr">
        <is>
          <t>—</t>
        </is>
      </c>
      <c r="AD75" s="256" t="inlineStr">
        <is>
          <t>—</t>
        </is>
      </c>
      <c r="AE75" s="256" t="inlineStr">
        <is>
          <t>Conforms | Одговара</t>
        </is>
      </c>
      <c r="AF75" s="256" t="inlineStr">
        <is>
          <t>iCoA-PP_26-087</t>
        </is>
      </c>
      <c r="AG75" s="256" t="inlineStr">
        <is>
          <t>03.06.2026</t>
        </is>
      </c>
      <c r="AH75" s="256" t="inlineStr">
        <is>
          <t>Purely Plant GmbH (in-house)</t>
        </is>
      </c>
      <c r="AI75" s="256" t="inlineStr">
        <is>
          <t>Conforms | Одговара</t>
        </is>
      </c>
      <c r="AJ75" s="256" t="inlineStr">
        <is>
          <t>iCoA-PP_26-087</t>
        </is>
      </c>
      <c r="AK75" s="256" t="inlineStr">
        <is>
          <t>03.06.2026</t>
        </is>
      </c>
      <c r="AL75" s="256" t="inlineStr">
        <is>
          <t>Purely Plant GmbH (in-house)</t>
        </is>
      </c>
      <c r="AM75" s="259" t="inlineStr">
        <is>
          <t>to be performed (in house)</t>
        </is>
      </c>
      <c r="AN75" s="256" t="inlineStr">
        <is>
          <t>—</t>
        </is>
      </c>
      <c r="AO75" s="256" t="inlineStr">
        <is>
          <t>—</t>
        </is>
      </c>
      <c r="AP75" s="256" t="inlineStr">
        <is>
          <t>—</t>
        </is>
      </c>
      <c r="AQ75" s="259" t="inlineStr">
        <is>
          <t>not tested</t>
        </is>
      </c>
      <c r="AR75" s="256" t="inlineStr">
        <is>
          <t>—</t>
        </is>
      </c>
      <c r="AS75" s="256" t="inlineStr">
        <is>
          <t>—</t>
        </is>
      </c>
      <c r="AT75" s="256" t="inlineStr">
        <is>
          <t>—</t>
        </is>
      </c>
      <c r="AU75" s="259" t="inlineStr">
        <is>
          <t>not tested</t>
        </is>
      </c>
      <c r="AV75" s="256" t="inlineStr">
        <is>
          <t>—</t>
        </is>
      </c>
      <c r="AW75" s="256" t="inlineStr">
        <is>
          <t>—</t>
        </is>
      </c>
      <c r="AX75" s="256" t="inlineStr">
        <is>
          <t>—</t>
        </is>
      </c>
      <c r="AY75" s="259" t="inlineStr">
        <is>
          <t>not tested</t>
        </is>
      </c>
      <c r="AZ75" s="256" t="inlineStr">
        <is>
          <t>—</t>
        </is>
      </c>
      <c r="BA75" s="256" t="inlineStr">
        <is>
          <t>—</t>
        </is>
      </c>
      <c r="BB75" s="256" t="inlineStr">
        <is>
          <t>—</t>
        </is>
      </c>
      <c r="BC75" s="256" t="inlineStr">
        <is>
          <t>Conforms | Одговара</t>
        </is>
      </c>
      <c r="BD75" s="256" t="inlineStr">
        <is>
          <t>iCoA-PP_26-087</t>
        </is>
      </c>
      <c r="BE75" s="256" t="inlineStr">
        <is>
          <t>03.06.2026</t>
        </is>
      </c>
      <c r="BF75" s="256" t="inlineStr">
        <is>
          <t>Purely Plant GmbH (in-house)</t>
        </is>
      </c>
      <c r="BG75" s="259" t="inlineStr">
        <is>
          <t>not tested</t>
        </is>
      </c>
      <c r="BH75" s="256" t="inlineStr">
        <is>
          <t>—</t>
        </is>
      </c>
      <c r="BI75" s="256" t="inlineStr">
        <is>
          <t>—</t>
        </is>
      </c>
      <c r="BJ75" s="256" t="inlineStr">
        <is>
          <t>—</t>
        </is>
      </c>
      <c r="BK75" s="256" t="inlineStr">
        <is>
          <t>5.4 × 10⁴</t>
        </is>
      </c>
      <c r="BL75" s="256" t="inlineStr">
        <is>
          <t>364/0694/26</t>
        </is>
      </c>
      <c r="BM75" s="256" t="inlineStr">
        <is>
          <t>01.06.2026</t>
        </is>
      </c>
      <c r="BN75" s="256" t="inlineStr">
        <is>
          <t>IPH — Institute of Public Health</t>
        </is>
      </c>
      <c r="BO75" s="256" t="inlineStr">
        <is>
          <t>1.8 × 10⁴</t>
        </is>
      </c>
      <c r="BP75" s="256" t="inlineStr">
        <is>
          <t>364/0694/26</t>
        </is>
      </c>
      <c r="BQ75" s="256" t="inlineStr">
        <is>
          <t>01.06.2026</t>
        </is>
      </c>
      <c r="BR75" s="256" t="inlineStr">
        <is>
          <t>IPH — Institute of Public Health</t>
        </is>
      </c>
      <c r="BS75" s="256" t="inlineStr">
        <is>
          <t>&lt; 10</t>
        </is>
      </c>
      <c r="BT75" s="256" t="inlineStr">
        <is>
          <t>364/0694/26</t>
        </is>
      </c>
      <c r="BU75" s="256" t="inlineStr">
        <is>
          <t>01.06.2026</t>
        </is>
      </c>
      <c r="BV75" s="256" t="inlineStr">
        <is>
          <t>IPH — Institute of Public Health</t>
        </is>
      </c>
      <c r="BW75" s="256" t="inlineStr">
        <is>
          <t>Absent | Отсутна</t>
        </is>
      </c>
      <c r="BX75" s="256" t="inlineStr">
        <is>
          <t>364/0694/26</t>
        </is>
      </c>
      <c r="BY75" s="256" t="inlineStr">
        <is>
          <t>01.06.2026</t>
        </is>
      </c>
      <c r="BZ75" s="256" t="inlineStr">
        <is>
          <t>IPH — Institute of Public Health</t>
        </is>
      </c>
      <c r="CA75" s="256" t="inlineStr">
        <is>
          <t>Absent | Отсутна</t>
        </is>
      </c>
      <c r="CB75" s="256" t="inlineStr">
        <is>
          <t>364/0694/26</t>
        </is>
      </c>
      <c r="CC75" s="256" t="inlineStr">
        <is>
          <t>01.06.2026</t>
        </is>
      </c>
      <c r="CD75" s="256" t="inlineStr">
        <is>
          <t>IPH — Institute of Public Health</t>
        </is>
      </c>
      <c r="CE75" s="260" t="inlineStr">
        <is>
          <t>upon request — not required for release</t>
        </is>
      </c>
      <c r="CF75" s="256" t="inlineStr">
        <is>
          <t>—</t>
        </is>
      </c>
      <c r="CG75" s="256" t="inlineStr">
        <is>
          <t>—</t>
        </is>
      </c>
      <c r="CH75" s="256" t="inlineStr">
        <is>
          <t>—</t>
        </is>
      </c>
      <c r="CI75" s="260" t="inlineStr">
        <is>
          <t>upon request — not required for release</t>
        </is>
      </c>
      <c r="CJ75" s="256" t="inlineStr">
        <is>
          <t>—</t>
        </is>
      </c>
      <c r="CK75" s="256" t="inlineStr">
        <is>
          <t>—</t>
        </is>
      </c>
      <c r="CL75" s="256" t="inlineStr">
        <is>
          <t>—</t>
        </is>
      </c>
      <c r="CM75" s="259" t="inlineStr">
        <is>
          <t>not tested</t>
        </is>
      </c>
      <c r="CN75" s="256" t="inlineStr">
        <is>
          <t>—</t>
        </is>
      </c>
      <c r="CO75" s="256" t="inlineStr">
        <is>
          <t>—</t>
        </is>
      </c>
      <c r="CP75" s="256" t="inlineStr">
        <is>
          <t>—</t>
        </is>
      </c>
      <c r="CQ75" s="259" t="inlineStr">
        <is>
          <t>not tested</t>
        </is>
      </c>
      <c r="CR75" s="256" t="inlineStr">
        <is>
          <t>—</t>
        </is>
      </c>
      <c r="CS75" s="256" t="inlineStr">
        <is>
          <t>—</t>
        </is>
      </c>
      <c r="CT75" s="256" t="inlineStr">
        <is>
          <t>—</t>
        </is>
      </c>
      <c r="CU75" s="259" t="inlineStr">
        <is>
          <t>not tested</t>
        </is>
      </c>
      <c r="CV75" s="256" t="inlineStr">
        <is>
          <t>—</t>
        </is>
      </c>
      <c r="CW75" s="256" t="inlineStr">
        <is>
          <t>—</t>
        </is>
      </c>
      <c r="CX75" s="256" t="inlineStr">
        <is>
          <t>—</t>
        </is>
      </c>
      <c r="CY75" s="259" t="inlineStr">
        <is>
          <t>not tested</t>
        </is>
      </c>
      <c r="CZ75" s="256" t="inlineStr">
        <is>
          <t>—</t>
        </is>
      </c>
      <c r="DA75" s="256" t="inlineStr">
        <is>
          <t>—</t>
        </is>
      </c>
      <c r="DB75" s="256" t="inlineStr">
        <is>
          <t>—</t>
        </is>
      </c>
      <c r="DC75" s="259" t="inlineStr">
        <is>
          <t>not tested</t>
        </is>
      </c>
      <c r="DD75" s="256" t="inlineStr">
        <is>
          <t>—</t>
        </is>
      </c>
      <c r="DE75" s="256" t="inlineStr">
        <is>
          <t>—</t>
        </is>
      </c>
      <c r="DF75" s="256" t="inlineStr">
        <is>
          <t>—</t>
        </is>
      </c>
      <c r="DG75" s="259" t="inlineStr">
        <is>
          <t>not tested</t>
        </is>
      </c>
      <c r="DH75" s="256" t="inlineStr">
        <is>
          <t>—</t>
        </is>
      </c>
      <c r="DI75" s="256" t="inlineStr">
        <is>
          <t>—</t>
        </is>
      </c>
      <c r="DJ75" s="256" t="inlineStr">
        <is>
          <t>—</t>
        </is>
      </c>
      <c r="DK75" s="259" t="inlineStr">
        <is>
          <t>not tested</t>
        </is>
      </c>
      <c r="DL75" s="256" t="inlineStr">
        <is>
          <t>—</t>
        </is>
      </c>
      <c r="DM75" s="256" t="inlineStr">
        <is>
          <t>—</t>
        </is>
      </c>
      <c r="DN75" s="256" t="inlineStr">
        <is>
          <t>—</t>
        </is>
      </c>
      <c r="DO75" s="259" t="inlineStr">
        <is>
          <t>not tested</t>
        </is>
      </c>
      <c r="DP75" s="256" t="inlineStr">
        <is>
          <t>—</t>
        </is>
      </c>
      <c r="DQ75" s="256" t="inlineStr">
        <is>
          <t>—</t>
        </is>
      </c>
      <c r="DR75" s="256" t="inlineStr">
        <is>
          <t>—</t>
        </is>
      </c>
    </row>
    <row r="76">
      <c r="A76" s="256" t="inlineStr">
        <is>
          <t>CoQ-PP_26-075</t>
        </is>
      </c>
      <c r="B76" s="256" t="inlineStr">
        <is>
          <t>release</t>
        </is>
      </c>
      <c r="C76" s="256" t="inlineStr">
        <is>
          <t>issuable</t>
        </is>
      </c>
      <c r="D76" s="256" t="inlineStr">
        <is>
          <t>07.07.2026</t>
        </is>
      </c>
      <c r="E76" s="256" t="inlineStr">
        <is>
          <t>n/a — release certificate</t>
        </is>
      </c>
      <c r="F76" s="256" t="inlineStr">
        <is>
          <t>(assigned on issue)</t>
        </is>
      </c>
      <c r="G76" s="256" t="inlineStr">
        <is>
          <t>FB012603V</t>
        </is>
      </c>
      <c r="H76" s="256" t="inlineStr">
        <is>
          <t>— no P lot assigned —</t>
        </is>
      </c>
      <c r="I76" s="256" t="inlineStr">
        <is>
          <t>Fat Bastard</t>
        </is>
      </c>
      <c r="J76" s="256" t="inlineStr">
        <is>
          <t>29.04.2026</t>
        </is>
      </c>
      <c r="K76" s="256" t="inlineStr">
        <is>
          <t>23.05.2026</t>
        </is>
      </c>
      <c r="L76" s="256" t="inlineStr">
        <is>
          <t>—</t>
        </is>
      </c>
      <c r="M76" s="256" t="inlineStr">
        <is>
          <t>—</t>
        </is>
      </c>
      <c r="N76" s="256" t="inlineStr">
        <is>
          <t>iCoA-PP_26-080</t>
        </is>
      </c>
      <c r="O76" s="256" t="inlineStr">
        <is>
          <t>03.06.2026</t>
        </is>
      </c>
      <c r="P76" s="256" t="inlineStr">
        <is>
          <t>23.05.2026</t>
        </is>
      </c>
      <c r="Q76" s="256" t="inlineStr">
        <is>
          <t>—</t>
        </is>
      </c>
      <c r="R76" s="256" t="inlineStr">
        <is>
          <t>18.29</t>
        </is>
      </c>
      <c r="S76" s="256" t="inlineStr">
        <is>
          <t>ППК26110</t>
        </is>
      </c>
      <c r="T76" s="256" t="inlineStr">
        <is>
          <t>II</t>
        </is>
      </c>
      <c r="U76" s="256" t="inlineStr">
        <is>
          <t>16.20 – 19.79 %</t>
        </is>
      </c>
      <c r="V76" s="256" t="inlineStr">
        <is>
          <t>FB_THC18 : CBD1</t>
        </is>
      </c>
      <c r="W76" s="256" t="inlineStr">
        <is>
          <t>QCSP_001_FB-II_v.01</t>
        </is>
      </c>
      <c r="X76" s="256" t="inlineStr">
        <is>
          <t>for review — replaces the issued QCSP_001_FB-II_v.01 (was FB_THC18 : CBD1, 17.15 – 18.85 %); now FB_THC18 : CBD1 16.20 – 19.79 %</t>
        </is>
      </c>
      <c r="Y76" s="256" t="inlineStr">
        <is>
          <t>HYBRID</t>
        </is>
      </c>
      <c r="Z76" s="256" t="inlineStr">
        <is>
          <t>THC</t>
        </is>
      </c>
      <c r="AA76" s="256" t="inlineStr">
        <is>
          <t>MACHINE TRIMMED</t>
        </is>
      </c>
      <c r="AB76" s="256" t="inlineStr">
        <is>
          <t>BALANCED</t>
        </is>
      </c>
      <c r="AC76" s="256" t="inlineStr">
        <is>
          <t>Triplex Alu Bag | Триплекс Aлу Kеса, PET 12 · ALU 7 · PE 80, 300 × 500 mm, net. 400.0 g ±3%</t>
        </is>
      </c>
      <c r="AD76" s="256" t="inlineStr">
        <is>
          <t>30.06.2026</t>
        </is>
      </c>
      <c r="AE76" s="256" t="inlineStr">
        <is>
          <t>Conforms | Одговара</t>
        </is>
      </c>
      <c r="AF76" s="256" t="inlineStr">
        <is>
          <t>ППК26110</t>
        </is>
      </c>
      <c r="AG76" s="256" t="inlineStr">
        <is>
          <t>30.06.2026</t>
        </is>
      </c>
      <c r="AH76" s="256" t="inlineStr">
        <is>
          <t>UKIM Faculty of Pharmacy — Center for Natural Products</t>
        </is>
      </c>
      <c r="AI76" s="256" t="inlineStr">
        <is>
          <t>Conforms | Одговара</t>
        </is>
      </c>
      <c r="AJ76" s="256" t="inlineStr">
        <is>
          <t>ППК26110</t>
        </is>
      </c>
      <c r="AK76" s="256" t="inlineStr">
        <is>
          <t>30.06.2026</t>
        </is>
      </c>
      <c r="AL76" s="256" t="inlineStr">
        <is>
          <t>UKIM Faculty of Pharmacy — Center for Natural Products</t>
        </is>
      </c>
      <c r="AM76" s="256" t="inlineStr">
        <is>
          <t>Conforms | Одговара</t>
        </is>
      </c>
      <c r="AN76" s="256" t="inlineStr">
        <is>
          <t>ППК26110</t>
        </is>
      </c>
      <c r="AO76" s="256" t="inlineStr">
        <is>
          <t>30.06.2026</t>
        </is>
      </c>
      <c r="AP76" s="256" t="inlineStr">
        <is>
          <t>UKIM Faculty of Pharmacy — Center for Natural Products</t>
        </is>
      </c>
      <c r="AQ76" s="256" t="inlineStr">
        <is>
          <t>18.29</t>
        </is>
      </c>
      <c r="AR76" s="256" t="inlineStr">
        <is>
          <t>ППК26110</t>
        </is>
      </c>
      <c r="AS76" s="256" t="inlineStr">
        <is>
          <t>30.06.2026</t>
        </is>
      </c>
      <c r="AT76" s="256" t="inlineStr">
        <is>
          <t>UKIM Faculty of Pharmacy — Center for Natural Products</t>
        </is>
      </c>
      <c r="AU76" s="256" t="inlineStr">
        <is>
          <t>0.16</t>
        </is>
      </c>
      <c r="AV76" s="256" t="inlineStr">
        <is>
          <t>ППК26110</t>
        </is>
      </c>
      <c r="AW76" s="256" t="inlineStr">
        <is>
          <t>30.06.2026</t>
        </is>
      </c>
      <c r="AX76" s="256" t="inlineStr">
        <is>
          <t>UKIM Faculty of Pharmacy — Center for Natural Products</t>
        </is>
      </c>
      <c r="AY76" s="256" t="inlineStr">
        <is>
          <t>0.06</t>
        </is>
      </c>
      <c r="AZ76" s="256" t="inlineStr">
        <is>
          <t>ППК26110</t>
        </is>
      </c>
      <c r="BA76" s="256" t="inlineStr">
        <is>
          <t>30.06.2026</t>
        </is>
      </c>
      <c r="BB76" s="256" t="inlineStr">
        <is>
          <t>UKIM Faculty of Pharmacy — Center for Natural Products</t>
        </is>
      </c>
      <c r="BC76" s="256" t="inlineStr">
        <is>
          <t>Conforms | Одговара</t>
        </is>
      </c>
      <c r="BD76" s="256" t="inlineStr">
        <is>
          <t>ППК26110</t>
        </is>
      </c>
      <c r="BE76" s="256" t="inlineStr">
        <is>
          <t>30.06.2026</t>
        </is>
      </c>
      <c r="BF76" s="256" t="inlineStr">
        <is>
          <t>UKIM Faculty of Pharmacy — Center for Natural Products</t>
        </is>
      </c>
      <c r="BG76" s="256" t="inlineStr">
        <is>
          <t>6.36</t>
        </is>
      </c>
      <c r="BH76" s="256" t="inlineStr">
        <is>
          <t>ППК26110</t>
        </is>
      </c>
      <c r="BI76" s="256" t="inlineStr">
        <is>
          <t>30.06.2026</t>
        </is>
      </c>
      <c r="BJ76" s="256" t="inlineStr">
        <is>
          <t>UKIM Faculty of Pharmacy — Center for Natural Products</t>
        </is>
      </c>
      <c r="BK76" s="259" t="inlineStr">
        <is>
          <t>not tested</t>
        </is>
      </c>
      <c r="BL76" s="256" t="inlineStr">
        <is>
          <t>—</t>
        </is>
      </c>
      <c r="BM76" s="256" t="inlineStr">
        <is>
          <t>—</t>
        </is>
      </c>
      <c r="BN76" s="256" t="inlineStr">
        <is>
          <t>—</t>
        </is>
      </c>
      <c r="BO76" s="259" t="inlineStr">
        <is>
          <t>not tested</t>
        </is>
      </c>
      <c r="BP76" s="256" t="inlineStr">
        <is>
          <t>—</t>
        </is>
      </c>
      <c r="BQ76" s="256" t="inlineStr">
        <is>
          <t>—</t>
        </is>
      </c>
      <c r="BR76" s="256" t="inlineStr">
        <is>
          <t>—</t>
        </is>
      </c>
      <c r="BS76" s="259" t="inlineStr">
        <is>
          <t>not tested</t>
        </is>
      </c>
      <c r="BT76" s="256" t="inlineStr">
        <is>
          <t>—</t>
        </is>
      </c>
      <c r="BU76" s="256" t="inlineStr">
        <is>
          <t>—</t>
        </is>
      </c>
      <c r="BV76" s="256" t="inlineStr">
        <is>
          <t>—</t>
        </is>
      </c>
      <c r="BW76" s="259" t="inlineStr">
        <is>
          <t>not tested</t>
        </is>
      </c>
      <c r="BX76" s="256" t="inlineStr">
        <is>
          <t>—</t>
        </is>
      </c>
      <c r="BY76" s="256" t="inlineStr">
        <is>
          <t>—</t>
        </is>
      </c>
      <c r="BZ76" s="256" t="inlineStr">
        <is>
          <t>—</t>
        </is>
      </c>
      <c r="CA76" s="259" t="inlineStr">
        <is>
          <t>not tested</t>
        </is>
      </c>
      <c r="CB76" s="256" t="inlineStr">
        <is>
          <t>—</t>
        </is>
      </c>
      <c r="CC76" s="256" t="inlineStr">
        <is>
          <t>—</t>
        </is>
      </c>
      <c r="CD76" s="256" t="inlineStr">
        <is>
          <t>—</t>
        </is>
      </c>
      <c r="CE76" s="260" t="inlineStr">
        <is>
          <t>upon request — not required for release</t>
        </is>
      </c>
      <c r="CF76" s="256" t="inlineStr">
        <is>
          <t>—</t>
        </is>
      </c>
      <c r="CG76" s="256" t="inlineStr">
        <is>
          <t>—</t>
        </is>
      </c>
      <c r="CH76" s="256" t="inlineStr">
        <is>
          <t>—</t>
        </is>
      </c>
      <c r="CI76" s="260" t="inlineStr">
        <is>
          <t>upon request — not required for release</t>
        </is>
      </c>
      <c r="CJ76" s="256" t="inlineStr">
        <is>
          <t>—</t>
        </is>
      </c>
      <c r="CK76" s="256" t="inlineStr">
        <is>
          <t>—</t>
        </is>
      </c>
      <c r="CL76" s="256" t="inlineStr">
        <is>
          <t>—</t>
        </is>
      </c>
      <c r="CM76" s="259" t="inlineStr">
        <is>
          <t>not tested</t>
        </is>
      </c>
      <c r="CN76" s="256" t="inlineStr">
        <is>
          <t>—</t>
        </is>
      </c>
      <c r="CO76" s="256" t="inlineStr">
        <is>
          <t>—</t>
        </is>
      </c>
      <c r="CP76" s="256" t="inlineStr">
        <is>
          <t>—</t>
        </is>
      </c>
      <c r="CQ76" s="259" t="inlineStr">
        <is>
          <t>not tested</t>
        </is>
      </c>
      <c r="CR76" s="256" t="inlineStr">
        <is>
          <t>—</t>
        </is>
      </c>
      <c r="CS76" s="256" t="inlineStr">
        <is>
          <t>—</t>
        </is>
      </c>
      <c r="CT76" s="256" t="inlineStr">
        <is>
          <t>—</t>
        </is>
      </c>
      <c r="CU76" s="259" t="inlineStr">
        <is>
          <t>not tested</t>
        </is>
      </c>
      <c r="CV76" s="256" t="inlineStr">
        <is>
          <t>—</t>
        </is>
      </c>
      <c r="CW76" s="256" t="inlineStr">
        <is>
          <t>—</t>
        </is>
      </c>
      <c r="CX76" s="256" t="inlineStr">
        <is>
          <t>—</t>
        </is>
      </c>
      <c r="CY76" s="259" t="inlineStr">
        <is>
          <t>not tested</t>
        </is>
      </c>
      <c r="CZ76" s="256" t="inlineStr">
        <is>
          <t>—</t>
        </is>
      </c>
      <c r="DA76" s="256" t="inlineStr">
        <is>
          <t>—</t>
        </is>
      </c>
      <c r="DB76" s="256" t="inlineStr">
        <is>
          <t>—</t>
        </is>
      </c>
      <c r="DC76" s="259" t="inlineStr">
        <is>
          <t>not tested</t>
        </is>
      </c>
      <c r="DD76" s="256" t="inlineStr">
        <is>
          <t>—</t>
        </is>
      </c>
      <c r="DE76" s="256" t="inlineStr">
        <is>
          <t>—</t>
        </is>
      </c>
      <c r="DF76" s="256" t="inlineStr">
        <is>
          <t>—</t>
        </is>
      </c>
      <c r="DG76" s="259" t="inlineStr">
        <is>
          <t>not tested</t>
        </is>
      </c>
      <c r="DH76" s="256" t="inlineStr">
        <is>
          <t>—</t>
        </is>
      </c>
      <c r="DI76" s="256" t="inlineStr">
        <is>
          <t>—</t>
        </is>
      </c>
      <c r="DJ76" s="256" t="inlineStr">
        <is>
          <t>—</t>
        </is>
      </c>
      <c r="DK76" s="259" t="inlineStr">
        <is>
          <t>not tested</t>
        </is>
      </c>
      <c r="DL76" s="256" t="inlineStr">
        <is>
          <t>—</t>
        </is>
      </c>
      <c r="DM76" s="256" t="inlineStr">
        <is>
          <t>—</t>
        </is>
      </c>
      <c r="DN76" s="256" t="inlineStr">
        <is>
          <t>—</t>
        </is>
      </c>
      <c r="DO76" s="259" t="inlineStr">
        <is>
          <t>not tested</t>
        </is>
      </c>
      <c r="DP76" s="256" t="inlineStr">
        <is>
          <t>—</t>
        </is>
      </c>
      <c r="DQ76" s="256" t="inlineStr">
        <is>
          <t>—</t>
        </is>
      </c>
      <c r="DR76" s="256" t="inlineStr">
        <is>
          <t>—</t>
        </is>
      </c>
    </row>
    <row r="77">
      <c r="A77" s="256" t="inlineStr">
        <is>
          <t>CoQ-PP_26-076</t>
        </is>
      </c>
      <c r="B77" s="256" t="inlineStr">
        <is>
          <t>release</t>
        </is>
      </c>
      <c r="C77" s="256" t="inlineStr">
        <is>
          <t>issuable</t>
        </is>
      </c>
      <c r="D77" s="256" t="inlineStr">
        <is>
          <t>07.07.2026</t>
        </is>
      </c>
      <c r="E77" s="256" t="inlineStr">
        <is>
          <t>n/a — release certificate</t>
        </is>
      </c>
      <c r="F77" s="256" t="inlineStr">
        <is>
          <t>CoQ-PP-2026-0022</t>
        </is>
      </c>
      <c r="G77" s="256" t="inlineStr">
        <is>
          <t>JD012603/02V</t>
        </is>
      </c>
      <c r="H77" s="256" t="inlineStr">
        <is>
          <t>P060422</t>
        </is>
      </c>
      <c r="I77" s="256" t="inlineStr">
        <is>
          <t>Jelly Donuts</t>
        </is>
      </c>
      <c r="J77" s="256" t="inlineStr">
        <is>
          <t>29.04.2026</t>
        </is>
      </c>
      <c r="K77" s="256" t="inlineStr">
        <is>
          <t>23.05.2026</t>
        </is>
      </c>
      <c r="L77" s="256" t="inlineStr">
        <is>
          <t>29.04.2026</t>
        </is>
      </c>
      <c r="M77" s="256" t="inlineStr">
        <is>
          <t>23.05.2026</t>
        </is>
      </c>
      <c r="N77" s="256" t="inlineStr">
        <is>
          <t>iCoA-PP_26-081</t>
        </is>
      </c>
      <c r="O77" s="256" t="inlineStr">
        <is>
          <t>03.06.2026</t>
        </is>
      </c>
      <c r="P77" s="256" t="inlineStr">
        <is>
          <t>23.05.2026</t>
        </is>
      </c>
      <c r="Q77" s="256" t="inlineStr">
        <is>
          <t>—</t>
        </is>
      </c>
      <c r="R77" s="256" t="inlineStr">
        <is>
          <t>15.16</t>
        </is>
      </c>
      <c r="S77" s="256" t="inlineStr">
        <is>
          <t>ППК26111</t>
        </is>
      </c>
      <c r="T77" s="256" t="inlineStr">
        <is>
          <t>III</t>
        </is>
      </c>
      <c r="U77" s="256" t="inlineStr">
        <is>
          <t>13.80 – 16.19 %</t>
        </is>
      </c>
      <c r="V77" s="256" t="inlineStr">
        <is>
          <t>JD_THC15 : CBD1</t>
        </is>
      </c>
      <c r="W77" s="256" t="inlineStr">
        <is>
          <t>QCSP_001_JD-III_v.01</t>
        </is>
      </c>
      <c r="X77" s="256" t="inlineStr">
        <is>
          <t>for review — replaces the issued QCSP_001_JD-III_v.01 (was JD_THC20:CBD1, 20.00% ± 2.00%); now JD_THC15 : CBD1 13.80 – 16.19 %</t>
        </is>
      </c>
      <c r="Y77" s="256" t="inlineStr">
        <is>
          <t>HYBRID</t>
        </is>
      </c>
      <c r="Z77" s="256" t="inlineStr">
        <is>
          <t>THC</t>
        </is>
      </c>
      <c r="AA77" s="256" t="inlineStr">
        <is>
          <t>MACHINE TRIMMED</t>
        </is>
      </c>
      <c r="AB77" s="256" t="inlineStr">
        <is>
          <t>SATIVA 60 : INDICA 40</t>
        </is>
      </c>
      <c r="AC77" s="256" t="inlineStr">
        <is>
          <t>Triplex Alu Bag | Триплекс Aлу Kеса, PET 12 · ALU 7 · PE 80, 300 × 500 mm, net. 400.0 g ±3%</t>
        </is>
      </c>
      <c r="AD77" s="256" t="inlineStr">
        <is>
          <t>30.06.2026</t>
        </is>
      </c>
      <c r="AE77" s="256" t="inlineStr">
        <is>
          <t>Conforms | Одговара</t>
        </is>
      </c>
      <c r="AF77" s="256" t="inlineStr">
        <is>
          <t>ППК26111</t>
        </is>
      </c>
      <c r="AG77" s="256" t="inlineStr">
        <is>
          <t>30.06.2026</t>
        </is>
      </c>
      <c r="AH77" s="256" t="inlineStr">
        <is>
          <t>UKIM Faculty of Pharmacy — Center for Natural Products</t>
        </is>
      </c>
      <c r="AI77" s="256" t="inlineStr">
        <is>
          <t>Conforms | Одговара</t>
        </is>
      </c>
      <c r="AJ77" s="256" t="inlineStr">
        <is>
          <t>ППК26111</t>
        </is>
      </c>
      <c r="AK77" s="256" t="inlineStr">
        <is>
          <t>30.06.2026</t>
        </is>
      </c>
      <c r="AL77" s="256" t="inlineStr">
        <is>
          <t>UKIM Faculty of Pharmacy — Center for Natural Products</t>
        </is>
      </c>
      <c r="AM77" s="256" t="inlineStr">
        <is>
          <t>Conforms | Одговара</t>
        </is>
      </c>
      <c r="AN77" s="256" t="inlineStr">
        <is>
          <t>ППК26111</t>
        </is>
      </c>
      <c r="AO77" s="256" t="inlineStr">
        <is>
          <t>30.06.2026</t>
        </is>
      </c>
      <c r="AP77" s="256" t="inlineStr">
        <is>
          <t>UKIM Faculty of Pharmacy — Center for Natural Products</t>
        </is>
      </c>
      <c r="AQ77" s="256" t="inlineStr">
        <is>
          <t>15.16</t>
        </is>
      </c>
      <c r="AR77" s="256" t="inlineStr">
        <is>
          <t>ППК26111</t>
        </is>
      </c>
      <c r="AS77" s="256" t="inlineStr">
        <is>
          <t>30.06.2026</t>
        </is>
      </c>
      <c r="AT77" s="256" t="inlineStr">
        <is>
          <t>UKIM Faculty of Pharmacy — Center for Natural Products</t>
        </is>
      </c>
      <c r="AU77" s="256" t="inlineStr">
        <is>
          <t>&lt; LOQ (below limit of quantification)</t>
        </is>
      </c>
      <c r="AV77" s="256" t="inlineStr">
        <is>
          <t>ППК26111</t>
        </is>
      </c>
      <c r="AW77" s="256" t="inlineStr">
        <is>
          <t>30.06.2026</t>
        </is>
      </c>
      <c r="AX77" s="256" t="inlineStr">
        <is>
          <t>UKIM Faculty of Pharmacy — Center for Natural Products</t>
        </is>
      </c>
      <c r="AY77" s="256" t="inlineStr">
        <is>
          <t>0.04</t>
        </is>
      </c>
      <c r="AZ77" s="256" t="inlineStr">
        <is>
          <t>ППК26111</t>
        </is>
      </c>
      <c r="BA77" s="256" t="inlineStr">
        <is>
          <t>30.06.2026</t>
        </is>
      </c>
      <c r="BB77" s="256" t="inlineStr">
        <is>
          <t>UKIM Faculty of Pharmacy — Center for Natural Products</t>
        </is>
      </c>
      <c r="BC77" s="256" t="inlineStr">
        <is>
          <t>Conforms | Одговара</t>
        </is>
      </c>
      <c r="BD77" s="256" t="inlineStr">
        <is>
          <t>ППК26111</t>
        </is>
      </c>
      <c r="BE77" s="256" t="inlineStr">
        <is>
          <t>30.06.2026</t>
        </is>
      </c>
      <c r="BF77" s="256" t="inlineStr">
        <is>
          <t>UKIM Faculty of Pharmacy — Center for Natural Products</t>
        </is>
      </c>
      <c r="BG77" s="256" t="inlineStr">
        <is>
          <t>7.04</t>
        </is>
      </c>
      <c r="BH77" s="256" t="inlineStr">
        <is>
          <t>ППК26111</t>
        </is>
      </c>
      <c r="BI77" s="256" t="inlineStr">
        <is>
          <t>30.06.2026</t>
        </is>
      </c>
      <c r="BJ77" s="256" t="inlineStr">
        <is>
          <t>UKIM Faculty of Pharmacy — Center for Natural Products</t>
        </is>
      </c>
      <c r="BK77" s="256" t="inlineStr">
        <is>
          <t>5.1 × 10³</t>
        </is>
      </c>
      <c r="BL77" s="256" t="inlineStr">
        <is>
          <t>406/0789/26</t>
        </is>
      </c>
      <c r="BM77" s="256" t="inlineStr">
        <is>
          <t>24.06.2026</t>
        </is>
      </c>
      <c r="BN77" s="256" t="inlineStr">
        <is>
          <t>IPH — Institute of Public Health</t>
        </is>
      </c>
      <c r="BO77" s="256" t="inlineStr">
        <is>
          <t>4.7 × 10³</t>
        </is>
      </c>
      <c r="BP77" s="256" t="inlineStr">
        <is>
          <t>406/0789/26</t>
        </is>
      </c>
      <c r="BQ77" s="256" t="inlineStr">
        <is>
          <t>24.06.2026</t>
        </is>
      </c>
      <c r="BR77" s="256" t="inlineStr">
        <is>
          <t>IPH — Institute of Public Health</t>
        </is>
      </c>
      <c r="BS77" s="256" t="inlineStr">
        <is>
          <t>&lt; 10</t>
        </is>
      </c>
      <c r="BT77" s="256" t="inlineStr">
        <is>
          <t>406/0789/26</t>
        </is>
      </c>
      <c r="BU77" s="256" t="inlineStr">
        <is>
          <t>24.06.2026</t>
        </is>
      </c>
      <c r="BV77" s="256" t="inlineStr">
        <is>
          <t>IPH — Institute of Public Health</t>
        </is>
      </c>
      <c r="BW77" s="256" t="inlineStr">
        <is>
          <t>Absent | Отсутна</t>
        </is>
      </c>
      <c r="BX77" s="256" t="inlineStr">
        <is>
          <t>406/0789/26</t>
        </is>
      </c>
      <c r="BY77" s="256" t="inlineStr">
        <is>
          <t>24.06.2026</t>
        </is>
      </c>
      <c r="BZ77" s="256" t="inlineStr">
        <is>
          <t>IPH — Institute of Public Health</t>
        </is>
      </c>
      <c r="CA77" s="256" t="inlineStr">
        <is>
          <t>Absent | Отсутна</t>
        </is>
      </c>
      <c r="CB77" s="256" t="inlineStr">
        <is>
          <t>406/0789/26</t>
        </is>
      </c>
      <c r="CC77" s="256" t="inlineStr">
        <is>
          <t>24.06.2026</t>
        </is>
      </c>
      <c r="CD77" s="256" t="inlineStr">
        <is>
          <t>IPH — Institute of Public Health</t>
        </is>
      </c>
      <c r="CE77" s="260" t="inlineStr">
        <is>
          <t>upon request — not required for release</t>
        </is>
      </c>
      <c r="CF77" s="256" t="inlineStr">
        <is>
          <t>—</t>
        </is>
      </c>
      <c r="CG77" s="256" t="inlineStr">
        <is>
          <t>—</t>
        </is>
      </c>
      <c r="CH77" s="256" t="inlineStr">
        <is>
          <t>—</t>
        </is>
      </c>
      <c r="CI77" s="260" t="inlineStr">
        <is>
          <t>upon request — not required for release</t>
        </is>
      </c>
      <c r="CJ77" s="256" t="inlineStr">
        <is>
          <t>—</t>
        </is>
      </c>
      <c r="CK77" s="256" t="inlineStr">
        <is>
          <t>—</t>
        </is>
      </c>
      <c r="CL77" s="256" t="inlineStr">
        <is>
          <t>—</t>
        </is>
      </c>
      <c r="CM77" s="259" t="inlineStr">
        <is>
          <t>not tested</t>
        </is>
      </c>
      <c r="CN77" s="256" t="inlineStr">
        <is>
          <t>—</t>
        </is>
      </c>
      <c r="CO77" s="256" t="inlineStr">
        <is>
          <t>—</t>
        </is>
      </c>
      <c r="CP77" s="256" t="inlineStr">
        <is>
          <t>—</t>
        </is>
      </c>
      <c r="CQ77" s="259" t="inlineStr">
        <is>
          <t>not tested</t>
        </is>
      </c>
      <c r="CR77" s="256" t="inlineStr">
        <is>
          <t>—</t>
        </is>
      </c>
      <c r="CS77" s="256" t="inlineStr">
        <is>
          <t>—</t>
        </is>
      </c>
      <c r="CT77" s="256" t="inlineStr">
        <is>
          <t>—</t>
        </is>
      </c>
      <c r="CU77" s="259" t="inlineStr">
        <is>
          <t>not tested</t>
        </is>
      </c>
      <c r="CV77" s="256" t="inlineStr">
        <is>
          <t>—</t>
        </is>
      </c>
      <c r="CW77" s="256" t="inlineStr">
        <is>
          <t>—</t>
        </is>
      </c>
      <c r="CX77" s="256" t="inlineStr">
        <is>
          <t>—</t>
        </is>
      </c>
      <c r="CY77" s="256" t="inlineStr">
        <is>
          <t>0.06</t>
        </is>
      </c>
      <c r="CZ77" s="256" t="inlineStr">
        <is>
          <t>3662/2026</t>
        </is>
      </c>
      <c r="DA77" s="256" t="inlineStr">
        <is>
          <t>22.06.2026</t>
        </is>
      </c>
      <c r="DB77" s="256" t="inlineStr">
        <is>
          <t>IPH — Institute of Public Health</t>
        </is>
      </c>
      <c r="DC77" s="256" t="inlineStr">
        <is>
          <t>0.03</t>
        </is>
      </c>
      <c r="DD77" s="256" t="inlineStr">
        <is>
          <t>3662/2026</t>
        </is>
      </c>
      <c r="DE77" s="256" t="inlineStr">
        <is>
          <t>22.06.2026</t>
        </is>
      </c>
      <c r="DF77" s="256" t="inlineStr">
        <is>
          <t>IPH — Institute of Public Health</t>
        </is>
      </c>
      <c r="DG77" s="256" t="inlineStr">
        <is>
          <t>0.045</t>
        </is>
      </c>
      <c r="DH77" s="256" t="inlineStr">
        <is>
          <t>3662/2026</t>
        </is>
      </c>
      <c r="DI77" s="256" t="inlineStr">
        <is>
          <t>22.06.2026</t>
        </is>
      </c>
      <c r="DJ77" s="256" t="inlineStr">
        <is>
          <t>IPH — Institute of Public Health</t>
        </is>
      </c>
      <c r="DK77" s="256" t="inlineStr">
        <is>
          <t>0.013</t>
        </is>
      </c>
      <c r="DL77" s="256" t="inlineStr">
        <is>
          <t>3662/2026</t>
        </is>
      </c>
      <c r="DM77" s="256" t="inlineStr">
        <is>
          <t>22.06.2026</t>
        </is>
      </c>
      <c r="DN77" s="256" t="inlineStr">
        <is>
          <t>IPH — Institute of Public Health</t>
        </is>
      </c>
      <c r="DO77" s="256" t="inlineStr">
        <is>
          <t>&lt; 0,01 mg/kg — all 22 residues</t>
        </is>
      </c>
      <c r="DP77" s="256" t="inlineStr">
        <is>
          <t>3662/2026</t>
        </is>
      </c>
      <c r="DQ77" s="256" t="inlineStr">
        <is>
          <t>22.06.2026</t>
        </is>
      </c>
      <c r="DR77" s="256" t="inlineStr">
        <is>
          <t>IJZ</t>
        </is>
      </c>
    </row>
    <row r="78">
      <c r="A78" s="256" t="inlineStr">
        <is>
          <t>CoQ-PP_26-077</t>
        </is>
      </c>
      <c r="B78" s="256" t="inlineStr">
        <is>
          <t>release</t>
        </is>
      </c>
      <c r="C78" s="256" t="inlineStr">
        <is>
          <t>issuable</t>
        </is>
      </c>
      <c r="D78" s="256" t="inlineStr">
        <is>
          <t>07.07.2026</t>
        </is>
      </c>
      <c r="E78" s="256" t="inlineStr">
        <is>
          <t>n/a — release certificate</t>
        </is>
      </c>
      <c r="F78" s="256" t="inlineStr">
        <is>
          <t>CoQ-PP-2026-0023</t>
        </is>
      </c>
      <c r="G78" s="256" t="inlineStr">
        <is>
          <t>GG012603</t>
        </is>
      </c>
      <c r="H78" s="256" t="inlineStr">
        <is>
          <t>P060402</t>
        </is>
      </c>
      <c r="I78" s="256" t="inlineStr">
        <is>
          <t>Gorilla Glue</t>
        </is>
      </c>
      <c r="J78" s="256" t="inlineStr">
        <is>
          <t>04.05.2026</t>
        </is>
      </c>
      <c r="K78" s="256" t="inlineStr">
        <is>
          <t>24.05.2026</t>
        </is>
      </c>
      <c r="L78" s="256" t="inlineStr">
        <is>
          <t>04.05.2026</t>
        </is>
      </c>
      <c r="M78" s="256" t="inlineStr">
        <is>
          <t>24.05.2026</t>
        </is>
      </c>
      <c r="N78" s="256" t="inlineStr">
        <is>
          <t>iCoA-PP_26-085</t>
        </is>
      </c>
      <c r="O78" s="256" t="inlineStr">
        <is>
          <t>03.06.2026</t>
        </is>
      </c>
      <c r="P78" s="256" t="inlineStr">
        <is>
          <t>24.05.2026</t>
        </is>
      </c>
      <c r="Q78" s="256" t="inlineStr">
        <is>
          <t>—</t>
        </is>
      </c>
      <c r="R78" s="256" t="inlineStr">
        <is>
          <t>17.59</t>
        </is>
      </c>
      <c r="S78" s="256" t="inlineStr">
        <is>
          <t>ППК26114</t>
        </is>
      </c>
      <c r="T78" s="256" t="inlineStr">
        <is>
          <t>I</t>
        </is>
      </c>
      <c r="U78" s="256" t="inlineStr">
        <is>
          <t>16.23 – 19.76 %</t>
        </is>
      </c>
      <c r="V78" s="256" t="inlineStr">
        <is>
          <t>GG_THC18 : CBD1</t>
        </is>
      </c>
      <c r="W78" s="256" t="inlineStr">
        <is>
          <t>QCSP_001_GG-I_v.01</t>
        </is>
      </c>
      <c r="X78" s="256" t="inlineStr">
        <is>
          <t>for review — replaces the issued QCSP_001_GG-I_v.01 (was GG_THC18 : CBD1, 17.01 – 18.99 %); now GG_THC18 : CBD1 16.23 – 19.76 %</t>
        </is>
      </c>
      <c r="Y78" s="256" t="inlineStr">
        <is>
          <t>INDICA</t>
        </is>
      </c>
      <c r="Z78" s="256" t="inlineStr">
        <is>
          <t>THC</t>
        </is>
      </c>
      <c r="AA78" s="256" t="inlineStr">
        <is>
          <t>MACHINE TRIMMED</t>
        </is>
      </c>
      <c r="AB78" s="256" t="inlineStr">
        <is>
          <t>—</t>
        </is>
      </c>
      <c r="AC78" s="256" t="inlineStr">
        <is>
          <t>Triplex Alu Bag | Триплекс Aлу Kеса, PET 12 · ALU 7 · PE 80, 300 × 500 mm, net. 400.0 g ±3%</t>
        </is>
      </c>
      <c r="AD78" s="256" t="inlineStr">
        <is>
          <t>30.06.2026</t>
        </is>
      </c>
      <c r="AE78" s="256" t="inlineStr">
        <is>
          <t>Conforms | Одговара</t>
        </is>
      </c>
      <c r="AF78" s="256" t="inlineStr">
        <is>
          <t>ППК26114</t>
        </is>
      </c>
      <c r="AG78" s="256" t="inlineStr">
        <is>
          <t>30.06.2026</t>
        </is>
      </c>
      <c r="AH78" s="256" t="inlineStr">
        <is>
          <t>UKIM Faculty of Pharmacy — Center for Natural Products</t>
        </is>
      </c>
      <c r="AI78" s="256" t="inlineStr">
        <is>
          <t>Conforms | Одговара</t>
        </is>
      </c>
      <c r="AJ78" s="256" t="inlineStr">
        <is>
          <t>ППК26114</t>
        </is>
      </c>
      <c r="AK78" s="256" t="inlineStr">
        <is>
          <t>30.06.2026</t>
        </is>
      </c>
      <c r="AL78" s="256" t="inlineStr">
        <is>
          <t>UKIM Faculty of Pharmacy — Center for Natural Products</t>
        </is>
      </c>
      <c r="AM78" s="256" t="inlineStr">
        <is>
          <t>Conforms | Одговара</t>
        </is>
      </c>
      <c r="AN78" s="256" t="inlineStr">
        <is>
          <t>ППК26114</t>
        </is>
      </c>
      <c r="AO78" s="256" t="inlineStr">
        <is>
          <t>30.06.2026</t>
        </is>
      </c>
      <c r="AP78" s="256" t="inlineStr">
        <is>
          <t>UKIM Faculty of Pharmacy — Center for Natural Products</t>
        </is>
      </c>
      <c r="AQ78" s="256" t="inlineStr">
        <is>
          <t>17.59</t>
        </is>
      </c>
      <c r="AR78" s="256" t="inlineStr">
        <is>
          <t>ППК26114</t>
        </is>
      </c>
      <c r="AS78" s="256" t="inlineStr">
        <is>
          <t>30.06.2026</t>
        </is>
      </c>
      <c r="AT78" s="256" t="inlineStr">
        <is>
          <t>UKIM Faculty of Pharmacy — Center for Natural Products</t>
        </is>
      </c>
      <c r="AU78" s="256" t="inlineStr">
        <is>
          <t>0.05</t>
        </is>
      </c>
      <c r="AV78" s="256" t="inlineStr">
        <is>
          <t>ППК26114</t>
        </is>
      </c>
      <c r="AW78" s="256" t="inlineStr">
        <is>
          <t>30.06.2026</t>
        </is>
      </c>
      <c r="AX78" s="256" t="inlineStr">
        <is>
          <t>UKIM Faculty of Pharmacy — Center for Natural Products</t>
        </is>
      </c>
      <c r="AY78" s="256" t="inlineStr">
        <is>
          <t>0.15</t>
        </is>
      </c>
      <c r="AZ78" s="256" t="inlineStr">
        <is>
          <t>ППК26114</t>
        </is>
      </c>
      <c r="BA78" s="256" t="inlineStr">
        <is>
          <t>30.06.2026</t>
        </is>
      </c>
      <c r="BB78" s="256" t="inlineStr">
        <is>
          <t>UKIM Faculty of Pharmacy — Center for Natural Products</t>
        </is>
      </c>
      <c r="BC78" s="256" t="inlineStr">
        <is>
          <t>Conforms | Одговара</t>
        </is>
      </c>
      <c r="BD78" s="256" t="inlineStr">
        <is>
          <t>ППК26114</t>
        </is>
      </c>
      <c r="BE78" s="256" t="inlineStr">
        <is>
          <t>30.06.2026</t>
        </is>
      </c>
      <c r="BF78" s="256" t="inlineStr">
        <is>
          <t>UKIM Faculty of Pharmacy — Center for Natural Products</t>
        </is>
      </c>
      <c r="BG78" s="256" t="inlineStr">
        <is>
          <t>6.48</t>
        </is>
      </c>
      <c r="BH78" s="256" t="inlineStr">
        <is>
          <t>ППК26114</t>
        </is>
      </c>
      <c r="BI78" s="256" t="inlineStr">
        <is>
          <t>30.06.2026</t>
        </is>
      </c>
      <c r="BJ78" s="256" t="inlineStr">
        <is>
          <t>UKIM Faculty of Pharmacy — Center for Natural Products</t>
        </is>
      </c>
      <c r="BK78" s="256" t="inlineStr">
        <is>
          <t>5 × 10³</t>
        </is>
      </c>
      <c r="BL78" s="256" t="inlineStr">
        <is>
          <t>404/0787/26</t>
        </is>
      </c>
      <c r="BM78" s="256" t="inlineStr">
        <is>
          <t>24.06.2026</t>
        </is>
      </c>
      <c r="BN78" s="256" t="inlineStr">
        <is>
          <t>IPH — Institute of Public Health</t>
        </is>
      </c>
      <c r="BO78" s="256" t="inlineStr">
        <is>
          <t>4.1 × 10³</t>
        </is>
      </c>
      <c r="BP78" s="256" t="inlineStr">
        <is>
          <t>404/0787/26</t>
        </is>
      </c>
      <c r="BQ78" s="256" t="inlineStr">
        <is>
          <t>24.06.2026</t>
        </is>
      </c>
      <c r="BR78" s="256" t="inlineStr">
        <is>
          <t>IPH — Institute of Public Health</t>
        </is>
      </c>
      <c r="BS78" s="256" t="inlineStr">
        <is>
          <t>&lt; 10</t>
        </is>
      </c>
      <c r="BT78" s="256" t="inlineStr">
        <is>
          <t>404/0787/26</t>
        </is>
      </c>
      <c r="BU78" s="256" t="inlineStr">
        <is>
          <t>24.06.2026</t>
        </is>
      </c>
      <c r="BV78" s="256" t="inlineStr">
        <is>
          <t>IPH — Institute of Public Health</t>
        </is>
      </c>
      <c r="BW78" s="256" t="inlineStr">
        <is>
          <t>Absent | Отсутна</t>
        </is>
      </c>
      <c r="BX78" s="256" t="inlineStr">
        <is>
          <t>404/0787/26</t>
        </is>
      </c>
      <c r="BY78" s="256" t="inlineStr">
        <is>
          <t>24.06.2026</t>
        </is>
      </c>
      <c r="BZ78" s="256" t="inlineStr">
        <is>
          <t>IPH — Institute of Public Health</t>
        </is>
      </c>
      <c r="CA78" s="256" t="inlineStr">
        <is>
          <t>Absent | Отсутна</t>
        </is>
      </c>
      <c r="CB78" s="256" t="inlineStr">
        <is>
          <t>404/0787/26</t>
        </is>
      </c>
      <c r="CC78" s="256" t="inlineStr">
        <is>
          <t>24.06.2026</t>
        </is>
      </c>
      <c r="CD78" s="256" t="inlineStr">
        <is>
          <t>IPH — Institute of Public Health</t>
        </is>
      </c>
      <c r="CE78" s="260" t="inlineStr">
        <is>
          <t>upon request — not required for release</t>
        </is>
      </c>
      <c r="CF78" s="256" t="inlineStr">
        <is>
          <t>—</t>
        </is>
      </c>
      <c r="CG78" s="256" t="inlineStr">
        <is>
          <t>—</t>
        </is>
      </c>
      <c r="CH78" s="256" t="inlineStr">
        <is>
          <t>—</t>
        </is>
      </c>
      <c r="CI78" s="260" t="inlineStr">
        <is>
          <t>upon request — not required for release</t>
        </is>
      </c>
      <c r="CJ78" s="256" t="inlineStr">
        <is>
          <t>—</t>
        </is>
      </c>
      <c r="CK78" s="256" t="inlineStr">
        <is>
          <t>—</t>
        </is>
      </c>
      <c r="CL78" s="256" t="inlineStr">
        <is>
          <t>—</t>
        </is>
      </c>
      <c r="CM78" s="259" t="inlineStr">
        <is>
          <t>not tested</t>
        </is>
      </c>
      <c r="CN78" s="256" t="inlineStr">
        <is>
          <t>—</t>
        </is>
      </c>
      <c r="CO78" s="256" t="inlineStr">
        <is>
          <t>—</t>
        </is>
      </c>
      <c r="CP78" s="256" t="inlineStr">
        <is>
          <t>—</t>
        </is>
      </c>
      <c r="CQ78" s="256" t="inlineStr">
        <is>
          <t>&lt; 2</t>
        </is>
      </c>
      <c r="CR78" s="256" t="inlineStr">
        <is>
          <t>3659/2026</t>
        </is>
      </c>
      <c r="CS78" s="256" t="inlineStr">
        <is>
          <t>22.06.2026</t>
        </is>
      </c>
      <c r="CT78" s="256" t="inlineStr">
        <is>
          <t>IPH — Institute of Public Health</t>
        </is>
      </c>
      <c r="CU78" s="259" t="inlineStr">
        <is>
          <t>not tested</t>
        </is>
      </c>
      <c r="CV78" s="256" t="inlineStr">
        <is>
          <t>—</t>
        </is>
      </c>
      <c r="CW78" s="256" t="inlineStr">
        <is>
          <t>—</t>
        </is>
      </c>
      <c r="CX78" s="256" t="inlineStr">
        <is>
          <t>—</t>
        </is>
      </c>
      <c r="CY78" s="256" t="inlineStr">
        <is>
          <t>0.059</t>
        </is>
      </c>
      <c r="CZ78" s="256" t="inlineStr">
        <is>
          <t>3659/2026</t>
        </is>
      </c>
      <c r="DA78" s="256" t="inlineStr">
        <is>
          <t>22.06.2026</t>
        </is>
      </c>
      <c r="DB78" s="256" t="inlineStr">
        <is>
          <t>IPH — Institute of Public Health</t>
        </is>
      </c>
      <c r="DC78" s="256" t="inlineStr">
        <is>
          <t>0.03</t>
        </is>
      </c>
      <c r="DD78" s="256" t="inlineStr">
        <is>
          <t>3659/2026</t>
        </is>
      </c>
      <c r="DE78" s="256" t="inlineStr">
        <is>
          <t>22.06.2026</t>
        </is>
      </c>
      <c r="DF78" s="256" t="inlineStr">
        <is>
          <t>IPH — Institute of Public Health</t>
        </is>
      </c>
      <c r="DG78" s="256" t="inlineStr">
        <is>
          <t>0.05</t>
        </is>
      </c>
      <c r="DH78" s="256" t="inlineStr">
        <is>
          <t>3659/2026</t>
        </is>
      </c>
      <c r="DI78" s="256" t="inlineStr">
        <is>
          <t>22.06.2026</t>
        </is>
      </c>
      <c r="DJ78" s="256" t="inlineStr">
        <is>
          <t>IPH — Institute of Public Health</t>
        </is>
      </c>
      <c r="DK78" s="256" t="inlineStr">
        <is>
          <t>0.015</t>
        </is>
      </c>
      <c r="DL78" s="256" t="inlineStr">
        <is>
          <t>3659/2026</t>
        </is>
      </c>
      <c r="DM78" s="256" t="inlineStr">
        <is>
          <t>22.06.2026</t>
        </is>
      </c>
      <c r="DN78" s="256" t="inlineStr">
        <is>
          <t>IPH — Institute of Public Health</t>
        </is>
      </c>
      <c r="DO78" s="256" t="inlineStr">
        <is>
          <t>&lt; 0,01 mg/kg — all 22 residues</t>
        </is>
      </c>
      <c r="DP78" s="256" t="inlineStr">
        <is>
          <t>3659/2026</t>
        </is>
      </c>
      <c r="DQ78" s="256" t="inlineStr">
        <is>
          <t>22.06.2026</t>
        </is>
      </c>
      <c r="DR78" s="256" t="inlineStr">
        <is>
          <t>IJZ</t>
        </is>
      </c>
    </row>
    <row r="79">
      <c r="A79" s="256" t="inlineStr">
        <is>
          <t>CoQ-PP_26-078</t>
        </is>
      </c>
      <c r="B79" s="256" t="inlineStr">
        <is>
          <t>release</t>
        </is>
      </c>
      <c r="C79" s="256" t="inlineStr">
        <is>
          <t>issuable</t>
        </is>
      </c>
      <c r="D79" s="256" t="inlineStr">
        <is>
          <t>07.07.2026</t>
        </is>
      </c>
      <c r="E79" s="256" t="inlineStr">
        <is>
          <t>n/a — release certificate</t>
        </is>
      </c>
      <c r="F79" s="256" t="inlineStr">
        <is>
          <t>CoQ-PP-2026-0025</t>
        </is>
      </c>
      <c r="G79" s="256" t="inlineStr">
        <is>
          <t>JD012603/02</t>
        </is>
      </c>
      <c r="H79" s="256" t="inlineStr">
        <is>
          <t>P060412</t>
        </is>
      </c>
      <c r="I79" s="256" t="inlineStr">
        <is>
          <t>Jelly Donuts</t>
        </is>
      </c>
      <c r="J79" s="256" t="inlineStr">
        <is>
          <t>04.05.2026</t>
        </is>
      </c>
      <c r="K79" s="256" t="inlineStr">
        <is>
          <t>24.05.2026</t>
        </is>
      </c>
      <c r="L79" s="256" t="inlineStr">
        <is>
          <t>04.05.2026</t>
        </is>
      </c>
      <c r="M79" s="256" t="inlineStr">
        <is>
          <t>24.05.2026</t>
        </is>
      </c>
      <c r="N79" s="256" t="inlineStr">
        <is>
          <t>iCoA-PP_26-086</t>
        </is>
      </c>
      <c r="O79" s="256" t="inlineStr">
        <is>
          <t>03.06.2026</t>
        </is>
      </c>
      <c r="P79" s="256" t="inlineStr">
        <is>
          <t>24.05.2026</t>
        </is>
      </c>
      <c r="Q79" s="256" t="inlineStr">
        <is>
          <t>—</t>
        </is>
      </c>
      <c r="R79" s="256" t="inlineStr">
        <is>
          <t>20.54</t>
        </is>
      </c>
      <c r="S79" s="256" t="inlineStr">
        <is>
          <t>ППК26113</t>
        </is>
      </c>
      <c r="T79" s="256" t="inlineStr">
        <is>
          <t>I</t>
        </is>
      </c>
      <c r="U79" s="256" t="inlineStr">
        <is>
          <t>19.80 – 24.19 %</t>
        </is>
      </c>
      <c r="V79" s="256" t="inlineStr">
        <is>
          <t>JD_THC22 : CBD1</t>
        </is>
      </c>
      <c r="W79" s="256" t="inlineStr">
        <is>
          <t>QCSP_001_JD-I_v.01</t>
        </is>
      </c>
      <c r="X79" s="256" t="inlineStr">
        <is>
          <t>for review — replaces the issued QCSP_001_JD-I_v.01 (was JD_THC20 : CBD1, 18.00 – 22.00 %); now JD_THC22 : CBD1 19.80 – 24.19 %</t>
        </is>
      </c>
      <c r="Y79" s="256" t="inlineStr">
        <is>
          <t>HYBRID</t>
        </is>
      </c>
      <c r="Z79" s="256" t="inlineStr">
        <is>
          <t>THC</t>
        </is>
      </c>
      <c r="AA79" s="256" t="inlineStr">
        <is>
          <t>MACHINE TRIMMED</t>
        </is>
      </c>
      <c r="AB79" s="256" t="inlineStr">
        <is>
          <t>SATIVA 60 : INDICA 40</t>
        </is>
      </c>
      <c r="AC79" s="256" t="inlineStr">
        <is>
          <t>Triplex Alu Bag | Триплекс Aлу Kеса, PET 12 · ALU 7 · PE 80, 300 × 500 mm, net. 400.0 g ±3%</t>
        </is>
      </c>
      <c r="AD79" s="256" t="inlineStr">
        <is>
          <t>30.06.2026</t>
        </is>
      </c>
      <c r="AE79" s="256" t="inlineStr">
        <is>
          <t>Conforms | Одговара</t>
        </is>
      </c>
      <c r="AF79" s="256" t="inlineStr">
        <is>
          <t>ППК26113</t>
        </is>
      </c>
      <c r="AG79" s="256" t="inlineStr">
        <is>
          <t>30.06.2026</t>
        </is>
      </c>
      <c r="AH79" s="256" t="inlineStr">
        <is>
          <t>UKIM Faculty of Pharmacy — Center for Natural Products</t>
        </is>
      </c>
      <c r="AI79" s="256" t="inlineStr">
        <is>
          <t>Conforms | Одговара</t>
        </is>
      </c>
      <c r="AJ79" s="256" t="inlineStr">
        <is>
          <t>ППК26113</t>
        </is>
      </c>
      <c r="AK79" s="256" t="inlineStr">
        <is>
          <t>30.06.2026</t>
        </is>
      </c>
      <c r="AL79" s="256" t="inlineStr">
        <is>
          <t>UKIM Faculty of Pharmacy — Center for Natural Products</t>
        </is>
      </c>
      <c r="AM79" s="256" t="inlineStr">
        <is>
          <t>Conforms | Одговара</t>
        </is>
      </c>
      <c r="AN79" s="256" t="inlineStr">
        <is>
          <t>ППК26113</t>
        </is>
      </c>
      <c r="AO79" s="256" t="inlineStr">
        <is>
          <t>30.06.2026</t>
        </is>
      </c>
      <c r="AP79" s="256" t="inlineStr">
        <is>
          <t>UKIM Faculty of Pharmacy — Center for Natural Products</t>
        </is>
      </c>
      <c r="AQ79" s="256" t="inlineStr">
        <is>
          <t>20.54</t>
        </is>
      </c>
      <c r="AR79" s="256" t="inlineStr">
        <is>
          <t>ППК26113</t>
        </is>
      </c>
      <c r="AS79" s="256" t="inlineStr">
        <is>
          <t>30.06.2026</t>
        </is>
      </c>
      <c r="AT79" s="256" t="inlineStr">
        <is>
          <t>UKIM Faculty of Pharmacy — Center for Natural Products</t>
        </is>
      </c>
      <c r="AU79" s="256" t="inlineStr">
        <is>
          <t>0.05</t>
        </is>
      </c>
      <c r="AV79" s="256" t="inlineStr">
        <is>
          <t>ППК26113</t>
        </is>
      </c>
      <c r="AW79" s="256" t="inlineStr">
        <is>
          <t>30.06.2026</t>
        </is>
      </c>
      <c r="AX79" s="256" t="inlineStr">
        <is>
          <t>UKIM Faculty of Pharmacy — Center for Natural Products</t>
        </is>
      </c>
      <c r="AY79" s="256" t="inlineStr">
        <is>
          <t>0.05</t>
        </is>
      </c>
      <c r="AZ79" s="256" t="inlineStr">
        <is>
          <t>ППК26113</t>
        </is>
      </c>
      <c r="BA79" s="256" t="inlineStr">
        <is>
          <t>30.06.2026</t>
        </is>
      </c>
      <c r="BB79" s="256" t="inlineStr">
        <is>
          <t>UKIM Faculty of Pharmacy — Center for Natural Products</t>
        </is>
      </c>
      <c r="BC79" s="256" t="inlineStr">
        <is>
          <t>Conforms | Одговара</t>
        </is>
      </c>
      <c r="BD79" s="256" t="inlineStr">
        <is>
          <t>ППК26113</t>
        </is>
      </c>
      <c r="BE79" s="256" t="inlineStr">
        <is>
          <t>30.06.2026</t>
        </is>
      </c>
      <c r="BF79" s="256" t="inlineStr">
        <is>
          <t>UKIM Faculty of Pharmacy — Center for Natural Products</t>
        </is>
      </c>
      <c r="BG79" s="256" t="inlineStr">
        <is>
          <t>7.52</t>
        </is>
      </c>
      <c r="BH79" s="256" t="inlineStr">
        <is>
          <t>ППК26113</t>
        </is>
      </c>
      <c r="BI79" s="256" t="inlineStr">
        <is>
          <t>30.06.2026</t>
        </is>
      </c>
      <c r="BJ79" s="256" t="inlineStr">
        <is>
          <t>UKIM Faculty of Pharmacy — Center for Natural Products</t>
        </is>
      </c>
      <c r="BK79" s="256" t="inlineStr">
        <is>
          <t>6.3 × 10³</t>
        </is>
      </c>
      <c r="BL79" s="256" t="inlineStr">
        <is>
          <t>405/0788/26</t>
        </is>
      </c>
      <c r="BM79" s="256" t="inlineStr">
        <is>
          <t>24.06.2026</t>
        </is>
      </c>
      <c r="BN79" s="256" t="inlineStr">
        <is>
          <t>IPH — Institute of Public Health</t>
        </is>
      </c>
      <c r="BO79" s="256" t="inlineStr">
        <is>
          <t>4.4 × 10³</t>
        </is>
      </c>
      <c r="BP79" s="256" t="inlineStr">
        <is>
          <t>405/0788/26</t>
        </is>
      </c>
      <c r="BQ79" s="256" t="inlineStr">
        <is>
          <t>24.06.2026</t>
        </is>
      </c>
      <c r="BR79" s="256" t="inlineStr">
        <is>
          <t>IPH — Institute of Public Health</t>
        </is>
      </c>
      <c r="BS79" s="256" t="inlineStr">
        <is>
          <t>&lt; 10</t>
        </is>
      </c>
      <c r="BT79" s="256" t="inlineStr">
        <is>
          <t>405/0788/26</t>
        </is>
      </c>
      <c r="BU79" s="256" t="inlineStr">
        <is>
          <t>24.06.2026</t>
        </is>
      </c>
      <c r="BV79" s="256" t="inlineStr">
        <is>
          <t>IPH — Institute of Public Health</t>
        </is>
      </c>
      <c r="BW79" s="256" t="inlineStr">
        <is>
          <t>Absent | Отсутна</t>
        </is>
      </c>
      <c r="BX79" s="256" t="inlineStr">
        <is>
          <t>405/0788/26</t>
        </is>
      </c>
      <c r="BY79" s="256" t="inlineStr">
        <is>
          <t>24.06.2026</t>
        </is>
      </c>
      <c r="BZ79" s="256" t="inlineStr">
        <is>
          <t>IPH — Institute of Public Health</t>
        </is>
      </c>
      <c r="CA79" s="256" t="inlineStr">
        <is>
          <t>Absent | Отсутна</t>
        </is>
      </c>
      <c r="CB79" s="256" t="inlineStr">
        <is>
          <t>405/0788/26</t>
        </is>
      </c>
      <c r="CC79" s="256" t="inlineStr">
        <is>
          <t>24.06.2026</t>
        </is>
      </c>
      <c r="CD79" s="256" t="inlineStr">
        <is>
          <t>IPH — Institute of Public Health</t>
        </is>
      </c>
      <c r="CE79" s="260" t="inlineStr">
        <is>
          <t>upon request — not required for release</t>
        </is>
      </c>
      <c r="CF79" s="256" t="inlineStr">
        <is>
          <t>—</t>
        </is>
      </c>
      <c r="CG79" s="256" t="inlineStr">
        <is>
          <t>—</t>
        </is>
      </c>
      <c r="CH79" s="256" t="inlineStr">
        <is>
          <t>—</t>
        </is>
      </c>
      <c r="CI79" s="260" t="inlineStr">
        <is>
          <t>upon request — not required for release</t>
        </is>
      </c>
      <c r="CJ79" s="256" t="inlineStr">
        <is>
          <t>—</t>
        </is>
      </c>
      <c r="CK79" s="256" t="inlineStr">
        <is>
          <t>—</t>
        </is>
      </c>
      <c r="CL79" s="256" t="inlineStr">
        <is>
          <t>—</t>
        </is>
      </c>
      <c r="CM79" s="259" t="inlineStr">
        <is>
          <t>not tested</t>
        </is>
      </c>
      <c r="CN79" s="256" t="inlineStr">
        <is>
          <t>—</t>
        </is>
      </c>
      <c r="CO79" s="256" t="inlineStr">
        <is>
          <t>—</t>
        </is>
      </c>
      <c r="CP79" s="256" t="inlineStr">
        <is>
          <t>—</t>
        </is>
      </c>
      <c r="CQ79" s="259" t="inlineStr">
        <is>
          <t>not tested</t>
        </is>
      </c>
      <c r="CR79" s="256" t="inlineStr">
        <is>
          <t>—</t>
        </is>
      </c>
      <c r="CS79" s="256" t="inlineStr">
        <is>
          <t>—</t>
        </is>
      </c>
      <c r="CT79" s="256" t="inlineStr">
        <is>
          <t>—</t>
        </is>
      </c>
      <c r="CU79" s="259" t="inlineStr">
        <is>
          <t>not tested</t>
        </is>
      </c>
      <c r="CV79" s="256" t="inlineStr">
        <is>
          <t>—</t>
        </is>
      </c>
      <c r="CW79" s="256" t="inlineStr">
        <is>
          <t>—</t>
        </is>
      </c>
      <c r="CX79" s="256" t="inlineStr">
        <is>
          <t>—</t>
        </is>
      </c>
      <c r="CY79" s="256" t="inlineStr">
        <is>
          <t>0.085</t>
        </is>
      </c>
      <c r="CZ79" s="256" t="inlineStr">
        <is>
          <t>3660/2026</t>
        </is>
      </c>
      <c r="DA79" s="256" t="inlineStr">
        <is>
          <t>22.06.2026</t>
        </is>
      </c>
      <c r="DB79" s="256" t="inlineStr">
        <is>
          <t>IPH — Institute of Public Health</t>
        </is>
      </c>
      <c r="DC79" s="256" t="inlineStr">
        <is>
          <t>0.044</t>
        </is>
      </c>
      <c r="DD79" s="256" t="inlineStr">
        <is>
          <t>3660/2026</t>
        </is>
      </c>
      <c r="DE79" s="256" t="inlineStr">
        <is>
          <t>22.06.2026</t>
        </is>
      </c>
      <c r="DF79" s="256" t="inlineStr">
        <is>
          <t>IPH — Institute of Public Health</t>
        </is>
      </c>
      <c r="DG79" s="256" t="inlineStr">
        <is>
          <t>0.042</t>
        </is>
      </c>
      <c r="DH79" s="256" t="inlineStr">
        <is>
          <t>3660/2026</t>
        </is>
      </c>
      <c r="DI79" s="256" t="inlineStr">
        <is>
          <t>22.06.2026</t>
        </is>
      </c>
      <c r="DJ79" s="256" t="inlineStr">
        <is>
          <t>IPH — Institute of Public Health</t>
        </is>
      </c>
      <c r="DK79" s="256" t="inlineStr">
        <is>
          <t>0.042</t>
        </is>
      </c>
      <c r="DL79" s="256" t="inlineStr">
        <is>
          <t>3660/2026</t>
        </is>
      </c>
      <c r="DM79" s="256" t="inlineStr">
        <is>
          <t>22.06.2026</t>
        </is>
      </c>
      <c r="DN79" s="256" t="inlineStr">
        <is>
          <t>IPH — Institute of Public Health</t>
        </is>
      </c>
      <c r="DO79" s="256" t="inlineStr">
        <is>
          <t>&lt; 0,01 mg/kg — all 22 residues</t>
        </is>
      </c>
      <c r="DP79" s="256" t="inlineStr">
        <is>
          <t>3660/2026</t>
        </is>
      </c>
      <c r="DQ79" s="256" t="inlineStr">
        <is>
          <t>22.06.2026</t>
        </is>
      </c>
      <c r="DR79" s="256" t="inlineStr">
        <is>
          <t>IJZ</t>
        </is>
      </c>
    </row>
    <row r="80">
      <c r="A80" s="256" t="inlineStr">
        <is>
          <t>CoQ-PP_26-079</t>
        </is>
      </c>
      <c r="B80" s="256" t="inlineStr">
        <is>
          <t>release</t>
        </is>
      </c>
      <c r="C80" s="256" t="inlineStr">
        <is>
          <t>issuable</t>
        </is>
      </c>
      <c r="D80" s="256" t="inlineStr">
        <is>
          <t>07.07.2026</t>
        </is>
      </c>
      <c r="E80" s="256" t="inlineStr">
        <is>
          <t>n/a — release certificate</t>
        </is>
      </c>
      <c r="F80" s="256" t="inlineStr">
        <is>
          <t>(assigned on issue)</t>
        </is>
      </c>
      <c r="G80" s="256" t="inlineStr">
        <is>
          <t>FB012603</t>
        </is>
      </c>
      <c r="H80" s="256" t="inlineStr">
        <is>
          <t>— no P lot assigned —</t>
        </is>
      </c>
      <c r="I80" s="256" t="inlineStr">
        <is>
          <t>Fat Bastard</t>
        </is>
      </c>
      <c r="J80" s="256" t="inlineStr">
        <is>
          <t>04.05.2026</t>
        </is>
      </c>
      <c r="K80" s="256" t="inlineStr">
        <is>
          <t>15.06.2026</t>
        </is>
      </c>
      <c r="L80" s="256" t="inlineStr">
        <is>
          <t>—</t>
        </is>
      </c>
      <c r="M80" s="256" t="inlineStr">
        <is>
          <t>—</t>
        </is>
      </c>
      <c r="N80" s="256" t="inlineStr">
        <is>
          <t>iCoA-PP_26-093</t>
        </is>
      </c>
      <c r="O80" s="256" t="inlineStr">
        <is>
          <t>15.06.2026</t>
        </is>
      </c>
      <c r="P80" s="256" t="inlineStr">
        <is>
          <t>15.06.2026</t>
        </is>
      </c>
      <c r="Q80" s="256" t="inlineStr">
        <is>
          <t>—</t>
        </is>
      </c>
      <c r="R80" s="256" t="inlineStr">
        <is>
          <t>20.83</t>
        </is>
      </c>
      <c r="S80" s="256" t="inlineStr">
        <is>
          <t>ППК26112</t>
        </is>
      </c>
      <c r="T80" s="256" t="inlineStr">
        <is>
          <t>I</t>
        </is>
      </c>
      <c r="U80" s="256" t="inlineStr">
        <is>
          <t>19.80 – 24.19 %</t>
        </is>
      </c>
      <c r="V80" s="256" t="inlineStr">
        <is>
          <t>FB_THC22 : CBD1</t>
        </is>
      </c>
      <c r="W80" s="256" t="inlineStr">
        <is>
          <t>QCSP_001_FB-I_v.01</t>
        </is>
      </c>
      <c r="X80" s="256" t="inlineStr">
        <is>
          <t>for review — replaces the issued QCSP_001_FB-I_v.01 (was FB_THC27.5:CBD1, 27.50% ± 2.63%); now FB_THC22 : CBD1 19.80 – 24.19 %</t>
        </is>
      </c>
      <c r="Y80" s="256" t="inlineStr">
        <is>
          <t>HYBRID</t>
        </is>
      </c>
      <c r="Z80" s="256" t="inlineStr">
        <is>
          <t>THC</t>
        </is>
      </c>
      <c r="AA80" s="256" t="inlineStr">
        <is>
          <t>MACHINE TRIMMED</t>
        </is>
      </c>
      <c r="AB80" s="256" t="inlineStr">
        <is>
          <t>BALANCED</t>
        </is>
      </c>
      <c r="AC80" s="256" t="inlineStr">
        <is>
          <t>Triplex Alu Bag | Триплекс Aлу Kеса, PET 12 · ALU 7 · PE 80, 300 × 500 mm, net. 400.0 g ±3%</t>
        </is>
      </c>
      <c r="AD80" s="256" t="inlineStr">
        <is>
          <t>30.06.2026</t>
        </is>
      </c>
      <c r="AE80" s="256" t="inlineStr">
        <is>
          <t>Conforms | Одговара</t>
        </is>
      </c>
      <c r="AF80" s="256" t="inlineStr">
        <is>
          <t>ППК26112</t>
        </is>
      </c>
      <c r="AG80" s="256" t="inlineStr">
        <is>
          <t>30.06.2026</t>
        </is>
      </c>
      <c r="AH80" s="256" t="inlineStr">
        <is>
          <t>UKIM Faculty of Pharmacy — Center for Natural Products</t>
        </is>
      </c>
      <c r="AI80" s="256" t="inlineStr">
        <is>
          <t>Conforms | Одговара</t>
        </is>
      </c>
      <c r="AJ80" s="256" t="inlineStr">
        <is>
          <t>ППК26112</t>
        </is>
      </c>
      <c r="AK80" s="256" t="inlineStr">
        <is>
          <t>30.06.2026</t>
        </is>
      </c>
      <c r="AL80" s="256" t="inlineStr">
        <is>
          <t>UKIM Faculty of Pharmacy — Center for Natural Products</t>
        </is>
      </c>
      <c r="AM80" s="256" t="inlineStr">
        <is>
          <t>Conforms | Одговара</t>
        </is>
      </c>
      <c r="AN80" s="256" t="inlineStr">
        <is>
          <t>ППК26112</t>
        </is>
      </c>
      <c r="AO80" s="256" t="inlineStr">
        <is>
          <t>30.06.2026</t>
        </is>
      </c>
      <c r="AP80" s="256" t="inlineStr">
        <is>
          <t>UKIM Faculty of Pharmacy — Center for Natural Products</t>
        </is>
      </c>
      <c r="AQ80" s="256" t="inlineStr">
        <is>
          <t>20.83</t>
        </is>
      </c>
      <c r="AR80" s="256" t="inlineStr">
        <is>
          <t>ППК26112</t>
        </is>
      </c>
      <c r="AS80" s="256" t="inlineStr">
        <is>
          <t>30.06.2026</t>
        </is>
      </c>
      <c r="AT80" s="256" t="inlineStr">
        <is>
          <t>UKIM Faculty of Pharmacy — Center for Natural Products</t>
        </is>
      </c>
      <c r="AU80" s="256" t="inlineStr">
        <is>
          <t>0.21</t>
        </is>
      </c>
      <c r="AV80" s="256" t="inlineStr">
        <is>
          <t>ППК26112</t>
        </is>
      </c>
      <c r="AW80" s="256" t="inlineStr">
        <is>
          <t>30.06.2026</t>
        </is>
      </c>
      <c r="AX80" s="256" t="inlineStr">
        <is>
          <t>UKIM Faculty of Pharmacy — Center for Natural Products</t>
        </is>
      </c>
      <c r="AY80" s="256" t="inlineStr">
        <is>
          <t>0.06</t>
        </is>
      </c>
      <c r="AZ80" s="256" t="inlineStr">
        <is>
          <t>ППК26112</t>
        </is>
      </c>
      <c r="BA80" s="256" t="inlineStr">
        <is>
          <t>30.06.2026</t>
        </is>
      </c>
      <c r="BB80" s="256" t="inlineStr">
        <is>
          <t>UKIM Faculty of Pharmacy — Center for Natural Products</t>
        </is>
      </c>
      <c r="BC80" s="256" t="inlineStr">
        <is>
          <t>Conforms | Одговара</t>
        </is>
      </c>
      <c r="BD80" s="256" t="inlineStr">
        <is>
          <t>ППК26112</t>
        </is>
      </c>
      <c r="BE80" s="256" t="inlineStr">
        <is>
          <t>30.06.2026</t>
        </is>
      </c>
      <c r="BF80" s="256" t="inlineStr">
        <is>
          <t>UKIM Faculty of Pharmacy — Center for Natural Products</t>
        </is>
      </c>
      <c r="BG80" s="256" t="inlineStr">
        <is>
          <t>7.04</t>
        </is>
      </c>
      <c r="BH80" s="256" t="inlineStr">
        <is>
          <t>ППК26112</t>
        </is>
      </c>
      <c r="BI80" s="256" t="inlineStr">
        <is>
          <t>30.06.2026</t>
        </is>
      </c>
      <c r="BJ80" s="256" t="inlineStr">
        <is>
          <t>UKIM Faculty of Pharmacy — Center for Natural Products</t>
        </is>
      </c>
      <c r="BK80" s="259" t="inlineStr">
        <is>
          <t>not tested</t>
        </is>
      </c>
      <c r="BL80" s="256" t="inlineStr">
        <is>
          <t>—</t>
        </is>
      </c>
      <c r="BM80" s="256" t="inlineStr">
        <is>
          <t>—</t>
        </is>
      </c>
      <c r="BN80" s="256" t="inlineStr">
        <is>
          <t>—</t>
        </is>
      </c>
      <c r="BO80" s="259" t="inlineStr">
        <is>
          <t>not tested</t>
        </is>
      </c>
      <c r="BP80" s="256" t="inlineStr">
        <is>
          <t>—</t>
        </is>
      </c>
      <c r="BQ80" s="256" t="inlineStr">
        <is>
          <t>—</t>
        </is>
      </c>
      <c r="BR80" s="256" t="inlineStr">
        <is>
          <t>—</t>
        </is>
      </c>
      <c r="BS80" s="259" t="inlineStr">
        <is>
          <t>not tested</t>
        </is>
      </c>
      <c r="BT80" s="256" t="inlineStr">
        <is>
          <t>—</t>
        </is>
      </c>
      <c r="BU80" s="256" t="inlineStr">
        <is>
          <t>—</t>
        </is>
      </c>
      <c r="BV80" s="256" t="inlineStr">
        <is>
          <t>—</t>
        </is>
      </c>
      <c r="BW80" s="259" t="inlineStr">
        <is>
          <t>not tested</t>
        </is>
      </c>
      <c r="BX80" s="256" t="inlineStr">
        <is>
          <t>—</t>
        </is>
      </c>
      <c r="BY80" s="256" t="inlineStr">
        <is>
          <t>—</t>
        </is>
      </c>
      <c r="BZ80" s="256" t="inlineStr">
        <is>
          <t>—</t>
        </is>
      </c>
      <c r="CA80" s="259" t="inlineStr">
        <is>
          <t>not tested</t>
        </is>
      </c>
      <c r="CB80" s="256" t="inlineStr">
        <is>
          <t>—</t>
        </is>
      </c>
      <c r="CC80" s="256" t="inlineStr">
        <is>
          <t>—</t>
        </is>
      </c>
      <c r="CD80" s="256" t="inlineStr">
        <is>
          <t>—</t>
        </is>
      </c>
      <c r="CE80" s="260" t="inlineStr">
        <is>
          <t>upon request — not required for release</t>
        </is>
      </c>
      <c r="CF80" s="256" t="inlineStr">
        <is>
          <t>—</t>
        </is>
      </c>
      <c r="CG80" s="256" t="inlineStr">
        <is>
          <t>—</t>
        </is>
      </c>
      <c r="CH80" s="256" t="inlineStr">
        <is>
          <t>—</t>
        </is>
      </c>
      <c r="CI80" s="260" t="inlineStr">
        <is>
          <t>upon request — not required for release</t>
        </is>
      </c>
      <c r="CJ80" s="256" t="inlineStr">
        <is>
          <t>—</t>
        </is>
      </c>
      <c r="CK80" s="256" t="inlineStr">
        <is>
          <t>—</t>
        </is>
      </c>
      <c r="CL80" s="256" t="inlineStr">
        <is>
          <t>—</t>
        </is>
      </c>
      <c r="CM80" s="259" t="inlineStr">
        <is>
          <t>not tested</t>
        </is>
      </c>
      <c r="CN80" s="256" t="inlineStr">
        <is>
          <t>—</t>
        </is>
      </c>
      <c r="CO80" s="256" t="inlineStr">
        <is>
          <t>—</t>
        </is>
      </c>
      <c r="CP80" s="256" t="inlineStr">
        <is>
          <t>—</t>
        </is>
      </c>
      <c r="CQ80" s="259" t="inlineStr">
        <is>
          <t>not tested</t>
        </is>
      </c>
      <c r="CR80" s="256" t="inlineStr">
        <is>
          <t>—</t>
        </is>
      </c>
      <c r="CS80" s="256" t="inlineStr">
        <is>
          <t>—</t>
        </is>
      </c>
      <c r="CT80" s="256" t="inlineStr">
        <is>
          <t>—</t>
        </is>
      </c>
      <c r="CU80" s="259" t="inlineStr">
        <is>
          <t>not tested</t>
        </is>
      </c>
      <c r="CV80" s="256" t="inlineStr">
        <is>
          <t>—</t>
        </is>
      </c>
      <c r="CW80" s="256" t="inlineStr">
        <is>
          <t>—</t>
        </is>
      </c>
      <c r="CX80" s="256" t="inlineStr">
        <is>
          <t>—</t>
        </is>
      </c>
      <c r="CY80" s="259" t="inlineStr">
        <is>
          <t>not tested</t>
        </is>
      </c>
      <c r="CZ80" s="256" t="inlineStr">
        <is>
          <t>—</t>
        </is>
      </c>
      <c r="DA80" s="256" t="inlineStr">
        <is>
          <t>—</t>
        </is>
      </c>
      <c r="DB80" s="256" t="inlineStr">
        <is>
          <t>—</t>
        </is>
      </c>
      <c r="DC80" s="259" t="inlineStr">
        <is>
          <t>not tested</t>
        </is>
      </c>
      <c r="DD80" s="256" t="inlineStr">
        <is>
          <t>—</t>
        </is>
      </c>
      <c r="DE80" s="256" t="inlineStr">
        <is>
          <t>—</t>
        </is>
      </c>
      <c r="DF80" s="256" t="inlineStr">
        <is>
          <t>—</t>
        </is>
      </c>
      <c r="DG80" s="259" t="inlineStr">
        <is>
          <t>not tested</t>
        </is>
      </c>
      <c r="DH80" s="256" t="inlineStr">
        <is>
          <t>—</t>
        </is>
      </c>
      <c r="DI80" s="256" t="inlineStr">
        <is>
          <t>—</t>
        </is>
      </c>
      <c r="DJ80" s="256" t="inlineStr">
        <is>
          <t>—</t>
        </is>
      </c>
      <c r="DK80" s="259" t="inlineStr">
        <is>
          <t>not tested</t>
        </is>
      </c>
      <c r="DL80" s="256" t="inlineStr">
        <is>
          <t>—</t>
        </is>
      </c>
      <c r="DM80" s="256" t="inlineStr">
        <is>
          <t>—</t>
        </is>
      </c>
      <c r="DN80" s="256" t="inlineStr">
        <is>
          <t>—</t>
        </is>
      </c>
      <c r="DO80" s="259" t="inlineStr">
        <is>
          <t>not tested</t>
        </is>
      </c>
      <c r="DP80" s="256" t="inlineStr">
        <is>
          <t>—</t>
        </is>
      </c>
      <c r="DQ80" s="256" t="inlineStr">
        <is>
          <t>—</t>
        </is>
      </c>
      <c r="DR80" s="256" t="inlineStr">
        <is>
          <t>—</t>
        </is>
      </c>
    </row>
    <row r="81">
      <c r="A81" s="256" t="inlineStr">
        <is>
          <t>CoQ-PP_26-080</t>
        </is>
      </c>
      <c r="B81" s="256" t="inlineStr">
        <is>
          <t>release</t>
        </is>
      </c>
      <c r="C81" s="256" t="inlineStr">
        <is>
          <t>issuable</t>
        </is>
      </c>
      <c r="D81" s="256" t="inlineStr">
        <is>
          <t>13.07.2026</t>
        </is>
      </c>
      <c r="E81" s="256" t="inlineStr">
        <is>
          <t>n/a — release certificate</t>
        </is>
      </c>
      <c r="F81" s="256" t="inlineStr">
        <is>
          <t>(assigned on issue)</t>
        </is>
      </c>
      <c r="G81" s="256" t="inlineStr">
        <is>
          <t>SCR022601</t>
        </is>
      </c>
      <c r="H81" s="256" t="inlineStr">
        <is>
          <t>— no P lot assigned —</t>
        </is>
      </c>
      <c r="I81" s="256" t="inlineStr">
        <is>
          <t>Scrambler</t>
        </is>
      </c>
      <c r="J81" s="256" t="inlineStr">
        <is>
          <t>13.05.2026</t>
        </is>
      </c>
      <c r="K81" s="256" t="inlineStr">
        <is>
          <t>18.06.2026</t>
        </is>
      </c>
      <c r="L81" s="256" t="inlineStr">
        <is>
          <t>—</t>
        </is>
      </c>
      <c r="M81" s="256" t="inlineStr">
        <is>
          <t>—</t>
        </is>
      </c>
      <c r="N81" s="256" t="inlineStr">
        <is>
          <t>iCoA-PP_26-094</t>
        </is>
      </c>
      <c r="O81" s="256" t="inlineStr">
        <is>
          <t>18.06.2026</t>
        </is>
      </c>
      <c r="P81" s="256" t="inlineStr">
        <is>
          <t>18.06.2026</t>
        </is>
      </c>
      <c r="Q81" s="256" t="inlineStr">
        <is>
          <t>—</t>
        </is>
      </c>
      <c r="R81" s="256" t="inlineStr">
        <is>
          <t>21.92</t>
        </is>
      </c>
      <c r="S81" s="256" t="inlineStr">
        <is>
          <t>ППК26116</t>
        </is>
      </c>
      <c r="T81" s="256" t="inlineStr">
        <is>
          <t>I</t>
        </is>
      </c>
      <c r="U81" s="256" t="inlineStr">
        <is>
          <t>19.80 – 24.19 %</t>
        </is>
      </c>
      <c r="V81" s="256" t="inlineStr">
        <is>
          <t>SCR_THC22 : CBD1</t>
        </is>
      </c>
      <c r="W81" s="256" t="inlineStr">
        <is>
          <t>QCSP_001_SCR-I_v.01</t>
        </is>
      </c>
      <c r="X81" s="256" t="inlineStr">
        <is>
          <t>for review — replaces the issued QCSP_001_SCR-I_v.01 (was SCR_THC27.5:CBD1, 27.50% ± 2.38%); now SCR_THC22 : CBD1 19.80 – 24.19 %</t>
        </is>
      </c>
      <c r="Y81" s="256" t="inlineStr">
        <is>
          <t>HYBRID</t>
        </is>
      </c>
      <c r="Z81" s="256" t="inlineStr">
        <is>
          <t>THC</t>
        </is>
      </c>
      <c r="AA81" s="256" t="inlineStr">
        <is>
          <t>MACHINE TRIMMED</t>
        </is>
      </c>
      <c r="AB81" s="256" t="inlineStr">
        <is>
          <t>TO BE DETERMINED</t>
        </is>
      </c>
      <c r="AC81" s="256" t="inlineStr">
        <is>
          <t>Triplex Alu Bag | Триплекс Aлу Kеса, PET 12 · ALU 7 · PE 80, 300 × 500 mm, net. 400.0 g ±3%</t>
        </is>
      </c>
      <c r="AD81" s="256" t="inlineStr">
        <is>
          <t>06.07.2026</t>
        </is>
      </c>
      <c r="AE81" s="256" t="inlineStr">
        <is>
          <t>Conforms | Одговара</t>
        </is>
      </c>
      <c r="AF81" s="256" t="inlineStr">
        <is>
          <t>ППК26116</t>
        </is>
      </c>
      <c r="AG81" s="256" t="inlineStr">
        <is>
          <t>06.07.2026</t>
        </is>
      </c>
      <c r="AH81" s="256" t="inlineStr">
        <is>
          <t>UKIM Faculty of Pharmacy — Center for Natural Products</t>
        </is>
      </c>
      <c r="AI81" s="256" t="inlineStr">
        <is>
          <t>Conforms | Одговара</t>
        </is>
      </c>
      <c r="AJ81" s="256" t="inlineStr">
        <is>
          <t>ППК26116</t>
        </is>
      </c>
      <c r="AK81" s="256" t="inlineStr">
        <is>
          <t>06.07.2026</t>
        </is>
      </c>
      <c r="AL81" s="256" t="inlineStr">
        <is>
          <t>UKIM Faculty of Pharmacy — Center for Natural Products</t>
        </is>
      </c>
      <c r="AM81" s="256" t="inlineStr">
        <is>
          <t>Conforms | Одговара</t>
        </is>
      </c>
      <c r="AN81" s="256" t="inlineStr">
        <is>
          <t>ППК26116</t>
        </is>
      </c>
      <c r="AO81" s="256" t="inlineStr">
        <is>
          <t>06.07.2026</t>
        </is>
      </c>
      <c r="AP81" s="256" t="inlineStr">
        <is>
          <t>UKIM Faculty of Pharmacy — Center for Natural Products</t>
        </is>
      </c>
      <c r="AQ81" s="256" t="inlineStr">
        <is>
          <t>21.92</t>
        </is>
      </c>
      <c r="AR81" s="256" t="inlineStr">
        <is>
          <t>ППК26116</t>
        </is>
      </c>
      <c r="AS81" s="256" t="inlineStr">
        <is>
          <t>06.07.2026</t>
        </is>
      </c>
      <c r="AT81" s="256" t="inlineStr">
        <is>
          <t>UKIM Faculty of Pharmacy — Center for Natural Products</t>
        </is>
      </c>
      <c r="AU81" s="256" t="inlineStr">
        <is>
          <t>0.19</t>
        </is>
      </c>
      <c r="AV81" s="256" t="inlineStr">
        <is>
          <t>ППК26116</t>
        </is>
      </c>
      <c r="AW81" s="256" t="inlineStr">
        <is>
          <t>06.07.2026</t>
        </is>
      </c>
      <c r="AX81" s="256" t="inlineStr">
        <is>
          <t>UKIM Faculty of Pharmacy — Center for Natural Products</t>
        </is>
      </c>
      <c r="AY81" s="256" t="inlineStr">
        <is>
          <t>0.06</t>
        </is>
      </c>
      <c r="AZ81" s="256" t="inlineStr">
        <is>
          <t>ППК26116</t>
        </is>
      </c>
      <c r="BA81" s="256" t="inlineStr">
        <is>
          <t>06.07.2026</t>
        </is>
      </c>
      <c r="BB81" s="256" t="inlineStr">
        <is>
          <t>UKIM Faculty of Pharmacy — Center for Natural Products</t>
        </is>
      </c>
      <c r="BC81" s="256" t="inlineStr">
        <is>
          <t>Conforms | Одговара</t>
        </is>
      </c>
      <c r="BD81" s="256" t="inlineStr">
        <is>
          <t>ППК26116</t>
        </is>
      </c>
      <c r="BE81" s="256" t="inlineStr">
        <is>
          <t>06.07.2026</t>
        </is>
      </c>
      <c r="BF81" s="256" t="inlineStr">
        <is>
          <t>UKIM Faculty of Pharmacy — Center for Natural Products</t>
        </is>
      </c>
      <c r="BG81" s="256" t="inlineStr">
        <is>
          <t>7.06</t>
        </is>
      </c>
      <c r="BH81" s="256" t="inlineStr">
        <is>
          <t>ППК26116</t>
        </is>
      </c>
      <c r="BI81" s="256" t="inlineStr">
        <is>
          <t>06.07.2026</t>
        </is>
      </c>
      <c r="BJ81" s="256" t="inlineStr">
        <is>
          <t>UKIM Faculty of Pharmacy — Center for Natural Products</t>
        </is>
      </c>
      <c r="BK81" s="259" t="inlineStr">
        <is>
          <t>not tested</t>
        </is>
      </c>
      <c r="BL81" s="256" t="inlineStr">
        <is>
          <t>—</t>
        </is>
      </c>
      <c r="BM81" s="256" t="inlineStr">
        <is>
          <t>—</t>
        </is>
      </c>
      <c r="BN81" s="256" t="inlineStr">
        <is>
          <t>—</t>
        </is>
      </c>
      <c r="BO81" s="259" t="inlineStr">
        <is>
          <t>not tested</t>
        </is>
      </c>
      <c r="BP81" s="256" t="inlineStr">
        <is>
          <t>—</t>
        </is>
      </c>
      <c r="BQ81" s="256" t="inlineStr">
        <is>
          <t>—</t>
        </is>
      </c>
      <c r="BR81" s="256" t="inlineStr">
        <is>
          <t>—</t>
        </is>
      </c>
      <c r="BS81" s="259" t="inlineStr">
        <is>
          <t>not tested</t>
        </is>
      </c>
      <c r="BT81" s="256" t="inlineStr">
        <is>
          <t>—</t>
        </is>
      </c>
      <c r="BU81" s="256" t="inlineStr">
        <is>
          <t>—</t>
        </is>
      </c>
      <c r="BV81" s="256" t="inlineStr">
        <is>
          <t>—</t>
        </is>
      </c>
      <c r="BW81" s="259" t="inlineStr">
        <is>
          <t>not tested</t>
        </is>
      </c>
      <c r="BX81" s="256" t="inlineStr">
        <is>
          <t>—</t>
        </is>
      </c>
      <c r="BY81" s="256" t="inlineStr">
        <is>
          <t>—</t>
        </is>
      </c>
      <c r="BZ81" s="256" t="inlineStr">
        <is>
          <t>—</t>
        </is>
      </c>
      <c r="CA81" s="259" t="inlineStr">
        <is>
          <t>not tested</t>
        </is>
      </c>
      <c r="CB81" s="256" t="inlineStr">
        <is>
          <t>—</t>
        </is>
      </c>
      <c r="CC81" s="256" t="inlineStr">
        <is>
          <t>—</t>
        </is>
      </c>
      <c r="CD81" s="256" t="inlineStr">
        <is>
          <t>—</t>
        </is>
      </c>
      <c r="CE81" s="260" t="inlineStr">
        <is>
          <t>upon request — not required for release</t>
        </is>
      </c>
      <c r="CF81" s="256" t="inlineStr">
        <is>
          <t>—</t>
        </is>
      </c>
      <c r="CG81" s="256" t="inlineStr">
        <is>
          <t>—</t>
        </is>
      </c>
      <c r="CH81" s="256" t="inlineStr">
        <is>
          <t>—</t>
        </is>
      </c>
      <c r="CI81" s="260" t="inlineStr">
        <is>
          <t>upon request — not required for release</t>
        </is>
      </c>
      <c r="CJ81" s="256" t="inlineStr">
        <is>
          <t>—</t>
        </is>
      </c>
      <c r="CK81" s="256" t="inlineStr">
        <is>
          <t>—</t>
        </is>
      </c>
      <c r="CL81" s="256" t="inlineStr">
        <is>
          <t>—</t>
        </is>
      </c>
      <c r="CM81" s="259" t="inlineStr">
        <is>
          <t>not tested</t>
        </is>
      </c>
      <c r="CN81" s="256" t="inlineStr">
        <is>
          <t>—</t>
        </is>
      </c>
      <c r="CO81" s="256" t="inlineStr">
        <is>
          <t>—</t>
        </is>
      </c>
      <c r="CP81" s="256" t="inlineStr">
        <is>
          <t>—</t>
        </is>
      </c>
      <c r="CQ81" s="259" t="inlineStr">
        <is>
          <t>not tested</t>
        </is>
      </c>
      <c r="CR81" s="256" t="inlineStr">
        <is>
          <t>—</t>
        </is>
      </c>
      <c r="CS81" s="256" t="inlineStr">
        <is>
          <t>—</t>
        </is>
      </c>
      <c r="CT81" s="256" t="inlineStr">
        <is>
          <t>—</t>
        </is>
      </c>
      <c r="CU81" s="259" t="inlineStr">
        <is>
          <t>not tested</t>
        </is>
      </c>
      <c r="CV81" s="256" t="inlineStr">
        <is>
          <t>—</t>
        </is>
      </c>
      <c r="CW81" s="256" t="inlineStr">
        <is>
          <t>—</t>
        </is>
      </c>
      <c r="CX81" s="256" t="inlineStr">
        <is>
          <t>—</t>
        </is>
      </c>
      <c r="CY81" s="259" t="inlineStr">
        <is>
          <t>not tested</t>
        </is>
      </c>
      <c r="CZ81" s="256" t="inlineStr">
        <is>
          <t>—</t>
        </is>
      </c>
      <c r="DA81" s="256" t="inlineStr">
        <is>
          <t>—</t>
        </is>
      </c>
      <c r="DB81" s="256" t="inlineStr">
        <is>
          <t>—</t>
        </is>
      </c>
      <c r="DC81" s="259" t="inlineStr">
        <is>
          <t>not tested</t>
        </is>
      </c>
      <c r="DD81" s="256" t="inlineStr">
        <is>
          <t>—</t>
        </is>
      </c>
      <c r="DE81" s="256" t="inlineStr">
        <is>
          <t>—</t>
        </is>
      </c>
      <c r="DF81" s="256" t="inlineStr">
        <is>
          <t>—</t>
        </is>
      </c>
      <c r="DG81" s="259" t="inlineStr">
        <is>
          <t>not tested</t>
        </is>
      </c>
      <c r="DH81" s="256" t="inlineStr">
        <is>
          <t>—</t>
        </is>
      </c>
      <c r="DI81" s="256" t="inlineStr">
        <is>
          <t>—</t>
        </is>
      </c>
      <c r="DJ81" s="256" t="inlineStr">
        <is>
          <t>—</t>
        </is>
      </c>
      <c r="DK81" s="259" t="inlineStr">
        <is>
          <t>not tested</t>
        </is>
      </c>
      <c r="DL81" s="256" t="inlineStr">
        <is>
          <t>—</t>
        </is>
      </c>
      <c r="DM81" s="256" t="inlineStr">
        <is>
          <t>—</t>
        </is>
      </c>
      <c r="DN81" s="256" t="inlineStr">
        <is>
          <t>—</t>
        </is>
      </c>
      <c r="DO81" s="259" t="inlineStr">
        <is>
          <t>not tested</t>
        </is>
      </c>
      <c r="DP81" s="256" t="inlineStr">
        <is>
          <t>—</t>
        </is>
      </c>
      <c r="DQ81" s="256" t="inlineStr">
        <is>
          <t>—</t>
        </is>
      </c>
      <c r="DR81" s="256" t="inlineStr">
        <is>
          <t>—</t>
        </is>
      </c>
    </row>
    <row r="82">
      <c r="A82" s="256" t="inlineStr">
        <is>
          <t>CoQ-PP_26-081</t>
        </is>
      </c>
      <c r="B82" s="256" t="inlineStr">
        <is>
          <t>release</t>
        </is>
      </c>
      <c r="C82" s="256" t="inlineStr">
        <is>
          <t>issuable</t>
        </is>
      </c>
      <c r="D82" s="256" t="inlineStr">
        <is>
          <t>28.07.2026</t>
        </is>
      </c>
      <c r="E82" s="256" t="inlineStr">
        <is>
          <t>n/a — release certificate</t>
        </is>
      </c>
      <c r="F82" s="256" t="inlineStr">
        <is>
          <t>(assigned on issue)</t>
        </is>
      </c>
      <c r="G82" s="256" t="inlineStr">
        <is>
          <t>FB032601</t>
        </is>
      </c>
      <c r="H82" s="256" t="inlineStr">
        <is>
          <t>— no P lot assigned —</t>
        </is>
      </c>
      <c r="I82" s="256" t="inlineStr">
        <is>
          <t>Fat Bastard</t>
        </is>
      </c>
      <c r="J82" s="256" t="inlineStr">
        <is>
          <t>02.06.2026</t>
        </is>
      </c>
      <c r="K82" s="256" t="inlineStr">
        <is>
          <t>29.06.2026</t>
        </is>
      </c>
      <c r="L82" s="256" t="inlineStr">
        <is>
          <t>—</t>
        </is>
      </c>
      <c r="M82" s="256" t="inlineStr">
        <is>
          <t>—</t>
        </is>
      </c>
      <c r="N82" s="256" t="inlineStr">
        <is>
          <t>iCoA-PP_26-095</t>
        </is>
      </c>
      <c r="O82" s="256" t="inlineStr">
        <is>
          <t>29.06.2026</t>
        </is>
      </c>
      <c r="P82" s="256" t="inlineStr">
        <is>
          <t>29.06.2026</t>
        </is>
      </c>
      <c r="Q82" s="256" t="inlineStr">
        <is>
          <t>—</t>
        </is>
      </c>
      <c r="R82" s="256" t="inlineStr">
        <is>
          <t>12.39</t>
        </is>
      </c>
      <c r="S82" s="256" t="inlineStr">
        <is>
          <t>ППК26127</t>
        </is>
      </c>
      <c r="T82" s="256" t="inlineStr">
        <is>
          <t>IV</t>
        </is>
      </c>
      <c r="U82" s="256" t="inlineStr">
        <is>
          <t>10.80 – 13.19 %</t>
        </is>
      </c>
      <c r="V82" s="256" t="inlineStr">
        <is>
          <t>FB_THC12 : CBD1</t>
        </is>
      </c>
      <c r="W82" s="256" t="inlineStr">
        <is>
          <t>QCSP_001_FB-IV_v.01</t>
        </is>
      </c>
      <c r="X82" s="256" t="inlineStr">
        <is>
          <t>for review — new</t>
        </is>
      </c>
      <c r="Y82" s="256" t="inlineStr">
        <is>
          <t>HYBRID</t>
        </is>
      </c>
      <c r="Z82" s="256" t="inlineStr">
        <is>
          <t>THC</t>
        </is>
      </c>
      <c r="AA82" s="256" t="inlineStr">
        <is>
          <t>MACHINE TRIMMED</t>
        </is>
      </c>
      <c r="AB82" s="256" t="inlineStr">
        <is>
          <t>BALANCED</t>
        </is>
      </c>
      <c r="AC82" s="256" t="inlineStr">
        <is>
          <t>Triplex Alu Bag | Триплекс Aлу Kеса, PET 12 · ALU 7 · PE 80, 300 × 500 mm, net. 400.0 g ±3%</t>
        </is>
      </c>
      <c r="AD82" s="256" t="inlineStr">
        <is>
          <t>21.07.2026</t>
        </is>
      </c>
      <c r="AE82" s="256" t="inlineStr">
        <is>
          <t>Conforms | Одговара</t>
        </is>
      </c>
      <c r="AF82" s="256" t="inlineStr">
        <is>
          <t>ППК26127</t>
        </is>
      </c>
      <c r="AG82" s="256" t="inlineStr">
        <is>
          <t>21.07.2026</t>
        </is>
      </c>
      <c r="AH82" s="256" t="inlineStr">
        <is>
          <t>UKIM Faculty of Pharmacy — Center for Natural Products</t>
        </is>
      </c>
      <c r="AI82" s="256" t="inlineStr">
        <is>
          <t>Conforms | Одговара</t>
        </is>
      </c>
      <c r="AJ82" s="256" t="inlineStr">
        <is>
          <t>ППК26127</t>
        </is>
      </c>
      <c r="AK82" s="256" t="inlineStr">
        <is>
          <t>21.07.2026</t>
        </is>
      </c>
      <c r="AL82" s="256" t="inlineStr">
        <is>
          <t>UKIM Faculty of Pharmacy — Center for Natural Products</t>
        </is>
      </c>
      <c r="AM82" s="256" t="inlineStr">
        <is>
          <t>Conforms | Одговара</t>
        </is>
      </c>
      <c r="AN82" s="256" t="inlineStr">
        <is>
          <t>ППК26127</t>
        </is>
      </c>
      <c r="AO82" s="256" t="inlineStr">
        <is>
          <t>21.07.2026</t>
        </is>
      </c>
      <c r="AP82" s="256" t="inlineStr">
        <is>
          <t>UKIM Faculty of Pharmacy — Center for Natural Products</t>
        </is>
      </c>
      <c r="AQ82" s="256" t="inlineStr">
        <is>
          <t>12.39</t>
        </is>
      </c>
      <c r="AR82" s="256" t="inlineStr">
        <is>
          <t>ППК26127</t>
        </is>
      </c>
      <c r="AS82" s="256" t="inlineStr">
        <is>
          <t>21.07.2026</t>
        </is>
      </c>
      <c r="AT82" s="256" t="inlineStr">
        <is>
          <t>UKIM Faculty of Pharmacy — Center for Natural Products</t>
        </is>
      </c>
      <c r="AU82" s="256" t="inlineStr">
        <is>
          <t>0.06</t>
        </is>
      </c>
      <c r="AV82" s="256" t="inlineStr">
        <is>
          <t>ППК26127</t>
        </is>
      </c>
      <c r="AW82" s="256" t="inlineStr">
        <is>
          <t>21.07.2026</t>
        </is>
      </c>
      <c r="AX82" s="256" t="inlineStr">
        <is>
          <t>UKIM Faculty of Pharmacy — Center for Natural Products</t>
        </is>
      </c>
      <c r="AY82" s="256" t="inlineStr">
        <is>
          <t>0.04</t>
        </is>
      </c>
      <c r="AZ82" s="256" t="inlineStr">
        <is>
          <t>ППК26127</t>
        </is>
      </c>
      <c r="BA82" s="256" t="inlineStr">
        <is>
          <t>21.07.2026</t>
        </is>
      </c>
      <c r="BB82" s="256" t="inlineStr">
        <is>
          <t>UKIM Faculty of Pharmacy — Center for Natural Products</t>
        </is>
      </c>
      <c r="BC82" s="256" t="inlineStr">
        <is>
          <t>Conforms | Одговара</t>
        </is>
      </c>
      <c r="BD82" s="256" t="inlineStr">
        <is>
          <t>ППК26127</t>
        </is>
      </c>
      <c r="BE82" s="256" t="inlineStr">
        <is>
          <t>21.07.2026</t>
        </is>
      </c>
      <c r="BF82" s="256" t="inlineStr">
        <is>
          <t>UKIM Faculty of Pharmacy — Center for Natural Products</t>
        </is>
      </c>
      <c r="BG82" s="256" t="inlineStr">
        <is>
          <t>7.77</t>
        </is>
      </c>
      <c r="BH82" s="256" t="inlineStr">
        <is>
          <t>ППК26127</t>
        </is>
      </c>
      <c r="BI82" s="256" t="inlineStr">
        <is>
          <t>21.07.2026</t>
        </is>
      </c>
      <c r="BJ82" s="256" t="inlineStr">
        <is>
          <t>UKIM Faculty of Pharmacy — Center for Natural Products</t>
        </is>
      </c>
      <c r="BK82" s="259" t="inlineStr">
        <is>
          <t>not tested</t>
        </is>
      </c>
      <c r="BL82" s="256" t="inlineStr">
        <is>
          <t>—</t>
        </is>
      </c>
      <c r="BM82" s="256" t="inlineStr">
        <is>
          <t>—</t>
        </is>
      </c>
      <c r="BN82" s="256" t="inlineStr">
        <is>
          <t>—</t>
        </is>
      </c>
      <c r="BO82" s="259" t="inlineStr">
        <is>
          <t>not tested</t>
        </is>
      </c>
      <c r="BP82" s="256" t="inlineStr">
        <is>
          <t>—</t>
        </is>
      </c>
      <c r="BQ82" s="256" t="inlineStr">
        <is>
          <t>—</t>
        </is>
      </c>
      <c r="BR82" s="256" t="inlineStr">
        <is>
          <t>—</t>
        </is>
      </c>
      <c r="BS82" s="259" t="inlineStr">
        <is>
          <t>not tested</t>
        </is>
      </c>
      <c r="BT82" s="256" t="inlineStr">
        <is>
          <t>—</t>
        </is>
      </c>
      <c r="BU82" s="256" t="inlineStr">
        <is>
          <t>—</t>
        </is>
      </c>
      <c r="BV82" s="256" t="inlineStr">
        <is>
          <t>—</t>
        </is>
      </c>
      <c r="BW82" s="259" t="inlineStr">
        <is>
          <t>not tested</t>
        </is>
      </c>
      <c r="BX82" s="256" t="inlineStr">
        <is>
          <t>—</t>
        </is>
      </c>
      <c r="BY82" s="256" t="inlineStr">
        <is>
          <t>—</t>
        </is>
      </c>
      <c r="BZ82" s="256" t="inlineStr">
        <is>
          <t>—</t>
        </is>
      </c>
      <c r="CA82" s="259" t="inlineStr">
        <is>
          <t>not tested</t>
        </is>
      </c>
      <c r="CB82" s="256" t="inlineStr">
        <is>
          <t>—</t>
        </is>
      </c>
      <c r="CC82" s="256" t="inlineStr">
        <is>
          <t>—</t>
        </is>
      </c>
      <c r="CD82" s="256" t="inlineStr">
        <is>
          <t>—</t>
        </is>
      </c>
      <c r="CE82" s="260" t="inlineStr">
        <is>
          <t>upon request — not required for release</t>
        </is>
      </c>
      <c r="CF82" s="256" t="inlineStr">
        <is>
          <t>—</t>
        </is>
      </c>
      <c r="CG82" s="256" t="inlineStr">
        <is>
          <t>—</t>
        </is>
      </c>
      <c r="CH82" s="256" t="inlineStr">
        <is>
          <t>—</t>
        </is>
      </c>
      <c r="CI82" s="260" t="inlineStr">
        <is>
          <t>upon request — not required for release</t>
        </is>
      </c>
      <c r="CJ82" s="256" t="inlineStr">
        <is>
          <t>—</t>
        </is>
      </c>
      <c r="CK82" s="256" t="inlineStr">
        <is>
          <t>—</t>
        </is>
      </c>
      <c r="CL82" s="256" t="inlineStr">
        <is>
          <t>—</t>
        </is>
      </c>
      <c r="CM82" s="259" t="inlineStr">
        <is>
          <t>not tested</t>
        </is>
      </c>
      <c r="CN82" s="256" t="inlineStr">
        <is>
          <t>—</t>
        </is>
      </c>
      <c r="CO82" s="256" t="inlineStr">
        <is>
          <t>—</t>
        </is>
      </c>
      <c r="CP82" s="256" t="inlineStr">
        <is>
          <t>—</t>
        </is>
      </c>
      <c r="CQ82" s="259" t="inlineStr">
        <is>
          <t>not tested</t>
        </is>
      </c>
      <c r="CR82" s="256" t="inlineStr">
        <is>
          <t>—</t>
        </is>
      </c>
      <c r="CS82" s="256" t="inlineStr">
        <is>
          <t>—</t>
        </is>
      </c>
      <c r="CT82" s="256" t="inlineStr">
        <is>
          <t>—</t>
        </is>
      </c>
      <c r="CU82" s="259" t="inlineStr">
        <is>
          <t>not tested</t>
        </is>
      </c>
      <c r="CV82" s="256" t="inlineStr">
        <is>
          <t>—</t>
        </is>
      </c>
      <c r="CW82" s="256" t="inlineStr">
        <is>
          <t>—</t>
        </is>
      </c>
      <c r="CX82" s="256" t="inlineStr">
        <is>
          <t>—</t>
        </is>
      </c>
      <c r="CY82" s="259" t="inlineStr">
        <is>
          <t>not tested</t>
        </is>
      </c>
      <c r="CZ82" s="256" t="inlineStr">
        <is>
          <t>—</t>
        </is>
      </c>
      <c r="DA82" s="256" t="inlineStr">
        <is>
          <t>—</t>
        </is>
      </c>
      <c r="DB82" s="256" t="inlineStr">
        <is>
          <t>—</t>
        </is>
      </c>
      <c r="DC82" s="259" t="inlineStr">
        <is>
          <t>not tested</t>
        </is>
      </c>
      <c r="DD82" s="256" t="inlineStr">
        <is>
          <t>—</t>
        </is>
      </c>
      <c r="DE82" s="256" t="inlineStr">
        <is>
          <t>—</t>
        </is>
      </c>
      <c r="DF82" s="256" t="inlineStr">
        <is>
          <t>—</t>
        </is>
      </c>
      <c r="DG82" s="259" t="inlineStr">
        <is>
          <t>not tested</t>
        </is>
      </c>
      <c r="DH82" s="256" t="inlineStr">
        <is>
          <t>—</t>
        </is>
      </c>
      <c r="DI82" s="256" t="inlineStr">
        <is>
          <t>—</t>
        </is>
      </c>
      <c r="DJ82" s="256" t="inlineStr">
        <is>
          <t>—</t>
        </is>
      </c>
      <c r="DK82" s="259" t="inlineStr">
        <is>
          <t>not tested</t>
        </is>
      </c>
      <c r="DL82" s="256" t="inlineStr">
        <is>
          <t>—</t>
        </is>
      </c>
      <c r="DM82" s="256" t="inlineStr">
        <is>
          <t>—</t>
        </is>
      </c>
      <c r="DN82" s="256" t="inlineStr">
        <is>
          <t>—</t>
        </is>
      </c>
      <c r="DO82" s="259" t="inlineStr">
        <is>
          <t>not tested</t>
        </is>
      </c>
      <c r="DP82" s="256" t="inlineStr">
        <is>
          <t>—</t>
        </is>
      </c>
      <c r="DQ82" s="256" t="inlineStr">
        <is>
          <t>—</t>
        </is>
      </c>
      <c r="DR82" s="256" t="inlineStr">
        <is>
          <t>—</t>
        </is>
      </c>
    </row>
    <row r="83">
      <c r="A83" s="256" t="inlineStr">
        <is>
          <t>CoQ-PP_26-082</t>
        </is>
      </c>
      <c r="B83" s="256" t="inlineStr">
        <is>
          <t>release</t>
        </is>
      </c>
      <c r="C83" s="256" t="inlineStr">
        <is>
          <t>issuable</t>
        </is>
      </c>
      <c r="D83" s="256" t="inlineStr">
        <is>
          <t>28.07.2026</t>
        </is>
      </c>
      <c r="E83" s="256" t="inlineStr">
        <is>
          <t>n/a — release certificate</t>
        </is>
      </c>
      <c r="F83" s="256" t="inlineStr">
        <is>
          <t>(assigned on issue)</t>
        </is>
      </c>
      <c r="G83" s="256" t="inlineStr">
        <is>
          <t>GG032601</t>
        </is>
      </c>
      <c r="H83" s="256" t="inlineStr">
        <is>
          <t>— no P lot assigned —</t>
        </is>
      </c>
      <c r="I83" s="256" t="inlineStr">
        <is>
          <t>Gorilla Glue</t>
        </is>
      </c>
      <c r="J83" s="256" t="inlineStr">
        <is>
          <t>16.06.2026</t>
        </is>
      </c>
      <c r="K83" s="256" t="inlineStr">
        <is>
          <t>16.07.2026</t>
        </is>
      </c>
      <c r="L83" s="256" t="inlineStr">
        <is>
          <t>—</t>
        </is>
      </c>
      <c r="M83" s="256" t="inlineStr">
        <is>
          <t>—</t>
        </is>
      </c>
      <c r="N83" s="256" t="inlineStr">
        <is>
          <t>iCoA-PP_26-099</t>
        </is>
      </c>
      <c r="O83" s="256" t="inlineStr">
        <is>
          <t>16.07.2026</t>
        </is>
      </c>
      <c r="P83" s="256" t="inlineStr">
        <is>
          <t>16.07.2026</t>
        </is>
      </c>
      <c r="Q83" s="256" t="inlineStr">
        <is>
          <t>—</t>
        </is>
      </c>
      <c r="R83" s="256" t="inlineStr">
        <is>
          <t>18.98</t>
        </is>
      </c>
      <c r="S83" s="256" t="inlineStr">
        <is>
          <t>ППК26128</t>
        </is>
      </c>
      <c r="T83" s="256" t="inlineStr">
        <is>
          <t>I</t>
        </is>
      </c>
      <c r="U83" s="256" t="inlineStr">
        <is>
          <t>16.23 – 19.76 %</t>
        </is>
      </c>
      <c r="V83" s="256" t="inlineStr">
        <is>
          <t>GG_THC18 : CBD1</t>
        </is>
      </c>
      <c r="W83" s="256" t="inlineStr">
        <is>
          <t>QCSP_001_GG-I_v.01</t>
        </is>
      </c>
      <c r="X83" s="256" t="inlineStr">
        <is>
          <t>for review — replaces the issued QCSP_001_GG-I_v.01 (was GG_THC18 : CBD1, 17.01 – 18.99 %); now GG_THC18 : CBD1 16.23 – 19.76 %</t>
        </is>
      </c>
      <c r="Y83" s="256" t="inlineStr">
        <is>
          <t>INDICA</t>
        </is>
      </c>
      <c r="Z83" s="256" t="inlineStr">
        <is>
          <t>THC</t>
        </is>
      </c>
      <c r="AA83" s="256" t="inlineStr">
        <is>
          <t>MACHINE TRIMMED</t>
        </is>
      </c>
      <c r="AB83" s="256" t="inlineStr">
        <is>
          <t>—</t>
        </is>
      </c>
      <c r="AC83" s="256" t="inlineStr">
        <is>
          <t>Triplex Alu Bag | Триплекс Aлу Kеса, PET 12 · ALU 7 · PE 80, 300 × 500 mm, net. 400.0 g ±3%</t>
        </is>
      </c>
      <c r="AD83" s="256" t="inlineStr">
        <is>
          <t>21.07.2026</t>
        </is>
      </c>
      <c r="AE83" s="256" t="inlineStr">
        <is>
          <t>Conforms | Одговара</t>
        </is>
      </c>
      <c r="AF83" s="256" t="inlineStr">
        <is>
          <t>ППК26128</t>
        </is>
      </c>
      <c r="AG83" s="256" t="inlineStr">
        <is>
          <t>21.07.2026</t>
        </is>
      </c>
      <c r="AH83" s="256" t="inlineStr">
        <is>
          <t>UKIM Faculty of Pharmacy — Center for Natural Products</t>
        </is>
      </c>
      <c r="AI83" s="256" t="inlineStr">
        <is>
          <t>Conforms | Одговара</t>
        </is>
      </c>
      <c r="AJ83" s="256" t="inlineStr">
        <is>
          <t>ППК26128</t>
        </is>
      </c>
      <c r="AK83" s="256" t="inlineStr">
        <is>
          <t>21.07.2026</t>
        </is>
      </c>
      <c r="AL83" s="256" t="inlineStr">
        <is>
          <t>UKIM Faculty of Pharmacy — Center for Natural Products</t>
        </is>
      </c>
      <c r="AM83" s="256" t="inlineStr">
        <is>
          <t>Conforms | Одговара</t>
        </is>
      </c>
      <c r="AN83" s="256" t="inlineStr">
        <is>
          <t>ППК26128</t>
        </is>
      </c>
      <c r="AO83" s="256" t="inlineStr">
        <is>
          <t>21.07.2026</t>
        </is>
      </c>
      <c r="AP83" s="256" t="inlineStr">
        <is>
          <t>UKIM Faculty of Pharmacy — Center for Natural Products</t>
        </is>
      </c>
      <c r="AQ83" s="256" t="inlineStr">
        <is>
          <t>18.98</t>
        </is>
      </c>
      <c r="AR83" s="256" t="inlineStr">
        <is>
          <t>ППК26128</t>
        </is>
      </c>
      <c r="AS83" s="256" t="inlineStr">
        <is>
          <t>21.07.2026</t>
        </is>
      </c>
      <c r="AT83" s="256" t="inlineStr">
        <is>
          <t>UKIM Faculty of Pharmacy — Center for Natural Products</t>
        </is>
      </c>
      <c r="AU83" s="256" t="inlineStr">
        <is>
          <t>0.25</t>
        </is>
      </c>
      <c r="AV83" s="256" t="inlineStr">
        <is>
          <t>ППК26128</t>
        </is>
      </c>
      <c r="AW83" s="256" t="inlineStr">
        <is>
          <t>21.07.2026</t>
        </is>
      </c>
      <c r="AX83" s="256" t="inlineStr">
        <is>
          <t>UKIM Faculty of Pharmacy — Center for Natural Products</t>
        </is>
      </c>
      <c r="AY83" s="256" t="inlineStr">
        <is>
          <t>0.04</t>
        </is>
      </c>
      <c r="AZ83" s="256" t="inlineStr">
        <is>
          <t>ППК26128</t>
        </is>
      </c>
      <c r="BA83" s="256" t="inlineStr">
        <is>
          <t>21.07.2026</t>
        </is>
      </c>
      <c r="BB83" s="256" t="inlineStr">
        <is>
          <t>UKIM Faculty of Pharmacy — Center for Natural Products</t>
        </is>
      </c>
      <c r="BC83" s="256" t="inlineStr">
        <is>
          <t>Conforms | Одговара</t>
        </is>
      </c>
      <c r="BD83" s="256" t="inlineStr">
        <is>
          <t>ППК26128</t>
        </is>
      </c>
      <c r="BE83" s="256" t="inlineStr">
        <is>
          <t>21.07.2026</t>
        </is>
      </c>
      <c r="BF83" s="256" t="inlineStr">
        <is>
          <t>UKIM Faculty of Pharmacy — Center for Natural Products</t>
        </is>
      </c>
      <c r="BG83" s="256" t="inlineStr">
        <is>
          <t>7.88</t>
        </is>
      </c>
      <c r="BH83" s="256" t="inlineStr">
        <is>
          <t>ППК26128</t>
        </is>
      </c>
      <c r="BI83" s="256" t="inlineStr">
        <is>
          <t>21.07.2026</t>
        </is>
      </c>
      <c r="BJ83" s="256" t="inlineStr">
        <is>
          <t>UKIM Faculty of Pharmacy — Center for Natural Products</t>
        </is>
      </c>
      <c r="BK83" s="259" t="inlineStr">
        <is>
          <t>not tested</t>
        </is>
      </c>
      <c r="BL83" s="256" t="inlineStr">
        <is>
          <t>—</t>
        </is>
      </c>
      <c r="BM83" s="256" t="inlineStr">
        <is>
          <t>—</t>
        </is>
      </c>
      <c r="BN83" s="256" t="inlineStr">
        <is>
          <t>—</t>
        </is>
      </c>
      <c r="BO83" s="259" t="inlineStr">
        <is>
          <t>not tested</t>
        </is>
      </c>
      <c r="BP83" s="256" t="inlineStr">
        <is>
          <t>—</t>
        </is>
      </c>
      <c r="BQ83" s="256" t="inlineStr">
        <is>
          <t>—</t>
        </is>
      </c>
      <c r="BR83" s="256" t="inlineStr">
        <is>
          <t>—</t>
        </is>
      </c>
      <c r="BS83" s="259" t="inlineStr">
        <is>
          <t>not tested</t>
        </is>
      </c>
      <c r="BT83" s="256" t="inlineStr">
        <is>
          <t>—</t>
        </is>
      </c>
      <c r="BU83" s="256" t="inlineStr">
        <is>
          <t>—</t>
        </is>
      </c>
      <c r="BV83" s="256" t="inlineStr">
        <is>
          <t>—</t>
        </is>
      </c>
      <c r="BW83" s="259" t="inlineStr">
        <is>
          <t>not tested</t>
        </is>
      </c>
      <c r="BX83" s="256" t="inlineStr">
        <is>
          <t>—</t>
        </is>
      </c>
      <c r="BY83" s="256" t="inlineStr">
        <is>
          <t>—</t>
        </is>
      </c>
      <c r="BZ83" s="256" t="inlineStr">
        <is>
          <t>—</t>
        </is>
      </c>
      <c r="CA83" s="259" t="inlineStr">
        <is>
          <t>not tested</t>
        </is>
      </c>
      <c r="CB83" s="256" t="inlineStr">
        <is>
          <t>—</t>
        </is>
      </c>
      <c r="CC83" s="256" t="inlineStr">
        <is>
          <t>—</t>
        </is>
      </c>
      <c r="CD83" s="256" t="inlineStr">
        <is>
          <t>—</t>
        </is>
      </c>
      <c r="CE83" s="260" t="inlineStr">
        <is>
          <t>upon request — not required for release</t>
        </is>
      </c>
      <c r="CF83" s="256" t="inlineStr">
        <is>
          <t>—</t>
        </is>
      </c>
      <c r="CG83" s="256" t="inlineStr">
        <is>
          <t>—</t>
        </is>
      </c>
      <c r="CH83" s="256" t="inlineStr">
        <is>
          <t>—</t>
        </is>
      </c>
      <c r="CI83" s="260" t="inlineStr">
        <is>
          <t>upon request — not required for release</t>
        </is>
      </c>
      <c r="CJ83" s="256" t="inlineStr">
        <is>
          <t>—</t>
        </is>
      </c>
      <c r="CK83" s="256" t="inlineStr">
        <is>
          <t>—</t>
        </is>
      </c>
      <c r="CL83" s="256" t="inlineStr">
        <is>
          <t>—</t>
        </is>
      </c>
      <c r="CM83" s="259" t="inlineStr">
        <is>
          <t>not tested</t>
        </is>
      </c>
      <c r="CN83" s="256" t="inlineStr">
        <is>
          <t>—</t>
        </is>
      </c>
      <c r="CO83" s="256" t="inlineStr">
        <is>
          <t>—</t>
        </is>
      </c>
      <c r="CP83" s="256" t="inlineStr">
        <is>
          <t>—</t>
        </is>
      </c>
      <c r="CQ83" s="259" t="inlineStr">
        <is>
          <t>not tested</t>
        </is>
      </c>
      <c r="CR83" s="256" t="inlineStr">
        <is>
          <t>—</t>
        </is>
      </c>
      <c r="CS83" s="256" t="inlineStr">
        <is>
          <t>—</t>
        </is>
      </c>
      <c r="CT83" s="256" t="inlineStr">
        <is>
          <t>—</t>
        </is>
      </c>
      <c r="CU83" s="259" t="inlineStr">
        <is>
          <t>not tested</t>
        </is>
      </c>
      <c r="CV83" s="256" t="inlineStr">
        <is>
          <t>—</t>
        </is>
      </c>
      <c r="CW83" s="256" t="inlineStr">
        <is>
          <t>—</t>
        </is>
      </c>
      <c r="CX83" s="256" t="inlineStr">
        <is>
          <t>—</t>
        </is>
      </c>
      <c r="CY83" s="259" t="inlineStr">
        <is>
          <t>not tested</t>
        </is>
      </c>
      <c r="CZ83" s="256" t="inlineStr">
        <is>
          <t>—</t>
        </is>
      </c>
      <c r="DA83" s="256" t="inlineStr">
        <is>
          <t>—</t>
        </is>
      </c>
      <c r="DB83" s="256" t="inlineStr">
        <is>
          <t>—</t>
        </is>
      </c>
      <c r="DC83" s="259" t="inlineStr">
        <is>
          <t>not tested</t>
        </is>
      </c>
      <c r="DD83" s="256" t="inlineStr">
        <is>
          <t>—</t>
        </is>
      </c>
      <c r="DE83" s="256" t="inlineStr">
        <is>
          <t>—</t>
        </is>
      </c>
      <c r="DF83" s="256" t="inlineStr">
        <is>
          <t>—</t>
        </is>
      </c>
      <c r="DG83" s="259" t="inlineStr">
        <is>
          <t>not tested</t>
        </is>
      </c>
      <c r="DH83" s="256" t="inlineStr">
        <is>
          <t>—</t>
        </is>
      </c>
      <c r="DI83" s="256" t="inlineStr">
        <is>
          <t>—</t>
        </is>
      </c>
      <c r="DJ83" s="256" t="inlineStr">
        <is>
          <t>—</t>
        </is>
      </c>
      <c r="DK83" s="259" t="inlineStr">
        <is>
          <t>not tested</t>
        </is>
      </c>
      <c r="DL83" s="256" t="inlineStr">
        <is>
          <t>—</t>
        </is>
      </c>
      <c r="DM83" s="256" t="inlineStr">
        <is>
          <t>—</t>
        </is>
      </c>
      <c r="DN83" s="256" t="inlineStr">
        <is>
          <t>—</t>
        </is>
      </c>
      <c r="DO83" s="259" t="inlineStr">
        <is>
          <t>not tested</t>
        </is>
      </c>
      <c r="DP83" s="256" t="inlineStr">
        <is>
          <t>—</t>
        </is>
      </c>
      <c r="DQ83" s="256" t="inlineStr">
        <is>
          <t>—</t>
        </is>
      </c>
      <c r="DR83" s="256" t="inlineStr">
        <is>
          <t>—</t>
        </is>
      </c>
    </row>
    <row r="84">
      <c r="A84" s="256" t="inlineStr">
        <is>
          <t>CoQ-PP_26-083</t>
        </is>
      </c>
      <c r="B84" s="256" t="inlineStr">
        <is>
          <t>release</t>
        </is>
      </c>
      <c r="C84" s="256" t="inlineStr">
        <is>
          <t>issuable</t>
        </is>
      </c>
      <c r="D84" s="256" t="inlineStr">
        <is>
          <t>05.08.2026</t>
        </is>
      </c>
      <c r="E84" s="256" t="inlineStr">
        <is>
          <t>n/a — release certificate</t>
        </is>
      </c>
      <c r="F84" s="256" t="inlineStr">
        <is>
          <t>(assigned on issue)</t>
        </is>
      </c>
      <c r="G84" s="256" t="inlineStr">
        <is>
          <t>JD022601</t>
        </is>
      </c>
      <c r="H84" s="256" t="inlineStr">
        <is>
          <t>— no P lot assigned —</t>
        </is>
      </c>
      <c r="I84" s="256" t="inlineStr">
        <is>
          <t>Jelly Donuts</t>
        </is>
      </c>
      <c r="J84" s="256" t="inlineStr">
        <is>
          <t>18.05.2026</t>
        </is>
      </c>
      <c r="K84" s="256" t="inlineStr">
        <is>
          <t>05.08.2026</t>
        </is>
      </c>
      <c r="L84" s="256" t="inlineStr">
        <is>
          <t>—</t>
        </is>
      </c>
      <c r="M84" s="256" t="inlineStr">
        <is>
          <t>—</t>
        </is>
      </c>
      <c r="N84" s="256" t="inlineStr">
        <is>
          <t>iCoA-PP_26-121</t>
        </is>
      </c>
      <c r="O84" s="256" t="inlineStr">
        <is>
          <t>05.08.2026</t>
        </is>
      </c>
      <c r="P84" s="256" t="inlineStr">
        <is>
          <t>05.08.2026</t>
        </is>
      </c>
      <c r="Q84" s="256" t="inlineStr">
        <is>
          <t>—</t>
        </is>
      </c>
      <c r="R84" s="256" t="inlineStr">
        <is>
          <t>18.58</t>
        </is>
      </c>
      <c r="S84" s="256" t="inlineStr">
        <is>
          <t>ППК26115</t>
        </is>
      </c>
      <c r="T84" s="256" t="inlineStr">
        <is>
          <t>II</t>
        </is>
      </c>
      <c r="U84" s="256" t="inlineStr">
        <is>
          <t>16.20 – 19.79 %</t>
        </is>
      </c>
      <c r="V84" s="256" t="inlineStr">
        <is>
          <t>JD_THC18 : CBD1</t>
        </is>
      </c>
      <c r="W84" s="256" t="inlineStr">
        <is>
          <t>QCSP_001_JD-II_v.01</t>
        </is>
      </c>
      <c r="X84" s="256" t="inlineStr">
        <is>
          <t>for review — replaces the issued QCSP_001_JD-II_v.01 (was JD_THC16 : CBD1, 14.91 – 17.09 %); now JD_THC18 : CBD1 16.20 – 19.79 %</t>
        </is>
      </c>
      <c r="Y84" s="256" t="inlineStr">
        <is>
          <t>HYBRID</t>
        </is>
      </c>
      <c r="Z84" s="256" t="inlineStr">
        <is>
          <t>THC</t>
        </is>
      </c>
      <c r="AA84" s="256" t="inlineStr">
        <is>
          <t>MACHINE TRIMMED</t>
        </is>
      </c>
      <c r="AB84" s="256" t="inlineStr">
        <is>
          <t>SATIVA 60 : INDICA 40</t>
        </is>
      </c>
      <c r="AC84" s="256" t="inlineStr">
        <is>
          <t>Triplex Alu Bag | Триплекс Aлу Kеса, PET 12 · ALU 7 · PE 80, 300 × 500 mm, net. 400.0 g ±3%</t>
        </is>
      </c>
      <c r="AD84" s="256" t="inlineStr">
        <is>
          <t>30.06.2026</t>
        </is>
      </c>
      <c r="AE84" s="256" t="inlineStr">
        <is>
          <t>Conforms | Одговара</t>
        </is>
      </c>
      <c r="AF84" s="256" t="inlineStr">
        <is>
          <t>ППК26115</t>
        </is>
      </c>
      <c r="AG84" s="256" t="inlineStr">
        <is>
          <t>30.06.2026</t>
        </is>
      </c>
      <c r="AH84" s="256" t="inlineStr">
        <is>
          <t>UKIM Faculty of Pharmacy — Center for Natural Products</t>
        </is>
      </c>
      <c r="AI84" s="256" t="inlineStr">
        <is>
          <t>Conforms | Одговара</t>
        </is>
      </c>
      <c r="AJ84" s="256" t="inlineStr">
        <is>
          <t>ППК26115</t>
        </is>
      </c>
      <c r="AK84" s="256" t="inlineStr">
        <is>
          <t>30.06.2026</t>
        </is>
      </c>
      <c r="AL84" s="256" t="inlineStr">
        <is>
          <t>UKIM Faculty of Pharmacy — Center for Natural Products</t>
        </is>
      </c>
      <c r="AM84" s="256" t="inlineStr">
        <is>
          <t>Conforms | Одговара</t>
        </is>
      </c>
      <c r="AN84" s="256" t="inlineStr">
        <is>
          <t>ППК26115</t>
        </is>
      </c>
      <c r="AO84" s="256" t="inlineStr">
        <is>
          <t>30.06.2026</t>
        </is>
      </c>
      <c r="AP84" s="256" t="inlineStr">
        <is>
          <t>UKIM Faculty of Pharmacy — Center for Natural Products</t>
        </is>
      </c>
      <c r="AQ84" s="256" t="inlineStr">
        <is>
          <t>18.58</t>
        </is>
      </c>
      <c r="AR84" s="256" t="inlineStr">
        <is>
          <t>ППК26115</t>
        </is>
      </c>
      <c r="AS84" s="256" t="inlineStr">
        <is>
          <t>30.06.2026</t>
        </is>
      </c>
      <c r="AT84" s="256" t="inlineStr">
        <is>
          <t>UKIM Faculty of Pharmacy — Center for Natural Products</t>
        </is>
      </c>
      <c r="AU84" s="256" t="inlineStr">
        <is>
          <t>&lt; LOQ (below limit of quantification)</t>
        </is>
      </c>
      <c r="AV84" s="256" t="inlineStr">
        <is>
          <t>ППК26115</t>
        </is>
      </c>
      <c r="AW84" s="256" t="inlineStr">
        <is>
          <t>30.06.2026</t>
        </is>
      </c>
      <c r="AX84" s="256" t="inlineStr">
        <is>
          <t>UKIM Faculty of Pharmacy — Center for Natural Products</t>
        </is>
      </c>
      <c r="AY84" s="256" t="inlineStr">
        <is>
          <t>0.05</t>
        </is>
      </c>
      <c r="AZ84" s="256" t="inlineStr">
        <is>
          <t>ППК26115</t>
        </is>
      </c>
      <c r="BA84" s="256" t="inlineStr">
        <is>
          <t>30.06.2026</t>
        </is>
      </c>
      <c r="BB84" s="256" t="inlineStr">
        <is>
          <t>UKIM Faculty of Pharmacy — Center for Natural Products</t>
        </is>
      </c>
      <c r="BC84" s="256" t="inlineStr">
        <is>
          <t>Conforms | Одговара</t>
        </is>
      </c>
      <c r="BD84" s="256" t="inlineStr">
        <is>
          <t>ППК26115</t>
        </is>
      </c>
      <c r="BE84" s="256" t="inlineStr">
        <is>
          <t>30.06.2026</t>
        </is>
      </c>
      <c r="BF84" s="256" t="inlineStr">
        <is>
          <t>UKIM Faculty of Pharmacy — Center for Natural Products</t>
        </is>
      </c>
      <c r="BG84" s="256" t="inlineStr">
        <is>
          <t>7.73</t>
        </is>
      </c>
      <c r="BH84" s="256" t="inlineStr">
        <is>
          <t>ППК26115</t>
        </is>
      </c>
      <c r="BI84" s="256" t="inlineStr">
        <is>
          <t>30.06.2026</t>
        </is>
      </c>
      <c r="BJ84" s="256" t="inlineStr">
        <is>
          <t>UKIM Faculty of Pharmacy — Center for Natural Products</t>
        </is>
      </c>
      <c r="BK84" s="259" t="inlineStr">
        <is>
          <t>not tested</t>
        </is>
      </c>
      <c r="BL84" s="256" t="inlineStr">
        <is>
          <t>—</t>
        </is>
      </c>
      <c r="BM84" s="256" t="inlineStr">
        <is>
          <t>—</t>
        </is>
      </c>
      <c r="BN84" s="256" t="inlineStr">
        <is>
          <t>—</t>
        </is>
      </c>
      <c r="BO84" s="259" t="inlineStr">
        <is>
          <t>not tested</t>
        </is>
      </c>
      <c r="BP84" s="256" t="inlineStr">
        <is>
          <t>—</t>
        </is>
      </c>
      <c r="BQ84" s="256" t="inlineStr">
        <is>
          <t>—</t>
        </is>
      </c>
      <c r="BR84" s="256" t="inlineStr">
        <is>
          <t>—</t>
        </is>
      </c>
      <c r="BS84" s="259" t="inlineStr">
        <is>
          <t>not tested</t>
        </is>
      </c>
      <c r="BT84" s="256" t="inlineStr">
        <is>
          <t>—</t>
        </is>
      </c>
      <c r="BU84" s="256" t="inlineStr">
        <is>
          <t>—</t>
        </is>
      </c>
      <c r="BV84" s="256" t="inlineStr">
        <is>
          <t>—</t>
        </is>
      </c>
      <c r="BW84" s="259" t="inlineStr">
        <is>
          <t>not tested</t>
        </is>
      </c>
      <c r="BX84" s="256" t="inlineStr">
        <is>
          <t>—</t>
        </is>
      </c>
      <c r="BY84" s="256" t="inlineStr">
        <is>
          <t>—</t>
        </is>
      </c>
      <c r="BZ84" s="256" t="inlineStr">
        <is>
          <t>—</t>
        </is>
      </c>
      <c r="CA84" s="259" t="inlineStr">
        <is>
          <t>not tested</t>
        </is>
      </c>
      <c r="CB84" s="256" t="inlineStr">
        <is>
          <t>—</t>
        </is>
      </c>
      <c r="CC84" s="256" t="inlineStr">
        <is>
          <t>—</t>
        </is>
      </c>
      <c r="CD84" s="256" t="inlineStr">
        <is>
          <t>—</t>
        </is>
      </c>
      <c r="CE84" s="260" t="inlineStr">
        <is>
          <t>upon request — not required for release</t>
        </is>
      </c>
      <c r="CF84" s="256" t="inlineStr">
        <is>
          <t>—</t>
        </is>
      </c>
      <c r="CG84" s="256" t="inlineStr">
        <is>
          <t>—</t>
        </is>
      </c>
      <c r="CH84" s="256" t="inlineStr">
        <is>
          <t>—</t>
        </is>
      </c>
      <c r="CI84" s="260" t="inlineStr">
        <is>
          <t>upon request — not required for release</t>
        </is>
      </c>
      <c r="CJ84" s="256" t="inlineStr">
        <is>
          <t>—</t>
        </is>
      </c>
      <c r="CK84" s="256" t="inlineStr">
        <is>
          <t>—</t>
        </is>
      </c>
      <c r="CL84" s="256" t="inlineStr">
        <is>
          <t>—</t>
        </is>
      </c>
      <c r="CM84" s="259" t="inlineStr">
        <is>
          <t>not tested</t>
        </is>
      </c>
      <c r="CN84" s="256" t="inlineStr">
        <is>
          <t>—</t>
        </is>
      </c>
      <c r="CO84" s="256" t="inlineStr">
        <is>
          <t>—</t>
        </is>
      </c>
      <c r="CP84" s="256" t="inlineStr">
        <is>
          <t>—</t>
        </is>
      </c>
      <c r="CQ84" s="259" t="inlineStr">
        <is>
          <t>not tested</t>
        </is>
      </c>
      <c r="CR84" s="256" t="inlineStr">
        <is>
          <t>—</t>
        </is>
      </c>
      <c r="CS84" s="256" t="inlineStr">
        <is>
          <t>—</t>
        </is>
      </c>
      <c r="CT84" s="256" t="inlineStr">
        <is>
          <t>—</t>
        </is>
      </c>
      <c r="CU84" s="259" t="inlineStr">
        <is>
          <t>not tested</t>
        </is>
      </c>
      <c r="CV84" s="256" t="inlineStr">
        <is>
          <t>—</t>
        </is>
      </c>
      <c r="CW84" s="256" t="inlineStr">
        <is>
          <t>—</t>
        </is>
      </c>
      <c r="CX84" s="256" t="inlineStr">
        <is>
          <t>—</t>
        </is>
      </c>
      <c r="CY84" s="259" t="inlineStr">
        <is>
          <t>not tested</t>
        </is>
      </c>
      <c r="CZ84" s="256" t="inlineStr">
        <is>
          <t>—</t>
        </is>
      </c>
      <c r="DA84" s="256" t="inlineStr">
        <is>
          <t>—</t>
        </is>
      </c>
      <c r="DB84" s="256" t="inlineStr">
        <is>
          <t>—</t>
        </is>
      </c>
      <c r="DC84" s="259" t="inlineStr">
        <is>
          <t>not tested</t>
        </is>
      </c>
      <c r="DD84" s="256" t="inlineStr">
        <is>
          <t>—</t>
        </is>
      </c>
      <c r="DE84" s="256" t="inlineStr">
        <is>
          <t>—</t>
        </is>
      </c>
      <c r="DF84" s="256" t="inlineStr">
        <is>
          <t>—</t>
        </is>
      </c>
      <c r="DG84" s="259" t="inlineStr">
        <is>
          <t>not tested</t>
        </is>
      </c>
      <c r="DH84" s="256" t="inlineStr">
        <is>
          <t>—</t>
        </is>
      </c>
      <c r="DI84" s="256" t="inlineStr">
        <is>
          <t>—</t>
        </is>
      </c>
      <c r="DJ84" s="256" t="inlineStr">
        <is>
          <t>—</t>
        </is>
      </c>
      <c r="DK84" s="259" t="inlineStr">
        <is>
          <t>not tested</t>
        </is>
      </c>
      <c r="DL84" s="256" t="inlineStr">
        <is>
          <t>—</t>
        </is>
      </c>
      <c r="DM84" s="256" t="inlineStr">
        <is>
          <t>—</t>
        </is>
      </c>
      <c r="DN84" s="256" t="inlineStr">
        <is>
          <t>—</t>
        </is>
      </c>
      <c r="DO84" s="259" t="inlineStr">
        <is>
          <t>not tested</t>
        </is>
      </c>
      <c r="DP84" s="256" t="inlineStr">
        <is>
          <t>—</t>
        </is>
      </c>
      <c r="DQ84" s="256" t="inlineStr">
        <is>
          <t>—</t>
        </is>
      </c>
      <c r="DR84" s="256" t="inlineStr">
        <is>
          <t>—</t>
        </is>
      </c>
    </row>
    <row r="85">
      <c r="A85" s="256" t="inlineStr">
        <is>
          <t>CoQ-PP_26-084</t>
        </is>
      </c>
      <c r="B85" s="256" t="inlineStr">
        <is>
          <t>release</t>
        </is>
      </c>
      <c r="C85" s="256" t="inlineStr">
        <is>
          <t>issuable</t>
        </is>
      </c>
      <c r="D85" s="256" t="inlineStr">
        <is>
          <t>13.08.2026</t>
        </is>
      </c>
      <c r="E85" s="256" t="inlineStr">
        <is>
          <t>n/a — release certificate</t>
        </is>
      </c>
      <c r="F85" s="256" t="inlineStr">
        <is>
          <t>(assigned on issue)</t>
        </is>
      </c>
      <c r="G85" s="256" t="inlineStr">
        <is>
          <t>JD042601</t>
        </is>
      </c>
      <c r="H85" s="256" t="inlineStr">
        <is>
          <t>P060492</t>
        </is>
      </c>
      <c r="I85" s="256" t="inlineStr">
        <is>
          <t>Jelly Donuts</t>
        </is>
      </c>
      <c r="J85" s="256" t="inlineStr">
        <is>
          <t>21.07.2026</t>
        </is>
      </c>
      <c r="K85" s="256" t="inlineStr">
        <is>
          <t>13.08.2026</t>
        </is>
      </c>
      <c r="L85" s="256" t="inlineStr">
        <is>
          <t>—</t>
        </is>
      </c>
      <c r="M85" s="256" t="inlineStr">
        <is>
          <t>13.08.2026</t>
        </is>
      </c>
      <c r="N85" s="256" t="inlineStr">
        <is>
          <t>iCoA-PP_26-122</t>
        </is>
      </c>
      <c r="O85" s="256" t="inlineStr">
        <is>
          <t>13.08.2026</t>
        </is>
      </c>
      <c r="P85" s="256" t="inlineStr">
        <is>
          <t>13.08.2026</t>
        </is>
      </c>
      <c r="Q85" s="256" t="inlineStr">
        <is>
          <t>—</t>
        </is>
      </c>
      <c r="R85" s="256" t="inlineStr">
        <is>
          <t>—</t>
        </is>
      </c>
      <c r="S85" s="256" t="inlineStr">
        <is>
          <t>—</t>
        </is>
      </c>
      <c r="T85" s="256" t="inlineStr">
        <is>
          <t>—</t>
        </is>
      </c>
      <c r="U85" s="256" t="inlineStr">
        <is>
          <t>Per grade of the potency specification of 15.09.2026 — no Total THC result on file</t>
        </is>
      </c>
      <c r="V85" s="256" t="inlineStr">
        <is>
          <t>—</t>
        </is>
      </c>
      <c r="W85" s="256" t="inlineStr">
        <is>
          <t>—</t>
        </is>
      </c>
      <c r="X85" s="256" t="inlineStr">
        <is>
          <t>—</t>
        </is>
      </c>
      <c r="Y85" s="256" t="inlineStr">
        <is>
          <t>—</t>
        </is>
      </c>
      <c r="Z85" s="256" t="inlineStr">
        <is>
          <t>—</t>
        </is>
      </c>
      <c r="AA85" s="256" t="inlineStr">
        <is>
          <t>—</t>
        </is>
      </c>
      <c r="AB85" s="256" t="inlineStr">
        <is>
          <t>—</t>
        </is>
      </c>
      <c r="AC85" s="256" t="inlineStr">
        <is>
          <t>—</t>
        </is>
      </c>
      <c r="AD85" s="256" t="inlineStr">
        <is>
          <t>—</t>
        </is>
      </c>
      <c r="AE85" s="256" t="inlineStr">
        <is>
          <t>Conforms | Одговара</t>
        </is>
      </c>
      <c r="AF85" s="256" t="inlineStr">
        <is>
          <t>iCoA-PP_26-122</t>
        </is>
      </c>
      <c r="AG85" s="256" t="inlineStr">
        <is>
          <t>13.08.2026</t>
        </is>
      </c>
      <c r="AH85" s="256" t="inlineStr">
        <is>
          <t>Purely Plant GmbH (in-house)</t>
        </is>
      </c>
      <c r="AI85" s="256" t="inlineStr">
        <is>
          <t>Conforms | Одговара</t>
        </is>
      </c>
      <c r="AJ85" s="256" t="inlineStr">
        <is>
          <t>iCoA-PP_26-122</t>
        </is>
      </c>
      <c r="AK85" s="256" t="inlineStr">
        <is>
          <t>13.08.2026</t>
        </is>
      </c>
      <c r="AL85" s="256" t="inlineStr">
        <is>
          <t>Purely Plant GmbH (in-house)</t>
        </is>
      </c>
      <c r="AM85" s="259" t="inlineStr">
        <is>
          <t>to be performed (in house)</t>
        </is>
      </c>
      <c r="AN85" s="256" t="inlineStr">
        <is>
          <t>—</t>
        </is>
      </c>
      <c r="AO85" s="256" t="inlineStr">
        <is>
          <t>—</t>
        </is>
      </c>
      <c r="AP85" s="256" t="inlineStr">
        <is>
          <t>—</t>
        </is>
      </c>
      <c r="AQ85" s="259" t="inlineStr">
        <is>
          <t>not tested</t>
        </is>
      </c>
      <c r="AR85" s="256" t="inlineStr">
        <is>
          <t>—</t>
        </is>
      </c>
      <c r="AS85" s="256" t="inlineStr">
        <is>
          <t>—</t>
        </is>
      </c>
      <c r="AT85" s="256" t="inlineStr">
        <is>
          <t>—</t>
        </is>
      </c>
      <c r="AU85" s="259" t="inlineStr">
        <is>
          <t>not tested</t>
        </is>
      </c>
      <c r="AV85" s="256" t="inlineStr">
        <is>
          <t>—</t>
        </is>
      </c>
      <c r="AW85" s="256" t="inlineStr">
        <is>
          <t>—</t>
        </is>
      </c>
      <c r="AX85" s="256" t="inlineStr">
        <is>
          <t>—</t>
        </is>
      </c>
      <c r="AY85" s="259" t="inlineStr">
        <is>
          <t>not tested</t>
        </is>
      </c>
      <c r="AZ85" s="256" t="inlineStr">
        <is>
          <t>—</t>
        </is>
      </c>
      <c r="BA85" s="256" t="inlineStr">
        <is>
          <t>—</t>
        </is>
      </c>
      <c r="BB85" s="256" t="inlineStr">
        <is>
          <t>—</t>
        </is>
      </c>
      <c r="BC85" s="256" t="inlineStr">
        <is>
          <t>Conforms | Одговара</t>
        </is>
      </c>
      <c r="BD85" s="256" t="inlineStr">
        <is>
          <t>iCoA-PP_26-122</t>
        </is>
      </c>
      <c r="BE85" s="256" t="inlineStr">
        <is>
          <t>13.08.2026</t>
        </is>
      </c>
      <c r="BF85" s="256" t="inlineStr">
        <is>
          <t>Purely Plant GmbH (in-house)</t>
        </is>
      </c>
      <c r="BG85" s="259" t="inlineStr">
        <is>
          <t>not tested</t>
        </is>
      </c>
      <c r="BH85" s="256" t="inlineStr">
        <is>
          <t>—</t>
        </is>
      </c>
      <c r="BI85" s="256" t="inlineStr">
        <is>
          <t>—</t>
        </is>
      </c>
      <c r="BJ85" s="256" t="inlineStr">
        <is>
          <t>—</t>
        </is>
      </c>
      <c r="BK85" s="259" t="inlineStr">
        <is>
          <t>not tested</t>
        </is>
      </c>
      <c r="BL85" s="256" t="inlineStr">
        <is>
          <t>—</t>
        </is>
      </c>
      <c r="BM85" s="256" t="inlineStr">
        <is>
          <t>—</t>
        </is>
      </c>
      <c r="BN85" s="256" t="inlineStr">
        <is>
          <t>—</t>
        </is>
      </c>
      <c r="BO85" s="259" t="inlineStr">
        <is>
          <t>not tested</t>
        </is>
      </c>
      <c r="BP85" s="256" t="inlineStr">
        <is>
          <t>—</t>
        </is>
      </c>
      <c r="BQ85" s="256" t="inlineStr">
        <is>
          <t>—</t>
        </is>
      </c>
      <c r="BR85" s="256" t="inlineStr">
        <is>
          <t>—</t>
        </is>
      </c>
      <c r="BS85" s="259" t="inlineStr">
        <is>
          <t>not tested</t>
        </is>
      </c>
      <c r="BT85" s="256" t="inlineStr">
        <is>
          <t>—</t>
        </is>
      </c>
      <c r="BU85" s="256" t="inlineStr">
        <is>
          <t>—</t>
        </is>
      </c>
      <c r="BV85" s="256" t="inlineStr">
        <is>
          <t>—</t>
        </is>
      </c>
      <c r="BW85" s="259" t="inlineStr">
        <is>
          <t>not tested</t>
        </is>
      </c>
      <c r="BX85" s="256" t="inlineStr">
        <is>
          <t>—</t>
        </is>
      </c>
      <c r="BY85" s="256" t="inlineStr">
        <is>
          <t>—</t>
        </is>
      </c>
      <c r="BZ85" s="256" t="inlineStr">
        <is>
          <t>—</t>
        </is>
      </c>
      <c r="CA85" s="259" t="inlineStr">
        <is>
          <t>not tested</t>
        </is>
      </c>
      <c r="CB85" s="256" t="inlineStr">
        <is>
          <t>—</t>
        </is>
      </c>
      <c r="CC85" s="256" t="inlineStr">
        <is>
          <t>—</t>
        </is>
      </c>
      <c r="CD85" s="256" t="inlineStr">
        <is>
          <t>—</t>
        </is>
      </c>
      <c r="CE85" s="260" t="inlineStr">
        <is>
          <t>upon request — not required for release</t>
        </is>
      </c>
      <c r="CF85" s="256" t="inlineStr">
        <is>
          <t>—</t>
        </is>
      </c>
      <c r="CG85" s="256" t="inlineStr">
        <is>
          <t>—</t>
        </is>
      </c>
      <c r="CH85" s="256" t="inlineStr">
        <is>
          <t>—</t>
        </is>
      </c>
      <c r="CI85" s="260" t="inlineStr">
        <is>
          <t>upon request — not required for release</t>
        </is>
      </c>
      <c r="CJ85" s="256" t="inlineStr">
        <is>
          <t>—</t>
        </is>
      </c>
      <c r="CK85" s="256" t="inlineStr">
        <is>
          <t>—</t>
        </is>
      </c>
      <c r="CL85" s="256" t="inlineStr">
        <is>
          <t>—</t>
        </is>
      </c>
      <c r="CM85" s="259" t="inlineStr">
        <is>
          <t>not tested</t>
        </is>
      </c>
      <c r="CN85" s="256" t="inlineStr">
        <is>
          <t>—</t>
        </is>
      </c>
      <c r="CO85" s="256" t="inlineStr">
        <is>
          <t>—</t>
        </is>
      </c>
      <c r="CP85" s="256" t="inlineStr">
        <is>
          <t>—</t>
        </is>
      </c>
      <c r="CQ85" s="259" t="inlineStr">
        <is>
          <t>not tested</t>
        </is>
      </c>
      <c r="CR85" s="256" t="inlineStr">
        <is>
          <t>—</t>
        </is>
      </c>
      <c r="CS85" s="256" t="inlineStr">
        <is>
          <t>—</t>
        </is>
      </c>
      <c r="CT85" s="256" t="inlineStr">
        <is>
          <t>—</t>
        </is>
      </c>
      <c r="CU85" s="259" t="inlineStr">
        <is>
          <t>not tested</t>
        </is>
      </c>
      <c r="CV85" s="256" t="inlineStr">
        <is>
          <t>—</t>
        </is>
      </c>
      <c r="CW85" s="256" t="inlineStr">
        <is>
          <t>—</t>
        </is>
      </c>
      <c r="CX85" s="256" t="inlineStr">
        <is>
          <t>—</t>
        </is>
      </c>
      <c r="CY85" s="259" t="inlineStr">
        <is>
          <t>not tested</t>
        </is>
      </c>
      <c r="CZ85" s="256" t="inlineStr">
        <is>
          <t>—</t>
        </is>
      </c>
      <c r="DA85" s="256" t="inlineStr">
        <is>
          <t>—</t>
        </is>
      </c>
      <c r="DB85" s="256" t="inlineStr">
        <is>
          <t>—</t>
        </is>
      </c>
      <c r="DC85" s="259" t="inlineStr">
        <is>
          <t>not tested</t>
        </is>
      </c>
      <c r="DD85" s="256" t="inlineStr">
        <is>
          <t>—</t>
        </is>
      </c>
      <c r="DE85" s="256" t="inlineStr">
        <is>
          <t>—</t>
        </is>
      </c>
      <c r="DF85" s="256" t="inlineStr">
        <is>
          <t>—</t>
        </is>
      </c>
      <c r="DG85" s="259" t="inlineStr">
        <is>
          <t>not tested</t>
        </is>
      </c>
      <c r="DH85" s="256" t="inlineStr">
        <is>
          <t>—</t>
        </is>
      </c>
      <c r="DI85" s="256" t="inlineStr">
        <is>
          <t>—</t>
        </is>
      </c>
      <c r="DJ85" s="256" t="inlineStr">
        <is>
          <t>—</t>
        </is>
      </c>
      <c r="DK85" s="259" t="inlineStr">
        <is>
          <t>not tested</t>
        </is>
      </c>
      <c r="DL85" s="256" t="inlineStr">
        <is>
          <t>—</t>
        </is>
      </c>
      <c r="DM85" s="256" t="inlineStr">
        <is>
          <t>—</t>
        </is>
      </c>
      <c r="DN85" s="256" t="inlineStr">
        <is>
          <t>—</t>
        </is>
      </c>
      <c r="DO85" s="259" t="inlineStr">
        <is>
          <t>not tested</t>
        </is>
      </c>
      <c r="DP85" s="256" t="inlineStr">
        <is>
          <t>—</t>
        </is>
      </c>
      <c r="DQ85" s="256" t="inlineStr">
        <is>
          <t>—</t>
        </is>
      </c>
      <c r="DR85" s="256" t="inlineStr">
        <is>
          <t>—</t>
        </is>
      </c>
    </row>
    <row r="86">
      <c r="A86" s="256" t="inlineStr">
        <is>
          <t>CoQ-PP_26-085</t>
        </is>
      </c>
      <c r="B86" s="256" t="inlineStr">
        <is>
          <t>reissue — retest</t>
        </is>
      </c>
      <c r="C86" s="256" t="inlineStr">
        <is>
          <t>issuable</t>
        </is>
      </c>
      <c r="D86" s="256" t="inlineStr">
        <is>
          <t>17.08.2026</t>
        </is>
      </c>
      <c r="E86" s="256" t="inlineStr">
        <is>
          <t>CoQ-PP_26-003 of 06.06.2026</t>
        </is>
      </c>
      <c r="F86" s="256" t="inlineStr">
        <is>
          <t>CoQ-PP-2026-0028</t>
        </is>
      </c>
      <c r="G86" s="256" t="inlineStr">
        <is>
          <t>BG1024</t>
        </is>
      </c>
      <c r="H86" s="256" t="inlineStr">
        <is>
          <t>BG1024</t>
        </is>
      </c>
      <c r="I86" s="256" t="inlineStr">
        <is>
          <t>Blue Gelato</t>
        </is>
      </c>
      <c r="J86" s="256" t="inlineStr">
        <is>
          <t>21.01.2025</t>
        </is>
      </c>
      <c r="K86" s="256" t="inlineStr">
        <is>
          <t>07.03.2025</t>
        </is>
      </c>
      <c r="L86" s="256" t="inlineStr">
        <is>
          <t>21.01.2025</t>
        </is>
      </c>
      <c r="M86" s="256" t="inlineStr">
        <is>
          <t>07.03.2025</t>
        </is>
      </c>
      <c r="N86" s="256" t="inlineStr">
        <is>
          <t>iCoA-PP_26-100</t>
        </is>
      </c>
      <c r="O86" s="256" t="inlineStr">
        <is>
          <t>27.07.2026</t>
        </is>
      </c>
      <c r="P86" s="256" t="inlineStr">
        <is>
          <t>21.07.2026</t>
        </is>
      </c>
      <c r="Q86" s="256" t="inlineStr">
        <is>
          <t>Tranche 1</t>
        </is>
      </c>
      <c r="R86" s="256" t="inlineStr">
        <is>
          <t>26.14</t>
        </is>
      </c>
      <c r="S86" s="256" t="inlineStr">
        <is>
          <t>197-1-К/26</t>
        </is>
      </c>
      <c r="T86" s="256" t="inlineStr">
        <is>
          <t>I</t>
        </is>
      </c>
      <c r="U86" s="256" t="inlineStr">
        <is>
          <t>24.20 – 27.79 %</t>
        </is>
      </c>
      <c r="V86" s="256" t="inlineStr">
        <is>
          <t>BG_THC26 : CBD1</t>
        </is>
      </c>
      <c r="W86" s="256" t="inlineStr">
        <is>
          <t>QCSP_001_BG-I_v.01</t>
        </is>
      </c>
      <c r="X86" s="256" t="inlineStr">
        <is>
          <t>for review — replaces the issued QCSP_001_BG-I_v.01 (was BG_THC26 : CBD1, 23.40 – 28.60 %); now BG_THC26 : CBD1 24.20 – 27.79 %</t>
        </is>
      </c>
      <c r="Y86" s="256" t="inlineStr">
        <is>
          <t>INDICA</t>
        </is>
      </c>
      <c r="Z86" s="256" t="inlineStr">
        <is>
          <t>THC</t>
        </is>
      </c>
      <c r="AA86" s="256" t="inlineStr">
        <is>
          <t>MACHINE TRIMMED</t>
        </is>
      </c>
      <c r="AB86" s="256" t="inlineStr">
        <is>
          <t>—</t>
        </is>
      </c>
      <c r="AC86" s="256" t="inlineStr">
        <is>
          <t>Triplex Alu Bag | Триплекс Aлу Kеса, PET 12 · ALU 7 · PE 80, 300 × 500 mm, net. 400.0 g ±3%</t>
        </is>
      </c>
      <c r="AD86" s="256" t="inlineStr">
        <is>
          <t>10.08.2026</t>
        </is>
      </c>
      <c r="AE86" s="256" t="inlineStr">
        <is>
          <t>Conforms | Одговара</t>
        </is>
      </c>
      <c r="AF86" s="256" t="inlineStr">
        <is>
          <t>iCoA-PP_26-100</t>
        </is>
      </c>
      <c r="AG86" s="256" t="inlineStr">
        <is>
          <t>27.07.2026</t>
        </is>
      </c>
      <c r="AH86" s="256" t="inlineStr">
        <is>
          <t>Purely Plant GmbH (in-house)</t>
        </is>
      </c>
      <c r="AI86" s="256" t="inlineStr">
        <is>
          <t>Conforms | Одговара</t>
        </is>
      </c>
      <c r="AJ86" s="256" t="inlineStr">
        <is>
          <t>iCoA-PP_26-100</t>
        </is>
      </c>
      <c r="AK86" s="256" t="inlineStr">
        <is>
          <t>27.07.2026</t>
        </is>
      </c>
      <c r="AL86" s="256" t="inlineStr">
        <is>
          <t>Purely Plant GmbH (in-house)</t>
        </is>
      </c>
      <c r="AM86" s="256" t="inlineStr">
        <is>
          <t>Conforms | Одговара</t>
        </is>
      </c>
      <c r="AN86" s="256" t="inlineStr">
        <is>
          <t>197-1-К/26</t>
        </is>
      </c>
      <c r="AO86" s="256" t="inlineStr">
        <is>
          <t>07.08.2026</t>
        </is>
      </c>
      <c r="AP86" s="256" t="inlineStr">
        <is>
          <t>Farmahem</t>
        </is>
      </c>
      <c r="AQ86" s="256" t="inlineStr">
        <is>
          <t>26.14</t>
        </is>
      </c>
      <c r="AR86" s="256" t="inlineStr">
        <is>
          <t>197-1-К/26</t>
        </is>
      </c>
      <c r="AS86" s="256" t="inlineStr">
        <is>
          <t>07.08.2026</t>
        </is>
      </c>
      <c r="AT86" s="256" t="inlineStr">
        <is>
          <t>Farmahem</t>
        </is>
      </c>
      <c r="AU86" s="256" t="inlineStr">
        <is>
          <t>&lt; LOQ</t>
        </is>
      </c>
      <c r="AV86" s="256" t="inlineStr">
        <is>
          <t>197-1-К/26</t>
        </is>
      </c>
      <c r="AW86" s="256" t="inlineStr">
        <is>
          <t>07.08.2026</t>
        </is>
      </c>
      <c r="AX86" s="256" t="inlineStr">
        <is>
          <t>Farmahem</t>
        </is>
      </c>
      <c r="AY86" s="256" t="inlineStr">
        <is>
          <t>0.28</t>
        </is>
      </c>
      <c r="AZ86" s="256" t="inlineStr">
        <is>
          <t>197-1-К/26</t>
        </is>
      </c>
      <c r="BA86" s="256" t="inlineStr">
        <is>
          <t>07.08.2026</t>
        </is>
      </c>
      <c r="BB86" s="256" t="inlineStr">
        <is>
          <t>Farmahem</t>
        </is>
      </c>
      <c r="BC86" s="256" t="inlineStr">
        <is>
          <t>Conforms | Одговара</t>
        </is>
      </c>
      <c r="BD86" s="256" t="inlineStr">
        <is>
          <t>iCoA-PP_26-100</t>
        </is>
      </c>
      <c r="BE86" s="256" t="inlineStr">
        <is>
          <t>27.07.2026</t>
        </is>
      </c>
      <c r="BF86" s="256" t="inlineStr">
        <is>
          <t>Purely Plant GmbH (in-house)</t>
        </is>
      </c>
      <c r="BG86" s="256" t="inlineStr">
        <is>
          <t>5.73</t>
        </is>
      </c>
      <c r="BH86" s="256" t="inlineStr">
        <is>
          <t>ППК25050</t>
        </is>
      </c>
      <c r="BI86" s="256" t="inlineStr">
        <is>
          <t>26.02.2025</t>
        </is>
      </c>
      <c r="BJ86" s="256" t="inlineStr">
        <is>
          <t>UKIM Faculty of Pharmacy — Center for Natural Products</t>
        </is>
      </c>
      <c r="BK86" s="256" t="inlineStr">
        <is>
          <t>1.6 × 10⁴</t>
        </is>
      </c>
      <c r="BL86" s="256" t="inlineStr">
        <is>
          <t>163/0271/25</t>
        </is>
      </c>
      <c r="BM86" s="256" t="inlineStr">
        <is>
          <t>24.02.2025</t>
        </is>
      </c>
      <c r="BN86" s="256" t="inlineStr">
        <is>
          <t>IPH — Institute of Public Health</t>
        </is>
      </c>
      <c r="BO86" s="256" t="inlineStr">
        <is>
          <t>1 × 10⁴</t>
        </is>
      </c>
      <c r="BP86" s="256" t="inlineStr">
        <is>
          <t>163/0271/25</t>
        </is>
      </c>
      <c r="BQ86" s="256" t="inlineStr">
        <is>
          <t>24.02.2025</t>
        </is>
      </c>
      <c r="BR86" s="256" t="inlineStr">
        <is>
          <t>IPH — Institute of Public Health</t>
        </is>
      </c>
      <c r="BS86" s="256" t="inlineStr">
        <is>
          <t>&lt; 10² and &gt; 10</t>
        </is>
      </c>
      <c r="BT86" s="256" t="inlineStr">
        <is>
          <t>163/0271/25</t>
        </is>
      </c>
      <c r="BU86" s="256" t="inlineStr">
        <is>
          <t>24.02.2025</t>
        </is>
      </c>
      <c r="BV86" s="256" t="inlineStr">
        <is>
          <t>IPH — Institute of Public Health</t>
        </is>
      </c>
      <c r="BW86" s="256" t="inlineStr">
        <is>
          <t>Absent | Отсутна</t>
        </is>
      </c>
      <c r="BX86" s="256" t="inlineStr">
        <is>
          <t>163/0271/25</t>
        </is>
      </c>
      <c r="BY86" s="256" t="inlineStr">
        <is>
          <t>24.02.2025</t>
        </is>
      </c>
      <c r="BZ86" s="256" t="inlineStr">
        <is>
          <t>IPH — Institute of Public Health</t>
        </is>
      </c>
      <c r="CA86" s="256" t="inlineStr">
        <is>
          <t>Absent | Отсутна</t>
        </is>
      </c>
      <c r="CB86" s="256" t="inlineStr">
        <is>
          <t>163/0271/25</t>
        </is>
      </c>
      <c r="CC86" s="256" t="inlineStr">
        <is>
          <t>24.02.2025</t>
        </is>
      </c>
      <c r="CD86" s="256" t="inlineStr">
        <is>
          <t>IPH — Institute of Public Health</t>
        </is>
      </c>
      <c r="CE86" s="260" t="inlineStr">
        <is>
          <t>upon request — not required for release</t>
        </is>
      </c>
      <c r="CF86" s="256" t="inlineStr">
        <is>
          <t>—</t>
        </is>
      </c>
      <c r="CG86" s="256" t="inlineStr">
        <is>
          <t>—</t>
        </is>
      </c>
      <c r="CH86" s="256" t="inlineStr">
        <is>
          <t>—</t>
        </is>
      </c>
      <c r="CI86" s="260" t="inlineStr">
        <is>
          <t>upon request — not required for release</t>
        </is>
      </c>
      <c r="CJ86" s="256" t="inlineStr">
        <is>
          <t>—</t>
        </is>
      </c>
      <c r="CK86" s="256" t="inlineStr">
        <is>
          <t>—</t>
        </is>
      </c>
      <c r="CL86" s="256" t="inlineStr">
        <is>
          <t>—</t>
        </is>
      </c>
      <c r="CM86" s="256" t="inlineStr">
        <is>
          <t>ND</t>
        </is>
      </c>
      <c r="CN86" s="256" t="inlineStr">
        <is>
          <t>197-1-М/26</t>
        </is>
      </c>
      <c r="CO86" s="256" t="inlineStr">
        <is>
          <t>10.08.2026</t>
        </is>
      </c>
      <c r="CP86" s="256" t="inlineStr">
        <is>
          <t>Farmahem</t>
        </is>
      </c>
      <c r="CQ86" s="256" t="inlineStr">
        <is>
          <t>ND</t>
        </is>
      </c>
      <c r="CR86" s="256" t="inlineStr">
        <is>
          <t>197-1-М/26</t>
        </is>
      </c>
      <c r="CS86" s="256" t="inlineStr">
        <is>
          <t>10.08.2026</t>
        </is>
      </c>
      <c r="CT86" s="256" t="inlineStr">
        <is>
          <t>Farmahem</t>
        </is>
      </c>
      <c r="CU86" s="256" t="inlineStr">
        <is>
          <t>ND</t>
        </is>
      </c>
      <c r="CV86" s="256" t="inlineStr">
        <is>
          <t>197-1-М/26</t>
        </is>
      </c>
      <c r="CW86" s="256" t="inlineStr">
        <is>
          <t>10.08.2026</t>
        </is>
      </c>
      <c r="CX86" s="256" t="inlineStr">
        <is>
          <t>Farmahem</t>
        </is>
      </c>
      <c r="CY86" s="256" t="inlineStr">
        <is>
          <t>0.01</t>
        </is>
      </c>
      <c r="CZ86" s="256" t="inlineStr">
        <is>
          <t>752/2025</t>
        </is>
      </c>
      <c r="DA86" s="256" t="inlineStr">
        <is>
          <t>27.02.2025</t>
        </is>
      </c>
      <c r="DB86" s="256" t="inlineStr">
        <is>
          <t>IPH — Institute of Public Health</t>
        </is>
      </c>
      <c r="DC86" s="256" t="inlineStr">
        <is>
          <t>0.016</t>
        </is>
      </c>
      <c r="DD86" s="256" t="inlineStr">
        <is>
          <t>752/2025</t>
        </is>
      </c>
      <c r="DE86" s="256" t="inlineStr">
        <is>
          <t>27.02.2025</t>
        </is>
      </c>
      <c r="DF86" s="256" t="inlineStr">
        <is>
          <t>IPH — Institute of Public Health</t>
        </is>
      </c>
      <c r="DG86" s="256" t="inlineStr">
        <is>
          <t>0.014</t>
        </is>
      </c>
      <c r="DH86" s="256" t="inlineStr">
        <is>
          <t>752/2025</t>
        </is>
      </c>
      <c r="DI86" s="256" t="inlineStr">
        <is>
          <t>27.02.2025</t>
        </is>
      </c>
      <c r="DJ86" s="256" t="inlineStr">
        <is>
          <t>IPH — Institute of Public Health</t>
        </is>
      </c>
      <c r="DK86" s="256" t="inlineStr">
        <is>
          <t>0.005</t>
        </is>
      </c>
      <c r="DL86" s="256" t="inlineStr">
        <is>
          <t>752/2025</t>
        </is>
      </c>
      <c r="DM86" s="256" t="inlineStr">
        <is>
          <t>27.02.2025</t>
        </is>
      </c>
      <c r="DN86" s="256" t="inlineStr">
        <is>
          <t>IPH — Institute of Public Health</t>
        </is>
      </c>
      <c r="DO86" s="256" t="inlineStr">
        <is>
          <t>ND</t>
        </is>
      </c>
      <c r="DP86" s="256" t="inlineStr">
        <is>
          <t>752/2025</t>
        </is>
      </c>
      <c r="DQ86" s="256" t="inlineStr">
        <is>
          <t>27.02.2025</t>
        </is>
      </c>
      <c r="DR86" s="256" t="inlineStr">
        <is>
          <t>IPH — Institute of Public Health</t>
        </is>
      </c>
    </row>
    <row r="87">
      <c r="A87" s="256" t="inlineStr">
        <is>
          <t>CoQ-PP_26-086</t>
        </is>
      </c>
      <c r="B87" s="256" t="inlineStr">
        <is>
          <t>reissue — retest</t>
        </is>
      </c>
      <c r="C87" s="256" t="inlineStr">
        <is>
          <t>issuable</t>
        </is>
      </c>
      <c r="D87" s="256" t="inlineStr">
        <is>
          <t>17.08.2026</t>
        </is>
      </c>
      <c r="E87" s="256" t="inlineStr">
        <is>
          <t>CoQ-PP_26-002 of 06.06.2026</t>
        </is>
      </c>
      <c r="F87" s="256" t="inlineStr">
        <is>
          <t>CoQ-PP-2026-0027</t>
        </is>
      </c>
      <c r="G87" s="256" t="inlineStr">
        <is>
          <t>BSS1024</t>
        </is>
      </c>
      <c r="H87" s="256" t="inlineStr">
        <is>
          <t>BSS1024</t>
        </is>
      </c>
      <c r="I87" s="256" t="inlineStr">
        <is>
          <t>Blue Sunset Sherbet</t>
        </is>
      </c>
      <c r="J87" s="256" t="inlineStr">
        <is>
          <t>22.01.2025</t>
        </is>
      </c>
      <c r="K87" s="256" t="inlineStr">
        <is>
          <t>04.03.2025</t>
        </is>
      </c>
      <c r="L87" s="256" t="inlineStr">
        <is>
          <t>22.01.2025</t>
        </is>
      </c>
      <c r="M87" s="256" t="inlineStr">
        <is>
          <t>04.03.2025</t>
        </is>
      </c>
      <c r="N87" s="256" t="inlineStr">
        <is>
          <t>iCoA-PP_26-101</t>
        </is>
      </c>
      <c r="O87" s="256" t="inlineStr">
        <is>
          <t>27.07.2026</t>
        </is>
      </c>
      <c r="P87" s="256" t="inlineStr">
        <is>
          <t>21.07.2026</t>
        </is>
      </c>
      <c r="Q87" s="256" t="inlineStr">
        <is>
          <t>Tranche 1</t>
        </is>
      </c>
      <c r="R87" s="256" t="inlineStr">
        <is>
          <t>25.01</t>
        </is>
      </c>
      <c r="S87" s="256" t="inlineStr">
        <is>
          <t>197-2-К/26</t>
        </is>
      </c>
      <c r="T87" s="256" t="inlineStr">
        <is>
          <t>II</t>
        </is>
      </c>
      <c r="U87" s="256" t="inlineStr">
        <is>
          <t>21.89 – 26.10 %</t>
        </is>
      </c>
      <c r="V87" s="256" t="inlineStr">
        <is>
          <t>BSS_THC24 : CBD1</t>
        </is>
      </c>
      <c r="W87" s="256" t="inlineStr">
        <is>
          <t>QCSP_001_BSS-II_v.01</t>
        </is>
      </c>
      <c r="X87" s="256" t="inlineStr">
        <is>
          <t>for review — replaces the issued QCSP_001_BSS-II_v.01 (was BSS_THC20 : CBD1, 18.00 – 22.00 %); now BSS_THC24 : CBD1 21.89 – 26.10 %</t>
        </is>
      </c>
      <c r="Y87" s="256" t="inlineStr">
        <is>
          <t>INDICA</t>
        </is>
      </c>
      <c r="Z87" s="256" t="inlineStr">
        <is>
          <t>THC</t>
        </is>
      </c>
      <c r="AA87" s="256" t="inlineStr">
        <is>
          <t>MACHINE TRIMMED</t>
        </is>
      </c>
      <c r="AB87" s="256" t="inlineStr">
        <is>
          <t>—</t>
        </is>
      </c>
      <c r="AC87" s="256" t="inlineStr">
        <is>
          <t>Triplex Alu Bag | Триплекс Aлу Kеса, PET 12 · ALU 7 · PE 80, 300 × 500 mm, net. 400.0 g ±3%</t>
        </is>
      </c>
      <c r="AD87" s="256" t="inlineStr">
        <is>
          <t>10.08.2026</t>
        </is>
      </c>
      <c r="AE87" s="256" t="inlineStr">
        <is>
          <t>Conforms | Одговара</t>
        </is>
      </c>
      <c r="AF87" s="256" t="inlineStr">
        <is>
          <t>iCoA-PP_26-101</t>
        </is>
      </c>
      <c r="AG87" s="256" t="inlineStr">
        <is>
          <t>27.07.2026</t>
        </is>
      </c>
      <c r="AH87" s="256" t="inlineStr">
        <is>
          <t>Purely Plant GmbH (in-house)</t>
        </is>
      </c>
      <c r="AI87" s="256" t="inlineStr">
        <is>
          <t>Conforms | Одговара</t>
        </is>
      </c>
      <c r="AJ87" s="256" t="inlineStr">
        <is>
          <t>iCoA-PP_26-101</t>
        </is>
      </c>
      <c r="AK87" s="256" t="inlineStr">
        <is>
          <t>27.07.2026</t>
        </is>
      </c>
      <c r="AL87" s="256" t="inlineStr">
        <is>
          <t>Purely Plant GmbH (in-house)</t>
        </is>
      </c>
      <c r="AM87" s="256" t="inlineStr">
        <is>
          <t>Conforms | Одговара</t>
        </is>
      </c>
      <c r="AN87" s="256" t="inlineStr">
        <is>
          <t>197-2-К/26</t>
        </is>
      </c>
      <c r="AO87" s="256" t="inlineStr">
        <is>
          <t>07.08.2026</t>
        </is>
      </c>
      <c r="AP87" s="256" t="inlineStr">
        <is>
          <t>Farmahem</t>
        </is>
      </c>
      <c r="AQ87" s="256" t="inlineStr">
        <is>
          <t>25.01</t>
        </is>
      </c>
      <c r="AR87" s="256" t="inlineStr">
        <is>
          <t>197-2-К/26</t>
        </is>
      </c>
      <c r="AS87" s="256" t="inlineStr">
        <is>
          <t>07.08.2026</t>
        </is>
      </c>
      <c r="AT87" s="256" t="inlineStr">
        <is>
          <t>Farmahem</t>
        </is>
      </c>
      <c r="AU87" s="256" t="inlineStr">
        <is>
          <t>&lt; LOQ</t>
        </is>
      </c>
      <c r="AV87" s="256" t="inlineStr">
        <is>
          <t>197-2-К/26</t>
        </is>
      </c>
      <c r="AW87" s="256" t="inlineStr">
        <is>
          <t>07.08.2026</t>
        </is>
      </c>
      <c r="AX87" s="256" t="inlineStr">
        <is>
          <t>Farmahem</t>
        </is>
      </c>
      <c r="AY87" s="256" t="inlineStr">
        <is>
          <t>&lt; LOQ</t>
        </is>
      </c>
      <c r="AZ87" s="256" t="inlineStr">
        <is>
          <t>197-2-К/26</t>
        </is>
      </c>
      <c r="BA87" s="256" t="inlineStr">
        <is>
          <t>07.08.2026</t>
        </is>
      </c>
      <c r="BB87" s="256" t="inlineStr">
        <is>
          <t>Farmahem</t>
        </is>
      </c>
      <c r="BC87" s="256" t="inlineStr">
        <is>
          <t>Conforms | Одговара</t>
        </is>
      </c>
      <c r="BD87" s="256" t="inlineStr">
        <is>
          <t>iCoA-PP_26-101</t>
        </is>
      </c>
      <c r="BE87" s="256" t="inlineStr">
        <is>
          <t>27.07.2026</t>
        </is>
      </c>
      <c r="BF87" s="256" t="inlineStr">
        <is>
          <t>Purely Plant GmbH (in-house)</t>
        </is>
      </c>
      <c r="BG87" s="256" t="inlineStr">
        <is>
          <t>5.99</t>
        </is>
      </c>
      <c r="BH87" s="256" t="inlineStr">
        <is>
          <t>ППК25051</t>
        </is>
      </c>
      <c r="BI87" s="256" t="inlineStr">
        <is>
          <t>26.02.2025</t>
        </is>
      </c>
      <c r="BJ87" s="256" t="inlineStr">
        <is>
          <t>UKIM Faculty of Pharmacy — Center for Natural Products</t>
        </is>
      </c>
      <c r="BK87" s="256" t="inlineStr">
        <is>
          <t>1.5 × 10⁴</t>
        </is>
      </c>
      <c r="BL87" s="256" t="inlineStr">
        <is>
          <t>161/0269/25</t>
        </is>
      </c>
      <c r="BM87" s="256" t="inlineStr">
        <is>
          <t>24.02.2025</t>
        </is>
      </c>
      <c r="BN87" s="256" t="inlineStr">
        <is>
          <t>IPH — Institute of Public Health</t>
        </is>
      </c>
      <c r="BO87" s="256" t="inlineStr">
        <is>
          <t>2.2 × 10³</t>
        </is>
      </c>
      <c r="BP87" s="256" t="inlineStr">
        <is>
          <t>161/0269/25</t>
        </is>
      </c>
      <c r="BQ87" s="256" t="inlineStr">
        <is>
          <t>24.02.2025</t>
        </is>
      </c>
      <c r="BR87" s="256" t="inlineStr">
        <is>
          <t>IPH — Institute of Public Health</t>
        </is>
      </c>
      <c r="BS87" s="256" t="inlineStr">
        <is>
          <t>&lt; 10² and &gt; 10</t>
        </is>
      </c>
      <c r="BT87" s="256" t="inlineStr">
        <is>
          <t>161/0269/25</t>
        </is>
      </c>
      <c r="BU87" s="256" t="inlineStr">
        <is>
          <t>24.02.2025</t>
        </is>
      </c>
      <c r="BV87" s="256" t="inlineStr">
        <is>
          <t>IPH — Institute of Public Health</t>
        </is>
      </c>
      <c r="BW87" s="256" t="inlineStr">
        <is>
          <t>Absent | Отсутна</t>
        </is>
      </c>
      <c r="BX87" s="256" t="inlineStr">
        <is>
          <t>161/0269/25</t>
        </is>
      </c>
      <c r="BY87" s="256" t="inlineStr">
        <is>
          <t>24.02.2025</t>
        </is>
      </c>
      <c r="BZ87" s="256" t="inlineStr">
        <is>
          <t>IPH — Institute of Public Health</t>
        </is>
      </c>
      <c r="CA87" s="256" t="inlineStr">
        <is>
          <t>Absent | Отсутна</t>
        </is>
      </c>
      <c r="CB87" s="256" t="inlineStr">
        <is>
          <t>161/0269/25</t>
        </is>
      </c>
      <c r="CC87" s="256" t="inlineStr">
        <is>
          <t>24.02.2025</t>
        </is>
      </c>
      <c r="CD87" s="256" t="inlineStr">
        <is>
          <t>IPH — Institute of Public Health</t>
        </is>
      </c>
      <c r="CE87" s="260" t="inlineStr">
        <is>
          <t>upon request — not required for release</t>
        </is>
      </c>
      <c r="CF87" s="256" t="inlineStr">
        <is>
          <t>—</t>
        </is>
      </c>
      <c r="CG87" s="256" t="inlineStr">
        <is>
          <t>—</t>
        </is>
      </c>
      <c r="CH87" s="256" t="inlineStr">
        <is>
          <t>—</t>
        </is>
      </c>
      <c r="CI87" s="260" t="inlineStr">
        <is>
          <t>upon request — not required for release</t>
        </is>
      </c>
      <c r="CJ87" s="256" t="inlineStr">
        <is>
          <t>—</t>
        </is>
      </c>
      <c r="CK87" s="256" t="inlineStr">
        <is>
          <t>—</t>
        </is>
      </c>
      <c r="CL87" s="256" t="inlineStr">
        <is>
          <t>—</t>
        </is>
      </c>
      <c r="CM87" s="256" t="inlineStr">
        <is>
          <t>ND</t>
        </is>
      </c>
      <c r="CN87" s="256" t="inlineStr">
        <is>
          <t>197-2-М/26</t>
        </is>
      </c>
      <c r="CO87" s="256" t="inlineStr">
        <is>
          <t>10.08.2026</t>
        </is>
      </c>
      <c r="CP87" s="256" t="inlineStr">
        <is>
          <t>Farmahem</t>
        </is>
      </c>
      <c r="CQ87" s="256" t="inlineStr">
        <is>
          <t>ND</t>
        </is>
      </c>
      <c r="CR87" s="256" t="inlineStr">
        <is>
          <t>197-2-М/26</t>
        </is>
      </c>
      <c r="CS87" s="256" t="inlineStr">
        <is>
          <t>10.08.2026</t>
        </is>
      </c>
      <c r="CT87" s="256" t="inlineStr">
        <is>
          <t>Farmahem</t>
        </is>
      </c>
      <c r="CU87" s="256" t="inlineStr">
        <is>
          <t>ND</t>
        </is>
      </c>
      <c r="CV87" s="256" t="inlineStr">
        <is>
          <t>197-2-М/26</t>
        </is>
      </c>
      <c r="CW87" s="256" t="inlineStr">
        <is>
          <t>10.08.2026</t>
        </is>
      </c>
      <c r="CX87" s="256" t="inlineStr">
        <is>
          <t>Farmahem</t>
        </is>
      </c>
      <c r="CY87" s="256" t="inlineStr">
        <is>
          <t>0.071</t>
        </is>
      </c>
      <c r="CZ87" s="256" t="inlineStr">
        <is>
          <t>751/2025</t>
        </is>
      </c>
      <c r="DA87" s="256" t="inlineStr">
        <is>
          <t>27.02.2025</t>
        </is>
      </c>
      <c r="DB87" s="256" t="inlineStr">
        <is>
          <t>IPH — Institute of Public Health</t>
        </is>
      </c>
      <c r="DC87" s="256" t="inlineStr">
        <is>
          <t>0.014</t>
        </is>
      </c>
      <c r="DD87" s="256" t="inlineStr">
        <is>
          <t>751/2025</t>
        </is>
      </c>
      <c r="DE87" s="256" t="inlineStr">
        <is>
          <t>27.02.2025</t>
        </is>
      </c>
      <c r="DF87" s="256" t="inlineStr">
        <is>
          <t>IPH — Institute of Public Health</t>
        </is>
      </c>
      <c r="DG87" s="256" t="inlineStr">
        <is>
          <t>0.081</t>
        </is>
      </c>
      <c r="DH87" s="256" t="inlineStr">
        <is>
          <t>751/2025</t>
        </is>
      </c>
      <c r="DI87" s="256" t="inlineStr">
        <is>
          <t>27.02.2025</t>
        </is>
      </c>
      <c r="DJ87" s="256" t="inlineStr">
        <is>
          <t>IPH — Institute of Public Health</t>
        </is>
      </c>
      <c r="DK87" s="256" t="inlineStr">
        <is>
          <t>0.014</t>
        </is>
      </c>
      <c r="DL87" s="256" t="inlineStr">
        <is>
          <t>751/2025</t>
        </is>
      </c>
      <c r="DM87" s="256" t="inlineStr">
        <is>
          <t>27.02.2025</t>
        </is>
      </c>
      <c r="DN87" s="256" t="inlineStr">
        <is>
          <t>IPH — Institute of Public Health</t>
        </is>
      </c>
      <c r="DO87" s="256" t="inlineStr">
        <is>
          <t>ND</t>
        </is>
      </c>
      <c r="DP87" s="256" t="inlineStr">
        <is>
          <t>751/2025</t>
        </is>
      </c>
      <c r="DQ87" s="256" t="inlineStr">
        <is>
          <t>27.02.2025</t>
        </is>
      </c>
      <c r="DR87" s="256" t="inlineStr">
        <is>
          <t>IPH — Institute of Public Health</t>
        </is>
      </c>
    </row>
    <row r="88">
      <c r="A88" s="256" t="inlineStr">
        <is>
          <t>CoQ-PP_26-087</t>
        </is>
      </c>
      <c r="B88" s="256" t="inlineStr">
        <is>
          <t>reissue — retest</t>
        </is>
      </c>
      <c r="C88" s="256" t="inlineStr">
        <is>
          <t>issuable</t>
        </is>
      </c>
      <c r="D88" s="256" t="inlineStr">
        <is>
          <t>17.08.2026</t>
        </is>
      </c>
      <c r="E88" s="256" t="inlineStr">
        <is>
          <t>CoQ-PP_26-068 of 06.06.2026</t>
        </is>
      </c>
      <c r="F88" s="256" t="inlineStr">
        <is>
          <t>(assigned on issue)</t>
        </is>
      </c>
      <c r="G88" s="256" t="inlineStr">
        <is>
          <t>P060332</t>
        </is>
      </c>
      <c r="H88" s="256" t="inlineStr">
        <is>
          <t>— no P lot assigned —</t>
        </is>
      </c>
      <c r="I88" s="256" t="inlineStr">
        <is>
          <t>Cash Cow</t>
        </is>
      </c>
      <c r="J88" s="256" t="inlineStr">
        <is>
          <t>16.04.2026</t>
        </is>
      </c>
      <c r="K88" s="256" t="inlineStr">
        <is>
          <t>22.05.2026</t>
        </is>
      </c>
      <c r="L88" s="256" t="inlineStr">
        <is>
          <t>—</t>
        </is>
      </c>
      <c r="M88" s="256" t="inlineStr">
        <is>
          <t>—</t>
        </is>
      </c>
      <c r="N88" s="256" t="inlineStr">
        <is>
          <t>iCoA-PP_26-105</t>
        </is>
      </c>
      <c r="O88" s="256" t="inlineStr">
        <is>
          <t>27.07.2026</t>
        </is>
      </c>
      <c r="P88" s="256" t="inlineStr">
        <is>
          <t>21.07.2026</t>
        </is>
      </c>
      <c r="Q88" s="256" t="inlineStr">
        <is>
          <t>Tranche 1</t>
        </is>
      </c>
      <c r="R88" s="256" t="inlineStr">
        <is>
          <t>17.67</t>
        </is>
      </c>
      <c r="S88" s="256" t="inlineStr">
        <is>
          <t>197-6-К/26</t>
        </is>
      </c>
      <c r="T88" s="256" t="inlineStr">
        <is>
          <t>I</t>
        </is>
      </c>
      <c r="U88" s="256" t="inlineStr">
        <is>
          <t>15.35 – 18.64 %</t>
        </is>
      </c>
      <c r="V88" s="256" t="inlineStr">
        <is>
          <t>CC_THC17 : CBD1</t>
        </is>
      </c>
      <c r="W88" s="256" t="inlineStr">
        <is>
          <t>QCSP_001_CC-I_v.01</t>
        </is>
      </c>
      <c r="X88" s="256" t="inlineStr">
        <is>
          <t>for review — replaces the issued QCSP_001_CC-I_v.01 (was CC_THC28:CBD1, 28.00% ± 2.25%); now CC_THC17 : CBD1 15.35 – 18.64 %</t>
        </is>
      </c>
      <c r="Y88" s="256" t="inlineStr">
        <is>
          <t>HYBRID</t>
        </is>
      </c>
      <c r="Z88" s="256" t="inlineStr">
        <is>
          <t>THC</t>
        </is>
      </c>
      <c r="AA88" s="256" t="inlineStr">
        <is>
          <t>MACHINE TRIMMED</t>
        </is>
      </c>
      <c r="AB88" s="256" t="inlineStr">
        <is>
          <t>INDICA 70 : SATIVA 30</t>
        </is>
      </c>
      <c r="AC88" s="256" t="inlineStr">
        <is>
          <t>Triplex Alu Bag | Триплекс Aлу Kеса, PET 12 · ALU 7 · PE 80, 300 × 500 mm, net. 400.0 g ±3%</t>
        </is>
      </c>
      <c r="AD88" s="256" t="inlineStr">
        <is>
          <t>10.08.2026</t>
        </is>
      </c>
      <c r="AE88" s="256" t="inlineStr">
        <is>
          <t>Conforms | Одговара</t>
        </is>
      </c>
      <c r="AF88" s="256" t="inlineStr">
        <is>
          <t>iCoA-PP_26-105</t>
        </is>
      </c>
      <c r="AG88" s="256" t="inlineStr">
        <is>
          <t>27.07.2026</t>
        </is>
      </c>
      <c r="AH88" s="256" t="inlineStr">
        <is>
          <t>Purely Plant GmbH (in-house)</t>
        </is>
      </c>
      <c r="AI88" s="256" t="inlineStr">
        <is>
          <t>Conforms | Одговара</t>
        </is>
      </c>
      <c r="AJ88" s="256" t="inlineStr">
        <is>
          <t>iCoA-PP_26-105</t>
        </is>
      </c>
      <c r="AK88" s="256" t="inlineStr">
        <is>
          <t>27.07.2026</t>
        </is>
      </c>
      <c r="AL88" s="256" t="inlineStr">
        <is>
          <t>Purely Plant GmbH (in-house)</t>
        </is>
      </c>
      <c r="AM88" s="256" t="inlineStr">
        <is>
          <t>Conforms | Одговара</t>
        </is>
      </c>
      <c r="AN88" s="256" t="inlineStr">
        <is>
          <t>197-6-К/26</t>
        </is>
      </c>
      <c r="AO88" s="256" t="inlineStr">
        <is>
          <t>07.08.2026</t>
        </is>
      </c>
      <c r="AP88" s="256" t="inlineStr">
        <is>
          <t>Farmahem</t>
        </is>
      </c>
      <c r="AQ88" s="256" t="inlineStr">
        <is>
          <t>17.67</t>
        </is>
      </c>
      <c r="AR88" s="256" t="inlineStr">
        <is>
          <t>197-6-К/26</t>
        </is>
      </c>
      <c r="AS88" s="256" t="inlineStr">
        <is>
          <t>07.08.2026</t>
        </is>
      </c>
      <c r="AT88" s="256" t="inlineStr">
        <is>
          <t>Farmahem</t>
        </is>
      </c>
      <c r="AU88" s="256" t="inlineStr">
        <is>
          <t>&lt; LOQ</t>
        </is>
      </c>
      <c r="AV88" s="256" t="inlineStr">
        <is>
          <t>197-6-К/26</t>
        </is>
      </c>
      <c r="AW88" s="256" t="inlineStr">
        <is>
          <t>07.08.2026</t>
        </is>
      </c>
      <c r="AX88" s="256" t="inlineStr">
        <is>
          <t>Farmahem</t>
        </is>
      </c>
      <c r="AY88" s="256" t="inlineStr">
        <is>
          <t>&lt; LOQ</t>
        </is>
      </c>
      <c r="AZ88" s="256" t="inlineStr">
        <is>
          <t>197-6-К/26</t>
        </is>
      </c>
      <c r="BA88" s="256" t="inlineStr">
        <is>
          <t>07.08.2026</t>
        </is>
      </c>
      <c r="BB88" s="256" t="inlineStr">
        <is>
          <t>Farmahem</t>
        </is>
      </c>
      <c r="BC88" s="256" t="inlineStr">
        <is>
          <t>Conforms | Одговара</t>
        </is>
      </c>
      <c r="BD88" s="256" t="inlineStr">
        <is>
          <t>iCoA-PP_26-105</t>
        </is>
      </c>
      <c r="BE88" s="256" t="inlineStr">
        <is>
          <t>27.07.2026</t>
        </is>
      </c>
      <c r="BF88" s="256" t="inlineStr">
        <is>
          <t>Purely Plant GmbH (in-house)</t>
        </is>
      </c>
      <c r="BG88" s="256" t="inlineStr">
        <is>
          <t>carried from the initial testing — not tested</t>
        </is>
      </c>
      <c r="BH88" s="256" t="inlineStr">
        <is>
          <t>—</t>
        </is>
      </c>
      <c r="BI88" s="256" t="inlineStr">
        <is>
          <t>—</t>
        </is>
      </c>
      <c r="BJ88" s="256" t="inlineStr">
        <is>
          <t>—</t>
        </is>
      </c>
      <c r="BK88" s="256" t="inlineStr">
        <is>
          <t>7.8 × 10⁴</t>
        </is>
      </c>
      <c r="BL88" s="256" t="inlineStr">
        <is>
          <t>361/0691/26</t>
        </is>
      </c>
      <c r="BM88" s="256" t="inlineStr">
        <is>
          <t>01.06.2026</t>
        </is>
      </c>
      <c r="BN88" s="256" t="inlineStr">
        <is>
          <t>IPH — Institute of Public Health</t>
        </is>
      </c>
      <c r="BO88" s="256" t="inlineStr">
        <is>
          <t>2.2 × 10⁴</t>
        </is>
      </c>
      <c r="BP88" s="256" t="inlineStr">
        <is>
          <t>361/0691/26</t>
        </is>
      </c>
      <c r="BQ88" s="256" t="inlineStr">
        <is>
          <t>01.06.2026</t>
        </is>
      </c>
      <c r="BR88" s="256" t="inlineStr">
        <is>
          <t>IPH — Institute of Public Health</t>
        </is>
      </c>
      <c r="BS88" s="256" t="inlineStr">
        <is>
          <t>&lt; 10</t>
        </is>
      </c>
      <c r="BT88" s="256" t="inlineStr">
        <is>
          <t>361/0691/26</t>
        </is>
      </c>
      <c r="BU88" s="256" t="inlineStr">
        <is>
          <t>01.06.2026</t>
        </is>
      </c>
      <c r="BV88" s="256" t="inlineStr">
        <is>
          <t>IPH — Institute of Public Health</t>
        </is>
      </c>
      <c r="BW88" s="256" t="inlineStr">
        <is>
          <t>Absent | Отсутна</t>
        </is>
      </c>
      <c r="BX88" s="256" t="inlineStr">
        <is>
          <t>361/0691/26</t>
        </is>
      </c>
      <c r="BY88" s="256" t="inlineStr">
        <is>
          <t>01.06.2026</t>
        </is>
      </c>
      <c r="BZ88" s="256" t="inlineStr">
        <is>
          <t>IPH — Institute of Public Health</t>
        </is>
      </c>
      <c r="CA88" s="256" t="inlineStr">
        <is>
          <t>Absent | Отсутна</t>
        </is>
      </c>
      <c r="CB88" s="256" t="inlineStr">
        <is>
          <t>361/0691/26</t>
        </is>
      </c>
      <c r="CC88" s="256" t="inlineStr">
        <is>
          <t>01.06.2026</t>
        </is>
      </c>
      <c r="CD88" s="256" t="inlineStr">
        <is>
          <t>IPH — Institute of Public Health</t>
        </is>
      </c>
      <c r="CE88" s="260" t="inlineStr">
        <is>
          <t>upon request — not required for release</t>
        </is>
      </c>
      <c r="CF88" s="256" t="inlineStr">
        <is>
          <t>—</t>
        </is>
      </c>
      <c r="CG88" s="256" t="inlineStr">
        <is>
          <t>—</t>
        </is>
      </c>
      <c r="CH88" s="256" t="inlineStr">
        <is>
          <t>—</t>
        </is>
      </c>
      <c r="CI88" s="260" t="inlineStr">
        <is>
          <t>upon request — not required for release</t>
        </is>
      </c>
      <c r="CJ88" s="256" t="inlineStr">
        <is>
          <t>—</t>
        </is>
      </c>
      <c r="CK88" s="256" t="inlineStr">
        <is>
          <t>—</t>
        </is>
      </c>
      <c r="CL88" s="256" t="inlineStr">
        <is>
          <t>—</t>
        </is>
      </c>
      <c r="CM88" s="256" t="inlineStr">
        <is>
          <t>ND</t>
        </is>
      </c>
      <c r="CN88" s="256" t="inlineStr">
        <is>
          <t>197-6-М/26</t>
        </is>
      </c>
      <c r="CO88" s="256" t="inlineStr">
        <is>
          <t>10.08.2026</t>
        </is>
      </c>
      <c r="CP88" s="256" t="inlineStr">
        <is>
          <t>Farmahem</t>
        </is>
      </c>
      <c r="CQ88" s="256" t="inlineStr">
        <is>
          <t>ND</t>
        </is>
      </c>
      <c r="CR88" s="256" t="inlineStr">
        <is>
          <t>197-6-М/26</t>
        </is>
      </c>
      <c r="CS88" s="256" t="inlineStr">
        <is>
          <t>10.08.2026</t>
        </is>
      </c>
      <c r="CT88" s="256" t="inlineStr">
        <is>
          <t>Farmahem</t>
        </is>
      </c>
      <c r="CU88" s="256" t="inlineStr">
        <is>
          <t>ND</t>
        </is>
      </c>
      <c r="CV88" s="256" t="inlineStr">
        <is>
          <t>197-6-М/26</t>
        </is>
      </c>
      <c r="CW88" s="256" t="inlineStr">
        <is>
          <t>10.08.2026</t>
        </is>
      </c>
      <c r="CX88" s="256" t="inlineStr">
        <is>
          <t>Farmahem</t>
        </is>
      </c>
      <c r="CY88" s="256" t="inlineStr">
        <is>
          <t>carried from the initial testing — not tested</t>
        </is>
      </c>
      <c r="CZ88" s="256" t="inlineStr">
        <is>
          <t>—</t>
        </is>
      </c>
      <c r="DA88" s="256" t="inlineStr">
        <is>
          <t>—</t>
        </is>
      </c>
      <c r="DB88" s="256" t="inlineStr">
        <is>
          <t>—</t>
        </is>
      </c>
      <c r="DC88" s="256" t="inlineStr">
        <is>
          <t>carried from the initial testing — not tested</t>
        </is>
      </c>
      <c r="DD88" s="256" t="inlineStr">
        <is>
          <t>—</t>
        </is>
      </c>
      <c r="DE88" s="256" t="inlineStr">
        <is>
          <t>—</t>
        </is>
      </c>
      <c r="DF88" s="256" t="inlineStr">
        <is>
          <t>—</t>
        </is>
      </c>
      <c r="DG88" s="256" t="inlineStr">
        <is>
          <t>carried from the initial testing — not tested</t>
        </is>
      </c>
      <c r="DH88" s="256" t="inlineStr">
        <is>
          <t>—</t>
        </is>
      </c>
      <c r="DI88" s="256" t="inlineStr">
        <is>
          <t>—</t>
        </is>
      </c>
      <c r="DJ88" s="256" t="inlineStr">
        <is>
          <t>—</t>
        </is>
      </c>
      <c r="DK88" s="256" t="inlineStr">
        <is>
          <t>carried from the initial testing — not tested</t>
        </is>
      </c>
      <c r="DL88" s="256" t="inlineStr">
        <is>
          <t>—</t>
        </is>
      </c>
      <c r="DM88" s="256" t="inlineStr">
        <is>
          <t>—</t>
        </is>
      </c>
      <c r="DN88" s="256" t="inlineStr">
        <is>
          <t>—</t>
        </is>
      </c>
      <c r="DO88" s="256" t="inlineStr">
        <is>
          <t>carried from the initial testing — not tested</t>
        </is>
      </c>
      <c r="DP88" s="256" t="inlineStr">
        <is>
          <t>—</t>
        </is>
      </c>
      <c r="DQ88" s="256" t="inlineStr">
        <is>
          <t>—</t>
        </is>
      </c>
      <c r="DR88" s="256" t="inlineStr">
        <is>
          <t>—</t>
        </is>
      </c>
    </row>
    <row r="89">
      <c r="A89" s="256" t="inlineStr">
        <is>
          <t>CoQ-PP_26-088</t>
        </is>
      </c>
      <c r="B89" s="256" t="inlineStr">
        <is>
          <t>reissue — retest</t>
        </is>
      </c>
      <c r="C89" s="256" t="inlineStr">
        <is>
          <t>issuable</t>
        </is>
      </c>
      <c r="D89" s="256" t="inlineStr">
        <is>
          <t>17.08.2026</t>
        </is>
      </c>
      <c r="E89" s="256" t="inlineStr">
        <is>
          <t>CoQ-PP_26-022 of 06.06.2026</t>
        </is>
      </c>
      <c r="F89" s="256" t="inlineStr">
        <is>
          <t>(assigned on issue)</t>
        </is>
      </c>
      <c r="G89" s="256" t="inlineStr">
        <is>
          <t>CJ052501/01</t>
        </is>
      </c>
      <c r="H89" s="256" t="inlineStr">
        <is>
          <t>P050162</t>
        </is>
      </c>
      <c r="I89" s="256" t="inlineStr">
        <is>
          <t>Cap Junky</t>
        </is>
      </c>
      <c r="J89" s="256" t="inlineStr">
        <is>
          <t>20.08.2025</t>
        </is>
      </c>
      <c r="K89" s="256" t="inlineStr">
        <is>
          <t>30.09.2025 – 01.10.2025</t>
        </is>
      </c>
      <c r="L89" s="256" t="inlineStr">
        <is>
          <t>20.08.2025</t>
        </is>
      </c>
      <c r="M89" s="256" t="inlineStr">
        <is>
          <t>30.09.2025</t>
        </is>
      </c>
      <c r="N89" s="256" t="inlineStr">
        <is>
          <t>iCoA-PP_26-102</t>
        </is>
      </c>
      <c r="O89" s="256" t="inlineStr">
        <is>
          <t>27.07.2026</t>
        </is>
      </c>
      <c r="P89" s="256" t="inlineStr">
        <is>
          <t>21.07.2026</t>
        </is>
      </c>
      <c r="Q89" s="256" t="inlineStr">
        <is>
          <t>Tranche 1</t>
        </is>
      </c>
      <c r="R89" s="256" t="inlineStr">
        <is>
          <t>24.05</t>
        </is>
      </c>
      <c r="S89" s="256" t="inlineStr">
        <is>
          <t>197-3-К/26</t>
        </is>
      </c>
      <c r="T89" s="256" t="inlineStr">
        <is>
          <t>II</t>
        </is>
      </c>
      <c r="U89" s="256" t="inlineStr">
        <is>
          <t>21.60 – 26.39 %</t>
        </is>
      </c>
      <c r="V89" s="256" t="inlineStr">
        <is>
          <t>CJ_THC24 : CBD1</t>
        </is>
      </c>
      <c r="W89" s="256" t="inlineStr">
        <is>
          <t>QCSP_001_CJ-II_v.01</t>
        </is>
      </c>
      <c r="X89" s="256" t="inlineStr">
        <is>
          <t>for review — replaces the issued QCSP_001_CJ-II_v.01 (was CJ_THC26 : CBD1, 25.01 – 26.99 %); now CJ_THC24 : CBD1 21.60 – 26.39 %</t>
        </is>
      </c>
      <c r="Y89" s="256" t="inlineStr">
        <is>
          <t>HYBRID</t>
        </is>
      </c>
      <c r="Z89" s="256" t="inlineStr">
        <is>
          <t>THC</t>
        </is>
      </c>
      <c r="AA89" s="256" t="inlineStr">
        <is>
          <t>MACHINE TRIMMED</t>
        </is>
      </c>
      <c r="AB89" s="256" t="inlineStr">
        <is>
          <t>INDICA 60 : SATIVA 40</t>
        </is>
      </c>
      <c r="AC89" s="256" t="inlineStr">
        <is>
          <t>Triplex Alu Bag | Триплекс Aлу Kеса, PET 12 · ALU 7 · PE 80, 300 × 500 mm, net. 400.0 g ±3%</t>
        </is>
      </c>
      <c r="AD89" s="256" t="inlineStr">
        <is>
          <t>10.08.2026</t>
        </is>
      </c>
      <c r="AE89" s="256" t="inlineStr">
        <is>
          <t>Conforms | Одговара</t>
        </is>
      </c>
      <c r="AF89" s="256" t="inlineStr">
        <is>
          <t>iCoA-PP_26-102</t>
        </is>
      </c>
      <c r="AG89" s="256" t="inlineStr">
        <is>
          <t>27.07.2026</t>
        </is>
      </c>
      <c r="AH89" s="256" t="inlineStr">
        <is>
          <t>Purely Plant GmbH (in-house)</t>
        </is>
      </c>
      <c r="AI89" s="256" t="inlineStr">
        <is>
          <t>Conforms | Одговара</t>
        </is>
      </c>
      <c r="AJ89" s="256" t="inlineStr">
        <is>
          <t>iCoA-PP_26-102</t>
        </is>
      </c>
      <c r="AK89" s="256" t="inlineStr">
        <is>
          <t>27.07.2026</t>
        </is>
      </c>
      <c r="AL89" s="256" t="inlineStr">
        <is>
          <t>Purely Plant GmbH (in-house)</t>
        </is>
      </c>
      <c r="AM89" s="256" t="inlineStr">
        <is>
          <t>Conforms | Одговара</t>
        </is>
      </c>
      <c r="AN89" s="256" t="inlineStr">
        <is>
          <t>197-3-К/26</t>
        </is>
      </c>
      <c r="AO89" s="256" t="inlineStr">
        <is>
          <t>07.08.2026</t>
        </is>
      </c>
      <c r="AP89" s="256" t="inlineStr">
        <is>
          <t>Farmahem</t>
        </is>
      </c>
      <c r="AQ89" s="256" t="inlineStr">
        <is>
          <t>24.05</t>
        </is>
      </c>
      <c r="AR89" s="256" t="inlineStr">
        <is>
          <t>197-3-К/26</t>
        </is>
      </c>
      <c r="AS89" s="256" t="inlineStr">
        <is>
          <t>07.08.2026</t>
        </is>
      </c>
      <c r="AT89" s="256" t="inlineStr">
        <is>
          <t>Farmahem</t>
        </is>
      </c>
      <c r="AU89" s="256" t="inlineStr">
        <is>
          <t>&lt; LOQ</t>
        </is>
      </c>
      <c r="AV89" s="256" t="inlineStr">
        <is>
          <t>197-3-К/26</t>
        </is>
      </c>
      <c r="AW89" s="256" t="inlineStr">
        <is>
          <t>07.08.2026</t>
        </is>
      </c>
      <c r="AX89" s="256" t="inlineStr">
        <is>
          <t>Farmahem</t>
        </is>
      </c>
      <c r="AY89" s="256" t="inlineStr">
        <is>
          <t>&lt; LOQ</t>
        </is>
      </c>
      <c r="AZ89" s="256" t="inlineStr">
        <is>
          <t>197-3-К/26</t>
        </is>
      </c>
      <c r="BA89" s="256" t="inlineStr">
        <is>
          <t>07.08.2026</t>
        </is>
      </c>
      <c r="BB89" s="256" t="inlineStr">
        <is>
          <t>Farmahem</t>
        </is>
      </c>
      <c r="BC89" s="256" t="inlineStr">
        <is>
          <t>Conforms | Одговара</t>
        </is>
      </c>
      <c r="BD89" s="256" t="inlineStr">
        <is>
          <t>iCoA-PP_26-102</t>
        </is>
      </c>
      <c r="BE89" s="256" t="inlineStr">
        <is>
          <t>27.07.2026</t>
        </is>
      </c>
      <c r="BF89" s="256" t="inlineStr">
        <is>
          <t>Purely Plant GmbH (in-house)</t>
        </is>
      </c>
      <c r="BG89" s="256" t="inlineStr">
        <is>
          <t>7.93</t>
        </is>
      </c>
      <c r="BH89" s="256" t="inlineStr">
        <is>
          <t>ППК25280</t>
        </is>
      </c>
      <c r="BI89" s="256" t="inlineStr">
        <is>
          <t>17.09.2025</t>
        </is>
      </c>
      <c r="BJ89" s="256" t="inlineStr">
        <is>
          <t>UKIM Faculty of Pharmacy — Center for Natural Products</t>
        </is>
      </c>
      <c r="BK89" s="256" t="inlineStr">
        <is>
          <t>2.8 × 10⁴</t>
        </is>
      </c>
      <c r="BL89" s="256" t="inlineStr">
        <is>
          <t>949/1687/25</t>
        </is>
      </c>
      <c r="BM89" s="256" t="inlineStr">
        <is>
          <t>17.09.2025</t>
        </is>
      </c>
      <c r="BN89" s="256" t="inlineStr">
        <is>
          <t>IPH — Institute of Public Health</t>
        </is>
      </c>
      <c r="BO89" s="256" t="inlineStr">
        <is>
          <t>1.7 × 10⁴</t>
        </is>
      </c>
      <c r="BP89" s="256" t="inlineStr">
        <is>
          <t>949/1687/25</t>
        </is>
      </c>
      <c r="BQ89" s="256" t="inlineStr">
        <is>
          <t>17.09.2025</t>
        </is>
      </c>
      <c r="BR89" s="256" t="inlineStr">
        <is>
          <t>IPH — Institute of Public Health</t>
        </is>
      </c>
      <c r="BS89" s="256" t="inlineStr">
        <is>
          <t>&lt; 10³ and &gt; 10²</t>
        </is>
      </c>
      <c r="BT89" s="256" t="inlineStr">
        <is>
          <t>949/1687/25</t>
        </is>
      </c>
      <c r="BU89" s="256" t="inlineStr">
        <is>
          <t>17.09.2025</t>
        </is>
      </c>
      <c r="BV89" s="256" t="inlineStr">
        <is>
          <t>IPH — Institute of Public Health</t>
        </is>
      </c>
      <c r="BW89" s="256" t="inlineStr">
        <is>
          <t>Absent | Отсутна</t>
        </is>
      </c>
      <c r="BX89" s="256" t="inlineStr">
        <is>
          <t>949/1687/25</t>
        </is>
      </c>
      <c r="BY89" s="256" t="inlineStr">
        <is>
          <t>17.09.2025</t>
        </is>
      </c>
      <c r="BZ89" s="256" t="inlineStr">
        <is>
          <t>IPH — Institute of Public Health</t>
        </is>
      </c>
      <c r="CA89" s="256" t="inlineStr">
        <is>
          <t>Absent | Отсутна</t>
        </is>
      </c>
      <c r="CB89" s="256" t="inlineStr">
        <is>
          <t>949/1687/25</t>
        </is>
      </c>
      <c r="CC89" s="256" t="inlineStr">
        <is>
          <t>17.09.2025</t>
        </is>
      </c>
      <c r="CD89" s="256" t="inlineStr">
        <is>
          <t>IPH — Institute of Public Health</t>
        </is>
      </c>
      <c r="CE89" s="260" t="inlineStr">
        <is>
          <t>upon request — not required for release</t>
        </is>
      </c>
      <c r="CF89" s="256" t="inlineStr">
        <is>
          <t>—</t>
        </is>
      </c>
      <c r="CG89" s="256" t="inlineStr">
        <is>
          <t>—</t>
        </is>
      </c>
      <c r="CH89" s="256" t="inlineStr">
        <is>
          <t>—</t>
        </is>
      </c>
      <c r="CI89" s="260" t="inlineStr">
        <is>
          <t>upon request — not required for release</t>
        </is>
      </c>
      <c r="CJ89" s="256" t="inlineStr">
        <is>
          <t>—</t>
        </is>
      </c>
      <c r="CK89" s="256" t="inlineStr">
        <is>
          <t>—</t>
        </is>
      </c>
      <c r="CL89" s="256" t="inlineStr">
        <is>
          <t>—</t>
        </is>
      </c>
      <c r="CM89" s="256" t="inlineStr">
        <is>
          <t>ND</t>
        </is>
      </c>
      <c r="CN89" s="256" t="inlineStr">
        <is>
          <t>197-3-М/26</t>
        </is>
      </c>
      <c r="CO89" s="256" t="inlineStr">
        <is>
          <t>10.08.2026</t>
        </is>
      </c>
      <c r="CP89" s="256" t="inlineStr">
        <is>
          <t>Farmahem</t>
        </is>
      </c>
      <c r="CQ89" s="256" t="inlineStr">
        <is>
          <t>ND</t>
        </is>
      </c>
      <c r="CR89" s="256" t="inlineStr">
        <is>
          <t>197-3-М/26</t>
        </is>
      </c>
      <c r="CS89" s="256" t="inlineStr">
        <is>
          <t>10.08.2026</t>
        </is>
      </c>
      <c r="CT89" s="256" t="inlineStr">
        <is>
          <t>Farmahem</t>
        </is>
      </c>
      <c r="CU89" s="256" t="inlineStr">
        <is>
          <t>ND</t>
        </is>
      </c>
      <c r="CV89" s="256" t="inlineStr">
        <is>
          <t>197-3-М/26</t>
        </is>
      </c>
      <c r="CW89" s="256" t="inlineStr">
        <is>
          <t>10.08.2026</t>
        </is>
      </c>
      <c r="CX89" s="256" t="inlineStr">
        <is>
          <t>Farmahem</t>
        </is>
      </c>
      <c r="CY89" s="256" t="inlineStr">
        <is>
          <t>0.085</t>
        </is>
      </c>
      <c r="CZ89" s="256" t="inlineStr">
        <is>
          <t>4350/2025</t>
        </is>
      </c>
      <c r="DA89" s="256" t="inlineStr">
        <is>
          <t>15.09.2025</t>
        </is>
      </c>
      <c r="DB89" s="256" t="inlineStr">
        <is>
          <t>IPH — Institute of Public Health</t>
        </is>
      </c>
      <c r="DC89" s="256" t="inlineStr">
        <is>
          <t>ND</t>
        </is>
      </c>
      <c r="DD89" s="256" t="inlineStr">
        <is>
          <t>4350/2025</t>
        </is>
      </c>
      <c r="DE89" s="256" t="inlineStr">
        <is>
          <t>15.09.2025</t>
        </is>
      </c>
      <c r="DF89" s="256" t="inlineStr">
        <is>
          <t>IPH — Institute of Public Health</t>
        </is>
      </c>
      <c r="DG89" s="256" t="inlineStr">
        <is>
          <t>ND</t>
        </is>
      </c>
      <c r="DH89" s="256" t="inlineStr">
        <is>
          <t>4350/2025</t>
        </is>
      </c>
      <c r="DI89" s="256" t="inlineStr">
        <is>
          <t>15.09.2025</t>
        </is>
      </c>
      <c r="DJ89" s="256" t="inlineStr">
        <is>
          <t>IPH — Institute of Public Health</t>
        </is>
      </c>
      <c r="DK89" s="256" t="inlineStr">
        <is>
          <t>ND</t>
        </is>
      </c>
      <c r="DL89" s="256" t="inlineStr">
        <is>
          <t>4350/2025</t>
        </is>
      </c>
      <c r="DM89" s="256" t="inlineStr">
        <is>
          <t>15.09.2025</t>
        </is>
      </c>
      <c r="DN89" s="256" t="inlineStr">
        <is>
          <t>IPH — Institute of Public Health</t>
        </is>
      </c>
      <c r="DO89" s="256" t="inlineStr">
        <is>
          <t>ND</t>
        </is>
      </c>
      <c r="DP89" s="256" t="inlineStr">
        <is>
          <t>4350/2025</t>
        </is>
      </c>
      <c r="DQ89" s="256" t="inlineStr">
        <is>
          <t>15.09.2025</t>
        </is>
      </c>
      <c r="DR89" s="256" t="inlineStr">
        <is>
          <t>IPH — Institute of Public Health</t>
        </is>
      </c>
    </row>
    <row r="90">
      <c r="A90" s="256" t="inlineStr">
        <is>
          <t>CoQ-PP_26-089</t>
        </is>
      </c>
      <c r="B90" s="256" t="inlineStr">
        <is>
          <t>reissue — retest</t>
        </is>
      </c>
      <c r="C90" s="256" t="inlineStr">
        <is>
          <t>issuable</t>
        </is>
      </c>
      <c r="D90" s="256" t="inlineStr">
        <is>
          <t>17.08.2026</t>
        </is>
      </c>
      <c r="E90" s="256" t="inlineStr">
        <is>
          <t>CoQ-PP_26-039 of 06.06.2026</t>
        </is>
      </c>
      <c r="F90" s="256" t="inlineStr">
        <is>
          <t>(assigned on issue)</t>
        </is>
      </c>
      <c r="G90" s="256" t="inlineStr">
        <is>
          <t>CJ082501/2</t>
        </is>
      </c>
      <c r="H90" s="256" t="inlineStr">
        <is>
          <t>P060032</t>
        </is>
      </c>
      <c r="I90" s="256" t="inlineStr">
        <is>
          <t>Cap Junky</t>
        </is>
      </c>
      <c r="J90" s="256" t="inlineStr">
        <is>
          <t>10.12.2025</t>
        </is>
      </c>
      <c r="K90" s="256" t="inlineStr">
        <is>
          <t>29.01.2026</t>
        </is>
      </c>
      <c r="L90" s="256" t="inlineStr">
        <is>
          <t>10.12.2025</t>
        </is>
      </c>
      <c r="M90" s="256" t="inlineStr">
        <is>
          <t>29.01.2026</t>
        </is>
      </c>
      <c r="N90" s="256" t="inlineStr">
        <is>
          <t>iCoA-PP_26-104</t>
        </is>
      </c>
      <c r="O90" s="256" t="inlineStr">
        <is>
          <t>27.07.2026</t>
        </is>
      </c>
      <c r="P90" s="256" t="inlineStr">
        <is>
          <t>21.07.2026</t>
        </is>
      </c>
      <c r="Q90" s="256" t="inlineStr">
        <is>
          <t>Tranche 1</t>
        </is>
      </c>
      <c r="R90" s="256" t="inlineStr">
        <is>
          <t>18.29</t>
        </is>
      </c>
      <c r="S90" s="256" t="inlineStr">
        <is>
          <t>197-5-К/26</t>
        </is>
      </c>
      <c r="T90" s="256" t="inlineStr">
        <is>
          <t>IV</t>
        </is>
      </c>
      <c r="U90" s="256" t="inlineStr">
        <is>
          <t>15.60 – 18.39 %</t>
        </is>
      </c>
      <c r="V90" s="256" t="inlineStr">
        <is>
          <t>CJ_THC17 : CBD1</t>
        </is>
      </c>
      <c r="W90" s="256" t="inlineStr">
        <is>
          <t>QCSP_001_CJ-IV_v.01</t>
        </is>
      </c>
      <c r="X90" s="256" t="inlineStr">
        <is>
          <t>for review — replaces the issued QCSP_001_CJ-IV_v.01 (was CJ_THC20 : CBD1, 18.00 – 22.00 %); now CJ_THC17 : CBD1 15.60 – 18.39 %</t>
        </is>
      </c>
      <c r="Y90" s="256" t="inlineStr">
        <is>
          <t>HYBRID</t>
        </is>
      </c>
      <c r="Z90" s="256" t="inlineStr">
        <is>
          <t>THC</t>
        </is>
      </c>
      <c r="AA90" s="256" t="inlineStr">
        <is>
          <t>MACHINE TRIMMED</t>
        </is>
      </c>
      <c r="AB90" s="256" t="inlineStr">
        <is>
          <t>INDICA 60 : SATIVA 40</t>
        </is>
      </c>
      <c r="AC90" s="256" t="inlineStr">
        <is>
          <t>Triplex Alu Bag | Триплекс Aлу Kеса, PET 12 · ALU 7 · PE 80, 300 × 500 mm, net. 400.0 g ±3%</t>
        </is>
      </c>
      <c r="AD90" s="256" t="inlineStr">
        <is>
          <t>10.08.2026</t>
        </is>
      </c>
      <c r="AE90" s="256" t="inlineStr">
        <is>
          <t>Conforms | Одговара</t>
        </is>
      </c>
      <c r="AF90" s="256" t="inlineStr">
        <is>
          <t>iCoA-PP_26-104</t>
        </is>
      </c>
      <c r="AG90" s="256" t="inlineStr">
        <is>
          <t>27.07.2026</t>
        </is>
      </c>
      <c r="AH90" s="256" t="inlineStr">
        <is>
          <t>Purely Plant GmbH (in-house)</t>
        </is>
      </c>
      <c r="AI90" s="256" t="inlineStr">
        <is>
          <t>Conforms | Одговара</t>
        </is>
      </c>
      <c r="AJ90" s="256" t="inlineStr">
        <is>
          <t>iCoA-PP_26-104</t>
        </is>
      </c>
      <c r="AK90" s="256" t="inlineStr">
        <is>
          <t>27.07.2026</t>
        </is>
      </c>
      <c r="AL90" s="256" t="inlineStr">
        <is>
          <t>Purely Plant GmbH (in-house)</t>
        </is>
      </c>
      <c r="AM90" s="256" t="inlineStr">
        <is>
          <t>Conforms | Одговара</t>
        </is>
      </c>
      <c r="AN90" s="256" t="inlineStr">
        <is>
          <t>197-5-К/26</t>
        </is>
      </c>
      <c r="AO90" s="256" t="inlineStr">
        <is>
          <t>07.08.2026</t>
        </is>
      </c>
      <c r="AP90" s="256" t="inlineStr">
        <is>
          <t>Farmahem</t>
        </is>
      </c>
      <c r="AQ90" s="256" t="inlineStr">
        <is>
          <t>18.29</t>
        </is>
      </c>
      <c r="AR90" s="256" t="inlineStr">
        <is>
          <t>197-5-К/26</t>
        </is>
      </c>
      <c r="AS90" s="256" t="inlineStr">
        <is>
          <t>07.08.2026</t>
        </is>
      </c>
      <c r="AT90" s="256" t="inlineStr">
        <is>
          <t>Farmahem</t>
        </is>
      </c>
      <c r="AU90" s="256" t="inlineStr">
        <is>
          <t>&lt; LOQ</t>
        </is>
      </c>
      <c r="AV90" s="256" t="inlineStr">
        <is>
          <t>197-5-К/26</t>
        </is>
      </c>
      <c r="AW90" s="256" t="inlineStr">
        <is>
          <t>07.08.2026</t>
        </is>
      </c>
      <c r="AX90" s="256" t="inlineStr">
        <is>
          <t>Farmahem</t>
        </is>
      </c>
      <c r="AY90" s="256" t="inlineStr">
        <is>
          <t>&lt; LOQ</t>
        </is>
      </c>
      <c r="AZ90" s="256" t="inlineStr">
        <is>
          <t>197-5-К/26</t>
        </is>
      </c>
      <c r="BA90" s="256" t="inlineStr">
        <is>
          <t>07.08.2026</t>
        </is>
      </c>
      <c r="BB90" s="256" t="inlineStr">
        <is>
          <t>Farmahem</t>
        </is>
      </c>
      <c r="BC90" s="256" t="inlineStr">
        <is>
          <t>Conforms | Одговара</t>
        </is>
      </c>
      <c r="BD90" s="256" t="inlineStr">
        <is>
          <t>iCoA-PP_26-104</t>
        </is>
      </c>
      <c r="BE90" s="256" t="inlineStr">
        <is>
          <t>27.07.2026</t>
        </is>
      </c>
      <c r="BF90" s="256" t="inlineStr">
        <is>
          <t>Purely Plant GmbH (in-house)</t>
        </is>
      </c>
      <c r="BG90" s="256" t="inlineStr">
        <is>
          <t>7.37</t>
        </is>
      </c>
      <c r="BH90" s="256" t="inlineStr">
        <is>
          <t>ППК26003</t>
        </is>
      </c>
      <c r="BI90" s="256" t="inlineStr">
        <is>
          <t>21.01.2026</t>
        </is>
      </c>
      <c r="BJ90" s="256" t="inlineStr">
        <is>
          <t>UKIM Faculty of Pharmacy — Center for Natural Products</t>
        </is>
      </c>
      <c r="BK90" s="256" t="inlineStr">
        <is>
          <t>9.5 × 10²</t>
        </is>
      </c>
      <c r="BL90" s="256" t="inlineStr">
        <is>
          <t>4/0007/26</t>
        </is>
      </c>
      <c r="BM90" s="256" t="inlineStr">
        <is>
          <t>20.01.2026</t>
        </is>
      </c>
      <c r="BN90" s="256" t="inlineStr">
        <is>
          <t>IPH — Institute of Public Health</t>
        </is>
      </c>
      <c r="BO90" s="256" t="inlineStr">
        <is>
          <t>1.2 × 10³</t>
        </is>
      </c>
      <c r="BP90" s="256" t="inlineStr">
        <is>
          <t>4/0007/26</t>
        </is>
      </c>
      <c r="BQ90" s="256" t="inlineStr">
        <is>
          <t>20.01.2026</t>
        </is>
      </c>
      <c r="BR90" s="256" t="inlineStr">
        <is>
          <t>IPH — Institute of Public Health</t>
        </is>
      </c>
      <c r="BS90" s="256" t="inlineStr">
        <is>
          <t>&lt; 10</t>
        </is>
      </c>
      <c r="BT90" s="256" t="inlineStr">
        <is>
          <t>4/0007/26</t>
        </is>
      </c>
      <c r="BU90" s="256" t="inlineStr">
        <is>
          <t>20.01.2026</t>
        </is>
      </c>
      <c r="BV90" s="256" t="inlineStr">
        <is>
          <t>IPH — Institute of Public Health</t>
        </is>
      </c>
      <c r="BW90" s="256" t="inlineStr">
        <is>
          <t>Absent | Отсутна</t>
        </is>
      </c>
      <c r="BX90" s="256" t="inlineStr">
        <is>
          <t>4/0007/26</t>
        </is>
      </c>
      <c r="BY90" s="256" t="inlineStr">
        <is>
          <t>20.01.2026</t>
        </is>
      </c>
      <c r="BZ90" s="256" t="inlineStr">
        <is>
          <t>IPH — Institute of Public Health</t>
        </is>
      </c>
      <c r="CA90" s="256" t="inlineStr">
        <is>
          <t>Absent | Отсутна</t>
        </is>
      </c>
      <c r="CB90" s="256" t="inlineStr">
        <is>
          <t>4/0007/26</t>
        </is>
      </c>
      <c r="CC90" s="256" t="inlineStr">
        <is>
          <t>20.01.2026</t>
        </is>
      </c>
      <c r="CD90" s="256" t="inlineStr">
        <is>
          <t>IPH — Institute of Public Health</t>
        </is>
      </c>
      <c r="CE90" s="260" t="inlineStr">
        <is>
          <t>upon request — not required for release</t>
        </is>
      </c>
      <c r="CF90" s="256" t="inlineStr">
        <is>
          <t>—</t>
        </is>
      </c>
      <c r="CG90" s="256" t="inlineStr">
        <is>
          <t>—</t>
        </is>
      </c>
      <c r="CH90" s="256" t="inlineStr">
        <is>
          <t>—</t>
        </is>
      </c>
      <c r="CI90" s="260" t="inlineStr">
        <is>
          <t>upon request — not required for release</t>
        </is>
      </c>
      <c r="CJ90" s="256" t="inlineStr">
        <is>
          <t>—</t>
        </is>
      </c>
      <c r="CK90" s="256" t="inlineStr">
        <is>
          <t>—</t>
        </is>
      </c>
      <c r="CL90" s="256" t="inlineStr">
        <is>
          <t>—</t>
        </is>
      </c>
      <c r="CM90" s="256" t="inlineStr">
        <is>
          <t>ND</t>
        </is>
      </c>
      <c r="CN90" s="256" t="inlineStr">
        <is>
          <t>197-5-М/26</t>
        </is>
      </c>
      <c r="CO90" s="256" t="inlineStr">
        <is>
          <t>10.08.2026</t>
        </is>
      </c>
      <c r="CP90" s="256" t="inlineStr">
        <is>
          <t>Farmahem</t>
        </is>
      </c>
      <c r="CQ90" s="256" t="inlineStr">
        <is>
          <t>ND</t>
        </is>
      </c>
      <c r="CR90" s="256" t="inlineStr">
        <is>
          <t>197-5-М/26</t>
        </is>
      </c>
      <c r="CS90" s="256" t="inlineStr">
        <is>
          <t>10.08.2026</t>
        </is>
      </c>
      <c r="CT90" s="256" t="inlineStr">
        <is>
          <t>Farmahem</t>
        </is>
      </c>
      <c r="CU90" s="256" t="inlineStr">
        <is>
          <t>ND</t>
        </is>
      </c>
      <c r="CV90" s="256" t="inlineStr">
        <is>
          <t>197-5-М/26</t>
        </is>
      </c>
      <c r="CW90" s="256" t="inlineStr">
        <is>
          <t>10.08.2026</t>
        </is>
      </c>
      <c r="CX90" s="256" t="inlineStr">
        <is>
          <t>Farmahem</t>
        </is>
      </c>
      <c r="CY90" s="256" t="inlineStr">
        <is>
          <t>0.073</t>
        </is>
      </c>
      <c r="CZ90" s="256" t="inlineStr">
        <is>
          <t>82/2026</t>
        </is>
      </c>
      <c r="DA90" s="256" t="inlineStr">
        <is>
          <t>02.02.2026</t>
        </is>
      </c>
      <c r="DB90" s="256" t="inlineStr">
        <is>
          <t>IPH — Institute of Public Health</t>
        </is>
      </c>
      <c r="DC90" s="256" t="inlineStr">
        <is>
          <t>ND</t>
        </is>
      </c>
      <c r="DD90" s="256" t="inlineStr">
        <is>
          <t>82/2026</t>
        </is>
      </c>
      <c r="DE90" s="256" t="inlineStr">
        <is>
          <t>02.02.2026</t>
        </is>
      </c>
      <c r="DF90" s="256" t="inlineStr">
        <is>
          <t>IPH — Institute of Public Health</t>
        </is>
      </c>
      <c r="DG90" s="256" t="inlineStr">
        <is>
          <t>ND</t>
        </is>
      </c>
      <c r="DH90" s="256" t="inlineStr">
        <is>
          <t>82/2026</t>
        </is>
      </c>
      <c r="DI90" s="256" t="inlineStr">
        <is>
          <t>02.02.2026</t>
        </is>
      </c>
      <c r="DJ90" s="256" t="inlineStr">
        <is>
          <t>IPH — Institute of Public Health</t>
        </is>
      </c>
      <c r="DK90" s="256" t="inlineStr">
        <is>
          <t>ND</t>
        </is>
      </c>
      <c r="DL90" s="256" t="inlineStr">
        <is>
          <t>82/2026</t>
        </is>
      </c>
      <c r="DM90" s="256" t="inlineStr">
        <is>
          <t>02.02.2026</t>
        </is>
      </c>
      <c r="DN90" s="256" t="inlineStr">
        <is>
          <t>IPH — Institute of Public Health</t>
        </is>
      </c>
      <c r="DO90" s="256" t="inlineStr">
        <is>
          <t>ND</t>
        </is>
      </c>
      <c r="DP90" s="256" t="inlineStr">
        <is>
          <t>82/2026</t>
        </is>
      </c>
      <c r="DQ90" s="256" t="inlineStr">
        <is>
          <t>02.02.2026</t>
        </is>
      </c>
      <c r="DR90" s="256" t="inlineStr">
        <is>
          <t>IPH — Institute of Public Health</t>
        </is>
      </c>
    </row>
    <row r="91">
      <c r="A91" s="256" t="inlineStr">
        <is>
          <t>CoQ-PP_26-090</t>
        </is>
      </c>
      <c r="B91" s="256" t="inlineStr">
        <is>
          <t>reissue — retest</t>
        </is>
      </c>
      <c r="C91" s="256" t="inlineStr">
        <is>
          <t>issuable</t>
        </is>
      </c>
      <c r="D91" s="256" t="inlineStr">
        <is>
          <t>17.08.2026</t>
        </is>
      </c>
      <c r="E91" s="256" t="inlineStr">
        <is>
          <t>CoQ-PP_26-070 of 06.06.2026</t>
        </is>
      </c>
      <c r="F91" s="256" t="inlineStr">
        <is>
          <t>(assigned on issue)</t>
        </is>
      </c>
      <c r="G91" s="256" t="inlineStr">
        <is>
          <t>FB012602</t>
        </is>
      </c>
      <c r="H91" s="256" t="inlineStr">
        <is>
          <t>P060352</t>
        </is>
      </c>
      <c r="I91" s="256" t="inlineStr">
        <is>
          <t>Fat Bastard</t>
        </is>
      </c>
      <c r="J91" s="256" t="inlineStr">
        <is>
          <t>16.04.2026</t>
        </is>
      </c>
      <c r="K91" s="256" t="inlineStr">
        <is>
          <t>23.05.2026</t>
        </is>
      </c>
      <c r="L91" s="256" t="inlineStr">
        <is>
          <t>16.04.2026</t>
        </is>
      </c>
      <c r="M91" s="256" t="inlineStr">
        <is>
          <t>23.05.2026</t>
        </is>
      </c>
      <c r="N91" s="256" t="inlineStr">
        <is>
          <t>iCoA-PP_26-109</t>
        </is>
      </c>
      <c r="O91" s="256" t="inlineStr">
        <is>
          <t>27.07.2026</t>
        </is>
      </c>
      <c r="P91" s="256" t="inlineStr">
        <is>
          <t>22.07.2026</t>
        </is>
      </c>
      <c r="Q91" s="256" t="inlineStr">
        <is>
          <t>Tranche 1</t>
        </is>
      </c>
      <c r="R91" s="256" t="inlineStr">
        <is>
          <t>18.86</t>
        </is>
      </c>
      <c r="S91" s="256" t="inlineStr">
        <is>
          <t>197-7-К/26</t>
        </is>
      </c>
      <c r="T91" s="256" t="inlineStr">
        <is>
          <t>II</t>
        </is>
      </c>
      <c r="U91" s="256" t="inlineStr">
        <is>
          <t>16.20 – 19.79 %</t>
        </is>
      </c>
      <c r="V91" s="256" t="inlineStr">
        <is>
          <t>FB_THC18 : CBD1</t>
        </is>
      </c>
      <c r="W91" s="256" t="inlineStr">
        <is>
          <t>QCSP_001_FB-II_v.01</t>
        </is>
      </c>
      <c r="X91" s="256" t="inlineStr">
        <is>
          <t>for review — replaces the issued QCSP_001_FB-II_v.01 (was FB_THC18 : CBD1, 17.15 – 18.85 %); now FB_THC18 : CBD1 16.20 – 19.79 %</t>
        </is>
      </c>
      <c r="Y91" s="256" t="inlineStr">
        <is>
          <t>HYBRID</t>
        </is>
      </c>
      <c r="Z91" s="256" t="inlineStr">
        <is>
          <t>THC</t>
        </is>
      </c>
      <c r="AA91" s="256" t="inlineStr">
        <is>
          <t>MACHINE TRIMMED</t>
        </is>
      </c>
      <c r="AB91" s="256" t="inlineStr">
        <is>
          <t>BALANCED</t>
        </is>
      </c>
      <c r="AC91" s="256" t="inlineStr">
        <is>
          <t>Triplex Alu Bag | Триплекс Aлу Kеса, PET 12 · ALU 7 · PE 80, 300 × 500 mm, net. 400.0 g ±3%</t>
        </is>
      </c>
      <c r="AD91" s="256" t="inlineStr">
        <is>
          <t>10.08.2026</t>
        </is>
      </c>
      <c r="AE91" s="256" t="inlineStr">
        <is>
          <t>Conforms | Одговара</t>
        </is>
      </c>
      <c r="AF91" s="256" t="inlineStr">
        <is>
          <t>iCoA-PP_26-109</t>
        </is>
      </c>
      <c r="AG91" s="256" t="inlineStr">
        <is>
          <t>27.07.2026</t>
        </is>
      </c>
      <c r="AH91" s="256" t="inlineStr">
        <is>
          <t>Purely Plant GmbH (in-house)</t>
        </is>
      </c>
      <c r="AI91" s="256" t="inlineStr">
        <is>
          <t>Conforms | Одговара</t>
        </is>
      </c>
      <c r="AJ91" s="256" t="inlineStr">
        <is>
          <t>iCoA-PP_26-109</t>
        </is>
      </c>
      <c r="AK91" s="256" t="inlineStr">
        <is>
          <t>27.07.2026</t>
        </is>
      </c>
      <c r="AL91" s="256" t="inlineStr">
        <is>
          <t>Purely Plant GmbH (in-house)</t>
        </is>
      </c>
      <c r="AM91" s="256" t="inlineStr">
        <is>
          <t>Conforms | Одговара</t>
        </is>
      </c>
      <c r="AN91" s="256" t="inlineStr">
        <is>
          <t>197-7-К/26</t>
        </is>
      </c>
      <c r="AO91" s="256" t="inlineStr">
        <is>
          <t>07.08.2026</t>
        </is>
      </c>
      <c r="AP91" s="256" t="inlineStr">
        <is>
          <t>Farmahem</t>
        </is>
      </c>
      <c r="AQ91" s="256" t="inlineStr">
        <is>
          <t>18.86</t>
        </is>
      </c>
      <c r="AR91" s="256" t="inlineStr">
        <is>
          <t>197-7-К/26</t>
        </is>
      </c>
      <c r="AS91" s="256" t="inlineStr">
        <is>
          <t>07.08.2026</t>
        </is>
      </c>
      <c r="AT91" s="256" t="inlineStr">
        <is>
          <t>Farmahem</t>
        </is>
      </c>
      <c r="AU91" s="256" t="inlineStr">
        <is>
          <t>0.22</t>
        </is>
      </c>
      <c r="AV91" s="256" t="inlineStr">
        <is>
          <t>197-7-К/26</t>
        </is>
      </c>
      <c r="AW91" s="256" t="inlineStr">
        <is>
          <t>07.08.2026</t>
        </is>
      </c>
      <c r="AX91" s="256" t="inlineStr">
        <is>
          <t>Farmahem</t>
        </is>
      </c>
      <c r="AY91" s="256" t="inlineStr">
        <is>
          <t>&lt; LOQ</t>
        </is>
      </c>
      <c r="AZ91" s="256" t="inlineStr">
        <is>
          <t>197-7-К/26</t>
        </is>
      </c>
      <c r="BA91" s="256" t="inlineStr">
        <is>
          <t>07.08.2026</t>
        </is>
      </c>
      <c r="BB91" s="256" t="inlineStr">
        <is>
          <t>Farmahem</t>
        </is>
      </c>
      <c r="BC91" s="256" t="inlineStr">
        <is>
          <t>Conforms | Одговара</t>
        </is>
      </c>
      <c r="BD91" s="256" t="inlineStr">
        <is>
          <t>iCoA-PP_26-109</t>
        </is>
      </c>
      <c r="BE91" s="256" t="inlineStr">
        <is>
          <t>27.07.2026</t>
        </is>
      </c>
      <c r="BF91" s="256" t="inlineStr">
        <is>
          <t>Purely Plant GmbH (in-house)</t>
        </is>
      </c>
      <c r="BG91" s="256" t="inlineStr">
        <is>
          <t>carried from the initial testing — not tested</t>
        </is>
      </c>
      <c r="BH91" s="256" t="inlineStr">
        <is>
          <t>—</t>
        </is>
      </c>
      <c r="BI91" s="256" t="inlineStr">
        <is>
          <t>—</t>
        </is>
      </c>
      <c r="BJ91" s="256" t="inlineStr">
        <is>
          <t>—</t>
        </is>
      </c>
      <c r="BK91" s="256" t="inlineStr">
        <is>
          <t>6.3 × 10⁴</t>
        </is>
      </c>
      <c r="BL91" s="256" t="inlineStr">
        <is>
          <t>366/0696/26</t>
        </is>
      </c>
      <c r="BM91" s="256" t="inlineStr">
        <is>
          <t>01.06.2026</t>
        </is>
      </c>
      <c r="BN91" s="256" t="inlineStr">
        <is>
          <t>IPH — Institute of Public Health</t>
        </is>
      </c>
      <c r="BO91" s="256" t="inlineStr">
        <is>
          <t>2.2 × 10⁴</t>
        </is>
      </c>
      <c r="BP91" s="256" t="inlineStr">
        <is>
          <t>366/0696/26</t>
        </is>
      </c>
      <c r="BQ91" s="256" t="inlineStr">
        <is>
          <t>01.06.2026</t>
        </is>
      </c>
      <c r="BR91" s="256" t="inlineStr">
        <is>
          <t>IPH — Institute of Public Health</t>
        </is>
      </c>
      <c r="BS91" s="256" t="inlineStr">
        <is>
          <t>&lt; 10</t>
        </is>
      </c>
      <c r="BT91" s="256" t="inlineStr">
        <is>
          <t>366/0696/26</t>
        </is>
      </c>
      <c r="BU91" s="256" t="inlineStr">
        <is>
          <t>01.06.2026</t>
        </is>
      </c>
      <c r="BV91" s="256" t="inlineStr">
        <is>
          <t>IPH — Institute of Public Health</t>
        </is>
      </c>
      <c r="BW91" s="256" t="inlineStr">
        <is>
          <t>Absent | Отсутна</t>
        </is>
      </c>
      <c r="BX91" s="256" t="inlineStr">
        <is>
          <t>366/0696/26</t>
        </is>
      </c>
      <c r="BY91" s="256" t="inlineStr">
        <is>
          <t>01.06.2026</t>
        </is>
      </c>
      <c r="BZ91" s="256" t="inlineStr">
        <is>
          <t>IPH — Institute of Public Health</t>
        </is>
      </c>
      <c r="CA91" s="256" t="inlineStr">
        <is>
          <t>Absent | Отсутна</t>
        </is>
      </c>
      <c r="CB91" s="256" t="inlineStr">
        <is>
          <t>366/0696/26</t>
        </is>
      </c>
      <c r="CC91" s="256" t="inlineStr">
        <is>
          <t>01.06.2026</t>
        </is>
      </c>
      <c r="CD91" s="256" t="inlineStr">
        <is>
          <t>IPH — Institute of Public Health</t>
        </is>
      </c>
      <c r="CE91" s="260" t="inlineStr">
        <is>
          <t>upon request — not required for release</t>
        </is>
      </c>
      <c r="CF91" s="256" t="inlineStr">
        <is>
          <t>—</t>
        </is>
      </c>
      <c r="CG91" s="256" t="inlineStr">
        <is>
          <t>—</t>
        </is>
      </c>
      <c r="CH91" s="256" t="inlineStr">
        <is>
          <t>—</t>
        </is>
      </c>
      <c r="CI91" s="260" t="inlineStr">
        <is>
          <t>upon request — not required for release</t>
        </is>
      </c>
      <c r="CJ91" s="256" t="inlineStr">
        <is>
          <t>—</t>
        </is>
      </c>
      <c r="CK91" s="256" t="inlineStr">
        <is>
          <t>—</t>
        </is>
      </c>
      <c r="CL91" s="256" t="inlineStr">
        <is>
          <t>—</t>
        </is>
      </c>
      <c r="CM91" s="256" t="inlineStr">
        <is>
          <t>ND</t>
        </is>
      </c>
      <c r="CN91" s="256" t="inlineStr">
        <is>
          <t>197-7-М/26</t>
        </is>
      </c>
      <c r="CO91" s="256" t="inlineStr">
        <is>
          <t>10.08.2026</t>
        </is>
      </c>
      <c r="CP91" s="256" t="inlineStr">
        <is>
          <t>Farmahem</t>
        </is>
      </c>
      <c r="CQ91" s="256" t="inlineStr">
        <is>
          <t>ND</t>
        </is>
      </c>
      <c r="CR91" s="256" t="inlineStr">
        <is>
          <t>197-7-М/26</t>
        </is>
      </c>
      <c r="CS91" s="256" t="inlineStr">
        <is>
          <t>10.08.2026</t>
        </is>
      </c>
      <c r="CT91" s="256" t="inlineStr">
        <is>
          <t>Farmahem</t>
        </is>
      </c>
      <c r="CU91" s="256" t="inlineStr">
        <is>
          <t>ND</t>
        </is>
      </c>
      <c r="CV91" s="256" t="inlineStr">
        <is>
          <t>197-7-М/26</t>
        </is>
      </c>
      <c r="CW91" s="256" t="inlineStr">
        <is>
          <t>10.08.2026</t>
        </is>
      </c>
      <c r="CX91" s="256" t="inlineStr">
        <is>
          <t>Farmahem</t>
        </is>
      </c>
      <c r="CY91" s="256" t="inlineStr">
        <is>
          <t>carried from the initial testing — not tested</t>
        </is>
      </c>
      <c r="CZ91" s="256" t="inlineStr">
        <is>
          <t>—</t>
        </is>
      </c>
      <c r="DA91" s="256" t="inlineStr">
        <is>
          <t>—</t>
        </is>
      </c>
      <c r="DB91" s="256" t="inlineStr">
        <is>
          <t>—</t>
        </is>
      </c>
      <c r="DC91" s="256" t="inlineStr">
        <is>
          <t>carried from the initial testing — not tested</t>
        </is>
      </c>
      <c r="DD91" s="256" t="inlineStr">
        <is>
          <t>—</t>
        </is>
      </c>
      <c r="DE91" s="256" t="inlineStr">
        <is>
          <t>—</t>
        </is>
      </c>
      <c r="DF91" s="256" t="inlineStr">
        <is>
          <t>—</t>
        </is>
      </c>
      <c r="DG91" s="256" t="inlineStr">
        <is>
          <t>carried from the initial testing — not tested</t>
        </is>
      </c>
      <c r="DH91" s="256" t="inlineStr">
        <is>
          <t>—</t>
        </is>
      </c>
      <c r="DI91" s="256" t="inlineStr">
        <is>
          <t>—</t>
        </is>
      </c>
      <c r="DJ91" s="256" t="inlineStr">
        <is>
          <t>—</t>
        </is>
      </c>
      <c r="DK91" s="256" t="inlineStr">
        <is>
          <t>carried from the initial testing — not tested</t>
        </is>
      </c>
      <c r="DL91" s="256" t="inlineStr">
        <is>
          <t>—</t>
        </is>
      </c>
      <c r="DM91" s="256" t="inlineStr">
        <is>
          <t>—</t>
        </is>
      </c>
      <c r="DN91" s="256" t="inlineStr">
        <is>
          <t>—</t>
        </is>
      </c>
      <c r="DO91" s="256" t="inlineStr">
        <is>
          <t>carried from the initial testing — not tested</t>
        </is>
      </c>
      <c r="DP91" s="256" t="inlineStr">
        <is>
          <t>—</t>
        </is>
      </c>
      <c r="DQ91" s="256" t="inlineStr">
        <is>
          <t>—</t>
        </is>
      </c>
      <c r="DR91" s="256" t="inlineStr">
        <is>
          <t>—</t>
        </is>
      </c>
    </row>
    <row r="92">
      <c r="A92" s="256" t="inlineStr">
        <is>
          <t>CoQ-PP_26-091</t>
        </is>
      </c>
      <c r="B92" s="256" t="inlineStr">
        <is>
          <t>reissue — retest</t>
        </is>
      </c>
      <c r="C92" s="256" t="inlineStr">
        <is>
          <t>issuable</t>
        </is>
      </c>
      <c r="D92" s="256" t="inlineStr">
        <is>
          <t>17.08.2026</t>
        </is>
      </c>
      <c r="E92" s="256" t="inlineStr">
        <is>
          <t>CoQ-PP_26-077 of 07.07.2026</t>
        </is>
      </c>
      <c r="F92" s="256" t="inlineStr">
        <is>
          <t>(assigned on issue)</t>
        </is>
      </c>
      <c r="G92" s="256" t="inlineStr">
        <is>
          <t>GG012603</t>
        </is>
      </c>
      <c r="H92" s="256" t="inlineStr">
        <is>
          <t>P060402</t>
        </is>
      </c>
      <c r="I92" s="256" t="inlineStr">
        <is>
          <t>Gorilla Glue</t>
        </is>
      </c>
      <c r="J92" s="256" t="inlineStr">
        <is>
          <t>04.05.2026</t>
        </is>
      </c>
      <c r="K92" s="256" t="inlineStr">
        <is>
          <t>24.05.2026</t>
        </is>
      </c>
      <c r="L92" s="256" t="inlineStr">
        <is>
          <t>04.05.2026</t>
        </is>
      </c>
      <c r="M92" s="256" t="inlineStr">
        <is>
          <t>24.05.2026</t>
        </is>
      </c>
      <c r="N92" s="256" t="inlineStr">
        <is>
          <t>iCoA-PP_26-110</t>
        </is>
      </c>
      <c r="O92" s="256" t="inlineStr">
        <is>
          <t>27.07.2026</t>
        </is>
      </c>
      <c r="P92" s="256" t="inlineStr">
        <is>
          <t>22.07.2026</t>
        </is>
      </c>
      <c r="Q92" s="256" t="inlineStr">
        <is>
          <t>Tranche 1</t>
        </is>
      </c>
      <c r="R92" s="256" t="inlineStr">
        <is>
          <t>16.70</t>
        </is>
      </c>
      <c r="S92" s="256" t="inlineStr">
        <is>
          <t>197-8-К/26</t>
        </is>
      </c>
      <c r="T92" s="256" t="inlineStr">
        <is>
          <t>I</t>
        </is>
      </c>
      <c r="U92" s="256" t="inlineStr">
        <is>
          <t>16.23 – 19.76 %</t>
        </is>
      </c>
      <c r="V92" s="256" t="inlineStr">
        <is>
          <t>GG_THC18 : CBD1</t>
        </is>
      </c>
      <c r="W92" s="256" t="inlineStr">
        <is>
          <t>QCSP_001_GG-I_v.01</t>
        </is>
      </c>
      <c r="X92" s="256" t="inlineStr">
        <is>
          <t>for review — replaces the issued QCSP_001_GG-I_v.01 (was GG_THC18 : CBD1, 17.01 – 18.99 %); now GG_THC18 : CBD1 16.23 – 19.76 %</t>
        </is>
      </c>
      <c r="Y92" s="256" t="inlineStr">
        <is>
          <t>INDICA</t>
        </is>
      </c>
      <c r="Z92" s="256" t="inlineStr">
        <is>
          <t>THC</t>
        </is>
      </c>
      <c r="AA92" s="256" t="inlineStr">
        <is>
          <t>MACHINE TRIMMED</t>
        </is>
      </c>
      <c r="AB92" s="256" t="inlineStr">
        <is>
          <t>—</t>
        </is>
      </c>
      <c r="AC92" s="256" t="inlineStr">
        <is>
          <t>Triplex Alu Bag | Триплекс Aлу Kеса, PET 12 · ALU 7 · PE 80, 300 × 500 mm, net. 400.0 g ±3%</t>
        </is>
      </c>
      <c r="AD92" s="256" t="inlineStr">
        <is>
          <t>10.08.2026</t>
        </is>
      </c>
      <c r="AE92" s="256" t="inlineStr">
        <is>
          <t>Conforms | Одговара</t>
        </is>
      </c>
      <c r="AF92" s="256" t="inlineStr">
        <is>
          <t>ППК26114</t>
        </is>
      </c>
      <c r="AG92" s="256" t="inlineStr">
        <is>
          <t>30.06.2026</t>
        </is>
      </c>
      <c r="AH92" s="256" t="inlineStr">
        <is>
          <t>UKIM Faculty of Pharmacy — Center for Natural Products</t>
        </is>
      </c>
      <c r="AI92" s="256" t="inlineStr">
        <is>
          <t>Conforms | Одговара</t>
        </is>
      </c>
      <c r="AJ92" s="256" t="inlineStr">
        <is>
          <t>ППК26114</t>
        </is>
      </c>
      <c r="AK92" s="256" t="inlineStr">
        <is>
          <t>30.06.2026</t>
        </is>
      </c>
      <c r="AL92" s="256" t="inlineStr">
        <is>
          <t>UKIM Faculty of Pharmacy — Center for Natural Products</t>
        </is>
      </c>
      <c r="AM92" s="256" t="inlineStr">
        <is>
          <t>Conforms | Одговара</t>
        </is>
      </c>
      <c r="AN92" s="256" t="inlineStr">
        <is>
          <t>197-8-К/26</t>
        </is>
      </c>
      <c r="AO92" s="256" t="inlineStr">
        <is>
          <t>07.08.2026</t>
        </is>
      </c>
      <c r="AP92" s="256" t="inlineStr">
        <is>
          <t>Farmahem</t>
        </is>
      </c>
      <c r="AQ92" s="256" t="inlineStr">
        <is>
          <t>16.70</t>
        </is>
      </c>
      <c r="AR92" s="256" t="inlineStr">
        <is>
          <t>197-8-К/26</t>
        </is>
      </c>
      <c r="AS92" s="256" t="inlineStr">
        <is>
          <t>07.08.2026</t>
        </is>
      </c>
      <c r="AT92" s="256" t="inlineStr">
        <is>
          <t>Farmahem</t>
        </is>
      </c>
      <c r="AU92" s="256" t="inlineStr">
        <is>
          <t>&lt; LOQ</t>
        </is>
      </c>
      <c r="AV92" s="256" t="inlineStr">
        <is>
          <t>197-8-К/26</t>
        </is>
      </c>
      <c r="AW92" s="256" t="inlineStr">
        <is>
          <t>07.08.2026</t>
        </is>
      </c>
      <c r="AX92" s="256" t="inlineStr">
        <is>
          <t>Farmahem</t>
        </is>
      </c>
      <c r="AY92" s="256" t="inlineStr">
        <is>
          <t>&lt; LOQ</t>
        </is>
      </c>
      <c r="AZ92" s="256" t="inlineStr">
        <is>
          <t>197-8-К/26</t>
        </is>
      </c>
      <c r="BA92" s="256" t="inlineStr">
        <is>
          <t>07.08.2026</t>
        </is>
      </c>
      <c r="BB92" s="256" t="inlineStr">
        <is>
          <t>Farmahem</t>
        </is>
      </c>
      <c r="BC92" s="256" t="inlineStr">
        <is>
          <t>Conforms | Одговара</t>
        </is>
      </c>
      <c r="BD92" s="256" t="inlineStr">
        <is>
          <t>ППК26114</t>
        </is>
      </c>
      <c r="BE92" s="256" t="inlineStr">
        <is>
          <t>30.06.2026</t>
        </is>
      </c>
      <c r="BF92" s="256" t="inlineStr">
        <is>
          <t>UKIM Faculty of Pharmacy — Center for Natural Products</t>
        </is>
      </c>
      <c r="BG92" s="256" t="inlineStr">
        <is>
          <t>6.48</t>
        </is>
      </c>
      <c r="BH92" s="256" t="inlineStr">
        <is>
          <t>ППК26114</t>
        </is>
      </c>
      <c r="BI92" s="256" t="inlineStr">
        <is>
          <t>30.06.2026</t>
        </is>
      </c>
      <c r="BJ92" s="256" t="inlineStr">
        <is>
          <t>UKIM Faculty of Pharmacy — Center for Natural Products</t>
        </is>
      </c>
      <c r="BK92" s="256" t="inlineStr">
        <is>
          <t>5 × 10³</t>
        </is>
      </c>
      <c r="BL92" s="256" t="inlineStr">
        <is>
          <t>404/0787/26</t>
        </is>
      </c>
      <c r="BM92" s="256" t="inlineStr">
        <is>
          <t>24.06.2026</t>
        </is>
      </c>
      <c r="BN92" s="256" t="inlineStr">
        <is>
          <t>IPH — Institute of Public Health</t>
        </is>
      </c>
      <c r="BO92" s="256" t="inlineStr">
        <is>
          <t>4.1 × 10³</t>
        </is>
      </c>
      <c r="BP92" s="256" t="inlineStr">
        <is>
          <t>404/0787/26</t>
        </is>
      </c>
      <c r="BQ92" s="256" t="inlineStr">
        <is>
          <t>24.06.2026</t>
        </is>
      </c>
      <c r="BR92" s="256" t="inlineStr">
        <is>
          <t>IPH — Institute of Public Health</t>
        </is>
      </c>
      <c r="BS92" s="256" t="inlineStr">
        <is>
          <t>&lt; 10</t>
        </is>
      </c>
      <c r="BT92" s="256" t="inlineStr">
        <is>
          <t>404/0787/26</t>
        </is>
      </c>
      <c r="BU92" s="256" t="inlineStr">
        <is>
          <t>24.06.2026</t>
        </is>
      </c>
      <c r="BV92" s="256" t="inlineStr">
        <is>
          <t>IPH — Institute of Public Health</t>
        </is>
      </c>
      <c r="BW92" s="256" t="inlineStr">
        <is>
          <t>Absent | Отсутна</t>
        </is>
      </c>
      <c r="BX92" s="256" t="inlineStr">
        <is>
          <t>404/0787/26</t>
        </is>
      </c>
      <c r="BY92" s="256" t="inlineStr">
        <is>
          <t>24.06.2026</t>
        </is>
      </c>
      <c r="BZ92" s="256" t="inlineStr">
        <is>
          <t>IPH — Institute of Public Health</t>
        </is>
      </c>
      <c r="CA92" s="256" t="inlineStr">
        <is>
          <t>Absent | Отсутна</t>
        </is>
      </c>
      <c r="CB92" s="256" t="inlineStr">
        <is>
          <t>404/0787/26</t>
        </is>
      </c>
      <c r="CC92" s="256" t="inlineStr">
        <is>
          <t>24.06.2026</t>
        </is>
      </c>
      <c r="CD92" s="256" t="inlineStr">
        <is>
          <t>IPH — Institute of Public Health</t>
        </is>
      </c>
      <c r="CE92" s="260" t="inlineStr">
        <is>
          <t>upon request — not required for release</t>
        </is>
      </c>
      <c r="CF92" s="256" t="inlineStr">
        <is>
          <t>—</t>
        </is>
      </c>
      <c r="CG92" s="256" t="inlineStr">
        <is>
          <t>—</t>
        </is>
      </c>
      <c r="CH92" s="256" t="inlineStr">
        <is>
          <t>—</t>
        </is>
      </c>
      <c r="CI92" s="260" t="inlineStr">
        <is>
          <t>upon request — not required for release</t>
        </is>
      </c>
      <c r="CJ92" s="256" t="inlineStr">
        <is>
          <t>—</t>
        </is>
      </c>
      <c r="CK92" s="256" t="inlineStr">
        <is>
          <t>—</t>
        </is>
      </c>
      <c r="CL92" s="256" t="inlineStr">
        <is>
          <t>—</t>
        </is>
      </c>
      <c r="CM92" s="256" t="inlineStr">
        <is>
          <t>ND</t>
        </is>
      </c>
      <c r="CN92" s="256" t="inlineStr">
        <is>
          <t>197-8-М/26</t>
        </is>
      </c>
      <c r="CO92" s="256" t="inlineStr">
        <is>
          <t>10.08.2026</t>
        </is>
      </c>
      <c r="CP92" s="256" t="inlineStr">
        <is>
          <t>Farmahem</t>
        </is>
      </c>
      <c r="CQ92" s="256" t="inlineStr">
        <is>
          <t>ND</t>
        </is>
      </c>
      <c r="CR92" s="256" t="inlineStr">
        <is>
          <t>197-8-М/26</t>
        </is>
      </c>
      <c r="CS92" s="256" t="inlineStr">
        <is>
          <t>10.08.2026</t>
        </is>
      </c>
      <c r="CT92" s="256" t="inlineStr">
        <is>
          <t>Farmahem</t>
        </is>
      </c>
      <c r="CU92" s="256" t="inlineStr">
        <is>
          <t>ND</t>
        </is>
      </c>
      <c r="CV92" s="256" t="inlineStr">
        <is>
          <t>197-8-М/26</t>
        </is>
      </c>
      <c r="CW92" s="256" t="inlineStr">
        <is>
          <t>10.08.2026</t>
        </is>
      </c>
      <c r="CX92" s="256" t="inlineStr">
        <is>
          <t>Farmahem</t>
        </is>
      </c>
      <c r="CY92" s="256" t="inlineStr">
        <is>
          <t>0.059</t>
        </is>
      </c>
      <c r="CZ92" s="256" t="inlineStr">
        <is>
          <t>3659/2026</t>
        </is>
      </c>
      <c r="DA92" s="256" t="inlineStr">
        <is>
          <t>22.06.2026</t>
        </is>
      </c>
      <c r="DB92" s="256" t="inlineStr">
        <is>
          <t>IPH — Institute of Public Health</t>
        </is>
      </c>
      <c r="DC92" s="256" t="inlineStr">
        <is>
          <t>0.03</t>
        </is>
      </c>
      <c r="DD92" s="256" t="inlineStr">
        <is>
          <t>3659/2026</t>
        </is>
      </c>
      <c r="DE92" s="256" t="inlineStr">
        <is>
          <t>22.06.2026</t>
        </is>
      </c>
      <c r="DF92" s="256" t="inlineStr">
        <is>
          <t>IPH — Institute of Public Health</t>
        </is>
      </c>
      <c r="DG92" s="256" t="inlineStr">
        <is>
          <t>0.05</t>
        </is>
      </c>
      <c r="DH92" s="256" t="inlineStr">
        <is>
          <t>3659/2026</t>
        </is>
      </c>
      <c r="DI92" s="256" t="inlineStr">
        <is>
          <t>22.06.2026</t>
        </is>
      </c>
      <c r="DJ92" s="256" t="inlineStr">
        <is>
          <t>IPH — Institute of Public Health</t>
        </is>
      </c>
      <c r="DK92" s="256" t="inlineStr">
        <is>
          <t>0.015</t>
        </is>
      </c>
      <c r="DL92" s="256" t="inlineStr">
        <is>
          <t>3659/2026</t>
        </is>
      </c>
      <c r="DM92" s="256" t="inlineStr">
        <is>
          <t>22.06.2026</t>
        </is>
      </c>
      <c r="DN92" s="256" t="inlineStr">
        <is>
          <t>IPH — Institute of Public Health</t>
        </is>
      </c>
      <c r="DO92" s="256" t="inlineStr">
        <is>
          <t>&lt; 0,01 mg/kg — all 22 residues</t>
        </is>
      </c>
      <c r="DP92" s="256" t="inlineStr">
        <is>
          <t>3659/2026</t>
        </is>
      </c>
      <c r="DQ92" s="256" t="inlineStr">
        <is>
          <t>22.06.2026</t>
        </is>
      </c>
      <c r="DR92" s="256" t="inlineStr">
        <is>
          <t>IJZ</t>
        </is>
      </c>
    </row>
    <row r="93">
      <c r="A93" s="256" t="inlineStr">
        <is>
          <t>CoQ-PP_26-092</t>
        </is>
      </c>
      <c r="B93" s="256" t="inlineStr">
        <is>
          <t>reissue — retest</t>
        </is>
      </c>
      <c r="C93" s="256" t="inlineStr">
        <is>
          <t>issuable</t>
        </is>
      </c>
      <c r="D93" s="256" t="inlineStr">
        <is>
          <t>17.08.2026</t>
        </is>
      </c>
      <c r="E93" s="256" t="inlineStr">
        <is>
          <t>CoQ-PP_26-015 of 06.06.2026</t>
        </is>
      </c>
      <c r="F93" s="256" t="inlineStr">
        <is>
          <t>CoQ-PP-2026-0038</t>
        </is>
      </c>
      <c r="G93" s="256" t="inlineStr">
        <is>
          <t>GG1024_01</t>
        </is>
      </c>
      <c r="H93" s="256" t="inlineStr">
        <is>
          <t>P050092</t>
        </is>
      </c>
      <c r="I93" s="256" t="inlineStr">
        <is>
          <t>Gorilla Glue</t>
        </is>
      </c>
      <c r="J93" s="256" t="inlineStr">
        <is>
          <t>17.03.2025 – 18.03.2025</t>
        </is>
      </c>
      <c r="K93" s="256" t="inlineStr">
        <is>
          <t>31.07.2025 – 05.08.2025</t>
        </is>
      </c>
      <c r="L93" s="256" t="inlineStr">
        <is>
          <t>17.03.2025</t>
        </is>
      </c>
      <c r="M93" s="256" t="inlineStr">
        <is>
          <t>31.07.2025</t>
        </is>
      </c>
      <c r="N93" s="256" t="inlineStr">
        <is>
          <t>iCoA-PP_26-106</t>
        </is>
      </c>
      <c r="O93" s="256" t="inlineStr">
        <is>
          <t>27.07.2026</t>
        </is>
      </c>
      <c r="P93" s="256" t="inlineStr">
        <is>
          <t>22.07.2026</t>
        </is>
      </c>
      <c r="Q93" s="256" t="inlineStr">
        <is>
          <t>Tranche 1</t>
        </is>
      </c>
      <c r="R93" s="256" t="inlineStr">
        <is>
          <t>18.67</t>
        </is>
      </c>
      <c r="S93" s="256" t="inlineStr">
        <is>
          <t>197-9-К/26</t>
        </is>
      </c>
      <c r="T93" s="256" t="inlineStr">
        <is>
          <t>I</t>
        </is>
      </c>
      <c r="U93" s="256" t="inlineStr">
        <is>
          <t>16.23 – 19.76 %</t>
        </is>
      </c>
      <c r="V93" s="256" t="inlineStr">
        <is>
          <t>GG_THC18 : CBD1</t>
        </is>
      </c>
      <c r="W93" s="256" t="inlineStr">
        <is>
          <t>QCSP_001_GG-I_v.01</t>
        </is>
      </c>
      <c r="X93" s="256" t="inlineStr">
        <is>
          <t>for review — replaces the issued QCSP_001_GG-I_v.01 (was GG_THC18 : CBD1, 17.01 – 18.99 %); now GG_THC18 : CBD1 16.23 – 19.76 %</t>
        </is>
      </c>
      <c r="Y93" s="256" t="inlineStr">
        <is>
          <t>INDICA</t>
        </is>
      </c>
      <c r="Z93" s="256" t="inlineStr">
        <is>
          <t>THC</t>
        </is>
      </c>
      <c r="AA93" s="256" t="inlineStr">
        <is>
          <t>MACHINE TRIMMED</t>
        </is>
      </c>
      <c r="AB93" s="256" t="inlineStr">
        <is>
          <t>—</t>
        </is>
      </c>
      <c r="AC93" s="256" t="inlineStr">
        <is>
          <t>Triplex Alu Bag | Триплекс Aлу Kеса, PET 12 · ALU 7 · PE 80, 300 × 500 mm, net. 400.0 g ±3%</t>
        </is>
      </c>
      <c r="AD93" s="256" t="inlineStr">
        <is>
          <t>10.08.2026</t>
        </is>
      </c>
      <c r="AE93" s="256" t="inlineStr">
        <is>
          <t>Conforms | Одговара</t>
        </is>
      </c>
      <c r="AF93" s="256" t="inlineStr">
        <is>
          <t>iCoA-PP_26-106</t>
        </is>
      </c>
      <c r="AG93" s="256" t="inlineStr">
        <is>
          <t>27.07.2026</t>
        </is>
      </c>
      <c r="AH93" s="256" t="inlineStr">
        <is>
          <t>Purely Plant GmbH (in-house)</t>
        </is>
      </c>
      <c r="AI93" s="256" t="inlineStr">
        <is>
          <t>Conforms | Одговара</t>
        </is>
      </c>
      <c r="AJ93" s="256" t="inlineStr">
        <is>
          <t>iCoA-PP_26-106</t>
        </is>
      </c>
      <c r="AK93" s="256" t="inlineStr">
        <is>
          <t>27.07.2026</t>
        </is>
      </c>
      <c r="AL93" s="256" t="inlineStr">
        <is>
          <t>Purely Plant GmbH (in-house)</t>
        </is>
      </c>
      <c r="AM93" s="256" t="inlineStr">
        <is>
          <t>Conforms | Одговара</t>
        </is>
      </c>
      <c r="AN93" s="256" t="inlineStr">
        <is>
          <t>197-9-К/26</t>
        </is>
      </c>
      <c r="AO93" s="256" t="inlineStr">
        <is>
          <t>07.08.2026</t>
        </is>
      </c>
      <c r="AP93" s="256" t="inlineStr">
        <is>
          <t>Farmahem</t>
        </is>
      </c>
      <c r="AQ93" s="256" t="inlineStr">
        <is>
          <t>18.67</t>
        </is>
      </c>
      <c r="AR93" s="256" t="inlineStr">
        <is>
          <t>197-9-К/26</t>
        </is>
      </c>
      <c r="AS93" s="256" t="inlineStr">
        <is>
          <t>07.08.2026</t>
        </is>
      </c>
      <c r="AT93" s="256" t="inlineStr">
        <is>
          <t>Farmahem</t>
        </is>
      </c>
      <c r="AU93" s="256" t="inlineStr">
        <is>
          <t>&lt; LOQ</t>
        </is>
      </c>
      <c r="AV93" s="256" t="inlineStr">
        <is>
          <t>197-9-К/26</t>
        </is>
      </c>
      <c r="AW93" s="256" t="inlineStr">
        <is>
          <t>07.08.2026</t>
        </is>
      </c>
      <c r="AX93" s="256" t="inlineStr">
        <is>
          <t>Farmahem</t>
        </is>
      </c>
      <c r="AY93" s="256" t="inlineStr">
        <is>
          <t>0.20</t>
        </is>
      </c>
      <c r="AZ93" s="256" t="inlineStr">
        <is>
          <t>197-9-К/26</t>
        </is>
      </c>
      <c r="BA93" s="256" t="inlineStr">
        <is>
          <t>07.08.2026</t>
        </is>
      </c>
      <c r="BB93" s="256" t="inlineStr">
        <is>
          <t>Farmahem</t>
        </is>
      </c>
      <c r="BC93" s="256" t="inlineStr">
        <is>
          <t>Conforms | Одговара</t>
        </is>
      </c>
      <c r="BD93" s="256" t="inlineStr">
        <is>
          <t>iCoA-PP_26-106</t>
        </is>
      </c>
      <c r="BE93" s="256" t="inlineStr">
        <is>
          <t>27.07.2026</t>
        </is>
      </c>
      <c r="BF93" s="256" t="inlineStr">
        <is>
          <t>Purely Plant GmbH (in-house)</t>
        </is>
      </c>
      <c r="BG93" s="256" t="inlineStr">
        <is>
          <t>7.54</t>
        </is>
      </c>
      <c r="BH93" s="256" t="inlineStr">
        <is>
          <t>ППК25104</t>
        </is>
      </c>
      <c r="BI93" s="256" t="inlineStr">
        <is>
          <t>17.04.2025</t>
        </is>
      </c>
      <c r="BJ93" s="256" t="inlineStr">
        <is>
          <t>UKIM Faculty of Pharmacy — Center for Natural Products</t>
        </is>
      </c>
      <c r="BK93" s="256" t="inlineStr">
        <is>
          <t>5.1 × 10⁴</t>
        </is>
      </c>
      <c r="BL93" s="256" t="inlineStr">
        <is>
          <t>320/0587/25</t>
        </is>
      </c>
      <c r="BM93" s="256" t="inlineStr">
        <is>
          <t>14.04.2025</t>
        </is>
      </c>
      <c r="BN93" s="256" t="inlineStr">
        <is>
          <t>IPH — Institute of Public Health</t>
        </is>
      </c>
      <c r="BO93" s="256" t="inlineStr">
        <is>
          <t>4.2 × 10⁴</t>
        </is>
      </c>
      <c r="BP93" s="256" t="inlineStr">
        <is>
          <t>320/0587/25</t>
        </is>
      </c>
      <c r="BQ93" s="256" t="inlineStr">
        <is>
          <t>14.04.2025</t>
        </is>
      </c>
      <c r="BR93" s="256" t="inlineStr">
        <is>
          <t>IPH — Institute of Public Health</t>
        </is>
      </c>
      <c r="BS93" s="256" t="inlineStr">
        <is>
          <t>&lt; 10</t>
        </is>
      </c>
      <c r="BT93" s="256" t="inlineStr">
        <is>
          <t>320/0587/25</t>
        </is>
      </c>
      <c r="BU93" s="256" t="inlineStr">
        <is>
          <t>14.04.2025</t>
        </is>
      </c>
      <c r="BV93" s="256" t="inlineStr">
        <is>
          <t>IPH — Institute of Public Health</t>
        </is>
      </c>
      <c r="BW93" s="256" t="inlineStr">
        <is>
          <t>Absent | Отсутна</t>
        </is>
      </c>
      <c r="BX93" s="256" t="inlineStr">
        <is>
          <t>320/0587/25</t>
        </is>
      </c>
      <c r="BY93" s="256" t="inlineStr">
        <is>
          <t>14.04.2025</t>
        </is>
      </c>
      <c r="BZ93" s="256" t="inlineStr">
        <is>
          <t>IPH — Institute of Public Health</t>
        </is>
      </c>
      <c r="CA93" s="256" t="inlineStr">
        <is>
          <t>Absent | Отсутна</t>
        </is>
      </c>
      <c r="CB93" s="256" t="inlineStr">
        <is>
          <t>320/0587/25</t>
        </is>
      </c>
      <c r="CC93" s="256" t="inlineStr">
        <is>
          <t>14.04.2025</t>
        </is>
      </c>
      <c r="CD93" s="256" t="inlineStr">
        <is>
          <t>IPH — Institute of Public Health</t>
        </is>
      </c>
      <c r="CE93" s="260" t="inlineStr">
        <is>
          <t>upon request — not required for release</t>
        </is>
      </c>
      <c r="CF93" s="256" t="inlineStr">
        <is>
          <t>—</t>
        </is>
      </c>
      <c r="CG93" s="256" t="inlineStr">
        <is>
          <t>—</t>
        </is>
      </c>
      <c r="CH93" s="256" t="inlineStr">
        <is>
          <t>—</t>
        </is>
      </c>
      <c r="CI93" s="260" t="inlineStr">
        <is>
          <t>upon request — not required for release</t>
        </is>
      </c>
      <c r="CJ93" s="256" t="inlineStr">
        <is>
          <t>—</t>
        </is>
      </c>
      <c r="CK93" s="256" t="inlineStr">
        <is>
          <t>—</t>
        </is>
      </c>
      <c r="CL93" s="256" t="inlineStr">
        <is>
          <t>—</t>
        </is>
      </c>
      <c r="CM93" s="256" t="inlineStr">
        <is>
          <t>ND</t>
        </is>
      </c>
      <c r="CN93" s="256" t="inlineStr">
        <is>
          <t>197-9-М/26</t>
        </is>
      </c>
      <c r="CO93" s="256" t="inlineStr">
        <is>
          <t>10.08.2026</t>
        </is>
      </c>
      <c r="CP93" s="256" t="inlineStr">
        <is>
          <t>Farmahem</t>
        </is>
      </c>
      <c r="CQ93" s="256" t="inlineStr">
        <is>
          <t>ND</t>
        </is>
      </c>
      <c r="CR93" s="256" t="inlineStr">
        <is>
          <t>197-9-М/26</t>
        </is>
      </c>
      <c r="CS93" s="256" t="inlineStr">
        <is>
          <t>10.08.2026</t>
        </is>
      </c>
      <c r="CT93" s="256" t="inlineStr">
        <is>
          <t>Farmahem</t>
        </is>
      </c>
      <c r="CU93" s="256" t="inlineStr">
        <is>
          <t>ND</t>
        </is>
      </c>
      <c r="CV93" s="256" t="inlineStr">
        <is>
          <t>197-9-М/26</t>
        </is>
      </c>
      <c r="CW93" s="256" t="inlineStr">
        <is>
          <t>10.08.2026</t>
        </is>
      </c>
      <c r="CX93" s="256" t="inlineStr">
        <is>
          <t>Farmahem</t>
        </is>
      </c>
      <c r="CY93" s="256" t="inlineStr">
        <is>
          <t>0.02</t>
        </is>
      </c>
      <c r="CZ93" s="256" t="inlineStr">
        <is>
          <t>1766/2025</t>
        </is>
      </c>
      <c r="DA93" s="256" t="inlineStr">
        <is>
          <t>11.04.2025</t>
        </is>
      </c>
      <c r="DB93" s="256" t="inlineStr">
        <is>
          <t>IPH — Institute of Public Health</t>
        </is>
      </c>
      <c r="DC93" s="256" t="inlineStr">
        <is>
          <t>0.007</t>
        </is>
      </c>
      <c r="DD93" s="256" t="inlineStr">
        <is>
          <t>1766/2025</t>
        </is>
      </c>
      <c r="DE93" s="256" t="inlineStr">
        <is>
          <t>11.04.2025</t>
        </is>
      </c>
      <c r="DF93" s="256" t="inlineStr">
        <is>
          <t>IPH — Institute of Public Health</t>
        </is>
      </c>
      <c r="DG93" s="256" t="inlineStr">
        <is>
          <t>0.015</t>
        </is>
      </c>
      <c r="DH93" s="256" t="inlineStr">
        <is>
          <t>1766/2025</t>
        </is>
      </c>
      <c r="DI93" s="256" t="inlineStr">
        <is>
          <t>11.04.2025</t>
        </is>
      </c>
      <c r="DJ93" s="256" t="inlineStr">
        <is>
          <t>IPH — Institute of Public Health</t>
        </is>
      </c>
      <c r="DK93" s="256" t="inlineStr">
        <is>
          <t>0.005</t>
        </is>
      </c>
      <c r="DL93" s="256" t="inlineStr">
        <is>
          <t>1766/2025</t>
        </is>
      </c>
      <c r="DM93" s="256" t="inlineStr">
        <is>
          <t>11.04.2025</t>
        </is>
      </c>
      <c r="DN93" s="256" t="inlineStr">
        <is>
          <t>IPH — Institute of Public Health</t>
        </is>
      </c>
      <c r="DO93" s="256" t="inlineStr">
        <is>
          <t>ND</t>
        </is>
      </c>
      <c r="DP93" s="256" t="inlineStr">
        <is>
          <t>1766/2025</t>
        </is>
      </c>
      <c r="DQ93" s="256" t="inlineStr">
        <is>
          <t>11.04.2025</t>
        </is>
      </c>
      <c r="DR93" s="256" t="inlineStr">
        <is>
          <t>IPH — Institute of Public Health</t>
        </is>
      </c>
    </row>
    <row r="94">
      <c r="A94" s="256" t="inlineStr">
        <is>
          <t>CoQ-PP_26-093</t>
        </is>
      </c>
      <c r="B94" s="256" t="inlineStr">
        <is>
          <t>reissue — retest</t>
        </is>
      </c>
      <c r="C94" s="256" t="inlineStr">
        <is>
          <t>issuable</t>
        </is>
      </c>
      <c r="D94" s="256" t="inlineStr">
        <is>
          <t>17.08.2026</t>
        </is>
      </c>
      <c r="E94" s="256" t="inlineStr">
        <is>
          <t>CoQ-PP_26-020 of 06.06.2026</t>
        </is>
      </c>
      <c r="F94" s="256" t="inlineStr">
        <is>
          <t>(assigned on issue)</t>
        </is>
      </c>
      <c r="G94" s="256" t="inlineStr">
        <is>
          <t>GP052501</t>
        </is>
      </c>
      <c r="H94" s="256" t="inlineStr">
        <is>
          <t>P050152</t>
        </is>
      </c>
      <c r="I94" s="256" t="inlineStr">
        <is>
          <t>Grape Pie</t>
        </is>
      </c>
      <c r="J94" s="256" t="inlineStr">
        <is>
          <t>]</t>
        </is>
      </c>
      <c r="K94" s="256" t="inlineStr">
        <is>
          <t>25.09.2025</t>
        </is>
      </c>
      <c r="L94" s="256" t="inlineStr">
        <is>
          <t>—</t>
        </is>
      </c>
      <c r="M94" s="256" t="inlineStr">
        <is>
          <t>25.09.2025</t>
        </is>
      </c>
      <c r="N94" s="256" t="inlineStr">
        <is>
          <t>iCoA-PP_26-107</t>
        </is>
      </c>
      <c r="O94" s="256" t="inlineStr">
        <is>
          <t>27.07.2026</t>
        </is>
      </c>
      <c r="P94" s="256" t="inlineStr">
        <is>
          <t>22.07.2026</t>
        </is>
      </c>
      <c r="Q94" s="256" t="inlineStr">
        <is>
          <t>Tranche 1</t>
        </is>
      </c>
      <c r="R94" s="256" t="inlineStr">
        <is>
          <t>18.52</t>
        </is>
      </c>
      <c r="S94" s="256" t="inlineStr">
        <is>
          <t>197-10-К/26</t>
        </is>
      </c>
      <c r="T94" s="256" t="inlineStr">
        <is>
          <t>III</t>
        </is>
      </c>
      <c r="U94" s="256" t="inlineStr">
        <is>
          <t>18.00 – 21.99 %</t>
        </is>
      </c>
      <c r="V94" s="256" t="inlineStr">
        <is>
          <t>GP_THC20 : CBD1</t>
        </is>
      </c>
      <c r="W94" s="256" t="inlineStr">
        <is>
          <t>QCSP_001_GP-III_v.01</t>
        </is>
      </c>
      <c r="X94" s="256" t="inlineStr">
        <is>
          <t>for review — replaces the issued QCSP_001_GP-III_v.01 (was GP_THC24 : CBD1, 22.61 – 25.39 %); now GP_THC20 : CBD1 18.00 – 21.99 %</t>
        </is>
      </c>
      <c r="Y94" s="256" t="inlineStr">
        <is>
          <t>HYBRID</t>
        </is>
      </c>
      <c r="Z94" s="256" t="inlineStr">
        <is>
          <t>THC</t>
        </is>
      </c>
      <c r="AA94" s="256" t="inlineStr">
        <is>
          <t>MACHINE TRIMMED</t>
        </is>
      </c>
      <c r="AB94" s="256" t="inlineStr">
        <is>
          <t>INDICA-DOMINANT</t>
        </is>
      </c>
      <c r="AC94" s="256" t="inlineStr">
        <is>
          <t>Triplex Alu Bag | Триплекс Aлу Kеса, PET 12 · ALU 7 · PE 80, 300 × 500 mm, net. 400.0 g ±3%</t>
        </is>
      </c>
      <c r="AD94" s="256" t="inlineStr">
        <is>
          <t>10.08.2026</t>
        </is>
      </c>
      <c r="AE94" s="256" t="inlineStr">
        <is>
          <t>Conforms | Одговара</t>
        </is>
      </c>
      <c r="AF94" s="256" t="inlineStr">
        <is>
          <t>iCoA-PP_26-107</t>
        </is>
      </c>
      <c r="AG94" s="256" t="inlineStr">
        <is>
          <t>27.07.2026</t>
        </is>
      </c>
      <c r="AH94" s="256" t="inlineStr">
        <is>
          <t>Purely Plant GmbH (in-house)</t>
        </is>
      </c>
      <c r="AI94" s="256" t="inlineStr">
        <is>
          <t>Conforms | Одговара</t>
        </is>
      </c>
      <c r="AJ94" s="256" t="inlineStr">
        <is>
          <t>iCoA-PP_26-107</t>
        </is>
      </c>
      <c r="AK94" s="256" t="inlineStr">
        <is>
          <t>27.07.2026</t>
        </is>
      </c>
      <c r="AL94" s="256" t="inlineStr">
        <is>
          <t>Purely Plant GmbH (in-house)</t>
        </is>
      </c>
      <c r="AM94" s="256" t="inlineStr">
        <is>
          <t>Conforms | Одговара</t>
        </is>
      </c>
      <c r="AN94" s="256" t="inlineStr">
        <is>
          <t>197-10-К/26</t>
        </is>
      </c>
      <c r="AO94" s="256" t="inlineStr">
        <is>
          <t>07.08.2026</t>
        </is>
      </c>
      <c r="AP94" s="256" t="inlineStr">
        <is>
          <t>Farmahem</t>
        </is>
      </c>
      <c r="AQ94" s="256" t="inlineStr">
        <is>
          <t>18.52</t>
        </is>
      </c>
      <c r="AR94" s="256" t="inlineStr">
        <is>
          <t>197-10-К/26</t>
        </is>
      </c>
      <c r="AS94" s="256" t="inlineStr">
        <is>
          <t>07.08.2026</t>
        </is>
      </c>
      <c r="AT94" s="256" t="inlineStr">
        <is>
          <t>Farmahem</t>
        </is>
      </c>
      <c r="AU94" s="256" t="inlineStr">
        <is>
          <t>&lt; LOQ</t>
        </is>
      </c>
      <c r="AV94" s="256" t="inlineStr">
        <is>
          <t>197-10-К/26</t>
        </is>
      </c>
      <c r="AW94" s="256" t="inlineStr">
        <is>
          <t>07.08.2026</t>
        </is>
      </c>
      <c r="AX94" s="256" t="inlineStr">
        <is>
          <t>Farmahem</t>
        </is>
      </c>
      <c r="AY94" s="256" t="inlineStr">
        <is>
          <t>&lt; LOQ</t>
        </is>
      </c>
      <c r="AZ94" s="256" t="inlineStr">
        <is>
          <t>197-10-К/26</t>
        </is>
      </c>
      <c r="BA94" s="256" t="inlineStr">
        <is>
          <t>07.08.2026</t>
        </is>
      </c>
      <c r="BB94" s="256" t="inlineStr">
        <is>
          <t>Farmahem</t>
        </is>
      </c>
      <c r="BC94" s="256" t="inlineStr">
        <is>
          <t>Conforms | Одговара</t>
        </is>
      </c>
      <c r="BD94" s="256" t="inlineStr">
        <is>
          <t>iCoA-PP_26-107</t>
        </is>
      </c>
      <c r="BE94" s="256" t="inlineStr">
        <is>
          <t>27.07.2026</t>
        </is>
      </c>
      <c r="BF94" s="256" t="inlineStr">
        <is>
          <t>Purely Plant GmbH (in-house)</t>
        </is>
      </c>
      <c r="BG94" s="256" t="inlineStr">
        <is>
          <t>7.30</t>
        </is>
      </c>
      <c r="BH94" s="256" t="inlineStr">
        <is>
          <t>ППК25279</t>
        </is>
      </c>
      <c r="BI94" s="256" t="inlineStr">
        <is>
          <t>19.09.2025</t>
        </is>
      </c>
      <c r="BJ94" s="256" t="inlineStr">
        <is>
          <t>UKIM Faculty of Pharmacy — Center for Natural Products</t>
        </is>
      </c>
      <c r="BK94" s="256" t="inlineStr">
        <is>
          <t>2.1 × 10⁴</t>
        </is>
      </c>
      <c r="BL94" s="256" t="inlineStr">
        <is>
          <t>946/1684/25</t>
        </is>
      </c>
      <c r="BM94" s="256" t="inlineStr">
        <is>
          <t>17.09.2025</t>
        </is>
      </c>
      <c r="BN94" s="256" t="inlineStr">
        <is>
          <t>IPH — Institute of Public Health</t>
        </is>
      </c>
      <c r="BO94" s="256" t="inlineStr">
        <is>
          <t>3.6 × 10⁴</t>
        </is>
      </c>
      <c r="BP94" s="256" t="inlineStr">
        <is>
          <t>946/1684/25</t>
        </is>
      </c>
      <c r="BQ94" s="256" t="inlineStr">
        <is>
          <t>17.09.2025</t>
        </is>
      </c>
      <c r="BR94" s="256" t="inlineStr">
        <is>
          <t>IPH — Institute of Public Health</t>
        </is>
      </c>
      <c r="BS94" s="256" t="inlineStr">
        <is>
          <t>&lt; 10² and &gt; 10¹</t>
        </is>
      </c>
      <c r="BT94" s="256" t="inlineStr">
        <is>
          <t>946/1684/25</t>
        </is>
      </c>
      <c r="BU94" s="256" t="inlineStr">
        <is>
          <t>17.09.2025</t>
        </is>
      </c>
      <c r="BV94" s="256" t="inlineStr">
        <is>
          <t>IPH — Institute of Public Health</t>
        </is>
      </c>
      <c r="BW94" s="256" t="inlineStr">
        <is>
          <t>Absent | Отсутна</t>
        </is>
      </c>
      <c r="BX94" s="256" t="inlineStr">
        <is>
          <t>946/1684/25</t>
        </is>
      </c>
      <c r="BY94" s="256" t="inlineStr">
        <is>
          <t>17.09.2025</t>
        </is>
      </c>
      <c r="BZ94" s="256" t="inlineStr">
        <is>
          <t>IPH — Institute of Public Health</t>
        </is>
      </c>
      <c r="CA94" s="256" t="inlineStr">
        <is>
          <t>Absent | Отсутна</t>
        </is>
      </c>
      <c r="CB94" s="256" t="inlineStr">
        <is>
          <t>946/1684/25</t>
        </is>
      </c>
      <c r="CC94" s="256" t="inlineStr">
        <is>
          <t>17.09.2025</t>
        </is>
      </c>
      <c r="CD94" s="256" t="inlineStr">
        <is>
          <t>IPH — Institute of Public Health</t>
        </is>
      </c>
      <c r="CE94" s="260" t="inlineStr">
        <is>
          <t>upon request — not required for release</t>
        </is>
      </c>
      <c r="CF94" s="256" t="inlineStr">
        <is>
          <t>—</t>
        </is>
      </c>
      <c r="CG94" s="256" t="inlineStr">
        <is>
          <t>—</t>
        </is>
      </c>
      <c r="CH94" s="256" t="inlineStr">
        <is>
          <t>—</t>
        </is>
      </c>
      <c r="CI94" s="260" t="inlineStr">
        <is>
          <t>upon request — not required for release</t>
        </is>
      </c>
      <c r="CJ94" s="256" t="inlineStr">
        <is>
          <t>—</t>
        </is>
      </c>
      <c r="CK94" s="256" t="inlineStr">
        <is>
          <t>—</t>
        </is>
      </c>
      <c r="CL94" s="256" t="inlineStr">
        <is>
          <t>—</t>
        </is>
      </c>
      <c r="CM94" s="256" t="inlineStr">
        <is>
          <t>ND</t>
        </is>
      </c>
      <c r="CN94" s="256" t="inlineStr">
        <is>
          <t>197-10-М/26</t>
        </is>
      </c>
      <c r="CO94" s="256" t="inlineStr">
        <is>
          <t>10.08.2026</t>
        </is>
      </c>
      <c r="CP94" s="256" t="inlineStr">
        <is>
          <t>Farmahem</t>
        </is>
      </c>
      <c r="CQ94" s="256" t="inlineStr">
        <is>
          <t>ND</t>
        </is>
      </c>
      <c r="CR94" s="256" t="inlineStr">
        <is>
          <t>197-10-М/26</t>
        </is>
      </c>
      <c r="CS94" s="256" t="inlineStr">
        <is>
          <t>10.08.2026</t>
        </is>
      </c>
      <c r="CT94" s="256" t="inlineStr">
        <is>
          <t>Farmahem</t>
        </is>
      </c>
      <c r="CU94" s="256" t="inlineStr">
        <is>
          <t>ND</t>
        </is>
      </c>
      <c r="CV94" s="256" t="inlineStr">
        <is>
          <t>197-10-М/26</t>
        </is>
      </c>
      <c r="CW94" s="256" t="inlineStr">
        <is>
          <t>10.08.2026</t>
        </is>
      </c>
      <c r="CX94" s="256" t="inlineStr">
        <is>
          <t>Farmahem</t>
        </is>
      </c>
      <c r="CY94" s="256" t="inlineStr">
        <is>
          <t>0.06</t>
        </is>
      </c>
      <c r="CZ94" s="256" t="inlineStr">
        <is>
          <t>4348/2025</t>
        </is>
      </c>
      <c r="DA94" s="256" t="inlineStr">
        <is>
          <t>15.09.2025</t>
        </is>
      </c>
      <c r="DB94" s="256" t="inlineStr">
        <is>
          <t>IPH — Institute of Public Health</t>
        </is>
      </c>
      <c r="DC94" s="256" t="inlineStr">
        <is>
          <t>ND</t>
        </is>
      </c>
      <c r="DD94" s="256" t="inlineStr">
        <is>
          <t>4348/2025</t>
        </is>
      </c>
      <c r="DE94" s="256" t="inlineStr">
        <is>
          <t>15.09.2025</t>
        </is>
      </c>
      <c r="DF94" s="256" t="inlineStr">
        <is>
          <t>IPH — Institute of Public Health</t>
        </is>
      </c>
      <c r="DG94" s="256" t="inlineStr">
        <is>
          <t>ND</t>
        </is>
      </c>
      <c r="DH94" s="256" t="inlineStr">
        <is>
          <t>4348/2025</t>
        </is>
      </c>
      <c r="DI94" s="256" t="inlineStr">
        <is>
          <t>15.09.2025</t>
        </is>
      </c>
      <c r="DJ94" s="256" t="inlineStr">
        <is>
          <t>IPH — Institute of Public Health</t>
        </is>
      </c>
      <c r="DK94" s="256" t="inlineStr">
        <is>
          <t>ND</t>
        </is>
      </c>
      <c r="DL94" s="256" t="inlineStr">
        <is>
          <t>4348/2025</t>
        </is>
      </c>
      <c r="DM94" s="256" t="inlineStr">
        <is>
          <t>15.09.2025</t>
        </is>
      </c>
      <c r="DN94" s="256" t="inlineStr">
        <is>
          <t>IPH — Institute of Public Health</t>
        </is>
      </c>
      <c r="DO94" s="256" t="inlineStr">
        <is>
          <t>ND</t>
        </is>
      </c>
      <c r="DP94" s="256" t="inlineStr">
        <is>
          <t>4348/2025</t>
        </is>
      </c>
      <c r="DQ94" s="256" t="inlineStr">
        <is>
          <t>15.09.2025</t>
        </is>
      </c>
      <c r="DR94" s="256" t="inlineStr">
        <is>
          <t>IPH — Institute of Public Health</t>
        </is>
      </c>
    </row>
    <row r="95">
      <c r="A95" s="256" t="inlineStr">
        <is>
          <t>CoQ-PP_26-094</t>
        </is>
      </c>
      <c r="B95" s="256" t="inlineStr">
        <is>
          <t>reissue — retest</t>
        </is>
      </c>
      <c r="C95" s="256" t="inlineStr">
        <is>
          <t>issuable</t>
        </is>
      </c>
      <c r="D95" s="256" t="inlineStr">
        <is>
          <t>17.08.2026</t>
        </is>
      </c>
      <c r="E95" s="256" t="inlineStr">
        <is>
          <t>CoQ-PP_26-007 of 06.06.2026</t>
        </is>
      </c>
      <c r="F95" s="256" t="inlineStr">
        <is>
          <t>CoQ-PP-2026-0032</t>
        </is>
      </c>
      <c r="G95" s="256" t="inlineStr">
        <is>
          <t>GP0824_02</t>
        </is>
      </c>
      <c r="H95" s="256" t="inlineStr">
        <is>
          <t>P050022</t>
        </is>
      </c>
      <c r="I95" s="256" t="inlineStr">
        <is>
          <t>Grape Pie</t>
        </is>
      </c>
      <c r="J95" s="256" t="inlineStr">
        <is>
          <t>22.04.2025 – 23.04.2025</t>
        </is>
      </c>
      <c r="K95" s="256" t="inlineStr">
        <is>
          <t>03.06.2025 – 11.06.2025</t>
        </is>
      </c>
      <c r="L95" s="256" t="inlineStr">
        <is>
          <t>22.04.2025</t>
        </is>
      </c>
      <c r="M95" s="256" t="inlineStr">
        <is>
          <t>03.06.2025</t>
        </is>
      </c>
      <c r="N95" s="256" t="inlineStr">
        <is>
          <t>iCoA-PP_26-108</t>
        </is>
      </c>
      <c r="O95" s="256" t="inlineStr">
        <is>
          <t>27.07.2026</t>
        </is>
      </c>
      <c r="P95" s="256" t="inlineStr">
        <is>
          <t>22.07.2026</t>
        </is>
      </c>
      <c r="Q95" s="256" t="inlineStr">
        <is>
          <t>Tranche 1</t>
        </is>
      </c>
      <c r="R95" s="256" t="inlineStr">
        <is>
          <t>22.61</t>
        </is>
      </c>
      <c r="S95" s="256" t="inlineStr">
        <is>
          <t>197-11-К/26</t>
        </is>
      </c>
      <c r="T95" s="256" t="inlineStr">
        <is>
          <t>II</t>
        </is>
      </c>
      <c r="U95" s="256" t="inlineStr">
        <is>
          <t>22.00 – 25.99 %</t>
        </is>
      </c>
      <c r="V95" s="256" t="inlineStr">
        <is>
          <t>GP_THC24 : CBD1</t>
        </is>
      </c>
      <c r="W95" s="256" t="inlineStr">
        <is>
          <t>QCSP_001_GP-II_v.01</t>
        </is>
      </c>
      <c r="X95" s="256" t="inlineStr">
        <is>
          <t>for review — replaces the issued QCSP_001_GP-II_v.01 (was GP_THC26 : CBD1, 25.40 – 26.60 %); now GP_THC24 : CBD1 22.00 – 25.99 %</t>
        </is>
      </c>
      <c r="Y95" s="256" t="inlineStr">
        <is>
          <t>HYBRID</t>
        </is>
      </c>
      <c r="Z95" s="256" t="inlineStr">
        <is>
          <t>THC</t>
        </is>
      </c>
      <c r="AA95" s="256" t="inlineStr">
        <is>
          <t>MACHINE TRIMMED</t>
        </is>
      </c>
      <c r="AB95" s="256" t="inlineStr">
        <is>
          <t>INDICA-DOMINANT</t>
        </is>
      </c>
      <c r="AC95" s="256" t="inlineStr">
        <is>
          <t>Triplex Alu Bag | Триплекс Aлу Kеса, PET 12 · ALU 7 · PE 80, 300 × 500 mm, net. 400.0 g ±3%</t>
        </is>
      </c>
      <c r="AD95" s="256" t="inlineStr">
        <is>
          <t>10.08.2026</t>
        </is>
      </c>
      <c r="AE95" s="256" t="inlineStr">
        <is>
          <t>Conforms | Одговара</t>
        </is>
      </c>
      <c r="AF95" s="256" t="inlineStr">
        <is>
          <t>iCoA-PP_26-108</t>
        </is>
      </c>
      <c r="AG95" s="256" t="inlineStr">
        <is>
          <t>27.07.2026</t>
        </is>
      </c>
      <c r="AH95" s="256" t="inlineStr">
        <is>
          <t>Purely Plant GmbH (in-house)</t>
        </is>
      </c>
      <c r="AI95" s="256" t="inlineStr">
        <is>
          <t>Conforms | Одговара</t>
        </is>
      </c>
      <c r="AJ95" s="256" t="inlineStr">
        <is>
          <t>iCoA-PP_26-108</t>
        </is>
      </c>
      <c r="AK95" s="256" t="inlineStr">
        <is>
          <t>27.07.2026</t>
        </is>
      </c>
      <c r="AL95" s="256" t="inlineStr">
        <is>
          <t>Purely Plant GmbH (in-house)</t>
        </is>
      </c>
      <c r="AM95" s="256" t="inlineStr">
        <is>
          <t>Conforms | Одговара</t>
        </is>
      </c>
      <c r="AN95" s="256" t="inlineStr">
        <is>
          <t>197-11-К/26</t>
        </is>
      </c>
      <c r="AO95" s="256" t="inlineStr">
        <is>
          <t>07.08.2026</t>
        </is>
      </c>
      <c r="AP95" s="256" t="inlineStr">
        <is>
          <t>Farmahem</t>
        </is>
      </c>
      <c r="AQ95" s="256" t="inlineStr">
        <is>
          <t>22.61</t>
        </is>
      </c>
      <c r="AR95" s="256" t="inlineStr">
        <is>
          <t>197-11-К/26</t>
        </is>
      </c>
      <c r="AS95" s="256" t="inlineStr">
        <is>
          <t>07.08.2026</t>
        </is>
      </c>
      <c r="AT95" s="256" t="inlineStr">
        <is>
          <t>Farmahem</t>
        </is>
      </c>
      <c r="AU95" s="256" t="inlineStr">
        <is>
          <t>&lt; LOQ</t>
        </is>
      </c>
      <c r="AV95" s="256" t="inlineStr">
        <is>
          <t>197-11-К/26</t>
        </is>
      </c>
      <c r="AW95" s="256" t="inlineStr">
        <is>
          <t>07.08.2026</t>
        </is>
      </c>
      <c r="AX95" s="256" t="inlineStr">
        <is>
          <t>Farmahem</t>
        </is>
      </c>
      <c r="AY95" s="256" t="inlineStr">
        <is>
          <t>0.23</t>
        </is>
      </c>
      <c r="AZ95" s="256" t="inlineStr">
        <is>
          <t>197-11-К/26</t>
        </is>
      </c>
      <c r="BA95" s="256" t="inlineStr">
        <is>
          <t>07.08.2026</t>
        </is>
      </c>
      <c r="BB95" s="256" t="inlineStr">
        <is>
          <t>Farmahem</t>
        </is>
      </c>
      <c r="BC95" s="256" t="inlineStr">
        <is>
          <t>Conforms | Одговара</t>
        </is>
      </c>
      <c r="BD95" s="256" t="inlineStr">
        <is>
          <t>iCoA-PP_26-108</t>
        </is>
      </c>
      <c r="BE95" s="256" t="inlineStr">
        <is>
          <t>27.07.2026</t>
        </is>
      </c>
      <c r="BF95" s="256" t="inlineStr">
        <is>
          <t>Purely Plant GmbH (in-house)</t>
        </is>
      </c>
      <c r="BG95" s="256" t="inlineStr">
        <is>
          <t>7.21</t>
        </is>
      </c>
      <c r="BH95" s="256" t="inlineStr">
        <is>
          <t>ППК25139</t>
        </is>
      </c>
      <c r="BI95" s="256" t="inlineStr">
        <is>
          <t>22.05.2025</t>
        </is>
      </c>
      <c r="BJ95" s="256" t="inlineStr">
        <is>
          <t>UKIM Faculty of Pharmacy — Center for Natural Products</t>
        </is>
      </c>
      <c r="BK95" s="256" t="inlineStr">
        <is>
          <t>&lt; 10</t>
        </is>
      </c>
      <c r="BL95" s="256" t="inlineStr">
        <is>
          <t>627/1128/25</t>
        </is>
      </c>
      <c r="BM95" s="256" t="inlineStr">
        <is>
          <t>02.07.2025</t>
        </is>
      </c>
      <c r="BN95" s="256" t="inlineStr">
        <is>
          <t>IPH — Institute of Public Health</t>
        </is>
      </c>
      <c r="BO95" s="256" t="inlineStr">
        <is>
          <t>&lt; 10</t>
        </is>
      </c>
      <c r="BP95" s="256" t="inlineStr">
        <is>
          <t>627/1128/25</t>
        </is>
      </c>
      <c r="BQ95" s="256" t="inlineStr">
        <is>
          <t>02.07.2025</t>
        </is>
      </c>
      <c r="BR95" s="256" t="inlineStr">
        <is>
          <t>IPH — Institute of Public Health</t>
        </is>
      </c>
      <c r="BS95" s="256" t="inlineStr">
        <is>
          <t>&lt; 10</t>
        </is>
      </c>
      <c r="BT95" s="256" t="inlineStr">
        <is>
          <t>627/1128/25</t>
        </is>
      </c>
      <c r="BU95" s="256" t="inlineStr">
        <is>
          <t>02.07.2025</t>
        </is>
      </c>
      <c r="BV95" s="256" t="inlineStr">
        <is>
          <t>IPH — Institute of Public Health</t>
        </is>
      </c>
      <c r="BW95" s="256" t="inlineStr">
        <is>
          <t>Absent | Отсутна</t>
        </is>
      </c>
      <c r="BX95" s="256" t="inlineStr">
        <is>
          <t>627/1128/25</t>
        </is>
      </c>
      <c r="BY95" s="256" t="inlineStr">
        <is>
          <t>02.07.2025</t>
        </is>
      </c>
      <c r="BZ95" s="256" t="inlineStr">
        <is>
          <t>IPH — Institute of Public Health</t>
        </is>
      </c>
      <c r="CA95" s="256" t="inlineStr">
        <is>
          <t>Absent | Отсутна</t>
        </is>
      </c>
      <c r="CB95" s="256" t="inlineStr">
        <is>
          <t>627/1128/25</t>
        </is>
      </c>
      <c r="CC95" s="256" t="inlineStr">
        <is>
          <t>02.07.2025</t>
        </is>
      </c>
      <c r="CD95" s="256" t="inlineStr">
        <is>
          <t>IPH — Institute of Public Health</t>
        </is>
      </c>
      <c r="CE95" s="260" t="inlineStr">
        <is>
          <t>upon request — not required for release</t>
        </is>
      </c>
      <c r="CF95" s="256" t="inlineStr">
        <is>
          <t>—</t>
        </is>
      </c>
      <c r="CG95" s="256" t="inlineStr">
        <is>
          <t>—</t>
        </is>
      </c>
      <c r="CH95" s="256" t="inlineStr">
        <is>
          <t>—</t>
        </is>
      </c>
      <c r="CI95" s="260" t="inlineStr">
        <is>
          <t>upon request — not required for release</t>
        </is>
      </c>
      <c r="CJ95" s="256" t="inlineStr">
        <is>
          <t>—</t>
        </is>
      </c>
      <c r="CK95" s="256" t="inlineStr">
        <is>
          <t>—</t>
        </is>
      </c>
      <c r="CL95" s="256" t="inlineStr">
        <is>
          <t>—</t>
        </is>
      </c>
      <c r="CM95" s="256" t="inlineStr">
        <is>
          <t>ND</t>
        </is>
      </c>
      <c r="CN95" s="256" t="inlineStr">
        <is>
          <t>197-11-М/26</t>
        </is>
      </c>
      <c r="CO95" s="256" t="inlineStr">
        <is>
          <t>10.08.2026</t>
        </is>
      </c>
      <c r="CP95" s="256" t="inlineStr">
        <is>
          <t>Farmahem</t>
        </is>
      </c>
      <c r="CQ95" s="256" t="inlineStr">
        <is>
          <t>ND</t>
        </is>
      </c>
      <c r="CR95" s="256" t="inlineStr">
        <is>
          <t>197-11-М/26</t>
        </is>
      </c>
      <c r="CS95" s="256" t="inlineStr">
        <is>
          <t>10.08.2026</t>
        </is>
      </c>
      <c r="CT95" s="256" t="inlineStr">
        <is>
          <t>Farmahem</t>
        </is>
      </c>
      <c r="CU95" s="256" t="inlineStr">
        <is>
          <t>ND</t>
        </is>
      </c>
      <c r="CV95" s="256" t="inlineStr">
        <is>
          <t>197-11-М/26</t>
        </is>
      </c>
      <c r="CW95" s="256" t="inlineStr">
        <is>
          <t>10.08.2026</t>
        </is>
      </c>
      <c r="CX95" s="256" t="inlineStr">
        <is>
          <t>Farmahem</t>
        </is>
      </c>
      <c r="CY95" s="256" t="inlineStr">
        <is>
          <t>ND</t>
        </is>
      </c>
      <c r="CZ95" s="256" t="inlineStr">
        <is>
          <t>3176/2025</t>
        </is>
      </c>
      <c r="DA95" s="256" t="inlineStr">
        <is>
          <t>26.06.2025</t>
        </is>
      </c>
      <c r="DB95" s="256" t="inlineStr">
        <is>
          <t>IPH — Institute of Public Health</t>
        </is>
      </c>
      <c r="DC95" s="256" t="inlineStr">
        <is>
          <t>ND</t>
        </is>
      </c>
      <c r="DD95" s="256" t="inlineStr">
        <is>
          <t>3176/2025</t>
        </is>
      </c>
      <c r="DE95" s="256" t="inlineStr">
        <is>
          <t>26.06.2025</t>
        </is>
      </c>
      <c r="DF95" s="256" t="inlineStr">
        <is>
          <t>IPH — Institute of Public Health</t>
        </is>
      </c>
      <c r="DG95" s="256" t="inlineStr">
        <is>
          <t>0.047</t>
        </is>
      </c>
      <c r="DH95" s="256" t="inlineStr">
        <is>
          <t>3176/2025</t>
        </is>
      </c>
      <c r="DI95" s="256" t="inlineStr">
        <is>
          <t>26.06.2025</t>
        </is>
      </c>
      <c r="DJ95" s="256" t="inlineStr">
        <is>
          <t>IPH — Institute of Public Health</t>
        </is>
      </c>
      <c r="DK95" s="256" t="inlineStr">
        <is>
          <t>ND</t>
        </is>
      </c>
      <c r="DL95" s="256" t="inlineStr">
        <is>
          <t>3176/2025</t>
        </is>
      </c>
      <c r="DM95" s="256" t="inlineStr">
        <is>
          <t>26.06.2025</t>
        </is>
      </c>
      <c r="DN95" s="256" t="inlineStr">
        <is>
          <t>IPH — Institute of Public Health</t>
        </is>
      </c>
      <c r="DO95" s="256" t="inlineStr">
        <is>
          <t>ND</t>
        </is>
      </c>
      <c r="DP95" s="256" t="inlineStr">
        <is>
          <t>3176/2025</t>
        </is>
      </c>
      <c r="DQ95" s="256" t="inlineStr">
        <is>
          <t>26.06.2025</t>
        </is>
      </c>
      <c r="DR95" s="256" t="inlineStr">
        <is>
          <t>IPH — Institute of Public Health</t>
        </is>
      </c>
    </row>
    <row r="96">
      <c r="A96" s="256" t="inlineStr">
        <is>
          <t>CoQ-PP_26-095</t>
        </is>
      </c>
      <c r="B96" s="256" t="inlineStr">
        <is>
          <t>reissue — retest</t>
        </is>
      </c>
      <c r="C96" s="256" t="inlineStr">
        <is>
          <t>issuable</t>
        </is>
      </c>
      <c r="D96" s="256" t="inlineStr">
        <is>
          <t>17.08.2026</t>
        </is>
      </c>
      <c r="E96" s="256" t="inlineStr">
        <is>
          <t>CoQ-PP_26-036 of 06.06.2026</t>
        </is>
      </c>
      <c r="F96" s="256" t="inlineStr">
        <is>
          <t>(assigned on issue)</t>
        </is>
      </c>
      <c r="G96" s="256" t="inlineStr">
        <is>
          <t>GP082501/2</t>
        </is>
      </c>
      <c r="H96" s="256" t="inlineStr">
        <is>
          <t>P050322</t>
        </is>
      </c>
      <c r="I96" s="256" t="inlineStr">
        <is>
          <t>Grape Pie</t>
        </is>
      </c>
      <c r="J96" s="256" t="inlineStr">
        <is>
          <t>20.11.2025</t>
        </is>
      </c>
      <c r="K96" s="256" t="inlineStr">
        <is>
          <t>26.12.2025</t>
        </is>
      </c>
      <c r="L96" s="256" t="inlineStr">
        <is>
          <t>20.11.2025</t>
        </is>
      </c>
      <c r="M96" s="256" t="inlineStr">
        <is>
          <t>26.12.2025</t>
        </is>
      </c>
      <c r="N96" s="256" t="inlineStr">
        <is>
          <t>iCoA-PP_26-111</t>
        </is>
      </c>
      <c r="O96" s="256" t="inlineStr">
        <is>
          <t>27.07.2026</t>
        </is>
      </c>
      <c r="P96" s="256" t="inlineStr">
        <is>
          <t>23.07.2026</t>
        </is>
      </c>
      <c r="Q96" s="256" t="inlineStr">
        <is>
          <t>Tranche 1</t>
        </is>
      </c>
      <c r="R96" s="256" t="inlineStr">
        <is>
          <t>15.70</t>
        </is>
      </c>
      <c r="S96" s="256" t="inlineStr">
        <is>
          <t>197-12-К/26</t>
        </is>
      </c>
      <c r="T96" s="256" t="inlineStr">
        <is>
          <t>IV</t>
        </is>
      </c>
      <c r="U96" s="256" t="inlineStr">
        <is>
          <t>14.40 – 17.59 %</t>
        </is>
      </c>
      <c r="V96" s="256" t="inlineStr">
        <is>
          <t>GP_THC16 : CBD1</t>
        </is>
      </c>
      <c r="W96" s="256" t="inlineStr">
        <is>
          <t>QCSP_001_GP-IV_v.01</t>
        </is>
      </c>
      <c r="X96" s="256" t="inlineStr">
        <is>
          <t>for review — replaces the issued QCSP_001_GP-IV_v.01 (was GP_THC20 : CBD1, 18.00 – 22.00 %); now GP_THC16 : CBD1 14.40 – 17.59 %</t>
        </is>
      </c>
      <c r="Y96" s="256" t="inlineStr">
        <is>
          <t>HYBRID</t>
        </is>
      </c>
      <c r="Z96" s="256" t="inlineStr">
        <is>
          <t>THC</t>
        </is>
      </c>
      <c r="AA96" s="256" t="inlineStr">
        <is>
          <t>MACHINE TRIMMED</t>
        </is>
      </c>
      <c r="AB96" s="256" t="inlineStr">
        <is>
          <t>INDICA-DOMINANT</t>
        </is>
      </c>
      <c r="AC96" s="256" t="inlineStr">
        <is>
          <t>Triplex Alu Bag | Триплекс Aлу Kеса, PET 12 · ALU 7 · PE 80, 300 × 500 mm, net. 400.0 g ±3%</t>
        </is>
      </c>
      <c r="AD96" s="256" t="inlineStr">
        <is>
          <t>10.08.2026</t>
        </is>
      </c>
      <c r="AE96" s="256" t="inlineStr">
        <is>
          <t>Conforms | Одговара</t>
        </is>
      </c>
      <c r="AF96" s="256" t="inlineStr">
        <is>
          <t>iCoA-PP_26-111</t>
        </is>
      </c>
      <c r="AG96" s="256" t="inlineStr">
        <is>
          <t>27.07.2026</t>
        </is>
      </c>
      <c r="AH96" s="256" t="inlineStr">
        <is>
          <t>Purely Plant GmbH (in-house)</t>
        </is>
      </c>
      <c r="AI96" s="256" t="inlineStr">
        <is>
          <t>Conforms | Одговара</t>
        </is>
      </c>
      <c r="AJ96" s="256" t="inlineStr">
        <is>
          <t>iCoA-PP_26-111</t>
        </is>
      </c>
      <c r="AK96" s="256" t="inlineStr">
        <is>
          <t>27.07.2026</t>
        </is>
      </c>
      <c r="AL96" s="256" t="inlineStr">
        <is>
          <t>Purely Plant GmbH (in-house)</t>
        </is>
      </c>
      <c r="AM96" s="256" t="inlineStr">
        <is>
          <t>Conforms | Одговара</t>
        </is>
      </c>
      <c r="AN96" s="256" t="inlineStr">
        <is>
          <t>197-12-К/26</t>
        </is>
      </c>
      <c r="AO96" s="256" t="inlineStr">
        <is>
          <t>07.08.2026</t>
        </is>
      </c>
      <c r="AP96" s="256" t="inlineStr">
        <is>
          <t>Farmahem</t>
        </is>
      </c>
      <c r="AQ96" s="256" t="inlineStr">
        <is>
          <t>15.70</t>
        </is>
      </c>
      <c r="AR96" s="256" t="inlineStr">
        <is>
          <t>197-12-К/26</t>
        </is>
      </c>
      <c r="AS96" s="256" t="inlineStr">
        <is>
          <t>07.08.2026</t>
        </is>
      </c>
      <c r="AT96" s="256" t="inlineStr">
        <is>
          <t>Farmahem</t>
        </is>
      </c>
      <c r="AU96" s="256" t="inlineStr">
        <is>
          <t>&lt; LOQ</t>
        </is>
      </c>
      <c r="AV96" s="256" t="inlineStr">
        <is>
          <t>197-12-К/26</t>
        </is>
      </c>
      <c r="AW96" s="256" t="inlineStr">
        <is>
          <t>07.08.2026</t>
        </is>
      </c>
      <c r="AX96" s="256" t="inlineStr">
        <is>
          <t>Farmahem</t>
        </is>
      </c>
      <c r="AY96" s="256" t="inlineStr">
        <is>
          <t>&lt; LOQ</t>
        </is>
      </c>
      <c r="AZ96" s="256" t="inlineStr">
        <is>
          <t>197-12-К/26</t>
        </is>
      </c>
      <c r="BA96" s="256" t="inlineStr">
        <is>
          <t>07.08.2026</t>
        </is>
      </c>
      <c r="BB96" s="256" t="inlineStr">
        <is>
          <t>Farmahem</t>
        </is>
      </c>
      <c r="BC96" s="256" t="inlineStr">
        <is>
          <t>Conforms | Одговара</t>
        </is>
      </c>
      <c r="BD96" s="256" t="inlineStr">
        <is>
          <t>iCoA-PP_26-111</t>
        </is>
      </c>
      <c r="BE96" s="256" t="inlineStr">
        <is>
          <t>27.07.2026</t>
        </is>
      </c>
      <c r="BF96" s="256" t="inlineStr">
        <is>
          <t>Purely Plant GmbH (in-house)</t>
        </is>
      </c>
      <c r="BG96" s="256" t="inlineStr">
        <is>
          <t>6.88</t>
        </is>
      </c>
      <c r="BH96" s="256" t="inlineStr">
        <is>
          <t>ППК25381</t>
        </is>
      </c>
      <c r="BI96" s="256" t="inlineStr">
        <is>
          <t>12.12.2025</t>
        </is>
      </c>
      <c r="BJ96" s="256" t="inlineStr">
        <is>
          <t>CNP</t>
        </is>
      </c>
      <c r="BK96" s="256" t="inlineStr">
        <is>
          <t>3.2 × 10³</t>
        </is>
      </c>
      <c r="BL96" s="256" t="inlineStr">
        <is>
          <t>1227/2193/25</t>
        </is>
      </c>
      <c r="BM96" s="256" t="inlineStr">
        <is>
          <t>05.12.2025</t>
        </is>
      </c>
      <c r="BN96" s="256" t="inlineStr">
        <is>
          <t>IPH — Institute of Public Health</t>
        </is>
      </c>
      <c r="BO96" s="256" t="inlineStr">
        <is>
          <t>5.8 × 10³</t>
        </is>
      </c>
      <c r="BP96" s="256" t="inlineStr">
        <is>
          <t>1227/2193/25</t>
        </is>
      </c>
      <c r="BQ96" s="256" t="inlineStr">
        <is>
          <t>05.12.2025</t>
        </is>
      </c>
      <c r="BR96" s="256" t="inlineStr">
        <is>
          <t>IPH — Institute of Public Health</t>
        </is>
      </c>
      <c r="BS96" s="256" t="inlineStr">
        <is>
          <t>&lt; 10⁴ and &gt; 10³</t>
        </is>
      </c>
      <c r="BT96" s="256" t="inlineStr">
        <is>
          <t>1227/2193/25</t>
        </is>
      </c>
      <c r="BU96" s="256" t="inlineStr">
        <is>
          <t>05.12.2025</t>
        </is>
      </c>
      <c r="BV96" s="256" t="inlineStr">
        <is>
          <t>IPH — Institute of Public Health</t>
        </is>
      </c>
      <c r="BW96" s="256" t="inlineStr">
        <is>
          <t>Absent | Отсутна</t>
        </is>
      </c>
      <c r="BX96" s="256" t="inlineStr">
        <is>
          <t>1227/2193/25</t>
        </is>
      </c>
      <c r="BY96" s="256" t="inlineStr">
        <is>
          <t>05.12.2025</t>
        </is>
      </c>
      <c r="BZ96" s="256" t="inlineStr">
        <is>
          <t>IPH — Institute of Public Health</t>
        </is>
      </c>
      <c r="CA96" s="256" t="inlineStr">
        <is>
          <t>Absent | Отсутна</t>
        </is>
      </c>
      <c r="CB96" s="256" t="inlineStr">
        <is>
          <t>1227/2193/25</t>
        </is>
      </c>
      <c r="CC96" s="256" t="inlineStr">
        <is>
          <t>05.12.2025</t>
        </is>
      </c>
      <c r="CD96" s="256" t="inlineStr">
        <is>
          <t>IPH — Institute of Public Health</t>
        </is>
      </c>
      <c r="CE96" s="260" t="inlineStr">
        <is>
          <t>upon request — not required for release</t>
        </is>
      </c>
      <c r="CF96" s="256" t="inlineStr">
        <is>
          <t>—</t>
        </is>
      </c>
      <c r="CG96" s="256" t="inlineStr">
        <is>
          <t>—</t>
        </is>
      </c>
      <c r="CH96" s="256" t="inlineStr">
        <is>
          <t>—</t>
        </is>
      </c>
      <c r="CI96" s="260" t="inlineStr">
        <is>
          <t>upon request — not required for release</t>
        </is>
      </c>
      <c r="CJ96" s="256" t="inlineStr">
        <is>
          <t>—</t>
        </is>
      </c>
      <c r="CK96" s="256" t="inlineStr">
        <is>
          <t>—</t>
        </is>
      </c>
      <c r="CL96" s="256" t="inlineStr">
        <is>
          <t>—</t>
        </is>
      </c>
      <c r="CM96" s="256" t="inlineStr">
        <is>
          <t>ND</t>
        </is>
      </c>
      <c r="CN96" s="256" t="inlineStr">
        <is>
          <t>197-12-М/26</t>
        </is>
      </c>
      <c r="CO96" s="256" t="inlineStr">
        <is>
          <t>10.08.2026</t>
        </is>
      </c>
      <c r="CP96" s="256" t="inlineStr">
        <is>
          <t>Farmahem</t>
        </is>
      </c>
      <c r="CQ96" s="256" t="inlineStr">
        <is>
          <t>ND</t>
        </is>
      </c>
      <c r="CR96" s="256" t="inlineStr">
        <is>
          <t>197-12-М/26</t>
        </is>
      </c>
      <c r="CS96" s="256" t="inlineStr">
        <is>
          <t>10.08.2026</t>
        </is>
      </c>
      <c r="CT96" s="256" t="inlineStr">
        <is>
          <t>Farmahem</t>
        </is>
      </c>
      <c r="CU96" s="256" t="inlineStr">
        <is>
          <t>ND</t>
        </is>
      </c>
      <c r="CV96" s="256" t="inlineStr">
        <is>
          <t>197-12-М/26</t>
        </is>
      </c>
      <c r="CW96" s="256" t="inlineStr">
        <is>
          <t>10.08.2026</t>
        </is>
      </c>
      <c r="CX96" s="256" t="inlineStr">
        <is>
          <t>Farmahem</t>
        </is>
      </c>
      <c r="CY96" s="256" t="inlineStr">
        <is>
          <t>0.013</t>
        </is>
      </c>
      <c r="CZ96" s="256" t="inlineStr">
        <is>
          <t>5889/2025</t>
        </is>
      </c>
      <c r="DA96" s="256" t="inlineStr">
        <is>
          <t>12.12.2025</t>
        </is>
      </c>
      <c r="DB96" s="256" t="inlineStr">
        <is>
          <t>IPH — Institute of Public Health</t>
        </is>
      </c>
      <c r="DC96" s="256" t="inlineStr">
        <is>
          <t>0.003</t>
        </is>
      </c>
      <c r="DD96" s="256" t="inlineStr">
        <is>
          <t>5889/2025</t>
        </is>
      </c>
      <c r="DE96" s="256" t="inlineStr">
        <is>
          <t>12.12.2025</t>
        </is>
      </c>
      <c r="DF96" s="256" t="inlineStr">
        <is>
          <t>IPH — Institute of Public Health</t>
        </is>
      </c>
      <c r="DG96" s="256" t="inlineStr">
        <is>
          <t>0.02</t>
        </is>
      </c>
      <c r="DH96" s="256" t="inlineStr">
        <is>
          <t>5889/2025</t>
        </is>
      </c>
      <c r="DI96" s="256" t="inlineStr">
        <is>
          <t>12.12.2025</t>
        </is>
      </c>
      <c r="DJ96" s="256" t="inlineStr">
        <is>
          <t>IPH — Institute of Public Health</t>
        </is>
      </c>
      <c r="DK96" s="256" t="inlineStr">
        <is>
          <t>0.016</t>
        </is>
      </c>
      <c r="DL96" s="256" t="inlineStr">
        <is>
          <t>5889/2025</t>
        </is>
      </c>
      <c r="DM96" s="256" t="inlineStr">
        <is>
          <t>12.12.2025</t>
        </is>
      </c>
      <c r="DN96" s="256" t="inlineStr">
        <is>
          <t>IPH — Institute of Public Health</t>
        </is>
      </c>
      <c r="DO96" s="256" t="inlineStr">
        <is>
          <t>ND</t>
        </is>
      </c>
      <c r="DP96" s="256" t="inlineStr">
        <is>
          <t>5889/2025</t>
        </is>
      </c>
      <c r="DQ96" s="256" t="inlineStr">
        <is>
          <t>12.12.2025</t>
        </is>
      </c>
      <c r="DR96" s="256" t="inlineStr">
        <is>
          <t>IPH — Institute of Public Health</t>
        </is>
      </c>
    </row>
    <row r="97">
      <c r="A97" s="256" t="inlineStr">
        <is>
          <t>CoQ-PP_26-096</t>
        </is>
      </c>
      <c r="B97" s="256" t="inlineStr">
        <is>
          <t>reissue — retest</t>
        </is>
      </c>
      <c r="C97" s="256" t="inlineStr">
        <is>
          <t>issuable</t>
        </is>
      </c>
      <c r="D97" s="256" t="inlineStr">
        <is>
          <t>17.08.2026</t>
        </is>
      </c>
      <c r="E97" s="256" t="inlineStr">
        <is>
          <t>CoQ-PP_26-005 of 06.06.2026</t>
        </is>
      </c>
      <c r="F97" s="256" t="inlineStr">
        <is>
          <t>CoQ-PP-2026-0030</t>
        </is>
      </c>
      <c r="G97" s="256" t="inlineStr">
        <is>
          <t>HPA1024</t>
        </is>
      </c>
      <c r="H97" s="256" t="inlineStr">
        <is>
          <t>HPA1024</t>
        </is>
      </c>
      <c r="I97" s="256" t="inlineStr">
        <is>
          <t>High Pro Amnesia</t>
        </is>
      </c>
      <c r="J97" s="256" t="inlineStr">
        <is>
          <t>22.01.2025</t>
        </is>
      </c>
      <c r="K97" s="256" t="inlineStr">
        <is>
          <t>11.04.2025</t>
        </is>
      </c>
      <c r="L97" s="256" t="inlineStr">
        <is>
          <t>22.01.2025</t>
        </is>
      </c>
      <c r="M97" s="256" t="inlineStr">
        <is>
          <t>11.04.2025</t>
        </is>
      </c>
      <c r="N97" s="256" t="inlineStr">
        <is>
          <t>iCoA-PP_26-112</t>
        </is>
      </c>
      <c r="O97" s="256" t="inlineStr">
        <is>
          <t>27.07.2026</t>
        </is>
      </c>
      <c r="P97" s="256" t="inlineStr">
        <is>
          <t>23.07.2026</t>
        </is>
      </c>
      <c r="Q97" s="256" t="inlineStr">
        <is>
          <t>Tranche 1</t>
        </is>
      </c>
      <c r="R97" s="256" t="inlineStr">
        <is>
          <t>17.31</t>
        </is>
      </c>
      <c r="S97" s="256" t="inlineStr">
        <is>
          <t>197-13-К/26</t>
        </is>
      </c>
      <c r="T97" s="256" t="inlineStr">
        <is>
          <t>II</t>
        </is>
      </c>
      <c r="U97" s="256" t="inlineStr">
        <is>
          <t>16.20 – 19.79 %</t>
        </is>
      </c>
      <c r="V97" s="256" t="inlineStr">
        <is>
          <t>HPA_THC18 : CBD1</t>
        </is>
      </c>
      <c r="W97" s="256" t="inlineStr">
        <is>
          <t>QCSP_001_HPA-II_v.01</t>
        </is>
      </c>
      <c r="X97" s="256" t="inlineStr">
        <is>
          <t>for review — replaces the issued QCSP_001_HPA-II_v.01 (was HPA_THC20 : CBD1, 19.01 – 20.99 %); now HPA_THC18 : CBD1 16.20 – 19.79 %</t>
        </is>
      </c>
      <c r="Y97" s="256" t="inlineStr">
        <is>
          <t>SATIVA</t>
        </is>
      </c>
      <c r="Z97" s="256" t="inlineStr">
        <is>
          <t>THC</t>
        </is>
      </c>
      <c r="AA97" s="256" t="inlineStr">
        <is>
          <t>MACHINE TRIMMED</t>
        </is>
      </c>
      <c r="AB97" s="256" t="inlineStr">
        <is>
          <t>—</t>
        </is>
      </c>
      <c r="AC97" s="256" t="inlineStr">
        <is>
          <t>Triplex Alu Bag | Триплекс Aлу Kеса, PET 12 · ALU 7 · PE 80, 300 × 500 mm, net. 400.0 g ±3%</t>
        </is>
      </c>
      <c r="AD97" s="256" t="inlineStr">
        <is>
          <t>10.08.2026</t>
        </is>
      </c>
      <c r="AE97" s="256" t="inlineStr">
        <is>
          <t>Conforms | Одговара</t>
        </is>
      </c>
      <c r="AF97" s="256" t="inlineStr">
        <is>
          <t>iCoA-PP_26-112</t>
        </is>
      </c>
      <c r="AG97" s="256" t="inlineStr">
        <is>
          <t>27.07.2026</t>
        </is>
      </c>
      <c r="AH97" s="256" t="inlineStr">
        <is>
          <t>Purely Plant GmbH (in-house)</t>
        </is>
      </c>
      <c r="AI97" s="256" t="inlineStr">
        <is>
          <t>Conforms | Одговара</t>
        </is>
      </c>
      <c r="AJ97" s="256" t="inlineStr">
        <is>
          <t>iCoA-PP_26-112</t>
        </is>
      </c>
      <c r="AK97" s="256" t="inlineStr">
        <is>
          <t>27.07.2026</t>
        </is>
      </c>
      <c r="AL97" s="256" t="inlineStr">
        <is>
          <t>Purely Plant GmbH (in-house)</t>
        </is>
      </c>
      <c r="AM97" s="256" t="inlineStr">
        <is>
          <t>Conforms | Одговара</t>
        </is>
      </c>
      <c r="AN97" s="256" t="inlineStr">
        <is>
          <t>197-13-К/26</t>
        </is>
      </c>
      <c r="AO97" s="256" t="inlineStr">
        <is>
          <t>07.08.2026</t>
        </is>
      </c>
      <c r="AP97" s="256" t="inlineStr">
        <is>
          <t>Farmahem</t>
        </is>
      </c>
      <c r="AQ97" s="256" t="inlineStr">
        <is>
          <t>17.31</t>
        </is>
      </c>
      <c r="AR97" s="256" t="inlineStr">
        <is>
          <t>197-13-К/26</t>
        </is>
      </c>
      <c r="AS97" s="256" t="inlineStr">
        <is>
          <t>07.08.2026</t>
        </is>
      </c>
      <c r="AT97" s="256" t="inlineStr">
        <is>
          <t>Farmahem</t>
        </is>
      </c>
      <c r="AU97" s="256" t="inlineStr">
        <is>
          <t>&lt; LOQ</t>
        </is>
      </c>
      <c r="AV97" s="256" t="inlineStr">
        <is>
          <t>197-13-К/26</t>
        </is>
      </c>
      <c r="AW97" s="256" t="inlineStr">
        <is>
          <t>07.08.2026</t>
        </is>
      </c>
      <c r="AX97" s="256" t="inlineStr">
        <is>
          <t>Farmahem</t>
        </is>
      </c>
      <c r="AY97" s="256" t="inlineStr">
        <is>
          <t>0.36</t>
        </is>
      </c>
      <c r="AZ97" s="256" t="inlineStr">
        <is>
          <t>197-13-К/26</t>
        </is>
      </c>
      <c r="BA97" s="256" t="inlineStr">
        <is>
          <t>07.08.2026</t>
        </is>
      </c>
      <c r="BB97" s="256" t="inlineStr">
        <is>
          <t>Farmahem</t>
        </is>
      </c>
      <c r="BC97" s="256" t="inlineStr">
        <is>
          <t>Conforms | Одговара</t>
        </is>
      </c>
      <c r="BD97" s="256" t="inlineStr">
        <is>
          <t>iCoA-PP_26-112</t>
        </is>
      </c>
      <c r="BE97" s="256" t="inlineStr">
        <is>
          <t>27.07.2026</t>
        </is>
      </c>
      <c r="BF97" s="256" t="inlineStr">
        <is>
          <t>Purely Plant GmbH (in-house)</t>
        </is>
      </c>
      <c r="BG97" s="256" t="inlineStr">
        <is>
          <t>carried from the initial testing — not tested</t>
        </is>
      </c>
      <c r="BH97" s="256" t="inlineStr">
        <is>
          <t>—</t>
        </is>
      </c>
      <c r="BI97" s="256" t="inlineStr">
        <is>
          <t>—</t>
        </is>
      </c>
      <c r="BJ97" s="256" t="inlineStr">
        <is>
          <t>—</t>
        </is>
      </c>
      <c r="BK97" s="256" t="inlineStr">
        <is>
          <t>5.2 × 10⁴</t>
        </is>
      </c>
      <c r="BL97" s="256" t="inlineStr">
        <is>
          <t>iCoA-PP_26-005</t>
        </is>
      </c>
      <c r="BM97" s="256" t="inlineStr">
        <is>
          <t>03.06.2026</t>
        </is>
      </c>
      <c r="BN97" s="256" t="inlineStr">
        <is>
          <t>Purely Plant GmbH (in-house)</t>
        </is>
      </c>
      <c r="BO97" s="256" t="inlineStr">
        <is>
          <t>7 × 10²</t>
        </is>
      </c>
      <c r="BP97" s="256" t="inlineStr">
        <is>
          <t>iCoA-PP_26-005</t>
        </is>
      </c>
      <c r="BQ97" s="256" t="inlineStr">
        <is>
          <t>03.06.2026</t>
        </is>
      </c>
      <c r="BR97" s="256" t="inlineStr">
        <is>
          <t>Purely Plant GmbH (in-house)</t>
        </is>
      </c>
      <c r="BS97" s="256" t="inlineStr">
        <is>
          <t>&lt; 10</t>
        </is>
      </c>
      <c r="BT97" s="256" t="inlineStr">
        <is>
          <t>iCoA-PP_26-005</t>
        </is>
      </c>
      <c r="BU97" s="256" t="inlineStr">
        <is>
          <t>03.06.2026</t>
        </is>
      </c>
      <c r="BV97" s="256" t="inlineStr">
        <is>
          <t>Purely Plant GmbH (in-house)</t>
        </is>
      </c>
      <c r="BW97" s="256" t="inlineStr">
        <is>
          <t>Absent | Отсутна</t>
        </is>
      </c>
      <c r="BX97" s="256" t="inlineStr">
        <is>
          <t>iCoA-PP_26-005</t>
        </is>
      </c>
      <c r="BY97" s="256" t="inlineStr">
        <is>
          <t>03.06.2026</t>
        </is>
      </c>
      <c r="BZ97" s="256" t="inlineStr">
        <is>
          <t>Purely Plant GmbH (in-house)</t>
        </is>
      </c>
      <c r="CA97" s="256" t="inlineStr">
        <is>
          <t>Absent | Отсутна</t>
        </is>
      </c>
      <c r="CB97" s="256" t="inlineStr">
        <is>
          <t>iCoA-PP_26-005</t>
        </is>
      </c>
      <c r="CC97" s="256" t="inlineStr">
        <is>
          <t>03.06.2026</t>
        </is>
      </c>
      <c r="CD97" s="256" t="inlineStr">
        <is>
          <t>Purely Plant GmbH (in-house)</t>
        </is>
      </c>
      <c r="CE97" s="260" t="inlineStr">
        <is>
          <t>upon request — not required for release</t>
        </is>
      </c>
      <c r="CF97" s="256" t="inlineStr">
        <is>
          <t>—</t>
        </is>
      </c>
      <c r="CG97" s="256" t="inlineStr">
        <is>
          <t>—</t>
        </is>
      </c>
      <c r="CH97" s="256" t="inlineStr">
        <is>
          <t>—</t>
        </is>
      </c>
      <c r="CI97" s="260" t="inlineStr">
        <is>
          <t>upon request — not required for release</t>
        </is>
      </c>
      <c r="CJ97" s="256" t="inlineStr">
        <is>
          <t>—</t>
        </is>
      </c>
      <c r="CK97" s="256" t="inlineStr">
        <is>
          <t>—</t>
        </is>
      </c>
      <c r="CL97" s="256" t="inlineStr">
        <is>
          <t>—</t>
        </is>
      </c>
      <c r="CM97" s="256" t="inlineStr">
        <is>
          <t>ND</t>
        </is>
      </c>
      <c r="CN97" s="256" t="inlineStr">
        <is>
          <t>197-13-М/26</t>
        </is>
      </c>
      <c r="CO97" s="256" t="inlineStr">
        <is>
          <t>10.08.2026</t>
        </is>
      </c>
      <c r="CP97" s="256" t="inlineStr">
        <is>
          <t>Farmahem</t>
        </is>
      </c>
      <c r="CQ97" s="256" t="inlineStr">
        <is>
          <t>ND</t>
        </is>
      </c>
      <c r="CR97" s="256" t="inlineStr">
        <is>
          <t>197-13-М/26</t>
        </is>
      </c>
      <c r="CS97" s="256" t="inlineStr">
        <is>
          <t>10.08.2026</t>
        </is>
      </c>
      <c r="CT97" s="256" t="inlineStr">
        <is>
          <t>Farmahem</t>
        </is>
      </c>
      <c r="CU97" s="256" t="inlineStr">
        <is>
          <t>&lt; LOQ</t>
        </is>
      </c>
      <c r="CV97" s="256" t="inlineStr">
        <is>
          <t>197-13-М/26</t>
        </is>
      </c>
      <c r="CW97" s="256" t="inlineStr">
        <is>
          <t>10.08.2026</t>
        </is>
      </c>
      <c r="CX97" s="256" t="inlineStr">
        <is>
          <t>Farmahem</t>
        </is>
      </c>
      <c r="CY97" s="256" t="inlineStr">
        <is>
          <t>0.02</t>
        </is>
      </c>
      <c r="CZ97" s="256" t="inlineStr">
        <is>
          <t>iCoA-PP_26-005</t>
        </is>
      </c>
      <c r="DA97" s="256" t="inlineStr">
        <is>
          <t>03.06.2026</t>
        </is>
      </c>
      <c r="DB97" s="256" t="inlineStr">
        <is>
          <t>Purely Plant GmbH (in-house)</t>
        </is>
      </c>
      <c r="DC97" s="256" t="inlineStr">
        <is>
          <t>0.013</t>
        </is>
      </c>
      <c r="DD97" s="256" t="inlineStr">
        <is>
          <t>iCoA-PP_26-005</t>
        </is>
      </c>
      <c r="DE97" s="256" t="inlineStr">
        <is>
          <t>03.06.2026</t>
        </is>
      </c>
      <c r="DF97" s="256" t="inlineStr">
        <is>
          <t>Purely Plant GmbH (in-house)</t>
        </is>
      </c>
      <c r="DG97" s="256" t="inlineStr">
        <is>
          <t>0.017</t>
        </is>
      </c>
      <c r="DH97" s="256" t="inlineStr">
        <is>
          <t>iCoA-PP_26-005</t>
        </is>
      </c>
      <c r="DI97" s="256" t="inlineStr">
        <is>
          <t>03.06.2026</t>
        </is>
      </c>
      <c r="DJ97" s="256" t="inlineStr">
        <is>
          <t>Purely Plant GmbH (in-house)</t>
        </is>
      </c>
      <c r="DK97" s="256" t="inlineStr">
        <is>
          <t>0.0026</t>
        </is>
      </c>
      <c r="DL97" s="256" t="inlineStr">
        <is>
          <t>iCoA-PP_26-005</t>
        </is>
      </c>
      <c r="DM97" s="256" t="inlineStr">
        <is>
          <t>03.06.2026</t>
        </is>
      </c>
      <c r="DN97" s="256" t="inlineStr">
        <is>
          <t>Purely Plant GmbH (in-house)</t>
        </is>
      </c>
      <c r="DO97" s="256" t="inlineStr">
        <is>
          <t>ND</t>
        </is>
      </c>
      <c r="DP97" s="256" t="inlineStr">
        <is>
          <t>iCoA-PP_26-005</t>
        </is>
      </c>
      <c r="DQ97" s="256" t="inlineStr">
        <is>
          <t>03.06.2026</t>
        </is>
      </c>
      <c r="DR97" s="256" t="inlineStr">
        <is>
          <t>Purely Plant GmbH (in-house)</t>
        </is>
      </c>
    </row>
    <row r="98">
      <c r="A98" s="256" t="inlineStr">
        <is>
          <t>CoQ-PP_26-097</t>
        </is>
      </c>
      <c r="B98" s="256" t="inlineStr">
        <is>
          <t>reissue — retest</t>
        </is>
      </c>
      <c r="C98" s="256" t="inlineStr">
        <is>
          <t>issuable</t>
        </is>
      </c>
      <c r="D98" s="256" t="inlineStr">
        <is>
          <t>17.08.2026</t>
        </is>
      </c>
      <c r="E98" s="256" t="inlineStr">
        <is>
          <t>CoQ-PP_26-011 of 06.06.2026</t>
        </is>
      </c>
      <c r="F98" s="256" t="inlineStr">
        <is>
          <t>CoQ-PP-2026-0034</t>
        </is>
      </c>
      <c r="G98" s="256" t="inlineStr">
        <is>
          <t>HPA1024_01</t>
        </is>
      </c>
      <c r="H98" s="256" t="inlineStr">
        <is>
          <t>P050052</t>
        </is>
      </c>
      <c r="I98" s="256" t="inlineStr">
        <is>
          <t>High Pro Amnesia</t>
        </is>
      </c>
      <c r="J98" s="256" t="inlineStr">
        <is>
          <t>27.05.2025 – 28.05.2025</t>
        </is>
      </c>
      <c r="K98" s="256" t="inlineStr">
        <is>
          <t>27.06.2025 – 04.07.2025</t>
        </is>
      </c>
      <c r="L98" s="256" t="inlineStr">
        <is>
          <t>27.05.2025</t>
        </is>
      </c>
      <c r="M98" s="256" t="inlineStr">
        <is>
          <t>27.06.2025</t>
        </is>
      </c>
      <c r="N98" s="256" t="inlineStr">
        <is>
          <t>iCoA-PP_26-113</t>
        </is>
      </c>
      <c r="O98" s="256" t="inlineStr">
        <is>
          <t>27.07.2026</t>
        </is>
      </c>
      <c r="P98" s="256" t="inlineStr">
        <is>
          <t>23.07.2026</t>
        </is>
      </c>
      <c r="Q98" s="256" t="inlineStr">
        <is>
          <t>Tranche 1</t>
        </is>
      </c>
      <c r="R98" s="256" t="inlineStr">
        <is>
          <t>21.61</t>
        </is>
      </c>
      <c r="S98" s="256" t="inlineStr">
        <is>
          <t>197-14-К/26</t>
        </is>
      </c>
      <c r="T98" s="256" t="inlineStr">
        <is>
          <t>I</t>
        </is>
      </c>
      <c r="U98" s="256" t="inlineStr">
        <is>
          <t>19.80 – 24.19 %</t>
        </is>
      </c>
      <c r="V98" s="256" t="inlineStr">
        <is>
          <t>HPA_THC22 : CBD1</t>
        </is>
      </c>
      <c r="W98" s="256" t="inlineStr">
        <is>
          <t>QCSP_001_HPA-I_v.01</t>
        </is>
      </c>
      <c r="X98" s="256" t="inlineStr">
        <is>
          <t>for review — replaces the issued QCSP_001_HPA-I_v.01 (was HPA_THC22 : CBD1, 21.00 – 23.00 %); now HPA_THC22 : CBD1 19.80 – 24.19 %</t>
        </is>
      </c>
      <c r="Y98" s="256" t="inlineStr">
        <is>
          <t>SATIVA</t>
        </is>
      </c>
      <c r="Z98" s="256" t="inlineStr">
        <is>
          <t>THC</t>
        </is>
      </c>
      <c r="AA98" s="256" t="inlineStr">
        <is>
          <t>MACHINE TRIMMED</t>
        </is>
      </c>
      <c r="AB98" s="256" t="inlineStr">
        <is>
          <t>—</t>
        </is>
      </c>
      <c r="AC98" s="256" t="inlineStr">
        <is>
          <t>Triplex Alu Bag | Триплекс Aлу Kеса, PET 12 · ALU 7 · PE 80, 300 × 500 mm, net. 400.0 g ±3%</t>
        </is>
      </c>
      <c r="AD98" s="256" t="inlineStr">
        <is>
          <t>10.08.2026</t>
        </is>
      </c>
      <c r="AE98" s="256" t="inlineStr">
        <is>
          <t>Conforms | Одговара</t>
        </is>
      </c>
      <c r="AF98" s="256" t="inlineStr">
        <is>
          <t>iCoA-PP_26-113</t>
        </is>
      </c>
      <c r="AG98" s="256" t="inlineStr">
        <is>
          <t>27.07.2026</t>
        </is>
      </c>
      <c r="AH98" s="256" t="inlineStr">
        <is>
          <t>Purely Plant GmbH (in-house)</t>
        </is>
      </c>
      <c r="AI98" s="256" t="inlineStr">
        <is>
          <t>Conforms | Одговара</t>
        </is>
      </c>
      <c r="AJ98" s="256" t="inlineStr">
        <is>
          <t>iCoA-PP_26-113</t>
        </is>
      </c>
      <c r="AK98" s="256" t="inlineStr">
        <is>
          <t>27.07.2026</t>
        </is>
      </c>
      <c r="AL98" s="256" t="inlineStr">
        <is>
          <t>Purely Plant GmbH (in-house)</t>
        </is>
      </c>
      <c r="AM98" s="256" t="inlineStr">
        <is>
          <t>Conforms | Одговара</t>
        </is>
      </c>
      <c r="AN98" s="256" t="inlineStr">
        <is>
          <t>197-14-К/26</t>
        </is>
      </c>
      <c r="AO98" s="256" t="inlineStr">
        <is>
          <t>07.08.2026</t>
        </is>
      </c>
      <c r="AP98" s="256" t="inlineStr">
        <is>
          <t>Farmahem</t>
        </is>
      </c>
      <c r="AQ98" s="256" t="inlineStr">
        <is>
          <t>21.61</t>
        </is>
      </c>
      <c r="AR98" s="256" t="inlineStr">
        <is>
          <t>197-14-К/26</t>
        </is>
      </c>
      <c r="AS98" s="256" t="inlineStr">
        <is>
          <t>07.08.2026</t>
        </is>
      </c>
      <c r="AT98" s="256" t="inlineStr">
        <is>
          <t>Farmahem</t>
        </is>
      </c>
      <c r="AU98" s="256" t="inlineStr">
        <is>
          <t>&lt; LOQ</t>
        </is>
      </c>
      <c r="AV98" s="256" t="inlineStr">
        <is>
          <t>197-14-К/26</t>
        </is>
      </c>
      <c r="AW98" s="256" t="inlineStr">
        <is>
          <t>07.08.2026</t>
        </is>
      </c>
      <c r="AX98" s="256" t="inlineStr">
        <is>
          <t>Farmahem</t>
        </is>
      </c>
      <c r="AY98" s="256" t="inlineStr">
        <is>
          <t>&lt; LOQ</t>
        </is>
      </c>
      <c r="AZ98" s="256" t="inlineStr">
        <is>
          <t>197-14-К/26</t>
        </is>
      </c>
      <c r="BA98" s="256" t="inlineStr">
        <is>
          <t>07.08.2026</t>
        </is>
      </c>
      <c r="BB98" s="256" t="inlineStr">
        <is>
          <t>Farmahem</t>
        </is>
      </c>
      <c r="BC98" s="256" t="inlineStr">
        <is>
          <t>Conforms | Одговара</t>
        </is>
      </c>
      <c r="BD98" s="256" t="inlineStr">
        <is>
          <t>iCoA-PP_26-113</t>
        </is>
      </c>
      <c r="BE98" s="256" t="inlineStr">
        <is>
          <t>27.07.2026</t>
        </is>
      </c>
      <c r="BF98" s="256" t="inlineStr">
        <is>
          <t>Purely Plant GmbH (in-house)</t>
        </is>
      </c>
      <c r="BG98" s="256" t="inlineStr">
        <is>
          <t>6.36</t>
        </is>
      </c>
      <c r="BH98" s="256" t="inlineStr">
        <is>
          <t>ППК25155</t>
        </is>
      </c>
      <c r="BI98" s="256" t="inlineStr">
        <is>
          <t>24.06.2025</t>
        </is>
      </c>
      <c r="BJ98" s="256" t="inlineStr">
        <is>
          <t>UKIM Faculty of Pharmacy — Center for Natural Products</t>
        </is>
      </c>
      <c r="BK98" s="256" t="inlineStr">
        <is>
          <t>9.6 × 10³</t>
        </is>
      </c>
      <c r="BL98" s="256" t="inlineStr">
        <is>
          <t>587/1066/25</t>
        </is>
      </c>
      <c r="BM98" s="256" t="inlineStr">
        <is>
          <t>18.06.2025</t>
        </is>
      </c>
      <c r="BN98" s="256" t="inlineStr">
        <is>
          <t>IPH — Institute of Public Health</t>
        </is>
      </c>
      <c r="BO98" s="256" t="inlineStr">
        <is>
          <t>1.5 × 10⁴</t>
        </is>
      </c>
      <c r="BP98" s="256" t="inlineStr">
        <is>
          <t>587/1066/25</t>
        </is>
      </c>
      <c r="BQ98" s="256" t="inlineStr">
        <is>
          <t>18.06.2025</t>
        </is>
      </c>
      <c r="BR98" s="256" t="inlineStr">
        <is>
          <t>IPH — Institute of Public Health</t>
        </is>
      </c>
      <c r="BS98" s="256" t="inlineStr">
        <is>
          <t>&lt; 10</t>
        </is>
      </c>
      <c r="BT98" s="256" t="inlineStr">
        <is>
          <t>587/1066/25</t>
        </is>
      </c>
      <c r="BU98" s="256" t="inlineStr">
        <is>
          <t>18.06.2025</t>
        </is>
      </c>
      <c r="BV98" s="256" t="inlineStr">
        <is>
          <t>IPH — Institute of Public Health</t>
        </is>
      </c>
      <c r="BW98" s="256" t="inlineStr">
        <is>
          <t>Absent | Отсутна</t>
        </is>
      </c>
      <c r="BX98" s="256" t="inlineStr">
        <is>
          <t>587/1066/25</t>
        </is>
      </c>
      <c r="BY98" s="256" t="inlineStr">
        <is>
          <t>18.06.2025</t>
        </is>
      </c>
      <c r="BZ98" s="256" t="inlineStr">
        <is>
          <t>IPH — Institute of Public Health</t>
        </is>
      </c>
      <c r="CA98" s="256" t="inlineStr">
        <is>
          <t>Absent | Отсутна</t>
        </is>
      </c>
      <c r="CB98" s="256" t="inlineStr">
        <is>
          <t>587/1066/25</t>
        </is>
      </c>
      <c r="CC98" s="256" t="inlineStr">
        <is>
          <t>18.06.2025</t>
        </is>
      </c>
      <c r="CD98" s="256" t="inlineStr">
        <is>
          <t>IPH — Institute of Public Health</t>
        </is>
      </c>
      <c r="CE98" s="260" t="inlineStr">
        <is>
          <t>upon request — not required for release</t>
        </is>
      </c>
      <c r="CF98" s="256" t="inlineStr">
        <is>
          <t>—</t>
        </is>
      </c>
      <c r="CG98" s="256" t="inlineStr">
        <is>
          <t>—</t>
        </is>
      </c>
      <c r="CH98" s="256" t="inlineStr">
        <is>
          <t>—</t>
        </is>
      </c>
      <c r="CI98" s="260" t="inlineStr">
        <is>
          <t>upon request — not required for release</t>
        </is>
      </c>
      <c r="CJ98" s="256" t="inlineStr">
        <is>
          <t>—</t>
        </is>
      </c>
      <c r="CK98" s="256" t="inlineStr">
        <is>
          <t>—</t>
        </is>
      </c>
      <c r="CL98" s="256" t="inlineStr">
        <is>
          <t>—</t>
        </is>
      </c>
      <c r="CM98" s="256" t="inlineStr">
        <is>
          <t>ND</t>
        </is>
      </c>
      <c r="CN98" s="256" t="inlineStr">
        <is>
          <t>197-14-М/26</t>
        </is>
      </c>
      <c r="CO98" s="256" t="inlineStr">
        <is>
          <t>10.08.2026</t>
        </is>
      </c>
      <c r="CP98" s="256" t="inlineStr">
        <is>
          <t>Farmahem</t>
        </is>
      </c>
      <c r="CQ98" s="256" t="inlineStr">
        <is>
          <t>ND</t>
        </is>
      </c>
      <c r="CR98" s="256" t="inlineStr">
        <is>
          <t>197-14-М/26</t>
        </is>
      </c>
      <c r="CS98" s="256" t="inlineStr">
        <is>
          <t>10.08.2026</t>
        </is>
      </c>
      <c r="CT98" s="256" t="inlineStr">
        <is>
          <t>Farmahem</t>
        </is>
      </c>
      <c r="CU98" s="256" t="inlineStr">
        <is>
          <t>2.06 — DETECTED, &gt;LOQ</t>
        </is>
      </c>
      <c r="CV98" s="256" t="inlineStr">
        <is>
          <t>197-14-М/26</t>
        </is>
      </c>
      <c r="CW98" s="256" t="inlineStr">
        <is>
          <t>10.08.2026</t>
        </is>
      </c>
      <c r="CX98" s="256" t="inlineStr">
        <is>
          <t>Farmahem</t>
        </is>
      </c>
      <c r="CY98" s="256" t="inlineStr">
        <is>
          <t>0.059</t>
        </is>
      </c>
      <c r="CZ98" s="256" t="inlineStr">
        <is>
          <t>2995/2025</t>
        </is>
      </c>
      <c r="DA98" s="256" t="inlineStr">
        <is>
          <t>19.06.2025</t>
        </is>
      </c>
      <c r="DB98" s="256" t="inlineStr">
        <is>
          <t>IPH — Institute of Public Health</t>
        </is>
      </c>
      <c r="DC98" s="256" t="inlineStr">
        <is>
          <t>0.014</t>
        </is>
      </c>
      <c r="DD98" s="256" t="inlineStr">
        <is>
          <t>2995/2025</t>
        </is>
      </c>
      <c r="DE98" s="256" t="inlineStr">
        <is>
          <t>19.06.2025</t>
        </is>
      </c>
      <c r="DF98" s="256" t="inlineStr">
        <is>
          <t>IPH — Institute of Public Health</t>
        </is>
      </c>
      <c r="DG98" s="256" t="inlineStr">
        <is>
          <t>0.037</t>
        </is>
      </c>
      <c r="DH98" s="256" t="inlineStr">
        <is>
          <t>2995/2025</t>
        </is>
      </c>
      <c r="DI98" s="256" t="inlineStr">
        <is>
          <t>19.06.2025</t>
        </is>
      </c>
      <c r="DJ98" s="256" t="inlineStr">
        <is>
          <t>IPH — Institute of Public Health</t>
        </is>
      </c>
      <c r="DK98" s="256" t="inlineStr">
        <is>
          <t>0.008</t>
        </is>
      </c>
      <c r="DL98" s="256" t="inlineStr">
        <is>
          <t>2995/2025</t>
        </is>
      </c>
      <c r="DM98" s="256" t="inlineStr">
        <is>
          <t>19.06.2025</t>
        </is>
      </c>
      <c r="DN98" s="256" t="inlineStr">
        <is>
          <t>IPH — Institute of Public Health</t>
        </is>
      </c>
      <c r="DO98" s="256" t="inlineStr">
        <is>
          <t>ND</t>
        </is>
      </c>
      <c r="DP98" s="256" t="inlineStr">
        <is>
          <t>2995/2025</t>
        </is>
      </c>
      <c r="DQ98" s="256" t="inlineStr">
        <is>
          <t>19.06.2025</t>
        </is>
      </c>
      <c r="DR98" s="256" t="inlineStr">
        <is>
          <t>IPH — Institute of Public Health</t>
        </is>
      </c>
    </row>
    <row r="99">
      <c r="A99" s="256" t="inlineStr">
        <is>
          <t>CoQ-PP_26-098</t>
        </is>
      </c>
      <c r="B99" s="256" t="inlineStr">
        <is>
          <t>reissue — retest</t>
        </is>
      </c>
      <c r="C99" s="256" t="inlineStr">
        <is>
          <t>issuable</t>
        </is>
      </c>
      <c r="D99" s="256" t="inlineStr">
        <is>
          <t>17.08.2026</t>
        </is>
      </c>
      <c r="E99" s="256" t="inlineStr">
        <is>
          <t>CoQ-PP_26-051 of 06.06.2026</t>
        </is>
      </c>
      <c r="F99" s="256" t="inlineStr">
        <is>
          <t>(assigned on issue)</t>
        </is>
      </c>
      <c r="G99" s="256" t="inlineStr">
        <is>
          <t>J31102501</t>
        </is>
      </c>
      <c r="H99" s="256" t="inlineStr">
        <is>
          <t>P060152</t>
        </is>
      </c>
      <c r="I99" s="256" t="inlineStr">
        <is>
          <t>Jokerz 31</t>
        </is>
      </c>
      <c r="J99" s="256" t="inlineStr">
        <is>
          <t>21.01.2026</t>
        </is>
      </c>
      <c r="K99" s="256" t="inlineStr">
        <is>
          <t>05.03.2026</t>
        </is>
      </c>
      <c r="L99" s="256" t="inlineStr">
        <is>
          <t>21.01.2026</t>
        </is>
      </c>
      <c r="M99" s="256" t="inlineStr">
        <is>
          <t>05.03.2026</t>
        </is>
      </c>
      <c r="N99" s="256" t="inlineStr">
        <is>
          <t>iCoA-PP_26-114</t>
        </is>
      </c>
      <c r="O99" s="256" t="inlineStr">
        <is>
          <t>27.07.2026</t>
        </is>
      </c>
      <c r="P99" s="256" t="inlineStr">
        <is>
          <t>23.07.2026</t>
        </is>
      </c>
      <c r="Q99" s="256" t="inlineStr">
        <is>
          <t>Tranche 1</t>
        </is>
      </c>
      <c r="R99" s="256" t="inlineStr">
        <is>
          <t>17.32</t>
        </is>
      </c>
      <c r="S99" s="256" t="inlineStr">
        <is>
          <t>197-16-К/26</t>
        </is>
      </c>
      <c r="T99" s="256" t="inlineStr">
        <is>
          <t>III</t>
        </is>
      </c>
      <c r="U99" s="256" t="inlineStr">
        <is>
          <t>16.20 – 19.79 %</t>
        </is>
      </c>
      <c r="V99" s="256" t="inlineStr">
        <is>
          <t>J31_THC18 : CBD1</t>
        </is>
      </c>
      <c r="W99" s="256" t="inlineStr">
        <is>
          <t>QCSP_001_J31-III_v.01</t>
        </is>
      </c>
      <c r="X99" s="256" t="inlineStr">
        <is>
          <t>for review — new</t>
        </is>
      </c>
      <c r="Y99" s="256" t="inlineStr">
        <is>
          <t>HYBRID</t>
        </is>
      </c>
      <c r="Z99" s="256" t="inlineStr">
        <is>
          <t>THC</t>
        </is>
      </c>
      <c r="AA99" s="256" t="inlineStr">
        <is>
          <t>MACHINE TRIMMED</t>
        </is>
      </c>
      <c r="AB99" s="256" t="inlineStr">
        <is>
          <t>INDICA 70 : SATIVA 30</t>
        </is>
      </c>
      <c r="AC99" s="256" t="inlineStr">
        <is>
          <t>Triplex Alu Bag | Триплекс Aлу Kеса, PET 12 · ALU 7 · PE 80, 300 × 500 mm, net. 400.0 g ±3%</t>
        </is>
      </c>
      <c r="AD99" s="256" t="inlineStr">
        <is>
          <t>10.08.2026</t>
        </is>
      </c>
      <c r="AE99" s="256" t="inlineStr">
        <is>
          <t>Conforms | Одговара</t>
        </is>
      </c>
      <c r="AF99" s="256" t="inlineStr">
        <is>
          <t>iCoA-PP_26-114</t>
        </is>
      </c>
      <c r="AG99" s="256" t="inlineStr">
        <is>
          <t>27.07.2026</t>
        </is>
      </c>
      <c r="AH99" s="256" t="inlineStr">
        <is>
          <t>Purely Plant GmbH (in-house)</t>
        </is>
      </c>
      <c r="AI99" s="256" t="inlineStr">
        <is>
          <t>Conforms | Одговара</t>
        </is>
      </c>
      <c r="AJ99" s="256" t="inlineStr">
        <is>
          <t>iCoA-PP_26-114</t>
        </is>
      </c>
      <c r="AK99" s="256" t="inlineStr">
        <is>
          <t>27.07.2026</t>
        </is>
      </c>
      <c r="AL99" s="256" t="inlineStr">
        <is>
          <t>Purely Plant GmbH (in-house)</t>
        </is>
      </c>
      <c r="AM99" s="256" t="inlineStr">
        <is>
          <t>Conforms | Одговара</t>
        </is>
      </c>
      <c r="AN99" s="256" t="inlineStr">
        <is>
          <t>197-16-К/26</t>
        </is>
      </c>
      <c r="AO99" s="256" t="inlineStr">
        <is>
          <t>07.08.2026</t>
        </is>
      </c>
      <c r="AP99" s="256" t="inlineStr">
        <is>
          <t>Farmahem</t>
        </is>
      </c>
      <c r="AQ99" s="256" t="inlineStr">
        <is>
          <t>17.32</t>
        </is>
      </c>
      <c r="AR99" s="256" t="inlineStr">
        <is>
          <t>197-16-К/26</t>
        </is>
      </c>
      <c r="AS99" s="256" t="inlineStr">
        <is>
          <t>07.08.2026</t>
        </is>
      </c>
      <c r="AT99" s="256" t="inlineStr">
        <is>
          <t>Farmahem</t>
        </is>
      </c>
      <c r="AU99" s="256" t="inlineStr">
        <is>
          <t>&lt; LOQ</t>
        </is>
      </c>
      <c r="AV99" s="256" t="inlineStr">
        <is>
          <t>197-16-К/26</t>
        </is>
      </c>
      <c r="AW99" s="256" t="inlineStr">
        <is>
          <t>07.08.2026</t>
        </is>
      </c>
      <c r="AX99" s="256" t="inlineStr">
        <is>
          <t>Farmahem</t>
        </is>
      </c>
      <c r="AY99" s="256" t="inlineStr">
        <is>
          <t>&lt; LOQ</t>
        </is>
      </c>
      <c r="AZ99" s="256" t="inlineStr">
        <is>
          <t>197-16-К/26</t>
        </is>
      </c>
      <c r="BA99" s="256" t="inlineStr">
        <is>
          <t>07.08.2026</t>
        </is>
      </c>
      <c r="BB99" s="256" t="inlineStr">
        <is>
          <t>Farmahem</t>
        </is>
      </c>
      <c r="BC99" s="256" t="inlineStr">
        <is>
          <t>Conforms | Одговара</t>
        </is>
      </c>
      <c r="BD99" s="256" t="inlineStr">
        <is>
          <t>iCoA-PP_26-114</t>
        </is>
      </c>
      <c r="BE99" s="256" t="inlineStr">
        <is>
          <t>27.07.2026</t>
        </is>
      </c>
      <c r="BF99" s="256" t="inlineStr">
        <is>
          <t>Purely Plant GmbH (in-house)</t>
        </is>
      </c>
      <c r="BG99" s="256" t="inlineStr">
        <is>
          <t>6.3</t>
        </is>
      </c>
      <c r="BH99" s="256" t="inlineStr">
        <is>
          <t>051-1-ГС/26</t>
        </is>
      </c>
      <c r="BI99" s="256" t="inlineStr">
        <is>
          <t>02.03.2026</t>
        </is>
      </c>
      <c r="BJ99" s="256" t="inlineStr">
        <is>
          <t>Farmahem</t>
        </is>
      </c>
      <c r="BK99" s="256" t="inlineStr">
        <is>
          <t>1.6 × 10²</t>
        </is>
      </c>
      <c r="BL99" s="256" t="inlineStr">
        <is>
          <t>133/0230/26</t>
        </is>
      </c>
      <c r="BM99" s="256" t="inlineStr">
        <is>
          <t>06.03.2026</t>
        </is>
      </c>
      <c r="BN99" s="256" t="inlineStr">
        <is>
          <t>IPH — Institute of Public Health</t>
        </is>
      </c>
      <c r="BO99" s="256" t="inlineStr">
        <is>
          <t>1.9 × 10²</t>
        </is>
      </c>
      <c r="BP99" s="256" t="inlineStr">
        <is>
          <t>133/0230/26</t>
        </is>
      </c>
      <c r="BQ99" s="256" t="inlineStr">
        <is>
          <t>06.03.2026</t>
        </is>
      </c>
      <c r="BR99" s="256" t="inlineStr">
        <is>
          <t>IPH — Institute of Public Health</t>
        </is>
      </c>
      <c r="BS99" s="256" t="inlineStr">
        <is>
          <t>&lt; 10</t>
        </is>
      </c>
      <c r="BT99" s="256" t="inlineStr">
        <is>
          <t>133/0230/26</t>
        </is>
      </c>
      <c r="BU99" s="256" t="inlineStr">
        <is>
          <t>06.03.2026</t>
        </is>
      </c>
      <c r="BV99" s="256" t="inlineStr">
        <is>
          <t>IPH — Institute of Public Health</t>
        </is>
      </c>
      <c r="BW99" s="256" t="inlineStr">
        <is>
          <t>Absent | Отсутна</t>
        </is>
      </c>
      <c r="BX99" s="256" t="inlineStr">
        <is>
          <t>133/0230/26</t>
        </is>
      </c>
      <c r="BY99" s="256" t="inlineStr">
        <is>
          <t>06.03.2026</t>
        </is>
      </c>
      <c r="BZ99" s="256" t="inlineStr">
        <is>
          <t>IPH — Institute of Public Health</t>
        </is>
      </c>
      <c r="CA99" s="256" t="inlineStr">
        <is>
          <t>Absent | Отсутна</t>
        </is>
      </c>
      <c r="CB99" s="256" t="inlineStr">
        <is>
          <t>133/0230/26</t>
        </is>
      </c>
      <c r="CC99" s="256" t="inlineStr">
        <is>
          <t>06.03.2026</t>
        </is>
      </c>
      <c r="CD99" s="256" t="inlineStr">
        <is>
          <t>IPH — Institute of Public Health</t>
        </is>
      </c>
      <c r="CE99" s="260" t="inlineStr">
        <is>
          <t>upon request — not required for release</t>
        </is>
      </c>
      <c r="CF99" s="256" t="inlineStr">
        <is>
          <t>—</t>
        </is>
      </c>
      <c r="CG99" s="256" t="inlineStr">
        <is>
          <t>—</t>
        </is>
      </c>
      <c r="CH99" s="256" t="inlineStr">
        <is>
          <t>—</t>
        </is>
      </c>
      <c r="CI99" s="260" t="inlineStr">
        <is>
          <t>upon request — not required for release</t>
        </is>
      </c>
      <c r="CJ99" s="256" t="inlineStr">
        <is>
          <t>—</t>
        </is>
      </c>
      <c r="CK99" s="256" t="inlineStr">
        <is>
          <t>—</t>
        </is>
      </c>
      <c r="CL99" s="256" t="inlineStr">
        <is>
          <t>—</t>
        </is>
      </c>
      <c r="CM99" s="256" t="inlineStr">
        <is>
          <t>ND</t>
        </is>
      </c>
      <c r="CN99" s="256" t="inlineStr">
        <is>
          <t>197-16-М/26</t>
        </is>
      </c>
      <c r="CO99" s="256" t="inlineStr">
        <is>
          <t>10.08.2026</t>
        </is>
      </c>
      <c r="CP99" s="256" t="inlineStr">
        <is>
          <t>Farmahem</t>
        </is>
      </c>
      <c r="CQ99" s="256" t="inlineStr">
        <is>
          <t>ND</t>
        </is>
      </c>
      <c r="CR99" s="256" t="inlineStr">
        <is>
          <t>197-16-М/26</t>
        </is>
      </c>
      <c r="CS99" s="256" t="inlineStr">
        <is>
          <t>10.08.2026</t>
        </is>
      </c>
      <c r="CT99" s="256" t="inlineStr">
        <is>
          <t>Farmahem</t>
        </is>
      </c>
      <c r="CU99" s="256" t="inlineStr">
        <is>
          <t>ND</t>
        </is>
      </c>
      <c r="CV99" s="256" t="inlineStr">
        <is>
          <t>197-16-М/26</t>
        </is>
      </c>
      <c r="CW99" s="256" t="inlineStr">
        <is>
          <t>10.08.2026</t>
        </is>
      </c>
      <c r="CX99" s="256" t="inlineStr">
        <is>
          <t>Farmahem</t>
        </is>
      </c>
      <c r="CY99" s="256" t="inlineStr">
        <is>
          <t>0.061</t>
        </is>
      </c>
      <c r="CZ99" s="256" t="inlineStr">
        <is>
          <t>1056/2026</t>
        </is>
      </c>
      <c r="DA99" s="256" t="inlineStr">
        <is>
          <t>09.03.2026</t>
        </is>
      </c>
      <c r="DB99" s="256" t="inlineStr">
        <is>
          <t>IPH — Institute of Public Health</t>
        </is>
      </c>
      <c r="DC99" s="256" t="inlineStr">
        <is>
          <t>ND</t>
        </is>
      </c>
      <c r="DD99" s="256" t="inlineStr">
        <is>
          <t>1056/2026</t>
        </is>
      </c>
      <c r="DE99" s="256" t="inlineStr">
        <is>
          <t>09.03.2026</t>
        </is>
      </c>
      <c r="DF99" s="256" t="inlineStr">
        <is>
          <t>IPH — Institute of Public Health</t>
        </is>
      </c>
      <c r="DG99" s="256" t="inlineStr">
        <is>
          <t>ND</t>
        </is>
      </c>
      <c r="DH99" s="256" t="inlineStr">
        <is>
          <t>1056/2026</t>
        </is>
      </c>
      <c r="DI99" s="256" t="inlineStr">
        <is>
          <t>09.03.2026</t>
        </is>
      </c>
      <c r="DJ99" s="256" t="inlineStr">
        <is>
          <t>IPH — Institute of Public Health</t>
        </is>
      </c>
      <c r="DK99" s="256" t="inlineStr">
        <is>
          <t>ND</t>
        </is>
      </c>
      <c r="DL99" s="256" t="inlineStr">
        <is>
          <t>1056/2026</t>
        </is>
      </c>
      <c r="DM99" s="256" t="inlineStr">
        <is>
          <t>09.03.2026</t>
        </is>
      </c>
      <c r="DN99" s="256" t="inlineStr">
        <is>
          <t>IPH — Institute of Public Health</t>
        </is>
      </c>
      <c r="DO99" s="256" t="inlineStr">
        <is>
          <t>ND mg/kg — all 25 residues</t>
        </is>
      </c>
      <c r="DP99" s="256" t="inlineStr">
        <is>
          <t>1056/2026</t>
        </is>
      </c>
      <c r="DQ99" s="256" t="inlineStr">
        <is>
          <t>09.03.2026</t>
        </is>
      </c>
      <c r="DR99" s="256" t="inlineStr">
        <is>
          <t>IJZ</t>
        </is>
      </c>
    </row>
    <row r="100">
      <c r="A100" s="256" t="inlineStr">
        <is>
          <t>CoQ-PP_26-099</t>
        </is>
      </c>
      <c r="B100" s="256" t="inlineStr">
        <is>
          <t>reissue — retest</t>
        </is>
      </c>
      <c r="C100" s="256" t="inlineStr">
        <is>
          <t>issuable</t>
        </is>
      </c>
      <c r="D100" s="256" t="inlineStr">
        <is>
          <t>17.08.2026</t>
        </is>
      </c>
      <c r="E100" s="256" t="inlineStr">
        <is>
          <t>CoQ-PP_26-057 of 06.06.2026</t>
        </is>
      </c>
      <c r="F100" s="256" t="inlineStr">
        <is>
          <t>(assigned on issue)</t>
        </is>
      </c>
      <c r="G100" s="256" t="inlineStr">
        <is>
          <t>JD112501</t>
        </is>
      </c>
      <c r="H100" s="256" t="inlineStr">
        <is>
          <t>P060212</t>
        </is>
      </c>
      <c r="I100" s="256" t="inlineStr">
        <is>
          <t>Jelly Donuts</t>
        </is>
      </c>
      <c r="J100" s="256" t="inlineStr">
        <is>
          <t>25.03.2026</t>
        </is>
      </c>
      <c r="K100" s="256" t="inlineStr">
        <is>
          <t>21.04.2026</t>
        </is>
      </c>
      <c r="L100" s="256" t="inlineStr">
        <is>
          <t>25.03.2026</t>
        </is>
      </c>
      <c r="M100" s="256" t="inlineStr">
        <is>
          <t>21.04.2026</t>
        </is>
      </c>
      <c r="N100" s="256" t="inlineStr">
        <is>
          <t>iCoA-PP_26-115</t>
        </is>
      </c>
      <c r="O100" s="256" t="inlineStr">
        <is>
          <t>27.07.2026</t>
        </is>
      </c>
      <c r="P100" s="256" t="inlineStr">
        <is>
          <t>23.07.2026</t>
        </is>
      </c>
      <c r="Q100" s="256" t="inlineStr">
        <is>
          <t>Tranche 1</t>
        </is>
      </c>
      <c r="R100" s="256" t="inlineStr">
        <is>
          <t>20.32</t>
        </is>
      </c>
      <c r="S100" s="256" t="inlineStr">
        <is>
          <t>197-15-К/26</t>
        </is>
      </c>
      <c r="T100" s="256" t="inlineStr">
        <is>
          <t>I</t>
        </is>
      </c>
      <c r="U100" s="256" t="inlineStr">
        <is>
          <t>19.80 – 24.19 %</t>
        </is>
      </c>
      <c r="V100" s="256" t="inlineStr">
        <is>
          <t>JD_THC22 : CBD1</t>
        </is>
      </c>
      <c r="W100" s="256" t="inlineStr">
        <is>
          <t>QCSP_001_JD-I_v.01</t>
        </is>
      </c>
      <c r="X100" s="256" t="inlineStr">
        <is>
          <t>for review — replaces the issued QCSP_001_JD-I_v.01 (was JD_THC20 : CBD1, 18.00 – 22.00 %); now JD_THC22 : CBD1 19.80 – 24.19 %</t>
        </is>
      </c>
      <c r="Y100" s="256" t="inlineStr">
        <is>
          <t>HYBRID</t>
        </is>
      </c>
      <c r="Z100" s="256" t="inlineStr">
        <is>
          <t>THC</t>
        </is>
      </c>
      <c r="AA100" s="256" t="inlineStr">
        <is>
          <t>MACHINE TRIMMED</t>
        </is>
      </c>
      <c r="AB100" s="256" t="inlineStr">
        <is>
          <t>SATIVA 60 : INDICA 40</t>
        </is>
      </c>
      <c r="AC100" s="256" t="inlineStr">
        <is>
          <t>Triplex Alu Bag | Триплекс Aлу Kеса, PET 12 · ALU 7 · PE 80, 300 × 500 mm, net. 400.0 g ±3%</t>
        </is>
      </c>
      <c r="AD100" s="256" t="inlineStr">
        <is>
          <t>10.08.2026</t>
        </is>
      </c>
      <c r="AE100" s="256" t="inlineStr">
        <is>
          <t>Conforms | Одговара</t>
        </is>
      </c>
      <c r="AF100" s="256" t="inlineStr">
        <is>
          <t>iCoA-PP_26-115</t>
        </is>
      </c>
      <c r="AG100" s="256" t="inlineStr">
        <is>
          <t>27.07.2026</t>
        </is>
      </c>
      <c r="AH100" s="256" t="inlineStr">
        <is>
          <t>Purely Plant GmbH (in-house)</t>
        </is>
      </c>
      <c r="AI100" s="256" t="inlineStr">
        <is>
          <t>Conforms | Одговара</t>
        </is>
      </c>
      <c r="AJ100" s="256" t="inlineStr">
        <is>
          <t>iCoA-PP_26-115</t>
        </is>
      </c>
      <c r="AK100" s="256" t="inlineStr">
        <is>
          <t>27.07.2026</t>
        </is>
      </c>
      <c r="AL100" s="256" t="inlineStr">
        <is>
          <t>Purely Plant GmbH (in-house)</t>
        </is>
      </c>
      <c r="AM100" s="256" t="inlineStr">
        <is>
          <t>Conforms | Одговара</t>
        </is>
      </c>
      <c r="AN100" s="256" t="inlineStr">
        <is>
          <t>197-15-К/26</t>
        </is>
      </c>
      <c r="AO100" s="256" t="inlineStr">
        <is>
          <t>07.08.2026</t>
        </is>
      </c>
      <c r="AP100" s="256" t="inlineStr">
        <is>
          <t>Farmahem</t>
        </is>
      </c>
      <c r="AQ100" s="256" t="inlineStr">
        <is>
          <t>20.32</t>
        </is>
      </c>
      <c r="AR100" s="256" t="inlineStr">
        <is>
          <t>197-15-К/26</t>
        </is>
      </c>
      <c r="AS100" s="256" t="inlineStr">
        <is>
          <t>07.08.2026</t>
        </is>
      </c>
      <c r="AT100" s="256" t="inlineStr">
        <is>
          <t>Farmahem</t>
        </is>
      </c>
      <c r="AU100" s="256" t="inlineStr">
        <is>
          <t>&lt; LOQ</t>
        </is>
      </c>
      <c r="AV100" s="256" t="inlineStr">
        <is>
          <t>197-15-К/26</t>
        </is>
      </c>
      <c r="AW100" s="256" t="inlineStr">
        <is>
          <t>07.08.2026</t>
        </is>
      </c>
      <c r="AX100" s="256" t="inlineStr">
        <is>
          <t>Farmahem</t>
        </is>
      </c>
      <c r="AY100" s="256" t="inlineStr">
        <is>
          <t>&lt; LOQ</t>
        </is>
      </c>
      <c r="AZ100" s="256" t="inlineStr">
        <is>
          <t>197-15-К/26</t>
        </is>
      </c>
      <c r="BA100" s="256" t="inlineStr">
        <is>
          <t>07.08.2026</t>
        </is>
      </c>
      <c r="BB100" s="256" t="inlineStr">
        <is>
          <t>Farmahem</t>
        </is>
      </c>
      <c r="BC100" s="256" t="inlineStr">
        <is>
          <t>Conforms | Одговара</t>
        </is>
      </c>
      <c r="BD100" s="256" t="inlineStr">
        <is>
          <t>iCoA-PP_26-115</t>
        </is>
      </c>
      <c r="BE100" s="256" t="inlineStr">
        <is>
          <t>27.07.2026</t>
        </is>
      </c>
      <c r="BF100" s="256" t="inlineStr">
        <is>
          <t>Purely Plant GmbH (in-house)</t>
        </is>
      </c>
      <c r="BG100" s="256" t="inlineStr">
        <is>
          <t>6.69</t>
        </is>
      </c>
      <c r="BH100" s="256" t="inlineStr">
        <is>
          <t>ППК26063</t>
        </is>
      </c>
      <c r="BI100" s="256" t="inlineStr">
        <is>
          <t>11.05.2026</t>
        </is>
      </c>
      <c r="BJ100" s="256" t="inlineStr">
        <is>
          <t>UKIM Faculty of Pharmacy — Center for Natural Products</t>
        </is>
      </c>
      <c r="BK100" s="256" t="inlineStr">
        <is>
          <t>2,6 × 10³</t>
        </is>
      </c>
      <c r="BL100" s="256" t="inlineStr">
        <is>
          <t>307/0551/26</t>
        </is>
      </c>
      <c r="BM100" s="256" t="inlineStr">
        <is>
          <t>28.04.2026</t>
        </is>
      </c>
      <c r="BN100" s="256" t="inlineStr">
        <is>
          <t>IPH — Institute of Public Health</t>
        </is>
      </c>
      <c r="BO100" s="256" t="inlineStr">
        <is>
          <t>3,3 × 10³</t>
        </is>
      </c>
      <c r="BP100" s="256" t="inlineStr">
        <is>
          <t>307/0551/26</t>
        </is>
      </c>
      <c r="BQ100" s="256" t="inlineStr">
        <is>
          <t>28.04.2026</t>
        </is>
      </c>
      <c r="BR100" s="256" t="inlineStr">
        <is>
          <t>IPH — Institute of Public Health</t>
        </is>
      </c>
      <c r="BS100" s="256" t="inlineStr">
        <is>
          <t>&lt; 10³ and &gt; 10²</t>
        </is>
      </c>
      <c r="BT100" s="256" t="inlineStr">
        <is>
          <t>307/0551/26</t>
        </is>
      </c>
      <c r="BU100" s="256" t="inlineStr">
        <is>
          <t>28.04.2026</t>
        </is>
      </c>
      <c r="BV100" s="256" t="inlineStr">
        <is>
          <t>IPH — Institute of Public Health</t>
        </is>
      </c>
      <c r="BW100" s="256" t="inlineStr">
        <is>
          <t>Absent | Отсутна</t>
        </is>
      </c>
      <c r="BX100" s="256" t="inlineStr">
        <is>
          <t>307/0551/26</t>
        </is>
      </c>
      <c r="BY100" s="256" t="inlineStr">
        <is>
          <t>28.04.2026</t>
        </is>
      </c>
      <c r="BZ100" s="256" t="inlineStr">
        <is>
          <t>IPH — Institute of Public Health</t>
        </is>
      </c>
      <c r="CA100" s="256" t="inlineStr">
        <is>
          <t>Absent | Отсутна</t>
        </is>
      </c>
      <c r="CB100" s="256" t="inlineStr">
        <is>
          <t>307/0551/26</t>
        </is>
      </c>
      <c r="CC100" s="256" t="inlineStr">
        <is>
          <t>28.04.2026</t>
        </is>
      </c>
      <c r="CD100" s="256" t="inlineStr">
        <is>
          <t>IPH — Institute of Public Health</t>
        </is>
      </c>
      <c r="CE100" s="260" t="inlineStr">
        <is>
          <t>upon request — not required for release</t>
        </is>
      </c>
      <c r="CF100" s="256" t="inlineStr">
        <is>
          <t>—</t>
        </is>
      </c>
      <c r="CG100" s="256" t="inlineStr">
        <is>
          <t>—</t>
        </is>
      </c>
      <c r="CH100" s="256" t="inlineStr">
        <is>
          <t>—</t>
        </is>
      </c>
      <c r="CI100" s="260" t="inlineStr">
        <is>
          <t>upon request — not required for release</t>
        </is>
      </c>
      <c r="CJ100" s="256" t="inlineStr">
        <is>
          <t>—</t>
        </is>
      </c>
      <c r="CK100" s="256" t="inlineStr">
        <is>
          <t>—</t>
        </is>
      </c>
      <c r="CL100" s="256" t="inlineStr">
        <is>
          <t>—</t>
        </is>
      </c>
      <c r="CM100" s="256" t="inlineStr">
        <is>
          <t>ND</t>
        </is>
      </c>
      <c r="CN100" s="256" t="inlineStr">
        <is>
          <t>197-15-М/26</t>
        </is>
      </c>
      <c r="CO100" s="256" t="inlineStr">
        <is>
          <t>10.08.2026</t>
        </is>
      </c>
      <c r="CP100" s="256" t="inlineStr">
        <is>
          <t>Farmahem</t>
        </is>
      </c>
      <c r="CQ100" s="256" t="inlineStr">
        <is>
          <t>ND</t>
        </is>
      </c>
      <c r="CR100" s="256" t="inlineStr">
        <is>
          <t>197-15-М/26</t>
        </is>
      </c>
      <c r="CS100" s="256" t="inlineStr">
        <is>
          <t>10.08.2026</t>
        </is>
      </c>
      <c r="CT100" s="256" t="inlineStr">
        <is>
          <t>Farmahem</t>
        </is>
      </c>
      <c r="CU100" s="256" t="inlineStr">
        <is>
          <t>ND</t>
        </is>
      </c>
      <c r="CV100" s="256" t="inlineStr">
        <is>
          <t>197-15-М/26</t>
        </is>
      </c>
      <c r="CW100" s="256" t="inlineStr">
        <is>
          <t>10.08.2026</t>
        </is>
      </c>
      <c r="CX100" s="256" t="inlineStr">
        <is>
          <t>Farmahem</t>
        </is>
      </c>
      <c r="CY100" s="256" t="inlineStr">
        <is>
          <t>0.022</t>
        </is>
      </c>
      <c r="CZ100" s="256" t="inlineStr">
        <is>
          <t>2361/2026</t>
        </is>
      </c>
      <c r="DA100" s="256" t="inlineStr">
        <is>
          <t>30.04.2026</t>
        </is>
      </c>
      <c r="DB100" s="256" t="inlineStr">
        <is>
          <t>IPH — Institute of Public Health</t>
        </is>
      </c>
      <c r="DC100" s="256" t="inlineStr">
        <is>
          <t>0.0149</t>
        </is>
      </c>
      <c r="DD100" s="256" t="inlineStr">
        <is>
          <t>2361/2026</t>
        </is>
      </c>
      <c r="DE100" s="256" t="inlineStr">
        <is>
          <t>30.04.2026</t>
        </is>
      </c>
      <c r="DF100" s="256" t="inlineStr">
        <is>
          <t>IPH — Institute of Public Health</t>
        </is>
      </c>
      <c r="DG100" s="256" t="inlineStr">
        <is>
          <t>0.02</t>
        </is>
      </c>
      <c r="DH100" s="256" t="inlineStr">
        <is>
          <t>2361/2026</t>
        </is>
      </c>
      <c r="DI100" s="256" t="inlineStr">
        <is>
          <t>30.04.2026</t>
        </is>
      </c>
      <c r="DJ100" s="256" t="inlineStr">
        <is>
          <t>IPH — Institute of Public Health</t>
        </is>
      </c>
      <c r="DK100" s="256" t="inlineStr">
        <is>
          <t>0.0166</t>
        </is>
      </c>
      <c r="DL100" s="256" t="inlineStr">
        <is>
          <t>2361/2026</t>
        </is>
      </c>
      <c r="DM100" s="256" t="inlineStr">
        <is>
          <t>30.04.2026</t>
        </is>
      </c>
      <c r="DN100" s="256" t="inlineStr">
        <is>
          <t>IPH — Institute of Public Health</t>
        </is>
      </c>
      <c r="DO100" s="256" t="inlineStr">
        <is>
          <t>ND</t>
        </is>
      </c>
      <c r="DP100" s="256" t="inlineStr">
        <is>
          <t>2361/2026</t>
        </is>
      </c>
      <c r="DQ100" s="256" t="inlineStr">
        <is>
          <t>30.04.2026</t>
        </is>
      </c>
      <c r="DR100" s="256" t="inlineStr">
        <is>
          <t>IPH — Institute of Public Health</t>
        </is>
      </c>
    </row>
    <row r="101">
      <c r="A101" s="256" t="inlineStr">
        <is>
          <t>CoQ-PP_26-100</t>
        </is>
      </c>
      <c r="B101" s="256" t="inlineStr">
        <is>
          <t>reissue — retest</t>
        </is>
      </c>
      <c r="C101" s="256" t="inlineStr">
        <is>
          <t>issuable</t>
        </is>
      </c>
      <c r="D101" s="256" t="inlineStr">
        <is>
          <t>17.08.2026</t>
        </is>
      </c>
      <c r="E101" s="256" t="inlineStr">
        <is>
          <t>CoQ-PP_26-006 of 06.06.2026</t>
        </is>
      </c>
      <c r="F101" s="256" t="inlineStr">
        <is>
          <t>CoQ-PP-2026-0031</t>
        </is>
      </c>
      <c r="G101" s="256" t="inlineStr">
        <is>
          <t>OPM1024</t>
        </is>
      </c>
      <c r="H101" s="256" t="inlineStr">
        <is>
          <t>OPM1024</t>
        </is>
      </c>
      <c r="I101" s="256" t="inlineStr">
        <is>
          <t>Orange Punch Mimosa</t>
        </is>
      </c>
      <c r="J101" s="256" t="inlineStr">
        <is>
          <t>21.01.2025</t>
        </is>
      </c>
      <c r="K101" s="256" t="inlineStr">
        <is>
          <t>24.04.2025 – 25.04.2025</t>
        </is>
      </c>
      <c r="L101" s="256" t="inlineStr">
        <is>
          <t>21.01.2025</t>
        </is>
      </c>
      <c r="M101" s="256" t="inlineStr">
        <is>
          <t>24.04.2025</t>
        </is>
      </c>
      <c r="N101" s="256" t="inlineStr">
        <is>
          <t>iCoA-PP_26-116</t>
        </is>
      </c>
      <c r="O101" s="256" t="inlineStr">
        <is>
          <t>27.07.2026</t>
        </is>
      </c>
      <c r="P101" s="256" t="inlineStr">
        <is>
          <t>24.07.2026</t>
        </is>
      </c>
      <c r="Q101" s="256" t="inlineStr">
        <is>
          <t>Tranche 1</t>
        </is>
      </c>
      <c r="R101" s="256" t="inlineStr">
        <is>
          <t>20.03</t>
        </is>
      </c>
      <c r="S101" s="256" t="inlineStr">
        <is>
          <t>197-17-К/26</t>
        </is>
      </c>
      <c r="T101" s="256" t="inlineStr">
        <is>
          <t>I</t>
        </is>
      </c>
      <c r="U101" s="256" t="inlineStr">
        <is>
          <t>18.60 – 21.39 %</t>
        </is>
      </c>
      <c r="V101" s="256" t="inlineStr">
        <is>
          <t>OPM_THC20 : CBD1</t>
        </is>
      </c>
      <c r="W101" s="256" t="inlineStr">
        <is>
          <t>QCSP_001_OPM-I_v.01</t>
        </is>
      </c>
      <c r="X101" s="256" t="inlineStr">
        <is>
          <t>for review — replaces the issued QCSP_001_OPM-I_v.01 (was OPM_THC22 : CBD1, 19.81 – 24.19 %); now OPM_THC20 : CBD1 18.60 – 21.39 %</t>
        </is>
      </c>
      <c r="Y101" s="256" t="inlineStr">
        <is>
          <t>INDICA</t>
        </is>
      </c>
      <c r="Z101" s="256" t="inlineStr">
        <is>
          <t>THC</t>
        </is>
      </c>
      <c r="AA101" s="256" t="inlineStr">
        <is>
          <t>MACHINE TRIMMED</t>
        </is>
      </c>
      <c r="AB101" s="256" t="inlineStr">
        <is>
          <t>—</t>
        </is>
      </c>
      <c r="AC101" s="256" t="inlineStr">
        <is>
          <t>Triplex Alu Bag | Триплекс Aлу Kеса, PET 12 · ALU 7 · PE 80, 300 × 500 mm, net. 400.0 g ±3%</t>
        </is>
      </c>
      <c r="AD101" s="256" t="inlineStr">
        <is>
          <t>10.08.2026</t>
        </is>
      </c>
      <c r="AE101" s="256" t="inlineStr">
        <is>
          <t>Conforms | Одговара</t>
        </is>
      </c>
      <c r="AF101" s="256" t="inlineStr">
        <is>
          <t>iCoA-PP_26-116</t>
        </is>
      </c>
      <c r="AG101" s="256" t="inlineStr">
        <is>
          <t>27.07.2026</t>
        </is>
      </c>
      <c r="AH101" s="256" t="inlineStr">
        <is>
          <t>Purely Plant GmbH (in-house)</t>
        </is>
      </c>
      <c r="AI101" s="256" t="inlineStr">
        <is>
          <t>Conforms | Одговара</t>
        </is>
      </c>
      <c r="AJ101" s="256" t="inlineStr">
        <is>
          <t>iCoA-PP_26-116</t>
        </is>
      </c>
      <c r="AK101" s="256" t="inlineStr">
        <is>
          <t>27.07.2026</t>
        </is>
      </c>
      <c r="AL101" s="256" t="inlineStr">
        <is>
          <t>Purely Plant GmbH (in-house)</t>
        </is>
      </c>
      <c r="AM101" s="256" t="inlineStr">
        <is>
          <t>Conforms | Одговара</t>
        </is>
      </c>
      <c r="AN101" s="256" t="inlineStr">
        <is>
          <t>197-17-К/26</t>
        </is>
      </c>
      <c r="AO101" s="256" t="inlineStr">
        <is>
          <t>07.08.2026</t>
        </is>
      </c>
      <c r="AP101" s="256" t="inlineStr">
        <is>
          <t>Farmahem</t>
        </is>
      </c>
      <c r="AQ101" s="256" t="inlineStr">
        <is>
          <t>20.03</t>
        </is>
      </c>
      <c r="AR101" s="256" t="inlineStr">
        <is>
          <t>197-17-К/26</t>
        </is>
      </c>
      <c r="AS101" s="256" t="inlineStr">
        <is>
          <t>07.08.2026</t>
        </is>
      </c>
      <c r="AT101" s="256" t="inlineStr">
        <is>
          <t>Farmahem</t>
        </is>
      </c>
      <c r="AU101" s="256" t="inlineStr">
        <is>
          <t>&lt; LOQ</t>
        </is>
      </c>
      <c r="AV101" s="256" t="inlineStr">
        <is>
          <t>197-17-К/26</t>
        </is>
      </c>
      <c r="AW101" s="256" t="inlineStr">
        <is>
          <t>07.08.2026</t>
        </is>
      </c>
      <c r="AX101" s="256" t="inlineStr">
        <is>
          <t>Farmahem</t>
        </is>
      </c>
      <c r="AY101" s="256" t="inlineStr">
        <is>
          <t>&lt; LOQ</t>
        </is>
      </c>
      <c r="AZ101" s="256" t="inlineStr">
        <is>
          <t>197-17-К/26</t>
        </is>
      </c>
      <c r="BA101" s="256" t="inlineStr">
        <is>
          <t>07.08.2026</t>
        </is>
      </c>
      <c r="BB101" s="256" t="inlineStr">
        <is>
          <t>Farmahem</t>
        </is>
      </c>
      <c r="BC101" s="256" t="inlineStr">
        <is>
          <t>Conforms | Одговара</t>
        </is>
      </c>
      <c r="BD101" s="256" t="inlineStr">
        <is>
          <t>iCoA-PP_26-116</t>
        </is>
      </c>
      <c r="BE101" s="256" t="inlineStr">
        <is>
          <t>27.07.2026</t>
        </is>
      </c>
      <c r="BF101" s="256" t="inlineStr">
        <is>
          <t>Purely Plant GmbH (in-house)</t>
        </is>
      </c>
      <c r="BG101" s="256" t="inlineStr">
        <is>
          <t>carried from the initial testing — not tested</t>
        </is>
      </c>
      <c r="BH101" s="256" t="inlineStr">
        <is>
          <t>—</t>
        </is>
      </c>
      <c r="BI101" s="256" t="inlineStr">
        <is>
          <t>—</t>
        </is>
      </c>
      <c r="BJ101" s="256" t="inlineStr">
        <is>
          <t>—</t>
        </is>
      </c>
      <c r="BK101" s="256" t="inlineStr">
        <is>
          <t>1.3 × 10⁴</t>
        </is>
      </c>
      <c r="BL101" s="256" t="inlineStr">
        <is>
          <t>iCoA-PP_26-006</t>
        </is>
      </c>
      <c r="BM101" s="256" t="inlineStr">
        <is>
          <t>03.06.2026</t>
        </is>
      </c>
      <c r="BN101" s="256" t="inlineStr">
        <is>
          <t>Purely Plant GmbH (in-house)</t>
        </is>
      </c>
      <c r="BO101" s="256" t="inlineStr">
        <is>
          <t>7 × 10²</t>
        </is>
      </c>
      <c r="BP101" s="256" t="inlineStr">
        <is>
          <t>iCoA-PP_26-006</t>
        </is>
      </c>
      <c r="BQ101" s="256" t="inlineStr">
        <is>
          <t>03.06.2026</t>
        </is>
      </c>
      <c r="BR101" s="256" t="inlineStr">
        <is>
          <t>Purely Plant GmbH (in-house)</t>
        </is>
      </c>
      <c r="BS101" s="256" t="inlineStr">
        <is>
          <t>&lt; 10² &gt; 10³</t>
        </is>
      </c>
      <c r="BT101" s="256" t="inlineStr">
        <is>
          <t>iCoA-PP_26-006</t>
        </is>
      </c>
      <c r="BU101" s="256" t="inlineStr">
        <is>
          <t>03.06.2026</t>
        </is>
      </c>
      <c r="BV101" s="256" t="inlineStr">
        <is>
          <t>Purely Plant GmbH (in-house)</t>
        </is>
      </c>
      <c r="BW101" s="256" t="inlineStr">
        <is>
          <t>Absent | Отсутна</t>
        </is>
      </c>
      <c r="BX101" s="256" t="inlineStr">
        <is>
          <t>iCoA-PP_26-006</t>
        </is>
      </c>
      <c r="BY101" s="256" t="inlineStr">
        <is>
          <t>03.06.2026</t>
        </is>
      </c>
      <c r="BZ101" s="256" t="inlineStr">
        <is>
          <t>Purely Plant GmbH (in-house)</t>
        </is>
      </c>
      <c r="CA101" s="256" t="inlineStr">
        <is>
          <t>Absent | Отсутна</t>
        </is>
      </c>
      <c r="CB101" s="256" t="inlineStr">
        <is>
          <t>iCoA-PP_26-006</t>
        </is>
      </c>
      <c r="CC101" s="256" t="inlineStr">
        <is>
          <t>03.06.2026</t>
        </is>
      </c>
      <c r="CD101" s="256" t="inlineStr">
        <is>
          <t>Purely Plant GmbH (in-house)</t>
        </is>
      </c>
      <c r="CE101" s="260" t="inlineStr">
        <is>
          <t>upon request — not required for release</t>
        </is>
      </c>
      <c r="CF101" s="256" t="inlineStr">
        <is>
          <t>—</t>
        </is>
      </c>
      <c r="CG101" s="256" t="inlineStr">
        <is>
          <t>—</t>
        </is>
      </c>
      <c r="CH101" s="256" t="inlineStr">
        <is>
          <t>—</t>
        </is>
      </c>
      <c r="CI101" s="260" t="inlineStr">
        <is>
          <t>upon request — not required for release</t>
        </is>
      </c>
      <c r="CJ101" s="256" t="inlineStr">
        <is>
          <t>—</t>
        </is>
      </c>
      <c r="CK101" s="256" t="inlineStr">
        <is>
          <t>—</t>
        </is>
      </c>
      <c r="CL101" s="256" t="inlineStr">
        <is>
          <t>—</t>
        </is>
      </c>
      <c r="CM101" s="256" t="inlineStr">
        <is>
          <t>ND</t>
        </is>
      </c>
      <c r="CN101" s="256" t="inlineStr">
        <is>
          <t>197-17-М/26</t>
        </is>
      </c>
      <c r="CO101" s="256" t="inlineStr">
        <is>
          <t>10.08.2026</t>
        </is>
      </c>
      <c r="CP101" s="256" t="inlineStr">
        <is>
          <t>Farmahem</t>
        </is>
      </c>
      <c r="CQ101" s="256" t="inlineStr">
        <is>
          <t>ND</t>
        </is>
      </c>
      <c r="CR101" s="256" t="inlineStr">
        <is>
          <t>197-17-М/26</t>
        </is>
      </c>
      <c r="CS101" s="256" t="inlineStr">
        <is>
          <t>10.08.2026</t>
        </is>
      </c>
      <c r="CT101" s="256" t="inlineStr">
        <is>
          <t>Farmahem</t>
        </is>
      </c>
      <c r="CU101" s="256" t="inlineStr">
        <is>
          <t>ND</t>
        </is>
      </c>
      <c r="CV101" s="256" t="inlineStr">
        <is>
          <t>197-17-М/26</t>
        </is>
      </c>
      <c r="CW101" s="256" t="inlineStr">
        <is>
          <t>10.08.2026</t>
        </is>
      </c>
      <c r="CX101" s="256" t="inlineStr">
        <is>
          <t>Farmahem</t>
        </is>
      </c>
      <c r="CY101" s="256" t="inlineStr">
        <is>
          <t>0.031</t>
        </is>
      </c>
      <c r="CZ101" s="256" t="inlineStr">
        <is>
          <t>iCoA-PP_26-006</t>
        </is>
      </c>
      <c r="DA101" s="256" t="inlineStr">
        <is>
          <t>03.06.2026</t>
        </is>
      </c>
      <c r="DB101" s="256" t="inlineStr">
        <is>
          <t>Purely Plant GmbH (in-house)</t>
        </is>
      </c>
      <c r="DC101" s="256" t="inlineStr">
        <is>
          <t>0.017</t>
        </is>
      </c>
      <c r="DD101" s="256" t="inlineStr">
        <is>
          <t>iCoA-PP_26-006</t>
        </is>
      </c>
      <c r="DE101" s="256" t="inlineStr">
        <is>
          <t>03.06.2026</t>
        </is>
      </c>
      <c r="DF101" s="256" t="inlineStr">
        <is>
          <t>Purely Plant GmbH (in-house)</t>
        </is>
      </c>
      <c r="DG101" s="256" t="inlineStr">
        <is>
          <t>0.045</t>
        </is>
      </c>
      <c r="DH101" s="256" t="inlineStr">
        <is>
          <t>iCoA-PP_26-006</t>
        </is>
      </c>
      <c r="DI101" s="256" t="inlineStr">
        <is>
          <t>03.06.2026</t>
        </is>
      </c>
      <c r="DJ101" s="256" t="inlineStr">
        <is>
          <t>Purely Plant GmbH (in-house)</t>
        </is>
      </c>
      <c r="DK101" s="256" t="inlineStr">
        <is>
          <t>0.005</t>
        </is>
      </c>
      <c r="DL101" s="256" t="inlineStr">
        <is>
          <t>iCoA-PP_26-006</t>
        </is>
      </c>
      <c r="DM101" s="256" t="inlineStr">
        <is>
          <t>03.06.2026</t>
        </is>
      </c>
      <c r="DN101" s="256" t="inlineStr">
        <is>
          <t>Purely Plant GmbH (in-house)</t>
        </is>
      </c>
      <c r="DO101" s="256" t="inlineStr">
        <is>
          <t>ND</t>
        </is>
      </c>
      <c r="DP101" s="256" t="inlineStr">
        <is>
          <t>iCoA-PP_26-006</t>
        </is>
      </c>
      <c r="DQ101" s="256" t="inlineStr">
        <is>
          <t>03.06.2026</t>
        </is>
      </c>
      <c r="DR101" s="256" t="inlineStr">
        <is>
          <t>Purely Plant GmbH (in-house)</t>
        </is>
      </c>
    </row>
    <row r="102">
      <c r="A102" s="256" t="inlineStr">
        <is>
          <t>CoQ-PP_26-101</t>
        </is>
      </c>
      <c r="B102" s="256" t="inlineStr">
        <is>
          <t>reissue — retest</t>
        </is>
      </c>
      <c r="C102" s="256" t="inlineStr">
        <is>
          <t>issuable</t>
        </is>
      </c>
      <c r="D102" s="256" t="inlineStr">
        <is>
          <t>17.08.2026</t>
        </is>
      </c>
      <c r="E102" s="256" t="inlineStr">
        <is>
          <t>CoQ-PP_26-012 of 06.06.2026</t>
        </is>
      </c>
      <c r="F102" s="256" t="inlineStr">
        <is>
          <t>CoQ-PP-2026-0035</t>
        </is>
      </c>
      <c r="G102" s="256" t="inlineStr">
        <is>
          <t>OPM1024_02</t>
        </is>
      </c>
      <c r="H102" s="256" t="inlineStr">
        <is>
          <t>P050062</t>
        </is>
      </c>
      <c r="I102" s="256" t="inlineStr">
        <is>
          <t>Orange Punch Mimosa</t>
        </is>
      </c>
      <c r="J102" s="256" t="inlineStr">
        <is>
          <t>29.05.2025 – 30.05.2025</t>
        </is>
      </c>
      <c r="K102" s="256" t="inlineStr">
        <is>
          <t>04.07.2025 – 10.07.2025</t>
        </is>
      </c>
      <c r="L102" s="256" t="inlineStr">
        <is>
          <t>29.05.2025</t>
        </is>
      </c>
      <c r="M102" s="256" t="inlineStr">
        <is>
          <t>04.07.2025</t>
        </is>
      </c>
      <c r="N102" s="256" t="inlineStr">
        <is>
          <t>iCoA-PP_26-117</t>
        </is>
      </c>
      <c r="O102" s="256" t="inlineStr">
        <is>
          <t>27.07.2026</t>
        </is>
      </c>
      <c r="P102" s="256" t="inlineStr">
        <is>
          <t>24.07.2026</t>
        </is>
      </c>
      <c r="Q102" s="256" t="inlineStr">
        <is>
          <t>Tranche 1</t>
        </is>
      </c>
      <c r="R102" s="256" t="inlineStr">
        <is>
          <t>18.04</t>
        </is>
      </c>
      <c r="S102" s="256" t="inlineStr">
        <is>
          <t>197-18-К/26</t>
        </is>
      </c>
      <c r="T102" s="256" t="inlineStr">
        <is>
          <t>II</t>
        </is>
      </c>
      <c r="U102" s="256" t="inlineStr">
        <is>
          <t>15.40 – 18.59 %</t>
        </is>
      </c>
      <c r="V102" s="256" t="inlineStr">
        <is>
          <t>OPM_THC17 : CBD1</t>
        </is>
      </c>
      <c r="W102" s="256" t="inlineStr">
        <is>
          <t>QCSP_001_OPM-II_v.01</t>
        </is>
      </c>
      <c r="X102" s="256" t="inlineStr">
        <is>
          <t>for review — replaces the issued QCSP_001_OPM-II_v.01 (was OPM_THC18 : CBD1, 16.20 – 19.80 %); now OPM_THC17 : CBD1 15.40 – 18.59 %</t>
        </is>
      </c>
      <c r="Y102" s="256" t="inlineStr">
        <is>
          <t>INDICA</t>
        </is>
      </c>
      <c r="Z102" s="256" t="inlineStr">
        <is>
          <t>THC</t>
        </is>
      </c>
      <c r="AA102" s="256" t="inlineStr">
        <is>
          <t>MACHINE TRIMMED</t>
        </is>
      </c>
      <c r="AB102" s="256" t="inlineStr">
        <is>
          <t>—</t>
        </is>
      </c>
      <c r="AC102" s="256" t="inlineStr">
        <is>
          <t>Triplex Alu Bag | Триплекс Aлу Kеса, PET 12 · ALU 7 · PE 80, 300 × 500 mm, net. 400.0 g ±3%</t>
        </is>
      </c>
      <c r="AD102" s="256" t="inlineStr">
        <is>
          <t>10.08.2026</t>
        </is>
      </c>
      <c r="AE102" s="256" t="inlineStr">
        <is>
          <t>Conforms | Одговара</t>
        </is>
      </c>
      <c r="AF102" s="256" t="inlineStr">
        <is>
          <t>iCoA-PP_26-117</t>
        </is>
      </c>
      <c r="AG102" s="256" t="inlineStr">
        <is>
          <t>27.07.2026</t>
        </is>
      </c>
      <c r="AH102" s="256" t="inlineStr">
        <is>
          <t>Purely Plant GmbH (in-house)</t>
        </is>
      </c>
      <c r="AI102" s="256" t="inlineStr">
        <is>
          <t>Conforms | Одговара</t>
        </is>
      </c>
      <c r="AJ102" s="256" t="inlineStr">
        <is>
          <t>iCoA-PP_26-117</t>
        </is>
      </c>
      <c r="AK102" s="256" t="inlineStr">
        <is>
          <t>27.07.2026</t>
        </is>
      </c>
      <c r="AL102" s="256" t="inlineStr">
        <is>
          <t>Purely Plant GmbH (in-house)</t>
        </is>
      </c>
      <c r="AM102" s="256" t="inlineStr">
        <is>
          <t>Conforms | Одговара</t>
        </is>
      </c>
      <c r="AN102" s="256" t="inlineStr">
        <is>
          <t>197-18-К/26</t>
        </is>
      </c>
      <c r="AO102" s="256" t="inlineStr">
        <is>
          <t>07.08.2026</t>
        </is>
      </c>
      <c r="AP102" s="256" t="inlineStr">
        <is>
          <t>Farmahem</t>
        </is>
      </c>
      <c r="AQ102" s="256" t="inlineStr">
        <is>
          <t>18.04</t>
        </is>
      </c>
      <c r="AR102" s="256" t="inlineStr">
        <is>
          <t>197-18-К/26</t>
        </is>
      </c>
      <c r="AS102" s="256" t="inlineStr">
        <is>
          <t>07.08.2026</t>
        </is>
      </c>
      <c r="AT102" s="256" t="inlineStr">
        <is>
          <t>Farmahem</t>
        </is>
      </c>
      <c r="AU102" s="256" t="inlineStr">
        <is>
          <t>&lt; LOQ</t>
        </is>
      </c>
      <c r="AV102" s="256" t="inlineStr">
        <is>
          <t>197-18-К/26</t>
        </is>
      </c>
      <c r="AW102" s="256" t="inlineStr">
        <is>
          <t>07.08.2026</t>
        </is>
      </c>
      <c r="AX102" s="256" t="inlineStr">
        <is>
          <t>Farmahem</t>
        </is>
      </c>
      <c r="AY102" s="256" t="inlineStr">
        <is>
          <t>&lt; LOQ</t>
        </is>
      </c>
      <c r="AZ102" s="256" t="inlineStr">
        <is>
          <t>197-18-К/26</t>
        </is>
      </c>
      <c r="BA102" s="256" t="inlineStr">
        <is>
          <t>07.08.2026</t>
        </is>
      </c>
      <c r="BB102" s="256" t="inlineStr">
        <is>
          <t>Farmahem</t>
        </is>
      </c>
      <c r="BC102" s="256" t="inlineStr">
        <is>
          <t>Conforms | Одговара</t>
        </is>
      </c>
      <c r="BD102" s="256" t="inlineStr">
        <is>
          <t>iCoA-PP_26-117</t>
        </is>
      </c>
      <c r="BE102" s="256" t="inlineStr">
        <is>
          <t>27.07.2026</t>
        </is>
      </c>
      <c r="BF102" s="256" t="inlineStr">
        <is>
          <t>Purely Plant GmbH (in-house)</t>
        </is>
      </c>
      <c r="BG102" s="256" t="inlineStr">
        <is>
          <t>6.89</t>
        </is>
      </c>
      <c r="BH102" s="256" t="inlineStr">
        <is>
          <t>ППК25154</t>
        </is>
      </c>
      <c r="BI102" s="256" t="inlineStr">
        <is>
          <t>24.06.2025</t>
        </is>
      </c>
      <c r="BJ102" s="256" t="inlineStr">
        <is>
          <t>UKIM Faculty of Pharmacy — Center for Natural Products</t>
        </is>
      </c>
      <c r="BK102" s="256" t="inlineStr">
        <is>
          <t>3.4 × 10³</t>
        </is>
      </c>
      <c r="BL102" s="256" t="inlineStr">
        <is>
          <t>588/1067/25</t>
        </is>
      </c>
      <c r="BM102" s="256" t="inlineStr">
        <is>
          <t>18.06.2025</t>
        </is>
      </c>
      <c r="BN102" s="256" t="inlineStr">
        <is>
          <t>IPH — Institute of Public Health</t>
        </is>
      </c>
      <c r="BO102" s="256" t="inlineStr">
        <is>
          <t>3.6 × 10³</t>
        </is>
      </c>
      <c r="BP102" s="256" t="inlineStr">
        <is>
          <t>588/1067/25</t>
        </is>
      </c>
      <c r="BQ102" s="256" t="inlineStr">
        <is>
          <t>18.06.2025</t>
        </is>
      </c>
      <c r="BR102" s="256" t="inlineStr">
        <is>
          <t>IPH — Institute of Public Health</t>
        </is>
      </c>
      <c r="BS102" s="256" t="inlineStr">
        <is>
          <t>&lt; 10</t>
        </is>
      </c>
      <c r="BT102" s="256" t="inlineStr">
        <is>
          <t>588/1067/25</t>
        </is>
      </c>
      <c r="BU102" s="256" t="inlineStr">
        <is>
          <t>18.06.2025</t>
        </is>
      </c>
      <c r="BV102" s="256" t="inlineStr">
        <is>
          <t>IPH — Institute of Public Health</t>
        </is>
      </c>
      <c r="BW102" s="256" t="inlineStr">
        <is>
          <t>Absent | Отсутна</t>
        </is>
      </c>
      <c r="BX102" s="256" t="inlineStr">
        <is>
          <t>588/1067/25</t>
        </is>
      </c>
      <c r="BY102" s="256" t="inlineStr">
        <is>
          <t>18.06.2025</t>
        </is>
      </c>
      <c r="BZ102" s="256" t="inlineStr">
        <is>
          <t>IPH — Institute of Public Health</t>
        </is>
      </c>
      <c r="CA102" s="256" t="inlineStr">
        <is>
          <t>Absent | Отсутна</t>
        </is>
      </c>
      <c r="CB102" s="256" t="inlineStr">
        <is>
          <t>588/1067/25</t>
        </is>
      </c>
      <c r="CC102" s="256" t="inlineStr">
        <is>
          <t>18.06.2025</t>
        </is>
      </c>
      <c r="CD102" s="256" t="inlineStr">
        <is>
          <t>IPH — Institute of Public Health</t>
        </is>
      </c>
      <c r="CE102" s="260" t="inlineStr">
        <is>
          <t>upon request — not required for release</t>
        </is>
      </c>
      <c r="CF102" s="256" t="inlineStr">
        <is>
          <t>—</t>
        </is>
      </c>
      <c r="CG102" s="256" t="inlineStr">
        <is>
          <t>—</t>
        </is>
      </c>
      <c r="CH102" s="256" t="inlineStr">
        <is>
          <t>—</t>
        </is>
      </c>
      <c r="CI102" s="260" t="inlineStr">
        <is>
          <t>upon request — not required for release</t>
        </is>
      </c>
      <c r="CJ102" s="256" t="inlineStr">
        <is>
          <t>—</t>
        </is>
      </c>
      <c r="CK102" s="256" t="inlineStr">
        <is>
          <t>—</t>
        </is>
      </c>
      <c r="CL102" s="256" t="inlineStr">
        <is>
          <t>—</t>
        </is>
      </c>
      <c r="CM102" s="256" t="inlineStr">
        <is>
          <t>ND</t>
        </is>
      </c>
      <c r="CN102" s="256" t="inlineStr">
        <is>
          <t>197-18-М/26</t>
        </is>
      </c>
      <c r="CO102" s="256" t="inlineStr">
        <is>
          <t>10.08.2026</t>
        </is>
      </c>
      <c r="CP102" s="256" t="inlineStr">
        <is>
          <t>Farmahem</t>
        </is>
      </c>
      <c r="CQ102" s="256" t="inlineStr">
        <is>
          <t>ND</t>
        </is>
      </c>
      <c r="CR102" s="256" t="inlineStr">
        <is>
          <t>197-18-М/26</t>
        </is>
      </c>
      <c r="CS102" s="256" t="inlineStr">
        <is>
          <t>10.08.2026</t>
        </is>
      </c>
      <c r="CT102" s="256" t="inlineStr">
        <is>
          <t>Farmahem</t>
        </is>
      </c>
      <c r="CU102" s="256" t="inlineStr">
        <is>
          <t>ND</t>
        </is>
      </c>
      <c r="CV102" s="256" t="inlineStr">
        <is>
          <t>197-18-М/26</t>
        </is>
      </c>
      <c r="CW102" s="256" t="inlineStr">
        <is>
          <t>10.08.2026</t>
        </is>
      </c>
      <c r="CX102" s="256" t="inlineStr">
        <is>
          <t>Farmahem</t>
        </is>
      </c>
      <c r="CY102" s="256" t="inlineStr">
        <is>
          <t>0.052</t>
        </is>
      </c>
      <c r="CZ102" s="256" t="inlineStr">
        <is>
          <t>2994/2025</t>
        </is>
      </c>
      <c r="DA102" s="256" t="inlineStr">
        <is>
          <t>19.06.2025</t>
        </is>
      </c>
      <c r="DB102" s="256" t="inlineStr">
        <is>
          <t>IPH — Institute of Public Health</t>
        </is>
      </c>
      <c r="DC102" s="256" t="inlineStr">
        <is>
          <t>0.011</t>
        </is>
      </c>
      <c r="DD102" s="256" t="inlineStr">
        <is>
          <t>2994/2025</t>
        </is>
      </c>
      <c r="DE102" s="256" t="inlineStr">
        <is>
          <t>19.06.2025</t>
        </is>
      </c>
      <c r="DF102" s="256" t="inlineStr">
        <is>
          <t>IPH — Institute of Public Health</t>
        </is>
      </c>
      <c r="DG102" s="256" t="inlineStr">
        <is>
          <t>0.028</t>
        </is>
      </c>
      <c r="DH102" s="256" t="inlineStr">
        <is>
          <t>2994/2025</t>
        </is>
      </c>
      <c r="DI102" s="256" t="inlineStr">
        <is>
          <t>19.06.2025</t>
        </is>
      </c>
      <c r="DJ102" s="256" t="inlineStr">
        <is>
          <t>IPH — Institute of Public Health</t>
        </is>
      </c>
      <c r="DK102" s="256" t="inlineStr">
        <is>
          <t>0.061</t>
        </is>
      </c>
      <c r="DL102" s="256" t="inlineStr">
        <is>
          <t>2994/2025</t>
        </is>
      </c>
      <c r="DM102" s="256" t="inlineStr">
        <is>
          <t>19.06.2025</t>
        </is>
      </c>
      <c r="DN102" s="256" t="inlineStr">
        <is>
          <t>IPH — Institute of Public Health</t>
        </is>
      </c>
      <c r="DO102" s="256" t="inlineStr">
        <is>
          <t>ND</t>
        </is>
      </c>
      <c r="DP102" s="256" t="inlineStr">
        <is>
          <t>2994/2025</t>
        </is>
      </c>
      <c r="DQ102" s="256" t="inlineStr">
        <is>
          <t>19.06.2025</t>
        </is>
      </c>
      <c r="DR102" s="256" t="inlineStr">
        <is>
          <t>IPH — Institute of Public Health</t>
        </is>
      </c>
    </row>
    <row r="103">
      <c r="A103" s="256" t="inlineStr">
        <is>
          <t>CoQ-PP_26-102</t>
        </is>
      </c>
      <c r="B103" s="256" t="inlineStr">
        <is>
          <t>reissue — retest</t>
        </is>
      </c>
      <c r="C103" s="256" t="inlineStr">
        <is>
          <t>issuable</t>
        </is>
      </c>
      <c r="D103" s="256" t="inlineStr">
        <is>
          <t>17.08.2026</t>
        </is>
      </c>
      <c r="E103" s="256" t="inlineStr">
        <is>
          <t>CoQ-PP_26-060 of 06.06.2026</t>
        </is>
      </c>
      <c r="F103" s="256" t="inlineStr">
        <is>
          <t>(assigned on issue)</t>
        </is>
      </c>
      <c r="G103" s="256" t="inlineStr">
        <is>
          <t>OPM122501</t>
        </is>
      </c>
      <c r="H103" s="256" t="inlineStr">
        <is>
          <t>P060242</t>
        </is>
      </c>
      <c r="I103" s="256" t="inlineStr">
        <is>
          <t>Orange Punch Mimosa</t>
        </is>
      </c>
      <c r="J103" s="256" t="inlineStr">
        <is>
          <t>11.03.2026</t>
        </is>
      </c>
      <c r="K103" s="256" t="inlineStr">
        <is>
          <t>28.04.2026</t>
        </is>
      </c>
      <c r="L103" s="256" t="inlineStr">
        <is>
          <t>11.03.2026</t>
        </is>
      </c>
      <c r="M103" s="256" t="inlineStr">
        <is>
          <t>28.04.2026</t>
        </is>
      </c>
      <c r="N103" s="256" t="inlineStr">
        <is>
          <t>iCoA-PP_26-118</t>
        </is>
      </c>
      <c r="O103" s="256" t="inlineStr">
        <is>
          <t>27.07.2026</t>
        </is>
      </c>
      <c r="P103" s="256" t="inlineStr">
        <is>
          <t>24.07.2026</t>
        </is>
      </c>
      <c r="Q103" s="256" t="inlineStr">
        <is>
          <t>Tranche 1</t>
        </is>
      </c>
      <c r="R103" s="256" t="inlineStr">
        <is>
          <t>7.91</t>
        </is>
      </c>
      <c r="S103" s="256" t="inlineStr">
        <is>
          <t>197-19-К/26</t>
        </is>
      </c>
      <c r="T103" s="256" t="inlineStr">
        <is>
          <t>V</t>
        </is>
      </c>
      <c r="U103" s="256" t="inlineStr">
        <is>
          <t>7.20 – 8.79 %</t>
        </is>
      </c>
      <c r="V103" s="256" t="inlineStr">
        <is>
          <t>OPM_THC8 : CBD1</t>
        </is>
      </c>
      <c r="W103" s="256" t="inlineStr">
        <is>
          <t>QCSP_001_OPM-V_v.01</t>
        </is>
      </c>
      <c r="X103" s="256" t="inlineStr">
        <is>
          <t>for review — replaces the issued QCSP_001_OPM-V_v.01 (was OPM_THC8 : CBD1, 7.20 – 8.80 %); now OPM_THC8 : CBD1 7.20 – 8.79 %</t>
        </is>
      </c>
      <c r="Y103" s="256" t="inlineStr">
        <is>
          <t>INDICA</t>
        </is>
      </c>
      <c r="Z103" s="256" t="inlineStr">
        <is>
          <t>THC</t>
        </is>
      </c>
      <c r="AA103" s="256" t="inlineStr">
        <is>
          <t>MACHINE TRIMMED</t>
        </is>
      </c>
      <c r="AB103" s="256" t="inlineStr">
        <is>
          <t>—</t>
        </is>
      </c>
      <c r="AC103" s="256" t="inlineStr">
        <is>
          <t>Triplex Alu Bag | Триплекс Aлу Kеса, PET 12 · ALU 7 · PE 80, 300 × 500 mm, net. 400.0 g ±3%</t>
        </is>
      </c>
      <c r="AD103" s="256" t="inlineStr">
        <is>
          <t>10.08.2026</t>
        </is>
      </c>
      <c r="AE103" s="256" t="inlineStr">
        <is>
          <t>Conforms | Одговара</t>
        </is>
      </c>
      <c r="AF103" s="256" t="inlineStr">
        <is>
          <t>iCoA-PP_26-118</t>
        </is>
      </c>
      <c r="AG103" s="256" t="inlineStr">
        <is>
          <t>27.07.2026</t>
        </is>
      </c>
      <c r="AH103" s="256" t="inlineStr">
        <is>
          <t>Purely Plant GmbH (in-house)</t>
        </is>
      </c>
      <c r="AI103" s="256" t="inlineStr">
        <is>
          <t>Conforms | Одговара</t>
        </is>
      </c>
      <c r="AJ103" s="256" t="inlineStr">
        <is>
          <t>iCoA-PP_26-118</t>
        </is>
      </c>
      <c r="AK103" s="256" t="inlineStr">
        <is>
          <t>27.07.2026</t>
        </is>
      </c>
      <c r="AL103" s="256" t="inlineStr">
        <is>
          <t>Purely Plant GmbH (in-house)</t>
        </is>
      </c>
      <c r="AM103" s="256" t="inlineStr">
        <is>
          <t>Conforms | Одговара</t>
        </is>
      </c>
      <c r="AN103" s="256" t="inlineStr">
        <is>
          <t>197-19-К/26</t>
        </is>
      </c>
      <c r="AO103" s="256" t="inlineStr">
        <is>
          <t>07.08.2026</t>
        </is>
      </c>
      <c r="AP103" s="256" t="inlineStr">
        <is>
          <t>Farmahem</t>
        </is>
      </c>
      <c r="AQ103" s="256" t="inlineStr">
        <is>
          <t>7.91</t>
        </is>
      </c>
      <c r="AR103" s="256" t="inlineStr">
        <is>
          <t>197-19-К/26</t>
        </is>
      </c>
      <c r="AS103" s="256" t="inlineStr">
        <is>
          <t>07.08.2026</t>
        </is>
      </c>
      <c r="AT103" s="256" t="inlineStr">
        <is>
          <t>Farmahem</t>
        </is>
      </c>
      <c r="AU103" s="256" t="inlineStr">
        <is>
          <t>&lt; LOQ</t>
        </is>
      </c>
      <c r="AV103" s="256" t="inlineStr">
        <is>
          <t>197-19-К/26</t>
        </is>
      </c>
      <c r="AW103" s="256" t="inlineStr">
        <is>
          <t>07.08.2026</t>
        </is>
      </c>
      <c r="AX103" s="256" t="inlineStr">
        <is>
          <t>Farmahem</t>
        </is>
      </c>
      <c r="AY103" s="256" t="inlineStr">
        <is>
          <t>&lt; LOQ</t>
        </is>
      </c>
      <c r="AZ103" s="256" t="inlineStr">
        <is>
          <t>197-19-К/26</t>
        </is>
      </c>
      <c r="BA103" s="256" t="inlineStr">
        <is>
          <t>07.08.2026</t>
        </is>
      </c>
      <c r="BB103" s="256" t="inlineStr">
        <is>
          <t>Farmahem</t>
        </is>
      </c>
      <c r="BC103" s="256" t="inlineStr">
        <is>
          <t>Conforms | Одговара</t>
        </is>
      </c>
      <c r="BD103" s="256" t="inlineStr">
        <is>
          <t>iCoA-PP_26-118</t>
        </is>
      </c>
      <c r="BE103" s="256" t="inlineStr">
        <is>
          <t>27.07.2026</t>
        </is>
      </c>
      <c r="BF103" s="256" t="inlineStr">
        <is>
          <t>Purely Plant GmbH (in-house)</t>
        </is>
      </c>
      <c r="BG103" s="256" t="inlineStr">
        <is>
          <t>6.6</t>
        </is>
      </c>
      <c r="BH103" s="256" t="inlineStr">
        <is>
          <t>100-4-ГС/26</t>
        </is>
      </c>
      <c r="BI103" s="256" t="inlineStr">
        <is>
          <t>09.04.2026</t>
        </is>
      </c>
      <c r="BJ103" s="256" t="inlineStr">
        <is>
          <t>Farmahem</t>
        </is>
      </c>
      <c r="BK103" s="256" t="inlineStr">
        <is>
          <t>120</t>
        </is>
      </c>
      <c r="BL103" s="256" t="inlineStr">
        <is>
          <t>229/0392/26</t>
        </is>
      </c>
      <c r="BM103" s="256" t="inlineStr">
        <is>
          <t>07.04.2026</t>
        </is>
      </c>
      <c r="BN103" s="256" t="inlineStr">
        <is>
          <t>IPH — Institute of Public Health</t>
        </is>
      </c>
      <c r="BO103" s="256" t="inlineStr">
        <is>
          <t>100</t>
        </is>
      </c>
      <c r="BP103" s="256" t="inlineStr">
        <is>
          <t>229/0392/26</t>
        </is>
      </c>
      <c r="BQ103" s="256" t="inlineStr">
        <is>
          <t>07.04.2026</t>
        </is>
      </c>
      <c r="BR103" s="256" t="inlineStr">
        <is>
          <t>IPH — Institute of Public Health</t>
        </is>
      </c>
      <c r="BS103" s="256" t="inlineStr">
        <is>
          <t>&lt; 10</t>
        </is>
      </c>
      <c r="BT103" s="256" t="inlineStr">
        <is>
          <t>229/0392/26</t>
        </is>
      </c>
      <c r="BU103" s="256" t="inlineStr">
        <is>
          <t>07.04.2026</t>
        </is>
      </c>
      <c r="BV103" s="256" t="inlineStr">
        <is>
          <t>IPH — Institute of Public Health</t>
        </is>
      </c>
      <c r="BW103" s="256" t="inlineStr">
        <is>
          <t>Absent | Отсутна</t>
        </is>
      </c>
      <c r="BX103" s="256" t="inlineStr">
        <is>
          <t>229/0392/26</t>
        </is>
      </c>
      <c r="BY103" s="256" t="inlineStr">
        <is>
          <t>07.04.2026</t>
        </is>
      </c>
      <c r="BZ103" s="256" t="inlineStr">
        <is>
          <t>IPH — Institute of Public Health</t>
        </is>
      </c>
      <c r="CA103" s="256" t="inlineStr">
        <is>
          <t>Absent | Отсутна</t>
        </is>
      </c>
      <c r="CB103" s="256" t="inlineStr">
        <is>
          <t>229/0392/26</t>
        </is>
      </c>
      <c r="CC103" s="256" t="inlineStr">
        <is>
          <t>07.04.2026</t>
        </is>
      </c>
      <c r="CD103" s="256" t="inlineStr">
        <is>
          <t>IPH — Institute of Public Health</t>
        </is>
      </c>
      <c r="CE103" s="260" t="inlineStr">
        <is>
          <t>upon request — not required for release</t>
        </is>
      </c>
      <c r="CF103" s="256" t="inlineStr">
        <is>
          <t>—</t>
        </is>
      </c>
      <c r="CG103" s="256" t="inlineStr">
        <is>
          <t>—</t>
        </is>
      </c>
      <c r="CH103" s="256" t="inlineStr">
        <is>
          <t>—</t>
        </is>
      </c>
      <c r="CI103" s="260" t="inlineStr">
        <is>
          <t>upon request — not required for release</t>
        </is>
      </c>
      <c r="CJ103" s="256" t="inlineStr">
        <is>
          <t>—</t>
        </is>
      </c>
      <c r="CK103" s="256" t="inlineStr">
        <is>
          <t>—</t>
        </is>
      </c>
      <c r="CL103" s="256" t="inlineStr">
        <is>
          <t>—</t>
        </is>
      </c>
      <c r="CM103" s="256" t="inlineStr">
        <is>
          <t>ND</t>
        </is>
      </c>
      <c r="CN103" s="256" t="inlineStr">
        <is>
          <t>197-19-М/26</t>
        </is>
      </c>
      <c r="CO103" s="256" t="inlineStr">
        <is>
          <t>10.08.2026</t>
        </is>
      </c>
      <c r="CP103" s="256" t="inlineStr">
        <is>
          <t>Farmahem</t>
        </is>
      </c>
      <c r="CQ103" s="256" t="inlineStr">
        <is>
          <t>ND</t>
        </is>
      </c>
      <c r="CR103" s="256" t="inlineStr">
        <is>
          <t>197-19-М/26</t>
        </is>
      </c>
      <c r="CS103" s="256" t="inlineStr">
        <is>
          <t>10.08.2026</t>
        </is>
      </c>
      <c r="CT103" s="256" t="inlineStr">
        <is>
          <t>Farmahem</t>
        </is>
      </c>
      <c r="CU103" s="256" t="inlineStr">
        <is>
          <t>ND</t>
        </is>
      </c>
      <c r="CV103" s="256" t="inlineStr">
        <is>
          <t>197-19-М/26</t>
        </is>
      </c>
      <c r="CW103" s="256" t="inlineStr">
        <is>
          <t>10.08.2026</t>
        </is>
      </c>
      <c r="CX103" s="256" t="inlineStr">
        <is>
          <t>Farmahem</t>
        </is>
      </c>
      <c r="CY103" s="256" t="inlineStr">
        <is>
          <t>0.049</t>
        </is>
      </c>
      <c r="CZ103" s="256" t="inlineStr">
        <is>
          <t>1627/2026</t>
        </is>
      </c>
      <c r="DA103" s="256" t="inlineStr">
        <is>
          <t>23.04.2026</t>
        </is>
      </c>
      <c r="DB103" s="256" t="inlineStr">
        <is>
          <t>IPH — Institute of Public Health</t>
        </is>
      </c>
      <c r="DC103" s="256" t="inlineStr">
        <is>
          <t>0.165</t>
        </is>
      </c>
      <c r="DD103" s="256" t="inlineStr">
        <is>
          <t>1627/2026</t>
        </is>
      </c>
      <c r="DE103" s="256" t="inlineStr">
        <is>
          <t>23.04.2026</t>
        </is>
      </c>
      <c r="DF103" s="256" t="inlineStr">
        <is>
          <t>IPH — Institute of Public Health</t>
        </is>
      </c>
      <c r="DG103" s="256" t="inlineStr">
        <is>
          <t>ND</t>
        </is>
      </c>
      <c r="DH103" s="256" t="inlineStr">
        <is>
          <t>1627/2026</t>
        </is>
      </c>
      <c r="DI103" s="256" t="inlineStr">
        <is>
          <t>23.04.2026</t>
        </is>
      </c>
      <c r="DJ103" s="256" t="inlineStr">
        <is>
          <t>IPH — Institute of Public Health</t>
        </is>
      </c>
      <c r="DK103" s="256" t="inlineStr">
        <is>
          <t>ND</t>
        </is>
      </c>
      <c r="DL103" s="256" t="inlineStr">
        <is>
          <t>1627/2026</t>
        </is>
      </c>
      <c r="DM103" s="256" t="inlineStr">
        <is>
          <t>23.04.2026</t>
        </is>
      </c>
      <c r="DN103" s="256" t="inlineStr">
        <is>
          <t>IPH — Institute of Public Health</t>
        </is>
      </c>
      <c r="DO103" s="256" t="inlineStr">
        <is>
          <t>ND</t>
        </is>
      </c>
      <c r="DP103" s="256" t="inlineStr">
        <is>
          <t>1627/2026</t>
        </is>
      </c>
      <c r="DQ103" s="256" t="inlineStr">
        <is>
          <t>23.04.2026</t>
        </is>
      </c>
      <c r="DR103" s="256" t="inlineStr">
        <is>
          <t>IPH — Institute of Public Health</t>
        </is>
      </c>
    </row>
    <row r="104">
      <c r="A104" s="256" t="inlineStr">
        <is>
          <t>CoQ-PP_26-103</t>
        </is>
      </c>
      <c r="B104" s="256" t="inlineStr">
        <is>
          <t>reissue — retest</t>
        </is>
      </c>
      <c r="C104" s="256" t="inlineStr">
        <is>
          <t>issuable</t>
        </is>
      </c>
      <c r="D104" s="256" t="inlineStr">
        <is>
          <t>17.08.2026</t>
        </is>
      </c>
      <c r="E104" s="256" t="inlineStr">
        <is>
          <t>CoQ-PP_26-042 of 06.06.2026</t>
        </is>
      </c>
      <c r="F104" s="256" t="inlineStr">
        <is>
          <t>(assigned on issue)</t>
        </is>
      </c>
      <c r="G104" s="256" t="inlineStr">
        <is>
          <t>PM092501</t>
        </is>
      </c>
      <c r="H104" s="256" t="inlineStr">
        <is>
          <t>P060062</t>
        </is>
      </c>
      <c r="I104" s="256" t="inlineStr">
        <is>
          <t>Permanent Marker</t>
        </is>
      </c>
      <c r="J104" s="256" t="inlineStr">
        <is>
          <t>11.12.2025</t>
        </is>
      </c>
      <c r="K104" s="256" t="inlineStr">
        <is>
          <t>30.01.2026</t>
        </is>
      </c>
      <c r="L104" s="256" t="inlineStr">
        <is>
          <t>11.12.2025</t>
        </is>
      </c>
      <c r="M104" s="256" t="inlineStr">
        <is>
          <t>30.01.2026</t>
        </is>
      </c>
      <c r="N104" s="256" t="inlineStr">
        <is>
          <t>iCoA-PP_26-120</t>
        </is>
      </c>
      <c r="O104" s="256" t="inlineStr">
        <is>
          <t>27.07.2026</t>
        </is>
      </c>
      <c r="P104" s="256" t="inlineStr">
        <is>
          <t>24.07.2026</t>
        </is>
      </c>
      <c r="Q104" s="256" t="inlineStr">
        <is>
          <t>Tranche 1</t>
        </is>
      </c>
      <c r="R104" s="256" t="inlineStr">
        <is>
          <t>12.25</t>
        </is>
      </c>
      <c r="S104" s="256" t="inlineStr">
        <is>
          <t>197-20-К/26</t>
        </is>
      </c>
      <c r="T104" s="256" t="inlineStr">
        <is>
          <t>II</t>
        </is>
      </c>
      <c r="U104" s="256" t="inlineStr">
        <is>
          <t>11.00 – 12.99 %</t>
        </is>
      </c>
      <c r="V104" s="256" t="inlineStr">
        <is>
          <t>PM_THC12 : CBD1</t>
        </is>
      </c>
      <c r="W104" s="256" t="inlineStr">
        <is>
          <t>QCSP_001_PM-II_v.01</t>
        </is>
      </c>
      <c r="X104" s="256" t="inlineStr">
        <is>
          <t>for review — replaces the issued QCSP_001_PM-II_v.01 (was PM_THC10 : CBD1, 9.00 – 11.00 %); now PM_THC12 : CBD1 11.00 – 12.99 %</t>
        </is>
      </c>
      <c r="Y104" s="256" t="inlineStr">
        <is>
          <t>HYBRID</t>
        </is>
      </c>
      <c r="Z104" s="256" t="inlineStr">
        <is>
          <t>THC</t>
        </is>
      </c>
      <c r="AA104" s="256" t="inlineStr">
        <is>
          <t>MACHINE TRIMMED</t>
        </is>
      </c>
      <c r="AB104" s="256" t="inlineStr">
        <is>
          <t>INDICA-DOMINANT</t>
        </is>
      </c>
      <c r="AC104" s="256" t="inlineStr">
        <is>
          <t>Triplex Alu Bag | Триплекс Aлу Kеса, PET 12 · ALU 7 · PE 80, 300 × 500 mm, net. 400.0 g ±3%</t>
        </is>
      </c>
      <c r="AD104" s="256" t="inlineStr">
        <is>
          <t>10.08.2026</t>
        </is>
      </c>
      <c r="AE104" s="256" t="inlineStr">
        <is>
          <t>Conforms | Одговара</t>
        </is>
      </c>
      <c r="AF104" s="256" t="inlineStr">
        <is>
          <t>iCoA-PP_26-120</t>
        </is>
      </c>
      <c r="AG104" s="256" t="inlineStr">
        <is>
          <t>27.07.2026</t>
        </is>
      </c>
      <c r="AH104" s="256" t="inlineStr">
        <is>
          <t>Purely Plant GmbH (in-house)</t>
        </is>
      </c>
      <c r="AI104" s="256" t="inlineStr">
        <is>
          <t>Conforms | Одговара</t>
        </is>
      </c>
      <c r="AJ104" s="256" t="inlineStr">
        <is>
          <t>iCoA-PP_26-120</t>
        </is>
      </c>
      <c r="AK104" s="256" t="inlineStr">
        <is>
          <t>27.07.2026</t>
        </is>
      </c>
      <c r="AL104" s="256" t="inlineStr">
        <is>
          <t>Purely Plant GmbH (in-house)</t>
        </is>
      </c>
      <c r="AM104" s="256" t="inlineStr">
        <is>
          <t>Conforms | Одговара</t>
        </is>
      </c>
      <c r="AN104" s="256" t="inlineStr">
        <is>
          <t>197-20-К/26</t>
        </is>
      </c>
      <c r="AO104" s="256" t="inlineStr">
        <is>
          <t>07.08.2026</t>
        </is>
      </c>
      <c r="AP104" s="256" t="inlineStr">
        <is>
          <t>Farmahem</t>
        </is>
      </c>
      <c r="AQ104" s="256" t="inlineStr">
        <is>
          <t>12.25</t>
        </is>
      </c>
      <c r="AR104" s="256" t="inlineStr">
        <is>
          <t>197-20-К/26</t>
        </is>
      </c>
      <c r="AS104" s="256" t="inlineStr">
        <is>
          <t>07.08.2026</t>
        </is>
      </c>
      <c r="AT104" s="256" t="inlineStr">
        <is>
          <t>Farmahem</t>
        </is>
      </c>
      <c r="AU104" s="256" t="inlineStr">
        <is>
          <t>&lt; LOQ</t>
        </is>
      </c>
      <c r="AV104" s="256" t="inlineStr">
        <is>
          <t>197-20-К/26</t>
        </is>
      </c>
      <c r="AW104" s="256" t="inlineStr">
        <is>
          <t>07.08.2026</t>
        </is>
      </c>
      <c r="AX104" s="256" t="inlineStr">
        <is>
          <t>Farmahem</t>
        </is>
      </c>
      <c r="AY104" s="256" t="inlineStr">
        <is>
          <t>&lt; LOQ</t>
        </is>
      </c>
      <c r="AZ104" s="256" t="inlineStr">
        <is>
          <t>197-20-К/26</t>
        </is>
      </c>
      <c r="BA104" s="256" t="inlineStr">
        <is>
          <t>07.08.2026</t>
        </is>
      </c>
      <c r="BB104" s="256" t="inlineStr">
        <is>
          <t>Farmahem</t>
        </is>
      </c>
      <c r="BC104" s="256" t="inlineStr">
        <is>
          <t>Conforms | Одговара</t>
        </is>
      </c>
      <c r="BD104" s="256" t="inlineStr">
        <is>
          <t>iCoA-PP_26-120</t>
        </is>
      </c>
      <c r="BE104" s="256" t="inlineStr">
        <is>
          <t>27.07.2026</t>
        </is>
      </c>
      <c r="BF104" s="256" t="inlineStr">
        <is>
          <t>Purely Plant GmbH (in-house)</t>
        </is>
      </c>
      <c r="BG104" s="256" t="inlineStr">
        <is>
          <t>7.97</t>
        </is>
      </c>
      <c r="BH104" s="256" t="inlineStr">
        <is>
          <t>ППК26004</t>
        </is>
      </c>
      <c r="BI104" s="256" t="inlineStr">
        <is>
          <t>21.01.2026</t>
        </is>
      </c>
      <c r="BJ104" s="256" t="inlineStr">
        <is>
          <t>UKIM Faculty of Pharmacy — Center for Natural Products</t>
        </is>
      </c>
      <c r="BK104" s="256" t="inlineStr">
        <is>
          <t>2 × 10³</t>
        </is>
      </c>
      <c r="BL104" s="256" t="inlineStr">
        <is>
          <t>6/0009/26</t>
        </is>
      </c>
      <c r="BM104" s="256" t="inlineStr">
        <is>
          <t>20.01.2026</t>
        </is>
      </c>
      <c r="BN104" s="256" t="inlineStr">
        <is>
          <t>IPH — Institute of Public Health</t>
        </is>
      </c>
      <c r="BO104" s="256" t="inlineStr">
        <is>
          <t>2.2 × 10³</t>
        </is>
      </c>
      <c r="BP104" s="256" t="inlineStr">
        <is>
          <t>6/0009/26</t>
        </is>
      </c>
      <c r="BQ104" s="256" t="inlineStr">
        <is>
          <t>20.01.2026</t>
        </is>
      </c>
      <c r="BR104" s="256" t="inlineStr">
        <is>
          <t>IPH — Institute of Public Health</t>
        </is>
      </c>
      <c r="BS104" s="256" t="inlineStr">
        <is>
          <t>&lt; 10</t>
        </is>
      </c>
      <c r="BT104" s="256" t="inlineStr">
        <is>
          <t>6/0009/26</t>
        </is>
      </c>
      <c r="BU104" s="256" t="inlineStr">
        <is>
          <t>20.01.2026</t>
        </is>
      </c>
      <c r="BV104" s="256" t="inlineStr">
        <is>
          <t>IPH — Institute of Public Health</t>
        </is>
      </c>
      <c r="BW104" s="256" t="inlineStr">
        <is>
          <t>Absent | Отсутна</t>
        </is>
      </c>
      <c r="BX104" s="256" t="inlineStr">
        <is>
          <t>6/0009/26</t>
        </is>
      </c>
      <c r="BY104" s="256" t="inlineStr">
        <is>
          <t>20.01.2026</t>
        </is>
      </c>
      <c r="BZ104" s="256" t="inlineStr">
        <is>
          <t>IPH — Institute of Public Health</t>
        </is>
      </c>
      <c r="CA104" s="256" t="inlineStr">
        <is>
          <t>Absent | Отсутна</t>
        </is>
      </c>
      <c r="CB104" s="256" t="inlineStr">
        <is>
          <t>6/0009/26</t>
        </is>
      </c>
      <c r="CC104" s="256" t="inlineStr">
        <is>
          <t>20.01.2026</t>
        </is>
      </c>
      <c r="CD104" s="256" t="inlineStr">
        <is>
          <t>IPH — Institute of Public Health</t>
        </is>
      </c>
      <c r="CE104" s="260" t="inlineStr">
        <is>
          <t>upon request — not required for release</t>
        </is>
      </c>
      <c r="CF104" s="256" t="inlineStr">
        <is>
          <t>—</t>
        </is>
      </c>
      <c r="CG104" s="256" t="inlineStr">
        <is>
          <t>—</t>
        </is>
      </c>
      <c r="CH104" s="256" t="inlineStr">
        <is>
          <t>—</t>
        </is>
      </c>
      <c r="CI104" s="260" t="inlineStr">
        <is>
          <t>upon request — not required for release</t>
        </is>
      </c>
      <c r="CJ104" s="256" t="inlineStr">
        <is>
          <t>—</t>
        </is>
      </c>
      <c r="CK104" s="256" t="inlineStr">
        <is>
          <t>—</t>
        </is>
      </c>
      <c r="CL104" s="256" t="inlineStr">
        <is>
          <t>—</t>
        </is>
      </c>
      <c r="CM104" s="256" t="inlineStr">
        <is>
          <t>ND</t>
        </is>
      </c>
      <c r="CN104" s="256" t="inlineStr">
        <is>
          <t>197-20-М/26</t>
        </is>
      </c>
      <c r="CO104" s="256" t="inlineStr">
        <is>
          <t>10.08.2026</t>
        </is>
      </c>
      <c r="CP104" s="256" t="inlineStr">
        <is>
          <t>Farmahem</t>
        </is>
      </c>
      <c r="CQ104" s="256" t="inlineStr">
        <is>
          <t>ND</t>
        </is>
      </c>
      <c r="CR104" s="256" t="inlineStr">
        <is>
          <t>197-20-М/26</t>
        </is>
      </c>
      <c r="CS104" s="256" t="inlineStr">
        <is>
          <t>10.08.2026</t>
        </is>
      </c>
      <c r="CT104" s="256" t="inlineStr">
        <is>
          <t>Farmahem</t>
        </is>
      </c>
      <c r="CU104" s="256" t="inlineStr">
        <is>
          <t>ND</t>
        </is>
      </c>
      <c r="CV104" s="256" t="inlineStr">
        <is>
          <t>197-20-М/26</t>
        </is>
      </c>
      <c r="CW104" s="256" t="inlineStr">
        <is>
          <t>10.08.2026</t>
        </is>
      </c>
      <c r="CX104" s="256" t="inlineStr">
        <is>
          <t>Farmahem</t>
        </is>
      </c>
      <c r="CY104" s="256" t="inlineStr">
        <is>
          <t>0.03</t>
        </is>
      </c>
      <c r="CZ104" s="256" t="inlineStr">
        <is>
          <t>83/2026</t>
        </is>
      </c>
      <c r="DA104" s="256" t="inlineStr">
        <is>
          <t>02.02.2026</t>
        </is>
      </c>
      <c r="DB104" s="256" t="inlineStr">
        <is>
          <t>IPH — Institute of Public Health</t>
        </is>
      </c>
      <c r="DC104" s="256" t="inlineStr">
        <is>
          <t>ND</t>
        </is>
      </c>
      <c r="DD104" s="256" t="inlineStr">
        <is>
          <t>83/2026</t>
        </is>
      </c>
      <c r="DE104" s="256" t="inlineStr">
        <is>
          <t>02.02.2026</t>
        </is>
      </c>
      <c r="DF104" s="256" t="inlineStr">
        <is>
          <t>IPH — Institute of Public Health</t>
        </is>
      </c>
      <c r="DG104" s="256" t="inlineStr">
        <is>
          <t>ND</t>
        </is>
      </c>
      <c r="DH104" s="256" t="inlineStr">
        <is>
          <t>83/2026</t>
        </is>
      </c>
      <c r="DI104" s="256" t="inlineStr">
        <is>
          <t>02.02.2026</t>
        </is>
      </c>
      <c r="DJ104" s="256" t="inlineStr">
        <is>
          <t>IPH — Institute of Public Health</t>
        </is>
      </c>
      <c r="DK104" s="256" t="inlineStr">
        <is>
          <t>ND</t>
        </is>
      </c>
      <c r="DL104" s="256" t="inlineStr">
        <is>
          <t>83/2026</t>
        </is>
      </c>
      <c r="DM104" s="256" t="inlineStr">
        <is>
          <t>02.02.2026</t>
        </is>
      </c>
      <c r="DN104" s="256" t="inlineStr">
        <is>
          <t>IPH — Institute of Public Health</t>
        </is>
      </c>
      <c r="DO104" s="256" t="inlineStr">
        <is>
          <t>ND</t>
        </is>
      </c>
      <c r="DP104" s="256" t="inlineStr">
        <is>
          <t>83/2026</t>
        </is>
      </c>
      <c r="DQ104" s="256" t="inlineStr">
        <is>
          <t>02.02.2026</t>
        </is>
      </c>
      <c r="DR104" s="256" t="inlineStr">
        <is>
          <t>IPH — Institute of Public Health</t>
        </is>
      </c>
    </row>
    <row r="105">
      <c r="A105" s="256" t="inlineStr">
        <is>
          <t>CoQ-PP_26-104</t>
        </is>
      </c>
      <c r="B105" s="256" t="inlineStr">
        <is>
          <t>reissue — retest</t>
        </is>
      </c>
      <c r="C105" s="256" t="inlineStr">
        <is>
          <t>issuable</t>
        </is>
      </c>
      <c r="D105" s="256" t="inlineStr">
        <is>
          <t>17.08.2026</t>
        </is>
      </c>
      <c r="E105" s="256" t="inlineStr">
        <is>
          <t>CoQ-PP_26-074 of 06.06.2026</t>
        </is>
      </c>
      <c r="F105" s="256" t="inlineStr">
        <is>
          <t>(assigned on issue)</t>
        </is>
      </c>
      <c r="G105" s="256" t="inlineStr">
        <is>
          <t>SCR012603</t>
        </is>
      </c>
      <c r="H105" s="256" t="inlineStr">
        <is>
          <t>P060382</t>
        </is>
      </c>
      <c r="I105" s="256" t="inlineStr">
        <is>
          <t>Scrambler</t>
        </is>
      </c>
      <c r="J105" s="256" t="inlineStr">
        <is>
          <t>22.04.2026</t>
        </is>
      </c>
      <c r="K105" s="256" t="inlineStr">
        <is>
          <t>25.05.2026</t>
        </is>
      </c>
      <c r="L105" s="256" t="inlineStr">
        <is>
          <t>22.04.2026</t>
        </is>
      </c>
      <c r="M105" s="256" t="inlineStr">
        <is>
          <t>25.05.2026</t>
        </is>
      </c>
      <c r="N105" s="256" t="inlineStr">
        <is>
          <t>iCoA-PP_26-119</t>
        </is>
      </c>
      <c r="O105" s="256" t="inlineStr">
        <is>
          <t>27.07.2026</t>
        </is>
      </c>
      <c r="P105" s="256" t="inlineStr">
        <is>
          <t>24.07.2026</t>
        </is>
      </c>
      <c r="Q105" s="256" t="inlineStr">
        <is>
          <t>Tranche 1</t>
        </is>
      </c>
      <c r="R105" s="256" t="inlineStr">
        <is>
          <t>17.84</t>
        </is>
      </c>
      <c r="S105" s="256" t="inlineStr">
        <is>
          <t>197-21-К/26</t>
        </is>
      </c>
      <c r="T105" s="256" t="inlineStr">
        <is>
          <t>II</t>
        </is>
      </c>
      <c r="U105" s="256" t="inlineStr">
        <is>
          <t>16.20 – 19.79 %</t>
        </is>
      </c>
      <c r="V105" s="256" t="inlineStr">
        <is>
          <t>SCR_THC18 : CBD1</t>
        </is>
      </c>
      <c r="W105" s="256" t="inlineStr">
        <is>
          <t>QCSP_001_SCR-II_v.01</t>
        </is>
      </c>
      <c r="X105" s="256" t="inlineStr">
        <is>
          <t>for review — replaces the issued QCSP_001_SCR-II_v.01 (was SCR_THC18 : CBD1, 16.20 – 19.80 %); now SCR_THC18 : CBD1 16.20 – 19.79 %</t>
        </is>
      </c>
      <c r="Y105" s="256" t="inlineStr">
        <is>
          <t>HYBRID</t>
        </is>
      </c>
      <c r="Z105" s="256" t="inlineStr">
        <is>
          <t>THC</t>
        </is>
      </c>
      <c r="AA105" s="256" t="inlineStr">
        <is>
          <t>MACHINE TRIMMED</t>
        </is>
      </c>
      <c r="AB105" s="256" t="inlineStr">
        <is>
          <t>TO BE DETERMINED</t>
        </is>
      </c>
      <c r="AC105" s="256" t="inlineStr">
        <is>
          <t>Triplex Alu Bag | Триплекс Aлу Kеса, PET 12 · ALU 7 · PE 80, 300 × 500 mm, net. 400.0 g ±3%</t>
        </is>
      </c>
      <c r="AD105" s="256" t="inlineStr">
        <is>
          <t>10.08.2026</t>
        </is>
      </c>
      <c r="AE105" s="256" t="inlineStr">
        <is>
          <t>Conforms | Одговара</t>
        </is>
      </c>
      <c r="AF105" s="256" t="inlineStr">
        <is>
          <t>iCoA-PP_26-119</t>
        </is>
      </c>
      <c r="AG105" s="256" t="inlineStr">
        <is>
          <t>27.07.2026</t>
        </is>
      </c>
      <c r="AH105" s="256" t="inlineStr">
        <is>
          <t>Purely Plant GmbH (in-house)</t>
        </is>
      </c>
      <c r="AI105" s="256" t="inlineStr">
        <is>
          <t>Conforms | Одговара</t>
        </is>
      </c>
      <c r="AJ105" s="256" t="inlineStr">
        <is>
          <t>iCoA-PP_26-119</t>
        </is>
      </c>
      <c r="AK105" s="256" t="inlineStr">
        <is>
          <t>27.07.2026</t>
        </is>
      </c>
      <c r="AL105" s="256" t="inlineStr">
        <is>
          <t>Purely Plant GmbH (in-house)</t>
        </is>
      </c>
      <c r="AM105" s="256" t="inlineStr">
        <is>
          <t>Conforms | Одговара</t>
        </is>
      </c>
      <c r="AN105" s="256" t="inlineStr">
        <is>
          <t>197-21-К/26</t>
        </is>
      </c>
      <c r="AO105" s="256" t="inlineStr">
        <is>
          <t>07.08.2026</t>
        </is>
      </c>
      <c r="AP105" s="256" t="inlineStr">
        <is>
          <t>Farmahem</t>
        </is>
      </c>
      <c r="AQ105" s="256" t="inlineStr">
        <is>
          <t>17.84</t>
        </is>
      </c>
      <c r="AR105" s="256" t="inlineStr">
        <is>
          <t>197-21-К/26</t>
        </is>
      </c>
      <c r="AS105" s="256" t="inlineStr">
        <is>
          <t>07.08.2026</t>
        </is>
      </c>
      <c r="AT105" s="256" t="inlineStr">
        <is>
          <t>Farmahem</t>
        </is>
      </c>
      <c r="AU105" s="256" t="inlineStr">
        <is>
          <t>&lt; LOQ</t>
        </is>
      </c>
      <c r="AV105" s="256" t="inlineStr">
        <is>
          <t>197-21-К/26</t>
        </is>
      </c>
      <c r="AW105" s="256" t="inlineStr">
        <is>
          <t>07.08.2026</t>
        </is>
      </c>
      <c r="AX105" s="256" t="inlineStr">
        <is>
          <t>Farmahem</t>
        </is>
      </c>
      <c r="AY105" s="256" t="inlineStr">
        <is>
          <t>&lt; LOQ</t>
        </is>
      </c>
      <c r="AZ105" s="256" t="inlineStr">
        <is>
          <t>197-21-К/26</t>
        </is>
      </c>
      <c r="BA105" s="256" t="inlineStr">
        <is>
          <t>07.08.2026</t>
        </is>
      </c>
      <c r="BB105" s="256" t="inlineStr">
        <is>
          <t>Farmahem</t>
        </is>
      </c>
      <c r="BC105" s="256" t="inlineStr">
        <is>
          <t>Conforms | Одговара</t>
        </is>
      </c>
      <c r="BD105" s="256" t="inlineStr">
        <is>
          <t>iCoA-PP_26-119</t>
        </is>
      </c>
      <c r="BE105" s="256" t="inlineStr">
        <is>
          <t>27.07.2026</t>
        </is>
      </c>
      <c r="BF105" s="256" t="inlineStr">
        <is>
          <t>Purely Plant GmbH (in-house)</t>
        </is>
      </c>
      <c r="BG105" s="256" t="inlineStr">
        <is>
          <t>carried from the initial testing — not tested</t>
        </is>
      </c>
      <c r="BH105" s="256" t="inlineStr">
        <is>
          <t>—</t>
        </is>
      </c>
      <c r="BI105" s="256" t="inlineStr">
        <is>
          <t>—</t>
        </is>
      </c>
      <c r="BJ105" s="256" t="inlineStr">
        <is>
          <t>—</t>
        </is>
      </c>
      <c r="BK105" s="256" t="inlineStr">
        <is>
          <t>5.4 × 10⁴</t>
        </is>
      </c>
      <c r="BL105" s="256" t="inlineStr">
        <is>
          <t>364/0694/26</t>
        </is>
      </c>
      <c r="BM105" s="256" t="inlineStr">
        <is>
          <t>01.06.2026</t>
        </is>
      </c>
      <c r="BN105" s="256" t="inlineStr">
        <is>
          <t>IPH — Institute of Public Health</t>
        </is>
      </c>
      <c r="BO105" s="256" t="inlineStr">
        <is>
          <t>1.8 × 10⁴</t>
        </is>
      </c>
      <c r="BP105" s="256" t="inlineStr">
        <is>
          <t>364/0694/26</t>
        </is>
      </c>
      <c r="BQ105" s="256" t="inlineStr">
        <is>
          <t>01.06.2026</t>
        </is>
      </c>
      <c r="BR105" s="256" t="inlineStr">
        <is>
          <t>IPH — Institute of Public Health</t>
        </is>
      </c>
      <c r="BS105" s="256" t="inlineStr">
        <is>
          <t>&lt; 10</t>
        </is>
      </c>
      <c r="BT105" s="256" t="inlineStr">
        <is>
          <t>364/0694/26</t>
        </is>
      </c>
      <c r="BU105" s="256" t="inlineStr">
        <is>
          <t>01.06.2026</t>
        </is>
      </c>
      <c r="BV105" s="256" t="inlineStr">
        <is>
          <t>IPH — Institute of Public Health</t>
        </is>
      </c>
      <c r="BW105" s="256" t="inlineStr">
        <is>
          <t>Absent | Отсутна</t>
        </is>
      </c>
      <c r="BX105" s="256" t="inlineStr">
        <is>
          <t>364/0694/26</t>
        </is>
      </c>
      <c r="BY105" s="256" t="inlineStr">
        <is>
          <t>01.06.2026</t>
        </is>
      </c>
      <c r="BZ105" s="256" t="inlineStr">
        <is>
          <t>IPH — Institute of Public Health</t>
        </is>
      </c>
      <c r="CA105" s="256" t="inlineStr">
        <is>
          <t>Absent | Отсутна</t>
        </is>
      </c>
      <c r="CB105" s="256" t="inlineStr">
        <is>
          <t>364/0694/26</t>
        </is>
      </c>
      <c r="CC105" s="256" t="inlineStr">
        <is>
          <t>01.06.2026</t>
        </is>
      </c>
      <c r="CD105" s="256" t="inlineStr">
        <is>
          <t>IPH — Institute of Public Health</t>
        </is>
      </c>
      <c r="CE105" s="260" t="inlineStr">
        <is>
          <t>upon request — not required for release</t>
        </is>
      </c>
      <c r="CF105" s="256" t="inlineStr">
        <is>
          <t>—</t>
        </is>
      </c>
      <c r="CG105" s="256" t="inlineStr">
        <is>
          <t>—</t>
        </is>
      </c>
      <c r="CH105" s="256" t="inlineStr">
        <is>
          <t>—</t>
        </is>
      </c>
      <c r="CI105" s="260" t="inlineStr">
        <is>
          <t>upon request — not required for release</t>
        </is>
      </c>
      <c r="CJ105" s="256" t="inlineStr">
        <is>
          <t>—</t>
        </is>
      </c>
      <c r="CK105" s="256" t="inlineStr">
        <is>
          <t>—</t>
        </is>
      </c>
      <c r="CL105" s="256" t="inlineStr">
        <is>
          <t>—</t>
        </is>
      </c>
      <c r="CM105" s="256" t="inlineStr">
        <is>
          <t>ND</t>
        </is>
      </c>
      <c r="CN105" s="256" t="inlineStr">
        <is>
          <t>197-21-М/26</t>
        </is>
      </c>
      <c r="CO105" s="256" t="inlineStr">
        <is>
          <t>10.08.2026</t>
        </is>
      </c>
      <c r="CP105" s="256" t="inlineStr">
        <is>
          <t>Farmahem</t>
        </is>
      </c>
      <c r="CQ105" s="256" t="inlineStr">
        <is>
          <t>ND</t>
        </is>
      </c>
      <c r="CR105" s="256" t="inlineStr">
        <is>
          <t>197-21-М/26</t>
        </is>
      </c>
      <c r="CS105" s="256" t="inlineStr">
        <is>
          <t>10.08.2026</t>
        </is>
      </c>
      <c r="CT105" s="256" t="inlineStr">
        <is>
          <t>Farmahem</t>
        </is>
      </c>
      <c r="CU105" s="256" t="inlineStr">
        <is>
          <t>ND</t>
        </is>
      </c>
      <c r="CV105" s="256" t="inlineStr">
        <is>
          <t>197-21-М/26</t>
        </is>
      </c>
      <c r="CW105" s="256" t="inlineStr">
        <is>
          <t>10.08.2026</t>
        </is>
      </c>
      <c r="CX105" s="256" t="inlineStr">
        <is>
          <t>Farmahem</t>
        </is>
      </c>
      <c r="CY105" s="256" t="inlineStr">
        <is>
          <t>carried from the initial testing — not tested</t>
        </is>
      </c>
      <c r="CZ105" s="256" t="inlineStr">
        <is>
          <t>—</t>
        </is>
      </c>
      <c r="DA105" s="256" t="inlineStr">
        <is>
          <t>—</t>
        </is>
      </c>
      <c r="DB105" s="256" t="inlineStr">
        <is>
          <t>—</t>
        </is>
      </c>
      <c r="DC105" s="256" t="inlineStr">
        <is>
          <t>carried from the initial testing — not tested</t>
        </is>
      </c>
      <c r="DD105" s="256" t="inlineStr">
        <is>
          <t>—</t>
        </is>
      </c>
      <c r="DE105" s="256" t="inlineStr">
        <is>
          <t>—</t>
        </is>
      </c>
      <c r="DF105" s="256" t="inlineStr">
        <is>
          <t>—</t>
        </is>
      </c>
      <c r="DG105" s="256" t="inlineStr">
        <is>
          <t>carried from the initial testing — not tested</t>
        </is>
      </c>
      <c r="DH105" s="256" t="inlineStr">
        <is>
          <t>—</t>
        </is>
      </c>
      <c r="DI105" s="256" t="inlineStr">
        <is>
          <t>—</t>
        </is>
      </c>
      <c r="DJ105" s="256" t="inlineStr">
        <is>
          <t>—</t>
        </is>
      </c>
      <c r="DK105" s="256" t="inlineStr">
        <is>
          <t>carried from the initial testing — not tested</t>
        </is>
      </c>
      <c r="DL105" s="256" t="inlineStr">
        <is>
          <t>—</t>
        </is>
      </c>
      <c r="DM105" s="256" t="inlineStr">
        <is>
          <t>—</t>
        </is>
      </c>
      <c r="DN105" s="256" t="inlineStr">
        <is>
          <t>—</t>
        </is>
      </c>
      <c r="DO105" s="256" t="inlineStr">
        <is>
          <t>carried from the initial testing — not tested</t>
        </is>
      </c>
      <c r="DP105" s="256" t="inlineStr">
        <is>
          <t>—</t>
        </is>
      </c>
      <c r="DQ105" s="256" t="inlineStr">
        <is>
          <t>—</t>
        </is>
      </c>
      <c r="DR105" s="256" t="inlineStr">
        <is>
          <t>—</t>
        </is>
      </c>
    </row>
    <row r="106">
      <c r="A106" s="256" t="inlineStr">
        <is>
          <t>CoQ-PP_26-105</t>
        </is>
      </c>
      <c r="B106" s="256" t="inlineStr">
        <is>
          <t>reissue — retest</t>
        </is>
      </c>
      <c r="C106" s="256" t="inlineStr">
        <is>
          <t>issuable</t>
        </is>
      </c>
      <c r="D106" s="256" t="inlineStr">
        <is>
          <t>07.09.2026</t>
        </is>
      </c>
      <c r="E106" s="256" t="inlineStr">
        <is>
          <t>CoQ-PP_26-027 of 06.06.2026</t>
        </is>
      </c>
      <c r="F106" s="256" t="inlineStr">
        <is>
          <t>(assigned on issue)</t>
        </is>
      </c>
      <c r="G106" s="256" t="inlineStr">
        <is>
          <t>CJ062501-2</t>
        </is>
      </c>
      <c r="H106" s="256" t="inlineStr">
        <is>
          <t>P050212</t>
        </is>
      </c>
      <c r="I106" s="256" t="inlineStr">
        <is>
          <t>Cap Junky</t>
        </is>
      </c>
      <c r="J106" s="256" t="inlineStr">
        <is>
          <t>23.09.2025 – 24.09.2025</t>
        </is>
      </c>
      <c r="K106" s="256" t="inlineStr">
        <is>
          <t>18.11.2025 – 24.11.2025</t>
        </is>
      </c>
      <c r="L106" s="256" t="inlineStr">
        <is>
          <t>—</t>
        </is>
      </c>
      <c r="M106" s="256" t="inlineStr">
        <is>
          <t>—</t>
        </is>
      </c>
      <c r="N106" s="256" t="inlineStr">
        <is>
          <t>iCoA-PP_26-103</t>
        </is>
      </c>
      <c r="O106" s="256" t="inlineStr">
        <is>
          <t>27.07.2026</t>
        </is>
      </c>
      <c r="P106" s="256" t="inlineStr">
        <is>
          <t>21.07.2026</t>
        </is>
      </c>
      <c r="Q106" s="256" t="inlineStr">
        <is>
          <t>Tranche 1</t>
        </is>
      </c>
      <c r="R106" s="256" t="inlineStr">
        <is>
          <t>18.91</t>
        </is>
      </c>
      <c r="S106" s="256" t="inlineStr">
        <is>
          <t>197-4-К/26</t>
        </is>
      </c>
      <c r="T106" s="256" t="inlineStr">
        <is>
          <t>III</t>
        </is>
      </c>
      <c r="U106" s="256" t="inlineStr">
        <is>
          <t>18.40 – 21.59 %</t>
        </is>
      </c>
      <c r="V106" s="256" t="inlineStr">
        <is>
          <t>CJ_THC20 : CBD1</t>
        </is>
      </c>
      <c r="W106" s="256" t="inlineStr">
        <is>
          <t>QCSP_001_CJ-III_v.01</t>
        </is>
      </c>
      <c r="X106" s="256" t="inlineStr">
        <is>
          <t>for review — replaces the issued QCSP_001_CJ-III_v.01 (was CJ_THC24 : CBD1, 23.00 – 25.00 %); now CJ_THC20 : CBD1 18.40 – 21.59 %</t>
        </is>
      </c>
      <c r="Y106" s="256" t="inlineStr">
        <is>
          <t>HYBRID</t>
        </is>
      </c>
      <c r="Z106" s="256" t="inlineStr">
        <is>
          <t>THC</t>
        </is>
      </c>
      <c r="AA106" s="256" t="inlineStr">
        <is>
          <t>MACHINE TRIMMED</t>
        </is>
      </c>
      <c r="AB106" s="256" t="inlineStr">
        <is>
          <t>INDICA 60 : SATIVA 40</t>
        </is>
      </c>
      <c r="AC106" s="256" t="inlineStr">
        <is>
          <t>Triplex Alu Bag | Триплекс Aлу Kеса, PET 12 · ALU 7 · PE 80, 300 × 500 mm, net. 400.0 g ±3%</t>
        </is>
      </c>
      <c r="AD106" s="256" t="inlineStr">
        <is>
          <t>31.08.2026</t>
        </is>
      </c>
      <c r="AE106" s="256" t="inlineStr">
        <is>
          <t>Conforms | Одговара</t>
        </is>
      </c>
      <c r="AF106" s="256" t="inlineStr">
        <is>
          <t>iCoA-PP_26-103</t>
        </is>
      </c>
      <c r="AG106" s="256" t="inlineStr">
        <is>
          <t>27.07.2026</t>
        </is>
      </c>
      <c r="AH106" s="256" t="inlineStr">
        <is>
          <t>Purely Plant GmbH (in-house)</t>
        </is>
      </c>
      <c r="AI106" s="256" t="inlineStr">
        <is>
          <t>Conforms | Одговара</t>
        </is>
      </c>
      <c r="AJ106" s="256" t="inlineStr">
        <is>
          <t>iCoA-PP_26-103</t>
        </is>
      </c>
      <c r="AK106" s="256" t="inlineStr">
        <is>
          <t>27.07.2026</t>
        </is>
      </c>
      <c r="AL106" s="256" t="inlineStr">
        <is>
          <t>Purely Plant GmbH (in-house)</t>
        </is>
      </c>
      <c r="AM106" s="256" t="inlineStr">
        <is>
          <t>Conforms | Одговара</t>
        </is>
      </c>
      <c r="AN106" s="256" t="inlineStr">
        <is>
          <t>197-4-К/26</t>
        </is>
      </c>
      <c r="AO106" s="256" t="inlineStr">
        <is>
          <t>07.08.2026</t>
        </is>
      </c>
      <c r="AP106" s="256" t="inlineStr">
        <is>
          <t>Farmahem</t>
        </is>
      </c>
      <c r="AQ106" s="256" t="inlineStr">
        <is>
          <t>18.91</t>
        </is>
      </c>
      <c r="AR106" s="256" t="inlineStr">
        <is>
          <t>197-4-К/26</t>
        </is>
      </c>
      <c r="AS106" s="256" t="inlineStr">
        <is>
          <t>07.08.2026</t>
        </is>
      </c>
      <c r="AT106" s="256" t="inlineStr">
        <is>
          <t>Farmahem</t>
        </is>
      </c>
      <c r="AU106" s="256" t="inlineStr">
        <is>
          <t>&lt; LOQ</t>
        </is>
      </c>
      <c r="AV106" s="256" t="inlineStr">
        <is>
          <t>197-4-К/26</t>
        </is>
      </c>
      <c r="AW106" s="256" t="inlineStr">
        <is>
          <t>07.08.2026</t>
        </is>
      </c>
      <c r="AX106" s="256" t="inlineStr">
        <is>
          <t>Farmahem</t>
        </is>
      </c>
      <c r="AY106" s="256" t="inlineStr">
        <is>
          <t>&lt; LOQ</t>
        </is>
      </c>
      <c r="AZ106" s="256" t="inlineStr">
        <is>
          <t>197-4-К/26</t>
        </is>
      </c>
      <c r="BA106" s="256" t="inlineStr">
        <is>
          <t>07.08.2026</t>
        </is>
      </c>
      <c r="BB106" s="256" t="inlineStr">
        <is>
          <t>Farmahem</t>
        </is>
      </c>
      <c r="BC106" s="256" t="inlineStr">
        <is>
          <t>Conforms | Одговара</t>
        </is>
      </c>
      <c r="BD106" s="256" t="inlineStr">
        <is>
          <t>iCoA-PP_26-103</t>
        </is>
      </c>
      <c r="BE106" s="256" t="inlineStr">
        <is>
          <t>27.07.2026</t>
        </is>
      </c>
      <c r="BF106" s="256" t="inlineStr">
        <is>
          <t>Purely Plant GmbH (in-house)</t>
        </is>
      </c>
      <c r="BG106" s="256" t="inlineStr">
        <is>
          <t>6.70</t>
        </is>
      </c>
      <c r="BH106" s="256" t="inlineStr">
        <is>
          <t>ППК25322</t>
        </is>
      </c>
      <c r="BI106" s="256" t="inlineStr">
        <is>
          <t>23.10.2025</t>
        </is>
      </c>
      <c r="BJ106" s="256" t="inlineStr">
        <is>
          <t>UKIM Faculty of Pharmacy — Center for Natural Products</t>
        </is>
      </c>
      <c r="BK106" s="256" t="inlineStr">
        <is>
          <t>6,2 × 10³</t>
        </is>
      </c>
      <c r="BL106" s="256" t="inlineStr">
        <is>
          <t>534/1065/26</t>
        </is>
      </c>
      <c r="BM106" s="256" t="inlineStr">
        <is>
          <t>31.08.2026</t>
        </is>
      </c>
      <c r="BN106" s="256" t="inlineStr">
        <is>
          <t>IPH — Institute of Public Health</t>
        </is>
      </c>
      <c r="BO106" s="256" t="inlineStr">
        <is>
          <t>2,3 × 10²</t>
        </is>
      </c>
      <c r="BP106" s="256" t="inlineStr">
        <is>
          <t>534/1065/26</t>
        </is>
      </c>
      <c r="BQ106" s="256" t="inlineStr">
        <is>
          <t>31.08.2026</t>
        </is>
      </c>
      <c r="BR106" s="256" t="inlineStr">
        <is>
          <t>IPH — Institute of Public Health</t>
        </is>
      </c>
      <c r="BS106" s="256" t="inlineStr">
        <is>
          <t>&lt; 10⁴ and &gt; 10³</t>
        </is>
      </c>
      <c r="BT106" s="256" t="inlineStr">
        <is>
          <t>534/1065/26</t>
        </is>
      </c>
      <c r="BU106" s="256" t="inlineStr">
        <is>
          <t>31.08.2026</t>
        </is>
      </c>
      <c r="BV106" s="256" t="inlineStr">
        <is>
          <t>IPH — Institute of Public Health</t>
        </is>
      </c>
      <c r="BW106" s="256" t="inlineStr">
        <is>
          <t>Absent | Отсутна</t>
        </is>
      </c>
      <c r="BX106" s="256" t="inlineStr">
        <is>
          <t>534/1065/26</t>
        </is>
      </c>
      <c r="BY106" s="256" t="inlineStr">
        <is>
          <t>31.08.2026</t>
        </is>
      </c>
      <c r="BZ106" s="256" t="inlineStr">
        <is>
          <t>IPH — Institute of Public Health</t>
        </is>
      </c>
      <c r="CA106" s="256" t="inlineStr">
        <is>
          <t>Absent | Отсутна</t>
        </is>
      </c>
      <c r="CB106" s="256" t="inlineStr">
        <is>
          <t>534/1065/26</t>
        </is>
      </c>
      <c r="CC106" s="256" t="inlineStr">
        <is>
          <t>31.08.2026</t>
        </is>
      </c>
      <c r="CD106" s="256" t="inlineStr">
        <is>
          <t>IPH — Institute of Public Health</t>
        </is>
      </c>
      <c r="CE106" s="260" t="inlineStr">
        <is>
          <t>upon request — not required for release</t>
        </is>
      </c>
      <c r="CF106" s="256" t="inlineStr">
        <is>
          <t>—</t>
        </is>
      </c>
      <c r="CG106" s="256" t="inlineStr">
        <is>
          <t>—</t>
        </is>
      </c>
      <c r="CH106" s="256" t="inlineStr">
        <is>
          <t>—</t>
        </is>
      </c>
      <c r="CI106" s="260" t="inlineStr">
        <is>
          <t>upon request — not required for release</t>
        </is>
      </c>
      <c r="CJ106" s="256" t="inlineStr">
        <is>
          <t>—</t>
        </is>
      </c>
      <c r="CK106" s="256" t="inlineStr">
        <is>
          <t>—</t>
        </is>
      </c>
      <c r="CL106" s="256" t="inlineStr">
        <is>
          <t>—</t>
        </is>
      </c>
      <c r="CM106" s="256" t="inlineStr">
        <is>
          <t>ND</t>
        </is>
      </c>
      <c r="CN106" s="256" t="inlineStr">
        <is>
          <t>197-4-М/26</t>
        </is>
      </c>
      <c r="CO106" s="256" t="inlineStr">
        <is>
          <t>10.08.2026</t>
        </is>
      </c>
      <c r="CP106" s="256" t="inlineStr">
        <is>
          <t>Farmahem</t>
        </is>
      </c>
      <c r="CQ106" s="256" t="inlineStr">
        <is>
          <t>ND</t>
        </is>
      </c>
      <c r="CR106" s="256" t="inlineStr">
        <is>
          <t>197-4-М/26</t>
        </is>
      </c>
      <c r="CS106" s="256" t="inlineStr">
        <is>
          <t>10.08.2026</t>
        </is>
      </c>
      <c r="CT106" s="256" t="inlineStr">
        <is>
          <t>Farmahem</t>
        </is>
      </c>
      <c r="CU106" s="256" t="inlineStr">
        <is>
          <t>ND</t>
        </is>
      </c>
      <c r="CV106" s="256" t="inlineStr">
        <is>
          <t>197-4-М/26</t>
        </is>
      </c>
      <c r="CW106" s="256" t="inlineStr">
        <is>
          <t>10.08.2026</t>
        </is>
      </c>
      <c r="CX106" s="256" t="inlineStr">
        <is>
          <t>Farmahem</t>
        </is>
      </c>
      <c r="CY106" s="256" t="inlineStr">
        <is>
          <t>0.026</t>
        </is>
      </c>
      <c r="CZ106" s="256" t="inlineStr">
        <is>
          <t>4908/2025</t>
        </is>
      </c>
      <c r="DA106" s="256" t="inlineStr">
        <is>
          <t>24.10.2025</t>
        </is>
      </c>
      <c r="DB106" s="256" t="inlineStr">
        <is>
          <t>IPH — Institute of Public Health</t>
        </is>
      </c>
      <c r="DC106" s="256" t="inlineStr">
        <is>
          <t>0.002</t>
        </is>
      </c>
      <c r="DD106" s="256" t="inlineStr">
        <is>
          <t>4908/2025</t>
        </is>
      </c>
      <c r="DE106" s="256" t="inlineStr">
        <is>
          <t>24.10.2025</t>
        </is>
      </c>
      <c r="DF106" s="256" t="inlineStr">
        <is>
          <t>IPH — Institute of Public Health</t>
        </is>
      </c>
      <c r="DG106" s="256" t="inlineStr">
        <is>
          <t>0.011</t>
        </is>
      </c>
      <c r="DH106" s="256" t="inlineStr">
        <is>
          <t>4908/2025</t>
        </is>
      </c>
      <c r="DI106" s="256" t="inlineStr">
        <is>
          <t>24.10.2025</t>
        </is>
      </c>
      <c r="DJ106" s="256" t="inlineStr">
        <is>
          <t>IPH — Institute of Public Health</t>
        </is>
      </c>
      <c r="DK106" s="256" t="inlineStr">
        <is>
          <t>0.012</t>
        </is>
      </c>
      <c r="DL106" s="256" t="inlineStr">
        <is>
          <t>4908/2025</t>
        </is>
      </c>
      <c r="DM106" s="256" t="inlineStr">
        <is>
          <t>24.10.2025</t>
        </is>
      </c>
      <c r="DN106" s="256" t="inlineStr">
        <is>
          <t>IPH — Institute of Public Health</t>
        </is>
      </c>
      <c r="DO106" s="256" t="inlineStr">
        <is>
          <t>ND</t>
        </is>
      </c>
      <c r="DP106" s="256" t="inlineStr">
        <is>
          <t>4908/2025</t>
        </is>
      </c>
      <c r="DQ106" s="256" t="inlineStr">
        <is>
          <t>24.10.2025</t>
        </is>
      </c>
      <c r="DR106" s="256" t="inlineStr">
        <is>
          <t>IPH — Institute of Public Health</t>
        </is>
      </c>
    </row>
    <row r="107">
      <c r="A107" s="256" t="inlineStr">
        <is>
          <t>CoQ-PP_26-106</t>
        </is>
      </c>
      <c r="B107" s="256" t="inlineStr">
        <is>
          <t>reissue — retest</t>
        </is>
      </c>
      <c r="C107" s="256" t="inlineStr">
        <is>
          <t>issuable</t>
        </is>
      </c>
      <c r="D107" s="256" t="inlineStr">
        <is>
          <t>18.09.2026</t>
        </is>
      </c>
      <c r="E107" s="256" t="inlineStr">
        <is>
          <t>CoQ-PP_26-048 of 06.06.2026</t>
        </is>
      </c>
      <c r="F107" s="256" t="inlineStr">
        <is>
          <t>(assigned on issue)</t>
        </is>
      </c>
      <c r="G107" s="256" t="inlineStr">
        <is>
          <t>ACC102501</t>
        </is>
      </c>
      <c r="H107" s="256" t="inlineStr">
        <is>
          <t>P060122</t>
        </is>
      </c>
      <c r="I107" s="256" t="inlineStr">
        <is>
          <t>Amnesia Core Cut</t>
        </is>
      </c>
      <c r="J107" s="256" t="inlineStr">
        <is>
          <t>09.01.2026</t>
        </is>
      </c>
      <c r="K107" s="256" t="inlineStr">
        <is>
          <t>18.02.2026 – 19.02.2026</t>
        </is>
      </c>
      <c r="L107" s="256" t="inlineStr">
        <is>
          <t>09.01.2026</t>
        </is>
      </c>
      <c r="M107" s="256" t="inlineStr">
        <is>
          <t>18.02.2026</t>
        </is>
      </c>
      <c r="N107" s="256" t="inlineStr">
        <is>
          <t>iCoA-PP_26-123</t>
        </is>
      </c>
      <c r="O107" s="256" t="inlineStr">
        <is>
          <t>17.08.2026</t>
        </is>
      </c>
      <c r="P107" s="256" t="inlineStr">
        <is>
          <t>12.08.2026</t>
        </is>
      </c>
      <c r="Q107" s="256" t="inlineStr">
        <is>
          <t>Tranche 2</t>
        </is>
      </c>
      <c r="R107" s="256" t="inlineStr">
        <is>
          <t>12.09</t>
        </is>
      </c>
      <c r="S107" s="256" t="inlineStr">
        <is>
          <t>220-1-К/26</t>
        </is>
      </c>
      <c r="T107" s="256" t="inlineStr">
        <is>
          <t>I</t>
        </is>
      </c>
      <c r="U107" s="256" t="inlineStr">
        <is>
          <t>10.80 – 13.19 %</t>
        </is>
      </c>
      <c r="V107" s="256" t="inlineStr">
        <is>
          <t>ACC_THC12 : CBD1</t>
        </is>
      </c>
      <c r="W107" s="256" t="inlineStr">
        <is>
          <t>QCSP_001_ACC-I_v.01</t>
        </is>
      </c>
      <c r="X107" s="256" t="inlineStr">
        <is>
          <t>for review — replaces the issued QCSP_001_ACC-I_v.01 (was ACC_THC12 : CBD1, 10.80 – 13.20 %); now ACC_THC12 : CBD1 10.80 – 13.19 %</t>
        </is>
      </c>
      <c r="Y107" s="256" t="inlineStr">
        <is>
          <t>HYBRID</t>
        </is>
      </c>
      <c r="Z107" s="256" t="inlineStr">
        <is>
          <t>THC</t>
        </is>
      </c>
      <c r="AA107" s="256" t="inlineStr">
        <is>
          <t>MACHINE TRIMMED</t>
        </is>
      </c>
      <c r="AB107" s="256" t="inlineStr">
        <is>
          <t>TO BE DETERMINED</t>
        </is>
      </c>
      <c r="AC107" s="256" t="inlineStr">
        <is>
          <t>Triplex Alu Bag | Триплекс Aлу Kеса, PET 12 · ALU 7 · PE 80, 300 × 500 mm, net. 400.0 g ±3%</t>
        </is>
      </c>
      <c r="AD107" s="256" t="inlineStr">
        <is>
          <t>11.09.2026</t>
        </is>
      </c>
      <c r="AE107" s="256" t="inlineStr">
        <is>
          <t>Conforms | Одговара</t>
        </is>
      </c>
      <c r="AF107" s="256" t="inlineStr">
        <is>
          <t>iCoA-PP_26-123</t>
        </is>
      </c>
      <c r="AG107" s="256" t="inlineStr">
        <is>
          <t>17.08.2026</t>
        </is>
      </c>
      <c r="AH107" s="256" t="inlineStr">
        <is>
          <t>Purely Plant GmbH (in-house)</t>
        </is>
      </c>
      <c r="AI107" s="256" t="inlineStr">
        <is>
          <t>Conforms | Одговара</t>
        </is>
      </c>
      <c r="AJ107" s="256" t="inlineStr">
        <is>
          <t>iCoA-PP_26-123</t>
        </is>
      </c>
      <c r="AK107" s="256" t="inlineStr">
        <is>
          <t>17.08.2026</t>
        </is>
      </c>
      <c r="AL107" s="256" t="inlineStr">
        <is>
          <t>Purely Plant GmbH (in-house)</t>
        </is>
      </c>
      <c r="AM107" s="256" t="inlineStr">
        <is>
          <t>Conforms | Одговара</t>
        </is>
      </c>
      <c r="AN107" s="256" t="inlineStr">
        <is>
          <t>220-1-К/26</t>
        </is>
      </c>
      <c r="AO107" s="256" t="inlineStr">
        <is>
          <t>25.08.2026</t>
        </is>
      </c>
      <c r="AP107" s="256" t="inlineStr">
        <is>
          <t>Farmahem</t>
        </is>
      </c>
      <c r="AQ107" s="256" t="inlineStr">
        <is>
          <t>12.09</t>
        </is>
      </c>
      <c r="AR107" s="256" t="inlineStr">
        <is>
          <t>220-1-К/26</t>
        </is>
      </c>
      <c r="AS107" s="256" t="inlineStr">
        <is>
          <t>25.08.2026</t>
        </is>
      </c>
      <c r="AT107" s="256" t="inlineStr">
        <is>
          <t>Farmahem</t>
        </is>
      </c>
      <c r="AU107" s="256" t="inlineStr">
        <is>
          <t>&lt; LOQ</t>
        </is>
      </c>
      <c r="AV107" s="256" t="inlineStr">
        <is>
          <t>220-1-К/26</t>
        </is>
      </c>
      <c r="AW107" s="256" t="inlineStr">
        <is>
          <t>25.08.2026</t>
        </is>
      </c>
      <c r="AX107" s="256" t="inlineStr">
        <is>
          <t>Farmahem</t>
        </is>
      </c>
      <c r="AY107" s="256" t="inlineStr">
        <is>
          <t>&lt; LOQ</t>
        </is>
      </c>
      <c r="AZ107" s="256" t="inlineStr">
        <is>
          <t>220-1-К/26</t>
        </is>
      </c>
      <c r="BA107" s="256" t="inlineStr">
        <is>
          <t>25.08.2026</t>
        </is>
      </c>
      <c r="BB107" s="256" t="inlineStr">
        <is>
          <t>Farmahem</t>
        </is>
      </c>
      <c r="BC107" s="256" t="inlineStr">
        <is>
          <t>Conforms | Одговара</t>
        </is>
      </c>
      <c r="BD107" s="256" t="inlineStr">
        <is>
          <t>iCoA-PP_26-123</t>
        </is>
      </c>
      <c r="BE107" s="256" t="inlineStr">
        <is>
          <t>17.08.2026</t>
        </is>
      </c>
      <c r="BF107" s="256" t="inlineStr">
        <is>
          <t>Purely Plant GmbH (in-house)</t>
        </is>
      </c>
      <c r="BG107" s="256" t="inlineStr">
        <is>
          <t>7,1 %</t>
        </is>
      </c>
      <c r="BH107" s="256" t="inlineStr">
        <is>
          <t>031-5-ГС/26</t>
        </is>
      </c>
      <c r="BI107" s="256" t="inlineStr">
        <is>
          <t>12.02.2026</t>
        </is>
      </c>
      <c r="BJ107" s="256" t="inlineStr">
        <is>
          <t>FHM</t>
        </is>
      </c>
      <c r="BK107" s="256" t="inlineStr">
        <is>
          <t>1 × 10³</t>
        </is>
      </c>
      <c r="BL107" s="256" t="inlineStr">
        <is>
          <t>77/0120/26</t>
        </is>
      </c>
      <c r="BM107" s="256" t="inlineStr">
        <is>
          <t>09.02.2026</t>
        </is>
      </c>
      <c r="BN107" s="256" t="inlineStr">
        <is>
          <t>IPH — Institute of Public Health</t>
        </is>
      </c>
      <c r="BO107" s="256" t="inlineStr">
        <is>
          <t>1.6 × 10³</t>
        </is>
      </c>
      <c r="BP107" s="256" t="inlineStr">
        <is>
          <t>77/0120/26</t>
        </is>
      </c>
      <c r="BQ107" s="256" t="inlineStr">
        <is>
          <t>09.02.2026</t>
        </is>
      </c>
      <c r="BR107" s="256" t="inlineStr">
        <is>
          <t>IPH — Institute of Public Health</t>
        </is>
      </c>
      <c r="BS107" s="256" t="inlineStr">
        <is>
          <t>&lt; 10</t>
        </is>
      </c>
      <c r="BT107" s="256" t="inlineStr">
        <is>
          <t>77/0120/26</t>
        </is>
      </c>
      <c r="BU107" s="256" t="inlineStr">
        <is>
          <t>09.02.2026</t>
        </is>
      </c>
      <c r="BV107" s="256" t="inlineStr">
        <is>
          <t>IPH — Institute of Public Health</t>
        </is>
      </c>
      <c r="BW107" s="256" t="inlineStr">
        <is>
          <t>Absent | Отсутна</t>
        </is>
      </c>
      <c r="BX107" s="256" t="inlineStr">
        <is>
          <t>77/0120/26</t>
        </is>
      </c>
      <c r="BY107" s="256" t="inlineStr">
        <is>
          <t>09.02.2026</t>
        </is>
      </c>
      <c r="BZ107" s="256" t="inlineStr">
        <is>
          <t>IPH — Institute of Public Health</t>
        </is>
      </c>
      <c r="CA107" s="256" t="inlineStr">
        <is>
          <t>Absent | Отсутна</t>
        </is>
      </c>
      <c r="CB107" s="256" t="inlineStr">
        <is>
          <t>77/0120/26</t>
        </is>
      </c>
      <c r="CC107" s="256" t="inlineStr">
        <is>
          <t>09.02.2026</t>
        </is>
      </c>
      <c r="CD107" s="256" t="inlineStr">
        <is>
          <t>IPH — Institute of Public Health</t>
        </is>
      </c>
      <c r="CE107" s="260" t="inlineStr">
        <is>
          <t>upon request — not required for release</t>
        </is>
      </c>
      <c r="CF107" s="256" t="inlineStr">
        <is>
          <t>—</t>
        </is>
      </c>
      <c r="CG107" s="256" t="inlineStr">
        <is>
          <t>—</t>
        </is>
      </c>
      <c r="CH107" s="256" t="inlineStr">
        <is>
          <t>—</t>
        </is>
      </c>
      <c r="CI107" s="260" t="inlineStr">
        <is>
          <t>upon request — not required for release</t>
        </is>
      </c>
      <c r="CJ107" s="256" t="inlineStr">
        <is>
          <t>—</t>
        </is>
      </c>
      <c r="CK107" s="256" t="inlineStr">
        <is>
          <t>—</t>
        </is>
      </c>
      <c r="CL107" s="256" t="inlineStr">
        <is>
          <t>—</t>
        </is>
      </c>
      <c r="CM107" s="256" t="inlineStr">
        <is>
          <t>ND</t>
        </is>
      </c>
      <c r="CN107" s="256" t="inlineStr">
        <is>
          <t>220-1-М/26</t>
        </is>
      </c>
      <c r="CO107" s="256" t="inlineStr">
        <is>
          <t>11.09.2026</t>
        </is>
      </c>
      <c r="CP107" s="256" t="inlineStr">
        <is>
          <t>Farmahem</t>
        </is>
      </c>
      <c r="CQ107" s="256" t="inlineStr">
        <is>
          <t>ND</t>
        </is>
      </c>
      <c r="CR107" s="256" t="inlineStr">
        <is>
          <t>220-1-М/26</t>
        </is>
      </c>
      <c r="CS107" s="256" t="inlineStr">
        <is>
          <t>11.09.2026</t>
        </is>
      </c>
      <c r="CT107" s="256" t="inlineStr">
        <is>
          <t>Farmahem</t>
        </is>
      </c>
      <c r="CU107" s="256" t="inlineStr">
        <is>
          <t>ND</t>
        </is>
      </c>
      <c r="CV107" s="256" t="inlineStr">
        <is>
          <t>220-1-М/26</t>
        </is>
      </c>
      <c r="CW107" s="256" t="inlineStr">
        <is>
          <t>11.09.2026</t>
        </is>
      </c>
      <c r="CX107" s="256" t="inlineStr">
        <is>
          <t>Farmahem</t>
        </is>
      </c>
      <c r="CY107" s="256" t="inlineStr">
        <is>
          <t>0.078</t>
        </is>
      </c>
      <c r="CZ107" s="256" t="inlineStr">
        <is>
          <t>326/2026</t>
        </is>
      </c>
      <c r="DA107" s="256" t="inlineStr">
        <is>
          <t>11.02.2026</t>
        </is>
      </c>
      <c r="DB107" s="256" t="inlineStr">
        <is>
          <t>IPH — Institute of Public Health</t>
        </is>
      </c>
      <c r="DC107" s="256" t="inlineStr">
        <is>
          <t>ND</t>
        </is>
      </c>
      <c r="DD107" s="256" t="inlineStr">
        <is>
          <t>326/2026</t>
        </is>
      </c>
      <c r="DE107" s="256" t="inlineStr">
        <is>
          <t>11.02.2026</t>
        </is>
      </c>
      <c r="DF107" s="256" t="inlineStr">
        <is>
          <t>IPH — Institute of Public Health</t>
        </is>
      </c>
      <c r="DG107" s="256" t="inlineStr">
        <is>
          <t>0.022</t>
        </is>
      </c>
      <c r="DH107" s="256" t="inlineStr">
        <is>
          <t>326/2026</t>
        </is>
      </c>
      <c r="DI107" s="256" t="inlineStr">
        <is>
          <t>11.02.2026</t>
        </is>
      </c>
      <c r="DJ107" s="256" t="inlineStr">
        <is>
          <t>IPH — Institute of Public Health</t>
        </is>
      </c>
      <c r="DK107" s="256" t="inlineStr">
        <is>
          <t>ND</t>
        </is>
      </c>
      <c r="DL107" s="256" t="inlineStr">
        <is>
          <t>326/2026</t>
        </is>
      </c>
      <c r="DM107" s="256" t="inlineStr">
        <is>
          <t>11.02.2026</t>
        </is>
      </c>
      <c r="DN107" s="256" t="inlineStr">
        <is>
          <t>IPH — Institute of Public Health</t>
        </is>
      </c>
      <c r="DO107" s="256" t="inlineStr">
        <is>
          <t>ND mg/kg — all 25 residues</t>
        </is>
      </c>
      <c r="DP107" s="256" t="inlineStr">
        <is>
          <t>326/2026</t>
        </is>
      </c>
      <c r="DQ107" s="256" t="inlineStr">
        <is>
          <t>11.02.2026</t>
        </is>
      </c>
      <c r="DR107" s="256" t="inlineStr">
        <is>
          <t>IJZ</t>
        </is>
      </c>
    </row>
    <row r="108">
      <c r="A108" s="256" t="inlineStr">
        <is>
          <t>CoQ-PP_26-107</t>
        </is>
      </c>
      <c r="B108" s="256" t="inlineStr">
        <is>
          <t>reissue — retest</t>
        </is>
      </c>
      <c r="C108" s="256" t="inlineStr">
        <is>
          <t>issuable</t>
        </is>
      </c>
      <c r="D108" s="256" t="inlineStr">
        <is>
          <t>18.09.2026</t>
        </is>
      </c>
      <c r="E108" s="256" t="inlineStr">
        <is>
          <t>CoQ-PP_26-025 of 06.06.2026</t>
        </is>
      </c>
      <c r="F108" s="256" t="inlineStr">
        <is>
          <t>(assigned on issue)</t>
        </is>
      </c>
      <c r="G108" s="256" t="inlineStr">
        <is>
          <t>BSS052501</t>
        </is>
      </c>
      <c r="H108" s="256" t="inlineStr">
        <is>
          <t>P050192</t>
        </is>
      </c>
      <c r="I108" s="256" t="inlineStr">
        <is>
          <t>Blue Sunset Sherbet</t>
        </is>
      </c>
      <c r="J108" s="256" t="inlineStr">
        <is>
          <t>01.09.2025 – 03.09.2025</t>
        </is>
      </c>
      <c r="K108" s="256" t="inlineStr">
        <is>
          <t>10.10.2025 – 21.10.2025</t>
        </is>
      </c>
      <c r="L108" s="256" t="inlineStr">
        <is>
          <t>01.09.2025</t>
        </is>
      </c>
      <c r="M108" s="256" t="inlineStr">
        <is>
          <t>10.10.2025</t>
        </is>
      </c>
      <c r="N108" s="256" t="inlineStr">
        <is>
          <t>iCoA-PP_26-124</t>
        </is>
      </c>
      <c r="O108" s="256" t="inlineStr">
        <is>
          <t>17.08.2026</t>
        </is>
      </c>
      <c r="P108" s="256" t="inlineStr">
        <is>
          <t>12.08.2026</t>
        </is>
      </c>
      <c r="Q108" s="256" t="inlineStr">
        <is>
          <t>Tranche 2</t>
        </is>
      </c>
      <c r="R108" s="256" t="inlineStr">
        <is>
          <t>20.52</t>
        </is>
      </c>
      <c r="S108" s="256" t="inlineStr">
        <is>
          <t>220-2-К/26</t>
        </is>
      </c>
      <c r="T108" s="256" t="inlineStr">
        <is>
          <t>III</t>
        </is>
      </c>
      <c r="U108" s="256" t="inlineStr">
        <is>
          <t>18.11 – 21.88 %</t>
        </is>
      </c>
      <c r="V108" s="256" t="inlineStr">
        <is>
          <t>BSS_THC20 : CBD1</t>
        </is>
      </c>
      <c r="W108" s="256" t="inlineStr">
        <is>
          <t>QCSP_001_BSS-III_v.01</t>
        </is>
      </c>
      <c r="X108" s="256" t="inlineStr">
        <is>
          <t>for review — new</t>
        </is>
      </c>
      <c r="Y108" s="256" t="inlineStr">
        <is>
          <t>INDICA</t>
        </is>
      </c>
      <c r="Z108" s="256" t="inlineStr">
        <is>
          <t>THC</t>
        </is>
      </c>
      <c r="AA108" s="256" t="inlineStr">
        <is>
          <t>MACHINE TRIMMED</t>
        </is>
      </c>
      <c r="AB108" s="256" t="inlineStr">
        <is>
          <t>—</t>
        </is>
      </c>
      <c r="AC108" s="256" t="inlineStr">
        <is>
          <t>Triplex Alu Bag | Триплекс Aлу Kеса, PET 12 · ALU 7 · PE 80, 300 × 500 mm, net. 400.0 g ±3%</t>
        </is>
      </c>
      <c r="AD108" s="256" t="inlineStr">
        <is>
          <t>11.09.2026</t>
        </is>
      </c>
      <c r="AE108" s="256" t="inlineStr">
        <is>
          <t>Conforms | Одговара</t>
        </is>
      </c>
      <c r="AF108" s="256" t="inlineStr">
        <is>
          <t>iCoA-PP_26-124</t>
        </is>
      </c>
      <c r="AG108" s="256" t="inlineStr">
        <is>
          <t>17.08.2026</t>
        </is>
      </c>
      <c r="AH108" s="256" t="inlineStr">
        <is>
          <t>Purely Plant GmbH (in-house)</t>
        </is>
      </c>
      <c r="AI108" s="256" t="inlineStr">
        <is>
          <t>Conforms | Одговара</t>
        </is>
      </c>
      <c r="AJ108" s="256" t="inlineStr">
        <is>
          <t>iCoA-PP_26-124</t>
        </is>
      </c>
      <c r="AK108" s="256" t="inlineStr">
        <is>
          <t>17.08.2026</t>
        </is>
      </c>
      <c r="AL108" s="256" t="inlineStr">
        <is>
          <t>Purely Plant GmbH (in-house)</t>
        </is>
      </c>
      <c r="AM108" s="256" t="inlineStr">
        <is>
          <t>Conforms | Одговара</t>
        </is>
      </c>
      <c r="AN108" s="256" t="inlineStr">
        <is>
          <t>220-2-К/26</t>
        </is>
      </c>
      <c r="AO108" s="256" t="inlineStr">
        <is>
          <t>25.08.2026</t>
        </is>
      </c>
      <c r="AP108" s="256" t="inlineStr">
        <is>
          <t>Farmahem</t>
        </is>
      </c>
      <c r="AQ108" s="256" t="inlineStr">
        <is>
          <t>20.52</t>
        </is>
      </c>
      <c r="AR108" s="256" t="inlineStr">
        <is>
          <t>220-2-К/26</t>
        </is>
      </c>
      <c r="AS108" s="256" t="inlineStr">
        <is>
          <t>25.08.2026</t>
        </is>
      </c>
      <c r="AT108" s="256" t="inlineStr">
        <is>
          <t>Farmahem</t>
        </is>
      </c>
      <c r="AU108" s="256" t="inlineStr">
        <is>
          <t>&lt; LOQ</t>
        </is>
      </c>
      <c r="AV108" s="256" t="inlineStr">
        <is>
          <t>220-2-К/26</t>
        </is>
      </c>
      <c r="AW108" s="256" t="inlineStr">
        <is>
          <t>25.08.2026</t>
        </is>
      </c>
      <c r="AX108" s="256" t="inlineStr">
        <is>
          <t>Farmahem</t>
        </is>
      </c>
      <c r="AY108" s="256" t="inlineStr">
        <is>
          <t>&lt; LOQ</t>
        </is>
      </c>
      <c r="AZ108" s="256" t="inlineStr">
        <is>
          <t>220-2-К/26</t>
        </is>
      </c>
      <c r="BA108" s="256" t="inlineStr">
        <is>
          <t>25.08.2026</t>
        </is>
      </c>
      <c r="BB108" s="256" t="inlineStr">
        <is>
          <t>Farmahem</t>
        </is>
      </c>
      <c r="BC108" s="256" t="inlineStr">
        <is>
          <t>Conforms | Одговара</t>
        </is>
      </c>
      <c r="BD108" s="256" t="inlineStr">
        <is>
          <t>iCoA-PP_26-124</t>
        </is>
      </c>
      <c r="BE108" s="256" t="inlineStr">
        <is>
          <t>17.08.2026</t>
        </is>
      </c>
      <c r="BF108" s="256" t="inlineStr">
        <is>
          <t>Purely Plant GmbH (in-house)</t>
        </is>
      </c>
      <c r="BG108" s="256" t="inlineStr">
        <is>
          <t>8.60</t>
        </is>
      </c>
      <c r="BH108" s="256" t="inlineStr">
        <is>
          <t>iCoA-PP_26-024</t>
        </is>
      </c>
      <c r="BI108" s="256" t="inlineStr">
        <is>
          <t>03.06.2026</t>
        </is>
      </c>
      <c r="BJ108" s="256" t="inlineStr">
        <is>
          <t>Purely Plant GmbH (in-house)</t>
        </is>
      </c>
      <c r="BK108" s="256" t="inlineStr">
        <is>
          <t>200</t>
        </is>
      </c>
      <c r="BL108" s="256" t="inlineStr">
        <is>
          <t>1157/2058/25</t>
        </is>
      </c>
      <c r="BM108" s="256" t="inlineStr">
        <is>
          <t>24.11.2025</t>
        </is>
      </c>
      <c r="BN108" s="256" t="inlineStr">
        <is>
          <t>IPH — Institute of Public Health</t>
        </is>
      </c>
      <c r="BO108" s="256" t="inlineStr">
        <is>
          <t>200</t>
        </is>
      </c>
      <c r="BP108" s="256" t="inlineStr">
        <is>
          <t>1157/2058/25</t>
        </is>
      </c>
      <c r="BQ108" s="256" t="inlineStr">
        <is>
          <t>24.11.2025</t>
        </is>
      </c>
      <c r="BR108" s="256" t="inlineStr">
        <is>
          <t>IPH — Institute of Public Health</t>
        </is>
      </c>
      <c r="BS108" s="256" t="inlineStr">
        <is>
          <t>&lt; 10² and &gt; 10</t>
        </is>
      </c>
      <c r="BT108" s="256" t="inlineStr">
        <is>
          <t>1157/2058/25</t>
        </is>
      </c>
      <c r="BU108" s="256" t="inlineStr">
        <is>
          <t>24.11.2025</t>
        </is>
      </c>
      <c r="BV108" s="256" t="inlineStr">
        <is>
          <t>IPH — Institute of Public Health</t>
        </is>
      </c>
      <c r="BW108" s="256" t="inlineStr">
        <is>
          <t>Absent | Отсутна</t>
        </is>
      </c>
      <c r="BX108" s="256" t="inlineStr">
        <is>
          <t>1157/2058/25</t>
        </is>
      </c>
      <c r="BY108" s="256" t="inlineStr">
        <is>
          <t>24.11.2025</t>
        </is>
      </c>
      <c r="BZ108" s="256" t="inlineStr">
        <is>
          <t>IPH — Institute of Public Health</t>
        </is>
      </c>
      <c r="CA108" s="256" t="inlineStr">
        <is>
          <t>Absent | Отсутна</t>
        </is>
      </c>
      <c r="CB108" s="256" t="inlineStr">
        <is>
          <t>1157/2058/25</t>
        </is>
      </c>
      <c r="CC108" s="256" t="inlineStr">
        <is>
          <t>24.11.2025</t>
        </is>
      </c>
      <c r="CD108" s="256" t="inlineStr">
        <is>
          <t>IPH — Institute of Public Health</t>
        </is>
      </c>
      <c r="CE108" s="260" t="inlineStr">
        <is>
          <t>upon request — not required for release</t>
        </is>
      </c>
      <c r="CF108" s="256" t="inlineStr">
        <is>
          <t>—</t>
        </is>
      </c>
      <c r="CG108" s="256" t="inlineStr">
        <is>
          <t>—</t>
        </is>
      </c>
      <c r="CH108" s="256" t="inlineStr">
        <is>
          <t>—</t>
        </is>
      </c>
      <c r="CI108" s="260" t="inlineStr">
        <is>
          <t>upon request — not required for release</t>
        </is>
      </c>
      <c r="CJ108" s="256" t="inlineStr">
        <is>
          <t>—</t>
        </is>
      </c>
      <c r="CK108" s="256" t="inlineStr">
        <is>
          <t>—</t>
        </is>
      </c>
      <c r="CL108" s="256" t="inlineStr">
        <is>
          <t>—</t>
        </is>
      </c>
      <c r="CM108" s="256" t="inlineStr">
        <is>
          <t>ND</t>
        </is>
      </c>
      <c r="CN108" s="256" t="inlineStr">
        <is>
          <t>220-2-М/26</t>
        </is>
      </c>
      <c r="CO108" s="256" t="inlineStr">
        <is>
          <t>11.09.2026</t>
        </is>
      </c>
      <c r="CP108" s="256" t="inlineStr">
        <is>
          <t>Farmahem</t>
        </is>
      </c>
      <c r="CQ108" s="256" t="inlineStr">
        <is>
          <t>ND</t>
        </is>
      </c>
      <c r="CR108" s="256" t="inlineStr">
        <is>
          <t>220-2-М/26</t>
        </is>
      </c>
      <c r="CS108" s="256" t="inlineStr">
        <is>
          <t>11.09.2026</t>
        </is>
      </c>
      <c r="CT108" s="256" t="inlineStr">
        <is>
          <t>Farmahem</t>
        </is>
      </c>
      <c r="CU108" s="256" t="inlineStr">
        <is>
          <t>ND</t>
        </is>
      </c>
      <c r="CV108" s="256" t="inlineStr">
        <is>
          <t>220-2-М/26</t>
        </is>
      </c>
      <c r="CW108" s="256" t="inlineStr">
        <is>
          <t>11.09.2026</t>
        </is>
      </c>
      <c r="CX108" s="256" t="inlineStr">
        <is>
          <t>Farmahem</t>
        </is>
      </c>
      <c r="CY108" s="256" t="inlineStr">
        <is>
          <t>0.024</t>
        </is>
      </c>
      <c r="CZ108" s="256" t="inlineStr">
        <is>
          <t>5661/2025</t>
        </is>
      </c>
      <c r="DA108" s="256" t="inlineStr">
        <is>
          <t>01.12.2025</t>
        </is>
      </c>
      <c r="DB108" s="256" t="inlineStr">
        <is>
          <t>IPH — Institute of Public Health</t>
        </is>
      </c>
      <c r="DC108" s="256" t="inlineStr">
        <is>
          <t>0.004</t>
        </is>
      </c>
      <c r="DD108" s="256" t="inlineStr">
        <is>
          <t>5661/2025</t>
        </is>
      </c>
      <c r="DE108" s="256" t="inlineStr">
        <is>
          <t>01.12.2025</t>
        </is>
      </c>
      <c r="DF108" s="256" t="inlineStr">
        <is>
          <t>IPH — Institute of Public Health</t>
        </is>
      </c>
      <c r="DG108" s="256" t="inlineStr">
        <is>
          <t>0.025</t>
        </is>
      </c>
      <c r="DH108" s="256" t="inlineStr">
        <is>
          <t>5661/2025</t>
        </is>
      </c>
      <c r="DI108" s="256" t="inlineStr">
        <is>
          <t>01.12.2025</t>
        </is>
      </c>
      <c r="DJ108" s="256" t="inlineStr">
        <is>
          <t>IPH — Institute of Public Health</t>
        </is>
      </c>
      <c r="DK108" s="256" t="inlineStr">
        <is>
          <t>0.0036</t>
        </is>
      </c>
      <c r="DL108" s="256" t="inlineStr">
        <is>
          <t>5661/2025</t>
        </is>
      </c>
      <c r="DM108" s="256" t="inlineStr">
        <is>
          <t>01.12.2025</t>
        </is>
      </c>
      <c r="DN108" s="256" t="inlineStr">
        <is>
          <t>IPH — Institute of Public Health</t>
        </is>
      </c>
      <c r="DO108" s="256" t="inlineStr">
        <is>
          <t>Not found any pesticide above LOQ (≤LOQ) — COMPLIES with Ph. Eur.</t>
        </is>
      </c>
      <c r="DP108" s="256" t="inlineStr">
        <is>
          <t>10802_2845/2</t>
        </is>
      </c>
      <c r="DQ108" s="256" t="inlineStr">
        <is>
          <t>17.11.2025</t>
        </is>
      </c>
      <c r="DR108" s="256" t="inlineStr">
        <is>
          <t>State Phytosanitary Laboratory</t>
        </is>
      </c>
    </row>
    <row r="109">
      <c r="A109" s="256" t="inlineStr">
        <is>
          <t>CoQ-PP_26-108</t>
        </is>
      </c>
      <c r="B109" s="256" t="inlineStr">
        <is>
          <t>reissue — retest</t>
        </is>
      </c>
      <c r="C109" s="256" t="inlineStr">
        <is>
          <t>issuable</t>
        </is>
      </c>
      <c r="D109" s="256" t="inlineStr">
        <is>
          <t>18.09.2026</t>
        </is>
      </c>
      <c r="E109" s="256" t="inlineStr">
        <is>
          <t>CoQ-PP_26-072 of 06.06.2026</t>
        </is>
      </c>
      <c r="F109" s="256" t="inlineStr">
        <is>
          <t>(assigned on issue)</t>
        </is>
      </c>
      <c r="G109" s="256" t="inlineStr">
        <is>
          <t>CC012603</t>
        </is>
      </c>
      <c r="H109" s="256" t="inlineStr">
        <is>
          <t>P060372</t>
        </is>
      </c>
      <c r="I109" s="256" t="inlineStr">
        <is>
          <t>Cash Cow</t>
        </is>
      </c>
      <c r="J109" s="256" t="inlineStr">
        <is>
          <t>22.04.2026</t>
        </is>
      </c>
      <c r="K109" s="256" t="inlineStr">
        <is>
          <t>24.05.2026</t>
        </is>
      </c>
      <c r="L109" s="256" t="inlineStr">
        <is>
          <t>22.04.2026</t>
        </is>
      </c>
      <c r="M109" s="256" t="inlineStr">
        <is>
          <t>24.05.2026</t>
        </is>
      </c>
      <c r="N109" s="256" t="inlineStr">
        <is>
          <t>iCoA-PP_26-145</t>
        </is>
      </c>
      <c r="O109" s="256" t="inlineStr">
        <is>
          <t>17.08.2026</t>
        </is>
      </c>
      <c r="P109" s="256" t="inlineStr">
        <is>
          <t>14.08.2026</t>
        </is>
      </c>
      <c r="Q109" s="256" t="inlineStr">
        <is>
          <t>Tranche 2</t>
        </is>
      </c>
      <c r="R109" s="256" t="inlineStr">
        <is>
          <t>14.76</t>
        </is>
      </c>
      <c r="S109" s="256" t="inlineStr">
        <is>
          <t>220-29-К/26</t>
        </is>
      </c>
      <c r="T109" s="256" t="inlineStr">
        <is>
          <t>II</t>
        </is>
      </c>
      <c r="U109" s="256" t="inlineStr">
        <is>
          <t>12.65 – 15.34 %</t>
        </is>
      </c>
      <c r="V109" s="256" t="inlineStr">
        <is>
          <t>CC_THC14 : CBD1</t>
        </is>
      </c>
      <c r="W109" s="256" t="inlineStr">
        <is>
          <t>QCSP_001_CC-II_v.01</t>
        </is>
      </c>
      <c r="X109" s="256" t="inlineStr">
        <is>
          <t>for review — replaces the issued QCSP_001_CC-II_v.01 (was CC_THC14 : CBD1, 12.60 – 15.40 %); now CC_THC14 : CBD1 12.65 – 15.34 %</t>
        </is>
      </c>
      <c r="Y109" s="256" t="inlineStr">
        <is>
          <t>HYBRID</t>
        </is>
      </c>
      <c r="Z109" s="256" t="inlineStr">
        <is>
          <t>THC</t>
        </is>
      </c>
      <c r="AA109" s="256" t="inlineStr">
        <is>
          <t>MACHINE TRIMMED</t>
        </is>
      </c>
      <c r="AB109" s="256" t="inlineStr">
        <is>
          <t>INDICA 70 : SATIVA 30</t>
        </is>
      </c>
      <c r="AC109" s="256" t="inlineStr">
        <is>
          <t>Triplex Alu Bag | Триплекс Aлу Kеса, PET 12 · ALU 7 · PE 80, 300 × 500 mm, net. 400.0 g ±3%</t>
        </is>
      </c>
      <c r="AD109" s="256" t="inlineStr">
        <is>
          <t>11.09.2026</t>
        </is>
      </c>
      <c r="AE109" s="256" t="inlineStr">
        <is>
          <t>Conforms | Одговара</t>
        </is>
      </c>
      <c r="AF109" s="256" t="inlineStr">
        <is>
          <t>iCoA-PP_26-145</t>
        </is>
      </c>
      <c r="AG109" s="256" t="inlineStr">
        <is>
          <t>17.08.2026</t>
        </is>
      </c>
      <c r="AH109" s="256" t="inlineStr">
        <is>
          <t>Purely Plant GmbH (in-house)</t>
        </is>
      </c>
      <c r="AI109" s="256" t="inlineStr">
        <is>
          <t>Conforms | Одговара</t>
        </is>
      </c>
      <c r="AJ109" s="256" t="inlineStr">
        <is>
          <t>iCoA-PP_26-145</t>
        </is>
      </c>
      <c r="AK109" s="256" t="inlineStr">
        <is>
          <t>17.08.2026</t>
        </is>
      </c>
      <c r="AL109" s="256" t="inlineStr">
        <is>
          <t>Purely Plant GmbH (in-house)</t>
        </is>
      </c>
      <c r="AM109" s="256" t="inlineStr">
        <is>
          <t>Conforms | Одговара</t>
        </is>
      </c>
      <c r="AN109" s="256" t="inlineStr">
        <is>
          <t>220-29-К/26</t>
        </is>
      </c>
      <c r="AO109" s="256" t="inlineStr">
        <is>
          <t>26.08.2026</t>
        </is>
      </c>
      <c r="AP109" s="256" t="inlineStr">
        <is>
          <t>Farmahem</t>
        </is>
      </c>
      <c r="AQ109" s="256" t="inlineStr">
        <is>
          <t>14.76</t>
        </is>
      </c>
      <c r="AR109" s="256" t="inlineStr">
        <is>
          <t>220-29-К/26</t>
        </is>
      </c>
      <c r="AS109" s="256" t="inlineStr">
        <is>
          <t>26.08.2026</t>
        </is>
      </c>
      <c r="AT109" s="256" t="inlineStr">
        <is>
          <t>Farmahem</t>
        </is>
      </c>
      <c r="AU109" s="256" t="inlineStr">
        <is>
          <t>&lt; LOQ</t>
        </is>
      </c>
      <c r="AV109" s="256" t="inlineStr">
        <is>
          <t>220-29-К/26</t>
        </is>
      </c>
      <c r="AW109" s="256" t="inlineStr">
        <is>
          <t>26.08.2026</t>
        </is>
      </c>
      <c r="AX109" s="256" t="inlineStr">
        <is>
          <t>Farmahem</t>
        </is>
      </c>
      <c r="AY109" s="256" t="inlineStr">
        <is>
          <t>&lt; LOQ</t>
        </is>
      </c>
      <c r="AZ109" s="256" t="inlineStr">
        <is>
          <t>220-29-К/26</t>
        </is>
      </c>
      <c r="BA109" s="256" t="inlineStr">
        <is>
          <t>26.08.2026</t>
        </is>
      </c>
      <c r="BB109" s="256" t="inlineStr">
        <is>
          <t>Farmahem</t>
        </is>
      </c>
      <c r="BC109" s="256" t="inlineStr">
        <is>
          <t>Conforms | Одговара</t>
        </is>
      </c>
      <c r="BD109" s="256" t="inlineStr">
        <is>
          <t>iCoA-PP_26-145</t>
        </is>
      </c>
      <c r="BE109" s="256" t="inlineStr">
        <is>
          <t>17.08.2026</t>
        </is>
      </c>
      <c r="BF109" s="256" t="inlineStr">
        <is>
          <t>Purely Plant GmbH (in-house)</t>
        </is>
      </c>
      <c r="BG109" s="256" t="inlineStr">
        <is>
          <t>carried from the initial testing — not tested</t>
        </is>
      </c>
      <c r="BH109" s="256" t="inlineStr">
        <is>
          <t>—</t>
        </is>
      </c>
      <c r="BI109" s="256" t="inlineStr">
        <is>
          <t>—</t>
        </is>
      </c>
      <c r="BJ109" s="256" t="inlineStr">
        <is>
          <t>—</t>
        </is>
      </c>
      <c r="BK109" s="256" t="inlineStr">
        <is>
          <t>2.7 × 10³</t>
        </is>
      </c>
      <c r="BL109" s="256" t="inlineStr">
        <is>
          <t>363/0693/26</t>
        </is>
      </c>
      <c r="BM109" s="256" t="inlineStr">
        <is>
          <t>01.06.2026</t>
        </is>
      </c>
      <c r="BN109" s="256" t="inlineStr">
        <is>
          <t>IPH — Institute of Public Health</t>
        </is>
      </c>
      <c r="BO109" s="256" t="inlineStr">
        <is>
          <t>1.6 × 10¹</t>
        </is>
      </c>
      <c r="BP109" s="256" t="inlineStr">
        <is>
          <t>363/0693/26</t>
        </is>
      </c>
      <c r="BQ109" s="256" t="inlineStr">
        <is>
          <t>01.06.2026</t>
        </is>
      </c>
      <c r="BR109" s="256" t="inlineStr">
        <is>
          <t>IPH — Institute of Public Health</t>
        </is>
      </c>
      <c r="BS109" s="256" t="inlineStr">
        <is>
          <t>&lt; 10</t>
        </is>
      </c>
      <c r="BT109" s="256" t="inlineStr">
        <is>
          <t>363/0693/26</t>
        </is>
      </c>
      <c r="BU109" s="256" t="inlineStr">
        <is>
          <t>01.06.2026</t>
        </is>
      </c>
      <c r="BV109" s="256" t="inlineStr">
        <is>
          <t>IPH — Institute of Public Health</t>
        </is>
      </c>
      <c r="BW109" s="256" t="inlineStr">
        <is>
          <t>Absent | Отсутна</t>
        </is>
      </c>
      <c r="BX109" s="256" t="inlineStr">
        <is>
          <t>363/0693/26</t>
        </is>
      </c>
      <c r="BY109" s="256" t="inlineStr">
        <is>
          <t>01.06.2026</t>
        </is>
      </c>
      <c r="BZ109" s="256" t="inlineStr">
        <is>
          <t>IPH — Institute of Public Health</t>
        </is>
      </c>
      <c r="CA109" s="256" t="inlineStr">
        <is>
          <t>Absent | Отсутна</t>
        </is>
      </c>
      <c r="CB109" s="256" t="inlineStr">
        <is>
          <t>363/0693/26</t>
        </is>
      </c>
      <c r="CC109" s="256" t="inlineStr">
        <is>
          <t>01.06.2026</t>
        </is>
      </c>
      <c r="CD109" s="256" t="inlineStr">
        <is>
          <t>IPH — Institute of Public Health</t>
        </is>
      </c>
      <c r="CE109" s="260" t="inlineStr">
        <is>
          <t>upon request — not required for release</t>
        </is>
      </c>
      <c r="CF109" s="256" t="inlineStr">
        <is>
          <t>—</t>
        </is>
      </c>
      <c r="CG109" s="256" t="inlineStr">
        <is>
          <t>—</t>
        </is>
      </c>
      <c r="CH109" s="256" t="inlineStr">
        <is>
          <t>—</t>
        </is>
      </c>
      <c r="CI109" s="260" t="inlineStr">
        <is>
          <t>upon request — not required for release</t>
        </is>
      </c>
      <c r="CJ109" s="256" t="inlineStr">
        <is>
          <t>—</t>
        </is>
      </c>
      <c r="CK109" s="256" t="inlineStr">
        <is>
          <t>—</t>
        </is>
      </c>
      <c r="CL109" s="256" t="inlineStr">
        <is>
          <t>—</t>
        </is>
      </c>
      <c r="CM109" s="256" t="inlineStr">
        <is>
          <t>ND</t>
        </is>
      </c>
      <c r="CN109" s="256" t="inlineStr">
        <is>
          <t>220-29-М/26</t>
        </is>
      </c>
      <c r="CO109" s="256" t="inlineStr">
        <is>
          <t>11.09.2026</t>
        </is>
      </c>
      <c r="CP109" s="256" t="inlineStr">
        <is>
          <t>Farmahem</t>
        </is>
      </c>
      <c r="CQ109" s="256" t="inlineStr">
        <is>
          <t>ND</t>
        </is>
      </c>
      <c r="CR109" s="256" t="inlineStr">
        <is>
          <t>220-29-М/26</t>
        </is>
      </c>
      <c r="CS109" s="256" t="inlineStr">
        <is>
          <t>11.09.2026</t>
        </is>
      </c>
      <c r="CT109" s="256" t="inlineStr">
        <is>
          <t>Farmahem</t>
        </is>
      </c>
      <c r="CU109" s="256" t="inlineStr">
        <is>
          <t>ND</t>
        </is>
      </c>
      <c r="CV109" s="256" t="inlineStr">
        <is>
          <t>220-29-М/26</t>
        </is>
      </c>
      <c r="CW109" s="256" t="inlineStr">
        <is>
          <t>11.09.2026</t>
        </is>
      </c>
      <c r="CX109" s="256" t="inlineStr">
        <is>
          <t>Farmahem</t>
        </is>
      </c>
      <c r="CY109" s="256" t="inlineStr">
        <is>
          <t>carried from the initial testing — not tested</t>
        </is>
      </c>
      <c r="CZ109" s="256" t="inlineStr">
        <is>
          <t>—</t>
        </is>
      </c>
      <c r="DA109" s="256" t="inlineStr">
        <is>
          <t>—</t>
        </is>
      </c>
      <c r="DB109" s="256" t="inlineStr">
        <is>
          <t>—</t>
        </is>
      </c>
      <c r="DC109" s="256" t="inlineStr">
        <is>
          <t>carried from the initial testing — not tested</t>
        </is>
      </c>
      <c r="DD109" s="256" t="inlineStr">
        <is>
          <t>—</t>
        </is>
      </c>
      <c r="DE109" s="256" t="inlineStr">
        <is>
          <t>—</t>
        </is>
      </c>
      <c r="DF109" s="256" t="inlineStr">
        <is>
          <t>—</t>
        </is>
      </c>
      <c r="DG109" s="256" t="inlineStr">
        <is>
          <t>carried from the initial testing — not tested</t>
        </is>
      </c>
      <c r="DH109" s="256" t="inlineStr">
        <is>
          <t>—</t>
        </is>
      </c>
      <c r="DI109" s="256" t="inlineStr">
        <is>
          <t>—</t>
        </is>
      </c>
      <c r="DJ109" s="256" t="inlineStr">
        <is>
          <t>—</t>
        </is>
      </c>
      <c r="DK109" s="256" t="inlineStr">
        <is>
          <t>carried from the initial testing — not tested</t>
        </is>
      </c>
      <c r="DL109" s="256" t="inlineStr">
        <is>
          <t>—</t>
        </is>
      </c>
      <c r="DM109" s="256" t="inlineStr">
        <is>
          <t>—</t>
        </is>
      </c>
      <c r="DN109" s="256" t="inlineStr">
        <is>
          <t>—</t>
        </is>
      </c>
      <c r="DO109" s="256" t="inlineStr">
        <is>
          <t>carried from the initial testing — not tested</t>
        </is>
      </c>
      <c r="DP109" s="256" t="inlineStr">
        <is>
          <t>—</t>
        </is>
      </c>
      <c r="DQ109" s="256" t="inlineStr">
        <is>
          <t>—</t>
        </is>
      </c>
      <c r="DR109" s="256" t="inlineStr">
        <is>
          <t>—</t>
        </is>
      </c>
    </row>
    <row r="110">
      <c r="A110" s="256" t="inlineStr">
        <is>
          <t>CoQ-PP_26-109</t>
        </is>
      </c>
      <c r="B110" s="256" t="inlineStr">
        <is>
          <t>reissue — retest</t>
        </is>
      </c>
      <c r="C110" s="256" t="inlineStr">
        <is>
          <t>issuable</t>
        </is>
      </c>
      <c r="D110" s="256" t="inlineStr">
        <is>
          <t>18.09.2026</t>
        </is>
      </c>
      <c r="E110" s="256" t="inlineStr">
        <is>
          <t>CoQ-PP_26-049 of 06.06.2026</t>
        </is>
      </c>
      <c r="F110" s="256" t="inlineStr">
        <is>
          <t>(assigned on issue)</t>
        </is>
      </c>
      <c r="G110" s="256" t="inlineStr">
        <is>
          <t>CF102501</t>
        </is>
      </c>
      <c r="H110" s="256" t="inlineStr">
        <is>
          <t>P060132</t>
        </is>
      </c>
      <c r="I110" s="256" t="inlineStr">
        <is>
          <t>Chem Flyer</t>
        </is>
      </c>
      <c r="J110" s="256" t="inlineStr">
        <is>
          <t>09.01.2026</t>
        </is>
      </c>
      <c r="K110" s="256" t="inlineStr">
        <is>
          <t>19.02.2026 – 20.02.2026</t>
        </is>
      </c>
      <c r="L110" s="256" t="inlineStr">
        <is>
          <t>09.01.2026</t>
        </is>
      </c>
      <c r="M110" s="256" t="inlineStr">
        <is>
          <t>19.02.2026</t>
        </is>
      </c>
      <c r="N110" s="256" t="inlineStr">
        <is>
          <t>iCoA-PP_26-125</t>
        </is>
      </c>
      <c r="O110" s="256" t="inlineStr">
        <is>
          <t>17.08.2026</t>
        </is>
      </c>
      <c r="P110" s="256" t="inlineStr">
        <is>
          <t>12.08.2026</t>
        </is>
      </c>
      <c r="Q110" s="256" t="inlineStr">
        <is>
          <t>Tranche 2</t>
        </is>
      </c>
      <c r="R110" s="256" t="inlineStr">
        <is>
          <t>9.55</t>
        </is>
      </c>
      <c r="S110" s="256" t="inlineStr">
        <is>
          <t>220-6-К/26</t>
        </is>
      </c>
      <c r="T110" s="256" t="inlineStr">
        <is>
          <t>I</t>
        </is>
      </c>
      <c r="U110" s="256" t="inlineStr">
        <is>
          <t>9.00 – 10.99 %</t>
        </is>
      </c>
      <c r="V110" s="256" t="inlineStr">
        <is>
          <t>CF_THC10 : CBD1</t>
        </is>
      </c>
      <c r="W110" s="256" t="inlineStr">
        <is>
          <t>QCSP_001_CF-I_v.01</t>
        </is>
      </c>
      <c r="X110" s="256" t="inlineStr">
        <is>
          <t>for review — replaces the issued QCSP_001_CF-I_v.01 (was CF_THC10 : CBD1, 9.00 – 11.00 %); now CF_THC10 : CBD1 9.00 – 10.99 %</t>
        </is>
      </c>
      <c r="Y110" s="256" t="inlineStr">
        <is>
          <t>HYBRID</t>
        </is>
      </c>
      <c r="Z110" s="256" t="inlineStr">
        <is>
          <t>THC</t>
        </is>
      </c>
      <c r="AA110" s="256" t="inlineStr">
        <is>
          <t>MACHINE TRIMMED</t>
        </is>
      </c>
      <c r="AB110" s="256" t="inlineStr">
        <is>
          <t>TO BE DETERMINED</t>
        </is>
      </c>
      <c r="AC110" s="256" t="inlineStr">
        <is>
          <t>Triplex Alu Bag | Триплекс Aлу Kеса, PET 12 · ALU 7 · PE 80, 300 × 500 mm, net. 400.0 g ±3%</t>
        </is>
      </c>
      <c r="AD110" s="256" t="inlineStr">
        <is>
          <t>11.09.2026</t>
        </is>
      </c>
      <c r="AE110" s="256" t="inlineStr">
        <is>
          <t>Conforms | Одговара</t>
        </is>
      </c>
      <c r="AF110" s="256" t="inlineStr">
        <is>
          <t>iCoA-PP_26-125</t>
        </is>
      </c>
      <c r="AG110" s="256" t="inlineStr">
        <is>
          <t>17.08.2026</t>
        </is>
      </c>
      <c r="AH110" s="256" t="inlineStr">
        <is>
          <t>Purely Plant GmbH (in-house)</t>
        </is>
      </c>
      <c r="AI110" s="256" t="inlineStr">
        <is>
          <t>Conforms | Одговара</t>
        </is>
      </c>
      <c r="AJ110" s="256" t="inlineStr">
        <is>
          <t>iCoA-PP_26-125</t>
        </is>
      </c>
      <c r="AK110" s="256" t="inlineStr">
        <is>
          <t>17.08.2026</t>
        </is>
      </c>
      <c r="AL110" s="256" t="inlineStr">
        <is>
          <t>Purely Plant GmbH (in-house)</t>
        </is>
      </c>
      <c r="AM110" s="256" t="inlineStr">
        <is>
          <t>Conforms | Одговара</t>
        </is>
      </c>
      <c r="AN110" s="256" t="inlineStr">
        <is>
          <t>220-6-К/26</t>
        </is>
      </c>
      <c r="AO110" s="256" t="inlineStr">
        <is>
          <t>25.08.2026</t>
        </is>
      </c>
      <c r="AP110" s="256" t="inlineStr">
        <is>
          <t>Farmahem</t>
        </is>
      </c>
      <c r="AQ110" s="256" t="inlineStr">
        <is>
          <t>9.55</t>
        </is>
      </c>
      <c r="AR110" s="256" t="inlineStr">
        <is>
          <t>220-6-К/26</t>
        </is>
      </c>
      <c r="AS110" s="256" t="inlineStr">
        <is>
          <t>25.08.2026</t>
        </is>
      </c>
      <c r="AT110" s="256" t="inlineStr">
        <is>
          <t>Farmahem</t>
        </is>
      </c>
      <c r="AU110" s="256" t="inlineStr">
        <is>
          <t>&lt; LOQ</t>
        </is>
      </c>
      <c r="AV110" s="256" t="inlineStr">
        <is>
          <t>220-6-К/26</t>
        </is>
      </c>
      <c r="AW110" s="256" t="inlineStr">
        <is>
          <t>25.08.2026</t>
        </is>
      </c>
      <c r="AX110" s="256" t="inlineStr">
        <is>
          <t>Farmahem</t>
        </is>
      </c>
      <c r="AY110" s="256" t="inlineStr">
        <is>
          <t>&lt; LOQ</t>
        </is>
      </c>
      <c r="AZ110" s="256" t="inlineStr">
        <is>
          <t>220-6-К/26</t>
        </is>
      </c>
      <c r="BA110" s="256" t="inlineStr">
        <is>
          <t>25.08.2026</t>
        </is>
      </c>
      <c r="BB110" s="256" t="inlineStr">
        <is>
          <t>Farmahem</t>
        </is>
      </c>
      <c r="BC110" s="256" t="inlineStr">
        <is>
          <t>Conforms | Одговара</t>
        </is>
      </c>
      <c r="BD110" s="256" t="inlineStr">
        <is>
          <t>iCoA-PP_26-125</t>
        </is>
      </c>
      <c r="BE110" s="256" t="inlineStr">
        <is>
          <t>17.08.2026</t>
        </is>
      </c>
      <c r="BF110" s="256" t="inlineStr">
        <is>
          <t>Purely Plant GmbH (in-house)</t>
        </is>
      </c>
      <c r="BG110" s="256" t="inlineStr">
        <is>
          <t>5,6 %</t>
        </is>
      </c>
      <c r="BH110" s="256" t="inlineStr">
        <is>
          <t>031-4-ГС/26</t>
        </is>
      </c>
      <c r="BI110" s="256" t="inlineStr">
        <is>
          <t>12.02.2026</t>
        </is>
      </c>
      <c r="BJ110" s="256" t="inlineStr">
        <is>
          <t>FHM</t>
        </is>
      </c>
      <c r="BK110" s="256" t="inlineStr">
        <is>
          <t>3.1 × 10⁴</t>
        </is>
      </c>
      <c r="BL110" s="256" t="inlineStr">
        <is>
          <t>73/0116/26</t>
        </is>
      </c>
      <c r="BM110" s="256" t="inlineStr">
        <is>
          <t>09.02.2026</t>
        </is>
      </c>
      <c r="BN110" s="256" t="inlineStr">
        <is>
          <t>IPH — Institute of Public Health</t>
        </is>
      </c>
      <c r="BO110" s="256" t="inlineStr">
        <is>
          <t>3.9 × 10⁴</t>
        </is>
      </c>
      <c r="BP110" s="256" t="inlineStr">
        <is>
          <t>73/0116/26</t>
        </is>
      </c>
      <c r="BQ110" s="256" t="inlineStr">
        <is>
          <t>09.02.2026</t>
        </is>
      </c>
      <c r="BR110" s="256" t="inlineStr">
        <is>
          <t>IPH — Institute of Public Health</t>
        </is>
      </c>
      <c r="BS110" s="256" t="inlineStr">
        <is>
          <t>&lt; 10³ and &gt; 10²</t>
        </is>
      </c>
      <c r="BT110" s="256" t="inlineStr">
        <is>
          <t>73/0116/26</t>
        </is>
      </c>
      <c r="BU110" s="256" t="inlineStr">
        <is>
          <t>09.02.2026</t>
        </is>
      </c>
      <c r="BV110" s="256" t="inlineStr">
        <is>
          <t>IPH — Institute of Public Health</t>
        </is>
      </c>
      <c r="BW110" s="256" t="inlineStr">
        <is>
          <t>Absent | Отсутна</t>
        </is>
      </c>
      <c r="BX110" s="256" t="inlineStr">
        <is>
          <t>73/0116/26</t>
        </is>
      </c>
      <c r="BY110" s="256" t="inlineStr">
        <is>
          <t>09.02.2026</t>
        </is>
      </c>
      <c r="BZ110" s="256" t="inlineStr">
        <is>
          <t>IPH — Institute of Public Health</t>
        </is>
      </c>
      <c r="CA110" s="256" t="inlineStr">
        <is>
          <t>Absent | Отсутна</t>
        </is>
      </c>
      <c r="CB110" s="256" t="inlineStr">
        <is>
          <t>73/0116/26</t>
        </is>
      </c>
      <c r="CC110" s="256" t="inlineStr">
        <is>
          <t>09.02.2026</t>
        </is>
      </c>
      <c r="CD110" s="256" t="inlineStr">
        <is>
          <t>IPH — Institute of Public Health</t>
        </is>
      </c>
      <c r="CE110" s="260" t="inlineStr">
        <is>
          <t>upon request — not required for release</t>
        </is>
      </c>
      <c r="CF110" s="256" t="inlineStr">
        <is>
          <t>—</t>
        </is>
      </c>
      <c r="CG110" s="256" t="inlineStr">
        <is>
          <t>—</t>
        </is>
      </c>
      <c r="CH110" s="256" t="inlineStr">
        <is>
          <t>—</t>
        </is>
      </c>
      <c r="CI110" s="260" t="inlineStr">
        <is>
          <t>upon request — not required for release</t>
        </is>
      </c>
      <c r="CJ110" s="256" t="inlineStr">
        <is>
          <t>—</t>
        </is>
      </c>
      <c r="CK110" s="256" t="inlineStr">
        <is>
          <t>—</t>
        </is>
      </c>
      <c r="CL110" s="256" t="inlineStr">
        <is>
          <t>—</t>
        </is>
      </c>
      <c r="CM110" s="256" t="inlineStr">
        <is>
          <t>ND</t>
        </is>
      </c>
      <c r="CN110" s="256" t="inlineStr">
        <is>
          <t>220-6-М/26</t>
        </is>
      </c>
      <c r="CO110" s="256" t="inlineStr">
        <is>
          <t>11.09.2026</t>
        </is>
      </c>
      <c r="CP110" s="256" t="inlineStr">
        <is>
          <t>Farmahem</t>
        </is>
      </c>
      <c r="CQ110" s="256" t="inlineStr">
        <is>
          <t>ND</t>
        </is>
      </c>
      <c r="CR110" s="256" t="inlineStr">
        <is>
          <t>220-6-М/26</t>
        </is>
      </c>
      <c r="CS110" s="256" t="inlineStr">
        <is>
          <t>11.09.2026</t>
        </is>
      </c>
      <c r="CT110" s="256" t="inlineStr">
        <is>
          <t>Farmahem</t>
        </is>
      </c>
      <c r="CU110" s="256" t="inlineStr">
        <is>
          <t>ND</t>
        </is>
      </c>
      <c r="CV110" s="256" t="inlineStr">
        <is>
          <t>220-6-М/26</t>
        </is>
      </c>
      <c r="CW110" s="256" t="inlineStr">
        <is>
          <t>11.09.2026</t>
        </is>
      </c>
      <c r="CX110" s="256" t="inlineStr">
        <is>
          <t>Farmahem</t>
        </is>
      </c>
      <c r="CY110" s="256" t="inlineStr">
        <is>
          <t>0.07</t>
        </is>
      </c>
      <c r="CZ110" s="256" t="inlineStr">
        <is>
          <t>330/2026</t>
        </is>
      </c>
      <c r="DA110" s="256" t="inlineStr">
        <is>
          <t>11.02.2026</t>
        </is>
      </c>
      <c r="DB110" s="256" t="inlineStr">
        <is>
          <t>IPH — Institute of Public Health</t>
        </is>
      </c>
      <c r="DC110" s="256" t="inlineStr">
        <is>
          <t>ND</t>
        </is>
      </c>
      <c r="DD110" s="256" t="inlineStr">
        <is>
          <t>330/2026</t>
        </is>
      </c>
      <c r="DE110" s="256" t="inlineStr">
        <is>
          <t>11.02.2026</t>
        </is>
      </c>
      <c r="DF110" s="256" t="inlineStr">
        <is>
          <t>IPH — Institute of Public Health</t>
        </is>
      </c>
      <c r="DG110" s="256" t="inlineStr">
        <is>
          <t>0.0942</t>
        </is>
      </c>
      <c r="DH110" s="256" t="inlineStr">
        <is>
          <t>330/2026</t>
        </is>
      </c>
      <c r="DI110" s="256" t="inlineStr">
        <is>
          <t>11.02.2026</t>
        </is>
      </c>
      <c r="DJ110" s="256" t="inlineStr">
        <is>
          <t>IPH — Institute of Public Health</t>
        </is>
      </c>
      <c r="DK110" s="256" t="inlineStr">
        <is>
          <t>ND</t>
        </is>
      </c>
      <c r="DL110" s="256" t="inlineStr">
        <is>
          <t>330/2026</t>
        </is>
      </c>
      <c r="DM110" s="256" t="inlineStr">
        <is>
          <t>11.02.2026</t>
        </is>
      </c>
      <c r="DN110" s="256" t="inlineStr">
        <is>
          <t>IPH — Institute of Public Health</t>
        </is>
      </c>
      <c r="DO110" s="256" t="inlineStr">
        <is>
          <t>ND mg/kg — all 25 residues</t>
        </is>
      </c>
      <c r="DP110" s="256" t="inlineStr">
        <is>
          <t>330/2026</t>
        </is>
      </c>
      <c r="DQ110" s="256" t="inlineStr">
        <is>
          <t>11.02.2026</t>
        </is>
      </c>
      <c r="DR110" s="256" t="inlineStr">
        <is>
          <t>IJZ</t>
        </is>
      </c>
    </row>
    <row r="111">
      <c r="A111" s="256" t="inlineStr">
        <is>
          <t>CoQ-PP_26-110</t>
        </is>
      </c>
      <c r="B111" s="256" t="inlineStr">
        <is>
          <t>reissue — retest</t>
        </is>
      </c>
      <c r="C111" s="256" t="inlineStr">
        <is>
          <t>issuable</t>
        </is>
      </c>
      <c r="D111" s="256" t="inlineStr">
        <is>
          <t>18.09.2026</t>
        </is>
      </c>
      <c r="E111" s="256" t="inlineStr">
        <is>
          <t>CoQ-PP_26-028 of 06.06.2026</t>
        </is>
      </c>
      <c r="F111" s="256" t="inlineStr">
        <is>
          <t>(assigned on issue)</t>
        </is>
      </c>
      <c r="G111" s="256" t="inlineStr">
        <is>
          <t>CJ062501/1</t>
        </is>
      </c>
      <c r="H111" s="256" t="inlineStr">
        <is>
          <t>P050222</t>
        </is>
      </c>
      <c r="I111" s="256" t="inlineStr">
        <is>
          <t>Cap Junky</t>
        </is>
      </c>
      <c r="J111" s="256" t="inlineStr">
        <is>
          <t>23.09.2025</t>
        </is>
      </c>
      <c r="K111" s="256" t="inlineStr">
        <is>
          <t>24.11.2025 – 25.11.2025</t>
        </is>
      </c>
      <c r="L111" s="256" t="inlineStr">
        <is>
          <t>23.09.2025</t>
        </is>
      </c>
      <c r="M111" s="256" t="inlineStr">
        <is>
          <t>24.11.2025</t>
        </is>
      </c>
      <c r="N111" s="256" t="inlineStr">
        <is>
          <t>iCoA-PP_26-126</t>
        </is>
      </c>
      <c r="O111" s="256" t="inlineStr">
        <is>
          <t>17.08.2026</t>
        </is>
      </c>
      <c r="P111" s="256" t="inlineStr">
        <is>
          <t>12.08.2026</t>
        </is>
      </c>
      <c r="Q111" s="256" t="inlineStr">
        <is>
          <t>Tranche 2</t>
        </is>
      </c>
      <c r="R111" s="256" t="inlineStr">
        <is>
          <t>24.80</t>
        </is>
      </c>
      <c r="S111" s="256" t="inlineStr">
        <is>
          <t>220-3-К/26</t>
        </is>
      </c>
      <c r="T111" s="256" t="inlineStr">
        <is>
          <t>II</t>
        </is>
      </c>
      <c r="U111" s="256" t="inlineStr">
        <is>
          <t>21.60 – 26.39 %</t>
        </is>
      </c>
      <c r="V111" s="256" t="inlineStr">
        <is>
          <t>CJ_THC24 : CBD1</t>
        </is>
      </c>
      <c r="W111" s="256" t="inlineStr">
        <is>
          <t>QCSP_001_CJ-II_v.01</t>
        </is>
      </c>
      <c r="X111" s="256" t="inlineStr">
        <is>
          <t>for review — replaces the issued QCSP_001_CJ-II_v.01 (was CJ_THC26 : CBD1, 25.01 – 26.99 %); now CJ_THC24 : CBD1 21.60 – 26.39 %</t>
        </is>
      </c>
      <c r="Y111" s="256" t="inlineStr">
        <is>
          <t>HYBRID</t>
        </is>
      </c>
      <c r="Z111" s="256" t="inlineStr">
        <is>
          <t>THC</t>
        </is>
      </c>
      <c r="AA111" s="256" t="inlineStr">
        <is>
          <t>MACHINE TRIMMED</t>
        </is>
      </c>
      <c r="AB111" s="256" t="inlineStr">
        <is>
          <t>INDICA 60 : SATIVA 40</t>
        </is>
      </c>
      <c r="AC111" s="256" t="inlineStr">
        <is>
          <t>Triplex Alu Bag | Триплекс Aлу Kеса, PET 12 · ALU 7 · PE 80, 300 × 500 mm, net. 400.0 g ±3%</t>
        </is>
      </c>
      <c r="AD111" s="256" t="inlineStr">
        <is>
          <t>11.09.2026</t>
        </is>
      </c>
      <c r="AE111" s="256" t="inlineStr">
        <is>
          <t>Conforms | Одговара</t>
        </is>
      </c>
      <c r="AF111" s="256" t="inlineStr">
        <is>
          <t>iCoA-PP_26-126</t>
        </is>
      </c>
      <c r="AG111" s="256" t="inlineStr">
        <is>
          <t>17.08.2026</t>
        </is>
      </c>
      <c r="AH111" s="256" t="inlineStr">
        <is>
          <t>Purely Plant GmbH (in-house)</t>
        </is>
      </c>
      <c r="AI111" s="256" t="inlineStr">
        <is>
          <t>Conforms | Одговара</t>
        </is>
      </c>
      <c r="AJ111" s="256" t="inlineStr">
        <is>
          <t>iCoA-PP_26-126</t>
        </is>
      </c>
      <c r="AK111" s="256" t="inlineStr">
        <is>
          <t>17.08.2026</t>
        </is>
      </c>
      <c r="AL111" s="256" t="inlineStr">
        <is>
          <t>Purely Plant GmbH (in-house)</t>
        </is>
      </c>
      <c r="AM111" s="256" t="inlineStr">
        <is>
          <t>Conforms | Одговара</t>
        </is>
      </c>
      <c r="AN111" s="256" t="inlineStr">
        <is>
          <t>220-3-К/26</t>
        </is>
      </c>
      <c r="AO111" s="256" t="inlineStr">
        <is>
          <t>25.08.2026</t>
        </is>
      </c>
      <c r="AP111" s="256" t="inlineStr">
        <is>
          <t>Farmahem</t>
        </is>
      </c>
      <c r="AQ111" s="256" t="inlineStr">
        <is>
          <t>24.80</t>
        </is>
      </c>
      <c r="AR111" s="256" t="inlineStr">
        <is>
          <t>220-3-К/26</t>
        </is>
      </c>
      <c r="AS111" s="256" t="inlineStr">
        <is>
          <t>25.08.2026</t>
        </is>
      </c>
      <c r="AT111" s="256" t="inlineStr">
        <is>
          <t>Farmahem</t>
        </is>
      </c>
      <c r="AU111" s="256" t="inlineStr">
        <is>
          <t>&lt; LOQ</t>
        </is>
      </c>
      <c r="AV111" s="256" t="inlineStr">
        <is>
          <t>220-3-К/26</t>
        </is>
      </c>
      <c r="AW111" s="256" t="inlineStr">
        <is>
          <t>25.08.2026</t>
        </is>
      </c>
      <c r="AX111" s="256" t="inlineStr">
        <is>
          <t>Farmahem</t>
        </is>
      </c>
      <c r="AY111" s="256" t="inlineStr">
        <is>
          <t>&lt; LOQ</t>
        </is>
      </c>
      <c r="AZ111" s="256" t="inlineStr">
        <is>
          <t>220-3-К/26</t>
        </is>
      </c>
      <c r="BA111" s="256" t="inlineStr">
        <is>
          <t>25.08.2026</t>
        </is>
      </c>
      <c r="BB111" s="256" t="inlineStr">
        <is>
          <t>Farmahem</t>
        </is>
      </c>
      <c r="BC111" s="256" t="inlineStr">
        <is>
          <t>Conforms | Одговара</t>
        </is>
      </c>
      <c r="BD111" s="256" t="inlineStr">
        <is>
          <t>iCoA-PP_26-126</t>
        </is>
      </c>
      <c r="BE111" s="256" t="inlineStr">
        <is>
          <t>17.08.2026</t>
        </is>
      </c>
      <c r="BF111" s="256" t="inlineStr">
        <is>
          <t>Purely Plant GmbH (in-house)</t>
        </is>
      </c>
      <c r="BG111" s="256" t="inlineStr">
        <is>
          <t>7.77</t>
        </is>
      </c>
      <c r="BH111" s="256" t="inlineStr">
        <is>
          <t>ППК25321</t>
        </is>
      </c>
      <c r="BI111" s="256" t="inlineStr">
        <is>
          <t>23.10.2025</t>
        </is>
      </c>
      <c r="BJ111" s="256" t="inlineStr">
        <is>
          <t>UKIM Faculty of Pharmacy — Center for Natural Products</t>
        </is>
      </c>
      <c r="BK111" s="256" t="inlineStr">
        <is>
          <t>4,2 × 10³</t>
        </is>
      </c>
      <c r="BL111" s="256" t="inlineStr">
        <is>
          <t>535/1066/26</t>
        </is>
      </c>
      <c r="BM111" s="256" t="inlineStr">
        <is>
          <t>31.08.2026</t>
        </is>
      </c>
      <c r="BN111" s="256" t="inlineStr">
        <is>
          <t>IPH — Institute of Public Health</t>
        </is>
      </c>
      <c r="BO111" s="256" t="inlineStr">
        <is>
          <t>&lt; 10</t>
        </is>
      </c>
      <c r="BP111" s="256" t="inlineStr">
        <is>
          <t>535/1066/26</t>
        </is>
      </c>
      <c r="BQ111" s="256" t="inlineStr">
        <is>
          <t>31.08.2026</t>
        </is>
      </c>
      <c r="BR111" s="256" t="inlineStr">
        <is>
          <t>IPH — Institute of Public Health</t>
        </is>
      </c>
      <c r="BS111" s="256" t="inlineStr">
        <is>
          <t>&lt; 10⁴ and &gt; 10³</t>
        </is>
      </c>
      <c r="BT111" s="256" t="inlineStr">
        <is>
          <t>535/1066/26</t>
        </is>
      </c>
      <c r="BU111" s="256" t="inlineStr">
        <is>
          <t>31.08.2026</t>
        </is>
      </c>
      <c r="BV111" s="256" t="inlineStr">
        <is>
          <t>IPH — Institute of Public Health</t>
        </is>
      </c>
      <c r="BW111" s="256" t="inlineStr">
        <is>
          <t>Absent | Отсутна</t>
        </is>
      </c>
      <c r="BX111" s="256" t="inlineStr">
        <is>
          <t>535/1066/26</t>
        </is>
      </c>
      <c r="BY111" s="256" t="inlineStr">
        <is>
          <t>31.08.2026</t>
        </is>
      </c>
      <c r="BZ111" s="256" t="inlineStr">
        <is>
          <t>IPH — Institute of Public Health</t>
        </is>
      </c>
      <c r="CA111" s="256" t="inlineStr">
        <is>
          <t>Absent | Отсутна</t>
        </is>
      </c>
      <c r="CB111" s="256" t="inlineStr">
        <is>
          <t>535/1066/26</t>
        </is>
      </c>
      <c r="CC111" s="256" t="inlineStr">
        <is>
          <t>31.08.2026</t>
        </is>
      </c>
      <c r="CD111" s="256" t="inlineStr">
        <is>
          <t>IPH — Institute of Public Health</t>
        </is>
      </c>
      <c r="CE111" s="260" t="inlineStr">
        <is>
          <t>upon request — not required for release</t>
        </is>
      </c>
      <c r="CF111" s="256" t="inlineStr">
        <is>
          <t>—</t>
        </is>
      </c>
      <c r="CG111" s="256" t="inlineStr">
        <is>
          <t>—</t>
        </is>
      </c>
      <c r="CH111" s="256" t="inlineStr">
        <is>
          <t>—</t>
        </is>
      </c>
      <c r="CI111" s="260" t="inlineStr">
        <is>
          <t>upon request — not required for release</t>
        </is>
      </c>
      <c r="CJ111" s="256" t="inlineStr">
        <is>
          <t>—</t>
        </is>
      </c>
      <c r="CK111" s="256" t="inlineStr">
        <is>
          <t>—</t>
        </is>
      </c>
      <c r="CL111" s="256" t="inlineStr">
        <is>
          <t>—</t>
        </is>
      </c>
      <c r="CM111" s="256" t="inlineStr">
        <is>
          <t>ND</t>
        </is>
      </c>
      <c r="CN111" s="256" t="inlineStr">
        <is>
          <t>220-3-М/26</t>
        </is>
      </c>
      <c r="CO111" s="256" t="inlineStr">
        <is>
          <t>11.09.2026</t>
        </is>
      </c>
      <c r="CP111" s="256" t="inlineStr">
        <is>
          <t>Farmahem</t>
        </is>
      </c>
      <c r="CQ111" s="256" t="inlineStr">
        <is>
          <t>ND</t>
        </is>
      </c>
      <c r="CR111" s="256" t="inlineStr">
        <is>
          <t>220-3-М/26</t>
        </is>
      </c>
      <c r="CS111" s="256" t="inlineStr">
        <is>
          <t>11.09.2026</t>
        </is>
      </c>
      <c r="CT111" s="256" t="inlineStr">
        <is>
          <t>Farmahem</t>
        </is>
      </c>
      <c r="CU111" s="256" t="inlineStr">
        <is>
          <t>ND</t>
        </is>
      </c>
      <c r="CV111" s="256" t="inlineStr">
        <is>
          <t>220-3-М/26</t>
        </is>
      </c>
      <c r="CW111" s="256" t="inlineStr">
        <is>
          <t>11.09.2026</t>
        </is>
      </c>
      <c r="CX111" s="256" t="inlineStr">
        <is>
          <t>Farmahem</t>
        </is>
      </c>
      <c r="CY111" s="256" t="inlineStr">
        <is>
          <t>0.037</t>
        </is>
      </c>
      <c r="CZ111" s="256" t="inlineStr">
        <is>
          <t>4907/2025</t>
        </is>
      </c>
      <c r="DA111" s="256" t="inlineStr">
        <is>
          <t>24.10.2025</t>
        </is>
      </c>
      <c r="DB111" s="256" t="inlineStr">
        <is>
          <t>IPH — Institute of Public Health</t>
        </is>
      </c>
      <c r="DC111" s="256" t="inlineStr">
        <is>
          <t>0.002</t>
        </is>
      </c>
      <c r="DD111" s="256" t="inlineStr">
        <is>
          <t>4907/2025</t>
        </is>
      </c>
      <c r="DE111" s="256" t="inlineStr">
        <is>
          <t>24.10.2025</t>
        </is>
      </c>
      <c r="DF111" s="256" t="inlineStr">
        <is>
          <t>IPH — Institute of Public Health</t>
        </is>
      </c>
      <c r="DG111" s="256" t="inlineStr">
        <is>
          <t>0.027</t>
        </is>
      </c>
      <c r="DH111" s="256" t="inlineStr">
        <is>
          <t>4907/2025</t>
        </is>
      </c>
      <c r="DI111" s="256" t="inlineStr">
        <is>
          <t>24.10.2025</t>
        </is>
      </c>
      <c r="DJ111" s="256" t="inlineStr">
        <is>
          <t>IPH — Institute of Public Health</t>
        </is>
      </c>
      <c r="DK111" s="256" t="inlineStr">
        <is>
          <t>0.017</t>
        </is>
      </c>
      <c r="DL111" s="256" t="inlineStr">
        <is>
          <t>4907/2025</t>
        </is>
      </c>
      <c r="DM111" s="256" t="inlineStr">
        <is>
          <t>24.10.2025</t>
        </is>
      </c>
      <c r="DN111" s="256" t="inlineStr">
        <is>
          <t>IPH — Institute of Public Health</t>
        </is>
      </c>
      <c r="DO111" s="256" t="inlineStr">
        <is>
          <t>ND</t>
        </is>
      </c>
      <c r="DP111" s="256" t="inlineStr">
        <is>
          <t>4907/2025</t>
        </is>
      </c>
      <c r="DQ111" s="256" t="inlineStr">
        <is>
          <t>24.10.2025</t>
        </is>
      </c>
      <c r="DR111" s="256" t="inlineStr">
        <is>
          <t>IPH — Institute of Public Health</t>
        </is>
      </c>
    </row>
    <row r="112">
      <c r="A112" s="256" t="inlineStr">
        <is>
          <t>CoQ-PP_26-111</t>
        </is>
      </c>
      <c r="B112" s="256" t="inlineStr">
        <is>
          <t>reissue — retest</t>
        </is>
      </c>
      <c r="C112" s="256" t="inlineStr">
        <is>
          <t>issuable</t>
        </is>
      </c>
      <c r="D112" s="256" t="inlineStr">
        <is>
          <t>18.09.2026</t>
        </is>
      </c>
      <c r="E112" s="256" t="inlineStr">
        <is>
          <t>CoQ-PP_26-038 of 06.06.2026</t>
        </is>
      </c>
      <c r="F112" s="256" t="inlineStr">
        <is>
          <t>(assigned on issue)</t>
        </is>
      </c>
      <c r="G112" s="256" t="inlineStr">
        <is>
          <t>CJ082501/1</t>
        </is>
      </c>
      <c r="H112" s="256" t="inlineStr">
        <is>
          <t>P060022</t>
        </is>
      </c>
      <c r="I112" s="256" t="inlineStr">
        <is>
          <t>Cap Junky</t>
        </is>
      </c>
      <c r="J112" s="256" t="inlineStr">
        <is>
          <t>09.12.2025 – 10.12.2025</t>
        </is>
      </c>
      <c r="K112" s="256" t="inlineStr">
        <is>
          <t>16.01.2026</t>
        </is>
      </c>
      <c r="L112" s="256" t="inlineStr">
        <is>
          <t>09.12.2025</t>
        </is>
      </c>
      <c r="M112" s="256" t="inlineStr">
        <is>
          <t>16.01.2026</t>
        </is>
      </c>
      <c r="N112" s="256" t="inlineStr">
        <is>
          <t>iCoA-PP_26-127</t>
        </is>
      </c>
      <c r="O112" s="256" t="inlineStr">
        <is>
          <t>17.08.2026</t>
        </is>
      </c>
      <c r="P112" s="256" t="inlineStr">
        <is>
          <t>12.08.2026</t>
        </is>
      </c>
      <c r="Q112" s="256" t="inlineStr">
        <is>
          <t>Tranche 2</t>
        </is>
      </c>
      <c r="R112" s="256" t="inlineStr">
        <is>
          <t>28.34</t>
        </is>
      </c>
      <c r="S112" s="256" t="inlineStr">
        <is>
          <t>220-4-К/26</t>
        </is>
      </c>
      <c r="T112" s="256" t="inlineStr">
        <is>
          <t>I</t>
        </is>
      </c>
      <c r="U112" s="256" t="inlineStr">
        <is>
          <t>26.40 – 29.59 %</t>
        </is>
      </c>
      <c r="V112" s="256" t="inlineStr">
        <is>
          <t>CJ_THC28 : CBD1</t>
        </is>
      </c>
      <c r="W112" s="256" t="inlineStr">
        <is>
          <t>QCSP_001_CJ-I_v.01</t>
        </is>
      </c>
      <c r="X112" s="256" t="inlineStr">
        <is>
          <t>for review — replaces the issued QCSP_001_CJ-I_v.01 (was CJ_THC28 : CBD1, 27.00 – 29.00 %); now CJ_THC28 : CBD1 26.40 – 29.59 %</t>
        </is>
      </c>
      <c r="Y112" s="256" t="inlineStr">
        <is>
          <t>HYBRID</t>
        </is>
      </c>
      <c r="Z112" s="256" t="inlineStr">
        <is>
          <t>THC</t>
        </is>
      </c>
      <c r="AA112" s="256" t="inlineStr">
        <is>
          <t>MACHINE TRIMMED</t>
        </is>
      </c>
      <c r="AB112" s="256" t="inlineStr">
        <is>
          <t>INDICA 60 : SATIVA 40</t>
        </is>
      </c>
      <c r="AC112" s="256" t="inlineStr">
        <is>
          <t>Triplex Alu Bag | Триплекс Aлу Kеса, PET 12 · ALU 7 · PE 80, 300 × 500 mm, net. 400.0 g ±3%</t>
        </is>
      </c>
      <c r="AD112" s="256" t="inlineStr">
        <is>
          <t>11.09.2026</t>
        </is>
      </c>
      <c r="AE112" s="256" t="inlineStr">
        <is>
          <t>Conforms | Одговара</t>
        </is>
      </c>
      <c r="AF112" s="256" t="inlineStr">
        <is>
          <t>iCoA-PP_26-127</t>
        </is>
      </c>
      <c r="AG112" s="256" t="inlineStr">
        <is>
          <t>17.08.2026</t>
        </is>
      </c>
      <c r="AH112" s="256" t="inlineStr">
        <is>
          <t>Purely Plant GmbH (in-house)</t>
        </is>
      </c>
      <c r="AI112" s="256" t="inlineStr">
        <is>
          <t>Conforms | Одговара</t>
        </is>
      </c>
      <c r="AJ112" s="256" t="inlineStr">
        <is>
          <t>iCoA-PP_26-127</t>
        </is>
      </c>
      <c r="AK112" s="256" t="inlineStr">
        <is>
          <t>17.08.2026</t>
        </is>
      </c>
      <c r="AL112" s="256" t="inlineStr">
        <is>
          <t>Purely Plant GmbH (in-house)</t>
        </is>
      </c>
      <c r="AM112" s="256" t="inlineStr">
        <is>
          <t>Conforms | Одговара</t>
        </is>
      </c>
      <c r="AN112" s="256" t="inlineStr">
        <is>
          <t>220-4-К/26</t>
        </is>
      </c>
      <c r="AO112" s="256" t="inlineStr">
        <is>
          <t>25.08.2026</t>
        </is>
      </c>
      <c r="AP112" s="256" t="inlineStr">
        <is>
          <t>Farmahem</t>
        </is>
      </c>
      <c r="AQ112" s="256" t="inlineStr">
        <is>
          <t>28.34</t>
        </is>
      </c>
      <c r="AR112" s="256" t="inlineStr">
        <is>
          <t>220-4-К/26</t>
        </is>
      </c>
      <c r="AS112" s="256" t="inlineStr">
        <is>
          <t>25.08.2026</t>
        </is>
      </c>
      <c r="AT112" s="256" t="inlineStr">
        <is>
          <t>Farmahem</t>
        </is>
      </c>
      <c r="AU112" s="256" t="inlineStr">
        <is>
          <t>&lt; LOQ</t>
        </is>
      </c>
      <c r="AV112" s="256" t="inlineStr">
        <is>
          <t>220-4-К/26</t>
        </is>
      </c>
      <c r="AW112" s="256" t="inlineStr">
        <is>
          <t>25.08.2026</t>
        </is>
      </c>
      <c r="AX112" s="256" t="inlineStr">
        <is>
          <t>Farmahem</t>
        </is>
      </c>
      <c r="AY112" s="256" t="inlineStr">
        <is>
          <t>&lt; LOQ</t>
        </is>
      </c>
      <c r="AZ112" s="256" t="inlineStr">
        <is>
          <t>220-4-К/26</t>
        </is>
      </c>
      <c r="BA112" s="256" t="inlineStr">
        <is>
          <t>25.08.2026</t>
        </is>
      </c>
      <c r="BB112" s="256" t="inlineStr">
        <is>
          <t>Farmahem</t>
        </is>
      </c>
      <c r="BC112" s="256" t="inlineStr">
        <is>
          <t>Conforms | Одговара</t>
        </is>
      </c>
      <c r="BD112" s="256" t="inlineStr">
        <is>
          <t>iCoA-PP_26-127</t>
        </is>
      </c>
      <c r="BE112" s="256" t="inlineStr">
        <is>
          <t>17.08.2026</t>
        </is>
      </c>
      <c r="BF112" s="256" t="inlineStr">
        <is>
          <t>Purely Plant GmbH (in-house)</t>
        </is>
      </c>
      <c r="BG112" s="256" t="inlineStr">
        <is>
          <t>7.21</t>
        </is>
      </c>
      <c r="BH112" s="256" t="inlineStr">
        <is>
          <t>ППК26002</t>
        </is>
      </c>
      <c r="BI112" s="256" t="inlineStr">
        <is>
          <t>21.01.2026</t>
        </is>
      </c>
      <c r="BJ112" s="256" t="inlineStr">
        <is>
          <t>UKIM Faculty of Pharmacy — Center for Natural Products</t>
        </is>
      </c>
      <c r="BK112" s="256" t="inlineStr">
        <is>
          <t>1.5 × 10²</t>
        </is>
      </c>
      <c r="BL112" s="256" t="inlineStr">
        <is>
          <t>8/0011/26</t>
        </is>
      </c>
      <c r="BM112" s="256" t="inlineStr">
        <is>
          <t>20.01.2026</t>
        </is>
      </c>
      <c r="BN112" s="256" t="inlineStr">
        <is>
          <t>IPH — Institute of Public Health</t>
        </is>
      </c>
      <c r="BO112" s="256" t="inlineStr">
        <is>
          <t>1.3 × 10²</t>
        </is>
      </c>
      <c r="BP112" s="256" t="inlineStr">
        <is>
          <t>8/0011/26</t>
        </is>
      </c>
      <c r="BQ112" s="256" t="inlineStr">
        <is>
          <t>20.01.2026</t>
        </is>
      </c>
      <c r="BR112" s="256" t="inlineStr">
        <is>
          <t>IPH — Institute of Public Health</t>
        </is>
      </c>
      <c r="BS112" s="256" t="inlineStr">
        <is>
          <t>&lt; 10</t>
        </is>
      </c>
      <c r="BT112" s="256" t="inlineStr">
        <is>
          <t>8/0011/26</t>
        </is>
      </c>
      <c r="BU112" s="256" t="inlineStr">
        <is>
          <t>20.01.2026</t>
        </is>
      </c>
      <c r="BV112" s="256" t="inlineStr">
        <is>
          <t>IPH — Institute of Public Health</t>
        </is>
      </c>
      <c r="BW112" s="256" t="inlineStr">
        <is>
          <t>Absent | Отсутна</t>
        </is>
      </c>
      <c r="BX112" s="256" t="inlineStr">
        <is>
          <t>8/0011/26</t>
        </is>
      </c>
      <c r="BY112" s="256" t="inlineStr">
        <is>
          <t>20.01.2026</t>
        </is>
      </c>
      <c r="BZ112" s="256" t="inlineStr">
        <is>
          <t>IPH — Institute of Public Health</t>
        </is>
      </c>
      <c r="CA112" s="256" t="inlineStr">
        <is>
          <t>Absent | Отсутна</t>
        </is>
      </c>
      <c r="CB112" s="256" t="inlineStr">
        <is>
          <t>8/0011/26</t>
        </is>
      </c>
      <c r="CC112" s="256" t="inlineStr">
        <is>
          <t>20.01.2026</t>
        </is>
      </c>
      <c r="CD112" s="256" t="inlineStr">
        <is>
          <t>IPH — Institute of Public Health</t>
        </is>
      </c>
      <c r="CE112" s="260" t="inlineStr">
        <is>
          <t>upon request — not required for release</t>
        </is>
      </c>
      <c r="CF112" s="256" t="inlineStr">
        <is>
          <t>—</t>
        </is>
      </c>
      <c r="CG112" s="256" t="inlineStr">
        <is>
          <t>—</t>
        </is>
      </c>
      <c r="CH112" s="256" t="inlineStr">
        <is>
          <t>—</t>
        </is>
      </c>
      <c r="CI112" s="260" t="inlineStr">
        <is>
          <t>upon request — not required for release</t>
        </is>
      </c>
      <c r="CJ112" s="256" t="inlineStr">
        <is>
          <t>—</t>
        </is>
      </c>
      <c r="CK112" s="256" t="inlineStr">
        <is>
          <t>—</t>
        </is>
      </c>
      <c r="CL112" s="256" t="inlineStr">
        <is>
          <t>—</t>
        </is>
      </c>
      <c r="CM112" s="256" t="inlineStr">
        <is>
          <t>ND</t>
        </is>
      </c>
      <c r="CN112" s="256" t="inlineStr">
        <is>
          <t>220-4-М/26</t>
        </is>
      </c>
      <c r="CO112" s="256" t="inlineStr">
        <is>
          <t>11.09.2026</t>
        </is>
      </c>
      <c r="CP112" s="256" t="inlineStr">
        <is>
          <t>Farmahem</t>
        </is>
      </c>
      <c r="CQ112" s="256" t="inlineStr">
        <is>
          <t>ND</t>
        </is>
      </c>
      <c r="CR112" s="256" t="inlineStr">
        <is>
          <t>220-4-М/26</t>
        </is>
      </c>
      <c r="CS112" s="256" t="inlineStr">
        <is>
          <t>11.09.2026</t>
        </is>
      </c>
      <c r="CT112" s="256" t="inlineStr">
        <is>
          <t>Farmahem</t>
        </is>
      </c>
      <c r="CU112" s="256" t="inlineStr">
        <is>
          <t>ND</t>
        </is>
      </c>
      <c r="CV112" s="256" t="inlineStr">
        <is>
          <t>220-4-М/26</t>
        </is>
      </c>
      <c r="CW112" s="256" t="inlineStr">
        <is>
          <t>11.09.2026</t>
        </is>
      </c>
      <c r="CX112" s="256" t="inlineStr">
        <is>
          <t>Farmahem</t>
        </is>
      </c>
      <c r="CY112" s="256" t="inlineStr">
        <is>
          <t>0.075</t>
        </is>
      </c>
      <c r="CZ112" s="256" t="inlineStr">
        <is>
          <t>81/2026</t>
        </is>
      </c>
      <c r="DA112" s="256" t="inlineStr">
        <is>
          <t>02.02.2026</t>
        </is>
      </c>
      <c r="DB112" s="256" t="inlineStr">
        <is>
          <t>IPH — Institute of Public Health</t>
        </is>
      </c>
      <c r="DC112" s="256" t="inlineStr">
        <is>
          <t>ND</t>
        </is>
      </c>
      <c r="DD112" s="256" t="inlineStr">
        <is>
          <t>81/2026</t>
        </is>
      </c>
      <c r="DE112" s="256" t="inlineStr">
        <is>
          <t>02.02.2026</t>
        </is>
      </c>
      <c r="DF112" s="256" t="inlineStr">
        <is>
          <t>IPH — Institute of Public Health</t>
        </is>
      </c>
      <c r="DG112" s="256" t="inlineStr">
        <is>
          <t>ND</t>
        </is>
      </c>
      <c r="DH112" s="256" t="inlineStr">
        <is>
          <t>81/2026</t>
        </is>
      </c>
      <c r="DI112" s="256" t="inlineStr">
        <is>
          <t>02.02.2026</t>
        </is>
      </c>
      <c r="DJ112" s="256" t="inlineStr">
        <is>
          <t>IPH — Institute of Public Health</t>
        </is>
      </c>
      <c r="DK112" s="256" t="inlineStr">
        <is>
          <t>ND</t>
        </is>
      </c>
      <c r="DL112" s="256" t="inlineStr">
        <is>
          <t>81/2026</t>
        </is>
      </c>
      <c r="DM112" s="256" t="inlineStr">
        <is>
          <t>02.02.2026</t>
        </is>
      </c>
      <c r="DN112" s="256" t="inlineStr">
        <is>
          <t>IPH — Institute of Public Health</t>
        </is>
      </c>
      <c r="DO112" s="256" t="inlineStr">
        <is>
          <t>ND</t>
        </is>
      </c>
      <c r="DP112" s="256" t="inlineStr">
        <is>
          <t>81/2026</t>
        </is>
      </c>
      <c r="DQ112" s="256" t="inlineStr">
        <is>
          <t>02.02.2026</t>
        </is>
      </c>
      <c r="DR112" s="256" t="inlineStr">
        <is>
          <t>IPH — Institute of Public Health</t>
        </is>
      </c>
    </row>
    <row r="113">
      <c r="A113" s="256" t="inlineStr">
        <is>
          <t>CoQ-PP_26-112</t>
        </is>
      </c>
      <c r="B113" s="256" t="inlineStr">
        <is>
          <t>reissue — retest</t>
        </is>
      </c>
      <c r="C113" s="256" t="inlineStr">
        <is>
          <t>issuable</t>
        </is>
      </c>
      <c r="D113" s="256" t="inlineStr">
        <is>
          <t>18.09.2026</t>
        </is>
      </c>
      <c r="E113" s="256" t="inlineStr">
        <is>
          <t>CoQ-PP_26-043 of 06.06.2026</t>
        </is>
      </c>
      <c r="F113" s="256" t="inlineStr">
        <is>
          <t>(assigned on issue)</t>
        </is>
      </c>
      <c r="G113" s="256" t="inlineStr">
        <is>
          <t>CJ092501</t>
        </is>
      </c>
      <c r="H113" s="256" t="inlineStr">
        <is>
          <t>P060072</t>
        </is>
      </c>
      <c r="I113" s="256" t="inlineStr">
        <is>
          <t>Cap Junky</t>
        </is>
      </c>
      <c r="J113" s="256" t="inlineStr">
        <is>
          <t>12.12.2025</t>
        </is>
      </c>
      <c r="K113" s="256" t="inlineStr">
        <is>
          <t>02.02.2026</t>
        </is>
      </c>
      <c r="L113" s="256" t="inlineStr">
        <is>
          <t>12.12.2025</t>
        </is>
      </c>
      <c r="M113" s="256" t="inlineStr">
        <is>
          <t>02.02.2026</t>
        </is>
      </c>
      <c r="N113" s="256" t="inlineStr">
        <is>
          <t>iCoA-PP_26-128</t>
        </is>
      </c>
      <c r="O113" s="256" t="inlineStr">
        <is>
          <t>17.08.2026</t>
        </is>
      </c>
      <c r="P113" s="256" t="inlineStr">
        <is>
          <t>12.08.2026</t>
        </is>
      </c>
      <c r="Q113" s="256" t="inlineStr">
        <is>
          <t>Tranche 2</t>
        </is>
      </c>
      <c r="R113" s="256" t="inlineStr">
        <is>
          <t>25.65</t>
        </is>
      </c>
      <c r="S113" s="256" t="inlineStr">
        <is>
          <t>220-5-К/26</t>
        </is>
      </c>
      <c r="T113" s="256" t="inlineStr">
        <is>
          <t>II</t>
        </is>
      </c>
      <c r="U113" s="256" t="inlineStr">
        <is>
          <t>21.60 – 26.39 %</t>
        </is>
      </c>
      <c r="V113" s="256" t="inlineStr">
        <is>
          <t>CJ_THC24 : CBD1</t>
        </is>
      </c>
      <c r="W113" s="256" t="inlineStr">
        <is>
          <t>QCSP_001_CJ-II_v.01</t>
        </is>
      </c>
      <c r="X113" s="256" t="inlineStr">
        <is>
          <t>for review — replaces the issued QCSP_001_CJ-II_v.01 (was CJ_THC26 : CBD1, 25.01 – 26.99 %); now CJ_THC24 : CBD1 21.60 – 26.39 %</t>
        </is>
      </c>
      <c r="Y113" s="256" t="inlineStr">
        <is>
          <t>HYBRID</t>
        </is>
      </c>
      <c r="Z113" s="256" t="inlineStr">
        <is>
          <t>THC</t>
        </is>
      </c>
      <c r="AA113" s="256" t="inlineStr">
        <is>
          <t>MACHINE TRIMMED</t>
        </is>
      </c>
      <c r="AB113" s="256" t="inlineStr">
        <is>
          <t>INDICA 60 : SATIVA 40</t>
        </is>
      </c>
      <c r="AC113" s="256" t="inlineStr">
        <is>
          <t>Triplex Alu Bag | Триплекс Aлу Kеса, PET 12 · ALU 7 · PE 80, 300 × 500 mm, net. 400.0 g ±3%</t>
        </is>
      </c>
      <c r="AD113" s="256" t="inlineStr">
        <is>
          <t>11.09.2026</t>
        </is>
      </c>
      <c r="AE113" s="256" t="inlineStr">
        <is>
          <t>Conforms | Одговара</t>
        </is>
      </c>
      <c r="AF113" s="256" t="inlineStr">
        <is>
          <t>iCoA-PP_26-128</t>
        </is>
      </c>
      <c r="AG113" s="256" t="inlineStr">
        <is>
          <t>17.08.2026</t>
        </is>
      </c>
      <c r="AH113" s="256" t="inlineStr">
        <is>
          <t>Purely Plant GmbH (in-house)</t>
        </is>
      </c>
      <c r="AI113" s="256" t="inlineStr">
        <is>
          <t>Conforms | Одговара</t>
        </is>
      </c>
      <c r="AJ113" s="256" t="inlineStr">
        <is>
          <t>iCoA-PP_26-128</t>
        </is>
      </c>
      <c r="AK113" s="256" t="inlineStr">
        <is>
          <t>17.08.2026</t>
        </is>
      </c>
      <c r="AL113" s="256" t="inlineStr">
        <is>
          <t>Purely Plant GmbH (in-house)</t>
        </is>
      </c>
      <c r="AM113" s="256" t="inlineStr">
        <is>
          <t>Conforms | Одговара</t>
        </is>
      </c>
      <c r="AN113" s="256" t="inlineStr">
        <is>
          <t>220-5-К/26</t>
        </is>
      </c>
      <c r="AO113" s="256" t="inlineStr">
        <is>
          <t>25.08.2026</t>
        </is>
      </c>
      <c r="AP113" s="256" t="inlineStr">
        <is>
          <t>Farmahem</t>
        </is>
      </c>
      <c r="AQ113" s="256" t="inlineStr">
        <is>
          <t>25.65</t>
        </is>
      </c>
      <c r="AR113" s="256" t="inlineStr">
        <is>
          <t>220-5-К/26</t>
        </is>
      </c>
      <c r="AS113" s="256" t="inlineStr">
        <is>
          <t>25.08.2026</t>
        </is>
      </c>
      <c r="AT113" s="256" t="inlineStr">
        <is>
          <t>Farmahem</t>
        </is>
      </c>
      <c r="AU113" s="256" t="inlineStr">
        <is>
          <t>&lt; LOQ</t>
        </is>
      </c>
      <c r="AV113" s="256" t="inlineStr">
        <is>
          <t>220-5-К/26</t>
        </is>
      </c>
      <c r="AW113" s="256" t="inlineStr">
        <is>
          <t>25.08.2026</t>
        </is>
      </c>
      <c r="AX113" s="256" t="inlineStr">
        <is>
          <t>Farmahem</t>
        </is>
      </c>
      <c r="AY113" s="256" t="inlineStr">
        <is>
          <t>&lt; LOQ</t>
        </is>
      </c>
      <c r="AZ113" s="256" t="inlineStr">
        <is>
          <t>220-5-К/26</t>
        </is>
      </c>
      <c r="BA113" s="256" t="inlineStr">
        <is>
          <t>25.08.2026</t>
        </is>
      </c>
      <c r="BB113" s="256" t="inlineStr">
        <is>
          <t>Farmahem</t>
        </is>
      </c>
      <c r="BC113" s="256" t="inlineStr">
        <is>
          <t>Conforms | Одговара</t>
        </is>
      </c>
      <c r="BD113" s="256" t="inlineStr">
        <is>
          <t>iCoA-PP_26-128</t>
        </is>
      </c>
      <c r="BE113" s="256" t="inlineStr">
        <is>
          <t>17.08.2026</t>
        </is>
      </c>
      <c r="BF113" s="256" t="inlineStr">
        <is>
          <t>Purely Plant GmbH (in-house)</t>
        </is>
      </c>
      <c r="BG113" s="256" t="inlineStr">
        <is>
          <t>7.64</t>
        </is>
      </c>
      <c r="BH113" s="256" t="inlineStr">
        <is>
          <t>ППК26007</t>
        </is>
      </c>
      <c r="BI113" s="256" t="inlineStr">
        <is>
          <t>21.01.2026</t>
        </is>
      </c>
      <c r="BJ113" s="256" t="inlineStr">
        <is>
          <t>UKIM Faculty of Pharmacy — Center for Natural Products</t>
        </is>
      </c>
      <c r="BK113" s="256" t="inlineStr">
        <is>
          <t>&lt; 10</t>
        </is>
      </c>
      <c r="BL113" s="256" t="inlineStr">
        <is>
          <t>10/0013/26</t>
        </is>
      </c>
      <c r="BM113" s="256" t="inlineStr">
        <is>
          <t>20.01.2026</t>
        </is>
      </c>
      <c r="BN113" s="256" t="inlineStr">
        <is>
          <t>IPH — Institute of Public Health</t>
        </is>
      </c>
      <c r="BO113" s="256" t="inlineStr">
        <is>
          <t>&lt; 10</t>
        </is>
      </c>
      <c r="BP113" s="256" t="inlineStr">
        <is>
          <t>10/0013/26</t>
        </is>
      </c>
      <c r="BQ113" s="256" t="inlineStr">
        <is>
          <t>20.01.2026</t>
        </is>
      </c>
      <c r="BR113" s="256" t="inlineStr">
        <is>
          <t>IPH — Institute of Public Health</t>
        </is>
      </c>
      <c r="BS113" s="256" t="inlineStr">
        <is>
          <t>&lt; 10</t>
        </is>
      </c>
      <c r="BT113" s="256" t="inlineStr">
        <is>
          <t>10/0013/26</t>
        </is>
      </c>
      <c r="BU113" s="256" t="inlineStr">
        <is>
          <t>20.01.2026</t>
        </is>
      </c>
      <c r="BV113" s="256" t="inlineStr">
        <is>
          <t>IPH — Institute of Public Health</t>
        </is>
      </c>
      <c r="BW113" s="256" t="inlineStr">
        <is>
          <t>Absent | Отсутна</t>
        </is>
      </c>
      <c r="BX113" s="256" t="inlineStr">
        <is>
          <t>10/0013/26</t>
        </is>
      </c>
      <c r="BY113" s="256" t="inlineStr">
        <is>
          <t>20.01.2026</t>
        </is>
      </c>
      <c r="BZ113" s="256" t="inlineStr">
        <is>
          <t>IPH — Institute of Public Health</t>
        </is>
      </c>
      <c r="CA113" s="256" t="inlineStr">
        <is>
          <t>Absent | Отсутна</t>
        </is>
      </c>
      <c r="CB113" s="256" t="inlineStr">
        <is>
          <t>10/0013/26</t>
        </is>
      </c>
      <c r="CC113" s="256" t="inlineStr">
        <is>
          <t>20.01.2026</t>
        </is>
      </c>
      <c r="CD113" s="256" t="inlineStr">
        <is>
          <t>IPH — Institute of Public Health</t>
        </is>
      </c>
      <c r="CE113" s="260" t="inlineStr">
        <is>
          <t>upon request — not required for release</t>
        </is>
      </c>
      <c r="CF113" s="256" t="inlineStr">
        <is>
          <t>—</t>
        </is>
      </c>
      <c r="CG113" s="256" t="inlineStr">
        <is>
          <t>—</t>
        </is>
      </c>
      <c r="CH113" s="256" t="inlineStr">
        <is>
          <t>—</t>
        </is>
      </c>
      <c r="CI113" s="260" t="inlineStr">
        <is>
          <t>upon request — not required for release</t>
        </is>
      </c>
      <c r="CJ113" s="256" t="inlineStr">
        <is>
          <t>—</t>
        </is>
      </c>
      <c r="CK113" s="256" t="inlineStr">
        <is>
          <t>—</t>
        </is>
      </c>
      <c r="CL113" s="256" t="inlineStr">
        <is>
          <t>—</t>
        </is>
      </c>
      <c r="CM113" s="256" t="inlineStr">
        <is>
          <t>ND</t>
        </is>
      </c>
      <c r="CN113" s="256" t="inlineStr">
        <is>
          <t>220-5-М/26</t>
        </is>
      </c>
      <c r="CO113" s="256" t="inlineStr">
        <is>
          <t>11.09.2026</t>
        </is>
      </c>
      <c r="CP113" s="256" t="inlineStr">
        <is>
          <t>Farmahem</t>
        </is>
      </c>
      <c r="CQ113" s="256" t="inlineStr">
        <is>
          <t>ND</t>
        </is>
      </c>
      <c r="CR113" s="256" t="inlineStr">
        <is>
          <t>220-5-М/26</t>
        </is>
      </c>
      <c r="CS113" s="256" t="inlineStr">
        <is>
          <t>11.09.2026</t>
        </is>
      </c>
      <c r="CT113" s="256" t="inlineStr">
        <is>
          <t>Farmahem</t>
        </is>
      </c>
      <c r="CU113" s="256" t="inlineStr">
        <is>
          <t>ND</t>
        </is>
      </c>
      <c r="CV113" s="256" t="inlineStr">
        <is>
          <t>220-5-М/26</t>
        </is>
      </c>
      <c r="CW113" s="256" t="inlineStr">
        <is>
          <t>11.09.2026</t>
        </is>
      </c>
      <c r="CX113" s="256" t="inlineStr">
        <is>
          <t>Farmahem</t>
        </is>
      </c>
      <c r="CY113" s="256" t="inlineStr">
        <is>
          <t>0.04</t>
        </is>
      </c>
      <c r="CZ113" s="256" t="inlineStr">
        <is>
          <t>86/2026</t>
        </is>
      </c>
      <c r="DA113" s="256" t="inlineStr">
        <is>
          <t>02.02.2026</t>
        </is>
      </c>
      <c r="DB113" s="256" t="inlineStr">
        <is>
          <t>IPH — Institute of Public Health</t>
        </is>
      </c>
      <c r="DC113" s="256" t="inlineStr">
        <is>
          <t>ND</t>
        </is>
      </c>
      <c r="DD113" s="256" t="inlineStr">
        <is>
          <t>86/2026</t>
        </is>
      </c>
      <c r="DE113" s="256" t="inlineStr">
        <is>
          <t>02.02.2026</t>
        </is>
      </c>
      <c r="DF113" s="256" t="inlineStr">
        <is>
          <t>IPH — Institute of Public Health</t>
        </is>
      </c>
      <c r="DG113" s="256" t="inlineStr">
        <is>
          <t>ND</t>
        </is>
      </c>
      <c r="DH113" s="256" t="inlineStr">
        <is>
          <t>86/2026</t>
        </is>
      </c>
      <c r="DI113" s="256" t="inlineStr">
        <is>
          <t>02.02.2026</t>
        </is>
      </c>
      <c r="DJ113" s="256" t="inlineStr">
        <is>
          <t>IPH — Institute of Public Health</t>
        </is>
      </c>
      <c r="DK113" s="256" t="inlineStr">
        <is>
          <t>0.004</t>
        </is>
      </c>
      <c r="DL113" s="256" t="inlineStr">
        <is>
          <t>86/2026</t>
        </is>
      </c>
      <c r="DM113" s="256" t="inlineStr">
        <is>
          <t>02.02.2026</t>
        </is>
      </c>
      <c r="DN113" s="256" t="inlineStr">
        <is>
          <t>IPH — Institute of Public Health</t>
        </is>
      </c>
      <c r="DO113" s="256" t="inlineStr">
        <is>
          <t>ND</t>
        </is>
      </c>
      <c r="DP113" s="256" t="inlineStr">
        <is>
          <t>86/2026</t>
        </is>
      </c>
      <c r="DQ113" s="256" t="inlineStr">
        <is>
          <t>02.02.2026</t>
        </is>
      </c>
      <c r="DR113" s="256" t="inlineStr">
        <is>
          <t>IPH — Institute of Public Health</t>
        </is>
      </c>
    </row>
    <row r="114">
      <c r="A114" s="256" t="inlineStr">
        <is>
          <t>CoQ-PP_26-113</t>
        </is>
      </c>
      <c r="B114" s="256" t="inlineStr">
        <is>
          <t>reissue — retest</t>
        </is>
      </c>
      <c r="C114" s="256" t="inlineStr">
        <is>
          <t>issuable</t>
        </is>
      </c>
      <c r="D114" s="256" t="inlineStr">
        <is>
          <t>18.09.2026</t>
        </is>
      </c>
      <c r="E114" s="256" t="inlineStr">
        <is>
          <t>CoQ-PP_26-032 of 06.06.2026</t>
        </is>
      </c>
      <c r="F114" s="256" t="inlineStr">
        <is>
          <t>(assigned on issue)</t>
        </is>
      </c>
      <c r="G114" s="256" t="inlineStr">
        <is>
          <t>CLE072501</t>
        </is>
      </c>
      <c r="H114" s="256" t="inlineStr">
        <is>
          <t>P050282</t>
        </is>
      </c>
      <c r="I114" s="256" t="inlineStr">
        <is>
          <t>Clemosa A Bud</t>
        </is>
      </c>
      <c r="J114" s="256" t="inlineStr">
        <is>
          <t>28.10.2025</t>
        </is>
      </c>
      <c r="K114" s="256" t="inlineStr">
        <is>
          <t>03.12.2025 – 04.12.2025</t>
        </is>
      </c>
      <c r="L114" s="256" t="inlineStr">
        <is>
          <t>28.10.2025</t>
        </is>
      </c>
      <c r="M114" s="256" t="inlineStr">
        <is>
          <t>03.12.2025</t>
        </is>
      </c>
      <c r="N114" s="256" t="inlineStr">
        <is>
          <t>iCoA-PP_26-129</t>
        </is>
      </c>
      <c r="O114" s="256" t="inlineStr">
        <is>
          <t>17.08.2026</t>
        </is>
      </c>
      <c r="P114" s="256" t="inlineStr">
        <is>
          <t>12.08.2026</t>
        </is>
      </c>
      <c r="Q114" s="256" t="inlineStr">
        <is>
          <t>Tranche 2</t>
        </is>
      </c>
      <c r="R114" s="256" t="inlineStr">
        <is>
          <t>8.65</t>
        </is>
      </c>
      <c r="S114" s="256" t="inlineStr">
        <is>
          <t>220-7-К/26</t>
        </is>
      </c>
      <c r="T114" s="256" t="inlineStr">
        <is>
          <t>I</t>
        </is>
      </c>
      <c r="U114" s="256" t="inlineStr">
        <is>
          <t>7.20 – 8.79 %</t>
        </is>
      </c>
      <c r="V114" s="256" t="inlineStr">
        <is>
          <t>CLE_THC8 : CBD1</t>
        </is>
      </c>
      <c r="W114" s="256" t="inlineStr">
        <is>
          <t>QCSP_001_CLE-I_v.01</t>
        </is>
      </c>
      <c r="X114" s="256" t="inlineStr">
        <is>
          <t>for review — replaces the issued QCSP_001_CLE-I_v.01 (was CLE_THC8 : CBD1, 7.20 – 8.80 %); now CLE_THC8 : CBD1 7.20 – 8.79 %</t>
        </is>
      </c>
      <c r="Y114" s="256" t="inlineStr">
        <is>
          <t>HYBRID</t>
        </is>
      </c>
      <c r="Z114" s="256" t="inlineStr">
        <is>
          <t>THC</t>
        </is>
      </c>
      <c r="AA114" s="256" t="inlineStr">
        <is>
          <t>MACHINE TRIMMED</t>
        </is>
      </c>
      <c r="AB114" s="256" t="inlineStr">
        <is>
          <t>TO BE DETERMINED</t>
        </is>
      </c>
      <c r="AC114" s="256" t="inlineStr">
        <is>
          <t>Triplex Alu Bag | Триплекс Aлу Kеса, PET 12 · ALU 7 · PE 80, 300 × 500 mm, net. 400.0 g ±3%</t>
        </is>
      </c>
      <c r="AD114" s="256" t="inlineStr">
        <is>
          <t>11.09.2026</t>
        </is>
      </c>
      <c r="AE114" s="256" t="inlineStr">
        <is>
          <t>Conforms | Одговара</t>
        </is>
      </c>
      <c r="AF114" s="256" t="inlineStr">
        <is>
          <t>iCoA-PP_26-129</t>
        </is>
      </c>
      <c r="AG114" s="256" t="inlineStr">
        <is>
          <t>17.08.2026</t>
        </is>
      </c>
      <c r="AH114" s="256" t="inlineStr">
        <is>
          <t>Purely Plant GmbH (in-house)</t>
        </is>
      </c>
      <c r="AI114" s="256" t="inlineStr">
        <is>
          <t>Conforms | Одговара</t>
        </is>
      </c>
      <c r="AJ114" s="256" t="inlineStr">
        <is>
          <t>iCoA-PP_26-129</t>
        </is>
      </c>
      <c r="AK114" s="256" t="inlineStr">
        <is>
          <t>17.08.2026</t>
        </is>
      </c>
      <c r="AL114" s="256" t="inlineStr">
        <is>
          <t>Purely Plant GmbH (in-house)</t>
        </is>
      </c>
      <c r="AM114" s="256" t="inlineStr">
        <is>
          <t>Conforms | Одговара</t>
        </is>
      </c>
      <c r="AN114" s="256" t="inlineStr">
        <is>
          <t>220-7-К/26</t>
        </is>
      </c>
      <c r="AO114" s="256" t="inlineStr">
        <is>
          <t>25.08.2026</t>
        </is>
      </c>
      <c r="AP114" s="256" t="inlineStr">
        <is>
          <t>Farmahem</t>
        </is>
      </c>
      <c r="AQ114" s="256" t="inlineStr">
        <is>
          <t>8.65</t>
        </is>
      </c>
      <c r="AR114" s="256" t="inlineStr">
        <is>
          <t>220-7-К/26</t>
        </is>
      </c>
      <c r="AS114" s="256" t="inlineStr">
        <is>
          <t>25.08.2026</t>
        </is>
      </c>
      <c r="AT114" s="256" t="inlineStr">
        <is>
          <t>Farmahem</t>
        </is>
      </c>
      <c r="AU114" s="256" t="inlineStr">
        <is>
          <t>&lt; LOQ</t>
        </is>
      </c>
      <c r="AV114" s="256" t="inlineStr">
        <is>
          <t>220-7-К/26</t>
        </is>
      </c>
      <c r="AW114" s="256" t="inlineStr">
        <is>
          <t>25.08.2026</t>
        </is>
      </c>
      <c r="AX114" s="256" t="inlineStr">
        <is>
          <t>Farmahem</t>
        </is>
      </c>
      <c r="AY114" s="256" t="inlineStr">
        <is>
          <t>&lt; LOQ</t>
        </is>
      </c>
      <c r="AZ114" s="256" t="inlineStr">
        <is>
          <t>220-7-К/26</t>
        </is>
      </c>
      <c r="BA114" s="256" t="inlineStr">
        <is>
          <t>25.08.2026</t>
        </is>
      </c>
      <c r="BB114" s="256" t="inlineStr">
        <is>
          <t>Farmahem</t>
        </is>
      </c>
      <c r="BC114" s="256" t="inlineStr">
        <is>
          <t>Conforms | Одговара</t>
        </is>
      </c>
      <c r="BD114" s="256" t="inlineStr">
        <is>
          <t>iCoA-PP_26-129</t>
        </is>
      </c>
      <c r="BE114" s="256" t="inlineStr">
        <is>
          <t>17.08.2026</t>
        </is>
      </c>
      <c r="BF114" s="256" t="inlineStr">
        <is>
          <t>Purely Plant GmbH (in-house)</t>
        </is>
      </c>
      <c r="BG114" s="256" t="inlineStr">
        <is>
          <t>9.68</t>
        </is>
      </c>
      <c r="BH114" s="256" t="inlineStr">
        <is>
          <t>ППК25370</t>
        </is>
      </c>
      <c r="BI114" s="256" t="inlineStr">
        <is>
          <t>28.11.2025</t>
        </is>
      </c>
      <c r="BJ114" s="256" t="inlineStr">
        <is>
          <t>CNP</t>
        </is>
      </c>
      <c r="BK114" s="256" t="inlineStr">
        <is>
          <t>&lt; 10</t>
        </is>
      </c>
      <c r="BL114" s="256" t="inlineStr">
        <is>
          <t>1219/2170/25</t>
        </is>
      </c>
      <c r="BM114" s="256" t="inlineStr">
        <is>
          <t>01.12.2025</t>
        </is>
      </c>
      <c r="BN114" s="256" t="inlineStr">
        <is>
          <t>IPH — Institute of Public Health</t>
        </is>
      </c>
      <c r="BO114" s="256" t="inlineStr">
        <is>
          <t>&lt; 10</t>
        </is>
      </c>
      <c r="BP114" s="256" t="inlineStr">
        <is>
          <t>1219/2170/25</t>
        </is>
      </c>
      <c r="BQ114" s="256" t="inlineStr">
        <is>
          <t>01.12.2025</t>
        </is>
      </c>
      <c r="BR114" s="256" t="inlineStr">
        <is>
          <t>IPH — Institute of Public Health</t>
        </is>
      </c>
      <c r="BS114" s="256" t="inlineStr">
        <is>
          <t>&lt; 10</t>
        </is>
      </c>
      <c r="BT114" s="256" t="inlineStr">
        <is>
          <t>1219/2170/25</t>
        </is>
      </c>
      <c r="BU114" s="256" t="inlineStr">
        <is>
          <t>01.12.2025</t>
        </is>
      </c>
      <c r="BV114" s="256" t="inlineStr">
        <is>
          <t>IPH — Institute of Public Health</t>
        </is>
      </c>
      <c r="BW114" s="256" t="inlineStr">
        <is>
          <t>Absent | Отсутна</t>
        </is>
      </c>
      <c r="BX114" s="256" t="inlineStr">
        <is>
          <t>1219/2170/25</t>
        </is>
      </c>
      <c r="BY114" s="256" t="inlineStr">
        <is>
          <t>01.12.2025</t>
        </is>
      </c>
      <c r="BZ114" s="256" t="inlineStr">
        <is>
          <t>IPH — Institute of Public Health</t>
        </is>
      </c>
      <c r="CA114" s="256" t="inlineStr">
        <is>
          <t>Absent | Отсутна</t>
        </is>
      </c>
      <c r="CB114" s="256" t="inlineStr">
        <is>
          <t>1219/2170/25</t>
        </is>
      </c>
      <c r="CC114" s="256" t="inlineStr">
        <is>
          <t>01.12.2025</t>
        </is>
      </c>
      <c r="CD114" s="256" t="inlineStr">
        <is>
          <t>IPH — Institute of Public Health</t>
        </is>
      </c>
      <c r="CE114" s="260" t="inlineStr">
        <is>
          <t>upon request — not required for release</t>
        </is>
      </c>
      <c r="CF114" s="256" t="inlineStr">
        <is>
          <t>—</t>
        </is>
      </c>
      <c r="CG114" s="256" t="inlineStr">
        <is>
          <t>—</t>
        </is>
      </c>
      <c r="CH114" s="256" t="inlineStr">
        <is>
          <t>—</t>
        </is>
      </c>
      <c r="CI114" s="260" t="inlineStr">
        <is>
          <t>upon request — not required for release</t>
        </is>
      </c>
      <c r="CJ114" s="256" t="inlineStr">
        <is>
          <t>—</t>
        </is>
      </c>
      <c r="CK114" s="256" t="inlineStr">
        <is>
          <t>—</t>
        </is>
      </c>
      <c r="CL114" s="256" t="inlineStr">
        <is>
          <t>—</t>
        </is>
      </c>
      <c r="CM114" s="256" t="inlineStr">
        <is>
          <t>ND</t>
        </is>
      </c>
      <c r="CN114" s="256" t="inlineStr">
        <is>
          <t>220-7-М/26</t>
        </is>
      </c>
      <c r="CO114" s="256" t="inlineStr">
        <is>
          <t>11.09.2026</t>
        </is>
      </c>
      <c r="CP114" s="256" t="inlineStr">
        <is>
          <t>Farmahem</t>
        </is>
      </c>
      <c r="CQ114" s="256" t="inlineStr">
        <is>
          <t>ND</t>
        </is>
      </c>
      <c r="CR114" s="256" t="inlineStr">
        <is>
          <t>220-7-М/26</t>
        </is>
      </c>
      <c r="CS114" s="256" t="inlineStr">
        <is>
          <t>11.09.2026</t>
        </is>
      </c>
      <c r="CT114" s="256" t="inlineStr">
        <is>
          <t>Farmahem</t>
        </is>
      </c>
      <c r="CU114" s="256" t="inlineStr">
        <is>
          <t>ND</t>
        </is>
      </c>
      <c r="CV114" s="256" t="inlineStr">
        <is>
          <t>220-7-М/26</t>
        </is>
      </c>
      <c r="CW114" s="256" t="inlineStr">
        <is>
          <t>11.09.2026</t>
        </is>
      </c>
      <c r="CX114" s="256" t="inlineStr">
        <is>
          <t>Farmahem</t>
        </is>
      </c>
      <c r="CY114" s="256" t="inlineStr">
        <is>
          <t>0.032</t>
        </is>
      </c>
      <c r="CZ114" s="256" t="inlineStr">
        <is>
          <t>5700/2025</t>
        </is>
      </c>
      <c r="DA114" s="256" t="inlineStr">
        <is>
          <t>02.12.2025</t>
        </is>
      </c>
      <c r="DB114" s="256" t="inlineStr">
        <is>
          <t>IPH — Institute of Public Health</t>
        </is>
      </c>
      <c r="DC114" s="256" t="inlineStr">
        <is>
          <t>0.002</t>
        </is>
      </c>
      <c r="DD114" s="256" t="inlineStr">
        <is>
          <t>5700/2025</t>
        </is>
      </c>
      <c r="DE114" s="256" t="inlineStr">
        <is>
          <t>02.12.2025</t>
        </is>
      </c>
      <c r="DF114" s="256" t="inlineStr">
        <is>
          <t>IPH — Institute of Public Health</t>
        </is>
      </c>
      <c r="DG114" s="256" t="inlineStr">
        <is>
          <t>0.013</t>
        </is>
      </c>
      <c r="DH114" s="256" t="inlineStr">
        <is>
          <t>5700/2025</t>
        </is>
      </c>
      <c r="DI114" s="256" t="inlineStr">
        <is>
          <t>02.12.2025</t>
        </is>
      </c>
      <c r="DJ114" s="256" t="inlineStr">
        <is>
          <t>IPH — Institute of Public Health</t>
        </is>
      </c>
      <c r="DK114" s="256" t="inlineStr">
        <is>
          <t>0.021</t>
        </is>
      </c>
      <c r="DL114" s="256" t="inlineStr">
        <is>
          <t>5700/2025</t>
        </is>
      </c>
      <c r="DM114" s="256" t="inlineStr">
        <is>
          <t>02.12.2025</t>
        </is>
      </c>
      <c r="DN114" s="256" t="inlineStr">
        <is>
          <t>IPH — Institute of Public Health</t>
        </is>
      </c>
      <c r="DO114" s="256" t="inlineStr">
        <is>
          <t>ND</t>
        </is>
      </c>
      <c r="DP114" s="256" t="inlineStr">
        <is>
          <t>5700/2025</t>
        </is>
      </c>
      <c r="DQ114" s="256" t="inlineStr">
        <is>
          <t>02.12.2025</t>
        </is>
      </c>
      <c r="DR114" s="256" t="inlineStr">
        <is>
          <t>IPH — Institute of Public Health</t>
        </is>
      </c>
    </row>
    <row r="115">
      <c r="A115" s="256" t="inlineStr">
        <is>
          <t>CoQ-PP_26-114</t>
        </is>
      </c>
      <c r="B115" s="256" t="inlineStr">
        <is>
          <t>reissue — retest</t>
        </is>
      </c>
      <c r="C115" s="256" t="inlineStr">
        <is>
          <t>issuable</t>
        </is>
      </c>
      <c r="D115" s="256" t="inlineStr">
        <is>
          <t>18.09.2026</t>
        </is>
      </c>
      <c r="E115" s="256" t="inlineStr">
        <is>
          <t>CoQ-PP_26-069 of 06.06.2026</t>
        </is>
      </c>
      <c r="F115" s="256" t="inlineStr">
        <is>
          <t>(assigned on issue)</t>
        </is>
      </c>
      <c r="G115" s="256" t="inlineStr">
        <is>
          <t>FB012601/1</t>
        </is>
      </c>
      <c r="H115" s="256" t="inlineStr">
        <is>
          <t>P060322</t>
        </is>
      </c>
      <c r="I115" s="256" t="inlineStr">
        <is>
          <t>Fat Bastard</t>
        </is>
      </c>
      <c r="J115" s="256" t="inlineStr">
        <is>
          <t>27.03.2026</t>
        </is>
      </c>
      <c r="K115" s="256" t="inlineStr">
        <is>
          <t>22.05.2026</t>
        </is>
      </c>
      <c r="L115" s="256" t="inlineStr">
        <is>
          <t>27.03.2026</t>
        </is>
      </c>
      <c r="M115" s="256" t="inlineStr">
        <is>
          <t>22.05.2026</t>
        </is>
      </c>
      <c r="N115" s="256" t="inlineStr">
        <is>
          <t>iCoA-PP_26-130</t>
        </is>
      </c>
      <c r="O115" s="256" t="inlineStr">
        <is>
          <t>17.08.2026</t>
        </is>
      </c>
      <c r="P115" s="256" t="inlineStr">
        <is>
          <t>12.08.2026</t>
        </is>
      </c>
      <c r="Q115" s="256" t="inlineStr">
        <is>
          <t>Tranche 2</t>
        </is>
      </c>
      <c r="R115" s="256" t="inlineStr">
        <is>
          <t>17.99</t>
        </is>
      </c>
      <c r="S115" s="256" t="inlineStr">
        <is>
          <t>220-8-К/26</t>
        </is>
      </c>
      <c r="T115" s="256" t="inlineStr">
        <is>
          <t>II</t>
        </is>
      </c>
      <c r="U115" s="256" t="inlineStr">
        <is>
          <t>16.20 – 19.79 %</t>
        </is>
      </c>
      <c r="V115" s="256" t="inlineStr">
        <is>
          <t>FB_THC18 : CBD1</t>
        </is>
      </c>
      <c r="W115" s="256" t="inlineStr">
        <is>
          <t>QCSP_001_FB-II_v.01</t>
        </is>
      </c>
      <c r="X115" s="256" t="inlineStr">
        <is>
          <t>for review — replaces the issued QCSP_001_FB-II_v.01 (was FB_THC18 : CBD1, 17.15 – 18.85 %); now FB_THC18 : CBD1 16.20 – 19.79 %</t>
        </is>
      </c>
      <c r="Y115" s="256" t="inlineStr">
        <is>
          <t>HYBRID</t>
        </is>
      </c>
      <c r="Z115" s="256" t="inlineStr">
        <is>
          <t>THC</t>
        </is>
      </c>
      <c r="AA115" s="256" t="inlineStr">
        <is>
          <t>MACHINE TRIMMED</t>
        </is>
      </c>
      <c r="AB115" s="256" t="inlineStr">
        <is>
          <t>BALANCED</t>
        </is>
      </c>
      <c r="AC115" s="256" t="inlineStr">
        <is>
          <t>Triplex Alu Bag | Триплекс Aлу Kеса, PET 12 · ALU 7 · PE 80, 300 × 500 mm, net. 400.0 g ±3%</t>
        </is>
      </c>
      <c r="AD115" s="256" t="inlineStr">
        <is>
          <t>11.09.2026</t>
        </is>
      </c>
      <c r="AE115" s="256" t="inlineStr">
        <is>
          <t>Conforms | Одговара</t>
        </is>
      </c>
      <c r="AF115" s="256" t="inlineStr">
        <is>
          <t>iCoA-PP_26-130</t>
        </is>
      </c>
      <c r="AG115" s="256" t="inlineStr">
        <is>
          <t>17.08.2026</t>
        </is>
      </c>
      <c r="AH115" s="256" t="inlineStr">
        <is>
          <t>Purely Plant GmbH (in-house)</t>
        </is>
      </c>
      <c r="AI115" s="256" t="inlineStr">
        <is>
          <t>Conforms | Одговара</t>
        </is>
      </c>
      <c r="AJ115" s="256" t="inlineStr">
        <is>
          <t>iCoA-PP_26-130</t>
        </is>
      </c>
      <c r="AK115" s="256" t="inlineStr">
        <is>
          <t>17.08.2026</t>
        </is>
      </c>
      <c r="AL115" s="256" t="inlineStr">
        <is>
          <t>Purely Plant GmbH (in-house)</t>
        </is>
      </c>
      <c r="AM115" s="256" t="inlineStr">
        <is>
          <t>Conforms | Одговара</t>
        </is>
      </c>
      <c r="AN115" s="256" t="inlineStr">
        <is>
          <t>220-8-К/26</t>
        </is>
      </c>
      <c r="AO115" s="256" t="inlineStr">
        <is>
          <t>25.08.2026</t>
        </is>
      </c>
      <c r="AP115" s="256" t="inlineStr">
        <is>
          <t>Farmahem</t>
        </is>
      </c>
      <c r="AQ115" s="256" t="inlineStr">
        <is>
          <t>17.99</t>
        </is>
      </c>
      <c r="AR115" s="256" t="inlineStr">
        <is>
          <t>220-8-К/26</t>
        </is>
      </c>
      <c r="AS115" s="256" t="inlineStr">
        <is>
          <t>25.08.2026</t>
        </is>
      </c>
      <c r="AT115" s="256" t="inlineStr">
        <is>
          <t>Farmahem</t>
        </is>
      </c>
      <c r="AU115" s="256" t="inlineStr">
        <is>
          <t>&lt; LOQ</t>
        </is>
      </c>
      <c r="AV115" s="256" t="inlineStr">
        <is>
          <t>220-8-К/26</t>
        </is>
      </c>
      <c r="AW115" s="256" t="inlineStr">
        <is>
          <t>25.08.2026</t>
        </is>
      </c>
      <c r="AX115" s="256" t="inlineStr">
        <is>
          <t>Farmahem</t>
        </is>
      </c>
      <c r="AY115" s="256" t="inlineStr">
        <is>
          <t>&lt; LOQ</t>
        </is>
      </c>
      <c r="AZ115" s="256" t="inlineStr">
        <is>
          <t>220-8-К/26</t>
        </is>
      </c>
      <c r="BA115" s="256" t="inlineStr">
        <is>
          <t>25.08.2026</t>
        </is>
      </c>
      <c r="BB115" s="256" t="inlineStr">
        <is>
          <t>Farmahem</t>
        </is>
      </c>
      <c r="BC115" s="256" t="inlineStr">
        <is>
          <t>Conforms | Одговара</t>
        </is>
      </c>
      <c r="BD115" s="256" t="inlineStr">
        <is>
          <t>iCoA-PP_26-130</t>
        </is>
      </c>
      <c r="BE115" s="256" t="inlineStr">
        <is>
          <t>17.08.2026</t>
        </is>
      </c>
      <c r="BF115" s="256" t="inlineStr">
        <is>
          <t>Purely Plant GmbH (in-house)</t>
        </is>
      </c>
      <c r="BG115" s="256" t="inlineStr">
        <is>
          <t>7.67</t>
        </is>
      </c>
      <c r="BH115" s="256" t="inlineStr">
        <is>
          <t>ППК26067</t>
        </is>
      </c>
      <c r="BI115" s="256" t="inlineStr">
        <is>
          <t>11.05.2026</t>
        </is>
      </c>
      <c r="BJ115" s="256" t="inlineStr">
        <is>
          <t>UKIM Faculty of Pharmacy — Center for Natural Products</t>
        </is>
      </c>
      <c r="BK115" s="256" t="inlineStr">
        <is>
          <t>2 × 10³</t>
        </is>
      </c>
      <c r="BL115" s="256" t="inlineStr">
        <is>
          <t>308/0552/26</t>
        </is>
      </c>
      <c r="BM115" s="256" t="inlineStr">
        <is>
          <t>28.04.2026</t>
        </is>
      </c>
      <c r="BN115" s="256" t="inlineStr">
        <is>
          <t>IPH — Institute of Public Health</t>
        </is>
      </c>
      <c r="BO115" s="256" t="inlineStr">
        <is>
          <t>2,1 × 10³</t>
        </is>
      </c>
      <c r="BP115" s="256" t="inlineStr">
        <is>
          <t>308/0552/26</t>
        </is>
      </c>
      <c r="BQ115" s="256" t="inlineStr">
        <is>
          <t>28.04.2026</t>
        </is>
      </c>
      <c r="BR115" s="256" t="inlineStr">
        <is>
          <t>IPH — Institute of Public Health</t>
        </is>
      </c>
      <c r="BS115" s="256" t="inlineStr">
        <is>
          <t>&lt; 10</t>
        </is>
      </c>
      <c r="BT115" s="256" t="inlineStr">
        <is>
          <t>308/0552/26</t>
        </is>
      </c>
      <c r="BU115" s="256" t="inlineStr">
        <is>
          <t>28.04.2026</t>
        </is>
      </c>
      <c r="BV115" s="256" t="inlineStr">
        <is>
          <t>IPH — Institute of Public Health</t>
        </is>
      </c>
      <c r="BW115" s="256" t="inlineStr">
        <is>
          <t>Absent | Отсутна</t>
        </is>
      </c>
      <c r="BX115" s="256" t="inlineStr">
        <is>
          <t>308/0552/26</t>
        </is>
      </c>
      <c r="BY115" s="256" t="inlineStr">
        <is>
          <t>28.04.2026</t>
        </is>
      </c>
      <c r="BZ115" s="256" t="inlineStr">
        <is>
          <t>IPH — Institute of Public Health</t>
        </is>
      </c>
      <c r="CA115" s="256" t="inlineStr">
        <is>
          <t>Absent | Отсутна</t>
        </is>
      </c>
      <c r="CB115" s="256" t="inlineStr">
        <is>
          <t>308/0552/26</t>
        </is>
      </c>
      <c r="CC115" s="256" t="inlineStr">
        <is>
          <t>28.04.2026</t>
        </is>
      </c>
      <c r="CD115" s="256" t="inlineStr">
        <is>
          <t>IPH — Institute of Public Health</t>
        </is>
      </c>
      <c r="CE115" s="260" t="inlineStr">
        <is>
          <t>upon request — not required for release</t>
        </is>
      </c>
      <c r="CF115" s="256" t="inlineStr">
        <is>
          <t>—</t>
        </is>
      </c>
      <c r="CG115" s="256" t="inlineStr">
        <is>
          <t>—</t>
        </is>
      </c>
      <c r="CH115" s="256" t="inlineStr">
        <is>
          <t>—</t>
        </is>
      </c>
      <c r="CI115" s="260" t="inlineStr">
        <is>
          <t>upon request — not required for release</t>
        </is>
      </c>
      <c r="CJ115" s="256" t="inlineStr">
        <is>
          <t>—</t>
        </is>
      </c>
      <c r="CK115" s="256" t="inlineStr">
        <is>
          <t>—</t>
        </is>
      </c>
      <c r="CL115" s="256" t="inlineStr">
        <is>
          <t>—</t>
        </is>
      </c>
      <c r="CM115" s="256" t="inlineStr">
        <is>
          <t>ND</t>
        </is>
      </c>
      <c r="CN115" s="256" t="inlineStr">
        <is>
          <t>220-8-М/26</t>
        </is>
      </c>
      <c r="CO115" s="256" t="inlineStr">
        <is>
          <t>11.09.2026</t>
        </is>
      </c>
      <c r="CP115" s="256" t="inlineStr">
        <is>
          <t>Farmahem</t>
        </is>
      </c>
      <c r="CQ115" s="256" t="inlineStr">
        <is>
          <t>ND</t>
        </is>
      </c>
      <c r="CR115" s="256" t="inlineStr">
        <is>
          <t>220-8-М/26</t>
        </is>
      </c>
      <c r="CS115" s="256" t="inlineStr">
        <is>
          <t>11.09.2026</t>
        </is>
      </c>
      <c r="CT115" s="256" t="inlineStr">
        <is>
          <t>Farmahem</t>
        </is>
      </c>
      <c r="CU115" s="256" t="inlineStr">
        <is>
          <t>ND</t>
        </is>
      </c>
      <c r="CV115" s="256" t="inlineStr">
        <is>
          <t>220-8-М/26</t>
        </is>
      </c>
      <c r="CW115" s="256" t="inlineStr">
        <is>
          <t>11.09.2026</t>
        </is>
      </c>
      <c r="CX115" s="256" t="inlineStr">
        <is>
          <t>Farmahem</t>
        </is>
      </c>
      <c r="CY115" s="256" t="inlineStr">
        <is>
          <t>0.0114</t>
        </is>
      </c>
      <c r="CZ115" s="256" t="inlineStr">
        <is>
          <t>2362/2026</t>
        </is>
      </c>
      <c r="DA115" s="256" t="inlineStr">
        <is>
          <t>30.04.2026</t>
        </is>
      </c>
      <c r="DB115" s="256" t="inlineStr">
        <is>
          <t>IPH — Institute of Public Health</t>
        </is>
      </c>
      <c r="DC115" s="256" t="inlineStr">
        <is>
          <t>0.017</t>
        </is>
      </c>
      <c r="DD115" s="256" t="inlineStr">
        <is>
          <t>2362/2026</t>
        </is>
      </c>
      <c r="DE115" s="256" t="inlineStr">
        <is>
          <t>30.04.2026</t>
        </is>
      </c>
      <c r="DF115" s="256" t="inlineStr">
        <is>
          <t>IPH — Institute of Public Health</t>
        </is>
      </c>
      <c r="DG115" s="256" t="inlineStr">
        <is>
          <t>0.0144</t>
        </is>
      </c>
      <c r="DH115" s="256" t="inlineStr">
        <is>
          <t>2362/2026</t>
        </is>
      </c>
      <c r="DI115" s="256" t="inlineStr">
        <is>
          <t>30.04.2026</t>
        </is>
      </c>
      <c r="DJ115" s="256" t="inlineStr">
        <is>
          <t>IPH — Institute of Public Health</t>
        </is>
      </c>
      <c r="DK115" s="256" t="inlineStr">
        <is>
          <t>0.0155</t>
        </is>
      </c>
      <c r="DL115" s="256" t="inlineStr">
        <is>
          <t>2362/2026</t>
        </is>
      </c>
      <c r="DM115" s="256" t="inlineStr">
        <is>
          <t>30.04.2026</t>
        </is>
      </c>
      <c r="DN115" s="256" t="inlineStr">
        <is>
          <t>IPH — Institute of Public Health</t>
        </is>
      </c>
      <c r="DO115" s="256" t="inlineStr">
        <is>
          <t>ND</t>
        </is>
      </c>
      <c r="DP115" s="256" t="inlineStr">
        <is>
          <t>2362/2026</t>
        </is>
      </c>
      <c r="DQ115" s="256" t="inlineStr">
        <is>
          <t>30.04.2026</t>
        </is>
      </c>
      <c r="DR115" s="256" t="inlineStr">
        <is>
          <t>IPH — Institute of Public Health</t>
        </is>
      </c>
    </row>
    <row r="116">
      <c r="A116" s="256" t="inlineStr">
        <is>
          <t>CoQ-PP_26-115</t>
        </is>
      </c>
      <c r="B116" s="256" t="inlineStr">
        <is>
          <t>reissue — retest</t>
        </is>
      </c>
      <c r="C116" s="256" t="inlineStr">
        <is>
          <t>issuable</t>
        </is>
      </c>
      <c r="D116" s="256" t="inlineStr">
        <is>
          <t>18.09.2026</t>
        </is>
      </c>
      <c r="E116" s="256" t="inlineStr">
        <is>
          <t>CoQ-PP_26-004 of 06.06.2026</t>
        </is>
      </c>
      <c r="F116" s="256" t="inlineStr">
        <is>
          <t>CoQ-PP-2026-0029</t>
        </is>
      </c>
      <c r="G116" s="256" t="inlineStr">
        <is>
          <t>GG1024</t>
        </is>
      </c>
      <c r="H116" s="256" t="inlineStr">
        <is>
          <t>GG1024</t>
        </is>
      </c>
      <c r="I116" s="256" t="inlineStr">
        <is>
          <t>Gorilla Glue</t>
        </is>
      </c>
      <c r="J116" s="256" t="inlineStr">
        <is>
          <t>20.01.2025</t>
        </is>
      </c>
      <c r="K116" s="256" t="inlineStr">
        <is>
          <t>11.03.2025</t>
        </is>
      </c>
      <c r="L116" s="256" t="inlineStr">
        <is>
          <t>20.01.2025</t>
        </is>
      </c>
      <c r="M116" s="256" t="inlineStr">
        <is>
          <t>11.03.2025</t>
        </is>
      </c>
      <c r="N116" s="256" t="inlineStr">
        <is>
          <t>iCoA-PP_26-131</t>
        </is>
      </c>
      <c r="O116" s="256" t="inlineStr">
        <is>
          <t>17.08.2026</t>
        </is>
      </c>
      <c r="P116" s="256" t="inlineStr">
        <is>
          <t>12.08.2026</t>
        </is>
      </c>
      <c r="Q116" s="256" t="inlineStr">
        <is>
          <t>Tranche 2</t>
        </is>
      </c>
      <c r="R116" s="256" t="inlineStr">
        <is>
          <t>15.51</t>
        </is>
      </c>
      <c r="S116" s="256" t="inlineStr">
        <is>
          <t>220-9-К/26</t>
        </is>
      </c>
      <c r="T116" s="256" t="inlineStr">
        <is>
          <t>II</t>
        </is>
      </c>
      <c r="U116" s="256" t="inlineStr">
        <is>
          <t>13.77 – 16.22 %</t>
        </is>
      </c>
      <c r="V116" s="256" t="inlineStr">
        <is>
          <t>GG_THC15 : CBD1</t>
        </is>
      </c>
      <c r="W116" s="256" t="inlineStr">
        <is>
          <t>QCSP_001_GG-II_v.01</t>
        </is>
      </c>
      <c r="X116" s="256" t="inlineStr">
        <is>
          <t>for review — replaces the issued QCSP_001_GG-II_v.01 (was GG_THC16 : CBD1, 15.00 – 17.00 %); now GG_THC15 : CBD1 13.77 – 16.22 %</t>
        </is>
      </c>
      <c r="Y116" s="256" t="inlineStr">
        <is>
          <t>INDICA</t>
        </is>
      </c>
      <c r="Z116" s="256" t="inlineStr">
        <is>
          <t>THC</t>
        </is>
      </c>
      <c r="AA116" s="256" t="inlineStr">
        <is>
          <t>MACHINE TRIMMED</t>
        </is>
      </c>
      <c r="AB116" s="256" t="inlineStr">
        <is>
          <t>—</t>
        </is>
      </c>
      <c r="AC116" s="256" t="inlineStr">
        <is>
          <t>Triplex Alu Bag | Триплекс Aлу Kеса, PET 12 · ALU 7 · PE 80, 300 × 500 mm, net. 400.0 g ±3%</t>
        </is>
      </c>
      <c r="AD116" s="256" t="inlineStr">
        <is>
          <t>11.09.2026</t>
        </is>
      </c>
      <c r="AE116" s="256" t="inlineStr">
        <is>
          <t>Conforms | Одговара</t>
        </is>
      </c>
      <c r="AF116" s="256" t="inlineStr">
        <is>
          <t>iCoA-PP_26-131</t>
        </is>
      </c>
      <c r="AG116" s="256" t="inlineStr">
        <is>
          <t>17.08.2026</t>
        </is>
      </c>
      <c r="AH116" s="256" t="inlineStr">
        <is>
          <t>Purely Plant GmbH (in-house)</t>
        </is>
      </c>
      <c r="AI116" s="256" t="inlineStr">
        <is>
          <t>Conforms | Одговара</t>
        </is>
      </c>
      <c r="AJ116" s="256" t="inlineStr">
        <is>
          <t>iCoA-PP_26-131</t>
        </is>
      </c>
      <c r="AK116" s="256" t="inlineStr">
        <is>
          <t>17.08.2026</t>
        </is>
      </c>
      <c r="AL116" s="256" t="inlineStr">
        <is>
          <t>Purely Plant GmbH (in-house)</t>
        </is>
      </c>
      <c r="AM116" s="256" t="inlineStr">
        <is>
          <t>Conforms | Одговара</t>
        </is>
      </c>
      <c r="AN116" s="256" t="inlineStr">
        <is>
          <t>220-9-К/26</t>
        </is>
      </c>
      <c r="AO116" s="256" t="inlineStr">
        <is>
          <t>25.08.2026</t>
        </is>
      </c>
      <c r="AP116" s="256" t="inlineStr">
        <is>
          <t>Farmahem</t>
        </is>
      </c>
      <c r="AQ116" s="256" t="inlineStr">
        <is>
          <t>15.51</t>
        </is>
      </c>
      <c r="AR116" s="256" t="inlineStr">
        <is>
          <t>220-9-К/26</t>
        </is>
      </c>
      <c r="AS116" s="256" t="inlineStr">
        <is>
          <t>25.08.2026</t>
        </is>
      </c>
      <c r="AT116" s="256" t="inlineStr">
        <is>
          <t>Farmahem</t>
        </is>
      </c>
      <c r="AU116" s="256" t="inlineStr">
        <is>
          <t>&lt; LOQ</t>
        </is>
      </c>
      <c r="AV116" s="256" t="inlineStr">
        <is>
          <t>220-9-К/26</t>
        </is>
      </c>
      <c r="AW116" s="256" t="inlineStr">
        <is>
          <t>25.08.2026</t>
        </is>
      </c>
      <c r="AX116" s="256" t="inlineStr">
        <is>
          <t>Farmahem</t>
        </is>
      </c>
      <c r="AY116" s="256" t="inlineStr">
        <is>
          <t>&lt; LOQ</t>
        </is>
      </c>
      <c r="AZ116" s="256" t="inlineStr">
        <is>
          <t>220-9-К/26</t>
        </is>
      </c>
      <c r="BA116" s="256" t="inlineStr">
        <is>
          <t>25.08.2026</t>
        </is>
      </c>
      <c r="BB116" s="256" t="inlineStr">
        <is>
          <t>Farmahem</t>
        </is>
      </c>
      <c r="BC116" s="256" t="inlineStr">
        <is>
          <t>Conforms | Одговара</t>
        </is>
      </c>
      <c r="BD116" s="256" t="inlineStr">
        <is>
          <t>iCoA-PP_26-131</t>
        </is>
      </c>
      <c r="BE116" s="256" t="inlineStr">
        <is>
          <t>17.08.2026</t>
        </is>
      </c>
      <c r="BF116" s="256" t="inlineStr">
        <is>
          <t>Purely Plant GmbH (in-house)</t>
        </is>
      </c>
      <c r="BG116" s="256" t="inlineStr">
        <is>
          <t>7.8</t>
        </is>
      </c>
      <c r="BH116" s="256" t="inlineStr">
        <is>
          <t>ППК25008</t>
        </is>
      </c>
      <c r="BI116" s="256" t="inlineStr">
        <is>
          <t>29.01.2025</t>
        </is>
      </c>
      <c r="BJ116" s="256" t="inlineStr">
        <is>
          <t>CNP</t>
        </is>
      </c>
      <c r="BK116" s="256" t="inlineStr">
        <is>
          <t>1.1 × 10⁴ CFU/g</t>
        </is>
      </c>
      <c r="BL116" s="256" t="inlineStr">
        <is>
          <t>166/0274/25</t>
        </is>
      </c>
      <c r="BM116" s="256" t="inlineStr">
        <is>
          <t>24.02.2025</t>
        </is>
      </c>
      <c r="BN116" s="256" t="inlineStr">
        <is>
          <t>IPH — Institute of Public Health</t>
        </is>
      </c>
      <c r="BO116" s="256" t="inlineStr">
        <is>
          <t>&lt; 10</t>
        </is>
      </c>
      <c r="BP116" s="256" t="inlineStr">
        <is>
          <t>166/0274/25</t>
        </is>
      </c>
      <c r="BQ116" s="256" t="inlineStr">
        <is>
          <t>24.02.2025</t>
        </is>
      </c>
      <c r="BR116" s="256" t="inlineStr">
        <is>
          <t>IPH — Institute of Public Health</t>
        </is>
      </c>
      <c r="BS116" s="256" t="inlineStr">
        <is>
          <t>&lt; 10² and &gt; 10 CFU/g</t>
        </is>
      </c>
      <c r="BT116" s="256" t="inlineStr">
        <is>
          <t>166/0274/25</t>
        </is>
      </c>
      <c r="BU116" s="256" t="inlineStr">
        <is>
          <t>24.02.2025</t>
        </is>
      </c>
      <c r="BV116" s="256" t="inlineStr">
        <is>
          <t>IPH — Institute of Public Health</t>
        </is>
      </c>
      <c r="BW116" s="256" t="inlineStr">
        <is>
          <t>Absent | Отсутна</t>
        </is>
      </c>
      <c r="BX116" s="256" t="inlineStr">
        <is>
          <t>166/0274/25</t>
        </is>
      </c>
      <c r="BY116" s="256" t="inlineStr">
        <is>
          <t>24.02.2025</t>
        </is>
      </c>
      <c r="BZ116" s="256" t="inlineStr">
        <is>
          <t>IPH — Institute of Public Health</t>
        </is>
      </c>
      <c r="CA116" s="256" t="inlineStr">
        <is>
          <t>Absent | Отсутна</t>
        </is>
      </c>
      <c r="CB116" s="256" t="inlineStr">
        <is>
          <t>166/0274/25</t>
        </is>
      </c>
      <c r="CC116" s="256" t="inlineStr">
        <is>
          <t>24.02.2025</t>
        </is>
      </c>
      <c r="CD116" s="256" t="inlineStr">
        <is>
          <t>IPH — Institute of Public Health</t>
        </is>
      </c>
      <c r="CE116" s="260" t="inlineStr">
        <is>
          <t>upon request — not required for release</t>
        </is>
      </c>
      <c r="CF116" s="256" t="inlineStr">
        <is>
          <t>—</t>
        </is>
      </c>
      <c r="CG116" s="256" t="inlineStr">
        <is>
          <t>—</t>
        </is>
      </c>
      <c r="CH116" s="256" t="inlineStr">
        <is>
          <t>—</t>
        </is>
      </c>
      <c r="CI116" s="260" t="inlineStr">
        <is>
          <t>upon request — not required for release</t>
        </is>
      </c>
      <c r="CJ116" s="256" t="inlineStr">
        <is>
          <t>—</t>
        </is>
      </c>
      <c r="CK116" s="256" t="inlineStr">
        <is>
          <t>—</t>
        </is>
      </c>
      <c r="CL116" s="256" t="inlineStr">
        <is>
          <t>—</t>
        </is>
      </c>
      <c r="CM116" s="256" t="inlineStr">
        <is>
          <t>ND</t>
        </is>
      </c>
      <c r="CN116" s="256" t="inlineStr">
        <is>
          <t>220-9-М/26</t>
        </is>
      </c>
      <c r="CO116" s="256" t="inlineStr">
        <is>
          <t>11.09.2026</t>
        </is>
      </c>
      <c r="CP116" s="256" t="inlineStr">
        <is>
          <t>Farmahem</t>
        </is>
      </c>
      <c r="CQ116" s="256" t="inlineStr">
        <is>
          <t>ND</t>
        </is>
      </c>
      <c r="CR116" s="256" t="inlineStr">
        <is>
          <t>220-9-М/26</t>
        </is>
      </c>
      <c r="CS116" s="256" t="inlineStr">
        <is>
          <t>11.09.2026</t>
        </is>
      </c>
      <c r="CT116" s="256" t="inlineStr">
        <is>
          <t>Farmahem</t>
        </is>
      </c>
      <c r="CU116" s="256" t="inlineStr">
        <is>
          <t>ND</t>
        </is>
      </c>
      <c r="CV116" s="256" t="inlineStr">
        <is>
          <t>220-9-М/26</t>
        </is>
      </c>
      <c r="CW116" s="256" t="inlineStr">
        <is>
          <t>11.09.2026</t>
        </is>
      </c>
      <c r="CX116" s="256" t="inlineStr">
        <is>
          <t>Farmahem</t>
        </is>
      </c>
      <c r="CY116" s="256" t="inlineStr">
        <is>
          <t>0.052</t>
        </is>
      </c>
      <c r="CZ116" s="256" t="inlineStr">
        <is>
          <t>748/2025</t>
        </is>
      </c>
      <c r="DA116" s="256" t="inlineStr">
        <is>
          <t>04.03.2025</t>
        </is>
      </c>
      <c r="DB116" s="256" t="inlineStr">
        <is>
          <t>IPH — Institute of Public Health</t>
        </is>
      </c>
      <c r="DC116" s="256" t="inlineStr">
        <is>
          <t>0.016</t>
        </is>
      </c>
      <c r="DD116" s="256" t="inlineStr">
        <is>
          <t>748/2025</t>
        </is>
      </c>
      <c r="DE116" s="256" t="inlineStr">
        <is>
          <t>04.03.2025</t>
        </is>
      </c>
      <c r="DF116" s="256" t="inlineStr">
        <is>
          <t>IPH — Institute of Public Health</t>
        </is>
      </c>
      <c r="DG116" s="256" t="inlineStr">
        <is>
          <t>0.04</t>
        </is>
      </c>
      <c r="DH116" s="256" t="inlineStr">
        <is>
          <t>748/2025</t>
        </is>
      </c>
      <c r="DI116" s="256" t="inlineStr">
        <is>
          <t>04.03.2025</t>
        </is>
      </c>
      <c r="DJ116" s="256" t="inlineStr">
        <is>
          <t>IPH — Institute of Public Health</t>
        </is>
      </c>
      <c r="DK116" s="256" t="inlineStr">
        <is>
          <t>0.004</t>
        </is>
      </c>
      <c r="DL116" s="256" t="inlineStr">
        <is>
          <t>748/2025</t>
        </is>
      </c>
      <c r="DM116" s="256" t="inlineStr">
        <is>
          <t>04.03.2025</t>
        </is>
      </c>
      <c r="DN116" s="256" t="inlineStr">
        <is>
          <t>IPH — Institute of Public Health</t>
        </is>
      </c>
      <c r="DO116" s="256" t="inlineStr">
        <is>
          <t>ND mg/Kg — all 22 residues</t>
        </is>
      </c>
      <c r="DP116" s="256" t="inlineStr">
        <is>
          <t>748/2025</t>
        </is>
      </c>
      <c r="DQ116" s="256" t="inlineStr">
        <is>
          <t>04.03.2025</t>
        </is>
      </c>
      <c r="DR116" s="256" t="inlineStr">
        <is>
          <t>IJZ</t>
        </is>
      </c>
    </row>
    <row r="117">
      <c r="A117" s="256" t="inlineStr">
        <is>
          <t>CoQ-PP_26-116</t>
        </is>
      </c>
      <c r="B117" s="256" t="inlineStr">
        <is>
          <t>reissue — retest</t>
        </is>
      </c>
      <c r="C117" s="256" t="inlineStr">
        <is>
          <t>issuable</t>
        </is>
      </c>
      <c r="D117" s="256" t="inlineStr">
        <is>
          <t>18.09.2026</t>
        </is>
      </c>
      <c r="E117" s="256" t="inlineStr">
        <is>
          <t>CoQ-PP_26-034 of 06.06.2026</t>
        </is>
      </c>
      <c r="F117" s="256" t="inlineStr">
        <is>
          <t>(assigned on issue)</t>
        </is>
      </c>
      <c r="G117" s="256" t="inlineStr">
        <is>
          <t>GP072501/2</t>
        </is>
      </c>
      <c r="H117" s="256" t="inlineStr">
        <is>
          <t>P050302</t>
        </is>
      </c>
      <c r="I117" s="256" t="inlineStr">
        <is>
          <t>Grape Pie</t>
        </is>
      </c>
      <c r="J117" s="256" t="inlineStr">
        <is>
          <t>13.11.2025</t>
        </is>
      </c>
      <c r="K117" s="256" t="inlineStr">
        <is>
          <t>22.12.2025</t>
        </is>
      </c>
      <c r="L117" s="256" t="inlineStr">
        <is>
          <t>13.11.2025</t>
        </is>
      </c>
      <c r="M117" s="256" t="inlineStr">
        <is>
          <t>22.12.2025</t>
        </is>
      </c>
      <c r="N117" s="256" t="inlineStr">
        <is>
          <t>iCoA-PP_26-132</t>
        </is>
      </c>
      <c r="O117" s="256" t="inlineStr">
        <is>
          <t>17.08.2026</t>
        </is>
      </c>
      <c r="P117" s="256" t="inlineStr">
        <is>
          <t>12.08.2026</t>
        </is>
      </c>
      <c r="Q117" s="256" t="inlineStr">
        <is>
          <t>Tranche 2</t>
        </is>
      </c>
      <c r="R117" s="256" t="inlineStr">
        <is>
          <t>18.29</t>
        </is>
      </c>
      <c r="S117" s="256" t="inlineStr">
        <is>
          <t>220-10-К/26</t>
        </is>
      </c>
      <c r="T117" s="256" t="inlineStr">
        <is>
          <t>III</t>
        </is>
      </c>
      <c r="U117" s="256" t="inlineStr">
        <is>
          <t>18.00 – 21.99 %</t>
        </is>
      </c>
      <c r="V117" s="256" t="inlineStr">
        <is>
          <t>GP_THC20 : CBD1</t>
        </is>
      </c>
      <c r="W117" s="256" t="inlineStr">
        <is>
          <t>QCSP_001_GP-III_v.01</t>
        </is>
      </c>
      <c r="X117" s="256" t="inlineStr">
        <is>
          <t>for review — replaces the issued QCSP_001_GP-III_v.01 (was GP_THC24 : CBD1, 22.61 – 25.39 %); now GP_THC20 : CBD1 18.00 – 21.99 %</t>
        </is>
      </c>
      <c r="Y117" s="256" t="inlineStr">
        <is>
          <t>HYBRID</t>
        </is>
      </c>
      <c r="Z117" s="256" t="inlineStr">
        <is>
          <t>THC</t>
        </is>
      </c>
      <c r="AA117" s="256" t="inlineStr">
        <is>
          <t>MACHINE TRIMMED</t>
        </is>
      </c>
      <c r="AB117" s="256" t="inlineStr">
        <is>
          <t>INDICA-DOMINANT</t>
        </is>
      </c>
      <c r="AC117" s="256" t="inlineStr">
        <is>
          <t>Triplex Alu Bag | Триплекс Aлу Kеса, PET 12 · ALU 7 · PE 80, 300 × 500 mm, net. 400.0 g ±3%</t>
        </is>
      </c>
      <c r="AD117" s="256" t="inlineStr">
        <is>
          <t>11.09.2026</t>
        </is>
      </c>
      <c r="AE117" s="256" t="inlineStr">
        <is>
          <t>Conforms | Одговара</t>
        </is>
      </c>
      <c r="AF117" s="256" t="inlineStr">
        <is>
          <t>iCoA-PP_26-132</t>
        </is>
      </c>
      <c r="AG117" s="256" t="inlineStr">
        <is>
          <t>17.08.2026</t>
        </is>
      </c>
      <c r="AH117" s="256" t="inlineStr">
        <is>
          <t>Purely Plant GmbH (in-house)</t>
        </is>
      </c>
      <c r="AI117" s="256" t="inlineStr">
        <is>
          <t>Conforms | Одговара</t>
        </is>
      </c>
      <c r="AJ117" s="256" t="inlineStr">
        <is>
          <t>iCoA-PP_26-132</t>
        </is>
      </c>
      <c r="AK117" s="256" t="inlineStr">
        <is>
          <t>17.08.2026</t>
        </is>
      </c>
      <c r="AL117" s="256" t="inlineStr">
        <is>
          <t>Purely Plant GmbH (in-house)</t>
        </is>
      </c>
      <c r="AM117" s="256" t="inlineStr">
        <is>
          <t>Conforms | Одговара</t>
        </is>
      </c>
      <c r="AN117" s="256" t="inlineStr">
        <is>
          <t>220-10-К/26</t>
        </is>
      </c>
      <c r="AO117" s="256" t="inlineStr">
        <is>
          <t>25.08.2026</t>
        </is>
      </c>
      <c r="AP117" s="256" t="inlineStr">
        <is>
          <t>Farmahem</t>
        </is>
      </c>
      <c r="AQ117" s="256" t="inlineStr">
        <is>
          <t>18.29</t>
        </is>
      </c>
      <c r="AR117" s="256" t="inlineStr">
        <is>
          <t>220-10-К/26</t>
        </is>
      </c>
      <c r="AS117" s="256" t="inlineStr">
        <is>
          <t>25.08.2026</t>
        </is>
      </c>
      <c r="AT117" s="256" t="inlineStr">
        <is>
          <t>Farmahem</t>
        </is>
      </c>
      <c r="AU117" s="256" t="inlineStr">
        <is>
          <t>&lt; LOQ</t>
        </is>
      </c>
      <c r="AV117" s="256" t="inlineStr">
        <is>
          <t>220-10-К/26</t>
        </is>
      </c>
      <c r="AW117" s="256" t="inlineStr">
        <is>
          <t>25.08.2026</t>
        </is>
      </c>
      <c r="AX117" s="256" t="inlineStr">
        <is>
          <t>Farmahem</t>
        </is>
      </c>
      <c r="AY117" s="256" t="inlineStr">
        <is>
          <t>&lt; LOQ</t>
        </is>
      </c>
      <c r="AZ117" s="256" t="inlineStr">
        <is>
          <t>220-10-К/26</t>
        </is>
      </c>
      <c r="BA117" s="256" t="inlineStr">
        <is>
          <t>25.08.2026</t>
        </is>
      </c>
      <c r="BB117" s="256" t="inlineStr">
        <is>
          <t>Farmahem</t>
        </is>
      </c>
      <c r="BC117" s="256" t="inlineStr">
        <is>
          <t>Conforms | Одговара</t>
        </is>
      </c>
      <c r="BD117" s="256" t="inlineStr">
        <is>
          <t>iCoA-PP_26-132</t>
        </is>
      </c>
      <c r="BE117" s="256" t="inlineStr">
        <is>
          <t>17.08.2026</t>
        </is>
      </c>
      <c r="BF117" s="256" t="inlineStr">
        <is>
          <t>Purely Plant GmbH (in-house)</t>
        </is>
      </c>
      <c r="BG117" s="256" t="inlineStr">
        <is>
          <t>7.41</t>
        </is>
      </c>
      <c r="BH117" s="256" t="inlineStr">
        <is>
          <t>ППК25379</t>
        </is>
      </c>
      <c r="BI117" s="256" t="inlineStr">
        <is>
          <t>12.12.2025</t>
        </is>
      </c>
      <c r="BJ117" s="256" t="inlineStr">
        <is>
          <t>CNP</t>
        </is>
      </c>
      <c r="BK117" s="256" t="inlineStr">
        <is>
          <t>2 × 10²</t>
        </is>
      </c>
      <c r="BL117" s="256" t="inlineStr">
        <is>
          <t>1229/2195/25</t>
        </is>
      </c>
      <c r="BM117" s="256" t="inlineStr">
        <is>
          <t>05.12.2025</t>
        </is>
      </c>
      <c r="BN117" s="256" t="inlineStr">
        <is>
          <t>IPH — Institute of Public Health</t>
        </is>
      </c>
      <c r="BO117" s="256" t="inlineStr">
        <is>
          <t>3 × 10²</t>
        </is>
      </c>
      <c r="BP117" s="256" t="inlineStr">
        <is>
          <t>1229/2195/25</t>
        </is>
      </c>
      <c r="BQ117" s="256" t="inlineStr">
        <is>
          <t>05.12.2025</t>
        </is>
      </c>
      <c r="BR117" s="256" t="inlineStr">
        <is>
          <t>IPH — Institute of Public Health</t>
        </is>
      </c>
      <c r="BS117" s="256" t="inlineStr">
        <is>
          <t>&lt; 10</t>
        </is>
      </c>
      <c r="BT117" s="256" t="inlineStr">
        <is>
          <t>1229/2195/25</t>
        </is>
      </c>
      <c r="BU117" s="256" t="inlineStr">
        <is>
          <t>05.12.2025</t>
        </is>
      </c>
      <c r="BV117" s="256" t="inlineStr">
        <is>
          <t>IPH — Institute of Public Health</t>
        </is>
      </c>
      <c r="BW117" s="256" t="inlineStr">
        <is>
          <t>Absent | Отсутна</t>
        </is>
      </c>
      <c r="BX117" s="256" t="inlineStr">
        <is>
          <t>1229/2195/25</t>
        </is>
      </c>
      <c r="BY117" s="256" t="inlineStr">
        <is>
          <t>05.12.2025</t>
        </is>
      </c>
      <c r="BZ117" s="256" t="inlineStr">
        <is>
          <t>IPH — Institute of Public Health</t>
        </is>
      </c>
      <c r="CA117" s="256" t="inlineStr">
        <is>
          <t>Absent | Отсутна</t>
        </is>
      </c>
      <c r="CB117" s="256" t="inlineStr">
        <is>
          <t>1229/2195/25</t>
        </is>
      </c>
      <c r="CC117" s="256" t="inlineStr">
        <is>
          <t>05.12.2025</t>
        </is>
      </c>
      <c r="CD117" s="256" t="inlineStr">
        <is>
          <t>IPH — Institute of Public Health</t>
        </is>
      </c>
      <c r="CE117" s="260" t="inlineStr">
        <is>
          <t>upon request — not required for release</t>
        </is>
      </c>
      <c r="CF117" s="256" t="inlineStr">
        <is>
          <t>—</t>
        </is>
      </c>
      <c r="CG117" s="256" t="inlineStr">
        <is>
          <t>—</t>
        </is>
      </c>
      <c r="CH117" s="256" t="inlineStr">
        <is>
          <t>—</t>
        </is>
      </c>
      <c r="CI117" s="260" t="inlineStr">
        <is>
          <t>upon request — not required for release</t>
        </is>
      </c>
      <c r="CJ117" s="256" t="inlineStr">
        <is>
          <t>—</t>
        </is>
      </c>
      <c r="CK117" s="256" t="inlineStr">
        <is>
          <t>—</t>
        </is>
      </c>
      <c r="CL117" s="256" t="inlineStr">
        <is>
          <t>—</t>
        </is>
      </c>
      <c r="CM117" s="256" t="inlineStr">
        <is>
          <t>ND</t>
        </is>
      </c>
      <c r="CN117" s="256" t="inlineStr">
        <is>
          <t>220-10-М/26</t>
        </is>
      </c>
      <c r="CO117" s="256" t="inlineStr">
        <is>
          <t>11.09.2026</t>
        </is>
      </c>
      <c r="CP117" s="256" t="inlineStr">
        <is>
          <t>Farmahem</t>
        </is>
      </c>
      <c r="CQ117" s="256" t="inlineStr">
        <is>
          <t>ND</t>
        </is>
      </c>
      <c r="CR117" s="256" t="inlineStr">
        <is>
          <t>220-10-М/26</t>
        </is>
      </c>
      <c r="CS117" s="256" t="inlineStr">
        <is>
          <t>11.09.2026</t>
        </is>
      </c>
      <c r="CT117" s="256" t="inlineStr">
        <is>
          <t>Farmahem</t>
        </is>
      </c>
      <c r="CU117" s="256" t="inlineStr">
        <is>
          <t>ND</t>
        </is>
      </c>
      <c r="CV117" s="256" t="inlineStr">
        <is>
          <t>220-10-М/26</t>
        </is>
      </c>
      <c r="CW117" s="256" t="inlineStr">
        <is>
          <t>11.09.2026</t>
        </is>
      </c>
      <c r="CX117" s="256" t="inlineStr">
        <is>
          <t>Farmahem</t>
        </is>
      </c>
      <c r="CY117" s="256" t="inlineStr">
        <is>
          <t>0.017</t>
        </is>
      </c>
      <c r="CZ117" s="256" t="inlineStr">
        <is>
          <t>5887/2025</t>
        </is>
      </c>
      <c r="DA117" s="256" t="inlineStr">
        <is>
          <t>12.12.2025</t>
        </is>
      </c>
      <c r="DB117" s="256" t="inlineStr">
        <is>
          <t>IPH — Institute of Public Health</t>
        </is>
      </c>
      <c r="DC117" s="256" t="inlineStr">
        <is>
          <t>0.0028</t>
        </is>
      </c>
      <c r="DD117" s="256" t="inlineStr">
        <is>
          <t>5887/2025</t>
        </is>
      </c>
      <c r="DE117" s="256" t="inlineStr">
        <is>
          <t>12.12.2025</t>
        </is>
      </c>
      <c r="DF117" s="256" t="inlineStr">
        <is>
          <t>IPH — Institute of Public Health</t>
        </is>
      </c>
      <c r="DG117" s="256" t="inlineStr">
        <is>
          <t>0.02</t>
        </is>
      </c>
      <c r="DH117" s="256" t="inlineStr">
        <is>
          <t>5887/2025</t>
        </is>
      </c>
      <c r="DI117" s="256" t="inlineStr">
        <is>
          <t>12.12.2025</t>
        </is>
      </c>
      <c r="DJ117" s="256" t="inlineStr">
        <is>
          <t>IPH — Institute of Public Health</t>
        </is>
      </c>
      <c r="DK117" s="256" t="inlineStr">
        <is>
          <t>0.019</t>
        </is>
      </c>
      <c r="DL117" s="256" t="inlineStr">
        <is>
          <t>5887/2025</t>
        </is>
      </c>
      <c r="DM117" s="256" t="inlineStr">
        <is>
          <t>12.12.2025</t>
        </is>
      </c>
      <c r="DN117" s="256" t="inlineStr">
        <is>
          <t>IPH — Institute of Public Health</t>
        </is>
      </c>
      <c r="DO117" s="256" t="inlineStr">
        <is>
          <t>ND</t>
        </is>
      </c>
      <c r="DP117" s="256" t="inlineStr">
        <is>
          <t>5887/2025</t>
        </is>
      </c>
      <c r="DQ117" s="256" t="inlineStr">
        <is>
          <t>12.12.2025</t>
        </is>
      </c>
      <c r="DR117" s="256" t="inlineStr">
        <is>
          <t>IPH — Institute of Public Health</t>
        </is>
      </c>
    </row>
    <row r="118">
      <c r="A118" s="256" t="inlineStr">
        <is>
          <t>CoQ-PP_26-117</t>
        </is>
      </c>
      <c r="B118" s="256" t="inlineStr">
        <is>
          <t>reissue — retest</t>
        </is>
      </c>
      <c r="C118" s="256" t="inlineStr">
        <is>
          <t>issuable</t>
        </is>
      </c>
      <c r="D118" s="256" t="inlineStr">
        <is>
          <t>18.09.2026</t>
        </is>
      </c>
      <c r="E118" s="256" t="inlineStr">
        <is>
          <t>CoQ-PP_26-013 of 06.06.2026</t>
        </is>
      </c>
      <c r="F118" s="256" t="inlineStr">
        <is>
          <t>CoQ-PP-2026-0036</t>
        </is>
      </c>
      <c r="G118" s="256" t="inlineStr">
        <is>
          <t>GP0824_03</t>
        </is>
      </c>
      <c r="H118" s="256" t="inlineStr">
        <is>
          <t>P050072</t>
        </is>
      </c>
      <c r="I118" s="256" t="inlineStr">
        <is>
          <t>Grape Pie</t>
        </is>
      </c>
      <c r="J118" s="256" t="inlineStr">
        <is>
          <t>09.06.2025 – 10.06.2025</t>
        </is>
      </c>
      <c r="K118" s="256" t="inlineStr">
        <is>
          <t>14.07.2025 – 17.07.2025</t>
        </is>
      </c>
      <c r="L118" s="256" t="inlineStr">
        <is>
          <t>09.06.2025</t>
        </is>
      </c>
      <c r="M118" s="256" t="inlineStr">
        <is>
          <t>14.07.2025</t>
        </is>
      </c>
      <c r="N118" s="256" t="inlineStr">
        <is>
          <t>iCoA-PP_26-133</t>
        </is>
      </c>
      <c r="O118" s="256" t="inlineStr">
        <is>
          <t>17.08.2026</t>
        </is>
      </c>
      <c r="P118" s="256" t="inlineStr">
        <is>
          <t>12.08.2026</t>
        </is>
      </c>
      <c r="Q118" s="256" t="inlineStr">
        <is>
          <t>Tranche 2</t>
        </is>
      </c>
      <c r="R118" s="256" t="inlineStr">
        <is>
          <t>28.30</t>
        </is>
      </c>
      <c r="S118" s="256" t="inlineStr">
        <is>
          <t>220-11-К/26</t>
        </is>
      </c>
      <c r="T118" s="256" t="inlineStr">
        <is>
          <t>I</t>
        </is>
      </c>
      <c r="U118" s="256" t="inlineStr">
        <is>
          <t>26.00 – 29.99 %</t>
        </is>
      </c>
      <c r="V118" s="256" t="inlineStr">
        <is>
          <t>GP_THC28 : CBD1</t>
        </is>
      </c>
      <c r="W118" s="256" t="inlineStr">
        <is>
          <t>QCSP_001_GP-I_v.01</t>
        </is>
      </c>
      <c r="X118" s="256" t="inlineStr">
        <is>
          <t>for review — replaces the issued QCSP_001_GP-I_v.01 (was GP_THC28 : CBD1, 26.61 – 29.39 %); now GP_THC28 : CBD1 26.00 – 29.99 %</t>
        </is>
      </c>
      <c r="Y118" s="256" t="inlineStr">
        <is>
          <t>HYBRID</t>
        </is>
      </c>
      <c r="Z118" s="256" t="inlineStr">
        <is>
          <t>THC</t>
        </is>
      </c>
      <c r="AA118" s="256" t="inlineStr">
        <is>
          <t>MACHINE TRIMMED</t>
        </is>
      </c>
      <c r="AB118" s="256" t="inlineStr">
        <is>
          <t>INDICA-DOMINANT</t>
        </is>
      </c>
      <c r="AC118" s="256" t="inlineStr">
        <is>
          <t>Triplex Alu Bag | Триплекс Aлу Kеса, PET 12 · ALU 7 · PE 80, 300 × 500 mm, net. 400.0 g ±3%</t>
        </is>
      </c>
      <c r="AD118" s="256" t="inlineStr">
        <is>
          <t>11.09.2026</t>
        </is>
      </c>
      <c r="AE118" s="256" t="inlineStr">
        <is>
          <t>Conforms | Одговара</t>
        </is>
      </c>
      <c r="AF118" s="256" t="inlineStr">
        <is>
          <t>iCoA-PP_26-133</t>
        </is>
      </c>
      <c r="AG118" s="256" t="inlineStr">
        <is>
          <t>17.08.2026</t>
        </is>
      </c>
      <c r="AH118" s="256" t="inlineStr">
        <is>
          <t>Purely Plant GmbH (in-house)</t>
        </is>
      </c>
      <c r="AI118" s="256" t="inlineStr">
        <is>
          <t>Conforms | Одговара</t>
        </is>
      </c>
      <c r="AJ118" s="256" t="inlineStr">
        <is>
          <t>iCoA-PP_26-133</t>
        </is>
      </c>
      <c r="AK118" s="256" t="inlineStr">
        <is>
          <t>17.08.2026</t>
        </is>
      </c>
      <c r="AL118" s="256" t="inlineStr">
        <is>
          <t>Purely Plant GmbH (in-house)</t>
        </is>
      </c>
      <c r="AM118" s="256" t="inlineStr">
        <is>
          <t>Conforms | Одговара</t>
        </is>
      </c>
      <c r="AN118" s="256" t="inlineStr">
        <is>
          <t>220-11-К/26</t>
        </is>
      </c>
      <c r="AO118" s="256" t="inlineStr">
        <is>
          <t>25.08.2026</t>
        </is>
      </c>
      <c r="AP118" s="256" t="inlineStr">
        <is>
          <t>Farmahem</t>
        </is>
      </c>
      <c r="AQ118" s="256" t="inlineStr">
        <is>
          <t>28.30</t>
        </is>
      </c>
      <c r="AR118" s="256" t="inlineStr">
        <is>
          <t>220-11-К/26</t>
        </is>
      </c>
      <c r="AS118" s="256" t="inlineStr">
        <is>
          <t>25.08.2026</t>
        </is>
      </c>
      <c r="AT118" s="256" t="inlineStr">
        <is>
          <t>Farmahem</t>
        </is>
      </c>
      <c r="AU118" s="256" t="inlineStr">
        <is>
          <t>&lt; LOQ</t>
        </is>
      </c>
      <c r="AV118" s="256" t="inlineStr">
        <is>
          <t>220-11-К/26</t>
        </is>
      </c>
      <c r="AW118" s="256" t="inlineStr">
        <is>
          <t>25.08.2026</t>
        </is>
      </c>
      <c r="AX118" s="256" t="inlineStr">
        <is>
          <t>Farmahem</t>
        </is>
      </c>
      <c r="AY118" s="256" t="inlineStr">
        <is>
          <t>&lt; LOQ</t>
        </is>
      </c>
      <c r="AZ118" s="256" t="inlineStr">
        <is>
          <t>220-11-К/26</t>
        </is>
      </c>
      <c r="BA118" s="256" t="inlineStr">
        <is>
          <t>25.08.2026</t>
        </is>
      </c>
      <c r="BB118" s="256" t="inlineStr">
        <is>
          <t>Farmahem</t>
        </is>
      </c>
      <c r="BC118" s="256" t="inlineStr">
        <is>
          <t>Conforms | Одговара</t>
        </is>
      </c>
      <c r="BD118" s="256" t="inlineStr">
        <is>
          <t>iCoA-PP_26-133</t>
        </is>
      </c>
      <c r="BE118" s="256" t="inlineStr">
        <is>
          <t>17.08.2026</t>
        </is>
      </c>
      <c r="BF118" s="256" t="inlineStr">
        <is>
          <t>Purely Plant GmbH (in-house)</t>
        </is>
      </c>
      <c r="BG118" s="256" t="inlineStr">
        <is>
          <t>6.58</t>
        </is>
      </c>
      <c r="BH118" s="256" t="inlineStr">
        <is>
          <t>ППК25175</t>
        </is>
      </c>
      <c r="BI118" s="256" t="inlineStr">
        <is>
          <t>10.07.2025</t>
        </is>
      </c>
      <c r="BJ118" s="256" t="inlineStr">
        <is>
          <t>UKIM Faculty of Pharmacy — Center for Natural Products</t>
        </is>
      </c>
      <c r="BK118" s="256" t="inlineStr">
        <is>
          <t>1.1 × 10⁴</t>
        </is>
      </c>
      <c r="BL118" s="256" t="inlineStr">
        <is>
          <t>628/1129/25</t>
        </is>
      </c>
      <c r="BM118" s="256" t="inlineStr">
        <is>
          <t>02.07.2025</t>
        </is>
      </c>
      <c r="BN118" s="256" t="inlineStr">
        <is>
          <t>IPH — Institute of Public Health</t>
        </is>
      </c>
      <c r="BO118" s="256" t="inlineStr">
        <is>
          <t>1.2 × 10⁴</t>
        </is>
      </c>
      <c r="BP118" s="256" t="inlineStr">
        <is>
          <t>628/1129/25</t>
        </is>
      </c>
      <c r="BQ118" s="256" t="inlineStr">
        <is>
          <t>02.07.2025</t>
        </is>
      </c>
      <c r="BR118" s="256" t="inlineStr">
        <is>
          <t>IPH — Institute of Public Health</t>
        </is>
      </c>
      <c r="BS118" s="256" t="inlineStr">
        <is>
          <t>&lt; 10⁴ and &gt; 10³</t>
        </is>
      </c>
      <c r="BT118" s="256" t="inlineStr">
        <is>
          <t>628/1129/25</t>
        </is>
      </c>
      <c r="BU118" s="256" t="inlineStr">
        <is>
          <t>02.07.2025</t>
        </is>
      </c>
      <c r="BV118" s="256" t="inlineStr">
        <is>
          <t>IPH — Institute of Public Health</t>
        </is>
      </c>
      <c r="BW118" s="256" t="inlineStr">
        <is>
          <t>Absent | Отсутна</t>
        </is>
      </c>
      <c r="BX118" s="256" t="inlineStr">
        <is>
          <t>628/1129/25</t>
        </is>
      </c>
      <c r="BY118" s="256" t="inlineStr">
        <is>
          <t>02.07.2025</t>
        </is>
      </c>
      <c r="BZ118" s="256" t="inlineStr">
        <is>
          <t>IPH — Institute of Public Health</t>
        </is>
      </c>
      <c r="CA118" s="256" t="inlineStr">
        <is>
          <t>Absent | Отсутна</t>
        </is>
      </c>
      <c r="CB118" s="256" t="inlineStr">
        <is>
          <t>628/1129/25</t>
        </is>
      </c>
      <c r="CC118" s="256" t="inlineStr">
        <is>
          <t>02.07.2025</t>
        </is>
      </c>
      <c r="CD118" s="256" t="inlineStr">
        <is>
          <t>IPH — Institute of Public Health</t>
        </is>
      </c>
      <c r="CE118" s="260" t="inlineStr">
        <is>
          <t>upon request — not required for release</t>
        </is>
      </c>
      <c r="CF118" s="256" t="inlineStr">
        <is>
          <t>—</t>
        </is>
      </c>
      <c r="CG118" s="256" t="inlineStr">
        <is>
          <t>—</t>
        </is>
      </c>
      <c r="CH118" s="256" t="inlineStr">
        <is>
          <t>—</t>
        </is>
      </c>
      <c r="CI118" s="260" t="inlineStr">
        <is>
          <t>upon request — not required for release</t>
        </is>
      </c>
      <c r="CJ118" s="256" t="inlineStr">
        <is>
          <t>—</t>
        </is>
      </c>
      <c r="CK118" s="256" t="inlineStr">
        <is>
          <t>—</t>
        </is>
      </c>
      <c r="CL118" s="256" t="inlineStr">
        <is>
          <t>—</t>
        </is>
      </c>
      <c r="CM118" s="256" t="inlineStr">
        <is>
          <t>ND</t>
        </is>
      </c>
      <c r="CN118" s="256" t="inlineStr">
        <is>
          <t>220-11-М/26</t>
        </is>
      </c>
      <c r="CO118" s="256" t="inlineStr">
        <is>
          <t>11.09.2026</t>
        </is>
      </c>
      <c r="CP118" s="256" t="inlineStr">
        <is>
          <t>Farmahem</t>
        </is>
      </c>
      <c r="CQ118" s="256" t="inlineStr">
        <is>
          <t>ND</t>
        </is>
      </c>
      <c r="CR118" s="256" t="inlineStr">
        <is>
          <t>220-11-М/26</t>
        </is>
      </c>
      <c r="CS118" s="256" t="inlineStr">
        <is>
          <t>11.09.2026</t>
        </is>
      </c>
      <c r="CT118" s="256" t="inlineStr">
        <is>
          <t>Farmahem</t>
        </is>
      </c>
      <c r="CU118" s="256" t="inlineStr">
        <is>
          <t>ND</t>
        </is>
      </c>
      <c r="CV118" s="256" t="inlineStr">
        <is>
          <t>220-11-М/26</t>
        </is>
      </c>
      <c r="CW118" s="256" t="inlineStr">
        <is>
          <t>11.09.2026</t>
        </is>
      </c>
      <c r="CX118" s="256" t="inlineStr">
        <is>
          <t>Farmahem</t>
        </is>
      </c>
      <c r="CY118" s="256" t="inlineStr">
        <is>
          <t>ND</t>
        </is>
      </c>
      <c r="CZ118" s="256" t="inlineStr">
        <is>
          <t>3178/2025</t>
        </is>
      </c>
      <c r="DA118" s="256" t="inlineStr">
        <is>
          <t>26.06.2025</t>
        </is>
      </c>
      <c r="DB118" s="256" t="inlineStr">
        <is>
          <t>IPH — Institute of Public Health</t>
        </is>
      </c>
      <c r="DC118" s="256" t="inlineStr">
        <is>
          <t>ND</t>
        </is>
      </c>
      <c r="DD118" s="256" t="inlineStr">
        <is>
          <t>3178/2025</t>
        </is>
      </c>
      <c r="DE118" s="256" t="inlineStr">
        <is>
          <t>26.06.2025</t>
        </is>
      </c>
      <c r="DF118" s="256" t="inlineStr">
        <is>
          <t>IPH — Institute of Public Health</t>
        </is>
      </c>
      <c r="DG118" s="256" t="inlineStr">
        <is>
          <t>0.119</t>
        </is>
      </c>
      <c r="DH118" s="256" t="inlineStr">
        <is>
          <t>3178/2025</t>
        </is>
      </c>
      <c r="DI118" s="256" t="inlineStr">
        <is>
          <t>26.06.2025</t>
        </is>
      </c>
      <c r="DJ118" s="256" t="inlineStr">
        <is>
          <t>IPH — Institute of Public Health</t>
        </is>
      </c>
      <c r="DK118" s="256" t="inlineStr">
        <is>
          <t>ND</t>
        </is>
      </c>
      <c r="DL118" s="256" t="inlineStr">
        <is>
          <t>3178/2025</t>
        </is>
      </c>
      <c r="DM118" s="256" t="inlineStr">
        <is>
          <t>26.06.2025</t>
        </is>
      </c>
      <c r="DN118" s="256" t="inlineStr">
        <is>
          <t>IPH — Institute of Public Health</t>
        </is>
      </c>
      <c r="DO118" s="256" t="inlineStr">
        <is>
          <t>ND</t>
        </is>
      </c>
      <c r="DP118" s="256" t="inlineStr">
        <is>
          <t>3178/2025</t>
        </is>
      </c>
      <c r="DQ118" s="256" t="inlineStr">
        <is>
          <t>26.06.2025</t>
        </is>
      </c>
      <c r="DR118" s="256" t="inlineStr">
        <is>
          <t>IPH — Institute of Public Health</t>
        </is>
      </c>
    </row>
    <row r="119">
      <c r="A119" s="256" t="inlineStr">
        <is>
          <t>CoQ-PP_26-118</t>
        </is>
      </c>
      <c r="B119" s="256" t="inlineStr">
        <is>
          <t>reissue — retest</t>
        </is>
      </c>
      <c r="C119" s="256" t="inlineStr">
        <is>
          <t>issuable</t>
        </is>
      </c>
      <c r="D119" s="256" t="inlineStr">
        <is>
          <t>18.09.2026</t>
        </is>
      </c>
      <c r="E119" s="256" t="inlineStr">
        <is>
          <t>CoQ-PP_26-035 of 06.06.2026</t>
        </is>
      </c>
      <c r="F119" s="256" t="inlineStr">
        <is>
          <t>(assigned on issue)</t>
        </is>
      </c>
      <c r="G119" s="256" t="inlineStr">
        <is>
          <t>GP082501/1</t>
        </is>
      </c>
      <c r="H119" s="256" t="inlineStr">
        <is>
          <t>P050312</t>
        </is>
      </c>
      <c r="I119" s="256" t="inlineStr">
        <is>
          <t>Grape Pie</t>
        </is>
      </c>
      <c r="J119" s="256" t="inlineStr">
        <is>
          <t>19.11.2025 – 20.11.2025</t>
        </is>
      </c>
      <c r="K119" s="256" t="inlineStr">
        <is>
          <t>23.12.2025 – 26.12.2025</t>
        </is>
      </c>
      <c r="L119" s="256" t="inlineStr">
        <is>
          <t>19.11.2025</t>
        </is>
      </c>
      <c r="M119" s="256" t="inlineStr">
        <is>
          <t>23.12.2025</t>
        </is>
      </c>
      <c r="N119" s="256" t="inlineStr">
        <is>
          <t>iCoA-PP_26-134</t>
        </is>
      </c>
      <c r="O119" s="256" t="inlineStr">
        <is>
          <t>17.08.2026</t>
        </is>
      </c>
      <c r="P119" s="256" t="inlineStr">
        <is>
          <t>13.08.2026</t>
        </is>
      </c>
      <c r="Q119" s="256" t="inlineStr">
        <is>
          <t>Tranche 2</t>
        </is>
      </c>
      <c r="R119" s="256" t="inlineStr">
        <is>
          <t>25.13</t>
        </is>
      </c>
      <c r="S119" s="256" t="inlineStr">
        <is>
          <t>220-12-К/26</t>
        </is>
      </c>
      <c r="T119" s="256" t="inlineStr">
        <is>
          <t>II</t>
        </is>
      </c>
      <c r="U119" s="256" t="inlineStr">
        <is>
          <t>22.00 – 25.99 %</t>
        </is>
      </c>
      <c r="V119" s="256" t="inlineStr">
        <is>
          <t>GP_THC24 : CBD1</t>
        </is>
      </c>
      <c r="W119" s="256" t="inlineStr">
        <is>
          <t>QCSP_001_GP-II_v.01</t>
        </is>
      </c>
      <c r="X119" s="256" t="inlineStr">
        <is>
          <t>for review — replaces the issued QCSP_001_GP-II_v.01 (was GP_THC26 : CBD1, 25.40 – 26.60 %); now GP_THC24 : CBD1 22.00 – 25.99 %</t>
        </is>
      </c>
      <c r="Y119" s="256" t="inlineStr">
        <is>
          <t>HYBRID</t>
        </is>
      </c>
      <c r="Z119" s="256" t="inlineStr">
        <is>
          <t>THC</t>
        </is>
      </c>
      <c r="AA119" s="256" t="inlineStr">
        <is>
          <t>MACHINE TRIMMED</t>
        </is>
      </c>
      <c r="AB119" s="256" t="inlineStr">
        <is>
          <t>INDICA-DOMINANT</t>
        </is>
      </c>
      <c r="AC119" s="256" t="inlineStr">
        <is>
          <t>Triplex Alu Bag | Триплекс Aлу Kеса, PET 12 · ALU 7 · PE 80, 300 × 500 mm, net. 400.0 g ±3%</t>
        </is>
      </c>
      <c r="AD119" s="256" t="inlineStr">
        <is>
          <t>11.09.2026</t>
        </is>
      </c>
      <c r="AE119" s="256" t="inlineStr">
        <is>
          <t>Conforms | Одговара</t>
        </is>
      </c>
      <c r="AF119" s="256" t="inlineStr">
        <is>
          <t>iCoA-PP_26-134</t>
        </is>
      </c>
      <c r="AG119" s="256" t="inlineStr">
        <is>
          <t>17.08.2026</t>
        </is>
      </c>
      <c r="AH119" s="256" t="inlineStr">
        <is>
          <t>Purely Plant GmbH (in-house)</t>
        </is>
      </c>
      <c r="AI119" s="256" t="inlineStr">
        <is>
          <t>Conforms | Одговара</t>
        </is>
      </c>
      <c r="AJ119" s="256" t="inlineStr">
        <is>
          <t>iCoA-PP_26-134</t>
        </is>
      </c>
      <c r="AK119" s="256" t="inlineStr">
        <is>
          <t>17.08.2026</t>
        </is>
      </c>
      <c r="AL119" s="256" t="inlineStr">
        <is>
          <t>Purely Plant GmbH (in-house)</t>
        </is>
      </c>
      <c r="AM119" s="256" t="inlineStr">
        <is>
          <t>Conforms | Одговара</t>
        </is>
      </c>
      <c r="AN119" s="256" t="inlineStr">
        <is>
          <t>220-12-К/26</t>
        </is>
      </c>
      <c r="AO119" s="256" t="inlineStr">
        <is>
          <t>25.08.2026</t>
        </is>
      </c>
      <c r="AP119" s="256" t="inlineStr">
        <is>
          <t>Farmahem</t>
        </is>
      </c>
      <c r="AQ119" s="256" t="inlineStr">
        <is>
          <t>25.13</t>
        </is>
      </c>
      <c r="AR119" s="256" t="inlineStr">
        <is>
          <t>220-12-К/26</t>
        </is>
      </c>
      <c r="AS119" s="256" t="inlineStr">
        <is>
          <t>25.08.2026</t>
        </is>
      </c>
      <c r="AT119" s="256" t="inlineStr">
        <is>
          <t>Farmahem</t>
        </is>
      </c>
      <c r="AU119" s="256" t="inlineStr">
        <is>
          <t>&lt; LOQ</t>
        </is>
      </c>
      <c r="AV119" s="256" t="inlineStr">
        <is>
          <t>220-12-К/26</t>
        </is>
      </c>
      <c r="AW119" s="256" t="inlineStr">
        <is>
          <t>25.08.2026</t>
        </is>
      </c>
      <c r="AX119" s="256" t="inlineStr">
        <is>
          <t>Farmahem</t>
        </is>
      </c>
      <c r="AY119" s="256" t="inlineStr">
        <is>
          <t>&lt; LOQ</t>
        </is>
      </c>
      <c r="AZ119" s="256" t="inlineStr">
        <is>
          <t>220-12-К/26</t>
        </is>
      </c>
      <c r="BA119" s="256" t="inlineStr">
        <is>
          <t>25.08.2026</t>
        </is>
      </c>
      <c r="BB119" s="256" t="inlineStr">
        <is>
          <t>Farmahem</t>
        </is>
      </c>
      <c r="BC119" s="256" t="inlineStr">
        <is>
          <t>Conforms | Одговара</t>
        </is>
      </c>
      <c r="BD119" s="256" t="inlineStr">
        <is>
          <t>iCoA-PP_26-134</t>
        </is>
      </c>
      <c r="BE119" s="256" t="inlineStr">
        <is>
          <t>17.08.2026</t>
        </is>
      </c>
      <c r="BF119" s="256" t="inlineStr">
        <is>
          <t>Purely Plant GmbH (in-house)</t>
        </is>
      </c>
      <c r="BG119" s="256" t="inlineStr">
        <is>
          <t>6.29</t>
        </is>
      </c>
      <c r="BH119" s="256" t="inlineStr">
        <is>
          <t>ППК25380</t>
        </is>
      </c>
      <c r="BI119" s="256" t="inlineStr">
        <is>
          <t>12.12.2025</t>
        </is>
      </c>
      <c r="BJ119" s="256" t="inlineStr">
        <is>
          <t>CNP</t>
        </is>
      </c>
      <c r="BK119" s="256" t="inlineStr">
        <is>
          <t>4.3 × 10²</t>
        </is>
      </c>
      <c r="BL119" s="256" t="inlineStr">
        <is>
          <t>1226/2192/25</t>
        </is>
      </c>
      <c r="BM119" s="256" t="inlineStr">
        <is>
          <t>05.12.2025</t>
        </is>
      </c>
      <c r="BN119" s="256" t="inlineStr">
        <is>
          <t>IPH — Institute of Public Health</t>
        </is>
      </c>
      <c r="BO119" s="256" t="inlineStr">
        <is>
          <t>1 × 10³</t>
        </is>
      </c>
      <c r="BP119" s="256" t="inlineStr">
        <is>
          <t>1226/2192/25</t>
        </is>
      </c>
      <c r="BQ119" s="256" t="inlineStr">
        <is>
          <t>05.12.2025</t>
        </is>
      </c>
      <c r="BR119" s="256" t="inlineStr">
        <is>
          <t>IPH — Institute of Public Health</t>
        </is>
      </c>
      <c r="BS119" s="256" t="inlineStr">
        <is>
          <t>&lt; 10³ and &gt; 10²</t>
        </is>
      </c>
      <c r="BT119" s="256" t="inlineStr">
        <is>
          <t>1226/2192/25</t>
        </is>
      </c>
      <c r="BU119" s="256" t="inlineStr">
        <is>
          <t>05.12.2025</t>
        </is>
      </c>
      <c r="BV119" s="256" t="inlineStr">
        <is>
          <t>IPH — Institute of Public Health</t>
        </is>
      </c>
      <c r="BW119" s="256" t="inlineStr">
        <is>
          <t>Absent | Отсутна</t>
        </is>
      </c>
      <c r="BX119" s="256" t="inlineStr">
        <is>
          <t>1226/2192/25</t>
        </is>
      </c>
      <c r="BY119" s="256" t="inlineStr">
        <is>
          <t>05.12.2025</t>
        </is>
      </c>
      <c r="BZ119" s="256" t="inlineStr">
        <is>
          <t>IPH — Institute of Public Health</t>
        </is>
      </c>
      <c r="CA119" s="256" t="inlineStr">
        <is>
          <t>Absent | Отсутна</t>
        </is>
      </c>
      <c r="CB119" s="256" t="inlineStr">
        <is>
          <t>1226/2192/25</t>
        </is>
      </c>
      <c r="CC119" s="256" t="inlineStr">
        <is>
          <t>05.12.2025</t>
        </is>
      </c>
      <c r="CD119" s="256" t="inlineStr">
        <is>
          <t>IPH — Institute of Public Health</t>
        </is>
      </c>
      <c r="CE119" s="260" t="inlineStr">
        <is>
          <t>upon request — not required for release</t>
        </is>
      </c>
      <c r="CF119" s="256" t="inlineStr">
        <is>
          <t>—</t>
        </is>
      </c>
      <c r="CG119" s="256" t="inlineStr">
        <is>
          <t>—</t>
        </is>
      </c>
      <c r="CH119" s="256" t="inlineStr">
        <is>
          <t>—</t>
        </is>
      </c>
      <c r="CI119" s="260" t="inlineStr">
        <is>
          <t>upon request — not required for release</t>
        </is>
      </c>
      <c r="CJ119" s="256" t="inlineStr">
        <is>
          <t>—</t>
        </is>
      </c>
      <c r="CK119" s="256" t="inlineStr">
        <is>
          <t>—</t>
        </is>
      </c>
      <c r="CL119" s="256" t="inlineStr">
        <is>
          <t>—</t>
        </is>
      </c>
      <c r="CM119" s="256" t="inlineStr">
        <is>
          <t>ND</t>
        </is>
      </c>
      <c r="CN119" s="256" t="inlineStr">
        <is>
          <t>220-12-М/26</t>
        </is>
      </c>
      <c r="CO119" s="256" t="inlineStr">
        <is>
          <t>11.09.2026</t>
        </is>
      </c>
      <c r="CP119" s="256" t="inlineStr">
        <is>
          <t>Farmahem</t>
        </is>
      </c>
      <c r="CQ119" s="256" t="inlineStr">
        <is>
          <t>ND</t>
        </is>
      </c>
      <c r="CR119" s="256" t="inlineStr">
        <is>
          <t>220-12-М/26</t>
        </is>
      </c>
      <c r="CS119" s="256" t="inlineStr">
        <is>
          <t>11.09.2026</t>
        </is>
      </c>
      <c r="CT119" s="256" t="inlineStr">
        <is>
          <t>Farmahem</t>
        </is>
      </c>
      <c r="CU119" s="256" t="inlineStr">
        <is>
          <t>ND</t>
        </is>
      </c>
      <c r="CV119" s="256" t="inlineStr">
        <is>
          <t>220-12-М/26</t>
        </is>
      </c>
      <c r="CW119" s="256" t="inlineStr">
        <is>
          <t>11.09.2026</t>
        </is>
      </c>
      <c r="CX119" s="256" t="inlineStr">
        <is>
          <t>Farmahem</t>
        </is>
      </c>
      <c r="CY119" s="256" t="inlineStr">
        <is>
          <t>0.014</t>
        </is>
      </c>
      <c r="CZ119" s="256" t="inlineStr">
        <is>
          <t>5888/2025</t>
        </is>
      </c>
      <c r="DA119" s="256" t="inlineStr">
        <is>
          <t>12.12.2025</t>
        </is>
      </c>
      <c r="DB119" s="256" t="inlineStr">
        <is>
          <t>IPH — Institute of Public Health</t>
        </is>
      </c>
      <c r="DC119" s="256" t="inlineStr">
        <is>
          <t>0.003</t>
        </is>
      </c>
      <c r="DD119" s="256" t="inlineStr">
        <is>
          <t>5888/2025</t>
        </is>
      </c>
      <c r="DE119" s="256" t="inlineStr">
        <is>
          <t>12.12.2025</t>
        </is>
      </c>
      <c r="DF119" s="256" t="inlineStr">
        <is>
          <t>IPH — Institute of Public Health</t>
        </is>
      </c>
      <c r="DG119" s="256" t="inlineStr">
        <is>
          <t>0.02</t>
        </is>
      </c>
      <c r="DH119" s="256" t="inlineStr">
        <is>
          <t>5888/2025</t>
        </is>
      </c>
      <c r="DI119" s="256" t="inlineStr">
        <is>
          <t>12.12.2025</t>
        </is>
      </c>
      <c r="DJ119" s="256" t="inlineStr">
        <is>
          <t>IPH — Institute of Public Health</t>
        </is>
      </c>
      <c r="DK119" s="256" t="inlineStr">
        <is>
          <t>0.017</t>
        </is>
      </c>
      <c r="DL119" s="256" t="inlineStr">
        <is>
          <t>5888/2025</t>
        </is>
      </c>
      <c r="DM119" s="256" t="inlineStr">
        <is>
          <t>12.12.2025</t>
        </is>
      </c>
      <c r="DN119" s="256" t="inlineStr">
        <is>
          <t>IPH — Institute of Public Health</t>
        </is>
      </c>
      <c r="DO119" s="256" t="inlineStr">
        <is>
          <t>ND</t>
        </is>
      </c>
      <c r="DP119" s="256" t="inlineStr">
        <is>
          <t>5888/2025</t>
        </is>
      </c>
      <c r="DQ119" s="256" t="inlineStr">
        <is>
          <t>12.12.2025</t>
        </is>
      </c>
      <c r="DR119" s="256" t="inlineStr">
        <is>
          <t>IPH — Institute of Public Health</t>
        </is>
      </c>
    </row>
    <row r="120">
      <c r="A120" s="256" t="inlineStr">
        <is>
          <t>CoQ-PP_26-119</t>
        </is>
      </c>
      <c r="B120" s="256" t="inlineStr">
        <is>
          <t>reissue — retest</t>
        </is>
      </c>
      <c r="C120" s="256" t="inlineStr">
        <is>
          <t>issuable</t>
        </is>
      </c>
      <c r="D120" s="256" t="inlineStr">
        <is>
          <t>18.09.2026</t>
        </is>
      </c>
      <c r="E120" s="256" t="inlineStr">
        <is>
          <t>CoQ-PP_26-045 of 06.06.2026</t>
        </is>
      </c>
      <c r="F120" s="256" t="inlineStr">
        <is>
          <t>(assigned on issue)</t>
        </is>
      </c>
      <c r="G120" s="256" t="inlineStr">
        <is>
          <t>GP092501</t>
        </is>
      </c>
      <c r="H120" s="256" t="inlineStr">
        <is>
          <t>P060092</t>
        </is>
      </c>
      <c r="I120" s="256" t="inlineStr">
        <is>
          <t>Grape Pie</t>
        </is>
      </c>
      <c r="J120" s="256" t="inlineStr">
        <is>
          <t>16.12.2025 – 17.12.2025</t>
        </is>
      </c>
      <c r="K120" s="256" t="inlineStr">
        <is>
          <t>03.02.2026 – 09.02.2026</t>
        </is>
      </c>
      <c r="L120" s="256" t="inlineStr">
        <is>
          <t>16.12.2025</t>
        </is>
      </c>
      <c r="M120" s="256" t="inlineStr">
        <is>
          <t>03.02.2026</t>
        </is>
      </c>
      <c r="N120" s="256" t="inlineStr">
        <is>
          <t>iCoA-PP_26-135</t>
        </is>
      </c>
      <c r="O120" s="256" t="inlineStr">
        <is>
          <t>17.08.2026</t>
        </is>
      </c>
      <c r="P120" s="256" t="inlineStr">
        <is>
          <t>13.08.2026</t>
        </is>
      </c>
      <c r="Q120" s="256" t="inlineStr">
        <is>
          <t>Tranche 2</t>
        </is>
      </c>
      <c r="R120" s="256" t="inlineStr">
        <is>
          <t>25.24</t>
        </is>
      </c>
      <c r="S120" s="256" t="inlineStr">
        <is>
          <t>220-13-К/26</t>
        </is>
      </c>
      <c r="T120" s="256" t="inlineStr">
        <is>
          <t>II</t>
        </is>
      </c>
      <c r="U120" s="256" t="inlineStr">
        <is>
          <t>22.00 – 25.99 %</t>
        </is>
      </c>
      <c r="V120" s="256" t="inlineStr">
        <is>
          <t>GP_THC24 : CBD1</t>
        </is>
      </c>
      <c r="W120" s="256" t="inlineStr">
        <is>
          <t>QCSP_001_GP-II_v.01</t>
        </is>
      </c>
      <c r="X120" s="256" t="inlineStr">
        <is>
          <t>for review — replaces the issued QCSP_001_GP-II_v.01 (was GP_THC26 : CBD1, 25.40 – 26.60 %); now GP_THC24 : CBD1 22.00 – 25.99 %</t>
        </is>
      </c>
      <c r="Y120" s="256" t="inlineStr">
        <is>
          <t>HYBRID</t>
        </is>
      </c>
      <c r="Z120" s="256" t="inlineStr">
        <is>
          <t>THC</t>
        </is>
      </c>
      <c r="AA120" s="256" t="inlineStr">
        <is>
          <t>MACHINE TRIMMED</t>
        </is>
      </c>
      <c r="AB120" s="256" t="inlineStr">
        <is>
          <t>INDICA-DOMINANT</t>
        </is>
      </c>
      <c r="AC120" s="256" t="inlineStr">
        <is>
          <t>Triplex Alu Bag | Триплекс Aлу Kеса, PET 12 · ALU 7 · PE 80, 300 × 500 mm, net. 400.0 g ±3%</t>
        </is>
      </c>
      <c r="AD120" s="256" t="inlineStr">
        <is>
          <t>11.09.2026</t>
        </is>
      </c>
      <c r="AE120" s="256" t="inlineStr">
        <is>
          <t>Conforms | Одговара</t>
        </is>
      </c>
      <c r="AF120" s="256" t="inlineStr">
        <is>
          <t>iCoA-PP_26-135</t>
        </is>
      </c>
      <c r="AG120" s="256" t="inlineStr">
        <is>
          <t>17.08.2026</t>
        </is>
      </c>
      <c r="AH120" s="256" t="inlineStr">
        <is>
          <t>Purely Plant GmbH (in-house)</t>
        </is>
      </c>
      <c r="AI120" s="256" t="inlineStr">
        <is>
          <t>Conforms | Одговара</t>
        </is>
      </c>
      <c r="AJ120" s="256" t="inlineStr">
        <is>
          <t>iCoA-PP_26-135</t>
        </is>
      </c>
      <c r="AK120" s="256" t="inlineStr">
        <is>
          <t>17.08.2026</t>
        </is>
      </c>
      <c r="AL120" s="256" t="inlineStr">
        <is>
          <t>Purely Plant GmbH (in-house)</t>
        </is>
      </c>
      <c r="AM120" s="256" t="inlineStr">
        <is>
          <t>Conforms | Одговара</t>
        </is>
      </c>
      <c r="AN120" s="256" t="inlineStr">
        <is>
          <t>220-13-К/26</t>
        </is>
      </c>
      <c r="AO120" s="256" t="inlineStr">
        <is>
          <t>25.08.2026</t>
        </is>
      </c>
      <c r="AP120" s="256" t="inlineStr">
        <is>
          <t>Farmahem</t>
        </is>
      </c>
      <c r="AQ120" s="256" t="inlineStr">
        <is>
          <t>25.24</t>
        </is>
      </c>
      <c r="AR120" s="256" t="inlineStr">
        <is>
          <t>220-13-К/26</t>
        </is>
      </c>
      <c r="AS120" s="256" t="inlineStr">
        <is>
          <t>25.08.2026</t>
        </is>
      </c>
      <c r="AT120" s="256" t="inlineStr">
        <is>
          <t>Farmahem</t>
        </is>
      </c>
      <c r="AU120" s="256" t="inlineStr">
        <is>
          <t>&lt; LOQ</t>
        </is>
      </c>
      <c r="AV120" s="256" t="inlineStr">
        <is>
          <t>220-13-К/26</t>
        </is>
      </c>
      <c r="AW120" s="256" t="inlineStr">
        <is>
          <t>25.08.2026</t>
        </is>
      </c>
      <c r="AX120" s="256" t="inlineStr">
        <is>
          <t>Farmahem</t>
        </is>
      </c>
      <c r="AY120" s="256" t="inlineStr">
        <is>
          <t>&lt; LOQ</t>
        </is>
      </c>
      <c r="AZ120" s="256" t="inlineStr">
        <is>
          <t>220-13-К/26</t>
        </is>
      </c>
      <c r="BA120" s="256" t="inlineStr">
        <is>
          <t>25.08.2026</t>
        </is>
      </c>
      <c r="BB120" s="256" t="inlineStr">
        <is>
          <t>Farmahem</t>
        </is>
      </c>
      <c r="BC120" s="256" t="inlineStr">
        <is>
          <t>Conforms | Одговара</t>
        </is>
      </c>
      <c r="BD120" s="256" t="inlineStr">
        <is>
          <t>iCoA-PP_26-135</t>
        </is>
      </c>
      <c r="BE120" s="256" t="inlineStr">
        <is>
          <t>17.08.2026</t>
        </is>
      </c>
      <c r="BF120" s="256" t="inlineStr">
        <is>
          <t>Purely Plant GmbH (in-house)</t>
        </is>
      </c>
      <c r="BG120" s="256" t="inlineStr">
        <is>
          <t>6.91</t>
        </is>
      </c>
      <c r="BH120" s="256" t="inlineStr">
        <is>
          <t>ППК26009</t>
        </is>
      </c>
      <c r="BI120" s="256" t="inlineStr">
        <is>
          <t>21.01.2026</t>
        </is>
      </c>
      <c r="BJ120" s="256" t="inlineStr">
        <is>
          <t>UKIM Faculty of Pharmacy — Center for Natural Products</t>
        </is>
      </c>
      <c r="BK120" s="256" t="inlineStr">
        <is>
          <t>1 × 10²</t>
        </is>
      </c>
      <c r="BL120" s="256" t="inlineStr">
        <is>
          <t>5/0008/26</t>
        </is>
      </c>
      <c r="BM120" s="256" t="inlineStr">
        <is>
          <t>20.01.2026</t>
        </is>
      </c>
      <c r="BN120" s="256" t="inlineStr">
        <is>
          <t>IPH — Institute of Public Health</t>
        </is>
      </c>
      <c r="BO120" s="256" t="inlineStr">
        <is>
          <t>&lt; 10</t>
        </is>
      </c>
      <c r="BP120" s="256" t="inlineStr">
        <is>
          <t>5/0008/26</t>
        </is>
      </c>
      <c r="BQ120" s="256" t="inlineStr">
        <is>
          <t>20.01.2026</t>
        </is>
      </c>
      <c r="BR120" s="256" t="inlineStr">
        <is>
          <t>IPH — Institute of Public Health</t>
        </is>
      </c>
      <c r="BS120" s="256" t="inlineStr">
        <is>
          <t>&lt; 10² and &gt; 10</t>
        </is>
      </c>
      <c r="BT120" s="256" t="inlineStr">
        <is>
          <t>5/0008/26</t>
        </is>
      </c>
      <c r="BU120" s="256" t="inlineStr">
        <is>
          <t>20.01.2026</t>
        </is>
      </c>
      <c r="BV120" s="256" t="inlineStr">
        <is>
          <t>IPH — Institute of Public Health</t>
        </is>
      </c>
      <c r="BW120" s="256" t="inlineStr">
        <is>
          <t>Absent | Отсутна</t>
        </is>
      </c>
      <c r="BX120" s="256" t="inlineStr">
        <is>
          <t>5/0008/26</t>
        </is>
      </c>
      <c r="BY120" s="256" t="inlineStr">
        <is>
          <t>20.01.2026</t>
        </is>
      </c>
      <c r="BZ120" s="256" t="inlineStr">
        <is>
          <t>IPH — Institute of Public Health</t>
        </is>
      </c>
      <c r="CA120" s="256" t="inlineStr">
        <is>
          <t>Absent | Отсутна</t>
        </is>
      </c>
      <c r="CB120" s="256" t="inlineStr">
        <is>
          <t>5/0008/26</t>
        </is>
      </c>
      <c r="CC120" s="256" t="inlineStr">
        <is>
          <t>20.01.2026</t>
        </is>
      </c>
      <c r="CD120" s="256" t="inlineStr">
        <is>
          <t>IPH — Institute of Public Health</t>
        </is>
      </c>
      <c r="CE120" s="260" t="inlineStr">
        <is>
          <t>upon request — not required for release</t>
        </is>
      </c>
      <c r="CF120" s="256" t="inlineStr">
        <is>
          <t>—</t>
        </is>
      </c>
      <c r="CG120" s="256" t="inlineStr">
        <is>
          <t>—</t>
        </is>
      </c>
      <c r="CH120" s="256" t="inlineStr">
        <is>
          <t>—</t>
        </is>
      </c>
      <c r="CI120" s="260" t="inlineStr">
        <is>
          <t>upon request — not required for release</t>
        </is>
      </c>
      <c r="CJ120" s="256" t="inlineStr">
        <is>
          <t>—</t>
        </is>
      </c>
      <c r="CK120" s="256" t="inlineStr">
        <is>
          <t>—</t>
        </is>
      </c>
      <c r="CL120" s="256" t="inlineStr">
        <is>
          <t>—</t>
        </is>
      </c>
      <c r="CM120" s="256" t="inlineStr">
        <is>
          <t>ND</t>
        </is>
      </c>
      <c r="CN120" s="256" t="inlineStr">
        <is>
          <t>220-13-М/26</t>
        </is>
      </c>
      <c r="CO120" s="256" t="inlineStr">
        <is>
          <t>11.09.2026</t>
        </is>
      </c>
      <c r="CP120" s="256" t="inlineStr">
        <is>
          <t>Farmahem</t>
        </is>
      </c>
      <c r="CQ120" s="256" t="inlineStr">
        <is>
          <t>ND</t>
        </is>
      </c>
      <c r="CR120" s="256" t="inlineStr">
        <is>
          <t>220-13-М/26</t>
        </is>
      </c>
      <c r="CS120" s="256" t="inlineStr">
        <is>
          <t>11.09.2026</t>
        </is>
      </c>
      <c r="CT120" s="256" t="inlineStr">
        <is>
          <t>Farmahem</t>
        </is>
      </c>
      <c r="CU120" s="256" t="inlineStr">
        <is>
          <t>ND</t>
        </is>
      </c>
      <c r="CV120" s="256" t="inlineStr">
        <is>
          <t>220-13-М/26</t>
        </is>
      </c>
      <c r="CW120" s="256" t="inlineStr">
        <is>
          <t>11.09.2026</t>
        </is>
      </c>
      <c r="CX120" s="256" t="inlineStr">
        <is>
          <t>Farmahem</t>
        </is>
      </c>
      <c r="CY120" s="256" t="inlineStr">
        <is>
          <t>0.022</t>
        </is>
      </c>
      <c r="CZ120" s="256" t="inlineStr">
        <is>
          <t>88/2026</t>
        </is>
      </c>
      <c r="DA120" s="256" t="inlineStr">
        <is>
          <t>03.02.2026</t>
        </is>
      </c>
      <c r="DB120" s="256" t="inlineStr">
        <is>
          <t>IPH — Institute of Public Health</t>
        </is>
      </c>
      <c r="DC120" s="256" t="inlineStr">
        <is>
          <t>ND</t>
        </is>
      </c>
      <c r="DD120" s="256" t="inlineStr">
        <is>
          <t>88/2026</t>
        </is>
      </c>
      <c r="DE120" s="256" t="inlineStr">
        <is>
          <t>03.02.2026</t>
        </is>
      </c>
      <c r="DF120" s="256" t="inlineStr">
        <is>
          <t>IPH — Institute of Public Health</t>
        </is>
      </c>
      <c r="DG120" s="256" t="inlineStr">
        <is>
          <t>ND</t>
        </is>
      </c>
      <c r="DH120" s="256" t="inlineStr">
        <is>
          <t>88/2026</t>
        </is>
      </c>
      <c r="DI120" s="256" t="inlineStr">
        <is>
          <t>03.02.2026</t>
        </is>
      </c>
      <c r="DJ120" s="256" t="inlineStr">
        <is>
          <t>IPH — Institute of Public Health</t>
        </is>
      </c>
      <c r="DK120" s="256" t="inlineStr">
        <is>
          <t>0.007</t>
        </is>
      </c>
      <c r="DL120" s="256" t="inlineStr">
        <is>
          <t>88/2026</t>
        </is>
      </c>
      <c r="DM120" s="256" t="inlineStr">
        <is>
          <t>03.02.2026</t>
        </is>
      </c>
      <c r="DN120" s="256" t="inlineStr">
        <is>
          <t>IPH — Institute of Public Health</t>
        </is>
      </c>
      <c r="DO120" s="256" t="inlineStr">
        <is>
          <t>ND</t>
        </is>
      </c>
      <c r="DP120" s="256" t="inlineStr">
        <is>
          <t>88/2026</t>
        </is>
      </c>
      <c r="DQ120" s="256" t="inlineStr">
        <is>
          <t>03.02.2026</t>
        </is>
      </c>
      <c r="DR120" s="256" t="inlineStr">
        <is>
          <t>IPH — Institute of Public Health</t>
        </is>
      </c>
    </row>
    <row r="121">
      <c r="A121" s="256" t="inlineStr">
        <is>
          <t>CoQ-PP_26-120</t>
        </is>
      </c>
      <c r="B121" s="256" t="inlineStr">
        <is>
          <t>reissue — retest</t>
        </is>
      </c>
      <c r="C121" s="256" t="inlineStr">
        <is>
          <t>issuable</t>
        </is>
      </c>
      <c r="D121" s="256" t="inlineStr">
        <is>
          <t>18.09.2026</t>
        </is>
      </c>
      <c r="E121" s="256" t="inlineStr">
        <is>
          <t>CoQ-PP_26-054 of 06.06.2026</t>
        </is>
      </c>
      <c r="F121" s="256" t="inlineStr">
        <is>
          <t>(assigned on issue)</t>
        </is>
      </c>
      <c r="G121" s="256" t="inlineStr">
        <is>
          <t>GRC102501/2</t>
        </is>
      </c>
      <c r="H121" s="256" t="inlineStr">
        <is>
          <t>P060182</t>
        </is>
      </c>
      <c r="I121" s="256" t="inlineStr">
        <is>
          <t>Grapes And Cream</t>
        </is>
      </c>
      <c r="J121" s="256" t="inlineStr">
        <is>
          <t>20.01.2026</t>
        </is>
      </c>
      <c r="K121" s="256" t="inlineStr">
        <is>
          <t>14.03.2026</t>
        </is>
      </c>
      <c r="L121" s="256" t="inlineStr">
        <is>
          <t>20.01.2026</t>
        </is>
      </c>
      <c r="M121" s="256" t="inlineStr">
        <is>
          <t>14.03.2026</t>
        </is>
      </c>
      <c r="N121" s="256" t="inlineStr">
        <is>
          <t>iCoA-PP_26-136</t>
        </is>
      </c>
      <c r="O121" s="256" t="inlineStr">
        <is>
          <t>17.08.2026</t>
        </is>
      </c>
      <c r="P121" s="256" t="inlineStr">
        <is>
          <t>13.08.2026</t>
        </is>
      </c>
      <c r="Q121" s="256" t="inlineStr">
        <is>
          <t>Tranche 2</t>
        </is>
      </c>
      <c r="R121" s="256" t="inlineStr">
        <is>
          <t>9.80</t>
        </is>
      </c>
      <c r="S121" s="256" t="inlineStr">
        <is>
          <t>220-14-К/26</t>
        </is>
      </c>
      <c r="T121" s="256" t="inlineStr">
        <is>
          <t>II</t>
        </is>
      </c>
      <c r="U121" s="256" t="inlineStr">
        <is>
          <t>9.00 – 10.99 %</t>
        </is>
      </c>
      <c r="V121" s="256" t="inlineStr">
        <is>
          <t>GRC_THC10 : CBD1</t>
        </is>
      </c>
      <c r="W121" s="256" t="inlineStr">
        <is>
          <t>QCSP_001_GRC-II_v.01</t>
        </is>
      </c>
      <c r="X121" s="256" t="inlineStr">
        <is>
          <t>for review — replaces the issued QCSP_001_GRC-II_v.01 (was GRC_THC22.5:CBD1, 22.50% ± 2.50%); now GRC_THC10 : CBD1 9.00 – 10.99 %</t>
        </is>
      </c>
      <c r="Y121" s="256" t="inlineStr">
        <is>
          <t>HYBRID</t>
        </is>
      </c>
      <c r="Z121" s="256" t="inlineStr">
        <is>
          <t>THC</t>
        </is>
      </c>
      <c r="AA121" s="256" t="inlineStr">
        <is>
          <t>MACHINE TRIMMED</t>
        </is>
      </c>
      <c r="AB121" s="256" t="inlineStr">
        <is>
          <t>TO BE DETERMINED</t>
        </is>
      </c>
      <c r="AC121" s="256" t="inlineStr">
        <is>
          <t>Triplex Alu Bag | Триплекс Aлу Kеса, PET 12 · ALU 7 · PE 80, 300 × 500 mm, net. 400.0 g ±3%</t>
        </is>
      </c>
      <c r="AD121" s="256" t="inlineStr">
        <is>
          <t>11.09.2026</t>
        </is>
      </c>
      <c r="AE121" s="256" t="inlineStr">
        <is>
          <t>Conforms | Одговара</t>
        </is>
      </c>
      <c r="AF121" s="256" t="inlineStr">
        <is>
          <t>iCoA-PP_26-136</t>
        </is>
      </c>
      <c r="AG121" s="256" t="inlineStr">
        <is>
          <t>17.08.2026</t>
        </is>
      </c>
      <c r="AH121" s="256" t="inlineStr">
        <is>
          <t>Purely Plant GmbH (in-house)</t>
        </is>
      </c>
      <c r="AI121" s="256" t="inlineStr">
        <is>
          <t>Conforms | Одговара</t>
        </is>
      </c>
      <c r="AJ121" s="256" t="inlineStr">
        <is>
          <t>iCoA-PP_26-136</t>
        </is>
      </c>
      <c r="AK121" s="256" t="inlineStr">
        <is>
          <t>17.08.2026</t>
        </is>
      </c>
      <c r="AL121" s="256" t="inlineStr">
        <is>
          <t>Purely Plant GmbH (in-house)</t>
        </is>
      </c>
      <c r="AM121" s="256" t="inlineStr">
        <is>
          <t>Conforms | Одговара</t>
        </is>
      </c>
      <c r="AN121" s="256" t="inlineStr">
        <is>
          <t>220-14-К/26</t>
        </is>
      </c>
      <c r="AO121" s="256" t="inlineStr">
        <is>
          <t>25.08.2026</t>
        </is>
      </c>
      <c r="AP121" s="256" t="inlineStr">
        <is>
          <t>Farmahem</t>
        </is>
      </c>
      <c r="AQ121" s="256" t="inlineStr">
        <is>
          <t>9.80</t>
        </is>
      </c>
      <c r="AR121" s="256" t="inlineStr">
        <is>
          <t>220-14-К/26</t>
        </is>
      </c>
      <c r="AS121" s="256" t="inlineStr">
        <is>
          <t>25.08.2026</t>
        </is>
      </c>
      <c r="AT121" s="256" t="inlineStr">
        <is>
          <t>Farmahem</t>
        </is>
      </c>
      <c r="AU121" s="256" t="inlineStr">
        <is>
          <t>&lt; LOQ</t>
        </is>
      </c>
      <c r="AV121" s="256" t="inlineStr">
        <is>
          <t>220-14-К/26</t>
        </is>
      </c>
      <c r="AW121" s="256" t="inlineStr">
        <is>
          <t>25.08.2026</t>
        </is>
      </c>
      <c r="AX121" s="256" t="inlineStr">
        <is>
          <t>Farmahem</t>
        </is>
      </c>
      <c r="AY121" s="256" t="inlineStr">
        <is>
          <t>&lt; LOQ</t>
        </is>
      </c>
      <c r="AZ121" s="256" t="inlineStr">
        <is>
          <t>220-14-К/26</t>
        </is>
      </c>
      <c r="BA121" s="256" t="inlineStr">
        <is>
          <t>25.08.2026</t>
        </is>
      </c>
      <c r="BB121" s="256" t="inlineStr">
        <is>
          <t>Farmahem</t>
        </is>
      </c>
      <c r="BC121" s="256" t="inlineStr">
        <is>
          <t>Conforms | Одговара</t>
        </is>
      </c>
      <c r="BD121" s="256" t="inlineStr">
        <is>
          <t>iCoA-PP_26-136</t>
        </is>
      </c>
      <c r="BE121" s="256" t="inlineStr">
        <is>
          <t>17.08.2026</t>
        </is>
      </c>
      <c r="BF121" s="256" t="inlineStr">
        <is>
          <t>Purely Plant GmbH (in-house)</t>
        </is>
      </c>
      <c r="BG121" s="256" t="inlineStr">
        <is>
          <t>7.7</t>
        </is>
      </c>
      <c r="BH121" s="256" t="inlineStr">
        <is>
          <t>051-6-ГС/26</t>
        </is>
      </c>
      <c r="BI121" s="256" t="inlineStr">
        <is>
          <t>02.03.2026</t>
        </is>
      </c>
      <c r="BJ121" s="256" t="inlineStr">
        <is>
          <t>Farmahem</t>
        </is>
      </c>
      <c r="BK121" s="256" t="inlineStr">
        <is>
          <t>2.3 × 10²</t>
        </is>
      </c>
      <c r="BL121" s="256" t="inlineStr">
        <is>
          <t>136/0233/26</t>
        </is>
      </c>
      <c r="BM121" s="256" t="inlineStr">
        <is>
          <t>06.03.2026</t>
        </is>
      </c>
      <c r="BN121" s="256" t="inlineStr">
        <is>
          <t>IPH — Institute of Public Health</t>
        </is>
      </c>
      <c r="BO121" s="256" t="inlineStr">
        <is>
          <t>1.3 × 10²</t>
        </is>
      </c>
      <c r="BP121" s="256" t="inlineStr">
        <is>
          <t>136/0233/26</t>
        </is>
      </c>
      <c r="BQ121" s="256" t="inlineStr">
        <is>
          <t>06.03.2026</t>
        </is>
      </c>
      <c r="BR121" s="256" t="inlineStr">
        <is>
          <t>IPH — Institute of Public Health</t>
        </is>
      </c>
      <c r="BS121" s="256" t="inlineStr">
        <is>
          <t>&lt; 10</t>
        </is>
      </c>
      <c r="BT121" s="256" t="inlineStr">
        <is>
          <t>136/0233/26</t>
        </is>
      </c>
      <c r="BU121" s="256" t="inlineStr">
        <is>
          <t>06.03.2026</t>
        </is>
      </c>
      <c r="BV121" s="256" t="inlineStr">
        <is>
          <t>IPH — Institute of Public Health</t>
        </is>
      </c>
      <c r="BW121" s="256" t="inlineStr">
        <is>
          <t>Absent | Отсутна</t>
        </is>
      </c>
      <c r="BX121" s="256" t="inlineStr">
        <is>
          <t>136/0233/26</t>
        </is>
      </c>
      <c r="BY121" s="256" t="inlineStr">
        <is>
          <t>06.03.2026</t>
        </is>
      </c>
      <c r="BZ121" s="256" t="inlineStr">
        <is>
          <t>IPH — Institute of Public Health</t>
        </is>
      </c>
      <c r="CA121" s="256" t="inlineStr">
        <is>
          <t>Absent | Отсутна</t>
        </is>
      </c>
      <c r="CB121" s="256" t="inlineStr">
        <is>
          <t>136/0233/26</t>
        </is>
      </c>
      <c r="CC121" s="256" t="inlineStr">
        <is>
          <t>06.03.2026</t>
        </is>
      </c>
      <c r="CD121" s="256" t="inlineStr">
        <is>
          <t>IPH — Institute of Public Health</t>
        </is>
      </c>
      <c r="CE121" s="260" t="inlineStr">
        <is>
          <t>upon request — not required for release</t>
        </is>
      </c>
      <c r="CF121" s="256" t="inlineStr">
        <is>
          <t>—</t>
        </is>
      </c>
      <c r="CG121" s="256" t="inlineStr">
        <is>
          <t>—</t>
        </is>
      </c>
      <c r="CH121" s="256" t="inlineStr">
        <is>
          <t>—</t>
        </is>
      </c>
      <c r="CI121" s="260" t="inlineStr">
        <is>
          <t>upon request — not required for release</t>
        </is>
      </c>
      <c r="CJ121" s="256" t="inlineStr">
        <is>
          <t>—</t>
        </is>
      </c>
      <c r="CK121" s="256" t="inlineStr">
        <is>
          <t>—</t>
        </is>
      </c>
      <c r="CL121" s="256" t="inlineStr">
        <is>
          <t>—</t>
        </is>
      </c>
      <c r="CM121" s="256" t="inlineStr">
        <is>
          <t>ND</t>
        </is>
      </c>
      <c r="CN121" s="256" t="inlineStr">
        <is>
          <t>220-14-М/26</t>
        </is>
      </c>
      <c r="CO121" s="256" t="inlineStr">
        <is>
          <t>11.09.2026</t>
        </is>
      </c>
      <c r="CP121" s="256" t="inlineStr">
        <is>
          <t>Farmahem</t>
        </is>
      </c>
      <c r="CQ121" s="256" t="inlineStr">
        <is>
          <t>ND</t>
        </is>
      </c>
      <c r="CR121" s="256" t="inlineStr">
        <is>
          <t>220-14-М/26</t>
        </is>
      </c>
      <c r="CS121" s="256" t="inlineStr">
        <is>
          <t>11.09.2026</t>
        </is>
      </c>
      <c r="CT121" s="256" t="inlineStr">
        <is>
          <t>Farmahem</t>
        </is>
      </c>
      <c r="CU121" s="256" t="inlineStr">
        <is>
          <t>ND</t>
        </is>
      </c>
      <c r="CV121" s="256" t="inlineStr">
        <is>
          <t>220-14-М/26</t>
        </is>
      </c>
      <c r="CW121" s="256" t="inlineStr">
        <is>
          <t>11.09.2026</t>
        </is>
      </c>
      <c r="CX121" s="256" t="inlineStr">
        <is>
          <t>Farmahem</t>
        </is>
      </c>
      <c r="CY121" s="256" t="inlineStr">
        <is>
          <t>ND</t>
        </is>
      </c>
      <c r="CZ121" s="256" t="inlineStr">
        <is>
          <t>1060/2026</t>
        </is>
      </c>
      <c r="DA121" s="256" t="inlineStr">
        <is>
          <t>09.03.2026</t>
        </is>
      </c>
      <c r="DB121" s="256" t="inlineStr">
        <is>
          <t>IPH — Institute of Public Health</t>
        </is>
      </c>
      <c r="DC121" s="256" t="inlineStr">
        <is>
          <t>ND</t>
        </is>
      </c>
      <c r="DD121" s="256" t="inlineStr">
        <is>
          <t>1060/2026</t>
        </is>
      </c>
      <c r="DE121" s="256" t="inlineStr">
        <is>
          <t>09.03.2026</t>
        </is>
      </c>
      <c r="DF121" s="256" t="inlineStr">
        <is>
          <t>IPH — Institute of Public Health</t>
        </is>
      </c>
      <c r="DG121" s="256" t="inlineStr">
        <is>
          <t>0.0013</t>
        </is>
      </c>
      <c r="DH121" s="256" t="inlineStr">
        <is>
          <t>1060/2026</t>
        </is>
      </c>
      <c r="DI121" s="256" t="inlineStr">
        <is>
          <t>09.03.2026</t>
        </is>
      </c>
      <c r="DJ121" s="256" t="inlineStr">
        <is>
          <t>IPH — Institute of Public Health</t>
        </is>
      </c>
      <c r="DK121" s="256" t="inlineStr">
        <is>
          <t>ND</t>
        </is>
      </c>
      <c r="DL121" s="256" t="inlineStr">
        <is>
          <t>1060/2026</t>
        </is>
      </c>
      <c r="DM121" s="256" t="inlineStr">
        <is>
          <t>09.03.2026</t>
        </is>
      </c>
      <c r="DN121" s="256" t="inlineStr">
        <is>
          <t>IPH — Institute of Public Health</t>
        </is>
      </c>
      <c r="DO121" s="256" t="inlineStr">
        <is>
          <t>ND mg/kg — all 25 residues</t>
        </is>
      </c>
      <c r="DP121" s="256" t="inlineStr">
        <is>
          <t>1060/2026</t>
        </is>
      </c>
      <c r="DQ121" s="256" t="inlineStr">
        <is>
          <t>09.03.2026</t>
        </is>
      </c>
      <c r="DR121" s="256" t="inlineStr">
        <is>
          <t>IJZ</t>
        </is>
      </c>
    </row>
    <row r="122">
      <c r="A122" s="256" t="inlineStr">
        <is>
          <t>CoQ-PP_26-121</t>
        </is>
      </c>
      <c r="B122" s="256" t="inlineStr">
        <is>
          <t>reissue — retest</t>
        </is>
      </c>
      <c r="C122" s="256" t="inlineStr">
        <is>
          <t>issuable</t>
        </is>
      </c>
      <c r="D122" s="256" t="inlineStr">
        <is>
          <t>18.09.2026</t>
        </is>
      </c>
      <c r="E122" s="256" t="inlineStr">
        <is>
          <t>CoQ-PP_26-024 of 06.06.2026</t>
        </is>
      </c>
      <c r="F122" s="256" t="inlineStr">
        <is>
          <t>(assigned on issue)</t>
        </is>
      </c>
      <c r="G122" s="256" t="inlineStr">
        <is>
          <t>HPA052501</t>
        </is>
      </c>
      <c r="H122" s="256" t="inlineStr">
        <is>
          <t>P050182</t>
        </is>
      </c>
      <c r="I122" s="256" t="inlineStr">
        <is>
          <t>High Pro Amnesia</t>
        </is>
      </c>
      <c r="J122" s="256" t="inlineStr">
        <is>
          <t>21.08.2025 – 23.08.2025</t>
        </is>
      </c>
      <c r="K122" s="256" t="inlineStr">
        <is>
          <t>03.10.2025 – 09.10.2025</t>
        </is>
      </c>
      <c r="L122" s="256" t="inlineStr">
        <is>
          <t>21.08.2025</t>
        </is>
      </c>
      <c r="M122" s="256" t="inlineStr">
        <is>
          <t>03.10.2025</t>
        </is>
      </c>
      <c r="N122" s="256" t="inlineStr">
        <is>
          <t>iCoA-PP_26-137</t>
        </is>
      </c>
      <c r="O122" s="256" t="inlineStr">
        <is>
          <t>17.08.2026</t>
        </is>
      </c>
      <c r="P122" s="256" t="inlineStr">
        <is>
          <t>13.08.2026</t>
        </is>
      </c>
      <c r="Q122" s="256" t="inlineStr">
        <is>
          <t>Tranche 2</t>
        </is>
      </c>
      <c r="R122" s="256" t="inlineStr">
        <is>
          <t>19.69</t>
        </is>
      </c>
      <c r="S122" s="256" t="inlineStr">
        <is>
          <t>220-15-К/26</t>
        </is>
      </c>
      <c r="T122" s="256" t="inlineStr">
        <is>
          <t>II</t>
        </is>
      </c>
      <c r="U122" s="256" t="inlineStr">
        <is>
          <t>16.20 – 19.79 %</t>
        </is>
      </c>
      <c r="V122" s="256" t="inlineStr">
        <is>
          <t>HPA_THC18 : CBD1</t>
        </is>
      </c>
      <c r="W122" s="256" t="inlineStr">
        <is>
          <t>QCSP_001_HPA-II_v.01</t>
        </is>
      </c>
      <c r="X122" s="256" t="inlineStr">
        <is>
          <t>for review — replaces the issued QCSP_001_HPA-II_v.01 (was HPA_THC20 : CBD1, 19.01 – 20.99 %); now HPA_THC18 : CBD1 16.20 – 19.79 %</t>
        </is>
      </c>
      <c r="Y122" s="256" t="inlineStr">
        <is>
          <t>SATIVA</t>
        </is>
      </c>
      <c r="Z122" s="256" t="inlineStr">
        <is>
          <t>THC</t>
        </is>
      </c>
      <c r="AA122" s="256" t="inlineStr">
        <is>
          <t>MACHINE TRIMMED</t>
        </is>
      </c>
      <c r="AB122" s="256" t="inlineStr">
        <is>
          <t>—</t>
        </is>
      </c>
      <c r="AC122" s="256" t="inlineStr">
        <is>
          <t>Triplex Alu Bag | Триплекс Aлу Kеса, PET 12 · ALU 7 · PE 80, 300 × 500 mm, net. 400.0 g ±3%</t>
        </is>
      </c>
      <c r="AD122" s="256" t="inlineStr">
        <is>
          <t>11.09.2026</t>
        </is>
      </c>
      <c r="AE122" s="256" t="inlineStr">
        <is>
          <t>Conforms | Одговара</t>
        </is>
      </c>
      <c r="AF122" s="256" t="inlineStr">
        <is>
          <t>iCoA-PP_26-137</t>
        </is>
      </c>
      <c r="AG122" s="256" t="inlineStr">
        <is>
          <t>17.08.2026</t>
        </is>
      </c>
      <c r="AH122" s="256" t="inlineStr">
        <is>
          <t>Purely Plant GmbH (in-house)</t>
        </is>
      </c>
      <c r="AI122" s="256" t="inlineStr">
        <is>
          <t>Conforms | Одговара</t>
        </is>
      </c>
      <c r="AJ122" s="256" t="inlineStr">
        <is>
          <t>iCoA-PP_26-137</t>
        </is>
      </c>
      <c r="AK122" s="256" t="inlineStr">
        <is>
          <t>17.08.2026</t>
        </is>
      </c>
      <c r="AL122" s="256" t="inlineStr">
        <is>
          <t>Purely Plant GmbH (in-house)</t>
        </is>
      </c>
      <c r="AM122" s="256" t="inlineStr">
        <is>
          <t>Conforms | Одговара</t>
        </is>
      </c>
      <c r="AN122" s="256" t="inlineStr">
        <is>
          <t>220-15-К/26</t>
        </is>
      </c>
      <c r="AO122" s="256" t="inlineStr">
        <is>
          <t>25.08.2026</t>
        </is>
      </c>
      <c r="AP122" s="256" t="inlineStr">
        <is>
          <t>Farmahem</t>
        </is>
      </c>
      <c r="AQ122" s="256" t="inlineStr">
        <is>
          <t>19.69</t>
        </is>
      </c>
      <c r="AR122" s="256" t="inlineStr">
        <is>
          <t>220-15-К/26</t>
        </is>
      </c>
      <c r="AS122" s="256" t="inlineStr">
        <is>
          <t>25.08.2026</t>
        </is>
      </c>
      <c r="AT122" s="256" t="inlineStr">
        <is>
          <t>Farmahem</t>
        </is>
      </c>
      <c r="AU122" s="256" t="inlineStr">
        <is>
          <t>&lt; LOQ</t>
        </is>
      </c>
      <c r="AV122" s="256" t="inlineStr">
        <is>
          <t>220-15-К/26</t>
        </is>
      </c>
      <c r="AW122" s="256" t="inlineStr">
        <is>
          <t>25.08.2026</t>
        </is>
      </c>
      <c r="AX122" s="256" t="inlineStr">
        <is>
          <t>Farmahem</t>
        </is>
      </c>
      <c r="AY122" s="256" t="inlineStr">
        <is>
          <t>&lt; LOQ</t>
        </is>
      </c>
      <c r="AZ122" s="256" t="inlineStr">
        <is>
          <t>220-15-К/26</t>
        </is>
      </c>
      <c r="BA122" s="256" t="inlineStr">
        <is>
          <t>25.08.2026</t>
        </is>
      </c>
      <c r="BB122" s="256" t="inlineStr">
        <is>
          <t>Farmahem</t>
        </is>
      </c>
      <c r="BC122" s="256" t="inlineStr">
        <is>
          <t>Conforms | Одговара</t>
        </is>
      </c>
      <c r="BD122" s="256" t="inlineStr">
        <is>
          <t>iCoA-PP_26-137</t>
        </is>
      </c>
      <c r="BE122" s="256" t="inlineStr">
        <is>
          <t>17.08.2026</t>
        </is>
      </c>
      <c r="BF122" s="256" t="inlineStr">
        <is>
          <t>Purely Plant GmbH (in-house)</t>
        </is>
      </c>
      <c r="BG122" s="256" t="inlineStr">
        <is>
          <t>7.29</t>
        </is>
      </c>
      <c r="BH122" s="256" t="inlineStr">
        <is>
          <t>ППК25278</t>
        </is>
      </c>
      <c r="BI122" s="256" t="inlineStr">
        <is>
          <t>19.09.2025</t>
        </is>
      </c>
      <c r="BJ122" s="256" t="inlineStr">
        <is>
          <t>UKIM Faculty of Pharmacy — Center for Natural Products</t>
        </is>
      </c>
      <c r="BK122" s="256" t="inlineStr">
        <is>
          <t>2.7 × 10⁴</t>
        </is>
      </c>
      <c r="BL122" s="256" t="inlineStr">
        <is>
          <t>948/1686/25</t>
        </is>
      </c>
      <c r="BM122" s="256" t="inlineStr">
        <is>
          <t>17.09.2025</t>
        </is>
      </c>
      <c r="BN122" s="256" t="inlineStr">
        <is>
          <t>IPH — Institute of Public Health</t>
        </is>
      </c>
      <c r="BO122" s="256" t="inlineStr">
        <is>
          <t>2.6 × 10⁴</t>
        </is>
      </c>
      <c r="BP122" s="256" t="inlineStr">
        <is>
          <t>948/1686/25</t>
        </is>
      </c>
      <c r="BQ122" s="256" t="inlineStr">
        <is>
          <t>17.09.2025</t>
        </is>
      </c>
      <c r="BR122" s="256" t="inlineStr">
        <is>
          <t>IPH — Institute of Public Health</t>
        </is>
      </c>
      <c r="BS122" s="256" t="inlineStr">
        <is>
          <t>&lt; 10</t>
        </is>
      </c>
      <c r="BT122" s="256" t="inlineStr">
        <is>
          <t>948/1686/25</t>
        </is>
      </c>
      <c r="BU122" s="256" t="inlineStr">
        <is>
          <t>17.09.2025</t>
        </is>
      </c>
      <c r="BV122" s="256" t="inlineStr">
        <is>
          <t>IPH — Institute of Public Health</t>
        </is>
      </c>
      <c r="BW122" s="256" t="inlineStr">
        <is>
          <t>Absent | Отсутна</t>
        </is>
      </c>
      <c r="BX122" s="256" t="inlineStr">
        <is>
          <t>948/1686/25</t>
        </is>
      </c>
      <c r="BY122" s="256" t="inlineStr">
        <is>
          <t>17.09.2025</t>
        </is>
      </c>
      <c r="BZ122" s="256" t="inlineStr">
        <is>
          <t>IPH — Institute of Public Health</t>
        </is>
      </c>
      <c r="CA122" s="256" t="inlineStr">
        <is>
          <t>Absent | Отсутна</t>
        </is>
      </c>
      <c r="CB122" s="256" t="inlineStr">
        <is>
          <t>948/1686/25</t>
        </is>
      </c>
      <c r="CC122" s="256" t="inlineStr">
        <is>
          <t>17.09.2025</t>
        </is>
      </c>
      <c r="CD122" s="256" t="inlineStr">
        <is>
          <t>IPH — Institute of Public Health</t>
        </is>
      </c>
      <c r="CE122" s="260" t="inlineStr">
        <is>
          <t>upon request — not required for release</t>
        </is>
      </c>
      <c r="CF122" s="256" t="inlineStr">
        <is>
          <t>—</t>
        </is>
      </c>
      <c r="CG122" s="256" t="inlineStr">
        <is>
          <t>—</t>
        </is>
      </c>
      <c r="CH122" s="256" t="inlineStr">
        <is>
          <t>—</t>
        </is>
      </c>
      <c r="CI122" s="260" t="inlineStr">
        <is>
          <t>upon request — not required for release</t>
        </is>
      </c>
      <c r="CJ122" s="256" t="inlineStr">
        <is>
          <t>—</t>
        </is>
      </c>
      <c r="CK122" s="256" t="inlineStr">
        <is>
          <t>—</t>
        </is>
      </c>
      <c r="CL122" s="256" t="inlineStr">
        <is>
          <t>—</t>
        </is>
      </c>
      <c r="CM122" s="256" t="inlineStr">
        <is>
          <t>ND</t>
        </is>
      </c>
      <c r="CN122" s="256" t="inlineStr">
        <is>
          <t>220-15-М/26</t>
        </is>
      </c>
      <c r="CO122" s="256" t="inlineStr">
        <is>
          <t>11.09.2026</t>
        </is>
      </c>
      <c r="CP122" s="256" t="inlineStr">
        <is>
          <t>Farmahem</t>
        </is>
      </c>
      <c r="CQ122" s="256" t="inlineStr">
        <is>
          <t>ND</t>
        </is>
      </c>
      <c r="CR122" s="256" t="inlineStr">
        <is>
          <t>220-15-М/26</t>
        </is>
      </c>
      <c r="CS122" s="256" t="inlineStr">
        <is>
          <t>11.09.2026</t>
        </is>
      </c>
      <c r="CT122" s="256" t="inlineStr">
        <is>
          <t>Farmahem</t>
        </is>
      </c>
      <c r="CU122" s="256" t="inlineStr">
        <is>
          <t>ND</t>
        </is>
      </c>
      <c r="CV122" s="256" t="inlineStr">
        <is>
          <t>220-15-М/26</t>
        </is>
      </c>
      <c r="CW122" s="256" t="inlineStr">
        <is>
          <t>11.09.2026</t>
        </is>
      </c>
      <c r="CX122" s="256" t="inlineStr">
        <is>
          <t>Farmahem</t>
        </is>
      </c>
      <c r="CY122" s="256" t="inlineStr">
        <is>
          <t>0.034</t>
        </is>
      </c>
      <c r="CZ122" s="256" t="inlineStr">
        <is>
          <t>4352/2025</t>
        </is>
      </c>
      <c r="DA122" s="256" t="inlineStr">
        <is>
          <t>15.09.2025</t>
        </is>
      </c>
      <c r="DB122" s="256" t="inlineStr">
        <is>
          <t>IPH — Institute of Public Health</t>
        </is>
      </c>
      <c r="DC122" s="256" t="inlineStr">
        <is>
          <t>ND</t>
        </is>
      </c>
      <c r="DD122" s="256" t="inlineStr">
        <is>
          <t>4352/2025</t>
        </is>
      </c>
      <c r="DE122" s="256" t="inlineStr">
        <is>
          <t>15.09.2025</t>
        </is>
      </c>
      <c r="DF122" s="256" t="inlineStr">
        <is>
          <t>IPH — Institute of Public Health</t>
        </is>
      </c>
      <c r="DG122" s="256" t="inlineStr">
        <is>
          <t>ND</t>
        </is>
      </c>
      <c r="DH122" s="256" t="inlineStr">
        <is>
          <t>4352/2025</t>
        </is>
      </c>
      <c r="DI122" s="256" t="inlineStr">
        <is>
          <t>15.09.2025</t>
        </is>
      </c>
      <c r="DJ122" s="256" t="inlineStr">
        <is>
          <t>IPH — Institute of Public Health</t>
        </is>
      </c>
      <c r="DK122" s="256" t="inlineStr">
        <is>
          <t>ND</t>
        </is>
      </c>
      <c r="DL122" s="256" t="inlineStr">
        <is>
          <t>4352/2025</t>
        </is>
      </c>
      <c r="DM122" s="256" t="inlineStr">
        <is>
          <t>15.09.2025</t>
        </is>
      </c>
      <c r="DN122" s="256" t="inlineStr">
        <is>
          <t>IPH — Institute of Public Health</t>
        </is>
      </c>
      <c r="DO122" s="256" t="inlineStr">
        <is>
          <t>ND</t>
        </is>
      </c>
      <c r="DP122" s="256" t="inlineStr">
        <is>
          <t>4352/2025</t>
        </is>
      </c>
      <c r="DQ122" s="256" t="inlineStr">
        <is>
          <t>15.09.2025</t>
        </is>
      </c>
      <c r="DR122" s="256" t="inlineStr">
        <is>
          <t>IPH — Institute of Public Health</t>
        </is>
      </c>
    </row>
    <row r="123">
      <c r="A123" s="256" t="inlineStr">
        <is>
          <t>CoQ-PP_26-122</t>
        </is>
      </c>
      <c r="B123" s="256" t="inlineStr">
        <is>
          <t>reissue — retest</t>
        </is>
      </c>
      <c r="C123" s="256" t="inlineStr">
        <is>
          <t>issuable</t>
        </is>
      </c>
      <c r="D123" s="256" t="inlineStr">
        <is>
          <t>18.09.2026</t>
        </is>
      </c>
      <c r="E123" s="256" t="inlineStr">
        <is>
          <t>CoQ-PP_26-071 of 06.06.2026</t>
        </is>
      </c>
      <c r="F123" s="256" t="inlineStr">
        <is>
          <t>(assigned on issue)</t>
        </is>
      </c>
      <c r="G123" s="256" t="inlineStr">
        <is>
          <t>JD012603/01</t>
        </is>
      </c>
      <c r="H123" s="256" t="inlineStr">
        <is>
          <t>P060362</t>
        </is>
      </c>
      <c r="I123" s="256" t="inlineStr">
        <is>
          <t>Jelly Donuts</t>
        </is>
      </c>
      <c r="J123" s="256" t="inlineStr">
        <is>
          <t>22.04.2026</t>
        </is>
      </c>
      <c r="K123" s="256" t="inlineStr">
        <is>
          <t>23.05.2026</t>
        </is>
      </c>
      <c r="L123" s="256" t="inlineStr">
        <is>
          <t>22.04.2026</t>
        </is>
      </c>
      <c r="M123" s="256" t="inlineStr">
        <is>
          <t>23.05.2026</t>
        </is>
      </c>
      <c r="N123" s="256" t="inlineStr">
        <is>
          <t>iCoA-PP_26-140</t>
        </is>
      </c>
      <c r="O123" s="256" t="inlineStr">
        <is>
          <t>17.08.2026</t>
        </is>
      </c>
      <c r="P123" s="256" t="inlineStr">
        <is>
          <t>13.08.2026</t>
        </is>
      </c>
      <c r="Q123" s="256" t="inlineStr">
        <is>
          <t>Tranche 2</t>
        </is>
      </c>
      <c r="R123" s="256" t="inlineStr">
        <is>
          <t>21.01</t>
        </is>
      </c>
      <c r="S123" s="256" t="inlineStr">
        <is>
          <t>220-16-К/26</t>
        </is>
      </c>
      <c r="T123" s="256" t="inlineStr">
        <is>
          <t>I</t>
        </is>
      </c>
      <c r="U123" s="256" t="inlineStr">
        <is>
          <t>19.80 – 24.19 %</t>
        </is>
      </c>
      <c r="V123" s="256" t="inlineStr">
        <is>
          <t>JD_THC22 : CBD1</t>
        </is>
      </c>
      <c r="W123" s="256" t="inlineStr">
        <is>
          <t>QCSP_001_JD-I_v.01</t>
        </is>
      </c>
      <c r="X123" s="256" t="inlineStr">
        <is>
          <t>for review — replaces the issued QCSP_001_JD-I_v.01 (was JD_THC20 : CBD1, 18.00 – 22.00 %); now JD_THC22 : CBD1 19.80 – 24.19 %</t>
        </is>
      </c>
      <c r="Y123" s="256" t="inlineStr">
        <is>
          <t>HYBRID</t>
        </is>
      </c>
      <c r="Z123" s="256" t="inlineStr">
        <is>
          <t>THC</t>
        </is>
      </c>
      <c r="AA123" s="256" t="inlineStr">
        <is>
          <t>MACHINE TRIMMED</t>
        </is>
      </c>
      <c r="AB123" s="256" t="inlineStr">
        <is>
          <t>SATIVA 60 : INDICA 40</t>
        </is>
      </c>
      <c r="AC123" s="256" t="inlineStr">
        <is>
          <t>Triplex Alu Bag | Триплекс Aлу Kеса, PET 12 · ALU 7 · PE 80, 300 × 500 mm, net. 400.0 g ±3%</t>
        </is>
      </c>
      <c r="AD123" s="256" t="inlineStr">
        <is>
          <t>11.09.2026</t>
        </is>
      </c>
      <c r="AE123" s="256" t="inlineStr">
        <is>
          <t>Conforms | Одговара</t>
        </is>
      </c>
      <c r="AF123" s="256" t="inlineStr">
        <is>
          <t>ППК26111</t>
        </is>
      </c>
      <c r="AG123" s="256" t="inlineStr">
        <is>
          <t>30.06.2026</t>
        </is>
      </c>
      <c r="AH123" s="256" t="inlineStr">
        <is>
          <t>UKIM Faculty of Pharmacy — Center for Natural Products</t>
        </is>
      </c>
      <c r="AI123" s="256" t="inlineStr">
        <is>
          <t>Conforms | Одговара</t>
        </is>
      </c>
      <c r="AJ123" s="256" t="inlineStr">
        <is>
          <t>ППК26111</t>
        </is>
      </c>
      <c r="AK123" s="256" t="inlineStr">
        <is>
          <t>30.06.2026</t>
        </is>
      </c>
      <c r="AL123" s="256" t="inlineStr">
        <is>
          <t>UKIM Faculty of Pharmacy — Center for Natural Products</t>
        </is>
      </c>
      <c r="AM123" s="256" t="inlineStr">
        <is>
          <t>Conforms | Одговара</t>
        </is>
      </c>
      <c r="AN123" s="256" t="inlineStr">
        <is>
          <t>220-16-К/26</t>
        </is>
      </c>
      <c r="AO123" s="256" t="inlineStr">
        <is>
          <t>25.08.2026</t>
        </is>
      </c>
      <c r="AP123" s="256" t="inlineStr">
        <is>
          <t>Farmahem</t>
        </is>
      </c>
      <c r="AQ123" s="256" t="inlineStr">
        <is>
          <t>21.01</t>
        </is>
      </c>
      <c r="AR123" s="256" t="inlineStr">
        <is>
          <t>220-16-К/26</t>
        </is>
      </c>
      <c r="AS123" s="256" t="inlineStr">
        <is>
          <t>25.08.2026</t>
        </is>
      </c>
      <c r="AT123" s="256" t="inlineStr">
        <is>
          <t>Farmahem</t>
        </is>
      </c>
      <c r="AU123" s="256" t="inlineStr">
        <is>
          <t>&lt; LOQ</t>
        </is>
      </c>
      <c r="AV123" s="256" t="inlineStr">
        <is>
          <t>220-16-К/26</t>
        </is>
      </c>
      <c r="AW123" s="256" t="inlineStr">
        <is>
          <t>25.08.2026</t>
        </is>
      </c>
      <c r="AX123" s="256" t="inlineStr">
        <is>
          <t>Farmahem</t>
        </is>
      </c>
      <c r="AY123" s="256" t="inlineStr">
        <is>
          <t>&lt; LOQ</t>
        </is>
      </c>
      <c r="AZ123" s="256" t="inlineStr">
        <is>
          <t>220-16-К/26</t>
        </is>
      </c>
      <c r="BA123" s="256" t="inlineStr">
        <is>
          <t>25.08.2026</t>
        </is>
      </c>
      <c r="BB123" s="256" t="inlineStr">
        <is>
          <t>Farmahem</t>
        </is>
      </c>
      <c r="BC123" s="256" t="inlineStr">
        <is>
          <t>Conforms | Одговара</t>
        </is>
      </c>
      <c r="BD123" s="256" t="inlineStr">
        <is>
          <t>iCoA-PP_26-140</t>
        </is>
      </c>
      <c r="BE123" s="256" t="inlineStr">
        <is>
          <t>17.08.2026</t>
        </is>
      </c>
      <c r="BF123" s="256" t="inlineStr">
        <is>
          <t>Purely Plant GmbH (in-house)</t>
        </is>
      </c>
      <c r="BG123" s="256" t="inlineStr">
        <is>
          <t>carried from the initial testing — not tested</t>
        </is>
      </c>
      <c r="BH123" s="256" t="inlineStr">
        <is>
          <t>—</t>
        </is>
      </c>
      <c r="BI123" s="256" t="inlineStr">
        <is>
          <t>—</t>
        </is>
      </c>
      <c r="BJ123" s="256" t="inlineStr">
        <is>
          <t>—</t>
        </is>
      </c>
      <c r="BK123" s="256" t="inlineStr">
        <is>
          <t>2 × 10²</t>
        </is>
      </c>
      <c r="BL123" s="256" t="inlineStr">
        <is>
          <t>365/0695/26</t>
        </is>
      </c>
      <c r="BM123" s="256" t="inlineStr">
        <is>
          <t>01.06.2026</t>
        </is>
      </c>
      <c r="BN123" s="256" t="inlineStr">
        <is>
          <t>IPH — Institute of Public Health</t>
        </is>
      </c>
      <c r="BO123" s="256" t="inlineStr">
        <is>
          <t>1 × 10²</t>
        </is>
      </c>
      <c r="BP123" s="256" t="inlineStr">
        <is>
          <t>365/0695/26</t>
        </is>
      </c>
      <c r="BQ123" s="256" t="inlineStr">
        <is>
          <t>01.06.2026</t>
        </is>
      </c>
      <c r="BR123" s="256" t="inlineStr">
        <is>
          <t>IPH — Institute of Public Health</t>
        </is>
      </c>
      <c r="BS123" s="256" t="inlineStr">
        <is>
          <t>&lt; 10</t>
        </is>
      </c>
      <c r="BT123" s="256" t="inlineStr">
        <is>
          <t>365/0695/26</t>
        </is>
      </c>
      <c r="BU123" s="256" t="inlineStr">
        <is>
          <t>01.06.2026</t>
        </is>
      </c>
      <c r="BV123" s="256" t="inlineStr">
        <is>
          <t>IPH — Institute of Public Health</t>
        </is>
      </c>
      <c r="BW123" s="256" t="inlineStr">
        <is>
          <t>Absent | Отсутна</t>
        </is>
      </c>
      <c r="BX123" s="256" t="inlineStr">
        <is>
          <t>365/0695/26</t>
        </is>
      </c>
      <c r="BY123" s="256" t="inlineStr">
        <is>
          <t>01.06.2026</t>
        </is>
      </c>
      <c r="BZ123" s="256" t="inlineStr">
        <is>
          <t>IPH — Institute of Public Health</t>
        </is>
      </c>
      <c r="CA123" s="256" t="inlineStr">
        <is>
          <t>Absent | Отсутна</t>
        </is>
      </c>
      <c r="CB123" s="256" t="inlineStr">
        <is>
          <t>365/0695/26</t>
        </is>
      </c>
      <c r="CC123" s="256" t="inlineStr">
        <is>
          <t>01.06.2026</t>
        </is>
      </c>
      <c r="CD123" s="256" t="inlineStr">
        <is>
          <t>IPH — Institute of Public Health</t>
        </is>
      </c>
      <c r="CE123" s="260" t="inlineStr">
        <is>
          <t>upon request — not required for release</t>
        </is>
      </c>
      <c r="CF123" s="256" t="inlineStr">
        <is>
          <t>—</t>
        </is>
      </c>
      <c r="CG123" s="256" t="inlineStr">
        <is>
          <t>—</t>
        </is>
      </c>
      <c r="CH123" s="256" t="inlineStr">
        <is>
          <t>—</t>
        </is>
      </c>
      <c r="CI123" s="260" t="inlineStr">
        <is>
          <t>upon request — not required for release</t>
        </is>
      </c>
      <c r="CJ123" s="256" t="inlineStr">
        <is>
          <t>—</t>
        </is>
      </c>
      <c r="CK123" s="256" t="inlineStr">
        <is>
          <t>—</t>
        </is>
      </c>
      <c r="CL123" s="256" t="inlineStr">
        <is>
          <t>—</t>
        </is>
      </c>
      <c r="CM123" s="256" t="inlineStr">
        <is>
          <t>ND</t>
        </is>
      </c>
      <c r="CN123" s="256" t="inlineStr">
        <is>
          <t>220-16-М/26</t>
        </is>
      </c>
      <c r="CO123" s="256" t="inlineStr">
        <is>
          <t>11.09.2026</t>
        </is>
      </c>
      <c r="CP123" s="256" t="inlineStr">
        <is>
          <t>Farmahem</t>
        </is>
      </c>
      <c r="CQ123" s="256" t="inlineStr">
        <is>
          <t>ND</t>
        </is>
      </c>
      <c r="CR123" s="256" t="inlineStr">
        <is>
          <t>220-16-М/26</t>
        </is>
      </c>
      <c r="CS123" s="256" t="inlineStr">
        <is>
          <t>11.09.2026</t>
        </is>
      </c>
      <c r="CT123" s="256" t="inlineStr">
        <is>
          <t>Farmahem</t>
        </is>
      </c>
      <c r="CU123" s="256" t="inlineStr">
        <is>
          <t>ND</t>
        </is>
      </c>
      <c r="CV123" s="256" t="inlineStr">
        <is>
          <t>220-16-М/26</t>
        </is>
      </c>
      <c r="CW123" s="256" t="inlineStr">
        <is>
          <t>11.09.2026</t>
        </is>
      </c>
      <c r="CX123" s="256" t="inlineStr">
        <is>
          <t>Farmahem</t>
        </is>
      </c>
      <c r="CY123" s="256" t="inlineStr">
        <is>
          <t>carried from the initial testing — not tested</t>
        </is>
      </c>
      <c r="CZ123" s="256" t="inlineStr">
        <is>
          <t>—</t>
        </is>
      </c>
      <c r="DA123" s="256" t="inlineStr">
        <is>
          <t>—</t>
        </is>
      </c>
      <c r="DB123" s="256" t="inlineStr">
        <is>
          <t>—</t>
        </is>
      </c>
      <c r="DC123" s="256" t="inlineStr">
        <is>
          <t>carried from the initial testing — not tested</t>
        </is>
      </c>
      <c r="DD123" s="256" t="inlineStr">
        <is>
          <t>—</t>
        </is>
      </c>
      <c r="DE123" s="256" t="inlineStr">
        <is>
          <t>—</t>
        </is>
      </c>
      <c r="DF123" s="256" t="inlineStr">
        <is>
          <t>—</t>
        </is>
      </c>
      <c r="DG123" s="256" t="inlineStr">
        <is>
          <t>carried from the initial testing — not tested</t>
        </is>
      </c>
      <c r="DH123" s="256" t="inlineStr">
        <is>
          <t>—</t>
        </is>
      </c>
      <c r="DI123" s="256" t="inlineStr">
        <is>
          <t>—</t>
        </is>
      </c>
      <c r="DJ123" s="256" t="inlineStr">
        <is>
          <t>—</t>
        </is>
      </c>
      <c r="DK123" s="256" t="inlineStr">
        <is>
          <t>carried from the initial testing — not tested</t>
        </is>
      </c>
      <c r="DL123" s="256" t="inlineStr">
        <is>
          <t>—</t>
        </is>
      </c>
      <c r="DM123" s="256" t="inlineStr">
        <is>
          <t>—</t>
        </is>
      </c>
      <c r="DN123" s="256" t="inlineStr">
        <is>
          <t>—</t>
        </is>
      </c>
      <c r="DO123" s="256" t="inlineStr">
        <is>
          <t>carried from the initial testing — not tested</t>
        </is>
      </c>
      <c r="DP123" s="256" t="inlineStr">
        <is>
          <t>—</t>
        </is>
      </c>
      <c r="DQ123" s="256" t="inlineStr">
        <is>
          <t>—</t>
        </is>
      </c>
      <c r="DR123" s="256" t="inlineStr">
        <is>
          <t>—</t>
        </is>
      </c>
    </row>
    <row r="124">
      <c r="A124" s="256" t="inlineStr">
        <is>
          <t>CoQ-PP_26-123</t>
        </is>
      </c>
      <c r="B124" s="256" t="inlineStr">
        <is>
          <t>reissue — retest</t>
        </is>
      </c>
      <c r="C124" s="256" t="inlineStr">
        <is>
          <t>issuable</t>
        </is>
      </c>
      <c r="D124" s="256" t="inlineStr">
        <is>
          <t>18.09.2026</t>
        </is>
      </c>
      <c r="E124" s="256" t="inlineStr">
        <is>
          <t>CoQ-PP_26-078 of 07.07.2026</t>
        </is>
      </c>
      <c r="F124" s="256" t="inlineStr">
        <is>
          <t>(assigned on issue)</t>
        </is>
      </c>
      <c r="G124" s="256" t="inlineStr">
        <is>
          <t>JD012603/02</t>
        </is>
      </c>
      <c r="H124" s="256" t="inlineStr">
        <is>
          <t>P060412</t>
        </is>
      </c>
      <c r="I124" s="256" t="inlineStr">
        <is>
          <t>Jelly Donuts</t>
        </is>
      </c>
      <c r="J124" s="256" t="inlineStr">
        <is>
          <t>04.05.2026</t>
        </is>
      </c>
      <c r="K124" s="256" t="inlineStr">
        <is>
          <t>24.05.2026</t>
        </is>
      </c>
      <c r="L124" s="256" t="inlineStr">
        <is>
          <t>04.05.2026</t>
        </is>
      </c>
      <c r="M124" s="256" t="inlineStr">
        <is>
          <t>24.05.2026</t>
        </is>
      </c>
      <c r="N124" s="256" t="inlineStr">
        <is>
          <t>iCoA-PP_26-138</t>
        </is>
      </c>
      <c r="O124" s="256" t="inlineStr">
        <is>
          <t>17.08.2026</t>
        </is>
      </c>
      <c r="P124" s="256" t="inlineStr">
        <is>
          <t>13.08.2026</t>
        </is>
      </c>
      <c r="Q124" s="256" t="inlineStr">
        <is>
          <t>Tranche 2</t>
        </is>
      </c>
      <c r="R124" s="256" t="inlineStr">
        <is>
          <t>14.43</t>
        </is>
      </c>
      <c r="S124" s="256" t="inlineStr">
        <is>
          <t>220-17-К/26</t>
        </is>
      </c>
      <c r="T124" s="256" t="inlineStr">
        <is>
          <t>III</t>
        </is>
      </c>
      <c r="U124" s="256" t="inlineStr">
        <is>
          <t>13.80 – 16.19 %</t>
        </is>
      </c>
      <c r="V124" s="256" t="inlineStr">
        <is>
          <t>JD_THC15 : CBD1</t>
        </is>
      </c>
      <c r="W124" s="256" t="inlineStr">
        <is>
          <t>QCSP_001_JD-III_v.01</t>
        </is>
      </c>
      <c r="X124" s="256" t="inlineStr">
        <is>
          <t>for review — replaces the issued QCSP_001_JD-III_v.01 (was JD_THC20:CBD1, 20.00% ± 2.00%); now JD_THC15 : CBD1 13.80 – 16.19 %</t>
        </is>
      </c>
      <c r="Y124" s="256" t="inlineStr">
        <is>
          <t>HYBRID</t>
        </is>
      </c>
      <c r="Z124" s="256" t="inlineStr">
        <is>
          <t>THC</t>
        </is>
      </c>
      <c r="AA124" s="256" t="inlineStr">
        <is>
          <t>MACHINE TRIMMED</t>
        </is>
      </c>
      <c r="AB124" s="256" t="inlineStr">
        <is>
          <t>SATIVA 60 : INDICA 40</t>
        </is>
      </c>
      <c r="AC124" s="256" t="inlineStr">
        <is>
          <t>Triplex Alu Bag | Триплекс Aлу Kеса, PET 12 · ALU 7 · PE 80, 300 × 500 mm, net. 400.0 g ±3%</t>
        </is>
      </c>
      <c r="AD124" s="256" t="inlineStr">
        <is>
          <t>11.09.2026</t>
        </is>
      </c>
      <c r="AE124" s="256" t="inlineStr">
        <is>
          <t>Conforms | Одговара</t>
        </is>
      </c>
      <c r="AF124" s="256" t="inlineStr">
        <is>
          <t>ППК26113</t>
        </is>
      </c>
      <c r="AG124" s="256" t="inlineStr">
        <is>
          <t>30.06.2026</t>
        </is>
      </c>
      <c r="AH124" s="256" t="inlineStr">
        <is>
          <t>UKIM Faculty of Pharmacy — Center for Natural Products</t>
        </is>
      </c>
      <c r="AI124" s="256" t="inlineStr">
        <is>
          <t>Conforms | Одговара</t>
        </is>
      </c>
      <c r="AJ124" s="256" t="inlineStr">
        <is>
          <t>ППК26113</t>
        </is>
      </c>
      <c r="AK124" s="256" t="inlineStr">
        <is>
          <t>30.06.2026</t>
        </is>
      </c>
      <c r="AL124" s="256" t="inlineStr">
        <is>
          <t>UKIM Faculty of Pharmacy — Center for Natural Products</t>
        </is>
      </c>
      <c r="AM124" s="256" t="inlineStr">
        <is>
          <t>Conforms | Одговара</t>
        </is>
      </c>
      <c r="AN124" s="256" t="inlineStr">
        <is>
          <t>220-17-К/26</t>
        </is>
      </c>
      <c r="AO124" s="256" t="inlineStr">
        <is>
          <t>26.08.2026</t>
        </is>
      </c>
      <c r="AP124" s="256" t="inlineStr">
        <is>
          <t>Farmahem</t>
        </is>
      </c>
      <c r="AQ124" s="256" t="inlineStr">
        <is>
          <t>14.43</t>
        </is>
      </c>
      <c r="AR124" s="256" t="inlineStr">
        <is>
          <t>220-17-К/26</t>
        </is>
      </c>
      <c r="AS124" s="256" t="inlineStr">
        <is>
          <t>26.08.2026</t>
        </is>
      </c>
      <c r="AT124" s="256" t="inlineStr">
        <is>
          <t>Farmahem</t>
        </is>
      </c>
      <c r="AU124" s="256" t="inlineStr">
        <is>
          <t>&lt; LOQ</t>
        </is>
      </c>
      <c r="AV124" s="256" t="inlineStr">
        <is>
          <t>220-17-К/26</t>
        </is>
      </c>
      <c r="AW124" s="256" t="inlineStr">
        <is>
          <t>26.08.2026</t>
        </is>
      </c>
      <c r="AX124" s="256" t="inlineStr">
        <is>
          <t>Farmahem</t>
        </is>
      </c>
      <c r="AY124" s="256" t="inlineStr">
        <is>
          <t>&lt; LOQ</t>
        </is>
      </c>
      <c r="AZ124" s="256" t="inlineStr">
        <is>
          <t>220-17-К/26</t>
        </is>
      </c>
      <c r="BA124" s="256" t="inlineStr">
        <is>
          <t>26.08.2026</t>
        </is>
      </c>
      <c r="BB124" s="256" t="inlineStr">
        <is>
          <t>Farmahem</t>
        </is>
      </c>
      <c r="BC124" s="256" t="inlineStr">
        <is>
          <t>Conforms | Одговара</t>
        </is>
      </c>
      <c r="BD124" s="256" t="inlineStr">
        <is>
          <t>ППК26113</t>
        </is>
      </c>
      <c r="BE124" s="256" t="inlineStr">
        <is>
          <t>30.06.2026</t>
        </is>
      </c>
      <c r="BF124" s="256" t="inlineStr">
        <is>
          <t>UKIM Faculty of Pharmacy — Center for Natural Products</t>
        </is>
      </c>
      <c r="BG124" s="256" t="inlineStr">
        <is>
          <t>7.52</t>
        </is>
      </c>
      <c r="BH124" s="256" t="inlineStr">
        <is>
          <t>ППК26113</t>
        </is>
      </c>
      <c r="BI124" s="256" t="inlineStr">
        <is>
          <t>30.06.2026</t>
        </is>
      </c>
      <c r="BJ124" s="256" t="inlineStr">
        <is>
          <t>UKIM Faculty of Pharmacy — Center for Natural Products</t>
        </is>
      </c>
      <c r="BK124" s="256" t="inlineStr">
        <is>
          <t>6.3 × 10³</t>
        </is>
      </c>
      <c r="BL124" s="256" t="inlineStr">
        <is>
          <t>405/0788/26</t>
        </is>
      </c>
      <c r="BM124" s="256" t="inlineStr">
        <is>
          <t>24.06.2026</t>
        </is>
      </c>
      <c r="BN124" s="256" t="inlineStr">
        <is>
          <t>IPH — Institute of Public Health</t>
        </is>
      </c>
      <c r="BO124" s="256" t="inlineStr">
        <is>
          <t>4.4 × 10³</t>
        </is>
      </c>
      <c r="BP124" s="256" t="inlineStr">
        <is>
          <t>405/0788/26</t>
        </is>
      </c>
      <c r="BQ124" s="256" t="inlineStr">
        <is>
          <t>24.06.2026</t>
        </is>
      </c>
      <c r="BR124" s="256" t="inlineStr">
        <is>
          <t>IPH — Institute of Public Health</t>
        </is>
      </c>
      <c r="BS124" s="256" t="inlineStr">
        <is>
          <t>&lt; 10</t>
        </is>
      </c>
      <c r="BT124" s="256" t="inlineStr">
        <is>
          <t>405/0788/26</t>
        </is>
      </c>
      <c r="BU124" s="256" t="inlineStr">
        <is>
          <t>24.06.2026</t>
        </is>
      </c>
      <c r="BV124" s="256" t="inlineStr">
        <is>
          <t>IPH — Institute of Public Health</t>
        </is>
      </c>
      <c r="BW124" s="256" t="inlineStr">
        <is>
          <t>Absent | Отсутна</t>
        </is>
      </c>
      <c r="BX124" s="256" t="inlineStr">
        <is>
          <t>405/0788/26</t>
        </is>
      </c>
      <c r="BY124" s="256" t="inlineStr">
        <is>
          <t>24.06.2026</t>
        </is>
      </c>
      <c r="BZ124" s="256" t="inlineStr">
        <is>
          <t>IPH — Institute of Public Health</t>
        </is>
      </c>
      <c r="CA124" s="256" t="inlineStr">
        <is>
          <t>Absent | Отсутна</t>
        </is>
      </c>
      <c r="CB124" s="256" t="inlineStr">
        <is>
          <t>405/0788/26</t>
        </is>
      </c>
      <c r="CC124" s="256" t="inlineStr">
        <is>
          <t>24.06.2026</t>
        </is>
      </c>
      <c r="CD124" s="256" t="inlineStr">
        <is>
          <t>IPH — Institute of Public Health</t>
        </is>
      </c>
      <c r="CE124" s="260" t="inlineStr">
        <is>
          <t>upon request — not required for release</t>
        </is>
      </c>
      <c r="CF124" s="256" t="inlineStr">
        <is>
          <t>—</t>
        </is>
      </c>
      <c r="CG124" s="256" t="inlineStr">
        <is>
          <t>—</t>
        </is>
      </c>
      <c r="CH124" s="256" t="inlineStr">
        <is>
          <t>—</t>
        </is>
      </c>
      <c r="CI124" s="260" t="inlineStr">
        <is>
          <t>upon request — not required for release</t>
        </is>
      </c>
      <c r="CJ124" s="256" t="inlineStr">
        <is>
          <t>—</t>
        </is>
      </c>
      <c r="CK124" s="256" t="inlineStr">
        <is>
          <t>—</t>
        </is>
      </c>
      <c r="CL124" s="256" t="inlineStr">
        <is>
          <t>—</t>
        </is>
      </c>
      <c r="CM124" s="256" t="inlineStr">
        <is>
          <t>ND</t>
        </is>
      </c>
      <c r="CN124" s="256" t="inlineStr">
        <is>
          <t>220-17-М/26</t>
        </is>
      </c>
      <c r="CO124" s="256" t="inlineStr">
        <is>
          <t>11.09.2026</t>
        </is>
      </c>
      <c r="CP124" s="256" t="inlineStr">
        <is>
          <t>Farmahem</t>
        </is>
      </c>
      <c r="CQ124" s="256" t="inlineStr">
        <is>
          <t>ND</t>
        </is>
      </c>
      <c r="CR124" s="256" t="inlineStr">
        <is>
          <t>220-17-М/26</t>
        </is>
      </c>
      <c r="CS124" s="256" t="inlineStr">
        <is>
          <t>11.09.2026</t>
        </is>
      </c>
      <c r="CT124" s="256" t="inlineStr">
        <is>
          <t>Farmahem</t>
        </is>
      </c>
      <c r="CU124" s="256" t="inlineStr">
        <is>
          <t>ND</t>
        </is>
      </c>
      <c r="CV124" s="256" t="inlineStr">
        <is>
          <t>220-17-М/26</t>
        </is>
      </c>
      <c r="CW124" s="256" t="inlineStr">
        <is>
          <t>11.09.2026</t>
        </is>
      </c>
      <c r="CX124" s="256" t="inlineStr">
        <is>
          <t>Farmahem</t>
        </is>
      </c>
      <c r="CY124" s="256" t="inlineStr">
        <is>
          <t>0.085</t>
        </is>
      </c>
      <c r="CZ124" s="256" t="inlineStr">
        <is>
          <t>3660/2026</t>
        </is>
      </c>
      <c r="DA124" s="256" t="inlineStr">
        <is>
          <t>22.06.2026</t>
        </is>
      </c>
      <c r="DB124" s="256" t="inlineStr">
        <is>
          <t>IPH — Institute of Public Health</t>
        </is>
      </c>
      <c r="DC124" s="256" t="inlineStr">
        <is>
          <t>0.044</t>
        </is>
      </c>
      <c r="DD124" s="256" t="inlineStr">
        <is>
          <t>3660/2026</t>
        </is>
      </c>
      <c r="DE124" s="256" t="inlineStr">
        <is>
          <t>22.06.2026</t>
        </is>
      </c>
      <c r="DF124" s="256" t="inlineStr">
        <is>
          <t>IPH — Institute of Public Health</t>
        </is>
      </c>
      <c r="DG124" s="256" t="inlineStr">
        <is>
          <t>0.042</t>
        </is>
      </c>
      <c r="DH124" s="256" t="inlineStr">
        <is>
          <t>3660/2026</t>
        </is>
      </c>
      <c r="DI124" s="256" t="inlineStr">
        <is>
          <t>22.06.2026</t>
        </is>
      </c>
      <c r="DJ124" s="256" t="inlineStr">
        <is>
          <t>IPH — Institute of Public Health</t>
        </is>
      </c>
      <c r="DK124" s="256" t="inlineStr">
        <is>
          <t>0.042</t>
        </is>
      </c>
      <c r="DL124" s="256" t="inlineStr">
        <is>
          <t>3660/2026</t>
        </is>
      </c>
      <c r="DM124" s="256" t="inlineStr">
        <is>
          <t>22.06.2026</t>
        </is>
      </c>
      <c r="DN124" s="256" t="inlineStr">
        <is>
          <t>IPH — Institute of Public Health</t>
        </is>
      </c>
      <c r="DO124" s="256" t="inlineStr">
        <is>
          <t>&lt; 0,01 mg/kg — all 22 residues</t>
        </is>
      </c>
      <c r="DP124" s="256" t="inlineStr">
        <is>
          <t>3660/2026</t>
        </is>
      </c>
      <c r="DQ124" s="256" t="inlineStr">
        <is>
          <t>22.06.2026</t>
        </is>
      </c>
      <c r="DR124" s="256" t="inlineStr">
        <is>
          <t>IJZ</t>
        </is>
      </c>
    </row>
    <row r="125">
      <c r="A125" s="256" t="inlineStr">
        <is>
          <t>CoQ-PP_26-124</t>
        </is>
      </c>
      <c r="B125" s="256" t="inlineStr">
        <is>
          <t>reissue — retest</t>
        </is>
      </c>
      <c r="C125" s="256" t="inlineStr">
        <is>
          <t>issuable</t>
        </is>
      </c>
      <c r="D125" s="256" t="inlineStr">
        <is>
          <t>18.09.2026</t>
        </is>
      </c>
      <c r="E125" s="256" t="inlineStr">
        <is>
          <t>CoQ-PP_26-076 of 07.07.2026</t>
        </is>
      </c>
      <c r="F125" s="256" t="inlineStr">
        <is>
          <t>(assigned on issue)</t>
        </is>
      </c>
      <c r="G125" s="256" t="inlineStr">
        <is>
          <t>JD012603/02V</t>
        </is>
      </c>
      <c r="H125" s="256" t="inlineStr">
        <is>
          <t>P060422</t>
        </is>
      </c>
      <c r="I125" s="256" t="inlineStr">
        <is>
          <t>Jelly Donuts</t>
        </is>
      </c>
      <c r="J125" s="256" t="inlineStr">
        <is>
          <t>29.04.2026</t>
        </is>
      </c>
      <c r="K125" s="256" t="inlineStr">
        <is>
          <t>23.05.2026</t>
        </is>
      </c>
      <c r="L125" s="256" t="inlineStr">
        <is>
          <t>29.04.2026</t>
        </is>
      </c>
      <c r="M125" s="256" t="inlineStr">
        <is>
          <t>23.05.2026</t>
        </is>
      </c>
      <c r="N125" s="256" t="inlineStr">
        <is>
          <t>iCoA-PP_26-139</t>
        </is>
      </c>
      <c r="O125" s="256" t="inlineStr">
        <is>
          <t>17.08.2026</t>
        </is>
      </c>
      <c r="P125" s="256" t="inlineStr">
        <is>
          <t>13.08.2026</t>
        </is>
      </c>
      <c r="Q125" s="256" t="inlineStr">
        <is>
          <t>Tranche 2</t>
        </is>
      </c>
      <c r="R125" s="256" t="inlineStr">
        <is>
          <t>17.09</t>
        </is>
      </c>
      <c r="S125" s="256" t="inlineStr">
        <is>
          <t>220-18-К/26</t>
        </is>
      </c>
      <c r="T125" s="256" t="inlineStr">
        <is>
          <t>II</t>
        </is>
      </c>
      <c r="U125" s="256" t="inlineStr">
        <is>
          <t>16.20 – 19.79 %</t>
        </is>
      </c>
      <c r="V125" s="256" t="inlineStr">
        <is>
          <t>JD_THC18 : CBD1</t>
        </is>
      </c>
      <c r="W125" s="256" t="inlineStr">
        <is>
          <t>QCSP_001_JD-II_v.01</t>
        </is>
      </c>
      <c r="X125" s="256" t="inlineStr">
        <is>
          <t>for review — replaces the issued QCSP_001_JD-II_v.01 (was JD_THC16 : CBD1, 14.91 – 17.09 %); now JD_THC18 : CBD1 16.20 – 19.79 %</t>
        </is>
      </c>
      <c r="Y125" s="256" t="inlineStr">
        <is>
          <t>HYBRID</t>
        </is>
      </c>
      <c r="Z125" s="256" t="inlineStr">
        <is>
          <t>THC</t>
        </is>
      </c>
      <c r="AA125" s="256" t="inlineStr">
        <is>
          <t>MACHINE TRIMMED</t>
        </is>
      </c>
      <c r="AB125" s="256" t="inlineStr">
        <is>
          <t>SATIVA 60 : INDICA 40</t>
        </is>
      </c>
      <c r="AC125" s="256" t="inlineStr">
        <is>
          <t>Triplex Alu Bag | Триплекс Aлу Kеса, PET 12 · ALU 7 · PE 80, 300 × 500 mm, net. 400.0 g ±3%</t>
        </is>
      </c>
      <c r="AD125" s="256" t="inlineStr">
        <is>
          <t>11.09.2026</t>
        </is>
      </c>
      <c r="AE125" s="256" t="inlineStr">
        <is>
          <t>Conforms | Одговара</t>
        </is>
      </c>
      <c r="AF125" s="256" t="inlineStr">
        <is>
          <t>ППК26111</t>
        </is>
      </c>
      <c r="AG125" s="256" t="inlineStr">
        <is>
          <t>30.06.2026</t>
        </is>
      </c>
      <c r="AH125" s="256" t="inlineStr">
        <is>
          <t>UKIM Faculty of Pharmacy — Center for Natural Products</t>
        </is>
      </c>
      <c r="AI125" s="256" t="inlineStr">
        <is>
          <t>Conforms | Одговара</t>
        </is>
      </c>
      <c r="AJ125" s="256" t="inlineStr">
        <is>
          <t>ППК26111</t>
        </is>
      </c>
      <c r="AK125" s="256" t="inlineStr">
        <is>
          <t>30.06.2026</t>
        </is>
      </c>
      <c r="AL125" s="256" t="inlineStr">
        <is>
          <t>UKIM Faculty of Pharmacy — Center for Natural Products</t>
        </is>
      </c>
      <c r="AM125" s="256" t="inlineStr">
        <is>
          <t>Conforms | Одговара</t>
        </is>
      </c>
      <c r="AN125" s="256" t="inlineStr">
        <is>
          <t>220-18-К/26</t>
        </is>
      </c>
      <c r="AO125" s="256" t="inlineStr">
        <is>
          <t>26.08.2026</t>
        </is>
      </c>
      <c r="AP125" s="256" t="inlineStr">
        <is>
          <t>Farmahem</t>
        </is>
      </c>
      <c r="AQ125" s="256" t="inlineStr">
        <is>
          <t>17.09</t>
        </is>
      </c>
      <c r="AR125" s="256" t="inlineStr">
        <is>
          <t>220-18-К/26</t>
        </is>
      </c>
      <c r="AS125" s="256" t="inlineStr">
        <is>
          <t>26.08.2026</t>
        </is>
      </c>
      <c r="AT125" s="256" t="inlineStr">
        <is>
          <t>Farmahem</t>
        </is>
      </c>
      <c r="AU125" s="256" t="inlineStr">
        <is>
          <t>&lt; LOQ</t>
        </is>
      </c>
      <c r="AV125" s="256" t="inlineStr">
        <is>
          <t>220-18-К/26</t>
        </is>
      </c>
      <c r="AW125" s="256" t="inlineStr">
        <is>
          <t>26.08.2026</t>
        </is>
      </c>
      <c r="AX125" s="256" t="inlineStr">
        <is>
          <t>Farmahem</t>
        </is>
      </c>
      <c r="AY125" s="256" t="inlineStr">
        <is>
          <t>&lt; LOQ</t>
        </is>
      </c>
      <c r="AZ125" s="256" t="inlineStr">
        <is>
          <t>220-18-К/26</t>
        </is>
      </c>
      <c r="BA125" s="256" t="inlineStr">
        <is>
          <t>26.08.2026</t>
        </is>
      </c>
      <c r="BB125" s="256" t="inlineStr">
        <is>
          <t>Farmahem</t>
        </is>
      </c>
      <c r="BC125" s="256" t="inlineStr">
        <is>
          <t>Conforms | Одговара</t>
        </is>
      </c>
      <c r="BD125" s="256" t="inlineStr">
        <is>
          <t>ППК26111</t>
        </is>
      </c>
      <c r="BE125" s="256" t="inlineStr">
        <is>
          <t>30.06.2026</t>
        </is>
      </c>
      <c r="BF125" s="256" t="inlineStr">
        <is>
          <t>UKIM Faculty of Pharmacy — Center for Natural Products</t>
        </is>
      </c>
      <c r="BG125" s="256" t="inlineStr">
        <is>
          <t>7.04</t>
        </is>
      </c>
      <c r="BH125" s="256" t="inlineStr">
        <is>
          <t>ППК26111</t>
        </is>
      </c>
      <c r="BI125" s="256" t="inlineStr">
        <is>
          <t>30.06.2026</t>
        </is>
      </c>
      <c r="BJ125" s="256" t="inlineStr">
        <is>
          <t>UKIM Faculty of Pharmacy — Center for Natural Products</t>
        </is>
      </c>
      <c r="BK125" s="256" t="inlineStr">
        <is>
          <t>5.1 × 10³</t>
        </is>
      </c>
      <c r="BL125" s="256" t="inlineStr">
        <is>
          <t>406/0789/26</t>
        </is>
      </c>
      <c r="BM125" s="256" t="inlineStr">
        <is>
          <t>24.06.2026</t>
        </is>
      </c>
      <c r="BN125" s="256" t="inlineStr">
        <is>
          <t>IPH — Institute of Public Health</t>
        </is>
      </c>
      <c r="BO125" s="256" t="inlineStr">
        <is>
          <t>4.7 × 10³</t>
        </is>
      </c>
      <c r="BP125" s="256" t="inlineStr">
        <is>
          <t>406/0789/26</t>
        </is>
      </c>
      <c r="BQ125" s="256" t="inlineStr">
        <is>
          <t>24.06.2026</t>
        </is>
      </c>
      <c r="BR125" s="256" t="inlineStr">
        <is>
          <t>IPH — Institute of Public Health</t>
        </is>
      </c>
      <c r="BS125" s="256" t="inlineStr">
        <is>
          <t>&lt; 10</t>
        </is>
      </c>
      <c r="BT125" s="256" t="inlineStr">
        <is>
          <t>406/0789/26</t>
        </is>
      </c>
      <c r="BU125" s="256" t="inlineStr">
        <is>
          <t>24.06.2026</t>
        </is>
      </c>
      <c r="BV125" s="256" t="inlineStr">
        <is>
          <t>IPH — Institute of Public Health</t>
        </is>
      </c>
      <c r="BW125" s="256" t="inlineStr">
        <is>
          <t>Absent | Отсутна</t>
        </is>
      </c>
      <c r="BX125" s="256" t="inlineStr">
        <is>
          <t>406/0789/26</t>
        </is>
      </c>
      <c r="BY125" s="256" t="inlineStr">
        <is>
          <t>24.06.2026</t>
        </is>
      </c>
      <c r="BZ125" s="256" t="inlineStr">
        <is>
          <t>IPH — Institute of Public Health</t>
        </is>
      </c>
      <c r="CA125" s="256" t="inlineStr">
        <is>
          <t>Absent | Отсутна</t>
        </is>
      </c>
      <c r="CB125" s="256" t="inlineStr">
        <is>
          <t>406/0789/26</t>
        </is>
      </c>
      <c r="CC125" s="256" t="inlineStr">
        <is>
          <t>24.06.2026</t>
        </is>
      </c>
      <c r="CD125" s="256" t="inlineStr">
        <is>
          <t>IPH — Institute of Public Health</t>
        </is>
      </c>
      <c r="CE125" s="260" t="inlineStr">
        <is>
          <t>upon request — not required for release</t>
        </is>
      </c>
      <c r="CF125" s="256" t="inlineStr">
        <is>
          <t>—</t>
        </is>
      </c>
      <c r="CG125" s="256" t="inlineStr">
        <is>
          <t>—</t>
        </is>
      </c>
      <c r="CH125" s="256" t="inlineStr">
        <is>
          <t>—</t>
        </is>
      </c>
      <c r="CI125" s="260" t="inlineStr">
        <is>
          <t>upon request — not required for release</t>
        </is>
      </c>
      <c r="CJ125" s="256" t="inlineStr">
        <is>
          <t>—</t>
        </is>
      </c>
      <c r="CK125" s="256" t="inlineStr">
        <is>
          <t>—</t>
        </is>
      </c>
      <c r="CL125" s="256" t="inlineStr">
        <is>
          <t>—</t>
        </is>
      </c>
      <c r="CM125" s="256" t="inlineStr">
        <is>
          <t>ND</t>
        </is>
      </c>
      <c r="CN125" s="256" t="inlineStr">
        <is>
          <t>220-18-М/26</t>
        </is>
      </c>
      <c r="CO125" s="256" t="inlineStr">
        <is>
          <t>11.09.2026</t>
        </is>
      </c>
      <c r="CP125" s="256" t="inlineStr">
        <is>
          <t>Farmahem</t>
        </is>
      </c>
      <c r="CQ125" s="256" t="inlineStr">
        <is>
          <t>ND</t>
        </is>
      </c>
      <c r="CR125" s="256" t="inlineStr">
        <is>
          <t>220-18-М/26</t>
        </is>
      </c>
      <c r="CS125" s="256" t="inlineStr">
        <is>
          <t>11.09.2026</t>
        </is>
      </c>
      <c r="CT125" s="256" t="inlineStr">
        <is>
          <t>Farmahem</t>
        </is>
      </c>
      <c r="CU125" s="256" t="inlineStr">
        <is>
          <t>ND</t>
        </is>
      </c>
      <c r="CV125" s="256" t="inlineStr">
        <is>
          <t>220-18-М/26</t>
        </is>
      </c>
      <c r="CW125" s="256" t="inlineStr">
        <is>
          <t>11.09.2026</t>
        </is>
      </c>
      <c r="CX125" s="256" t="inlineStr">
        <is>
          <t>Farmahem</t>
        </is>
      </c>
      <c r="CY125" s="256" t="inlineStr">
        <is>
          <t>0.06</t>
        </is>
      </c>
      <c r="CZ125" s="256" t="inlineStr">
        <is>
          <t>3662/2026</t>
        </is>
      </c>
      <c r="DA125" s="256" t="inlineStr">
        <is>
          <t>22.06.2026</t>
        </is>
      </c>
      <c r="DB125" s="256" t="inlineStr">
        <is>
          <t>IPH — Institute of Public Health</t>
        </is>
      </c>
      <c r="DC125" s="256" t="inlineStr">
        <is>
          <t>0.03</t>
        </is>
      </c>
      <c r="DD125" s="256" t="inlineStr">
        <is>
          <t>3662/2026</t>
        </is>
      </c>
      <c r="DE125" s="256" t="inlineStr">
        <is>
          <t>22.06.2026</t>
        </is>
      </c>
      <c r="DF125" s="256" t="inlineStr">
        <is>
          <t>IPH — Institute of Public Health</t>
        </is>
      </c>
      <c r="DG125" s="256" t="inlineStr">
        <is>
          <t>0.045</t>
        </is>
      </c>
      <c r="DH125" s="256" t="inlineStr">
        <is>
          <t>3662/2026</t>
        </is>
      </c>
      <c r="DI125" s="256" t="inlineStr">
        <is>
          <t>22.06.2026</t>
        </is>
      </c>
      <c r="DJ125" s="256" t="inlineStr">
        <is>
          <t>IPH — Institute of Public Health</t>
        </is>
      </c>
      <c r="DK125" s="256" t="inlineStr">
        <is>
          <t>0.013</t>
        </is>
      </c>
      <c r="DL125" s="256" t="inlineStr">
        <is>
          <t>3662/2026</t>
        </is>
      </c>
      <c r="DM125" s="256" t="inlineStr">
        <is>
          <t>22.06.2026</t>
        </is>
      </c>
      <c r="DN125" s="256" t="inlineStr">
        <is>
          <t>IPH — Institute of Public Health</t>
        </is>
      </c>
      <c r="DO125" s="256" t="inlineStr">
        <is>
          <t>&lt; 0,01 mg/kg — all 22 residues</t>
        </is>
      </c>
      <c r="DP125" s="256" t="inlineStr">
        <is>
          <t>3662/2026</t>
        </is>
      </c>
      <c r="DQ125" s="256" t="inlineStr">
        <is>
          <t>22.06.2026</t>
        </is>
      </c>
      <c r="DR125" s="256" t="inlineStr">
        <is>
          <t>IJZ</t>
        </is>
      </c>
    </row>
    <row r="126">
      <c r="A126" s="256" t="inlineStr">
        <is>
          <t>CoQ-PP_26-125</t>
        </is>
      </c>
      <c r="B126" s="256" t="inlineStr">
        <is>
          <t>reissue — retest</t>
        </is>
      </c>
      <c r="C126" s="256" t="inlineStr">
        <is>
          <t>issuable</t>
        </is>
      </c>
      <c r="D126" s="256" t="inlineStr">
        <is>
          <t>18.09.2026</t>
        </is>
      </c>
      <c r="E126" s="256" t="inlineStr">
        <is>
          <t>CoQ-PP_26-084 of 13.08.2026</t>
        </is>
      </c>
      <c r="F126" s="256" t="inlineStr">
        <is>
          <t>(assigned on issue)</t>
        </is>
      </c>
      <c r="G126" s="256" t="inlineStr">
        <is>
          <t>JD042601</t>
        </is>
      </c>
      <c r="H126" s="256" t="inlineStr">
        <is>
          <t>P060492</t>
        </is>
      </c>
      <c r="I126" s="256" t="inlineStr">
        <is>
          <t>Jelly Donuts</t>
        </is>
      </c>
      <c r="J126" s="256" t="inlineStr">
        <is>
          <t>21.07.2026</t>
        </is>
      </c>
      <c r="K126" s="256" t="inlineStr">
        <is>
          <t>13.08.2026</t>
        </is>
      </c>
      <c r="L126" s="256" t="inlineStr">
        <is>
          <t>—</t>
        </is>
      </c>
      <c r="M126" s="256" t="inlineStr">
        <is>
          <t>13.08.2026</t>
        </is>
      </c>
      <c r="N126" s="256" t="inlineStr">
        <is>
          <t>iCoA-PP_26-148</t>
        </is>
      </c>
      <c r="O126" s="256" t="inlineStr">
        <is>
          <t>17.08.2026</t>
        </is>
      </c>
      <c r="P126" s="256" t="inlineStr">
        <is>
          <t>14.08.2026</t>
        </is>
      </c>
      <c r="Q126" s="256" t="inlineStr">
        <is>
          <t>Tranche 2</t>
        </is>
      </c>
      <c r="R126" s="256" t="inlineStr">
        <is>
          <t>14.89</t>
        </is>
      </c>
      <c r="S126" s="256" t="inlineStr">
        <is>
          <t>220-30-К/26</t>
        </is>
      </c>
      <c r="T126" s="256" t="inlineStr">
        <is>
          <t>III</t>
        </is>
      </c>
      <c r="U126" s="256" t="inlineStr">
        <is>
          <t>13.80 – 16.19 %</t>
        </is>
      </c>
      <c r="V126" s="256" t="inlineStr">
        <is>
          <t>JD_THC15 : CBD1</t>
        </is>
      </c>
      <c r="W126" s="256" t="inlineStr">
        <is>
          <t>QCSP_001_JD-III_v.01</t>
        </is>
      </c>
      <c r="X126" s="256" t="inlineStr">
        <is>
          <t>for review — replaces the issued QCSP_001_JD-III_v.01 (was JD_THC20:CBD1, 20.00% ± 2.00%); now JD_THC15 : CBD1 13.80 – 16.19 %</t>
        </is>
      </c>
      <c r="Y126" s="256" t="inlineStr">
        <is>
          <t>HYBRID</t>
        </is>
      </c>
      <c r="Z126" s="256" t="inlineStr">
        <is>
          <t>THC</t>
        </is>
      </c>
      <c r="AA126" s="256" t="inlineStr">
        <is>
          <t>MACHINE TRIMMED</t>
        </is>
      </c>
      <c r="AB126" s="256" t="inlineStr">
        <is>
          <t>SATIVA 60 : INDICA 40</t>
        </is>
      </c>
      <c r="AC126" s="256" t="inlineStr">
        <is>
          <t>Triplex Alu Bag | Триплекс Aлу Kеса, PET 12 · ALU 7 · PE 80, 300 × 500 mm, net. 400.0 g ±3%</t>
        </is>
      </c>
      <c r="AD126" s="256" t="inlineStr">
        <is>
          <t>11.09.2026</t>
        </is>
      </c>
      <c r="AE126" s="256" t="inlineStr">
        <is>
          <t>Conforms | Одговара</t>
        </is>
      </c>
      <c r="AF126" s="256" t="inlineStr">
        <is>
          <t>iCoA-PP_26-148</t>
        </is>
      </c>
      <c r="AG126" s="256" t="inlineStr">
        <is>
          <t>17.08.2026</t>
        </is>
      </c>
      <c r="AH126" s="256" t="inlineStr">
        <is>
          <t>Purely Plant GmbH (in-house)</t>
        </is>
      </c>
      <c r="AI126" s="256" t="inlineStr">
        <is>
          <t>Conforms | Одговара</t>
        </is>
      </c>
      <c r="AJ126" s="256" t="inlineStr">
        <is>
          <t>iCoA-PP_26-148</t>
        </is>
      </c>
      <c r="AK126" s="256" t="inlineStr">
        <is>
          <t>17.08.2026</t>
        </is>
      </c>
      <c r="AL126" s="256" t="inlineStr">
        <is>
          <t>Purely Plant GmbH (in-house)</t>
        </is>
      </c>
      <c r="AM126" s="256" t="inlineStr">
        <is>
          <t>Conforms | Одговара</t>
        </is>
      </c>
      <c r="AN126" s="256" t="inlineStr">
        <is>
          <t>220-30-К/26</t>
        </is>
      </c>
      <c r="AO126" s="256" t="inlineStr">
        <is>
          <t>26.08.2026</t>
        </is>
      </c>
      <c r="AP126" s="256" t="inlineStr">
        <is>
          <t>Farmahem</t>
        </is>
      </c>
      <c r="AQ126" s="256" t="inlineStr">
        <is>
          <t>14.89</t>
        </is>
      </c>
      <c r="AR126" s="256" t="inlineStr">
        <is>
          <t>220-30-К/26</t>
        </is>
      </c>
      <c r="AS126" s="256" t="inlineStr">
        <is>
          <t>26.08.2026</t>
        </is>
      </c>
      <c r="AT126" s="256" t="inlineStr">
        <is>
          <t>Farmahem</t>
        </is>
      </c>
      <c r="AU126" s="256" t="inlineStr">
        <is>
          <t>&lt; LOQ</t>
        </is>
      </c>
      <c r="AV126" s="256" t="inlineStr">
        <is>
          <t>220-30-К/26</t>
        </is>
      </c>
      <c r="AW126" s="256" t="inlineStr">
        <is>
          <t>26.08.2026</t>
        </is>
      </c>
      <c r="AX126" s="256" t="inlineStr">
        <is>
          <t>Farmahem</t>
        </is>
      </c>
      <c r="AY126" s="256" t="inlineStr">
        <is>
          <t>&lt; LOQ</t>
        </is>
      </c>
      <c r="AZ126" s="256" t="inlineStr">
        <is>
          <t>220-30-К/26</t>
        </is>
      </c>
      <c r="BA126" s="256" t="inlineStr">
        <is>
          <t>26.08.2026</t>
        </is>
      </c>
      <c r="BB126" s="256" t="inlineStr">
        <is>
          <t>Farmahem</t>
        </is>
      </c>
      <c r="BC126" s="256" t="inlineStr">
        <is>
          <t>Conforms | Одговара</t>
        </is>
      </c>
      <c r="BD126" s="256" t="inlineStr">
        <is>
          <t>iCoA-PP_26-148</t>
        </is>
      </c>
      <c r="BE126" s="256" t="inlineStr">
        <is>
          <t>17.08.2026</t>
        </is>
      </c>
      <c r="BF126" s="256" t="inlineStr">
        <is>
          <t>Purely Plant GmbH (in-house)</t>
        </is>
      </c>
      <c r="BG126" s="256" t="inlineStr">
        <is>
          <t>carried from the initial testing — not tested</t>
        </is>
      </c>
      <c r="BH126" s="256" t="inlineStr">
        <is>
          <t>—</t>
        </is>
      </c>
      <c r="BI126" s="256" t="inlineStr">
        <is>
          <t>—</t>
        </is>
      </c>
      <c r="BJ126" s="256" t="inlineStr">
        <is>
          <t>—</t>
        </is>
      </c>
      <c r="BK126" s="256" t="inlineStr">
        <is>
          <t>carried from the initial testing — not tested</t>
        </is>
      </c>
      <c r="BL126" s="256" t="inlineStr">
        <is>
          <t>—</t>
        </is>
      </c>
      <c r="BM126" s="256" t="inlineStr">
        <is>
          <t>—</t>
        </is>
      </c>
      <c r="BN126" s="256" t="inlineStr">
        <is>
          <t>—</t>
        </is>
      </c>
      <c r="BO126" s="256" t="inlineStr">
        <is>
          <t>carried from the initial testing — not tested</t>
        </is>
      </c>
      <c r="BP126" s="256" t="inlineStr">
        <is>
          <t>—</t>
        </is>
      </c>
      <c r="BQ126" s="256" t="inlineStr">
        <is>
          <t>—</t>
        </is>
      </c>
      <c r="BR126" s="256" t="inlineStr">
        <is>
          <t>—</t>
        </is>
      </c>
      <c r="BS126" s="256" t="inlineStr">
        <is>
          <t>carried from the initial testing — not tested</t>
        </is>
      </c>
      <c r="BT126" s="256" t="inlineStr">
        <is>
          <t>—</t>
        </is>
      </c>
      <c r="BU126" s="256" t="inlineStr">
        <is>
          <t>—</t>
        </is>
      </c>
      <c r="BV126" s="256" t="inlineStr">
        <is>
          <t>—</t>
        </is>
      </c>
      <c r="BW126" s="256" t="inlineStr">
        <is>
          <t>carried from the initial testing — not tested</t>
        </is>
      </c>
      <c r="BX126" s="256" t="inlineStr">
        <is>
          <t>—</t>
        </is>
      </c>
      <c r="BY126" s="256" t="inlineStr">
        <is>
          <t>—</t>
        </is>
      </c>
      <c r="BZ126" s="256" t="inlineStr">
        <is>
          <t>—</t>
        </is>
      </c>
      <c r="CA126" s="256" t="inlineStr">
        <is>
          <t>carried from the initial testing — not tested</t>
        </is>
      </c>
      <c r="CB126" s="256" t="inlineStr">
        <is>
          <t>—</t>
        </is>
      </c>
      <c r="CC126" s="256" t="inlineStr">
        <is>
          <t>—</t>
        </is>
      </c>
      <c r="CD126" s="256" t="inlineStr">
        <is>
          <t>—</t>
        </is>
      </c>
      <c r="CE126" s="260" t="inlineStr">
        <is>
          <t>upon request — not required for release</t>
        </is>
      </c>
      <c r="CF126" s="256" t="inlineStr">
        <is>
          <t>—</t>
        </is>
      </c>
      <c r="CG126" s="256" t="inlineStr">
        <is>
          <t>—</t>
        </is>
      </c>
      <c r="CH126" s="256" t="inlineStr">
        <is>
          <t>—</t>
        </is>
      </c>
      <c r="CI126" s="260" t="inlineStr">
        <is>
          <t>upon request — not required for release</t>
        </is>
      </c>
      <c r="CJ126" s="256" t="inlineStr">
        <is>
          <t>—</t>
        </is>
      </c>
      <c r="CK126" s="256" t="inlineStr">
        <is>
          <t>—</t>
        </is>
      </c>
      <c r="CL126" s="256" t="inlineStr">
        <is>
          <t>—</t>
        </is>
      </c>
      <c r="CM126" s="256" t="inlineStr">
        <is>
          <t>ND</t>
        </is>
      </c>
      <c r="CN126" s="256" t="inlineStr">
        <is>
          <t>220-30-М/26</t>
        </is>
      </c>
      <c r="CO126" s="256" t="inlineStr">
        <is>
          <t>11.09.2026</t>
        </is>
      </c>
      <c r="CP126" s="256" t="inlineStr">
        <is>
          <t>Farmahem</t>
        </is>
      </c>
      <c r="CQ126" s="256" t="inlineStr">
        <is>
          <t>ND</t>
        </is>
      </c>
      <c r="CR126" s="256" t="inlineStr">
        <is>
          <t>220-30-М/26</t>
        </is>
      </c>
      <c r="CS126" s="256" t="inlineStr">
        <is>
          <t>11.09.2026</t>
        </is>
      </c>
      <c r="CT126" s="256" t="inlineStr">
        <is>
          <t>Farmahem</t>
        </is>
      </c>
      <c r="CU126" s="256" t="inlineStr">
        <is>
          <t>ND</t>
        </is>
      </c>
      <c r="CV126" s="256" t="inlineStr">
        <is>
          <t>220-30-М/26</t>
        </is>
      </c>
      <c r="CW126" s="256" t="inlineStr">
        <is>
          <t>11.09.2026</t>
        </is>
      </c>
      <c r="CX126" s="256" t="inlineStr">
        <is>
          <t>Farmahem</t>
        </is>
      </c>
      <c r="CY126" s="256" t="inlineStr">
        <is>
          <t>carried from the initial testing — not tested</t>
        </is>
      </c>
      <c r="CZ126" s="256" t="inlineStr">
        <is>
          <t>—</t>
        </is>
      </c>
      <c r="DA126" s="256" t="inlineStr">
        <is>
          <t>—</t>
        </is>
      </c>
      <c r="DB126" s="256" t="inlineStr">
        <is>
          <t>—</t>
        </is>
      </c>
      <c r="DC126" s="256" t="inlineStr">
        <is>
          <t>carried from the initial testing — not tested</t>
        </is>
      </c>
      <c r="DD126" s="256" t="inlineStr">
        <is>
          <t>—</t>
        </is>
      </c>
      <c r="DE126" s="256" t="inlineStr">
        <is>
          <t>—</t>
        </is>
      </c>
      <c r="DF126" s="256" t="inlineStr">
        <is>
          <t>—</t>
        </is>
      </c>
      <c r="DG126" s="256" t="inlineStr">
        <is>
          <t>carried from the initial testing — not tested</t>
        </is>
      </c>
      <c r="DH126" s="256" t="inlineStr">
        <is>
          <t>—</t>
        </is>
      </c>
      <c r="DI126" s="256" t="inlineStr">
        <is>
          <t>—</t>
        </is>
      </c>
      <c r="DJ126" s="256" t="inlineStr">
        <is>
          <t>—</t>
        </is>
      </c>
      <c r="DK126" s="256" t="inlineStr">
        <is>
          <t>carried from the initial testing — not tested</t>
        </is>
      </c>
      <c r="DL126" s="256" t="inlineStr">
        <is>
          <t>—</t>
        </is>
      </c>
      <c r="DM126" s="256" t="inlineStr">
        <is>
          <t>—</t>
        </is>
      </c>
      <c r="DN126" s="256" t="inlineStr">
        <is>
          <t>—</t>
        </is>
      </c>
      <c r="DO126" s="256" t="inlineStr">
        <is>
          <t>carried from the initial testing — not tested</t>
        </is>
      </c>
      <c r="DP126" s="256" t="inlineStr">
        <is>
          <t>—</t>
        </is>
      </c>
      <c r="DQ126" s="256" t="inlineStr">
        <is>
          <t>—</t>
        </is>
      </c>
      <c r="DR126" s="256" t="inlineStr">
        <is>
          <t>—</t>
        </is>
      </c>
    </row>
    <row r="127">
      <c r="A127" s="256" t="inlineStr">
        <is>
          <t>CoQ-PP_26-126</t>
        </is>
      </c>
      <c r="B127" s="256" t="inlineStr">
        <is>
          <t>reissue — retest</t>
        </is>
      </c>
      <c r="C127" s="256" t="inlineStr">
        <is>
          <t>issuable</t>
        </is>
      </c>
      <c r="D127" s="256" t="inlineStr">
        <is>
          <t>18.09.2026</t>
        </is>
      </c>
      <c r="E127" s="256" t="inlineStr">
        <is>
          <t>CoQ-PP_26-053 of 06.06.2026</t>
        </is>
      </c>
      <c r="F127" s="256" t="inlineStr">
        <is>
          <t>(assigned on issue)</t>
        </is>
      </c>
      <c r="G127" s="256" t="inlineStr">
        <is>
          <t>KC102501</t>
        </is>
      </c>
      <c r="H127" s="256" t="inlineStr">
        <is>
          <t>P060172</t>
        </is>
      </c>
      <c r="I127" s="256" t="inlineStr">
        <is>
          <t>Kush Crasher</t>
        </is>
      </c>
      <c r="J127" s="256" t="inlineStr">
        <is>
          <t>20.01.2026 – 21.01.2026</t>
        </is>
      </c>
      <c r="K127" s="256" t="inlineStr">
        <is>
          <t>12.03.2026</t>
        </is>
      </c>
      <c r="L127" s="256" t="inlineStr">
        <is>
          <t>20.01.2026</t>
        </is>
      </c>
      <c r="M127" s="256" t="inlineStr">
        <is>
          <t>12.03.2026</t>
        </is>
      </c>
      <c r="N127" s="256" t="inlineStr">
        <is>
          <t>iCoA-PP_26-141</t>
        </is>
      </c>
      <c r="O127" s="256" t="inlineStr">
        <is>
          <t>17.08.2026</t>
        </is>
      </c>
      <c r="P127" s="256" t="inlineStr">
        <is>
          <t>13.08.2026</t>
        </is>
      </c>
      <c r="Q127" s="256" t="inlineStr">
        <is>
          <t>Tranche 2</t>
        </is>
      </c>
      <c r="R127" s="256" t="inlineStr">
        <is>
          <t>17.06</t>
        </is>
      </c>
      <c r="S127" s="256" t="inlineStr">
        <is>
          <t>220-19-К/26</t>
        </is>
      </c>
      <c r="T127" s="256" t="inlineStr">
        <is>
          <t>I</t>
        </is>
      </c>
      <c r="U127" s="256" t="inlineStr">
        <is>
          <t>16.20 – 19.79 %</t>
        </is>
      </c>
      <c r="V127" s="256" t="inlineStr">
        <is>
          <t>KC_THC18 : CBD1</t>
        </is>
      </c>
      <c r="W127" s="256" t="inlineStr">
        <is>
          <t>QCSP_001_KC-I_v.01</t>
        </is>
      </c>
      <c r="X127" s="256" t="inlineStr">
        <is>
          <t>for review — replaces the issued QCSP_001_KC-I_v.01 (was KC_THC18 : CBD1, 16.20 – 19.80 %); now KC_THC18 : CBD1 16.20 – 19.79 %</t>
        </is>
      </c>
      <c r="Y127" s="256" t="inlineStr">
        <is>
          <t>INDICA</t>
        </is>
      </c>
      <c r="Z127" s="256" t="inlineStr">
        <is>
          <t>THC</t>
        </is>
      </c>
      <c r="AA127" s="256" t="inlineStr">
        <is>
          <t>MACHINE TRIMMED</t>
        </is>
      </c>
      <c r="AB127" s="256" t="inlineStr">
        <is>
          <t>—</t>
        </is>
      </c>
      <c r="AC127" s="256" t="inlineStr">
        <is>
          <t>Triplex Alu Bag | Триплекс Aлу Kеса, PET 12 · ALU 7 · PE 80, 300 × 500 mm, net. 400.0 g ±3%</t>
        </is>
      </c>
      <c r="AD127" s="256" t="inlineStr">
        <is>
          <t>11.09.2026</t>
        </is>
      </c>
      <c r="AE127" s="256" t="inlineStr">
        <is>
          <t>Conforms | Одговара</t>
        </is>
      </c>
      <c r="AF127" s="256" t="inlineStr">
        <is>
          <t>iCoA-PP_26-141</t>
        </is>
      </c>
      <c r="AG127" s="256" t="inlineStr">
        <is>
          <t>17.08.2026</t>
        </is>
      </c>
      <c r="AH127" s="256" t="inlineStr">
        <is>
          <t>Purely Plant GmbH (in-house)</t>
        </is>
      </c>
      <c r="AI127" s="256" t="inlineStr">
        <is>
          <t>Conforms | Одговара</t>
        </is>
      </c>
      <c r="AJ127" s="256" t="inlineStr">
        <is>
          <t>iCoA-PP_26-141</t>
        </is>
      </c>
      <c r="AK127" s="256" t="inlineStr">
        <is>
          <t>17.08.2026</t>
        </is>
      </c>
      <c r="AL127" s="256" t="inlineStr">
        <is>
          <t>Purely Plant GmbH (in-house)</t>
        </is>
      </c>
      <c r="AM127" s="256" t="inlineStr">
        <is>
          <t>Conforms | Одговара</t>
        </is>
      </c>
      <c r="AN127" s="256" t="inlineStr">
        <is>
          <t>220-19-К/26</t>
        </is>
      </c>
      <c r="AO127" s="256" t="inlineStr">
        <is>
          <t>26.08.2026</t>
        </is>
      </c>
      <c r="AP127" s="256" t="inlineStr">
        <is>
          <t>Farmahem</t>
        </is>
      </c>
      <c r="AQ127" s="256" t="inlineStr">
        <is>
          <t>17.06</t>
        </is>
      </c>
      <c r="AR127" s="256" t="inlineStr">
        <is>
          <t>220-19-К/26</t>
        </is>
      </c>
      <c r="AS127" s="256" t="inlineStr">
        <is>
          <t>26.08.2026</t>
        </is>
      </c>
      <c r="AT127" s="256" t="inlineStr">
        <is>
          <t>Farmahem</t>
        </is>
      </c>
      <c r="AU127" s="256" t="inlineStr">
        <is>
          <t>&lt; LOQ</t>
        </is>
      </c>
      <c r="AV127" s="256" t="inlineStr">
        <is>
          <t>220-19-К/26</t>
        </is>
      </c>
      <c r="AW127" s="256" t="inlineStr">
        <is>
          <t>26.08.2026</t>
        </is>
      </c>
      <c r="AX127" s="256" t="inlineStr">
        <is>
          <t>Farmahem</t>
        </is>
      </c>
      <c r="AY127" s="256" t="inlineStr">
        <is>
          <t>&lt; LOQ</t>
        </is>
      </c>
      <c r="AZ127" s="256" t="inlineStr">
        <is>
          <t>220-19-К/26</t>
        </is>
      </c>
      <c r="BA127" s="256" t="inlineStr">
        <is>
          <t>26.08.2026</t>
        </is>
      </c>
      <c r="BB127" s="256" t="inlineStr">
        <is>
          <t>Farmahem</t>
        </is>
      </c>
      <c r="BC127" s="256" t="inlineStr">
        <is>
          <t>Conforms | Одговара</t>
        </is>
      </c>
      <c r="BD127" s="256" t="inlineStr">
        <is>
          <t>iCoA-PP_26-141</t>
        </is>
      </c>
      <c r="BE127" s="256" t="inlineStr">
        <is>
          <t>17.08.2026</t>
        </is>
      </c>
      <c r="BF127" s="256" t="inlineStr">
        <is>
          <t>Purely Plant GmbH (in-house)</t>
        </is>
      </c>
      <c r="BG127" s="256" t="inlineStr">
        <is>
          <t>8.6</t>
        </is>
      </c>
      <c r="BH127" s="256" t="inlineStr">
        <is>
          <t>051-4-ГС/26</t>
        </is>
      </c>
      <c r="BI127" s="256" t="inlineStr">
        <is>
          <t>02.03.2026</t>
        </is>
      </c>
      <c r="BJ127" s="256" t="inlineStr">
        <is>
          <t>Farmahem</t>
        </is>
      </c>
      <c r="BK127" s="256" t="inlineStr">
        <is>
          <t>3.8 × 10³</t>
        </is>
      </c>
      <c r="BL127" s="256" t="inlineStr">
        <is>
          <t>129/0226/26</t>
        </is>
      </c>
      <c r="BM127" s="256" t="inlineStr">
        <is>
          <t>06.03.2026</t>
        </is>
      </c>
      <c r="BN127" s="256" t="inlineStr">
        <is>
          <t>IPH — Institute of Public Health</t>
        </is>
      </c>
      <c r="BO127" s="256" t="inlineStr">
        <is>
          <t>6.8 × 10³</t>
        </is>
      </c>
      <c r="BP127" s="256" t="inlineStr">
        <is>
          <t>129/0226/26</t>
        </is>
      </c>
      <c r="BQ127" s="256" t="inlineStr">
        <is>
          <t>06.03.2026</t>
        </is>
      </c>
      <c r="BR127" s="256" t="inlineStr">
        <is>
          <t>IPH — Institute of Public Health</t>
        </is>
      </c>
      <c r="BS127" s="256" t="inlineStr">
        <is>
          <t>&lt; 10³ and &gt; 10²</t>
        </is>
      </c>
      <c r="BT127" s="256" t="inlineStr">
        <is>
          <t>129/0226/26</t>
        </is>
      </c>
      <c r="BU127" s="256" t="inlineStr">
        <is>
          <t>06.03.2026</t>
        </is>
      </c>
      <c r="BV127" s="256" t="inlineStr">
        <is>
          <t>IPH — Institute of Public Health</t>
        </is>
      </c>
      <c r="BW127" s="256" t="inlineStr">
        <is>
          <t>Absent | Отсутна</t>
        </is>
      </c>
      <c r="BX127" s="256" t="inlineStr">
        <is>
          <t>129/0226/26</t>
        </is>
      </c>
      <c r="BY127" s="256" t="inlineStr">
        <is>
          <t>06.03.2026</t>
        </is>
      </c>
      <c r="BZ127" s="256" t="inlineStr">
        <is>
          <t>IPH — Institute of Public Health</t>
        </is>
      </c>
      <c r="CA127" s="256" t="inlineStr">
        <is>
          <t>Absent | Отсутна</t>
        </is>
      </c>
      <c r="CB127" s="256" t="inlineStr">
        <is>
          <t>129/0226/26</t>
        </is>
      </c>
      <c r="CC127" s="256" t="inlineStr">
        <is>
          <t>06.03.2026</t>
        </is>
      </c>
      <c r="CD127" s="256" t="inlineStr">
        <is>
          <t>IPH — Institute of Public Health</t>
        </is>
      </c>
      <c r="CE127" s="260" t="inlineStr">
        <is>
          <t>upon request — not required for release</t>
        </is>
      </c>
      <c r="CF127" s="256" t="inlineStr">
        <is>
          <t>—</t>
        </is>
      </c>
      <c r="CG127" s="256" t="inlineStr">
        <is>
          <t>—</t>
        </is>
      </c>
      <c r="CH127" s="256" t="inlineStr">
        <is>
          <t>—</t>
        </is>
      </c>
      <c r="CI127" s="260" t="inlineStr">
        <is>
          <t>upon request — not required for release</t>
        </is>
      </c>
      <c r="CJ127" s="256" t="inlineStr">
        <is>
          <t>—</t>
        </is>
      </c>
      <c r="CK127" s="256" t="inlineStr">
        <is>
          <t>—</t>
        </is>
      </c>
      <c r="CL127" s="256" t="inlineStr">
        <is>
          <t>—</t>
        </is>
      </c>
      <c r="CM127" s="256" t="inlineStr">
        <is>
          <t>ND</t>
        </is>
      </c>
      <c r="CN127" s="256" t="inlineStr">
        <is>
          <t>220-19-М/26</t>
        </is>
      </c>
      <c r="CO127" s="256" t="inlineStr">
        <is>
          <t>11.09.2026</t>
        </is>
      </c>
      <c r="CP127" s="256" t="inlineStr">
        <is>
          <t>Farmahem</t>
        </is>
      </c>
      <c r="CQ127" s="256" t="inlineStr">
        <is>
          <t>ND</t>
        </is>
      </c>
      <c r="CR127" s="256" t="inlineStr">
        <is>
          <t>220-19-М/26</t>
        </is>
      </c>
      <c r="CS127" s="256" t="inlineStr">
        <is>
          <t>11.09.2026</t>
        </is>
      </c>
      <c r="CT127" s="256" t="inlineStr">
        <is>
          <t>Farmahem</t>
        </is>
      </c>
      <c r="CU127" s="256" t="inlineStr">
        <is>
          <t>ND</t>
        </is>
      </c>
      <c r="CV127" s="256" t="inlineStr">
        <is>
          <t>220-19-М/26</t>
        </is>
      </c>
      <c r="CW127" s="256" t="inlineStr">
        <is>
          <t>11.09.2026</t>
        </is>
      </c>
      <c r="CX127" s="256" t="inlineStr">
        <is>
          <t>Farmahem</t>
        </is>
      </c>
      <c r="CY127" s="256" t="inlineStr">
        <is>
          <t>ND</t>
        </is>
      </c>
      <c r="CZ127" s="256" t="inlineStr">
        <is>
          <t>1058/2026</t>
        </is>
      </c>
      <c r="DA127" s="256" t="inlineStr">
        <is>
          <t>09.03.2026</t>
        </is>
      </c>
      <c r="DB127" s="256" t="inlineStr">
        <is>
          <t>IPH — Institute of Public Health</t>
        </is>
      </c>
      <c r="DC127" s="256" t="inlineStr">
        <is>
          <t>ND</t>
        </is>
      </c>
      <c r="DD127" s="256" t="inlineStr">
        <is>
          <t>1058/2026</t>
        </is>
      </c>
      <c r="DE127" s="256" t="inlineStr">
        <is>
          <t>09.03.2026</t>
        </is>
      </c>
      <c r="DF127" s="256" t="inlineStr">
        <is>
          <t>IPH — Institute of Public Health</t>
        </is>
      </c>
      <c r="DG127" s="256" t="inlineStr">
        <is>
          <t>ND</t>
        </is>
      </c>
      <c r="DH127" s="256" t="inlineStr">
        <is>
          <t>1058/2026</t>
        </is>
      </c>
      <c r="DI127" s="256" t="inlineStr">
        <is>
          <t>09.03.2026</t>
        </is>
      </c>
      <c r="DJ127" s="256" t="inlineStr">
        <is>
          <t>IPH — Institute of Public Health</t>
        </is>
      </c>
      <c r="DK127" s="256" t="inlineStr">
        <is>
          <t>ND</t>
        </is>
      </c>
      <c r="DL127" s="256" t="inlineStr">
        <is>
          <t>1058/2026</t>
        </is>
      </c>
      <c r="DM127" s="256" t="inlineStr">
        <is>
          <t>09.03.2026</t>
        </is>
      </c>
      <c r="DN127" s="256" t="inlineStr">
        <is>
          <t>IPH — Institute of Public Health</t>
        </is>
      </c>
      <c r="DO127" s="256" t="inlineStr">
        <is>
          <t>ND mg/kg — all 25 residues</t>
        </is>
      </c>
      <c r="DP127" s="256" t="inlineStr">
        <is>
          <t>1058/2026</t>
        </is>
      </c>
      <c r="DQ127" s="256" t="inlineStr">
        <is>
          <t>09.03.2026</t>
        </is>
      </c>
      <c r="DR127" s="256" t="inlineStr">
        <is>
          <t>IJZ</t>
        </is>
      </c>
    </row>
    <row r="128">
      <c r="A128" s="256" t="inlineStr">
        <is>
          <t>CoQ-PP_26-127</t>
        </is>
      </c>
      <c r="B128" s="256" t="inlineStr">
        <is>
          <t>reissue — retest</t>
        </is>
      </c>
      <c r="C128" s="256" t="inlineStr">
        <is>
          <t>issuable</t>
        </is>
      </c>
      <c r="D128" s="256" t="inlineStr">
        <is>
          <t>18.09.2026</t>
        </is>
      </c>
      <c r="E128" s="256" t="inlineStr">
        <is>
          <t>CoQ-PP_26-017 of 06.06.2026</t>
        </is>
      </c>
      <c r="F128" s="256" t="inlineStr">
        <is>
          <t>CoQ-PP-2026-0039</t>
        </is>
      </c>
      <c r="G128" s="256" t="inlineStr">
        <is>
          <t>MB0824_05</t>
        </is>
      </c>
      <c r="H128" s="256" t="inlineStr">
        <is>
          <t>P050112</t>
        </is>
      </c>
      <c r="I128" s="256" t="inlineStr">
        <is>
          <t>Motor Breath</t>
        </is>
      </c>
      <c r="J128" s="256" t="inlineStr">
        <is>
          <t>08.07.2025 – 09.07.2025</t>
        </is>
      </c>
      <c r="K128" s="256" t="inlineStr">
        <is>
          <t>25.08.2025 – 31.08.2025</t>
        </is>
      </c>
      <c r="L128" s="256" t="inlineStr">
        <is>
          <t>08.07.2025</t>
        </is>
      </c>
      <c r="M128" s="256" t="inlineStr">
        <is>
          <t>25.08.2025</t>
        </is>
      </c>
      <c r="N128" s="256" t="inlineStr">
        <is>
          <t>iCoA-PP_26-142</t>
        </is>
      </c>
      <c r="O128" s="256" t="inlineStr">
        <is>
          <t>17.08.2026</t>
        </is>
      </c>
      <c r="P128" s="256" t="inlineStr">
        <is>
          <t>13.08.2026</t>
        </is>
      </c>
      <c r="Q128" s="256" t="inlineStr">
        <is>
          <t>Tranche 2</t>
        </is>
      </c>
      <c r="R128" s="256" t="inlineStr">
        <is>
          <t>17.93</t>
        </is>
      </c>
      <c r="S128" s="256" t="inlineStr">
        <is>
          <t>220-20-К/26</t>
        </is>
      </c>
      <c r="T128" s="256" t="inlineStr">
        <is>
          <t>I</t>
        </is>
      </c>
      <c r="U128" s="256" t="inlineStr">
        <is>
          <t>16.20 – 19.79 %</t>
        </is>
      </c>
      <c r="V128" s="256" t="inlineStr">
        <is>
          <t>MB_THC18 : CBD1</t>
        </is>
      </c>
      <c r="W128" s="256" t="inlineStr">
        <is>
          <t>QCSP_001_MB-I_v.01</t>
        </is>
      </c>
      <c r="X128" s="256" t="inlineStr">
        <is>
          <t>for review — replaces the issued QCSP_001_MB-I_v.01 (was MB_THC18 : CBD1, 16.20 – 19.80 %); now MB_THC18 : CBD1 16.20 – 19.79 %</t>
        </is>
      </c>
      <c r="Y128" s="256" t="inlineStr">
        <is>
          <t>HYBRID</t>
        </is>
      </c>
      <c r="Z128" s="256" t="inlineStr">
        <is>
          <t>THC</t>
        </is>
      </c>
      <c r="AA128" s="256" t="inlineStr">
        <is>
          <t>MACHINE TRIMMED</t>
        </is>
      </c>
      <c r="AB128" s="256" t="inlineStr">
        <is>
          <t>INDICA-DOMINANT</t>
        </is>
      </c>
      <c r="AC128" s="256" t="inlineStr">
        <is>
          <t>Triplex Alu Bag | Триплекс Aлу Kеса, PET 12 · ALU 7 · PE 80, 300 × 500 mm, net. 400.0 g ±3%</t>
        </is>
      </c>
      <c r="AD128" s="256" t="inlineStr">
        <is>
          <t>11.09.2026</t>
        </is>
      </c>
      <c r="AE128" s="256" t="inlineStr">
        <is>
          <t>Conforms | Одговара</t>
        </is>
      </c>
      <c r="AF128" s="256" t="inlineStr">
        <is>
          <t>iCoA-PP_26-142</t>
        </is>
      </c>
      <c r="AG128" s="256" t="inlineStr">
        <is>
          <t>17.08.2026</t>
        </is>
      </c>
      <c r="AH128" s="256" t="inlineStr">
        <is>
          <t>Purely Plant GmbH (in-house)</t>
        </is>
      </c>
      <c r="AI128" s="256" t="inlineStr">
        <is>
          <t>Conforms | Одговара</t>
        </is>
      </c>
      <c r="AJ128" s="256" t="inlineStr">
        <is>
          <t>iCoA-PP_26-142</t>
        </is>
      </c>
      <c r="AK128" s="256" t="inlineStr">
        <is>
          <t>17.08.2026</t>
        </is>
      </c>
      <c r="AL128" s="256" t="inlineStr">
        <is>
          <t>Purely Plant GmbH (in-house)</t>
        </is>
      </c>
      <c r="AM128" s="256" t="inlineStr">
        <is>
          <t>Conforms | Одговара</t>
        </is>
      </c>
      <c r="AN128" s="256" t="inlineStr">
        <is>
          <t>220-20-К/26</t>
        </is>
      </c>
      <c r="AO128" s="256" t="inlineStr">
        <is>
          <t>26.08.2026</t>
        </is>
      </c>
      <c r="AP128" s="256" t="inlineStr">
        <is>
          <t>Farmahem</t>
        </is>
      </c>
      <c r="AQ128" s="256" t="inlineStr">
        <is>
          <t>17.93</t>
        </is>
      </c>
      <c r="AR128" s="256" t="inlineStr">
        <is>
          <t>220-20-К/26</t>
        </is>
      </c>
      <c r="AS128" s="256" t="inlineStr">
        <is>
          <t>26.08.2026</t>
        </is>
      </c>
      <c r="AT128" s="256" t="inlineStr">
        <is>
          <t>Farmahem</t>
        </is>
      </c>
      <c r="AU128" s="256" t="inlineStr">
        <is>
          <t>&lt; LOQ</t>
        </is>
      </c>
      <c r="AV128" s="256" t="inlineStr">
        <is>
          <t>220-20-К/26</t>
        </is>
      </c>
      <c r="AW128" s="256" t="inlineStr">
        <is>
          <t>26.08.2026</t>
        </is>
      </c>
      <c r="AX128" s="256" t="inlineStr">
        <is>
          <t>Farmahem</t>
        </is>
      </c>
      <c r="AY128" s="256" t="inlineStr">
        <is>
          <t>&lt; LOQ</t>
        </is>
      </c>
      <c r="AZ128" s="256" t="inlineStr">
        <is>
          <t>220-20-К/26</t>
        </is>
      </c>
      <c r="BA128" s="256" t="inlineStr">
        <is>
          <t>26.08.2026</t>
        </is>
      </c>
      <c r="BB128" s="256" t="inlineStr">
        <is>
          <t>Farmahem</t>
        </is>
      </c>
      <c r="BC128" s="256" t="inlineStr">
        <is>
          <t>Conforms | Одговара</t>
        </is>
      </c>
      <c r="BD128" s="256" t="inlineStr">
        <is>
          <t>iCoA-PP_26-142</t>
        </is>
      </c>
      <c r="BE128" s="256" t="inlineStr">
        <is>
          <t>17.08.2026</t>
        </is>
      </c>
      <c r="BF128" s="256" t="inlineStr">
        <is>
          <t>Purely Plant GmbH (in-house)</t>
        </is>
      </c>
      <c r="BG128" s="256" t="inlineStr">
        <is>
          <t>6.56</t>
        </is>
      </c>
      <c r="BH128" s="256" t="inlineStr">
        <is>
          <t>ППК25211</t>
        </is>
      </c>
      <c r="BI128" s="256" t="inlineStr">
        <is>
          <t>28.07.2025</t>
        </is>
      </c>
      <c r="BJ128" s="256" t="inlineStr">
        <is>
          <t>UKIM Faculty of Pharmacy — Center for Natural Products</t>
        </is>
      </c>
      <c r="BK128" s="256" t="inlineStr">
        <is>
          <t>3.5 × 10³</t>
        </is>
      </c>
      <c r="BL128" s="256" t="inlineStr">
        <is>
          <t>767/1376/25</t>
        </is>
      </c>
      <c r="BM128" s="256" t="inlineStr">
        <is>
          <t>29.07.2025</t>
        </is>
      </c>
      <c r="BN128" s="256" t="inlineStr">
        <is>
          <t>IPH — Institute of Public Health</t>
        </is>
      </c>
      <c r="BO128" s="256" t="inlineStr">
        <is>
          <t>1 × 10³</t>
        </is>
      </c>
      <c r="BP128" s="256" t="inlineStr">
        <is>
          <t>767/1376/25</t>
        </is>
      </c>
      <c r="BQ128" s="256" t="inlineStr">
        <is>
          <t>29.07.2025</t>
        </is>
      </c>
      <c r="BR128" s="256" t="inlineStr">
        <is>
          <t>IPH — Institute of Public Health</t>
        </is>
      </c>
      <c r="BS128" s="256" t="inlineStr">
        <is>
          <t>&lt; 10</t>
        </is>
      </c>
      <c r="BT128" s="256" t="inlineStr">
        <is>
          <t>767/1376/25</t>
        </is>
      </c>
      <c r="BU128" s="256" t="inlineStr">
        <is>
          <t>29.07.2025</t>
        </is>
      </c>
      <c r="BV128" s="256" t="inlineStr">
        <is>
          <t>IPH — Institute of Public Health</t>
        </is>
      </c>
      <c r="BW128" s="256" t="inlineStr">
        <is>
          <t>Absent | Отсутна</t>
        </is>
      </c>
      <c r="BX128" s="256" t="inlineStr">
        <is>
          <t>767/1376/25</t>
        </is>
      </c>
      <c r="BY128" s="256" t="inlineStr">
        <is>
          <t>29.07.2025</t>
        </is>
      </c>
      <c r="BZ128" s="256" t="inlineStr">
        <is>
          <t>IPH — Institute of Public Health</t>
        </is>
      </c>
      <c r="CA128" s="256" t="inlineStr">
        <is>
          <t>Absent | Отсутна</t>
        </is>
      </c>
      <c r="CB128" s="256" t="inlineStr">
        <is>
          <t>767/1376/25</t>
        </is>
      </c>
      <c r="CC128" s="256" t="inlineStr">
        <is>
          <t>29.07.2025</t>
        </is>
      </c>
      <c r="CD128" s="256" t="inlineStr">
        <is>
          <t>IPH — Institute of Public Health</t>
        </is>
      </c>
      <c r="CE128" s="260" t="inlineStr">
        <is>
          <t>upon request — not required for release</t>
        </is>
      </c>
      <c r="CF128" s="256" t="inlineStr">
        <is>
          <t>—</t>
        </is>
      </c>
      <c r="CG128" s="256" t="inlineStr">
        <is>
          <t>—</t>
        </is>
      </c>
      <c r="CH128" s="256" t="inlineStr">
        <is>
          <t>—</t>
        </is>
      </c>
      <c r="CI128" s="260" t="inlineStr">
        <is>
          <t>upon request — not required for release</t>
        </is>
      </c>
      <c r="CJ128" s="256" t="inlineStr">
        <is>
          <t>—</t>
        </is>
      </c>
      <c r="CK128" s="256" t="inlineStr">
        <is>
          <t>—</t>
        </is>
      </c>
      <c r="CL128" s="256" t="inlineStr">
        <is>
          <t>—</t>
        </is>
      </c>
      <c r="CM128" s="256" t="inlineStr">
        <is>
          <t>ND</t>
        </is>
      </c>
      <c r="CN128" s="256" t="inlineStr">
        <is>
          <t>220-20-М/26</t>
        </is>
      </c>
      <c r="CO128" s="256" t="inlineStr">
        <is>
          <t>11.09.2026</t>
        </is>
      </c>
      <c r="CP128" s="256" t="inlineStr">
        <is>
          <t>Farmahem</t>
        </is>
      </c>
      <c r="CQ128" s="256" t="inlineStr">
        <is>
          <t>ND</t>
        </is>
      </c>
      <c r="CR128" s="256" t="inlineStr">
        <is>
          <t>220-20-М/26</t>
        </is>
      </c>
      <c r="CS128" s="256" t="inlineStr">
        <is>
          <t>11.09.2026</t>
        </is>
      </c>
      <c r="CT128" s="256" t="inlineStr">
        <is>
          <t>Farmahem</t>
        </is>
      </c>
      <c r="CU128" s="256" t="inlineStr">
        <is>
          <t>ND</t>
        </is>
      </c>
      <c r="CV128" s="256" t="inlineStr">
        <is>
          <t>220-20-М/26</t>
        </is>
      </c>
      <c r="CW128" s="256" t="inlineStr">
        <is>
          <t>11.09.2026</t>
        </is>
      </c>
      <c r="CX128" s="256" t="inlineStr">
        <is>
          <t>Farmahem</t>
        </is>
      </c>
      <c r="CY128" s="256" t="inlineStr">
        <is>
          <t>ND</t>
        </is>
      </c>
      <c r="CZ128" s="256" t="inlineStr">
        <is>
          <t>3638/2025</t>
        </is>
      </c>
      <c r="DA128" s="256" t="inlineStr">
        <is>
          <t>28.07.2025</t>
        </is>
      </c>
      <c r="DB128" s="256" t="inlineStr">
        <is>
          <t>IPH — Institute of Public Health</t>
        </is>
      </c>
      <c r="DC128" s="256" t="inlineStr">
        <is>
          <t>ND</t>
        </is>
      </c>
      <c r="DD128" s="256" t="inlineStr">
        <is>
          <t>3638/2025</t>
        </is>
      </c>
      <c r="DE128" s="256" t="inlineStr">
        <is>
          <t>28.07.2025</t>
        </is>
      </c>
      <c r="DF128" s="256" t="inlineStr">
        <is>
          <t>IPH — Institute of Public Health</t>
        </is>
      </c>
      <c r="DG128" s="256" t="inlineStr">
        <is>
          <t>0.086</t>
        </is>
      </c>
      <c r="DH128" s="256" t="inlineStr">
        <is>
          <t>3638/2025</t>
        </is>
      </c>
      <c r="DI128" s="256" t="inlineStr">
        <is>
          <t>28.07.2025</t>
        </is>
      </c>
      <c r="DJ128" s="256" t="inlineStr">
        <is>
          <t>IPH — Institute of Public Health</t>
        </is>
      </c>
      <c r="DK128" s="256" t="inlineStr">
        <is>
          <t>0.006</t>
        </is>
      </c>
      <c r="DL128" s="256" t="inlineStr">
        <is>
          <t>3638/2025</t>
        </is>
      </c>
      <c r="DM128" s="256" t="inlineStr">
        <is>
          <t>28.07.2025</t>
        </is>
      </c>
      <c r="DN128" s="256" t="inlineStr">
        <is>
          <t>IPH — Institute of Public Health</t>
        </is>
      </c>
      <c r="DO128" s="256" t="inlineStr">
        <is>
          <t>ND</t>
        </is>
      </c>
      <c r="DP128" s="256" t="inlineStr">
        <is>
          <t>3638/2025</t>
        </is>
      </c>
      <c r="DQ128" s="256" t="inlineStr">
        <is>
          <t>28.07.2025</t>
        </is>
      </c>
      <c r="DR128" s="256" t="inlineStr">
        <is>
          <t>IPH — Institute of Public Health</t>
        </is>
      </c>
    </row>
    <row r="129">
      <c r="A129" s="256" t="inlineStr">
        <is>
          <t>CoQ-PP_26-128</t>
        </is>
      </c>
      <c r="B129" s="256" t="inlineStr">
        <is>
          <t>reissue — retest</t>
        </is>
      </c>
      <c r="C129" s="256" t="inlineStr">
        <is>
          <t>issuable</t>
        </is>
      </c>
      <c r="D129" s="256" t="inlineStr">
        <is>
          <t>18.09.2026</t>
        </is>
      </c>
      <c r="E129" s="256" t="inlineStr">
        <is>
          <t>CoQ-PP_26-010 of 06.06.2026</t>
        </is>
      </c>
      <c r="F129" s="256" t="inlineStr">
        <is>
          <t>CoQ-PP-2026-0033</t>
        </is>
      </c>
      <c r="G129" s="256" t="inlineStr">
        <is>
          <t>OMP1024_01</t>
        </is>
      </c>
      <c r="H129" s="256" t="inlineStr">
        <is>
          <t>P050042</t>
        </is>
      </c>
      <c r="I129" s="256" t="inlineStr">
        <is>
          <t>Orange Punch Mimosa</t>
        </is>
      </c>
      <c r="J129" s="256" t="inlineStr">
        <is>
          <t>26.03.2025 – 27.03.2025</t>
        </is>
      </c>
      <c r="K129" s="256" t="inlineStr">
        <is>
          <t>20.06.2025</t>
        </is>
      </c>
      <c r="L129" s="256" t="inlineStr">
        <is>
          <t>26.03.2025</t>
        </is>
      </c>
      <c r="M129" s="256" t="inlineStr">
        <is>
          <t>20.06.2025</t>
        </is>
      </c>
      <c r="N129" s="256" t="inlineStr">
        <is>
          <t>iCoA-PP_26-144</t>
        </is>
      </c>
      <c r="O129" s="256" t="inlineStr">
        <is>
          <t>17.08.2026</t>
        </is>
      </c>
      <c r="P129" s="256" t="inlineStr">
        <is>
          <t>13.08.2026</t>
        </is>
      </c>
      <c r="Q129" s="256" t="inlineStr">
        <is>
          <t>Tranche 2</t>
        </is>
      </c>
      <c r="R129" s="256" t="inlineStr">
        <is>
          <t>18.14</t>
        </is>
      </c>
      <c r="S129" s="256" t="inlineStr">
        <is>
          <t>220-21-К/26</t>
        </is>
      </c>
      <c r="T129" s="256" t="inlineStr">
        <is>
          <t>II</t>
        </is>
      </c>
      <c r="U129" s="256" t="inlineStr">
        <is>
          <t>15.40 – 18.59 %</t>
        </is>
      </c>
      <c r="V129" s="256" t="inlineStr">
        <is>
          <t>OPM_THC17 : CBD1</t>
        </is>
      </c>
      <c r="W129" s="256" t="inlineStr">
        <is>
          <t>QCSP_001_OPM-II_v.01</t>
        </is>
      </c>
      <c r="X129" s="256" t="inlineStr">
        <is>
          <t>for review — replaces the issued QCSP_001_OPM-II_v.01 (was OPM_THC18 : CBD1, 16.20 – 19.80 %); now OPM_THC17 : CBD1 15.40 – 18.59 %</t>
        </is>
      </c>
      <c r="Y129" s="256" t="inlineStr">
        <is>
          <t>INDICA</t>
        </is>
      </c>
      <c r="Z129" s="256" t="inlineStr">
        <is>
          <t>THC</t>
        </is>
      </c>
      <c r="AA129" s="256" t="inlineStr">
        <is>
          <t>MACHINE TRIMMED</t>
        </is>
      </c>
      <c r="AB129" s="256" t="inlineStr">
        <is>
          <t>—</t>
        </is>
      </c>
      <c r="AC129" s="256" t="inlineStr">
        <is>
          <t>Triplex Alu Bag | Триплекс Aлу Kеса, PET 12 · ALU 7 · PE 80, 300 × 500 mm, net. 400.0 g ±3%</t>
        </is>
      </c>
      <c r="AD129" s="256" t="inlineStr">
        <is>
          <t>11.09.2026</t>
        </is>
      </c>
      <c r="AE129" s="256" t="inlineStr">
        <is>
          <t>Conforms | Одговара</t>
        </is>
      </c>
      <c r="AF129" s="256" t="inlineStr">
        <is>
          <t>iCoA-PP_26-144</t>
        </is>
      </c>
      <c r="AG129" s="256" t="inlineStr">
        <is>
          <t>17.08.2026</t>
        </is>
      </c>
      <c r="AH129" s="256" t="inlineStr">
        <is>
          <t>Purely Plant GmbH (in-house)</t>
        </is>
      </c>
      <c r="AI129" s="256" t="inlineStr">
        <is>
          <t>Conforms | Одговара</t>
        </is>
      </c>
      <c r="AJ129" s="256" t="inlineStr">
        <is>
          <t>iCoA-PP_26-144</t>
        </is>
      </c>
      <c r="AK129" s="256" t="inlineStr">
        <is>
          <t>17.08.2026</t>
        </is>
      </c>
      <c r="AL129" s="256" t="inlineStr">
        <is>
          <t>Purely Plant GmbH (in-house)</t>
        </is>
      </c>
      <c r="AM129" s="256" t="inlineStr">
        <is>
          <t>Conforms | Одговара</t>
        </is>
      </c>
      <c r="AN129" s="256" t="inlineStr">
        <is>
          <t>220-21-К/26</t>
        </is>
      </c>
      <c r="AO129" s="256" t="inlineStr">
        <is>
          <t>26.08.2026</t>
        </is>
      </c>
      <c r="AP129" s="256" t="inlineStr">
        <is>
          <t>Farmahem</t>
        </is>
      </c>
      <c r="AQ129" s="256" t="inlineStr">
        <is>
          <t>18.14</t>
        </is>
      </c>
      <c r="AR129" s="256" t="inlineStr">
        <is>
          <t>220-21-К/26</t>
        </is>
      </c>
      <c r="AS129" s="256" t="inlineStr">
        <is>
          <t>26.08.2026</t>
        </is>
      </c>
      <c r="AT129" s="256" t="inlineStr">
        <is>
          <t>Farmahem</t>
        </is>
      </c>
      <c r="AU129" s="256" t="inlineStr">
        <is>
          <t>&lt; LOQ</t>
        </is>
      </c>
      <c r="AV129" s="256" t="inlineStr">
        <is>
          <t>220-21-К/26</t>
        </is>
      </c>
      <c r="AW129" s="256" t="inlineStr">
        <is>
          <t>26.08.2026</t>
        </is>
      </c>
      <c r="AX129" s="256" t="inlineStr">
        <is>
          <t>Farmahem</t>
        </is>
      </c>
      <c r="AY129" s="256" t="inlineStr">
        <is>
          <t>&lt; LOQ</t>
        </is>
      </c>
      <c r="AZ129" s="256" t="inlineStr">
        <is>
          <t>220-21-К/26</t>
        </is>
      </c>
      <c r="BA129" s="256" t="inlineStr">
        <is>
          <t>26.08.2026</t>
        </is>
      </c>
      <c r="BB129" s="256" t="inlineStr">
        <is>
          <t>Farmahem</t>
        </is>
      </c>
      <c r="BC129" s="256" t="inlineStr">
        <is>
          <t>Conforms | Одговара</t>
        </is>
      </c>
      <c r="BD129" s="256" t="inlineStr">
        <is>
          <t>iCoA-PP_26-144</t>
        </is>
      </c>
      <c r="BE129" s="256" t="inlineStr">
        <is>
          <t>17.08.2026</t>
        </is>
      </c>
      <c r="BF129" s="256" t="inlineStr">
        <is>
          <t>Purely Plant GmbH (in-house)</t>
        </is>
      </c>
      <c r="BG129" s="256" t="inlineStr">
        <is>
          <t>5.86</t>
        </is>
      </c>
      <c r="BH129" s="256" t="inlineStr">
        <is>
          <t>ППК25117</t>
        </is>
      </c>
      <c r="BI129" s="256" t="inlineStr">
        <is>
          <t>06.05.2025</t>
        </is>
      </c>
      <c r="BJ129" s="256" t="inlineStr">
        <is>
          <t>UKIM Faculty of Pharmacy — Center for Natural Products</t>
        </is>
      </c>
      <c r="BK129" s="256" t="inlineStr">
        <is>
          <t>&lt; 10</t>
        </is>
      </c>
      <c r="BL129" s="256" t="inlineStr">
        <is>
          <t>2156/2025</t>
        </is>
      </c>
      <c r="BM129" s="256" t="inlineStr">
        <is>
          <t>07.05.2025</t>
        </is>
      </c>
      <c r="BN129" s="256" t="inlineStr">
        <is>
          <t>IPH — Institute of Public Health</t>
        </is>
      </c>
      <c r="BO129" s="256" t="inlineStr">
        <is>
          <t>&lt; 10</t>
        </is>
      </c>
      <c r="BP129" s="256" t="inlineStr">
        <is>
          <t>2156/2025</t>
        </is>
      </c>
      <c r="BQ129" s="256" t="inlineStr">
        <is>
          <t>07.05.2025</t>
        </is>
      </c>
      <c r="BR129" s="256" t="inlineStr">
        <is>
          <t>IPH — Institute of Public Health</t>
        </is>
      </c>
      <c r="BS129" s="256" t="inlineStr">
        <is>
          <t>&lt; 10² and &gt; 10</t>
        </is>
      </c>
      <c r="BT129" s="256" t="inlineStr">
        <is>
          <t>2156/2025</t>
        </is>
      </c>
      <c r="BU129" s="256" t="inlineStr">
        <is>
          <t>07.05.2025</t>
        </is>
      </c>
      <c r="BV129" s="256" t="inlineStr">
        <is>
          <t>IPH — Institute of Public Health</t>
        </is>
      </c>
      <c r="BW129" s="256" t="inlineStr">
        <is>
          <t>Absent | Отсутна</t>
        </is>
      </c>
      <c r="BX129" s="256" t="inlineStr">
        <is>
          <t>2156/2025</t>
        </is>
      </c>
      <c r="BY129" s="256" t="inlineStr">
        <is>
          <t>07.05.2025</t>
        </is>
      </c>
      <c r="BZ129" s="256" t="inlineStr">
        <is>
          <t>IPH — Institute of Public Health</t>
        </is>
      </c>
      <c r="CA129" s="256" t="inlineStr">
        <is>
          <t>Absent | Отсутна</t>
        </is>
      </c>
      <c r="CB129" s="256" t="inlineStr">
        <is>
          <t>2156/2025</t>
        </is>
      </c>
      <c r="CC129" s="256" t="inlineStr">
        <is>
          <t>07.05.2025</t>
        </is>
      </c>
      <c r="CD129" s="256" t="inlineStr">
        <is>
          <t>IPH — Institute of Public Health</t>
        </is>
      </c>
      <c r="CE129" s="260" t="inlineStr">
        <is>
          <t>upon request — not required for release</t>
        </is>
      </c>
      <c r="CF129" s="256" t="inlineStr">
        <is>
          <t>—</t>
        </is>
      </c>
      <c r="CG129" s="256" t="inlineStr">
        <is>
          <t>—</t>
        </is>
      </c>
      <c r="CH129" s="256" t="inlineStr">
        <is>
          <t>—</t>
        </is>
      </c>
      <c r="CI129" s="260" t="inlineStr">
        <is>
          <t>upon request — not required for release</t>
        </is>
      </c>
      <c r="CJ129" s="256" t="inlineStr">
        <is>
          <t>—</t>
        </is>
      </c>
      <c r="CK129" s="256" t="inlineStr">
        <is>
          <t>—</t>
        </is>
      </c>
      <c r="CL129" s="256" t="inlineStr">
        <is>
          <t>—</t>
        </is>
      </c>
      <c r="CM129" s="256" t="inlineStr">
        <is>
          <t>ND</t>
        </is>
      </c>
      <c r="CN129" s="256" t="inlineStr">
        <is>
          <t>220-21-М/26</t>
        </is>
      </c>
      <c r="CO129" s="256" t="inlineStr">
        <is>
          <t>11.09.2026</t>
        </is>
      </c>
      <c r="CP129" s="256" t="inlineStr">
        <is>
          <t>Farmahem</t>
        </is>
      </c>
      <c r="CQ129" s="256" t="inlineStr">
        <is>
          <t>ND</t>
        </is>
      </c>
      <c r="CR129" s="256" t="inlineStr">
        <is>
          <t>220-21-М/26</t>
        </is>
      </c>
      <c r="CS129" s="256" t="inlineStr">
        <is>
          <t>11.09.2026</t>
        </is>
      </c>
      <c r="CT129" s="256" t="inlineStr">
        <is>
          <t>Farmahem</t>
        </is>
      </c>
      <c r="CU129" s="256" t="inlineStr">
        <is>
          <t>ND</t>
        </is>
      </c>
      <c r="CV129" s="256" t="inlineStr">
        <is>
          <t>220-21-М/26</t>
        </is>
      </c>
      <c r="CW129" s="256" t="inlineStr">
        <is>
          <t>11.09.2026</t>
        </is>
      </c>
      <c r="CX129" s="256" t="inlineStr">
        <is>
          <t>Farmahem</t>
        </is>
      </c>
      <c r="CY129" s="256" t="inlineStr">
        <is>
          <t>0.031</t>
        </is>
      </c>
      <c r="CZ129" s="256" t="inlineStr">
        <is>
          <t>2156/2025</t>
        </is>
      </c>
      <c r="DA129" s="256" t="inlineStr">
        <is>
          <t>07.05.2025</t>
        </is>
      </c>
      <c r="DB129" s="256" t="inlineStr">
        <is>
          <t>IPH — Institute of Public Health</t>
        </is>
      </c>
      <c r="DC129" s="256" t="inlineStr">
        <is>
          <t>0.004</t>
        </is>
      </c>
      <c r="DD129" s="256" t="inlineStr">
        <is>
          <t>2156/2025</t>
        </is>
      </c>
      <c r="DE129" s="256" t="inlineStr">
        <is>
          <t>07.05.2025</t>
        </is>
      </c>
      <c r="DF129" s="256" t="inlineStr">
        <is>
          <t>IPH — Institute of Public Health</t>
        </is>
      </c>
      <c r="DG129" s="256" t="inlineStr">
        <is>
          <t>0.01</t>
        </is>
      </c>
      <c r="DH129" s="256" t="inlineStr">
        <is>
          <t>2156/2025</t>
        </is>
      </c>
      <c r="DI129" s="256" t="inlineStr">
        <is>
          <t>07.05.2025</t>
        </is>
      </c>
      <c r="DJ129" s="256" t="inlineStr">
        <is>
          <t>IPH — Institute of Public Health</t>
        </is>
      </c>
      <c r="DK129" s="256" t="inlineStr">
        <is>
          <t>0.001</t>
        </is>
      </c>
      <c r="DL129" s="256" t="inlineStr">
        <is>
          <t>2156/2025</t>
        </is>
      </c>
      <c r="DM129" s="256" t="inlineStr">
        <is>
          <t>07.05.2025</t>
        </is>
      </c>
      <c r="DN129" s="256" t="inlineStr">
        <is>
          <t>IPH — Institute of Public Health</t>
        </is>
      </c>
      <c r="DO129" s="256" t="inlineStr">
        <is>
          <t>ND</t>
        </is>
      </c>
      <c r="DP129" s="256" t="inlineStr">
        <is>
          <t>2156/2025</t>
        </is>
      </c>
      <c r="DQ129" s="256" t="inlineStr">
        <is>
          <t>07.05.2025</t>
        </is>
      </c>
      <c r="DR129" s="256" t="inlineStr">
        <is>
          <t>IPH — Institute of Public Health</t>
        </is>
      </c>
    </row>
    <row r="130">
      <c r="A130" s="256" t="inlineStr">
        <is>
          <t>CoQ-PP_26-129</t>
        </is>
      </c>
      <c r="B130" s="256" t="inlineStr">
        <is>
          <t>reissue — retest</t>
        </is>
      </c>
      <c r="C130" s="256" t="inlineStr">
        <is>
          <t>issuable</t>
        </is>
      </c>
      <c r="D130" s="256" t="inlineStr">
        <is>
          <t>18.09.2026</t>
        </is>
      </c>
      <c r="E130" s="256" t="inlineStr">
        <is>
          <t>CoQ-PP_26-040 of 06.06.2026</t>
        </is>
      </c>
      <c r="F130" s="256" t="inlineStr">
        <is>
          <t>(assigned on issue)</t>
        </is>
      </c>
      <c r="G130" s="256" t="inlineStr">
        <is>
          <t>OPM092501</t>
        </is>
      </c>
      <c r="H130" s="256" t="inlineStr">
        <is>
          <t>P060042</t>
        </is>
      </c>
      <c r="I130" s="256" t="inlineStr">
        <is>
          <t>Orange Punch Mimosa</t>
        </is>
      </c>
      <c r="J130" s="256" t="inlineStr">
        <is>
          <t>12.12.2025</t>
        </is>
      </c>
      <c r="K130" s="256" t="inlineStr">
        <is>
          <t>29.01.2026</t>
        </is>
      </c>
      <c r="L130" s="256" t="inlineStr">
        <is>
          <t>12.12.2025</t>
        </is>
      </c>
      <c r="M130" s="256" t="inlineStr">
        <is>
          <t>29.01.2026</t>
        </is>
      </c>
      <c r="N130" s="256" t="inlineStr">
        <is>
          <t>iCoA-PP_26-143</t>
        </is>
      </c>
      <c r="O130" s="256" t="inlineStr">
        <is>
          <t>17.08.2026</t>
        </is>
      </c>
      <c r="P130" s="256" t="inlineStr">
        <is>
          <t>13.08.2026</t>
        </is>
      </c>
      <c r="Q130" s="256" t="inlineStr">
        <is>
          <t>Tranche 2</t>
        </is>
      </c>
      <c r="R130" s="256" t="inlineStr">
        <is>
          <t>10.18</t>
        </is>
      </c>
      <c r="S130" s="256" t="inlineStr">
        <is>
          <t>220-22-К/26</t>
        </is>
      </c>
      <c r="T130" s="256" t="inlineStr">
        <is>
          <t>IV</t>
        </is>
      </c>
      <c r="U130" s="256" t="inlineStr">
        <is>
          <t>9.00 – 10.99 %</t>
        </is>
      </c>
      <c r="V130" s="256" t="inlineStr">
        <is>
          <t>OPM_THC10 : CBD1</t>
        </is>
      </c>
      <c r="W130" s="256" t="inlineStr">
        <is>
          <t>QCSP_001_OPM-IV_v.01</t>
        </is>
      </c>
      <c r="X130" s="256" t="inlineStr">
        <is>
          <t>for review — replaces the issued QCSP_001_OPM-IV_v.01 (was OPM_THC10 : CBD1, 9.00 – 11.00 %); now OPM_THC10 : CBD1 9.00 – 10.99 %</t>
        </is>
      </c>
      <c r="Y130" s="256" t="inlineStr">
        <is>
          <t>INDICA</t>
        </is>
      </c>
      <c r="Z130" s="256" t="inlineStr">
        <is>
          <t>THC</t>
        </is>
      </c>
      <c r="AA130" s="256" t="inlineStr">
        <is>
          <t>MACHINE TRIMMED</t>
        </is>
      </c>
      <c r="AB130" s="256" t="inlineStr">
        <is>
          <t>—</t>
        </is>
      </c>
      <c r="AC130" s="256" t="inlineStr">
        <is>
          <t>Triplex Alu Bag | Триплекс Aлу Kеса, PET 12 · ALU 7 · PE 80, 300 × 500 mm, net. 400.0 g ±3%</t>
        </is>
      </c>
      <c r="AD130" s="256" t="inlineStr">
        <is>
          <t>11.09.2026</t>
        </is>
      </c>
      <c r="AE130" s="256" t="inlineStr">
        <is>
          <t>Conforms | Одговара</t>
        </is>
      </c>
      <c r="AF130" s="256" t="inlineStr">
        <is>
          <t>iCoA-PP_26-143</t>
        </is>
      </c>
      <c r="AG130" s="256" t="inlineStr">
        <is>
          <t>17.08.2026</t>
        </is>
      </c>
      <c r="AH130" s="256" t="inlineStr">
        <is>
          <t>Purely Plant GmbH (in-house)</t>
        </is>
      </c>
      <c r="AI130" s="256" t="inlineStr">
        <is>
          <t>Conforms | Одговара</t>
        </is>
      </c>
      <c r="AJ130" s="256" t="inlineStr">
        <is>
          <t>iCoA-PP_26-143</t>
        </is>
      </c>
      <c r="AK130" s="256" t="inlineStr">
        <is>
          <t>17.08.2026</t>
        </is>
      </c>
      <c r="AL130" s="256" t="inlineStr">
        <is>
          <t>Purely Plant GmbH (in-house)</t>
        </is>
      </c>
      <c r="AM130" s="256" t="inlineStr">
        <is>
          <t>Conforms | Одговара</t>
        </is>
      </c>
      <c r="AN130" s="256" t="inlineStr">
        <is>
          <t>220-22-К/26</t>
        </is>
      </c>
      <c r="AO130" s="256" t="inlineStr">
        <is>
          <t>26.08.2026</t>
        </is>
      </c>
      <c r="AP130" s="256" t="inlineStr">
        <is>
          <t>Farmahem</t>
        </is>
      </c>
      <c r="AQ130" s="256" t="inlineStr">
        <is>
          <t>10.18</t>
        </is>
      </c>
      <c r="AR130" s="256" t="inlineStr">
        <is>
          <t>220-22-К/26</t>
        </is>
      </c>
      <c r="AS130" s="256" t="inlineStr">
        <is>
          <t>26.08.2026</t>
        </is>
      </c>
      <c r="AT130" s="256" t="inlineStr">
        <is>
          <t>Farmahem</t>
        </is>
      </c>
      <c r="AU130" s="256" t="inlineStr">
        <is>
          <t>&lt; LOQ</t>
        </is>
      </c>
      <c r="AV130" s="256" t="inlineStr">
        <is>
          <t>220-22-К/26</t>
        </is>
      </c>
      <c r="AW130" s="256" t="inlineStr">
        <is>
          <t>26.08.2026</t>
        </is>
      </c>
      <c r="AX130" s="256" t="inlineStr">
        <is>
          <t>Farmahem</t>
        </is>
      </c>
      <c r="AY130" s="256" t="inlineStr">
        <is>
          <t>&lt; LOQ</t>
        </is>
      </c>
      <c r="AZ130" s="256" t="inlineStr">
        <is>
          <t>220-22-К/26</t>
        </is>
      </c>
      <c r="BA130" s="256" t="inlineStr">
        <is>
          <t>26.08.2026</t>
        </is>
      </c>
      <c r="BB130" s="256" t="inlineStr">
        <is>
          <t>Farmahem</t>
        </is>
      </c>
      <c r="BC130" s="256" t="inlineStr">
        <is>
          <t>Conforms | Одговара</t>
        </is>
      </c>
      <c r="BD130" s="256" t="inlineStr">
        <is>
          <t>iCoA-PP_26-143</t>
        </is>
      </c>
      <c r="BE130" s="256" t="inlineStr">
        <is>
          <t>17.08.2026</t>
        </is>
      </c>
      <c r="BF130" s="256" t="inlineStr">
        <is>
          <t>Purely Plant GmbH (in-house)</t>
        </is>
      </c>
      <c r="BG130" s="256" t="inlineStr">
        <is>
          <t>7.85</t>
        </is>
      </c>
      <c r="BH130" s="256" t="inlineStr">
        <is>
          <t>ППК26008</t>
        </is>
      </c>
      <c r="BI130" s="256" t="inlineStr">
        <is>
          <t>21.01.2026</t>
        </is>
      </c>
      <c r="BJ130" s="256" t="inlineStr">
        <is>
          <t>UKIM Faculty of Pharmacy — Center for Natural Products</t>
        </is>
      </c>
      <c r="BK130" s="256" t="inlineStr">
        <is>
          <t>10</t>
        </is>
      </c>
      <c r="BL130" s="256" t="inlineStr">
        <is>
          <t>2/0005/26</t>
        </is>
      </c>
      <c r="BM130" s="256" t="inlineStr">
        <is>
          <t>20.01.2026</t>
        </is>
      </c>
      <c r="BN130" s="256" t="inlineStr">
        <is>
          <t>IPH — Institute of Public Health</t>
        </is>
      </c>
      <c r="BO130" s="256" t="inlineStr">
        <is>
          <t>10</t>
        </is>
      </c>
      <c r="BP130" s="256" t="inlineStr">
        <is>
          <t>2/0005/26</t>
        </is>
      </c>
      <c r="BQ130" s="256" t="inlineStr">
        <is>
          <t>20.01.2026</t>
        </is>
      </c>
      <c r="BR130" s="256" t="inlineStr">
        <is>
          <t>IPH — Institute of Public Health</t>
        </is>
      </c>
      <c r="BS130" s="256" t="inlineStr">
        <is>
          <t>&lt; 10² and &gt; 10</t>
        </is>
      </c>
      <c r="BT130" s="256" t="inlineStr">
        <is>
          <t>2/0005/26</t>
        </is>
      </c>
      <c r="BU130" s="256" t="inlineStr">
        <is>
          <t>20.01.2026</t>
        </is>
      </c>
      <c r="BV130" s="256" t="inlineStr">
        <is>
          <t>IPH — Institute of Public Health</t>
        </is>
      </c>
      <c r="BW130" s="256" t="inlineStr">
        <is>
          <t>Absent | Отсутна</t>
        </is>
      </c>
      <c r="BX130" s="256" t="inlineStr">
        <is>
          <t>2/0005/26</t>
        </is>
      </c>
      <c r="BY130" s="256" t="inlineStr">
        <is>
          <t>20.01.2026</t>
        </is>
      </c>
      <c r="BZ130" s="256" t="inlineStr">
        <is>
          <t>IPH — Institute of Public Health</t>
        </is>
      </c>
      <c r="CA130" s="256" t="inlineStr">
        <is>
          <t>Absent | Отсутна</t>
        </is>
      </c>
      <c r="CB130" s="256" t="inlineStr">
        <is>
          <t>2/0005/26</t>
        </is>
      </c>
      <c r="CC130" s="256" t="inlineStr">
        <is>
          <t>20.01.2026</t>
        </is>
      </c>
      <c r="CD130" s="256" t="inlineStr">
        <is>
          <t>IPH — Institute of Public Health</t>
        </is>
      </c>
      <c r="CE130" s="260" t="inlineStr">
        <is>
          <t>upon request — not required for release</t>
        </is>
      </c>
      <c r="CF130" s="256" t="inlineStr">
        <is>
          <t>—</t>
        </is>
      </c>
      <c r="CG130" s="256" t="inlineStr">
        <is>
          <t>—</t>
        </is>
      </c>
      <c r="CH130" s="256" t="inlineStr">
        <is>
          <t>—</t>
        </is>
      </c>
      <c r="CI130" s="260" t="inlineStr">
        <is>
          <t>upon request — not required for release</t>
        </is>
      </c>
      <c r="CJ130" s="256" t="inlineStr">
        <is>
          <t>—</t>
        </is>
      </c>
      <c r="CK130" s="256" t="inlineStr">
        <is>
          <t>—</t>
        </is>
      </c>
      <c r="CL130" s="256" t="inlineStr">
        <is>
          <t>—</t>
        </is>
      </c>
      <c r="CM130" s="256" t="inlineStr">
        <is>
          <t>ND</t>
        </is>
      </c>
      <c r="CN130" s="256" t="inlineStr">
        <is>
          <t>220-22-М/26</t>
        </is>
      </c>
      <c r="CO130" s="256" t="inlineStr">
        <is>
          <t>11.09.2026</t>
        </is>
      </c>
      <c r="CP130" s="256" t="inlineStr">
        <is>
          <t>Farmahem</t>
        </is>
      </c>
      <c r="CQ130" s="256" t="inlineStr">
        <is>
          <t>ND</t>
        </is>
      </c>
      <c r="CR130" s="256" t="inlineStr">
        <is>
          <t>220-22-М/26</t>
        </is>
      </c>
      <c r="CS130" s="256" t="inlineStr">
        <is>
          <t>11.09.2026</t>
        </is>
      </c>
      <c r="CT130" s="256" t="inlineStr">
        <is>
          <t>Farmahem</t>
        </is>
      </c>
      <c r="CU130" s="256" t="inlineStr">
        <is>
          <t>ND</t>
        </is>
      </c>
      <c r="CV130" s="256" t="inlineStr">
        <is>
          <t>220-22-М/26</t>
        </is>
      </c>
      <c r="CW130" s="256" t="inlineStr">
        <is>
          <t>11.09.2026</t>
        </is>
      </c>
      <c r="CX130" s="256" t="inlineStr">
        <is>
          <t>Farmahem</t>
        </is>
      </c>
      <c r="CY130" s="256" t="inlineStr">
        <is>
          <t>0.022</t>
        </is>
      </c>
      <c r="CZ130" s="256" t="inlineStr">
        <is>
          <t>87/2026</t>
        </is>
      </c>
      <c r="DA130" s="256" t="inlineStr">
        <is>
          <t>03.02.2026</t>
        </is>
      </c>
      <c r="DB130" s="256" t="inlineStr">
        <is>
          <t>IPH — Institute of Public Health</t>
        </is>
      </c>
      <c r="DC130" s="256" t="inlineStr">
        <is>
          <t>ND</t>
        </is>
      </c>
      <c r="DD130" s="256" t="inlineStr">
        <is>
          <t>87/2026</t>
        </is>
      </c>
      <c r="DE130" s="256" t="inlineStr">
        <is>
          <t>03.02.2026</t>
        </is>
      </c>
      <c r="DF130" s="256" t="inlineStr">
        <is>
          <t>IPH — Institute of Public Health</t>
        </is>
      </c>
      <c r="DG130" s="256" t="inlineStr">
        <is>
          <t>ND</t>
        </is>
      </c>
      <c r="DH130" s="256" t="inlineStr">
        <is>
          <t>87/2026</t>
        </is>
      </c>
      <c r="DI130" s="256" t="inlineStr">
        <is>
          <t>03.02.2026</t>
        </is>
      </c>
      <c r="DJ130" s="256" t="inlineStr">
        <is>
          <t>IPH — Institute of Public Health</t>
        </is>
      </c>
      <c r="DK130" s="256" t="inlineStr">
        <is>
          <t>ND</t>
        </is>
      </c>
      <c r="DL130" s="256" t="inlineStr">
        <is>
          <t>87/2026</t>
        </is>
      </c>
      <c r="DM130" s="256" t="inlineStr">
        <is>
          <t>03.02.2026</t>
        </is>
      </c>
      <c r="DN130" s="256" t="inlineStr">
        <is>
          <t>IPH — Institute of Public Health</t>
        </is>
      </c>
      <c r="DO130" s="256" t="inlineStr">
        <is>
          <t>ND</t>
        </is>
      </c>
      <c r="DP130" s="256" t="inlineStr">
        <is>
          <t>87/2026</t>
        </is>
      </c>
      <c r="DQ130" s="256" t="inlineStr">
        <is>
          <t>03.02.2026</t>
        </is>
      </c>
      <c r="DR130" s="256" t="inlineStr">
        <is>
          <t>IPH — Institute of Public Health</t>
        </is>
      </c>
    </row>
    <row r="131">
      <c r="A131" s="256" t="inlineStr">
        <is>
          <t>CoQ-PP_26-130</t>
        </is>
      </c>
      <c r="B131" s="256" t="inlineStr">
        <is>
          <t>reissue — retest</t>
        </is>
      </c>
      <c r="C131" s="256" t="inlineStr">
        <is>
          <t>issuable</t>
        </is>
      </c>
      <c r="D131" s="256" t="inlineStr">
        <is>
          <t>18.09.2026</t>
        </is>
      </c>
      <c r="E131" s="256" t="inlineStr">
        <is>
          <t>CoQ-PP_26-014 of 06.06.2026</t>
        </is>
      </c>
      <c r="F131" s="256" t="inlineStr">
        <is>
          <t>CoQ-PP-2026-0037</t>
        </is>
      </c>
      <c r="G131" s="256" t="inlineStr">
        <is>
          <t>OPM1024_03</t>
        </is>
      </c>
      <c r="H131" s="256" t="inlineStr">
        <is>
          <t>P050082</t>
        </is>
      </c>
      <c r="I131" s="256" t="inlineStr">
        <is>
          <t>Orange Punch Mimosa</t>
        </is>
      </c>
      <c r="J131" s="256" t="inlineStr">
        <is>
          <t>01.07.2025 – 02.07.2025</t>
        </is>
      </c>
      <c r="K131" s="256" t="inlineStr">
        <is>
          <t>22.07.2025 – 30.07.2025</t>
        </is>
      </c>
      <c r="L131" s="256" t="inlineStr">
        <is>
          <t>01.07.2025</t>
        </is>
      </c>
      <c r="M131" s="256" t="inlineStr">
        <is>
          <t>22.07.2025</t>
        </is>
      </c>
      <c r="N131" s="256" t="inlineStr">
        <is>
          <t>iCoA-PP_26-149</t>
        </is>
      </c>
      <c r="O131" s="256" t="inlineStr">
        <is>
          <t>17.08.2026</t>
        </is>
      </c>
      <c r="P131" s="256" t="inlineStr">
        <is>
          <t>14.08.2026</t>
        </is>
      </c>
      <c r="Q131" s="256" t="inlineStr">
        <is>
          <t>Tranche 2</t>
        </is>
      </c>
      <c r="R131" s="256" t="inlineStr">
        <is>
          <t>19.30</t>
        </is>
      </c>
      <c r="S131" s="256" t="inlineStr">
        <is>
          <t>220-23-К/26</t>
        </is>
      </c>
      <c r="T131" s="256" t="inlineStr">
        <is>
          <t>I</t>
        </is>
      </c>
      <c r="U131" s="256" t="inlineStr">
        <is>
          <t>18.60 – 21.39 %</t>
        </is>
      </c>
      <c r="V131" s="256" t="inlineStr">
        <is>
          <t>OPM_THC20 : CBD1</t>
        </is>
      </c>
      <c r="W131" s="256" t="inlineStr">
        <is>
          <t>QCSP_001_OPM-I_v.01</t>
        </is>
      </c>
      <c r="X131" s="256" t="inlineStr">
        <is>
          <t>for review — replaces the issued QCSP_001_OPM-I_v.01 (was OPM_THC22 : CBD1, 19.81 – 24.19 %); now OPM_THC20 : CBD1 18.60 – 21.39 %</t>
        </is>
      </c>
      <c r="Y131" s="256" t="inlineStr">
        <is>
          <t>INDICA</t>
        </is>
      </c>
      <c r="Z131" s="256" t="inlineStr">
        <is>
          <t>THC</t>
        </is>
      </c>
      <c r="AA131" s="256" t="inlineStr">
        <is>
          <t>MACHINE TRIMMED</t>
        </is>
      </c>
      <c r="AB131" s="256" t="inlineStr">
        <is>
          <t>—</t>
        </is>
      </c>
      <c r="AC131" s="256" t="inlineStr">
        <is>
          <t>Triplex Alu Bag | Триплекс Aлу Kеса, PET 12 · ALU 7 · PE 80, 300 × 500 mm, net. 400.0 g ±3%</t>
        </is>
      </c>
      <c r="AD131" s="256" t="inlineStr">
        <is>
          <t>11.09.2026</t>
        </is>
      </c>
      <c r="AE131" s="256" t="inlineStr">
        <is>
          <t>Conforms | Одговара</t>
        </is>
      </c>
      <c r="AF131" s="256" t="inlineStr">
        <is>
          <t>iCoA-PP_26-149</t>
        </is>
      </c>
      <c r="AG131" s="256" t="inlineStr">
        <is>
          <t>17.08.2026</t>
        </is>
      </c>
      <c r="AH131" s="256" t="inlineStr">
        <is>
          <t>Purely Plant GmbH (in-house)</t>
        </is>
      </c>
      <c r="AI131" s="256" t="inlineStr">
        <is>
          <t>Conforms | Одговара</t>
        </is>
      </c>
      <c r="AJ131" s="256" t="inlineStr">
        <is>
          <t>iCoA-PP_26-149</t>
        </is>
      </c>
      <c r="AK131" s="256" t="inlineStr">
        <is>
          <t>17.08.2026</t>
        </is>
      </c>
      <c r="AL131" s="256" t="inlineStr">
        <is>
          <t>Purely Plant GmbH (in-house)</t>
        </is>
      </c>
      <c r="AM131" s="256" t="inlineStr">
        <is>
          <t>Conforms | Одговара</t>
        </is>
      </c>
      <c r="AN131" s="256" t="inlineStr">
        <is>
          <t>220-23-К/26</t>
        </is>
      </c>
      <c r="AO131" s="256" t="inlineStr">
        <is>
          <t>26.08.2026</t>
        </is>
      </c>
      <c r="AP131" s="256" t="inlineStr">
        <is>
          <t>Farmahem</t>
        </is>
      </c>
      <c r="AQ131" s="256" t="inlineStr">
        <is>
          <t>19.30</t>
        </is>
      </c>
      <c r="AR131" s="256" t="inlineStr">
        <is>
          <t>220-23-К/26</t>
        </is>
      </c>
      <c r="AS131" s="256" t="inlineStr">
        <is>
          <t>26.08.2026</t>
        </is>
      </c>
      <c r="AT131" s="256" t="inlineStr">
        <is>
          <t>Farmahem</t>
        </is>
      </c>
      <c r="AU131" s="256" t="inlineStr">
        <is>
          <t>&lt; LOQ</t>
        </is>
      </c>
      <c r="AV131" s="256" t="inlineStr">
        <is>
          <t>220-23-К/26</t>
        </is>
      </c>
      <c r="AW131" s="256" t="inlineStr">
        <is>
          <t>26.08.2026</t>
        </is>
      </c>
      <c r="AX131" s="256" t="inlineStr">
        <is>
          <t>Farmahem</t>
        </is>
      </c>
      <c r="AY131" s="256" t="inlineStr">
        <is>
          <t>&lt; LOQ</t>
        </is>
      </c>
      <c r="AZ131" s="256" t="inlineStr">
        <is>
          <t>220-23-К/26</t>
        </is>
      </c>
      <c r="BA131" s="256" t="inlineStr">
        <is>
          <t>26.08.2026</t>
        </is>
      </c>
      <c r="BB131" s="256" t="inlineStr">
        <is>
          <t>Farmahem</t>
        </is>
      </c>
      <c r="BC131" s="256" t="inlineStr">
        <is>
          <t>Conforms | Одговара</t>
        </is>
      </c>
      <c r="BD131" s="256" t="inlineStr">
        <is>
          <t>iCoA-PP_26-149</t>
        </is>
      </c>
      <c r="BE131" s="256" t="inlineStr">
        <is>
          <t>17.08.2026</t>
        </is>
      </c>
      <c r="BF131" s="256" t="inlineStr">
        <is>
          <t>Purely Plant GmbH (in-house)</t>
        </is>
      </c>
      <c r="BG131" s="256" t="inlineStr">
        <is>
          <t>6.38</t>
        </is>
      </c>
      <c r="BH131" s="256" t="inlineStr">
        <is>
          <t>ППК25210</t>
        </is>
      </c>
      <c r="BI131" s="256" t="inlineStr">
        <is>
          <t>28.07.2025</t>
        </is>
      </c>
      <c r="BJ131" s="256" t="inlineStr">
        <is>
          <t>UKIM Faculty of Pharmacy — Center for Natural Products</t>
        </is>
      </c>
      <c r="BK131" s="256" t="inlineStr">
        <is>
          <t>2 × 10²</t>
        </is>
      </c>
      <c r="BL131" s="256" t="inlineStr">
        <is>
          <t>766/1375/25</t>
        </is>
      </c>
      <c r="BM131" s="256" t="inlineStr">
        <is>
          <t>29.07.2025</t>
        </is>
      </c>
      <c r="BN131" s="256" t="inlineStr">
        <is>
          <t>IPH — Institute of Public Health</t>
        </is>
      </c>
      <c r="BO131" s="256" t="inlineStr">
        <is>
          <t>3 × 10²</t>
        </is>
      </c>
      <c r="BP131" s="256" t="inlineStr">
        <is>
          <t>766/1375/25</t>
        </is>
      </c>
      <c r="BQ131" s="256" t="inlineStr">
        <is>
          <t>29.07.2025</t>
        </is>
      </c>
      <c r="BR131" s="256" t="inlineStr">
        <is>
          <t>IPH — Institute of Public Health</t>
        </is>
      </c>
      <c r="BS131" s="256" t="inlineStr">
        <is>
          <t>&lt; 10</t>
        </is>
      </c>
      <c r="BT131" s="256" t="inlineStr">
        <is>
          <t>766/1375/25</t>
        </is>
      </c>
      <c r="BU131" s="256" t="inlineStr">
        <is>
          <t>29.07.2025</t>
        </is>
      </c>
      <c r="BV131" s="256" t="inlineStr">
        <is>
          <t>IPH — Institute of Public Health</t>
        </is>
      </c>
      <c r="BW131" s="256" t="inlineStr">
        <is>
          <t>Absent | Отсутна</t>
        </is>
      </c>
      <c r="BX131" s="256" t="inlineStr">
        <is>
          <t>766/1375/25</t>
        </is>
      </c>
      <c r="BY131" s="256" t="inlineStr">
        <is>
          <t>29.07.2025</t>
        </is>
      </c>
      <c r="BZ131" s="256" t="inlineStr">
        <is>
          <t>IPH — Institute of Public Health</t>
        </is>
      </c>
      <c r="CA131" s="256" t="inlineStr">
        <is>
          <t>Absent | Отсутна</t>
        </is>
      </c>
      <c r="CB131" s="256" t="inlineStr">
        <is>
          <t>766/1375/25</t>
        </is>
      </c>
      <c r="CC131" s="256" t="inlineStr">
        <is>
          <t>29.07.2025</t>
        </is>
      </c>
      <c r="CD131" s="256" t="inlineStr">
        <is>
          <t>IPH — Institute of Public Health</t>
        </is>
      </c>
      <c r="CE131" s="260" t="inlineStr">
        <is>
          <t>upon request — not required for release</t>
        </is>
      </c>
      <c r="CF131" s="256" t="inlineStr">
        <is>
          <t>—</t>
        </is>
      </c>
      <c r="CG131" s="256" t="inlineStr">
        <is>
          <t>—</t>
        </is>
      </c>
      <c r="CH131" s="256" t="inlineStr">
        <is>
          <t>—</t>
        </is>
      </c>
      <c r="CI131" s="260" t="inlineStr">
        <is>
          <t>upon request — not required for release</t>
        </is>
      </c>
      <c r="CJ131" s="256" t="inlineStr">
        <is>
          <t>—</t>
        </is>
      </c>
      <c r="CK131" s="256" t="inlineStr">
        <is>
          <t>—</t>
        </is>
      </c>
      <c r="CL131" s="256" t="inlineStr">
        <is>
          <t>—</t>
        </is>
      </c>
      <c r="CM131" s="256" t="inlineStr">
        <is>
          <t>ND</t>
        </is>
      </c>
      <c r="CN131" s="256" t="inlineStr">
        <is>
          <t>220-23-М/26</t>
        </is>
      </c>
      <c r="CO131" s="256" t="inlineStr">
        <is>
          <t>11.09.2026</t>
        </is>
      </c>
      <c r="CP131" s="256" t="inlineStr">
        <is>
          <t>Farmahem</t>
        </is>
      </c>
      <c r="CQ131" s="256" t="inlineStr">
        <is>
          <t>ND</t>
        </is>
      </c>
      <c r="CR131" s="256" t="inlineStr">
        <is>
          <t>220-23-М/26</t>
        </is>
      </c>
      <c r="CS131" s="256" t="inlineStr">
        <is>
          <t>11.09.2026</t>
        </is>
      </c>
      <c r="CT131" s="256" t="inlineStr">
        <is>
          <t>Farmahem</t>
        </is>
      </c>
      <c r="CU131" s="256" t="inlineStr">
        <is>
          <t>ND</t>
        </is>
      </c>
      <c r="CV131" s="256" t="inlineStr">
        <is>
          <t>220-23-М/26</t>
        </is>
      </c>
      <c r="CW131" s="256" t="inlineStr">
        <is>
          <t>11.09.2026</t>
        </is>
      </c>
      <c r="CX131" s="256" t="inlineStr">
        <is>
          <t>Farmahem</t>
        </is>
      </c>
      <c r="CY131" s="256" t="inlineStr">
        <is>
          <t>ND</t>
        </is>
      </c>
      <c r="CZ131" s="256" t="inlineStr">
        <is>
          <t>3636/2025</t>
        </is>
      </c>
      <c r="DA131" s="256" t="inlineStr">
        <is>
          <t>28.07.2025</t>
        </is>
      </c>
      <c r="DB131" s="256" t="inlineStr">
        <is>
          <t>IPH — Institute of Public Health</t>
        </is>
      </c>
      <c r="DC131" s="256" t="inlineStr">
        <is>
          <t>ND</t>
        </is>
      </c>
      <c r="DD131" s="256" t="inlineStr">
        <is>
          <t>3636/2025</t>
        </is>
      </c>
      <c r="DE131" s="256" t="inlineStr">
        <is>
          <t>28.07.2025</t>
        </is>
      </c>
      <c r="DF131" s="256" t="inlineStr">
        <is>
          <t>IPH — Institute of Public Health</t>
        </is>
      </c>
      <c r="DG131" s="256" t="inlineStr">
        <is>
          <t>0.135</t>
        </is>
      </c>
      <c r="DH131" s="256" t="inlineStr">
        <is>
          <t>3636/2025</t>
        </is>
      </c>
      <c r="DI131" s="256" t="inlineStr">
        <is>
          <t>28.07.2025</t>
        </is>
      </c>
      <c r="DJ131" s="256" t="inlineStr">
        <is>
          <t>IPH — Institute of Public Health</t>
        </is>
      </c>
      <c r="DK131" s="256" t="inlineStr">
        <is>
          <t>0.03</t>
        </is>
      </c>
      <c r="DL131" s="256" t="inlineStr">
        <is>
          <t>3636/2025</t>
        </is>
      </c>
      <c r="DM131" s="256" t="inlineStr">
        <is>
          <t>28.07.2025</t>
        </is>
      </c>
      <c r="DN131" s="256" t="inlineStr">
        <is>
          <t>IPH — Institute of Public Health</t>
        </is>
      </c>
      <c r="DO131" s="256" t="inlineStr">
        <is>
          <t>ND</t>
        </is>
      </c>
      <c r="DP131" s="256" t="inlineStr">
        <is>
          <t>3636/2025</t>
        </is>
      </c>
      <c r="DQ131" s="256" t="inlineStr">
        <is>
          <t>28.07.2025</t>
        </is>
      </c>
      <c r="DR131" s="256" t="inlineStr">
        <is>
          <t>IPH — Institute of Public Health</t>
        </is>
      </c>
    </row>
    <row r="132">
      <c r="A132" s="256" t="inlineStr">
        <is>
          <t>CoQ-PP_26-131</t>
        </is>
      </c>
      <c r="B132" s="256" t="inlineStr">
        <is>
          <t>reissue — retest</t>
        </is>
      </c>
      <c r="C132" s="256" t="inlineStr">
        <is>
          <t>issuable</t>
        </is>
      </c>
      <c r="D132" s="256" t="inlineStr">
        <is>
          <t>18.09.2026</t>
        </is>
      </c>
      <c r="E132" s="256" t="inlineStr">
        <is>
          <t>CoQ-PP_26-059 of 06.06.2026</t>
        </is>
      </c>
      <c r="F132" s="256" t="inlineStr">
        <is>
          <t>(assigned on issue)</t>
        </is>
      </c>
      <c r="G132" s="256" t="inlineStr">
        <is>
          <t>PM112501</t>
        </is>
      </c>
      <c r="H132" s="256" t="inlineStr">
        <is>
          <t>P060232</t>
        </is>
      </c>
      <c r="I132" s="256" t="inlineStr">
        <is>
          <t>Permanent Marker</t>
        </is>
      </c>
      <c r="J132" s="256" t="inlineStr">
        <is>
          <t>05.02.2026</t>
        </is>
      </c>
      <c r="K132" s="256" t="inlineStr">
        <is>
          <t>27.04.2026</t>
        </is>
      </c>
      <c r="L132" s="256" t="inlineStr">
        <is>
          <t>05.02.2026</t>
        </is>
      </c>
      <c r="M132" s="256" t="inlineStr">
        <is>
          <t>27.04.2026</t>
        </is>
      </c>
      <c r="N132" s="256" t="inlineStr">
        <is>
          <t>iCoA-PP_26-150</t>
        </is>
      </c>
      <c r="O132" s="256" t="inlineStr">
        <is>
          <t>17.08.2026</t>
        </is>
      </c>
      <c r="P132" s="256" t="inlineStr">
        <is>
          <t>14.08.2026</t>
        </is>
      </c>
      <c r="Q132" s="256" t="inlineStr">
        <is>
          <t>Tranche 2</t>
        </is>
      </c>
      <c r="R132" s="256" t="inlineStr">
        <is>
          <t>10.80</t>
        </is>
      </c>
      <c r="S132" s="256" t="inlineStr">
        <is>
          <t>220-24-К/26</t>
        </is>
      </c>
      <c r="T132" s="256" t="inlineStr">
        <is>
          <t>III</t>
        </is>
      </c>
      <c r="U132" s="256" t="inlineStr">
        <is>
          <t>9.00 – 10.99 %</t>
        </is>
      </c>
      <c r="V132" s="256" t="inlineStr">
        <is>
          <t>PM_THC10 : CBD1</t>
        </is>
      </c>
      <c r="W132" s="256" t="inlineStr">
        <is>
          <t>QCSP_001_PM-III_v.01</t>
        </is>
      </c>
      <c r="X132" s="256" t="inlineStr">
        <is>
          <t>for review — replaces the issued QCSP_001_PM-III_v.01 (was PM_THC16.5:CBD1, 16.50% ± 2.50%); now PM_THC10 : CBD1 9.00 – 10.99 %</t>
        </is>
      </c>
      <c r="Y132" s="256" t="inlineStr">
        <is>
          <t>HYBRID</t>
        </is>
      </c>
      <c r="Z132" s="256" t="inlineStr">
        <is>
          <t>THC</t>
        </is>
      </c>
      <c r="AA132" s="256" t="inlineStr">
        <is>
          <t>MACHINE TRIMMED</t>
        </is>
      </c>
      <c r="AB132" s="256" t="inlineStr">
        <is>
          <t>INDICA-DOMINANT</t>
        </is>
      </c>
      <c r="AC132" s="256" t="inlineStr">
        <is>
          <t>Triplex Alu Bag | Триплекс Aлу Kеса, PET 12 · ALU 7 · PE 80, 300 × 500 mm, net. 400.0 g ±3%</t>
        </is>
      </c>
      <c r="AD132" s="256" t="inlineStr">
        <is>
          <t>11.09.2026</t>
        </is>
      </c>
      <c r="AE132" s="256" t="inlineStr">
        <is>
          <t>Conforms | Одговара</t>
        </is>
      </c>
      <c r="AF132" s="256" t="inlineStr">
        <is>
          <t>iCoA-PP_26-150</t>
        </is>
      </c>
      <c r="AG132" s="256" t="inlineStr">
        <is>
          <t>17.08.2026</t>
        </is>
      </c>
      <c r="AH132" s="256" t="inlineStr">
        <is>
          <t>Purely Plant GmbH (in-house)</t>
        </is>
      </c>
      <c r="AI132" s="256" t="inlineStr">
        <is>
          <t>Conforms | Одговара</t>
        </is>
      </c>
      <c r="AJ132" s="256" t="inlineStr">
        <is>
          <t>iCoA-PP_26-150</t>
        </is>
      </c>
      <c r="AK132" s="256" t="inlineStr">
        <is>
          <t>17.08.2026</t>
        </is>
      </c>
      <c r="AL132" s="256" t="inlineStr">
        <is>
          <t>Purely Plant GmbH (in-house)</t>
        </is>
      </c>
      <c r="AM132" s="256" t="inlineStr">
        <is>
          <t>Conforms | Одговара</t>
        </is>
      </c>
      <c r="AN132" s="256" t="inlineStr">
        <is>
          <t>220-24-К/26</t>
        </is>
      </c>
      <c r="AO132" s="256" t="inlineStr">
        <is>
          <t>26.08.2026</t>
        </is>
      </c>
      <c r="AP132" s="256" t="inlineStr">
        <is>
          <t>Farmahem</t>
        </is>
      </c>
      <c r="AQ132" s="256" t="inlineStr">
        <is>
          <t>10.80</t>
        </is>
      </c>
      <c r="AR132" s="256" t="inlineStr">
        <is>
          <t>220-24-К/26</t>
        </is>
      </c>
      <c r="AS132" s="256" t="inlineStr">
        <is>
          <t>26.08.2026</t>
        </is>
      </c>
      <c r="AT132" s="256" t="inlineStr">
        <is>
          <t>Farmahem</t>
        </is>
      </c>
      <c r="AU132" s="256" t="inlineStr">
        <is>
          <t>&lt; LOQ</t>
        </is>
      </c>
      <c r="AV132" s="256" t="inlineStr">
        <is>
          <t>220-24-К/26</t>
        </is>
      </c>
      <c r="AW132" s="256" t="inlineStr">
        <is>
          <t>26.08.2026</t>
        </is>
      </c>
      <c r="AX132" s="256" t="inlineStr">
        <is>
          <t>Farmahem</t>
        </is>
      </c>
      <c r="AY132" s="256" t="inlineStr">
        <is>
          <t>&lt; LOQ</t>
        </is>
      </c>
      <c r="AZ132" s="256" t="inlineStr">
        <is>
          <t>220-24-К/26</t>
        </is>
      </c>
      <c r="BA132" s="256" t="inlineStr">
        <is>
          <t>26.08.2026</t>
        </is>
      </c>
      <c r="BB132" s="256" t="inlineStr">
        <is>
          <t>Farmahem</t>
        </is>
      </c>
      <c r="BC132" s="256" t="inlineStr">
        <is>
          <t>Conforms | Одговара</t>
        </is>
      </c>
      <c r="BD132" s="256" t="inlineStr">
        <is>
          <t>iCoA-PP_26-150</t>
        </is>
      </c>
      <c r="BE132" s="256" t="inlineStr">
        <is>
          <t>17.08.2026</t>
        </is>
      </c>
      <c r="BF132" s="256" t="inlineStr">
        <is>
          <t>Purely Plant GmbH (in-house)</t>
        </is>
      </c>
      <c r="BG132" s="256" t="inlineStr">
        <is>
          <t>8.61</t>
        </is>
      </c>
      <c r="BH132" s="256" t="inlineStr">
        <is>
          <t>ППК26030</t>
        </is>
      </c>
      <c r="BI132" s="256" t="inlineStr">
        <is>
          <t>05.03.2026</t>
        </is>
      </c>
      <c r="BJ132" s="256" t="inlineStr">
        <is>
          <t>UKIM Faculty of Pharmacy — Center for Natural Products</t>
        </is>
      </c>
      <c r="BK132" s="256" t="inlineStr">
        <is>
          <t>10</t>
        </is>
      </c>
      <c r="BL132" s="256" t="inlineStr">
        <is>
          <t>135/0232/26</t>
        </is>
      </c>
      <c r="BM132" s="256" t="inlineStr">
        <is>
          <t>06.03.2026</t>
        </is>
      </c>
      <c r="BN132" s="256" t="inlineStr">
        <is>
          <t>IPH — Institute of Public Health</t>
        </is>
      </c>
      <c r="BO132" s="256" t="inlineStr">
        <is>
          <t>&lt; 10</t>
        </is>
      </c>
      <c r="BP132" s="256" t="inlineStr">
        <is>
          <t>135/0232/26</t>
        </is>
      </c>
      <c r="BQ132" s="256" t="inlineStr">
        <is>
          <t>06.03.2026</t>
        </is>
      </c>
      <c r="BR132" s="256" t="inlineStr">
        <is>
          <t>IPH — Institute of Public Health</t>
        </is>
      </c>
      <c r="BS132" s="256" t="inlineStr">
        <is>
          <t>&lt; 10</t>
        </is>
      </c>
      <c r="BT132" s="256" t="inlineStr">
        <is>
          <t>135/0232/26</t>
        </is>
      </c>
      <c r="BU132" s="256" t="inlineStr">
        <is>
          <t>06.03.2026</t>
        </is>
      </c>
      <c r="BV132" s="256" t="inlineStr">
        <is>
          <t>IPH — Institute of Public Health</t>
        </is>
      </c>
      <c r="BW132" s="256" t="inlineStr">
        <is>
          <t>Absent | Отсутна</t>
        </is>
      </c>
      <c r="BX132" s="256" t="inlineStr">
        <is>
          <t>135/0232/26</t>
        </is>
      </c>
      <c r="BY132" s="256" t="inlineStr">
        <is>
          <t>06.03.2026</t>
        </is>
      </c>
      <c r="BZ132" s="256" t="inlineStr">
        <is>
          <t>IPH — Institute of Public Health</t>
        </is>
      </c>
      <c r="CA132" s="256" t="inlineStr">
        <is>
          <t>Absent | Отсутна</t>
        </is>
      </c>
      <c r="CB132" s="256" t="inlineStr">
        <is>
          <t>135/0232/26</t>
        </is>
      </c>
      <c r="CC132" s="256" t="inlineStr">
        <is>
          <t>06.03.2026</t>
        </is>
      </c>
      <c r="CD132" s="256" t="inlineStr">
        <is>
          <t>IPH — Institute of Public Health</t>
        </is>
      </c>
      <c r="CE132" s="260" t="inlineStr">
        <is>
          <t>upon request — not required for release</t>
        </is>
      </c>
      <c r="CF132" s="256" t="inlineStr">
        <is>
          <t>—</t>
        </is>
      </c>
      <c r="CG132" s="256" t="inlineStr">
        <is>
          <t>—</t>
        </is>
      </c>
      <c r="CH132" s="256" t="inlineStr">
        <is>
          <t>—</t>
        </is>
      </c>
      <c r="CI132" s="260" t="inlineStr">
        <is>
          <t>upon request — not required for release</t>
        </is>
      </c>
      <c r="CJ132" s="256" t="inlineStr">
        <is>
          <t>—</t>
        </is>
      </c>
      <c r="CK132" s="256" t="inlineStr">
        <is>
          <t>—</t>
        </is>
      </c>
      <c r="CL132" s="256" t="inlineStr">
        <is>
          <t>—</t>
        </is>
      </c>
      <c r="CM132" s="256" t="inlineStr">
        <is>
          <t>ND</t>
        </is>
      </c>
      <c r="CN132" s="256" t="inlineStr">
        <is>
          <t>220-24-М/26</t>
        </is>
      </c>
      <c r="CO132" s="256" t="inlineStr">
        <is>
          <t>11.09.2026</t>
        </is>
      </c>
      <c r="CP132" s="256" t="inlineStr">
        <is>
          <t>Farmahem</t>
        </is>
      </c>
      <c r="CQ132" s="256" t="inlineStr">
        <is>
          <t>ND</t>
        </is>
      </c>
      <c r="CR132" s="256" t="inlineStr">
        <is>
          <t>220-24-М/26</t>
        </is>
      </c>
      <c r="CS132" s="256" t="inlineStr">
        <is>
          <t>11.09.2026</t>
        </is>
      </c>
      <c r="CT132" s="256" t="inlineStr">
        <is>
          <t>Farmahem</t>
        </is>
      </c>
      <c r="CU132" s="256" t="inlineStr">
        <is>
          <t>ND</t>
        </is>
      </c>
      <c r="CV132" s="256" t="inlineStr">
        <is>
          <t>220-24-М/26</t>
        </is>
      </c>
      <c r="CW132" s="256" t="inlineStr">
        <is>
          <t>11.09.2026</t>
        </is>
      </c>
      <c r="CX132" s="256" t="inlineStr">
        <is>
          <t>Farmahem</t>
        </is>
      </c>
      <c r="CY132" s="256" t="inlineStr">
        <is>
          <t>ND</t>
        </is>
      </c>
      <c r="CZ132" s="256" t="inlineStr">
        <is>
          <t>1059/2026</t>
        </is>
      </c>
      <c r="DA132" s="256" t="inlineStr">
        <is>
          <t>09.03.2026</t>
        </is>
      </c>
      <c r="DB132" s="256" t="inlineStr">
        <is>
          <t>IPH — Institute of Public Health</t>
        </is>
      </c>
      <c r="DC132" s="256" t="inlineStr">
        <is>
          <t>ND</t>
        </is>
      </c>
      <c r="DD132" s="256" t="inlineStr">
        <is>
          <t>1059/2026</t>
        </is>
      </c>
      <c r="DE132" s="256" t="inlineStr">
        <is>
          <t>09.03.2026</t>
        </is>
      </c>
      <c r="DF132" s="256" t="inlineStr">
        <is>
          <t>IPH — Institute of Public Health</t>
        </is>
      </c>
      <c r="DG132" s="256" t="inlineStr">
        <is>
          <t>ND</t>
        </is>
      </c>
      <c r="DH132" s="256" t="inlineStr">
        <is>
          <t>1059/2026</t>
        </is>
      </c>
      <c r="DI132" s="256" t="inlineStr">
        <is>
          <t>09.03.2026</t>
        </is>
      </c>
      <c r="DJ132" s="256" t="inlineStr">
        <is>
          <t>IPH — Institute of Public Health</t>
        </is>
      </c>
      <c r="DK132" s="256" t="inlineStr">
        <is>
          <t>ND</t>
        </is>
      </c>
      <c r="DL132" s="256" t="inlineStr">
        <is>
          <t>1059/2026</t>
        </is>
      </c>
      <c r="DM132" s="256" t="inlineStr">
        <is>
          <t>09.03.2026</t>
        </is>
      </c>
      <c r="DN132" s="256" t="inlineStr">
        <is>
          <t>IPH — Institute of Public Health</t>
        </is>
      </c>
      <c r="DO132" s="256" t="inlineStr">
        <is>
          <t>ND mg/kg — all 25 residues</t>
        </is>
      </c>
      <c r="DP132" s="256" t="inlineStr">
        <is>
          <t>1059/2026</t>
        </is>
      </c>
      <c r="DQ132" s="256" t="inlineStr">
        <is>
          <t>09.03.2026</t>
        </is>
      </c>
      <c r="DR132" s="256" t="inlineStr">
        <is>
          <t>IJZ</t>
        </is>
      </c>
    </row>
    <row r="133">
      <c r="A133" s="256" t="inlineStr">
        <is>
          <t>CoQ-PP_26-132</t>
        </is>
      </c>
      <c r="B133" s="256" t="inlineStr">
        <is>
          <t>reissue — retest</t>
        </is>
      </c>
      <c r="C133" s="256" t="inlineStr">
        <is>
          <t>issuable</t>
        </is>
      </c>
      <c r="D133" s="256" t="inlineStr">
        <is>
          <t>18.09.2026</t>
        </is>
      </c>
      <c r="E133" s="256" t="inlineStr">
        <is>
          <t>CoQ-PP_26-047 of 06.06.2026</t>
        </is>
      </c>
      <c r="F133" s="256" t="inlineStr">
        <is>
          <t>(assigned on issue)</t>
        </is>
      </c>
      <c r="G133" s="256" t="inlineStr">
        <is>
          <t>PUM102501</t>
        </is>
      </c>
      <c r="H133" s="256" t="inlineStr">
        <is>
          <t>P060112</t>
        </is>
      </c>
      <c r="I133" s="256" t="inlineStr">
        <is>
          <t>Pure Michigen</t>
        </is>
      </c>
      <c r="J133" s="256" t="inlineStr">
        <is>
          <t>08.01.2026 – 09.01.2026</t>
        </is>
      </c>
      <c r="K133" s="256" t="inlineStr">
        <is>
          <t>17.02.2026</t>
        </is>
      </c>
      <c r="L133" s="256" t="inlineStr">
        <is>
          <t>08.01.2026</t>
        </is>
      </c>
      <c r="M133" s="256" t="inlineStr">
        <is>
          <t>17.02.2026</t>
        </is>
      </c>
      <c r="N133" s="256" t="inlineStr">
        <is>
          <t>iCoA-PP_26-151</t>
        </is>
      </c>
      <c r="O133" s="256" t="inlineStr">
        <is>
          <t>17.08.2026</t>
        </is>
      </c>
      <c r="P133" s="256" t="inlineStr">
        <is>
          <t>14.08.2026</t>
        </is>
      </c>
      <c r="Q133" s="256" t="inlineStr">
        <is>
          <t>Tranche 2</t>
        </is>
      </c>
      <c r="R133" s="256" t="inlineStr">
        <is>
          <t>13.95</t>
        </is>
      </c>
      <c r="S133" s="256" t="inlineStr">
        <is>
          <t>220-25-К/26</t>
        </is>
      </c>
      <c r="T133" s="256" t="inlineStr">
        <is>
          <t>I</t>
        </is>
      </c>
      <c r="U133" s="256" t="inlineStr">
        <is>
          <t>12.60 – 15.39 %</t>
        </is>
      </c>
      <c r="V133" s="256" t="inlineStr">
        <is>
          <t>PUM_THC14 : CBD1</t>
        </is>
      </c>
      <c r="W133" s="256" t="inlineStr">
        <is>
          <t>QCSP_001_PUM-I_v.01</t>
        </is>
      </c>
      <c r="X133" s="256" t="inlineStr">
        <is>
          <t>for review — replaces the issued QCSP_001_PUM-I_v.01 (was PUM_THC14 : CBD1, 12.60 – 15.40 %); now PUM_THC14 : CBD1 12.60 – 15.39 %</t>
        </is>
      </c>
      <c r="Y133" s="256" t="inlineStr">
        <is>
          <t>HYBRID</t>
        </is>
      </c>
      <c r="Z133" s="256" t="inlineStr">
        <is>
          <t>THC</t>
        </is>
      </c>
      <c r="AA133" s="256" t="inlineStr">
        <is>
          <t>MACHINE TRIMMED</t>
        </is>
      </c>
      <c r="AB133" s="256" t="inlineStr">
        <is>
          <t>TO BE DETERMINED</t>
        </is>
      </c>
      <c r="AC133" s="256" t="inlineStr">
        <is>
          <t>Triplex Alu Bag | Триплекс Aлу Kеса, PET 12 · ALU 7 · PE 80, 300 × 500 mm, net. 400.0 g ±3%</t>
        </is>
      </c>
      <c r="AD133" s="256" t="inlineStr">
        <is>
          <t>11.09.2026</t>
        </is>
      </c>
      <c r="AE133" s="256" t="inlineStr">
        <is>
          <t>Conforms | Одговара</t>
        </is>
      </c>
      <c r="AF133" s="256" t="inlineStr">
        <is>
          <t>iCoA-PP_26-151</t>
        </is>
      </c>
      <c r="AG133" s="256" t="inlineStr">
        <is>
          <t>17.08.2026</t>
        </is>
      </c>
      <c r="AH133" s="256" t="inlineStr">
        <is>
          <t>Purely Plant GmbH (in-house)</t>
        </is>
      </c>
      <c r="AI133" s="256" t="inlineStr">
        <is>
          <t>Conforms | Одговара</t>
        </is>
      </c>
      <c r="AJ133" s="256" t="inlineStr">
        <is>
          <t>iCoA-PP_26-151</t>
        </is>
      </c>
      <c r="AK133" s="256" t="inlineStr">
        <is>
          <t>17.08.2026</t>
        </is>
      </c>
      <c r="AL133" s="256" t="inlineStr">
        <is>
          <t>Purely Plant GmbH (in-house)</t>
        </is>
      </c>
      <c r="AM133" s="256" t="inlineStr">
        <is>
          <t>Conforms | Одговара</t>
        </is>
      </c>
      <c r="AN133" s="256" t="inlineStr">
        <is>
          <t>220-25-К/26</t>
        </is>
      </c>
      <c r="AO133" s="256" t="inlineStr">
        <is>
          <t>26.08.2026</t>
        </is>
      </c>
      <c r="AP133" s="256" t="inlineStr">
        <is>
          <t>Farmahem</t>
        </is>
      </c>
      <c r="AQ133" s="256" t="inlineStr">
        <is>
          <t>13.95</t>
        </is>
      </c>
      <c r="AR133" s="256" t="inlineStr">
        <is>
          <t>220-25-К/26</t>
        </is>
      </c>
      <c r="AS133" s="256" t="inlineStr">
        <is>
          <t>26.08.2026</t>
        </is>
      </c>
      <c r="AT133" s="256" t="inlineStr">
        <is>
          <t>Farmahem</t>
        </is>
      </c>
      <c r="AU133" s="256" t="inlineStr">
        <is>
          <t>&lt; LOQ</t>
        </is>
      </c>
      <c r="AV133" s="256" t="inlineStr">
        <is>
          <t>220-25-К/26</t>
        </is>
      </c>
      <c r="AW133" s="256" t="inlineStr">
        <is>
          <t>26.08.2026</t>
        </is>
      </c>
      <c r="AX133" s="256" t="inlineStr">
        <is>
          <t>Farmahem</t>
        </is>
      </c>
      <c r="AY133" s="256" t="inlineStr">
        <is>
          <t>&lt; LOQ</t>
        </is>
      </c>
      <c r="AZ133" s="256" t="inlineStr">
        <is>
          <t>220-25-К/26</t>
        </is>
      </c>
      <c r="BA133" s="256" t="inlineStr">
        <is>
          <t>26.08.2026</t>
        </is>
      </c>
      <c r="BB133" s="256" t="inlineStr">
        <is>
          <t>Farmahem</t>
        </is>
      </c>
      <c r="BC133" s="256" t="inlineStr">
        <is>
          <t>Conforms | Одговара</t>
        </is>
      </c>
      <c r="BD133" s="256" t="inlineStr">
        <is>
          <t>iCoA-PP_26-151</t>
        </is>
      </c>
      <c r="BE133" s="256" t="inlineStr">
        <is>
          <t>17.08.2026</t>
        </is>
      </c>
      <c r="BF133" s="256" t="inlineStr">
        <is>
          <t>Purely Plant GmbH (in-house)</t>
        </is>
      </c>
      <c r="BG133" s="256" t="inlineStr">
        <is>
          <t>6,4 %</t>
        </is>
      </c>
      <c r="BH133" s="256" t="inlineStr">
        <is>
          <t>031-2-ГС/26</t>
        </is>
      </c>
      <c r="BI133" s="256" t="inlineStr">
        <is>
          <t>11.02.2026</t>
        </is>
      </c>
      <c r="BJ133" s="256" t="inlineStr">
        <is>
          <t>FHM</t>
        </is>
      </c>
      <c r="BK133" s="256" t="inlineStr">
        <is>
          <t>5 × 10¹</t>
        </is>
      </c>
      <c r="BL133" s="256" t="inlineStr">
        <is>
          <t>74/0117/26</t>
        </is>
      </c>
      <c r="BM133" s="256" t="inlineStr">
        <is>
          <t>09.02.2026</t>
        </is>
      </c>
      <c r="BN133" s="256" t="inlineStr">
        <is>
          <t>IPH — Institute of Public Health</t>
        </is>
      </c>
      <c r="BO133" s="256" t="inlineStr">
        <is>
          <t>5 × 10¹</t>
        </is>
      </c>
      <c r="BP133" s="256" t="inlineStr">
        <is>
          <t>74/0117/26</t>
        </is>
      </c>
      <c r="BQ133" s="256" t="inlineStr">
        <is>
          <t>09.02.2026</t>
        </is>
      </c>
      <c r="BR133" s="256" t="inlineStr">
        <is>
          <t>IPH — Institute of Public Health</t>
        </is>
      </c>
      <c r="BS133" s="256" t="inlineStr">
        <is>
          <t>&lt; 10</t>
        </is>
      </c>
      <c r="BT133" s="256" t="inlineStr">
        <is>
          <t>74/0117/26</t>
        </is>
      </c>
      <c r="BU133" s="256" t="inlineStr">
        <is>
          <t>09.02.2026</t>
        </is>
      </c>
      <c r="BV133" s="256" t="inlineStr">
        <is>
          <t>IPH — Institute of Public Health</t>
        </is>
      </c>
      <c r="BW133" s="256" t="inlineStr">
        <is>
          <t>Absent | Отсутна</t>
        </is>
      </c>
      <c r="BX133" s="256" t="inlineStr">
        <is>
          <t>74/0117/26</t>
        </is>
      </c>
      <c r="BY133" s="256" t="inlineStr">
        <is>
          <t>09.02.2026</t>
        </is>
      </c>
      <c r="BZ133" s="256" t="inlineStr">
        <is>
          <t>IPH — Institute of Public Health</t>
        </is>
      </c>
      <c r="CA133" s="256" t="inlineStr">
        <is>
          <t>Absent | Отсутна</t>
        </is>
      </c>
      <c r="CB133" s="256" t="inlineStr">
        <is>
          <t>74/0117/26</t>
        </is>
      </c>
      <c r="CC133" s="256" t="inlineStr">
        <is>
          <t>09.02.2026</t>
        </is>
      </c>
      <c r="CD133" s="256" t="inlineStr">
        <is>
          <t>IPH — Institute of Public Health</t>
        </is>
      </c>
      <c r="CE133" s="260" t="inlineStr">
        <is>
          <t>upon request — not required for release</t>
        </is>
      </c>
      <c r="CF133" s="256" t="inlineStr">
        <is>
          <t>—</t>
        </is>
      </c>
      <c r="CG133" s="256" t="inlineStr">
        <is>
          <t>—</t>
        </is>
      </c>
      <c r="CH133" s="256" t="inlineStr">
        <is>
          <t>—</t>
        </is>
      </c>
      <c r="CI133" s="260" t="inlineStr">
        <is>
          <t>upon request — not required for release</t>
        </is>
      </c>
      <c r="CJ133" s="256" t="inlineStr">
        <is>
          <t>—</t>
        </is>
      </c>
      <c r="CK133" s="256" t="inlineStr">
        <is>
          <t>—</t>
        </is>
      </c>
      <c r="CL133" s="256" t="inlineStr">
        <is>
          <t>—</t>
        </is>
      </c>
      <c r="CM133" s="256" t="inlineStr">
        <is>
          <t>ND</t>
        </is>
      </c>
      <c r="CN133" s="256" t="inlineStr">
        <is>
          <t>220-25-М/26</t>
        </is>
      </c>
      <c r="CO133" s="256" t="inlineStr">
        <is>
          <t>11.09.2026</t>
        </is>
      </c>
      <c r="CP133" s="256" t="inlineStr">
        <is>
          <t>Farmahem</t>
        </is>
      </c>
      <c r="CQ133" s="256" t="inlineStr">
        <is>
          <t>ND</t>
        </is>
      </c>
      <c r="CR133" s="256" t="inlineStr">
        <is>
          <t>220-25-М/26</t>
        </is>
      </c>
      <c r="CS133" s="256" t="inlineStr">
        <is>
          <t>11.09.2026</t>
        </is>
      </c>
      <c r="CT133" s="256" t="inlineStr">
        <is>
          <t>Farmahem</t>
        </is>
      </c>
      <c r="CU133" s="256" t="inlineStr">
        <is>
          <t>ND</t>
        </is>
      </c>
      <c r="CV133" s="256" t="inlineStr">
        <is>
          <t>220-25-М/26</t>
        </is>
      </c>
      <c r="CW133" s="256" t="inlineStr">
        <is>
          <t>11.09.2026</t>
        </is>
      </c>
      <c r="CX133" s="256" t="inlineStr">
        <is>
          <t>Farmahem</t>
        </is>
      </c>
      <c r="CY133" s="256" t="inlineStr">
        <is>
          <t>0.078</t>
        </is>
      </c>
      <c r="CZ133" s="256" t="inlineStr">
        <is>
          <t>327/2026</t>
        </is>
      </c>
      <c r="DA133" s="256" t="inlineStr">
        <is>
          <t>11.02.2026</t>
        </is>
      </c>
      <c r="DB133" s="256" t="inlineStr">
        <is>
          <t>IPH — Institute of Public Health</t>
        </is>
      </c>
      <c r="DC133" s="256" t="inlineStr">
        <is>
          <t>ND</t>
        </is>
      </c>
      <c r="DD133" s="256" t="inlineStr">
        <is>
          <t>327/2026</t>
        </is>
      </c>
      <c r="DE133" s="256" t="inlineStr">
        <is>
          <t>11.02.2026</t>
        </is>
      </c>
      <c r="DF133" s="256" t="inlineStr">
        <is>
          <t>IPH — Institute of Public Health</t>
        </is>
      </c>
      <c r="DG133" s="256" t="inlineStr">
        <is>
          <t>0.0187</t>
        </is>
      </c>
      <c r="DH133" s="256" t="inlineStr">
        <is>
          <t>327/2026</t>
        </is>
      </c>
      <c r="DI133" s="256" t="inlineStr">
        <is>
          <t>11.02.2026</t>
        </is>
      </c>
      <c r="DJ133" s="256" t="inlineStr">
        <is>
          <t>IPH — Institute of Public Health</t>
        </is>
      </c>
      <c r="DK133" s="256" t="inlineStr">
        <is>
          <t>ND</t>
        </is>
      </c>
      <c r="DL133" s="256" t="inlineStr">
        <is>
          <t>327/2026</t>
        </is>
      </c>
      <c r="DM133" s="256" t="inlineStr">
        <is>
          <t>11.02.2026</t>
        </is>
      </c>
      <c r="DN133" s="256" t="inlineStr">
        <is>
          <t>IPH — Institute of Public Health</t>
        </is>
      </c>
      <c r="DO133" s="256" t="inlineStr">
        <is>
          <t>ND mg/kg — all 25 residues</t>
        </is>
      </c>
      <c r="DP133" s="256" t="inlineStr">
        <is>
          <t>327/2026</t>
        </is>
      </c>
      <c r="DQ133" s="256" t="inlineStr">
        <is>
          <t>11.02.2026</t>
        </is>
      </c>
      <c r="DR133" s="256" t="inlineStr">
        <is>
          <t>IJZ</t>
        </is>
      </c>
    </row>
    <row r="134">
      <c r="A134" s="256" t="inlineStr">
        <is>
          <t>CoQ-PP_26-133</t>
        </is>
      </c>
      <c r="B134" s="256" t="inlineStr">
        <is>
          <t>reissue — retest</t>
        </is>
      </c>
      <c r="C134" s="256" t="inlineStr">
        <is>
          <t>issuable</t>
        </is>
      </c>
      <c r="D134" s="256" t="inlineStr">
        <is>
          <t>18.09.2026</t>
        </is>
      </c>
      <c r="E134" s="256" t="inlineStr">
        <is>
          <t>CoQ-PP_26-064 of 06.06.2026</t>
        </is>
      </c>
      <c r="F134" s="256" t="inlineStr">
        <is>
          <t>(assigned on issue)</t>
        </is>
      </c>
      <c r="G134" s="256" t="inlineStr">
        <is>
          <t>SCR112501</t>
        </is>
      </c>
      <c r="H134" s="256" t="inlineStr">
        <is>
          <t>P060282</t>
        </is>
      </c>
      <c r="I134" s="256" t="inlineStr">
        <is>
          <t>Scrambler</t>
        </is>
      </c>
      <c r="J134" s="256" t="inlineStr">
        <is>
          <t>25.03.2026</t>
        </is>
      </c>
      <c r="K134" s="256" t="inlineStr">
        <is>
          <t>18.05.2026</t>
        </is>
      </c>
      <c r="L134" s="256" t="inlineStr">
        <is>
          <t>25.03.2026</t>
        </is>
      </c>
      <c r="M134" s="256" t="inlineStr">
        <is>
          <t>18.05.2026</t>
        </is>
      </c>
      <c r="N134" s="256" t="inlineStr">
        <is>
          <t>iCoA-PP_26-152</t>
        </is>
      </c>
      <c r="O134" s="256" t="inlineStr">
        <is>
          <t>17.08.2026</t>
        </is>
      </c>
      <c r="P134" s="256" t="inlineStr">
        <is>
          <t>14.08.2026</t>
        </is>
      </c>
      <c r="Q134" s="256" t="inlineStr">
        <is>
          <t>Tranche 2</t>
        </is>
      </c>
      <c r="R134" s="256" t="inlineStr">
        <is>
          <t>19.73</t>
        </is>
      </c>
      <c r="S134" s="256" t="inlineStr">
        <is>
          <t>220-26-К/26</t>
        </is>
      </c>
      <c r="T134" s="256" t="inlineStr">
        <is>
          <t>II</t>
        </is>
      </c>
      <c r="U134" s="256" t="inlineStr">
        <is>
          <t>16.20 – 19.79 %</t>
        </is>
      </c>
      <c r="V134" s="256" t="inlineStr">
        <is>
          <t>SCR_THC18 : CBD1</t>
        </is>
      </c>
      <c r="W134" s="256" t="inlineStr">
        <is>
          <t>QCSP_001_SCR-II_v.01</t>
        </is>
      </c>
      <c r="X134" s="256" t="inlineStr">
        <is>
          <t>for review — replaces the issued QCSP_001_SCR-II_v.01 (was SCR_THC18 : CBD1, 16.20 – 19.80 %); now SCR_THC18 : CBD1 16.20 – 19.79 %</t>
        </is>
      </c>
      <c r="Y134" s="256" t="inlineStr">
        <is>
          <t>HYBRID</t>
        </is>
      </c>
      <c r="Z134" s="256" t="inlineStr">
        <is>
          <t>THC</t>
        </is>
      </c>
      <c r="AA134" s="256" t="inlineStr">
        <is>
          <t>MACHINE TRIMMED</t>
        </is>
      </c>
      <c r="AB134" s="256" t="inlineStr">
        <is>
          <t>TO BE DETERMINED</t>
        </is>
      </c>
      <c r="AC134" s="256" t="inlineStr">
        <is>
          <t>Triplex Alu Bag | Триплекс Aлу Kеса, PET 12 · ALU 7 · PE 80, 300 × 500 mm, net. 400.0 g ±3%</t>
        </is>
      </c>
      <c r="AD134" s="256" t="inlineStr">
        <is>
          <t>11.09.2026</t>
        </is>
      </c>
      <c r="AE134" s="256" t="inlineStr">
        <is>
          <t>Conforms | Одговара</t>
        </is>
      </c>
      <c r="AF134" s="256" t="inlineStr">
        <is>
          <t>iCoA-PP_26-152</t>
        </is>
      </c>
      <c r="AG134" s="256" t="inlineStr">
        <is>
          <t>17.08.2026</t>
        </is>
      </c>
      <c r="AH134" s="256" t="inlineStr">
        <is>
          <t>Purely Plant GmbH (in-house)</t>
        </is>
      </c>
      <c r="AI134" s="256" t="inlineStr">
        <is>
          <t>Conforms | Одговара</t>
        </is>
      </c>
      <c r="AJ134" s="256" t="inlineStr">
        <is>
          <t>iCoA-PP_26-152</t>
        </is>
      </c>
      <c r="AK134" s="256" t="inlineStr">
        <is>
          <t>17.08.2026</t>
        </is>
      </c>
      <c r="AL134" s="256" t="inlineStr">
        <is>
          <t>Purely Plant GmbH (in-house)</t>
        </is>
      </c>
      <c r="AM134" s="256" t="inlineStr">
        <is>
          <t>Conforms | Одговара</t>
        </is>
      </c>
      <c r="AN134" s="256" t="inlineStr">
        <is>
          <t>220-26-К/26</t>
        </is>
      </c>
      <c r="AO134" s="256" t="inlineStr">
        <is>
          <t>26.08.2026</t>
        </is>
      </c>
      <c r="AP134" s="256" t="inlineStr">
        <is>
          <t>Farmahem</t>
        </is>
      </c>
      <c r="AQ134" s="256" t="inlineStr">
        <is>
          <t>19.73</t>
        </is>
      </c>
      <c r="AR134" s="256" t="inlineStr">
        <is>
          <t>220-26-К/26</t>
        </is>
      </c>
      <c r="AS134" s="256" t="inlineStr">
        <is>
          <t>26.08.2026</t>
        </is>
      </c>
      <c r="AT134" s="256" t="inlineStr">
        <is>
          <t>Farmahem</t>
        </is>
      </c>
      <c r="AU134" s="256" t="inlineStr">
        <is>
          <t>&lt; LOQ</t>
        </is>
      </c>
      <c r="AV134" s="256" t="inlineStr">
        <is>
          <t>220-26-К/26</t>
        </is>
      </c>
      <c r="AW134" s="256" t="inlineStr">
        <is>
          <t>26.08.2026</t>
        </is>
      </c>
      <c r="AX134" s="256" t="inlineStr">
        <is>
          <t>Farmahem</t>
        </is>
      </c>
      <c r="AY134" s="256" t="inlineStr">
        <is>
          <t>&lt; LOQ</t>
        </is>
      </c>
      <c r="AZ134" s="256" t="inlineStr">
        <is>
          <t>220-26-К/26</t>
        </is>
      </c>
      <c r="BA134" s="256" t="inlineStr">
        <is>
          <t>26.08.2026</t>
        </is>
      </c>
      <c r="BB134" s="256" t="inlineStr">
        <is>
          <t>Farmahem</t>
        </is>
      </c>
      <c r="BC134" s="256" t="inlineStr">
        <is>
          <t>Conforms | Одговара</t>
        </is>
      </c>
      <c r="BD134" s="256" t="inlineStr">
        <is>
          <t>iCoA-PP_26-152</t>
        </is>
      </c>
      <c r="BE134" s="256" t="inlineStr">
        <is>
          <t>17.08.2026</t>
        </is>
      </c>
      <c r="BF134" s="256" t="inlineStr">
        <is>
          <t>Purely Plant GmbH (in-house)</t>
        </is>
      </c>
      <c r="BG134" s="256" t="inlineStr">
        <is>
          <t>6.84</t>
        </is>
      </c>
      <c r="BH134" s="256" t="inlineStr">
        <is>
          <t>ППК26069</t>
        </is>
      </c>
      <c r="BI134" s="256" t="inlineStr">
        <is>
          <t>11.05.2026</t>
        </is>
      </c>
      <c r="BJ134" s="256" t="inlineStr">
        <is>
          <t>UKIM Faculty of Pharmacy — Center for Natural Products</t>
        </is>
      </c>
      <c r="BK134" s="256" t="inlineStr">
        <is>
          <t>2,3 × 10³</t>
        </is>
      </c>
      <c r="BL134" s="256" t="inlineStr">
        <is>
          <t>305/0549/26</t>
        </is>
      </c>
      <c r="BM134" s="256" t="inlineStr">
        <is>
          <t>28.04.2026</t>
        </is>
      </c>
      <c r="BN134" s="256" t="inlineStr">
        <is>
          <t>IPH — Institute of Public Health</t>
        </is>
      </c>
      <c r="BO134" s="256" t="inlineStr">
        <is>
          <t>4,3 × 10³</t>
        </is>
      </c>
      <c r="BP134" s="256" t="inlineStr">
        <is>
          <t>305/0549/26</t>
        </is>
      </c>
      <c r="BQ134" s="256" t="inlineStr">
        <is>
          <t>28.04.2026</t>
        </is>
      </c>
      <c r="BR134" s="256" t="inlineStr">
        <is>
          <t>IPH — Institute of Public Health</t>
        </is>
      </c>
      <c r="BS134" s="256" t="inlineStr">
        <is>
          <t>&lt; 10³ and &gt; 10²</t>
        </is>
      </c>
      <c r="BT134" s="256" t="inlineStr">
        <is>
          <t>305/0549/26</t>
        </is>
      </c>
      <c r="BU134" s="256" t="inlineStr">
        <is>
          <t>28.04.2026</t>
        </is>
      </c>
      <c r="BV134" s="256" t="inlineStr">
        <is>
          <t>IPH — Institute of Public Health</t>
        </is>
      </c>
      <c r="BW134" s="256" t="inlineStr">
        <is>
          <t>Absent | Отсутна</t>
        </is>
      </c>
      <c r="BX134" s="256" t="inlineStr">
        <is>
          <t>305/0549/26</t>
        </is>
      </c>
      <c r="BY134" s="256" t="inlineStr">
        <is>
          <t>28.04.2026</t>
        </is>
      </c>
      <c r="BZ134" s="256" t="inlineStr">
        <is>
          <t>IPH — Institute of Public Health</t>
        </is>
      </c>
      <c r="CA134" s="256" t="inlineStr">
        <is>
          <t>Absent | Отсутна</t>
        </is>
      </c>
      <c r="CB134" s="256" t="inlineStr">
        <is>
          <t>305/0549/26</t>
        </is>
      </c>
      <c r="CC134" s="256" t="inlineStr">
        <is>
          <t>28.04.2026</t>
        </is>
      </c>
      <c r="CD134" s="256" t="inlineStr">
        <is>
          <t>IPH — Institute of Public Health</t>
        </is>
      </c>
      <c r="CE134" s="260" t="inlineStr">
        <is>
          <t>upon request — not required for release</t>
        </is>
      </c>
      <c r="CF134" s="256" t="inlineStr">
        <is>
          <t>—</t>
        </is>
      </c>
      <c r="CG134" s="256" t="inlineStr">
        <is>
          <t>—</t>
        </is>
      </c>
      <c r="CH134" s="256" t="inlineStr">
        <is>
          <t>—</t>
        </is>
      </c>
      <c r="CI134" s="260" t="inlineStr">
        <is>
          <t>upon request — not required for release</t>
        </is>
      </c>
      <c r="CJ134" s="256" t="inlineStr">
        <is>
          <t>—</t>
        </is>
      </c>
      <c r="CK134" s="256" t="inlineStr">
        <is>
          <t>—</t>
        </is>
      </c>
      <c r="CL134" s="256" t="inlineStr">
        <is>
          <t>—</t>
        </is>
      </c>
      <c r="CM134" s="256" t="inlineStr">
        <is>
          <t>ND</t>
        </is>
      </c>
      <c r="CN134" s="256" t="inlineStr">
        <is>
          <t>220-26-М/26</t>
        </is>
      </c>
      <c r="CO134" s="256" t="inlineStr">
        <is>
          <t>11.09.2026</t>
        </is>
      </c>
      <c r="CP134" s="256" t="inlineStr">
        <is>
          <t>Farmahem</t>
        </is>
      </c>
      <c r="CQ134" s="256" t="inlineStr">
        <is>
          <t>ND</t>
        </is>
      </c>
      <c r="CR134" s="256" t="inlineStr">
        <is>
          <t>220-26-М/26</t>
        </is>
      </c>
      <c r="CS134" s="256" t="inlineStr">
        <is>
          <t>11.09.2026</t>
        </is>
      </c>
      <c r="CT134" s="256" t="inlineStr">
        <is>
          <t>Farmahem</t>
        </is>
      </c>
      <c r="CU134" s="256" t="inlineStr">
        <is>
          <t>ND</t>
        </is>
      </c>
      <c r="CV134" s="256" t="inlineStr">
        <is>
          <t>220-26-М/26</t>
        </is>
      </c>
      <c r="CW134" s="256" t="inlineStr">
        <is>
          <t>11.09.2026</t>
        </is>
      </c>
      <c r="CX134" s="256" t="inlineStr">
        <is>
          <t>Farmahem</t>
        </is>
      </c>
      <c r="CY134" s="256" t="inlineStr">
        <is>
          <t>0.0299</t>
        </is>
      </c>
      <c r="CZ134" s="256" t="inlineStr">
        <is>
          <t>2360/2026</t>
        </is>
      </c>
      <c r="DA134" s="256" t="inlineStr">
        <is>
          <t>29.04.2026</t>
        </is>
      </c>
      <c r="DB134" s="256" t="inlineStr">
        <is>
          <t>IPH — Institute of Public Health</t>
        </is>
      </c>
      <c r="DC134" s="256" t="inlineStr">
        <is>
          <t>0.0136</t>
        </is>
      </c>
      <c r="DD134" s="256" t="inlineStr">
        <is>
          <t>2360/2026</t>
        </is>
      </c>
      <c r="DE134" s="256" t="inlineStr">
        <is>
          <t>29.04.2026</t>
        </is>
      </c>
      <c r="DF134" s="256" t="inlineStr">
        <is>
          <t>IPH — Institute of Public Health</t>
        </is>
      </c>
      <c r="DG134" s="256" t="inlineStr">
        <is>
          <t>0.0154</t>
        </is>
      </c>
      <c r="DH134" s="256" t="inlineStr">
        <is>
          <t>2360/2026</t>
        </is>
      </c>
      <c r="DI134" s="256" t="inlineStr">
        <is>
          <t>29.04.2026</t>
        </is>
      </c>
      <c r="DJ134" s="256" t="inlineStr">
        <is>
          <t>IPH — Institute of Public Health</t>
        </is>
      </c>
      <c r="DK134" s="256" t="inlineStr">
        <is>
          <t>0.017</t>
        </is>
      </c>
      <c r="DL134" s="256" t="inlineStr">
        <is>
          <t>2360/2026</t>
        </is>
      </c>
      <c r="DM134" s="256" t="inlineStr">
        <is>
          <t>29.04.2026</t>
        </is>
      </c>
      <c r="DN134" s="256" t="inlineStr">
        <is>
          <t>IPH — Institute of Public Health</t>
        </is>
      </c>
      <c r="DO134" s="256" t="inlineStr">
        <is>
          <t>ND</t>
        </is>
      </c>
      <c r="DP134" s="256" t="inlineStr">
        <is>
          <t>2360/2026</t>
        </is>
      </c>
      <c r="DQ134" s="256" t="inlineStr">
        <is>
          <t>29.04.2026</t>
        </is>
      </c>
      <c r="DR134" s="256" t="inlineStr">
        <is>
          <t>IPH — Institute of Public Health</t>
        </is>
      </c>
    </row>
    <row r="135">
      <c r="A135" s="256" t="inlineStr">
        <is>
          <t>CoQ-PP_26-134</t>
        </is>
      </c>
      <c r="B135" s="256" t="inlineStr">
        <is>
          <t>reissue — retest</t>
        </is>
      </c>
      <c r="C135" s="256" t="inlineStr">
        <is>
          <t>issuable</t>
        </is>
      </c>
      <c r="D135" s="256" t="inlineStr">
        <is>
          <t>18.09.2026</t>
        </is>
      </c>
      <c r="E135" s="256" t="inlineStr">
        <is>
          <t>CoQ-PP_26-044 of 06.06.2026</t>
        </is>
      </c>
      <c r="F135" s="256" t="inlineStr">
        <is>
          <t>(assigned on issue)</t>
        </is>
      </c>
      <c r="G135" s="256" t="inlineStr">
        <is>
          <t>SJ092501</t>
        </is>
      </c>
      <c r="H135" s="256" t="inlineStr">
        <is>
          <t>P060082</t>
        </is>
      </c>
      <c r="I135" s="256" t="inlineStr">
        <is>
          <t>Sleepy Joe</t>
        </is>
      </c>
      <c r="J135" s="256" t="inlineStr">
        <is>
          <t>11.12.2025 – 12.12.2025</t>
        </is>
      </c>
      <c r="K135" s="256" t="inlineStr">
        <is>
          <t>02.02.2026</t>
        </is>
      </c>
      <c r="L135" s="256" t="inlineStr">
        <is>
          <t>11.12.2025</t>
        </is>
      </c>
      <c r="M135" s="256" t="inlineStr">
        <is>
          <t>02.02.2026</t>
        </is>
      </c>
      <c r="N135" s="256" t="inlineStr">
        <is>
          <t>iCoA-PP_26-153</t>
        </is>
      </c>
      <c r="O135" s="256" t="inlineStr">
        <is>
          <t>17.08.2026</t>
        </is>
      </c>
      <c r="P135" s="256" t="inlineStr">
        <is>
          <t>14.08.2026</t>
        </is>
      </c>
      <c r="Q135" s="256" t="inlineStr">
        <is>
          <t>Tranche 2</t>
        </is>
      </c>
      <c r="R135" s="256" t="inlineStr">
        <is>
          <t>10.39</t>
        </is>
      </c>
      <c r="S135" s="256" t="inlineStr">
        <is>
          <t>220-27-К/26</t>
        </is>
      </c>
      <c r="T135" s="256" t="inlineStr">
        <is>
          <t>II</t>
        </is>
      </c>
      <c r="U135" s="256" t="inlineStr">
        <is>
          <t>9.00 – 10.99 %</t>
        </is>
      </c>
      <c r="V135" s="256" t="inlineStr">
        <is>
          <t>SJ_THC10 : CBD1</t>
        </is>
      </c>
      <c r="W135" s="256" t="inlineStr">
        <is>
          <t>QCSP_001_SJ-II_v.01</t>
        </is>
      </c>
      <c r="X135" s="256" t="inlineStr">
        <is>
          <t>for review — replaces the issued QCSP_001_SJ-II_v.01 (was SJ_THC10 : CBD1, 9.00 – 11.00 %); now SJ_THC10 : CBD1 9.00 – 10.99 %</t>
        </is>
      </c>
      <c r="Y135" s="256" t="inlineStr">
        <is>
          <t>HYBRID</t>
        </is>
      </c>
      <c r="Z135" s="256" t="inlineStr">
        <is>
          <t>THC</t>
        </is>
      </c>
      <c r="AA135" s="256" t="inlineStr">
        <is>
          <t>MACHINE TRIMMED</t>
        </is>
      </c>
      <c r="AB135" s="256" t="inlineStr">
        <is>
          <t>TO BE DETERMINED</t>
        </is>
      </c>
      <c r="AC135" s="256" t="inlineStr">
        <is>
          <t>Triplex Alu Bag | Триплекс Aлу Kеса, PET 12 · ALU 7 · PE 80, 300 × 500 mm, net. 400.0 g ±3%</t>
        </is>
      </c>
      <c r="AD135" s="256" t="inlineStr">
        <is>
          <t>11.09.2026</t>
        </is>
      </c>
      <c r="AE135" s="256" t="inlineStr">
        <is>
          <t>Conforms | Одговара</t>
        </is>
      </c>
      <c r="AF135" s="256" t="inlineStr">
        <is>
          <t>iCoA-PP_26-153</t>
        </is>
      </c>
      <c r="AG135" s="256" t="inlineStr">
        <is>
          <t>17.08.2026</t>
        </is>
      </c>
      <c r="AH135" s="256" t="inlineStr">
        <is>
          <t>Purely Plant GmbH (in-house)</t>
        </is>
      </c>
      <c r="AI135" s="256" t="inlineStr">
        <is>
          <t>Conforms | Одговара</t>
        </is>
      </c>
      <c r="AJ135" s="256" t="inlineStr">
        <is>
          <t>iCoA-PP_26-153</t>
        </is>
      </c>
      <c r="AK135" s="256" t="inlineStr">
        <is>
          <t>17.08.2026</t>
        </is>
      </c>
      <c r="AL135" s="256" t="inlineStr">
        <is>
          <t>Purely Plant GmbH (in-house)</t>
        </is>
      </c>
      <c r="AM135" s="256" t="inlineStr">
        <is>
          <t>Conforms | Одговара</t>
        </is>
      </c>
      <c r="AN135" s="256" t="inlineStr">
        <is>
          <t>220-27-К/26</t>
        </is>
      </c>
      <c r="AO135" s="256" t="inlineStr">
        <is>
          <t>26.08.2026</t>
        </is>
      </c>
      <c r="AP135" s="256" t="inlineStr">
        <is>
          <t>Farmahem</t>
        </is>
      </c>
      <c r="AQ135" s="256" t="inlineStr">
        <is>
          <t>10.39</t>
        </is>
      </c>
      <c r="AR135" s="256" t="inlineStr">
        <is>
          <t>220-27-К/26</t>
        </is>
      </c>
      <c r="AS135" s="256" t="inlineStr">
        <is>
          <t>26.08.2026</t>
        </is>
      </c>
      <c r="AT135" s="256" t="inlineStr">
        <is>
          <t>Farmahem</t>
        </is>
      </c>
      <c r="AU135" s="256" t="inlineStr">
        <is>
          <t>&lt; LOQ</t>
        </is>
      </c>
      <c r="AV135" s="256" t="inlineStr">
        <is>
          <t>220-27-К/26</t>
        </is>
      </c>
      <c r="AW135" s="256" t="inlineStr">
        <is>
          <t>26.08.2026</t>
        </is>
      </c>
      <c r="AX135" s="256" t="inlineStr">
        <is>
          <t>Farmahem</t>
        </is>
      </c>
      <c r="AY135" s="256" t="inlineStr">
        <is>
          <t>&lt; LOQ</t>
        </is>
      </c>
      <c r="AZ135" s="256" t="inlineStr">
        <is>
          <t>220-27-К/26</t>
        </is>
      </c>
      <c r="BA135" s="256" t="inlineStr">
        <is>
          <t>26.08.2026</t>
        </is>
      </c>
      <c r="BB135" s="256" t="inlineStr">
        <is>
          <t>Farmahem</t>
        </is>
      </c>
      <c r="BC135" s="256" t="inlineStr">
        <is>
          <t>Conforms | Одговара</t>
        </is>
      </c>
      <c r="BD135" s="256" t="inlineStr">
        <is>
          <t>iCoA-PP_26-153</t>
        </is>
      </c>
      <c r="BE135" s="256" t="inlineStr">
        <is>
          <t>17.08.2026</t>
        </is>
      </c>
      <c r="BF135" s="256" t="inlineStr">
        <is>
          <t>Purely Plant GmbH (in-house)</t>
        </is>
      </c>
      <c r="BG135" s="256" t="inlineStr">
        <is>
          <t>8.68</t>
        </is>
      </c>
      <c r="BH135" s="256" t="inlineStr">
        <is>
          <t>ППК26006</t>
        </is>
      </c>
      <c r="BI135" s="256" t="inlineStr">
        <is>
          <t>21.01.2026</t>
        </is>
      </c>
      <c r="BJ135" s="256" t="inlineStr">
        <is>
          <t>UKIM Faculty of Pharmacy — Center for Natural Products</t>
        </is>
      </c>
      <c r="BK135" s="256" t="inlineStr">
        <is>
          <t>&lt; 10</t>
        </is>
      </c>
      <c r="BL135" s="256" t="inlineStr">
        <is>
          <t>9/0012/26</t>
        </is>
      </c>
      <c r="BM135" s="256" t="inlineStr">
        <is>
          <t>20.01.2026</t>
        </is>
      </c>
      <c r="BN135" s="256" t="inlineStr">
        <is>
          <t>IPH — Institute of Public Health</t>
        </is>
      </c>
      <c r="BO135" s="256" t="inlineStr">
        <is>
          <t>&lt; 10</t>
        </is>
      </c>
      <c r="BP135" s="256" t="inlineStr">
        <is>
          <t>9/0012/26</t>
        </is>
      </c>
      <c r="BQ135" s="256" t="inlineStr">
        <is>
          <t>20.01.2026</t>
        </is>
      </c>
      <c r="BR135" s="256" t="inlineStr">
        <is>
          <t>IPH — Institute of Public Health</t>
        </is>
      </c>
      <c r="BS135" s="256" t="inlineStr">
        <is>
          <t>&lt; 10</t>
        </is>
      </c>
      <c r="BT135" s="256" t="inlineStr">
        <is>
          <t>9/0012/26</t>
        </is>
      </c>
      <c r="BU135" s="256" t="inlineStr">
        <is>
          <t>20.01.2026</t>
        </is>
      </c>
      <c r="BV135" s="256" t="inlineStr">
        <is>
          <t>IPH — Institute of Public Health</t>
        </is>
      </c>
      <c r="BW135" s="256" t="inlineStr">
        <is>
          <t>Absent | Отсутна</t>
        </is>
      </c>
      <c r="BX135" s="256" t="inlineStr">
        <is>
          <t>9/0012/26</t>
        </is>
      </c>
      <c r="BY135" s="256" t="inlineStr">
        <is>
          <t>20.01.2026</t>
        </is>
      </c>
      <c r="BZ135" s="256" t="inlineStr">
        <is>
          <t>IPH — Institute of Public Health</t>
        </is>
      </c>
      <c r="CA135" s="256" t="inlineStr">
        <is>
          <t>Absent | Отсутна</t>
        </is>
      </c>
      <c r="CB135" s="256" t="inlineStr">
        <is>
          <t>9/0012/26</t>
        </is>
      </c>
      <c r="CC135" s="256" t="inlineStr">
        <is>
          <t>20.01.2026</t>
        </is>
      </c>
      <c r="CD135" s="256" t="inlineStr">
        <is>
          <t>IPH — Institute of Public Health</t>
        </is>
      </c>
      <c r="CE135" s="260" t="inlineStr">
        <is>
          <t>upon request — not required for release</t>
        </is>
      </c>
      <c r="CF135" s="256" t="inlineStr">
        <is>
          <t>—</t>
        </is>
      </c>
      <c r="CG135" s="256" t="inlineStr">
        <is>
          <t>—</t>
        </is>
      </c>
      <c r="CH135" s="256" t="inlineStr">
        <is>
          <t>—</t>
        </is>
      </c>
      <c r="CI135" s="260" t="inlineStr">
        <is>
          <t>upon request — not required for release</t>
        </is>
      </c>
      <c r="CJ135" s="256" t="inlineStr">
        <is>
          <t>—</t>
        </is>
      </c>
      <c r="CK135" s="256" t="inlineStr">
        <is>
          <t>—</t>
        </is>
      </c>
      <c r="CL135" s="256" t="inlineStr">
        <is>
          <t>—</t>
        </is>
      </c>
      <c r="CM135" s="256" t="inlineStr">
        <is>
          <t>ND</t>
        </is>
      </c>
      <c r="CN135" s="256" t="inlineStr">
        <is>
          <t>220-27-М/26</t>
        </is>
      </c>
      <c r="CO135" s="256" t="inlineStr">
        <is>
          <t>11.09.2026</t>
        </is>
      </c>
      <c r="CP135" s="256" t="inlineStr">
        <is>
          <t>Farmahem</t>
        </is>
      </c>
      <c r="CQ135" s="256" t="inlineStr">
        <is>
          <t>ND</t>
        </is>
      </c>
      <c r="CR135" s="256" t="inlineStr">
        <is>
          <t>220-27-М/26</t>
        </is>
      </c>
      <c r="CS135" s="256" t="inlineStr">
        <is>
          <t>11.09.2026</t>
        </is>
      </c>
      <c r="CT135" s="256" t="inlineStr">
        <is>
          <t>Farmahem</t>
        </is>
      </c>
      <c r="CU135" s="256" t="inlineStr">
        <is>
          <t>ND</t>
        </is>
      </c>
      <c r="CV135" s="256" t="inlineStr">
        <is>
          <t>220-27-М/26</t>
        </is>
      </c>
      <c r="CW135" s="256" t="inlineStr">
        <is>
          <t>11.09.2026</t>
        </is>
      </c>
      <c r="CX135" s="256" t="inlineStr">
        <is>
          <t>Farmahem</t>
        </is>
      </c>
      <c r="CY135" s="256" t="inlineStr">
        <is>
          <t>0.08</t>
        </is>
      </c>
      <c r="CZ135" s="256" t="inlineStr">
        <is>
          <t>85/2026</t>
        </is>
      </c>
      <c r="DA135" s="256" t="inlineStr">
        <is>
          <t>02.02.2026</t>
        </is>
      </c>
      <c r="DB135" s="256" t="inlineStr">
        <is>
          <t>IPH — Institute of Public Health</t>
        </is>
      </c>
      <c r="DC135" s="256" t="inlineStr">
        <is>
          <t>ND</t>
        </is>
      </c>
      <c r="DD135" s="256" t="inlineStr">
        <is>
          <t>85/2026</t>
        </is>
      </c>
      <c r="DE135" s="256" t="inlineStr">
        <is>
          <t>02.02.2026</t>
        </is>
      </c>
      <c r="DF135" s="256" t="inlineStr">
        <is>
          <t>IPH — Institute of Public Health</t>
        </is>
      </c>
      <c r="DG135" s="256" t="inlineStr">
        <is>
          <t>ND</t>
        </is>
      </c>
      <c r="DH135" s="256" t="inlineStr">
        <is>
          <t>85/2026</t>
        </is>
      </c>
      <c r="DI135" s="256" t="inlineStr">
        <is>
          <t>02.02.2026</t>
        </is>
      </c>
      <c r="DJ135" s="256" t="inlineStr">
        <is>
          <t>IPH — Institute of Public Health</t>
        </is>
      </c>
      <c r="DK135" s="256" t="inlineStr">
        <is>
          <t>0.003</t>
        </is>
      </c>
      <c r="DL135" s="256" t="inlineStr">
        <is>
          <t>85/2026</t>
        </is>
      </c>
      <c r="DM135" s="256" t="inlineStr">
        <is>
          <t>02.02.2026</t>
        </is>
      </c>
      <c r="DN135" s="256" t="inlineStr">
        <is>
          <t>IPH — Institute of Public Health</t>
        </is>
      </c>
      <c r="DO135" s="256" t="inlineStr">
        <is>
          <t>ND</t>
        </is>
      </c>
      <c r="DP135" s="256" t="inlineStr">
        <is>
          <t>85/2026</t>
        </is>
      </c>
      <c r="DQ135" s="256" t="inlineStr">
        <is>
          <t>02.02.2026</t>
        </is>
      </c>
      <c r="DR135" s="256" t="inlineStr">
        <is>
          <t>IPH — Institute of Public Health</t>
        </is>
      </c>
    </row>
    <row r="136">
      <c r="A136" s="256" t="inlineStr">
        <is>
          <t>CoQ-PP_26-135</t>
        </is>
      </c>
      <c r="B136" s="256" t="inlineStr">
        <is>
          <t>reissue — retest</t>
        </is>
      </c>
      <c r="C136" s="256" t="inlineStr">
        <is>
          <t>issuable</t>
        </is>
      </c>
      <c r="D136" s="256" t="inlineStr">
        <is>
          <t>18.09.2026</t>
        </is>
      </c>
      <c r="E136" s="256" t="inlineStr">
        <is>
          <t>CoQ-PP_26-037 of 06.06.2026</t>
        </is>
      </c>
      <c r="F136" s="256" t="inlineStr">
        <is>
          <t>(assigned on issue)</t>
        </is>
      </c>
      <c r="G136" s="256" t="inlineStr">
        <is>
          <t>WC082501</t>
        </is>
      </c>
      <c r="H136" s="256" t="inlineStr">
        <is>
          <t>P060012</t>
        </is>
      </c>
      <c r="I136" s="256" t="inlineStr">
        <is>
          <t>Wedding Crusher</t>
        </is>
      </c>
      <c r="J136" s="256" t="inlineStr">
        <is>
          <t>09.12.2025</t>
        </is>
      </c>
      <c r="K136" s="256" t="inlineStr">
        <is>
          <t>13.01.2026 – 14.01.2026</t>
        </is>
      </c>
      <c r="L136" s="256" t="inlineStr">
        <is>
          <t>09.12.2025</t>
        </is>
      </c>
      <c r="M136" s="256" t="inlineStr">
        <is>
          <t>13.01.2026</t>
        </is>
      </c>
      <c r="N136" s="256" t="inlineStr">
        <is>
          <t>iCoA-PP_26-154</t>
        </is>
      </c>
      <c r="O136" s="256" t="inlineStr">
        <is>
          <t>17.08.2026</t>
        </is>
      </c>
      <c r="P136" s="256" t="inlineStr">
        <is>
          <t>14.08.2026</t>
        </is>
      </c>
      <c r="Q136" s="256" t="inlineStr">
        <is>
          <t>Tranche 2</t>
        </is>
      </c>
      <c r="R136" s="256" t="inlineStr">
        <is>
          <t>23.48</t>
        </is>
      </c>
      <c r="S136" s="256" t="inlineStr">
        <is>
          <t>220-28-К/26</t>
        </is>
      </c>
      <c r="T136" s="256" t="inlineStr">
        <is>
          <t>I</t>
        </is>
      </c>
      <c r="U136" s="256" t="inlineStr">
        <is>
          <t>23.40 – 28.59 %</t>
        </is>
      </c>
      <c r="V136" s="256" t="inlineStr">
        <is>
          <t>WC_THC26 : CBD1</t>
        </is>
      </c>
      <c r="W136" s="256" t="inlineStr">
        <is>
          <t>QCSP_001_WC-I_v.01</t>
        </is>
      </c>
      <c r="X136" s="256" t="inlineStr">
        <is>
          <t>for review — replaces the issued QCSP_001_WC-I_v.01 (was WC_THC22 : CBD1, 19.80 – 24.20 %); now WC_THC26 : CBD1 23.40 – 28.59 %</t>
        </is>
      </c>
      <c r="Y136" s="256" t="inlineStr">
        <is>
          <t>HYBRID</t>
        </is>
      </c>
      <c r="Z136" s="256" t="inlineStr">
        <is>
          <t>THC</t>
        </is>
      </c>
      <c r="AA136" s="256" t="inlineStr">
        <is>
          <t>MACHINE TRIMMED</t>
        </is>
      </c>
      <c r="AB136" s="256" t="inlineStr">
        <is>
          <t>TO BE DETERMINED</t>
        </is>
      </c>
      <c r="AC136" s="256" t="inlineStr">
        <is>
          <t>Triplex Alu Bag | Триплекс Aлу Kеса, PET 12 · ALU 7 · PE 80, 300 × 500 mm, net. 400.0 g ±3%</t>
        </is>
      </c>
      <c r="AD136" s="256" t="inlineStr">
        <is>
          <t>11.09.2026</t>
        </is>
      </c>
      <c r="AE136" s="256" t="inlineStr">
        <is>
          <t>Conforms | Одговара</t>
        </is>
      </c>
      <c r="AF136" s="256" t="inlineStr">
        <is>
          <t>iCoA-PP_26-154</t>
        </is>
      </c>
      <c r="AG136" s="256" t="inlineStr">
        <is>
          <t>17.08.2026</t>
        </is>
      </c>
      <c r="AH136" s="256" t="inlineStr">
        <is>
          <t>Purely Plant GmbH (in-house)</t>
        </is>
      </c>
      <c r="AI136" s="256" t="inlineStr">
        <is>
          <t>Conforms | Одговара</t>
        </is>
      </c>
      <c r="AJ136" s="256" t="inlineStr">
        <is>
          <t>iCoA-PP_26-154</t>
        </is>
      </c>
      <c r="AK136" s="256" t="inlineStr">
        <is>
          <t>17.08.2026</t>
        </is>
      </c>
      <c r="AL136" s="256" t="inlineStr">
        <is>
          <t>Purely Plant GmbH (in-house)</t>
        </is>
      </c>
      <c r="AM136" s="256" t="inlineStr">
        <is>
          <t>Conforms | Одговара</t>
        </is>
      </c>
      <c r="AN136" s="256" t="inlineStr">
        <is>
          <t>220-28-К/26</t>
        </is>
      </c>
      <c r="AO136" s="256" t="inlineStr">
        <is>
          <t>26.08.2026</t>
        </is>
      </c>
      <c r="AP136" s="256" t="inlineStr">
        <is>
          <t>Farmahem</t>
        </is>
      </c>
      <c r="AQ136" s="256" t="inlineStr">
        <is>
          <t>23.48</t>
        </is>
      </c>
      <c r="AR136" s="256" t="inlineStr">
        <is>
          <t>220-28-К/26</t>
        </is>
      </c>
      <c r="AS136" s="256" t="inlineStr">
        <is>
          <t>26.08.2026</t>
        </is>
      </c>
      <c r="AT136" s="256" t="inlineStr">
        <is>
          <t>Farmahem</t>
        </is>
      </c>
      <c r="AU136" s="256" t="inlineStr">
        <is>
          <t>&lt; LOQ</t>
        </is>
      </c>
      <c r="AV136" s="256" t="inlineStr">
        <is>
          <t>220-28-К/26</t>
        </is>
      </c>
      <c r="AW136" s="256" t="inlineStr">
        <is>
          <t>26.08.2026</t>
        </is>
      </c>
      <c r="AX136" s="256" t="inlineStr">
        <is>
          <t>Farmahem</t>
        </is>
      </c>
      <c r="AY136" s="256" t="inlineStr">
        <is>
          <t>&lt; LOQ</t>
        </is>
      </c>
      <c r="AZ136" s="256" t="inlineStr">
        <is>
          <t>220-28-К/26</t>
        </is>
      </c>
      <c r="BA136" s="256" t="inlineStr">
        <is>
          <t>26.08.2026</t>
        </is>
      </c>
      <c r="BB136" s="256" t="inlineStr">
        <is>
          <t>Farmahem</t>
        </is>
      </c>
      <c r="BC136" s="256" t="inlineStr">
        <is>
          <t>Conforms | Одговара</t>
        </is>
      </c>
      <c r="BD136" s="256" t="inlineStr">
        <is>
          <t>iCoA-PP_26-154</t>
        </is>
      </c>
      <c r="BE136" s="256" t="inlineStr">
        <is>
          <t>17.08.2026</t>
        </is>
      </c>
      <c r="BF136" s="256" t="inlineStr">
        <is>
          <t>Purely Plant GmbH (in-house)</t>
        </is>
      </c>
      <c r="BG136" s="256" t="inlineStr">
        <is>
          <t>7.50</t>
        </is>
      </c>
      <c r="BH136" s="256" t="inlineStr">
        <is>
          <t>ППК26001</t>
        </is>
      </c>
      <c r="BI136" s="256" t="inlineStr">
        <is>
          <t>21.01.2026</t>
        </is>
      </c>
      <c r="BJ136" s="256" t="inlineStr">
        <is>
          <t>UKIM Faculty of Pharmacy — Center for Natural Products</t>
        </is>
      </c>
      <c r="BK136" s="256" t="inlineStr">
        <is>
          <t>10</t>
        </is>
      </c>
      <c r="BL136" s="256" t="inlineStr">
        <is>
          <t>3/0006/26</t>
        </is>
      </c>
      <c r="BM136" s="256" t="inlineStr">
        <is>
          <t>20.01.2026</t>
        </is>
      </c>
      <c r="BN136" s="256" t="inlineStr">
        <is>
          <t>IPH — Institute of Public Health</t>
        </is>
      </c>
      <c r="BO136" s="256" t="inlineStr">
        <is>
          <t>30</t>
        </is>
      </c>
      <c r="BP136" s="256" t="inlineStr">
        <is>
          <t>3/0006/26</t>
        </is>
      </c>
      <c r="BQ136" s="256" t="inlineStr">
        <is>
          <t>20.01.2026</t>
        </is>
      </c>
      <c r="BR136" s="256" t="inlineStr">
        <is>
          <t>IPH — Institute of Public Health</t>
        </is>
      </c>
      <c r="BS136" s="256" t="inlineStr">
        <is>
          <t>&lt; 10</t>
        </is>
      </c>
      <c r="BT136" s="256" t="inlineStr">
        <is>
          <t>3/0006/26</t>
        </is>
      </c>
      <c r="BU136" s="256" t="inlineStr">
        <is>
          <t>20.01.2026</t>
        </is>
      </c>
      <c r="BV136" s="256" t="inlineStr">
        <is>
          <t>IPH — Institute of Public Health</t>
        </is>
      </c>
      <c r="BW136" s="256" t="inlineStr">
        <is>
          <t>Absent | Отсутна</t>
        </is>
      </c>
      <c r="BX136" s="256" t="inlineStr">
        <is>
          <t>3/0006/26</t>
        </is>
      </c>
      <c r="BY136" s="256" t="inlineStr">
        <is>
          <t>20.01.2026</t>
        </is>
      </c>
      <c r="BZ136" s="256" t="inlineStr">
        <is>
          <t>IPH — Institute of Public Health</t>
        </is>
      </c>
      <c r="CA136" s="256" t="inlineStr">
        <is>
          <t>Absent | Отсутна</t>
        </is>
      </c>
      <c r="CB136" s="256" t="inlineStr">
        <is>
          <t>3/0006/26</t>
        </is>
      </c>
      <c r="CC136" s="256" t="inlineStr">
        <is>
          <t>20.01.2026</t>
        </is>
      </c>
      <c r="CD136" s="256" t="inlineStr">
        <is>
          <t>IPH — Institute of Public Health</t>
        </is>
      </c>
      <c r="CE136" s="260" t="inlineStr">
        <is>
          <t>upon request — not required for release</t>
        </is>
      </c>
      <c r="CF136" s="256" t="inlineStr">
        <is>
          <t>—</t>
        </is>
      </c>
      <c r="CG136" s="256" t="inlineStr">
        <is>
          <t>—</t>
        </is>
      </c>
      <c r="CH136" s="256" t="inlineStr">
        <is>
          <t>—</t>
        </is>
      </c>
      <c r="CI136" s="260" t="inlineStr">
        <is>
          <t>upon request — not required for release</t>
        </is>
      </c>
      <c r="CJ136" s="256" t="inlineStr">
        <is>
          <t>—</t>
        </is>
      </c>
      <c r="CK136" s="256" t="inlineStr">
        <is>
          <t>—</t>
        </is>
      </c>
      <c r="CL136" s="256" t="inlineStr">
        <is>
          <t>—</t>
        </is>
      </c>
      <c r="CM136" s="256" t="inlineStr">
        <is>
          <t>ND</t>
        </is>
      </c>
      <c r="CN136" s="256" t="inlineStr">
        <is>
          <t>220-28-М/26</t>
        </is>
      </c>
      <c r="CO136" s="256" t="inlineStr">
        <is>
          <t>11.09.2026</t>
        </is>
      </c>
      <c r="CP136" s="256" t="inlineStr">
        <is>
          <t>Farmahem</t>
        </is>
      </c>
      <c r="CQ136" s="256" t="inlineStr">
        <is>
          <t>ND</t>
        </is>
      </c>
      <c r="CR136" s="256" t="inlineStr">
        <is>
          <t>220-28-М/26</t>
        </is>
      </c>
      <c r="CS136" s="256" t="inlineStr">
        <is>
          <t>11.09.2026</t>
        </is>
      </c>
      <c r="CT136" s="256" t="inlineStr">
        <is>
          <t>Farmahem</t>
        </is>
      </c>
      <c r="CU136" s="256" t="inlineStr">
        <is>
          <t>ND</t>
        </is>
      </c>
      <c r="CV136" s="256" t="inlineStr">
        <is>
          <t>220-28-М/26</t>
        </is>
      </c>
      <c r="CW136" s="256" t="inlineStr">
        <is>
          <t>11.09.2026</t>
        </is>
      </c>
      <c r="CX136" s="256" t="inlineStr">
        <is>
          <t>Farmahem</t>
        </is>
      </c>
      <c r="CY136" s="256" t="inlineStr">
        <is>
          <t>ND</t>
        </is>
      </c>
      <c r="CZ136" s="256" t="inlineStr">
        <is>
          <t>80/2026</t>
        </is>
      </c>
      <c r="DA136" s="256" t="inlineStr">
        <is>
          <t>02.02.2026</t>
        </is>
      </c>
      <c r="DB136" s="256" t="inlineStr">
        <is>
          <t>IPH — Institute of Public Health</t>
        </is>
      </c>
      <c r="DC136" s="256" t="inlineStr">
        <is>
          <t>ND</t>
        </is>
      </c>
      <c r="DD136" s="256" t="inlineStr">
        <is>
          <t>80/2026</t>
        </is>
      </c>
      <c r="DE136" s="256" t="inlineStr">
        <is>
          <t>02.02.2026</t>
        </is>
      </c>
      <c r="DF136" s="256" t="inlineStr">
        <is>
          <t>IPH — Institute of Public Health</t>
        </is>
      </c>
      <c r="DG136" s="256" t="inlineStr">
        <is>
          <t>ND</t>
        </is>
      </c>
      <c r="DH136" s="256" t="inlineStr">
        <is>
          <t>80/2026</t>
        </is>
      </c>
      <c r="DI136" s="256" t="inlineStr">
        <is>
          <t>02.02.2026</t>
        </is>
      </c>
      <c r="DJ136" s="256" t="inlineStr">
        <is>
          <t>IPH — Institute of Public Health</t>
        </is>
      </c>
      <c r="DK136" s="256" t="inlineStr">
        <is>
          <t>ND</t>
        </is>
      </c>
      <c r="DL136" s="256" t="inlineStr">
        <is>
          <t>80/2026</t>
        </is>
      </c>
      <c r="DM136" s="256" t="inlineStr">
        <is>
          <t>02.02.2026</t>
        </is>
      </c>
      <c r="DN136" s="256" t="inlineStr">
        <is>
          <t>IPH — Institute of Public Health</t>
        </is>
      </c>
      <c r="DO136" s="256" t="inlineStr">
        <is>
          <t>ND</t>
        </is>
      </c>
      <c r="DP136" s="256" t="inlineStr">
        <is>
          <t>80/2026</t>
        </is>
      </c>
      <c r="DQ136" s="256" t="inlineStr">
        <is>
          <t>02.02.2026</t>
        </is>
      </c>
      <c r="DR136" s="256" t="inlineStr">
        <is>
          <t>IPH — Institute of Public Health</t>
        </is>
      </c>
    </row>
    <row r="137">
      <c r="A137" s="256" t="inlineStr">
        <is>
          <t>CoQ-PP_26-136</t>
        </is>
      </c>
      <c r="B137" s="256" t="inlineStr">
        <is>
          <t>reissue — retest</t>
        </is>
      </c>
      <c r="C137" s="256" t="inlineStr">
        <is>
          <t>allocated — code reserved, date provisional</t>
        </is>
      </c>
      <c r="D137" s="256" t="inlineStr">
        <is>
          <t>21.09.2026</t>
        </is>
      </c>
      <c r="E137" s="256" t="inlineStr">
        <is>
          <t>CoQ-PP_26-041 of 06.06.2026</t>
        </is>
      </c>
      <c r="F137" s="256" t="inlineStr">
        <is>
          <t>(assigned on issue)</t>
        </is>
      </c>
      <c r="G137" s="256" t="inlineStr">
        <is>
          <t>AB092501</t>
        </is>
      </c>
      <c r="H137" s="256" t="inlineStr">
        <is>
          <t>P060052</t>
        </is>
      </c>
      <c r="I137" s="256" t="inlineStr">
        <is>
          <t>Apple and Banana</t>
        </is>
      </c>
      <c r="J137" s="256" t="inlineStr">
        <is>
          <t>11.12.2025</t>
        </is>
      </c>
      <c r="K137" s="256" t="inlineStr">
        <is>
          <t>30.01.2026</t>
        </is>
      </c>
      <c r="L137" s="256" t="inlineStr">
        <is>
          <t>—</t>
        </is>
      </c>
      <c r="M137" s="256" t="inlineStr">
        <is>
          <t>—</t>
        </is>
      </c>
      <c r="N137" s="256" t="inlineStr">
        <is>
          <t>iCoA-PP_26-175</t>
        </is>
      </c>
      <c r="O137" s="256" t="inlineStr">
        <is>
          <t>24.08.2026</t>
        </is>
      </c>
      <c r="P137" s="256" t="inlineStr">
        <is>
          <t>21.08.2026</t>
        </is>
      </c>
      <c r="Q137" s="256" t="inlineStr">
        <is>
          <t>Tranche 3</t>
        </is>
      </c>
      <c r="R137" s="256" t="inlineStr">
        <is>
          <t>22.97</t>
        </is>
      </c>
      <c r="S137" s="256" t="inlineStr">
        <is>
          <t>227-30-К/26</t>
        </is>
      </c>
      <c r="T137" s="256" t="inlineStr">
        <is>
          <t>I</t>
        </is>
      </c>
      <c r="U137" s="256" t="inlineStr">
        <is>
          <t>19.80 – 24.19 %</t>
        </is>
      </c>
      <c r="V137" s="256" t="inlineStr">
        <is>
          <t>AB_THC22 : CBD1</t>
        </is>
      </c>
      <c r="W137" s="256" t="inlineStr">
        <is>
          <t>QCSP_001_AB-I_v.01</t>
        </is>
      </c>
      <c r="X137" s="256" t="inlineStr">
        <is>
          <t>for review — replaces the issued QCSP_001_AB-I_v.01 (was AB_THC27.5:CBD1, 27.50% ± 2.50%); now AB_THC22 : CBD1 19.80 – 24.19 %</t>
        </is>
      </c>
      <c r="Y137" s="256" t="inlineStr">
        <is>
          <t>HYBRID</t>
        </is>
      </c>
      <c r="Z137" s="256" t="inlineStr">
        <is>
          <t>THC</t>
        </is>
      </c>
      <c r="AA137" s="256" t="inlineStr">
        <is>
          <t>MACHINE TRIMMED</t>
        </is>
      </c>
      <c r="AB137" s="256" t="inlineStr">
        <is>
          <t>TO BE DETERMINED</t>
        </is>
      </c>
      <c r="AC137" s="256" t="inlineStr">
        <is>
          <t>Triplex Alu Bag | Триплекс Aлу Kеса, PET 12 · ALU 7 · PE 80, 300 × 500 mm, net. 400.0 g ±3%</t>
        </is>
      </c>
      <c r="AD137" s="256" t="inlineStr">
        <is>
          <t>16.09.2026</t>
        </is>
      </c>
      <c r="AE137" s="256" t="inlineStr">
        <is>
          <t>Conforms | Одговара</t>
        </is>
      </c>
      <c r="AF137" s="256" t="inlineStr">
        <is>
          <t>iCoA-PP_26-175</t>
        </is>
      </c>
      <c r="AG137" s="256" t="inlineStr">
        <is>
          <t>24.08.2026</t>
        </is>
      </c>
      <c r="AH137" s="256" t="inlineStr">
        <is>
          <t>Purely Plant GmbH (in-house)</t>
        </is>
      </c>
      <c r="AI137" s="256" t="inlineStr">
        <is>
          <t>Conforms | Одговара</t>
        </is>
      </c>
      <c r="AJ137" s="256" t="inlineStr">
        <is>
          <t>iCoA-PP_26-175</t>
        </is>
      </c>
      <c r="AK137" s="256" t="inlineStr">
        <is>
          <t>24.08.2026</t>
        </is>
      </c>
      <c r="AL137" s="256" t="inlineStr">
        <is>
          <t>Purely Plant GmbH (in-house)</t>
        </is>
      </c>
      <c r="AM137" s="256" t="inlineStr">
        <is>
          <t>Conforms | Одговара</t>
        </is>
      </c>
      <c r="AN137" s="256" t="inlineStr">
        <is>
          <t>227-30-К/26</t>
        </is>
      </c>
      <c r="AO137" s="256" t="inlineStr">
        <is>
          <t>11.09.2026</t>
        </is>
      </c>
      <c r="AP137" s="256" t="inlineStr">
        <is>
          <t>Farmahem</t>
        </is>
      </c>
      <c r="AQ137" s="256" t="inlineStr">
        <is>
          <t>22.97</t>
        </is>
      </c>
      <c r="AR137" s="256" t="inlineStr">
        <is>
          <t>227-30-К/26</t>
        </is>
      </c>
      <c r="AS137" s="256" t="inlineStr">
        <is>
          <t>11.09.2026</t>
        </is>
      </c>
      <c r="AT137" s="256" t="inlineStr">
        <is>
          <t>Farmahem</t>
        </is>
      </c>
      <c r="AU137" s="256" t="inlineStr">
        <is>
          <t>&lt; LOQ</t>
        </is>
      </c>
      <c r="AV137" s="256" t="inlineStr">
        <is>
          <t>227-30-К/26</t>
        </is>
      </c>
      <c r="AW137" s="256" t="inlineStr">
        <is>
          <t>11.09.2026</t>
        </is>
      </c>
      <c r="AX137" s="256" t="inlineStr">
        <is>
          <t>Farmahem</t>
        </is>
      </c>
      <c r="AY137" s="256" t="inlineStr">
        <is>
          <t>&lt; LOQ</t>
        </is>
      </c>
      <c r="AZ137" s="256" t="inlineStr">
        <is>
          <t>227-30-К/26</t>
        </is>
      </c>
      <c r="BA137" s="256" t="inlineStr">
        <is>
          <t>11.09.2026</t>
        </is>
      </c>
      <c r="BB137" s="256" t="inlineStr">
        <is>
          <t>Farmahem</t>
        </is>
      </c>
      <c r="BC137" s="256" t="inlineStr">
        <is>
          <t>Conforms | Одговара</t>
        </is>
      </c>
      <c r="BD137" s="256" t="inlineStr">
        <is>
          <t>iCoA-PP_26-175</t>
        </is>
      </c>
      <c r="BE137" s="256" t="inlineStr">
        <is>
          <t>24.08.2026</t>
        </is>
      </c>
      <c r="BF137" s="256" t="inlineStr">
        <is>
          <t>Purely Plant GmbH (in-house)</t>
        </is>
      </c>
      <c r="BG137" s="256" t="inlineStr">
        <is>
          <t>6.77</t>
        </is>
      </c>
      <c r="BH137" s="256" t="inlineStr">
        <is>
          <t>ППК26005</t>
        </is>
      </c>
      <c r="BI137" s="256" t="inlineStr">
        <is>
          <t>21.01.2026</t>
        </is>
      </c>
      <c r="BJ137" s="256" t="inlineStr">
        <is>
          <t>UKIM Faculty of Pharmacy — Center for Natural Products</t>
        </is>
      </c>
      <c r="BK137" s="256" t="inlineStr">
        <is>
          <t>&lt; 10</t>
        </is>
      </c>
      <c r="BL137" s="256" t="inlineStr">
        <is>
          <t>552/1083/26</t>
        </is>
      </c>
      <c r="BM137" s="256" t="inlineStr">
        <is>
          <t>01.09.2026</t>
        </is>
      </c>
      <c r="BN137" s="256" t="inlineStr">
        <is>
          <t>IPH — Institute of Public Health</t>
        </is>
      </c>
      <c r="BO137" s="256" t="inlineStr">
        <is>
          <t>&lt; 10</t>
        </is>
      </c>
      <c r="BP137" s="256" t="inlineStr">
        <is>
          <t>552/1083/26</t>
        </is>
      </c>
      <c r="BQ137" s="256" t="inlineStr">
        <is>
          <t>01.09.2026</t>
        </is>
      </c>
      <c r="BR137" s="256" t="inlineStr">
        <is>
          <t>IPH — Institute of Public Health</t>
        </is>
      </c>
      <c r="BS137" s="256" t="inlineStr">
        <is>
          <t>&lt; 10</t>
        </is>
      </c>
      <c r="BT137" s="256" t="inlineStr">
        <is>
          <t>552/1083/26</t>
        </is>
      </c>
      <c r="BU137" s="256" t="inlineStr">
        <is>
          <t>01.09.2026</t>
        </is>
      </c>
      <c r="BV137" s="256" t="inlineStr">
        <is>
          <t>IPH — Institute of Public Health</t>
        </is>
      </c>
      <c r="BW137" s="256" t="inlineStr">
        <is>
          <t>Absent | Отсутна</t>
        </is>
      </c>
      <c r="BX137" s="256" t="inlineStr">
        <is>
          <t>552/1083/26</t>
        </is>
      </c>
      <c r="BY137" s="256" t="inlineStr">
        <is>
          <t>01.09.2026</t>
        </is>
      </c>
      <c r="BZ137" s="256" t="inlineStr">
        <is>
          <t>IPH — Institute of Public Health</t>
        </is>
      </c>
      <c r="CA137" s="256" t="inlineStr">
        <is>
          <t>Absent | Отсутна</t>
        </is>
      </c>
      <c r="CB137" s="256" t="inlineStr">
        <is>
          <t>552/1083/26</t>
        </is>
      </c>
      <c r="CC137" s="256" t="inlineStr">
        <is>
          <t>01.09.2026</t>
        </is>
      </c>
      <c r="CD137" s="256" t="inlineStr">
        <is>
          <t>IPH — Institute of Public Health</t>
        </is>
      </c>
      <c r="CE137" s="260" t="inlineStr">
        <is>
          <t>upon request — not required for release</t>
        </is>
      </c>
      <c r="CF137" s="256" t="inlineStr">
        <is>
          <t>—</t>
        </is>
      </c>
      <c r="CG137" s="256" t="inlineStr">
        <is>
          <t>—</t>
        </is>
      </c>
      <c r="CH137" s="256" t="inlineStr">
        <is>
          <t>—</t>
        </is>
      </c>
      <c r="CI137" s="260" t="inlineStr">
        <is>
          <t>upon request — not required for release</t>
        </is>
      </c>
      <c r="CJ137" s="256" t="inlineStr">
        <is>
          <t>—</t>
        </is>
      </c>
      <c r="CK137" s="256" t="inlineStr">
        <is>
          <t>—</t>
        </is>
      </c>
      <c r="CL137" s="256" t="inlineStr">
        <is>
          <t>—</t>
        </is>
      </c>
      <c r="CM137" s="256" t="inlineStr">
        <is>
          <t>ND</t>
        </is>
      </c>
      <c r="CN137" s="256" t="inlineStr">
        <is>
          <t>227-30-М/26</t>
        </is>
      </c>
      <c r="CO137" s="256" t="inlineStr">
        <is>
          <t>16.09.2026</t>
        </is>
      </c>
      <c r="CP137" s="256" t="inlineStr">
        <is>
          <t>Farmahem</t>
        </is>
      </c>
      <c r="CQ137" s="256" t="inlineStr">
        <is>
          <t>ND</t>
        </is>
      </c>
      <c r="CR137" s="256" t="inlineStr">
        <is>
          <t>227-30-М/26</t>
        </is>
      </c>
      <c r="CS137" s="256" t="inlineStr">
        <is>
          <t>16.09.2026</t>
        </is>
      </c>
      <c r="CT137" s="256" t="inlineStr">
        <is>
          <t>Farmahem</t>
        </is>
      </c>
      <c r="CU137" s="256" t="inlineStr">
        <is>
          <t>ND</t>
        </is>
      </c>
      <c r="CV137" s="256" t="inlineStr">
        <is>
          <t>227-30-М/26</t>
        </is>
      </c>
      <c r="CW137" s="256" t="inlineStr">
        <is>
          <t>16.09.2026</t>
        </is>
      </c>
      <c r="CX137" s="256" t="inlineStr">
        <is>
          <t>Farmahem</t>
        </is>
      </c>
      <c r="CY137" s="256" t="inlineStr">
        <is>
          <t>0.05</t>
        </is>
      </c>
      <c r="CZ137" s="256" t="inlineStr">
        <is>
          <t>84/2026</t>
        </is>
      </c>
      <c r="DA137" s="256" t="inlineStr">
        <is>
          <t>02.02.2026</t>
        </is>
      </c>
      <c r="DB137" s="256" t="inlineStr">
        <is>
          <t>IPH — Institute of Public Health</t>
        </is>
      </c>
      <c r="DC137" s="256" t="inlineStr">
        <is>
          <t>ND</t>
        </is>
      </c>
      <c r="DD137" s="256" t="inlineStr">
        <is>
          <t>84/2026</t>
        </is>
      </c>
      <c r="DE137" s="256" t="inlineStr">
        <is>
          <t>02.02.2026</t>
        </is>
      </c>
      <c r="DF137" s="256" t="inlineStr">
        <is>
          <t>IPH — Institute of Public Health</t>
        </is>
      </c>
      <c r="DG137" s="256" t="inlineStr">
        <is>
          <t>ND</t>
        </is>
      </c>
      <c r="DH137" s="256" t="inlineStr">
        <is>
          <t>84/2026</t>
        </is>
      </c>
      <c r="DI137" s="256" t="inlineStr">
        <is>
          <t>02.02.2026</t>
        </is>
      </c>
      <c r="DJ137" s="256" t="inlineStr">
        <is>
          <t>IPH — Institute of Public Health</t>
        </is>
      </c>
      <c r="DK137" s="256" t="inlineStr">
        <is>
          <t>0.003</t>
        </is>
      </c>
      <c r="DL137" s="256" t="inlineStr">
        <is>
          <t>84/2026</t>
        </is>
      </c>
      <c r="DM137" s="256" t="inlineStr">
        <is>
          <t>02.02.2026</t>
        </is>
      </c>
      <c r="DN137" s="256" t="inlineStr">
        <is>
          <t>IPH — Institute of Public Health</t>
        </is>
      </c>
      <c r="DO137" s="256" t="inlineStr">
        <is>
          <t>ND</t>
        </is>
      </c>
      <c r="DP137" s="256" t="inlineStr">
        <is>
          <t>84/2026</t>
        </is>
      </c>
      <c r="DQ137" s="256" t="inlineStr">
        <is>
          <t>02.02.2026</t>
        </is>
      </c>
      <c r="DR137" s="256" t="inlineStr">
        <is>
          <t>IPH — Institute of Public Health</t>
        </is>
      </c>
    </row>
    <row r="138">
      <c r="A138" s="256" t="inlineStr">
        <is>
          <t>CoQ-PP_26-137</t>
        </is>
      </c>
      <c r="B138" s="256" t="inlineStr">
        <is>
          <t>reissue — retest</t>
        </is>
      </c>
      <c r="C138" s="256" t="inlineStr">
        <is>
          <t>allocated — code reserved, date provisional</t>
        </is>
      </c>
      <c r="D138" s="256" t="inlineStr">
        <is>
          <t>21.09.2026</t>
        </is>
      </c>
      <c r="E138" s="256" t="inlineStr">
        <is>
          <t>CoQ-PP_26-018 of 06.06.2026</t>
        </is>
      </c>
      <c r="F138" s="256" t="inlineStr">
        <is>
          <t>(assigned on issue)</t>
        </is>
      </c>
      <c r="G138" s="256" t="inlineStr">
        <is>
          <t>BSS1024_01</t>
        </is>
      </c>
      <c r="H138" s="256" t="inlineStr">
        <is>
          <t>P050122</t>
        </is>
      </c>
      <c r="I138" s="256" t="inlineStr">
        <is>
          <t>Blue Sunset Sherbet</t>
        </is>
      </c>
      <c r="J138" s="256" t="inlineStr">
        <is>
          <t>04.06.2025 – 05.06.2025</t>
        </is>
      </c>
      <c r="K138" s="256" t="inlineStr">
        <is>
          <t>01.09.2025 – 09.09.2025</t>
        </is>
      </c>
      <c r="L138" s="256" t="inlineStr">
        <is>
          <t>—</t>
        </is>
      </c>
      <c r="M138" s="256" t="inlineStr">
        <is>
          <t>—</t>
        </is>
      </c>
      <c r="N138" s="256" t="inlineStr">
        <is>
          <t>iCoA-PP_26-176</t>
        </is>
      </c>
      <c r="O138" s="256" t="inlineStr">
        <is>
          <t>24.08.2026</t>
        </is>
      </c>
      <c r="P138" s="256" t="inlineStr">
        <is>
          <t>21.08.2026</t>
        </is>
      </c>
      <c r="Q138" s="256" t="inlineStr">
        <is>
          <t>Tranche 3</t>
        </is>
      </c>
      <c r="R138" s="256" t="inlineStr">
        <is>
          <t>26.10</t>
        </is>
      </c>
      <c r="S138" s="256" t="inlineStr">
        <is>
          <t>227-29-К/26</t>
        </is>
      </c>
      <c r="T138" s="256" t="inlineStr">
        <is>
          <t>I</t>
        </is>
      </c>
      <c r="U138" s="256" t="inlineStr">
        <is>
          <t>26.07 – 29.92 %</t>
        </is>
      </c>
      <c r="V138" s="256" t="inlineStr">
        <is>
          <t>BSS_THC28 : CBD1</t>
        </is>
      </c>
      <c r="W138" s="256" t="inlineStr">
        <is>
          <t>QCSP_001_BSS-I_v.01</t>
        </is>
      </c>
      <c r="X138" s="256" t="inlineStr">
        <is>
          <t>for review — replaces the issued QCSP_001_BSS-I_v.01 (was BSS_THC24 : CBD1, 22.01 – 25.99 %); now BSS_THC28 : CBD1 26.07 – 29.92 %</t>
        </is>
      </c>
      <c r="Y138" s="256" t="inlineStr">
        <is>
          <t>INDICA</t>
        </is>
      </c>
      <c r="Z138" s="256" t="inlineStr">
        <is>
          <t>THC</t>
        </is>
      </c>
      <c r="AA138" s="256" t="inlineStr">
        <is>
          <t>MACHINE TRIMMED</t>
        </is>
      </c>
      <c r="AB138" s="256" t="inlineStr">
        <is>
          <t>—</t>
        </is>
      </c>
      <c r="AC138" s="256" t="inlineStr">
        <is>
          <t>Triplex Alu Bag | Триплекс Aлу Kеса, PET 12 · ALU 7 · PE 80, 300 × 500 mm, net. 400.0 g ±3%</t>
        </is>
      </c>
      <c r="AD138" s="256" t="inlineStr">
        <is>
          <t>16.09.2026</t>
        </is>
      </c>
      <c r="AE138" s="256" t="inlineStr">
        <is>
          <t>Conforms | Одговара</t>
        </is>
      </c>
      <c r="AF138" s="256" t="inlineStr">
        <is>
          <t>iCoA-PP_26-176</t>
        </is>
      </c>
      <c r="AG138" s="256" t="inlineStr">
        <is>
          <t>24.08.2026</t>
        </is>
      </c>
      <c r="AH138" s="256" t="inlineStr">
        <is>
          <t>Purely Plant GmbH (in-house)</t>
        </is>
      </c>
      <c r="AI138" s="256" t="inlineStr">
        <is>
          <t>Conforms | Одговара</t>
        </is>
      </c>
      <c r="AJ138" s="256" t="inlineStr">
        <is>
          <t>iCoA-PP_26-176</t>
        </is>
      </c>
      <c r="AK138" s="256" t="inlineStr">
        <is>
          <t>24.08.2026</t>
        </is>
      </c>
      <c r="AL138" s="256" t="inlineStr">
        <is>
          <t>Purely Plant GmbH (in-house)</t>
        </is>
      </c>
      <c r="AM138" s="256" t="inlineStr">
        <is>
          <t>Conforms | Одговара</t>
        </is>
      </c>
      <c r="AN138" s="256" t="inlineStr">
        <is>
          <t>227-29-К/26</t>
        </is>
      </c>
      <c r="AO138" s="256" t="inlineStr">
        <is>
          <t>11.09.2026</t>
        </is>
      </c>
      <c r="AP138" s="256" t="inlineStr">
        <is>
          <t>Farmahem</t>
        </is>
      </c>
      <c r="AQ138" s="256" t="inlineStr">
        <is>
          <t>26.10</t>
        </is>
      </c>
      <c r="AR138" s="256" t="inlineStr">
        <is>
          <t>227-29-К/26</t>
        </is>
      </c>
      <c r="AS138" s="256" t="inlineStr">
        <is>
          <t>11.09.2026</t>
        </is>
      </c>
      <c r="AT138" s="256" t="inlineStr">
        <is>
          <t>Farmahem</t>
        </is>
      </c>
      <c r="AU138" s="256" t="inlineStr">
        <is>
          <t>&lt; LOQ</t>
        </is>
      </c>
      <c r="AV138" s="256" t="inlineStr">
        <is>
          <t>227-29-К/26</t>
        </is>
      </c>
      <c r="AW138" s="256" t="inlineStr">
        <is>
          <t>11.09.2026</t>
        </is>
      </c>
      <c r="AX138" s="256" t="inlineStr">
        <is>
          <t>Farmahem</t>
        </is>
      </c>
      <c r="AY138" s="256" t="inlineStr">
        <is>
          <t>0.20</t>
        </is>
      </c>
      <c r="AZ138" s="256" t="inlineStr">
        <is>
          <t>227-29-К/26</t>
        </is>
      </c>
      <c r="BA138" s="256" t="inlineStr">
        <is>
          <t>11.09.2026</t>
        </is>
      </c>
      <c r="BB138" s="256" t="inlineStr">
        <is>
          <t>Farmahem</t>
        </is>
      </c>
      <c r="BC138" s="256" t="inlineStr">
        <is>
          <t>Conforms | Одговара</t>
        </is>
      </c>
      <c r="BD138" s="256" t="inlineStr">
        <is>
          <t>iCoA-PP_26-176</t>
        </is>
      </c>
      <c r="BE138" s="256" t="inlineStr">
        <is>
          <t>24.08.2026</t>
        </is>
      </c>
      <c r="BF138" s="256" t="inlineStr">
        <is>
          <t>Purely Plant GmbH (in-house)</t>
        </is>
      </c>
      <c r="BG138" s="256" t="inlineStr">
        <is>
          <t>6.38</t>
        </is>
      </c>
      <c r="BH138" s="256" t="inlineStr">
        <is>
          <t>ППК25176</t>
        </is>
      </c>
      <c r="BI138" s="256" t="inlineStr">
        <is>
          <t>10.07.2025</t>
        </is>
      </c>
      <c r="BJ138" s="256" t="inlineStr">
        <is>
          <t>UKIM Faculty of Pharmacy — Center for Natural Products</t>
        </is>
      </c>
      <c r="BK138" s="256" t="inlineStr">
        <is>
          <t>10</t>
        </is>
      </c>
      <c r="BL138" s="256" t="inlineStr">
        <is>
          <t>561/1092/26</t>
        </is>
      </c>
      <c r="BM138" s="256" t="inlineStr">
        <is>
          <t>01.09.2026</t>
        </is>
      </c>
      <c r="BN138" s="256" t="inlineStr">
        <is>
          <t>IPH — Institute of Public Health</t>
        </is>
      </c>
      <c r="BO138" s="256" t="inlineStr">
        <is>
          <t>20</t>
        </is>
      </c>
      <c r="BP138" s="256" t="inlineStr">
        <is>
          <t>561/1092/26</t>
        </is>
      </c>
      <c r="BQ138" s="256" t="inlineStr">
        <is>
          <t>01.09.2026</t>
        </is>
      </c>
      <c r="BR138" s="256" t="inlineStr">
        <is>
          <t>IPH — Institute of Public Health</t>
        </is>
      </c>
      <c r="BS138" s="256" t="inlineStr">
        <is>
          <t>&lt; 10</t>
        </is>
      </c>
      <c r="BT138" s="256" t="inlineStr">
        <is>
          <t>561/1092/26</t>
        </is>
      </c>
      <c r="BU138" s="256" t="inlineStr">
        <is>
          <t>01.09.2026</t>
        </is>
      </c>
      <c r="BV138" s="256" t="inlineStr">
        <is>
          <t>IPH — Institute of Public Health</t>
        </is>
      </c>
      <c r="BW138" s="256" t="inlineStr">
        <is>
          <t>Absent | Отсутна</t>
        </is>
      </c>
      <c r="BX138" s="256" t="inlineStr">
        <is>
          <t>561/1092/26</t>
        </is>
      </c>
      <c r="BY138" s="256" t="inlineStr">
        <is>
          <t>01.09.2026</t>
        </is>
      </c>
      <c r="BZ138" s="256" t="inlineStr">
        <is>
          <t>IPH — Institute of Public Health</t>
        </is>
      </c>
      <c r="CA138" s="256" t="inlineStr">
        <is>
          <t>Absent | Отсутна</t>
        </is>
      </c>
      <c r="CB138" s="256" t="inlineStr">
        <is>
          <t>561/1092/26</t>
        </is>
      </c>
      <c r="CC138" s="256" t="inlineStr">
        <is>
          <t>01.09.2026</t>
        </is>
      </c>
      <c r="CD138" s="256" t="inlineStr">
        <is>
          <t>IPH — Institute of Public Health</t>
        </is>
      </c>
      <c r="CE138" s="260" t="inlineStr">
        <is>
          <t>upon request — not required for release</t>
        </is>
      </c>
      <c r="CF138" s="256" t="inlineStr">
        <is>
          <t>—</t>
        </is>
      </c>
      <c r="CG138" s="256" t="inlineStr">
        <is>
          <t>—</t>
        </is>
      </c>
      <c r="CH138" s="256" t="inlineStr">
        <is>
          <t>—</t>
        </is>
      </c>
      <c r="CI138" s="260" t="inlineStr">
        <is>
          <t>upon request — not required for release</t>
        </is>
      </c>
      <c r="CJ138" s="256" t="inlineStr">
        <is>
          <t>—</t>
        </is>
      </c>
      <c r="CK138" s="256" t="inlineStr">
        <is>
          <t>—</t>
        </is>
      </c>
      <c r="CL138" s="256" t="inlineStr">
        <is>
          <t>—</t>
        </is>
      </c>
      <c r="CM138" s="256" t="inlineStr">
        <is>
          <t>ND</t>
        </is>
      </c>
      <c r="CN138" s="256" t="inlineStr">
        <is>
          <t>227-29-М/26</t>
        </is>
      </c>
      <c r="CO138" s="256" t="inlineStr">
        <is>
          <t>16.09.2026</t>
        </is>
      </c>
      <c r="CP138" s="256" t="inlineStr">
        <is>
          <t>Farmahem</t>
        </is>
      </c>
      <c r="CQ138" s="256" t="inlineStr">
        <is>
          <t>ND</t>
        </is>
      </c>
      <c r="CR138" s="256" t="inlineStr">
        <is>
          <t>227-29-М/26</t>
        </is>
      </c>
      <c r="CS138" s="256" t="inlineStr">
        <is>
          <t>16.09.2026</t>
        </is>
      </c>
      <c r="CT138" s="256" t="inlineStr">
        <is>
          <t>Farmahem</t>
        </is>
      </c>
      <c r="CU138" s="256" t="inlineStr">
        <is>
          <t>ND</t>
        </is>
      </c>
      <c r="CV138" s="256" t="inlineStr">
        <is>
          <t>227-29-М/26</t>
        </is>
      </c>
      <c r="CW138" s="256" t="inlineStr">
        <is>
          <t>16.09.2026</t>
        </is>
      </c>
      <c r="CX138" s="256" t="inlineStr">
        <is>
          <t>Farmahem</t>
        </is>
      </c>
      <c r="CY138" s="256" t="inlineStr">
        <is>
          <t>ND</t>
        </is>
      </c>
      <c r="CZ138" s="256" t="inlineStr">
        <is>
          <t>3177/2025</t>
        </is>
      </c>
      <c r="DA138" s="256" t="inlineStr">
        <is>
          <t>26.06.2025</t>
        </is>
      </c>
      <c r="DB138" s="256" t="inlineStr">
        <is>
          <t>IPH — Institute of Public Health</t>
        </is>
      </c>
      <c r="DC138" s="256" t="inlineStr">
        <is>
          <t>ND</t>
        </is>
      </c>
      <c r="DD138" s="256" t="inlineStr">
        <is>
          <t>3177/2025</t>
        </is>
      </c>
      <c r="DE138" s="256" t="inlineStr">
        <is>
          <t>26.06.2025</t>
        </is>
      </c>
      <c r="DF138" s="256" t="inlineStr">
        <is>
          <t>IPH — Institute of Public Health</t>
        </is>
      </c>
      <c r="DG138" s="256" t="inlineStr">
        <is>
          <t>0.112</t>
        </is>
      </c>
      <c r="DH138" s="256" t="inlineStr">
        <is>
          <t>3177/2025</t>
        </is>
      </c>
      <c r="DI138" s="256" t="inlineStr">
        <is>
          <t>26.06.2025</t>
        </is>
      </c>
      <c r="DJ138" s="256" t="inlineStr">
        <is>
          <t>IPH — Institute of Public Health</t>
        </is>
      </c>
      <c r="DK138" s="256" t="inlineStr">
        <is>
          <t>ND</t>
        </is>
      </c>
      <c r="DL138" s="256" t="inlineStr">
        <is>
          <t>3177/2025</t>
        </is>
      </c>
      <c r="DM138" s="256" t="inlineStr">
        <is>
          <t>26.06.2025</t>
        </is>
      </c>
      <c r="DN138" s="256" t="inlineStr">
        <is>
          <t>IPH — Institute of Public Health</t>
        </is>
      </c>
      <c r="DO138" s="256" t="inlineStr">
        <is>
          <t>ND</t>
        </is>
      </c>
      <c r="DP138" s="256" t="inlineStr">
        <is>
          <t>3177/2025</t>
        </is>
      </c>
      <c r="DQ138" s="256" t="inlineStr">
        <is>
          <t>26.06.2025</t>
        </is>
      </c>
      <c r="DR138" s="256" t="inlineStr">
        <is>
          <t>IPH — Institute of Public Health</t>
        </is>
      </c>
    </row>
    <row r="139">
      <c r="A139" s="256" t="inlineStr">
        <is>
          <t>CoQ-PP_26-138</t>
        </is>
      </c>
      <c r="B139" s="256" t="inlineStr">
        <is>
          <t>reissue — retest</t>
        </is>
      </c>
      <c r="C139" s="256" t="inlineStr">
        <is>
          <t>allocated — code reserved, date provisional</t>
        </is>
      </c>
      <c r="D139" s="256" t="inlineStr">
        <is>
          <t>21.09.2026</t>
        </is>
      </c>
      <c r="E139" s="256" t="inlineStr">
        <is>
          <t>CoQ-PP_26-021 of 06.06.2026</t>
        </is>
      </c>
      <c r="F139" s="256" t="inlineStr">
        <is>
          <t>(assigned on issue)</t>
        </is>
      </c>
      <c r="G139" s="256" t="inlineStr">
        <is>
          <t>BSS1024_01/2</t>
        </is>
      </c>
      <c r="H139" s="256" t="inlineStr">
        <is>
          <t>P050142</t>
        </is>
      </c>
      <c r="I139" s="256" t="inlineStr">
        <is>
          <t>Blue Sunset Sherbet</t>
        </is>
      </c>
      <c r="J139" s="256" t="inlineStr">
        <is>
          <t>0</t>
        </is>
      </c>
      <c r="K139" s="256" t="inlineStr">
        <is>
          <t>30.09.2025</t>
        </is>
      </c>
      <c r="L139" s="256" t="inlineStr">
        <is>
          <t>—</t>
        </is>
      </c>
      <c r="M139" s="256" t="inlineStr">
        <is>
          <t>30.09.2025</t>
        </is>
      </c>
      <c r="N139" s="256" t="inlineStr">
        <is>
          <t>iCoA-PP_26-155</t>
        </is>
      </c>
      <c r="O139" s="256" t="inlineStr">
        <is>
          <t>24.08.2026</t>
        </is>
      </c>
      <c r="P139" s="256" t="inlineStr">
        <is>
          <t>19.08.2026</t>
        </is>
      </c>
      <c r="Q139" s="256" t="inlineStr">
        <is>
          <t>Tranche 3</t>
        </is>
      </c>
      <c r="R139" s="256" t="inlineStr">
        <is>
          <t>26.69</t>
        </is>
      </c>
      <c r="S139" s="256" t="inlineStr">
        <is>
          <t>227-1-К/26</t>
        </is>
      </c>
      <c r="T139" s="256" t="inlineStr">
        <is>
          <t>I</t>
        </is>
      </c>
      <c r="U139" s="256" t="inlineStr">
        <is>
          <t>26.07 – 29.92 %</t>
        </is>
      </c>
      <c r="V139" s="256" t="inlineStr">
        <is>
          <t>BSS_THC28 : CBD1</t>
        </is>
      </c>
      <c r="W139" s="256" t="inlineStr">
        <is>
          <t>QCSP_001_BSS-I_v.01</t>
        </is>
      </c>
      <c r="X139" s="256" t="inlineStr">
        <is>
          <t>for review — replaces the issued QCSP_001_BSS-I_v.01 (was BSS_THC24 : CBD1, 22.01 – 25.99 %); now BSS_THC28 : CBD1 26.07 – 29.92 %</t>
        </is>
      </c>
      <c r="Y139" s="256" t="inlineStr">
        <is>
          <t>INDICA</t>
        </is>
      </c>
      <c r="Z139" s="256" t="inlineStr">
        <is>
          <t>THC</t>
        </is>
      </c>
      <c r="AA139" s="256" t="inlineStr">
        <is>
          <t>MACHINE TRIMMED</t>
        </is>
      </c>
      <c r="AB139" s="256" t="inlineStr">
        <is>
          <t>—</t>
        </is>
      </c>
      <c r="AC139" s="256" t="inlineStr">
        <is>
          <t>Triplex Alu Bag | Триплекс Aлу Kеса, PET 12 · ALU 7 · PE 80, 300 × 500 mm, net. 400.0 g ±3%</t>
        </is>
      </c>
      <c r="AD139" s="256" t="inlineStr">
        <is>
          <t>11.09.2026</t>
        </is>
      </c>
      <c r="AE139" s="256" t="inlineStr">
        <is>
          <t>Conforms | Одговара</t>
        </is>
      </c>
      <c r="AF139" s="256" t="inlineStr">
        <is>
          <t>iCoA-PP_26-155</t>
        </is>
      </c>
      <c r="AG139" s="256" t="inlineStr">
        <is>
          <t>24.08.2026</t>
        </is>
      </c>
      <c r="AH139" s="256" t="inlineStr">
        <is>
          <t>Purely Plant GmbH (in-house)</t>
        </is>
      </c>
      <c r="AI139" s="256" t="inlineStr">
        <is>
          <t>Conforms | Одговара</t>
        </is>
      </c>
      <c r="AJ139" s="256" t="inlineStr">
        <is>
          <t>iCoA-PP_26-155</t>
        </is>
      </c>
      <c r="AK139" s="256" t="inlineStr">
        <is>
          <t>24.08.2026</t>
        </is>
      </c>
      <c r="AL139" s="256" t="inlineStr">
        <is>
          <t>Purely Plant GmbH (in-house)</t>
        </is>
      </c>
      <c r="AM139" s="256" t="inlineStr">
        <is>
          <t>Conforms | Одговара</t>
        </is>
      </c>
      <c r="AN139" s="256" t="inlineStr">
        <is>
          <t>227-1-К/26</t>
        </is>
      </c>
      <c r="AO139" s="256" t="inlineStr">
        <is>
          <t>11.09.2026</t>
        </is>
      </c>
      <c r="AP139" s="256" t="inlineStr">
        <is>
          <t>Farmahem</t>
        </is>
      </c>
      <c r="AQ139" s="256" t="inlineStr">
        <is>
          <t>26.69</t>
        </is>
      </c>
      <c r="AR139" s="256" t="inlineStr">
        <is>
          <t>227-1-К/26</t>
        </is>
      </c>
      <c r="AS139" s="256" t="inlineStr">
        <is>
          <t>11.09.2026</t>
        </is>
      </c>
      <c r="AT139" s="256" t="inlineStr">
        <is>
          <t>Farmahem</t>
        </is>
      </c>
      <c r="AU139" s="256" t="inlineStr">
        <is>
          <t>&lt; LOQ</t>
        </is>
      </c>
      <c r="AV139" s="256" t="inlineStr">
        <is>
          <t>227-1-К/26</t>
        </is>
      </c>
      <c r="AW139" s="256" t="inlineStr">
        <is>
          <t>11.09.2026</t>
        </is>
      </c>
      <c r="AX139" s="256" t="inlineStr">
        <is>
          <t>Farmahem</t>
        </is>
      </c>
      <c r="AY139" s="256" t="inlineStr">
        <is>
          <t>&lt; LOQ</t>
        </is>
      </c>
      <c r="AZ139" s="256" t="inlineStr">
        <is>
          <t>227-1-К/26</t>
        </is>
      </c>
      <c r="BA139" s="256" t="inlineStr">
        <is>
          <t>11.09.2026</t>
        </is>
      </c>
      <c r="BB139" s="256" t="inlineStr">
        <is>
          <t>Farmahem</t>
        </is>
      </c>
      <c r="BC139" s="256" t="inlineStr">
        <is>
          <t>Conforms | Одговара</t>
        </is>
      </c>
      <c r="BD139" s="256" t="inlineStr">
        <is>
          <t>iCoA-PP_26-155</t>
        </is>
      </c>
      <c r="BE139" s="256" t="inlineStr">
        <is>
          <t>24.08.2026</t>
        </is>
      </c>
      <c r="BF139" s="256" t="inlineStr">
        <is>
          <t>Purely Plant GmbH (in-house)</t>
        </is>
      </c>
      <c r="BG139" s="256" t="inlineStr">
        <is>
          <t>carried from the initial testing — not tested</t>
        </is>
      </c>
      <c r="BH139" s="256" t="inlineStr">
        <is>
          <t>—</t>
        </is>
      </c>
      <c r="BI139" s="256" t="inlineStr">
        <is>
          <t>—</t>
        </is>
      </c>
      <c r="BJ139" s="256" t="inlineStr">
        <is>
          <t>—</t>
        </is>
      </c>
      <c r="BK139" s="256" t="inlineStr">
        <is>
          <t>&lt; 10</t>
        </is>
      </c>
      <c r="BL139" s="256" t="inlineStr">
        <is>
          <t>559/1090/26</t>
        </is>
      </c>
      <c r="BM139" s="256" t="inlineStr">
        <is>
          <t>01.09.2026</t>
        </is>
      </c>
      <c r="BN139" s="256" t="inlineStr">
        <is>
          <t>IPH — Institute of Public Health</t>
        </is>
      </c>
      <c r="BO139" s="256" t="inlineStr">
        <is>
          <t>&lt; 10</t>
        </is>
      </c>
      <c r="BP139" s="256" t="inlineStr">
        <is>
          <t>559/1090/26</t>
        </is>
      </c>
      <c r="BQ139" s="256" t="inlineStr">
        <is>
          <t>01.09.2026</t>
        </is>
      </c>
      <c r="BR139" s="256" t="inlineStr">
        <is>
          <t>IPH — Institute of Public Health</t>
        </is>
      </c>
      <c r="BS139" s="256" t="inlineStr">
        <is>
          <t>&lt; 10</t>
        </is>
      </c>
      <c r="BT139" s="256" t="inlineStr">
        <is>
          <t>559/1090/26</t>
        </is>
      </c>
      <c r="BU139" s="256" t="inlineStr">
        <is>
          <t>01.09.2026</t>
        </is>
      </c>
      <c r="BV139" s="256" t="inlineStr">
        <is>
          <t>IPH — Institute of Public Health</t>
        </is>
      </c>
      <c r="BW139" s="256" t="inlineStr">
        <is>
          <t>Absent | Отсутна</t>
        </is>
      </c>
      <c r="BX139" s="256" t="inlineStr">
        <is>
          <t>559/1090/26</t>
        </is>
      </c>
      <c r="BY139" s="256" t="inlineStr">
        <is>
          <t>01.09.2026</t>
        </is>
      </c>
      <c r="BZ139" s="256" t="inlineStr">
        <is>
          <t>IPH — Institute of Public Health</t>
        </is>
      </c>
      <c r="CA139" s="256" t="inlineStr">
        <is>
          <t>Absent | Отсутна</t>
        </is>
      </c>
      <c r="CB139" s="256" t="inlineStr">
        <is>
          <t>559/1090/26</t>
        </is>
      </c>
      <c r="CC139" s="256" t="inlineStr">
        <is>
          <t>01.09.2026</t>
        </is>
      </c>
      <c r="CD139" s="256" t="inlineStr">
        <is>
          <t>IPH — Institute of Public Health</t>
        </is>
      </c>
      <c r="CE139" s="260" t="inlineStr">
        <is>
          <t>upon request — not required for release</t>
        </is>
      </c>
      <c r="CF139" s="256" t="inlineStr">
        <is>
          <t>—</t>
        </is>
      </c>
      <c r="CG139" s="256" t="inlineStr">
        <is>
          <t>—</t>
        </is>
      </c>
      <c r="CH139" s="256" t="inlineStr">
        <is>
          <t>—</t>
        </is>
      </c>
      <c r="CI139" s="260" t="inlineStr">
        <is>
          <t>upon request — not required for release</t>
        </is>
      </c>
      <c r="CJ139" s="256" t="inlineStr">
        <is>
          <t>—</t>
        </is>
      </c>
      <c r="CK139" s="256" t="inlineStr">
        <is>
          <t>—</t>
        </is>
      </c>
      <c r="CL139" s="256" t="inlineStr">
        <is>
          <t>—</t>
        </is>
      </c>
      <c r="CM139" s="256" t="inlineStr">
        <is>
          <t>ND</t>
        </is>
      </c>
      <c r="CN139" s="256" t="inlineStr">
        <is>
          <t>227-1-М/26</t>
        </is>
      </c>
      <c r="CO139" s="256" t="inlineStr">
        <is>
          <t>16.09.2026</t>
        </is>
      </c>
      <c r="CP139" s="256" t="inlineStr">
        <is>
          <t>Farmahem</t>
        </is>
      </c>
      <c r="CQ139" s="256" t="inlineStr">
        <is>
          <t>ND</t>
        </is>
      </c>
      <c r="CR139" s="256" t="inlineStr">
        <is>
          <t>227-1-М/26</t>
        </is>
      </c>
      <c r="CS139" s="256" t="inlineStr">
        <is>
          <t>16.09.2026</t>
        </is>
      </c>
      <c r="CT139" s="256" t="inlineStr">
        <is>
          <t>Farmahem</t>
        </is>
      </c>
      <c r="CU139" s="256" t="inlineStr">
        <is>
          <t>ND</t>
        </is>
      </c>
      <c r="CV139" s="256" t="inlineStr">
        <is>
          <t>227-1-М/26</t>
        </is>
      </c>
      <c r="CW139" s="256" t="inlineStr">
        <is>
          <t>16.09.2026</t>
        </is>
      </c>
      <c r="CX139" s="256" t="inlineStr">
        <is>
          <t>Farmahem</t>
        </is>
      </c>
      <c r="CY139" s="256" t="inlineStr">
        <is>
          <t>carried from the initial testing — not tested</t>
        </is>
      </c>
      <c r="CZ139" s="256" t="inlineStr">
        <is>
          <t>—</t>
        </is>
      </c>
      <c r="DA139" s="256" t="inlineStr">
        <is>
          <t>—</t>
        </is>
      </c>
      <c r="DB139" s="256" t="inlineStr">
        <is>
          <t>—</t>
        </is>
      </c>
      <c r="DC139" s="256" t="inlineStr">
        <is>
          <t>carried from the initial testing — not tested</t>
        </is>
      </c>
      <c r="DD139" s="256" t="inlineStr">
        <is>
          <t>—</t>
        </is>
      </c>
      <c r="DE139" s="256" t="inlineStr">
        <is>
          <t>—</t>
        </is>
      </c>
      <c r="DF139" s="256" t="inlineStr">
        <is>
          <t>—</t>
        </is>
      </c>
      <c r="DG139" s="256" t="inlineStr">
        <is>
          <t>carried from the initial testing — not tested</t>
        </is>
      </c>
      <c r="DH139" s="256" t="inlineStr">
        <is>
          <t>—</t>
        </is>
      </c>
      <c r="DI139" s="256" t="inlineStr">
        <is>
          <t>—</t>
        </is>
      </c>
      <c r="DJ139" s="256" t="inlineStr">
        <is>
          <t>—</t>
        </is>
      </c>
      <c r="DK139" s="256" t="inlineStr">
        <is>
          <t>carried from the initial testing — not tested</t>
        </is>
      </c>
      <c r="DL139" s="256" t="inlineStr">
        <is>
          <t>—</t>
        </is>
      </c>
      <c r="DM139" s="256" t="inlineStr">
        <is>
          <t>—</t>
        </is>
      </c>
      <c r="DN139" s="256" t="inlineStr">
        <is>
          <t>—</t>
        </is>
      </c>
      <c r="DO139" s="256" t="inlineStr">
        <is>
          <t>carried from the initial testing — not tested</t>
        </is>
      </c>
      <c r="DP139" s="256" t="inlineStr">
        <is>
          <t>—</t>
        </is>
      </c>
      <c r="DQ139" s="256" t="inlineStr">
        <is>
          <t>—</t>
        </is>
      </c>
      <c r="DR139" s="256" t="inlineStr">
        <is>
          <t>—</t>
        </is>
      </c>
    </row>
    <row r="140">
      <c r="A140" s="256" t="inlineStr">
        <is>
          <t>CoQ-PP_26-139</t>
        </is>
      </c>
      <c r="B140" s="256" t="inlineStr">
        <is>
          <t>reissue — retest</t>
        </is>
      </c>
      <c r="C140" s="256" t="inlineStr">
        <is>
          <t>allocated — code reserved, date provisional</t>
        </is>
      </c>
      <c r="D140" s="256" t="inlineStr">
        <is>
          <t>21.09.2026</t>
        </is>
      </c>
      <c r="E140" s="256" t="inlineStr">
        <is>
          <t>CoQ-PP_26-063 of 06.06.2026</t>
        </is>
      </c>
      <c r="F140" s="256" t="inlineStr">
        <is>
          <t>(assigned on issue)</t>
        </is>
      </c>
      <c r="G140" s="256" t="inlineStr">
        <is>
          <t>CC112501</t>
        </is>
      </c>
      <c r="H140" s="256" t="inlineStr">
        <is>
          <t>— no P lot assigned —</t>
        </is>
      </c>
      <c r="I140" s="256" t="inlineStr">
        <is>
          <t>Cash Cow</t>
        </is>
      </c>
      <c r="J140" s="256" t="inlineStr">
        <is>
          <t>25.03.2026</t>
        </is>
      </c>
      <c r="K140" s="256" t="inlineStr">
        <is>
          <t>18.05.2026</t>
        </is>
      </c>
      <c r="L140" s="256" t="inlineStr">
        <is>
          <t>—</t>
        </is>
      </c>
      <c r="M140" s="256" t="inlineStr">
        <is>
          <t>—</t>
        </is>
      </c>
      <c r="N140" s="256" t="inlineStr">
        <is>
          <t>iCoA-PP_26-177</t>
        </is>
      </c>
      <c r="O140" s="256" t="inlineStr">
        <is>
          <t>24.08.2026</t>
        </is>
      </c>
      <c r="P140" s="256" t="inlineStr">
        <is>
          <t>21.08.2026</t>
        </is>
      </c>
      <c r="Q140" s="256" t="inlineStr">
        <is>
          <t>Tranche 3</t>
        </is>
      </c>
      <c r="R140" s="256" t="inlineStr">
        <is>
          <t>16.36</t>
        </is>
      </c>
      <c r="S140" s="256" t="inlineStr">
        <is>
          <t>227-25-К/26</t>
        </is>
      </c>
      <c r="T140" s="256" t="inlineStr">
        <is>
          <t>I</t>
        </is>
      </c>
      <c r="U140" s="256" t="inlineStr">
        <is>
          <t>15.35 – 18.64 %</t>
        </is>
      </c>
      <c r="V140" s="256" t="inlineStr">
        <is>
          <t>CC_THC17 : CBD1</t>
        </is>
      </c>
      <c r="W140" s="256" t="inlineStr">
        <is>
          <t>QCSP_001_CC-I_v.01</t>
        </is>
      </c>
      <c r="X140" s="256" t="inlineStr">
        <is>
          <t>for review — replaces the issued QCSP_001_CC-I_v.01 (was CC_THC28:CBD1, 28.00% ± 2.25%); now CC_THC17 : CBD1 15.35 – 18.64 %</t>
        </is>
      </c>
      <c r="Y140" s="256" t="inlineStr">
        <is>
          <t>HYBRID</t>
        </is>
      </c>
      <c r="Z140" s="256" t="inlineStr">
        <is>
          <t>THC</t>
        </is>
      </c>
      <c r="AA140" s="256" t="inlineStr">
        <is>
          <t>MACHINE TRIMMED</t>
        </is>
      </c>
      <c r="AB140" s="256" t="inlineStr">
        <is>
          <t>INDICA 70 : SATIVA 30</t>
        </is>
      </c>
      <c r="AC140" s="256" t="inlineStr">
        <is>
          <t>Triplex Alu Bag | Триплекс Aлу Kеса, PET 12 · ALU 7 · PE 80, 300 × 500 mm, net. 400.0 g ±3%</t>
        </is>
      </c>
      <c r="AD140" s="256" t="inlineStr">
        <is>
          <t>16.09.2026</t>
        </is>
      </c>
      <c r="AE140" s="256" t="inlineStr">
        <is>
          <t>Conforms | Одговара</t>
        </is>
      </c>
      <c r="AF140" s="256" t="inlineStr">
        <is>
          <t>iCoA-PP_26-177</t>
        </is>
      </c>
      <c r="AG140" s="256" t="inlineStr">
        <is>
          <t>24.08.2026</t>
        </is>
      </c>
      <c r="AH140" s="256" t="inlineStr">
        <is>
          <t>Purely Plant GmbH (in-house)</t>
        </is>
      </c>
      <c r="AI140" s="256" t="inlineStr">
        <is>
          <t>Conforms | Одговара</t>
        </is>
      </c>
      <c r="AJ140" s="256" t="inlineStr">
        <is>
          <t>iCoA-PP_26-177</t>
        </is>
      </c>
      <c r="AK140" s="256" t="inlineStr">
        <is>
          <t>24.08.2026</t>
        </is>
      </c>
      <c r="AL140" s="256" t="inlineStr">
        <is>
          <t>Purely Plant GmbH (in-house)</t>
        </is>
      </c>
      <c r="AM140" s="256" t="inlineStr">
        <is>
          <t>Conforms | Одговара</t>
        </is>
      </c>
      <c r="AN140" s="256" t="inlineStr">
        <is>
          <t>227-25-К/26</t>
        </is>
      </c>
      <c r="AO140" s="256" t="inlineStr">
        <is>
          <t>11.09.2026</t>
        </is>
      </c>
      <c r="AP140" s="256" t="inlineStr">
        <is>
          <t>Farmahem</t>
        </is>
      </c>
      <c r="AQ140" s="256" t="inlineStr">
        <is>
          <t>16.36</t>
        </is>
      </c>
      <c r="AR140" s="256" t="inlineStr">
        <is>
          <t>227-25-К/26</t>
        </is>
      </c>
      <c r="AS140" s="256" t="inlineStr">
        <is>
          <t>11.09.2026</t>
        </is>
      </c>
      <c r="AT140" s="256" t="inlineStr">
        <is>
          <t>Farmahem</t>
        </is>
      </c>
      <c r="AU140" s="256" t="inlineStr">
        <is>
          <t>&lt; LOQ</t>
        </is>
      </c>
      <c r="AV140" s="256" t="inlineStr">
        <is>
          <t>227-25-К/26</t>
        </is>
      </c>
      <c r="AW140" s="256" t="inlineStr">
        <is>
          <t>11.09.2026</t>
        </is>
      </c>
      <c r="AX140" s="256" t="inlineStr">
        <is>
          <t>Farmahem</t>
        </is>
      </c>
      <c r="AY140" s="256" t="inlineStr">
        <is>
          <t>&lt; LOQ</t>
        </is>
      </c>
      <c r="AZ140" s="256" t="inlineStr">
        <is>
          <t>227-25-К/26</t>
        </is>
      </c>
      <c r="BA140" s="256" t="inlineStr">
        <is>
          <t>11.09.2026</t>
        </is>
      </c>
      <c r="BB140" s="256" t="inlineStr">
        <is>
          <t>Farmahem</t>
        </is>
      </c>
      <c r="BC140" s="256" t="inlineStr">
        <is>
          <t>Conforms | Одговара</t>
        </is>
      </c>
      <c r="BD140" s="256" t="inlineStr">
        <is>
          <t>iCoA-PP_26-177</t>
        </is>
      </c>
      <c r="BE140" s="256" t="inlineStr">
        <is>
          <t>24.08.2026</t>
        </is>
      </c>
      <c r="BF140" s="256" t="inlineStr">
        <is>
          <t>Purely Plant GmbH (in-house)</t>
        </is>
      </c>
      <c r="BG140" s="256" t="inlineStr">
        <is>
          <t>7.39</t>
        </is>
      </c>
      <c r="BH140" s="256" t="inlineStr">
        <is>
          <t>ППК26068</t>
        </is>
      </c>
      <c r="BI140" s="256" t="inlineStr">
        <is>
          <t>11.05.2026</t>
        </is>
      </c>
      <c r="BJ140" s="256" t="inlineStr">
        <is>
          <t>UKIM Faculty of Pharmacy — Center for Natural Products</t>
        </is>
      </c>
      <c r="BK140" s="256" t="inlineStr">
        <is>
          <t>1,6 × 10³</t>
        </is>
      </c>
      <c r="BL140" s="256" t="inlineStr">
        <is>
          <t>543/1074/26</t>
        </is>
      </c>
      <c r="BM140" s="256" t="inlineStr">
        <is>
          <t>31.08.2026</t>
        </is>
      </c>
      <c r="BN140" s="256" t="inlineStr">
        <is>
          <t>IPH — Institute of Public Health</t>
        </is>
      </c>
      <c r="BO140" s="256" t="inlineStr">
        <is>
          <t>1 × 10³</t>
        </is>
      </c>
      <c r="BP140" s="256" t="inlineStr">
        <is>
          <t>543/1074/26</t>
        </is>
      </c>
      <c r="BQ140" s="256" t="inlineStr">
        <is>
          <t>31.08.2026</t>
        </is>
      </c>
      <c r="BR140" s="256" t="inlineStr">
        <is>
          <t>IPH — Institute of Public Health</t>
        </is>
      </c>
      <c r="BS140" s="256" t="inlineStr">
        <is>
          <t>&lt; 10³ and &gt; 10²</t>
        </is>
      </c>
      <c r="BT140" s="256" t="inlineStr">
        <is>
          <t>543/1074/26</t>
        </is>
      </c>
      <c r="BU140" s="256" t="inlineStr">
        <is>
          <t>31.08.2026</t>
        </is>
      </c>
      <c r="BV140" s="256" t="inlineStr">
        <is>
          <t>IPH — Institute of Public Health</t>
        </is>
      </c>
      <c r="BW140" s="256" t="inlineStr">
        <is>
          <t>Absent | Отсутна</t>
        </is>
      </c>
      <c r="BX140" s="256" t="inlineStr">
        <is>
          <t>543/1074/26</t>
        </is>
      </c>
      <c r="BY140" s="256" t="inlineStr">
        <is>
          <t>31.08.2026</t>
        </is>
      </c>
      <c r="BZ140" s="256" t="inlineStr">
        <is>
          <t>IPH — Institute of Public Health</t>
        </is>
      </c>
      <c r="CA140" s="256" t="inlineStr">
        <is>
          <t>Absent | Отсутна</t>
        </is>
      </c>
      <c r="CB140" s="256" t="inlineStr">
        <is>
          <t>543/1074/26</t>
        </is>
      </c>
      <c r="CC140" s="256" t="inlineStr">
        <is>
          <t>31.08.2026</t>
        </is>
      </c>
      <c r="CD140" s="256" t="inlineStr">
        <is>
          <t>IPH — Institute of Public Health</t>
        </is>
      </c>
      <c r="CE140" s="260" t="inlineStr">
        <is>
          <t>upon request — not required for release</t>
        </is>
      </c>
      <c r="CF140" s="256" t="inlineStr">
        <is>
          <t>—</t>
        </is>
      </c>
      <c r="CG140" s="256" t="inlineStr">
        <is>
          <t>—</t>
        </is>
      </c>
      <c r="CH140" s="256" t="inlineStr">
        <is>
          <t>—</t>
        </is>
      </c>
      <c r="CI140" s="260" t="inlineStr">
        <is>
          <t>upon request — not required for release</t>
        </is>
      </c>
      <c r="CJ140" s="256" t="inlineStr">
        <is>
          <t>—</t>
        </is>
      </c>
      <c r="CK140" s="256" t="inlineStr">
        <is>
          <t>—</t>
        </is>
      </c>
      <c r="CL140" s="256" t="inlineStr">
        <is>
          <t>—</t>
        </is>
      </c>
      <c r="CM140" s="256" t="inlineStr">
        <is>
          <t>ND</t>
        </is>
      </c>
      <c r="CN140" s="256" t="inlineStr">
        <is>
          <t>227-25-М/26</t>
        </is>
      </c>
      <c r="CO140" s="256" t="inlineStr">
        <is>
          <t>16.09.2026</t>
        </is>
      </c>
      <c r="CP140" s="256" t="inlineStr">
        <is>
          <t>Farmahem</t>
        </is>
      </c>
      <c r="CQ140" s="256" t="inlineStr">
        <is>
          <t>ND</t>
        </is>
      </c>
      <c r="CR140" s="256" t="inlineStr">
        <is>
          <t>227-25-М/26</t>
        </is>
      </c>
      <c r="CS140" s="256" t="inlineStr">
        <is>
          <t>16.09.2026</t>
        </is>
      </c>
      <c r="CT140" s="256" t="inlineStr">
        <is>
          <t>Farmahem</t>
        </is>
      </c>
      <c r="CU140" s="256" t="inlineStr">
        <is>
          <t>ND</t>
        </is>
      </c>
      <c r="CV140" s="256" t="inlineStr">
        <is>
          <t>227-25-М/26</t>
        </is>
      </c>
      <c r="CW140" s="256" t="inlineStr">
        <is>
          <t>16.09.2026</t>
        </is>
      </c>
      <c r="CX140" s="256" t="inlineStr">
        <is>
          <t>Farmahem</t>
        </is>
      </c>
      <c r="CY140" s="256" t="inlineStr">
        <is>
          <t>0.0289</t>
        </is>
      </c>
      <c r="CZ140" s="256" t="inlineStr">
        <is>
          <t>2359/2026</t>
        </is>
      </c>
      <c r="DA140" s="256" t="inlineStr">
        <is>
          <t>29.04.2026</t>
        </is>
      </c>
      <c r="DB140" s="256" t="inlineStr">
        <is>
          <t>IPH — Institute of Public Health</t>
        </is>
      </c>
      <c r="DC140" s="256" t="inlineStr">
        <is>
          <t>0.0119</t>
        </is>
      </c>
      <c r="DD140" s="256" t="inlineStr">
        <is>
          <t>2359/2026</t>
        </is>
      </c>
      <c r="DE140" s="256" t="inlineStr">
        <is>
          <t>29.04.2026</t>
        </is>
      </c>
      <c r="DF140" s="256" t="inlineStr">
        <is>
          <t>IPH — Institute of Public Health</t>
        </is>
      </c>
      <c r="DG140" s="256" t="inlineStr">
        <is>
          <t>0.016</t>
        </is>
      </c>
      <c r="DH140" s="256" t="inlineStr">
        <is>
          <t>2359/2026</t>
        </is>
      </c>
      <c r="DI140" s="256" t="inlineStr">
        <is>
          <t>29.04.2026</t>
        </is>
      </c>
      <c r="DJ140" s="256" t="inlineStr">
        <is>
          <t>IPH — Institute of Public Health</t>
        </is>
      </c>
      <c r="DK140" s="256" t="inlineStr">
        <is>
          <t>0.0102</t>
        </is>
      </c>
      <c r="DL140" s="256" t="inlineStr">
        <is>
          <t>2359/2026</t>
        </is>
      </c>
      <c r="DM140" s="256" t="inlineStr">
        <is>
          <t>29.04.2026</t>
        </is>
      </c>
      <c r="DN140" s="256" t="inlineStr">
        <is>
          <t>IPH — Institute of Public Health</t>
        </is>
      </c>
      <c r="DO140" s="256" t="inlineStr">
        <is>
          <t>ND</t>
        </is>
      </c>
      <c r="DP140" s="256" t="inlineStr">
        <is>
          <t>2359/2026</t>
        </is>
      </c>
      <c r="DQ140" s="256" t="inlineStr">
        <is>
          <t>29.04.2026</t>
        </is>
      </c>
      <c r="DR140" s="256" t="inlineStr">
        <is>
          <t>IPH — Institute of Public Health</t>
        </is>
      </c>
    </row>
    <row r="141">
      <c r="A141" s="256" t="inlineStr">
        <is>
          <t>CoQ-PP_26-140</t>
        </is>
      </c>
      <c r="B141" s="256" t="inlineStr">
        <is>
          <t>reissue — retest</t>
        </is>
      </c>
      <c r="C141" s="256" t="inlineStr">
        <is>
          <t>allocated — code reserved, date provisional</t>
        </is>
      </c>
      <c r="D141" s="256" t="inlineStr">
        <is>
          <t>21.09.2026</t>
        </is>
      </c>
      <c r="E141" s="256" t="inlineStr">
        <is>
          <t>CoQ-PP_26-023 of 06.06.2026</t>
        </is>
      </c>
      <c r="F141" s="256" t="inlineStr">
        <is>
          <t>(assigned on issue)</t>
        </is>
      </c>
      <c r="G141" s="256" t="inlineStr">
        <is>
          <t>CJ052501-2</t>
        </is>
      </c>
      <c r="H141" s="256" t="inlineStr">
        <is>
          <t>P050172</t>
        </is>
      </c>
      <c r="I141" s="256" t="inlineStr">
        <is>
          <t>Cap Junky</t>
        </is>
      </c>
      <c r="J141" s="256" t="inlineStr">
        <is>
          <t>20.08.2025</t>
        </is>
      </c>
      <c r="K141" s="256" t="inlineStr">
        <is>
          <t>01.10.2025 – 02.10.2025</t>
        </is>
      </c>
      <c r="L141" s="256" t="inlineStr">
        <is>
          <t>—</t>
        </is>
      </c>
      <c r="M141" s="256" t="inlineStr">
        <is>
          <t>—</t>
        </is>
      </c>
      <c r="N141" s="256" t="inlineStr">
        <is>
          <t>iCoA-PP_26-178</t>
        </is>
      </c>
      <c r="O141" s="256" t="inlineStr">
        <is>
          <t>24.08.2026</t>
        </is>
      </c>
      <c r="P141" s="256" t="inlineStr">
        <is>
          <t>21.08.2026</t>
        </is>
      </c>
      <c r="Q141" s="256" t="inlineStr">
        <is>
          <t>Tranche 3</t>
        </is>
      </c>
      <c r="R141" s="256" t="inlineStr">
        <is>
          <t>21.30</t>
        </is>
      </c>
      <c r="S141" s="256" t="inlineStr">
        <is>
          <t>227-28-К/26</t>
        </is>
      </c>
      <c r="T141" s="256" t="inlineStr">
        <is>
          <t>III</t>
        </is>
      </c>
      <c r="U141" s="256" t="inlineStr">
        <is>
          <t>18.40 – 21.59 %</t>
        </is>
      </c>
      <c r="V141" s="256" t="inlineStr">
        <is>
          <t>CJ_THC20 : CBD1</t>
        </is>
      </c>
      <c r="W141" s="256" t="inlineStr">
        <is>
          <t>QCSP_001_CJ-III_v.01</t>
        </is>
      </c>
      <c r="X141" s="256" t="inlineStr">
        <is>
          <t>for review — replaces the issued QCSP_001_CJ-III_v.01 (was CJ_THC24 : CBD1, 23.00 – 25.00 %); now CJ_THC20 : CBD1 18.40 – 21.59 %</t>
        </is>
      </c>
      <c r="Y141" s="256" t="inlineStr">
        <is>
          <t>HYBRID</t>
        </is>
      </c>
      <c r="Z141" s="256" t="inlineStr">
        <is>
          <t>THC</t>
        </is>
      </c>
      <c r="AA141" s="256" t="inlineStr">
        <is>
          <t>MACHINE TRIMMED</t>
        </is>
      </c>
      <c r="AB141" s="256" t="inlineStr">
        <is>
          <t>INDICA 60 : SATIVA 40</t>
        </is>
      </c>
      <c r="AC141" s="256" t="inlineStr">
        <is>
          <t>Triplex Alu Bag | Триплекс Aлу Kеса, PET 12 · ALU 7 · PE 80, 300 × 500 mm, net. 400.0 g ±3%</t>
        </is>
      </c>
      <c r="AD141" s="256" t="inlineStr">
        <is>
          <t>16.09.2026</t>
        </is>
      </c>
      <c r="AE141" s="256" t="inlineStr">
        <is>
          <t>Conforms | Одговара</t>
        </is>
      </c>
      <c r="AF141" s="256" t="inlineStr">
        <is>
          <t>iCoA-PP_26-178</t>
        </is>
      </c>
      <c r="AG141" s="256" t="inlineStr">
        <is>
          <t>24.08.2026</t>
        </is>
      </c>
      <c r="AH141" s="256" t="inlineStr">
        <is>
          <t>Purely Plant GmbH (in-house)</t>
        </is>
      </c>
      <c r="AI141" s="256" t="inlineStr">
        <is>
          <t>Conforms | Одговара</t>
        </is>
      </c>
      <c r="AJ141" s="256" t="inlineStr">
        <is>
          <t>iCoA-PP_26-178</t>
        </is>
      </c>
      <c r="AK141" s="256" t="inlineStr">
        <is>
          <t>24.08.2026</t>
        </is>
      </c>
      <c r="AL141" s="256" t="inlineStr">
        <is>
          <t>Purely Plant GmbH (in-house)</t>
        </is>
      </c>
      <c r="AM141" s="256" t="inlineStr">
        <is>
          <t>Conforms | Одговара</t>
        </is>
      </c>
      <c r="AN141" s="256" t="inlineStr">
        <is>
          <t>227-28-К/26</t>
        </is>
      </c>
      <c r="AO141" s="256" t="inlineStr">
        <is>
          <t>11.09.2026</t>
        </is>
      </c>
      <c r="AP141" s="256" t="inlineStr">
        <is>
          <t>Farmahem</t>
        </is>
      </c>
      <c r="AQ141" s="256" t="inlineStr">
        <is>
          <t>21.30</t>
        </is>
      </c>
      <c r="AR141" s="256" t="inlineStr">
        <is>
          <t>227-28-К/26</t>
        </is>
      </c>
      <c r="AS141" s="256" t="inlineStr">
        <is>
          <t>11.09.2026</t>
        </is>
      </c>
      <c r="AT141" s="256" t="inlineStr">
        <is>
          <t>Farmahem</t>
        </is>
      </c>
      <c r="AU141" s="256" t="inlineStr">
        <is>
          <t>&lt; LOQ</t>
        </is>
      </c>
      <c r="AV141" s="256" t="inlineStr">
        <is>
          <t>227-28-К/26</t>
        </is>
      </c>
      <c r="AW141" s="256" t="inlineStr">
        <is>
          <t>11.09.2026</t>
        </is>
      </c>
      <c r="AX141" s="256" t="inlineStr">
        <is>
          <t>Farmahem</t>
        </is>
      </c>
      <c r="AY141" s="256" t="inlineStr">
        <is>
          <t>&lt; LOQ</t>
        </is>
      </c>
      <c r="AZ141" s="256" t="inlineStr">
        <is>
          <t>227-28-К/26</t>
        </is>
      </c>
      <c r="BA141" s="256" t="inlineStr">
        <is>
          <t>11.09.2026</t>
        </is>
      </c>
      <c r="BB141" s="256" t="inlineStr">
        <is>
          <t>Farmahem</t>
        </is>
      </c>
      <c r="BC141" s="256" t="inlineStr">
        <is>
          <t>Conforms | Одговара</t>
        </is>
      </c>
      <c r="BD141" s="256" t="inlineStr">
        <is>
          <t>iCoA-PP_26-178</t>
        </is>
      </c>
      <c r="BE141" s="256" t="inlineStr">
        <is>
          <t>24.08.2026</t>
        </is>
      </c>
      <c r="BF141" s="256" t="inlineStr">
        <is>
          <t>Purely Plant GmbH (in-house)</t>
        </is>
      </c>
      <c r="BG141" s="256" t="inlineStr">
        <is>
          <t>6.63</t>
        </is>
      </c>
      <c r="BH141" s="256" t="inlineStr">
        <is>
          <t>ППК25281</t>
        </is>
      </c>
      <c r="BI141" s="256" t="inlineStr">
        <is>
          <t>17.09.2025</t>
        </is>
      </c>
      <c r="BJ141" s="256" t="inlineStr">
        <is>
          <t>UKIM Faculty of Pharmacy — Center for Natural Products</t>
        </is>
      </c>
      <c r="BK141" s="256" t="inlineStr">
        <is>
          <t>&lt; 10</t>
        </is>
      </c>
      <c r="BL141" s="256" t="inlineStr">
        <is>
          <t>558/1089/26</t>
        </is>
      </c>
      <c r="BM141" s="256" t="inlineStr">
        <is>
          <t>01.09.2026</t>
        </is>
      </c>
      <c r="BN141" s="256" t="inlineStr">
        <is>
          <t>IPH — Institute of Public Health</t>
        </is>
      </c>
      <c r="BO141" s="256" t="inlineStr">
        <is>
          <t>&lt; 10</t>
        </is>
      </c>
      <c r="BP141" s="256" t="inlineStr">
        <is>
          <t>558/1089/26</t>
        </is>
      </c>
      <c r="BQ141" s="256" t="inlineStr">
        <is>
          <t>01.09.2026</t>
        </is>
      </c>
      <c r="BR141" s="256" t="inlineStr">
        <is>
          <t>IPH — Institute of Public Health</t>
        </is>
      </c>
      <c r="BS141" s="256" t="inlineStr">
        <is>
          <t>&lt; 10</t>
        </is>
      </c>
      <c r="BT141" s="256" t="inlineStr">
        <is>
          <t>558/1089/26</t>
        </is>
      </c>
      <c r="BU141" s="256" t="inlineStr">
        <is>
          <t>01.09.2026</t>
        </is>
      </c>
      <c r="BV141" s="256" t="inlineStr">
        <is>
          <t>IPH — Institute of Public Health</t>
        </is>
      </c>
      <c r="BW141" s="256" t="inlineStr">
        <is>
          <t>Absent | Отсутна</t>
        </is>
      </c>
      <c r="BX141" s="256" t="inlineStr">
        <is>
          <t>558/1089/26</t>
        </is>
      </c>
      <c r="BY141" s="256" t="inlineStr">
        <is>
          <t>01.09.2026</t>
        </is>
      </c>
      <c r="BZ141" s="256" t="inlineStr">
        <is>
          <t>IPH — Institute of Public Health</t>
        </is>
      </c>
      <c r="CA141" s="256" t="inlineStr">
        <is>
          <t>Absent | Отсутна</t>
        </is>
      </c>
      <c r="CB141" s="256" t="inlineStr">
        <is>
          <t>558/1089/26</t>
        </is>
      </c>
      <c r="CC141" s="256" t="inlineStr">
        <is>
          <t>01.09.2026</t>
        </is>
      </c>
      <c r="CD141" s="256" t="inlineStr">
        <is>
          <t>IPH — Institute of Public Health</t>
        </is>
      </c>
      <c r="CE141" s="260" t="inlineStr">
        <is>
          <t>upon request — not required for release</t>
        </is>
      </c>
      <c r="CF141" s="256" t="inlineStr">
        <is>
          <t>—</t>
        </is>
      </c>
      <c r="CG141" s="256" t="inlineStr">
        <is>
          <t>—</t>
        </is>
      </c>
      <c r="CH141" s="256" t="inlineStr">
        <is>
          <t>—</t>
        </is>
      </c>
      <c r="CI141" s="260" t="inlineStr">
        <is>
          <t>upon request — not required for release</t>
        </is>
      </c>
      <c r="CJ141" s="256" t="inlineStr">
        <is>
          <t>—</t>
        </is>
      </c>
      <c r="CK141" s="256" t="inlineStr">
        <is>
          <t>—</t>
        </is>
      </c>
      <c r="CL141" s="256" t="inlineStr">
        <is>
          <t>—</t>
        </is>
      </c>
      <c r="CM141" s="256" t="inlineStr">
        <is>
          <t>ND</t>
        </is>
      </c>
      <c r="CN141" s="256" t="inlineStr">
        <is>
          <t>227-28-М/26</t>
        </is>
      </c>
      <c r="CO141" s="256" t="inlineStr">
        <is>
          <t>16.09.2026</t>
        </is>
      </c>
      <c r="CP141" s="256" t="inlineStr">
        <is>
          <t>Farmahem</t>
        </is>
      </c>
      <c r="CQ141" s="256" t="inlineStr">
        <is>
          <t>ND</t>
        </is>
      </c>
      <c r="CR141" s="256" t="inlineStr">
        <is>
          <t>227-28-М/26</t>
        </is>
      </c>
      <c r="CS141" s="256" t="inlineStr">
        <is>
          <t>16.09.2026</t>
        </is>
      </c>
      <c r="CT141" s="256" t="inlineStr">
        <is>
          <t>Farmahem</t>
        </is>
      </c>
      <c r="CU141" s="256" t="inlineStr">
        <is>
          <t>ND</t>
        </is>
      </c>
      <c r="CV141" s="256" t="inlineStr">
        <is>
          <t>227-28-М/26</t>
        </is>
      </c>
      <c r="CW141" s="256" t="inlineStr">
        <is>
          <t>16.09.2026</t>
        </is>
      </c>
      <c r="CX141" s="256" t="inlineStr">
        <is>
          <t>Farmahem</t>
        </is>
      </c>
      <c r="CY141" s="256" t="inlineStr">
        <is>
          <t>0.02</t>
        </is>
      </c>
      <c r="CZ141" s="256" t="inlineStr">
        <is>
          <t>4349/2025</t>
        </is>
      </c>
      <c r="DA141" s="256" t="inlineStr">
        <is>
          <t>15.09.2025</t>
        </is>
      </c>
      <c r="DB141" s="256" t="inlineStr">
        <is>
          <t>IPH — Institute of Public Health</t>
        </is>
      </c>
      <c r="DC141" s="256" t="inlineStr">
        <is>
          <t>ND</t>
        </is>
      </c>
      <c r="DD141" s="256" t="inlineStr">
        <is>
          <t>4349/2025</t>
        </is>
      </c>
      <c r="DE141" s="256" t="inlineStr">
        <is>
          <t>15.09.2025</t>
        </is>
      </c>
      <c r="DF141" s="256" t="inlineStr">
        <is>
          <t>IPH — Institute of Public Health</t>
        </is>
      </c>
      <c r="DG141" s="256" t="inlineStr">
        <is>
          <t>0.042</t>
        </is>
      </c>
      <c r="DH141" s="256" t="inlineStr">
        <is>
          <t>4349/2025</t>
        </is>
      </c>
      <c r="DI141" s="256" t="inlineStr">
        <is>
          <t>15.09.2025</t>
        </is>
      </c>
      <c r="DJ141" s="256" t="inlineStr">
        <is>
          <t>IPH — Institute of Public Health</t>
        </is>
      </c>
      <c r="DK141" s="256" t="inlineStr">
        <is>
          <t>ND</t>
        </is>
      </c>
      <c r="DL141" s="256" t="inlineStr">
        <is>
          <t>4349/2025</t>
        </is>
      </c>
      <c r="DM141" s="256" t="inlineStr">
        <is>
          <t>15.09.2025</t>
        </is>
      </c>
      <c r="DN141" s="256" t="inlineStr">
        <is>
          <t>IPH — Institute of Public Health</t>
        </is>
      </c>
      <c r="DO141" s="256" t="inlineStr">
        <is>
          <t>ND</t>
        </is>
      </c>
      <c r="DP141" s="256" t="inlineStr">
        <is>
          <t>4349/2025</t>
        </is>
      </c>
      <c r="DQ141" s="256" t="inlineStr">
        <is>
          <t>15.09.2025</t>
        </is>
      </c>
      <c r="DR141" s="256" t="inlineStr">
        <is>
          <t>IPH — Institute of Public Health</t>
        </is>
      </c>
    </row>
    <row r="142">
      <c r="A142" s="256" t="inlineStr">
        <is>
          <t>CoQ-PP_26-141</t>
        </is>
      </c>
      <c r="B142" s="256" t="inlineStr">
        <is>
          <t>reissue — retest</t>
        </is>
      </c>
      <c r="C142" s="256" t="inlineStr">
        <is>
          <t>allocated — code reserved, date provisional</t>
        </is>
      </c>
      <c r="D142" s="256" t="inlineStr">
        <is>
          <t>21.09.2026</t>
        </is>
      </c>
      <c r="E142" s="256" t="inlineStr">
        <is>
          <t>CoQ-PP_26-029 of 06.06.2026</t>
        </is>
      </c>
      <c r="F142" s="256" t="inlineStr">
        <is>
          <t>(assigned on issue)</t>
        </is>
      </c>
      <c r="G142" s="256" t="inlineStr">
        <is>
          <t>CJ072501</t>
        </is>
      </c>
      <c r="H142" s="256" t="inlineStr">
        <is>
          <t>P050252</t>
        </is>
      </c>
      <c r="I142" s="256" t="inlineStr">
        <is>
          <t>Cap Junky</t>
        </is>
      </c>
      <c r="J142" s="256" t="inlineStr">
        <is>
          <t>27.10.2025</t>
        </is>
      </c>
      <c r="K142" s="256" t="inlineStr">
        <is>
          <t>27.11.2025 – 28.11.2025</t>
        </is>
      </c>
      <c r="L142" s="256" t="inlineStr">
        <is>
          <t>—</t>
        </is>
      </c>
      <c r="M142" s="256" t="inlineStr">
        <is>
          <t>—</t>
        </is>
      </c>
      <c r="N142" s="256" t="inlineStr">
        <is>
          <t>iCoA-PP_26-179</t>
        </is>
      </c>
      <c r="O142" s="256" t="inlineStr">
        <is>
          <t>24.08.2026</t>
        </is>
      </c>
      <c r="P142" s="256" t="inlineStr">
        <is>
          <t>21.08.2026</t>
        </is>
      </c>
      <c r="Q142" s="256" t="inlineStr">
        <is>
          <t>Tranche 3</t>
        </is>
      </c>
      <c r="R142" s="256" t="inlineStr">
        <is>
          <t>28.18</t>
        </is>
      </c>
      <c r="S142" s="256" t="inlineStr">
        <is>
          <t>227-27-К/26</t>
        </is>
      </c>
      <c r="T142" s="256" t="inlineStr">
        <is>
          <t>I</t>
        </is>
      </c>
      <c r="U142" s="256" t="inlineStr">
        <is>
          <t>26.40 – 29.59 %</t>
        </is>
      </c>
      <c r="V142" s="256" t="inlineStr">
        <is>
          <t>CJ_THC28 : CBD1</t>
        </is>
      </c>
      <c r="W142" s="256" t="inlineStr">
        <is>
          <t>QCSP_001_CJ-I_v.01</t>
        </is>
      </c>
      <c r="X142" s="256" t="inlineStr">
        <is>
          <t>for review — replaces the issued QCSP_001_CJ-I_v.01 (was CJ_THC28 : CBD1, 27.00 – 29.00 %); now CJ_THC28 : CBD1 26.40 – 29.59 %</t>
        </is>
      </c>
      <c r="Y142" s="256" t="inlineStr">
        <is>
          <t>HYBRID</t>
        </is>
      </c>
      <c r="Z142" s="256" t="inlineStr">
        <is>
          <t>THC</t>
        </is>
      </c>
      <c r="AA142" s="256" t="inlineStr">
        <is>
          <t>MACHINE TRIMMED</t>
        </is>
      </c>
      <c r="AB142" s="256" t="inlineStr">
        <is>
          <t>INDICA 60 : SATIVA 40</t>
        </is>
      </c>
      <c r="AC142" s="256" t="inlineStr">
        <is>
          <t>Triplex Alu Bag | Триплекс Aлу Kеса, PET 12 · ALU 7 · PE 80, 300 × 500 mm, net. 400.0 g ±3%</t>
        </is>
      </c>
      <c r="AD142" s="256" t="inlineStr">
        <is>
          <t>16.09.2026</t>
        </is>
      </c>
      <c r="AE142" s="256" t="inlineStr">
        <is>
          <t>Conforms | Одговара</t>
        </is>
      </c>
      <c r="AF142" s="256" t="inlineStr">
        <is>
          <t>iCoA-PP_26-179</t>
        </is>
      </c>
      <c r="AG142" s="256" t="inlineStr">
        <is>
          <t>24.08.2026</t>
        </is>
      </c>
      <c r="AH142" s="256" t="inlineStr">
        <is>
          <t>Purely Plant GmbH (in-house)</t>
        </is>
      </c>
      <c r="AI142" s="256" t="inlineStr">
        <is>
          <t>Conforms | Одговара</t>
        </is>
      </c>
      <c r="AJ142" s="256" t="inlineStr">
        <is>
          <t>iCoA-PP_26-179</t>
        </is>
      </c>
      <c r="AK142" s="256" t="inlineStr">
        <is>
          <t>24.08.2026</t>
        </is>
      </c>
      <c r="AL142" s="256" t="inlineStr">
        <is>
          <t>Purely Plant GmbH (in-house)</t>
        </is>
      </c>
      <c r="AM142" s="256" t="inlineStr">
        <is>
          <t>Conforms | Одговара</t>
        </is>
      </c>
      <c r="AN142" s="256" t="inlineStr">
        <is>
          <t>227-27-К/26</t>
        </is>
      </c>
      <c r="AO142" s="256" t="inlineStr">
        <is>
          <t>11.09.2026</t>
        </is>
      </c>
      <c r="AP142" s="256" t="inlineStr">
        <is>
          <t>Farmahem</t>
        </is>
      </c>
      <c r="AQ142" s="256" t="inlineStr">
        <is>
          <t>28.18</t>
        </is>
      </c>
      <c r="AR142" s="256" t="inlineStr">
        <is>
          <t>227-27-К/26</t>
        </is>
      </c>
      <c r="AS142" s="256" t="inlineStr">
        <is>
          <t>11.09.2026</t>
        </is>
      </c>
      <c r="AT142" s="256" t="inlineStr">
        <is>
          <t>Farmahem</t>
        </is>
      </c>
      <c r="AU142" s="256" t="inlineStr">
        <is>
          <t>&lt; LOQ</t>
        </is>
      </c>
      <c r="AV142" s="256" t="inlineStr">
        <is>
          <t>227-27-К/26</t>
        </is>
      </c>
      <c r="AW142" s="256" t="inlineStr">
        <is>
          <t>11.09.2026</t>
        </is>
      </c>
      <c r="AX142" s="256" t="inlineStr">
        <is>
          <t>Farmahem</t>
        </is>
      </c>
      <c r="AY142" s="256" t="inlineStr">
        <is>
          <t>&lt; LOQ</t>
        </is>
      </c>
      <c r="AZ142" s="256" t="inlineStr">
        <is>
          <t>227-27-К/26</t>
        </is>
      </c>
      <c r="BA142" s="256" t="inlineStr">
        <is>
          <t>11.09.2026</t>
        </is>
      </c>
      <c r="BB142" s="256" t="inlineStr">
        <is>
          <t>Farmahem</t>
        </is>
      </c>
      <c r="BC142" s="256" t="inlineStr">
        <is>
          <t>Conforms | Одговара</t>
        </is>
      </c>
      <c r="BD142" s="256" t="inlineStr">
        <is>
          <t>iCoA-PP_26-179</t>
        </is>
      </c>
      <c r="BE142" s="256" t="inlineStr">
        <is>
          <t>24.08.2026</t>
        </is>
      </c>
      <c r="BF142" s="256" t="inlineStr">
        <is>
          <t>Purely Plant GmbH (in-house)</t>
        </is>
      </c>
      <c r="BG142" s="256" t="inlineStr">
        <is>
          <t>8.22</t>
        </is>
      </c>
      <c r="BH142" s="256" t="inlineStr">
        <is>
          <t>ППК25367</t>
        </is>
      </c>
      <c r="BI142" s="256" t="inlineStr">
        <is>
          <t>28.11.2025</t>
        </is>
      </c>
      <c r="BJ142" s="256" t="inlineStr">
        <is>
          <t>UKIM Faculty of Pharmacy — Center for Natural Products</t>
        </is>
      </c>
      <c r="BK142" s="256" t="inlineStr">
        <is>
          <t>&lt; 10</t>
        </is>
      </c>
      <c r="BL142" s="256" t="inlineStr">
        <is>
          <t>556/1087/26</t>
        </is>
      </c>
      <c r="BM142" s="256" t="inlineStr">
        <is>
          <t>01.09.2026</t>
        </is>
      </c>
      <c r="BN142" s="256" t="inlineStr">
        <is>
          <t>IPH — Institute of Public Health</t>
        </is>
      </c>
      <c r="BO142" s="256" t="inlineStr">
        <is>
          <t>&lt; 10</t>
        </is>
      </c>
      <c r="BP142" s="256" t="inlineStr">
        <is>
          <t>556/1087/26</t>
        </is>
      </c>
      <c r="BQ142" s="256" t="inlineStr">
        <is>
          <t>01.09.2026</t>
        </is>
      </c>
      <c r="BR142" s="256" t="inlineStr">
        <is>
          <t>IPH — Institute of Public Health</t>
        </is>
      </c>
      <c r="BS142" s="256" t="inlineStr">
        <is>
          <t>&lt; 10</t>
        </is>
      </c>
      <c r="BT142" s="256" t="inlineStr">
        <is>
          <t>556/1087/26</t>
        </is>
      </c>
      <c r="BU142" s="256" t="inlineStr">
        <is>
          <t>01.09.2026</t>
        </is>
      </c>
      <c r="BV142" s="256" t="inlineStr">
        <is>
          <t>IPH — Institute of Public Health</t>
        </is>
      </c>
      <c r="BW142" s="256" t="inlineStr">
        <is>
          <t>Absent | Отсутна</t>
        </is>
      </c>
      <c r="BX142" s="256" t="inlineStr">
        <is>
          <t>556/1087/26</t>
        </is>
      </c>
      <c r="BY142" s="256" t="inlineStr">
        <is>
          <t>01.09.2026</t>
        </is>
      </c>
      <c r="BZ142" s="256" t="inlineStr">
        <is>
          <t>IPH — Institute of Public Health</t>
        </is>
      </c>
      <c r="CA142" s="256" t="inlineStr">
        <is>
          <t>Absent | Отсутна</t>
        </is>
      </c>
      <c r="CB142" s="256" t="inlineStr">
        <is>
          <t>556/1087/26</t>
        </is>
      </c>
      <c r="CC142" s="256" t="inlineStr">
        <is>
          <t>01.09.2026</t>
        </is>
      </c>
      <c r="CD142" s="256" t="inlineStr">
        <is>
          <t>IPH — Institute of Public Health</t>
        </is>
      </c>
      <c r="CE142" s="260" t="inlineStr">
        <is>
          <t>upon request — not required for release</t>
        </is>
      </c>
      <c r="CF142" s="256" t="inlineStr">
        <is>
          <t>—</t>
        </is>
      </c>
      <c r="CG142" s="256" t="inlineStr">
        <is>
          <t>—</t>
        </is>
      </c>
      <c r="CH142" s="256" t="inlineStr">
        <is>
          <t>—</t>
        </is>
      </c>
      <c r="CI142" s="260" t="inlineStr">
        <is>
          <t>upon request — not required for release</t>
        </is>
      </c>
      <c r="CJ142" s="256" t="inlineStr">
        <is>
          <t>—</t>
        </is>
      </c>
      <c r="CK142" s="256" t="inlineStr">
        <is>
          <t>—</t>
        </is>
      </c>
      <c r="CL142" s="256" t="inlineStr">
        <is>
          <t>—</t>
        </is>
      </c>
      <c r="CM142" s="256" t="inlineStr">
        <is>
          <t>ND</t>
        </is>
      </c>
      <c r="CN142" s="256" t="inlineStr">
        <is>
          <t>227-27-М/26</t>
        </is>
      </c>
      <c r="CO142" s="256" t="inlineStr">
        <is>
          <t>16.09.2026</t>
        </is>
      </c>
      <c r="CP142" s="256" t="inlineStr">
        <is>
          <t>Farmahem</t>
        </is>
      </c>
      <c r="CQ142" s="256" t="inlineStr">
        <is>
          <t>ND</t>
        </is>
      </c>
      <c r="CR142" s="256" t="inlineStr">
        <is>
          <t>227-27-М/26</t>
        </is>
      </c>
      <c r="CS142" s="256" t="inlineStr">
        <is>
          <t>16.09.2026</t>
        </is>
      </c>
      <c r="CT142" s="256" t="inlineStr">
        <is>
          <t>Farmahem</t>
        </is>
      </c>
      <c r="CU142" s="256" t="inlineStr">
        <is>
          <t>ND</t>
        </is>
      </c>
      <c r="CV142" s="256" t="inlineStr">
        <is>
          <t>227-27-М/26</t>
        </is>
      </c>
      <c r="CW142" s="256" t="inlineStr">
        <is>
          <t>16.09.2026</t>
        </is>
      </c>
      <c r="CX142" s="256" t="inlineStr">
        <is>
          <t>Farmahem</t>
        </is>
      </c>
      <c r="CY142" s="256" t="inlineStr">
        <is>
          <t>0.013</t>
        </is>
      </c>
      <c r="CZ142" s="256" t="inlineStr">
        <is>
          <t>5697/2025</t>
        </is>
      </c>
      <c r="DA142" s="256" t="inlineStr">
        <is>
          <t>02.12.2025</t>
        </is>
      </c>
      <c r="DB142" s="256" t="inlineStr">
        <is>
          <t>IPH — Institute of Public Health</t>
        </is>
      </c>
      <c r="DC142" s="256" t="inlineStr">
        <is>
          <t>0.004</t>
        </is>
      </c>
      <c r="DD142" s="256" t="inlineStr">
        <is>
          <t>5697/2025</t>
        </is>
      </c>
      <c r="DE142" s="256" t="inlineStr">
        <is>
          <t>02.12.2025</t>
        </is>
      </c>
      <c r="DF142" s="256" t="inlineStr">
        <is>
          <t>IPH — Institute of Public Health</t>
        </is>
      </c>
      <c r="DG142" s="256" t="inlineStr">
        <is>
          <t>0.011</t>
        </is>
      </c>
      <c r="DH142" s="256" t="inlineStr">
        <is>
          <t>5697/2025</t>
        </is>
      </c>
      <c r="DI142" s="256" t="inlineStr">
        <is>
          <t>02.12.2025</t>
        </is>
      </c>
      <c r="DJ142" s="256" t="inlineStr">
        <is>
          <t>IPH — Institute of Public Health</t>
        </is>
      </c>
      <c r="DK142" s="256" t="inlineStr">
        <is>
          <t>0.002</t>
        </is>
      </c>
      <c r="DL142" s="256" t="inlineStr">
        <is>
          <t>5697/2025</t>
        </is>
      </c>
      <c r="DM142" s="256" t="inlineStr">
        <is>
          <t>02.12.2025</t>
        </is>
      </c>
      <c r="DN142" s="256" t="inlineStr">
        <is>
          <t>IPH — Institute of Public Health</t>
        </is>
      </c>
      <c r="DO142" s="256" t="inlineStr">
        <is>
          <t>ND</t>
        </is>
      </c>
      <c r="DP142" s="256" t="inlineStr">
        <is>
          <t>5697/2025</t>
        </is>
      </c>
      <c r="DQ142" s="256" t="inlineStr">
        <is>
          <t>02.12.2025</t>
        </is>
      </c>
      <c r="DR142" s="256" t="inlineStr">
        <is>
          <t>IPH — Institute of Public Health</t>
        </is>
      </c>
    </row>
    <row r="143">
      <c r="A143" s="256" t="inlineStr">
        <is>
          <t>CoQ-PP_26-142</t>
        </is>
      </c>
      <c r="B143" s="256" t="inlineStr">
        <is>
          <t>reissue — retest</t>
        </is>
      </c>
      <c r="C143" s="256" t="inlineStr">
        <is>
          <t>allocated — code reserved, date provisional</t>
        </is>
      </c>
      <c r="D143" s="256" t="inlineStr">
        <is>
          <t>21.09.2026</t>
        </is>
      </c>
      <c r="E143" s="256" t="inlineStr">
        <is>
          <t>CoQ-PP_26-001 of 06.06.2026</t>
        </is>
      </c>
      <c r="F143" s="256" t="inlineStr">
        <is>
          <t>(assigned on issue)</t>
        </is>
      </c>
      <c r="G143" s="256" t="inlineStr">
        <is>
          <t>CJ1024</t>
        </is>
      </c>
      <c r="H143" s="256" t="inlineStr">
        <is>
          <t>— no P lot assigned —</t>
        </is>
      </c>
      <c r="I143" s="256" t="inlineStr">
        <is>
          <t>Cap Junky</t>
        </is>
      </c>
      <c r="J143" s="256" t="inlineStr">
        <is>
          <t>20.01.2025</t>
        </is>
      </c>
      <c r="K143" s="256" t="inlineStr">
        <is>
          <t>03.03.2025</t>
        </is>
      </c>
      <c r="L143" s="256" t="inlineStr">
        <is>
          <t>—</t>
        </is>
      </c>
      <c r="M143" s="256" t="inlineStr">
        <is>
          <t>—</t>
        </is>
      </c>
      <c r="N143" s="256" t="inlineStr">
        <is>
          <t>iCoA-PP_26-180</t>
        </is>
      </c>
      <c r="O143" s="256" t="inlineStr">
        <is>
          <t>24.08.2026</t>
        </is>
      </c>
      <c r="P143" s="256" t="inlineStr">
        <is>
          <t>21.08.2026</t>
        </is>
      </c>
      <c r="Q143" s="256" t="inlineStr">
        <is>
          <t>Tranche 3</t>
        </is>
      </c>
      <c r="R143" s="256" t="inlineStr">
        <is>
          <t>28.12</t>
        </is>
      </c>
      <c r="S143" s="256" t="inlineStr">
        <is>
          <t>227-26-К/26</t>
        </is>
      </c>
      <c r="T143" s="256" t="inlineStr">
        <is>
          <t>I</t>
        </is>
      </c>
      <c r="U143" s="256" t="inlineStr">
        <is>
          <t>26.40 – 29.59 %</t>
        </is>
      </c>
      <c r="V143" s="256" t="inlineStr">
        <is>
          <t>CJ_THC28 : CBD1</t>
        </is>
      </c>
      <c r="W143" s="256" t="inlineStr">
        <is>
          <t>QCSP_001_CJ-I_v.01</t>
        </is>
      </c>
      <c r="X143" s="256" t="inlineStr">
        <is>
          <t>for review — replaces the issued QCSP_001_CJ-I_v.01 (was CJ_THC28 : CBD1, 27.00 – 29.00 %); now CJ_THC28 : CBD1 26.40 – 29.59 %</t>
        </is>
      </c>
      <c r="Y143" s="256" t="inlineStr">
        <is>
          <t>HYBRID</t>
        </is>
      </c>
      <c r="Z143" s="256" t="inlineStr">
        <is>
          <t>THC</t>
        </is>
      </c>
      <c r="AA143" s="256" t="inlineStr">
        <is>
          <t>MACHINE TRIMMED</t>
        </is>
      </c>
      <c r="AB143" s="256" t="inlineStr">
        <is>
          <t>INDICA 60 : SATIVA 40</t>
        </is>
      </c>
      <c r="AC143" s="256" t="inlineStr">
        <is>
          <t>Triplex Alu Bag | Триплекс Aлу Kеса, PET 12 · ALU 7 · PE 80, 300 × 500 mm, net. 400.0 g ±3%</t>
        </is>
      </c>
      <c r="AD143" s="256" t="inlineStr">
        <is>
          <t>16.09.2026</t>
        </is>
      </c>
      <c r="AE143" s="256" t="inlineStr">
        <is>
          <t>Conforms | Одговара</t>
        </is>
      </c>
      <c r="AF143" s="256" t="inlineStr">
        <is>
          <t>iCoA-PP_26-180</t>
        </is>
      </c>
      <c r="AG143" s="256" t="inlineStr">
        <is>
          <t>24.08.2026</t>
        </is>
      </c>
      <c r="AH143" s="256" t="inlineStr">
        <is>
          <t>Purely Plant GmbH (in-house)</t>
        </is>
      </c>
      <c r="AI143" s="256" t="inlineStr">
        <is>
          <t>Conforms | Одговара</t>
        </is>
      </c>
      <c r="AJ143" s="256" t="inlineStr">
        <is>
          <t>iCoA-PP_26-180</t>
        </is>
      </c>
      <c r="AK143" s="256" t="inlineStr">
        <is>
          <t>24.08.2026</t>
        </is>
      </c>
      <c r="AL143" s="256" t="inlineStr">
        <is>
          <t>Purely Plant GmbH (in-house)</t>
        </is>
      </c>
      <c r="AM143" s="256" t="inlineStr">
        <is>
          <t>Conforms | Одговара</t>
        </is>
      </c>
      <c r="AN143" s="256" t="inlineStr">
        <is>
          <t>227-26-К/26</t>
        </is>
      </c>
      <c r="AO143" s="256" t="inlineStr">
        <is>
          <t>11.09.2026</t>
        </is>
      </c>
      <c r="AP143" s="256" t="inlineStr">
        <is>
          <t>Farmahem</t>
        </is>
      </c>
      <c r="AQ143" s="256" t="inlineStr">
        <is>
          <t>28.12</t>
        </is>
      </c>
      <c r="AR143" s="256" t="inlineStr">
        <is>
          <t>227-26-К/26</t>
        </is>
      </c>
      <c r="AS143" s="256" t="inlineStr">
        <is>
          <t>11.09.2026</t>
        </is>
      </c>
      <c r="AT143" s="256" t="inlineStr">
        <is>
          <t>Farmahem</t>
        </is>
      </c>
      <c r="AU143" s="256" t="inlineStr">
        <is>
          <t>&lt; LOQ</t>
        </is>
      </c>
      <c r="AV143" s="256" t="inlineStr">
        <is>
          <t>227-26-К/26</t>
        </is>
      </c>
      <c r="AW143" s="256" t="inlineStr">
        <is>
          <t>11.09.2026</t>
        </is>
      </c>
      <c r="AX143" s="256" t="inlineStr">
        <is>
          <t>Farmahem</t>
        </is>
      </c>
      <c r="AY143" s="256" t="inlineStr">
        <is>
          <t>0.20</t>
        </is>
      </c>
      <c r="AZ143" s="256" t="inlineStr">
        <is>
          <t>227-26-К/26</t>
        </is>
      </c>
      <c r="BA143" s="256" t="inlineStr">
        <is>
          <t>11.09.2026</t>
        </is>
      </c>
      <c r="BB143" s="256" t="inlineStr">
        <is>
          <t>Farmahem</t>
        </is>
      </c>
      <c r="BC143" s="256" t="inlineStr">
        <is>
          <t>Conforms | Одговара</t>
        </is>
      </c>
      <c r="BD143" s="256" t="inlineStr">
        <is>
          <t>iCoA-PP_26-180</t>
        </is>
      </c>
      <c r="BE143" s="256" t="inlineStr">
        <is>
          <t>24.08.2026</t>
        </is>
      </c>
      <c r="BF143" s="256" t="inlineStr">
        <is>
          <t>Purely Plant GmbH (in-house)</t>
        </is>
      </c>
      <c r="BG143" s="256" t="inlineStr">
        <is>
          <t>5.91</t>
        </is>
      </c>
      <c r="BH143" s="256" t="inlineStr">
        <is>
          <t>ППК25052</t>
        </is>
      </c>
      <c r="BI143" s="256" t="inlineStr">
        <is>
          <t>26.02.2025</t>
        </is>
      </c>
      <c r="BJ143" s="256" t="inlineStr">
        <is>
          <t>UKIM Faculty of Pharmacy — Center for Natural Products</t>
        </is>
      </c>
      <c r="BK143" s="256" t="inlineStr">
        <is>
          <t>&lt; 10</t>
        </is>
      </c>
      <c r="BL143" s="256" t="inlineStr">
        <is>
          <t>565/1096/26</t>
        </is>
      </c>
      <c r="BM143" s="256" t="inlineStr">
        <is>
          <t>01.09.2026</t>
        </is>
      </c>
      <c r="BN143" s="256" t="inlineStr">
        <is>
          <t>IPH — Institute of Public Health</t>
        </is>
      </c>
      <c r="BO143" s="256" t="inlineStr">
        <is>
          <t>10</t>
        </is>
      </c>
      <c r="BP143" s="256" t="inlineStr">
        <is>
          <t>565/1096/26</t>
        </is>
      </c>
      <c r="BQ143" s="256" t="inlineStr">
        <is>
          <t>01.09.2026</t>
        </is>
      </c>
      <c r="BR143" s="256" t="inlineStr">
        <is>
          <t>IPH — Institute of Public Health</t>
        </is>
      </c>
      <c r="BS143" s="256" t="inlineStr">
        <is>
          <t>&lt; 10</t>
        </is>
      </c>
      <c r="BT143" s="256" t="inlineStr">
        <is>
          <t>565/1096/26</t>
        </is>
      </c>
      <c r="BU143" s="256" t="inlineStr">
        <is>
          <t>01.09.2026</t>
        </is>
      </c>
      <c r="BV143" s="256" t="inlineStr">
        <is>
          <t>IPH — Institute of Public Health</t>
        </is>
      </c>
      <c r="BW143" s="256" t="inlineStr">
        <is>
          <t>Absent | Отсутна</t>
        </is>
      </c>
      <c r="BX143" s="256" t="inlineStr">
        <is>
          <t>565/1096/26</t>
        </is>
      </c>
      <c r="BY143" s="256" t="inlineStr">
        <is>
          <t>01.09.2026</t>
        </is>
      </c>
      <c r="BZ143" s="256" t="inlineStr">
        <is>
          <t>IPH — Institute of Public Health</t>
        </is>
      </c>
      <c r="CA143" s="256" t="inlineStr">
        <is>
          <t>Absent | Отсутна</t>
        </is>
      </c>
      <c r="CB143" s="256" t="inlineStr">
        <is>
          <t>565/1096/26</t>
        </is>
      </c>
      <c r="CC143" s="256" t="inlineStr">
        <is>
          <t>01.09.2026</t>
        </is>
      </c>
      <c r="CD143" s="256" t="inlineStr">
        <is>
          <t>IPH — Institute of Public Health</t>
        </is>
      </c>
      <c r="CE143" s="260" t="inlineStr">
        <is>
          <t>upon request — not required for release</t>
        </is>
      </c>
      <c r="CF143" s="256" t="inlineStr">
        <is>
          <t>—</t>
        </is>
      </c>
      <c r="CG143" s="256" t="inlineStr">
        <is>
          <t>—</t>
        </is>
      </c>
      <c r="CH143" s="256" t="inlineStr">
        <is>
          <t>—</t>
        </is>
      </c>
      <c r="CI143" s="260" t="inlineStr">
        <is>
          <t>upon request — not required for release</t>
        </is>
      </c>
      <c r="CJ143" s="256" t="inlineStr">
        <is>
          <t>—</t>
        </is>
      </c>
      <c r="CK143" s="256" t="inlineStr">
        <is>
          <t>—</t>
        </is>
      </c>
      <c r="CL143" s="256" t="inlineStr">
        <is>
          <t>—</t>
        </is>
      </c>
      <c r="CM143" s="256" t="inlineStr">
        <is>
          <t>ND</t>
        </is>
      </c>
      <c r="CN143" s="256" t="inlineStr">
        <is>
          <t>227-26-М/26</t>
        </is>
      </c>
      <c r="CO143" s="256" t="inlineStr">
        <is>
          <t>16.09.2026</t>
        </is>
      </c>
      <c r="CP143" s="256" t="inlineStr">
        <is>
          <t>Farmahem</t>
        </is>
      </c>
      <c r="CQ143" s="256" t="inlineStr">
        <is>
          <t>ND</t>
        </is>
      </c>
      <c r="CR143" s="256" t="inlineStr">
        <is>
          <t>227-26-М/26</t>
        </is>
      </c>
      <c r="CS143" s="256" t="inlineStr">
        <is>
          <t>16.09.2026</t>
        </is>
      </c>
      <c r="CT143" s="256" t="inlineStr">
        <is>
          <t>Farmahem</t>
        </is>
      </c>
      <c r="CU143" s="256" t="inlineStr">
        <is>
          <t>ND</t>
        </is>
      </c>
      <c r="CV143" s="256" t="inlineStr">
        <is>
          <t>227-26-М/26</t>
        </is>
      </c>
      <c r="CW143" s="256" t="inlineStr">
        <is>
          <t>16.09.2026</t>
        </is>
      </c>
      <c r="CX143" s="256" t="inlineStr">
        <is>
          <t>Farmahem</t>
        </is>
      </c>
      <c r="CY143" s="256" t="inlineStr">
        <is>
          <t>0.036</t>
        </is>
      </c>
      <c r="CZ143" s="256" t="inlineStr">
        <is>
          <t>750/2025</t>
        </is>
      </c>
      <c r="DA143" s="256" t="inlineStr">
        <is>
          <t>27.02.2025</t>
        </is>
      </c>
      <c r="DB143" s="256" t="inlineStr">
        <is>
          <t>IPH — Institute of Public Health</t>
        </is>
      </c>
      <c r="DC143" s="256" t="inlineStr">
        <is>
          <t>0.013</t>
        </is>
      </c>
      <c r="DD143" s="256" t="inlineStr">
        <is>
          <t>750/2025</t>
        </is>
      </c>
      <c r="DE143" s="256" t="inlineStr">
        <is>
          <t>27.02.2025</t>
        </is>
      </c>
      <c r="DF143" s="256" t="inlineStr">
        <is>
          <t>IPH — Institute of Public Health</t>
        </is>
      </c>
      <c r="DG143" s="256" t="inlineStr">
        <is>
          <t>0.063</t>
        </is>
      </c>
      <c r="DH143" s="256" t="inlineStr">
        <is>
          <t>750/2025</t>
        </is>
      </c>
      <c r="DI143" s="256" t="inlineStr">
        <is>
          <t>27.02.2025</t>
        </is>
      </c>
      <c r="DJ143" s="256" t="inlineStr">
        <is>
          <t>IPH — Institute of Public Health</t>
        </is>
      </c>
      <c r="DK143" s="256" t="inlineStr">
        <is>
          <t>0.006</t>
        </is>
      </c>
      <c r="DL143" s="256" t="inlineStr">
        <is>
          <t>750/2025</t>
        </is>
      </c>
      <c r="DM143" s="256" t="inlineStr">
        <is>
          <t>27.02.2025</t>
        </is>
      </c>
      <c r="DN143" s="256" t="inlineStr">
        <is>
          <t>IPH — Institute of Public Health</t>
        </is>
      </c>
      <c r="DO143" s="256" t="inlineStr">
        <is>
          <t>ND</t>
        </is>
      </c>
      <c r="DP143" s="256" t="inlineStr">
        <is>
          <t>750/2025</t>
        </is>
      </c>
      <c r="DQ143" s="256" t="inlineStr">
        <is>
          <t>27.02.2025</t>
        </is>
      </c>
      <c r="DR143" s="256" t="inlineStr">
        <is>
          <t>IPH — Institute of Public Health</t>
        </is>
      </c>
    </row>
    <row r="144">
      <c r="A144" s="256" t="inlineStr">
        <is>
          <t>CoQ-PP_26-143</t>
        </is>
      </c>
      <c r="B144" s="256" t="inlineStr">
        <is>
          <t>reissue — retest</t>
        </is>
      </c>
      <c r="C144" s="256" t="inlineStr">
        <is>
          <t>allocated — code reserved, date provisional</t>
        </is>
      </c>
      <c r="D144" s="256" t="inlineStr">
        <is>
          <t>21.09.2026</t>
        </is>
      </c>
      <c r="E144" s="256" t="inlineStr">
        <is>
          <t>CoQ-PP_26-079 of 07.07.2026</t>
        </is>
      </c>
      <c r="F144" s="256" t="inlineStr">
        <is>
          <t>(assigned on issue)</t>
        </is>
      </c>
      <c r="G144" s="256" t="inlineStr">
        <is>
          <t>FB012603</t>
        </is>
      </c>
      <c r="H144" s="256" t="inlineStr">
        <is>
          <t>— no P lot assigned —</t>
        </is>
      </c>
      <c r="I144" s="256" t="inlineStr">
        <is>
          <t>Fat Bastard</t>
        </is>
      </c>
      <c r="J144" s="256" t="inlineStr">
        <is>
          <t>04.05.2026</t>
        </is>
      </c>
      <c r="K144" s="256" t="inlineStr">
        <is>
          <t>15.06.2026</t>
        </is>
      </c>
      <c r="L144" s="256" t="inlineStr">
        <is>
          <t>—</t>
        </is>
      </c>
      <c r="M144" s="256" t="inlineStr">
        <is>
          <t>—</t>
        </is>
      </c>
      <c r="N144" s="256" t="inlineStr">
        <is>
          <t>iCoA-PP_26-181</t>
        </is>
      </c>
      <c r="O144" s="256" t="inlineStr">
        <is>
          <t>24.08.2026</t>
        </is>
      </c>
      <c r="P144" s="256" t="inlineStr">
        <is>
          <t>21.08.2026</t>
        </is>
      </c>
      <c r="Q144" s="256" t="inlineStr">
        <is>
          <t>Tranche 3</t>
        </is>
      </c>
      <c r="R144" s="256" t="inlineStr">
        <is>
          <t>20.00</t>
        </is>
      </c>
      <c r="S144" s="256" t="inlineStr">
        <is>
          <t>227-24-К/26</t>
        </is>
      </c>
      <c r="T144" s="256" t="inlineStr">
        <is>
          <t>I</t>
        </is>
      </c>
      <c r="U144" s="256" t="inlineStr">
        <is>
          <t>19.80 – 24.19 %</t>
        </is>
      </c>
      <c r="V144" s="256" t="inlineStr">
        <is>
          <t>FB_THC22 : CBD1</t>
        </is>
      </c>
      <c r="W144" s="256" t="inlineStr">
        <is>
          <t>QCSP_001_FB-I_v.01</t>
        </is>
      </c>
      <c r="X144" s="256" t="inlineStr">
        <is>
          <t>for review — replaces the issued QCSP_001_FB-I_v.01 (was FB_THC27.5:CBD1, 27.50% ± 2.63%); now FB_THC22 : CBD1 19.80 – 24.19 %</t>
        </is>
      </c>
      <c r="Y144" s="256" t="inlineStr">
        <is>
          <t>HYBRID</t>
        </is>
      </c>
      <c r="Z144" s="256" t="inlineStr">
        <is>
          <t>THC</t>
        </is>
      </c>
      <c r="AA144" s="256" t="inlineStr">
        <is>
          <t>MACHINE TRIMMED</t>
        </is>
      </c>
      <c r="AB144" s="256" t="inlineStr">
        <is>
          <t>BALANCED</t>
        </is>
      </c>
      <c r="AC144" s="256" t="inlineStr">
        <is>
          <t>Triplex Alu Bag | Триплекс Aлу Kеса, PET 12 · ALU 7 · PE 80, 300 × 500 mm, net. 400.0 g ±3%</t>
        </is>
      </c>
      <c r="AD144" s="256" t="inlineStr">
        <is>
          <t>11.09.2026</t>
        </is>
      </c>
      <c r="AE144" s="256" t="inlineStr">
        <is>
          <t>Conforms | Одговара</t>
        </is>
      </c>
      <c r="AF144" s="256" t="inlineStr">
        <is>
          <t>ППК26112</t>
        </is>
      </c>
      <c r="AG144" s="256" t="inlineStr">
        <is>
          <t>30.06.2026</t>
        </is>
      </c>
      <c r="AH144" s="256" t="inlineStr">
        <is>
          <t>UKIM Faculty of Pharmacy — Center for Natural Products</t>
        </is>
      </c>
      <c r="AI144" s="256" t="inlineStr">
        <is>
          <t>Conforms | Одговара</t>
        </is>
      </c>
      <c r="AJ144" s="256" t="inlineStr">
        <is>
          <t>ППК26112</t>
        </is>
      </c>
      <c r="AK144" s="256" t="inlineStr">
        <is>
          <t>30.06.2026</t>
        </is>
      </c>
      <c r="AL144" s="256" t="inlineStr">
        <is>
          <t>UKIM Faculty of Pharmacy — Center for Natural Products</t>
        </is>
      </c>
      <c r="AM144" s="256" t="inlineStr">
        <is>
          <t>Conforms | Одговара</t>
        </is>
      </c>
      <c r="AN144" s="256" t="inlineStr">
        <is>
          <t>227-24-К/26</t>
        </is>
      </c>
      <c r="AO144" s="256" t="inlineStr">
        <is>
          <t>11.09.2026</t>
        </is>
      </c>
      <c r="AP144" s="256" t="inlineStr">
        <is>
          <t>Farmahem</t>
        </is>
      </c>
      <c r="AQ144" s="256" t="inlineStr">
        <is>
          <t>20.00</t>
        </is>
      </c>
      <c r="AR144" s="256" t="inlineStr">
        <is>
          <t>227-24-К/26</t>
        </is>
      </c>
      <c r="AS144" s="256" t="inlineStr">
        <is>
          <t>11.09.2026</t>
        </is>
      </c>
      <c r="AT144" s="256" t="inlineStr">
        <is>
          <t>Farmahem</t>
        </is>
      </c>
      <c r="AU144" s="256" t="inlineStr">
        <is>
          <t>0.21</t>
        </is>
      </c>
      <c r="AV144" s="256" t="inlineStr">
        <is>
          <t>227-24-К/26</t>
        </is>
      </c>
      <c r="AW144" s="256" t="inlineStr">
        <is>
          <t>11.09.2026</t>
        </is>
      </c>
      <c r="AX144" s="256" t="inlineStr">
        <is>
          <t>Farmahem</t>
        </is>
      </c>
      <c r="AY144" s="256" t="inlineStr">
        <is>
          <t>&lt; LOQ</t>
        </is>
      </c>
      <c r="AZ144" s="256" t="inlineStr">
        <is>
          <t>227-24-К/26</t>
        </is>
      </c>
      <c r="BA144" s="256" t="inlineStr">
        <is>
          <t>11.09.2026</t>
        </is>
      </c>
      <c r="BB144" s="256" t="inlineStr">
        <is>
          <t>Farmahem</t>
        </is>
      </c>
      <c r="BC144" s="256" t="inlineStr">
        <is>
          <t>Conforms | Одговара</t>
        </is>
      </c>
      <c r="BD144" s="256" t="inlineStr">
        <is>
          <t>ППК26112</t>
        </is>
      </c>
      <c r="BE144" s="256" t="inlineStr">
        <is>
          <t>30.06.2026</t>
        </is>
      </c>
      <c r="BF144" s="256" t="inlineStr">
        <is>
          <t>UKIM Faculty of Pharmacy — Center for Natural Products</t>
        </is>
      </c>
      <c r="BG144" s="256" t="inlineStr">
        <is>
          <t>7.04</t>
        </is>
      </c>
      <c r="BH144" s="256" t="inlineStr">
        <is>
          <t>ППК26112</t>
        </is>
      </c>
      <c r="BI144" s="256" t="inlineStr">
        <is>
          <t>30.06.2026</t>
        </is>
      </c>
      <c r="BJ144" s="256" t="inlineStr">
        <is>
          <t>UKIM Faculty of Pharmacy — Center for Natural Products</t>
        </is>
      </c>
      <c r="BK144" s="256" t="inlineStr">
        <is>
          <t>9,8 × 10³</t>
        </is>
      </c>
      <c r="BL144" s="256" t="inlineStr">
        <is>
          <t>537/1068/26</t>
        </is>
      </c>
      <c r="BM144" s="256" t="inlineStr">
        <is>
          <t>31.08.2026</t>
        </is>
      </c>
      <c r="BN144" s="256" t="inlineStr">
        <is>
          <t>IPH — Institute of Public Health</t>
        </is>
      </c>
      <c r="BO144" s="256" t="inlineStr">
        <is>
          <t>2,5 × 10³</t>
        </is>
      </c>
      <c r="BP144" s="256" t="inlineStr">
        <is>
          <t>537/1068/26</t>
        </is>
      </c>
      <c r="BQ144" s="256" t="inlineStr">
        <is>
          <t>31.08.2026</t>
        </is>
      </c>
      <c r="BR144" s="256" t="inlineStr">
        <is>
          <t>IPH — Institute of Public Health</t>
        </is>
      </c>
      <c r="BS144" s="256" t="inlineStr">
        <is>
          <t>&lt; 10² and &gt; 10</t>
        </is>
      </c>
      <c r="BT144" s="256" t="inlineStr">
        <is>
          <t>537/1068/26</t>
        </is>
      </c>
      <c r="BU144" s="256" t="inlineStr">
        <is>
          <t>31.08.2026</t>
        </is>
      </c>
      <c r="BV144" s="256" t="inlineStr">
        <is>
          <t>IPH — Institute of Public Health</t>
        </is>
      </c>
      <c r="BW144" s="256" t="inlineStr">
        <is>
          <t>Absent | Отсутна</t>
        </is>
      </c>
      <c r="BX144" s="256" t="inlineStr">
        <is>
          <t>537/1068/26</t>
        </is>
      </c>
      <c r="BY144" s="256" t="inlineStr">
        <is>
          <t>31.08.2026</t>
        </is>
      </c>
      <c r="BZ144" s="256" t="inlineStr">
        <is>
          <t>IPH — Institute of Public Health</t>
        </is>
      </c>
      <c r="CA144" s="256" t="inlineStr">
        <is>
          <t>Absent | Отсутна</t>
        </is>
      </c>
      <c r="CB144" s="256" t="inlineStr">
        <is>
          <t>537/1068/26</t>
        </is>
      </c>
      <c r="CC144" s="256" t="inlineStr">
        <is>
          <t>31.08.2026</t>
        </is>
      </c>
      <c r="CD144" s="256" t="inlineStr">
        <is>
          <t>IPH — Institute of Public Health</t>
        </is>
      </c>
      <c r="CE144" s="260" t="inlineStr">
        <is>
          <t>upon request — not required for release</t>
        </is>
      </c>
      <c r="CF144" s="256" t="inlineStr">
        <is>
          <t>—</t>
        </is>
      </c>
      <c r="CG144" s="256" t="inlineStr">
        <is>
          <t>—</t>
        </is>
      </c>
      <c r="CH144" s="256" t="inlineStr">
        <is>
          <t>—</t>
        </is>
      </c>
      <c r="CI144" s="260" t="inlineStr">
        <is>
          <t>upon request — not required for release</t>
        </is>
      </c>
      <c r="CJ144" s="256" t="inlineStr">
        <is>
          <t>—</t>
        </is>
      </c>
      <c r="CK144" s="256" t="inlineStr">
        <is>
          <t>—</t>
        </is>
      </c>
      <c r="CL144" s="256" t="inlineStr">
        <is>
          <t>—</t>
        </is>
      </c>
      <c r="CM144" s="256" t="inlineStr">
        <is>
          <t>ND</t>
        </is>
      </c>
      <c r="CN144" s="256" t="inlineStr">
        <is>
          <t>227-24-М/26</t>
        </is>
      </c>
      <c r="CO144" s="256" t="inlineStr">
        <is>
          <t>16.09.2026</t>
        </is>
      </c>
      <c r="CP144" s="256" t="inlineStr">
        <is>
          <t>Farmahem</t>
        </is>
      </c>
      <c r="CQ144" s="256" t="inlineStr">
        <is>
          <t>ND</t>
        </is>
      </c>
      <c r="CR144" s="256" t="inlineStr">
        <is>
          <t>227-24-М/26</t>
        </is>
      </c>
      <c r="CS144" s="256" t="inlineStr">
        <is>
          <t>16.09.2026</t>
        </is>
      </c>
      <c r="CT144" s="256" t="inlineStr">
        <is>
          <t>Farmahem</t>
        </is>
      </c>
      <c r="CU144" s="256" t="inlineStr">
        <is>
          <t>ND</t>
        </is>
      </c>
      <c r="CV144" s="256" t="inlineStr">
        <is>
          <t>227-24-М/26</t>
        </is>
      </c>
      <c r="CW144" s="256" t="inlineStr">
        <is>
          <t>16.09.2026</t>
        </is>
      </c>
      <c r="CX144" s="256" t="inlineStr">
        <is>
          <t>Farmahem</t>
        </is>
      </c>
      <c r="CY144" s="256" t="inlineStr">
        <is>
          <t>carried from the initial testing — not tested</t>
        </is>
      </c>
      <c r="CZ144" s="256" t="inlineStr">
        <is>
          <t>—</t>
        </is>
      </c>
      <c r="DA144" s="256" t="inlineStr">
        <is>
          <t>—</t>
        </is>
      </c>
      <c r="DB144" s="256" t="inlineStr">
        <is>
          <t>—</t>
        </is>
      </c>
      <c r="DC144" s="256" t="inlineStr">
        <is>
          <t>carried from the initial testing — not tested</t>
        </is>
      </c>
      <c r="DD144" s="256" t="inlineStr">
        <is>
          <t>—</t>
        </is>
      </c>
      <c r="DE144" s="256" t="inlineStr">
        <is>
          <t>—</t>
        </is>
      </c>
      <c r="DF144" s="256" t="inlineStr">
        <is>
          <t>—</t>
        </is>
      </c>
      <c r="DG144" s="256" t="inlineStr">
        <is>
          <t>carried from the initial testing — not tested</t>
        </is>
      </c>
      <c r="DH144" s="256" t="inlineStr">
        <is>
          <t>—</t>
        </is>
      </c>
      <c r="DI144" s="256" t="inlineStr">
        <is>
          <t>—</t>
        </is>
      </c>
      <c r="DJ144" s="256" t="inlineStr">
        <is>
          <t>—</t>
        </is>
      </c>
      <c r="DK144" s="256" t="inlineStr">
        <is>
          <t>carried from the initial testing — not tested</t>
        </is>
      </c>
      <c r="DL144" s="256" t="inlineStr">
        <is>
          <t>—</t>
        </is>
      </c>
      <c r="DM144" s="256" t="inlineStr">
        <is>
          <t>—</t>
        </is>
      </c>
      <c r="DN144" s="256" t="inlineStr">
        <is>
          <t>—</t>
        </is>
      </c>
      <c r="DO144" s="256" t="inlineStr">
        <is>
          <t>carried from the initial testing — not tested</t>
        </is>
      </c>
      <c r="DP144" s="256" t="inlineStr">
        <is>
          <t>—</t>
        </is>
      </c>
      <c r="DQ144" s="256" t="inlineStr">
        <is>
          <t>—</t>
        </is>
      </c>
      <c r="DR144" s="256" t="inlineStr">
        <is>
          <t>—</t>
        </is>
      </c>
    </row>
    <row r="145">
      <c r="A145" s="256" t="inlineStr">
        <is>
          <t>CoQ-PP_26-144</t>
        </is>
      </c>
      <c r="B145" s="256" t="inlineStr">
        <is>
          <t>reissue — retest</t>
        </is>
      </c>
      <c r="C145" s="256" t="inlineStr">
        <is>
          <t>allocated — code reserved, date provisional</t>
        </is>
      </c>
      <c r="D145" s="256" t="inlineStr">
        <is>
          <t>21.09.2026</t>
        </is>
      </c>
      <c r="E145" s="256" t="inlineStr">
        <is>
          <t>CoQ-PP_26-075 of 07.07.2026</t>
        </is>
      </c>
      <c r="F145" s="256" t="inlineStr">
        <is>
          <t>(assigned on issue)</t>
        </is>
      </c>
      <c r="G145" s="256" t="inlineStr">
        <is>
          <t>FB012603V</t>
        </is>
      </c>
      <c r="H145" s="256" t="inlineStr">
        <is>
          <t>— no P lot assigned —</t>
        </is>
      </c>
      <c r="I145" s="256" t="inlineStr">
        <is>
          <t>Fat Bastard</t>
        </is>
      </c>
      <c r="J145" s="256" t="inlineStr">
        <is>
          <t>29.04.2026</t>
        </is>
      </c>
      <c r="K145" s="256" t="inlineStr">
        <is>
          <t>23.05.2026</t>
        </is>
      </c>
      <c r="L145" s="256" t="inlineStr">
        <is>
          <t>—</t>
        </is>
      </c>
      <c r="M145" s="256" t="inlineStr">
        <is>
          <t>—</t>
        </is>
      </c>
      <c r="N145" s="256" t="inlineStr">
        <is>
          <t>iCoA-PP_26-182</t>
        </is>
      </c>
      <c r="O145" s="256" t="inlineStr">
        <is>
          <t>24.08.2026</t>
        </is>
      </c>
      <c r="P145" s="256" t="inlineStr">
        <is>
          <t>21.08.2026</t>
        </is>
      </c>
      <c r="Q145" s="256" t="inlineStr">
        <is>
          <t>Tranche 3</t>
        </is>
      </c>
      <c r="R145" s="256" t="inlineStr">
        <is>
          <t>19.31</t>
        </is>
      </c>
      <c r="S145" s="256" t="inlineStr">
        <is>
          <t>227-23-К/26</t>
        </is>
      </c>
      <c r="T145" s="256" t="inlineStr">
        <is>
          <t>II</t>
        </is>
      </c>
      <c r="U145" s="256" t="inlineStr">
        <is>
          <t>16.20 – 19.79 %</t>
        </is>
      </c>
      <c r="V145" s="256" t="inlineStr">
        <is>
          <t>FB_THC18 : CBD1</t>
        </is>
      </c>
      <c r="W145" s="256" t="inlineStr">
        <is>
          <t>QCSP_001_FB-II_v.01</t>
        </is>
      </c>
      <c r="X145" s="256" t="inlineStr">
        <is>
          <t>for review — replaces the issued QCSP_001_FB-II_v.01 (was FB_THC18 : CBD1, 17.15 – 18.85 %); now FB_THC18 : CBD1 16.20 – 19.79 %</t>
        </is>
      </c>
      <c r="Y145" s="256" t="inlineStr">
        <is>
          <t>HYBRID</t>
        </is>
      </c>
      <c r="Z145" s="256" t="inlineStr">
        <is>
          <t>THC</t>
        </is>
      </c>
      <c r="AA145" s="256" t="inlineStr">
        <is>
          <t>MACHINE TRIMMED</t>
        </is>
      </c>
      <c r="AB145" s="256" t="inlineStr">
        <is>
          <t>BALANCED</t>
        </is>
      </c>
      <c r="AC145" s="256" t="inlineStr">
        <is>
          <t>Triplex Alu Bag | Триплекс Aлу Kеса, PET 12 · ALU 7 · PE 80, 300 × 500 mm, net. 400.0 g ±3%</t>
        </is>
      </c>
      <c r="AD145" s="256" t="inlineStr">
        <is>
          <t>11.09.2026</t>
        </is>
      </c>
      <c r="AE145" s="256" t="inlineStr">
        <is>
          <t>Conforms | Одговара</t>
        </is>
      </c>
      <c r="AF145" s="256" t="inlineStr">
        <is>
          <t>ППК26110</t>
        </is>
      </c>
      <c r="AG145" s="256" t="inlineStr">
        <is>
          <t>30.06.2026</t>
        </is>
      </c>
      <c r="AH145" s="256" t="inlineStr">
        <is>
          <t>UKIM Faculty of Pharmacy — Center for Natural Products</t>
        </is>
      </c>
      <c r="AI145" s="256" t="inlineStr">
        <is>
          <t>Conforms | Одговара</t>
        </is>
      </c>
      <c r="AJ145" s="256" t="inlineStr">
        <is>
          <t>ППК26110</t>
        </is>
      </c>
      <c r="AK145" s="256" t="inlineStr">
        <is>
          <t>30.06.2026</t>
        </is>
      </c>
      <c r="AL145" s="256" t="inlineStr">
        <is>
          <t>UKIM Faculty of Pharmacy — Center for Natural Products</t>
        </is>
      </c>
      <c r="AM145" s="256" t="inlineStr">
        <is>
          <t>Conforms | Одговара</t>
        </is>
      </c>
      <c r="AN145" s="256" t="inlineStr">
        <is>
          <t>227-23-К/26</t>
        </is>
      </c>
      <c r="AO145" s="256" t="inlineStr">
        <is>
          <t>11.09.2026</t>
        </is>
      </c>
      <c r="AP145" s="256" t="inlineStr">
        <is>
          <t>Farmahem</t>
        </is>
      </c>
      <c r="AQ145" s="256" t="inlineStr">
        <is>
          <t>19.31</t>
        </is>
      </c>
      <c r="AR145" s="256" t="inlineStr">
        <is>
          <t>227-23-К/26</t>
        </is>
      </c>
      <c r="AS145" s="256" t="inlineStr">
        <is>
          <t>11.09.2026</t>
        </is>
      </c>
      <c r="AT145" s="256" t="inlineStr">
        <is>
          <t>Farmahem</t>
        </is>
      </c>
      <c r="AU145" s="256" t="inlineStr">
        <is>
          <t>&lt; LOQ</t>
        </is>
      </c>
      <c r="AV145" s="256" t="inlineStr">
        <is>
          <t>227-23-К/26</t>
        </is>
      </c>
      <c r="AW145" s="256" t="inlineStr">
        <is>
          <t>11.09.2026</t>
        </is>
      </c>
      <c r="AX145" s="256" t="inlineStr">
        <is>
          <t>Farmahem</t>
        </is>
      </c>
      <c r="AY145" s="256" t="inlineStr">
        <is>
          <t>&lt; LOQ</t>
        </is>
      </c>
      <c r="AZ145" s="256" t="inlineStr">
        <is>
          <t>227-23-К/26</t>
        </is>
      </c>
      <c r="BA145" s="256" t="inlineStr">
        <is>
          <t>11.09.2026</t>
        </is>
      </c>
      <c r="BB145" s="256" t="inlineStr">
        <is>
          <t>Farmahem</t>
        </is>
      </c>
      <c r="BC145" s="256" t="inlineStr">
        <is>
          <t>Conforms | Одговара</t>
        </is>
      </c>
      <c r="BD145" s="256" t="inlineStr">
        <is>
          <t>ППК26110</t>
        </is>
      </c>
      <c r="BE145" s="256" t="inlineStr">
        <is>
          <t>30.06.2026</t>
        </is>
      </c>
      <c r="BF145" s="256" t="inlineStr">
        <is>
          <t>UKIM Faculty of Pharmacy — Center for Natural Products</t>
        </is>
      </c>
      <c r="BG145" s="256" t="inlineStr">
        <is>
          <t>6.36</t>
        </is>
      </c>
      <c r="BH145" s="256" t="inlineStr">
        <is>
          <t>ППК26110</t>
        </is>
      </c>
      <c r="BI145" s="256" t="inlineStr">
        <is>
          <t>30.06.2026</t>
        </is>
      </c>
      <c r="BJ145" s="256" t="inlineStr">
        <is>
          <t>UKIM Faculty of Pharmacy — Center for Natural Products</t>
        </is>
      </c>
      <c r="BK145" s="256" t="inlineStr">
        <is>
          <t>2,9 × 10³</t>
        </is>
      </c>
      <c r="BL145" s="256" t="inlineStr">
        <is>
          <t>538/1069/26</t>
        </is>
      </c>
      <c r="BM145" s="256" t="inlineStr">
        <is>
          <t>31.08.2026</t>
        </is>
      </c>
      <c r="BN145" s="256" t="inlineStr">
        <is>
          <t>IPH — Institute of Public Health</t>
        </is>
      </c>
      <c r="BO145" s="256" t="inlineStr">
        <is>
          <t>2,5 × 10³</t>
        </is>
      </c>
      <c r="BP145" s="256" t="inlineStr">
        <is>
          <t>538/1069/26</t>
        </is>
      </c>
      <c r="BQ145" s="256" t="inlineStr">
        <is>
          <t>31.08.2026</t>
        </is>
      </c>
      <c r="BR145" s="256" t="inlineStr">
        <is>
          <t>IPH — Institute of Public Health</t>
        </is>
      </c>
      <c r="BS145" s="256" t="inlineStr">
        <is>
          <t>&lt; 10</t>
        </is>
      </c>
      <c r="BT145" s="256" t="inlineStr">
        <is>
          <t>538/1069/26</t>
        </is>
      </c>
      <c r="BU145" s="256" t="inlineStr">
        <is>
          <t>31.08.2026</t>
        </is>
      </c>
      <c r="BV145" s="256" t="inlineStr">
        <is>
          <t>IPH — Institute of Public Health</t>
        </is>
      </c>
      <c r="BW145" s="256" t="inlineStr">
        <is>
          <t>Absent | Отсутна</t>
        </is>
      </c>
      <c r="BX145" s="256" t="inlineStr">
        <is>
          <t>538/1069/26</t>
        </is>
      </c>
      <c r="BY145" s="256" t="inlineStr">
        <is>
          <t>31.08.2026</t>
        </is>
      </c>
      <c r="BZ145" s="256" t="inlineStr">
        <is>
          <t>IPH — Institute of Public Health</t>
        </is>
      </c>
      <c r="CA145" s="256" t="inlineStr">
        <is>
          <t>Absent | Отсутна</t>
        </is>
      </c>
      <c r="CB145" s="256" t="inlineStr">
        <is>
          <t>538/1069/26</t>
        </is>
      </c>
      <c r="CC145" s="256" t="inlineStr">
        <is>
          <t>31.08.2026</t>
        </is>
      </c>
      <c r="CD145" s="256" t="inlineStr">
        <is>
          <t>IPH — Institute of Public Health</t>
        </is>
      </c>
      <c r="CE145" s="260" t="inlineStr">
        <is>
          <t>upon request — not required for release</t>
        </is>
      </c>
      <c r="CF145" s="256" t="inlineStr">
        <is>
          <t>—</t>
        </is>
      </c>
      <c r="CG145" s="256" t="inlineStr">
        <is>
          <t>—</t>
        </is>
      </c>
      <c r="CH145" s="256" t="inlineStr">
        <is>
          <t>—</t>
        </is>
      </c>
      <c r="CI145" s="260" t="inlineStr">
        <is>
          <t>upon request — not required for release</t>
        </is>
      </c>
      <c r="CJ145" s="256" t="inlineStr">
        <is>
          <t>—</t>
        </is>
      </c>
      <c r="CK145" s="256" t="inlineStr">
        <is>
          <t>—</t>
        </is>
      </c>
      <c r="CL145" s="256" t="inlineStr">
        <is>
          <t>—</t>
        </is>
      </c>
      <c r="CM145" s="256" t="inlineStr">
        <is>
          <t>ND</t>
        </is>
      </c>
      <c r="CN145" s="256" t="inlineStr">
        <is>
          <t>227-23-М/26</t>
        </is>
      </c>
      <c r="CO145" s="256" t="inlineStr">
        <is>
          <t>16.09.2026</t>
        </is>
      </c>
      <c r="CP145" s="256" t="inlineStr">
        <is>
          <t>Farmahem</t>
        </is>
      </c>
      <c r="CQ145" s="256" t="inlineStr">
        <is>
          <t>ND</t>
        </is>
      </c>
      <c r="CR145" s="256" t="inlineStr">
        <is>
          <t>227-23-М/26</t>
        </is>
      </c>
      <c r="CS145" s="256" t="inlineStr">
        <is>
          <t>16.09.2026</t>
        </is>
      </c>
      <c r="CT145" s="256" t="inlineStr">
        <is>
          <t>Farmahem</t>
        </is>
      </c>
      <c r="CU145" s="256" t="inlineStr">
        <is>
          <t>ND</t>
        </is>
      </c>
      <c r="CV145" s="256" t="inlineStr">
        <is>
          <t>227-23-М/26</t>
        </is>
      </c>
      <c r="CW145" s="256" t="inlineStr">
        <is>
          <t>16.09.2026</t>
        </is>
      </c>
      <c r="CX145" s="256" t="inlineStr">
        <is>
          <t>Farmahem</t>
        </is>
      </c>
      <c r="CY145" s="256" t="inlineStr">
        <is>
          <t>carried from the initial testing — not tested</t>
        </is>
      </c>
      <c r="CZ145" s="256" t="inlineStr">
        <is>
          <t>—</t>
        </is>
      </c>
      <c r="DA145" s="256" t="inlineStr">
        <is>
          <t>—</t>
        </is>
      </c>
      <c r="DB145" s="256" t="inlineStr">
        <is>
          <t>—</t>
        </is>
      </c>
      <c r="DC145" s="256" t="inlineStr">
        <is>
          <t>carried from the initial testing — not tested</t>
        </is>
      </c>
      <c r="DD145" s="256" t="inlineStr">
        <is>
          <t>—</t>
        </is>
      </c>
      <c r="DE145" s="256" t="inlineStr">
        <is>
          <t>—</t>
        </is>
      </c>
      <c r="DF145" s="256" t="inlineStr">
        <is>
          <t>—</t>
        </is>
      </c>
      <c r="DG145" s="256" t="inlineStr">
        <is>
          <t>carried from the initial testing — not tested</t>
        </is>
      </c>
      <c r="DH145" s="256" t="inlineStr">
        <is>
          <t>—</t>
        </is>
      </c>
      <c r="DI145" s="256" t="inlineStr">
        <is>
          <t>—</t>
        </is>
      </c>
      <c r="DJ145" s="256" t="inlineStr">
        <is>
          <t>—</t>
        </is>
      </c>
      <c r="DK145" s="256" t="inlineStr">
        <is>
          <t>carried from the initial testing — not tested</t>
        </is>
      </c>
      <c r="DL145" s="256" t="inlineStr">
        <is>
          <t>—</t>
        </is>
      </c>
      <c r="DM145" s="256" t="inlineStr">
        <is>
          <t>—</t>
        </is>
      </c>
      <c r="DN145" s="256" t="inlineStr">
        <is>
          <t>—</t>
        </is>
      </c>
      <c r="DO145" s="256" t="inlineStr">
        <is>
          <t>carried from the initial testing — not tested</t>
        </is>
      </c>
      <c r="DP145" s="256" t="inlineStr">
        <is>
          <t>—</t>
        </is>
      </c>
      <c r="DQ145" s="256" t="inlineStr">
        <is>
          <t>—</t>
        </is>
      </c>
      <c r="DR145" s="256" t="inlineStr">
        <is>
          <t>—</t>
        </is>
      </c>
    </row>
    <row r="146">
      <c r="A146" s="256" t="inlineStr">
        <is>
          <t>CoQ-PP_26-145</t>
        </is>
      </c>
      <c r="B146" s="256" t="inlineStr">
        <is>
          <t>reissue — retest</t>
        </is>
      </c>
      <c r="C146" s="256" t="inlineStr">
        <is>
          <t>allocated — code reserved, date provisional</t>
        </is>
      </c>
      <c r="D146" s="256" t="inlineStr">
        <is>
          <t>21.09.2026</t>
        </is>
      </c>
      <c r="E146" s="256" t="inlineStr">
        <is>
          <t>CoQ-PP_26-065 of 06.06.2026</t>
        </is>
      </c>
      <c r="F146" s="256" t="inlineStr">
        <is>
          <t>(assigned on issue)</t>
        </is>
      </c>
      <c r="G146" s="256" t="inlineStr">
        <is>
          <t>FB112501</t>
        </is>
      </c>
      <c r="H146" s="256" t="inlineStr">
        <is>
          <t>— no P lot assigned —</t>
        </is>
      </c>
      <c r="I146" s="256" t="inlineStr">
        <is>
          <t>Fat Bastard</t>
        </is>
      </c>
      <c r="J146" s="256" t="inlineStr">
        <is>
          <t>25.03.2026</t>
        </is>
      </c>
      <c r="K146" s="256" t="inlineStr">
        <is>
          <t>19.05.2026</t>
        </is>
      </c>
      <c r="L146" s="256" t="inlineStr">
        <is>
          <t>—</t>
        </is>
      </c>
      <c r="M146" s="256" t="inlineStr">
        <is>
          <t>—</t>
        </is>
      </c>
      <c r="N146" s="256" t="inlineStr">
        <is>
          <t>iCoA-PP_26-183</t>
        </is>
      </c>
      <c r="O146" s="256" t="inlineStr">
        <is>
          <t>24.08.2026</t>
        </is>
      </c>
      <c r="P146" s="256" t="inlineStr">
        <is>
          <t>21.08.2026</t>
        </is>
      </c>
      <c r="Q146" s="256" t="inlineStr">
        <is>
          <t>Tranche 3</t>
        </is>
      </c>
      <c r="R146" s="256" t="inlineStr">
        <is>
          <t>18.75</t>
        </is>
      </c>
      <c r="S146" s="256" t="inlineStr">
        <is>
          <t>227-22-К/26</t>
        </is>
      </c>
      <c r="T146" s="256" t="inlineStr">
        <is>
          <t>II</t>
        </is>
      </c>
      <c r="U146" s="256" t="inlineStr">
        <is>
          <t>16.20 – 19.79 %</t>
        </is>
      </c>
      <c r="V146" s="256" t="inlineStr">
        <is>
          <t>FB_THC18 : CBD1</t>
        </is>
      </c>
      <c r="W146" s="256" t="inlineStr">
        <is>
          <t>QCSP_001_FB-II_v.01</t>
        </is>
      </c>
      <c r="X146" s="256" t="inlineStr">
        <is>
          <t>for review — replaces the issued QCSP_001_FB-II_v.01 (was FB_THC18 : CBD1, 17.15 – 18.85 %); now FB_THC18 : CBD1 16.20 – 19.79 %</t>
        </is>
      </c>
      <c r="Y146" s="256" t="inlineStr">
        <is>
          <t>HYBRID</t>
        </is>
      </c>
      <c r="Z146" s="256" t="inlineStr">
        <is>
          <t>THC</t>
        </is>
      </c>
      <c r="AA146" s="256" t="inlineStr">
        <is>
          <t>MACHINE TRIMMED</t>
        </is>
      </c>
      <c r="AB146" s="256" t="inlineStr">
        <is>
          <t>BALANCED</t>
        </is>
      </c>
      <c r="AC146" s="256" t="inlineStr">
        <is>
          <t>Triplex Alu Bag | Триплекс Aлу Kеса, PET 12 · ALU 7 · PE 80, 300 × 500 mm, net. 400.0 g ±3%</t>
        </is>
      </c>
      <c r="AD146" s="256" t="inlineStr">
        <is>
          <t>16.09.2026</t>
        </is>
      </c>
      <c r="AE146" s="256" t="inlineStr">
        <is>
          <t>Conforms | Одговара</t>
        </is>
      </c>
      <c r="AF146" s="256" t="inlineStr">
        <is>
          <t>iCoA-PP_26-183</t>
        </is>
      </c>
      <c r="AG146" s="256" t="inlineStr">
        <is>
          <t>24.08.2026</t>
        </is>
      </c>
      <c r="AH146" s="256" t="inlineStr">
        <is>
          <t>Purely Plant GmbH (in-house)</t>
        </is>
      </c>
      <c r="AI146" s="256" t="inlineStr">
        <is>
          <t>Conforms | Одговара</t>
        </is>
      </c>
      <c r="AJ146" s="256" t="inlineStr">
        <is>
          <t>iCoA-PP_26-183</t>
        </is>
      </c>
      <c r="AK146" s="256" t="inlineStr">
        <is>
          <t>24.08.2026</t>
        </is>
      </c>
      <c r="AL146" s="256" t="inlineStr">
        <is>
          <t>Purely Plant GmbH (in-house)</t>
        </is>
      </c>
      <c r="AM146" s="256" t="inlineStr">
        <is>
          <t>Conforms | Одговара</t>
        </is>
      </c>
      <c r="AN146" s="256" t="inlineStr">
        <is>
          <t>227-22-К/26</t>
        </is>
      </c>
      <c r="AO146" s="256" t="inlineStr">
        <is>
          <t>11.09.2026</t>
        </is>
      </c>
      <c r="AP146" s="256" t="inlineStr">
        <is>
          <t>Farmahem</t>
        </is>
      </c>
      <c r="AQ146" s="256" t="inlineStr">
        <is>
          <t>18.75</t>
        </is>
      </c>
      <c r="AR146" s="256" t="inlineStr">
        <is>
          <t>227-22-К/26</t>
        </is>
      </c>
      <c r="AS146" s="256" t="inlineStr">
        <is>
          <t>11.09.2026</t>
        </is>
      </c>
      <c r="AT146" s="256" t="inlineStr">
        <is>
          <t>Farmahem</t>
        </is>
      </c>
      <c r="AU146" s="256" t="inlineStr">
        <is>
          <t>&lt; LOQ</t>
        </is>
      </c>
      <c r="AV146" s="256" t="inlineStr">
        <is>
          <t>227-22-К/26</t>
        </is>
      </c>
      <c r="AW146" s="256" t="inlineStr">
        <is>
          <t>11.09.2026</t>
        </is>
      </c>
      <c r="AX146" s="256" t="inlineStr">
        <is>
          <t>Farmahem</t>
        </is>
      </c>
      <c r="AY146" s="256" t="inlineStr">
        <is>
          <t>&lt; LOQ</t>
        </is>
      </c>
      <c r="AZ146" s="256" t="inlineStr">
        <is>
          <t>227-22-К/26</t>
        </is>
      </c>
      <c r="BA146" s="256" t="inlineStr">
        <is>
          <t>11.09.2026</t>
        </is>
      </c>
      <c r="BB146" s="256" t="inlineStr">
        <is>
          <t>Farmahem</t>
        </is>
      </c>
      <c r="BC146" s="256" t="inlineStr">
        <is>
          <t>Conforms | Одговара</t>
        </is>
      </c>
      <c r="BD146" s="256" t="inlineStr">
        <is>
          <t>iCoA-PP_26-183</t>
        </is>
      </c>
      <c r="BE146" s="256" t="inlineStr">
        <is>
          <t>24.08.2026</t>
        </is>
      </c>
      <c r="BF146" s="256" t="inlineStr">
        <is>
          <t>Purely Plant GmbH (in-house)</t>
        </is>
      </c>
      <c r="BG146" s="256" t="inlineStr">
        <is>
          <t>6.09</t>
        </is>
      </c>
      <c r="BH146" s="256" t="inlineStr">
        <is>
          <t>ППК26066</t>
        </is>
      </c>
      <c r="BI146" s="256" t="inlineStr">
        <is>
          <t>11.05.2026</t>
        </is>
      </c>
      <c r="BJ146" s="256" t="inlineStr">
        <is>
          <t>UKIM Faculty of Pharmacy — Center for Natural Products</t>
        </is>
      </c>
      <c r="BK146" s="256" t="inlineStr">
        <is>
          <t>3 × 10³</t>
        </is>
      </c>
      <c r="BL146" s="256" t="inlineStr">
        <is>
          <t>542/1073/26</t>
        </is>
      </c>
      <c r="BM146" s="256" t="inlineStr">
        <is>
          <t>31.08.2026</t>
        </is>
      </c>
      <c r="BN146" s="256" t="inlineStr">
        <is>
          <t>IPH — Institute of Public Health</t>
        </is>
      </c>
      <c r="BO146" s="256" t="inlineStr">
        <is>
          <t>5,2 × 10²</t>
        </is>
      </c>
      <c r="BP146" s="256" t="inlineStr">
        <is>
          <t>542/1073/26</t>
        </is>
      </c>
      <c r="BQ146" s="256" t="inlineStr">
        <is>
          <t>31.08.2026</t>
        </is>
      </c>
      <c r="BR146" s="256" t="inlineStr">
        <is>
          <t>IPH — Institute of Public Health</t>
        </is>
      </c>
      <c r="BS146" s="256" t="inlineStr">
        <is>
          <t>&lt; 10² and &gt; 10</t>
        </is>
      </c>
      <c r="BT146" s="256" t="inlineStr">
        <is>
          <t>542/1073/26</t>
        </is>
      </c>
      <c r="BU146" s="256" t="inlineStr">
        <is>
          <t>31.08.2026</t>
        </is>
      </c>
      <c r="BV146" s="256" t="inlineStr">
        <is>
          <t>IPH — Institute of Public Health</t>
        </is>
      </c>
      <c r="BW146" s="256" t="inlineStr">
        <is>
          <t>Absent | Отсутна</t>
        </is>
      </c>
      <c r="BX146" s="256" t="inlineStr">
        <is>
          <t>542/1073/26</t>
        </is>
      </c>
      <c r="BY146" s="256" t="inlineStr">
        <is>
          <t>31.08.2026</t>
        </is>
      </c>
      <c r="BZ146" s="256" t="inlineStr">
        <is>
          <t>IPH — Institute of Public Health</t>
        </is>
      </c>
      <c r="CA146" s="256" t="inlineStr">
        <is>
          <t>Absent | Отсутна</t>
        </is>
      </c>
      <c r="CB146" s="256" t="inlineStr">
        <is>
          <t>542/1073/26</t>
        </is>
      </c>
      <c r="CC146" s="256" t="inlineStr">
        <is>
          <t>31.08.2026</t>
        </is>
      </c>
      <c r="CD146" s="256" t="inlineStr">
        <is>
          <t>IPH — Institute of Public Health</t>
        </is>
      </c>
      <c r="CE146" s="260" t="inlineStr">
        <is>
          <t>upon request — not required for release</t>
        </is>
      </c>
      <c r="CF146" s="256" t="inlineStr">
        <is>
          <t>—</t>
        </is>
      </c>
      <c r="CG146" s="256" t="inlineStr">
        <is>
          <t>—</t>
        </is>
      </c>
      <c r="CH146" s="256" t="inlineStr">
        <is>
          <t>—</t>
        </is>
      </c>
      <c r="CI146" s="260" t="inlineStr">
        <is>
          <t>upon request — not required for release</t>
        </is>
      </c>
      <c r="CJ146" s="256" t="inlineStr">
        <is>
          <t>—</t>
        </is>
      </c>
      <c r="CK146" s="256" t="inlineStr">
        <is>
          <t>—</t>
        </is>
      </c>
      <c r="CL146" s="256" t="inlineStr">
        <is>
          <t>—</t>
        </is>
      </c>
      <c r="CM146" s="256" t="inlineStr">
        <is>
          <t>ND</t>
        </is>
      </c>
      <c r="CN146" s="256" t="inlineStr">
        <is>
          <t>227-22-М/26</t>
        </is>
      </c>
      <c r="CO146" s="256" t="inlineStr">
        <is>
          <t>16.09.2026</t>
        </is>
      </c>
      <c r="CP146" s="256" t="inlineStr">
        <is>
          <t>Farmahem</t>
        </is>
      </c>
      <c r="CQ146" s="256" t="inlineStr">
        <is>
          <t>ND</t>
        </is>
      </c>
      <c r="CR146" s="256" t="inlineStr">
        <is>
          <t>227-22-М/26</t>
        </is>
      </c>
      <c r="CS146" s="256" t="inlineStr">
        <is>
          <t>16.09.2026</t>
        </is>
      </c>
      <c r="CT146" s="256" t="inlineStr">
        <is>
          <t>Farmahem</t>
        </is>
      </c>
      <c r="CU146" s="256" t="inlineStr">
        <is>
          <t>ND</t>
        </is>
      </c>
      <c r="CV146" s="256" t="inlineStr">
        <is>
          <t>227-22-М/26</t>
        </is>
      </c>
      <c r="CW146" s="256" t="inlineStr">
        <is>
          <t>16.09.2026</t>
        </is>
      </c>
      <c r="CX146" s="256" t="inlineStr">
        <is>
          <t>Farmahem</t>
        </is>
      </c>
      <c r="CY146" s="256" t="inlineStr">
        <is>
          <t>0.0215</t>
        </is>
      </c>
      <c r="CZ146" s="256" t="inlineStr">
        <is>
          <t>2357/2026</t>
        </is>
      </c>
      <c r="DA146" s="256" t="inlineStr">
        <is>
          <t>29.04.2026</t>
        </is>
      </c>
      <c r="DB146" s="256" t="inlineStr">
        <is>
          <t>IPH — Institute of Public Health</t>
        </is>
      </c>
      <c r="DC146" s="256" t="inlineStr">
        <is>
          <t>0.0108</t>
        </is>
      </c>
      <c r="DD146" s="256" t="inlineStr">
        <is>
          <t>2357/2026</t>
        </is>
      </c>
      <c r="DE146" s="256" t="inlineStr">
        <is>
          <t>29.04.2026</t>
        </is>
      </c>
      <c r="DF146" s="256" t="inlineStr">
        <is>
          <t>IPH — Institute of Public Health</t>
        </is>
      </c>
      <c r="DG146" s="256" t="inlineStr">
        <is>
          <t>0.0199</t>
        </is>
      </c>
      <c r="DH146" s="256" t="inlineStr">
        <is>
          <t>2357/2026</t>
        </is>
      </c>
      <c r="DI146" s="256" t="inlineStr">
        <is>
          <t>29.04.2026</t>
        </is>
      </c>
      <c r="DJ146" s="256" t="inlineStr">
        <is>
          <t>IPH — Institute of Public Health</t>
        </is>
      </c>
      <c r="DK146" s="256" t="inlineStr">
        <is>
          <t>0.0078</t>
        </is>
      </c>
      <c r="DL146" s="256" t="inlineStr">
        <is>
          <t>2357/2026</t>
        </is>
      </c>
      <c r="DM146" s="256" t="inlineStr">
        <is>
          <t>29.04.2026</t>
        </is>
      </c>
      <c r="DN146" s="256" t="inlineStr">
        <is>
          <t>IPH — Institute of Public Health</t>
        </is>
      </c>
      <c r="DO146" s="256" t="inlineStr">
        <is>
          <t>ND</t>
        </is>
      </c>
      <c r="DP146" s="256" t="inlineStr">
        <is>
          <t>2357/2026</t>
        </is>
      </c>
      <c r="DQ146" s="256" t="inlineStr">
        <is>
          <t>29.04.2026</t>
        </is>
      </c>
      <c r="DR146" s="256" t="inlineStr">
        <is>
          <t>IPH — Institute of Public Health</t>
        </is>
      </c>
    </row>
    <row r="147">
      <c r="A147" s="256" t="inlineStr">
        <is>
          <t>CoQ-PP_26-146</t>
        </is>
      </c>
      <c r="B147" s="256" t="inlineStr">
        <is>
          <t>reissue — retest</t>
        </is>
      </c>
      <c r="C147" s="256" t="inlineStr">
        <is>
          <t>allocated — code reserved, date provisional</t>
        </is>
      </c>
      <c r="D147" s="256" t="inlineStr">
        <is>
          <t>21.09.2026</t>
        </is>
      </c>
      <c r="E147" s="256" t="inlineStr">
        <is>
          <t>CoQ-PP_26-066 of 06.06.2026</t>
        </is>
      </c>
      <c r="F147" s="256" t="inlineStr">
        <is>
          <t>(assigned on issue)</t>
        </is>
      </c>
      <c r="G147" s="256" t="inlineStr">
        <is>
          <t>GG012601</t>
        </is>
      </c>
      <c r="H147" s="256" t="inlineStr">
        <is>
          <t>— no P lot assigned —</t>
        </is>
      </c>
      <c r="I147" s="256" t="inlineStr">
        <is>
          <t>Gorilla Glue</t>
        </is>
      </c>
      <c r="J147" s="256" t="inlineStr">
        <is>
          <t>27.03.2026</t>
        </is>
      </c>
      <c r="K147" s="256" t="inlineStr">
        <is>
          <t>20.05.2026</t>
        </is>
      </c>
      <c r="L147" s="256" t="inlineStr">
        <is>
          <t>—</t>
        </is>
      </c>
      <c r="M147" s="256" t="inlineStr">
        <is>
          <t>—</t>
        </is>
      </c>
      <c r="N147" s="256" t="inlineStr">
        <is>
          <t>iCoA-PP_26-184</t>
        </is>
      </c>
      <c r="O147" s="256" t="inlineStr">
        <is>
          <t>24.08.2026</t>
        </is>
      </c>
      <c r="P147" s="256" t="inlineStr">
        <is>
          <t>21.08.2026</t>
        </is>
      </c>
      <c r="Q147" s="256" t="inlineStr">
        <is>
          <t>Tranche 3</t>
        </is>
      </c>
      <c r="R147" s="256" t="inlineStr">
        <is>
          <t>19.16</t>
        </is>
      </c>
      <c r="S147" s="256" t="inlineStr">
        <is>
          <t>227-21-К/26</t>
        </is>
      </c>
      <c r="T147" s="256" t="inlineStr">
        <is>
          <t>I</t>
        </is>
      </c>
      <c r="U147" s="256" t="inlineStr">
        <is>
          <t>16.23 – 19.76 %</t>
        </is>
      </c>
      <c r="V147" s="256" t="inlineStr">
        <is>
          <t>GG_THC18 : CBD1</t>
        </is>
      </c>
      <c r="W147" s="256" t="inlineStr">
        <is>
          <t>QCSP_001_GG-I_v.01</t>
        </is>
      </c>
      <c r="X147" s="256" t="inlineStr">
        <is>
          <t>for review — replaces the issued QCSP_001_GG-I_v.01 (was GG_THC18 : CBD1, 17.01 – 18.99 %); now GG_THC18 : CBD1 16.23 – 19.76 %</t>
        </is>
      </c>
      <c r="Y147" s="256" t="inlineStr">
        <is>
          <t>INDICA</t>
        </is>
      </c>
      <c r="Z147" s="256" t="inlineStr">
        <is>
          <t>THC</t>
        </is>
      </c>
      <c r="AA147" s="256" t="inlineStr">
        <is>
          <t>MACHINE TRIMMED</t>
        </is>
      </c>
      <c r="AB147" s="256" t="inlineStr">
        <is>
          <t>—</t>
        </is>
      </c>
      <c r="AC147" s="256" t="inlineStr">
        <is>
          <t>Triplex Alu Bag | Триплекс Aлу Kеса, PET 12 · ALU 7 · PE 80, 300 × 500 mm, net. 400.0 g ±3%</t>
        </is>
      </c>
      <c r="AD147" s="256" t="inlineStr">
        <is>
          <t>16.09.2026</t>
        </is>
      </c>
      <c r="AE147" s="256" t="inlineStr">
        <is>
          <t>Conforms | Одговара</t>
        </is>
      </c>
      <c r="AF147" s="256" t="inlineStr">
        <is>
          <t>iCoA-PP_26-184</t>
        </is>
      </c>
      <c r="AG147" s="256" t="inlineStr">
        <is>
          <t>24.08.2026</t>
        </is>
      </c>
      <c r="AH147" s="256" t="inlineStr">
        <is>
          <t>Purely Plant GmbH (in-house)</t>
        </is>
      </c>
      <c r="AI147" s="256" t="inlineStr">
        <is>
          <t>Conforms | Одговара</t>
        </is>
      </c>
      <c r="AJ147" s="256" t="inlineStr">
        <is>
          <t>iCoA-PP_26-184</t>
        </is>
      </c>
      <c r="AK147" s="256" t="inlineStr">
        <is>
          <t>24.08.2026</t>
        </is>
      </c>
      <c r="AL147" s="256" t="inlineStr">
        <is>
          <t>Purely Plant GmbH (in-house)</t>
        </is>
      </c>
      <c r="AM147" s="256" t="inlineStr">
        <is>
          <t>Conforms | Одговара</t>
        </is>
      </c>
      <c r="AN147" s="256" t="inlineStr">
        <is>
          <t>227-21-К/26</t>
        </is>
      </c>
      <c r="AO147" s="256" t="inlineStr">
        <is>
          <t>11.09.2026</t>
        </is>
      </c>
      <c r="AP147" s="256" t="inlineStr">
        <is>
          <t>Farmahem</t>
        </is>
      </c>
      <c r="AQ147" s="256" t="inlineStr">
        <is>
          <t>19.16</t>
        </is>
      </c>
      <c r="AR147" s="256" t="inlineStr">
        <is>
          <t>227-21-К/26</t>
        </is>
      </c>
      <c r="AS147" s="256" t="inlineStr">
        <is>
          <t>11.09.2026</t>
        </is>
      </c>
      <c r="AT147" s="256" t="inlineStr">
        <is>
          <t>Farmahem</t>
        </is>
      </c>
      <c r="AU147" s="256" t="inlineStr">
        <is>
          <t>&lt; LOQ</t>
        </is>
      </c>
      <c r="AV147" s="256" t="inlineStr">
        <is>
          <t>227-21-К/26</t>
        </is>
      </c>
      <c r="AW147" s="256" t="inlineStr">
        <is>
          <t>11.09.2026</t>
        </is>
      </c>
      <c r="AX147" s="256" t="inlineStr">
        <is>
          <t>Farmahem</t>
        </is>
      </c>
      <c r="AY147" s="256" t="inlineStr">
        <is>
          <t>&lt; LOQ</t>
        </is>
      </c>
      <c r="AZ147" s="256" t="inlineStr">
        <is>
          <t>227-21-К/26</t>
        </is>
      </c>
      <c r="BA147" s="256" t="inlineStr">
        <is>
          <t>11.09.2026</t>
        </is>
      </c>
      <c r="BB147" s="256" t="inlineStr">
        <is>
          <t>Farmahem</t>
        </is>
      </c>
      <c r="BC147" s="256" t="inlineStr">
        <is>
          <t>Conforms | Одговара</t>
        </is>
      </c>
      <c r="BD147" s="256" t="inlineStr">
        <is>
          <t>iCoA-PP_26-184</t>
        </is>
      </c>
      <c r="BE147" s="256" t="inlineStr">
        <is>
          <t>24.08.2026</t>
        </is>
      </c>
      <c r="BF147" s="256" t="inlineStr">
        <is>
          <t>Purely Plant GmbH (in-house)</t>
        </is>
      </c>
      <c r="BG147" s="256" t="inlineStr">
        <is>
          <t>6.13</t>
        </is>
      </c>
      <c r="BH147" s="256" t="inlineStr">
        <is>
          <t>ППК26062</t>
        </is>
      </c>
      <c r="BI147" s="256" t="inlineStr">
        <is>
          <t>11.05.2026</t>
        </is>
      </c>
      <c r="BJ147" s="256" t="inlineStr">
        <is>
          <t>UKIM Faculty of Pharmacy — Center for Natural Products</t>
        </is>
      </c>
      <c r="BK147" s="256" t="inlineStr">
        <is>
          <t>2,2 × 10³</t>
        </is>
      </c>
      <c r="BL147" s="256" t="inlineStr">
        <is>
          <t>541/1072/26</t>
        </is>
      </c>
      <c r="BM147" s="256" t="inlineStr">
        <is>
          <t>31.08.2026</t>
        </is>
      </c>
      <c r="BN147" s="256" t="inlineStr">
        <is>
          <t>IPH — Institute of Public Health</t>
        </is>
      </c>
      <c r="BO147" s="256" t="inlineStr">
        <is>
          <t>2,1 × 10³</t>
        </is>
      </c>
      <c r="BP147" s="256" t="inlineStr">
        <is>
          <t>541/1072/26</t>
        </is>
      </c>
      <c r="BQ147" s="256" t="inlineStr">
        <is>
          <t>31.08.2026</t>
        </is>
      </c>
      <c r="BR147" s="256" t="inlineStr">
        <is>
          <t>IPH — Institute of Public Health</t>
        </is>
      </c>
      <c r="BS147" s="256" t="inlineStr">
        <is>
          <t>&lt; 10</t>
        </is>
      </c>
      <c r="BT147" s="256" t="inlineStr">
        <is>
          <t>541/1072/26</t>
        </is>
      </c>
      <c r="BU147" s="256" t="inlineStr">
        <is>
          <t>31.08.2026</t>
        </is>
      </c>
      <c r="BV147" s="256" t="inlineStr">
        <is>
          <t>IPH — Institute of Public Health</t>
        </is>
      </c>
      <c r="BW147" s="256" t="inlineStr">
        <is>
          <t>Absent | Отсутна</t>
        </is>
      </c>
      <c r="BX147" s="256" t="inlineStr">
        <is>
          <t>541/1072/26</t>
        </is>
      </c>
      <c r="BY147" s="256" t="inlineStr">
        <is>
          <t>31.08.2026</t>
        </is>
      </c>
      <c r="BZ147" s="256" t="inlineStr">
        <is>
          <t>IPH — Institute of Public Health</t>
        </is>
      </c>
      <c r="CA147" s="256" t="inlineStr">
        <is>
          <t>Absent | Отсутна</t>
        </is>
      </c>
      <c r="CB147" s="256" t="inlineStr">
        <is>
          <t>541/1072/26</t>
        </is>
      </c>
      <c r="CC147" s="256" t="inlineStr">
        <is>
          <t>31.08.2026</t>
        </is>
      </c>
      <c r="CD147" s="256" t="inlineStr">
        <is>
          <t>IPH — Institute of Public Health</t>
        </is>
      </c>
      <c r="CE147" s="260" t="inlineStr">
        <is>
          <t>upon request — not required for release</t>
        </is>
      </c>
      <c r="CF147" s="256" t="inlineStr">
        <is>
          <t>—</t>
        </is>
      </c>
      <c r="CG147" s="256" t="inlineStr">
        <is>
          <t>—</t>
        </is>
      </c>
      <c r="CH147" s="256" t="inlineStr">
        <is>
          <t>—</t>
        </is>
      </c>
      <c r="CI147" s="260" t="inlineStr">
        <is>
          <t>upon request — not required for release</t>
        </is>
      </c>
      <c r="CJ147" s="256" t="inlineStr">
        <is>
          <t>—</t>
        </is>
      </c>
      <c r="CK147" s="256" t="inlineStr">
        <is>
          <t>—</t>
        </is>
      </c>
      <c r="CL147" s="256" t="inlineStr">
        <is>
          <t>—</t>
        </is>
      </c>
      <c r="CM147" s="256" t="inlineStr">
        <is>
          <t>ND</t>
        </is>
      </c>
      <c r="CN147" s="256" t="inlineStr">
        <is>
          <t>227-21-М/26</t>
        </is>
      </c>
      <c r="CO147" s="256" t="inlineStr">
        <is>
          <t>16.09.2026</t>
        </is>
      </c>
      <c r="CP147" s="256" t="inlineStr">
        <is>
          <t>Farmahem</t>
        </is>
      </c>
      <c r="CQ147" s="256" t="inlineStr">
        <is>
          <t>ND</t>
        </is>
      </c>
      <c r="CR147" s="256" t="inlineStr">
        <is>
          <t>227-21-М/26</t>
        </is>
      </c>
      <c r="CS147" s="256" t="inlineStr">
        <is>
          <t>16.09.2026</t>
        </is>
      </c>
      <c r="CT147" s="256" t="inlineStr">
        <is>
          <t>Farmahem</t>
        </is>
      </c>
      <c r="CU147" s="256" t="inlineStr">
        <is>
          <t>ND</t>
        </is>
      </c>
      <c r="CV147" s="256" t="inlineStr">
        <is>
          <t>227-21-М/26</t>
        </is>
      </c>
      <c r="CW147" s="256" t="inlineStr">
        <is>
          <t>16.09.2026</t>
        </is>
      </c>
      <c r="CX147" s="256" t="inlineStr">
        <is>
          <t>Farmahem</t>
        </is>
      </c>
      <c r="CY147" s="256" t="inlineStr">
        <is>
          <t>0.0227</t>
        </is>
      </c>
      <c r="CZ147" s="256" t="inlineStr">
        <is>
          <t>2364/2026</t>
        </is>
      </c>
      <c r="DA147" s="256" t="inlineStr">
        <is>
          <t>30.04.2026</t>
        </is>
      </c>
      <c r="DB147" s="256" t="inlineStr">
        <is>
          <t>IPH — Institute of Public Health</t>
        </is>
      </c>
      <c r="DC147" s="256" t="inlineStr">
        <is>
          <t>0.0179</t>
        </is>
      </c>
      <c r="DD147" s="256" t="inlineStr">
        <is>
          <t>2364/2026</t>
        </is>
      </c>
      <c r="DE147" s="256" t="inlineStr">
        <is>
          <t>30.04.2026</t>
        </is>
      </c>
      <c r="DF147" s="256" t="inlineStr">
        <is>
          <t>IPH — Institute of Public Health</t>
        </is>
      </c>
      <c r="DG147" s="256" t="inlineStr">
        <is>
          <t>0.0163</t>
        </is>
      </c>
      <c r="DH147" s="256" t="inlineStr">
        <is>
          <t>2364/2026</t>
        </is>
      </c>
      <c r="DI147" s="256" t="inlineStr">
        <is>
          <t>30.04.2026</t>
        </is>
      </c>
      <c r="DJ147" s="256" t="inlineStr">
        <is>
          <t>IPH — Institute of Public Health</t>
        </is>
      </c>
      <c r="DK147" s="256" t="inlineStr">
        <is>
          <t>0.031</t>
        </is>
      </c>
      <c r="DL147" s="256" t="inlineStr">
        <is>
          <t>2364/2026</t>
        </is>
      </c>
      <c r="DM147" s="256" t="inlineStr">
        <is>
          <t>30.04.2026</t>
        </is>
      </c>
      <c r="DN147" s="256" t="inlineStr">
        <is>
          <t>IPH — Institute of Public Health</t>
        </is>
      </c>
      <c r="DO147" s="256" t="inlineStr">
        <is>
          <t>ND</t>
        </is>
      </c>
      <c r="DP147" s="256" t="inlineStr">
        <is>
          <t>2364/2026</t>
        </is>
      </c>
      <c r="DQ147" s="256" t="inlineStr">
        <is>
          <t>30.04.2026</t>
        </is>
      </c>
      <c r="DR147" s="256" t="inlineStr">
        <is>
          <t>IPH — Institute of Public Health</t>
        </is>
      </c>
    </row>
    <row r="148">
      <c r="A148" s="256" t="inlineStr">
        <is>
          <t>CoQ-PP_26-147</t>
        </is>
      </c>
      <c r="B148" s="256" t="inlineStr">
        <is>
          <t>reissue — retest</t>
        </is>
      </c>
      <c r="C148" s="256" t="inlineStr">
        <is>
          <t>allocated — code reserved, date provisional</t>
        </is>
      </c>
      <c r="D148" s="256" t="inlineStr">
        <is>
          <t>21.09.2026</t>
        </is>
      </c>
      <c r="E148" s="256" t="inlineStr">
        <is>
          <t>CoQ-PP_26-008 of 06.06.2026</t>
        </is>
      </c>
      <c r="F148" s="256" t="inlineStr">
        <is>
          <t>(assigned on issue)</t>
        </is>
      </c>
      <c r="G148" s="256" t="inlineStr">
        <is>
          <t>GG1024_02</t>
        </is>
      </c>
      <c r="H148" s="256" t="inlineStr">
        <is>
          <t>P050012</t>
        </is>
      </c>
      <c r="I148" s="256" t="inlineStr">
        <is>
          <t>Gorilla Glue</t>
        </is>
      </c>
      <c r="J148" s="256" t="inlineStr">
        <is>
          <t>14.04.2025 – 15.04.2025</t>
        </is>
      </c>
      <c r="K148" s="256" t="inlineStr">
        <is>
          <t>11.06.2025 – 16.06.2025</t>
        </is>
      </c>
      <c r="L148" s="256" t="inlineStr">
        <is>
          <t>—</t>
        </is>
      </c>
      <c r="M148" s="256" t="inlineStr">
        <is>
          <t>—</t>
        </is>
      </c>
      <c r="N148" s="256" t="inlineStr">
        <is>
          <t>iCoA-PP_26-165</t>
        </is>
      </c>
      <c r="O148" s="256" t="inlineStr">
        <is>
          <t>24.08.2026</t>
        </is>
      </c>
      <c r="P148" s="256" t="inlineStr">
        <is>
          <t>20.08.2026</t>
        </is>
      </c>
      <c r="Q148" s="256" t="inlineStr">
        <is>
          <t>Tranche 3</t>
        </is>
      </c>
      <c r="R148" s="256" t="inlineStr">
        <is>
          <t>17.76</t>
        </is>
      </c>
      <c r="S148" s="256" t="inlineStr">
        <is>
          <t>227-19-К/26</t>
        </is>
      </c>
      <c r="T148" s="256" t="inlineStr">
        <is>
          <t>I</t>
        </is>
      </c>
      <c r="U148" s="256" t="inlineStr">
        <is>
          <t>16.23 – 19.76 %</t>
        </is>
      </c>
      <c r="V148" s="256" t="inlineStr">
        <is>
          <t>GG_THC18 : CBD1</t>
        </is>
      </c>
      <c r="W148" s="256" t="inlineStr">
        <is>
          <t>QCSP_001_GG-I_v.01</t>
        </is>
      </c>
      <c r="X148" s="256" t="inlineStr">
        <is>
          <t>for review — replaces the issued QCSP_001_GG-I_v.01 (was GG_THC18 : CBD1, 17.01 – 18.99 %); now GG_THC18 : CBD1 16.23 – 19.76 %</t>
        </is>
      </c>
      <c r="Y148" s="256" t="inlineStr">
        <is>
          <t>INDICA</t>
        </is>
      </c>
      <c r="Z148" s="256" t="inlineStr">
        <is>
          <t>THC</t>
        </is>
      </c>
      <c r="AA148" s="256" t="inlineStr">
        <is>
          <t>MACHINE TRIMMED</t>
        </is>
      </c>
      <c r="AB148" s="256" t="inlineStr">
        <is>
          <t>—</t>
        </is>
      </c>
      <c r="AC148" s="256" t="inlineStr">
        <is>
          <t>Triplex Alu Bag | Триплекс Aлу Kеса, PET 12 · ALU 7 · PE 80, 300 × 500 mm, net. 400.0 g ±3%</t>
        </is>
      </c>
      <c r="AD148" s="256" t="inlineStr">
        <is>
          <t>16.09.2026</t>
        </is>
      </c>
      <c r="AE148" s="256" t="inlineStr">
        <is>
          <t>Conforms | Одговара</t>
        </is>
      </c>
      <c r="AF148" s="256" t="inlineStr">
        <is>
          <t>iCoA-PP_26-165</t>
        </is>
      </c>
      <c r="AG148" s="256" t="inlineStr">
        <is>
          <t>24.08.2026</t>
        </is>
      </c>
      <c r="AH148" s="256" t="inlineStr">
        <is>
          <t>Purely Plant GmbH (in-house)</t>
        </is>
      </c>
      <c r="AI148" s="256" t="inlineStr">
        <is>
          <t>Conforms | Одговара</t>
        </is>
      </c>
      <c r="AJ148" s="256" t="inlineStr">
        <is>
          <t>iCoA-PP_26-165</t>
        </is>
      </c>
      <c r="AK148" s="256" t="inlineStr">
        <is>
          <t>24.08.2026</t>
        </is>
      </c>
      <c r="AL148" s="256" t="inlineStr">
        <is>
          <t>Purely Plant GmbH (in-house)</t>
        </is>
      </c>
      <c r="AM148" s="256" t="inlineStr">
        <is>
          <t>Conforms | Одговара</t>
        </is>
      </c>
      <c r="AN148" s="256" t="inlineStr">
        <is>
          <t>227-19-К/26</t>
        </is>
      </c>
      <c r="AO148" s="256" t="inlineStr">
        <is>
          <t>11.09.2026</t>
        </is>
      </c>
      <c r="AP148" s="256" t="inlineStr">
        <is>
          <t>Farmahem</t>
        </is>
      </c>
      <c r="AQ148" s="256" t="inlineStr">
        <is>
          <t>17.76</t>
        </is>
      </c>
      <c r="AR148" s="256" t="inlineStr">
        <is>
          <t>227-19-К/26</t>
        </is>
      </c>
      <c r="AS148" s="256" t="inlineStr">
        <is>
          <t>11.09.2026</t>
        </is>
      </c>
      <c r="AT148" s="256" t="inlineStr">
        <is>
          <t>Farmahem</t>
        </is>
      </c>
      <c r="AU148" s="256" t="inlineStr">
        <is>
          <t>&lt; LOQ</t>
        </is>
      </c>
      <c r="AV148" s="256" t="inlineStr">
        <is>
          <t>227-19-К/26</t>
        </is>
      </c>
      <c r="AW148" s="256" t="inlineStr">
        <is>
          <t>11.09.2026</t>
        </is>
      </c>
      <c r="AX148" s="256" t="inlineStr">
        <is>
          <t>Farmahem</t>
        </is>
      </c>
      <c r="AY148" s="256" t="inlineStr">
        <is>
          <t>0.26</t>
        </is>
      </c>
      <c r="AZ148" s="256" t="inlineStr">
        <is>
          <t>227-19-К/26</t>
        </is>
      </c>
      <c r="BA148" s="256" t="inlineStr">
        <is>
          <t>11.09.2026</t>
        </is>
      </c>
      <c r="BB148" s="256" t="inlineStr">
        <is>
          <t>Farmahem</t>
        </is>
      </c>
      <c r="BC148" s="256" t="inlineStr">
        <is>
          <t>Conforms | Одговара</t>
        </is>
      </c>
      <c r="BD148" s="256" t="inlineStr">
        <is>
          <t>iCoA-PP_26-165</t>
        </is>
      </c>
      <c r="BE148" s="256" t="inlineStr">
        <is>
          <t>24.08.2026</t>
        </is>
      </c>
      <c r="BF148" s="256" t="inlineStr">
        <is>
          <t>Purely Plant GmbH (in-house)</t>
        </is>
      </c>
      <c r="BG148" s="256" t="inlineStr">
        <is>
          <t>6.88</t>
        </is>
      </c>
      <c r="BH148" s="256" t="inlineStr">
        <is>
          <t>ППК25140</t>
        </is>
      </c>
      <c r="BI148" s="256" t="inlineStr">
        <is>
          <t>22.05.2025</t>
        </is>
      </c>
      <c r="BJ148" s="256" t="inlineStr">
        <is>
          <t>UKIM Faculty of Pharmacy — Center for Natural Products</t>
        </is>
      </c>
      <c r="BK148" s="256" t="inlineStr">
        <is>
          <t>&lt; 10</t>
        </is>
      </c>
      <c r="BL148" s="256" t="inlineStr">
        <is>
          <t>564/1095/26</t>
        </is>
      </c>
      <c r="BM148" s="256" t="inlineStr">
        <is>
          <t>01.09.2026</t>
        </is>
      </c>
      <c r="BN148" s="256" t="inlineStr">
        <is>
          <t>IPH — Institute of Public Health</t>
        </is>
      </c>
      <c r="BO148" s="256" t="inlineStr">
        <is>
          <t>&lt; 10</t>
        </is>
      </c>
      <c r="BP148" s="256" t="inlineStr">
        <is>
          <t>564/1095/26</t>
        </is>
      </c>
      <c r="BQ148" s="256" t="inlineStr">
        <is>
          <t>01.09.2026</t>
        </is>
      </c>
      <c r="BR148" s="256" t="inlineStr">
        <is>
          <t>IPH — Institute of Public Health</t>
        </is>
      </c>
      <c r="BS148" s="256" t="inlineStr">
        <is>
          <t>&lt; 10</t>
        </is>
      </c>
      <c r="BT148" s="256" t="inlineStr">
        <is>
          <t>564/1095/26</t>
        </is>
      </c>
      <c r="BU148" s="256" t="inlineStr">
        <is>
          <t>01.09.2026</t>
        </is>
      </c>
      <c r="BV148" s="256" t="inlineStr">
        <is>
          <t>IPH — Institute of Public Health</t>
        </is>
      </c>
      <c r="BW148" s="256" t="inlineStr">
        <is>
          <t>Absent | Отсутна</t>
        </is>
      </c>
      <c r="BX148" s="256" t="inlineStr">
        <is>
          <t>564/1095/26</t>
        </is>
      </c>
      <c r="BY148" s="256" t="inlineStr">
        <is>
          <t>01.09.2026</t>
        </is>
      </c>
      <c r="BZ148" s="256" t="inlineStr">
        <is>
          <t>IPH — Institute of Public Health</t>
        </is>
      </c>
      <c r="CA148" s="256" t="inlineStr">
        <is>
          <t>Absent | Отсутна</t>
        </is>
      </c>
      <c r="CB148" s="256" t="inlineStr">
        <is>
          <t>564/1095/26</t>
        </is>
      </c>
      <c r="CC148" s="256" t="inlineStr">
        <is>
          <t>01.09.2026</t>
        </is>
      </c>
      <c r="CD148" s="256" t="inlineStr">
        <is>
          <t>IPH — Institute of Public Health</t>
        </is>
      </c>
      <c r="CE148" s="260" t="inlineStr">
        <is>
          <t>upon request — not required for release</t>
        </is>
      </c>
      <c r="CF148" s="256" t="inlineStr">
        <is>
          <t>—</t>
        </is>
      </c>
      <c r="CG148" s="256" t="inlineStr">
        <is>
          <t>—</t>
        </is>
      </c>
      <c r="CH148" s="256" t="inlineStr">
        <is>
          <t>—</t>
        </is>
      </c>
      <c r="CI148" s="260" t="inlineStr">
        <is>
          <t>upon request — not required for release</t>
        </is>
      </c>
      <c r="CJ148" s="256" t="inlineStr">
        <is>
          <t>—</t>
        </is>
      </c>
      <c r="CK148" s="256" t="inlineStr">
        <is>
          <t>—</t>
        </is>
      </c>
      <c r="CL148" s="256" t="inlineStr">
        <is>
          <t>—</t>
        </is>
      </c>
      <c r="CM148" s="256" t="inlineStr">
        <is>
          <t>ND</t>
        </is>
      </c>
      <c r="CN148" s="256" t="inlineStr">
        <is>
          <t>227-19-М/26</t>
        </is>
      </c>
      <c r="CO148" s="256" t="inlineStr">
        <is>
          <t>16.09.2026</t>
        </is>
      </c>
      <c r="CP148" s="256" t="inlineStr">
        <is>
          <t>Farmahem</t>
        </is>
      </c>
      <c r="CQ148" s="256" t="inlineStr">
        <is>
          <t>ND</t>
        </is>
      </c>
      <c r="CR148" s="256" t="inlineStr">
        <is>
          <t>227-19-М/26</t>
        </is>
      </c>
      <c r="CS148" s="256" t="inlineStr">
        <is>
          <t>16.09.2026</t>
        </is>
      </c>
      <c r="CT148" s="256" t="inlineStr">
        <is>
          <t>Farmahem</t>
        </is>
      </c>
      <c r="CU148" s="256" t="inlineStr">
        <is>
          <t>ND</t>
        </is>
      </c>
      <c r="CV148" s="256" t="inlineStr">
        <is>
          <t>227-19-М/26</t>
        </is>
      </c>
      <c r="CW148" s="256" t="inlineStr">
        <is>
          <t>16.09.2026</t>
        </is>
      </c>
      <c r="CX148" s="256" t="inlineStr">
        <is>
          <t>Farmahem</t>
        </is>
      </c>
      <c r="CY148" s="256" t="inlineStr">
        <is>
          <t>ND</t>
        </is>
      </c>
      <c r="CZ148" s="256" t="inlineStr">
        <is>
          <t>2472/2025</t>
        </is>
      </c>
      <c r="DA148" s="256" t="inlineStr">
        <is>
          <t>30.05.2025</t>
        </is>
      </c>
      <c r="DB148" s="256" t="inlineStr">
        <is>
          <t>IPH — Institute of Public Health</t>
        </is>
      </c>
      <c r="DC148" s="256" t="inlineStr">
        <is>
          <t>ND</t>
        </is>
      </c>
      <c r="DD148" s="256" t="inlineStr">
        <is>
          <t>2472/2025</t>
        </is>
      </c>
      <c r="DE148" s="256" t="inlineStr">
        <is>
          <t>30.05.2025</t>
        </is>
      </c>
      <c r="DF148" s="256" t="inlineStr">
        <is>
          <t>IPH — Institute of Public Health</t>
        </is>
      </c>
      <c r="DG148" s="256" t="inlineStr">
        <is>
          <t>ND</t>
        </is>
      </c>
      <c r="DH148" s="256" t="inlineStr">
        <is>
          <t>2472/2025</t>
        </is>
      </c>
      <c r="DI148" s="256" t="inlineStr">
        <is>
          <t>30.05.2025</t>
        </is>
      </c>
      <c r="DJ148" s="256" t="inlineStr">
        <is>
          <t>IPH — Institute of Public Health</t>
        </is>
      </c>
      <c r="DK148" s="256" t="inlineStr">
        <is>
          <t>ND</t>
        </is>
      </c>
      <c r="DL148" s="256" t="inlineStr">
        <is>
          <t>2472/2025</t>
        </is>
      </c>
      <c r="DM148" s="256" t="inlineStr">
        <is>
          <t>30.05.2025</t>
        </is>
      </c>
      <c r="DN148" s="256" t="inlineStr">
        <is>
          <t>IPH — Institute of Public Health</t>
        </is>
      </c>
      <c r="DO148" s="256" t="inlineStr">
        <is>
          <t>ND</t>
        </is>
      </c>
      <c r="DP148" s="256" t="inlineStr">
        <is>
          <t>2472/2025</t>
        </is>
      </c>
      <c r="DQ148" s="256" t="inlineStr">
        <is>
          <t>30.05.2025</t>
        </is>
      </c>
      <c r="DR148" s="256" t="inlineStr">
        <is>
          <t>IPH — Institute of Public Health</t>
        </is>
      </c>
    </row>
    <row r="149">
      <c r="A149" s="256" t="inlineStr">
        <is>
          <t>CoQ-PP_26-148</t>
        </is>
      </c>
      <c r="B149" s="256" t="inlineStr">
        <is>
          <t>reissue — retest</t>
        </is>
      </c>
      <c r="C149" s="256" t="inlineStr">
        <is>
          <t>allocated — code reserved, date provisional</t>
        </is>
      </c>
      <c r="D149" s="256" t="inlineStr">
        <is>
          <t>21.09.2026</t>
        </is>
      </c>
      <c r="E149" s="256" t="inlineStr">
        <is>
          <t>CoQ-PP_26-061 of 06.06.2026</t>
        </is>
      </c>
      <c r="F149" s="256" t="inlineStr">
        <is>
          <t>(assigned on issue)</t>
        </is>
      </c>
      <c r="G149" s="256" t="inlineStr">
        <is>
          <t>GG112501</t>
        </is>
      </c>
      <c r="H149" s="256" t="inlineStr">
        <is>
          <t>— no P lot assigned —</t>
        </is>
      </c>
      <c r="I149" s="256" t="inlineStr">
        <is>
          <t>Gorilla Glue</t>
        </is>
      </c>
      <c r="J149" s="256" t="inlineStr">
        <is>
          <t>25.03.2026</t>
        </is>
      </c>
      <c r="K149" s="256" t="inlineStr">
        <is>
          <t>05.05.2026</t>
        </is>
      </c>
      <c r="L149" s="256" t="inlineStr">
        <is>
          <t>—</t>
        </is>
      </c>
      <c r="M149" s="256" t="inlineStr">
        <is>
          <t>—</t>
        </is>
      </c>
      <c r="N149" s="256" t="inlineStr">
        <is>
          <t>iCoA-PP_26-166</t>
        </is>
      </c>
      <c r="O149" s="256" t="inlineStr">
        <is>
          <t>24.08.2026</t>
        </is>
      </c>
      <c r="P149" s="256" t="inlineStr">
        <is>
          <t>20.08.2026</t>
        </is>
      </c>
      <c r="Q149" s="256" t="inlineStr">
        <is>
          <t>Tranche 3</t>
        </is>
      </c>
      <c r="R149" s="256" t="inlineStr">
        <is>
          <t>18.64</t>
        </is>
      </c>
      <c r="S149" s="256" t="inlineStr">
        <is>
          <t>227-20-К/26</t>
        </is>
      </c>
      <c r="T149" s="256" t="inlineStr">
        <is>
          <t>I</t>
        </is>
      </c>
      <c r="U149" s="256" t="inlineStr">
        <is>
          <t>16.23 – 19.76 %</t>
        </is>
      </c>
      <c r="V149" s="256" t="inlineStr">
        <is>
          <t>GG_THC18 : CBD1</t>
        </is>
      </c>
      <c r="W149" s="256" t="inlineStr">
        <is>
          <t>QCSP_001_GG-I_v.01</t>
        </is>
      </c>
      <c r="X149" s="256" t="inlineStr">
        <is>
          <t>for review — replaces the issued QCSP_001_GG-I_v.01 (was GG_THC18 : CBD1, 17.01 – 18.99 %); now GG_THC18 : CBD1 16.23 – 19.76 %</t>
        </is>
      </c>
      <c r="Y149" s="256" t="inlineStr">
        <is>
          <t>INDICA</t>
        </is>
      </c>
      <c r="Z149" s="256" t="inlineStr">
        <is>
          <t>THC</t>
        </is>
      </c>
      <c r="AA149" s="256" t="inlineStr">
        <is>
          <t>MACHINE TRIMMED</t>
        </is>
      </c>
      <c r="AB149" s="256" t="inlineStr">
        <is>
          <t>—</t>
        </is>
      </c>
      <c r="AC149" s="256" t="inlineStr">
        <is>
          <t>Triplex Alu Bag | Триплекс Aлу Kеса, PET 12 · ALU 7 · PE 80, 300 × 500 mm, net. 400.0 g ±3%</t>
        </is>
      </c>
      <c r="AD149" s="256" t="inlineStr">
        <is>
          <t>16.09.2026</t>
        </is>
      </c>
      <c r="AE149" s="256" t="inlineStr">
        <is>
          <t>Conforms | Одговара</t>
        </is>
      </c>
      <c r="AF149" s="256" t="inlineStr">
        <is>
          <t>iCoA-PP_26-166</t>
        </is>
      </c>
      <c r="AG149" s="256" t="inlineStr">
        <is>
          <t>24.08.2026</t>
        </is>
      </c>
      <c r="AH149" s="256" t="inlineStr">
        <is>
          <t>Purely Plant GmbH (in-house)</t>
        </is>
      </c>
      <c r="AI149" s="256" t="inlineStr">
        <is>
          <t>Conforms | Одговара</t>
        </is>
      </c>
      <c r="AJ149" s="256" t="inlineStr">
        <is>
          <t>iCoA-PP_26-166</t>
        </is>
      </c>
      <c r="AK149" s="256" t="inlineStr">
        <is>
          <t>24.08.2026</t>
        </is>
      </c>
      <c r="AL149" s="256" t="inlineStr">
        <is>
          <t>Purely Plant GmbH (in-house)</t>
        </is>
      </c>
      <c r="AM149" s="256" t="inlineStr">
        <is>
          <t>Conforms | Одговара</t>
        </is>
      </c>
      <c r="AN149" s="256" t="inlineStr">
        <is>
          <t>227-20-К/26</t>
        </is>
      </c>
      <c r="AO149" s="256" t="inlineStr">
        <is>
          <t>11.09.2026</t>
        </is>
      </c>
      <c r="AP149" s="256" t="inlineStr">
        <is>
          <t>Farmahem</t>
        </is>
      </c>
      <c r="AQ149" s="256" t="inlineStr">
        <is>
          <t>18.64</t>
        </is>
      </c>
      <c r="AR149" s="256" t="inlineStr">
        <is>
          <t>227-20-К/26</t>
        </is>
      </c>
      <c r="AS149" s="256" t="inlineStr">
        <is>
          <t>11.09.2026</t>
        </is>
      </c>
      <c r="AT149" s="256" t="inlineStr">
        <is>
          <t>Farmahem</t>
        </is>
      </c>
      <c r="AU149" s="256" t="inlineStr">
        <is>
          <t>&lt; LOQ</t>
        </is>
      </c>
      <c r="AV149" s="256" t="inlineStr">
        <is>
          <t>227-20-К/26</t>
        </is>
      </c>
      <c r="AW149" s="256" t="inlineStr">
        <is>
          <t>11.09.2026</t>
        </is>
      </c>
      <c r="AX149" s="256" t="inlineStr">
        <is>
          <t>Farmahem</t>
        </is>
      </c>
      <c r="AY149" s="256" t="inlineStr">
        <is>
          <t>&lt; LOQ</t>
        </is>
      </c>
      <c r="AZ149" s="256" t="inlineStr">
        <is>
          <t>227-20-К/26</t>
        </is>
      </c>
      <c r="BA149" s="256" t="inlineStr">
        <is>
          <t>11.09.2026</t>
        </is>
      </c>
      <c r="BB149" s="256" t="inlineStr">
        <is>
          <t>Farmahem</t>
        </is>
      </c>
      <c r="BC149" s="256" t="inlineStr">
        <is>
          <t>Conforms | Одговара</t>
        </is>
      </c>
      <c r="BD149" s="256" t="inlineStr">
        <is>
          <t>iCoA-PP_26-166</t>
        </is>
      </c>
      <c r="BE149" s="256" t="inlineStr">
        <is>
          <t>24.08.2026</t>
        </is>
      </c>
      <c r="BF149" s="256" t="inlineStr">
        <is>
          <t>Purely Plant GmbH (in-house)</t>
        </is>
      </c>
      <c r="BG149" s="256" t="inlineStr">
        <is>
          <t>6.31</t>
        </is>
      </c>
      <c r="BH149" s="256" t="inlineStr">
        <is>
          <t>ППК26061</t>
        </is>
      </c>
      <c r="BI149" s="256" t="inlineStr">
        <is>
          <t>11.05.2026</t>
        </is>
      </c>
      <c r="BJ149" s="256" t="inlineStr">
        <is>
          <t>UKIM Faculty of Pharmacy — Center for Natural Products</t>
        </is>
      </c>
      <c r="BK149" s="256" t="inlineStr">
        <is>
          <t>5 × 10³</t>
        </is>
      </c>
      <c r="BL149" s="256" t="inlineStr">
        <is>
          <t>545/1076/26</t>
        </is>
      </c>
      <c r="BM149" s="256" t="inlineStr">
        <is>
          <t>31.08.2026</t>
        </is>
      </c>
      <c r="BN149" s="256" t="inlineStr">
        <is>
          <t>IPH — Institute of Public Health</t>
        </is>
      </c>
      <c r="BO149" s="256" t="inlineStr">
        <is>
          <t>1,1 × 10³</t>
        </is>
      </c>
      <c r="BP149" s="256" t="inlineStr">
        <is>
          <t>545/1076/26</t>
        </is>
      </c>
      <c r="BQ149" s="256" t="inlineStr">
        <is>
          <t>31.08.2026</t>
        </is>
      </c>
      <c r="BR149" s="256" t="inlineStr">
        <is>
          <t>IPH — Institute of Public Health</t>
        </is>
      </c>
      <c r="BS149" s="256" t="inlineStr">
        <is>
          <t>&lt; 10³ and &gt; 10²</t>
        </is>
      </c>
      <c r="BT149" s="256" t="inlineStr">
        <is>
          <t>545/1076/26</t>
        </is>
      </c>
      <c r="BU149" s="256" t="inlineStr">
        <is>
          <t>31.08.2026</t>
        </is>
      </c>
      <c r="BV149" s="256" t="inlineStr">
        <is>
          <t>IPH — Institute of Public Health</t>
        </is>
      </c>
      <c r="BW149" s="256" t="inlineStr">
        <is>
          <t>Absent | Отсутна</t>
        </is>
      </c>
      <c r="BX149" s="256" t="inlineStr">
        <is>
          <t>545/1076/26</t>
        </is>
      </c>
      <c r="BY149" s="256" t="inlineStr">
        <is>
          <t>31.08.2026</t>
        </is>
      </c>
      <c r="BZ149" s="256" t="inlineStr">
        <is>
          <t>IPH — Institute of Public Health</t>
        </is>
      </c>
      <c r="CA149" s="256" t="inlineStr">
        <is>
          <t>Absent | Отсутна</t>
        </is>
      </c>
      <c r="CB149" s="256" t="inlineStr">
        <is>
          <t>545/1076/26</t>
        </is>
      </c>
      <c r="CC149" s="256" t="inlineStr">
        <is>
          <t>31.08.2026</t>
        </is>
      </c>
      <c r="CD149" s="256" t="inlineStr">
        <is>
          <t>IPH — Institute of Public Health</t>
        </is>
      </c>
      <c r="CE149" s="260" t="inlineStr">
        <is>
          <t>upon request — not required for release</t>
        </is>
      </c>
      <c r="CF149" s="256" t="inlineStr">
        <is>
          <t>—</t>
        </is>
      </c>
      <c r="CG149" s="256" t="inlineStr">
        <is>
          <t>—</t>
        </is>
      </c>
      <c r="CH149" s="256" t="inlineStr">
        <is>
          <t>—</t>
        </is>
      </c>
      <c r="CI149" s="260" t="inlineStr">
        <is>
          <t>upon request — not required for release</t>
        </is>
      </c>
      <c r="CJ149" s="256" t="inlineStr">
        <is>
          <t>—</t>
        </is>
      </c>
      <c r="CK149" s="256" t="inlineStr">
        <is>
          <t>—</t>
        </is>
      </c>
      <c r="CL149" s="256" t="inlineStr">
        <is>
          <t>—</t>
        </is>
      </c>
      <c r="CM149" s="256" t="inlineStr">
        <is>
          <t>ND</t>
        </is>
      </c>
      <c r="CN149" s="256" t="inlineStr">
        <is>
          <t>227-20-М/26</t>
        </is>
      </c>
      <c r="CO149" s="256" t="inlineStr">
        <is>
          <t>16.09.2026</t>
        </is>
      </c>
      <c r="CP149" s="256" t="inlineStr">
        <is>
          <t>Farmahem</t>
        </is>
      </c>
      <c r="CQ149" s="256" t="inlineStr">
        <is>
          <t>ND</t>
        </is>
      </c>
      <c r="CR149" s="256" t="inlineStr">
        <is>
          <t>227-20-М/26</t>
        </is>
      </c>
      <c r="CS149" s="256" t="inlineStr">
        <is>
          <t>16.09.2026</t>
        </is>
      </c>
      <c r="CT149" s="256" t="inlineStr">
        <is>
          <t>Farmahem</t>
        </is>
      </c>
      <c r="CU149" s="256" t="inlineStr">
        <is>
          <t>ND</t>
        </is>
      </c>
      <c r="CV149" s="256" t="inlineStr">
        <is>
          <t>227-20-М/26</t>
        </is>
      </c>
      <c r="CW149" s="256" t="inlineStr">
        <is>
          <t>16.09.2026</t>
        </is>
      </c>
      <c r="CX149" s="256" t="inlineStr">
        <is>
          <t>Farmahem</t>
        </is>
      </c>
      <c r="CY149" s="256" t="inlineStr">
        <is>
          <t>0.033</t>
        </is>
      </c>
      <c r="CZ149" s="256" t="inlineStr">
        <is>
          <t>2358/2026</t>
        </is>
      </c>
      <c r="DA149" s="256" t="inlineStr">
        <is>
          <t>29.04.2026</t>
        </is>
      </c>
      <c r="DB149" s="256" t="inlineStr">
        <is>
          <t>IPH — Institute of Public Health</t>
        </is>
      </c>
      <c r="DC149" s="256" t="inlineStr">
        <is>
          <t>0.0154</t>
        </is>
      </c>
      <c r="DD149" s="256" t="inlineStr">
        <is>
          <t>2358/2026</t>
        </is>
      </c>
      <c r="DE149" s="256" t="inlineStr">
        <is>
          <t>29.04.2026</t>
        </is>
      </c>
      <c r="DF149" s="256" t="inlineStr">
        <is>
          <t>IPH — Institute of Public Health</t>
        </is>
      </c>
      <c r="DG149" s="256" t="inlineStr">
        <is>
          <t>0.0272</t>
        </is>
      </c>
      <c r="DH149" s="256" t="inlineStr">
        <is>
          <t>2358/2026</t>
        </is>
      </c>
      <c r="DI149" s="256" t="inlineStr">
        <is>
          <t>29.04.2026</t>
        </is>
      </c>
      <c r="DJ149" s="256" t="inlineStr">
        <is>
          <t>IPH — Institute of Public Health</t>
        </is>
      </c>
      <c r="DK149" s="256" t="inlineStr">
        <is>
          <t>0.0146</t>
        </is>
      </c>
      <c r="DL149" s="256" t="inlineStr">
        <is>
          <t>2358/2026</t>
        </is>
      </c>
      <c r="DM149" s="256" t="inlineStr">
        <is>
          <t>29.04.2026</t>
        </is>
      </c>
      <c r="DN149" s="256" t="inlineStr">
        <is>
          <t>IPH — Institute of Public Health</t>
        </is>
      </c>
      <c r="DO149" s="256" t="inlineStr">
        <is>
          <t>ND</t>
        </is>
      </c>
      <c r="DP149" s="256" t="inlineStr">
        <is>
          <t>2358/2026</t>
        </is>
      </c>
      <c r="DQ149" s="256" t="inlineStr">
        <is>
          <t>29.04.2026</t>
        </is>
      </c>
      <c r="DR149" s="256" t="inlineStr">
        <is>
          <t>IPH — Institute of Public Health</t>
        </is>
      </c>
    </row>
    <row r="150">
      <c r="A150" s="256" t="inlineStr">
        <is>
          <t>CoQ-PP_26-149</t>
        </is>
      </c>
      <c r="B150" s="256" t="inlineStr">
        <is>
          <t>reissue — retest</t>
        </is>
      </c>
      <c r="C150" s="256" t="inlineStr">
        <is>
          <t>allocated — code reserved, date provisional</t>
        </is>
      </c>
      <c r="D150" s="256" t="inlineStr">
        <is>
          <t>21.09.2026</t>
        </is>
      </c>
      <c r="E150" s="256" t="inlineStr">
        <is>
          <t>CoQ-PP_26-026 of 06.06.2026</t>
        </is>
      </c>
      <c r="F150" s="256" t="inlineStr">
        <is>
          <t>(assigned on issue)</t>
        </is>
      </c>
      <c r="G150" s="256" t="inlineStr">
        <is>
          <t>GP062501</t>
        </is>
      </c>
      <c r="H150" s="256" t="inlineStr">
        <is>
          <t>P050202</t>
        </is>
      </c>
      <c r="I150" s="256" t="inlineStr">
        <is>
          <t>Grape Pie</t>
        </is>
      </c>
      <c r="J150" s="256" t="inlineStr">
        <is>
          <t>15.09.2025 – 17.09.2025</t>
        </is>
      </c>
      <c r="K150" s="256" t="inlineStr">
        <is>
          <t>30.10.2025 – 07.11.2025</t>
        </is>
      </c>
      <c r="L150" s="256" t="inlineStr">
        <is>
          <t>—</t>
        </is>
      </c>
      <c r="M150" s="256" t="inlineStr">
        <is>
          <t>—</t>
        </is>
      </c>
      <c r="N150" s="256" t="inlineStr">
        <is>
          <t>iCoA-PP_26-167</t>
        </is>
      </c>
      <c r="O150" s="256" t="inlineStr">
        <is>
          <t>24.08.2026</t>
        </is>
      </c>
      <c r="P150" s="256" t="inlineStr">
        <is>
          <t>20.08.2026</t>
        </is>
      </c>
      <c r="Q150" s="256" t="inlineStr">
        <is>
          <t>Tranche 3</t>
        </is>
      </c>
      <c r="R150" s="256" t="inlineStr">
        <is>
          <t>25.97</t>
        </is>
      </c>
      <c r="S150" s="256" t="inlineStr">
        <is>
          <t>227-18-К/26</t>
        </is>
      </c>
      <c r="T150" s="256" t="inlineStr">
        <is>
          <t>II</t>
        </is>
      </c>
      <c r="U150" s="256" t="inlineStr">
        <is>
          <t>22.00 – 25.99 %</t>
        </is>
      </c>
      <c r="V150" s="256" t="inlineStr">
        <is>
          <t>GP_THC24 : CBD1</t>
        </is>
      </c>
      <c r="W150" s="256" t="inlineStr">
        <is>
          <t>QCSP_001_GP-II_v.01</t>
        </is>
      </c>
      <c r="X150" s="256" t="inlineStr">
        <is>
          <t>for review — replaces the issued QCSP_001_GP-II_v.01 (was GP_THC26 : CBD1, 25.40 – 26.60 %); now GP_THC24 : CBD1 22.00 – 25.99 %</t>
        </is>
      </c>
      <c r="Y150" s="256" t="inlineStr">
        <is>
          <t>HYBRID</t>
        </is>
      </c>
      <c r="Z150" s="256" t="inlineStr">
        <is>
          <t>THC</t>
        </is>
      </c>
      <c r="AA150" s="256" t="inlineStr">
        <is>
          <t>MACHINE TRIMMED</t>
        </is>
      </c>
      <c r="AB150" s="256" t="inlineStr">
        <is>
          <t>INDICA-DOMINANT</t>
        </is>
      </c>
      <c r="AC150" s="256" t="inlineStr">
        <is>
          <t>Triplex Alu Bag | Триплекс Aлу Kеса, PET 12 · ALU 7 · PE 80, 300 × 500 mm, net. 400.0 g ±3%</t>
        </is>
      </c>
      <c r="AD150" s="256" t="inlineStr">
        <is>
          <t>11.09.2026</t>
        </is>
      </c>
      <c r="AE150" s="256" t="inlineStr">
        <is>
          <t>Conforms | Одговара</t>
        </is>
      </c>
      <c r="AF150" s="256" t="inlineStr">
        <is>
          <t>iCoA-PP_26-167</t>
        </is>
      </c>
      <c r="AG150" s="256" t="inlineStr">
        <is>
          <t>24.08.2026</t>
        </is>
      </c>
      <c r="AH150" s="256" t="inlineStr">
        <is>
          <t>Purely Plant GmbH (in-house)</t>
        </is>
      </c>
      <c r="AI150" s="256" t="inlineStr">
        <is>
          <t>Conforms | Одговара</t>
        </is>
      </c>
      <c r="AJ150" s="256" t="inlineStr">
        <is>
          <t>iCoA-PP_26-167</t>
        </is>
      </c>
      <c r="AK150" s="256" t="inlineStr">
        <is>
          <t>24.08.2026</t>
        </is>
      </c>
      <c r="AL150" s="256" t="inlineStr">
        <is>
          <t>Purely Plant GmbH (in-house)</t>
        </is>
      </c>
      <c r="AM150" s="256" t="inlineStr">
        <is>
          <t>Conforms | Одговара</t>
        </is>
      </c>
      <c r="AN150" s="256" t="inlineStr">
        <is>
          <t>227-18-К/26</t>
        </is>
      </c>
      <c r="AO150" s="256" t="inlineStr">
        <is>
          <t>11.09.2026</t>
        </is>
      </c>
      <c r="AP150" s="256" t="inlineStr">
        <is>
          <t>Farmahem</t>
        </is>
      </c>
      <c r="AQ150" s="256" t="inlineStr">
        <is>
          <t>25.97</t>
        </is>
      </c>
      <c r="AR150" s="256" t="inlineStr">
        <is>
          <t>227-18-К/26</t>
        </is>
      </c>
      <c r="AS150" s="256" t="inlineStr">
        <is>
          <t>11.09.2026</t>
        </is>
      </c>
      <c r="AT150" s="256" t="inlineStr">
        <is>
          <t>Farmahem</t>
        </is>
      </c>
      <c r="AU150" s="256" t="inlineStr">
        <is>
          <t>&lt; LOQ</t>
        </is>
      </c>
      <c r="AV150" s="256" t="inlineStr">
        <is>
          <t>227-18-К/26</t>
        </is>
      </c>
      <c r="AW150" s="256" t="inlineStr">
        <is>
          <t>11.09.2026</t>
        </is>
      </c>
      <c r="AX150" s="256" t="inlineStr">
        <is>
          <t>Farmahem</t>
        </is>
      </c>
      <c r="AY150" s="256" t="inlineStr">
        <is>
          <t>&lt; LOQ</t>
        </is>
      </c>
      <c r="AZ150" s="256" t="inlineStr">
        <is>
          <t>227-18-К/26</t>
        </is>
      </c>
      <c r="BA150" s="256" t="inlineStr">
        <is>
          <t>11.09.2026</t>
        </is>
      </c>
      <c r="BB150" s="256" t="inlineStr">
        <is>
          <t>Farmahem</t>
        </is>
      </c>
      <c r="BC150" s="256" t="inlineStr">
        <is>
          <t>Conforms | Одговара</t>
        </is>
      </c>
      <c r="BD150" s="256" t="inlineStr">
        <is>
          <t>iCoA-PP_26-167</t>
        </is>
      </c>
      <c r="BE150" s="256" t="inlineStr">
        <is>
          <t>24.08.2026</t>
        </is>
      </c>
      <c r="BF150" s="256" t="inlineStr">
        <is>
          <t>Purely Plant GmbH (in-house)</t>
        </is>
      </c>
      <c r="BG150" s="256" t="inlineStr">
        <is>
          <t>8.19 (avg of 4 weighings 51-1,51-2,52-1,52-2)</t>
        </is>
      </c>
      <c r="BH150" s="256" t="inlineStr">
        <is>
          <t>iCoA-PP_26-025</t>
        </is>
      </c>
      <c r="BI150" s="256" t="inlineStr">
        <is>
          <t>03.06.2026</t>
        </is>
      </c>
      <c r="BJ150" s="256" t="inlineStr">
        <is>
          <t>Purely Plant GmbH (in-house)</t>
        </is>
      </c>
      <c r="BK150" s="256" t="inlineStr">
        <is>
          <t>&lt; 10</t>
        </is>
      </c>
      <c r="BL150" s="256" t="inlineStr">
        <is>
          <t>557/1088/26</t>
        </is>
      </c>
      <c r="BM150" s="256" t="inlineStr">
        <is>
          <t>01.09.2026</t>
        </is>
      </c>
      <c r="BN150" s="256" t="inlineStr">
        <is>
          <t>IPH — Institute of Public Health</t>
        </is>
      </c>
      <c r="BO150" s="256" t="inlineStr">
        <is>
          <t>&lt; 10</t>
        </is>
      </c>
      <c r="BP150" s="256" t="inlineStr">
        <is>
          <t>557/1088/26</t>
        </is>
      </c>
      <c r="BQ150" s="256" t="inlineStr">
        <is>
          <t>01.09.2026</t>
        </is>
      </c>
      <c r="BR150" s="256" t="inlineStr">
        <is>
          <t>IPH — Institute of Public Health</t>
        </is>
      </c>
      <c r="BS150" s="256" t="inlineStr">
        <is>
          <t>&lt; 10</t>
        </is>
      </c>
      <c r="BT150" s="256" t="inlineStr">
        <is>
          <t>557/1088/26</t>
        </is>
      </c>
      <c r="BU150" s="256" t="inlineStr">
        <is>
          <t>01.09.2026</t>
        </is>
      </c>
      <c r="BV150" s="256" t="inlineStr">
        <is>
          <t>IPH — Institute of Public Health</t>
        </is>
      </c>
      <c r="BW150" s="256" t="inlineStr">
        <is>
          <t>Absent | Отсутна</t>
        </is>
      </c>
      <c r="BX150" s="256" t="inlineStr">
        <is>
          <t>557/1088/26</t>
        </is>
      </c>
      <c r="BY150" s="256" t="inlineStr">
        <is>
          <t>01.09.2026</t>
        </is>
      </c>
      <c r="BZ150" s="256" t="inlineStr">
        <is>
          <t>IPH — Institute of Public Health</t>
        </is>
      </c>
      <c r="CA150" s="256" t="inlineStr">
        <is>
          <t>Absent | Отсутна</t>
        </is>
      </c>
      <c r="CB150" s="256" t="inlineStr">
        <is>
          <t>557/1088/26</t>
        </is>
      </c>
      <c r="CC150" s="256" t="inlineStr">
        <is>
          <t>01.09.2026</t>
        </is>
      </c>
      <c r="CD150" s="256" t="inlineStr">
        <is>
          <t>IPH — Institute of Public Health</t>
        </is>
      </c>
      <c r="CE150" s="260" t="inlineStr">
        <is>
          <t>upon request — not required for release</t>
        </is>
      </c>
      <c r="CF150" s="256" t="inlineStr">
        <is>
          <t>—</t>
        </is>
      </c>
      <c r="CG150" s="256" t="inlineStr">
        <is>
          <t>—</t>
        </is>
      </c>
      <c r="CH150" s="256" t="inlineStr">
        <is>
          <t>—</t>
        </is>
      </c>
      <c r="CI150" s="260" t="inlineStr">
        <is>
          <t>upon request — not required for release</t>
        </is>
      </c>
      <c r="CJ150" s="256" t="inlineStr">
        <is>
          <t>—</t>
        </is>
      </c>
      <c r="CK150" s="256" t="inlineStr">
        <is>
          <t>—</t>
        </is>
      </c>
      <c r="CL150" s="256" t="inlineStr">
        <is>
          <t>—</t>
        </is>
      </c>
      <c r="CM150" s="259" t="inlineStr">
        <is>
          <t>awaiting the Farmahem mycotoxin certificate</t>
        </is>
      </c>
      <c r="CN150" s="256" t="inlineStr">
        <is>
          <t>—</t>
        </is>
      </c>
      <c r="CO150" s="256" t="inlineStr">
        <is>
          <t>—</t>
        </is>
      </c>
      <c r="CP150" s="256" t="inlineStr">
        <is>
          <t>—</t>
        </is>
      </c>
      <c r="CQ150" s="256" t="inlineStr">
        <is>
          <t>&lt; 2</t>
        </is>
      </c>
      <c r="CR150" s="256" t="inlineStr">
        <is>
          <t>4762/2025</t>
        </is>
      </c>
      <c r="CS150" s="256" t="inlineStr">
        <is>
          <t>08.10.2025</t>
        </is>
      </c>
      <c r="CT150" s="256" t="inlineStr">
        <is>
          <t>IPH — Institute of Public Health</t>
        </is>
      </c>
      <c r="CU150" s="259" t="inlineStr">
        <is>
          <t>awaiting the Farmahem mycotoxin certificate</t>
        </is>
      </c>
      <c r="CV150" s="256" t="inlineStr">
        <is>
          <t>—</t>
        </is>
      </c>
      <c r="CW150" s="256" t="inlineStr">
        <is>
          <t>—</t>
        </is>
      </c>
      <c r="CX150" s="256" t="inlineStr">
        <is>
          <t>—</t>
        </is>
      </c>
      <c r="CY150" s="256" t="inlineStr">
        <is>
          <t>0.077</t>
        </is>
      </c>
      <c r="CZ150" s="256" t="inlineStr">
        <is>
          <t>4762/2025</t>
        </is>
      </c>
      <c r="DA150" s="256" t="inlineStr">
        <is>
          <t>08.10.2025</t>
        </is>
      </c>
      <c r="DB150" s="256" t="inlineStr">
        <is>
          <t>IPH — Institute of Public Health</t>
        </is>
      </c>
      <c r="DC150" s="256" t="inlineStr">
        <is>
          <t>0.014</t>
        </is>
      </c>
      <c r="DD150" s="256" t="inlineStr">
        <is>
          <t>4762/2025</t>
        </is>
      </c>
      <c r="DE150" s="256" t="inlineStr">
        <is>
          <t>08.10.2025</t>
        </is>
      </c>
      <c r="DF150" s="256" t="inlineStr">
        <is>
          <t>IPH — Institute of Public Health</t>
        </is>
      </c>
      <c r="DG150" s="256" t="inlineStr">
        <is>
          <t>0.024</t>
        </is>
      </c>
      <c r="DH150" s="256" t="inlineStr">
        <is>
          <t>4762/2025</t>
        </is>
      </c>
      <c r="DI150" s="256" t="inlineStr">
        <is>
          <t>08.10.2025</t>
        </is>
      </c>
      <c r="DJ150" s="256" t="inlineStr">
        <is>
          <t>IPH — Institute of Public Health</t>
        </is>
      </c>
      <c r="DK150" s="256" t="inlineStr">
        <is>
          <t>0.011</t>
        </is>
      </c>
      <c r="DL150" s="256" t="inlineStr">
        <is>
          <t>4762/2025</t>
        </is>
      </c>
      <c r="DM150" s="256" t="inlineStr">
        <is>
          <t>08.10.2025</t>
        </is>
      </c>
      <c r="DN150" s="256" t="inlineStr">
        <is>
          <t>IPH — Institute of Public Health</t>
        </is>
      </c>
      <c r="DO150" s="256" t="inlineStr">
        <is>
          <t>ND</t>
        </is>
      </c>
      <c r="DP150" s="256" t="inlineStr">
        <is>
          <t>4762/2025</t>
        </is>
      </c>
      <c r="DQ150" s="256" t="inlineStr">
        <is>
          <t>08.10.2025</t>
        </is>
      </c>
      <c r="DR150" s="256" t="inlineStr">
        <is>
          <t>IPH — Institute of Public Health</t>
        </is>
      </c>
    </row>
    <row r="151">
      <c r="A151" s="256" t="inlineStr">
        <is>
          <t>CoQ-PP_26-150</t>
        </is>
      </c>
      <c r="B151" s="256" t="inlineStr">
        <is>
          <t>reissue — retest</t>
        </is>
      </c>
      <c r="C151" s="256" t="inlineStr">
        <is>
          <t>allocated — code reserved, date provisional</t>
        </is>
      </c>
      <c r="D151" s="256" t="inlineStr">
        <is>
          <t>21.09.2026</t>
        </is>
      </c>
      <c r="E151" s="256" t="inlineStr">
        <is>
          <t>CoQ-PP_26-033 of 06.06.2026</t>
        </is>
      </c>
      <c r="F151" s="256" t="inlineStr">
        <is>
          <t>(assigned on issue)</t>
        </is>
      </c>
      <c r="G151" s="256" t="inlineStr">
        <is>
          <t>GP072501-1</t>
        </is>
      </c>
      <c r="H151" s="256" t="inlineStr">
        <is>
          <t>P050292</t>
        </is>
      </c>
      <c r="I151" s="256" t="inlineStr">
        <is>
          <t>Grape Pie</t>
        </is>
      </c>
      <c r="J151" s="256" t="inlineStr">
        <is>
          <t>11.11.2025 – 13.11.2025</t>
        </is>
      </c>
      <c r="K151" s="256" t="inlineStr">
        <is>
          <t>15.12.2025 – 21.12.2025</t>
        </is>
      </c>
      <c r="L151" s="256" t="inlineStr">
        <is>
          <t>—</t>
        </is>
      </c>
      <c r="M151" s="256" t="inlineStr">
        <is>
          <t>—</t>
        </is>
      </c>
      <c r="N151" s="256" t="inlineStr">
        <is>
          <t>iCoA-PP_26-168</t>
        </is>
      </c>
      <c r="O151" s="256" t="inlineStr">
        <is>
          <t>24.08.2026</t>
        </is>
      </c>
      <c r="P151" s="256" t="inlineStr">
        <is>
          <t>20.08.2026</t>
        </is>
      </c>
      <c r="Q151" s="256" t="inlineStr">
        <is>
          <t>Tranche 3</t>
        </is>
      </c>
      <c r="R151" s="256" t="inlineStr">
        <is>
          <t>26.54</t>
        </is>
      </c>
      <c r="S151" s="256" t="inlineStr">
        <is>
          <t>227-17-К/26</t>
        </is>
      </c>
      <c r="T151" s="256" t="inlineStr">
        <is>
          <t>I</t>
        </is>
      </c>
      <c r="U151" s="256" t="inlineStr">
        <is>
          <t>26.00 – 29.99 %</t>
        </is>
      </c>
      <c r="V151" s="256" t="inlineStr">
        <is>
          <t>GP_THC28 : CBD1</t>
        </is>
      </c>
      <c r="W151" s="256" t="inlineStr">
        <is>
          <t>QCSP_001_GP-I_v.01</t>
        </is>
      </c>
      <c r="X151" s="256" t="inlineStr">
        <is>
          <t>for review — replaces the issued QCSP_001_GP-I_v.01 (was GP_THC28 : CBD1, 26.61 – 29.39 %); now GP_THC28 : CBD1 26.00 – 29.99 %</t>
        </is>
      </c>
      <c r="Y151" s="256" t="inlineStr">
        <is>
          <t>HYBRID</t>
        </is>
      </c>
      <c r="Z151" s="256" t="inlineStr">
        <is>
          <t>THC</t>
        </is>
      </c>
      <c r="AA151" s="256" t="inlineStr">
        <is>
          <t>MACHINE TRIMMED</t>
        </is>
      </c>
      <c r="AB151" s="256" t="inlineStr">
        <is>
          <t>INDICA-DOMINANT</t>
        </is>
      </c>
      <c r="AC151" s="256" t="inlineStr">
        <is>
          <t>Triplex Alu Bag | Триплекс Aлу Kеса, PET 12 · ALU 7 · PE 80, 300 × 500 mm, net. 400.0 g ±3%</t>
        </is>
      </c>
      <c r="AD151" s="256" t="inlineStr">
        <is>
          <t>16.09.2026</t>
        </is>
      </c>
      <c r="AE151" s="256" t="inlineStr">
        <is>
          <t>Conforms | Одговара</t>
        </is>
      </c>
      <c r="AF151" s="256" t="inlineStr">
        <is>
          <t>iCoA-PP_26-168</t>
        </is>
      </c>
      <c r="AG151" s="256" t="inlineStr">
        <is>
          <t>24.08.2026</t>
        </is>
      </c>
      <c r="AH151" s="256" t="inlineStr">
        <is>
          <t>Purely Plant GmbH (in-house)</t>
        </is>
      </c>
      <c r="AI151" s="256" t="inlineStr">
        <is>
          <t>Conforms | Одговара</t>
        </is>
      </c>
      <c r="AJ151" s="256" t="inlineStr">
        <is>
          <t>iCoA-PP_26-168</t>
        </is>
      </c>
      <c r="AK151" s="256" t="inlineStr">
        <is>
          <t>24.08.2026</t>
        </is>
      </c>
      <c r="AL151" s="256" t="inlineStr">
        <is>
          <t>Purely Plant GmbH (in-house)</t>
        </is>
      </c>
      <c r="AM151" s="256" t="inlineStr">
        <is>
          <t>Conforms | Одговара</t>
        </is>
      </c>
      <c r="AN151" s="256" t="inlineStr">
        <is>
          <t>227-17-К/26</t>
        </is>
      </c>
      <c r="AO151" s="256" t="inlineStr">
        <is>
          <t>11.09.2026</t>
        </is>
      </c>
      <c r="AP151" s="256" t="inlineStr">
        <is>
          <t>Farmahem</t>
        </is>
      </c>
      <c r="AQ151" s="256" t="inlineStr">
        <is>
          <t>26.54</t>
        </is>
      </c>
      <c r="AR151" s="256" t="inlineStr">
        <is>
          <t>227-17-К/26</t>
        </is>
      </c>
      <c r="AS151" s="256" t="inlineStr">
        <is>
          <t>11.09.2026</t>
        </is>
      </c>
      <c r="AT151" s="256" t="inlineStr">
        <is>
          <t>Farmahem</t>
        </is>
      </c>
      <c r="AU151" s="256" t="inlineStr">
        <is>
          <t>&lt; LOQ</t>
        </is>
      </c>
      <c r="AV151" s="256" t="inlineStr">
        <is>
          <t>227-17-К/26</t>
        </is>
      </c>
      <c r="AW151" s="256" t="inlineStr">
        <is>
          <t>11.09.2026</t>
        </is>
      </c>
      <c r="AX151" s="256" t="inlineStr">
        <is>
          <t>Farmahem</t>
        </is>
      </c>
      <c r="AY151" s="256" t="inlineStr">
        <is>
          <t>&lt; LOQ</t>
        </is>
      </c>
      <c r="AZ151" s="256" t="inlineStr">
        <is>
          <t>227-17-К/26</t>
        </is>
      </c>
      <c r="BA151" s="256" t="inlineStr">
        <is>
          <t>11.09.2026</t>
        </is>
      </c>
      <c r="BB151" s="256" t="inlineStr">
        <is>
          <t>Farmahem</t>
        </is>
      </c>
      <c r="BC151" s="256" t="inlineStr">
        <is>
          <t>Conforms | Одговара</t>
        </is>
      </c>
      <c r="BD151" s="256" t="inlineStr">
        <is>
          <t>iCoA-PP_26-168</t>
        </is>
      </c>
      <c r="BE151" s="256" t="inlineStr">
        <is>
          <t>24.08.2026</t>
        </is>
      </c>
      <c r="BF151" s="256" t="inlineStr">
        <is>
          <t>Purely Plant GmbH (in-house)</t>
        </is>
      </c>
      <c r="BG151" s="256" t="inlineStr">
        <is>
          <t>6.62</t>
        </is>
      </c>
      <c r="BH151" s="256" t="inlineStr">
        <is>
          <t>ППК25378</t>
        </is>
      </c>
      <c r="BI151" s="256" t="inlineStr">
        <is>
          <t>12.12.2025</t>
        </is>
      </c>
      <c r="BJ151" s="256" t="inlineStr">
        <is>
          <t>UKIM Faculty of Pharmacy — Center for Natural Products</t>
        </is>
      </c>
      <c r="BK151" s="256" t="inlineStr">
        <is>
          <t>&lt; 10</t>
        </is>
      </c>
      <c r="BL151" s="256" t="inlineStr">
        <is>
          <t>553/1084/26</t>
        </is>
      </c>
      <c r="BM151" s="256" t="inlineStr">
        <is>
          <t>01.09.2026</t>
        </is>
      </c>
      <c r="BN151" s="256" t="inlineStr">
        <is>
          <t>IPH — Institute of Public Health</t>
        </is>
      </c>
      <c r="BO151" s="256" t="inlineStr">
        <is>
          <t>&lt; 10</t>
        </is>
      </c>
      <c r="BP151" s="256" t="inlineStr">
        <is>
          <t>553/1084/26</t>
        </is>
      </c>
      <c r="BQ151" s="256" t="inlineStr">
        <is>
          <t>01.09.2026</t>
        </is>
      </c>
      <c r="BR151" s="256" t="inlineStr">
        <is>
          <t>IPH — Institute of Public Health</t>
        </is>
      </c>
      <c r="BS151" s="256" t="inlineStr">
        <is>
          <t>&lt; 10</t>
        </is>
      </c>
      <c r="BT151" s="256" t="inlineStr">
        <is>
          <t>553/1084/26</t>
        </is>
      </c>
      <c r="BU151" s="256" t="inlineStr">
        <is>
          <t>01.09.2026</t>
        </is>
      </c>
      <c r="BV151" s="256" t="inlineStr">
        <is>
          <t>IPH — Institute of Public Health</t>
        </is>
      </c>
      <c r="BW151" s="256" t="inlineStr">
        <is>
          <t>Absent | Отсутна</t>
        </is>
      </c>
      <c r="BX151" s="256" t="inlineStr">
        <is>
          <t>553/1084/26</t>
        </is>
      </c>
      <c r="BY151" s="256" t="inlineStr">
        <is>
          <t>01.09.2026</t>
        </is>
      </c>
      <c r="BZ151" s="256" t="inlineStr">
        <is>
          <t>IPH — Institute of Public Health</t>
        </is>
      </c>
      <c r="CA151" s="256" t="inlineStr">
        <is>
          <t>Absent | Отсутна</t>
        </is>
      </c>
      <c r="CB151" s="256" t="inlineStr">
        <is>
          <t>553/1084/26</t>
        </is>
      </c>
      <c r="CC151" s="256" t="inlineStr">
        <is>
          <t>01.09.2026</t>
        </is>
      </c>
      <c r="CD151" s="256" t="inlineStr">
        <is>
          <t>IPH — Institute of Public Health</t>
        </is>
      </c>
      <c r="CE151" s="260" t="inlineStr">
        <is>
          <t>upon request — not required for release</t>
        </is>
      </c>
      <c r="CF151" s="256" t="inlineStr">
        <is>
          <t>—</t>
        </is>
      </c>
      <c r="CG151" s="256" t="inlineStr">
        <is>
          <t>—</t>
        </is>
      </c>
      <c r="CH151" s="256" t="inlineStr">
        <is>
          <t>—</t>
        </is>
      </c>
      <c r="CI151" s="260" t="inlineStr">
        <is>
          <t>upon request — not required for release</t>
        </is>
      </c>
      <c r="CJ151" s="256" t="inlineStr">
        <is>
          <t>—</t>
        </is>
      </c>
      <c r="CK151" s="256" t="inlineStr">
        <is>
          <t>—</t>
        </is>
      </c>
      <c r="CL151" s="256" t="inlineStr">
        <is>
          <t>—</t>
        </is>
      </c>
      <c r="CM151" s="256" t="inlineStr">
        <is>
          <t>ND</t>
        </is>
      </c>
      <c r="CN151" s="256" t="inlineStr">
        <is>
          <t>227-17-М/26</t>
        </is>
      </c>
      <c r="CO151" s="256" t="inlineStr">
        <is>
          <t>16.09.2026</t>
        </is>
      </c>
      <c r="CP151" s="256" t="inlineStr">
        <is>
          <t>Farmahem</t>
        </is>
      </c>
      <c r="CQ151" s="256" t="inlineStr">
        <is>
          <t>ND</t>
        </is>
      </c>
      <c r="CR151" s="256" t="inlineStr">
        <is>
          <t>227-17-М/26</t>
        </is>
      </c>
      <c r="CS151" s="256" t="inlineStr">
        <is>
          <t>16.09.2026</t>
        </is>
      </c>
      <c r="CT151" s="256" t="inlineStr">
        <is>
          <t>Farmahem</t>
        </is>
      </c>
      <c r="CU151" s="256" t="inlineStr">
        <is>
          <t>ND</t>
        </is>
      </c>
      <c r="CV151" s="256" t="inlineStr">
        <is>
          <t>227-17-М/26</t>
        </is>
      </c>
      <c r="CW151" s="256" t="inlineStr">
        <is>
          <t>16.09.2026</t>
        </is>
      </c>
      <c r="CX151" s="256" t="inlineStr">
        <is>
          <t>Farmahem</t>
        </is>
      </c>
      <c r="CY151" s="256" t="inlineStr">
        <is>
          <t>0.028</t>
        </is>
      </c>
      <c r="CZ151" s="256" t="inlineStr">
        <is>
          <t>5886/2025</t>
        </is>
      </c>
      <c r="DA151" s="256" t="inlineStr">
        <is>
          <t>12.12.2025</t>
        </is>
      </c>
      <c r="DB151" s="256" t="inlineStr">
        <is>
          <t>IPH — Institute of Public Health</t>
        </is>
      </c>
      <c r="DC151" s="256" t="inlineStr">
        <is>
          <t>0.003</t>
        </is>
      </c>
      <c r="DD151" s="256" t="inlineStr">
        <is>
          <t>5886/2025</t>
        </is>
      </c>
      <c r="DE151" s="256" t="inlineStr">
        <is>
          <t>12.12.2025</t>
        </is>
      </c>
      <c r="DF151" s="256" t="inlineStr">
        <is>
          <t>IPH — Institute of Public Health</t>
        </is>
      </c>
      <c r="DG151" s="256" t="inlineStr">
        <is>
          <t>0.03</t>
        </is>
      </c>
      <c r="DH151" s="256" t="inlineStr">
        <is>
          <t>5886/2025</t>
        </is>
      </c>
      <c r="DI151" s="256" t="inlineStr">
        <is>
          <t>12.12.2025</t>
        </is>
      </c>
      <c r="DJ151" s="256" t="inlineStr">
        <is>
          <t>IPH — Institute of Public Health</t>
        </is>
      </c>
      <c r="DK151" s="256" t="inlineStr">
        <is>
          <t>0.025</t>
        </is>
      </c>
      <c r="DL151" s="256" t="inlineStr">
        <is>
          <t>5886/2025</t>
        </is>
      </c>
      <c r="DM151" s="256" t="inlineStr">
        <is>
          <t>12.12.2025</t>
        </is>
      </c>
      <c r="DN151" s="256" t="inlineStr">
        <is>
          <t>IPH — Institute of Public Health</t>
        </is>
      </c>
      <c r="DO151" s="256" t="inlineStr">
        <is>
          <t>ND</t>
        </is>
      </c>
      <c r="DP151" s="256" t="inlineStr">
        <is>
          <t>5886/2025</t>
        </is>
      </c>
      <c r="DQ151" s="256" t="inlineStr">
        <is>
          <t>12.12.2025</t>
        </is>
      </c>
      <c r="DR151" s="256" t="inlineStr">
        <is>
          <t>IPH — Institute of Public Health</t>
        </is>
      </c>
    </row>
    <row r="152">
      <c r="A152" s="256" t="inlineStr">
        <is>
          <t>CoQ-PP_26-151</t>
        </is>
      </c>
      <c r="B152" s="256" t="inlineStr">
        <is>
          <t>reissue — retest</t>
        </is>
      </c>
      <c r="C152" s="256" t="inlineStr">
        <is>
          <t>allocated — code reserved, date provisional</t>
        </is>
      </c>
      <c r="D152" s="256" t="inlineStr">
        <is>
          <t>21.09.2026</t>
        </is>
      </c>
      <c r="E152" s="256" t="inlineStr">
        <is>
          <t>CoQ-PP_26-016 of 06.06.2026</t>
        </is>
      </c>
      <c r="F152" s="256" t="inlineStr">
        <is>
          <t>(assigned on issue)</t>
        </is>
      </c>
      <c r="G152" s="256" t="inlineStr">
        <is>
          <t>GP0824_01</t>
        </is>
      </c>
      <c r="H152" s="256" t="inlineStr">
        <is>
          <t>P050102</t>
        </is>
      </c>
      <c r="I152" s="256" t="inlineStr">
        <is>
          <t>Grape Pie</t>
        </is>
      </c>
      <c r="J152" s="256" t="inlineStr">
        <is>
          <t>20.03.2025 – 21.03.2025</t>
        </is>
      </c>
      <c r="K152" s="256" t="inlineStr">
        <is>
          <t>05.08.2025 – 07.08.2025</t>
        </is>
      </c>
      <c r="L152" s="256" t="inlineStr">
        <is>
          <t>—</t>
        </is>
      </c>
      <c r="M152" s="256" t="inlineStr">
        <is>
          <t>—</t>
        </is>
      </c>
      <c r="N152" s="256" t="inlineStr">
        <is>
          <t>iCoA-PP_26-156</t>
        </is>
      </c>
      <c r="O152" s="256" t="inlineStr">
        <is>
          <t>24.08.2026</t>
        </is>
      </c>
      <c r="P152" s="256" t="inlineStr">
        <is>
          <t>19.08.2026</t>
        </is>
      </c>
      <c r="Q152" s="256" t="inlineStr">
        <is>
          <t>Tranche 3</t>
        </is>
      </c>
      <c r="R152" s="256" t="inlineStr">
        <is>
          <t>28.68</t>
        </is>
      </c>
      <c r="S152" s="256" t="inlineStr">
        <is>
          <t>227-2-К/26</t>
        </is>
      </c>
      <c r="T152" s="256" t="inlineStr">
        <is>
          <t>I</t>
        </is>
      </c>
      <c r="U152" s="256" t="inlineStr">
        <is>
          <t>26.00 – 29.99 %</t>
        </is>
      </c>
      <c r="V152" s="256" t="inlineStr">
        <is>
          <t>GP_THC28 : CBD1</t>
        </is>
      </c>
      <c r="W152" s="256" t="inlineStr">
        <is>
          <t>QCSP_001_GP-I_v.01</t>
        </is>
      </c>
      <c r="X152" s="256" t="inlineStr">
        <is>
          <t>for review — replaces the issued QCSP_001_GP-I_v.01 (was GP_THC28 : CBD1, 26.61 – 29.39 %); now GP_THC28 : CBD1 26.00 – 29.99 %</t>
        </is>
      </c>
      <c r="Y152" s="256" t="inlineStr">
        <is>
          <t>HYBRID</t>
        </is>
      </c>
      <c r="Z152" s="256" t="inlineStr">
        <is>
          <t>THC</t>
        </is>
      </c>
      <c r="AA152" s="256" t="inlineStr">
        <is>
          <t>MACHINE TRIMMED</t>
        </is>
      </c>
      <c r="AB152" s="256" t="inlineStr">
        <is>
          <t>INDICA-DOMINANT</t>
        </is>
      </c>
      <c r="AC152" s="256" t="inlineStr">
        <is>
          <t>Triplex Alu Bag | Триплекс Aлу Kеса, PET 12 · ALU 7 · PE 80, 300 × 500 mm, net. 400.0 g ±3%</t>
        </is>
      </c>
      <c r="AD152" s="256" t="inlineStr">
        <is>
          <t>16.09.2026</t>
        </is>
      </c>
      <c r="AE152" s="256" t="inlineStr">
        <is>
          <t>Conforms | Одговара</t>
        </is>
      </c>
      <c r="AF152" s="256" t="inlineStr">
        <is>
          <t>iCoA-PP_26-156</t>
        </is>
      </c>
      <c r="AG152" s="256" t="inlineStr">
        <is>
          <t>24.08.2026</t>
        </is>
      </c>
      <c r="AH152" s="256" t="inlineStr">
        <is>
          <t>Purely Plant GmbH (in-house)</t>
        </is>
      </c>
      <c r="AI152" s="256" t="inlineStr">
        <is>
          <t>Conforms | Одговара</t>
        </is>
      </c>
      <c r="AJ152" s="256" t="inlineStr">
        <is>
          <t>iCoA-PP_26-156</t>
        </is>
      </c>
      <c r="AK152" s="256" t="inlineStr">
        <is>
          <t>24.08.2026</t>
        </is>
      </c>
      <c r="AL152" s="256" t="inlineStr">
        <is>
          <t>Purely Plant GmbH (in-house)</t>
        </is>
      </c>
      <c r="AM152" s="256" t="inlineStr">
        <is>
          <t>Conforms | Одговара</t>
        </is>
      </c>
      <c r="AN152" s="256" t="inlineStr">
        <is>
          <t>227-2-К/26</t>
        </is>
      </c>
      <c r="AO152" s="256" t="inlineStr">
        <is>
          <t>11.09.2026</t>
        </is>
      </c>
      <c r="AP152" s="256" t="inlineStr">
        <is>
          <t>Farmahem</t>
        </is>
      </c>
      <c r="AQ152" s="256" t="inlineStr">
        <is>
          <t>28.68</t>
        </is>
      </c>
      <c r="AR152" s="256" t="inlineStr">
        <is>
          <t>227-2-К/26</t>
        </is>
      </c>
      <c r="AS152" s="256" t="inlineStr">
        <is>
          <t>11.09.2026</t>
        </is>
      </c>
      <c r="AT152" s="256" t="inlineStr">
        <is>
          <t>Farmahem</t>
        </is>
      </c>
      <c r="AU152" s="256" t="inlineStr">
        <is>
          <t>&lt; LOQ</t>
        </is>
      </c>
      <c r="AV152" s="256" t="inlineStr">
        <is>
          <t>227-2-К/26</t>
        </is>
      </c>
      <c r="AW152" s="256" t="inlineStr">
        <is>
          <t>11.09.2026</t>
        </is>
      </c>
      <c r="AX152" s="256" t="inlineStr">
        <is>
          <t>Farmahem</t>
        </is>
      </c>
      <c r="AY152" s="256" t="inlineStr">
        <is>
          <t>0.25</t>
        </is>
      </c>
      <c r="AZ152" s="256" t="inlineStr">
        <is>
          <t>227-2-К/26</t>
        </is>
      </c>
      <c r="BA152" s="256" t="inlineStr">
        <is>
          <t>11.09.2026</t>
        </is>
      </c>
      <c r="BB152" s="256" t="inlineStr">
        <is>
          <t>Farmahem</t>
        </is>
      </c>
      <c r="BC152" s="256" t="inlineStr">
        <is>
          <t>Conforms | Одговара</t>
        </is>
      </c>
      <c r="BD152" s="256" t="inlineStr">
        <is>
          <t>iCoA-PP_26-156</t>
        </is>
      </c>
      <c r="BE152" s="256" t="inlineStr">
        <is>
          <t>24.08.2026</t>
        </is>
      </c>
      <c r="BF152" s="256" t="inlineStr">
        <is>
          <t>Purely Plant GmbH (in-house)</t>
        </is>
      </c>
      <c r="BG152" s="256" t="inlineStr">
        <is>
          <t>6.73</t>
        </is>
      </c>
      <c r="BH152" s="256" t="inlineStr">
        <is>
          <t>ППК25105</t>
        </is>
      </c>
      <c r="BI152" s="256" t="inlineStr">
        <is>
          <t>17.04.2025</t>
        </is>
      </c>
      <c r="BJ152" s="256" t="inlineStr">
        <is>
          <t>UKIM Faculty of Pharmacy — Center for Natural Products</t>
        </is>
      </c>
      <c r="BK152" s="256" t="inlineStr">
        <is>
          <t>&lt; 10</t>
        </is>
      </c>
      <c r="BL152" s="256" t="inlineStr">
        <is>
          <t>562/1093/26</t>
        </is>
      </c>
      <c r="BM152" s="256" t="inlineStr">
        <is>
          <t>01.09.2026</t>
        </is>
      </c>
      <c r="BN152" s="256" t="inlineStr">
        <is>
          <t>IPH — Institute of Public Health</t>
        </is>
      </c>
      <c r="BO152" s="256" t="inlineStr">
        <is>
          <t>50</t>
        </is>
      </c>
      <c r="BP152" s="256" t="inlineStr">
        <is>
          <t>562/1093/26</t>
        </is>
      </c>
      <c r="BQ152" s="256" t="inlineStr">
        <is>
          <t>01.09.2026</t>
        </is>
      </c>
      <c r="BR152" s="256" t="inlineStr">
        <is>
          <t>IPH — Institute of Public Health</t>
        </is>
      </c>
      <c r="BS152" s="256" t="inlineStr">
        <is>
          <t>&lt; 10</t>
        </is>
      </c>
      <c r="BT152" s="256" t="inlineStr">
        <is>
          <t>562/1093/26</t>
        </is>
      </c>
      <c r="BU152" s="256" t="inlineStr">
        <is>
          <t>01.09.2026</t>
        </is>
      </c>
      <c r="BV152" s="256" t="inlineStr">
        <is>
          <t>IPH — Institute of Public Health</t>
        </is>
      </c>
      <c r="BW152" s="256" t="inlineStr">
        <is>
          <t>Absent | Отсутна</t>
        </is>
      </c>
      <c r="BX152" s="256" t="inlineStr">
        <is>
          <t>562/1093/26</t>
        </is>
      </c>
      <c r="BY152" s="256" t="inlineStr">
        <is>
          <t>01.09.2026</t>
        </is>
      </c>
      <c r="BZ152" s="256" t="inlineStr">
        <is>
          <t>IPH — Institute of Public Health</t>
        </is>
      </c>
      <c r="CA152" s="256" t="inlineStr">
        <is>
          <t>Absent | Отсутна</t>
        </is>
      </c>
      <c r="CB152" s="256" t="inlineStr">
        <is>
          <t>562/1093/26</t>
        </is>
      </c>
      <c r="CC152" s="256" t="inlineStr">
        <is>
          <t>01.09.2026</t>
        </is>
      </c>
      <c r="CD152" s="256" t="inlineStr">
        <is>
          <t>IPH — Institute of Public Health</t>
        </is>
      </c>
      <c r="CE152" s="260" t="inlineStr">
        <is>
          <t>upon request — not required for release</t>
        </is>
      </c>
      <c r="CF152" s="256" t="inlineStr">
        <is>
          <t>—</t>
        </is>
      </c>
      <c r="CG152" s="256" t="inlineStr">
        <is>
          <t>—</t>
        </is>
      </c>
      <c r="CH152" s="256" t="inlineStr">
        <is>
          <t>—</t>
        </is>
      </c>
      <c r="CI152" s="260" t="inlineStr">
        <is>
          <t>upon request — not required for release</t>
        </is>
      </c>
      <c r="CJ152" s="256" t="inlineStr">
        <is>
          <t>—</t>
        </is>
      </c>
      <c r="CK152" s="256" t="inlineStr">
        <is>
          <t>—</t>
        </is>
      </c>
      <c r="CL152" s="256" t="inlineStr">
        <is>
          <t>—</t>
        </is>
      </c>
      <c r="CM152" s="256" t="inlineStr">
        <is>
          <t>ND</t>
        </is>
      </c>
      <c r="CN152" s="256" t="inlineStr">
        <is>
          <t>227-2-М/26</t>
        </is>
      </c>
      <c r="CO152" s="256" t="inlineStr">
        <is>
          <t>16.09.2026</t>
        </is>
      </c>
      <c r="CP152" s="256" t="inlineStr">
        <is>
          <t>Farmahem</t>
        </is>
      </c>
      <c r="CQ152" s="256" t="inlineStr">
        <is>
          <t>ND</t>
        </is>
      </c>
      <c r="CR152" s="256" t="inlineStr">
        <is>
          <t>227-2-М/26</t>
        </is>
      </c>
      <c r="CS152" s="256" t="inlineStr">
        <is>
          <t>16.09.2026</t>
        </is>
      </c>
      <c r="CT152" s="256" t="inlineStr">
        <is>
          <t>Farmahem</t>
        </is>
      </c>
      <c r="CU152" s="256" t="inlineStr">
        <is>
          <t>ND</t>
        </is>
      </c>
      <c r="CV152" s="256" t="inlineStr">
        <is>
          <t>227-2-М/26</t>
        </is>
      </c>
      <c r="CW152" s="256" t="inlineStr">
        <is>
          <t>16.09.2026</t>
        </is>
      </c>
      <c r="CX152" s="256" t="inlineStr">
        <is>
          <t>Farmahem</t>
        </is>
      </c>
      <c r="CY152" s="256" t="inlineStr">
        <is>
          <t>0.026</t>
        </is>
      </c>
      <c r="CZ152" s="256" t="inlineStr">
        <is>
          <t>1767/2025</t>
        </is>
      </c>
      <c r="DA152" s="256" t="inlineStr">
        <is>
          <t>11.04.2025</t>
        </is>
      </c>
      <c r="DB152" s="256" t="inlineStr">
        <is>
          <t>IPH — Institute of Public Health</t>
        </is>
      </c>
      <c r="DC152" s="256" t="inlineStr">
        <is>
          <t>0.005</t>
        </is>
      </c>
      <c r="DD152" s="256" t="inlineStr">
        <is>
          <t>1767/2025</t>
        </is>
      </c>
      <c r="DE152" s="256" t="inlineStr">
        <is>
          <t>11.04.2025</t>
        </is>
      </c>
      <c r="DF152" s="256" t="inlineStr">
        <is>
          <t>IPH — Institute of Public Health</t>
        </is>
      </c>
      <c r="DG152" s="256" t="inlineStr">
        <is>
          <t>0.015</t>
        </is>
      </c>
      <c r="DH152" s="256" t="inlineStr">
        <is>
          <t>1767/2025</t>
        </is>
      </c>
      <c r="DI152" s="256" t="inlineStr">
        <is>
          <t>11.04.2025</t>
        </is>
      </c>
      <c r="DJ152" s="256" t="inlineStr">
        <is>
          <t>IPH — Institute of Public Health</t>
        </is>
      </c>
      <c r="DK152" s="256" t="inlineStr">
        <is>
          <t>0.005</t>
        </is>
      </c>
      <c r="DL152" s="256" t="inlineStr">
        <is>
          <t>1767/2025</t>
        </is>
      </c>
      <c r="DM152" s="256" t="inlineStr">
        <is>
          <t>11.04.2025</t>
        </is>
      </c>
      <c r="DN152" s="256" t="inlineStr">
        <is>
          <t>IPH — Institute of Public Health</t>
        </is>
      </c>
      <c r="DO152" s="256" t="inlineStr">
        <is>
          <t>ND</t>
        </is>
      </c>
      <c r="DP152" s="256" t="inlineStr">
        <is>
          <t>1767/2025</t>
        </is>
      </c>
      <c r="DQ152" s="256" t="inlineStr">
        <is>
          <t>11.04.2025</t>
        </is>
      </c>
      <c r="DR152" s="256" t="inlineStr">
        <is>
          <t>IPH — Institute of Public Health</t>
        </is>
      </c>
    </row>
    <row r="153">
      <c r="A153" s="256" t="inlineStr">
        <is>
          <t>CoQ-PP_26-152</t>
        </is>
      </c>
      <c r="B153" s="256" t="inlineStr">
        <is>
          <t>reissue — retest</t>
        </is>
      </c>
      <c r="C153" s="256" t="inlineStr">
        <is>
          <t>allocated — code reserved, date provisional</t>
        </is>
      </c>
      <c r="D153" s="256" t="inlineStr">
        <is>
          <t>21.09.2026</t>
        </is>
      </c>
      <c r="E153" s="256" t="inlineStr">
        <is>
          <t>CoQ-PP_26-050 of 06.06.2026</t>
        </is>
      </c>
      <c r="F153" s="256" t="inlineStr">
        <is>
          <t>(assigned on issue)</t>
        </is>
      </c>
      <c r="G153" s="256" t="inlineStr">
        <is>
          <t>GRC102501/1</t>
        </is>
      </c>
      <c r="H153" s="256" t="inlineStr">
        <is>
          <t>P060142</t>
        </is>
      </c>
      <c r="I153" s="256" t="inlineStr">
        <is>
          <t>Grapes And Cream</t>
        </is>
      </c>
      <c r="J153" s="256" t="inlineStr">
        <is>
          <t>09.01.2026</t>
        </is>
      </c>
      <c r="K153" s="256" t="inlineStr">
        <is>
          <t>23.02.2026</t>
        </is>
      </c>
      <c r="L153" s="256" t="inlineStr">
        <is>
          <t>—</t>
        </is>
      </c>
      <c r="M153" s="256" t="inlineStr">
        <is>
          <t>23.02.2026</t>
        </is>
      </c>
      <c r="N153" s="256" t="inlineStr">
        <is>
          <t>iCoA-PP_26-169</t>
        </is>
      </c>
      <c r="O153" s="256" t="inlineStr">
        <is>
          <t>24.08.2026</t>
        </is>
      </c>
      <c r="P153" s="256" t="inlineStr">
        <is>
          <t>20.08.2026</t>
        </is>
      </c>
      <c r="Q153" s="256" t="inlineStr">
        <is>
          <t>Tranche 3</t>
        </is>
      </c>
      <c r="R153" s="256" t="inlineStr">
        <is>
          <t>7.50</t>
        </is>
      </c>
      <c r="S153" s="256" t="inlineStr">
        <is>
          <t>227-16-К/26</t>
        </is>
      </c>
      <c r="T153" s="256" t="inlineStr">
        <is>
          <t>III</t>
        </is>
      </c>
      <c r="U153" s="256" t="inlineStr">
        <is>
          <t>7.20 – 8.79 %</t>
        </is>
      </c>
      <c r="V153" s="256" t="inlineStr">
        <is>
          <t>GRC_THC8 : CBD1</t>
        </is>
      </c>
      <c r="W153" s="256" t="inlineStr">
        <is>
          <t>QCSP_001_GRC-III_v.01</t>
        </is>
      </c>
      <c r="X153" s="256" t="inlineStr">
        <is>
          <t>for review — replaces the issued QCSP_001_GRC-III_v.01 (was GRC_THC17.5:CBD1, 17.50% ± 2.50%); now GRC_THC8 : CBD1 7.20 – 8.79 %</t>
        </is>
      </c>
      <c r="Y153" s="256" t="inlineStr">
        <is>
          <t>HYBRID</t>
        </is>
      </c>
      <c r="Z153" s="256" t="inlineStr">
        <is>
          <t>THC</t>
        </is>
      </c>
      <c r="AA153" s="256" t="inlineStr">
        <is>
          <t>MACHINE TRIMMED</t>
        </is>
      </c>
      <c r="AB153" s="256" t="inlineStr">
        <is>
          <t>TO BE DETERMINED</t>
        </is>
      </c>
      <c r="AC153" s="256" t="inlineStr">
        <is>
          <t>Triplex Alu Bag | Триплекс Aлу Kеса, PET 12 · ALU 7 · PE 80, 300 × 500 mm, net. 400.0 g ±3%</t>
        </is>
      </c>
      <c r="AD153" s="256" t="inlineStr">
        <is>
          <t>11.09.2026</t>
        </is>
      </c>
      <c r="AE153" s="256" t="inlineStr">
        <is>
          <t>Conforms | Одговара</t>
        </is>
      </c>
      <c r="AF153" s="256" t="inlineStr">
        <is>
          <t>iCoA-PP_26-169</t>
        </is>
      </c>
      <c r="AG153" s="256" t="inlineStr">
        <is>
          <t>24.08.2026</t>
        </is>
      </c>
      <c r="AH153" s="256" t="inlineStr">
        <is>
          <t>Purely Plant GmbH (in-house)</t>
        </is>
      </c>
      <c r="AI153" s="256" t="inlineStr">
        <is>
          <t>Conforms | Одговара</t>
        </is>
      </c>
      <c r="AJ153" s="256" t="inlineStr">
        <is>
          <t>iCoA-PP_26-169</t>
        </is>
      </c>
      <c r="AK153" s="256" t="inlineStr">
        <is>
          <t>24.08.2026</t>
        </is>
      </c>
      <c r="AL153" s="256" t="inlineStr">
        <is>
          <t>Purely Plant GmbH (in-house)</t>
        </is>
      </c>
      <c r="AM153" s="256" t="inlineStr">
        <is>
          <t>Conforms | Одговара</t>
        </is>
      </c>
      <c r="AN153" s="256" t="inlineStr">
        <is>
          <t>227-16-К/26</t>
        </is>
      </c>
      <c r="AO153" s="256" t="inlineStr">
        <is>
          <t>11.09.2026</t>
        </is>
      </c>
      <c r="AP153" s="256" t="inlineStr">
        <is>
          <t>Farmahem</t>
        </is>
      </c>
      <c r="AQ153" s="256" t="inlineStr">
        <is>
          <t>7.50</t>
        </is>
      </c>
      <c r="AR153" s="256" t="inlineStr">
        <is>
          <t>227-16-К/26</t>
        </is>
      </c>
      <c r="AS153" s="256" t="inlineStr">
        <is>
          <t>11.09.2026</t>
        </is>
      </c>
      <c r="AT153" s="256" t="inlineStr">
        <is>
          <t>Farmahem</t>
        </is>
      </c>
      <c r="AU153" s="256" t="inlineStr">
        <is>
          <t>&lt; LOQ</t>
        </is>
      </c>
      <c r="AV153" s="256" t="inlineStr">
        <is>
          <t>227-16-К/26</t>
        </is>
      </c>
      <c r="AW153" s="256" t="inlineStr">
        <is>
          <t>11.09.2026</t>
        </is>
      </c>
      <c r="AX153" s="256" t="inlineStr">
        <is>
          <t>Farmahem</t>
        </is>
      </c>
      <c r="AY153" s="256" t="inlineStr">
        <is>
          <t>&lt; LOQ</t>
        </is>
      </c>
      <c r="AZ153" s="256" t="inlineStr">
        <is>
          <t>227-16-К/26</t>
        </is>
      </c>
      <c r="BA153" s="256" t="inlineStr">
        <is>
          <t>11.09.2026</t>
        </is>
      </c>
      <c r="BB153" s="256" t="inlineStr">
        <is>
          <t>Farmahem</t>
        </is>
      </c>
      <c r="BC153" s="256" t="inlineStr">
        <is>
          <t>Conforms | Одговара</t>
        </is>
      </c>
      <c r="BD153" s="256" t="inlineStr">
        <is>
          <t>iCoA-PP_26-169</t>
        </is>
      </c>
      <c r="BE153" s="256" t="inlineStr">
        <is>
          <t>24.08.2026</t>
        </is>
      </c>
      <c r="BF153" s="256" t="inlineStr">
        <is>
          <t>Purely Plant GmbH (in-house)</t>
        </is>
      </c>
      <c r="BG153" s="256" t="inlineStr">
        <is>
          <t>carried from the initial testing — not tested</t>
        </is>
      </c>
      <c r="BH153" s="256" t="inlineStr">
        <is>
          <t>—</t>
        </is>
      </c>
      <c r="BI153" s="256" t="inlineStr">
        <is>
          <t>—</t>
        </is>
      </c>
      <c r="BJ153" s="256" t="inlineStr">
        <is>
          <t>—</t>
        </is>
      </c>
      <c r="BK153" s="256" t="inlineStr">
        <is>
          <t>10</t>
        </is>
      </c>
      <c r="BL153" s="256" t="inlineStr">
        <is>
          <t>550/1081/26</t>
        </is>
      </c>
      <c r="BM153" s="256" t="inlineStr">
        <is>
          <t>01.09.2026</t>
        </is>
      </c>
      <c r="BN153" s="256" t="inlineStr">
        <is>
          <t>IPH — Institute of Public Health</t>
        </is>
      </c>
      <c r="BO153" s="256" t="inlineStr">
        <is>
          <t>&lt; 10</t>
        </is>
      </c>
      <c r="BP153" s="256" t="inlineStr">
        <is>
          <t>550/1081/26</t>
        </is>
      </c>
      <c r="BQ153" s="256" t="inlineStr">
        <is>
          <t>01.09.2026</t>
        </is>
      </c>
      <c r="BR153" s="256" t="inlineStr">
        <is>
          <t>IPH — Institute of Public Health</t>
        </is>
      </c>
      <c r="BS153" s="256" t="inlineStr">
        <is>
          <t>&lt; 10</t>
        </is>
      </c>
      <c r="BT153" s="256" t="inlineStr">
        <is>
          <t>550/1081/26</t>
        </is>
      </c>
      <c r="BU153" s="256" t="inlineStr">
        <is>
          <t>01.09.2026</t>
        </is>
      </c>
      <c r="BV153" s="256" t="inlineStr">
        <is>
          <t>IPH — Institute of Public Health</t>
        </is>
      </c>
      <c r="BW153" s="256" t="inlineStr">
        <is>
          <t>Absent | Отсутна</t>
        </is>
      </c>
      <c r="BX153" s="256" t="inlineStr">
        <is>
          <t>550/1081/26</t>
        </is>
      </c>
      <c r="BY153" s="256" t="inlineStr">
        <is>
          <t>01.09.2026</t>
        </is>
      </c>
      <c r="BZ153" s="256" t="inlineStr">
        <is>
          <t>IPH — Institute of Public Health</t>
        </is>
      </c>
      <c r="CA153" s="256" t="inlineStr">
        <is>
          <t>Absent | Отсутна</t>
        </is>
      </c>
      <c r="CB153" s="256" t="inlineStr">
        <is>
          <t>550/1081/26</t>
        </is>
      </c>
      <c r="CC153" s="256" t="inlineStr">
        <is>
          <t>01.09.2026</t>
        </is>
      </c>
      <c r="CD153" s="256" t="inlineStr">
        <is>
          <t>IPH — Institute of Public Health</t>
        </is>
      </c>
      <c r="CE153" s="260" t="inlineStr">
        <is>
          <t>upon request — not required for release</t>
        </is>
      </c>
      <c r="CF153" s="256" t="inlineStr">
        <is>
          <t>—</t>
        </is>
      </c>
      <c r="CG153" s="256" t="inlineStr">
        <is>
          <t>—</t>
        </is>
      </c>
      <c r="CH153" s="256" t="inlineStr">
        <is>
          <t>—</t>
        </is>
      </c>
      <c r="CI153" s="260" t="inlineStr">
        <is>
          <t>upon request — not required for release</t>
        </is>
      </c>
      <c r="CJ153" s="256" t="inlineStr">
        <is>
          <t>—</t>
        </is>
      </c>
      <c r="CK153" s="256" t="inlineStr">
        <is>
          <t>—</t>
        </is>
      </c>
      <c r="CL153" s="256" t="inlineStr">
        <is>
          <t>—</t>
        </is>
      </c>
      <c r="CM153" s="256" t="inlineStr">
        <is>
          <t>ND</t>
        </is>
      </c>
      <c r="CN153" s="256" t="inlineStr">
        <is>
          <t>227-16-М/26</t>
        </is>
      </c>
      <c r="CO153" s="256" t="inlineStr">
        <is>
          <t>16.09.2026</t>
        </is>
      </c>
      <c r="CP153" s="256" t="inlineStr">
        <is>
          <t>Farmahem</t>
        </is>
      </c>
      <c r="CQ153" s="256" t="inlineStr">
        <is>
          <t>ND</t>
        </is>
      </c>
      <c r="CR153" s="256" t="inlineStr">
        <is>
          <t>227-16-М/26</t>
        </is>
      </c>
      <c r="CS153" s="256" t="inlineStr">
        <is>
          <t>16.09.2026</t>
        </is>
      </c>
      <c r="CT153" s="256" t="inlineStr">
        <is>
          <t>Farmahem</t>
        </is>
      </c>
      <c r="CU153" s="256" t="inlineStr">
        <is>
          <t>ND</t>
        </is>
      </c>
      <c r="CV153" s="256" t="inlineStr">
        <is>
          <t>227-16-М/26</t>
        </is>
      </c>
      <c r="CW153" s="256" t="inlineStr">
        <is>
          <t>16.09.2026</t>
        </is>
      </c>
      <c r="CX153" s="256" t="inlineStr">
        <is>
          <t>Farmahem</t>
        </is>
      </c>
      <c r="CY153" s="256" t="inlineStr">
        <is>
          <t>carried from the initial testing — not tested</t>
        </is>
      </c>
      <c r="CZ153" s="256" t="inlineStr">
        <is>
          <t>—</t>
        </is>
      </c>
      <c r="DA153" s="256" t="inlineStr">
        <is>
          <t>—</t>
        </is>
      </c>
      <c r="DB153" s="256" t="inlineStr">
        <is>
          <t>—</t>
        </is>
      </c>
      <c r="DC153" s="256" t="inlineStr">
        <is>
          <t>carried from the initial testing — not tested</t>
        </is>
      </c>
      <c r="DD153" s="256" t="inlineStr">
        <is>
          <t>—</t>
        </is>
      </c>
      <c r="DE153" s="256" t="inlineStr">
        <is>
          <t>—</t>
        </is>
      </c>
      <c r="DF153" s="256" t="inlineStr">
        <is>
          <t>—</t>
        </is>
      </c>
      <c r="DG153" s="256" t="inlineStr">
        <is>
          <t>carried from the initial testing — not tested</t>
        </is>
      </c>
      <c r="DH153" s="256" t="inlineStr">
        <is>
          <t>—</t>
        </is>
      </c>
      <c r="DI153" s="256" t="inlineStr">
        <is>
          <t>—</t>
        </is>
      </c>
      <c r="DJ153" s="256" t="inlineStr">
        <is>
          <t>—</t>
        </is>
      </c>
      <c r="DK153" s="256" t="inlineStr">
        <is>
          <t>carried from the initial testing — not tested</t>
        </is>
      </c>
      <c r="DL153" s="256" t="inlineStr">
        <is>
          <t>—</t>
        </is>
      </c>
      <c r="DM153" s="256" t="inlineStr">
        <is>
          <t>—</t>
        </is>
      </c>
      <c r="DN153" s="256" t="inlineStr">
        <is>
          <t>—</t>
        </is>
      </c>
      <c r="DO153" s="256" t="inlineStr">
        <is>
          <t>carried from the initial testing — not tested</t>
        </is>
      </c>
      <c r="DP153" s="256" t="inlineStr">
        <is>
          <t>—</t>
        </is>
      </c>
      <c r="DQ153" s="256" t="inlineStr">
        <is>
          <t>—</t>
        </is>
      </c>
      <c r="DR153" s="256" t="inlineStr">
        <is>
          <t>—</t>
        </is>
      </c>
    </row>
    <row r="154">
      <c r="A154" s="256" t="inlineStr">
        <is>
          <t>CoQ-PP_26-153</t>
        </is>
      </c>
      <c r="B154" s="256" t="inlineStr">
        <is>
          <t>reissue — retest</t>
        </is>
      </c>
      <c r="C154" s="256" t="inlineStr">
        <is>
          <t>allocated — code reserved, date provisional</t>
        </is>
      </c>
      <c r="D154" s="256" t="inlineStr">
        <is>
          <t>21.09.2026</t>
        </is>
      </c>
      <c r="E154" s="256" t="inlineStr">
        <is>
          <t>CoQ-PP_26-056 of 06.06.2026</t>
        </is>
      </c>
      <c r="F154" s="256" t="inlineStr">
        <is>
          <t>(assigned on issue)</t>
        </is>
      </c>
      <c r="G154" s="256" t="inlineStr">
        <is>
          <t>J31112501</t>
        </is>
      </c>
      <c r="H154" s="256" t="inlineStr">
        <is>
          <t>— no P lot assigned —</t>
        </is>
      </c>
      <c r="I154" s="256" t="inlineStr">
        <is>
          <t>Jokerz 31</t>
        </is>
      </c>
      <c r="J154" s="256" t="inlineStr">
        <is>
          <t>26.01.2026</t>
        </is>
      </c>
      <c r="K154" s="256" t="inlineStr">
        <is>
          <t>17.04.2026</t>
        </is>
      </c>
      <c r="L154" s="256" t="inlineStr">
        <is>
          <t>—</t>
        </is>
      </c>
      <c r="M154" s="256" t="inlineStr">
        <is>
          <t>—</t>
        </is>
      </c>
      <c r="N154" s="256" t="inlineStr">
        <is>
          <t>iCoA-PP_26-170</t>
        </is>
      </c>
      <c r="O154" s="256" t="inlineStr">
        <is>
          <t>24.08.2026</t>
        </is>
      </c>
      <c r="P154" s="256" t="inlineStr">
        <is>
          <t>20.08.2026</t>
        </is>
      </c>
      <c r="Q154" s="256" t="inlineStr">
        <is>
          <t>Tranche 3</t>
        </is>
      </c>
      <c r="R154" s="256" t="inlineStr">
        <is>
          <t>23.85</t>
        </is>
      </c>
      <c r="S154" s="256" t="inlineStr">
        <is>
          <t>227-14-К/26</t>
        </is>
      </c>
      <c r="T154" s="256" t="inlineStr">
        <is>
          <t>II</t>
        </is>
      </c>
      <c r="U154" s="256" t="inlineStr">
        <is>
          <t>19.80 – 24.19 %</t>
        </is>
      </c>
      <c r="V154" s="256" t="inlineStr">
        <is>
          <t>J31_THC22 : CBD1</t>
        </is>
      </c>
      <c r="W154" s="256" t="inlineStr">
        <is>
          <t>QCSP_001_J31-II_v.01</t>
        </is>
      </c>
      <c r="X154" s="256" t="inlineStr">
        <is>
          <t>for review — replaces the issued QCSP_001_J31-II_v.01 (was J31_THC18 : CBD1, 16.20 – 19.80 %); now J31_THC22 : CBD1 19.80 – 24.19 %</t>
        </is>
      </c>
      <c r="Y154" s="256" t="inlineStr">
        <is>
          <t>HYBRID</t>
        </is>
      </c>
      <c r="Z154" s="256" t="inlineStr">
        <is>
          <t>THC</t>
        </is>
      </c>
      <c r="AA154" s="256" t="inlineStr">
        <is>
          <t>MACHINE TRIMMED</t>
        </is>
      </c>
      <c r="AB154" s="256" t="inlineStr">
        <is>
          <t>INDICA 70 : SATIVA 30</t>
        </is>
      </c>
      <c r="AC154" s="256" t="inlineStr">
        <is>
          <t>Triplex Alu Bag | Триплекс Aлу Kеса, PET 12 · ALU 7 · PE 80, 300 × 500 mm, net. 400.0 g ±3%</t>
        </is>
      </c>
      <c r="AD154" s="256" t="inlineStr">
        <is>
          <t>11.09.2026</t>
        </is>
      </c>
      <c r="AE154" s="256" t="inlineStr">
        <is>
          <t>Conforms | Одговара</t>
        </is>
      </c>
      <c r="AF154" s="256" t="inlineStr">
        <is>
          <t>iCoA-PP_26-170</t>
        </is>
      </c>
      <c r="AG154" s="256" t="inlineStr">
        <is>
          <t>24.08.2026</t>
        </is>
      </c>
      <c r="AH154" s="256" t="inlineStr">
        <is>
          <t>Purely Plant GmbH (in-house)</t>
        </is>
      </c>
      <c r="AI154" s="256" t="inlineStr">
        <is>
          <t>Conforms | Одговара</t>
        </is>
      </c>
      <c r="AJ154" s="256" t="inlineStr">
        <is>
          <t>iCoA-PP_26-170</t>
        </is>
      </c>
      <c r="AK154" s="256" t="inlineStr">
        <is>
          <t>24.08.2026</t>
        </is>
      </c>
      <c r="AL154" s="256" t="inlineStr">
        <is>
          <t>Purely Plant GmbH (in-house)</t>
        </is>
      </c>
      <c r="AM154" s="256" t="inlineStr">
        <is>
          <t>Conforms | Одговара</t>
        </is>
      </c>
      <c r="AN154" s="256" t="inlineStr">
        <is>
          <t>227-14-К/26</t>
        </is>
      </c>
      <c r="AO154" s="256" t="inlineStr">
        <is>
          <t>11.09.2026</t>
        </is>
      </c>
      <c r="AP154" s="256" t="inlineStr">
        <is>
          <t>Farmahem</t>
        </is>
      </c>
      <c r="AQ154" s="256" t="inlineStr">
        <is>
          <t>23.85</t>
        </is>
      </c>
      <c r="AR154" s="256" t="inlineStr">
        <is>
          <t>227-14-К/26</t>
        </is>
      </c>
      <c r="AS154" s="256" t="inlineStr">
        <is>
          <t>11.09.2026</t>
        </is>
      </c>
      <c r="AT154" s="256" t="inlineStr">
        <is>
          <t>Farmahem</t>
        </is>
      </c>
      <c r="AU154" s="256" t="inlineStr">
        <is>
          <t>&lt; LOQ</t>
        </is>
      </c>
      <c r="AV154" s="256" t="inlineStr">
        <is>
          <t>227-14-К/26</t>
        </is>
      </c>
      <c r="AW154" s="256" t="inlineStr">
        <is>
          <t>11.09.2026</t>
        </is>
      </c>
      <c r="AX154" s="256" t="inlineStr">
        <is>
          <t>Farmahem</t>
        </is>
      </c>
      <c r="AY154" s="256" t="inlineStr">
        <is>
          <t>&lt; LOQ</t>
        </is>
      </c>
      <c r="AZ154" s="256" t="inlineStr">
        <is>
          <t>227-14-К/26</t>
        </is>
      </c>
      <c r="BA154" s="256" t="inlineStr">
        <is>
          <t>11.09.2026</t>
        </is>
      </c>
      <c r="BB154" s="256" t="inlineStr">
        <is>
          <t>Farmahem</t>
        </is>
      </c>
      <c r="BC154" s="256" t="inlineStr">
        <is>
          <t>Conforms | Одговара</t>
        </is>
      </c>
      <c r="BD154" s="256" t="inlineStr">
        <is>
          <t>iCoA-PP_26-170</t>
        </is>
      </c>
      <c r="BE154" s="256" t="inlineStr">
        <is>
          <t>24.08.2026</t>
        </is>
      </c>
      <c r="BF154" s="256" t="inlineStr">
        <is>
          <t>Purely Plant GmbH (in-house)</t>
        </is>
      </c>
      <c r="BG154" s="256" t="inlineStr">
        <is>
          <t>8.4</t>
        </is>
      </c>
      <c r="BH154" s="256" t="inlineStr">
        <is>
          <t>051-5-ГС/26</t>
        </is>
      </c>
      <c r="BI154" s="256" t="inlineStr">
        <is>
          <t>02.03.2026</t>
        </is>
      </c>
      <c r="BJ154" s="256" t="inlineStr">
        <is>
          <t>Farmahem</t>
        </is>
      </c>
      <c r="BK154" s="256" t="inlineStr">
        <is>
          <t>4,4 × 10²</t>
        </is>
      </c>
      <c r="BL154" s="256" t="inlineStr">
        <is>
          <t>547/1078/26</t>
        </is>
      </c>
      <c r="BM154" s="256" t="inlineStr">
        <is>
          <t>31.08.2026</t>
        </is>
      </c>
      <c r="BN154" s="256" t="inlineStr">
        <is>
          <t>IPH — Institute of Public Health</t>
        </is>
      </c>
      <c r="BO154" s="256" t="inlineStr">
        <is>
          <t>8,6 × 10²</t>
        </is>
      </c>
      <c r="BP154" s="256" t="inlineStr">
        <is>
          <t>547/1078/26</t>
        </is>
      </c>
      <c r="BQ154" s="256" t="inlineStr">
        <is>
          <t>31.08.2026</t>
        </is>
      </c>
      <c r="BR154" s="256" t="inlineStr">
        <is>
          <t>IPH — Institute of Public Health</t>
        </is>
      </c>
      <c r="BS154" s="256" t="inlineStr">
        <is>
          <t>&lt; 10² and &gt; 10</t>
        </is>
      </c>
      <c r="BT154" s="256" t="inlineStr">
        <is>
          <t>547/1078/26</t>
        </is>
      </c>
      <c r="BU154" s="256" t="inlineStr">
        <is>
          <t>31.08.2026</t>
        </is>
      </c>
      <c r="BV154" s="256" t="inlineStr">
        <is>
          <t>IPH — Institute of Public Health</t>
        </is>
      </c>
      <c r="BW154" s="256" t="inlineStr">
        <is>
          <t>Absent | Отсутна</t>
        </is>
      </c>
      <c r="BX154" s="256" t="inlineStr">
        <is>
          <t>547/1078/26</t>
        </is>
      </c>
      <c r="BY154" s="256" t="inlineStr">
        <is>
          <t>31.08.2026</t>
        </is>
      </c>
      <c r="BZ154" s="256" t="inlineStr">
        <is>
          <t>IPH — Institute of Public Health</t>
        </is>
      </c>
      <c r="CA154" s="256" t="inlineStr">
        <is>
          <t>Absent | Отсутна</t>
        </is>
      </c>
      <c r="CB154" s="256" t="inlineStr">
        <is>
          <t>547/1078/26</t>
        </is>
      </c>
      <c r="CC154" s="256" t="inlineStr">
        <is>
          <t>31.08.2026</t>
        </is>
      </c>
      <c r="CD154" s="256" t="inlineStr">
        <is>
          <t>IPH — Institute of Public Health</t>
        </is>
      </c>
      <c r="CE154" s="260" t="inlineStr">
        <is>
          <t>upon request — not required for release</t>
        </is>
      </c>
      <c r="CF154" s="256" t="inlineStr">
        <is>
          <t>—</t>
        </is>
      </c>
      <c r="CG154" s="256" t="inlineStr">
        <is>
          <t>—</t>
        </is>
      </c>
      <c r="CH154" s="256" t="inlineStr">
        <is>
          <t>—</t>
        </is>
      </c>
      <c r="CI154" s="260" t="inlineStr">
        <is>
          <t>upon request — not required for release</t>
        </is>
      </c>
      <c r="CJ154" s="256" t="inlineStr">
        <is>
          <t>—</t>
        </is>
      </c>
      <c r="CK154" s="256" t="inlineStr">
        <is>
          <t>—</t>
        </is>
      </c>
      <c r="CL154" s="256" t="inlineStr">
        <is>
          <t>—</t>
        </is>
      </c>
      <c r="CM154" s="256" t="inlineStr">
        <is>
          <t>ND</t>
        </is>
      </c>
      <c r="CN154" s="256" t="inlineStr">
        <is>
          <t>227-14-М/26</t>
        </is>
      </c>
      <c r="CO154" s="256" t="inlineStr">
        <is>
          <t>16.09.2026</t>
        </is>
      </c>
      <c r="CP154" s="256" t="inlineStr">
        <is>
          <t>Farmahem</t>
        </is>
      </c>
      <c r="CQ154" s="256" t="inlineStr">
        <is>
          <t>ND</t>
        </is>
      </c>
      <c r="CR154" s="256" t="inlineStr">
        <is>
          <t>227-14-М/26</t>
        </is>
      </c>
      <c r="CS154" s="256" t="inlineStr">
        <is>
          <t>16.09.2026</t>
        </is>
      </c>
      <c r="CT154" s="256" t="inlineStr">
        <is>
          <t>Farmahem</t>
        </is>
      </c>
      <c r="CU154" s="256" t="inlineStr">
        <is>
          <t>ND</t>
        </is>
      </c>
      <c r="CV154" s="256" t="inlineStr">
        <is>
          <t>227-14-М/26</t>
        </is>
      </c>
      <c r="CW154" s="256" t="inlineStr">
        <is>
          <t>16.09.2026</t>
        </is>
      </c>
      <c r="CX154" s="256" t="inlineStr">
        <is>
          <t>Farmahem</t>
        </is>
      </c>
      <c r="CY154" s="256" t="inlineStr">
        <is>
          <t>carried from the initial testing — not tested</t>
        </is>
      </c>
      <c r="CZ154" s="256" t="inlineStr">
        <is>
          <t>—</t>
        </is>
      </c>
      <c r="DA154" s="256" t="inlineStr">
        <is>
          <t>—</t>
        </is>
      </c>
      <c r="DB154" s="256" t="inlineStr">
        <is>
          <t>—</t>
        </is>
      </c>
      <c r="DC154" s="256" t="inlineStr">
        <is>
          <t>carried from the initial testing — not tested</t>
        </is>
      </c>
      <c r="DD154" s="256" t="inlineStr">
        <is>
          <t>—</t>
        </is>
      </c>
      <c r="DE154" s="256" t="inlineStr">
        <is>
          <t>—</t>
        </is>
      </c>
      <c r="DF154" s="256" t="inlineStr">
        <is>
          <t>—</t>
        </is>
      </c>
      <c r="DG154" s="256" t="inlineStr">
        <is>
          <t>carried from the initial testing — not tested</t>
        </is>
      </c>
      <c r="DH154" s="256" t="inlineStr">
        <is>
          <t>—</t>
        </is>
      </c>
      <c r="DI154" s="256" t="inlineStr">
        <is>
          <t>—</t>
        </is>
      </c>
      <c r="DJ154" s="256" t="inlineStr">
        <is>
          <t>—</t>
        </is>
      </c>
      <c r="DK154" s="256" t="inlineStr">
        <is>
          <t>carried from the initial testing — not tested</t>
        </is>
      </c>
      <c r="DL154" s="256" t="inlineStr">
        <is>
          <t>—</t>
        </is>
      </c>
      <c r="DM154" s="256" t="inlineStr">
        <is>
          <t>—</t>
        </is>
      </c>
      <c r="DN154" s="256" t="inlineStr">
        <is>
          <t>—</t>
        </is>
      </c>
      <c r="DO154" s="256" t="inlineStr">
        <is>
          <t>carried from the initial testing — not tested</t>
        </is>
      </c>
      <c r="DP154" s="256" t="inlineStr">
        <is>
          <t>—</t>
        </is>
      </c>
      <c r="DQ154" s="256" t="inlineStr">
        <is>
          <t>—</t>
        </is>
      </c>
      <c r="DR154" s="256" t="inlineStr">
        <is>
          <t>—</t>
        </is>
      </c>
    </row>
    <row r="155">
      <c r="A155" s="256" t="inlineStr">
        <is>
          <t>CoQ-PP_26-154</t>
        </is>
      </c>
      <c r="B155" s="256" t="inlineStr">
        <is>
          <t>reissue — retest</t>
        </is>
      </c>
      <c r="C155" s="256" t="inlineStr">
        <is>
          <t>allocated — code reserved, date provisional</t>
        </is>
      </c>
      <c r="D155" s="256" t="inlineStr">
        <is>
          <t>21.09.2026</t>
        </is>
      </c>
      <c r="E155" s="256" t="inlineStr">
        <is>
          <t>CoQ-PP_26-062 of 06.06.2026</t>
        </is>
      </c>
      <c r="F155" s="256" t="inlineStr">
        <is>
          <t>(assigned on issue)</t>
        </is>
      </c>
      <c r="G155" s="256" t="inlineStr">
        <is>
          <t>J31122501</t>
        </is>
      </c>
      <c r="H155" s="256" t="inlineStr">
        <is>
          <t>— no P lot assigned —</t>
        </is>
      </c>
      <c r="I155" s="256" t="inlineStr">
        <is>
          <t>Jokerz 31</t>
        </is>
      </c>
      <c r="J155" s="256" t="inlineStr">
        <is>
          <t>04.03.2026</t>
        </is>
      </c>
      <c r="K155" s="256" t="inlineStr">
        <is>
          <t>14.05.2026</t>
        </is>
      </c>
      <c r="L155" s="256" t="inlineStr">
        <is>
          <t>—</t>
        </is>
      </c>
      <c r="M155" s="256" t="inlineStr">
        <is>
          <t>—</t>
        </is>
      </c>
      <c r="N155" s="256" t="inlineStr">
        <is>
          <t>iCoA-PP_26-171</t>
        </is>
      </c>
      <c r="O155" s="256" t="inlineStr">
        <is>
          <t>24.08.2026</t>
        </is>
      </c>
      <c r="P155" s="256" t="inlineStr">
        <is>
          <t>20.08.2026</t>
        </is>
      </c>
      <c r="Q155" s="256" t="inlineStr">
        <is>
          <t>Tranche 3</t>
        </is>
      </c>
      <c r="R155" s="256" t="inlineStr">
        <is>
          <t>24.48</t>
        </is>
      </c>
      <c r="S155" s="256" t="inlineStr">
        <is>
          <t>227-13-К/26</t>
        </is>
      </c>
      <c r="T155" s="256" t="inlineStr">
        <is>
          <t>I</t>
        </is>
      </c>
      <c r="U155" s="256" t="inlineStr">
        <is>
          <t>24.20 – 27.79 %</t>
        </is>
      </c>
      <c r="V155" s="256" t="inlineStr">
        <is>
          <t>J31_THC26 : CBD1</t>
        </is>
      </c>
      <c r="W155" s="256" t="inlineStr">
        <is>
          <t>QCSP_001_J31-I_v.01</t>
        </is>
      </c>
      <c r="X155" s="256" t="inlineStr">
        <is>
          <t>for review — replaces the issued QCSP_001_J31-I_v.01 (was J31_THC27:CBD1, 27.00% ± 3.25%); now J31_THC26 : CBD1 24.20 – 27.79 %</t>
        </is>
      </c>
      <c r="Y155" s="256" t="inlineStr">
        <is>
          <t>HYBRID</t>
        </is>
      </c>
      <c r="Z155" s="256" t="inlineStr">
        <is>
          <t>THC</t>
        </is>
      </c>
      <c r="AA155" s="256" t="inlineStr">
        <is>
          <t>MACHINE TRIMMED</t>
        </is>
      </c>
      <c r="AB155" s="256" t="inlineStr">
        <is>
          <t>INDICA 70 : SATIVA 30</t>
        </is>
      </c>
      <c r="AC155" s="256" t="inlineStr">
        <is>
          <t>Triplex Alu Bag | Триплекс Aлу Kеса, PET 12 · ALU 7 · PE 80, 300 × 500 mm, net. 400.0 g ±3%</t>
        </is>
      </c>
      <c r="AD155" s="256" t="inlineStr">
        <is>
          <t>16.09.2026</t>
        </is>
      </c>
      <c r="AE155" s="256" t="inlineStr">
        <is>
          <t>Conforms | Одговара</t>
        </is>
      </c>
      <c r="AF155" s="256" t="inlineStr">
        <is>
          <t>iCoA-PP_26-171</t>
        </is>
      </c>
      <c r="AG155" s="256" t="inlineStr">
        <is>
          <t>24.08.2026</t>
        </is>
      </c>
      <c r="AH155" s="256" t="inlineStr">
        <is>
          <t>Purely Plant GmbH (in-house)</t>
        </is>
      </c>
      <c r="AI155" s="256" t="inlineStr">
        <is>
          <t>Conforms | Одговара</t>
        </is>
      </c>
      <c r="AJ155" s="256" t="inlineStr">
        <is>
          <t>iCoA-PP_26-171</t>
        </is>
      </c>
      <c r="AK155" s="256" t="inlineStr">
        <is>
          <t>24.08.2026</t>
        </is>
      </c>
      <c r="AL155" s="256" t="inlineStr">
        <is>
          <t>Purely Plant GmbH (in-house)</t>
        </is>
      </c>
      <c r="AM155" s="256" t="inlineStr">
        <is>
          <t>Conforms | Одговара</t>
        </is>
      </c>
      <c r="AN155" s="256" t="inlineStr">
        <is>
          <t>227-13-К/26</t>
        </is>
      </c>
      <c r="AO155" s="256" t="inlineStr">
        <is>
          <t>11.09.2026</t>
        </is>
      </c>
      <c r="AP155" s="256" t="inlineStr">
        <is>
          <t>Farmahem</t>
        </is>
      </c>
      <c r="AQ155" s="256" t="inlineStr">
        <is>
          <t>24.48</t>
        </is>
      </c>
      <c r="AR155" s="256" t="inlineStr">
        <is>
          <t>227-13-К/26</t>
        </is>
      </c>
      <c r="AS155" s="256" t="inlineStr">
        <is>
          <t>11.09.2026</t>
        </is>
      </c>
      <c r="AT155" s="256" t="inlineStr">
        <is>
          <t>Farmahem</t>
        </is>
      </c>
      <c r="AU155" s="256" t="inlineStr">
        <is>
          <t>&lt; LOQ</t>
        </is>
      </c>
      <c r="AV155" s="256" t="inlineStr">
        <is>
          <t>227-13-К/26</t>
        </is>
      </c>
      <c r="AW155" s="256" t="inlineStr">
        <is>
          <t>11.09.2026</t>
        </is>
      </c>
      <c r="AX155" s="256" t="inlineStr">
        <is>
          <t>Farmahem</t>
        </is>
      </c>
      <c r="AY155" s="256" t="inlineStr">
        <is>
          <t>&lt; LOQ</t>
        </is>
      </c>
      <c r="AZ155" s="256" t="inlineStr">
        <is>
          <t>227-13-К/26</t>
        </is>
      </c>
      <c r="BA155" s="256" t="inlineStr">
        <is>
          <t>11.09.2026</t>
        </is>
      </c>
      <c r="BB155" s="256" t="inlineStr">
        <is>
          <t>Farmahem</t>
        </is>
      </c>
      <c r="BC155" s="256" t="inlineStr">
        <is>
          <t>Conforms | Одговара</t>
        </is>
      </c>
      <c r="BD155" s="256" t="inlineStr">
        <is>
          <t>iCoA-PP_26-171</t>
        </is>
      </c>
      <c r="BE155" s="256" t="inlineStr">
        <is>
          <t>24.08.2026</t>
        </is>
      </c>
      <c r="BF155" s="256" t="inlineStr">
        <is>
          <t>Purely Plant GmbH (in-house)</t>
        </is>
      </c>
      <c r="BG155" s="256" t="inlineStr">
        <is>
          <t>10.3</t>
        </is>
      </c>
      <c r="BH155" s="256" t="inlineStr">
        <is>
          <t>100-2-ГС/26</t>
        </is>
      </c>
      <c r="BI155" s="256" t="inlineStr">
        <is>
          <t>09.04.2026</t>
        </is>
      </c>
      <c r="BJ155" s="256" t="inlineStr">
        <is>
          <t>Farmahem</t>
        </is>
      </c>
      <c r="BK155" s="256" t="inlineStr">
        <is>
          <t>1 × 10³</t>
        </is>
      </c>
      <c r="BL155" s="256" t="inlineStr">
        <is>
          <t>544/1075/26</t>
        </is>
      </c>
      <c r="BM155" s="256" t="inlineStr">
        <is>
          <t>31.08.2026</t>
        </is>
      </c>
      <c r="BN155" s="256" t="inlineStr">
        <is>
          <t>IPH — Institute of Public Health</t>
        </is>
      </c>
      <c r="BO155" s="256" t="inlineStr">
        <is>
          <t>1,7 × 10²</t>
        </is>
      </c>
      <c r="BP155" s="256" t="inlineStr">
        <is>
          <t>544/1075/26</t>
        </is>
      </c>
      <c r="BQ155" s="256" t="inlineStr">
        <is>
          <t>31.08.2026</t>
        </is>
      </c>
      <c r="BR155" s="256" t="inlineStr">
        <is>
          <t>IPH — Institute of Public Health</t>
        </is>
      </c>
      <c r="BS155" s="256" t="inlineStr">
        <is>
          <t>&lt; 10³ and &gt; 10²</t>
        </is>
      </c>
      <c r="BT155" s="256" t="inlineStr">
        <is>
          <t>544/1075/26</t>
        </is>
      </c>
      <c r="BU155" s="256" t="inlineStr">
        <is>
          <t>31.08.2026</t>
        </is>
      </c>
      <c r="BV155" s="256" t="inlineStr">
        <is>
          <t>IPH — Institute of Public Health</t>
        </is>
      </c>
      <c r="BW155" s="256" t="inlineStr">
        <is>
          <t>Absent | Отсутна</t>
        </is>
      </c>
      <c r="BX155" s="256" t="inlineStr">
        <is>
          <t>544/1075/26</t>
        </is>
      </c>
      <c r="BY155" s="256" t="inlineStr">
        <is>
          <t>31.08.2026</t>
        </is>
      </c>
      <c r="BZ155" s="256" t="inlineStr">
        <is>
          <t>IPH — Institute of Public Health</t>
        </is>
      </c>
      <c r="CA155" s="256" t="inlineStr">
        <is>
          <t>Absent | Отсутна</t>
        </is>
      </c>
      <c r="CB155" s="256" t="inlineStr">
        <is>
          <t>544/1075/26</t>
        </is>
      </c>
      <c r="CC155" s="256" t="inlineStr">
        <is>
          <t>31.08.2026</t>
        </is>
      </c>
      <c r="CD155" s="256" t="inlineStr">
        <is>
          <t>IPH — Institute of Public Health</t>
        </is>
      </c>
      <c r="CE155" s="260" t="inlineStr">
        <is>
          <t>upon request — not required for release</t>
        </is>
      </c>
      <c r="CF155" s="256" t="inlineStr">
        <is>
          <t>—</t>
        </is>
      </c>
      <c r="CG155" s="256" t="inlineStr">
        <is>
          <t>—</t>
        </is>
      </c>
      <c r="CH155" s="256" t="inlineStr">
        <is>
          <t>—</t>
        </is>
      </c>
      <c r="CI155" s="260" t="inlineStr">
        <is>
          <t>upon request — not required for release</t>
        </is>
      </c>
      <c r="CJ155" s="256" t="inlineStr">
        <is>
          <t>—</t>
        </is>
      </c>
      <c r="CK155" s="256" t="inlineStr">
        <is>
          <t>—</t>
        </is>
      </c>
      <c r="CL155" s="256" t="inlineStr">
        <is>
          <t>—</t>
        </is>
      </c>
      <c r="CM155" s="256" t="inlineStr">
        <is>
          <t>ND</t>
        </is>
      </c>
      <c r="CN155" s="256" t="inlineStr">
        <is>
          <t>227-13-М/26</t>
        </is>
      </c>
      <c r="CO155" s="256" t="inlineStr">
        <is>
          <t>16.09.2026</t>
        </is>
      </c>
      <c r="CP155" s="256" t="inlineStr">
        <is>
          <t>Farmahem</t>
        </is>
      </c>
      <c r="CQ155" s="256" t="inlineStr">
        <is>
          <t>ND</t>
        </is>
      </c>
      <c r="CR155" s="256" t="inlineStr">
        <is>
          <t>227-13-М/26</t>
        </is>
      </c>
      <c r="CS155" s="256" t="inlineStr">
        <is>
          <t>16.09.2026</t>
        </is>
      </c>
      <c r="CT155" s="256" t="inlineStr">
        <is>
          <t>Farmahem</t>
        </is>
      </c>
      <c r="CU155" s="256" t="inlineStr">
        <is>
          <t>ND</t>
        </is>
      </c>
      <c r="CV155" s="256" t="inlineStr">
        <is>
          <t>227-13-М/26</t>
        </is>
      </c>
      <c r="CW155" s="256" t="inlineStr">
        <is>
          <t>16.09.2026</t>
        </is>
      </c>
      <c r="CX155" s="256" t="inlineStr">
        <is>
          <t>Farmahem</t>
        </is>
      </c>
      <c r="CY155" s="256" t="inlineStr">
        <is>
          <t>ND</t>
        </is>
      </c>
      <c r="CZ155" s="256" t="inlineStr">
        <is>
          <t>1628/2026</t>
        </is>
      </c>
      <c r="DA155" s="256" t="inlineStr">
        <is>
          <t>23.04.2026</t>
        </is>
      </c>
      <c r="DB155" s="256" t="inlineStr">
        <is>
          <t>IPH — Institute of Public Health</t>
        </is>
      </c>
      <c r="DC155" s="256" t="inlineStr">
        <is>
          <t>ND</t>
        </is>
      </c>
      <c r="DD155" s="256" t="inlineStr">
        <is>
          <t>1628/2026</t>
        </is>
      </c>
      <c r="DE155" s="256" t="inlineStr">
        <is>
          <t>23.04.2026</t>
        </is>
      </c>
      <c r="DF155" s="256" t="inlineStr">
        <is>
          <t>IPH — Institute of Public Health</t>
        </is>
      </c>
      <c r="DG155" s="256" t="inlineStr">
        <is>
          <t>ND</t>
        </is>
      </c>
      <c r="DH155" s="256" t="inlineStr">
        <is>
          <t>1628/2026</t>
        </is>
      </c>
      <c r="DI155" s="256" t="inlineStr">
        <is>
          <t>23.04.2026</t>
        </is>
      </c>
      <c r="DJ155" s="256" t="inlineStr">
        <is>
          <t>IPH — Institute of Public Health</t>
        </is>
      </c>
      <c r="DK155" s="256" t="inlineStr">
        <is>
          <t>ND</t>
        </is>
      </c>
      <c r="DL155" s="256" t="inlineStr">
        <is>
          <t>1628/2026</t>
        </is>
      </c>
      <c r="DM155" s="256" t="inlineStr">
        <is>
          <t>23.04.2026</t>
        </is>
      </c>
      <c r="DN155" s="256" t="inlineStr">
        <is>
          <t>IPH — Institute of Public Health</t>
        </is>
      </c>
      <c r="DO155" s="256" t="inlineStr">
        <is>
          <t>ND</t>
        </is>
      </c>
      <c r="DP155" s="256" t="inlineStr">
        <is>
          <t>1628/2026</t>
        </is>
      </c>
      <c r="DQ155" s="256" t="inlineStr">
        <is>
          <t>23.04.2026</t>
        </is>
      </c>
      <c r="DR155" s="256" t="inlineStr">
        <is>
          <t>IPH — Institute of Public Health</t>
        </is>
      </c>
    </row>
    <row r="156">
      <c r="A156" s="256" t="inlineStr">
        <is>
          <t>CoQ-PP_26-155</t>
        </is>
      </c>
      <c r="B156" s="256" t="inlineStr">
        <is>
          <t>reissue — retest</t>
        </is>
      </c>
      <c r="C156" s="256" t="inlineStr">
        <is>
          <t>allocated — code reserved, date provisional</t>
        </is>
      </c>
      <c r="D156" s="256" t="inlineStr">
        <is>
          <t>21.09.2026</t>
        </is>
      </c>
      <c r="E156" s="256" t="inlineStr">
        <is>
          <t>CoQ-PP_26-067 of 06.06.2026</t>
        </is>
      </c>
      <c r="F156" s="256" t="inlineStr">
        <is>
          <t>(assigned on issue)</t>
        </is>
      </c>
      <c r="G156" s="256" t="inlineStr">
        <is>
          <t>JD012601</t>
        </is>
      </c>
      <c r="H156" s="256" t="inlineStr">
        <is>
          <t>— no P lot assigned —</t>
        </is>
      </c>
      <c r="I156" s="256" t="inlineStr">
        <is>
          <t>Jelly Donuts</t>
        </is>
      </c>
      <c r="J156" s="256" t="inlineStr">
        <is>
          <t>27.03.2026</t>
        </is>
      </c>
      <c r="K156" s="256" t="inlineStr">
        <is>
          <t>21.05.2026</t>
        </is>
      </c>
      <c r="L156" s="256" t="inlineStr">
        <is>
          <t>—</t>
        </is>
      </c>
      <c r="M156" s="256" t="inlineStr">
        <is>
          <t>—</t>
        </is>
      </c>
      <c r="N156" s="256" t="inlineStr">
        <is>
          <t>iCoA-PP_26-172</t>
        </is>
      </c>
      <c r="O156" s="256" t="inlineStr">
        <is>
          <t>24.08.2026</t>
        </is>
      </c>
      <c r="P156" s="256" t="inlineStr">
        <is>
          <t>20.08.2026</t>
        </is>
      </c>
      <c r="Q156" s="256" t="inlineStr">
        <is>
          <t>Tranche 3</t>
        </is>
      </c>
      <c r="R156" s="256" t="inlineStr">
        <is>
          <t>19.99</t>
        </is>
      </c>
      <c r="S156" s="256" t="inlineStr">
        <is>
          <t>227-15-К/26</t>
        </is>
      </c>
      <c r="T156" s="256" t="inlineStr">
        <is>
          <t>I</t>
        </is>
      </c>
      <c r="U156" s="256" t="inlineStr">
        <is>
          <t>19.80 – 24.19 %</t>
        </is>
      </c>
      <c r="V156" s="256" t="inlineStr">
        <is>
          <t>JD_THC22 : CBD1</t>
        </is>
      </c>
      <c r="W156" s="256" t="inlineStr">
        <is>
          <t>QCSP_001_JD-I_v.01</t>
        </is>
      </c>
      <c r="X156" s="256" t="inlineStr">
        <is>
          <t>for review — replaces the issued QCSP_001_JD-I_v.01 (was JD_THC20 : CBD1, 18.00 – 22.00 %); now JD_THC22 : CBD1 19.80 – 24.19 %</t>
        </is>
      </c>
      <c r="Y156" s="256" t="inlineStr">
        <is>
          <t>HYBRID</t>
        </is>
      </c>
      <c r="Z156" s="256" t="inlineStr">
        <is>
          <t>THC</t>
        </is>
      </c>
      <c r="AA156" s="256" t="inlineStr">
        <is>
          <t>MACHINE TRIMMED</t>
        </is>
      </c>
      <c r="AB156" s="256" t="inlineStr">
        <is>
          <t>SATIVA 60 : INDICA 40</t>
        </is>
      </c>
      <c r="AC156" s="256" t="inlineStr">
        <is>
          <t>Triplex Alu Bag | Триплекс Aлу Kеса, PET 12 · ALU 7 · PE 80, 300 × 500 mm, net. 400.0 g ±3%</t>
        </is>
      </c>
      <c r="AD156" s="256" t="inlineStr">
        <is>
          <t>16.09.2026</t>
        </is>
      </c>
      <c r="AE156" s="256" t="inlineStr">
        <is>
          <t>Conforms | Одговара</t>
        </is>
      </c>
      <c r="AF156" s="256" t="inlineStr">
        <is>
          <t>iCoA-PP_26-172</t>
        </is>
      </c>
      <c r="AG156" s="256" t="inlineStr">
        <is>
          <t>24.08.2026</t>
        </is>
      </c>
      <c r="AH156" s="256" t="inlineStr">
        <is>
          <t>Purely Plant GmbH (in-house)</t>
        </is>
      </c>
      <c r="AI156" s="256" t="inlineStr">
        <is>
          <t>Conforms | Одговара</t>
        </is>
      </c>
      <c r="AJ156" s="256" t="inlineStr">
        <is>
          <t>iCoA-PP_26-172</t>
        </is>
      </c>
      <c r="AK156" s="256" t="inlineStr">
        <is>
          <t>24.08.2026</t>
        </is>
      </c>
      <c r="AL156" s="256" t="inlineStr">
        <is>
          <t>Purely Plant GmbH (in-house)</t>
        </is>
      </c>
      <c r="AM156" s="256" t="inlineStr">
        <is>
          <t>Conforms | Одговара</t>
        </is>
      </c>
      <c r="AN156" s="256" t="inlineStr">
        <is>
          <t>227-15-К/26</t>
        </is>
      </c>
      <c r="AO156" s="256" t="inlineStr">
        <is>
          <t>11.09.2026</t>
        </is>
      </c>
      <c r="AP156" s="256" t="inlineStr">
        <is>
          <t>Farmahem</t>
        </is>
      </c>
      <c r="AQ156" s="256" t="inlineStr">
        <is>
          <t>19.99</t>
        </is>
      </c>
      <c r="AR156" s="256" t="inlineStr">
        <is>
          <t>227-15-К/26</t>
        </is>
      </c>
      <c r="AS156" s="256" t="inlineStr">
        <is>
          <t>11.09.2026</t>
        </is>
      </c>
      <c r="AT156" s="256" t="inlineStr">
        <is>
          <t>Farmahem</t>
        </is>
      </c>
      <c r="AU156" s="256" t="inlineStr">
        <is>
          <t>&lt; LOQ</t>
        </is>
      </c>
      <c r="AV156" s="256" t="inlineStr">
        <is>
          <t>227-15-К/26</t>
        </is>
      </c>
      <c r="AW156" s="256" t="inlineStr">
        <is>
          <t>11.09.2026</t>
        </is>
      </c>
      <c r="AX156" s="256" t="inlineStr">
        <is>
          <t>Farmahem</t>
        </is>
      </c>
      <c r="AY156" s="256" t="inlineStr">
        <is>
          <t>&lt; LOQ</t>
        </is>
      </c>
      <c r="AZ156" s="256" t="inlineStr">
        <is>
          <t>227-15-К/26</t>
        </is>
      </c>
      <c r="BA156" s="256" t="inlineStr">
        <is>
          <t>11.09.2026</t>
        </is>
      </c>
      <c r="BB156" s="256" t="inlineStr">
        <is>
          <t>Farmahem</t>
        </is>
      </c>
      <c r="BC156" s="256" t="inlineStr">
        <is>
          <t>Conforms | Одговара</t>
        </is>
      </c>
      <c r="BD156" s="256" t="inlineStr">
        <is>
          <t>iCoA-PP_26-172</t>
        </is>
      </c>
      <c r="BE156" s="256" t="inlineStr">
        <is>
          <t>24.08.2026</t>
        </is>
      </c>
      <c r="BF156" s="256" t="inlineStr">
        <is>
          <t>Purely Plant GmbH (in-house)</t>
        </is>
      </c>
      <c r="BG156" s="256" t="inlineStr">
        <is>
          <t>6.68</t>
        </is>
      </c>
      <c r="BH156" s="256" t="inlineStr">
        <is>
          <t>ППК26064</t>
        </is>
      </c>
      <c r="BI156" s="256" t="inlineStr">
        <is>
          <t>11.05.2026</t>
        </is>
      </c>
      <c r="BJ156" s="256" t="inlineStr">
        <is>
          <t>UKIM Faculty of Pharmacy — Center for Natural Products</t>
        </is>
      </c>
      <c r="BK156" s="256" t="inlineStr">
        <is>
          <t>2,2 × 10³</t>
        </is>
      </c>
      <c r="BL156" s="256" t="inlineStr">
        <is>
          <t>540/1071/26</t>
        </is>
      </c>
      <c r="BM156" s="256" t="inlineStr">
        <is>
          <t>31.08.2026</t>
        </is>
      </c>
      <c r="BN156" s="256" t="inlineStr">
        <is>
          <t>IPH — Institute of Public Health</t>
        </is>
      </c>
      <c r="BO156" s="256" t="inlineStr">
        <is>
          <t>1,7 × 10³</t>
        </is>
      </c>
      <c r="BP156" s="256" t="inlineStr">
        <is>
          <t>540/1071/26</t>
        </is>
      </c>
      <c r="BQ156" s="256" t="inlineStr">
        <is>
          <t>31.08.2026</t>
        </is>
      </c>
      <c r="BR156" s="256" t="inlineStr">
        <is>
          <t>IPH — Institute of Public Health</t>
        </is>
      </c>
      <c r="BS156" s="256" t="inlineStr">
        <is>
          <t>&lt; 10</t>
        </is>
      </c>
      <c r="BT156" s="256" t="inlineStr">
        <is>
          <t>540/1071/26</t>
        </is>
      </c>
      <c r="BU156" s="256" t="inlineStr">
        <is>
          <t>31.08.2026</t>
        </is>
      </c>
      <c r="BV156" s="256" t="inlineStr">
        <is>
          <t>IPH — Institute of Public Health</t>
        </is>
      </c>
      <c r="BW156" s="256" t="inlineStr">
        <is>
          <t>Absent | Отсутна</t>
        </is>
      </c>
      <c r="BX156" s="256" t="inlineStr">
        <is>
          <t>540/1071/26</t>
        </is>
      </c>
      <c r="BY156" s="256" t="inlineStr">
        <is>
          <t>31.08.2026</t>
        </is>
      </c>
      <c r="BZ156" s="256" t="inlineStr">
        <is>
          <t>IPH — Institute of Public Health</t>
        </is>
      </c>
      <c r="CA156" s="256" t="inlineStr">
        <is>
          <t>Absent | Отсутна</t>
        </is>
      </c>
      <c r="CB156" s="256" t="inlineStr">
        <is>
          <t>540/1071/26</t>
        </is>
      </c>
      <c r="CC156" s="256" t="inlineStr">
        <is>
          <t>31.08.2026</t>
        </is>
      </c>
      <c r="CD156" s="256" t="inlineStr">
        <is>
          <t>IPH — Institute of Public Health</t>
        </is>
      </c>
      <c r="CE156" s="260" t="inlineStr">
        <is>
          <t>upon request — not required for release</t>
        </is>
      </c>
      <c r="CF156" s="256" t="inlineStr">
        <is>
          <t>—</t>
        </is>
      </c>
      <c r="CG156" s="256" t="inlineStr">
        <is>
          <t>—</t>
        </is>
      </c>
      <c r="CH156" s="256" t="inlineStr">
        <is>
          <t>—</t>
        </is>
      </c>
      <c r="CI156" s="260" t="inlineStr">
        <is>
          <t>upon request — not required for release</t>
        </is>
      </c>
      <c r="CJ156" s="256" t="inlineStr">
        <is>
          <t>—</t>
        </is>
      </c>
      <c r="CK156" s="256" t="inlineStr">
        <is>
          <t>—</t>
        </is>
      </c>
      <c r="CL156" s="256" t="inlineStr">
        <is>
          <t>—</t>
        </is>
      </c>
      <c r="CM156" s="256" t="inlineStr">
        <is>
          <t>ND</t>
        </is>
      </c>
      <c r="CN156" s="256" t="inlineStr">
        <is>
          <t>227-15-М/26</t>
        </is>
      </c>
      <c r="CO156" s="256" t="inlineStr">
        <is>
          <t>16.09.2026</t>
        </is>
      </c>
      <c r="CP156" s="256" t="inlineStr">
        <is>
          <t>Farmahem</t>
        </is>
      </c>
      <c r="CQ156" s="256" t="inlineStr">
        <is>
          <t>ND</t>
        </is>
      </c>
      <c r="CR156" s="256" t="inlineStr">
        <is>
          <t>227-15-М/26</t>
        </is>
      </c>
      <c r="CS156" s="256" t="inlineStr">
        <is>
          <t>16.09.2026</t>
        </is>
      </c>
      <c r="CT156" s="256" t="inlineStr">
        <is>
          <t>Farmahem</t>
        </is>
      </c>
      <c r="CU156" s="256" t="inlineStr">
        <is>
          <t>ND</t>
        </is>
      </c>
      <c r="CV156" s="256" t="inlineStr">
        <is>
          <t>227-15-М/26</t>
        </is>
      </c>
      <c r="CW156" s="256" t="inlineStr">
        <is>
          <t>16.09.2026</t>
        </is>
      </c>
      <c r="CX156" s="256" t="inlineStr">
        <is>
          <t>Farmahem</t>
        </is>
      </c>
      <c r="CY156" s="256" t="inlineStr">
        <is>
          <t>0.0739</t>
        </is>
      </c>
      <c r="CZ156" s="256" t="inlineStr">
        <is>
          <t>2363/2026</t>
        </is>
      </c>
      <c r="DA156" s="256" t="inlineStr">
        <is>
          <t>30.04.2026</t>
        </is>
      </c>
      <c r="DB156" s="256" t="inlineStr">
        <is>
          <t>IPH — Institute of Public Health</t>
        </is>
      </c>
      <c r="DC156" s="256" t="inlineStr">
        <is>
          <t>0.0166</t>
        </is>
      </c>
      <c r="DD156" s="256" t="inlineStr">
        <is>
          <t>2363/2026</t>
        </is>
      </c>
      <c r="DE156" s="256" t="inlineStr">
        <is>
          <t>30.04.2026</t>
        </is>
      </c>
      <c r="DF156" s="256" t="inlineStr">
        <is>
          <t>IPH — Institute of Public Health</t>
        </is>
      </c>
      <c r="DG156" s="256" t="inlineStr">
        <is>
          <t>0.0136</t>
        </is>
      </c>
      <c r="DH156" s="256" t="inlineStr">
        <is>
          <t>2363/2026</t>
        </is>
      </c>
      <c r="DI156" s="256" t="inlineStr">
        <is>
          <t>30.04.2026</t>
        </is>
      </c>
      <c r="DJ156" s="256" t="inlineStr">
        <is>
          <t>IPH — Institute of Public Health</t>
        </is>
      </c>
      <c r="DK156" s="256" t="inlineStr">
        <is>
          <t>0.0322</t>
        </is>
      </c>
      <c r="DL156" s="256" t="inlineStr">
        <is>
          <t>2363/2026</t>
        </is>
      </c>
      <c r="DM156" s="256" t="inlineStr">
        <is>
          <t>30.04.2026</t>
        </is>
      </c>
      <c r="DN156" s="256" t="inlineStr">
        <is>
          <t>IPH — Institute of Public Health</t>
        </is>
      </c>
      <c r="DO156" s="256" t="inlineStr">
        <is>
          <t>ND</t>
        </is>
      </c>
      <c r="DP156" s="256" t="inlineStr">
        <is>
          <t>2363/2026</t>
        </is>
      </c>
      <c r="DQ156" s="256" t="inlineStr">
        <is>
          <t>30.04.2026</t>
        </is>
      </c>
      <c r="DR156" s="256" t="inlineStr">
        <is>
          <t>IPH — Institute of Public Health</t>
        </is>
      </c>
    </row>
    <row r="157">
      <c r="A157" s="256" t="inlineStr">
        <is>
          <t>CoQ-PP_26-156</t>
        </is>
      </c>
      <c r="B157" s="256" t="inlineStr">
        <is>
          <t>reissue — retest</t>
        </is>
      </c>
      <c r="C157" s="256" t="inlineStr">
        <is>
          <t>allocated — code reserved, date provisional</t>
        </is>
      </c>
      <c r="D157" s="256" t="inlineStr">
        <is>
          <t>21.09.2026</t>
        </is>
      </c>
      <c r="E157" s="256" t="inlineStr">
        <is>
          <t>CoQ-PP_26-009 of 06.06.2026</t>
        </is>
      </c>
      <c r="F157" s="256" t="inlineStr">
        <is>
          <t>(assigned on issue)</t>
        </is>
      </c>
      <c r="G157" s="256" t="inlineStr">
        <is>
          <t>MB0824_04</t>
        </is>
      </c>
      <c r="H157" s="256" t="inlineStr">
        <is>
          <t>P050032</t>
        </is>
      </c>
      <c r="I157" s="256" t="inlineStr">
        <is>
          <t>Motor Breath</t>
        </is>
      </c>
      <c r="J157" s="256" t="inlineStr">
        <is>
          <t>02.04.2025 – 03.04.2025</t>
        </is>
      </c>
      <c r="K157" s="256" t="inlineStr">
        <is>
          <t>16.06.2025 – 19.06.2025</t>
        </is>
      </c>
      <c r="L157" s="256" t="inlineStr">
        <is>
          <t>—</t>
        </is>
      </c>
      <c r="M157" s="256" t="inlineStr">
        <is>
          <t>—</t>
        </is>
      </c>
      <c r="N157" s="256" t="inlineStr">
        <is>
          <t>iCoA-PP_26-173</t>
        </is>
      </c>
      <c r="O157" s="256" t="inlineStr">
        <is>
          <t>24.08.2026</t>
        </is>
      </c>
      <c r="P157" s="256" t="inlineStr">
        <is>
          <t>20.08.2026</t>
        </is>
      </c>
      <c r="Q157" s="256" t="inlineStr">
        <is>
          <t>Tranche 3</t>
        </is>
      </c>
      <c r="R157" s="256" t="inlineStr">
        <is>
          <t>17.57</t>
        </is>
      </c>
      <c r="S157" s="256" t="inlineStr">
        <is>
          <t>227-12-К/26</t>
        </is>
      </c>
      <c r="T157" s="256" t="inlineStr">
        <is>
          <t>I</t>
        </is>
      </c>
      <c r="U157" s="256" t="inlineStr">
        <is>
          <t>16.20 – 19.79 %</t>
        </is>
      </c>
      <c r="V157" s="256" t="inlineStr">
        <is>
          <t>MB_THC18 : CBD1</t>
        </is>
      </c>
      <c r="W157" s="256" t="inlineStr">
        <is>
          <t>QCSP_001_MB-I_v.01</t>
        </is>
      </c>
      <c r="X157" s="256" t="inlineStr">
        <is>
          <t>for review — replaces the issued QCSP_001_MB-I_v.01 (was MB_THC18 : CBD1, 16.20 – 19.80 %); now MB_THC18 : CBD1 16.20 – 19.79 %</t>
        </is>
      </c>
      <c r="Y157" s="256" t="inlineStr">
        <is>
          <t>HYBRID</t>
        </is>
      </c>
      <c r="Z157" s="256" t="inlineStr">
        <is>
          <t>THC</t>
        </is>
      </c>
      <c r="AA157" s="256" t="inlineStr">
        <is>
          <t>MACHINE TRIMMED</t>
        </is>
      </c>
      <c r="AB157" s="256" t="inlineStr">
        <is>
          <t>INDICA-DOMINANT</t>
        </is>
      </c>
      <c r="AC157" s="256" t="inlineStr">
        <is>
          <t>Triplex Alu Bag | Триплекс Aлу Kеса, PET 12 · ALU 7 · PE 80, 300 × 500 mm, net. 400.0 g ±3%</t>
        </is>
      </c>
      <c r="AD157" s="256" t="inlineStr">
        <is>
          <t>16.09.2026</t>
        </is>
      </c>
      <c r="AE157" s="256" t="inlineStr">
        <is>
          <t>Conforms | Одговара</t>
        </is>
      </c>
      <c r="AF157" s="256" t="inlineStr">
        <is>
          <t>iCoA-PP_26-173</t>
        </is>
      </c>
      <c r="AG157" s="256" t="inlineStr">
        <is>
          <t>24.08.2026</t>
        </is>
      </c>
      <c r="AH157" s="256" t="inlineStr">
        <is>
          <t>Purely Plant GmbH (in-house)</t>
        </is>
      </c>
      <c r="AI157" s="256" t="inlineStr">
        <is>
          <t>Conforms | Одговара</t>
        </is>
      </c>
      <c r="AJ157" s="256" t="inlineStr">
        <is>
          <t>iCoA-PP_26-173</t>
        </is>
      </c>
      <c r="AK157" s="256" t="inlineStr">
        <is>
          <t>24.08.2026</t>
        </is>
      </c>
      <c r="AL157" s="256" t="inlineStr">
        <is>
          <t>Purely Plant GmbH (in-house)</t>
        </is>
      </c>
      <c r="AM157" s="256" t="inlineStr">
        <is>
          <t>Conforms | Одговара</t>
        </is>
      </c>
      <c r="AN157" s="256" t="inlineStr">
        <is>
          <t>227-12-К/26</t>
        </is>
      </c>
      <c r="AO157" s="256" t="inlineStr">
        <is>
          <t>11.09.2026</t>
        </is>
      </c>
      <c r="AP157" s="256" t="inlineStr">
        <is>
          <t>Farmahem</t>
        </is>
      </c>
      <c r="AQ157" s="256" t="inlineStr">
        <is>
          <t>17.57</t>
        </is>
      </c>
      <c r="AR157" s="256" t="inlineStr">
        <is>
          <t>227-12-К/26</t>
        </is>
      </c>
      <c r="AS157" s="256" t="inlineStr">
        <is>
          <t>11.09.2026</t>
        </is>
      </c>
      <c r="AT157" s="256" t="inlineStr">
        <is>
          <t>Farmahem</t>
        </is>
      </c>
      <c r="AU157" s="256" t="inlineStr">
        <is>
          <t>&lt; LOQ</t>
        </is>
      </c>
      <c r="AV157" s="256" t="inlineStr">
        <is>
          <t>227-12-К/26</t>
        </is>
      </c>
      <c r="AW157" s="256" t="inlineStr">
        <is>
          <t>11.09.2026</t>
        </is>
      </c>
      <c r="AX157" s="256" t="inlineStr">
        <is>
          <t>Farmahem</t>
        </is>
      </c>
      <c r="AY157" s="256" t="inlineStr">
        <is>
          <t>&lt; LOQ</t>
        </is>
      </c>
      <c r="AZ157" s="256" t="inlineStr">
        <is>
          <t>227-12-К/26</t>
        </is>
      </c>
      <c r="BA157" s="256" t="inlineStr">
        <is>
          <t>11.09.2026</t>
        </is>
      </c>
      <c r="BB157" s="256" t="inlineStr">
        <is>
          <t>Farmahem</t>
        </is>
      </c>
      <c r="BC157" s="256" t="inlineStr">
        <is>
          <t>Conforms | Одговара</t>
        </is>
      </c>
      <c r="BD157" s="256" t="inlineStr">
        <is>
          <t>iCoA-PP_26-173</t>
        </is>
      </c>
      <c r="BE157" s="256" t="inlineStr">
        <is>
          <t>24.08.2026</t>
        </is>
      </c>
      <c r="BF157" s="256" t="inlineStr">
        <is>
          <t>Purely Plant GmbH (in-house)</t>
        </is>
      </c>
      <c r="BG157" s="256" t="inlineStr">
        <is>
          <t>6.01</t>
        </is>
      </c>
      <c r="BH157" s="256" t="inlineStr">
        <is>
          <t>ППК25118</t>
        </is>
      </c>
      <c r="BI157" s="256" t="inlineStr">
        <is>
          <t>06.05.2025</t>
        </is>
      </c>
      <c r="BJ157" s="256" t="inlineStr">
        <is>
          <t>UKIM Faculty of Pharmacy — Center for Natural Products</t>
        </is>
      </c>
      <c r="BK157" s="256" t="inlineStr">
        <is>
          <t>&lt; 10</t>
        </is>
      </c>
      <c r="BL157" s="256" t="inlineStr">
        <is>
          <t>563/1094/26</t>
        </is>
      </c>
      <c r="BM157" s="256" t="inlineStr">
        <is>
          <t>01.09.2026</t>
        </is>
      </c>
      <c r="BN157" s="256" t="inlineStr">
        <is>
          <t>IPH — Institute of Public Health</t>
        </is>
      </c>
      <c r="BO157" s="256" t="inlineStr">
        <is>
          <t>&lt; 10</t>
        </is>
      </c>
      <c r="BP157" s="256" t="inlineStr">
        <is>
          <t>563/1094/26</t>
        </is>
      </c>
      <c r="BQ157" s="256" t="inlineStr">
        <is>
          <t>01.09.2026</t>
        </is>
      </c>
      <c r="BR157" s="256" t="inlineStr">
        <is>
          <t>IPH — Institute of Public Health</t>
        </is>
      </c>
      <c r="BS157" s="256" t="inlineStr">
        <is>
          <t>&lt; 10</t>
        </is>
      </c>
      <c r="BT157" s="256" t="inlineStr">
        <is>
          <t>563/1094/26</t>
        </is>
      </c>
      <c r="BU157" s="256" t="inlineStr">
        <is>
          <t>01.09.2026</t>
        </is>
      </c>
      <c r="BV157" s="256" t="inlineStr">
        <is>
          <t>IPH — Institute of Public Health</t>
        </is>
      </c>
      <c r="BW157" s="256" t="inlineStr">
        <is>
          <t>Absent | Отсутна</t>
        </is>
      </c>
      <c r="BX157" s="256" t="inlineStr">
        <is>
          <t>563/1094/26</t>
        </is>
      </c>
      <c r="BY157" s="256" t="inlineStr">
        <is>
          <t>01.09.2026</t>
        </is>
      </c>
      <c r="BZ157" s="256" t="inlineStr">
        <is>
          <t>IPH — Institute of Public Health</t>
        </is>
      </c>
      <c r="CA157" s="256" t="inlineStr">
        <is>
          <t>Absent | Отсутна</t>
        </is>
      </c>
      <c r="CB157" s="256" t="inlineStr">
        <is>
          <t>563/1094/26</t>
        </is>
      </c>
      <c r="CC157" s="256" t="inlineStr">
        <is>
          <t>01.09.2026</t>
        </is>
      </c>
      <c r="CD157" s="256" t="inlineStr">
        <is>
          <t>IPH — Institute of Public Health</t>
        </is>
      </c>
      <c r="CE157" s="260" t="inlineStr">
        <is>
          <t>upon request — not required for release</t>
        </is>
      </c>
      <c r="CF157" s="256" t="inlineStr">
        <is>
          <t>—</t>
        </is>
      </c>
      <c r="CG157" s="256" t="inlineStr">
        <is>
          <t>—</t>
        </is>
      </c>
      <c r="CH157" s="256" t="inlineStr">
        <is>
          <t>—</t>
        </is>
      </c>
      <c r="CI157" s="260" t="inlineStr">
        <is>
          <t>upon request — not required for release</t>
        </is>
      </c>
      <c r="CJ157" s="256" t="inlineStr">
        <is>
          <t>—</t>
        </is>
      </c>
      <c r="CK157" s="256" t="inlineStr">
        <is>
          <t>—</t>
        </is>
      </c>
      <c r="CL157" s="256" t="inlineStr">
        <is>
          <t>—</t>
        </is>
      </c>
      <c r="CM157" s="256" t="inlineStr">
        <is>
          <t>ND</t>
        </is>
      </c>
      <c r="CN157" s="256" t="inlineStr">
        <is>
          <t>227-12-М/26</t>
        </is>
      </c>
      <c r="CO157" s="256" t="inlineStr">
        <is>
          <t>16.09.2026</t>
        </is>
      </c>
      <c r="CP157" s="256" t="inlineStr">
        <is>
          <t>Farmahem</t>
        </is>
      </c>
      <c r="CQ157" s="256" t="inlineStr">
        <is>
          <t>ND</t>
        </is>
      </c>
      <c r="CR157" s="256" t="inlineStr">
        <is>
          <t>227-12-М/26</t>
        </is>
      </c>
      <c r="CS157" s="256" t="inlineStr">
        <is>
          <t>16.09.2026</t>
        </is>
      </c>
      <c r="CT157" s="256" t="inlineStr">
        <is>
          <t>Farmahem</t>
        </is>
      </c>
      <c r="CU157" s="256" t="inlineStr">
        <is>
          <t>ND</t>
        </is>
      </c>
      <c r="CV157" s="256" t="inlineStr">
        <is>
          <t>227-12-М/26</t>
        </is>
      </c>
      <c r="CW157" s="256" t="inlineStr">
        <is>
          <t>16.09.2026</t>
        </is>
      </c>
      <c r="CX157" s="256" t="inlineStr">
        <is>
          <t>Farmahem</t>
        </is>
      </c>
      <c r="CY157" s="256" t="inlineStr">
        <is>
          <t>0.031</t>
        </is>
      </c>
      <c r="CZ157" s="256" t="inlineStr">
        <is>
          <t>2157/2025</t>
        </is>
      </c>
      <c r="DA157" s="256" t="inlineStr">
        <is>
          <t>07.05.2025</t>
        </is>
      </c>
      <c r="DB157" s="256" t="inlineStr">
        <is>
          <t>IPH — Institute of Public Health</t>
        </is>
      </c>
      <c r="DC157" s="256" t="inlineStr">
        <is>
          <t>0.005</t>
        </is>
      </c>
      <c r="DD157" s="256" t="inlineStr">
        <is>
          <t>2157/2025</t>
        </is>
      </c>
      <c r="DE157" s="256" t="inlineStr">
        <is>
          <t>07.05.2025</t>
        </is>
      </c>
      <c r="DF157" s="256" t="inlineStr">
        <is>
          <t>IPH — Institute of Public Health</t>
        </is>
      </c>
      <c r="DG157" s="256" t="inlineStr">
        <is>
          <t>0.011</t>
        </is>
      </c>
      <c r="DH157" s="256" t="inlineStr">
        <is>
          <t>2157/2025</t>
        </is>
      </c>
      <c r="DI157" s="256" t="inlineStr">
        <is>
          <t>07.05.2025</t>
        </is>
      </c>
      <c r="DJ157" s="256" t="inlineStr">
        <is>
          <t>IPH — Institute of Public Health</t>
        </is>
      </c>
      <c r="DK157" s="256" t="inlineStr">
        <is>
          <t>ND</t>
        </is>
      </c>
      <c r="DL157" s="256" t="inlineStr">
        <is>
          <t>2157/2025</t>
        </is>
      </c>
      <c r="DM157" s="256" t="inlineStr">
        <is>
          <t>07.05.2025</t>
        </is>
      </c>
      <c r="DN157" s="256" t="inlineStr">
        <is>
          <t>IPH — Institute of Public Health</t>
        </is>
      </c>
      <c r="DO157" s="256" t="inlineStr">
        <is>
          <t>ND</t>
        </is>
      </c>
      <c r="DP157" s="256" t="inlineStr">
        <is>
          <t>2157/2025</t>
        </is>
      </c>
      <c r="DQ157" s="256" t="inlineStr">
        <is>
          <t>07.05.2025</t>
        </is>
      </c>
      <c r="DR157" s="256" t="inlineStr">
        <is>
          <t>IPH — Institute of Public Health</t>
        </is>
      </c>
    </row>
    <row r="158">
      <c r="A158" s="256" t="inlineStr">
        <is>
          <t>CoQ-PP_26-157</t>
        </is>
      </c>
      <c r="B158" s="256" t="inlineStr">
        <is>
          <t>reissue — retest</t>
        </is>
      </c>
      <c r="C158" s="256" t="inlineStr">
        <is>
          <t>allocated — code reserved, date provisional</t>
        </is>
      </c>
      <c r="D158" s="256" t="inlineStr">
        <is>
          <t>21.09.2026</t>
        </is>
      </c>
      <c r="E158" s="256" t="inlineStr">
        <is>
          <t>CoQ-PP_26-019 of 06.06.2026</t>
        </is>
      </c>
      <c r="F158" s="256" t="inlineStr">
        <is>
          <t>(assigned on issue)</t>
        </is>
      </c>
      <c r="G158" s="256" t="inlineStr">
        <is>
          <t>OPM052501</t>
        </is>
      </c>
      <c r="H158" s="256" t="inlineStr">
        <is>
          <t>P050132</t>
        </is>
      </c>
      <c r="I158" s="256" t="inlineStr">
        <is>
          <t>Orange Punch Mimosa</t>
        </is>
      </c>
      <c r="J158" s="256" t="inlineStr">
        <is>
          <t>11.08.2025 – 13.08.2025</t>
        </is>
      </c>
      <c r="K158" s="256" t="inlineStr">
        <is>
          <t>09.09.2025 – 15.09.2025</t>
        </is>
      </c>
      <c r="L158" s="256" t="inlineStr">
        <is>
          <t>—</t>
        </is>
      </c>
      <c r="M158" s="256" t="inlineStr">
        <is>
          <t>—</t>
        </is>
      </c>
      <c r="N158" s="256" t="inlineStr">
        <is>
          <t>iCoA-PP_26-174</t>
        </is>
      </c>
      <c r="O158" s="256" t="inlineStr">
        <is>
          <t>24.08.2026</t>
        </is>
      </c>
      <c r="P158" s="256" t="inlineStr">
        <is>
          <t>20.08.2026</t>
        </is>
      </c>
      <c r="Q158" s="256" t="inlineStr">
        <is>
          <t>Tranche 3</t>
        </is>
      </c>
      <c r="R158" s="256" t="inlineStr">
        <is>
          <t>17.83</t>
        </is>
      </c>
      <c r="S158" s="256" t="inlineStr">
        <is>
          <t>227-11-К/26</t>
        </is>
      </c>
      <c r="T158" s="256" t="inlineStr">
        <is>
          <t>II</t>
        </is>
      </c>
      <c r="U158" s="256" t="inlineStr">
        <is>
          <t>15.40 – 18.59 %</t>
        </is>
      </c>
      <c r="V158" s="256" t="inlineStr">
        <is>
          <t>OPM_THC17 : CBD1</t>
        </is>
      </c>
      <c r="W158" s="256" t="inlineStr">
        <is>
          <t>QCSP_001_OPM-II_v.01</t>
        </is>
      </c>
      <c r="X158" s="256" t="inlineStr">
        <is>
          <t>for review — replaces the issued QCSP_001_OPM-II_v.01 (was OPM_THC18 : CBD1, 16.20 – 19.80 %); now OPM_THC17 : CBD1 15.40 – 18.59 %</t>
        </is>
      </c>
      <c r="Y158" s="256" t="inlineStr">
        <is>
          <t>INDICA</t>
        </is>
      </c>
      <c r="Z158" s="256" t="inlineStr">
        <is>
          <t>THC</t>
        </is>
      </c>
      <c r="AA158" s="256" t="inlineStr">
        <is>
          <t>MACHINE TRIMMED</t>
        </is>
      </c>
      <c r="AB158" s="256" t="inlineStr">
        <is>
          <t>—</t>
        </is>
      </c>
      <c r="AC158" s="256" t="inlineStr">
        <is>
          <t>Triplex Alu Bag | Триплекс Aлу Kеса, PET 12 · ALU 7 · PE 80, 300 × 500 mm, net. 400.0 g ±3%</t>
        </is>
      </c>
      <c r="AD158" s="256" t="inlineStr">
        <is>
          <t>16.09.2026</t>
        </is>
      </c>
      <c r="AE158" s="256" t="inlineStr">
        <is>
          <t>Conforms | Одговара</t>
        </is>
      </c>
      <c r="AF158" s="256" t="inlineStr">
        <is>
          <t>iCoA-PP_26-174</t>
        </is>
      </c>
      <c r="AG158" s="256" t="inlineStr">
        <is>
          <t>24.08.2026</t>
        </is>
      </c>
      <c r="AH158" s="256" t="inlineStr">
        <is>
          <t>Purely Plant GmbH (in-house)</t>
        </is>
      </c>
      <c r="AI158" s="256" t="inlineStr">
        <is>
          <t>Conforms | Одговара</t>
        </is>
      </c>
      <c r="AJ158" s="256" t="inlineStr">
        <is>
          <t>iCoA-PP_26-174</t>
        </is>
      </c>
      <c r="AK158" s="256" t="inlineStr">
        <is>
          <t>24.08.2026</t>
        </is>
      </c>
      <c r="AL158" s="256" t="inlineStr">
        <is>
          <t>Purely Plant GmbH (in-house)</t>
        </is>
      </c>
      <c r="AM158" s="256" t="inlineStr">
        <is>
          <t>Conforms | Одговара</t>
        </is>
      </c>
      <c r="AN158" s="256" t="inlineStr">
        <is>
          <t>227-11-К/26</t>
        </is>
      </c>
      <c r="AO158" s="256" t="inlineStr">
        <is>
          <t>11.09.2026</t>
        </is>
      </c>
      <c r="AP158" s="256" t="inlineStr">
        <is>
          <t>Farmahem</t>
        </is>
      </c>
      <c r="AQ158" s="256" t="inlineStr">
        <is>
          <t>17.83</t>
        </is>
      </c>
      <c r="AR158" s="256" t="inlineStr">
        <is>
          <t>227-11-К/26</t>
        </is>
      </c>
      <c r="AS158" s="256" t="inlineStr">
        <is>
          <t>11.09.2026</t>
        </is>
      </c>
      <c r="AT158" s="256" t="inlineStr">
        <is>
          <t>Farmahem</t>
        </is>
      </c>
      <c r="AU158" s="256" t="inlineStr">
        <is>
          <t>&lt; LOQ</t>
        </is>
      </c>
      <c r="AV158" s="256" t="inlineStr">
        <is>
          <t>227-11-К/26</t>
        </is>
      </c>
      <c r="AW158" s="256" t="inlineStr">
        <is>
          <t>11.09.2026</t>
        </is>
      </c>
      <c r="AX158" s="256" t="inlineStr">
        <is>
          <t>Farmahem</t>
        </is>
      </c>
      <c r="AY158" s="256" t="inlineStr">
        <is>
          <t>&lt; LOQ</t>
        </is>
      </c>
      <c r="AZ158" s="256" t="inlineStr">
        <is>
          <t>227-11-К/26</t>
        </is>
      </c>
      <c r="BA158" s="256" t="inlineStr">
        <is>
          <t>11.09.2026</t>
        </is>
      </c>
      <c r="BB158" s="256" t="inlineStr">
        <is>
          <t>Farmahem</t>
        </is>
      </c>
      <c r="BC158" s="256" t="inlineStr">
        <is>
          <t>Conforms | Одговара</t>
        </is>
      </c>
      <c r="BD158" s="256" t="inlineStr">
        <is>
          <t>iCoA-PP_26-174</t>
        </is>
      </c>
      <c r="BE158" s="256" t="inlineStr">
        <is>
          <t>24.08.2026</t>
        </is>
      </c>
      <c r="BF158" s="256" t="inlineStr">
        <is>
          <t>Purely Plant GmbH (in-house)</t>
        </is>
      </c>
      <c r="BG158" s="256" t="inlineStr">
        <is>
          <t>8.28</t>
        </is>
      </c>
      <c r="BH158" s="256" t="inlineStr">
        <is>
          <t>ППК25257</t>
        </is>
      </c>
      <c r="BI158" s="256" t="inlineStr">
        <is>
          <t>05.09.2025</t>
        </is>
      </c>
      <c r="BJ158" s="256" t="inlineStr">
        <is>
          <t>UKIM Faculty of Pharmacy — Center for Natural Products</t>
        </is>
      </c>
      <c r="BK158" s="256" t="inlineStr">
        <is>
          <t>&lt; 10</t>
        </is>
      </c>
      <c r="BL158" s="256" t="inlineStr">
        <is>
          <t>560/1091/26</t>
        </is>
      </c>
      <c r="BM158" s="256" t="inlineStr">
        <is>
          <t>01.09.2026</t>
        </is>
      </c>
      <c r="BN158" s="256" t="inlineStr">
        <is>
          <t>IPH — Institute of Public Health</t>
        </is>
      </c>
      <c r="BO158" s="256" t="inlineStr">
        <is>
          <t>&lt; 10</t>
        </is>
      </c>
      <c r="BP158" s="256" t="inlineStr">
        <is>
          <t>560/1091/26</t>
        </is>
      </c>
      <c r="BQ158" s="256" t="inlineStr">
        <is>
          <t>01.09.2026</t>
        </is>
      </c>
      <c r="BR158" s="256" t="inlineStr">
        <is>
          <t>IPH — Institute of Public Health</t>
        </is>
      </c>
      <c r="BS158" s="256" t="inlineStr">
        <is>
          <t>&lt; 10</t>
        </is>
      </c>
      <c r="BT158" s="256" t="inlineStr">
        <is>
          <t>560/1091/26</t>
        </is>
      </c>
      <c r="BU158" s="256" t="inlineStr">
        <is>
          <t>01.09.2026</t>
        </is>
      </c>
      <c r="BV158" s="256" t="inlineStr">
        <is>
          <t>IPH — Institute of Public Health</t>
        </is>
      </c>
      <c r="BW158" s="256" t="inlineStr">
        <is>
          <t>Absent | Отсутна</t>
        </is>
      </c>
      <c r="BX158" s="256" t="inlineStr">
        <is>
          <t>560/1091/26</t>
        </is>
      </c>
      <c r="BY158" s="256" t="inlineStr">
        <is>
          <t>01.09.2026</t>
        </is>
      </c>
      <c r="BZ158" s="256" t="inlineStr">
        <is>
          <t>IPH — Institute of Public Health</t>
        </is>
      </c>
      <c r="CA158" s="256" t="inlineStr">
        <is>
          <t>Absent | Отсутна</t>
        </is>
      </c>
      <c r="CB158" s="256" t="inlineStr">
        <is>
          <t>560/1091/26</t>
        </is>
      </c>
      <c r="CC158" s="256" t="inlineStr">
        <is>
          <t>01.09.2026</t>
        </is>
      </c>
      <c r="CD158" s="256" t="inlineStr">
        <is>
          <t>IPH — Institute of Public Health</t>
        </is>
      </c>
      <c r="CE158" s="260" t="inlineStr">
        <is>
          <t>upon request — not required for release</t>
        </is>
      </c>
      <c r="CF158" s="256" t="inlineStr">
        <is>
          <t>—</t>
        </is>
      </c>
      <c r="CG158" s="256" t="inlineStr">
        <is>
          <t>—</t>
        </is>
      </c>
      <c r="CH158" s="256" t="inlineStr">
        <is>
          <t>—</t>
        </is>
      </c>
      <c r="CI158" s="260" t="inlineStr">
        <is>
          <t>upon request — not required for release</t>
        </is>
      </c>
      <c r="CJ158" s="256" t="inlineStr">
        <is>
          <t>—</t>
        </is>
      </c>
      <c r="CK158" s="256" t="inlineStr">
        <is>
          <t>—</t>
        </is>
      </c>
      <c r="CL158" s="256" t="inlineStr">
        <is>
          <t>—</t>
        </is>
      </c>
      <c r="CM158" s="256" t="inlineStr">
        <is>
          <t>ND</t>
        </is>
      </c>
      <c r="CN158" s="256" t="inlineStr">
        <is>
          <t>227-11-М/26</t>
        </is>
      </c>
      <c r="CO158" s="256" t="inlineStr">
        <is>
          <t>16.09.2026</t>
        </is>
      </c>
      <c r="CP158" s="256" t="inlineStr">
        <is>
          <t>Farmahem</t>
        </is>
      </c>
      <c r="CQ158" s="256" t="inlineStr">
        <is>
          <t>ND</t>
        </is>
      </c>
      <c r="CR158" s="256" t="inlineStr">
        <is>
          <t>227-11-М/26</t>
        </is>
      </c>
      <c r="CS158" s="256" t="inlineStr">
        <is>
          <t>16.09.2026</t>
        </is>
      </c>
      <c r="CT158" s="256" t="inlineStr">
        <is>
          <t>Farmahem</t>
        </is>
      </c>
      <c r="CU158" s="256" t="inlineStr">
        <is>
          <t>ND</t>
        </is>
      </c>
      <c r="CV158" s="256" t="inlineStr">
        <is>
          <t>227-11-М/26</t>
        </is>
      </c>
      <c r="CW158" s="256" t="inlineStr">
        <is>
          <t>16.09.2026</t>
        </is>
      </c>
      <c r="CX158" s="256" t="inlineStr">
        <is>
          <t>Farmahem</t>
        </is>
      </c>
      <c r="CY158" s="256" t="inlineStr">
        <is>
          <t>ND</t>
        </is>
      </c>
      <c r="CZ158" s="256" t="inlineStr">
        <is>
          <t>4157/2025</t>
        </is>
      </c>
      <c r="DA158" s="256" t="inlineStr">
        <is>
          <t>29.08.2025</t>
        </is>
      </c>
      <c r="DB158" s="256" t="inlineStr">
        <is>
          <t>IPH — Institute of Public Health</t>
        </is>
      </c>
      <c r="DC158" s="256" t="inlineStr">
        <is>
          <t>ND</t>
        </is>
      </c>
      <c r="DD158" s="256" t="inlineStr">
        <is>
          <t>4157/2025</t>
        </is>
      </c>
      <c r="DE158" s="256" t="inlineStr">
        <is>
          <t>29.08.2025</t>
        </is>
      </c>
      <c r="DF158" s="256" t="inlineStr">
        <is>
          <t>IPH — Institute of Public Health</t>
        </is>
      </c>
      <c r="DG158" s="256" t="inlineStr">
        <is>
          <t>ND</t>
        </is>
      </c>
      <c r="DH158" s="256" t="inlineStr">
        <is>
          <t>4157/2025</t>
        </is>
      </c>
      <c r="DI158" s="256" t="inlineStr">
        <is>
          <t>29.08.2025</t>
        </is>
      </c>
      <c r="DJ158" s="256" t="inlineStr">
        <is>
          <t>IPH — Institute of Public Health</t>
        </is>
      </c>
      <c r="DK158" s="256" t="inlineStr">
        <is>
          <t>ND</t>
        </is>
      </c>
      <c r="DL158" s="256" t="inlineStr">
        <is>
          <t>4157/2025</t>
        </is>
      </c>
      <c r="DM158" s="256" t="inlineStr">
        <is>
          <t>29.08.2025</t>
        </is>
      </c>
      <c r="DN158" s="256" t="inlineStr">
        <is>
          <t>IPH — Institute of Public Health</t>
        </is>
      </c>
      <c r="DO158" s="256" t="inlineStr">
        <is>
          <t>ND</t>
        </is>
      </c>
      <c r="DP158" s="256" t="inlineStr">
        <is>
          <t>4157/2025</t>
        </is>
      </c>
      <c r="DQ158" s="256" t="inlineStr">
        <is>
          <t>29.08.2025</t>
        </is>
      </c>
      <c r="DR158" s="256" t="inlineStr">
        <is>
          <t>IPH — Institute of Public Health</t>
        </is>
      </c>
    </row>
    <row r="159">
      <c r="A159" s="256" t="inlineStr">
        <is>
          <t>CoQ-PP_26-158</t>
        </is>
      </c>
      <c r="B159" s="256" t="inlineStr">
        <is>
          <t>reissue — retest</t>
        </is>
      </c>
      <c r="C159" s="256" t="inlineStr">
        <is>
          <t>allocated — code reserved, date provisional</t>
        </is>
      </c>
      <c r="D159" s="256" t="inlineStr">
        <is>
          <t>21.09.2026</t>
        </is>
      </c>
      <c r="E159" s="256" t="inlineStr">
        <is>
          <t>CoQ-PP_26-058 of 06.06.2026</t>
        </is>
      </c>
      <c r="F159" s="256" t="inlineStr">
        <is>
          <t>(assigned on issue)</t>
        </is>
      </c>
      <c r="G159" s="256" t="inlineStr">
        <is>
          <t>OPM112501</t>
        </is>
      </c>
      <c r="H159" s="256" t="inlineStr">
        <is>
          <t>— no P lot assigned —</t>
        </is>
      </c>
      <c r="I159" s="256" t="inlineStr">
        <is>
          <t>Orange Punch Mimosa</t>
        </is>
      </c>
      <c r="J159" s="256" t="inlineStr">
        <is>
          <t>05.02.2026</t>
        </is>
      </c>
      <c r="K159" s="256" t="inlineStr">
        <is>
          <t>24.04.2026</t>
        </is>
      </c>
      <c r="L159" s="256" t="inlineStr">
        <is>
          <t>—</t>
        </is>
      </c>
      <c r="M159" s="256" t="inlineStr">
        <is>
          <t>—</t>
        </is>
      </c>
      <c r="N159" s="256" t="inlineStr">
        <is>
          <t>iCoA-PP_26-157</t>
        </is>
      </c>
      <c r="O159" s="256" t="inlineStr">
        <is>
          <t>24.08.2026</t>
        </is>
      </c>
      <c r="P159" s="256" t="inlineStr">
        <is>
          <t>19.08.2026</t>
        </is>
      </c>
      <c r="Q159" s="256" t="inlineStr">
        <is>
          <t>Tranche 3</t>
        </is>
      </c>
      <c r="R159" s="256" t="inlineStr">
        <is>
          <t>9.73</t>
        </is>
      </c>
      <c r="S159" s="256" t="inlineStr">
        <is>
          <t>227-10-К/26</t>
        </is>
      </c>
      <c r="T159" s="256" t="inlineStr">
        <is>
          <t>IV</t>
        </is>
      </c>
      <c r="U159" s="256" t="inlineStr">
        <is>
          <t>9.00 – 10.99 %</t>
        </is>
      </c>
      <c r="V159" s="256" t="inlineStr">
        <is>
          <t>OPM_THC10 : CBD1</t>
        </is>
      </c>
      <c r="W159" s="256" t="inlineStr">
        <is>
          <t>QCSP_001_OPM-IV_v.01</t>
        </is>
      </c>
      <c r="X159" s="256" t="inlineStr">
        <is>
          <t>for review — replaces the issued QCSP_001_OPM-IV_v.01 (was OPM_THC10 : CBD1, 9.00 – 11.00 %); now OPM_THC10 : CBD1 9.00 – 10.99 %</t>
        </is>
      </c>
      <c r="Y159" s="256" t="inlineStr">
        <is>
          <t>INDICA</t>
        </is>
      </c>
      <c r="Z159" s="256" t="inlineStr">
        <is>
          <t>THC</t>
        </is>
      </c>
      <c r="AA159" s="256" t="inlineStr">
        <is>
          <t>MACHINE TRIMMED</t>
        </is>
      </c>
      <c r="AB159" s="256" t="inlineStr">
        <is>
          <t>—</t>
        </is>
      </c>
      <c r="AC159" s="256" t="inlineStr">
        <is>
          <t>Triplex Alu Bag | Триплекс Aлу Kеса, PET 12 · ALU 7 · PE 80, 300 × 500 mm, net. 400.0 g ±3%</t>
        </is>
      </c>
      <c r="AD159" s="256" t="inlineStr">
        <is>
          <t>11.09.2026</t>
        </is>
      </c>
      <c r="AE159" s="256" t="inlineStr">
        <is>
          <t>Conforms | Одговара</t>
        </is>
      </c>
      <c r="AF159" s="256" t="inlineStr">
        <is>
          <t>iCoA-PP_26-157</t>
        </is>
      </c>
      <c r="AG159" s="256" t="inlineStr">
        <is>
          <t>24.08.2026</t>
        </is>
      </c>
      <c r="AH159" s="256" t="inlineStr">
        <is>
          <t>Purely Plant GmbH (in-house)</t>
        </is>
      </c>
      <c r="AI159" s="256" t="inlineStr">
        <is>
          <t>Conforms | Одговара</t>
        </is>
      </c>
      <c r="AJ159" s="256" t="inlineStr">
        <is>
          <t>iCoA-PP_26-157</t>
        </is>
      </c>
      <c r="AK159" s="256" t="inlineStr">
        <is>
          <t>24.08.2026</t>
        </is>
      </c>
      <c r="AL159" s="256" t="inlineStr">
        <is>
          <t>Purely Plant GmbH (in-house)</t>
        </is>
      </c>
      <c r="AM159" s="256" t="inlineStr">
        <is>
          <t>Conforms | Одговара</t>
        </is>
      </c>
      <c r="AN159" s="256" t="inlineStr">
        <is>
          <t>227-10-К/26</t>
        </is>
      </c>
      <c r="AO159" s="256" t="inlineStr">
        <is>
          <t>11.09.2026</t>
        </is>
      </c>
      <c r="AP159" s="256" t="inlineStr">
        <is>
          <t>Farmahem</t>
        </is>
      </c>
      <c r="AQ159" s="256" t="inlineStr">
        <is>
          <t>9.73</t>
        </is>
      </c>
      <c r="AR159" s="256" t="inlineStr">
        <is>
          <t>227-10-К/26</t>
        </is>
      </c>
      <c r="AS159" s="256" t="inlineStr">
        <is>
          <t>11.09.2026</t>
        </is>
      </c>
      <c r="AT159" s="256" t="inlineStr">
        <is>
          <t>Farmahem</t>
        </is>
      </c>
      <c r="AU159" s="256" t="inlineStr">
        <is>
          <t>&lt; LOQ</t>
        </is>
      </c>
      <c r="AV159" s="256" t="inlineStr">
        <is>
          <t>227-10-К/26</t>
        </is>
      </c>
      <c r="AW159" s="256" t="inlineStr">
        <is>
          <t>11.09.2026</t>
        </is>
      </c>
      <c r="AX159" s="256" t="inlineStr">
        <is>
          <t>Farmahem</t>
        </is>
      </c>
      <c r="AY159" s="256" t="inlineStr">
        <is>
          <t>&lt; LOQ</t>
        </is>
      </c>
      <c r="AZ159" s="256" t="inlineStr">
        <is>
          <t>227-10-К/26</t>
        </is>
      </c>
      <c r="BA159" s="256" t="inlineStr">
        <is>
          <t>11.09.2026</t>
        </is>
      </c>
      <c r="BB159" s="256" t="inlineStr">
        <is>
          <t>Farmahem</t>
        </is>
      </c>
      <c r="BC159" s="256" t="inlineStr">
        <is>
          <t>Conforms | Одговара</t>
        </is>
      </c>
      <c r="BD159" s="256" t="inlineStr">
        <is>
          <t>iCoA-PP_26-157</t>
        </is>
      </c>
      <c r="BE159" s="256" t="inlineStr">
        <is>
          <t>24.08.2026</t>
        </is>
      </c>
      <c r="BF159" s="256" t="inlineStr">
        <is>
          <t>Purely Plant GmbH (in-house)</t>
        </is>
      </c>
      <c r="BG159" s="256" t="inlineStr">
        <is>
          <t>8.06</t>
        </is>
      </c>
      <c r="BH159" s="256" t="inlineStr">
        <is>
          <t>ППК26031</t>
        </is>
      </c>
      <c r="BI159" s="256" t="inlineStr">
        <is>
          <t>05.03.2026</t>
        </is>
      </c>
      <c r="BJ159" s="256" t="inlineStr">
        <is>
          <t>UKIM Faculty of Pharmacy — Center for Natural Products</t>
        </is>
      </c>
      <c r="BK159" s="256" t="inlineStr">
        <is>
          <t>&lt; 10</t>
        </is>
      </c>
      <c r="BL159" s="256" t="inlineStr">
        <is>
          <t>546/1077/26</t>
        </is>
      </c>
      <c r="BM159" s="256" t="inlineStr">
        <is>
          <t>31.08.2026</t>
        </is>
      </c>
      <c r="BN159" s="256" t="inlineStr">
        <is>
          <t>IPH — Institute of Public Health</t>
        </is>
      </c>
      <c r="BO159" s="256" t="inlineStr">
        <is>
          <t>10</t>
        </is>
      </c>
      <c r="BP159" s="256" t="inlineStr">
        <is>
          <t>546/1077/26</t>
        </is>
      </c>
      <c r="BQ159" s="256" t="inlineStr">
        <is>
          <t>31.08.2026</t>
        </is>
      </c>
      <c r="BR159" s="256" t="inlineStr">
        <is>
          <t>IPH — Institute of Public Health</t>
        </is>
      </c>
      <c r="BS159" s="256" t="inlineStr">
        <is>
          <t>&lt; 10</t>
        </is>
      </c>
      <c r="BT159" s="256" t="inlineStr">
        <is>
          <t>546/1077/26</t>
        </is>
      </c>
      <c r="BU159" s="256" t="inlineStr">
        <is>
          <t>31.08.2026</t>
        </is>
      </c>
      <c r="BV159" s="256" t="inlineStr">
        <is>
          <t>IPH — Institute of Public Health</t>
        </is>
      </c>
      <c r="BW159" s="256" t="inlineStr">
        <is>
          <t>Absent | Отсутна</t>
        </is>
      </c>
      <c r="BX159" s="256" t="inlineStr">
        <is>
          <t>546/1077/26</t>
        </is>
      </c>
      <c r="BY159" s="256" t="inlineStr">
        <is>
          <t>31.08.2026</t>
        </is>
      </c>
      <c r="BZ159" s="256" t="inlineStr">
        <is>
          <t>IPH — Institute of Public Health</t>
        </is>
      </c>
      <c r="CA159" s="256" t="inlineStr">
        <is>
          <t>Absent | Отсутна</t>
        </is>
      </c>
      <c r="CB159" s="256" t="inlineStr">
        <is>
          <t>546/1077/26</t>
        </is>
      </c>
      <c r="CC159" s="256" t="inlineStr">
        <is>
          <t>31.08.2026</t>
        </is>
      </c>
      <c r="CD159" s="256" t="inlineStr">
        <is>
          <t>IPH — Institute of Public Health</t>
        </is>
      </c>
      <c r="CE159" s="260" t="inlineStr">
        <is>
          <t>upon request — not required for release</t>
        </is>
      </c>
      <c r="CF159" s="256" t="inlineStr">
        <is>
          <t>—</t>
        </is>
      </c>
      <c r="CG159" s="256" t="inlineStr">
        <is>
          <t>—</t>
        </is>
      </c>
      <c r="CH159" s="256" t="inlineStr">
        <is>
          <t>—</t>
        </is>
      </c>
      <c r="CI159" s="260" t="inlineStr">
        <is>
          <t>upon request — not required for release</t>
        </is>
      </c>
      <c r="CJ159" s="256" t="inlineStr">
        <is>
          <t>—</t>
        </is>
      </c>
      <c r="CK159" s="256" t="inlineStr">
        <is>
          <t>—</t>
        </is>
      </c>
      <c r="CL159" s="256" t="inlineStr">
        <is>
          <t>—</t>
        </is>
      </c>
      <c r="CM159" s="256" t="inlineStr">
        <is>
          <t>ND</t>
        </is>
      </c>
      <c r="CN159" s="256" t="inlineStr">
        <is>
          <t>227-10-М/26</t>
        </is>
      </c>
      <c r="CO159" s="256" t="inlineStr">
        <is>
          <t>16.09.2026</t>
        </is>
      </c>
      <c r="CP159" s="256" t="inlineStr">
        <is>
          <t>Farmahem</t>
        </is>
      </c>
      <c r="CQ159" s="256" t="inlineStr">
        <is>
          <t>ND</t>
        </is>
      </c>
      <c r="CR159" s="256" t="inlineStr">
        <is>
          <t>227-10-М/26</t>
        </is>
      </c>
      <c r="CS159" s="256" t="inlineStr">
        <is>
          <t>16.09.2026</t>
        </is>
      </c>
      <c r="CT159" s="256" t="inlineStr">
        <is>
          <t>Farmahem</t>
        </is>
      </c>
      <c r="CU159" s="256" t="inlineStr">
        <is>
          <t>ND</t>
        </is>
      </c>
      <c r="CV159" s="256" t="inlineStr">
        <is>
          <t>227-10-М/26</t>
        </is>
      </c>
      <c r="CW159" s="256" t="inlineStr">
        <is>
          <t>16.09.2026</t>
        </is>
      </c>
      <c r="CX159" s="256" t="inlineStr">
        <is>
          <t>Farmahem</t>
        </is>
      </c>
      <c r="CY159" s="256" t="inlineStr">
        <is>
          <t>carried from the initial testing — not tested</t>
        </is>
      </c>
      <c r="CZ159" s="256" t="inlineStr">
        <is>
          <t>—</t>
        </is>
      </c>
      <c r="DA159" s="256" t="inlineStr">
        <is>
          <t>—</t>
        </is>
      </c>
      <c r="DB159" s="256" t="inlineStr">
        <is>
          <t>—</t>
        </is>
      </c>
      <c r="DC159" s="256" t="inlineStr">
        <is>
          <t>carried from the initial testing — not tested</t>
        </is>
      </c>
      <c r="DD159" s="256" t="inlineStr">
        <is>
          <t>—</t>
        </is>
      </c>
      <c r="DE159" s="256" t="inlineStr">
        <is>
          <t>—</t>
        </is>
      </c>
      <c r="DF159" s="256" t="inlineStr">
        <is>
          <t>—</t>
        </is>
      </c>
      <c r="DG159" s="256" t="inlineStr">
        <is>
          <t>carried from the initial testing — not tested</t>
        </is>
      </c>
      <c r="DH159" s="256" t="inlineStr">
        <is>
          <t>—</t>
        </is>
      </c>
      <c r="DI159" s="256" t="inlineStr">
        <is>
          <t>—</t>
        </is>
      </c>
      <c r="DJ159" s="256" t="inlineStr">
        <is>
          <t>—</t>
        </is>
      </c>
      <c r="DK159" s="256" t="inlineStr">
        <is>
          <t>carried from the initial testing — not tested</t>
        </is>
      </c>
      <c r="DL159" s="256" t="inlineStr">
        <is>
          <t>—</t>
        </is>
      </c>
      <c r="DM159" s="256" t="inlineStr">
        <is>
          <t>—</t>
        </is>
      </c>
      <c r="DN159" s="256" t="inlineStr">
        <is>
          <t>—</t>
        </is>
      </c>
      <c r="DO159" s="256" t="inlineStr">
        <is>
          <t>carried from the initial testing — not tested</t>
        </is>
      </c>
      <c r="DP159" s="256" t="inlineStr">
        <is>
          <t>—</t>
        </is>
      </c>
      <c r="DQ159" s="256" t="inlineStr">
        <is>
          <t>—</t>
        </is>
      </c>
      <c r="DR159" s="256" t="inlineStr">
        <is>
          <t>—</t>
        </is>
      </c>
    </row>
    <row r="160">
      <c r="A160" s="256" t="inlineStr">
        <is>
          <t>CoQ-PP_26-159</t>
        </is>
      </c>
      <c r="B160" s="256" t="inlineStr">
        <is>
          <t>reissue — retest</t>
        </is>
      </c>
      <c r="C160" s="256" t="inlineStr">
        <is>
          <t>allocated — code reserved, date provisional</t>
        </is>
      </c>
      <c r="D160" s="256" t="inlineStr">
        <is>
          <t>21.09.2026</t>
        </is>
      </c>
      <c r="E160" s="256" t="inlineStr">
        <is>
          <t>CoQ-PP_26-031 of 06.06.2026</t>
        </is>
      </c>
      <c r="F160" s="256" t="inlineStr">
        <is>
          <t>(assigned on issue)</t>
        </is>
      </c>
      <c r="G160" s="256" t="inlineStr">
        <is>
          <t>PM072501</t>
        </is>
      </c>
      <c r="H160" s="256" t="inlineStr">
        <is>
          <t>P050272</t>
        </is>
      </c>
      <c r="I160" s="256" t="inlineStr">
        <is>
          <t>Permanent Marker</t>
        </is>
      </c>
      <c r="J160" s="256" t="inlineStr">
        <is>
          <t>27.10.2025</t>
        </is>
      </c>
      <c r="K160" s="256" t="inlineStr">
        <is>
          <t>02.12.2025 – 03.12.2025</t>
        </is>
      </c>
      <c r="L160" s="256" t="inlineStr">
        <is>
          <t>—</t>
        </is>
      </c>
      <c r="M160" s="256" t="inlineStr">
        <is>
          <t>—</t>
        </is>
      </c>
      <c r="N160" s="256" t="inlineStr">
        <is>
          <t>iCoA-PP_26-158</t>
        </is>
      </c>
      <c r="O160" s="256" t="inlineStr">
        <is>
          <t>24.08.2026</t>
        </is>
      </c>
      <c r="P160" s="256" t="inlineStr">
        <is>
          <t>19.08.2026</t>
        </is>
      </c>
      <c r="Q160" s="256" t="inlineStr">
        <is>
          <t>Tranche 3</t>
        </is>
      </c>
      <c r="R160" s="256" t="inlineStr">
        <is>
          <t>12.77</t>
        </is>
      </c>
      <c r="S160" s="256" t="inlineStr">
        <is>
          <t>227-9-К/26</t>
        </is>
      </c>
      <c r="T160" s="256" t="inlineStr">
        <is>
          <t>II</t>
        </is>
      </c>
      <c r="U160" s="256" t="inlineStr">
        <is>
          <t>11.00 – 12.99 %</t>
        </is>
      </c>
      <c r="V160" s="256" t="inlineStr">
        <is>
          <t>PM_THC12 : CBD1</t>
        </is>
      </c>
      <c r="W160" s="256" t="inlineStr">
        <is>
          <t>QCSP_001_PM-II_v.01</t>
        </is>
      </c>
      <c r="X160" s="256" t="inlineStr">
        <is>
          <t>for review — replaces the issued QCSP_001_PM-II_v.01 (was PM_THC10 : CBD1, 9.00 – 11.00 %); now PM_THC12 : CBD1 11.00 – 12.99 %</t>
        </is>
      </c>
      <c r="Y160" s="256" t="inlineStr">
        <is>
          <t>HYBRID</t>
        </is>
      </c>
      <c r="Z160" s="256" t="inlineStr">
        <is>
          <t>THC</t>
        </is>
      </c>
      <c r="AA160" s="256" t="inlineStr">
        <is>
          <t>MACHINE TRIMMED</t>
        </is>
      </c>
      <c r="AB160" s="256" t="inlineStr">
        <is>
          <t>INDICA-DOMINANT</t>
        </is>
      </c>
      <c r="AC160" s="256" t="inlineStr">
        <is>
          <t>Triplex Alu Bag | Триплекс Aлу Kеса, PET 12 · ALU 7 · PE 80, 300 × 500 mm, net. 400.0 g ±3%</t>
        </is>
      </c>
      <c r="AD160" s="256" t="inlineStr">
        <is>
          <t>16.09.2026</t>
        </is>
      </c>
      <c r="AE160" s="256" t="inlineStr">
        <is>
          <t>Conforms | Одговара</t>
        </is>
      </c>
      <c r="AF160" s="256" t="inlineStr">
        <is>
          <t>iCoA-PP_26-158</t>
        </is>
      </c>
      <c r="AG160" s="256" t="inlineStr">
        <is>
          <t>24.08.2026</t>
        </is>
      </c>
      <c r="AH160" s="256" t="inlineStr">
        <is>
          <t>Purely Plant GmbH (in-house)</t>
        </is>
      </c>
      <c r="AI160" s="256" t="inlineStr">
        <is>
          <t>Conforms | Одговара</t>
        </is>
      </c>
      <c r="AJ160" s="256" t="inlineStr">
        <is>
          <t>iCoA-PP_26-158</t>
        </is>
      </c>
      <c r="AK160" s="256" t="inlineStr">
        <is>
          <t>24.08.2026</t>
        </is>
      </c>
      <c r="AL160" s="256" t="inlineStr">
        <is>
          <t>Purely Plant GmbH (in-house)</t>
        </is>
      </c>
      <c r="AM160" s="256" t="inlineStr">
        <is>
          <t>Conforms | Одговара</t>
        </is>
      </c>
      <c r="AN160" s="256" t="inlineStr">
        <is>
          <t>227-9-К/26</t>
        </is>
      </c>
      <c r="AO160" s="256" t="inlineStr">
        <is>
          <t>11.09.2026</t>
        </is>
      </c>
      <c r="AP160" s="256" t="inlineStr">
        <is>
          <t>Farmahem</t>
        </is>
      </c>
      <c r="AQ160" s="256" t="inlineStr">
        <is>
          <t>12.77</t>
        </is>
      </c>
      <c r="AR160" s="256" t="inlineStr">
        <is>
          <t>227-9-К/26</t>
        </is>
      </c>
      <c r="AS160" s="256" t="inlineStr">
        <is>
          <t>11.09.2026</t>
        </is>
      </c>
      <c r="AT160" s="256" t="inlineStr">
        <is>
          <t>Farmahem</t>
        </is>
      </c>
      <c r="AU160" s="256" t="inlineStr">
        <is>
          <t>&lt; LOQ</t>
        </is>
      </c>
      <c r="AV160" s="256" t="inlineStr">
        <is>
          <t>227-9-К/26</t>
        </is>
      </c>
      <c r="AW160" s="256" t="inlineStr">
        <is>
          <t>11.09.2026</t>
        </is>
      </c>
      <c r="AX160" s="256" t="inlineStr">
        <is>
          <t>Farmahem</t>
        </is>
      </c>
      <c r="AY160" s="256" t="inlineStr">
        <is>
          <t>&lt; LOQ</t>
        </is>
      </c>
      <c r="AZ160" s="256" t="inlineStr">
        <is>
          <t>227-9-К/26</t>
        </is>
      </c>
      <c r="BA160" s="256" t="inlineStr">
        <is>
          <t>11.09.2026</t>
        </is>
      </c>
      <c r="BB160" s="256" t="inlineStr">
        <is>
          <t>Farmahem</t>
        </is>
      </c>
      <c r="BC160" s="256" t="inlineStr">
        <is>
          <t>Conforms | Одговара</t>
        </is>
      </c>
      <c r="BD160" s="256" t="inlineStr">
        <is>
          <t>iCoA-PP_26-158</t>
        </is>
      </c>
      <c r="BE160" s="256" t="inlineStr">
        <is>
          <t>24.08.2026</t>
        </is>
      </c>
      <c r="BF160" s="256" t="inlineStr">
        <is>
          <t>Purely Plant GmbH (in-house)</t>
        </is>
      </c>
      <c r="BG160" s="256" t="inlineStr">
        <is>
          <t>9.52</t>
        </is>
      </c>
      <c r="BH160" s="256" t="inlineStr">
        <is>
          <t>ППК25368</t>
        </is>
      </c>
      <c r="BI160" s="256" t="inlineStr">
        <is>
          <t>28.11.2025</t>
        </is>
      </c>
      <c r="BJ160" s="256" t="inlineStr">
        <is>
          <t>UKIM Faculty of Pharmacy — Center for Natural Products</t>
        </is>
      </c>
      <c r="BK160" s="256" t="inlineStr">
        <is>
          <t>&lt; 10</t>
        </is>
      </c>
      <c r="BL160" s="256" t="inlineStr">
        <is>
          <t>554/1085/26</t>
        </is>
      </c>
      <c r="BM160" s="256" t="inlineStr">
        <is>
          <t>01.09.2026</t>
        </is>
      </c>
      <c r="BN160" s="256" t="inlineStr">
        <is>
          <t>IPH — Institute of Public Health</t>
        </is>
      </c>
      <c r="BO160" s="256" t="inlineStr">
        <is>
          <t>&lt; 10</t>
        </is>
      </c>
      <c r="BP160" s="256" t="inlineStr">
        <is>
          <t>554/1085/26</t>
        </is>
      </c>
      <c r="BQ160" s="256" t="inlineStr">
        <is>
          <t>01.09.2026</t>
        </is>
      </c>
      <c r="BR160" s="256" t="inlineStr">
        <is>
          <t>IPH — Institute of Public Health</t>
        </is>
      </c>
      <c r="BS160" s="256" t="inlineStr">
        <is>
          <t>&lt; 10</t>
        </is>
      </c>
      <c r="BT160" s="256" t="inlineStr">
        <is>
          <t>554/1085/26</t>
        </is>
      </c>
      <c r="BU160" s="256" t="inlineStr">
        <is>
          <t>01.09.2026</t>
        </is>
      </c>
      <c r="BV160" s="256" t="inlineStr">
        <is>
          <t>IPH — Institute of Public Health</t>
        </is>
      </c>
      <c r="BW160" s="256" t="inlineStr">
        <is>
          <t>Absent | Отсутна</t>
        </is>
      </c>
      <c r="BX160" s="256" t="inlineStr">
        <is>
          <t>554/1085/26</t>
        </is>
      </c>
      <c r="BY160" s="256" t="inlineStr">
        <is>
          <t>01.09.2026</t>
        </is>
      </c>
      <c r="BZ160" s="256" t="inlineStr">
        <is>
          <t>IPH — Institute of Public Health</t>
        </is>
      </c>
      <c r="CA160" s="256" t="inlineStr">
        <is>
          <t>Absent | Отсутна</t>
        </is>
      </c>
      <c r="CB160" s="256" t="inlineStr">
        <is>
          <t>554/1085/26</t>
        </is>
      </c>
      <c r="CC160" s="256" t="inlineStr">
        <is>
          <t>01.09.2026</t>
        </is>
      </c>
      <c r="CD160" s="256" t="inlineStr">
        <is>
          <t>IPH — Institute of Public Health</t>
        </is>
      </c>
      <c r="CE160" s="260" t="inlineStr">
        <is>
          <t>upon request — not required for release</t>
        </is>
      </c>
      <c r="CF160" s="256" t="inlineStr">
        <is>
          <t>—</t>
        </is>
      </c>
      <c r="CG160" s="256" t="inlineStr">
        <is>
          <t>—</t>
        </is>
      </c>
      <c r="CH160" s="256" t="inlineStr">
        <is>
          <t>—</t>
        </is>
      </c>
      <c r="CI160" s="260" t="inlineStr">
        <is>
          <t>upon request — not required for release</t>
        </is>
      </c>
      <c r="CJ160" s="256" t="inlineStr">
        <is>
          <t>—</t>
        </is>
      </c>
      <c r="CK160" s="256" t="inlineStr">
        <is>
          <t>—</t>
        </is>
      </c>
      <c r="CL160" s="256" t="inlineStr">
        <is>
          <t>—</t>
        </is>
      </c>
      <c r="CM160" s="256" t="inlineStr">
        <is>
          <t>ND</t>
        </is>
      </c>
      <c r="CN160" s="256" t="inlineStr">
        <is>
          <t>227-9-М/26</t>
        </is>
      </c>
      <c r="CO160" s="256" t="inlineStr">
        <is>
          <t>16.09.2026</t>
        </is>
      </c>
      <c r="CP160" s="256" t="inlineStr">
        <is>
          <t>Farmahem</t>
        </is>
      </c>
      <c r="CQ160" s="256" t="inlineStr">
        <is>
          <t>ND</t>
        </is>
      </c>
      <c r="CR160" s="256" t="inlineStr">
        <is>
          <t>227-9-М/26</t>
        </is>
      </c>
      <c r="CS160" s="256" t="inlineStr">
        <is>
          <t>16.09.2026</t>
        </is>
      </c>
      <c r="CT160" s="256" t="inlineStr">
        <is>
          <t>Farmahem</t>
        </is>
      </c>
      <c r="CU160" s="256" t="inlineStr">
        <is>
          <t>ND</t>
        </is>
      </c>
      <c r="CV160" s="256" t="inlineStr">
        <is>
          <t>227-9-М/26</t>
        </is>
      </c>
      <c r="CW160" s="256" t="inlineStr">
        <is>
          <t>16.09.2026</t>
        </is>
      </c>
      <c r="CX160" s="256" t="inlineStr">
        <is>
          <t>Farmahem</t>
        </is>
      </c>
      <c r="CY160" s="256" t="inlineStr">
        <is>
          <t>0.021</t>
        </is>
      </c>
      <c r="CZ160" s="256" t="inlineStr">
        <is>
          <t>5698/2025</t>
        </is>
      </c>
      <c r="DA160" s="256" t="inlineStr">
        <is>
          <t>02.12.2025</t>
        </is>
      </c>
      <c r="DB160" s="256" t="inlineStr">
        <is>
          <t>IPH — Institute of Public Health</t>
        </is>
      </c>
      <c r="DC160" s="256" t="inlineStr">
        <is>
          <t>0.001</t>
        </is>
      </c>
      <c r="DD160" s="256" t="inlineStr">
        <is>
          <t>5698/2025</t>
        </is>
      </c>
      <c r="DE160" s="256" t="inlineStr">
        <is>
          <t>02.12.2025</t>
        </is>
      </c>
      <c r="DF160" s="256" t="inlineStr">
        <is>
          <t>IPH — Institute of Public Health</t>
        </is>
      </c>
      <c r="DG160" s="256" t="inlineStr">
        <is>
          <t>0.012</t>
        </is>
      </c>
      <c r="DH160" s="256" t="inlineStr">
        <is>
          <t>5698/2025</t>
        </is>
      </c>
      <c r="DI160" s="256" t="inlineStr">
        <is>
          <t>02.12.2025</t>
        </is>
      </c>
      <c r="DJ160" s="256" t="inlineStr">
        <is>
          <t>IPH — Institute of Public Health</t>
        </is>
      </c>
      <c r="DK160" s="256" t="inlineStr">
        <is>
          <t>0.003</t>
        </is>
      </c>
      <c r="DL160" s="256" t="inlineStr">
        <is>
          <t>5698/2025</t>
        </is>
      </c>
      <c r="DM160" s="256" t="inlineStr">
        <is>
          <t>02.12.2025</t>
        </is>
      </c>
      <c r="DN160" s="256" t="inlineStr">
        <is>
          <t>IPH — Institute of Public Health</t>
        </is>
      </c>
      <c r="DO160" s="256" t="inlineStr">
        <is>
          <t>ND</t>
        </is>
      </c>
      <c r="DP160" s="256" t="inlineStr">
        <is>
          <t>5698/2025</t>
        </is>
      </c>
      <c r="DQ160" s="256" t="inlineStr">
        <is>
          <t>02.12.2025</t>
        </is>
      </c>
      <c r="DR160" s="256" t="inlineStr">
        <is>
          <t>IPH — Institute of Public Health</t>
        </is>
      </c>
    </row>
    <row r="161">
      <c r="A161" s="256" t="inlineStr">
        <is>
          <t>CoQ-PP_26-160</t>
        </is>
      </c>
      <c r="B161" s="256" t="inlineStr">
        <is>
          <t>reissue — retest</t>
        </is>
      </c>
      <c r="C161" s="256" t="inlineStr">
        <is>
          <t>allocated — code reserved, date provisional</t>
        </is>
      </c>
      <c r="D161" s="256" t="inlineStr">
        <is>
          <t>21.09.2026</t>
        </is>
      </c>
      <c r="E161" s="256" t="inlineStr">
        <is>
          <t>CoQ-PP_26-073 of 06.06.2026</t>
        </is>
      </c>
      <c r="F161" s="256" t="inlineStr">
        <is>
          <t>(assigned on issue)</t>
        </is>
      </c>
      <c r="G161" s="256" t="inlineStr">
        <is>
          <t>SCR012601</t>
        </is>
      </c>
      <c r="H161" s="256" t="inlineStr">
        <is>
          <t>P060342</t>
        </is>
      </c>
      <c r="I161" s="256" t="inlineStr">
        <is>
          <t>Scrambler</t>
        </is>
      </c>
      <c r="J161" s="256" t="inlineStr">
        <is>
          <t>16.04.2026</t>
        </is>
      </c>
      <c r="K161" s="256" t="inlineStr">
        <is>
          <t>25.05.2026</t>
        </is>
      </c>
      <c r="L161" s="256" t="inlineStr">
        <is>
          <t>—</t>
        </is>
      </c>
      <c r="M161" s="256" t="inlineStr">
        <is>
          <t>25.05.2026</t>
        </is>
      </c>
      <c r="N161" s="256" t="inlineStr">
        <is>
          <t>iCoA-PP_26-159</t>
        </is>
      </c>
      <c r="O161" s="256" t="inlineStr">
        <is>
          <t>24.08.2026</t>
        </is>
      </c>
      <c r="P161" s="256" t="inlineStr">
        <is>
          <t>19.08.2026</t>
        </is>
      </c>
      <c r="Q161" s="256" t="inlineStr">
        <is>
          <t>Tranche 3</t>
        </is>
      </c>
      <c r="R161" s="256" t="inlineStr">
        <is>
          <t>22.40</t>
        </is>
      </c>
      <c r="S161" s="256" t="inlineStr">
        <is>
          <t>227-8-К/26</t>
        </is>
      </c>
      <c r="T161" s="256" t="inlineStr">
        <is>
          <t>I</t>
        </is>
      </c>
      <c r="U161" s="256" t="inlineStr">
        <is>
          <t>19.80 – 24.19 %</t>
        </is>
      </c>
      <c r="V161" s="256" t="inlineStr">
        <is>
          <t>SCR_THC22 : CBD1</t>
        </is>
      </c>
      <c r="W161" s="256" t="inlineStr">
        <is>
          <t>QCSP_001_SCR-I_v.01</t>
        </is>
      </c>
      <c r="X161" s="256" t="inlineStr">
        <is>
          <t>for review — replaces the issued QCSP_001_SCR-I_v.01 (was SCR_THC27.5:CBD1, 27.50% ± 2.38%); now SCR_THC22 : CBD1 19.80 – 24.19 %</t>
        </is>
      </c>
      <c r="Y161" s="256" t="inlineStr">
        <is>
          <t>HYBRID</t>
        </is>
      </c>
      <c r="Z161" s="256" t="inlineStr">
        <is>
          <t>THC</t>
        </is>
      </c>
      <c r="AA161" s="256" t="inlineStr">
        <is>
          <t>MACHINE TRIMMED</t>
        </is>
      </c>
      <c r="AB161" s="256" t="inlineStr">
        <is>
          <t>TO BE DETERMINED</t>
        </is>
      </c>
      <c r="AC161" s="256" t="inlineStr">
        <is>
          <t>Triplex Alu Bag | Триплекс Aлу Kеса, PET 12 · ALU 7 · PE 80, 300 × 500 mm, net. 400.0 g ±3%</t>
        </is>
      </c>
      <c r="AD161" s="256" t="inlineStr">
        <is>
          <t>11.09.2026</t>
        </is>
      </c>
      <c r="AE161" s="256" t="inlineStr">
        <is>
          <t>Conforms | Одговара</t>
        </is>
      </c>
      <c r="AF161" s="256" t="inlineStr">
        <is>
          <t>iCoA-PP_26-159</t>
        </is>
      </c>
      <c r="AG161" s="256" t="inlineStr">
        <is>
          <t>24.08.2026</t>
        </is>
      </c>
      <c r="AH161" s="256" t="inlineStr">
        <is>
          <t>Purely Plant GmbH (in-house)</t>
        </is>
      </c>
      <c r="AI161" s="256" t="inlineStr">
        <is>
          <t>Conforms | Одговара</t>
        </is>
      </c>
      <c r="AJ161" s="256" t="inlineStr">
        <is>
          <t>iCoA-PP_26-159</t>
        </is>
      </c>
      <c r="AK161" s="256" t="inlineStr">
        <is>
          <t>24.08.2026</t>
        </is>
      </c>
      <c r="AL161" s="256" t="inlineStr">
        <is>
          <t>Purely Plant GmbH (in-house)</t>
        </is>
      </c>
      <c r="AM161" s="256" t="inlineStr">
        <is>
          <t>Conforms | Одговара</t>
        </is>
      </c>
      <c r="AN161" s="256" t="inlineStr">
        <is>
          <t>227-8-К/26</t>
        </is>
      </c>
      <c r="AO161" s="256" t="inlineStr">
        <is>
          <t>11.09.2026</t>
        </is>
      </c>
      <c r="AP161" s="256" t="inlineStr">
        <is>
          <t>Farmahem</t>
        </is>
      </c>
      <c r="AQ161" s="256" t="inlineStr">
        <is>
          <t>22.40</t>
        </is>
      </c>
      <c r="AR161" s="256" t="inlineStr">
        <is>
          <t>227-8-К/26</t>
        </is>
      </c>
      <c r="AS161" s="256" t="inlineStr">
        <is>
          <t>11.09.2026</t>
        </is>
      </c>
      <c r="AT161" s="256" t="inlineStr">
        <is>
          <t>Farmahem</t>
        </is>
      </c>
      <c r="AU161" s="256" t="inlineStr">
        <is>
          <t>&lt; LOQ</t>
        </is>
      </c>
      <c r="AV161" s="256" t="inlineStr">
        <is>
          <t>227-8-К/26</t>
        </is>
      </c>
      <c r="AW161" s="256" t="inlineStr">
        <is>
          <t>11.09.2026</t>
        </is>
      </c>
      <c r="AX161" s="256" t="inlineStr">
        <is>
          <t>Farmahem</t>
        </is>
      </c>
      <c r="AY161" s="256" t="inlineStr">
        <is>
          <t>&lt; LOQ</t>
        </is>
      </c>
      <c r="AZ161" s="256" t="inlineStr">
        <is>
          <t>227-8-К/26</t>
        </is>
      </c>
      <c r="BA161" s="256" t="inlineStr">
        <is>
          <t>11.09.2026</t>
        </is>
      </c>
      <c r="BB161" s="256" t="inlineStr">
        <is>
          <t>Farmahem</t>
        </is>
      </c>
      <c r="BC161" s="256" t="inlineStr">
        <is>
          <t>Conforms | Одговара</t>
        </is>
      </c>
      <c r="BD161" s="256" t="inlineStr">
        <is>
          <t>iCoA-PP_26-159</t>
        </is>
      </c>
      <c r="BE161" s="256" t="inlineStr">
        <is>
          <t>24.08.2026</t>
        </is>
      </c>
      <c r="BF161" s="256" t="inlineStr">
        <is>
          <t>Purely Plant GmbH (in-house)</t>
        </is>
      </c>
      <c r="BG161" s="256" t="inlineStr">
        <is>
          <t>carried from the initial testing — not tested</t>
        </is>
      </c>
      <c r="BH161" s="256" t="inlineStr">
        <is>
          <t>—</t>
        </is>
      </c>
      <c r="BI161" s="256" t="inlineStr">
        <is>
          <t>—</t>
        </is>
      </c>
      <c r="BJ161" s="256" t="inlineStr">
        <is>
          <t>—</t>
        </is>
      </c>
      <c r="BK161" s="256" t="inlineStr">
        <is>
          <t>8,3 × 10³</t>
        </is>
      </c>
      <c r="BL161" s="256" t="inlineStr">
        <is>
          <t>539/1070/26</t>
        </is>
      </c>
      <c r="BM161" s="256" t="inlineStr">
        <is>
          <t>31.08.2026</t>
        </is>
      </c>
      <c r="BN161" s="256" t="inlineStr">
        <is>
          <t>IPH — Institute of Public Health</t>
        </is>
      </c>
      <c r="BO161" s="256" t="inlineStr">
        <is>
          <t>5,3 × 10³</t>
        </is>
      </c>
      <c r="BP161" s="256" t="inlineStr">
        <is>
          <t>539/1070/26</t>
        </is>
      </c>
      <c r="BQ161" s="256" t="inlineStr">
        <is>
          <t>31.08.2026</t>
        </is>
      </c>
      <c r="BR161" s="256" t="inlineStr">
        <is>
          <t>IPH — Institute of Public Health</t>
        </is>
      </c>
      <c r="BS161" s="256" t="inlineStr">
        <is>
          <t>&lt; 10</t>
        </is>
      </c>
      <c r="BT161" s="256" t="inlineStr">
        <is>
          <t>539/1070/26</t>
        </is>
      </c>
      <c r="BU161" s="256" t="inlineStr">
        <is>
          <t>31.08.2026</t>
        </is>
      </c>
      <c r="BV161" s="256" t="inlineStr">
        <is>
          <t>IPH — Institute of Public Health</t>
        </is>
      </c>
      <c r="BW161" s="256" t="inlineStr">
        <is>
          <t>Absent | Отсутна</t>
        </is>
      </c>
      <c r="BX161" s="256" t="inlineStr">
        <is>
          <t>539/1070/26</t>
        </is>
      </c>
      <c r="BY161" s="256" t="inlineStr">
        <is>
          <t>31.08.2026</t>
        </is>
      </c>
      <c r="BZ161" s="256" t="inlineStr">
        <is>
          <t>IPH — Institute of Public Health</t>
        </is>
      </c>
      <c r="CA161" s="256" t="inlineStr">
        <is>
          <t>Absent | Отсутна</t>
        </is>
      </c>
      <c r="CB161" s="256" t="inlineStr">
        <is>
          <t>539/1070/26</t>
        </is>
      </c>
      <c r="CC161" s="256" t="inlineStr">
        <is>
          <t>31.08.2026</t>
        </is>
      </c>
      <c r="CD161" s="256" t="inlineStr">
        <is>
          <t>IPH — Institute of Public Health</t>
        </is>
      </c>
      <c r="CE161" s="260" t="inlineStr">
        <is>
          <t>upon request — not required for release</t>
        </is>
      </c>
      <c r="CF161" s="256" t="inlineStr">
        <is>
          <t>—</t>
        </is>
      </c>
      <c r="CG161" s="256" t="inlineStr">
        <is>
          <t>—</t>
        </is>
      </c>
      <c r="CH161" s="256" t="inlineStr">
        <is>
          <t>—</t>
        </is>
      </c>
      <c r="CI161" s="260" t="inlineStr">
        <is>
          <t>upon request — not required for release</t>
        </is>
      </c>
      <c r="CJ161" s="256" t="inlineStr">
        <is>
          <t>—</t>
        </is>
      </c>
      <c r="CK161" s="256" t="inlineStr">
        <is>
          <t>—</t>
        </is>
      </c>
      <c r="CL161" s="256" t="inlineStr">
        <is>
          <t>—</t>
        </is>
      </c>
      <c r="CM161" s="256" t="inlineStr">
        <is>
          <t>ND</t>
        </is>
      </c>
      <c r="CN161" s="256" t="inlineStr">
        <is>
          <t>227-8-М/26</t>
        </is>
      </c>
      <c r="CO161" s="256" t="inlineStr">
        <is>
          <t>16.09.2026</t>
        </is>
      </c>
      <c r="CP161" s="256" t="inlineStr">
        <is>
          <t>Farmahem</t>
        </is>
      </c>
      <c r="CQ161" s="256" t="inlineStr">
        <is>
          <t>ND</t>
        </is>
      </c>
      <c r="CR161" s="256" t="inlineStr">
        <is>
          <t>227-8-М/26</t>
        </is>
      </c>
      <c r="CS161" s="256" t="inlineStr">
        <is>
          <t>16.09.2026</t>
        </is>
      </c>
      <c r="CT161" s="256" t="inlineStr">
        <is>
          <t>Farmahem</t>
        </is>
      </c>
      <c r="CU161" s="256" t="inlineStr">
        <is>
          <t>ND</t>
        </is>
      </c>
      <c r="CV161" s="256" t="inlineStr">
        <is>
          <t>227-8-М/26</t>
        </is>
      </c>
      <c r="CW161" s="256" t="inlineStr">
        <is>
          <t>16.09.2026</t>
        </is>
      </c>
      <c r="CX161" s="256" t="inlineStr">
        <is>
          <t>Farmahem</t>
        </is>
      </c>
      <c r="CY161" s="256" t="inlineStr">
        <is>
          <t>carried from the initial testing — not tested</t>
        </is>
      </c>
      <c r="CZ161" s="256" t="inlineStr">
        <is>
          <t>—</t>
        </is>
      </c>
      <c r="DA161" s="256" t="inlineStr">
        <is>
          <t>—</t>
        </is>
      </c>
      <c r="DB161" s="256" t="inlineStr">
        <is>
          <t>—</t>
        </is>
      </c>
      <c r="DC161" s="256" t="inlineStr">
        <is>
          <t>carried from the initial testing — not tested</t>
        </is>
      </c>
      <c r="DD161" s="256" t="inlineStr">
        <is>
          <t>—</t>
        </is>
      </c>
      <c r="DE161" s="256" t="inlineStr">
        <is>
          <t>—</t>
        </is>
      </c>
      <c r="DF161" s="256" t="inlineStr">
        <is>
          <t>—</t>
        </is>
      </c>
      <c r="DG161" s="256" t="inlineStr">
        <is>
          <t>carried from the initial testing — not tested</t>
        </is>
      </c>
      <c r="DH161" s="256" t="inlineStr">
        <is>
          <t>—</t>
        </is>
      </c>
      <c r="DI161" s="256" t="inlineStr">
        <is>
          <t>—</t>
        </is>
      </c>
      <c r="DJ161" s="256" t="inlineStr">
        <is>
          <t>—</t>
        </is>
      </c>
      <c r="DK161" s="256" t="inlineStr">
        <is>
          <t>carried from the initial testing — not tested</t>
        </is>
      </c>
      <c r="DL161" s="256" t="inlineStr">
        <is>
          <t>—</t>
        </is>
      </c>
      <c r="DM161" s="256" t="inlineStr">
        <is>
          <t>—</t>
        </is>
      </c>
      <c r="DN161" s="256" t="inlineStr">
        <is>
          <t>—</t>
        </is>
      </c>
      <c r="DO161" s="256" t="inlineStr">
        <is>
          <t>carried from the initial testing — not tested</t>
        </is>
      </c>
      <c r="DP161" s="256" t="inlineStr">
        <is>
          <t>—</t>
        </is>
      </c>
      <c r="DQ161" s="256" t="inlineStr">
        <is>
          <t>—</t>
        </is>
      </c>
      <c r="DR161" s="256" t="inlineStr">
        <is>
          <t>—</t>
        </is>
      </c>
    </row>
    <row r="162">
      <c r="A162" s="256" t="inlineStr">
        <is>
          <t>CoQ-PP_26-161</t>
        </is>
      </c>
      <c r="B162" s="256" t="inlineStr">
        <is>
          <t>reissue — retest</t>
        </is>
      </c>
      <c r="C162" s="256" t="inlineStr">
        <is>
          <t>allocated — code reserved, date provisional</t>
        </is>
      </c>
      <c r="D162" s="256" t="inlineStr">
        <is>
          <t>21.09.2026</t>
        </is>
      </c>
      <c r="E162" s="256" t="inlineStr">
        <is>
          <t>CoQ-PP_26-080 of 13.07.2026</t>
        </is>
      </c>
      <c r="F162" s="256" t="inlineStr">
        <is>
          <t>(assigned on issue)</t>
        </is>
      </c>
      <c r="G162" s="256" t="inlineStr">
        <is>
          <t>SCR022601</t>
        </is>
      </c>
      <c r="H162" s="256" t="inlineStr">
        <is>
          <t>— no P lot assigned —</t>
        </is>
      </c>
      <c r="I162" s="256" t="inlineStr">
        <is>
          <t>Scrambler</t>
        </is>
      </c>
      <c r="J162" s="256" t="inlineStr">
        <is>
          <t>13.05.2026</t>
        </is>
      </c>
      <c r="K162" s="256" t="inlineStr">
        <is>
          <t>18.06.2026</t>
        </is>
      </c>
      <c r="L162" s="256" t="inlineStr">
        <is>
          <t>—</t>
        </is>
      </c>
      <c r="M162" s="256" t="inlineStr">
        <is>
          <t>—</t>
        </is>
      </c>
      <c r="N162" s="256" t="inlineStr">
        <is>
          <t>iCoA-PP_26-160</t>
        </is>
      </c>
      <c r="O162" s="256" t="inlineStr">
        <is>
          <t>24.08.2026</t>
        </is>
      </c>
      <c r="P162" s="256" t="inlineStr">
        <is>
          <t>19.08.2026</t>
        </is>
      </c>
      <c r="Q162" s="256" t="inlineStr">
        <is>
          <t>Tranche 3</t>
        </is>
      </c>
      <c r="R162" s="256" t="inlineStr">
        <is>
          <t>16.68</t>
        </is>
      </c>
      <c r="S162" s="256" t="inlineStr">
        <is>
          <t>227-7-К/26</t>
        </is>
      </c>
      <c r="T162" s="256" t="inlineStr">
        <is>
          <t>II</t>
        </is>
      </c>
      <c r="U162" s="256" t="inlineStr">
        <is>
          <t>16.20 – 19.79 %</t>
        </is>
      </c>
      <c r="V162" s="256" t="inlineStr">
        <is>
          <t>SCR_THC18 : CBD1</t>
        </is>
      </c>
      <c r="W162" s="256" t="inlineStr">
        <is>
          <t>QCSP_001_SCR-II_v.01</t>
        </is>
      </c>
      <c r="X162" s="256" t="inlineStr">
        <is>
          <t>for review — replaces the issued QCSP_001_SCR-II_v.01 (was SCR_THC18 : CBD1, 16.20 – 19.80 %); now SCR_THC18 : CBD1 16.20 – 19.79 %</t>
        </is>
      </c>
      <c r="Y162" s="256" t="inlineStr">
        <is>
          <t>HYBRID</t>
        </is>
      </c>
      <c r="Z162" s="256" t="inlineStr">
        <is>
          <t>THC</t>
        </is>
      </c>
      <c r="AA162" s="256" t="inlineStr">
        <is>
          <t>MACHINE TRIMMED</t>
        </is>
      </c>
      <c r="AB162" s="256" t="inlineStr">
        <is>
          <t>TO BE DETERMINED</t>
        </is>
      </c>
      <c r="AC162" s="256" t="inlineStr">
        <is>
          <t>Triplex Alu Bag | Триплекс Aлу Kеса, PET 12 · ALU 7 · PE 80, 300 × 500 mm, net. 400.0 g ±3%</t>
        </is>
      </c>
      <c r="AD162" s="256" t="inlineStr">
        <is>
          <t>11.09.2026</t>
        </is>
      </c>
      <c r="AE162" s="256" t="inlineStr">
        <is>
          <t>Conforms | Одговара</t>
        </is>
      </c>
      <c r="AF162" s="256" t="inlineStr">
        <is>
          <t>ППК26116</t>
        </is>
      </c>
      <c r="AG162" s="256" t="inlineStr">
        <is>
          <t>06.07.2026</t>
        </is>
      </c>
      <c r="AH162" s="256" t="inlineStr">
        <is>
          <t>UKIM Faculty of Pharmacy — Center for Natural Products</t>
        </is>
      </c>
      <c r="AI162" s="256" t="inlineStr">
        <is>
          <t>Conforms | Одговара</t>
        </is>
      </c>
      <c r="AJ162" s="256" t="inlineStr">
        <is>
          <t>ППК26116</t>
        </is>
      </c>
      <c r="AK162" s="256" t="inlineStr">
        <is>
          <t>06.07.2026</t>
        </is>
      </c>
      <c r="AL162" s="256" t="inlineStr">
        <is>
          <t>UKIM Faculty of Pharmacy — Center for Natural Products</t>
        </is>
      </c>
      <c r="AM162" s="256" t="inlineStr">
        <is>
          <t>Conforms | Одговара</t>
        </is>
      </c>
      <c r="AN162" s="256" t="inlineStr">
        <is>
          <t>227-7-К/26</t>
        </is>
      </c>
      <c r="AO162" s="256" t="inlineStr">
        <is>
          <t>11.09.2026</t>
        </is>
      </c>
      <c r="AP162" s="256" t="inlineStr">
        <is>
          <t>Farmahem</t>
        </is>
      </c>
      <c r="AQ162" s="256" t="inlineStr">
        <is>
          <t>16.68</t>
        </is>
      </c>
      <c r="AR162" s="256" t="inlineStr">
        <is>
          <t>227-7-К/26</t>
        </is>
      </c>
      <c r="AS162" s="256" t="inlineStr">
        <is>
          <t>11.09.2026</t>
        </is>
      </c>
      <c r="AT162" s="256" t="inlineStr">
        <is>
          <t>Farmahem</t>
        </is>
      </c>
      <c r="AU162" s="256" t="inlineStr">
        <is>
          <t>&lt; LOQ</t>
        </is>
      </c>
      <c r="AV162" s="256" t="inlineStr">
        <is>
          <t>227-7-К/26</t>
        </is>
      </c>
      <c r="AW162" s="256" t="inlineStr">
        <is>
          <t>11.09.2026</t>
        </is>
      </c>
      <c r="AX162" s="256" t="inlineStr">
        <is>
          <t>Farmahem</t>
        </is>
      </c>
      <c r="AY162" s="256" t="inlineStr">
        <is>
          <t>&lt; LOQ</t>
        </is>
      </c>
      <c r="AZ162" s="256" t="inlineStr">
        <is>
          <t>227-7-К/26</t>
        </is>
      </c>
      <c r="BA162" s="256" t="inlineStr">
        <is>
          <t>11.09.2026</t>
        </is>
      </c>
      <c r="BB162" s="256" t="inlineStr">
        <is>
          <t>Farmahem</t>
        </is>
      </c>
      <c r="BC162" s="256" t="inlineStr">
        <is>
          <t>Conforms | Одговара</t>
        </is>
      </c>
      <c r="BD162" s="256" t="inlineStr">
        <is>
          <t>ППК26116</t>
        </is>
      </c>
      <c r="BE162" s="256" t="inlineStr">
        <is>
          <t>06.07.2026</t>
        </is>
      </c>
      <c r="BF162" s="256" t="inlineStr">
        <is>
          <t>UKIM Faculty of Pharmacy — Center for Natural Products</t>
        </is>
      </c>
      <c r="BG162" s="256" t="inlineStr">
        <is>
          <t>7.06</t>
        </is>
      </c>
      <c r="BH162" s="256" t="inlineStr">
        <is>
          <t>ППК26116</t>
        </is>
      </c>
      <c r="BI162" s="256" t="inlineStr">
        <is>
          <t>06.07.2026</t>
        </is>
      </c>
      <c r="BJ162" s="256" t="inlineStr">
        <is>
          <t>UKIM Faculty of Pharmacy — Center for Natural Products</t>
        </is>
      </c>
      <c r="BK162" s="256" t="inlineStr">
        <is>
          <t>1,7 × 10³</t>
        </is>
      </c>
      <c r="BL162" s="256" t="inlineStr">
        <is>
          <t>536/1067/26</t>
        </is>
      </c>
      <c r="BM162" s="256" t="inlineStr">
        <is>
          <t>31.08.2026</t>
        </is>
      </c>
      <c r="BN162" s="256" t="inlineStr">
        <is>
          <t>IPH — Institute of Public Health</t>
        </is>
      </c>
      <c r="BO162" s="256" t="inlineStr">
        <is>
          <t>5,6 × 10²</t>
        </is>
      </c>
      <c r="BP162" s="256" t="inlineStr">
        <is>
          <t>536/1067/26</t>
        </is>
      </c>
      <c r="BQ162" s="256" t="inlineStr">
        <is>
          <t>31.08.2026</t>
        </is>
      </c>
      <c r="BR162" s="256" t="inlineStr">
        <is>
          <t>IPH — Institute of Public Health</t>
        </is>
      </c>
      <c r="BS162" s="256" t="inlineStr">
        <is>
          <t>&lt; 10</t>
        </is>
      </c>
      <c r="BT162" s="256" t="inlineStr">
        <is>
          <t>536/1067/26</t>
        </is>
      </c>
      <c r="BU162" s="256" t="inlineStr">
        <is>
          <t>31.08.2026</t>
        </is>
      </c>
      <c r="BV162" s="256" t="inlineStr">
        <is>
          <t>IPH — Institute of Public Health</t>
        </is>
      </c>
      <c r="BW162" s="256" t="inlineStr">
        <is>
          <t>Absent | Отсутна</t>
        </is>
      </c>
      <c r="BX162" s="256" t="inlineStr">
        <is>
          <t>536/1067/26</t>
        </is>
      </c>
      <c r="BY162" s="256" t="inlineStr">
        <is>
          <t>31.08.2026</t>
        </is>
      </c>
      <c r="BZ162" s="256" t="inlineStr">
        <is>
          <t>IPH — Institute of Public Health</t>
        </is>
      </c>
      <c r="CA162" s="256" t="inlineStr">
        <is>
          <t>Absent | Отсутна</t>
        </is>
      </c>
      <c r="CB162" s="256" t="inlineStr">
        <is>
          <t>536/1067/26</t>
        </is>
      </c>
      <c r="CC162" s="256" t="inlineStr">
        <is>
          <t>31.08.2026</t>
        </is>
      </c>
      <c r="CD162" s="256" t="inlineStr">
        <is>
          <t>IPH — Institute of Public Health</t>
        </is>
      </c>
      <c r="CE162" s="260" t="inlineStr">
        <is>
          <t>upon request — not required for release</t>
        </is>
      </c>
      <c r="CF162" s="256" t="inlineStr">
        <is>
          <t>—</t>
        </is>
      </c>
      <c r="CG162" s="256" t="inlineStr">
        <is>
          <t>—</t>
        </is>
      </c>
      <c r="CH162" s="256" t="inlineStr">
        <is>
          <t>—</t>
        </is>
      </c>
      <c r="CI162" s="260" t="inlineStr">
        <is>
          <t>upon request — not required for release</t>
        </is>
      </c>
      <c r="CJ162" s="256" t="inlineStr">
        <is>
          <t>—</t>
        </is>
      </c>
      <c r="CK162" s="256" t="inlineStr">
        <is>
          <t>—</t>
        </is>
      </c>
      <c r="CL162" s="256" t="inlineStr">
        <is>
          <t>—</t>
        </is>
      </c>
      <c r="CM162" s="256" t="inlineStr">
        <is>
          <t>ND</t>
        </is>
      </c>
      <c r="CN162" s="256" t="inlineStr">
        <is>
          <t>227-7-М/26</t>
        </is>
      </c>
      <c r="CO162" s="256" t="inlineStr">
        <is>
          <t>16.09.2026</t>
        </is>
      </c>
      <c r="CP162" s="256" t="inlineStr">
        <is>
          <t>Farmahem</t>
        </is>
      </c>
      <c r="CQ162" s="256" t="inlineStr">
        <is>
          <t>ND</t>
        </is>
      </c>
      <c r="CR162" s="256" t="inlineStr">
        <is>
          <t>227-7-М/26</t>
        </is>
      </c>
      <c r="CS162" s="256" t="inlineStr">
        <is>
          <t>16.09.2026</t>
        </is>
      </c>
      <c r="CT162" s="256" t="inlineStr">
        <is>
          <t>Farmahem</t>
        </is>
      </c>
      <c r="CU162" s="256" t="inlineStr">
        <is>
          <t>ND</t>
        </is>
      </c>
      <c r="CV162" s="256" t="inlineStr">
        <is>
          <t>227-7-М/26</t>
        </is>
      </c>
      <c r="CW162" s="256" t="inlineStr">
        <is>
          <t>16.09.2026</t>
        </is>
      </c>
      <c r="CX162" s="256" t="inlineStr">
        <is>
          <t>Farmahem</t>
        </is>
      </c>
      <c r="CY162" s="256" t="inlineStr">
        <is>
          <t>carried from the initial testing — not tested</t>
        </is>
      </c>
      <c r="CZ162" s="256" t="inlineStr">
        <is>
          <t>—</t>
        </is>
      </c>
      <c r="DA162" s="256" t="inlineStr">
        <is>
          <t>—</t>
        </is>
      </c>
      <c r="DB162" s="256" t="inlineStr">
        <is>
          <t>—</t>
        </is>
      </c>
      <c r="DC162" s="256" t="inlineStr">
        <is>
          <t>carried from the initial testing — not tested</t>
        </is>
      </c>
      <c r="DD162" s="256" t="inlineStr">
        <is>
          <t>—</t>
        </is>
      </c>
      <c r="DE162" s="256" t="inlineStr">
        <is>
          <t>—</t>
        </is>
      </c>
      <c r="DF162" s="256" t="inlineStr">
        <is>
          <t>—</t>
        </is>
      </c>
      <c r="DG162" s="256" t="inlineStr">
        <is>
          <t>carried from the initial testing — not tested</t>
        </is>
      </c>
      <c r="DH162" s="256" t="inlineStr">
        <is>
          <t>—</t>
        </is>
      </c>
      <c r="DI162" s="256" t="inlineStr">
        <is>
          <t>—</t>
        </is>
      </c>
      <c r="DJ162" s="256" t="inlineStr">
        <is>
          <t>—</t>
        </is>
      </c>
      <c r="DK162" s="256" t="inlineStr">
        <is>
          <t>carried from the initial testing — not tested</t>
        </is>
      </c>
      <c r="DL162" s="256" t="inlineStr">
        <is>
          <t>—</t>
        </is>
      </c>
      <c r="DM162" s="256" t="inlineStr">
        <is>
          <t>—</t>
        </is>
      </c>
      <c r="DN162" s="256" t="inlineStr">
        <is>
          <t>—</t>
        </is>
      </c>
      <c r="DO162" s="256" t="inlineStr">
        <is>
          <t>carried from the initial testing — not tested</t>
        </is>
      </c>
      <c r="DP162" s="256" t="inlineStr">
        <is>
          <t>—</t>
        </is>
      </c>
      <c r="DQ162" s="256" t="inlineStr">
        <is>
          <t>—</t>
        </is>
      </c>
      <c r="DR162" s="256" t="inlineStr">
        <is>
          <t>—</t>
        </is>
      </c>
    </row>
    <row r="163">
      <c r="A163" s="256" t="inlineStr">
        <is>
          <t>CoQ-PP_26-162</t>
        </is>
      </c>
      <c r="B163" s="256" t="inlineStr">
        <is>
          <t>reissue — retest</t>
        </is>
      </c>
      <c r="C163" s="256" t="inlineStr">
        <is>
          <t>allocated — code reserved, date provisional</t>
        </is>
      </c>
      <c r="D163" s="256" t="inlineStr">
        <is>
          <t>21.09.2026</t>
        </is>
      </c>
      <c r="E163" s="256" t="inlineStr">
        <is>
          <t>CoQ-PP_26-052 of 06.06.2026</t>
        </is>
      </c>
      <c r="F163" s="256" t="inlineStr">
        <is>
          <t>(assigned on issue)</t>
        </is>
      </c>
      <c r="G163" s="256" t="inlineStr">
        <is>
          <t>SJ102501</t>
        </is>
      </c>
      <c r="H163" s="256" t="inlineStr">
        <is>
          <t>— no P lot assigned —</t>
        </is>
      </c>
      <c r="I163" s="256" t="inlineStr">
        <is>
          <t>Sleepy Joe</t>
        </is>
      </c>
      <c r="J163" s="256" t="inlineStr">
        <is>
          <t>20.01.2026</t>
        </is>
      </c>
      <c r="K163" s="256" t="inlineStr">
        <is>
          <t>09.03.2026</t>
        </is>
      </c>
      <c r="L163" s="256" t="inlineStr">
        <is>
          <t>—</t>
        </is>
      </c>
      <c r="M163" s="256" t="inlineStr">
        <is>
          <t>—</t>
        </is>
      </c>
      <c r="N163" s="256" t="inlineStr">
        <is>
          <t>iCoA-PP_26-161</t>
        </is>
      </c>
      <c r="O163" s="256" t="inlineStr">
        <is>
          <t>24.08.2026</t>
        </is>
      </c>
      <c r="P163" s="256" t="inlineStr">
        <is>
          <t>19.08.2026</t>
        </is>
      </c>
      <c r="Q163" s="256" t="inlineStr">
        <is>
          <t>Tranche 3</t>
        </is>
      </c>
      <c r="R163" s="256" t="inlineStr">
        <is>
          <t>10.61</t>
        </is>
      </c>
      <c r="S163" s="256" t="inlineStr">
        <is>
          <t>227-6-К/26</t>
        </is>
      </c>
      <c r="T163" s="256" t="inlineStr">
        <is>
          <t>II</t>
        </is>
      </c>
      <c r="U163" s="256" t="inlineStr">
        <is>
          <t>9.00 – 10.99 %</t>
        </is>
      </c>
      <c r="V163" s="256" t="inlineStr">
        <is>
          <t>SJ_THC10 : CBD1</t>
        </is>
      </c>
      <c r="W163" s="256" t="inlineStr">
        <is>
          <t>QCSP_001_SJ-II_v.01</t>
        </is>
      </c>
      <c r="X163" s="256" t="inlineStr">
        <is>
          <t>for review — replaces the issued QCSP_001_SJ-II_v.01 (was SJ_THC10 : CBD1, 9.00 – 11.00 %); now SJ_THC10 : CBD1 9.00 – 10.99 %</t>
        </is>
      </c>
      <c r="Y163" s="256" t="inlineStr">
        <is>
          <t>HYBRID</t>
        </is>
      </c>
      <c r="Z163" s="256" t="inlineStr">
        <is>
          <t>THC</t>
        </is>
      </c>
      <c r="AA163" s="256" t="inlineStr">
        <is>
          <t>MACHINE TRIMMED</t>
        </is>
      </c>
      <c r="AB163" s="256" t="inlineStr">
        <is>
          <t>TO BE DETERMINED</t>
        </is>
      </c>
      <c r="AC163" s="256" t="inlineStr">
        <is>
          <t>Triplex Alu Bag | Триплекс Aлу Kеса, PET 12 · ALU 7 · PE 80, 300 × 500 mm, net. 400.0 g ±3%</t>
        </is>
      </c>
      <c r="AD163" s="256" t="inlineStr">
        <is>
          <t>11.09.2026</t>
        </is>
      </c>
      <c r="AE163" s="256" t="inlineStr">
        <is>
          <t>Conforms | Одговара</t>
        </is>
      </c>
      <c r="AF163" s="256" t="inlineStr">
        <is>
          <t>iCoA-PP_26-161</t>
        </is>
      </c>
      <c r="AG163" s="256" t="inlineStr">
        <is>
          <t>24.08.2026</t>
        </is>
      </c>
      <c r="AH163" s="256" t="inlineStr">
        <is>
          <t>Purely Plant GmbH (in-house)</t>
        </is>
      </c>
      <c r="AI163" s="256" t="inlineStr">
        <is>
          <t>Conforms | Одговара</t>
        </is>
      </c>
      <c r="AJ163" s="256" t="inlineStr">
        <is>
          <t>iCoA-PP_26-161</t>
        </is>
      </c>
      <c r="AK163" s="256" t="inlineStr">
        <is>
          <t>24.08.2026</t>
        </is>
      </c>
      <c r="AL163" s="256" t="inlineStr">
        <is>
          <t>Purely Plant GmbH (in-house)</t>
        </is>
      </c>
      <c r="AM163" s="256" t="inlineStr">
        <is>
          <t>Conforms | Одговара</t>
        </is>
      </c>
      <c r="AN163" s="256" t="inlineStr">
        <is>
          <t>227-6-К/26</t>
        </is>
      </c>
      <c r="AO163" s="256" t="inlineStr">
        <is>
          <t>11.09.2026</t>
        </is>
      </c>
      <c r="AP163" s="256" t="inlineStr">
        <is>
          <t>Farmahem</t>
        </is>
      </c>
      <c r="AQ163" s="256" t="inlineStr">
        <is>
          <t>10.61</t>
        </is>
      </c>
      <c r="AR163" s="256" t="inlineStr">
        <is>
          <t>227-6-К/26</t>
        </is>
      </c>
      <c r="AS163" s="256" t="inlineStr">
        <is>
          <t>11.09.2026</t>
        </is>
      </c>
      <c r="AT163" s="256" t="inlineStr">
        <is>
          <t>Farmahem</t>
        </is>
      </c>
      <c r="AU163" s="256" t="inlineStr">
        <is>
          <t>&lt; LOQ</t>
        </is>
      </c>
      <c r="AV163" s="256" t="inlineStr">
        <is>
          <t>227-6-К/26</t>
        </is>
      </c>
      <c r="AW163" s="256" t="inlineStr">
        <is>
          <t>11.09.2026</t>
        </is>
      </c>
      <c r="AX163" s="256" t="inlineStr">
        <is>
          <t>Farmahem</t>
        </is>
      </c>
      <c r="AY163" s="256" t="inlineStr">
        <is>
          <t>&lt; LOQ</t>
        </is>
      </c>
      <c r="AZ163" s="256" t="inlineStr">
        <is>
          <t>227-6-К/26</t>
        </is>
      </c>
      <c r="BA163" s="256" t="inlineStr">
        <is>
          <t>11.09.2026</t>
        </is>
      </c>
      <c r="BB163" s="256" t="inlineStr">
        <is>
          <t>Farmahem</t>
        </is>
      </c>
      <c r="BC163" s="256" t="inlineStr">
        <is>
          <t>Conforms | Одговара</t>
        </is>
      </c>
      <c r="BD163" s="256" t="inlineStr">
        <is>
          <t>iCoA-PP_26-161</t>
        </is>
      </c>
      <c r="BE163" s="256" t="inlineStr">
        <is>
          <t>24.08.2026</t>
        </is>
      </c>
      <c r="BF163" s="256" t="inlineStr">
        <is>
          <t>Purely Plant GmbH (in-house)</t>
        </is>
      </c>
      <c r="BG163" s="256" t="inlineStr">
        <is>
          <t>7.8</t>
        </is>
      </c>
      <c r="BH163" s="256" t="inlineStr">
        <is>
          <t>051-3-ГС/26</t>
        </is>
      </c>
      <c r="BI163" s="256" t="inlineStr">
        <is>
          <t>02.03.2026</t>
        </is>
      </c>
      <c r="BJ163" s="256" t="inlineStr">
        <is>
          <t>Farmahem</t>
        </is>
      </c>
      <c r="BK163" s="256" t="inlineStr">
        <is>
          <t>5,2 × 10²</t>
        </is>
      </c>
      <c r="BL163" s="256" t="inlineStr">
        <is>
          <t>549/1080/26</t>
        </is>
      </c>
      <c r="BM163" s="256" t="inlineStr">
        <is>
          <t>31.08.2026</t>
        </is>
      </c>
      <c r="BN163" s="256" t="inlineStr">
        <is>
          <t>IPH — Institute of Public Health</t>
        </is>
      </c>
      <c r="BO163" s="256" t="inlineStr">
        <is>
          <t>4,3 × 10²</t>
        </is>
      </c>
      <c r="BP163" s="256" t="inlineStr">
        <is>
          <t>549/1080/26</t>
        </is>
      </c>
      <c r="BQ163" s="256" t="inlineStr">
        <is>
          <t>31.08.2026</t>
        </is>
      </c>
      <c r="BR163" s="256" t="inlineStr">
        <is>
          <t>IPH — Institute of Public Health</t>
        </is>
      </c>
      <c r="BS163" s="256" t="inlineStr">
        <is>
          <t>&lt; 10</t>
        </is>
      </c>
      <c r="BT163" s="256" t="inlineStr">
        <is>
          <t>549/1080/26</t>
        </is>
      </c>
      <c r="BU163" s="256" t="inlineStr">
        <is>
          <t>31.08.2026</t>
        </is>
      </c>
      <c r="BV163" s="256" t="inlineStr">
        <is>
          <t>IPH — Institute of Public Health</t>
        </is>
      </c>
      <c r="BW163" s="256" t="inlineStr">
        <is>
          <t>Absent | Отсутна</t>
        </is>
      </c>
      <c r="BX163" s="256" t="inlineStr">
        <is>
          <t>549/1080/26</t>
        </is>
      </c>
      <c r="BY163" s="256" t="inlineStr">
        <is>
          <t>31.08.2026</t>
        </is>
      </c>
      <c r="BZ163" s="256" t="inlineStr">
        <is>
          <t>IPH — Institute of Public Health</t>
        </is>
      </c>
      <c r="CA163" s="256" t="inlineStr">
        <is>
          <t>Absent | Отсутна</t>
        </is>
      </c>
      <c r="CB163" s="256" t="inlineStr">
        <is>
          <t>549/1080/26</t>
        </is>
      </c>
      <c r="CC163" s="256" t="inlineStr">
        <is>
          <t>31.08.2026</t>
        </is>
      </c>
      <c r="CD163" s="256" t="inlineStr">
        <is>
          <t>IPH — Institute of Public Health</t>
        </is>
      </c>
      <c r="CE163" s="260" t="inlineStr">
        <is>
          <t>upon request — not required for release</t>
        </is>
      </c>
      <c r="CF163" s="256" t="inlineStr">
        <is>
          <t>—</t>
        </is>
      </c>
      <c r="CG163" s="256" t="inlineStr">
        <is>
          <t>—</t>
        </is>
      </c>
      <c r="CH163" s="256" t="inlineStr">
        <is>
          <t>—</t>
        </is>
      </c>
      <c r="CI163" s="260" t="inlineStr">
        <is>
          <t>upon request — not required for release</t>
        </is>
      </c>
      <c r="CJ163" s="256" t="inlineStr">
        <is>
          <t>—</t>
        </is>
      </c>
      <c r="CK163" s="256" t="inlineStr">
        <is>
          <t>—</t>
        </is>
      </c>
      <c r="CL163" s="256" t="inlineStr">
        <is>
          <t>—</t>
        </is>
      </c>
      <c r="CM163" s="256" t="inlineStr">
        <is>
          <t>ND</t>
        </is>
      </c>
      <c r="CN163" s="256" t="inlineStr">
        <is>
          <t>227-6-М/26</t>
        </is>
      </c>
      <c r="CO163" s="256" t="inlineStr">
        <is>
          <t>16.09.2026</t>
        </is>
      </c>
      <c r="CP163" s="256" t="inlineStr">
        <is>
          <t>Farmahem</t>
        </is>
      </c>
      <c r="CQ163" s="256" t="inlineStr">
        <is>
          <t>ND</t>
        </is>
      </c>
      <c r="CR163" s="256" t="inlineStr">
        <is>
          <t>227-6-М/26</t>
        </is>
      </c>
      <c r="CS163" s="256" t="inlineStr">
        <is>
          <t>16.09.2026</t>
        </is>
      </c>
      <c r="CT163" s="256" t="inlineStr">
        <is>
          <t>Farmahem</t>
        </is>
      </c>
      <c r="CU163" s="256" t="inlineStr">
        <is>
          <t>ND</t>
        </is>
      </c>
      <c r="CV163" s="256" t="inlineStr">
        <is>
          <t>227-6-М/26</t>
        </is>
      </c>
      <c r="CW163" s="256" t="inlineStr">
        <is>
          <t>16.09.2026</t>
        </is>
      </c>
      <c r="CX163" s="256" t="inlineStr">
        <is>
          <t>Farmahem</t>
        </is>
      </c>
      <c r="CY163" s="256" t="inlineStr">
        <is>
          <t>carried from the initial testing — not tested</t>
        </is>
      </c>
      <c r="CZ163" s="256" t="inlineStr">
        <is>
          <t>—</t>
        </is>
      </c>
      <c r="DA163" s="256" t="inlineStr">
        <is>
          <t>—</t>
        </is>
      </c>
      <c r="DB163" s="256" t="inlineStr">
        <is>
          <t>—</t>
        </is>
      </c>
      <c r="DC163" s="256" t="inlineStr">
        <is>
          <t>carried from the initial testing — not tested</t>
        </is>
      </c>
      <c r="DD163" s="256" t="inlineStr">
        <is>
          <t>—</t>
        </is>
      </c>
      <c r="DE163" s="256" t="inlineStr">
        <is>
          <t>—</t>
        </is>
      </c>
      <c r="DF163" s="256" t="inlineStr">
        <is>
          <t>—</t>
        </is>
      </c>
      <c r="DG163" s="256" t="inlineStr">
        <is>
          <t>carried from the initial testing — not tested</t>
        </is>
      </c>
      <c r="DH163" s="256" t="inlineStr">
        <is>
          <t>—</t>
        </is>
      </c>
      <c r="DI163" s="256" t="inlineStr">
        <is>
          <t>—</t>
        </is>
      </c>
      <c r="DJ163" s="256" t="inlineStr">
        <is>
          <t>—</t>
        </is>
      </c>
      <c r="DK163" s="256" t="inlineStr">
        <is>
          <t>carried from the initial testing — not tested</t>
        </is>
      </c>
      <c r="DL163" s="256" t="inlineStr">
        <is>
          <t>—</t>
        </is>
      </c>
      <c r="DM163" s="256" t="inlineStr">
        <is>
          <t>—</t>
        </is>
      </c>
      <c r="DN163" s="256" t="inlineStr">
        <is>
          <t>—</t>
        </is>
      </c>
      <c r="DO163" s="256" t="inlineStr">
        <is>
          <t>carried from the initial testing — not tested</t>
        </is>
      </c>
      <c r="DP163" s="256" t="inlineStr">
        <is>
          <t>—</t>
        </is>
      </c>
      <c r="DQ163" s="256" t="inlineStr">
        <is>
          <t>—</t>
        </is>
      </c>
      <c r="DR163" s="256" t="inlineStr">
        <is>
          <t>—</t>
        </is>
      </c>
    </row>
    <row r="164">
      <c r="A164" s="256" t="inlineStr">
        <is>
          <t>CoQ-PP_26-163</t>
        </is>
      </c>
      <c r="B164" s="256" t="inlineStr">
        <is>
          <t>reissue — retest</t>
        </is>
      </c>
      <c r="C164" s="256" t="inlineStr">
        <is>
          <t>allocated — code reserved, date provisional</t>
        </is>
      </c>
      <c r="D164" s="256" t="inlineStr">
        <is>
          <t>21.09.2026</t>
        </is>
      </c>
      <c r="E164" s="256" t="inlineStr">
        <is>
          <t>CoQ-PP_26-055 of 06.06.2026</t>
        </is>
      </c>
      <c r="F164" s="256" t="inlineStr">
        <is>
          <t>(assigned on issue)</t>
        </is>
      </c>
      <c r="G164" s="256" t="inlineStr">
        <is>
          <t>SJ112501</t>
        </is>
      </c>
      <c r="H164" s="256" t="inlineStr">
        <is>
          <t>— no P lot assigned —</t>
        </is>
      </c>
      <c r="I164" s="256" t="inlineStr">
        <is>
          <t>Sleepy Joe</t>
        </is>
      </c>
      <c r="J164" s="256" t="inlineStr">
        <is>
          <t>26.01.2026 – 27.01.2026</t>
        </is>
      </c>
      <c r="K164" s="256" t="inlineStr">
        <is>
          <t>31.03.2026</t>
        </is>
      </c>
      <c r="L164" s="256" t="inlineStr">
        <is>
          <t>—</t>
        </is>
      </c>
      <c r="M164" s="256" t="inlineStr">
        <is>
          <t>—</t>
        </is>
      </c>
      <c r="N164" s="256" t="inlineStr">
        <is>
          <t>iCoA-PP_26-162</t>
        </is>
      </c>
      <c r="O164" s="256" t="inlineStr">
        <is>
          <t>24.08.2026</t>
        </is>
      </c>
      <c r="P164" s="256" t="inlineStr">
        <is>
          <t>19.08.2026</t>
        </is>
      </c>
      <c r="Q164" s="256" t="inlineStr">
        <is>
          <t>Tranche 3</t>
        </is>
      </c>
      <c r="R164" s="256" t="inlineStr">
        <is>
          <t>11.27</t>
        </is>
      </c>
      <c r="S164" s="256" t="inlineStr">
        <is>
          <t>227-5-К/26</t>
        </is>
      </c>
      <c r="T164" s="256" t="inlineStr">
        <is>
          <t>I</t>
        </is>
      </c>
      <c r="U164" s="256" t="inlineStr">
        <is>
          <t>11.00 – 12.99 %</t>
        </is>
      </c>
      <c r="V164" s="256" t="inlineStr">
        <is>
          <t>SJ_THC12 : CBD1</t>
        </is>
      </c>
      <c r="W164" s="256" t="inlineStr">
        <is>
          <t>QCSP_001_SJ-I_v.01</t>
        </is>
      </c>
      <c r="X164" s="256" t="inlineStr">
        <is>
          <t>for review — replaces the issued QCSP_001_SJ-I_v.01 (was SJ_THC27:CBD1, 27.00% ± 3.00%); now SJ_THC12 : CBD1 11.00 – 12.99 %</t>
        </is>
      </c>
      <c r="Y164" s="256" t="inlineStr">
        <is>
          <t>HYBRID</t>
        </is>
      </c>
      <c r="Z164" s="256" t="inlineStr">
        <is>
          <t>THC</t>
        </is>
      </c>
      <c r="AA164" s="256" t="inlineStr">
        <is>
          <t>MACHINE TRIMMED</t>
        </is>
      </c>
      <c r="AB164" s="256" t="inlineStr">
        <is>
          <t>TO BE DETERMINED</t>
        </is>
      </c>
      <c r="AC164" s="256" t="inlineStr">
        <is>
          <t>Triplex Alu Bag | Триплекс Aлу Kеса, PET 12 · ALU 7 · PE 80, 300 × 500 mm, net. 400.0 g ±3%</t>
        </is>
      </c>
      <c r="AD164" s="256" t="inlineStr">
        <is>
          <t>11.09.2026</t>
        </is>
      </c>
      <c r="AE164" s="256" t="inlineStr">
        <is>
          <t>Conforms | Одговара</t>
        </is>
      </c>
      <c r="AF164" s="256" t="inlineStr">
        <is>
          <t>iCoA-PP_26-162</t>
        </is>
      </c>
      <c r="AG164" s="256" t="inlineStr">
        <is>
          <t>24.08.2026</t>
        </is>
      </c>
      <c r="AH164" s="256" t="inlineStr">
        <is>
          <t>Purely Plant GmbH (in-house)</t>
        </is>
      </c>
      <c r="AI164" s="256" t="inlineStr">
        <is>
          <t>Conforms | Одговара</t>
        </is>
      </c>
      <c r="AJ164" s="256" t="inlineStr">
        <is>
          <t>iCoA-PP_26-162</t>
        </is>
      </c>
      <c r="AK164" s="256" t="inlineStr">
        <is>
          <t>24.08.2026</t>
        </is>
      </c>
      <c r="AL164" s="256" t="inlineStr">
        <is>
          <t>Purely Plant GmbH (in-house)</t>
        </is>
      </c>
      <c r="AM164" s="256" t="inlineStr">
        <is>
          <t>Conforms | Одговара</t>
        </is>
      </c>
      <c r="AN164" s="256" t="inlineStr">
        <is>
          <t>227-5-К/26</t>
        </is>
      </c>
      <c r="AO164" s="256" t="inlineStr">
        <is>
          <t>11.09.2026</t>
        </is>
      </c>
      <c r="AP164" s="256" t="inlineStr">
        <is>
          <t>Farmahem</t>
        </is>
      </c>
      <c r="AQ164" s="256" t="inlineStr">
        <is>
          <t>11.27</t>
        </is>
      </c>
      <c r="AR164" s="256" t="inlineStr">
        <is>
          <t>227-5-К/26</t>
        </is>
      </c>
      <c r="AS164" s="256" t="inlineStr">
        <is>
          <t>11.09.2026</t>
        </is>
      </c>
      <c r="AT164" s="256" t="inlineStr">
        <is>
          <t>Farmahem</t>
        </is>
      </c>
      <c r="AU164" s="256" t="inlineStr">
        <is>
          <t>&lt; LOQ</t>
        </is>
      </c>
      <c r="AV164" s="256" t="inlineStr">
        <is>
          <t>227-5-К/26</t>
        </is>
      </c>
      <c r="AW164" s="256" t="inlineStr">
        <is>
          <t>11.09.2026</t>
        </is>
      </c>
      <c r="AX164" s="256" t="inlineStr">
        <is>
          <t>Farmahem</t>
        </is>
      </c>
      <c r="AY164" s="256" t="inlineStr">
        <is>
          <t>&lt; LOQ</t>
        </is>
      </c>
      <c r="AZ164" s="256" t="inlineStr">
        <is>
          <t>227-5-К/26</t>
        </is>
      </c>
      <c r="BA164" s="256" t="inlineStr">
        <is>
          <t>11.09.2026</t>
        </is>
      </c>
      <c r="BB164" s="256" t="inlineStr">
        <is>
          <t>Farmahem</t>
        </is>
      </c>
      <c r="BC164" s="256" t="inlineStr">
        <is>
          <t>Conforms | Одговара</t>
        </is>
      </c>
      <c r="BD164" s="256" t="inlineStr">
        <is>
          <t>iCoA-PP_26-162</t>
        </is>
      </c>
      <c r="BE164" s="256" t="inlineStr">
        <is>
          <t>24.08.2026</t>
        </is>
      </c>
      <c r="BF164" s="256" t="inlineStr">
        <is>
          <t>Purely Plant GmbH (in-house)</t>
        </is>
      </c>
      <c r="BG164" s="256" t="inlineStr">
        <is>
          <t>6.7</t>
        </is>
      </c>
      <c r="BH164" s="256" t="inlineStr">
        <is>
          <t>051-2-ГС/26</t>
        </is>
      </c>
      <c r="BI164" s="256" t="inlineStr">
        <is>
          <t>02.03.2026</t>
        </is>
      </c>
      <c r="BJ164" s="256" t="inlineStr">
        <is>
          <t>Farmahem</t>
        </is>
      </c>
      <c r="BK164" s="256" t="inlineStr">
        <is>
          <t>carried from the initial testing — not tested</t>
        </is>
      </c>
      <c r="BL164" s="256" t="inlineStr">
        <is>
          <t>—</t>
        </is>
      </c>
      <c r="BM164" s="256" t="inlineStr">
        <is>
          <t>—</t>
        </is>
      </c>
      <c r="BN164" s="256" t="inlineStr">
        <is>
          <t>—</t>
        </is>
      </c>
      <c r="BO164" s="256" t="inlineStr">
        <is>
          <t>carried from the initial testing — not tested</t>
        </is>
      </c>
      <c r="BP164" s="256" t="inlineStr">
        <is>
          <t>—</t>
        </is>
      </c>
      <c r="BQ164" s="256" t="inlineStr">
        <is>
          <t>—</t>
        </is>
      </c>
      <c r="BR164" s="256" t="inlineStr">
        <is>
          <t>—</t>
        </is>
      </c>
      <c r="BS164" s="256" t="inlineStr">
        <is>
          <t>carried from the initial testing — not tested</t>
        </is>
      </c>
      <c r="BT164" s="256" t="inlineStr">
        <is>
          <t>—</t>
        </is>
      </c>
      <c r="BU164" s="256" t="inlineStr">
        <is>
          <t>—</t>
        </is>
      </c>
      <c r="BV164" s="256" t="inlineStr">
        <is>
          <t>—</t>
        </is>
      </c>
      <c r="BW164" s="256" t="inlineStr">
        <is>
          <t>carried from the initial testing — not tested</t>
        </is>
      </c>
      <c r="BX164" s="256" t="inlineStr">
        <is>
          <t>—</t>
        </is>
      </c>
      <c r="BY164" s="256" t="inlineStr">
        <is>
          <t>—</t>
        </is>
      </c>
      <c r="BZ164" s="256" t="inlineStr">
        <is>
          <t>—</t>
        </is>
      </c>
      <c r="CA164" s="256" t="inlineStr">
        <is>
          <t>carried from the initial testing — not tested</t>
        </is>
      </c>
      <c r="CB164" s="256" t="inlineStr">
        <is>
          <t>—</t>
        </is>
      </c>
      <c r="CC164" s="256" t="inlineStr">
        <is>
          <t>—</t>
        </is>
      </c>
      <c r="CD164" s="256" t="inlineStr">
        <is>
          <t>—</t>
        </is>
      </c>
      <c r="CE164" s="260" t="inlineStr">
        <is>
          <t>upon request — not required for release</t>
        </is>
      </c>
      <c r="CF164" s="256" t="inlineStr">
        <is>
          <t>—</t>
        </is>
      </c>
      <c r="CG164" s="256" t="inlineStr">
        <is>
          <t>—</t>
        </is>
      </c>
      <c r="CH164" s="256" t="inlineStr">
        <is>
          <t>—</t>
        </is>
      </c>
      <c r="CI164" s="260" t="inlineStr">
        <is>
          <t>upon request — not required for release</t>
        </is>
      </c>
      <c r="CJ164" s="256" t="inlineStr">
        <is>
          <t>—</t>
        </is>
      </c>
      <c r="CK164" s="256" t="inlineStr">
        <is>
          <t>—</t>
        </is>
      </c>
      <c r="CL164" s="256" t="inlineStr">
        <is>
          <t>—</t>
        </is>
      </c>
      <c r="CM164" s="256" t="inlineStr">
        <is>
          <t>ND</t>
        </is>
      </c>
      <c r="CN164" s="256" t="inlineStr">
        <is>
          <t>227-5-М/26</t>
        </is>
      </c>
      <c r="CO164" s="256" t="inlineStr">
        <is>
          <t>16.09.2026</t>
        </is>
      </c>
      <c r="CP164" s="256" t="inlineStr">
        <is>
          <t>Farmahem</t>
        </is>
      </c>
      <c r="CQ164" s="256" t="inlineStr">
        <is>
          <t>ND</t>
        </is>
      </c>
      <c r="CR164" s="256" t="inlineStr">
        <is>
          <t>227-5-М/26</t>
        </is>
      </c>
      <c r="CS164" s="256" t="inlineStr">
        <is>
          <t>16.09.2026</t>
        </is>
      </c>
      <c r="CT164" s="256" t="inlineStr">
        <is>
          <t>Farmahem</t>
        </is>
      </c>
      <c r="CU164" s="256" t="inlineStr">
        <is>
          <t>ND</t>
        </is>
      </c>
      <c r="CV164" s="256" t="inlineStr">
        <is>
          <t>227-5-М/26</t>
        </is>
      </c>
      <c r="CW164" s="256" t="inlineStr">
        <is>
          <t>16.09.2026</t>
        </is>
      </c>
      <c r="CX164" s="256" t="inlineStr">
        <is>
          <t>Farmahem</t>
        </is>
      </c>
      <c r="CY164" s="256" t="inlineStr">
        <is>
          <t>carried from the initial testing — not tested</t>
        </is>
      </c>
      <c r="CZ164" s="256" t="inlineStr">
        <is>
          <t>—</t>
        </is>
      </c>
      <c r="DA164" s="256" t="inlineStr">
        <is>
          <t>—</t>
        </is>
      </c>
      <c r="DB164" s="256" t="inlineStr">
        <is>
          <t>—</t>
        </is>
      </c>
      <c r="DC164" s="256" t="inlineStr">
        <is>
          <t>carried from the initial testing — not tested</t>
        </is>
      </c>
      <c r="DD164" s="256" t="inlineStr">
        <is>
          <t>—</t>
        </is>
      </c>
      <c r="DE164" s="256" t="inlineStr">
        <is>
          <t>—</t>
        </is>
      </c>
      <c r="DF164" s="256" t="inlineStr">
        <is>
          <t>—</t>
        </is>
      </c>
      <c r="DG164" s="256" t="inlineStr">
        <is>
          <t>carried from the initial testing — not tested</t>
        </is>
      </c>
      <c r="DH164" s="256" t="inlineStr">
        <is>
          <t>—</t>
        </is>
      </c>
      <c r="DI164" s="256" t="inlineStr">
        <is>
          <t>—</t>
        </is>
      </c>
      <c r="DJ164" s="256" t="inlineStr">
        <is>
          <t>—</t>
        </is>
      </c>
      <c r="DK164" s="256" t="inlineStr">
        <is>
          <t>carried from the initial testing — not tested</t>
        </is>
      </c>
      <c r="DL164" s="256" t="inlineStr">
        <is>
          <t>—</t>
        </is>
      </c>
      <c r="DM164" s="256" t="inlineStr">
        <is>
          <t>—</t>
        </is>
      </c>
      <c r="DN164" s="256" t="inlineStr">
        <is>
          <t>—</t>
        </is>
      </c>
      <c r="DO164" s="256" t="inlineStr">
        <is>
          <t>carried from the initial testing — not tested</t>
        </is>
      </c>
      <c r="DP164" s="256" t="inlineStr">
        <is>
          <t>—</t>
        </is>
      </c>
      <c r="DQ164" s="256" t="inlineStr">
        <is>
          <t>—</t>
        </is>
      </c>
      <c r="DR164" s="256" t="inlineStr">
        <is>
          <t>—</t>
        </is>
      </c>
    </row>
    <row r="165">
      <c r="A165" s="256" t="inlineStr">
        <is>
          <t>CoQ-PP_26-164</t>
        </is>
      </c>
      <c r="B165" s="256" t="inlineStr">
        <is>
          <t>reissue — retest</t>
        </is>
      </c>
      <c r="C165" s="256" t="inlineStr">
        <is>
          <t>allocated — code reserved, date provisional</t>
        </is>
      </c>
      <c r="D165" s="256" t="inlineStr">
        <is>
          <t>21.09.2026</t>
        </is>
      </c>
      <c r="E165" s="256" t="inlineStr">
        <is>
          <t>CoQ-PP_26-030 of 06.06.2026</t>
        </is>
      </c>
      <c r="F165" s="256" t="inlineStr">
        <is>
          <t>(assigned on issue)</t>
        </is>
      </c>
      <c r="G165" s="256" t="inlineStr">
        <is>
          <t>WC072501</t>
        </is>
      </c>
      <c r="H165" s="256" t="inlineStr">
        <is>
          <t>P050262</t>
        </is>
      </c>
      <c r="I165" s="256" t="inlineStr">
        <is>
          <t>Wedding Crusher</t>
        </is>
      </c>
      <c r="J165" s="256" t="inlineStr">
        <is>
          <t>27.10.2025 – 28.10.2025</t>
        </is>
      </c>
      <c r="K165" s="256" t="inlineStr">
        <is>
          <t>01.12.2025</t>
        </is>
      </c>
      <c r="L165" s="256" t="inlineStr">
        <is>
          <t>—</t>
        </is>
      </c>
      <c r="M165" s="256" t="inlineStr">
        <is>
          <t>—</t>
        </is>
      </c>
      <c r="N165" s="256" t="inlineStr">
        <is>
          <t>iCoA-PP_26-163</t>
        </is>
      </c>
      <c r="O165" s="256" t="inlineStr">
        <is>
          <t>24.08.2026</t>
        </is>
      </c>
      <c r="P165" s="256" t="inlineStr">
        <is>
          <t>19.08.2026</t>
        </is>
      </c>
      <c r="Q165" s="256" t="inlineStr">
        <is>
          <t>Tranche 3</t>
        </is>
      </c>
      <c r="R165" s="256" t="inlineStr">
        <is>
          <t>25.37</t>
        </is>
      </c>
      <c r="S165" s="256" t="inlineStr">
        <is>
          <t>227-3-К/26</t>
        </is>
      </c>
      <c r="T165" s="256" t="inlineStr">
        <is>
          <t>I</t>
        </is>
      </c>
      <c r="U165" s="256" t="inlineStr">
        <is>
          <t>23.40 – 28.59 %</t>
        </is>
      </c>
      <c r="V165" s="256" t="inlineStr">
        <is>
          <t>WC_THC26 : CBD1</t>
        </is>
      </c>
      <c r="W165" s="256" t="inlineStr">
        <is>
          <t>QCSP_001_WC-I_v.01</t>
        </is>
      </c>
      <c r="X165" s="256" t="inlineStr">
        <is>
          <t>for review — replaces the issued QCSP_001_WC-I_v.01 (was WC_THC22 : CBD1, 19.80 – 24.20 %); now WC_THC26 : CBD1 23.40 – 28.59 %</t>
        </is>
      </c>
      <c r="Y165" s="256" t="inlineStr">
        <is>
          <t>HYBRID</t>
        </is>
      </c>
      <c r="Z165" s="256" t="inlineStr">
        <is>
          <t>THC</t>
        </is>
      </c>
      <c r="AA165" s="256" t="inlineStr">
        <is>
          <t>MACHINE TRIMMED</t>
        </is>
      </c>
      <c r="AB165" s="256" t="inlineStr">
        <is>
          <t>TO BE DETERMINED</t>
        </is>
      </c>
      <c r="AC165" s="256" t="inlineStr">
        <is>
          <t>Triplex Alu Bag | Триплекс Aлу Kеса, PET 12 · ALU 7 · PE 80, 300 × 500 mm, net. 400.0 g ±3%</t>
        </is>
      </c>
      <c r="AD165" s="256" t="inlineStr">
        <is>
          <t>16.09.2026</t>
        </is>
      </c>
      <c r="AE165" s="256" t="inlineStr">
        <is>
          <t>Conforms | Одговара</t>
        </is>
      </c>
      <c r="AF165" s="256" t="inlineStr">
        <is>
          <t>iCoA-PP_26-163</t>
        </is>
      </c>
      <c r="AG165" s="256" t="inlineStr">
        <is>
          <t>24.08.2026</t>
        </is>
      </c>
      <c r="AH165" s="256" t="inlineStr">
        <is>
          <t>Purely Plant GmbH (in-house)</t>
        </is>
      </c>
      <c r="AI165" s="256" t="inlineStr">
        <is>
          <t>Conforms | Одговара</t>
        </is>
      </c>
      <c r="AJ165" s="256" t="inlineStr">
        <is>
          <t>iCoA-PP_26-163</t>
        </is>
      </c>
      <c r="AK165" s="256" t="inlineStr">
        <is>
          <t>24.08.2026</t>
        </is>
      </c>
      <c r="AL165" s="256" t="inlineStr">
        <is>
          <t>Purely Plant GmbH (in-house)</t>
        </is>
      </c>
      <c r="AM165" s="256" t="inlineStr">
        <is>
          <t>Conforms | Одговара</t>
        </is>
      </c>
      <c r="AN165" s="256" t="inlineStr">
        <is>
          <t>227-3-К/26</t>
        </is>
      </c>
      <c r="AO165" s="256" t="inlineStr">
        <is>
          <t>11.09.2026</t>
        </is>
      </c>
      <c r="AP165" s="256" t="inlineStr">
        <is>
          <t>Farmahem</t>
        </is>
      </c>
      <c r="AQ165" s="256" t="inlineStr">
        <is>
          <t>25.37</t>
        </is>
      </c>
      <c r="AR165" s="256" t="inlineStr">
        <is>
          <t>227-3-К/26</t>
        </is>
      </c>
      <c r="AS165" s="256" t="inlineStr">
        <is>
          <t>11.09.2026</t>
        </is>
      </c>
      <c r="AT165" s="256" t="inlineStr">
        <is>
          <t>Farmahem</t>
        </is>
      </c>
      <c r="AU165" s="256" t="inlineStr">
        <is>
          <t>&lt; LOQ</t>
        </is>
      </c>
      <c r="AV165" s="256" t="inlineStr">
        <is>
          <t>227-3-К/26</t>
        </is>
      </c>
      <c r="AW165" s="256" t="inlineStr">
        <is>
          <t>11.09.2026</t>
        </is>
      </c>
      <c r="AX165" s="256" t="inlineStr">
        <is>
          <t>Farmahem</t>
        </is>
      </c>
      <c r="AY165" s="256" t="inlineStr">
        <is>
          <t>&lt; LOQ</t>
        </is>
      </c>
      <c r="AZ165" s="256" t="inlineStr">
        <is>
          <t>227-3-К/26</t>
        </is>
      </c>
      <c r="BA165" s="256" t="inlineStr">
        <is>
          <t>11.09.2026</t>
        </is>
      </c>
      <c r="BB165" s="256" t="inlineStr">
        <is>
          <t>Farmahem</t>
        </is>
      </c>
      <c r="BC165" s="256" t="inlineStr">
        <is>
          <t>Conforms | Одговара</t>
        </is>
      </c>
      <c r="BD165" s="256" t="inlineStr">
        <is>
          <t>iCoA-PP_26-163</t>
        </is>
      </c>
      <c r="BE165" s="256" t="inlineStr">
        <is>
          <t>24.08.2026</t>
        </is>
      </c>
      <c r="BF165" s="256" t="inlineStr">
        <is>
          <t>Purely Plant GmbH (in-house)</t>
        </is>
      </c>
      <c r="BG165" s="256" t="inlineStr">
        <is>
          <t>8.94</t>
        </is>
      </c>
      <c r="BH165" s="256" t="inlineStr">
        <is>
          <t>ППК25369</t>
        </is>
      </c>
      <c r="BI165" s="256" t="inlineStr">
        <is>
          <t>28.11.2025</t>
        </is>
      </c>
      <c r="BJ165" s="256" t="inlineStr">
        <is>
          <t>UKIM Faculty of Pharmacy — Center for Natural Products</t>
        </is>
      </c>
      <c r="BK165" s="256" t="inlineStr">
        <is>
          <t>&lt; 10</t>
        </is>
      </c>
      <c r="BL165" s="256" t="inlineStr">
        <is>
          <t>555/1086/26</t>
        </is>
      </c>
      <c r="BM165" s="256" t="inlineStr">
        <is>
          <t>01.09.2026</t>
        </is>
      </c>
      <c r="BN165" s="256" t="inlineStr">
        <is>
          <t>IPH — Institute of Public Health</t>
        </is>
      </c>
      <c r="BO165" s="256" t="inlineStr">
        <is>
          <t>&lt; 10</t>
        </is>
      </c>
      <c r="BP165" s="256" t="inlineStr">
        <is>
          <t>555/1086/26</t>
        </is>
      </c>
      <c r="BQ165" s="256" t="inlineStr">
        <is>
          <t>01.09.2026</t>
        </is>
      </c>
      <c r="BR165" s="256" t="inlineStr">
        <is>
          <t>IPH — Institute of Public Health</t>
        </is>
      </c>
      <c r="BS165" s="256" t="inlineStr">
        <is>
          <t>&lt; 10</t>
        </is>
      </c>
      <c r="BT165" s="256" t="inlineStr">
        <is>
          <t>555/1086/26</t>
        </is>
      </c>
      <c r="BU165" s="256" t="inlineStr">
        <is>
          <t>01.09.2026</t>
        </is>
      </c>
      <c r="BV165" s="256" t="inlineStr">
        <is>
          <t>IPH — Institute of Public Health</t>
        </is>
      </c>
      <c r="BW165" s="256" t="inlineStr">
        <is>
          <t>Absent | Отсутна</t>
        </is>
      </c>
      <c r="BX165" s="256" t="inlineStr">
        <is>
          <t>555/1086/26</t>
        </is>
      </c>
      <c r="BY165" s="256" t="inlineStr">
        <is>
          <t>01.09.2026</t>
        </is>
      </c>
      <c r="BZ165" s="256" t="inlineStr">
        <is>
          <t>IPH — Institute of Public Health</t>
        </is>
      </c>
      <c r="CA165" s="256" t="inlineStr">
        <is>
          <t>Absent | Отсутна</t>
        </is>
      </c>
      <c r="CB165" s="256" t="inlineStr">
        <is>
          <t>555/1086/26</t>
        </is>
      </c>
      <c r="CC165" s="256" t="inlineStr">
        <is>
          <t>01.09.2026</t>
        </is>
      </c>
      <c r="CD165" s="256" t="inlineStr">
        <is>
          <t>IPH — Institute of Public Health</t>
        </is>
      </c>
      <c r="CE165" s="260" t="inlineStr">
        <is>
          <t>upon request — not required for release</t>
        </is>
      </c>
      <c r="CF165" s="256" t="inlineStr">
        <is>
          <t>—</t>
        </is>
      </c>
      <c r="CG165" s="256" t="inlineStr">
        <is>
          <t>—</t>
        </is>
      </c>
      <c r="CH165" s="256" t="inlineStr">
        <is>
          <t>—</t>
        </is>
      </c>
      <c r="CI165" s="260" t="inlineStr">
        <is>
          <t>upon request — not required for release</t>
        </is>
      </c>
      <c r="CJ165" s="256" t="inlineStr">
        <is>
          <t>—</t>
        </is>
      </c>
      <c r="CK165" s="256" t="inlineStr">
        <is>
          <t>—</t>
        </is>
      </c>
      <c r="CL165" s="256" t="inlineStr">
        <is>
          <t>—</t>
        </is>
      </c>
      <c r="CM165" s="256" t="inlineStr">
        <is>
          <t>ND</t>
        </is>
      </c>
      <c r="CN165" s="256" t="inlineStr">
        <is>
          <t>227-3-М/26</t>
        </is>
      </c>
      <c r="CO165" s="256" t="inlineStr">
        <is>
          <t>16.09.2026</t>
        </is>
      </c>
      <c r="CP165" s="256" t="inlineStr">
        <is>
          <t>Farmahem</t>
        </is>
      </c>
      <c r="CQ165" s="256" t="inlineStr">
        <is>
          <t>ND</t>
        </is>
      </c>
      <c r="CR165" s="256" t="inlineStr">
        <is>
          <t>227-3-М/26</t>
        </is>
      </c>
      <c r="CS165" s="256" t="inlineStr">
        <is>
          <t>16.09.2026</t>
        </is>
      </c>
      <c r="CT165" s="256" t="inlineStr">
        <is>
          <t>Farmahem</t>
        </is>
      </c>
      <c r="CU165" s="256" t="inlineStr">
        <is>
          <t>ND</t>
        </is>
      </c>
      <c r="CV165" s="256" t="inlineStr">
        <is>
          <t>227-3-М/26</t>
        </is>
      </c>
      <c r="CW165" s="256" t="inlineStr">
        <is>
          <t>16.09.2026</t>
        </is>
      </c>
      <c r="CX165" s="256" t="inlineStr">
        <is>
          <t>Farmahem</t>
        </is>
      </c>
      <c r="CY165" s="256" t="inlineStr">
        <is>
          <t>0.023</t>
        </is>
      </c>
      <c r="CZ165" s="256" t="inlineStr">
        <is>
          <t>5699/2025</t>
        </is>
      </c>
      <c r="DA165" s="256" t="inlineStr">
        <is>
          <t>02.12.2025</t>
        </is>
      </c>
      <c r="DB165" s="256" t="inlineStr">
        <is>
          <t>IPH — Institute of Public Health</t>
        </is>
      </c>
      <c r="DC165" s="256" t="inlineStr">
        <is>
          <t>0.005</t>
        </is>
      </c>
      <c r="DD165" s="256" t="inlineStr">
        <is>
          <t>5699/2025</t>
        </is>
      </c>
      <c r="DE165" s="256" t="inlineStr">
        <is>
          <t>02.12.2025</t>
        </is>
      </c>
      <c r="DF165" s="256" t="inlineStr">
        <is>
          <t>IPH — Institute of Public Health</t>
        </is>
      </c>
      <c r="DG165" s="256" t="inlineStr">
        <is>
          <t>0.006</t>
        </is>
      </c>
      <c r="DH165" s="256" t="inlineStr">
        <is>
          <t>5699/2025</t>
        </is>
      </c>
      <c r="DI165" s="256" t="inlineStr">
        <is>
          <t>02.12.2025</t>
        </is>
      </c>
      <c r="DJ165" s="256" t="inlineStr">
        <is>
          <t>IPH — Institute of Public Health</t>
        </is>
      </c>
      <c r="DK165" s="256" t="inlineStr">
        <is>
          <t>0.01</t>
        </is>
      </c>
      <c r="DL165" s="256" t="inlineStr">
        <is>
          <t>5699/2025</t>
        </is>
      </c>
      <c r="DM165" s="256" t="inlineStr">
        <is>
          <t>02.12.2025</t>
        </is>
      </c>
      <c r="DN165" s="256" t="inlineStr">
        <is>
          <t>IPH — Institute of Public Health</t>
        </is>
      </c>
      <c r="DO165" s="256" t="inlineStr">
        <is>
          <t>ND</t>
        </is>
      </c>
      <c r="DP165" s="256" t="inlineStr">
        <is>
          <t>5699/2025</t>
        </is>
      </c>
      <c r="DQ165" s="256" t="inlineStr">
        <is>
          <t>02.12.2025</t>
        </is>
      </c>
      <c r="DR165" s="256" t="inlineStr">
        <is>
          <t>IPH — Institute of Public Health</t>
        </is>
      </c>
    </row>
    <row r="166">
      <c r="A166" s="256" t="inlineStr">
        <is>
          <t>CoQ-PP_26-165</t>
        </is>
      </c>
      <c r="B166" s="256" t="inlineStr">
        <is>
          <t>reissue — retest</t>
        </is>
      </c>
      <c r="C166" s="256" t="inlineStr">
        <is>
          <t>allocated — code reserved, date provisional</t>
        </is>
      </c>
      <c r="D166" s="256" t="inlineStr">
        <is>
          <t>21.09.2026</t>
        </is>
      </c>
      <c r="E166" s="256" t="inlineStr">
        <is>
          <t>CoQ-PP_26-046 of 06.06.2026</t>
        </is>
      </c>
      <c r="F166" s="256" t="inlineStr">
        <is>
          <t>(assigned on issue)</t>
        </is>
      </c>
      <c r="G166" s="256" t="inlineStr">
        <is>
          <t>WED102501</t>
        </is>
      </c>
      <c r="H166" s="256" t="inlineStr">
        <is>
          <t>P060102</t>
        </is>
      </c>
      <c r="I166" s="256" t="inlineStr">
        <is>
          <t>Wedding Cake</t>
        </is>
      </c>
      <c r="J166" s="256" t="inlineStr">
        <is>
          <t>08.01.2026</t>
        </is>
      </c>
      <c r="K166" s="256" t="inlineStr">
        <is>
          <t>16.02.2026</t>
        </is>
      </c>
      <c r="L166" s="256" t="inlineStr">
        <is>
          <t>—</t>
        </is>
      </c>
      <c r="M166" s="256" t="inlineStr">
        <is>
          <t>16.02.2026</t>
        </is>
      </c>
      <c r="N166" s="256" t="inlineStr">
        <is>
          <t>iCoA-PP_26-164</t>
        </is>
      </c>
      <c r="O166" s="256" t="inlineStr">
        <is>
          <t>24.08.2026</t>
        </is>
      </c>
      <c r="P166" s="256" t="inlineStr">
        <is>
          <t>19.08.2026</t>
        </is>
      </c>
      <c r="Q166" s="256" t="inlineStr">
        <is>
          <t>Tranche 3</t>
        </is>
      </c>
      <c r="R166" s="256" t="inlineStr">
        <is>
          <t>25.15</t>
        </is>
      </c>
      <c r="S166" s="256" t="inlineStr">
        <is>
          <t>227-4-К/26</t>
        </is>
      </c>
      <c r="T166" s="256" t="inlineStr">
        <is>
          <t>I</t>
        </is>
      </c>
      <c r="U166" s="256" t="inlineStr">
        <is>
          <t>23.40 – 28.59 %</t>
        </is>
      </c>
      <c r="V166" s="256" t="inlineStr">
        <is>
          <t>WED_THC26 : CBD1</t>
        </is>
      </c>
      <c r="W166" s="256" t="inlineStr">
        <is>
          <t>QCSP_001_WED-I_v.01</t>
        </is>
      </c>
      <c r="X166" s="256" t="inlineStr">
        <is>
          <t>for review — replaces the issued QCSP_001_WED-I_v.01 (was WED_THC28.5:CBD1, 28.50% ± 1.50%); now WED_THC26 : CBD1 23.40 – 28.59 %</t>
        </is>
      </c>
      <c r="Y166" s="256" t="inlineStr">
        <is>
          <t>HYBRID</t>
        </is>
      </c>
      <c r="Z166" s="256" t="inlineStr">
        <is>
          <t>THC</t>
        </is>
      </c>
      <c r="AA166" s="256" t="inlineStr">
        <is>
          <t>MACHINE TRIMMED</t>
        </is>
      </c>
      <c r="AB166" s="256" t="inlineStr">
        <is>
          <t>TO BE DETERMINED</t>
        </is>
      </c>
      <c r="AC166" s="256" t="inlineStr">
        <is>
          <t>Triplex Alu Bag | Триплекс Aлу Kеса, PET 12 · ALU 7 · PE 80, 300 × 500 mm, net. 400.0 g ±3%</t>
        </is>
      </c>
      <c r="AD166" s="256" t="inlineStr">
        <is>
          <t>11.09.2026</t>
        </is>
      </c>
      <c r="AE166" s="256" t="inlineStr">
        <is>
          <t>Conforms | Одговара</t>
        </is>
      </c>
      <c r="AF166" s="256" t="inlineStr">
        <is>
          <t>iCoA-PP_26-164</t>
        </is>
      </c>
      <c r="AG166" s="256" t="inlineStr">
        <is>
          <t>24.08.2026</t>
        </is>
      </c>
      <c r="AH166" s="256" t="inlineStr">
        <is>
          <t>Purely Plant GmbH (in-house)</t>
        </is>
      </c>
      <c r="AI166" s="256" t="inlineStr">
        <is>
          <t>Conforms | Одговара</t>
        </is>
      </c>
      <c r="AJ166" s="256" t="inlineStr">
        <is>
          <t>iCoA-PP_26-164</t>
        </is>
      </c>
      <c r="AK166" s="256" t="inlineStr">
        <is>
          <t>24.08.2026</t>
        </is>
      </c>
      <c r="AL166" s="256" t="inlineStr">
        <is>
          <t>Purely Plant GmbH (in-house)</t>
        </is>
      </c>
      <c r="AM166" s="256" t="inlineStr">
        <is>
          <t>Conforms | Одговара</t>
        </is>
      </c>
      <c r="AN166" s="256" t="inlineStr">
        <is>
          <t>227-4-К/26</t>
        </is>
      </c>
      <c r="AO166" s="256" t="inlineStr">
        <is>
          <t>11.09.2026</t>
        </is>
      </c>
      <c r="AP166" s="256" t="inlineStr">
        <is>
          <t>Farmahem</t>
        </is>
      </c>
      <c r="AQ166" s="256" t="inlineStr">
        <is>
          <t>25.15</t>
        </is>
      </c>
      <c r="AR166" s="256" t="inlineStr">
        <is>
          <t>227-4-К/26</t>
        </is>
      </c>
      <c r="AS166" s="256" t="inlineStr">
        <is>
          <t>11.09.2026</t>
        </is>
      </c>
      <c r="AT166" s="256" t="inlineStr">
        <is>
          <t>Farmahem</t>
        </is>
      </c>
      <c r="AU166" s="256" t="inlineStr">
        <is>
          <t>&lt; LOQ</t>
        </is>
      </c>
      <c r="AV166" s="256" t="inlineStr">
        <is>
          <t>227-4-К/26</t>
        </is>
      </c>
      <c r="AW166" s="256" t="inlineStr">
        <is>
          <t>11.09.2026</t>
        </is>
      </c>
      <c r="AX166" s="256" t="inlineStr">
        <is>
          <t>Farmahem</t>
        </is>
      </c>
      <c r="AY166" s="256" t="inlineStr">
        <is>
          <t>&lt; LOQ</t>
        </is>
      </c>
      <c r="AZ166" s="256" t="inlineStr">
        <is>
          <t>227-4-К/26</t>
        </is>
      </c>
      <c r="BA166" s="256" t="inlineStr">
        <is>
          <t>11.09.2026</t>
        </is>
      </c>
      <c r="BB166" s="256" t="inlineStr">
        <is>
          <t>Farmahem</t>
        </is>
      </c>
      <c r="BC166" s="256" t="inlineStr">
        <is>
          <t>Conforms | Одговара</t>
        </is>
      </c>
      <c r="BD166" s="256" t="inlineStr">
        <is>
          <t>iCoA-PP_26-164</t>
        </is>
      </c>
      <c r="BE166" s="256" t="inlineStr">
        <is>
          <t>24.08.2026</t>
        </is>
      </c>
      <c r="BF166" s="256" t="inlineStr">
        <is>
          <t>Purely Plant GmbH (in-house)</t>
        </is>
      </c>
      <c r="BG166" s="256" t="inlineStr">
        <is>
          <t>6,8 %</t>
        </is>
      </c>
      <c r="BH166" s="256" t="inlineStr">
        <is>
          <t>031-3-ГС/26</t>
        </is>
      </c>
      <c r="BI166" s="256" t="inlineStr">
        <is>
          <t>12.02.2026</t>
        </is>
      </c>
      <c r="BJ166" s="256" t="inlineStr">
        <is>
          <t>Farmahem</t>
        </is>
      </c>
      <c r="BK166" s="256" t="inlineStr">
        <is>
          <t>&lt; 10</t>
        </is>
      </c>
      <c r="BL166" s="256" t="inlineStr">
        <is>
          <t>551/1082/26</t>
        </is>
      </c>
      <c r="BM166" s="256" t="inlineStr">
        <is>
          <t>01.09.2026</t>
        </is>
      </c>
      <c r="BN166" s="256" t="inlineStr">
        <is>
          <t>IPH — Institute of Public Health</t>
        </is>
      </c>
      <c r="BO166" s="256" t="inlineStr">
        <is>
          <t>&lt; 10</t>
        </is>
      </c>
      <c r="BP166" s="256" t="inlineStr">
        <is>
          <t>551/1082/26</t>
        </is>
      </c>
      <c r="BQ166" s="256" t="inlineStr">
        <is>
          <t>01.09.2026</t>
        </is>
      </c>
      <c r="BR166" s="256" t="inlineStr">
        <is>
          <t>IPH — Institute of Public Health</t>
        </is>
      </c>
      <c r="BS166" s="256" t="inlineStr">
        <is>
          <t>&lt; 10</t>
        </is>
      </c>
      <c r="BT166" s="256" t="inlineStr">
        <is>
          <t>551/1082/26</t>
        </is>
      </c>
      <c r="BU166" s="256" t="inlineStr">
        <is>
          <t>01.09.2026</t>
        </is>
      </c>
      <c r="BV166" s="256" t="inlineStr">
        <is>
          <t>IPH — Institute of Public Health</t>
        </is>
      </c>
      <c r="BW166" s="256" t="inlineStr">
        <is>
          <t>Absent | Отсутна</t>
        </is>
      </c>
      <c r="BX166" s="256" t="inlineStr">
        <is>
          <t>551/1082/26</t>
        </is>
      </c>
      <c r="BY166" s="256" t="inlineStr">
        <is>
          <t>01.09.2026</t>
        </is>
      </c>
      <c r="BZ166" s="256" t="inlineStr">
        <is>
          <t>IPH — Institute of Public Health</t>
        </is>
      </c>
      <c r="CA166" s="256" t="inlineStr">
        <is>
          <t>Absent | Отсутна</t>
        </is>
      </c>
      <c r="CB166" s="256" t="inlineStr">
        <is>
          <t>551/1082/26</t>
        </is>
      </c>
      <c r="CC166" s="256" t="inlineStr">
        <is>
          <t>01.09.2026</t>
        </is>
      </c>
      <c r="CD166" s="256" t="inlineStr">
        <is>
          <t>IPH — Institute of Public Health</t>
        </is>
      </c>
      <c r="CE166" s="260" t="inlineStr">
        <is>
          <t>upon request — not required for release</t>
        </is>
      </c>
      <c r="CF166" s="256" t="inlineStr">
        <is>
          <t>—</t>
        </is>
      </c>
      <c r="CG166" s="256" t="inlineStr">
        <is>
          <t>—</t>
        </is>
      </c>
      <c r="CH166" s="256" t="inlineStr">
        <is>
          <t>—</t>
        </is>
      </c>
      <c r="CI166" s="260" t="inlineStr">
        <is>
          <t>upon request — not required for release</t>
        </is>
      </c>
      <c r="CJ166" s="256" t="inlineStr">
        <is>
          <t>—</t>
        </is>
      </c>
      <c r="CK166" s="256" t="inlineStr">
        <is>
          <t>—</t>
        </is>
      </c>
      <c r="CL166" s="256" t="inlineStr">
        <is>
          <t>—</t>
        </is>
      </c>
      <c r="CM166" s="256" t="inlineStr">
        <is>
          <t>ND</t>
        </is>
      </c>
      <c r="CN166" s="256" t="inlineStr">
        <is>
          <t>227-4-М/26</t>
        </is>
      </c>
      <c r="CO166" s="256" t="inlineStr">
        <is>
          <t>16.09.2026</t>
        </is>
      </c>
      <c r="CP166" s="256" t="inlineStr">
        <is>
          <t>Farmahem</t>
        </is>
      </c>
      <c r="CQ166" s="256" t="inlineStr">
        <is>
          <t>ND</t>
        </is>
      </c>
      <c r="CR166" s="256" t="inlineStr">
        <is>
          <t>227-4-М/26</t>
        </is>
      </c>
      <c r="CS166" s="256" t="inlineStr">
        <is>
          <t>16.09.2026</t>
        </is>
      </c>
      <c r="CT166" s="256" t="inlineStr">
        <is>
          <t>Farmahem</t>
        </is>
      </c>
      <c r="CU166" s="256" t="inlineStr">
        <is>
          <t>ND</t>
        </is>
      </c>
      <c r="CV166" s="256" t="inlineStr">
        <is>
          <t>227-4-М/26</t>
        </is>
      </c>
      <c r="CW166" s="256" t="inlineStr">
        <is>
          <t>16.09.2026</t>
        </is>
      </c>
      <c r="CX166" s="256" t="inlineStr">
        <is>
          <t>Farmahem</t>
        </is>
      </c>
      <c r="CY166" s="256" t="inlineStr">
        <is>
          <t>carried from the initial testing — not tested</t>
        </is>
      </c>
      <c r="CZ166" s="256" t="inlineStr">
        <is>
          <t>—</t>
        </is>
      </c>
      <c r="DA166" s="256" t="inlineStr">
        <is>
          <t>—</t>
        </is>
      </c>
      <c r="DB166" s="256" t="inlineStr">
        <is>
          <t>—</t>
        </is>
      </c>
      <c r="DC166" s="256" t="inlineStr">
        <is>
          <t>carried from the initial testing — not tested</t>
        </is>
      </c>
      <c r="DD166" s="256" t="inlineStr">
        <is>
          <t>—</t>
        </is>
      </c>
      <c r="DE166" s="256" t="inlineStr">
        <is>
          <t>—</t>
        </is>
      </c>
      <c r="DF166" s="256" t="inlineStr">
        <is>
          <t>—</t>
        </is>
      </c>
      <c r="DG166" s="256" t="inlineStr">
        <is>
          <t>carried from the initial testing — not tested</t>
        </is>
      </c>
      <c r="DH166" s="256" t="inlineStr">
        <is>
          <t>—</t>
        </is>
      </c>
      <c r="DI166" s="256" t="inlineStr">
        <is>
          <t>—</t>
        </is>
      </c>
      <c r="DJ166" s="256" t="inlineStr">
        <is>
          <t>—</t>
        </is>
      </c>
      <c r="DK166" s="256" t="inlineStr">
        <is>
          <t>carried from the initial testing — not tested</t>
        </is>
      </c>
      <c r="DL166" s="256" t="inlineStr">
        <is>
          <t>—</t>
        </is>
      </c>
      <c r="DM166" s="256" t="inlineStr">
        <is>
          <t>—</t>
        </is>
      </c>
      <c r="DN166" s="256" t="inlineStr">
        <is>
          <t>—</t>
        </is>
      </c>
      <c r="DO166" s="256" t="inlineStr">
        <is>
          <t>carried from the initial testing — not tested</t>
        </is>
      </c>
      <c r="DP166" s="256" t="inlineStr">
        <is>
          <t>—</t>
        </is>
      </c>
      <c r="DQ166" s="256" t="inlineStr">
        <is>
          <t>—</t>
        </is>
      </c>
      <c r="DR166" s="256" t="inlineStr">
        <is>
          <t>—</t>
        </is>
      </c>
    </row>
    <row r="167">
      <c r="A167" s="256" t="inlineStr">
        <is>
          <t>CoQ-PP_26-166</t>
        </is>
      </c>
      <c r="B167" s="256" t="inlineStr">
        <is>
          <t>release</t>
        </is>
      </c>
      <c r="C167" s="256" t="inlineStr">
        <is>
          <t>not yet issuable</t>
        </is>
      </c>
      <c r="D167" s="256" t="inlineStr">
        <is>
          <t>≥ 11.05.2026 (floor — not yet dated)</t>
        </is>
      </c>
      <c r="E167" s="256" t="inlineStr">
        <is>
          <t>n/a — release certificate</t>
        </is>
      </c>
      <c r="F167" s="256" t="inlineStr">
        <is>
          <t>(assigned on issue)</t>
        </is>
      </c>
      <c r="G167" s="256" t="inlineStr">
        <is>
          <t>CC042601</t>
        </is>
      </c>
      <c r="H167" s="256" t="inlineStr">
        <is>
          <t>— no P lot assigned —</t>
        </is>
      </c>
      <c r="I167" s="256" t="inlineStr">
        <is>
          <t>Cash Cow</t>
        </is>
      </c>
      <c r="J167" s="256" t="inlineStr">
        <is>
          <t>—</t>
        </is>
      </c>
      <c r="K167" s="256" t="inlineStr">
        <is>
          <t>—</t>
        </is>
      </c>
      <c r="L167" s="256" t="inlineStr">
        <is>
          <t>—</t>
        </is>
      </c>
      <c r="M167" s="256" t="inlineStr">
        <is>
          <t>—</t>
        </is>
      </c>
      <c r="N167" s="256" t="inlineStr">
        <is>
          <t>iCoA-PP_26-090</t>
        </is>
      </c>
      <c r="O167" s="256" t="inlineStr">
        <is>
          <t>03.06.2026</t>
        </is>
      </c>
      <c r="P167" s="256" t="inlineStr">
        <is>
          <t>—</t>
        </is>
      </c>
      <c r="Q167" s="256" t="inlineStr">
        <is>
          <t>—</t>
        </is>
      </c>
      <c r="R167" s="256" t="inlineStr">
        <is>
          <t>—</t>
        </is>
      </c>
      <c r="S167" s="256" t="inlineStr">
        <is>
          <t>—</t>
        </is>
      </c>
      <c r="T167" s="256" t="inlineStr">
        <is>
          <t>—</t>
        </is>
      </c>
      <c r="U167" s="256" t="inlineStr">
        <is>
          <t>Per grade of the potency specification of 15.09.2026 — no Total THC result on file</t>
        </is>
      </c>
      <c r="V167" s="256" t="inlineStr">
        <is>
          <t>—</t>
        </is>
      </c>
      <c r="W167" s="256" t="inlineStr">
        <is>
          <t>—</t>
        </is>
      </c>
      <c r="X167" s="256" t="inlineStr">
        <is>
          <t>—</t>
        </is>
      </c>
      <c r="Y167" s="256" t="inlineStr">
        <is>
          <t>—</t>
        </is>
      </c>
      <c r="Z167" s="256" t="inlineStr">
        <is>
          <t>—</t>
        </is>
      </c>
      <c r="AA167" s="256" t="inlineStr">
        <is>
          <t>—</t>
        </is>
      </c>
      <c r="AB167" s="256" t="inlineStr">
        <is>
          <t>—</t>
        </is>
      </c>
      <c r="AC167" s="256" t="inlineStr">
        <is>
          <t>—</t>
        </is>
      </c>
      <c r="AD167" s="256" t="inlineStr">
        <is>
          <t>—</t>
        </is>
      </c>
      <c r="AE167" s="259" t="inlineStr">
        <is>
          <t>to be performed (in house)</t>
        </is>
      </c>
      <c r="AF167" s="256" t="inlineStr">
        <is>
          <t>iCoA-PP_26-090</t>
        </is>
      </c>
      <c r="AG167" s="256" t="inlineStr">
        <is>
          <t>03.06.2026</t>
        </is>
      </c>
      <c r="AH167" s="256" t="inlineStr">
        <is>
          <t>Purely Plant GmbH (in-house)</t>
        </is>
      </c>
      <c r="AI167" s="259" t="inlineStr">
        <is>
          <t>to be performed (in house)</t>
        </is>
      </c>
      <c r="AJ167" s="256" t="inlineStr">
        <is>
          <t>iCoA-PP_26-090</t>
        </is>
      </c>
      <c r="AK167" s="256" t="inlineStr">
        <is>
          <t>03.06.2026</t>
        </is>
      </c>
      <c r="AL167" s="256" t="inlineStr">
        <is>
          <t>Purely Plant GmbH (in-house)</t>
        </is>
      </c>
      <c r="AM167" s="259" t="inlineStr">
        <is>
          <t>to be performed (in house)</t>
        </is>
      </c>
      <c r="AN167" s="256" t="inlineStr">
        <is>
          <t>—</t>
        </is>
      </c>
      <c r="AO167" s="256" t="inlineStr">
        <is>
          <t>—</t>
        </is>
      </c>
      <c r="AP167" s="256" t="inlineStr">
        <is>
          <t>—</t>
        </is>
      </c>
      <c r="AQ167" s="259" t="inlineStr">
        <is>
          <t>not tested</t>
        </is>
      </c>
      <c r="AR167" s="256" t="inlineStr">
        <is>
          <t>—</t>
        </is>
      </c>
      <c r="AS167" s="256" t="inlineStr">
        <is>
          <t>—</t>
        </is>
      </c>
      <c r="AT167" s="256" t="inlineStr">
        <is>
          <t>—</t>
        </is>
      </c>
      <c r="AU167" s="259" t="inlineStr">
        <is>
          <t>not tested</t>
        </is>
      </c>
      <c r="AV167" s="256" t="inlineStr">
        <is>
          <t>—</t>
        </is>
      </c>
      <c r="AW167" s="256" t="inlineStr">
        <is>
          <t>—</t>
        </is>
      </c>
      <c r="AX167" s="256" t="inlineStr">
        <is>
          <t>—</t>
        </is>
      </c>
      <c r="AY167" s="259" t="inlineStr">
        <is>
          <t>not tested</t>
        </is>
      </c>
      <c r="AZ167" s="256" t="inlineStr">
        <is>
          <t>—</t>
        </is>
      </c>
      <c r="BA167" s="256" t="inlineStr">
        <is>
          <t>—</t>
        </is>
      </c>
      <c r="BB167" s="256" t="inlineStr">
        <is>
          <t>—</t>
        </is>
      </c>
      <c r="BC167" s="259" t="inlineStr">
        <is>
          <t>to be performed (in house)</t>
        </is>
      </c>
      <c r="BD167" s="256" t="inlineStr">
        <is>
          <t>iCoA-PP_26-090</t>
        </is>
      </c>
      <c r="BE167" s="256" t="inlineStr">
        <is>
          <t>03.06.2026</t>
        </is>
      </c>
      <c r="BF167" s="256" t="inlineStr">
        <is>
          <t>Purely Plant GmbH (in-house)</t>
        </is>
      </c>
      <c r="BG167" s="259" t="inlineStr">
        <is>
          <t>not tested</t>
        </is>
      </c>
      <c r="BH167" s="256" t="inlineStr">
        <is>
          <t>—</t>
        </is>
      </c>
      <c r="BI167" s="256" t="inlineStr">
        <is>
          <t>—</t>
        </is>
      </c>
      <c r="BJ167" s="256" t="inlineStr">
        <is>
          <t>—</t>
        </is>
      </c>
      <c r="BK167" s="259" t="inlineStr">
        <is>
          <t>not tested</t>
        </is>
      </c>
      <c r="BL167" s="256" t="inlineStr">
        <is>
          <t>—</t>
        </is>
      </c>
      <c r="BM167" s="256" t="inlineStr">
        <is>
          <t>—</t>
        </is>
      </c>
      <c r="BN167" s="256" t="inlineStr">
        <is>
          <t>—</t>
        </is>
      </c>
      <c r="BO167" s="259" t="inlineStr">
        <is>
          <t>not tested</t>
        </is>
      </c>
      <c r="BP167" s="256" t="inlineStr">
        <is>
          <t>—</t>
        </is>
      </c>
      <c r="BQ167" s="256" t="inlineStr">
        <is>
          <t>—</t>
        </is>
      </c>
      <c r="BR167" s="256" t="inlineStr">
        <is>
          <t>—</t>
        </is>
      </c>
      <c r="BS167" s="259" t="inlineStr">
        <is>
          <t>not tested</t>
        </is>
      </c>
      <c r="BT167" s="256" t="inlineStr">
        <is>
          <t>—</t>
        </is>
      </c>
      <c r="BU167" s="256" t="inlineStr">
        <is>
          <t>—</t>
        </is>
      </c>
      <c r="BV167" s="256" t="inlineStr">
        <is>
          <t>—</t>
        </is>
      </c>
      <c r="BW167" s="259" t="inlineStr">
        <is>
          <t>not tested</t>
        </is>
      </c>
      <c r="BX167" s="256" t="inlineStr">
        <is>
          <t>—</t>
        </is>
      </c>
      <c r="BY167" s="256" t="inlineStr">
        <is>
          <t>—</t>
        </is>
      </c>
      <c r="BZ167" s="256" t="inlineStr">
        <is>
          <t>—</t>
        </is>
      </c>
      <c r="CA167" s="259" t="inlineStr">
        <is>
          <t>not tested</t>
        </is>
      </c>
      <c r="CB167" s="256" t="inlineStr">
        <is>
          <t>—</t>
        </is>
      </c>
      <c r="CC167" s="256" t="inlineStr">
        <is>
          <t>—</t>
        </is>
      </c>
      <c r="CD167" s="256" t="inlineStr">
        <is>
          <t>—</t>
        </is>
      </c>
      <c r="CE167" s="260" t="inlineStr">
        <is>
          <t>upon request — not required for release</t>
        </is>
      </c>
      <c r="CF167" s="256" t="inlineStr">
        <is>
          <t>—</t>
        </is>
      </c>
      <c r="CG167" s="256" t="inlineStr">
        <is>
          <t>—</t>
        </is>
      </c>
      <c r="CH167" s="256" t="inlineStr">
        <is>
          <t>—</t>
        </is>
      </c>
      <c r="CI167" s="260" t="inlineStr">
        <is>
          <t>upon request — not required for release</t>
        </is>
      </c>
      <c r="CJ167" s="256" t="inlineStr">
        <is>
          <t>—</t>
        </is>
      </c>
      <c r="CK167" s="256" t="inlineStr">
        <is>
          <t>—</t>
        </is>
      </c>
      <c r="CL167" s="256" t="inlineStr">
        <is>
          <t>—</t>
        </is>
      </c>
      <c r="CM167" s="259" t="inlineStr">
        <is>
          <t>not tested</t>
        </is>
      </c>
      <c r="CN167" s="256" t="inlineStr">
        <is>
          <t>—</t>
        </is>
      </c>
      <c r="CO167" s="256" t="inlineStr">
        <is>
          <t>—</t>
        </is>
      </c>
      <c r="CP167" s="256" t="inlineStr">
        <is>
          <t>—</t>
        </is>
      </c>
      <c r="CQ167" s="259" t="inlineStr">
        <is>
          <t>not tested</t>
        </is>
      </c>
      <c r="CR167" s="256" t="inlineStr">
        <is>
          <t>—</t>
        </is>
      </c>
      <c r="CS167" s="256" t="inlineStr">
        <is>
          <t>—</t>
        </is>
      </c>
      <c r="CT167" s="256" t="inlineStr">
        <is>
          <t>—</t>
        </is>
      </c>
      <c r="CU167" s="259" t="inlineStr">
        <is>
          <t>not tested</t>
        </is>
      </c>
      <c r="CV167" s="256" t="inlineStr">
        <is>
          <t>—</t>
        </is>
      </c>
      <c r="CW167" s="256" t="inlineStr">
        <is>
          <t>—</t>
        </is>
      </c>
      <c r="CX167" s="256" t="inlineStr">
        <is>
          <t>—</t>
        </is>
      </c>
      <c r="CY167" s="259" t="inlineStr">
        <is>
          <t>not tested</t>
        </is>
      </c>
      <c r="CZ167" s="256" t="inlineStr">
        <is>
          <t>—</t>
        </is>
      </c>
      <c r="DA167" s="256" t="inlineStr">
        <is>
          <t>—</t>
        </is>
      </c>
      <c r="DB167" s="256" t="inlineStr">
        <is>
          <t>—</t>
        </is>
      </c>
      <c r="DC167" s="259" t="inlineStr">
        <is>
          <t>not tested</t>
        </is>
      </c>
      <c r="DD167" s="256" t="inlineStr">
        <is>
          <t>—</t>
        </is>
      </c>
      <c r="DE167" s="256" t="inlineStr">
        <is>
          <t>—</t>
        </is>
      </c>
      <c r="DF167" s="256" t="inlineStr">
        <is>
          <t>—</t>
        </is>
      </c>
      <c r="DG167" s="259" t="inlineStr">
        <is>
          <t>not tested</t>
        </is>
      </c>
      <c r="DH167" s="256" t="inlineStr">
        <is>
          <t>—</t>
        </is>
      </c>
      <c r="DI167" s="256" t="inlineStr">
        <is>
          <t>—</t>
        </is>
      </c>
      <c r="DJ167" s="256" t="inlineStr">
        <is>
          <t>—</t>
        </is>
      </c>
      <c r="DK167" s="259" t="inlineStr">
        <is>
          <t>not tested</t>
        </is>
      </c>
      <c r="DL167" s="256" t="inlineStr">
        <is>
          <t>—</t>
        </is>
      </c>
      <c r="DM167" s="256" t="inlineStr">
        <is>
          <t>—</t>
        </is>
      </c>
      <c r="DN167" s="256" t="inlineStr">
        <is>
          <t>—</t>
        </is>
      </c>
      <c r="DO167" s="259" t="inlineStr">
        <is>
          <t>not tested</t>
        </is>
      </c>
      <c r="DP167" s="256" t="inlineStr">
        <is>
          <t>—</t>
        </is>
      </c>
      <c r="DQ167" s="256" t="inlineStr">
        <is>
          <t>—</t>
        </is>
      </c>
      <c r="DR167" s="256" t="inlineStr">
        <is>
          <t>—</t>
        </is>
      </c>
    </row>
    <row r="168">
      <c r="A168" s="256" t="inlineStr">
        <is>
          <t>CoQ-PP_26-167</t>
        </is>
      </c>
      <c r="B168" s="256" t="inlineStr">
        <is>
          <t>release</t>
        </is>
      </c>
      <c r="C168" s="256" t="inlineStr">
        <is>
          <t>not yet issuable</t>
        </is>
      </c>
      <c r="D168" s="256" t="inlineStr">
        <is>
          <t>≥ 11.05.2026 (floor — not yet dated)</t>
        </is>
      </c>
      <c r="E168" s="256" t="inlineStr">
        <is>
          <t>n/a — release certificate</t>
        </is>
      </c>
      <c r="F168" s="256" t="inlineStr">
        <is>
          <t>(assigned on issue)</t>
        </is>
      </c>
      <c r="G168" s="256" t="inlineStr">
        <is>
          <t>FB042601</t>
        </is>
      </c>
      <c r="H168" s="256" t="inlineStr">
        <is>
          <t>— no P lot assigned —</t>
        </is>
      </c>
      <c r="I168" s="256" t="inlineStr">
        <is>
          <t>Fat Bastard</t>
        </is>
      </c>
      <c r="J168" s="256" t="inlineStr">
        <is>
          <t>—</t>
        </is>
      </c>
      <c r="K168" s="256" t="inlineStr">
        <is>
          <t>—</t>
        </is>
      </c>
      <c r="L168" s="256" t="inlineStr">
        <is>
          <t>—</t>
        </is>
      </c>
      <c r="M168" s="256" t="inlineStr">
        <is>
          <t>—</t>
        </is>
      </c>
      <c r="N168" s="256" t="inlineStr">
        <is>
          <t>iCoA-PP_26-091</t>
        </is>
      </c>
      <c r="O168" s="256" t="inlineStr">
        <is>
          <t>03.06.2026</t>
        </is>
      </c>
      <c r="P168" s="256" t="inlineStr">
        <is>
          <t>—</t>
        </is>
      </c>
      <c r="Q168" s="256" t="inlineStr">
        <is>
          <t>—</t>
        </is>
      </c>
      <c r="R168" s="256" t="inlineStr">
        <is>
          <t>—</t>
        </is>
      </c>
      <c r="S168" s="256" t="inlineStr">
        <is>
          <t>—</t>
        </is>
      </c>
      <c r="T168" s="256" t="inlineStr">
        <is>
          <t>—</t>
        </is>
      </c>
      <c r="U168" s="256" t="inlineStr">
        <is>
          <t>Per grade of the potency specification of 15.09.2026 — no Total THC result on file</t>
        </is>
      </c>
      <c r="V168" s="256" t="inlineStr">
        <is>
          <t>—</t>
        </is>
      </c>
      <c r="W168" s="256" t="inlineStr">
        <is>
          <t>—</t>
        </is>
      </c>
      <c r="X168" s="256" t="inlineStr">
        <is>
          <t>—</t>
        </is>
      </c>
      <c r="Y168" s="256" t="inlineStr">
        <is>
          <t>—</t>
        </is>
      </c>
      <c r="Z168" s="256" t="inlineStr">
        <is>
          <t>—</t>
        </is>
      </c>
      <c r="AA168" s="256" t="inlineStr">
        <is>
          <t>—</t>
        </is>
      </c>
      <c r="AB168" s="256" t="inlineStr">
        <is>
          <t>—</t>
        </is>
      </c>
      <c r="AC168" s="256" t="inlineStr">
        <is>
          <t>—</t>
        </is>
      </c>
      <c r="AD168" s="256" t="inlineStr">
        <is>
          <t>—</t>
        </is>
      </c>
      <c r="AE168" s="259" t="inlineStr">
        <is>
          <t>to be performed (in house)</t>
        </is>
      </c>
      <c r="AF168" s="256" t="inlineStr">
        <is>
          <t>iCoA-PP_26-091</t>
        </is>
      </c>
      <c r="AG168" s="256" t="inlineStr">
        <is>
          <t>03.06.2026</t>
        </is>
      </c>
      <c r="AH168" s="256" t="inlineStr">
        <is>
          <t>Purely Plant GmbH (in-house)</t>
        </is>
      </c>
      <c r="AI168" s="259" t="inlineStr">
        <is>
          <t>to be performed (in house)</t>
        </is>
      </c>
      <c r="AJ168" s="256" t="inlineStr">
        <is>
          <t>iCoA-PP_26-091</t>
        </is>
      </c>
      <c r="AK168" s="256" t="inlineStr">
        <is>
          <t>03.06.2026</t>
        </is>
      </c>
      <c r="AL168" s="256" t="inlineStr">
        <is>
          <t>Purely Plant GmbH (in-house)</t>
        </is>
      </c>
      <c r="AM168" s="259" t="inlineStr">
        <is>
          <t>to be performed (in house)</t>
        </is>
      </c>
      <c r="AN168" s="256" t="inlineStr">
        <is>
          <t>—</t>
        </is>
      </c>
      <c r="AO168" s="256" t="inlineStr">
        <is>
          <t>—</t>
        </is>
      </c>
      <c r="AP168" s="256" t="inlineStr">
        <is>
          <t>—</t>
        </is>
      </c>
      <c r="AQ168" s="259" t="inlineStr">
        <is>
          <t>not tested</t>
        </is>
      </c>
      <c r="AR168" s="256" t="inlineStr">
        <is>
          <t>—</t>
        </is>
      </c>
      <c r="AS168" s="256" t="inlineStr">
        <is>
          <t>—</t>
        </is>
      </c>
      <c r="AT168" s="256" t="inlineStr">
        <is>
          <t>—</t>
        </is>
      </c>
      <c r="AU168" s="259" t="inlineStr">
        <is>
          <t>not tested</t>
        </is>
      </c>
      <c r="AV168" s="256" t="inlineStr">
        <is>
          <t>—</t>
        </is>
      </c>
      <c r="AW168" s="256" t="inlineStr">
        <is>
          <t>—</t>
        </is>
      </c>
      <c r="AX168" s="256" t="inlineStr">
        <is>
          <t>—</t>
        </is>
      </c>
      <c r="AY168" s="259" t="inlineStr">
        <is>
          <t>not tested</t>
        </is>
      </c>
      <c r="AZ168" s="256" t="inlineStr">
        <is>
          <t>—</t>
        </is>
      </c>
      <c r="BA168" s="256" t="inlineStr">
        <is>
          <t>—</t>
        </is>
      </c>
      <c r="BB168" s="256" t="inlineStr">
        <is>
          <t>—</t>
        </is>
      </c>
      <c r="BC168" s="259" t="inlineStr">
        <is>
          <t>to be performed (in house)</t>
        </is>
      </c>
      <c r="BD168" s="256" t="inlineStr">
        <is>
          <t>iCoA-PP_26-091</t>
        </is>
      </c>
      <c r="BE168" s="256" t="inlineStr">
        <is>
          <t>03.06.2026</t>
        </is>
      </c>
      <c r="BF168" s="256" t="inlineStr">
        <is>
          <t>Purely Plant GmbH (in-house)</t>
        </is>
      </c>
      <c r="BG168" s="259" t="inlineStr">
        <is>
          <t>not tested</t>
        </is>
      </c>
      <c r="BH168" s="256" t="inlineStr">
        <is>
          <t>—</t>
        </is>
      </c>
      <c r="BI168" s="256" t="inlineStr">
        <is>
          <t>—</t>
        </is>
      </c>
      <c r="BJ168" s="256" t="inlineStr">
        <is>
          <t>—</t>
        </is>
      </c>
      <c r="BK168" s="259" t="inlineStr">
        <is>
          <t>not tested</t>
        </is>
      </c>
      <c r="BL168" s="256" t="inlineStr">
        <is>
          <t>—</t>
        </is>
      </c>
      <c r="BM168" s="256" t="inlineStr">
        <is>
          <t>—</t>
        </is>
      </c>
      <c r="BN168" s="256" t="inlineStr">
        <is>
          <t>—</t>
        </is>
      </c>
      <c r="BO168" s="259" t="inlineStr">
        <is>
          <t>not tested</t>
        </is>
      </c>
      <c r="BP168" s="256" t="inlineStr">
        <is>
          <t>—</t>
        </is>
      </c>
      <c r="BQ168" s="256" t="inlineStr">
        <is>
          <t>—</t>
        </is>
      </c>
      <c r="BR168" s="256" t="inlineStr">
        <is>
          <t>—</t>
        </is>
      </c>
      <c r="BS168" s="259" t="inlineStr">
        <is>
          <t>not tested</t>
        </is>
      </c>
      <c r="BT168" s="256" t="inlineStr">
        <is>
          <t>—</t>
        </is>
      </c>
      <c r="BU168" s="256" t="inlineStr">
        <is>
          <t>—</t>
        </is>
      </c>
      <c r="BV168" s="256" t="inlineStr">
        <is>
          <t>—</t>
        </is>
      </c>
      <c r="BW168" s="259" t="inlineStr">
        <is>
          <t>not tested</t>
        </is>
      </c>
      <c r="BX168" s="256" t="inlineStr">
        <is>
          <t>—</t>
        </is>
      </c>
      <c r="BY168" s="256" t="inlineStr">
        <is>
          <t>—</t>
        </is>
      </c>
      <c r="BZ168" s="256" t="inlineStr">
        <is>
          <t>—</t>
        </is>
      </c>
      <c r="CA168" s="259" t="inlineStr">
        <is>
          <t>not tested</t>
        </is>
      </c>
      <c r="CB168" s="256" t="inlineStr">
        <is>
          <t>—</t>
        </is>
      </c>
      <c r="CC168" s="256" t="inlineStr">
        <is>
          <t>—</t>
        </is>
      </c>
      <c r="CD168" s="256" t="inlineStr">
        <is>
          <t>—</t>
        </is>
      </c>
      <c r="CE168" s="260" t="inlineStr">
        <is>
          <t>upon request — not required for release</t>
        </is>
      </c>
      <c r="CF168" s="256" t="inlineStr">
        <is>
          <t>—</t>
        </is>
      </c>
      <c r="CG168" s="256" t="inlineStr">
        <is>
          <t>—</t>
        </is>
      </c>
      <c r="CH168" s="256" t="inlineStr">
        <is>
          <t>—</t>
        </is>
      </c>
      <c r="CI168" s="260" t="inlineStr">
        <is>
          <t>upon request — not required for release</t>
        </is>
      </c>
      <c r="CJ168" s="256" t="inlineStr">
        <is>
          <t>—</t>
        </is>
      </c>
      <c r="CK168" s="256" t="inlineStr">
        <is>
          <t>—</t>
        </is>
      </c>
      <c r="CL168" s="256" t="inlineStr">
        <is>
          <t>—</t>
        </is>
      </c>
      <c r="CM168" s="259" t="inlineStr">
        <is>
          <t>not tested</t>
        </is>
      </c>
      <c r="CN168" s="256" t="inlineStr">
        <is>
          <t>—</t>
        </is>
      </c>
      <c r="CO168" s="256" t="inlineStr">
        <is>
          <t>—</t>
        </is>
      </c>
      <c r="CP168" s="256" t="inlineStr">
        <is>
          <t>—</t>
        </is>
      </c>
      <c r="CQ168" s="259" t="inlineStr">
        <is>
          <t>not tested</t>
        </is>
      </c>
      <c r="CR168" s="256" t="inlineStr">
        <is>
          <t>—</t>
        </is>
      </c>
      <c r="CS168" s="256" t="inlineStr">
        <is>
          <t>—</t>
        </is>
      </c>
      <c r="CT168" s="256" t="inlineStr">
        <is>
          <t>—</t>
        </is>
      </c>
      <c r="CU168" s="259" t="inlineStr">
        <is>
          <t>not tested</t>
        </is>
      </c>
      <c r="CV168" s="256" t="inlineStr">
        <is>
          <t>—</t>
        </is>
      </c>
      <c r="CW168" s="256" t="inlineStr">
        <is>
          <t>—</t>
        </is>
      </c>
      <c r="CX168" s="256" t="inlineStr">
        <is>
          <t>—</t>
        </is>
      </c>
      <c r="CY168" s="259" t="inlineStr">
        <is>
          <t>not tested</t>
        </is>
      </c>
      <c r="CZ168" s="256" t="inlineStr">
        <is>
          <t>—</t>
        </is>
      </c>
      <c r="DA168" s="256" t="inlineStr">
        <is>
          <t>—</t>
        </is>
      </c>
      <c r="DB168" s="256" t="inlineStr">
        <is>
          <t>—</t>
        </is>
      </c>
      <c r="DC168" s="259" t="inlineStr">
        <is>
          <t>not tested</t>
        </is>
      </c>
      <c r="DD168" s="256" t="inlineStr">
        <is>
          <t>—</t>
        </is>
      </c>
      <c r="DE168" s="256" t="inlineStr">
        <is>
          <t>—</t>
        </is>
      </c>
      <c r="DF168" s="256" t="inlineStr">
        <is>
          <t>—</t>
        </is>
      </c>
      <c r="DG168" s="259" t="inlineStr">
        <is>
          <t>not tested</t>
        </is>
      </c>
      <c r="DH168" s="256" t="inlineStr">
        <is>
          <t>—</t>
        </is>
      </c>
      <c r="DI168" s="256" t="inlineStr">
        <is>
          <t>—</t>
        </is>
      </c>
      <c r="DJ168" s="256" t="inlineStr">
        <is>
          <t>—</t>
        </is>
      </c>
      <c r="DK168" s="259" t="inlineStr">
        <is>
          <t>not tested</t>
        </is>
      </c>
      <c r="DL168" s="256" t="inlineStr">
        <is>
          <t>—</t>
        </is>
      </c>
      <c r="DM168" s="256" t="inlineStr">
        <is>
          <t>—</t>
        </is>
      </c>
      <c r="DN168" s="256" t="inlineStr">
        <is>
          <t>—</t>
        </is>
      </c>
      <c r="DO168" s="259" t="inlineStr">
        <is>
          <t>not tested</t>
        </is>
      </c>
      <c r="DP168" s="256" t="inlineStr">
        <is>
          <t>—</t>
        </is>
      </c>
      <c r="DQ168" s="256" t="inlineStr">
        <is>
          <t>—</t>
        </is>
      </c>
      <c r="DR168" s="256" t="inlineStr">
        <is>
          <t>—</t>
        </is>
      </c>
    </row>
    <row r="169">
      <c r="A169" s="256" t="inlineStr">
        <is>
          <t>CoQ-PP_26-168</t>
        </is>
      </c>
      <c r="B169" s="256" t="inlineStr">
        <is>
          <t>release</t>
        </is>
      </c>
      <c r="C169" s="256" t="inlineStr">
        <is>
          <t>not yet issuable</t>
        </is>
      </c>
      <c r="D169" s="256" t="inlineStr">
        <is>
          <t>13.07.2026</t>
        </is>
      </c>
      <c r="E169" s="256" t="inlineStr">
        <is>
          <t>n/a — release certificate</t>
        </is>
      </c>
      <c r="F169" s="256" t="inlineStr">
        <is>
          <t>(assigned on issue)</t>
        </is>
      </c>
      <c r="G169" s="256" t="inlineStr">
        <is>
          <t>P160012</t>
        </is>
      </c>
      <c r="H169" s="256" t="inlineStr">
        <is>
          <t>— no P lot assigned —</t>
        </is>
      </c>
      <c r="I169" s="256" t="inlineStr">
        <is>
          <t>Grape Pie</t>
        </is>
      </c>
      <c r="J169" s="256" t="inlineStr">
        <is>
          <t>—</t>
        </is>
      </c>
      <c r="K169" s="256" t="inlineStr">
        <is>
          <t>—</t>
        </is>
      </c>
      <c r="L169" s="256" t="inlineStr">
        <is>
          <t>—</t>
        </is>
      </c>
      <c r="M169" s="256" t="inlineStr">
        <is>
          <t>—</t>
        </is>
      </c>
      <c r="N169" s="256" t="inlineStr">
        <is>
          <t>iCoA-PP_26-096</t>
        </is>
      </c>
      <c r="O169" s="256" t="inlineStr">
        <is>
          <t>06.07.2026</t>
        </is>
      </c>
      <c r="P169" s="256" t="inlineStr">
        <is>
          <t>—</t>
        </is>
      </c>
      <c r="Q169" s="256" t="inlineStr">
        <is>
          <t>—</t>
        </is>
      </c>
      <c r="R169" s="256" t="inlineStr">
        <is>
          <t>26.32</t>
        </is>
      </c>
      <c r="S169" s="256" t="inlineStr">
        <is>
          <t>ППК26117</t>
        </is>
      </c>
      <c r="T169" s="256" t="inlineStr">
        <is>
          <t>I</t>
        </is>
      </c>
      <c r="U169" s="256" t="inlineStr">
        <is>
          <t>26.00 – 29.99 %</t>
        </is>
      </c>
      <c r="V169" s="256" t="inlineStr">
        <is>
          <t>GP_THC28 : CBD1</t>
        </is>
      </c>
      <c r="W169" s="256" t="inlineStr">
        <is>
          <t>QCSP_001_GP-I_v.01</t>
        </is>
      </c>
      <c r="X169" s="256" t="inlineStr">
        <is>
          <t>for review — replaces the issued QCSP_001_GP-I_v.01 (was GP_THC28 : CBD1, 26.61 – 29.39 %); now GP_THC28 : CBD1 26.00 – 29.99 %</t>
        </is>
      </c>
      <c r="Y169" s="256" t="inlineStr">
        <is>
          <t>HYBRID</t>
        </is>
      </c>
      <c r="Z169" s="256" t="inlineStr">
        <is>
          <t>THC</t>
        </is>
      </c>
      <c r="AA169" s="256" t="inlineStr">
        <is>
          <t>MACHINE TRIMMED</t>
        </is>
      </c>
      <c r="AB169" s="256" t="inlineStr">
        <is>
          <t>INDICA-DOMINANT</t>
        </is>
      </c>
      <c r="AC169" s="256" t="inlineStr">
        <is>
          <t>Triplex Alu Bag | Триплекс Aлу Kеса, PET 12 · ALU 7 · PE 80, 300 × 500 mm, net. 400.0 g ±3%</t>
        </is>
      </c>
      <c r="AD169" s="256" t="inlineStr">
        <is>
          <t>06.07.2026</t>
        </is>
      </c>
      <c r="AE169" s="256" t="inlineStr">
        <is>
          <t>Conforms | Одговара</t>
        </is>
      </c>
      <c r="AF169" s="256" t="inlineStr">
        <is>
          <t>ППК26117</t>
        </is>
      </c>
      <c r="AG169" s="256" t="inlineStr">
        <is>
          <t>06.07.2026</t>
        </is>
      </c>
      <c r="AH169" s="256" t="inlineStr">
        <is>
          <t>UKIM Faculty of Pharmacy — Center for Natural Products</t>
        </is>
      </c>
      <c r="AI169" s="256" t="inlineStr">
        <is>
          <t>Conforms | Одговара</t>
        </is>
      </c>
      <c r="AJ169" s="256" t="inlineStr">
        <is>
          <t>ППК26117</t>
        </is>
      </c>
      <c r="AK169" s="256" t="inlineStr">
        <is>
          <t>06.07.2026</t>
        </is>
      </c>
      <c r="AL169" s="256" t="inlineStr">
        <is>
          <t>UKIM Faculty of Pharmacy — Center for Natural Products</t>
        </is>
      </c>
      <c r="AM169" s="256" t="inlineStr">
        <is>
          <t>Conforms | Одговара</t>
        </is>
      </c>
      <c r="AN169" s="256" t="inlineStr">
        <is>
          <t>ППК26117</t>
        </is>
      </c>
      <c r="AO169" s="256" t="inlineStr">
        <is>
          <t>06.07.2026</t>
        </is>
      </c>
      <c r="AP169" s="256" t="inlineStr">
        <is>
          <t>UKIM Faculty of Pharmacy — Center for Natural Products</t>
        </is>
      </c>
      <c r="AQ169" s="256" t="inlineStr">
        <is>
          <t>26.32</t>
        </is>
      </c>
      <c r="AR169" s="256" t="inlineStr">
        <is>
          <t>ППК26117</t>
        </is>
      </c>
      <c r="AS169" s="256" t="inlineStr">
        <is>
          <t>06.07.2026</t>
        </is>
      </c>
      <c r="AT169" s="256" t="inlineStr">
        <is>
          <t>UKIM Faculty of Pharmacy — Center for Natural Products</t>
        </is>
      </c>
      <c r="AU169" s="256" t="inlineStr">
        <is>
          <t>0.15</t>
        </is>
      </c>
      <c r="AV169" s="256" t="inlineStr">
        <is>
          <t>ППК26117</t>
        </is>
      </c>
      <c r="AW169" s="256" t="inlineStr">
        <is>
          <t>06.07.2026</t>
        </is>
      </c>
      <c r="AX169" s="256" t="inlineStr">
        <is>
          <t>UKIM Faculty of Pharmacy — Center for Natural Products</t>
        </is>
      </c>
      <c r="AY169" s="256" t="inlineStr">
        <is>
          <t>0.09</t>
        </is>
      </c>
      <c r="AZ169" s="256" t="inlineStr">
        <is>
          <t>ППК26117</t>
        </is>
      </c>
      <c r="BA169" s="256" t="inlineStr">
        <is>
          <t>06.07.2026</t>
        </is>
      </c>
      <c r="BB169" s="256" t="inlineStr">
        <is>
          <t>UKIM Faculty of Pharmacy — Center for Natural Products</t>
        </is>
      </c>
      <c r="BC169" s="256" t="inlineStr">
        <is>
          <t>Conforms | Одговара</t>
        </is>
      </c>
      <c r="BD169" s="256" t="inlineStr">
        <is>
          <t>ППК26117</t>
        </is>
      </c>
      <c r="BE169" s="256" t="inlineStr">
        <is>
          <t>06.07.2026</t>
        </is>
      </c>
      <c r="BF169" s="256" t="inlineStr">
        <is>
          <t>UKIM Faculty of Pharmacy — Center for Natural Products</t>
        </is>
      </c>
      <c r="BG169" s="256" t="inlineStr">
        <is>
          <t>6.31</t>
        </is>
      </c>
      <c r="BH169" s="256" t="inlineStr">
        <is>
          <t>ППК26117</t>
        </is>
      </c>
      <c r="BI169" s="256" t="inlineStr">
        <is>
          <t>06.07.2026</t>
        </is>
      </c>
      <c r="BJ169" s="256" t="inlineStr">
        <is>
          <t>UKIM Faculty of Pharmacy — Center for Natural Products</t>
        </is>
      </c>
      <c r="BK169" s="259" t="inlineStr">
        <is>
          <t>not tested</t>
        </is>
      </c>
      <c r="BL169" s="256" t="inlineStr">
        <is>
          <t>—</t>
        </is>
      </c>
      <c r="BM169" s="256" t="inlineStr">
        <is>
          <t>—</t>
        </is>
      </c>
      <c r="BN169" s="256" t="inlineStr">
        <is>
          <t>—</t>
        </is>
      </c>
      <c r="BO169" s="259" t="inlineStr">
        <is>
          <t>not tested</t>
        </is>
      </c>
      <c r="BP169" s="256" t="inlineStr">
        <is>
          <t>—</t>
        </is>
      </c>
      <c r="BQ169" s="256" t="inlineStr">
        <is>
          <t>—</t>
        </is>
      </c>
      <c r="BR169" s="256" t="inlineStr">
        <is>
          <t>—</t>
        </is>
      </c>
      <c r="BS169" s="259" t="inlineStr">
        <is>
          <t>not tested</t>
        </is>
      </c>
      <c r="BT169" s="256" t="inlineStr">
        <is>
          <t>—</t>
        </is>
      </c>
      <c r="BU169" s="256" t="inlineStr">
        <is>
          <t>—</t>
        </is>
      </c>
      <c r="BV169" s="256" t="inlineStr">
        <is>
          <t>—</t>
        </is>
      </c>
      <c r="BW169" s="259" t="inlineStr">
        <is>
          <t>not tested</t>
        </is>
      </c>
      <c r="BX169" s="256" t="inlineStr">
        <is>
          <t>—</t>
        </is>
      </c>
      <c r="BY169" s="256" t="inlineStr">
        <is>
          <t>—</t>
        </is>
      </c>
      <c r="BZ169" s="256" t="inlineStr">
        <is>
          <t>—</t>
        </is>
      </c>
      <c r="CA169" s="259" t="inlineStr">
        <is>
          <t>not tested</t>
        </is>
      </c>
      <c r="CB169" s="256" t="inlineStr">
        <is>
          <t>—</t>
        </is>
      </c>
      <c r="CC169" s="256" t="inlineStr">
        <is>
          <t>—</t>
        </is>
      </c>
      <c r="CD169" s="256" t="inlineStr">
        <is>
          <t>—</t>
        </is>
      </c>
      <c r="CE169" s="260" t="inlineStr">
        <is>
          <t>upon request — not required for release</t>
        </is>
      </c>
      <c r="CF169" s="256" t="inlineStr">
        <is>
          <t>—</t>
        </is>
      </c>
      <c r="CG169" s="256" t="inlineStr">
        <is>
          <t>—</t>
        </is>
      </c>
      <c r="CH169" s="256" t="inlineStr">
        <is>
          <t>—</t>
        </is>
      </c>
      <c r="CI169" s="260" t="inlineStr">
        <is>
          <t>upon request — not required for release</t>
        </is>
      </c>
      <c r="CJ169" s="256" t="inlineStr">
        <is>
          <t>—</t>
        </is>
      </c>
      <c r="CK169" s="256" t="inlineStr">
        <is>
          <t>—</t>
        </is>
      </c>
      <c r="CL169" s="256" t="inlineStr">
        <is>
          <t>—</t>
        </is>
      </c>
      <c r="CM169" s="259" t="inlineStr">
        <is>
          <t>not tested</t>
        </is>
      </c>
      <c r="CN169" s="256" t="inlineStr">
        <is>
          <t>—</t>
        </is>
      </c>
      <c r="CO169" s="256" t="inlineStr">
        <is>
          <t>—</t>
        </is>
      </c>
      <c r="CP169" s="256" t="inlineStr">
        <is>
          <t>—</t>
        </is>
      </c>
      <c r="CQ169" s="259" t="inlineStr">
        <is>
          <t>not tested</t>
        </is>
      </c>
      <c r="CR169" s="256" t="inlineStr">
        <is>
          <t>—</t>
        </is>
      </c>
      <c r="CS169" s="256" t="inlineStr">
        <is>
          <t>—</t>
        </is>
      </c>
      <c r="CT169" s="256" t="inlineStr">
        <is>
          <t>—</t>
        </is>
      </c>
      <c r="CU169" s="259" t="inlineStr">
        <is>
          <t>not tested</t>
        </is>
      </c>
      <c r="CV169" s="256" t="inlineStr">
        <is>
          <t>—</t>
        </is>
      </c>
      <c r="CW169" s="256" t="inlineStr">
        <is>
          <t>—</t>
        </is>
      </c>
      <c r="CX169" s="256" t="inlineStr">
        <is>
          <t>—</t>
        </is>
      </c>
      <c r="CY169" s="259" t="inlineStr">
        <is>
          <t>not tested</t>
        </is>
      </c>
      <c r="CZ169" s="256" t="inlineStr">
        <is>
          <t>—</t>
        </is>
      </c>
      <c r="DA169" s="256" t="inlineStr">
        <is>
          <t>—</t>
        </is>
      </c>
      <c r="DB169" s="256" t="inlineStr">
        <is>
          <t>—</t>
        </is>
      </c>
      <c r="DC169" s="259" t="inlineStr">
        <is>
          <t>not tested</t>
        </is>
      </c>
      <c r="DD169" s="256" t="inlineStr">
        <is>
          <t>—</t>
        </is>
      </c>
      <c r="DE169" s="256" t="inlineStr">
        <is>
          <t>—</t>
        </is>
      </c>
      <c r="DF169" s="256" t="inlineStr">
        <is>
          <t>—</t>
        </is>
      </c>
      <c r="DG169" s="259" t="inlineStr">
        <is>
          <t>not tested</t>
        </is>
      </c>
      <c r="DH169" s="256" t="inlineStr">
        <is>
          <t>—</t>
        </is>
      </c>
      <c r="DI169" s="256" t="inlineStr">
        <is>
          <t>—</t>
        </is>
      </c>
      <c r="DJ169" s="256" t="inlineStr">
        <is>
          <t>—</t>
        </is>
      </c>
      <c r="DK169" s="259" t="inlineStr">
        <is>
          <t>not tested</t>
        </is>
      </c>
      <c r="DL169" s="256" t="inlineStr">
        <is>
          <t>—</t>
        </is>
      </c>
      <c r="DM169" s="256" t="inlineStr">
        <is>
          <t>—</t>
        </is>
      </c>
      <c r="DN169" s="256" t="inlineStr">
        <is>
          <t>—</t>
        </is>
      </c>
      <c r="DO169" s="259" t="inlineStr">
        <is>
          <t>not tested</t>
        </is>
      </c>
      <c r="DP169" s="256" t="inlineStr">
        <is>
          <t>—</t>
        </is>
      </c>
      <c r="DQ169" s="256" t="inlineStr">
        <is>
          <t>—</t>
        </is>
      </c>
      <c r="DR169" s="256" t="inlineStr">
        <is>
          <t>—</t>
        </is>
      </c>
    </row>
    <row r="170">
      <c r="A170" s="256" t="inlineStr">
        <is>
          <t>CoQ-PP_26-169</t>
        </is>
      </c>
      <c r="B170" s="256" t="inlineStr">
        <is>
          <t>release</t>
        </is>
      </c>
      <c r="C170" s="256" t="inlineStr">
        <is>
          <t>not yet issuable</t>
        </is>
      </c>
      <c r="D170" s="256" t="inlineStr">
        <is>
          <t>13.07.2026</t>
        </is>
      </c>
      <c r="E170" s="256" t="inlineStr">
        <is>
          <t>n/a — release certificate</t>
        </is>
      </c>
      <c r="F170" s="256" t="inlineStr">
        <is>
          <t>(assigned on issue)</t>
        </is>
      </c>
      <c r="G170" s="256" t="inlineStr">
        <is>
          <t>P160022</t>
        </is>
      </c>
      <c r="H170" s="256" t="inlineStr">
        <is>
          <t>— no P lot assigned —</t>
        </is>
      </c>
      <c r="I170" s="256" t="inlineStr">
        <is>
          <t>Grape Pie</t>
        </is>
      </c>
      <c r="J170" s="256" t="inlineStr">
        <is>
          <t>—</t>
        </is>
      </c>
      <c r="K170" s="256" t="inlineStr">
        <is>
          <t>—</t>
        </is>
      </c>
      <c r="L170" s="256" t="inlineStr">
        <is>
          <t>—</t>
        </is>
      </c>
      <c r="M170" s="256" t="inlineStr">
        <is>
          <t>—</t>
        </is>
      </c>
      <c r="N170" s="256" t="inlineStr">
        <is>
          <t>iCoA-PP_26-097</t>
        </is>
      </c>
      <c r="O170" s="256" t="inlineStr">
        <is>
          <t>06.07.2026</t>
        </is>
      </c>
      <c r="P170" s="256" t="inlineStr">
        <is>
          <t>—</t>
        </is>
      </c>
      <c r="Q170" s="256" t="inlineStr">
        <is>
          <t>—</t>
        </is>
      </c>
      <c r="R170" s="256" t="inlineStr">
        <is>
          <t>25.72</t>
        </is>
      </c>
      <c r="S170" s="256" t="inlineStr">
        <is>
          <t>ППК26118</t>
        </is>
      </c>
      <c r="T170" s="256" t="inlineStr">
        <is>
          <t>II</t>
        </is>
      </c>
      <c r="U170" s="256" t="inlineStr">
        <is>
          <t>22.00 – 25.99 %</t>
        </is>
      </c>
      <c r="V170" s="256" t="inlineStr">
        <is>
          <t>GP_THC24 : CBD1</t>
        </is>
      </c>
      <c r="W170" s="256" t="inlineStr">
        <is>
          <t>QCSP_001_GP-II_v.01</t>
        </is>
      </c>
      <c r="X170" s="256" t="inlineStr">
        <is>
          <t>for review — replaces the issued QCSP_001_GP-II_v.01 (was GP_THC26 : CBD1, 25.40 – 26.60 %); now GP_THC24 : CBD1 22.00 – 25.99 %</t>
        </is>
      </c>
      <c r="Y170" s="256" t="inlineStr">
        <is>
          <t>HYBRID</t>
        </is>
      </c>
      <c r="Z170" s="256" t="inlineStr">
        <is>
          <t>THC</t>
        </is>
      </c>
      <c r="AA170" s="256" t="inlineStr">
        <is>
          <t>MACHINE TRIMMED</t>
        </is>
      </c>
      <c r="AB170" s="256" t="inlineStr">
        <is>
          <t>INDICA-DOMINANT</t>
        </is>
      </c>
      <c r="AC170" s="256" t="inlineStr">
        <is>
          <t>Triplex Alu Bag | Триплекс Aлу Kеса, PET 12 · ALU 7 · PE 80, 300 × 500 mm, net. 400.0 g ±3%</t>
        </is>
      </c>
      <c r="AD170" s="256" t="inlineStr">
        <is>
          <t>06.07.2026</t>
        </is>
      </c>
      <c r="AE170" s="256" t="inlineStr">
        <is>
          <t>Conforms | Одговара</t>
        </is>
      </c>
      <c r="AF170" s="256" t="inlineStr">
        <is>
          <t>ППК26118</t>
        </is>
      </c>
      <c r="AG170" s="256" t="inlineStr">
        <is>
          <t>06.07.2026</t>
        </is>
      </c>
      <c r="AH170" s="256" t="inlineStr">
        <is>
          <t>UKIM Faculty of Pharmacy — Center for Natural Products</t>
        </is>
      </c>
      <c r="AI170" s="256" t="inlineStr">
        <is>
          <t>Conforms | Одговара</t>
        </is>
      </c>
      <c r="AJ170" s="256" t="inlineStr">
        <is>
          <t>ППК26118</t>
        </is>
      </c>
      <c r="AK170" s="256" t="inlineStr">
        <is>
          <t>06.07.2026</t>
        </is>
      </c>
      <c r="AL170" s="256" t="inlineStr">
        <is>
          <t>UKIM Faculty of Pharmacy — Center for Natural Products</t>
        </is>
      </c>
      <c r="AM170" s="256" t="inlineStr">
        <is>
          <t>Conforms | Одговара</t>
        </is>
      </c>
      <c r="AN170" s="256" t="inlineStr">
        <is>
          <t>ППК26118</t>
        </is>
      </c>
      <c r="AO170" s="256" t="inlineStr">
        <is>
          <t>06.07.2026</t>
        </is>
      </c>
      <c r="AP170" s="256" t="inlineStr">
        <is>
          <t>UKIM Faculty of Pharmacy — Center for Natural Products</t>
        </is>
      </c>
      <c r="AQ170" s="256" t="inlineStr">
        <is>
          <t>25.72</t>
        </is>
      </c>
      <c r="AR170" s="256" t="inlineStr">
        <is>
          <t>ППК26118</t>
        </is>
      </c>
      <c r="AS170" s="256" t="inlineStr">
        <is>
          <t>06.07.2026</t>
        </is>
      </c>
      <c r="AT170" s="256" t="inlineStr">
        <is>
          <t>UKIM Faculty of Pharmacy — Center for Natural Products</t>
        </is>
      </c>
      <c r="AU170" s="256" t="inlineStr">
        <is>
          <t>0.15</t>
        </is>
      </c>
      <c r="AV170" s="256" t="inlineStr">
        <is>
          <t>ППК26118</t>
        </is>
      </c>
      <c r="AW170" s="256" t="inlineStr">
        <is>
          <t>06.07.2026</t>
        </is>
      </c>
      <c r="AX170" s="256" t="inlineStr">
        <is>
          <t>UKIM Faculty of Pharmacy — Center for Natural Products</t>
        </is>
      </c>
      <c r="AY170" s="256" t="inlineStr">
        <is>
          <t>0.10</t>
        </is>
      </c>
      <c r="AZ170" s="256" t="inlineStr">
        <is>
          <t>ППК26118</t>
        </is>
      </c>
      <c r="BA170" s="256" t="inlineStr">
        <is>
          <t>06.07.2026</t>
        </is>
      </c>
      <c r="BB170" s="256" t="inlineStr">
        <is>
          <t>UKIM Faculty of Pharmacy — Center for Natural Products</t>
        </is>
      </c>
      <c r="BC170" s="256" t="inlineStr">
        <is>
          <t>Conforms | Одговара</t>
        </is>
      </c>
      <c r="BD170" s="256" t="inlineStr">
        <is>
          <t>ППК26118</t>
        </is>
      </c>
      <c r="BE170" s="256" t="inlineStr">
        <is>
          <t>06.07.2026</t>
        </is>
      </c>
      <c r="BF170" s="256" t="inlineStr">
        <is>
          <t>UKIM Faculty of Pharmacy — Center for Natural Products</t>
        </is>
      </c>
      <c r="BG170" s="256" t="inlineStr">
        <is>
          <t>6.67</t>
        </is>
      </c>
      <c r="BH170" s="256" t="inlineStr">
        <is>
          <t>ППК26118</t>
        </is>
      </c>
      <c r="BI170" s="256" t="inlineStr">
        <is>
          <t>06.07.2026</t>
        </is>
      </c>
      <c r="BJ170" s="256" t="inlineStr">
        <is>
          <t>UKIM Faculty of Pharmacy — Center for Natural Products</t>
        </is>
      </c>
      <c r="BK170" s="259" t="inlineStr">
        <is>
          <t>not tested</t>
        </is>
      </c>
      <c r="BL170" s="256" t="inlineStr">
        <is>
          <t>—</t>
        </is>
      </c>
      <c r="BM170" s="256" t="inlineStr">
        <is>
          <t>—</t>
        </is>
      </c>
      <c r="BN170" s="256" t="inlineStr">
        <is>
          <t>—</t>
        </is>
      </c>
      <c r="BO170" s="259" t="inlineStr">
        <is>
          <t>not tested</t>
        </is>
      </c>
      <c r="BP170" s="256" t="inlineStr">
        <is>
          <t>—</t>
        </is>
      </c>
      <c r="BQ170" s="256" t="inlineStr">
        <is>
          <t>—</t>
        </is>
      </c>
      <c r="BR170" s="256" t="inlineStr">
        <is>
          <t>—</t>
        </is>
      </c>
      <c r="BS170" s="259" t="inlineStr">
        <is>
          <t>not tested</t>
        </is>
      </c>
      <c r="BT170" s="256" t="inlineStr">
        <is>
          <t>—</t>
        </is>
      </c>
      <c r="BU170" s="256" t="inlineStr">
        <is>
          <t>—</t>
        </is>
      </c>
      <c r="BV170" s="256" t="inlineStr">
        <is>
          <t>—</t>
        </is>
      </c>
      <c r="BW170" s="259" t="inlineStr">
        <is>
          <t>not tested</t>
        </is>
      </c>
      <c r="BX170" s="256" t="inlineStr">
        <is>
          <t>—</t>
        </is>
      </c>
      <c r="BY170" s="256" t="inlineStr">
        <is>
          <t>—</t>
        </is>
      </c>
      <c r="BZ170" s="256" t="inlineStr">
        <is>
          <t>—</t>
        </is>
      </c>
      <c r="CA170" s="259" t="inlineStr">
        <is>
          <t>not tested</t>
        </is>
      </c>
      <c r="CB170" s="256" t="inlineStr">
        <is>
          <t>—</t>
        </is>
      </c>
      <c r="CC170" s="256" t="inlineStr">
        <is>
          <t>—</t>
        </is>
      </c>
      <c r="CD170" s="256" t="inlineStr">
        <is>
          <t>—</t>
        </is>
      </c>
      <c r="CE170" s="260" t="inlineStr">
        <is>
          <t>upon request — not required for release</t>
        </is>
      </c>
      <c r="CF170" s="256" t="inlineStr">
        <is>
          <t>—</t>
        </is>
      </c>
      <c r="CG170" s="256" t="inlineStr">
        <is>
          <t>—</t>
        </is>
      </c>
      <c r="CH170" s="256" t="inlineStr">
        <is>
          <t>—</t>
        </is>
      </c>
      <c r="CI170" s="260" t="inlineStr">
        <is>
          <t>upon request — not required for release</t>
        </is>
      </c>
      <c r="CJ170" s="256" t="inlineStr">
        <is>
          <t>—</t>
        </is>
      </c>
      <c r="CK170" s="256" t="inlineStr">
        <is>
          <t>—</t>
        </is>
      </c>
      <c r="CL170" s="256" t="inlineStr">
        <is>
          <t>—</t>
        </is>
      </c>
      <c r="CM170" s="259" t="inlineStr">
        <is>
          <t>not tested</t>
        </is>
      </c>
      <c r="CN170" s="256" t="inlineStr">
        <is>
          <t>—</t>
        </is>
      </c>
      <c r="CO170" s="256" t="inlineStr">
        <is>
          <t>—</t>
        </is>
      </c>
      <c r="CP170" s="256" t="inlineStr">
        <is>
          <t>—</t>
        </is>
      </c>
      <c r="CQ170" s="259" t="inlineStr">
        <is>
          <t>not tested</t>
        </is>
      </c>
      <c r="CR170" s="256" t="inlineStr">
        <is>
          <t>—</t>
        </is>
      </c>
      <c r="CS170" s="256" t="inlineStr">
        <is>
          <t>—</t>
        </is>
      </c>
      <c r="CT170" s="256" t="inlineStr">
        <is>
          <t>—</t>
        </is>
      </c>
      <c r="CU170" s="259" t="inlineStr">
        <is>
          <t>not tested</t>
        </is>
      </c>
      <c r="CV170" s="256" t="inlineStr">
        <is>
          <t>—</t>
        </is>
      </c>
      <c r="CW170" s="256" t="inlineStr">
        <is>
          <t>—</t>
        </is>
      </c>
      <c r="CX170" s="256" t="inlineStr">
        <is>
          <t>—</t>
        </is>
      </c>
      <c r="CY170" s="259" t="inlineStr">
        <is>
          <t>not tested</t>
        </is>
      </c>
      <c r="CZ170" s="256" t="inlineStr">
        <is>
          <t>—</t>
        </is>
      </c>
      <c r="DA170" s="256" t="inlineStr">
        <is>
          <t>—</t>
        </is>
      </c>
      <c r="DB170" s="256" t="inlineStr">
        <is>
          <t>—</t>
        </is>
      </c>
      <c r="DC170" s="259" t="inlineStr">
        <is>
          <t>not tested</t>
        </is>
      </c>
      <c r="DD170" s="256" t="inlineStr">
        <is>
          <t>—</t>
        </is>
      </c>
      <c r="DE170" s="256" t="inlineStr">
        <is>
          <t>—</t>
        </is>
      </c>
      <c r="DF170" s="256" t="inlineStr">
        <is>
          <t>—</t>
        </is>
      </c>
      <c r="DG170" s="259" t="inlineStr">
        <is>
          <t>not tested</t>
        </is>
      </c>
      <c r="DH170" s="256" t="inlineStr">
        <is>
          <t>—</t>
        </is>
      </c>
      <c r="DI170" s="256" t="inlineStr">
        <is>
          <t>—</t>
        </is>
      </c>
      <c r="DJ170" s="256" t="inlineStr">
        <is>
          <t>—</t>
        </is>
      </c>
      <c r="DK170" s="259" t="inlineStr">
        <is>
          <t>not tested</t>
        </is>
      </c>
      <c r="DL170" s="256" t="inlineStr">
        <is>
          <t>—</t>
        </is>
      </c>
      <c r="DM170" s="256" t="inlineStr">
        <is>
          <t>—</t>
        </is>
      </c>
      <c r="DN170" s="256" t="inlineStr">
        <is>
          <t>—</t>
        </is>
      </c>
      <c r="DO170" s="259" t="inlineStr">
        <is>
          <t>not tested</t>
        </is>
      </c>
      <c r="DP170" s="256" t="inlineStr">
        <is>
          <t>—</t>
        </is>
      </c>
      <c r="DQ170" s="256" t="inlineStr">
        <is>
          <t>—</t>
        </is>
      </c>
      <c r="DR170" s="256" t="inlineStr">
        <is>
          <t>—</t>
        </is>
      </c>
    </row>
    <row r="171">
      <c r="A171" s="256" t="inlineStr">
        <is>
          <t>CoQ-PP_26-170</t>
        </is>
      </c>
      <c r="B171" s="256" t="inlineStr">
        <is>
          <t>release</t>
        </is>
      </c>
      <c r="C171" s="256" t="inlineStr">
        <is>
          <t>not yet issuable</t>
        </is>
      </c>
      <c r="D171" s="256" t="inlineStr">
        <is>
          <t>13.07.2026</t>
        </is>
      </c>
      <c r="E171" s="256" t="inlineStr">
        <is>
          <t>n/a — release certificate</t>
        </is>
      </c>
      <c r="F171" s="256" t="inlineStr">
        <is>
          <t>(assigned on issue)</t>
        </is>
      </c>
      <c r="G171" s="256" t="inlineStr">
        <is>
          <t>P160032</t>
        </is>
      </c>
      <c r="H171" s="256" t="inlineStr">
        <is>
          <t>— no P lot assigned —</t>
        </is>
      </c>
      <c r="I171" s="256" t="inlineStr">
        <is>
          <t>Grape Pie</t>
        </is>
      </c>
      <c r="J171" s="256" t="inlineStr">
        <is>
          <t>—</t>
        </is>
      </c>
      <c r="K171" s="256" t="inlineStr">
        <is>
          <t>—</t>
        </is>
      </c>
      <c r="L171" s="256" t="inlineStr">
        <is>
          <t>—</t>
        </is>
      </c>
      <c r="M171" s="256" t="inlineStr">
        <is>
          <t>—</t>
        </is>
      </c>
      <c r="N171" s="256" t="inlineStr">
        <is>
          <t>iCoA-PP_26-098</t>
        </is>
      </c>
      <c r="O171" s="256" t="inlineStr">
        <is>
          <t>06.07.2026</t>
        </is>
      </c>
      <c r="P171" s="256" t="inlineStr">
        <is>
          <t>—</t>
        </is>
      </c>
      <c r="Q171" s="256" t="inlineStr">
        <is>
          <t>—</t>
        </is>
      </c>
      <c r="R171" s="256" t="inlineStr">
        <is>
          <t>24.78</t>
        </is>
      </c>
      <c r="S171" s="256" t="inlineStr">
        <is>
          <t>ППК26119</t>
        </is>
      </c>
      <c r="T171" s="256" t="inlineStr">
        <is>
          <t>II</t>
        </is>
      </c>
      <c r="U171" s="256" t="inlineStr">
        <is>
          <t>22.00 – 25.99 %</t>
        </is>
      </c>
      <c r="V171" s="256" t="inlineStr">
        <is>
          <t>GP_THC24 : CBD1</t>
        </is>
      </c>
      <c r="W171" s="256" t="inlineStr">
        <is>
          <t>QCSP_001_GP-II_v.01</t>
        </is>
      </c>
      <c r="X171" s="256" t="inlineStr">
        <is>
          <t>for review — replaces the issued QCSP_001_GP-II_v.01 (was GP_THC26 : CBD1, 25.40 – 26.60 %); now GP_THC24 : CBD1 22.00 – 25.99 %</t>
        </is>
      </c>
      <c r="Y171" s="256" t="inlineStr">
        <is>
          <t>HYBRID</t>
        </is>
      </c>
      <c r="Z171" s="256" t="inlineStr">
        <is>
          <t>THC</t>
        </is>
      </c>
      <c r="AA171" s="256" t="inlineStr">
        <is>
          <t>MACHINE TRIMMED</t>
        </is>
      </c>
      <c r="AB171" s="256" t="inlineStr">
        <is>
          <t>INDICA-DOMINANT</t>
        </is>
      </c>
      <c r="AC171" s="256" t="inlineStr">
        <is>
          <t>Triplex Alu Bag | Триплекс Aлу Kеса, PET 12 · ALU 7 · PE 80, 300 × 500 mm, net. 400.0 g ±3%</t>
        </is>
      </c>
      <c r="AD171" s="256" t="inlineStr">
        <is>
          <t>06.07.2026</t>
        </is>
      </c>
      <c r="AE171" s="256" t="inlineStr">
        <is>
          <t>Conforms | Одговара</t>
        </is>
      </c>
      <c r="AF171" s="256" t="inlineStr">
        <is>
          <t>ППК26119</t>
        </is>
      </c>
      <c r="AG171" s="256" t="inlineStr">
        <is>
          <t>06.07.2026</t>
        </is>
      </c>
      <c r="AH171" s="256" t="inlineStr">
        <is>
          <t>UKIM Faculty of Pharmacy — Center for Natural Products</t>
        </is>
      </c>
      <c r="AI171" s="256" t="inlineStr">
        <is>
          <t>Conforms | Одговара</t>
        </is>
      </c>
      <c r="AJ171" s="256" t="inlineStr">
        <is>
          <t>ППК26119</t>
        </is>
      </c>
      <c r="AK171" s="256" t="inlineStr">
        <is>
          <t>06.07.2026</t>
        </is>
      </c>
      <c r="AL171" s="256" t="inlineStr">
        <is>
          <t>UKIM Faculty of Pharmacy — Center for Natural Products</t>
        </is>
      </c>
      <c r="AM171" s="256" t="inlineStr">
        <is>
          <t>Conforms | Одговара</t>
        </is>
      </c>
      <c r="AN171" s="256" t="inlineStr">
        <is>
          <t>ППК26119</t>
        </is>
      </c>
      <c r="AO171" s="256" t="inlineStr">
        <is>
          <t>06.07.2026</t>
        </is>
      </c>
      <c r="AP171" s="256" t="inlineStr">
        <is>
          <t>UKIM Faculty of Pharmacy — Center for Natural Products</t>
        </is>
      </c>
      <c r="AQ171" s="256" t="inlineStr">
        <is>
          <t>24.78</t>
        </is>
      </c>
      <c r="AR171" s="256" t="inlineStr">
        <is>
          <t>ППК26119</t>
        </is>
      </c>
      <c r="AS171" s="256" t="inlineStr">
        <is>
          <t>06.07.2026</t>
        </is>
      </c>
      <c r="AT171" s="256" t="inlineStr">
        <is>
          <t>UKIM Faculty of Pharmacy — Center for Natural Products</t>
        </is>
      </c>
      <c r="AU171" s="256" t="inlineStr">
        <is>
          <t>0.06</t>
        </is>
      </c>
      <c r="AV171" s="256" t="inlineStr">
        <is>
          <t>ППК26119</t>
        </is>
      </c>
      <c r="AW171" s="256" t="inlineStr">
        <is>
          <t>06.07.2026</t>
        </is>
      </c>
      <c r="AX171" s="256" t="inlineStr">
        <is>
          <t>UKIM Faculty of Pharmacy — Center for Natural Products</t>
        </is>
      </c>
      <c r="AY171" s="256" t="inlineStr">
        <is>
          <t>0.08</t>
        </is>
      </c>
      <c r="AZ171" s="256" t="inlineStr">
        <is>
          <t>ППК26119</t>
        </is>
      </c>
      <c r="BA171" s="256" t="inlineStr">
        <is>
          <t>06.07.2026</t>
        </is>
      </c>
      <c r="BB171" s="256" t="inlineStr">
        <is>
          <t>UKIM Faculty of Pharmacy — Center for Natural Products</t>
        </is>
      </c>
      <c r="BC171" s="256" t="inlineStr">
        <is>
          <t>Conforms | Одговара</t>
        </is>
      </c>
      <c r="BD171" s="256" t="inlineStr">
        <is>
          <t>ППК26119</t>
        </is>
      </c>
      <c r="BE171" s="256" t="inlineStr">
        <is>
          <t>06.07.2026</t>
        </is>
      </c>
      <c r="BF171" s="256" t="inlineStr">
        <is>
          <t>UKIM Faculty of Pharmacy — Center for Natural Products</t>
        </is>
      </c>
      <c r="BG171" s="256" t="inlineStr">
        <is>
          <t>6.78</t>
        </is>
      </c>
      <c r="BH171" s="256" t="inlineStr">
        <is>
          <t>ППК26119</t>
        </is>
      </c>
      <c r="BI171" s="256" t="inlineStr">
        <is>
          <t>06.07.2026</t>
        </is>
      </c>
      <c r="BJ171" s="256" t="inlineStr">
        <is>
          <t>UKIM Faculty of Pharmacy — Center for Natural Products</t>
        </is>
      </c>
      <c r="BK171" s="259" t="inlineStr">
        <is>
          <t>not tested</t>
        </is>
      </c>
      <c r="BL171" s="256" t="inlineStr">
        <is>
          <t>—</t>
        </is>
      </c>
      <c r="BM171" s="256" t="inlineStr">
        <is>
          <t>—</t>
        </is>
      </c>
      <c r="BN171" s="256" t="inlineStr">
        <is>
          <t>—</t>
        </is>
      </c>
      <c r="BO171" s="259" t="inlineStr">
        <is>
          <t>not tested</t>
        </is>
      </c>
      <c r="BP171" s="256" t="inlineStr">
        <is>
          <t>—</t>
        </is>
      </c>
      <c r="BQ171" s="256" t="inlineStr">
        <is>
          <t>—</t>
        </is>
      </c>
      <c r="BR171" s="256" t="inlineStr">
        <is>
          <t>—</t>
        </is>
      </c>
      <c r="BS171" s="259" t="inlineStr">
        <is>
          <t>not tested</t>
        </is>
      </c>
      <c r="BT171" s="256" t="inlineStr">
        <is>
          <t>—</t>
        </is>
      </c>
      <c r="BU171" s="256" t="inlineStr">
        <is>
          <t>—</t>
        </is>
      </c>
      <c r="BV171" s="256" t="inlineStr">
        <is>
          <t>—</t>
        </is>
      </c>
      <c r="BW171" s="259" t="inlineStr">
        <is>
          <t>not tested</t>
        </is>
      </c>
      <c r="BX171" s="256" t="inlineStr">
        <is>
          <t>—</t>
        </is>
      </c>
      <c r="BY171" s="256" t="inlineStr">
        <is>
          <t>—</t>
        </is>
      </c>
      <c r="BZ171" s="256" t="inlineStr">
        <is>
          <t>—</t>
        </is>
      </c>
      <c r="CA171" s="259" t="inlineStr">
        <is>
          <t>not tested</t>
        </is>
      </c>
      <c r="CB171" s="256" t="inlineStr">
        <is>
          <t>—</t>
        </is>
      </c>
      <c r="CC171" s="256" t="inlineStr">
        <is>
          <t>—</t>
        </is>
      </c>
      <c r="CD171" s="256" t="inlineStr">
        <is>
          <t>—</t>
        </is>
      </c>
      <c r="CE171" s="260" t="inlineStr">
        <is>
          <t>upon request — not required for release</t>
        </is>
      </c>
      <c r="CF171" s="256" t="inlineStr">
        <is>
          <t>—</t>
        </is>
      </c>
      <c r="CG171" s="256" t="inlineStr">
        <is>
          <t>—</t>
        </is>
      </c>
      <c r="CH171" s="256" t="inlineStr">
        <is>
          <t>—</t>
        </is>
      </c>
      <c r="CI171" s="260" t="inlineStr">
        <is>
          <t>upon request — not required for release</t>
        </is>
      </c>
      <c r="CJ171" s="256" t="inlineStr">
        <is>
          <t>—</t>
        </is>
      </c>
      <c r="CK171" s="256" t="inlineStr">
        <is>
          <t>—</t>
        </is>
      </c>
      <c r="CL171" s="256" t="inlineStr">
        <is>
          <t>—</t>
        </is>
      </c>
      <c r="CM171" s="259" t="inlineStr">
        <is>
          <t>not tested</t>
        </is>
      </c>
      <c r="CN171" s="256" t="inlineStr">
        <is>
          <t>—</t>
        </is>
      </c>
      <c r="CO171" s="256" t="inlineStr">
        <is>
          <t>—</t>
        </is>
      </c>
      <c r="CP171" s="256" t="inlineStr">
        <is>
          <t>—</t>
        </is>
      </c>
      <c r="CQ171" s="259" t="inlineStr">
        <is>
          <t>not tested</t>
        </is>
      </c>
      <c r="CR171" s="256" t="inlineStr">
        <is>
          <t>—</t>
        </is>
      </c>
      <c r="CS171" s="256" t="inlineStr">
        <is>
          <t>—</t>
        </is>
      </c>
      <c r="CT171" s="256" t="inlineStr">
        <is>
          <t>—</t>
        </is>
      </c>
      <c r="CU171" s="259" t="inlineStr">
        <is>
          <t>not tested</t>
        </is>
      </c>
      <c r="CV171" s="256" t="inlineStr">
        <is>
          <t>—</t>
        </is>
      </c>
      <c r="CW171" s="256" t="inlineStr">
        <is>
          <t>—</t>
        </is>
      </c>
      <c r="CX171" s="256" t="inlineStr">
        <is>
          <t>—</t>
        </is>
      </c>
      <c r="CY171" s="259" t="inlineStr">
        <is>
          <t>not tested</t>
        </is>
      </c>
      <c r="CZ171" s="256" t="inlineStr">
        <is>
          <t>—</t>
        </is>
      </c>
      <c r="DA171" s="256" t="inlineStr">
        <is>
          <t>—</t>
        </is>
      </c>
      <c r="DB171" s="256" t="inlineStr">
        <is>
          <t>—</t>
        </is>
      </c>
      <c r="DC171" s="259" t="inlineStr">
        <is>
          <t>not tested</t>
        </is>
      </c>
      <c r="DD171" s="256" t="inlineStr">
        <is>
          <t>—</t>
        </is>
      </c>
      <c r="DE171" s="256" t="inlineStr">
        <is>
          <t>—</t>
        </is>
      </c>
      <c r="DF171" s="256" t="inlineStr">
        <is>
          <t>—</t>
        </is>
      </c>
      <c r="DG171" s="259" t="inlineStr">
        <is>
          <t>not tested</t>
        </is>
      </c>
      <c r="DH171" s="256" t="inlineStr">
        <is>
          <t>—</t>
        </is>
      </c>
      <c r="DI171" s="256" t="inlineStr">
        <is>
          <t>—</t>
        </is>
      </c>
      <c r="DJ171" s="256" t="inlineStr">
        <is>
          <t>—</t>
        </is>
      </c>
      <c r="DK171" s="259" t="inlineStr">
        <is>
          <t>not tested</t>
        </is>
      </c>
      <c r="DL171" s="256" t="inlineStr">
        <is>
          <t>—</t>
        </is>
      </c>
      <c r="DM171" s="256" t="inlineStr">
        <is>
          <t>—</t>
        </is>
      </c>
      <c r="DN171" s="256" t="inlineStr">
        <is>
          <t>—</t>
        </is>
      </c>
      <c r="DO171" s="259" t="inlineStr">
        <is>
          <t>not tested</t>
        </is>
      </c>
      <c r="DP171" s="256" t="inlineStr">
        <is>
          <t>—</t>
        </is>
      </c>
      <c r="DQ171" s="256" t="inlineStr">
        <is>
          <t>—</t>
        </is>
      </c>
      <c r="DR171" s="256" t="inlineStr">
        <is>
          <t>—</t>
        </is>
      </c>
    </row>
    <row r="172">
      <c r="A172" s="256" t="inlineStr">
        <is>
          <t>CoQ-PP_26-171</t>
        </is>
      </c>
      <c r="B172" s="256" t="inlineStr">
        <is>
          <t>reissue — retest</t>
        </is>
      </c>
      <c r="C172" s="256" t="inlineStr">
        <is>
          <t>not yet issuable</t>
        </is>
      </c>
      <c r="D172" s="256" t="inlineStr">
        <is>
          <t>18.09.2026</t>
        </is>
      </c>
      <c r="E172" s="256" t="inlineStr">
        <is>
          <t>— initial certificate not yet numbered — of</t>
        </is>
      </c>
      <c r="F172" s="256" t="inlineStr">
        <is>
          <t>(assigned on issue)</t>
        </is>
      </c>
      <c r="G172" s="256" t="inlineStr">
        <is>
          <t>CC042601</t>
        </is>
      </c>
      <c r="H172" s="256" t="inlineStr">
        <is>
          <t>— no P lot assigned —</t>
        </is>
      </c>
      <c r="I172" s="256" t="inlineStr">
        <is>
          <t>Cash Cow</t>
        </is>
      </c>
      <c r="J172" s="256" t="inlineStr">
        <is>
          <t>—</t>
        </is>
      </c>
      <c r="K172" s="256" t="inlineStr">
        <is>
          <t>—</t>
        </is>
      </c>
      <c r="L172" s="256" t="inlineStr">
        <is>
          <t>—</t>
        </is>
      </c>
      <c r="M172" s="256" t="inlineStr">
        <is>
          <t>—</t>
        </is>
      </c>
      <c r="N172" s="256" t="inlineStr">
        <is>
          <t>iCoA-PP_26-146</t>
        </is>
      </c>
      <c r="O172" s="256" t="inlineStr">
        <is>
          <t>17.08.2026</t>
        </is>
      </c>
      <c r="P172" s="256" t="inlineStr">
        <is>
          <t>14.08.2026</t>
        </is>
      </c>
      <c r="Q172" s="256" t="inlineStr">
        <is>
          <t>Tranche 2</t>
        </is>
      </c>
      <c r="R172" s="256" t="inlineStr">
        <is>
          <t>14.90</t>
        </is>
      </c>
      <c r="S172" s="256" t="inlineStr">
        <is>
          <t>220-32-К/26</t>
        </is>
      </c>
      <c r="T172" s="256" t="inlineStr">
        <is>
          <t>II</t>
        </is>
      </c>
      <c r="U172" s="256" t="inlineStr">
        <is>
          <t>12.65 – 15.34 %</t>
        </is>
      </c>
      <c r="V172" s="256" t="inlineStr">
        <is>
          <t>CC_THC14 : CBD1</t>
        </is>
      </c>
      <c r="W172" s="256" t="inlineStr">
        <is>
          <t>QCSP_001_CC-II_v.01</t>
        </is>
      </c>
      <c r="X172" s="256" t="inlineStr">
        <is>
          <t>for review — replaces the issued QCSP_001_CC-II_v.01 (was CC_THC14 : CBD1, 12.60 – 15.40 %); now CC_THC14 : CBD1 12.65 – 15.34 %</t>
        </is>
      </c>
      <c r="Y172" s="256" t="inlineStr">
        <is>
          <t>HYBRID</t>
        </is>
      </c>
      <c r="Z172" s="256" t="inlineStr">
        <is>
          <t>THC</t>
        </is>
      </c>
      <c r="AA172" s="256" t="inlineStr">
        <is>
          <t>MACHINE TRIMMED</t>
        </is>
      </c>
      <c r="AB172" s="256" t="inlineStr">
        <is>
          <t>INDICA 70 : SATIVA 30</t>
        </is>
      </c>
      <c r="AC172" s="256" t="inlineStr">
        <is>
          <t>Triplex Alu Bag | Триплекс Aлу Kеса, PET 12 · ALU 7 · PE 80, 300 × 500 mm, net. 400.0 g ±3%</t>
        </is>
      </c>
      <c r="AD172" s="256" t="inlineStr">
        <is>
          <t>11.09.2026</t>
        </is>
      </c>
      <c r="AE172" s="256" t="inlineStr">
        <is>
          <t>Conforms | Одговара</t>
        </is>
      </c>
      <c r="AF172" s="256" t="inlineStr">
        <is>
          <t>iCoA-PP_26-146</t>
        </is>
      </c>
      <c r="AG172" s="256" t="inlineStr">
        <is>
          <t>17.08.2026</t>
        </is>
      </c>
      <c r="AH172" s="256" t="inlineStr">
        <is>
          <t>Purely Plant GmbH (in-house)</t>
        </is>
      </c>
      <c r="AI172" s="256" t="inlineStr">
        <is>
          <t>Conforms | Одговара</t>
        </is>
      </c>
      <c r="AJ172" s="256" t="inlineStr">
        <is>
          <t>iCoA-PP_26-146</t>
        </is>
      </c>
      <c r="AK172" s="256" t="inlineStr">
        <is>
          <t>17.08.2026</t>
        </is>
      </c>
      <c r="AL172" s="256" t="inlineStr">
        <is>
          <t>Purely Plant GmbH (in-house)</t>
        </is>
      </c>
      <c r="AM172" s="256" t="inlineStr">
        <is>
          <t>Conforms | Одговара</t>
        </is>
      </c>
      <c r="AN172" s="256" t="inlineStr">
        <is>
          <t>220-32-К/26</t>
        </is>
      </c>
      <c r="AO172" s="256" t="inlineStr">
        <is>
          <t>26.08.2026</t>
        </is>
      </c>
      <c r="AP172" s="256" t="inlineStr">
        <is>
          <t>Farmahem</t>
        </is>
      </c>
      <c r="AQ172" s="256" t="inlineStr">
        <is>
          <t>14.90</t>
        </is>
      </c>
      <c r="AR172" s="256" t="inlineStr">
        <is>
          <t>220-32-К/26</t>
        </is>
      </c>
      <c r="AS172" s="256" t="inlineStr">
        <is>
          <t>26.08.2026</t>
        </is>
      </c>
      <c r="AT172" s="256" t="inlineStr">
        <is>
          <t>Farmahem</t>
        </is>
      </c>
      <c r="AU172" s="256" t="inlineStr">
        <is>
          <t>&lt; LOQ</t>
        </is>
      </c>
      <c r="AV172" s="256" t="inlineStr">
        <is>
          <t>220-32-К/26</t>
        </is>
      </c>
      <c r="AW172" s="256" t="inlineStr">
        <is>
          <t>26.08.2026</t>
        </is>
      </c>
      <c r="AX172" s="256" t="inlineStr">
        <is>
          <t>Farmahem</t>
        </is>
      </c>
      <c r="AY172" s="256" t="inlineStr">
        <is>
          <t>&lt; LOQ</t>
        </is>
      </c>
      <c r="AZ172" s="256" t="inlineStr">
        <is>
          <t>220-32-К/26</t>
        </is>
      </c>
      <c r="BA172" s="256" t="inlineStr">
        <is>
          <t>26.08.2026</t>
        </is>
      </c>
      <c r="BB172" s="256" t="inlineStr">
        <is>
          <t>Farmahem</t>
        </is>
      </c>
      <c r="BC172" s="256" t="inlineStr">
        <is>
          <t>Conforms | Одговара</t>
        </is>
      </c>
      <c r="BD172" s="256" t="inlineStr">
        <is>
          <t>iCoA-PP_26-146</t>
        </is>
      </c>
      <c r="BE172" s="256" t="inlineStr">
        <is>
          <t>17.08.2026</t>
        </is>
      </c>
      <c r="BF172" s="256" t="inlineStr">
        <is>
          <t>Purely Plant GmbH (in-house)</t>
        </is>
      </c>
      <c r="BG172" s="256" t="inlineStr">
        <is>
          <t>carried from the initial testing — not tested</t>
        </is>
      </c>
      <c r="BH172" s="256" t="inlineStr">
        <is>
          <t>—</t>
        </is>
      </c>
      <c r="BI172" s="256" t="inlineStr">
        <is>
          <t>—</t>
        </is>
      </c>
      <c r="BJ172" s="256" t="inlineStr">
        <is>
          <t>—</t>
        </is>
      </c>
      <c r="BK172" s="256" t="inlineStr">
        <is>
          <t>carried from the initial testing — not tested</t>
        </is>
      </c>
      <c r="BL172" s="256" t="inlineStr">
        <is>
          <t>—</t>
        </is>
      </c>
      <c r="BM172" s="256" t="inlineStr">
        <is>
          <t>—</t>
        </is>
      </c>
      <c r="BN172" s="256" t="inlineStr">
        <is>
          <t>—</t>
        </is>
      </c>
      <c r="BO172" s="256" t="inlineStr">
        <is>
          <t>carried from the initial testing — not tested</t>
        </is>
      </c>
      <c r="BP172" s="256" t="inlineStr">
        <is>
          <t>—</t>
        </is>
      </c>
      <c r="BQ172" s="256" t="inlineStr">
        <is>
          <t>—</t>
        </is>
      </c>
      <c r="BR172" s="256" t="inlineStr">
        <is>
          <t>—</t>
        </is>
      </c>
      <c r="BS172" s="256" t="inlineStr">
        <is>
          <t>carried from the initial testing — not tested</t>
        </is>
      </c>
      <c r="BT172" s="256" t="inlineStr">
        <is>
          <t>—</t>
        </is>
      </c>
      <c r="BU172" s="256" t="inlineStr">
        <is>
          <t>—</t>
        </is>
      </c>
      <c r="BV172" s="256" t="inlineStr">
        <is>
          <t>—</t>
        </is>
      </c>
      <c r="BW172" s="256" t="inlineStr">
        <is>
          <t>carried from the initial testing — not tested</t>
        </is>
      </c>
      <c r="BX172" s="256" t="inlineStr">
        <is>
          <t>—</t>
        </is>
      </c>
      <c r="BY172" s="256" t="inlineStr">
        <is>
          <t>—</t>
        </is>
      </c>
      <c r="BZ172" s="256" t="inlineStr">
        <is>
          <t>—</t>
        </is>
      </c>
      <c r="CA172" s="256" t="inlineStr">
        <is>
          <t>carried from the initial testing — not tested</t>
        </is>
      </c>
      <c r="CB172" s="256" t="inlineStr">
        <is>
          <t>—</t>
        </is>
      </c>
      <c r="CC172" s="256" t="inlineStr">
        <is>
          <t>—</t>
        </is>
      </c>
      <c r="CD172" s="256" t="inlineStr">
        <is>
          <t>—</t>
        </is>
      </c>
      <c r="CE172" s="260" t="inlineStr">
        <is>
          <t>upon request — not required for release</t>
        </is>
      </c>
      <c r="CF172" s="256" t="inlineStr">
        <is>
          <t>—</t>
        </is>
      </c>
      <c r="CG172" s="256" t="inlineStr">
        <is>
          <t>—</t>
        </is>
      </c>
      <c r="CH172" s="256" t="inlineStr">
        <is>
          <t>—</t>
        </is>
      </c>
      <c r="CI172" s="260" t="inlineStr">
        <is>
          <t>upon request — not required for release</t>
        </is>
      </c>
      <c r="CJ172" s="256" t="inlineStr">
        <is>
          <t>—</t>
        </is>
      </c>
      <c r="CK172" s="256" t="inlineStr">
        <is>
          <t>—</t>
        </is>
      </c>
      <c r="CL172" s="256" t="inlineStr">
        <is>
          <t>—</t>
        </is>
      </c>
      <c r="CM172" s="256" t="inlineStr">
        <is>
          <t>ND</t>
        </is>
      </c>
      <c r="CN172" s="256" t="inlineStr">
        <is>
          <t>220-32-М/26</t>
        </is>
      </c>
      <c r="CO172" s="256" t="inlineStr">
        <is>
          <t>11.09.2026</t>
        </is>
      </c>
      <c r="CP172" s="256" t="inlineStr">
        <is>
          <t>Farmahem</t>
        </is>
      </c>
      <c r="CQ172" s="256" t="inlineStr">
        <is>
          <t>ND</t>
        </is>
      </c>
      <c r="CR172" s="256" t="inlineStr">
        <is>
          <t>220-32-М/26</t>
        </is>
      </c>
      <c r="CS172" s="256" t="inlineStr">
        <is>
          <t>11.09.2026</t>
        </is>
      </c>
      <c r="CT172" s="256" t="inlineStr">
        <is>
          <t>Farmahem</t>
        </is>
      </c>
      <c r="CU172" s="256" t="inlineStr">
        <is>
          <t>ND</t>
        </is>
      </c>
      <c r="CV172" s="256" t="inlineStr">
        <is>
          <t>220-32-М/26</t>
        </is>
      </c>
      <c r="CW172" s="256" t="inlineStr">
        <is>
          <t>11.09.2026</t>
        </is>
      </c>
      <c r="CX172" s="256" t="inlineStr">
        <is>
          <t>Farmahem</t>
        </is>
      </c>
      <c r="CY172" s="256" t="inlineStr">
        <is>
          <t>carried from the initial testing — not tested</t>
        </is>
      </c>
      <c r="CZ172" s="256" t="inlineStr">
        <is>
          <t>—</t>
        </is>
      </c>
      <c r="DA172" s="256" t="inlineStr">
        <is>
          <t>—</t>
        </is>
      </c>
      <c r="DB172" s="256" t="inlineStr">
        <is>
          <t>—</t>
        </is>
      </c>
      <c r="DC172" s="256" t="inlineStr">
        <is>
          <t>carried from the initial testing — not tested</t>
        </is>
      </c>
      <c r="DD172" s="256" t="inlineStr">
        <is>
          <t>—</t>
        </is>
      </c>
      <c r="DE172" s="256" t="inlineStr">
        <is>
          <t>—</t>
        </is>
      </c>
      <c r="DF172" s="256" t="inlineStr">
        <is>
          <t>—</t>
        </is>
      </c>
      <c r="DG172" s="256" t="inlineStr">
        <is>
          <t>carried from the initial testing — not tested</t>
        </is>
      </c>
      <c r="DH172" s="256" t="inlineStr">
        <is>
          <t>—</t>
        </is>
      </c>
      <c r="DI172" s="256" t="inlineStr">
        <is>
          <t>—</t>
        </is>
      </c>
      <c r="DJ172" s="256" t="inlineStr">
        <is>
          <t>—</t>
        </is>
      </c>
      <c r="DK172" s="256" t="inlineStr">
        <is>
          <t>carried from the initial testing — not tested</t>
        </is>
      </c>
      <c r="DL172" s="256" t="inlineStr">
        <is>
          <t>—</t>
        </is>
      </c>
      <c r="DM172" s="256" t="inlineStr">
        <is>
          <t>—</t>
        </is>
      </c>
      <c r="DN172" s="256" t="inlineStr">
        <is>
          <t>—</t>
        </is>
      </c>
      <c r="DO172" s="256" t="inlineStr">
        <is>
          <t>carried from the initial testing — not tested</t>
        </is>
      </c>
      <c r="DP172" s="256" t="inlineStr">
        <is>
          <t>—</t>
        </is>
      </c>
      <c r="DQ172" s="256" t="inlineStr">
        <is>
          <t>—</t>
        </is>
      </c>
      <c r="DR172" s="256" t="inlineStr">
        <is>
          <t>—</t>
        </is>
      </c>
    </row>
    <row r="173">
      <c r="A173" s="256" t="inlineStr">
        <is>
          <t>CoQ-PP_26-172</t>
        </is>
      </c>
      <c r="B173" s="256" t="inlineStr">
        <is>
          <t>reissue — retest</t>
        </is>
      </c>
      <c r="C173" s="256" t="inlineStr">
        <is>
          <t>not yet issuable</t>
        </is>
      </c>
      <c r="D173" s="256" t="inlineStr">
        <is>
          <t>18.09.2026</t>
        </is>
      </c>
      <c r="E173" s="256" t="inlineStr">
        <is>
          <t>— initial certificate not yet numbered — of</t>
        </is>
      </c>
      <c r="F173" s="256" t="inlineStr">
        <is>
          <t>(assigned on issue)</t>
        </is>
      </c>
      <c r="G173" s="256" t="inlineStr">
        <is>
          <t>FB042601</t>
        </is>
      </c>
      <c r="H173" s="256" t="inlineStr">
        <is>
          <t>— no P lot assigned —</t>
        </is>
      </c>
      <c r="I173" s="256" t="inlineStr">
        <is>
          <t>Fat Bastard</t>
        </is>
      </c>
      <c r="J173" s="256" t="inlineStr">
        <is>
          <t>—</t>
        </is>
      </c>
      <c r="K173" s="256" t="inlineStr">
        <is>
          <t>—</t>
        </is>
      </c>
      <c r="L173" s="256" t="inlineStr">
        <is>
          <t>—</t>
        </is>
      </c>
      <c r="M173" s="256" t="inlineStr">
        <is>
          <t>—</t>
        </is>
      </c>
      <c r="N173" s="256" t="inlineStr">
        <is>
          <t>iCoA-PP_26-147</t>
        </is>
      </c>
      <c r="O173" s="256" t="inlineStr">
        <is>
          <t>17.08.2026</t>
        </is>
      </c>
      <c r="P173" s="256" t="inlineStr">
        <is>
          <t>14.08.2026</t>
        </is>
      </c>
      <c r="Q173" s="256" t="inlineStr">
        <is>
          <t>Tranche 2</t>
        </is>
      </c>
      <c r="R173" s="256" t="inlineStr">
        <is>
          <t>14.99</t>
        </is>
      </c>
      <c r="S173" s="256" t="inlineStr">
        <is>
          <t>220-31-К/26</t>
        </is>
      </c>
      <c r="T173" s="256" t="inlineStr">
        <is>
          <t>III</t>
        </is>
      </c>
      <c r="U173" s="256" t="inlineStr">
        <is>
          <t>13.80 – 16.19 %</t>
        </is>
      </c>
      <c r="V173" s="256" t="inlineStr">
        <is>
          <t>FB_THC15 : CBD1</t>
        </is>
      </c>
      <c r="W173" s="256" t="inlineStr">
        <is>
          <t>QCSP_001_FB-III_v.01</t>
        </is>
      </c>
      <c r="X173" s="256" t="inlineStr">
        <is>
          <t>for review — replaces the issued QCSP_001_FB-III_v.01 (was FB_THC16 : CBD1, 14.86 – 17.14 %); now FB_THC15 : CBD1 13.80 – 16.19 %</t>
        </is>
      </c>
      <c r="Y173" s="256" t="inlineStr">
        <is>
          <t>HYBRID</t>
        </is>
      </c>
      <c r="Z173" s="256" t="inlineStr">
        <is>
          <t>THC</t>
        </is>
      </c>
      <c r="AA173" s="256" t="inlineStr">
        <is>
          <t>MACHINE TRIMMED</t>
        </is>
      </c>
      <c r="AB173" s="256" t="inlineStr">
        <is>
          <t>BALANCED</t>
        </is>
      </c>
      <c r="AC173" s="256" t="inlineStr">
        <is>
          <t>Triplex Alu Bag | Триплекс Aлу Kеса, PET 12 · ALU 7 · PE 80, 300 × 500 mm, net. 400.0 g ±3%</t>
        </is>
      </c>
      <c r="AD173" s="256" t="inlineStr">
        <is>
          <t>11.09.2026</t>
        </is>
      </c>
      <c r="AE173" s="256" t="inlineStr">
        <is>
          <t>Conforms | Одговара</t>
        </is>
      </c>
      <c r="AF173" s="256" t="inlineStr">
        <is>
          <t>iCoA-PP_26-147</t>
        </is>
      </c>
      <c r="AG173" s="256" t="inlineStr">
        <is>
          <t>17.08.2026</t>
        </is>
      </c>
      <c r="AH173" s="256" t="inlineStr">
        <is>
          <t>Purely Plant GmbH (in-house)</t>
        </is>
      </c>
      <c r="AI173" s="256" t="inlineStr">
        <is>
          <t>Conforms | Одговара</t>
        </is>
      </c>
      <c r="AJ173" s="256" t="inlineStr">
        <is>
          <t>iCoA-PP_26-147</t>
        </is>
      </c>
      <c r="AK173" s="256" t="inlineStr">
        <is>
          <t>17.08.2026</t>
        </is>
      </c>
      <c r="AL173" s="256" t="inlineStr">
        <is>
          <t>Purely Plant GmbH (in-house)</t>
        </is>
      </c>
      <c r="AM173" s="256" t="inlineStr">
        <is>
          <t>Conforms | Одговара</t>
        </is>
      </c>
      <c r="AN173" s="256" t="inlineStr">
        <is>
          <t>220-31-К/26</t>
        </is>
      </c>
      <c r="AO173" s="256" t="inlineStr">
        <is>
          <t>26.08.2026</t>
        </is>
      </c>
      <c r="AP173" s="256" t="inlineStr">
        <is>
          <t>Farmahem</t>
        </is>
      </c>
      <c r="AQ173" s="256" t="inlineStr">
        <is>
          <t>14.99</t>
        </is>
      </c>
      <c r="AR173" s="256" t="inlineStr">
        <is>
          <t>220-31-К/26</t>
        </is>
      </c>
      <c r="AS173" s="256" t="inlineStr">
        <is>
          <t>26.08.2026</t>
        </is>
      </c>
      <c r="AT173" s="256" t="inlineStr">
        <is>
          <t>Farmahem</t>
        </is>
      </c>
      <c r="AU173" s="256" t="inlineStr">
        <is>
          <t>&lt; LOQ</t>
        </is>
      </c>
      <c r="AV173" s="256" t="inlineStr">
        <is>
          <t>220-31-К/26</t>
        </is>
      </c>
      <c r="AW173" s="256" t="inlineStr">
        <is>
          <t>26.08.2026</t>
        </is>
      </c>
      <c r="AX173" s="256" t="inlineStr">
        <is>
          <t>Farmahem</t>
        </is>
      </c>
      <c r="AY173" s="256" t="inlineStr">
        <is>
          <t>&lt; LOQ</t>
        </is>
      </c>
      <c r="AZ173" s="256" t="inlineStr">
        <is>
          <t>220-31-К/26</t>
        </is>
      </c>
      <c r="BA173" s="256" t="inlineStr">
        <is>
          <t>26.08.2026</t>
        </is>
      </c>
      <c r="BB173" s="256" t="inlineStr">
        <is>
          <t>Farmahem</t>
        </is>
      </c>
      <c r="BC173" s="256" t="inlineStr">
        <is>
          <t>Conforms | Одговара</t>
        </is>
      </c>
      <c r="BD173" s="256" t="inlineStr">
        <is>
          <t>iCoA-PP_26-147</t>
        </is>
      </c>
      <c r="BE173" s="256" t="inlineStr">
        <is>
          <t>17.08.2026</t>
        </is>
      </c>
      <c r="BF173" s="256" t="inlineStr">
        <is>
          <t>Purely Plant GmbH (in-house)</t>
        </is>
      </c>
      <c r="BG173" s="256" t="inlineStr">
        <is>
          <t>carried from the initial testing — not tested</t>
        </is>
      </c>
      <c r="BH173" s="256" t="inlineStr">
        <is>
          <t>—</t>
        </is>
      </c>
      <c r="BI173" s="256" t="inlineStr">
        <is>
          <t>—</t>
        </is>
      </c>
      <c r="BJ173" s="256" t="inlineStr">
        <is>
          <t>—</t>
        </is>
      </c>
      <c r="BK173" s="256" t="inlineStr">
        <is>
          <t>carried from the initial testing — not tested</t>
        </is>
      </c>
      <c r="BL173" s="256" t="inlineStr">
        <is>
          <t>—</t>
        </is>
      </c>
      <c r="BM173" s="256" t="inlineStr">
        <is>
          <t>—</t>
        </is>
      </c>
      <c r="BN173" s="256" t="inlineStr">
        <is>
          <t>—</t>
        </is>
      </c>
      <c r="BO173" s="256" t="inlineStr">
        <is>
          <t>carried from the initial testing — not tested</t>
        </is>
      </c>
      <c r="BP173" s="256" t="inlineStr">
        <is>
          <t>—</t>
        </is>
      </c>
      <c r="BQ173" s="256" t="inlineStr">
        <is>
          <t>—</t>
        </is>
      </c>
      <c r="BR173" s="256" t="inlineStr">
        <is>
          <t>—</t>
        </is>
      </c>
      <c r="BS173" s="256" t="inlineStr">
        <is>
          <t>carried from the initial testing — not tested</t>
        </is>
      </c>
      <c r="BT173" s="256" t="inlineStr">
        <is>
          <t>—</t>
        </is>
      </c>
      <c r="BU173" s="256" t="inlineStr">
        <is>
          <t>—</t>
        </is>
      </c>
      <c r="BV173" s="256" t="inlineStr">
        <is>
          <t>—</t>
        </is>
      </c>
      <c r="BW173" s="256" t="inlineStr">
        <is>
          <t>carried from the initial testing — not tested</t>
        </is>
      </c>
      <c r="BX173" s="256" t="inlineStr">
        <is>
          <t>—</t>
        </is>
      </c>
      <c r="BY173" s="256" t="inlineStr">
        <is>
          <t>—</t>
        </is>
      </c>
      <c r="BZ173" s="256" t="inlineStr">
        <is>
          <t>—</t>
        </is>
      </c>
      <c r="CA173" s="256" t="inlineStr">
        <is>
          <t>carried from the initial testing — not tested</t>
        </is>
      </c>
      <c r="CB173" s="256" t="inlineStr">
        <is>
          <t>—</t>
        </is>
      </c>
      <c r="CC173" s="256" t="inlineStr">
        <is>
          <t>—</t>
        </is>
      </c>
      <c r="CD173" s="256" t="inlineStr">
        <is>
          <t>—</t>
        </is>
      </c>
      <c r="CE173" s="260" t="inlineStr">
        <is>
          <t>upon request — not required for release</t>
        </is>
      </c>
      <c r="CF173" s="256" t="inlineStr">
        <is>
          <t>—</t>
        </is>
      </c>
      <c r="CG173" s="256" t="inlineStr">
        <is>
          <t>—</t>
        </is>
      </c>
      <c r="CH173" s="256" t="inlineStr">
        <is>
          <t>—</t>
        </is>
      </c>
      <c r="CI173" s="260" t="inlineStr">
        <is>
          <t>upon request — not required for release</t>
        </is>
      </c>
      <c r="CJ173" s="256" t="inlineStr">
        <is>
          <t>—</t>
        </is>
      </c>
      <c r="CK173" s="256" t="inlineStr">
        <is>
          <t>—</t>
        </is>
      </c>
      <c r="CL173" s="256" t="inlineStr">
        <is>
          <t>—</t>
        </is>
      </c>
      <c r="CM173" s="256" t="inlineStr">
        <is>
          <t>ND</t>
        </is>
      </c>
      <c r="CN173" s="256" t="inlineStr">
        <is>
          <t>220-31-М/26</t>
        </is>
      </c>
      <c r="CO173" s="256" t="inlineStr">
        <is>
          <t>11.09.2026</t>
        </is>
      </c>
      <c r="CP173" s="256" t="inlineStr">
        <is>
          <t>Farmahem</t>
        </is>
      </c>
      <c r="CQ173" s="256" t="inlineStr">
        <is>
          <t>ND</t>
        </is>
      </c>
      <c r="CR173" s="256" t="inlineStr">
        <is>
          <t>220-31-М/26</t>
        </is>
      </c>
      <c r="CS173" s="256" t="inlineStr">
        <is>
          <t>11.09.2026</t>
        </is>
      </c>
      <c r="CT173" s="256" t="inlineStr">
        <is>
          <t>Farmahem</t>
        </is>
      </c>
      <c r="CU173" s="256" t="inlineStr">
        <is>
          <t>ND</t>
        </is>
      </c>
      <c r="CV173" s="256" t="inlineStr">
        <is>
          <t>220-31-М/26</t>
        </is>
      </c>
      <c r="CW173" s="256" t="inlineStr">
        <is>
          <t>11.09.2026</t>
        </is>
      </c>
      <c r="CX173" s="256" t="inlineStr">
        <is>
          <t>Farmahem</t>
        </is>
      </c>
      <c r="CY173" s="256" t="inlineStr">
        <is>
          <t>carried from the initial testing — not tested</t>
        </is>
      </c>
      <c r="CZ173" s="256" t="inlineStr">
        <is>
          <t>—</t>
        </is>
      </c>
      <c r="DA173" s="256" t="inlineStr">
        <is>
          <t>—</t>
        </is>
      </c>
      <c r="DB173" s="256" t="inlineStr">
        <is>
          <t>—</t>
        </is>
      </c>
      <c r="DC173" s="256" t="inlineStr">
        <is>
          <t>carried from the initial testing — not tested</t>
        </is>
      </c>
      <c r="DD173" s="256" t="inlineStr">
        <is>
          <t>—</t>
        </is>
      </c>
      <c r="DE173" s="256" t="inlineStr">
        <is>
          <t>—</t>
        </is>
      </c>
      <c r="DF173" s="256" t="inlineStr">
        <is>
          <t>—</t>
        </is>
      </c>
      <c r="DG173" s="256" t="inlineStr">
        <is>
          <t>carried from the initial testing — not tested</t>
        </is>
      </c>
      <c r="DH173" s="256" t="inlineStr">
        <is>
          <t>—</t>
        </is>
      </c>
      <c r="DI173" s="256" t="inlineStr">
        <is>
          <t>—</t>
        </is>
      </c>
      <c r="DJ173" s="256" t="inlineStr">
        <is>
          <t>—</t>
        </is>
      </c>
      <c r="DK173" s="256" t="inlineStr">
        <is>
          <t>carried from the initial testing — not tested</t>
        </is>
      </c>
      <c r="DL173" s="256" t="inlineStr">
        <is>
          <t>—</t>
        </is>
      </c>
      <c r="DM173" s="256" t="inlineStr">
        <is>
          <t>—</t>
        </is>
      </c>
      <c r="DN173" s="256" t="inlineStr">
        <is>
          <t>—</t>
        </is>
      </c>
      <c r="DO173" s="256" t="inlineStr">
        <is>
          <t>carried from the initial testing — not tested</t>
        </is>
      </c>
      <c r="DP173" s="256" t="inlineStr">
        <is>
          <t>—</t>
        </is>
      </c>
      <c r="DQ173" s="256" t="inlineStr">
        <is>
          <t>—</t>
        </is>
      </c>
      <c r="DR173" s="256" t="inlineStr">
        <is>
          <t>—</t>
        </is>
      </c>
    </row>
  </sheetData>
  <autoFilter ref="A1:DR173"/>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R3957"/>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16" customWidth="1" style="70" min="3" max="3"/>
    <col width="12" customWidth="1" style="70" min="4" max="4"/>
    <col width="18" customWidth="1" style="70" min="5" max="5"/>
    <col width="12" customWidth="1" style="70" min="6" max="6"/>
    <col width="6" customWidth="1" style="70" min="7" max="7"/>
    <col width="30" customWidth="1" style="70" min="8" max="8"/>
    <col width="34" customWidth="1" style="70" min="9" max="9"/>
    <col width="34" customWidth="1" style="70" min="10" max="10"/>
    <col width="22" customWidth="1" style="70" min="11" max="11"/>
    <col width="18" customWidth="1" style="70" min="12" max="12"/>
    <col width="11" customWidth="1" style="70" min="13" max="13"/>
    <col width="30" customWidth="1" style="70" min="14" max="14"/>
    <col width="11" customWidth="1" style="70" min="15" max="15"/>
    <col width="40" customWidth="1" style="70" min="16" max="16"/>
    <col width="30" customWidth="1" style="70" min="17" max="17"/>
    <col width="30" customWidth="1" style="70" min="18" max="18"/>
  </cols>
  <sheetData>
    <row r="1" ht="30" customHeight="1" s="70">
      <c r="A1" s="258" t="inlineStr">
        <is>
          <t>CoQ code</t>
        </is>
      </c>
      <c r="B1" s="258" t="inlineStr">
        <is>
          <t>Series</t>
        </is>
      </c>
      <c r="C1" s="258" t="inlineStr">
        <is>
          <t>Batch (cultivation)</t>
        </is>
      </c>
      <c r="D1" s="258" t="inlineStr">
        <is>
          <t>P lot</t>
        </is>
      </c>
      <c r="E1" s="258" t="inlineStr">
        <is>
          <t>Strain</t>
        </is>
      </c>
      <c r="F1" s="258" t="inlineStr">
        <is>
          <t>Date of issue</t>
        </is>
      </c>
      <c r="G1" s="258" t="inlineStr">
        <is>
          <t>#</t>
        </is>
      </c>
      <c r="H1" s="258" t="inlineStr">
        <is>
          <t>Parameter</t>
        </is>
      </c>
      <c r="I1" s="258" t="inlineStr">
        <is>
          <t>Method</t>
        </is>
      </c>
      <c r="J1" s="258" t="inlineStr">
        <is>
          <t>Acceptance criterion</t>
        </is>
      </c>
      <c r="K1" s="258" t="inlineStr">
        <is>
          <t>Result</t>
        </is>
      </c>
      <c r="L1" s="258" t="inlineStr">
        <is>
          <t>Document</t>
        </is>
      </c>
      <c r="M1" s="258" t="inlineStr">
        <is>
          <t>Issued</t>
        </is>
      </c>
      <c r="N1" s="258" t="inlineStr">
        <is>
          <t>Laboratory</t>
        </is>
      </c>
      <c r="O1" s="258" t="inlineStr">
        <is>
          <t>Received by the laboratory</t>
        </is>
      </c>
      <c r="P1" s="258" t="inlineStr">
        <is>
          <t>Status</t>
        </is>
      </c>
      <c r="Q1" s="258" t="inlineStr">
        <is>
          <t>Route</t>
        </is>
      </c>
      <c r="R1" s="258" t="inlineStr">
        <is>
          <t>Also on file</t>
        </is>
      </c>
    </row>
    <row r="2">
      <c r="A2" s="256" t="inlineStr">
        <is>
          <t>CoQ-PP_26-001</t>
        </is>
      </c>
      <c r="B2" s="256" t="inlineStr">
        <is>
          <t>release</t>
        </is>
      </c>
      <c r="C2" s="256" t="inlineStr">
        <is>
          <t>CJ1024</t>
        </is>
      </c>
      <c r="D2" s="256" t="inlineStr">
        <is>
          <t>— no P lot assigned —</t>
        </is>
      </c>
      <c r="E2" s="256" t="inlineStr">
        <is>
          <t>Cap Junky</t>
        </is>
      </c>
      <c r="F2" s="256" t="inlineStr">
        <is>
          <t>06.06.2026</t>
        </is>
      </c>
      <c r="G2" s="256" t="inlineStr">
        <is>
          <t>1</t>
        </is>
      </c>
      <c r="H2" s="256" t="inlineStr">
        <is>
          <t>Identification A, Appearance · Macroscopic</t>
        </is>
      </c>
      <c r="I2" s="256" t="inlineStr">
        <is>
          <t>Ph. Eur. mon. 3028</t>
        </is>
      </c>
      <c r="J2" s="256" t="inlineStr">
        <is>
          <t>Conforms to the monograph for Cannabis flos (07/2024:3028) in Ph. Eur. 11.0 | Согласно монографија за Cannabis flos (07/2024:3028) во Ph. Eur. 11.0</t>
        </is>
      </c>
      <c r="K2" s="256" t="inlineStr">
        <is>
          <t>Conforms | Одговара</t>
        </is>
      </c>
      <c r="L2" s="256" t="inlineStr">
        <is>
          <t>iCoA-PP_26-001</t>
        </is>
      </c>
      <c r="M2" s="256" t="inlineStr">
        <is>
          <t>03.06.2026</t>
        </is>
      </c>
      <c r="N2" s="256" t="inlineStr">
        <is>
          <t>Purely Plant GmbH (in-house)</t>
        </is>
      </c>
      <c r="O2" s="256" t="inlineStr">
        <is>
          <t>—</t>
        </is>
      </c>
      <c r="P2" s="256" t="inlineStr">
        <is>
          <t>to be performed — see route</t>
        </is>
      </c>
      <c r="Q2" s="256" t="inlineStr">
        <is>
          <t>Purely Plant laboratory — iCoA covering Ident A + B</t>
        </is>
      </c>
      <c r="R2" s="256" t="inlineStr"/>
    </row>
    <row r="3">
      <c r="A3" s="256" t="inlineStr">
        <is>
          <t>CoQ-PP_26-001</t>
        </is>
      </c>
      <c r="B3" s="256" t="inlineStr">
        <is>
          <t>release</t>
        </is>
      </c>
      <c r="C3" s="256" t="inlineStr">
        <is>
          <t>CJ1024</t>
        </is>
      </c>
      <c r="D3" s="256" t="inlineStr">
        <is>
          <t>— no P lot assigned —</t>
        </is>
      </c>
      <c r="E3" s="256" t="inlineStr">
        <is>
          <t>Cap Junky</t>
        </is>
      </c>
      <c r="F3" s="256" t="inlineStr">
        <is>
          <t>06.06.2026</t>
        </is>
      </c>
      <c r="G3" s="256" t="inlineStr">
        <is>
          <t>2</t>
        </is>
      </c>
      <c r="H3" s="256" t="inlineStr">
        <is>
          <t>Identification B · Microscopic</t>
        </is>
      </c>
      <c r="I3" s="256" t="inlineStr">
        <is>
          <t>Ph. Eur. 2.8.23 (microscopy)</t>
        </is>
      </c>
      <c r="J3" s="256" t="inlineStr">
        <is>
          <t>Conforms to the monograph for Cannabis flos (07/2024:3028) in Ph. Eur. 11.0 | Согласно монографија за Cannabis flos (07/2024:3028) во Ph. Eur. 11.0</t>
        </is>
      </c>
      <c r="K3" s="256" t="inlineStr">
        <is>
          <t>Conforms | Одговара</t>
        </is>
      </c>
      <c r="L3" s="256" t="inlineStr">
        <is>
          <t>iCoA-PP_26-001</t>
        </is>
      </c>
      <c r="M3" s="256" t="inlineStr">
        <is>
          <t>03.06.2026</t>
        </is>
      </c>
      <c r="N3" s="256" t="inlineStr">
        <is>
          <t>Purely Plant GmbH (in-house)</t>
        </is>
      </c>
      <c r="O3" s="256" t="inlineStr">
        <is>
          <t>—</t>
        </is>
      </c>
      <c r="P3" s="256" t="inlineStr">
        <is>
          <t>to be performed — see route</t>
        </is>
      </c>
      <c r="Q3" s="256" t="inlineStr">
        <is>
          <t>Purely Plant laboratory — iCoA covering Ident A + B</t>
        </is>
      </c>
      <c r="R3" s="256" t="inlineStr"/>
    </row>
    <row r="4">
      <c r="A4" s="256" t="inlineStr">
        <is>
          <t>CoQ-PP_26-001</t>
        </is>
      </c>
      <c r="B4" s="256" t="inlineStr">
        <is>
          <t>release</t>
        </is>
      </c>
      <c r="C4" s="256" t="inlineStr">
        <is>
          <t>CJ1024</t>
        </is>
      </c>
      <c r="D4" s="256" t="inlineStr">
        <is>
          <t>— no P lot assigned —</t>
        </is>
      </c>
      <c r="E4" s="256" t="inlineStr">
        <is>
          <t>Cap Junky</t>
        </is>
      </c>
      <c r="F4" s="256" t="inlineStr">
        <is>
          <t>06.06.2026</t>
        </is>
      </c>
      <c r="G4" s="256" t="inlineStr">
        <is>
          <t>3</t>
        </is>
      </c>
      <c r="H4" s="256" t="inlineStr">
        <is>
          <t>Identification C · HPLC/HPTLC</t>
        </is>
      </c>
      <c r="I4" s="256" t="inlineStr">
        <is>
          <t>HPLC — DAB 2018 monograph Cannabis flos, 2.2.29 (CNP, before its Ph. Eur. 3028 accreditation)</t>
        </is>
      </c>
      <c r="J4" s="256" t="inlineStr">
        <is>
          <t>Conforms to the monograph for Cannabis flos (07/2024:3028) in Ph. Eur. 11.0 | Согласно монографија за Cannabis flos (07/2024:3028) во Ph. Eur. 11.0</t>
        </is>
      </c>
      <c r="K4" s="256" t="inlineStr">
        <is>
          <t>Conforms | Одговара</t>
        </is>
      </c>
      <c r="L4" s="256" t="inlineStr">
        <is>
          <t>ППК25052</t>
        </is>
      </c>
      <c r="M4" s="256" t="inlineStr">
        <is>
          <t>26.02.2025</t>
        </is>
      </c>
      <c r="N4" s="256" t="inlineStr">
        <is>
          <t>UKIM Faculty of Pharmacy — Center for Natural Products</t>
        </is>
      </c>
      <c r="O4" s="256" t="inlineStr">
        <is>
          <t>13.02.2025</t>
        </is>
      </c>
      <c r="P4" s="256" t="inlineStr">
        <is>
          <t>covered</t>
        </is>
      </c>
      <c r="Q4" s="256" t="inlineStr"/>
      <c r="R4" s="256" t="inlineStr"/>
    </row>
    <row r="5">
      <c r="A5" s="256" t="inlineStr">
        <is>
          <t>CoQ-PP_26-001</t>
        </is>
      </c>
      <c r="B5" s="256" t="inlineStr">
        <is>
          <t>release</t>
        </is>
      </c>
      <c r="C5" s="256" t="inlineStr">
        <is>
          <t>CJ1024</t>
        </is>
      </c>
      <c r="D5" s="256" t="inlineStr">
        <is>
          <t>— no P lot assigned —</t>
        </is>
      </c>
      <c r="E5" s="256" t="inlineStr">
        <is>
          <t>Cap Junky</t>
        </is>
      </c>
      <c r="F5" s="256" t="inlineStr">
        <is>
          <t>06.06.2026</t>
        </is>
      </c>
      <c r="G5" s="256" t="inlineStr">
        <is>
          <t>4</t>
        </is>
      </c>
      <c r="H5" s="256" t="inlineStr">
        <is>
          <t>Assay — Total Δ⁹-THC</t>
        </is>
      </c>
      <c r="I5" s="256" t="inlineStr">
        <is>
          <t>HPLC — DAB 2018 monograph Cannabis flos, 2.2.29 (CNP, before its Ph. Eur. 3028 accreditation)</t>
        </is>
      </c>
      <c r="J5" s="256" t="inlineStr">
        <is>
          <t>21.60 – 26.39 %  (grade II, nominal 24.00 ± 2.40)</t>
        </is>
      </c>
      <c r="K5" s="256" t="inlineStr">
        <is>
          <t>23.00</t>
        </is>
      </c>
      <c r="L5" s="256" t="inlineStr">
        <is>
          <t>ППК25052</t>
        </is>
      </c>
      <c r="M5" s="256" t="inlineStr">
        <is>
          <t>26.02.2025</t>
        </is>
      </c>
      <c r="N5" s="256" t="inlineStr">
        <is>
          <t>UKIM Faculty of Pharmacy — Center for Natural Products</t>
        </is>
      </c>
      <c r="O5" s="256" t="inlineStr">
        <is>
          <t>13.02.2025</t>
        </is>
      </c>
      <c r="P5" s="256" t="inlineStr">
        <is>
          <t>covered</t>
        </is>
      </c>
      <c r="Q5" s="256" t="inlineStr"/>
      <c r="R5" s="256" t="inlineStr">
        <is>
          <t>28.12 (227-26-К/26)</t>
        </is>
      </c>
    </row>
    <row r="6">
      <c r="A6" s="256" t="inlineStr">
        <is>
          <t>CoQ-PP_26-001</t>
        </is>
      </c>
      <c r="B6" s="256" t="inlineStr">
        <is>
          <t>release</t>
        </is>
      </c>
      <c r="C6" s="256" t="inlineStr">
        <is>
          <t>CJ1024</t>
        </is>
      </c>
      <c r="D6" s="256" t="inlineStr">
        <is>
          <t>— no P lot assigned —</t>
        </is>
      </c>
      <c r="E6" s="256" t="inlineStr">
        <is>
          <t>Cap Junky</t>
        </is>
      </c>
      <c r="F6" s="256" t="inlineStr">
        <is>
          <t>06.06.2026</t>
        </is>
      </c>
      <c r="G6" s="256" t="inlineStr">
        <is>
          <t>5</t>
        </is>
      </c>
      <c r="H6" s="256" t="inlineStr">
        <is>
          <t>Assay — Total CBD</t>
        </is>
      </c>
      <c r="I6" s="256" t="inlineStr">
        <is>
          <t>HPLC — DAB 2018 monograph Cannabis flos, 2.2.29 · CBD + CBDA x 0.877 (CNP, before its Ph. Eur. 3028 accreditation)</t>
        </is>
      </c>
      <c r="J6" s="256" t="inlineStr">
        <is>
          <t>≤ 1.0%, w/w</t>
        </is>
      </c>
      <c r="K6" s="256" t="inlineStr">
        <is>
          <t>0.05</t>
        </is>
      </c>
      <c r="L6" s="256" t="inlineStr">
        <is>
          <t>ППК25052</t>
        </is>
      </c>
      <c r="M6" s="256" t="inlineStr">
        <is>
          <t>26.02.2025</t>
        </is>
      </c>
      <c r="N6" s="256" t="inlineStr">
        <is>
          <t>UKIM Faculty of Pharmacy — Center for Natural Products</t>
        </is>
      </c>
      <c r="O6" s="256" t="inlineStr">
        <is>
          <t>13.02.2025</t>
        </is>
      </c>
      <c r="P6" s="256" t="inlineStr">
        <is>
          <t>covered</t>
        </is>
      </c>
      <c r="Q6" s="256" t="inlineStr"/>
      <c r="R6" s="256" t="inlineStr">
        <is>
          <t>&lt;LOQ (227-26-К/26)</t>
        </is>
      </c>
    </row>
    <row r="7">
      <c r="A7" s="256" t="inlineStr">
        <is>
          <t>CoQ-PP_26-001</t>
        </is>
      </c>
      <c r="B7" s="256" t="inlineStr">
        <is>
          <t>release</t>
        </is>
      </c>
      <c r="C7" s="256" t="inlineStr">
        <is>
          <t>CJ1024</t>
        </is>
      </c>
      <c r="D7" s="256" t="inlineStr">
        <is>
          <t>— no P lot assigned —</t>
        </is>
      </c>
      <c r="E7" s="256" t="inlineStr">
        <is>
          <t>Cap Junky</t>
        </is>
      </c>
      <c r="F7" s="256" t="inlineStr">
        <is>
          <t>06.06.2026</t>
        </is>
      </c>
      <c r="G7" s="256" t="inlineStr">
        <is>
          <t>6</t>
        </is>
      </c>
      <c r="H7" s="256" t="inlineStr">
        <is>
          <t>Total CBN</t>
        </is>
      </c>
      <c r="I7" s="256" t="inlineStr">
        <is>
          <t>Ph. Eur. 2.2.29 (HPLC) · CBN + CBNA x 0.876</t>
        </is>
      </c>
      <c r="J7" s="256" t="inlineStr">
        <is>
          <t>≤ 1.0%, w/w</t>
        </is>
      </c>
      <c r="K7" s="259" t="inlineStr">
        <is>
          <t>not tested</t>
        </is>
      </c>
      <c r="L7" s="256" t="inlineStr">
        <is>
          <t>—</t>
        </is>
      </c>
      <c r="M7" s="256" t="inlineStr">
        <is>
          <t>—</t>
        </is>
      </c>
      <c r="N7" s="256" t="inlineStr">
        <is>
          <t>—</t>
        </is>
      </c>
      <c r="O7" s="256" t="inlineStr">
        <is>
          <t>—</t>
        </is>
      </c>
      <c r="P7" s="256" t="inlineStr">
        <is>
          <t>not tested — no certificate covers it</t>
        </is>
      </c>
      <c r="Q7" s="256" t="inlineStr"/>
      <c r="R7" s="256" t="inlineStr">
        <is>
          <t>0.20 (227-26-К/26)</t>
        </is>
      </c>
    </row>
    <row r="8">
      <c r="A8" s="256" t="inlineStr">
        <is>
          <t>CoQ-PP_26-001</t>
        </is>
      </c>
      <c r="B8" s="256" t="inlineStr">
        <is>
          <t>release</t>
        </is>
      </c>
      <c r="C8" s="256" t="inlineStr">
        <is>
          <t>CJ1024</t>
        </is>
      </c>
      <c r="D8" s="256" t="inlineStr">
        <is>
          <t>— no P lot assigned —</t>
        </is>
      </c>
      <c r="E8" s="256" t="inlineStr">
        <is>
          <t>Cap Junky</t>
        </is>
      </c>
      <c r="F8" s="256" t="inlineStr">
        <is>
          <t>06.06.2026</t>
        </is>
      </c>
      <c r="G8" s="256" t="inlineStr">
        <is>
          <t>7</t>
        </is>
      </c>
      <c r="H8" s="256" t="inlineStr">
        <is>
          <t>Foreign Matter</t>
        </is>
      </c>
      <c r="I8" s="256" t="inlineStr">
        <is>
          <t>Ph. Eur. 2.8.2 · In-house · интерна</t>
        </is>
      </c>
      <c r="J8" s="256" t="inlineStr">
        <is>
          <t>≤ 2.0% / 25–50 g · &lt; 1 cm leaves | листови, no seeds | без семки</t>
        </is>
      </c>
      <c r="K8" s="256" t="inlineStr">
        <is>
          <t>Conforms | Одговара</t>
        </is>
      </c>
      <c r="L8" s="256" t="inlineStr">
        <is>
          <t>iCoA-PP_26-001</t>
        </is>
      </c>
      <c r="M8" s="256" t="inlineStr">
        <is>
          <t>03.06.2026</t>
        </is>
      </c>
      <c r="N8" s="256" t="inlineStr">
        <is>
          <t>Purely Plant GmbH (in-house)</t>
        </is>
      </c>
      <c r="O8" s="256" t="inlineStr">
        <is>
          <t>—</t>
        </is>
      </c>
      <c r="P8" s="256" t="inlineStr">
        <is>
          <t>to be performed — see route</t>
        </is>
      </c>
      <c r="Q8" s="256" t="inlineStr">
        <is>
          <t>Purely Plant laboratory — iCoA covering Foreign matter</t>
        </is>
      </c>
      <c r="R8" s="256" t="inlineStr"/>
    </row>
    <row r="9">
      <c r="A9" s="256" t="inlineStr">
        <is>
          <t>CoQ-PP_26-001</t>
        </is>
      </c>
      <c r="B9" s="256" t="inlineStr">
        <is>
          <t>release</t>
        </is>
      </c>
      <c r="C9" s="256" t="inlineStr">
        <is>
          <t>CJ1024</t>
        </is>
      </c>
      <c r="D9" s="256" t="inlineStr">
        <is>
          <t>— no P lot assigned —</t>
        </is>
      </c>
      <c r="E9" s="256" t="inlineStr">
        <is>
          <t>Cap Junky</t>
        </is>
      </c>
      <c r="F9" s="256" t="inlineStr">
        <is>
          <t>06.06.2026</t>
        </is>
      </c>
      <c r="G9" s="256" t="inlineStr">
        <is>
          <t>8</t>
        </is>
      </c>
      <c r="H9" s="256" t="inlineStr">
        <is>
          <t>Loss on Drying</t>
        </is>
      </c>
      <c r="I9" s="256" t="inlineStr">
        <is>
          <t>DAB 2018 monograph Cannabis flos, 2.2.32 — loss on drying (CNP, before its Ph. Eur. 3028 accreditation)</t>
        </is>
      </c>
      <c r="J9" s="256" t="inlineStr">
        <is>
          <t>≤ 12.0%</t>
        </is>
      </c>
      <c r="K9" s="256" t="inlineStr">
        <is>
          <t>5.91</t>
        </is>
      </c>
      <c r="L9" s="256" t="inlineStr">
        <is>
          <t>ППК25052</t>
        </is>
      </c>
      <c r="M9" s="256" t="inlineStr">
        <is>
          <t>26.02.2025</t>
        </is>
      </c>
      <c r="N9" s="256" t="inlineStr">
        <is>
          <t>UKIM Faculty of Pharmacy — Center for Natural Products</t>
        </is>
      </c>
      <c r="O9" s="256" t="inlineStr">
        <is>
          <t>13.02.2025</t>
        </is>
      </c>
      <c r="P9" s="256" t="inlineStr">
        <is>
          <t>covered</t>
        </is>
      </c>
      <c r="Q9" s="256" t="inlineStr"/>
      <c r="R9" s="256" t="inlineStr"/>
    </row>
    <row r="10">
      <c r="A10" s="256" t="inlineStr">
        <is>
          <t>CoQ-PP_26-001</t>
        </is>
      </c>
      <c r="B10" s="256" t="inlineStr">
        <is>
          <t>release</t>
        </is>
      </c>
      <c r="C10" s="256" t="inlineStr">
        <is>
          <t>CJ1024</t>
        </is>
      </c>
      <c r="D10" s="256" t="inlineStr">
        <is>
          <t>— no P lot assigned —</t>
        </is>
      </c>
      <c r="E10" s="256" t="inlineStr">
        <is>
          <t>Cap Junky</t>
        </is>
      </c>
      <c r="F10" s="256" t="inlineStr">
        <is>
          <t>06.06.2026</t>
        </is>
      </c>
      <c r="G10" s="256" t="inlineStr">
        <is>
          <t>9.1</t>
        </is>
      </c>
      <c r="H10" s="256" t="inlineStr">
        <is>
          <t>TAMC</t>
        </is>
      </c>
      <c r="I10" s="256" t="inlineStr">
        <is>
          <t>Ph. Eur. 2.6.12 cat. C</t>
        </is>
      </c>
      <c r="J10" s="256" t="inlineStr">
        <is>
          <t>≤ 10⁵ CFU/g</t>
        </is>
      </c>
      <c r="K10" s="256" t="inlineStr">
        <is>
          <t>8.4 × 10³</t>
        </is>
      </c>
      <c r="L10" s="256" t="inlineStr">
        <is>
          <t>164/0272/25</t>
        </is>
      </c>
      <c r="M10" s="256" t="inlineStr">
        <is>
          <t>24.02.2025</t>
        </is>
      </c>
      <c r="N10" s="256" t="inlineStr">
        <is>
          <t>IPH — Institute of Public Health</t>
        </is>
      </c>
      <c r="O10" s="256" t="inlineStr">
        <is>
          <t>17.02.2025</t>
        </is>
      </c>
      <c r="P10" s="256" t="inlineStr">
        <is>
          <t>covered</t>
        </is>
      </c>
      <c r="Q10" s="256" t="inlineStr"/>
      <c r="R10" s="256" t="inlineStr"/>
    </row>
    <row r="11">
      <c r="A11" s="256" t="inlineStr">
        <is>
          <t>CoQ-PP_26-001</t>
        </is>
      </c>
      <c r="B11" s="256" t="inlineStr">
        <is>
          <t>release</t>
        </is>
      </c>
      <c r="C11" s="256" t="inlineStr">
        <is>
          <t>CJ1024</t>
        </is>
      </c>
      <c r="D11" s="256" t="inlineStr">
        <is>
          <t>— no P lot assigned —</t>
        </is>
      </c>
      <c r="E11" s="256" t="inlineStr">
        <is>
          <t>Cap Junky</t>
        </is>
      </c>
      <c r="F11" s="256" t="inlineStr">
        <is>
          <t>06.06.2026</t>
        </is>
      </c>
      <c r="G11" s="256" t="inlineStr">
        <is>
          <t>9.2</t>
        </is>
      </c>
      <c r="H11" s="256" t="inlineStr">
        <is>
          <t>TYMC</t>
        </is>
      </c>
      <c r="I11" s="256" t="inlineStr">
        <is>
          <t>Ph. Eur. 2.6.12 cat. C</t>
        </is>
      </c>
      <c r="J11" s="256" t="inlineStr">
        <is>
          <t>≤ 10⁴ CFU/g</t>
        </is>
      </c>
      <c r="K11" s="256" t="inlineStr">
        <is>
          <t>&lt; 10</t>
        </is>
      </c>
      <c r="L11" s="256" t="inlineStr">
        <is>
          <t>164/0272/25</t>
        </is>
      </c>
      <c r="M11" s="256" t="inlineStr">
        <is>
          <t>24.02.2025</t>
        </is>
      </c>
      <c r="N11" s="256" t="inlineStr">
        <is>
          <t>IPH — Institute of Public Health</t>
        </is>
      </c>
      <c r="O11" s="256" t="inlineStr">
        <is>
          <t>17.02.2025</t>
        </is>
      </c>
      <c r="P11" s="256" t="inlineStr">
        <is>
          <t>covered</t>
        </is>
      </c>
      <c r="Q11" s="256" t="inlineStr"/>
      <c r="R11" s="256" t="inlineStr"/>
    </row>
    <row r="12">
      <c r="A12" s="256" t="inlineStr">
        <is>
          <t>CoQ-PP_26-001</t>
        </is>
      </c>
      <c r="B12" s="256" t="inlineStr">
        <is>
          <t>release</t>
        </is>
      </c>
      <c r="C12" s="256" t="inlineStr">
        <is>
          <t>CJ1024</t>
        </is>
      </c>
      <c r="D12" s="256" t="inlineStr">
        <is>
          <t>— no P lot assigned —</t>
        </is>
      </c>
      <c r="E12" s="256" t="inlineStr">
        <is>
          <t>Cap Junky</t>
        </is>
      </c>
      <c r="F12" s="256" t="inlineStr">
        <is>
          <t>06.06.2026</t>
        </is>
      </c>
      <c r="G12" s="256" t="inlineStr">
        <is>
          <t>9.3</t>
        </is>
      </c>
      <c r="H12" s="256" t="inlineStr">
        <is>
          <t>Bile-tolerant gram-neg.</t>
        </is>
      </c>
      <c r="I12" s="256" t="inlineStr">
        <is>
          <t>Ph. Eur. 2.6.31 cat. C</t>
        </is>
      </c>
      <c r="J12" s="256" t="inlineStr">
        <is>
          <t>≤ 10⁴ CFU/g</t>
        </is>
      </c>
      <c r="K12" s="256" t="inlineStr">
        <is>
          <t>&lt; 10</t>
        </is>
      </c>
      <c r="L12" s="256" t="inlineStr">
        <is>
          <t>164/0272/25</t>
        </is>
      </c>
      <c r="M12" s="256" t="inlineStr">
        <is>
          <t>24.02.2025</t>
        </is>
      </c>
      <c r="N12" s="256" t="inlineStr">
        <is>
          <t>IPH — Institute of Public Health</t>
        </is>
      </c>
      <c r="O12" s="256" t="inlineStr">
        <is>
          <t>17.02.2025</t>
        </is>
      </c>
      <c r="P12" s="256" t="inlineStr">
        <is>
          <t>covered</t>
        </is>
      </c>
      <c r="Q12" s="256" t="inlineStr"/>
      <c r="R12" s="256" t="inlineStr"/>
    </row>
    <row r="13">
      <c r="A13" s="256" t="inlineStr">
        <is>
          <t>CoQ-PP_26-001</t>
        </is>
      </c>
      <c r="B13" s="256" t="inlineStr">
        <is>
          <t>release</t>
        </is>
      </c>
      <c r="C13" s="256" t="inlineStr">
        <is>
          <t>CJ1024</t>
        </is>
      </c>
      <c r="D13" s="256" t="inlineStr">
        <is>
          <t>— no P lot assigned —</t>
        </is>
      </c>
      <c r="E13" s="256" t="inlineStr">
        <is>
          <t>Cap Junky</t>
        </is>
      </c>
      <c r="F13" s="256" t="inlineStr">
        <is>
          <t>06.06.2026</t>
        </is>
      </c>
      <c r="G13" s="256" t="inlineStr">
        <is>
          <t>9.4</t>
        </is>
      </c>
      <c r="H13" s="256" t="inlineStr">
        <is>
          <t>Salmonella</t>
        </is>
      </c>
      <c r="I13" s="256" t="inlineStr">
        <is>
          <t>Ph. Eur. 2.6.31 cat. C</t>
        </is>
      </c>
      <c r="J13" s="256" t="inlineStr">
        <is>
          <t>Absence | Отсуство / 25 g</t>
        </is>
      </c>
      <c r="K13" s="256" t="inlineStr">
        <is>
          <t>Absent | Отсутна</t>
        </is>
      </c>
      <c r="L13" s="256" t="inlineStr">
        <is>
          <t>164/0272/25</t>
        </is>
      </c>
      <c r="M13" s="256" t="inlineStr">
        <is>
          <t>24.02.2025</t>
        </is>
      </c>
      <c r="N13" s="256" t="inlineStr">
        <is>
          <t>IPH — Institute of Public Health</t>
        </is>
      </c>
      <c r="O13" s="256" t="inlineStr">
        <is>
          <t>17.02.2025</t>
        </is>
      </c>
      <c r="P13" s="256" t="inlineStr">
        <is>
          <t>covered</t>
        </is>
      </c>
      <c r="Q13" s="256" t="inlineStr"/>
      <c r="R13" s="256" t="inlineStr"/>
    </row>
    <row r="14">
      <c r="A14" s="256" t="inlineStr">
        <is>
          <t>CoQ-PP_26-001</t>
        </is>
      </c>
      <c r="B14" s="256" t="inlineStr">
        <is>
          <t>release</t>
        </is>
      </c>
      <c r="C14" s="256" t="inlineStr">
        <is>
          <t>CJ1024</t>
        </is>
      </c>
      <c r="D14" s="256" t="inlineStr">
        <is>
          <t>— no P lot assigned —</t>
        </is>
      </c>
      <c r="E14" s="256" t="inlineStr">
        <is>
          <t>Cap Junky</t>
        </is>
      </c>
      <c r="F14" s="256" t="inlineStr">
        <is>
          <t>06.06.2026</t>
        </is>
      </c>
      <c r="G14" s="256" t="inlineStr">
        <is>
          <t>9.5</t>
        </is>
      </c>
      <c r="H14" s="256" t="inlineStr">
        <is>
          <t>Escherichia coli</t>
        </is>
      </c>
      <c r="I14" s="256" t="inlineStr">
        <is>
          <t>Ph. Eur. 2.6.13 cat. C</t>
        </is>
      </c>
      <c r="J14" s="256" t="inlineStr">
        <is>
          <t>Absence | Отсуство / 1 g</t>
        </is>
      </c>
      <c r="K14" s="256" t="inlineStr">
        <is>
          <t>Absent | Отсутна</t>
        </is>
      </c>
      <c r="L14" s="256" t="inlineStr">
        <is>
          <t>164/0272/25</t>
        </is>
      </c>
      <c r="M14" s="256" t="inlineStr">
        <is>
          <t>24.02.2025</t>
        </is>
      </c>
      <c r="N14" s="256" t="inlineStr">
        <is>
          <t>IPH — Institute of Public Health</t>
        </is>
      </c>
      <c r="O14" s="256" t="inlineStr">
        <is>
          <t>17.02.2025</t>
        </is>
      </c>
      <c r="P14" s="256" t="inlineStr">
        <is>
          <t>covered</t>
        </is>
      </c>
      <c r="Q14" s="256" t="inlineStr"/>
      <c r="R14" s="256" t="inlineStr"/>
    </row>
    <row r="15">
      <c r="A15" s="256" t="inlineStr">
        <is>
          <t>CoQ-PP_26-001</t>
        </is>
      </c>
      <c r="B15" s="256" t="inlineStr">
        <is>
          <t>release</t>
        </is>
      </c>
      <c r="C15" s="256" t="inlineStr">
        <is>
          <t>CJ1024</t>
        </is>
      </c>
      <c r="D15" s="256" t="inlineStr">
        <is>
          <t>— no P lot assigned —</t>
        </is>
      </c>
      <c r="E15" s="256" t="inlineStr">
        <is>
          <t>Cap Junky</t>
        </is>
      </c>
      <c r="F15" s="256" t="inlineStr">
        <is>
          <t>06.06.2026</t>
        </is>
      </c>
      <c r="G15" s="256" t="inlineStr">
        <is>
          <t>9.6</t>
        </is>
      </c>
      <c r="H15" s="256" t="inlineStr">
        <is>
          <t>Pseudomonas aeruginosa</t>
        </is>
      </c>
      <c r="I15" s="256" t="inlineStr">
        <is>
          <t>Ph. Eur. 2.6.13 cat. C</t>
        </is>
      </c>
      <c r="J15" s="256" t="inlineStr">
        <is>
          <t>Absence | Отсуство / 1 g</t>
        </is>
      </c>
      <c r="K15" s="260" t="inlineStr">
        <is>
          <t>upon request — not required for release</t>
        </is>
      </c>
      <c r="L15" s="256" t="inlineStr">
        <is>
          <t>—</t>
        </is>
      </c>
      <c r="M15" s="256" t="inlineStr">
        <is>
          <t>—</t>
        </is>
      </c>
      <c r="N15" s="256" t="inlineStr">
        <is>
          <t>—</t>
        </is>
      </c>
      <c r="O15" s="256" t="inlineStr">
        <is>
          <t>—</t>
        </is>
      </c>
      <c r="P15" s="256" t="inlineStr">
        <is>
          <t>upon request — not required for release</t>
        </is>
      </c>
      <c r="Q15" s="256" t="inlineStr"/>
      <c r="R15" s="256" t="inlineStr"/>
    </row>
    <row r="16">
      <c r="A16" s="256" t="inlineStr">
        <is>
          <t>CoQ-PP_26-001</t>
        </is>
      </c>
      <c r="B16" s="256" t="inlineStr">
        <is>
          <t>release</t>
        </is>
      </c>
      <c r="C16" s="256" t="inlineStr">
        <is>
          <t>CJ1024</t>
        </is>
      </c>
      <c r="D16" s="256" t="inlineStr">
        <is>
          <t>— no P lot assigned —</t>
        </is>
      </c>
      <c r="E16" s="256" t="inlineStr">
        <is>
          <t>Cap Junky</t>
        </is>
      </c>
      <c r="F16" s="256" t="inlineStr">
        <is>
          <t>06.06.2026</t>
        </is>
      </c>
      <c r="G16" s="256" t="inlineStr">
        <is>
          <t>9.7</t>
        </is>
      </c>
      <c r="H16" s="256" t="inlineStr">
        <is>
          <t>Staphylococcus aureus</t>
        </is>
      </c>
      <c r="I16" s="256" t="inlineStr">
        <is>
          <t>Ph. Eur. 2.6.13 cat. C</t>
        </is>
      </c>
      <c r="J16" s="256" t="inlineStr">
        <is>
          <t>Absence | Отсуство / 1 g</t>
        </is>
      </c>
      <c r="K16" s="260" t="inlineStr">
        <is>
          <t>upon request — not required for release</t>
        </is>
      </c>
      <c r="L16" s="256" t="inlineStr">
        <is>
          <t>—</t>
        </is>
      </c>
      <c r="M16" s="256" t="inlineStr">
        <is>
          <t>—</t>
        </is>
      </c>
      <c r="N16" s="256" t="inlineStr">
        <is>
          <t>—</t>
        </is>
      </c>
      <c r="O16" s="256" t="inlineStr">
        <is>
          <t>—</t>
        </is>
      </c>
      <c r="P16" s="256" t="inlineStr">
        <is>
          <t>upon request — not required for release</t>
        </is>
      </c>
      <c r="Q16" s="256" t="inlineStr"/>
      <c r="R16" s="256" t="inlineStr"/>
    </row>
    <row r="17">
      <c r="A17" s="256" t="inlineStr">
        <is>
          <t>CoQ-PP_26-001</t>
        </is>
      </c>
      <c r="B17" s="256" t="inlineStr">
        <is>
          <t>release</t>
        </is>
      </c>
      <c r="C17" s="256" t="inlineStr">
        <is>
          <t>CJ1024</t>
        </is>
      </c>
      <c r="D17" s="256" t="inlineStr">
        <is>
          <t>— no P lot assigned —</t>
        </is>
      </c>
      <c r="E17" s="256" t="inlineStr">
        <is>
          <t>Cap Junky</t>
        </is>
      </c>
      <c r="F17" s="256" t="inlineStr">
        <is>
          <t>06.06.2026</t>
        </is>
      </c>
      <c r="G17" s="256" t="inlineStr">
        <is>
          <t>10.1</t>
        </is>
      </c>
      <c r="H17" s="256" t="inlineStr">
        <is>
          <t>Aflatoxin B₁</t>
        </is>
      </c>
      <c r="I17" s="256" t="inlineStr">
        <is>
          <t>Ph. Eur. 2.8.18 (HPLC-FLD)</t>
        </is>
      </c>
      <c r="J17" s="256" t="inlineStr">
        <is>
          <t>≤ 2 µg/kg</t>
        </is>
      </c>
      <c r="K17" s="259" t="inlineStr">
        <is>
          <t>not tested</t>
        </is>
      </c>
      <c r="L17" s="256" t="inlineStr">
        <is>
          <t>—</t>
        </is>
      </c>
      <c r="M17" s="256" t="inlineStr">
        <is>
          <t>—</t>
        </is>
      </c>
      <c r="N17" s="256" t="inlineStr">
        <is>
          <t>—</t>
        </is>
      </c>
      <c r="O17" s="256" t="inlineStr">
        <is>
          <t>—</t>
        </is>
      </c>
      <c r="P17" s="256" t="inlineStr">
        <is>
          <t>not tested — no certificate covers it</t>
        </is>
      </c>
      <c r="Q17" s="256" t="inlineStr"/>
      <c r="R17" s="256" t="inlineStr"/>
    </row>
    <row r="18">
      <c r="A18" s="256" t="inlineStr">
        <is>
          <t>CoQ-PP_26-001</t>
        </is>
      </c>
      <c r="B18" s="256" t="inlineStr">
        <is>
          <t>release</t>
        </is>
      </c>
      <c r="C18" s="256" t="inlineStr">
        <is>
          <t>CJ1024</t>
        </is>
      </c>
      <c r="D18" s="256" t="inlineStr">
        <is>
          <t>— no P lot assigned —</t>
        </is>
      </c>
      <c r="E18" s="256" t="inlineStr">
        <is>
          <t>Cap Junky</t>
        </is>
      </c>
      <c r="F18" s="256" t="inlineStr">
        <is>
          <t>06.06.2026</t>
        </is>
      </c>
      <c r="G18" s="256" t="inlineStr">
        <is>
          <t>10.2</t>
        </is>
      </c>
      <c r="H18" s="256" t="inlineStr">
        <is>
          <t>Aflatoxins ∑</t>
        </is>
      </c>
      <c r="I18" s="256" t="inlineStr">
        <is>
          <t>Ph. Eur. 2.8.18 (HPLC-FLD)</t>
        </is>
      </c>
      <c r="J18" s="256" t="inlineStr">
        <is>
          <t>≤ 4 µg/kg</t>
        </is>
      </c>
      <c r="K18" s="256" t="inlineStr">
        <is>
          <t>&lt; 2</t>
        </is>
      </c>
      <c r="L18" s="256" t="inlineStr">
        <is>
          <t>750/2025</t>
        </is>
      </c>
      <c r="M18" s="256" t="inlineStr">
        <is>
          <t>27.02.2025</t>
        </is>
      </c>
      <c r="N18" s="256" t="inlineStr">
        <is>
          <t>IPH — Institute of Public Health</t>
        </is>
      </c>
      <c r="O18" s="256" t="inlineStr">
        <is>
          <t>13.02.2025</t>
        </is>
      </c>
      <c r="P18" s="256" t="inlineStr">
        <is>
          <t>covered</t>
        </is>
      </c>
      <c r="Q18" s="256" t="inlineStr"/>
      <c r="R18" s="256" t="inlineStr"/>
    </row>
    <row r="19">
      <c r="A19" s="256" t="inlineStr">
        <is>
          <t>CoQ-PP_26-001</t>
        </is>
      </c>
      <c r="B19" s="256" t="inlineStr">
        <is>
          <t>release</t>
        </is>
      </c>
      <c r="C19" s="256" t="inlineStr">
        <is>
          <t>CJ1024</t>
        </is>
      </c>
      <c r="D19" s="256" t="inlineStr">
        <is>
          <t>— no P lot assigned —</t>
        </is>
      </c>
      <c r="E19" s="256" t="inlineStr">
        <is>
          <t>Cap Junky</t>
        </is>
      </c>
      <c r="F19" s="256" t="inlineStr">
        <is>
          <t>06.06.2026</t>
        </is>
      </c>
      <c r="G19" s="256" t="inlineStr">
        <is>
          <t>10.3</t>
        </is>
      </c>
      <c r="H19" s="256" t="inlineStr">
        <is>
          <t>Ochratoxin A</t>
        </is>
      </c>
      <c r="I19" s="256" t="inlineStr">
        <is>
          <t>Ph. Eur. 2.8.22 (HPLC-FLD)</t>
        </is>
      </c>
      <c r="J19" s="256" t="inlineStr">
        <is>
          <t>≤ 20 µg/kg</t>
        </is>
      </c>
      <c r="K19" s="259" t="inlineStr">
        <is>
          <t>not tested</t>
        </is>
      </c>
      <c r="L19" s="256" t="inlineStr">
        <is>
          <t>—</t>
        </is>
      </c>
      <c r="M19" s="256" t="inlineStr">
        <is>
          <t>—</t>
        </is>
      </c>
      <c r="N19" s="256" t="inlineStr">
        <is>
          <t>—</t>
        </is>
      </c>
      <c r="O19" s="256" t="inlineStr">
        <is>
          <t>—</t>
        </is>
      </c>
      <c r="P19" s="256" t="inlineStr">
        <is>
          <t>not tested — no certificate covers it</t>
        </is>
      </c>
      <c r="Q19" s="256" t="inlineStr"/>
      <c r="R19" s="256" t="inlineStr"/>
    </row>
    <row r="20">
      <c r="A20" s="256" t="inlineStr">
        <is>
          <t>CoQ-PP_26-001</t>
        </is>
      </c>
      <c r="B20" s="256" t="inlineStr">
        <is>
          <t>release</t>
        </is>
      </c>
      <c r="C20" s="256" t="inlineStr">
        <is>
          <t>CJ1024</t>
        </is>
      </c>
      <c r="D20" s="256" t="inlineStr">
        <is>
          <t>— no P lot assigned —</t>
        </is>
      </c>
      <c r="E20" s="256" t="inlineStr">
        <is>
          <t>Cap Junky</t>
        </is>
      </c>
      <c r="F20" s="256" t="inlineStr">
        <is>
          <t>06.06.2026</t>
        </is>
      </c>
      <c r="G20" s="256" t="inlineStr">
        <is>
          <t>11.1</t>
        </is>
      </c>
      <c r="H20" s="256" t="inlineStr">
        <is>
          <t>Lead (Pb)</t>
        </is>
      </c>
      <c r="I20" s="256" t="inlineStr">
        <is>
          <t>Ph. Eur. 2.4.27 (ICP-MS)</t>
        </is>
      </c>
      <c r="J20" s="256" t="inlineStr">
        <is>
          <t>≤ 0.5 mg/kg</t>
        </is>
      </c>
      <c r="K20" s="256" t="inlineStr">
        <is>
          <t>0.036</t>
        </is>
      </c>
      <c r="L20" s="256" t="inlineStr">
        <is>
          <t>750/2025</t>
        </is>
      </c>
      <c r="M20" s="256" t="inlineStr">
        <is>
          <t>27.02.2025</t>
        </is>
      </c>
      <c r="N20" s="256" t="inlineStr">
        <is>
          <t>IPH — Institute of Public Health</t>
        </is>
      </c>
      <c r="O20" s="256" t="inlineStr">
        <is>
          <t>13.02.2025</t>
        </is>
      </c>
      <c r="P20" s="256" t="inlineStr">
        <is>
          <t>covered</t>
        </is>
      </c>
      <c r="Q20" s="256" t="inlineStr"/>
      <c r="R20" s="256" t="inlineStr"/>
    </row>
    <row r="21">
      <c r="A21" s="256" t="inlineStr">
        <is>
          <t>CoQ-PP_26-001</t>
        </is>
      </c>
      <c r="B21" s="256" t="inlineStr">
        <is>
          <t>release</t>
        </is>
      </c>
      <c r="C21" s="256" t="inlineStr">
        <is>
          <t>CJ1024</t>
        </is>
      </c>
      <c r="D21" s="256" t="inlineStr">
        <is>
          <t>— no P lot assigned —</t>
        </is>
      </c>
      <c r="E21" s="256" t="inlineStr">
        <is>
          <t>Cap Junky</t>
        </is>
      </c>
      <c r="F21" s="256" t="inlineStr">
        <is>
          <t>06.06.2026</t>
        </is>
      </c>
      <c r="G21" s="256" t="inlineStr">
        <is>
          <t>11.2</t>
        </is>
      </c>
      <c r="H21" s="256" t="inlineStr">
        <is>
          <t>Cadmium (Cd)</t>
        </is>
      </c>
      <c r="I21" s="256" t="inlineStr">
        <is>
          <t>Ph. Eur. 2.4.27 (ICP-MS)</t>
        </is>
      </c>
      <c r="J21" s="256" t="inlineStr">
        <is>
          <t>≤ 0.3 mg/kg</t>
        </is>
      </c>
      <c r="K21" s="256" t="inlineStr">
        <is>
          <t>0.013</t>
        </is>
      </c>
      <c r="L21" s="256" t="inlineStr">
        <is>
          <t>750/2025</t>
        </is>
      </c>
      <c r="M21" s="256" t="inlineStr">
        <is>
          <t>27.02.2025</t>
        </is>
      </c>
      <c r="N21" s="256" t="inlineStr">
        <is>
          <t>IPH — Institute of Public Health</t>
        </is>
      </c>
      <c r="O21" s="256" t="inlineStr">
        <is>
          <t>13.02.2025</t>
        </is>
      </c>
      <c r="P21" s="256" t="inlineStr">
        <is>
          <t>covered</t>
        </is>
      </c>
      <c r="Q21" s="256" t="inlineStr"/>
      <c r="R21" s="256" t="inlineStr"/>
    </row>
    <row r="22">
      <c r="A22" s="256" t="inlineStr">
        <is>
          <t>CoQ-PP_26-001</t>
        </is>
      </c>
      <c r="B22" s="256" t="inlineStr">
        <is>
          <t>release</t>
        </is>
      </c>
      <c r="C22" s="256" t="inlineStr">
        <is>
          <t>CJ1024</t>
        </is>
      </c>
      <c r="D22" s="256" t="inlineStr">
        <is>
          <t>— no P lot assigned —</t>
        </is>
      </c>
      <c r="E22" s="256" t="inlineStr">
        <is>
          <t>Cap Junky</t>
        </is>
      </c>
      <c r="F22" s="256" t="inlineStr">
        <is>
          <t>06.06.2026</t>
        </is>
      </c>
      <c r="G22" s="256" t="inlineStr">
        <is>
          <t>11.3</t>
        </is>
      </c>
      <c r="H22" s="256" t="inlineStr">
        <is>
          <t>Arsenic (As)</t>
        </is>
      </c>
      <c r="I22" s="256" t="inlineStr">
        <is>
          <t>Ph. Eur. 2.4.27 (ICP-MS)</t>
        </is>
      </c>
      <c r="J22" s="256" t="inlineStr">
        <is>
          <t>≤ 0.2 mg/kg</t>
        </is>
      </c>
      <c r="K22" s="256" t="inlineStr">
        <is>
          <t>0.063</t>
        </is>
      </c>
      <c r="L22" s="256" t="inlineStr">
        <is>
          <t>750/2025</t>
        </is>
      </c>
      <c r="M22" s="256" t="inlineStr">
        <is>
          <t>27.02.2025</t>
        </is>
      </c>
      <c r="N22" s="256" t="inlineStr">
        <is>
          <t>IPH — Institute of Public Health</t>
        </is>
      </c>
      <c r="O22" s="256" t="inlineStr">
        <is>
          <t>13.02.2025</t>
        </is>
      </c>
      <c r="P22" s="256" t="inlineStr">
        <is>
          <t>covered</t>
        </is>
      </c>
      <c r="Q22" s="256" t="inlineStr"/>
      <c r="R22" s="256" t="inlineStr"/>
    </row>
    <row r="23">
      <c r="A23" s="256" t="inlineStr">
        <is>
          <t>CoQ-PP_26-001</t>
        </is>
      </c>
      <c r="B23" s="256" t="inlineStr">
        <is>
          <t>release</t>
        </is>
      </c>
      <c r="C23" s="256" t="inlineStr">
        <is>
          <t>CJ1024</t>
        </is>
      </c>
      <c r="D23" s="256" t="inlineStr">
        <is>
          <t>— no P lot assigned —</t>
        </is>
      </c>
      <c r="E23" s="256" t="inlineStr">
        <is>
          <t>Cap Junky</t>
        </is>
      </c>
      <c r="F23" s="256" t="inlineStr">
        <is>
          <t>06.06.2026</t>
        </is>
      </c>
      <c r="G23" s="256" t="inlineStr">
        <is>
          <t>11.4</t>
        </is>
      </c>
      <c r="H23" s="256" t="inlineStr">
        <is>
          <t>Mercury (Hg)</t>
        </is>
      </c>
      <c r="I23" s="256" t="inlineStr">
        <is>
          <t>Ph. Eur. 2.4.27 (ICP-MS)</t>
        </is>
      </c>
      <c r="J23" s="256" t="inlineStr">
        <is>
          <t>≤ 0.1 mg/kg</t>
        </is>
      </c>
      <c r="K23" s="256" t="inlineStr">
        <is>
          <t>0.006</t>
        </is>
      </c>
      <c r="L23" s="256" t="inlineStr">
        <is>
          <t>750/2025</t>
        </is>
      </c>
      <c r="M23" s="256" t="inlineStr">
        <is>
          <t>27.02.2025</t>
        </is>
      </c>
      <c r="N23" s="256" t="inlineStr">
        <is>
          <t>IPH — Institute of Public Health</t>
        </is>
      </c>
      <c r="O23" s="256" t="inlineStr">
        <is>
          <t>13.02.2025</t>
        </is>
      </c>
      <c r="P23" s="256" t="inlineStr">
        <is>
          <t>covered</t>
        </is>
      </c>
      <c r="Q23" s="256" t="inlineStr"/>
      <c r="R23" s="256" t="inlineStr"/>
    </row>
    <row r="24">
      <c r="A24" s="256" t="inlineStr">
        <is>
          <t>CoQ-PP_26-001</t>
        </is>
      </c>
      <c r="B24" s="256" t="inlineStr">
        <is>
          <t>release</t>
        </is>
      </c>
      <c r="C24" s="256" t="inlineStr">
        <is>
          <t>CJ1024</t>
        </is>
      </c>
      <c r="D24" s="256" t="inlineStr">
        <is>
          <t>— no P lot assigned —</t>
        </is>
      </c>
      <c r="E24" s="256" t="inlineStr">
        <is>
          <t>Cap Junky</t>
        </is>
      </c>
      <c r="F24" s="256" t="inlineStr">
        <is>
          <t>06.06.2026</t>
        </is>
      </c>
      <c r="G24" s="256" t="inlineStr">
        <is>
          <t>12</t>
        </is>
      </c>
      <c r="H24" s="256" t="inlineStr">
        <is>
          <t>Pesticide Residues</t>
        </is>
      </c>
      <c r="I24" s="256" t="inlineStr">
        <is>
          <t>Ph. Eur. 2.8.13 (LC-MS/MS) · CUMCS Equivalency</t>
        </is>
      </c>
      <c r="J24" s="256" t="inlineStr">
        <is>
          <t>≤ LOQ as per Ph. Eur. 2.8.13 · ≤ LOQ as per CUMCS Equivalency</t>
        </is>
      </c>
      <c r="K24" s="256" t="inlineStr">
        <is>
          <t>ND</t>
        </is>
      </c>
      <c r="L24" s="256" t="inlineStr">
        <is>
          <t>750/2025</t>
        </is>
      </c>
      <c r="M24" s="256" t="inlineStr">
        <is>
          <t>27.02.2025</t>
        </is>
      </c>
      <c r="N24" s="256" t="inlineStr">
        <is>
          <t>IPH — Institute of Public Health</t>
        </is>
      </c>
      <c r="O24" s="256" t="inlineStr">
        <is>
          <t>13.02.2025</t>
        </is>
      </c>
      <c r="P24" s="256" t="inlineStr">
        <is>
          <t>covered</t>
        </is>
      </c>
      <c r="Q24" s="256" t="inlineStr"/>
      <c r="R24" s="256" t="inlineStr"/>
    </row>
    <row r="25">
      <c r="A25" s="256" t="inlineStr">
        <is>
          <t>CoQ-PP_26-002</t>
        </is>
      </c>
      <c r="B25" s="256" t="inlineStr">
        <is>
          <t>release</t>
        </is>
      </c>
      <c r="C25" s="256" t="inlineStr">
        <is>
          <t>BSS1024</t>
        </is>
      </c>
      <c r="D25" s="256" t="inlineStr">
        <is>
          <t>BSS1024</t>
        </is>
      </c>
      <c r="E25" s="256" t="inlineStr">
        <is>
          <t>Blue Sunset Sherbet</t>
        </is>
      </c>
      <c r="F25" s="256" t="inlineStr">
        <is>
          <t>06.06.2026</t>
        </is>
      </c>
      <c r="G25" s="256" t="inlineStr">
        <is>
          <t>1</t>
        </is>
      </c>
      <c r="H25" s="256" t="inlineStr">
        <is>
          <t>Identification A, Appearance · Macroscopic</t>
        </is>
      </c>
      <c r="I25" s="256" t="inlineStr">
        <is>
          <t>Ph. Eur. mon. 3028</t>
        </is>
      </c>
      <c r="J25" s="256" t="inlineStr">
        <is>
          <t>Conforms to the monograph for Cannabis flos (07/2024:3028) in Ph. Eur. 11.0 | Согласно монографија за Cannabis flos (07/2024:3028) во Ph. Eur. 11.0</t>
        </is>
      </c>
      <c r="K25" s="256" t="inlineStr">
        <is>
          <t>Conforms | Одговара</t>
        </is>
      </c>
      <c r="L25" s="256" t="inlineStr">
        <is>
          <t>iCoA-PP_26-002</t>
        </is>
      </c>
      <c r="M25" s="256" t="inlineStr">
        <is>
          <t>03.06.2026</t>
        </is>
      </c>
      <c r="N25" s="256" t="inlineStr">
        <is>
          <t>Purely Plant GmbH (in-house)</t>
        </is>
      </c>
      <c r="O25" s="256" t="inlineStr">
        <is>
          <t>—</t>
        </is>
      </c>
      <c r="P25" s="256" t="inlineStr">
        <is>
          <t>to be performed — see route</t>
        </is>
      </c>
      <c r="Q25" s="256" t="inlineStr">
        <is>
          <t>Purely Plant laboratory — iCoA covering Ident A + B</t>
        </is>
      </c>
      <c r="R25" s="256" t="inlineStr"/>
    </row>
    <row r="26">
      <c r="A26" s="256" t="inlineStr">
        <is>
          <t>CoQ-PP_26-002</t>
        </is>
      </c>
      <c r="B26" s="256" t="inlineStr">
        <is>
          <t>release</t>
        </is>
      </c>
      <c r="C26" s="256" t="inlineStr">
        <is>
          <t>BSS1024</t>
        </is>
      </c>
      <c r="D26" s="256" t="inlineStr">
        <is>
          <t>BSS1024</t>
        </is>
      </c>
      <c r="E26" s="256" t="inlineStr">
        <is>
          <t>Blue Sunset Sherbet</t>
        </is>
      </c>
      <c r="F26" s="256" t="inlineStr">
        <is>
          <t>06.06.2026</t>
        </is>
      </c>
      <c r="G26" s="256" t="inlineStr">
        <is>
          <t>2</t>
        </is>
      </c>
      <c r="H26" s="256" t="inlineStr">
        <is>
          <t>Identification B · Microscopic</t>
        </is>
      </c>
      <c r="I26" s="256" t="inlineStr">
        <is>
          <t>Ph. Eur. 2.8.23 (microscopy)</t>
        </is>
      </c>
      <c r="J26" s="256" t="inlineStr">
        <is>
          <t>Conforms to the monograph for Cannabis flos (07/2024:3028) in Ph. Eur. 11.0 | Согласно монографија за Cannabis flos (07/2024:3028) во Ph. Eur. 11.0</t>
        </is>
      </c>
      <c r="K26" s="256" t="inlineStr">
        <is>
          <t>Conforms | Одговара</t>
        </is>
      </c>
      <c r="L26" s="256" t="inlineStr">
        <is>
          <t>iCoA-PP_26-002</t>
        </is>
      </c>
      <c r="M26" s="256" t="inlineStr">
        <is>
          <t>03.06.2026</t>
        </is>
      </c>
      <c r="N26" s="256" t="inlineStr">
        <is>
          <t>Purely Plant GmbH (in-house)</t>
        </is>
      </c>
      <c r="O26" s="256" t="inlineStr">
        <is>
          <t>—</t>
        </is>
      </c>
      <c r="P26" s="256" t="inlineStr">
        <is>
          <t>to be performed — see route</t>
        </is>
      </c>
      <c r="Q26" s="256" t="inlineStr">
        <is>
          <t>Purely Plant laboratory — iCoA covering Ident A + B</t>
        </is>
      </c>
      <c r="R26" s="256" t="inlineStr"/>
    </row>
    <row r="27">
      <c r="A27" s="256" t="inlineStr">
        <is>
          <t>CoQ-PP_26-002</t>
        </is>
      </c>
      <c r="B27" s="256" t="inlineStr">
        <is>
          <t>release</t>
        </is>
      </c>
      <c r="C27" s="256" t="inlineStr">
        <is>
          <t>BSS1024</t>
        </is>
      </c>
      <c r="D27" s="256" t="inlineStr">
        <is>
          <t>BSS1024</t>
        </is>
      </c>
      <c r="E27" s="256" t="inlineStr">
        <is>
          <t>Blue Sunset Sherbet</t>
        </is>
      </c>
      <c r="F27" s="256" t="inlineStr">
        <is>
          <t>06.06.2026</t>
        </is>
      </c>
      <c r="G27" s="256" t="inlineStr">
        <is>
          <t>3</t>
        </is>
      </c>
      <c r="H27" s="256" t="inlineStr">
        <is>
          <t>Identification C · HPLC/HPTLC</t>
        </is>
      </c>
      <c r="I27" s="256" t="inlineStr">
        <is>
          <t>HPLC — DAB 2018 monograph Cannabis flos, 2.2.29 (CNP, before its Ph. Eur. 3028 accreditation)</t>
        </is>
      </c>
      <c r="J27" s="256" t="inlineStr">
        <is>
          <t>Conforms to the monograph for Cannabis flos (07/2024:3028) in Ph. Eur. 11.0 | Согласно монографија за Cannabis flos (07/2024:3028) во Ph. Eur. 11.0</t>
        </is>
      </c>
      <c r="K27" s="256" t="inlineStr">
        <is>
          <t>Conforms | Одговара</t>
        </is>
      </c>
      <c r="L27" s="256" t="inlineStr">
        <is>
          <t>ППК25051</t>
        </is>
      </c>
      <c r="M27" s="256" t="inlineStr">
        <is>
          <t>26.02.2025</t>
        </is>
      </c>
      <c r="N27" s="256" t="inlineStr">
        <is>
          <t>UKIM Faculty of Pharmacy — Center for Natural Products</t>
        </is>
      </c>
      <c r="O27" s="256" t="inlineStr">
        <is>
          <t>13.02.2025</t>
        </is>
      </c>
      <c r="P27" s="256" t="inlineStr">
        <is>
          <t>covered</t>
        </is>
      </c>
      <c r="Q27" s="256" t="inlineStr"/>
      <c r="R27" s="256" t="inlineStr"/>
    </row>
    <row r="28">
      <c r="A28" s="256" t="inlineStr">
        <is>
          <t>CoQ-PP_26-002</t>
        </is>
      </c>
      <c r="B28" s="256" t="inlineStr">
        <is>
          <t>release</t>
        </is>
      </c>
      <c r="C28" s="256" t="inlineStr">
        <is>
          <t>BSS1024</t>
        </is>
      </c>
      <c r="D28" s="256" t="inlineStr">
        <is>
          <t>BSS1024</t>
        </is>
      </c>
      <c r="E28" s="256" t="inlineStr">
        <is>
          <t>Blue Sunset Sherbet</t>
        </is>
      </c>
      <c r="F28" s="256" t="inlineStr">
        <is>
          <t>06.06.2026</t>
        </is>
      </c>
      <c r="G28" s="256" t="inlineStr">
        <is>
          <t>4</t>
        </is>
      </c>
      <c r="H28" s="256" t="inlineStr">
        <is>
          <t>Assay — Total Δ⁹-THC</t>
        </is>
      </c>
      <c r="I28" s="256" t="inlineStr">
        <is>
          <t>HPLC — DAB 2018 monograph Cannabis flos, 2.2.29 (CNP, before its Ph. Eur. 3028 accreditation)</t>
        </is>
      </c>
      <c r="J28" s="256" t="inlineStr">
        <is>
          <t>18.11 – 21.88 %  (grade III, nominal 20.00 ± 1.89)</t>
        </is>
      </c>
      <c r="K28" s="256" t="inlineStr">
        <is>
          <t>21.03</t>
        </is>
      </c>
      <c r="L28" s="256" t="inlineStr">
        <is>
          <t>ППК25051</t>
        </is>
      </c>
      <c r="M28" s="256" t="inlineStr">
        <is>
          <t>26.02.2025</t>
        </is>
      </c>
      <c r="N28" s="256" t="inlineStr">
        <is>
          <t>UKIM Faculty of Pharmacy — Center for Natural Products</t>
        </is>
      </c>
      <c r="O28" s="256" t="inlineStr">
        <is>
          <t>13.02.2025</t>
        </is>
      </c>
      <c r="P28" s="256" t="inlineStr">
        <is>
          <t>covered</t>
        </is>
      </c>
      <c r="Q28" s="256" t="inlineStr"/>
      <c r="R28" s="256" t="inlineStr">
        <is>
          <t>25.01 (197-2-К/26)</t>
        </is>
      </c>
    </row>
    <row r="29">
      <c r="A29" s="256" t="inlineStr">
        <is>
          <t>CoQ-PP_26-002</t>
        </is>
      </c>
      <c r="B29" s="256" t="inlineStr">
        <is>
          <t>release</t>
        </is>
      </c>
      <c r="C29" s="256" t="inlineStr">
        <is>
          <t>BSS1024</t>
        </is>
      </c>
      <c r="D29" s="256" t="inlineStr">
        <is>
          <t>BSS1024</t>
        </is>
      </c>
      <c r="E29" s="256" t="inlineStr">
        <is>
          <t>Blue Sunset Sherbet</t>
        </is>
      </c>
      <c r="F29" s="256" t="inlineStr">
        <is>
          <t>06.06.2026</t>
        </is>
      </c>
      <c r="G29" s="256" t="inlineStr">
        <is>
          <t>5</t>
        </is>
      </c>
      <c r="H29" s="256" t="inlineStr">
        <is>
          <t>Assay — Total CBD</t>
        </is>
      </c>
      <c r="I29" s="256" t="inlineStr">
        <is>
          <t>HPLC — DAB 2018 monograph Cannabis flos, 2.2.29 · CBD + CBDA x 0.877 (CNP, before its Ph. Eur. 3028 accreditation)</t>
        </is>
      </c>
      <c r="J29" s="256" t="inlineStr">
        <is>
          <t>≤ 1.0%, w/w</t>
        </is>
      </c>
      <c r="K29" s="256" t="inlineStr">
        <is>
          <t>0.04</t>
        </is>
      </c>
      <c r="L29" s="256" t="inlineStr">
        <is>
          <t>ППК25051</t>
        </is>
      </c>
      <c r="M29" s="256" t="inlineStr">
        <is>
          <t>26.02.2025</t>
        </is>
      </c>
      <c r="N29" s="256" t="inlineStr">
        <is>
          <t>UKIM Faculty of Pharmacy — Center for Natural Products</t>
        </is>
      </c>
      <c r="O29" s="256" t="inlineStr">
        <is>
          <t>13.02.2025</t>
        </is>
      </c>
      <c r="P29" s="256" t="inlineStr">
        <is>
          <t>covered</t>
        </is>
      </c>
      <c r="Q29" s="256" t="inlineStr"/>
      <c r="R29" s="256" t="inlineStr">
        <is>
          <t>&lt;LOQ (197-2-К/26)</t>
        </is>
      </c>
    </row>
    <row r="30">
      <c r="A30" s="256" t="inlineStr">
        <is>
          <t>CoQ-PP_26-002</t>
        </is>
      </c>
      <c r="B30" s="256" t="inlineStr">
        <is>
          <t>release</t>
        </is>
      </c>
      <c r="C30" s="256" t="inlineStr">
        <is>
          <t>BSS1024</t>
        </is>
      </c>
      <c r="D30" s="256" t="inlineStr">
        <is>
          <t>BSS1024</t>
        </is>
      </c>
      <c r="E30" s="256" t="inlineStr">
        <is>
          <t>Blue Sunset Sherbet</t>
        </is>
      </c>
      <c r="F30" s="256" t="inlineStr">
        <is>
          <t>06.06.2026</t>
        </is>
      </c>
      <c r="G30" s="256" t="inlineStr">
        <is>
          <t>6</t>
        </is>
      </c>
      <c r="H30" s="256" t="inlineStr">
        <is>
          <t>Total CBN</t>
        </is>
      </c>
      <c r="I30" s="256" t="inlineStr">
        <is>
          <t>HPLC — DAB 2018 monograph Cannabis flos, 2.2.29 · CBN + CBNA x 0.876 (CNP, before its Ph. Eur. 3028 accreditation)</t>
        </is>
      </c>
      <c r="J30" s="256" t="inlineStr">
        <is>
          <t>≤ 1.0%, w/w</t>
        </is>
      </c>
      <c r="K30" s="256" t="inlineStr">
        <is>
          <t>0.02</t>
        </is>
      </c>
      <c r="L30" s="256" t="inlineStr">
        <is>
          <t>ППК25051</t>
        </is>
      </c>
      <c r="M30" s="256" t="inlineStr">
        <is>
          <t>26.02.2025</t>
        </is>
      </c>
      <c r="N30" s="256" t="inlineStr">
        <is>
          <t>CNP</t>
        </is>
      </c>
      <c r="O30" s="256" t="inlineStr">
        <is>
          <t>13.02.2025</t>
        </is>
      </c>
      <c r="P30" s="256" t="inlineStr">
        <is>
          <t>covered</t>
        </is>
      </c>
      <c r="Q30" s="256" t="inlineStr"/>
      <c r="R30" s="256" t="inlineStr"/>
    </row>
    <row r="31">
      <c r="A31" s="256" t="inlineStr">
        <is>
          <t>CoQ-PP_26-002</t>
        </is>
      </c>
      <c r="B31" s="256" t="inlineStr">
        <is>
          <t>release</t>
        </is>
      </c>
      <c r="C31" s="256" t="inlineStr">
        <is>
          <t>BSS1024</t>
        </is>
      </c>
      <c r="D31" s="256" t="inlineStr">
        <is>
          <t>BSS1024</t>
        </is>
      </c>
      <c r="E31" s="256" t="inlineStr">
        <is>
          <t>Blue Sunset Sherbet</t>
        </is>
      </c>
      <c r="F31" s="256" t="inlineStr">
        <is>
          <t>06.06.2026</t>
        </is>
      </c>
      <c r="G31" s="256" t="inlineStr">
        <is>
          <t>7</t>
        </is>
      </c>
      <c r="H31" s="256" t="inlineStr">
        <is>
          <t>Foreign Matter</t>
        </is>
      </c>
      <c r="I31" s="256" t="inlineStr">
        <is>
          <t>Ph. Eur. 2.8.2 · In-house · интерна</t>
        </is>
      </c>
      <c r="J31" s="256" t="inlineStr">
        <is>
          <t>≤ 2.0% / 25–50 g · &lt; 1 cm leaves | листови, no seeds | без семки</t>
        </is>
      </c>
      <c r="K31" s="256" t="inlineStr">
        <is>
          <t>Conforms | Одговара</t>
        </is>
      </c>
      <c r="L31" s="256" t="inlineStr">
        <is>
          <t>iCoA-PP_26-002</t>
        </is>
      </c>
      <c r="M31" s="256" t="inlineStr">
        <is>
          <t>03.06.2026</t>
        </is>
      </c>
      <c r="N31" s="256" t="inlineStr">
        <is>
          <t>Purely Plant GmbH (in-house)</t>
        </is>
      </c>
      <c r="O31" s="256" t="inlineStr">
        <is>
          <t>—</t>
        </is>
      </c>
      <c r="P31" s="256" t="inlineStr">
        <is>
          <t>to be performed — see route</t>
        </is>
      </c>
      <c r="Q31" s="256" t="inlineStr">
        <is>
          <t>Purely Plant laboratory — iCoA covering Foreign matter</t>
        </is>
      </c>
      <c r="R31" s="256" t="inlineStr"/>
    </row>
    <row r="32">
      <c r="A32" s="256" t="inlineStr">
        <is>
          <t>CoQ-PP_26-002</t>
        </is>
      </c>
      <c r="B32" s="256" t="inlineStr">
        <is>
          <t>release</t>
        </is>
      </c>
      <c r="C32" s="256" t="inlineStr">
        <is>
          <t>BSS1024</t>
        </is>
      </c>
      <c r="D32" s="256" t="inlineStr">
        <is>
          <t>BSS1024</t>
        </is>
      </c>
      <c r="E32" s="256" t="inlineStr">
        <is>
          <t>Blue Sunset Sherbet</t>
        </is>
      </c>
      <c r="F32" s="256" t="inlineStr">
        <is>
          <t>06.06.2026</t>
        </is>
      </c>
      <c r="G32" s="256" t="inlineStr">
        <is>
          <t>8</t>
        </is>
      </c>
      <c r="H32" s="256" t="inlineStr">
        <is>
          <t>Loss on Drying</t>
        </is>
      </c>
      <c r="I32" s="256" t="inlineStr">
        <is>
          <t>DAB 2018 monograph Cannabis flos, 2.2.32 — loss on drying (CNP, before its Ph. Eur. 3028 accreditation)</t>
        </is>
      </c>
      <c r="J32" s="256" t="inlineStr">
        <is>
          <t>≤ 12.0%</t>
        </is>
      </c>
      <c r="K32" s="256" t="inlineStr">
        <is>
          <t>5.99</t>
        </is>
      </c>
      <c r="L32" s="256" t="inlineStr">
        <is>
          <t>ППК25051</t>
        </is>
      </c>
      <c r="M32" s="256" t="inlineStr">
        <is>
          <t>26.02.2025</t>
        </is>
      </c>
      <c r="N32" s="256" t="inlineStr">
        <is>
          <t>UKIM Faculty of Pharmacy — Center for Natural Products</t>
        </is>
      </c>
      <c r="O32" s="256" t="inlineStr">
        <is>
          <t>13.02.2025</t>
        </is>
      </c>
      <c r="P32" s="256" t="inlineStr">
        <is>
          <t>covered</t>
        </is>
      </c>
      <c r="Q32" s="256" t="inlineStr"/>
      <c r="R32" s="256" t="inlineStr"/>
    </row>
    <row r="33">
      <c r="A33" s="256" t="inlineStr">
        <is>
          <t>CoQ-PP_26-002</t>
        </is>
      </c>
      <c r="B33" s="256" t="inlineStr">
        <is>
          <t>release</t>
        </is>
      </c>
      <c r="C33" s="256" t="inlineStr">
        <is>
          <t>BSS1024</t>
        </is>
      </c>
      <c r="D33" s="256" t="inlineStr">
        <is>
          <t>BSS1024</t>
        </is>
      </c>
      <c r="E33" s="256" t="inlineStr">
        <is>
          <t>Blue Sunset Sherbet</t>
        </is>
      </c>
      <c r="F33" s="256" t="inlineStr">
        <is>
          <t>06.06.2026</t>
        </is>
      </c>
      <c r="G33" s="256" t="inlineStr">
        <is>
          <t>9.1</t>
        </is>
      </c>
      <c r="H33" s="256" t="inlineStr">
        <is>
          <t>TAMC</t>
        </is>
      </c>
      <c r="I33" s="256" t="inlineStr">
        <is>
          <t>Ph. Eur. 2.6.12 cat. C</t>
        </is>
      </c>
      <c r="J33" s="256" t="inlineStr">
        <is>
          <t>≤ 10⁵ CFU/g</t>
        </is>
      </c>
      <c r="K33" s="256" t="inlineStr">
        <is>
          <t>1.5 × 10⁴</t>
        </is>
      </c>
      <c r="L33" s="256" t="inlineStr">
        <is>
          <t>161/0269/25</t>
        </is>
      </c>
      <c r="M33" s="256" t="inlineStr">
        <is>
          <t>24.02.2025</t>
        </is>
      </c>
      <c r="N33" s="256" t="inlineStr">
        <is>
          <t>IPH — Institute of Public Health</t>
        </is>
      </c>
      <c r="O33" s="256" t="inlineStr">
        <is>
          <t>—</t>
        </is>
      </c>
      <c r="P33" s="256" t="inlineStr">
        <is>
          <t>covered</t>
        </is>
      </c>
      <c r="Q33" s="256" t="inlineStr"/>
      <c r="R33" s="256" t="inlineStr"/>
    </row>
    <row r="34">
      <c r="A34" s="256" t="inlineStr">
        <is>
          <t>CoQ-PP_26-002</t>
        </is>
      </c>
      <c r="B34" s="256" t="inlineStr">
        <is>
          <t>release</t>
        </is>
      </c>
      <c r="C34" s="256" t="inlineStr">
        <is>
          <t>BSS1024</t>
        </is>
      </c>
      <c r="D34" s="256" t="inlineStr">
        <is>
          <t>BSS1024</t>
        </is>
      </c>
      <c r="E34" s="256" t="inlineStr">
        <is>
          <t>Blue Sunset Sherbet</t>
        </is>
      </c>
      <c r="F34" s="256" t="inlineStr">
        <is>
          <t>06.06.2026</t>
        </is>
      </c>
      <c r="G34" s="256" t="inlineStr">
        <is>
          <t>9.2</t>
        </is>
      </c>
      <c r="H34" s="256" t="inlineStr">
        <is>
          <t>TYMC</t>
        </is>
      </c>
      <c r="I34" s="256" t="inlineStr">
        <is>
          <t>Ph. Eur. 2.6.12 cat. C</t>
        </is>
      </c>
      <c r="J34" s="256" t="inlineStr">
        <is>
          <t>≤ 10⁴ CFU/g</t>
        </is>
      </c>
      <c r="K34" s="256" t="inlineStr">
        <is>
          <t>2.2 × 10³</t>
        </is>
      </c>
      <c r="L34" s="256" t="inlineStr">
        <is>
          <t>161/0269/25</t>
        </is>
      </c>
      <c r="M34" s="256" t="inlineStr">
        <is>
          <t>24.02.2025</t>
        </is>
      </c>
      <c r="N34" s="256" t="inlineStr">
        <is>
          <t>IPH — Institute of Public Health</t>
        </is>
      </c>
      <c r="O34" s="256" t="inlineStr">
        <is>
          <t>—</t>
        </is>
      </c>
      <c r="P34" s="256" t="inlineStr">
        <is>
          <t>covered</t>
        </is>
      </c>
      <c r="Q34" s="256" t="inlineStr"/>
      <c r="R34" s="256" t="inlineStr"/>
    </row>
    <row r="35">
      <c r="A35" s="256" t="inlineStr">
        <is>
          <t>CoQ-PP_26-002</t>
        </is>
      </c>
      <c r="B35" s="256" t="inlineStr">
        <is>
          <t>release</t>
        </is>
      </c>
      <c r="C35" s="256" t="inlineStr">
        <is>
          <t>BSS1024</t>
        </is>
      </c>
      <c r="D35" s="256" t="inlineStr">
        <is>
          <t>BSS1024</t>
        </is>
      </c>
      <c r="E35" s="256" t="inlineStr">
        <is>
          <t>Blue Sunset Sherbet</t>
        </is>
      </c>
      <c r="F35" s="256" t="inlineStr">
        <is>
          <t>06.06.2026</t>
        </is>
      </c>
      <c r="G35" s="256" t="inlineStr">
        <is>
          <t>9.3</t>
        </is>
      </c>
      <c r="H35" s="256" t="inlineStr">
        <is>
          <t>Bile-tolerant gram-neg.</t>
        </is>
      </c>
      <c r="I35" s="256" t="inlineStr">
        <is>
          <t>Ph. Eur. 2.6.31 cat. C</t>
        </is>
      </c>
      <c r="J35" s="256" t="inlineStr">
        <is>
          <t>≤ 10⁴ CFU/g</t>
        </is>
      </c>
      <c r="K35" s="256" t="inlineStr">
        <is>
          <t>&lt; 10² and &gt; 10</t>
        </is>
      </c>
      <c r="L35" s="256" t="inlineStr">
        <is>
          <t>161/0269/25</t>
        </is>
      </c>
      <c r="M35" s="256" t="inlineStr">
        <is>
          <t>24.02.2025</t>
        </is>
      </c>
      <c r="N35" s="256" t="inlineStr">
        <is>
          <t>IPH — Institute of Public Health</t>
        </is>
      </c>
      <c r="O35" s="256" t="inlineStr">
        <is>
          <t>—</t>
        </is>
      </c>
      <c r="P35" s="256" t="inlineStr">
        <is>
          <t>covered</t>
        </is>
      </c>
      <c r="Q35" s="256" t="inlineStr"/>
      <c r="R35" s="256" t="inlineStr"/>
    </row>
    <row r="36">
      <c r="A36" s="256" t="inlineStr">
        <is>
          <t>CoQ-PP_26-002</t>
        </is>
      </c>
      <c r="B36" s="256" t="inlineStr">
        <is>
          <t>release</t>
        </is>
      </c>
      <c r="C36" s="256" t="inlineStr">
        <is>
          <t>BSS1024</t>
        </is>
      </c>
      <c r="D36" s="256" t="inlineStr">
        <is>
          <t>BSS1024</t>
        </is>
      </c>
      <c r="E36" s="256" t="inlineStr">
        <is>
          <t>Blue Sunset Sherbet</t>
        </is>
      </c>
      <c r="F36" s="256" t="inlineStr">
        <is>
          <t>06.06.2026</t>
        </is>
      </c>
      <c r="G36" s="256" t="inlineStr">
        <is>
          <t>9.4</t>
        </is>
      </c>
      <c r="H36" s="256" t="inlineStr">
        <is>
          <t>Salmonella</t>
        </is>
      </c>
      <c r="I36" s="256" t="inlineStr">
        <is>
          <t>Ph. Eur. 2.6.31 cat. C</t>
        </is>
      </c>
      <c r="J36" s="256" t="inlineStr">
        <is>
          <t>Absence | Отсуство / 25 g</t>
        </is>
      </c>
      <c r="K36" s="256" t="inlineStr">
        <is>
          <t>Absent | Отсутна</t>
        </is>
      </c>
      <c r="L36" s="256" t="inlineStr">
        <is>
          <t>161/0269/25</t>
        </is>
      </c>
      <c r="M36" s="256" t="inlineStr">
        <is>
          <t>24.02.2025</t>
        </is>
      </c>
      <c r="N36" s="256" t="inlineStr">
        <is>
          <t>IPH — Institute of Public Health</t>
        </is>
      </c>
      <c r="O36" s="256" t="inlineStr">
        <is>
          <t>—</t>
        </is>
      </c>
      <c r="P36" s="256" t="inlineStr">
        <is>
          <t>covered</t>
        </is>
      </c>
      <c r="Q36" s="256" t="inlineStr"/>
      <c r="R36" s="256" t="inlineStr"/>
    </row>
    <row r="37">
      <c r="A37" s="256" t="inlineStr">
        <is>
          <t>CoQ-PP_26-002</t>
        </is>
      </c>
      <c r="B37" s="256" t="inlineStr">
        <is>
          <t>release</t>
        </is>
      </c>
      <c r="C37" s="256" t="inlineStr">
        <is>
          <t>BSS1024</t>
        </is>
      </c>
      <c r="D37" s="256" t="inlineStr">
        <is>
          <t>BSS1024</t>
        </is>
      </c>
      <c r="E37" s="256" t="inlineStr">
        <is>
          <t>Blue Sunset Sherbet</t>
        </is>
      </c>
      <c r="F37" s="256" t="inlineStr">
        <is>
          <t>06.06.2026</t>
        </is>
      </c>
      <c r="G37" s="256" t="inlineStr">
        <is>
          <t>9.5</t>
        </is>
      </c>
      <c r="H37" s="256" t="inlineStr">
        <is>
          <t>Escherichia coli</t>
        </is>
      </c>
      <c r="I37" s="256" t="inlineStr">
        <is>
          <t>Ph. Eur. 2.6.13 cat. C</t>
        </is>
      </c>
      <c r="J37" s="256" t="inlineStr">
        <is>
          <t>Absence | Отсуство / 1 g</t>
        </is>
      </c>
      <c r="K37" s="256" t="inlineStr">
        <is>
          <t>Absent | Отсутна</t>
        </is>
      </c>
      <c r="L37" s="256" t="inlineStr">
        <is>
          <t>161/0269/25</t>
        </is>
      </c>
      <c r="M37" s="256" t="inlineStr">
        <is>
          <t>24.02.2025</t>
        </is>
      </c>
      <c r="N37" s="256" t="inlineStr">
        <is>
          <t>IPH — Institute of Public Health</t>
        </is>
      </c>
      <c r="O37" s="256" t="inlineStr">
        <is>
          <t>—</t>
        </is>
      </c>
      <c r="P37" s="256" t="inlineStr">
        <is>
          <t>covered</t>
        </is>
      </c>
      <c r="Q37" s="256" t="inlineStr"/>
      <c r="R37" s="256" t="inlineStr"/>
    </row>
    <row r="38">
      <c r="A38" s="256" t="inlineStr">
        <is>
          <t>CoQ-PP_26-002</t>
        </is>
      </c>
      <c r="B38" s="256" t="inlineStr">
        <is>
          <t>release</t>
        </is>
      </c>
      <c r="C38" s="256" t="inlineStr">
        <is>
          <t>BSS1024</t>
        </is>
      </c>
      <c r="D38" s="256" t="inlineStr">
        <is>
          <t>BSS1024</t>
        </is>
      </c>
      <c r="E38" s="256" t="inlineStr">
        <is>
          <t>Blue Sunset Sherbet</t>
        </is>
      </c>
      <c r="F38" s="256" t="inlineStr">
        <is>
          <t>06.06.2026</t>
        </is>
      </c>
      <c r="G38" s="256" t="inlineStr">
        <is>
          <t>9.6</t>
        </is>
      </c>
      <c r="H38" s="256" t="inlineStr">
        <is>
          <t>Pseudomonas aeruginosa</t>
        </is>
      </c>
      <c r="I38" s="256" t="inlineStr">
        <is>
          <t>Ph. Eur. 2.6.13 cat. C</t>
        </is>
      </c>
      <c r="J38" s="256" t="inlineStr">
        <is>
          <t>Absence | Отсуство / 1 g</t>
        </is>
      </c>
      <c r="K38" s="260" t="inlineStr">
        <is>
          <t>upon request — not required for release</t>
        </is>
      </c>
      <c r="L38" s="256" t="inlineStr">
        <is>
          <t>—</t>
        </is>
      </c>
      <c r="M38" s="256" t="inlineStr">
        <is>
          <t>—</t>
        </is>
      </c>
      <c r="N38" s="256" t="inlineStr">
        <is>
          <t>—</t>
        </is>
      </c>
      <c r="O38" s="256" t="inlineStr">
        <is>
          <t>—</t>
        </is>
      </c>
      <c r="P38" s="256" t="inlineStr">
        <is>
          <t>upon request — not required for release</t>
        </is>
      </c>
      <c r="Q38" s="256" t="inlineStr"/>
      <c r="R38" s="256" t="inlineStr"/>
    </row>
    <row r="39">
      <c r="A39" s="256" t="inlineStr">
        <is>
          <t>CoQ-PP_26-002</t>
        </is>
      </c>
      <c r="B39" s="256" t="inlineStr">
        <is>
          <t>release</t>
        </is>
      </c>
      <c r="C39" s="256" t="inlineStr">
        <is>
          <t>BSS1024</t>
        </is>
      </c>
      <c r="D39" s="256" t="inlineStr">
        <is>
          <t>BSS1024</t>
        </is>
      </c>
      <c r="E39" s="256" t="inlineStr">
        <is>
          <t>Blue Sunset Sherbet</t>
        </is>
      </c>
      <c r="F39" s="256" t="inlineStr">
        <is>
          <t>06.06.2026</t>
        </is>
      </c>
      <c r="G39" s="256" t="inlineStr">
        <is>
          <t>9.7</t>
        </is>
      </c>
      <c r="H39" s="256" t="inlineStr">
        <is>
          <t>Staphylococcus aureus</t>
        </is>
      </c>
      <c r="I39" s="256" t="inlineStr">
        <is>
          <t>Ph. Eur. 2.6.13 cat. C</t>
        </is>
      </c>
      <c r="J39" s="256" t="inlineStr">
        <is>
          <t>Absence | Отсуство / 1 g</t>
        </is>
      </c>
      <c r="K39" s="260" t="inlineStr">
        <is>
          <t>upon request — not required for release</t>
        </is>
      </c>
      <c r="L39" s="256" t="inlineStr">
        <is>
          <t>—</t>
        </is>
      </c>
      <c r="M39" s="256" t="inlineStr">
        <is>
          <t>—</t>
        </is>
      </c>
      <c r="N39" s="256" t="inlineStr">
        <is>
          <t>—</t>
        </is>
      </c>
      <c r="O39" s="256" t="inlineStr">
        <is>
          <t>—</t>
        </is>
      </c>
      <c r="P39" s="256" t="inlineStr">
        <is>
          <t>upon request — not required for release</t>
        </is>
      </c>
      <c r="Q39" s="256" t="inlineStr"/>
      <c r="R39" s="256" t="inlineStr"/>
    </row>
    <row r="40">
      <c r="A40" s="256" t="inlineStr">
        <is>
          <t>CoQ-PP_26-002</t>
        </is>
      </c>
      <c r="B40" s="256" t="inlineStr">
        <is>
          <t>release</t>
        </is>
      </c>
      <c r="C40" s="256" t="inlineStr">
        <is>
          <t>BSS1024</t>
        </is>
      </c>
      <c r="D40" s="256" t="inlineStr">
        <is>
          <t>BSS1024</t>
        </is>
      </c>
      <c r="E40" s="256" t="inlineStr">
        <is>
          <t>Blue Sunset Sherbet</t>
        </is>
      </c>
      <c r="F40" s="256" t="inlineStr">
        <is>
          <t>06.06.2026</t>
        </is>
      </c>
      <c r="G40" s="256" t="inlineStr">
        <is>
          <t>10.1</t>
        </is>
      </c>
      <c r="H40" s="256" t="inlineStr">
        <is>
          <t>Aflatoxin B₁</t>
        </is>
      </c>
      <c r="I40" s="256" t="inlineStr">
        <is>
          <t>Ph. Eur. 2.8.18 (HPLC-FLD)</t>
        </is>
      </c>
      <c r="J40" s="256" t="inlineStr">
        <is>
          <t>≤ 2 µg/kg</t>
        </is>
      </c>
      <c r="K40" s="259" t="inlineStr">
        <is>
          <t>not tested</t>
        </is>
      </c>
      <c r="L40" s="256" t="inlineStr">
        <is>
          <t>—</t>
        </is>
      </c>
      <c r="M40" s="256" t="inlineStr">
        <is>
          <t>—</t>
        </is>
      </c>
      <c r="N40" s="256" t="inlineStr">
        <is>
          <t>—</t>
        </is>
      </c>
      <c r="O40" s="256" t="inlineStr">
        <is>
          <t>—</t>
        </is>
      </c>
      <c r="P40" s="256" t="inlineStr">
        <is>
          <t>not tested — no certificate covers it</t>
        </is>
      </c>
      <c r="Q40" s="256" t="inlineStr"/>
      <c r="R40" s="256" t="inlineStr">
        <is>
          <t>ND (197-2-М/26)</t>
        </is>
      </c>
    </row>
    <row r="41">
      <c r="A41" s="256" t="inlineStr">
        <is>
          <t>CoQ-PP_26-002</t>
        </is>
      </c>
      <c r="B41" s="256" t="inlineStr">
        <is>
          <t>release</t>
        </is>
      </c>
      <c r="C41" s="256" t="inlineStr">
        <is>
          <t>BSS1024</t>
        </is>
      </c>
      <c r="D41" s="256" t="inlineStr">
        <is>
          <t>BSS1024</t>
        </is>
      </c>
      <c r="E41" s="256" t="inlineStr">
        <is>
          <t>Blue Sunset Sherbet</t>
        </is>
      </c>
      <c r="F41" s="256" t="inlineStr">
        <is>
          <t>06.06.2026</t>
        </is>
      </c>
      <c r="G41" s="256" t="inlineStr">
        <is>
          <t>10.2</t>
        </is>
      </c>
      <c r="H41" s="256" t="inlineStr">
        <is>
          <t>Aflatoxins ∑</t>
        </is>
      </c>
      <c r="I41" s="256" t="inlineStr">
        <is>
          <t>Ph. Eur. 2.8.18 (HPLC-FLD)</t>
        </is>
      </c>
      <c r="J41" s="256" t="inlineStr">
        <is>
          <t>≤ 4 µg/kg</t>
        </is>
      </c>
      <c r="K41" s="256" t="inlineStr">
        <is>
          <t>&lt; 2</t>
        </is>
      </c>
      <c r="L41" s="256" t="inlineStr">
        <is>
          <t>751/2025</t>
        </is>
      </c>
      <c r="M41" s="256" t="inlineStr">
        <is>
          <t>27.02.2025</t>
        </is>
      </c>
      <c r="N41" s="256" t="inlineStr">
        <is>
          <t>IPH — Institute of Public Health</t>
        </is>
      </c>
      <c r="O41" s="256" t="inlineStr">
        <is>
          <t>13.02.2025</t>
        </is>
      </c>
      <c r="P41" s="256" t="inlineStr">
        <is>
          <t>covered</t>
        </is>
      </c>
      <c r="Q41" s="256" t="inlineStr"/>
      <c r="R41" s="256" t="inlineStr">
        <is>
          <t>ND (197-2-М/26)</t>
        </is>
      </c>
    </row>
    <row r="42">
      <c r="A42" s="256" t="inlineStr">
        <is>
          <t>CoQ-PP_26-002</t>
        </is>
      </c>
      <c r="B42" s="256" t="inlineStr">
        <is>
          <t>release</t>
        </is>
      </c>
      <c r="C42" s="256" t="inlineStr">
        <is>
          <t>BSS1024</t>
        </is>
      </c>
      <c r="D42" s="256" t="inlineStr">
        <is>
          <t>BSS1024</t>
        </is>
      </c>
      <c r="E42" s="256" t="inlineStr">
        <is>
          <t>Blue Sunset Sherbet</t>
        </is>
      </c>
      <c r="F42" s="256" t="inlineStr">
        <is>
          <t>06.06.2026</t>
        </is>
      </c>
      <c r="G42" s="256" t="inlineStr">
        <is>
          <t>10.3</t>
        </is>
      </c>
      <c r="H42" s="256" t="inlineStr">
        <is>
          <t>Ochratoxin A</t>
        </is>
      </c>
      <c r="I42" s="256" t="inlineStr">
        <is>
          <t>Ph. Eur. 2.8.22 (HPLC-FLD)</t>
        </is>
      </c>
      <c r="J42" s="256" t="inlineStr">
        <is>
          <t>≤ 20 µg/kg</t>
        </is>
      </c>
      <c r="K42" s="259" t="inlineStr">
        <is>
          <t>not tested</t>
        </is>
      </c>
      <c r="L42" s="256" t="inlineStr">
        <is>
          <t>—</t>
        </is>
      </c>
      <c r="M42" s="256" t="inlineStr">
        <is>
          <t>—</t>
        </is>
      </c>
      <c r="N42" s="256" t="inlineStr">
        <is>
          <t>—</t>
        </is>
      </c>
      <c r="O42" s="256" t="inlineStr">
        <is>
          <t>—</t>
        </is>
      </c>
      <c r="P42" s="256" t="inlineStr">
        <is>
          <t>not tested — no certificate covers it</t>
        </is>
      </c>
      <c r="Q42" s="256" t="inlineStr"/>
      <c r="R42" s="256" t="inlineStr">
        <is>
          <t>ND (197-2-М/26)</t>
        </is>
      </c>
    </row>
    <row r="43">
      <c r="A43" s="256" t="inlineStr">
        <is>
          <t>CoQ-PP_26-002</t>
        </is>
      </c>
      <c r="B43" s="256" t="inlineStr">
        <is>
          <t>release</t>
        </is>
      </c>
      <c r="C43" s="256" t="inlineStr">
        <is>
          <t>BSS1024</t>
        </is>
      </c>
      <c r="D43" s="256" t="inlineStr">
        <is>
          <t>BSS1024</t>
        </is>
      </c>
      <c r="E43" s="256" t="inlineStr">
        <is>
          <t>Blue Sunset Sherbet</t>
        </is>
      </c>
      <c r="F43" s="256" t="inlineStr">
        <is>
          <t>06.06.2026</t>
        </is>
      </c>
      <c r="G43" s="256" t="inlineStr">
        <is>
          <t>11.1</t>
        </is>
      </c>
      <c r="H43" s="256" t="inlineStr">
        <is>
          <t>Lead (Pb)</t>
        </is>
      </c>
      <c r="I43" s="256" t="inlineStr">
        <is>
          <t>Ph. Eur. 2.4.27 (ICP-MS)</t>
        </is>
      </c>
      <c r="J43" s="256" t="inlineStr">
        <is>
          <t>≤ 0.5 mg/kg</t>
        </is>
      </c>
      <c r="K43" s="256" t="inlineStr">
        <is>
          <t>0.071</t>
        </is>
      </c>
      <c r="L43" s="256" t="inlineStr">
        <is>
          <t>751/2025</t>
        </is>
      </c>
      <c r="M43" s="256" t="inlineStr">
        <is>
          <t>27.02.2025</t>
        </is>
      </c>
      <c r="N43" s="256" t="inlineStr">
        <is>
          <t>IPH — Institute of Public Health</t>
        </is>
      </c>
      <c r="O43" s="256" t="inlineStr">
        <is>
          <t>13.02.2025</t>
        </is>
      </c>
      <c r="P43" s="256" t="inlineStr">
        <is>
          <t>covered</t>
        </is>
      </c>
      <c r="Q43" s="256" t="inlineStr"/>
      <c r="R43" s="256" t="inlineStr"/>
    </row>
    <row r="44">
      <c r="A44" s="256" t="inlineStr">
        <is>
          <t>CoQ-PP_26-002</t>
        </is>
      </c>
      <c r="B44" s="256" t="inlineStr">
        <is>
          <t>release</t>
        </is>
      </c>
      <c r="C44" s="256" t="inlineStr">
        <is>
          <t>BSS1024</t>
        </is>
      </c>
      <c r="D44" s="256" t="inlineStr">
        <is>
          <t>BSS1024</t>
        </is>
      </c>
      <c r="E44" s="256" t="inlineStr">
        <is>
          <t>Blue Sunset Sherbet</t>
        </is>
      </c>
      <c r="F44" s="256" t="inlineStr">
        <is>
          <t>06.06.2026</t>
        </is>
      </c>
      <c r="G44" s="256" t="inlineStr">
        <is>
          <t>11.2</t>
        </is>
      </c>
      <c r="H44" s="256" t="inlineStr">
        <is>
          <t>Cadmium (Cd)</t>
        </is>
      </c>
      <c r="I44" s="256" t="inlineStr">
        <is>
          <t>Ph. Eur. 2.4.27 (ICP-MS)</t>
        </is>
      </c>
      <c r="J44" s="256" t="inlineStr">
        <is>
          <t>≤ 0.3 mg/kg</t>
        </is>
      </c>
      <c r="K44" s="256" t="inlineStr">
        <is>
          <t>0.014</t>
        </is>
      </c>
      <c r="L44" s="256" t="inlineStr">
        <is>
          <t>751/2025</t>
        </is>
      </c>
      <c r="M44" s="256" t="inlineStr">
        <is>
          <t>27.02.2025</t>
        </is>
      </c>
      <c r="N44" s="256" t="inlineStr">
        <is>
          <t>IPH — Institute of Public Health</t>
        </is>
      </c>
      <c r="O44" s="256" t="inlineStr">
        <is>
          <t>13.02.2025</t>
        </is>
      </c>
      <c r="P44" s="256" t="inlineStr">
        <is>
          <t>covered</t>
        </is>
      </c>
      <c r="Q44" s="256" t="inlineStr"/>
      <c r="R44" s="256" t="inlineStr"/>
    </row>
    <row r="45">
      <c r="A45" s="256" t="inlineStr">
        <is>
          <t>CoQ-PP_26-002</t>
        </is>
      </c>
      <c r="B45" s="256" t="inlineStr">
        <is>
          <t>release</t>
        </is>
      </c>
      <c r="C45" s="256" t="inlineStr">
        <is>
          <t>BSS1024</t>
        </is>
      </c>
      <c r="D45" s="256" t="inlineStr">
        <is>
          <t>BSS1024</t>
        </is>
      </c>
      <c r="E45" s="256" t="inlineStr">
        <is>
          <t>Blue Sunset Sherbet</t>
        </is>
      </c>
      <c r="F45" s="256" t="inlineStr">
        <is>
          <t>06.06.2026</t>
        </is>
      </c>
      <c r="G45" s="256" t="inlineStr">
        <is>
          <t>11.3</t>
        </is>
      </c>
      <c r="H45" s="256" t="inlineStr">
        <is>
          <t>Arsenic (As)</t>
        </is>
      </c>
      <c r="I45" s="256" t="inlineStr">
        <is>
          <t>Ph. Eur. 2.4.27 (ICP-MS)</t>
        </is>
      </c>
      <c r="J45" s="256" t="inlineStr">
        <is>
          <t>≤ 0.2 mg/kg</t>
        </is>
      </c>
      <c r="K45" s="256" t="inlineStr">
        <is>
          <t>0.081</t>
        </is>
      </c>
      <c r="L45" s="256" t="inlineStr">
        <is>
          <t>751/2025</t>
        </is>
      </c>
      <c r="M45" s="256" t="inlineStr">
        <is>
          <t>27.02.2025</t>
        </is>
      </c>
      <c r="N45" s="256" t="inlineStr">
        <is>
          <t>IPH — Institute of Public Health</t>
        </is>
      </c>
      <c r="O45" s="256" t="inlineStr">
        <is>
          <t>13.02.2025</t>
        </is>
      </c>
      <c r="P45" s="256" t="inlineStr">
        <is>
          <t>covered</t>
        </is>
      </c>
      <c r="Q45" s="256" t="inlineStr"/>
      <c r="R45" s="256" t="inlineStr"/>
    </row>
    <row r="46">
      <c r="A46" s="256" t="inlineStr">
        <is>
          <t>CoQ-PP_26-002</t>
        </is>
      </c>
      <c r="B46" s="256" t="inlineStr">
        <is>
          <t>release</t>
        </is>
      </c>
      <c r="C46" s="256" t="inlineStr">
        <is>
          <t>BSS1024</t>
        </is>
      </c>
      <c r="D46" s="256" t="inlineStr">
        <is>
          <t>BSS1024</t>
        </is>
      </c>
      <c r="E46" s="256" t="inlineStr">
        <is>
          <t>Blue Sunset Sherbet</t>
        </is>
      </c>
      <c r="F46" s="256" t="inlineStr">
        <is>
          <t>06.06.2026</t>
        </is>
      </c>
      <c r="G46" s="256" t="inlineStr">
        <is>
          <t>11.4</t>
        </is>
      </c>
      <c r="H46" s="256" t="inlineStr">
        <is>
          <t>Mercury (Hg)</t>
        </is>
      </c>
      <c r="I46" s="256" t="inlineStr">
        <is>
          <t>Ph. Eur. 2.4.27 (ICP-MS)</t>
        </is>
      </c>
      <c r="J46" s="256" t="inlineStr">
        <is>
          <t>≤ 0.1 mg/kg</t>
        </is>
      </c>
      <c r="K46" s="256" t="inlineStr">
        <is>
          <t>0.014</t>
        </is>
      </c>
      <c r="L46" s="256" t="inlineStr">
        <is>
          <t>751/2025</t>
        </is>
      </c>
      <c r="M46" s="256" t="inlineStr">
        <is>
          <t>27.02.2025</t>
        </is>
      </c>
      <c r="N46" s="256" t="inlineStr">
        <is>
          <t>IPH — Institute of Public Health</t>
        </is>
      </c>
      <c r="O46" s="256" t="inlineStr">
        <is>
          <t>13.02.2025</t>
        </is>
      </c>
      <c r="P46" s="256" t="inlineStr">
        <is>
          <t>covered</t>
        </is>
      </c>
      <c r="Q46" s="256" t="inlineStr"/>
      <c r="R46" s="256" t="inlineStr"/>
    </row>
    <row r="47">
      <c r="A47" s="256" t="inlineStr">
        <is>
          <t>CoQ-PP_26-002</t>
        </is>
      </c>
      <c r="B47" s="256" t="inlineStr">
        <is>
          <t>release</t>
        </is>
      </c>
      <c r="C47" s="256" t="inlineStr">
        <is>
          <t>BSS1024</t>
        </is>
      </c>
      <c r="D47" s="256" t="inlineStr">
        <is>
          <t>BSS1024</t>
        </is>
      </c>
      <c r="E47" s="256" t="inlineStr">
        <is>
          <t>Blue Sunset Sherbet</t>
        </is>
      </c>
      <c r="F47" s="256" t="inlineStr">
        <is>
          <t>06.06.2026</t>
        </is>
      </c>
      <c r="G47" s="256" t="inlineStr">
        <is>
          <t>12</t>
        </is>
      </c>
      <c r="H47" s="256" t="inlineStr">
        <is>
          <t>Pesticide Residues</t>
        </is>
      </c>
      <c r="I47" s="256" t="inlineStr">
        <is>
          <t>Ph. Eur. 2.8.13 (LC-MS/MS) · CUMCS Equivalency</t>
        </is>
      </c>
      <c r="J47" s="256" t="inlineStr">
        <is>
          <t>≤ LOQ as per Ph. Eur. 2.8.13 · ≤ LOQ as per CUMCS Equivalency</t>
        </is>
      </c>
      <c r="K47" s="256" t="inlineStr">
        <is>
          <t>ND</t>
        </is>
      </c>
      <c r="L47" s="256" t="inlineStr">
        <is>
          <t>751/2025</t>
        </is>
      </c>
      <c r="M47" s="256" t="inlineStr">
        <is>
          <t>27.02.2025</t>
        </is>
      </c>
      <c r="N47" s="256" t="inlineStr">
        <is>
          <t>IPH — Institute of Public Health</t>
        </is>
      </c>
      <c r="O47" s="256" t="inlineStr">
        <is>
          <t>13.02.2025</t>
        </is>
      </c>
      <c r="P47" s="256" t="inlineStr">
        <is>
          <t>covered</t>
        </is>
      </c>
      <c r="Q47" s="256" t="inlineStr"/>
      <c r="R47" s="256" t="inlineStr"/>
    </row>
    <row r="48">
      <c r="A48" s="256" t="inlineStr">
        <is>
          <t>CoQ-PP_26-003</t>
        </is>
      </c>
      <c r="B48" s="256" t="inlineStr">
        <is>
          <t>release</t>
        </is>
      </c>
      <c r="C48" s="256" t="inlineStr">
        <is>
          <t>BG1024</t>
        </is>
      </c>
      <c r="D48" s="256" t="inlineStr">
        <is>
          <t>BG1024</t>
        </is>
      </c>
      <c r="E48" s="256" t="inlineStr">
        <is>
          <t>Blue Gelato</t>
        </is>
      </c>
      <c r="F48" s="256" t="inlineStr">
        <is>
          <t>06.06.2026</t>
        </is>
      </c>
      <c r="G48" s="256" t="inlineStr">
        <is>
          <t>1</t>
        </is>
      </c>
      <c r="H48" s="256" t="inlineStr">
        <is>
          <t>Identification A, Appearance · Macroscopic</t>
        </is>
      </c>
      <c r="I48" s="256" t="inlineStr">
        <is>
          <t>Ph. Eur. mon. 3028</t>
        </is>
      </c>
      <c r="J48" s="256" t="inlineStr">
        <is>
          <t>Conforms to the monograph for Cannabis flos (07/2024:3028) in Ph. Eur. 11.0 | Согласно монографија за Cannabis flos (07/2024:3028) во Ph. Eur. 11.0</t>
        </is>
      </c>
      <c r="K48" s="256" t="inlineStr">
        <is>
          <t>Conforms | Одговара</t>
        </is>
      </c>
      <c r="L48" s="256" t="inlineStr">
        <is>
          <t>iCoA-PP_26-003</t>
        </is>
      </c>
      <c r="M48" s="256" t="inlineStr">
        <is>
          <t>03.06.2026</t>
        </is>
      </c>
      <c r="N48" s="256" t="inlineStr">
        <is>
          <t>Purely Plant GmbH (in-house)</t>
        </is>
      </c>
      <c r="O48" s="256" t="inlineStr">
        <is>
          <t>—</t>
        </is>
      </c>
      <c r="P48" s="256" t="inlineStr">
        <is>
          <t>to be performed — see route</t>
        </is>
      </c>
      <c r="Q48" s="256" t="inlineStr">
        <is>
          <t>Purely Plant laboratory — iCoA covering Ident A + B</t>
        </is>
      </c>
      <c r="R48" s="256" t="inlineStr"/>
    </row>
    <row r="49">
      <c r="A49" s="256" t="inlineStr">
        <is>
          <t>CoQ-PP_26-003</t>
        </is>
      </c>
      <c r="B49" s="256" t="inlineStr">
        <is>
          <t>release</t>
        </is>
      </c>
      <c r="C49" s="256" t="inlineStr">
        <is>
          <t>BG1024</t>
        </is>
      </c>
      <c r="D49" s="256" t="inlineStr">
        <is>
          <t>BG1024</t>
        </is>
      </c>
      <c r="E49" s="256" t="inlineStr">
        <is>
          <t>Blue Gelato</t>
        </is>
      </c>
      <c r="F49" s="256" t="inlineStr">
        <is>
          <t>06.06.2026</t>
        </is>
      </c>
      <c r="G49" s="256" t="inlineStr">
        <is>
          <t>2</t>
        </is>
      </c>
      <c r="H49" s="256" t="inlineStr">
        <is>
          <t>Identification B · Microscopic</t>
        </is>
      </c>
      <c r="I49" s="256" t="inlineStr">
        <is>
          <t>Ph. Eur. 2.8.23 (microscopy)</t>
        </is>
      </c>
      <c r="J49" s="256" t="inlineStr">
        <is>
          <t>Conforms to the monograph for Cannabis flos (07/2024:3028) in Ph. Eur. 11.0 | Согласно монографија за Cannabis flos (07/2024:3028) во Ph. Eur. 11.0</t>
        </is>
      </c>
      <c r="K49" s="256" t="inlineStr">
        <is>
          <t>Conforms | Одговара</t>
        </is>
      </c>
      <c r="L49" s="256" t="inlineStr">
        <is>
          <t>iCoA-PP_26-003</t>
        </is>
      </c>
      <c r="M49" s="256" t="inlineStr">
        <is>
          <t>03.06.2026</t>
        </is>
      </c>
      <c r="N49" s="256" t="inlineStr">
        <is>
          <t>Purely Plant GmbH (in-house)</t>
        </is>
      </c>
      <c r="O49" s="256" t="inlineStr">
        <is>
          <t>—</t>
        </is>
      </c>
      <c r="P49" s="256" t="inlineStr">
        <is>
          <t>to be performed — see route</t>
        </is>
      </c>
      <c r="Q49" s="256" t="inlineStr">
        <is>
          <t>Purely Plant laboratory — iCoA covering Ident A + B</t>
        </is>
      </c>
      <c r="R49" s="256" t="inlineStr"/>
    </row>
    <row r="50">
      <c r="A50" s="256" t="inlineStr">
        <is>
          <t>CoQ-PP_26-003</t>
        </is>
      </c>
      <c r="B50" s="256" t="inlineStr">
        <is>
          <t>release</t>
        </is>
      </c>
      <c r="C50" s="256" t="inlineStr">
        <is>
          <t>BG1024</t>
        </is>
      </c>
      <c r="D50" s="256" t="inlineStr">
        <is>
          <t>BG1024</t>
        </is>
      </c>
      <c r="E50" s="256" t="inlineStr">
        <is>
          <t>Blue Gelato</t>
        </is>
      </c>
      <c r="F50" s="256" t="inlineStr">
        <is>
          <t>06.06.2026</t>
        </is>
      </c>
      <c r="G50" s="256" t="inlineStr">
        <is>
          <t>3</t>
        </is>
      </c>
      <c r="H50" s="256" t="inlineStr">
        <is>
          <t>Identification C · HPLC/HPTLC</t>
        </is>
      </c>
      <c r="I50" s="256" t="inlineStr">
        <is>
          <t>HPLC — DAB 2018 monograph Cannabis flos, 2.2.29 (CNP, before its Ph. Eur. 3028 accreditation)</t>
        </is>
      </c>
      <c r="J50" s="256" t="inlineStr">
        <is>
          <t>Conforms to the monograph for Cannabis flos (07/2024:3028) in Ph. Eur. 11.0 | Согласно монографија за Cannabis flos (07/2024:3028) во Ph. Eur. 11.0</t>
        </is>
      </c>
      <c r="K50" s="256" t="inlineStr">
        <is>
          <t>Conforms | Одговара</t>
        </is>
      </c>
      <c r="L50" s="256" t="inlineStr">
        <is>
          <t>ППК25050</t>
        </is>
      </c>
      <c r="M50" s="256" t="inlineStr">
        <is>
          <t>26.02.2025</t>
        </is>
      </c>
      <c r="N50" s="256" t="inlineStr">
        <is>
          <t>UKIM Faculty of Pharmacy — Center for Natural Products</t>
        </is>
      </c>
      <c r="O50" s="256" t="inlineStr">
        <is>
          <t>13.02.2025</t>
        </is>
      </c>
      <c r="P50" s="256" t="inlineStr">
        <is>
          <t>covered</t>
        </is>
      </c>
      <c r="Q50" s="256" t="inlineStr"/>
      <c r="R50" s="256" t="inlineStr"/>
    </row>
    <row r="51">
      <c r="A51" s="256" t="inlineStr">
        <is>
          <t>CoQ-PP_26-003</t>
        </is>
      </c>
      <c r="B51" s="256" t="inlineStr">
        <is>
          <t>release</t>
        </is>
      </c>
      <c r="C51" s="256" t="inlineStr">
        <is>
          <t>BG1024</t>
        </is>
      </c>
      <c r="D51" s="256" t="inlineStr">
        <is>
          <t>BG1024</t>
        </is>
      </c>
      <c r="E51" s="256" t="inlineStr">
        <is>
          <t>Blue Gelato</t>
        </is>
      </c>
      <c r="F51" s="256" t="inlineStr">
        <is>
          <t>06.06.2026</t>
        </is>
      </c>
      <c r="G51" s="256" t="inlineStr">
        <is>
          <t>4</t>
        </is>
      </c>
      <c r="H51" s="256" t="inlineStr">
        <is>
          <t>Assay — Total Δ⁹-THC</t>
        </is>
      </c>
      <c r="I51" s="256" t="inlineStr">
        <is>
          <t>HPLC — DAB 2018 monograph Cannabis flos, 2.2.29 (CNP, before its Ph. Eur. 3028 accreditation)</t>
        </is>
      </c>
      <c r="J51" s="256" t="inlineStr">
        <is>
          <t>19.80 – 24.19 %  (grade II, nominal 22.00 ± 2.20)</t>
        </is>
      </c>
      <c r="K51" s="256" t="inlineStr">
        <is>
          <t>21.80</t>
        </is>
      </c>
      <c r="L51" s="256" t="inlineStr">
        <is>
          <t>ППК25050</t>
        </is>
      </c>
      <c r="M51" s="256" t="inlineStr">
        <is>
          <t>26.02.2025</t>
        </is>
      </c>
      <c r="N51" s="256" t="inlineStr">
        <is>
          <t>UKIM Faculty of Pharmacy — Center for Natural Products</t>
        </is>
      </c>
      <c r="O51" s="256" t="inlineStr">
        <is>
          <t>13.02.2025</t>
        </is>
      </c>
      <c r="P51" s="256" t="inlineStr">
        <is>
          <t>covered</t>
        </is>
      </c>
      <c r="Q51" s="256" t="inlineStr"/>
      <c r="R51" s="256" t="inlineStr">
        <is>
          <t>26.14 (197-1-К/26)</t>
        </is>
      </c>
    </row>
    <row r="52">
      <c r="A52" s="256" t="inlineStr">
        <is>
          <t>CoQ-PP_26-003</t>
        </is>
      </c>
      <c r="B52" s="256" t="inlineStr">
        <is>
          <t>release</t>
        </is>
      </c>
      <c r="C52" s="256" t="inlineStr">
        <is>
          <t>BG1024</t>
        </is>
      </c>
      <c r="D52" s="256" t="inlineStr">
        <is>
          <t>BG1024</t>
        </is>
      </c>
      <c r="E52" s="256" t="inlineStr">
        <is>
          <t>Blue Gelato</t>
        </is>
      </c>
      <c r="F52" s="256" t="inlineStr">
        <is>
          <t>06.06.2026</t>
        </is>
      </c>
      <c r="G52" s="256" t="inlineStr">
        <is>
          <t>5</t>
        </is>
      </c>
      <c r="H52" s="256" t="inlineStr">
        <is>
          <t>Assay — Total CBD</t>
        </is>
      </c>
      <c r="I52" s="256" t="inlineStr">
        <is>
          <t>HPLC — DAB 2018 monograph Cannabis flos, 2.2.29 · CBD + CBDA x 0.877 (CNP, before its Ph. Eur. 3028 accreditation)</t>
        </is>
      </c>
      <c r="J52" s="256" t="inlineStr">
        <is>
          <t>≤ 1.0%, w/w</t>
        </is>
      </c>
      <c r="K52" s="256" t="inlineStr">
        <is>
          <t>0.04</t>
        </is>
      </c>
      <c r="L52" s="256" t="inlineStr">
        <is>
          <t>ППК25050</t>
        </is>
      </c>
      <c r="M52" s="256" t="inlineStr">
        <is>
          <t>26.02.2025</t>
        </is>
      </c>
      <c r="N52" s="256" t="inlineStr">
        <is>
          <t>UKIM Faculty of Pharmacy — Center for Natural Products</t>
        </is>
      </c>
      <c r="O52" s="256" t="inlineStr">
        <is>
          <t>13.02.2025</t>
        </is>
      </c>
      <c r="P52" s="256" t="inlineStr">
        <is>
          <t>covered</t>
        </is>
      </c>
      <c r="Q52" s="256" t="inlineStr"/>
      <c r="R52" s="256" t="inlineStr">
        <is>
          <t>&lt;LOQ (197-1-К/26)</t>
        </is>
      </c>
    </row>
    <row r="53">
      <c r="A53" s="256" t="inlineStr">
        <is>
          <t>CoQ-PP_26-003</t>
        </is>
      </c>
      <c r="B53" s="256" t="inlineStr">
        <is>
          <t>release</t>
        </is>
      </c>
      <c r="C53" s="256" t="inlineStr">
        <is>
          <t>BG1024</t>
        </is>
      </c>
      <c r="D53" s="256" t="inlineStr">
        <is>
          <t>BG1024</t>
        </is>
      </c>
      <c r="E53" s="256" t="inlineStr">
        <is>
          <t>Blue Gelato</t>
        </is>
      </c>
      <c r="F53" s="256" t="inlineStr">
        <is>
          <t>06.06.2026</t>
        </is>
      </c>
      <c r="G53" s="256" t="inlineStr">
        <is>
          <t>6</t>
        </is>
      </c>
      <c r="H53" s="256" t="inlineStr">
        <is>
          <t>Total CBN</t>
        </is>
      </c>
      <c r="I53" s="256" t="inlineStr">
        <is>
          <t>HPLC — DAB 2018 monograph Cannabis flos, 2.2.29 · CBN + CBNA x 0.876 (CNP, before its Ph. Eur. 3028 accreditation)</t>
        </is>
      </c>
      <c r="J53" s="256" t="inlineStr">
        <is>
          <t>≤ 1.0%, w/w</t>
        </is>
      </c>
      <c r="K53" s="256" t="inlineStr">
        <is>
          <t>0.02</t>
        </is>
      </c>
      <c r="L53" s="256" t="inlineStr">
        <is>
          <t>ППК25050</t>
        </is>
      </c>
      <c r="M53" s="256" t="inlineStr">
        <is>
          <t>26.02.2025</t>
        </is>
      </c>
      <c r="N53" s="256" t="inlineStr">
        <is>
          <t>CNP</t>
        </is>
      </c>
      <c r="O53" s="256" t="inlineStr">
        <is>
          <t>13.02.2025</t>
        </is>
      </c>
      <c r="P53" s="256" t="inlineStr">
        <is>
          <t>covered</t>
        </is>
      </c>
      <c r="Q53" s="256" t="inlineStr"/>
      <c r="R53" s="256" t="inlineStr"/>
    </row>
    <row r="54">
      <c r="A54" s="256" t="inlineStr">
        <is>
          <t>CoQ-PP_26-003</t>
        </is>
      </c>
      <c r="B54" s="256" t="inlineStr">
        <is>
          <t>release</t>
        </is>
      </c>
      <c r="C54" s="256" t="inlineStr">
        <is>
          <t>BG1024</t>
        </is>
      </c>
      <c r="D54" s="256" t="inlineStr">
        <is>
          <t>BG1024</t>
        </is>
      </c>
      <c r="E54" s="256" t="inlineStr">
        <is>
          <t>Blue Gelato</t>
        </is>
      </c>
      <c r="F54" s="256" t="inlineStr">
        <is>
          <t>06.06.2026</t>
        </is>
      </c>
      <c r="G54" s="256" t="inlineStr">
        <is>
          <t>7</t>
        </is>
      </c>
      <c r="H54" s="256" t="inlineStr">
        <is>
          <t>Foreign Matter</t>
        </is>
      </c>
      <c r="I54" s="256" t="inlineStr">
        <is>
          <t>Ph. Eur. 2.8.2 · In-house · интерна</t>
        </is>
      </c>
      <c r="J54" s="256" t="inlineStr">
        <is>
          <t>≤ 2.0% / 25–50 g · &lt; 1 cm leaves | листови, no seeds | без семки</t>
        </is>
      </c>
      <c r="K54" s="256" t="inlineStr">
        <is>
          <t>Conforms | Одговара</t>
        </is>
      </c>
      <c r="L54" s="256" t="inlineStr">
        <is>
          <t>iCoA-PP_26-003</t>
        </is>
      </c>
      <c r="M54" s="256" t="inlineStr">
        <is>
          <t>03.06.2026</t>
        </is>
      </c>
      <c r="N54" s="256" t="inlineStr">
        <is>
          <t>Purely Plant GmbH (in-house)</t>
        </is>
      </c>
      <c r="O54" s="256" t="inlineStr">
        <is>
          <t>—</t>
        </is>
      </c>
      <c r="P54" s="256" t="inlineStr">
        <is>
          <t>to be performed — see route</t>
        </is>
      </c>
      <c r="Q54" s="256" t="inlineStr">
        <is>
          <t>Purely Plant laboratory — iCoA covering Foreign matter</t>
        </is>
      </c>
      <c r="R54" s="256" t="inlineStr"/>
    </row>
    <row r="55">
      <c r="A55" s="256" t="inlineStr">
        <is>
          <t>CoQ-PP_26-003</t>
        </is>
      </c>
      <c r="B55" s="256" t="inlineStr">
        <is>
          <t>release</t>
        </is>
      </c>
      <c r="C55" s="256" t="inlineStr">
        <is>
          <t>BG1024</t>
        </is>
      </c>
      <c r="D55" s="256" t="inlineStr">
        <is>
          <t>BG1024</t>
        </is>
      </c>
      <c r="E55" s="256" t="inlineStr">
        <is>
          <t>Blue Gelato</t>
        </is>
      </c>
      <c r="F55" s="256" t="inlineStr">
        <is>
          <t>06.06.2026</t>
        </is>
      </c>
      <c r="G55" s="256" t="inlineStr">
        <is>
          <t>8</t>
        </is>
      </c>
      <c r="H55" s="256" t="inlineStr">
        <is>
          <t>Loss on Drying</t>
        </is>
      </c>
      <c r="I55" s="256" t="inlineStr">
        <is>
          <t>DAB 2018 monograph Cannabis flos, 2.2.32 — loss on drying (CNP, before its Ph. Eur. 3028 accreditation)</t>
        </is>
      </c>
      <c r="J55" s="256" t="inlineStr">
        <is>
          <t>≤ 12.0%</t>
        </is>
      </c>
      <c r="K55" s="256" t="inlineStr">
        <is>
          <t>5.73</t>
        </is>
      </c>
      <c r="L55" s="256" t="inlineStr">
        <is>
          <t>ППК25050</t>
        </is>
      </c>
      <c r="M55" s="256" t="inlineStr">
        <is>
          <t>26.02.2025</t>
        </is>
      </c>
      <c r="N55" s="256" t="inlineStr">
        <is>
          <t>UKIM Faculty of Pharmacy — Center for Natural Products</t>
        </is>
      </c>
      <c r="O55" s="256" t="inlineStr">
        <is>
          <t>13.02.2025</t>
        </is>
      </c>
      <c r="P55" s="256" t="inlineStr">
        <is>
          <t>covered</t>
        </is>
      </c>
      <c r="Q55" s="256" t="inlineStr"/>
      <c r="R55" s="256" t="inlineStr"/>
    </row>
    <row r="56">
      <c r="A56" s="256" t="inlineStr">
        <is>
          <t>CoQ-PP_26-003</t>
        </is>
      </c>
      <c r="B56" s="256" t="inlineStr">
        <is>
          <t>release</t>
        </is>
      </c>
      <c r="C56" s="256" t="inlineStr">
        <is>
          <t>BG1024</t>
        </is>
      </c>
      <c r="D56" s="256" t="inlineStr">
        <is>
          <t>BG1024</t>
        </is>
      </c>
      <c r="E56" s="256" t="inlineStr">
        <is>
          <t>Blue Gelato</t>
        </is>
      </c>
      <c r="F56" s="256" t="inlineStr">
        <is>
          <t>06.06.2026</t>
        </is>
      </c>
      <c r="G56" s="256" t="inlineStr">
        <is>
          <t>9.1</t>
        </is>
      </c>
      <c r="H56" s="256" t="inlineStr">
        <is>
          <t>TAMC</t>
        </is>
      </c>
      <c r="I56" s="256" t="inlineStr">
        <is>
          <t>Ph. Eur. 2.6.12 cat. C</t>
        </is>
      </c>
      <c r="J56" s="256" t="inlineStr">
        <is>
          <t>≤ 10⁵ CFU/g</t>
        </is>
      </c>
      <c r="K56" s="256" t="inlineStr">
        <is>
          <t>1.6 × 10⁴</t>
        </is>
      </c>
      <c r="L56" s="256" t="inlineStr">
        <is>
          <t>163/0271/25</t>
        </is>
      </c>
      <c r="M56" s="256" t="inlineStr">
        <is>
          <t>24.02.2025</t>
        </is>
      </c>
      <c r="N56" s="256" t="inlineStr">
        <is>
          <t>IPH — Institute of Public Health</t>
        </is>
      </c>
      <c r="O56" s="256" t="inlineStr">
        <is>
          <t>17.02.2025</t>
        </is>
      </c>
      <c r="P56" s="256" t="inlineStr">
        <is>
          <t>covered</t>
        </is>
      </c>
      <c r="Q56" s="256" t="inlineStr"/>
      <c r="R56" s="256" t="inlineStr"/>
    </row>
    <row r="57">
      <c r="A57" s="256" t="inlineStr">
        <is>
          <t>CoQ-PP_26-003</t>
        </is>
      </c>
      <c r="B57" s="256" t="inlineStr">
        <is>
          <t>release</t>
        </is>
      </c>
      <c r="C57" s="256" t="inlineStr">
        <is>
          <t>BG1024</t>
        </is>
      </c>
      <c r="D57" s="256" t="inlineStr">
        <is>
          <t>BG1024</t>
        </is>
      </c>
      <c r="E57" s="256" t="inlineStr">
        <is>
          <t>Blue Gelato</t>
        </is>
      </c>
      <c r="F57" s="256" t="inlineStr">
        <is>
          <t>06.06.2026</t>
        </is>
      </c>
      <c r="G57" s="256" t="inlineStr">
        <is>
          <t>9.2</t>
        </is>
      </c>
      <c r="H57" s="256" t="inlineStr">
        <is>
          <t>TYMC</t>
        </is>
      </c>
      <c r="I57" s="256" t="inlineStr">
        <is>
          <t>Ph. Eur. 2.6.12 cat. C</t>
        </is>
      </c>
      <c r="J57" s="256" t="inlineStr">
        <is>
          <t>≤ 10⁴ CFU/g</t>
        </is>
      </c>
      <c r="K57" s="256" t="inlineStr">
        <is>
          <t>1 × 10⁴</t>
        </is>
      </c>
      <c r="L57" s="256" t="inlineStr">
        <is>
          <t>163/0271/25</t>
        </is>
      </c>
      <c r="M57" s="256" t="inlineStr">
        <is>
          <t>24.02.2025</t>
        </is>
      </c>
      <c r="N57" s="256" t="inlineStr">
        <is>
          <t>IPH — Institute of Public Health</t>
        </is>
      </c>
      <c r="O57" s="256" t="inlineStr">
        <is>
          <t>17.02.2025</t>
        </is>
      </c>
      <c r="P57" s="256" t="inlineStr">
        <is>
          <t>covered</t>
        </is>
      </c>
      <c r="Q57" s="256" t="inlineStr"/>
      <c r="R57" s="256" t="inlineStr"/>
    </row>
    <row r="58">
      <c r="A58" s="256" t="inlineStr">
        <is>
          <t>CoQ-PP_26-003</t>
        </is>
      </c>
      <c r="B58" s="256" t="inlineStr">
        <is>
          <t>release</t>
        </is>
      </c>
      <c r="C58" s="256" t="inlineStr">
        <is>
          <t>BG1024</t>
        </is>
      </c>
      <c r="D58" s="256" t="inlineStr">
        <is>
          <t>BG1024</t>
        </is>
      </c>
      <c r="E58" s="256" t="inlineStr">
        <is>
          <t>Blue Gelato</t>
        </is>
      </c>
      <c r="F58" s="256" t="inlineStr">
        <is>
          <t>06.06.2026</t>
        </is>
      </c>
      <c r="G58" s="256" t="inlineStr">
        <is>
          <t>9.3</t>
        </is>
      </c>
      <c r="H58" s="256" t="inlineStr">
        <is>
          <t>Bile-tolerant gram-neg.</t>
        </is>
      </c>
      <c r="I58" s="256" t="inlineStr">
        <is>
          <t>Ph. Eur. 2.6.31 cat. C</t>
        </is>
      </c>
      <c r="J58" s="256" t="inlineStr">
        <is>
          <t>≤ 10⁴ CFU/g</t>
        </is>
      </c>
      <c r="K58" s="256" t="inlineStr">
        <is>
          <t>&lt; 10² and &gt; 10</t>
        </is>
      </c>
      <c r="L58" s="256" t="inlineStr">
        <is>
          <t>163/0271/25</t>
        </is>
      </c>
      <c r="M58" s="256" t="inlineStr">
        <is>
          <t>24.02.2025</t>
        </is>
      </c>
      <c r="N58" s="256" t="inlineStr">
        <is>
          <t>IPH — Institute of Public Health</t>
        </is>
      </c>
      <c r="O58" s="256" t="inlineStr">
        <is>
          <t>17.02.2025</t>
        </is>
      </c>
      <c r="P58" s="256" t="inlineStr">
        <is>
          <t>covered</t>
        </is>
      </c>
      <c r="Q58" s="256" t="inlineStr"/>
      <c r="R58" s="256" t="inlineStr"/>
    </row>
    <row r="59">
      <c r="A59" s="256" t="inlineStr">
        <is>
          <t>CoQ-PP_26-003</t>
        </is>
      </c>
      <c r="B59" s="256" t="inlineStr">
        <is>
          <t>release</t>
        </is>
      </c>
      <c r="C59" s="256" t="inlineStr">
        <is>
          <t>BG1024</t>
        </is>
      </c>
      <c r="D59" s="256" t="inlineStr">
        <is>
          <t>BG1024</t>
        </is>
      </c>
      <c r="E59" s="256" t="inlineStr">
        <is>
          <t>Blue Gelato</t>
        </is>
      </c>
      <c r="F59" s="256" t="inlineStr">
        <is>
          <t>06.06.2026</t>
        </is>
      </c>
      <c r="G59" s="256" t="inlineStr">
        <is>
          <t>9.4</t>
        </is>
      </c>
      <c r="H59" s="256" t="inlineStr">
        <is>
          <t>Salmonella</t>
        </is>
      </c>
      <c r="I59" s="256" t="inlineStr">
        <is>
          <t>Ph. Eur. 2.6.31 cat. C</t>
        </is>
      </c>
      <c r="J59" s="256" t="inlineStr">
        <is>
          <t>Absence | Отсуство / 25 g</t>
        </is>
      </c>
      <c r="K59" s="256" t="inlineStr">
        <is>
          <t>Absent | Отсутна</t>
        </is>
      </c>
      <c r="L59" s="256" t="inlineStr">
        <is>
          <t>163/0271/25</t>
        </is>
      </c>
      <c r="M59" s="256" t="inlineStr">
        <is>
          <t>24.02.2025</t>
        </is>
      </c>
      <c r="N59" s="256" t="inlineStr">
        <is>
          <t>IPH — Institute of Public Health</t>
        </is>
      </c>
      <c r="O59" s="256" t="inlineStr">
        <is>
          <t>17.02.2025</t>
        </is>
      </c>
      <c r="P59" s="256" t="inlineStr">
        <is>
          <t>covered</t>
        </is>
      </c>
      <c r="Q59" s="256" t="inlineStr"/>
      <c r="R59" s="256" t="inlineStr"/>
    </row>
    <row r="60">
      <c r="A60" s="256" t="inlineStr">
        <is>
          <t>CoQ-PP_26-003</t>
        </is>
      </c>
      <c r="B60" s="256" t="inlineStr">
        <is>
          <t>release</t>
        </is>
      </c>
      <c r="C60" s="256" t="inlineStr">
        <is>
          <t>BG1024</t>
        </is>
      </c>
      <c r="D60" s="256" t="inlineStr">
        <is>
          <t>BG1024</t>
        </is>
      </c>
      <c r="E60" s="256" t="inlineStr">
        <is>
          <t>Blue Gelato</t>
        </is>
      </c>
      <c r="F60" s="256" t="inlineStr">
        <is>
          <t>06.06.2026</t>
        </is>
      </c>
      <c r="G60" s="256" t="inlineStr">
        <is>
          <t>9.5</t>
        </is>
      </c>
      <c r="H60" s="256" t="inlineStr">
        <is>
          <t>Escherichia coli</t>
        </is>
      </c>
      <c r="I60" s="256" t="inlineStr">
        <is>
          <t>Ph. Eur. 2.6.13 cat. C</t>
        </is>
      </c>
      <c r="J60" s="256" t="inlineStr">
        <is>
          <t>Absence | Отсуство / 1 g</t>
        </is>
      </c>
      <c r="K60" s="256" t="inlineStr">
        <is>
          <t>Absent | Отсутна</t>
        </is>
      </c>
      <c r="L60" s="256" t="inlineStr">
        <is>
          <t>163/0271/25</t>
        </is>
      </c>
      <c r="M60" s="256" t="inlineStr">
        <is>
          <t>24.02.2025</t>
        </is>
      </c>
      <c r="N60" s="256" t="inlineStr">
        <is>
          <t>IPH — Institute of Public Health</t>
        </is>
      </c>
      <c r="O60" s="256" t="inlineStr">
        <is>
          <t>17.02.2025</t>
        </is>
      </c>
      <c r="P60" s="256" t="inlineStr">
        <is>
          <t>covered</t>
        </is>
      </c>
      <c r="Q60" s="256" t="inlineStr"/>
      <c r="R60" s="256" t="inlineStr"/>
    </row>
    <row r="61">
      <c r="A61" s="256" t="inlineStr">
        <is>
          <t>CoQ-PP_26-003</t>
        </is>
      </c>
      <c r="B61" s="256" t="inlineStr">
        <is>
          <t>release</t>
        </is>
      </c>
      <c r="C61" s="256" t="inlineStr">
        <is>
          <t>BG1024</t>
        </is>
      </c>
      <c r="D61" s="256" t="inlineStr">
        <is>
          <t>BG1024</t>
        </is>
      </c>
      <c r="E61" s="256" t="inlineStr">
        <is>
          <t>Blue Gelato</t>
        </is>
      </c>
      <c r="F61" s="256" t="inlineStr">
        <is>
          <t>06.06.2026</t>
        </is>
      </c>
      <c r="G61" s="256" t="inlineStr">
        <is>
          <t>9.6</t>
        </is>
      </c>
      <c r="H61" s="256" t="inlineStr">
        <is>
          <t>Pseudomonas aeruginosa</t>
        </is>
      </c>
      <c r="I61" s="256" t="inlineStr">
        <is>
          <t>Ph. Eur. 2.6.13 cat. C</t>
        </is>
      </c>
      <c r="J61" s="256" t="inlineStr">
        <is>
          <t>Absence | Отсуство / 1 g</t>
        </is>
      </c>
      <c r="K61" s="260" t="inlineStr">
        <is>
          <t>upon request — not required for release</t>
        </is>
      </c>
      <c r="L61" s="256" t="inlineStr">
        <is>
          <t>—</t>
        </is>
      </c>
      <c r="M61" s="256" t="inlineStr">
        <is>
          <t>—</t>
        </is>
      </c>
      <c r="N61" s="256" t="inlineStr">
        <is>
          <t>—</t>
        </is>
      </c>
      <c r="O61" s="256" t="inlineStr">
        <is>
          <t>—</t>
        </is>
      </c>
      <c r="P61" s="256" t="inlineStr">
        <is>
          <t>upon request — not required for release</t>
        </is>
      </c>
      <c r="Q61" s="256" t="inlineStr"/>
      <c r="R61" s="256" t="inlineStr"/>
    </row>
    <row r="62">
      <c r="A62" s="256" t="inlineStr">
        <is>
          <t>CoQ-PP_26-003</t>
        </is>
      </c>
      <c r="B62" s="256" t="inlineStr">
        <is>
          <t>release</t>
        </is>
      </c>
      <c r="C62" s="256" t="inlineStr">
        <is>
          <t>BG1024</t>
        </is>
      </c>
      <c r="D62" s="256" t="inlineStr">
        <is>
          <t>BG1024</t>
        </is>
      </c>
      <c r="E62" s="256" t="inlineStr">
        <is>
          <t>Blue Gelato</t>
        </is>
      </c>
      <c r="F62" s="256" t="inlineStr">
        <is>
          <t>06.06.2026</t>
        </is>
      </c>
      <c r="G62" s="256" t="inlineStr">
        <is>
          <t>9.7</t>
        </is>
      </c>
      <c r="H62" s="256" t="inlineStr">
        <is>
          <t>Staphylococcus aureus</t>
        </is>
      </c>
      <c r="I62" s="256" t="inlineStr">
        <is>
          <t>Ph. Eur. 2.6.13 cat. C</t>
        </is>
      </c>
      <c r="J62" s="256" t="inlineStr">
        <is>
          <t>Absence | Отсуство / 1 g</t>
        </is>
      </c>
      <c r="K62" s="260" t="inlineStr">
        <is>
          <t>upon request — not required for release</t>
        </is>
      </c>
      <c r="L62" s="256" t="inlineStr">
        <is>
          <t>—</t>
        </is>
      </c>
      <c r="M62" s="256" t="inlineStr">
        <is>
          <t>—</t>
        </is>
      </c>
      <c r="N62" s="256" t="inlineStr">
        <is>
          <t>—</t>
        </is>
      </c>
      <c r="O62" s="256" t="inlineStr">
        <is>
          <t>—</t>
        </is>
      </c>
      <c r="P62" s="256" t="inlineStr">
        <is>
          <t>upon request — not required for release</t>
        </is>
      </c>
      <c r="Q62" s="256" t="inlineStr"/>
      <c r="R62" s="256" t="inlineStr"/>
    </row>
    <row r="63">
      <c r="A63" s="256" t="inlineStr">
        <is>
          <t>CoQ-PP_26-003</t>
        </is>
      </c>
      <c r="B63" s="256" t="inlineStr">
        <is>
          <t>release</t>
        </is>
      </c>
      <c r="C63" s="256" t="inlineStr">
        <is>
          <t>BG1024</t>
        </is>
      </c>
      <c r="D63" s="256" t="inlineStr">
        <is>
          <t>BG1024</t>
        </is>
      </c>
      <c r="E63" s="256" t="inlineStr">
        <is>
          <t>Blue Gelato</t>
        </is>
      </c>
      <c r="F63" s="256" t="inlineStr">
        <is>
          <t>06.06.2026</t>
        </is>
      </c>
      <c r="G63" s="256" t="inlineStr">
        <is>
          <t>10.1</t>
        </is>
      </c>
      <c r="H63" s="256" t="inlineStr">
        <is>
          <t>Aflatoxin B₁</t>
        </is>
      </c>
      <c r="I63" s="256" t="inlineStr">
        <is>
          <t>Ph. Eur. 2.8.18 (HPLC-FLD)</t>
        </is>
      </c>
      <c r="J63" s="256" t="inlineStr">
        <is>
          <t>≤ 2 µg/kg</t>
        </is>
      </c>
      <c r="K63" s="259" t="inlineStr">
        <is>
          <t>not tested</t>
        </is>
      </c>
      <c r="L63" s="256" t="inlineStr">
        <is>
          <t>—</t>
        </is>
      </c>
      <c r="M63" s="256" t="inlineStr">
        <is>
          <t>—</t>
        </is>
      </c>
      <c r="N63" s="256" t="inlineStr">
        <is>
          <t>—</t>
        </is>
      </c>
      <c r="O63" s="256" t="inlineStr">
        <is>
          <t>—</t>
        </is>
      </c>
      <c r="P63" s="256" t="inlineStr">
        <is>
          <t>not tested — no certificate covers it</t>
        </is>
      </c>
      <c r="Q63" s="256" t="inlineStr"/>
      <c r="R63" s="256" t="inlineStr">
        <is>
          <t>ND (197-1-М/26)</t>
        </is>
      </c>
    </row>
    <row r="64">
      <c r="A64" s="256" t="inlineStr">
        <is>
          <t>CoQ-PP_26-003</t>
        </is>
      </c>
      <c r="B64" s="256" t="inlineStr">
        <is>
          <t>release</t>
        </is>
      </c>
      <c r="C64" s="256" t="inlineStr">
        <is>
          <t>BG1024</t>
        </is>
      </c>
      <c r="D64" s="256" t="inlineStr">
        <is>
          <t>BG1024</t>
        </is>
      </c>
      <c r="E64" s="256" t="inlineStr">
        <is>
          <t>Blue Gelato</t>
        </is>
      </c>
      <c r="F64" s="256" t="inlineStr">
        <is>
          <t>06.06.2026</t>
        </is>
      </c>
      <c r="G64" s="256" t="inlineStr">
        <is>
          <t>10.2</t>
        </is>
      </c>
      <c r="H64" s="256" t="inlineStr">
        <is>
          <t>Aflatoxins ∑</t>
        </is>
      </c>
      <c r="I64" s="256" t="inlineStr">
        <is>
          <t>Ph. Eur. 2.8.18 (HPLC-FLD)</t>
        </is>
      </c>
      <c r="J64" s="256" t="inlineStr">
        <is>
          <t>≤ 4 µg/kg</t>
        </is>
      </c>
      <c r="K64" s="256" t="inlineStr">
        <is>
          <t>&lt; 2</t>
        </is>
      </c>
      <c r="L64" s="256" t="inlineStr">
        <is>
          <t>752/2025</t>
        </is>
      </c>
      <c r="M64" s="256" t="inlineStr">
        <is>
          <t>27.02.2025</t>
        </is>
      </c>
      <c r="N64" s="256" t="inlineStr">
        <is>
          <t>IPH — Institute of Public Health</t>
        </is>
      </c>
      <c r="O64" s="256" t="inlineStr">
        <is>
          <t>13.02.2025</t>
        </is>
      </c>
      <c r="P64" s="256" t="inlineStr">
        <is>
          <t>covered</t>
        </is>
      </c>
      <c r="Q64" s="256" t="inlineStr"/>
      <c r="R64" s="256" t="inlineStr">
        <is>
          <t>ND (197-1-М/26)</t>
        </is>
      </c>
    </row>
    <row r="65">
      <c r="A65" s="256" t="inlineStr">
        <is>
          <t>CoQ-PP_26-003</t>
        </is>
      </c>
      <c r="B65" s="256" t="inlineStr">
        <is>
          <t>release</t>
        </is>
      </c>
      <c r="C65" s="256" t="inlineStr">
        <is>
          <t>BG1024</t>
        </is>
      </c>
      <c r="D65" s="256" t="inlineStr">
        <is>
          <t>BG1024</t>
        </is>
      </c>
      <c r="E65" s="256" t="inlineStr">
        <is>
          <t>Blue Gelato</t>
        </is>
      </c>
      <c r="F65" s="256" t="inlineStr">
        <is>
          <t>06.06.2026</t>
        </is>
      </c>
      <c r="G65" s="256" t="inlineStr">
        <is>
          <t>10.3</t>
        </is>
      </c>
      <c r="H65" s="256" t="inlineStr">
        <is>
          <t>Ochratoxin A</t>
        </is>
      </c>
      <c r="I65" s="256" t="inlineStr">
        <is>
          <t>Ph. Eur. 2.8.22 (HPLC-FLD)</t>
        </is>
      </c>
      <c r="J65" s="256" t="inlineStr">
        <is>
          <t>≤ 20 µg/kg</t>
        </is>
      </c>
      <c r="K65" s="259" t="inlineStr">
        <is>
          <t>not tested</t>
        </is>
      </c>
      <c r="L65" s="256" t="inlineStr">
        <is>
          <t>—</t>
        </is>
      </c>
      <c r="M65" s="256" t="inlineStr">
        <is>
          <t>—</t>
        </is>
      </c>
      <c r="N65" s="256" t="inlineStr">
        <is>
          <t>—</t>
        </is>
      </c>
      <c r="O65" s="256" t="inlineStr">
        <is>
          <t>—</t>
        </is>
      </c>
      <c r="P65" s="256" t="inlineStr">
        <is>
          <t>not tested — no certificate covers it</t>
        </is>
      </c>
      <c r="Q65" s="256" t="inlineStr"/>
      <c r="R65" s="256" t="inlineStr">
        <is>
          <t>ND (197-1-М/26)</t>
        </is>
      </c>
    </row>
    <row r="66">
      <c r="A66" s="256" t="inlineStr">
        <is>
          <t>CoQ-PP_26-003</t>
        </is>
      </c>
      <c r="B66" s="256" t="inlineStr">
        <is>
          <t>release</t>
        </is>
      </c>
      <c r="C66" s="256" t="inlineStr">
        <is>
          <t>BG1024</t>
        </is>
      </c>
      <c r="D66" s="256" t="inlineStr">
        <is>
          <t>BG1024</t>
        </is>
      </c>
      <c r="E66" s="256" t="inlineStr">
        <is>
          <t>Blue Gelato</t>
        </is>
      </c>
      <c r="F66" s="256" t="inlineStr">
        <is>
          <t>06.06.2026</t>
        </is>
      </c>
      <c r="G66" s="256" t="inlineStr">
        <is>
          <t>11.1</t>
        </is>
      </c>
      <c r="H66" s="256" t="inlineStr">
        <is>
          <t>Lead (Pb)</t>
        </is>
      </c>
      <c r="I66" s="256" t="inlineStr">
        <is>
          <t>Ph. Eur. 2.4.27 (ICP-MS)</t>
        </is>
      </c>
      <c r="J66" s="256" t="inlineStr">
        <is>
          <t>≤ 0.5 mg/kg</t>
        </is>
      </c>
      <c r="K66" s="256" t="inlineStr">
        <is>
          <t>0.01</t>
        </is>
      </c>
      <c r="L66" s="256" t="inlineStr">
        <is>
          <t>752/2025</t>
        </is>
      </c>
      <c r="M66" s="256" t="inlineStr">
        <is>
          <t>27.02.2025</t>
        </is>
      </c>
      <c r="N66" s="256" t="inlineStr">
        <is>
          <t>IPH — Institute of Public Health</t>
        </is>
      </c>
      <c r="O66" s="256" t="inlineStr">
        <is>
          <t>13.02.2025</t>
        </is>
      </c>
      <c r="P66" s="256" t="inlineStr">
        <is>
          <t>covered</t>
        </is>
      </c>
      <c r="Q66" s="256" t="inlineStr"/>
      <c r="R66" s="256" t="inlineStr"/>
    </row>
    <row r="67">
      <c r="A67" s="256" t="inlineStr">
        <is>
          <t>CoQ-PP_26-003</t>
        </is>
      </c>
      <c r="B67" s="256" t="inlineStr">
        <is>
          <t>release</t>
        </is>
      </c>
      <c r="C67" s="256" t="inlineStr">
        <is>
          <t>BG1024</t>
        </is>
      </c>
      <c r="D67" s="256" t="inlineStr">
        <is>
          <t>BG1024</t>
        </is>
      </c>
      <c r="E67" s="256" t="inlineStr">
        <is>
          <t>Blue Gelato</t>
        </is>
      </c>
      <c r="F67" s="256" t="inlineStr">
        <is>
          <t>06.06.2026</t>
        </is>
      </c>
      <c r="G67" s="256" t="inlineStr">
        <is>
          <t>11.2</t>
        </is>
      </c>
      <c r="H67" s="256" t="inlineStr">
        <is>
          <t>Cadmium (Cd)</t>
        </is>
      </c>
      <c r="I67" s="256" t="inlineStr">
        <is>
          <t>Ph. Eur. 2.4.27 (ICP-MS)</t>
        </is>
      </c>
      <c r="J67" s="256" t="inlineStr">
        <is>
          <t>≤ 0.3 mg/kg</t>
        </is>
      </c>
      <c r="K67" s="256" t="inlineStr">
        <is>
          <t>0.016</t>
        </is>
      </c>
      <c r="L67" s="256" t="inlineStr">
        <is>
          <t>752/2025</t>
        </is>
      </c>
      <c r="M67" s="256" t="inlineStr">
        <is>
          <t>27.02.2025</t>
        </is>
      </c>
      <c r="N67" s="256" t="inlineStr">
        <is>
          <t>IPH — Institute of Public Health</t>
        </is>
      </c>
      <c r="O67" s="256" t="inlineStr">
        <is>
          <t>13.02.2025</t>
        </is>
      </c>
      <c r="P67" s="256" t="inlineStr">
        <is>
          <t>covered</t>
        </is>
      </c>
      <c r="Q67" s="256" t="inlineStr"/>
      <c r="R67" s="256" t="inlineStr"/>
    </row>
    <row r="68">
      <c r="A68" s="256" t="inlineStr">
        <is>
          <t>CoQ-PP_26-003</t>
        </is>
      </c>
      <c r="B68" s="256" t="inlineStr">
        <is>
          <t>release</t>
        </is>
      </c>
      <c r="C68" s="256" t="inlineStr">
        <is>
          <t>BG1024</t>
        </is>
      </c>
      <c r="D68" s="256" t="inlineStr">
        <is>
          <t>BG1024</t>
        </is>
      </c>
      <c r="E68" s="256" t="inlineStr">
        <is>
          <t>Blue Gelato</t>
        </is>
      </c>
      <c r="F68" s="256" t="inlineStr">
        <is>
          <t>06.06.2026</t>
        </is>
      </c>
      <c r="G68" s="256" t="inlineStr">
        <is>
          <t>11.3</t>
        </is>
      </c>
      <c r="H68" s="256" t="inlineStr">
        <is>
          <t>Arsenic (As)</t>
        </is>
      </c>
      <c r="I68" s="256" t="inlineStr">
        <is>
          <t>Ph. Eur. 2.4.27 (ICP-MS)</t>
        </is>
      </c>
      <c r="J68" s="256" t="inlineStr">
        <is>
          <t>≤ 0.2 mg/kg</t>
        </is>
      </c>
      <c r="K68" s="256" t="inlineStr">
        <is>
          <t>0.014</t>
        </is>
      </c>
      <c r="L68" s="256" t="inlineStr">
        <is>
          <t>752/2025</t>
        </is>
      </c>
      <c r="M68" s="256" t="inlineStr">
        <is>
          <t>27.02.2025</t>
        </is>
      </c>
      <c r="N68" s="256" t="inlineStr">
        <is>
          <t>IPH — Institute of Public Health</t>
        </is>
      </c>
      <c r="O68" s="256" t="inlineStr">
        <is>
          <t>13.02.2025</t>
        </is>
      </c>
      <c r="P68" s="256" t="inlineStr">
        <is>
          <t>covered</t>
        </is>
      </c>
      <c r="Q68" s="256" t="inlineStr"/>
      <c r="R68" s="256" t="inlineStr"/>
    </row>
    <row r="69">
      <c r="A69" s="256" t="inlineStr">
        <is>
          <t>CoQ-PP_26-003</t>
        </is>
      </c>
      <c r="B69" s="256" t="inlineStr">
        <is>
          <t>release</t>
        </is>
      </c>
      <c r="C69" s="256" t="inlineStr">
        <is>
          <t>BG1024</t>
        </is>
      </c>
      <c r="D69" s="256" t="inlineStr">
        <is>
          <t>BG1024</t>
        </is>
      </c>
      <c r="E69" s="256" t="inlineStr">
        <is>
          <t>Blue Gelato</t>
        </is>
      </c>
      <c r="F69" s="256" t="inlineStr">
        <is>
          <t>06.06.2026</t>
        </is>
      </c>
      <c r="G69" s="256" t="inlineStr">
        <is>
          <t>11.4</t>
        </is>
      </c>
      <c r="H69" s="256" t="inlineStr">
        <is>
          <t>Mercury (Hg)</t>
        </is>
      </c>
      <c r="I69" s="256" t="inlineStr">
        <is>
          <t>Ph. Eur. 2.4.27 (ICP-MS)</t>
        </is>
      </c>
      <c r="J69" s="256" t="inlineStr">
        <is>
          <t>≤ 0.1 mg/kg</t>
        </is>
      </c>
      <c r="K69" s="256" t="inlineStr">
        <is>
          <t>0.005</t>
        </is>
      </c>
      <c r="L69" s="256" t="inlineStr">
        <is>
          <t>752/2025</t>
        </is>
      </c>
      <c r="M69" s="256" t="inlineStr">
        <is>
          <t>27.02.2025</t>
        </is>
      </c>
      <c r="N69" s="256" t="inlineStr">
        <is>
          <t>IPH — Institute of Public Health</t>
        </is>
      </c>
      <c r="O69" s="256" t="inlineStr">
        <is>
          <t>13.02.2025</t>
        </is>
      </c>
      <c r="P69" s="256" t="inlineStr">
        <is>
          <t>covered</t>
        </is>
      </c>
      <c r="Q69" s="256" t="inlineStr"/>
      <c r="R69" s="256" t="inlineStr"/>
    </row>
    <row r="70">
      <c r="A70" s="256" t="inlineStr">
        <is>
          <t>CoQ-PP_26-003</t>
        </is>
      </c>
      <c r="B70" s="256" t="inlineStr">
        <is>
          <t>release</t>
        </is>
      </c>
      <c r="C70" s="256" t="inlineStr">
        <is>
          <t>BG1024</t>
        </is>
      </c>
      <c r="D70" s="256" t="inlineStr">
        <is>
          <t>BG1024</t>
        </is>
      </c>
      <c r="E70" s="256" t="inlineStr">
        <is>
          <t>Blue Gelato</t>
        </is>
      </c>
      <c r="F70" s="256" t="inlineStr">
        <is>
          <t>06.06.2026</t>
        </is>
      </c>
      <c r="G70" s="256" t="inlineStr">
        <is>
          <t>12</t>
        </is>
      </c>
      <c r="H70" s="256" t="inlineStr">
        <is>
          <t>Pesticide Residues</t>
        </is>
      </c>
      <c r="I70" s="256" t="inlineStr">
        <is>
          <t>Ph. Eur. 2.8.13 (LC-MS/MS) · CUMCS Equivalency</t>
        </is>
      </c>
      <c r="J70" s="256" t="inlineStr">
        <is>
          <t>≤ LOQ as per Ph. Eur. 2.8.13 · ≤ LOQ as per CUMCS Equivalency</t>
        </is>
      </c>
      <c r="K70" s="256" t="inlineStr">
        <is>
          <t>ND</t>
        </is>
      </c>
      <c r="L70" s="256" t="inlineStr">
        <is>
          <t>752/2025</t>
        </is>
      </c>
      <c r="M70" s="256" t="inlineStr">
        <is>
          <t>27.02.2025</t>
        </is>
      </c>
      <c r="N70" s="256" t="inlineStr">
        <is>
          <t>IPH — Institute of Public Health</t>
        </is>
      </c>
      <c r="O70" s="256" t="inlineStr">
        <is>
          <t>13.02.2025</t>
        </is>
      </c>
      <c r="P70" s="256" t="inlineStr">
        <is>
          <t>covered</t>
        </is>
      </c>
      <c r="Q70" s="256" t="inlineStr"/>
      <c r="R70" s="256" t="inlineStr"/>
    </row>
    <row r="71">
      <c r="A71" s="256" t="inlineStr">
        <is>
          <t>CoQ-PP_26-004</t>
        </is>
      </c>
      <c r="B71" s="256" t="inlineStr">
        <is>
          <t>release</t>
        </is>
      </c>
      <c r="C71" s="256" t="inlineStr">
        <is>
          <t>GG1024</t>
        </is>
      </c>
      <c r="D71" s="256" t="inlineStr">
        <is>
          <t>GG1024</t>
        </is>
      </c>
      <c r="E71" s="256" t="inlineStr">
        <is>
          <t>Gorilla Glue</t>
        </is>
      </c>
      <c r="F71" s="256" t="inlineStr">
        <is>
          <t>06.06.2026</t>
        </is>
      </c>
      <c r="G71" s="256" t="inlineStr">
        <is>
          <t>1</t>
        </is>
      </c>
      <c r="H71" s="256" t="inlineStr">
        <is>
          <t>Identification A, Appearance · Macroscopic</t>
        </is>
      </c>
      <c r="I71" s="256" t="inlineStr">
        <is>
          <t>Ph. Eur. mon. 3028</t>
        </is>
      </c>
      <c r="J71" s="256" t="inlineStr">
        <is>
          <t>Conforms to the monograph for Cannabis flos (07/2024:3028) in Ph. Eur. 11.0 | Согласно монографија за Cannabis flos (07/2024:3028) во Ph. Eur. 11.0</t>
        </is>
      </c>
      <c r="K71" s="256" t="inlineStr">
        <is>
          <t>Conforms | Одговара</t>
        </is>
      </c>
      <c r="L71" s="256" t="inlineStr">
        <is>
          <t>iCoA-PP_26-004</t>
        </is>
      </c>
      <c r="M71" s="256" t="inlineStr">
        <is>
          <t>03.06.2026</t>
        </is>
      </c>
      <c r="N71" s="256" t="inlineStr">
        <is>
          <t>Purely Plant GmbH (in-house)</t>
        </is>
      </c>
      <c r="O71" s="256" t="inlineStr">
        <is>
          <t>—</t>
        </is>
      </c>
      <c r="P71" s="256" t="inlineStr">
        <is>
          <t>to be performed — see route</t>
        </is>
      </c>
      <c r="Q71" s="256" t="inlineStr">
        <is>
          <t>Purely Plant laboratory — iCoA covering Ident A + B</t>
        </is>
      </c>
      <c r="R71" s="256" t="inlineStr"/>
    </row>
    <row r="72">
      <c r="A72" s="256" t="inlineStr">
        <is>
          <t>CoQ-PP_26-004</t>
        </is>
      </c>
      <c r="B72" s="256" t="inlineStr">
        <is>
          <t>release</t>
        </is>
      </c>
      <c r="C72" s="256" t="inlineStr">
        <is>
          <t>GG1024</t>
        </is>
      </c>
      <c r="D72" s="256" t="inlineStr">
        <is>
          <t>GG1024</t>
        </is>
      </c>
      <c r="E72" s="256" t="inlineStr">
        <is>
          <t>Gorilla Glue</t>
        </is>
      </c>
      <c r="F72" s="256" t="inlineStr">
        <is>
          <t>06.06.2026</t>
        </is>
      </c>
      <c r="G72" s="256" t="inlineStr">
        <is>
          <t>2</t>
        </is>
      </c>
      <c r="H72" s="256" t="inlineStr">
        <is>
          <t>Identification B · Microscopic</t>
        </is>
      </c>
      <c r="I72" s="256" t="inlineStr">
        <is>
          <t>Ph. Eur. 2.8.23 (microscopy)</t>
        </is>
      </c>
      <c r="J72" s="256" t="inlineStr">
        <is>
          <t>Conforms to the monograph for Cannabis flos (07/2024:3028) in Ph. Eur. 11.0 | Согласно монографија за Cannabis flos (07/2024:3028) во Ph. Eur. 11.0</t>
        </is>
      </c>
      <c r="K72" s="256" t="inlineStr">
        <is>
          <t>Conforms | Одговара</t>
        </is>
      </c>
      <c r="L72" s="256" t="inlineStr">
        <is>
          <t>iCoA-PP_26-004</t>
        </is>
      </c>
      <c r="M72" s="256" t="inlineStr">
        <is>
          <t>03.06.2026</t>
        </is>
      </c>
      <c r="N72" s="256" t="inlineStr">
        <is>
          <t>Purely Plant GmbH (in-house)</t>
        </is>
      </c>
      <c r="O72" s="256" t="inlineStr">
        <is>
          <t>—</t>
        </is>
      </c>
      <c r="P72" s="256" t="inlineStr">
        <is>
          <t>to be performed — see route</t>
        </is>
      </c>
      <c r="Q72" s="256" t="inlineStr">
        <is>
          <t>Purely Plant laboratory — iCoA covering Ident A + B</t>
        </is>
      </c>
      <c r="R72" s="256" t="inlineStr"/>
    </row>
    <row r="73">
      <c r="A73" s="256" t="inlineStr">
        <is>
          <t>CoQ-PP_26-004</t>
        </is>
      </c>
      <c r="B73" s="256" t="inlineStr">
        <is>
          <t>release</t>
        </is>
      </c>
      <c r="C73" s="256" t="inlineStr">
        <is>
          <t>GG1024</t>
        </is>
      </c>
      <c r="D73" s="256" t="inlineStr">
        <is>
          <t>GG1024</t>
        </is>
      </c>
      <c r="E73" s="256" t="inlineStr">
        <is>
          <t>Gorilla Glue</t>
        </is>
      </c>
      <c r="F73" s="256" t="inlineStr">
        <is>
          <t>06.06.2026</t>
        </is>
      </c>
      <c r="G73" s="256" t="inlineStr">
        <is>
          <t>3</t>
        </is>
      </c>
      <c r="H73" s="256" t="inlineStr">
        <is>
          <t>Identification C · HPLC/HPTLC</t>
        </is>
      </c>
      <c r="I73" s="256" t="inlineStr">
        <is>
          <t>Ph. Eur. 2.2.29 (3028)</t>
        </is>
      </c>
      <c r="J73" s="256" t="inlineStr">
        <is>
          <t>Conforms to the monograph for Cannabis flos (07/2024:3028) in Ph. Eur. 11.0 | Согласно монографија за Cannabis flos (07/2024:3028) во Ph. Eur. 11.0</t>
        </is>
      </c>
      <c r="K73" s="259" t="inlineStr">
        <is>
          <t>not tested</t>
        </is>
      </c>
      <c r="L73" s="256" t="inlineStr">
        <is>
          <t>—</t>
        </is>
      </c>
      <c r="M73" s="256" t="inlineStr">
        <is>
          <t>—</t>
        </is>
      </c>
      <c r="N73" s="256" t="inlineStr">
        <is>
          <t>—</t>
        </is>
      </c>
      <c r="O73" s="256" t="inlineStr">
        <is>
          <t>—</t>
        </is>
      </c>
      <c r="P73" s="256" t="inlineStr">
        <is>
          <t>not tested — no certificate covers it</t>
        </is>
      </c>
      <c r="Q73" s="256" t="inlineStr">
        <is>
          <t>outside laboratory — the HPLC cannabinoid certificate discharges Ident C (Farmahem -K- or CNP); in-house iCoA P03 only where none exists</t>
        </is>
      </c>
      <c r="R73" s="256" t="inlineStr">
        <is>
          <t>Conforms | Одговара (in-house record of 23.04.2025, no certificate)</t>
        </is>
      </c>
    </row>
    <row r="74">
      <c r="A74" s="256" t="inlineStr">
        <is>
          <t>CoQ-PP_26-004</t>
        </is>
      </c>
      <c r="B74" s="256" t="inlineStr">
        <is>
          <t>release</t>
        </is>
      </c>
      <c r="C74" s="256" t="inlineStr">
        <is>
          <t>GG1024</t>
        </is>
      </c>
      <c r="D74" s="256" t="inlineStr">
        <is>
          <t>GG1024</t>
        </is>
      </c>
      <c r="E74" s="256" t="inlineStr">
        <is>
          <t>Gorilla Glue</t>
        </is>
      </c>
      <c r="F74" s="256" t="inlineStr">
        <is>
          <t>06.06.2026</t>
        </is>
      </c>
      <c r="G74" s="256" t="inlineStr">
        <is>
          <t>4</t>
        </is>
      </c>
      <c r="H74" s="256" t="inlineStr">
        <is>
          <t>Assay — Total Δ⁹-THC</t>
        </is>
      </c>
      <c r="I74" s="256" t="inlineStr">
        <is>
          <t>Ph. Eur. 2.2.29 (HPLC)</t>
        </is>
      </c>
      <c r="J74" s="256" t="inlineStr">
        <is>
          <t>Per grade of the potency specification of 15.09.2026 — no Total THC result on file</t>
        </is>
      </c>
      <c r="K74" s="259" t="inlineStr">
        <is>
          <t>not tested</t>
        </is>
      </c>
      <c r="L74" s="256" t="inlineStr">
        <is>
          <t>—</t>
        </is>
      </c>
      <c r="M74" s="256" t="inlineStr">
        <is>
          <t>—</t>
        </is>
      </c>
      <c r="N74" s="256" t="inlineStr">
        <is>
          <t>—</t>
        </is>
      </c>
      <c r="O74" s="256" t="inlineStr">
        <is>
          <t>—</t>
        </is>
      </c>
      <c r="P74" s="256" t="inlineStr">
        <is>
          <t>not tested — no certificate covers it</t>
        </is>
      </c>
      <c r="Q74" s="256" t="inlineStr"/>
      <c r="R74" s="256" t="inlineStr">
        <is>
          <t>15.51 (220-9-К/26); 13.34 (in-house record of 23.04.2025, no certificate)</t>
        </is>
      </c>
    </row>
    <row r="75">
      <c r="A75" s="256" t="inlineStr">
        <is>
          <t>CoQ-PP_26-004</t>
        </is>
      </c>
      <c r="B75" s="256" t="inlineStr">
        <is>
          <t>release</t>
        </is>
      </c>
      <c r="C75" s="256" t="inlineStr">
        <is>
          <t>GG1024</t>
        </is>
      </c>
      <c r="D75" s="256" t="inlineStr">
        <is>
          <t>GG1024</t>
        </is>
      </c>
      <c r="E75" s="256" t="inlineStr">
        <is>
          <t>Gorilla Glue</t>
        </is>
      </c>
      <c r="F75" s="256" t="inlineStr">
        <is>
          <t>06.06.2026</t>
        </is>
      </c>
      <c r="G75" s="256" t="inlineStr">
        <is>
          <t>5</t>
        </is>
      </c>
      <c r="H75" s="256" t="inlineStr">
        <is>
          <t>Assay — Total CBD</t>
        </is>
      </c>
      <c r="I75" s="256" t="inlineStr">
        <is>
          <t>Ph. Eur. 2.2.29 (HPLC) · CBD + CBDA x 0.877</t>
        </is>
      </c>
      <c r="J75" s="256" t="inlineStr">
        <is>
          <t>≤ 1.0%, w/w</t>
        </is>
      </c>
      <c r="K75" s="259" t="inlineStr">
        <is>
          <t>not tested</t>
        </is>
      </c>
      <c r="L75" s="256" t="inlineStr">
        <is>
          <t>—</t>
        </is>
      </c>
      <c r="M75" s="256" t="inlineStr">
        <is>
          <t>—</t>
        </is>
      </c>
      <c r="N75" s="256" t="inlineStr">
        <is>
          <t>—</t>
        </is>
      </c>
      <c r="O75" s="256" t="inlineStr">
        <is>
          <t>—</t>
        </is>
      </c>
      <c r="P75" s="256" t="inlineStr">
        <is>
          <t>not tested — no certificate covers it</t>
        </is>
      </c>
      <c r="Q75" s="256" t="inlineStr"/>
      <c r="R75" s="256" t="inlineStr">
        <is>
          <t>&lt;LOQ (220-9-К/26); 0.03 (in-house record of 23.04.2025, no certificate)</t>
        </is>
      </c>
    </row>
    <row r="76">
      <c r="A76" s="256" t="inlineStr">
        <is>
          <t>CoQ-PP_26-004</t>
        </is>
      </c>
      <c r="B76" s="256" t="inlineStr">
        <is>
          <t>release</t>
        </is>
      </c>
      <c r="C76" s="256" t="inlineStr">
        <is>
          <t>GG1024</t>
        </is>
      </c>
      <c r="D76" s="256" t="inlineStr">
        <is>
          <t>GG1024</t>
        </is>
      </c>
      <c r="E76" s="256" t="inlineStr">
        <is>
          <t>Gorilla Glue</t>
        </is>
      </c>
      <c r="F76" s="256" t="inlineStr">
        <is>
          <t>06.06.2026</t>
        </is>
      </c>
      <c r="G76" s="256" t="inlineStr">
        <is>
          <t>6</t>
        </is>
      </c>
      <c r="H76" s="256" t="inlineStr">
        <is>
          <t>Total CBN</t>
        </is>
      </c>
      <c r="I76" s="256" t="inlineStr">
        <is>
          <t>Ph. Eur. 2.2.29 (HPLC) · CBN + CBNA x 0.876</t>
        </is>
      </c>
      <c r="J76" s="256" t="inlineStr">
        <is>
          <t>≤ 1.0%, w/w</t>
        </is>
      </c>
      <c r="K76" s="259" t="inlineStr">
        <is>
          <t>not tested</t>
        </is>
      </c>
      <c r="L76" s="256" t="inlineStr">
        <is>
          <t>—</t>
        </is>
      </c>
      <c r="M76" s="256" t="inlineStr">
        <is>
          <t>—</t>
        </is>
      </c>
      <c r="N76" s="256" t="inlineStr">
        <is>
          <t>—</t>
        </is>
      </c>
      <c r="O76" s="256" t="inlineStr">
        <is>
          <t>—</t>
        </is>
      </c>
      <c r="P76" s="256" t="inlineStr">
        <is>
          <t>not tested — no certificate covers it</t>
        </is>
      </c>
      <c r="Q76" s="256" t="inlineStr"/>
      <c r="R76" s="256" t="inlineStr">
        <is>
          <t>&lt;LOQ (220-9-К/26)</t>
        </is>
      </c>
    </row>
    <row r="77">
      <c r="A77" s="256" t="inlineStr">
        <is>
          <t>CoQ-PP_26-004</t>
        </is>
      </c>
      <c r="B77" s="256" t="inlineStr">
        <is>
          <t>release</t>
        </is>
      </c>
      <c r="C77" s="256" t="inlineStr">
        <is>
          <t>GG1024</t>
        </is>
      </c>
      <c r="D77" s="256" t="inlineStr">
        <is>
          <t>GG1024</t>
        </is>
      </c>
      <c r="E77" s="256" t="inlineStr">
        <is>
          <t>Gorilla Glue</t>
        </is>
      </c>
      <c r="F77" s="256" t="inlineStr">
        <is>
          <t>06.06.2026</t>
        </is>
      </c>
      <c r="G77" s="256" t="inlineStr">
        <is>
          <t>7</t>
        </is>
      </c>
      <c r="H77" s="256" t="inlineStr">
        <is>
          <t>Foreign Matter</t>
        </is>
      </c>
      <c r="I77" s="256" t="inlineStr">
        <is>
          <t>Ph. Eur. 2.8.2 · In-house · интерна</t>
        </is>
      </c>
      <c r="J77" s="256" t="inlineStr">
        <is>
          <t>≤ 2.0% / 25–50 g · &lt; 1 cm leaves | листови, no seeds | без семки</t>
        </is>
      </c>
      <c r="K77" s="256" t="inlineStr">
        <is>
          <t>Conforms | Одговара</t>
        </is>
      </c>
      <c r="L77" s="256" t="inlineStr">
        <is>
          <t>iCoA-PP_26-004</t>
        </is>
      </c>
      <c r="M77" s="256" t="inlineStr">
        <is>
          <t>03.06.2026</t>
        </is>
      </c>
      <c r="N77" s="256" t="inlineStr">
        <is>
          <t>Purely Plant GmbH (in-house)</t>
        </is>
      </c>
      <c r="O77" s="256" t="inlineStr">
        <is>
          <t>—</t>
        </is>
      </c>
      <c r="P77" s="256" t="inlineStr">
        <is>
          <t>to be performed — see route</t>
        </is>
      </c>
      <c r="Q77" s="256" t="inlineStr">
        <is>
          <t>Purely Plant laboratory — iCoA covering Foreign matter</t>
        </is>
      </c>
      <c r="R77" s="256" t="inlineStr"/>
    </row>
    <row r="78">
      <c r="A78" s="256" t="inlineStr">
        <is>
          <t>CoQ-PP_26-004</t>
        </is>
      </c>
      <c r="B78" s="256" t="inlineStr">
        <is>
          <t>release</t>
        </is>
      </c>
      <c r="C78" s="256" t="inlineStr">
        <is>
          <t>GG1024</t>
        </is>
      </c>
      <c r="D78" s="256" t="inlineStr">
        <is>
          <t>GG1024</t>
        </is>
      </c>
      <c r="E78" s="256" t="inlineStr">
        <is>
          <t>Gorilla Glue</t>
        </is>
      </c>
      <c r="F78" s="256" t="inlineStr">
        <is>
          <t>06.06.2026</t>
        </is>
      </c>
      <c r="G78" s="256" t="inlineStr">
        <is>
          <t>8</t>
        </is>
      </c>
      <c r="H78" s="256" t="inlineStr">
        <is>
          <t>Loss on Drying</t>
        </is>
      </c>
      <c r="I78" s="256" t="inlineStr">
        <is>
          <t>Ph. Eur. 2.2.32 (3028) · at 40 °C, 24 h, 15–25 mbar</t>
        </is>
      </c>
      <c r="J78" s="256" t="inlineStr">
        <is>
          <t>≤ 12.0%</t>
        </is>
      </c>
      <c r="K78" s="256" t="inlineStr">
        <is>
          <t>7.8</t>
        </is>
      </c>
      <c r="L78" s="256" t="inlineStr">
        <is>
          <t>ППК25008</t>
        </is>
      </c>
      <c r="M78" s="256" t="inlineStr">
        <is>
          <t>29.01.2025</t>
        </is>
      </c>
      <c r="N78" s="256" t="inlineStr">
        <is>
          <t>CNP</t>
        </is>
      </c>
      <c r="O78" s="256" t="inlineStr">
        <is>
          <t>—</t>
        </is>
      </c>
      <c r="P78" s="256" t="inlineStr">
        <is>
          <t>covered</t>
        </is>
      </c>
      <c r="Q78" s="256" t="inlineStr"/>
      <c r="R78" s="256" t="inlineStr"/>
    </row>
    <row r="79">
      <c r="A79" s="256" t="inlineStr">
        <is>
          <t>CoQ-PP_26-004</t>
        </is>
      </c>
      <c r="B79" s="256" t="inlineStr">
        <is>
          <t>release</t>
        </is>
      </c>
      <c r="C79" s="256" t="inlineStr">
        <is>
          <t>GG1024</t>
        </is>
      </c>
      <c r="D79" s="256" t="inlineStr">
        <is>
          <t>GG1024</t>
        </is>
      </c>
      <c r="E79" s="256" t="inlineStr">
        <is>
          <t>Gorilla Glue</t>
        </is>
      </c>
      <c r="F79" s="256" t="inlineStr">
        <is>
          <t>06.06.2026</t>
        </is>
      </c>
      <c r="G79" s="256" t="inlineStr">
        <is>
          <t>9.1</t>
        </is>
      </c>
      <c r="H79" s="256" t="inlineStr">
        <is>
          <t>TAMC</t>
        </is>
      </c>
      <c r="I79" s="256" t="inlineStr">
        <is>
          <t>Ph. Eur. 2.6.12 cat. C</t>
        </is>
      </c>
      <c r="J79" s="256" t="inlineStr">
        <is>
          <t>≤ 10⁵ CFU/g</t>
        </is>
      </c>
      <c r="K79" s="256" t="inlineStr">
        <is>
          <t>1.1 × 10⁴ CFU/g</t>
        </is>
      </c>
      <c r="L79" s="256" t="inlineStr">
        <is>
          <t>166/0274/25</t>
        </is>
      </c>
      <c r="M79" s="256" t="inlineStr">
        <is>
          <t>24.02.2025</t>
        </is>
      </c>
      <c r="N79" s="256" t="inlineStr">
        <is>
          <t>IPH — Institute of Public Health</t>
        </is>
      </c>
      <c r="O79" s="256" t="inlineStr">
        <is>
          <t>—</t>
        </is>
      </c>
      <c r="P79" s="256" t="inlineStr">
        <is>
          <t>covered</t>
        </is>
      </c>
      <c r="Q79" s="256" t="inlineStr"/>
      <c r="R79" s="256" t="inlineStr"/>
    </row>
    <row r="80">
      <c r="A80" s="256" t="inlineStr">
        <is>
          <t>CoQ-PP_26-004</t>
        </is>
      </c>
      <c r="B80" s="256" t="inlineStr">
        <is>
          <t>release</t>
        </is>
      </c>
      <c r="C80" s="256" t="inlineStr">
        <is>
          <t>GG1024</t>
        </is>
      </c>
      <c r="D80" s="256" t="inlineStr">
        <is>
          <t>GG1024</t>
        </is>
      </c>
      <c r="E80" s="256" t="inlineStr">
        <is>
          <t>Gorilla Glue</t>
        </is>
      </c>
      <c r="F80" s="256" t="inlineStr">
        <is>
          <t>06.06.2026</t>
        </is>
      </c>
      <c r="G80" s="256" t="inlineStr">
        <is>
          <t>9.2</t>
        </is>
      </c>
      <c r="H80" s="256" t="inlineStr">
        <is>
          <t>TYMC</t>
        </is>
      </c>
      <c r="I80" s="256" t="inlineStr">
        <is>
          <t>Ph. Eur. 2.6.12 cat. C</t>
        </is>
      </c>
      <c r="J80" s="256" t="inlineStr">
        <is>
          <t>≤ 10⁴ CFU/g</t>
        </is>
      </c>
      <c r="K80" s="256" t="inlineStr">
        <is>
          <t>&lt; 10</t>
        </is>
      </c>
      <c r="L80" s="256" t="inlineStr">
        <is>
          <t>166/0274/25</t>
        </is>
      </c>
      <c r="M80" s="256" t="inlineStr">
        <is>
          <t>24.02.2025</t>
        </is>
      </c>
      <c r="N80" s="256" t="inlineStr">
        <is>
          <t>IPH — Institute of Public Health</t>
        </is>
      </c>
      <c r="O80" s="256" t="inlineStr">
        <is>
          <t>—</t>
        </is>
      </c>
      <c r="P80" s="256" t="inlineStr">
        <is>
          <t>covered</t>
        </is>
      </c>
      <c r="Q80" s="256" t="inlineStr"/>
      <c r="R80" s="256" t="inlineStr"/>
    </row>
    <row r="81">
      <c r="A81" s="256" t="inlineStr">
        <is>
          <t>CoQ-PP_26-004</t>
        </is>
      </c>
      <c r="B81" s="256" t="inlineStr">
        <is>
          <t>release</t>
        </is>
      </c>
      <c r="C81" s="256" t="inlineStr">
        <is>
          <t>GG1024</t>
        </is>
      </c>
      <c r="D81" s="256" t="inlineStr">
        <is>
          <t>GG1024</t>
        </is>
      </c>
      <c r="E81" s="256" t="inlineStr">
        <is>
          <t>Gorilla Glue</t>
        </is>
      </c>
      <c r="F81" s="256" t="inlineStr">
        <is>
          <t>06.06.2026</t>
        </is>
      </c>
      <c r="G81" s="256" t="inlineStr">
        <is>
          <t>9.3</t>
        </is>
      </c>
      <c r="H81" s="256" t="inlineStr">
        <is>
          <t>Bile-tolerant gram-neg.</t>
        </is>
      </c>
      <c r="I81" s="256" t="inlineStr">
        <is>
          <t>Ph. Eur. 2.6.31 cat. C</t>
        </is>
      </c>
      <c r="J81" s="256" t="inlineStr">
        <is>
          <t>≤ 10⁴ CFU/g</t>
        </is>
      </c>
      <c r="K81" s="256" t="inlineStr">
        <is>
          <t>&lt; 10² and &gt; 10 CFU/g</t>
        </is>
      </c>
      <c r="L81" s="256" t="inlineStr">
        <is>
          <t>166/0274/25</t>
        </is>
      </c>
      <c r="M81" s="256" t="inlineStr">
        <is>
          <t>24.02.2025</t>
        </is>
      </c>
      <c r="N81" s="256" t="inlineStr">
        <is>
          <t>IPH — Institute of Public Health</t>
        </is>
      </c>
      <c r="O81" s="256" t="inlineStr">
        <is>
          <t>—</t>
        </is>
      </c>
      <c r="P81" s="256" t="inlineStr">
        <is>
          <t>covered</t>
        </is>
      </c>
      <c r="Q81" s="256" t="inlineStr"/>
      <c r="R81" s="256" t="inlineStr"/>
    </row>
    <row r="82">
      <c r="A82" s="256" t="inlineStr">
        <is>
          <t>CoQ-PP_26-004</t>
        </is>
      </c>
      <c r="B82" s="256" t="inlineStr">
        <is>
          <t>release</t>
        </is>
      </c>
      <c r="C82" s="256" t="inlineStr">
        <is>
          <t>GG1024</t>
        </is>
      </c>
      <c r="D82" s="256" t="inlineStr">
        <is>
          <t>GG1024</t>
        </is>
      </c>
      <c r="E82" s="256" t="inlineStr">
        <is>
          <t>Gorilla Glue</t>
        </is>
      </c>
      <c r="F82" s="256" t="inlineStr">
        <is>
          <t>06.06.2026</t>
        </is>
      </c>
      <c r="G82" s="256" t="inlineStr">
        <is>
          <t>9.4</t>
        </is>
      </c>
      <c r="H82" s="256" t="inlineStr">
        <is>
          <t>Salmonella</t>
        </is>
      </c>
      <c r="I82" s="256" t="inlineStr">
        <is>
          <t>Ph. Eur. 2.6.31 cat. C</t>
        </is>
      </c>
      <c r="J82" s="256" t="inlineStr">
        <is>
          <t>Absence | Отсуство / 25 g</t>
        </is>
      </c>
      <c r="K82" s="256" t="inlineStr">
        <is>
          <t>Absent | Отсутна</t>
        </is>
      </c>
      <c r="L82" s="256" t="inlineStr">
        <is>
          <t>166/0274/25</t>
        </is>
      </c>
      <c r="M82" s="256" t="inlineStr">
        <is>
          <t>24.02.2025</t>
        </is>
      </c>
      <c r="N82" s="256" t="inlineStr">
        <is>
          <t>IPH — Institute of Public Health</t>
        </is>
      </c>
      <c r="O82" s="256" t="inlineStr">
        <is>
          <t>—</t>
        </is>
      </c>
      <c r="P82" s="256" t="inlineStr">
        <is>
          <t>covered</t>
        </is>
      </c>
      <c r="Q82" s="256" t="inlineStr"/>
      <c r="R82" s="256" t="inlineStr"/>
    </row>
    <row r="83">
      <c r="A83" s="256" t="inlineStr">
        <is>
          <t>CoQ-PP_26-004</t>
        </is>
      </c>
      <c r="B83" s="256" t="inlineStr">
        <is>
          <t>release</t>
        </is>
      </c>
      <c r="C83" s="256" t="inlineStr">
        <is>
          <t>GG1024</t>
        </is>
      </c>
      <c r="D83" s="256" t="inlineStr">
        <is>
          <t>GG1024</t>
        </is>
      </c>
      <c r="E83" s="256" t="inlineStr">
        <is>
          <t>Gorilla Glue</t>
        </is>
      </c>
      <c r="F83" s="256" t="inlineStr">
        <is>
          <t>06.06.2026</t>
        </is>
      </c>
      <c r="G83" s="256" t="inlineStr">
        <is>
          <t>9.5</t>
        </is>
      </c>
      <c r="H83" s="256" t="inlineStr">
        <is>
          <t>Escherichia coli</t>
        </is>
      </c>
      <c r="I83" s="256" t="inlineStr">
        <is>
          <t>Ph. Eur. 2.6.13 cat. C</t>
        </is>
      </c>
      <c r="J83" s="256" t="inlineStr">
        <is>
          <t>Absence | Отсуство / 1 g</t>
        </is>
      </c>
      <c r="K83" s="256" t="inlineStr">
        <is>
          <t>Absent | Отсутна</t>
        </is>
      </c>
      <c r="L83" s="256" t="inlineStr">
        <is>
          <t>166/0274/25</t>
        </is>
      </c>
      <c r="M83" s="256" t="inlineStr">
        <is>
          <t>24.02.2025</t>
        </is>
      </c>
      <c r="N83" s="256" t="inlineStr">
        <is>
          <t>IPH — Institute of Public Health</t>
        </is>
      </c>
      <c r="O83" s="256" t="inlineStr">
        <is>
          <t>—</t>
        </is>
      </c>
      <c r="P83" s="256" t="inlineStr">
        <is>
          <t>covered</t>
        </is>
      </c>
      <c r="Q83" s="256" t="inlineStr"/>
      <c r="R83" s="256" t="inlineStr"/>
    </row>
    <row r="84">
      <c r="A84" s="256" t="inlineStr">
        <is>
          <t>CoQ-PP_26-004</t>
        </is>
      </c>
      <c r="B84" s="256" t="inlineStr">
        <is>
          <t>release</t>
        </is>
      </c>
      <c r="C84" s="256" t="inlineStr">
        <is>
          <t>GG1024</t>
        </is>
      </c>
      <c r="D84" s="256" t="inlineStr">
        <is>
          <t>GG1024</t>
        </is>
      </c>
      <c r="E84" s="256" t="inlineStr">
        <is>
          <t>Gorilla Glue</t>
        </is>
      </c>
      <c r="F84" s="256" t="inlineStr">
        <is>
          <t>06.06.2026</t>
        </is>
      </c>
      <c r="G84" s="256" t="inlineStr">
        <is>
          <t>9.6</t>
        </is>
      </c>
      <c r="H84" s="256" t="inlineStr">
        <is>
          <t>Pseudomonas aeruginosa</t>
        </is>
      </c>
      <c r="I84" s="256" t="inlineStr">
        <is>
          <t>Ph. Eur. 2.6.13 cat. C</t>
        </is>
      </c>
      <c r="J84" s="256" t="inlineStr">
        <is>
          <t>Absence | Отсуство / 1 g</t>
        </is>
      </c>
      <c r="K84" s="260" t="inlineStr">
        <is>
          <t>upon request — not required for release</t>
        </is>
      </c>
      <c r="L84" s="256" t="inlineStr">
        <is>
          <t>—</t>
        </is>
      </c>
      <c r="M84" s="256" t="inlineStr">
        <is>
          <t>—</t>
        </is>
      </c>
      <c r="N84" s="256" t="inlineStr">
        <is>
          <t>—</t>
        </is>
      </c>
      <c r="O84" s="256" t="inlineStr">
        <is>
          <t>—</t>
        </is>
      </c>
      <c r="P84" s="256" t="inlineStr">
        <is>
          <t>upon request — not required for release</t>
        </is>
      </c>
      <c r="Q84" s="256" t="inlineStr"/>
      <c r="R84" s="256" t="inlineStr"/>
    </row>
    <row r="85">
      <c r="A85" s="256" t="inlineStr">
        <is>
          <t>CoQ-PP_26-004</t>
        </is>
      </c>
      <c r="B85" s="256" t="inlineStr">
        <is>
          <t>release</t>
        </is>
      </c>
      <c r="C85" s="256" t="inlineStr">
        <is>
          <t>GG1024</t>
        </is>
      </c>
      <c r="D85" s="256" t="inlineStr">
        <is>
          <t>GG1024</t>
        </is>
      </c>
      <c r="E85" s="256" t="inlineStr">
        <is>
          <t>Gorilla Glue</t>
        </is>
      </c>
      <c r="F85" s="256" t="inlineStr">
        <is>
          <t>06.06.2026</t>
        </is>
      </c>
      <c r="G85" s="256" t="inlineStr">
        <is>
          <t>9.7</t>
        </is>
      </c>
      <c r="H85" s="256" t="inlineStr">
        <is>
          <t>Staphylococcus aureus</t>
        </is>
      </c>
      <c r="I85" s="256" t="inlineStr">
        <is>
          <t>Ph. Eur. 2.6.13 cat. C</t>
        </is>
      </c>
      <c r="J85" s="256" t="inlineStr">
        <is>
          <t>Absence | Отсуство / 1 g</t>
        </is>
      </c>
      <c r="K85" s="260" t="inlineStr">
        <is>
          <t>upon request — not required for release</t>
        </is>
      </c>
      <c r="L85" s="256" t="inlineStr">
        <is>
          <t>—</t>
        </is>
      </c>
      <c r="M85" s="256" t="inlineStr">
        <is>
          <t>—</t>
        </is>
      </c>
      <c r="N85" s="256" t="inlineStr">
        <is>
          <t>—</t>
        </is>
      </c>
      <c r="O85" s="256" t="inlineStr">
        <is>
          <t>—</t>
        </is>
      </c>
      <c r="P85" s="256" t="inlineStr">
        <is>
          <t>upon request — not required for release</t>
        </is>
      </c>
      <c r="Q85" s="256" t="inlineStr"/>
      <c r="R85" s="256" t="inlineStr"/>
    </row>
    <row r="86">
      <c r="A86" s="256" t="inlineStr">
        <is>
          <t>CoQ-PP_26-004</t>
        </is>
      </c>
      <c r="B86" s="256" t="inlineStr">
        <is>
          <t>release</t>
        </is>
      </c>
      <c r="C86" s="256" t="inlineStr">
        <is>
          <t>GG1024</t>
        </is>
      </c>
      <c r="D86" s="256" t="inlineStr">
        <is>
          <t>GG1024</t>
        </is>
      </c>
      <c r="E86" s="256" t="inlineStr">
        <is>
          <t>Gorilla Glue</t>
        </is>
      </c>
      <c r="F86" s="256" t="inlineStr">
        <is>
          <t>06.06.2026</t>
        </is>
      </c>
      <c r="G86" s="256" t="inlineStr">
        <is>
          <t>10.1</t>
        </is>
      </c>
      <c r="H86" s="256" t="inlineStr">
        <is>
          <t>Aflatoxin B₁</t>
        </is>
      </c>
      <c r="I86" s="256" t="inlineStr">
        <is>
          <t>Ph. Eur. 2.8.18 (HPLC-FLD)</t>
        </is>
      </c>
      <c r="J86" s="256" t="inlineStr">
        <is>
          <t>≤ 2 µg/kg</t>
        </is>
      </c>
      <c r="K86" s="259" t="inlineStr">
        <is>
          <t>not tested</t>
        </is>
      </c>
      <c r="L86" s="256" t="inlineStr">
        <is>
          <t>—</t>
        </is>
      </c>
      <c r="M86" s="256" t="inlineStr">
        <is>
          <t>—</t>
        </is>
      </c>
      <c r="N86" s="256" t="inlineStr">
        <is>
          <t>—</t>
        </is>
      </c>
      <c r="O86" s="256" t="inlineStr">
        <is>
          <t>—</t>
        </is>
      </c>
      <c r="P86" s="256" t="inlineStr">
        <is>
          <t>not tested — no certificate covers it</t>
        </is>
      </c>
      <c r="Q86" s="256" t="inlineStr"/>
      <c r="R86" s="256" t="inlineStr">
        <is>
          <t>ND (220-9-М/26)</t>
        </is>
      </c>
    </row>
    <row r="87">
      <c r="A87" s="256" t="inlineStr">
        <is>
          <t>CoQ-PP_26-004</t>
        </is>
      </c>
      <c r="B87" s="256" t="inlineStr">
        <is>
          <t>release</t>
        </is>
      </c>
      <c r="C87" s="256" t="inlineStr">
        <is>
          <t>GG1024</t>
        </is>
      </c>
      <c r="D87" s="256" t="inlineStr">
        <is>
          <t>GG1024</t>
        </is>
      </c>
      <c r="E87" s="256" t="inlineStr">
        <is>
          <t>Gorilla Glue</t>
        </is>
      </c>
      <c r="F87" s="256" t="inlineStr">
        <is>
          <t>06.06.2026</t>
        </is>
      </c>
      <c r="G87" s="256" t="inlineStr">
        <is>
          <t>10.2</t>
        </is>
      </c>
      <c r="H87" s="256" t="inlineStr">
        <is>
          <t>Aflatoxins ∑</t>
        </is>
      </c>
      <c r="I87" s="256" t="inlineStr">
        <is>
          <t>Ph. Eur. 2.8.18 (HPLC-FLD)</t>
        </is>
      </c>
      <c r="J87" s="256" t="inlineStr">
        <is>
          <t>≤ 4 µg/kg</t>
        </is>
      </c>
      <c r="K87" s="256" t="inlineStr">
        <is>
          <t>&lt; 2</t>
        </is>
      </c>
      <c r="L87" s="256" t="inlineStr">
        <is>
          <t>748/2025</t>
        </is>
      </c>
      <c r="M87" s="256" t="inlineStr">
        <is>
          <t>04.03.2025</t>
        </is>
      </c>
      <c r="N87" s="256" t="inlineStr">
        <is>
          <t>IPH — Institute of Public Health</t>
        </is>
      </c>
      <c r="O87" s="256" t="inlineStr">
        <is>
          <t>—</t>
        </is>
      </c>
      <c r="P87" s="256" t="inlineStr">
        <is>
          <t>covered</t>
        </is>
      </c>
      <c r="Q87" s="256" t="inlineStr"/>
      <c r="R87" s="256" t="inlineStr">
        <is>
          <t>ND (220-9-М/26)</t>
        </is>
      </c>
    </row>
    <row r="88">
      <c r="A88" s="256" t="inlineStr">
        <is>
          <t>CoQ-PP_26-004</t>
        </is>
      </c>
      <c r="B88" s="256" t="inlineStr">
        <is>
          <t>release</t>
        </is>
      </c>
      <c r="C88" s="256" t="inlineStr">
        <is>
          <t>GG1024</t>
        </is>
      </c>
      <c r="D88" s="256" t="inlineStr">
        <is>
          <t>GG1024</t>
        </is>
      </c>
      <c r="E88" s="256" t="inlineStr">
        <is>
          <t>Gorilla Glue</t>
        </is>
      </c>
      <c r="F88" s="256" t="inlineStr">
        <is>
          <t>06.06.2026</t>
        </is>
      </c>
      <c r="G88" s="256" t="inlineStr">
        <is>
          <t>10.3</t>
        </is>
      </c>
      <c r="H88" s="256" t="inlineStr">
        <is>
          <t>Ochratoxin A</t>
        </is>
      </c>
      <c r="I88" s="256" t="inlineStr">
        <is>
          <t>Ph. Eur. 2.8.22 (HPLC-FLD)</t>
        </is>
      </c>
      <c r="J88" s="256" t="inlineStr">
        <is>
          <t>≤ 20 µg/kg</t>
        </is>
      </c>
      <c r="K88" s="259" t="inlineStr">
        <is>
          <t>not tested</t>
        </is>
      </c>
      <c r="L88" s="256" t="inlineStr">
        <is>
          <t>—</t>
        </is>
      </c>
      <c r="M88" s="256" t="inlineStr">
        <is>
          <t>—</t>
        </is>
      </c>
      <c r="N88" s="256" t="inlineStr">
        <is>
          <t>—</t>
        </is>
      </c>
      <c r="O88" s="256" t="inlineStr">
        <is>
          <t>—</t>
        </is>
      </c>
      <c r="P88" s="256" t="inlineStr">
        <is>
          <t>not tested — no certificate covers it</t>
        </is>
      </c>
      <c r="Q88" s="256" t="inlineStr"/>
      <c r="R88" s="256" t="inlineStr">
        <is>
          <t>ND (220-9-М/26)</t>
        </is>
      </c>
    </row>
    <row r="89">
      <c r="A89" s="256" t="inlineStr">
        <is>
          <t>CoQ-PP_26-004</t>
        </is>
      </c>
      <c r="B89" s="256" t="inlineStr">
        <is>
          <t>release</t>
        </is>
      </c>
      <c r="C89" s="256" t="inlineStr">
        <is>
          <t>GG1024</t>
        </is>
      </c>
      <c r="D89" s="256" t="inlineStr">
        <is>
          <t>GG1024</t>
        </is>
      </c>
      <c r="E89" s="256" t="inlineStr">
        <is>
          <t>Gorilla Glue</t>
        </is>
      </c>
      <c r="F89" s="256" t="inlineStr">
        <is>
          <t>06.06.2026</t>
        </is>
      </c>
      <c r="G89" s="256" t="inlineStr">
        <is>
          <t>11.1</t>
        </is>
      </c>
      <c r="H89" s="256" t="inlineStr">
        <is>
          <t>Lead (Pb)</t>
        </is>
      </c>
      <c r="I89" s="256" t="inlineStr">
        <is>
          <t>Ph. Eur. 2.4.27 (ICP-MS)</t>
        </is>
      </c>
      <c r="J89" s="256" t="inlineStr">
        <is>
          <t>≤ 0.5 mg/kg</t>
        </is>
      </c>
      <c r="K89" s="256" t="inlineStr">
        <is>
          <t>0.052</t>
        </is>
      </c>
      <c r="L89" s="256" t="inlineStr">
        <is>
          <t>748/2025</t>
        </is>
      </c>
      <c r="M89" s="256" t="inlineStr">
        <is>
          <t>04.03.2025</t>
        </is>
      </c>
      <c r="N89" s="256" t="inlineStr">
        <is>
          <t>IPH — Institute of Public Health</t>
        </is>
      </c>
      <c r="O89" s="256" t="inlineStr">
        <is>
          <t>—</t>
        </is>
      </c>
      <c r="P89" s="256" t="inlineStr">
        <is>
          <t>covered</t>
        </is>
      </c>
      <c r="Q89" s="256" t="inlineStr"/>
      <c r="R89" s="256" t="inlineStr"/>
    </row>
    <row r="90">
      <c r="A90" s="256" t="inlineStr">
        <is>
          <t>CoQ-PP_26-004</t>
        </is>
      </c>
      <c r="B90" s="256" t="inlineStr">
        <is>
          <t>release</t>
        </is>
      </c>
      <c r="C90" s="256" t="inlineStr">
        <is>
          <t>GG1024</t>
        </is>
      </c>
      <c r="D90" s="256" t="inlineStr">
        <is>
          <t>GG1024</t>
        </is>
      </c>
      <c r="E90" s="256" t="inlineStr">
        <is>
          <t>Gorilla Glue</t>
        </is>
      </c>
      <c r="F90" s="256" t="inlineStr">
        <is>
          <t>06.06.2026</t>
        </is>
      </c>
      <c r="G90" s="256" t="inlineStr">
        <is>
          <t>11.2</t>
        </is>
      </c>
      <c r="H90" s="256" t="inlineStr">
        <is>
          <t>Cadmium (Cd)</t>
        </is>
      </c>
      <c r="I90" s="256" t="inlineStr">
        <is>
          <t>Ph. Eur. 2.4.27 (ICP-MS)</t>
        </is>
      </c>
      <c r="J90" s="256" t="inlineStr">
        <is>
          <t>≤ 0.3 mg/kg</t>
        </is>
      </c>
      <c r="K90" s="256" t="inlineStr">
        <is>
          <t>0.016</t>
        </is>
      </c>
      <c r="L90" s="256" t="inlineStr">
        <is>
          <t>748/2025</t>
        </is>
      </c>
      <c r="M90" s="256" t="inlineStr">
        <is>
          <t>04.03.2025</t>
        </is>
      </c>
      <c r="N90" s="256" t="inlineStr">
        <is>
          <t>IPH — Institute of Public Health</t>
        </is>
      </c>
      <c r="O90" s="256" t="inlineStr">
        <is>
          <t>—</t>
        </is>
      </c>
      <c r="P90" s="256" t="inlineStr">
        <is>
          <t>covered</t>
        </is>
      </c>
      <c r="Q90" s="256" t="inlineStr"/>
      <c r="R90" s="256" t="inlineStr"/>
    </row>
    <row r="91">
      <c r="A91" s="256" t="inlineStr">
        <is>
          <t>CoQ-PP_26-004</t>
        </is>
      </c>
      <c r="B91" s="256" t="inlineStr">
        <is>
          <t>release</t>
        </is>
      </c>
      <c r="C91" s="256" t="inlineStr">
        <is>
          <t>GG1024</t>
        </is>
      </c>
      <c r="D91" s="256" t="inlineStr">
        <is>
          <t>GG1024</t>
        </is>
      </c>
      <c r="E91" s="256" t="inlineStr">
        <is>
          <t>Gorilla Glue</t>
        </is>
      </c>
      <c r="F91" s="256" t="inlineStr">
        <is>
          <t>06.06.2026</t>
        </is>
      </c>
      <c r="G91" s="256" t="inlineStr">
        <is>
          <t>11.3</t>
        </is>
      </c>
      <c r="H91" s="256" t="inlineStr">
        <is>
          <t>Arsenic (As)</t>
        </is>
      </c>
      <c r="I91" s="256" t="inlineStr">
        <is>
          <t>Ph. Eur. 2.4.27 (ICP-MS)</t>
        </is>
      </c>
      <c r="J91" s="256" t="inlineStr">
        <is>
          <t>≤ 0.2 mg/kg</t>
        </is>
      </c>
      <c r="K91" s="256" t="inlineStr">
        <is>
          <t>0.04</t>
        </is>
      </c>
      <c r="L91" s="256" t="inlineStr">
        <is>
          <t>748/2025</t>
        </is>
      </c>
      <c r="M91" s="256" t="inlineStr">
        <is>
          <t>04.03.2025</t>
        </is>
      </c>
      <c r="N91" s="256" t="inlineStr">
        <is>
          <t>IPH — Institute of Public Health</t>
        </is>
      </c>
      <c r="O91" s="256" t="inlineStr">
        <is>
          <t>—</t>
        </is>
      </c>
      <c r="P91" s="256" t="inlineStr">
        <is>
          <t>covered</t>
        </is>
      </c>
      <c r="Q91" s="256" t="inlineStr"/>
      <c r="R91" s="256" t="inlineStr"/>
    </row>
    <row r="92">
      <c r="A92" s="256" t="inlineStr">
        <is>
          <t>CoQ-PP_26-004</t>
        </is>
      </c>
      <c r="B92" s="256" t="inlineStr">
        <is>
          <t>release</t>
        </is>
      </c>
      <c r="C92" s="256" t="inlineStr">
        <is>
          <t>GG1024</t>
        </is>
      </c>
      <c r="D92" s="256" t="inlineStr">
        <is>
          <t>GG1024</t>
        </is>
      </c>
      <c r="E92" s="256" t="inlineStr">
        <is>
          <t>Gorilla Glue</t>
        </is>
      </c>
      <c r="F92" s="256" t="inlineStr">
        <is>
          <t>06.06.2026</t>
        </is>
      </c>
      <c r="G92" s="256" t="inlineStr">
        <is>
          <t>11.4</t>
        </is>
      </c>
      <c r="H92" s="256" t="inlineStr">
        <is>
          <t>Mercury (Hg)</t>
        </is>
      </c>
      <c r="I92" s="256" t="inlineStr">
        <is>
          <t>Ph. Eur. 2.4.27 (ICP-MS)</t>
        </is>
      </c>
      <c r="J92" s="256" t="inlineStr">
        <is>
          <t>≤ 0.1 mg/kg</t>
        </is>
      </c>
      <c r="K92" s="256" t="inlineStr">
        <is>
          <t>0.004</t>
        </is>
      </c>
      <c r="L92" s="256" t="inlineStr">
        <is>
          <t>748/2025</t>
        </is>
      </c>
      <c r="M92" s="256" t="inlineStr">
        <is>
          <t>04.03.2025</t>
        </is>
      </c>
      <c r="N92" s="256" t="inlineStr">
        <is>
          <t>IPH — Institute of Public Health</t>
        </is>
      </c>
      <c r="O92" s="256" t="inlineStr">
        <is>
          <t>—</t>
        </is>
      </c>
      <c r="P92" s="256" t="inlineStr">
        <is>
          <t>covered</t>
        </is>
      </c>
      <c r="Q92" s="256" t="inlineStr"/>
      <c r="R92" s="256" t="inlineStr"/>
    </row>
    <row r="93">
      <c r="A93" s="256" t="inlineStr">
        <is>
          <t>CoQ-PP_26-004</t>
        </is>
      </c>
      <c r="B93" s="256" t="inlineStr">
        <is>
          <t>release</t>
        </is>
      </c>
      <c r="C93" s="256" t="inlineStr">
        <is>
          <t>GG1024</t>
        </is>
      </c>
      <c r="D93" s="256" t="inlineStr">
        <is>
          <t>GG1024</t>
        </is>
      </c>
      <c r="E93" s="256" t="inlineStr">
        <is>
          <t>Gorilla Glue</t>
        </is>
      </c>
      <c r="F93" s="256" t="inlineStr">
        <is>
          <t>06.06.2026</t>
        </is>
      </c>
      <c r="G93" s="256" t="inlineStr">
        <is>
          <t>12</t>
        </is>
      </c>
      <c r="H93" s="256" t="inlineStr">
        <is>
          <t>Pesticide Residues</t>
        </is>
      </c>
      <c r="I93" s="256" t="inlineStr">
        <is>
          <t>Ph. Eur. 2.8.13 (LC-MS/MS) · CUMCS Equivalency</t>
        </is>
      </c>
      <c r="J93" s="256" t="inlineStr">
        <is>
          <t>≤ LOQ as per Ph. Eur. 2.8.13 · ≤ LOQ as per CUMCS Equivalency</t>
        </is>
      </c>
      <c r="K93" s="256" t="inlineStr">
        <is>
          <t>ND mg/Kg — all 22 residues</t>
        </is>
      </c>
      <c r="L93" s="256" t="inlineStr">
        <is>
          <t>748/2025</t>
        </is>
      </c>
      <c r="M93" s="256" t="inlineStr">
        <is>
          <t>04.03.2025</t>
        </is>
      </c>
      <c r="N93" s="256" t="inlineStr">
        <is>
          <t>IJZ</t>
        </is>
      </c>
      <c r="O93" s="256" t="inlineStr">
        <is>
          <t>—</t>
        </is>
      </c>
      <c r="P93" s="256" t="inlineStr">
        <is>
          <t>covered</t>
        </is>
      </c>
      <c r="Q93" s="256" t="inlineStr"/>
      <c r="R93" s="256" t="inlineStr"/>
    </row>
    <row r="94">
      <c r="A94" s="256" t="inlineStr">
        <is>
          <t>CoQ-PP_26-005</t>
        </is>
      </c>
      <c r="B94" s="256" t="inlineStr">
        <is>
          <t>release</t>
        </is>
      </c>
      <c r="C94" s="256" t="inlineStr">
        <is>
          <t>HPA1024</t>
        </is>
      </c>
      <c r="D94" s="256" t="inlineStr">
        <is>
          <t>HPA1024</t>
        </is>
      </c>
      <c r="E94" s="256" t="inlineStr">
        <is>
          <t>High Pro Amnesia</t>
        </is>
      </c>
      <c r="F94" s="256" t="inlineStr">
        <is>
          <t>06.06.2026</t>
        </is>
      </c>
      <c r="G94" s="256" t="inlineStr">
        <is>
          <t>1</t>
        </is>
      </c>
      <c r="H94" s="256" t="inlineStr">
        <is>
          <t>Identification A, Appearance · Macroscopic</t>
        </is>
      </c>
      <c r="I94" s="256" t="inlineStr">
        <is>
          <t>Ph. Eur. mon. 3028</t>
        </is>
      </c>
      <c r="J94" s="256" t="inlineStr">
        <is>
          <t>Conforms to the monograph for Cannabis flos (07/2024:3028) in Ph. Eur. 11.0 | Согласно монографија за Cannabis flos (07/2024:3028) во Ph. Eur. 11.0</t>
        </is>
      </c>
      <c r="K94" s="256" t="inlineStr">
        <is>
          <t>Conforms | Одговара</t>
        </is>
      </c>
      <c r="L94" s="256" t="inlineStr">
        <is>
          <t>iCoA-PP_26-005</t>
        </is>
      </c>
      <c r="M94" s="256" t="inlineStr">
        <is>
          <t>03.06.2026</t>
        </is>
      </c>
      <c r="N94" s="256" t="inlineStr">
        <is>
          <t>Purely Plant GmbH (in-house)</t>
        </is>
      </c>
      <c r="O94" s="256" t="inlineStr">
        <is>
          <t>—</t>
        </is>
      </c>
      <c r="P94" s="256" t="inlineStr">
        <is>
          <t>to be performed — see route</t>
        </is>
      </c>
      <c r="Q94" s="256" t="inlineStr">
        <is>
          <t>Purely Plant laboratory — iCoA covering Ident A + B</t>
        </is>
      </c>
      <c r="R94" s="256" t="inlineStr"/>
    </row>
    <row r="95">
      <c r="A95" s="256" t="inlineStr">
        <is>
          <t>CoQ-PP_26-005</t>
        </is>
      </c>
      <c r="B95" s="256" t="inlineStr">
        <is>
          <t>release</t>
        </is>
      </c>
      <c r="C95" s="256" t="inlineStr">
        <is>
          <t>HPA1024</t>
        </is>
      </c>
      <c r="D95" s="256" t="inlineStr">
        <is>
          <t>HPA1024</t>
        </is>
      </c>
      <c r="E95" s="256" t="inlineStr">
        <is>
          <t>High Pro Amnesia</t>
        </is>
      </c>
      <c r="F95" s="256" t="inlineStr">
        <is>
          <t>06.06.2026</t>
        </is>
      </c>
      <c r="G95" s="256" t="inlineStr">
        <is>
          <t>2</t>
        </is>
      </c>
      <c r="H95" s="256" t="inlineStr">
        <is>
          <t>Identification B · Microscopic</t>
        </is>
      </c>
      <c r="I95" s="256" t="inlineStr">
        <is>
          <t>Ph. Eur. 2.8.23 (microscopy)</t>
        </is>
      </c>
      <c r="J95" s="256" t="inlineStr">
        <is>
          <t>Conforms to the monograph for Cannabis flos (07/2024:3028) in Ph. Eur. 11.0 | Согласно монографија за Cannabis flos (07/2024:3028) во Ph. Eur. 11.0</t>
        </is>
      </c>
      <c r="K95" s="256" t="inlineStr">
        <is>
          <t>Conforms | Одговара</t>
        </is>
      </c>
      <c r="L95" s="256" t="inlineStr">
        <is>
          <t>iCoA-PP_26-005</t>
        </is>
      </c>
      <c r="M95" s="256" t="inlineStr">
        <is>
          <t>03.06.2026</t>
        </is>
      </c>
      <c r="N95" s="256" t="inlineStr">
        <is>
          <t>Purely Plant GmbH (in-house)</t>
        </is>
      </c>
      <c r="O95" s="256" t="inlineStr">
        <is>
          <t>—</t>
        </is>
      </c>
      <c r="P95" s="256" t="inlineStr">
        <is>
          <t>to be performed — see route</t>
        </is>
      </c>
      <c r="Q95" s="256" t="inlineStr">
        <is>
          <t>Purely Plant laboratory — iCoA covering Ident A + B</t>
        </is>
      </c>
      <c r="R95" s="256" t="inlineStr"/>
    </row>
    <row r="96">
      <c r="A96" s="256" t="inlineStr">
        <is>
          <t>CoQ-PP_26-005</t>
        </is>
      </c>
      <c r="B96" s="256" t="inlineStr">
        <is>
          <t>release</t>
        </is>
      </c>
      <c r="C96" s="256" t="inlineStr">
        <is>
          <t>HPA1024</t>
        </is>
      </c>
      <c r="D96" s="256" t="inlineStr">
        <is>
          <t>HPA1024</t>
        </is>
      </c>
      <c r="E96" s="256" t="inlineStr">
        <is>
          <t>High Pro Amnesia</t>
        </is>
      </c>
      <c r="F96" s="256" t="inlineStr">
        <is>
          <t>06.06.2026</t>
        </is>
      </c>
      <c r="G96" s="256" t="inlineStr">
        <is>
          <t>3</t>
        </is>
      </c>
      <c r="H96" s="256" t="inlineStr">
        <is>
          <t>Identification C · HPLC/HPTLC</t>
        </is>
      </c>
      <c r="I96" s="256" t="inlineStr">
        <is>
          <t>Ph. Eur. 2.2.29 (3028)</t>
        </is>
      </c>
      <c r="J96" s="256" t="inlineStr">
        <is>
          <t>Conforms to the monograph for Cannabis flos (07/2024:3028) in Ph. Eur. 11.0 | Согласно монографија за Cannabis flos (07/2024:3028) во Ph. Eur. 11.0</t>
        </is>
      </c>
      <c r="K96" s="259" t="inlineStr">
        <is>
          <t>not tested</t>
        </is>
      </c>
      <c r="L96" s="256" t="inlineStr">
        <is>
          <t>—</t>
        </is>
      </c>
      <c r="M96" s="256" t="inlineStr">
        <is>
          <t>—</t>
        </is>
      </c>
      <c r="N96" s="256" t="inlineStr">
        <is>
          <t>—</t>
        </is>
      </c>
      <c r="O96" s="256" t="inlineStr">
        <is>
          <t>—</t>
        </is>
      </c>
      <c r="P96" s="256" t="inlineStr">
        <is>
          <t>not tested — no certificate covers it</t>
        </is>
      </c>
      <c r="Q96" s="256" t="inlineStr"/>
      <c r="R96" s="256" t="inlineStr">
        <is>
          <t>Conforms | Одговара (in-house record of 23.01.2025, no certificate)</t>
        </is>
      </c>
    </row>
    <row r="97">
      <c r="A97" s="256" t="inlineStr">
        <is>
          <t>CoQ-PP_26-005</t>
        </is>
      </c>
      <c r="B97" s="256" t="inlineStr">
        <is>
          <t>release</t>
        </is>
      </c>
      <c r="C97" s="256" t="inlineStr">
        <is>
          <t>HPA1024</t>
        </is>
      </c>
      <c r="D97" s="256" t="inlineStr">
        <is>
          <t>HPA1024</t>
        </is>
      </c>
      <c r="E97" s="256" t="inlineStr">
        <is>
          <t>High Pro Amnesia</t>
        </is>
      </c>
      <c r="F97" s="256" t="inlineStr">
        <is>
          <t>06.06.2026</t>
        </is>
      </c>
      <c r="G97" s="256" t="inlineStr">
        <is>
          <t>4</t>
        </is>
      </c>
      <c r="H97" s="256" t="inlineStr">
        <is>
          <t>Assay — Total Δ⁹-THC</t>
        </is>
      </c>
      <c r="I97" s="256" t="inlineStr">
        <is>
          <t>Ph. Eur. 2.2.29 (HPLC)</t>
        </is>
      </c>
      <c r="J97" s="256" t="inlineStr">
        <is>
          <t>13.80 – 16.19 %  (grade III, nominal 15.00 ± 1.20)</t>
        </is>
      </c>
      <c r="K97" s="256" t="inlineStr">
        <is>
          <t>14.97</t>
        </is>
      </c>
      <c r="L97" s="256" t="inlineStr">
        <is>
          <t>iCoA-PP_26-005</t>
        </is>
      </c>
      <c r="M97" s="256" t="inlineStr">
        <is>
          <t>03.06.2026</t>
        </is>
      </c>
      <c r="N97" s="256" t="inlineStr">
        <is>
          <t>Purely Plant GmbH (in-house)</t>
        </is>
      </c>
      <c r="O97" s="256" t="inlineStr">
        <is>
          <t>—</t>
        </is>
      </c>
      <c r="P97" s="256" t="inlineStr">
        <is>
          <t>in-house CoA only — not an eCoA or an iCoA: a value no certificate of analysis certifies cannot be on a release certificate (owner's rule, 02.09.2026)</t>
        </is>
      </c>
      <c r="Q97" s="256" t="inlineStr"/>
      <c r="R97" s="256" t="inlineStr">
        <is>
          <t>17.31 (197-13-К/26)</t>
        </is>
      </c>
    </row>
    <row r="98">
      <c r="A98" s="256" t="inlineStr">
        <is>
          <t>CoQ-PP_26-005</t>
        </is>
      </c>
      <c r="B98" s="256" t="inlineStr">
        <is>
          <t>release</t>
        </is>
      </c>
      <c r="C98" s="256" t="inlineStr">
        <is>
          <t>HPA1024</t>
        </is>
      </c>
      <c r="D98" s="256" t="inlineStr">
        <is>
          <t>HPA1024</t>
        </is>
      </c>
      <c r="E98" s="256" t="inlineStr">
        <is>
          <t>High Pro Amnesia</t>
        </is>
      </c>
      <c r="F98" s="256" t="inlineStr">
        <is>
          <t>06.06.2026</t>
        </is>
      </c>
      <c r="G98" s="256" t="inlineStr">
        <is>
          <t>5</t>
        </is>
      </c>
      <c r="H98" s="256" t="inlineStr">
        <is>
          <t>Assay — Total CBD</t>
        </is>
      </c>
      <c r="I98" s="256" t="inlineStr">
        <is>
          <t>Ph. Eur. 2.2.29 (HPLC) · CBD + CBDA x 0.877</t>
        </is>
      </c>
      <c r="J98" s="256" t="inlineStr">
        <is>
          <t>≤ 1.0%, w/w</t>
        </is>
      </c>
      <c r="K98" s="256" t="inlineStr">
        <is>
          <t>0.04</t>
        </is>
      </c>
      <c r="L98" s="256" t="inlineStr">
        <is>
          <t>iCoA-PP_26-005</t>
        </is>
      </c>
      <c r="M98" s="256" t="inlineStr">
        <is>
          <t>03.06.2026</t>
        </is>
      </c>
      <c r="N98" s="256" t="inlineStr">
        <is>
          <t>Purely Plant GmbH (in-house)</t>
        </is>
      </c>
      <c r="O98" s="256" t="inlineStr">
        <is>
          <t>—</t>
        </is>
      </c>
      <c r="P98" s="256" t="inlineStr">
        <is>
          <t>in-house CoA only — not an eCoA or an iCoA: a value no certificate of analysis certifies cannot be on a release certificate (owner's rule, 02.09.2026)</t>
        </is>
      </c>
      <c r="Q98" s="256" t="inlineStr"/>
      <c r="R98" s="256" t="inlineStr">
        <is>
          <t>&lt;LOQ (197-13-К/26)</t>
        </is>
      </c>
    </row>
    <row r="99">
      <c r="A99" s="256" t="inlineStr">
        <is>
          <t>CoQ-PP_26-005</t>
        </is>
      </c>
      <c r="B99" s="256" t="inlineStr">
        <is>
          <t>release</t>
        </is>
      </c>
      <c r="C99" s="256" t="inlineStr">
        <is>
          <t>HPA1024</t>
        </is>
      </c>
      <c r="D99" s="256" t="inlineStr">
        <is>
          <t>HPA1024</t>
        </is>
      </c>
      <c r="E99" s="256" t="inlineStr">
        <is>
          <t>High Pro Amnesia</t>
        </is>
      </c>
      <c r="F99" s="256" t="inlineStr">
        <is>
          <t>06.06.2026</t>
        </is>
      </c>
      <c r="G99" s="256" t="inlineStr">
        <is>
          <t>6</t>
        </is>
      </c>
      <c r="H99" s="256" t="inlineStr">
        <is>
          <t>Total CBN</t>
        </is>
      </c>
      <c r="I99" s="256" t="inlineStr">
        <is>
          <t>Ph. Eur. 2.2.29 (HPLC) · CBN + CBNA x 0.876</t>
        </is>
      </c>
      <c r="J99" s="256" t="inlineStr">
        <is>
          <t>≤ 1.0%, w/w</t>
        </is>
      </c>
      <c r="K99" s="259" t="inlineStr">
        <is>
          <t>not tested</t>
        </is>
      </c>
      <c r="L99" s="256" t="inlineStr">
        <is>
          <t>—</t>
        </is>
      </c>
      <c r="M99" s="256" t="inlineStr">
        <is>
          <t>—</t>
        </is>
      </c>
      <c r="N99" s="256" t="inlineStr">
        <is>
          <t>—</t>
        </is>
      </c>
      <c r="O99" s="256" t="inlineStr">
        <is>
          <t>—</t>
        </is>
      </c>
      <c r="P99" s="256" t="inlineStr">
        <is>
          <t>not tested — no certificate covers it</t>
        </is>
      </c>
      <c r="Q99" s="256" t="inlineStr"/>
      <c r="R99" s="256" t="inlineStr">
        <is>
          <t>0.36 (197-13-К/26)</t>
        </is>
      </c>
    </row>
    <row r="100">
      <c r="A100" s="256" t="inlineStr">
        <is>
          <t>CoQ-PP_26-005</t>
        </is>
      </c>
      <c r="B100" s="256" t="inlineStr">
        <is>
          <t>release</t>
        </is>
      </c>
      <c r="C100" s="256" t="inlineStr">
        <is>
          <t>HPA1024</t>
        </is>
      </c>
      <c r="D100" s="256" t="inlineStr">
        <is>
          <t>HPA1024</t>
        </is>
      </c>
      <c r="E100" s="256" t="inlineStr">
        <is>
          <t>High Pro Amnesia</t>
        </is>
      </c>
      <c r="F100" s="256" t="inlineStr">
        <is>
          <t>06.06.2026</t>
        </is>
      </c>
      <c r="G100" s="256" t="inlineStr">
        <is>
          <t>7</t>
        </is>
      </c>
      <c r="H100" s="256" t="inlineStr">
        <is>
          <t>Foreign Matter</t>
        </is>
      </c>
      <c r="I100" s="256" t="inlineStr">
        <is>
          <t>Ph. Eur. 2.8.2 · In-house · интерна</t>
        </is>
      </c>
      <c r="J100" s="256" t="inlineStr">
        <is>
          <t>≤ 2.0% / 25–50 g · &lt; 1 cm leaves | листови, no seeds | без семки</t>
        </is>
      </c>
      <c r="K100" s="256" t="inlineStr">
        <is>
          <t>Conforms | Одговара</t>
        </is>
      </c>
      <c r="L100" s="256" t="inlineStr">
        <is>
          <t>iCoA-PP_26-005</t>
        </is>
      </c>
      <c r="M100" s="256" t="inlineStr">
        <is>
          <t>03.06.2026</t>
        </is>
      </c>
      <c r="N100" s="256" t="inlineStr">
        <is>
          <t>Purely Plant GmbH (in-house)</t>
        </is>
      </c>
      <c r="O100" s="256" t="inlineStr">
        <is>
          <t>—</t>
        </is>
      </c>
      <c r="P100" s="256" t="inlineStr">
        <is>
          <t>to be performed — see route</t>
        </is>
      </c>
      <c r="Q100" s="256" t="inlineStr">
        <is>
          <t>Purely Plant laboratory — iCoA covering Foreign matter</t>
        </is>
      </c>
      <c r="R100" s="256" t="inlineStr"/>
    </row>
    <row r="101">
      <c r="A101" s="256" t="inlineStr">
        <is>
          <t>CoQ-PP_26-005</t>
        </is>
      </c>
      <c r="B101" s="256" t="inlineStr">
        <is>
          <t>release</t>
        </is>
      </c>
      <c r="C101" s="256" t="inlineStr">
        <is>
          <t>HPA1024</t>
        </is>
      </c>
      <c r="D101" s="256" t="inlineStr">
        <is>
          <t>HPA1024</t>
        </is>
      </c>
      <c r="E101" s="256" t="inlineStr">
        <is>
          <t>High Pro Amnesia</t>
        </is>
      </c>
      <c r="F101" s="256" t="inlineStr">
        <is>
          <t>06.06.2026</t>
        </is>
      </c>
      <c r="G101" s="256" t="inlineStr">
        <is>
          <t>8</t>
        </is>
      </c>
      <c r="H101" s="256" t="inlineStr">
        <is>
          <t>Loss on Drying</t>
        </is>
      </c>
      <c r="I101" s="256" t="inlineStr">
        <is>
          <t>Ph. Eur. 2.2.32 (3028) · at 40 °C, 24 h, 15–25 mbar</t>
        </is>
      </c>
      <c r="J101" s="256" t="inlineStr">
        <is>
          <t>≤ 12.0%</t>
        </is>
      </c>
      <c r="K101" s="259" t="inlineStr">
        <is>
          <t>not tested</t>
        </is>
      </c>
      <c r="L101" s="256" t="inlineStr">
        <is>
          <t>—</t>
        </is>
      </c>
      <c r="M101" s="256" t="inlineStr">
        <is>
          <t>—</t>
        </is>
      </c>
      <c r="N101" s="256" t="inlineStr">
        <is>
          <t>—</t>
        </is>
      </c>
      <c r="O101" s="256" t="inlineStr">
        <is>
          <t>—</t>
        </is>
      </c>
      <c r="P101" s="256" t="inlineStr">
        <is>
          <t>not tested — no certificate covers it</t>
        </is>
      </c>
      <c r="Q101" s="256" t="inlineStr"/>
      <c r="R101" s="256" t="inlineStr"/>
    </row>
    <row r="102">
      <c r="A102" s="256" t="inlineStr">
        <is>
          <t>CoQ-PP_26-005</t>
        </is>
      </c>
      <c r="B102" s="256" t="inlineStr">
        <is>
          <t>release</t>
        </is>
      </c>
      <c r="C102" s="256" t="inlineStr">
        <is>
          <t>HPA1024</t>
        </is>
      </c>
      <c r="D102" s="256" t="inlineStr">
        <is>
          <t>HPA1024</t>
        </is>
      </c>
      <c r="E102" s="256" t="inlineStr">
        <is>
          <t>High Pro Amnesia</t>
        </is>
      </c>
      <c r="F102" s="256" t="inlineStr">
        <is>
          <t>06.06.2026</t>
        </is>
      </c>
      <c r="G102" s="256" t="inlineStr">
        <is>
          <t>9.1</t>
        </is>
      </c>
      <c r="H102" s="256" t="inlineStr">
        <is>
          <t>TAMC</t>
        </is>
      </c>
      <c r="I102" s="256" t="inlineStr">
        <is>
          <t>Ph. Eur. 2.6.12 cat. C</t>
        </is>
      </c>
      <c r="J102" s="256" t="inlineStr">
        <is>
          <t>≤ 10⁵ CFU/g</t>
        </is>
      </c>
      <c r="K102" s="256" t="inlineStr">
        <is>
          <t>5.2 × 10⁴</t>
        </is>
      </c>
      <c r="L102" s="256" t="inlineStr">
        <is>
          <t>iCoA-PP_26-005</t>
        </is>
      </c>
      <c r="M102" s="256" t="inlineStr">
        <is>
          <t>03.06.2026</t>
        </is>
      </c>
      <c r="N102" s="256" t="inlineStr">
        <is>
          <t>Purely Plant GmbH (in-house)</t>
        </is>
      </c>
      <c r="O102" s="256" t="inlineStr">
        <is>
          <t>—</t>
        </is>
      </c>
      <c r="P102" s="256" t="inlineStr">
        <is>
          <t>in-house CoA only — not an eCoA or an iCoA: a value no certificate of analysis certifies cannot be on a release certificate (owner's rule, 02.09.2026)</t>
        </is>
      </c>
      <c r="Q102" s="256" t="inlineStr"/>
      <c r="R102" s="256" t="inlineStr"/>
    </row>
    <row r="103">
      <c r="A103" s="256" t="inlineStr">
        <is>
          <t>CoQ-PP_26-005</t>
        </is>
      </c>
      <c r="B103" s="256" t="inlineStr">
        <is>
          <t>release</t>
        </is>
      </c>
      <c r="C103" s="256" t="inlineStr">
        <is>
          <t>HPA1024</t>
        </is>
      </c>
      <c r="D103" s="256" t="inlineStr">
        <is>
          <t>HPA1024</t>
        </is>
      </c>
      <c r="E103" s="256" t="inlineStr">
        <is>
          <t>High Pro Amnesia</t>
        </is>
      </c>
      <c r="F103" s="256" t="inlineStr">
        <is>
          <t>06.06.2026</t>
        </is>
      </c>
      <c r="G103" s="256" t="inlineStr">
        <is>
          <t>9.2</t>
        </is>
      </c>
      <c r="H103" s="256" t="inlineStr">
        <is>
          <t>TYMC</t>
        </is>
      </c>
      <c r="I103" s="256" t="inlineStr">
        <is>
          <t>Ph. Eur. 2.6.12 cat. C</t>
        </is>
      </c>
      <c r="J103" s="256" t="inlineStr">
        <is>
          <t>≤ 10⁴ CFU/g</t>
        </is>
      </c>
      <c r="K103" s="256" t="inlineStr">
        <is>
          <t>7 × 10²</t>
        </is>
      </c>
      <c r="L103" s="256" t="inlineStr">
        <is>
          <t>iCoA-PP_26-005</t>
        </is>
      </c>
      <c r="M103" s="256" t="inlineStr">
        <is>
          <t>03.06.2026</t>
        </is>
      </c>
      <c r="N103" s="256" t="inlineStr">
        <is>
          <t>Purely Plant GmbH (in-house)</t>
        </is>
      </c>
      <c r="O103" s="256" t="inlineStr">
        <is>
          <t>—</t>
        </is>
      </c>
      <c r="P103" s="256" t="inlineStr">
        <is>
          <t>in-house CoA only — not an eCoA or an iCoA: a value no certificate of analysis certifies cannot be on a release certificate (owner's rule, 02.09.2026)</t>
        </is>
      </c>
      <c r="Q103" s="256" t="inlineStr"/>
      <c r="R103" s="256" t="inlineStr"/>
    </row>
    <row r="104">
      <c r="A104" s="256" t="inlineStr">
        <is>
          <t>CoQ-PP_26-005</t>
        </is>
      </c>
      <c r="B104" s="256" t="inlineStr">
        <is>
          <t>release</t>
        </is>
      </c>
      <c r="C104" s="256" t="inlineStr">
        <is>
          <t>HPA1024</t>
        </is>
      </c>
      <c r="D104" s="256" t="inlineStr">
        <is>
          <t>HPA1024</t>
        </is>
      </c>
      <c r="E104" s="256" t="inlineStr">
        <is>
          <t>High Pro Amnesia</t>
        </is>
      </c>
      <c r="F104" s="256" t="inlineStr">
        <is>
          <t>06.06.2026</t>
        </is>
      </c>
      <c r="G104" s="256" t="inlineStr">
        <is>
          <t>9.3</t>
        </is>
      </c>
      <c r="H104" s="256" t="inlineStr">
        <is>
          <t>Bile-tolerant gram-neg.</t>
        </is>
      </c>
      <c r="I104" s="256" t="inlineStr">
        <is>
          <t>Ph. Eur. 2.6.31 cat. C</t>
        </is>
      </c>
      <c r="J104" s="256" t="inlineStr">
        <is>
          <t>≤ 10⁴ CFU/g</t>
        </is>
      </c>
      <c r="K104" s="256" t="inlineStr">
        <is>
          <t>&lt; 10</t>
        </is>
      </c>
      <c r="L104" s="256" t="inlineStr">
        <is>
          <t>iCoA-PP_26-005</t>
        </is>
      </c>
      <c r="M104" s="256" t="inlineStr">
        <is>
          <t>03.06.2026</t>
        </is>
      </c>
      <c r="N104" s="256" t="inlineStr">
        <is>
          <t>Purely Plant GmbH (in-house)</t>
        </is>
      </c>
      <c r="O104" s="256" t="inlineStr">
        <is>
          <t>—</t>
        </is>
      </c>
      <c r="P104" s="256" t="inlineStr">
        <is>
          <t>in-house CoA only — not an eCoA or an iCoA: a value no certificate of analysis certifies cannot be on a release certificate (owner's rule, 02.09.2026)</t>
        </is>
      </c>
      <c r="Q104" s="256" t="inlineStr"/>
      <c r="R104" s="256" t="inlineStr"/>
    </row>
    <row r="105">
      <c r="A105" s="256" t="inlineStr">
        <is>
          <t>CoQ-PP_26-005</t>
        </is>
      </c>
      <c r="B105" s="256" t="inlineStr">
        <is>
          <t>release</t>
        </is>
      </c>
      <c r="C105" s="256" t="inlineStr">
        <is>
          <t>HPA1024</t>
        </is>
      </c>
      <c r="D105" s="256" t="inlineStr">
        <is>
          <t>HPA1024</t>
        </is>
      </c>
      <c r="E105" s="256" t="inlineStr">
        <is>
          <t>High Pro Amnesia</t>
        </is>
      </c>
      <c r="F105" s="256" t="inlineStr">
        <is>
          <t>06.06.2026</t>
        </is>
      </c>
      <c r="G105" s="256" t="inlineStr">
        <is>
          <t>9.4</t>
        </is>
      </c>
      <c r="H105" s="256" t="inlineStr">
        <is>
          <t>Salmonella</t>
        </is>
      </c>
      <c r="I105" s="256" t="inlineStr">
        <is>
          <t>Ph. Eur. 2.6.31 cat. C</t>
        </is>
      </c>
      <c r="J105" s="256" t="inlineStr">
        <is>
          <t>Absence | Отсуство / 25 g</t>
        </is>
      </c>
      <c r="K105" s="256" t="inlineStr">
        <is>
          <t>Absent | Отсутна</t>
        </is>
      </c>
      <c r="L105" s="256" t="inlineStr">
        <is>
          <t>iCoA-PP_26-005</t>
        </is>
      </c>
      <c r="M105" s="256" t="inlineStr">
        <is>
          <t>03.06.2026</t>
        </is>
      </c>
      <c r="N105" s="256" t="inlineStr">
        <is>
          <t>Purely Plant GmbH (in-house)</t>
        </is>
      </c>
      <c r="O105" s="256" t="inlineStr">
        <is>
          <t>—</t>
        </is>
      </c>
      <c r="P105" s="256" t="inlineStr">
        <is>
          <t>in-house CoA only — not an eCoA or an iCoA: a value no certificate of analysis certifies cannot be on a release certificate (owner's rule, 02.09.2026)</t>
        </is>
      </c>
      <c r="Q105" s="256" t="inlineStr"/>
      <c r="R105" s="256" t="inlineStr"/>
    </row>
    <row r="106">
      <c r="A106" s="256" t="inlineStr">
        <is>
          <t>CoQ-PP_26-005</t>
        </is>
      </c>
      <c r="B106" s="256" t="inlineStr">
        <is>
          <t>release</t>
        </is>
      </c>
      <c r="C106" s="256" t="inlineStr">
        <is>
          <t>HPA1024</t>
        </is>
      </c>
      <c r="D106" s="256" t="inlineStr">
        <is>
          <t>HPA1024</t>
        </is>
      </c>
      <c r="E106" s="256" t="inlineStr">
        <is>
          <t>High Pro Amnesia</t>
        </is>
      </c>
      <c r="F106" s="256" t="inlineStr">
        <is>
          <t>06.06.2026</t>
        </is>
      </c>
      <c r="G106" s="256" t="inlineStr">
        <is>
          <t>9.5</t>
        </is>
      </c>
      <c r="H106" s="256" t="inlineStr">
        <is>
          <t>Escherichia coli</t>
        </is>
      </c>
      <c r="I106" s="256" t="inlineStr">
        <is>
          <t>Ph. Eur. 2.6.13 cat. C</t>
        </is>
      </c>
      <c r="J106" s="256" t="inlineStr">
        <is>
          <t>Absence | Отсуство / 1 g</t>
        </is>
      </c>
      <c r="K106" s="256" t="inlineStr">
        <is>
          <t>Absent | Отсутна</t>
        </is>
      </c>
      <c r="L106" s="256" t="inlineStr">
        <is>
          <t>iCoA-PP_26-005</t>
        </is>
      </c>
      <c r="M106" s="256" t="inlineStr">
        <is>
          <t>03.06.2026</t>
        </is>
      </c>
      <c r="N106" s="256" t="inlineStr">
        <is>
          <t>Purely Plant GmbH (in-house)</t>
        </is>
      </c>
      <c r="O106" s="256" t="inlineStr">
        <is>
          <t>—</t>
        </is>
      </c>
      <c r="P106" s="256" t="inlineStr">
        <is>
          <t>in-house CoA only — not an eCoA or an iCoA: a value no certificate of analysis certifies cannot be on a release certificate (owner's rule, 02.09.2026)</t>
        </is>
      </c>
      <c r="Q106" s="256" t="inlineStr"/>
      <c r="R106" s="256" t="inlineStr"/>
    </row>
    <row r="107">
      <c r="A107" s="256" t="inlineStr">
        <is>
          <t>CoQ-PP_26-005</t>
        </is>
      </c>
      <c r="B107" s="256" t="inlineStr">
        <is>
          <t>release</t>
        </is>
      </c>
      <c r="C107" s="256" t="inlineStr">
        <is>
          <t>HPA1024</t>
        </is>
      </c>
      <c r="D107" s="256" t="inlineStr">
        <is>
          <t>HPA1024</t>
        </is>
      </c>
      <c r="E107" s="256" t="inlineStr">
        <is>
          <t>High Pro Amnesia</t>
        </is>
      </c>
      <c r="F107" s="256" t="inlineStr">
        <is>
          <t>06.06.2026</t>
        </is>
      </c>
      <c r="G107" s="256" t="inlineStr">
        <is>
          <t>9.6</t>
        </is>
      </c>
      <c r="H107" s="256" t="inlineStr">
        <is>
          <t>Pseudomonas aeruginosa</t>
        </is>
      </c>
      <c r="I107" s="256" t="inlineStr">
        <is>
          <t>Ph. Eur. 2.6.13 cat. C</t>
        </is>
      </c>
      <c r="J107" s="256" t="inlineStr">
        <is>
          <t>Absence | Отсуство / 1 g</t>
        </is>
      </c>
      <c r="K107" s="260" t="inlineStr">
        <is>
          <t>upon request — not required for release</t>
        </is>
      </c>
      <c r="L107" s="256" t="inlineStr">
        <is>
          <t>—</t>
        </is>
      </c>
      <c r="M107" s="256" t="inlineStr">
        <is>
          <t>—</t>
        </is>
      </c>
      <c r="N107" s="256" t="inlineStr">
        <is>
          <t>—</t>
        </is>
      </c>
      <c r="O107" s="256" t="inlineStr">
        <is>
          <t>—</t>
        </is>
      </c>
      <c r="P107" s="256" t="inlineStr">
        <is>
          <t>upon request — not required for release</t>
        </is>
      </c>
      <c r="Q107" s="256" t="inlineStr"/>
      <c r="R107" s="256" t="inlineStr"/>
    </row>
    <row r="108">
      <c r="A108" s="256" t="inlineStr">
        <is>
          <t>CoQ-PP_26-005</t>
        </is>
      </c>
      <c r="B108" s="256" t="inlineStr">
        <is>
          <t>release</t>
        </is>
      </c>
      <c r="C108" s="256" t="inlineStr">
        <is>
          <t>HPA1024</t>
        </is>
      </c>
      <c r="D108" s="256" t="inlineStr">
        <is>
          <t>HPA1024</t>
        </is>
      </c>
      <c r="E108" s="256" t="inlineStr">
        <is>
          <t>High Pro Amnesia</t>
        </is>
      </c>
      <c r="F108" s="256" t="inlineStr">
        <is>
          <t>06.06.2026</t>
        </is>
      </c>
      <c r="G108" s="256" t="inlineStr">
        <is>
          <t>9.7</t>
        </is>
      </c>
      <c r="H108" s="256" t="inlineStr">
        <is>
          <t>Staphylococcus aureus</t>
        </is>
      </c>
      <c r="I108" s="256" t="inlineStr">
        <is>
          <t>Ph. Eur. 2.6.13 cat. C</t>
        </is>
      </c>
      <c r="J108" s="256" t="inlineStr">
        <is>
          <t>Absence | Отсуство / 1 g</t>
        </is>
      </c>
      <c r="K108" s="260" t="inlineStr">
        <is>
          <t>upon request — not required for release</t>
        </is>
      </c>
      <c r="L108" s="256" t="inlineStr">
        <is>
          <t>—</t>
        </is>
      </c>
      <c r="M108" s="256" t="inlineStr">
        <is>
          <t>—</t>
        </is>
      </c>
      <c r="N108" s="256" t="inlineStr">
        <is>
          <t>—</t>
        </is>
      </c>
      <c r="O108" s="256" t="inlineStr">
        <is>
          <t>—</t>
        </is>
      </c>
      <c r="P108" s="256" t="inlineStr">
        <is>
          <t>upon request — not required for release</t>
        </is>
      </c>
      <c r="Q108" s="256" t="inlineStr"/>
      <c r="R108" s="256" t="inlineStr"/>
    </row>
    <row r="109">
      <c r="A109" s="256" t="inlineStr">
        <is>
          <t>CoQ-PP_26-005</t>
        </is>
      </c>
      <c r="B109" s="256" t="inlineStr">
        <is>
          <t>release</t>
        </is>
      </c>
      <c r="C109" s="256" t="inlineStr">
        <is>
          <t>HPA1024</t>
        </is>
      </c>
      <c r="D109" s="256" t="inlineStr">
        <is>
          <t>HPA1024</t>
        </is>
      </c>
      <c r="E109" s="256" t="inlineStr">
        <is>
          <t>High Pro Amnesia</t>
        </is>
      </c>
      <c r="F109" s="256" t="inlineStr">
        <is>
          <t>06.06.2026</t>
        </is>
      </c>
      <c r="G109" s="256" t="inlineStr">
        <is>
          <t>10.1</t>
        </is>
      </c>
      <c r="H109" s="256" t="inlineStr">
        <is>
          <t>Aflatoxin B₁</t>
        </is>
      </c>
      <c r="I109" s="256" t="inlineStr">
        <is>
          <t>Ph. Eur. 2.8.18 (HPLC-FLD)</t>
        </is>
      </c>
      <c r="J109" s="256" t="inlineStr">
        <is>
          <t>≤ 2 µg/kg</t>
        </is>
      </c>
      <c r="K109" s="259" t="inlineStr">
        <is>
          <t>not tested</t>
        </is>
      </c>
      <c r="L109" s="256" t="inlineStr">
        <is>
          <t>—</t>
        </is>
      </c>
      <c r="M109" s="256" t="inlineStr">
        <is>
          <t>—</t>
        </is>
      </c>
      <c r="N109" s="256" t="inlineStr">
        <is>
          <t>—</t>
        </is>
      </c>
      <c r="O109" s="256" t="inlineStr">
        <is>
          <t>—</t>
        </is>
      </c>
      <c r="P109" s="256" t="inlineStr">
        <is>
          <t>not tested — no certificate covers it</t>
        </is>
      </c>
      <c r="Q109" s="256" t="inlineStr"/>
      <c r="R109" s="256" t="inlineStr">
        <is>
          <t>ND (197-13-М/26)</t>
        </is>
      </c>
    </row>
    <row r="110">
      <c r="A110" s="256" t="inlineStr">
        <is>
          <t>CoQ-PP_26-005</t>
        </is>
      </c>
      <c r="B110" s="256" t="inlineStr">
        <is>
          <t>release</t>
        </is>
      </c>
      <c r="C110" s="256" t="inlineStr">
        <is>
          <t>HPA1024</t>
        </is>
      </c>
      <c r="D110" s="256" t="inlineStr">
        <is>
          <t>HPA1024</t>
        </is>
      </c>
      <c r="E110" s="256" t="inlineStr">
        <is>
          <t>High Pro Amnesia</t>
        </is>
      </c>
      <c r="F110" s="256" t="inlineStr">
        <is>
          <t>06.06.2026</t>
        </is>
      </c>
      <c r="G110" s="256" t="inlineStr">
        <is>
          <t>10.2</t>
        </is>
      </c>
      <c r="H110" s="256" t="inlineStr">
        <is>
          <t>Aflatoxins ∑</t>
        </is>
      </c>
      <c r="I110" s="256" t="inlineStr">
        <is>
          <t>Ph. Eur. 2.8.18 (HPLC-FLD)</t>
        </is>
      </c>
      <c r="J110" s="256" t="inlineStr">
        <is>
          <t>≤ 4 µg/kg</t>
        </is>
      </c>
      <c r="K110" s="256" t="inlineStr">
        <is>
          <t>&lt; 2</t>
        </is>
      </c>
      <c r="L110" s="256" t="inlineStr">
        <is>
          <t>iCoA-PP_26-005</t>
        </is>
      </c>
      <c r="M110" s="256" t="inlineStr">
        <is>
          <t>03.06.2026</t>
        </is>
      </c>
      <c r="N110" s="256" t="inlineStr">
        <is>
          <t>Purely Plant GmbH (in-house)</t>
        </is>
      </c>
      <c r="O110" s="256" t="inlineStr">
        <is>
          <t>—</t>
        </is>
      </c>
      <c r="P110" s="256" t="inlineStr">
        <is>
          <t>in-house CoA only — not an eCoA or an iCoA: a value no certificate of analysis certifies cannot be on a release certificate (owner's rule, 02.09.2026)</t>
        </is>
      </c>
      <c r="Q110" s="256" t="inlineStr"/>
      <c r="R110" s="256" t="inlineStr">
        <is>
          <t>ND (197-13-М/26)</t>
        </is>
      </c>
    </row>
    <row r="111">
      <c r="A111" s="256" t="inlineStr">
        <is>
          <t>CoQ-PP_26-005</t>
        </is>
      </c>
      <c r="B111" s="256" t="inlineStr">
        <is>
          <t>release</t>
        </is>
      </c>
      <c r="C111" s="256" t="inlineStr">
        <is>
          <t>HPA1024</t>
        </is>
      </c>
      <c r="D111" s="256" t="inlineStr">
        <is>
          <t>HPA1024</t>
        </is>
      </c>
      <c r="E111" s="256" t="inlineStr">
        <is>
          <t>High Pro Amnesia</t>
        </is>
      </c>
      <c r="F111" s="256" t="inlineStr">
        <is>
          <t>06.06.2026</t>
        </is>
      </c>
      <c r="G111" s="256" t="inlineStr">
        <is>
          <t>10.3</t>
        </is>
      </c>
      <c r="H111" s="256" t="inlineStr">
        <is>
          <t>Ochratoxin A</t>
        </is>
      </c>
      <c r="I111" s="256" t="inlineStr">
        <is>
          <t>Ph. Eur. 2.8.22 (HPLC-FLD)</t>
        </is>
      </c>
      <c r="J111" s="256" t="inlineStr">
        <is>
          <t>≤ 20 µg/kg</t>
        </is>
      </c>
      <c r="K111" s="259" t="inlineStr">
        <is>
          <t>not tested</t>
        </is>
      </c>
      <c r="L111" s="256" t="inlineStr">
        <is>
          <t>—</t>
        </is>
      </c>
      <c r="M111" s="256" t="inlineStr">
        <is>
          <t>—</t>
        </is>
      </c>
      <c r="N111" s="256" t="inlineStr">
        <is>
          <t>—</t>
        </is>
      </c>
      <c r="O111" s="256" t="inlineStr">
        <is>
          <t>—</t>
        </is>
      </c>
      <c r="P111" s="256" t="inlineStr">
        <is>
          <t>not tested — no certificate covers it</t>
        </is>
      </c>
      <c r="Q111" s="256" t="inlineStr"/>
      <c r="R111" s="256" t="inlineStr">
        <is>
          <t>&lt;LOQ (197-13-М/26)</t>
        </is>
      </c>
    </row>
    <row r="112">
      <c r="A112" s="256" t="inlineStr">
        <is>
          <t>CoQ-PP_26-005</t>
        </is>
      </c>
      <c r="B112" s="256" t="inlineStr">
        <is>
          <t>release</t>
        </is>
      </c>
      <c r="C112" s="256" t="inlineStr">
        <is>
          <t>HPA1024</t>
        </is>
      </c>
      <c r="D112" s="256" t="inlineStr">
        <is>
          <t>HPA1024</t>
        </is>
      </c>
      <c r="E112" s="256" t="inlineStr">
        <is>
          <t>High Pro Amnesia</t>
        </is>
      </c>
      <c r="F112" s="256" t="inlineStr">
        <is>
          <t>06.06.2026</t>
        </is>
      </c>
      <c r="G112" s="256" t="inlineStr">
        <is>
          <t>11.1</t>
        </is>
      </c>
      <c r="H112" s="256" t="inlineStr">
        <is>
          <t>Lead (Pb)</t>
        </is>
      </c>
      <c r="I112" s="256" t="inlineStr">
        <is>
          <t>Ph. Eur. 2.4.27 (ICP-MS)</t>
        </is>
      </c>
      <c r="J112" s="256" t="inlineStr">
        <is>
          <t>≤ 0.5 mg/kg</t>
        </is>
      </c>
      <c r="K112" s="256" t="inlineStr">
        <is>
          <t>0.02</t>
        </is>
      </c>
      <c r="L112" s="256" t="inlineStr">
        <is>
          <t>iCoA-PP_26-005</t>
        </is>
      </c>
      <c r="M112" s="256" t="inlineStr">
        <is>
          <t>03.06.2026</t>
        </is>
      </c>
      <c r="N112" s="256" t="inlineStr">
        <is>
          <t>Purely Plant GmbH (in-house)</t>
        </is>
      </c>
      <c r="O112" s="256" t="inlineStr">
        <is>
          <t>—</t>
        </is>
      </c>
      <c r="P112" s="256" t="inlineStr">
        <is>
          <t>in-house CoA only — not an eCoA or an iCoA: a value no certificate of analysis certifies cannot be on a release certificate (owner's rule, 02.09.2026)</t>
        </is>
      </c>
      <c r="Q112" s="256" t="inlineStr"/>
      <c r="R112" s="256" t="inlineStr"/>
    </row>
    <row r="113">
      <c r="A113" s="256" t="inlineStr">
        <is>
          <t>CoQ-PP_26-005</t>
        </is>
      </c>
      <c r="B113" s="256" t="inlineStr">
        <is>
          <t>release</t>
        </is>
      </c>
      <c r="C113" s="256" t="inlineStr">
        <is>
          <t>HPA1024</t>
        </is>
      </c>
      <c r="D113" s="256" t="inlineStr">
        <is>
          <t>HPA1024</t>
        </is>
      </c>
      <c r="E113" s="256" t="inlineStr">
        <is>
          <t>High Pro Amnesia</t>
        </is>
      </c>
      <c r="F113" s="256" t="inlineStr">
        <is>
          <t>06.06.2026</t>
        </is>
      </c>
      <c r="G113" s="256" t="inlineStr">
        <is>
          <t>11.2</t>
        </is>
      </c>
      <c r="H113" s="256" t="inlineStr">
        <is>
          <t>Cadmium (Cd)</t>
        </is>
      </c>
      <c r="I113" s="256" t="inlineStr">
        <is>
          <t>Ph. Eur. 2.4.27 (ICP-MS)</t>
        </is>
      </c>
      <c r="J113" s="256" t="inlineStr">
        <is>
          <t>≤ 0.3 mg/kg</t>
        </is>
      </c>
      <c r="K113" s="256" t="inlineStr">
        <is>
          <t>0.013</t>
        </is>
      </c>
      <c r="L113" s="256" t="inlineStr">
        <is>
          <t>iCoA-PP_26-005</t>
        </is>
      </c>
      <c r="M113" s="256" t="inlineStr">
        <is>
          <t>03.06.2026</t>
        </is>
      </c>
      <c r="N113" s="256" t="inlineStr">
        <is>
          <t>Purely Plant GmbH (in-house)</t>
        </is>
      </c>
      <c r="O113" s="256" t="inlineStr">
        <is>
          <t>—</t>
        </is>
      </c>
      <c r="P113" s="256" t="inlineStr">
        <is>
          <t>in-house CoA only — not an eCoA or an iCoA: a value no certificate of analysis certifies cannot be on a release certificate (owner's rule, 02.09.2026)</t>
        </is>
      </c>
      <c r="Q113" s="256" t="inlineStr"/>
      <c r="R113" s="256" t="inlineStr"/>
    </row>
    <row r="114">
      <c r="A114" s="256" t="inlineStr">
        <is>
          <t>CoQ-PP_26-005</t>
        </is>
      </c>
      <c r="B114" s="256" t="inlineStr">
        <is>
          <t>release</t>
        </is>
      </c>
      <c r="C114" s="256" t="inlineStr">
        <is>
          <t>HPA1024</t>
        </is>
      </c>
      <c r="D114" s="256" t="inlineStr">
        <is>
          <t>HPA1024</t>
        </is>
      </c>
      <c r="E114" s="256" t="inlineStr">
        <is>
          <t>High Pro Amnesia</t>
        </is>
      </c>
      <c r="F114" s="256" t="inlineStr">
        <is>
          <t>06.06.2026</t>
        </is>
      </c>
      <c r="G114" s="256" t="inlineStr">
        <is>
          <t>11.3</t>
        </is>
      </c>
      <c r="H114" s="256" t="inlineStr">
        <is>
          <t>Arsenic (As)</t>
        </is>
      </c>
      <c r="I114" s="256" t="inlineStr">
        <is>
          <t>Ph. Eur. 2.4.27 (ICP-MS)</t>
        </is>
      </c>
      <c r="J114" s="256" t="inlineStr">
        <is>
          <t>≤ 0.2 mg/kg</t>
        </is>
      </c>
      <c r="K114" s="256" t="inlineStr">
        <is>
          <t>0.017</t>
        </is>
      </c>
      <c r="L114" s="256" t="inlineStr">
        <is>
          <t>iCoA-PP_26-005</t>
        </is>
      </c>
      <c r="M114" s="256" t="inlineStr">
        <is>
          <t>03.06.2026</t>
        </is>
      </c>
      <c r="N114" s="256" t="inlineStr">
        <is>
          <t>Purely Plant GmbH (in-house)</t>
        </is>
      </c>
      <c r="O114" s="256" t="inlineStr">
        <is>
          <t>—</t>
        </is>
      </c>
      <c r="P114" s="256" t="inlineStr">
        <is>
          <t>in-house CoA only — not an eCoA or an iCoA: a value no certificate of analysis certifies cannot be on a release certificate (owner's rule, 02.09.2026)</t>
        </is>
      </c>
      <c r="Q114" s="256" t="inlineStr"/>
      <c r="R114" s="256" t="inlineStr"/>
    </row>
    <row r="115">
      <c r="A115" s="256" t="inlineStr">
        <is>
          <t>CoQ-PP_26-005</t>
        </is>
      </c>
      <c r="B115" s="256" t="inlineStr">
        <is>
          <t>release</t>
        </is>
      </c>
      <c r="C115" s="256" t="inlineStr">
        <is>
          <t>HPA1024</t>
        </is>
      </c>
      <c r="D115" s="256" t="inlineStr">
        <is>
          <t>HPA1024</t>
        </is>
      </c>
      <c r="E115" s="256" t="inlineStr">
        <is>
          <t>High Pro Amnesia</t>
        </is>
      </c>
      <c r="F115" s="256" t="inlineStr">
        <is>
          <t>06.06.2026</t>
        </is>
      </c>
      <c r="G115" s="256" t="inlineStr">
        <is>
          <t>11.4</t>
        </is>
      </c>
      <c r="H115" s="256" t="inlineStr">
        <is>
          <t>Mercury (Hg)</t>
        </is>
      </c>
      <c r="I115" s="256" t="inlineStr">
        <is>
          <t>Ph. Eur. 2.4.27 (ICP-MS)</t>
        </is>
      </c>
      <c r="J115" s="256" t="inlineStr">
        <is>
          <t>≤ 0.1 mg/kg</t>
        </is>
      </c>
      <c r="K115" s="256" t="inlineStr">
        <is>
          <t>0.0026</t>
        </is>
      </c>
      <c r="L115" s="256" t="inlineStr">
        <is>
          <t>iCoA-PP_26-005</t>
        </is>
      </c>
      <c r="M115" s="256" t="inlineStr">
        <is>
          <t>03.06.2026</t>
        </is>
      </c>
      <c r="N115" s="256" t="inlineStr">
        <is>
          <t>Purely Plant GmbH (in-house)</t>
        </is>
      </c>
      <c r="O115" s="256" t="inlineStr">
        <is>
          <t>—</t>
        </is>
      </c>
      <c r="P115" s="256" t="inlineStr">
        <is>
          <t>in-house CoA only — not an eCoA or an iCoA: a value no certificate of analysis certifies cannot be on a release certificate (owner's rule, 02.09.2026)</t>
        </is>
      </c>
      <c r="Q115" s="256" t="inlineStr"/>
      <c r="R115" s="256" t="inlineStr"/>
    </row>
    <row r="116">
      <c r="A116" s="256" t="inlineStr">
        <is>
          <t>CoQ-PP_26-005</t>
        </is>
      </c>
      <c r="B116" s="256" t="inlineStr">
        <is>
          <t>release</t>
        </is>
      </c>
      <c r="C116" s="256" t="inlineStr">
        <is>
          <t>HPA1024</t>
        </is>
      </c>
      <c r="D116" s="256" t="inlineStr">
        <is>
          <t>HPA1024</t>
        </is>
      </c>
      <c r="E116" s="256" t="inlineStr">
        <is>
          <t>High Pro Amnesia</t>
        </is>
      </c>
      <c r="F116" s="256" t="inlineStr">
        <is>
          <t>06.06.2026</t>
        </is>
      </c>
      <c r="G116" s="256" t="inlineStr">
        <is>
          <t>12</t>
        </is>
      </c>
      <c r="H116" s="256" t="inlineStr">
        <is>
          <t>Pesticide Residues</t>
        </is>
      </c>
      <c r="I116" s="256" t="inlineStr">
        <is>
          <t>Ph. Eur. 2.8.13 (LC-MS/MS) · CUMCS Equivalency</t>
        </is>
      </c>
      <c r="J116" s="256" t="inlineStr">
        <is>
          <t>≤ LOQ as per Ph. Eur. 2.8.13 · ≤ LOQ as per CUMCS Equivalency</t>
        </is>
      </c>
      <c r="K116" s="256" t="inlineStr">
        <is>
          <t>ND</t>
        </is>
      </c>
      <c r="L116" s="256" t="inlineStr">
        <is>
          <t>iCoA-PP_26-005</t>
        </is>
      </c>
      <c r="M116" s="256" t="inlineStr">
        <is>
          <t>03.06.2026</t>
        </is>
      </c>
      <c r="N116" s="256" t="inlineStr">
        <is>
          <t>Purely Plant GmbH (in-house)</t>
        </is>
      </c>
      <c r="O116" s="256" t="inlineStr">
        <is>
          <t>—</t>
        </is>
      </c>
      <c r="P116" s="256" t="inlineStr">
        <is>
          <t>in-house CoA only — not an eCoA or an iCoA: a value no certificate of analysis certifies cannot be on a release certificate (owner's rule, 02.09.2026)</t>
        </is>
      </c>
      <c r="Q116" s="256" t="inlineStr"/>
      <c r="R116" s="256" t="inlineStr"/>
    </row>
    <row r="117">
      <c r="A117" s="256" t="inlineStr">
        <is>
          <t>CoQ-PP_26-006</t>
        </is>
      </c>
      <c r="B117" s="256" t="inlineStr">
        <is>
          <t>release</t>
        </is>
      </c>
      <c r="C117" s="256" t="inlineStr">
        <is>
          <t>OPM1024</t>
        </is>
      </c>
      <c r="D117" s="256" t="inlineStr">
        <is>
          <t>OPM1024</t>
        </is>
      </c>
      <c r="E117" s="256" t="inlineStr">
        <is>
          <t>Orange Punch Mimosa</t>
        </is>
      </c>
      <c r="F117" s="256" t="inlineStr">
        <is>
          <t>06.06.2026</t>
        </is>
      </c>
      <c r="G117" s="256" t="inlineStr">
        <is>
          <t>1</t>
        </is>
      </c>
      <c r="H117" s="256" t="inlineStr">
        <is>
          <t>Identification A, Appearance · Macroscopic</t>
        </is>
      </c>
      <c r="I117" s="256" t="inlineStr">
        <is>
          <t>Ph. Eur. mon. 3028</t>
        </is>
      </c>
      <c r="J117" s="256" t="inlineStr">
        <is>
          <t>Conforms to the monograph for Cannabis flos (07/2024:3028) in Ph. Eur. 11.0 | Согласно монографија за Cannabis flos (07/2024:3028) во Ph. Eur. 11.0</t>
        </is>
      </c>
      <c r="K117" s="256" t="inlineStr">
        <is>
          <t>Conforms | Одговара</t>
        </is>
      </c>
      <c r="L117" s="256" t="inlineStr">
        <is>
          <t>iCoA-PP_26-006</t>
        </is>
      </c>
      <c r="M117" s="256" t="inlineStr">
        <is>
          <t>03.06.2026</t>
        </is>
      </c>
      <c r="N117" s="256" t="inlineStr">
        <is>
          <t>Purely Plant GmbH (in-house)</t>
        </is>
      </c>
      <c r="O117" s="256" t="inlineStr">
        <is>
          <t>—</t>
        </is>
      </c>
      <c r="P117" s="256" t="inlineStr">
        <is>
          <t>to be performed — see route</t>
        </is>
      </c>
      <c r="Q117" s="256" t="inlineStr">
        <is>
          <t>Purely Plant laboratory — iCoA covering Ident A + B</t>
        </is>
      </c>
      <c r="R117" s="256" t="inlineStr"/>
    </row>
    <row r="118">
      <c r="A118" s="256" t="inlineStr">
        <is>
          <t>CoQ-PP_26-006</t>
        </is>
      </c>
      <c r="B118" s="256" t="inlineStr">
        <is>
          <t>release</t>
        </is>
      </c>
      <c r="C118" s="256" t="inlineStr">
        <is>
          <t>OPM1024</t>
        </is>
      </c>
      <c r="D118" s="256" t="inlineStr">
        <is>
          <t>OPM1024</t>
        </is>
      </c>
      <c r="E118" s="256" t="inlineStr">
        <is>
          <t>Orange Punch Mimosa</t>
        </is>
      </c>
      <c r="F118" s="256" t="inlineStr">
        <is>
          <t>06.06.2026</t>
        </is>
      </c>
      <c r="G118" s="256" t="inlineStr">
        <is>
          <t>2</t>
        </is>
      </c>
      <c r="H118" s="256" t="inlineStr">
        <is>
          <t>Identification B · Microscopic</t>
        </is>
      </c>
      <c r="I118" s="256" t="inlineStr">
        <is>
          <t>Ph. Eur. 2.8.23 (microscopy)</t>
        </is>
      </c>
      <c r="J118" s="256" t="inlineStr">
        <is>
          <t>Conforms to the monograph for Cannabis flos (07/2024:3028) in Ph. Eur. 11.0 | Согласно монографија за Cannabis flos (07/2024:3028) во Ph. Eur. 11.0</t>
        </is>
      </c>
      <c r="K118" s="256" t="inlineStr">
        <is>
          <t>Conforms | Одговара</t>
        </is>
      </c>
      <c r="L118" s="256" t="inlineStr">
        <is>
          <t>iCoA-PP_26-006</t>
        </is>
      </c>
      <c r="M118" s="256" t="inlineStr">
        <is>
          <t>03.06.2026</t>
        </is>
      </c>
      <c r="N118" s="256" t="inlineStr">
        <is>
          <t>Purely Plant GmbH (in-house)</t>
        </is>
      </c>
      <c r="O118" s="256" t="inlineStr">
        <is>
          <t>—</t>
        </is>
      </c>
      <c r="P118" s="256" t="inlineStr">
        <is>
          <t>to be performed — see route</t>
        </is>
      </c>
      <c r="Q118" s="256" t="inlineStr">
        <is>
          <t>Purely Plant laboratory — iCoA covering Ident A + B</t>
        </is>
      </c>
      <c r="R118" s="256" t="inlineStr"/>
    </row>
    <row r="119">
      <c r="A119" s="256" t="inlineStr">
        <is>
          <t>CoQ-PP_26-006</t>
        </is>
      </c>
      <c r="B119" s="256" t="inlineStr">
        <is>
          <t>release</t>
        </is>
      </c>
      <c r="C119" s="256" t="inlineStr">
        <is>
          <t>OPM1024</t>
        </is>
      </c>
      <c r="D119" s="256" t="inlineStr">
        <is>
          <t>OPM1024</t>
        </is>
      </c>
      <c r="E119" s="256" t="inlineStr">
        <is>
          <t>Orange Punch Mimosa</t>
        </is>
      </c>
      <c r="F119" s="256" t="inlineStr">
        <is>
          <t>06.06.2026</t>
        </is>
      </c>
      <c r="G119" s="256" t="inlineStr">
        <is>
          <t>3</t>
        </is>
      </c>
      <c r="H119" s="256" t="inlineStr">
        <is>
          <t>Identification C · HPLC/HPTLC</t>
        </is>
      </c>
      <c r="I119" s="256" t="inlineStr">
        <is>
          <t>Ph. Eur. 2.2.29 (3028)</t>
        </is>
      </c>
      <c r="J119" s="256" t="inlineStr">
        <is>
          <t>Conforms to the monograph for Cannabis flos (07/2024:3028) in Ph. Eur. 11.0 | Согласно монографија за Cannabis flos (07/2024:3028) во Ph. Eur. 11.0</t>
        </is>
      </c>
      <c r="K119" s="259" t="inlineStr">
        <is>
          <t>not tested</t>
        </is>
      </c>
      <c r="L119" s="256" t="inlineStr">
        <is>
          <t>—</t>
        </is>
      </c>
      <c r="M119" s="256" t="inlineStr">
        <is>
          <t>—</t>
        </is>
      </c>
      <c r="N119" s="256" t="inlineStr">
        <is>
          <t>—</t>
        </is>
      </c>
      <c r="O119" s="256" t="inlineStr">
        <is>
          <t>—</t>
        </is>
      </c>
      <c r="P119" s="256" t="inlineStr">
        <is>
          <t>not tested — no certificate covers it</t>
        </is>
      </c>
      <c r="Q119" s="256" t="inlineStr"/>
      <c r="R119" s="256" t="inlineStr">
        <is>
          <t>Conforms | Одговара (in-house record of 23.04.2025, no certificate)</t>
        </is>
      </c>
    </row>
    <row r="120">
      <c r="A120" s="256" t="inlineStr">
        <is>
          <t>CoQ-PP_26-006</t>
        </is>
      </c>
      <c r="B120" s="256" t="inlineStr">
        <is>
          <t>release</t>
        </is>
      </c>
      <c r="C120" s="256" t="inlineStr">
        <is>
          <t>OPM1024</t>
        </is>
      </c>
      <c r="D120" s="256" t="inlineStr">
        <is>
          <t>OPM1024</t>
        </is>
      </c>
      <c r="E120" s="256" t="inlineStr">
        <is>
          <t>Orange Punch Mimosa</t>
        </is>
      </c>
      <c r="F120" s="256" t="inlineStr">
        <is>
          <t>06.06.2026</t>
        </is>
      </c>
      <c r="G120" s="256" t="inlineStr">
        <is>
          <t>4</t>
        </is>
      </c>
      <c r="H120" s="256" t="inlineStr">
        <is>
          <t>Assay — Total Δ⁹-THC</t>
        </is>
      </c>
      <c r="I120" s="256" t="inlineStr">
        <is>
          <t>Ph. Eur. 2.2.29 (HPLC)</t>
        </is>
      </c>
      <c r="J120" s="256" t="inlineStr">
        <is>
          <t>18.60 – 21.39 %  (grade I, nominal 20.00 ± 1.40)</t>
        </is>
      </c>
      <c r="K120" s="256" t="inlineStr">
        <is>
          <t>19.96</t>
        </is>
      </c>
      <c r="L120" s="256" t="inlineStr">
        <is>
          <t>iCoA-PP_26-006</t>
        </is>
      </c>
      <c r="M120" s="256" t="inlineStr">
        <is>
          <t>03.06.2026</t>
        </is>
      </c>
      <c r="N120" s="256" t="inlineStr">
        <is>
          <t>Purely Plant GmbH (in-house)</t>
        </is>
      </c>
      <c r="O120" s="256" t="inlineStr">
        <is>
          <t>—</t>
        </is>
      </c>
      <c r="P120" s="256" t="inlineStr">
        <is>
          <t>in-house CoA only — not an eCoA or an iCoA: a value no certificate of analysis certifies cannot be on a release certificate (owner's rule, 02.09.2026)</t>
        </is>
      </c>
      <c r="Q120" s="256" t="inlineStr"/>
      <c r="R120" s="256" t="inlineStr">
        <is>
          <t>20.03 (197-17-К/26)</t>
        </is>
      </c>
    </row>
    <row r="121">
      <c r="A121" s="256" t="inlineStr">
        <is>
          <t>CoQ-PP_26-006</t>
        </is>
      </c>
      <c r="B121" s="256" t="inlineStr">
        <is>
          <t>release</t>
        </is>
      </c>
      <c r="C121" s="256" t="inlineStr">
        <is>
          <t>OPM1024</t>
        </is>
      </c>
      <c r="D121" s="256" t="inlineStr">
        <is>
          <t>OPM1024</t>
        </is>
      </c>
      <c r="E121" s="256" t="inlineStr">
        <is>
          <t>Orange Punch Mimosa</t>
        </is>
      </c>
      <c r="F121" s="256" t="inlineStr">
        <is>
          <t>06.06.2026</t>
        </is>
      </c>
      <c r="G121" s="256" t="inlineStr">
        <is>
          <t>5</t>
        </is>
      </c>
      <c r="H121" s="256" t="inlineStr">
        <is>
          <t>Assay — Total CBD</t>
        </is>
      </c>
      <c r="I121" s="256" t="inlineStr">
        <is>
          <t>Ph. Eur. 2.2.29 (HPLC) · CBD + CBDA x 0.877</t>
        </is>
      </c>
      <c r="J121" s="256" t="inlineStr">
        <is>
          <t>≤ 1.0%, w/w</t>
        </is>
      </c>
      <c r="K121" s="256" t="inlineStr">
        <is>
          <t>0.05</t>
        </is>
      </c>
      <c r="L121" s="256" t="inlineStr">
        <is>
          <t>iCoA-PP_26-006</t>
        </is>
      </c>
      <c r="M121" s="256" t="inlineStr">
        <is>
          <t>03.06.2026</t>
        </is>
      </c>
      <c r="N121" s="256" t="inlineStr">
        <is>
          <t>Purely Plant GmbH (in-house)</t>
        </is>
      </c>
      <c r="O121" s="256" t="inlineStr">
        <is>
          <t>—</t>
        </is>
      </c>
      <c r="P121" s="256" t="inlineStr">
        <is>
          <t>in-house CoA only — not an eCoA or an iCoA: a value no certificate of analysis certifies cannot be on a release certificate (owner's rule, 02.09.2026)</t>
        </is>
      </c>
      <c r="Q121" s="256" t="inlineStr"/>
      <c r="R121" s="256" t="inlineStr">
        <is>
          <t>&lt;LOQ (197-17-К/26)</t>
        </is>
      </c>
    </row>
    <row r="122">
      <c r="A122" s="256" t="inlineStr">
        <is>
          <t>CoQ-PP_26-006</t>
        </is>
      </c>
      <c r="B122" s="256" t="inlineStr">
        <is>
          <t>release</t>
        </is>
      </c>
      <c r="C122" s="256" t="inlineStr">
        <is>
          <t>OPM1024</t>
        </is>
      </c>
      <c r="D122" s="256" t="inlineStr">
        <is>
          <t>OPM1024</t>
        </is>
      </c>
      <c r="E122" s="256" t="inlineStr">
        <is>
          <t>Orange Punch Mimosa</t>
        </is>
      </c>
      <c r="F122" s="256" t="inlineStr">
        <is>
          <t>06.06.2026</t>
        </is>
      </c>
      <c r="G122" s="256" t="inlineStr">
        <is>
          <t>6</t>
        </is>
      </c>
      <c r="H122" s="256" t="inlineStr">
        <is>
          <t>Total CBN</t>
        </is>
      </c>
      <c r="I122" s="256" t="inlineStr">
        <is>
          <t>Ph. Eur. 2.2.29 (HPLC) · CBN + CBNA x 0.876</t>
        </is>
      </c>
      <c r="J122" s="256" t="inlineStr">
        <is>
          <t>≤ 1.0%, w/w</t>
        </is>
      </c>
      <c r="K122" s="259" t="inlineStr">
        <is>
          <t>not tested</t>
        </is>
      </c>
      <c r="L122" s="256" t="inlineStr">
        <is>
          <t>—</t>
        </is>
      </c>
      <c r="M122" s="256" t="inlineStr">
        <is>
          <t>—</t>
        </is>
      </c>
      <c r="N122" s="256" t="inlineStr">
        <is>
          <t>—</t>
        </is>
      </c>
      <c r="O122" s="256" t="inlineStr">
        <is>
          <t>—</t>
        </is>
      </c>
      <c r="P122" s="256" t="inlineStr">
        <is>
          <t>not tested — no certificate covers it</t>
        </is>
      </c>
      <c r="Q122" s="256" t="inlineStr"/>
      <c r="R122" s="256" t="inlineStr">
        <is>
          <t>&lt;LOQ (197-17-К/26)</t>
        </is>
      </c>
    </row>
    <row r="123">
      <c r="A123" s="256" t="inlineStr">
        <is>
          <t>CoQ-PP_26-006</t>
        </is>
      </c>
      <c r="B123" s="256" t="inlineStr">
        <is>
          <t>release</t>
        </is>
      </c>
      <c r="C123" s="256" t="inlineStr">
        <is>
          <t>OPM1024</t>
        </is>
      </c>
      <c r="D123" s="256" t="inlineStr">
        <is>
          <t>OPM1024</t>
        </is>
      </c>
      <c r="E123" s="256" t="inlineStr">
        <is>
          <t>Orange Punch Mimosa</t>
        </is>
      </c>
      <c r="F123" s="256" t="inlineStr">
        <is>
          <t>06.06.2026</t>
        </is>
      </c>
      <c r="G123" s="256" t="inlineStr">
        <is>
          <t>7</t>
        </is>
      </c>
      <c r="H123" s="256" t="inlineStr">
        <is>
          <t>Foreign Matter</t>
        </is>
      </c>
      <c r="I123" s="256" t="inlineStr">
        <is>
          <t>Ph. Eur. 2.8.2 · In-house · интерна</t>
        </is>
      </c>
      <c r="J123" s="256" t="inlineStr">
        <is>
          <t>≤ 2.0% / 25–50 g · &lt; 1 cm leaves | листови, no seeds | без семки</t>
        </is>
      </c>
      <c r="K123" s="256" t="inlineStr">
        <is>
          <t>Conforms | Одговара</t>
        </is>
      </c>
      <c r="L123" s="256" t="inlineStr">
        <is>
          <t>iCoA-PP_26-006</t>
        </is>
      </c>
      <c r="M123" s="256" t="inlineStr">
        <is>
          <t>03.06.2026</t>
        </is>
      </c>
      <c r="N123" s="256" t="inlineStr">
        <is>
          <t>Purely Plant GmbH (in-house)</t>
        </is>
      </c>
      <c r="O123" s="256" t="inlineStr">
        <is>
          <t>—</t>
        </is>
      </c>
      <c r="P123" s="256" t="inlineStr">
        <is>
          <t>to be performed — see route</t>
        </is>
      </c>
      <c r="Q123" s="256" t="inlineStr">
        <is>
          <t>Purely Plant laboratory — iCoA covering Foreign matter</t>
        </is>
      </c>
      <c r="R123" s="256" t="inlineStr"/>
    </row>
    <row r="124">
      <c r="A124" s="256" t="inlineStr">
        <is>
          <t>CoQ-PP_26-006</t>
        </is>
      </c>
      <c r="B124" s="256" t="inlineStr">
        <is>
          <t>release</t>
        </is>
      </c>
      <c r="C124" s="256" t="inlineStr">
        <is>
          <t>OPM1024</t>
        </is>
      </c>
      <c r="D124" s="256" t="inlineStr">
        <is>
          <t>OPM1024</t>
        </is>
      </c>
      <c r="E124" s="256" t="inlineStr">
        <is>
          <t>Orange Punch Mimosa</t>
        </is>
      </c>
      <c r="F124" s="256" t="inlineStr">
        <is>
          <t>06.06.2026</t>
        </is>
      </c>
      <c r="G124" s="256" t="inlineStr">
        <is>
          <t>8</t>
        </is>
      </c>
      <c r="H124" s="256" t="inlineStr">
        <is>
          <t>Loss on Drying</t>
        </is>
      </c>
      <c r="I124" s="256" t="inlineStr">
        <is>
          <t>Ph. Eur. 2.2.32 (3028) · at 40 °C, 24 h, 15–25 mbar</t>
        </is>
      </c>
      <c r="J124" s="256" t="inlineStr">
        <is>
          <t>≤ 12.0%</t>
        </is>
      </c>
      <c r="K124" s="259" t="inlineStr">
        <is>
          <t>not tested</t>
        </is>
      </c>
      <c r="L124" s="256" t="inlineStr">
        <is>
          <t>—</t>
        </is>
      </c>
      <c r="M124" s="256" t="inlineStr">
        <is>
          <t>—</t>
        </is>
      </c>
      <c r="N124" s="256" t="inlineStr">
        <is>
          <t>—</t>
        </is>
      </c>
      <c r="O124" s="256" t="inlineStr">
        <is>
          <t>—</t>
        </is>
      </c>
      <c r="P124" s="256" t="inlineStr">
        <is>
          <t>not tested — no certificate covers it</t>
        </is>
      </c>
      <c r="Q124" s="256" t="inlineStr"/>
      <c r="R124" s="256" t="inlineStr"/>
    </row>
    <row r="125">
      <c r="A125" s="256" t="inlineStr">
        <is>
          <t>CoQ-PP_26-006</t>
        </is>
      </c>
      <c r="B125" s="256" t="inlineStr">
        <is>
          <t>release</t>
        </is>
      </c>
      <c r="C125" s="256" t="inlineStr">
        <is>
          <t>OPM1024</t>
        </is>
      </c>
      <c r="D125" s="256" t="inlineStr">
        <is>
          <t>OPM1024</t>
        </is>
      </c>
      <c r="E125" s="256" t="inlineStr">
        <is>
          <t>Orange Punch Mimosa</t>
        </is>
      </c>
      <c r="F125" s="256" t="inlineStr">
        <is>
          <t>06.06.2026</t>
        </is>
      </c>
      <c r="G125" s="256" t="inlineStr">
        <is>
          <t>9.1</t>
        </is>
      </c>
      <c r="H125" s="256" t="inlineStr">
        <is>
          <t>TAMC</t>
        </is>
      </c>
      <c r="I125" s="256" t="inlineStr">
        <is>
          <t>Ph. Eur. 2.6.12 cat. C</t>
        </is>
      </c>
      <c r="J125" s="256" t="inlineStr">
        <is>
          <t>≤ 10⁵ CFU/g</t>
        </is>
      </c>
      <c r="K125" s="256" t="inlineStr">
        <is>
          <t>1.3 × 10⁴</t>
        </is>
      </c>
      <c r="L125" s="256" t="inlineStr">
        <is>
          <t>iCoA-PP_26-006</t>
        </is>
      </c>
      <c r="M125" s="256" t="inlineStr">
        <is>
          <t>03.06.2026</t>
        </is>
      </c>
      <c r="N125" s="256" t="inlineStr">
        <is>
          <t>Purely Plant GmbH (in-house)</t>
        </is>
      </c>
      <c r="O125" s="256" t="inlineStr">
        <is>
          <t>—</t>
        </is>
      </c>
      <c r="P125" s="256" t="inlineStr">
        <is>
          <t>in-house CoA only — not an eCoA or an iCoA: a value no certificate of analysis certifies cannot be on a release certificate (owner's rule, 02.09.2026)</t>
        </is>
      </c>
      <c r="Q125" s="256" t="inlineStr"/>
      <c r="R125" s="256" t="inlineStr"/>
    </row>
    <row r="126">
      <c r="A126" s="256" t="inlineStr">
        <is>
          <t>CoQ-PP_26-006</t>
        </is>
      </c>
      <c r="B126" s="256" t="inlineStr">
        <is>
          <t>release</t>
        </is>
      </c>
      <c r="C126" s="256" t="inlineStr">
        <is>
          <t>OPM1024</t>
        </is>
      </c>
      <c r="D126" s="256" t="inlineStr">
        <is>
          <t>OPM1024</t>
        </is>
      </c>
      <c r="E126" s="256" t="inlineStr">
        <is>
          <t>Orange Punch Mimosa</t>
        </is>
      </c>
      <c r="F126" s="256" t="inlineStr">
        <is>
          <t>06.06.2026</t>
        </is>
      </c>
      <c r="G126" s="256" t="inlineStr">
        <is>
          <t>9.2</t>
        </is>
      </c>
      <c r="H126" s="256" t="inlineStr">
        <is>
          <t>TYMC</t>
        </is>
      </c>
      <c r="I126" s="256" t="inlineStr">
        <is>
          <t>Ph. Eur. 2.6.12 cat. C</t>
        </is>
      </c>
      <c r="J126" s="256" t="inlineStr">
        <is>
          <t>≤ 10⁴ CFU/g</t>
        </is>
      </c>
      <c r="K126" s="256" t="inlineStr">
        <is>
          <t>7 × 10²</t>
        </is>
      </c>
      <c r="L126" s="256" t="inlineStr">
        <is>
          <t>iCoA-PP_26-006</t>
        </is>
      </c>
      <c r="M126" s="256" t="inlineStr">
        <is>
          <t>03.06.2026</t>
        </is>
      </c>
      <c r="N126" s="256" t="inlineStr">
        <is>
          <t>Purely Plant GmbH (in-house)</t>
        </is>
      </c>
      <c r="O126" s="256" t="inlineStr">
        <is>
          <t>—</t>
        </is>
      </c>
      <c r="P126" s="256" t="inlineStr">
        <is>
          <t>in-house CoA only — not an eCoA or an iCoA: a value no certificate of analysis certifies cannot be on a release certificate (owner's rule, 02.09.2026)</t>
        </is>
      </c>
      <c r="Q126" s="256" t="inlineStr"/>
      <c r="R126" s="256" t="inlineStr"/>
    </row>
    <row r="127">
      <c r="A127" s="256" t="inlineStr">
        <is>
          <t>CoQ-PP_26-006</t>
        </is>
      </c>
      <c r="B127" s="256" t="inlineStr">
        <is>
          <t>release</t>
        </is>
      </c>
      <c r="C127" s="256" t="inlineStr">
        <is>
          <t>OPM1024</t>
        </is>
      </c>
      <c r="D127" s="256" t="inlineStr">
        <is>
          <t>OPM1024</t>
        </is>
      </c>
      <c r="E127" s="256" t="inlineStr">
        <is>
          <t>Orange Punch Mimosa</t>
        </is>
      </c>
      <c r="F127" s="256" t="inlineStr">
        <is>
          <t>06.06.2026</t>
        </is>
      </c>
      <c r="G127" s="256" t="inlineStr">
        <is>
          <t>9.3</t>
        </is>
      </c>
      <c r="H127" s="256" t="inlineStr">
        <is>
          <t>Bile-tolerant gram-neg.</t>
        </is>
      </c>
      <c r="I127" s="256" t="inlineStr">
        <is>
          <t>Ph. Eur. 2.6.31 cat. C</t>
        </is>
      </c>
      <c r="J127" s="256" t="inlineStr">
        <is>
          <t>≤ 10⁴ CFU/g</t>
        </is>
      </c>
      <c r="K127" s="256" t="inlineStr">
        <is>
          <t>&lt; 10² &gt; 10³</t>
        </is>
      </c>
      <c r="L127" s="256" t="inlineStr">
        <is>
          <t>iCoA-PP_26-006</t>
        </is>
      </c>
      <c r="M127" s="256" t="inlineStr">
        <is>
          <t>03.06.2026</t>
        </is>
      </c>
      <c r="N127" s="256" t="inlineStr">
        <is>
          <t>Purely Plant GmbH (in-house)</t>
        </is>
      </c>
      <c r="O127" s="256" t="inlineStr">
        <is>
          <t>—</t>
        </is>
      </c>
      <c r="P127" s="256" t="inlineStr">
        <is>
          <t>in-house CoA only — not an eCoA or an iCoA: a value no certificate of analysis certifies cannot be on a release certificate (owner's rule, 02.09.2026)</t>
        </is>
      </c>
      <c r="Q127" s="256" t="inlineStr"/>
      <c r="R127" s="256" t="inlineStr"/>
    </row>
    <row r="128">
      <c r="A128" s="256" t="inlineStr">
        <is>
          <t>CoQ-PP_26-006</t>
        </is>
      </c>
      <c r="B128" s="256" t="inlineStr">
        <is>
          <t>release</t>
        </is>
      </c>
      <c r="C128" s="256" t="inlineStr">
        <is>
          <t>OPM1024</t>
        </is>
      </c>
      <c r="D128" s="256" t="inlineStr">
        <is>
          <t>OPM1024</t>
        </is>
      </c>
      <c r="E128" s="256" t="inlineStr">
        <is>
          <t>Orange Punch Mimosa</t>
        </is>
      </c>
      <c r="F128" s="256" t="inlineStr">
        <is>
          <t>06.06.2026</t>
        </is>
      </c>
      <c r="G128" s="256" t="inlineStr">
        <is>
          <t>9.4</t>
        </is>
      </c>
      <c r="H128" s="256" t="inlineStr">
        <is>
          <t>Salmonella</t>
        </is>
      </c>
      <c r="I128" s="256" t="inlineStr">
        <is>
          <t>Ph. Eur. 2.6.31 cat. C</t>
        </is>
      </c>
      <c r="J128" s="256" t="inlineStr">
        <is>
          <t>Absence | Отсуство / 25 g</t>
        </is>
      </c>
      <c r="K128" s="256" t="inlineStr">
        <is>
          <t>Absent | Отсутна</t>
        </is>
      </c>
      <c r="L128" s="256" t="inlineStr">
        <is>
          <t>iCoA-PP_26-006</t>
        </is>
      </c>
      <c r="M128" s="256" t="inlineStr">
        <is>
          <t>03.06.2026</t>
        </is>
      </c>
      <c r="N128" s="256" t="inlineStr">
        <is>
          <t>Purely Plant GmbH (in-house)</t>
        </is>
      </c>
      <c r="O128" s="256" t="inlineStr">
        <is>
          <t>—</t>
        </is>
      </c>
      <c r="P128" s="256" t="inlineStr">
        <is>
          <t>in-house CoA only — not an eCoA or an iCoA: a value no certificate of analysis certifies cannot be on a release certificate (owner's rule, 02.09.2026)</t>
        </is>
      </c>
      <c r="Q128" s="256" t="inlineStr"/>
      <c r="R128" s="256" t="inlineStr"/>
    </row>
    <row r="129">
      <c r="A129" s="256" t="inlineStr">
        <is>
          <t>CoQ-PP_26-006</t>
        </is>
      </c>
      <c r="B129" s="256" t="inlineStr">
        <is>
          <t>release</t>
        </is>
      </c>
      <c r="C129" s="256" t="inlineStr">
        <is>
          <t>OPM1024</t>
        </is>
      </c>
      <c r="D129" s="256" t="inlineStr">
        <is>
          <t>OPM1024</t>
        </is>
      </c>
      <c r="E129" s="256" t="inlineStr">
        <is>
          <t>Orange Punch Mimosa</t>
        </is>
      </c>
      <c r="F129" s="256" t="inlineStr">
        <is>
          <t>06.06.2026</t>
        </is>
      </c>
      <c r="G129" s="256" t="inlineStr">
        <is>
          <t>9.5</t>
        </is>
      </c>
      <c r="H129" s="256" t="inlineStr">
        <is>
          <t>Escherichia coli</t>
        </is>
      </c>
      <c r="I129" s="256" t="inlineStr">
        <is>
          <t>Ph. Eur. 2.6.13 cat. C</t>
        </is>
      </c>
      <c r="J129" s="256" t="inlineStr">
        <is>
          <t>Absence | Отсуство / 1 g</t>
        </is>
      </c>
      <c r="K129" s="256" t="inlineStr">
        <is>
          <t>Absent | Отсутна</t>
        </is>
      </c>
      <c r="L129" s="256" t="inlineStr">
        <is>
          <t>iCoA-PP_26-006</t>
        </is>
      </c>
      <c r="M129" s="256" t="inlineStr">
        <is>
          <t>03.06.2026</t>
        </is>
      </c>
      <c r="N129" s="256" t="inlineStr">
        <is>
          <t>Purely Plant GmbH (in-house)</t>
        </is>
      </c>
      <c r="O129" s="256" t="inlineStr">
        <is>
          <t>—</t>
        </is>
      </c>
      <c r="P129" s="256" t="inlineStr">
        <is>
          <t>in-house CoA only — not an eCoA or an iCoA: a value no certificate of analysis certifies cannot be on a release certificate (owner's rule, 02.09.2026)</t>
        </is>
      </c>
      <c r="Q129" s="256" t="inlineStr"/>
      <c r="R129" s="256" t="inlineStr"/>
    </row>
    <row r="130">
      <c r="A130" s="256" t="inlineStr">
        <is>
          <t>CoQ-PP_26-006</t>
        </is>
      </c>
      <c r="B130" s="256" t="inlineStr">
        <is>
          <t>release</t>
        </is>
      </c>
      <c r="C130" s="256" t="inlineStr">
        <is>
          <t>OPM1024</t>
        </is>
      </c>
      <c r="D130" s="256" t="inlineStr">
        <is>
          <t>OPM1024</t>
        </is>
      </c>
      <c r="E130" s="256" t="inlineStr">
        <is>
          <t>Orange Punch Mimosa</t>
        </is>
      </c>
      <c r="F130" s="256" t="inlineStr">
        <is>
          <t>06.06.2026</t>
        </is>
      </c>
      <c r="G130" s="256" t="inlineStr">
        <is>
          <t>9.6</t>
        </is>
      </c>
      <c r="H130" s="256" t="inlineStr">
        <is>
          <t>Pseudomonas aeruginosa</t>
        </is>
      </c>
      <c r="I130" s="256" t="inlineStr">
        <is>
          <t>Ph. Eur. 2.6.13 cat. C</t>
        </is>
      </c>
      <c r="J130" s="256" t="inlineStr">
        <is>
          <t>Absence | Отсуство / 1 g</t>
        </is>
      </c>
      <c r="K130" s="260" t="inlineStr">
        <is>
          <t>upon request — not required for release</t>
        </is>
      </c>
      <c r="L130" s="256" t="inlineStr">
        <is>
          <t>—</t>
        </is>
      </c>
      <c r="M130" s="256" t="inlineStr">
        <is>
          <t>—</t>
        </is>
      </c>
      <c r="N130" s="256" t="inlineStr">
        <is>
          <t>—</t>
        </is>
      </c>
      <c r="O130" s="256" t="inlineStr">
        <is>
          <t>—</t>
        </is>
      </c>
      <c r="P130" s="256" t="inlineStr">
        <is>
          <t>upon request — not required for release</t>
        </is>
      </c>
      <c r="Q130" s="256" t="inlineStr"/>
      <c r="R130" s="256" t="inlineStr"/>
    </row>
    <row r="131">
      <c r="A131" s="256" t="inlineStr">
        <is>
          <t>CoQ-PP_26-006</t>
        </is>
      </c>
      <c r="B131" s="256" t="inlineStr">
        <is>
          <t>release</t>
        </is>
      </c>
      <c r="C131" s="256" t="inlineStr">
        <is>
          <t>OPM1024</t>
        </is>
      </c>
      <c r="D131" s="256" t="inlineStr">
        <is>
          <t>OPM1024</t>
        </is>
      </c>
      <c r="E131" s="256" t="inlineStr">
        <is>
          <t>Orange Punch Mimosa</t>
        </is>
      </c>
      <c r="F131" s="256" t="inlineStr">
        <is>
          <t>06.06.2026</t>
        </is>
      </c>
      <c r="G131" s="256" t="inlineStr">
        <is>
          <t>9.7</t>
        </is>
      </c>
      <c r="H131" s="256" t="inlineStr">
        <is>
          <t>Staphylococcus aureus</t>
        </is>
      </c>
      <c r="I131" s="256" t="inlineStr">
        <is>
          <t>Ph. Eur. 2.6.13 cat. C</t>
        </is>
      </c>
      <c r="J131" s="256" t="inlineStr">
        <is>
          <t>Absence | Отсуство / 1 g</t>
        </is>
      </c>
      <c r="K131" s="260" t="inlineStr">
        <is>
          <t>upon request — not required for release</t>
        </is>
      </c>
      <c r="L131" s="256" t="inlineStr">
        <is>
          <t>—</t>
        </is>
      </c>
      <c r="M131" s="256" t="inlineStr">
        <is>
          <t>—</t>
        </is>
      </c>
      <c r="N131" s="256" t="inlineStr">
        <is>
          <t>—</t>
        </is>
      </c>
      <c r="O131" s="256" t="inlineStr">
        <is>
          <t>—</t>
        </is>
      </c>
      <c r="P131" s="256" t="inlineStr">
        <is>
          <t>upon request — not required for release</t>
        </is>
      </c>
      <c r="Q131" s="256" t="inlineStr"/>
      <c r="R131" s="256" t="inlineStr"/>
    </row>
    <row r="132">
      <c r="A132" s="256" t="inlineStr">
        <is>
          <t>CoQ-PP_26-006</t>
        </is>
      </c>
      <c r="B132" s="256" t="inlineStr">
        <is>
          <t>release</t>
        </is>
      </c>
      <c r="C132" s="256" t="inlineStr">
        <is>
          <t>OPM1024</t>
        </is>
      </c>
      <c r="D132" s="256" t="inlineStr">
        <is>
          <t>OPM1024</t>
        </is>
      </c>
      <c r="E132" s="256" t="inlineStr">
        <is>
          <t>Orange Punch Mimosa</t>
        </is>
      </c>
      <c r="F132" s="256" t="inlineStr">
        <is>
          <t>06.06.2026</t>
        </is>
      </c>
      <c r="G132" s="256" t="inlineStr">
        <is>
          <t>10.1</t>
        </is>
      </c>
      <c r="H132" s="256" t="inlineStr">
        <is>
          <t>Aflatoxin B₁</t>
        </is>
      </c>
      <c r="I132" s="256" t="inlineStr">
        <is>
          <t>Ph. Eur. 2.8.18 (HPLC-FLD)</t>
        </is>
      </c>
      <c r="J132" s="256" t="inlineStr">
        <is>
          <t>≤ 2 µg/kg</t>
        </is>
      </c>
      <c r="K132" s="259" t="inlineStr">
        <is>
          <t>not tested</t>
        </is>
      </c>
      <c r="L132" s="256" t="inlineStr">
        <is>
          <t>—</t>
        </is>
      </c>
      <c r="M132" s="256" t="inlineStr">
        <is>
          <t>—</t>
        </is>
      </c>
      <c r="N132" s="256" t="inlineStr">
        <is>
          <t>—</t>
        </is>
      </c>
      <c r="O132" s="256" t="inlineStr">
        <is>
          <t>—</t>
        </is>
      </c>
      <c r="P132" s="256" t="inlineStr">
        <is>
          <t>not tested — no certificate covers it</t>
        </is>
      </c>
      <c r="Q132" s="256" t="inlineStr"/>
      <c r="R132" s="256" t="inlineStr">
        <is>
          <t>ND (197-17-М/26)</t>
        </is>
      </c>
    </row>
    <row r="133">
      <c r="A133" s="256" t="inlineStr">
        <is>
          <t>CoQ-PP_26-006</t>
        </is>
      </c>
      <c r="B133" s="256" t="inlineStr">
        <is>
          <t>release</t>
        </is>
      </c>
      <c r="C133" s="256" t="inlineStr">
        <is>
          <t>OPM1024</t>
        </is>
      </c>
      <c r="D133" s="256" t="inlineStr">
        <is>
          <t>OPM1024</t>
        </is>
      </c>
      <c r="E133" s="256" t="inlineStr">
        <is>
          <t>Orange Punch Mimosa</t>
        </is>
      </c>
      <c r="F133" s="256" t="inlineStr">
        <is>
          <t>06.06.2026</t>
        </is>
      </c>
      <c r="G133" s="256" t="inlineStr">
        <is>
          <t>10.2</t>
        </is>
      </c>
      <c r="H133" s="256" t="inlineStr">
        <is>
          <t>Aflatoxins ∑</t>
        </is>
      </c>
      <c r="I133" s="256" t="inlineStr">
        <is>
          <t>Ph. Eur. 2.8.18 (HPLC-FLD)</t>
        </is>
      </c>
      <c r="J133" s="256" t="inlineStr">
        <is>
          <t>≤ 4 µg/kg</t>
        </is>
      </c>
      <c r="K133" s="256" t="inlineStr">
        <is>
          <t>&lt; 2</t>
        </is>
      </c>
      <c r="L133" s="256" t="inlineStr">
        <is>
          <t>iCoA-PP_26-006</t>
        </is>
      </c>
      <c r="M133" s="256" t="inlineStr">
        <is>
          <t>03.06.2026</t>
        </is>
      </c>
      <c r="N133" s="256" t="inlineStr">
        <is>
          <t>Purely Plant GmbH (in-house)</t>
        </is>
      </c>
      <c r="O133" s="256" t="inlineStr">
        <is>
          <t>—</t>
        </is>
      </c>
      <c r="P133" s="256" t="inlineStr">
        <is>
          <t>in-house CoA only — not an eCoA or an iCoA: a value no certificate of analysis certifies cannot be on a release certificate (owner's rule, 02.09.2026)</t>
        </is>
      </c>
      <c r="Q133" s="256" t="inlineStr"/>
      <c r="R133" s="256" t="inlineStr">
        <is>
          <t>ND (197-17-М/26)</t>
        </is>
      </c>
    </row>
    <row r="134">
      <c r="A134" s="256" t="inlineStr">
        <is>
          <t>CoQ-PP_26-006</t>
        </is>
      </c>
      <c r="B134" s="256" t="inlineStr">
        <is>
          <t>release</t>
        </is>
      </c>
      <c r="C134" s="256" t="inlineStr">
        <is>
          <t>OPM1024</t>
        </is>
      </c>
      <c r="D134" s="256" t="inlineStr">
        <is>
          <t>OPM1024</t>
        </is>
      </c>
      <c r="E134" s="256" t="inlineStr">
        <is>
          <t>Orange Punch Mimosa</t>
        </is>
      </c>
      <c r="F134" s="256" t="inlineStr">
        <is>
          <t>06.06.2026</t>
        </is>
      </c>
      <c r="G134" s="256" t="inlineStr">
        <is>
          <t>10.3</t>
        </is>
      </c>
      <c r="H134" s="256" t="inlineStr">
        <is>
          <t>Ochratoxin A</t>
        </is>
      </c>
      <c r="I134" s="256" t="inlineStr">
        <is>
          <t>Ph. Eur. 2.8.22 (HPLC-FLD)</t>
        </is>
      </c>
      <c r="J134" s="256" t="inlineStr">
        <is>
          <t>≤ 20 µg/kg</t>
        </is>
      </c>
      <c r="K134" s="259" t="inlineStr">
        <is>
          <t>not tested</t>
        </is>
      </c>
      <c r="L134" s="256" t="inlineStr">
        <is>
          <t>—</t>
        </is>
      </c>
      <c r="M134" s="256" t="inlineStr">
        <is>
          <t>—</t>
        </is>
      </c>
      <c r="N134" s="256" t="inlineStr">
        <is>
          <t>—</t>
        </is>
      </c>
      <c r="O134" s="256" t="inlineStr">
        <is>
          <t>—</t>
        </is>
      </c>
      <c r="P134" s="256" t="inlineStr">
        <is>
          <t>not tested — no certificate covers it</t>
        </is>
      </c>
      <c r="Q134" s="256" t="inlineStr"/>
      <c r="R134" s="256" t="inlineStr">
        <is>
          <t>ND (197-17-М/26)</t>
        </is>
      </c>
    </row>
    <row r="135">
      <c r="A135" s="256" t="inlineStr">
        <is>
          <t>CoQ-PP_26-006</t>
        </is>
      </c>
      <c r="B135" s="256" t="inlineStr">
        <is>
          <t>release</t>
        </is>
      </c>
      <c r="C135" s="256" t="inlineStr">
        <is>
          <t>OPM1024</t>
        </is>
      </c>
      <c r="D135" s="256" t="inlineStr">
        <is>
          <t>OPM1024</t>
        </is>
      </c>
      <c r="E135" s="256" t="inlineStr">
        <is>
          <t>Orange Punch Mimosa</t>
        </is>
      </c>
      <c r="F135" s="256" t="inlineStr">
        <is>
          <t>06.06.2026</t>
        </is>
      </c>
      <c r="G135" s="256" t="inlineStr">
        <is>
          <t>11.1</t>
        </is>
      </c>
      <c r="H135" s="256" t="inlineStr">
        <is>
          <t>Lead (Pb)</t>
        </is>
      </c>
      <c r="I135" s="256" t="inlineStr">
        <is>
          <t>Ph. Eur. 2.4.27 (ICP-MS)</t>
        </is>
      </c>
      <c r="J135" s="256" t="inlineStr">
        <is>
          <t>≤ 0.5 mg/kg</t>
        </is>
      </c>
      <c r="K135" s="256" t="inlineStr">
        <is>
          <t>0.031</t>
        </is>
      </c>
      <c r="L135" s="256" t="inlineStr">
        <is>
          <t>iCoA-PP_26-006</t>
        </is>
      </c>
      <c r="M135" s="256" t="inlineStr">
        <is>
          <t>03.06.2026</t>
        </is>
      </c>
      <c r="N135" s="256" t="inlineStr">
        <is>
          <t>Purely Plant GmbH (in-house)</t>
        </is>
      </c>
      <c r="O135" s="256" t="inlineStr">
        <is>
          <t>—</t>
        </is>
      </c>
      <c r="P135" s="256" t="inlineStr">
        <is>
          <t>in-house CoA only — not an eCoA or an iCoA: a value no certificate of analysis certifies cannot be on a release certificate (owner's rule, 02.09.2026)</t>
        </is>
      </c>
      <c r="Q135" s="256" t="inlineStr"/>
      <c r="R135" s="256" t="inlineStr"/>
    </row>
    <row r="136">
      <c r="A136" s="256" t="inlineStr">
        <is>
          <t>CoQ-PP_26-006</t>
        </is>
      </c>
      <c r="B136" s="256" t="inlineStr">
        <is>
          <t>release</t>
        </is>
      </c>
      <c r="C136" s="256" t="inlineStr">
        <is>
          <t>OPM1024</t>
        </is>
      </c>
      <c r="D136" s="256" t="inlineStr">
        <is>
          <t>OPM1024</t>
        </is>
      </c>
      <c r="E136" s="256" t="inlineStr">
        <is>
          <t>Orange Punch Mimosa</t>
        </is>
      </c>
      <c r="F136" s="256" t="inlineStr">
        <is>
          <t>06.06.2026</t>
        </is>
      </c>
      <c r="G136" s="256" t="inlineStr">
        <is>
          <t>11.2</t>
        </is>
      </c>
      <c r="H136" s="256" t="inlineStr">
        <is>
          <t>Cadmium (Cd)</t>
        </is>
      </c>
      <c r="I136" s="256" t="inlineStr">
        <is>
          <t>Ph. Eur. 2.4.27 (ICP-MS)</t>
        </is>
      </c>
      <c r="J136" s="256" t="inlineStr">
        <is>
          <t>≤ 0.3 mg/kg</t>
        </is>
      </c>
      <c r="K136" s="256" t="inlineStr">
        <is>
          <t>0.017</t>
        </is>
      </c>
      <c r="L136" s="256" t="inlineStr">
        <is>
          <t>iCoA-PP_26-006</t>
        </is>
      </c>
      <c r="M136" s="256" t="inlineStr">
        <is>
          <t>03.06.2026</t>
        </is>
      </c>
      <c r="N136" s="256" t="inlineStr">
        <is>
          <t>Purely Plant GmbH (in-house)</t>
        </is>
      </c>
      <c r="O136" s="256" t="inlineStr">
        <is>
          <t>—</t>
        </is>
      </c>
      <c r="P136" s="256" t="inlineStr">
        <is>
          <t>in-house CoA only — not an eCoA or an iCoA: a value no certificate of analysis certifies cannot be on a release certificate (owner's rule, 02.09.2026)</t>
        </is>
      </c>
      <c r="Q136" s="256" t="inlineStr"/>
      <c r="R136" s="256" t="inlineStr"/>
    </row>
    <row r="137">
      <c r="A137" s="256" t="inlineStr">
        <is>
          <t>CoQ-PP_26-006</t>
        </is>
      </c>
      <c r="B137" s="256" t="inlineStr">
        <is>
          <t>release</t>
        </is>
      </c>
      <c r="C137" s="256" t="inlineStr">
        <is>
          <t>OPM1024</t>
        </is>
      </c>
      <c r="D137" s="256" t="inlineStr">
        <is>
          <t>OPM1024</t>
        </is>
      </c>
      <c r="E137" s="256" t="inlineStr">
        <is>
          <t>Orange Punch Mimosa</t>
        </is>
      </c>
      <c r="F137" s="256" t="inlineStr">
        <is>
          <t>06.06.2026</t>
        </is>
      </c>
      <c r="G137" s="256" t="inlineStr">
        <is>
          <t>11.3</t>
        </is>
      </c>
      <c r="H137" s="256" t="inlineStr">
        <is>
          <t>Arsenic (As)</t>
        </is>
      </c>
      <c r="I137" s="256" t="inlineStr">
        <is>
          <t>Ph. Eur. 2.4.27 (ICP-MS)</t>
        </is>
      </c>
      <c r="J137" s="256" t="inlineStr">
        <is>
          <t>≤ 0.2 mg/kg</t>
        </is>
      </c>
      <c r="K137" s="256" t="inlineStr">
        <is>
          <t>0.045</t>
        </is>
      </c>
      <c r="L137" s="256" t="inlineStr">
        <is>
          <t>iCoA-PP_26-006</t>
        </is>
      </c>
      <c r="M137" s="256" t="inlineStr">
        <is>
          <t>03.06.2026</t>
        </is>
      </c>
      <c r="N137" s="256" t="inlineStr">
        <is>
          <t>Purely Plant GmbH (in-house)</t>
        </is>
      </c>
      <c r="O137" s="256" t="inlineStr">
        <is>
          <t>—</t>
        </is>
      </c>
      <c r="P137" s="256" t="inlineStr">
        <is>
          <t>in-house CoA only — not an eCoA or an iCoA: a value no certificate of analysis certifies cannot be on a release certificate (owner's rule, 02.09.2026)</t>
        </is>
      </c>
      <c r="Q137" s="256" t="inlineStr"/>
      <c r="R137" s="256" t="inlineStr"/>
    </row>
    <row r="138">
      <c r="A138" s="256" t="inlineStr">
        <is>
          <t>CoQ-PP_26-006</t>
        </is>
      </c>
      <c r="B138" s="256" t="inlineStr">
        <is>
          <t>release</t>
        </is>
      </c>
      <c r="C138" s="256" t="inlineStr">
        <is>
          <t>OPM1024</t>
        </is>
      </c>
      <c r="D138" s="256" t="inlineStr">
        <is>
          <t>OPM1024</t>
        </is>
      </c>
      <c r="E138" s="256" t="inlineStr">
        <is>
          <t>Orange Punch Mimosa</t>
        </is>
      </c>
      <c r="F138" s="256" t="inlineStr">
        <is>
          <t>06.06.2026</t>
        </is>
      </c>
      <c r="G138" s="256" t="inlineStr">
        <is>
          <t>11.4</t>
        </is>
      </c>
      <c r="H138" s="256" t="inlineStr">
        <is>
          <t>Mercury (Hg)</t>
        </is>
      </c>
      <c r="I138" s="256" t="inlineStr">
        <is>
          <t>Ph. Eur. 2.4.27 (ICP-MS)</t>
        </is>
      </c>
      <c r="J138" s="256" t="inlineStr">
        <is>
          <t>≤ 0.1 mg/kg</t>
        </is>
      </c>
      <c r="K138" s="256" t="inlineStr">
        <is>
          <t>0.005</t>
        </is>
      </c>
      <c r="L138" s="256" t="inlineStr">
        <is>
          <t>iCoA-PP_26-006</t>
        </is>
      </c>
      <c r="M138" s="256" t="inlineStr">
        <is>
          <t>03.06.2026</t>
        </is>
      </c>
      <c r="N138" s="256" t="inlineStr">
        <is>
          <t>Purely Plant GmbH (in-house)</t>
        </is>
      </c>
      <c r="O138" s="256" t="inlineStr">
        <is>
          <t>—</t>
        </is>
      </c>
      <c r="P138" s="256" t="inlineStr">
        <is>
          <t>in-house CoA only — not an eCoA or an iCoA: a value no certificate of analysis certifies cannot be on a release certificate (owner's rule, 02.09.2026)</t>
        </is>
      </c>
      <c r="Q138" s="256" t="inlineStr"/>
      <c r="R138" s="256" t="inlineStr"/>
    </row>
    <row r="139">
      <c r="A139" s="256" t="inlineStr">
        <is>
          <t>CoQ-PP_26-006</t>
        </is>
      </c>
      <c r="B139" s="256" t="inlineStr">
        <is>
          <t>release</t>
        </is>
      </c>
      <c r="C139" s="256" t="inlineStr">
        <is>
          <t>OPM1024</t>
        </is>
      </c>
      <c r="D139" s="256" t="inlineStr">
        <is>
          <t>OPM1024</t>
        </is>
      </c>
      <c r="E139" s="256" t="inlineStr">
        <is>
          <t>Orange Punch Mimosa</t>
        </is>
      </c>
      <c r="F139" s="256" t="inlineStr">
        <is>
          <t>06.06.2026</t>
        </is>
      </c>
      <c r="G139" s="256" t="inlineStr">
        <is>
          <t>12</t>
        </is>
      </c>
      <c r="H139" s="256" t="inlineStr">
        <is>
          <t>Pesticide Residues</t>
        </is>
      </c>
      <c r="I139" s="256" t="inlineStr">
        <is>
          <t>Ph. Eur. 2.8.13 (LC-MS/MS) · CUMCS Equivalency</t>
        </is>
      </c>
      <c r="J139" s="256" t="inlineStr">
        <is>
          <t>≤ LOQ as per Ph. Eur. 2.8.13 · ≤ LOQ as per CUMCS Equivalency</t>
        </is>
      </c>
      <c r="K139" s="256" t="inlineStr">
        <is>
          <t>ND</t>
        </is>
      </c>
      <c r="L139" s="256" t="inlineStr">
        <is>
          <t>iCoA-PP_26-006</t>
        </is>
      </c>
      <c r="M139" s="256" t="inlineStr">
        <is>
          <t>03.06.2026</t>
        </is>
      </c>
      <c r="N139" s="256" t="inlineStr">
        <is>
          <t>Purely Plant GmbH (in-house)</t>
        </is>
      </c>
      <c r="O139" s="256" t="inlineStr">
        <is>
          <t>—</t>
        </is>
      </c>
      <c r="P139" s="256" t="inlineStr">
        <is>
          <t>in-house CoA only — not an eCoA or an iCoA: a value no certificate of analysis certifies cannot be on a release certificate (owner's rule, 02.09.2026)</t>
        </is>
      </c>
      <c r="Q139" s="256" t="inlineStr"/>
      <c r="R139" s="256" t="inlineStr"/>
    </row>
    <row r="140">
      <c r="A140" s="256" t="inlineStr">
        <is>
          <t>CoQ-PP_26-007</t>
        </is>
      </c>
      <c r="B140" s="256" t="inlineStr">
        <is>
          <t>release</t>
        </is>
      </c>
      <c r="C140" s="256" t="inlineStr">
        <is>
          <t>GP0824_02</t>
        </is>
      </c>
      <c r="D140" s="256" t="inlineStr">
        <is>
          <t>P050022</t>
        </is>
      </c>
      <c r="E140" s="256" t="inlineStr">
        <is>
          <t>Grape Pie</t>
        </is>
      </c>
      <c r="F140" s="256" t="inlineStr">
        <is>
          <t>06.06.2026</t>
        </is>
      </c>
      <c r="G140" s="256" t="inlineStr">
        <is>
          <t>1</t>
        </is>
      </c>
      <c r="H140" s="256" t="inlineStr">
        <is>
          <t>Identification A, Appearance · Macroscopic</t>
        </is>
      </c>
      <c r="I140" s="256" t="inlineStr">
        <is>
          <t>Ph. Eur. mon. 3028</t>
        </is>
      </c>
      <c r="J140" s="256" t="inlineStr">
        <is>
          <t>Conforms to the monograph for Cannabis flos (07/2024:3028) in Ph. Eur. 11.0 | Согласно монографија за Cannabis flos (07/2024:3028) во Ph. Eur. 11.0</t>
        </is>
      </c>
      <c r="K140" s="256" t="inlineStr">
        <is>
          <t>Conforms | Одговара</t>
        </is>
      </c>
      <c r="L140" s="256" t="inlineStr">
        <is>
          <t>iCoA-PP_26-008</t>
        </is>
      </c>
      <c r="M140" s="256" t="inlineStr">
        <is>
          <t>03.06.2026</t>
        </is>
      </c>
      <c r="N140" s="256" t="inlineStr">
        <is>
          <t>Purely Plant GmbH (in-house)</t>
        </is>
      </c>
      <c r="O140" s="256" t="inlineStr">
        <is>
          <t>—</t>
        </is>
      </c>
      <c r="P140" s="256" t="inlineStr">
        <is>
          <t>to be performed — see route</t>
        </is>
      </c>
      <c r="Q140" s="256" t="inlineStr">
        <is>
          <t>Purely Plant laboratory — iCoA covering Ident A + B</t>
        </is>
      </c>
      <c r="R140" s="256" t="inlineStr"/>
    </row>
    <row r="141">
      <c r="A141" s="256" t="inlineStr">
        <is>
          <t>CoQ-PP_26-007</t>
        </is>
      </c>
      <c r="B141" s="256" t="inlineStr">
        <is>
          <t>release</t>
        </is>
      </c>
      <c r="C141" s="256" t="inlineStr">
        <is>
          <t>GP0824_02</t>
        </is>
      </c>
      <c r="D141" s="256" t="inlineStr">
        <is>
          <t>P050022</t>
        </is>
      </c>
      <c r="E141" s="256" t="inlineStr">
        <is>
          <t>Grape Pie</t>
        </is>
      </c>
      <c r="F141" s="256" t="inlineStr">
        <is>
          <t>06.06.2026</t>
        </is>
      </c>
      <c r="G141" s="256" t="inlineStr">
        <is>
          <t>2</t>
        </is>
      </c>
      <c r="H141" s="256" t="inlineStr">
        <is>
          <t>Identification B · Microscopic</t>
        </is>
      </c>
      <c r="I141" s="256" t="inlineStr">
        <is>
          <t>Ph. Eur. 2.8.23 (microscopy)</t>
        </is>
      </c>
      <c r="J141" s="256" t="inlineStr">
        <is>
          <t>Conforms to the monograph for Cannabis flos (07/2024:3028) in Ph. Eur. 11.0 | Согласно монографија за Cannabis flos (07/2024:3028) во Ph. Eur. 11.0</t>
        </is>
      </c>
      <c r="K141" s="256" t="inlineStr">
        <is>
          <t>Conforms | Одговара</t>
        </is>
      </c>
      <c r="L141" s="256" t="inlineStr">
        <is>
          <t>iCoA-PP_26-008</t>
        </is>
      </c>
      <c r="M141" s="256" t="inlineStr">
        <is>
          <t>03.06.2026</t>
        </is>
      </c>
      <c r="N141" s="256" t="inlineStr">
        <is>
          <t>Purely Plant GmbH (in-house)</t>
        </is>
      </c>
      <c r="O141" s="256" t="inlineStr">
        <is>
          <t>—</t>
        </is>
      </c>
      <c r="P141" s="256" t="inlineStr">
        <is>
          <t>to be performed — see route</t>
        </is>
      </c>
      <c r="Q141" s="256" t="inlineStr">
        <is>
          <t>Purely Plant laboratory — iCoA covering Ident A + B</t>
        </is>
      </c>
      <c r="R141" s="256" t="inlineStr"/>
    </row>
    <row r="142">
      <c r="A142" s="256" t="inlineStr">
        <is>
          <t>CoQ-PP_26-007</t>
        </is>
      </c>
      <c r="B142" s="256" t="inlineStr">
        <is>
          <t>release</t>
        </is>
      </c>
      <c r="C142" s="256" t="inlineStr">
        <is>
          <t>GP0824_02</t>
        </is>
      </c>
      <c r="D142" s="256" t="inlineStr">
        <is>
          <t>P050022</t>
        </is>
      </c>
      <c r="E142" s="256" t="inlineStr">
        <is>
          <t>Grape Pie</t>
        </is>
      </c>
      <c r="F142" s="256" t="inlineStr">
        <is>
          <t>06.06.2026</t>
        </is>
      </c>
      <c r="G142" s="256" t="inlineStr">
        <is>
          <t>3</t>
        </is>
      </c>
      <c r="H142" s="256" t="inlineStr">
        <is>
          <t>Identification C · HPLC/HPTLC</t>
        </is>
      </c>
      <c r="I142" s="256" t="inlineStr">
        <is>
          <t>HPLC — DAB 2018 monograph Cannabis flos, 2.2.29 (CNP, before its Ph. Eur. 3028 accreditation)</t>
        </is>
      </c>
      <c r="J142" s="256" t="inlineStr">
        <is>
          <t>Conforms to the monograph for Cannabis flos (07/2024:3028) in Ph. Eur. 11.0 | Согласно монографија за Cannabis flos (07/2024:3028) во Ph. Eur. 11.0</t>
        </is>
      </c>
      <c r="K142" s="256" t="inlineStr">
        <is>
          <t>Conforms | Одговара</t>
        </is>
      </c>
      <c r="L142" s="256" t="inlineStr">
        <is>
          <t>ППК25139</t>
        </is>
      </c>
      <c r="M142" s="256" t="inlineStr">
        <is>
          <t>22.05.2025</t>
        </is>
      </c>
      <c r="N142" s="256" t="inlineStr">
        <is>
          <t>UKIM Faculty of Pharmacy — Center for Natural Products</t>
        </is>
      </c>
      <c r="O142" s="256" t="inlineStr">
        <is>
          <t>—</t>
        </is>
      </c>
      <c r="P142" s="256" t="inlineStr">
        <is>
          <t>covered</t>
        </is>
      </c>
      <c r="Q142" s="256" t="inlineStr"/>
      <c r="R142" s="256" t="inlineStr"/>
    </row>
    <row r="143">
      <c r="A143" s="256" t="inlineStr">
        <is>
          <t>CoQ-PP_26-007</t>
        </is>
      </c>
      <c r="B143" s="256" t="inlineStr">
        <is>
          <t>release</t>
        </is>
      </c>
      <c r="C143" s="256" t="inlineStr">
        <is>
          <t>GP0824_02</t>
        </is>
      </c>
      <c r="D143" s="256" t="inlineStr">
        <is>
          <t>P050022</t>
        </is>
      </c>
      <c r="E143" s="256" t="inlineStr">
        <is>
          <t>Grape Pie</t>
        </is>
      </c>
      <c r="F143" s="256" t="inlineStr">
        <is>
          <t>06.06.2026</t>
        </is>
      </c>
      <c r="G143" s="256" t="inlineStr">
        <is>
          <t>4</t>
        </is>
      </c>
      <c r="H143" s="256" t="inlineStr">
        <is>
          <t>Assay — Total Δ⁹-THC</t>
        </is>
      </c>
      <c r="I143" s="256" t="inlineStr">
        <is>
          <t>HPLC — DAB 2018 monograph Cannabis flos, 2.2.29 (CNP, before its Ph. Eur. 3028 accreditation)</t>
        </is>
      </c>
      <c r="J143" s="256" t="inlineStr">
        <is>
          <t>22.00 – 25.99 %  (grade II, nominal 24.00 ± 2.00)</t>
        </is>
      </c>
      <c r="K143" s="256" t="inlineStr">
        <is>
          <t>23.79</t>
        </is>
      </c>
      <c r="L143" s="256" t="inlineStr">
        <is>
          <t>ППК25139</t>
        </is>
      </c>
      <c r="M143" s="256" t="inlineStr">
        <is>
          <t>22.05.2025</t>
        </is>
      </c>
      <c r="N143" s="256" t="inlineStr">
        <is>
          <t>UKIM Faculty of Pharmacy — Center for Natural Products</t>
        </is>
      </c>
      <c r="O143" s="256" t="inlineStr">
        <is>
          <t>—</t>
        </is>
      </c>
      <c r="P143" s="256" t="inlineStr">
        <is>
          <t>covered</t>
        </is>
      </c>
      <c r="Q143" s="256" t="inlineStr"/>
      <c r="R143" s="256" t="inlineStr">
        <is>
          <t>23.19 (ППК25174); 22.61 (197-11-К/26); 21.31 (ППК26032); 13.16 (ППК26033); 23.08 (ППК26059)</t>
        </is>
      </c>
    </row>
    <row r="144">
      <c r="A144" s="256" t="inlineStr">
        <is>
          <t>CoQ-PP_26-007</t>
        </is>
      </c>
      <c r="B144" s="256" t="inlineStr">
        <is>
          <t>release</t>
        </is>
      </c>
      <c r="C144" s="256" t="inlineStr">
        <is>
          <t>GP0824_02</t>
        </is>
      </c>
      <c r="D144" s="256" t="inlineStr">
        <is>
          <t>P050022</t>
        </is>
      </c>
      <c r="E144" s="256" t="inlineStr">
        <is>
          <t>Grape Pie</t>
        </is>
      </c>
      <c r="F144" s="256" t="inlineStr">
        <is>
          <t>06.06.2026</t>
        </is>
      </c>
      <c r="G144" s="256" t="inlineStr">
        <is>
          <t>5</t>
        </is>
      </c>
      <c r="H144" s="256" t="inlineStr">
        <is>
          <t>Assay — Total CBD</t>
        </is>
      </c>
      <c r="I144" s="256" t="inlineStr">
        <is>
          <t>HPLC — DAB 2018 monograph Cannabis flos, 2.2.29 · CBD + CBDA x 0.877 (CNP, before its Ph. Eur. 3028 accreditation)</t>
        </is>
      </c>
      <c r="J144" s="256" t="inlineStr">
        <is>
          <t>≤ 1.0%, w/w</t>
        </is>
      </c>
      <c r="K144" s="256" t="inlineStr">
        <is>
          <t>0.10</t>
        </is>
      </c>
      <c r="L144" s="256" t="inlineStr">
        <is>
          <t>ППК25139</t>
        </is>
      </c>
      <c r="M144" s="256" t="inlineStr">
        <is>
          <t>22.05.2025</t>
        </is>
      </c>
      <c r="N144" s="256" t="inlineStr">
        <is>
          <t>UKIM Faculty of Pharmacy — Center for Natural Products</t>
        </is>
      </c>
      <c r="O144" s="256" t="inlineStr">
        <is>
          <t>—</t>
        </is>
      </c>
      <c r="P144" s="256" t="inlineStr">
        <is>
          <t>covered</t>
        </is>
      </c>
      <c r="Q144" s="256" t="inlineStr"/>
      <c r="R144" s="256" t="inlineStr">
        <is>
          <t>0.07 (ППК25174); &lt;LOQ (197-11-К/26); 0.03 (ППК26032); 0.05 (ППК26033); 0.03 (ППК26059)</t>
        </is>
      </c>
    </row>
    <row r="145">
      <c r="A145" s="256" t="inlineStr">
        <is>
          <t>CoQ-PP_26-007</t>
        </is>
      </c>
      <c r="B145" s="256" t="inlineStr">
        <is>
          <t>release</t>
        </is>
      </c>
      <c r="C145" s="256" t="inlineStr">
        <is>
          <t>GP0824_02</t>
        </is>
      </c>
      <c r="D145" s="256" t="inlineStr">
        <is>
          <t>P050022</t>
        </is>
      </c>
      <c r="E145" s="256" t="inlineStr">
        <is>
          <t>Grape Pie</t>
        </is>
      </c>
      <c r="F145" s="256" t="inlineStr">
        <is>
          <t>06.06.2026</t>
        </is>
      </c>
      <c r="G145" s="256" t="inlineStr">
        <is>
          <t>6</t>
        </is>
      </c>
      <c r="H145" s="256" t="inlineStr">
        <is>
          <t>Total CBN</t>
        </is>
      </c>
      <c r="I145" s="256" t="inlineStr">
        <is>
          <t>HPLC — DAB 2018 monograph Cannabis flos, 2.2.29 · CBN + CBNA x 0.876 (CNP, before its Ph. Eur. 3028 accreditation)</t>
        </is>
      </c>
      <c r="J145" s="256" t="inlineStr">
        <is>
          <t>≤ 1.0%, w/w</t>
        </is>
      </c>
      <c r="K145" s="256" t="inlineStr">
        <is>
          <t>0.02</t>
        </is>
      </c>
      <c r="L145" s="256" t="inlineStr">
        <is>
          <t>ППК25139</t>
        </is>
      </c>
      <c r="M145" s="256" t="inlineStr">
        <is>
          <t>22.05.2025</t>
        </is>
      </c>
      <c r="N145" s="256" t="inlineStr">
        <is>
          <t>UKIM Faculty of Pharmacy — Center for Natural Products</t>
        </is>
      </c>
      <c r="O145" s="256" t="inlineStr">
        <is>
          <t>—</t>
        </is>
      </c>
      <c r="P145" s="256" t="inlineStr">
        <is>
          <t>covered</t>
        </is>
      </c>
      <c r="Q145" s="256" t="inlineStr"/>
      <c r="R145" s="256" t="inlineStr">
        <is>
          <t>0.23 (197-11-К/26); 0.23 (ППК26032); 2.35 (ППК26033); 0.30 (ППК26059)</t>
        </is>
      </c>
    </row>
    <row r="146">
      <c r="A146" s="256" t="inlineStr">
        <is>
          <t>CoQ-PP_26-007</t>
        </is>
      </c>
      <c r="B146" s="256" t="inlineStr">
        <is>
          <t>release</t>
        </is>
      </c>
      <c r="C146" s="256" t="inlineStr">
        <is>
          <t>GP0824_02</t>
        </is>
      </c>
      <c r="D146" s="256" t="inlineStr">
        <is>
          <t>P050022</t>
        </is>
      </c>
      <c r="E146" s="256" t="inlineStr">
        <is>
          <t>Grape Pie</t>
        </is>
      </c>
      <c r="F146" s="256" t="inlineStr">
        <is>
          <t>06.06.2026</t>
        </is>
      </c>
      <c r="G146" s="256" t="inlineStr">
        <is>
          <t>7</t>
        </is>
      </c>
      <c r="H146" s="256" t="inlineStr">
        <is>
          <t>Foreign Matter</t>
        </is>
      </c>
      <c r="I146" s="256" t="inlineStr">
        <is>
          <t>Ph. Eur. 2.8.2 · In-house · интерна</t>
        </is>
      </c>
      <c r="J146" s="256" t="inlineStr">
        <is>
          <t>≤ 2.0% / 25–50 g · &lt; 1 cm leaves | листови, no seeds | без семки</t>
        </is>
      </c>
      <c r="K146" s="256" t="inlineStr">
        <is>
          <t>Conforms | Одговара</t>
        </is>
      </c>
      <c r="L146" s="256" t="inlineStr">
        <is>
          <t>iCoA-PP_26-008</t>
        </is>
      </c>
      <c r="M146" s="256" t="inlineStr">
        <is>
          <t>03.06.2026</t>
        </is>
      </c>
      <c r="N146" s="256" t="inlineStr">
        <is>
          <t>Purely Plant GmbH (in-house)</t>
        </is>
      </c>
      <c r="O146" s="256" t="inlineStr">
        <is>
          <t>—</t>
        </is>
      </c>
      <c r="P146" s="256" t="inlineStr">
        <is>
          <t>to be performed — see route</t>
        </is>
      </c>
      <c r="Q146" s="256" t="inlineStr">
        <is>
          <t>Purely Plant laboratory — iCoA covering Foreign matter</t>
        </is>
      </c>
      <c r="R146" s="256" t="inlineStr"/>
    </row>
    <row r="147">
      <c r="A147" s="256" t="inlineStr">
        <is>
          <t>CoQ-PP_26-007</t>
        </is>
      </c>
      <c r="B147" s="256" t="inlineStr">
        <is>
          <t>release</t>
        </is>
      </c>
      <c r="C147" s="256" t="inlineStr">
        <is>
          <t>GP0824_02</t>
        </is>
      </c>
      <c r="D147" s="256" t="inlineStr">
        <is>
          <t>P050022</t>
        </is>
      </c>
      <c r="E147" s="256" t="inlineStr">
        <is>
          <t>Grape Pie</t>
        </is>
      </c>
      <c r="F147" s="256" t="inlineStr">
        <is>
          <t>06.06.2026</t>
        </is>
      </c>
      <c r="G147" s="256" t="inlineStr">
        <is>
          <t>8</t>
        </is>
      </c>
      <c r="H147" s="256" t="inlineStr">
        <is>
          <t>Loss on Drying</t>
        </is>
      </c>
      <c r="I147" s="256" t="inlineStr">
        <is>
          <t>DAB 2018 monograph Cannabis flos, 2.2.32 — loss on drying (CNP, before its Ph. Eur. 3028 accreditation)</t>
        </is>
      </c>
      <c r="J147" s="256" t="inlineStr">
        <is>
          <t>≤ 12.0%</t>
        </is>
      </c>
      <c r="K147" s="256" t="inlineStr">
        <is>
          <t>7.21</t>
        </is>
      </c>
      <c r="L147" s="256" t="inlineStr">
        <is>
          <t>ППК25139</t>
        </is>
      </c>
      <c r="M147" s="256" t="inlineStr">
        <is>
          <t>22.05.2025</t>
        </is>
      </c>
      <c r="N147" s="256" t="inlineStr">
        <is>
          <t>UKIM Faculty of Pharmacy — Center for Natural Products</t>
        </is>
      </c>
      <c r="O147" s="256" t="inlineStr">
        <is>
          <t>—</t>
        </is>
      </c>
      <c r="P147" s="256" t="inlineStr">
        <is>
          <t>covered</t>
        </is>
      </c>
      <c r="Q147" s="256" t="inlineStr"/>
      <c r="R147" s="256" t="inlineStr">
        <is>
          <t>6.51 (ППК25174); 6.32 (ППК26032); 5.84 (ППК26033); 6.62 (ППК26059)</t>
        </is>
      </c>
    </row>
    <row r="148">
      <c r="A148" s="256" t="inlineStr">
        <is>
          <t>CoQ-PP_26-007</t>
        </is>
      </c>
      <c r="B148" s="256" t="inlineStr">
        <is>
          <t>release</t>
        </is>
      </c>
      <c r="C148" s="256" t="inlineStr">
        <is>
          <t>GP0824_02</t>
        </is>
      </c>
      <c r="D148" s="256" t="inlineStr">
        <is>
          <t>P050022</t>
        </is>
      </c>
      <c r="E148" s="256" t="inlineStr">
        <is>
          <t>Grape Pie</t>
        </is>
      </c>
      <c r="F148" s="256" t="inlineStr">
        <is>
          <t>06.06.2026</t>
        </is>
      </c>
      <c r="G148" s="256" t="inlineStr">
        <is>
          <t>9.1</t>
        </is>
      </c>
      <c r="H148" s="256" t="inlineStr">
        <is>
          <t>TAMC</t>
        </is>
      </c>
      <c r="I148" s="256" t="inlineStr">
        <is>
          <t>Ph. Eur. 2.6.12 cat. C</t>
        </is>
      </c>
      <c r="J148" s="256" t="inlineStr">
        <is>
          <t>≤ 10⁵ CFU/g</t>
        </is>
      </c>
      <c r="K148" s="256" t="inlineStr">
        <is>
          <t>700</t>
        </is>
      </c>
      <c r="L148" s="256" t="inlineStr">
        <is>
          <t>471-0862-25</t>
        </is>
      </c>
      <c r="M148" s="256" t="inlineStr">
        <is>
          <t>22.05.2025</t>
        </is>
      </c>
      <c r="N148" s="256" t="inlineStr">
        <is>
          <t>IPH — Institute of Public Health</t>
        </is>
      </c>
      <c r="O148" s="256" t="inlineStr">
        <is>
          <t>16.05.2025</t>
        </is>
      </c>
      <c r="P148" s="256" t="inlineStr">
        <is>
          <t>covered</t>
        </is>
      </c>
      <c r="Q148" s="256" t="inlineStr"/>
      <c r="R148" s="256" t="inlineStr"/>
    </row>
    <row r="149">
      <c r="A149" s="256" t="inlineStr">
        <is>
          <t>CoQ-PP_26-007</t>
        </is>
      </c>
      <c r="B149" s="256" t="inlineStr">
        <is>
          <t>release</t>
        </is>
      </c>
      <c r="C149" s="256" t="inlineStr">
        <is>
          <t>GP0824_02</t>
        </is>
      </c>
      <c r="D149" s="256" t="inlineStr">
        <is>
          <t>P050022</t>
        </is>
      </c>
      <c r="E149" s="256" t="inlineStr">
        <is>
          <t>Grape Pie</t>
        </is>
      </c>
      <c r="F149" s="256" t="inlineStr">
        <is>
          <t>06.06.2026</t>
        </is>
      </c>
      <c r="G149" s="256" t="inlineStr">
        <is>
          <t>9.2</t>
        </is>
      </c>
      <c r="H149" s="256" t="inlineStr">
        <is>
          <t>TYMC</t>
        </is>
      </c>
      <c r="I149" s="256" t="inlineStr">
        <is>
          <t>Ph. Eur. 2.6.12 cat. C</t>
        </is>
      </c>
      <c r="J149" s="256" t="inlineStr">
        <is>
          <t>≤ 10⁴ CFU/g</t>
        </is>
      </c>
      <c r="K149" s="256" t="inlineStr">
        <is>
          <t>&lt; 10</t>
        </is>
      </c>
      <c r="L149" s="256" t="inlineStr">
        <is>
          <t>471-0862-25</t>
        </is>
      </c>
      <c r="M149" s="256" t="inlineStr">
        <is>
          <t>22.05.2025</t>
        </is>
      </c>
      <c r="N149" s="256" t="inlineStr">
        <is>
          <t>IPH — Institute of Public Health</t>
        </is>
      </c>
      <c r="O149" s="256" t="inlineStr">
        <is>
          <t>16.05.2025</t>
        </is>
      </c>
      <c r="P149" s="256" t="inlineStr">
        <is>
          <t>covered</t>
        </is>
      </c>
      <c r="Q149" s="256" t="inlineStr"/>
      <c r="R149" s="256" t="inlineStr"/>
    </row>
    <row r="150">
      <c r="A150" s="256" t="inlineStr">
        <is>
          <t>CoQ-PP_26-007</t>
        </is>
      </c>
      <c r="B150" s="256" t="inlineStr">
        <is>
          <t>release</t>
        </is>
      </c>
      <c r="C150" s="256" t="inlineStr">
        <is>
          <t>GP0824_02</t>
        </is>
      </c>
      <c r="D150" s="256" t="inlineStr">
        <is>
          <t>P050022</t>
        </is>
      </c>
      <c r="E150" s="256" t="inlineStr">
        <is>
          <t>Grape Pie</t>
        </is>
      </c>
      <c r="F150" s="256" t="inlineStr">
        <is>
          <t>06.06.2026</t>
        </is>
      </c>
      <c r="G150" s="256" t="inlineStr">
        <is>
          <t>9.3</t>
        </is>
      </c>
      <c r="H150" s="256" t="inlineStr">
        <is>
          <t>Bile-tolerant gram-neg.</t>
        </is>
      </c>
      <c r="I150" s="256" t="inlineStr">
        <is>
          <t>Ph. Eur. 2.6.31 cat. C</t>
        </is>
      </c>
      <c r="J150" s="256" t="inlineStr">
        <is>
          <t>≤ 10⁴ CFU/g</t>
        </is>
      </c>
      <c r="K150" s="256" t="inlineStr">
        <is>
          <t>&lt; 10² and &gt; 10</t>
        </is>
      </c>
      <c r="L150" s="256" t="inlineStr">
        <is>
          <t>471-0862-25</t>
        </is>
      </c>
      <c r="M150" s="256" t="inlineStr">
        <is>
          <t>22.05.2025</t>
        </is>
      </c>
      <c r="N150" s="256" t="inlineStr">
        <is>
          <t>IPH — Institute of Public Health</t>
        </is>
      </c>
      <c r="O150" s="256" t="inlineStr">
        <is>
          <t>16.05.2025</t>
        </is>
      </c>
      <c r="P150" s="256" t="inlineStr">
        <is>
          <t>covered</t>
        </is>
      </c>
      <c r="Q150" s="256" t="inlineStr"/>
      <c r="R150" s="256" t="inlineStr"/>
    </row>
    <row r="151">
      <c r="A151" s="256" t="inlineStr">
        <is>
          <t>CoQ-PP_26-007</t>
        </is>
      </c>
      <c r="B151" s="256" t="inlineStr">
        <is>
          <t>release</t>
        </is>
      </c>
      <c r="C151" s="256" t="inlineStr">
        <is>
          <t>GP0824_02</t>
        </is>
      </c>
      <c r="D151" s="256" t="inlineStr">
        <is>
          <t>P050022</t>
        </is>
      </c>
      <c r="E151" s="256" t="inlineStr">
        <is>
          <t>Grape Pie</t>
        </is>
      </c>
      <c r="F151" s="256" t="inlineStr">
        <is>
          <t>06.06.2026</t>
        </is>
      </c>
      <c r="G151" s="256" t="inlineStr">
        <is>
          <t>9.4</t>
        </is>
      </c>
      <c r="H151" s="256" t="inlineStr">
        <is>
          <t>Salmonella</t>
        </is>
      </c>
      <c r="I151" s="256" t="inlineStr">
        <is>
          <t>Ph. Eur. 2.6.31 cat. C</t>
        </is>
      </c>
      <c r="J151" s="256" t="inlineStr">
        <is>
          <t>Absence | Отсуство / 25 g</t>
        </is>
      </c>
      <c r="K151" s="256" t="inlineStr">
        <is>
          <t>Absent | Отсутна</t>
        </is>
      </c>
      <c r="L151" s="256" t="inlineStr">
        <is>
          <t>471-0862-25</t>
        </is>
      </c>
      <c r="M151" s="256" t="inlineStr">
        <is>
          <t>22.05.2025</t>
        </is>
      </c>
      <c r="N151" s="256" t="inlineStr">
        <is>
          <t>IPH — Institute of Public Health</t>
        </is>
      </c>
      <c r="O151" s="256" t="inlineStr">
        <is>
          <t>16.05.2025</t>
        </is>
      </c>
      <c r="P151" s="256" t="inlineStr">
        <is>
          <t>covered</t>
        </is>
      </c>
      <c r="Q151" s="256" t="inlineStr"/>
      <c r="R151" s="256" t="inlineStr"/>
    </row>
    <row r="152">
      <c r="A152" s="256" t="inlineStr">
        <is>
          <t>CoQ-PP_26-007</t>
        </is>
      </c>
      <c r="B152" s="256" t="inlineStr">
        <is>
          <t>release</t>
        </is>
      </c>
      <c r="C152" s="256" t="inlineStr">
        <is>
          <t>GP0824_02</t>
        </is>
      </c>
      <c r="D152" s="256" t="inlineStr">
        <is>
          <t>P050022</t>
        </is>
      </c>
      <c r="E152" s="256" t="inlineStr">
        <is>
          <t>Grape Pie</t>
        </is>
      </c>
      <c r="F152" s="256" t="inlineStr">
        <is>
          <t>06.06.2026</t>
        </is>
      </c>
      <c r="G152" s="256" t="inlineStr">
        <is>
          <t>9.5</t>
        </is>
      </c>
      <c r="H152" s="256" t="inlineStr">
        <is>
          <t>Escherichia coli</t>
        </is>
      </c>
      <c r="I152" s="256" t="inlineStr">
        <is>
          <t>Ph. Eur. 2.6.13 cat. C</t>
        </is>
      </c>
      <c r="J152" s="256" t="inlineStr">
        <is>
          <t>Absence | Отсуство / 1 g</t>
        </is>
      </c>
      <c r="K152" s="256" t="inlineStr">
        <is>
          <t>Absent | Отсутна</t>
        </is>
      </c>
      <c r="L152" s="256" t="inlineStr">
        <is>
          <t>471-0862-25</t>
        </is>
      </c>
      <c r="M152" s="256" t="inlineStr">
        <is>
          <t>22.05.2025</t>
        </is>
      </c>
      <c r="N152" s="256" t="inlineStr">
        <is>
          <t>IPH — Institute of Public Health</t>
        </is>
      </c>
      <c r="O152" s="256" t="inlineStr">
        <is>
          <t>16.05.2025</t>
        </is>
      </c>
      <c r="P152" s="256" t="inlineStr">
        <is>
          <t>covered</t>
        </is>
      </c>
      <c r="Q152" s="256" t="inlineStr"/>
      <c r="R152" s="256" t="inlineStr"/>
    </row>
    <row r="153">
      <c r="A153" s="256" t="inlineStr">
        <is>
          <t>CoQ-PP_26-007</t>
        </is>
      </c>
      <c r="B153" s="256" t="inlineStr">
        <is>
          <t>release</t>
        </is>
      </c>
      <c r="C153" s="256" t="inlineStr">
        <is>
          <t>GP0824_02</t>
        </is>
      </c>
      <c r="D153" s="256" t="inlineStr">
        <is>
          <t>P050022</t>
        </is>
      </c>
      <c r="E153" s="256" t="inlineStr">
        <is>
          <t>Grape Pie</t>
        </is>
      </c>
      <c r="F153" s="256" t="inlineStr">
        <is>
          <t>06.06.2026</t>
        </is>
      </c>
      <c r="G153" s="256" t="inlineStr">
        <is>
          <t>9.6</t>
        </is>
      </c>
      <c r="H153" s="256" t="inlineStr">
        <is>
          <t>Pseudomonas aeruginosa</t>
        </is>
      </c>
      <c r="I153" s="256" t="inlineStr">
        <is>
          <t>Ph. Eur. 2.6.13 cat. C</t>
        </is>
      </c>
      <c r="J153" s="256" t="inlineStr">
        <is>
          <t>Absence | Отсуство / 1 g</t>
        </is>
      </c>
      <c r="K153" s="260" t="inlineStr">
        <is>
          <t>upon request — not required for release</t>
        </is>
      </c>
      <c r="L153" s="256" t="inlineStr">
        <is>
          <t>—</t>
        </is>
      </c>
      <c r="M153" s="256" t="inlineStr">
        <is>
          <t>—</t>
        </is>
      </c>
      <c r="N153" s="256" t="inlineStr">
        <is>
          <t>—</t>
        </is>
      </c>
      <c r="O153" s="256" t="inlineStr">
        <is>
          <t>—</t>
        </is>
      </c>
      <c r="P153" s="256" t="inlineStr">
        <is>
          <t>upon request — not required for release</t>
        </is>
      </c>
      <c r="Q153" s="256" t="inlineStr"/>
      <c r="R153" s="256" t="inlineStr"/>
    </row>
    <row r="154">
      <c r="A154" s="256" t="inlineStr">
        <is>
          <t>CoQ-PP_26-007</t>
        </is>
      </c>
      <c r="B154" s="256" t="inlineStr">
        <is>
          <t>release</t>
        </is>
      </c>
      <c r="C154" s="256" t="inlineStr">
        <is>
          <t>GP0824_02</t>
        </is>
      </c>
      <c r="D154" s="256" t="inlineStr">
        <is>
          <t>P050022</t>
        </is>
      </c>
      <c r="E154" s="256" t="inlineStr">
        <is>
          <t>Grape Pie</t>
        </is>
      </c>
      <c r="F154" s="256" t="inlineStr">
        <is>
          <t>06.06.2026</t>
        </is>
      </c>
      <c r="G154" s="256" t="inlineStr">
        <is>
          <t>9.7</t>
        </is>
      </c>
      <c r="H154" s="256" t="inlineStr">
        <is>
          <t>Staphylococcus aureus</t>
        </is>
      </c>
      <c r="I154" s="256" t="inlineStr">
        <is>
          <t>Ph. Eur. 2.6.13 cat. C</t>
        </is>
      </c>
      <c r="J154" s="256" t="inlineStr">
        <is>
          <t>Absence | Отсуство / 1 g</t>
        </is>
      </c>
      <c r="K154" s="260" t="inlineStr">
        <is>
          <t>upon request — not required for release</t>
        </is>
      </c>
      <c r="L154" s="256" t="inlineStr">
        <is>
          <t>—</t>
        </is>
      </c>
      <c r="M154" s="256" t="inlineStr">
        <is>
          <t>—</t>
        </is>
      </c>
      <c r="N154" s="256" t="inlineStr">
        <is>
          <t>—</t>
        </is>
      </c>
      <c r="O154" s="256" t="inlineStr">
        <is>
          <t>—</t>
        </is>
      </c>
      <c r="P154" s="256" t="inlineStr">
        <is>
          <t>upon request — not required for release</t>
        </is>
      </c>
      <c r="Q154" s="256" t="inlineStr"/>
      <c r="R154" s="256" t="inlineStr"/>
    </row>
    <row r="155">
      <c r="A155" s="256" t="inlineStr">
        <is>
          <t>CoQ-PP_26-007</t>
        </is>
      </c>
      <c r="B155" s="256" t="inlineStr">
        <is>
          <t>release</t>
        </is>
      </c>
      <c r="C155" s="256" t="inlineStr">
        <is>
          <t>GP0824_02</t>
        </is>
      </c>
      <c r="D155" s="256" t="inlineStr">
        <is>
          <t>P050022</t>
        </is>
      </c>
      <c r="E155" s="256" t="inlineStr">
        <is>
          <t>Grape Pie</t>
        </is>
      </c>
      <c r="F155" s="256" t="inlineStr">
        <is>
          <t>06.06.2026</t>
        </is>
      </c>
      <c r="G155" s="256" t="inlineStr">
        <is>
          <t>10.1</t>
        </is>
      </c>
      <c r="H155" s="256" t="inlineStr">
        <is>
          <t>Aflatoxin B₁</t>
        </is>
      </c>
      <c r="I155" s="256" t="inlineStr">
        <is>
          <t>Ph. Eur. 2.8.18 (HPLC-FLD)</t>
        </is>
      </c>
      <c r="J155" s="256" t="inlineStr">
        <is>
          <t>≤ 2 µg/kg</t>
        </is>
      </c>
      <c r="K155" s="259" t="inlineStr">
        <is>
          <t>not tested</t>
        </is>
      </c>
      <c r="L155" s="256" t="inlineStr">
        <is>
          <t>—</t>
        </is>
      </c>
      <c r="M155" s="256" t="inlineStr">
        <is>
          <t>—</t>
        </is>
      </c>
      <c r="N155" s="256" t="inlineStr">
        <is>
          <t>—</t>
        </is>
      </c>
      <c r="O155" s="256" t="inlineStr">
        <is>
          <t>—</t>
        </is>
      </c>
      <c r="P155" s="256" t="inlineStr">
        <is>
          <t>not tested — no certificate covers it</t>
        </is>
      </c>
      <c r="Q155" s="256" t="inlineStr"/>
      <c r="R155" s="256" t="inlineStr">
        <is>
          <t>ND (197-11-М/26)</t>
        </is>
      </c>
    </row>
    <row r="156">
      <c r="A156" s="256" t="inlineStr">
        <is>
          <t>CoQ-PP_26-007</t>
        </is>
      </c>
      <c r="B156" s="256" t="inlineStr">
        <is>
          <t>release</t>
        </is>
      </c>
      <c r="C156" s="256" t="inlineStr">
        <is>
          <t>GP0824_02</t>
        </is>
      </c>
      <c r="D156" s="256" t="inlineStr">
        <is>
          <t>P050022</t>
        </is>
      </c>
      <c r="E156" s="256" t="inlineStr">
        <is>
          <t>Grape Pie</t>
        </is>
      </c>
      <c r="F156" s="256" t="inlineStr">
        <is>
          <t>06.06.2026</t>
        </is>
      </c>
      <c r="G156" s="256" t="inlineStr">
        <is>
          <t>10.2</t>
        </is>
      </c>
      <c r="H156" s="256" t="inlineStr">
        <is>
          <t>Aflatoxins ∑</t>
        </is>
      </c>
      <c r="I156" s="256" t="inlineStr">
        <is>
          <t>Ph. Eur. 2.8.18 (HPLC-FLD)</t>
        </is>
      </c>
      <c r="J156" s="256" t="inlineStr">
        <is>
          <t>≤ 4 µg/kg</t>
        </is>
      </c>
      <c r="K156" s="256" t="inlineStr">
        <is>
          <t>&lt; 2</t>
        </is>
      </c>
      <c r="L156" s="256" t="inlineStr">
        <is>
          <t>2471-2025</t>
        </is>
      </c>
      <c r="M156" s="256" t="inlineStr">
        <is>
          <t>30.05.2025</t>
        </is>
      </c>
      <c r="N156" s="256" t="inlineStr">
        <is>
          <t>IPH — Institute of Public Health</t>
        </is>
      </c>
      <c r="O156" s="256" t="inlineStr">
        <is>
          <t>15.05.2025</t>
        </is>
      </c>
      <c r="P156" s="256" t="inlineStr">
        <is>
          <t>covered</t>
        </is>
      </c>
      <c r="Q156" s="256" t="inlineStr"/>
      <c r="R156" s="256" t="inlineStr">
        <is>
          <t>ND (197-11-М/26)</t>
        </is>
      </c>
    </row>
    <row r="157">
      <c r="A157" s="256" t="inlineStr">
        <is>
          <t>CoQ-PP_26-007</t>
        </is>
      </c>
      <c r="B157" s="256" t="inlineStr">
        <is>
          <t>release</t>
        </is>
      </c>
      <c r="C157" s="256" t="inlineStr">
        <is>
          <t>GP0824_02</t>
        </is>
      </c>
      <c r="D157" s="256" t="inlineStr">
        <is>
          <t>P050022</t>
        </is>
      </c>
      <c r="E157" s="256" t="inlineStr">
        <is>
          <t>Grape Pie</t>
        </is>
      </c>
      <c r="F157" s="256" t="inlineStr">
        <is>
          <t>06.06.2026</t>
        </is>
      </c>
      <c r="G157" s="256" t="inlineStr">
        <is>
          <t>10.3</t>
        </is>
      </c>
      <c r="H157" s="256" t="inlineStr">
        <is>
          <t>Ochratoxin A</t>
        </is>
      </c>
      <c r="I157" s="256" t="inlineStr">
        <is>
          <t>Ph. Eur. 2.8.22 (HPLC-FLD)</t>
        </is>
      </c>
      <c r="J157" s="256" t="inlineStr">
        <is>
          <t>≤ 20 µg/kg</t>
        </is>
      </c>
      <c r="K157" s="259" t="inlineStr">
        <is>
          <t>not tested</t>
        </is>
      </c>
      <c r="L157" s="256" t="inlineStr">
        <is>
          <t>—</t>
        </is>
      </c>
      <c r="M157" s="256" t="inlineStr">
        <is>
          <t>—</t>
        </is>
      </c>
      <c r="N157" s="256" t="inlineStr">
        <is>
          <t>—</t>
        </is>
      </c>
      <c r="O157" s="256" t="inlineStr">
        <is>
          <t>—</t>
        </is>
      </c>
      <c r="P157" s="256" t="inlineStr">
        <is>
          <t>not tested — no certificate covers it</t>
        </is>
      </c>
      <c r="Q157" s="256" t="inlineStr"/>
      <c r="R157" s="256" t="inlineStr">
        <is>
          <t>ND (197-11-М/26)</t>
        </is>
      </c>
    </row>
    <row r="158">
      <c r="A158" s="256" t="inlineStr">
        <is>
          <t>CoQ-PP_26-007</t>
        </is>
      </c>
      <c r="B158" s="256" t="inlineStr">
        <is>
          <t>release</t>
        </is>
      </c>
      <c r="C158" s="256" t="inlineStr">
        <is>
          <t>GP0824_02</t>
        </is>
      </c>
      <c r="D158" s="256" t="inlineStr">
        <is>
          <t>P050022</t>
        </is>
      </c>
      <c r="E158" s="256" t="inlineStr">
        <is>
          <t>Grape Pie</t>
        </is>
      </c>
      <c r="F158" s="256" t="inlineStr">
        <is>
          <t>06.06.2026</t>
        </is>
      </c>
      <c r="G158" s="256" t="inlineStr">
        <is>
          <t>11.1</t>
        </is>
      </c>
      <c r="H158" s="256" t="inlineStr">
        <is>
          <t>Lead (Pb)</t>
        </is>
      </c>
      <c r="I158" s="256" t="inlineStr">
        <is>
          <t>Ph. Eur. 2.4.27 (ICP-MS)</t>
        </is>
      </c>
      <c r="J158" s="256" t="inlineStr">
        <is>
          <t>≤ 0.5 mg/kg</t>
        </is>
      </c>
      <c r="K158" s="256" t="inlineStr">
        <is>
          <t>ND</t>
        </is>
      </c>
      <c r="L158" s="256" t="inlineStr">
        <is>
          <t>2471-2025</t>
        </is>
      </c>
      <c r="M158" s="256" t="inlineStr">
        <is>
          <t>30.05.2025</t>
        </is>
      </c>
      <c r="N158" s="256" t="inlineStr">
        <is>
          <t>IPH — Institute of Public Health</t>
        </is>
      </c>
      <c r="O158" s="256" t="inlineStr">
        <is>
          <t>15.05.2025</t>
        </is>
      </c>
      <c r="P158" s="256" t="inlineStr">
        <is>
          <t>covered</t>
        </is>
      </c>
      <c r="Q158" s="256" t="inlineStr"/>
      <c r="R158" s="256" t="inlineStr"/>
    </row>
    <row r="159">
      <c r="A159" s="256" t="inlineStr">
        <is>
          <t>CoQ-PP_26-007</t>
        </is>
      </c>
      <c r="B159" s="256" t="inlineStr">
        <is>
          <t>release</t>
        </is>
      </c>
      <c r="C159" s="256" t="inlineStr">
        <is>
          <t>GP0824_02</t>
        </is>
      </c>
      <c r="D159" s="256" t="inlineStr">
        <is>
          <t>P050022</t>
        </is>
      </c>
      <c r="E159" s="256" t="inlineStr">
        <is>
          <t>Grape Pie</t>
        </is>
      </c>
      <c r="F159" s="256" t="inlineStr">
        <is>
          <t>06.06.2026</t>
        </is>
      </c>
      <c r="G159" s="256" t="inlineStr">
        <is>
          <t>11.2</t>
        </is>
      </c>
      <c r="H159" s="256" t="inlineStr">
        <is>
          <t>Cadmium (Cd)</t>
        </is>
      </c>
      <c r="I159" s="256" t="inlineStr">
        <is>
          <t>Ph. Eur. 2.4.27 (ICP-MS)</t>
        </is>
      </c>
      <c r="J159" s="256" t="inlineStr">
        <is>
          <t>≤ 0.3 mg/kg</t>
        </is>
      </c>
      <c r="K159" s="256" t="inlineStr">
        <is>
          <t>ND</t>
        </is>
      </c>
      <c r="L159" s="256" t="inlineStr">
        <is>
          <t>2471-2025</t>
        </is>
      </c>
      <c r="M159" s="256" t="inlineStr">
        <is>
          <t>30.05.2025</t>
        </is>
      </c>
      <c r="N159" s="256" t="inlineStr">
        <is>
          <t>IPH — Institute of Public Health</t>
        </is>
      </c>
      <c r="O159" s="256" t="inlineStr">
        <is>
          <t>15.05.2025</t>
        </is>
      </c>
      <c r="P159" s="256" t="inlineStr">
        <is>
          <t>covered</t>
        </is>
      </c>
      <c r="Q159" s="256" t="inlineStr"/>
      <c r="R159" s="256" t="inlineStr"/>
    </row>
    <row r="160">
      <c r="A160" s="256" t="inlineStr">
        <is>
          <t>CoQ-PP_26-007</t>
        </is>
      </c>
      <c r="B160" s="256" t="inlineStr">
        <is>
          <t>release</t>
        </is>
      </c>
      <c r="C160" s="256" t="inlineStr">
        <is>
          <t>GP0824_02</t>
        </is>
      </c>
      <c r="D160" s="256" t="inlineStr">
        <is>
          <t>P050022</t>
        </is>
      </c>
      <c r="E160" s="256" t="inlineStr">
        <is>
          <t>Grape Pie</t>
        </is>
      </c>
      <c r="F160" s="256" t="inlineStr">
        <is>
          <t>06.06.2026</t>
        </is>
      </c>
      <c r="G160" s="256" t="inlineStr">
        <is>
          <t>11.3</t>
        </is>
      </c>
      <c r="H160" s="256" t="inlineStr">
        <is>
          <t>Arsenic (As)</t>
        </is>
      </c>
      <c r="I160" s="256" t="inlineStr">
        <is>
          <t>Ph. Eur. 2.4.27 (ICP-MS)</t>
        </is>
      </c>
      <c r="J160" s="256" t="inlineStr">
        <is>
          <t>≤ 0.2 mg/kg</t>
        </is>
      </c>
      <c r="K160" s="256" t="inlineStr">
        <is>
          <t>ND</t>
        </is>
      </c>
      <c r="L160" s="256" t="inlineStr">
        <is>
          <t>2471-2025</t>
        </is>
      </c>
      <c r="M160" s="256" t="inlineStr">
        <is>
          <t>30.05.2025</t>
        </is>
      </c>
      <c r="N160" s="256" t="inlineStr">
        <is>
          <t>IPH — Institute of Public Health</t>
        </is>
      </c>
      <c r="O160" s="256" t="inlineStr">
        <is>
          <t>15.05.2025</t>
        </is>
      </c>
      <c r="P160" s="256" t="inlineStr">
        <is>
          <t>covered</t>
        </is>
      </c>
      <c r="Q160" s="256" t="inlineStr"/>
      <c r="R160" s="256" t="inlineStr"/>
    </row>
    <row r="161">
      <c r="A161" s="256" t="inlineStr">
        <is>
          <t>CoQ-PP_26-007</t>
        </is>
      </c>
      <c r="B161" s="256" t="inlineStr">
        <is>
          <t>release</t>
        </is>
      </c>
      <c r="C161" s="256" t="inlineStr">
        <is>
          <t>GP0824_02</t>
        </is>
      </c>
      <c r="D161" s="256" t="inlineStr">
        <is>
          <t>P050022</t>
        </is>
      </c>
      <c r="E161" s="256" t="inlineStr">
        <is>
          <t>Grape Pie</t>
        </is>
      </c>
      <c r="F161" s="256" t="inlineStr">
        <is>
          <t>06.06.2026</t>
        </is>
      </c>
      <c r="G161" s="256" t="inlineStr">
        <is>
          <t>11.4</t>
        </is>
      </c>
      <c r="H161" s="256" t="inlineStr">
        <is>
          <t>Mercury (Hg)</t>
        </is>
      </c>
      <c r="I161" s="256" t="inlineStr">
        <is>
          <t>Ph. Eur. 2.4.27 (ICP-MS)</t>
        </is>
      </c>
      <c r="J161" s="256" t="inlineStr">
        <is>
          <t>≤ 0.1 mg/kg</t>
        </is>
      </c>
      <c r="K161" s="256" t="inlineStr">
        <is>
          <t>ND</t>
        </is>
      </c>
      <c r="L161" s="256" t="inlineStr">
        <is>
          <t>2471-2025</t>
        </is>
      </c>
      <c r="M161" s="256" t="inlineStr">
        <is>
          <t>30.05.2025</t>
        </is>
      </c>
      <c r="N161" s="256" t="inlineStr">
        <is>
          <t>IPH — Institute of Public Health</t>
        </is>
      </c>
      <c r="O161" s="256" t="inlineStr">
        <is>
          <t>15.05.2025</t>
        </is>
      </c>
      <c r="P161" s="256" t="inlineStr">
        <is>
          <t>covered</t>
        </is>
      </c>
      <c r="Q161" s="256" t="inlineStr"/>
      <c r="R161" s="256" t="inlineStr"/>
    </row>
    <row r="162">
      <c r="A162" s="256" t="inlineStr">
        <is>
          <t>CoQ-PP_26-007</t>
        </is>
      </c>
      <c r="B162" s="256" t="inlineStr">
        <is>
          <t>release</t>
        </is>
      </c>
      <c r="C162" s="256" t="inlineStr">
        <is>
          <t>GP0824_02</t>
        </is>
      </c>
      <c r="D162" s="256" t="inlineStr">
        <is>
          <t>P050022</t>
        </is>
      </c>
      <c r="E162" s="256" t="inlineStr">
        <is>
          <t>Grape Pie</t>
        </is>
      </c>
      <c r="F162" s="256" t="inlineStr">
        <is>
          <t>06.06.2026</t>
        </is>
      </c>
      <c r="G162" s="256" t="inlineStr">
        <is>
          <t>12</t>
        </is>
      </c>
      <c r="H162" s="256" t="inlineStr">
        <is>
          <t>Pesticide Residues</t>
        </is>
      </c>
      <c r="I162" s="256" t="inlineStr">
        <is>
          <t>Ph. Eur. 2.8.13 (LC-MS/MS) · CUMCS Equivalency</t>
        </is>
      </c>
      <c r="J162" s="256" t="inlineStr">
        <is>
          <t>≤ LOQ as per Ph. Eur. 2.8.13 · ≤ LOQ as per CUMCS Equivalency</t>
        </is>
      </c>
      <c r="K162" s="256" t="inlineStr">
        <is>
          <t>ND</t>
        </is>
      </c>
      <c r="L162" s="256" t="inlineStr">
        <is>
          <t>2471-2025</t>
        </is>
      </c>
      <c r="M162" s="256" t="inlineStr">
        <is>
          <t>30.05.2025</t>
        </is>
      </c>
      <c r="N162" s="256" t="inlineStr">
        <is>
          <t>IPH — Institute of Public Health</t>
        </is>
      </c>
      <c r="O162" s="256" t="inlineStr">
        <is>
          <t>15.05.2025</t>
        </is>
      </c>
      <c r="P162" s="256" t="inlineStr">
        <is>
          <t>covered</t>
        </is>
      </c>
      <c r="Q162" s="256" t="inlineStr"/>
      <c r="R162" s="256" t="inlineStr"/>
    </row>
    <row r="163">
      <c r="A163" s="256" t="inlineStr">
        <is>
          <t>CoQ-PP_26-008</t>
        </is>
      </c>
      <c r="B163" s="256" t="inlineStr">
        <is>
          <t>release</t>
        </is>
      </c>
      <c r="C163" s="256" t="inlineStr">
        <is>
          <t>GG1024_02</t>
        </is>
      </c>
      <c r="D163" s="256" t="inlineStr">
        <is>
          <t>P050012</t>
        </is>
      </c>
      <c r="E163" s="256" t="inlineStr">
        <is>
          <t>Gorilla Glue</t>
        </is>
      </c>
      <c r="F163" s="256" t="inlineStr">
        <is>
          <t>06.06.2026</t>
        </is>
      </c>
      <c r="G163" s="256" t="inlineStr">
        <is>
          <t>1</t>
        </is>
      </c>
      <c r="H163" s="256" t="inlineStr">
        <is>
          <t>Identification A, Appearance · Macroscopic</t>
        </is>
      </c>
      <c r="I163" s="256" t="inlineStr">
        <is>
          <t>Ph. Eur. mon. 3028</t>
        </is>
      </c>
      <c r="J163" s="256" t="inlineStr">
        <is>
          <t>Conforms to the monograph for Cannabis flos (07/2024:3028) in Ph. Eur. 11.0 | Согласно монографија за Cannabis flos (07/2024:3028) во Ph. Eur. 11.0</t>
        </is>
      </c>
      <c r="K163" s="256" t="inlineStr">
        <is>
          <t>Conforms | Одговара</t>
        </is>
      </c>
      <c r="L163" s="256" t="inlineStr">
        <is>
          <t>iCoA-PP_26-009</t>
        </is>
      </c>
      <c r="M163" s="256" t="inlineStr">
        <is>
          <t>03.06.2026</t>
        </is>
      </c>
      <c r="N163" s="256" t="inlineStr">
        <is>
          <t>Purely Plant GmbH (in-house)</t>
        </is>
      </c>
      <c r="O163" s="256" t="inlineStr">
        <is>
          <t>—</t>
        </is>
      </c>
      <c r="P163" s="256" t="inlineStr">
        <is>
          <t>to be performed — see route</t>
        </is>
      </c>
      <c r="Q163" s="256" t="inlineStr">
        <is>
          <t>Purely Plant laboratory — iCoA covering Ident A + B</t>
        </is>
      </c>
      <c r="R163" s="256" t="inlineStr"/>
    </row>
    <row r="164">
      <c r="A164" s="256" t="inlineStr">
        <is>
          <t>CoQ-PP_26-008</t>
        </is>
      </c>
      <c r="B164" s="256" t="inlineStr">
        <is>
          <t>release</t>
        </is>
      </c>
      <c r="C164" s="256" t="inlineStr">
        <is>
          <t>GG1024_02</t>
        </is>
      </c>
      <c r="D164" s="256" t="inlineStr">
        <is>
          <t>P050012</t>
        </is>
      </c>
      <c r="E164" s="256" t="inlineStr">
        <is>
          <t>Gorilla Glue</t>
        </is>
      </c>
      <c r="F164" s="256" t="inlineStr">
        <is>
          <t>06.06.2026</t>
        </is>
      </c>
      <c r="G164" s="256" t="inlineStr">
        <is>
          <t>2</t>
        </is>
      </c>
      <c r="H164" s="256" t="inlineStr">
        <is>
          <t>Identification B · Microscopic</t>
        </is>
      </c>
      <c r="I164" s="256" t="inlineStr">
        <is>
          <t>Ph. Eur. 2.8.23 (microscopy)</t>
        </is>
      </c>
      <c r="J164" s="256" t="inlineStr">
        <is>
          <t>Conforms to the monograph for Cannabis flos (07/2024:3028) in Ph. Eur. 11.0 | Согласно монографија за Cannabis flos (07/2024:3028) во Ph. Eur. 11.0</t>
        </is>
      </c>
      <c r="K164" s="256" t="inlineStr">
        <is>
          <t>Conforms | Одговара</t>
        </is>
      </c>
      <c r="L164" s="256" t="inlineStr">
        <is>
          <t>iCoA-PP_26-009</t>
        </is>
      </c>
      <c r="M164" s="256" t="inlineStr">
        <is>
          <t>03.06.2026</t>
        </is>
      </c>
      <c r="N164" s="256" t="inlineStr">
        <is>
          <t>Purely Plant GmbH (in-house)</t>
        </is>
      </c>
      <c r="O164" s="256" t="inlineStr">
        <is>
          <t>—</t>
        </is>
      </c>
      <c r="P164" s="256" t="inlineStr">
        <is>
          <t>to be performed — see route</t>
        </is>
      </c>
      <c r="Q164" s="256" t="inlineStr">
        <is>
          <t>Purely Plant laboratory — iCoA covering Ident A + B</t>
        </is>
      </c>
      <c r="R164" s="256" t="inlineStr"/>
    </row>
    <row r="165">
      <c r="A165" s="256" t="inlineStr">
        <is>
          <t>CoQ-PP_26-008</t>
        </is>
      </c>
      <c r="B165" s="256" t="inlineStr">
        <is>
          <t>release</t>
        </is>
      </c>
      <c r="C165" s="256" t="inlineStr">
        <is>
          <t>GG1024_02</t>
        </is>
      </c>
      <c r="D165" s="256" t="inlineStr">
        <is>
          <t>P050012</t>
        </is>
      </c>
      <c r="E165" s="256" t="inlineStr">
        <is>
          <t>Gorilla Glue</t>
        </is>
      </c>
      <c r="F165" s="256" t="inlineStr">
        <is>
          <t>06.06.2026</t>
        </is>
      </c>
      <c r="G165" s="256" t="inlineStr">
        <is>
          <t>3</t>
        </is>
      </c>
      <c r="H165" s="256" t="inlineStr">
        <is>
          <t>Identification C · HPLC/HPTLC</t>
        </is>
      </c>
      <c r="I165" s="256" t="inlineStr">
        <is>
          <t>HPLC — DAB 2018 monograph Cannabis flos, 2.2.29 (CNP, before its Ph. Eur. 3028 accreditation)</t>
        </is>
      </c>
      <c r="J165" s="256" t="inlineStr">
        <is>
          <t>Conforms to the monograph for Cannabis flos (07/2024:3028) in Ph. Eur. 11.0 | Согласно монографија за Cannabis flos (07/2024:3028) во Ph. Eur. 11.0</t>
        </is>
      </c>
      <c r="K165" s="256" t="inlineStr">
        <is>
          <t>Conforms | Одговара</t>
        </is>
      </c>
      <c r="L165" s="256" t="inlineStr">
        <is>
          <t>ППК25140</t>
        </is>
      </c>
      <c r="M165" s="256" t="inlineStr">
        <is>
          <t>22.05.2025</t>
        </is>
      </c>
      <c r="N165" s="256" t="inlineStr">
        <is>
          <t>UKIM Faculty of Pharmacy — Center for Natural Products</t>
        </is>
      </c>
      <c r="O165" s="256" t="inlineStr">
        <is>
          <t>15.05.2025</t>
        </is>
      </c>
      <c r="P165" s="256" t="inlineStr">
        <is>
          <t>covered</t>
        </is>
      </c>
      <c r="Q165" s="256" t="inlineStr"/>
      <c r="R165" s="256" t="inlineStr"/>
    </row>
    <row r="166">
      <c r="A166" s="256" t="inlineStr">
        <is>
          <t>CoQ-PP_26-008</t>
        </is>
      </c>
      <c r="B166" s="256" t="inlineStr">
        <is>
          <t>release</t>
        </is>
      </c>
      <c r="C166" s="256" t="inlineStr">
        <is>
          <t>GG1024_02</t>
        </is>
      </c>
      <c r="D166" s="256" t="inlineStr">
        <is>
          <t>P050012</t>
        </is>
      </c>
      <c r="E166" s="256" t="inlineStr">
        <is>
          <t>Gorilla Glue</t>
        </is>
      </c>
      <c r="F166" s="256" t="inlineStr">
        <is>
          <t>06.06.2026</t>
        </is>
      </c>
      <c r="G166" s="256" t="inlineStr">
        <is>
          <t>4</t>
        </is>
      </c>
      <c r="H166" s="256" t="inlineStr">
        <is>
          <t>Assay — Total Δ⁹-THC</t>
        </is>
      </c>
      <c r="I166" s="256" t="inlineStr">
        <is>
          <t>HPLC — DAB 2018 monograph Cannabis flos, 2.2.29 (CNP, before its Ph. Eur. 3028 accreditation)</t>
        </is>
      </c>
      <c r="J166" s="256" t="inlineStr">
        <is>
          <t>13.77 – 16.22 %  (grade II, nominal 15.00 ± 1.23)</t>
        </is>
      </c>
      <c r="K166" s="256" t="inlineStr">
        <is>
          <t>15.95</t>
        </is>
      </c>
      <c r="L166" s="256" t="inlineStr">
        <is>
          <t>ППК25140</t>
        </is>
      </c>
      <c r="M166" s="256" t="inlineStr">
        <is>
          <t>22.05.2025</t>
        </is>
      </c>
      <c r="N166" s="256" t="inlineStr">
        <is>
          <t>UKIM Faculty of Pharmacy — Center for Natural Products</t>
        </is>
      </c>
      <c r="O166" s="256" t="inlineStr">
        <is>
          <t>15.05.2025</t>
        </is>
      </c>
      <c r="P166" s="256" t="inlineStr">
        <is>
          <t>covered</t>
        </is>
      </c>
      <c r="Q166" s="256" t="inlineStr"/>
      <c r="R166" s="256" t="inlineStr">
        <is>
          <t>17.76 (227-19-К/26)</t>
        </is>
      </c>
    </row>
    <row r="167">
      <c r="A167" s="256" t="inlineStr">
        <is>
          <t>CoQ-PP_26-008</t>
        </is>
      </c>
      <c r="B167" s="256" t="inlineStr">
        <is>
          <t>release</t>
        </is>
      </c>
      <c r="C167" s="256" t="inlineStr">
        <is>
          <t>GG1024_02</t>
        </is>
      </c>
      <c r="D167" s="256" t="inlineStr">
        <is>
          <t>P050012</t>
        </is>
      </c>
      <c r="E167" s="256" t="inlineStr">
        <is>
          <t>Gorilla Glue</t>
        </is>
      </c>
      <c r="F167" s="256" t="inlineStr">
        <is>
          <t>06.06.2026</t>
        </is>
      </c>
      <c r="G167" s="256" t="inlineStr">
        <is>
          <t>5</t>
        </is>
      </c>
      <c r="H167" s="256" t="inlineStr">
        <is>
          <t>Assay — Total CBD</t>
        </is>
      </c>
      <c r="I167" s="256" t="inlineStr">
        <is>
          <t>HPLC — DAB 2018 monograph Cannabis flos, 2.2.29 · CBD + CBDA x 0.877 (CNP, before its Ph. Eur. 3028 accreditation)</t>
        </is>
      </c>
      <c r="J167" s="256" t="inlineStr">
        <is>
          <t>≤ 1.0%, w/w</t>
        </is>
      </c>
      <c r="K167" s="256" t="inlineStr">
        <is>
          <t>0.05</t>
        </is>
      </c>
      <c r="L167" s="256" t="inlineStr">
        <is>
          <t>ППК25140</t>
        </is>
      </c>
      <c r="M167" s="256" t="inlineStr">
        <is>
          <t>22.05.2025</t>
        </is>
      </c>
      <c r="N167" s="256" t="inlineStr">
        <is>
          <t>UKIM Faculty of Pharmacy — Center for Natural Products</t>
        </is>
      </c>
      <c r="O167" s="256" t="inlineStr">
        <is>
          <t>15.05.2025</t>
        </is>
      </c>
      <c r="P167" s="256" t="inlineStr">
        <is>
          <t>covered</t>
        </is>
      </c>
      <c r="Q167" s="256" t="inlineStr"/>
      <c r="R167" s="256" t="inlineStr">
        <is>
          <t>&lt;LOQ (227-19-К/26)</t>
        </is>
      </c>
    </row>
    <row r="168">
      <c r="A168" s="256" t="inlineStr">
        <is>
          <t>CoQ-PP_26-008</t>
        </is>
      </c>
      <c r="B168" s="256" t="inlineStr">
        <is>
          <t>release</t>
        </is>
      </c>
      <c r="C168" s="256" t="inlineStr">
        <is>
          <t>GG1024_02</t>
        </is>
      </c>
      <c r="D168" s="256" t="inlineStr">
        <is>
          <t>P050012</t>
        </is>
      </c>
      <c r="E168" s="256" t="inlineStr">
        <is>
          <t>Gorilla Glue</t>
        </is>
      </c>
      <c r="F168" s="256" t="inlineStr">
        <is>
          <t>06.06.2026</t>
        </is>
      </c>
      <c r="G168" s="256" t="inlineStr">
        <is>
          <t>6</t>
        </is>
      </c>
      <c r="H168" s="256" t="inlineStr">
        <is>
          <t>Total CBN</t>
        </is>
      </c>
      <c r="I168" s="256" t="inlineStr">
        <is>
          <t>Ph. Eur. 2.2.29 (HPLC) · CBN + CBNA x 0.876</t>
        </is>
      </c>
      <c r="J168" s="256" t="inlineStr">
        <is>
          <t>≤ 1.0%, w/w</t>
        </is>
      </c>
      <c r="K168" s="259" t="inlineStr">
        <is>
          <t>not tested</t>
        </is>
      </c>
      <c r="L168" s="256" t="inlineStr">
        <is>
          <t>—</t>
        </is>
      </c>
      <c r="M168" s="256" t="inlineStr">
        <is>
          <t>—</t>
        </is>
      </c>
      <c r="N168" s="256" t="inlineStr">
        <is>
          <t>—</t>
        </is>
      </c>
      <c r="O168" s="256" t="inlineStr">
        <is>
          <t>—</t>
        </is>
      </c>
      <c r="P168" s="256" t="inlineStr">
        <is>
          <t>not tested — no certificate covers it</t>
        </is>
      </c>
      <c r="Q168" s="256" t="inlineStr"/>
      <c r="R168" s="256" t="inlineStr">
        <is>
          <t>0.26 (227-19-К/26)</t>
        </is>
      </c>
    </row>
    <row r="169">
      <c r="A169" s="256" t="inlineStr">
        <is>
          <t>CoQ-PP_26-008</t>
        </is>
      </c>
      <c r="B169" s="256" t="inlineStr">
        <is>
          <t>release</t>
        </is>
      </c>
      <c r="C169" s="256" t="inlineStr">
        <is>
          <t>GG1024_02</t>
        </is>
      </c>
      <c r="D169" s="256" t="inlineStr">
        <is>
          <t>P050012</t>
        </is>
      </c>
      <c r="E169" s="256" t="inlineStr">
        <is>
          <t>Gorilla Glue</t>
        </is>
      </c>
      <c r="F169" s="256" t="inlineStr">
        <is>
          <t>06.06.2026</t>
        </is>
      </c>
      <c r="G169" s="256" t="inlineStr">
        <is>
          <t>7</t>
        </is>
      </c>
      <c r="H169" s="256" t="inlineStr">
        <is>
          <t>Foreign Matter</t>
        </is>
      </c>
      <c r="I169" s="256" t="inlineStr">
        <is>
          <t>Ph. Eur. 2.8.2 · In-house · интерна</t>
        </is>
      </c>
      <c r="J169" s="256" t="inlineStr">
        <is>
          <t>≤ 2.0% / 25–50 g · &lt; 1 cm leaves | листови, no seeds | без семки</t>
        </is>
      </c>
      <c r="K169" s="256" t="inlineStr">
        <is>
          <t>Conforms | Одговара</t>
        </is>
      </c>
      <c r="L169" s="256" t="inlineStr">
        <is>
          <t>iCoA-PP_26-009</t>
        </is>
      </c>
      <c r="M169" s="256" t="inlineStr">
        <is>
          <t>03.06.2026</t>
        </is>
      </c>
      <c r="N169" s="256" t="inlineStr">
        <is>
          <t>Purely Plant GmbH (in-house)</t>
        </is>
      </c>
      <c r="O169" s="256" t="inlineStr">
        <is>
          <t>—</t>
        </is>
      </c>
      <c r="P169" s="256" t="inlineStr">
        <is>
          <t>to be performed — see route</t>
        </is>
      </c>
      <c r="Q169" s="256" t="inlineStr">
        <is>
          <t>Purely Plant laboratory — iCoA covering Foreign matter</t>
        </is>
      </c>
      <c r="R169" s="256" t="inlineStr"/>
    </row>
    <row r="170">
      <c r="A170" s="256" t="inlineStr">
        <is>
          <t>CoQ-PP_26-008</t>
        </is>
      </c>
      <c r="B170" s="256" t="inlineStr">
        <is>
          <t>release</t>
        </is>
      </c>
      <c r="C170" s="256" t="inlineStr">
        <is>
          <t>GG1024_02</t>
        </is>
      </c>
      <c r="D170" s="256" t="inlineStr">
        <is>
          <t>P050012</t>
        </is>
      </c>
      <c r="E170" s="256" t="inlineStr">
        <is>
          <t>Gorilla Glue</t>
        </is>
      </c>
      <c r="F170" s="256" t="inlineStr">
        <is>
          <t>06.06.2026</t>
        </is>
      </c>
      <c r="G170" s="256" t="inlineStr">
        <is>
          <t>8</t>
        </is>
      </c>
      <c r="H170" s="256" t="inlineStr">
        <is>
          <t>Loss on Drying</t>
        </is>
      </c>
      <c r="I170" s="256" t="inlineStr">
        <is>
          <t>DAB 2018 monograph Cannabis flos, 2.2.32 — loss on drying (CNP, before its Ph. Eur. 3028 accreditation)</t>
        </is>
      </c>
      <c r="J170" s="256" t="inlineStr">
        <is>
          <t>≤ 12.0%</t>
        </is>
      </c>
      <c r="K170" s="256" t="inlineStr">
        <is>
          <t>6.88</t>
        </is>
      </c>
      <c r="L170" s="256" t="inlineStr">
        <is>
          <t>ППК25140</t>
        </is>
      </c>
      <c r="M170" s="256" t="inlineStr">
        <is>
          <t>22.05.2025</t>
        </is>
      </c>
      <c r="N170" s="256" t="inlineStr">
        <is>
          <t>UKIM Faculty of Pharmacy — Center for Natural Products</t>
        </is>
      </c>
      <c r="O170" s="256" t="inlineStr">
        <is>
          <t>15.05.2025</t>
        </is>
      </c>
      <c r="P170" s="256" t="inlineStr">
        <is>
          <t>covered</t>
        </is>
      </c>
      <c r="Q170" s="256" t="inlineStr"/>
      <c r="R170" s="256" t="inlineStr"/>
    </row>
    <row r="171">
      <c r="A171" s="256" t="inlineStr">
        <is>
          <t>CoQ-PP_26-008</t>
        </is>
      </c>
      <c r="B171" s="256" t="inlineStr">
        <is>
          <t>release</t>
        </is>
      </c>
      <c r="C171" s="256" t="inlineStr">
        <is>
          <t>GG1024_02</t>
        </is>
      </c>
      <c r="D171" s="256" t="inlineStr">
        <is>
          <t>P050012</t>
        </is>
      </c>
      <c r="E171" s="256" t="inlineStr">
        <is>
          <t>Gorilla Glue</t>
        </is>
      </c>
      <c r="F171" s="256" t="inlineStr">
        <is>
          <t>06.06.2026</t>
        </is>
      </c>
      <c r="G171" s="256" t="inlineStr">
        <is>
          <t>9.1</t>
        </is>
      </c>
      <c r="H171" s="256" t="inlineStr">
        <is>
          <t>TAMC</t>
        </is>
      </c>
      <c r="I171" s="256" t="inlineStr">
        <is>
          <t>Ph. Eur. 2.6.12 cat. C</t>
        </is>
      </c>
      <c r="J171" s="256" t="inlineStr">
        <is>
          <t>≤ 10⁵ CFU/g</t>
        </is>
      </c>
      <c r="K171" s="256" t="inlineStr">
        <is>
          <t>2.1 × 10⁴</t>
        </is>
      </c>
      <c r="L171" s="256" t="inlineStr">
        <is>
          <t>472/0863/25</t>
        </is>
      </c>
      <c r="M171" s="256" t="inlineStr">
        <is>
          <t>22.05.2025</t>
        </is>
      </c>
      <c r="N171" s="256" t="inlineStr">
        <is>
          <t>IPH — Institute of Public Health</t>
        </is>
      </c>
      <c r="O171" s="256" t="inlineStr">
        <is>
          <t>16.05.2025</t>
        </is>
      </c>
      <c r="P171" s="256" t="inlineStr">
        <is>
          <t>covered</t>
        </is>
      </c>
      <c r="Q171" s="256" t="inlineStr"/>
      <c r="R171" s="256" t="inlineStr"/>
    </row>
    <row r="172">
      <c r="A172" s="256" t="inlineStr">
        <is>
          <t>CoQ-PP_26-008</t>
        </is>
      </c>
      <c r="B172" s="256" t="inlineStr">
        <is>
          <t>release</t>
        </is>
      </c>
      <c r="C172" s="256" t="inlineStr">
        <is>
          <t>GG1024_02</t>
        </is>
      </c>
      <c r="D172" s="256" t="inlineStr">
        <is>
          <t>P050012</t>
        </is>
      </c>
      <c r="E172" s="256" t="inlineStr">
        <is>
          <t>Gorilla Glue</t>
        </is>
      </c>
      <c r="F172" s="256" t="inlineStr">
        <is>
          <t>06.06.2026</t>
        </is>
      </c>
      <c r="G172" s="256" t="inlineStr">
        <is>
          <t>9.2</t>
        </is>
      </c>
      <c r="H172" s="256" t="inlineStr">
        <is>
          <t>TYMC</t>
        </is>
      </c>
      <c r="I172" s="256" t="inlineStr">
        <is>
          <t>Ph. Eur. 2.6.12 cat. C</t>
        </is>
      </c>
      <c r="J172" s="256" t="inlineStr">
        <is>
          <t>≤ 10⁴ CFU/g</t>
        </is>
      </c>
      <c r="K172" s="256" t="inlineStr">
        <is>
          <t>1.9 × 10⁴</t>
        </is>
      </c>
      <c r="L172" s="256" t="inlineStr">
        <is>
          <t>472/0863/25</t>
        </is>
      </c>
      <c r="M172" s="256" t="inlineStr">
        <is>
          <t>22.05.2025</t>
        </is>
      </c>
      <c r="N172" s="256" t="inlineStr">
        <is>
          <t>IPH — Institute of Public Health</t>
        </is>
      </c>
      <c r="O172" s="256" t="inlineStr">
        <is>
          <t>16.05.2025</t>
        </is>
      </c>
      <c r="P172" s="256" t="inlineStr">
        <is>
          <t>UNDETERMINED — pending the QCSP 001 reading</t>
        </is>
      </c>
      <c r="Q172" s="256" t="inlineStr"/>
      <c r="R172" s="256" t="inlineStr"/>
    </row>
    <row r="173">
      <c r="A173" s="256" t="inlineStr">
        <is>
          <t>CoQ-PP_26-008</t>
        </is>
      </c>
      <c r="B173" s="256" t="inlineStr">
        <is>
          <t>release</t>
        </is>
      </c>
      <c r="C173" s="256" t="inlineStr">
        <is>
          <t>GG1024_02</t>
        </is>
      </c>
      <c r="D173" s="256" t="inlineStr">
        <is>
          <t>P050012</t>
        </is>
      </c>
      <c r="E173" s="256" t="inlineStr">
        <is>
          <t>Gorilla Glue</t>
        </is>
      </c>
      <c r="F173" s="256" t="inlineStr">
        <is>
          <t>06.06.2026</t>
        </is>
      </c>
      <c r="G173" s="256" t="inlineStr">
        <is>
          <t>9.3</t>
        </is>
      </c>
      <c r="H173" s="256" t="inlineStr">
        <is>
          <t>Bile-tolerant gram-neg.</t>
        </is>
      </c>
      <c r="I173" s="256" t="inlineStr">
        <is>
          <t>Ph. Eur. 2.6.31 cat. C</t>
        </is>
      </c>
      <c r="J173" s="256" t="inlineStr">
        <is>
          <t>≤ 10⁴ CFU/g</t>
        </is>
      </c>
      <c r="K173" s="256" t="inlineStr">
        <is>
          <t>&lt; 10</t>
        </is>
      </c>
      <c r="L173" s="256" t="inlineStr">
        <is>
          <t>472/0863/25</t>
        </is>
      </c>
      <c r="M173" s="256" t="inlineStr">
        <is>
          <t>22.05.2025</t>
        </is>
      </c>
      <c r="N173" s="256" t="inlineStr">
        <is>
          <t>IPH — Institute of Public Health</t>
        </is>
      </c>
      <c r="O173" s="256" t="inlineStr">
        <is>
          <t>16.05.2025</t>
        </is>
      </c>
      <c r="P173" s="256" t="inlineStr">
        <is>
          <t>covered</t>
        </is>
      </c>
      <c r="Q173" s="256" t="inlineStr"/>
      <c r="R173" s="256" t="inlineStr"/>
    </row>
    <row r="174">
      <c r="A174" s="256" t="inlineStr">
        <is>
          <t>CoQ-PP_26-008</t>
        </is>
      </c>
      <c r="B174" s="256" t="inlineStr">
        <is>
          <t>release</t>
        </is>
      </c>
      <c r="C174" s="256" t="inlineStr">
        <is>
          <t>GG1024_02</t>
        </is>
      </c>
      <c r="D174" s="256" t="inlineStr">
        <is>
          <t>P050012</t>
        </is>
      </c>
      <c r="E174" s="256" t="inlineStr">
        <is>
          <t>Gorilla Glue</t>
        </is>
      </c>
      <c r="F174" s="256" t="inlineStr">
        <is>
          <t>06.06.2026</t>
        </is>
      </c>
      <c r="G174" s="256" t="inlineStr">
        <is>
          <t>9.4</t>
        </is>
      </c>
      <c r="H174" s="256" t="inlineStr">
        <is>
          <t>Salmonella</t>
        </is>
      </c>
      <c r="I174" s="256" t="inlineStr">
        <is>
          <t>Ph. Eur. 2.6.31 cat. C</t>
        </is>
      </c>
      <c r="J174" s="256" t="inlineStr">
        <is>
          <t>Absence | Отсуство / 25 g</t>
        </is>
      </c>
      <c r="K174" s="256" t="inlineStr">
        <is>
          <t>Absent | Отсутна</t>
        </is>
      </c>
      <c r="L174" s="256" t="inlineStr">
        <is>
          <t>472/0863/25</t>
        </is>
      </c>
      <c r="M174" s="256" t="inlineStr">
        <is>
          <t>22.05.2025</t>
        </is>
      </c>
      <c r="N174" s="256" t="inlineStr">
        <is>
          <t>IPH — Institute of Public Health</t>
        </is>
      </c>
      <c r="O174" s="256" t="inlineStr">
        <is>
          <t>16.05.2025</t>
        </is>
      </c>
      <c r="P174" s="256" t="inlineStr">
        <is>
          <t>covered</t>
        </is>
      </c>
      <c r="Q174" s="256" t="inlineStr"/>
      <c r="R174" s="256" t="inlineStr"/>
    </row>
    <row r="175">
      <c r="A175" s="256" t="inlineStr">
        <is>
          <t>CoQ-PP_26-008</t>
        </is>
      </c>
      <c r="B175" s="256" t="inlineStr">
        <is>
          <t>release</t>
        </is>
      </c>
      <c r="C175" s="256" t="inlineStr">
        <is>
          <t>GG1024_02</t>
        </is>
      </c>
      <c r="D175" s="256" t="inlineStr">
        <is>
          <t>P050012</t>
        </is>
      </c>
      <c r="E175" s="256" t="inlineStr">
        <is>
          <t>Gorilla Glue</t>
        </is>
      </c>
      <c r="F175" s="256" t="inlineStr">
        <is>
          <t>06.06.2026</t>
        </is>
      </c>
      <c r="G175" s="256" t="inlineStr">
        <is>
          <t>9.5</t>
        </is>
      </c>
      <c r="H175" s="256" t="inlineStr">
        <is>
          <t>Escherichia coli</t>
        </is>
      </c>
      <c r="I175" s="256" t="inlineStr">
        <is>
          <t>Ph. Eur. 2.6.13 cat. C</t>
        </is>
      </c>
      <c r="J175" s="256" t="inlineStr">
        <is>
          <t>Absence | Отсуство / 1 g</t>
        </is>
      </c>
      <c r="K175" s="256" t="inlineStr">
        <is>
          <t>Absent | Отсутна</t>
        </is>
      </c>
      <c r="L175" s="256" t="inlineStr">
        <is>
          <t>472/0863/25</t>
        </is>
      </c>
      <c r="M175" s="256" t="inlineStr">
        <is>
          <t>22.05.2025</t>
        </is>
      </c>
      <c r="N175" s="256" t="inlineStr">
        <is>
          <t>IPH — Institute of Public Health</t>
        </is>
      </c>
      <c r="O175" s="256" t="inlineStr">
        <is>
          <t>16.05.2025</t>
        </is>
      </c>
      <c r="P175" s="256" t="inlineStr">
        <is>
          <t>covered</t>
        </is>
      </c>
      <c r="Q175" s="256" t="inlineStr"/>
      <c r="R175" s="256" t="inlineStr"/>
    </row>
    <row r="176">
      <c r="A176" s="256" t="inlineStr">
        <is>
          <t>CoQ-PP_26-008</t>
        </is>
      </c>
      <c r="B176" s="256" t="inlineStr">
        <is>
          <t>release</t>
        </is>
      </c>
      <c r="C176" s="256" t="inlineStr">
        <is>
          <t>GG1024_02</t>
        </is>
      </c>
      <c r="D176" s="256" t="inlineStr">
        <is>
          <t>P050012</t>
        </is>
      </c>
      <c r="E176" s="256" t="inlineStr">
        <is>
          <t>Gorilla Glue</t>
        </is>
      </c>
      <c r="F176" s="256" t="inlineStr">
        <is>
          <t>06.06.2026</t>
        </is>
      </c>
      <c r="G176" s="256" t="inlineStr">
        <is>
          <t>9.6</t>
        </is>
      </c>
      <c r="H176" s="256" t="inlineStr">
        <is>
          <t>Pseudomonas aeruginosa</t>
        </is>
      </c>
      <c r="I176" s="256" t="inlineStr">
        <is>
          <t>Ph. Eur. 2.6.13 cat. C</t>
        </is>
      </c>
      <c r="J176" s="256" t="inlineStr">
        <is>
          <t>Absence | Отсуство / 1 g</t>
        </is>
      </c>
      <c r="K176" s="260" t="inlineStr">
        <is>
          <t>upon request — not required for release</t>
        </is>
      </c>
      <c r="L176" s="256" t="inlineStr">
        <is>
          <t>—</t>
        </is>
      </c>
      <c r="M176" s="256" t="inlineStr">
        <is>
          <t>—</t>
        </is>
      </c>
      <c r="N176" s="256" t="inlineStr">
        <is>
          <t>—</t>
        </is>
      </c>
      <c r="O176" s="256" t="inlineStr">
        <is>
          <t>—</t>
        </is>
      </c>
      <c r="P176" s="256" t="inlineStr">
        <is>
          <t>upon request — not required for release</t>
        </is>
      </c>
      <c r="Q176" s="256" t="inlineStr"/>
      <c r="R176" s="256" t="inlineStr"/>
    </row>
    <row r="177">
      <c r="A177" s="256" t="inlineStr">
        <is>
          <t>CoQ-PP_26-008</t>
        </is>
      </c>
      <c r="B177" s="256" t="inlineStr">
        <is>
          <t>release</t>
        </is>
      </c>
      <c r="C177" s="256" t="inlineStr">
        <is>
          <t>GG1024_02</t>
        </is>
      </c>
      <c r="D177" s="256" t="inlineStr">
        <is>
          <t>P050012</t>
        </is>
      </c>
      <c r="E177" s="256" t="inlineStr">
        <is>
          <t>Gorilla Glue</t>
        </is>
      </c>
      <c r="F177" s="256" t="inlineStr">
        <is>
          <t>06.06.2026</t>
        </is>
      </c>
      <c r="G177" s="256" t="inlineStr">
        <is>
          <t>9.7</t>
        </is>
      </c>
      <c r="H177" s="256" t="inlineStr">
        <is>
          <t>Staphylococcus aureus</t>
        </is>
      </c>
      <c r="I177" s="256" t="inlineStr">
        <is>
          <t>Ph. Eur. 2.6.13 cat. C</t>
        </is>
      </c>
      <c r="J177" s="256" t="inlineStr">
        <is>
          <t>Absence | Отсуство / 1 g</t>
        </is>
      </c>
      <c r="K177" s="260" t="inlineStr">
        <is>
          <t>upon request — not required for release</t>
        </is>
      </c>
      <c r="L177" s="256" t="inlineStr">
        <is>
          <t>—</t>
        </is>
      </c>
      <c r="M177" s="256" t="inlineStr">
        <is>
          <t>—</t>
        </is>
      </c>
      <c r="N177" s="256" t="inlineStr">
        <is>
          <t>—</t>
        </is>
      </c>
      <c r="O177" s="256" t="inlineStr">
        <is>
          <t>—</t>
        </is>
      </c>
      <c r="P177" s="256" t="inlineStr">
        <is>
          <t>upon request — not required for release</t>
        </is>
      </c>
      <c r="Q177" s="256" t="inlineStr"/>
      <c r="R177" s="256" t="inlineStr"/>
    </row>
    <row r="178">
      <c r="A178" s="256" t="inlineStr">
        <is>
          <t>CoQ-PP_26-008</t>
        </is>
      </c>
      <c r="B178" s="256" t="inlineStr">
        <is>
          <t>release</t>
        </is>
      </c>
      <c r="C178" s="256" t="inlineStr">
        <is>
          <t>GG1024_02</t>
        </is>
      </c>
      <c r="D178" s="256" t="inlineStr">
        <is>
          <t>P050012</t>
        </is>
      </c>
      <c r="E178" s="256" t="inlineStr">
        <is>
          <t>Gorilla Glue</t>
        </is>
      </c>
      <c r="F178" s="256" t="inlineStr">
        <is>
          <t>06.06.2026</t>
        </is>
      </c>
      <c r="G178" s="256" t="inlineStr">
        <is>
          <t>10.1</t>
        </is>
      </c>
      <c r="H178" s="256" t="inlineStr">
        <is>
          <t>Aflatoxin B₁</t>
        </is>
      </c>
      <c r="I178" s="256" t="inlineStr">
        <is>
          <t>Ph. Eur. 2.8.18 (HPLC-FLD)</t>
        </is>
      </c>
      <c r="J178" s="256" t="inlineStr">
        <is>
          <t>≤ 2 µg/kg</t>
        </is>
      </c>
      <c r="K178" s="259" t="inlineStr">
        <is>
          <t>not tested</t>
        </is>
      </c>
      <c r="L178" s="256" t="inlineStr">
        <is>
          <t>—</t>
        </is>
      </c>
      <c r="M178" s="256" t="inlineStr">
        <is>
          <t>—</t>
        </is>
      </c>
      <c r="N178" s="256" t="inlineStr">
        <is>
          <t>—</t>
        </is>
      </c>
      <c r="O178" s="256" t="inlineStr">
        <is>
          <t>—</t>
        </is>
      </c>
      <c r="P178" s="256" t="inlineStr">
        <is>
          <t>not tested — no certificate covers it</t>
        </is>
      </c>
      <c r="Q178" s="256" t="inlineStr"/>
      <c r="R178" s="256" t="inlineStr"/>
    </row>
    <row r="179">
      <c r="A179" s="256" t="inlineStr">
        <is>
          <t>CoQ-PP_26-008</t>
        </is>
      </c>
      <c r="B179" s="256" t="inlineStr">
        <is>
          <t>release</t>
        </is>
      </c>
      <c r="C179" s="256" t="inlineStr">
        <is>
          <t>GG1024_02</t>
        </is>
      </c>
      <c r="D179" s="256" t="inlineStr">
        <is>
          <t>P050012</t>
        </is>
      </c>
      <c r="E179" s="256" t="inlineStr">
        <is>
          <t>Gorilla Glue</t>
        </is>
      </c>
      <c r="F179" s="256" t="inlineStr">
        <is>
          <t>06.06.2026</t>
        </is>
      </c>
      <c r="G179" s="256" t="inlineStr">
        <is>
          <t>10.2</t>
        </is>
      </c>
      <c r="H179" s="256" t="inlineStr">
        <is>
          <t>Aflatoxins ∑</t>
        </is>
      </c>
      <c r="I179" s="256" t="inlineStr">
        <is>
          <t>Ph. Eur. 2.8.18 (HPLC-FLD)</t>
        </is>
      </c>
      <c r="J179" s="256" t="inlineStr">
        <is>
          <t>≤ 4 µg/kg</t>
        </is>
      </c>
      <c r="K179" s="256" t="inlineStr">
        <is>
          <t>&lt; 2</t>
        </is>
      </c>
      <c r="L179" s="256" t="inlineStr">
        <is>
          <t>2472/2025</t>
        </is>
      </c>
      <c r="M179" s="256" t="inlineStr">
        <is>
          <t>30.05.2025</t>
        </is>
      </c>
      <c r="N179" s="256" t="inlineStr">
        <is>
          <t>IPH — Institute of Public Health</t>
        </is>
      </c>
      <c r="O179" s="256" t="inlineStr">
        <is>
          <t>15.05.2025</t>
        </is>
      </c>
      <c r="P179" s="256" t="inlineStr">
        <is>
          <t>covered</t>
        </is>
      </c>
      <c r="Q179" s="256" t="inlineStr"/>
      <c r="R179" s="256" t="inlineStr"/>
    </row>
    <row r="180">
      <c r="A180" s="256" t="inlineStr">
        <is>
          <t>CoQ-PP_26-008</t>
        </is>
      </c>
      <c r="B180" s="256" t="inlineStr">
        <is>
          <t>release</t>
        </is>
      </c>
      <c r="C180" s="256" t="inlineStr">
        <is>
          <t>GG1024_02</t>
        </is>
      </c>
      <c r="D180" s="256" t="inlineStr">
        <is>
          <t>P050012</t>
        </is>
      </c>
      <c r="E180" s="256" t="inlineStr">
        <is>
          <t>Gorilla Glue</t>
        </is>
      </c>
      <c r="F180" s="256" t="inlineStr">
        <is>
          <t>06.06.2026</t>
        </is>
      </c>
      <c r="G180" s="256" t="inlineStr">
        <is>
          <t>10.3</t>
        </is>
      </c>
      <c r="H180" s="256" t="inlineStr">
        <is>
          <t>Ochratoxin A</t>
        </is>
      </c>
      <c r="I180" s="256" t="inlineStr">
        <is>
          <t>Ph. Eur. 2.8.22 (HPLC-FLD)</t>
        </is>
      </c>
      <c r="J180" s="256" t="inlineStr">
        <is>
          <t>≤ 20 µg/kg</t>
        </is>
      </c>
      <c r="K180" s="259" t="inlineStr">
        <is>
          <t>not tested</t>
        </is>
      </c>
      <c r="L180" s="256" t="inlineStr">
        <is>
          <t>—</t>
        </is>
      </c>
      <c r="M180" s="256" t="inlineStr">
        <is>
          <t>—</t>
        </is>
      </c>
      <c r="N180" s="256" t="inlineStr">
        <is>
          <t>—</t>
        </is>
      </c>
      <c r="O180" s="256" t="inlineStr">
        <is>
          <t>—</t>
        </is>
      </c>
      <c r="P180" s="256" t="inlineStr">
        <is>
          <t>not tested — no certificate covers it</t>
        </is>
      </c>
      <c r="Q180" s="256" t="inlineStr"/>
      <c r="R180" s="256" t="inlineStr"/>
    </row>
    <row r="181">
      <c r="A181" s="256" t="inlineStr">
        <is>
          <t>CoQ-PP_26-008</t>
        </is>
      </c>
      <c r="B181" s="256" t="inlineStr">
        <is>
          <t>release</t>
        </is>
      </c>
      <c r="C181" s="256" t="inlineStr">
        <is>
          <t>GG1024_02</t>
        </is>
      </c>
      <c r="D181" s="256" t="inlineStr">
        <is>
          <t>P050012</t>
        </is>
      </c>
      <c r="E181" s="256" t="inlineStr">
        <is>
          <t>Gorilla Glue</t>
        </is>
      </c>
      <c r="F181" s="256" t="inlineStr">
        <is>
          <t>06.06.2026</t>
        </is>
      </c>
      <c r="G181" s="256" t="inlineStr">
        <is>
          <t>11.1</t>
        </is>
      </c>
      <c r="H181" s="256" t="inlineStr">
        <is>
          <t>Lead (Pb)</t>
        </is>
      </c>
      <c r="I181" s="256" t="inlineStr">
        <is>
          <t>Ph. Eur. 2.4.27 (ICP-MS)</t>
        </is>
      </c>
      <c r="J181" s="256" t="inlineStr">
        <is>
          <t>≤ 0.5 mg/kg</t>
        </is>
      </c>
      <c r="K181" s="256" t="inlineStr">
        <is>
          <t>ND</t>
        </is>
      </c>
      <c r="L181" s="256" t="inlineStr">
        <is>
          <t>2472/2025</t>
        </is>
      </c>
      <c r="M181" s="256" t="inlineStr">
        <is>
          <t>30.05.2025</t>
        </is>
      </c>
      <c r="N181" s="256" t="inlineStr">
        <is>
          <t>IPH — Institute of Public Health</t>
        </is>
      </c>
      <c r="O181" s="256" t="inlineStr">
        <is>
          <t>15.05.2025</t>
        </is>
      </c>
      <c r="P181" s="256" t="inlineStr">
        <is>
          <t>covered</t>
        </is>
      </c>
      <c r="Q181" s="256" t="inlineStr"/>
      <c r="R181" s="256" t="inlineStr"/>
    </row>
    <row r="182">
      <c r="A182" s="256" t="inlineStr">
        <is>
          <t>CoQ-PP_26-008</t>
        </is>
      </c>
      <c r="B182" s="256" t="inlineStr">
        <is>
          <t>release</t>
        </is>
      </c>
      <c r="C182" s="256" t="inlineStr">
        <is>
          <t>GG1024_02</t>
        </is>
      </c>
      <c r="D182" s="256" t="inlineStr">
        <is>
          <t>P050012</t>
        </is>
      </c>
      <c r="E182" s="256" t="inlineStr">
        <is>
          <t>Gorilla Glue</t>
        </is>
      </c>
      <c r="F182" s="256" t="inlineStr">
        <is>
          <t>06.06.2026</t>
        </is>
      </c>
      <c r="G182" s="256" t="inlineStr">
        <is>
          <t>11.2</t>
        </is>
      </c>
      <c r="H182" s="256" t="inlineStr">
        <is>
          <t>Cadmium (Cd)</t>
        </is>
      </c>
      <c r="I182" s="256" t="inlineStr">
        <is>
          <t>Ph. Eur. 2.4.27 (ICP-MS)</t>
        </is>
      </c>
      <c r="J182" s="256" t="inlineStr">
        <is>
          <t>≤ 0.3 mg/kg</t>
        </is>
      </c>
      <c r="K182" s="256" t="inlineStr">
        <is>
          <t>ND</t>
        </is>
      </c>
      <c r="L182" s="256" t="inlineStr">
        <is>
          <t>2472/2025</t>
        </is>
      </c>
      <c r="M182" s="256" t="inlineStr">
        <is>
          <t>30.05.2025</t>
        </is>
      </c>
      <c r="N182" s="256" t="inlineStr">
        <is>
          <t>IPH — Institute of Public Health</t>
        </is>
      </c>
      <c r="O182" s="256" t="inlineStr">
        <is>
          <t>15.05.2025</t>
        </is>
      </c>
      <c r="P182" s="256" t="inlineStr">
        <is>
          <t>covered</t>
        </is>
      </c>
      <c r="Q182" s="256" t="inlineStr"/>
      <c r="R182" s="256" t="inlineStr"/>
    </row>
    <row r="183">
      <c r="A183" s="256" t="inlineStr">
        <is>
          <t>CoQ-PP_26-008</t>
        </is>
      </c>
      <c r="B183" s="256" t="inlineStr">
        <is>
          <t>release</t>
        </is>
      </c>
      <c r="C183" s="256" t="inlineStr">
        <is>
          <t>GG1024_02</t>
        </is>
      </c>
      <c r="D183" s="256" t="inlineStr">
        <is>
          <t>P050012</t>
        </is>
      </c>
      <c r="E183" s="256" t="inlineStr">
        <is>
          <t>Gorilla Glue</t>
        </is>
      </c>
      <c r="F183" s="256" t="inlineStr">
        <is>
          <t>06.06.2026</t>
        </is>
      </c>
      <c r="G183" s="256" t="inlineStr">
        <is>
          <t>11.3</t>
        </is>
      </c>
      <c r="H183" s="256" t="inlineStr">
        <is>
          <t>Arsenic (As)</t>
        </is>
      </c>
      <c r="I183" s="256" t="inlineStr">
        <is>
          <t>Ph. Eur. 2.4.27 (ICP-MS)</t>
        </is>
      </c>
      <c r="J183" s="256" t="inlineStr">
        <is>
          <t>≤ 0.2 mg/kg</t>
        </is>
      </c>
      <c r="K183" s="256" t="inlineStr">
        <is>
          <t>ND</t>
        </is>
      </c>
      <c r="L183" s="256" t="inlineStr">
        <is>
          <t>2472/2025</t>
        </is>
      </c>
      <c r="M183" s="256" t="inlineStr">
        <is>
          <t>30.05.2025</t>
        </is>
      </c>
      <c r="N183" s="256" t="inlineStr">
        <is>
          <t>IPH — Institute of Public Health</t>
        </is>
      </c>
      <c r="O183" s="256" t="inlineStr">
        <is>
          <t>15.05.2025</t>
        </is>
      </c>
      <c r="P183" s="256" t="inlineStr">
        <is>
          <t>covered</t>
        </is>
      </c>
      <c r="Q183" s="256" t="inlineStr"/>
      <c r="R183" s="256" t="inlineStr"/>
    </row>
    <row r="184">
      <c r="A184" s="256" t="inlineStr">
        <is>
          <t>CoQ-PP_26-008</t>
        </is>
      </c>
      <c r="B184" s="256" t="inlineStr">
        <is>
          <t>release</t>
        </is>
      </c>
      <c r="C184" s="256" t="inlineStr">
        <is>
          <t>GG1024_02</t>
        </is>
      </c>
      <c r="D184" s="256" t="inlineStr">
        <is>
          <t>P050012</t>
        </is>
      </c>
      <c r="E184" s="256" t="inlineStr">
        <is>
          <t>Gorilla Glue</t>
        </is>
      </c>
      <c r="F184" s="256" t="inlineStr">
        <is>
          <t>06.06.2026</t>
        </is>
      </c>
      <c r="G184" s="256" t="inlineStr">
        <is>
          <t>11.4</t>
        </is>
      </c>
      <c r="H184" s="256" t="inlineStr">
        <is>
          <t>Mercury (Hg)</t>
        </is>
      </c>
      <c r="I184" s="256" t="inlineStr">
        <is>
          <t>Ph. Eur. 2.4.27 (ICP-MS)</t>
        </is>
      </c>
      <c r="J184" s="256" t="inlineStr">
        <is>
          <t>≤ 0.1 mg/kg</t>
        </is>
      </c>
      <c r="K184" s="256" t="inlineStr">
        <is>
          <t>ND</t>
        </is>
      </c>
      <c r="L184" s="256" t="inlineStr">
        <is>
          <t>2472/2025</t>
        </is>
      </c>
      <c r="M184" s="256" t="inlineStr">
        <is>
          <t>30.05.2025</t>
        </is>
      </c>
      <c r="N184" s="256" t="inlineStr">
        <is>
          <t>IPH — Institute of Public Health</t>
        </is>
      </c>
      <c r="O184" s="256" t="inlineStr">
        <is>
          <t>15.05.2025</t>
        </is>
      </c>
      <c r="P184" s="256" t="inlineStr">
        <is>
          <t>covered</t>
        </is>
      </c>
      <c r="Q184" s="256" t="inlineStr"/>
      <c r="R184" s="256" t="inlineStr"/>
    </row>
    <row r="185">
      <c r="A185" s="256" t="inlineStr">
        <is>
          <t>CoQ-PP_26-008</t>
        </is>
      </c>
      <c r="B185" s="256" t="inlineStr">
        <is>
          <t>release</t>
        </is>
      </c>
      <c r="C185" s="256" t="inlineStr">
        <is>
          <t>GG1024_02</t>
        </is>
      </c>
      <c r="D185" s="256" t="inlineStr">
        <is>
          <t>P050012</t>
        </is>
      </c>
      <c r="E185" s="256" t="inlineStr">
        <is>
          <t>Gorilla Glue</t>
        </is>
      </c>
      <c r="F185" s="256" t="inlineStr">
        <is>
          <t>06.06.2026</t>
        </is>
      </c>
      <c r="G185" s="256" t="inlineStr">
        <is>
          <t>12</t>
        </is>
      </c>
      <c r="H185" s="256" t="inlineStr">
        <is>
          <t>Pesticide Residues</t>
        </is>
      </c>
      <c r="I185" s="256" t="inlineStr">
        <is>
          <t>Ph. Eur. 2.8.13 (LC-MS/MS) · CUMCS Equivalency</t>
        </is>
      </c>
      <c r="J185" s="256" t="inlineStr">
        <is>
          <t>≤ LOQ as per Ph. Eur. 2.8.13 · ≤ LOQ as per CUMCS Equivalency</t>
        </is>
      </c>
      <c r="K185" s="256" t="inlineStr">
        <is>
          <t>ND</t>
        </is>
      </c>
      <c r="L185" s="256" t="inlineStr">
        <is>
          <t>2472/2025</t>
        </is>
      </c>
      <c r="M185" s="256" t="inlineStr">
        <is>
          <t>30.05.2025</t>
        </is>
      </c>
      <c r="N185" s="256" t="inlineStr">
        <is>
          <t>IPH — Institute of Public Health</t>
        </is>
      </c>
      <c r="O185" s="256" t="inlineStr">
        <is>
          <t>15.05.2025</t>
        </is>
      </c>
      <c r="P185" s="256" t="inlineStr">
        <is>
          <t>covered</t>
        </is>
      </c>
      <c r="Q185" s="256" t="inlineStr"/>
      <c r="R185" s="256" t="inlineStr"/>
    </row>
    <row r="186">
      <c r="A186" s="256" t="inlineStr">
        <is>
          <t>CoQ-PP_26-009</t>
        </is>
      </c>
      <c r="B186" s="256" t="inlineStr">
        <is>
          <t>release</t>
        </is>
      </c>
      <c r="C186" s="256" t="inlineStr">
        <is>
          <t>MB0824_04</t>
        </is>
      </c>
      <c r="D186" s="256" t="inlineStr">
        <is>
          <t>P050032</t>
        </is>
      </c>
      <c r="E186" s="256" t="inlineStr">
        <is>
          <t>Motor Breath</t>
        </is>
      </c>
      <c r="F186" s="256" t="inlineStr">
        <is>
          <t>06.06.2026</t>
        </is>
      </c>
      <c r="G186" s="256" t="inlineStr">
        <is>
          <t>1</t>
        </is>
      </c>
      <c r="H186" s="256" t="inlineStr">
        <is>
          <t>Identification A, Appearance · Macroscopic</t>
        </is>
      </c>
      <c r="I186" s="256" t="inlineStr">
        <is>
          <t>Ph. Eur. mon. 3028</t>
        </is>
      </c>
      <c r="J186" s="256" t="inlineStr">
        <is>
          <t>Conforms to the monograph for Cannabis flos (07/2024:3028) in Ph. Eur. 11.0 | Согласно монографија за Cannabis flos (07/2024:3028) во Ph. Eur. 11.0</t>
        </is>
      </c>
      <c r="K186" s="256" t="inlineStr">
        <is>
          <t>Conforms | Одговара</t>
        </is>
      </c>
      <c r="L186" s="256" t="inlineStr">
        <is>
          <t>iCoA-PP_26-010</t>
        </is>
      </c>
      <c r="M186" s="256" t="inlineStr">
        <is>
          <t>03.06.2026</t>
        </is>
      </c>
      <c r="N186" s="256" t="inlineStr">
        <is>
          <t>Purely Plant GmbH (in-house)</t>
        </is>
      </c>
      <c r="O186" s="256" t="inlineStr">
        <is>
          <t>—</t>
        </is>
      </c>
      <c r="P186" s="256" t="inlineStr">
        <is>
          <t>to be performed — see route</t>
        </is>
      </c>
      <c r="Q186" s="256" t="inlineStr">
        <is>
          <t>Purely Plant laboratory — iCoA covering Ident A + B</t>
        </is>
      </c>
      <c r="R186" s="256" t="inlineStr"/>
    </row>
    <row r="187">
      <c r="A187" s="256" t="inlineStr">
        <is>
          <t>CoQ-PP_26-009</t>
        </is>
      </c>
      <c r="B187" s="256" t="inlineStr">
        <is>
          <t>release</t>
        </is>
      </c>
      <c r="C187" s="256" t="inlineStr">
        <is>
          <t>MB0824_04</t>
        </is>
      </c>
      <c r="D187" s="256" t="inlineStr">
        <is>
          <t>P050032</t>
        </is>
      </c>
      <c r="E187" s="256" t="inlineStr">
        <is>
          <t>Motor Breath</t>
        </is>
      </c>
      <c r="F187" s="256" t="inlineStr">
        <is>
          <t>06.06.2026</t>
        </is>
      </c>
      <c r="G187" s="256" t="inlineStr">
        <is>
          <t>2</t>
        </is>
      </c>
      <c r="H187" s="256" t="inlineStr">
        <is>
          <t>Identification B · Microscopic</t>
        </is>
      </c>
      <c r="I187" s="256" t="inlineStr">
        <is>
          <t>Ph. Eur. 2.8.23 (microscopy)</t>
        </is>
      </c>
      <c r="J187" s="256" t="inlineStr">
        <is>
          <t>Conforms to the monograph for Cannabis flos (07/2024:3028) in Ph. Eur. 11.0 | Согласно монографија за Cannabis flos (07/2024:3028) во Ph. Eur. 11.0</t>
        </is>
      </c>
      <c r="K187" s="256" t="inlineStr">
        <is>
          <t>Conforms | Одговара</t>
        </is>
      </c>
      <c r="L187" s="256" t="inlineStr">
        <is>
          <t>iCoA-PP_26-010</t>
        </is>
      </c>
      <c r="M187" s="256" t="inlineStr">
        <is>
          <t>03.06.2026</t>
        </is>
      </c>
      <c r="N187" s="256" t="inlineStr">
        <is>
          <t>Purely Plant GmbH (in-house)</t>
        </is>
      </c>
      <c r="O187" s="256" t="inlineStr">
        <is>
          <t>—</t>
        </is>
      </c>
      <c r="P187" s="256" t="inlineStr">
        <is>
          <t>to be performed — see route</t>
        </is>
      </c>
      <c r="Q187" s="256" t="inlineStr">
        <is>
          <t>Purely Plant laboratory — iCoA covering Ident A + B</t>
        </is>
      </c>
      <c r="R187" s="256" t="inlineStr"/>
    </row>
    <row r="188">
      <c r="A188" s="256" t="inlineStr">
        <is>
          <t>CoQ-PP_26-009</t>
        </is>
      </c>
      <c r="B188" s="256" t="inlineStr">
        <is>
          <t>release</t>
        </is>
      </c>
      <c r="C188" s="256" t="inlineStr">
        <is>
          <t>MB0824_04</t>
        </is>
      </c>
      <c r="D188" s="256" t="inlineStr">
        <is>
          <t>P050032</t>
        </is>
      </c>
      <c r="E188" s="256" t="inlineStr">
        <is>
          <t>Motor Breath</t>
        </is>
      </c>
      <c r="F188" s="256" t="inlineStr">
        <is>
          <t>06.06.2026</t>
        </is>
      </c>
      <c r="G188" s="256" t="inlineStr">
        <is>
          <t>3</t>
        </is>
      </c>
      <c r="H188" s="256" t="inlineStr">
        <is>
          <t>Identification C · HPLC/HPTLC</t>
        </is>
      </c>
      <c r="I188" s="256" t="inlineStr">
        <is>
          <t>HPLC — DAB 2018 monograph Cannabis flos, 2.2.29 (CNP, before its Ph. Eur. 3028 accreditation)</t>
        </is>
      </c>
      <c r="J188" s="256" t="inlineStr">
        <is>
          <t>Conforms to the monograph for Cannabis flos (07/2024:3028) in Ph. Eur. 11.0 | Согласно монографија за Cannabis flos (07/2024:3028) во Ph. Eur. 11.0</t>
        </is>
      </c>
      <c r="K188" s="256" t="inlineStr">
        <is>
          <t>Conforms | Одговара</t>
        </is>
      </c>
      <c r="L188" s="256" t="inlineStr">
        <is>
          <t>ППК25118</t>
        </is>
      </c>
      <c r="M188" s="256" t="inlineStr">
        <is>
          <t>06.05.2025</t>
        </is>
      </c>
      <c r="N188" s="256" t="inlineStr">
        <is>
          <t>UKIM Faculty of Pharmacy — Center for Natural Products</t>
        </is>
      </c>
      <c r="O188" s="256" t="inlineStr">
        <is>
          <t>28.04.2025</t>
        </is>
      </c>
      <c r="P188" s="256" t="inlineStr">
        <is>
          <t>covered</t>
        </is>
      </c>
      <c r="Q188" s="256" t="inlineStr"/>
      <c r="R188" s="256" t="inlineStr"/>
    </row>
    <row r="189">
      <c r="A189" s="256" t="inlineStr">
        <is>
          <t>CoQ-PP_26-009</t>
        </is>
      </c>
      <c r="B189" s="256" t="inlineStr">
        <is>
          <t>release</t>
        </is>
      </c>
      <c r="C189" s="256" t="inlineStr">
        <is>
          <t>MB0824_04</t>
        </is>
      </c>
      <c r="D189" s="256" t="inlineStr">
        <is>
          <t>P050032</t>
        </is>
      </c>
      <c r="E189" s="256" t="inlineStr">
        <is>
          <t>Motor Breath</t>
        </is>
      </c>
      <c r="F189" s="256" t="inlineStr">
        <is>
          <t>06.06.2026</t>
        </is>
      </c>
      <c r="G189" s="256" t="inlineStr">
        <is>
          <t>4</t>
        </is>
      </c>
      <c r="H189" s="256" t="inlineStr">
        <is>
          <t>Assay — Total Δ⁹-THC</t>
        </is>
      </c>
      <c r="I189" s="256" t="inlineStr">
        <is>
          <t>HPLC — DAB 2018 monograph Cannabis flos, 2.2.29 (CNP, before its Ph. Eur. 3028 accreditation)</t>
        </is>
      </c>
      <c r="J189" s="256" t="inlineStr">
        <is>
          <t>16.20 – 19.79 %  (grade I, nominal 18.00 ± 1.80)</t>
        </is>
      </c>
      <c r="K189" s="256" t="inlineStr">
        <is>
          <t>18.67</t>
        </is>
      </c>
      <c r="L189" s="256" t="inlineStr">
        <is>
          <t>ППК25118</t>
        </is>
      </c>
      <c r="M189" s="256" t="inlineStr">
        <is>
          <t>06.05.2025</t>
        </is>
      </c>
      <c r="N189" s="256" t="inlineStr">
        <is>
          <t>UKIM Faculty of Pharmacy — Center for Natural Products</t>
        </is>
      </c>
      <c r="O189" s="256" t="inlineStr">
        <is>
          <t>28.04.2025</t>
        </is>
      </c>
      <c r="P189" s="256" t="inlineStr">
        <is>
          <t>covered</t>
        </is>
      </c>
      <c r="Q189" s="256" t="inlineStr"/>
      <c r="R189" s="256" t="inlineStr">
        <is>
          <t>17.57 (227-12-К/26)</t>
        </is>
      </c>
    </row>
    <row r="190">
      <c r="A190" s="256" t="inlineStr">
        <is>
          <t>CoQ-PP_26-009</t>
        </is>
      </c>
      <c r="B190" s="256" t="inlineStr">
        <is>
          <t>release</t>
        </is>
      </c>
      <c r="C190" s="256" t="inlineStr">
        <is>
          <t>MB0824_04</t>
        </is>
      </c>
      <c r="D190" s="256" t="inlineStr">
        <is>
          <t>P050032</t>
        </is>
      </c>
      <c r="E190" s="256" t="inlineStr">
        <is>
          <t>Motor Breath</t>
        </is>
      </c>
      <c r="F190" s="256" t="inlineStr">
        <is>
          <t>06.06.2026</t>
        </is>
      </c>
      <c r="G190" s="256" t="inlineStr">
        <is>
          <t>5</t>
        </is>
      </c>
      <c r="H190" s="256" t="inlineStr">
        <is>
          <t>Assay — Total CBD</t>
        </is>
      </c>
      <c r="I190" s="256" t="inlineStr">
        <is>
          <t>HPLC — DAB 2018 monograph Cannabis flos, 2.2.29 · CBD + CBDA x 0.877 (CNP, before its Ph. Eur. 3028 accreditation)</t>
        </is>
      </c>
      <c r="J190" s="256" t="inlineStr">
        <is>
          <t>≤ 1.0%, w/w</t>
        </is>
      </c>
      <c r="K190" s="256" t="inlineStr">
        <is>
          <t>0.05</t>
        </is>
      </c>
      <c r="L190" s="256" t="inlineStr">
        <is>
          <t>ППК25118</t>
        </is>
      </c>
      <c r="M190" s="256" t="inlineStr">
        <is>
          <t>06.05.2025</t>
        </is>
      </c>
      <c r="N190" s="256" t="inlineStr">
        <is>
          <t>UKIM Faculty of Pharmacy — Center for Natural Products</t>
        </is>
      </c>
      <c r="O190" s="256" t="inlineStr">
        <is>
          <t>28.04.2025</t>
        </is>
      </c>
      <c r="P190" s="256" t="inlineStr">
        <is>
          <t>covered</t>
        </is>
      </c>
      <c r="Q190" s="256" t="inlineStr"/>
      <c r="R190" s="256" t="inlineStr">
        <is>
          <t>&lt;LOQ (227-12-К/26)</t>
        </is>
      </c>
    </row>
    <row r="191">
      <c r="A191" s="256" t="inlineStr">
        <is>
          <t>CoQ-PP_26-009</t>
        </is>
      </c>
      <c r="B191" s="256" t="inlineStr">
        <is>
          <t>release</t>
        </is>
      </c>
      <c r="C191" s="256" t="inlineStr">
        <is>
          <t>MB0824_04</t>
        </is>
      </c>
      <c r="D191" s="256" t="inlineStr">
        <is>
          <t>P050032</t>
        </is>
      </c>
      <c r="E191" s="256" t="inlineStr">
        <is>
          <t>Motor Breath</t>
        </is>
      </c>
      <c r="F191" s="256" t="inlineStr">
        <is>
          <t>06.06.2026</t>
        </is>
      </c>
      <c r="G191" s="256" t="inlineStr">
        <is>
          <t>6</t>
        </is>
      </c>
      <c r="H191" s="256" t="inlineStr">
        <is>
          <t>Total CBN</t>
        </is>
      </c>
      <c r="I191" s="256" t="inlineStr">
        <is>
          <t>Ph. Eur. 2.2.29 (HPLC) · CBN + CBNA x 0.876</t>
        </is>
      </c>
      <c r="J191" s="256" t="inlineStr">
        <is>
          <t>≤ 1.0%, w/w</t>
        </is>
      </c>
      <c r="K191" s="259" t="inlineStr">
        <is>
          <t>not tested</t>
        </is>
      </c>
      <c r="L191" s="256" t="inlineStr">
        <is>
          <t>—</t>
        </is>
      </c>
      <c r="M191" s="256" t="inlineStr">
        <is>
          <t>—</t>
        </is>
      </c>
      <c r="N191" s="256" t="inlineStr">
        <is>
          <t>—</t>
        </is>
      </c>
      <c r="O191" s="256" t="inlineStr">
        <is>
          <t>—</t>
        </is>
      </c>
      <c r="P191" s="256" t="inlineStr">
        <is>
          <t>not tested — no certificate covers it</t>
        </is>
      </c>
      <c r="Q191" s="256" t="inlineStr"/>
      <c r="R191" s="256" t="inlineStr">
        <is>
          <t>&lt;LOQ (227-12-К/26)</t>
        </is>
      </c>
    </row>
    <row r="192">
      <c r="A192" s="256" t="inlineStr">
        <is>
          <t>CoQ-PP_26-009</t>
        </is>
      </c>
      <c r="B192" s="256" t="inlineStr">
        <is>
          <t>release</t>
        </is>
      </c>
      <c r="C192" s="256" t="inlineStr">
        <is>
          <t>MB0824_04</t>
        </is>
      </c>
      <c r="D192" s="256" t="inlineStr">
        <is>
          <t>P050032</t>
        </is>
      </c>
      <c r="E192" s="256" t="inlineStr">
        <is>
          <t>Motor Breath</t>
        </is>
      </c>
      <c r="F192" s="256" t="inlineStr">
        <is>
          <t>06.06.2026</t>
        </is>
      </c>
      <c r="G192" s="256" t="inlineStr">
        <is>
          <t>7</t>
        </is>
      </c>
      <c r="H192" s="256" t="inlineStr">
        <is>
          <t>Foreign Matter</t>
        </is>
      </c>
      <c r="I192" s="256" t="inlineStr">
        <is>
          <t>Ph. Eur. 2.8.2 · In-house · интерна</t>
        </is>
      </c>
      <c r="J192" s="256" t="inlineStr">
        <is>
          <t>≤ 2.0% / 25–50 g · &lt; 1 cm leaves | листови, no seeds | без семки</t>
        </is>
      </c>
      <c r="K192" s="256" t="inlineStr">
        <is>
          <t>Conforms | Одговара</t>
        </is>
      </c>
      <c r="L192" s="256" t="inlineStr">
        <is>
          <t>iCoA-PP_26-010</t>
        </is>
      </c>
      <c r="M192" s="256" t="inlineStr">
        <is>
          <t>03.06.2026</t>
        </is>
      </c>
      <c r="N192" s="256" t="inlineStr">
        <is>
          <t>Purely Plant GmbH (in-house)</t>
        </is>
      </c>
      <c r="O192" s="256" t="inlineStr">
        <is>
          <t>—</t>
        </is>
      </c>
      <c r="P192" s="256" t="inlineStr">
        <is>
          <t>to be performed — see route</t>
        </is>
      </c>
      <c r="Q192" s="256" t="inlineStr">
        <is>
          <t>Purely Plant laboratory — iCoA covering Foreign matter</t>
        </is>
      </c>
      <c r="R192" s="256" t="inlineStr"/>
    </row>
    <row r="193">
      <c r="A193" s="256" t="inlineStr">
        <is>
          <t>CoQ-PP_26-009</t>
        </is>
      </c>
      <c r="B193" s="256" t="inlineStr">
        <is>
          <t>release</t>
        </is>
      </c>
      <c r="C193" s="256" t="inlineStr">
        <is>
          <t>MB0824_04</t>
        </is>
      </c>
      <c r="D193" s="256" t="inlineStr">
        <is>
          <t>P050032</t>
        </is>
      </c>
      <c r="E193" s="256" t="inlineStr">
        <is>
          <t>Motor Breath</t>
        </is>
      </c>
      <c r="F193" s="256" t="inlineStr">
        <is>
          <t>06.06.2026</t>
        </is>
      </c>
      <c r="G193" s="256" t="inlineStr">
        <is>
          <t>8</t>
        </is>
      </c>
      <c r="H193" s="256" t="inlineStr">
        <is>
          <t>Loss on Drying</t>
        </is>
      </c>
      <c r="I193" s="256" t="inlineStr">
        <is>
          <t>DAB 2018 monograph Cannabis flos, 2.2.32 — loss on drying (CNP, before its Ph. Eur. 3028 accreditation)</t>
        </is>
      </c>
      <c r="J193" s="256" t="inlineStr">
        <is>
          <t>≤ 12.0%</t>
        </is>
      </c>
      <c r="K193" s="256" t="inlineStr">
        <is>
          <t>6.01</t>
        </is>
      </c>
      <c r="L193" s="256" t="inlineStr">
        <is>
          <t>ППК25118</t>
        </is>
      </c>
      <c r="M193" s="256" t="inlineStr">
        <is>
          <t>06.05.2025</t>
        </is>
      </c>
      <c r="N193" s="256" t="inlineStr">
        <is>
          <t>UKIM Faculty of Pharmacy — Center for Natural Products</t>
        </is>
      </c>
      <c r="O193" s="256" t="inlineStr">
        <is>
          <t>28.04.2025</t>
        </is>
      </c>
      <c r="P193" s="256" t="inlineStr">
        <is>
          <t>covered</t>
        </is>
      </c>
      <c r="Q193" s="256" t="inlineStr"/>
      <c r="R193" s="256" t="inlineStr"/>
    </row>
    <row r="194">
      <c r="A194" s="256" t="inlineStr">
        <is>
          <t>CoQ-PP_26-009</t>
        </is>
      </c>
      <c r="B194" s="256" t="inlineStr">
        <is>
          <t>release</t>
        </is>
      </c>
      <c r="C194" s="256" t="inlineStr">
        <is>
          <t>MB0824_04</t>
        </is>
      </c>
      <c r="D194" s="256" t="inlineStr">
        <is>
          <t>P050032</t>
        </is>
      </c>
      <c r="E194" s="256" t="inlineStr">
        <is>
          <t>Motor Breath</t>
        </is>
      </c>
      <c r="F194" s="256" t="inlineStr">
        <is>
          <t>06.06.2026</t>
        </is>
      </c>
      <c r="G194" s="256" t="inlineStr">
        <is>
          <t>9.1</t>
        </is>
      </c>
      <c r="H194" s="256" t="inlineStr">
        <is>
          <t>TAMC</t>
        </is>
      </c>
      <c r="I194" s="256" t="inlineStr">
        <is>
          <t>Ph. Eur. 2.6.12 cat. C</t>
        </is>
      </c>
      <c r="J194" s="256" t="inlineStr">
        <is>
          <t>≤ 10⁵ CFU/g</t>
        </is>
      </c>
      <c r="K194" s="256" t="inlineStr">
        <is>
          <t>&lt; 10</t>
        </is>
      </c>
      <c r="L194" s="256" t="inlineStr">
        <is>
          <t>406/0744/25</t>
        </is>
      </c>
      <c r="M194" s="256" t="inlineStr">
        <is>
          <t>05.05.2025</t>
        </is>
      </c>
      <c r="N194" s="256" t="inlineStr">
        <is>
          <t>IPH — Institute of Public Health</t>
        </is>
      </c>
      <c r="O194" s="256" t="inlineStr">
        <is>
          <t>—</t>
        </is>
      </c>
      <c r="P194" s="256" t="inlineStr">
        <is>
          <t>covered</t>
        </is>
      </c>
      <c r="Q194" s="256" t="inlineStr"/>
      <c r="R194" s="256" t="inlineStr"/>
    </row>
    <row r="195">
      <c r="A195" s="256" t="inlineStr">
        <is>
          <t>CoQ-PP_26-009</t>
        </is>
      </c>
      <c r="B195" s="256" t="inlineStr">
        <is>
          <t>release</t>
        </is>
      </c>
      <c r="C195" s="256" t="inlineStr">
        <is>
          <t>MB0824_04</t>
        </is>
      </c>
      <c r="D195" s="256" t="inlineStr">
        <is>
          <t>P050032</t>
        </is>
      </c>
      <c r="E195" s="256" t="inlineStr">
        <is>
          <t>Motor Breath</t>
        </is>
      </c>
      <c r="F195" s="256" t="inlineStr">
        <is>
          <t>06.06.2026</t>
        </is>
      </c>
      <c r="G195" s="256" t="inlineStr">
        <is>
          <t>9.2</t>
        </is>
      </c>
      <c r="H195" s="256" t="inlineStr">
        <is>
          <t>TYMC</t>
        </is>
      </c>
      <c r="I195" s="256" t="inlineStr">
        <is>
          <t>Ph. Eur. 2.6.12 cat. C</t>
        </is>
      </c>
      <c r="J195" s="256" t="inlineStr">
        <is>
          <t>≤ 10⁴ CFU/g</t>
        </is>
      </c>
      <c r="K195" s="256" t="inlineStr">
        <is>
          <t>&lt; 10</t>
        </is>
      </c>
      <c r="L195" s="256" t="inlineStr">
        <is>
          <t>406/0744/25</t>
        </is>
      </c>
      <c r="M195" s="256" t="inlineStr">
        <is>
          <t>05.05.2025</t>
        </is>
      </c>
      <c r="N195" s="256" t="inlineStr">
        <is>
          <t>IPH — Institute of Public Health</t>
        </is>
      </c>
      <c r="O195" s="256" t="inlineStr">
        <is>
          <t>—</t>
        </is>
      </c>
      <c r="P195" s="256" t="inlineStr">
        <is>
          <t>covered</t>
        </is>
      </c>
      <c r="Q195" s="256" t="inlineStr"/>
      <c r="R195" s="256" t="inlineStr"/>
    </row>
    <row r="196">
      <c r="A196" s="256" t="inlineStr">
        <is>
          <t>CoQ-PP_26-009</t>
        </is>
      </c>
      <c r="B196" s="256" t="inlineStr">
        <is>
          <t>release</t>
        </is>
      </c>
      <c r="C196" s="256" t="inlineStr">
        <is>
          <t>MB0824_04</t>
        </is>
      </c>
      <c r="D196" s="256" t="inlineStr">
        <is>
          <t>P050032</t>
        </is>
      </c>
      <c r="E196" s="256" t="inlineStr">
        <is>
          <t>Motor Breath</t>
        </is>
      </c>
      <c r="F196" s="256" t="inlineStr">
        <is>
          <t>06.06.2026</t>
        </is>
      </c>
      <c r="G196" s="256" t="inlineStr">
        <is>
          <t>9.3</t>
        </is>
      </c>
      <c r="H196" s="256" t="inlineStr">
        <is>
          <t>Bile-tolerant gram-neg.</t>
        </is>
      </c>
      <c r="I196" s="256" t="inlineStr">
        <is>
          <t>Ph. Eur. 2.6.31 cat. C</t>
        </is>
      </c>
      <c r="J196" s="256" t="inlineStr">
        <is>
          <t>≤ 10⁴ CFU/g</t>
        </is>
      </c>
      <c r="K196" s="256" t="inlineStr">
        <is>
          <t>&lt; 10</t>
        </is>
      </c>
      <c r="L196" s="256" t="inlineStr">
        <is>
          <t>406/0744/25</t>
        </is>
      </c>
      <c r="M196" s="256" t="inlineStr">
        <is>
          <t>05.05.2025</t>
        </is>
      </c>
      <c r="N196" s="256" t="inlineStr">
        <is>
          <t>IPH — Institute of Public Health</t>
        </is>
      </c>
      <c r="O196" s="256" t="inlineStr">
        <is>
          <t>—</t>
        </is>
      </c>
      <c r="P196" s="256" t="inlineStr">
        <is>
          <t>covered</t>
        </is>
      </c>
      <c r="Q196" s="256" t="inlineStr"/>
      <c r="R196" s="256" t="inlineStr"/>
    </row>
    <row r="197">
      <c r="A197" s="256" t="inlineStr">
        <is>
          <t>CoQ-PP_26-009</t>
        </is>
      </c>
      <c r="B197" s="256" t="inlineStr">
        <is>
          <t>release</t>
        </is>
      </c>
      <c r="C197" s="256" t="inlineStr">
        <is>
          <t>MB0824_04</t>
        </is>
      </c>
      <c r="D197" s="256" t="inlineStr">
        <is>
          <t>P050032</t>
        </is>
      </c>
      <c r="E197" s="256" t="inlineStr">
        <is>
          <t>Motor Breath</t>
        </is>
      </c>
      <c r="F197" s="256" t="inlineStr">
        <is>
          <t>06.06.2026</t>
        </is>
      </c>
      <c r="G197" s="256" t="inlineStr">
        <is>
          <t>9.4</t>
        </is>
      </c>
      <c r="H197" s="256" t="inlineStr">
        <is>
          <t>Salmonella</t>
        </is>
      </c>
      <c r="I197" s="256" t="inlineStr">
        <is>
          <t>Ph. Eur. 2.6.31 cat. C</t>
        </is>
      </c>
      <c r="J197" s="256" t="inlineStr">
        <is>
          <t>Absence | Отсуство / 25 g</t>
        </is>
      </c>
      <c r="K197" s="256" t="inlineStr">
        <is>
          <t>Absent | Отсутна</t>
        </is>
      </c>
      <c r="L197" s="256" t="inlineStr">
        <is>
          <t>406/0744/25</t>
        </is>
      </c>
      <c r="M197" s="256" t="inlineStr">
        <is>
          <t>05.05.2025</t>
        </is>
      </c>
      <c r="N197" s="256" t="inlineStr">
        <is>
          <t>IPH — Institute of Public Health</t>
        </is>
      </c>
      <c r="O197" s="256" t="inlineStr">
        <is>
          <t>—</t>
        </is>
      </c>
      <c r="P197" s="256" t="inlineStr">
        <is>
          <t>covered</t>
        </is>
      </c>
      <c r="Q197" s="256" t="inlineStr"/>
      <c r="R197" s="256" t="inlineStr"/>
    </row>
    <row r="198">
      <c r="A198" s="256" t="inlineStr">
        <is>
          <t>CoQ-PP_26-009</t>
        </is>
      </c>
      <c r="B198" s="256" t="inlineStr">
        <is>
          <t>release</t>
        </is>
      </c>
      <c r="C198" s="256" t="inlineStr">
        <is>
          <t>MB0824_04</t>
        </is>
      </c>
      <c r="D198" s="256" t="inlineStr">
        <is>
          <t>P050032</t>
        </is>
      </c>
      <c r="E198" s="256" t="inlineStr">
        <is>
          <t>Motor Breath</t>
        </is>
      </c>
      <c r="F198" s="256" t="inlineStr">
        <is>
          <t>06.06.2026</t>
        </is>
      </c>
      <c r="G198" s="256" t="inlineStr">
        <is>
          <t>9.5</t>
        </is>
      </c>
      <c r="H198" s="256" t="inlineStr">
        <is>
          <t>Escherichia coli</t>
        </is>
      </c>
      <c r="I198" s="256" t="inlineStr">
        <is>
          <t>Ph. Eur. 2.6.13 cat. C</t>
        </is>
      </c>
      <c r="J198" s="256" t="inlineStr">
        <is>
          <t>Absence | Отсуство / 1 g</t>
        </is>
      </c>
      <c r="K198" s="256" t="inlineStr">
        <is>
          <t>Absent | Отсутна</t>
        </is>
      </c>
      <c r="L198" s="256" t="inlineStr">
        <is>
          <t>406/0744/25</t>
        </is>
      </c>
      <c r="M198" s="256" t="inlineStr">
        <is>
          <t>05.05.2025</t>
        </is>
      </c>
      <c r="N198" s="256" t="inlineStr">
        <is>
          <t>IPH — Institute of Public Health</t>
        </is>
      </c>
      <c r="O198" s="256" t="inlineStr">
        <is>
          <t>—</t>
        </is>
      </c>
      <c r="P198" s="256" t="inlineStr">
        <is>
          <t>covered</t>
        </is>
      </c>
      <c r="Q198" s="256" t="inlineStr"/>
      <c r="R198" s="256" t="inlineStr"/>
    </row>
    <row r="199">
      <c r="A199" s="256" t="inlineStr">
        <is>
          <t>CoQ-PP_26-009</t>
        </is>
      </c>
      <c r="B199" s="256" t="inlineStr">
        <is>
          <t>release</t>
        </is>
      </c>
      <c r="C199" s="256" t="inlineStr">
        <is>
          <t>MB0824_04</t>
        </is>
      </c>
      <c r="D199" s="256" t="inlineStr">
        <is>
          <t>P050032</t>
        </is>
      </c>
      <c r="E199" s="256" t="inlineStr">
        <is>
          <t>Motor Breath</t>
        </is>
      </c>
      <c r="F199" s="256" t="inlineStr">
        <is>
          <t>06.06.2026</t>
        </is>
      </c>
      <c r="G199" s="256" t="inlineStr">
        <is>
          <t>9.6</t>
        </is>
      </c>
      <c r="H199" s="256" t="inlineStr">
        <is>
          <t>Pseudomonas aeruginosa</t>
        </is>
      </c>
      <c r="I199" s="256" t="inlineStr">
        <is>
          <t>Ph. Eur. 2.6.13 cat. C</t>
        </is>
      </c>
      <c r="J199" s="256" t="inlineStr">
        <is>
          <t>Absence | Отсуство / 1 g</t>
        </is>
      </c>
      <c r="K199" s="260" t="inlineStr">
        <is>
          <t>upon request — not required for release</t>
        </is>
      </c>
      <c r="L199" s="256" t="inlineStr">
        <is>
          <t>—</t>
        </is>
      </c>
      <c r="M199" s="256" t="inlineStr">
        <is>
          <t>—</t>
        </is>
      </c>
      <c r="N199" s="256" t="inlineStr">
        <is>
          <t>—</t>
        </is>
      </c>
      <c r="O199" s="256" t="inlineStr">
        <is>
          <t>—</t>
        </is>
      </c>
      <c r="P199" s="256" t="inlineStr">
        <is>
          <t>upon request — not required for release</t>
        </is>
      </c>
      <c r="Q199" s="256" t="inlineStr"/>
      <c r="R199" s="256" t="inlineStr"/>
    </row>
    <row r="200">
      <c r="A200" s="256" t="inlineStr">
        <is>
          <t>CoQ-PP_26-009</t>
        </is>
      </c>
      <c r="B200" s="256" t="inlineStr">
        <is>
          <t>release</t>
        </is>
      </c>
      <c r="C200" s="256" t="inlineStr">
        <is>
          <t>MB0824_04</t>
        </is>
      </c>
      <c r="D200" s="256" t="inlineStr">
        <is>
          <t>P050032</t>
        </is>
      </c>
      <c r="E200" s="256" t="inlineStr">
        <is>
          <t>Motor Breath</t>
        </is>
      </c>
      <c r="F200" s="256" t="inlineStr">
        <is>
          <t>06.06.2026</t>
        </is>
      </c>
      <c r="G200" s="256" t="inlineStr">
        <is>
          <t>9.7</t>
        </is>
      </c>
      <c r="H200" s="256" t="inlineStr">
        <is>
          <t>Staphylococcus aureus</t>
        </is>
      </c>
      <c r="I200" s="256" t="inlineStr">
        <is>
          <t>Ph. Eur. 2.6.13 cat. C</t>
        </is>
      </c>
      <c r="J200" s="256" t="inlineStr">
        <is>
          <t>Absence | Отсуство / 1 g</t>
        </is>
      </c>
      <c r="K200" s="260" t="inlineStr">
        <is>
          <t>upon request — not required for release</t>
        </is>
      </c>
      <c r="L200" s="256" t="inlineStr">
        <is>
          <t>—</t>
        </is>
      </c>
      <c r="M200" s="256" t="inlineStr">
        <is>
          <t>—</t>
        </is>
      </c>
      <c r="N200" s="256" t="inlineStr">
        <is>
          <t>—</t>
        </is>
      </c>
      <c r="O200" s="256" t="inlineStr">
        <is>
          <t>—</t>
        </is>
      </c>
      <c r="P200" s="256" t="inlineStr">
        <is>
          <t>upon request — not required for release</t>
        </is>
      </c>
      <c r="Q200" s="256" t="inlineStr"/>
      <c r="R200" s="256" t="inlineStr"/>
    </row>
    <row r="201">
      <c r="A201" s="256" t="inlineStr">
        <is>
          <t>CoQ-PP_26-009</t>
        </is>
      </c>
      <c r="B201" s="256" t="inlineStr">
        <is>
          <t>release</t>
        </is>
      </c>
      <c r="C201" s="256" t="inlineStr">
        <is>
          <t>MB0824_04</t>
        </is>
      </c>
      <c r="D201" s="256" t="inlineStr">
        <is>
          <t>P050032</t>
        </is>
      </c>
      <c r="E201" s="256" t="inlineStr">
        <is>
          <t>Motor Breath</t>
        </is>
      </c>
      <c r="F201" s="256" t="inlineStr">
        <is>
          <t>06.06.2026</t>
        </is>
      </c>
      <c r="G201" s="256" t="inlineStr">
        <is>
          <t>10.1</t>
        </is>
      </c>
      <c r="H201" s="256" t="inlineStr">
        <is>
          <t>Aflatoxin B₁</t>
        </is>
      </c>
      <c r="I201" s="256" t="inlineStr">
        <is>
          <t>Ph. Eur. 2.8.18 (HPLC-FLD)</t>
        </is>
      </c>
      <c r="J201" s="256" t="inlineStr">
        <is>
          <t>≤ 2 µg/kg</t>
        </is>
      </c>
      <c r="K201" s="259" t="inlineStr">
        <is>
          <t>not tested</t>
        </is>
      </c>
      <c r="L201" s="256" t="inlineStr">
        <is>
          <t>—</t>
        </is>
      </c>
      <c r="M201" s="256" t="inlineStr">
        <is>
          <t>—</t>
        </is>
      </c>
      <c r="N201" s="256" t="inlineStr">
        <is>
          <t>—</t>
        </is>
      </c>
      <c r="O201" s="256" t="inlineStr">
        <is>
          <t>—</t>
        </is>
      </c>
      <c r="P201" s="256" t="inlineStr">
        <is>
          <t>not tested — no certificate covers it</t>
        </is>
      </c>
      <c r="Q201" s="256" t="inlineStr"/>
      <c r="R201" s="256" t="inlineStr"/>
    </row>
    <row r="202">
      <c r="A202" s="256" t="inlineStr">
        <is>
          <t>CoQ-PP_26-009</t>
        </is>
      </c>
      <c r="B202" s="256" t="inlineStr">
        <is>
          <t>release</t>
        </is>
      </c>
      <c r="C202" s="256" t="inlineStr">
        <is>
          <t>MB0824_04</t>
        </is>
      </c>
      <c r="D202" s="256" t="inlineStr">
        <is>
          <t>P050032</t>
        </is>
      </c>
      <c r="E202" s="256" t="inlineStr">
        <is>
          <t>Motor Breath</t>
        </is>
      </c>
      <c r="F202" s="256" t="inlineStr">
        <is>
          <t>06.06.2026</t>
        </is>
      </c>
      <c r="G202" s="256" t="inlineStr">
        <is>
          <t>10.2</t>
        </is>
      </c>
      <c r="H202" s="256" t="inlineStr">
        <is>
          <t>Aflatoxins ∑</t>
        </is>
      </c>
      <c r="I202" s="256" t="inlineStr">
        <is>
          <t>Ph. Eur. 2.8.18 (HPLC-FLD)</t>
        </is>
      </c>
      <c r="J202" s="256" t="inlineStr">
        <is>
          <t>≤ 4 µg/kg</t>
        </is>
      </c>
      <c r="K202" s="256" t="inlineStr">
        <is>
          <t>&lt; 2</t>
        </is>
      </c>
      <c r="L202" s="256" t="inlineStr">
        <is>
          <t>2157/2025</t>
        </is>
      </c>
      <c r="M202" s="256" t="inlineStr">
        <is>
          <t>07.05.2025</t>
        </is>
      </c>
      <c r="N202" s="256" t="inlineStr">
        <is>
          <t>IPH — Institute of Public Health</t>
        </is>
      </c>
      <c r="O202" s="256" t="inlineStr">
        <is>
          <t>28.04.2025</t>
        </is>
      </c>
      <c r="P202" s="256" t="inlineStr">
        <is>
          <t>covered</t>
        </is>
      </c>
      <c r="Q202" s="256" t="inlineStr"/>
      <c r="R202" s="256" t="inlineStr"/>
    </row>
    <row r="203">
      <c r="A203" s="256" t="inlineStr">
        <is>
          <t>CoQ-PP_26-009</t>
        </is>
      </c>
      <c r="B203" s="256" t="inlineStr">
        <is>
          <t>release</t>
        </is>
      </c>
      <c r="C203" s="256" t="inlineStr">
        <is>
          <t>MB0824_04</t>
        </is>
      </c>
      <c r="D203" s="256" t="inlineStr">
        <is>
          <t>P050032</t>
        </is>
      </c>
      <c r="E203" s="256" t="inlineStr">
        <is>
          <t>Motor Breath</t>
        </is>
      </c>
      <c r="F203" s="256" t="inlineStr">
        <is>
          <t>06.06.2026</t>
        </is>
      </c>
      <c r="G203" s="256" t="inlineStr">
        <is>
          <t>10.3</t>
        </is>
      </c>
      <c r="H203" s="256" t="inlineStr">
        <is>
          <t>Ochratoxin A</t>
        </is>
      </c>
      <c r="I203" s="256" t="inlineStr">
        <is>
          <t>Ph. Eur. 2.8.22 (HPLC-FLD)</t>
        </is>
      </c>
      <c r="J203" s="256" t="inlineStr">
        <is>
          <t>≤ 20 µg/kg</t>
        </is>
      </c>
      <c r="K203" s="259" t="inlineStr">
        <is>
          <t>not tested</t>
        </is>
      </c>
      <c r="L203" s="256" t="inlineStr">
        <is>
          <t>—</t>
        </is>
      </c>
      <c r="M203" s="256" t="inlineStr">
        <is>
          <t>—</t>
        </is>
      </c>
      <c r="N203" s="256" t="inlineStr">
        <is>
          <t>—</t>
        </is>
      </c>
      <c r="O203" s="256" t="inlineStr">
        <is>
          <t>—</t>
        </is>
      </c>
      <c r="P203" s="256" t="inlineStr">
        <is>
          <t>not tested — no certificate covers it</t>
        </is>
      </c>
      <c r="Q203" s="256" t="inlineStr"/>
      <c r="R203" s="256" t="inlineStr"/>
    </row>
    <row r="204">
      <c r="A204" s="256" t="inlineStr">
        <is>
          <t>CoQ-PP_26-009</t>
        </is>
      </c>
      <c r="B204" s="256" t="inlineStr">
        <is>
          <t>release</t>
        </is>
      </c>
      <c r="C204" s="256" t="inlineStr">
        <is>
          <t>MB0824_04</t>
        </is>
      </c>
      <c r="D204" s="256" t="inlineStr">
        <is>
          <t>P050032</t>
        </is>
      </c>
      <c r="E204" s="256" t="inlineStr">
        <is>
          <t>Motor Breath</t>
        </is>
      </c>
      <c r="F204" s="256" t="inlineStr">
        <is>
          <t>06.06.2026</t>
        </is>
      </c>
      <c r="G204" s="256" t="inlineStr">
        <is>
          <t>11.1</t>
        </is>
      </c>
      <c r="H204" s="256" t="inlineStr">
        <is>
          <t>Lead (Pb)</t>
        </is>
      </c>
      <c r="I204" s="256" t="inlineStr">
        <is>
          <t>Ph. Eur. 2.4.27 (ICP-MS)</t>
        </is>
      </c>
      <c r="J204" s="256" t="inlineStr">
        <is>
          <t>≤ 0.5 mg/kg</t>
        </is>
      </c>
      <c r="K204" s="256" t="inlineStr">
        <is>
          <t>0.031</t>
        </is>
      </c>
      <c r="L204" s="256" t="inlineStr">
        <is>
          <t>2157/2025</t>
        </is>
      </c>
      <c r="M204" s="256" t="inlineStr">
        <is>
          <t>07.05.2025</t>
        </is>
      </c>
      <c r="N204" s="256" t="inlineStr">
        <is>
          <t>IPH — Institute of Public Health</t>
        </is>
      </c>
      <c r="O204" s="256" t="inlineStr">
        <is>
          <t>28.04.2025</t>
        </is>
      </c>
      <c r="P204" s="256" t="inlineStr">
        <is>
          <t>covered</t>
        </is>
      </c>
      <c r="Q204" s="256" t="inlineStr"/>
      <c r="R204" s="256" t="inlineStr"/>
    </row>
    <row r="205">
      <c r="A205" s="256" t="inlineStr">
        <is>
          <t>CoQ-PP_26-009</t>
        </is>
      </c>
      <c r="B205" s="256" t="inlineStr">
        <is>
          <t>release</t>
        </is>
      </c>
      <c r="C205" s="256" t="inlineStr">
        <is>
          <t>MB0824_04</t>
        </is>
      </c>
      <c r="D205" s="256" t="inlineStr">
        <is>
          <t>P050032</t>
        </is>
      </c>
      <c r="E205" s="256" t="inlineStr">
        <is>
          <t>Motor Breath</t>
        </is>
      </c>
      <c r="F205" s="256" t="inlineStr">
        <is>
          <t>06.06.2026</t>
        </is>
      </c>
      <c r="G205" s="256" t="inlineStr">
        <is>
          <t>11.2</t>
        </is>
      </c>
      <c r="H205" s="256" t="inlineStr">
        <is>
          <t>Cadmium (Cd)</t>
        </is>
      </c>
      <c r="I205" s="256" t="inlineStr">
        <is>
          <t>Ph. Eur. 2.4.27 (ICP-MS)</t>
        </is>
      </c>
      <c r="J205" s="256" t="inlineStr">
        <is>
          <t>≤ 0.3 mg/kg</t>
        </is>
      </c>
      <c r="K205" s="256" t="inlineStr">
        <is>
          <t>0.005</t>
        </is>
      </c>
      <c r="L205" s="256" t="inlineStr">
        <is>
          <t>2157/2025</t>
        </is>
      </c>
      <c r="M205" s="256" t="inlineStr">
        <is>
          <t>07.05.2025</t>
        </is>
      </c>
      <c r="N205" s="256" t="inlineStr">
        <is>
          <t>IPH — Institute of Public Health</t>
        </is>
      </c>
      <c r="O205" s="256" t="inlineStr">
        <is>
          <t>28.04.2025</t>
        </is>
      </c>
      <c r="P205" s="256" t="inlineStr">
        <is>
          <t>covered</t>
        </is>
      </c>
      <c r="Q205" s="256" t="inlineStr"/>
      <c r="R205" s="256" t="inlineStr"/>
    </row>
    <row r="206">
      <c r="A206" s="256" t="inlineStr">
        <is>
          <t>CoQ-PP_26-009</t>
        </is>
      </c>
      <c r="B206" s="256" t="inlineStr">
        <is>
          <t>release</t>
        </is>
      </c>
      <c r="C206" s="256" t="inlineStr">
        <is>
          <t>MB0824_04</t>
        </is>
      </c>
      <c r="D206" s="256" t="inlineStr">
        <is>
          <t>P050032</t>
        </is>
      </c>
      <c r="E206" s="256" t="inlineStr">
        <is>
          <t>Motor Breath</t>
        </is>
      </c>
      <c r="F206" s="256" t="inlineStr">
        <is>
          <t>06.06.2026</t>
        </is>
      </c>
      <c r="G206" s="256" t="inlineStr">
        <is>
          <t>11.3</t>
        </is>
      </c>
      <c r="H206" s="256" t="inlineStr">
        <is>
          <t>Arsenic (As)</t>
        </is>
      </c>
      <c r="I206" s="256" t="inlineStr">
        <is>
          <t>Ph. Eur. 2.4.27 (ICP-MS)</t>
        </is>
      </c>
      <c r="J206" s="256" t="inlineStr">
        <is>
          <t>≤ 0.2 mg/kg</t>
        </is>
      </c>
      <c r="K206" s="256" t="inlineStr">
        <is>
          <t>0.011</t>
        </is>
      </c>
      <c r="L206" s="256" t="inlineStr">
        <is>
          <t>2157/2025</t>
        </is>
      </c>
      <c r="M206" s="256" t="inlineStr">
        <is>
          <t>07.05.2025</t>
        </is>
      </c>
      <c r="N206" s="256" t="inlineStr">
        <is>
          <t>IPH — Institute of Public Health</t>
        </is>
      </c>
      <c r="O206" s="256" t="inlineStr">
        <is>
          <t>28.04.2025</t>
        </is>
      </c>
      <c r="P206" s="256" t="inlineStr">
        <is>
          <t>covered</t>
        </is>
      </c>
      <c r="Q206" s="256" t="inlineStr"/>
      <c r="R206" s="256" t="inlineStr"/>
    </row>
    <row r="207">
      <c r="A207" s="256" t="inlineStr">
        <is>
          <t>CoQ-PP_26-009</t>
        </is>
      </c>
      <c r="B207" s="256" t="inlineStr">
        <is>
          <t>release</t>
        </is>
      </c>
      <c r="C207" s="256" t="inlineStr">
        <is>
          <t>MB0824_04</t>
        </is>
      </c>
      <c r="D207" s="256" t="inlineStr">
        <is>
          <t>P050032</t>
        </is>
      </c>
      <c r="E207" s="256" t="inlineStr">
        <is>
          <t>Motor Breath</t>
        </is>
      </c>
      <c r="F207" s="256" t="inlineStr">
        <is>
          <t>06.06.2026</t>
        </is>
      </c>
      <c r="G207" s="256" t="inlineStr">
        <is>
          <t>11.4</t>
        </is>
      </c>
      <c r="H207" s="256" t="inlineStr">
        <is>
          <t>Mercury (Hg)</t>
        </is>
      </c>
      <c r="I207" s="256" t="inlineStr">
        <is>
          <t>Ph. Eur. 2.4.27 (ICP-MS)</t>
        </is>
      </c>
      <c r="J207" s="256" t="inlineStr">
        <is>
          <t>≤ 0.1 mg/kg</t>
        </is>
      </c>
      <c r="K207" s="256" t="inlineStr">
        <is>
          <t>ND</t>
        </is>
      </c>
      <c r="L207" s="256" t="inlineStr">
        <is>
          <t>2157/2025</t>
        </is>
      </c>
      <c r="M207" s="256" t="inlineStr">
        <is>
          <t>07.05.2025</t>
        </is>
      </c>
      <c r="N207" s="256" t="inlineStr">
        <is>
          <t>IPH — Institute of Public Health</t>
        </is>
      </c>
      <c r="O207" s="256" t="inlineStr">
        <is>
          <t>28.04.2025</t>
        </is>
      </c>
      <c r="P207" s="256" t="inlineStr">
        <is>
          <t>covered</t>
        </is>
      </c>
      <c r="Q207" s="256" t="inlineStr"/>
      <c r="R207" s="256" t="inlineStr"/>
    </row>
    <row r="208">
      <c r="A208" s="256" t="inlineStr">
        <is>
          <t>CoQ-PP_26-009</t>
        </is>
      </c>
      <c r="B208" s="256" t="inlineStr">
        <is>
          <t>release</t>
        </is>
      </c>
      <c r="C208" s="256" t="inlineStr">
        <is>
          <t>MB0824_04</t>
        </is>
      </c>
      <c r="D208" s="256" t="inlineStr">
        <is>
          <t>P050032</t>
        </is>
      </c>
      <c r="E208" s="256" t="inlineStr">
        <is>
          <t>Motor Breath</t>
        </is>
      </c>
      <c r="F208" s="256" t="inlineStr">
        <is>
          <t>06.06.2026</t>
        </is>
      </c>
      <c r="G208" s="256" t="inlineStr">
        <is>
          <t>12</t>
        </is>
      </c>
      <c r="H208" s="256" t="inlineStr">
        <is>
          <t>Pesticide Residues</t>
        </is>
      </c>
      <c r="I208" s="256" t="inlineStr">
        <is>
          <t>Ph. Eur. 2.8.13 (LC-MS/MS) · CUMCS Equivalency</t>
        </is>
      </c>
      <c r="J208" s="256" t="inlineStr">
        <is>
          <t>≤ LOQ as per Ph. Eur. 2.8.13 · ≤ LOQ as per CUMCS Equivalency</t>
        </is>
      </c>
      <c r="K208" s="256" t="inlineStr">
        <is>
          <t>ND</t>
        </is>
      </c>
      <c r="L208" s="256" t="inlineStr">
        <is>
          <t>2157/2025</t>
        </is>
      </c>
      <c r="M208" s="256" t="inlineStr">
        <is>
          <t>07.05.2025</t>
        </is>
      </c>
      <c r="N208" s="256" t="inlineStr">
        <is>
          <t>IPH — Institute of Public Health</t>
        </is>
      </c>
      <c r="O208" s="256" t="inlineStr">
        <is>
          <t>28.04.2025</t>
        </is>
      </c>
      <c r="P208" s="256" t="inlineStr">
        <is>
          <t>covered</t>
        </is>
      </c>
      <c r="Q208" s="256" t="inlineStr"/>
      <c r="R208" s="256" t="inlineStr"/>
    </row>
    <row r="209">
      <c r="A209" s="256" t="inlineStr">
        <is>
          <t>CoQ-PP_26-010</t>
        </is>
      </c>
      <c r="B209" s="256" t="inlineStr">
        <is>
          <t>release</t>
        </is>
      </c>
      <c r="C209" s="256" t="inlineStr">
        <is>
          <t>OMP1024_01</t>
        </is>
      </c>
      <c r="D209" s="256" t="inlineStr">
        <is>
          <t>P050042</t>
        </is>
      </c>
      <c r="E209" s="256" t="inlineStr">
        <is>
          <t>Orange Punch Mimosa</t>
        </is>
      </c>
      <c r="F209" s="256" t="inlineStr">
        <is>
          <t>06.06.2026</t>
        </is>
      </c>
      <c r="G209" s="256" t="inlineStr">
        <is>
          <t>1</t>
        </is>
      </c>
      <c r="H209" s="256" t="inlineStr">
        <is>
          <t>Identification A, Appearance · Macroscopic</t>
        </is>
      </c>
      <c r="I209" s="256" t="inlineStr">
        <is>
          <t>Ph. Eur. mon. 3028</t>
        </is>
      </c>
      <c r="J209" s="256" t="inlineStr">
        <is>
          <t>Conforms to the monograph for Cannabis flos (07/2024:3028) in Ph. Eur. 11.0 | Согласно монографија за Cannabis flos (07/2024:3028) во Ph. Eur. 11.0</t>
        </is>
      </c>
      <c r="K209" s="256" t="inlineStr">
        <is>
          <t>Conforms | Одговара</t>
        </is>
      </c>
      <c r="L209" s="256" t="inlineStr">
        <is>
          <t>iCoA-PP_26-092</t>
        </is>
      </c>
      <c r="M209" s="256" t="inlineStr">
        <is>
          <t>03.06.2026</t>
        </is>
      </c>
      <c r="N209" s="256" t="inlineStr">
        <is>
          <t>Purely Plant GmbH (in-house)</t>
        </is>
      </c>
      <c r="O209" s="256" t="inlineStr">
        <is>
          <t>—</t>
        </is>
      </c>
      <c r="P209" s="256" t="inlineStr">
        <is>
          <t>to be performed — see route</t>
        </is>
      </c>
      <c r="Q209" s="256" t="inlineStr">
        <is>
          <t>Purely Plant laboratory — iCoA covering Ident A + B</t>
        </is>
      </c>
      <c r="R209" s="256" t="inlineStr"/>
    </row>
    <row r="210">
      <c r="A210" s="256" t="inlineStr">
        <is>
          <t>CoQ-PP_26-010</t>
        </is>
      </c>
      <c r="B210" s="256" t="inlineStr">
        <is>
          <t>release</t>
        </is>
      </c>
      <c r="C210" s="256" t="inlineStr">
        <is>
          <t>OMP1024_01</t>
        </is>
      </c>
      <c r="D210" s="256" t="inlineStr">
        <is>
          <t>P050042</t>
        </is>
      </c>
      <c r="E210" s="256" t="inlineStr">
        <is>
          <t>Orange Punch Mimosa</t>
        </is>
      </c>
      <c r="F210" s="256" t="inlineStr">
        <is>
          <t>06.06.2026</t>
        </is>
      </c>
      <c r="G210" s="256" t="inlineStr">
        <is>
          <t>2</t>
        </is>
      </c>
      <c r="H210" s="256" t="inlineStr">
        <is>
          <t>Identification B · Microscopic</t>
        </is>
      </c>
      <c r="I210" s="256" t="inlineStr">
        <is>
          <t>Ph. Eur. 2.8.23 (microscopy)</t>
        </is>
      </c>
      <c r="J210" s="256" t="inlineStr">
        <is>
          <t>Conforms to the monograph for Cannabis flos (07/2024:3028) in Ph. Eur. 11.0 | Согласно монографија за Cannabis flos (07/2024:3028) во Ph. Eur. 11.0</t>
        </is>
      </c>
      <c r="K210" s="256" t="inlineStr">
        <is>
          <t>Conforms | Одговара</t>
        </is>
      </c>
      <c r="L210" s="256" t="inlineStr">
        <is>
          <t>iCoA-PP_26-092</t>
        </is>
      </c>
      <c r="M210" s="256" t="inlineStr">
        <is>
          <t>03.06.2026</t>
        </is>
      </c>
      <c r="N210" s="256" t="inlineStr">
        <is>
          <t>Purely Plant GmbH (in-house)</t>
        </is>
      </c>
      <c r="O210" s="256" t="inlineStr">
        <is>
          <t>—</t>
        </is>
      </c>
      <c r="P210" s="256" t="inlineStr">
        <is>
          <t>to be performed — see route</t>
        </is>
      </c>
      <c r="Q210" s="256" t="inlineStr">
        <is>
          <t>Purely Plant laboratory — iCoA covering Ident A + B</t>
        </is>
      </c>
      <c r="R210" s="256" t="inlineStr"/>
    </row>
    <row r="211">
      <c r="A211" s="256" t="inlineStr">
        <is>
          <t>CoQ-PP_26-010</t>
        </is>
      </c>
      <c r="B211" s="256" t="inlineStr">
        <is>
          <t>release</t>
        </is>
      </c>
      <c r="C211" s="256" t="inlineStr">
        <is>
          <t>OMP1024_01</t>
        </is>
      </c>
      <c r="D211" s="256" t="inlineStr">
        <is>
          <t>P050042</t>
        </is>
      </c>
      <c r="E211" s="256" t="inlineStr">
        <is>
          <t>Orange Punch Mimosa</t>
        </is>
      </c>
      <c r="F211" s="256" t="inlineStr">
        <is>
          <t>06.06.2026</t>
        </is>
      </c>
      <c r="G211" s="256" t="inlineStr">
        <is>
          <t>3</t>
        </is>
      </c>
      <c r="H211" s="256" t="inlineStr">
        <is>
          <t>Identification C · HPLC/HPTLC</t>
        </is>
      </c>
      <c r="I211" s="256" t="inlineStr">
        <is>
          <t>HPLC — DAB 2018 monograph Cannabis flos, 2.2.29 (CNP, before its Ph. Eur. 3028 accreditation)</t>
        </is>
      </c>
      <c r="J211" s="256" t="inlineStr">
        <is>
          <t>Conforms to the monograph for Cannabis flos (07/2024:3028) in Ph. Eur. 11.0 | Согласно монографија за Cannabis flos (07/2024:3028) во Ph. Eur. 11.0</t>
        </is>
      </c>
      <c r="K211" s="256" t="inlineStr">
        <is>
          <t>Conforms | Одговара</t>
        </is>
      </c>
      <c r="L211" s="256" t="inlineStr">
        <is>
          <t>ППК25117</t>
        </is>
      </c>
      <c r="M211" s="256" t="inlineStr">
        <is>
          <t>06.05.2025</t>
        </is>
      </c>
      <c r="N211" s="256" t="inlineStr">
        <is>
          <t>UKIM Faculty of Pharmacy — Center for Natural Products</t>
        </is>
      </c>
      <c r="O211" s="256" t="inlineStr">
        <is>
          <t>28.04.2025</t>
        </is>
      </c>
      <c r="P211" s="256" t="inlineStr">
        <is>
          <t>covered</t>
        </is>
      </c>
      <c r="Q211" s="256" t="inlineStr"/>
      <c r="R211" s="256" t="inlineStr"/>
    </row>
    <row r="212">
      <c r="A212" s="256" t="inlineStr">
        <is>
          <t>CoQ-PP_26-010</t>
        </is>
      </c>
      <c r="B212" s="256" t="inlineStr">
        <is>
          <t>release</t>
        </is>
      </c>
      <c r="C212" s="256" t="inlineStr">
        <is>
          <t>OMP1024_01</t>
        </is>
      </c>
      <c r="D212" s="256" t="inlineStr">
        <is>
          <t>P050042</t>
        </is>
      </c>
      <c r="E212" s="256" t="inlineStr">
        <is>
          <t>Orange Punch Mimosa</t>
        </is>
      </c>
      <c r="F212" s="256" t="inlineStr">
        <is>
          <t>06.06.2026</t>
        </is>
      </c>
      <c r="G212" s="256" t="inlineStr">
        <is>
          <t>4</t>
        </is>
      </c>
      <c r="H212" s="256" t="inlineStr">
        <is>
          <t>Assay — Total Δ⁹-THC</t>
        </is>
      </c>
      <c r="I212" s="256" t="inlineStr">
        <is>
          <t>HPLC — DAB 2018 monograph Cannabis flos, 2.2.29 (CNP, before its Ph. Eur. 3028 accreditation)</t>
        </is>
      </c>
      <c r="J212" s="256" t="inlineStr">
        <is>
          <t>12.60 – 15.39 %  (grade III, nominal 14.00 ± 1.40)</t>
        </is>
      </c>
      <c r="K212" s="256" t="inlineStr">
        <is>
          <t>15.38</t>
        </is>
      </c>
      <c r="L212" s="256" t="inlineStr">
        <is>
          <t>ППК25117</t>
        </is>
      </c>
      <c r="M212" s="256" t="inlineStr">
        <is>
          <t>06.05.2025</t>
        </is>
      </c>
      <c r="N212" s="256" t="inlineStr">
        <is>
          <t>UKIM Faculty of Pharmacy — Center for Natural Products</t>
        </is>
      </c>
      <c r="O212" s="256" t="inlineStr">
        <is>
          <t>28.04.2025</t>
        </is>
      </c>
      <c r="P212" s="256" t="inlineStr">
        <is>
          <t>covered</t>
        </is>
      </c>
      <c r="Q212" s="256" t="inlineStr"/>
      <c r="R212" s="256" t="inlineStr">
        <is>
          <t>18.14 (220-21-К/26)</t>
        </is>
      </c>
    </row>
    <row r="213">
      <c r="A213" s="256" t="inlineStr">
        <is>
          <t>CoQ-PP_26-010</t>
        </is>
      </c>
      <c r="B213" s="256" t="inlineStr">
        <is>
          <t>release</t>
        </is>
      </c>
      <c r="C213" s="256" t="inlineStr">
        <is>
          <t>OMP1024_01</t>
        </is>
      </c>
      <c r="D213" s="256" t="inlineStr">
        <is>
          <t>P050042</t>
        </is>
      </c>
      <c r="E213" s="256" t="inlineStr">
        <is>
          <t>Orange Punch Mimosa</t>
        </is>
      </c>
      <c r="F213" s="256" t="inlineStr">
        <is>
          <t>06.06.2026</t>
        </is>
      </c>
      <c r="G213" s="256" t="inlineStr">
        <is>
          <t>5</t>
        </is>
      </c>
      <c r="H213" s="256" t="inlineStr">
        <is>
          <t>Assay — Total CBD</t>
        </is>
      </c>
      <c r="I213" s="256" t="inlineStr">
        <is>
          <t>HPLC — DAB 2018 monograph Cannabis flos, 2.2.29 · CBD + CBDA x 0.877 (CNP, before its Ph. Eur. 3028 accreditation)</t>
        </is>
      </c>
      <c r="J213" s="256" t="inlineStr">
        <is>
          <t>≤ 1.0%, w/w</t>
        </is>
      </c>
      <c r="K213" s="256" t="inlineStr">
        <is>
          <t>0.04</t>
        </is>
      </c>
      <c r="L213" s="256" t="inlineStr">
        <is>
          <t>ППК25117</t>
        </is>
      </c>
      <c r="M213" s="256" t="inlineStr">
        <is>
          <t>06.05.2025</t>
        </is>
      </c>
      <c r="N213" s="256" t="inlineStr">
        <is>
          <t>UKIM Faculty of Pharmacy — Center for Natural Products</t>
        </is>
      </c>
      <c r="O213" s="256" t="inlineStr">
        <is>
          <t>28.04.2025</t>
        </is>
      </c>
      <c r="P213" s="256" t="inlineStr">
        <is>
          <t>covered</t>
        </is>
      </c>
      <c r="Q213" s="256" t="inlineStr"/>
      <c r="R213" s="256" t="inlineStr">
        <is>
          <t>&lt;LOQ (220-21-К/26)</t>
        </is>
      </c>
    </row>
    <row r="214">
      <c r="A214" s="256" t="inlineStr">
        <is>
          <t>CoQ-PP_26-010</t>
        </is>
      </c>
      <c r="B214" s="256" t="inlineStr">
        <is>
          <t>release</t>
        </is>
      </c>
      <c r="C214" s="256" t="inlineStr">
        <is>
          <t>OMP1024_01</t>
        </is>
      </c>
      <c r="D214" s="256" t="inlineStr">
        <is>
          <t>P050042</t>
        </is>
      </c>
      <c r="E214" s="256" t="inlineStr">
        <is>
          <t>Orange Punch Mimosa</t>
        </is>
      </c>
      <c r="F214" s="256" t="inlineStr">
        <is>
          <t>06.06.2026</t>
        </is>
      </c>
      <c r="G214" s="256" t="inlineStr">
        <is>
          <t>6</t>
        </is>
      </c>
      <c r="H214" s="256" t="inlineStr">
        <is>
          <t>Total CBN</t>
        </is>
      </c>
      <c r="I214" s="256" t="inlineStr">
        <is>
          <t>HPLC — DAB 2018 monograph Cannabis flos, 2.2.29 · CBN + CBNA x 0.876 (CNP, before its Ph. Eur. 3028 accreditation)</t>
        </is>
      </c>
      <c r="J214" s="256" t="inlineStr">
        <is>
          <t>≤ 1.0%, w/w</t>
        </is>
      </c>
      <c r="K214" s="256" t="inlineStr">
        <is>
          <t>0.01</t>
        </is>
      </c>
      <c r="L214" s="256" t="inlineStr">
        <is>
          <t>ППК25117</t>
        </is>
      </c>
      <c r="M214" s="256" t="inlineStr">
        <is>
          <t>06.05.2025</t>
        </is>
      </c>
      <c r="N214" s="256" t="inlineStr">
        <is>
          <t>CNP</t>
        </is>
      </c>
      <c r="O214" s="256" t="inlineStr">
        <is>
          <t>28.04.2025</t>
        </is>
      </c>
      <c r="P214" s="256" t="inlineStr">
        <is>
          <t>covered</t>
        </is>
      </c>
      <c r="Q214" s="256" t="inlineStr"/>
      <c r="R214" s="256" t="inlineStr"/>
    </row>
    <row r="215">
      <c r="A215" s="256" t="inlineStr">
        <is>
          <t>CoQ-PP_26-010</t>
        </is>
      </c>
      <c r="B215" s="256" t="inlineStr">
        <is>
          <t>release</t>
        </is>
      </c>
      <c r="C215" s="256" t="inlineStr">
        <is>
          <t>OMP1024_01</t>
        </is>
      </c>
      <c r="D215" s="256" t="inlineStr">
        <is>
          <t>P050042</t>
        </is>
      </c>
      <c r="E215" s="256" t="inlineStr">
        <is>
          <t>Orange Punch Mimosa</t>
        </is>
      </c>
      <c r="F215" s="256" t="inlineStr">
        <is>
          <t>06.06.2026</t>
        </is>
      </c>
      <c r="G215" s="256" t="inlineStr">
        <is>
          <t>7</t>
        </is>
      </c>
      <c r="H215" s="256" t="inlineStr">
        <is>
          <t>Foreign Matter</t>
        </is>
      </c>
      <c r="I215" s="256" t="inlineStr">
        <is>
          <t>Ph. Eur. 2.8.2 · In-house · интерна</t>
        </is>
      </c>
      <c r="J215" s="256" t="inlineStr">
        <is>
          <t>≤ 2.0% / 25–50 g · &lt; 1 cm leaves | листови, no seeds | без семки</t>
        </is>
      </c>
      <c r="K215" s="256" t="inlineStr">
        <is>
          <t>Conforms | Одговара</t>
        </is>
      </c>
      <c r="L215" s="256" t="inlineStr">
        <is>
          <t>iCoA-PP_26-092</t>
        </is>
      </c>
      <c r="M215" s="256" t="inlineStr">
        <is>
          <t>03.06.2026</t>
        </is>
      </c>
      <c r="N215" s="256" t="inlineStr">
        <is>
          <t>Purely Plant GmbH (in-house)</t>
        </is>
      </c>
      <c r="O215" s="256" t="inlineStr">
        <is>
          <t>—</t>
        </is>
      </c>
      <c r="P215" s="256" t="inlineStr">
        <is>
          <t>to be performed — see route</t>
        </is>
      </c>
      <c r="Q215" s="256" t="inlineStr">
        <is>
          <t>Purely Plant laboratory — iCoA covering Foreign matter</t>
        </is>
      </c>
      <c r="R215" s="256" t="inlineStr"/>
    </row>
    <row r="216">
      <c r="A216" s="256" t="inlineStr">
        <is>
          <t>CoQ-PP_26-010</t>
        </is>
      </c>
      <c r="B216" s="256" t="inlineStr">
        <is>
          <t>release</t>
        </is>
      </c>
      <c r="C216" s="256" t="inlineStr">
        <is>
          <t>OMP1024_01</t>
        </is>
      </c>
      <c r="D216" s="256" t="inlineStr">
        <is>
          <t>P050042</t>
        </is>
      </c>
      <c r="E216" s="256" t="inlineStr">
        <is>
          <t>Orange Punch Mimosa</t>
        </is>
      </c>
      <c r="F216" s="256" t="inlineStr">
        <is>
          <t>06.06.2026</t>
        </is>
      </c>
      <c r="G216" s="256" t="inlineStr">
        <is>
          <t>8</t>
        </is>
      </c>
      <c r="H216" s="256" t="inlineStr">
        <is>
          <t>Loss on Drying</t>
        </is>
      </c>
      <c r="I216" s="256" t="inlineStr">
        <is>
          <t>DAB 2018 monograph Cannabis flos, 2.2.32 — loss on drying (CNP, before its Ph. Eur. 3028 accreditation)</t>
        </is>
      </c>
      <c r="J216" s="256" t="inlineStr">
        <is>
          <t>≤ 12.0%</t>
        </is>
      </c>
      <c r="K216" s="256" t="inlineStr">
        <is>
          <t>5.86</t>
        </is>
      </c>
      <c r="L216" s="256" t="inlineStr">
        <is>
          <t>ППК25117</t>
        </is>
      </c>
      <c r="M216" s="256" t="inlineStr">
        <is>
          <t>06.05.2025</t>
        </is>
      </c>
      <c r="N216" s="256" t="inlineStr">
        <is>
          <t>UKIM Faculty of Pharmacy — Center for Natural Products</t>
        </is>
      </c>
      <c r="O216" s="256" t="inlineStr">
        <is>
          <t>28.04.2025</t>
        </is>
      </c>
      <c r="P216" s="256" t="inlineStr">
        <is>
          <t>covered</t>
        </is>
      </c>
      <c r="Q216" s="256" t="inlineStr"/>
      <c r="R216" s="256" t="inlineStr"/>
    </row>
    <row r="217">
      <c r="A217" s="256" t="inlineStr">
        <is>
          <t>CoQ-PP_26-010</t>
        </is>
      </c>
      <c r="B217" s="256" t="inlineStr">
        <is>
          <t>release</t>
        </is>
      </c>
      <c r="C217" s="256" t="inlineStr">
        <is>
          <t>OMP1024_01</t>
        </is>
      </c>
      <c r="D217" s="256" t="inlineStr">
        <is>
          <t>P050042</t>
        </is>
      </c>
      <c r="E217" s="256" t="inlineStr">
        <is>
          <t>Orange Punch Mimosa</t>
        </is>
      </c>
      <c r="F217" s="256" t="inlineStr">
        <is>
          <t>06.06.2026</t>
        </is>
      </c>
      <c r="G217" s="256" t="inlineStr">
        <is>
          <t>9.1</t>
        </is>
      </c>
      <c r="H217" s="256" t="inlineStr">
        <is>
          <t>TAMC</t>
        </is>
      </c>
      <c r="I217" s="256" t="inlineStr">
        <is>
          <t>Ph. Eur. 2.6.12 cat. C</t>
        </is>
      </c>
      <c r="J217" s="256" t="inlineStr">
        <is>
          <t>≤ 10⁵ CFU/g</t>
        </is>
      </c>
      <c r="K217" s="256" t="inlineStr">
        <is>
          <t>10</t>
        </is>
      </c>
      <c r="L217" s="256" t="inlineStr">
        <is>
          <t>407-0745-25</t>
        </is>
      </c>
      <c r="M217" s="256" t="inlineStr">
        <is>
          <t>05.05.2025</t>
        </is>
      </c>
      <c r="N217" s="256" t="inlineStr">
        <is>
          <t>IPH — Institute of Public Health</t>
        </is>
      </c>
      <c r="O217" s="256" t="inlineStr">
        <is>
          <t>29.04.2025</t>
        </is>
      </c>
      <c r="P217" s="256" t="inlineStr">
        <is>
          <t>covered</t>
        </is>
      </c>
      <c r="Q217" s="256" t="inlineStr"/>
      <c r="R217" s="256" t="inlineStr"/>
    </row>
    <row r="218">
      <c r="A218" s="256" t="inlineStr">
        <is>
          <t>CoQ-PP_26-010</t>
        </is>
      </c>
      <c r="B218" s="256" t="inlineStr">
        <is>
          <t>release</t>
        </is>
      </c>
      <c r="C218" s="256" t="inlineStr">
        <is>
          <t>OMP1024_01</t>
        </is>
      </c>
      <c r="D218" s="256" t="inlineStr">
        <is>
          <t>P050042</t>
        </is>
      </c>
      <c r="E218" s="256" t="inlineStr">
        <is>
          <t>Orange Punch Mimosa</t>
        </is>
      </c>
      <c r="F218" s="256" t="inlineStr">
        <is>
          <t>06.06.2026</t>
        </is>
      </c>
      <c r="G218" s="256" t="inlineStr">
        <is>
          <t>9.2</t>
        </is>
      </c>
      <c r="H218" s="256" t="inlineStr">
        <is>
          <t>TYMC</t>
        </is>
      </c>
      <c r="I218" s="256" t="inlineStr">
        <is>
          <t>Ph. Eur. 2.6.12 cat. C</t>
        </is>
      </c>
      <c r="J218" s="256" t="inlineStr">
        <is>
          <t>≤ 10⁴ CFU/g</t>
        </is>
      </c>
      <c r="K218" s="256" t="inlineStr">
        <is>
          <t>&lt; 10</t>
        </is>
      </c>
      <c r="L218" s="256" t="inlineStr">
        <is>
          <t>407-0745-25</t>
        </is>
      </c>
      <c r="M218" s="256" t="inlineStr">
        <is>
          <t>05.05.2025</t>
        </is>
      </c>
      <c r="N218" s="256" t="inlineStr">
        <is>
          <t>IPH — Institute of Public Health</t>
        </is>
      </c>
      <c r="O218" s="256" t="inlineStr">
        <is>
          <t>29.04.2025</t>
        </is>
      </c>
      <c r="P218" s="256" t="inlineStr">
        <is>
          <t>covered</t>
        </is>
      </c>
      <c r="Q218" s="256" t="inlineStr"/>
      <c r="R218" s="256" t="inlineStr"/>
    </row>
    <row r="219">
      <c r="A219" s="256" t="inlineStr">
        <is>
          <t>CoQ-PP_26-010</t>
        </is>
      </c>
      <c r="B219" s="256" t="inlineStr">
        <is>
          <t>release</t>
        </is>
      </c>
      <c r="C219" s="256" t="inlineStr">
        <is>
          <t>OMP1024_01</t>
        </is>
      </c>
      <c r="D219" s="256" t="inlineStr">
        <is>
          <t>P050042</t>
        </is>
      </c>
      <c r="E219" s="256" t="inlineStr">
        <is>
          <t>Orange Punch Mimosa</t>
        </is>
      </c>
      <c r="F219" s="256" t="inlineStr">
        <is>
          <t>06.06.2026</t>
        </is>
      </c>
      <c r="G219" s="256" t="inlineStr">
        <is>
          <t>9.3</t>
        </is>
      </c>
      <c r="H219" s="256" t="inlineStr">
        <is>
          <t>Bile-tolerant gram-neg.</t>
        </is>
      </c>
      <c r="I219" s="256" t="inlineStr">
        <is>
          <t>Ph. Eur. 2.6.31 cat. C</t>
        </is>
      </c>
      <c r="J219" s="256" t="inlineStr">
        <is>
          <t>≤ 10⁴ CFU/g</t>
        </is>
      </c>
      <c r="K219" s="256" t="inlineStr">
        <is>
          <t>&lt; 10² and &gt; 10</t>
        </is>
      </c>
      <c r="L219" s="256" t="inlineStr">
        <is>
          <t>407-0745-25</t>
        </is>
      </c>
      <c r="M219" s="256" t="inlineStr">
        <is>
          <t>05.05.2025</t>
        </is>
      </c>
      <c r="N219" s="256" t="inlineStr">
        <is>
          <t>IPH — Institute of Public Health</t>
        </is>
      </c>
      <c r="O219" s="256" t="inlineStr">
        <is>
          <t>29.04.2025</t>
        </is>
      </c>
      <c r="P219" s="256" t="inlineStr">
        <is>
          <t>covered</t>
        </is>
      </c>
      <c r="Q219" s="256" t="inlineStr"/>
      <c r="R219" s="256" t="inlineStr"/>
    </row>
    <row r="220">
      <c r="A220" s="256" t="inlineStr">
        <is>
          <t>CoQ-PP_26-010</t>
        </is>
      </c>
      <c r="B220" s="256" t="inlineStr">
        <is>
          <t>release</t>
        </is>
      </c>
      <c r="C220" s="256" t="inlineStr">
        <is>
          <t>OMP1024_01</t>
        </is>
      </c>
      <c r="D220" s="256" t="inlineStr">
        <is>
          <t>P050042</t>
        </is>
      </c>
      <c r="E220" s="256" t="inlineStr">
        <is>
          <t>Orange Punch Mimosa</t>
        </is>
      </c>
      <c r="F220" s="256" t="inlineStr">
        <is>
          <t>06.06.2026</t>
        </is>
      </c>
      <c r="G220" s="256" t="inlineStr">
        <is>
          <t>9.4</t>
        </is>
      </c>
      <c r="H220" s="256" t="inlineStr">
        <is>
          <t>Salmonella</t>
        </is>
      </c>
      <c r="I220" s="256" t="inlineStr">
        <is>
          <t>Ph. Eur. 2.6.31 cat. C</t>
        </is>
      </c>
      <c r="J220" s="256" t="inlineStr">
        <is>
          <t>Absence | Отсуство / 25 g</t>
        </is>
      </c>
      <c r="K220" s="256" t="inlineStr">
        <is>
          <t>Absent | Отсутна</t>
        </is>
      </c>
      <c r="L220" s="256" t="inlineStr">
        <is>
          <t>407-0745-25</t>
        </is>
      </c>
      <c r="M220" s="256" t="inlineStr">
        <is>
          <t>05.05.2025</t>
        </is>
      </c>
      <c r="N220" s="256" t="inlineStr">
        <is>
          <t>IPH — Institute of Public Health</t>
        </is>
      </c>
      <c r="O220" s="256" t="inlineStr">
        <is>
          <t>29.04.2025</t>
        </is>
      </c>
      <c r="P220" s="256" t="inlineStr">
        <is>
          <t>covered</t>
        </is>
      </c>
      <c r="Q220" s="256" t="inlineStr"/>
      <c r="R220" s="256" t="inlineStr"/>
    </row>
    <row r="221">
      <c r="A221" s="256" t="inlineStr">
        <is>
          <t>CoQ-PP_26-010</t>
        </is>
      </c>
      <c r="B221" s="256" t="inlineStr">
        <is>
          <t>release</t>
        </is>
      </c>
      <c r="C221" s="256" t="inlineStr">
        <is>
          <t>OMP1024_01</t>
        </is>
      </c>
      <c r="D221" s="256" t="inlineStr">
        <is>
          <t>P050042</t>
        </is>
      </c>
      <c r="E221" s="256" t="inlineStr">
        <is>
          <t>Orange Punch Mimosa</t>
        </is>
      </c>
      <c r="F221" s="256" t="inlineStr">
        <is>
          <t>06.06.2026</t>
        </is>
      </c>
      <c r="G221" s="256" t="inlineStr">
        <is>
          <t>9.5</t>
        </is>
      </c>
      <c r="H221" s="256" t="inlineStr">
        <is>
          <t>Escherichia coli</t>
        </is>
      </c>
      <c r="I221" s="256" t="inlineStr">
        <is>
          <t>Ph. Eur. 2.6.13 cat. C</t>
        </is>
      </c>
      <c r="J221" s="256" t="inlineStr">
        <is>
          <t>Absence | Отсуство / 1 g</t>
        </is>
      </c>
      <c r="K221" s="256" t="inlineStr">
        <is>
          <t>Absent | Отсутна</t>
        </is>
      </c>
      <c r="L221" s="256" t="inlineStr">
        <is>
          <t>407-0745-25</t>
        </is>
      </c>
      <c r="M221" s="256" t="inlineStr">
        <is>
          <t>05.05.2025</t>
        </is>
      </c>
      <c r="N221" s="256" t="inlineStr">
        <is>
          <t>IPH — Institute of Public Health</t>
        </is>
      </c>
      <c r="O221" s="256" t="inlineStr">
        <is>
          <t>29.04.2025</t>
        </is>
      </c>
      <c r="P221" s="256" t="inlineStr">
        <is>
          <t>covered</t>
        </is>
      </c>
      <c r="Q221" s="256" t="inlineStr"/>
      <c r="R221" s="256" t="inlineStr"/>
    </row>
    <row r="222">
      <c r="A222" s="256" t="inlineStr">
        <is>
          <t>CoQ-PP_26-010</t>
        </is>
      </c>
      <c r="B222" s="256" t="inlineStr">
        <is>
          <t>release</t>
        </is>
      </c>
      <c r="C222" s="256" t="inlineStr">
        <is>
          <t>OMP1024_01</t>
        </is>
      </c>
      <c r="D222" s="256" t="inlineStr">
        <is>
          <t>P050042</t>
        </is>
      </c>
      <c r="E222" s="256" t="inlineStr">
        <is>
          <t>Orange Punch Mimosa</t>
        </is>
      </c>
      <c r="F222" s="256" t="inlineStr">
        <is>
          <t>06.06.2026</t>
        </is>
      </c>
      <c r="G222" s="256" t="inlineStr">
        <is>
          <t>9.6</t>
        </is>
      </c>
      <c r="H222" s="256" t="inlineStr">
        <is>
          <t>Pseudomonas aeruginosa</t>
        </is>
      </c>
      <c r="I222" s="256" t="inlineStr">
        <is>
          <t>Ph. Eur. 2.6.13 cat. C</t>
        </is>
      </c>
      <c r="J222" s="256" t="inlineStr">
        <is>
          <t>Absence | Отсуство / 1 g</t>
        </is>
      </c>
      <c r="K222" s="260" t="inlineStr">
        <is>
          <t>upon request — not required for release</t>
        </is>
      </c>
      <c r="L222" s="256" t="inlineStr">
        <is>
          <t>—</t>
        </is>
      </c>
      <c r="M222" s="256" t="inlineStr">
        <is>
          <t>—</t>
        </is>
      </c>
      <c r="N222" s="256" t="inlineStr">
        <is>
          <t>—</t>
        </is>
      </c>
      <c r="O222" s="256" t="inlineStr">
        <is>
          <t>—</t>
        </is>
      </c>
      <c r="P222" s="256" t="inlineStr">
        <is>
          <t>upon request — not required for release</t>
        </is>
      </c>
      <c r="Q222" s="256" t="inlineStr"/>
      <c r="R222" s="256" t="inlineStr"/>
    </row>
    <row r="223">
      <c r="A223" s="256" t="inlineStr">
        <is>
          <t>CoQ-PP_26-010</t>
        </is>
      </c>
      <c r="B223" s="256" t="inlineStr">
        <is>
          <t>release</t>
        </is>
      </c>
      <c r="C223" s="256" t="inlineStr">
        <is>
          <t>OMP1024_01</t>
        </is>
      </c>
      <c r="D223" s="256" t="inlineStr">
        <is>
          <t>P050042</t>
        </is>
      </c>
      <c r="E223" s="256" t="inlineStr">
        <is>
          <t>Orange Punch Mimosa</t>
        </is>
      </c>
      <c r="F223" s="256" t="inlineStr">
        <is>
          <t>06.06.2026</t>
        </is>
      </c>
      <c r="G223" s="256" t="inlineStr">
        <is>
          <t>9.7</t>
        </is>
      </c>
      <c r="H223" s="256" t="inlineStr">
        <is>
          <t>Staphylococcus aureus</t>
        </is>
      </c>
      <c r="I223" s="256" t="inlineStr">
        <is>
          <t>Ph. Eur. 2.6.13 cat. C</t>
        </is>
      </c>
      <c r="J223" s="256" t="inlineStr">
        <is>
          <t>Absence | Отсуство / 1 g</t>
        </is>
      </c>
      <c r="K223" s="260" t="inlineStr">
        <is>
          <t>upon request — not required for release</t>
        </is>
      </c>
      <c r="L223" s="256" t="inlineStr">
        <is>
          <t>—</t>
        </is>
      </c>
      <c r="M223" s="256" t="inlineStr">
        <is>
          <t>—</t>
        </is>
      </c>
      <c r="N223" s="256" t="inlineStr">
        <is>
          <t>—</t>
        </is>
      </c>
      <c r="O223" s="256" t="inlineStr">
        <is>
          <t>—</t>
        </is>
      </c>
      <c r="P223" s="256" t="inlineStr">
        <is>
          <t>upon request — not required for release</t>
        </is>
      </c>
      <c r="Q223" s="256" t="inlineStr"/>
      <c r="R223" s="256" t="inlineStr"/>
    </row>
    <row r="224">
      <c r="A224" s="256" t="inlineStr">
        <is>
          <t>CoQ-PP_26-010</t>
        </is>
      </c>
      <c r="B224" s="256" t="inlineStr">
        <is>
          <t>release</t>
        </is>
      </c>
      <c r="C224" s="256" t="inlineStr">
        <is>
          <t>OMP1024_01</t>
        </is>
      </c>
      <c r="D224" s="256" t="inlineStr">
        <is>
          <t>P050042</t>
        </is>
      </c>
      <c r="E224" s="256" t="inlineStr">
        <is>
          <t>Orange Punch Mimosa</t>
        </is>
      </c>
      <c r="F224" s="256" t="inlineStr">
        <is>
          <t>06.06.2026</t>
        </is>
      </c>
      <c r="G224" s="256" t="inlineStr">
        <is>
          <t>10.1</t>
        </is>
      </c>
      <c r="H224" s="256" t="inlineStr">
        <is>
          <t>Aflatoxin B₁</t>
        </is>
      </c>
      <c r="I224" s="256" t="inlineStr">
        <is>
          <t>Ph. Eur. 2.8.18 (HPLC-FLD)</t>
        </is>
      </c>
      <c r="J224" s="256" t="inlineStr">
        <is>
          <t>≤ 2 µg/kg</t>
        </is>
      </c>
      <c r="K224" s="259" t="inlineStr">
        <is>
          <t>not tested</t>
        </is>
      </c>
      <c r="L224" s="256" t="inlineStr">
        <is>
          <t>—</t>
        </is>
      </c>
      <c r="M224" s="256" t="inlineStr">
        <is>
          <t>—</t>
        </is>
      </c>
      <c r="N224" s="256" t="inlineStr">
        <is>
          <t>—</t>
        </is>
      </c>
      <c r="O224" s="256" t="inlineStr">
        <is>
          <t>—</t>
        </is>
      </c>
      <c r="P224" s="256" t="inlineStr">
        <is>
          <t>not tested — no certificate covers it</t>
        </is>
      </c>
      <c r="Q224" s="256" t="inlineStr"/>
      <c r="R224" s="256" t="inlineStr">
        <is>
          <t>ND (220-21-М/26)</t>
        </is>
      </c>
    </row>
    <row r="225">
      <c r="A225" s="256" t="inlineStr">
        <is>
          <t>CoQ-PP_26-010</t>
        </is>
      </c>
      <c r="B225" s="256" t="inlineStr">
        <is>
          <t>release</t>
        </is>
      </c>
      <c r="C225" s="256" t="inlineStr">
        <is>
          <t>OMP1024_01</t>
        </is>
      </c>
      <c r="D225" s="256" t="inlineStr">
        <is>
          <t>P050042</t>
        </is>
      </c>
      <c r="E225" s="256" t="inlineStr">
        <is>
          <t>Orange Punch Mimosa</t>
        </is>
      </c>
      <c r="F225" s="256" t="inlineStr">
        <is>
          <t>06.06.2026</t>
        </is>
      </c>
      <c r="G225" s="256" t="inlineStr">
        <is>
          <t>10.2</t>
        </is>
      </c>
      <c r="H225" s="256" t="inlineStr">
        <is>
          <t>Aflatoxins ∑</t>
        </is>
      </c>
      <c r="I225" s="256" t="inlineStr">
        <is>
          <t>Ph. Eur. 2.8.18 (HPLC-FLD)</t>
        </is>
      </c>
      <c r="J225" s="256" t="inlineStr">
        <is>
          <t>≤ 4 µg/kg</t>
        </is>
      </c>
      <c r="K225" s="256" t="inlineStr">
        <is>
          <t>&lt; 2</t>
        </is>
      </c>
      <c r="L225" s="256" t="inlineStr">
        <is>
          <t>2156/2025</t>
        </is>
      </c>
      <c r="M225" s="256" t="inlineStr">
        <is>
          <t>07.05.2025</t>
        </is>
      </c>
      <c r="N225" s="256" t="inlineStr">
        <is>
          <t>IPH — Institute of Public Health</t>
        </is>
      </c>
      <c r="O225" s="256" t="inlineStr">
        <is>
          <t>28.04.2025</t>
        </is>
      </c>
      <c r="P225" s="256" t="inlineStr">
        <is>
          <t>covered</t>
        </is>
      </c>
      <c r="Q225" s="256" t="inlineStr"/>
      <c r="R225" s="256" t="inlineStr">
        <is>
          <t>ND (220-21-М/26)</t>
        </is>
      </c>
    </row>
    <row r="226">
      <c r="A226" s="256" t="inlineStr">
        <is>
          <t>CoQ-PP_26-010</t>
        </is>
      </c>
      <c r="B226" s="256" t="inlineStr">
        <is>
          <t>release</t>
        </is>
      </c>
      <c r="C226" s="256" t="inlineStr">
        <is>
          <t>OMP1024_01</t>
        </is>
      </c>
      <c r="D226" s="256" t="inlineStr">
        <is>
          <t>P050042</t>
        </is>
      </c>
      <c r="E226" s="256" t="inlineStr">
        <is>
          <t>Orange Punch Mimosa</t>
        </is>
      </c>
      <c r="F226" s="256" t="inlineStr">
        <is>
          <t>06.06.2026</t>
        </is>
      </c>
      <c r="G226" s="256" t="inlineStr">
        <is>
          <t>10.3</t>
        </is>
      </c>
      <c r="H226" s="256" t="inlineStr">
        <is>
          <t>Ochratoxin A</t>
        </is>
      </c>
      <c r="I226" s="256" t="inlineStr">
        <is>
          <t>Ph. Eur. 2.8.22 (HPLC-FLD)</t>
        </is>
      </c>
      <c r="J226" s="256" t="inlineStr">
        <is>
          <t>≤ 20 µg/kg</t>
        </is>
      </c>
      <c r="K226" s="259" t="inlineStr">
        <is>
          <t>not tested</t>
        </is>
      </c>
      <c r="L226" s="256" t="inlineStr">
        <is>
          <t>—</t>
        </is>
      </c>
      <c r="M226" s="256" t="inlineStr">
        <is>
          <t>—</t>
        </is>
      </c>
      <c r="N226" s="256" t="inlineStr">
        <is>
          <t>—</t>
        </is>
      </c>
      <c r="O226" s="256" t="inlineStr">
        <is>
          <t>—</t>
        </is>
      </c>
      <c r="P226" s="256" t="inlineStr">
        <is>
          <t>not tested — no certificate covers it</t>
        </is>
      </c>
      <c r="Q226" s="256" t="inlineStr"/>
      <c r="R226" s="256" t="inlineStr">
        <is>
          <t>ND (220-21-М/26)</t>
        </is>
      </c>
    </row>
    <row r="227">
      <c r="A227" s="256" t="inlineStr">
        <is>
          <t>CoQ-PP_26-010</t>
        </is>
      </c>
      <c r="B227" s="256" t="inlineStr">
        <is>
          <t>release</t>
        </is>
      </c>
      <c r="C227" s="256" t="inlineStr">
        <is>
          <t>OMP1024_01</t>
        </is>
      </c>
      <c r="D227" s="256" t="inlineStr">
        <is>
          <t>P050042</t>
        </is>
      </c>
      <c r="E227" s="256" t="inlineStr">
        <is>
          <t>Orange Punch Mimosa</t>
        </is>
      </c>
      <c r="F227" s="256" t="inlineStr">
        <is>
          <t>06.06.2026</t>
        </is>
      </c>
      <c r="G227" s="256" t="inlineStr">
        <is>
          <t>11.1</t>
        </is>
      </c>
      <c r="H227" s="256" t="inlineStr">
        <is>
          <t>Lead (Pb)</t>
        </is>
      </c>
      <c r="I227" s="256" t="inlineStr">
        <is>
          <t>Ph. Eur. 2.4.27 (ICP-MS)</t>
        </is>
      </c>
      <c r="J227" s="256" t="inlineStr">
        <is>
          <t>≤ 0.5 mg/kg</t>
        </is>
      </c>
      <c r="K227" s="256" t="inlineStr">
        <is>
          <t>0.031</t>
        </is>
      </c>
      <c r="L227" s="256" t="inlineStr">
        <is>
          <t>2156/2025</t>
        </is>
      </c>
      <c r="M227" s="256" t="inlineStr">
        <is>
          <t>07.05.2025</t>
        </is>
      </c>
      <c r="N227" s="256" t="inlineStr">
        <is>
          <t>IPH — Institute of Public Health</t>
        </is>
      </c>
      <c r="O227" s="256" t="inlineStr">
        <is>
          <t>28.04.2025</t>
        </is>
      </c>
      <c r="P227" s="256" t="inlineStr">
        <is>
          <t>covered</t>
        </is>
      </c>
      <c r="Q227" s="256" t="inlineStr"/>
      <c r="R227" s="256" t="inlineStr"/>
    </row>
    <row r="228">
      <c r="A228" s="256" t="inlineStr">
        <is>
          <t>CoQ-PP_26-010</t>
        </is>
      </c>
      <c r="B228" s="256" t="inlineStr">
        <is>
          <t>release</t>
        </is>
      </c>
      <c r="C228" s="256" t="inlineStr">
        <is>
          <t>OMP1024_01</t>
        </is>
      </c>
      <c r="D228" s="256" t="inlineStr">
        <is>
          <t>P050042</t>
        </is>
      </c>
      <c r="E228" s="256" t="inlineStr">
        <is>
          <t>Orange Punch Mimosa</t>
        </is>
      </c>
      <c r="F228" s="256" t="inlineStr">
        <is>
          <t>06.06.2026</t>
        </is>
      </c>
      <c r="G228" s="256" t="inlineStr">
        <is>
          <t>11.2</t>
        </is>
      </c>
      <c r="H228" s="256" t="inlineStr">
        <is>
          <t>Cadmium (Cd)</t>
        </is>
      </c>
      <c r="I228" s="256" t="inlineStr">
        <is>
          <t>Ph. Eur. 2.4.27 (ICP-MS)</t>
        </is>
      </c>
      <c r="J228" s="256" t="inlineStr">
        <is>
          <t>≤ 0.3 mg/kg</t>
        </is>
      </c>
      <c r="K228" s="256" t="inlineStr">
        <is>
          <t>0.004</t>
        </is>
      </c>
      <c r="L228" s="256" t="inlineStr">
        <is>
          <t>2156/2025</t>
        </is>
      </c>
      <c r="M228" s="256" t="inlineStr">
        <is>
          <t>07.05.2025</t>
        </is>
      </c>
      <c r="N228" s="256" t="inlineStr">
        <is>
          <t>IPH — Institute of Public Health</t>
        </is>
      </c>
      <c r="O228" s="256" t="inlineStr">
        <is>
          <t>28.04.2025</t>
        </is>
      </c>
      <c r="P228" s="256" t="inlineStr">
        <is>
          <t>covered</t>
        </is>
      </c>
      <c r="Q228" s="256" t="inlineStr"/>
      <c r="R228" s="256" t="inlineStr"/>
    </row>
    <row r="229">
      <c r="A229" s="256" t="inlineStr">
        <is>
          <t>CoQ-PP_26-010</t>
        </is>
      </c>
      <c r="B229" s="256" t="inlineStr">
        <is>
          <t>release</t>
        </is>
      </c>
      <c r="C229" s="256" t="inlineStr">
        <is>
          <t>OMP1024_01</t>
        </is>
      </c>
      <c r="D229" s="256" t="inlineStr">
        <is>
          <t>P050042</t>
        </is>
      </c>
      <c r="E229" s="256" t="inlineStr">
        <is>
          <t>Orange Punch Mimosa</t>
        </is>
      </c>
      <c r="F229" s="256" t="inlineStr">
        <is>
          <t>06.06.2026</t>
        </is>
      </c>
      <c r="G229" s="256" t="inlineStr">
        <is>
          <t>11.3</t>
        </is>
      </c>
      <c r="H229" s="256" t="inlineStr">
        <is>
          <t>Arsenic (As)</t>
        </is>
      </c>
      <c r="I229" s="256" t="inlineStr">
        <is>
          <t>Ph. Eur. 2.4.27 (ICP-MS)</t>
        </is>
      </c>
      <c r="J229" s="256" t="inlineStr">
        <is>
          <t>≤ 0.2 mg/kg</t>
        </is>
      </c>
      <c r="K229" s="256" t="inlineStr">
        <is>
          <t>0.01</t>
        </is>
      </c>
      <c r="L229" s="256" t="inlineStr">
        <is>
          <t>2156/2025</t>
        </is>
      </c>
      <c r="M229" s="256" t="inlineStr">
        <is>
          <t>07.05.2025</t>
        </is>
      </c>
      <c r="N229" s="256" t="inlineStr">
        <is>
          <t>IPH — Institute of Public Health</t>
        </is>
      </c>
      <c r="O229" s="256" t="inlineStr">
        <is>
          <t>28.04.2025</t>
        </is>
      </c>
      <c r="P229" s="256" t="inlineStr">
        <is>
          <t>covered</t>
        </is>
      </c>
      <c r="Q229" s="256" t="inlineStr"/>
      <c r="R229" s="256" t="inlineStr"/>
    </row>
    <row r="230">
      <c r="A230" s="256" t="inlineStr">
        <is>
          <t>CoQ-PP_26-010</t>
        </is>
      </c>
      <c r="B230" s="256" t="inlineStr">
        <is>
          <t>release</t>
        </is>
      </c>
      <c r="C230" s="256" t="inlineStr">
        <is>
          <t>OMP1024_01</t>
        </is>
      </c>
      <c r="D230" s="256" t="inlineStr">
        <is>
          <t>P050042</t>
        </is>
      </c>
      <c r="E230" s="256" t="inlineStr">
        <is>
          <t>Orange Punch Mimosa</t>
        </is>
      </c>
      <c r="F230" s="256" t="inlineStr">
        <is>
          <t>06.06.2026</t>
        </is>
      </c>
      <c r="G230" s="256" t="inlineStr">
        <is>
          <t>11.4</t>
        </is>
      </c>
      <c r="H230" s="256" t="inlineStr">
        <is>
          <t>Mercury (Hg)</t>
        </is>
      </c>
      <c r="I230" s="256" t="inlineStr">
        <is>
          <t>Ph. Eur. 2.4.27 (ICP-MS)</t>
        </is>
      </c>
      <c r="J230" s="256" t="inlineStr">
        <is>
          <t>≤ 0.1 mg/kg</t>
        </is>
      </c>
      <c r="K230" s="256" t="inlineStr">
        <is>
          <t>0.001</t>
        </is>
      </c>
      <c r="L230" s="256" t="inlineStr">
        <is>
          <t>2156/2025</t>
        </is>
      </c>
      <c r="M230" s="256" t="inlineStr">
        <is>
          <t>07.05.2025</t>
        </is>
      </c>
      <c r="N230" s="256" t="inlineStr">
        <is>
          <t>IPH — Institute of Public Health</t>
        </is>
      </c>
      <c r="O230" s="256" t="inlineStr">
        <is>
          <t>28.04.2025</t>
        </is>
      </c>
      <c r="P230" s="256" t="inlineStr">
        <is>
          <t>covered</t>
        </is>
      </c>
      <c r="Q230" s="256" t="inlineStr"/>
      <c r="R230" s="256" t="inlineStr"/>
    </row>
    <row r="231">
      <c r="A231" s="256" t="inlineStr">
        <is>
          <t>CoQ-PP_26-010</t>
        </is>
      </c>
      <c r="B231" s="256" t="inlineStr">
        <is>
          <t>release</t>
        </is>
      </c>
      <c r="C231" s="256" t="inlineStr">
        <is>
          <t>OMP1024_01</t>
        </is>
      </c>
      <c r="D231" s="256" t="inlineStr">
        <is>
          <t>P050042</t>
        </is>
      </c>
      <c r="E231" s="256" t="inlineStr">
        <is>
          <t>Orange Punch Mimosa</t>
        </is>
      </c>
      <c r="F231" s="256" t="inlineStr">
        <is>
          <t>06.06.2026</t>
        </is>
      </c>
      <c r="G231" s="256" t="inlineStr">
        <is>
          <t>12</t>
        </is>
      </c>
      <c r="H231" s="256" t="inlineStr">
        <is>
          <t>Pesticide Residues</t>
        </is>
      </c>
      <c r="I231" s="256" t="inlineStr">
        <is>
          <t>Ph. Eur. 2.8.13 (LC-MS/MS) · CUMCS Equivalency</t>
        </is>
      </c>
      <c r="J231" s="256" t="inlineStr">
        <is>
          <t>≤ LOQ as per Ph. Eur. 2.8.13 · ≤ LOQ as per CUMCS Equivalency</t>
        </is>
      </c>
      <c r="K231" s="256" t="inlineStr">
        <is>
          <t>ND</t>
        </is>
      </c>
      <c r="L231" s="256" t="inlineStr">
        <is>
          <t>2156/2025</t>
        </is>
      </c>
      <c r="M231" s="256" t="inlineStr">
        <is>
          <t>07.05.2025</t>
        </is>
      </c>
      <c r="N231" s="256" t="inlineStr">
        <is>
          <t>IPH — Institute of Public Health</t>
        </is>
      </c>
      <c r="O231" s="256" t="inlineStr">
        <is>
          <t>28.04.2025</t>
        </is>
      </c>
      <c r="P231" s="256" t="inlineStr">
        <is>
          <t>covered</t>
        </is>
      </c>
      <c r="Q231" s="256" t="inlineStr"/>
      <c r="R231" s="256" t="inlineStr"/>
    </row>
    <row r="232">
      <c r="A232" s="256" t="inlineStr">
        <is>
          <t>CoQ-PP_26-011</t>
        </is>
      </c>
      <c r="B232" s="256" t="inlineStr">
        <is>
          <t>release</t>
        </is>
      </c>
      <c r="C232" s="256" t="inlineStr">
        <is>
          <t>HPA1024_01</t>
        </is>
      </c>
      <c r="D232" s="256" t="inlineStr">
        <is>
          <t>P050052</t>
        </is>
      </c>
      <c r="E232" s="256" t="inlineStr">
        <is>
          <t>High Pro Amnesia</t>
        </is>
      </c>
      <c r="F232" s="256" t="inlineStr">
        <is>
          <t>06.06.2026</t>
        </is>
      </c>
      <c r="G232" s="256" t="inlineStr">
        <is>
          <t>1</t>
        </is>
      </c>
      <c r="H232" s="256" t="inlineStr">
        <is>
          <t>Identification A, Appearance · Macroscopic</t>
        </is>
      </c>
      <c r="I232" s="256" t="inlineStr">
        <is>
          <t>Ph. Eur. mon. 3028</t>
        </is>
      </c>
      <c r="J232" s="256" t="inlineStr">
        <is>
          <t>Conforms to the monograph for Cannabis flos (07/2024:3028) in Ph. Eur. 11.0 | Согласно монографија за Cannabis flos (07/2024:3028) во Ph. Eur. 11.0</t>
        </is>
      </c>
      <c r="K232" s="256" t="inlineStr">
        <is>
          <t>Conforms | Одговара</t>
        </is>
      </c>
      <c r="L232" s="256" t="inlineStr">
        <is>
          <t>iCoA-PP_26-011</t>
        </is>
      </c>
      <c r="M232" s="256" t="inlineStr">
        <is>
          <t>03.06.2026</t>
        </is>
      </c>
      <c r="N232" s="256" t="inlineStr">
        <is>
          <t>Purely Plant GmbH (in-house)</t>
        </is>
      </c>
      <c r="O232" s="256" t="inlineStr">
        <is>
          <t>—</t>
        </is>
      </c>
      <c r="P232" s="256" t="inlineStr">
        <is>
          <t>to be performed — see route</t>
        </is>
      </c>
      <c r="Q232" s="256" t="inlineStr">
        <is>
          <t>Purely Plant laboratory — iCoA covering Ident A + B</t>
        </is>
      </c>
      <c r="R232" s="256" t="inlineStr"/>
    </row>
    <row r="233">
      <c r="A233" s="256" t="inlineStr">
        <is>
          <t>CoQ-PP_26-011</t>
        </is>
      </c>
      <c r="B233" s="256" t="inlineStr">
        <is>
          <t>release</t>
        </is>
      </c>
      <c r="C233" s="256" t="inlineStr">
        <is>
          <t>HPA1024_01</t>
        </is>
      </c>
      <c r="D233" s="256" t="inlineStr">
        <is>
          <t>P050052</t>
        </is>
      </c>
      <c r="E233" s="256" t="inlineStr">
        <is>
          <t>High Pro Amnesia</t>
        </is>
      </c>
      <c r="F233" s="256" t="inlineStr">
        <is>
          <t>06.06.2026</t>
        </is>
      </c>
      <c r="G233" s="256" t="inlineStr">
        <is>
          <t>2</t>
        </is>
      </c>
      <c r="H233" s="256" t="inlineStr">
        <is>
          <t>Identification B · Microscopic</t>
        </is>
      </c>
      <c r="I233" s="256" t="inlineStr">
        <is>
          <t>Ph. Eur. 2.8.23 (microscopy)</t>
        </is>
      </c>
      <c r="J233" s="256" t="inlineStr">
        <is>
          <t>Conforms to the monograph for Cannabis flos (07/2024:3028) in Ph. Eur. 11.0 | Согласно монографија за Cannabis flos (07/2024:3028) во Ph. Eur. 11.0</t>
        </is>
      </c>
      <c r="K233" s="256" t="inlineStr">
        <is>
          <t>Conforms | Одговара</t>
        </is>
      </c>
      <c r="L233" s="256" t="inlineStr">
        <is>
          <t>iCoA-PP_26-011</t>
        </is>
      </c>
      <c r="M233" s="256" t="inlineStr">
        <is>
          <t>03.06.2026</t>
        </is>
      </c>
      <c r="N233" s="256" t="inlineStr">
        <is>
          <t>Purely Plant GmbH (in-house)</t>
        </is>
      </c>
      <c r="O233" s="256" t="inlineStr">
        <is>
          <t>—</t>
        </is>
      </c>
      <c r="P233" s="256" t="inlineStr">
        <is>
          <t>to be performed — see route</t>
        </is>
      </c>
      <c r="Q233" s="256" t="inlineStr">
        <is>
          <t>Purely Plant laboratory — iCoA covering Ident A + B</t>
        </is>
      </c>
      <c r="R233" s="256" t="inlineStr"/>
    </row>
    <row r="234">
      <c r="A234" s="256" t="inlineStr">
        <is>
          <t>CoQ-PP_26-011</t>
        </is>
      </c>
      <c r="B234" s="256" t="inlineStr">
        <is>
          <t>release</t>
        </is>
      </c>
      <c r="C234" s="256" t="inlineStr">
        <is>
          <t>HPA1024_01</t>
        </is>
      </c>
      <c r="D234" s="256" t="inlineStr">
        <is>
          <t>P050052</t>
        </is>
      </c>
      <c r="E234" s="256" t="inlineStr">
        <is>
          <t>High Pro Amnesia</t>
        </is>
      </c>
      <c r="F234" s="256" t="inlineStr">
        <is>
          <t>06.06.2026</t>
        </is>
      </c>
      <c r="G234" s="256" t="inlineStr">
        <is>
          <t>3</t>
        </is>
      </c>
      <c r="H234" s="256" t="inlineStr">
        <is>
          <t>Identification C · HPLC/HPTLC</t>
        </is>
      </c>
      <c r="I234" s="256" t="inlineStr">
        <is>
          <t>HPLC — DAB 2018 monograph Cannabis flos, 2.2.29 (CNP, before its Ph. Eur. 3028 accreditation)</t>
        </is>
      </c>
      <c r="J234" s="256" t="inlineStr">
        <is>
          <t>Conforms to the monograph for Cannabis flos (07/2024:3028) in Ph. Eur. 11.0 | Согласно монографија за Cannabis flos (07/2024:3028) во Ph. Eur. 11.0</t>
        </is>
      </c>
      <c r="K234" s="256" t="inlineStr">
        <is>
          <t>Conforms | Одговара</t>
        </is>
      </c>
      <c r="L234" s="256" t="inlineStr">
        <is>
          <t>ППК25155</t>
        </is>
      </c>
      <c r="M234" s="256" t="inlineStr">
        <is>
          <t>24.06.2025</t>
        </is>
      </c>
      <c r="N234" s="256" t="inlineStr">
        <is>
          <t>UKIM Faculty of Pharmacy — Center for Natural Products</t>
        </is>
      </c>
      <c r="O234" s="256" t="inlineStr">
        <is>
          <t>12.06.2025</t>
        </is>
      </c>
      <c r="P234" s="256" t="inlineStr">
        <is>
          <t>covered</t>
        </is>
      </c>
      <c r="Q234" s="256" t="inlineStr"/>
      <c r="R234" s="256" t="inlineStr"/>
    </row>
    <row r="235">
      <c r="A235" s="256" t="inlineStr">
        <is>
          <t>CoQ-PP_26-011</t>
        </is>
      </c>
      <c r="B235" s="256" t="inlineStr">
        <is>
          <t>release</t>
        </is>
      </c>
      <c r="C235" s="256" t="inlineStr">
        <is>
          <t>HPA1024_01</t>
        </is>
      </c>
      <c r="D235" s="256" t="inlineStr">
        <is>
          <t>P050052</t>
        </is>
      </c>
      <c r="E235" s="256" t="inlineStr">
        <is>
          <t>High Pro Amnesia</t>
        </is>
      </c>
      <c r="F235" s="256" t="inlineStr">
        <is>
          <t>06.06.2026</t>
        </is>
      </c>
      <c r="G235" s="256" t="inlineStr">
        <is>
          <t>4</t>
        </is>
      </c>
      <c r="H235" s="256" t="inlineStr">
        <is>
          <t>Assay — Total Δ⁹-THC</t>
        </is>
      </c>
      <c r="I235" s="256" t="inlineStr">
        <is>
          <t>HPLC — DAB 2018 monograph Cannabis flos, 2.2.29 (CNP, before its Ph. Eur. 3028 accreditation)</t>
        </is>
      </c>
      <c r="J235" s="256" t="inlineStr">
        <is>
          <t>19.80 – 24.19 %  (grade I, nominal 22.00 ± 2.20)</t>
        </is>
      </c>
      <c r="K235" s="256" t="inlineStr">
        <is>
          <t>22.43</t>
        </is>
      </c>
      <c r="L235" s="256" t="inlineStr">
        <is>
          <t>ППК25155</t>
        </is>
      </c>
      <c r="M235" s="256" t="inlineStr">
        <is>
          <t>24.06.2025</t>
        </is>
      </c>
      <c r="N235" s="256" t="inlineStr">
        <is>
          <t>UKIM Faculty of Pharmacy — Center for Natural Products</t>
        </is>
      </c>
      <c r="O235" s="256" t="inlineStr">
        <is>
          <t>12.06.2025</t>
        </is>
      </c>
      <c r="P235" s="256" t="inlineStr">
        <is>
          <t>covered</t>
        </is>
      </c>
      <c r="Q235" s="256" t="inlineStr"/>
      <c r="R235" s="256" t="inlineStr">
        <is>
          <t>21.61 (197-14-К/26)</t>
        </is>
      </c>
    </row>
    <row r="236">
      <c r="A236" s="256" t="inlineStr">
        <is>
          <t>CoQ-PP_26-011</t>
        </is>
      </c>
      <c r="B236" s="256" t="inlineStr">
        <is>
          <t>release</t>
        </is>
      </c>
      <c r="C236" s="256" t="inlineStr">
        <is>
          <t>HPA1024_01</t>
        </is>
      </c>
      <c r="D236" s="256" t="inlineStr">
        <is>
          <t>P050052</t>
        </is>
      </c>
      <c r="E236" s="256" t="inlineStr">
        <is>
          <t>High Pro Amnesia</t>
        </is>
      </c>
      <c r="F236" s="256" t="inlineStr">
        <is>
          <t>06.06.2026</t>
        </is>
      </c>
      <c r="G236" s="256" t="inlineStr">
        <is>
          <t>5</t>
        </is>
      </c>
      <c r="H236" s="256" t="inlineStr">
        <is>
          <t>Assay — Total CBD</t>
        </is>
      </c>
      <c r="I236" s="256" t="inlineStr">
        <is>
          <t>HPLC — DAB 2018 monograph Cannabis flos, 2.2.29 · CBD + CBDA x 0.877 (CNP, before its Ph. Eur. 3028 accreditation)</t>
        </is>
      </c>
      <c r="J236" s="256" t="inlineStr">
        <is>
          <t>≤ 1.0%, w/w</t>
        </is>
      </c>
      <c r="K236" s="256" t="inlineStr">
        <is>
          <t>0.1</t>
        </is>
      </c>
      <c r="L236" s="256" t="inlineStr">
        <is>
          <t>ППК25155</t>
        </is>
      </c>
      <c r="M236" s="256" t="inlineStr">
        <is>
          <t>24.06.2025</t>
        </is>
      </c>
      <c r="N236" s="256" t="inlineStr">
        <is>
          <t>UKIM Faculty of Pharmacy — Center for Natural Products</t>
        </is>
      </c>
      <c r="O236" s="256" t="inlineStr">
        <is>
          <t>12.06.2025</t>
        </is>
      </c>
      <c r="P236" s="256" t="inlineStr">
        <is>
          <t>covered — laboratory finding recorded</t>
        </is>
      </c>
      <c r="Q236" s="256" t="inlineStr"/>
      <c r="R236" s="256" t="inlineStr">
        <is>
          <t>&lt;LOQ (197-14-К/26)</t>
        </is>
      </c>
    </row>
    <row r="237">
      <c r="A237" s="256" t="inlineStr">
        <is>
          <t>CoQ-PP_26-011</t>
        </is>
      </c>
      <c r="B237" s="256" t="inlineStr">
        <is>
          <t>release</t>
        </is>
      </c>
      <c r="C237" s="256" t="inlineStr">
        <is>
          <t>HPA1024_01</t>
        </is>
      </c>
      <c r="D237" s="256" t="inlineStr">
        <is>
          <t>P050052</t>
        </is>
      </c>
      <c r="E237" s="256" t="inlineStr">
        <is>
          <t>High Pro Amnesia</t>
        </is>
      </c>
      <c r="F237" s="256" t="inlineStr">
        <is>
          <t>06.06.2026</t>
        </is>
      </c>
      <c r="G237" s="256" t="inlineStr">
        <is>
          <t>6</t>
        </is>
      </c>
      <c r="H237" s="256" t="inlineStr">
        <is>
          <t>Total CBN</t>
        </is>
      </c>
      <c r="I237" s="256" t="inlineStr">
        <is>
          <t>HPLC — DAB 2018 monograph Cannabis flos, 2.2.29 · CBN + CBNA x 0.876 (CNP, before its Ph. Eur. 3028 accreditation)</t>
        </is>
      </c>
      <c r="J237" s="256" t="inlineStr">
        <is>
          <t>≤ 1.0%, w/w</t>
        </is>
      </c>
      <c r="K237" s="256" t="inlineStr">
        <is>
          <t>0.02 ᴰ</t>
        </is>
      </c>
      <c r="L237" s="256" t="inlineStr">
        <is>
          <t>ППК25155</t>
        </is>
      </c>
      <c r="M237" s="256" t="inlineStr">
        <is>
          <t>24.06.2025</t>
        </is>
      </c>
      <c r="N237" s="256" t="inlineStr">
        <is>
          <t>CNP</t>
        </is>
      </c>
      <c r="O237" s="256" t="inlineStr">
        <is>
          <t>12.06.2025</t>
        </is>
      </c>
      <c r="P237" s="256" t="inlineStr">
        <is>
          <t>covered</t>
        </is>
      </c>
      <c r="Q237" s="256" t="inlineStr"/>
      <c r="R237" s="256" t="inlineStr"/>
    </row>
    <row r="238">
      <c r="A238" s="256" t="inlineStr">
        <is>
          <t>CoQ-PP_26-011</t>
        </is>
      </c>
      <c r="B238" s="256" t="inlineStr">
        <is>
          <t>release</t>
        </is>
      </c>
      <c r="C238" s="256" t="inlineStr">
        <is>
          <t>HPA1024_01</t>
        </is>
      </c>
      <c r="D238" s="256" t="inlineStr">
        <is>
          <t>P050052</t>
        </is>
      </c>
      <c r="E238" s="256" t="inlineStr">
        <is>
          <t>High Pro Amnesia</t>
        </is>
      </c>
      <c r="F238" s="256" t="inlineStr">
        <is>
          <t>06.06.2026</t>
        </is>
      </c>
      <c r="G238" s="256" t="inlineStr">
        <is>
          <t>7</t>
        </is>
      </c>
      <c r="H238" s="256" t="inlineStr">
        <is>
          <t>Foreign Matter</t>
        </is>
      </c>
      <c r="I238" s="256" t="inlineStr">
        <is>
          <t>Ph. Eur. 2.8.2 · In-house · интерна</t>
        </is>
      </c>
      <c r="J238" s="256" t="inlineStr">
        <is>
          <t>≤ 2.0% / 25–50 g · &lt; 1 cm leaves | листови, no seeds | без семки</t>
        </is>
      </c>
      <c r="K238" s="256" t="inlineStr">
        <is>
          <t>Conforms | Одговара</t>
        </is>
      </c>
      <c r="L238" s="256" t="inlineStr">
        <is>
          <t>iCoA-PP_26-011</t>
        </is>
      </c>
      <c r="M238" s="256" t="inlineStr">
        <is>
          <t>03.06.2026</t>
        </is>
      </c>
      <c r="N238" s="256" t="inlineStr">
        <is>
          <t>Purely Plant GmbH (in-house)</t>
        </is>
      </c>
      <c r="O238" s="256" t="inlineStr">
        <is>
          <t>—</t>
        </is>
      </c>
      <c r="P238" s="256" t="inlineStr">
        <is>
          <t>to be performed — see route</t>
        </is>
      </c>
      <c r="Q238" s="256" t="inlineStr">
        <is>
          <t>Purely Plant laboratory — iCoA covering Foreign matter</t>
        </is>
      </c>
      <c r="R238" s="256" t="inlineStr"/>
    </row>
    <row r="239">
      <c r="A239" s="256" t="inlineStr">
        <is>
          <t>CoQ-PP_26-011</t>
        </is>
      </c>
      <c r="B239" s="256" t="inlineStr">
        <is>
          <t>release</t>
        </is>
      </c>
      <c r="C239" s="256" t="inlineStr">
        <is>
          <t>HPA1024_01</t>
        </is>
      </c>
      <c r="D239" s="256" t="inlineStr">
        <is>
          <t>P050052</t>
        </is>
      </c>
      <c r="E239" s="256" t="inlineStr">
        <is>
          <t>High Pro Amnesia</t>
        </is>
      </c>
      <c r="F239" s="256" t="inlineStr">
        <is>
          <t>06.06.2026</t>
        </is>
      </c>
      <c r="G239" s="256" t="inlineStr">
        <is>
          <t>8</t>
        </is>
      </c>
      <c r="H239" s="256" t="inlineStr">
        <is>
          <t>Loss on Drying</t>
        </is>
      </c>
      <c r="I239" s="256" t="inlineStr">
        <is>
          <t>DAB 2018 monograph Cannabis flos, 2.2.32 — loss on drying (CNP, before its Ph. Eur. 3028 accreditation)</t>
        </is>
      </c>
      <c r="J239" s="256" t="inlineStr">
        <is>
          <t>≤ 12.0%</t>
        </is>
      </c>
      <c r="K239" s="256" t="inlineStr">
        <is>
          <t>6.36</t>
        </is>
      </c>
      <c r="L239" s="256" t="inlineStr">
        <is>
          <t>ППК25155</t>
        </is>
      </c>
      <c r="M239" s="256" t="inlineStr">
        <is>
          <t>24.06.2025</t>
        </is>
      </c>
      <c r="N239" s="256" t="inlineStr">
        <is>
          <t>UKIM Faculty of Pharmacy — Center for Natural Products</t>
        </is>
      </c>
      <c r="O239" s="256" t="inlineStr">
        <is>
          <t>12.06.2025</t>
        </is>
      </c>
      <c r="P239" s="256" t="inlineStr">
        <is>
          <t>covered</t>
        </is>
      </c>
      <c r="Q239" s="256" t="inlineStr"/>
      <c r="R239" s="256" t="inlineStr"/>
    </row>
    <row r="240">
      <c r="A240" s="256" t="inlineStr">
        <is>
          <t>CoQ-PP_26-011</t>
        </is>
      </c>
      <c r="B240" s="256" t="inlineStr">
        <is>
          <t>release</t>
        </is>
      </c>
      <c r="C240" s="256" t="inlineStr">
        <is>
          <t>HPA1024_01</t>
        </is>
      </c>
      <c r="D240" s="256" t="inlineStr">
        <is>
          <t>P050052</t>
        </is>
      </c>
      <c r="E240" s="256" t="inlineStr">
        <is>
          <t>High Pro Amnesia</t>
        </is>
      </c>
      <c r="F240" s="256" t="inlineStr">
        <is>
          <t>06.06.2026</t>
        </is>
      </c>
      <c r="G240" s="256" t="inlineStr">
        <is>
          <t>9.1</t>
        </is>
      </c>
      <c r="H240" s="256" t="inlineStr">
        <is>
          <t>TAMC</t>
        </is>
      </c>
      <c r="I240" s="256" t="inlineStr">
        <is>
          <t>Ph. Eur. 2.6.12 cat. C</t>
        </is>
      </c>
      <c r="J240" s="256" t="inlineStr">
        <is>
          <t>≤ 10⁵ CFU/g</t>
        </is>
      </c>
      <c r="K240" s="256" t="inlineStr">
        <is>
          <t>9.6 × 10³</t>
        </is>
      </c>
      <c r="L240" s="256" t="inlineStr">
        <is>
          <t>587/1066/25</t>
        </is>
      </c>
      <c r="M240" s="256" t="inlineStr">
        <is>
          <t>18.06.2025</t>
        </is>
      </c>
      <c r="N240" s="256" t="inlineStr">
        <is>
          <t>IPH — Institute of Public Health</t>
        </is>
      </c>
      <c r="O240" s="256" t="inlineStr">
        <is>
          <t>13.06.2025</t>
        </is>
      </c>
      <c r="P240" s="256" t="inlineStr">
        <is>
          <t>covered</t>
        </is>
      </c>
      <c r="Q240" s="256" t="inlineStr"/>
      <c r="R240" s="256" t="inlineStr"/>
    </row>
    <row r="241">
      <c r="A241" s="256" t="inlineStr">
        <is>
          <t>CoQ-PP_26-011</t>
        </is>
      </c>
      <c r="B241" s="256" t="inlineStr">
        <is>
          <t>release</t>
        </is>
      </c>
      <c r="C241" s="256" t="inlineStr">
        <is>
          <t>HPA1024_01</t>
        </is>
      </c>
      <c r="D241" s="256" t="inlineStr">
        <is>
          <t>P050052</t>
        </is>
      </c>
      <c r="E241" s="256" t="inlineStr">
        <is>
          <t>High Pro Amnesia</t>
        </is>
      </c>
      <c r="F241" s="256" t="inlineStr">
        <is>
          <t>06.06.2026</t>
        </is>
      </c>
      <c r="G241" s="256" t="inlineStr">
        <is>
          <t>9.2</t>
        </is>
      </c>
      <c r="H241" s="256" t="inlineStr">
        <is>
          <t>TYMC</t>
        </is>
      </c>
      <c r="I241" s="256" t="inlineStr">
        <is>
          <t>Ph. Eur. 2.6.12 cat. C</t>
        </is>
      </c>
      <c r="J241" s="256" t="inlineStr">
        <is>
          <t>≤ 10⁴ CFU/g</t>
        </is>
      </c>
      <c r="K241" s="256" t="inlineStr">
        <is>
          <t>1.5 × 10⁴</t>
        </is>
      </c>
      <c r="L241" s="256" t="inlineStr">
        <is>
          <t>587/1066/25</t>
        </is>
      </c>
      <c r="M241" s="256" t="inlineStr">
        <is>
          <t>18.06.2025</t>
        </is>
      </c>
      <c r="N241" s="256" t="inlineStr">
        <is>
          <t>IPH — Institute of Public Health</t>
        </is>
      </c>
      <c r="O241" s="256" t="inlineStr">
        <is>
          <t>13.06.2025</t>
        </is>
      </c>
      <c r="P241" s="256" t="inlineStr">
        <is>
          <t>UNDETERMINED — pending the QCSP 001 reading</t>
        </is>
      </c>
      <c r="Q241" s="256" t="inlineStr"/>
      <c r="R241" s="256" t="inlineStr"/>
    </row>
    <row r="242">
      <c r="A242" s="256" t="inlineStr">
        <is>
          <t>CoQ-PP_26-011</t>
        </is>
      </c>
      <c r="B242" s="256" t="inlineStr">
        <is>
          <t>release</t>
        </is>
      </c>
      <c r="C242" s="256" t="inlineStr">
        <is>
          <t>HPA1024_01</t>
        </is>
      </c>
      <c r="D242" s="256" t="inlineStr">
        <is>
          <t>P050052</t>
        </is>
      </c>
      <c r="E242" s="256" t="inlineStr">
        <is>
          <t>High Pro Amnesia</t>
        </is>
      </c>
      <c r="F242" s="256" t="inlineStr">
        <is>
          <t>06.06.2026</t>
        </is>
      </c>
      <c r="G242" s="256" t="inlineStr">
        <is>
          <t>9.3</t>
        </is>
      </c>
      <c r="H242" s="256" t="inlineStr">
        <is>
          <t>Bile-tolerant gram-neg.</t>
        </is>
      </c>
      <c r="I242" s="256" t="inlineStr">
        <is>
          <t>Ph. Eur. 2.6.31 cat. C</t>
        </is>
      </c>
      <c r="J242" s="256" t="inlineStr">
        <is>
          <t>≤ 10⁴ CFU/g</t>
        </is>
      </c>
      <c r="K242" s="256" t="inlineStr">
        <is>
          <t>&lt; 10</t>
        </is>
      </c>
      <c r="L242" s="256" t="inlineStr">
        <is>
          <t>587/1066/25</t>
        </is>
      </c>
      <c r="M242" s="256" t="inlineStr">
        <is>
          <t>18.06.2025</t>
        </is>
      </c>
      <c r="N242" s="256" t="inlineStr">
        <is>
          <t>IPH — Institute of Public Health</t>
        </is>
      </c>
      <c r="O242" s="256" t="inlineStr">
        <is>
          <t>13.06.2025</t>
        </is>
      </c>
      <c r="P242" s="256" t="inlineStr">
        <is>
          <t>covered</t>
        </is>
      </c>
      <c r="Q242" s="256" t="inlineStr"/>
      <c r="R242" s="256" t="inlineStr"/>
    </row>
    <row r="243">
      <c r="A243" s="256" t="inlineStr">
        <is>
          <t>CoQ-PP_26-011</t>
        </is>
      </c>
      <c r="B243" s="256" t="inlineStr">
        <is>
          <t>release</t>
        </is>
      </c>
      <c r="C243" s="256" t="inlineStr">
        <is>
          <t>HPA1024_01</t>
        </is>
      </c>
      <c r="D243" s="256" t="inlineStr">
        <is>
          <t>P050052</t>
        </is>
      </c>
      <c r="E243" s="256" t="inlineStr">
        <is>
          <t>High Pro Amnesia</t>
        </is>
      </c>
      <c r="F243" s="256" t="inlineStr">
        <is>
          <t>06.06.2026</t>
        </is>
      </c>
      <c r="G243" s="256" t="inlineStr">
        <is>
          <t>9.4</t>
        </is>
      </c>
      <c r="H243" s="256" t="inlineStr">
        <is>
          <t>Salmonella</t>
        </is>
      </c>
      <c r="I243" s="256" t="inlineStr">
        <is>
          <t>Ph. Eur. 2.6.31 cat. C</t>
        </is>
      </c>
      <c r="J243" s="256" t="inlineStr">
        <is>
          <t>Absence | Отсуство / 25 g</t>
        </is>
      </c>
      <c r="K243" s="256" t="inlineStr">
        <is>
          <t>Absent | Отсутна</t>
        </is>
      </c>
      <c r="L243" s="256" t="inlineStr">
        <is>
          <t>587/1066/25</t>
        </is>
      </c>
      <c r="M243" s="256" t="inlineStr">
        <is>
          <t>18.06.2025</t>
        </is>
      </c>
      <c r="N243" s="256" t="inlineStr">
        <is>
          <t>IPH — Institute of Public Health</t>
        </is>
      </c>
      <c r="O243" s="256" t="inlineStr">
        <is>
          <t>13.06.2025</t>
        </is>
      </c>
      <c r="P243" s="256" t="inlineStr">
        <is>
          <t>covered</t>
        </is>
      </c>
      <c r="Q243" s="256" t="inlineStr"/>
      <c r="R243" s="256" t="inlineStr"/>
    </row>
    <row r="244">
      <c r="A244" s="256" t="inlineStr">
        <is>
          <t>CoQ-PP_26-011</t>
        </is>
      </c>
      <c r="B244" s="256" t="inlineStr">
        <is>
          <t>release</t>
        </is>
      </c>
      <c r="C244" s="256" t="inlineStr">
        <is>
          <t>HPA1024_01</t>
        </is>
      </c>
      <c r="D244" s="256" t="inlineStr">
        <is>
          <t>P050052</t>
        </is>
      </c>
      <c r="E244" s="256" t="inlineStr">
        <is>
          <t>High Pro Amnesia</t>
        </is>
      </c>
      <c r="F244" s="256" t="inlineStr">
        <is>
          <t>06.06.2026</t>
        </is>
      </c>
      <c r="G244" s="256" t="inlineStr">
        <is>
          <t>9.5</t>
        </is>
      </c>
      <c r="H244" s="256" t="inlineStr">
        <is>
          <t>Escherichia coli</t>
        </is>
      </c>
      <c r="I244" s="256" t="inlineStr">
        <is>
          <t>Ph. Eur. 2.6.13 cat. C</t>
        </is>
      </c>
      <c r="J244" s="256" t="inlineStr">
        <is>
          <t>Absence | Отсуство / 1 g</t>
        </is>
      </c>
      <c r="K244" s="256" t="inlineStr">
        <is>
          <t>Absent | Отсутна</t>
        </is>
      </c>
      <c r="L244" s="256" t="inlineStr">
        <is>
          <t>587/1066/25</t>
        </is>
      </c>
      <c r="M244" s="256" t="inlineStr">
        <is>
          <t>18.06.2025</t>
        </is>
      </c>
      <c r="N244" s="256" t="inlineStr">
        <is>
          <t>IPH — Institute of Public Health</t>
        </is>
      </c>
      <c r="O244" s="256" t="inlineStr">
        <is>
          <t>13.06.2025</t>
        </is>
      </c>
      <c r="P244" s="256" t="inlineStr">
        <is>
          <t>covered</t>
        </is>
      </c>
      <c r="Q244" s="256" t="inlineStr"/>
      <c r="R244" s="256" t="inlineStr"/>
    </row>
    <row r="245">
      <c r="A245" s="256" t="inlineStr">
        <is>
          <t>CoQ-PP_26-011</t>
        </is>
      </c>
      <c r="B245" s="256" t="inlineStr">
        <is>
          <t>release</t>
        </is>
      </c>
      <c r="C245" s="256" t="inlineStr">
        <is>
          <t>HPA1024_01</t>
        </is>
      </c>
      <c r="D245" s="256" t="inlineStr">
        <is>
          <t>P050052</t>
        </is>
      </c>
      <c r="E245" s="256" t="inlineStr">
        <is>
          <t>High Pro Amnesia</t>
        </is>
      </c>
      <c r="F245" s="256" t="inlineStr">
        <is>
          <t>06.06.2026</t>
        </is>
      </c>
      <c r="G245" s="256" t="inlineStr">
        <is>
          <t>9.6</t>
        </is>
      </c>
      <c r="H245" s="256" t="inlineStr">
        <is>
          <t>Pseudomonas aeruginosa</t>
        </is>
      </c>
      <c r="I245" s="256" t="inlineStr">
        <is>
          <t>Ph. Eur. 2.6.13 cat. C</t>
        </is>
      </c>
      <c r="J245" s="256" t="inlineStr">
        <is>
          <t>Absence | Отсуство / 1 g</t>
        </is>
      </c>
      <c r="K245" s="260" t="inlineStr">
        <is>
          <t>upon request — not required for release</t>
        </is>
      </c>
      <c r="L245" s="256" t="inlineStr">
        <is>
          <t>—</t>
        </is>
      </c>
      <c r="M245" s="256" t="inlineStr">
        <is>
          <t>—</t>
        </is>
      </c>
      <c r="N245" s="256" t="inlineStr">
        <is>
          <t>—</t>
        </is>
      </c>
      <c r="O245" s="256" t="inlineStr">
        <is>
          <t>—</t>
        </is>
      </c>
      <c r="P245" s="256" t="inlineStr">
        <is>
          <t>upon request — not required for release</t>
        </is>
      </c>
      <c r="Q245" s="256" t="inlineStr"/>
      <c r="R245" s="256" t="inlineStr"/>
    </row>
    <row r="246">
      <c r="A246" s="256" t="inlineStr">
        <is>
          <t>CoQ-PP_26-011</t>
        </is>
      </c>
      <c r="B246" s="256" t="inlineStr">
        <is>
          <t>release</t>
        </is>
      </c>
      <c r="C246" s="256" t="inlineStr">
        <is>
          <t>HPA1024_01</t>
        </is>
      </c>
      <c r="D246" s="256" t="inlineStr">
        <is>
          <t>P050052</t>
        </is>
      </c>
      <c r="E246" s="256" t="inlineStr">
        <is>
          <t>High Pro Amnesia</t>
        </is>
      </c>
      <c r="F246" s="256" t="inlineStr">
        <is>
          <t>06.06.2026</t>
        </is>
      </c>
      <c r="G246" s="256" t="inlineStr">
        <is>
          <t>9.7</t>
        </is>
      </c>
      <c r="H246" s="256" t="inlineStr">
        <is>
          <t>Staphylococcus aureus</t>
        </is>
      </c>
      <c r="I246" s="256" t="inlineStr">
        <is>
          <t>Ph. Eur. 2.6.13 cat. C</t>
        </is>
      </c>
      <c r="J246" s="256" t="inlineStr">
        <is>
          <t>Absence | Отсуство / 1 g</t>
        </is>
      </c>
      <c r="K246" s="260" t="inlineStr">
        <is>
          <t>upon request — not required for release</t>
        </is>
      </c>
      <c r="L246" s="256" t="inlineStr">
        <is>
          <t>—</t>
        </is>
      </c>
      <c r="M246" s="256" t="inlineStr">
        <is>
          <t>—</t>
        </is>
      </c>
      <c r="N246" s="256" t="inlineStr">
        <is>
          <t>—</t>
        </is>
      </c>
      <c r="O246" s="256" t="inlineStr">
        <is>
          <t>—</t>
        </is>
      </c>
      <c r="P246" s="256" t="inlineStr">
        <is>
          <t>upon request — not required for release</t>
        </is>
      </c>
      <c r="Q246" s="256" t="inlineStr"/>
      <c r="R246" s="256" t="inlineStr"/>
    </row>
    <row r="247">
      <c r="A247" s="256" t="inlineStr">
        <is>
          <t>CoQ-PP_26-011</t>
        </is>
      </c>
      <c r="B247" s="256" t="inlineStr">
        <is>
          <t>release</t>
        </is>
      </c>
      <c r="C247" s="256" t="inlineStr">
        <is>
          <t>HPA1024_01</t>
        </is>
      </c>
      <c r="D247" s="256" t="inlineStr">
        <is>
          <t>P050052</t>
        </is>
      </c>
      <c r="E247" s="256" t="inlineStr">
        <is>
          <t>High Pro Amnesia</t>
        </is>
      </c>
      <c r="F247" s="256" t="inlineStr">
        <is>
          <t>06.06.2026</t>
        </is>
      </c>
      <c r="G247" s="256" t="inlineStr">
        <is>
          <t>10.1</t>
        </is>
      </c>
      <c r="H247" s="256" t="inlineStr">
        <is>
          <t>Aflatoxin B₁</t>
        </is>
      </c>
      <c r="I247" s="256" t="inlineStr">
        <is>
          <t>Ph. Eur. 2.8.18 (HPLC-FLD)</t>
        </is>
      </c>
      <c r="J247" s="256" t="inlineStr">
        <is>
          <t>≤ 2 µg/kg</t>
        </is>
      </c>
      <c r="K247" s="259" t="inlineStr">
        <is>
          <t>not tested</t>
        </is>
      </c>
      <c r="L247" s="256" t="inlineStr">
        <is>
          <t>—</t>
        </is>
      </c>
      <c r="M247" s="256" t="inlineStr">
        <is>
          <t>—</t>
        </is>
      </c>
      <c r="N247" s="256" t="inlineStr">
        <is>
          <t>—</t>
        </is>
      </c>
      <c r="O247" s="256" t="inlineStr">
        <is>
          <t>—</t>
        </is>
      </c>
      <c r="P247" s="256" t="inlineStr">
        <is>
          <t>not tested — no certificate covers it</t>
        </is>
      </c>
      <c r="Q247" s="256" t="inlineStr"/>
      <c r="R247" s="256" t="inlineStr">
        <is>
          <t>ND (197-14-М/26)</t>
        </is>
      </c>
    </row>
    <row r="248">
      <c r="A248" s="256" t="inlineStr">
        <is>
          <t>CoQ-PP_26-011</t>
        </is>
      </c>
      <c r="B248" s="256" t="inlineStr">
        <is>
          <t>release</t>
        </is>
      </c>
      <c r="C248" s="256" t="inlineStr">
        <is>
          <t>HPA1024_01</t>
        </is>
      </c>
      <c r="D248" s="256" t="inlineStr">
        <is>
          <t>P050052</t>
        </is>
      </c>
      <c r="E248" s="256" t="inlineStr">
        <is>
          <t>High Pro Amnesia</t>
        </is>
      </c>
      <c r="F248" s="256" t="inlineStr">
        <is>
          <t>06.06.2026</t>
        </is>
      </c>
      <c r="G248" s="256" t="inlineStr">
        <is>
          <t>10.2</t>
        </is>
      </c>
      <c r="H248" s="256" t="inlineStr">
        <is>
          <t>Aflatoxins ∑</t>
        </is>
      </c>
      <c r="I248" s="256" t="inlineStr">
        <is>
          <t>Ph. Eur. 2.8.18 (HPLC-FLD)</t>
        </is>
      </c>
      <c r="J248" s="256" t="inlineStr">
        <is>
          <t>≤ 4 µg/kg</t>
        </is>
      </c>
      <c r="K248" s="256" t="inlineStr">
        <is>
          <t>&lt; 2</t>
        </is>
      </c>
      <c r="L248" s="256" t="inlineStr">
        <is>
          <t>2995/2025</t>
        </is>
      </c>
      <c r="M248" s="256" t="inlineStr">
        <is>
          <t>19.06.2025</t>
        </is>
      </c>
      <c r="N248" s="256" t="inlineStr">
        <is>
          <t>IPH — Institute of Public Health</t>
        </is>
      </c>
      <c r="O248" s="256" t="inlineStr">
        <is>
          <t>12.06.2025</t>
        </is>
      </c>
      <c r="P248" s="256" t="inlineStr">
        <is>
          <t>covered</t>
        </is>
      </c>
      <c r="Q248" s="256" t="inlineStr"/>
      <c r="R248" s="256" t="inlineStr">
        <is>
          <t>ND (197-14-М/26)</t>
        </is>
      </c>
    </row>
    <row r="249">
      <c r="A249" s="256" t="inlineStr">
        <is>
          <t>CoQ-PP_26-011</t>
        </is>
      </c>
      <c r="B249" s="256" t="inlineStr">
        <is>
          <t>release</t>
        </is>
      </c>
      <c r="C249" s="256" t="inlineStr">
        <is>
          <t>HPA1024_01</t>
        </is>
      </c>
      <c r="D249" s="256" t="inlineStr">
        <is>
          <t>P050052</t>
        </is>
      </c>
      <c r="E249" s="256" t="inlineStr">
        <is>
          <t>High Pro Amnesia</t>
        </is>
      </c>
      <c r="F249" s="256" t="inlineStr">
        <is>
          <t>06.06.2026</t>
        </is>
      </c>
      <c r="G249" s="256" t="inlineStr">
        <is>
          <t>10.3</t>
        </is>
      </c>
      <c r="H249" s="256" t="inlineStr">
        <is>
          <t>Ochratoxin A</t>
        </is>
      </c>
      <c r="I249" s="256" t="inlineStr">
        <is>
          <t>Ph. Eur. 2.8.22 (HPLC-FLD)</t>
        </is>
      </c>
      <c r="J249" s="256" t="inlineStr">
        <is>
          <t>≤ 20 µg/kg</t>
        </is>
      </c>
      <c r="K249" s="259" t="inlineStr">
        <is>
          <t>not tested</t>
        </is>
      </c>
      <c r="L249" s="256" t="inlineStr">
        <is>
          <t>—</t>
        </is>
      </c>
      <c r="M249" s="256" t="inlineStr">
        <is>
          <t>—</t>
        </is>
      </c>
      <c r="N249" s="256" t="inlineStr">
        <is>
          <t>—</t>
        </is>
      </c>
      <c r="O249" s="256" t="inlineStr">
        <is>
          <t>—</t>
        </is>
      </c>
      <c r="P249" s="256" t="inlineStr">
        <is>
          <t>not tested — no certificate covers it</t>
        </is>
      </c>
      <c r="Q249" s="256" t="inlineStr"/>
      <c r="R249" s="256" t="inlineStr">
        <is>
          <t>2.06 — DETECTED, &gt;LOQ (197-14-М/26)</t>
        </is>
      </c>
    </row>
    <row r="250">
      <c r="A250" s="256" t="inlineStr">
        <is>
          <t>CoQ-PP_26-011</t>
        </is>
      </c>
      <c r="B250" s="256" t="inlineStr">
        <is>
          <t>release</t>
        </is>
      </c>
      <c r="C250" s="256" t="inlineStr">
        <is>
          <t>HPA1024_01</t>
        </is>
      </c>
      <c r="D250" s="256" t="inlineStr">
        <is>
          <t>P050052</t>
        </is>
      </c>
      <c r="E250" s="256" t="inlineStr">
        <is>
          <t>High Pro Amnesia</t>
        </is>
      </c>
      <c r="F250" s="256" t="inlineStr">
        <is>
          <t>06.06.2026</t>
        </is>
      </c>
      <c r="G250" s="256" t="inlineStr">
        <is>
          <t>11.1</t>
        </is>
      </c>
      <c r="H250" s="256" t="inlineStr">
        <is>
          <t>Lead (Pb)</t>
        </is>
      </c>
      <c r="I250" s="256" t="inlineStr">
        <is>
          <t>Ph. Eur. 2.4.27 (ICP-MS)</t>
        </is>
      </c>
      <c r="J250" s="256" t="inlineStr">
        <is>
          <t>≤ 0.5 mg/kg</t>
        </is>
      </c>
      <c r="K250" s="256" t="inlineStr">
        <is>
          <t>0.059</t>
        </is>
      </c>
      <c r="L250" s="256" t="inlineStr">
        <is>
          <t>2995/2025</t>
        </is>
      </c>
      <c r="M250" s="256" t="inlineStr">
        <is>
          <t>19.06.2025</t>
        </is>
      </c>
      <c r="N250" s="256" t="inlineStr">
        <is>
          <t>IPH — Institute of Public Health</t>
        </is>
      </c>
      <c r="O250" s="256" t="inlineStr">
        <is>
          <t>12.06.2025</t>
        </is>
      </c>
      <c r="P250" s="256" t="inlineStr">
        <is>
          <t>covered</t>
        </is>
      </c>
      <c r="Q250" s="256" t="inlineStr"/>
      <c r="R250" s="256" t="inlineStr"/>
    </row>
    <row r="251">
      <c r="A251" s="256" t="inlineStr">
        <is>
          <t>CoQ-PP_26-011</t>
        </is>
      </c>
      <c r="B251" s="256" t="inlineStr">
        <is>
          <t>release</t>
        </is>
      </c>
      <c r="C251" s="256" t="inlineStr">
        <is>
          <t>HPA1024_01</t>
        </is>
      </c>
      <c r="D251" s="256" t="inlineStr">
        <is>
          <t>P050052</t>
        </is>
      </c>
      <c r="E251" s="256" t="inlineStr">
        <is>
          <t>High Pro Amnesia</t>
        </is>
      </c>
      <c r="F251" s="256" t="inlineStr">
        <is>
          <t>06.06.2026</t>
        </is>
      </c>
      <c r="G251" s="256" t="inlineStr">
        <is>
          <t>11.2</t>
        </is>
      </c>
      <c r="H251" s="256" t="inlineStr">
        <is>
          <t>Cadmium (Cd)</t>
        </is>
      </c>
      <c r="I251" s="256" t="inlineStr">
        <is>
          <t>Ph. Eur. 2.4.27 (ICP-MS)</t>
        </is>
      </c>
      <c r="J251" s="256" t="inlineStr">
        <is>
          <t>≤ 0.3 mg/kg</t>
        </is>
      </c>
      <c r="K251" s="256" t="inlineStr">
        <is>
          <t>0.014</t>
        </is>
      </c>
      <c r="L251" s="256" t="inlineStr">
        <is>
          <t>2995/2025</t>
        </is>
      </c>
      <c r="M251" s="256" t="inlineStr">
        <is>
          <t>19.06.2025</t>
        </is>
      </c>
      <c r="N251" s="256" t="inlineStr">
        <is>
          <t>IPH — Institute of Public Health</t>
        </is>
      </c>
      <c r="O251" s="256" t="inlineStr">
        <is>
          <t>12.06.2025</t>
        </is>
      </c>
      <c r="P251" s="256" t="inlineStr">
        <is>
          <t>covered</t>
        </is>
      </c>
      <c r="Q251" s="256" t="inlineStr"/>
      <c r="R251" s="256" t="inlineStr"/>
    </row>
    <row r="252">
      <c r="A252" s="256" t="inlineStr">
        <is>
          <t>CoQ-PP_26-011</t>
        </is>
      </c>
      <c r="B252" s="256" t="inlineStr">
        <is>
          <t>release</t>
        </is>
      </c>
      <c r="C252" s="256" t="inlineStr">
        <is>
          <t>HPA1024_01</t>
        </is>
      </c>
      <c r="D252" s="256" t="inlineStr">
        <is>
          <t>P050052</t>
        </is>
      </c>
      <c r="E252" s="256" t="inlineStr">
        <is>
          <t>High Pro Amnesia</t>
        </is>
      </c>
      <c r="F252" s="256" t="inlineStr">
        <is>
          <t>06.06.2026</t>
        </is>
      </c>
      <c r="G252" s="256" t="inlineStr">
        <is>
          <t>11.3</t>
        </is>
      </c>
      <c r="H252" s="256" t="inlineStr">
        <is>
          <t>Arsenic (As)</t>
        </is>
      </c>
      <c r="I252" s="256" t="inlineStr">
        <is>
          <t>Ph. Eur. 2.4.27 (ICP-MS)</t>
        </is>
      </c>
      <c r="J252" s="256" t="inlineStr">
        <is>
          <t>≤ 0.2 mg/kg</t>
        </is>
      </c>
      <c r="K252" s="256" t="inlineStr">
        <is>
          <t>0.037</t>
        </is>
      </c>
      <c r="L252" s="256" t="inlineStr">
        <is>
          <t>2995/2025</t>
        </is>
      </c>
      <c r="M252" s="256" t="inlineStr">
        <is>
          <t>19.06.2025</t>
        </is>
      </c>
      <c r="N252" s="256" t="inlineStr">
        <is>
          <t>IPH — Institute of Public Health</t>
        </is>
      </c>
      <c r="O252" s="256" t="inlineStr">
        <is>
          <t>12.06.2025</t>
        </is>
      </c>
      <c r="P252" s="256" t="inlineStr">
        <is>
          <t>covered</t>
        </is>
      </c>
      <c r="Q252" s="256" t="inlineStr"/>
      <c r="R252" s="256" t="inlineStr"/>
    </row>
    <row r="253">
      <c r="A253" s="256" t="inlineStr">
        <is>
          <t>CoQ-PP_26-011</t>
        </is>
      </c>
      <c r="B253" s="256" t="inlineStr">
        <is>
          <t>release</t>
        </is>
      </c>
      <c r="C253" s="256" t="inlineStr">
        <is>
          <t>HPA1024_01</t>
        </is>
      </c>
      <c r="D253" s="256" t="inlineStr">
        <is>
          <t>P050052</t>
        </is>
      </c>
      <c r="E253" s="256" t="inlineStr">
        <is>
          <t>High Pro Amnesia</t>
        </is>
      </c>
      <c r="F253" s="256" t="inlineStr">
        <is>
          <t>06.06.2026</t>
        </is>
      </c>
      <c r="G253" s="256" t="inlineStr">
        <is>
          <t>11.4</t>
        </is>
      </c>
      <c r="H253" s="256" t="inlineStr">
        <is>
          <t>Mercury (Hg)</t>
        </is>
      </c>
      <c r="I253" s="256" t="inlineStr">
        <is>
          <t>Ph. Eur. 2.4.27 (ICP-MS)</t>
        </is>
      </c>
      <c r="J253" s="256" t="inlineStr">
        <is>
          <t>≤ 0.1 mg/kg</t>
        </is>
      </c>
      <c r="K253" s="256" t="inlineStr">
        <is>
          <t>0.008</t>
        </is>
      </c>
      <c r="L253" s="256" t="inlineStr">
        <is>
          <t>2995/2025</t>
        </is>
      </c>
      <c r="M253" s="256" t="inlineStr">
        <is>
          <t>19.06.2025</t>
        </is>
      </c>
      <c r="N253" s="256" t="inlineStr">
        <is>
          <t>IPH — Institute of Public Health</t>
        </is>
      </c>
      <c r="O253" s="256" t="inlineStr">
        <is>
          <t>12.06.2025</t>
        </is>
      </c>
      <c r="P253" s="256" t="inlineStr">
        <is>
          <t>covered</t>
        </is>
      </c>
      <c r="Q253" s="256" t="inlineStr"/>
      <c r="R253" s="256" t="inlineStr"/>
    </row>
    <row r="254">
      <c r="A254" s="256" t="inlineStr">
        <is>
          <t>CoQ-PP_26-011</t>
        </is>
      </c>
      <c r="B254" s="256" t="inlineStr">
        <is>
          <t>release</t>
        </is>
      </c>
      <c r="C254" s="256" t="inlineStr">
        <is>
          <t>HPA1024_01</t>
        </is>
      </c>
      <c r="D254" s="256" t="inlineStr">
        <is>
          <t>P050052</t>
        </is>
      </c>
      <c r="E254" s="256" t="inlineStr">
        <is>
          <t>High Pro Amnesia</t>
        </is>
      </c>
      <c r="F254" s="256" t="inlineStr">
        <is>
          <t>06.06.2026</t>
        </is>
      </c>
      <c r="G254" s="256" t="inlineStr">
        <is>
          <t>12</t>
        </is>
      </c>
      <c r="H254" s="256" t="inlineStr">
        <is>
          <t>Pesticide Residues</t>
        </is>
      </c>
      <c r="I254" s="256" t="inlineStr">
        <is>
          <t>Ph. Eur. 2.8.13 (LC-MS/MS) · CUMCS Equivalency</t>
        </is>
      </c>
      <c r="J254" s="256" t="inlineStr">
        <is>
          <t>≤ LOQ as per Ph. Eur. 2.8.13 · ≤ LOQ as per CUMCS Equivalency</t>
        </is>
      </c>
      <c r="K254" s="256" t="inlineStr">
        <is>
          <t>ND</t>
        </is>
      </c>
      <c r="L254" s="256" t="inlineStr">
        <is>
          <t>2995/2025</t>
        </is>
      </c>
      <c r="M254" s="256" t="inlineStr">
        <is>
          <t>19.06.2025</t>
        </is>
      </c>
      <c r="N254" s="256" t="inlineStr">
        <is>
          <t>IPH — Institute of Public Health</t>
        </is>
      </c>
      <c r="O254" s="256" t="inlineStr">
        <is>
          <t>12.06.2025</t>
        </is>
      </c>
      <c r="P254" s="256" t="inlineStr">
        <is>
          <t>covered</t>
        </is>
      </c>
      <c r="Q254" s="256" t="inlineStr"/>
      <c r="R254" s="256" t="inlineStr"/>
    </row>
    <row r="255">
      <c r="A255" s="256" t="inlineStr">
        <is>
          <t>CoQ-PP_26-012</t>
        </is>
      </c>
      <c r="B255" s="256" t="inlineStr">
        <is>
          <t>release</t>
        </is>
      </c>
      <c r="C255" s="256" t="inlineStr">
        <is>
          <t>OPM1024_02</t>
        </is>
      </c>
      <c r="D255" s="256" t="inlineStr">
        <is>
          <t>P050062</t>
        </is>
      </c>
      <c r="E255" s="256" t="inlineStr">
        <is>
          <t>Orange Punch Mimosa</t>
        </is>
      </c>
      <c r="F255" s="256" t="inlineStr">
        <is>
          <t>06.06.2026</t>
        </is>
      </c>
      <c r="G255" s="256" t="inlineStr">
        <is>
          <t>1</t>
        </is>
      </c>
      <c r="H255" s="256" t="inlineStr">
        <is>
          <t>Identification A, Appearance · Macroscopic</t>
        </is>
      </c>
      <c r="I255" s="256" t="inlineStr">
        <is>
          <t>Ph. Eur. mon. 3028</t>
        </is>
      </c>
      <c r="J255" s="256" t="inlineStr">
        <is>
          <t>Conforms to the monograph for Cannabis flos (07/2024:3028) in Ph. Eur. 11.0 | Согласно монографија за Cannabis flos (07/2024:3028) во Ph. Eur. 11.0</t>
        </is>
      </c>
      <c r="K255" s="256" t="inlineStr">
        <is>
          <t>Conforms | Одговара</t>
        </is>
      </c>
      <c r="L255" s="256" t="inlineStr">
        <is>
          <t>iCoA-PP_26-012</t>
        </is>
      </c>
      <c r="M255" s="256" t="inlineStr">
        <is>
          <t>03.06.2026</t>
        </is>
      </c>
      <c r="N255" s="256" t="inlineStr">
        <is>
          <t>Purely Plant GmbH (in-house)</t>
        </is>
      </c>
      <c r="O255" s="256" t="inlineStr">
        <is>
          <t>—</t>
        </is>
      </c>
      <c r="P255" s="256" t="inlineStr">
        <is>
          <t>to be performed — see route</t>
        </is>
      </c>
      <c r="Q255" s="256" t="inlineStr">
        <is>
          <t>Purely Plant laboratory — iCoA covering Ident A + B</t>
        </is>
      </c>
      <c r="R255" s="256" t="inlineStr"/>
    </row>
    <row r="256">
      <c r="A256" s="256" t="inlineStr">
        <is>
          <t>CoQ-PP_26-012</t>
        </is>
      </c>
      <c r="B256" s="256" t="inlineStr">
        <is>
          <t>release</t>
        </is>
      </c>
      <c r="C256" s="256" t="inlineStr">
        <is>
          <t>OPM1024_02</t>
        </is>
      </c>
      <c r="D256" s="256" t="inlineStr">
        <is>
          <t>P050062</t>
        </is>
      </c>
      <c r="E256" s="256" t="inlineStr">
        <is>
          <t>Orange Punch Mimosa</t>
        </is>
      </c>
      <c r="F256" s="256" t="inlineStr">
        <is>
          <t>06.06.2026</t>
        </is>
      </c>
      <c r="G256" s="256" t="inlineStr">
        <is>
          <t>2</t>
        </is>
      </c>
      <c r="H256" s="256" t="inlineStr">
        <is>
          <t>Identification B · Microscopic</t>
        </is>
      </c>
      <c r="I256" s="256" t="inlineStr">
        <is>
          <t>Ph. Eur. 2.8.23 (microscopy)</t>
        </is>
      </c>
      <c r="J256" s="256" t="inlineStr">
        <is>
          <t>Conforms to the monograph for Cannabis flos (07/2024:3028) in Ph. Eur. 11.0 | Согласно монографија за Cannabis flos (07/2024:3028) во Ph. Eur. 11.0</t>
        </is>
      </c>
      <c r="K256" s="256" t="inlineStr">
        <is>
          <t>Conforms | Одговара</t>
        </is>
      </c>
      <c r="L256" s="256" t="inlineStr">
        <is>
          <t>iCoA-PP_26-012</t>
        </is>
      </c>
      <c r="M256" s="256" t="inlineStr">
        <is>
          <t>03.06.2026</t>
        </is>
      </c>
      <c r="N256" s="256" t="inlineStr">
        <is>
          <t>Purely Plant GmbH (in-house)</t>
        </is>
      </c>
      <c r="O256" s="256" t="inlineStr">
        <is>
          <t>—</t>
        </is>
      </c>
      <c r="P256" s="256" t="inlineStr">
        <is>
          <t>to be performed — see route</t>
        </is>
      </c>
      <c r="Q256" s="256" t="inlineStr">
        <is>
          <t>Purely Plant laboratory — iCoA covering Ident A + B</t>
        </is>
      </c>
      <c r="R256" s="256" t="inlineStr"/>
    </row>
    <row r="257">
      <c r="A257" s="256" t="inlineStr">
        <is>
          <t>CoQ-PP_26-012</t>
        </is>
      </c>
      <c r="B257" s="256" t="inlineStr">
        <is>
          <t>release</t>
        </is>
      </c>
      <c r="C257" s="256" t="inlineStr">
        <is>
          <t>OPM1024_02</t>
        </is>
      </c>
      <c r="D257" s="256" t="inlineStr">
        <is>
          <t>P050062</t>
        </is>
      </c>
      <c r="E257" s="256" t="inlineStr">
        <is>
          <t>Orange Punch Mimosa</t>
        </is>
      </c>
      <c r="F257" s="256" t="inlineStr">
        <is>
          <t>06.06.2026</t>
        </is>
      </c>
      <c r="G257" s="256" t="inlineStr">
        <is>
          <t>3</t>
        </is>
      </c>
      <c r="H257" s="256" t="inlineStr">
        <is>
          <t>Identification C · HPLC/HPTLC</t>
        </is>
      </c>
      <c r="I257" s="256" t="inlineStr">
        <is>
          <t>HPLC — DAB 2018 monograph Cannabis flos, 2.2.29 (CNP, before its Ph. Eur. 3028 accreditation)</t>
        </is>
      </c>
      <c r="J257" s="256" t="inlineStr">
        <is>
          <t>Conforms to the monograph for Cannabis flos (07/2024:3028) in Ph. Eur. 11.0 | Согласно монографија за Cannabis flos (07/2024:3028) во Ph. Eur. 11.0</t>
        </is>
      </c>
      <c r="K257" s="256" t="inlineStr">
        <is>
          <t>Conforms | Одговара</t>
        </is>
      </c>
      <c r="L257" s="256" t="inlineStr">
        <is>
          <t>ППК25154</t>
        </is>
      </c>
      <c r="M257" s="256" t="inlineStr">
        <is>
          <t>24.06.2025</t>
        </is>
      </c>
      <c r="N257" s="256" t="inlineStr">
        <is>
          <t>UKIM Faculty of Pharmacy — Center for Natural Products</t>
        </is>
      </c>
      <c r="O257" s="256" t="inlineStr">
        <is>
          <t>12.06.2025</t>
        </is>
      </c>
      <c r="P257" s="256" t="inlineStr">
        <is>
          <t>covered — laboratory finding recorded</t>
        </is>
      </c>
      <c r="Q257" s="256" t="inlineStr"/>
      <c r="R257" s="256" t="inlineStr"/>
    </row>
    <row r="258">
      <c r="A258" s="256" t="inlineStr">
        <is>
          <t>CoQ-PP_26-012</t>
        </is>
      </c>
      <c r="B258" s="256" t="inlineStr">
        <is>
          <t>release</t>
        </is>
      </c>
      <c r="C258" s="256" t="inlineStr">
        <is>
          <t>OPM1024_02</t>
        </is>
      </c>
      <c r="D258" s="256" t="inlineStr">
        <is>
          <t>P050062</t>
        </is>
      </c>
      <c r="E258" s="256" t="inlineStr">
        <is>
          <t>Orange Punch Mimosa</t>
        </is>
      </c>
      <c r="F258" s="256" t="inlineStr">
        <is>
          <t>06.06.2026</t>
        </is>
      </c>
      <c r="G258" s="256" t="inlineStr">
        <is>
          <t>4</t>
        </is>
      </c>
      <c r="H258" s="256" t="inlineStr">
        <is>
          <t>Assay — Total Δ⁹-THC</t>
        </is>
      </c>
      <c r="I258" s="256" t="inlineStr">
        <is>
          <t>HPLC — DAB 2018 monograph Cannabis flos, 2.2.29 (CNP, before its Ph. Eur. 3028 accreditation)</t>
        </is>
      </c>
      <c r="J258" s="256" t="inlineStr">
        <is>
          <t>15.40 – 18.59 %  (grade II, nominal 17.00 ± 1.60)</t>
        </is>
      </c>
      <c r="K258" s="256" t="inlineStr">
        <is>
          <t>18.27</t>
        </is>
      </c>
      <c r="L258" s="256" t="inlineStr">
        <is>
          <t>ППК25154</t>
        </is>
      </c>
      <c r="M258" s="256" t="inlineStr">
        <is>
          <t>24.06.2025</t>
        </is>
      </c>
      <c r="N258" s="256" t="inlineStr">
        <is>
          <t>UKIM Faculty of Pharmacy — Center for Natural Products</t>
        </is>
      </c>
      <c r="O258" s="256" t="inlineStr">
        <is>
          <t>12.06.2025</t>
        </is>
      </c>
      <c r="P258" s="256" t="inlineStr">
        <is>
          <t>covered — laboratory finding recorded</t>
        </is>
      </c>
      <c r="Q258" s="256" t="inlineStr"/>
      <c r="R258" s="256" t="inlineStr">
        <is>
          <t>18.04 (197-18-К/26)</t>
        </is>
      </c>
    </row>
    <row r="259">
      <c r="A259" s="256" t="inlineStr">
        <is>
          <t>CoQ-PP_26-012</t>
        </is>
      </c>
      <c r="B259" s="256" t="inlineStr">
        <is>
          <t>release</t>
        </is>
      </c>
      <c r="C259" s="256" t="inlineStr">
        <is>
          <t>OPM1024_02</t>
        </is>
      </c>
      <c r="D259" s="256" t="inlineStr">
        <is>
          <t>P050062</t>
        </is>
      </c>
      <c r="E259" s="256" t="inlineStr">
        <is>
          <t>Orange Punch Mimosa</t>
        </is>
      </c>
      <c r="F259" s="256" t="inlineStr">
        <is>
          <t>06.06.2026</t>
        </is>
      </c>
      <c r="G259" s="256" t="inlineStr">
        <is>
          <t>5</t>
        </is>
      </c>
      <c r="H259" s="256" t="inlineStr">
        <is>
          <t>Assay — Total CBD</t>
        </is>
      </c>
      <c r="I259" s="256" t="inlineStr">
        <is>
          <t>HPLC — DAB 2018 monograph Cannabis flos, 2.2.29 · CBD + CBDA x 0.877 (CNP, before its Ph. Eur. 3028 accreditation)</t>
        </is>
      </c>
      <c r="J259" s="256" t="inlineStr">
        <is>
          <t>≤ 1.0%, w/w</t>
        </is>
      </c>
      <c r="K259" s="256" t="inlineStr">
        <is>
          <t>0.05</t>
        </is>
      </c>
      <c r="L259" s="256" t="inlineStr">
        <is>
          <t>ППК25154</t>
        </is>
      </c>
      <c r="M259" s="256" t="inlineStr">
        <is>
          <t>24.06.2025</t>
        </is>
      </c>
      <c r="N259" s="256" t="inlineStr">
        <is>
          <t>UKIM Faculty of Pharmacy — Center for Natural Products</t>
        </is>
      </c>
      <c r="O259" s="256" t="inlineStr">
        <is>
          <t>12.06.2025</t>
        </is>
      </c>
      <c r="P259" s="256" t="inlineStr">
        <is>
          <t>covered</t>
        </is>
      </c>
      <c r="Q259" s="256" t="inlineStr"/>
      <c r="R259" s="256" t="inlineStr">
        <is>
          <t>&lt;LOQ (197-18-К/26)</t>
        </is>
      </c>
    </row>
    <row r="260">
      <c r="A260" s="256" t="inlineStr">
        <is>
          <t>CoQ-PP_26-012</t>
        </is>
      </c>
      <c r="B260" s="256" t="inlineStr">
        <is>
          <t>release</t>
        </is>
      </c>
      <c r="C260" s="256" t="inlineStr">
        <is>
          <t>OPM1024_02</t>
        </is>
      </c>
      <c r="D260" s="256" t="inlineStr">
        <is>
          <t>P050062</t>
        </is>
      </c>
      <c r="E260" s="256" t="inlineStr">
        <is>
          <t>Orange Punch Mimosa</t>
        </is>
      </c>
      <c r="F260" s="256" t="inlineStr">
        <is>
          <t>06.06.2026</t>
        </is>
      </c>
      <c r="G260" s="256" t="inlineStr">
        <is>
          <t>6</t>
        </is>
      </c>
      <c r="H260" s="256" t="inlineStr">
        <is>
          <t>Total CBN</t>
        </is>
      </c>
      <c r="I260" s="256" t="inlineStr">
        <is>
          <t>HPLC — DAB 2018 monograph Cannabis flos, 2.2.29 · CBN + CBNA x 0.876 (CNP, before its Ph. Eur. 3028 accreditation)</t>
        </is>
      </c>
      <c r="J260" s="256" t="inlineStr">
        <is>
          <t>≤ 1.0%, w/w</t>
        </is>
      </c>
      <c r="K260" s="256" t="inlineStr">
        <is>
          <t>0.02 ᴰ</t>
        </is>
      </c>
      <c r="L260" s="256" t="inlineStr">
        <is>
          <t>ППК25154</t>
        </is>
      </c>
      <c r="M260" s="256" t="inlineStr">
        <is>
          <t>24.06.2025</t>
        </is>
      </c>
      <c r="N260" s="256" t="inlineStr">
        <is>
          <t>CNP</t>
        </is>
      </c>
      <c r="O260" s="256" t="inlineStr">
        <is>
          <t>12.06.2025</t>
        </is>
      </c>
      <c r="P260" s="256" t="inlineStr">
        <is>
          <t>covered</t>
        </is>
      </c>
      <c r="Q260" s="256" t="inlineStr"/>
      <c r="R260" s="256" t="inlineStr"/>
    </row>
    <row r="261">
      <c r="A261" s="256" t="inlineStr">
        <is>
          <t>CoQ-PP_26-012</t>
        </is>
      </c>
      <c r="B261" s="256" t="inlineStr">
        <is>
          <t>release</t>
        </is>
      </c>
      <c r="C261" s="256" t="inlineStr">
        <is>
          <t>OPM1024_02</t>
        </is>
      </c>
      <c r="D261" s="256" t="inlineStr">
        <is>
          <t>P050062</t>
        </is>
      </c>
      <c r="E261" s="256" t="inlineStr">
        <is>
          <t>Orange Punch Mimosa</t>
        </is>
      </c>
      <c r="F261" s="256" t="inlineStr">
        <is>
          <t>06.06.2026</t>
        </is>
      </c>
      <c r="G261" s="256" t="inlineStr">
        <is>
          <t>7</t>
        </is>
      </c>
      <c r="H261" s="256" t="inlineStr">
        <is>
          <t>Foreign Matter</t>
        </is>
      </c>
      <c r="I261" s="256" t="inlineStr">
        <is>
          <t>Ph. Eur. 2.8.2 · In-house · интерна</t>
        </is>
      </c>
      <c r="J261" s="256" t="inlineStr">
        <is>
          <t>≤ 2.0% / 25–50 g · &lt; 1 cm leaves | листови, no seeds | без семки</t>
        </is>
      </c>
      <c r="K261" s="256" t="inlineStr">
        <is>
          <t>Conforms | Одговара</t>
        </is>
      </c>
      <c r="L261" s="256" t="inlineStr">
        <is>
          <t>iCoA-PP_26-012</t>
        </is>
      </c>
      <c r="M261" s="256" t="inlineStr">
        <is>
          <t>03.06.2026</t>
        </is>
      </c>
      <c r="N261" s="256" t="inlineStr">
        <is>
          <t>Purely Plant GmbH (in-house)</t>
        </is>
      </c>
      <c r="O261" s="256" t="inlineStr">
        <is>
          <t>—</t>
        </is>
      </c>
      <c r="P261" s="256" t="inlineStr">
        <is>
          <t>to be performed — see route</t>
        </is>
      </c>
      <c r="Q261" s="256" t="inlineStr">
        <is>
          <t>Purely Plant laboratory — iCoA covering Foreign matter</t>
        </is>
      </c>
      <c r="R261" s="256" t="inlineStr"/>
    </row>
    <row r="262">
      <c r="A262" s="256" t="inlineStr">
        <is>
          <t>CoQ-PP_26-012</t>
        </is>
      </c>
      <c r="B262" s="256" t="inlineStr">
        <is>
          <t>release</t>
        </is>
      </c>
      <c r="C262" s="256" t="inlineStr">
        <is>
          <t>OPM1024_02</t>
        </is>
      </c>
      <c r="D262" s="256" t="inlineStr">
        <is>
          <t>P050062</t>
        </is>
      </c>
      <c r="E262" s="256" t="inlineStr">
        <is>
          <t>Orange Punch Mimosa</t>
        </is>
      </c>
      <c r="F262" s="256" t="inlineStr">
        <is>
          <t>06.06.2026</t>
        </is>
      </c>
      <c r="G262" s="256" t="inlineStr">
        <is>
          <t>8</t>
        </is>
      </c>
      <c r="H262" s="256" t="inlineStr">
        <is>
          <t>Loss on Drying</t>
        </is>
      </c>
      <c r="I262" s="256" t="inlineStr">
        <is>
          <t>DAB 2018 monograph Cannabis flos, 2.2.32 — loss on drying (CNP, before its Ph. Eur. 3028 accreditation)</t>
        </is>
      </c>
      <c r="J262" s="256" t="inlineStr">
        <is>
          <t>≤ 12.0%</t>
        </is>
      </c>
      <c r="K262" s="256" t="inlineStr">
        <is>
          <t>6.89</t>
        </is>
      </c>
      <c r="L262" s="256" t="inlineStr">
        <is>
          <t>ППК25154</t>
        </is>
      </c>
      <c r="M262" s="256" t="inlineStr">
        <is>
          <t>24.06.2025</t>
        </is>
      </c>
      <c r="N262" s="256" t="inlineStr">
        <is>
          <t>UKIM Faculty of Pharmacy — Center for Natural Products</t>
        </is>
      </c>
      <c r="O262" s="256" t="inlineStr">
        <is>
          <t>12.06.2025</t>
        </is>
      </c>
      <c r="P262" s="256" t="inlineStr">
        <is>
          <t>covered</t>
        </is>
      </c>
      <c r="Q262" s="256" t="inlineStr"/>
      <c r="R262" s="256" t="inlineStr"/>
    </row>
    <row r="263">
      <c r="A263" s="256" t="inlineStr">
        <is>
          <t>CoQ-PP_26-012</t>
        </is>
      </c>
      <c r="B263" s="256" t="inlineStr">
        <is>
          <t>release</t>
        </is>
      </c>
      <c r="C263" s="256" t="inlineStr">
        <is>
          <t>OPM1024_02</t>
        </is>
      </c>
      <c r="D263" s="256" t="inlineStr">
        <is>
          <t>P050062</t>
        </is>
      </c>
      <c r="E263" s="256" t="inlineStr">
        <is>
          <t>Orange Punch Mimosa</t>
        </is>
      </c>
      <c r="F263" s="256" t="inlineStr">
        <is>
          <t>06.06.2026</t>
        </is>
      </c>
      <c r="G263" s="256" t="inlineStr">
        <is>
          <t>9.1</t>
        </is>
      </c>
      <c r="H263" s="256" t="inlineStr">
        <is>
          <t>TAMC</t>
        </is>
      </c>
      <c r="I263" s="256" t="inlineStr">
        <is>
          <t>Ph. Eur. 2.6.12 cat. C</t>
        </is>
      </c>
      <c r="J263" s="256" t="inlineStr">
        <is>
          <t>≤ 10⁵ CFU/g</t>
        </is>
      </c>
      <c r="K263" s="256" t="inlineStr">
        <is>
          <t>3.4 × 10³</t>
        </is>
      </c>
      <c r="L263" s="256" t="inlineStr">
        <is>
          <t>588/1067/25</t>
        </is>
      </c>
      <c r="M263" s="256" t="inlineStr">
        <is>
          <t>18.06.2025</t>
        </is>
      </c>
      <c r="N263" s="256" t="inlineStr">
        <is>
          <t>IPH — Institute of Public Health</t>
        </is>
      </c>
      <c r="O263" s="256" t="inlineStr">
        <is>
          <t>13.06.2025</t>
        </is>
      </c>
      <c r="P263" s="256" t="inlineStr">
        <is>
          <t>covered</t>
        </is>
      </c>
      <c r="Q263" s="256" t="inlineStr"/>
      <c r="R263" s="256" t="inlineStr"/>
    </row>
    <row r="264">
      <c r="A264" s="256" t="inlineStr">
        <is>
          <t>CoQ-PP_26-012</t>
        </is>
      </c>
      <c r="B264" s="256" t="inlineStr">
        <is>
          <t>release</t>
        </is>
      </c>
      <c r="C264" s="256" t="inlineStr">
        <is>
          <t>OPM1024_02</t>
        </is>
      </c>
      <c r="D264" s="256" t="inlineStr">
        <is>
          <t>P050062</t>
        </is>
      </c>
      <c r="E264" s="256" t="inlineStr">
        <is>
          <t>Orange Punch Mimosa</t>
        </is>
      </c>
      <c r="F264" s="256" t="inlineStr">
        <is>
          <t>06.06.2026</t>
        </is>
      </c>
      <c r="G264" s="256" t="inlineStr">
        <is>
          <t>9.2</t>
        </is>
      </c>
      <c r="H264" s="256" t="inlineStr">
        <is>
          <t>TYMC</t>
        </is>
      </c>
      <c r="I264" s="256" t="inlineStr">
        <is>
          <t>Ph. Eur. 2.6.12 cat. C</t>
        </is>
      </c>
      <c r="J264" s="256" t="inlineStr">
        <is>
          <t>≤ 10⁴ CFU/g</t>
        </is>
      </c>
      <c r="K264" s="256" t="inlineStr">
        <is>
          <t>3.6 × 10³</t>
        </is>
      </c>
      <c r="L264" s="256" t="inlineStr">
        <is>
          <t>588/1067/25</t>
        </is>
      </c>
      <c r="M264" s="256" t="inlineStr">
        <is>
          <t>18.06.2025</t>
        </is>
      </c>
      <c r="N264" s="256" t="inlineStr">
        <is>
          <t>IPH — Institute of Public Health</t>
        </is>
      </c>
      <c r="O264" s="256" t="inlineStr">
        <is>
          <t>13.06.2025</t>
        </is>
      </c>
      <c r="P264" s="256" t="inlineStr">
        <is>
          <t>covered</t>
        </is>
      </c>
      <c r="Q264" s="256" t="inlineStr"/>
      <c r="R264" s="256" t="inlineStr"/>
    </row>
    <row r="265">
      <c r="A265" s="256" t="inlineStr">
        <is>
          <t>CoQ-PP_26-012</t>
        </is>
      </c>
      <c r="B265" s="256" t="inlineStr">
        <is>
          <t>release</t>
        </is>
      </c>
      <c r="C265" s="256" t="inlineStr">
        <is>
          <t>OPM1024_02</t>
        </is>
      </c>
      <c r="D265" s="256" t="inlineStr">
        <is>
          <t>P050062</t>
        </is>
      </c>
      <c r="E265" s="256" t="inlineStr">
        <is>
          <t>Orange Punch Mimosa</t>
        </is>
      </c>
      <c r="F265" s="256" t="inlineStr">
        <is>
          <t>06.06.2026</t>
        </is>
      </c>
      <c r="G265" s="256" t="inlineStr">
        <is>
          <t>9.3</t>
        </is>
      </c>
      <c r="H265" s="256" t="inlineStr">
        <is>
          <t>Bile-tolerant gram-neg.</t>
        </is>
      </c>
      <c r="I265" s="256" t="inlineStr">
        <is>
          <t>Ph. Eur. 2.6.31 cat. C</t>
        </is>
      </c>
      <c r="J265" s="256" t="inlineStr">
        <is>
          <t>≤ 10⁴ CFU/g</t>
        </is>
      </c>
      <c r="K265" s="256" t="inlineStr">
        <is>
          <t>&lt; 10</t>
        </is>
      </c>
      <c r="L265" s="256" t="inlineStr">
        <is>
          <t>588/1067/25</t>
        </is>
      </c>
      <c r="M265" s="256" t="inlineStr">
        <is>
          <t>18.06.2025</t>
        </is>
      </c>
      <c r="N265" s="256" t="inlineStr">
        <is>
          <t>IPH — Institute of Public Health</t>
        </is>
      </c>
      <c r="O265" s="256" t="inlineStr">
        <is>
          <t>13.06.2025</t>
        </is>
      </c>
      <c r="P265" s="256" t="inlineStr">
        <is>
          <t>covered</t>
        </is>
      </c>
      <c r="Q265" s="256" t="inlineStr"/>
      <c r="R265" s="256" t="inlineStr"/>
    </row>
    <row r="266">
      <c r="A266" s="256" t="inlineStr">
        <is>
          <t>CoQ-PP_26-012</t>
        </is>
      </c>
      <c r="B266" s="256" t="inlineStr">
        <is>
          <t>release</t>
        </is>
      </c>
      <c r="C266" s="256" t="inlineStr">
        <is>
          <t>OPM1024_02</t>
        </is>
      </c>
      <c r="D266" s="256" t="inlineStr">
        <is>
          <t>P050062</t>
        </is>
      </c>
      <c r="E266" s="256" t="inlineStr">
        <is>
          <t>Orange Punch Mimosa</t>
        </is>
      </c>
      <c r="F266" s="256" t="inlineStr">
        <is>
          <t>06.06.2026</t>
        </is>
      </c>
      <c r="G266" s="256" t="inlineStr">
        <is>
          <t>9.4</t>
        </is>
      </c>
      <c r="H266" s="256" t="inlineStr">
        <is>
          <t>Salmonella</t>
        </is>
      </c>
      <c r="I266" s="256" t="inlineStr">
        <is>
          <t>Ph. Eur. 2.6.31 cat. C</t>
        </is>
      </c>
      <c r="J266" s="256" t="inlineStr">
        <is>
          <t>Absence | Отсуство / 25 g</t>
        </is>
      </c>
      <c r="K266" s="256" t="inlineStr">
        <is>
          <t>Absent | Отсутна</t>
        </is>
      </c>
      <c r="L266" s="256" t="inlineStr">
        <is>
          <t>588/1067/25</t>
        </is>
      </c>
      <c r="M266" s="256" t="inlineStr">
        <is>
          <t>18.06.2025</t>
        </is>
      </c>
      <c r="N266" s="256" t="inlineStr">
        <is>
          <t>IPH — Institute of Public Health</t>
        </is>
      </c>
      <c r="O266" s="256" t="inlineStr">
        <is>
          <t>13.06.2025</t>
        </is>
      </c>
      <c r="P266" s="256" t="inlineStr">
        <is>
          <t>covered</t>
        </is>
      </c>
      <c r="Q266" s="256" t="inlineStr"/>
      <c r="R266" s="256" t="inlineStr"/>
    </row>
    <row r="267">
      <c r="A267" s="256" t="inlineStr">
        <is>
          <t>CoQ-PP_26-012</t>
        </is>
      </c>
      <c r="B267" s="256" t="inlineStr">
        <is>
          <t>release</t>
        </is>
      </c>
      <c r="C267" s="256" t="inlineStr">
        <is>
          <t>OPM1024_02</t>
        </is>
      </c>
      <c r="D267" s="256" t="inlineStr">
        <is>
          <t>P050062</t>
        </is>
      </c>
      <c r="E267" s="256" t="inlineStr">
        <is>
          <t>Orange Punch Mimosa</t>
        </is>
      </c>
      <c r="F267" s="256" t="inlineStr">
        <is>
          <t>06.06.2026</t>
        </is>
      </c>
      <c r="G267" s="256" t="inlineStr">
        <is>
          <t>9.5</t>
        </is>
      </c>
      <c r="H267" s="256" t="inlineStr">
        <is>
          <t>Escherichia coli</t>
        </is>
      </c>
      <c r="I267" s="256" t="inlineStr">
        <is>
          <t>Ph. Eur. 2.6.13 cat. C</t>
        </is>
      </c>
      <c r="J267" s="256" t="inlineStr">
        <is>
          <t>Absence | Отсуство / 1 g</t>
        </is>
      </c>
      <c r="K267" s="256" t="inlineStr">
        <is>
          <t>Absent | Отсутна</t>
        </is>
      </c>
      <c r="L267" s="256" t="inlineStr">
        <is>
          <t>588/1067/25</t>
        </is>
      </c>
      <c r="M267" s="256" t="inlineStr">
        <is>
          <t>18.06.2025</t>
        </is>
      </c>
      <c r="N267" s="256" t="inlineStr">
        <is>
          <t>IPH — Institute of Public Health</t>
        </is>
      </c>
      <c r="O267" s="256" t="inlineStr">
        <is>
          <t>13.06.2025</t>
        </is>
      </c>
      <c r="P267" s="256" t="inlineStr">
        <is>
          <t>covered</t>
        </is>
      </c>
      <c r="Q267" s="256" t="inlineStr"/>
      <c r="R267" s="256" t="inlineStr"/>
    </row>
    <row r="268">
      <c r="A268" s="256" t="inlineStr">
        <is>
          <t>CoQ-PP_26-012</t>
        </is>
      </c>
      <c r="B268" s="256" t="inlineStr">
        <is>
          <t>release</t>
        </is>
      </c>
      <c r="C268" s="256" t="inlineStr">
        <is>
          <t>OPM1024_02</t>
        </is>
      </c>
      <c r="D268" s="256" t="inlineStr">
        <is>
          <t>P050062</t>
        </is>
      </c>
      <c r="E268" s="256" t="inlineStr">
        <is>
          <t>Orange Punch Mimosa</t>
        </is>
      </c>
      <c r="F268" s="256" t="inlineStr">
        <is>
          <t>06.06.2026</t>
        </is>
      </c>
      <c r="G268" s="256" t="inlineStr">
        <is>
          <t>9.6</t>
        </is>
      </c>
      <c r="H268" s="256" t="inlineStr">
        <is>
          <t>Pseudomonas aeruginosa</t>
        </is>
      </c>
      <c r="I268" s="256" t="inlineStr">
        <is>
          <t>Ph. Eur. 2.6.13 cat. C</t>
        </is>
      </c>
      <c r="J268" s="256" t="inlineStr">
        <is>
          <t>Absence | Отсуство / 1 g</t>
        </is>
      </c>
      <c r="K268" s="260" t="inlineStr">
        <is>
          <t>upon request — not required for release</t>
        </is>
      </c>
      <c r="L268" s="256" t="inlineStr">
        <is>
          <t>—</t>
        </is>
      </c>
      <c r="M268" s="256" t="inlineStr">
        <is>
          <t>—</t>
        </is>
      </c>
      <c r="N268" s="256" t="inlineStr">
        <is>
          <t>—</t>
        </is>
      </c>
      <c r="O268" s="256" t="inlineStr">
        <is>
          <t>—</t>
        </is>
      </c>
      <c r="P268" s="256" t="inlineStr">
        <is>
          <t>upon request — not required for release</t>
        </is>
      </c>
      <c r="Q268" s="256" t="inlineStr"/>
      <c r="R268" s="256" t="inlineStr"/>
    </row>
    <row r="269">
      <c r="A269" s="256" t="inlineStr">
        <is>
          <t>CoQ-PP_26-012</t>
        </is>
      </c>
      <c r="B269" s="256" t="inlineStr">
        <is>
          <t>release</t>
        </is>
      </c>
      <c r="C269" s="256" t="inlineStr">
        <is>
          <t>OPM1024_02</t>
        </is>
      </c>
      <c r="D269" s="256" t="inlineStr">
        <is>
          <t>P050062</t>
        </is>
      </c>
      <c r="E269" s="256" t="inlineStr">
        <is>
          <t>Orange Punch Mimosa</t>
        </is>
      </c>
      <c r="F269" s="256" t="inlineStr">
        <is>
          <t>06.06.2026</t>
        </is>
      </c>
      <c r="G269" s="256" t="inlineStr">
        <is>
          <t>9.7</t>
        </is>
      </c>
      <c r="H269" s="256" t="inlineStr">
        <is>
          <t>Staphylococcus aureus</t>
        </is>
      </c>
      <c r="I269" s="256" t="inlineStr">
        <is>
          <t>Ph. Eur. 2.6.13 cat. C</t>
        </is>
      </c>
      <c r="J269" s="256" t="inlineStr">
        <is>
          <t>Absence | Отсуство / 1 g</t>
        </is>
      </c>
      <c r="K269" s="260" t="inlineStr">
        <is>
          <t>upon request — not required for release</t>
        </is>
      </c>
      <c r="L269" s="256" t="inlineStr">
        <is>
          <t>—</t>
        </is>
      </c>
      <c r="M269" s="256" t="inlineStr">
        <is>
          <t>—</t>
        </is>
      </c>
      <c r="N269" s="256" t="inlineStr">
        <is>
          <t>—</t>
        </is>
      </c>
      <c r="O269" s="256" t="inlineStr">
        <is>
          <t>—</t>
        </is>
      </c>
      <c r="P269" s="256" t="inlineStr">
        <is>
          <t>upon request — not required for release</t>
        </is>
      </c>
      <c r="Q269" s="256" t="inlineStr"/>
      <c r="R269" s="256" t="inlineStr"/>
    </row>
    <row r="270">
      <c r="A270" s="256" t="inlineStr">
        <is>
          <t>CoQ-PP_26-012</t>
        </is>
      </c>
      <c r="B270" s="256" t="inlineStr">
        <is>
          <t>release</t>
        </is>
      </c>
      <c r="C270" s="256" t="inlineStr">
        <is>
          <t>OPM1024_02</t>
        </is>
      </c>
      <c r="D270" s="256" t="inlineStr">
        <is>
          <t>P050062</t>
        </is>
      </c>
      <c r="E270" s="256" t="inlineStr">
        <is>
          <t>Orange Punch Mimosa</t>
        </is>
      </c>
      <c r="F270" s="256" t="inlineStr">
        <is>
          <t>06.06.2026</t>
        </is>
      </c>
      <c r="G270" s="256" t="inlineStr">
        <is>
          <t>10.1</t>
        </is>
      </c>
      <c r="H270" s="256" t="inlineStr">
        <is>
          <t>Aflatoxin B₁</t>
        </is>
      </c>
      <c r="I270" s="256" t="inlineStr">
        <is>
          <t>Ph. Eur. 2.8.18 (HPLC-FLD)</t>
        </is>
      </c>
      <c r="J270" s="256" t="inlineStr">
        <is>
          <t>≤ 2 µg/kg</t>
        </is>
      </c>
      <c r="K270" s="259" t="inlineStr">
        <is>
          <t>not tested</t>
        </is>
      </c>
      <c r="L270" s="256" t="inlineStr">
        <is>
          <t>—</t>
        </is>
      </c>
      <c r="M270" s="256" t="inlineStr">
        <is>
          <t>—</t>
        </is>
      </c>
      <c r="N270" s="256" t="inlineStr">
        <is>
          <t>—</t>
        </is>
      </c>
      <c r="O270" s="256" t="inlineStr">
        <is>
          <t>—</t>
        </is>
      </c>
      <c r="P270" s="256" t="inlineStr">
        <is>
          <t>not tested — no certificate covers it</t>
        </is>
      </c>
      <c r="Q270" s="256" t="inlineStr"/>
      <c r="R270" s="256" t="inlineStr">
        <is>
          <t>ND (197-18-М/26)</t>
        </is>
      </c>
    </row>
    <row r="271">
      <c r="A271" s="256" t="inlineStr">
        <is>
          <t>CoQ-PP_26-012</t>
        </is>
      </c>
      <c r="B271" s="256" t="inlineStr">
        <is>
          <t>release</t>
        </is>
      </c>
      <c r="C271" s="256" t="inlineStr">
        <is>
          <t>OPM1024_02</t>
        </is>
      </c>
      <c r="D271" s="256" t="inlineStr">
        <is>
          <t>P050062</t>
        </is>
      </c>
      <c r="E271" s="256" t="inlineStr">
        <is>
          <t>Orange Punch Mimosa</t>
        </is>
      </c>
      <c r="F271" s="256" t="inlineStr">
        <is>
          <t>06.06.2026</t>
        </is>
      </c>
      <c r="G271" s="256" t="inlineStr">
        <is>
          <t>10.2</t>
        </is>
      </c>
      <c r="H271" s="256" t="inlineStr">
        <is>
          <t>Aflatoxins ∑</t>
        </is>
      </c>
      <c r="I271" s="256" t="inlineStr">
        <is>
          <t>Ph. Eur. 2.8.18 (HPLC-FLD)</t>
        </is>
      </c>
      <c r="J271" s="256" t="inlineStr">
        <is>
          <t>≤ 4 µg/kg</t>
        </is>
      </c>
      <c r="K271" s="256" t="inlineStr">
        <is>
          <t>&lt; 2</t>
        </is>
      </c>
      <c r="L271" s="256" t="inlineStr">
        <is>
          <t>2994/2025</t>
        </is>
      </c>
      <c r="M271" s="256" t="inlineStr">
        <is>
          <t>19.06.2025</t>
        </is>
      </c>
      <c r="N271" s="256" t="inlineStr">
        <is>
          <t>IPH — Institute of Public Health</t>
        </is>
      </c>
      <c r="O271" s="256" t="inlineStr">
        <is>
          <t>12.06.2025</t>
        </is>
      </c>
      <c r="P271" s="256" t="inlineStr">
        <is>
          <t>covered</t>
        </is>
      </c>
      <c r="Q271" s="256" t="inlineStr"/>
      <c r="R271" s="256" t="inlineStr">
        <is>
          <t>ND (197-18-М/26)</t>
        </is>
      </c>
    </row>
    <row r="272">
      <c r="A272" s="256" t="inlineStr">
        <is>
          <t>CoQ-PP_26-012</t>
        </is>
      </c>
      <c r="B272" s="256" t="inlineStr">
        <is>
          <t>release</t>
        </is>
      </c>
      <c r="C272" s="256" t="inlineStr">
        <is>
          <t>OPM1024_02</t>
        </is>
      </c>
      <c r="D272" s="256" t="inlineStr">
        <is>
          <t>P050062</t>
        </is>
      </c>
      <c r="E272" s="256" t="inlineStr">
        <is>
          <t>Orange Punch Mimosa</t>
        </is>
      </c>
      <c r="F272" s="256" t="inlineStr">
        <is>
          <t>06.06.2026</t>
        </is>
      </c>
      <c r="G272" s="256" t="inlineStr">
        <is>
          <t>10.3</t>
        </is>
      </c>
      <c r="H272" s="256" t="inlineStr">
        <is>
          <t>Ochratoxin A</t>
        </is>
      </c>
      <c r="I272" s="256" t="inlineStr">
        <is>
          <t>Ph. Eur. 2.8.22 (HPLC-FLD)</t>
        </is>
      </c>
      <c r="J272" s="256" t="inlineStr">
        <is>
          <t>≤ 20 µg/kg</t>
        </is>
      </c>
      <c r="K272" s="259" t="inlineStr">
        <is>
          <t>not tested</t>
        </is>
      </c>
      <c r="L272" s="256" t="inlineStr">
        <is>
          <t>—</t>
        </is>
      </c>
      <c r="M272" s="256" t="inlineStr">
        <is>
          <t>—</t>
        </is>
      </c>
      <c r="N272" s="256" t="inlineStr">
        <is>
          <t>—</t>
        </is>
      </c>
      <c r="O272" s="256" t="inlineStr">
        <is>
          <t>—</t>
        </is>
      </c>
      <c r="P272" s="256" t="inlineStr">
        <is>
          <t>not tested — no certificate covers it</t>
        </is>
      </c>
      <c r="Q272" s="256" t="inlineStr"/>
      <c r="R272" s="256" t="inlineStr">
        <is>
          <t>ND (197-18-М/26)</t>
        </is>
      </c>
    </row>
    <row r="273">
      <c r="A273" s="256" t="inlineStr">
        <is>
          <t>CoQ-PP_26-012</t>
        </is>
      </c>
      <c r="B273" s="256" t="inlineStr">
        <is>
          <t>release</t>
        </is>
      </c>
      <c r="C273" s="256" t="inlineStr">
        <is>
          <t>OPM1024_02</t>
        </is>
      </c>
      <c r="D273" s="256" t="inlineStr">
        <is>
          <t>P050062</t>
        </is>
      </c>
      <c r="E273" s="256" t="inlineStr">
        <is>
          <t>Orange Punch Mimosa</t>
        </is>
      </c>
      <c r="F273" s="256" t="inlineStr">
        <is>
          <t>06.06.2026</t>
        </is>
      </c>
      <c r="G273" s="256" t="inlineStr">
        <is>
          <t>11.1</t>
        </is>
      </c>
      <c r="H273" s="256" t="inlineStr">
        <is>
          <t>Lead (Pb)</t>
        </is>
      </c>
      <c r="I273" s="256" t="inlineStr">
        <is>
          <t>Ph. Eur. 2.4.27 (ICP-MS)</t>
        </is>
      </c>
      <c r="J273" s="256" t="inlineStr">
        <is>
          <t>≤ 0.5 mg/kg</t>
        </is>
      </c>
      <c r="K273" s="256" t="inlineStr">
        <is>
          <t>0.052</t>
        </is>
      </c>
      <c r="L273" s="256" t="inlineStr">
        <is>
          <t>2994/2025</t>
        </is>
      </c>
      <c r="M273" s="256" t="inlineStr">
        <is>
          <t>19.06.2025</t>
        </is>
      </c>
      <c r="N273" s="256" t="inlineStr">
        <is>
          <t>IPH — Institute of Public Health</t>
        </is>
      </c>
      <c r="O273" s="256" t="inlineStr">
        <is>
          <t>12.06.2025</t>
        </is>
      </c>
      <c r="P273" s="256" t="inlineStr">
        <is>
          <t>covered</t>
        </is>
      </c>
      <c r="Q273" s="256" t="inlineStr"/>
      <c r="R273" s="256" t="inlineStr"/>
    </row>
    <row r="274">
      <c r="A274" s="256" t="inlineStr">
        <is>
          <t>CoQ-PP_26-012</t>
        </is>
      </c>
      <c r="B274" s="256" t="inlineStr">
        <is>
          <t>release</t>
        </is>
      </c>
      <c r="C274" s="256" t="inlineStr">
        <is>
          <t>OPM1024_02</t>
        </is>
      </c>
      <c r="D274" s="256" t="inlineStr">
        <is>
          <t>P050062</t>
        </is>
      </c>
      <c r="E274" s="256" t="inlineStr">
        <is>
          <t>Orange Punch Mimosa</t>
        </is>
      </c>
      <c r="F274" s="256" t="inlineStr">
        <is>
          <t>06.06.2026</t>
        </is>
      </c>
      <c r="G274" s="256" t="inlineStr">
        <is>
          <t>11.2</t>
        </is>
      </c>
      <c r="H274" s="256" t="inlineStr">
        <is>
          <t>Cadmium (Cd)</t>
        </is>
      </c>
      <c r="I274" s="256" t="inlineStr">
        <is>
          <t>Ph. Eur. 2.4.27 (ICP-MS)</t>
        </is>
      </c>
      <c r="J274" s="256" t="inlineStr">
        <is>
          <t>≤ 0.3 mg/kg</t>
        </is>
      </c>
      <c r="K274" s="256" t="inlineStr">
        <is>
          <t>0.011</t>
        </is>
      </c>
      <c r="L274" s="256" t="inlineStr">
        <is>
          <t>2994/2025</t>
        </is>
      </c>
      <c r="M274" s="256" t="inlineStr">
        <is>
          <t>19.06.2025</t>
        </is>
      </c>
      <c r="N274" s="256" t="inlineStr">
        <is>
          <t>IPH — Institute of Public Health</t>
        </is>
      </c>
      <c r="O274" s="256" t="inlineStr">
        <is>
          <t>12.06.2025</t>
        </is>
      </c>
      <c r="P274" s="256" t="inlineStr">
        <is>
          <t>covered</t>
        </is>
      </c>
      <c r="Q274" s="256" t="inlineStr"/>
      <c r="R274" s="256" t="inlineStr"/>
    </row>
    <row r="275">
      <c r="A275" s="256" t="inlineStr">
        <is>
          <t>CoQ-PP_26-012</t>
        </is>
      </c>
      <c r="B275" s="256" t="inlineStr">
        <is>
          <t>release</t>
        </is>
      </c>
      <c r="C275" s="256" t="inlineStr">
        <is>
          <t>OPM1024_02</t>
        </is>
      </c>
      <c r="D275" s="256" t="inlineStr">
        <is>
          <t>P050062</t>
        </is>
      </c>
      <c r="E275" s="256" t="inlineStr">
        <is>
          <t>Orange Punch Mimosa</t>
        </is>
      </c>
      <c r="F275" s="256" t="inlineStr">
        <is>
          <t>06.06.2026</t>
        </is>
      </c>
      <c r="G275" s="256" t="inlineStr">
        <is>
          <t>11.3</t>
        </is>
      </c>
      <c r="H275" s="256" t="inlineStr">
        <is>
          <t>Arsenic (As)</t>
        </is>
      </c>
      <c r="I275" s="256" t="inlineStr">
        <is>
          <t>Ph. Eur. 2.4.27 (ICP-MS)</t>
        </is>
      </c>
      <c r="J275" s="256" t="inlineStr">
        <is>
          <t>≤ 0.2 mg/kg</t>
        </is>
      </c>
      <c r="K275" s="256" t="inlineStr">
        <is>
          <t>0.028</t>
        </is>
      </c>
      <c r="L275" s="256" t="inlineStr">
        <is>
          <t>2994/2025</t>
        </is>
      </c>
      <c r="M275" s="256" t="inlineStr">
        <is>
          <t>19.06.2025</t>
        </is>
      </c>
      <c r="N275" s="256" t="inlineStr">
        <is>
          <t>IPH — Institute of Public Health</t>
        </is>
      </c>
      <c r="O275" s="256" t="inlineStr">
        <is>
          <t>12.06.2025</t>
        </is>
      </c>
      <c r="P275" s="256" t="inlineStr">
        <is>
          <t>covered</t>
        </is>
      </c>
      <c r="Q275" s="256" t="inlineStr"/>
      <c r="R275" s="256" t="inlineStr"/>
    </row>
    <row r="276">
      <c r="A276" s="256" t="inlineStr">
        <is>
          <t>CoQ-PP_26-012</t>
        </is>
      </c>
      <c r="B276" s="256" t="inlineStr">
        <is>
          <t>release</t>
        </is>
      </c>
      <c r="C276" s="256" t="inlineStr">
        <is>
          <t>OPM1024_02</t>
        </is>
      </c>
      <c r="D276" s="256" t="inlineStr">
        <is>
          <t>P050062</t>
        </is>
      </c>
      <c r="E276" s="256" t="inlineStr">
        <is>
          <t>Orange Punch Mimosa</t>
        </is>
      </c>
      <c r="F276" s="256" t="inlineStr">
        <is>
          <t>06.06.2026</t>
        </is>
      </c>
      <c r="G276" s="256" t="inlineStr">
        <is>
          <t>11.4</t>
        </is>
      </c>
      <c r="H276" s="256" t="inlineStr">
        <is>
          <t>Mercury (Hg)</t>
        </is>
      </c>
      <c r="I276" s="256" t="inlineStr">
        <is>
          <t>Ph. Eur. 2.4.27 (ICP-MS)</t>
        </is>
      </c>
      <c r="J276" s="256" t="inlineStr">
        <is>
          <t>≤ 0.1 mg/kg</t>
        </is>
      </c>
      <c r="K276" s="256" t="inlineStr">
        <is>
          <t>0.061</t>
        </is>
      </c>
      <c r="L276" s="256" t="inlineStr">
        <is>
          <t>2994/2025</t>
        </is>
      </c>
      <c r="M276" s="256" t="inlineStr">
        <is>
          <t>19.06.2025</t>
        </is>
      </c>
      <c r="N276" s="256" t="inlineStr">
        <is>
          <t>IPH — Institute of Public Health</t>
        </is>
      </c>
      <c r="O276" s="256" t="inlineStr">
        <is>
          <t>12.06.2025</t>
        </is>
      </c>
      <c r="P276" s="256" t="inlineStr">
        <is>
          <t>covered</t>
        </is>
      </c>
      <c r="Q276" s="256" t="inlineStr"/>
      <c r="R276" s="256" t="inlineStr"/>
    </row>
    <row r="277">
      <c r="A277" s="256" t="inlineStr">
        <is>
          <t>CoQ-PP_26-012</t>
        </is>
      </c>
      <c r="B277" s="256" t="inlineStr">
        <is>
          <t>release</t>
        </is>
      </c>
      <c r="C277" s="256" t="inlineStr">
        <is>
          <t>OPM1024_02</t>
        </is>
      </c>
      <c r="D277" s="256" t="inlineStr">
        <is>
          <t>P050062</t>
        </is>
      </c>
      <c r="E277" s="256" t="inlineStr">
        <is>
          <t>Orange Punch Mimosa</t>
        </is>
      </c>
      <c r="F277" s="256" t="inlineStr">
        <is>
          <t>06.06.2026</t>
        </is>
      </c>
      <c r="G277" s="256" t="inlineStr">
        <is>
          <t>12</t>
        </is>
      </c>
      <c r="H277" s="256" t="inlineStr">
        <is>
          <t>Pesticide Residues</t>
        </is>
      </c>
      <c r="I277" s="256" t="inlineStr">
        <is>
          <t>Ph. Eur. 2.8.13 (LC-MS/MS) · CUMCS Equivalency</t>
        </is>
      </c>
      <c r="J277" s="256" t="inlineStr">
        <is>
          <t>≤ LOQ as per Ph. Eur. 2.8.13 · ≤ LOQ as per CUMCS Equivalency</t>
        </is>
      </c>
      <c r="K277" s="256" t="inlineStr">
        <is>
          <t>ND</t>
        </is>
      </c>
      <c r="L277" s="256" t="inlineStr">
        <is>
          <t>2994/2025</t>
        </is>
      </c>
      <c r="M277" s="256" t="inlineStr">
        <is>
          <t>19.06.2025</t>
        </is>
      </c>
      <c r="N277" s="256" t="inlineStr">
        <is>
          <t>IPH — Institute of Public Health</t>
        </is>
      </c>
      <c r="O277" s="256" t="inlineStr">
        <is>
          <t>12.06.2025</t>
        </is>
      </c>
      <c r="P277" s="256" t="inlineStr">
        <is>
          <t>covered</t>
        </is>
      </c>
      <c r="Q277" s="256" t="inlineStr"/>
      <c r="R277" s="256" t="inlineStr"/>
    </row>
    <row r="278">
      <c r="A278" s="256" t="inlineStr">
        <is>
          <t>CoQ-PP_26-013</t>
        </is>
      </c>
      <c r="B278" s="256" t="inlineStr">
        <is>
          <t>release</t>
        </is>
      </c>
      <c r="C278" s="256" t="inlineStr">
        <is>
          <t>GP0824_03</t>
        </is>
      </c>
      <c r="D278" s="256" t="inlineStr">
        <is>
          <t>P050072</t>
        </is>
      </c>
      <c r="E278" s="256" t="inlineStr">
        <is>
          <t>Grape Pie</t>
        </is>
      </c>
      <c r="F278" s="256" t="inlineStr">
        <is>
          <t>06.06.2026</t>
        </is>
      </c>
      <c r="G278" s="256" t="inlineStr">
        <is>
          <t>1</t>
        </is>
      </c>
      <c r="H278" s="256" t="inlineStr">
        <is>
          <t>Identification A, Appearance · Macroscopic</t>
        </is>
      </c>
      <c r="I278" s="256" t="inlineStr">
        <is>
          <t>Ph. Eur. mon. 3028</t>
        </is>
      </c>
      <c r="J278" s="256" t="inlineStr">
        <is>
          <t>Conforms to the monograph for Cannabis flos (07/2024:3028) in Ph. Eur. 11.0 | Согласно монографија за Cannabis flos (07/2024:3028) во Ph. Eur. 11.0</t>
        </is>
      </c>
      <c r="K278" s="256" t="inlineStr">
        <is>
          <t>Conforms | Одговара</t>
        </is>
      </c>
      <c r="L278" s="256" t="inlineStr">
        <is>
          <t>iCoA-PP_26-013</t>
        </is>
      </c>
      <c r="M278" s="256" t="inlineStr">
        <is>
          <t>03.06.2026</t>
        </is>
      </c>
      <c r="N278" s="256" t="inlineStr">
        <is>
          <t>Purely Plant GmbH (in-house)</t>
        </is>
      </c>
      <c r="O278" s="256" t="inlineStr">
        <is>
          <t>—</t>
        </is>
      </c>
      <c r="P278" s="256" t="inlineStr">
        <is>
          <t>to be performed — see route</t>
        </is>
      </c>
      <c r="Q278" s="256" t="inlineStr">
        <is>
          <t>Purely Plant laboratory — iCoA covering Ident A + B</t>
        </is>
      </c>
      <c r="R278" s="256" t="inlineStr"/>
    </row>
    <row r="279">
      <c r="A279" s="256" t="inlineStr">
        <is>
          <t>CoQ-PP_26-013</t>
        </is>
      </c>
      <c r="B279" s="256" t="inlineStr">
        <is>
          <t>release</t>
        </is>
      </c>
      <c r="C279" s="256" t="inlineStr">
        <is>
          <t>GP0824_03</t>
        </is>
      </c>
      <c r="D279" s="256" t="inlineStr">
        <is>
          <t>P050072</t>
        </is>
      </c>
      <c r="E279" s="256" t="inlineStr">
        <is>
          <t>Grape Pie</t>
        </is>
      </c>
      <c r="F279" s="256" t="inlineStr">
        <is>
          <t>06.06.2026</t>
        </is>
      </c>
      <c r="G279" s="256" t="inlineStr">
        <is>
          <t>2</t>
        </is>
      </c>
      <c r="H279" s="256" t="inlineStr">
        <is>
          <t>Identification B · Microscopic</t>
        </is>
      </c>
      <c r="I279" s="256" t="inlineStr">
        <is>
          <t>Ph. Eur. 2.8.23 (microscopy)</t>
        </is>
      </c>
      <c r="J279" s="256" t="inlineStr">
        <is>
          <t>Conforms to the monograph for Cannabis flos (07/2024:3028) in Ph. Eur. 11.0 | Согласно монографија за Cannabis flos (07/2024:3028) во Ph. Eur. 11.0</t>
        </is>
      </c>
      <c r="K279" s="256" t="inlineStr">
        <is>
          <t>Conforms | Одговара</t>
        </is>
      </c>
      <c r="L279" s="256" t="inlineStr">
        <is>
          <t>iCoA-PP_26-013</t>
        </is>
      </c>
      <c r="M279" s="256" t="inlineStr">
        <is>
          <t>03.06.2026</t>
        </is>
      </c>
      <c r="N279" s="256" t="inlineStr">
        <is>
          <t>Purely Plant GmbH (in-house)</t>
        </is>
      </c>
      <c r="O279" s="256" t="inlineStr">
        <is>
          <t>—</t>
        </is>
      </c>
      <c r="P279" s="256" t="inlineStr">
        <is>
          <t>to be performed — see route</t>
        </is>
      </c>
      <c r="Q279" s="256" t="inlineStr">
        <is>
          <t>Purely Plant laboratory — iCoA covering Ident A + B</t>
        </is>
      </c>
      <c r="R279" s="256" t="inlineStr"/>
    </row>
    <row r="280">
      <c r="A280" s="256" t="inlineStr">
        <is>
          <t>CoQ-PP_26-013</t>
        </is>
      </c>
      <c r="B280" s="256" t="inlineStr">
        <is>
          <t>release</t>
        </is>
      </c>
      <c r="C280" s="256" t="inlineStr">
        <is>
          <t>GP0824_03</t>
        </is>
      </c>
      <c r="D280" s="256" t="inlineStr">
        <is>
          <t>P050072</t>
        </is>
      </c>
      <c r="E280" s="256" t="inlineStr">
        <is>
          <t>Grape Pie</t>
        </is>
      </c>
      <c r="F280" s="256" t="inlineStr">
        <is>
          <t>06.06.2026</t>
        </is>
      </c>
      <c r="G280" s="256" t="inlineStr">
        <is>
          <t>3</t>
        </is>
      </c>
      <c r="H280" s="256" t="inlineStr">
        <is>
          <t>Identification C · HPLC/HPTLC</t>
        </is>
      </c>
      <c r="I280" s="256" t="inlineStr">
        <is>
          <t>HPLC — DAB 2018 monograph Cannabis flos, 2.2.29 (CNP, before its Ph. Eur. 3028 accreditation)</t>
        </is>
      </c>
      <c r="J280" s="256" t="inlineStr">
        <is>
          <t>Conforms to the monograph for Cannabis flos (07/2024:3028) in Ph. Eur. 11.0 | Согласно монографија за Cannabis flos (07/2024:3028) во Ph. Eur. 11.0</t>
        </is>
      </c>
      <c r="K280" s="256" t="inlineStr">
        <is>
          <t>Conforms | Одговара</t>
        </is>
      </c>
      <c r="L280" s="256" t="inlineStr">
        <is>
          <t>ППК25175</t>
        </is>
      </c>
      <c r="M280" s="256" t="inlineStr">
        <is>
          <t>10.07.2025</t>
        </is>
      </c>
      <c r="N280" s="256" t="inlineStr">
        <is>
          <t>UKIM Faculty of Pharmacy — Center for Natural Products</t>
        </is>
      </c>
      <c r="O280" s="256" t="inlineStr">
        <is>
          <t>23.06.2025</t>
        </is>
      </c>
      <c r="P280" s="256" t="inlineStr">
        <is>
          <t>covered</t>
        </is>
      </c>
      <c r="Q280" s="256" t="inlineStr"/>
      <c r="R280" s="256" t="inlineStr"/>
    </row>
    <row r="281">
      <c r="A281" s="256" t="inlineStr">
        <is>
          <t>CoQ-PP_26-013</t>
        </is>
      </c>
      <c r="B281" s="256" t="inlineStr">
        <is>
          <t>release</t>
        </is>
      </c>
      <c r="C281" s="256" t="inlineStr">
        <is>
          <t>GP0824_03</t>
        </is>
      </c>
      <c r="D281" s="256" t="inlineStr">
        <is>
          <t>P050072</t>
        </is>
      </c>
      <c r="E281" s="256" t="inlineStr">
        <is>
          <t>Grape Pie</t>
        </is>
      </c>
      <c r="F281" s="256" t="inlineStr">
        <is>
          <t>06.06.2026</t>
        </is>
      </c>
      <c r="G281" s="256" t="inlineStr">
        <is>
          <t>4</t>
        </is>
      </c>
      <c r="H281" s="256" t="inlineStr">
        <is>
          <t>Assay — Total Δ⁹-THC</t>
        </is>
      </c>
      <c r="I281" s="256" t="inlineStr">
        <is>
          <t>HPLC — DAB 2018 monograph Cannabis flos, 2.2.29 (CNP, before its Ph. Eur. 3028 accreditation)</t>
        </is>
      </c>
      <c r="J281" s="256" t="inlineStr">
        <is>
          <t>22.00 – 25.99 %  (grade II, nominal 24.00 ± 2.00)</t>
        </is>
      </c>
      <c r="K281" s="256" t="inlineStr">
        <is>
          <t>25.45</t>
        </is>
      </c>
      <c r="L281" s="256" t="inlineStr">
        <is>
          <t>ППК25175</t>
        </is>
      </c>
      <c r="M281" s="256" t="inlineStr">
        <is>
          <t>10.07.2025</t>
        </is>
      </c>
      <c r="N281" s="256" t="inlineStr">
        <is>
          <t>UKIM Faculty of Pharmacy — Center for Natural Products</t>
        </is>
      </c>
      <c r="O281" s="256" t="inlineStr">
        <is>
          <t>23.06.2025</t>
        </is>
      </c>
      <c r="P281" s="256" t="inlineStr">
        <is>
          <t>covered</t>
        </is>
      </c>
      <c r="Q281" s="256" t="inlineStr"/>
      <c r="R281" s="256" t="inlineStr">
        <is>
          <t>24.62 (ППК26034); 14.99 (ППК26035); 25.98 (ППК26060); 28.30 (220-11-К/26)</t>
        </is>
      </c>
    </row>
    <row r="282">
      <c r="A282" s="256" t="inlineStr">
        <is>
          <t>CoQ-PP_26-013</t>
        </is>
      </c>
      <c r="B282" s="256" t="inlineStr">
        <is>
          <t>release</t>
        </is>
      </c>
      <c r="C282" s="256" t="inlineStr">
        <is>
          <t>GP0824_03</t>
        </is>
      </c>
      <c r="D282" s="256" t="inlineStr">
        <is>
          <t>P050072</t>
        </is>
      </c>
      <c r="E282" s="256" t="inlineStr">
        <is>
          <t>Grape Pie</t>
        </is>
      </c>
      <c r="F282" s="256" t="inlineStr">
        <is>
          <t>06.06.2026</t>
        </is>
      </c>
      <c r="G282" s="256" t="inlineStr">
        <is>
          <t>5</t>
        </is>
      </c>
      <c r="H282" s="256" t="inlineStr">
        <is>
          <t>Assay — Total CBD</t>
        </is>
      </c>
      <c r="I282" s="256" t="inlineStr">
        <is>
          <t>HPLC — DAB 2018 monograph Cannabis flos, 2.2.29 · CBD + CBDA x 0.877 (CNP, before its Ph. Eur. 3028 accreditation)</t>
        </is>
      </c>
      <c r="J282" s="256" t="inlineStr">
        <is>
          <t>≤ 1.0%, w/w</t>
        </is>
      </c>
      <c r="K282" s="256" t="inlineStr">
        <is>
          <t>0.08</t>
        </is>
      </c>
      <c r="L282" s="256" t="inlineStr">
        <is>
          <t>ППК25175</t>
        </is>
      </c>
      <c r="M282" s="256" t="inlineStr">
        <is>
          <t>10.07.2025</t>
        </is>
      </c>
      <c r="N282" s="256" t="inlineStr">
        <is>
          <t>UKIM Faculty of Pharmacy — Center for Natural Products</t>
        </is>
      </c>
      <c r="O282" s="256" t="inlineStr">
        <is>
          <t>23.06.2025</t>
        </is>
      </c>
      <c r="P282" s="256" t="inlineStr">
        <is>
          <t>covered</t>
        </is>
      </c>
      <c r="Q282" s="256" t="inlineStr"/>
      <c r="R282" s="256" t="inlineStr">
        <is>
          <t>0.04 (ППК26034); 0.02 (ППК26035); 0.04 (ППК26060); &lt;LOQ (220-11-К/26)</t>
        </is>
      </c>
    </row>
    <row r="283">
      <c r="A283" s="256" t="inlineStr">
        <is>
          <t>CoQ-PP_26-013</t>
        </is>
      </c>
      <c r="B283" s="256" t="inlineStr">
        <is>
          <t>release</t>
        </is>
      </c>
      <c r="C283" s="256" t="inlineStr">
        <is>
          <t>GP0824_03</t>
        </is>
      </c>
      <c r="D283" s="256" t="inlineStr">
        <is>
          <t>P050072</t>
        </is>
      </c>
      <c r="E283" s="256" t="inlineStr">
        <is>
          <t>Grape Pie</t>
        </is>
      </c>
      <c r="F283" s="256" t="inlineStr">
        <is>
          <t>06.06.2026</t>
        </is>
      </c>
      <c r="G283" s="256" t="inlineStr">
        <is>
          <t>6</t>
        </is>
      </c>
      <c r="H283" s="256" t="inlineStr">
        <is>
          <t>Total CBN</t>
        </is>
      </c>
      <c r="I283" s="256" t="inlineStr">
        <is>
          <t>HPLC — DAB 2018 monograph Cannabis flos, 2.2.29 · CBN + CBNA x 0.876 (CNP, before its Ph. Eur. 3028 accreditation)</t>
        </is>
      </c>
      <c r="J283" s="256" t="inlineStr">
        <is>
          <t>≤ 1.0%, w/w</t>
        </is>
      </c>
      <c r="K283" s="256" t="inlineStr">
        <is>
          <t>&lt; LOQ ᴰ</t>
        </is>
      </c>
      <c r="L283" s="256" t="inlineStr">
        <is>
          <t>ППК25175</t>
        </is>
      </c>
      <c r="M283" s="256" t="inlineStr">
        <is>
          <t>10.07.2025</t>
        </is>
      </c>
      <c r="N283" s="256" t="inlineStr">
        <is>
          <t>CNP</t>
        </is>
      </c>
      <c r="O283" s="256" t="inlineStr">
        <is>
          <t>23.06.2025</t>
        </is>
      </c>
      <c r="P283" s="256" t="inlineStr">
        <is>
          <t>covered</t>
        </is>
      </c>
      <c r="Q283" s="256" t="inlineStr"/>
      <c r="R283" s="256" t="inlineStr"/>
    </row>
    <row r="284">
      <c r="A284" s="256" t="inlineStr">
        <is>
          <t>CoQ-PP_26-013</t>
        </is>
      </c>
      <c r="B284" s="256" t="inlineStr">
        <is>
          <t>release</t>
        </is>
      </c>
      <c r="C284" s="256" t="inlineStr">
        <is>
          <t>GP0824_03</t>
        </is>
      </c>
      <c r="D284" s="256" t="inlineStr">
        <is>
          <t>P050072</t>
        </is>
      </c>
      <c r="E284" s="256" t="inlineStr">
        <is>
          <t>Grape Pie</t>
        </is>
      </c>
      <c r="F284" s="256" t="inlineStr">
        <is>
          <t>06.06.2026</t>
        </is>
      </c>
      <c r="G284" s="256" t="inlineStr">
        <is>
          <t>7</t>
        </is>
      </c>
      <c r="H284" s="256" t="inlineStr">
        <is>
          <t>Foreign Matter</t>
        </is>
      </c>
      <c r="I284" s="256" t="inlineStr">
        <is>
          <t>Ph. Eur. 2.8.2 · In-house · интерна</t>
        </is>
      </c>
      <c r="J284" s="256" t="inlineStr">
        <is>
          <t>≤ 2.0% / 25–50 g · &lt; 1 cm leaves | листови, no seeds | без семки</t>
        </is>
      </c>
      <c r="K284" s="256" t="inlineStr">
        <is>
          <t>Conforms | Одговара</t>
        </is>
      </c>
      <c r="L284" s="256" t="inlineStr">
        <is>
          <t>iCoA-PP_26-013</t>
        </is>
      </c>
      <c r="M284" s="256" t="inlineStr">
        <is>
          <t>03.06.2026</t>
        </is>
      </c>
      <c r="N284" s="256" t="inlineStr">
        <is>
          <t>Purely Plant GmbH (in-house)</t>
        </is>
      </c>
      <c r="O284" s="256" t="inlineStr">
        <is>
          <t>—</t>
        </is>
      </c>
      <c r="P284" s="256" t="inlineStr">
        <is>
          <t>to be performed — see route</t>
        </is>
      </c>
      <c r="Q284" s="256" t="inlineStr">
        <is>
          <t>Purely Plant laboratory — iCoA covering Foreign matter</t>
        </is>
      </c>
      <c r="R284" s="256" t="inlineStr"/>
    </row>
    <row r="285">
      <c r="A285" s="256" t="inlineStr">
        <is>
          <t>CoQ-PP_26-013</t>
        </is>
      </c>
      <c r="B285" s="256" t="inlineStr">
        <is>
          <t>release</t>
        </is>
      </c>
      <c r="C285" s="256" t="inlineStr">
        <is>
          <t>GP0824_03</t>
        </is>
      </c>
      <c r="D285" s="256" t="inlineStr">
        <is>
          <t>P050072</t>
        </is>
      </c>
      <c r="E285" s="256" t="inlineStr">
        <is>
          <t>Grape Pie</t>
        </is>
      </c>
      <c r="F285" s="256" t="inlineStr">
        <is>
          <t>06.06.2026</t>
        </is>
      </c>
      <c r="G285" s="256" t="inlineStr">
        <is>
          <t>8</t>
        </is>
      </c>
      <c r="H285" s="256" t="inlineStr">
        <is>
          <t>Loss on Drying</t>
        </is>
      </c>
      <c r="I285" s="256" t="inlineStr">
        <is>
          <t>DAB 2018 monograph Cannabis flos, 2.2.32 — loss on drying (CNP, before its Ph. Eur. 3028 accreditation)</t>
        </is>
      </c>
      <c r="J285" s="256" t="inlineStr">
        <is>
          <t>≤ 12.0%</t>
        </is>
      </c>
      <c r="K285" s="256" t="inlineStr">
        <is>
          <t>6.58</t>
        </is>
      </c>
      <c r="L285" s="256" t="inlineStr">
        <is>
          <t>ППК25175</t>
        </is>
      </c>
      <c r="M285" s="256" t="inlineStr">
        <is>
          <t>10.07.2025</t>
        </is>
      </c>
      <c r="N285" s="256" t="inlineStr">
        <is>
          <t>UKIM Faculty of Pharmacy — Center for Natural Products</t>
        </is>
      </c>
      <c r="O285" s="256" t="inlineStr">
        <is>
          <t>23.06.2025</t>
        </is>
      </c>
      <c r="P285" s="256" t="inlineStr">
        <is>
          <t>covered</t>
        </is>
      </c>
      <c r="Q285" s="256" t="inlineStr"/>
      <c r="R285" s="256" t="inlineStr">
        <is>
          <t>5.92 (ППК26034); 5.52 (ППК26035); 7.07 (ППК26060)</t>
        </is>
      </c>
    </row>
    <row r="286">
      <c r="A286" s="256" t="inlineStr">
        <is>
          <t>CoQ-PP_26-013</t>
        </is>
      </c>
      <c r="B286" s="256" t="inlineStr">
        <is>
          <t>release</t>
        </is>
      </c>
      <c r="C286" s="256" t="inlineStr">
        <is>
          <t>GP0824_03</t>
        </is>
      </c>
      <c r="D286" s="256" t="inlineStr">
        <is>
          <t>P050072</t>
        </is>
      </c>
      <c r="E286" s="256" t="inlineStr">
        <is>
          <t>Grape Pie</t>
        </is>
      </c>
      <c r="F286" s="256" t="inlineStr">
        <is>
          <t>06.06.2026</t>
        </is>
      </c>
      <c r="G286" s="256" t="inlineStr">
        <is>
          <t>9.1</t>
        </is>
      </c>
      <c r="H286" s="256" t="inlineStr">
        <is>
          <t>TAMC</t>
        </is>
      </c>
      <c r="I286" s="256" t="inlineStr">
        <is>
          <t>Ph. Eur. 2.6.12 cat. C</t>
        </is>
      </c>
      <c r="J286" s="256" t="inlineStr">
        <is>
          <t>≤ 10⁵ CFU/g</t>
        </is>
      </c>
      <c r="K286" s="256" t="inlineStr">
        <is>
          <t>1.1 × 10⁴</t>
        </is>
      </c>
      <c r="L286" s="256" t="inlineStr">
        <is>
          <t>628/1129/25</t>
        </is>
      </c>
      <c r="M286" s="256" t="inlineStr">
        <is>
          <t>02.07.2025</t>
        </is>
      </c>
      <c r="N286" s="256" t="inlineStr">
        <is>
          <t>IPH — Institute of Public Health</t>
        </is>
      </c>
      <c r="O286" s="256" t="inlineStr">
        <is>
          <t>24.06.2025</t>
        </is>
      </c>
      <c r="P286" s="256" t="inlineStr">
        <is>
          <t>covered</t>
        </is>
      </c>
      <c r="Q286" s="256" t="inlineStr"/>
      <c r="R286" s="256" t="inlineStr"/>
    </row>
    <row r="287">
      <c r="A287" s="256" t="inlineStr">
        <is>
          <t>CoQ-PP_26-013</t>
        </is>
      </c>
      <c r="B287" s="256" t="inlineStr">
        <is>
          <t>release</t>
        </is>
      </c>
      <c r="C287" s="256" t="inlineStr">
        <is>
          <t>GP0824_03</t>
        </is>
      </c>
      <c r="D287" s="256" t="inlineStr">
        <is>
          <t>P050072</t>
        </is>
      </c>
      <c r="E287" s="256" t="inlineStr">
        <is>
          <t>Grape Pie</t>
        </is>
      </c>
      <c r="F287" s="256" t="inlineStr">
        <is>
          <t>06.06.2026</t>
        </is>
      </c>
      <c r="G287" s="256" t="inlineStr">
        <is>
          <t>9.2</t>
        </is>
      </c>
      <c r="H287" s="256" t="inlineStr">
        <is>
          <t>TYMC</t>
        </is>
      </c>
      <c r="I287" s="256" t="inlineStr">
        <is>
          <t>Ph. Eur. 2.6.12 cat. C</t>
        </is>
      </c>
      <c r="J287" s="256" t="inlineStr">
        <is>
          <t>≤ 10⁴ CFU/g</t>
        </is>
      </c>
      <c r="K287" s="256" t="inlineStr">
        <is>
          <t>1.2 × 10⁴</t>
        </is>
      </c>
      <c r="L287" s="256" t="inlineStr">
        <is>
          <t>628/1129/25</t>
        </is>
      </c>
      <c r="M287" s="256" t="inlineStr">
        <is>
          <t>02.07.2025</t>
        </is>
      </c>
      <c r="N287" s="256" t="inlineStr">
        <is>
          <t>IPH — Institute of Public Health</t>
        </is>
      </c>
      <c r="O287" s="256" t="inlineStr">
        <is>
          <t>24.06.2025</t>
        </is>
      </c>
      <c r="P287" s="256" t="inlineStr">
        <is>
          <t>UNDETERMINED — pending the QCSP 001 reading</t>
        </is>
      </c>
      <c r="Q287" s="256" t="inlineStr"/>
      <c r="R287" s="256" t="inlineStr"/>
    </row>
    <row r="288">
      <c r="A288" s="256" t="inlineStr">
        <is>
          <t>CoQ-PP_26-013</t>
        </is>
      </c>
      <c r="B288" s="256" t="inlineStr">
        <is>
          <t>release</t>
        </is>
      </c>
      <c r="C288" s="256" t="inlineStr">
        <is>
          <t>GP0824_03</t>
        </is>
      </c>
      <c r="D288" s="256" t="inlineStr">
        <is>
          <t>P050072</t>
        </is>
      </c>
      <c r="E288" s="256" t="inlineStr">
        <is>
          <t>Grape Pie</t>
        </is>
      </c>
      <c r="F288" s="256" t="inlineStr">
        <is>
          <t>06.06.2026</t>
        </is>
      </c>
      <c r="G288" s="256" t="inlineStr">
        <is>
          <t>9.3</t>
        </is>
      </c>
      <c r="H288" s="256" t="inlineStr">
        <is>
          <t>Bile-tolerant gram-neg.</t>
        </is>
      </c>
      <c r="I288" s="256" t="inlineStr">
        <is>
          <t>Ph. Eur. 2.6.31 cat. C</t>
        </is>
      </c>
      <c r="J288" s="256" t="inlineStr">
        <is>
          <t>≤ 10⁴ CFU/g</t>
        </is>
      </c>
      <c r="K288" s="256" t="inlineStr">
        <is>
          <t>&lt; 10⁴ and &gt; 10³</t>
        </is>
      </c>
      <c r="L288" s="256" t="inlineStr">
        <is>
          <t>628/1129/25</t>
        </is>
      </c>
      <c r="M288" s="256" t="inlineStr">
        <is>
          <t>02.07.2025</t>
        </is>
      </c>
      <c r="N288" s="256" t="inlineStr">
        <is>
          <t>IPH — Institute of Public Health</t>
        </is>
      </c>
      <c r="O288" s="256" t="inlineStr">
        <is>
          <t>24.06.2025</t>
        </is>
      </c>
      <c r="P288" s="256" t="inlineStr">
        <is>
          <t>covered</t>
        </is>
      </c>
      <c r="Q288" s="256" t="inlineStr"/>
      <c r="R288" s="256" t="inlineStr"/>
    </row>
    <row r="289">
      <c r="A289" s="256" t="inlineStr">
        <is>
          <t>CoQ-PP_26-013</t>
        </is>
      </c>
      <c r="B289" s="256" t="inlineStr">
        <is>
          <t>release</t>
        </is>
      </c>
      <c r="C289" s="256" t="inlineStr">
        <is>
          <t>GP0824_03</t>
        </is>
      </c>
      <c r="D289" s="256" t="inlineStr">
        <is>
          <t>P050072</t>
        </is>
      </c>
      <c r="E289" s="256" t="inlineStr">
        <is>
          <t>Grape Pie</t>
        </is>
      </c>
      <c r="F289" s="256" t="inlineStr">
        <is>
          <t>06.06.2026</t>
        </is>
      </c>
      <c r="G289" s="256" t="inlineStr">
        <is>
          <t>9.4</t>
        </is>
      </c>
      <c r="H289" s="256" t="inlineStr">
        <is>
          <t>Salmonella</t>
        </is>
      </c>
      <c r="I289" s="256" t="inlineStr">
        <is>
          <t>Ph. Eur. 2.6.31 cat. C</t>
        </is>
      </c>
      <c r="J289" s="256" t="inlineStr">
        <is>
          <t>Absence | Отсуство / 25 g</t>
        </is>
      </c>
      <c r="K289" s="256" t="inlineStr">
        <is>
          <t>Absent | Отсутна</t>
        </is>
      </c>
      <c r="L289" s="256" t="inlineStr">
        <is>
          <t>628/1129/25</t>
        </is>
      </c>
      <c r="M289" s="256" t="inlineStr">
        <is>
          <t>02.07.2025</t>
        </is>
      </c>
      <c r="N289" s="256" t="inlineStr">
        <is>
          <t>IPH — Institute of Public Health</t>
        </is>
      </c>
      <c r="O289" s="256" t="inlineStr">
        <is>
          <t>24.06.2025</t>
        </is>
      </c>
      <c r="P289" s="256" t="inlineStr">
        <is>
          <t>covered</t>
        </is>
      </c>
      <c r="Q289" s="256" t="inlineStr"/>
      <c r="R289" s="256" t="inlineStr"/>
    </row>
    <row r="290">
      <c r="A290" s="256" t="inlineStr">
        <is>
          <t>CoQ-PP_26-013</t>
        </is>
      </c>
      <c r="B290" s="256" t="inlineStr">
        <is>
          <t>release</t>
        </is>
      </c>
      <c r="C290" s="256" t="inlineStr">
        <is>
          <t>GP0824_03</t>
        </is>
      </c>
      <c r="D290" s="256" t="inlineStr">
        <is>
          <t>P050072</t>
        </is>
      </c>
      <c r="E290" s="256" t="inlineStr">
        <is>
          <t>Grape Pie</t>
        </is>
      </c>
      <c r="F290" s="256" t="inlineStr">
        <is>
          <t>06.06.2026</t>
        </is>
      </c>
      <c r="G290" s="256" t="inlineStr">
        <is>
          <t>9.5</t>
        </is>
      </c>
      <c r="H290" s="256" t="inlineStr">
        <is>
          <t>Escherichia coli</t>
        </is>
      </c>
      <c r="I290" s="256" t="inlineStr">
        <is>
          <t>Ph. Eur. 2.6.13 cat. C</t>
        </is>
      </c>
      <c r="J290" s="256" t="inlineStr">
        <is>
          <t>Absence | Отсуство / 1 g</t>
        </is>
      </c>
      <c r="K290" s="256" t="inlineStr">
        <is>
          <t>Absent | Отсутна</t>
        </is>
      </c>
      <c r="L290" s="256" t="inlineStr">
        <is>
          <t>628/1129/25</t>
        </is>
      </c>
      <c r="M290" s="256" t="inlineStr">
        <is>
          <t>02.07.2025</t>
        </is>
      </c>
      <c r="N290" s="256" t="inlineStr">
        <is>
          <t>IPH — Institute of Public Health</t>
        </is>
      </c>
      <c r="O290" s="256" t="inlineStr">
        <is>
          <t>24.06.2025</t>
        </is>
      </c>
      <c r="P290" s="256" t="inlineStr">
        <is>
          <t>covered</t>
        </is>
      </c>
      <c r="Q290" s="256" t="inlineStr"/>
      <c r="R290" s="256" t="inlineStr"/>
    </row>
    <row r="291">
      <c r="A291" s="256" t="inlineStr">
        <is>
          <t>CoQ-PP_26-013</t>
        </is>
      </c>
      <c r="B291" s="256" t="inlineStr">
        <is>
          <t>release</t>
        </is>
      </c>
      <c r="C291" s="256" t="inlineStr">
        <is>
          <t>GP0824_03</t>
        </is>
      </c>
      <c r="D291" s="256" t="inlineStr">
        <is>
          <t>P050072</t>
        </is>
      </c>
      <c r="E291" s="256" t="inlineStr">
        <is>
          <t>Grape Pie</t>
        </is>
      </c>
      <c r="F291" s="256" t="inlineStr">
        <is>
          <t>06.06.2026</t>
        </is>
      </c>
      <c r="G291" s="256" t="inlineStr">
        <is>
          <t>9.6</t>
        </is>
      </c>
      <c r="H291" s="256" t="inlineStr">
        <is>
          <t>Pseudomonas aeruginosa</t>
        </is>
      </c>
      <c r="I291" s="256" t="inlineStr">
        <is>
          <t>Ph. Eur. 2.6.13 cat. C</t>
        </is>
      </c>
      <c r="J291" s="256" t="inlineStr">
        <is>
          <t>Absence | Отсуство / 1 g</t>
        </is>
      </c>
      <c r="K291" s="260" t="inlineStr">
        <is>
          <t>upon request — not required for release</t>
        </is>
      </c>
      <c r="L291" s="256" t="inlineStr">
        <is>
          <t>—</t>
        </is>
      </c>
      <c r="M291" s="256" t="inlineStr">
        <is>
          <t>—</t>
        </is>
      </c>
      <c r="N291" s="256" t="inlineStr">
        <is>
          <t>—</t>
        </is>
      </c>
      <c r="O291" s="256" t="inlineStr">
        <is>
          <t>—</t>
        </is>
      </c>
      <c r="P291" s="256" t="inlineStr">
        <is>
          <t>upon request — not required for release</t>
        </is>
      </c>
      <c r="Q291" s="256" t="inlineStr"/>
      <c r="R291" s="256" t="inlineStr"/>
    </row>
    <row r="292">
      <c r="A292" s="256" t="inlineStr">
        <is>
          <t>CoQ-PP_26-013</t>
        </is>
      </c>
      <c r="B292" s="256" t="inlineStr">
        <is>
          <t>release</t>
        </is>
      </c>
      <c r="C292" s="256" t="inlineStr">
        <is>
          <t>GP0824_03</t>
        </is>
      </c>
      <c r="D292" s="256" t="inlineStr">
        <is>
          <t>P050072</t>
        </is>
      </c>
      <c r="E292" s="256" t="inlineStr">
        <is>
          <t>Grape Pie</t>
        </is>
      </c>
      <c r="F292" s="256" t="inlineStr">
        <is>
          <t>06.06.2026</t>
        </is>
      </c>
      <c r="G292" s="256" t="inlineStr">
        <is>
          <t>9.7</t>
        </is>
      </c>
      <c r="H292" s="256" t="inlineStr">
        <is>
          <t>Staphylococcus aureus</t>
        </is>
      </c>
      <c r="I292" s="256" t="inlineStr">
        <is>
          <t>Ph. Eur. 2.6.13 cat. C</t>
        </is>
      </c>
      <c r="J292" s="256" t="inlineStr">
        <is>
          <t>Absence | Отсуство / 1 g</t>
        </is>
      </c>
      <c r="K292" s="260" t="inlineStr">
        <is>
          <t>upon request — not required for release</t>
        </is>
      </c>
      <c r="L292" s="256" t="inlineStr">
        <is>
          <t>—</t>
        </is>
      </c>
      <c r="M292" s="256" t="inlineStr">
        <is>
          <t>—</t>
        </is>
      </c>
      <c r="N292" s="256" t="inlineStr">
        <is>
          <t>—</t>
        </is>
      </c>
      <c r="O292" s="256" t="inlineStr">
        <is>
          <t>—</t>
        </is>
      </c>
      <c r="P292" s="256" t="inlineStr">
        <is>
          <t>upon request — not required for release</t>
        </is>
      </c>
      <c r="Q292" s="256" t="inlineStr"/>
      <c r="R292" s="256" t="inlineStr"/>
    </row>
    <row r="293">
      <c r="A293" s="256" t="inlineStr">
        <is>
          <t>CoQ-PP_26-013</t>
        </is>
      </c>
      <c r="B293" s="256" t="inlineStr">
        <is>
          <t>release</t>
        </is>
      </c>
      <c r="C293" s="256" t="inlineStr">
        <is>
          <t>GP0824_03</t>
        </is>
      </c>
      <c r="D293" s="256" t="inlineStr">
        <is>
          <t>P050072</t>
        </is>
      </c>
      <c r="E293" s="256" t="inlineStr">
        <is>
          <t>Grape Pie</t>
        </is>
      </c>
      <c r="F293" s="256" t="inlineStr">
        <is>
          <t>06.06.2026</t>
        </is>
      </c>
      <c r="G293" s="256" t="inlineStr">
        <is>
          <t>10.1</t>
        </is>
      </c>
      <c r="H293" s="256" t="inlineStr">
        <is>
          <t>Aflatoxin B₁</t>
        </is>
      </c>
      <c r="I293" s="256" t="inlineStr">
        <is>
          <t>Ph. Eur. 2.8.18 (HPLC-FLD)</t>
        </is>
      </c>
      <c r="J293" s="256" t="inlineStr">
        <is>
          <t>≤ 2 µg/kg</t>
        </is>
      </c>
      <c r="K293" s="259" t="inlineStr">
        <is>
          <t>not tested</t>
        </is>
      </c>
      <c r="L293" s="256" t="inlineStr">
        <is>
          <t>—</t>
        </is>
      </c>
      <c r="M293" s="256" t="inlineStr">
        <is>
          <t>—</t>
        </is>
      </c>
      <c r="N293" s="256" t="inlineStr">
        <is>
          <t>—</t>
        </is>
      </c>
      <c r="O293" s="256" t="inlineStr">
        <is>
          <t>—</t>
        </is>
      </c>
      <c r="P293" s="256" t="inlineStr">
        <is>
          <t>not tested — no certificate covers it</t>
        </is>
      </c>
      <c r="Q293" s="256" t="inlineStr"/>
      <c r="R293" s="256" t="inlineStr">
        <is>
          <t>ND (220-11-М/26)</t>
        </is>
      </c>
    </row>
    <row r="294">
      <c r="A294" s="256" t="inlineStr">
        <is>
          <t>CoQ-PP_26-013</t>
        </is>
      </c>
      <c r="B294" s="256" t="inlineStr">
        <is>
          <t>release</t>
        </is>
      </c>
      <c r="C294" s="256" t="inlineStr">
        <is>
          <t>GP0824_03</t>
        </is>
      </c>
      <c r="D294" s="256" t="inlineStr">
        <is>
          <t>P050072</t>
        </is>
      </c>
      <c r="E294" s="256" t="inlineStr">
        <is>
          <t>Grape Pie</t>
        </is>
      </c>
      <c r="F294" s="256" t="inlineStr">
        <is>
          <t>06.06.2026</t>
        </is>
      </c>
      <c r="G294" s="256" t="inlineStr">
        <is>
          <t>10.2</t>
        </is>
      </c>
      <c r="H294" s="256" t="inlineStr">
        <is>
          <t>Aflatoxins ∑</t>
        </is>
      </c>
      <c r="I294" s="256" t="inlineStr">
        <is>
          <t>Ph. Eur. 2.8.18 (HPLC-FLD)</t>
        </is>
      </c>
      <c r="J294" s="256" t="inlineStr">
        <is>
          <t>≤ 4 µg/kg</t>
        </is>
      </c>
      <c r="K294" s="256" t="inlineStr">
        <is>
          <t>&lt; 2</t>
        </is>
      </c>
      <c r="L294" s="256" t="inlineStr">
        <is>
          <t>3178/2025</t>
        </is>
      </c>
      <c r="M294" s="256" t="inlineStr">
        <is>
          <t>26.06.2025</t>
        </is>
      </c>
      <c r="N294" s="256" t="inlineStr">
        <is>
          <t>IPH — Institute of Public Health</t>
        </is>
      </c>
      <c r="O294" s="256" t="inlineStr">
        <is>
          <t>23.06.2025</t>
        </is>
      </c>
      <c r="P294" s="256" t="inlineStr">
        <is>
          <t>covered</t>
        </is>
      </c>
      <c r="Q294" s="256" t="inlineStr"/>
      <c r="R294" s="256" t="inlineStr">
        <is>
          <t>ND (220-11-М/26)</t>
        </is>
      </c>
    </row>
    <row r="295">
      <c r="A295" s="256" t="inlineStr">
        <is>
          <t>CoQ-PP_26-013</t>
        </is>
      </c>
      <c r="B295" s="256" t="inlineStr">
        <is>
          <t>release</t>
        </is>
      </c>
      <c r="C295" s="256" t="inlineStr">
        <is>
          <t>GP0824_03</t>
        </is>
      </c>
      <c r="D295" s="256" t="inlineStr">
        <is>
          <t>P050072</t>
        </is>
      </c>
      <c r="E295" s="256" t="inlineStr">
        <is>
          <t>Grape Pie</t>
        </is>
      </c>
      <c r="F295" s="256" t="inlineStr">
        <is>
          <t>06.06.2026</t>
        </is>
      </c>
      <c r="G295" s="256" t="inlineStr">
        <is>
          <t>10.3</t>
        </is>
      </c>
      <c r="H295" s="256" t="inlineStr">
        <is>
          <t>Ochratoxin A</t>
        </is>
      </c>
      <c r="I295" s="256" t="inlineStr">
        <is>
          <t>Ph. Eur. 2.8.22 (HPLC-FLD)</t>
        </is>
      </c>
      <c r="J295" s="256" t="inlineStr">
        <is>
          <t>≤ 20 µg/kg</t>
        </is>
      </c>
      <c r="K295" s="259" t="inlineStr">
        <is>
          <t>not tested</t>
        </is>
      </c>
      <c r="L295" s="256" t="inlineStr">
        <is>
          <t>—</t>
        </is>
      </c>
      <c r="M295" s="256" t="inlineStr">
        <is>
          <t>—</t>
        </is>
      </c>
      <c r="N295" s="256" t="inlineStr">
        <is>
          <t>—</t>
        </is>
      </c>
      <c r="O295" s="256" t="inlineStr">
        <is>
          <t>—</t>
        </is>
      </c>
      <c r="P295" s="256" t="inlineStr">
        <is>
          <t>not tested — no certificate covers it</t>
        </is>
      </c>
      <c r="Q295" s="256" t="inlineStr"/>
      <c r="R295" s="256" t="inlineStr">
        <is>
          <t>ND (220-11-М/26)</t>
        </is>
      </c>
    </row>
    <row r="296">
      <c r="A296" s="256" t="inlineStr">
        <is>
          <t>CoQ-PP_26-013</t>
        </is>
      </c>
      <c r="B296" s="256" t="inlineStr">
        <is>
          <t>release</t>
        </is>
      </c>
      <c r="C296" s="256" t="inlineStr">
        <is>
          <t>GP0824_03</t>
        </is>
      </c>
      <c r="D296" s="256" t="inlineStr">
        <is>
          <t>P050072</t>
        </is>
      </c>
      <c r="E296" s="256" t="inlineStr">
        <is>
          <t>Grape Pie</t>
        </is>
      </c>
      <c r="F296" s="256" t="inlineStr">
        <is>
          <t>06.06.2026</t>
        </is>
      </c>
      <c r="G296" s="256" t="inlineStr">
        <is>
          <t>11.1</t>
        </is>
      </c>
      <c r="H296" s="256" t="inlineStr">
        <is>
          <t>Lead (Pb)</t>
        </is>
      </c>
      <c r="I296" s="256" t="inlineStr">
        <is>
          <t>Ph. Eur. 2.4.27 (ICP-MS)</t>
        </is>
      </c>
      <c r="J296" s="256" t="inlineStr">
        <is>
          <t>≤ 0.5 mg/kg</t>
        </is>
      </c>
      <c r="K296" s="256" t="inlineStr">
        <is>
          <t>ND</t>
        </is>
      </c>
      <c r="L296" s="256" t="inlineStr">
        <is>
          <t>3178/2025</t>
        </is>
      </c>
      <c r="M296" s="256" t="inlineStr">
        <is>
          <t>26.06.2025</t>
        </is>
      </c>
      <c r="N296" s="256" t="inlineStr">
        <is>
          <t>IPH — Institute of Public Health</t>
        </is>
      </c>
      <c r="O296" s="256" t="inlineStr">
        <is>
          <t>23.06.2025</t>
        </is>
      </c>
      <c r="P296" s="256" t="inlineStr">
        <is>
          <t>covered</t>
        </is>
      </c>
      <c r="Q296" s="256" t="inlineStr"/>
      <c r="R296" s="256" t="inlineStr"/>
    </row>
    <row r="297">
      <c r="A297" s="256" t="inlineStr">
        <is>
          <t>CoQ-PP_26-013</t>
        </is>
      </c>
      <c r="B297" s="256" t="inlineStr">
        <is>
          <t>release</t>
        </is>
      </c>
      <c r="C297" s="256" t="inlineStr">
        <is>
          <t>GP0824_03</t>
        </is>
      </c>
      <c r="D297" s="256" t="inlineStr">
        <is>
          <t>P050072</t>
        </is>
      </c>
      <c r="E297" s="256" t="inlineStr">
        <is>
          <t>Grape Pie</t>
        </is>
      </c>
      <c r="F297" s="256" t="inlineStr">
        <is>
          <t>06.06.2026</t>
        </is>
      </c>
      <c r="G297" s="256" t="inlineStr">
        <is>
          <t>11.2</t>
        </is>
      </c>
      <c r="H297" s="256" t="inlineStr">
        <is>
          <t>Cadmium (Cd)</t>
        </is>
      </c>
      <c r="I297" s="256" t="inlineStr">
        <is>
          <t>Ph. Eur. 2.4.27 (ICP-MS)</t>
        </is>
      </c>
      <c r="J297" s="256" t="inlineStr">
        <is>
          <t>≤ 0.3 mg/kg</t>
        </is>
      </c>
      <c r="K297" s="256" t="inlineStr">
        <is>
          <t>ND</t>
        </is>
      </c>
      <c r="L297" s="256" t="inlineStr">
        <is>
          <t>3178/2025</t>
        </is>
      </c>
      <c r="M297" s="256" t="inlineStr">
        <is>
          <t>26.06.2025</t>
        </is>
      </c>
      <c r="N297" s="256" t="inlineStr">
        <is>
          <t>IPH — Institute of Public Health</t>
        </is>
      </c>
      <c r="O297" s="256" t="inlineStr">
        <is>
          <t>23.06.2025</t>
        </is>
      </c>
      <c r="P297" s="256" t="inlineStr">
        <is>
          <t>covered</t>
        </is>
      </c>
      <c r="Q297" s="256" t="inlineStr"/>
      <c r="R297" s="256" t="inlineStr"/>
    </row>
    <row r="298">
      <c r="A298" s="256" t="inlineStr">
        <is>
          <t>CoQ-PP_26-013</t>
        </is>
      </c>
      <c r="B298" s="256" t="inlineStr">
        <is>
          <t>release</t>
        </is>
      </c>
      <c r="C298" s="256" t="inlineStr">
        <is>
          <t>GP0824_03</t>
        </is>
      </c>
      <c r="D298" s="256" t="inlineStr">
        <is>
          <t>P050072</t>
        </is>
      </c>
      <c r="E298" s="256" t="inlineStr">
        <is>
          <t>Grape Pie</t>
        </is>
      </c>
      <c r="F298" s="256" t="inlineStr">
        <is>
          <t>06.06.2026</t>
        </is>
      </c>
      <c r="G298" s="256" t="inlineStr">
        <is>
          <t>11.3</t>
        </is>
      </c>
      <c r="H298" s="256" t="inlineStr">
        <is>
          <t>Arsenic (As)</t>
        </is>
      </c>
      <c r="I298" s="256" t="inlineStr">
        <is>
          <t>Ph. Eur. 2.4.27 (ICP-MS)</t>
        </is>
      </c>
      <c r="J298" s="256" t="inlineStr">
        <is>
          <t>≤ 0.2 mg/kg</t>
        </is>
      </c>
      <c r="K298" s="256" t="inlineStr">
        <is>
          <t>0.119</t>
        </is>
      </c>
      <c r="L298" s="256" t="inlineStr">
        <is>
          <t>3178/2025</t>
        </is>
      </c>
      <c r="M298" s="256" t="inlineStr">
        <is>
          <t>26.06.2025</t>
        </is>
      </c>
      <c r="N298" s="256" t="inlineStr">
        <is>
          <t>IPH — Institute of Public Health</t>
        </is>
      </c>
      <c r="O298" s="256" t="inlineStr">
        <is>
          <t>23.06.2025</t>
        </is>
      </c>
      <c r="P298" s="256" t="inlineStr">
        <is>
          <t>covered</t>
        </is>
      </c>
      <c r="Q298" s="256" t="inlineStr"/>
      <c r="R298" s="256" t="inlineStr"/>
    </row>
    <row r="299">
      <c r="A299" s="256" t="inlineStr">
        <is>
          <t>CoQ-PP_26-013</t>
        </is>
      </c>
      <c r="B299" s="256" t="inlineStr">
        <is>
          <t>release</t>
        </is>
      </c>
      <c r="C299" s="256" t="inlineStr">
        <is>
          <t>GP0824_03</t>
        </is>
      </c>
      <c r="D299" s="256" t="inlineStr">
        <is>
          <t>P050072</t>
        </is>
      </c>
      <c r="E299" s="256" t="inlineStr">
        <is>
          <t>Grape Pie</t>
        </is>
      </c>
      <c r="F299" s="256" t="inlineStr">
        <is>
          <t>06.06.2026</t>
        </is>
      </c>
      <c r="G299" s="256" t="inlineStr">
        <is>
          <t>11.4</t>
        </is>
      </c>
      <c r="H299" s="256" t="inlineStr">
        <is>
          <t>Mercury (Hg)</t>
        </is>
      </c>
      <c r="I299" s="256" t="inlineStr">
        <is>
          <t>Ph. Eur. 2.4.27 (ICP-MS)</t>
        </is>
      </c>
      <c r="J299" s="256" t="inlineStr">
        <is>
          <t>≤ 0.1 mg/kg</t>
        </is>
      </c>
      <c r="K299" s="256" t="inlineStr">
        <is>
          <t>ND</t>
        </is>
      </c>
      <c r="L299" s="256" t="inlineStr">
        <is>
          <t>3178/2025</t>
        </is>
      </c>
      <c r="M299" s="256" t="inlineStr">
        <is>
          <t>26.06.2025</t>
        </is>
      </c>
      <c r="N299" s="256" t="inlineStr">
        <is>
          <t>IPH — Institute of Public Health</t>
        </is>
      </c>
      <c r="O299" s="256" t="inlineStr">
        <is>
          <t>23.06.2025</t>
        </is>
      </c>
      <c r="P299" s="256" t="inlineStr">
        <is>
          <t>covered</t>
        </is>
      </c>
      <c r="Q299" s="256" t="inlineStr"/>
      <c r="R299" s="256" t="inlineStr"/>
    </row>
    <row r="300">
      <c r="A300" s="256" t="inlineStr">
        <is>
          <t>CoQ-PP_26-013</t>
        </is>
      </c>
      <c r="B300" s="256" t="inlineStr">
        <is>
          <t>release</t>
        </is>
      </c>
      <c r="C300" s="256" t="inlineStr">
        <is>
          <t>GP0824_03</t>
        </is>
      </c>
      <c r="D300" s="256" t="inlineStr">
        <is>
          <t>P050072</t>
        </is>
      </c>
      <c r="E300" s="256" t="inlineStr">
        <is>
          <t>Grape Pie</t>
        </is>
      </c>
      <c r="F300" s="256" t="inlineStr">
        <is>
          <t>06.06.2026</t>
        </is>
      </c>
      <c r="G300" s="256" t="inlineStr">
        <is>
          <t>12</t>
        </is>
      </c>
      <c r="H300" s="256" t="inlineStr">
        <is>
          <t>Pesticide Residues</t>
        </is>
      </c>
      <c r="I300" s="256" t="inlineStr">
        <is>
          <t>Ph. Eur. 2.8.13 (LC-MS/MS) · CUMCS Equivalency</t>
        </is>
      </c>
      <c r="J300" s="256" t="inlineStr">
        <is>
          <t>≤ LOQ as per Ph. Eur. 2.8.13 · ≤ LOQ as per CUMCS Equivalency</t>
        </is>
      </c>
      <c r="K300" s="256" t="inlineStr">
        <is>
          <t>ND</t>
        </is>
      </c>
      <c r="L300" s="256" t="inlineStr">
        <is>
          <t>3178/2025</t>
        </is>
      </c>
      <c r="M300" s="256" t="inlineStr">
        <is>
          <t>26.06.2025</t>
        </is>
      </c>
      <c r="N300" s="256" t="inlineStr">
        <is>
          <t>IPH — Institute of Public Health</t>
        </is>
      </c>
      <c r="O300" s="256" t="inlineStr">
        <is>
          <t>23.06.2025</t>
        </is>
      </c>
      <c r="P300" s="256" t="inlineStr">
        <is>
          <t>covered</t>
        </is>
      </c>
      <c r="Q300" s="256" t="inlineStr"/>
      <c r="R300" s="256" t="inlineStr"/>
    </row>
    <row r="301">
      <c r="A301" s="256" t="inlineStr">
        <is>
          <t>CoQ-PP_26-014</t>
        </is>
      </c>
      <c r="B301" s="256" t="inlineStr">
        <is>
          <t>release</t>
        </is>
      </c>
      <c r="C301" s="256" t="inlineStr">
        <is>
          <t>OPM1024_03</t>
        </is>
      </c>
      <c r="D301" s="256" t="inlineStr">
        <is>
          <t>P050082</t>
        </is>
      </c>
      <c r="E301" s="256" t="inlineStr">
        <is>
          <t>Orange Punch Mimosa</t>
        </is>
      </c>
      <c r="F301" s="256" t="inlineStr">
        <is>
          <t>06.06.2026</t>
        </is>
      </c>
      <c r="G301" s="256" t="inlineStr">
        <is>
          <t>1</t>
        </is>
      </c>
      <c r="H301" s="256" t="inlineStr">
        <is>
          <t>Identification A, Appearance · Macroscopic</t>
        </is>
      </c>
      <c r="I301" s="256" t="inlineStr">
        <is>
          <t>Ph. Eur. mon. 3028</t>
        </is>
      </c>
      <c r="J301" s="256" t="inlineStr">
        <is>
          <t>Conforms to the monograph for Cannabis flos (07/2024:3028) in Ph. Eur. 11.0 | Согласно монографија за Cannabis flos (07/2024:3028) во Ph. Eur. 11.0</t>
        </is>
      </c>
      <c r="K301" s="256" t="inlineStr">
        <is>
          <t>Conforms | Одговара</t>
        </is>
      </c>
      <c r="L301" s="256" t="inlineStr">
        <is>
          <t>iCoA-PP_26-014</t>
        </is>
      </c>
      <c r="M301" s="256" t="inlineStr">
        <is>
          <t>03.06.2026</t>
        </is>
      </c>
      <c r="N301" s="256" t="inlineStr">
        <is>
          <t>Purely Plant GmbH (in-house)</t>
        </is>
      </c>
      <c r="O301" s="256" t="inlineStr">
        <is>
          <t>—</t>
        </is>
      </c>
      <c r="P301" s="256" t="inlineStr">
        <is>
          <t>to be performed — see route</t>
        </is>
      </c>
      <c r="Q301" s="256" t="inlineStr">
        <is>
          <t>Purely Plant laboratory — iCoA covering Ident A + B</t>
        </is>
      </c>
      <c r="R301" s="256" t="inlineStr"/>
    </row>
    <row r="302">
      <c r="A302" s="256" t="inlineStr">
        <is>
          <t>CoQ-PP_26-014</t>
        </is>
      </c>
      <c r="B302" s="256" t="inlineStr">
        <is>
          <t>release</t>
        </is>
      </c>
      <c r="C302" s="256" t="inlineStr">
        <is>
          <t>OPM1024_03</t>
        </is>
      </c>
      <c r="D302" s="256" t="inlineStr">
        <is>
          <t>P050082</t>
        </is>
      </c>
      <c r="E302" s="256" t="inlineStr">
        <is>
          <t>Orange Punch Mimosa</t>
        </is>
      </c>
      <c r="F302" s="256" t="inlineStr">
        <is>
          <t>06.06.2026</t>
        </is>
      </c>
      <c r="G302" s="256" t="inlineStr">
        <is>
          <t>2</t>
        </is>
      </c>
      <c r="H302" s="256" t="inlineStr">
        <is>
          <t>Identification B · Microscopic</t>
        </is>
      </c>
      <c r="I302" s="256" t="inlineStr">
        <is>
          <t>Ph. Eur. 2.8.23 (microscopy)</t>
        </is>
      </c>
      <c r="J302" s="256" t="inlineStr">
        <is>
          <t>Conforms to the monograph for Cannabis flos (07/2024:3028) in Ph. Eur. 11.0 | Согласно монографија за Cannabis flos (07/2024:3028) во Ph. Eur. 11.0</t>
        </is>
      </c>
      <c r="K302" s="256" t="inlineStr">
        <is>
          <t>Conforms | Одговара</t>
        </is>
      </c>
      <c r="L302" s="256" t="inlineStr">
        <is>
          <t>iCoA-PP_26-014</t>
        </is>
      </c>
      <c r="M302" s="256" t="inlineStr">
        <is>
          <t>03.06.2026</t>
        </is>
      </c>
      <c r="N302" s="256" t="inlineStr">
        <is>
          <t>Purely Plant GmbH (in-house)</t>
        </is>
      </c>
      <c r="O302" s="256" t="inlineStr">
        <is>
          <t>—</t>
        </is>
      </c>
      <c r="P302" s="256" t="inlineStr">
        <is>
          <t>to be performed — see route</t>
        </is>
      </c>
      <c r="Q302" s="256" t="inlineStr">
        <is>
          <t>Purely Plant laboratory — iCoA covering Ident A + B</t>
        </is>
      </c>
      <c r="R302" s="256" t="inlineStr"/>
    </row>
    <row r="303">
      <c r="A303" s="256" t="inlineStr">
        <is>
          <t>CoQ-PP_26-014</t>
        </is>
      </c>
      <c r="B303" s="256" t="inlineStr">
        <is>
          <t>release</t>
        </is>
      </c>
      <c r="C303" s="256" t="inlineStr">
        <is>
          <t>OPM1024_03</t>
        </is>
      </c>
      <c r="D303" s="256" t="inlineStr">
        <is>
          <t>P050082</t>
        </is>
      </c>
      <c r="E303" s="256" t="inlineStr">
        <is>
          <t>Orange Punch Mimosa</t>
        </is>
      </c>
      <c r="F303" s="256" t="inlineStr">
        <is>
          <t>06.06.2026</t>
        </is>
      </c>
      <c r="G303" s="256" t="inlineStr">
        <is>
          <t>3</t>
        </is>
      </c>
      <c r="H303" s="256" t="inlineStr">
        <is>
          <t>Identification C · HPLC/HPTLC</t>
        </is>
      </c>
      <c r="I303" s="256" t="inlineStr">
        <is>
          <t>HPLC — DAB 2018 monograph Cannabis flos, 2.2.29 (CNP, before its Ph. Eur. 3028 accreditation)</t>
        </is>
      </c>
      <c r="J303" s="256" t="inlineStr">
        <is>
          <t>Conforms to the monograph for Cannabis flos (07/2024:3028) in Ph. Eur. 11.0 | Согласно монографија за Cannabis flos (07/2024:3028) во Ph. Eur. 11.0</t>
        </is>
      </c>
      <c r="K303" s="256" t="inlineStr">
        <is>
          <t>Conforms | Одговара</t>
        </is>
      </c>
      <c r="L303" s="256" t="inlineStr">
        <is>
          <t>ППК25210</t>
        </is>
      </c>
      <c r="M303" s="256" t="inlineStr">
        <is>
          <t>28.07.2025</t>
        </is>
      </c>
      <c r="N303" s="256" t="inlineStr">
        <is>
          <t>UKIM Faculty of Pharmacy — Center for Natural Products</t>
        </is>
      </c>
      <c r="O303" s="256" t="inlineStr">
        <is>
          <t>21.07.2025</t>
        </is>
      </c>
      <c r="P303" s="256" t="inlineStr">
        <is>
          <t>covered</t>
        </is>
      </c>
      <c r="Q303" s="256" t="inlineStr"/>
      <c r="R303" s="256" t="inlineStr"/>
    </row>
    <row r="304">
      <c r="A304" s="256" t="inlineStr">
        <is>
          <t>CoQ-PP_26-014</t>
        </is>
      </c>
      <c r="B304" s="256" t="inlineStr">
        <is>
          <t>release</t>
        </is>
      </c>
      <c r="C304" s="256" t="inlineStr">
        <is>
          <t>OPM1024_03</t>
        </is>
      </c>
      <c r="D304" s="256" t="inlineStr">
        <is>
          <t>P050082</t>
        </is>
      </c>
      <c r="E304" s="256" t="inlineStr">
        <is>
          <t>Orange Punch Mimosa</t>
        </is>
      </c>
      <c r="F304" s="256" t="inlineStr">
        <is>
          <t>06.06.2026</t>
        </is>
      </c>
      <c r="G304" s="256" t="inlineStr">
        <is>
          <t>4</t>
        </is>
      </c>
      <c r="H304" s="256" t="inlineStr">
        <is>
          <t>Assay — Total Δ⁹-THC</t>
        </is>
      </c>
      <c r="I304" s="256" t="inlineStr">
        <is>
          <t>HPLC — DAB 2018 monograph Cannabis flos, 2.2.29 (CNP, before its Ph. Eur. 3028 accreditation)</t>
        </is>
      </c>
      <c r="J304" s="256" t="inlineStr">
        <is>
          <t>15.40 – 18.59 %  (grade II, nominal 17.00 ± 1.60)</t>
        </is>
      </c>
      <c r="K304" s="256" t="inlineStr">
        <is>
          <t>16.55</t>
        </is>
      </c>
      <c r="L304" s="256" t="inlineStr">
        <is>
          <t>ППК25210</t>
        </is>
      </c>
      <c r="M304" s="256" t="inlineStr">
        <is>
          <t>28.07.2025</t>
        </is>
      </c>
      <c r="N304" s="256" t="inlineStr">
        <is>
          <t>UKIM Faculty of Pharmacy — Center for Natural Products</t>
        </is>
      </c>
      <c r="O304" s="256" t="inlineStr">
        <is>
          <t>21.07.2025</t>
        </is>
      </c>
      <c r="P304" s="256" t="inlineStr">
        <is>
          <t>covered</t>
        </is>
      </c>
      <c r="Q304" s="256" t="inlineStr"/>
      <c r="R304" s="256" t="inlineStr">
        <is>
          <t>19.30 (220-23-К/26)</t>
        </is>
      </c>
    </row>
    <row r="305">
      <c r="A305" s="256" t="inlineStr">
        <is>
          <t>CoQ-PP_26-014</t>
        </is>
      </c>
      <c r="B305" s="256" t="inlineStr">
        <is>
          <t>release</t>
        </is>
      </c>
      <c r="C305" s="256" t="inlineStr">
        <is>
          <t>OPM1024_03</t>
        </is>
      </c>
      <c r="D305" s="256" t="inlineStr">
        <is>
          <t>P050082</t>
        </is>
      </c>
      <c r="E305" s="256" t="inlineStr">
        <is>
          <t>Orange Punch Mimosa</t>
        </is>
      </c>
      <c r="F305" s="256" t="inlineStr">
        <is>
          <t>06.06.2026</t>
        </is>
      </c>
      <c r="G305" s="256" t="inlineStr">
        <is>
          <t>5</t>
        </is>
      </c>
      <c r="H305" s="256" t="inlineStr">
        <is>
          <t>Assay — Total CBD</t>
        </is>
      </c>
      <c r="I305" s="256" t="inlineStr">
        <is>
          <t>HPLC — DAB 2018 monograph Cannabis flos, 2.2.29 · CBD + CBDA x 0.877 (CNP, before its Ph. Eur. 3028 accreditation)</t>
        </is>
      </c>
      <c r="J305" s="256" t="inlineStr">
        <is>
          <t>≤ 1.0%, w/w</t>
        </is>
      </c>
      <c r="K305" s="256" t="inlineStr">
        <is>
          <t>0.04</t>
        </is>
      </c>
      <c r="L305" s="256" t="inlineStr">
        <is>
          <t>ППК25210</t>
        </is>
      </c>
      <c r="M305" s="256" t="inlineStr">
        <is>
          <t>28.07.2025</t>
        </is>
      </c>
      <c r="N305" s="256" t="inlineStr">
        <is>
          <t>UKIM Faculty of Pharmacy — Center for Natural Products</t>
        </is>
      </c>
      <c r="O305" s="256" t="inlineStr">
        <is>
          <t>21.07.2025</t>
        </is>
      </c>
      <c r="P305" s="256" t="inlineStr">
        <is>
          <t>covered</t>
        </is>
      </c>
      <c r="Q305" s="256" t="inlineStr"/>
      <c r="R305" s="256" t="inlineStr">
        <is>
          <t>&lt;LOQ (220-23-К/26)</t>
        </is>
      </c>
    </row>
    <row r="306">
      <c r="A306" s="256" t="inlineStr">
        <is>
          <t>CoQ-PP_26-014</t>
        </is>
      </c>
      <c r="B306" s="256" t="inlineStr">
        <is>
          <t>release</t>
        </is>
      </c>
      <c r="C306" s="256" t="inlineStr">
        <is>
          <t>OPM1024_03</t>
        </is>
      </c>
      <c r="D306" s="256" t="inlineStr">
        <is>
          <t>P050082</t>
        </is>
      </c>
      <c r="E306" s="256" t="inlineStr">
        <is>
          <t>Orange Punch Mimosa</t>
        </is>
      </c>
      <c r="F306" s="256" t="inlineStr">
        <is>
          <t>06.06.2026</t>
        </is>
      </c>
      <c r="G306" s="256" t="inlineStr">
        <is>
          <t>6</t>
        </is>
      </c>
      <c r="H306" s="256" t="inlineStr">
        <is>
          <t>Total CBN</t>
        </is>
      </c>
      <c r="I306" s="256" t="inlineStr">
        <is>
          <t>HPLC — DAB 2018 monograph Cannabis flos, 2.2.29 · CBN + CBNA x 0.876 (CNP, before its Ph. Eur. 3028 accreditation)</t>
        </is>
      </c>
      <c r="J306" s="256" t="inlineStr">
        <is>
          <t>≤ 1.0%, w/w</t>
        </is>
      </c>
      <c r="K306" s="256" t="inlineStr">
        <is>
          <t>0.01 ᴰ</t>
        </is>
      </c>
      <c r="L306" s="256" t="inlineStr">
        <is>
          <t>ППК25210</t>
        </is>
      </c>
      <c r="M306" s="256" t="inlineStr">
        <is>
          <t>28.07.2025</t>
        </is>
      </c>
      <c r="N306" s="256" t="inlineStr">
        <is>
          <t>CNP</t>
        </is>
      </c>
      <c r="O306" s="256" t="inlineStr">
        <is>
          <t>21.07.2025</t>
        </is>
      </c>
      <c r="P306" s="256" t="inlineStr">
        <is>
          <t>covered</t>
        </is>
      </c>
      <c r="Q306" s="256" t="inlineStr"/>
      <c r="R306" s="256" t="inlineStr"/>
    </row>
    <row r="307">
      <c r="A307" s="256" t="inlineStr">
        <is>
          <t>CoQ-PP_26-014</t>
        </is>
      </c>
      <c r="B307" s="256" t="inlineStr">
        <is>
          <t>release</t>
        </is>
      </c>
      <c r="C307" s="256" t="inlineStr">
        <is>
          <t>OPM1024_03</t>
        </is>
      </c>
      <c r="D307" s="256" t="inlineStr">
        <is>
          <t>P050082</t>
        </is>
      </c>
      <c r="E307" s="256" t="inlineStr">
        <is>
          <t>Orange Punch Mimosa</t>
        </is>
      </c>
      <c r="F307" s="256" t="inlineStr">
        <is>
          <t>06.06.2026</t>
        </is>
      </c>
      <c r="G307" s="256" t="inlineStr">
        <is>
          <t>7</t>
        </is>
      </c>
      <c r="H307" s="256" t="inlineStr">
        <is>
          <t>Foreign Matter</t>
        </is>
      </c>
      <c r="I307" s="256" t="inlineStr">
        <is>
          <t>Ph. Eur. 2.8.2 · In-house · интерна</t>
        </is>
      </c>
      <c r="J307" s="256" t="inlineStr">
        <is>
          <t>≤ 2.0% / 25–50 g · &lt; 1 cm leaves | листови, no seeds | без семки</t>
        </is>
      </c>
      <c r="K307" s="256" t="inlineStr">
        <is>
          <t>Conforms | Одговара</t>
        </is>
      </c>
      <c r="L307" s="256" t="inlineStr">
        <is>
          <t>iCoA-PP_26-014</t>
        </is>
      </c>
      <c r="M307" s="256" t="inlineStr">
        <is>
          <t>03.06.2026</t>
        </is>
      </c>
      <c r="N307" s="256" t="inlineStr">
        <is>
          <t>Purely Plant GmbH (in-house)</t>
        </is>
      </c>
      <c r="O307" s="256" t="inlineStr">
        <is>
          <t>—</t>
        </is>
      </c>
      <c r="P307" s="256" t="inlineStr">
        <is>
          <t>to be performed — see route</t>
        </is>
      </c>
      <c r="Q307" s="256" t="inlineStr">
        <is>
          <t>Purely Plant laboratory — iCoA covering Foreign matter</t>
        </is>
      </c>
      <c r="R307" s="256" t="inlineStr"/>
    </row>
    <row r="308">
      <c r="A308" s="256" t="inlineStr">
        <is>
          <t>CoQ-PP_26-014</t>
        </is>
      </c>
      <c r="B308" s="256" t="inlineStr">
        <is>
          <t>release</t>
        </is>
      </c>
      <c r="C308" s="256" t="inlineStr">
        <is>
          <t>OPM1024_03</t>
        </is>
      </c>
      <c r="D308" s="256" t="inlineStr">
        <is>
          <t>P050082</t>
        </is>
      </c>
      <c r="E308" s="256" t="inlineStr">
        <is>
          <t>Orange Punch Mimosa</t>
        </is>
      </c>
      <c r="F308" s="256" t="inlineStr">
        <is>
          <t>06.06.2026</t>
        </is>
      </c>
      <c r="G308" s="256" t="inlineStr">
        <is>
          <t>8</t>
        </is>
      </c>
      <c r="H308" s="256" t="inlineStr">
        <is>
          <t>Loss on Drying</t>
        </is>
      </c>
      <c r="I308" s="256" t="inlineStr">
        <is>
          <t>DAB 2018 monograph Cannabis flos, 2.2.32 — loss on drying (CNP, before its Ph. Eur. 3028 accreditation)</t>
        </is>
      </c>
      <c r="J308" s="256" t="inlineStr">
        <is>
          <t>≤ 12.0%</t>
        </is>
      </c>
      <c r="K308" s="256" t="inlineStr">
        <is>
          <t>6.38</t>
        </is>
      </c>
      <c r="L308" s="256" t="inlineStr">
        <is>
          <t>ППК25210</t>
        </is>
      </c>
      <c r="M308" s="256" t="inlineStr">
        <is>
          <t>28.07.2025</t>
        </is>
      </c>
      <c r="N308" s="256" t="inlineStr">
        <is>
          <t>UKIM Faculty of Pharmacy — Center for Natural Products</t>
        </is>
      </c>
      <c r="O308" s="256" t="inlineStr">
        <is>
          <t>21.07.2025</t>
        </is>
      </c>
      <c r="P308" s="256" t="inlineStr">
        <is>
          <t>covered</t>
        </is>
      </c>
      <c r="Q308" s="256" t="inlineStr"/>
      <c r="R308" s="256" t="inlineStr"/>
    </row>
    <row r="309">
      <c r="A309" s="256" t="inlineStr">
        <is>
          <t>CoQ-PP_26-014</t>
        </is>
      </c>
      <c r="B309" s="256" t="inlineStr">
        <is>
          <t>release</t>
        </is>
      </c>
      <c r="C309" s="256" t="inlineStr">
        <is>
          <t>OPM1024_03</t>
        </is>
      </c>
      <c r="D309" s="256" t="inlineStr">
        <is>
          <t>P050082</t>
        </is>
      </c>
      <c r="E309" s="256" t="inlineStr">
        <is>
          <t>Orange Punch Mimosa</t>
        </is>
      </c>
      <c r="F309" s="256" t="inlineStr">
        <is>
          <t>06.06.2026</t>
        </is>
      </c>
      <c r="G309" s="256" t="inlineStr">
        <is>
          <t>9.1</t>
        </is>
      </c>
      <c r="H309" s="256" t="inlineStr">
        <is>
          <t>TAMC</t>
        </is>
      </c>
      <c r="I309" s="256" t="inlineStr">
        <is>
          <t>Ph. Eur. 2.6.12 cat. C</t>
        </is>
      </c>
      <c r="J309" s="256" t="inlineStr">
        <is>
          <t>≤ 10⁵ CFU/g</t>
        </is>
      </c>
      <c r="K309" s="256" t="inlineStr">
        <is>
          <t>2 × 10²</t>
        </is>
      </c>
      <c r="L309" s="256" t="inlineStr">
        <is>
          <t>766/1375/25</t>
        </is>
      </c>
      <c r="M309" s="256" t="inlineStr">
        <is>
          <t>29.07.2025</t>
        </is>
      </c>
      <c r="N309" s="256" t="inlineStr">
        <is>
          <t>IPH — Institute of Public Health</t>
        </is>
      </c>
      <c r="O309" s="256" t="inlineStr">
        <is>
          <t>21.07.2025</t>
        </is>
      </c>
      <c r="P309" s="256" t="inlineStr">
        <is>
          <t>covered</t>
        </is>
      </c>
      <c r="Q309" s="256" t="inlineStr"/>
      <c r="R309" s="256" t="inlineStr"/>
    </row>
    <row r="310">
      <c r="A310" s="256" t="inlineStr">
        <is>
          <t>CoQ-PP_26-014</t>
        </is>
      </c>
      <c r="B310" s="256" t="inlineStr">
        <is>
          <t>release</t>
        </is>
      </c>
      <c r="C310" s="256" t="inlineStr">
        <is>
          <t>OPM1024_03</t>
        </is>
      </c>
      <c r="D310" s="256" t="inlineStr">
        <is>
          <t>P050082</t>
        </is>
      </c>
      <c r="E310" s="256" t="inlineStr">
        <is>
          <t>Orange Punch Mimosa</t>
        </is>
      </c>
      <c r="F310" s="256" t="inlineStr">
        <is>
          <t>06.06.2026</t>
        </is>
      </c>
      <c r="G310" s="256" t="inlineStr">
        <is>
          <t>9.2</t>
        </is>
      </c>
      <c r="H310" s="256" t="inlineStr">
        <is>
          <t>TYMC</t>
        </is>
      </c>
      <c r="I310" s="256" t="inlineStr">
        <is>
          <t>Ph. Eur. 2.6.12 cat. C</t>
        </is>
      </c>
      <c r="J310" s="256" t="inlineStr">
        <is>
          <t>≤ 10⁴ CFU/g</t>
        </is>
      </c>
      <c r="K310" s="256" t="inlineStr">
        <is>
          <t>3 × 10²</t>
        </is>
      </c>
      <c r="L310" s="256" t="inlineStr">
        <is>
          <t>766/1375/25</t>
        </is>
      </c>
      <c r="M310" s="256" t="inlineStr">
        <is>
          <t>29.07.2025</t>
        </is>
      </c>
      <c r="N310" s="256" t="inlineStr">
        <is>
          <t>IPH — Institute of Public Health</t>
        </is>
      </c>
      <c r="O310" s="256" t="inlineStr">
        <is>
          <t>21.07.2025</t>
        </is>
      </c>
      <c r="P310" s="256" t="inlineStr">
        <is>
          <t>covered</t>
        </is>
      </c>
      <c r="Q310" s="256" t="inlineStr"/>
      <c r="R310" s="256" t="inlineStr"/>
    </row>
    <row r="311">
      <c r="A311" s="256" t="inlineStr">
        <is>
          <t>CoQ-PP_26-014</t>
        </is>
      </c>
      <c r="B311" s="256" t="inlineStr">
        <is>
          <t>release</t>
        </is>
      </c>
      <c r="C311" s="256" t="inlineStr">
        <is>
          <t>OPM1024_03</t>
        </is>
      </c>
      <c r="D311" s="256" t="inlineStr">
        <is>
          <t>P050082</t>
        </is>
      </c>
      <c r="E311" s="256" t="inlineStr">
        <is>
          <t>Orange Punch Mimosa</t>
        </is>
      </c>
      <c r="F311" s="256" t="inlineStr">
        <is>
          <t>06.06.2026</t>
        </is>
      </c>
      <c r="G311" s="256" t="inlineStr">
        <is>
          <t>9.3</t>
        </is>
      </c>
      <c r="H311" s="256" t="inlineStr">
        <is>
          <t>Bile-tolerant gram-neg.</t>
        </is>
      </c>
      <c r="I311" s="256" t="inlineStr">
        <is>
          <t>Ph. Eur. 2.6.31 cat. C</t>
        </is>
      </c>
      <c r="J311" s="256" t="inlineStr">
        <is>
          <t>≤ 10⁴ CFU/g</t>
        </is>
      </c>
      <c r="K311" s="256" t="inlineStr">
        <is>
          <t>&lt; 10</t>
        </is>
      </c>
      <c r="L311" s="256" t="inlineStr">
        <is>
          <t>766/1375/25</t>
        </is>
      </c>
      <c r="M311" s="256" t="inlineStr">
        <is>
          <t>29.07.2025</t>
        </is>
      </c>
      <c r="N311" s="256" t="inlineStr">
        <is>
          <t>IPH — Institute of Public Health</t>
        </is>
      </c>
      <c r="O311" s="256" t="inlineStr">
        <is>
          <t>21.07.2025</t>
        </is>
      </c>
      <c r="P311" s="256" t="inlineStr">
        <is>
          <t>covered</t>
        </is>
      </c>
      <c r="Q311" s="256" t="inlineStr"/>
      <c r="R311" s="256" t="inlineStr"/>
    </row>
    <row r="312">
      <c r="A312" s="256" t="inlineStr">
        <is>
          <t>CoQ-PP_26-014</t>
        </is>
      </c>
      <c r="B312" s="256" t="inlineStr">
        <is>
          <t>release</t>
        </is>
      </c>
      <c r="C312" s="256" t="inlineStr">
        <is>
          <t>OPM1024_03</t>
        </is>
      </c>
      <c r="D312" s="256" t="inlineStr">
        <is>
          <t>P050082</t>
        </is>
      </c>
      <c r="E312" s="256" t="inlineStr">
        <is>
          <t>Orange Punch Mimosa</t>
        </is>
      </c>
      <c r="F312" s="256" t="inlineStr">
        <is>
          <t>06.06.2026</t>
        </is>
      </c>
      <c r="G312" s="256" t="inlineStr">
        <is>
          <t>9.4</t>
        </is>
      </c>
      <c r="H312" s="256" t="inlineStr">
        <is>
          <t>Salmonella</t>
        </is>
      </c>
      <c r="I312" s="256" t="inlineStr">
        <is>
          <t>Ph. Eur. 2.6.31 cat. C</t>
        </is>
      </c>
      <c r="J312" s="256" t="inlineStr">
        <is>
          <t>Absence | Отсуство / 25 g</t>
        </is>
      </c>
      <c r="K312" s="256" t="inlineStr">
        <is>
          <t>Absent | Отсутна</t>
        </is>
      </c>
      <c r="L312" s="256" t="inlineStr">
        <is>
          <t>766/1375/25</t>
        </is>
      </c>
      <c r="M312" s="256" t="inlineStr">
        <is>
          <t>29.07.2025</t>
        </is>
      </c>
      <c r="N312" s="256" t="inlineStr">
        <is>
          <t>IPH — Institute of Public Health</t>
        </is>
      </c>
      <c r="O312" s="256" t="inlineStr">
        <is>
          <t>21.07.2025</t>
        </is>
      </c>
      <c r="P312" s="256" t="inlineStr">
        <is>
          <t>covered</t>
        </is>
      </c>
      <c r="Q312" s="256" t="inlineStr"/>
      <c r="R312" s="256" t="inlineStr"/>
    </row>
    <row r="313">
      <c r="A313" s="256" t="inlineStr">
        <is>
          <t>CoQ-PP_26-014</t>
        </is>
      </c>
      <c r="B313" s="256" t="inlineStr">
        <is>
          <t>release</t>
        </is>
      </c>
      <c r="C313" s="256" t="inlineStr">
        <is>
          <t>OPM1024_03</t>
        </is>
      </c>
      <c r="D313" s="256" t="inlineStr">
        <is>
          <t>P050082</t>
        </is>
      </c>
      <c r="E313" s="256" t="inlineStr">
        <is>
          <t>Orange Punch Mimosa</t>
        </is>
      </c>
      <c r="F313" s="256" t="inlineStr">
        <is>
          <t>06.06.2026</t>
        </is>
      </c>
      <c r="G313" s="256" t="inlineStr">
        <is>
          <t>9.5</t>
        </is>
      </c>
      <c r="H313" s="256" t="inlineStr">
        <is>
          <t>Escherichia coli</t>
        </is>
      </c>
      <c r="I313" s="256" t="inlineStr">
        <is>
          <t>Ph. Eur. 2.6.13 cat. C</t>
        </is>
      </c>
      <c r="J313" s="256" t="inlineStr">
        <is>
          <t>Absence | Отсуство / 1 g</t>
        </is>
      </c>
      <c r="K313" s="256" t="inlineStr">
        <is>
          <t>Absent | Отсутна</t>
        </is>
      </c>
      <c r="L313" s="256" t="inlineStr">
        <is>
          <t>766/1375/25</t>
        </is>
      </c>
      <c r="M313" s="256" t="inlineStr">
        <is>
          <t>29.07.2025</t>
        </is>
      </c>
      <c r="N313" s="256" t="inlineStr">
        <is>
          <t>IPH — Institute of Public Health</t>
        </is>
      </c>
      <c r="O313" s="256" t="inlineStr">
        <is>
          <t>21.07.2025</t>
        </is>
      </c>
      <c r="P313" s="256" t="inlineStr">
        <is>
          <t>covered</t>
        </is>
      </c>
      <c r="Q313" s="256" t="inlineStr"/>
      <c r="R313" s="256" t="inlineStr"/>
    </row>
    <row r="314">
      <c r="A314" s="256" t="inlineStr">
        <is>
          <t>CoQ-PP_26-014</t>
        </is>
      </c>
      <c r="B314" s="256" t="inlineStr">
        <is>
          <t>release</t>
        </is>
      </c>
      <c r="C314" s="256" t="inlineStr">
        <is>
          <t>OPM1024_03</t>
        </is>
      </c>
      <c r="D314" s="256" t="inlineStr">
        <is>
          <t>P050082</t>
        </is>
      </c>
      <c r="E314" s="256" t="inlineStr">
        <is>
          <t>Orange Punch Mimosa</t>
        </is>
      </c>
      <c r="F314" s="256" t="inlineStr">
        <is>
          <t>06.06.2026</t>
        </is>
      </c>
      <c r="G314" s="256" t="inlineStr">
        <is>
          <t>9.6</t>
        </is>
      </c>
      <c r="H314" s="256" t="inlineStr">
        <is>
          <t>Pseudomonas aeruginosa</t>
        </is>
      </c>
      <c r="I314" s="256" t="inlineStr">
        <is>
          <t>Ph. Eur. 2.6.13 cat. C</t>
        </is>
      </c>
      <c r="J314" s="256" t="inlineStr">
        <is>
          <t>Absence | Отсуство / 1 g</t>
        </is>
      </c>
      <c r="K314" s="260" t="inlineStr">
        <is>
          <t>upon request — not required for release</t>
        </is>
      </c>
      <c r="L314" s="256" t="inlineStr">
        <is>
          <t>—</t>
        </is>
      </c>
      <c r="M314" s="256" t="inlineStr">
        <is>
          <t>—</t>
        </is>
      </c>
      <c r="N314" s="256" t="inlineStr">
        <is>
          <t>—</t>
        </is>
      </c>
      <c r="O314" s="256" t="inlineStr">
        <is>
          <t>—</t>
        </is>
      </c>
      <c r="P314" s="256" t="inlineStr">
        <is>
          <t>upon request — not required for release</t>
        </is>
      </c>
      <c r="Q314" s="256" t="inlineStr"/>
      <c r="R314" s="256" t="inlineStr"/>
    </row>
    <row r="315">
      <c r="A315" s="256" t="inlineStr">
        <is>
          <t>CoQ-PP_26-014</t>
        </is>
      </c>
      <c r="B315" s="256" t="inlineStr">
        <is>
          <t>release</t>
        </is>
      </c>
      <c r="C315" s="256" t="inlineStr">
        <is>
          <t>OPM1024_03</t>
        </is>
      </c>
      <c r="D315" s="256" t="inlineStr">
        <is>
          <t>P050082</t>
        </is>
      </c>
      <c r="E315" s="256" t="inlineStr">
        <is>
          <t>Orange Punch Mimosa</t>
        </is>
      </c>
      <c r="F315" s="256" t="inlineStr">
        <is>
          <t>06.06.2026</t>
        </is>
      </c>
      <c r="G315" s="256" t="inlineStr">
        <is>
          <t>9.7</t>
        </is>
      </c>
      <c r="H315" s="256" t="inlineStr">
        <is>
          <t>Staphylococcus aureus</t>
        </is>
      </c>
      <c r="I315" s="256" t="inlineStr">
        <is>
          <t>Ph. Eur. 2.6.13 cat. C</t>
        </is>
      </c>
      <c r="J315" s="256" t="inlineStr">
        <is>
          <t>Absence | Отсуство / 1 g</t>
        </is>
      </c>
      <c r="K315" s="260" t="inlineStr">
        <is>
          <t>upon request — not required for release</t>
        </is>
      </c>
      <c r="L315" s="256" t="inlineStr">
        <is>
          <t>—</t>
        </is>
      </c>
      <c r="M315" s="256" t="inlineStr">
        <is>
          <t>—</t>
        </is>
      </c>
      <c r="N315" s="256" t="inlineStr">
        <is>
          <t>—</t>
        </is>
      </c>
      <c r="O315" s="256" t="inlineStr">
        <is>
          <t>—</t>
        </is>
      </c>
      <c r="P315" s="256" t="inlineStr">
        <is>
          <t>upon request — not required for release</t>
        </is>
      </c>
      <c r="Q315" s="256" t="inlineStr"/>
      <c r="R315" s="256" t="inlineStr"/>
    </row>
    <row r="316">
      <c r="A316" s="256" t="inlineStr">
        <is>
          <t>CoQ-PP_26-014</t>
        </is>
      </c>
      <c r="B316" s="256" t="inlineStr">
        <is>
          <t>release</t>
        </is>
      </c>
      <c r="C316" s="256" t="inlineStr">
        <is>
          <t>OPM1024_03</t>
        </is>
      </c>
      <c r="D316" s="256" t="inlineStr">
        <is>
          <t>P050082</t>
        </is>
      </c>
      <c r="E316" s="256" t="inlineStr">
        <is>
          <t>Orange Punch Mimosa</t>
        </is>
      </c>
      <c r="F316" s="256" t="inlineStr">
        <is>
          <t>06.06.2026</t>
        </is>
      </c>
      <c r="G316" s="256" t="inlineStr">
        <is>
          <t>10.1</t>
        </is>
      </c>
      <c r="H316" s="256" t="inlineStr">
        <is>
          <t>Aflatoxin B₁</t>
        </is>
      </c>
      <c r="I316" s="256" t="inlineStr">
        <is>
          <t>Ph. Eur. 2.8.18 (HPLC-FLD)</t>
        </is>
      </c>
      <c r="J316" s="256" t="inlineStr">
        <is>
          <t>≤ 2 µg/kg</t>
        </is>
      </c>
      <c r="K316" s="259" t="inlineStr">
        <is>
          <t>not tested</t>
        </is>
      </c>
      <c r="L316" s="256" t="inlineStr">
        <is>
          <t>—</t>
        </is>
      </c>
      <c r="M316" s="256" t="inlineStr">
        <is>
          <t>—</t>
        </is>
      </c>
      <c r="N316" s="256" t="inlineStr">
        <is>
          <t>—</t>
        </is>
      </c>
      <c r="O316" s="256" t="inlineStr">
        <is>
          <t>—</t>
        </is>
      </c>
      <c r="P316" s="256" t="inlineStr">
        <is>
          <t>not tested — no certificate covers it</t>
        </is>
      </c>
      <c r="Q316" s="256" t="inlineStr"/>
      <c r="R316" s="256" t="inlineStr">
        <is>
          <t>ND (220-23-М/26)</t>
        </is>
      </c>
    </row>
    <row r="317">
      <c r="A317" s="256" t="inlineStr">
        <is>
          <t>CoQ-PP_26-014</t>
        </is>
      </c>
      <c r="B317" s="256" t="inlineStr">
        <is>
          <t>release</t>
        </is>
      </c>
      <c r="C317" s="256" t="inlineStr">
        <is>
          <t>OPM1024_03</t>
        </is>
      </c>
      <c r="D317" s="256" t="inlineStr">
        <is>
          <t>P050082</t>
        </is>
      </c>
      <c r="E317" s="256" t="inlineStr">
        <is>
          <t>Orange Punch Mimosa</t>
        </is>
      </c>
      <c r="F317" s="256" t="inlineStr">
        <is>
          <t>06.06.2026</t>
        </is>
      </c>
      <c r="G317" s="256" t="inlineStr">
        <is>
          <t>10.2</t>
        </is>
      </c>
      <c r="H317" s="256" t="inlineStr">
        <is>
          <t>Aflatoxins ∑</t>
        </is>
      </c>
      <c r="I317" s="256" t="inlineStr">
        <is>
          <t>Ph. Eur. 2.8.18 (HPLC-FLD)</t>
        </is>
      </c>
      <c r="J317" s="256" t="inlineStr">
        <is>
          <t>≤ 4 µg/kg</t>
        </is>
      </c>
      <c r="K317" s="256" t="inlineStr">
        <is>
          <t>2.1</t>
        </is>
      </c>
      <c r="L317" s="256" t="inlineStr">
        <is>
          <t>3636/2025</t>
        </is>
      </c>
      <c r="M317" s="256" t="inlineStr">
        <is>
          <t>28.07.2025</t>
        </is>
      </c>
      <c r="N317" s="256" t="inlineStr">
        <is>
          <t>IPH — Institute of Public Health</t>
        </is>
      </c>
      <c r="O317" s="256" t="inlineStr">
        <is>
          <t>21.07.2025</t>
        </is>
      </c>
      <c r="P317" s="256" t="inlineStr">
        <is>
          <t>covered</t>
        </is>
      </c>
      <c r="Q317" s="256" t="inlineStr"/>
      <c r="R317" s="256" t="inlineStr">
        <is>
          <t>ND (220-23-М/26)</t>
        </is>
      </c>
    </row>
    <row r="318">
      <c r="A318" s="256" t="inlineStr">
        <is>
          <t>CoQ-PP_26-014</t>
        </is>
      </c>
      <c r="B318" s="256" t="inlineStr">
        <is>
          <t>release</t>
        </is>
      </c>
      <c r="C318" s="256" t="inlineStr">
        <is>
          <t>OPM1024_03</t>
        </is>
      </c>
      <c r="D318" s="256" t="inlineStr">
        <is>
          <t>P050082</t>
        </is>
      </c>
      <c r="E318" s="256" t="inlineStr">
        <is>
          <t>Orange Punch Mimosa</t>
        </is>
      </c>
      <c r="F318" s="256" t="inlineStr">
        <is>
          <t>06.06.2026</t>
        </is>
      </c>
      <c r="G318" s="256" t="inlineStr">
        <is>
          <t>10.3</t>
        </is>
      </c>
      <c r="H318" s="256" t="inlineStr">
        <is>
          <t>Ochratoxin A</t>
        </is>
      </c>
      <c r="I318" s="256" t="inlineStr">
        <is>
          <t>Ph. Eur. 2.8.22 (HPLC-FLD)</t>
        </is>
      </c>
      <c r="J318" s="256" t="inlineStr">
        <is>
          <t>≤ 20 µg/kg</t>
        </is>
      </c>
      <c r="K318" s="259" t="inlineStr">
        <is>
          <t>not tested</t>
        </is>
      </c>
      <c r="L318" s="256" t="inlineStr">
        <is>
          <t>—</t>
        </is>
      </c>
      <c r="M318" s="256" t="inlineStr">
        <is>
          <t>—</t>
        </is>
      </c>
      <c r="N318" s="256" t="inlineStr">
        <is>
          <t>—</t>
        </is>
      </c>
      <c r="O318" s="256" t="inlineStr">
        <is>
          <t>—</t>
        </is>
      </c>
      <c r="P318" s="256" t="inlineStr">
        <is>
          <t>not tested — no certificate covers it</t>
        </is>
      </c>
      <c r="Q318" s="256" t="inlineStr"/>
      <c r="R318" s="256" t="inlineStr">
        <is>
          <t>ND (220-23-М/26)</t>
        </is>
      </c>
    </row>
    <row r="319">
      <c r="A319" s="256" t="inlineStr">
        <is>
          <t>CoQ-PP_26-014</t>
        </is>
      </c>
      <c r="B319" s="256" t="inlineStr">
        <is>
          <t>release</t>
        </is>
      </c>
      <c r="C319" s="256" t="inlineStr">
        <is>
          <t>OPM1024_03</t>
        </is>
      </c>
      <c r="D319" s="256" t="inlineStr">
        <is>
          <t>P050082</t>
        </is>
      </c>
      <c r="E319" s="256" t="inlineStr">
        <is>
          <t>Orange Punch Mimosa</t>
        </is>
      </c>
      <c r="F319" s="256" t="inlineStr">
        <is>
          <t>06.06.2026</t>
        </is>
      </c>
      <c r="G319" s="256" t="inlineStr">
        <is>
          <t>11.1</t>
        </is>
      </c>
      <c r="H319" s="256" t="inlineStr">
        <is>
          <t>Lead (Pb)</t>
        </is>
      </c>
      <c r="I319" s="256" t="inlineStr">
        <is>
          <t>Ph. Eur. 2.4.27 (ICP-MS)</t>
        </is>
      </c>
      <c r="J319" s="256" t="inlineStr">
        <is>
          <t>≤ 0.5 mg/kg</t>
        </is>
      </c>
      <c r="K319" s="256" t="inlineStr">
        <is>
          <t>ND</t>
        </is>
      </c>
      <c r="L319" s="256" t="inlineStr">
        <is>
          <t>3636/2025</t>
        </is>
      </c>
      <c r="M319" s="256" t="inlineStr">
        <is>
          <t>28.07.2025</t>
        </is>
      </c>
      <c r="N319" s="256" t="inlineStr">
        <is>
          <t>IPH — Institute of Public Health</t>
        </is>
      </c>
      <c r="O319" s="256" t="inlineStr">
        <is>
          <t>21.07.2025</t>
        </is>
      </c>
      <c r="P319" s="256" t="inlineStr">
        <is>
          <t>covered</t>
        </is>
      </c>
      <c r="Q319" s="256" t="inlineStr"/>
      <c r="R319" s="256" t="inlineStr"/>
    </row>
    <row r="320">
      <c r="A320" s="256" t="inlineStr">
        <is>
          <t>CoQ-PP_26-014</t>
        </is>
      </c>
      <c r="B320" s="256" t="inlineStr">
        <is>
          <t>release</t>
        </is>
      </c>
      <c r="C320" s="256" t="inlineStr">
        <is>
          <t>OPM1024_03</t>
        </is>
      </c>
      <c r="D320" s="256" t="inlineStr">
        <is>
          <t>P050082</t>
        </is>
      </c>
      <c r="E320" s="256" t="inlineStr">
        <is>
          <t>Orange Punch Mimosa</t>
        </is>
      </c>
      <c r="F320" s="256" t="inlineStr">
        <is>
          <t>06.06.2026</t>
        </is>
      </c>
      <c r="G320" s="256" t="inlineStr">
        <is>
          <t>11.2</t>
        </is>
      </c>
      <c r="H320" s="256" t="inlineStr">
        <is>
          <t>Cadmium (Cd)</t>
        </is>
      </c>
      <c r="I320" s="256" t="inlineStr">
        <is>
          <t>Ph. Eur. 2.4.27 (ICP-MS)</t>
        </is>
      </c>
      <c r="J320" s="256" t="inlineStr">
        <is>
          <t>≤ 0.3 mg/kg</t>
        </is>
      </c>
      <c r="K320" s="256" t="inlineStr">
        <is>
          <t>ND</t>
        </is>
      </c>
      <c r="L320" s="256" t="inlineStr">
        <is>
          <t>3636/2025</t>
        </is>
      </c>
      <c r="M320" s="256" t="inlineStr">
        <is>
          <t>28.07.2025</t>
        </is>
      </c>
      <c r="N320" s="256" t="inlineStr">
        <is>
          <t>IPH — Institute of Public Health</t>
        </is>
      </c>
      <c r="O320" s="256" t="inlineStr">
        <is>
          <t>21.07.2025</t>
        </is>
      </c>
      <c r="P320" s="256" t="inlineStr">
        <is>
          <t>covered</t>
        </is>
      </c>
      <c r="Q320" s="256" t="inlineStr"/>
      <c r="R320" s="256" t="inlineStr"/>
    </row>
    <row r="321">
      <c r="A321" s="256" t="inlineStr">
        <is>
          <t>CoQ-PP_26-014</t>
        </is>
      </c>
      <c r="B321" s="256" t="inlineStr">
        <is>
          <t>release</t>
        </is>
      </c>
      <c r="C321" s="256" t="inlineStr">
        <is>
          <t>OPM1024_03</t>
        </is>
      </c>
      <c r="D321" s="256" t="inlineStr">
        <is>
          <t>P050082</t>
        </is>
      </c>
      <c r="E321" s="256" t="inlineStr">
        <is>
          <t>Orange Punch Mimosa</t>
        </is>
      </c>
      <c r="F321" s="256" t="inlineStr">
        <is>
          <t>06.06.2026</t>
        </is>
      </c>
      <c r="G321" s="256" t="inlineStr">
        <is>
          <t>11.3</t>
        </is>
      </c>
      <c r="H321" s="256" t="inlineStr">
        <is>
          <t>Arsenic (As)</t>
        </is>
      </c>
      <c r="I321" s="256" t="inlineStr">
        <is>
          <t>Ph. Eur. 2.4.27 (ICP-MS)</t>
        </is>
      </c>
      <c r="J321" s="256" t="inlineStr">
        <is>
          <t>≤ 0.2 mg/kg</t>
        </is>
      </c>
      <c r="K321" s="256" t="inlineStr">
        <is>
          <t>0.135</t>
        </is>
      </c>
      <c r="L321" s="256" t="inlineStr">
        <is>
          <t>3636/2025</t>
        </is>
      </c>
      <c r="M321" s="256" t="inlineStr">
        <is>
          <t>28.07.2025</t>
        </is>
      </c>
      <c r="N321" s="256" t="inlineStr">
        <is>
          <t>IPH — Institute of Public Health</t>
        </is>
      </c>
      <c r="O321" s="256" t="inlineStr">
        <is>
          <t>21.07.2025</t>
        </is>
      </c>
      <c r="P321" s="256" t="inlineStr">
        <is>
          <t>covered</t>
        </is>
      </c>
      <c r="Q321" s="256" t="inlineStr"/>
      <c r="R321" s="256" t="inlineStr"/>
    </row>
    <row r="322">
      <c r="A322" s="256" t="inlineStr">
        <is>
          <t>CoQ-PP_26-014</t>
        </is>
      </c>
      <c r="B322" s="256" t="inlineStr">
        <is>
          <t>release</t>
        </is>
      </c>
      <c r="C322" s="256" t="inlineStr">
        <is>
          <t>OPM1024_03</t>
        </is>
      </c>
      <c r="D322" s="256" t="inlineStr">
        <is>
          <t>P050082</t>
        </is>
      </c>
      <c r="E322" s="256" t="inlineStr">
        <is>
          <t>Orange Punch Mimosa</t>
        </is>
      </c>
      <c r="F322" s="256" t="inlineStr">
        <is>
          <t>06.06.2026</t>
        </is>
      </c>
      <c r="G322" s="256" t="inlineStr">
        <is>
          <t>11.4</t>
        </is>
      </c>
      <c r="H322" s="256" t="inlineStr">
        <is>
          <t>Mercury (Hg)</t>
        </is>
      </c>
      <c r="I322" s="256" t="inlineStr">
        <is>
          <t>Ph. Eur. 2.4.27 (ICP-MS)</t>
        </is>
      </c>
      <c r="J322" s="256" t="inlineStr">
        <is>
          <t>≤ 0.1 mg/kg</t>
        </is>
      </c>
      <c r="K322" s="256" t="inlineStr">
        <is>
          <t>0.03</t>
        </is>
      </c>
      <c r="L322" s="256" t="inlineStr">
        <is>
          <t>3636/2025</t>
        </is>
      </c>
      <c r="M322" s="256" t="inlineStr">
        <is>
          <t>28.07.2025</t>
        </is>
      </c>
      <c r="N322" s="256" t="inlineStr">
        <is>
          <t>IPH — Institute of Public Health</t>
        </is>
      </c>
      <c r="O322" s="256" t="inlineStr">
        <is>
          <t>21.07.2025</t>
        </is>
      </c>
      <c r="P322" s="256" t="inlineStr">
        <is>
          <t>covered</t>
        </is>
      </c>
      <c r="Q322" s="256" t="inlineStr"/>
      <c r="R322" s="256" t="inlineStr"/>
    </row>
    <row r="323">
      <c r="A323" s="256" t="inlineStr">
        <is>
          <t>CoQ-PP_26-014</t>
        </is>
      </c>
      <c r="B323" s="256" t="inlineStr">
        <is>
          <t>release</t>
        </is>
      </c>
      <c r="C323" s="256" t="inlineStr">
        <is>
          <t>OPM1024_03</t>
        </is>
      </c>
      <c r="D323" s="256" t="inlineStr">
        <is>
          <t>P050082</t>
        </is>
      </c>
      <c r="E323" s="256" t="inlineStr">
        <is>
          <t>Orange Punch Mimosa</t>
        </is>
      </c>
      <c r="F323" s="256" t="inlineStr">
        <is>
          <t>06.06.2026</t>
        </is>
      </c>
      <c r="G323" s="256" t="inlineStr">
        <is>
          <t>12</t>
        </is>
      </c>
      <c r="H323" s="256" t="inlineStr">
        <is>
          <t>Pesticide Residues</t>
        </is>
      </c>
      <c r="I323" s="256" t="inlineStr">
        <is>
          <t>Ph. Eur. 2.8.13 (LC-MS/MS) · CUMCS Equivalency</t>
        </is>
      </c>
      <c r="J323" s="256" t="inlineStr">
        <is>
          <t>≤ LOQ as per Ph. Eur. 2.8.13 · ≤ LOQ as per CUMCS Equivalency</t>
        </is>
      </c>
      <c r="K323" s="256" t="inlineStr">
        <is>
          <t>ND</t>
        </is>
      </c>
      <c r="L323" s="256" t="inlineStr">
        <is>
          <t>3636/2025</t>
        </is>
      </c>
      <c r="M323" s="256" t="inlineStr">
        <is>
          <t>28.07.2025</t>
        </is>
      </c>
      <c r="N323" s="256" t="inlineStr">
        <is>
          <t>IPH — Institute of Public Health</t>
        </is>
      </c>
      <c r="O323" s="256" t="inlineStr">
        <is>
          <t>21.07.2025</t>
        </is>
      </c>
      <c r="P323" s="256" t="inlineStr">
        <is>
          <t>covered</t>
        </is>
      </c>
      <c r="Q323" s="256" t="inlineStr"/>
      <c r="R323" s="256" t="inlineStr"/>
    </row>
    <row r="324">
      <c r="A324" s="256" t="inlineStr">
        <is>
          <t>CoQ-PP_26-015</t>
        </is>
      </c>
      <c r="B324" s="256" t="inlineStr">
        <is>
          <t>release</t>
        </is>
      </c>
      <c r="C324" s="256" t="inlineStr">
        <is>
          <t>GG1024_01</t>
        </is>
      </c>
      <c r="D324" s="256" t="inlineStr">
        <is>
          <t>P050092</t>
        </is>
      </c>
      <c r="E324" s="256" t="inlineStr">
        <is>
          <t>Gorilla Glue</t>
        </is>
      </c>
      <c r="F324" s="256" t="inlineStr">
        <is>
          <t>06.06.2026</t>
        </is>
      </c>
      <c r="G324" s="256" t="inlineStr">
        <is>
          <t>1</t>
        </is>
      </c>
      <c r="H324" s="256" t="inlineStr">
        <is>
          <t>Identification A, Appearance · Macroscopic</t>
        </is>
      </c>
      <c r="I324" s="256" t="inlineStr">
        <is>
          <t>Ph. Eur. mon. 3028</t>
        </is>
      </c>
      <c r="J324" s="256" t="inlineStr">
        <is>
          <t>Conforms to the monograph for Cannabis flos (07/2024:3028) in Ph. Eur. 11.0 | Согласно монографија за Cannabis flos (07/2024:3028) во Ph. Eur. 11.0</t>
        </is>
      </c>
      <c r="K324" s="256" t="inlineStr">
        <is>
          <t>Conforms | Одговара</t>
        </is>
      </c>
      <c r="L324" s="256" t="inlineStr">
        <is>
          <t>iCoA-PP_26-015</t>
        </is>
      </c>
      <c r="M324" s="256" t="inlineStr">
        <is>
          <t>03.06.2026</t>
        </is>
      </c>
      <c r="N324" s="256" t="inlineStr">
        <is>
          <t>Purely Plant GmbH (in-house)</t>
        </is>
      </c>
      <c r="O324" s="256" t="inlineStr">
        <is>
          <t>—</t>
        </is>
      </c>
      <c r="P324" s="256" t="inlineStr">
        <is>
          <t>to be performed — see route</t>
        </is>
      </c>
      <c r="Q324" s="256" t="inlineStr">
        <is>
          <t>Purely Plant laboratory — iCoA covering Ident A + B</t>
        </is>
      </c>
      <c r="R324" s="256" t="inlineStr"/>
    </row>
    <row r="325">
      <c r="A325" s="256" t="inlineStr">
        <is>
          <t>CoQ-PP_26-015</t>
        </is>
      </c>
      <c r="B325" s="256" t="inlineStr">
        <is>
          <t>release</t>
        </is>
      </c>
      <c r="C325" s="256" t="inlineStr">
        <is>
          <t>GG1024_01</t>
        </is>
      </c>
      <c r="D325" s="256" t="inlineStr">
        <is>
          <t>P050092</t>
        </is>
      </c>
      <c r="E325" s="256" t="inlineStr">
        <is>
          <t>Gorilla Glue</t>
        </is>
      </c>
      <c r="F325" s="256" t="inlineStr">
        <is>
          <t>06.06.2026</t>
        </is>
      </c>
      <c r="G325" s="256" t="inlineStr">
        <is>
          <t>2</t>
        </is>
      </c>
      <c r="H325" s="256" t="inlineStr">
        <is>
          <t>Identification B · Microscopic</t>
        </is>
      </c>
      <c r="I325" s="256" t="inlineStr">
        <is>
          <t>Ph. Eur. 2.8.23 (microscopy)</t>
        </is>
      </c>
      <c r="J325" s="256" t="inlineStr">
        <is>
          <t>Conforms to the monograph for Cannabis flos (07/2024:3028) in Ph. Eur. 11.0 | Согласно монографија за Cannabis flos (07/2024:3028) во Ph. Eur. 11.0</t>
        </is>
      </c>
      <c r="K325" s="256" t="inlineStr">
        <is>
          <t>Conforms | Одговара</t>
        </is>
      </c>
      <c r="L325" s="256" t="inlineStr">
        <is>
          <t>iCoA-PP_26-015</t>
        </is>
      </c>
      <c r="M325" s="256" t="inlineStr">
        <is>
          <t>03.06.2026</t>
        </is>
      </c>
      <c r="N325" s="256" t="inlineStr">
        <is>
          <t>Purely Plant GmbH (in-house)</t>
        </is>
      </c>
      <c r="O325" s="256" t="inlineStr">
        <is>
          <t>—</t>
        </is>
      </c>
      <c r="P325" s="256" t="inlineStr">
        <is>
          <t>to be performed — see route</t>
        </is>
      </c>
      <c r="Q325" s="256" t="inlineStr">
        <is>
          <t>Purely Plant laboratory — iCoA covering Ident A + B</t>
        </is>
      </c>
      <c r="R325" s="256" t="inlineStr"/>
    </row>
    <row r="326">
      <c r="A326" s="256" t="inlineStr">
        <is>
          <t>CoQ-PP_26-015</t>
        </is>
      </c>
      <c r="B326" s="256" t="inlineStr">
        <is>
          <t>release</t>
        </is>
      </c>
      <c r="C326" s="256" t="inlineStr">
        <is>
          <t>GG1024_01</t>
        </is>
      </c>
      <c r="D326" s="256" t="inlineStr">
        <is>
          <t>P050092</t>
        </is>
      </c>
      <c r="E326" s="256" t="inlineStr">
        <is>
          <t>Gorilla Glue</t>
        </is>
      </c>
      <c r="F326" s="256" t="inlineStr">
        <is>
          <t>06.06.2026</t>
        </is>
      </c>
      <c r="G326" s="256" t="inlineStr">
        <is>
          <t>3</t>
        </is>
      </c>
      <c r="H326" s="256" t="inlineStr">
        <is>
          <t>Identification C · HPLC/HPTLC</t>
        </is>
      </c>
      <c r="I326" s="256" t="inlineStr">
        <is>
          <t>HPLC — DAB 2018 monograph Cannabis flos, 2.2.29 (CNP, before its Ph. Eur. 3028 accreditation)</t>
        </is>
      </c>
      <c r="J326" s="256" t="inlineStr">
        <is>
          <t>Conforms to the monograph for Cannabis flos (07/2024:3028) in Ph. Eur. 11.0 | Согласно монографија за Cannabis flos (07/2024:3028) во Ph. Eur. 11.0</t>
        </is>
      </c>
      <c r="K326" s="256" t="inlineStr">
        <is>
          <t>Conforms | Одговара</t>
        </is>
      </c>
      <c r="L326" s="256" t="inlineStr">
        <is>
          <t>ППК25104</t>
        </is>
      </c>
      <c r="M326" s="256" t="inlineStr">
        <is>
          <t>17.04.2025</t>
        </is>
      </c>
      <c r="N326" s="256" t="inlineStr">
        <is>
          <t>UKIM Faculty of Pharmacy — Center for Natural Products</t>
        </is>
      </c>
      <c r="O326" s="256" t="inlineStr">
        <is>
          <t>08.04.2025</t>
        </is>
      </c>
      <c r="P326" s="256" t="inlineStr">
        <is>
          <t>covered</t>
        </is>
      </c>
      <c r="Q326" s="256" t="inlineStr"/>
      <c r="R326" s="256" t="inlineStr"/>
    </row>
    <row r="327">
      <c r="A327" s="256" t="inlineStr">
        <is>
          <t>CoQ-PP_26-015</t>
        </is>
      </c>
      <c r="B327" s="256" t="inlineStr">
        <is>
          <t>release</t>
        </is>
      </c>
      <c r="C327" s="256" t="inlineStr">
        <is>
          <t>GG1024_01</t>
        </is>
      </c>
      <c r="D327" s="256" t="inlineStr">
        <is>
          <t>P050092</t>
        </is>
      </c>
      <c r="E327" s="256" t="inlineStr">
        <is>
          <t>Gorilla Glue</t>
        </is>
      </c>
      <c r="F327" s="256" t="inlineStr">
        <is>
          <t>06.06.2026</t>
        </is>
      </c>
      <c r="G327" s="256" t="inlineStr">
        <is>
          <t>4</t>
        </is>
      </c>
      <c r="H327" s="256" t="inlineStr">
        <is>
          <t>Assay — Total Δ⁹-THC</t>
        </is>
      </c>
      <c r="I327" s="256" t="inlineStr">
        <is>
          <t>HPLC — DAB 2018 monograph Cannabis flos, 2.2.29 (CNP, before its Ph. Eur. 3028 accreditation)</t>
        </is>
      </c>
      <c r="J327" s="256" t="inlineStr">
        <is>
          <t>16.23 – 19.76 %  (grade I, nominal 18.00 ± 1.77)</t>
        </is>
      </c>
      <c r="K327" s="256" t="inlineStr">
        <is>
          <t>17.22</t>
        </is>
      </c>
      <c r="L327" s="256" t="inlineStr">
        <is>
          <t>ППК25104</t>
        </is>
      </c>
      <c r="M327" s="256" t="inlineStr">
        <is>
          <t>17.04.2025</t>
        </is>
      </c>
      <c r="N327" s="256" t="inlineStr">
        <is>
          <t>UKIM Faculty of Pharmacy — Center for Natural Products</t>
        </is>
      </c>
      <c r="O327" s="256" t="inlineStr">
        <is>
          <t>08.04.2025</t>
        </is>
      </c>
      <c r="P327" s="256" t="inlineStr">
        <is>
          <t>covered</t>
        </is>
      </c>
      <c r="Q327" s="256" t="inlineStr"/>
      <c r="R327" s="256" t="inlineStr">
        <is>
          <t>18.67 (197-9-К/26)</t>
        </is>
      </c>
    </row>
    <row r="328">
      <c r="A328" s="256" t="inlineStr">
        <is>
          <t>CoQ-PP_26-015</t>
        </is>
      </c>
      <c r="B328" s="256" t="inlineStr">
        <is>
          <t>release</t>
        </is>
      </c>
      <c r="C328" s="256" t="inlineStr">
        <is>
          <t>GG1024_01</t>
        </is>
      </c>
      <c r="D328" s="256" t="inlineStr">
        <is>
          <t>P050092</t>
        </is>
      </c>
      <c r="E328" s="256" t="inlineStr">
        <is>
          <t>Gorilla Glue</t>
        </is>
      </c>
      <c r="F328" s="256" t="inlineStr">
        <is>
          <t>06.06.2026</t>
        </is>
      </c>
      <c r="G328" s="256" t="inlineStr">
        <is>
          <t>5</t>
        </is>
      </c>
      <c r="H328" s="256" t="inlineStr">
        <is>
          <t>Assay — Total CBD</t>
        </is>
      </c>
      <c r="I328" s="256" t="inlineStr">
        <is>
          <t>HPLC — DAB 2018 monograph Cannabis flos, 2.2.29 · CBD + CBDA x 0.877 (CNP, before its Ph. Eur. 3028 accreditation)</t>
        </is>
      </c>
      <c r="J328" s="256" t="inlineStr">
        <is>
          <t>≤ 1.0%, w/w</t>
        </is>
      </c>
      <c r="K328" s="256" t="inlineStr">
        <is>
          <t>0.05</t>
        </is>
      </c>
      <c r="L328" s="256" t="inlineStr">
        <is>
          <t>ППК25104</t>
        </is>
      </c>
      <c r="M328" s="256" t="inlineStr">
        <is>
          <t>17.04.2025</t>
        </is>
      </c>
      <c r="N328" s="256" t="inlineStr">
        <is>
          <t>UKIM Faculty of Pharmacy — Center for Natural Products</t>
        </is>
      </c>
      <c r="O328" s="256" t="inlineStr">
        <is>
          <t>08.04.2025</t>
        </is>
      </c>
      <c r="P328" s="256" t="inlineStr">
        <is>
          <t>covered</t>
        </is>
      </c>
      <c r="Q328" s="256" t="inlineStr"/>
      <c r="R328" s="256" t="inlineStr">
        <is>
          <t>&lt;LOQ (197-9-К/26)</t>
        </is>
      </c>
    </row>
    <row r="329">
      <c r="A329" s="256" t="inlineStr">
        <is>
          <t>CoQ-PP_26-015</t>
        </is>
      </c>
      <c r="B329" s="256" t="inlineStr">
        <is>
          <t>release</t>
        </is>
      </c>
      <c r="C329" s="256" t="inlineStr">
        <is>
          <t>GG1024_01</t>
        </is>
      </c>
      <c r="D329" s="256" t="inlineStr">
        <is>
          <t>P050092</t>
        </is>
      </c>
      <c r="E329" s="256" t="inlineStr">
        <is>
          <t>Gorilla Glue</t>
        </is>
      </c>
      <c r="F329" s="256" t="inlineStr">
        <is>
          <t>06.06.2026</t>
        </is>
      </c>
      <c r="G329" s="256" t="inlineStr">
        <is>
          <t>6</t>
        </is>
      </c>
      <c r="H329" s="256" t="inlineStr">
        <is>
          <t>Total CBN</t>
        </is>
      </c>
      <c r="I329" s="256" t="inlineStr">
        <is>
          <t>HPLC — DAB 2018 monograph Cannabis flos, 2.2.29 · CBN + CBNA x 0.876 (CNP, before its Ph. Eur. 3028 accreditation)</t>
        </is>
      </c>
      <c r="J329" s="256" t="inlineStr">
        <is>
          <t>≤ 1.0%, w/w</t>
        </is>
      </c>
      <c r="K329" s="256" t="inlineStr">
        <is>
          <t>ND ᴰ</t>
        </is>
      </c>
      <c r="L329" s="256" t="inlineStr">
        <is>
          <t>ППК25104</t>
        </is>
      </c>
      <c r="M329" s="256" t="inlineStr">
        <is>
          <t>17.04.2025</t>
        </is>
      </c>
      <c r="N329" s="256" t="inlineStr">
        <is>
          <t>CNP</t>
        </is>
      </c>
      <c r="O329" s="256" t="inlineStr">
        <is>
          <t>08.04.2025</t>
        </is>
      </c>
      <c r="P329" s="256" t="inlineStr">
        <is>
          <t>covered</t>
        </is>
      </c>
      <c r="Q329" s="256" t="inlineStr"/>
      <c r="R329" s="256" t="inlineStr"/>
    </row>
    <row r="330">
      <c r="A330" s="256" t="inlineStr">
        <is>
          <t>CoQ-PP_26-015</t>
        </is>
      </c>
      <c r="B330" s="256" t="inlineStr">
        <is>
          <t>release</t>
        </is>
      </c>
      <c r="C330" s="256" t="inlineStr">
        <is>
          <t>GG1024_01</t>
        </is>
      </c>
      <c r="D330" s="256" t="inlineStr">
        <is>
          <t>P050092</t>
        </is>
      </c>
      <c r="E330" s="256" t="inlineStr">
        <is>
          <t>Gorilla Glue</t>
        </is>
      </c>
      <c r="F330" s="256" t="inlineStr">
        <is>
          <t>06.06.2026</t>
        </is>
      </c>
      <c r="G330" s="256" t="inlineStr">
        <is>
          <t>7</t>
        </is>
      </c>
      <c r="H330" s="256" t="inlineStr">
        <is>
          <t>Foreign Matter</t>
        </is>
      </c>
      <c r="I330" s="256" t="inlineStr">
        <is>
          <t>Ph. Eur. 2.8.2 · In-house · интерна</t>
        </is>
      </c>
      <c r="J330" s="256" t="inlineStr">
        <is>
          <t>≤ 2.0% / 25–50 g · &lt; 1 cm leaves | листови, no seeds | без семки</t>
        </is>
      </c>
      <c r="K330" s="256" t="inlineStr">
        <is>
          <t>Conforms | Одговара</t>
        </is>
      </c>
      <c r="L330" s="256" t="inlineStr">
        <is>
          <t>iCoA-PP_26-015</t>
        </is>
      </c>
      <c r="M330" s="256" t="inlineStr">
        <is>
          <t>03.06.2026</t>
        </is>
      </c>
      <c r="N330" s="256" t="inlineStr">
        <is>
          <t>Purely Plant GmbH (in-house)</t>
        </is>
      </c>
      <c r="O330" s="256" t="inlineStr">
        <is>
          <t>—</t>
        </is>
      </c>
      <c r="P330" s="256" t="inlineStr">
        <is>
          <t>to be performed — see route</t>
        </is>
      </c>
      <c r="Q330" s="256" t="inlineStr">
        <is>
          <t>Purely Plant laboratory — iCoA covering Foreign matter</t>
        </is>
      </c>
      <c r="R330" s="256" t="inlineStr"/>
    </row>
    <row r="331">
      <c r="A331" s="256" t="inlineStr">
        <is>
          <t>CoQ-PP_26-015</t>
        </is>
      </c>
      <c r="B331" s="256" t="inlineStr">
        <is>
          <t>release</t>
        </is>
      </c>
      <c r="C331" s="256" t="inlineStr">
        <is>
          <t>GG1024_01</t>
        </is>
      </c>
      <c r="D331" s="256" t="inlineStr">
        <is>
          <t>P050092</t>
        </is>
      </c>
      <c r="E331" s="256" t="inlineStr">
        <is>
          <t>Gorilla Glue</t>
        </is>
      </c>
      <c r="F331" s="256" t="inlineStr">
        <is>
          <t>06.06.2026</t>
        </is>
      </c>
      <c r="G331" s="256" t="inlineStr">
        <is>
          <t>8</t>
        </is>
      </c>
      <c r="H331" s="256" t="inlineStr">
        <is>
          <t>Loss on Drying</t>
        </is>
      </c>
      <c r="I331" s="256" t="inlineStr">
        <is>
          <t>DAB 2018 monograph Cannabis flos, 2.2.32 — loss on drying (CNP, before its Ph. Eur. 3028 accreditation)</t>
        </is>
      </c>
      <c r="J331" s="256" t="inlineStr">
        <is>
          <t>≤ 12.0%</t>
        </is>
      </c>
      <c r="K331" s="256" t="inlineStr">
        <is>
          <t>7.54</t>
        </is>
      </c>
      <c r="L331" s="256" t="inlineStr">
        <is>
          <t>ППК25104</t>
        </is>
      </c>
      <c r="M331" s="256" t="inlineStr">
        <is>
          <t>17.04.2025</t>
        </is>
      </c>
      <c r="N331" s="256" t="inlineStr">
        <is>
          <t>UKIM Faculty of Pharmacy — Center for Natural Products</t>
        </is>
      </c>
      <c r="O331" s="256" t="inlineStr">
        <is>
          <t>08.04.2025</t>
        </is>
      </c>
      <c r="P331" s="256" t="inlineStr">
        <is>
          <t>covered</t>
        </is>
      </c>
      <c r="Q331" s="256" t="inlineStr"/>
      <c r="R331" s="256" t="inlineStr"/>
    </row>
    <row r="332">
      <c r="A332" s="256" t="inlineStr">
        <is>
          <t>CoQ-PP_26-015</t>
        </is>
      </c>
      <c r="B332" s="256" t="inlineStr">
        <is>
          <t>release</t>
        </is>
      </c>
      <c r="C332" s="256" t="inlineStr">
        <is>
          <t>GG1024_01</t>
        </is>
      </c>
      <c r="D332" s="256" t="inlineStr">
        <is>
          <t>P050092</t>
        </is>
      </c>
      <c r="E332" s="256" t="inlineStr">
        <is>
          <t>Gorilla Glue</t>
        </is>
      </c>
      <c r="F332" s="256" t="inlineStr">
        <is>
          <t>06.06.2026</t>
        </is>
      </c>
      <c r="G332" s="256" t="inlineStr">
        <is>
          <t>9.1</t>
        </is>
      </c>
      <c r="H332" s="256" t="inlineStr">
        <is>
          <t>TAMC</t>
        </is>
      </c>
      <c r="I332" s="256" t="inlineStr">
        <is>
          <t>Ph. Eur. 2.6.12 cat. C</t>
        </is>
      </c>
      <c r="J332" s="256" t="inlineStr">
        <is>
          <t>≤ 10⁵ CFU/g</t>
        </is>
      </c>
      <c r="K332" s="256" t="inlineStr">
        <is>
          <t>5.1 × 10⁴</t>
        </is>
      </c>
      <c r="L332" s="256" t="inlineStr">
        <is>
          <t>320/0587/25</t>
        </is>
      </c>
      <c r="M332" s="256" t="inlineStr">
        <is>
          <t>14.04.2025</t>
        </is>
      </c>
      <c r="N332" s="256" t="inlineStr">
        <is>
          <t>IPH — Institute of Public Health</t>
        </is>
      </c>
      <c r="O332" s="256" t="inlineStr">
        <is>
          <t>08.04.2025</t>
        </is>
      </c>
      <c r="P332" s="256" t="inlineStr">
        <is>
          <t>covered</t>
        </is>
      </c>
      <c r="Q332" s="256" t="inlineStr"/>
      <c r="R332" s="256" t="inlineStr"/>
    </row>
    <row r="333">
      <c r="A333" s="256" t="inlineStr">
        <is>
          <t>CoQ-PP_26-015</t>
        </is>
      </c>
      <c r="B333" s="256" t="inlineStr">
        <is>
          <t>release</t>
        </is>
      </c>
      <c r="C333" s="256" t="inlineStr">
        <is>
          <t>GG1024_01</t>
        </is>
      </c>
      <c r="D333" s="256" t="inlineStr">
        <is>
          <t>P050092</t>
        </is>
      </c>
      <c r="E333" s="256" t="inlineStr">
        <is>
          <t>Gorilla Glue</t>
        </is>
      </c>
      <c r="F333" s="256" t="inlineStr">
        <is>
          <t>06.06.2026</t>
        </is>
      </c>
      <c r="G333" s="256" t="inlineStr">
        <is>
          <t>9.2</t>
        </is>
      </c>
      <c r="H333" s="256" t="inlineStr">
        <is>
          <t>TYMC</t>
        </is>
      </c>
      <c r="I333" s="256" t="inlineStr">
        <is>
          <t>Ph. Eur. 2.6.12 cat. C</t>
        </is>
      </c>
      <c r="J333" s="256" t="inlineStr">
        <is>
          <t>≤ 10⁴ CFU/g</t>
        </is>
      </c>
      <c r="K333" s="256" t="inlineStr">
        <is>
          <t>4.2 × 10⁴</t>
        </is>
      </c>
      <c r="L333" s="256" t="inlineStr">
        <is>
          <t>320/0587/25</t>
        </is>
      </c>
      <c r="M333" s="256" t="inlineStr">
        <is>
          <t>14.04.2025</t>
        </is>
      </c>
      <c r="N333" s="256" t="inlineStr">
        <is>
          <t>IPH — Institute of Public Health</t>
        </is>
      </c>
      <c r="O333" s="256" t="inlineStr">
        <is>
          <t>08.04.2025</t>
        </is>
      </c>
      <c r="P333" s="256" t="inlineStr">
        <is>
          <t>OUT OF SPECIFICATION</t>
        </is>
      </c>
      <c r="Q333" s="256" t="inlineStr"/>
      <c r="R333" s="256" t="inlineStr"/>
    </row>
    <row r="334">
      <c r="A334" s="256" t="inlineStr">
        <is>
          <t>CoQ-PP_26-015</t>
        </is>
      </c>
      <c r="B334" s="256" t="inlineStr">
        <is>
          <t>release</t>
        </is>
      </c>
      <c r="C334" s="256" t="inlineStr">
        <is>
          <t>GG1024_01</t>
        </is>
      </c>
      <c r="D334" s="256" t="inlineStr">
        <is>
          <t>P050092</t>
        </is>
      </c>
      <c r="E334" s="256" t="inlineStr">
        <is>
          <t>Gorilla Glue</t>
        </is>
      </c>
      <c r="F334" s="256" t="inlineStr">
        <is>
          <t>06.06.2026</t>
        </is>
      </c>
      <c r="G334" s="256" t="inlineStr">
        <is>
          <t>9.3</t>
        </is>
      </c>
      <c r="H334" s="256" t="inlineStr">
        <is>
          <t>Bile-tolerant gram-neg.</t>
        </is>
      </c>
      <c r="I334" s="256" t="inlineStr">
        <is>
          <t>Ph. Eur. 2.6.31 cat. C</t>
        </is>
      </c>
      <c r="J334" s="256" t="inlineStr">
        <is>
          <t>≤ 10⁴ CFU/g</t>
        </is>
      </c>
      <c r="K334" s="256" t="inlineStr">
        <is>
          <t>&lt; 10</t>
        </is>
      </c>
      <c r="L334" s="256" t="inlineStr">
        <is>
          <t>320/0587/25</t>
        </is>
      </c>
      <c r="M334" s="256" t="inlineStr">
        <is>
          <t>14.04.2025</t>
        </is>
      </c>
      <c r="N334" s="256" t="inlineStr">
        <is>
          <t>IPH — Institute of Public Health</t>
        </is>
      </c>
      <c r="O334" s="256" t="inlineStr">
        <is>
          <t>08.04.2025</t>
        </is>
      </c>
      <c r="P334" s="256" t="inlineStr">
        <is>
          <t>covered</t>
        </is>
      </c>
      <c r="Q334" s="256" t="inlineStr"/>
      <c r="R334" s="256" t="inlineStr"/>
    </row>
    <row r="335">
      <c r="A335" s="256" t="inlineStr">
        <is>
          <t>CoQ-PP_26-015</t>
        </is>
      </c>
      <c r="B335" s="256" t="inlineStr">
        <is>
          <t>release</t>
        </is>
      </c>
      <c r="C335" s="256" t="inlineStr">
        <is>
          <t>GG1024_01</t>
        </is>
      </c>
      <c r="D335" s="256" t="inlineStr">
        <is>
          <t>P050092</t>
        </is>
      </c>
      <c r="E335" s="256" t="inlineStr">
        <is>
          <t>Gorilla Glue</t>
        </is>
      </c>
      <c r="F335" s="256" t="inlineStr">
        <is>
          <t>06.06.2026</t>
        </is>
      </c>
      <c r="G335" s="256" t="inlineStr">
        <is>
          <t>9.4</t>
        </is>
      </c>
      <c r="H335" s="256" t="inlineStr">
        <is>
          <t>Salmonella</t>
        </is>
      </c>
      <c r="I335" s="256" t="inlineStr">
        <is>
          <t>Ph. Eur. 2.6.31 cat. C</t>
        </is>
      </c>
      <c r="J335" s="256" t="inlineStr">
        <is>
          <t>Absence | Отсуство / 25 g</t>
        </is>
      </c>
      <c r="K335" s="256" t="inlineStr">
        <is>
          <t>Absent | Отсутна</t>
        </is>
      </c>
      <c r="L335" s="256" t="inlineStr">
        <is>
          <t>320/0587/25</t>
        </is>
      </c>
      <c r="M335" s="256" t="inlineStr">
        <is>
          <t>14.04.2025</t>
        </is>
      </c>
      <c r="N335" s="256" t="inlineStr">
        <is>
          <t>IPH — Institute of Public Health</t>
        </is>
      </c>
      <c r="O335" s="256" t="inlineStr">
        <is>
          <t>08.04.2025</t>
        </is>
      </c>
      <c r="P335" s="256" t="inlineStr">
        <is>
          <t>covered</t>
        </is>
      </c>
      <c r="Q335" s="256" t="inlineStr"/>
      <c r="R335" s="256" t="inlineStr"/>
    </row>
    <row r="336">
      <c r="A336" s="256" t="inlineStr">
        <is>
          <t>CoQ-PP_26-015</t>
        </is>
      </c>
      <c r="B336" s="256" t="inlineStr">
        <is>
          <t>release</t>
        </is>
      </c>
      <c r="C336" s="256" t="inlineStr">
        <is>
          <t>GG1024_01</t>
        </is>
      </c>
      <c r="D336" s="256" t="inlineStr">
        <is>
          <t>P050092</t>
        </is>
      </c>
      <c r="E336" s="256" t="inlineStr">
        <is>
          <t>Gorilla Glue</t>
        </is>
      </c>
      <c r="F336" s="256" t="inlineStr">
        <is>
          <t>06.06.2026</t>
        </is>
      </c>
      <c r="G336" s="256" t="inlineStr">
        <is>
          <t>9.5</t>
        </is>
      </c>
      <c r="H336" s="256" t="inlineStr">
        <is>
          <t>Escherichia coli</t>
        </is>
      </c>
      <c r="I336" s="256" t="inlineStr">
        <is>
          <t>Ph. Eur. 2.6.13 cat. C</t>
        </is>
      </c>
      <c r="J336" s="256" t="inlineStr">
        <is>
          <t>Absence | Отсуство / 1 g</t>
        </is>
      </c>
      <c r="K336" s="256" t="inlineStr">
        <is>
          <t>Absent | Отсутна</t>
        </is>
      </c>
      <c r="L336" s="256" t="inlineStr">
        <is>
          <t>320/0587/25</t>
        </is>
      </c>
      <c r="M336" s="256" t="inlineStr">
        <is>
          <t>14.04.2025</t>
        </is>
      </c>
      <c r="N336" s="256" t="inlineStr">
        <is>
          <t>IPH — Institute of Public Health</t>
        </is>
      </c>
      <c r="O336" s="256" t="inlineStr">
        <is>
          <t>08.04.2025</t>
        </is>
      </c>
      <c r="P336" s="256" t="inlineStr">
        <is>
          <t>covered</t>
        </is>
      </c>
      <c r="Q336" s="256" t="inlineStr"/>
      <c r="R336" s="256" t="inlineStr"/>
    </row>
    <row r="337">
      <c r="A337" s="256" t="inlineStr">
        <is>
          <t>CoQ-PP_26-015</t>
        </is>
      </c>
      <c r="B337" s="256" t="inlineStr">
        <is>
          <t>release</t>
        </is>
      </c>
      <c r="C337" s="256" t="inlineStr">
        <is>
          <t>GG1024_01</t>
        </is>
      </c>
      <c r="D337" s="256" t="inlineStr">
        <is>
          <t>P050092</t>
        </is>
      </c>
      <c r="E337" s="256" t="inlineStr">
        <is>
          <t>Gorilla Glue</t>
        </is>
      </c>
      <c r="F337" s="256" t="inlineStr">
        <is>
          <t>06.06.2026</t>
        </is>
      </c>
      <c r="G337" s="256" t="inlineStr">
        <is>
          <t>9.6</t>
        </is>
      </c>
      <c r="H337" s="256" t="inlineStr">
        <is>
          <t>Pseudomonas aeruginosa</t>
        </is>
      </c>
      <c r="I337" s="256" t="inlineStr">
        <is>
          <t>Ph. Eur. 2.6.13 cat. C</t>
        </is>
      </c>
      <c r="J337" s="256" t="inlineStr">
        <is>
          <t>Absence | Отсуство / 1 g</t>
        </is>
      </c>
      <c r="K337" s="260" t="inlineStr">
        <is>
          <t>upon request — not required for release</t>
        </is>
      </c>
      <c r="L337" s="256" t="inlineStr">
        <is>
          <t>—</t>
        </is>
      </c>
      <c r="M337" s="256" t="inlineStr">
        <is>
          <t>—</t>
        </is>
      </c>
      <c r="N337" s="256" t="inlineStr">
        <is>
          <t>—</t>
        </is>
      </c>
      <c r="O337" s="256" t="inlineStr">
        <is>
          <t>—</t>
        </is>
      </c>
      <c r="P337" s="256" t="inlineStr">
        <is>
          <t>upon request — not required for release</t>
        </is>
      </c>
      <c r="Q337" s="256" t="inlineStr"/>
      <c r="R337" s="256" t="inlineStr"/>
    </row>
    <row r="338">
      <c r="A338" s="256" t="inlineStr">
        <is>
          <t>CoQ-PP_26-015</t>
        </is>
      </c>
      <c r="B338" s="256" t="inlineStr">
        <is>
          <t>release</t>
        </is>
      </c>
      <c r="C338" s="256" t="inlineStr">
        <is>
          <t>GG1024_01</t>
        </is>
      </c>
      <c r="D338" s="256" t="inlineStr">
        <is>
          <t>P050092</t>
        </is>
      </c>
      <c r="E338" s="256" t="inlineStr">
        <is>
          <t>Gorilla Glue</t>
        </is>
      </c>
      <c r="F338" s="256" t="inlineStr">
        <is>
          <t>06.06.2026</t>
        </is>
      </c>
      <c r="G338" s="256" t="inlineStr">
        <is>
          <t>9.7</t>
        </is>
      </c>
      <c r="H338" s="256" t="inlineStr">
        <is>
          <t>Staphylococcus aureus</t>
        </is>
      </c>
      <c r="I338" s="256" t="inlineStr">
        <is>
          <t>Ph. Eur. 2.6.13 cat. C</t>
        </is>
      </c>
      <c r="J338" s="256" t="inlineStr">
        <is>
          <t>Absence | Отсуство / 1 g</t>
        </is>
      </c>
      <c r="K338" s="260" t="inlineStr">
        <is>
          <t>upon request — not required for release</t>
        </is>
      </c>
      <c r="L338" s="256" t="inlineStr">
        <is>
          <t>—</t>
        </is>
      </c>
      <c r="M338" s="256" t="inlineStr">
        <is>
          <t>—</t>
        </is>
      </c>
      <c r="N338" s="256" t="inlineStr">
        <is>
          <t>—</t>
        </is>
      </c>
      <c r="O338" s="256" t="inlineStr">
        <is>
          <t>—</t>
        </is>
      </c>
      <c r="P338" s="256" t="inlineStr">
        <is>
          <t>upon request — not required for release</t>
        </is>
      </c>
      <c r="Q338" s="256" t="inlineStr"/>
      <c r="R338" s="256" t="inlineStr"/>
    </row>
    <row r="339">
      <c r="A339" s="256" t="inlineStr">
        <is>
          <t>CoQ-PP_26-015</t>
        </is>
      </c>
      <c r="B339" s="256" t="inlineStr">
        <is>
          <t>release</t>
        </is>
      </c>
      <c r="C339" s="256" t="inlineStr">
        <is>
          <t>GG1024_01</t>
        </is>
      </c>
      <c r="D339" s="256" t="inlineStr">
        <is>
          <t>P050092</t>
        </is>
      </c>
      <c r="E339" s="256" t="inlineStr">
        <is>
          <t>Gorilla Glue</t>
        </is>
      </c>
      <c r="F339" s="256" t="inlineStr">
        <is>
          <t>06.06.2026</t>
        </is>
      </c>
      <c r="G339" s="256" t="inlineStr">
        <is>
          <t>10.1</t>
        </is>
      </c>
      <c r="H339" s="256" t="inlineStr">
        <is>
          <t>Aflatoxin B₁</t>
        </is>
      </c>
      <c r="I339" s="256" t="inlineStr">
        <is>
          <t>Ph. Eur. 2.8.18 (HPLC-FLD)</t>
        </is>
      </c>
      <c r="J339" s="256" t="inlineStr">
        <is>
          <t>≤ 2 µg/kg</t>
        </is>
      </c>
      <c r="K339" s="259" t="inlineStr">
        <is>
          <t>not tested</t>
        </is>
      </c>
      <c r="L339" s="256" t="inlineStr">
        <is>
          <t>—</t>
        </is>
      </c>
      <c r="M339" s="256" t="inlineStr">
        <is>
          <t>—</t>
        </is>
      </c>
      <c r="N339" s="256" t="inlineStr">
        <is>
          <t>—</t>
        </is>
      </c>
      <c r="O339" s="256" t="inlineStr">
        <is>
          <t>—</t>
        </is>
      </c>
      <c r="P339" s="256" t="inlineStr">
        <is>
          <t>not tested — no certificate covers it</t>
        </is>
      </c>
      <c r="Q339" s="256" t="inlineStr"/>
      <c r="R339" s="256" t="inlineStr">
        <is>
          <t>ND (197-9-М/26)</t>
        </is>
      </c>
    </row>
    <row r="340">
      <c r="A340" s="256" t="inlineStr">
        <is>
          <t>CoQ-PP_26-015</t>
        </is>
      </c>
      <c r="B340" s="256" t="inlineStr">
        <is>
          <t>release</t>
        </is>
      </c>
      <c r="C340" s="256" t="inlineStr">
        <is>
          <t>GG1024_01</t>
        </is>
      </c>
      <c r="D340" s="256" t="inlineStr">
        <is>
          <t>P050092</t>
        </is>
      </c>
      <c r="E340" s="256" t="inlineStr">
        <is>
          <t>Gorilla Glue</t>
        </is>
      </c>
      <c r="F340" s="256" t="inlineStr">
        <is>
          <t>06.06.2026</t>
        </is>
      </c>
      <c r="G340" s="256" t="inlineStr">
        <is>
          <t>10.2</t>
        </is>
      </c>
      <c r="H340" s="256" t="inlineStr">
        <is>
          <t>Aflatoxins ∑</t>
        </is>
      </c>
      <c r="I340" s="256" t="inlineStr">
        <is>
          <t>Ph. Eur. 2.8.18 (HPLC-FLD)</t>
        </is>
      </c>
      <c r="J340" s="256" t="inlineStr">
        <is>
          <t>≤ 4 µg/kg</t>
        </is>
      </c>
      <c r="K340" s="256" t="inlineStr">
        <is>
          <t>&lt; 2</t>
        </is>
      </c>
      <c r="L340" s="256" t="inlineStr">
        <is>
          <t>1766/2025</t>
        </is>
      </c>
      <c r="M340" s="256" t="inlineStr">
        <is>
          <t>11.04.2025</t>
        </is>
      </c>
      <c r="N340" s="256" t="inlineStr">
        <is>
          <t>IPH — Institute of Public Health</t>
        </is>
      </c>
      <c r="O340" s="256" t="inlineStr">
        <is>
          <t>08.04.2025</t>
        </is>
      </c>
      <c r="P340" s="256" t="inlineStr">
        <is>
          <t>covered</t>
        </is>
      </c>
      <c r="Q340" s="256" t="inlineStr"/>
      <c r="R340" s="256" t="inlineStr">
        <is>
          <t>ND (197-9-М/26)</t>
        </is>
      </c>
    </row>
    <row r="341">
      <c r="A341" s="256" t="inlineStr">
        <is>
          <t>CoQ-PP_26-015</t>
        </is>
      </c>
      <c r="B341" s="256" t="inlineStr">
        <is>
          <t>release</t>
        </is>
      </c>
      <c r="C341" s="256" t="inlineStr">
        <is>
          <t>GG1024_01</t>
        </is>
      </c>
      <c r="D341" s="256" t="inlineStr">
        <is>
          <t>P050092</t>
        </is>
      </c>
      <c r="E341" s="256" t="inlineStr">
        <is>
          <t>Gorilla Glue</t>
        </is>
      </c>
      <c r="F341" s="256" t="inlineStr">
        <is>
          <t>06.06.2026</t>
        </is>
      </c>
      <c r="G341" s="256" t="inlineStr">
        <is>
          <t>10.3</t>
        </is>
      </c>
      <c r="H341" s="256" t="inlineStr">
        <is>
          <t>Ochratoxin A</t>
        </is>
      </c>
      <c r="I341" s="256" t="inlineStr">
        <is>
          <t>Ph. Eur. 2.8.22 (HPLC-FLD)</t>
        </is>
      </c>
      <c r="J341" s="256" t="inlineStr">
        <is>
          <t>≤ 20 µg/kg</t>
        </is>
      </c>
      <c r="K341" s="259" t="inlineStr">
        <is>
          <t>not tested</t>
        </is>
      </c>
      <c r="L341" s="256" t="inlineStr">
        <is>
          <t>—</t>
        </is>
      </c>
      <c r="M341" s="256" t="inlineStr">
        <is>
          <t>—</t>
        </is>
      </c>
      <c r="N341" s="256" t="inlineStr">
        <is>
          <t>—</t>
        </is>
      </c>
      <c r="O341" s="256" t="inlineStr">
        <is>
          <t>—</t>
        </is>
      </c>
      <c r="P341" s="256" t="inlineStr">
        <is>
          <t>not tested — no certificate covers it</t>
        </is>
      </c>
      <c r="Q341" s="256" t="inlineStr"/>
      <c r="R341" s="256" t="inlineStr">
        <is>
          <t>ND (197-9-М/26)</t>
        </is>
      </c>
    </row>
    <row r="342">
      <c r="A342" s="256" t="inlineStr">
        <is>
          <t>CoQ-PP_26-015</t>
        </is>
      </c>
      <c r="B342" s="256" t="inlineStr">
        <is>
          <t>release</t>
        </is>
      </c>
      <c r="C342" s="256" t="inlineStr">
        <is>
          <t>GG1024_01</t>
        </is>
      </c>
      <c r="D342" s="256" t="inlineStr">
        <is>
          <t>P050092</t>
        </is>
      </c>
      <c r="E342" s="256" t="inlineStr">
        <is>
          <t>Gorilla Glue</t>
        </is>
      </c>
      <c r="F342" s="256" t="inlineStr">
        <is>
          <t>06.06.2026</t>
        </is>
      </c>
      <c r="G342" s="256" t="inlineStr">
        <is>
          <t>11.1</t>
        </is>
      </c>
      <c r="H342" s="256" t="inlineStr">
        <is>
          <t>Lead (Pb)</t>
        </is>
      </c>
      <c r="I342" s="256" t="inlineStr">
        <is>
          <t>Ph. Eur. 2.4.27 (ICP-MS)</t>
        </is>
      </c>
      <c r="J342" s="256" t="inlineStr">
        <is>
          <t>≤ 0.5 mg/kg</t>
        </is>
      </c>
      <c r="K342" s="256" t="inlineStr">
        <is>
          <t>0.02</t>
        </is>
      </c>
      <c r="L342" s="256" t="inlineStr">
        <is>
          <t>1766/2025</t>
        </is>
      </c>
      <c r="M342" s="256" t="inlineStr">
        <is>
          <t>11.04.2025</t>
        </is>
      </c>
      <c r="N342" s="256" t="inlineStr">
        <is>
          <t>IPH — Institute of Public Health</t>
        </is>
      </c>
      <c r="O342" s="256" t="inlineStr">
        <is>
          <t>08.04.2025</t>
        </is>
      </c>
      <c r="P342" s="256" t="inlineStr">
        <is>
          <t>covered</t>
        </is>
      </c>
      <c r="Q342" s="256" t="inlineStr"/>
      <c r="R342" s="256" t="inlineStr"/>
    </row>
    <row r="343">
      <c r="A343" s="256" t="inlineStr">
        <is>
          <t>CoQ-PP_26-015</t>
        </is>
      </c>
      <c r="B343" s="256" t="inlineStr">
        <is>
          <t>release</t>
        </is>
      </c>
      <c r="C343" s="256" t="inlineStr">
        <is>
          <t>GG1024_01</t>
        </is>
      </c>
      <c r="D343" s="256" t="inlineStr">
        <is>
          <t>P050092</t>
        </is>
      </c>
      <c r="E343" s="256" t="inlineStr">
        <is>
          <t>Gorilla Glue</t>
        </is>
      </c>
      <c r="F343" s="256" t="inlineStr">
        <is>
          <t>06.06.2026</t>
        </is>
      </c>
      <c r="G343" s="256" t="inlineStr">
        <is>
          <t>11.2</t>
        </is>
      </c>
      <c r="H343" s="256" t="inlineStr">
        <is>
          <t>Cadmium (Cd)</t>
        </is>
      </c>
      <c r="I343" s="256" t="inlineStr">
        <is>
          <t>Ph. Eur. 2.4.27 (ICP-MS)</t>
        </is>
      </c>
      <c r="J343" s="256" t="inlineStr">
        <is>
          <t>≤ 0.3 mg/kg</t>
        </is>
      </c>
      <c r="K343" s="256" t="inlineStr">
        <is>
          <t>0.007</t>
        </is>
      </c>
      <c r="L343" s="256" t="inlineStr">
        <is>
          <t>1766/2025</t>
        </is>
      </c>
      <c r="M343" s="256" t="inlineStr">
        <is>
          <t>11.04.2025</t>
        </is>
      </c>
      <c r="N343" s="256" t="inlineStr">
        <is>
          <t>IPH — Institute of Public Health</t>
        </is>
      </c>
      <c r="O343" s="256" t="inlineStr">
        <is>
          <t>08.04.2025</t>
        </is>
      </c>
      <c r="P343" s="256" t="inlineStr">
        <is>
          <t>covered</t>
        </is>
      </c>
      <c r="Q343" s="256" t="inlineStr"/>
      <c r="R343" s="256" t="inlineStr"/>
    </row>
    <row r="344">
      <c r="A344" s="256" t="inlineStr">
        <is>
          <t>CoQ-PP_26-015</t>
        </is>
      </c>
      <c r="B344" s="256" t="inlineStr">
        <is>
          <t>release</t>
        </is>
      </c>
      <c r="C344" s="256" t="inlineStr">
        <is>
          <t>GG1024_01</t>
        </is>
      </c>
      <c r="D344" s="256" t="inlineStr">
        <is>
          <t>P050092</t>
        </is>
      </c>
      <c r="E344" s="256" t="inlineStr">
        <is>
          <t>Gorilla Glue</t>
        </is>
      </c>
      <c r="F344" s="256" t="inlineStr">
        <is>
          <t>06.06.2026</t>
        </is>
      </c>
      <c r="G344" s="256" t="inlineStr">
        <is>
          <t>11.3</t>
        </is>
      </c>
      <c r="H344" s="256" t="inlineStr">
        <is>
          <t>Arsenic (As)</t>
        </is>
      </c>
      <c r="I344" s="256" t="inlineStr">
        <is>
          <t>Ph. Eur. 2.4.27 (ICP-MS)</t>
        </is>
      </c>
      <c r="J344" s="256" t="inlineStr">
        <is>
          <t>≤ 0.2 mg/kg</t>
        </is>
      </c>
      <c r="K344" s="256" t="inlineStr">
        <is>
          <t>0.015</t>
        </is>
      </c>
      <c r="L344" s="256" t="inlineStr">
        <is>
          <t>1766/2025</t>
        </is>
      </c>
      <c r="M344" s="256" t="inlineStr">
        <is>
          <t>11.04.2025</t>
        </is>
      </c>
      <c r="N344" s="256" t="inlineStr">
        <is>
          <t>IPH — Institute of Public Health</t>
        </is>
      </c>
      <c r="O344" s="256" t="inlineStr">
        <is>
          <t>08.04.2025</t>
        </is>
      </c>
      <c r="P344" s="256" t="inlineStr">
        <is>
          <t>covered</t>
        </is>
      </c>
      <c r="Q344" s="256" t="inlineStr"/>
      <c r="R344" s="256" t="inlineStr"/>
    </row>
    <row r="345">
      <c r="A345" s="256" t="inlineStr">
        <is>
          <t>CoQ-PP_26-015</t>
        </is>
      </c>
      <c r="B345" s="256" t="inlineStr">
        <is>
          <t>release</t>
        </is>
      </c>
      <c r="C345" s="256" t="inlineStr">
        <is>
          <t>GG1024_01</t>
        </is>
      </c>
      <c r="D345" s="256" t="inlineStr">
        <is>
          <t>P050092</t>
        </is>
      </c>
      <c r="E345" s="256" t="inlineStr">
        <is>
          <t>Gorilla Glue</t>
        </is>
      </c>
      <c r="F345" s="256" t="inlineStr">
        <is>
          <t>06.06.2026</t>
        </is>
      </c>
      <c r="G345" s="256" t="inlineStr">
        <is>
          <t>11.4</t>
        </is>
      </c>
      <c r="H345" s="256" t="inlineStr">
        <is>
          <t>Mercury (Hg)</t>
        </is>
      </c>
      <c r="I345" s="256" t="inlineStr">
        <is>
          <t>Ph. Eur. 2.4.27 (ICP-MS)</t>
        </is>
      </c>
      <c r="J345" s="256" t="inlineStr">
        <is>
          <t>≤ 0.1 mg/kg</t>
        </is>
      </c>
      <c r="K345" s="256" t="inlineStr">
        <is>
          <t>0.005</t>
        </is>
      </c>
      <c r="L345" s="256" t="inlineStr">
        <is>
          <t>1766/2025</t>
        </is>
      </c>
      <c r="M345" s="256" t="inlineStr">
        <is>
          <t>11.04.2025</t>
        </is>
      </c>
      <c r="N345" s="256" t="inlineStr">
        <is>
          <t>IPH — Institute of Public Health</t>
        </is>
      </c>
      <c r="O345" s="256" t="inlineStr">
        <is>
          <t>08.04.2025</t>
        </is>
      </c>
      <c r="P345" s="256" t="inlineStr">
        <is>
          <t>covered</t>
        </is>
      </c>
      <c r="Q345" s="256" t="inlineStr"/>
      <c r="R345" s="256" t="inlineStr"/>
    </row>
    <row r="346">
      <c r="A346" s="256" t="inlineStr">
        <is>
          <t>CoQ-PP_26-015</t>
        </is>
      </c>
      <c r="B346" s="256" t="inlineStr">
        <is>
          <t>release</t>
        </is>
      </c>
      <c r="C346" s="256" t="inlineStr">
        <is>
          <t>GG1024_01</t>
        </is>
      </c>
      <c r="D346" s="256" t="inlineStr">
        <is>
          <t>P050092</t>
        </is>
      </c>
      <c r="E346" s="256" t="inlineStr">
        <is>
          <t>Gorilla Glue</t>
        </is>
      </c>
      <c r="F346" s="256" t="inlineStr">
        <is>
          <t>06.06.2026</t>
        </is>
      </c>
      <c r="G346" s="256" t="inlineStr">
        <is>
          <t>12</t>
        </is>
      </c>
      <c r="H346" s="256" t="inlineStr">
        <is>
          <t>Pesticide Residues</t>
        </is>
      </c>
      <c r="I346" s="256" t="inlineStr">
        <is>
          <t>Ph. Eur. 2.8.13 (LC-MS/MS) · CUMCS Equivalency</t>
        </is>
      </c>
      <c r="J346" s="256" t="inlineStr">
        <is>
          <t>≤ LOQ as per Ph. Eur. 2.8.13 · ≤ LOQ as per CUMCS Equivalency</t>
        </is>
      </c>
      <c r="K346" s="256" t="inlineStr">
        <is>
          <t>ND</t>
        </is>
      </c>
      <c r="L346" s="256" t="inlineStr">
        <is>
          <t>1766/2025</t>
        </is>
      </c>
      <c r="M346" s="256" t="inlineStr">
        <is>
          <t>11.04.2025</t>
        </is>
      </c>
      <c r="N346" s="256" t="inlineStr">
        <is>
          <t>IPH — Institute of Public Health</t>
        </is>
      </c>
      <c r="O346" s="256" t="inlineStr">
        <is>
          <t>08.04.2025</t>
        </is>
      </c>
      <c r="P346" s="256" t="inlineStr">
        <is>
          <t>covered</t>
        </is>
      </c>
      <c r="Q346" s="256" t="inlineStr"/>
      <c r="R346" s="256" t="inlineStr"/>
    </row>
    <row r="347">
      <c r="A347" s="256" t="inlineStr">
        <is>
          <t>CoQ-PP_26-016</t>
        </is>
      </c>
      <c r="B347" s="256" t="inlineStr">
        <is>
          <t>release</t>
        </is>
      </c>
      <c r="C347" s="256" t="inlineStr">
        <is>
          <t>GP0824_01</t>
        </is>
      </c>
      <c r="D347" s="256" t="inlineStr">
        <is>
          <t>P050102</t>
        </is>
      </c>
      <c r="E347" s="256" t="inlineStr">
        <is>
          <t>Grape Pie</t>
        </is>
      </c>
      <c r="F347" s="256" t="inlineStr">
        <is>
          <t>06.06.2026</t>
        </is>
      </c>
      <c r="G347" s="256" t="inlineStr">
        <is>
          <t>1</t>
        </is>
      </c>
      <c r="H347" s="256" t="inlineStr">
        <is>
          <t>Identification A, Appearance · Macroscopic</t>
        </is>
      </c>
      <c r="I347" s="256" t="inlineStr">
        <is>
          <t>Ph. Eur. mon. 3028</t>
        </is>
      </c>
      <c r="J347" s="256" t="inlineStr">
        <is>
          <t>Conforms to the monograph for Cannabis flos (07/2024:3028) in Ph. Eur. 11.0 | Согласно монографија за Cannabis flos (07/2024:3028) во Ph. Eur. 11.0</t>
        </is>
      </c>
      <c r="K347" s="256" t="inlineStr">
        <is>
          <t>Conforms | Одговара</t>
        </is>
      </c>
      <c r="L347" s="256" t="inlineStr">
        <is>
          <t>iCoA-PP_26-016</t>
        </is>
      </c>
      <c r="M347" s="256" t="inlineStr">
        <is>
          <t>03.06.2026</t>
        </is>
      </c>
      <c r="N347" s="256" t="inlineStr">
        <is>
          <t>Purely Plant GmbH (in-house)</t>
        </is>
      </c>
      <c r="O347" s="256" t="inlineStr">
        <is>
          <t>—</t>
        </is>
      </c>
      <c r="P347" s="256" t="inlineStr">
        <is>
          <t>to be performed — see route</t>
        </is>
      </c>
      <c r="Q347" s="256" t="inlineStr">
        <is>
          <t>Purely Plant laboratory — iCoA covering Ident A + B</t>
        </is>
      </c>
      <c r="R347" s="256" t="inlineStr"/>
    </row>
    <row r="348">
      <c r="A348" s="256" t="inlineStr">
        <is>
          <t>CoQ-PP_26-016</t>
        </is>
      </c>
      <c r="B348" s="256" t="inlineStr">
        <is>
          <t>release</t>
        </is>
      </c>
      <c r="C348" s="256" t="inlineStr">
        <is>
          <t>GP0824_01</t>
        </is>
      </c>
      <c r="D348" s="256" t="inlineStr">
        <is>
          <t>P050102</t>
        </is>
      </c>
      <c r="E348" s="256" t="inlineStr">
        <is>
          <t>Grape Pie</t>
        </is>
      </c>
      <c r="F348" s="256" t="inlineStr">
        <is>
          <t>06.06.2026</t>
        </is>
      </c>
      <c r="G348" s="256" t="inlineStr">
        <is>
          <t>2</t>
        </is>
      </c>
      <c r="H348" s="256" t="inlineStr">
        <is>
          <t>Identification B · Microscopic</t>
        </is>
      </c>
      <c r="I348" s="256" t="inlineStr">
        <is>
          <t>Ph. Eur. 2.8.23 (microscopy)</t>
        </is>
      </c>
      <c r="J348" s="256" t="inlineStr">
        <is>
          <t>Conforms to the monograph for Cannabis flos (07/2024:3028) in Ph. Eur. 11.0 | Согласно монографија за Cannabis flos (07/2024:3028) во Ph. Eur. 11.0</t>
        </is>
      </c>
      <c r="K348" s="256" t="inlineStr">
        <is>
          <t>Conforms | Одговара</t>
        </is>
      </c>
      <c r="L348" s="256" t="inlineStr">
        <is>
          <t>iCoA-PP_26-016</t>
        </is>
      </c>
      <c r="M348" s="256" t="inlineStr">
        <is>
          <t>03.06.2026</t>
        </is>
      </c>
      <c r="N348" s="256" t="inlineStr">
        <is>
          <t>Purely Plant GmbH (in-house)</t>
        </is>
      </c>
      <c r="O348" s="256" t="inlineStr">
        <is>
          <t>—</t>
        </is>
      </c>
      <c r="P348" s="256" t="inlineStr">
        <is>
          <t>to be performed — see route</t>
        </is>
      </c>
      <c r="Q348" s="256" t="inlineStr">
        <is>
          <t>Purely Plant laboratory — iCoA covering Ident A + B</t>
        </is>
      </c>
      <c r="R348" s="256" t="inlineStr"/>
    </row>
    <row r="349">
      <c r="A349" s="256" t="inlineStr">
        <is>
          <t>CoQ-PP_26-016</t>
        </is>
      </c>
      <c r="B349" s="256" t="inlineStr">
        <is>
          <t>release</t>
        </is>
      </c>
      <c r="C349" s="256" t="inlineStr">
        <is>
          <t>GP0824_01</t>
        </is>
      </c>
      <c r="D349" s="256" t="inlineStr">
        <is>
          <t>P050102</t>
        </is>
      </c>
      <c r="E349" s="256" t="inlineStr">
        <is>
          <t>Grape Pie</t>
        </is>
      </c>
      <c r="F349" s="256" t="inlineStr">
        <is>
          <t>06.06.2026</t>
        </is>
      </c>
      <c r="G349" s="256" t="inlineStr">
        <is>
          <t>3</t>
        </is>
      </c>
      <c r="H349" s="256" t="inlineStr">
        <is>
          <t>Identification C · HPLC/HPTLC</t>
        </is>
      </c>
      <c r="I349" s="256" t="inlineStr">
        <is>
          <t>HPLC — DAB 2018 monograph Cannabis flos, 2.2.29 (CNP, before its Ph. Eur. 3028 accreditation)</t>
        </is>
      </c>
      <c r="J349" s="256" t="inlineStr">
        <is>
          <t>Conforms to the monograph for Cannabis flos (07/2024:3028) in Ph. Eur. 11.0 | Согласно монографија за Cannabis flos (07/2024:3028) во Ph. Eur. 11.0</t>
        </is>
      </c>
      <c r="K349" s="256" t="inlineStr">
        <is>
          <t>Conforms | Одговара</t>
        </is>
      </c>
      <c r="L349" s="256" t="inlineStr">
        <is>
          <t>ППК25105</t>
        </is>
      </c>
      <c r="M349" s="256" t="inlineStr">
        <is>
          <t>17.04.2025</t>
        </is>
      </c>
      <c r="N349" s="256" t="inlineStr">
        <is>
          <t>UKIM Faculty of Pharmacy — Center for Natural Products</t>
        </is>
      </c>
      <c r="O349" s="256" t="inlineStr">
        <is>
          <t>08.04.2025</t>
        </is>
      </c>
      <c r="P349" s="256" t="inlineStr">
        <is>
          <t>covered</t>
        </is>
      </c>
      <c r="Q349" s="256" t="inlineStr"/>
      <c r="R349" s="256" t="inlineStr"/>
    </row>
    <row r="350">
      <c r="A350" s="256" t="inlineStr">
        <is>
          <t>CoQ-PP_26-016</t>
        </is>
      </c>
      <c r="B350" s="256" t="inlineStr">
        <is>
          <t>release</t>
        </is>
      </c>
      <c r="C350" s="256" t="inlineStr">
        <is>
          <t>GP0824_01</t>
        </is>
      </c>
      <c r="D350" s="256" t="inlineStr">
        <is>
          <t>P050102</t>
        </is>
      </c>
      <c r="E350" s="256" t="inlineStr">
        <is>
          <t>Grape Pie</t>
        </is>
      </c>
      <c r="F350" s="256" t="inlineStr">
        <is>
          <t>06.06.2026</t>
        </is>
      </c>
      <c r="G350" s="256" t="inlineStr">
        <is>
          <t>4</t>
        </is>
      </c>
      <c r="H350" s="256" t="inlineStr">
        <is>
          <t>Assay — Total Δ⁹-THC</t>
        </is>
      </c>
      <c r="I350" s="256" t="inlineStr">
        <is>
          <t>HPLC — DAB 2018 monograph Cannabis flos, 2.2.29 (CNP, before its Ph. Eur. 3028 accreditation)</t>
        </is>
      </c>
      <c r="J350" s="256" t="inlineStr">
        <is>
          <t>18.00 – 21.99 %  (grade III, nominal 20.00 ± 2.00)</t>
        </is>
      </c>
      <c r="K350" s="256" t="inlineStr">
        <is>
          <t>20.79</t>
        </is>
      </c>
      <c r="L350" s="256" t="inlineStr">
        <is>
          <t>ППК25105</t>
        </is>
      </c>
      <c r="M350" s="256" t="inlineStr">
        <is>
          <t>17.04.2025</t>
        </is>
      </c>
      <c r="N350" s="256" t="inlineStr">
        <is>
          <t>UKIM Faculty of Pharmacy — Center for Natural Products</t>
        </is>
      </c>
      <c r="O350" s="256" t="inlineStr">
        <is>
          <t>08.04.2025</t>
        </is>
      </c>
      <c r="P350" s="256" t="inlineStr">
        <is>
          <t>covered</t>
        </is>
      </c>
      <c r="Q350" s="256" t="inlineStr"/>
      <c r="R350" s="256" t="inlineStr">
        <is>
          <t>28.68 (227-2-К/26)</t>
        </is>
      </c>
    </row>
    <row r="351">
      <c r="A351" s="256" t="inlineStr">
        <is>
          <t>CoQ-PP_26-016</t>
        </is>
      </c>
      <c r="B351" s="256" t="inlineStr">
        <is>
          <t>release</t>
        </is>
      </c>
      <c r="C351" s="256" t="inlineStr">
        <is>
          <t>GP0824_01</t>
        </is>
      </c>
      <c r="D351" s="256" t="inlineStr">
        <is>
          <t>P050102</t>
        </is>
      </c>
      <c r="E351" s="256" t="inlineStr">
        <is>
          <t>Grape Pie</t>
        </is>
      </c>
      <c r="F351" s="256" t="inlineStr">
        <is>
          <t>06.06.2026</t>
        </is>
      </c>
      <c r="G351" s="256" t="inlineStr">
        <is>
          <t>5</t>
        </is>
      </c>
      <c r="H351" s="256" t="inlineStr">
        <is>
          <t>Assay — Total CBD</t>
        </is>
      </c>
      <c r="I351" s="256" t="inlineStr">
        <is>
          <t>HPLC — DAB 2018 monograph Cannabis flos, 2.2.29 · CBD + CBDA x 0.877 (CNP, before its Ph. Eur. 3028 accreditation)</t>
        </is>
      </c>
      <c r="J351" s="256" t="inlineStr">
        <is>
          <t>≤ 1.0%, w/w</t>
        </is>
      </c>
      <c r="K351" s="256" t="inlineStr">
        <is>
          <t>0.06</t>
        </is>
      </c>
      <c r="L351" s="256" t="inlineStr">
        <is>
          <t>ППК25105</t>
        </is>
      </c>
      <c r="M351" s="256" t="inlineStr">
        <is>
          <t>17.04.2025</t>
        </is>
      </c>
      <c r="N351" s="256" t="inlineStr">
        <is>
          <t>UKIM Faculty of Pharmacy — Center for Natural Products</t>
        </is>
      </c>
      <c r="O351" s="256" t="inlineStr">
        <is>
          <t>08.04.2025</t>
        </is>
      </c>
      <c r="P351" s="256" t="inlineStr">
        <is>
          <t>covered</t>
        </is>
      </c>
      <c r="Q351" s="256" t="inlineStr"/>
      <c r="R351" s="256" t="inlineStr">
        <is>
          <t>&lt;LOQ (227-2-К/26)</t>
        </is>
      </c>
    </row>
    <row r="352">
      <c r="A352" s="256" t="inlineStr">
        <is>
          <t>CoQ-PP_26-016</t>
        </is>
      </c>
      <c r="B352" s="256" t="inlineStr">
        <is>
          <t>release</t>
        </is>
      </c>
      <c r="C352" s="256" t="inlineStr">
        <is>
          <t>GP0824_01</t>
        </is>
      </c>
      <c r="D352" s="256" t="inlineStr">
        <is>
          <t>P050102</t>
        </is>
      </c>
      <c r="E352" s="256" t="inlineStr">
        <is>
          <t>Grape Pie</t>
        </is>
      </c>
      <c r="F352" s="256" t="inlineStr">
        <is>
          <t>06.06.2026</t>
        </is>
      </c>
      <c r="G352" s="256" t="inlineStr">
        <is>
          <t>6</t>
        </is>
      </c>
      <c r="H352" s="256" t="inlineStr">
        <is>
          <t>Total CBN</t>
        </is>
      </c>
      <c r="I352" s="256" t="inlineStr">
        <is>
          <t>Ph. Eur. 2.2.29 (HPLC) · CBN + CBNA x 0.876</t>
        </is>
      </c>
      <c r="J352" s="256" t="inlineStr">
        <is>
          <t>≤ 1.0%, w/w</t>
        </is>
      </c>
      <c r="K352" s="259" t="inlineStr">
        <is>
          <t>not tested</t>
        </is>
      </c>
      <c r="L352" s="256" t="inlineStr">
        <is>
          <t>—</t>
        </is>
      </c>
      <c r="M352" s="256" t="inlineStr">
        <is>
          <t>—</t>
        </is>
      </c>
      <c r="N352" s="256" t="inlineStr">
        <is>
          <t>—</t>
        </is>
      </c>
      <c r="O352" s="256" t="inlineStr">
        <is>
          <t>—</t>
        </is>
      </c>
      <c r="P352" s="256" t="inlineStr">
        <is>
          <t>not tested — no certificate covers it</t>
        </is>
      </c>
      <c r="Q352" s="256" t="inlineStr"/>
      <c r="R352" s="256" t="inlineStr">
        <is>
          <t>0.25 (227-2-К/26)</t>
        </is>
      </c>
    </row>
    <row r="353">
      <c r="A353" s="256" t="inlineStr">
        <is>
          <t>CoQ-PP_26-016</t>
        </is>
      </c>
      <c r="B353" s="256" t="inlineStr">
        <is>
          <t>release</t>
        </is>
      </c>
      <c r="C353" s="256" t="inlineStr">
        <is>
          <t>GP0824_01</t>
        </is>
      </c>
      <c r="D353" s="256" t="inlineStr">
        <is>
          <t>P050102</t>
        </is>
      </c>
      <c r="E353" s="256" t="inlineStr">
        <is>
          <t>Grape Pie</t>
        </is>
      </c>
      <c r="F353" s="256" t="inlineStr">
        <is>
          <t>06.06.2026</t>
        </is>
      </c>
      <c r="G353" s="256" t="inlineStr">
        <is>
          <t>7</t>
        </is>
      </c>
      <c r="H353" s="256" t="inlineStr">
        <is>
          <t>Foreign Matter</t>
        </is>
      </c>
      <c r="I353" s="256" t="inlineStr">
        <is>
          <t>Ph. Eur. 2.8.2 · In-house · интерна</t>
        </is>
      </c>
      <c r="J353" s="256" t="inlineStr">
        <is>
          <t>≤ 2.0% / 25–50 g · &lt; 1 cm leaves | листови, no seeds | без семки</t>
        </is>
      </c>
      <c r="K353" s="256" t="inlineStr">
        <is>
          <t>Conforms | Одговара</t>
        </is>
      </c>
      <c r="L353" s="256" t="inlineStr">
        <is>
          <t>iCoA-PP_26-016</t>
        </is>
      </c>
      <c r="M353" s="256" t="inlineStr">
        <is>
          <t>03.06.2026</t>
        </is>
      </c>
      <c r="N353" s="256" t="inlineStr">
        <is>
          <t>Purely Plant GmbH (in-house)</t>
        </is>
      </c>
      <c r="O353" s="256" t="inlineStr">
        <is>
          <t>—</t>
        </is>
      </c>
      <c r="P353" s="256" t="inlineStr">
        <is>
          <t>to be performed — see route</t>
        </is>
      </c>
      <c r="Q353" s="256" t="inlineStr">
        <is>
          <t>Purely Plant laboratory — iCoA covering Foreign matter</t>
        </is>
      </c>
      <c r="R353" s="256" t="inlineStr"/>
    </row>
    <row r="354">
      <c r="A354" s="256" t="inlineStr">
        <is>
          <t>CoQ-PP_26-016</t>
        </is>
      </c>
      <c r="B354" s="256" t="inlineStr">
        <is>
          <t>release</t>
        </is>
      </c>
      <c r="C354" s="256" t="inlineStr">
        <is>
          <t>GP0824_01</t>
        </is>
      </c>
      <c r="D354" s="256" t="inlineStr">
        <is>
          <t>P050102</t>
        </is>
      </c>
      <c r="E354" s="256" t="inlineStr">
        <is>
          <t>Grape Pie</t>
        </is>
      </c>
      <c r="F354" s="256" t="inlineStr">
        <is>
          <t>06.06.2026</t>
        </is>
      </c>
      <c r="G354" s="256" t="inlineStr">
        <is>
          <t>8</t>
        </is>
      </c>
      <c r="H354" s="256" t="inlineStr">
        <is>
          <t>Loss on Drying</t>
        </is>
      </c>
      <c r="I354" s="256" t="inlineStr">
        <is>
          <t>DAB 2018 monograph Cannabis flos, 2.2.32 — loss on drying (CNP, before its Ph. Eur. 3028 accreditation)</t>
        </is>
      </c>
      <c r="J354" s="256" t="inlineStr">
        <is>
          <t>≤ 12.0%</t>
        </is>
      </c>
      <c r="K354" s="256" t="inlineStr">
        <is>
          <t>6.73</t>
        </is>
      </c>
      <c r="L354" s="256" t="inlineStr">
        <is>
          <t>ППК25105</t>
        </is>
      </c>
      <c r="M354" s="256" t="inlineStr">
        <is>
          <t>17.04.2025</t>
        </is>
      </c>
      <c r="N354" s="256" t="inlineStr">
        <is>
          <t>UKIM Faculty of Pharmacy — Center for Natural Products</t>
        </is>
      </c>
      <c r="O354" s="256" t="inlineStr">
        <is>
          <t>08.04.2025</t>
        </is>
      </c>
      <c r="P354" s="256" t="inlineStr">
        <is>
          <t>covered</t>
        </is>
      </c>
      <c r="Q354" s="256" t="inlineStr"/>
      <c r="R354" s="256" t="inlineStr"/>
    </row>
    <row r="355">
      <c r="A355" s="256" t="inlineStr">
        <is>
          <t>CoQ-PP_26-016</t>
        </is>
      </c>
      <c r="B355" s="256" t="inlineStr">
        <is>
          <t>release</t>
        </is>
      </c>
      <c r="C355" s="256" t="inlineStr">
        <is>
          <t>GP0824_01</t>
        </is>
      </c>
      <c r="D355" s="256" t="inlineStr">
        <is>
          <t>P050102</t>
        </is>
      </c>
      <c r="E355" s="256" t="inlineStr">
        <is>
          <t>Grape Pie</t>
        </is>
      </c>
      <c r="F355" s="256" t="inlineStr">
        <is>
          <t>06.06.2026</t>
        </is>
      </c>
      <c r="G355" s="256" t="inlineStr">
        <is>
          <t>9.1</t>
        </is>
      </c>
      <c r="H355" s="256" t="inlineStr">
        <is>
          <t>TAMC</t>
        </is>
      </c>
      <c r="I355" s="256" t="inlineStr">
        <is>
          <t>Ph. Eur. 2.6.12 cat. C</t>
        </is>
      </c>
      <c r="J355" s="256" t="inlineStr">
        <is>
          <t>≤ 10⁵ CFU/g</t>
        </is>
      </c>
      <c r="K355" s="256" t="inlineStr">
        <is>
          <t>4.2 × 10³</t>
        </is>
      </c>
      <c r="L355" s="256" t="inlineStr">
        <is>
          <t>318/0585/25</t>
        </is>
      </c>
      <c r="M355" s="256" t="inlineStr">
        <is>
          <t>14.04.2025</t>
        </is>
      </c>
      <c r="N355" s="256" t="inlineStr">
        <is>
          <t>IPH — Institute of Public Health</t>
        </is>
      </c>
      <c r="O355" s="256" t="inlineStr">
        <is>
          <t>08.04.2025</t>
        </is>
      </c>
      <c r="P355" s="256" t="inlineStr">
        <is>
          <t>covered</t>
        </is>
      </c>
      <c r="Q355" s="256" t="inlineStr"/>
      <c r="R355" s="256" t="inlineStr"/>
    </row>
    <row r="356">
      <c r="A356" s="256" t="inlineStr">
        <is>
          <t>CoQ-PP_26-016</t>
        </is>
      </c>
      <c r="B356" s="256" t="inlineStr">
        <is>
          <t>release</t>
        </is>
      </c>
      <c r="C356" s="256" t="inlineStr">
        <is>
          <t>GP0824_01</t>
        </is>
      </c>
      <c r="D356" s="256" t="inlineStr">
        <is>
          <t>P050102</t>
        </is>
      </c>
      <c r="E356" s="256" t="inlineStr">
        <is>
          <t>Grape Pie</t>
        </is>
      </c>
      <c r="F356" s="256" t="inlineStr">
        <is>
          <t>06.06.2026</t>
        </is>
      </c>
      <c r="G356" s="256" t="inlineStr">
        <is>
          <t>9.2</t>
        </is>
      </c>
      <c r="H356" s="256" t="inlineStr">
        <is>
          <t>TYMC</t>
        </is>
      </c>
      <c r="I356" s="256" t="inlineStr">
        <is>
          <t>Ph. Eur. 2.6.12 cat. C</t>
        </is>
      </c>
      <c r="J356" s="256" t="inlineStr">
        <is>
          <t>≤ 10⁴ CFU/g</t>
        </is>
      </c>
      <c r="K356" s="256" t="inlineStr">
        <is>
          <t>6 × 10³</t>
        </is>
      </c>
      <c r="L356" s="256" t="inlineStr">
        <is>
          <t>318/0585/25</t>
        </is>
      </c>
      <c r="M356" s="256" t="inlineStr">
        <is>
          <t>14.04.2025</t>
        </is>
      </c>
      <c r="N356" s="256" t="inlineStr">
        <is>
          <t>IPH — Institute of Public Health</t>
        </is>
      </c>
      <c r="O356" s="256" t="inlineStr">
        <is>
          <t>08.04.2025</t>
        </is>
      </c>
      <c r="P356" s="256" t="inlineStr">
        <is>
          <t>covered</t>
        </is>
      </c>
      <c r="Q356" s="256" t="inlineStr"/>
      <c r="R356" s="256" t="inlineStr"/>
    </row>
    <row r="357">
      <c r="A357" s="256" t="inlineStr">
        <is>
          <t>CoQ-PP_26-016</t>
        </is>
      </c>
      <c r="B357" s="256" t="inlineStr">
        <is>
          <t>release</t>
        </is>
      </c>
      <c r="C357" s="256" t="inlineStr">
        <is>
          <t>GP0824_01</t>
        </is>
      </c>
      <c r="D357" s="256" t="inlineStr">
        <is>
          <t>P050102</t>
        </is>
      </c>
      <c r="E357" s="256" t="inlineStr">
        <is>
          <t>Grape Pie</t>
        </is>
      </c>
      <c r="F357" s="256" t="inlineStr">
        <is>
          <t>06.06.2026</t>
        </is>
      </c>
      <c r="G357" s="256" t="inlineStr">
        <is>
          <t>9.3</t>
        </is>
      </c>
      <c r="H357" s="256" t="inlineStr">
        <is>
          <t>Bile-tolerant gram-neg.</t>
        </is>
      </c>
      <c r="I357" s="256" t="inlineStr">
        <is>
          <t>Ph. Eur. 2.6.31 cat. C</t>
        </is>
      </c>
      <c r="J357" s="256" t="inlineStr">
        <is>
          <t>≤ 10⁴ CFU/g</t>
        </is>
      </c>
      <c r="K357" s="256" t="inlineStr">
        <is>
          <t>&lt; 10</t>
        </is>
      </c>
      <c r="L357" s="256" t="inlineStr">
        <is>
          <t>318/0585/25</t>
        </is>
      </c>
      <c r="M357" s="256" t="inlineStr">
        <is>
          <t>14.04.2025</t>
        </is>
      </c>
      <c r="N357" s="256" t="inlineStr">
        <is>
          <t>IPH — Institute of Public Health</t>
        </is>
      </c>
      <c r="O357" s="256" t="inlineStr">
        <is>
          <t>08.04.2025</t>
        </is>
      </c>
      <c r="P357" s="256" t="inlineStr">
        <is>
          <t>covered</t>
        </is>
      </c>
      <c r="Q357" s="256" t="inlineStr"/>
      <c r="R357" s="256" t="inlineStr"/>
    </row>
    <row r="358">
      <c r="A358" s="256" t="inlineStr">
        <is>
          <t>CoQ-PP_26-016</t>
        </is>
      </c>
      <c r="B358" s="256" t="inlineStr">
        <is>
          <t>release</t>
        </is>
      </c>
      <c r="C358" s="256" t="inlineStr">
        <is>
          <t>GP0824_01</t>
        </is>
      </c>
      <c r="D358" s="256" t="inlineStr">
        <is>
          <t>P050102</t>
        </is>
      </c>
      <c r="E358" s="256" t="inlineStr">
        <is>
          <t>Grape Pie</t>
        </is>
      </c>
      <c r="F358" s="256" t="inlineStr">
        <is>
          <t>06.06.2026</t>
        </is>
      </c>
      <c r="G358" s="256" t="inlineStr">
        <is>
          <t>9.4</t>
        </is>
      </c>
      <c r="H358" s="256" t="inlineStr">
        <is>
          <t>Salmonella</t>
        </is>
      </c>
      <c r="I358" s="256" t="inlineStr">
        <is>
          <t>Ph. Eur. 2.6.31 cat. C</t>
        </is>
      </c>
      <c r="J358" s="256" t="inlineStr">
        <is>
          <t>Absence | Отсуство / 25 g</t>
        </is>
      </c>
      <c r="K358" s="256" t="inlineStr">
        <is>
          <t>Absent | Отсутна</t>
        </is>
      </c>
      <c r="L358" s="256" t="inlineStr">
        <is>
          <t>318/0585/25</t>
        </is>
      </c>
      <c r="M358" s="256" t="inlineStr">
        <is>
          <t>14.04.2025</t>
        </is>
      </c>
      <c r="N358" s="256" t="inlineStr">
        <is>
          <t>IPH — Institute of Public Health</t>
        </is>
      </c>
      <c r="O358" s="256" t="inlineStr">
        <is>
          <t>08.04.2025</t>
        </is>
      </c>
      <c r="P358" s="256" t="inlineStr">
        <is>
          <t>covered</t>
        </is>
      </c>
      <c r="Q358" s="256" t="inlineStr"/>
      <c r="R358" s="256" t="inlineStr"/>
    </row>
    <row r="359">
      <c r="A359" s="256" t="inlineStr">
        <is>
          <t>CoQ-PP_26-016</t>
        </is>
      </c>
      <c r="B359" s="256" t="inlineStr">
        <is>
          <t>release</t>
        </is>
      </c>
      <c r="C359" s="256" t="inlineStr">
        <is>
          <t>GP0824_01</t>
        </is>
      </c>
      <c r="D359" s="256" t="inlineStr">
        <is>
          <t>P050102</t>
        </is>
      </c>
      <c r="E359" s="256" t="inlineStr">
        <is>
          <t>Grape Pie</t>
        </is>
      </c>
      <c r="F359" s="256" t="inlineStr">
        <is>
          <t>06.06.2026</t>
        </is>
      </c>
      <c r="G359" s="256" t="inlineStr">
        <is>
          <t>9.5</t>
        </is>
      </c>
      <c r="H359" s="256" t="inlineStr">
        <is>
          <t>Escherichia coli</t>
        </is>
      </c>
      <c r="I359" s="256" t="inlineStr">
        <is>
          <t>Ph. Eur. 2.6.13 cat. C</t>
        </is>
      </c>
      <c r="J359" s="256" t="inlineStr">
        <is>
          <t>Absence | Отсуство / 1 g</t>
        </is>
      </c>
      <c r="K359" s="256" t="inlineStr">
        <is>
          <t>Absent | Отсутна</t>
        </is>
      </c>
      <c r="L359" s="256" t="inlineStr">
        <is>
          <t>318/0585/25</t>
        </is>
      </c>
      <c r="M359" s="256" t="inlineStr">
        <is>
          <t>14.04.2025</t>
        </is>
      </c>
      <c r="N359" s="256" t="inlineStr">
        <is>
          <t>IPH — Institute of Public Health</t>
        </is>
      </c>
      <c r="O359" s="256" t="inlineStr">
        <is>
          <t>08.04.2025</t>
        </is>
      </c>
      <c r="P359" s="256" t="inlineStr">
        <is>
          <t>covered</t>
        </is>
      </c>
      <c r="Q359" s="256" t="inlineStr"/>
      <c r="R359" s="256" t="inlineStr"/>
    </row>
    <row r="360">
      <c r="A360" s="256" t="inlineStr">
        <is>
          <t>CoQ-PP_26-016</t>
        </is>
      </c>
      <c r="B360" s="256" t="inlineStr">
        <is>
          <t>release</t>
        </is>
      </c>
      <c r="C360" s="256" t="inlineStr">
        <is>
          <t>GP0824_01</t>
        </is>
      </c>
      <c r="D360" s="256" t="inlineStr">
        <is>
          <t>P050102</t>
        </is>
      </c>
      <c r="E360" s="256" t="inlineStr">
        <is>
          <t>Grape Pie</t>
        </is>
      </c>
      <c r="F360" s="256" t="inlineStr">
        <is>
          <t>06.06.2026</t>
        </is>
      </c>
      <c r="G360" s="256" t="inlineStr">
        <is>
          <t>9.6</t>
        </is>
      </c>
      <c r="H360" s="256" t="inlineStr">
        <is>
          <t>Pseudomonas aeruginosa</t>
        </is>
      </c>
      <c r="I360" s="256" t="inlineStr">
        <is>
          <t>Ph. Eur. 2.6.13 cat. C</t>
        </is>
      </c>
      <c r="J360" s="256" t="inlineStr">
        <is>
          <t>Absence | Отсуство / 1 g</t>
        </is>
      </c>
      <c r="K360" s="260" t="inlineStr">
        <is>
          <t>upon request — not required for release</t>
        </is>
      </c>
      <c r="L360" s="256" t="inlineStr">
        <is>
          <t>—</t>
        </is>
      </c>
      <c r="M360" s="256" t="inlineStr">
        <is>
          <t>—</t>
        </is>
      </c>
      <c r="N360" s="256" t="inlineStr">
        <is>
          <t>—</t>
        </is>
      </c>
      <c r="O360" s="256" t="inlineStr">
        <is>
          <t>—</t>
        </is>
      </c>
      <c r="P360" s="256" t="inlineStr">
        <is>
          <t>upon request — not required for release</t>
        </is>
      </c>
      <c r="Q360" s="256" t="inlineStr"/>
      <c r="R360" s="256" t="inlineStr"/>
    </row>
    <row r="361">
      <c r="A361" s="256" t="inlineStr">
        <is>
          <t>CoQ-PP_26-016</t>
        </is>
      </c>
      <c r="B361" s="256" t="inlineStr">
        <is>
          <t>release</t>
        </is>
      </c>
      <c r="C361" s="256" t="inlineStr">
        <is>
          <t>GP0824_01</t>
        </is>
      </c>
      <c r="D361" s="256" t="inlineStr">
        <is>
          <t>P050102</t>
        </is>
      </c>
      <c r="E361" s="256" t="inlineStr">
        <is>
          <t>Grape Pie</t>
        </is>
      </c>
      <c r="F361" s="256" t="inlineStr">
        <is>
          <t>06.06.2026</t>
        </is>
      </c>
      <c r="G361" s="256" t="inlineStr">
        <is>
          <t>9.7</t>
        </is>
      </c>
      <c r="H361" s="256" t="inlineStr">
        <is>
          <t>Staphylococcus aureus</t>
        </is>
      </c>
      <c r="I361" s="256" t="inlineStr">
        <is>
          <t>Ph. Eur. 2.6.13 cat. C</t>
        </is>
      </c>
      <c r="J361" s="256" t="inlineStr">
        <is>
          <t>Absence | Отсуство / 1 g</t>
        </is>
      </c>
      <c r="K361" s="260" t="inlineStr">
        <is>
          <t>upon request — not required for release</t>
        </is>
      </c>
      <c r="L361" s="256" t="inlineStr">
        <is>
          <t>—</t>
        </is>
      </c>
      <c r="M361" s="256" t="inlineStr">
        <is>
          <t>—</t>
        </is>
      </c>
      <c r="N361" s="256" t="inlineStr">
        <is>
          <t>—</t>
        </is>
      </c>
      <c r="O361" s="256" t="inlineStr">
        <is>
          <t>—</t>
        </is>
      </c>
      <c r="P361" s="256" t="inlineStr">
        <is>
          <t>upon request — not required for release</t>
        </is>
      </c>
      <c r="Q361" s="256" t="inlineStr"/>
      <c r="R361" s="256" t="inlineStr"/>
    </row>
    <row r="362">
      <c r="A362" s="256" t="inlineStr">
        <is>
          <t>CoQ-PP_26-016</t>
        </is>
      </c>
      <c r="B362" s="256" t="inlineStr">
        <is>
          <t>release</t>
        </is>
      </c>
      <c r="C362" s="256" t="inlineStr">
        <is>
          <t>GP0824_01</t>
        </is>
      </c>
      <c r="D362" s="256" t="inlineStr">
        <is>
          <t>P050102</t>
        </is>
      </c>
      <c r="E362" s="256" t="inlineStr">
        <is>
          <t>Grape Pie</t>
        </is>
      </c>
      <c r="F362" s="256" t="inlineStr">
        <is>
          <t>06.06.2026</t>
        </is>
      </c>
      <c r="G362" s="256" t="inlineStr">
        <is>
          <t>10.1</t>
        </is>
      </c>
      <c r="H362" s="256" t="inlineStr">
        <is>
          <t>Aflatoxin B₁</t>
        </is>
      </c>
      <c r="I362" s="256" t="inlineStr">
        <is>
          <t>Ph. Eur. 2.8.18 (HPLC-FLD)</t>
        </is>
      </c>
      <c r="J362" s="256" t="inlineStr">
        <is>
          <t>≤ 2 µg/kg</t>
        </is>
      </c>
      <c r="K362" s="259" t="inlineStr">
        <is>
          <t>not tested</t>
        </is>
      </c>
      <c r="L362" s="256" t="inlineStr">
        <is>
          <t>—</t>
        </is>
      </c>
      <c r="M362" s="256" t="inlineStr">
        <is>
          <t>—</t>
        </is>
      </c>
      <c r="N362" s="256" t="inlineStr">
        <is>
          <t>—</t>
        </is>
      </c>
      <c r="O362" s="256" t="inlineStr">
        <is>
          <t>—</t>
        </is>
      </c>
      <c r="P362" s="256" t="inlineStr">
        <is>
          <t>not tested — no certificate covers it</t>
        </is>
      </c>
      <c r="Q362" s="256" t="inlineStr"/>
      <c r="R362" s="256" t="inlineStr"/>
    </row>
    <row r="363">
      <c r="A363" s="256" t="inlineStr">
        <is>
          <t>CoQ-PP_26-016</t>
        </is>
      </c>
      <c r="B363" s="256" t="inlineStr">
        <is>
          <t>release</t>
        </is>
      </c>
      <c r="C363" s="256" t="inlineStr">
        <is>
          <t>GP0824_01</t>
        </is>
      </c>
      <c r="D363" s="256" t="inlineStr">
        <is>
          <t>P050102</t>
        </is>
      </c>
      <c r="E363" s="256" t="inlineStr">
        <is>
          <t>Grape Pie</t>
        </is>
      </c>
      <c r="F363" s="256" t="inlineStr">
        <is>
          <t>06.06.2026</t>
        </is>
      </c>
      <c r="G363" s="256" t="inlineStr">
        <is>
          <t>10.2</t>
        </is>
      </c>
      <c r="H363" s="256" t="inlineStr">
        <is>
          <t>Aflatoxins ∑</t>
        </is>
      </c>
      <c r="I363" s="256" t="inlineStr">
        <is>
          <t>Ph. Eur. 2.8.18 (HPLC-FLD)</t>
        </is>
      </c>
      <c r="J363" s="256" t="inlineStr">
        <is>
          <t>≤ 4 µg/kg</t>
        </is>
      </c>
      <c r="K363" s="256" t="inlineStr">
        <is>
          <t>&lt; 2</t>
        </is>
      </c>
      <c r="L363" s="256" t="inlineStr">
        <is>
          <t>1767/2025</t>
        </is>
      </c>
      <c r="M363" s="256" t="inlineStr">
        <is>
          <t>11.04.2025</t>
        </is>
      </c>
      <c r="N363" s="256" t="inlineStr">
        <is>
          <t>IPH — Institute of Public Health</t>
        </is>
      </c>
      <c r="O363" s="256" t="inlineStr">
        <is>
          <t>08.04.2025</t>
        </is>
      </c>
      <c r="P363" s="256" t="inlineStr">
        <is>
          <t>covered</t>
        </is>
      </c>
      <c r="Q363" s="256" t="inlineStr"/>
      <c r="R363" s="256" t="inlineStr"/>
    </row>
    <row r="364">
      <c r="A364" s="256" t="inlineStr">
        <is>
          <t>CoQ-PP_26-016</t>
        </is>
      </c>
      <c r="B364" s="256" t="inlineStr">
        <is>
          <t>release</t>
        </is>
      </c>
      <c r="C364" s="256" t="inlineStr">
        <is>
          <t>GP0824_01</t>
        </is>
      </c>
      <c r="D364" s="256" t="inlineStr">
        <is>
          <t>P050102</t>
        </is>
      </c>
      <c r="E364" s="256" t="inlineStr">
        <is>
          <t>Grape Pie</t>
        </is>
      </c>
      <c r="F364" s="256" t="inlineStr">
        <is>
          <t>06.06.2026</t>
        </is>
      </c>
      <c r="G364" s="256" t="inlineStr">
        <is>
          <t>10.3</t>
        </is>
      </c>
      <c r="H364" s="256" t="inlineStr">
        <is>
          <t>Ochratoxin A</t>
        </is>
      </c>
      <c r="I364" s="256" t="inlineStr">
        <is>
          <t>Ph. Eur. 2.8.22 (HPLC-FLD)</t>
        </is>
      </c>
      <c r="J364" s="256" t="inlineStr">
        <is>
          <t>≤ 20 µg/kg</t>
        </is>
      </c>
      <c r="K364" s="259" t="inlineStr">
        <is>
          <t>not tested</t>
        </is>
      </c>
      <c r="L364" s="256" t="inlineStr">
        <is>
          <t>—</t>
        </is>
      </c>
      <c r="M364" s="256" t="inlineStr">
        <is>
          <t>—</t>
        </is>
      </c>
      <c r="N364" s="256" t="inlineStr">
        <is>
          <t>—</t>
        </is>
      </c>
      <c r="O364" s="256" t="inlineStr">
        <is>
          <t>—</t>
        </is>
      </c>
      <c r="P364" s="256" t="inlineStr">
        <is>
          <t>not tested — no certificate covers it</t>
        </is>
      </c>
      <c r="Q364" s="256" t="inlineStr"/>
      <c r="R364" s="256" t="inlineStr"/>
    </row>
    <row r="365">
      <c r="A365" s="256" t="inlineStr">
        <is>
          <t>CoQ-PP_26-016</t>
        </is>
      </c>
      <c r="B365" s="256" t="inlineStr">
        <is>
          <t>release</t>
        </is>
      </c>
      <c r="C365" s="256" t="inlineStr">
        <is>
          <t>GP0824_01</t>
        </is>
      </c>
      <c r="D365" s="256" t="inlineStr">
        <is>
          <t>P050102</t>
        </is>
      </c>
      <c r="E365" s="256" t="inlineStr">
        <is>
          <t>Grape Pie</t>
        </is>
      </c>
      <c r="F365" s="256" t="inlineStr">
        <is>
          <t>06.06.2026</t>
        </is>
      </c>
      <c r="G365" s="256" t="inlineStr">
        <is>
          <t>11.1</t>
        </is>
      </c>
      <c r="H365" s="256" t="inlineStr">
        <is>
          <t>Lead (Pb)</t>
        </is>
      </c>
      <c r="I365" s="256" t="inlineStr">
        <is>
          <t>Ph. Eur. 2.4.27 (ICP-MS)</t>
        </is>
      </c>
      <c r="J365" s="256" t="inlineStr">
        <is>
          <t>≤ 0.5 mg/kg</t>
        </is>
      </c>
      <c r="K365" s="256" t="inlineStr">
        <is>
          <t>0.026</t>
        </is>
      </c>
      <c r="L365" s="256" t="inlineStr">
        <is>
          <t>1767/2025</t>
        </is>
      </c>
      <c r="M365" s="256" t="inlineStr">
        <is>
          <t>11.04.2025</t>
        </is>
      </c>
      <c r="N365" s="256" t="inlineStr">
        <is>
          <t>IPH — Institute of Public Health</t>
        </is>
      </c>
      <c r="O365" s="256" t="inlineStr">
        <is>
          <t>08.04.2025</t>
        </is>
      </c>
      <c r="P365" s="256" t="inlineStr">
        <is>
          <t>covered</t>
        </is>
      </c>
      <c r="Q365" s="256" t="inlineStr"/>
      <c r="R365" s="256" t="inlineStr"/>
    </row>
    <row r="366">
      <c r="A366" s="256" t="inlineStr">
        <is>
          <t>CoQ-PP_26-016</t>
        </is>
      </c>
      <c r="B366" s="256" t="inlineStr">
        <is>
          <t>release</t>
        </is>
      </c>
      <c r="C366" s="256" t="inlineStr">
        <is>
          <t>GP0824_01</t>
        </is>
      </c>
      <c r="D366" s="256" t="inlineStr">
        <is>
          <t>P050102</t>
        </is>
      </c>
      <c r="E366" s="256" t="inlineStr">
        <is>
          <t>Grape Pie</t>
        </is>
      </c>
      <c r="F366" s="256" t="inlineStr">
        <is>
          <t>06.06.2026</t>
        </is>
      </c>
      <c r="G366" s="256" t="inlineStr">
        <is>
          <t>11.2</t>
        </is>
      </c>
      <c r="H366" s="256" t="inlineStr">
        <is>
          <t>Cadmium (Cd)</t>
        </is>
      </c>
      <c r="I366" s="256" t="inlineStr">
        <is>
          <t>Ph. Eur. 2.4.27 (ICP-MS)</t>
        </is>
      </c>
      <c r="J366" s="256" t="inlineStr">
        <is>
          <t>≤ 0.3 mg/kg</t>
        </is>
      </c>
      <c r="K366" s="256" t="inlineStr">
        <is>
          <t>0.005</t>
        </is>
      </c>
      <c r="L366" s="256" t="inlineStr">
        <is>
          <t>1767/2025</t>
        </is>
      </c>
      <c r="M366" s="256" t="inlineStr">
        <is>
          <t>11.04.2025</t>
        </is>
      </c>
      <c r="N366" s="256" t="inlineStr">
        <is>
          <t>IPH — Institute of Public Health</t>
        </is>
      </c>
      <c r="O366" s="256" t="inlineStr">
        <is>
          <t>08.04.2025</t>
        </is>
      </c>
      <c r="P366" s="256" t="inlineStr">
        <is>
          <t>covered</t>
        </is>
      </c>
      <c r="Q366" s="256" t="inlineStr"/>
      <c r="R366" s="256" t="inlineStr"/>
    </row>
    <row r="367">
      <c r="A367" s="256" t="inlineStr">
        <is>
          <t>CoQ-PP_26-016</t>
        </is>
      </c>
      <c r="B367" s="256" t="inlineStr">
        <is>
          <t>release</t>
        </is>
      </c>
      <c r="C367" s="256" t="inlineStr">
        <is>
          <t>GP0824_01</t>
        </is>
      </c>
      <c r="D367" s="256" t="inlineStr">
        <is>
          <t>P050102</t>
        </is>
      </c>
      <c r="E367" s="256" t="inlineStr">
        <is>
          <t>Grape Pie</t>
        </is>
      </c>
      <c r="F367" s="256" t="inlineStr">
        <is>
          <t>06.06.2026</t>
        </is>
      </c>
      <c r="G367" s="256" t="inlineStr">
        <is>
          <t>11.3</t>
        </is>
      </c>
      <c r="H367" s="256" t="inlineStr">
        <is>
          <t>Arsenic (As)</t>
        </is>
      </c>
      <c r="I367" s="256" t="inlineStr">
        <is>
          <t>Ph. Eur. 2.4.27 (ICP-MS)</t>
        </is>
      </c>
      <c r="J367" s="256" t="inlineStr">
        <is>
          <t>≤ 0.2 mg/kg</t>
        </is>
      </c>
      <c r="K367" s="256" t="inlineStr">
        <is>
          <t>0.015</t>
        </is>
      </c>
      <c r="L367" s="256" t="inlineStr">
        <is>
          <t>1767/2025</t>
        </is>
      </c>
      <c r="M367" s="256" t="inlineStr">
        <is>
          <t>11.04.2025</t>
        </is>
      </c>
      <c r="N367" s="256" t="inlineStr">
        <is>
          <t>IPH — Institute of Public Health</t>
        </is>
      </c>
      <c r="O367" s="256" t="inlineStr">
        <is>
          <t>08.04.2025</t>
        </is>
      </c>
      <c r="P367" s="256" t="inlineStr">
        <is>
          <t>covered</t>
        </is>
      </c>
      <c r="Q367" s="256" t="inlineStr"/>
      <c r="R367" s="256" t="inlineStr"/>
    </row>
    <row r="368">
      <c r="A368" s="256" t="inlineStr">
        <is>
          <t>CoQ-PP_26-016</t>
        </is>
      </c>
      <c r="B368" s="256" t="inlineStr">
        <is>
          <t>release</t>
        </is>
      </c>
      <c r="C368" s="256" t="inlineStr">
        <is>
          <t>GP0824_01</t>
        </is>
      </c>
      <c r="D368" s="256" t="inlineStr">
        <is>
          <t>P050102</t>
        </is>
      </c>
      <c r="E368" s="256" t="inlineStr">
        <is>
          <t>Grape Pie</t>
        </is>
      </c>
      <c r="F368" s="256" t="inlineStr">
        <is>
          <t>06.06.2026</t>
        </is>
      </c>
      <c r="G368" s="256" t="inlineStr">
        <is>
          <t>11.4</t>
        </is>
      </c>
      <c r="H368" s="256" t="inlineStr">
        <is>
          <t>Mercury (Hg)</t>
        </is>
      </c>
      <c r="I368" s="256" t="inlineStr">
        <is>
          <t>Ph. Eur. 2.4.27 (ICP-MS)</t>
        </is>
      </c>
      <c r="J368" s="256" t="inlineStr">
        <is>
          <t>≤ 0.1 mg/kg</t>
        </is>
      </c>
      <c r="K368" s="256" t="inlineStr">
        <is>
          <t>0.005</t>
        </is>
      </c>
      <c r="L368" s="256" t="inlineStr">
        <is>
          <t>1767/2025</t>
        </is>
      </c>
      <c r="M368" s="256" t="inlineStr">
        <is>
          <t>11.04.2025</t>
        </is>
      </c>
      <c r="N368" s="256" t="inlineStr">
        <is>
          <t>IPH — Institute of Public Health</t>
        </is>
      </c>
      <c r="O368" s="256" t="inlineStr">
        <is>
          <t>08.04.2025</t>
        </is>
      </c>
      <c r="P368" s="256" t="inlineStr">
        <is>
          <t>covered</t>
        </is>
      </c>
      <c r="Q368" s="256" t="inlineStr"/>
      <c r="R368" s="256" t="inlineStr"/>
    </row>
    <row r="369">
      <c r="A369" s="256" t="inlineStr">
        <is>
          <t>CoQ-PP_26-016</t>
        </is>
      </c>
      <c r="B369" s="256" t="inlineStr">
        <is>
          <t>release</t>
        </is>
      </c>
      <c r="C369" s="256" t="inlineStr">
        <is>
          <t>GP0824_01</t>
        </is>
      </c>
      <c r="D369" s="256" t="inlineStr">
        <is>
          <t>P050102</t>
        </is>
      </c>
      <c r="E369" s="256" t="inlineStr">
        <is>
          <t>Grape Pie</t>
        </is>
      </c>
      <c r="F369" s="256" t="inlineStr">
        <is>
          <t>06.06.2026</t>
        </is>
      </c>
      <c r="G369" s="256" t="inlineStr">
        <is>
          <t>12</t>
        </is>
      </c>
      <c r="H369" s="256" t="inlineStr">
        <is>
          <t>Pesticide Residues</t>
        </is>
      </c>
      <c r="I369" s="256" t="inlineStr">
        <is>
          <t>Ph. Eur. 2.8.13 (LC-MS/MS) · CUMCS Equivalency</t>
        </is>
      </c>
      <c r="J369" s="256" t="inlineStr">
        <is>
          <t>≤ LOQ as per Ph. Eur. 2.8.13 · ≤ LOQ as per CUMCS Equivalency</t>
        </is>
      </c>
      <c r="K369" s="256" t="inlineStr">
        <is>
          <t>ND</t>
        </is>
      </c>
      <c r="L369" s="256" t="inlineStr">
        <is>
          <t>1767/2025</t>
        </is>
      </c>
      <c r="M369" s="256" t="inlineStr">
        <is>
          <t>11.04.2025</t>
        </is>
      </c>
      <c r="N369" s="256" t="inlineStr">
        <is>
          <t>IPH — Institute of Public Health</t>
        </is>
      </c>
      <c r="O369" s="256" t="inlineStr">
        <is>
          <t>08.04.2025</t>
        </is>
      </c>
      <c r="P369" s="256" t="inlineStr">
        <is>
          <t>covered</t>
        </is>
      </c>
      <c r="Q369" s="256" t="inlineStr"/>
      <c r="R369" s="256" t="inlineStr"/>
    </row>
    <row r="370">
      <c r="A370" s="256" t="inlineStr">
        <is>
          <t>CoQ-PP_26-017</t>
        </is>
      </c>
      <c r="B370" s="256" t="inlineStr">
        <is>
          <t>release</t>
        </is>
      </c>
      <c r="C370" s="256" t="inlineStr">
        <is>
          <t>MB0824_05</t>
        </is>
      </c>
      <c r="D370" s="256" t="inlineStr">
        <is>
          <t>P050112</t>
        </is>
      </c>
      <c r="E370" s="256" t="inlineStr">
        <is>
          <t>Motor Breath</t>
        </is>
      </c>
      <c r="F370" s="256" t="inlineStr">
        <is>
          <t>06.06.2026</t>
        </is>
      </c>
      <c r="G370" s="256" t="inlineStr">
        <is>
          <t>1</t>
        </is>
      </c>
      <c r="H370" s="256" t="inlineStr">
        <is>
          <t>Identification A, Appearance · Macroscopic</t>
        </is>
      </c>
      <c r="I370" s="256" t="inlineStr">
        <is>
          <t>Ph. Eur. mon. 3028</t>
        </is>
      </c>
      <c r="J370" s="256" t="inlineStr">
        <is>
          <t>Conforms to the monograph for Cannabis flos (07/2024:3028) in Ph. Eur. 11.0 | Согласно монографија за Cannabis flos (07/2024:3028) во Ph. Eur. 11.0</t>
        </is>
      </c>
      <c r="K370" s="256" t="inlineStr">
        <is>
          <t>Conforms | Одговара</t>
        </is>
      </c>
      <c r="L370" s="256" t="inlineStr">
        <is>
          <t>iCoA-PP_26-017</t>
        </is>
      </c>
      <c r="M370" s="256" t="inlineStr">
        <is>
          <t>03.06.2026</t>
        </is>
      </c>
      <c r="N370" s="256" t="inlineStr">
        <is>
          <t>Purely Plant GmbH (in-house)</t>
        </is>
      </c>
      <c r="O370" s="256" t="inlineStr">
        <is>
          <t>—</t>
        </is>
      </c>
      <c r="P370" s="256" t="inlineStr">
        <is>
          <t>to be performed — see route</t>
        </is>
      </c>
      <c r="Q370" s="256" t="inlineStr">
        <is>
          <t>Purely Plant laboratory — iCoA covering Ident A + B</t>
        </is>
      </c>
      <c r="R370" s="256" t="inlineStr"/>
    </row>
    <row r="371">
      <c r="A371" s="256" t="inlineStr">
        <is>
          <t>CoQ-PP_26-017</t>
        </is>
      </c>
      <c r="B371" s="256" t="inlineStr">
        <is>
          <t>release</t>
        </is>
      </c>
      <c r="C371" s="256" t="inlineStr">
        <is>
          <t>MB0824_05</t>
        </is>
      </c>
      <c r="D371" s="256" t="inlineStr">
        <is>
          <t>P050112</t>
        </is>
      </c>
      <c r="E371" s="256" t="inlineStr">
        <is>
          <t>Motor Breath</t>
        </is>
      </c>
      <c r="F371" s="256" t="inlineStr">
        <is>
          <t>06.06.2026</t>
        </is>
      </c>
      <c r="G371" s="256" t="inlineStr">
        <is>
          <t>2</t>
        </is>
      </c>
      <c r="H371" s="256" t="inlineStr">
        <is>
          <t>Identification B · Microscopic</t>
        </is>
      </c>
      <c r="I371" s="256" t="inlineStr">
        <is>
          <t>Ph. Eur. 2.8.23 (microscopy)</t>
        </is>
      </c>
      <c r="J371" s="256" t="inlineStr">
        <is>
          <t>Conforms to the monograph for Cannabis flos (07/2024:3028) in Ph. Eur. 11.0 | Согласно монографија за Cannabis flos (07/2024:3028) во Ph. Eur. 11.0</t>
        </is>
      </c>
      <c r="K371" s="256" t="inlineStr">
        <is>
          <t>Conforms | Одговара</t>
        </is>
      </c>
      <c r="L371" s="256" t="inlineStr">
        <is>
          <t>iCoA-PP_26-017</t>
        </is>
      </c>
      <c r="M371" s="256" t="inlineStr">
        <is>
          <t>03.06.2026</t>
        </is>
      </c>
      <c r="N371" s="256" t="inlineStr">
        <is>
          <t>Purely Plant GmbH (in-house)</t>
        </is>
      </c>
      <c r="O371" s="256" t="inlineStr">
        <is>
          <t>—</t>
        </is>
      </c>
      <c r="P371" s="256" t="inlineStr">
        <is>
          <t>to be performed — see route</t>
        </is>
      </c>
      <c r="Q371" s="256" t="inlineStr">
        <is>
          <t>Purely Plant laboratory — iCoA covering Ident A + B</t>
        </is>
      </c>
      <c r="R371" s="256" t="inlineStr"/>
    </row>
    <row r="372">
      <c r="A372" s="256" t="inlineStr">
        <is>
          <t>CoQ-PP_26-017</t>
        </is>
      </c>
      <c r="B372" s="256" t="inlineStr">
        <is>
          <t>release</t>
        </is>
      </c>
      <c r="C372" s="256" t="inlineStr">
        <is>
          <t>MB0824_05</t>
        </is>
      </c>
      <c r="D372" s="256" t="inlineStr">
        <is>
          <t>P050112</t>
        </is>
      </c>
      <c r="E372" s="256" t="inlineStr">
        <is>
          <t>Motor Breath</t>
        </is>
      </c>
      <c r="F372" s="256" t="inlineStr">
        <is>
          <t>06.06.2026</t>
        </is>
      </c>
      <c r="G372" s="256" t="inlineStr">
        <is>
          <t>3</t>
        </is>
      </c>
      <c r="H372" s="256" t="inlineStr">
        <is>
          <t>Identification C · HPLC/HPTLC</t>
        </is>
      </c>
      <c r="I372" s="256" t="inlineStr">
        <is>
          <t>HPLC — DAB 2018 monograph Cannabis flos, 2.2.29 (CNP, before its Ph. Eur. 3028 accreditation)</t>
        </is>
      </c>
      <c r="J372" s="256" t="inlineStr">
        <is>
          <t>Conforms to the monograph for Cannabis flos (07/2024:3028) in Ph. Eur. 11.0 | Согласно монографија за Cannabis flos (07/2024:3028) во Ph. Eur. 11.0</t>
        </is>
      </c>
      <c r="K372" s="256" t="inlineStr">
        <is>
          <t>Conforms | Одговара</t>
        </is>
      </c>
      <c r="L372" s="256" t="inlineStr">
        <is>
          <t>ППК25211</t>
        </is>
      </c>
      <c r="M372" s="256" t="inlineStr">
        <is>
          <t>28.07.2025</t>
        </is>
      </c>
      <c r="N372" s="256" t="inlineStr">
        <is>
          <t>UKIM Faculty of Pharmacy — Center for Natural Products</t>
        </is>
      </c>
      <c r="O372" s="256" t="inlineStr">
        <is>
          <t>21.07.2025</t>
        </is>
      </c>
      <c r="P372" s="256" t="inlineStr">
        <is>
          <t>covered</t>
        </is>
      </c>
      <c r="Q372" s="256" t="inlineStr"/>
      <c r="R372" s="256" t="inlineStr"/>
    </row>
    <row r="373">
      <c r="A373" s="256" t="inlineStr">
        <is>
          <t>CoQ-PP_26-017</t>
        </is>
      </c>
      <c r="B373" s="256" t="inlineStr">
        <is>
          <t>release</t>
        </is>
      </c>
      <c r="C373" s="256" t="inlineStr">
        <is>
          <t>MB0824_05</t>
        </is>
      </c>
      <c r="D373" s="256" t="inlineStr">
        <is>
          <t>P050112</t>
        </is>
      </c>
      <c r="E373" s="256" t="inlineStr">
        <is>
          <t>Motor Breath</t>
        </is>
      </c>
      <c r="F373" s="256" t="inlineStr">
        <is>
          <t>06.06.2026</t>
        </is>
      </c>
      <c r="G373" s="256" t="inlineStr">
        <is>
          <t>4</t>
        </is>
      </c>
      <c r="H373" s="256" t="inlineStr">
        <is>
          <t>Assay — Total Δ⁹-THC</t>
        </is>
      </c>
      <c r="I373" s="256" t="inlineStr">
        <is>
          <t>HPLC — DAB 2018 monograph Cannabis flos, 2.2.29 (CNP, before its Ph. Eur. 3028 accreditation)</t>
        </is>
      </c>
      <c r="J373" s="256" t="inlineStr">
        <is>
          <t>16.20 – 19.79 %  (grade I, nominal 18.00 ± 1.80)</t>
        </is>
      </c>
      <c r="K373" s="256" t="inlineStr">
        <is>
          <t>16.82</t>
        </is>
      </c>
      <c r="L373" s="256" t="inlineStr">
        <is>
          <t>ППК25211</t>
        </is>
      </c>
      <c r="M373" s="256" t="inlineStr">
        <is>
          <t>28.07.2025</t>
        </is>
      </c>
      <c r="N373" s="256" t="inlineStr">
        <is>
          <t>UKIM Faculty of Pharmacy — Center for Natural Products</t>
        </is>
      </c>
      <c r="O373" s="256" t="inlineStr">
        <is>
          <t>21.07.2025</t>
        </is>
      </c>
      <c r="P373" s="256" t="inlineStr">
        <is>
          <t>covered</t>
        </is>
      </c>
      <c r="Q373" s="256" t="inlineStr"/>
      <c r="R373" s="256" t="inlineStr">
        <is>
          <t>17.93 (220-20-К/26)</t>
        </is>
      </c>
    </row>
    <row r="374">
      <c r="A374" s="256" t="inlineStr">
        <is>
          <t>CoQ-PP_26-017</t>
        </is>
      </c>
      <c r="B374" s="256" t="inlineStr">
        <is>
          <t>release</t>
        </is>
      </c>
      <c r="C374" s="256" t="inlineStr">
        <is>
          <t>MB0824_05</t>
        </is>
      </c>
      <c r="D374" s="256" t="inlineStr">
        <is>
          <t>P050112</t>
        </is>
      </c>
      <c r="E374" s="256" t="inlineStr">
        <is>
          <t>Motor Breath</t>
        </is>
      </c>
      <c r="F374" s="256" t="inlineStr">
        <is>
          <t>06.06.2026</t>
        </is>
      </c>
      <c r="G374" s="256" t="inlineStr">
        <is>
          <t>5</t>
        </is>
      </c>
      <c r="H374" s="256" t="inlineStr">
        <is>
          <t>Assay — Total CBD</t>
        </is>
      </c>
      <c r="I374" s="256" t="inlineStr">
        <is>
          <t>HPLC — DAB 2018 monograph Cannabis flos, 2.2.29 · CBD + CBDA x 0.877 (CNP, before its Ph. Eur. 3028 accreditation)</t>
        </is>
      </c>
      <c r="J374" s="256" t="inlineStr">
        <is>
          <t>≤ 1.0%, w/w</t>
        </is>
      </c>
      <c r="K374" s="256" t="inlineStr">
        <is>
          <t>0.06</t>
        </is>
      </c>
      <c r="L374" s="256" t="inlineStr">
        <is>
          <t>ППК25211</t>
        </is>
      </c>
      <c r="M374" s="256" t="inlineStr">
        <is>
          <t>28.07.2025</t>
        </is>
      </c>
      <c r="N374" s="256" t="inlineStr">
        <is>
          <t>UKIM Faculty of Pharmacy — Center for Natural Products</t>
        </is>
      </c>
      <c r="O374" s="256" t="inlineStr">
        <is>
          <t>21.07.2025</t>
        </is>
      </c>
      <c r="P374" s="256" t="inlineStr">
        <is>
          <t>covered</t>
        </is>
      </c>
      <c r="Q374" s="256" t="inlineStr"/>
      <c r="R374" s="256" t="inlineStr">
        <is>
          <t>&lt;LOQ (220-20-К/26)</t>
        </is>
      </c>
    </row>
    <row r="375">
      <c r="A375" s="256" t="inlineStr">
        <is>
          <t>CoQ-PP_26-017</t>
        </is>
      </c>
      <c r="B375" s="256" t="inlineStr">
        <is>
          <t>release</t>
        </is>
      </c>
      <c r="C375" s="256" t="inlineStr">
        <is>
          <t>MB0824_05</t>
        </is>
      </c>
      <c r="D375" s="256" t="inlineStr">
        <is>
          <t>P050112</t>
        </is>
      </c>
      <c r="E375" s="256" t="inlineStr">
        <is>
          <t>Motor Breath</t>
        </is>
      </c>
      <c r="F375" s="256" t="inlineStr">
        <is>
          <t>06.06.2026</t>
        </is>
      </c>
      <c r="G375" s="256" t="inlineStr">
        <is>
          <t>6</t>
        </is>
      </c>
      <c r="H375" s="256" t="inlineStr">
        <is>
          <t>Total CBN</t>
        </is>
      </c>
      <c r="I375" s="256" t="inlineStr">
        <is>
          <t>HPLC — DAB 2018 monograph Cannabis flos, 2.2.29 · CBN + CBNA x 0.876 (CNP, before its Ph. Eur. 3028 accreditation)</t>
        </is>
      </c>
      <c r="J375" s="256" t="inlineStr">
        <is>
          <t>≤ 1.0%, w/w</t>
        </is>
      </c>
      <c r="K375" s="256" t="inlineStr">
        <is>
          <t>0.02 ᴰ</t>
        </is>
      </c>
      <c r="L375" s="256" t="inlineStr">
        <is>
          <t>ППК25211</t>
        </is>
      </c>
      <c r="M375" s="256" t="inlineStr">
        <is>
          <t>28.07.2025</t>
        </is>
      </c>
      <c r="N375" s="256" t="inlineStr">
        <is>
          <t>CNP</t>
        </is>
      </c>
      <c r="O375" s="256" t="inlineStr">
        <is>
          <t>21.07.2025</t>
        </is>
      </c>
      <c r="P375" s="256" t="inlineStr">
        <is>
          <t>covered</t>
        </is>
      </c>
      <c r="Q375" s="256" t="inlineStr"/>
      <c r="R375" s="256" t="inlineStr"/>
    </row>
    <row r="376">
      <c r="A376" s="256" t="inlineStr">
        <is>
          <t>CoQ-PP_26-017</t>
        </is>
      </c>
      <c r="B376" s="256" t="inlineStr">
        <is>
          <t>release</t>
        </is>
      </c>
      <c r="C376" s="256" t="inlineStr">
        <is>
          <t>MB0824_05</t>
        </is>
      </c>
      <c r="D376" s="256" t="inlineStr">
        <is>
          <t>P050112</t>
        </is>
      </c>
      <c r="E376" s="256" t="inlineStr">
        <is>
          <t>Motor Breath</t>
        </is>
      </c>
      <c r="F376" s="256" t="inlineStr">
        <is>
          <t>06.06.2026</t>
        </is>
      </c>
      <c r="G376" s="256" t="inlineStr">
        <is>
          <t>7</t>
        </is>
      </c>
      <c r="H376" s="256" t="inlineStr">
        <is>
          <t>Foreign Matter</t>
        </is>
      </c>
      <c r="I376" s="256" t="inlineStr">
        <is>
          <t>Ph. Eur. 2.8.2 · In-house · интерна</t>
        </is>
      </c>
      <c r="J376" s="256" t="inlineStr">
        <is>
          <t>≤ 2.0% / 25–50 g · &lt; 1 cm leaves | листови, no seeds | без семки</t>
        </is>
      </c>
      <c r="K376" s="256" t="inlineStr">
        <is>
          <t>Conforms | Одговара</t>
        </is>
      </c>
      <c r="L376" s="256" t="inlineStr">
        <is>
          <t>iCoA-PP_26-017</t>
        </is>
      </c>
      <c r="M376" s="256" t="inlineStr">
        <is>
          <t>03.06.2026</t>
        </is>
      </c>
      <c r="N376" s="256" t="inlineStr">
        <is>
          <t>Purely Plant GmbH (in-house)</t>
        </is>
      </c>
      <c r="O376" s="256" t="inlineStr">
        <is>
          <t>—</t>
        </is>
      </c>
      <c r="P376" s="256" t="inlineStr">
        <is>
          <t>to be performed — see route</t>
        </is>
      </c>
      <c r="Q376" s="256" t="inlineStr">
        <is>
          <t>Purely Plant laboratory — iCoA covering Foreign matter</t>
        </is>
      </c>
      <c r="R376" s="256" t="inlineStr"/>
    </row>
    <row r="377">
      <c r="A377" s="256" t="inlineStr">
        <is>
          <t>CoQ-PP_26-017</t>
        </is>
      </c>
      <c r="B377" s="256" t="inlineStr">
        <is>
          <t>release</t>
        </is>
      </c>
      <c r="C377" s="256" t="inlineStr">
        <is>
          <t>MB0824_05</t>
        </is>
      </c>
      <c r="D377" s="256" t="inlineStr">
        <is>
          <t>P050112</t>
        </is>
      </c>
      <c r="E377" s="256" t="inlineStr">
        <is>
          <t>Motor Breath</t>
        </is>
      </c>
      <c r="F377" s="256" t="inlineStr">
        <is>
          <t>06.06.2026</t>
        </is>
      </c>
      <c r="G377" s="256" t="inlineStr">
        <is>
          <t>8</t>
        </is>
      </c>
      <c r="H377" s="256" t="inlineStr">
        <is>
          <t>Loss on Drying</t>
        </is>
      </c>
      <c r="I377" s="256" t="inlineStr">
        <is>
          <t>DAB 2018 monograph Cannabis flos, 2.2.32 — loss on drying (CNP, before its Ph. Eur. 3028 accreditation)</t>
        </is>
      </c>
      <c r="J377" s="256" t="inlineStr">
        <is>
          <t>≤ 12.0%</t>
        </is>
      </c>
      <c r="K377" s="256" t="inlineStr">
        <is>
          <t>6.56</t>
        </is>
      </c>
      <c r="L377" s="256" t="inlineStr">
        <is>
          <t>ППК25211</t>
        </is>
      </c>
      <c r="M377" s="256" t="inlineStr">
        <is>
          <t>28.07.2025</t>
        </is>
      </c>
      <c r="N377" s="256" t="inlineStr">
        <is>
          <t>UKIM Faculty of Pharmacy — Center for Natural Products</t>
        </is>
      </c>
      <c r="O377" s="256" t="inlineStr">
        <is>
          <t>21.07.2025</t>
        </is>
      </c>
      <c r="P377" s="256" t="inlineStr">
        <is>
          <t>covered</t>
        </is>
      </c>
      <c r="Q377" s="256" t="inlineStr"/>
      <c r="R377" s="256" t="inlineStr"/>
    </row>
    <row r="378">
      <c r="A378" s="256" t="inlineStr">
        <is>
          <t>CoQ-PP_26-017</t>
        </is>
      </c>
      <c r="B378" s="256" t="inlineStr">
        <is>
          <t>release</t>
        </is>
      </c>
      <c r="C378" s="256" t="inlineStr">
        <is>
          <t>MB0824_05</t>
        </is>
      </c>
      <c r="D378" s="256" t="inlineStr">
        <is>
          <t>P050112</t>
        </is>
      </c>
      <c r="E378" s="256" t="inlineStr">
        <is>
          <t>Motor Breath</t>
        </is>
      </c>
      <c r="F378" s="256" t="inlineStr">
        <is>
          <t>06.06.2026</t>
        </is>
      </c>
      <c r="G378" s="256" t="inlineStr">
        <is>
          <t>9.1</t>
        </is>
      </c>
      <c r="H378" s="256" t="inlineStr">
        <is>
          <t>TAMC</t>
        </is>
      </c>
      <c r="I378" s="256" t="inlineStr">
        <is>
          <t>Ph. Eur. 2.6.12 cat. C</t>
        </is>
      </c>
      <c r="J378" s="256" t="inlineStr">
        <is>
          <t>≤ 10⁵ CFU/g</t>
        </is>
      </c>
      <c r="K378" s="256" t="inlineStr">
        <is>
          <t>3.5 × 10³</t>
        </is>
      </c>
      <c r="L378" s="256" t="inlineStr">
        <is>
          <t>767/1376/25</t>
        </is>
      </c>
      <c r="M378" s="256" t="inlineStr">
        <is>
          <t>29.07.2025</t>
        </is>
      </c>
      <c r="N378" s="256" t="inlineStr">
        <is>
          <t>IPH — Institute of Public Health</t>
        </is>
      </c>
      <c r="O378" s="256" t="inlineStr">
        <is>
          <t>21.07.2025</t>
        </is>
      </c>
      <c r="P378" s="256" t="inlineStr">
        <is>
          <t>covered</t>
        </is>
      </c>
      <c r="Q378" s="256" t="inlineStr"/>
      <c r="R378" s="256" t="inlineStr"/>
    </row>
    <row r="379">
      <c r="A379" s="256" t="inlineStr">
        <is>
          <t>CoQ-PP_26-017</t>
        </is>
      </c>
      <c r="B379" s="256" t="inlineStr">
        <is>
          <t>release</t>
        </is>
      </c>
      <c r="C379" s="256" t="inlineStr">
        <is>
          <t>MB0824_05</t>
        </is>
      </c>
      <c r="D379" s="256" t="inlineStr">
        <is>
          <t>P050112</t>
        </is>
      </c>
      <c r="E379" s="256" t="inlineStr">
        <is>
          <t>Motor Breath</t>
        </is>
      </c>
      <c r="F379" s="256" t="inlineStr">
        <is>
          <t>06.06.2026</t>
        </is>
      </c>
      <c r="G379" s="256" t="inlineStr">
        <is>
          <t>9.2</t>
        </is>
      </c>
      <c r="H379" s="256" t="inlineStr">
        <is>
          <t>TYMC</t>
        </is>
      </c>
      <c r="I379" s="256" t="inlineStr">
        <is>
          <t>Ph. Eur. 2.6.12 cat. C</t>
        </is>
      </c>
      <c r="J379" s="256" t="inlineStr">
        <is>
          <t>≤ 10⁴ CFU/g</t>
        </is>
      </c>
      <c r="K379" s="256" t="inlineStr">
        <is>
          <t>1 × 10³</t>
        </is>
      </c>
      <c r="L379" s="256" t="inlineStr">
        <is>
          <t>767/1376/25</t>
        </is>
      </c>
      <c r="M379" s="256" t="inlineStr">
        <is>
          <t>29.07.2025</t>
        </is>
      </c>
      <c r="N379" s="256" t="inlineStr">
        <is>
          <t>IPH — Institute of Public Health</t>
        </is>
      </c>
      <c r="O379" s="256" t="inlineStr">
        <is>
          <t>21.07.2025</t>
        </is>
      </c>
      <c r="P379" s="256" t="inlineStr">
        <is>
          <t>covered</t>
        </is>
      </c>
      <c r="Q379" s="256" t="inlineStr"/>
      <c r="R379" s="256" t="inlineStr"/>
    </row>
    <row r="380">
      <c r="A380" s="256" t="inlineStr">
        <is>
          <t>CoQ-PP_26-017</t>
        </is>
      </c>
      <c r="B380" s="256" t="inlineStr">
        <is>
          <t>release</t>
        </is>
      </c>
      <c r="C380" s="256" t="inlineStr">
        <is>
          <t>MB0824_05</t>
        </is>
      </c>
      <c r="D380" s="256" t="inlineStr">
        <is>
          <t>P050112</t>
        </is>
      </c>
      <c r="E380" s="256" t="inlineStr">
        <is>
          <t>Motor Breath</t>
        </is>
      </c>
      <c r="F380" s="256" t="inlineStr">
        <is>
          <t>06.06.2026</t>
        </is>
      </c>
      <c r="G380" s="256" t="inlineStr">
        <is>
          <t>9.3</t>
        </is>
      </c>
      <c r="H380" s="256" t="inlineStr">
        <is>
          <t>Bile-tolerant gram-neg.</t>
        </is>
      </c>
      <c r="I380" s="256" t="inlineStr">
        <is>
          <t>Ph. Eur. 2.6.31 cat. C</t>
        </is>
      </c>
      <c r="J380" s="256" t="inlineStr">
        <is>
          <t>≤ 10⁴ CFU/g</t>
        </is>
      </c>
      <c r="K380" s="256" t="inlineStr">
        <is>
          <t>&lt; 10</t>
        </is>
      </c>
      <c r="L380" s="256" t="inlineStr">
        <is>
          <t>767/1376/25</t>
        </is>
      </c>
      <c r="M380" s="256" t="inlineStr">
        <is>
          <t>29.07.2025</t>
        </is>
      </c>
      <c r="N380" s="256" t="inlineStr">
        <is>
          <t>IPH — Institute of Public Health</t>
        </is>
      </c>
      <c r="O380" s="256" t="inlineStr">
        <is>
          <t>21.07.2025</t>
        </is>
      </c>
      <c r="P380" s="256" t="inlineStr">
        <is>
          <t>covered</t>
        </is>
      </c>
      <c r="Q380" s="256" t="inlineStr"/>
      <c r="R380" s="256" t="inlineStr"/>
    </row>
    <row r="381">
      <c r="A381" s="256" t="inlineStr">
        <is>
          <t>CoQ-PP_26-017</t>
        </is>
      </c>
      <c r="B381" s="256" t="inlineStr">
        <is>
          <t>release</t>
        </is>
      </c>
      <c r="C381" s="256" t="inlineStr">
        <is>
          <t>MB0824_05</t>
        </is>
      </c>
      <c r="D381" s="256" t="inlineStr">
        <is>
          <t>P050112</t>
        </is>
      </c>
      <c r="E381" s="256" t="inlineStr">
        <is>
          <t>Motor Breath</t>
        </is>
      </c>
      <c r="F381" s="256" t="inlineStr">
        <is>
          <t>06.06.2026</t>
        </is>
      </c>
      <c r="G381" s="256" t="inlineStr">
        <is>
          <t>9.4</t>
        </is>
      </c>
      <c r="H381" s="256" t="inlineStr">
        <is>
          <t>Salmonella</t>
        </is>
      </c>
      <c r="I381" s="256" t="inlineStr">
        <is>
          <t>Ph. Eur. 2.6.31 cat. C</t>
        </is>
      </c>
      <c r="J381" s="256" t="inlineStr">
        <is>
          <t>Absence | Отсуство / 25 g</t>
        </is>
      </c>
      <c r="K381" s="256" t="inlineStr">
        <is>
          <t>Absent | Отсутна</t>
        </is>
      </c>
      <c r="L381" s="256" t="inlineStr">
        <is>
          <t>767/1376/25</t>
        </is>
      </c>
      <c r="M381" s="256" t="inlineStr">
        <is>
          <t>29.07.2025</t>
        </is>
      </c>
      <c r="N381" s="256" t="inlineStr">
        <is>
          <t>IPH — Institute of Public Health</t>
        </is>
      </c>
      <c r="O381" s="256" t="inlineStr">
        <is>
          <t>21.07.2025</t>
        </is>
      </c>
      <c r="P381" s="256" t="inlineStr">
        <is>
          <t>covered</t>
        </is>
      </c>
      <c r="Q381" s="256" t="inlineStr"/>
      <c r="R381" s="256" t="inlineStr"/>
    </row>
    <row r="382">
      <c r="A382" s="256" t="inlineStr">
        <is>
          <t>CoQ-PP_26-017</t>
        </is>
      </c>
      <c r="B382" s="256" t="inlineStr">
        <is>
          <t>release</t>
        </is>
      </c>
      <c r="C382" s="256" t="inlineStr">
        <is>
          <t>MB0824_05</t>
        </is>
      </c>
      <c r="D382" s="256" t="inlineStr">
        <is>
          <t>P050112</t>
        </is>
      </c>
      <c r="E382" s="256" t="inlineStr">
        <is>
          <t>Motor Breath</t>
        </is>
      </c>
      <c r="F382" s="256" t="inlineStr">
        <is>
          <t>06.06.2026</t>
        </is>
      </c>
      <c r="G382" s="256" t="inlineStr">
        <is>
          <t>9.5</t>
        </is>
      </c>
      <c r="H382" s="256" t="inlineStr">
        <is>
          <t>Escherichia coli</t>
        </is>
      </c>
      <c r="I382" s="256" t="inlineStr">
        <is>
          <t>Ph. Eur. 2.6.13 cat. C</t>
        </is>
      </c>
      <c r="J382" s="256" t="inlineStr">
        <is>
          <t>Absence | Отсуство / 1 g</t>
        </is>
      </c>
      <c r="K382" s="256" t="inlineStr">
        <is>
          <t>Absent | Отсутна</t>
        </is>
      </c>
      <c r="L382" s="256" t="inlineStr">
        <is>
          <t>767/1376/25</t>
        </is>
      </c>
      <c r="M382" s="256" t="inlineStr">
        <is>
          <t>29.07.2025</t>
        </is>
      </c>
      <c r="N382" s="256" t="inlineStr">
        <is>
          <t>IPH — Institute of Public Health</t>
        </is>
      </c>
      <c r="O382" s="256" t="inlineStr">
        <is>
          <t>21.07.2025</t>
        </is>
      </c>
      <c r="P382" s="256" t="inlineStr">
        <is>
          <t>covered</t>
        </is>
      </c>
      <c r="Q382" s="256" t="inlineStr"/>
      <c r="R382" s="256" t="inlineStr"/>
    </row>
    <row r="383">
      <c r="A383" s="256" t="inlineStr">
        <is>
          <t>CoQ-PP_26-017</t>
        </is>
      </c>
      <c r="B383" s="256" t="inlineStr">
        <is>
          <t>release</t>
        </is>
      </c>
      <c r="C383" s="256" t="inlineStr">
        <is>
          <t>MB0824_05</t>
        </is>
      </c>
      <c r="D383" s="256" t="inlineStr">
        <is>
          <t>P050112</t>
        </is>
      </c>
      <c r="E383" s="256" t="inlineStr">
        <is>
          <t>Motor Breath</t>
        </is>
      </c>
      <c r="F383" s="256" t="inlineStr">
        <is>
          <t>06.06.2026</t>
        </is>
      </c>
      <c r="G383" s="256" t="inlineStr">
        <is>
          <t>9.6</t>
        </is>
      </c>
      <c r="H383" s="256" t="inlineStr">
        <is>
          <t>Pseudomonas aeruginosa</t>
        </is>
      </c>
      <c r="I383" s="256" t="inlineStr">
        <is>
          <t>Ph. Eur. 2.6.13 cat. C</t>
        </is>
      </c>
      <c r="J383" s="256" t="inlineStr">
        <is>
          <t>Absence | Отсуство / 1 g</t>
        </is>
      </c>
      <c r="K383" s="260" t="inlineStr">
        <is>
          <t>upon request — not required for release</t>
        </is>
      </c>
      <c r="L383" s="256" t="inlineStr">
        <is>
          <t>—</t>
        </is>
      </c>
      <c r="M383" s="256" t="inlineStr">
        <is>
          <t>—</t>
        </is>
      </c>
      <c r="N383" s="256" t="inlineStr">
        <is>
          <t>—</t>
        </is>
      </c>
      <c r="O383" s="256" t="inlineStr">
        <is>
          <t>—</t>
        </is>
      </c>
      <c r="P383" s="256" t="inlineStr">
        <is>
          <t>upon request — not required for release</t>
        </is>
      </c>
      <c r="Q383" s="256" t="inlineStr"/>
      <c r="R383" s="256" t="inlineStr"/>
    </row>
    <row r="384">
      <c r="A384" s="256" t="inlineStr">
        <is>
          <t>CoQ-PP_26-017</t>
        </is>
      </c>
      <c r="B384" s="256" t="inlineStr">
        <is>
          <t>release</t>
        </is>
      </c>
      <c r="C384" s="256" t="inlineStr">
        <is>
          <t>MB0824_05</t>
        </is>
      </c>
      <c r="D384" s="256" t="inlineStr">
        <is>
          <t>P050112</t>
        </is>
      </c>
      <c r="E384" s="256" t="inlineStr">
        <is>
          <t>Motor Breath</t>
        </is>
      </c>
      <c r="F384" s="256" t="inlineStr">
        <is>
          <t>06.06.2026</t>
        </is>
      </c>
      <c r="G384" s="256" t="inlineStr">
        <is>
          <t>9.7</t>
        </is>
      </c>
      <c r="H384" s="256" t="inlineStr">
        <is>
          <t>Staphylococcus aureus</t>
        </is>
      </c>
      <c r="I384" s="256" t="inlineStr">
        <is>
          <t>Ph. Eur. 2.6.13 cat. C</t>
        </is>
      </c>
      <c r="J384" s="256" t="inlineStr">
        <is>
          <t>Absence | Отсуство / 1 g</t>
        </is>
      </c>
      <c r="K384" s="260" t="inlineStr">
        <is>
          <t>upon request — not required for release</t>
        </is>
      </c>
      <c r="L384" s="256" t="inlineStr">
        <is>
          <t>—</t>
        </is>
      </c>
      <c r="M384" s="256" t="inlineStr">
        <is>
          <t>—</t>
        </is>
      </c>
      <c r="N384" s="256" t="inlineStr">
        <is>
          <t>—</t>
        </is>
      </c>
      <c r="O384" s="256" t="inlineStr">
        <is>
          <t>—</t>
        </is>
      </c>
      <c r="P384" s="256" t="inlineStr">
        <is>
          <t>upon request — not required for release</t>
        </is>
      </c>
      <c r="Q384" s="256" t="inlineStr"/>
      <c r="R384" s="256" t="inlineStr"/>
    </row>
    <row r="385">
      <c r="A385" s="256" t="inlineStr">
        <is>
          <t>CoQ-PP_26-017</t>
        </is>
      </c>
      <c r="B385" s="256" t="inlineStr">
        <is>
          <t>release</t>
        </is>
      </c>
      <c r="C385" s="256" t="inlineStr">
        <is>
          <t>MB0824_05</t>
        </is>
      </c>
      <c r="D385" s="256" t="inlineStr">
        <is>
          <t>P050112</t>
        </is>
      </c>
      <c r="E385" s="256" t="inlineStr">
        <is>
          <t>Motor Breath</t>
        </is>
      </c>
      <c r="F385" s="256" t="inlineStr">
        <is>
          <t>06.06.2026</t>
        </is>
      </c>
      <c r="G385" s="256" t="inlineStr">
        <is>
          <t>10.1</t>
        </is>
      </c>
      <c r="H385" s="256" t="inlineStr">
        <is>
          <t>Aflatoxin B₁</t>
        </is>
      </c>
      <c r="I385" s="256" t="inlineStr">
        <is>
          <t>Ph. Eur. 2.8.18 (HPLC-FLD)</t>
        </is>
      </c>
      <c r="J385" s="256" t="inlineStr">
        <is>
          <t>≤ 2 µg/kg</t>
        </is>
      </c>
      <c r="K385" s="259" t="inlineStr">
        <is>
          <t>not tested</t>
        </is>
      </c>
      <c r="L385" s="256" t="inlineStr">
        <is>
          <t>—</t>
        </is>
      </c>
      <c r="M385" s="256" t="inlineStr">
        <is>
          <t>—</t>
        </is>
      </c>
      <c r="N385" s="256" t="inlineStr">
        <is>
          <t>—</t>
        </is>
      </c>
      <c r="O385" s="256" t="inlineStr">
        <is>
          <t>—</t>
        </is>
      </c>
      <c r="P385" s="256" t="inlineStr">
        <is>
          <t>not tested — no certificate covers it</t>
        </is>
      </c>
      <c r="Q385" s="256" t="inlineStr"/>
      <c r="R385" s="256" t="inlineStr">
        <is>
          <t>ND (220-20-М/26)</t>
        </is>
      </c>
    </row>
    <row r="386">
      <c r="A386" s="256" t="inlineStr">
        <is>
          <t>CoQ-PP_26-017</t>
        </is>
      </c>
      <c r="B386" s="256" t="inlineStr">
        <is>
          <t>release</t>
        </is>
      </c>
      <c r="C386" s="256" t="inlineStr">
        <is>
          <t>MB0824_05</t>
        </is>
      </c>
      <c r="D386" s="256" t="inlineStr">
        <is>
          <t>P050112</t>
        </is>
      </c>
      <c r="E386" s="256" t="inlineStr">
        <is>
          <t>Motor Breath</t>
        </is>
      </c>
      <c r="F386" s="256" t="inlineStr">
        <is>
          <t>06.06.2026</t>
        </is>
      </c>
      <c r="G386" s="256" t="inlineStr">
        <is>
          <t>10.2</t>
        </is>
      </c>
      <c r="H386" s="256" t="inlineStr">
        <is>
          <t>Aflatoxins ∑</t>
        </is>
      </c>
      <c r="I386" s="256" t="inlineStr">
        <is>
          <t>Ph. Eur. 2.8.18 (HPLC-FLD)</t>
        </is>
      </c>
      <c r="J386" s="256" t="inlineStr">
        <is>
          <t>≤ 4 µg/kg</t>
        </is>
      </c>
      <c r="K386" s="256" t="inlineStr">
        <is>
          <t>2</t>
        </is>
      </c>
      <c r="L386" s="256" t="inlineStr">
        <is>
          <t>3638/2025</t>
        </is>
      </c>
      <c r="M386" s="256" t="inlineStr">
        <is>
          <t>28.07.2025</t>
        </is>
      </c>
      <c r="N386" s="256" t="inlineStr">
        <is>
          <t>IPH — Institute of Public Health</t>
        </is>
      </c>
      <c r="O386" s="256" t="inlineStr">
        <is>
          <t>21.07.2025</t>
        </is>
      </c>
      <c r="P386" s="256" t="inlineStr">
        <is>
          <t>covered</t>
        </is>
      </c>
      <c r="Q386" s="256" t="inlineStr"/>
      <c r="R386" s="256" t="inlineStr">
        <is>
          <t>ND (220-20-М/26)</t>
        </is>
      </c>
    </row>
    <row r="387">
      <c r="A387" s="256" t="inlineStr">
        <is>
          <t>CoQ-PP_26-017</t>
        </is>
      </c>
      <c r="B387" s="256" t="inlineStr">
        <is>
          <t>release</t>
        </is>
      </c>
      <c r="C387" s="256" t="inlineStr">
        <is>
          <t>MB0824_05</t>
        </is>
      </c>
      <c r="D387" s="256" t="inlineStr">
        <is>
          <t>P050112</t>
        </is>
      </c>
      <c r="E387" s="256" t="inlineStr">
        <is>
          <t>Motor Breath</t>
        </is>
      </c>
      <c r="F387" s="256" t="inlineStr">
        <is>
          <t>06.06.2026</t>
        </is>
      </c>
      <c r="G387" s="256" t="inlineStr">
        <is>
          <t>10.3</t>
        </is>
      </c>
      <c r="H387" s="256" t="inlineStr">
        <is>
          <t>Ochratoxin A</t>
        </is>
      </c>
      <c r="I387" s="256" t="inlineStr">
        <is>
          <t>Ph. Eur. 2.8.22 (HPLC-FLD)</t>
        </is>
      </c>
      <c r="J387" s="256" t="inlineStr">
        <is>
          <t>≤ 20 µg/kg</t>
        </is>
      </c>
      <c r="K387" s="259" t="inlineStr">
        <is>
          <t>not tested</t>
        </is>
      </c>
      <c r="L387" s="256" t="inlineStr">
        <is>
          <t>—</t>
        </is>
      </c>
      <c r="M387" s="256" t="inlineStr">
        <is>
          <t>—</t>
        </is>
      </c>
      <c r="N387" s="256" t="inlineStr">
        <is>
          <t>—</t>
        </is>
      </c>
      <c r="O387" s="256" t="inlineStr">
        <is>
          <t>—</t>
        </is>
      </c>
      <c r="P387" s="256" t="inlineStr">
        <is>
          <t>not tested — no certificate covers it</t>
        </is>
      </c>
      <c r="Q387" s="256" t="inlineStr"/>
      <c r="R387" s="256" t="inlineStr">
        <is>
          <t>ND (220-20-М/26)</t>
        </is>
      </c>
    </row>
    <row r="388">
      <c r="A388" s="256" t="inlineStr">
        <is>
          <t>CoQ-PP_26-017</t>
        </is>
      </c>
      <c r="B388" s="256" t="inlineStr">
        <is>
          <t>release</t>
        </is>
      </c>
      <c r="C388" s="256" t="inlineStr">
        <is>
          <t>MB0824_05</t>
        </is>
      </c>
      <c r="D388" s="256" t="inlineStr">
        <is>
          <t>P050112</t>
        </is>
      </c>
      <c r="E388" s="256" t="inlineStr">
        <is>
          <t>Motor Breath</t>
        </is>
      </c>
      <c r="F388" s="256" t="inlineStr">
        <is>
          <t>06.06.2026</t>
        </is>
      </c>
      <c r="G388" s="256" t="inlineStr">
        <is>
          <t>11.1</t>
        </is>
      </c>
      <c r="H388" s="256" t="inlineStr">
        <is>
          <t>Lead (Pb)</t>
        </is>
      </c>
      <c r="I388" s="256" t="inlineStr">
        <is>
          <t>Ph. Eur. 2.4.27 (ICP-MS)</t>
        </is>
      </c>
      <c r="J388" s="256" t="inlineStr">
        <is>
          <t>≤ 0.5 mg/kg</t>
        </is>
      </c>
      <c r="K388" s="256" t="inlineStr">
        <is>
          <t>ND</t>
        </is>
      </c>
      <c r="L388" s="256" t="inlineStr">
        <is>
          <t>3638/2025</t>
        </is>
      </c>
      <c r="M388" s="256" t="inlineStr">
        <is>
          <t>28.07.2025</t>
        </is>
      </c>
      <c r="N388" s="256" t="inlineStr">
        <is>
          <t>IPH — Institute of Public Health</t>
        </is>
      </c>
      <c r="O388" s="256" t="inlineStr">
        <is>
          <t>21.07.2025</t>
        </is>
      </c>
      <c r="P388" s="256" t="inlineStr">
        <is>
          <t>covered</t>
        </is>
      </c>
      <c r="Q388" s="256" t="inlineStr"/>
      <c r="R388" s="256" t="inlineStr"/>
    </row>
    <row r="389">
      <c r="A389" s="256" t="inlineStr">
        <is>
          <t>CoQ-PP_26-017</t>
        </is>
      </c>
      <c r="B389" s="256" t="inlineStr">
        <is>
          <t>release</t>
        </is>
      </c>
      <c r="C389" s="256" t="inlineStr">
        <is>
          <t>MB0824_05</t>
        </is>
      </c>
      <c r="D389" s="256" t="inlineStr">
        <is>
          <t>P050112</t>
        </is>
      </c>
      <c r="E389" s="256" t="inlineStr">
        <is>
          <t>Motor Breath</t>
        </is>
      </c>
      <c r="F389" s="256" t="inlineStr">
        <is>
          <t>06.06.2026</t>
        </is>
      </c>
      <c r="G389" s="256" t="inlineStr">
        <is>
          <t>11.2</t>
        </is>
      </c>
      <c r="H389" s="256" t="inlineStr">
        <is>
          <t>Cadmium (Cd)</t>
        </is>
      </c>
      <c r="I389" s="256" t="inlineStr">
        <is>
          <t>Ph. Eur. 2.4.27 (ICP-MS)</t>
        </is>
      </c>
      <c r="J389" s="256" t="inlineStr">
        <is>
          <t>≤ 0.3 mg/kg</t>
        </is>
      </c>
      <c r="K389" s="256" t="inlineStr">
        <is>
          <t>ND</t>
        </is>
      </c>
      <c r="L389" s="256" t="inlineStr">
        <is>
          <t>3638/2025</t>
        </is>
      </c>
      <c r="M389" s="256" t="inlineStr">
        <is>
          <t>28.07.2025</t>
        </is>
      </c>
      <c r="N389" s="256" t="inlineStr">
        <is>
          <t>IPH — Institute of Public Health</t>
        </is>
      </c>
      <c r="O389" s="256" t="inlineStr">
        <is>
          <t>21.07.2025</t>
        </is>
      </c>
      <c r="P389" s="256" t="inlineStr">
        <is>
          <t>covered</t>
        </is>
      </c>
      <c r="Q389" s="256" t="inlineStr"/>
      <c r="R389" s="256" t="inlineStr"/>
    </row>
    <row r="390">
      <c r="A390" s="256" t="inlineStr">
        <is>
          <t>CoQ-PP_26-017</t>
        </is>
      </c>
      <c r="B390" s="256" t="inlineStr">
        <is>
          <t>release</t>
        </is>
      </c>
      <c r="C390" s="256" t="inlineStr">
        <is>
          <t>MB0824_05</t>
        </is>
      </c>
      <c r="D390" s="256" t="inlineStr">
        <is>
          <t>P050112</t>
        </is>
      </c>
      <c r="E390" s="256" t="inlineStr">
        <is>
          <t>Motor Breath</t>
        </is>
      </c>
      <c r="F390" s="256" t="inlineStr">
        <is>
          <t>06.06.2026</t>
        </is>
      </c>
      <c r="G390" s="256" t="inlineStr">
        <is>
          <t>11.3</t>
        </is>
      </c>
      <c r="H390" s="256" t="inlineStr">
        <is>
          <t>Arsenic (As)</t>
        </is>
      </c>
      <c r="I390" s="256" t="inlineStr">
        <is>
          <t>Ph. Eur. 2.4.27 (ICP-MS)</t>
        </is>
      </c>
      <c r="J390" s="256" t="inlineStr">
        <is>
          <t>≤ 0.2 mg/kg</t>
        </is>
      </c>
      <c r="K390" s="256" t="inlineStr">
        <is>
          <t>0.086</t>
        </is>
      </c>
      <c r="L390" s="256" t="inlineStr">
        <is>
          <t>3638/2025</t>
        </is>
      </c>
      <c r="M390" s="256" t="inlineStr">
        <is>
          <t>28.07.2025</t>
        </is>
      </c>
      <c r="N390" s="256" t="inlineStr">
        <is>
          <t>IPH — Institute of Public Health</t>
        </is>
      </c>
      <c r="O390" s="256" t="inlineStr">
        <is>
          <t>21.07.2025</t>
        </is>
      </c>
      <c r="P390" s="256" t="inlineStr">
        <is>
          <t>covered</t>
        </is>
      </c>
      <c r="Q390" s="256" t="inlineStr"/>
      <c r="R390" s="256" t="inlineStr"/>
    </row>
    <row r="391">
      <c r="A391" s="256" t="inlineStr">
        <is>
          <t>CoQ-PP_26-017</t>
        </is>
      </c>
      <c r="B391" s="256" t="inlineStr">
        <is>
          <t>release</t>
        </is>
      </c>
      <c r="C391" s="256" t="inlineStr">
        <is>
          <t>MB0824_05</t>
        </is>
      </c>
      <c r="D391" s="256" t="inlineStr">
        <is>
          <t>P050112</t>
        </is>
      </c>
      <c r="E391" s="256" t="inlineStr">
        <is>
          <t>Motor Breath</t>
        </is>
      </c>
      <c r="F391" s="256" t="inlineStr">
        <is>
          <t>06.06.2026</t>
        </is>
      </c>
      <c r="G391" s="256" t="inlineStr">
        <is>
          <t>11.4</t>
        </is>
      </c>
      <c r="H391" s="256" t="inlineStr">
        <is>
          <t>Mercury (Hg)</t>
        </is>
      </c>
      <c r="I391" s="256" t="inlineStr">
        <is>
          <t>Ph. Eur. 2.4.27 (ICP-MS)</t>
        </is>
      </c>
      <c r="J391" s="256" t="inlineStr">
        <is>
          <t>≤ 0.1 mg/kg</t>
        </is>
      </c>
      <c r="K391" s="256" t="inlineStr">
        <is>
          <t>0.006</t>
        </is>
      </c>
      <c r="L391" s="256" t="inlineStr">
        <is>
          <t>3638/2025</t>
        </is>
      </c>
      <c r="M391" s="256" t="inlineStr">
        <is>
          <t>28.07.2025</t>
        </is>
      </c>
      <c r="N391" s="256" t="inlineStr">
        <is>
          <t>IPH — Institute of Public Health</t>
        </is>
      </c>
      <c r="O391" s="256" t="inlineStr">
        <is>
          <t>21.07.2025</t>
        </is>
      </c>
      <c r="P391" s="256" t="inlineStr">
        <is>
          <t>covered</t>
        </is>
      </c>
      <c r="Q391" s="256" t="inlineStr"/>
      <c r="R391" s="256" t="inlineStr"/>
    </row>
    <row r="392">
      <c r="A392" s="256" t="inlineStr">
        <is>
          <t>CoQ-PP_26-017</t>
        </is>
      </c>
      <c r="B392" s="256" t="inlineStr">
        <is>
          <t>release</t>
        </is>
      </c>
      <c r="C392" s="256" t="inlineStr">
        <is>
          <t>MB0824_05</t>
        </is>
      </c>
      <c r="D392" s="256" t="inlineStr">
        <is>
          <t>P050112</t>
        </is>
      </c>
      <c r="E392" s="256" t="inlineStr">
        <is>
          <t>Motor Breath</t>
        </is>
      </c>
      <c r="F392" s="256" t="inlineStr">
        <is>
          <t>06.06.2026</t>
        </is>
      </c>
      <c r="G392" s="256" t="inlineStr">
        <is>
          <t>12</t>
        </is>
      </c>
      <c r="H392" s="256" t="inlineStr">
        <is>
          <t>Pesticide Residues</t>
        </is>
      </c>
      <c r="I392" s="256" t="inlineStr">
        <is>
          <t>Ph. Eur. 2.8.13 (LC-MS/MS) · CUMCS Equivalency</t>
        </is>
      </c>
      <c r="J392" s="256" t="inlineStr">
        <is>
          <t>≤ LOQ as per Ph. Eur. 2.8.13 · ≤ LOQ as per CUMCS Equivalency</t>
        </is>
      </c>
      <c r="K392" s="256" t="inlineStr">
        <is>
          <t>ND</t>
        </is>
      </c>
      <c r="L392" s="256" t="inlineStr">
        <is>
          <t>3638/2025</t>
        </is>
      </c>
      <c r="M392" s="256" t="inlineStr">
        <is>
          <t>28.07.2025</t>
        </is>
      </c>
      <c r="N392" s="256" t="inlineStr">
        <is>
          <t>IPH — Institute of Public Health</t>
        </is>
      </c>
      <c r="O392" s="256" t="inlineStr">
        <is>
          <t>21.07.2025</t>
        </is>
      </c>
      <c r="P392" s="256" t="inlineStr">
        <is>
          <t>covered</t>
        </is>
      </c>
      <c r="Q392" s="256" t="inlineStr"/>
      <c r="R392" s="256" t="inlineStr"/>
    </row>
    <row r="393">
      <c r="A393" s="256" t="inlineStr">
        <is>
          <t>CoQ-PP_26-018</t>
        </is>
      </c>
      <c r="B393" s="256" t="inlineStr">
        <is>
          <t>release</t>
        </is>
      </c>
      <c r="C393" s="256" t="inlineStr">
        <is>
          <t>BSS1024_01</t>
        </is>
      </c>
      <c r="D393" s="256" t="inlineStr">
        <is>
          <t>P050122</t>
        </is>
      </c>
      <c r="E393" s="256" t="inlineStr">
        <is>
          <t>Blue Sunset Sherbet</t>
        </is>
      </c>
      <c r="F393" s="256" t="inlineStr">
        <is>
          <t>06.06.2026</t>
        </is>
      </c>
      <c r="G393" s="256" t="inlineStr">
        <is>
          <t>1</t>
        </is>
      </c>
      <c r="H393" s="256" t="inlineStr">
        <is>
          <t>Identification A, Appearance · Macroscopic</t>
        </is>
      </c>
      <c r="I393" s="256" t="inlineStr">
        <is>
          <t>Ph. Eur. mon. 3028</t>
        </is>
      </c>
      <c r="J393" s="256" t="inlineStr">
        <is>
          <t>Conforms to the monograph for Cannabis flos (07/2024:3028) in Ph. Eur. 11.0 | Согласно монографија за Cannabis flos (07/2024:3028) во Ph. Eur. 11.0</t>
        </is>
      </c>
      <c r="K393" s="256" t="inlineStr">
        <is>
          <t>Conforms | Одговара</t>
        </is>
      </c>
      <c r="L393" s="256" t="inlineStr">
        <is>
          <t>iCoA-PP_26-089</t>
        </is>
      </c>
      <c r="M393" s="256" t="inlineStr">
        <is>
          <t>03.06.2026</t>
        </is>
      </c>
      <c r="N393" s="256" t="inlineStr">
        <is>
          <t>Purely Plant GmbH (in-house)</t>
        </is>
      </c>
      <c r="O393" s="256" t="inlineStr">
        <is>
          <t>—</t>
        </is>
      </c>
      <c r="P393" s="256" t="inlineStr">
        <is>
          <t>to be performed — see route</t>
        </is>
      </c>
      <c r="Q393" s="256" t="inlineStr">
        <is>
          <t>Purely Plant laboratory — iCoA covering Ident A + B</t>
        </is>
      </c>
      <c r="R393" s="256" t="inlineStr"/>
    </row>
    <row r="394">
      <c r="A394" s="256" t="inlineStr">
        <is>
          <t>CoQ-PP_26-018</t>
        </is>
      </c>
      <c r="B394" s="256" t="inlineStr">
        <is>
          <t>release</t>
        </is>
      </c>
      <c r="C394" s="256" t="inlineStr">
        <is>
          <t>BSS1024_01</t>
        </is>
      </c>
      <c r="D394" s="256" t="inlineStr">
        <is>
          <t>P050122</t>
        </is>
      </c>
      <c r="E394" s="256" t="inlineStr">
        <is>
          <t>Blue Sunset Sherbet</t>
        </is>
      </c>
      <c r="F394" s="256" t="inlineStr">
        <is>
          <t>06.06.2026</t>
        </is>
      </c>
      <c r="G394" s="256" t="inlineStr">
        <is>
          <t>2</t>
        </is>
      </c>
      <c r="H394" s="256" t="inlineStr">
        <is>
          <t>Identification B · Microscopic</t>
        </is>
      </c>
      <c r="I394" s="256" t="inlineStr">
        <is>
          <t>Ph. Eur. 2.8.23 (microscopy)</t>
        </is>
      </c>
      <c r="J394" s="256" t="inlineStr">
        <is>
          <t>Conforms to the monograph for Cannabis flos (07/2024:3028) in Ph. Eur. 11.0 | Согласно монографија за Cannabis flos (07/2024:3028) во Ph. Eur. 11.0</t>
        </is>
      </c>
      <c r="K394" s="256" t="inlineStr">
        <is>
          <t>Conforms | Одговара</t>
        </is>
      </c>
      <c r="L394" s="256" t="inlineStr">
        <is>
          <t>iCoA-PP_26-089</t>
        </is>
      </c>
      <c r="M394" s="256" t="inlineStr">
        <is>
          <t>03.06.2026</t>
        </is>
      </c>
      <c r="N394" s="256" t="inlineStr">
        <is>
          <t>Purely Plant GmbH (in-house)</t>
        </is>
      </c>
      <c r="O394" s="256" t="inlineStr">
        <is>
          <t>—</t>
        </is>
      </c>
      <c r="P394" s="256" t="inlineStr">
        <is>
          <t>to be performed — see route</t>
        </is>
      </c>
      <c r="Q394" s="256" t="inlineStr">
        <is>
          <t>Purely Plant laboratory — iCoA covering Ident A + B</t>
        </is>
      </c>
      <c r="R394" s="256" t="inlineStr"/>
    </row>
    <row r="395">
      <c r="A395" s="256" t="inlineStr">
        <is>
          <t>CoQ-PP_26-018</t>
        </is>
      </c>
      <c r="B395" s="256" t="inlineStr">
        <is>
          <t>release</t>
        </is>
      </c>
      <c r="C395" s="256" t="inlineStr">
        <is>
          <t>BSS1024_01</t>
        </is>
      </c>
      <c r="D395" s="256" t="inlineStr">
        <is>
          <t>P050122</t>
        </is>
      </c>
      <c r="E395" s="256" t="inlineStr">
        <is>
          <t>Blue Sunset Sherbet</t>
        </is>
      </c>
      <c r="F395" s="256" t="inlineStr">
        <is>
          <t>06.06.2026</t>
        </is>
      </c>
      <c r="G395" s="256" t="inlineStr">
        <is>
          <t>3</t>
        </is>
      </c>
      <c r="H395" s="256" t="inlineStr">
        <is>
          <t>Identification C · HPLC/HPTLC</t>
        </is>
      </c>
      <c r="I395" s="256" t="inlineStr">
        <is>
          <t>HPLC — DAB 2018 monograph Cannabis flos, 2.2.29 (CNP, before its Ph. Eur. 3028 accreditation)</t>
        </is>
      </c>
      <c r="J395" s="256" t="inlineStr">
        <is>
          <t>Conforms to the monograph for Cannabis flos (07/2024:3028) in Ph. Eur. 11.0 | Согласно монографија за Cannabis flos (07/2024:3028) во Ph. Eur. 11.0</t>
        </is>
      </c>
      <c r="K395" s="256" t="inlineStr">
        <is>
          <t>Conforms | Одговара</t>
        </is>
      </c>
      <c r="L395" s="256" t="inlineStr">
        <is>
          <t>ППК25176</t>
        </is>
      </c>
      <c r="M395" s="256" t="inlineStr">
        <is>
          <t>10.07.2025</t>
        </is>
      </c>
      <c r="N395" s="256" t="inlineStr">
        <is>
          <t>UKIM Faculty of Pharmacy — Center for Natural Products</t>
        </is>
      </c>
      <c r="O395" s="256" t="inlineStr">
        <is>
          <t>23.06.2025</t>
        </is>
      </c>
      <c r="P395" s="256" t="inlineStr">
        <is>
          <t>covered</t>
        </is>
      </c>
      <c r="Q395" s="256" t="inlineStr"/>
      <c r="R395" s="256" t="inlineStr"/>
    </row>
    <row r="396">
      <c r="A396" s="256" t="inlineStr">
        <is>
          <t>CoQ-PP_26-018</t>
        </is>
      </c>
      <c r="B396" s="256" t="inlineStr">
        <is>
          <t>release</t>
        </is>
      </c>
      <c r="C396" s="256" t="inlineStr">
        <is>
          <t>BSS1024_01</t>
        </is>
      </c>
      <c r="D396" s="256" t="inlineStr">
        <is>
          <t>P050122</t>
        </is>
      </c>
      <c r="E396" s="256" t="inlineStr">
        <is>
          <t>Blue Sunset Sherbet</t>
        </is>
      </c>
      <c r="F396" s="256" t="inlineStr">
        <is>
          <t>06.06.2026</t>
        </is>
      </c>
      <c r="G396" s="256" t="inlineStr">
        <is>
          <t>4</t>
        </is>
      </c>
      <c r="H396" s="256" t="inlineStr">
        <is>
          <t>Assay — Total Δ⁹-THC</t>
        </is>
      </c>
      <c r="I396" s="256" t="inlineStr">
        <is>
          <t>HPLC — DAB 2018 monograph Cannabis flos, 2.2.29 (CNP, before its Ph. Eur. 3028 accreditation)</t>
        </is>
      </c>
      <c r="J396" s="256" t="inlineStr">
        <is>
          <t>21.89 – 26.10 %  (grade II, nominal 24.00 ± 2.11)</t>
        </is>
      </c>
      <c r="K396" s="256" t="inlineStr">
        <is>
          <t>23.42</t>
        </is>
      </c>
      <c r="L396" s="256" t="inlineStr">
        <is>
          <t>ППК25176</t>
        </is>
      </c>
      <c r="M396" s="256" t="inlineStr">
        <is>
          <t>10.07.2025</t>
        </is>
      </c>
      <c r="N396" s="256" t="inlineStr">
        <is>
          <t>UKIM Faculty of Pharmacy — Center for Natural Products</t>
        </is>
      </c>
      <c r="O396" s="256" t="inlineStr">
        <is>
          <t>23.06.2025</t>
        </is>
      </c>
      <c r="P396" s="256" t="inlineStr">
        <is>
          <t>covered</t>
        </is>
      </c>
      <c r="Q396" s="256" t="inlineStr"/>
      <c r="R396" s="256" t="inlineStr">
        <is>
          <t>26.10 (227-29-К/26)</t>
        </is>
      </c>
    </row>
    <row r="397">
      <c r="A397" s="256" t="inlineStr">
        <is>
          <t>CoQ-PP_26-018</t>
        </is>
      </c>
      <c r="B397" s="256" t="inlineStr">
        <is>
          <t>release</t>
        </is>
      </c>
      <c r="C397" s="256" t="inlineStr">
        <is>
          <t>BSS1024_01</t>
        </is>
      </c>
      <c r="D397" s="256" t="inlineStr">
        <is>
          <t>P050122</t>
        </is>
      </c>
      <c r="E397" s="256" t="inlineStr">
        <is>
          <t>Blue Sunset Sherbet</t>
        </is>
      </c>
      <c r="F397" s="256" t="inlineStr">
        <is>
          <t>06.06.2026</t>
        </is>
      </c>
      <c r="G397" s="256" t="inlineStr">
        <is>
          <t>5</t>
        </is>
      </c>
      <c r="H397" s="256" t="inlineStr">
        <is>
          <t>Assay — Total CBD</t>
        </is>
      </c>
      <c r="I397" s="256" t="inlineStr">
        <is>
          <t>HPLC — DAB 2018 monograph Cannabis flos, 2.2.29 · CBD + CBDA x 0.877 (CNP, before its Ph. Eur. 3028 accreditation)</t>
        </is>
      </c>
      <c r="J397" s="256" t="inlineStr">
        <is>
          <t>≤ 1.0%, w/w</t>
        </is>
      </c>
      <c r="K397" s="256" t="inlineStr">
        <is>
          <t>0.06</t>
        </is>
      </c>
      <c r="L397" s="256" t="inlineStr">
        <is>
          <t>ППК25176</t>
        </is>
      </c>
      <c r="M397" s="256" t="inlineStr">
        <is>
          <t>10.07.2025</t>
        </is>
      </c>
      <c r="N397" s="256" t="inlineStr">
        <is>
          <t>UKIM Faculty of Pharmacy — Center for Natural Products</t>
        </is>
      </c>
      <c r="O397" s="256" t="inlineStr">
        <is>
          <t>23.06.2025</t>
        </is>
      </c>
      <c r="P397" s="256" t="inlineStr">
        <is>
          <t>covered</t>
        </is>
      </c>
      <c r="Q397" s="256" t="inlineStr"/>
      <c r="R397" s="256" t="inlineStr">
        <is>
          <t>&lt;LOQ (227-29-К/26)</t>
        </is>
      </c>
    </row>
    <row r="398">
      <c r="A398" s="256" t="inlineStr">
        <is>
          <t>CoQ-PP_26-018</t>
        </is>
      </c>
      <c r="B398" s="256" t="inlineStr">
        <is>
          <t>release</t>
        </is>
      </c>
      <c r="C398" s="256" t="inlineStr">
        <is>
          <t>BSS1024_01</t>
        </is>
      </c>
      <c r="D398" s="256" t="inlineStr">
        <is>
          <t>P050122</t>
        </is>
      </c>
      <c r="E398" s="256" t="inlineStr">
        <is>
          <t>Blue Sunset Sherbet</t>
        </is>
      </c>
      <c r="F398" s="256" t="inlineStr">
        <is>
          <t>06.06.2026</t>
        </is>
      </c>
      <c r="G398" s="256" t="inlineStr">
        <is>
          <t>6</t>
        </is>
      </c>
      <c r="H398" s="256" t="inlineStr">
        <is>
          <t>Total CBN</t>
        </is>
      </c>
      <c r="I398" s="256" t="inlineStr">
        <is>
          <t>Ph. Eur. 2.2.29 (HPLC) · CBN + CBNA x 0.876</t>
        </is>
      </c>
      <c r="J398" s="256" t="inlineStr">
        <is>
          <t>≤ 1.0%, w/w</t>
        </is>
      </c>
      <c r="K398" s="259" t="inlineStr">
        <is>
          <t>not tested</t>
        </is>
      </c>
      <c r="L398" s="256" t="inlineStr">
        <is>
          <t>—</t>
        </is>
      </c>
      <c r="M398" s="256" t="inlineStr">
        <is>
          <t>—</t>
        </is>
      </c>
      <c r="N398" s="256" t="inlineStr">
        <is>
          <t>—</t>
        </is>
      </c>
      <c r="O398" s="256" t="inlineStr">
        <is>
          <t>—</t>
        </is>
      </c>
      <c r="P398" s="256" t="inlineStr">
        <is>
          <t>not tested — no certificate covers it</t>
        </is>
      </c>
      <c r="Q398" s="256" t="inlineStr"/>
      <c r="R398" s="256" t="inlineStr">
        <is>
          <t>0.20 (227-29-К/26)</t>
        </is>
      </c>
    </row>
    <row r="399">
      <c r="A399" s="256" t="inlineStr">
        <is>
          <t>CoQ-PP_26-018</t>
        </is>
      </c>
      <c r="B399" s="256" t="inlineStr">
        <is>
          <t>release</t>
        </is>
      </c>
      <c r="C399" s="256" t="inlineStr">
        <is>
          <t>BSS1024_01</t>
        </is>
      </c>
      <c r="D399" s="256" t="inlineStr">
        <is>
          <t>P050122</t>
        </is>
      </c>
      <c r="E399" s="256" t="inlineStr">
        <is>
          <t>Blue Sunset Sherbet</t>
        </is>
      </c>
      <c r="F399" s="256" t="inlineStr">
        <is>
          <t>06.06.2026</t>
        </is>
      </c>
      <c r="G399" s="256" t="inlineStr">
        <is>
          <t>7</t>
        </is>
      </c>
      <c r="H399" s="256" t="inlineStr">
        <is>
          <t>Foreign Matter</t>
        </is>
      </c>
      <c r="I399" s="256" t="inlineStr">
        <is>
          <t>Ph. Eur. 2.8.2 · In-house · интерна</t>
        </is>
      </c>
      <c r="J399" s="256" t="inlineStr">
        <is>
          <t>≤ 2.0% / 25–50 g · &lt; 1 cm leaves | листови, no seeds | без семки</t>
        </is>
      </c>
      <c r="K399" s="256" t="inlineStr">
        <is>
          <t>Conforms | Одговара</t>
        </is>
      </c>
      <c r="L399" s="256" t="inlineStr">
        <is>
          <t>iCoA-PP_26-089</t>
        </is>
      </c>
      <c r="M399" s="256" t="inlineStr">
        <is>
          <t>03.06.2026</t>
        </is>
      </c>
      <c r="N399" s="256" t="inlineStr">
        <is>
          <t>Purely Plant GmbH (in-house)</t>
        </is>
      </c>
      <c r="O399" s="256" t="inlineStr">
        <is>
          <t>—</t>
        </is>
      </c>
      <c r="P399" s="256" t="inlineStr">
        <is>
          <t>to be performed — see route</t>
        </is>
      </c>
      <c r="Q399" s="256" t="inlineStr">
        <is>
          <t>Purely Plant laboratory — iCoA covering Foreign matter</t>
        </is>
      </c>
      <c r="R399" s="256" t="inlineStr"/>
    </row>
    <row r="400">
      <c r="A400" s="256" t="inlineStr">
        <is>
          <t>CoQ-PP_26-018</t>
        </is>
      </c>
      <c r="B400" s="256" t="inlineStr">
        <is>
          <t>release</t>
        </is>
      </c>
      <c r="C400" s="256" t="inlineStr">
        <is>
          <t>BSS1024_01</t>
        </is>
      </c>
      <c r="D400" s="256" t="inlineStr">
        <is>
          <t>P050122</t>
        </is>
      </c>
      <c r="E400" s="256" t="inlineStr">
        <is>
          <t>Blue Sunset Sherbet</t>
        </is>
      </c>
      <c r="F400" s="256" t="inlineStr">
        <is>
          <t>06.06.2026</t>
        </is>
      </c>
      <c r="G400" s="256" t="inlineStr">
        <is>
          <t>8</t>
        </is>
      </c>
      <c r="H400" s="256" t="inlineStr">
        <is>
          <t>Loss on Drying</t>
        </is>
      </c>
      <c r="I400" s="256" t="inlineStr">
        <is>
          <t>DAB 2018 monograph Cannabis flos, 2.2.32 — loss on drying (CNP, before its Ph. Eur. 3028 accreditation)</t>
        </is>
      </c>
      <c r="J400" s="256" t="inlineStr">
        <is>
          <t>≤ 12.0%</t>
        </is>
      </c>
      <c r="K400" s="256" t="inlineStr">
        <is>
          <t>6.38</t>
        </is>
      </c>
      <c r="L400" s="256" t="inlineStr">
        <is>
          <t>ППК25176</t>
        </is>
      </c>
      <c r="M400" s="256" t="inlineStr">
        <is>
          <t>10.07.2025</t>
        </is>
      </c>
      <c r="N400" s="256" t="inlineStr">
        <is>
          <t>UKIM Faculty of Pharmacy — Center for Natural Products</t>
        </is>
      </c>
      <c r="O400" s="256" t="inlineStr">
        <is>
          <t>23.06.2025</t>
        </is>
      </c>
      <c r="P400" s="256" t="inlineStr">
        <is>
          <t>covered</t>
        </is>
      </c>
      <c r="Q400" s="256" t="inlineStr"/>
      <c r="R400" s="256" t="inlineStr"/>
    </row>
    <row r="401">
      <c r="A401" s="256" t="inlineStr">
        <is>
          <t>CoQ-PP_26-018</t>
        </is>
      </c>
      <c r="B401" s="256" t="inlineStr">
        <is>
          <t>release</t>
        </is>
      </c>
      <c r="C401" s="256" t="inlineStr">
        <is>
          <t>BSS1024_01</t>
        </is>
      </c>
      <c r="D401" s="256" t="inlineStr">
        <is>
          <t>P050122</t>
        </is>
      </c>
      <c r="E401" s="256" t="inlineStr">
        <is>
          <t>Blue Sunset Sherbet</t>
        </is>
      </c>
      <c r="F401" s="256" t="inlineStr">
        <is>
          <t>06.06.2026</t>
        </is>
      </c>
      <c r="G401" s="256" t="inlineStr">
        <is>
          <t>9.1</t>
        </is>
      </c>
      <c r="H401" s="256" t="inlineStr">
        <is>
          <t>TAMC</t>
        </is>
      </c>
      <c r="I401" s="256" t="inlineStr">
        <is>
          <t>Ph. Eur. 2.6.12 cat. C</t>
        </is>
      </c>
      <c r="J401" s="256" t="inlineStr">
        <is>
          <t>≤ 10⁵ CFU/g</t>
        </is>
      </c>
      <c r="K401" s="256" t="inlineStr">
        <is>
          <t>&lt; 10</t>
        </is>
      </c>
      <c r="L401" s="256" t="inlineStr">
        <is>
          <t>626/1127/25</t>
        </is>
      </c>
      <c r="M401" s="256" t="inlineStr">
        <is>
          <t>02.07.2025</t>
        </is>
      </c>
      <c r="N401" s="256" t="inlineStr">
        <is>
          <t>IPH — Institute of Public Health</t>
        </is>
      </c>
      <c r="O401" s="256" t="inlineStr">
        <is>
          <t>24.06.2025</t>
        </is>
      </c>
      <c r="P401" s="256" t="inlineStr">
        <is>
          <t>covered</t>
        </is>
      </c>
      <c r="Q401" s="256" t="inlineStr"/>
      <c r="R401" s="256" t="inlineStr"/>
    </row>
    <row r="402">
      <c r="A402" s="256" t="inlineStr">
        <is>
          <t>CoQ-PP_26-018</t>
        </is>
      </c>
      <c r="B402" s="256" t="inlineStr">
        <is>
          <t>release</t>
        </is>
      </c>
      <c r="C402" s="256" t="inlineStr">
        <is>
          <t>BSS1024_01</t>
        </is>
      </c>
      <c r="D402" s="256" t="inlineStr">
        <is>
          <t>P050122</t>
        </is>
      </c>
      <c r="E402" s="256" t="inlineStr">
        <is>
          <t>Blue Sunset Sherbet</t>
        </is>
      </c>
      <c r="F402" s="256" t="inlineStr">
        <is>
          <t>06.06.2026</t>
        </is>
      </c>
      <c r="G402" s="256" t="inlineStr">
        <is>
          <t>9.2</t>
        </is>
      </c>
      <c r="H402" s="256" t="inlineStr">
        <is>
          <t>TYMC</t>
        </is>
      </c>
      <c r="I402" s="256" t="inlineStr">
        <is>
          <t>Ph. Eur. 2.6.12 cat. C</t>
        </is>
      </c>
      <c r="J402" s="256" t="inlineStr">
        <is>
          <t>≤ 10⁴ CFU/g</t>
        </is>
      </c>
      <c r="K402" s="256" t="inlineStr">
        <is>
          <t>&lt; 10</t>
        </is>
      </c>
      <c r="L402" s="256" t="inlineStr">
        <is>
          <t>626/1127/25</t>
        </is>
      </c>
      <c r="M402" s="256" t="inlineStr">
        <is>
          <t>02.07.2025</t>
        </is>
      </c>
      <c r="N402" s="256" t="inlineStr">
        <is>
          <t>IPH — Institute of Public Health</t>
        </is>
      </c>
      <c r="O402" s="256" t="inlineStr">
        <is>
          <t>24.06.2025</t>
        </is>
      </c>
      <c r="P402" s="256" t="inlineStr">
        <is>
          <t>covered</t>
        </is>
      </c>
      <c r="Q402" s="256" t="inlineStr"/>
      <c r="R402" s="256" t="inlineStr"/>
    </row>
    <row r="403">
      <c r="A403" s="256" t="inlineStr">
        <is>
          <t>CoQ-PP_26-018</t>
        </is>
      </c>
      <c r="B403" s="256" t="inlineStr">
        <is>
          <t>release</t>
        </is>
      </c>
      <c r="C403" s="256" t="inlineStr">
        <is>
          <t>BSS1024_01</t>
        </is>
      </c>
      <c r="D403" s="256" t="inlineStr">
        <is>
          <t>P050122</t>
        </is>
      </c>
      <c r="E403" s="256" t="inlineStr">
        <is>
          <t>Blue Sunset Sherbet</t>
        </is>
      </c>
      <c r="F403" s="256" t="inlineStr">
        <is>
          <t>06.06.2026</t>
        </is>
      </c>
      <c r="G403" s="256" t="inlineStr">
        <is>
          <t>9.3</t>
        </is>
      </c>
      <c r="H403" s="256" t="inlineStr">
        <is>
          <t>Bile-tolerant gram-neg.</t>
        </is>
      </c>
      <c r="I403" s="256" t="inlineStr">
        <is>
          <t>Ph. Eur. 2.6.31 cat. C</t>
        </is>
      </c>
      <c r="J403" s="256" t="inlineStr">
        <is>
          <t>≤ 10⁴ CFU/g</t>
        </is>
      </c>
      <c r="K403" s="256" t="inlineStr">
        <is>
          <t>&lt; 10</t>
        </is>
      </c>
      <c r="L403" s="256" t="inlineStr">
        <is>
          <t>626/1127/25</t>
        </is>
      </c>
      <c r="M403" s="256" t="inlineStr">
        <is>
          <t>02.07.2025</t>
        </is>
      </c>
      <c r="N403" s="256" t="inlineStr">
        <is>
          <t>IPH — Institute of Public Health</t>
        </is>
      </c>
      <c r="O403" s="256" t="inlineStr">
        <is>
          <t>24.06.2025</t>
        </is>
      </c>
      <c r="P403" s="256" t="inlineStr">
        <is>
          <t>covered</t>
        </is>
      </c>
      <c r="Q403" s="256" t="inlineStr"/>
      <c r="R403" s="256" t="inlineStr"/>
    </row>
    <row r="404">
      <c r="A404" s="256" t="inlineStr">
        <is>
          <t>CoQ-PP_26-018</t>
        </is>
      </c>
      <c r="B404" s="256" t="inlineStr">
        <is>
          <t>release</t>
        </is>
      </c>
      <c r="C404" s="256" t="inlineStr">
        <is>
          <t>BSS1024_01</t>
        </is>
      </c>
      <c r="D404" s="256" t="inlineStr">
        <is>
          <t>P050122</t>
        </is>
      </c>
      <c r="E404" s="256" t="inlineStr">
        <is>
          <t>Blue Sunset Sherbet</t>
        </is>
      </c>
      <c r="F404" s="256" t="inlineStr">
        <is>
          <t>06.06.2026</t>
        </is>
      </c>
      <c r="G404" s="256" t="inlineStr">
        <is>
          <t>9.4</t>
        </is>
      </c>
      <c r="H404" s="256" t="inlineStr">
        <is>
          <t>Salmonella</t>
        </is>
      </c>
      <c r="I404" s="256" t="inlineStr">
        <is>
          <t>Ph. Eur. 2.6.31 cat. C</t>
        </is>
      </c>
      <c r="J404" s="256" t="inlineStr">
        <is>
          <t>Absence | Отсуство / 25 g</t>
        </is>
      </c>
      <c r="K404" s="256" t="inlineStr">
        <is>
          <t>Absent | Отсутна</t>
        </is>
      </c>
      <c r="L404" s="256" t="inlineStr">
        <is>
          <t>626/1127/25</t>
        </is>
      </c>
      <c r="M404" s="256" t="inlineStr">
        <is>
          <t>02.07.2025</t>
        </is>
      </c>
      <c r="N404" s="256" t="inlineStr">
        <is>
          <t>IPH — Institute of Public Health</t>
        </is>
      </c>
      <c r="O404" s="256" t="inlineStr">
        <is>
          <t>24.06.2025</t>
        </is>
      </c>
      <c r="P404" s="256" t="inlineStr">
        <is>
          <t>covered</t>
        </is>
      </c>
      <c r="Q404" s="256" t="inlineStr"/>
      <c r="R404" s="256" t="inlineStr"/>
    </row>
    <row r="405">
      <c r="A405" s="256" t="inlineStr">
        <is>
          <t>CoQ-PP_26-018</t>
        </is>
      </c>
      <c r="B405" s="256" t="inlineStr">
        <is>
          <t>release</t>
        </is>
      </c>
      <c r="C405" s="256" t="inlineStr">
        <is>
          <t>BSS1024_01</t>
        </is>
      </c>
      <c r="D405" s="256" t="inlineStr">
        <is>
          <t>P050122</t>
        </is>
      </c>
      <c r="E405" s="256" t="inlineStr">
        <is>
          <t>Blue Sunset Sherbet</t>
        </is>
      </c>
      <c r="F405" s="256" t="inlineStr">
        <is>
          <t>06.06.2026</t>
        </is>
      </c>
      <c r="G405" s="256" t="inlineStr">
        <is>
          <t>9.5</t>
        </is>
      </c>
      <c r="H405" s="256" t="inlineStr">
        <is>
          <t>Escherichia coli</t>
        </is>
      </c>
      <c r="I405" s="256" t="inlineStr">
        <is>
          <t>Ph. Eur. 2.6.13 cat. C</t>
        </is>
      </c>
      <c r="J405" s="256" t="inlineStr">
        <is>
          <t>Absence | Отсуство / 1 g</t>
        </is>
      </c>
      <c r="K405" s="256" t="inlineStr">
        <is>
          <t>Absent | Отсутна</t>
        </is>
      </c>
      <c r="L405" s="256" t="inlineStr">
        <is>
          <t>626/1127/25</t>
        </is>
      </c>
      <c r="M405" s="256" t="inlineStr">
        <is>
          <t>02.07.2025</t>
        </is>
      </c>
      <c r="N405" s="256" t="inlineStr">
        <is>
          <t>IPH — Institute of Public Health</t>
        </is>
      </c>
      <c r="O405" s="256" t="inlineStr">
        <is>
          <t>24.06.2025</t>
        </is>
      </c>
      <c r="P405" s="256" t="inlineStr">
        <is>
          <t>covered</t>
        </is>
      </c>
      <c r="Q405" s="256" t="inlineStr"/>
      <c r="R405" s="256" t="inlineStr"/>
    </row>
    <row r="406">
      <c r="A406" s="256" t="inlineStr">
        <is>
          <t>CoQ-PP_26-018</t>
        </is>
      </c>
      <c r="B406" s="256" t="inlineStr">
        <is>
          <t>release</t>
        </is>
      </c>
      <c r="C406" s="256" t="inlineStr">
        <is>
          <t>BSS1024_01</t>
        </is>
      </c>
      <c r="D406" s="256" t="inlineStr">
        <is>
          <t>P050122</t>
        </is>
      </c>
      <c r="E406" s="256" t="inlineStr">
        <is>
          <t>Blue Sunset Sherbet</t>
        </is>
      </c>
      <c r="F406" s="256" t="inlineStr">
        <is>
          <t>06.06.2026</t>
        </is>
      </c>
      <c r="G406" s="256" t="inlineStr">
        <is>
          <t>9.6</t>
        </is>
      </c>
      <c r="H406" s="256" t="inlineStr">
        <is>
          <t>Pseudomonas aeruginosa</t>
        </is>
      </c>
      <c r="I406" s="256" t="inlineStr">
        <is>
          <t>Ph. Eur. 2.6.13 cat. C</t>
        </is>
      </c>
      <c r="J406" s="256" t="inlineStr">
        <is>
          <t>Absence | Отсуство / 1 g</t>
        </is>
      </c>
      <c r="K406" s="260" t="inlineStr">
        <is>
          <t>upon request — not required for release</t>
        </is>
      </c>
      <c r="L406" s="256" t="inlineStr">
        <is>
          <t>—</t>
        </is>
      </c>
      <c r="M406" s="256" t="inlineStr">
        <is>
          <t>—</t>
        </is>
      </c>
      <c r="N406" s="256" t="inlineStr">
        <is>
          <t>—</t>
        </is>
      </c>
      <c r="O406" s="256" t="inlineStr">
        <is>
          <t>—</t>
        </is>
      </c>
      <c r="P406" s="256" t="inlineStr">
        <is>
          <t>upon request — not required for release</t>
        </is>
      </c>
      <c r="Q406" s="256" t="inlineStr"/>
      <c r="R406" s="256" t="inlineStr"/>
    </row>
    <row r="407">
      <c r="A407" s="256" t="inlineStr">
        <is>
          <t>CoQ-PP_26-018</t>
        </is>
      </c>
      <c r="B407" s="256" t="inlineStr">
        <is>
          <t>release</t>
        </is>
      </c>
      <c r="C407" s="256" t="inlineStr">
        <is>
          <t>BSS1024_01</t>
        </is>
      </c>
      <c r="D407" s="256" t="inlineStr">
        <is>
          <t>P050122</t>
        </is>
      </c>
      <c r="E407" s="256" t="inlineStr">
        <is>
          <t>Blue Sunset Sherbet</t>
        </is>
      </c>
      <c r="F407" s="256" t="inlineStr">
        <is>
          <t>06.06.2026</t>
        </is>
      </c>
      <c r="G407" s="256" t="inlineStr">
        <is>
          <t>9.7</t>
        </is>
      </c>
      <c r="H407" s="256" t="inlineStr">
        <is>
          <t>Staphylococcus aureus</t>
        </is>
      </c>
      <c r="I407" s="256" t="inlineStr">
        <is>
          <t>Ph. Eur. 2.6.13 cat. C</t>
        </is>
      </c>
      <c r="J407" s="256" t="inlineStr">
        <is>
          <t>Absence | Отсуство / 1 g</t>
        </is>
      </c>
      <c r="K407" s="260" t="inlineStr">
        <is>
          <t>upon request — not required for release</t>
        </is>
      </c>
      <c r="L407" s="256" t="inlineStr">
        <is>
          <t>—</t>
        </is>
      </c>
      <c r="M407" s="256" t="inlineStr">
        <is>
          <t>—</t>
        </is>
      </c>
      <c r="N407" s="256" t="inlineStr">
        <is>
          <t>—</t>
        </is>
      </c>
      <c r="O407" s="256" t="inlineStr">
        <is>
          <t>—</t>
        </is>
      </c>
      <c r="P407" s="256" t="inlineStr">
        <is>
          <t>upon request — not required for release</t>
        </is>
      </c>
      <c r="Q407" s="256" t="inlineStr"/>
      <c r="R407" s="256" t="inlineStr"/>
    </row>
    <row r="408">
      <c r="A408" s="256" t="inlineStr">
        <is>
          <t>CoQ-PP_26-018</t>
        </is>
      </c>
      <c r="B408" s="256" t="inlineStr">
        <is>
          <t>release</t>
        </is>
      </c>
      <c r="C408" s="256" t="inlineStr">
        <is>
          <t>BSS1024_01</t>
        </is>
      </c>
      <c r="D408" s="256" t="inlineStr">
        <is>
          <t>P050122</t>
        </is>
      </c>
      <c r="E408" s="256" t="inlineStr">
        <is>
          <t>Blue Sunset Sherbet</t>
        </is>
      </c>
      <c r="F408" s="256" t="inlineStr">
        <is>
          <t>06.06.2026</t>
        </is>
      </c>
      <c r="G408" s="256" t="inlineStr">
        <is>
          <t>10.1</t>
        </is>
      </c>
      <c r="H408" s="256" t="inlineStr">
        <is>
          <t>Aflatoxin B₁</t>
        </is>
      </c>
      <c r="I408" s="256" t="inlineStr">
        <is>
          <t>Ph. Eur. 2.8.18 (HPLC-FLD)</t>
        </is>
      </c>
      <c r="J408" s="256" t="inlineStr">
        <is>
          <t>≤ 2 µg/kg</t>
        </is>
      </c>
      <c r="K408" s="259" t="inlineStr">
        <is>
          <t>not tested</t>
        </is>
      </c>
      <c r="L408" s="256" t="inlineStr">
        <is>
          <t>—</t>
        </is>
      </c>
      <c r="M408" s="256" t="inlineStr">
        <is>
          <t>—</t>
        </is>
      </c>
      <c r="N408" s="256" t="inlineStr">
        <is>
          <t>—</t>
        </is>
      </c>
      <c r="O408" s="256" t="inlineStr">
        <is>
          <t>—</t>
        </is>
      </c>
      <c r="P408" s="256" t="inlineStr">
        <is>
          <t>not tested — no certificate covers it</t>
        </is>
      </c>
      <c r="Q408" s="256" t="inlineStr"/>
      <c r="R408" s="256" t="inlineStr"/>
    </row>
    <row r="409">
      <c r="A409" s="256" t="inlineStr">
        <is>
          <t>CoQ-PP_26-018</t>
        </is>
      </c>
      <c r="B409" s="256" t="inlineStr">
        <is>
          <t>release</t>
        </is>
      </c>
      <c r="C409" s="256" t="inlineStr">
        <is>
          <t>BSS1024_01</t>
        </is>
      </c>
      <c r="D409" s="256" t="inlineStr">
        <is>
          <t>P050122</t>
        </is>
      </c>
      <c r="E409" s="256" t="inlineStr">
        <is>
          <t>Blue Sunset Sherbet</t>
        </is>
      </c>
      <c r="F409" s="256" t="inlineStr">
        <is>
          <t>06.06.2026</t>
        </is>
      </c>
      <c r="G409" s="256" t="inlineStr">
        <is>
          <t>10.2</t>
        </is>
      </c>
      <c r="H409" s="256" t="inlineStr">
        <is>
          <t>Aflatoxins ∑</t>
        </is>
      </c>
      <c r="I409" s="256" t="inlineStr">
        <is>
          <t>Ph. Eur. 2.8.18 (HPLC-FLD)</t>
        </is>
      </c>
      <c r="J409" s="256" t="inlineStr">
        <is>
          <t>≤ 4 µg/kg</t>
        </is>
      </c>
      <c r="K409" s="256" t="inlineStr">
        <is>
          <t>&lt; 2</t>
        </is>
      </c>
      <c r="L409" s="256" t="inlineStr">
        <is>
          <t>3177/2025</t>
        </is>
      </c>
      <c r="M409" s="256" t="inlineStr">
        <is>
          <t>26.06.2025</t>
        </is>
      </c>
      <c r="N409" s="256" t="inlineStr">
        <is>
          <t>IPH — Institute of Public Health</t>
        </is>
      </c>
      <c r="O409" s="256" t="inlineStr">
        <is>
          <t>23.06.2025</t>
        </is>
      </c>
      <c r="P409" s="256" t="inlineStr">
        <is>
          <t>covered</t>
        </is>
      </c>
      <c r="Q409" s="256" t="inlineStr"/>
      <c r="R409" s="256" t="inlineStr"/>
    </row>
    <row r="410">
      <c r="A410" s="256" t="inlineStr">
        <is>
          <t>CoQ-PP_26-018</t>
        </is>
      </c>
      <c r="B410" s="256" t="inlineStr">
        <is>
          <t>release</t>
        </is>
      </c>
      <c r="C410" s="256" t="inlineStr">
        <is>
          <t>BSS1024_01</t>
        </is>
      </c>
      <c r="D410" s="256" t="inlineStr">
        <is>
          <t>P050122</t>
        </is>
      </c>
      <c r="E410" s="256" t="inlineStr">
        <is>
          <t>Blue Sunset Sherbet</t>
        </is>
      </c>
      <c r="F410" s="256" t="inlineStr">
        <is>
          <t>06.06.2026</t>
        </is>
      </c>
      <c r="G410" s="256" t="inlineStr">
        <is>
          <t>10.3</t>
        </is>
      </c>
      <c r="H410" s="256" t="inlineStr">
        <is>
          <t>Ochratoxin A</t>
        </is>
      </c>
      <c r="I410" s="256" t="inlineStr">
        <is>
          <t>Ph. Eur. 2.8.22 (HPLC-FLD)</t>
        </is>
      </c>
      <c r="J410" s="256" t="inlineStr">
        <is>
          <t>≤ 20 µg/kg</t>
        </is>
      </c>
      <c r="K410" s="259" t="inlineStr">
        <is>
          <t>not tested</t>
        </is>
      </c>
      <c r="L410" s="256" t="inlineStr">
        <is>
          <t>—</t>
        </is>
      </c>
      <c r="M410" s="256" t="inlineStr">
        <is>
          <t>—</t>
        </is>
      </c>
      <c r="N410" s="256" t="inlineStr">
        <is>
          <t>—</t>
        </is>
      </c>
      <c r="O410" s="256" t="inlineStr">
        <is>
          <t>—</t>
        </is>
      </c>
      <c r="P410" s="256" t="inlineStr">
        <is>
          <t>not tested — no certificate covers it</t>
        </is>
      </c>
      <c r="Q410" s="256" t="inlineStr"/>
      <c r="R410" s="256" t="inlineStr"/>
    </row>
    <row r="411">
      <c r="A411" s="256" t="inlineStr">
        <is>
          <t>CoQ-PP_26-018</t>
        </is>
      </c>
      <c r="B411" s="256" t="inlineStr">
        <is>
          <t>release</t>
        </is>
      </c>
      <c r="C411" s="256" t="inlineStr">
        <is>
          <t>BSS1024_01</t>
        </is>
      </c>
      <c r="D411" s="256" t="inlineStr">
        <is>
          <t>P050122</t>
        </is>
      </c>
      <c r="E411" s="256" t="inlineStr">
        <is>
          <t>Blue Sunset Sherbet</t>
        </is>
      </c>
      <c r="F411" s="256" t="inlineStr">
        <is>
          <t>06.06.2026</t>
        </is>
      </c>
      <c r="G411" s="256" t="inlineStr">
        <is>
          <t>11.1</t>
        </is>
      </c>
      <c r="H411" s="256" t="inlineStr">
        <is>
          <t>Lead (Pb)</t>
        </is>
      </c>
      <c r="I411" s="256" t="inlineStr">
        <is>
          <t>Ph. Eur. 2.4.27 (ICP-MS)</t>
        </is>
      </c>
      <c r="J411" s="256" t="inlineStr">
        <is>
          <t>≤ 0.5 mg/kg</t>
        </is>
      </c>
      <c r="K411" s="256" t="inlineStr">
        <is>
          <t>ND</t>
        </is>
      </c>
      <c r="L411" s="256" t="inlineStr">
        <is>
          <t>3177/2025</t>
        </is>
      </c>
      <c r="M411" s="256" t="inlineStr">
        <is>
          <t>26.06.2025</t>
        </is>
      </c>
      <c r="N411" s="256" t="inlineStr">
        <is>
          <t>IPH — Institute of Public Health</t>
        </is>
      </c>
      <c r="O411" s="256" t="inlineStr">
        <is>
          <t>23.06.2025</t>
        </is>
      </c>
      <c r="P411" s="256" t="inlineStr">
        <is>
          <t>covered</t>
        </is>
      </c>
      <c r="Q411" s="256" t="inlineStr"/>
      <c r="R411" s="256" t="inlineStr"/>
    </row>
    <row r="412">
      <c r="A412" s="256" t="inlineStr">
        <is>
          <t>CoQ-PP_26-018</t>
        </is>
      </c>
      <c r="B412" s="256" t="inlineStr">
        <is>
          <t>release</t>
        </is>
      </c>
      <c r="C412" s="256" t="inlineStr">
        <is>
          <t>BSS1024_01</t>
        </is>
      </c>
      <c r="D412" s="256" t="inlineStr">
        <is>
          <t>P050122</t>
        </is>
      </c>
      <c r="E412" s="256" t="inlineStr">
        <is>
          <t>Blue Sunset Sherbet</t>
        </is>
      </c>
      <c r="F412" s="256" t="inlineStr">
        <is>
          <t>06.06.2026</t>
        </is>
      </c>
      <c r="G412" s="256" t="inlineStr">
        <is>
          <t>11.2</t>
        </is>
      </c>
      <c r="H412" s="256" t="inlineStr">
        <is>
          <t>Cadmium (Cd)</t>
        </is>
      </c>
      <c r="I412" s="256" t="inlineStr">
        <is>
          <t>Ph. Eur. 2.4.27 (ICP-MS)</t>
        </is>
      </c>
      <c r="J412" s="256" t="inlineStr">
        <is>
          <t>≤ 0.3 mg/kg</t>
        </is>
      </c>
      <c r="K412" s="256" t="inlineStr">
        <is>
          <t>ND</t>
        </is>
      </c>
      <c r="L412" s="256" t="inlineStr">
        <is>
          <t>3177/2025</t>
        </is>
      </c>
      <c r="M412" s="256" t="inlineStr">
        <is>
          <t>26.06.2025</t>
        </is>
      </c>
      <c r="N412" s="256" t="inlineStr">
        <is>
          <t>IPH — Institute of Public Health</t>
        </is>
      </c>
      <c r="O412" s="256" t="inlineStr">
        <is>
          <t>23.06.2025</t>
        </is>
      </c>
      <c r="P412" s="256" t="inlineStr">
        <is>
          <t>covered</t>
        </is>
      </c>
      <c r="Q412" s="256" t="inlineStr"/>
      <c r="R412" s="256" t="inlineStr"/>
    </row>
    <row r="413">
      <c r="A413" s="256" t="inlineStr">
        <is>
          <t>CoQ-PP_26-018</t>
        </is>
      </c>
      <c r="B413" s="256" t="inlineStr">
        <is>
          <t>release</t>
        </is>
      </c>
      <c r="C413" s="256" t="inlineStr">
        <is>
          <t>BSS1024_01</t>
        </is>
      </c>
      <c r="D413" s="256" t="inlineStr">
        <is>
          <t>P050122</t>
        </is>
      </c>
      <c r="E413" s="256" t="inlineStr">
        <is>
          <t>Blue Sunset Sherbet</t>
        </is>
      </c>
      <c r="F413" s="256" t="inlineStr">
        <is>
          <t>06.06.2026</t>
        </is>
      </c>
      <c r="G413" s="256" t="inlineStr">
        <is>
          <t>11.3</t>
        </is>
      </c>
      <c r="H413" s="256" t="inlineStr">
        <is>
          <t>Arsenic (As)</t>
        </is>
      </c>
      <c r="I413" s="256" t="inlineStr">
        <is>
          <t>Ph. Eur. 2.4.27 (ICP-MS)</t>
        </is>
      </c>
      <c r="J413" s="256" t="inlineStr">
        <is>
          <t>≤ 0.2 mg/kg</t>
        </is>
      </c>
      <c r="K413" s="256" t="inlineStr">
        <is>
          <t>0.112</t>
        </is>
      </c>
      <c r="L413" s="256" t="inlineStr">
        <is>
          <t>3177/2025</t>
        </is>
      </c>
      <c r="M413" s="256" t="inlineStr">
        <is>
          <t>26.06.2025</t>
        </is>
      </c>
      <c r="N413" s="256" t="inlineStr">
        <is>
          <t>IPH — Institute of Public Health</t>
        </is>
      </c>
      <c r="O413" s="256" t="inlineStr">
        <is>
          <t>23.06.2025</t>
        </is>
      </c>
      <c r="P413" s="256" t="inlineStr">
        <is>
          <t>covered</t>
        </is>
      </c>
      <c r="Q413" s="256" t="inlineStr"/>
      <c r="R413" s="256" t="inlineStr"/>
    </row>
    <row r="414">
      <c r="A414" s="256" t="inlineStr">
        <is>
          <t>CoQ-PP_26-018</t>
        </is>
      </c>
      <c r="B414" s="256" t="inlineStr">
        <is>
          <t>release</t>
        </is>
      </c>
      <c r="C414" s="256" t="inlineStr">
        <is>
          <t>BSS1024_01</t>
        </is>
      </c>
      <c r="D414" s="256" t="inlineStr">
        <is>
          <t>P050122</t>
        </is>
      </c>
      <c r="E414" s="256" t="inlineStr">
        <is>
          <t>Blue Sunset Sherbet</t>
        </is>
      </c>
      <c r="F414" s="256" t="inlineStr">
        <is>
          <t>06.06.2026</t>
        </is>
      </c>
      <c r="G414" s="256" t="inlineStr">
        <is>
          <t>11.4</t>
        </is>
      </c>
      <c r="H414" s="256" t="inlineStr">
        <is>
          <t>Mercury (Hg)</t>
        </is>
      </c>
      <c r="I414" s="256" t="inlineStr">
        <is>
          <t>Ph. Eur. 2.4.27 (ICP-MS)</t>
        </is>
      </c>
      <c r="J414" s="256" t="inlineStr">
        <is>
          <t>≤ 0.1 mg/kg</t>
        </is>
      </c>
      <c r="K414" s="256" t="inlineStr">
        <is>
          <t>ND</t>
        </is>
      </c>
      <c r="L414" s="256" t="inlineStr">
        <is>
          <t>3177/2025</t>
        </is>
      </c>
      <c r="M414" s="256" t="inlineStr">
        <is>
          <t>26.06.2025</t>
        </is>
      </c>
      <c r="N414" s="256" t="inlineStr">
        <is>
          <t>IPH — Institute of Public Health</t>
        </is>
      </c>
      <c r="O414" s="256" t="inlineStr">
        <is>
          <t>23.06.2025</t>
        </is>
      </c>
      <c r="P414" s="256" t="inlineStr">
        <is>
          <t>covered</t>
        </is>
      </c>
      <c r="Q414" s="256" t="inlineStr"/>
      <c r="R414" s="256" t="inlineStr"/>
    </row>
    <row r="415">
      <c r="A415" s="256" t="inlineStr">
        <is>
          <t>CoQ-PP_26-018</t>
        </is>
      </c>
      <c r="B415" s="256" t="inlineStr">
        <is>
          <t>release</t>
        </is>
      </c>
      <c r="C415" s="256" t="inlineStr">
        <is>
          <t>BSS1024_01</t>
        </is>
      </c>
      <c r="D415" s="256" t="inlineStr">
        <is>
          <t>P050122</t>
        </is>
      </c>
      <c r="E415" s="256" t="inlineStr">
        <is>
          <t>Blue Sunset Sherbet</t>
        </is>
      </c>
      <c r="F415" s="256" t="inlineStr">
        <is>
          <t>06.06.2026</t>
        </is>
      </c>
      <c r="G415" s="256" t="inlineStr">
        <is>
          <t>12</t>
        </is>
      </c>
      <c r="H415" s="256" t="inlineStr">
        <is>
          <t>Pesticide Residues</t>
        </is>
      </c>
      <c r="I415" s="256" t="inlineStr">
        <is>
          <t>Ph. Eur. 2.8.13 (LC-MS/MS) · CUMCS Equivalency</t>
        </is>
      </c>
      <c r="J415" s="256" t="inlineStr">
        <is>
          <t>≤ LOQ as per Ph. Eur. 2.8.13 · ≤ LOQ as per CUMCS Equivalency</t>
        </is>
      </c>
      <c r="K415" s="256" t="inlineStr">
        <is>
          <t>ND</t>
        </is>
      </c>
      <c r="L415" s="256" t="inlineStr">
        <is>
          <t>3177/2025</t>
        </is>
      </c>
      <c r="M415" s="256" t="inlineStr">
        <is>
          <t>26.06.2025</t>
        </is>
      </c>
      <c r="N415" s="256" t="inlineStr">
        <is>
          <t>IPH — Institute of Public Health</t>
        </is>
      </c>
      <c r="O415" s="256" t="inlineStr">
        <is>
          <t>23.06.2025</t>
        </is>
      </c>
      <c r="P415" s="256" t="inlineStr">
        <is>
          <t>covered</t>
        </is>
      </c>
      <c r="Q415" s="256" t="inlineStr"/>
      <c r="R415" s="256" t="inlineStr"/>
    </row>
    <row r="416">
      <c r="A416" s="256" t="inlineStr">
        <is>
          <t>CoQ-PP_26-019</t>
        </is>
      </c>
      <c r="B416" s="256" t="inlineStr">
        <is>
          <t>release</t>
        </is>
      </c>
      <c r="C416" s="256" t="inlineStr">
        <is>
          <t>OPM052501</t>
        </is>
      </c>
      <c r="D416" s="256" t="inlineStr">
        <is>
          <t>P050132</t>
        </is>
      </c>
      <c r="E416" s="256" t="inlineStr">
        <is>
          <t>Orange Punch Mimosa</t>
        </is>
      </c>
      <c r="F416" s="256" t="inlineStr">
        <is>
          <t>06.06.2026</t>
        </is>
      </c>
      <c r="G416" s="256" t="inlineStr">
        <is>
          <t>1</t>
        </is>
      </c>
      <c r="H416" s="256" t="inlineStr">
        <is>
          <t>Identification A, Appearance · Macroscopic</t>
        </is>
      </c>
      <c r="I416" s="256" t="inlineStr">
        <is>
          <t>Ph. Eur. mon. 3028</t>
        </is>
      </c>
      <c r="J416" s="256" t="inlineStr">
        <is>
          <t>Conforms to the monograph for Cannabis flos (07/2024:3028) in Ph. Eur. 11.0 | Согласно монографија за Cannabis flos (07/2024:3028) во Ph. Eur. 11.0</t>
        </is>
      </c>
      <c r="K416" s="256" t="inlineStr">
        <is>
          <t>Conforms | Одговара</t>
        </is>
      </c>
      <c r="L416" s="256" t="inlineStr">
        <is>
          <t>iCoA-PP_26-018</t>
        </is>
      </c>
      <c r="M416" s="256" t="inlineStr">
        <is>
          <t>03.06.2026</t>
        </is>
      </c>
      <c r="N416" s="256" t="inlineStr">
        <is>
          <t>Purely Plant GmbH (in-house)</t>
        </is>
      </c>
      <c r="O416" s="256" t="inlineStr">
        <is>
          <t>—</t>
        </is>
      </c>
      <c r="P416" s="256" t="inlineStr">
        <is>
          <t>to be performed — see route</t>
        </is>
      </c>
      <c r="Q416" s="256" t="inlineStr">
        <is>
          <t>Purely Plant laboratory — iCoA covering Ident A + B</t>
        </is>
      </c>
      <c r="R416" s="256" t="inlineStr"/>
    </row>
    <row r="417">
      <c r="A417" s="256" t="inlineStr">
        <is>
          <t>CoQ-PP_26-019</t>
        </is>
      </c>
      <c r="B417" s="256" t="inlineStr">
        <is>
          <t>release</t>
        </is>
      </c>
      <c r="C417" s="256" t="inlineStr">
        <is>
          <t>OPM052501</t>
        </is>
      </c>
      <c r="D417" s="256" t="inlineStr">
        <is>
          <t>P050132</t>
        </is>
      </c>
      <c r="E417" s="256" t="inlineStr">
        <is>
          <t>Orange Punch Mimosa</t>
        </is>
      </c>
      <c r="F417" s="256" t="inlineStr">
        <is>
          <t>06.06.2026</t>
        </is>
      </c>
      <c r="G417" s="256" t="inlineStr">
        <is>
          <t>2</t>
        </is>
      </c>
      <c r="H417" s="256" t="inlineStr">
        <is>
          <t>Identification B · Microscopic</t>
        </is>
      </c>
      <c r="I417" s="256" t="inlineStr">
        <is>
          <t>Ph. Eur. 2.8.23 (microscopy)</t>
        </is>
      </c>
      <c r="J417" s="256" t="inlineStr">
        <is>
          <t>Conforms to the monograph for Cannabis flos (07/2024:3028) in Ph. Eur. 11.0 | Согласно монографија за Cannabis flos (07/2024:3028) во Ph. Eur. 11.0</t>
        </is>
      </c>
      <c r="K417" s="256" t="inlineStr">
        <is>
          <t>Conforms | Одговара</t>
        </is>
      </c>
      <c r="L417" s="256" t="inlineStr">
        <is>
          <t>iCoA-PP_26-018</t>
        </is>
      </c>
      <c r="M417" s="256" t="inlineStr">
        <is>
          <t>03.06.2026</t>
        </is>
      </c>
      <c r="N417" s="256" t="inlineStr">
        <is>
          <t>Purely Plant GmbH (in-house)</t>
        </is>
      </c>
      <c r="O417" s="256" t="inlineStr">
        <is>
          <t>—</t>
        </is>
      </c>
      <c r="P417" s="256" t="inlineStr">
        <is>
          <t>to be performed — see route</t>
        </is>
      </c>
      <c r="Q417" s="256" t="inlineStr">
        <is>
          <t>Purely Plant laboratory — iCoA covering Ident A + B</t>
        </is>
      </c>
      <c r="R417" s="256" t="inlineStr"/>
    </row>
    <row r="418">
      <c r="A418" s="256" t="inlineStr">
        <is>
          <t>CoQ-PP_26-019</t>
        </is>
      </c>
      <c r="B418" s="256" t="inlineStr">
        <is>
          <t>release</t>
        </is>
      </c>
      <c r="C418" s="256" t="inlineStr">
        <is>
          <t>OPM052501</t>
        </is>
      </c>
      <c r="D418" s="256" t="inlineStr">
        <is>
          <t>P050132</t>
        </is>
      </c>
      <c r="E418" s="256" t="inlineStr">
        <is>
          <t>Orange Punch Mimosa</t>
        </is>
      </c>
      <c r="F418" s="256" t="inlineStr">
        <is>
          <t>06.06.2026</t>
        </is>
      </c>
      <c r="G418" s="256" t="inlineStr">
        <is>
          <t>3</t>
        </is>
      </c>
      <c r="H418" s="256" t="inlineStr">
        <is>
          <t>Identification C · HPLC/HPTLC</t>
        </is>
      </c>
      <c r="I418" s="256" t="inlineStr">
        <is>
          <t>HPLC — DAB 2018 monograph Cannabis flos, 2.2.29 (CNP, before its Ph. Eur. 3028 accreditation)</t>
        </is>
      </c>
      <c r="J418" s="256" t="inlineStr">
        <is>
          <t>Conforms to the monograph for Cannabis flos (07/2024:3028) in Ph. Eur. 11.0 | Согласно монографија за Cannabis flos (07/2024:3028) во Ph. Eur. 11.0</t>
        </is>
      </c>
      <c r="K418" s="256" t="inlineStr">
        <is>
          <t>Conforms | Одговара</t>
        </is>
      </c>
      <c r="L418" s="256" t="inlineStr">
        <is>
          <t>ППК25257</t>
        </is>
      </c>
      <c r="M418" s="256" t="inlineStr">
        <is>
          <t>05.09.2025</t>
        </is>
      </c>
      <c r="N418" s="256" t="inlineStr">
        <is>
          <t>UKIM Faculty of Pharmacy — Center for Natural Products</t>
        </is>
      </c>
      <c r="O418" s="256" t="inlineStr">
        <is>
          <t>25.08.2025</t>
        </is>
      </c>
      <c r="P418" s="256" t="inlineStr">
        <is>
          <t>covered</t>
        </is>
      </c>
      <c r="Q418" s="256" t="inlineStr"/>
      <c r="R418" s="256" t="inlineStr"/>
    </row>
    <row r="419">
      <c r="A419" s="256" t="inlineStr">
        <is>
          <t>CoQ-PP_26-019</t>
        </is>
      </c>
      <c r="B419" s="256" t="inlineStr">
        <is>
          <t>release</t>
        </is>
      </c>
      <c r="C419" s="256" t="inlineStr">
        <is>
          <t>OPM052501</t>
        </is>
      </c>
      <c r="D419" s="256" t="inlineStr">
        <is>
          <t>P050132</t>
        </is>
      </c>
      <c r="E419" s="256" t="inlineStr">
        <is>
          <t>Orange Punch Mimosa</t>
        </is>
      </c>
      <c r="F419" s="256" t="inlineStr">
        <is>
          <t>06.06.2026</t>
        </is>
      </c>
      <c r="G419" s="256" t="inlineStr">
        <is>
          <t>4</t>
        </is>
      </c>
      <c r="H419" s="256" t="inlineStr">
        <is>
          <t>Assay — Total Δ⁹-THC</t>
        </is>
      </c>
      <c r="I419" s="256" t="inlineStr">
        <is>
          <t>HPLC — DAB 2018 monograph Cannabis flos, 2.2.29 (CNP, before its Ph. Eur. 3028 accreditation)</t>
        </is>
      </c>
      <c r="J419" s="256" t="inlineStr">
        <is>
          <t>12.60 – 15.39 %  (grade III, nominal 14.00 ± 1.40)</t>
        </is>
      </c>
      <c r="K419" s="256" t="inlineStr">
        <is>
          <t>14.16</t>
        </is>
      </c>
      <c r="L419" s="256" t="inlineStr">
        <is>
          <t>ППК25257</t>
        </is>
      </c>
      <c r="M419" s="256" t="inlineStr">
        <is>
          <t>05.09.2025</t>
        </is>
      </c>
      <c r="N419" s="256" t="inlineStr">
        <is>
          <t>UKIM Faculty of Pharmacy — Center for Natural Products</t>
        </is>
      </c>
      <c r="O419" s="256" t="inlineStr">
        <is>
          <t>25.08.2025</t>
        </is>
      </c>
      <c r="P419" s="256" t="inlineStr">
        <is>
          <t>covered</t>
        </is>
      </c>
      <c r="Q419" s="256" t="inlineStr"/>
      <c r="R419" s="256" t="inlineStr">
        <is>
          <t>17.83 (227-11-К/26)</t>
        </is>
      </c>
    </row>
    <row r="420">
      <c r="A420" s="256" t="inlineStr">
        <is>
          <t>CoQ-PP_26-019</t>
        </is>
      </c>
      <c r="B420" s="256" t="inlineStr">
        <is>
          <t>release</t>
        </is>
      </c>
      <c r="C420" s="256" t="inlineStr">
        <is>
          <t>OPM052501</t>
        </is>
      </c>
      <c r="D420" s="256" t="inlineStr">
        <is>
          <t>P050132</t>
        </is>
      </c>
      <c r="E420" s="256" t="inlineStr">
        <is>
          <t>Orange Punch Mimosa</t>
        </is>
      </c>
      <c r="F420" s="256" t="inlineStr">
        <is>
          <t>06.06.2026</t>
        </is>
      </c>
      <c r="G420" s="256" t="inlineStr">
        <is>
          <t>5</t>
        </is>
      </c>
      <c r="H420" s="256" t="inlineStr">
        <is>
          <t>Assay — Total CBD</t>
        </is>
      </c>
      <c r="I420" s="256" t="inlineStr">
        <is>
          <t>HPLC — DAB 2018 monograph Cannabis flos, 2.2.29 · CBD + CBDA x 0.877 (CNP, before its Ph. Eur. 3028 accreditation)</t>
        </is>
      </c>
      <c r="J420" s="256" t="inlineStr">
        <is>
          <t>≤ 1.0%, w/w</t>
        </is>
      </c>
      <c r="K420" s="256" t="inlineStr">
        <is>
          <t>0.04</t>
        </is>
      </c>
      <c r="L420" s="256" t="inlineStr">
        <is>
          <t>ППК25257</t>
        </is>
      </c>
      <c r="M420" s="256" t="inlineStr">
        <is>
          <t>05.09.2025</t>
        </is>
      </c>
      <c r="N420" s="256" t="inlineStr">
        <is>
          <t>UKIM Faculty of Pharmacy — Center for Natural Products</t>
        </is>
      </c>
      <c r="O420" s="256" t="inlineStr">
        <is>
          <t>25.08.2025</t>
        </is>
      </c>
      <c r="P420" s="256" t="inlineStr">
        <is>
          <t>covered</t>
        </is>
      </c>
      <c r="Q420" s="256" t="inlineStr"/>
      <c r="R420" s="256" t="inlineStr">
        <is>
          <t>&lt;LOQ (227-11-К/26)</t>
        </is>
      </c>
    </row>
    <row r="421">
      <c r="A421" s="256" t="inlineStr">
        <is>
          <t>CoQ-PP_26-019</t>
        </is>
      </c>
      <c r="B421" s="256" t="inlineStr">
        <is>
          <t>release</t>
        </is>
      </c>
      <c r="C421" s="256" t="inlineStr">
        <is>
          <t>OPM052501</t>
        </is>
      </c>
      <c r="D421" s="256" t="inlineStr">
        <is>
          <t>P050132</t>
        </is>
      </c>
      <c r="E421" s="256" t="inlineStr">
        <is>
          <t>Orange Punch Mimosa</t>
        </is>
      </c>
      <c r="F421" s="256" t="inlineStr">
        <is>
          <t>06.06.2026</t>
        </is>
      </c>
      <c r="G421" s="256" t="inlineStr">
        <is>
          <t>6</t>
        </is>
      </c>
      <c r="H421" s="256" t="inlineStr">
        <is>
          <t>Total CBN</t>
        </is>
      </c>
      <c r="I421" s="256" t="inlineStr">
        <is>
          <t>Ph. Eur. 2.2.29 (HPLC) · CBN + CBNA x 0.876</t>
        </is>
      </c>
      <c r="J421" s="256" t="inlineStr">
        <is>
          <t>≤ 1.0%, w/w</t>
        </is>
      </c>
      <c r="K421" s="259" t="inlineStr">
        <is>
          <t>not tested</t>
        </is>
      </c>
      <c r="L421" s="256" t="inlineStr">
        <is>
          <t>—</t>
        </is>
      </c>
      <c r="M421" s="256" t="inlineStr">
        <is>
          <t>—</t>
        </is>
      </c>
      <c r="N421" s="256" t="inlineStr">
        <is>
          <t>—</t>
        </is>
      </c>
      <c r="O421" s="256" t="inlineStr">
        <is>
          <t>—</t>
        </is>
      </c>
      <c r="P421" s="256" t="inlineStr">
        <is>
          <t>not tested — no certificate covers it</t>
        </is>
      </c>
      <c r="Q421" s="256" t="inlineStr"/>
      <c r="R421" s="256" t="inlineStr">
        <is>
          <t>&lt;LOQ (227-11-К/26)</t>
        </is>
      </c>
    </row>
    <row r="422">
      <c r="A422" s="256" t="inlineStr">
        <is>
          <t>CoQ-PP_26-019</t>
        </is>
      </c>
      <c r="B422" s="256" t="inlineStr">
        <is>
          <t>release</t>
        </is>
      </c>
      <c r="C422" s="256" t="inlineStr">
        <is>
          <t>OPM052501</t>
        </is>
      </c>
      <c r="D422" s="256" t="inlineStr">
        <is>
          <t>P050132</t>
        </is>
      </c>
      <c r="E422" s="256" t="inlineStr">
        <is>
          <t>Orange Punch Mimosa</t>
        </is>
      </c>
      <c r="F422" s="256" t="inlineStr">
        <is>
          <t>06.06.2026</t>
        </is>
      </c>
      <c r="G422" s="256" t="inlineStr">
        <is>
          <t>7</t>
        </is>
      </c>
      <c r="H422" s="256" t="inlineStr">
        <is>
          <t>Foreign Matter</t>
        </is>
      </c>
      <c r="I422" s="256" t="inlineStr">
        <is>
          <t>Ph. Eur. 2.8.2 · In-house · интерна</t>
        </is>
      </c>
      <c r="J422" s="256" t="inlineStr">
        <is>
          <t>≤ 2.0% / 25–50 g · &lt; 1 cm leaves | листови, no seeds | без семки</t>
        </is>
      </c>
      <c r="K422" s="256" t="inlineStr">
        <is>
          <t>Conforms | Одговара</t>
        </is>
      </c>
      <c r="L422" s="256" t="inlineStr">
        <is>
          <t>iCoA-PP_26-018</t>
        </is>
      </c>
      <c r="M422" s="256" t="inlineStr">
        <is>
          <t>03.06.2026</t>
        </is>
      </c>
      <c r="N422" s="256" t="inlineStr">
        <is>
          <t>Purely Plant GmbH (in-house)</t>
        </is>
      </c>
      <c r="O422" s="256" t="inlineStr">
        <is>
          <t>—</t>
        </is>
      </c>
      <c r="P422" s="256" t="inlineStr">
        <is>
          <t>to be performed — see route</t>
        </is>
      </c>
      <c r="Q422" s="256" t="inlineStr">
        <is>
          <t>Purely Plant laboratory — iCoA covering Foreign matter</t>
        </is>
      </c>
      <c r="R422" s="256" t="inlineStr"/>
    </row>
    <row r="423">
      <c r="A423" s="256" t="inlineStr">
        <is>
          <t>CoQ-PP_26-019</t>
        </is>
      </c>
      <c r="B423" s="256" t="inlineStr">
        <is>
          <t>release</t>
        </is>
      </c>
      <c r="C423" s="256" t="inlineStr">
        <is>
          <t>OPM052501</t>
        </is>
      </c>
      <c r="D423" s="256" t="inlineStr">
        <is>
          <t>P050132</t>
        </is>
      </c>
      <c r="E423" s="256" t="inlineStr">
        <is>
          <t>Orange Punch Mimosa</t>
        </is>
      </c>
      <c r="F423" s="256" t="inlineStr">
        <is>
          <t>06.06.2026</t>
        </is>
      </c>
      <c r="G423" s="256" t="inlineStr">
        <is>
          <t>8</t>
        </is>
      </c>
      <c r="H423" s="256" t="inlineStr">
        <is>
          <t>Loss on Drying</t>
        </is>
      </c>
      <c r="I423" s="256" t="inlineStr">
        <is>
          <t>DAB 2018 monograph Cannabis flos, 2.2.32 — loss on drying (CNP, before its Ph. Eur. 3028 accreditation)</t>
        </is>
      </c>
      <c r="J423" s="256" t="inlineStr">
        <is>
          <t>≤ 12.0%</t>
        </is>
      </c>
      <c r="K423" s="256" t="inlineStr">
        <is>
          <t>8.28</t>
        </is>
      </c>
      <c r="L423" s="256" t="inlineStr">
        <is>
          <t>ППК25257</t>
        </is>
      </c>
      <c r="M423" s="256" t="inlineStr">
        <is>
          <t>05.09.2025</t>
        </is>
      </c>
      <c r="N423" s="256" t="inlineStr">
        <is>
          <t>UKIM Faculty of Pharmacy — Center for Natural Products</t>
        </is>
      </c>
      <c r="O423" s="256" t="inlineStr">
        <is>
          <t>25.08.2025</t>
        </is>
      </c>
      <c r="P423" s="256" t="inlineStr">
        <is>
          <t>covered</t>
        </is>
      </c>
      <c r="Q423" s="256" t="inlineStr"/>
      <c r="R423" s="256" t="inlineStr"/>
    </row>
    <row r="424">
      <c r="A424" s="256" t="inlineStr">
        <is>
          <t>CoQ-PP_26-019</t>
        </is>
      </c>
      <c r="B424" s="256" t="inlineStr">
        <is>
          <t>release</t>
        </is>
      </c>
      <c r="C424" s="256" t="inlineStr">
        <is>
          <t>OPM052501</t>
        </is>
      </c>
      <c r="D424" s="256" t="inlineStr">
        <is>
          <t>P050132</t>
        </is>
      </c>
      <c r="E424" s="256" t="inlineStr">
        <is>
          <t>Orange Punch Mimosa</t>
        </is>
      </c>
      <c r="F424" s="256" t="inlineStr">
        <is>
          <t>06.06.2026</t>
        </is>
      </c>
      <c r="G424" s="256" t="inlineStr">
        <is>
          <t>9.1</t>
        </is>
      </c>
      <c r="H424" s="256" t="inlineStr">
        <is>
          <t>TAMC</t>
        </is>
      </c>
      <c r="I424" s="256" t="inlineStr">
        <is>
          <t>Ph. Eur. 2.6.12 cat. C</t>
        </is>
      </c>
      <c r="J424" s="256" t="inlineStr">
        <is>
          <t>≤ 10⁵ CFU/g</t>
        </is>
      </c>
      <c r="K424" s="256" t="inlineStr">
        <is>
          <t>1.2 × 10⁴</t>
        </is>
      </c>
      <c r="L424" s="256" t="inlineStr">
        <is>
          <t>904/1589/25</t>
        </is>
      </c>
      <c r="M424" s="256" t="inlineStr">
        <is>
          <t>02.09.2025</t>
        </is>
      </c>
      <c r="N424" s="256" t="inlineStr">
        <is>
          <t>IPH — Institute of Public Health</t>
        </is>
      </c>
      <c r="O424" s="256" t="inlineStr">
        <is>
          <t>27.08.2025</t>
        </is>
      </c>
      <c r="P424" s="256" t="inlineStr">
        <is>
          <t>covered</t>
        </is>
      </c>
      <c r="Q424" s="256" t="inlineStr"/>
      <c r="R424" s="256" t="inlineStr"/>
    </row>
    <row r="425">
      <c r="A425" s="256" t="inlineStr">
        <is>
          <t>CoQ-PP_26-019</t>
        </is>
      </c>
      <c r="B425" s="256" t="inlineStr">
        <is>
          <t>release</t>
        </is>
      </c>
      <c r="C425" s="256" t="inlineStr">
        <is>
          <t>OPM052501</t>
        </is>
      </c>
      <c r="D425" s="256" t="inlineStr">
        <is>
          <t>P050132</t>
        </is>
      </c>
      <c r="E425" s="256" t="inlineStr">
        <is>
          <t>Orange Punch Mimosa</t>
        </is>
      </c>
      <c r="F425" s="256" t="inlineStr">
        <is>
          <t>06.06.2026</t>
        </is>
      </c>
      <c r="G425" s="256" t="inlineStr">
        <is>
          <t>9.2</t>
        </is>
      </c>
      <c r="H425" s="256" t="inlineStr">
        <is>
          <t>TYMC</t>
        </is>
      </c>
      <c r="I425" s="256" t="inlineStr">
        <is>
          <t>Ph. Eur. 2.6.12 cat. C</t>
        </is>
      </c>
      <c r="J425" s="256" t="inlineStr">
        <is>
          <t>≤ 10⁴ CFU/g</t>
        </is>
      </c>
      <c r="K425" s="256" t="inlineStr">
        <is>
          <t>3.3 × 10⁴</t>
        </is>
      </c>
      <c r="L425" s="256" t="inlineStr">
        <is>
          <t>904/1589/25</t>
        </is>
      </c>
      <c r="M425" s="256" t="inlineStr">
        <is>
          <t>02.09.2025</t>
        </is>
      </c>
      <c r="N425" s="256" t="inlineStr">
        <is>
          <t>IPH — Institute of Public Health</t>
        </is>
      </c>
      <c r="O425" s="256" t="inlineStr">
        <is>
          <t>27.08.2025</t>
        </is>
      </c>
      <c r="P425" s="256" t="inlineStr">
        <is>
          <t>OUT OF SPECIFICATION</t>
        </is>
      </c>
      <c r="Q425" s="256" t="inlineStr"/>
      <c r="R425" s="256" t="inlineStr"/>
    </row>
    <row r="426">
      <c r="A426" s="256" t="inlineStr">
        <is>
          <t>CoQ-PP_26-019</t>
        </is>
      </c>
      <c r="B426" s="256" t="inlineStr">
        <is>
          <t>release</t>
        </is>
      </c>
      <c r="C426" s="256" t="inlineStr">
        <is>
          <t>OPM052501</t>
        </is>
      </c>
      <c r="D426" s="256" t="inlineStr">
        <is>
          <t>P050132</t>
        </is>
      </c>
      <c r="E426" s="256" t="inlineStr">
        <is>
          <t>Orange Punch Mimosa</t>
        </is>
      </c>
      <c r="F426" s="256" t="inlineStr">
        <is>
          <t>06.06.2026</t>
        </is>
      </c>
      <c r="G426" s="256" t="inlineStr">
        <is>
          <t>9.3</t>
        </is>
      </c>
      <c r="H426" s="256" t="inlineStr">
        <is>
          <t>Bile-tolerant gram-neg.</t>
        </is>
      </c>
      <c r="I426" s="256" t="inlineStr">
        <is>
          <t>Ph. Eur. 2.6.31 cat. C</t>
        </is>
      </c>
      <c r="J426" s="256" t="inlineStr">
        <is>
          <t>≤ 10⁴ CFU/g</t>
        </is>
      </c>
      <c r="K426" s="256" t="inlineStr">
        <is>
          <t>&lt; 10</t>
        </is>
      </c>
      <c r="L426" s="256" t="inlineStr">
        <is>
          <t>904/1589/25</t>
        </is>
      </c>
      <c r="M426" s="256" t="inlineStr">
        <is>
          <t>02.09.2025</t>
        </is>
      </c>
      <c r="N426" s="256" t="inlineStr">
        <is>
          <t>IPH — Institute of Public Health</t>
        </is>
      </c>
      <c r="O426" s="256" t="inlineStr">
        <is>
          <t>27.08.2025</t>
        </is>
      </c>
      <c r="P426" s="256" t="inlineStr">
        <is>
          <t>covered</t>
        </is>
      </c>
      <c r="Q426" s="256" t="inlineStr"/>
      <c r="R426" s="256" t="inlineStr"/>
    </row>
    <row r="427">
      <c r="A427" s="256" t="inlineStr">
        <is>
          <t>CoQ-PP_26-019</t>
        </is>
      </c>
      <c r="B427" s="256" t="inlineStr">
        <is>
          <t>release</t>
        </is>
      </c>
      <c r="C427" s="256" t="inlineStr">
        <is>
          <t>OPM052501</t>
        </is>
      </c>
      <c r="D427" s="256" t="inlineStr">
        <is>
          <t>P050132</t>
        </is>
      </c>
      <c r="E427" s="256" t="inlineStr">
        <is>
          <t>Orange Punch Mimosa</t>
        </is>
      </c>
      <c r="F427" s="256" t="inlineStr">
        <is>
          <t>06.06.2026</t>
        </is>
      </c>
      <c r="G427" s="256" t="inlineStr">
        <is>
          <t>9.4</t>
        </is>
      </c>
      <c r="H427" s="256" t="inlineStr">
        <is>
          <t>Salmonella</t>
        </is>
      </c>
      <c r="I427" s="256" t="inlineStr">
        <is>
          <t>Ph. Eur. 2.6.31 cat. C</t>
        </is>
      </c>
      <c r="J427" s="256" t="inlineStr">
        <is>
          <t>Absence | Отсуство / 25 g</t>
        </is>
      </c>
      <c r="K427" s="256" t="inlineStr">
        <is>
          <t>Absent | Отсутна</t>
        </is>
      </c>
      <c r="L427" s="256" t="inlineStr">
        <is>
          <t>904/1589/25</t>
        </is>
      </c>
      <c r="M427" s="256" t="inlineStr">
        <is>
          <t>02.09.2025</t>
        </is>
      </c>
      <c r="N427" s="256" t="inlineStr">
        <is>
          <t>IPH — Institute of Public Health</t>
        </is>
      </c>
      <c r="O427" s="256" t="inlineStr">
        <is>
          <t>27.08.2025</t>
        </is>
      </c>
      <c r="P427" s="256" t="inlineStr">
        <is>
          <t>covered</t>
        </is>
      </c>
      <c r="Q427" s="256" t="inlineStr"/>
      <c r="R427" s="256" t="inlineStr"/>
    </row>
    <row r="428">
      <c r="A428" s="256" t="inlineStr">
        <is>
          <t>CoQ-PP_26-019</t>
        </is>
      </c>
      <c r="B428" s="256" t="inlineStr">
        <is>
          <t>release</t>
        </is>
      </c>
      <c r="C428" s="256" t="inlineStr">
        <is>
          <t>OPM052501</t>
        </is>
      </c>
      <c r="D428" s="256" t="inlineStr">
        <is>
          <t>P050132</t>
        </is>
      </c>
      <c r="E428" s="256" t="inlineStr">
        <is>
          <t>Orange Punch Mimosa</t>
        </is>
      </c>
      <c r="F428" s="256" t="inlineStr">
        <is>
          <t>06.06.2026</t>
        </is>
      </c>
      <c r="G428" s="256" t="inlineStr">
        <is>
          <t>9.5</t>
        </is>
      </c>
      <c r="H428" s="256" t="inlineStr">
        <is>
          <t>Escherichia coli</t>
        </is>
      </c>
      <c r="I428" s="256" t="inlineStr">
        <is>
          <t>Ph. Eur. 2.6.13 cat. C</t>
        </is>
      </c>
      <c r="J428" s="256" t="inlineStr">
        <is>
          <t>Absence | Отсуство / 1 g</t>
        </is>
      </c>
      <c r="K428" s="256" t="inlineStr">
        <is>
          <t>Absent | Отсутна</t>
        </is>
      </c>
      <c r="L428" s="256" t="inlineStr">
        <is>
          <t>904/1589/25</t>
        </is>
      </c>
      <c r="M428" s="256" t="inlineStr">
        <is>
          <t>02.09.2025</t>
        </is>
      </c>
      <c r="N428" s="256" t="inlineStr">
        <is>
          <t>IPH — Institute of Public Health</t>
        </is>
      </c>
      <c r="O428" s="256" t="inlineStr">
        <is>
          <t>27.08.2025</t>
        </is>
      </c>
      <c r="P428" s="256" t="inlineStr">
        <is>
          <t>covered</t>
        </is>
      </c>
      <c r="Q428" s="256" t="inlineStr"/>
      <c r="R428" s="256" t="inlineStr"/>
    </row>
    <row r="429">
      <c r="A429" s="256" t="inlineStr">
        <is>
          <t>CoQ-PP_26-019</t>
        </is>
      </c>
      <c r="B429" s="256" t="inlineStr">
        <is>
          <t>release</t>
        </is>
      </c>
      <c r="C429" s="256" t="inlineStr">
        <is>
          <t>OPM052501</t>
        </is>
      </c>
      <c r="D429" s="256" t="inlineStr">
        <is>
          <t>P050132</t>
        </is>
      </c>
      <c r="E429" s="256" t="inlineStr">
        <is>
          <t>Orange Punch Mimosa</t>
        </is>
      </c>
      <c r="F429" s="256" t="inlineStr">
        <is>
          <t>06.06.2026</t>
        </is>
      </c>
      <c r="G429" s="256" t="inlineStr">
        <is>
          <t>9.6</t>
        </is>
      </c>
      <c r="H429" s="256" t="inlineStr">
        <is>
          <t>Pseudomonas aeruginosa</t>
        </is>
      </c>
      <c r="I429" s="256" t="inlineStr">
        <is>
          <t>Ph. Eur. 2.6.13 cat. C</t>
        </is>
      </c>
      <c r="J429" s="256" t="inlineStr">
        <is>
          <t>Absence | Отсуство / 1 g</t>
        </is>
      </c>
      <c r="K429" s="260" t="inlineStr">
        <is>
          <t>upon request — not required for release</t>
        </is>
      </c>
      <c r="L429" s="256" t="inlineStr">
        <is>
          <t>—</t>
        </is>
      </c>
      <c r="M429" s="256" t="inlineStr">
        <is>
          <t>—</t>
        </is>
      </c>
      <c r="N429" s="256" t="inlineStr">
        <is>
          <t>—</t>
        </is>
      </c>
      <c r="O429" s="256" t="inlineStr">
        <is>
          <t>—</t>
        </is>
      </c>
      <c r="P429" s="256" t="inlineStr">
        <is>
          <t>upon request — not required for release</t>
        </is>
      </c>
      <c r="Q429" s="256" t="inlineStr"/>
      <c r="R429" s="256" t="inlineStr"/>
    </row>
    <row r="430">
      <c r="A430" s="256" t="inlineStr">
        <is>
          <t>CoQ-PP_26-019</t>
        </is>
      </c>
      <c r="B430" s="256" t="inlineStr">
        <is>
          <t>release</t>
        </is>
      </c>
      <c r="C430" s="256" t="inlineStr">
        <is>
          <t>OPM052501</t>
        </is>
      </c>
      <c r="D430" s="256" t="inlineStr">
        <is>
          <t>P050132</t>
        </is>
      </c>
      <c r="E430" s="256" t="inlineStr">
        <is>
          <t>Orange Punch Mimosa</t>
        </is>
      </c>
      <c r="F430" s="256" t="inlineStr">
        <is>
          <t>06.06.2026</t>
        </is>
      </c>
      <c r="G430" s="256" t="inlineStr">
        <is>
          <t>9.7</t>
        </is>
      </c>
      <c r="H430" s="256" t="inlineStr">
        <is>
          <t>Staphylococcus aureus</t>
        </is>
      </c>
      <c r="I430" s="256" t="inlineStr">
        <is>
          <t>Ph. Eur. 2.6.13 cat. C</t>
        </is>
      </c>
      <c r="J430" s="256" t="inlineStr">
        <is>
          <t>Absence | Отсуство / 1 g</t>
        </is>
      </c>
      <c r="K430" s="260" t="inlineStr">
        <is>
          <t>upon request — not required for release</t>
        </is>
      </c>
      <c r="L430" s="256" t="inlineStr">
        <is>
          <t>—</t>
        </is>
      </c>
      <c r="M430" s="256" t="inlineStr">
        <is>
          <t>—</t>
        </is>
      </c>
      <c r="N430" s="256" t="inlineStr">
        <is>
          <t>—</t>
        </is>
      </c>
      <c r="O430" s="256" t="inlineStr">
        <is>
          <t>—</t>
        </is>
      </c>
      <c r="P430" s="256" t="inlineStr">
        <is>
          <t>upon request — not required for release</t>
        </is>
      </c>
      <c r="Q430" s="256" t="inlineStr"/>
      <c r="R430" s="256" t="inlineStr"/>
    </row>
    <row r="431">
      <c r="A431" s="256" t="inlineStr">
        <is>
          <t>CoQ-PP_26-019</t>
        </is>
      </c>
      <c r="B431" s="256" t="inlineStr">
        <is>
          <t>release</t>
        </is>
      </c>
      <c r="C431" s="256" t="inlineStr">
        <is>
          <t>OPM052501</t>
        </is>
      </c>
      <c r="D431" s="256" t="inlineStr">
        <is>
          <t>P050132</t>
        </is>
      </c>
      <c r="E431" s="256" t="inlineStr">
        <is>
          <t>Orange Punch Mimosa</t>
        </is>
      </c>
      <c r="F431" s="256" t="inlineStr">
        <is>
          <t>06.06.2026</t>
        </is>
      </c>
      <c r="G431" s="256" t="inlineStr">
        <is>
          <t>10.1</t>
        </is>
      </c>
      <c r="H431" s="256" t="inlineStr">
        <is>
          <t>Aflatoxin B₁</t>
        </is>
      </c>
      <c r="I431" s="256" t="inlineStr">
        <is>
          <t>Ph. Eur. 2.8.18 (HPLC-FLD)</t>
        </is>
      </c>
      <c r="J431" s="256" t="inlineStr">
        <is>
          <t>≤ 2 µg/kg</t>
        </is>
      </c>
      <c r="K431" s="259" t="inlineStr">
        <is>
          <t>not tested</t>
        </is>
      </c>
      <c r="L431" s="256" t="inlineStr">
        <is>
          <t>—</t>
        </is>
      </c>
      <c r="M431" s="256" t="inlineStr">
        <is>
          <t>—</t>
        </is>
      </c>
      <c r="N431" s="256" t="inlineStr">
        <is>
          <t>—</t>
        </is>
      </c>
      <c r="O431" s="256" t="inlineStr">
        <is>
          <t>—</t>
        </is>
      </c>
      <c r="P431" s="256" t="inlineStr">
        <is>
          <t>not tested — no certificate covers it</t>
        </is>
      </c>
      <c r="Q431" s="256" t="inlineStr"/>
      <c r="R431" s="256" t="inlineStr"/>
    </row>
    <row r="432">
      <c r="A432" s="256" t="inlineStr">
        <is>
          <t>CoQ-PP_26-019</t>
        </is>
      </c>
      <c r="B432" s="256" t="inlineStr">
        <is>
          <t>release</t>
        </is>
      </c>
      <c r="C432" s="256" t="inlineStr">
        <is>
          <t>OPM052501</t>
        </is>
      </c>
      <c r="D432" s="256" t="inlineStr">
        <is>
          <t>P050132</t>
        </is>
      </c>
      <c r="E432" s="256" t="inlineStr">
        <is>
          <t>Orange Punch Mimosa</t>
        </is>
      </c>
      <c r="F432" s="256" t="inlineStr">
        <is>
          <t>06.06.2026</t>
        </is>
      </c>
      <c r="G432" s="256" t="inlineStr">
        <is>
          <t>10.2</t>
        </is>
      </c>
      <c r="H432" s="256" t="inlineStr">
        <is>
          <t>Aflatoxins ∑</t>
        </is>
      </c>
      <c r="I432" s="256" t="inlineStr">
        <is>
          <t>Ph. Eur. 2.8.18 (HPLC-FLD)</t>
        </is>
      </c>
      <c r="J432" s="256" t="inlineStr">
        <is>
          <t>≤ 4 µg/kg</t>
        </is>
      </c>
      <c r="K432" s="256" t="inlineStr">
        <is>
          <t>2.1</t>
        </is>
      </c>
      <c r="L432" s="256" t="inlineStr">
        <is>
          <t>4157/2025</t>
        </is>
      </c>
      <c r="M432" s="256" t="inlineStr">
        <is>
          <t>29.08.2025</t>
        </is>
      </c>
      <c r="N432" s="256" t="inlineStr">
        <is>
          <t>IPH — Institute of Public Health</t>
        </is>
      </c>
      <c r="O432" s="256" t="inlineStr">
        <is>
          <t>25.08.2025</t>
        </is>
      </c>
      <c r="P432" s="256" t="inlineStr">
        <is>
          <t>covered</t>
        </is>
      </c>
      <c r="Q432" s="256" t="inlineStr"/>
      <c r="R432" s="256" t="inlineStr"/>
    </row>
    <row r="433">
      <c r="A433" s="256" t="inlineStr">
        <is>
          <t>CoQ-PP_26-019</t>
        </is>
      </c>
      <c r="B433" s="256" t="inlineStr">
        <is>
          <t>release</t>
        </is>
      </c>
      <c r="C433" s="256" t="inlineStr">
        <is>
          <t>OPM052501</t>
        </is>
      </c>
      <c r="D433" s="256" t="inlineStr">
        <is>
          <t>P050132</t>
        </is>
      </c>
      <c r="E433" s="256" t="inlineStr">
        <is>
          <t>Orange Punch Mimosa</t>
        </is>
      </c>
      <c r="F433" s="256" t="inlineStr">
        <is>
          <t>06.06.2026</t>
        </is>
      </c>
      <c r="G433" s="256" t="inlineStr">
        <is>
          <t>10.3</t>
        </is>
      </c>
      <c r="H433" s="256" t="inlineStr">
        <is>
          <t>Ochratoxin A</t>
        </is>
      </c>
      <c r="I433" s="256" t="inlineStr">
        <is>
          <t>Ph. Eur. 2.8.22 (HPLC-FLD)</t>
        </is>
      </c>
      <c r="J433" s="256" t="inlineStr">
        <is>
          <t>≤ 20 µg/kg</t>
        </is>
      </c>
      <c r="K433" s="259" t="inlineStr">
        <is>
          <t>not tested</t>
        </is>
      </c>
      <c r="L433" s="256" t="inlineStr">
        <is>
          <t>—</t>
        </is>
      </c>
      <c r="M433" s="256" t="inlineStr">
        <is>
          <t>—</t>
        </is>
      </c>
      <c r="N433" s="256" t="inlineStr">
        <is>
          <t>—</t>
        </is>
      </c>
      <c r="O433" s="256" t="inlineStr">
        <is>
          <t>—</t>
        </is>
      </c>
      <c r="P433" s="256" t="inlineStr">
        <is>
          <t>not tested — no certificate covers it</t>
        </is>
      </c>
      <c r="Q433" s="256" t="inlineStr"/>
      <c r="R433" s="256" t="inlineStr"/>
    </row>
    <row r="434">
      <c r="A434" s="256" t="inlineStr">
        <is>
          <t>CoQ-PP_26-019</t>
        </is>
      </c>
      <c r="B434" s="256" t="inlineStr">
        <is>
          <t>release</t>
        </is>
      </c>
      <c r="C434" s="256" t="inlineStr">
        <is>
          <t>OPM052501</t>
        </is>
      </c>
      <c r="D434" s="256" t="inlineStr">
        <is>
          <t>P050132</t>
        </is>
      </c>
      <c r="E434" s="256" t="inlineStr">
        <is>
          <t>Orange Punch Mimosa</t>
        </is>
      </c>
      <c r="F434" s="256" t="inlineStr">
        <is>
          <t>06.06.2026</t>
        </is>
      </c>
      <c r="G434" s="256" t="inlineStr">
        <is>
          <t>11.1</t>
        </is>
      </c>
      <c r="H434" s="256" t="inlineStr">
        <is>
          <t>Lead (Pb)</t>
        </is>
      </c>
      <c r="I434" s="256" t="inlineStr">
        <is>
          <t>Ph. Eur. 2.4.27 (ICP-MS)</t>
        </is>
      </c>
      <c r="J434" s="256" t="inlineStr">
        <is>
          <t>≤ 0.5 mg/kg</t>
        </is>
      </c>
      <c r="K434" s="256" t="inlineStr">
        <is>
          <t>ND</t>
        </is>
      </c>
      <c r="L434" s="256" t="inlineStr">
        <is>
          <t>4157/2025</t>
        </is>
      </c>
      <c r="M434" s="256" t="inlineStr">
        <is>
          <t>29.08.2025</t>
        </is>
      </c>
      <c r="N434" s="256" t="inlineStr">
        <is>
          <t>IPH — Institute of Public Health</t>
        </is>
      </c>
      <c r="O434" s="256" t="inlineStr">
        <is>
          <t>25.08.2025</t>
        </is>
      </c>
      <c r="P434" s="256" t="inlineStr">
        <is>
          <t>covered</t>
        </is>
      </c>
      <c r="Q434" s="256" t="inlineStr"/>
      <c r="R434" s="256" t="inlineStr"/>
    </row>
    <row r="435">
      <c r="A435" s="256" t="inlineStr">
        <is>
          <t>CoQ-PP_26-019</t>
        </is>
      </c>
      <c r="B435" s="256" t="inlineStr">
        <is>
          <t>release</t>
        </is>
      </c>
      <c r="C435" s="256" t="inlineStr">
        <is>
          <t>OPM052501</t>
        </is>
      </c>
      <c r="D435" s="256" t="inlineStr">
        <is>
          <t>P050132</t>
        </is>
      </c>
      <c r="E435" s="256" t="inlineStr">
        <is>
          <t>Orange Punch Mimosa</t>
        </is>
      </c>
      <c r="F435" s="256" t="inlineStr">
        <is>
          <t>06.06.2026</t>
        </is>
      </c>
      <c r="G435" s="256" t="inlineStr">
        <is>
          <t>11.2</t>
        </is>
      </c>
      <c r="H435" s="256" t="inlineStr">
        <is>
          <t>Cadmium (Cd)</t>
        </is>
      </c>
      <c r="I435" s="256" t="inlineStr">
        <is>
          <t>Ph. Eur. 2.4.27 (ICP-MS)</t>
        </is>
      </c>
      <c r="J435" s="256" t="inlineStr">
        <is>
          <t>≤ 0.3 mg/kg</t>
        </is>
      </c>
      <c r="K435" s="256" t="inlineStr">
        <is>
          <t>ND</t>
        </is>
      </c>
      <c r="L435" s="256" t="inlineStr">
        <is>
          <t>4157/2025</t>
        </is>
      </c>
      <c r="M435" s="256" t="inlineStr">
        <is>
          <t>29.08.2025</t>
        </is>
      </c>
      <c r="N435" s="256" t="inlineStr">
        <is>
          <t>IPH — Institute of Public Health</t>
        </is>
      </c>
      <c r="O435" s="256" t="inlineStr">
        <is>
          <t>25.08.2025</t>
        </is>
      </c>
      <c r="P435" s="256" t="inlineStr">
        <is>
          <t>covered</t>
        </is>
      </c>
      <c r="Q435" s="256" t="inlineStr"/>
      <c r="R435" s="256" t="inlineStr"/>
    </row>
    <row r="436">
      <c r="A436" s="256" t="inlineStr">
        <is>
          <t>CoQ-PP_26-019</t>
        </is>
      </c>
      <c r="B436" s="256" t="inlineStr">
        <is>
          <t>release</t>
        </is>
      </c>
      <c r="C436" s="256" t="inlineStr">
        <is>
          <t>OPM052501</t>
        </is>
      </c>
      <c r="D436" s="256" t="inlineStr">
        <is>
          <t>P050132</t>
        </is>
      </c>
      <c r="E436" s="256" t="inlineStr">
        <is>
          <t>Orange Punch Mimosa</t>
        </is>
      </c>
      <c r="F436" s="256" t="inlineStr">
        <is>
          <t>06.06.2026</t>
        </is>
      </c>
      <c r="G436" s="256" t="inlineStr">
        <is>
          <t>11.3</t>
        </is>
      </c>
      <c r="H436" s="256" t="inlineStr">
        <is>
          <t>Arsenic (As)</t>
        </is>
      </c>
      <c r="I436" s="256" t="inlineStr">
        <is>
          <t>Ph. Eur. 2.4.27 (ICP-MS)</t>
        </is>
      </c>
      <c r="J436" s="256" t="inlineStr">
        <is>
          <t>≤ 0.2 mg/kg</t>
        </is>
      </c>
      <c r="K436" s="256" t="inlineStr">
        <is>
          <t>ND</t>
        </is>
      </c>
      <c r="L436" s="256" t="inlineStr">
        <is>
          <t>4157/2025</t>
        </is>
      </c>
      <c r="M436" s="256" t="inlineStr">
        <is>
          <t>29.08.2025</t>
        </is>
      </c>
      <c r="N436" s="256" t="inlineStr">
        <is>
          <t>IPH — Institute of Public Health</t>
        </is>
      </c>
      <c r="O436" s="256" t="inlineStr">
        <is>
          <t>25.08.2025</t>
        </is>
      </c>
      <c r="P436" s="256" t="inlineStr">
        <is>
          <t>covered</t>
        </is>
      </c>
      <c r="Q436" s="256" t="inlineStr"/>
      <c r="R436" s="256" t="inlineStr"/>
    </row>
    <row r="437">
      <c r="A437" s="256" t="inlineStr">
        <is>
          <t>CoQ-PP_26-019</t>
        </is>
      </c>
      <c r="B437" s="256" t="inlineStr">
        <is>
          <t>release</t>
        </is>
      </c>
      <c r="C437" s="256" t="inlineStr">
        <is>
          <t>OPM052501</t>
        </is>
      </c>
      <c r="D437" s="256" t="inlineStr">
        <is>
          <t>P050132</t>
        </is>
      </c>
      <c r="E437" s="256" t="inlineStr">
        <is>
          <t>Orange Punch Mimosa</t>
        </is>
      </c>
      <c r="F437" s="256" t="inlineStr">
        <is>
          <t>06.06.2026</t>
        </is>
      </c>
      <c r="G437" s="256" t="inlineStr">
        <is>
          <t>11.4</t>
        </is>
      </c>
      <c r="H437" s="256" t="inlineStr">
        <is>
          <t>Mercury (Hg)</t>
        </is>
      </c>
      <c r="I437" s="256" t="inlineStr">
        <is>
          <t>Ph. Eur. 2.4.27 (ICP-MS)</t>
        </is>
      </c>
      <c r="J437" s="256" t="inlineStr">
        <is>
          <t>≤ 0.1 mg/kg</t>
        </is>
      </c>
      <c r="K437" s="256" t="inlineStr">
        <is>
          <t>ND</t>
        </is>
      </c>
      <c r="L437" s="256" t="inlineStr">
        <is>
          <t>4157/2025</t>
        </is>
      </c>
      <c r="M437" s="256" t="inlineStr">
        <is>
          <t>29.08.2025</t>
        </is>
      </c>
      <c r="N437" s="256" t="inlineStr">
        <is>
          <t>IPH — Institute of Public Health</t>
        </is>
      </c>
      <c r="O437" s="256" t="inlineStr">
        <is>
          <t>25.08.2025</t>
        </is>
      </c>
      <c r="P437" s="256" t="inlineStr">
        <is>
          <t>covered</t>
        </is>
      </c>
      <c r="Q437" s="256" t="inlineStr"/>
      <c r="R437" s="256" t="inlineStr"/>
    </row>
    <row r="438">
      <c r="A438" s="256" t="inlineStr">
        <is>
          <t>CoQ-PP_26-019</t>
        </is>
      </c>
      <c r="B438" s="256" t="inlineStr">
        <is>
          <t>release</t>
        </is>
      </c>
      <c r="C438" s="256" t="inlineStr">
        <is>
          <t>OPM052501</t>
        </is>
      </c>
      <c r="D438" s="256" t="inlineStr">
        <is>
          <t>P050132</t>
        </is>
      </c>
      <c r="E438" s="256" t="inlineStr">
        <is>
          <t>Orange Punch Mimosa</t>
        </is>
      </c>
      <c r="F438" s="256" t="inlineStr">
        <is>
          <t>06.06.2026</t>
        </is>
      </c>
      <c r="G438" s="256" t="inlineStr">
        <is>
          <t>12</t>
        </is>
      </c>
      <c r="H438" s="256" t="inlineStr">
        <is>
          <t>Pesticide Residues</t>
        </is>
      </c>
      <c r="I438" s="256" t="inlineStr">
        <is>
          <t>Ph. Eur. 2.8.13 (LC-MS/MS) · CUMCS Equivalency</t>
        </is>
      </c>
      <c r="J438" s="256" t="inlineStr">
        <is>
          <t>≤ LOQ as per Ph. Eur. 2.8.13 · ≤ LOQ as per CUMCS Equivalency</t>
        </is>
      </c>
      <c r="K438" s="256" t="inlineStr">
        <is>
          <t>ND</t>
        </is>
      </c>
      <c r="L438" s="256" t="inlineStr">
        <is>
          <t>4157/2025</t>
        </is>
      </c>
      <c r="M438" s="256" t="inlineStr">
        <is>
          <t>29.08.2025</t>
        </is>
      </c>
      <c r="N438" s="256" t="inlineStr">
        <is>
          <t>IPH — Institute of Public Health</t>
        </is>
      </c>
      <c r="O438" s="256" t="inlineStr">
        <is>
          <t>25.08.2025</t>
        </is>
      </c>
      <c r="P438" s="256" t="inlineStr">
        <is>
          <t>covered</t>
        </is>
      </c>
      <c r="Q438" s="256" t="inlineStr"/>
      <c r="R438" s="256" t="inlineStr"/>
    </row>
    <row r="439">
      <c r="A439" s="256" t="inlineStr">
        <is>
          <t>CoQ-PP_26-020</t>
        </is>
      </c>
      <c r="B439" s="256" t="inlineStr">
        <is>
          <t>release</t>
        </is>
      </c>
      <c r="C439" s="256" t="inlineStr">
        <is>
          <t>GP052501</t>
        </is>
      </c>
      <c r="D439" s="256" t="inlineStr">
        <is>
          <t>P050152</t>
        </is>
      </c>
      <c r="E439" s="256" t="inlineStr">
        <is>
          <t>Grape Pie</t>
        </is>
      </c>
      <c r="F439" s="256" t="inlineStr">
        <is>
          <t>06.06.2026</t>
        </is>
      </c>
      <c r="G439" s="256" t="inlineStr">
        <is>
          <t>1</t>
        </is>
      </c>
      <c r="H439" s="256" t="inlineStr">
        <is>
          <t>Identification A, Appearance · Macroscopic</t>
        </is>
      </c>
      <c r="I439" s="256" t="inlineStr">
        <is>
          <t>Ph. Eur. mon. 3028</t>
        </is>
      </c>
      <c r="J439" s="256" t="inlineStr">
        <is>
          <t>Conforms to the monograph for Cannabis flos (07/2024:3028) in Ph. Eur. 11.0 | Согласно монографија за Cannabis flos (07/2024:3028) во Ph. Eur. 11.0</t>
        </is>
      </c>
      <c r="K439" s="256" t="inlineStr">
        <is>
          <t>Conforms | Одговара</t>
        </is>
      </c>
      <c r="L439" s="256" t="inlineStr">
        <is>
          <t>iCoA-PP_26-019</t>
        </is>
      </c>
      <c r="M439" s="256" t="inlineStr">
        <is>
          <t>03.06.2026</t>
        </is>
      </c>
      <c r="N439" s="256" t="inlineStr">
        <is>
          <t>Purely Plant GmbH (in-house)</t>
        </is>
      </c>
      <c r="O439" s="256" t="inlineStr">
        <is>
          <t>—</t>
        </is>
      </c>
      <c r="P439" s="256" t="inlineStr">
        <is>
          <t>to be performed — see route</t>
        </is>
      </c>
      <c r="Q439" s="256" t="inlineStr">
        <is>
          <t>Purely Plant laboratory — iCoA covering Ident A + B</t>
        </is>
      </c>
      <c r="R439" s="256" t="inlineStr"/>
    </row>
    <row r="440">
      <c r="A440" s="256" t="inlineStr">
        <is>
          <t>CoQ-PP_26-020</t>
        </is>
      </c>
      <c r="B440" s="256" t="inlineStr">
        <is>
          <t>release</t>
        </is>
      </c>
      <c r="C440" s="256" t="inlineStr">
        <is>
          <t>GP052501</t>
        </is>
      </c>
      <c r="D440" s="256" t="inlineStr">
        <is>
          <t>P050152</t>
        </is>
      </c>
      <c r="E440" s="256" t="inlineStr">
        <is>
          <t>Grape Pie</t>
        </is>
      </c>
      <c r="F440" s="256" t="inlineStr">
        <is>
          <t>06.06.2026</t>
        </is>
      </c>
      <c r="G440" s="256" t="inlineStr">
        <is>
          <t>2</t>
        </is>
      </c>
      <c r="H440" s="256" t="inlineStr">
        <is>
          <t>Identification B · Microscopic</t>
        </is>
      </c>
      <c r="I440" s="256" t="inlineStr">
        <is>
          <t>Ph. Eur. 2.8.23 (microscopy)</t>
        </is>
      </c>
      <c r="J440" s="256" t="inlineStr">
        <is>
          <t>Conforms to the monograph for Cannabis flos (07/2024:3028) in Ph. Eur. 11.0 | Согласно монографија за Cannabis flos (07/2024:3028) во Ph. Eur. 11.0</t>
        </is>
      </c>
      <c r="K440" s="256" t="inlineStr">
        <is>
          <t>Conforms | Одговара</t>
        </is>
      </c>
      <c r="L440" s="256" t="inlineStr">
        <is>
          <t>iCoA-PP_26-019</t>
        </is>
      </c>
      <c r="M440" s="256" t="inlineStr">
        <is>
          <t>03.06.2026</t>
        </is>
      </c>
      <c r="N440" s="256" t="inlineStr">
        <is>
          <t>Purely Plant GmbH (in-house)</t>
        </is>
      </c>
      <c r="O440" s="256" t="inlineStr">
        <is>
          <t>—</t>
        </is>
      </c>
      <c r="P440" s="256" t="inlineStr">
        <is>
          <t>to be performed — see route</t>
        </is>
      </c>
      <c r="Q440" s="256" t="inlineStr">
        <is>
          <t>Purely Plant laboratory — iCoA covering Ident A + B</t>
        </is>
      </c>
      <c r="R440" s="256" t="inlineStr"/>
    </row>
    <row r="441">
      <c r="A441" s="256" t="inlineStr">
        <is>
          <t>CoQ-PP_26-020</t>
        </is>
      </c>
      <c r="B441" s="256" t="inlineStr">
        <is>
          <t>release</t>
        </is>
      </c>
      <c r="C441" s="256" t="inlineStr">
        <is>
          <t>GP052501</t>
        </is>
      </c>
      <c r="D441" s="256" t="inlineStr">
        <is>
          <t>P050152</t>
        </is>
      </c>
      <c r="E441" s="256" t="inlineStr">
        <is>
          <t>Grape Pie</t>
        </is>
      </c>
      <c r="F441" s="256" t="inlineStr">
        <is>
          <t>06.06.2026</t>
        </is>
      </c>
      <c r="G441" s="256" t="inlineStr">
        <is>
          <t>3</t>
        </is>
      </c>
      <c r="H441" s="256" t="inlineStr">
        <is>
          <t>Identification C · HPLC/HPTLC</t>
        </is>
      </c>
      <c r="I441" s="256" t="inlineStr">
        <is>
          <t>HPLC — DAB 2018 monograph Cannabis flos, 2.2.29 (CNP, before its Ph. Eur. 3028 accreditation)</t>
        </is>
      </c>
      <c r="J441" s="256" t="inlineStr">
        <is>
          <t>Conforms to the monograph for Cannabis flos (07/2024:3028) in Ph. Eur. 11.0 | Согласно монографија за Cannabis flos (07/2024:3028) во Ph. Eur. 11.0</t>
        </is>
      </c>
      <c r="K441" s="256" t="inlineStr">
        <is>
          <t>Conforms | Одговара</t>
        </is>
      </c>
      <c r="L441" s="256" t="inlineStr">
        <is>
          <t>ППК25279</t>
        </is>
      </c>
      <c r="M441" s="256" t="inlineStr">
        <is>
          <t>19.09.2025</t>
        </is>
      </c>
      <c r="N441" s="256" t="inlineStr">
        <is>
          <t>UKIM Faculty of Pharmacy — Center for Natural Products</t>
        </is>
      </c>
      <c r="O441" s="256" t="inlineStr">
        <is>
          <t>05.09.2025</t>
        </is>
      </c>
      <c r="P441" s="256" t="inlineStr">
        <is>
          <t>covered</t>
        </is>
      </c>
      <c r="Q441" s="256" t="inlineStr"/>
      <c r="R441" s="256" t="inlineStr"/>
    </row>
    <row r="442">
      <c r="A442" s="256" t="inlineStr">
        <is>
          <t>CoQ-PP_26-020</t>
        </is>
      </c>
      <c r="B442" s="256" t="inlineStr">
        <is>
          <t>release</t>
        </is>
      </c>
      <c r="C442" s="256" t="inlineStr">
        <is>
          <t>GP052501</t>
        </is>
      </c>
      <c r="D442" s="256" t="inlineStr">
        <is>
          <t>P050152</t>
        </is>
      </c>
      <c r="E442" s="256" t="inlineStr">
        <is>
          <t>Grape Pie</t>
        </is>
      </c>
      <c r="F442" s="256" t="inlineStr">
        <is>
          <t>06.06.2026</t>
        </is>
      </c>
      <c r="G442" s="256" t="inlineStr">
        <is>
          <t>4</t>
        </is>
      </c>
      <c r="H442" s="256" t="inlineStr">
        <is>
          <t>Assay — Total Δ⁹-THC</t>
        </is>
      </c>
      <c r="I442" s="256" t="inlineStr">
        <is>
          <t>HPLC — DAB 2018 monograph Cannabis flos, 2.2.29 (CNP, before its Ph. Eur. 3028 accreditation)</t>
        </is>
      </c>
      <c r="J442" s="256" t="inlineStr">
        <is>
          <t>18.00 – 21.99 %  (grade III, nominal 20.00 ± 2.00)</t>
        </is>
      </c>
      <c r="K442" s="256" t="inlineStr">
        <is>
          <t>18.98</t>
        </is>
      </c>
      <c r="L442" s="256" t="inlineStr">
        <is>
          <t>ППК25279</t>
        </is>
      </c>
      <c r="M442" s="256" t="inlineStr">
        <is>
          <t>19.09.2025</t>
        </is>
      </c>
      <c r="N442" s="256" t="inlineStr">
        <is>
          <t>UKIM Faculty of Pharmacy — Center for Natural Products</t>
        </is>
      </c>
      <c r="O442" s="256" t="inlineStr">
        <is>
          <t>05.09.2025</t>
        </is>
      </c>
      <c r="P442" s="256" t="inlineStr">
        <is>
          <t>covered</t>
        </is>
      </c>
      <c r="Q442" s="256" t="inlineStr"/>
      <c r="R442" s="256" t="inlineStr">
        <is>
          <t>18.52 (197-10-К/26)</t>
        </is>
      </c>
    </row>
    <row r="443">
      <c r="A443" s="256" t="inlineStr">
        <is>
          <t>CoQ-PP_26-020</t>
        </is>
      </c>
      <c r="B443" s="256" t="inlineStr">
        <is>
          <t>release</t>
        </is>
      </c>
      <c r="C443" s="256" t="inlineStr">
        <is>
          <t>GP052501</t>
        </is>
      </c>
      <c r="D443" s="256" t="inlineStr">
        <is>
          <t>P050152</t>
        </is>
      </c>
      <c r="E443" s="256" t="inlineStr">
        <is>
          <t>Grape Pie</t>
        </is>
      </c>
      <c r="F443" s="256" t="inlineStr">
        <is>
          <t>06.06.2026</t>
        </is>
      </c>
      <c r="G443" s="256" t="inlineStr">
        <is>
          <t>5</t>
        </is>
      </c>
      <c r="H443" s="256" t="inlineStr">
        <is>
          <t>Assay — Total CBD</t>
        </is>
      </c>
      <c r="I443" s="256" t="inlineStr">
        <is>
          <t>HPLC — DAB 2018 monograph Cannabis flos, 2.2.29 · CBD + CBDA x 0.877 (CNP, before its Ph. Eur. 3028 accreditation)</t>
        </is>
      </c>
      <c r="J443" s="256" t="inlineStr">
        <is>
          <t>≤ 1.0%, w/w</t>
        </is>
      </c>
      <c r="K443" s="256" t="inlineStr">
        <is>
          <t>0.08</t>
        </is>
      </c>
      <c r="L443" s="256" t="inlineStr">
        <is>
          <t>ППК25279</t>
        </is>
      </c>
      <c r="M443" s="256" t="inlineStr">
        <is>
          <t>19.09.2025</t>
        </is>
      </c>
      <c r="N443" s="256" t="inlineStr">
        <is>
          <t>UKIM Faculty of Pharmacy — Center for Natural Products</t>
        </is>
      </c>
      <c r="O443" s="256" t="inlineStr">
        <is>
          <t>05.09.2025</t>
        </is>
      </c>
      <c r="P443" s="256" t="inlineStr">
        <is>
          <t>covered</t>
        </is>
      </c>
      <c r="Q443" s="256" t="inlineStr"/>
      <c r="R443" s="256" t="inlineStr">
        <is>
          <t>&lt;LOQ (197-10-К/26)</t>
        </is>
      </c>
    </row>
    <row r="444">
      <c r="A444" s="256" t="inlineStr">
        <is>
          <t>CoQ-PP_26-020</t>
        </is>
      </c>
      <c r="B444" s="256" t="inlineStr">
        <is>
          <t>release</t>
        </is>
      </c>
      <c r="C444" s="256" t="inlineStr">
        <is>
          <t>GP052501</t>
        </is>
      </c>
      <c r="D444" s="256" t="inlineStr">
        <is>
          <t>P050152</t>
        </is>
      </c>
      <c r="E444" s="256" t="inlineStr">
        <is>
          <t>Grape Pie</t>
        </is>
      </c>
      <c r="F444" s="256" t="inlineStr">
        <is>
          <t>06.06.2026</t>
        </is>
      </c>
      <c r="G444" s="256" t="inlineStr">
        <is>
          <t>6</t>
        </is>
      </c>
      <c r="H444" s="256" t="inlineStr">
        <is>
          <t>Total CBN</t>
        </is>
      </c>
      <c r="I444" s="256" t="inlineStr">
        <is>
          <t>HPLC — DAB 2018 monograph Cannabis flos, 2.2.29 · CBN + CBNA x 0.876 (CNP, before its Ph. Eur. 3028 accreditation)</t>
        </is>
      </c>
      <c r="J444" s="256" t="inlineStr">
        <is>
          <t>≤ 1.0%, w/w</t>
        </is>
      </c>
      <c r="K444" s="256" t="inlineStr">
        <is>
          <t>0.03 ᴰ</t>
        </is>
      </c>
      <c r="L444" s="256" t="inlineStr">
        <is>
          <t>ППК25279</t>
        </is>
      </c>
      <c r="M444" s="256" t="inlineStr">
        <is>
          <t>19.09.2025</t>
        </is>
      </c>
      <c r="N444" s="256" t="inlineStr">
        <is>
          <t>CNP</t>
        </is>
      </c>
      <c r="O444" s="256" t="inlineStr">
        <is>
          <t>05.09.2025</t>
        </is>
      </c>
      <c r="P444" s="256" t="inlineStr">
        <is>
          <t>covered</t>
        </is>
      </c>
      <c r="Q444" s="256" t="inlineStr"/>
      <c r="R444" s="256" t="inlineStr"/>
    </row>
    <row r="445">
      <c r="A445" s="256" t="inlineStr">
        <is>
          <t>CoQ-PP_26-020</t>
        </is>
      </c>
      <c r="B445" s="256" t="inlineStr">
        <is>
          <t>release</t>
        </is>
      </c>
      <c r="C445" s="256" t="inlineStr">
        <is>
          <t>GP052501</t>
        </is>
      </c>
      <c r="D445" s="256" t="inlineStr">
        <is>
          <t>P050152</t>
        </is>
      </c>
      <c r="E445" s="256" t="inlineStr">
        <is>
          <t>Grape Pie</t>
        </is>
      </c>
      <c r="F445" s="256" t="inlineStr">
        <is>
          <t>06.06.2026</t>
        </is>
      </c>
      <c r="G445" s="256" t="inlineStr">
        <is>
          <t>7</t>
        </is>
      </c>
      <c r="H445" s="256" t="inlineStr">
        <is>
          <t>Foreign Matter</t>
        </is>
      </c>
      <c r="I445" s="256" t="inlineStr">
        <is>
          <t>Ph. Eur. 2.8.2 · In-house · интерна</t>
        </is>
      </c>
      <c r="J445" s="256" t="inlineStr">
        <is>
          <t>≤ 2.0% / 25–50 g · &lt; 1 cm leaves | листови, no seeds | без семки</t>
        </is>
      </c>
      <c r="K445" s="256" t="inlineStr">
        <is>
          <t>Conforms | Одговара</t>
        </is>
      </c>
      <c r="L445" s="256" t="inlineStr">
        <is>
          <t>iCoA-PP_26-019</t>
        </is>
      </c>
      <c r="M445" s="256" t="inlineStr">
        <is>
          <t>03.06.2026</t>
        </is>
      </c>
      <c r="N445" s="256" t="inlineStr">
        <is>
          <t>Purely Plant GmbH (in-house)</t>
        </is>
      </c>
      <c r="O445" s="256" t="inlineStr">
        <is>
          <t>—</t>
        </is>
      </c>
      <c r="P445" s="256" t="inlineStr">
        <is>
          <t>to be performed — see route</t>
        </is>
      </c>
      <c r="Q445" s="256" t="inlineStr">
        <is>
          <t>Purely Plant laboratory — iCoA covering Foreign matter</t>
        </is>
      </c>
      <c r="R445" s="256" t="inlineStr"/>
    </row>
    <row r="446">
      <c r="A446" s="256" t="inlineStr">
        <is>
          <t>CoQ-PP_26-020</t>
        </is>
      </c>
      <c r="B446" s="256" t="inlineStr">
        <is>
          <t>release</t>
        </is>
      </c>
      <c r="C446" s="256" t="inlineStr">
        <is>
          <t>GP052501</t>
        </is>
      </c>
      <c r="D446" s="256" t="inlineStr">
        <is>
          <t>P050152</t>
        </is>
      </c>
      <c r="E446" s="256" t="inlineStr">
        <is>
          <t>Grape Pie</t>
        </is>
      </c>
      <c r="F446" s="256" t="inlineStr">
        <is>
          <t>06.06.2026</t>
        </is>
      </c>
      <c r="G446" s="256" t="inlineStr">
        <is>
          <t>8</t>
        </is>
      </c>
      <c r="H446" s="256" t="inlineStr">
        <is>
          <t>Loss on Drying</t>
        </is>
      </c>
      <c r="I446" s="256" t="inlineStr">
        <is>
          <t>DAB 2018 monograph Cannabis flos, 2.2.32 — loss on drying (CNP, before its Ph. Eur. 3028 accreditation)</t>
        </is>
      </c>
      <c r="J446" s="256" t="inlineStr">
        <is>
          <t>≤ 12.0%</t>
        </is>
      </c>
      <c r="K446" s="256" t="inlineStr">
        <is>
          <t>7.30</t>
        </is>
      </c>
      <c r="L446" s="256" t="inlineStr">
        <is>
          <t>ППК25279</t>
        </is>
      </c>
      <c r="M446" s="256" t="inlineStr">
        <is>
          <t>19.09.2025</t>
        </is>
      </c>
      <c r="N446" s="256" t="inlineStr">
        <is>
          <t>UKIM Faculty of Pharmacy — Center for Natural Products</t>
        </is>
      </c>
      <c r="O446" s="256" t="inlineStr">
        <is>
          <t>05.09.2025</t>
        </is>
      </c>
      <c r="P446" s="256" t="inlineStr">
        <is>
          <t>covered</t>
        </is>
      </c>
      <c r="Q446" s="256" t="inlineStr"/>
      <c r="R446" s="256" t="inlineStr"/>
    </row>
    <row r="447">
      <c r="A447" s="256" t="inlineStr">
        <is>
          <t>CoQ-PP_26-020</t>
        </is>
      </c>
      <c r="B447" s="256" t="inlineStr">
        <is>
          <t>release</t>
        </is>
      </c>
      <c r="C447" s="256" t="inlineStr">
        <is>
          <t>GP052501</t>
        </is>
      </c>
      <c r="D447" s="256" t="inlineStr">
        <is>
          <t>P050152</t>
        </is>
      </c>
      <c r="E447" s="256" t="inlineStr">
        <is>
          <t>Grape Pie</t>
        </is>
      </c>
      <c r="F447" s="256" t="inlineStr">
        <is>
          <t>06.06.2026</t>
        </is>
      </c>
      <c r="G447" s="256" t="inlineStr">
        <is>
          <t>9.1</t>
        </is>
      </c>
      <c r="H447" s="256" t="inlineStr">
        <is>
          <t>TAMC</t>
        </is>
      </c>
      <c r="I447" s="256" t="inlineStr">
        <is>
          <t>Ph. Eur. 2.6.12 cat. C</t>
        </is>
      </c>
      <c r="J447" s="256" t="inlineStr">
        <is>
          <t>≤ 10⁵ CFU/g</t>
        </is>
      </c>
      <c r="K447" s="256" t="inlineStr">
        <is>
          <t>2.1 × 10⁴</t>
        </is>
      </c>
      <c r="L447" s="256" t="inlineStr">
        <is>
          <t>946/1684/25</t>
        </is>
      </c>
      <c r="M447" s="256" t="inlineStr">
        <is>
          <t>17.09.2025</t>
        </is>
      </c>
      <c r="N447" s="256" t="inlineStr">
        <is>
          <t>IPH — Institute of Public Health</t>
        </is>
      </c>
      <c r="O447" s="256" t="inlineStr">
        <is>
          <t>11.09.2025</t>
        </is>
      </c>
      <c r="P447" s="256" t="inlineStr">
        <is>
          <t>covered</t>
        </is>
      </c>
      <c r="Q447" s="256" t="inlineStr"/>
      <c r="R447" s="256" t="inlineStr"/>
    </row>
    <row r="448">
      <c r="A448" s="256" t="inlineStr">
        <is>
          <t>CoQ-PP_26-020</t>
        </is>
      </c>
      <c r="B448" s="256" t="inlineStr">
        <is>
          <t>release</t>
        </is>
      </c>
      <c r="C448" s="256" t="inlineStr">
        <is>
          <t>GP052501</t>
        </is>
      </c>
      <c r="D448" s="256" t="inlineStr">
        <is>
          <t>P050152</t>
        </is>
      </c>
      <c r="E448" s="256" t="inlineStr">
        <is>
          <t>Grape Pie</t>
        </is>
      </c>
      <c r="F448" s="256" t="inlineStr">
        <is>
          <t>06.06.2026</t>
        </is>
      </c>
      <c r="G448" s="256" t="inlineStr">
        <is>
          <t>9.2</t>
        </is>
      </c>
      <c r="H448" s="256" t="inlineStr">
        <is>
          <t>TYMC</t>
        </is>
      </c>
      <c r="I448" s="256" t="inlineStr">
        <is>
          <t>Ph. Eur. 2.6.12 cat. C</t>
        </is>
      </c>
      <c r="J448" s="256" t="inlineStr">
        <is>
          <t>≤ 10⁴ CFU/g</t>
        </is>
      </c>
      <c r="K448" s="256" t="inlineStr">
        <is>
          <t>3.6 × 10⁴</t>
        </is>
      </c>
      <c r="L448" s="256" t="inlineStr">
        <is>
          <t>946/1684/25</t>
        </is>
      </c>
      <c r="M448" s="256" t="inlineStr">
        <is>
          <t>17.09.2025</t>
        </is>
      </c>
      <c r="N448" s="256" t="inlineStr">
        <is>
          <t>IPH — Institute of Public Health</t>
        </is>
      </c>
      <c r="O448" s="256" t="inlineStr">
        <is>
          <t>11.09.2025</t>
        </is>
      </c>
      <c r="P448" s="256" t="inlineStr">
        <is>
          <t>OUT OF SPECIFICATION</t>
        </is>
      </c>
      <c r="Q448" s="256" t="inlineStr"/>
      <c r="R448" s="256" t="inlineStr"/>
    </row>
    <row r="449">
      <c r="A449" s="256" t="inlineStr">
        <is>
          <t>CoQ-PP_26-020</t>
        </is>
      </c>
      <c r="B449" s="256" t="inlineStr">
        <is>
          <t>release</t>
        </is>
      </c>
      <c r="C449" s="256" t="inlineStr">
        <is>
          <t>GP052501</t>
        </is>
      </c>
      <c r="D449" s="256" t="inlineStr">
        <is>
          <t>P050152</t>
        </is>
      </c>
      <c r="E449" s="256" t="inlineStr">
        <is>
          <t>Grape Pie</t>
        </is>
      </c>
      <c r="F449" s="256" t="inlineStr">
        <is>
          <t>06.06.2026</t>
        </is>
      </c>
      <c r="G449" s="256" t="inlineStr">
        <is>
          <t>9.3</t>
        </is>
      </c>
      <c r="H449" s="256" t="inlineStr">
        <is>
          <t>Bile-tolerant gram-neg.</t>
        </is>
      </c>
      <c r="I449" s="256" t="inlineStr">
        <is>
          <t>Ph. Eur. 2.6.31 cat. C</t>
        </is>
      </c>
      <c r="J449" s="256" t="inlineStr">
        <is>
          <t>≤ 10⁴ CFU/g</t>
        </is>
      </c>
      <c r="K449" s="256" t="inlineStr">
        <is>
          <t>&lt; 10² and &gt; 10¹</t>
        </is>
      </c>
      <c r="L449" s="256" t="inlineStr">
        <is>
          <t>946/1684/25</t>
        </is>
      </c>
      <c r="M449" s="256" t="inlineStr">
        <is>
          <t>17.09.2025</t>
        </is>
      </c>
      <c r="N449" s="256" t="inlineStr">
        <is>
          <t>IPH — Institute of Public Health</t>
        </is>
      </c>
      <c r="O449" s="256" t="inlineStr">
        <is>
          <t>11.09.2025</t>
        </is>
      </c>
      <c r="P449" s="256" t="inlineStr">
        <is>
          <t>covered</t>
        </is>
      </c>
      <c r="Q449" s="256" t="inlineStr"/>
      <c r="R449" s="256" t="inlineStr"/>
    </row>
    <row r="450">
      <c r="A450" s="256" t="inlineStr">
        <is>
          <t>CoQ-PP_26-020</t>
        </is>
      </c>
      <c r="B450" s="256" t="inlineStr">
        <is>
          <t>release</t>
        </is>
      </c>
      <c r="C450" s="256" t="inlineStr">
        <is>
          <t>GP052501</t>
        </is>
      </c>
      <c r="D450" s="256" t="inlineStr">
        <is>
          <t>P050152</t>
        </is>
      </c>
      <c r="E450" s="256" t="inlineStr">
        <is>
          <t>Grape Pie</t>
        </is>
      </c>
      <c r="F450" s="256" t="inlineStr">
        <is>
          <t>06.06.2026</t>
        </is>
      </c>
      <c r="G450" s="256" t="inlineStr">
        <is>
          <t>9.4</t>
        </is>
      </c>
      <c r="H450" s="256" t="inlineStr">
        <is>
          <t>Salmonella</t>
        </is>
      </c>
      <c r="I450" s="256" t="inlineStr">
        <is>
          <t>Ph. Eur. 2.6.31 cat. C</t>
        </is>
      </c>
      <c r="J450" s="256" t="inlineStr">
        <is>
          <t>Absence | Отсуство / 25 g</t>
        </is>
      </c>
      <c r="K450" s="256" t="inlineStr">
        <is>
          <t>Absent | Отсутна</t>
        </is>
      </c>
      <c r="L450" s="256" t="inlineStr">
        <is>
          <t>946/1684/25</t>
        </is>
      </c>
      <c r="M450" s="256" t="inlineStr">
        <is>
          <t>17.09.2025</t>
        </is>
      </c>
      <c r="N450" s="256" t="inlineStr">
        <is>
          <t>IPH — Institute of Public Health</t>
        </is>
      </c>
      <c r="O450" s="256" t="inlineStr">
        <is>
          <t>11.09.2025</t>
        </is>
      </c>
      <c r="P450" s="256" t="inlineStr">
        <is>
          <t>covered</t>
        </is>
      </c>
      <c r="Q450" s="256" t="inlineStr"/>
      <c r="R450" s="256" t="inlineStr"/>
    </row>
    <row r="451">
      <c r="A451" s="256" t="inlineStr">
        <is>
          <t>CoQ-PP_26-020</t>
        </is>
      </c>
      <c r="B451" s="256" t="inlineStr">
        <is>
          <t>release</t>
        </is>
      </c>
      <c r="C451" s="256" t="inlineStr">
        <is>
          <t>GP052501</t>
        </is>
      </c>
      <c r="D451" s="256" t="inlineStr">
        <is>
          <t>P050152</t>
        </is>
      </c>
      <c r="E451" s="256" t="inlineStr">
        <is>
          <t>Grape Pie</t>
        </is>
      </c>
      <c r="F451" s="256" t="inlineStr">
        <is>
          <t>06.06.2026</t>
        </is>
      </c>
      <c r="G451" s="256" t="inlineStr">
        <is>
          <t>9.5</t>
        </is>
      </c>
      <c r="H451" s="256" t="inlineStr">
        <is>
          <t>Escherichia coli</t>
        </is>
      </c>
      <c r="I451" s="256" t="inlineStr">
        <is>
          <t>Ph. Eur. 2.6.13 cat. C</t>
        </is>
      </c>
      <c r="J451" s="256" t="inlineStr">
        <is>
          <t>Absence | Отсуство / 1 g</t>
        </is>
      </c>
      <c r="K451" s="256" t="inlineStr">
        <is>
          <t>Absent | Отсутна</t>
        </is>
      </c>
      <c r="L451" s="256" t="inlineStr">
        <is>
          <t>946/1684/25</t>
        </is>
      </c>
      <c r="M451" s="256" t="inlineStr">
        <is>
          <t>17.09.2025</t>
        </is>
      </c>
      <c r="N451" s="256" t="inlineStr">
        <is>
          <t>IPH — Institute of Public Health</t>
        </is>
      </c>
      <c r="O451" s="256" t="inlineStr">
        <is>
          <t>11.09.2025</t>
        </is>
      </c>
      <c r="P451" s="256" t="inlineStr">
        <is>
          <t>covered</t>
        </is>
      </c>
      <c r="Q451" s="256" t="inlineStr"/>
      <c r="R451" s="256" t="inlineStr"/>
    </row>
    <row r="452">
      <c r="A452" s="256" t="inlineStr">
        <is>
          <t>CoQ-PP_26-020</t>
        </is>
      </c>
      <c r="B452" s="256" t="inlineStr">
        <is>
          <t>release</t>
        </is>
      </c>
      <c r="C452" s="256" t="inlineStr">
        <is>
          <t>GP052501</t>
        </is>
      </c>
      <c r="D452" s="256" t="inlineStr">
        <is>
          <t>P050152</t>
        </is>
      </c>
      <c r="E452" s="256" t="inlineStr">
        <is>
          <t>Grape Pie</t>
        </is>
      </c>
      <c r="F452" s="256" t="inlineStr">
        <is>
          <t>06.06.2026</t>
        </is>
      </c>
      <c r="G452" s="256" t="inlineStr">
        <is>
          <t>9.6</t>
        </is>
      </c>
      <c r="H452" s="256" t="inlineStr">
        <is>
          <t>Pseudomonas aeruginosa</t>
        </is>
      </c>
      <c r="I452" s="256" t="inlineStr">
        <is>
          <t>Ph. Eur. 2.6.13 cat. C</t>
        </is>
      </c>
      <c r="J452" s="256" t="inlineStr">
        <is>
          <t>Absence | Отсуство / 1 g</t>
        </is>
      </c>
      <c r="K452" s="260" t="inlineStr">
        <is>
          <t>upon request — not required for release</t>
        </is>
      </c>
      <c r="L452" s="256" t="inlineStr">
        <is>
          <t>—</t>
        </is>
      </c>
      <c r="M452" s="256" t="inlineStr">
        <is>
          <t>—</t>
        </is>
      </c>
      <c r="N452" s="256" t="inlineStr">
        <is>
          <t>—</t>
        </is>
      </c>
      <c r="O452" s="256" t="inlineStr">
        <is>
          <t>—</t>
        </is>
      </c>
      <c r="P452" s="256" t="inlineStr">
        <is>
          <t>upon request — not required for release</t>
        </is>
      </c>
      <c r="Q452" s="256" t="inlineStr"/>
      <c r="R452" s="256" t="inlineStr"/>
    </row>
    <row r="453">
      <c r="A453" s="256" t="inlineStr">
        <is>
          <t>CoQ-PP_26-020</t>
        </is>
      </c>
      <c r="B453" s="256" t="inlineStr">
        <is>
          <t>release</t>
        </is>
      </c>
      <c r="C453" s="256" t="inlineStr">
        <is>
          <t>GP052501</t>
        </is>
      </c>
      <c r="D453" s="256" t="inlineStr">
        <is>
          <t>P050152</t>
        </is>
      </c>
      <c r="E453" s="256" t="inlineStr">
        <is>
          <t>Grape Pie</t>
        </is>
      </c>
      <c r="F453" s="256" t="inlineStr">
        <is>
          <t>06.06.2026</t>
        </is>
      </c>
      <c r="G453" s="256" t="inlineStr">
        <is>
          <t>9.7</t>
        </is>
      </c>
      <c r="H453" s="256" t="inlineStr">
        <is>
          <t>Staphylococcus aureus</t>
        </is>
      </c>
      <c r="I453" s="256" t="inlineStr">
        <is>
          <t>Ph. Eur. 2.6.13 cat. C</t>
        </is>
      </c>
      <c r="J453" s="256" t="inlineStr">
        <is>
          <t>Absence | Отсуство / 1 g</t>
        </is>
      </c>
      <c r="K453" s="260" t="inlineStr">
        <is>
          <t>upon request — not required for release</t>
        </is>
      </c>
      <c r="L453" s="256" t="inlineStr">
        <is>
          <t>—</t>
        </is>
      </c>
      <c r="M453" s="256" t="inlineStr">
        <is>
          <t>—</t>
        </is>
      </c>
      <c r="N453" s="256" t="inlineStr">
        <is>
          <t>—</t>
        </is>
      </c>
      <c r="O453" s="256" t="inlineStr">
        <is>
          <t>—</t>
        </is>
      </c>
      <c r="P453" s="256" t="inlineStr">
        <is>
          <t>upon request — not required for release</t>
        </is>
      </c>
      <c r="Q453" s="256" t="inlineStr"/>
      <c r="R453" s="256" t="inlineStr"/>
    </row>
    <row r="454">
      <c r="A454" s="256" t="inlineStr">
        <is>
          <t>CoQ-PP_26-020</t>
        </is>
      </c>
      <c r="B454" s="256" t="inlineStr">
        <is>
          <t>release</t>
        </is>
      </c>
      <c r="C454" s="256" t="inlineStr">
        <is>
          <t>GP052501</t>
        </is>
      </c>
      <c r="D454" s="256" t="inlineStr">
        <is>
          <t>P050152</t>
        </is>
      </c>
      <c r="E454" s="256" t="inlineStr">
        <is>
          <t>Grape Pie</t>
        </is>
      </c>
      <c r="F454" s="256" t="inlineStr">
        <is>
          <t>06.06.2026</t>
        </is>
      </c>
      <c r="G454" s="256" t="inlineStr">
        <is>
          <t>10.1</t>
        </is>
      </c>
      <c r="H454" s="256" t="inlineStr">
        <is>
          <t>Aflatoxin B₁</t>
        </is>
      </c>
      <c r="I454" s="256" t="inlineStr">
        <is>
          <t>Ph. Eur. 2.8.18 (HPLC-FLD)</t>
        </is>
      </c>
      <c r="J454" s="256" t="inlineStr">
        <is>
          <t>≤ 2 µg/kg</t>
        </is>
      </c>
      <c r="K454" s="259" t="inlineStr">
        <is>
          <t>not tested</t>
        </is>
      </c>
      <c r="L454" s="256" t="inlineStr">
        <is>
          <t>—</t>
        </is>
      </c>
      <c r="M454" s="256" t="inlineStr">
        <is>
          <t>—</t>
        </is>
      </c>
      <c r="N454" s="256" t="inlineStr">
        <is>
          <t>—</t>
        </is>
      </c>
      <c r="O454" s="256" t="inlineStr">
        <is>
          <t>—</t>
        </is>
      </c>
      <c r="P454" s="256" t="inlineStr">
        <is>
          <t>not tested — no certificate covers it</t>
        </is>
      </c>
      <c r="Q454" s="256" t="inlineStr"/>
      <c r="R454" s="256" t="inlineStr">
        <is>
          <t>ND (197-10-М/26)</t>
        </is>
      </c>
    </row>
    <row r="455">
      <c r="A455" s="256" t="inlineStr">
        <is>
          <t>CoQ-PP_26-020</t>
        </is>
      </c>
      <c r="B455" s="256" t="inlineStr">
        <is>
          <t>release</t>
        </is>
      </c>
      <c r="C455" s="256" t="inlineStr">
        <is>
          <t>GP052501</t>
        </is>
      </c>
      <c r="D455" s="256" t="inlineStr">
        <is>
          <t>P050152</t>
        </is>
      </c>
      <c r="E455" s="256" t="inlineStr">
        <is>
          <t>Grape Pie</t>
        </is>
      </c>
      <c r="F455" s="256" t="inlineStr">
        <is>
          <t>06.06.2026</t>
        </is>
      </c>
      <c r="G455" s="256" t="inlineStr">
        <is>
          <t>10.2</t>
        </is>
      </c>
      <c r="H455" s="256" t="inlineStr">
        <is>
          <t>Aflatoxins ∑</t>
        </is>
      </c>
      <c r="I455" s="256" t="inlineStr">
        <is>
          <t>Ph. Eur. 2.8.18 (HPLC-FLD)</t>
        </is>
      </c>
      <c r="J455" s="256" t="inlineStr">
        <is>
          <t>≤ 4 µg/kg</t>
        </is>
      </c>
      <c r="K455" s="256" t="inlineStr">
        <is>
          <t>&lt; 2</t>
        </is>
      </c>
      <c r="L455" s="256" t="inlineStr">
        <is>
          <t>4348/2025</t>
        </is>
      </c>
      <c r="M455" s="256" t="inlineStr">
        <is>
          <t>15.09.2025</t>
        </is>
      </c>
      <c r="N455" s="256" t="inlineStr">
        <is>
          <t>IPH — Institute of Public Health</t>
        </is>
      </c>
      <c r="O455" s="256" t="inlineStr">
        <is>
          <t>05.09.2025</t>
        </is>
      </c>
      <c r="P455" s="256" t="inlineStr">
        <is>
          <t>covered</t>
        </is>
      </c>
      <c r="Q455" s="256" t="inlineStr"/>
      <c r="R455" s="256" t="inlineStr">
        <is>
          <t>ND (197-10-М/26)</t>
        </is>
      </c>
    </row>
    <row r="456">
      <c r="A456" s="256" t="inlineStr">
        <is>
          <t>CoQ-PP_26-020</t>
        </is>
      </c>
      <c r="B456" s="256" t="inlineStr">
        <is>
          <t>release</t>
        </is>
      </c>
      <c r="C456" s="256" t="inlineStr">
        <is>
          <t>GP052501</t>
        </is>
      </c>
      <c r="D456" s="256" t="inlineStr">
        <is>
          <t>P050152</t>
        </is>
      </c>
      <c r="E456" s="256" t="inlineStr">
        <is>
          <t>Grape Pie</t>
        </is>
      </c>
      <c r="F456" s="256" t="inlineStr">
        <is>
          <t>06.06.2026</t>
        </is>
      </c>
      <c r="G456" s="256" t="inlineStr">
        <is>
          <t>10.3</t>
        </is>
      </c>
      <c r="H456" s="256" t="inlineStr">
        <is>
          <t>Ochratoxin A</t>
        </is>
      </c>
      <c r="I456" s="256" t="inlineStr">
        <is>
          <t>Ph. Eur. 2.8.22 (HPLC-FLD)</t>
        </is>
      </c>
      <c r="J456" s="256" t="inlineStr">
        <is>
          <t>≤ 20 µg/kg</t>
        </is>
      </c>
      <c r="K456" s="259" t="inlineStr">
        <is>
          <t>not tested</t>
        </is>
      </c>
      <c r="L456" s="256" t="inlineStr">
        <is>
          <t>—</t>
        </is>
      </c>
      <c r="M456" s="256" t="inlineStr">
        <is>
          <t>—</t>
        </is>
      </c>
      <c r="N456" s="256" t="inlineStr">
        <is>
          <t>—</t>
        </is>
      </c>
      <c r="O456" s="256" t="inlineStr">
        <is>
          <t>—</t>
        </is>
      </c>
      <c r="P456" s="256" t="inlineStr">
        <is>
          <t>not tested — no certificate covers it</t>
        </is>
      </c>
      <c r="Q456" s="256" t="inlineStr"/>
      <c r="R456" s="256" t="inlineStr">
        <is>
          <t>ND (197-10-М/26)</t>
        </is>
      </c>
    </row>
    <row r="457">
      <c r="A457" s="256" t="inlineStr">
        <is>
          <t>CoQ-PP_26-020</t>
        </is>
      </c>
      <c r="B457" s="256" t="inlineStr">
        <is>
          <t>release</t>
        </is>
      </c>
      <c r="C457" s="256" t="inlineStr">
        <is>
          <t>GP052501</t>
        </is>
      </c>
      <c r="D457" s="256" t="inlineStr">
        <is>
          <t>P050152</t>
        </is>
      </c>
      <c r="E457" s="256" t="inlineStr">
        <is>
          <t>Grape Pie</t>
        </is>
      </c>
      <c r="F457" s="256" t="inlineStr">
        <is>
          <t>06.06.2026</t>
        </is>
      </c>
      <c r="G457" s="256" t="inlineStr">
        <is>
          <t>11.1</t>
        </is>
      </c>
      <c r="H457" s="256" t="inlineStr">
        <is>
          <t>Lead (Pb)</t>
        </is>
      </c>
      <c r="I457" s="256" t="inlineStr">
        <is>
          <t>Ph. Eur. 2.4.27 (ICP-MS)</t>
        </is>
      </c>
      <c r="J457" s="256" t="inlineStr">
        <is>
          <t>≤ 0.5 mg/kg</t>
        </is>
      </c>
      <c r="K457" s="256" t="inlineStr">
        <is>
          <t>0.06</t>
        </is>
      </c>
      <c r="L457" s="256" t="inlineStr">
        <is>
          <t>4348/2025</t>
        </is>
      </c>
      <c r="M457" s="256" t="inlineStr">
        <is>
          <t>15.09.2025</t>
        </is>
      </c>
      <c r="N457" s="256" t="inlineStr">
        <is>
          <t>IPH — Institute of Public Health</t>
        </is>
      </c>
      <c r="O457" s="256" t="inlineStr">
        <is>
          <t>05.09.2025</t>
        </is>
      </c>
      <c r="P457" s="256" t="inlineStr">
        <is>
          <t>covered</t>
        </is>
      </c>
      <c r="Q457" s="256" t="inlineStr"/>
      <c r="R457" s="256" t="inlineStr"/>
    </row>
    <row r="458">
      <c r="A458" s="256" t="inlineStr">
        <is>
          <t>CoQ-PP_26-020</t>
        </is>
      </c>
      <c r="B458" s="256" t="inlineStr">
        <is>
          <t>release</t>
        </is>
      </c>
      <c r="C458" s="256" t="inlineStr">
        <is>
          <t>GP052501</t>
        </is>
      </c>
      <c r="D458" s="256" t="inlineStr">
        <is>
          <t>P050152</t>
        </is>
      </c>
      <c r="E458" s="256" t="inlineStr">
        <is>
          <t>Grape Pie</t>
        </is>
      </c>
      <c r="F458" s="256" t="inlineStr">
        <is>
          <t>06.06.2026</t>
        </is>
      </c>
      <c r="G458" s="256" t="inlineStr">
        <is>
          <t>11.2</t>
        </is>
      </c>
      <c r="H458" s="256" t="inlineStr">
        <is>
          <t>Cadmium (Cd)</t>
        </is>
      </c>
      <c r="I458" s="256" t="inlineStr">
        <is>
          <t>Ph. Eur. 2.4.27 (ICP-MS)</t>
        </is>
      </c>
      <c r="J458" s="256" t="inlineStr">
        <is>
          <t>≤ 0.3 mg/kg</t>
        </is>
      </c>
      <c r="K458" s="256" t="inlineStr">
        <is>
          <t>ND</t>
        </is>
      </c>
      <c r="L458" s="256" t="inlineStr">
        <is>
          <t>4348/2025</t>
        </is>
      </c>
      <c r="M458" s="256" t="inlineStr">
        <is>
          <t>15.09.2025</t>
        </is>
      </c>
      <c r="N458" s="256" t="inlineStr">
        <is>
          <t>IPH — Institute of Public Health</t>
        </is>
      </c>
      <c r="O458" s="256" t="inlineStr">
        <is>
          <t>05.09.2025</t>
        </is>
      </c>
      <c r="P458" s="256" t="inlineStr">
        <is>
          <t>covered</t>
        </is>
      </c>
      <c r="Q458" s="256" t="inlineStr"/>
      <c r="R458" s="256" t="inlineStr"/>
    </row>
    <row r="459">
      <c r="A459" s="256" t="inlineStr">
        <is>
          <t>CoQ-PP_26-020</t>
        </is>
      </c>
      <c r="B459" s="256" t="inlineStr">
        <is>
          <t>release</t>
        </is>
      </c>
      <c r="C459" s="256" t="inlineStr">
        <is>
          <t>GP052501</t>
        </is>
      </c>
      <c r="D459" s="256" t="inlineStr">
        <is>
          <t>P050152</t>
        </is>
      </c>
      <c r="E459" s="256" t="inlineStr">
        <is>
          <t>Grape Pie</t>
        </is>
      </c>
      <c r="F459" s="256" t="inlineStr">
        <is>
          <t>06.06.2026</t>
        </is>
      </c>
      <c r="G459" s="256" t="inlineStr">
        <is>
          <t>11.3</t>
        </is>
      </c>
      <c r="H459" s="256" t="inlineStr">
        <is>
          <t>Arsenic (As)</t>
        </is>
      </c>
      <c r="I459" s="256" t="inlineStr">
        <is>
          <t>Ph. Eur. 2.4.27 (ICP-MS)</t>
        </is>
      </c>
      <c r="J459" s="256" t="inlineStr">
        <is>
          <t>≤ 0.2 mg/kg</t>
        </is>
      </c>
      <c r="K459" s="256" t="inlineStr">
        <is>
          <t>ND</t>
        </is>
      </c>
      <c r="L459" s="256" t="inlineStr">
        <is>
          <t>4348/2025</t>
        </is>
      </c>
      <c r="M459" s="256" t="inlineStr">
        <is>
          <t>15.09.2025</t>
        </is>
      </c>
      <c r="N459" s="256" t="inlineStr">
        <is>
          <t>IPH — Institute of Public Health</t>
        </is>
      </c>
      <c r="O459" s="256" t="inlineStr">
        <is>
          <t>05.09.2025</t>
        </is>
      </c>
      <c r="P459" s="256" t="inlineStr">
        <is>
          <t>covered</t>
        </is>
      </c>
      <c r="Q459" s="256" t="inlineStr"/>
      <c r="R459" s="256" t="inlineStr"/>
    </row>
    <row r="460">
      <c r="A460" s="256" t="inlineStr">
        <is>
          <t>CoQ-PP_26-020</t>
        </is>
      </c>
      <c r="B460" s="256" t="inlineStr">
        <is>
          <t>release</t>
        </is>
      </c>
      <c r="C460" s="256" t="inlineStr">
        <is>
          <t>GP052501</t>
        </is>
      </c>
      <c r="D460" s="256" t="inlineStr">
        <is>
          <t>P050152</t>
        </is>
      </c>
      <c r="E460" s="256" t="inlineStr">
        <is>
          <t>Grape Pie</t>
        </is>
      </c>
      <c r="F460" s="256" t="inlineStr">
        <is>
          <t>06.06.2026</t>
        </is>
      </c>
      <c r="G460" s="256" t="inlineStr">
        <is>
          <t>11.4</t>
        </is>
      </c>
      <c r="H460" s="256" t="inlineStr">
        <is>
          <t>Mercury (Hg)</t>
        </is>
      </c>
      <c r="I460" s="256" t="inlineStr">
        <is>
          <t>Ph. Eur. 2.4.27 (ICP-MS)</t>
        </is>
      </c>
      <c r="J460" s="256" t="inlineStr">
        <is>
          <t>≤ 0.1 mg/kg</t>
        </is>
      </c>
      <c r="K460" s="256" t="inlineStr">
        <is>
          <t>ND</t>
        </is>
      </c>
      <c r="L460" s="256" t="inlineStr">
        <is>
          <t>4348/2025</t>
        </is>
      </c>
      <c r="M460" s="256" t="inlineStr">
        <is>
          <t>15.09.2025</t>
        </is>
      </c>
      <c r="N460" s="256" t="inlineStr">
        <is>
          <t>IPH — Institute of Public Health</t>
        </is>
      </c>
      <c r="O460" s="256" t="inlineStr">
        <is>
          <t>05.09.2025</t>
        </is>
      </c>
      <c r="P460" s="256" t="inlineStr">
        <is>
          <t>covered</t>
        </is>
      </c>
      <c r="Q460" s="256" t="inlineStr"/>
      <c r="R460" s="256" t="inlineStr"/>
    </row>
    <row r="461">
      <c r="A461" s="256" t="inlineStr">
        <is>
          <t>CoQ-PP_26-020</t>
        </is>
      </c>
      <c r="B461" s="256" t="inlineStr">
        <is>
          <t>release</t>
        </is>
      </c>
      <c r="C461" s="256" t="inlineStr">
        <is>
          <t>GP052501</t>
        </is>
      </c>
      <c r="D461" s="256" t="inlineStr">
        <is>
          <t>P050152</t>
        </is>
      </c>
      <c r="E461" s="256" t="inlineStr">
        <is>
          <t>Grape Pie</t>
        </is>
      </c>
      <c r="F461" s="256" t="inlineStr">
        <is>
          <t>06.06.2026</t>
        </is>
      </c>
      <c r="G461" s="256" t="inlineStr">
        <is>
          <t>12</t>
        </is>
      </c>
      <c r="H461" s="256" t="inlineStr">
        <is>
          <t>Pesticide Residues</t>
        </is>
      </c>
      <c r="I461" s="256" t="inlineStr">
        <is>
          <t>Ph. Eur. 2.8.13 (LC-MS/MS) · CUMCS Equivalency</t>
        </is>
      </c>
      <c r="J461" s="256" t="inlineStr">
        <is>
          <t>≤ LOQ as per Ph. Eur. 2.8.13 · ≤ LOQ as per CUMCS Equivalency</t>
        </is>
      </c>
      <c r="K461" s="256" t="inlineStr">
        <is>
          <t>ND</t>
        </is>
      </c>
      <c r="L461" s="256" t="inlineStr">
        <is>
          <t>4348/2025</t>
        </is>
      </c>
      <c r="M461" s="256" t="inlineStr">
        <is>
          <t>15.09.2025</t>
        </is>
      </c>
      <c r="N461" s="256" t="inlineStr">
        <is>
          <t>IPH — Institute of Public Health</t>
        </is>
      </c>
      <c r="O461" s="256" t="inlineStr">
        <is>
          <t>05.09.2025</t>
        </is>
      </c>
      <c r="P461" s="256" t="inlineStr">
        <is>
          <t>covered</t>
        </is>
      </c>
      <c r="Q461" s="256" t="inlineStr"/>
      <c r="R461" s="256" t="inlineStr"/>
    </row>
    <row r="462">
      <c r="A462" s="256" t="inlineStr">
        <is>
          <t>CoQ-PP_26-021</t>
        </is>
      </c>
      <c r="B462" s="256" t="inlineStr">
        <is>
          <t>release</t>
        </is>
      </c>
      <c r="C462" s="256" t="inlineStr">
        <is>
          <t>BSS1024_01/2</t>
        </is>
      </c>
      <c r="D462" s="256" t="inlineStr">
        <is>
          <t>P050142</t>
        </is>
      </c>
      <c r="E462" s="256" t="inlineStr">
        <is>
          <t>Blue Sunset Sherbet</t>
        </is>
      </c>
      <c r="F462" s="256" t="inlineStr">
        <is>
          <t>06.06.2026</t>
        </is>
      </c>
      <c r="G462" s="256" t="inlineStr">
        <is>
          <t>1</t>
        </is>
      </c>
      <c r="H462" s="256" t="inlineStr">
        <is>
          <t>Identification A, Appearance · Macroscopic</t>
        </is>
      </c>
      <c r="I462" s="256" t="inlineStr">
        <is>
          <t>Ph. Eur. mon. 3028</t>
        </is>
      </c>
      <c r="J462" s="256" t="inlineStr">
        <is>
          <t>Conforms to the monograph for Cannabis flos (07/2024:3028) in Ph. Eur. 11.0 | Согласно монографија за Cannabis flos (07/2024:3028) во Ph. Eur. 11.0</t>
        </is>
      </c>
      <c r="K462" s="256" t="inlineStr">
        <is>
          <t>Conforms | Одговара</t>
        </is>
      </c>
      <c r="L462" s="256" t="inlineStr">
        <is>
          <t>iCoA-PP_26-020</t>
        </is>
      </c>
      <c r="M462" s="256" t="inlineStr">
        <is>
          <t>03.06.2026</t>
        </is>
      </c>
      <c r="N462" s="256" t="inlineStr">
        <is>
          <t>Purely Plant GmbH (in-house)</t>
        </is>
      </c>
      <c r="O462" s="256" t="inlineStr">
        <is>
          <t>—</t>
        </is>
      </c>
      <c r="P462" s="256" t="inlineStr">
        <is>
          <t>to be performed — see route</t>
        </is>
      </c>
      <c r="Q462" s="256" t="inlineStr">
        <is>
          <t>Purely Plant laboratory — iCoA covering Ident A + B</t>
        </is>
      </c>
      <c r="R462" s="256" t="inlineStr"/>
    </row>
    <row r="463">
      <c r="A463" s="256" t="inlineStr">
        <is>
          <t>CoQ-PP_26-021</t>
        </is>
      </c>
      <c r="B463" s="256" t="inlineStr">
        <is>
          <t>release</t>
        </is>
      </c>
      <c r="C463" s="256" t="inlineStr">
        <is>
          <t>BSS1024_01/2</t>
        </is>
      </c>
      <c r="D463" s="256" t="inlineStr">
        <is>
          <t>P050142</t>
        </is>
      </c>
      <c r="E463" s="256" t="inlineStr">
        <is>
          <t>Blue Sunset Sherbet</t>
        </is>
      </c>
      <c r="F463" s="256" t="inlineStr">
        <is>
          <t>06.06.2026</t>
        </is>
      </c>
      <c r="G463" s="256" t="inlineStr">
        <is>
          <t>2</t>
        </is>
      </c>
      <c r="H463" s="256" t="inlineStr">
        <is>
          <t>Identification B · Microscopic</t>
        </is>
      </c>
      <c r="I463" s="256" t="inlineStr">
        <is>
          <t>Ph. Eur. 2.8.23 (microscopy)</t>
        </is>
      </c>
      <c r="J463" s="256" t="inlineStr">
        <is>
          <t>Conforms to the monograph for Cannabis flos (07/2024:3028) in Ph. Eur. 11.0 | Согласно монографија за Cannabis flos (07/2024:3028) во Ph. Eur. 11.0</t>
        </is>
      </c>
      <c r="K463" s="256" t="inlineStr">
        <is>
          <t>Conforms | Одговара</t>
        </is>
      </c>
      <c r="L463" s="256" t="inlineStr">
        <is>
          <t>iCoA-PP_26-020</t>
        </is>
      </c>
      <c r="M463" s="256" t="inlineStr">
        <is>
          <t>03.06.2026</t>
        </is>
      </c>
      <c r="N463" s="256" t="inlineStr">
        <is>
          <t>Purely Plant GmbH (in-house)</t>
        </is>
      </c>
      <c r="O463" s="256" t="inlineStr">
        <is>
          <t>—</t>
        </is>
      </c>
      <c r="P463" s="256" t="inlineStr">
        <is>
          <t>to be performed — see route</t>
        </is>
      </c>
      <c r="Q463" s="256" t="inlineStr">
        <is>
          <t>Purely Plant laboratory — iCoA covering Ident A + B</t>
        </is>
      </c>
      <c r="R463" s="256" t="inlineStr"/>
    </row>
    <row r="464">
      <c r="A464" s="256" t="inlineStr">
        <is>
          <t>CoQ-PP_26-021</t>
        </is>
      </c>
      <c r="B464" s="256" t="inlineStr">
        <is>
          <t>release</t>
        </is>
      </c>
      <c r="C464" s="256" t="inlineStr">
        <is>
          <t>BSS1024_01/2</t>
        </is>
      </c>
      <c r="D464" s="256" t="inlineStr">
        <is>
          <t>P050142</t>
        </is>
      </c>
      <c r="E464" s="256" t="inlineStr">
        <is>
          <t>Blue Sunset Sherbet</t>
        </is>
      </c>
      <c r="F464" s="256" t="inlineStr">
        <is>
          <t>06.06.2026</t>
        </is>
      </c>
      <c r="G464" s="256" t="inlineStr">
        <is>
          <t>3</t>
        </is>
      </c>
      <c r="H464" s="256" t="inlineStr">
        <is>
          <t>Identification C · HPLC/HPTLC</t>
        </is>
      </c>
      <c r="I464" s="256" t="inlineStr">
        <is>
          <t>Ph. Eur. 2.2.29 (3028)</t>
        </is>
      </c>
      <c r="J464" s="256" t="inlineStr">
        <is>
          <t>Conforms to the monograph for Cannabis flos (07/2024:3028) in Ph. Eur. 11.0 | Согласно монографија за Cannabis flos (07/2024:3028) во Ph. Eur. 11.0</t>
        </is>
      </c>
      <c r="K464" s="259" t="inlineStr">
        <is>
          <t>to be performed (in house)</t>
        </is>
      </c>
      <c r="L464" s="256" t="inlineStr">
        <is>
          <t>—</t>
        </is>
      </c>
      <c r="M464" s="256" t="inlineStr">
        <is>
          <t>—</t>
        </is>
      </c>
      <c r="N464" s="256" t="inlineStr">
        <is>
          <t>—</t>
        </is>
      </c>
      <c r="O464" s="256" t="inlineStr">
        <is>
          <t>—</t>
        </is>
      </c>
      <c r="P464" s="256" t="inlineStr">
        <is>
          <t>to be performed — see route</t>
        </is>
      </c>
      <c r="Q464" s="256" t="inlineStr">
        <is>
          <t>outside laboratory — the HPLC cannabinoid certificate discharges Ident C (Farmahem -K- or CNP); in-house iCoA P03 only where none exists</t>
        </is>
      </c>
      <c r="R464" s="256" t="inlineStr"/>
    </row>
    <row r="465">
      <c r="A465" s="256" t="inlineStr">
        <is>
          <t>CoQ-PP_26-021</t>
        </is>
      </c>
      <c r="B465" s="256" t="inlineStr">
        <is>
          <t>release</t>
        </is>
      </c>
      <c r="C465" s="256" t="inlineStr">
        <is>
          <t>BSS1024_01/2</t>
        </is>
      </c>
      <c r="D465" s="256" t="inlineStr">
        <is>
          <t>P050142</t>
        </is>
      </c>
      <c r="E465" s="256" t="inlineStr">
        <is>
          <t>Blue Sunset Sherbet</t>
        </is>
      </c>
      <c r="F465" s="256" t="inlineStr">
        <is>
          <t>06.06.2026</t>
        </is>
      </c>
      <c r="G465" s="256" t="inlineStr">
        <is>
          <t>4</t>
        </is>
      </c>
      <c r="H465" s="256" t="inlineStr">
        <is>
          <t>Assay — Total Δ⁹-THC</t>
        </is>
      </c>
      <c r="I465" s="256" t="inlineStr">
        <is>
          <t>Ph. Eur. 2.2.29 (HPLC)</t>
        </is>
      </c>
      <c r="J465" s="256" t="inlineStr">
        <is>
          <t>Per grade of the potency specification of 15.09.2026 — no Total THC result on file</t>
        </is>
      </c>
      <c r="K465" s="259" t="inlineStr">
        <is>
          <t>not tested</t>
        </is>
      </c>
      <c r="L465" s="256" t="inlineStr">
        <is>
          <t>—</t>
        </is>
      </c>
      <c r="M465" s="256" t="inlineStr">
        <is>
          <t>—</t>
        </is>
      </c>
      <c r="N465" s="256" t="inlineStr">
        <is>
          <t>—</t>
        </is>
      </c>
      <c r="O465" s="256" t="inlineStr">
        <is>
          <t>—</t>
        </is>
      </c>
      <c r="P465" s="256" t="inlineStr">
        <is>
          <t>not tested — no certificate covers it</t>
        </is>
      </c>
      <c r="Q465" s="256" t="inlineStr"/>
      <c r="R465" s="256" t="inlineStr">
        <is>
          <t>26.69 (227-1-К/26)</t>
        </is>
      </c>
    </row>
    <row r="466">
      <c r="A466" s="256" t="inlineStr">
        <is>
          <t>CoQ-PP_26-021</t>
        </is>
      </c>
      <c r="B466" s="256" t="inlineStr">
        <is>
          <t>release</t>
        </is>
      </c>
      <c r="C466" s="256" t="inlineStr">
        <is>
          <t>BSS1024_01/2</t>
        </is>
      </c>
      <c r="D466" s="256" t="inlineStr">
        <is>
          <t>P050142</t>
        </is>
      </c>
      <c r="E466" s="256" t="inlineStr">
        <is>
          <t>Blue Sunset Sherbet</t>
        </is>
      </c>
      <c r="F466" s="256" t="inlineStr">
        <is>
          <t>06.06.2026</t>
        </is>
      </c>
      <c r="G466" s="256" t="inlineStr">
        <is>
          <t>5</t>
        </is>
      </c>
      <c r="H466" s="256" t="inlineStr">
        <is>
          <t>Assay — Total CBD</t>
        </is>
      </c>
      <c r="I466" s="256" t="inlineStr">
        <is>
          <t>Ph. Eur. 2.2.29 (HPLC) · CBD + CBDA x 0.877</t>
        </is>
      </c>
      <c r="J466" s="256" t="inlineStr">
        <is>
          <t>≤ 1.0%, w/w</t>
        </is>
      </c>
      <c r="K466" s="259" t="inlineStr">
        <is>
          <t>not tested</t>
        </is>
      </c>
      <c r="L466" s="256" t="inlineStr">
        <is>
          <t>—</t>
        </is>
      </c>
      <c r="M466" s="256" t="inlineStr">
        <is>
          <t>—</t>
        </is>
      </c>
      <c r="N466" s="256" t="inlineStr">
        <is>
          <t>—</t>
        </is>
      </c>
      <c r="O466" s="256" t="inlineStr">
        <is>
          <t>—</t>
        </is>
      </c>
      <c r="P466" s="256" t="inlineStr">
        <is>
          <t>not tested — no certificate covers it</t>
        </is>
      </c>
      <c r="Q466" s="256" t="inlineStr"/>
      <c r="R466" s="256" t="inlineStr">
        <is>
          <t>&lt;LOQ (227-1-К/26)</t>
        </is>
      </c>
    </row>
    <row r="467">
      <c r="A467" s="256" t="inlineStr">
        <is>
          <t>CoQ-PP_26-021</t>
        </is>
      </c>
      <c r="B467" s="256" t="inlineStr">
        <is>
          <t>release</t>
        </is>
      </c>
      <c r="C467" s="256" t="inlineStr">
        <is>
          <t>BSS1024_01/2</t>
        </is>
      </c>
      <c r="D467" s="256" t="inlineStr">
        <is>
          <t>P050142</t>
        </is>
      </c>
      <c r="E467" s="256" t="inlineStr">
        <is>
          <t>Blue Sunset Sherbet</t>
        </is>
      </c>
      <c r="F467" s="256" t="inlineStr">
        <is>
          <t>06.06.2026</t>
        </is>
      </c>
      <c r="G467" s="256" t="inlineStr">
        <is>
          <t>6</t>
        </is>
      </c>
      <c r="H467" s="256" t="inlineStr">
        <is>
          <t>Total CBN</t>
        </is>
      </c>
      <c r="I467" s="256" t="inlineStr">
        <is>
          <t>Ph. Eur. 2.2.29 (HPLC) · CBN + CBNA x 0.876</t>
        </is>
      </c>
      <c r="J467" s="256" t="inlineStr">
        <is>
          <t>≤ 1.0%, w/w</t>
        </is>
      </c>
      <c r="K467" s="259" t="inlineStr">
        <is>
          <t>not tested</t>
        </is>
      </c>
      <c r="L467" s="256" t="inlineStr">
        <is>
          <t>—</t>
        </is>
      </c>
      <c r="M467" s="256" t="inlineStr">
        <is>
          <t>—</t>
        </is>
      </c>
      <c r="N467" s="256" t="inlineStr">
        <is>
          <t>—</t>
        </is>
      </c>
      <c r="O467" s="256" t="inlineStr">
        <is>
          <t>—</t>
        </is>
      </c>
      <c r="P467" s="256" t="inlineStr">
        <is>
          <t>not tested — no certificate covers it</t>
        </is>
      </c>
      <c r="Q467" s="256" t="inlineStr"/>
      <c r="R467" s="256" t="inlineStr">
        <is>
          <t>&lt;LOQ (227-1-К/26)</t>
        </is>
      </c>
    </row>
    <row r="468">
      <c r="A468" s="256" t="inlineStr">
        <is>
          <t>CoQ-PP_26-021</t>
        </is>
      </c>
      <c r="B468" s="256" t="inlineStr">
        <is>
          <t>release</t>
        </is>
      </c>
      <c r="C468" s="256" t="inlineStr">
        <is>
          <t>BSS1024_01/2</t>
        </is>
      </c>
      <c r="D468" s="256" t="inlineStr">
        <is>
          <t>P050142</t>
        </is>
      </c>
      <c r="E468" s="256" t="inlineStr">
        <is>
          <t>Blue Sunset Sherbet</t>
        </is>
      </c>
      <c r="F468" s="256" t="inlineStr">
        <is>
          <t>06.06.2026</t>
        </is>
      </c>
      <c r="G468" s="256" t="inlineStr">
        <is>
          <t>7</t>
        </is>
      </c>
      <c r="H468" s="256" t="inlineStr">
        <is>
          <t>Foreign Matter</t>
        </is>
      </c>
      <c r="I468" s="256" t="inlineStr">
        <is>
          <t>Ph. Eur. 2.8.2 · In-house · интерна</t>
        </is>
      </c>
      <c r="J468" s="256" t="inlineStr">
        <is>
          <t>≤ 2.0% / 25–50 g · &lt; 1 cm leaves | листови, no seeds | без семки</t>
        </is>
      </c>
      <c r="K468" s="256" t="inlineStr">
        <is>
          <t>Conforms | Одговара</t>
        </is>
      </c>
      <c r="L468" s="256" t="inlineStr">
        <is>
          <t>iCoA-PP_26-020</t>
        </is>
      </c>
      <c r="M468" s="256" t="inlineStr">
        <is>
          <t>03.06.2026</t>
        </is>
      </c>
      <c r="N468" s="256" t="inlineStr">
        <is>
          <t>Purely Plant GmbH (in-house)</t>
        </is>
      </c>
      <c r="O468" s="256" t="inlineStr">
        <is>
          <t>—</t>
        </is>
      </c>
      <c r="P468" s="256" t="inlineStr">
        <is>
          <t>to be performed — see route</t>
        </is>
      </c>
      <c r="Q468" s="256" t="inlineStr">
        <is>
          <t>Purely Plant laboratory — iCoA covering Foreign matter</t>
        </is>
      </c>
      <c r="R468" s="256" t="inlineStr"/>
    </row>
    <row r="469">
      <c r="A469" s="256" t="inlineStr">
        <is>
          <t>CoQ-PP_26-021</t>
        </is>
      </c>
      <c r="B469" s="256" t="inlineStr">
        <is>
          <t>release</t>
        </is>
      </c>
      <c r="C469" s="256" t="inlineStr">
        <is>
          <t>BSS1024_01/2</t>
        </is>
      </c>
      <c r="D469" s="256" t="inlineStr">
        <is>
          <t>P050142</t>
        </is>
      </c>
      <c r="E469" s="256" t="inlineStr">
        <is>
          <t>Blue Sunset Sherbet</t>
        </is>
      </c>
      <c r="F469" s="256" t="inlineStr">
        <is>
          <t>06.06.2026</t>
        </is>
      </c>
      <c r="G469" s="256" t="inlineStr">
        <is>
          <t>8</t>
        </is>
      </c>
      <c r="H469" s="256" t="inlineStr">
        <is>
          <t>Loss on Drying</t>
        </is>
      </c>
      <c r="I469" s="256" t="inlineStr">
        <is>
          <t>Ph. Eur. 2.2.32 (3028) · at 40 °C, 24 h, 15–25 mbar</t>
        </is>
      </c>
      <c r="J469" s="256" t="inlineStr">
        <is>
          <t>≤ 12.0%</t>
        </is>
      </c>
      <c r="K469" s="259" t="inlineStr">
        <is>
          <t>not tested</t>
        </is>
      </c>
      <c r="L469" s="256" t="inlineStr">
        <is>
          <t>—</t>
        </is>
      </c>
      <c r="M469" s="256" t="inlineStr">
        <is>
          <t>—</t>
        </is>
      </c>
      <c r="N469" s="256" t="inlineStr">
        <is>
          <t>—</t>
        </is>
      </c>
      <c r="O469" s="256" t="inlineStr">
        <is>
          <t>—</t>
        </is>
      </c>
      <c r="P469" s="256" t="inlineStr">
        <is>
          <t>not tested — no certificate covers it</t>
        </is>
      </c>
      <c r="Q469" s="256" t="inlineStr"/>
      <c r="R469" s="256" t="inlineStr"/>
    </row>
    <row r="470">
      <c r="A470" s="256" t="inlineStr">
        <is>
          <t>CoQ-PP_26-021</t>
        </is>
      </c>
      <c r="B470" s="256" t="inlineStr">
        <is>
          <t>release</t>
        </is>
      </c>
      <c r="C470" s="256" t="inlineStr">
        <is>
          <t>BSS1024_01/2</t>
        </is>
      </c>
      <c r="D470" s="256" t="inlineStr">
        <is>
          <t>P050142</t>
        </is>
      </c>
      <c r="E470" s="256" t="inlineStr">
        <is>
          <t>Blue Sunset Sherbet</t>
        </is>
      </c>
      <c r="F470" s="256" t="inlineStr">
        <is>
          <t>06.06.2026</t>
        </is>
      </c>
      <c r="G470" s="256" t="inlineStr">
        <is>
          <t>9.1</t>
        </is>
      </c>
      <c r="H470" s="256" t="inlineStr">
        <is>
          <t>TAMC</t>
        </is>
      </c>
      <c r="I470" s="256" t="inlineStr">
        <is>
          <t>Ph. Eur. 2.6.12 cat. C</t>
        </is>
      </c>
      <c r="J470" s="256" t="inlineStr">
        <is>
          <t>≤ 10⁵ CFU/g</t>
        </is>
      </c>
      <c r="K470" s="259" t="inlineStr">
        <is>
          <t>not tested</t>
        </is>
      </c>
      <c r="L470" s="256" t="inlineStr">
        <is>
          <t>—</t>
        </is>
      </c>
      <c r="M470" s="256" t="inlineStr">
        <is>
          <t>—</t>
        </is>
      </c>
      <c r="N470" s="256" t="inlineStr">
        <is>
          <t>—</t>
        </is>
      </c>
      <c r="O470" s="256" t="inlineStr">
        <is>
          <t>—</t>
        </is>
      </c>
      <c r="P470" s="256" t="inlineStr">
        <is>
          <t>not tested — no certificate covers it</t>
        </is>
      </c>
      <c r="Q470" s="256" t="inlineStr"/>
      <c r="R470" s="256" t="inlineStr"/>
    </row>
    <row r="471">
      <c r="A471" s="256" t="inlineStr">
        <is>
          <t>CoQ-PP_26-021</t>
        </is>
      </c>
      <c r="B471" s="256" t="inlineStr">
        <is>
          <t>release</t>
        </is>
      </c>
      <c r="C471" s="256" t="inlineStr">
        <is>
          <t>BSS1024_01/2</t>
        </is>
      </c>
      <c r="D471" s="256" t="inlineStr">
        <is>
          <t>P050142</t>
        </is>
      </c>
      <c r="E471" s="256" t="inlineStr">
        <is>
          <t>Blue Sunset Sherbet</t>
        </is>
      </c>
      <c r="F471" s="256" t="inlineStr">
        <is>
          <t>06.06.2026</t>
        </is>
      </c>
      <c r="G471" s="256" t="inlineStr">
        <is>
          <t>9.2</t>
        </is>
      </c>
      <c r="H471" s="256" t="inlineStr">
        <is>
          <t>TYMC</t>
        </is>
      </c>
      <c r="I471" s="256" t="inlineStr">
        <is>
          <t>Ph. Eur. 2.6.12 cat. C</t>
        </is>
      </c>
      <c r="J471" s="256" t="inlineStr">
        <is>
          <t>≤ 10⁴ CFU/g</t>
        </is>
      </c>
      <c r="K471" s="259" t="inlineStr">
        <is>
          <t>not tested</t>
        </is>
      </c>
      <c r="L471" s="256" t="inlineStr">
        <is>
          <t>—</t>
        </is>
      </c>
      <c r="M471" s="256" t="inlineStr">
        <is>
          <t>—</t>
        </is>
      </c>
      <c r="N471" s="256" t="inlineStr">
        <is>
          <t>—</t>
        </is>
      </c>
      <c r="O471" s="256" t="inlineStr">
        <is>
          <t>—</t>
        </is>
      </c>
      <c r="P471" s="256" t="inlineStr">
        <is>
          <t>not tested — no certificate covers it</t>
        </is>
      </c>
      <c r="Q471" s="256" t="inlineStr"/>
      <c r="R471" s="256" t="inlineStr"/>
    </row>
    <row r="472">
      <c r="A472" s="256" t="inlineStr">
        <is>
          <t>CoQ-PP_26-021</t>
        </is>
      </c>
      <c r="B472" s="256" t="inlineStr">
        <is>
          <t>release</t>
        </is>
      </c>
      <c r="C472" s="256" t="inlineStr">
        <is>
          <t>BSS1024_01/2</t>
        </is>
      </c>
      <c r="D472" s="256" t="inlineStr">
        <is>
          <t>P050142</t>
        </is>
      </c>
      <c r="E472" s="256" t="inlineStr">
        <is>
          <t>Blue Sunset Sherbet</t>
        </is>
      </c>
      <c r="F472" s="256" t="inlineStr">
        <is>
          <t>06.06.2026</t>
        </is>
      </c>
      <c r="G472" s="256" t="inlineStr">
        <is>
          <t>9.3</t>
        </is>
      </c>
      <c r="H472" s="256" t="inlineStr">
        <is>
          <t>Bile-tolerant gram-neg.</t>
        </is>
      </c>
      <c r="I472" s="256" t="inlineStr">
        <is>
          <t>Ph. Eur. 2.6.31 cat. C</t>
        </is>
      </c>
      <c r="J472" s="256" t="inlineStr">
        <is>
          <t>≤ 10⁴ CFU/g</t>
        </is>
      </c>
      <c r="K472" s="259" t="inlineStr">
        <is>
          <t>not tested</t>
        </is>
      </c>
      <c r="L472" s="256" t="inlineStr">
        <is>
          <t>—</t>
        </is>
      </c>
      <c r="M472" s="256" t="inlineStr">
        <is>
          <t>—</t>
        </is>
      </c>
      <c r="N472" s="256" t="inlineStr">
        <is>
          <t>—</t>
        </is>
      </c>
      <c r="O472" s="256" t="inlineStr">
        <is>
          <t>—</t>
        </is>
      </c>
      <c r="P472" s="256" t="inlineStr">
        <is>
          <t>not tested — no certificate covers it</t>
        </is>
      </c>
      <c r="Q472" s="256" t="inlineStr"/>
      <c r="R472" s="256" t="inlineStr"/>
    </row>
    <row r="473">
      <c r="A473" s="256" t="inlineStr">
        <is>
          <t>CoQ-PP_26-021</t>
        </is>
      </c>
      <c r="B473" s="256" t="inlineStr">
        <is>
          <t>release</t>
        </is>
      </c>
      <c r="C473" s="256" t="inlineStr">
        <is>
          <t>BSS1024_01/2</t>
        </is>
      </c>
      <c r="D473" s="256" t="inlineStr">
        <is>
          <t>P050142</t>
        </is>
      </c>
      <c r="E473" s="256" t="inlineStr">
        <is>
          <t>Blue Sunset Sherbet</t>
        </is>
      </c>
      <c r="F473" s="256" t="inlineStr">
        <is>
          <t>06.06.2026</t>
        </is>
      </c>
      <c r="G473" s="256" t="inlineStr">
        <is>
          <t>9.4</t>
        </is>
      </c>
      <c r="H473" s="256" t="inlineStr">
        <is>
          <t>Salmonella</t>
        </is>
      </c>
      <c r="I473" s="256" t="inlineStr">
        <is>
          <t>Ph. Eur. 2.6.31 cat. C</t>
        </is>
      </c>
      <c r="J473" s="256" t="inlineStr">
        <is>
          <t>Absence | Отсуство / 25 g</t>
        </is>
      </c>
      <c r="K473" s="259" t="inlineStr">
        <is>
          <t>not tested</t>
        </is>
      </c>
      <c r="L473" s="256" t="inlineStr">
        <is>
          <t>—</t>
        </is>
      </c>
      <c r="M473" s="256" t="inlineStr">
        <is>
          <t>—</t>
        </is>
      </c>
      <c r="N473" s="256" t="inlineStr">
        <is>
          <t>—</t>
        </is>
      </c>
      <c r="O473" s="256" t="inlineStr">
        <is>
          <t>—</t>
        </is>
      </c>
      <c r="P473" s="256" t="inlineStr">
        <is>
          <t>not tested — no certificate covers it</t>
        </is>
      </c>
      <c r="Q473" s="256" t="inlineStr"/>
      <c r="R473" s="256" t="inlineStr"/>
    </row>
    <row r="474">
      <c r="A474" s="256" t="inlineStr">
        <is>
          <t>CoQ-PP_26-021</t>
        </is>
      </c>
      <c r="B474" s="256" t="inlineStr">
        <is>
          <t>release</t>
        </is>
      </c>
      <c r="C474" s="256" t="inlineStr">
        <is>
          <t>BSS1024_01/2</t>
        </is>
      </c>
      <c r="D474" s="256" t="inlineStr">
        <is>
          <t>P050142</t>
        </is>
      </c>
      <c r="E474" s="256" t="inlineStr">
        <is>
          <t>Blue Sunset Sherbet</t>
        </is>
      </c>
      <c r="F474" s="256" t="inlineStr">
        <is>
          <t>06.06.2026</t>
        </is>
      </c>
      <c r="G474" s="256" t="inlineStr">
        <is>
          <t>9.5</t>
        </is>
      </c>
      <c r="H474" s="256" t="inlineStr">
        <is>
          <t>Escherichia coli</t>
        </is>
      </c>
      <c r="I474" s="256" t="inlineStr">
        <is>
          <t>Ph. Eur. 2.6.13 cat. C</t>
        </is>
      </c>
      <c r="J474" s="256" t="inlineStr">
        <is>
          <t>Absence | Отсуство / 1 g</t>
        </is>
      </c>
      <c r="K474" s="259" t="inlineStr">
        <is>
          <t>not tested</t>
        </is>
      </c>
      <c r="L474" s="256" t="inlineStr">
        <is>
          <t>—</t>
        </is>
      </c>
      <c r="M474" s="256" t="inlineStr">
        <is>
          <t>—</t>
        </is>
      </c>
      <c r="N474" s="256" t="inlineStr">
        <is>
          <t>—</t>
        </is>
      </c>
      <c r="O474" s="256" t="inlineStr">
        <is>
          <t>—</t>
        </is>
      </c>
      <c r="P474" s="256" t="inlineStr">
        <is>
          <t>not tested — no certificate covers it</t>
        </is>
      </c>
      <c r="Q474" s="256" t="inlineStr"/>
      <c r="R474" s="256" t="inlineStr"/>
    </row>
    <row r="475">
      <c r="A475" s="256" t="inlineStr">
        <is>
          <t>CoQ-PP_26-021</t>
        </is>
      </c>
      <c r="B475" s="256" t="inlineStr">
        <is>
          <t>release</t>
        </is>
      </c>
      <c r="C475" s="256" t="inlineStr">
        <is>
          <t>BSS1024_01/2</t>
        </is>
      </c>
      <c r="D475" s="256" t="inlineStr">
        <is>
          <t>P050142</t>
        </is>
      </c>
      <c r="E475" s="256" t="inlineStr">
        <is>
          <t>Blue Sunset Sherbet</t>
        </is>
      </c>
      <c r="F475" s="256" t="inlineStr">
        <is>
          <t>06.06.2026</t>
        </is>
      </c>
      <c r="G475" s="256" t="inlineStr">
        <is>
          <t>9.6</t>
        </is>
      </c>
      <c r="H475" s="256" t="inlineStr">
        <is>
          <t>Pseudomonas aeruginosa</t>
        </is>
      </c>
      <c r="I475" s="256" t="inlineStr">
        <is>
          <t>Ph. Eur. 2.6.13 cat. C</t>
        </is>
      </c>
      <c r="J475" s="256" t="inlineStr">
        <is>
          <t>Absence | Отсуство / 1 g</t>
        </is>
      </c>
      <c r="K475" s="260" t="inlineStr">
        <is>
          <t>upon request — not required for release</t>
        </is>
      </c>
      <c r="L475" s="256" t="inlineStr">
        <is>
          <t>—</t>
        </is>
      </c>
      <c r="M475" s="256" t="inlineStr">
        <is>
          <t>—</t>
        </is>
      </c>
      <c r="N475" s="256" t="inlineStr">
        <is>
          <t>—</t>
        </is>
      </c>
      <c r="O475" s="256" t="inlineStr">
        <is>
          <t>—</t>
        </is>
      </c>
      <c r="P475" s="256" t="inlineStr">
        <is>
          <t>upon request — not required for release</t>
        </is>
      </c>
      <c r="Q475" s="256" t="inlineStr"/>
      <c r="R475" s="256" t="inlineStr"/>
    </row>
    <row r="476">
      <c r="A476" s="256" t="inlineStr">
        <is>
          <t>CoQ-PP_26-021</t>
        </is>
      </c>
      <c r="B476" s="256" t="inlineStr">
        <is>
          <t>release</t>
        </is>
      </c>
      <c r="C476" s="256" t="inlineStr">
        <is>
          <t>BSS1024_01/2</t>
        </is>
      </c>
      <c r="D476" s="256" t="inlineStr">
        <is>
          <t>P050142</t>
        </is>
      </c>
      <c r="E476" s="256" t="inlineStr">
        <is>
          <t>Blue Sunset Sherbet</t>
        </is>
      </c>
      <c r="F476" s="256" t="inlineStr">
        <is>
          <t>06.06.2026</t>
        </is>
      </c>
      <c r="G476" s="256" t="inlineStr">
        <is>
          <t>9.7</t>
        </is>
      </c>
      <c r="H476" s="256" t="inlineStr">
        <is>
          <t>Staphylococcus aureus</t>
        </is>
      </c>
      <c r="I476" s="256" t="inlineStr">
        <is>
          <t>Ph. Eur. 2.6.13 cat. C</t>
        </is>
      </c>
      <c r="J476" s="256" t="inlineStr">
        <is>
          <t>Absence | Отсуство / 1 g</t>
        </is>
      </c>
      <c r="K476" s="260" t="inlineStr">
        <is>
          <t>upon request — not required for release</t>
        </is>
      </c>
      <c r="L476" s="256" t="inlineStr">
        <is>
          <t>—</t>
        </is>
      </c>
      <c r="M476" s="256" t="inlineStr">
        <is>
          <t>—</t>
        </is>
      </c>
      <c r="N476" s="256" t="inlineStr">
        <is>
          <t>—</t>
        </is>
      </c>
      <c r="O476" s="256" t="inlineStr">
        <is>
          <t>—</t>
        </is>
      </c>
      <c r="P476" s="256" t="inlineStr">
        <is>
          <t>upon request — not required for release</t>
        </is>
      </c>
      <c r="Q476" s="256" t="inlineStr"/>
      <c r="R476" s="256" t="inlineStr"/>
    </row>
    <row r="477">
      <c r="A477" s="256" t="inlineStr">
        <is>
          <t>CoQ-PP_26-021</t>
        </is>
      </c>
      <c r="B477" s="256" t="inlineStr">
        <is>
          <t>release</t>
        </is>
      </c>
      <c r="C477" s="256" t="inlineStr">
        <is>
          <t>BSS1024_01/2</t>
        </is>
      </c>
      <c r="D477" s="256" t="inlineStr">
        <is>
          <t>P050142</t>
        </is>
      </c>
      <c r="E477" s="256" t="inlineStr">
        <is>
          <t>Blue Sunset Sherbet</t>
        </is>
      </c>
      <c r="F477" s="256" t="inlineStr">
        <is>
          <t>06.06.2026</t>
        </is>
      </c>
      <c r="G477" s="256" t="inlineStr">
        <is>
          <t>10.1</t>
        </is>
      </c>
      <c r="H477" s="256" t="inlineStr">
        <is>
          <t>Aflatoxin B₁</t>
        </is>
      </c>
      <c r="I477" s="256" t="inlineStr">
        <is>
          <t>Ph. Eur. 2.8.18 (HPLC-FLD)</t>
        </is>
      </c>
      <c r="J477" s="256" t="inlineStr">
        <is>
          <t>≤ 2 µg/kg</t>
        </is>
      </c>
      <c r="K477" s="259" t="inlineStr">
        <is>
          <t>not tested</t>
        </is>
      </c>
      <c r="L477" s="256" t="inlineStr">
        <is>
          <t>—</t>
        </is>
      </c>
      <c r="M477" s="256" t="inlineStr">
        <is>
          <t>—</t>
        </is>
      </c>
      <c r="N477" s="256" t="inlineStr">
        <is>
          <t>—</t>
        </is>
      </c>
      <c r="O477" s="256" t="inlineStr">
        <is>
          <t>—</t>
        </is>
      </c>
      <c r="P477" s="256" t="inlineStr">
        <is>
          <t>not tested — no certificate covers it</t>
        </is>
      </c>
      <c r="Q477" s="256" t="inlineStr"/>
      <c r="R477" s="256" t="inlineStr"/>
    </row>
    <row r="478">
      <c r="A478" s="256" t="inlineStr">
        <is>
          <t>CoQ-PP_26-021</t>
        </is>
      </c>
      <c r="B478" s="256" t="inlineStr">
        <is>
          <t>release</t>
        </is>
      </c>
      <c r="C478" s="256" t="inlineStr">
        <is>
          <t>BSS1024_01/2</t>
        </is>
      </c>
      <c r="D478" s="256" t="inlineStr">
        <is>
          <t>P050142</t>
        </is>
      </c>
      <c r="E478" s="256" t="inlineStr">
        <is>
          <t>Blue Sunset Sherbet</t>
        </is>
      </c>
      <c r="F478" s="256" t="inlineStr">
        <is>
          <t>06.06.2026</t>
        </is>
      </c>
      <c r="G478" s="256" t="inlineStr">
        <is>
          <t>10.2</t>
        </is>
      </c>
      <c r="H478" s="256" t="inlineStr">
        <is>
          <t>Aflatoxins ∑</t>
        </is>
      </c>
      <c r="I478" s="256" t="inlineStr">
        <is>
          <t>Ph. Eur. 2.8.18 (HPLC-FLD)</t>
        </is>
      </c>
      <c r="J478" s="256" t="inlineStr">
        <is>
          <t>≤ 4 µg/kg</t>
        </is>
      </c>
      <c r="K478" s="259" t="inlineStr">
        <is>
          <t>not tested</t>
        </is>
      </c>
      <c r="L478" s="256" t="inlineStr">
        <is>
          <t>—</t>
        </is>
      </c>
      <c r="M478" s="256" t="inlineStr">
        <is>
          <t>—</t>
        </is>
      </c>
      <c r="N478" s="256" t="inlineStr">
        <is>
          <t>—</t>
        </is>
      </c>
      <c r="O478" s="256" t="inlineStr">
        <is>
          <t>—</t>
        </is>
      </c>
      <c r="P478" s="256" t="inlineStr">
        <is>
          <t>not tested — no certificate covers it</t>
        </is>
      </c>
      <c r="Q478" s="256" t="inlineStr"/>
      <c r="R478" s="256" t="inlineStr"/>
    </row>
    <row r="479">
      <c r="A479" s="256" t="inlineStr">
        <is>
          <t>CoQ-PP_26-021</t>
        </is>
      </c>
      <c r="B479" s="256" t="inlineStr">
        <is>
          <t>release</t>
        </is>
      </c>
      <c r="C479" s="256" t="inlineStr">
        <is>
          <t>BSS1024_01/2</t>
        </is>
      </c>
      <c r="D479" s="256" t="inlineStr">
        <is>
          <t>P050142</t>
        </is>
      </c>
      <c r="E479" s="256" t="inlineStr">
        <is>
          <t>Blue Sunset Sherbet</t>
        </is>
      </c>
      <c r="F479" s="256" t="inlineStr">
        <is>
          <t>06.06.2026</t>
        </is>
      </c>
      <c r="G479" s="256" t="inlineStr">
        <is>
          <t>10.3</t>
        </is>
      </c>
      <c r="H479" s="256" t="inlineStr">
        <is>
          <t>Ochratoxin A</t>
        </is>
      </c>
      <c r="I479" s="256" t="inlineStr">
        <is>
          <t>Ph. Eur. 2.8.22 (HPLC-FLD)</t>
        </is>
      </c>
      <c r="J479" s="256" t="inlineStr">
        <is>
          <t>≤ 20 µg/kg</t>
        </is>
      </c>
      <c r="K479" s="259" t="inlineStr">
        <is>
          <t>not tested</t>
        </is>
      </c>
      <c r="L479" s="256" t="inlineStr">
        <is>
          <t>—</t>
        </is>
      </c>
      <c r="M479" s="256" t="inlineStr">
        <is>
          <t>—</t>
        </is>
      </c>
      <c r="N479" s="256" t="inlineStr">
        <is>
          <t>—</t>
        </is>
      </c>
      <c r="O479" s="256" t="inlineStr">
        <is>
          <t>—</t>
        </is>
      </c>
      <c r="P479" s="256" t="inlineStr">
        <is>
          <t>not tested — no certificate covers it</t>
        </is>
      </c>
      <c r="Q479" s="256" t="inlineStr"/>
      <c r="R479" s="256" t="inlineStr"/>
    </row>
    <row r="480">
      <c r="A480" s="256" t="inlineStr">
        <is>
          <t>CoQ-PP_26-021</t>
        </is>
      </c>
      <c r="B480" s="256" t="inlineStr">
        <is>
          <t>release</t>
        </is>
      </c>
      <c r="C480" s="256" t="inlineStr">
        <is>
          <t>BSS1024_01/2</t>
        </is>
      </c>
      <c r="D480" s="256" t="inlineStr">
        <is>
          <t>P050142</t>
        </is>
      </c>
      <c r="E480" s="256" t="inlineStr">
        <is>
          <t>Blue Sunset Sherbet</t>
        </is>
      </c>
      <c r="F480" s="256" t="inlineStr">
        <is>
          <t>06.06.2026</t>
        </is>
      </c>
      <c r="G480" s="256" t="inlineStr">
        <is>
          <t>11.1</t>
        </is>
      </c>
      <c r="H480" s="256" t="inlineStr">
        <is>
          <t>Lead (Pb)</t>
        </is>
      </c>
      <c r="I480" s="256" t="inlineStr">
        <is>
          <t>Ph. Eur. 2.4.27 (ICP-MS)</t>
        </is>
      </c>
      <c r="J480" s="256" t="inlineStr">
        <is>
          <t>≤ 0.5 mg/kg</t>
        </is>
      </c>
      <c r="K480" s="259" t="inlineStr">
        <is>
          <t>not tested</t>
        </is>
      </c>
      <c r="L480" s="256" t="inlineStr">
        <is>
          <t>—</t>
        </is>
      </c>
      <c r="M480" s="256" t="inlineStr">
        <is>
          <t>—</t>
        </is>
      </c>
      <c r="N480" s="256" t="inlineStr">
        <is>
          <t>—</t>
        </is>
      </c>
      <c r="O480" s="256" t="inlineStr">
        <is>
          <t>—</t>
        </is>
      </c>
      <c r="P480" s="256" t="inlineStr">
        <is>
          <t>not tested — no certificate covers it</t>
        </is>
      </c>
      <c r="Q480" s="256" t="inlineStr"/>
      <c r="R480" s="256" t="inlineStr"/>
    </row>
    <row r="481">
      <c r="A481" s="256" t="inlineStr">
        <is>
          <t>CoQ-PP_26-021</t>
        </is>
      </c>
      <c r="B481" s="256" t="inlineStr">
        <is>
          <t>release</t>
        </is>
      </c>
      <c r="C481" s="256" t="inlineStr">
        <is>
          <t>BSS1024_01/2</t>
        </is>
      </c>
      <c r="D481" s="256" t="inlineStr">
        <is>
          <t>P050142</t>
        </is>
      </c>
      <c r="E481" s="256" t="inlineStr">
        <is>
          <t>Blue Sunset Sherbet</t>
        </is>
      </c>
      <c r="F481" s="256" t="inlineStr">
        <is>
          <t>06.06.2026</t>
        </is>
      </c>
      <c r="G481" s="256" t="inlineStr">
        <is>
          <t>11.2</t>
        </is>
      </c>
      <c r="H481" s="256" t="inlineStr">
        <is>
          <t>Cadmium (Cd)</t>
        </is>
      </c>
      <c r="I481" s="256" t="inlineStr">
        <is>
          <t>Ph. Eur. 2.4.27 (ICP-MS)</t>
        </is>
      </c>
      <c r="J481" s="256" t="inlineStr">
        <is>
          <t>≤ 0.3 mg/kg</t>
        </is>
      </c>
      <c r="K481" s="259" t="inlineStr">
        <is>
          <t>not tested</t>
        </is>
      </c>
      <c r="L481" s="256" t="inlineStr">
        <is>
          <t>—</t>
        </is>
      </c>
      <c r="M481" s="256" t="inlineStr">
        <is>
          <t>—</t>
        </is>
      </c>
      <c r="N481" s="256" t="inlineStr">
        <is>
          <t>—</t>
        </is>
      </c>
      <c r="O481" s="256" t="inlineStr">
        <is>
          <t>—</t>
        </is>
      </c>
      <c r="P481" s="256" t="inlineStr">
        <is>
          <t>not tested — no certificate covers it</t>
        </is>
      </c>
      <c r="Q481" s="256" t="inlineStr"/>
      <c r="R481" s="256" t="inlineStr"/>
    </row>
    <row r="482">
      <c r="A482" s="256" t="inlineStr">
        <is>
          <t>CoQ-PP_26-021</t>
        </is>
      </c>
      <c r="B482" s="256" t="inlineStr">
        <is>
          <t>release</t>
        </is>
      </c>
      <c r="C482" s="256" t="inlineStr">
        <is>
          <t>BSS1024_01/2</t>
        </is>
      </c>
      <c r="D482" s="256" t="inlineStr">
        <is>
          <t>P050142</t>
        </is>
      </c>
      <c r="E482" s="256" t="inlineStr">
        <is>
          <t>Blue Sunset Sherbet</t>
        </is>
      </c>
      <c r="F482" s="256" t="inlineStr">
        <is>
          <t>06.06.2026</t>
        </is>
      </c>
      <c r="G482" s="256" t="inlineStr">
        <is>
          <t>11.3</t>
        </is>
      </c>
      <c r="H482" s="256" t="inlineStr">
        <is>
          <t>Arsenic (As)</t>
        </is>
      </c>
      <c r="I482" s="256" t="inlineStr">
        <is>
          <t>Ph. Eur. 2.4.27 (ICP-MS)</t>
        </is>
      </c>
      <c r="J482" s="256" t="inlineStr">
        <is>
          <t>≤ 0.2 mg/kg</t>
        </is>
      </c>
      <c r="K482" s="259" t="inlineStr">
        <is>
          <t>not tested</t>
        </is>
      </c>
      <c r="L482" s="256" t="inlineStr">
        <is>
          <t>—</t>
        </is>
      </c>
      <c r="M482" s="256" t="inlineStr">
        <is>
          <t>—</t>
        </is>
      </c>
      <c r="N482" s="256" t="inlineStr">
        <is>
          <t>—</t>
        </is>
      </c>
      <c r="O482" s="256" t="inlineStr">
        <is>
          <t>—</t>
        </is>
      </c>
      <c r="P482" s="256" t="inlineStr">
        <is>
          <t>not tested — no certificate covers it</t>
        </is>
      </c>
      <c r="Q482" s="256" t="inlineStr"/>
      <c r="R482" s="256" t="inlineStr"/>
    </row>
    <row r="483">
      <c r="A483" s="256" t="inlineStr">
        <is>
          <t>CoQ-PP_26-021</t>
        </is>
      </c>
      <c r="B483" s="256" t="inlineStr">
        <is>
          <t>release</t>
        </is>
      </c>
      <c r="C483" s="256" t="inlineStr">
        <is>
          <t>BSS1024_01/2</t>
        </is>
      </c>
      <c r="D483" s="256" t="inlineStr">
        <is>
          <t>P050142</t>
        </is>
      </c>
      <c r="E483" s="256" t="inlineStr">
        <is>
          <t>Blue Sunset Sherbet</t>
        </is>
      </c>
      <c r="F483" s="256" t="inlineStr">
        <is>
          <t>06.06.2026</t>
        </is>
      </c>
      <c r="G483" s="256" t="inlineStr">
        <is>
          <t>11.4</t>
        </is>
      </c>
      <c r="H483" s="256" t="inlineStr">
        <is>
          <t>Mercury (Hg)</t>
        </is>
      </c>
      <c r="I483" s="256" t="inlineStr">
        <is>
          <t>Ph. Eur. 2.4.27 (ICP-MS)</t>
        </is>
      </c>
      <c r="J483" s="256" t="inlineStr">
        <is>
          <t>≤ 0.1 mg/kg</t>
        </is>
      </c>
      <c r="K483" s="259" t="inlineStr">
        <is>
          <t>not tested</t>
        </is>
      </c>
      <c r="L483" s="256" t="inlineStr">
        <is>
          <t>—</t>
        </is>
      </c>
      <c r="M483" s="256" t="inlineStr">
        <is>
          <t>—</t>
        </is>
      </c>
      <c r="N483" s="256" t="inlineStr">
        <is>
          <t>—</t>
        </is>
      </c>
      <c r="O483" s="256" t="inlineStr">
        <is>
          <t>—</t>
        </is>
      </c>
      <c r="P483" s="256" t="inlineStr">
        <is>
          <t>not tested — no certificate covers it</t>
        </is>
      </c>
      <c r="Q483" s="256" t="inlineStr"/>
      <c r="R483" s="256" t="inlineStr"/>
    </row>
    <row r="484">
      <c r="A484" s="256" t="inlineStr">
        <is>
          <t>CoQ-PP_26-021</t>
        </is>
      </c>
      <c r="B484" s="256" t="inlineStr">
        <is>
          <t>release</t>
        </is>
      </c>
      <c r="C484" s="256" t="inlineStr">
        <is>
          <t>BSS1024_01/2</t>
        </is>
      </c>
      <c r="D484" s="256" t="inlineStr">
        <is>
          <t>P050142</t>
        </is>
      </c>
      <c r="E484" s="256" t="inlineStr">
        <is>
          <t>Blue Sunset Sherbet</t>
        </is>
      </c>
      <c r="F484" s="256" t="inlineStr">
        <is>
          <t>06.06.2026</t>
        </is>
      </c>
      <c r="G484" s="256" t="inlineStr">
        <is>
          <t>12</t>
        </is>
      </c>
      <c r="H484" s="256" t="inlineStr">
        <is>
          <t>Pesticide Residues</t>
        </is>
      </c>
      <c r="I484" s="256" t="inlineStr">
        <is>
          <t>Ph. Eur. 2.8.13 (LC-MS/MS) · CUMCS Equivalency</t>
        </is>
      </c>
      <c r="J484" s="256" t="inlineStr">
        <is>
          <t>≤ LOQ as per Ph. Eur. 2.8.13 · ≤ LOQ as per CUMCS Equivalency</t>
        </is>
      </c>
      <c r="K484" s="259" t="inlineStr">
        <is>
          <t>not tested</t>
        </is>
      </c>
      <c r="L484" s="256" t="inlineStr">
        <is>
          <t>—</t>
        </is>
      </c>
      <c r="M484" s="256" t="inlineStr">
        <is>
          <t>—</t>
        </is>
      </c>
      <c r="N484" s="256" t="inlineStr">
        <is>
          <t>—</t>
        </is>
      </c>
      <c r="O484" s="256" t="inlineStr">
        <is>
          <t>—</t>
        </is>
      </c>
      <c r="P484" s="256" t="inlineStr">
        <is>
          <t>not tested — no certificate covers it</t>
        </is>
      </c>
      <c r="Q484" s="256" t="inlineStr"/>
      <c r="R484" s="256" t="inlineStr"/>
    </row>
    <row r="485">
      <c r="A485" s="256" t="inlineStr">
        <is>
          <t>CoQ-PP_26-022</t>
        </is>
      </c>
      <c r="B485" s="256" t="inlineStr">
        <is>
          <t>release</t>
        </is>
      </c>
      <c r="C485" s="256" t="inlineStr">
        <is>
          <t>CJ052501/01</t>
        </is>
      </c>
      <c r="D485" s="256" t="inlineStr">
        <is>
          <t>P050162</t>
        </is>
      </c>
      <c r="E485" s="256" t="inlineStr">
        <is>
          <t>Cap Junky</t>
        </is>
      </c>
      <c r="F485" s="256" t="inlineStr">
        <is>
          <t>06.06.2026</t>
        </is>
      </c>
      <c r="G485" s="256" t="inlineStr">
        <is>
          <t>1</t>
        </is>
      </c>
      <c r="H485" s="256" t="inlineStr">
        <is>
          <t>Identification A, Appearance · Macroscopic</t>
        </is>
      </c>
      <c r="I485" s="256" t="inlineStr">
        <is>
          <t>Ph. Eur. mon. 3028</t>
        </is>
      </c>
      <c r="J485" s="256" t="inlineStr">
        <is>
          <t>Conforms to the monograph for Cannabis flos (07/2024:3028) in Ph. Eur. 11.0 | Согласно монографија за Cannabis flos (07/2024:3028) во Ph. Eur. 11.0</t>
        </is>
      </c>
      <c r="K485" s="256" t="inlineStr">
        <is>
          <t>Conforms | Одговара</t>
        </is>
      </c>
      <c r="L485" s="256" t="inlineStr">
        <is>
          <t>iCoA-PP_26-021</t>
        </is>
      </c>
      <c r="M485" s="256" t="inlineStr">
        <is>
          <t>03.06.2026</t>
        </is>
      </c>
      <c r="N485" s="256" t="inlineStr">
        <is>
          <t>Purely Plant GmbH (in-house)</t>
        </is>
      </c>
      <c r="O485" s="256" t="inlineStr">
        <is>
          <t>—</t>
        </is>
      </c>
      <c r="P485" s="256" t="inlineStr">
        <is>
          <t>to be performed — see route</t>
        </is>
      </c>
      <c r="Q485" s="256" t="inlineStr">
        <is>
          <t>Purely Plant laboratory — iCoA covering Ident A + B</t>
        </is>
      </c>
      <c r="R485" s="256" t="inlineStr"/>
    </row>
    <row r="486">
      <c r="A486" s="256" t="inlineStr">
        <is>
          <t>CoQ-PP_26-022</t>
        </is>
      </c>
      <c r="B486" s="256" t="inlineStr">
        <is>
          <t>release</t>
        </is>
      </c>
      <c r="C486" s="256" t="inlineStr">
        <is>
          <t>CJ052501/01</t>
        </is>
      </c>
      <c r="D486" s="256" t="inlineStr">
        <is>
          <t>P050162</t>
        </is>
      </c>
      <c r="E486" s="256" t="inlineStr">
        <is>
          <t>Cap Junky</t>
        </is>
      </c>
      <c r="F486" s="256" t="inlineStr">
        <is>
          <t>06.06.2026</t>
        </is>
      </c>
      <c r="G486" s="256" t="inlineStr">
        <is>
          <t>2</t>
        </is>
      </c>
      <c r="H486" s="256" t="inlineStr">
        <is>
          <t>Identification B · Microscopic</t>
        </is>
      </c>
      <c r="I486" s="256" t="inlineStr">
        <is>
          <t>Ph. Eur. 2.8.23 (microscopy)</t>
        </is>
      </c>
      <c r="J486" s="256" t="inlineStr">
        <is>
          <t>Conforms to the monograph for Cannabis flos (07/2024:3028) in Ph. Eur. 11.0 | Согласно монографија за Cannabis flos (07/2024:3028) во Ph. Eur. 11.0</t>
        </is>
      </c>
      <c r="K486" s="256" t="inlineStr">
        <is>
          <t>Conforms | Одговара</t>
        </is>
      </c>
      <c r="L486" s="256" t="inlineStr">
        <is>
          <t>iCoA-PP_26-021</t>
        </is>
      </c>
      <c r="M486" s="256" t="inlineStr">
        <is>
          <t>03.06.2026</t>
        </is>
      </c>
      <c r="N486" s="256" t="inlineStr">
        <is>
          <t>Purely Plant GmbH (in-house)</t>
        </is>
      </c>
      <c r="O486" s="256" t="inlineStr">
        <is>
          <t>—</t>
        </is>
      </c>
      <c r="P486" s="256" t="inlineStr">
        <is>
          <t>to be performed — see route</t>
        </is>
      </c>
      <c r="Q486" s="256" t="inlineStr">
        <is>
          <t>Purely Plant laboratory — iCoA covering Ident A + B</t>
        </is>
      </c>
      <c r="R486" s="256" t="inlineStr"/>
    </row>
    <row r="487">
      <c r="A487" s="256" t="inlineStr">
        <is>
          <t>CoQ-PP_26-022</t>
        </is>
      </c>
      <c r="B487" s="256" t="inlineStr">
        <is>
          <t>release</t>
        </is>
      </c>
      <c r="C487" s="256" t="inlineStr">
        <is>
          <t>CJ052501/01</t>
        </is>
      </c>
      <c r="D487" s="256" t="inlineStr">
        <is>
          <t>P050162</t>
        </is>
      </c>
      <c r="E487" s="256" t="inlineStr">
        <is>
          <t>Cap Junky</t>
        </is>
      </c>
      <c r="F487" s="256" t="inlineStr">
        <is>
          <t>06.06.2026</t>
        </is>
      </c>
      <c r="G487" s="256" t="inlineStr">
        <is>
          <t>3</t>
        </is>
      </c>
      <c r="H487" s="256" t="inlineStr">
        <is>
          <t>Identification C · HPLC/HPTLC</t>
        </is>
      </c>
      <c r="I487" s="256" t="inlineStr">
        <is>
          <t>HPLC — DAB 2018 monograph Cannabis flos, 2.2.29 (CNP, before its Ph. Eur. 3028 accreditation)</t>
        </is>
      </c>
      <c r="J487" s="256" t="inlineStr">
        <is>
          <t>Conforms to the monograph for Cannabis flos (07/2024:3028) in Ph. Eur. 11.0 | Согласно монографија за Cannabis flos (07/2024:3028) во Ph. Eur. 11.0</t>
        </is>
      </c>
      <c r="K487" s="256" t="inlineStr">
        <is>
          <t>Conforms | Одговара</t>
        </is>
      </c>
      <c r="L487" s="256" t="inlineStr">
        <is>
          <t>ППК25280</t>
        </is>
      </c>
      <c r="M487" s="256" t="inlineStr">
        <is>
          <t>17.09.2025</t>
        </is>
      </c>
      <c r="N487" s="256" t="inlineStr">
        <is>
          <t>UKIM Faculty of Pharmacy — Center for Natural Products</t>
        </is>
      </c>
      <c r="O487" s="256" t="inlineStr">
        <is>
          <t>05.09.2025</t>
        </is>
      </c>
      <c r="P487" s="256" t="inlineStr">
        <is>
          <t>covered</t>
        </is>
      </c>
      <c r="Q487" s="256" t="inlineStr"/>
      <c r="R487" s="256" t="inlineStr"/>
    </row>
    <row r="488">
      <c r="A488" s="256" t="inlineStr">
        <is>
          <t>CoQ-PP_26-022</t>
        </is>
      </c>
      <c r="B488" s="256" t="inlineStr">
        <is>
          <t>release</t>
        </is>
      </c>
      <c r="C488" s="256" t="inlineStr">
        <is>
          <t>CJ052501/01</t>
        </is>
      </c>
      <c r="D488" s="256" t="inlineStr">
        <is>
          <t>P050162</t>
        </is>
      </c>
      <c r="E488" s="256" t="inlineStr">
        <is>
          <t>Cap Junky</t>
        </is>
      </c>
      <c r="F488" s="256" t="inlineStr">
        <is>
          <t>06.06.2026</t>
        </is>
      </c>
      <c r="G488" s="256" t="inlineStr">
        <is>
          <t>4</t>
        </is>
      </c>
      <c r="H488" s="256" t="inlineStr">
        <is>
          <t>Assay — Total Δ⁹-THC</t>
        </is>
      </c>
      <c r="I488" s="256" t="inlineStr">
        <is>
          <t>HPLC — DAB 2018 monograph Cannabis flos, 2.2.29 (CNP, before its Ph. Eur. 3028 accreditation)</t>
        </is>
      </c>
      <c r="J488" s="256" t="inlineStr">
        <is>
          <t>18.40 – 21.59 %  (grade III, nominal 20.00 ± 1.60)</t>
        </is>
      </c>
      <c r="K488" s="256" t="inlineStr">
        <is>
          <t>20.29</t>
        </is>
      </c>
      <c r="L488" s="256" t="inlineStr">
        <is>
          <t>ППК25280</t>
        </is>
      </c>
      <c r="M488" s="256" t="inlineStr">
        <is>
          <t>17.09.2025</t>
        </is>
      </c>
      <c r="N488" s="256" t="inlineStr">
        <is>
          <t>UKIM Faculty of Pharmacy — Center for Natural Products</t>
        </is>
      </c>
      <c r="O488" s="256" t="inlineStr">
        <is>
          <t>05.09.2025</t>
        </is>
      </c>
      <c r="P488" s="256" t="inlineStr">
        <is>
          <t>covered</t>
        </is>
      </c>
      <c r="Q488" s="256" t="inlineStr"/>
      <c r="R488" s="256" t="inlineStr">
        <is>
          <t>24.05 (197-3-К/26)</t>
        </is>
      </c>
    </row>
    <row r="489">
      <c r="A489" s="256" t="inlineStr">
        <is>
          <t>CoQ-PP_26-022</t>
        </is>
      </c>
      <c r="B489" s="256" t="inlineStr">
        <is>
          <t>release</t>
        </is>
      </c>
      <c r="C489" s="256" t="inlineStr">
        <is>
          <t>CJ052501/01</t>
        </is>
      </c>
      <c r="D489" s="256" t="inlineStr">
        <is>
          <t>P050162</t>
        </is>
      </c>
      <c r="E489" s="256" t="inlineStr">
        <is>
          <t>Cap Junky</t>
        </is>
      </c>
      <c r="F489" s="256" t="inlineStr">
        <is>
          <t>06.06.2026</t>
        </is>
      </c>
      <c r="G489" s="256" t="inlineStr">
        <is>
          <t>5</t>
        </is>
      </c>
      <c r="H489" s="256" t="inlineStr">
        <is>
          <t>Assay — Total CBD</t>
        </is>
      </c>
      <c r="I489" s="256" t="inlineStr">
        <is>
          <t>HPLC — DAB 2018 monograph Cannabis flos, 2.2.29 · CBD + CBDA x 0.877 (CNP, before its Ph. Eur. 3028 accreditation)</t>
        </is>
      </c>
      <c r="J489" s="256" t="inlineStr">
        <is>
          <t>≤ 1.0%, w/w</t>
        </is>
      </c>
      <c r="K489" s="256" t="inlineStr">
        <is>
          <t>0.07</t>
        </is>
      </c>
      <c r="L489" s="256" t="inlineStr">
        <is>
          <t>ППК25280</t>
        </is>
      </c>
      <c r="M489" s="256" t="inlineStr">
        <is>
          <t>17.09.2025</t>
        </is>
      </c>
      <c r="N489" s="256" t="inlineStr">
        <is>
          <t>UKIM Faculty of Pharmacy — Center for Natural Products</t>
        </is>
      </c>
      <c r="O489" s="256" t="inlineStr">
        <is>
          <t>05.09.2025</t>
        </is>
      </c>
      <c r="P489" s="256" t="inlineStr">
        <is>
          <t>covered</t>
        </is>
      </c>
      <c r="Q489" s="256" t="inlineStr"/>
      <c r="R489" s="256" t="inlineStr">
        <is>
          <t>&lt;LOQ (197-3-К/26)</t>
        </is>
      </c>
    </row>
    <row r="490">
      <c r="A490" s="256" t="inlineStr">
        <is>
          <t>CoQ-PP_26-022</t>
        </is>
      </c>
      <c r="B490" s="256" t="inlineStr">
        <is>
          <t>release</t>
        </is>
      </c>
      <c r="C490" s="256" t="inlineStr">
        <is>
          <t>CJ052501/01</t>
        </is>
      </c>
      <c r="D490" s="256" t="inlineStr">
        <is>
          <t>P050162</t>
        </is>
      </c>
      <c r="E490" s="256" t="inlineStr">
        <is>
          <t>Cap Junky</t>
        </is>
      </c>
      <c r="F490" s="256" t="inlineStr">
        <is>
          <t>06.06.2026</t>
        </is>
      </c>
      <c r="G490" s="256" t="inlineStr">
        <is>
          <t>6</t>
        </is>
      </c>
      <c r="H490" s="256" t="inlineStr">
        <is>
          <t>Total CBN</t>
        </is>
      </c>
      <c r="I490" s="256" t="inlineStr">
        <is>
          <t>HPLC — DAB 2018 monograph Cannabis flos, 2.2.29 · CBN + CBNA x 0.876 (CNP, before its Ph. Eur. 3028 accreditation)</t>
        </is>
      </c>
      <c r="J490" s="256" t="inlineStr">
        <is>
          <t>≤ 1.0%, w/w</t>
        </is>
      </c>
      <c r="K490" s="256" t="inlineStr">
        <is>
          <t>0.02 ᴰ</t>
        </is>
      </c>
      <c r="L490" s="256" t="inlineStr">
        <is>
          <t>ППК25280</t>
        </is>
      </c>
      <c r="M490" s="256" t="inlineStr">
        <is>
          <t>17.09.2025</t>
        </is>
      </c>
      <c r="N490" s="256" t="inlineStr">
        <is>
          <t>CNP</t>
        </is>
      </c>
      <c r="O490" s="256" t="inlineStr">
        <is>
          <t>05.09.2025</t>
        </is>
      </c>
      <c r="P490" s="256" t="inlineStr">
        <is>
          <t>covered</t>
        </is>
      </c>
      <c r="Q490" s="256" t="inlineStr"/>
      <c r="R490" s="256" t="inlineStr"/>
    </row>
    <row r="491">
      <c r="A491" s="256" t="inlineStr">
        <is>
          <t>CoQ-PP_26-022</t>
        </is>
      </c>
      <c r="B491" s="256" t="inlineStr">
        <is>
          <t>release</t>
        </is>
      </c>
      <c r="C491" s="256" t="inlineStr">
        <is>
          <t>CJ052501/01</t>
        </is>
      </c>
      <c r="D491" s="256" t="inlineStr">
        <is>
          <t>P050162</t>
        </is>
      </c>
      <c r="E491" s="256" t="inlineStr">
        <is>
          <t>Cap Junky</t>
        </is>
      </c>
      <c r="F491" s="256" t="inlineStr">
        <is>
          <t>06.06.2026</t>
        </is>
      </c>
      <c r="G491" s="256" t="inlineStr">
        <is>
          <t>7</t>
        </is>
      </c>
      <c r="H491" s="256" t="inlineStr">
        <is>
          <t>Foreign Matter</t>
        </is>
      </c>
      <c r="I491" s="256" t="inlineStr">
        <is>
          <t>Ph. Eur. 2.8.2 · In-house · интерна</t>
        </is>
      </c>
      <c r="J491" s="256" t="inlineStr">
        <is>
          <t>≤ 2.0% / 25–50 g · &lt; 1 cm leaves | листови, no seeds | без семки</t>
        </is>
      </c>
      <c r="K491" s="256" t="inlineStr">
        <is>
          <t>Conforms | Одговара</t>
        </is>
      </c>
      <c r="L491" s="256" t="inlineStr">
        <is>
          <t>iCoA-PP_26-021</t>
        </is>
      </c>
      <c r="M491" s="256" t="inlineStr">
        <is>
          <t>03.06.2026</t>
        </is>
      </c>
      <c r="N491" s="256" t="inlineStr">
        <is>
          <t>Purely Plant GmbH (in-house)</t>
        </is>
      </c>
      <c r="O491" s="256" t="inlineStr">
        <is>
          <t>—</t>
        </is>
      </c>
      <c r="P491" s="256" t="inlineStr">
        <is>
          <t>to be performed — see route</t>
        </is>
      </c>
      <c r="Q491" s="256" t="inlineStr">
        <is>
          <t>Purely Plant laboratory — iCoA covering Foreign matter</t>
        </is>
      </c>
      <c r="R491" s="256" t="inlineStr"/>
    </row>
    <row r="492">
      <c r="A492" s="256" t="inlineStr">
        <is>
          <t>CoQ-PP_26-022</t>
        </is>
      </c>
      <c r="B492" s="256" t="inlineStr">
        <is>
          <t>release</t>
        </is>
      </c>
      <c r="C492" s="256" t="inlineStr">
        <is>
          <t>CJ052501/01</t>
        </is>
      </c>
      <c r="D492" s="256" t="inlineStr">
        <is>
          <t>P050162</t>
        </is>
      </c>
      <c r="E492" s="256" t="inlineStr">
        <is>
          <t>Cap Junky</t>
        </is>
      </c>
      <c r="F492" s="256" t="inlineStr">
        <is>
          <t>06.06.2026</t>
        </is>
      </c>
      <c r="G492" s="256" t="inlineStr">
        <is>
          <t>8</t>
        </is>
      </c>
      <c r="H492" s="256" t="inlineStr">
        <is>
          <t>Loss on Drying</t>
        </is>
      </c>
      <c r="I492" s="256" t="inlineStr">
        <is>
          <t>DAB 2018 monograph Cannabis flos, 2.2.32 — loss on drying (CNP, before its Ph. Eur. 3028 accreditation)</t>
        </is>
      </c>
      <c r="J492" s="256" t="inlineStr">
        <is>
          <t>≤ 12.0%</t>
        </is>
      </c>
      <c r="K492" s="256" t="inlineStr">
        <is>
          <t>7.93</t>
        </is>
      </c>
      <c r="L492" s="256" t="inlineStr">
        <is>
          <t>ППК25280</t>
        </is>
      </c>
      <c r="M492" s="256" t="inlineStr">
        <is>
          <t>17.09.2025</t>
        </is>
      </c>
      <c r="N492" s="256" t="inlineStr">
        <is>
          <t>UKIM Faculty of Pharmacy — Center for Natural Products</t>
        </is>
      </c>
      <c r="O492" s="256" t="inlineStr">
        <is>
          <t>05.09.2025</t>
        </is>
      </c>
      <c r="P492" s="256" t="inlineStr">
        <is>
          <t>covered</t>
        </is>
      </c>
      <c r="Q492" s="256" t="inlineStr"/>
      <c r="R492" s="256" t="inlineStr"/>
    </row>
    <row r="493">
      <c r="A493" s="256" t="inlineStr">
        <is>
          <t>CoQ-PP_26-022</t>
        </is>
      </c>
      <c r="B493" s="256" t="inlineStr">
        <is>
          <t>release</t>
        </is>
      </c>
      <c r="C493" s="256" t="inlineStr">
        <is>
          <t>CJ052501/01</t>
        </is>
      </c>
      <c r="D493" s="256" t="inlineStr">
        <is>
          <t>P050162</t>
        </is>
      </c>
      <c r="E493" s="256" t="inlineStr">
        <is>
          <t>Cap Junky</t>
        </is>
      </c>
      <c r="F493" s="256" t="inlineStr">
        <is>
          <t>06.06.2026</t>
        </is>
      </c>
      <c r="G493" s="256" t="inlineStr">
        <is>
          <t>9.1</t>
        </is>
      </c>
      <c r="H493" s="256" t="inlineStr">
        <is>
          <t>TAMC</t>
        </is>
      </c>
      <c r="I493" s="256" t="inlineStr">
        <is>
          <t>Ph. Eur. 2.6.12 cat. C</t>
        </is>
      </c>
      <c r="J493" s="256" t="inlineStr">
        <is>
          <t>≤ 10⁵ CFU/g</t>
        </is>
      </c>
      <c r="K493" s="256" t="inlineStr">
        <is>
          <t>2.8 × 10⁴</t>
        </is>
      </c>
      <c r="L493" s="256" t="inlineStr">
        <is>
          <t>949/1687/25</t>
        </is>
      </c>
      <c r="M493" s="256" t="inlineStr">
        <is>
          <t>17.09.2025</t>
        </is>
      </c>
      <c r="N493" s="256" t="inlineStr">
        <is>
          <t>IPH — Institute of Public Health</t>
        </is>
      </c>
      <c r="O493" s="256" t="inlineStr">
        <is>
          <t>11.09.2025</t>
        </is>
      </c>
      <c r="P493" s="256" t="inlineStr">
        <is>
          <t>covered</t>
        </is>
      </c>
      <c r="Q493" s="256" t="inlineStr"/>
      <c r="R493" s="256" t="inlineStr"/>
    </row>
    <row r="494">
      <c r="A494" s="256" t="inlineStr">
        <is>
          <t>CoQ-PP_26-022</t>
        </is>
      </c>
      <c r="B494" s="256" t="inlineStr">
        <is>
          <t>release</t>
        </is>
      </c>
      <c r="C494" s="256" t="inlineStr">
        <is>
          <t>CJ052501/01</t>
        </is>
      </c>
      <c r="D494" s="256" t="inlineStr">
        <is>
          <t>P050162</t>
        </is>
      </c>
      <c r="E494" s="256" t="inlineStr">
        <is>
          <t>Cap Junky</t>
        </is>
      </c>
      <c r="F494" s="256" t="inlineStr">
        <is>
          <t>06.06.2026</t>
        </is>
      </c>
      <c r="G494" s="256" t="inlineStr">
        <is>
          <t>9.2</t>
        </is>
      </c>
      <c r="H494" s="256" t="inlineStr">
        <is>
          <t>TYMC</t>
        </is>
      </c>
      <c r="I494" s="256" t="inlineStr">
        <is>
          <t>Ph. Eur. 2.6.12 cat. C</t>
        </is>
      </c>
      <c r="J494" s="256" t="inlineStr">
        <is>
          <t>≤ 10⁴ CFU/g</t>
        </is>
      </c>
      <c r="K494" s="256" t="inlineStr">
        <is>
          <t>1.7 × 10⁴</t>
        </is>
      </c>
      <c r="L494" s="256" t="inlineStr">
        <is>
          <t>949/1687/25</t>
        </is>
      </c>
      <c r="M494" s="256" t="inlineStr">
        <is>
          <t>17.09.2025</t>
        </is>
      </c>
      <c r="N494" s="256" t="inlineStr">
        <is>
          <t>IPH — Institute of Public Health</t>
        </is>
      </c>
      <c r="O494" s="256" t="inlineStr">
        <is>
          <t>11.09.2025</t>
        </is>
      </c>
      <c r="P494" s="256" t="inlineStr">
        <is>
          <t>UNDETERMINED — pending the QCSP 001 reading</t>
        </is>
      </c>
      <c r="Q494" s="256" t="inlineStr"/>
      <c r="R494" s="256" t="inlineStr"/>
    </row>
    <row r="495">
      <c r="A495" s="256" t="inlineStr">
        <is>
          <t>CoQ-PP_26-022</t>
        </is>
      </c>
      <c r="B495" s="256" t="inlineStr">
        <is>
          <t>release</t>
        </is>
      </c>
      <c r="C495" s="256" t="inlineStr">
        <is>
          <t>CJ052501/01</t>
        </is>
      </c>
      <c r="D495" s="256" t="inlineStr">
        <is>
          <t>P050162</t>
        </is>
      </c>
      <c r="E495" s="256" t="inlineStr">
        <is>
          <t>Cap Junky</t>
        </is>
      </c>
      <c r="F495" s="256" t="inlineStr">
        <is>
          <t>06.06.2026</t>
        </is>
      </c>
      <c r="G495" s="256" t="inlineStr">
        <is>
          <t>9.3</t>
        </is>
      </c>
      <c r="H495" s="256" t="inlineStr">
        <is>
          <t>Bile-tolerant gram-neg.</t>
        </is>
      </c>
      <c r="I495" s="256" t="inlineStr">
        <is>
          <t>Ph. Eur. 2.6.31 cat. C</t>
        </is>
      </c>
      <c r="J495" s="256" t="inlineStr">
        <is>
          <t>≤ 10⁴ CFU/g</t>
        </is>
      </c>
      <c r="K495" s="256" t="inlineStr">
        <is>
          <t>&lt; 10³ and &gt; 10²</t>
        </is>
      </c>
      <c r="L495" s="256" t="inlineStr">
        <is>
          <t>949/1687/25</t>
        </is>
      </c>
      <c r="M495" s="256" t="inlineStr">
        <is>
          <t>17.09.2025</t>
        </is>
      </c>
      <c r="N495" s="256" t="inlineStr">
        <is>
          <t>IPH — Institute of Public Health</t>
        </is>
      </c>
      <c r="O495" s="256" t="inlineStr">
        <is>
          <t>11.09.2025</t>
        </is>
      </c>
      <c r="P495" s="256" t="inlineStr">
        <is>
          <t>covered</t>
        </is>
      </c>
      <c r="Q495" s="256" t="inlineStr"/>
      <c r="R495" s="256" t="inlineStr"/>
    </row>
    <row r="496">
      <c r="A496" s="256" t="inlineStr">
        <is>
          <t>CoQ-PP_26-022</t>
        </is>
      </c>
      <c r="B496" s="256" t="inlineStr">
        <is>
          <t>release</t>
        </is>
      </c>
      <c r="C496" s="256" t="inlineStr">
        <is>
          <t>CJ052501/01</t>
        </is>
      </c>
      <c r="D496" s="256" t="inlineStr">
        <is>
          <t>P050162</t>
        </is>
      </c>
      <c r="E496" s="256" t="inlineStr">
        <is>
          <t>Cap Junky</t>
        </is>
      </c>
      <c r="F496" s="256" t="inlineStr">
        <is>
          <t>06.06.2026</t>
        </is>
      </c>
      <c r="G496" s="256" t="inlineStr">
        <is>
          <t>9.4</t>
        </is>
      </c>
      <c r="H496" s="256" t="inlineStr">
        <is>
          <t>Salmonella</t>
        </is>
      </c>
      <c r="I496" s="256" t="inlineStr">
        <is>
          <t>Ph. Eur. 2.6.31 cat. C</t>
        </is>
      </c>
      <c r="J496" s="256" t="inlineStr">
        <is>
          <t>Absence | Отсуство / 25 g</t>
        </is>
      </c>
      <c r="K496" s="256" t="inlineStr">
        <is>
          <t>Absent | Отсутна</t>
        </is>
      </c>
      <c r="L496" s="256" t="inlineStr">
        <is>
          <t>949/1687/25</t>
        </is>
      </c>
      <c r="M496" s="256" t="inlineStr">
        <is>
          <t>17.09.2025</t>
        </is>
      </c>
      <c r="N496" s="256" t="inlineStr">
        <is>
          <t>IPH — Institute of Public Health</t>
        </is>
      </c>
      <c r="O496" s="256" t="inlineStr">
        <is>
          <t>11.09.2025</t>
        </is>
      </c>
      <c r="P496" s="256" t="inlineStr">
        <is>
          <t>covered</t>
        </is>
      </c>
      <c r="Q496" s="256" t="inlineStr"/>
      <c r="R496" s="256" t="inlineStr"/>
    </row>
    <row r="497">
      <c r="A497" s="256" t="inlineStr">
        <is>
          <t>CoQ-PP_26-022</t>
        </is>
      </c>
      <c r="B497" s="256" t="inlineStr">
        <is>
          <t>release</t>
        </is>
      </c>
      <c r="C497" s="256" t="inlineStr">
        <is>
          <t>CJ052501/01</t>
        </is>
      </c>
      <c r="D497" s="256" t="inlineStr">
        <is>
          <t>P050162</t>
        </is>
      </c>
      <c r="E497" s="256" t="inlineStr">
        <is>
          <t>Cap Junky</t>
        </is>
      </c>
      <c r="F497" s="256" t="inlineStr">
        <is>
          <t>06.06.2026</t>
        </is>
      </c>
      <c r="G497" s="256" t="inlineStr">
        <is>
          <t>9.5</t>
        </is>
      </c>
      <c r="H497" s="256" t="inlineStr">
        <is>
          <t>Escherichia coli</t>
        </is>
      </c>
      <c r="I497" s="256" t="inlineStr">
        <is>
          <t>Ph. Eur. 2.6.13 cat. C</t>
        </is>
      </c>
      <c r="J497" s="256" t="inlineStr">
        <is>
          <t>Absence | Отсуство / 1 g</t>
        </is>
      </c>
      <c r="K497" s="256" t="inlineStr">
        <is>
          <t>Absent | Отсутна</t>
        </is>
      </c>
      <c r="L497" s="256" t="inlineStr">
        <is>
          <t>949/1687/25</t>
        </is>
      </c>
      <c r="M497" s="256" t="inlineStr">
        <is>
          <t>17.09.2025</t>
        </is>
      </c>
      <c r="N497" s="256" t="inlineStr">
        <is>
          <t>IPH — Institute of Public Health</t>
        </is>
      </c>
      <c r="O497" s="256" t="inlineStr">
        <is>
          <t>11.09.2025</t>
        </is>
      </c>
      <c r="P497" s="256" t="inlineStr">
        <is>
          <t>covered</t>
        </is>
      </c>
      <c r="Q497" s="256" t="inlineStr"/>
      <c r="R497" s="256" t="inlineStr"/>
    </row>
    <row r="498">
      <c r="A498" s="256" t="inlineStr">
        <is>
          <t>CoQ-PP_26-022</t>
        </is>
      </c>
      <c r="B498" s="256" t="inlineStr">
        <is>
          <t>release</t>
        </is>
      </c>
      <c r="C498" s="256" t="inlineStr">
        <is>
          <t>CJ052501/01</t>
        </is>
      </c>
      <c r="D498" s="256" t="inlineStr">
        <is>
          <t>P050162</t>
        </is>
      </c>
      <c r="E498" s="256" t="inlineStr">
        <is>
          <t>Cap Junky</t>
        </is>
      </c>
      <c r="F498" s="256" t="inlineStr">
        <is>
          <t>06.06.2026</t>
        </is>
      </c>
      <c r="G498" s="256" t="inlineStr">
        <is>
          <t>9.6</t>
        </is>
      </c>
      <c r="H498" s="256" t="inlineStr">
        <is>
          <t>Pseudomonas aeruginosa</t>
        </is>
      </c>
      <c r="I498" s="256" t="inlineStr">
        <is>
          <t>Ph. Eur. 2.6.13 cat. C</t>
        </is>
      </c>
      <c r="J498" s="256" t="inlineStr">
        <is>
          <t>Absence | Отсуство / 1 g</t>
        </is>
      </c>
      <c r="K498" s="260" t="inlineStr">
        <is>
          <t>upon request — not required for release</t>
        </is>
      </c>
      <c r="L498" s="256" t="inlineStr">
        <is>
          <t>—</t>
        </is>
      </c>
      <c r="M498" s="256" t="inlineStr">
        <is>
          <t>—</t>
        </is>
      </c>
      <c r="N498" s="256" t="inlineStr">
        <is>
          <t>—</t>
        </is>
      </c>
      <c r="O498" s="256" t="inlineStr">
        <is>
          <t>—</t>
        </is>
      </c>
      <c r="P498" s="256" t="inlineStr">
        <is>
          <t>upon request — not required for release</t>
        </is>
      </c>
      <c r="Q498" s="256" t="inlineStr"/>
      <c r="R498" s="256" t="inlineStr"/>
    </row>
    <row r="499">
      <c r="A499" s="256" t="inlineStr">
        <is>
          <t>CoQ-PP_26-022</t>
        </is>
      </c>
      <c r="B499" s="256" t="inlineStr">
        <is>
          <t>release</t>
        </is>
      </c>
      <c r="C499" s="256" t="inlineStr">
        <is>
          <t>CJ052501/01</t>
        </is>
      </c>
      <c r="D499" s="256" t="inlineStr">
        <is>
          <t>P050162</t>
        </is>
      </c>
      <c r="E499" s="256" t="inlineStr">
        <is>
          <t>Cap Junky</t>
        </is>
      </c>
      <c r="F499" s="256" t="inlineStr">
        <is>
          <t>06.06.2026</t>
        </is>
      </c>
      <c r="G499" s="256" t="inlineStr">
        <is>
          <t>9.7</t>
        </is>
      </c>
      <c r="H499" s="256" t="inlineStr">
        <is>
          <t>Staphylococcus aureus</t>
        </is>
      </c>
      <c r="I499" s="256" t="inlineStr">
        <is>
          <t>Ph. Eur. 2.6.13 cat. C</t>
        </is>
      </c>
      <c r="J499" s="256" t="inlineStr">
        <is>
          <t>Absence | Отсуство / 1 g</t>
        </is>
      </c>
      <c r="K499" s="260" t="inlineStr">
        <is>
          <t>upon request — not required for release</t>
        </is>
      </c>
      <c r="L499" s="256" t="inlineStr">
        <is>
          <t>—</t>
        </is>
      </c>
      <c r="M499" s="256" t="inlineStr">
        <is>
          <t>—</t>
        </is>
      </c>
      <c r="N499" s="256" t="inlineStr">
        <is>
          <t>—</t>
        </is>
      </c>
      <c r="O499" s="256" t="inlineStr">
        <is>
          <t>—</t>
        </is>
      </c>
      <c r="P499" s="256" t="inlineStr">
        <is>
          <t>upon request — not required for release</t>
        </is>
      </c>
      <c r="Q499" s="256" t="inlineStr"/>
      <c r="R499" s="256" t="inlineStr"/>
    </row>
    <row r="500">
      <c r="A500" s="256" t="inlineStr">
        <is>
          <t>CoQ-PP_26-022</t>
        </is>
      </c>
      <c r="B500" s="256" t="inlineStr">
        <is>
          <t>release</t>
        </is>
      </c>
      <c r="C500" s="256" t="inlineStr">
        <is>
          <t>CJ052501/01</t>
        </is>
      </c>
      <c r="D500" s="256" t="inlineStr">
        <is>
          <t>P050162</t>
        </is>
      </c>
      <c r="E500" s="256" t="inlineStr">
        <is>
          <t>Cap Junky</t>
        </is>
      </c>
      <c r="F500" s="256" t="inlineStr">
        <is>
          <t>06.06.2026</t>
        </is>
      </c>
      <c r="G500" s="256" t="inlineStr">
        <is>
          <t>10.1</t>
        </is>
      </c>
      <c r="H500" s="256" t="inlineStr">
        <is>
          <t>Aflatoxin B₁</t>
        </is>
      </c>
      <c r="I500" s="256" t="inlineStr">
        <is>
          <t>Ph. Eur. 2.8.18 (HPLC-FLD)</t>
        </is>
      </c>
      <c r="J500" s="256" t="inlineStr">
        <is>
          <t>≤ 2 µg/kg</t>
        </is>
      </c>
      <c r="K500" s="259" t="inlineStr">
        <is>
          <t>not tested</t>
        </is>
      </c>
      <c r="L500" s="256" t="inlineStr">
        <is>
          <t>—</t>
        </is>
      </c>
      <c r="M500" s="256" t="inlineStr">
        <is>
          <t>—</t>
        </is>
      </c>
      <c r="N500" s="256" t="inlineStr">
        <is>
          <t>—</t>
        </is>
      </c>
      <c r="O500" s="256" t="inlineStr">
        <is>
          <t>—</t>
        </is>
      </c>
      <c r="P500" s="256" t="inlineStr">
        <is>
          <t>not tested — no certificate covers it</t>
        </is>
      </c>
      <c r="Q500" s="256" t="inlineStr"/>
      <c r="R500" s="256" t="inlineStr">
        <is>
          <t>ND (197-3-М/26)</t>
        </is>
      </c>
    </row>
    <row r="501">
      <c r="A501" s="256" t="inlineStr">
        <is>
          <t>CoQ-PP_26-022</t>
        </is>
      </c>
      <c r="B501" s="256" t="inlineStr">
        <is>
          <t>release</t>
        </is>
      </c>
      <c r="C501" s="256" t="inlineStr">
        <is>
          <t>CJ052501/01</t>
        </is>
      </c>
      <c r="D501" s="256" t="inlineStr">
        <is>
          <t>P050162</t>
        </is>
      </c>
      <c r="E501" s="256" t="inlineStr">
        <is>
          <t>Cap Junky</t>
        </is>
      </c>
      <c r="F501" s="256" t="inlineStr">
        <is>
          <t>06.06.2026</t>
        </is>
      </c>
      <c r="G501" s="256" t="inlineStr">
        <is>
          <t>10.2</t>
        </is>
      </c>
      <c r="H501" s="256" t="inlineStr">
        <is>
          <t>Aflatoxins ∑</t>
        </is>
      </c>
      <c r="I501" s="256" t="inlineStr">
        <is>
          <t>Ph. Eur. 2.8.18 (HPLC-FLD)</t>
        </is>
      </c>
      <c r="J501" s="256" t="inlineStr">
        <is>
          <t>≤ 4 µg/kg</t>
        </is>
      </c>
      <c r="K501" s="256" t="inlineStr">
        <is>
          <t>&lt; 2</t>
        </is>
      </c>
      <c r="L501" s="256" t="inlineStr">
        <is>
          <t>4350/2025</t>
        </is>
      </c>
      <c r="M501" s="256" t="inlineStr">
        <is>
          <t>15.09.2025</t>
        </is>
      </c>
      <c r="N501" s="256" t="inlineStr">
        <is>
          <t>IPH — Institute of Public Health</t>
        </is>
      </c>
      <c r="O501" s="256" t="inlineStr">
        <is>
          <t>05.09.2025</t>
        </is>
      </c>
      <c r="P501" s="256" t="inlineStr">
        <is>
          <t>covered</t>
        </is>
      </c>
      <c r="Q501" s="256" t="inlineStr"/>
      <c r="R501" s="256" t="inlineStr">
        <is>
          <t>ND (197-3-М/26)</t>
        </is>
      </c>
    </row>
    <row r="502">
      <c r="A502" s="256" t="inlineStr">
        <is>
          <t>CoQ-PP_26-022</t>
        </is>
      </c>
      <c r="B502" s="256" t="inlineStr">
        <is>
          <t>release</t>
        </is>
      </c>
      <c r="C502" s="256" t="inlineStr">
        <is>
          <t>CJ052501/01</t>
        </is>
      </c>
      <c r="D502" s="256" t="inlineStr">
        <is>
          <t>P050162</t>
        </is>
      </c>
      <c r="E502" s="256" t="inlineStr">
        <is>
          <t>Cap Junky</t>
        </is>
      </c>
      <c r="F502" s="256" t="inlineStr">
        <is>
          <t>06.06.2026</t>
        </is>
      </c>
      <c r="G502" s="256" t="inlineStr">
        <is>
          <t>10.3</t>
        </is>
      </c>
      <c r="H502" s="256" t="inlineStr">
        <is>
          <t>Ochratoxin A</t>
        </is>
      </c>
      <c r="I502" s="256" t="inlineStr">
        <is>
          <t>Ph. Eur. 2.8.22 (HPLC-FLD)</t>
        </is>
      </c>
      <c r="J502" s="256" t="inlineStr">
        <is>
          <t>≤ 20 µg/kg</t>
        </is>
      </c>
      <c r="K502" s="259" t="inlineStr">
        <is>
          <t>not tested</t>
        </is>
      </c>
      <c r="L502" s="256" t="inlineStr">
        <is>
          <t>—</t>
        </is>
      </c>
      <c r="M502" s="256" t="inlineStr">
        <is>
          <t>—</t>
        </is>
      </c>
      <c r="N502" s="256" t="inlineStr">
        <is>
          <t>—</t>
        </is>
      </c>
      <c r="O502" s="256" t="inlineStr">
        <is>
          <t>—</t>
        </is>
      </c>
      <c r="P502" s="256" t="inlineStr">
        <is>
          <t>not tested — no certificate covers it</t>
        </is>
      </c>
      <c r="Q502" s="256" t="inlineStr"/>
      <c r="R502" s="256" t="inlineStr">
        <is>
          <t>ND (197-3-М/26)</t>
        </is>
      </c>
    </row>
    <row r="503">
      <c r="A503" s="256" t="inlineStr">
        <is>
          <t>CoQ-PP_26-022</t>
        </is>
      </c>
      <c r="B503" s="256" t="inlineStr">
        <is>
          <t>release</t>
        </is>
      </c>
      <c r="C503" s="256" t="inlineStr">
        <is>
          <t>CJ052501/01</t>
        </is>
      </c>
      <c r="D503" s="256" t="inlineStr">
        <is>
          <t>P050162</t>
        </is>
      </c>
      <c r="E503" s="256" t="inlineStr">
        <is>
          <t>Cap Junky</t>
        </is>
      </c>
      <c r="F503" s="256" t="inlineStr">
        <is>
          <t>06.06.2026</t>
        </is>
      </c>
      <c r="G503" s="256" t="inlineStr">
        <is>
          <t>11.1</t>
        </is>
      </c>
      <c r="H503" s="256" t="inlineStr">
        <is>
          <t>Lead (Pb)</t>
        </is>
      </c>
      <c r="I503" s="256" t="inlineStr">
        <is>
          <t>Ph. Eur. 2.4.27 (ICP-MS)</t>
        </is>
      </c>
      <c r="J503" s="256" t="inlineStr">
        <is>
          <t>≤ 0.5 mg/kg</t>
        </is>
      </c>
      <c r="K503" s="256" t="inlineStr">
        <is>
          <t>0.085</t>
        </is>
      </c>
      <c r="L503" s="256" t="inlineStr">
        <is>
          <t>4350/2025</t>
        </is>
      </c>
      <c r="M503" s="256" t="inlineStr">
        <is>
          <t>15.09.2025</t>
        </is>
      </c>
      <c r="N503" s="256" t="inlineStr">
        <is>
          <t>IPH — Institute of Public Health</t>
        </is>
      </c>
      <c r="O503" s="256" t="inlineStr">
        <is>
          <t>05.09.2025</t>
        </is>
      </c>
      <c r="P503" s="256" t="inlineStr">
        <is>
          <t>covered</t>
        </is>
      </c>
      <c r="Q503" s="256" t="inlineStr"/>
      <c r="R503" s="256" t="inlineStr"/>
    </row>
    <row r="504">
      <c r="A504" s="256" t="inlineStr">
        <is>
          <t>CoQ-PP_26-022</t>
        </is>
      </c>
      <c r="B504" s="256" t="inlineStr">
        <is>
          <t>release</t>
        </is>
      </c>
      <c r="C504" s="256" t="inlineStr">
        <is>
          <t>CJ052501/01</t>
        </is>
      </c>
      <c r="D504" s="256" t="inlineStr">
        <is>
          <t>P050162</t>
        </is>
      </c>
      <c r="E504" s="256" t="inlineStr">
        <is>
          <t>Cap Junky</t>
        </is>
      </c>
      <c r="F504" s="256" t="inlineStr">
        <is>
          <t>06.06.2026</t>
        </is>
      </c>
      <c r="G504" s="256" t="inlineStr">
        <is>
          <t>11.2</t>
        </is>
      </c>
      <c r="H504" s="256" t="inlineStr">
        <is>
          <t>Cadmium (Cd)</t>
        </is>
      </c>
      <c r="I504" s="256" t="inlineStr">
        <is>
          <t>Ph. Eur. 2.4.27 (ICP-MS)</t>
        </is>
      </c>
      <c r="J504" s="256" t="inlineStr">
        <is>
          <t>≤ 0.3 mg/kg</t>
        </is>
      </c>
      <c r="K504" s="256" t="inlineStr">
        <is>
          <t>ND</t>
        </is>
      </c>
      <c r="L504" s="256" t="inlineStr">
        <is>
          <t>4350/2025</t>
        </is>
      </c>
      <c r="M504" s="256" t="inlineStr">
        <is>
          <t>15.09.2025</t>
        </is>
      </c>
      <c r="N504" s="256" t="inlineStr">
        <is>
          <t>IPH — Institute of Public Health</t>
        </is>
      </c>
      <c r="O504" s="256" t="inlineStr">
        <is>
          <t>05.09.2025</t>
        </is>
      </c>
      <c r="P504" s="256" t="inlineStr">
        <is>
          <t>covered</t>
        </is>
      </c>
      <c r="Q504" s="256" t="inlineStr"/>
      <c r="R504" s="256" t="inlineStr"/>
    </row>
    <row r="505">
      <c r="A505" s="256" t="inlineStr">
        <is>
          <t>CoQ-PP_26-022</t>
        </is>
      </c>
      <c r="B505" s="256" t="inlineStr">
        <is>
          <t>release</t>
        </is>
      </c>
      <c r="C505" s="256" t="inlineStr">
        <is>
          <t>CJ052501/01</t>
        </is>
      </c>
      <c r="D505" s="256" t="inlineStr">
        <is>
          <t>P050162</t>
        </is>
      </c>
      <c r="E505" s="256" t="inlineStr">
        <is>
          <t>Cap Junky</t>
        </is>
      </c>
      <c r="F505" s="256" t="inlineStr">
        <is>
          <t>06.06.2026</t>
        </is>
      </c>
      <c r="G505" s="256" t="inlineStr">
        <is>
          <t>11.3</t>
        </is>
      </c>
      <c r="H505" s="256" t="inlineStr">
        <is>
          <t>Arsenic (As)</t>
        </is>
      </c>
      <c r="I505" s="256" t="inlineStr">
        <is>
          <t>Ph. Eur. 2.4.27 (ICP-MS)</t>
        </is>
      </c>
      <c r="J505" s="256" t="inlineStr">
        <is>
          <t>≤ 0.2 mg/kg</t>
        </is>
      </c>
      <c r="K505" s="256" t="inlineStr">
        <is>
          <t>ND</t>
        </is>
      </c>
      <c r="L505" s="256" t="inlineStr">
        <is>
          <t>4350/2025</t>
        </is>
      </c>
      <c r="M505" s="256" t="inlineStr">
        <is>
          <t>15.09.2025</t>
        </is>
      </c>
      <c r="N505" s="256" t="inlineStr">
        <is>
          <t>IPH — Institute of Public Health</t>
        </is>
      </c>
      <c r="O505" s="256" t="inlineStr">
        <is>
          <t>05.09.2025</t>
        </is>
      </c>
      <c r="P505" s="256" t="inlineStr">
        <is>
          <t>covered</t>
        </is>
      </c>
      <c r="Q505" s="256" t="inlineStr"/>
      <c r="R505" s="256" t="inlineStr"/>
    </row>
    <row r="506">
      <c r="A506" s="256" t="inlineStr">
        <is>
          <t>CoQ-PP_26-022</t>
        </is>
      </c>
      <c r="B506" s="256" t="inlineStr">
        <is>
          <t>release</t>
        </is>
      </c>
      <c r="C506" s="256" t="inlineStr">
        <is>
          <t>CJ052501/01</t>
        </is>
      </c>
      <c r="D506" s="256" t="inlineStr">
        <is>
          <t>P050162</t>
        </is>
      </c>
      <c r="E506" s="256" t="inlineStr">
        <is>
          <t>Cap Junky</t>
        </is>
      </c>
      <c r="F506" s="256" t="inlineStr">
        <is>
          <t>06.06.2026</t>
        </is>
      </c>
      <c r="G506" s="256" t="inlineStr">
        <is>
          <t>11.4</t>
        </is>
      </c>
      <c r="H506" s="256" t="inlineStr">
        <is>
          <t>Mercury (Hg)</t>
        </is>
      </c>
      <c r="I506" s="256" t="inlineStr">
        <is>
          <t>Ph. Eur. 2.4.27 (ICP-MS)</t>
        </is>
      </c>
      <c r="J506" s="256" t="inlineStr">
        <is>
          <t>≤ 0.1 mg/kg</t>
        </is>
      </c>
      <c r="K506" s="256" t="inlineStr">
        <is>
          <t>ND</t>
        </is>
      </c>
      <c r="L506" s="256" t="inlineStr">
        <is>
          <t>4350/2025</t>
        </is>
      </c>
      <c r="M506" s="256" t="inlineStr">
        <is>
          <t>15.09.2025</t>
        </is>
      </c>
      <c r="N506" s="256" t="inlineStr">
        <is>
          <t>IPH — Institute of Public Health</t>
        </is>
      </c>
      <c r="O506" s="256" t="inlineStr">
        <is>
          <t>05.09.2025</t>
        </is>
      </c>
      <c r="P506" s="256" t="inlineStr">
        <is>
          <t>covered</t>
        </is>
      </c>
      <c r="Q506" s="256" t="inlineStr"/>
      <c r="R506" s="256" t="inlineStr"/>
    </row>
    <row r="507">
      <c r="A507" s="256" t="inlineStr">
        <is>
          <t>CoQ-PP_26-022</t>
        </is>
      </c>
      <c r="B507" s="256" t="inlineStr">
        <is>
          <t>release</t>
        </is>
      </c>
      <c r="C507" s="256" t="inlineStr">
        <is>
          <t>CJ052501/01</t>
        </is>
      </c>
      <c r="D507" s="256" t="inlineStr">
        <is>
          <t>P050162</t>
        </is>
      </c>
      <c r="E507" s="256" t="inlineStr">
        <is>
          <t>Cap Junky</t>
        </is>
      </c>
      <c r="F507" s="256" t="inlineStr">
        <is>
          <t>06.06.2026</t>
        </is>
      </c>
      <c r="G507" s="256" t="inlineStr">
        <is>
          <t>12</t>
        </is>
      </c>
      <c r="H507" s="256" t="inlineStr">
        <is>
          <t>Pesticide Residues</t>
        </is>
      </c>
      <c r="I507" s="256" t="inlineStr">
        <is>
          <t>Ph. Eur. 2.8.13 (LC-MS/MS) · CUMCS Equivalency</t>
        </is>
      </c>
      <c r="J507" s="256" t="inlineStr">
        <is>
          <t>≤ LOQ as per Ph. Eur. 2.8.13 · ≤ LOQ as per CUMCS Equivalency</t>
        </is>
      </c>
      <c r="K507" s="256" t="inlineStr">
        <is>
          <t>ND</t>
        </is>
      </c>
      <c r="L507" s="256" t="inlineStr">
        <is>
          <t>4350/2025</t>
        </is>
      </c>
      <c r="M507" s="256" t="inlineStr">
        <is>
          <t>15.09.2025</t>
        </is>
      </c>
      <c r="N507" s="256" t="inlineStr">
        <is>
          <t>IPH — Institute of Public Health</t>
        </is>
      </c>
      <c r="O507" s="256" t="inlineStr">
        <is>
          <t>05.09.2025</t>
        </is>
      </c>
      <c r="P507" s="256" t="inlineStr">
        <is>
          <t>covered</t>
        </is>
      </c>
      <c r="Q507" s="256" t="inlineStr"/>
      <c r="R507" s="256" t="inlineStr"/>
    </row>
    <row r="508">
      <c r="A508" s="256" t="inlineStr">
        <is>
          <t>CoQ-PP_26-023</t>
        </is>
      </c>
      <c r="B508" s="256" t="inlineStr">
        <is>
          <t>release</t>
        </is>
      </c>
      <c r="C508" s="256" t="inlineStr">
        <is>
          <t>CJ052501-2</t>
        </is>
      </c>
      <c r="D508" s="256" t="inlineStr">
        <is>
          <t>P050172</t>
        </is>
      </c>
      <c r="E508" s="256" t="inlineStr">
        <is>
          <t>Cap Junky</t>
        </is>
      </c>
      <c r="F508" s="256" t="inlineStr">
        <is>
          <t>06.06.2026</t>
        </is>
      </c>
      <c r="G508" s="256" t="inlineStr">
        <is>
          <t>1</t>
        </is>
      </c>
      <c r="H508" s="256" t="inlineStr">
        <is>
          <t>Identification A, Appearance · Macroscopic</t>
        </is>
      </c>
      <c r="I508" s="256" t="inlineStr">
        <is>
          <t>Ph. Eur. mon. 3028</t>
        </is>
      </c>
      <c r="J508" s="256" t="inlineStr">
        <is>
          <t>Conforms to the monograph for Cannabis flos (07/2024:3028) in Ph. Eur. 11.0 | Согласно монографија за Cannabis flos (07/2024:3028) во Ph. Eur. 11.0</t>
        </is>
      </c>
      <c r="K508" s="256" t="inlineStr">
        <is>
          <t>Conforms | Одговара</t>
        </is>
      </c>
      <c r="L508" s="256" t="inlineStr">
        <is>
          <t>iCoA-PP_26-022</t>
        </is>
      </c>
      <c r="M508" s="256" t="inlineStr">
        <is>
          <t>03.06.2026</t>
        </is>
      </c>
      <c r="N508" s="256" t="inlineStr">
        <is>
          <t>Purely Plant GmbH (in-house)</t>
        </is>
      </c>
      <c r="O508" s="256" t="inlineStr">
        <is>
          <t>—</t>
        </is>
      </c>
      <c r="P508" s="256" t="inlineStr">
        <is>
          <t>to be performed — see route</t>
        </is>
      </c>
      <c r="Q508" s="256" t="inlineStr">
        <is>
          <t>Purely Plant laboratory — iCoA covering Ident A + B</t>
        </is>
      </c>
      <c r="R508" s="256" t="inlineStr"/>
    </row>
    <row r="509">
      <c r="A509" s="256" t="inlineStr">
        <is>
          <t>CoQ-PP_26-023</t>
        </is>
      </c>
      <c r="B509" s="256" t="inlineStr">
        <is>
          <t>release</t>
        </is>
      </c>
      <c r="C509" s="256" t="inlineStr">
        <is>
          <t>CJ052501-2</t>
        </is>
      </c>
      <c r="D509" s="256" t="inlineStr">
        <is>
          <t>P050172</t>
        </is>
      </c>
      <c r="E509" s="256" t="inlineStr">
        <is>
          <t>Cap Junky</t>
        </is>
      </c>
      <c r="F509" s="256" t="inlineStr">
        <is>
          <t>06.06.2026</t>
        </is>
      </c>
      <c r="G509" s="256" t="inlineStr">
        <is>
          <t>2</t>
        </is>
      </c>
      <c r="H509" s="256" t="inlineStr">
        <is>
          <t>Identification B · Microscopic</t>
        </is>
      </c>
      <c r="I509" s="256" t="inlineStr">
        <is>
          <t>Ph. Eur. 2.8.23 (microscopy)</t>
        </is>
      </c>
      <c r="J509" s="256" t="inlineStr">
        <is>
          <t>Conforms to the monograph for Cannabis flos (07/2024:3028) in Ph. Eur. 11.0 | Согласно монографија за Cannabis flos (07/2024:3028) во Ph. Eur. 11.0</t>
        </is>
      </c>
      <c r="K509" s="256" t="inlineStr">
        <is>
          <t>Conforms | Одговара</t>
        </is>
      </c>
      <c r="L509" s="256" t="inlineStr">
        <is>
          <t>iCoA-PP_26-022</t>
        </is>
      </c>
      <c r="M509" s="256" t="inlineStr">
        <is>
          <t>03.06.2026</t>
        </is>
      </c>
      <c r="N509" s="256" t="inlineStr">
        <is>
          <t>Purely Plant GmbH (in-house)</t>
        </is>
      </c>
      <c r="O509" s="256" t="inlineStr">
        <is>
          <t>—</t>
        </is>
      </c>
      <c r="P509" s="256" t="inlineStr">
        <is>
          <t>to be performed — see route</t>
        </is>
      </c>
      <c r="Q509" s="256" t="inlineStr">
        <is>
          <t>Purely Plant laboratory — iCoA covering Ident A + B</t>
        </is>
      </c>
      <c r="R509" s="256" t="inlineStr"/>
    </row>
    <row r="510">
      <c r="A510" s="256" t="inlineStr">
        <is>
          <t>CoQ-PP_26-023</t>
        </is>
      </c>
      <c r="B510" s="256" t="inlineStr">
        <is>
          <t>release</t>
        </is>
      </c>
      <c r="C510" s="256" t="inlineStr">
        <is>
          <t>CJ052501-2</t>
        </is>
      </c>
      <c r="D510" s="256" t="inlineStr">
        <is>
          <t>P050172</t>
        </is>
      </c>
      <c r="E510" s="256" t="inlineStr">
        <is>
          <t>Cap Junky</t>
        </is>
      </c>
      <c r="F510" s="256" t="inlineStr">
        <is>
          <t>06.06.2026</t>
        </is>
      </c>
      <c r="G510" s="256" t="inlineStr">
        <is>
          <t>3</t>
        </is>
      </c>
      <c r="H510" s="256" t="inlineStr">
        <is>
          <t>Identification C · HPLC/HPTLC</t>
        </is>
      </c>
      <c r="I510" s="256" t="inlineStr">
        <is>
          <t>HPLC — DAB 2018 monograph Cannabis flos, 2.2.29 (CNP, before its Ph. Eur. 3028 accreditation)</t>
        </is>
      </c>
      <c r="J510" s="256" t="inlineStr">
        <is>
          <t>Conforms to the monograph for Cannabis flos (07/2024:3028) in Ph. Eur. 11.0 | Согласно монографија за Cannabis flos (07/2024:3028) во Ph. Eur. 11.0</t>
        </is>
      </c>
      <c r="K510" s="256" t="inlineStr">
        <is>
          <t>Conforms | Одговара</t>
        </is>
      </c>
      <c r="L510" s="256" t="inlineStr">
        <is>
          <t>ППК25281</t>
        </is>
      </c>
      <c r="M510" s="256" t="inlineStr">
        <is>
          <t>17.09.2025</t>
        </is>
      </c>
      <c r="N510" s="256" t="inlineStr">
        <is>
          <t>UKIM Faculty of Pharmacy — Center for Natural Products</t>
        </is>
      </c>
      <c r="O510" s="256" t="inlineStr">
        <is>
          <t>05.09.2025</t>
        </is>
      </c>
      <c r="P510" s="256" t="inlineStr">
        <is>
          <t>covered</t>
        </is>
      </c>
      <c r="Q510" s="256" t="inlineStr"/>
      <c r="R510" s="256" t="inlineStr"/>
    </row>
    <row r="511">
      <c r="A511" s="256" t="inlineStr">
        <is>
          <t>CoQ-PP_26-023</t>
        </is>
      </c>
      <c r="B511" s="256" t="inlineStr">
        <is>
          <t>release</t>
        </is>
      </c>
      <c r="C511" s="256" t="inlineStr">
        <is>
          <t>CJ052501-2</t>
        </is>
      </c>
      <c r="D511" s="256" t="inlineStr">
        <is>
          <t>P050172</t>
        </is>
      </c>
      <c r="E511" s="256" t="inlineStr">
        <is>
          <t>Cap Junky</t>
        </is>
      </c>
      <c r="F511" s="256" t="inlineStr">
        <is>
          <t>06.06.2026</t>
        </is>
      </c>
      <c r="G511" s="256" t="inlineStr">
        <is>
          <t>4</t>
        </is>
      </c>
      <c r="H511" s="256" t="inlineStr">
        <is>
          <t>Assay — Total Δ⁹-THC</t>
        </is>
      </c>
      <c r="I511" s="256" t="inlineStr">
        <is>
          <t>HPLC — DAB 2018 monograph Cannabis flos, 2.2.29 (CNP, before its Ph. Eur. 3028 accreditation)</t>
        </is>
      </c>
      <c r="J511" s="256" t="inlineStr">
        <is>
          <t>12.60 – 15.39 %  (grade V, nominal 14.00 ± 1.40)</t>
        </is>
      </c>
      <c r="K511" s="256" t="inlineStr">
        <is>
          <t>14.93</t>
        </is>
      </c>
      <c r="L511" s="256" t="inlineStr">
        <is>
          <t>ППК25281</t>
        </is>
      </c>
      <c r="M511" s="256" t="inlineStr">
        <is>
          <t>17.09.2025</t>
        </is>
      </c>
      <c r="N511" s="256" t="inlineStr">
        <is>
          <t>UKIM Faculty of Pharmacy — Center for Natural Products</t>
        </is>
      </c>
      <c r="O511" s="256" t="inlineStr">
        <is>
          <t>05.09.2025</t>
        </is>
      </c>
      <c r="P511" s="256" t="inlineStr">
        <is>
          <t>covered</t>
        </is>
      </c>
      <c r="Q511" s="256" t="inlineStr"/>
      <c r="R511" s="256" t="inlineStr">
        <is>
          <t>21.30 (227-28-К/26)</t>
        </is>
      </c>
    </row>
    <row r="512">
      <c r="A512" s="256" t="inlineStr">
        <is>
          <t>CoQ-PP_26-023</t>
        </is>
      </c>
      <c r="B512" s="256" t="inlineStr">
        <is>
          <t>release</t>
        </is>
      </c>
      <c r="C512" s="256" t="inlineStr">
        <is>
          <t>CJ052501-2</t>
        </is>
      </c>
      <c r="D512" s="256" t="inlineStr">
        <is>
          <t>P050172</t>
        </is>
      </c>
      <c r="E512" s="256" t="inlineStr">
        <is>
          <t>Cap Junky</t>
        </is>
      </c>
      <c r="F512" s="256" t="inlineStr">
        <is>
          <t>06.06.2026</t>
        </is>
      </c>
      <c r="G512" s="256" t="inlineStr">
        <is>
          <t>5</t>
        </is>
      </c>
      <c r="H512" s="256" t="inlineStr">
        <is>
          <t>Assay — Total CBD</t>
        </is>
      </c>
      <c r="I512" s="256" t="inlineStr">
        <is>
          <t>HPLC — DAB 2018 monograph Cannabis flos, 2.2.29 · CBD + CBDA x 0.877 (CNP, before its Ph. Eur. 3028 accreditation)</t>
        </is>
      </c>
      <c r="J512" s="256" t="inlineStr">
        <is>
          <t>≤ 1.0%, w/w</t>
        </is>
      </c>
      <c r="K512" s="256" t="inlineStr">
        <is>
          <t>0.10</t>
        </is>
      </c>
      <c r="L512" s="256" t="inlineStr">
        <is>
          <t>ППК25281</t>
        </is>
      </c>
      <c r="M512" s="256" t="inlineStr">
        <is>
          <t>17.09.2025</t>
        </is>
      </c>
      <c r="N512" s="256" t="inlineStr">
        <is>
          <t>UKIM Faculty of Pharmacy — Center for Natural Products</t>
        </is>
      </c>
      <c r="O512" s="256" t="inlineStr">
        <is>
          <t>05.09.2025</t>
        </is>
      </c>
      <c r="P512" s="256" t="inlineStr">
        <is>
          <t>covered</t>
        </is>
      </c>
      <c r="Q512" s="256" t="inlineStr"/>
      <c r="R512" s="256" t="inlineStr">
        <is>
          <t>&lt;LOQ (227-28-К/26)</t>
        </is>
      </c>
    </row>
    <row r="513">
      <c r="A513" s="256" t="inlineStr">
        <is>
          <t>CoQ-PP_26-023</t>
        </is>
      </c>
      <c r="B513" s="256" t="inlineStr">
        <is>
          <t>release</t>
        </is>
      </c>
      <c r="C513" s="256" t="inlineStr">
        <is>
          <t>CJ052501-2</t>
        </is>
      </c>
      <c r="D513" s="256" t="inlineStr">
        <is>
          <t>P050172</t>
        </is>
      </c>
      <c r="E513" s="256" t="inlineStr">
        <is>
          <t>Cap Junky</t>
        </is>
      </c>
      <c r="F513" s="256" t="inlineStr">
        <is>
          <t>06.06.2026</t>
        </is>
      </c>
      <c r="G513" s="256" t="inlineStr">
        <is>
          <t>6</t>
        </is>
      </c>
      <c r="H513" s="256" t="inlineStr">
        <is>
          <t>Total CBN</t>
        </is>
      </c>
      <c r="I513" s="256" t="inlineStr">
        <is>
          <t>Ph. Eur. 2.2.29 (HPLC) · CBN + CBNA x 0.876</t>
        </is>
      </c>
      <c r="J513" s="256" t="inlineStr">
        <is>
          <t>≤ 1.0%, w/w</t>
        </is>
      </c>
      <c r="K513" s="259" t="inlineStr">
        <is>
          <t>not tested</t>
        </is>
      </c>
      <c r="L513" s="256" t="inlineStr">
        <is>
          <t>—</t>
        </is>
      </c>
      <c r="M513" s="256" t="inlineStr">
        <is>
          <t>—</t>
        </is>
      </c>
      <c r="N513" s="256" t="inlineStr">
        <is>
          <t>—</t>
        </is>
      </c>
      <c r="O513" s="256" t="inlineStr">
        <is>
          <t>—</t>
        </is>
      </c>
      <c r="P513" s="256" t="inlineStr">
        <is>
          <t>not tested — no certificate covers it</t>
        </is>
      </c>
      <c r="Q513" s="256" t="inlineStr"/>
      <c r="R513" s="256" t="inlineStr">
        <is>
          <t>&lt;LOQ (227-28-К/26)</t>
        </is>
      </c>
    </row>
    <row r="514">
      <c r="A514" s="256" t="inlineStr">
        <is>
          <t>CoQ-PP_26-023</t>
        </is>
      </c>
      <c r="B514" s="256" t="inlineStr">
        <is>
          <t>release</t>
        </is>
      </c>
      <c r="C514" s="256" t="inlineStr">
        <is>
          <t>CJ052501-2</t>
        </is>
      </c>
      <c r="D514" s="256" t="inlineStr">
        <is>
          <t>P050172</t>
        </is>
      </c>
      <c r="E514" s="256" t="inlineStr">
        <is>
          <t>Cap Junky</t>
        </is>
      </c>
      <c r="F514" s="256" t="inlineStr">
        <is>
          <t>06.06.2026</t>
        </is>
      </c>
      <c r="G514" s="256" t="inlineStr">
        <is>
          <t>7</t>
        </is>
      </c>
      <c r="H514" s="256" t="inlineStr">
        <is>
          <t>Foreign Matter</t>
        </is>
      </c>
      <c r="I514" s="256" t="inlineStr">
        <is>
          <t>Ph. Eur. 2.8.2 · In-house · интерна</t>
        </is>
      </c>
      <c r="J514" s="256" t="inlineStr">
        <is>
          <t>≤ 2.0% / 25–50 g · &lt; 1 cm leaves | листови, no seeds | без семки</t>
        </is>
      </c>
      <c r="K514" s="256" t="inlineStr">
        <is>
          <t>Conforms | Одговара</t>
        </is>
      </c>
      <c r="L514" s="256" t="inlineStr">
        <is>
          <t>iCoA-PP_26-022</t>
        </is>
      </c>
      <c r="M514" s="256" t="inlineStr">
        <is>
          <t>03.06.2026</t>
        </is>
      </c>
      <c r="N514" s="256" t="inlineStr">
        <is>
          <t>Purely Plant GmbH (in-house)</t>
        </is>
      </c>
      <c r="O514" s="256" t="inlineStr">
        <is>
          <t>—</t>
        </is>
      </c>
      <c r="P514" s="256" t="inlineStr">
        <is>
          <t>to be performed — see route</t>
        </is>
      </c>
      <c r="Q514" s="256" t="inlineStr">
        <is>
          <t>Purely Plant laboratory — iCoA covering Foreign matter</t>
        </is>
      </c>
      <c r="R514" s="256" t="inlineStr"/>
    </row>
    <row r="515">
      <c r="A515" s="256" t="inlineStr">
        <is>
          <t>CoQ-PP_26-023</t>
        </is>
      </c>
      <c r="B515" s="256" t="inlineStr">
        <is>
          <t>release</t>
        </is>
      </c>
      <c r="C515" s="256" t="inlineStr">
        <is>
          <t>CJ052501-2</t>
        </is>
      </c>
      <c r="D515" s="256" t="inlineStr">
        <is>
          <t>P050172</t>
        </is>
      </c>
      <c r="E515" s="256" t="inlineStr">
        <is>
          <t>Cap Junky</t>
        </is>
      </c>
      <c r="F515" s="256" t="inlineStr">
        <is>
          <t>06.06.2026</t>
        </is>
      </c>
      <c r="G515" s="256" t="inlineStr">
        <is>
          <t>8</t>
        </is>
      </c>
      <c r="H515" s="256" t="inlineStr">
        <is>
          <t>Loss on Drying</t>
        </is>
      </c>
      <c r="I515" s="256" t="inlineStr">
        <is>
          <t>DAB 2018 monograph Cannabis flos, 2.2.32 — loss on drying (CNP, before its Ph. Eur. 3028 accreditation)</t>
        </is>
      </c>
      <c r="J515" s="256" t="inlineStr">
        <is>
          <t>≤ 12.0%</t>
        </is>
      </c>
      <c r="K515" s="256" t="inlineStr">
        <is>
          <t>6.63</t>
        </is>
      </c>
      <c r="L515" s="256" t="inlineStr">
        <is>
          <t>ППК25281</t>
        </is>
      </c>
      <c r="M515" s="256" t="inlineStr">
        <is>
          <t>17.09.2025</t>
        </is>
      </c>
      <c r="N515" s="256" t="inlineStr">
        <is>
          <t>UKIM Faculty of Pharmacy — Center for Natural Products</t>
        </is>
      </c>
      <c r="O515" s="256" t="inlineStr">
        <is>
          <t>05.09.2025</t>
        </is>
      </c>
      <c r="P515" s="256" t="inlineStr">
        <is>
          <t>covered</t>
        </is>
      </c>
      <c r="Q515" s="256" t="inlineStr"/>
      <c r="R515" s="256" t="inlineStr"/>
    </row>
    <row r="516">
      <c r="A516" s="256" t="inlineStr">
        <is>
          <t>CoQ-PP_26-023</t>
        </is>
      </c>
      <c r="B516" s="256" t="inlineStr">
        <is>
          <t>release</t>
        </is>
      </c>
      <c r="C516" s="256" t="inlineStr">
        <is>
          <t>CJ052501-2</t>
        </is>
      </c>
      <c r="D516" s="256" t="inlineStr">
        <is>
          <t>P050172</t>
        </is>
      </c>
      <c r="E516" s="256" t="inlineStr">
        <is>
          <t>Cap Junky</t>
        </is>
      </c>
      <c r="F516" s="256" t="inlineStr">
        <is>
          <t>06.06.2026</t>
        </is>
      </c>
      <c r="G516" s="256" t="inlineStr">
        <is>
          <t>9.1</t>
        </is>
      </c>
      <c r="H516" s="256" t="inlineStr">
        <is>
          <t>TAMC</t>
        </is>
      </c>
      <c r="I516" s="256" t="inlineStr">
        <is>
          <t>Ph. Eur. 2.6.12 cat. C</t>
        </is>
      </c>
      <c r="J516" s="256" t="inlineStr">
        <is>
          <t>≤ 10⁵ CFU/g</t>
        </is>
      </c>
      <c r="K516" s="256" t="inlineStr">
        <is>
          <t>9 × 10³</t>
        </is>
      </c>
      <c r="L516" s="256" t="inlineStr">
        <is>
          <t>947/1685/25</t>
        </is>
      </c>
      <c r="M516" s="256" t="inlineStr">
        <is>
          <t>17.09.2025</t>
        </is>
      </c>
      <c r="N516" s="256" t="inlineStr">
        <is>
          <t>IPH — Institute of Public Health</t>
        </is>
      </c>
      <c r="O516" s="256" t="inlineStr">
        <is>
          <t>11.09.2025</t>
        </is>
      </c>
      <c r="P516" s="256" t="inlineStr">
        <is>
          <t>covered</t>
        </is>
      </c>
      <c r="Q516" s="256" t="inlineStr"/>
      <c r="R516" s="256" t="inlineStr"/>
    </row>
    <row r="517">
      <c r="A517" s="256" t="inlineStr">
        <is>
          <t>CoQ-PP_26-023</t>
        </is>
      </c>
      <c r="B517" s="256" t="inlineStr">
        <is>
          <t>release</t>
        </is>
      </c>
      <c r="C517" s="256" t="inlineStr">
        <is>
          <t>CJ052501-2</t>
        </is>
      </c>
      <c r="D517" s="256" t="inlineStr">
        <is>
          <t>P050172</t>
        </is>
      </c>
      <c r="E517" s="256" t="inlineStr">
        <is>
          <t>Cap Junky</t>
        </is>
      </c>
      <c r="F517" s="256" t="inlineStr">
        <is>
          <t>06.06.2026</t>
        </is>
      </c>
      <c r="G517" s="256" t="inlineStr">
        <is>
          <t>9.2</t>
        </is>
      </c>
      <c r="H517" s="256" t="inlineStr">
        <is>
          <t>TYMC</t>
        </is>
      </c>
      <c r="I517" s="256" t="inlineStr">
        <is>
          <t>Ph. Eur. 2.6.12 cat. C</t>
        </is>
      </c>
      <c r="J517" s="256" t="inlineStr">
        <is>
          <t>≤ 10⁴ CFU/g</t>
        </is>
      </c>
      <c r="K517" s="256" t="inlineStr">
        <is>
          <t>6.3 × 10³</t>
        </is>
      </c>
      <c r="L517" s="256" t="inlineStr">
        <is>
          <t>947/1685/25</t>
        </is>
      </c>
      <c r="M517" s="256" t="inlineStr">
        <is>
          <t>17.09.2025</t>
        </is>
      </c>
      <c r="N517" s="256" t="inlineStr">
        <is>
          <t>IPH — Institute of Public Health</t>
        </is>
      </c>
      <c r="O517" s="256" t="inlineStr">
        <is>
          <t>11.09.2025</t>
        </is>
      </c>
      <c r="P517" s="256" t="inlineStr">
        <is>
          <t>covered</t>
        </is>
      </c>
      <c r="Q517" s="256" t="inlineStr"/>
      <c r="R517" s="256" t="inlineStr"/>
    </row>
    <row r="518">
      <c r="A518" s="256" t="inlineStr">
        <is>
          <t>CoQ-PP_26-023</t>
        </is>
      </c>
      <c r="B518" s="256" t="inlineStr">
        <is>
          <t>release</t>
        </is>
      </c>
      <c r="C518" s="256" t="inlineStr">
        <is>
          <t>CJ052501-2</t>
        </is>
      </c>
      <c r="D518" s="256" t="inlineStr">
        <is>
          <t>P050172</t>
        </is>
      </c>
      <c r="E518" s="256" t="inlineStr">
        <is>
          <t>Cap Junky</t>
        </is>
      </c>
      <c r="F518" s="256" t="inlineStr">
        <is>
          <t>06.06.2026</t>
        </is>
      </c>
      <c r="G518" s="256" t="inlineStr">
        <is>
          <t>9.3</t>
        </is>
      </c>
      <c r="H518" s="256" t="inlineStr">
        <is>
          <t>Bile-tolerant gram-neg.</t>
        </is>
      </c>
      <c r="I518" s="256" t="inlineStr">
        <is>
          <t>Ph. Eur. 2.6.31 cat. C</t>
        </is>
      </c>
      <c r="J518" s="256" t="inlineStr">
        <is>
          <t>≤ 10⁴ CFU/g</t>
        </is>
      </c>
      <c r="K518" s="256" t="inlineStr">
        <is>
          <t>&lt; 10</t>
        </is>
      </c>
      <c r="L518" s="256" t="inlineStr">
        <is>
          <t>947/1685/25</t>
        </is>
      </c>
      <c r="M518" s="256" t="inlineStr">
        <is>
          <t>17.09.2025</t>
        </is>
      </c>
      <c r="N518" s="256" t="inlineStr">
        <is>
          <t>IPH — Institute of Public Health</t>
        </is>
      </c>
      <c r="O518" s="256" t="inlineStr">
        <is>
          <t>11.09.2025</t>
        </is>
      </c>
      <c r="P518" s="256" t="inlineStr">
        <is>
          <t>covered</t>
        </is>
      </c>
      <c r="Q518" s="256" t="inlineStr"/>
      <c r="R518" s="256" t="inlineStr"/>
    </row>
    <row r="519">
      <c r="A519" s="256" t="inlineStr">
        <is>
          <t>CoQ-PP_26-023</t>
        </is>
      </c>
      <c r="B519" s="256" t="inlineStr">
        <is>
          <t>release</t>
        </is>
      </c>
      <c r="C519" s="256" t="inlineStr">
        <is>
          <t>CJ052501-2</t>
        </is>
      </c>
      <c r="D519" s="256" t="inlineStr">
        <is>
          <t>P050172</t>
        </is>
      </c>
      <c r="E519" s="256" t="inlineStr">
        <is>
          <t>Cap Junky</t>
        </is>
      </c>
      <c r="F519" s="256" t="inlineStr">
        <is>
          <t>06.06.2026</t>
        </is>
      </c>
      <c r="G519" s="256" t="inlineStr">
        <is>
          <t>9.4</t>
        </is>
      </c>
      <c r="H519" s="256" t="inlineStr">
        <is>
          <t>Salmonella</t>
        </is>
      </c>
      <c r="I519" s="256" t="inlineStr">
        <is>
          <t>Ph. Eur. 2.6.31 cat. C</t>
        </is>
      </c>
      <c r="J519" s="256" t="inlineStr">
        <is>
          <t>Absence | Отсуство / 25 g</t>
        </is>
      </c>
      <c r="K519" s="256" t="inlineStr">
        <is>
          <t>Absent | Отсутна</t>
        </is>
      </c>
      <c r="L519" s="256" t="inlineStr">
        <is>
          <t>947/1685/25</t>
        </is>
      </c>
      <c r="M519" s="256" t="inlineStr">
        <is>
          <t>17.09.2025</t>
        </is>
      </c>
      <c r="N519" s="256" t="inlineStr">
        <is>
          <t>IPH — Institute of Public Health</t>
        </is>
      </c>
      <c r="O519" s="256" t="inlineStr">
        <is>
          <t>11.09.2025</t>
        </is>
      </c>
      <c r="P519" s="256" t="inlineStr">
        <is>
          <t>covered</t>
        </is>
      </c>
      <c r="Q519" s="256" t="inlineStr"/>
      <c r="R519" s="256" t="inlineStr"/>
    </row>
    <row r="520">
      <c r="A520" s="256" t="inlineStr">
        <is>
          <t>CoQ-PP_26-023</t>
        </is>
      </c>
      <c r="B520" s="256" t="inlineStr">
        <is>
          <t>release</t>
        </is>
      </c>
      <c r="C520" s="256" t="inlineStr">
        <is>
          <t>CJ052501-2</t>
        </is>
      </c>
      <c r="D520" s="256" t="inlineStr">
        <is>
          <t>P050172</t>
        </is>
      </c>
      <c r="E520" s="256" t="inlineStr">
        <is>
          <t>Cap Junky</t>
        </is>
      </c>
      <c r="F520" s="256" t="inlineStr">
        <is>
          <t>06.06.2026</t>
        </is>
      </c>
      <c r="G520" s="256" t="inlineStr">
        <is>
          <t>9.5</t>
        </is>
      </c>
      <c r="H520" s="256" t="inlineStr">
        <is>
          <t>Escherichia coli</t>
        </is>
      </c>
      <c r="I520" s="256" t="inlineStr">
        <is>
          <t>Ph. Eur. 2.6.13 cat. C</t>
        </is>
      </c>
      <c r="J520" s="256" t="inlineStr">
        <is>
          <t>Absence | Отсуство / 1 g</t>
        </is>
      </c>
      <c r="K520" s="256" t="inlineStr">
        <is>
          <t>Absent | Отсутна</t>
        </is>
      </c>
      <c r="L520" s="256" t="inlineStr">
        <is>
          <t>947/1685/25</t>
        </is>
      </c>
      <c r="M520" s="256" t="inlineStr">
        <is>
          <t>17.09.2025</t>
        </is>
      </c>
      <c r="N520" s="256" t="inlineStr">
        <is>
          <t>IPH — Institute of Public Health</t>
        </is>
      </c>
      <c r="O520" s="256" t="inlineStr">
        <is>
          <t>11.09.2025</t>
        </is>
      </c>
      <c r="P520" s="256" t="inlineStr">
        <is>
          <t>covered</t>
        </is>
      </c>
      <c r="Q520" s="256" t="inlineStr"/>
      <c r="R520" s="256" t="inlineStr"/>
    </row>
    <row r="521">
      <c r="A521" s="256" t="inlineStr">
        <is>
          <t>CoQ-PP_26-023</t>
        </is>
      </c>
      <c r="B521" s="256" t="inlineStr">
        <is>
          <t>release</t>
        </is>
      </c>
      <c r="C521" s="256" t="inlineStr">
        <is>
          <t>CJ052501-2</t>
        </is>
      </c>
      <c r="D521" s="256" t="inlineStr">
        <is>
          <t>P050172</t>
        </is>
      </c>
      <c r="E521" s="256" t="inlineStr">
        <is>
          <t>Cap Junky</t>
        </is>
      </c>
      <c r="F521" s="256" t="inlineStr">
        <is>
          <t>06.06.2026</t>
        </is>
      </c>
      <c r="G521" s="256" t="inlineStr">
        <is>
          <t>9.6</t>
        </is>
      </c>
      <c r="H521" s="256" t="inlineStr">
        <is>
          <t>Pseudomonas aeruginosa</t>
        </is>
      </c>
      <c r="I521" s="256" t="inlineStr">
        <is>
          <t>Ph. Eur. 2.6.13 cat. C</t>
        </is>
      </c>
      <c r="J521" s="256" t="inlineStr">
        <is>
          <t>Absence | Отсуство / 1 g</t>
        </is>
      </c>
      <c r="K521" s="260" t="inlineStr">
        <is>
          <t>upon request — not required for release</t>
        </is>
      </c>
      <c r="L521" s="256" t="inlineStr">
        <is>
          <t>—</t>
        </is>
      </c>
      <c r="M521" s="256" t="inlineStr">
        <is>
          <t>—</t>
        </is>
      </c>
      <c r="N521" s="256" t="inlineStr">
        <is>
          <t>—</t>
        </is>
      </c>
      <c r="O521" s="256" t="inlineStr">
        <is>
          <t>—</t>
        </is>
      </c>
      <c r="P521" s="256" t="inlineStr">
        <is>
          <t>upon request — not required for release</t>
        </is>
      </c>
      <c r="Q521" s="256" t="inlineStr"/>
      <c r="R521" s="256" t="inlineStr"/>
    </row>
    <row r="522">
      <c r="A522" s="256" t="inlineStr">
        <is>
          <t>CoQ-PP_26-023</t>
        </is>
      </c>
      <c r="B522" s="256" t="inlineStr">
        <is>
          <t>release</t>
        </is>
      </c>
      <c r="C522" s="256" t="inlineStr">
        <is>
          <t>CJ052501-2</t>
        </is>
      </c>
      <c r="D522" s="256" t="inlineStr">
        <is>
          <t>P050172</t>
        </is>
      </c>
      <c r="E522" s="256" t="inlineStr">
        <is>
          <t>Cap Junky</t>
        </is>
      </c>
      <c r="F522" s="256" t="inlineStr">
        <is>
          <t>06.06.2026</t>
        </is>
      </c>
      <c r="G522" s="256" t="inlineStr">
        <is>
          <t>9.7</t>
        </is>
      </c>
      <c r="H522" s="256" t="inlineStr">
        <is>
          <t>Staphylococcus aureus</t>
        </is>
      </c>
      <c r="I522" s="256" t="inlineStr">
        <is>
          <t>Ph. Eur. 2.6.13 cat. C</t>
        </is>
      </c>
      <c r="J522" s="256" t="inlineStr">
        <is>
          <t>Absence | Отсуство / 1 g</t>
        </is>
      </c>
      <c r="K522" s="260" t="inlineStr">
        <is>
          <t>upon request — not required for release</t>
        </is>
      </c>
      <c r="L522" s="256" t="inlineStr">
        <is>
          <t>—</t>
        </is>
      </c>
      <c r="M522" s="256" t="inlineStr">
        <is>
          <t>—</t>
        </is>
      </c>
      <c r="N522" s="256" t="inlineStr">
        <is>
          <t>—</t>
        </is>
      </c>
      <c r="O522" s="256" t="inlineStr">
        <is>
          <t>—</t>
        </is>
      </c>
      <c r="P522" s="256" t="inlineStr">
        <is>
          <t>upon request — not required for release</t>
        </is>
      </c>
      <c r="Q522" s="256" t="inlineStr"/>
      <c r="R522" s="256" t="inlineStr"/>
    </row>
    <row r="523">
      <c r="A523" s="256" t="inlineStr">
        <is>
          <t>CoQ-PP_26-023</t>
        </is>
      </c>
      <c r="B523" s="256" t="inlineStr">
        <is>
          <t>release</t>
        </is>
      </c>
      <c r="C523" s="256" t="inlineStr">
        <is>
          <t>CJ052501-2</t>
        </is>
      </c>
      <c r="D523" s="256" t="inlineStr">
        <is>
          <t>P050172</t>
        </is>
      </c>
      <c r="E523" s="256" t="inlineStr">
        <is>
          <t>Cap Junky</t>
        </is>
      </c>
      <c r="F523" s="256" t="inlineStr">
        <is>
          <t>06.06.2026</t>
        </is>
      </c>
      <c r="G523" s="256" t="inlineStr">
        <is>
          <t>10.1</t>
        </is>
      </c>
      <c r="H523" s="256" t="inlineStr">
        <is>
          <t>Aflatoxin B₁</t>
        </is>
      </c>
      <c r="I523" s="256" t="inlineStr">
        <is>
          <t>Ph. Eur. 2.8.18 (HPLC-FLD)</t>
        </is>
      </c>
      <c r="J523" s="256" t="inlineStr">
        <is>
          <t>≤ 2 µg/kg</t>
        </is>
      </c>
      <c r="K523" s="259" t="inlineStr">
        <is>
          <t>not tested</t>
        </is>
      </c>
      <c r="L523" s="256" t="inlineStr">
        <is>
          <t>—</t>
        </is>
      </c>
      <c r="M523" s="256" t="inlineStr">
        <is>
          <t>—</t>
        </is>
      </c>
      <c r="N523" s="256" t="inlineStr">
        <is>
          <t>—</t>
        </is>
      </c>
      <c r="O523" s="256" t="inlineStr">
        <is>
          <t>—</t>
        </is>
      </c>
      <c r="P523" s="256" t="inlineStr">
        <is>
          <t>not tested — no certificate covers it</t>
        </is>
      </c>
      <c r="Q523" s="256" t="inlineStr"/>
      <c r="R523" s="256" t="inlineStr"/>
    </row>
    <row r="524">
      <c r="A524" s="256" t="inlineStr">
        <is>
          <t>CoQ-PP_26-023</t>
        </is>
      </c>
      <c r="B524" s="256" t="inlineStr">
        <is>
          <t>release</t>
        </is>
      </c>
      <c r="C524" s="256" t="inlineStr">
        <is>
          <t>CJ052501-2</t>
        </is>
      </c>
      <c r="D524" s="256" t="inlineStr">
        <is>
          <t>P050172</t>
        </is>
      </c>
      <c r="E524" s="256" t="inlineStr">
        <is>
          <t>Cap Junky</t>
        </is>
      </c>
      <c r="F524" s="256" t="inlineStr">
        <is>
          <t>06.06.2026</t>
        </is>
      </c>
      <c r="G524" s="256" t="inlineStr">
        <is>
          <t>10.2</t>
        </is>
      </c>
      <c r="H524" s="256" t="inlineStr">
        <is>
          <t>Aflatoxins ∑</t>
        </is>
      </c>
      <c r="I524" s="256" t="inlineStr">
        <is>
          <t>Ph. Eur. 2.8.18 (HPLC-FLD)</t>
        </is>
      </c>
      <c r="J524" s="256" t="inlineStr">
        <is>
          <t>≤ 4 µg/kg</t>
        </is>
      </c>
      <c r="K524" s="256" t="inlineStr">
        <is>
          <t>&lt; 2</t>
        </is>
      </c>
      <c r="L524" s="256" t="inlineStr">
        <is>
          <t>4349/2025</t>
        </is>
      </c>
      <c r="M524" s="256" t="inlineStr">
        <is>
          <t>15.09.2025</t>
        </is>
      </c>
      <c r="N524" s="256" t="inlineStr">
        <is>
          <t>IPH — Institute of Public Health</t>
        </is>
      </c>
      <c r="O524" s="256" t="inlineStr">
        <is>
          <t>05.09.2025</t>
        </is>
      </c>
      <c r="P524" s="256" t="inlineStr">
        <is>
          <t>covered</t>
        </is>
      </c>
      <c r="Q524" s="256" t="inlineStr"/>
      <c r="R524" s="256" t="inlineStr"/>
    </row>
    <row r="525">
      <c r="A525" s="256" t="inlineStr">
        <is>
          <t>CoQ-PP_26-023</t>
        </is>
      </c>
      <c r="B525" s="256" t="inlineStr">
        <is>
          <t>release</t>
        </is>
      </c>
      <c r="C525" s="256" t="inlineStr">
        <is>
          <t>CJ052501-2</t>
        </is>
      </c>
      <c r="D525" s="256" t="inlineStr">
        <is>
          <t>P050172</t>
        </is>
      </c>
      <c r="E525" s="256" t="inlineStr">
        <is>
          <t>Cap Junky</t>
        </is>
      </c>
      <c r="F525" s="256" t="inlineStr">
        <is>
          <t>06.06.2026</t>
        </is>
      </c>
      <c r="G525" s="256" t="inlineStr">
        <is>
          <t>10.3</t>
        </is>
      </c>
      <c r="H525" s="256" t="inlineStr">
        <is>
          <t>Ochratoxin A</t>
        </is>
      </c>
      <c r="I525" s="256" t="inlineStr">
        <is>
          <t>Ph. Eur. 2.8.22 (HPLC-FLD)</t>
        </is>
      </c>
      <c r="J525" s="256" t="inlineStr">
        <is>
          <t>≤ 20 µg/kg</t>
        </is>
      </c>
      <c r="K525" s="259" t="inlineStr">
        <is>
          <t>not tested</t>
        </is>
      </c>
      <c r="L525" s="256" t="inlineStr">
        <is>
          <t>—</t>
        </is>
      </c>
      <c r="M525" s="256" t="inlineStr">
        <is>
          <t>—</t>
        </is>
      </c>
      <c r="N525" s="256" t="inlineStr">
        <is>
          <t>—</t>
        </is>
      </c>
      <c r="O525" s="256" t="inlineStr">
        <is>
          <t>—</t>
        </is>
      </c>
      <c r="P525" s="256" t="inlineStr">
        <is>
          <t>not tested — no certificate covers it</t>
        </is>
      </c>
      <c r="Q525" s="256" t="inlineStr"/>
      <c r="R525" s="256" t="inlineStr"/>
    </row>
    <row r="526">
      <c r="A526" s="256" t="inlineStr">
        <is>
          <t>CoQ-PP_26-023</t>
        </is>
      </c>
      <c r="B526" s="256" t="inlineStr">
        <is>
          <t>release</t>
        </is>
      </c>
      <c r="C526" s="256" t="inlineStr">
        <is>
          <t>CJ052501-2</t>
        </is>
      </c>
      <c r="D526" s="256" t="inlineStr">
        <is>
          <t>P050172</t>
        </is>
      </c>
      <c r="E526" s="256" t="inlineStr">
        <is>
          <t>Cap Junky</t>
        </is>
      </c>
      <c r="F526" s="256" t="inlineStr">
        <is>
          <t>06.06.2026</t>
        </is>
      </c>
      <c r="G526" s="256" t="inlineStr">
        <is>
          <t>11.1</t>
        </is>
      </c>
      <c r="H526" s="256" t="inlineStr">
        <is>
          <t>Lead (Pb)</t>
        </is>
      </c>
      <c r="I526" s="256" t="inlineStr">
        <is>
          <t>Ph. Eur. 2.4.27 (ICP-MS)</t>
        </is>
      </c>
      <c r="J526" s="256" t="inlineStr">
        <is>
          <t>≤ 0.5 mg/kg</t>
        </is>
      </c>
      <c r="K526" s="256" t="inlineStr">
        <is>
          <t>0.02</t>
        </is>
      </c>
      <c r="L526" s="256" t="inlineStr">
        <is>
          <t>4349/2025</t>
        </is>
      </c>
      <c r="M526" s="256" t="inlineStr">
        <is>
          <t>15.09.2025</t>
        </is>
      </c>
      <c r="N526" s="256" t="inlineStr">
        <is>
          <t>IPH — Institute of Public Health</t>
        </is>
      </c>
      <c r="O526" s="256" t="inlineStr">
        <is>
          <t>05.09.2025</t>
        </is>
      </c>
      <c r="P526" s="256" t="inlineStr">
        <is>
          <t>covered</t>
        </is>
      </c>
      <c r="Q526" s="256" t="inlineStr"/>
      <c r="R526" s="256" t="inlineStr"/>
    </row>
    <row r="527">
      <c r="A527" s="256" t="inlineStr">
        <is>
          <t>CoQ-PP_26-023</t>
        </is>
      </c>
      <c r="B527" s="256" t="inlineStr">
        <is>
          <t>release</t>
        </is>
      </c>
      <c r="C527" s="256" t="inlineStr">
        <is>
          <t>CJ052501-2</t>
        </is>
      </c>
      <c r="D527" s="256" t="inlineStr">
        <is>
          <t>P050172</t>
        </is>
      </c>
      <c r="E527" s="256" t="inlineStr">
        <is>
          <t>Cap Junky</t>
        </is>
      </c>
      <c r="F527" s="256" t="inlineStr">
        <is>
          <t>06.06.2026</t>
        </is>
      </c>
      <c r="G527" s="256" t="inlineStr">
        <is>
          <t>11.2</t>
        </is>
      </c>
      <c r="H527" s="256" t="inlineStr">
        <is>
          <t>Cadmium (Cd)</t>
        </is>
      </c>
      <c r="I527" s="256" t="inlineStr">
        <is>
          <t>Ph. Eur. 2.4.27 (ICP-MS)</t>
        </is>
      </c>
      <c r="J527" s="256" t="inlineStr">
        <is>
          <t>≤ 0.3 mg/kg</t>
        </is>
      </c>
      <c r="K527" s="256" t="inlineStr">
        <is>
          <t>ND</t>
        </is>
      </c>
      <c r="L527" s="256" t="inlineStr">
        <is>
          <t>4349/2025</t>
        </is>
      </c>
      <c r="M527" s="256" t="inlineStr">
        <is>
          <t>15.09.2025</t>
        </is>
      </c>
      <c r="N527" s="256" t="inlineStr">
        <is>
          <t>IPH — Institute of Public Health</t>
        </is>
      </c>
      <c r="O527" s="256" t="inlineStr">
        <is>
          <t>05.09.2025</t>
        </is>
      </c>
      <c r="P527" s="256" t="inlineStr">
        <is>
          <t>covered</t>
        </is>
      </c>
      <c r="Q527" s="256" t="inlineStr"/>
      <c r="R527" s="256" t="inlineStr"/>
    </row>
    <row r="528">
      <c r="A528" s="256" t="inlineStr">
        <is>
          <t>CoQ-PP_26-023</t>
        </is>
      </c>
      <c r="B528" s="256" t="inlineStr">
        <is>
          <t>release</t>
        </is>
      </c>
      <c r="C528" s="256" t="inlineStr">
        <is>
          <t>CJ052501-2</t>
        </is>
      </c>
      <c r="D528" s="256" t="inlineStr">
        <is>
          <t>P050172</t>
        </is>
      </c>
      <c r="E528" s="256" t="inlineStr">
        <is>
          <t>Cap Junky</t>
        </is>
      </c>
      <c r="F528" s="256" t="inlineStr">
        <is>
          <t>06.06.2026</t>
        </is>
      </c>
      <c r="G528" s="256" t="inlineStr">
        <is>
          <t>11.3</t>
        </is>
      </c>
      <c r="H528" s="256" t="inlineStr">
        <is>
          <t>Arsenic (As)</t>
        </is>
      </c>
      <c r="I528" s="256" t="inlineStr">
        <is>
          <t>Ph. Eur. 2.4.27 (ICP-MS)</t>
        </is>
      </c>
      <c r="J528" s="256" t="inlineStr">
        <is>
          <t>≤ 0.2 mg/kg</t>
        </is>
      </c>
      <c r="K528" s="256" t="inlineStr">
        <is>
          <t>0.042</t>
        </is>
      </c>
      <c r="L528" s="256" t="inlineStr">
        <is>
          <t>4349/2025</t>
        </is>
      </c>
      <c r="M528" s="256" t="inlineStr">
        <is>
          <t>15.09.2025</t>
        </is>
      </c>
      <c r="N528" s="256" t="inlineStr">
        <is>
          <t>IPH — Institute of Public Health</t>
        </is>
      </c>
      <c r="O528" s="256" t="inlineStr">
        <is>
          <t>05.09.2025</t>
        </is>
      </c>
      <c r="P528" s="256" t="inlineStr">
        <is>
          <t>covered</t>
        </is>
      </c>
      <c r="Q528" s="256" t="inlineStr"/>
      <c r="R528" s="256" t="inlineStr"/>
    </row>
    <row r="529">
      <c r="A529" s="256" t="inlineStr">
        <is>
          <t>CoQ-PP_26-023</t>
        </is>
      </c>
      <c r="B529" s="256" t="inlineStr">
        <is>
          <t>release</t>
        </is>
      </c>
      <c r="C529" s="256" t="inlineStr">
        <is>
          <t>CJ052501-2</t>
        </is>
      </c>
      <c r="D529" s="256" t="inlineStr">
        <is>
          <t>P050172</t>
        </is>
      </c>
      <c r="E529" s="256" t="inlineStr">
        <is>
          <t>Cap Junky</t>
        </is>
      </c>
      <c r="F529" s="256" t="inlineStr">
        <is>
          <t>06.06.2026</t>
        </is>
      </c>
      <c r="G529" s="256" t="inlineStr">
        <is>
          <t>11.4</t>
        </is>
      </c>
      <c r="H529" s="256" t="inlineStr">
        <is>
          <t>Mercury (Hg)</t>
        </is>
      </c>
      <c r="I529" s="256" t="inlineStr">
        <is>
          <t>Ph. Eur. 2.4.27 (ICP-MS)</t>
        </is>
      </c>
      <c r="J529" s="256" t="inlineStr">
        <is>
          <t>≤ 0.1 mg/kg</t>
        </is>
      </c>
      <c r="K529" s="256" t="inlineStr">
        <is>
          <t>ND</t>
        </is>
      </c>
      <c r="L529" s="256" t="inlineStr">
        <is>
          <t>4349/2025</t>
        </is>
      </c>
      <c r="M529" s="256" t="inlineStr">
        <is>
          <t>15.09.2025</t>
        </is>
      </c>
      <c r="N529" s="256" t="inlineStr">
        <is>
          <t>IPH — Institute of Public Health</t>
        </is>
      </c>
      <c r="O529" s="256" t="inlineStr">
        <is>
          <t>05.09.2025</t>
        </is>
      </c>
      <c r="P529" s="256" t="inlineStr">
        <is>
          <t>covered</t>
        </is>
      </c>
      <c r="Q529" s="256" t="inlineStr"/>
      <c r="R529" s="256" t="inlineStr"/>
    </row>
    <row r="530">
      <c r="A530" s="256" t="inlineStr">
        <is>
          <t>CoQ-PP_26-023</t>
        </is>
      </c>
      <c r="B530" s="256" t="inlineStr">
        <is>
          <t>release</t>
        </is>
      </c>
      <c r="C530" s="256" t="inlineStr">
        <is>
          <t>CJ052501-2</t>
        </is>
      </c>
      <c r="D530" s="256" t="inlineStr">
        <is>
          <t>P050172</t>
        </is>
      </c>
      <c r="E530" s="256" t="inlineStr">
        <is>
          <t>Cap Junky</t>
        </is>
      </c>
      <c r="F530" s="256" t="inlineStr">
        <is>
          <t>06.06.2026</t>
        </is>
      </c>
      <c r="G530" s="256" t="inlineStr">
        <is>
          <t>12</t>
        </is>
      </c>
      <c r="H530" s="256" t="inlineStr">
        <is>
          <t>Pesticide Residues</t>
        </is>
      </c>
      <c r="I530" s="256" t="inlineStr">
        <is>
          <t>Ph. Eur. 2.8.13 (LC-MS/MS) · CUMCS Equivalency</t>
        </is>
      </c>
      <c r="J530" s="256" t="inlineStr">
        <is>
          <t>≤ LOQ as per Ph. Eur. 2.8.13 · ≤ LOQ as per CUMCS Equivalency</t>
        </is>
      </c>
      <c r="K530" s="256" t="inlineStr">
        <is>
          <t>ND</t>
        </is>
      </c>
      <c r="L530" s="256" t="inlineStr">
        <is>
          <t>4349/2025</t>
        </is>
      </c>
      <c r="M530" s="256" t="inlineStr">
        <is>
          <t>15.09.2025</t>
        </is>
      </c>
      <c r="N530" s="256" t="inlineStr">
        <is>
          <t>IPH — Institute of Public Health</t>
        </is>
      </c>
      <c r="O530" s="256" t="inlineStr">
        <is>
          <t>05.09.2025</t>
        </is>
      </c>
      <c r="P530" s="256" t="inlineStr">
        <is>
          <t>covered</t>
        </is>
      </c>
      <c r="Q530" s="256" t="inlineStr"/>
      <c r="R530" s="256" t="inlineStr"/>
    </row>
    <row r="531">
      <c r="A531" s="256" t="inlineStr">
        <is>
          <t>CoQ-PP_26-024</t>
        </is>
      </c>
      <c r="B531" s="256" t="inlineStr">
        <is>
          <t>release</t>
        </is>
      </c>
      <c r="C531" s="256" t="inlineStr">
        <is>
          <t>HPA052501</t>
        </is>
      </c>
      <c r="D531" s="256" t="inlineStr">
        <is>
          <t>P050182</t>
        </is>
      </c>
      <c r="E531" s="256" t="inlineStr">
        <is>
          <t>High Pro Amnesia</t>
        </is>
      </c>
      <c r="F531" s="256" t="inlineStr">
        <is>
          <t>06.06.2026</t>
        </is>
      </c>
      <c r="G531" s="256" t="inlineStr">
        <is>
          <t>1</t>
        </is>
      </c>
      <c r="H531" s="256" t="inlineStr">
        <is>
          <t>Identification A, Appearance · Macroscopic</t>
        </is>
      </c>
      <c r="I531" s="256" t="inlineStr">
        <is>
          <t>Ph. Eur. mon. 3028</t>
        </is>
      </c>
      <c r="J531" s="256" t="inlineStr">
        <is>
          <t>Conforms to the monograph for Cannabis flos (07/2024:3028) in Ph. Eur. 11.0 | Согласно монографија за Cannabis flos (07/2024:3028) во Ph. Eur. 11.0</t>
        </is>
      </c>
      <c r="K531" s="256" t="inlineStr">
        <is>
          <t>Conforms | Одговара</t>
        </is>
      </c>
      <c r="L531" s="256" t="inlineStr">
        <is>
          <t>iCoA-PP_26-023</t>
        </is>
      </c>
      <c r="M531" s="256" t="inlineStr">
        <is>
          <t>03.06.2026</t>
        </is>
      </c>
      <c r="N531" s="256" t="inlineStr">
        <is>
          <t>Purely Plant GmbH (in-house)</t>
        </is>
      </c>
      <c r="O531" s="256" t="inlineStr">
        <is>
          <t>—</t>
        </is>
      </c>
      <c r="P531" s="256" t="inlineStr">
        <is>
          <t>to be performed — see route</t>
        </is>
      </c>
      <c r="Q531" s="256" t="inlineStr">
        <is>
          <t>Purely Plant laboratory — iCoA covering Ident A + B</t>
        </is>
      </c>
      <c r="R531" s="256" t="inlineStr"/>
    </row>
    <row r="532">
      <c r="A532" s="256" t="inlineStr">
        <is>
          <t>CoQ-PP_26-024</t>
        </is>
      </c>
      <c r="B532" s="256" t="inlineStr">
        <is>
          <t>release</t>
        </is>
      </c>
      <c r="C532" s="256" t="inlineStr">
        <is>
          <t>HPA052501</t>
        </is>
      </c>
      <c r="D532" s="256" t="inlineStr">
        <is>
          <t>P050182</t>
        </is>
      </c>
      <c r="E532" s="256" t="inlineStr">
        <is>
          <t>High Pro Amnesia</t>
        </is>
      </c>
      <c r="F532" s="256" t="inlineStr">
        <is>
          <t>06.06.2026</t>
        </is>
      </c>
      <c r="G532" s="256" t="inlineStr">
        <is>
          <t>2</t>
        </is>
      </c>
      <c r="H532" s="256" t="inlineStr">
        <is>
          <t>Identification B · Microscopic</t>
        </is>
      </c>
      <c r="I532" s="256" t="inlineStr">
        <is>
          <t>Ph. Eur. 2.8.23 (microscopy)</t>
        </is>
      </c>
      <c r="J532" s="256" t="inlineStr">
        <is>
          <t>Conforms to the monograph for Cannabis flos (07/2024:3028) in Ph. Eur. 11.0 | Согласно монографија за Cannabis flos (07/2024:3028) во Ph. Eur. 11.0</t>
        </is>
      </c>
      <c r="K532" s="256" t="inlineStr">
        <is>
          <t>Conforms | Одговара</t>
        </is>
      </c>
      <c r="L532" s="256" t="inlineStr">
        <is>
          <t>iCoA-PP_26-023</t>
        </is>
      </c>
      <c r="M532" s="256" t="inlineStr">
        <is>
          <t>03.06.2026</t>
        </is>
      </c>
      <c r="N532" s="256" t="inlineStr">
        <is>
          <t>Purely Plant GmbH (in-house)</t>
        </is>
      </c>
      <c r="O532" s="256" t="inlineStr">
        <is>
          <t>—</t>
        </is>
      </c>
      <c r="P532" s="256" t="inlineStr">
        <is>
          <t>to be performed — see route</t>
        </is>
      </c>
      <c r="Q532" s="256" t="inlineStr">
        <is>
          <t>Purely Plant laboratory — iCoA covering Ident A + B</t>
        </is>
      </c>
      <c r="R532" s="256" t="inlineStr"/>
    </row>
    <row r="533">
      <c r="A533" s="256" t="inlineStr">
        <is>
          <t>CoQ-PP_26-024</t>
        </is>
      </c>
      <c r="B533" s="256" t="inlineStr">
        <is>
          <t>release</t>
        </is>
      </c>
      <c r="C533" s="256" t="inlineStr">
        <is>
          <t>HPA052501</t>
        </is>
      </c>
      <c r="D533" s="256" t="inlineStr">
        <is>
          <t>P050182</t>
        </is>
      </c>
      <c r="E533" s="256" t="inlineStr">
        <is>
          <t>High Pro Amnesia</t>
        </is>
      </c>
      <c r="F533" s="256" t="inlineStr">
        <is>
          <t>06.06.2026</t>
        </is>
      </c>
      <c r="G533" s="256" t="inlineStr">
        <is>
          <t>3</t>
        </is>
      </c>
      <c r="H533" s="256" t="inlineStr">
        <is>
          <t>Identification C · HPLC/HPTLC</t>
        </is>
      </c>
      <c r="I533" s="256" t="inlineStr">
        <is>
          <t>HPLC — DAB 2018 monograph Cannabis flos, 2.2.29 (CNP, before its Ph. Eur. 3028 accreditation)</t>
        </is>
      </c>
      <c r="J533" s="256" t="inlineStr">
        <is>
          <t>Conforms to the monograph for Cannabis flos (07/2024:3028) in Ph. Eur. 11.0 | Согласно монографија за Cannabis flos (07/2024:3028) во Ph. Eur. 11.0</t>
        </is>
      </c>
      <c r="K533" s="256" t="inlineStr">
        <is>
          <t>Conforms | Одговара</t>
        </is>
      </c>
      <c r="L533" s="256" t="inlineStr">
        <is>
          <t>ППК25278</t>
        </is>
      </c>
      <c r="M533" s="256" t="inlineStr">
        <is>
          <t>19.09.2025</t>
        </is>
      </c>
      <c r="N533" s="256" t="inlineStr">
        <is>
          <t>UKIM Faculty of Pharmacy — Center for Natural Products</t>
        </is>
      </c>
      <c r="O533" s="256" t="inlineStr">
        <is>
          <t>05.09.2025</t>
        </is>
      </c>
      <c r="P533" s="256" t="inlineStr">
        <is>
          <t>covered</t>
        </is>
      </c>
      <c r="Q533" s="256" t="inlineStr"/>
      <c r="R533" s="256" t="inlineStr"/>
    </row>
    <row r="534">
      <c r="A534" s="256" t="inlineStr">
        <is>
          <t>CoQ-PP_26-024</t>
        </is>
      </c>
      <c r="B534" s="256" t="inlineStr">
        <is>
          <t>release</t>
        </is>
      </c>
      <c r="C534" s="256" t="inlineStr">
        <is>
          <t>HPA052501</t>
        </is>
      </c>
      <c r="D534" s="256" t="inlineStr">
        <is>
          <t>P050182</t>
        </is>
      </c>
      <c r="E534" s="256" t="inlineStr">
        <is>
          <t>High Pro Amnesia</t>
        </is>
      </c>
      <c r="F534" s="256" t="inlineStr">
        <is>
          <t>06.06.2026</t>
        </is>
      </c>
      <c r="G534" s="256" t="inlineStr">
        <is>
          <t>4</t>
        </is>
      </c>
      <c r="H534" s="256" t="inlineStr">
        <is>
          <t>Assay — Total Δ⁹-THC</t>
        </is>
      </c>
      <c r="I534" s="256" t="inlineStr">
        <is>
          <t>HPLC — DAB 2018 monograph Cannabis flos, 2.2.29 (CNP, before its Ph. Eur. 3028 accreditation)</t>
        </is>
      </c>
      <c r="J534" s="256" t="inlineStr">
        <is>
          <t>19.80 – 24.19 %  (grade I, nominal 22.00 ± 2.20)</t>
        </is>
      </c>
      <c r="K534" s="256" t="inlineStr">
        <is>
          <t>20.39</t>
        </is>
      </c>
      <c r="L534" s="256" t="inlineStr">
        <is>
          <t>ППК25278</t>
        </is>
      </c>
      <c r="M534" s="256" t="inlineStr">
        <is>
          <t>19.09.2025</t>
        </is>
      </c>
      <c r="N534" s="256" t="inlineStr">
        <is>
          <t>UKIM Faculty of Pharmacy — Center for Natural Products</t>
        </is>
      </c>
      <c r="O534" s="256" t="inlineStr">
        <is>
          <t>05.09.2025</t>
        </is>
      </c>
      <c r="P534" s="256" t="inlineStr">
        <is>
          <t>covered</t>
        </is>
      </c>
      <c r="Q534" s="256" t="inlineStr"/>
      <c r="R534" s="256" t="inlineStr">
        <is>
          <t>19.69 (220-15-К/26)</t>
        </is>
      </c>
    </row>
    <row r="535">
      <c r="A535" s="256" t="inlineStr">
        <is>
          <t>CoQ-PP_26-024</t>
        </is>
      </c>
      <c r="B535" s="256" t="inlineStr">
        <is>
          <t>release</t>
        </is>
      </c>
      <c r="C535" s="256" t="inlineStr">
        <is>
          <t>HPA052501</t>
        </is>
      </c>
      <c r="D535" s="256" t="inlineStr">
        <is>
          <t>P050182</t>
        </is>
      </c>
      <c r="E535" s="256" t="inlineStr">
        <is>
          <t>High Pro Amnesia</t>
        </is>
      </c>
      <c r="F535" s="256" t="inlineStr">
        <is>
          <t>06.06.2026</t>
        </is>
      </c>
      <c r="G535" s="256" t="inlineStr">
        <is>
          <t>5</t>
        </is>
      </c>
      <c r="H535" s="256" t="inlineStr">
        <is>
          <t>Assay — Total CBD</t>
        </is>
      </c>
      <c r="I535" s="256" t="inlineStr">
        <is>
          <t>HPLC — DAB 2018 monograph Cannabis flos, 2.2.29 · CBD + CBDA x 0.877 (CNP, before its Ph. Eur. 3028 accreditation)</t>
        </is>
      </c>
      <c r="J535" s="256" t="inlineStr">
        <is>
          <t>≤ 1.0%, w/w</t>
        </is>
      </c>
      <c r="K535" s="256" t="inlineStr">
        <is>
          <t>0.09</t>
        </is>
      </c>
      <c r="L535" s="256" t="inlineStr">
        <is>
          <t>ППК25278</t>
        </is>
      </c>
      <c r="M535" s="256" t="inlineStr">
        <is>
          <t>19.09.2025</t>
        </is>
      </c>
      <c r="N535" s="256" t="inlineStr">
        <is>
          <t>UKIM Faculty of Pharmacy — Center for Natural Products</t>
        </is>
      </c>
      <c r="O535" s="256" t="inlineStr">
        <is>
          <t>05.09.2025</t>
        </is>
      </c>
      <c r="P535" s="256" t="inlineStr">
        <is>
          <t>covered</t>
        </is>
      </c>
      <c r="Q535" s="256" t="inlineStr"/>
      <c r="R535" s="256" t="inlineStr">
        <is>
          <t>&lt;LOQ (220-15-К/26)</t>
        </is>
      </c>
    </row>
    <row r="536">
      <c r="A536" s="256" t="inlineStr">
        <is>
          <t>CoQ-PP_26-024</t>
        </is>
      </c>
      <c r="B536" s="256" t="inlineStr">
        <is>
          <t>release</t>
        </is>
      </c>
      <c r="C536" s="256" t="inlineStr">
        <is>
          <t>HPA052501</t>
        </is>
      </c>
      <c r="D536" s="256" t="inlineStr">
        <is>
          <t>P050182</t>
        </is>
      </c>
      <c r="E536" s="256" t="inlineStr">
        <is>
          <t>High Pro Amnesia</t>
        </is>
      </c>
      <c r="F536" s="256" t="inlineStr">
        <is>
          <t>06.06.2026</t>
        </is>
      </c>
      <c r="G536" s="256" t="inlineStr">
        <is>
          <t>6</t>
        </is>
      </c>
      <c r="H536" s="256" t="inlineStr">
        <is>
          <t>Total CBN</t>
        </is>
      </c>
      <c r="I536" s="256" t="inlineStr">
        <is>
          <t>HPLC — DAB 2018 monograph Cannabis flos, 2.2.29 · CBN + CBNA x 0.876 (CNP, before its Ph. Eur. 3028 accreditation)</t>
        </is>
      </c>
      <c r="J536" s="256" t="inlineStr">
        <is>
          <t>≤ 1.0%, w/w</t>
        </is>
      </c>
      <c r="K536" s="256" t="inlineStr">
        <is>
          <t>0.02 ᴰ</t>
        </is>
      </c>
      <c r="L536" s="256" t="inlineStr">
        <is>
          <t>ППК25278</t>
        </is>
      </c>
      <c r="M536" s="256" t="inlineStr">
        <is>
          <t>19.09.2025</t>
        </is>
      </c>
      <c r="N536" s="256" t="inlineStr">
        <is>
          <t>CNP</t>
        </is>
      </c>
      <c r="O536" s="256" t="inlineStr">
        <is>
          <t>05.09.2025</t>
        </is>
      </c>
      <c r="P536" s="256" t="inlineStr">
        <is>
          <t>covered</t>
        </is>
      </c>
      <c r="Q536" s="256" t="inlineStr"/>
      <c r="R536" s="256" t="inlineStr"/>
    </row>
    <row r="537">
      <c r="A537" s="256" t="inlineStr">
        <is>
          <t>CoQ-PP_26-024</t>
        </is>
      </c>
      <c r="B537" s="256" t="inlineStr">
        <is>
          <t>release</t>
        </is>
      </c>
      <c r="C537" s="256" t="inlineStr">
        <is>
          <t>HPA052501</t>
        </is>
      </c>
      <c r="D537" s="256" t="inlineStr">
        <is>
          <t>P050182</t>
        </is>
      </c>
      <c r="E537" s="256" t="inlineStr">
        <is>
          <t>High Pro Amnesia</t>
        </is>
      </c>
      <c r="F537" s="256" t="inlineStr">
        <is>
          <t>06.06.2026</t>
        </is>
      </c>
      <c r="G537" s="256" t="inlineStr">
        <is>
          <t>7</t>
        </is>
      </c>
      <c r="H537" s="256" t="inlineStr">
        <is>
          <t>Foreign Matter</t>
        </is>
      </c>
      <c r="I537" s="256" t="inlineStr">
        <is>
          <t>Ph. Eur. 2.8.2 · In-house · интерна</t>
        </is>
      </c>
      <c r="J537" s="256" t="inlineStr">
        <is>
          <t>≤ 2.0% / 25–50 g · &lt; 1 cm leaves | листови, no seeds | без семки</t>
        </is>
      </c>
      <c r="K537" s="256" t="inlineStr">
        <is>
          <t>Conforms | Одговара</t>
        </is>
      </c>
      <c r="L537" s="256" t="inlineStr">
        <is>
          <t>iCoA-PP_26-023</t>
        </is>
      </c>
      <c r="M537" s="256" t="inlineStr">
        <is>
          <t>03.06.2026</t>
        </is>
      </c>
      <c r="N537" s="256" t="inlineStr">
        <is>
          <t>Purely Plant GmbH (in-house)</t>
        </is>
      </c>
      <c r="O537" s="256" t="inlineStr">
        <is>
          <t>—</t>
        </is>
      </c>
      <c r="P537" s="256" t="inlineStr">
        <is>
          <t>to be performed — see route</t>
        </is>
      </c>
      <c r="Q537" s="256" t="inlineStr">
        <is>
          <t>Purely Plant laboratory — iCoA covering Foreign matter</t>
        </is>
      </c>
      <c r="R537" s="256" t="inlineStr"/>
    </row>
    <row r="538">
      <c r="A538" s="256" t="inlineStr">
        <is>
          <t>CoQ-PP_26-024</t>
        </is>
      </c>
      <c r="B538" s="256" t="inlineStr">
        <is>
          <t>release</t>
        </is>
      </c>
      <c r="C538" s="256" t="inlineStr">
        <is>
          <t>HPA052501</t>
        </is>
      </c>
      <c r="D538" s="256" t="inlineStr">
        <is>
          <t>P050182</t>
        </is>
      </c>
      <c r="E538" s="256" t="inlineStr">
        <is>
          <t>High Pro Amnesia</t>
        </is>
      </c>
      <c r="F538" s="256" t="inlineStr">
        <is>
          <t>06.06.2026</t>
        </is>
      </c>
      <c r="G538" s="256" t="inlineStr">
        <is>
          <t>8</t>
        </is>
      </c>
      <c r="H538" s="256" t="inlineStr">
        <is>
          <t>Loss on Drying</t>
        </is>
      </c>
      <c r="I538" s="256" t="inlineStr">
        <is>
          <t>DAB 2018 monograph Cannabis flos, 2.2.32 — loss on drying (CNP, before its Ph. Eur. 3028 accreditation)</t>
        </is>
      </c>
      <c r="J538" s="256" t="inlineStr">
        <is>
          <t>≤ 12.0%</t>
        </is>
      </c>
      <c r="K538" s="256" t="inlineStr">
        <is>
          <t>7.29</t>
        </is>
      </c>
      <c r="L538" s="256" t="inlineStr">
        <is>
          <t>ППК25278</t>
        </is>
      </c>
      <c r="M538" s="256" t="inlineStr">
        <is>
          <t>19.09.2025</t>
        </is>
      </c>
      <c r="N538" s="256" t="inlineStr">
        <is>
          <t>UKIM Faculty of Pharmacy — Center for Natural Products</t>
        </is>
      </c>
      <c r="O538" s="256" t="inlineStr">
        <is>
          <t>05.09.2025</t>
        </is>
      </c>
      <c r="P538" s="256" t="inlineStr">
        <is>
          <t>covered</t>
        </is>
      </c>
      <c r="Q538" s="256" t="inlineStr"/>
      <c r="R538" s="256" t="inlineStr"/>
    </row>
    <row r="539">
      <c r="A539" s="256" t="inlineStr">
        <is>
          <t>CoQ-PP_26-024</t>
        </is>
      </c>
      <c r="B539" s="256" t="inlineStr">
        <is>
          <t>release</t>
        </is>
      </c>
      <c r="C539" s="256" t="inlineStr">
        <is>
          <t>HPA052501</t>
        </is>
      </c>
      <c r="D539" s="256" t="inlineStr">
        <is>
          <t>P050182</t>
        </is>
      </c>
      <c r="E539" s="256" t="inlineStr">
        <is>
          <t>High Pro Amnesia</t>
        </is>
      </c>
      <c r="F539" s="256" t="inlineStr">
        <is>
          <t>06.06.2026</t>
        </is>
      </c>
      <c r="G539" s="256" t="inlineStr">
        <is>
          <t>9.1</t>
        </is>
      </c>
      <c r="H539" s="256" t="inlineStr">
        <is>
          <t>TAMC</t>
        </is>
      </c>
      <c r="I539" s="256" t="inlineStr">
        <is>
          <t>Ph. Eur. 2.6.12 cat. C</t>
        </is>
      </c>
      <c r="J539" s="256" t="inlineStr">
        <is>
          <t>≤ 10⁵ CFU/g</t>
        </is>
      </c>
      <c r="K539" s="256" t="inlineStr">
        <is>
          <t>2.7 × 10⁴</t>
        </is>
      </c>
      <c r="L539" s="256" t="inlineStr">
        <is>
          <t>948/1686/25</t>
        </is>
      </c>
      <c r="M539" s="256" t="inlineStr">
        <is>
          <t>17.09.2025</t>
        </is>
      </c>
      <c r="N539" s="256" t="inlineStr">
        <is>
          <t>IPH — Institute of Public Health</t>
        </is>
      </c>
      <c r="O539" s="256" t="inlineStr">
        <is>
          <t>11.09.2025</t>
        </is>
      </c>
      <c r="P539" s="256" t="inlineStr">
        <is>
          <t>covered</t>
        </is>
      </c>
      <c r="Q539" s="256" t="inlineStr"/>
      <c r="R539" s="256" t="inlineStr"/>
    </row>
    <row r="540">
      <c r="A540" s="256" t="inlineStr">
        <is>
          <t>CoQ-PP_26-024</t>
        </is>
      </c>
      <c r="B540" s="256" t="inlineStr">
        <is>
          <t>release</t>
        </is>
      </c>
      <c r="C540" s="256" t="inlineStr">
        <is>
          <t>HPA052501</t>
        </is>
      </c>
      <c r="D540" s="256" t="inlineStr">
        <is>
          <t>P050182</t>
        </is>
      </c>
      <c r="E540" s="256" t="inlineStr">
        <is>
          <t>High Pro Amnesia</t>
        </is>
      </c>
      <c r="F540" s="256" t="inlineStr">
        <is>
          <t>06.06.2026</t>
        </is>
      </c>
      <c r="G540" s="256" t="inlineStr">
        <is>
          <t>9.2</t>
        </is>
      </c>
      <c r="H540" s="256" t="inlineStr">
        <is>
          <t>TYMC</t>
        </is>
      </c>
      <c r="I540" s="256" t="inlineStr">
        <is>
          <t>Ph. Eur. 2.6.12 cat. C</t>
        </is>
      </c>
      <c r="J540" s="256" t="inlineStr">
        <is>
          <t>≤ 10⁴ CFU/g</t>
        </is>
      </c>
      <c r="K540" s="256" t="inlineStr">
        <is>
          <t>2.6 × 10⁴</t>
        </is>
      </c>
      <c r="L540" s="256" t="inlineStr">
        <is>
          <t>948/1686/25</t>
        </is>
      </c>
      <c r="M540" s="256" t="inlineStr">
        <is>
          <t>17.09.2025</t>
        </is>
      </c>
      <c r="N540" s="256" t="inlineStr">
        <is>
          <t>IPH — Institute of Public Health</t>
        </is>
      </c>
      <c r="O540" s="256" t="inlineStr">
        <is>
          <t>11.09.2025</t>
        </is>
      </c>
      <c r="P540" s="256" t="inlineStr">
        <is>
          <t>OUT OF SPECIFICATION</t>
        </is>
      </c>
      <c r="Q540" s="256" t="inlineStr"/>
      <c r="R540" s="256" t="inlineStr"/>
    </row>
    <row r="541">
      <c r="A541" s="256" t="inlineStr">
        <is>
          <t>CoQ-PP_26-024</t>
        </is>
      </c>
      <c r="B541" s="256" t="inlineStr">
        <is>
          <t>release</t>
        </is>
      </c>
      <c r="C541" s="256" t="inlineStr">
        <is>
          <t>HPA052501</t>
        </is>
      </c>
      <c r="D541" s="256" t="inlineStr">
        <is>
          <t>P050182</t>
        </is>
      </c>
      <c r="E541" s="256" t="inlineStr">
        <is>
          <t>High Pro Amnesia</t>
        </is>
      </c>
      <c r="F541" s="256" t="inlineStr">
        <is>
          <t>06.06.2026</t>
        </is>
      </c>
      <c r="G541" s="256" t="inlineStr">
        <is>
          <t>9.3</t>
        </is>
      </c>
      <c r="H541" s="256" t="inlineStr">
        <is>
          <t>Bile-tolerant gram-neg.</t>
        </is>
      </c>
      <c r="I541" s="256" t="inlineStr">
        <is>
          <t>Ph. Eur. 2.6.31 cat. C</t>
        </is>
      </c>
      <c r="J541" s="256" t="inlineStr">
        <is>
          <t>≤ 10⁴ CFU/g</t>
        </is>
      </c>
      <c r="K541" s="256" t="inlineStr">
        <is>
          <t>&lt; 10</t>
        </is>
      </c>
      <c r="L541" s="256" t="inlineStr">
        <is>
          <t>948/1686/25</t>
        </is>
      </c>
      <c r="M541" s="256" t="inlineStr">
        <is>
          <t>17.09.2025</t>
        </is>
      </c>
      <c r="N541" s="256" t="inlineStr">
        <is>
          <t>IPH — Institute of Public Health</t>
        </is>
      </c>
      <c r="O541" s="256" t="inlineStr">
        <is>
          <t>11.09.2025</t>
        </is>
      </c>
      <c r="P541" s="256" t="inlineStr">
        <is>
          <t>covered</t>
        </is>
      </c>
      <c r="Q541" s="256" t="inlineStr"/>
      <c r="R541" s="256" t="inlineStr"/>
    </row>
    <row r="542">
      <c r="A542" s="256" t="inlineStr">
        <is>
          <t>CoQ-PP_26-024</t>
        </is>
      </c>
      <c r="B542" s="256" t="inlineStr">
        <is>
          <t>release</t>
        </is>
      </c>
      <c r="C542" s="256" t="inlineStr">
        <is>
          <t>HPA052501</t>
        </is>
      </c>
      <c r="D542" s="256" t="inlineStr">
        <is>
          <t>P050182</t>
        </is>
      </c>
      <c r="E542" s="256" t="inlineStr">
        <is>
          <t>High Pro Amnesia</t>
        </is>
      </c>
      <c r="F542" s="256" t="inlineStr">
        <is>
          <t>06.06.2026</t>
        </is>
      </c>
      <c r="G542" s="256" t="inlineStr">
        <is>
          <t>9.4</t>
        </is>
      </c>
      <c r="H542" s="256" t="inlineStr">
        <is>
          <t>Salmonella</t>
        </is>
      </c>
      <c r="I542" s="256" t="inlineStr">
        <is>
          <t>Ph. Eur. 2.6.31 cat. C</t>
        </is>
      </c>
      <c r="J542" s="256" t="inlineStr">
        <is>
          <t>Absence | Отсуство / 25 g</t>
        </is>
      </c>
      <c r="K542" s="256" t="inlineStr">
        <is>
          <t>Absent | Отсутна</t>
        </is>
      </c>
      <c r="L542" s="256" t="inlineStr">
        <is>
          <t>948/1686/25</t>
        </is>
      </c>
      <c r="M542" s="256" t="inlineStr">
        <is>
          <t>17.09.2025</t>
        </is>
      </c>
      <c r="N542" s="256" t="inlineStr">
        <is>
          <t>IPH — Institute of Public Health</t>
        </is>
      </c>
      <c r="O542" s="256" t="inlineStr">
        <is>
          <t>11.09.2025</t>
        </is>
      </c>
      <c r="P542" s="256" t="inlineStr">
        <is>
          <t>covered</t>
        </is>
      </c>
      <c r="Q542" s="256" t="inlineStr"/>
      <c r="R542" s="256" t="inlineStr"/>
    </row>
    <row r="543">
      <c r="A543" s="256" t="inlineStr">
        <is>
          <t>CoQ-PP_26-024</t>
        </is>
      </c>
      <c r="B543" s="256" t="inlineStr">
        <is>
          <t>release</t>
        </is>
      </c>
      <c r="C543" s="256" t="inlineStr">
        <is>
          <t>HPA052501</t>
        </is>
      </c>
      <c r="D543" s="256" t="inlineStr">
        <is>
          <t>P050182</t>
        </is>
      </c>
      <c r="E543" s="256" t="inlineStr">
        <is>
          <t>High Pro Amnesia</t>
        </is>
      </c>
      <c r="F543" s="256" t="inlineStr">
        <is>
          <t>06.06.2026</t>
        </is>
      </c>
      <c r="G543" s="256" t="inlineStr">
        <is>
          <t>9.5</t>
        </is>
      </c>
      <c r="H543" s="256" t="inlineStr">
        <is>
          <t>Escherichia coli</t>
        </is>
      </c>
      <c r="I543" s="256" t="inlineStr">
        <is>
          <t>Ph. Eur. 2.6.13 cat. C</t>
        </is>
      </c>
      <c r="J543" s="256" t="inlineStr">
        <is>
          <t>Absence | Отсуство / 1 g</t>
        </is>
      </c>
      <c r="K543" s="256" t="inlineStr">
        <is>
          <t>Absent | Отсутна</t>
        </is>
      </c>
      <c r="L543" s="256" t="inlineStr">
        <is>
          <t>948/1686/25</t>
        </is>
      </c>
      <c r="M543" s="256" t="inlineStr">
        <is>
          <t>17.09.2025</t>
        </is>
      </c>
      <c r="N543" s="256" t="inlineStr">
        <is>
          <t>IPH — Institute of Public Health</t>
        </is>
      </c>
      <c r="O543" s="256" t="inlineStr">
        <is>
          <t>11.09.2025</t>
        </is>
      </c>
      <c r="P543" s="256" t="inlineStr">
        <is>
          <t>covered</t>
        </is>
      </c>
      <c r="Q543" s="256" t="inlineStr"/>
      <c r="R543" s="256" t="inlineStr"/>
    </row>
    <row r="544">
      <c r="A544" s="256" t="inlineStr">
        <is>
          <t>CoQ-PP_26-024</t>
        </is>
      </c>
      <c r="B544" s="256" t="inlineStr">
        <is>
          <t>release</t>
        </is>
      </c>
      <c r="C544" s="256" t="inlineStr">
        <is>
          <t>HPA052501</t>
        </is>
      </c>
      <c r="D544" s="256" t="inlineStr">
        <is>
          <t>P050182</t>
        </is>
      </c>
      <c r="E544" s="256" t="inlineStr">
        <is>
          <t>High Pro Amnesia</t>
        </is>
      </c>
      <c r="F544" s="256" t="inlineStr">
        <is>
          <t>06.06.2026</t>
        </is>
      </c>
      <c r="G544" s="256" t="inlineStr">
        <is>
          <t>9.6</t>
        </is>
      </c>
      <c r="H544" s="256" t="inlineStr">
        <is>
          <t>Pseudomonas aeruginosa</t>
        </is>
      </c>
      <c r="I544" s="256" t="inlineStr">
        <is>
          <t>Ph. Eur. 2.6.13 cat. C</t>
        </is>
      </c>
      <c r="J544" s="256" t="inlineStr">
        <is>
          <t>Absence | Отсуство / 1 g</t>
        </is>
      </c>
      <c r="K544" s="260" t="inlineStr">
        <is>
          <t>upon request — not required for release</t>
        </is>
      </c>
      <c r="L544" s="256" t="inlineStr">
        <is>
          <t>—</t>
        </is>
      </c>
      <c r="M544" s="256" t="inlineStr">
        <is>
          <t>—</t>
        </is>
      </c>
      <c r="N544" s="256" t="inlineStr">
        <is>
          <t>—</t>
        </is>
      </c>
      <c r="O544" s="256" t="inlineStr">
        <is>
          <t>—</t>
        </is>
      </c>
      <c r="P544" s="256" t="inlineStr">
        <is>
          <t>upon request — not required for release</t>
        </is>
      </c>
      <c r="Q544" s="256" t="inlineStr"/>
      <c r="R544" s="256" t="inlineStr"/>
    </row>
    <row r="545">
      <c r="A545" s="256" t="inlineStr">
        <is>
          <t>CoQ-PP_26-024</t>
        </is>
      </c>
      <c r="B545" s="256" t="inlineStr">
        <is>
          <t>release</t>
        </is>
      </c>
      <c r="C545" s="256" t="inlineStr">
        <is>
          <t>HPA052501</t>
        </is>
      </c>
      <c r="D545" s="256" t="inlineStr">
        <is>
          <t>P050182</t>
        </is>
      </c>
      <c r="E545" s="256" t="inlineStr">
        <is>
          <t>High Pro Amnesia</t>
        </is>
      </c>
      <c r="F545" s="256" t="inlineStr">
        <is>
          <t>06.06.2026</t>
        </is>
      </c>
      <c r="G545" s="256" t="inlineStr">
        <is>
          <t>9.7</t>
        </is>
      </c>
      <c r="H545" s="256" t="inlineStr">
        <is>
          <t>Staphylococcus aureus</t>
        </is>
      </c>
      <c r="I545" s="256" t="inlineStr">
        <is>
          <t>Ph. Eur. 2.6.13 cat. C</t>
        </is>
      </c>
      <c r="J545" s="256" t="inlineStr">
        <is>
          <t>Absence | Отсуство / 1 g</t>
        </is>
      </c>
      <c r="K545" s="260" t="inlineStr">
        <is>
          <t>upon request — not required for release</t>
        </is>
      </c>
      <c r="L545" s="256" t="inlineStr">
        <is>
          <t>—</t>
        </is>
      </c>
      <c r="M545" s="256" t="inlineStr">
        <is>
          <t>—</t>
        </is>
      </c>
      <c r="N545" s="256" t="inlineStr">
        <is>
          <t>—</t>
        </is>
      </c>
      <c r="O545" s="256" t="inlineStr">
        <is>
          <t>—</t>
        </is>
      </c>
      <c r="P545" s="256" t="inlineStr">
        <is>
          <t>upon request — not required for release</t>
        </is>
      </c>
      <c r="Q545" s="256" t="inlineStr"/>
      <c r="R545" s="256" t="inlineStr"/>
    </row>
    <row r="546">
      <c r="A546" s="256" t="inlineStr">
        <is>
          <t>CoQ-PP_26-024</t>
        </is>
      </c>
      <c r="B546" s="256" t="inlineStr">
        <is>
          <t>release</t>
        </is>
      </c>
      <c r="C546" s="256" t="inlineStr">
        <is>
          <t>HPA052501</t>
        </is>
      </c>
      <c r="D546" s="256" t="inlineStr">
        <is>
          <t>P050182</t>
        </is>
      </c>
      <c r="E546" s="256" t="inlineStr">
        <is>
          <t>High Pro Amnesia</t>
        </is>
      </c>
      <c r="F546" s="256" t="inlineStr">
        <is>
          <t>06.06.2026</t>
        </is>
      </c>
      <c r="G546" s="256" t="inlineStr">
        <is>
          <t>10.1</t>
        </is>
      </c>
      <c r="H546" s="256" t="inlineStr">
        <is>
          <t>Aflatoxin B₁</t>
        </is>
      </c>
      <c r="I546" s="256" t="inlineStr">
        <is>
          <t>Ph. Eur. 2.8.18 (HPLC-FLD)</t>
        </is>
      </c>
      <c r="J546" s="256" t="inlineStr">
        <is>
          <t>≤ 2 µg/kg</t>
        </is>
      </c>
      <c r="K546" s="259" t="inlineStr">
        <is>
          <t>not tested</t>
        </is>
      </c>
      <c r="L546" s="256" t="inlineStr">
        <is>
          <t>—</t>
        </is>
      </c>
      <c r="M546" s="256" t="inlineStr">
        <is>
          <t>—</t>
        </is>
      </c>
      <c r="N546" s="256" t="inlineStr">
        <is>
          <t>—</t>
        </is>
      </c>
      <c r="O546" s="256" t="inlineStr">
        <is>
          <t>—</t>
        </is>
      </c>
      <c r="P546" s="256" t="inlineStr">
        <is>
          <t>not tested — no certificate covers it</t>
        </is>
      </c>
      <c r="Q546" s="256" t="inlineStr"/>
      <c r="R546" s="256" t="inlineStr">
        <is>
          <t>ND (220-15-М/26)</t>
        </is>
      </c>
    </row>
    <row r="547">
      <c r="A547" s="256" t="inlineStr">
        <is>
          <t>CoQ-PP_26-024</t>
        </is>
      </c>
      <c r="B547" s="256" t="inlineStr">
        <is>
          <t>release</t>
        </is>
      </c>
      <c r="C547" s="256" t="inlineStr">
        <is>
          <t>HPA052501</t>
        </is>
      </c>
      <c r="D547" s="256" t="inlineStr">
        <is>
          <t>P050182</t>
        </is>
      </c>
      <c r="E547" s="256" t="inlineStr">
        <is>
          <t>High Pro Amnesia</t>
        </is>
      </c>
      <c r="F547" s="256" t="inlineStr">
        <is>
          <t>06.06.2026</t>
        </is>
      </c>
      <c r="G547" s="256" t="inlineStr">
        <is>
          <t>10.2</t>
        </is>
      </c>
      <c r="H547" s="256" t="inlineStr">
        <is>
          <t>Aflatoxins ∑</t>
        </is>
      </c>
      <c r="I547" s="256" t="inlineStr">
        <is>
          <t>Ph. Eur. 2.8.18 (HPLC-FLD)</t>
        </is>
      </c>
      <c r="J547" s="256" t="inlineStr">
        <is>
          <t>≤ 4 µg/kg</t>
        </is>
      </c>
      <c r="K547" s="256" t="inlineStr">
        <is>
          <t>&lt; 2</t>
        </is>
      </c>
      <c r="L547" s="256" t="inlineStr">
        <is>
          <t>4352/2025</t>
        </is>
      </c>
      <c r="M547" s="256" t="inlineStr">
        <is>
          <t>15.09.2025</t>
        </is>
      </c>
      <c r="N547" s="256" t="inlineStr">
        <is>
          <t>IPH — Institute of Public Health</t>
        </is>
      </c>
      <c r="O547" s="256" t="inlineStr">
        <is>
          <t>05.09.2025</t>
        </is>
      </c>
      <c r="P547" s="256" t="inlineStr">
        <is>
          <t>covered</t>
        </is>
      </c>
      <c r="Q547" s="256" t="inlineStr"/>
      <c r="R547" s="256" t="inlineStr">
        <is>
          <t>ND (220-15-М/26)</t>
        </is>
      </c>
    </row>
    <row r="548">
      <c r="A548" s="256" t="inlineStr">
        <is>
          <t>CoQ-PP_26-024</t>
        </is>
      </c>
      <c r="B548" s="256" t="inlineStr">
        <is>
          <t>release</t>
        </is>
      </c>
      <c r="C548" s="256" t="inlineStr">
        <is>
          <t>HPA052501</t>
        </is>
      </c>
      <c r="D548" s="256" t="inlineStr">
        <is>
          <t>P050182</t>
        </is>
      </c>
      <c r="E548" s="256" t="inlineStr">
        <is>
          <t>High Pro Amnesia</t>
        </is>
      </c>
      <c r="F548" s="256" t="inlineStr">
        <is>
          <t>06.06.2026</t>
        </is>
      </c>
      <c r="G548" s="256" t="inlineStr">
        <is>
          <t>10.3</t>
        </is>
      </c>
      <c r="H548" s="256" t="inlineStr">
        <is>
          <t>Ochratoxin A</t>
        </is>
      </c>
      <c r="I548" s="256" t="inlineStr">
        <is>
          <t>Ph. Eur. 2.8.22 (HPLC-FLD)</t>
        </is>
      </c>
      <c r="J548" s="256" t="inlineStr">
        <is>
          <t>≤ 20 µg/kg</t>
        </is>
      </c>
      <c r="K548" s="259" t="inlineStr">
        <is>
          <t>not tested</t>
        </is>
      </c>
      <c r="L548" s="256" t="inlineStr">
        <is>
          <t>—</t>
        </is>
      </c>
      <c r="M548" s="256" t="inlineStr">
        <is>
          <t>—</t>
        </is>
      </c>
      <c r="N548" s="256" t="inlineStr">
        <is>
          <t>—</t>
        </is>
      </c>
      <c r="O548" s="256" t="inlineStr">
        <is>
          <t>—</t>
        </is>
      </c>
      <c r="P548" s="256" t="inlineStr">
        <is>
          <t>not tested — no certificate covers it</t>
        </is>
      </c>
      <c r="Q548" s="256" t="inlineStr"/>
      <c r="R548" s="256" t="inlineStr">
        <is>
          <t>ND (220-15-М/26)</t>
        </is>
      </c>
    </row>
    <row r="549">
      <c r="A549" s="256" t="inlineStr">
        <is>
          <t>CoQ-PP_26-024</t>
        </is>
      </c>
      <c r="B549" s="256" t="inlineStr">
        <is>
          <t>release</t>
        </is>
      </c>
      <c r="C549" s="256" t="inlineStr">
        <is>
          <t>HPA052501</t>
        </is>
      </c>
      <c r="D549" s="256" t="inlineStr">
        <is>
          <t>P050182</t>
        </is>
      </c>
      <c r="E549" s="256" t="inlineStr">
        <is>
          <t>High Pro Amnesia</t>
        </is>
      </c>
      <c r="F549" s="256" t="inlineStr">
        <is>
          <t>06.06.2026</t>
        </is>
      </c>
      <c r="G549" s="256" t="inlineStr">
        <is>
          <t>11.1</t>
        </is>
      </c>
      <c r="H549" s="256" t="inlineStr">
        <is>
          <t>Lead (Pb)</t>
        </is>
      </c>
      <c r="I549" s="256" t="inlineStr">
        <is>
          <t>Ph. Eur. 2.4.27 (ICP-MS)</t>
        </is>
      </c>
      <c r="J549" s="256" t="inlineStr">
        <is>
          <t>≤ 0.5 mg/kg</t>
        </is>
      </c>
      <c r="K549" s="256" t="inlineStr">
        <is>
          <t>0.034</t>
        </is>
      </c>
      <c r="L549" s="256" t="inlineStr">
        <is>
          <t>4352/2025</t>
        </is>
      </c>
      <c r="M549" s="256" t="inlineStr">
        <is>
          <t>15.09.2025</t>
        </is>
      </c>
      <c r="N549" s="256" t="inlineStr">
        <is>
          <t>IPH — Institute of Public Health</t>
        </is>
      </c>
      <c r="O549" s="256" t="inlineStr">
        <is>
          <t>05.09.2025</t>
        </is>
      </c>
      <c r="P549" s="256" t="inlineStr">
        <is>
          <t>covered</t>
        </is>
      </c>
      <c r="Q549" s="256" t="inlineStr"/>
      <c r="R549" s="256" t="inlineStr"/>
    </row>
    <row r="550">
      <c r="A550" s="256" t="inlineStr">
        <is>
          <t>CoQ-PP_26-024</t>
        </is>
      </c>
      <c r="B550" s="256" t="inlineStr">
        <is>
          <t>release</t>
        </is>
      </c>
      <c r="C550" s="256" t="inlineStr">
        <is>
          <t>HPA052501</t>
        </is>
      </c>
      <c r="D550" s="256" t="inlineStr">
        <is>
          <t>P050182</t>
        </is>
      </c>
      <c r="E550" s="256" t="inlineStr">
        <is>
          <t>High Pro Amnesia</t>
        </is>
      </c>
      <c r="F550" s="256" t="inlineStr">
        <is>
          <t>06.06.2026</t>
        </is>
      </c>
      <c r="G550" s="256" t="inlineStr">
        <is>
          <t>11.2</t>
        </is>
      </c>
      <c r="H550" s="256" t="inlineStr">
        <is>
          <t>Cadmium (Cd)</t>
        </is>
      </c>
      <c r="I550" s="256" t="inlineStr">
        <is>
          <t>Ph. Eur. 2.4.27 (ICP-MS)</t>
        </is>
      </c>
      <c r="J550" s="256" t="inlineStr">
        <is>
          <t>≤ 0.3 mg/kg</t>
        </is>
      </c>
      <c r="K550" s="256" t="inlineStr">
        <is>
          <t>ND</t>
        </is>
      </c>
      <c r="L550" s="256" t="inlineStr">
        <is>
          <t>4352/2025</t>
        </is>
      </c>
      <c r="M550" s="256" t="inlineStr">
        <is>
          <t>15.09.2025</t>
        </is>
      </c>
      <c r="N550" s="256" t="inlineStr">
        <is>
          <t>IPH — Institute of Public Health</t>
        </is>
      </c>
      <c r="O550" s="256" t="inlineStr">
        <is>
          <t>05.09.2025</t>
        </is>
      </c>
      <c r="P550" s="256" t="inlineStr">
        <is>
          <t>covered</t>
        </is>
      </c>
      <c r="Q550" s="256" t="inlineStr"/>
      <c r="R550" s="256" t="inlineStr"/>
    </row>
    <row r="551">
      <c r="A551" s="256" t="inlineStr">
        <is>
          <t>CoQ-PP_26-024</t>
        </is>
      </c>
      <c r="B551" s="256" t="inlineStr">
        <is>
          <t>release</t>
        </is>
      </c>
      <c r="C551" s="256" t="inlineStr">
        <is>
          <t>HPA052501</t>
        </is>
      </c>
      <c r="D551" s="256" t="inlineStr">
        <is>
          <t>P050182</t>
        </is>
      </c>
      <c r="E551" s="256" t="inlineStr">
        <is>
          <t>High Pro Amnesia</t>
        </is>
      </c>
      <c r="F551" s="256" t="inlineStr">
        <is>
          <t>06.06.2026</t>
        </is>
      </c>
      <c r="G551" s="256" t="inlineStr">
        <is>
          <t>11.3</t>
        </is>
      </c>
      <c r="H551" s="256" t="inlineStr">
        <is>
          <t>Arsenic (As)</t>
        </is>
      </c>
      <c r="I551" s="256" t="inlineStr">
        <is>
          <t>Ph. Eur. 2.4.27 (ICP-MS)</t>
        </is>
      </c>
      <c r="J551" s="256" t="inlineStr">
        <is>
          <t>≤ 0.2 mg/kg</t>
        </is>
      </c>
      <c r="K551" s="256" t="inlineStr">
        <is>
          <t>ND</t>
        </is>
      </c>
      <c r="L551" s="256" t="inlineStr">
        <is>
          <t>4352/2025</t>
        </is>
      </c>
      <c r="M551" s="256" t="inlineStr">
        <is>
          <t>15.09.2025</t>
        </is>
      </c>
      <c r="N551" s="256" t="inlineStr">
        <is>
          <t>IPH — Institute of Public Health</t>
        </is>
      </c>
      <c r="O551" s="256" t="inlineStr">
        <is>
          <t>05.09.2025</t>
        </is>
      </c>
      <c r="P551" s="256" t="inlineStr">
        <is>
          <t>covered</t>
        </is>
      </c>
      <c r="Q551" s="256" t="inlineStr"/>
      <c r="R551" s="256" t="inlineStr"/>
    </row>
    <row r="552">
      <c r="A552" s="256" t="inlineStr">
        <is>
          <t>CoQ-PP_26-024</t>
        </is>
      </c>
      <c r="B552" s="256" t="inlineStr">
        <is>
          <t>release</t>
        </is>
      </c>
      <c r="C552" s="256" t="inlineStr">
        <is>
          <t>HPA052501</t>
        </is>
      </c>
      <c r="D552" s="256" t="inlineStr">
        <is>
          <t>P050182</t>
        </is>
      </c>
      <c r="E552" s="256" t="inlineStr">
        <is>
          <t>High Pro Amnesia</t>
        </is>
      </c>
      <c r="F552" s="256" t="inlineStr">
        <is>
          <t>06.06.2026</t>
        </is>
      </c>
      <c r="G552" s="256" t="inlineStr">
        <is>
          <t>11.4</t>
        </is>
      </c>
      <c r="H552" s="256" t="inlineStr">
        <is>
          <t>Mercury (Hg)</t>
        </is>
      </c>
      <c r="I552" s="256" t="inlineStr">
        <is>
          <t>Ph. Eur. 2.4.27 (ICP-MS)</t>
        </is>
      </c>
      <c r="J552" s="256" t="inlineStr">
        <is>
          <t>≤ 0.1 mg/kg</t>
        </is>
      </c>
      <c r="K552" s="256" t="inlineStr">
        <is>
          <t>ND</t>
        </is>
      </c>
      <c r="L552" s="256" t="inlineStr">
        <is>
          <t>4352/2025</t>
        </is>
      </c>
      <c r="M552" s="256" t="inlineStr">
        <is>
          <t>15.09.2025</t>
        </is>
      </c>
      <c r="N552" s="256" t="inlineStr">
        <is>
          <t>IPH — Institute of Public Health</t>
        </is>
      </c>
      <c r="O552" s="256" t="inlineStr">
        <is>
          <t>05.09.2025</t>
        </is>
      </c>
      <c r="P552" s="256" t="inlineStr">
        <is>
          <t>covered</t>
        </is>
      </c>
      <c r="Q552" s="256" t="inlineStr"/>
      <c r="R552" s="256" t="inlineStr"/>
    </row>
    <row r="553">
      <c r="A553" s="256" t="inlineStr">
        <is>
          <t>CoQ-PP_26-024</t>
        </is>
      </c>
      <c r="B553" s="256" t="inlineStr">
        <is>
          <t>release</t>
        </is>
      </c>
      <c r="C553" s="256" t="inlineStr">
        <is>
          <t>HPA052501</t>
        </is>
      </c>
      <c r="D553" s="256" t="inlineStr">
        <is>
          <t>P050182</t>
        </is>
      </c>
      <c r="E553" s="256" t="inlineStr">
        <is>
          <t>High Pro Amnesia</t>
        </is>
      </c>
      <c r="F553" s="256" t="inlineStr">
        <is>
          <t>06.06.2026</t>
        </is>
      </c>
      <c r="G553" s="256" t="inlineStr">
        <is>
          <t>12</t>
        </is>
      </c>
      <c r="H553" s="256" t="inlineStr">
        <is>
          <t>Pesticide Residues</t>
        </is>
      </c>
      <c r="I553" s="256" t="inlineStr">
        <is>
          <t>Ph. Eur. 2.8.13 (LC-MS/MS) · CUMCS Equivalency</t>
        </is>
      </c>
      <c r="J553" s="256" t="inlineStr">
        <is>
          <t>≤ LOQ as per Ph. Eur. 2.8.13 · ≤ LOQ as per CUMCS Equivalency</t>
        </is>
      </c>
      <c r="K553" s="256" t="inlineStr">
        <is>
          <t>ND</t>
        </is>
      </c>
      <c r="L553" s="256" t="inlineStr">
        <is>
          <t>4352/2025</t>
        </is>
      </c>
      <c r="M553" s="256" t="inlineStr">
        <is>
          <t>15.09.2025</t>
        </is>
      </c>
      <c r="N553" s="256" t="inlineStr">
        <is>
          <t>IPH — Institute of Public Health</t>
        </is>
      </c>
      <c r="O553" s="256" t="inlineStr">
        <is>
          <t>05.09.2025</t>
        </is>
      </c>
      <c r="P553" s="256" t="inlineStr">
        <is>
          <t>covered</t>
        </is>
      </c>
      <c r="Q553" s="256" t="inlineStr"/>
      <c r="R553" s="256" t="inlineStr"/>
    </row>
    <row r="554">
      <c r="A554" s="256" t="inlineStr">
        <is>
          <t>CoQ-PP_26-025</t>
        </is>
      </c>
      <c r="B554" s="256" t="inlineStr">
        <is>
          <t>release</t>
        </is>
      </c>
      <c r="C554" s="256" t="inlineStr">
        <is>
          <t>BSS052501</t>
        </is>
      </c>
      <c r="D554" s="256" t="inlineStr">
        <is>
          <t>P050192</t>
        </is>
      </c>
      <c r="E554" s="256" t="inlineStr">
        <is>
          <t>Blue Sunset Sherbet</t>
        </is>
      </c>
      <c r="F554" s="256" t="inlineStr">
        <is>
          <t>06.06.2026</t>
        </is>
      </c>
      <c r="G554" s="256" t="inlineStr">
        <is>
          <t>1</t>
        </is>
      </c>
      <c r="H554" s="256" t="inlineStr">
        <is>
          <t>Identification A, Appearance · Macroscopic</t>
        </is>
      </c>
      <c r="I554" s="256" t="inlineStr">
        <is>
          <t>Ph. Eur. mon. 3028</t>
        </is>
      </c>
      <c r="J554" s="256" t="inlineStr">
        <is>
          <t>Conforms to the monograph for Cannabis flos (07/2024:3028) in Ph. Eur. 11.0 | Согласно монографија за Cannabis flos (07/2024:3028) во Ph. Eur. 11.0</t>
        </is>
      </c>
      <c r="K554" s="256" t="inlineStr">
        <is>
          <t>Conforms | Одговара</t>
        </is>
      </c>
      <c r="L554" s="256" t="inlineStr">
        <is>
          <t>iCoA-PP_26-024</t>
        </is>
      </c>
      <c r="M554" s="256" t="inlineStr">
        <is>
          <t>03.06.2026</t>
        </is>
      </c>
      <c r="N554" s="256" t="inlineStr">
        <is>
          <t>Purely Plant GmbH (in-house)</t>
        </is>
      </c>
      <c r="O554" s="256" t="inlineStr">
        <is>
          <t>—</t>
        </is>
      </c>
      <c r="P554" s="256" t="inlineStr">
        <is>
          <t>to be performed — see route</t>
        </is>
      </c>
      <c r="Q554" s="256" t="inlineStr">
        <is>
          <t>Purely Plant laboratory — iCoA covering Ident A + B</t>
        </is>
      </c>
      <c r="R554" s="256" t="inlineStr"/>
    </row>
    <row r="555">
      <c r="A555" s="256" t="inlineStr">
        <is>
          <t>CoQ-PP_26-025</t>
        </is>
      </c>
      <c r="B555" s="256" t="inlineStr">
        <is>
          <t>release</t>
        </is>
      </c>
      <c r="C555" s="256" t="inlineStr">
        <is>
          <t>BSS052501</t>
        </is>
      </c>
      <c r="D555" s="256" t="inlineStr">
        <is>
          <t>P050192</t>
        </is>
      </c>
      <c r="E555" s="256" t="inlineStr">
        <is>
          <t>Blue Sunset Sherbet</t>
        </is>
      </c>
      <c r="F555" s="256" t="inlineStr">
        <is>
          <t>06.06.2026</t>
        </is>
      </c>
      <c r="G555" s="256" t="inlineStr">
        <is>
          <t>2</t>
        </is>
      </c>
      <c r="H555" s="256" t="inlineStr">
        <is>
          <t>Identification B · Microscopic</t>
        </is>
      </c>
      <c r="I555" s="256" t="inlineStr">
        <is>
          <t>Ph. Eur. 2.8.23 (microscopy)</t>
        </is>
      </c>
      <c r="J555" s="256" t="inlineStr">
        <is>
          <t>Conforms to the monograph for Cannabis flos (07/2024:3028) in Ph. Eur. 11.0 | Согласно монографија за Cannabis flos (07/2024:3028) во Ph. Eur. 11.0</t>
        </is>
      </c>
      <c r="K555" s="256" t="inlineStr">
        <is>
          <t>Conforms | Одговара</t>
        </is>
      </c>
      <c r="L555" s="256" t="inlineStr">
        <is>
          <t>iCoA-PP_26-024</t>
        </is>
      </c>
      <c r="M555" s="256" t="inlineStr">
        <is>
          <t>03.06.2026</t>
        </is>
      </c>
      <c r="N555" s="256" t="inlineStr">
        <is>
          <t>Purely Plant GmbH (in-house)</t>
        </is>
      </c>
      <c r="O555" s="256" t="inlineStr">
        <is>
          <t>—</t>
        </is>
      </c>
      <c r="P555" s="256" t="inlineStr">
        <is>
          <t>to be performed — see route</t>
        </is>
      </c>
      <c r="Q555" s="256" t="inlineStr">
        <is>
          <t>Purely Plant laboratory — iCoA covering Ident A + B</t>
        </is>
      </c>
      <c r="R555" s="256" t="inlineStr"/>
    </row>
    <row r="556">
      <c r="A556" s="256" t="inlineStr">
        <is>
          <t>CoQ-PP_26-025</t>
        </is>
      </c>
      <c r="B556" s="256" t="inlineStr">
        <is>
          <t>release</t>
        </is>
      </c>
      <c r="C556" s="256" t="inlineStr">
        <is>
          <t>BSS052501</t>
        </is>
      </c>
      <c r="D556" s="256" t="inlineStr">
        <is>
          <t>P050192</t>
        </is>
      </c>
      <c r="E556" s="256" t="inlineStr">
        <is>
          <t>Blue Sunset Sherbet</t>
        </is>
      </c>
      <c r="F556" s="256" t="inlineStr">
        <is>
          <t>06.06.2026</t>
        </is>
      </c>
      <c r="G556" s="256" t="inlineStr">
        <is>
          <t>3</t>
        </is>
      </c>
      <c r="H556" s="256" t="inlineStr">
        <is>
          <t>Identification C · HPLC/HPTLC</t>
        </is>
      </c>
      <c r="I556" s="256" t="inlineStr">
        <is>
          <t>Ph. Eur. 2.2.29 (3028)</t>
        </is>
      </c>
      <c r="J556" s="256" t="inlineStr">
        <is>
          <t>Conforms to the monograph for Cannabis flos (07/2024:3028) in Ph. Eur. 11.0 | Согласно монографија за Cannabis flos (07/2024:3028) во Ph. Eur. 11.0</t>
        </is>
      </c>
      <c r="K556" s="259" t="inlineStr">
        <is>
          <t>not tested</t>
        </is>
      </c>
      <c r="L556" s="256" t="inlineStr">
        <is>
          <t>—</t>
        </is>
      </c>
      <c r="M556" s="256" t="inlineStr">
        <is>
          <t>—</t>
        </is>
      </c>
      <c r="N556" s="256" t="inlineStr">
        <is>
          <t>—</t>
        </is>
      </c>
      <c r="O556" s="256" t="inlineStr">
        <is>
          <t>—</t>
        </is>
      </c>
      <c r="P556" s="256" t="inlineStr">
        <is>
          <t>not tested — no certificate covers it</t>
        </is>
      </c>
      <c r="Q556" s="256" t="inlineStr"/>
      <c r="R556" s="256" t="inlineStr">
        <is>
          <t>Conforms | Одговара (in-house record of 28.11.2025, no certificate)</t>
        </is>
      </c>
    </row>
    <row r="557">
      <c r="A557" s="256" t="inlineStr">
        <is>
          <t>CoQ-PP_26-025</t>
        </is>
      </c>
      <c r="B557" s="256" t="inlineStr">
        <is>
          <t>release</t>
        </is>
      </c>
      <c r="C557" s="256" t="inlineStr">
        <is>
          <t>BSS052501</t>
        </is>
      </c>
      <c r="D557" s="256" t="inlineStr">
        <is>
          <t>P050192</t>
        </is>
      </c>
      <c r="E557" s="256" t="inlineStr">
        <is>
          <t>Blue Sunset Sherbet</t>
        </is>
      </c>
      <c r="F557" s="256" t="inlineStr">
        <is>
          <t>06.06.2026</t>
        </is>
      </c>
      <c r="G557" s="256" t="inlineStr">
        <is>
          <t>4</t>
        </is>
      </c>
      <c r="H557" s="256" t="inlineStr">
        <is>
          <t>Assay — Total Δ⁹-THC</t>
        </is>
      </c>
      <c r="I557" s="256" t="inlineStr">
        <is>
          <t>Ph. Eur. 2.2.29 (HPLC)</t>
        </is>
      </c>
      <c r="J557" s="256" t="inlineStr">
        <is>
          <t>18.11 – 21.88 %  (grade III, nominal 20.00 ± 1.89)</t>
        </is>
      </c>
      <c r="K557" s="256" t="inlineStr">
        <is>
          <t>20.39</t>
        </is>
      </c>
      <c r="L557" s="256" t="inlineStr">
        <is>
          <t>iCoA-PP_26-024</t>
        </is>
      </c>
      <c r="M557" s="256" t="inlineStr">
        <is>
          <t>03.06.2026</t>
        </is>
      </c>
      <c r="N557" s="256" t="inlineStr">
        <is>
          <t>Purely Plant GmbH (in-house)</t>
        </is>
      </c>
      <c r="O557" s="256" t="inlineStr">
        <is>
          <t>—</t>
        </is>
      </c>
      <c r="P557" s="256" t="inlineStr">
        <is>
          <t>in-house CoA only — not an eCoA or an iCoA: a value no certificate of analysis certifies cannot be on a release certificate (owner's rule, 02.09.2026)</t>
        </is>
      </c>
      <c r="Q557" s="256" t="inlineStr"/>
      <c r="R557" s="256" t="inlineStr">
        <is>
          <t>20.52 (220-2-К/26)</t>
        </is>
      </c>
    </row>
    <row r="558">
      <c r="A558" s="256" t="inlineStr">
        <is>
          <t>CoQ-PP_26-025</t>
        </is>
      </c>
      <c r="B558" s="256" t="inlineStr">
        <is>
          <t>release</t>
        </is>
      </c>
      <c r="C558" s="256" t="inlineStr">
        <is>
          <t>BSS052501</t>
        </is>
      </c>
      <c r="D558" s="256" t="inlineStr">
        <is>
          <t>P050192</t>
        </is>
      </c>
      <c r="E558" s="256" t="inlineStr">
        <is>
          <t>Blue Sunset Sherbet</t>
        </is>
      </c>
      <c r="F558" s="256" t="inlineStr">
        <is>
          <t>06.06.2026</t>
        </is>
      </c>
      <c r="G558" s="256" t="inlineStr">
        <is>
          <t>5</t>
        </is>
      </c>
      <c r="H558" s="256" t="inlineStr">
        <is>
          <t>Assay — Total CBD</t>
        </is>
      </c>
      <c r="I558" s="256" t="inlineStr">
        <is>
          <t>Ph. Eur. 2.2.29 (HPLC) · CBD + CBDA x 0.877</t>
        </is>
      </c>
      <c r="J558" s="256" t="inlineStr">
        <is>
          <t>≤ 1.0%, w/w</t>
        </is>
      </c>
      <c r="K558" s="256" t="inlineStr">
        <is>
          <t>0.11</t>
        </is>
      </c>
      <c r="L558" s="256" t="inlineStr">
        <is>
          <t>iCoA-PP_26-024</t>
        </is>
      </c>
      <c r="M558" s="256" t="inlineStr">
        <is>
          <t>03.06.2026</t>
        </is>
      </c>
      <c r="N558" s="256" t="inlineStr">
        <is>
          <t>Purely Plant GmbH (in-house)</t>
        </is>
      </c>
      <c r="O558" s="256" t="inlineStr">
        <is>
          <t>—</t>
        </is>
      </c>
      <c r="P558" s="256" t="inlineStr">
        <is>
          <t>in-house CoA only — not an eCoA or an iCoA: a value no certificate of analysis certifies cannot be on a release certificate (owner's rule, 02.09.2026)</t>
        </is>
      </c>
      <c r="Q558" s="256" t="inlineStr"/>
      <c r="R558" s="256" t="inlineStr">
        <is>
          <t>&lt;LOQ (220-2-К/26)</t>
        </is>
      </c>
    </row>
    <row r="559">
      <c r="A559" s="256" t="inlineStr">
        <is>
          <t>CoQ-PP_26-025</t>
        </is>
      </c>
      <c r="B559" s="256" t="inlineStr">
        <is>
          <t>release</t>
        </is>
      </c>
      <c r="C559" s="256" t="inlineStr">
        <is>
          <t>BSS052501</t>
        </is>
      </c>
      <c r="D559" s="256" t="inlineStr">
        <is>
          <t>P050192</t>
        </is>
      </c>
      <c r="E559" s="256" t="inlineStr">
        <is>
          <t>Blue Sunset Sherbet</t>
        </is>
      </c>
      <c r="F559" s="256" t="inlineStr">
        <is>
          <t>06.06.2026</t>
        </is>
      </c>
      <c r="G559" s="256" t="inlineStr">
        <is>
          <t>6</t>
        </is>
      </c>
      <c r="H559" s="256" t="inlineStr">
        <is>
          <t>Total CBN</t>
        </is>
      </c>
      <c r="I559" s="256" t="inlineStr">
        <is>
          <t>Ph. Eur. 2.2.29 (HPLC) · CBN + CBNA x 0.876</t>
        </is>
      </c>
      <c r="J559" s="256" t="inlineStr">
        <is>
          <t>≤ 1.0%, w/w</t>
        </is>
      </c>
      <c r="K559" s="259" t="inlineStr">
        <is>
          <t>not tested</t>
        </is>
      </c>
      <c r="L559" s="256" t="inlineStr">
        <is>
          <t>—</t>
        </is>
      </c>
      <c r="M559" s="256" t="inlineStr">
        <is>
          <t>—</t>
        </is>
      </c>
      <c r="N559" s="256" t="inlineStr">
        <is>
          <t>—</t>
        </is>
      </c>
      <c r="O559" s="256" t="inlineStr">
        <is>
          <t>—</t>
        </is>
      </c>
      <c r="P559" s="256" t="inlineStr">
        <is>
          <t>not tested — no certificate covers it</t>
        </is>
      </c>
      <c r="Q559" s="256" t="inlineStr"/>
      <c r="R559" s="256" t="inlineStr">
        <is>
          <t>&lt;LOQ (220-2-К/26)</t>
        </is>
      </c>
    </row>
    <row r="560">
      <c r="A560" s="256" t="inlineStr">
        <is>
          <t>CoQ-PP_26-025</t>
        </is>
      </c>
      <c r="B560" s="256" t="inlineStr">
        <is>
          <t>release</t>
        </is>
      </c>
      <c r="C560" s="256" t="inlineStr">
        <is>
          <t>BSS052501</t>
        </is>
      </c>
      <c r="D560" s="256" t="inlineStr">
        <is>
          <t>P050192</t>
        </is>
      </c>
      <c r="E560" s="256" t="inlineStr">
        <is>
          <t>Blue Sunset Sherbet</t>
        </is>
      </c>
      <c r="F560" s="256" t="inlineStr">
        <is>
          <t>06.06.2026</t>
        </is>
      </c>
      <c r="G560" s="256" t="inlineStr">
        <is>
          <t>7</t>
        </is>
      </c>
      <c r="H560" s="256" t="inlineStr">
        <is>
          <t>Foreign Matter</t>
        </is>
      </c>
      <c r="I560" s="256" t="inlineStr">
        <is>
          <t>Ph. Eur. 2.8.2 · In-house · интерна</t>
        </is>
      </c>
      <c r="J560" s="256" t="inlineStr">
        <is>
          <t>≤ 2.0% / 25–50 g · &lt; 1 cm leaves | листови, no seeds | без семки</t>
        </is>
      </c>
      <c r="K560" s="256" t="inlineStr">
        <is>
          <t>Conforms | Одговара</t>
        </is>
      </c>
      <c r="L560" s="256" t="inlineStr">
        <is>
          <t>iCoA-PP_26-024</t>
        </is>
      </c>
      <c r="M560" s="256" t="inlineStr">
        <is>
          <t>03.06.2026</t>
        </is>
      </c>
      <c r="N560" s="256" t="inlineStr">
        <is>
          <t>Purely Plant GmbH (in-house)</t>
        </is>
      </c>
      <c r="O560" s="256" t="inlineStr">
        <is>
          <t>—</t>
        </is>
      </c>
      <c r="P560" s="256" t="inlineStr">
        <is>
          <t>to be performed — see route</t>
        </is>
      </c>
      <c r="Q560" s="256" t="inlineStr">
        <is>
          <t>Purely Plant laboratory — iCoA covering Foreign matter</t>
        </is>
      </c>
      <c r="R560" s="256" t="inlineStr"/>
    </row>
    <row r="561">
      <c r="A561" s="256" t="inlineStr">
        <is>
          <t>CoQ-PP_26-025</t>
        </is>
      </c>
      <c r="B561" s="256" t="inlineStr">
        <is>
          <t>release</t>
        </is>
      </c>
      <c r="C561" s="256" t="inlineStr">
        <is>
          <t>BSS052501</t>
        </is>
      </c>
      <c r="D561" s="256" t="inlineStr">
        <is>
          <t>P050192</t>
        </is>
      </c>
      <c r="E561" s="256" t="inlineStr">
        <is>
          <t>Blue Sunset Sherbet</t>
        </is>
      </c>
      <c r="F561" s="256" t="inlineStr">
        <is>
          <t>06.06.2026</t>
        </is>
      </c>
      <c r="G561" s="256" t="inlineStr">
        <is>
          <t>8</t>
        </is>
      </c>
      <c r="H561" s="256" t="inlineStr">
        <is>
          <t>Loss on Drying</t>
        </is>
      </c>
      <c r="I561" s="256" t="inlineStr">
        <is>
          <t>Ph. Eur. 2.2.32 (3028) · at 40 °C, 24 h, 15–25 mbar</t>
        </is>
      </c>
      <c r="J561" s="256" t="inlineStr">
        <is>
          <t>≤ 12.0%</t>
        </is>
      </c>
      <c r="K561" s="256" t="inlineStr">
        <is>
          <t>8.60</t>
        </is>
      </c>
      <c r="L561" s="256" t="inlineStr">
        <is>
          <t>iCoA-PP_26-024</t>
        </is>
      </c>
      <c r="M561" s="256" t="inlineStr">
        <is>
          <t>03.06.2026</t>
        </is>
      </c>
      <c r="N561" s="256" t="inlineStr">
        <is>
          <t>Purely Plant GmbH (in-house)</t>
        </is>
      </c>
      <c r="O561" s="256" t="inlineStr">
        <is>
          <t>—</t>
        </is>
      </c>
      <c r="P561" s="256" t="inlineStr">
        <is>
          <t>in-house CoA only — not an eCoA or an iCoA: a value no certificate of analysis certifies cannot be on a release certificate (owner's rule, 02.09.2026)</t>
        </is>
      </c>
      <c r="Q561" s="256" t="inlineStr"/>
      <c r="R561" s="256" t="inlineStr"/>
    </row>
    <row r="562">
      <c r="A562" s="256" t="inlineStr">
        <is>
          <t>CoQ-PP_26-025</t>
        </is>
      </c>
      <c r="B562" s="256" t="inlineStr">
        <is>
          <t>release</t>
        </is>
      </c>
      <c r="C562" s="256" t="inlineStr">
        <is>
          <t>BSS052501</t>
        </is>
      </c>
      <c r="D562" s="256" t="inlineStr">
        <is>
          <t>P050192</t>
        </is>
      </c>
      <c r="E562" s="256" t="inlineStr">
        <is>
          <t>Blue Sunset Sherbet</t>
        </is>
      </c>
      <c r="F562" s="256" t="inlineStr">
        <is>
          <t>06.06.2026</t>
        </is>
      </c>
      <c r="G562" s="256" t="inlineStr">
        <is>
          <t>9.1</t>
        </is>
      </c>
      <c r="H562" s="256" t="inlineStr">
        <is>
          <t>TAMC</t>
        </is>
      </c>
      <c r="I562" s="256" t="inlineStr">
        <is>
          <t>Ph. Eur. 2.6.12 cat. C</t>
        </is>
      </c>
      <c r="J562" s="256" t="inlineStr">
        <is>
          <t>≤ 10⁵ CFU/g</t>
        </is>
      </c>
      <c r="K562" s="256" t="inlineStr">
        <is>
          <t>200</t>
        </is>
      </c>
      <c r="L562" s="256" t="inlineStr">
        <is>
          <t>1157/2058/25</t>
        </is>
      </c>
      <c r="M562" s="256" t="inlineStr">
        <is>
          <t>24.11.2025</t>
        </is>
      </c>
      <c r="N562" s="256" t="inlineStr">
        <is>
          <t>IPH — Institute of Public Health</t>
        </is>
      </c>
      <c r="O562" s="256" t="inlineStr">
        <is>
          <t>17.11.2025</t>
        </is>
      </c>
      <c r="P562" s="256" t="inlineStr">
        <is>
          <t>covered</t>
        </is>
      </c>
      <c r="Q562" s="256" t="inlineStr"/>
      <c r="R562" s="256" t="inlineStr"/>
    </row>
    <row r="563">
      <c r="A563" s="256" t="inlineStr">
        <is>
          <t>CoQ-PP_26-025</t>
        </is>
      </c>
      <c r="B563" s="256" t="inlineStr">
        <is>
          <t>release</t>
        </is>
      </c>
      <c r="C563" s="256" t="inlineStr">
        <is>
          <t>BSS052501</t>
        </is>
      </c>
      <c r="D563" s="256" t="inlineStr">
        <is>
          <t>P050192</t>
        </is>
      </c>
      <c r="E563" s="256" t="inlineStr">
        <is>
          <t>Blue Sunset Sherbet</t>
        </is>
      </c>
      <c r="F563" s="256" t="inlineStr">
        <is>
          <t>06.06.2026</t>
        </is>
      </c>
      <c r="G563" s="256" t="inlineStr">
        <is>
          <t>9.2</t>
        </is>
      </c>
      <c r="H563" s="256" t="inlineStr">
        <is>
          <t>TYMC</t>
        </is>
      </c>
      <c r="I563" s="256" t="inlineStr">
        <is>
          <t>Ph. Eur. 2.6.12 cat. C</t>
        </is>
      </c>
      <c r="J563" s="256" t="inlineStr">
        <is>
          <t>≤ 10⁴ CFU/g</t>
        </is>
      </c>
      <c r="K563" s="256" t="inlineStr">
        <is>
          <t>200</t>
        </is>
      </c>
      <c r="L563" s="256" t="inlineStr">
        <is>
          <t>1157/2058/25</t>
        </is>
      </c>
      <c r="M563" s="256" t="inlineStr">
        <is>
          <t>24.11.2025</t>
        </is>
      </c>
      <c r="N563" s="256" t="inlineStr">
        <is>
          <t>IPH — Institute of Public Health</t>
        </is>
      </c>
      <c r="O563" s="256" t="inlineStr">
        <is>
          <t>17.11.2025</t>
        </is>
      </c>
      <c r="P563" s="256" t="inlineStr">
        <is>
          <t>covered</t>
        </is>
      </c>
      <c r="Q563" s="256" t="inlineStr"/>
      <c r="R563" s="256" t="inlineStr"/>
    </row>
    <row r="564">
      <c r="A564" s="256" t="inlineStr">
        <is>
          <t>CoQ-PP_26-025</t>
        </is>
      </c>
      <c r="B564" s="256" t="inlineStr">
        <is>
          <t>release</t>
        </is>
      </c>
      <c r="C564" s="256" t="inlineStr">
        <is>
          <t>BSS052501</t>
        </is>
      </c>
      <c r="D564" s="256" t="inlineStr">
        <is>
          <t>P050192</t>
        </is>
      </c>
      <c r="E564" s="256" t="inlineStr">
        <is>
          <t>Blue Sunset Sherbet</t>
        </is>
      </c>
      <c r="F564" s="256" t="inlineStr">
        <is>
          <t>06.06.2026</t>
        </is>
      </c>
      <c r="G564" s="256" t="inlineStr">
        <is>
          <t>9.3</t>
        </is>
      </c>
      <c r="H564" s="256" t="inlineStr">
        <is>
          <t>Bile-tolerant gram-neg.</t>
        </is>
      </c>
      <c r="I564" s="256" t="inlineStr">
        <is>
          <t>Ph. Eur. 2.6.31 cat. C</t>
        </is>
      </c>
      <c r="J564" s="256" t="inlineStr">
        <is>
          <t>≤ 10⁴ CFU/g</t>
        </is>
      </c>
      <c r="K564" s="256" t="inlineStr">
        <is>
          <t>&lt; 10² and &gt; 10</t>
        </is>
      </c>
      <c r="L564" s="256" t="inlineStr">
        <is>
          <t>1157/2058/25</t>
        </is>
      </c>
      <c r="M564" s="256" t="inlineStr">
        <is>
          <t>24.11.2025</t>
        </is>
      </c>
      <c r="N564" s="256" t="inlineStr">
        <is>
          <t>IPH — Institute of Public Health</t>
        </is>
      </c>
      <c r="O564" s="256" t="inlineStr">
        <is>
          <t>17.11.2025</t>
        </is>
      </c>
      <c r="P564" s="256" t="inlineStr">
        <is>
          <t>covered</t>
        </is>
      </c>
      <c r="Q564" s="256" t="inlineStr"/>
      <c r="R564" s="256" t="inlineStr"/>
    </row>
    <row r="565">
      <c r="A565" s="256" t="inlineStr">
        <is>
          <t>CoQ-PP_26-025</t>
        </is>
      </c>
      <c r="B565" s="256" t="inlineStr">
        <is>
          <t>release</t>
        </is>
      </c>
      <c r="C565" s="256" t="inlineStr">
        <is>
          <t>BSS052501</t>
        </is>
      </c>
      <c r="D565" s="256" t="inlineStr">
        <is>
          <t>P050192</t>
        </is>
      </c>
      <c r="E565" s="256" t="inlineStr">
        <is>
          <t>Blue Sunset Sherbet</t>
        </is>
      </c>
      <c r="F565" s="256" t="inlineStr">
        <is>
          <t>06.06.2026</t>
        </is>
      </c>
      <c r="G565" s="256" t="inlineStr">
        <is>
          <t>9.4</t>
        </is>
      </c>
      <c r="H565" s="256" t="inlineStr">
        <is>
          <t>Salmonella</t>
        </is>
      </c>
      <c r="I565" s="256" t="inlineStr">
        <is>
          <t>Ph. Eur. 2.6.31 cat. C</t>
        </is>
      </c>
      <c r="J565" s="256" t="inlineStr">
        <is>
          <t>Absence | Отсуство / 25 g</t>
        </is>
      </c>
      <c r="K565" s="256" t="inlineStr">
        <is>
          <t>Absent | Отсутна</t>
        </is>
      </c>
      <c r="L565" s="256" t="inlineStr">
        <is>
          <t>1157/2058/25</t>
        </is>
      </c>
      <c r="M565" s="256" t="inlineStr">
        <is>
          <t>24.11.2025</t>
        </is>
      </c>
      <c r="N565" s="256" t="inlineStr">
        <is>
          <t>IPH — Institute of Public Health</t>
        </is>
      </c>
      <c r="O565" s="256" t="inlineStr">
        <is>
          <t>17.11.2025</t>
        </is>
      </c>
      <c r="P565" s="256" t="inlineStr">
        <is>
          <t>covered</t>
        </is>
      </c>
      <c r="Q565" s="256" t="inlineStr"/>
      <c r="R565" s="256" t="inlineStr"/>
    </row>
    <row r="566">
      <c r="A566" s="256" t="inlineStr">
        <is>
          <t>CoQ-PP_26-025</t>
        </is>
      </c>
      <c r="B566" s="256" t="inlineStr">
        <is>
          <t>release</t>
        </is>
      </c>
      <c r="C566" s="256" t="inlineStr">
        <is>
          <t>BSS052501</t>
        </is>
      </c>
      <c r="D566" s="256" t="inlineStr">
        <is>
          <t>P050192</t>
        </is>
      </c>
      <c r="E566" s="256" t="inlineStr">
        <is>
          <t>Blue Sunset Sherbet</t>
        </is>
      </c>
      <c r="F566" s="256" t="inlineStr">
        <is>
          <t>06.06.2026</t>
        </is>
      </c>
      <c r="G566" s="256" t="inlineStr">
        <is>
          <t>9.5</t>
        </is>
      </c>
      <c r="H566" s="256" t="inlineStr">
        <is>
          <t>Escherichia coli</t>
        </is>
      </c>
      <c r="I566" s="256" t="inlineStr">
        <is>
          <t>Ph. Eur. 2.6.13 cat. C</t>
        </is>
      </c>
      <c r="J566" s="256" t="inlineStr">
        <is>
          <t>Absence | Отсуство / 1 g</t>
        </is>
      </c>
      <c r="K566" s="256" t="inlineStr">
        <is>
          <t>Absent | Отсутна</t>
        </is>
      </c>
      <c r="L566" s="256" t="inlineStr">
        <is>
          <t>1157/2058/25</t>
        </is>
      </c>
      <c r="M566" s="256" t="inlineStr">
        <is>
          <t>24.11.2025</t>
        </is>
      </c>
      <c r="N566" s="256" t="inlineStr">
        <is>
          <t>IPH — Institute of Public Health</t>
        </is>
      </c>
      <c r="O566" s="256" t="inlineStr">
        <is>
          <t>17.11.2025</t>
        </is>
      </c>
      <c r="P566" s="256" t="inlineStr">
        <is>
          <t>covered</t>
        </is>
      </c>
      <c r="Q566" s="256" t="inlineStr"/>
      <c r="R566" s="256" t="inlineStr"/>
    </row>
    <row r="567">
      <c r="A567" s="256" t="inlineStr">
        <is>
          <t>CoQ-PP_26-025</t>
        </is>
      </c>
      <c r="B567" s="256" t="inlineStr">
        <is>
          <t>release</t>
        </is>
      </c>
      <c r="C567" s="256" t="inlineStr">
        <is>
          <t>BSS052501</t>
        </is>
      </c>
      <c r="D567" s="256" t="inlineStr">
        <is>
          <t>P050192</t>
        </is>
      </c>
      <c r="E567" s="256" t="inlineStr">
        <is>
          <t>Blue Sunset Sherbet</t>
        </is>
      </c>
      <c r="F567" s="256" t="inlineStr">
        <is>
          <t>06.06.2026</t>
        </is>
      </c>
      <c r="G567" s="256" t="inlineStr">
        <is>
          <t>9.6</t>
        </is>
      </c>
      <c r="H567" s="256" t="inlineStr">
        <is>
          <t>Pseudomonas aeruginosa</t>
        </is>
      </c>
      <c r="I567" s="256" t="inlineStr">
        <is>
          <t>Ph. Eur. 2.6.13 cat. C</t>
        </is>
      </c>
      <c r="J567" s="256" t="inlineStr">
        <is>
          <t>Absence | Отсуство / 1 g</t>
        </is>
      </c>
      <c r="K567" s="260" t="inlineStr">
        <is>
          <t>upon request — not required for release</t>
        </is>
      </c>
      <c r="L567" s="256" t="inlineStr">
        <is>
          <t>—</t>
        </is>
      </c>
      <c r="M567" s="256" t="inlineStr">
        <is>
          <t>—</t>
        </is>
      </c>
      <c r="N567" s="256" t="inlineStr">
        <is>
          <t>—</t>
        </is>
      </c>
      <c r="O567" s="256" t="inlineStr">
        <is>
          <t>—</t>
        </is>
      </c>
      <c r="P567" s="256" t="inlineStr">
        <is>
          <t>upon request — not required for release</t>
        </is>
      </c>
      <c r="Q567" s="256" t="inlineStr"/>
      <c r="R567" s="256" t="inlineStr"/>
    </row>
    <row r="568">
      <c r="A568" s="256" t="inlineStr">
        <is>
          <t>CoQ-PP_26-025</t>
        </is>
      </c>
      <c r="B568" s="256" t="inlineStr">
        <is>
          <t>release</t>
        </is>
      </c>
      <c r="C568" s="256" t="inlineStr">
        <is>
          <t>BSS052501</t>
        </is>
      </c>
      <c r="D568" s="256" t="inlineStr">
        <is>
          <t>P050192</t>
        </is>
      </c>
      <c r="E568" s="256" t="inlineStr">
        <is>
          <t>Blue Sunset Sherbet</t>
        </is>
      </c>
      <c r="F568" s="256" t="inlineStr">
        <is>
          <t>06.06.2026</t>
        </is>
      </c>
      <c r="G568" s="256" t="inlineStr">
        <is>
          <t>9.7</t>
        </is>
      </c>
      <c r="H568" s="256" t="inlineStr">
        <is>
          <t>Staphylococcus aureus</t>
        </is>
      </c>
      <c r="I568" s="256" t="inlineStr">
        <is>
          <t>Ph. Eur. 2.6.13 cat. C</t>
        </is>
      </c>
      <c r="J568" s="256" t="inlineStr">
        <is>
          <t>Absence | Отсуство / 1 g</t>
        </is>
      </c>
      <c r="K568" s="260" t="inlineStr">
        <is>
          <t>upon request — not required for release</t>
        </is>
      </c>
      <c r="L568" s="256" t="inlineStr">
        <is>
          <t>—</t>
        </is>
      </c>
      <c r="M568" s="256" t="inlineStr">
        <is>
          <t>—</t>
        </is>
      </c>
      <c r="N568" s="256" t="inlineStr">
        <is>
          <t>—</t>
        </is>
      </c>
      <c r="O568" s="256" t="inlineStr">
        <is>
          <t>—</t>
        </is>
      </c>
      <c r="P568" s="256" t="inlineStr">
        <is>
          <t>upon request — not required for release</t>
        </is>
      </c>
      <c r="Q568" s="256" t="inlineStr"/>
      <c r="R568" s="256" t="inlineStr"/>
    </row>
    <row r="569">
      <c r="A569" s="256" t="inlineStr">
        <is>
          <t>CoQ-PP_26-025</t>
        </is>
      </c>
      <c r="B569" s="256" t="inlineStr">
        <is>
          <t>release</t>
        </is>
      </c>
      <c r="C569" s="256" t="inlineStr">
        <is>
          <t>BSS052501</t>
        </is>
      </c>
      <c r="D569" s="256" t="inlineStr">
        <is>
          <t>P050192</t>
        </is>
      </c>
      <c r="E569" s="256" t="inlineStr">
        <is>
          <t>Blue Sunset Sherbet</t>
        </is>
      </c>
      <c r="F569" s="256" t="inlineStr">
        <is>
          <t>06.06.2026</t>
        </is>
      </c>
      <c r="G569" s="256" t="inlineStr">
        <is>
          <t>10.1</t>
        </is>
      </c>
      <c r="H569" s="256" t="inlineStr">
        <is>
          <t>Aflatoxin B₁</t>
        </is>
      </c>
      <c r="I569" s="256" t="inlineStr">
        <is>
          <t>Ph. Eur. 2.8.18 (HPLC-FLD)</t>
        </is>
      </c>
      <c r="J569" s="256" t="inlineStr">
        <is>
          <t>≤ 2 µg/kg</t>
        </is>
      </c>
      <c r="K569" s="256" t="inlineStr">
        <is>
          <t>ND</t>
        </is>
      </c>
      <c r="L569" s="256" t="inlineStr">
        <is>
          <t>276-31-М/25</t>
        </is>
      </c>
      <c r="M569" s="256" t="inlineStr">
        <is>
          <t>04.12.2025</t>
        </is>
      </c>
      <c r="N569" s="256" t="inlineStr">
        <is>
          <t>Farmahem</t>
        </is>
      </c>
      <c r="O569" s="256" t="inlineStr">
        <is>
          <t>14.11.2025</t>
        </is>
      </c>
      <c r="P569" s="256" t="inlineStr">
        <is>
          <t>covered</t>
        </is>
      </c>
      <c r="Q569" s="256" t="inlineStr"/>
      <c r="R569" s="256" t="inlineStr">
        <is>
          <t>ND (220-2-М/26)</t>
        </is>
      </c>
    </row>
    <row r="570">
      <c r="A570" s="256" t="inlineStr">
        <is>
          <t>CoQ-PP_26-025</t>
        </is>
      </c>
      <c r="B570" s="256" t="inlineStr">
        <is>
          <t>release</t>
        </is>
      </c>
      <c r="C570" s="256" t="inlineStr">
        <is>
          <t>BSS052501</t>
        </is>
      </c>
      <c r="D570" s="256" t="inlineStr">
        <is>
          <t>P050192</t>
        </is>
      </c>
      <c r="E570" s="256" t="inlineStr">
        <is>
          <t>Blue Sunset Sherbet</t>
        </is>
      </c>
      <c r="F570" s="256" t="inlineStr">
        <is>
          <t>06.06.2026</t>
        </is>
      </c>
      <c r="G570" s="256" t="inlineStr">
        <is>
          <t>10.2</t>
        </is>
      </c>
      <c r="H570" s="256" t="inlineStr">
        <is>
          <t>Aflatoxins ∑</t>
        </is>
      </c>
      <c r="I570" s="256" t="inlineStr">
        <is>
          <t>Ph. Eur. 2.8.18 (HPLC-FLD)</t>
        </is>
      </c>
      <c r="J570" s="256" t="inlineStr">
        <is>
          <t>≤ 4 µg/kg</t>
        </is>
      </c>
      <c r="K570" s="259" t="inlineStr">
        <is>
          <t>not tested</t>
        </is>
      </c>
      <c r="L570" s="256" t="inlineStr">
        <is>
          <t>—</t>
        </is>
      </c>
      <c r="M570" s="256" t="inlineStr">
        <is>
          <t>—</t>
        </is>
      </c>
      <c r="N570" s="256" t="inlineStr">
        <is>
          <t>—</t>
        </is>
      </c>
      <c r="O570" s="256" t="inlineStr">
        <is>
          <t>—</t>
        </is>
      </c>
      <c r="P570" s="256" t="inlineStr">
        <is>
          <t>not tested — no certificate covers it</t>
        </is>
      </c>
      <c r="Q570" s="256" t="inlineStr"/>
      <c r="R570" s="256" t="inlineStr">
        <is>
          <t>ND (220-2-М/26)</t>
        </is>
      </c>
    </row>
    <row r="571">
      <c r="A571" s="256" t="inlineStr">
        <is>
          <t>CoQ-PP_26-025</t>
        </is>
      </c>
      <c r="B571" s="256" t="inlineStr">
        <is>
          <t>release</t>
        </is>
      </c>
      <c r="C571" s="256" t="inlineStr">
        <is>
          <t>BSS052501</t>
        </is>
      </c>
      <c r="D571" s="256" t="inlineStr">
        <is>
          <t>P050192</t>
        </is>
      </c>
      <c r="E571" s="256" t="inlineStr">
        <is>
          <t>Blue Sunset Sherbet</t>
        </is>
      </c>
      <c r="F571" s="256" t="inlineStr">
        <is>
          <t>06.06.2026</t>
        </is>
      </c>
      <c r="G571" s="256" t="inlineStr">
        <is>
          <t>10.3</t>
        </is>
      </c>
      <c r="H571" s="256" t="inlineStr">
        <is>
          <t>Ochratoxin A</t>
        </is>
      </c>
      <c r="I571" s="256" t="inlineStr">
        <is>
          <t>Ph. Eur. 2.8.22 (HPLC-FLD)</t>
        </is>
      </c>
      <c r="J571" s="256" t="inlineStr">
        <is>
          <t>≤ 20 µg/kg</t>
        </is>
      </c>
      <c r="K571" s="256" t="inlineStr">
        <is>
          <t>&lt; LOQ</t>
        </is>
      </c>
      <c r="L571" s="256" t="inlineStr">
        <is>
          <t>276-31-М/25</t>
        </is>
      </c>
      <c r="M571" s="256" t="inlineStr">
        <is>
          <t>04.12.2025</t>
        </is>
      </c>
      <c r="N571" s="256" t="inlineStr">
        <is>
          <t>Farmahem</t>
        </is>
      </c>
      <c r="O571" s="256" t="inlineStr">
        <is>
          <t>14.11.2025</t>
        </is>
      </c>
      <c r="P571" s="256" t="inlineStr">
        <is>
          <t>covered</t>
        </is>
      </c>
      <c r="Q571" s="256" t="inlineStr"/>
      <c r="R571" s="256" t="inlineStr">
        <is>
          <t>ND (220-2-М/26)</t>
        </is>
      </c>
    </row>
    <row r="572">
      <c r="A572" s="256" t="inlineStr">
        <is>
          <t>CoQ-PP_26-025</t>
        </is>
      </c>
      <c r="B572" s="256" t="inlineStr">
        <is>
          <t>release</t>
        </is>
      </c>
      <c r="C572" s="256" t="inlineStr">
        <is>
          <t>BSS052501</t>
        </is>
      </c>
      <c r="D572" s="256" t="inlineStr">
        <is>
          <t>P050192</t>
        </is>
      </c>
      <c r="E572" s="256" t="inlineStr">
        <is>
          <t>Blue Sunset Sherbet</t>
        </is>
      </c>
      <c r="F572" s="256" t="inlineStr">
        <is>
          <t>06.06.2026</t>
        </is>
      </c>
      <c r="G572" s="256" t="inlineStr">
        <is>
          <t>11.1</t>
        </is>
      </c>
      <c r="H572" s="256" t="inlineStr">
        <is>
          <t>Lead (Pb)</t>
        </is>
      </c>
      <c r="I572" s="256" t="inlineStr">
        <is>
          <t>Ph. Eur. 2.4.27 (ICP-MS)</t>
        </is>
      </c>
      <c r="J572" s="256" t="inlineStr">
        <is>
          <t>≤ 0.5 mg/kg</t>
        </is>
      </c>
      <c r="K572" s="256" t="inlineStr">
        <is>
          <t>0.024</t>
        </is>
      </c>
      <c r="L572" s="256" t="inlineStr">
        <is>
          <t>5661/2025</t>
        </is>
      </c>
      <c r="M572" s="256" t="inlineStr">
        <is>
          <t>01.12.2025</t>
        </is>
      </c>
      <c r="N572" s="256" t="inlineStr">
        <is>
          <t>IPH — Institute of Public Health</t>
        </is>
      </c>
      <c r="O572" s="256" t="inlineStr">
        <is>
          <t>21.11.2025</t>
        </is>
      </c>
      <c r="P572" s="256" t="inlineStr">
        <is>
          <t>covered</t>
        </is>
      </c>
      <c r="Q572" s="256" t="inlineStr"/>
      <c r="R572" s="256" t="inlineStr"/>
    </row>
    <row r="573">
      <c r="A573" s="256" t="inlineStr">
        <is>
          <t>CoQ-PP_26-025</t>
        </is>
      </c>
      <c r="B573" s="256" t="inlineStr">
        <is>
          <t>release</t>
        </is>
      </c>
      <c r="C573" s="256" t="inlineStr">
        <is>
          <t>BSS052501</t>
        </is>
      </c>
      <c r="D573" s="256" t="inlineStr">
        <is>
          <t>P050192</t>
        </is>
      </c>
      <c r="E573" s="256" t="inlineStr">
        <is>
          <t>Blue Sunset Sherbet</t>
        </is>
      </c>
      <c r="F573" s="256" t="inlineStr">
        <is>
          <t>06.06.2026</t>
        </is>
      </c>
      <c r="G573" s="256" t="inlineStr">
        <is>
          <t>11.2</t>
        </is>
      </c>
      <c r="H573" s="256" t="inlineStr">
        <is>
          <t>Cadmium (Cd)</t>
        </is>
      </c>
      <c r="I573" s="256" t="inlineStr">
        <is>
          <t>Ph. Eur. 2.4.27 (ICP-MS)</t>
        </is>
      </c>
      <c r="J573" s="256" t="inlineStr">
        <is>
          <t>≤ 0.3 mg/kg</t>
        </is>
      </c>
      <c r="K573" s="256" t="inlineStr">
        <is>
          <t>0.004</t>
        </is>
      </c>
      <c r="L573" s="256" t="inlineStr">
        <is>
          <t>5661/2025</t>
        </is>
      </c>
      <c r="M573" s="256" t="inlineStr">
        <is>
          <t>01.12.2025</t>
        </is>
      </c>
      <c r="N573" s="256" t="inlineStr">
        <is>
          <t>IPH — Institute of Public Health</t>
        </is>
      </c>
      <c r="O573" s="256" t="inlineStr">
        <is>
          <t>21.11.2025</t>
        </is>
      </c>
      <c r="P573" s="256" t="inlineStr">
        <is>
          <t>covered</t>
        </is>
      </c>
      <c r="Q573" s="256" t="inlineStr"/>
      <c r="R573" s="256" t="inlineStr"/>
    </row>
    <row r="574">
      <c r="A574" s="256" t="inlineStr">
        <is>
          <t>CoQ-PP_26-025</t>
        </is>
      </c>
      <c r="B574" s="256" t="inlineStr">
        <is>
          <t>release</t>
        </is>
      </c>
      <c r="C574" s="256" t="inlineStr">
        <is>
          <t>BSS052501</t>
        </is>
      </c>
      <c r="D574" s="256" t="inlineStr">
        <is>
          <t>P050192</t>
        </is>
      </c>
      <c r="E574" s="256" t="inlineStr">
        <is>
          <t>Blue Sunset Sherbet</t>
        </is>
      </c>
      <c r="F574" s="256" t="inlineStr">
        <is>
          <t>06.06.2026</t>
        </is>
      </c>
      <c r="G574" s="256" t="inlineStr">
        <is>
          <t>11.3</t>
        </is>
      </c>
      <c r="H574" s="256" t="inlineStr">
        <is>
          <t>Arsenic (As)</t>
        </is>
      </c>
      <c r="I574" s="256" t="inlineStr">
        <is>
          <t>Ph. Eur. 2.4.27 (ICP-MS)</t>
        </is>
      </c>
      <c r="J574" s="256" t="inlineStr">
        <is>
          <t>≤ 0.2 mg/kg</t>
        </is>
      </c>
      <c r="K574" s="256" t="inlineStr">
        <is>
          <t>0.025</t>
        </is>
      </c>
      <c r="L574" s="256" t="inlineStr">
        <is>
          <t>5661/2025</t>
        </is>
      </c>
      <c r="M574" s="256" t="inlineStr">
        <is>
          <t>01.12.2025</t>
        </is>
      </c>
      <c r="N574" s="256" t="inlineStr">
        <is>
          <t>IPH — Institute of Public Health</t>
        </is>
      </c>
      <c r="O574" s="256" t="inlineStr">
        <is>
          <t>21.11.2025</t>
        </is>
      </c>
      <c r="P574" s="256" t="inlineStr">
        <is>
          <t>covered</t>
        </is>
      </c>
      <c r="Q574" s="256" t="inlineStr"/>
      <c r="R574" s="256" t="inlineStr"/>
    </row>
    <row r="575">
      <c r="A575" s="256" t="inlineStr">
        <is>
          <t>CoQ-PP_26-025</t>
        </is>
      </c>
      <c r="B575" s="256" t="inlineStr">
        <is>
          <t>release</t>
        </is>
      </c>
      <c r="C575" s="256" t="inlineStr">
        <is>
          <t>BSS052501</t>
        </is>
      </c>
      <c r="D575" s="256" t="inlineStr">
        <is>
          <t>P050192</t>
        </is>
      </c>
      <c r="E575" s="256" t="inlineStr">
        <is>
          <t>Blue Sunset Sherbet</t>
        </is>
      </c>
      <c r="F575" s="256" t="inlineStr">
        <is>
          <t>06.06.2026</t>
        </is>
      </c>
      <c r="G575" s="256" t="inlineStr">
        <is>
          <t>11.4</t>
        </is>
      </c>
      <c r="H575" s="256" t="inlineStr">
        <is>
          <t>Mercury (Hg)</t>
        </is>
      </c>
      <c r="I575" s="256" t="inlineStr">
        <is>
          <t>Ph. Eur. 2.4.27 (ICP-MS)</t>
        </is>
      </c>
      <c r="J575" s="256" t="inlineStr">
        <is>
          <t>≤ 0.1 mg/kg</t>
        </is>
      </c>
      <c r="K575" s="256" t="inlineStr">
        <is>
          <t>0.0036</t>
        </is>
      </c>
      <c r="L575" s="256" t="inlineStr">
        <is>
          <t>5661/2025</t>
        </is>
      </c>
      <c r="M575" s="256" t="inlineStr">
        <is>
          <t>01.12.2025</t>
        </is>
      </c>
      <c r="N575" s="256" t="inlineStr">
        <is>
          <t>IPH — Institute of Public Health</t>
        </is>
      </c>
      <c r="O575" s="256" t="inlineStr">
        <is>
          <t>21.11.2025</t>
        </is>
      </c>
      <c r="P575" s="256" t="inlineStr">
        <is>
          <t>covered</t>
        </is>
      </c>
      <c r="Q575" s="256" t="inlineStr"/>
      <c r="R575" s="256" t="inlineStr"/>
    </row>
    <row r="576">
      <c r="A576" s="256" t="inlineStr">
        <is>
          <t>CoQ-PP_26-025</t>
        </is>
      </c>
      <c r="B576" s="256" t="inlineStr">
        <is>
          <t>release</t>
        </is>
      </c>
      <c r="C576" s="256" t="inlineStr">
        <is>
          <t>BSS052501</t>
        </is>
      </c>
      <c r="D576" s="256" t="inlineStr">
        <is>
          <t>P050192</t>
        </is>
      </c>
      <c r="E576" s="256" t="inlineStr">
        <is>
          <t>Blue Sunset Sherbet</t>
        </is>
      </c>
      <c r="F576" s="256" t="inlineStr">
        <is>
          <t>06.06.2026</t>
        </is>
      </c>
      <c r="G576" s="256" t="inlineStr">
        <is>
          <t>12</t>
        </is>
      </c>
      <c r="H576" s="256" t="inlineStr">
        <is>
          <t>Pesticide Residues</t>
        </is>
      </c>
      <c r="I576" s="256" t="inlineStr">
        <is>
          <t>Ph. Eur. 2.8.13 (LC-MS/MS) · CUMCS Equivalency</t>
        </is>
      </c>
      <c r="J576" s="256" t="inlineStr">
        <is>
          <t>≤ LOQ as per Ph. Eur. 2.8.13 · ≤ LOQ as per CUMCS Equivalency</t>
        </is>
      </c>
      <c r="K576" s="256" t="inlineStr">
        <is>
          <t>Not found any pesticide above LOQ (≤LOQ) — COMPLIES with Ph. Eur.</t>
        </is>
      </c>
      <c r="L576" s="256" t="inlineStr">
        <is>
          <t>10802_2845/2</t>
        </is>
      </c>
      <c r="M576" s="256" t="inlineStr">
        <is>
          <t>17.11.2025</t>
        </is>
      </c>
      <c r="N576" s="256" t="inlineStr">
        <is>
          <t>State Phytosanitary Laboratory</t>
        </is>
      </c>
      <c r="O576" s="256" t="inlineStr">
        <is>
          <t>—</t>
        </is>
      </c>
      <c r="P576" s="256" t="inlineStr">
        <is>
          <t>covered</t>
        </is>
      </c>
      <c r="Q576" s="256" t="inlineStr"/>
      <c r="R576" s="256" t="inlineStr"/>
    </row>
    <row r="577">
      <c r="A577" s="256" t="inlineStr">
        <is>
          <t>CoQ-PP_26-026</t>
        </is>
      </c>
      <c r="B577" s="256" t="inlineStr">
        <is>
          <t>release</t>
        </is>
      </c>
      <c r="C577" s="256" t="inlineStr">
        <is>
          <t>GP062501</t>
        </is>
      </c>
      <c r="D577" s="256" t="inlineStr">
        <is>
          <t>P050202</t>
        </is>
      </c>
      <c r="E577" s="256" t="inlineStr">
        <is>
          <t>Grape Pie</t>
        </is>
      </c>
      <c r="F577" s="256" t="inlineStr">
        <is>
          <t>06.06.2026</t>
        </is>
      </c>
      <c r="G577" s="256" t="inlineStr">
        <is>
          <t>1</t>
        </is>
      </c>
      <c r="H577" s="256" t="inlineStr">
        <is>
          <t>Identification A, Appearance · Macroscopic</t>
        </is>
      </c>
      <c r="I577" s="256" t="inlineStr">
        <is>
          <t>Ph. Eur. mon. 3028</t>
        </is>
      </c>
      <c r="J577" s="256" t="inlineStr">
        <is>
          <t>Conforms to the monograph for Cannabis flos (07/2024:3028) in Ph. Eur. 11.0 | Согласно монографија за Cannabis flos (07/2024:3028) во Ph. Eur. 11.0</t>
        </is>
      </c>
      <c r="K577" s="256" t="inlineStr">
        <is>
          <t>Conforms | Одговара</t>
        </is>
      </c>
      <c r="L577" s="256" t="inlineStr">
        <is>
          <t>iCoA-PP_26-025</t>
        </is>
      </c>
      <c r="M577" s="256" t="inlineStr">
        <is>
          <t>03.06.2026</t>
        </is>
      </c>
      <c r="N577" s="256" t="inlineStr">
        <is>
          <t>Purely Plant GmbH (in-house)</t>
        </is>
      </c>
      <c r="O577" s="256" t="inlineStr">
        <is>
          <t>—</t>
        </is>
      </c>
      <c r="P577" s="256" t="inlineStr">
        <is>
          <t>to be performed — see route</t>
        </is>
      </c>
      <c r="Q577" s="256" t="inlineStr">
        <is>
          <t>Purely Plant laboratory — iCoA covering Ident A + B</t>
        </is>
      </c>
      <c r="R577" s="256" t="inlineStr"/>
    </row>
    <row r="578">
      <c r="A578" s="256" t="inlineStr">
        <is>
          <t>CoQ-PP_26-026</t>
        </is>
      </c>
      <c r="B578" s="256" t="inlineStr">
        <is>
          <t>release</t>
        </is>
      </c>
      <c r="C578" s="256" t="inlineStr">
        <is>
          <t>GP062501</t>
        </is>
      </c>
      <c r="D578" s="256" t="inlineStr">
        <is>
          <t>P050202</t>
        </is>
      </c>
      <c r="E578" s="256" t="inlineStr">
        <is>
          <t>Grape Pie</t>
        </is>
      </c>
      <c r="F578" s="256" t="inlineStr">
        <is>
          <t>06.06.2026</t>
        </is>
      </c>
      <c r="G578" s="256" t="inlineStr">
        <is>
          <t>2</t>
        </is>
      </c>
      <c r="H578" s="256" t="inlineStr">
        <is>
          <t>Identification B · Microscopic</t>
        </is>
      </c>
      <c r="I578" s="256" t="inlineStr">
        <is>
          <t>Ph. Eur. 2.8.23 (microscopy)</t>
        </is>
      </c>
      <c r="J578" s="256" t="inlineStr">
        <is>
          <t>Conforms to the monograph for Cannabis flos (07/2024:3028) in Ph. Eur. 11.0 | Согласно монографија за Cannabis flos (07/2024:3028) во Ph. Eur. 11.0</t>
        </is>
      </c>
      <c r="K578" s="256" t="inlineStr">
        <is>
          <t>Conforms | Одговара</t>
        </is>
      </c>
      <c r="L578" s="256" t="inlineStr">
        <is>
          <t>iCoA-PP_26-025</t>
        </is>
      </c>
      <c r="M578" s="256" t="inlineStr">
        <is>
          <t>03.06.2026</t>
        </is>
      </c>
      <c r="N578" s="256" t="inlineStr">
        <is>
          <t>Purely Plant GmbH (in-house)</t>
        </is>
      </c>
      <c r="O578" s="256" t="inlineStr">
        <is>
          <t>—</t>
        </is>
      </c>
      <c r="P578" s="256" t="inlineStr">
        <is>
          <t>to be performed — see route</t>
        </is>
      </c>
      <c r="Q578" s="256" t="inlineStr">
        <is>
          <t>Purely Plant laboratory — iCoA covering Ident A + B</t>
        </is>
      </c>
      <c r="R578" s="256" t="inlineStr"/>
    </row>
    <row r="579">
      <c r="A579" s="256" t="inlineStr">
        <is>
          <t>CoQ-PP_26-026</t>
        </is>
      </c>
      <c r="B579" s="256" t="inlineStr">
        <is>
          <t>release</t>
        </is>
      </c>
      <c r="C579" s="256" t="inlineStr">
        <is>
          <t>GP062501</t>
        </is>
      </c>
      <c r="D579" s="256" t="inlineStr">
        <is>
          <t>P050202</t>
        </is>
      </c>
      <c r="E579" s="256" t="inlineStr">
        <is>
          <t>Grape Pie</t>
        </is>
      </c>
      <c r="F579" s="256" t="inlineStr">
        <is>
          <t>06.06.2026</t>
        </is>
      </c>
      <c r="G579" s="256" t="inlineStr">
        <is>
          <t>3</t>
        </is>
      </c>
      <c r="H579" s="256" t="inlineStr">
        <is>
          <t>Identification C · HPLC/HPTLC</t>
        </is>
      </c>
      <c r="I579" s="256" t="inlineStr">
        <is>
          <t>Ph. Eur. 2.2.29 (3028)</t>
        </is>
      </c>
      <c r="J579" s="256" t="inlineStr">
        <is>
          <t>Conforms to the monograph for Cannabis flos (07/2024:3028) in Ph. Eur. 11.0 | Согласно монографија за Cannabis flos (07/2024:3028) во Ph. Eur. 11.0</t>
        </is>
      </c>
      <c r="K579" s="259" t="inlineStr">
        <is>
          <t>not tested</t>
        </is>
      </c>
      <c r="L579" s="256" t="inlineStr">
        <is>
          <t>—</t>
        </is>
      </c>
      <c r="M579" s="256" t="inlineStr">
        <is>
          <t>—</t>
        </is>
      </c>
      <c r="N579" s="256" t="inlineStr">
        <is>
          <t>—</t>
        </is>
      </c>
      <c r="O579" s="256" t="inlineStr">
        <is>
          <t>—</t>
        </is>
      </c>
      <c r="P579" s="256" t="inlineStr">
        <is>
          <t>not tested — no certificate covers it</t>
        </is>
      </c>
      <c r="Q579" s="256" t="inlineStr"/>
      <c r="R579" s="256" t="inlineStr">
        <is>
          <t>Conforms | Одговара (in-house record of 28.11.2025, no certificate)</t>
        </is>
      </c>
    </row>
    <row r="580">
      <c r="A580" s="256" t="inlineStr">
        <is>
          <t>CoQ-PP_26-026</t>
        </is>
      </c>
      <c r="B580" s="256" t="inlineStr">
        <is>
          <t>release</t>
        </is>
      </c>
      <c r="C580" s="256" t="inlineStr">
        <is>
          <t>GP062501</t>
        </is>
      </c>
      <c r="D580" s="256" t="inlineStr">
        <is>
          <t>P050202</t>
        </is>
      </c>
      <c r="E580" s="256" t="inlineStr">
        <is>
          <t>Grape Pie</t>
        </is>
      </c>
      <c r="F580" s="256" t="inlineStr">
        <is>
          <t>06.06.2026</t>
        </is>
      </c>
      <c r="G580" s="256" t="inlineStr">
        <is>
          <t>4</t>
        </is>
      </c>
      <c r="H580" s="256" t="inlineStr">
        <is>
          <t>Assay — Total Δ⁹-THC</t>
        </is>
      </c>
      <c r="I580" s="256" t="inlineStr">
        <is>
          <t>Ph. Eur. 2.2.29 (HPLC)</t>
        </is>
      </c>
      <c r="J580" s="256" t="inlineStr">
        <is>
          <t>22.00 – 25.99 %  (grade II, nominal 24.00 ± 2.00)</t>
        </is>
      </c>
      <c r="K580" s="256" t="inlineStr">
        <is>
          <t>24.89</t>
        </is>
      </c>
      <c r="L580" s="256" t="inlineStr">
        <is>
          <t>iCoA-PP_26-025</t>
        </is>
      </c>
      <c r="M580" s="256" t="inlineStr">
        <is>
          <t>03.06.2026</t>
        </is>
      </c>
      <c r="N580" s="256" t="inlineStr">
        <is>
          <t>Purely Plant GmbH (in-house)</t>
        </is>
      </c>
      <c r="O580" s="256" t="inlineStr">
        <is>
          <t>—</t>
        </is>
      </c>
      <c r="P580" s="256" t="inlineStr">
        <is>
          <t>in-house CoA only — not an eCoA or an iCoA: a value no certificate of analysis certifies cannot be on a release certificate (owner's rule, 02.09.2026)</t>
        </is>
      </c>
      <c r="Q580" s="256" t="inlineStr"/>
      <c r="R580" s="256" t="inlineStr">
        <is>
          <t>22.83 (ППК26036); 18.62 (ППК26037); 24.51 (ППК26057); 17.05 (ППК26058); 25.97 (227-18-К/26)</t>
        </is>
      </c>
    </row>
    <row r="581">
      <c r="A581" s="256" t="inlineStr">
        <is>
          <t>CoQ-PP_26-026</t>
        </is>
      </c>
      <c r="B581" s="256" t="inlineStr">
        <is>
          <t>release</t>
        </is>
      </c>
      <c r="C581" s="256" t="inlineStr">
        <is>
          <t>GP062501</t>
        </is>
      </c>
      <c r="D581" s="256" t="inlineStr">
        <is>
          <t>P050202</t>
        </is>
      </c>
      <c r="E581" s="256" t="inlineStr">
        <is>
          <t>Grape Pie</t>
        </is>
      </c>
      <c r="F581" s="256" t="inlineStr">
        <is>
          <t>06.06.2026</t>
        </is>
      </c>
      <c r="G581" s="256" t="inlineStr">
        <is>
          <t>5</t>
        </is>
      </c>
      <c r="H581" s="256" t="inlineStr">
        <is>
          <t>Assay — Total CBD</t>
        </is>
      </c>
      <c r="I581" s="256" t="inlineStr">
        <is>
          <t>Ph. Eur. 2.2.29 (HPLC) · CBD + CBDA x 0.877</t>
        </is>
      </c>
      <c r="J581" s="256" t="inlineStr">
        <is>
          <t>≤ 1.0%, w/w</t>
        </is>
      </c>
      <c r="K581" s="256" t="inlineStr">
        <is>
          <t>0.17</t>
        </is>
      </c>
      <c r="L581" s="256" t="inlineStr">
        <is>
          <t>iCoA-PP_26-025</t>
        </is>
      </c>
      <c r="M581" s="256" t="inlineStr">
        <is>
          <t>03.06.2026</t>
        </is>
      </c>
      <c r="N581" s="256" t="inlineStr">
        <is>
          <t>Purely Plant GmbH (in-house)</t>
        </is>
      </c>
      <c r="O581" s="256" t="inlineStr">
        <is>
          <t>—</t>
        </is>
      </c>
      <c r="P581" s="256" t="inlineStr">
        <is>
          <t>in-house CoA only — not an eCoA or an iCoA: a value no certificate of analysis certifies cannot be on a release certificate (owner's rule, 02.09.2026)</t>
        </is>
      </c>
      <c r="Q581" s="256" t="inlineStr"/>
      <c r="R581" s="256" t="inlineStr">
        <is>
          <t>0.05 (ППК26036); 0.04 (ППК26037); 0.05 (ППК26057); 0.03 (ППК26058); &lt;LOQ (227-18-К/26)</t>
        </is>
      </c>
    </row>
    <row r="582">
      <c r="A582" s="256" t="inlineStr">
        <is>
          <t>CoQ-PP_26-026</t>
        </is>
      </c>
      <c r="B582" s="256" t="inlineStr">
        <is>
          <t>release</t>
        </is>
      </c>
      <c r="C582" s="256" t="inlineStr">
        <is>
          <t>GP062501</t>
        </is>
      </c>
      <c r="D582" s="256" t="inlineStr">
        <is>
          <t>P050202</t>
        </is>
      </c>
      <c r="E582" s="256" t="inlineStr">
        <is>
          <t>Grape Pie</t>
        </is>
      </c>
      <c r="F582" s="256" t="inlineStr">
        <is>
          <t>06.06.2026</t>
        </is>
      </c>
      <c r="G582" s="256" t="inlineStr">
        <is>
          <t>6</t>
        </is>
      </c>
      <c r="H582" s="256" t="inlineStr">
        <is>
          <t>Total CBN</t>
        </is>
      </c>
      <c r="I582" s="256" t="inlineStr">
        <is>
          <t>Ph. Eur. 2.2.29 (HPLC) · CBN + CBNA x 0.876</t>
        </is>
      </c>
      <c r="J582" s="256" t="inlineStr">
        <is>
          <t>≤ 1.0%, w/w</t>
        </is>
      </c>
      <c r="K582" s="259" t="inlineStr">
        <is>
          <t>not tested</t>
        </is>
      </c>
      <c r="L582" s="256" t="inlineStr">
        <is>
          <t>—</t>
        </is>
      </c>
      <c r="M582" s="256" t="inlineStr">
        <is>
          <t>—</t>
        </is>
      </c>
      <c r="N582" s="256" t="inlineStr">
        <is>
          <t>—</t>
        </is>
      </c>
      <c r="O582" s="256" t="inlineStr">
        <is>
          <t>—</t>
        </is>
      </c>
      <c r="P582" s="256" t="inlineStr">
        <is>
          <t>not tested — no certificate covers it</t>
        </is>
      </c>
      <c r="Q582" s="256" t="inlineStr"/>
      <c r="R582" s="256" t="inlineStr">
        <is>
          <t>0.05 (ППК26036); 1.09 (ППК26037); 0.04 (ППК26057); 2.05 (ППК26058); &lt;LOQ (227-18-К/26)</t>
        </is>
      </c>
    </row>
    <row r="583">
      <c r="A583" s="256" t="inlineStr">
        <is>
          <t>CoQ-PP_26-026</t>
        </is>
      </c>
      <c r="B583" s="256" t="inlineStr">
        <is>
          <t>release</t>
        </is>
      </c>
      <c r="C583" s="256" t="inlineStr">
        <is>
          <t>GP062501</t>
        </is>
      </c>
      <c r="D583" s="256" t="inlineStr">
        <is>
          <t>P050202</t>
        </is>
      </c>
      <c r="E583" s="256" t="inlineStr">
        <is>
          <t>Grape Pie</t>
        </is>
      </c>
      <c r="F583" s="256" t="inlineStr">
        <is>
          <t>06.06.2026</t>
        </is>
      </c>
      <c r="G583" s="256" t="inlineStr">
        <is>
          <t>7</t>
        </is>
      </c>
      <c r="H583" s="256" t="inlineStr">
        <is>
          <t>Foreign Matter</t>
        </is>
      </c>
      <c r="I583" s="256" t="inlineStr">
        <is>
          <t>Ph. Eur. 2.8.2 · In-house · интерна</t>
        </is>
      </c>
      <c r="J583" s="256" t="inlineStr">
        <is>
          <t>≤ 2.0% / 25–50 g · &lt; 1 cm leaves | листови, no seeds | без семки</t>
        </is>
      </c>
      <c r="K583" s="256" t="inlineStr">
        <is>
          <t>Conforms | Одговара</t>
        </is>
      </c>
      <c r="L583" s="256" t="inlineStr">
        <is>
          <t>iCoA-PP_26-025</t>
        </is>
      </c>
      <c r="M583" s="256" t="inlineStr">
        <is>
          <t>03.06.2026</t>
        </is>
      </c>
      <c r="N583" s="256" t="inlineStr">
        <is>
          <t>Purely Plant GmbH (in-house)</t>
        </is>
      </c>
      <c r="O583" s="256" t="inlineStr">
        <is>
          <t>—</t>
        </is>
      </c>
      <c r="P583" s="256" t="inlineStr">
        <is>
          <t>to be performed — see route</t>
        </is>
      </c>
      <c r="Q583" s="256" t="inlineStr">
        <is>
          <t>Purely Plant laboratory — iCoA covering Foreign matter</t>
        </is>
      </c>
      <c r="R583" s="256" t="inlineStr"/>
    </row>
    <row r="584">
      <c r="A584" s="256" t="inlineStr">
        <is>
          <t>CoQ-PP_26-026</t>
        </is>
      </c>
      <c r="B584" s="256" t="inlineStr">
        <is>
          <t>release</t>
        </is>
      </c>
      <c r="C584" s="256" t="inlineStr">
        <is>
          <t>GP062501</t>
        </is>
      </c>
      <c r="D584" s="256" t="inlineStr">
        <is>
          <t>P050202</t>
        </is>
      </c>
      <c r="E584" s="256" t="inlineStr">
        <is>
          <t>Grape Pie</t>
        </is>
      </c>
      <c r="F584" s="256" t="inlineStr">
        <is>
          <t>06.06.2026</t>
        </is>
      </c>
      <c r="G584" s="256" t="inlineStr">
        <is>
          <t>8</t>
        </is>
      </c>
      <c r="H584" s="256" t="inlineStr">
        <is>
          <t>Loss on Drying</t>
        </is>
      </c>
      <c r="I584" s="256" t="inlineStr">
        <is>
          <t>Ph. Eur. 2.2.32 (3028) · at 40 °C, 24 h, 15–25 mbar</t>
        </is>
      </c>
      <c r="J584" s="256" t="inlineStr">
        <is>
          <t>≤ 12.0%</t>
        </is>
      </c>
      <c r="K584" s="256" t="inlineStr">
        <is>
          <t>8.19 (avg of 4 weighings 51-1,51-2,52-1,52-2)</t>
        </is>
      </c>
      <c r="L584" s="256" t="inlineStr">
        <is>
          <t>iCoA-PP_26-025</t>
        </is>
      </c>
      <c r="M584" s="256" t="inlineStr">
        <is>
          <t>03.06.2026</t>
        </is>
      </c>
      <c r="N584" s="256" t="inlineStr">
        <is>
          <t>Purely Plant GmbH (in-house)</t>
        </is>
      </c>
      <c r="O584" s="256" t="inlineStr">
        <is>
          <t>—</t>
        </is>
      </c>
      <c r="P584" s="256" t="inlineStr">
        <is>
          <t>in-house CoA only — not an eCoA or an iCoA: a value no certificate of analysis certifies cannot be on a release certificate (owner's rule, 02.09.2026)</t>
        </is>
      </c>
      <c r="Q584" s="256" t="inlineStr"/>
      <c r="R584" s="256" t="inlineStr">
        <is>
          <t>5.83 (ППК26036); 5.38 (ППК26037); 6.85 (ППК26057); 6.60 (ППК26058)</t>
        </is>
      </c>
    </row>
    <row r="585">
      <c r="A585" s="256" t="inlineStr">
        <is>
          <t>CoQ-PP_26-026</t>
        </is>
      </c>
      <c r="B585" s="256" t="inlineStr">
        <is>
          <t>release</t>
        </is>
      </c>
      <c r="C585" s="256" t="inlineStr">
        <is>
          <t>GP062501</t>
        </is>
      </c>
      <c r="D585" s="256" t="inlineStr">
        <is>
          <t>P050202</t>
        </is>
      </c>
      <c r="E585" s="256" t="inlineStr">
        <is>
          <t>Grape Pie</t>
        </is>
      </c>
      <c r="F585" s="256" t="inlineStr">
        <is>
          <t>06.06.2026</t>
        </is>
      </c>
      <c r="G585" s="256" t="inlineStr">
        <is>
          <t>9.1</t>
        </is>
      </c>
      <c r="H585" s="256" t="inlineStr">
        <is>
          <t>TAMC</t>
        </is>
      </c>
      <c r="I585" s="256" t="inlineStr">
        <is>
          <t>Ph. Eur. 2.6.12 cat. C</t>
        </is>
      </c>
      <c r="J585" s="256" t="inlineStr">
        <is>
          <t>≤ 10⁵ CFU/g</t>
        </is>
      </c>
      <c r="K585" s="256" t="inlineStr">
        <is>
          <t>1.3 × 10⁴</t>
        </is>
      </c>
      <c r="L585" s="256" t="inlineStr">
        <is>
          <t>1009/1813/25</t>
        </is>
      </c>
      <c r="M585" s="256" t="inlineStr">
        <is>
          <t>08.10.2025</t>
        </is>
      </c>
      <c r="N585" s="256" t="inlineStr">
        <is>
          <t>IPH — Institute of Public Health</t>
        </is>
      </c>
      <c r="O585" s="256" t="inlineStr">
        <is>
          <t>02.10.2025</t>
        </is>
      </c>
      <c r="P585" s="256" t="inlineStr">
        <is>
          <t>covered</t>
        </is>
      </c>
      <c r="Q585" s="256" t="inlineStr"/>
      <c r="R585" s="256" t="inlineStr">
        <is>
          <t>600 (1155/2056/25)</t>
        </is>
      </c>
    </row>
    <row r="586">
      <c r="A586" s="256" t="inlineStr">
        <is>
          <t>CoQ-PP_26-026</t>
        </is>
      </c>
      <c r="B586" s="256" t="inlineStr">
        <is>
          <t>release</t>
        </is>
      </c>
      <c r="C586" s="256" t="inlineStr">
        <is>
          <t>GP062501</t>
        </is>
      </c>
      <c r="D586" s="256" t="inlineStr">
        <is>
          <t>P050202</t>
        </is>
      </c>
      <c r="E586" s="256" t="inlineStr">
        <is>
          <t>Grape Pie</t>
        </is>
      </c>
      <c r="F586" s="256" t="inlineStr">
        <is>
          <t>06.06.2026</t>
        </is>
      </c>
      <c r="G586" s="256" t="inlineStr">
        <is>
          <t>9.2</t>
        </is>
      </c>
      <c r="H586" s="256" t="inlineStr">
        <is>
          <t>TYMC</t>
        </is>
      </c>
      <c r="I586" s="256" t="inlineStr">
        <is>
          <t>Ph. Eur. 2.6.12 cat. C</t>
        </is>
      </c>
      <c r="J586" s="256" t="inlineStr">
        <is>
          <t>≤ 10⁴ CFU/g</t>
        </is>
      </c>
      <c r="K586" s="256" t="inlineStr">
        <is>
          <t>4.2 × 10³</t>
        </is>
      </c>
      <c r="L586" s="256" t="inlineStr">
        <is>
          <t>1009/1813/25</t>
        </is>
      </c>
      <c r="M586" s="256" t="inlineStr">
        <is>
          <t>08.10.2025</t>
        </is>
      </c>
      <c r="N586" s="256" t="inlineStr">
        <is>
          <t>IPH — Institute of Public Health</t>
        </is>
      </c>
      <c r="O586" s="256" t="inlineStr">
        <is>
          <t>02.10.2025</t>
        </is>
      </c>
      <c r="P586" s="256" t="inlineStr">
        <is>
          <t>covered</t>
        </is>
      </c>
      <c r="Q586" s="256" t="inlineStr"/>
      <c r="R586" s="256" t="inlineStr">
        <is>
          <t>400 (1155/2056/25)</t>
        </is>
      </c>
    </row>
    <row r="587">
      <c r="A587" s="256" t="inlineStr">
        <is>
          <t>CoQ-PP_26-026</t>
        </is>
      </c>
      <c r="B587" s="256" t="inlineStr">
        <is>
          <t>release</t>
        </is>
      </c>
      <c r="C587" s="256" t="inlineStr">
        <is>
          <t>GP062501</t>
        </is>
      </c>
      <c r="D587" s="256" t="inlineStr">
        <is>
          <t>P050202</t>
        </is>
      </c>
      <c r="E587" s="256" t="inlineStr">
        <is>
          <t>Grape Pie</t>
        </is>
      </c>
      <c r="F587" s="256" t="inlineStr">
        <is>
          <t>06.06.2026</t>
        </is>
      </c>
      <c r="G587" s="256" t="inlineStr">
        <is>
          <t>9.3</t>
        </is>
      </c>
      <c r="H587" s="256" t="inlineStr">
        <is>
          <t>Bile-tolerant gram-neg.</t>
        </is>
      </c>
      <c r="I587" s="256" t="inlineStr">
        <is>
          <t>Ph. Eur. 2.6.31 cat. C</t>
        </is>
      </c>
      <c r="J587" s="256" t="inlineStr">
        <is>
          <t>≤ 10⁴ CFU/g</t>
        </is>
      </c>
      <c r="K587" s="256" t="inlineStr">
        <is>
          <t>&lt; 10³ and &gt; 10²</t>
        </is>
      </c>
      <c r="L587" s="256" t="inlineStr">
        <is>
          <t>1009/1813/25</t>
        </is>
      </c>
      <c r="M587" s="256" t="inlineStr">
        <is>
          <t>08.10.2025</t>
        </is>
      </c>
      <c r="N587" s="256" t="inlineStr">
        <is>
          <t>IPH — Institute of Public Health</t>
        </is>
      </c>
      <c r="O587" s="256" t="inlineStr">
        <is>
          <t>02.10.2025</t>
        </is>
      </c>
      <c r="P587" s="256" t="inlineStr">
        <is>
          <t>covered</t>
        </is>
      </c>
      <c r="Q587" s="256" t="inlineStr"/>
      <c r="R587" s="256" t="inlineStr">
        <is>
          <t>&lt; 10 (1155/2056/25)</t>
        </is>
      </c>
    </row>
    <row r="588">
      <c r="A588" s="256" t="inlineStr">
        <is>
          <t>CoQ-PP_26-026</t>
        </is>
      </c>
      <c r="B588" s="256" t="inlineStr">
        <is>
          <t>release</t>
        </is>
      </c>
      <c r="C588" s="256" t="inlineStr">
        <is>
          <t>GP062501</t>
        </is>
      </c>
      <c r="D588" s="256" t="inlineStr">
        <is>
          <t>P050202</t>
        </is>
      </c>
      <c r="E588" s="256" t="inlineStr">
        <is>
          <t>Grape Pie</t>
        </is>
      </c>
      <c r="F588" s="256" t="inlineStr">
        <is>
          <t>06.06.2026</t>
        </is>
      </c>
      <c r="G588" s="256" t="inlineStr">
        <is>
          <t>9.4</t>
        </is>
      </c>
      <c r="H588" s="256" t="inlineStr">
        <is>
          <t>Salmonella</t>
        </is>
      </c>
      <c r="I588" s="256" t="inlineStr">
        <is>
          <t>Ph. Eur. 2.6.31 cat. C</t>
        </is>
      </c>
      <c r="J588" s="256" t="inlineStr">
        <is>
          <t>Absence | Отсуство / 25 g</t>
        </is>
      </c>
      <c r="K588" s="256" t="inlineStr">
        <is>
          <t>Absent | Отсутна</t>
        </is>
      </c>
      <c r="L588" s="256" t="inlineStr">
        <is>
          <t>1009/1813/25</t>
        </is>
      </c>
      <c r="M588" s="256" t="inlineStr">
        <is>
          <t>08.10.2025</t>
        </is>
      </c>
      <c r="N588" s="256" t="inlineStr">
        <is>
          <t>IPH — Institute of Public Health</t>
        </is>
      </c>
      <c r="O588" s="256" t="inlineStr">
        <is>
          <t>02.10.2025</t>
        </is>
      </c>
      <c r="P588" s="256" t="inlineStr">
        <is>
          <t>covered</t>
        </is>
      </c>
      <c r="Q588" s="256" t="inlineStr"/>
      <c r="R588" s="256" t="inlineStr">
        <is>
          <t>Odgovara (Absent) (1155/2056/25)</t>
        </is>
      </c>
    </row>
    <row r="589">
      <c r="A589" s="256" t="inlineStr">
        <is>
          <t>CoQ-PP_26-026</t>
        </is>
      </c>
      <c r="B589" s="256" t="inlineStr">
        <is>
          <t>release</t>
        </is>
      </c>
      <c r="C589" s="256" t="inlineStr">
        <is>
          <t>GP062501</t>
        </is>
      </c>
      <c r="D589" s="256" t="inlineStr">
        <is>
          <t>P050202</t>
        </is>
      </c>
      <c r="E589" s="256" t="inlineStr">
        <is>
          <t>Grape Pie</t>
        </is>
      </c>
      <c r="F589" s="256" t="inlineStr">
        <is>
          <t>06.06.2026</t>
        </is>
      </c>
      <c r="G589" s="256" t="inlineStr">
        <is>
          <t>9.5</t>
        </is>
      </c>
      <c r="H589" s="256" t="inlineStr">
        <is>
          <t>Escherichia coli</t>
        </is>
      </c>
      <c r="I589" s="256" t="inlineStr">
        <is>
          <t>Ph. Eur. 2.6.13 cat. C</t>
        </is>
      </c>
      <c r="J589" s="256" t="inlineStr">
        <is>
          <t>Absence | Отсуство / 1 g</t>
        </is>
      </c>
      <c r="K589" s="256" t="inlineStr">
        <is>
          <t>Absent | Отсутна</t>
        </is>
      </c>
      <c r="L589" s="256" t="inlineStr">
        <is>
          <t>1009/1813/25</t>
        </is>
      </c>
      <c r="M589" s="256" t="inlineStr">
        <is>
          <t>08.10.2025</t>
        </is>
      </c>
      <c r="N589" s="256" t="inlineStr">
        <is>
          <t>IPH — Institute of Public Health</t>
        </is>
      </c>
      <c r="O589" s="256" t="inlineStr">
        <is>
          <t>02.10.2025</t>
        </is>
      </c>
      <c r="P589" s="256" t="inlineStr">
        <is>
          <t>covered</t>
        </is>
      </c>
      <c r="Q589" s="256" t="inlineStr"/>
      <c r="R589" s="256" t="inlineStr">
        <is>
          <t>Odgovara (Absent) (1155/2056/25)</t>
        </is>
      </c>
    </row>
    <row r="590">
      <c r="A590" s="256" t="inlineStr">
        <is>
          <t>CoQ-PP_26-026</t>
        </is>
      </c>
      <c r="B590" s="256" t="inlineStr">
        <is>
          <t>release</t>
        </is>
      </c>
      <c r="C590" s="256" t="inlineStr">
        <is>
          <t>GP062501</t>
        </is>
      </c>
      <c r="D590" s="256" t="inlineStr">
        <is>
          <t>P050202</t>
        </is>
      </c>
      <c r="E590" s="256" t="inlineStr">
        <is>
          <t>Grape Pie</t>
        </is>
      </c>
      <c r="F590" s="256" t="inlineStr">
        <is>
          <t>06.06.2026</t>
        </is>
      </c>
      <c r="G590" s="256" t="inlineStr">
        <is>
          <t>9.6</t>
        </is>
      </c>
      <c r="H590" s="256" t="inlineStr">
        <is>
          <t>Pseudomonas aeruginosa</t>
        </is>
      </c>
      <c r="I590" s="256" t="inlineStr">
        <is>
          <t>Ph. Eur. 2.6.13 cat. C</t>
        </is>
      </c>
      <c r="J590" s="256" t="inlineStr">
        <is>
          <t>Absence | Отсуство / 1 g</t>
        </is>
      </c>
      <c r="K590" s="260" t="inlineStr">
        <is>
          <t>upon request — not required for release</t>
        </is>
      </c>
      <c r="L590" s="256" t="inlineStr">
        <is>
          <t>—</t>
        </is>
      </c>
      <c r="M590" s="256" t="inlineStr">
        <is>
          <t>—</t>
        </is>
      </c>
      <c r="N590" s="256" t="inlineStr">
        <is>
          <t>—</t>
        </is>
      </c>
      <c r="O590" s="256" t="inlineStr">
        <is>
          <t>—</t>
        </is>
      </c>
      <c r="P590" s="256" t="inlineStr">
        <is>
          <t>upon request — not required for release</t>
        </is>
      </c>
      <c r="Q590" s="256" t="inlineStr"/>
      <c r="R590" s="256" t="inlineStr"/>
    </row>
    <row r="591">
      <c r="A591" s="256" t="inlineStr">
        <is>
          <t>CoQ-PP_26-026</t>
        </is>
      </c>
      <c r="B591" s="256" t="inlineStr">
        <is>
          <t>release</t>
        </is>
      </c>
      <c r="C591" s="256" t="inlineStr">
        <is>
          <t>GP062501</t>
        </is>
      </c>
      <c r="D591" s="256" t="inlineStr">
        <is>
          <t>P050202</t>
        </is>
      </c>
      <c r="E591" s="256" t="inlineStr">
        <is>
          <t>Grape Pie</t>
        </is>
      </c>
      <c r="F591" s="256" t="inlineStr">
        <is>
          <t>06.06.2026</t>
        </is>
      </c>
      <c r="G591" s="256" t="inlineStr">
        <is>
          <t>9.7</t>
        </is>
      </c>
      <c r="H591" s="256" t="inlineStr">
        <is>
          <t>Staphylococcus aureus</t>
        </is>
      </c>
      <c r="I591" s="256" t="inlineStr">
        <is>
          <t>Ph. Eur. 2.6.13 cat. C</t>
        </is>
      </c>
      <c r="J591" s="256" t="inlineStr">
        <is>
          <t>Absence | Отсуство / 1 g</t>
        </is>
      </c>
      <c r="K591" s="260" t="inlineStr">
        <is>
          <t>upon request — not required for release</t>
        </is>
      </c>
      <c r="L591" s="256" t="inlineStr">
        <is>
          <t>—</t>
        </is>
      </c>
      <c r="M591" s="256" t="inlineStr">
        <is>
          <t>—</t>
        </is>
      </c>
      <c r="N591" s="256" t="inlineStr">
        <is>
          <t>—</t>
        </is>
      </c>
      <c r="O591" s="256" t="inlineStr">
        <is>
          <t>—</t>
        </is>
      </c>
      <c r="P591" s="256" t="inlineStr">
        <is>
          <t>upon request — not required for release</t>
        </is>
      </c>
      <c r="Q591" s="256" t="inlineStr"/>
      <c r="R591" s="256" t="inlineStr"/>
    </row>
    <row r="592">
      <c r="A592" s="256" t="inlineStr">
        <is>
          <t>CoQ-PP_26-026</t>
        </is>
      </c>
      <c r="B592" s="256" t="inlineStr">
        <is>
          <t>release</t>
        </is>
      </c>
      <c r="C592" s="256" t="inlineStr">
        <is>
          <t>GP062501</t>
        </is>
      </c>
      <c r="D592" s="256" t="inlineStr">
        <is>
          <t>P050202</t>
        </is>
      </c>
      <c r="E592" s="256" t="inlineStr">
        <is>
          <t>Grape Pie</t>
        </is>
      </c>
      <c r="F592" s="256" t="inlineStr">
        <is>
          <t>06.06.2026</t>
        </is>
      </c>
      <c r="G592" s="256" t="inlineStr">
        <is>
          <t>10.1</t>
        </is>
      </c>
      <c r="H592" s="256" t="inlineStr">
        <is>
          <t>Aflatoxin B₁</t>
        </is>
      </c>
      <c r="I592" s="256" t="inlineStr">
        <is>
          <t>Ph. Eur. 2.8.18 (HPLC-FLD)</t>
        </is>
      </c>
      <c r="J592" s="256" t="inlineStr">
        <is>
          <t>≤ 2 µg/kg</t>
        </is>
      </c>
      <c r="K592" s="259" t="inlineStr">
        <is>
          <t>not tested</t>
        </is>
      </c>
      <c r="L592" s="256" t="inlineStr">
        <is>
          <t>—</t>
        </is>
      </c>
      <c r="M592" s="256" t="inlineStr">
        <is>
          <t>—</t>
        </is>
      </c>
      <c r="N592" s="256" t="inlineStr">
        <is>
          <t>—</t>
        </is>
      </c>
      <c r="O592" s="256" t="inlineStr">
        <is>
          <t>—</t>
        </is>
      </c>
      <c r="P592" s="256" t="inlineStr">
        <is>
          <t>not tested — no certificate covers it</t>
        </is>
      </c>
      <c r="Q592" s="256" t="inlineStr"/>
      <c r="R592" s="256" t="inlineStr"/>
    </row>
    <row r="593">
      <c r="A593" s="256" t="inlineStr">
        <is>
          <t>CoQ-PP_26-026</t>
        </is>
      </c>
      <c r="B593" s="256" t="inlineStr">
        <is>
          <t>release</t>
        </is>
      </c>
      <c r="C593" s="256" t="inlineStr">
        <is>
          <t>GP062501</t>
        </is>
      </c>
      <c r="D593" s="256" t="inlineStr">
        <is>
          <t>P050202</t>
        </is>
      </c>
      <c r="E593" s="256" t="inlineStr">
        <is>
          <t>Grape Pie</t>
        </is>
      </c>
      <c r="F593" s="256" t="inlineStr">
        <is>
          <t>06.06.2026</t>
        </is>
      </c>
      <c r="G593" s="256" t="inlineStr">
        <is>
          <t>10.2</t>
        </is>
      </c>
      <c r="H593" s="256" t="inlineStr">
        <is>
          <t>Aflatoxins ∑</t>
        </is>
      </c>
      <c r="I593" s="256" t="inlineStr">
        <is>
          <t>Ph. Eur. 2.8.18 (HPLC-FLD)</t>
        </is>
      </c>
      <c r="J593" s="256" t="inlineStr">
        <is>
          <t>≤ 4 µg/kg</t>
        </is>
      </c>
      <c r="K593" s="256" t="inlineStr">
        <is>
          <t>&lt; 2</t>
        </is>
      </c>
      <c r="L593" s="256" t="inlineStr">
        <is>
          <t>4762/2025</t>
        </is>
      </c>
      <c r="M593" s="256" t="inlineStr">
        <is>
          <t>08.10.2025</t>
        </is>
      </c>
      <c r="N593" s="256" t="inlineStr">
        <is>
          <t>IPH — Institute of Public Health</t>
        </is>
      </c>
      <c r="O593" s="256" t="inlineStr">
        <is>
          <t>01.10.2025</t>
        </is>
      </c>
      <c r="P593" s="256" t="inlineStr">
        <is>
          <t>covered</t>
        </is>
      </c>
      <c r="Q593" s="256" t="inlineStr"/>
      <c r="R593" s="256" t="inlineStr"/>
    </row>
    <row r="594">
      <c r="A594" s="256" t="inlineStr">
        <is>
          <t>CoQ-PP_26-026</t>
        </is>
      </c>
      <c r="B594" s="256" t="inlineStr">
        <is>
          <t>release</t>
        </is>
      </c>
      <c r="C594" s="256" t="inlineStr">
        <is>
          <t>GP062501</t>
        </is>
      </c>
      <c r="D594" s="256" t="inlineStr">
        <is>
          <t>P050202</t>
        </is>
      </c>
      <c r="E594" s="256" t="inlineStr">
        <is>
          <t>Grape Pie</t>
        </is>
      </c>
      <c r="F594" s="256" t="inlineStr">
        <is>
          <t>06.06.2026</t>
        </is>
      </c>
      <c r="G594" s="256" t="inlineStr">
        <is>
          <t>10.3</t>
        </is>
      </c>
      <c r="H594" s="256" t="inlineStr">
        <is>
          <t>Ochratoxin A</t>
        </is>
      </c>
      <c r="I594" s="256" t="inlineStr">
        <is>
          <t>Ph. Eur. 2.8.22 (HPLC-FLD)</t>
        </is>
      </c>
      <c r="J594" s="256" t="inlineStr">
        <is>
          <t>≤ 20 µg/kg</t>
        </is>
      </c>
      <c r="K594" s="259" t="inlineStr">
        <is>
          <t>not tested</t>
        </is>
      </c>
      <c r="L594" s="256" t="inlineStr">
        <is>
          <t>—</t>
        </is>
      </c>
      <c r="M594" s="256" t="inlineStr">
        <is>
          <t>—</t>
        </is>
      </c>
      <c r="N594" s="256" t="inlineStr">
        <is>
          <t>—</t>
        </is>
      </c>
      <c r="O594" s="256" t="inlineStr">
        <is>
          <t>—</t>
        </is>
      </c>
      <c r="P594" s="256" t="inlineStr">
        <is>
          <t>not tested — no certificate covers it</t>
        </is>
      </c>
      <c r="Q594" s="256" t="inlineStr"/>
      <c r="R594" s="256" t="inlineStr"/>
    </row>
    <row r="595">
      <c r="A595" s="256" t="inlineStr">
        <is>
          <t>CoQ-PP_26-026</t>
        </is>
      </c>
      <c r="B595" s="256" t="inlineStr">
        <is>
          <t>release</t>
        </is>
      </c>
      <c r="C595" s="256" t="inlineStr">
        <is>
          <t>GP062501</t>
        </is>
      </c>
      <c r="D595" s="256" t="inlineStr">
        <is>
          <t>P050202</t>
        </is>
      </c>
      <c r="E595" s="256" t="inlineStr">
        <is>
          <t>Grape Pie</t>
        </is>
      </c>
      <c r="F595" s="256" t="inlineStr">
        <is>
          <t>06.06.2026</t>
        </is>
      </c>
      <c r="G595" s="256" t="inlineStr">
        <is>
          <t>11.1</t>
        </is>
      </c>
      <c r="H595" s="256" t="inlineStr">
        <is>
          <t>Lead (Pb)</t>
        </is>
      </c>
      <c r="I595" s="256" t="inlineStr">
        <is>
          <t>Ph. Eur. 2.4.27 (ICP-MS)</t>
        </is>
      </c>
      <c r="J595" s="256" t="inlineStr">
        <is>
          <t>≤ 0.5 mg/kg</t>
        </is>
      </c>
      <c r="K595" s="256" t="inlineStr">
        <is>
          <t>0.077</t>
        </is>
      </c>
      <c r="L595" s="256" t="inlineStr">
        <is>
          <t>4762/2025</t>
        </is>
      </c>
      <c r="M595" s="256" t="inlineStr">
        <is>
          <t>08.10.2025</t>
        </is>
      </c>
      <c r="N595" s="256" t="inlineStr">
        <is>
          <t>IPH — Institute of Public Health</t>
        </is>
      </c>
      <c r="O595" s="256" t="inlineStr">
        <is>
          <t>01.10.2025</t>
        </is>
      </c>
      <c r="P595" s="256" t="inlineStr">
        <is>
          <t>covered</t>
        </is>
      </c>
      <c r="Q595" s="256" t="inlineStr"/>
      <c r="R595" s="256" t="inlineStr"/>
    </row>
    <row r="596">
      <c r="A596" s="256" t="inlineStr">
        <is>
          <t>CoQ-PP_26-026</t>
        </is>
      </c>
      <c r="B596" s="256" t="inlineStr">
        <is>
          <t>release</t>
        </is>
      </c>
      <c r="C596" s="256" t="inlineStr">
        <is>
          <t>GP062501</t>
        </is>
      </c>
      <c r="D596" s="256" t="inlineStr">
        <is>
          <t>P050202</t>
        </is>
      </c>
      <c r="E596" s="256" t="inlineStr">
        <is>
          <t>Grape Pie</t>
        </is>
      </c>
      <c r="F596" s="256" t="inlineStr">
        <is>
          <t>06.06.2026</t>
        </is>
      </c>
      <c r="G596" s="256" t="inlineStr">
        <is>
          <t>11.2</t>
        </is>
      </c>
      <c r="H596" s="256" t="inlineStr">
        <is>
          <t>Cadmium (Cd)</t>
        </is>
      </c>
      <c r="I596" s="256" t="inlineStr">
        <is>
          <t>Ph. Eur. 2.4.27 (ICP-MS)</t>
        </is>
      </c>
      <c r="J596" s="256" t="inlineStr">
        <is>
          <t>≤ 0.3 mg/kg</t>
        </is>
      </c>
      <c r="K596" s="256" t="inlineStr">
        <is>
          <t>0.014</t>
        </is>
      </c>
      <c r="L596" s="256" t="inlineStr">
        <is>
          <t>4762/2025</t>
        </is>
      </c>
      <c r="M596" s="256" t="inlineStr">
        <is>
          <t>08.10.2025</t>
        </is>
      </c>
      <c r="N596" s="256" t="inlineStr">
        <is>
          <t>IPH — Institute of Public Health</t>
        </is>
      </c>
      <c r="O596" s="256" t="inlineStr">
        <is>
          <t>01.10.2025</t>
        </is>
      </c>
      <c r="P596" s="256" t="inlineStr">
        <is>
          <t>covered</t>
        </is>
      </c>
      <c r="Q596" s="256" t="inlineStr"/>
      <c r="R596" s="256" t="inlineStr"/>
    </row>
    <row r="597">
      <c r="A597" s="256" t="inlineStr">
        <is>
          <t>CoQ-PP_26-026</t>
        </is>
      </c>
      <c r="B597" s="256" t="inlineStr">
        <is>
          <t>release</t>
        </is>
      </c>
      <c r="C597" s="256" t="inlineStr">
        <is>
          <t>GP062501</t>
        </is>
      </c>
      <c r="D597" s="256" t="inlineStr">
        <is>
          <t>P050202</t>
        </is>
      </c>
      <c r="E597" s="256" t="inlineStr">
        <is>
          <t>Grape Pie</t>
        </is>
      </c>
      <c r="F597" s="256" t="inlineStr">
        <is>
          <t>06.06.2026</t>
        </is>
      </c>
      <c r="G597" s="256" t="inlineStr">
        <is>
          <t>11.3</t>
        </is>
      </c>
      <c r="H597" s="256" t="inlineStr">
        <is>
          <t>Arsenic (As)</t>
        </is>
      </c>
      <c r="I597" s="256" t="inlineStr">
        <is>
          <t>Ph. Eur. 2.4.27 (ICP-MS)</t>
        </is>
      </c>
      <c r="J597" s="256" t="inlineStr">
        <is>
          <t>≤ 0.2 mg/kg</t>
        </is>
      </c>
      <c r="K597" s="256" t="inlineStr">
        <is>
          <t>0.024</t>
        </is>
      </c>
      <c r="L597" s="256" t="inlineStr">
        <is>
          <t>4762/2025</t>
        </is>
      </c>
      <c r="M597" s="256" t="inlineStr">
        <is>
          <t>08.10.2025</t>
        </is>
      </c>
      <c r="N597" s="256" t="inlineStr">
        <is>
          <t>IPH — Institute of Public Health</t>
        </is>
      </c>
      <c r="O597" s="256" t="inlineStr">
        <is>
          <t>01.10.2025</t>
        </is>
      </c>
      <c r="P597" s="256" t="inlineStr">
        <is>
          <t>covered</t>
        </is>
      </c>
      <c r="Q597" s="256" t="inlineStr"/>
      <c r="R597" s="256" t="inlineStr"/>
    </row>
    <row r="598">
      <c r="A598" s="256" t="inlineStr">
        <is>
          <t>CoQ-PP_26-026</t>
        </is>
      </c>
      <c r="B598" s="256" t="inlineStr">
        <is>
          <t>release</t>
        </is>
      </c>
      <c r="C598" s="256" t="inlineStr">
        <is>
          <t>GP062501</t>
        </is>
      </c>
      <c r="D598" s="256" t="inlineStr">
        <is>
          <t>P050202</t>
        </is>
      </c>
      <c r="E598" s="256" t="inlineStr">
        <is>
          <t>Grape Pie</t>
        </is>
      </c>
      <c r="F598" s="256" t="inlineStr">
        <is>
          <t>06.06.2026</t>
        </is>
      </c>
      <c r="G598" s="256" t="inlineStr">
        <is>
          <t>11.4</t>
        </is>
      </c>
      <c r="H598" s="256" t="inlineStr">
        <is>
          <t>Mercury (Hg)</t>
        </is>
      </c>
      <c r="I598" s="256" t="inlineStr">
        <is>
          <t>Ph. Eur. 2.4.27 (ICP-MS)</t>
        </is>
      </c>
      <c r="J598" s="256" t="inlineStr">
        <is>
          <t>≤ 0.1 mg/kg</t>
        </is>
      </c>
      <c r="K598" s="256" t="inlineStr">
        <is>
          <t>0.011</t>
        </is>
      </c>
      <c r="L598" s="256" t="inlineStr">
        <is>
          <t>4762/2025</t>
        </is>
      </c>
      <c r="M598" s="256" t="inlineStr">
        <is>
          <t>08.10.2025</t>
        </is>
      </c>
      <c r="N598" s="256" t="inlineStr">
        <is>
          <t>IPH — Institute of Public Health</t>
        </is>
      </c>
      <c r="O598" s="256" t="inlineStr">
        <is>
          <t>01.10.2025</t>
        </is>
      </c>
      <c r="P598" s="256" t="inlineStr">
        <is>
          <t>covered</t>
        </is>
      </c>
      <c r="Q598" s="256" t="inlineStr"/>
      <c r="R598" s="256" t="inlineStr"/>
    </row>
    <row r="599">
      <c r="A599" s="256" t="inlineStr">
        <is>
          <t>CoQ-PP_26-026</t>
        </is>
      </c>
      <c r="B599" s="256" t="inlineStr">
        <is>
          <t>release</t>
        </is>
      </c>
      <c r="C599" s="256" t="inlineStr">
        <is>
          <t>GP062501</t>
        </is>
      </c>
      <c r="D599" s="256" t="inlineStr">
        <is>
          <t>P050202</t>
        </is>
      </c>
      <c r="E599" s="256" t="inlineStr">
        <is>
          <t>Grape Pie</t>
        </is>
      </c>
      <c r="F599" s="256" t="inlineStr">
        <is>
          <t>06.06.2026</t>
        </is>
      </c>
      <c r="G599" s="256" t="inlineStr">
        <is>
          <t>12</t>
        </is>
      </c>
      <c r="H599" s="256" t="inlineStr">
        <is>
          <t>Pesticide Residues</t>
        </is>
      </c>
      <c r="I599" s="256" t="inlineStr">
        <is>
          <t>Ph. Eur. 2.8.13 (LC-MS/MS) · CUMCS Equivalency</t>
        </is>
      </c>
      <c r="J599" s="256" t="inlineStr">
        <is>
          <t>≤ LOQ as per Ph. Eur. 2.8.13 · ≤ LOQ as per CUMCS Equivalency</t>
        </is>
      </c>
      <c r="K599" s="256" t="inlineStr">
        <is>
          <t>ND</t>
        </is>
      </c>
      <c r="L599" s="256" t="inlineStr">
        <is>
          <t>4762/2025</t>
        </is>
      </c>
      <c r="M599" s="256" t="inlineStr">
        <is>
          <t>08.10.2025</t>
        </is>
      </c>
      <c r="N599" s="256" t="inlineStr">
        <is>
          <t>IPH — Institute of Public Health</t>
        </is>
      </c>
      <c r="O599" s="256" t="inlineStr">
        <is>
          <t>01.10.2025</t>
        </is>
      </c>
      <c r="P599" s="256" t="inlineStr">
        <is>
          <t>covered</t>
        </is>
      </c>
      <c r="Q599" s="256" t="inlineStr"/>
      <c r="R599" s="256" t="inlineStr"/>
    </row>
    <row r="600">
      <c r="A600" s="256" t="inlineStr">
        <is>
          <t>CoQ-PP_26-027</t>
        </is>
      </c>
      <c r="B600" s="256" t="inlineStr">
        <is>
          <t>release</t>
        </is>
      </c>
      <c r="C600" s="256" t="inlineStr">
        <is>
          <t>CJ062501-2</t>
        </is>
      </c>
      <c r="D600" s="256" t="inlineStr">
        <is>
          <t>P050212</t>
        </is>
      </c>
      <c r="E600" s="256" t="inlineStr">
        <is>
          <t>Cap Junky</t>
        </is>
      </c>
      <c r="F600" s="256" t="inlineStr">
        <is>
          <t>06.06.2026</t>
        </is>
      </c>
      <c r="G600" s="256" t="inlineStr">
        <is>
          <t>1</t>
        </is>
      </c>
      <c r="H600" s="256" t="inlineStr">
        <is>
          <t>Identification A, Appearance · Macroscopic</t>
        </is>
      </c>
      <c r="I600" s="256" t="inlineStr">
        <is>
          <t>Ph. Eur. mon. 3028</t>
        </is>
      </c>
      <c r="J600" s="256" t="inlineStr">
        <is>
          <t>Conforms to the monograph for Cannabis flos (07/2024:3028) in Ph. Eur. 11.0 | Согласно монографија за Cannabis flos (07/2024:3028) во Ph. Eur. 11.0</t>
        </is>
      </c>
      <c r="K600" s="256" t="inlineStr">
        <is>
          <t>Conforms | Одговара</t>
        </is>
      </c>
      <c r="L600" s="256" t="inlineStr">
        <is>
          <t>iCoA-PP_26-026</t>
        </is>
      </c>
      <c r="M600" s="256" t="inlineStr">
        <is>
          <t>03.06.2026</t>
        </is>
      </c>
      <c r="N600" s="256" t="inlineStr">
        <is>
          <t>Purely Plant GmbH (in-house)</t>
        </is>
      </c>
      <c r="O600" s="256" t="inlineStr">
        <is>
          <t>—</t>
        </is>
      </c>
      <c r="P600" s="256" t="inlineStr">
        <is>
          <t>to be performed — see route</t>
        </is>
      </c>
      <c r="Q600" s="256" t="inlineStr">
        <is>
          <t>Purely Plant laboratory — iCoA covering Ident A + B</t>
        </is>
      </c>
      <c r="R600" s="256" t="inlineStr"/>
    </row>
    <row r="601">
      <c r="A601" s="256" t="inlineStr">
        <is>
          <t>CoQ-PP_26-027</t>
        </is>
      </c>
      <c r="B601" s="256" t="inlineStr">
        <is>
          <t>release</t>
        </is>
      </c>
      <c r="C601" s="256" t="inlineStr">
        <is>
          <t>CJ062501-2</t>
        </is>
      </c>
      <c r="D601" s="256" t="inlineStr">
        <is>
          <t>P050212</t>
        </is>
      </c>
      <c r="E601" s="256" t="inlineStr">
        <is>
          <t>Cap Junky</t>
        </is>
      </c>
      <c r="F601" s="256" t="inlineStr">
        <is>
          <t>06.06.2026</t>
        </is>
      </c>
      <c r="G601" s="256" t="inlineStr">
        <is>
          <t>2</t>
        </is>
      </c>
      <c r="H601" s="256" t="inlineStr">
        <is>
          <t>Identification B · Microscopic</t>
        </is>
      </c>
      <c r="I601" s="256" t="inlineStr">
        <is>
          <t>Ph. Eur. 2.8.23 (microscopy)</t>
        </is>
      </c>
      <c r="J601" s="256" t="inlineStr">
        <is>
          <t>Conforms to the monograph for Cannabis flos (07/2024:3028) in Ph. Eur. 11.0 | Согласно монографија за Cannabis flos (07/2024:3028) во Ph. Eur. 11.0</t>
        </is>
      </c>
      <c r="K601" s="256" t="inlineStr">
        <is>
          <t>Conforms | Одговара</t>
        </is>
      </c>
      <c r="L601" s="256" t="inlineStr">
        <is>
          <t>iCoA-PP_26-026</t>
        </is>
      </c>
      <c r="M601" s="256" t="inlineStr">
        <is>
          <t>03.06.2026</t>
        </is>
      </c>
      <c r="N601" s="256" t="inlineStr">
        <is>
          <t>Purely Plant GmbH (in-house)</t>
        </is>
      </c>
      <c r="O601" s="256" t="inlineStr">
        <is>
          <t>—</t>
        </is>
      </c>
      <c r="P601" s="256" t="inlineStr">
        <is>
          <t>to be performed — see route</t>
        </is>
      </c>
      <c r="Q601" s="256" t="inlineStr">
        <is>
          <t>Purely Plant laboratory — iCoA covering Ident A + B</t>
        </is>
      </c>
      <c r="R601" s="256" t="inlineStr"/>
    </row>
    <row r="602">
      <c r="A602" s="256" t="inlineStr">
        <is>
          <t>CoQ-PP_26-027</t>
        </is>
      </c>
      <c r="B602" s="256" t="inlineStr">
        <is>
          <t>release</t>
        </is>
      </c>
      <c r="C602" s="256" t="inlineStr">
        <is>
          <t>CJ062501-2</t>
        </is>
      </c>
      <c r="D602" s="256" t="inlineStr">
        <is>
          <t>P050212</t>
        </is>
      </c>
      <c r="E602" s="256" t="inlineStr">
        <is>
          <t>Cap Junky</t>
        </is>
      </c>
      <c r="F602" s="256" t="inlineStr">
        <is>
          <t>06.06.2026</t>
        </is>
      </c>
      <c r="G602" s="256" t="inlineStr">
        <is>
          <t>3</t>
        </is>
      </c>
      <c r="H602" s="256" t="inlineStr">
        <is>
          <t>Identification C · HPLC/HPTLC</t>
        </is>
      </c>
      <c r="I602" s="256" t="inlineStr">
        <is>
          <t>HPLC — DAB 2018 monograph Cannabis flos, 2.2.29 (CNP, before its Ph. Eur. 3028 accreditation)</t>
        </is>
      </c>
      <c r="J602" s="256" t="inlineStr">
        <is>
          <t>Conforms to the monograph for Cannabis flos (07/2024:3028) in Ph. Eur. 11.0 | Согласно монографија за Cannabis flos (07/2024:3028) во Ph. Eur. 11.0</t>
        </is>
      </c>
      <c r="K602" s="256" t="inlineStr">
        <is>
          <t>Conforms | Одговара</t>
        </is>
      </c>
      <c r="L602" s="256" t="inlineStr">
        <is>
          <t>ППК25322</t>
        </is>
      </c>
      <c r="M602" s="256" t="inlineStr">
        <is>
          <t>23.10.2025</t>
        </is>
      </c>
      <c r="N602" s="256" t="inlineStr">
        <is>
          <t>UKIM Faculty of Pharmacy — Center for Natural Products</t>
        </is>
      </c>
      <c r="O602" s="256" t="inlineStr">
        <is>
          <t>10.10.2025</t>
        </is>
      </c>
      <c r="P602" s="256" t="inlineStr">
        <is>
          <t>covered</t>
        </is>
      </c>
      <c r="Q602" s="256" t="inlineStr"/>
      <c r="R602" s="256" t="inlineStr"/>
    </row>
    <row r="603">
      <c r="A603" s="256" t="inlineStr">
        <is>
          <t>CoQ-PP_26-027</t>
        </is>
      </c>
      <c r="B603" s="256" t="inlineStr">
        <is>
          <t>release</t>
        </is>
      </c>
      <c r="C603" s="256" t="inlineStr">
        <is>
          <t>CJ062501-2</t>
        </is>
      </c>
      <c r="D603" s="256" t="inlineStr">
        <is>
          <t>P050212</t>
        </is>
      </c>
      <c r="E603" s="256" t="inlineStr">
        <is>
          <t>Cap Junky</t>
        </is>
      </c>
      <c r="F603" s="256" t="inlineStr">
        <is>
          <t>06.06.2026</t>
        </is>
      </c>
      <c r="G603" s="256" t="inlineStr">
        <is>
          <t>4</t>
        </is>
      </c>
      <c r="H603" s="256" t="inlineStr">
        <is>
          <t>Assay — Total Δ⁹-THC</t>
        </is>
      </c>
      <c r="I603" s="256" t="inlineStr">
        <is>
          <t>HPLC — DAB 2018 monograph Cannabis flos, 2.2.29 (CNP, before its Ph. Eur. 3028 accreditation)</t>
        </is>
      </c>
      <c r="J603" s="256" t="inlineStr">
        <is>
          <t>15.60 – 18.39 %  (grade IV, nominal 17.00 ± 1.40)</t>
        </is>
      </c>
      <c r="K603" s="256" t="inlineStr">
        <is>
          <t>16.56</t>
        </is>
      </c>
      <c r="L603" s="256" t="inlineStr">
        <is>
          <t>ППК25322</t>
        </is>
      </c>
      <c r="M603" s="256" t="inlineStr">
        <is>
          <t>23.10.2025</t>
        </is>
      </c>
      <c r="N603" s="256" t="inlineStr">
        <is>
          <t>UKIM Faculty of Pharmacy — Center for Natural Products</t>
        </is>
      </c>
      <c r="O603" s="256" t="inlineStr">
        <is>
          <t>10.10.2025</t>
        </is>
      </c>
      <c r="P603" s="256" t="inlineStr">
        <is>
          <t>covered</t>
        </is>
      </c>
      <c r="Q603" s="256" t="inlineStr"/>
      <c r="R603" s="256" t="inlineStr">
        <is>
          <t>18.91 (197-4-К/26)</t>
        </is>
      </c>
    </row>
    <row r="604">
      <c r="A604" s="256" t="inlineStr">
        <is>
          <t>CoQ-PP_26-027</t>
        </is>
      </c>
      <c r="B604" s="256" t="inlineStr">
        <is>
          <t>release</t>
        </is>
      </c>
      <c r="C604" s="256" t="inlineStr">
        <is>
          <t>CJ062501-2</t>
        </is>
      </c>
      <c r="D604" s="256" t="inlineStr">
        <is>
          <t>P050212</t>
        </is>
      </c>
      <c r="E604" s="256" t="inlineStr">
        <is>
          <t>Cap Junky</t>
        </is>
      </c>
      <c r="F604" s="256" t="inlineStr">
        <is>
          <t>06.06.2026</t>
        </is>
      </c>
      <c r="G604" s="256" t="inlineStr">
        <is>
          <t>5</t>
        </is>
      </c>
      <c r="H604" s="256" t="inlineStr">
        <is>
          <t>Assay — Total CBD</t>
        </is>
      </c>
      <c r="I604" s="256" t="inlineStr">
        <is>
          <t>HPLC — DAB 2018 monograph Cannabis flos, 2.2.29 · CBD + CBDA x 0.877 (CNP, before its Ph. Eur. 3028 accreditation)</t>
        </is>
      </c>
      <c r="J604" s="256" t="inlineStr">
        <is>
          <t>≤ 1.0%, w/w</t>
        </is>
      </c>
      <c r="K604" s="256" t="inlineStr">
        <is>
          <t>0.14</t>
        </is>
      </c>
      <c r="L604" s="256" t="inlineStr">
        <is>
          <t>ППК25322</t>
        </is>
      </c>
      <c r="M604" s="256" t="inlineStr">
        <is>
          <t>23.10.2025</t>
        </is>
      </c>
      <c r="N604" s="256" t="inlineStr">
        <is>
          <t>UKIM Faculty of Pharmacy — Center for Natural Products</t>
        </is>
      </c>
      <c r="O604" s="256" t="inlineStr">
        <is>
          <t>10.10.2025</t>
        </is>
      </c>
      <c r="P604" s="256" t="inlineStr">
        <is>
          <t>covered</t>
        </is>
      </c>
      <c r="Q604" s="256" t="inlineStr"/>
      <c r="R604" s="256" t="inlineStr">
        <is>
          <t>&lt;LOQ (197-4-К/26)</t>
        </is>
      </c>
    </row>
    <row r="605">
      <c r="A605" s="256" t="inlineStr">
        <is>
          <t>CoQ-PP_26-027</t>
        </is>
      </c>
      <c r="B605" s="256" t="inlineStr">
        <is>
          <t>release</t>
        </is>
      </c>
      <c r="C605" s="256" t="inlineStr">
        <is>
          <t>CJ062501-2</t>
        </is>
      </c>
      <c r="D605" s="256" t="inlineStr">
        <is>
          <t>P050212</t>
        </is>
      </c>
      <c r="E605" s="256" t="inlineStr">
        <is>
          <t>Cap Junky</t>
        </is>
      </c>
      <c r="F605" s="256" t="inlineStr">
        <is>
          <t>06.06.2026</t>
        </is>
      </c>
      <c r="G605" s="256" t="inlineStr">
        <is>
          <t>6</t>
        </is>
      </c>
      <c r="H605" s="256" t="inlineStr">
        <is>
          <t>Total CBN</t>
        </is>
      </c>
      <c r="I605" s="256" t="inlineStr">
        <is>
          <t>HPLC — DAB 2018 monograph Cannabis flos, 2.2.29 · CBN + CBNA x 0.876 (CNP, before its Ph. Eur. 3028 accreditation)</t>
        </is>
      </c>
      <c r="J605" s="256" t="inlineStr">
        <is>
          <t>≤ 1.0%, w/w</t>
        </is>
      </c>
      <c r="K605" s="256" t="inlineStr">
        <is>
          <t>&lt; LOQ ᴰ</t>
        </is>
      </c>
      <c r="L605" s="256" t="inlineStr">
        <is>
          <t>ППК25322</t>
        </is>
      </c>
      <c r="M605" s="256" t="inlineStr">
        <is>
          <t>23.10.2025</t>
        </is>
      </c>
      <c r="N605" s="256" t="inlineStr">
        <is>
          <t>CNP</t>
        </is>
      </c>
      <c r="O605" s="256" t="inlineStr">
        <is>
          <t>10.10.2025</t>
        </is>
      </c>
      <c r="P605" s="256" t="inlineStr">
        <is>
          <t>covered</t>
        </is>
      </c>
      <c r="Q605" s="256" t="inlineStr"/>
      <c r="R605" s="256" t="inlineStr"/>
    </row>
    <row r="606">
      <c r="A606" s="256" t="inlineStr">
        <is>
          <t>CoQ-PP_26-027</t>
        </is>
      </c>
      <c r="B606" s="256" t="inlineStr">
        <is>
          <t>release</t>
        </is>
      </c>
      <c r="C606" s="256" t="inlineStr">
        <is>
          <t>CJ062501-2</t>
        </is>
      </c>
      <c r="D606" s="256" t="inlineStr">
        <is>
          <t>P050212</t>
        </is>
      </c>
      <c r="E606" s="256" t="inlineStr">
        <is>
          <t>Cap Junky</t>
        </is>
      </c>
      <c r="F606" s="256" t="inlineStr">
        <is>
          <t>06.06.2026</t>
        </is>
      </c>
      <c r="G606" s="256" t="inlineStr">
        <is>
          <t>7</t>
        </is>
      </c>
      <c r="H606" s="256" t="inlineStr">
        <is>
          <t>Foreign Matter</t>
        </is>
      </c>
      <c r="I606" s="256" t="inlineStr">
        <is>
          <t>Ph. Eur. 2.8.2 · In-house · интерна</t>
        </is>
      </c>
      <c r="J606" s="256" t="inlineStr">
        <is>
          <t>≤ 2.0% / 25–50 g · &lt; 1 cm leaves | листови, no seeds | без семки</t>
        </is>
      </c>
      <c r="K606" s="256" t="inlineStr">
        <is>
          <t>Conforms | Одговара</t>
        </is>
      </c>
      <c r="L606" s="256" t="inlineStr">
        <is>
          <t>iCoA-PP_26-026</t>
        </is>
      </c>
      <c r="M606" s="256" t="inlineStr">
        <is>
          <t>03.06.2026</t>
        </is>
      </c>
      <c r="N606" s="256" t="inlineStr">
        <is>
          <t>Purely Plant GmbH (in-house)</t>
        </is>
      </c>
      <c r="O606" s="256" t="inlineStr">
        <is>
          <t>—</t>
        </is>
      </c>
      <c r="P606" s="256" t="inlineStr">
        <is>
          <t>to be performed — see route</t>
        </is>
      </c>
      <c r="Q606" s="256" t="inlineStr">
        <is>
          <t>Purely Plant laboratory — iCoA covering Foreign matter</t>
        </is>
      </c>
      <c r="R606" s="256" t="inlineStr"/>
    </row>
    <row r="607">
      <c r="A607" s="256" t="inlineStr">
        <is>
          <t>CoQ-PP_26-027</t>
        </is>
      </c>
      <c r="B607" s="256" t="inlineStr">
        <is>
          <t>release</t>
        </is>
      </c>
      <c r="C607" s="256" t="inlineStr">
        <is>
          <t>CJ062501-2</t>
        </is>
      </c>
      <c r="D607" s="256" t="inlineStr">
        <is>
          <t>P050212</t>
        </is>
      </c>
      <c r="E607" s="256" t="inlineStr">
        <is>
          <t>Cap Junky</t>
        </is>
      </c>
      <c r="F607" s="256" t="inlineStr">
        <is>
          <t>06.06.2026</t>
        </is>
      </c>
      <c r="G607" s="256" t="inlineStr">
        <is>
          <t>8</t>
        </is>
      </c>
      <c r="H607" s="256" t="inlineStr">
        <is>
          <t>Loss on Drying</t>
        </is>
      </c>
      <c r="I607" s="256" t="inlineStr">
        <is>
          <t>DAB 2018 monograph Cannabis flos, 2.2.32 — loss on drying (CNP, before its Ph. Eur. 3028 accreditation)</t>
        </is>
      </c>
      <c r="J607" s="256" t="inlineStr">
        <is>
          <t>≤ 12.0%</t>
        </is>
      </c>
      <c r="K607" s="256" t="inlineStr">
        <is>
          <t>6.70</t>
        </is>
      </c>
      <c r="L607" s="256" t="inlineStr">
        <is>
          <t>ППК25322</t>
        </is>
      </c>
      <c r="M607" s="256" t="inlineStr">
        <is>
          <t>23.10.2025</t>
        </is>
      </c>
      <c r="N607" s="256" t="inlineStr">
        <is>
          <t>UKIM Faculty of Pharmacy — Center for Natural Products</t>
        </is>
      </c>
      <c r="O607" s="256" t="inlineStr">
        <is>
          <t>10.10.2025</t>
        </is>
      </c>
      <c r="P607" s="256" t="inlineStr">
        <is>
          <t>covered</t>
        </is>
      </c>
      <c r="Q607" s="256" t="inlineStr"/>
      <c r="R607" s="256" t="inlineStr"/>
    </row>
    <row r="608">
      <c r="A608" s="256" t="inlineStr">
        <is>
          <t>CoQ-PP_26-027</t>
        </is>
      </c>
      <c r="B608" s="256" t="inlineStr">
        <is>
          <t>release</t>
        </is>
      </c>
      <c r="C608" s="256" t="inlineStr">
        <is>
          <t>CJ062501-2</t>
        </is>
      </c>
      <c r="D608" s="256" t="inlineStr">
        <is>
          <t>P050212</t>
        </is>
      </c>
      <c r="E608" s="256" t="inlineStr">
        <is>
          <t>Cap Junky</t>
        </is>
      </c>
      <c r="F608" s="256" t="inlineStr">
        <is>
          <t>06.06.2026</t>
        </is>
      </c>
      <c r="G608" s="256" t="inlineStr">
        <is>
          <t>9.1</t>
        </is>
      </c>
      <c r="H608" s="256" t="inlineStr">
        <is>
          <t>TAMC</t>
        </is>
      </c>
      <c r="I608" s="256" t="inlineStr">
        <is>
          <t>Ph. Eur. 2.6.12 cat. C</t>
        </is>
      </c>
      <c r="J608" s="256" t="inlineStr">
        <is>
          <t>≤ 10⁵ CFU/g</t>
        </is>
      </c>
      <c r="K608" s="256" t="inlineStr">
        <is>
          <t>2.2 × 10⁴</t>
        </is>
      </c>
      <c r="L608" s="256" t="inlineStr">
        <is>
          <t>1032/1851/25</t>
        </is>
      </c>
      <c r="M608" s="256" t="inlineStr">
        <is>
          <t>17.10.2025</t>
        </is>
      </c>
      <c r="N608" s="256" t="inlineStr">
        <is>
          <t>IPH — Institute of Public Health</t>
        </is>
      </c>
      <c r="O608" s="256" t="inlineStr">
        <is>
          <t>—</t>
        </is>
      </c>
      <c r="P608" s="256" t="inlineStr">
        <is>
          <t>covered</t>
        </is>
      </c>
      <c r="Q608" s="256" t="inlineStr"/>
      <c r="R608" s="256" t="inlineStr"/>
    </row>
    <row r="609">
      <c r="A609" s="256" t="inlineStr">
        <is>
          <t>CoQ-PP_26-027</t>
        </is>
      </c>
      <c r="B609" s="256" t="inlineStr">
        <is>
          <t>release</t>
        </is>
      </c>
      <c r="C609" s="256" t="inlineStr">
        <is>
          <t>CJ062501-2</t>
        </is>
      </c>
      <c r="D609" s="256" t="inlineStr">
        <is>
          <t>P050212</t>
        </is>
      </c>
      <c r="E609" s="256" t="inlineStr">
        <is>
          <t>Cap Junky</t>
        </is>
      </c>
      <c r="F609" s="256" t="inlineStr">
        <is>
          <t>06.06.2026</t>
        </is>
      </c>
      <c r="G609" s="256" t="inlineStr">
        <is>
          <t>9.2</t>
        </is>
      </c>
      <c r="H609" s="256" t="inlineStr">
        <is>
          <t>TYMC</t>
        </is>
      </c>
      <c r="I609" s="256" t="inlineStr">
        <is>
          <t>Ph. Eur. 2.6.12 cat. C</t>
        </is>
      </c>
      <c r="J609" s="256" t="inlineStr">
        <is>
          <t>≤ 10⁴ CFU/g</t>
        </is>
      </c>
      <c r="K609" s="256" t="inlineStr">
        <is>
          <t>4.9 × 10⁴</t>
        </is>
      </c>
      <c r="L609" s="256" t="inlineStr">
        <is>
          <t>1032/1851/25</t>
        </is>
      </c>
      <c r="M609" s="256" t="inlineStr">
        <is>
          <t>17.10.2025</t>
        </is>
      </c>
      <c r="N609" s="256" t="inlineStr">
        <is>
          <t>IPH — Institute of Public Health</t>
        </is>
      </c>
      <c r="O609" s="256" t="inlineStr">
        <is>
          <t>—</t>
        </is>
      </c>
      <c r="P609" s="256" t="inlineStr">
        <is>
          <t>OUT OF SPECIFICATION</t>
        </is>
      </c>
      <c r="Q609" s="256" t="inlineStr"/>
      <c r="R609" s="256" t="inlineStr"/>
    </row>
    <row r="610">
      <c r="A610" s="256" t="inlineStr">
        <is>
          <t>CoQ-PP_26-027</t>
        </is>
      </c>
      <c r="B610" s="256" t="inlineStr">
        <is>
          <t>release</t>
        </is>
      </c>
      <c r="C610" s="256" t="inlineStr">
        <is>
          <t>CJ062501-2</t>
        </is>
      </c>
      <c r="D610" s="256" t="inlineStr">
        <is>
          <t>P050212</t>
        </is>
      </c>
      <c r="E610" s="256" t="inlineStr">
        <is>
          <t>Cap Junky</t>
        </is>
      </c>
      <c r="F610" s="256" t="inlineStr">
        <is>
          <t>06.06.2026</t>
        </is>
      </c>
      <c r="G610" s="256" t="inlineStr">
        <is>
          <t>9.3</t>
        </is>
      </c>
      <c r="H610" s="256" t="inlineStr">
        <is>
          <t>Bile-tolerant gram-neg.</t>
        </is>
      </c>
      <c r="I610" s="256" t="inlineStr">
        <is>
          <t>Ph. Eur. 2.6.31 cat. C</t>
        </is>
      </c>
      <c r="J610" s="256" t="inlineStr">
        <is>
          <t>≤ 10⁴ CFU/g</t>
        </is>
      </c>
      <c r="K610" s="256" t="inlineStr">
        <is>
          <t>&lt; 10⁴ and &gt; 10³</t>
        </is>
      </c>
      <c r="L610" s="256" t="inlineStr">
        <is>
          <t>1032/1851/25</t>
        </is>
      </c>
      <c r="M610" s="256" t="inlineStr">
        <is>
          <t>17.10.2025</t>
        </is>
      </c>
      <c r="N610" s="256" t="inlineStr">
        <is>
          <t>IPH — Institute of Public Health</t>
        </is>
      </c>
      <c r="O610" s="256" t="inlineStr">
        <is>
          <t>—</t>
        </is>
      </c>
      <c r="P610" s="256" t="inlineStr">
        <is>
          <t>covered</t>
        </is>
      </c>
      <c r="Q610" s="256" t="inlineStr"/>
      <c r="R610" s="256" t="inlineStr"/>
    </row>
    <row r="611">
      <c r="A611" s="256" t="inlineStr">
        <is>
          <t>CoQ-PP_26-027</t>
        </is>
      </c>
      <c r="B611" s="256" t="inlineStr">
        <is>
          <t>release</t>
        </is>
      </c>
      <c r="C611" s="256" t="inlineStr">
        <is>
          <t>CJ062501-2</t>
        </is>
      </c>
      <c r="D611" s="256" t="inlineStr">
        <is>
          <t>P050212</t>
        </is>
      </c>
      <c r="E611" s="256" t="inlineStr">
        <is>
          <t>Cap Junky</t>
        </is>
      </c>
      <c r="F611" s="256" t="inlineStr">
        <is>
          <t>06.06.2026</t>
        </is>
      </c>
      <c r="G611" s="256" t="inlineStr">
        <is>
          <t>9.4</t>
        </is>
      </c>
      <c r="H611" s="256" t="inlineStr">
        <is>
          <t>Salmonella</t>
        </is>
      </c>
      <c r="I611" s="256" t="inlineStr">
        <is>
          <t>Ph. Eur. 2.6.31 cat. C</t>
        </is>
      </c>
      <c r="J611" s="256" t="inlineStr">
        <is>
          <t>Absence | Отсуство / 25 g</t>
        </is>
      </c>
      <c r="K611" s="256" t="inlineStr">
        <is>
          <t>Absent | Отсутна</t>
        </is>
      </c>
      <c r="L611" s="256" t="inlineStr">
        <is>
          <t>1032/1851/25</t>
        </is>
      </c>
      <c r="M611" s="256" t="inlineStr">
        <is>
          <t>17.10.2025</t>
        </is>
      </c>
      <c r="N611" s="256" t="inlineStr">
        <is>
          <t>IPH — Institute of Public Health</t>
        </is>
      </c>
      <c r="O611" s="256" t="inlineStr">
        <is>
          <t>—</t>
        </is>
      </c>
      <c r="P611" s="256" t="inlineStr">
        <is>
          <t>covered</t>
        </is>
      </c>
      <c r="Q611" s="256" t="inlineStr"/>
      <c r="R611" s="256" t="inlineStr"/>
    </row>
    <row r="612">
      <c r="A612" s="256" t="inlineStr">
        <is>
          <t>CoQ-PP_26-027</t>
        </is>
      </c>
      <c r="B612" s="256" t="inlineStr">
        <is>
          <t>release</t>
        </is>
      </c>
      <c r="C612" s="256" t="inlineStr">
        <is>
          <t>CJ062501-2</t>
        </is>
      </c>
      <c r="D612" s="256" t="inlineStr">
        <is>
          <t>P050212</t>
        </is>
      </c>
      <c r="E612" s="256" t="inlineStr">
        <is>
          <t>Cap Junky</t>
        </is>
      </c>
      <c r="F612" s="256" t="inlineStr">
        <is>
          <t>06.06.2026</t>
        </is>
      </c>
      <c r="G612" s="256" t="inlineStr">
        <is>
          <t>9.5</t>
        </is>
      </c>
      <c r="H612" s="256" t="inlineStr">
        <is>
          <t>Escherichia coli</t>
        </is>
      </c>
      <c r="I612" s="256" t="inlineStr">
        <is>
          <t>Ph. Eur. 2.6.13 cat. C</t>
        </is>
      </c>
      <c r="J612" s="256" t="inlineStr">
        <is>
          <t>Absence | Отсуство / 1 g</t>
        </is>
      </c>
      <c r="K612" s="256" t="inlineStr">
        <is>
          <t>Absent | Отсутна</t>
        </is>
      </c>
      <c r="L612" s="256" t="inlineStr">
        <is>
          <t>1032/1851/25</t>
        </is>
      </c>
      <c r="M612" s="256" t="inlineStr">
        <is>
          <t>17.10.2025</t>
        </is>
      </c>
      <c r="N612" s="256" t="inlineStr">
        <is>
          <t>IPH — Institute of Public Health</t>
        </is>
      </c>
      <c r="O612" s="256" t="inlineStr">
        <is>
          <t>—</t>
        </is>
      </c>
      <c r="P612" s="256" t="inlineStr">
        <is>
          <t>covered</t>
        </is>
      </c>
      <c r="Q612" s="256" t="inlineStr"/>
      <c r="R612" s="256" t="inlineStr"/>
    </row>
    <row r="613">
      <c r="A613" s="256" t="inlineStr">
        <is>
          <t>CoQ-PP_26-027</t>
        </is>
      </c>
      <c r="B613" s="256" t="inlineStr">
        <is>
          <t>release</t>
        </is>
      </c>
      <c r="C613" s="256" t="inlineStr">
        <is>
          <t>CJ062501-2</t>
        </is>
      </c>
      <c r="D613" s="256" t="inlineStr">
        <is>
          <t>P050212</t>
        </is>
      </c>
      <c r="E613" s="256" t="inlineStr">
        <is>
          <t>Cap Junky</t>
        </is>
      </c>
      <c r="F613" s="256" t="inlineStr">
        <is>
          <t>06.06.2026</t>
        </is>
      </c>
      <c r="G613" s="256" t="inlineStr">
        <is>
          <t>9.6</t>
        </is>
      </c>
      <c r="H613" s="256" t="inlineStr">
        <is>
          <t>Pseudomonas aeruginosa</t>
        </is>
      </c>
      <c r="I613" s="256" t="inlineStr">
        <is>
          <t>Ph. Eur. 2.6.13 cat. C</t>
        </is>
      </c>
      <c r="J613" s="256" t="inlineStr">
        <is>
          <t>Absence | Отсуство / 1 g</t>
        </is>
      </c>
      <c r="K613" s="260" t="inlineStr">
        <is>
          <t>upon request — not required for release</t>
        </is>
      </c>
      <c r="L613" s="256" t="inlineStr">
        <is>
          <t>—</t>
        </is>
      </c>
      <c r="M613" s="256" t="inlineStr">
        <is>
          <t>—</t>
        </is>
      </c>
      <c r="N613" s="256" t="inlineStr">
        <is>
          <t>—</t>
        </is>
      </c>
      <c r="O613" s="256" t="inlineStr">
        <is>
          <t>—</t>
        </is>
      </c>
      <c r="P613" s="256" t="inlineStr">
        <is>
          <t>upon request — not required for release</t>
        </is>
      </c>
      <c r="Q613" s="256" t="inlineStr"/>
      <c r="R613" s="256" t="inlineStr"/>
    </row>
    <row r="614">
      <c r="A614" s="256" t="inlineStr">
        <is>
          <t>CoQ-PP_26-027</t>
        </is>
      </c>
      <c r="B614" s="256" t="inlineStr">
        <is>
          <t>release</t>
        </is>
      </c>
      <c r="C614" s="256" t="inlineStr">
        <is>
          <t>CJ062501-2</t>
        </is>
      </c>
      <c r="D614" s="256" t="inlineStr">
        <is>
          <t>P050212</t>
        </is>
      </c>
      <c r="E614" s="256" t="inlineStr">
        <is>
          <t>Cap Junky</t>
        </is>
      </c>
      <c r="F614" s="256" t="inlineStr">
        <is>
          <t>06.06.2026</t>
        </is>
      </c>
      <c r="G614" s="256" t="inlineStr">
        <is>
          <t>9.7</t>
        </is>
      </c>
      <c r="H614" s="256" t="inlineStr">
        <is>
          <t>Staphylococcus aureus</t>
        </is>
      </c>
      <c r="I614" s="256" t="inlineStr">
        <is>
          <t>Ph. Eur. 2.6.13 cat. C</t>
        </is>
      </c>
      <c r="J614" s="256" t="inlineStr">
        <is>
          <t>Absence | Отсуство / 1 g</t>
        </is>
      </c>
      <c r="K614" s="260" t="inlineStr">
        <is>
          <t>upon request — not required for release</t>
        </is>
      </c>
      <c r="L614" s="256" t="inlineStr">
        <is>
          <t>—</t>
        </is>
      </c>
      <c r="M614" s="256" t="inlineStr">
        <is>
          <t>—</t>
        </is>
      </c>
      <c r="N614" s="256" t="inlineStr">
        <is>
          <t>—</t>
        </is>
      </c>
      <c r="O614" s="256" t="inlineStr">
        <is>
          <t>—</t>
        </is>
      </c>
      <c r="P614" s="256" t="inlineStr">
        <is>
          <t>upon request — not required for release</t>
        </is>
      </c>
      <c r="Q614" s="256" t="inlineStr"/>
      <c r="R614" s="256" t="inlineStr"/>
    </row>
    <row r="615">
      <c r="A615" s="256" t="inlineStr">
        <is>
          <t>CoQ-PP_26-027</t>
        </is>
      </c>
      <c r="B615" s="256" t="inlineStr">
        <is>
          <t>release</t>
        </is>
      </c>
      <c r="C615" s="256" t="inlineStr">
        <is>
          <t>CJ062501-2</t>
        </is>
      </c>
      <c r="D615" s="256" t="inlineStr">
        <is>
          <t>P050212</t>
        </is>
      </c>
      <c r="E615" s="256" t="inlineStr">
        <is>
          <t>Cap Junky</t>
        </is>
      </c>
      <c r="F615" s="256" t="inlineStr">
        <is>
          <t>06.06.2026</t>
        </is>
      </c>
      <c r="G615" s="256" t="inlineStr">
        <is>
          <t>10.1</t>
        </is>
      </c>
      <c r="H615" s="256" t="inlineStr">
        <is>
          <t>Aflatoxin B₁</t>
        </is>
      </c>
      <c r="I615" s="256" t="inlineStr">
        <is>
          <t>Ph. Eur. 2.8.18 (HPLC-FLD)</t>
        </is>
      </c>
      <c r="J615" s="256" t="inlineStr">
        <is>
          <t>≤ 2 µg/kg</t>
        </is>
      </c>
      <c r="K615" s="259" t="inlineStr">
        <is>
          <t>not tested</t>
        </is>
      </c>
      <c r="L615" s="256" t="inlineStr">
        <is>
          <t>—</t>
        </is>
      </c>
      <c r="M615" s="256" t="inlineStr">
        <is>
          <t>—</t>
        </is>
      </c>
      <c r="N615" s="256" t="inlineStr">
        <is>
          <t>—</t>
        </is>
      </c>
      <c r="O615" s="256" t="inlineStr">
        <is>
          <t>—</t>
        </is>
      </c>
      <c r="P615" s="256" t="inlineStr">
        <is>
          <t>not tested — no certificate covers it</t>
        </is>
      </c>
      <c r="Q615" s="256" t="inlineStr"/>
      <c r="R615" s="256" t="inlineStr">
        <is>
          <t>ND (197-4-М/26)</t>
        </is>
      </c>
    </row>
    <row r="616">
      <c r="A616" s="256" t="inlineStr">
        <is>
          <t>CoQ-PP_26-027</t>
        </is>
      </c>
      <c r="B616" s="256" t="inlineStr">
        <is>
          <t>release</t>
        </is>
      </c>
      <c r="C616" s="256" t="inlineStr">
        <is>
          <t>CJ062501-2</t>
        </is>
      </c>
      <c r="D616" s="256" t="inlineStr">
        <is>
          <t>P050212</t>
        </is>
      </c>
      <c r="E616" s="256" t="inlineStr">
        <is>
          <t>Cap Junky</t>
        </is>
      </c>
      <c r="F616" s="256" t="inlineStr">
        <is>
          <t>06.06.2026</t>
        </is>
      </c>
      <c r="G616" s="256" t="inlineStr">
        <is>
          <t>10.2</t>
        </is>
      </c>
      <c r="H616" s="256" t="inlineStr">
        <is>
          <t>Aflatoxins ∑</t>
        </is>
      </c>
      <c r="I616" s="256" t="inlineStr">
        <is>
          <t>Ph. Eur. 2.8.18 (HPLC-FLD)</t>
        </is>
      </c>
      <c r="J616" s="256" t="inlineStr">
        <is>
          <t>≤ 4 µg/kg</t>
        </is>
      </c>
      <c r="K616" s="256" t="inlineStr">
        <is>
          <t>&lt; 2</t>
        </is>
      </c>
      <c r="L616" s="256" t="inlineStr">
        <is>
          <t>4908/2025</t>
        </is>
      </c>
      <c r="M616" s="256" t="inlineStr">
        <is>
          <t>24.10.2025</t>
        </is>
      </c>
      <c r="N616" s="256" t="inlineStr">
        <is>
          <t>IPH — Institute of Public Health</t>
        </is>
      </c>
      <c r="O616" s="256" t="inlineStr">
        <is>
          <t>10.10.2025</t>
        </is>
      </c>
      <c r="P616" s="256" t="inlineStr">
        <is>
          <t>covered</t>
        </is>
      </c>
      <c r="Q616" s="256" t="inlineStr"/>
      <c r="R616" s="256" t="inlineStr">
        <is>
          <t>ND (197-4-М/26)</t>
        </is>
      </c>
    </row>
    <row r="617">
      <c r="A617" s="256" t="inlineStr">
        <is>
          <t>CoQ-PP_26-027</t>
        </is>
      </c>
      <c r="B617" s="256" t="inlineStr">
        <is>
          <t>release</t>
        </is>
      </c>
      <c r="C617" s="256" t="inlineStr">
        <is>
          <t>CJ062501-2</t>
        </is>
      </c>
      <c r="D617" s="256" t="inlineStr">
        <is>
          <t>P050212</t>
        </is>
      </c>
      <c r="E617" s="256" t="inlineStr">
        <is>
          <t>Cap Junky</t>
        </is>
      </c>
      <c r="F617" s="256" t="inlineStr">
        <is>
          <t>06.06.2026</t>
        </is>
      </c>
      <c r="G617" s="256" t="inlineStr">
        <is>
          <t>10.3</t>
        </is>
      </c>
      <c r="H617" s="256" t="inlineStr">
        <is>
          <t>Ochratoxin A</t>
        </is>
      </c>
      <c r="I617" s="256" t="inlineStr">
        <is>
          <t>Ph. Eur. 2.8.22 (HPLC-FLD)</t>
        </is>
      </c>
      <c r="J617" s="256" t="inlineStr">
        <is>
          <t>≤ 20 µg/kg</t>
        </is>
      </c>
      <c r="K617" s="259" t="inlineStr">
        <is>
          <t>not tested</t>
        </is>
      </c>
      <c r="L617" s="256" t="inlineStr">
        <is>
          <t>—</t>
        </is>
      </c>
      <c r="M617" s="256" t="inlineStr">
        <is>
          <t>—</t>
        </is>
      </c>
      <c r="N617" s="256" t="inlineStr">
        <is>
          <t>—</t>
        </is>
      </c>
      <c r="O617" s="256" t="inlineStr">
        <is>
          <t>—</t>
        </is>
      </c>
      <c r="P617" s="256" t="inlineStr">
        <is>
          <t>not tested — no certificate covers it</t>
        </is>
      </c>
      <c r="Q617" s="256" t="inlineStr"/>
      <c r="R617" s="256" t="inlineStr">
        <is>
          <t>ND (197-4-М/26)</t>
        </is>
      </c>
    </row>
    <row r="618">
      <c r="A618" s="256" t="inlineStr">
        <is>
          <t>CoQ-PP_26-027</t>
        </is>
      </c>
      <c r="B618" s="256" t="inlineStr">
        <is>
          <t>release</t>
        </is>
      </c>
      <c r="C618" s="256" t="inlineStr">
        <is>
          <t>CJ062501-2</t>
        </is>
      </c>
      <c r="D618" s="256" t="inlineStr">
        <is>
          <t>P050212</t>
        </is>
      </c>
      <c r="E618" s="256" t="inlineStr">
        <is>
          <t>Cap Junky</t>
        </is>
      </c>
      <c r="F618" s="256" t="inlineStr">
        <is>
          <t>06.06.2026</t>
        </is>
      </c>
      <c r="G618" s="256" t="inlineStr">
        <is>
          <t>11.1</t>
        </is>
      </c>
      <c r="H618" s="256" t="inlineStr">
        <is>
          <t>Lead (Pb)</t>
        </is>
      </c>
      <c r="I618" s="256" t="inlineStr">
        <is>
          <t>Ph. Eur. 2.4.27 (ICP-MS)</t>
        </is>
      </c>
      <c r="J618" s="256" t="inlineStr">
        <is>
          <t>≤ 0.5 mg/kg</t>
        </is>
      </c>
      <c r="K618" s="256" t="inlineStr">
        <is>
          <t>0.026</t>
        </is>
      </c>
      <c r="L618" s="256" t="inlineStr">
        <is>
          <t>4908/2025</t>
        </is>
      </c>
      <c r="M618" s="256" t="inlineStr">
        <is>
          <t>24.10.2025</t>
        </is>
      </c>
      <c r="N618" s="256" t="inlineStr">
        <is>
          <t>IPH — Institute of Public Health</t>
        </is>
      </c>
      <c r="O618" s="256" t="inlineStr">
        <is>
          <t>10.10.2025</t>
        </is>
      </c>
      <c r="P618" s="256" t="inlineStr">
        <is>
          <t>covered</t>
        </is>
      </c>
      <c r="Q618" s="256" t="inlineStr"/>
      <c r="R618" s="256" t="inlineStr"/>
    </row>
    <row r="619">
      <c r="A619" s="256" t="inlineStr">
        <is>
          <t>CoQ-PP_26-027</t>
        </is>
      </c>
      <c r="B619" s="256" t="inlineStr">
        <is>
          <t>release</t>
        </is>
      </c>
      <c r="C619" s="256" t="inlineStr">
        <is>
          <t>CJ062501-2</t>
        </is>
      </c>
      <c r="D619" s="256" t="inlineStr">
        <is>
          <t>P050212</t>
        </is>
      </c>
      <c r="E619" s="256" t="inlineStr">
        <is>
          <t>Cap Junky</t>
        </is>
      </c>
      <c r="F619" s="256" t="inlineStr">
        <is>
          <t>06.06.2026</t>
        </is>
      </c>
      <c r="G619" s="256" t="inlineStr">
        <is>
          <t>11.2</t>
        </is>
      </c>
      <c r="H619" s="256" t="inlineStr">
        <is>
          <t>Cadmium (Cd)</t>
        </is>
      </c>
      <c r="I619" s="256" t="inlineStr">
        <is>
          <t>Ph. Eur. 2.4.27 (ICP-MS)</t>
        </is>
      </c>
      <c r="J619" s="256" t="inlineStr">
        <is>
          <t>≤ 0.3 mg/kg</t>
        </is>
      </c>
      <c r="K619" s="256" t="inlineStr">
        <is>
          <t>0.002</t>
        </is>
      </c>
      <c r="L619" s="256" t="inlineStr">
        <is>
          <t>4908/2025</t>
        </is>
      </c>
      <c r="M619" s="256" t="inlineStr">
        <is>
          <t>24.10.2025</t>
        </is>
      </c>
      <c r="N619" s="256" t="inlineStr">
        <is>
          <t>IPH — Institute of Public Health</t>
        </is>
      </c>
      <c r="O619" s="256" t="inlineStr">
        <is>
          <t>10.10.2025</t>
        </is>
      </c>
      <c r="P619" s="256" t="inlineStr">
        <is>
          <t>covered</t>
        </is>
      </c>
      <c r="Q619" s="256" t="inlineStr"/>
      <c r="R619" s="256" t="inlineStr"/>
    </row>
    <row r="620">
      <c r="A620" s="256" t="inlineStr">
        <is>
          <t>CoQ-PP_26-027</t>
        </is>
      </c>
      <c r="B620" s="256" t="inlineStr">
        <is>
          <t>release</t>
        </is>
      </c>
      <c r="C620" s="256" t="inlineStr">
        <is>
          <t>CJ062501-2</t>
        </is>
      </c>
      <c r="D620" s="256" t="inlineStr">
        <is>
          <t>P050212</t>
        </is>
      </c>
      <c r="E620" s="256" t="inlineStr">
        <is>
          <t>Cap Junky</t>
        </is>
      </c>
      <c r="F620" s="256" t="inlineStr">
        <is>
          <t>06.06.2026</t>
        </is>
      </c>
      <c r="G620" s="256" t="inlineStr">
        <is>
          <t>11.3</t>
        </is>
      </c>
      <c r="H620" s="256" t="inlineStr">
        <is>
          <t>Arsenic (As)</t>
        </is>
      </c>
      <c r="I620" s="256" t="inlineStr">
        <is>
          <t>Ph. Eur. 2.4.27 (ICP-MS)</t>
        </is>
      </c>
      <c r="J620" s="256" t="inlineStr">
        <is>
          <t>≤ 0.2 mg/kg</t>
        </is>
      </c>
      <c r="K620" s="256" t="inlineStr">
        <is>
          <t>0.011</t>
        </is>
      </c>
      <c r="L620" s="256" t="inlineStr">
        <is>
          <t>4908/2025</t>
        </is>
      </c>
      <c r="M620" s="256" t="inlineStr">
        <is>
          <t>24.10.2025</t>
        </is>
      </c>
      <c r="N620" s="256" t="inlineStr">
        <is>
          <t>IPH — Institute of Public Health</t>
        </is>
      </c>
      <c r="O620" s="256" t="inlineStr">
        <is>
          <t>10.10.2025</t>
        </is>
      </c>
      <c r="P620" s="256" t="inlineStr">
        <is>
          <t>covered</t>
        </is>
      </c>
      <c r="Q620" s="256" t="inlineStr"/>
      <c r="R620" s="256" t="inlineStr"/>
    </row>
    <row r="621">
      <c r="A621" s="256" t="inlineStr">
        <is>
          <t>CoQ-PP_26-027</t>
        </is>
      </c>
      <c r="B621" s="256" t="inlineStr">
        <is>
          <t>release</t>
        </is>
      </c>
      <c r="C621" s="256" t="inlineStr">
        <is>
          <t>CJ062501-2</t>
        </is>
      </c>
      <c r="D621" s="256" t="inlineStr">
        <is>
          <t>P050212</t>
        </is>
      </c>
      <c r="E621" s="256" t="inlineStr">
        <is>
          <t>Cap Junky</t>
        </is>
      </c>
      <c r="F621" s="256" t="inlineStr">
        <is>
          <t>06.06.2026</t>
        </is>
      </c>
      <c r="G621" s="256" t="inlineStr">
        <is>
          <t>11.4</t>
        </is>
      </c>
      <c r="H621" s="256" t="inlineStr">
        <is>
          <t>Mercury (Hg)</t>
        </is>
      </c>
      <c r="I621" s="256" t="inlineStr">
        <is>
          <t>Ph. Eur. 2.4.27 (ICP-MS)</t>
        </is>
      </c>
      <c r="J621" s="256" t="inlineStr">
        <is>
          <t>≤ 0.1 mg/kg</t>
        </is>
      </c>
      <c r="K621" s="256" t="inlineStr">
        <is>
          <t>0.012</t>
        </is>
      </c>
      <c r="L621" s="256" t="inlineStr">
        <is>
          <t>4908/2025</t>
        </is>
      </c>
      <c r="M621" s="256" t="inlineStr">
        <is>
          <t>24.10.2025</t>
        </is>
      </c>
      <c r="N621" s="256" t="inlineStr">
        <is>
          <t>IPH — Institute of Public Health</t>
        </is>
      </c>
      <c r="O621" s="256" t="inlineStr">
        <is>
          <t>10.10.2025</t>
        </is>
      </c>
      <c r="P621" s="256" t="inlineStr">
        <is>
          <t>covered</t>
        </is>
      </c>
      <c r="Q621" s="256" t="inlineStr"/>
      <c r="R621" s="256" t="inlineStr"/>
    </row>
    <row r="622">
      <c r="A622" s="256" t="inlineStr">
        <is>
          <t>CoQ-PP_26-027</t>
        </is>
      </c>
      <c r="B622" s="256" t="inlineStr">
        <is>
          <t>release</t>
        </is>
      </c>
      <c r="C622" s="256" t="inlineStr">
        <is>
          <t>CJ062501-2</t>
        </is>
      </c>
      <c r="D622" s="256" t="inlineStr">
        <is>
          <t>P050212</t>
        </is>
      </c>
      <c r="E622" s="256" t="inlineStr">
        <is>
          <t>Cap Junky</t>
        </is>
      </c>
      <c r="F622" s="256" t="inlineStr">
        <is>
          <t>06.06.2026</t>
        </is>
      </c>
      <c r="G622" s="256" t="inlineStr">
        <is>
          <t>12</t>
        </is>
      </c>
      <c r="H622" s="256" t="inlineStr">
        <is>
          <t>Pesticide Residues</t>
        </is>
      </c>
      <c r="I622" s="256" t="inlineStr">
        <is>
          <t>Ph. Eur. 2.8.13 (LC-MS/MS) · CUMCS Equivalency</t>
        </is>
      </c>
      <c r="J622" s="256" t="inlineStr">
        <is>
          <t>≤ LOQ as per Ph. Eur. 2.8.13 · ≤ LOQ as per CUMCS Equivalency</t>
        </is>
      </c>
      <c r="K622" s="256" t="inlineStr">
        <is>
          <t>ND</t>
        </is>
      </c>
      <c r="L622" s="256" t="inlineStr">
        <is>
          <t>4908/2025</t>
        </is>
      </c>
      <c r="M622" s="256" t="inlineStr">
        <is>
          <t>24.10.2025</t>
        </is>
      </c>
      <c r="N622" s="256" t="inlineStr">
        <is>
          <t>IPH — Institute of Public Health</t>
        </is>
      </c>
      <c r="O622" s="256" t="inlineStr">
        <is>
          <t>10.10.2025</t>
        </is>
      </c>
      <c r="P622" s="256" t="inlineStr">
        <is>
          <t>covered</t>
        </is>
      </c>
      <c r="Q622" s="256" t="inlineStr"/>
      <c r="R622" s="256" t="inlineStr"/>
    </row>
    <row r="623">
      <c r="A623" s="256" t="inlineStr">
        <is>
          <t>CoQ-PP_26-028</t>
        </is>
      </c>
      <c r="B623" s="256" t="inlineStr">
        <is>
          <t>release</t>
        </is>
      </c>
      <c r="C623" s="256" t="inlineStr">
        <is>
          <t>CJ062501/1</t>
        </is>
      </c>
      <c r="D623" s="256" t="inlineStr">
        <is>
          <t>P050222</t>
        </is>
      </c>
      <c r="E623" s="256" t="inlineStr">
        <is>
          <t>Cap Junky</t>
        </is>
      </c>
      <c r="F623" s="256" t="inlineStr">
        <is>
          <t>06.06.2026</t>
        </is>
      </c>
      <c r="G623" s="256" t="inlineStr">
        <is>
          <t>1</t>
        </is>
      </c>
      <c r="H623" s="256" t="inlineStr">
        <is>
          <t>Identification A, Appearance · Macroscopic</t>
        </is>
      </c>
      <c r="I623" s="256" t="inlineStr">
        <is>
          <t>Ph. Eur. mon. 3028</t>
        </is>
      </c>
      <c r="J623" s="256" t="inlineStr">
        <is>
          <t>Conforms to the monograph for Cannabis flos (07/2024:3028) in Ph. Eur. 11.0 | Согласно монографија за Cannabis flos (07/2024:3028) во Ph. Eur. 11.0</t>
        </is>
      </c>
      <c r="K623" s="256" t="inlineStr">
        <is>
          <t>Conforms | Одговара</t>
        </is>
      </c>
      <c r="L623" s="256" t="inlineStr">
        <is>
          <t>iCoA-PP_26-027</t>
        </is>
      </c>
      <c r="M623" s="256" t="inlineStr">
        <is>
          <t>03.06.2026</t>
        </is>
      </c>
      <c r="N623" s="256" t="inlineStr">
        <is>
          <t>Purely Plant GmbH (in-house)</t>
        </is>
      </c>
      <c r="O623" s="256" t="inlineStr">
        <is>
          <t>—</t>
        </is>
      </c>
      <c r="P623" s="256" t="inlineStr">
        <is>
          <t>to be performed — see route</t>
        </is>
      </c>
      <c r="Q623" s="256" t="inlineStr">
        <is>
          <t>Purely Plant laboratory — iCoA covering Ident A + B</t>
        </is>
      </c>
      <c r="R623" s="256" t="inlineStr"/>
    </row>
    <row r="624">
      <c r="A624" s="256" t="inlineStr">
        <is>
          <t>CoQ-PP_26-028</t>
        </is>
      </c>
      <c r="B624" s="256" t="inlineStr">
        <is>
          <t>release</t>
        </is>
      </c>
      <c r="C624" s="256" t="inlineStr">
        <is>
          <t>CJ062501/1</t>
        </is>
      </c>
      <c r="D624" s="256" t="inlineStr">
        <is>
          <t>P050222</t>
        </is>
      </c>
      <c r="E624" s="256" t="inlineStr">
        <is>
          <t>Cap Junky</t>
        </is>
      </c>
      <c r="F624" s="256" t="inlineStr">
        <is>
          <t>06.06.2026</t>
        </is>
      </c>
      <c r="G624" s="256" t="inlineStr">
        <is>
          <t>2</t>
        </is>
      </c>
      <c r="H624" s="256" t="inlineStr">
        <is>
          <t>Identification B · Microscopic</t>
        </is>
      </c>
      <c r="I624" s="256" t="inlineStr">
        <is>
          <t>Ph. Eur. 2.8.23 (microscopy)</t>
        </is>
      </c>
      <c r="J624" s="256" t="inlineStr">
        <is>
          <t>Conforms to the monograph for Cannabis flos (07/2024:3028) in Ph. Eur. 11.0 | Согласно монографија за Cannabis flos (07/2024:3028) во Ph. Eur. 11.0</t>
        </is>
      </c>
      <c r="K624" s="256" t="inlineStr">
        <is>
          <t>Conforms | Одговара</t>
        </is>
      </c>
      <c r="L624" s="256" t="inlineStr">
        <is>
          <t>iCoA-PP_26-027</t>
        </is>
      </c>
      <c r="M624" s="256" t="inlineStr">
        <is>
          <t>03.06.2026</t>
        </is>
      </c>
      <c r="N624" s="256" t="inlineStr">
        <is>
          <t>Purely Plant GmbH (in-house)</t>
        </is>
      </c>
      <c r="O624" s="256" t="inlineStr">
        <is>
          <t>—</t>
        </is>
      </c>
      <c r="P624" s="256" t="inlineStr">
        <is>
          <t>to be performed — see route</t>
        </is>
      </c>
      <c r="Q624" s="256" t="inlineStr">
        <is>
          <t>Purely Plant laboratory — iCoA covering Ident A + B</t>
        </is>
      </c>
      <c r="R624" s="256" t="inlineStr"/>
    </row>
    <row r="625">
      <c r="A625" s="256" t="inlineStr">
        <is>
          <t>CoQ-PP_26-028</t>
        </is>
      </c>
      <c r="B625" s="256" t="inlineStr">
        <is>
          <t>release</t>
        </is>
      </c>
      <c r="C625" s="256" t="inlineStr">
        <is>
          <t>CJ062501/1</t>
        </is>
      </c>
      <c r="D625" s="256" t="inlineStr">
        <is>
          <t>P050222</t>
        </is>
      </c>
      <c r="E625" s="256" t="inlineStr">
        <is>
          <t>Cap Junky</t>
        </is>
      </c>
      <c r="F625" s="256" t="inlineStr">
        <is>
          <t>06.06.2026</t>
        </is>
      </c>
      <c r="G625" s="256" t="inlineStr">
        <is>
          <t>3</t>
        </is>
      </c>
      <c r="H625" s="256" t="inlineStr">
        <is>
          <t>Identification C · HPLC/HPTLC</t>
        </is>
      </c>
      <c r="I625" s="256" t="inlineStr">
        <is>
          <t>HPLC — DAB 2018 monograph Cannabis flos, 2.2.29 (CNP, before its Ph. Eur. 3028 accreditation)</t>
        </is>
      </c>
      <c r="J625" s="256" t="inlineStr">
        <is>
          <t>Conforms to the monograph for Cannabis flos (07/2024:3028) in Ph. Eur. 11.0 | Согласно монографија за Cannabis flos (07/2024:3028) во Ph. Eur. 11.0</t>
        </is>
      </c>
      <c r="K625" s="256" t="inlineStr">
        <is>
          <t>Conforms | Одговара</t>
        </is>
      </c>
      <c r="L625" s="256" t="inlineStr">
        <is>
          <t>ППК25321</t>
        </is>
      </c>
      <c r="M625" s="256" t="inlineStr">
        <is>
          <t>23.10.2025</t>
        </is>
      </c>
      <c r="N625" s="256" t="inlineStr">
        <is>
          <t>UKIM Faculty of Pharmacy — Center for Natural Products</t>
        </is>
      </c>
      <c r="O625" s="256" t="inlineStr">
        <is>
          <t>10.10.2025</t>
        </is>
      </c>
      <c r="P625" s="256" t="inlineStr">
        <is>
          <t>covered</t>
        </is>
      </c>
      <c r="Q625" s="256" t="inlineStr"/>
      <c r="R625" s="256" t="inlineStr"/>
    </row>
    <row r="626">
      <c r="A626" s="256" t="inlineStr">
        <is>
          <t>CoQ-PP_26-028</t>
        </is>
      </c>
      <c r="B626" s="256" t="inlineStr">
        <is>
          <t>release</t>
        </is>
      </c>
      <c r="C626" s="256" t="inlineStr">
        <is>
          <t>CJ062501/1</t>
        </is>
      </c>
      <c r="D626" s="256" t="inlineStr">
        <is>
          <t>P050222</t>
        </is>
      </c>
      <c r="E626" s="256" t="inlineStr">
        <is>
          <t>Cap Junky</t>
        </is>
      </c>
      <c r="F626" s="256" t="inlineStr">
        <is>
          <t>06.06.2026</t>
        </is>
      </c>
      <c r="G626" s="256" t="inlineStr">
        <is>
          <t>4</t>
        </is>
      </c>
      <c r="H626" s="256" t="inlineStr">
        <is>
          <t>Assay — Total Δ⁹-THC</t>
        </is>
      </c>
      <c r="I626" s="256" t="inlineStr">
        <is>
          <t>HPLC — DAB 2018 monograph Cannabis flos, 2.2.29 (CNP, before its Ph. Eur. 3028 accreditation)</t>
        </is>
      </c>
      <c r="J626" s="256" t="inlineStr">
        <is>
          <t>18.40 – 21.59 %  (grade III, nominal 20.00 ± 1.60)</t>
        </is>
      </c>
      <c r="K626" s="256" t="inlineStr">
        <is>
          <t>21.51</t>
        </is>
      </c>
      <c r="L626" s="256" t="inlineStr">
        <is>
          <t>ППК25321</t>
        </is>
      </c>
      <c r="M626" s="256" t="inlineStr">
        <is>
          <t>23.10.2025</t>
        </is>
      </c>
      <c r="N626" s="256" t="inlineStr">
        <is>
          <t>UKIM Faculty of Pharmacy — Center for Natural Products</t>
        </is>
      </c>
      <c r="O626" s="256" t="inlineStr">
        <is>
          <t>10.10.2025</t>
        </is>
      </c>
      <c r="P626" s="256" t="inlineStr">
        <is>
          <t>covered</t>
        </is>
      </c>
      <c r="Q626" s="256" t="inlineStr"/>
      <c r="R626" s="256" t="inlineStr">
        <is>
          <t>24.80 (220-3-К/26)</t>
        </is>
      </c>
    </row>
    <row r="627">
      <c r="A627" s="256" t="inlineStr">
        <is>
          <t>CoQ-PP_26-028</t>
        </is>
      </c>
      <c r="B627" s="256" t="inlineStr">
        <is>
          <t>release</t>
        </is>
      </c>
      <c r="C627" s="256" t="inlineStr">
        <is>
          <t>CJ062501/1</t>
        </is>
      </c>
      <c r="D627" s="256" t="inlineStr">
        <is>
          <t>P050222</t>
        </is>
      </c>
      <c r="E627" s="256" t="inlineStr">
        <is>
          <t>Cap Junky</t>
        </is>
      </c>
      <c r="F627" s="256" t="inlineStr">
        <is>
          <t>06.06.2026</t>
        </is>
      </c>
      <c r="G627" s="256" t="inlineStr">
        <is>
          <t>5</t>
        </is>
      </c>
      <c r="H627" s="256" t="inlineStr">
        <is>
          <t>Assay — Total CBD</t>
        </is>
      </c>
      <c r="I627" s="256" t="inlineStr">
        <is>
          <t>HPLC — DAB 2018 monograph Cannabis flos, 2.2.29 · CBD + CBDA x 0.877 (CNP, before its Ph. Eur. 3028 accreditation)</t>
        </is>
      </c>
      <c r="J627" s="256" t="inlineStr">
        <is>
          <t>≤ 1.0%, w/w</t>
        </is>
      </c>
      <c r="K627" s="256" t="inlineStr">
        <is>
          <t>0.07</t>
        </is>
      </c>
      <c r="L627" s="256" t="inlineStr">
        <is>
          <t>ППК25321</t>
        </is>
      </c>
      <c r="M627" s="256" t="inlineStr">
        <is>
          <t>23.10.2025</t>
        </is>
      </c>
      <c r="N627" s="256" t="inlineStr">
        <is>
          <t>UKIM Faculty of Pharmacy — Center for Natural Products</t>
        </is>
      </c>
      <c r="O627" s="256" t="inlineStr">
        <is>
          <t>10.10.2025</t>
        </is>
      </c>
      <c r="P627" s="256" t="inlineStr">
        <is>
          <t>covered</t>
        </is>
      </c>
      <c r="Q627" s="256" t="inlineStr"/>
      <c r="R627" s="256" t="inlineStr">
        <is>
          <t>&lt;LOQ (220-3-К/26)</t>
        </is>
      </c>
    </row>
    <row r="628">
      <c r="A628" s="256" t="inlineStr">
        <is>
          <t>CoQ-PP_26-028</t>
        </is>
      </c>
      <c r="B628" s="256" t="inlineStr">
        <is>
          <t>release</t>
        </is>
      </c>
      <c r="C628" s="256" t="inlineStr">
        <is>
          <t>CJ062501/1</t>
        </is>
      </c>
      <c r="D628" s="256" t="inlineStr">
        <is>
          <t>P050222</t>
        </is>
      </c>
      <c r="E628" s="256" t="inlineStr">
        <is>
          <t>Cap Junky</t>
        </is>
      </c>
      <c r="F628" s="256" t="inlineStr">
        <is>
          <t>06.06.2026</t>
        </is>
      </c>
      <c r="G628" s="256" t="inlineStr">
        <is>
          <t>6</t>
        </is>
      </c>
      <c r="H628" s="256" t="inlineStr">
        <is>
          <t>Total CBN</t>
        </is>
      </c>
      <c r="I628" s="256" t="inlineStr">
        <is>
          <t>HPLC — DAB 2018 monograph Cannabis flos, 2.2.29 · CBN + CBNA x 0.876 (CNP, before its Ph. Eur. 3028 accreditation)</t>
        </is>
      </c>
      <c r="J628" s="256" t="inlineStr">
        <is>
          <t>≤ 1.0%, w/w</t>
        </is>
      </c>
      <c r="K628" s="256" t="inlineStr">
        <is>
          <t>0.02 ᴰ</t>
        </is>
      </c>
      <c r="L628" s="256" t="inlineStr">
        <is>
          <t>ППК25321</t>
        </is>
      </c>
      <c r="M628" s="256" t="inlineStr">
        <is>
          <t>23.10.2025</t>
        </is>
      </c>
      <c r="N628" s="256" t="inlineStr">
        <is>
          <t>CNP</t>
        </is>
      </c>
      <c r="O628" s="256" t="inlineStr">
        <is>
          <t>10.10.2025</t>
        </is>
      </c>
      <c r="P628" s="256" t="inlineStr">
        <is>
          <t>covered</t>
        </is>
      </c>
      <c r="Q628" s="256" t="inlineStr"/>
      <c r="R628" s="256" t="inlineStr"/>
    </row>
    <row r="629">
      <c r="A629" s="256" t="inlineStr">
        <is>
          <t>CoQ-PP_26-028</t>
        </is>
      </c>
      <c r="B629" s="256" t="inlineStr">
        <is>
          <t>release</t>
        </is>
      </c>
      <c r="C629" s="256" t="inlineStr">
        <is>
          <t>CJ062501/1</t>
        </is>
      </c>
      <c r="D629" s="256" t="inlineStr">
        <is>
          <t>P050222</t>
        </is>
      </c>
      <c r="E629" s="256" t="inlineStr">
        <is>
          <t>Cap Junky</t>
        </is>
      </c>
      <c r="F629" s="256" t="inlineStr">
        <is>
          <t>06.06.2026</t>
        </is>
      </c>
      <c r="G629" s="256" t="inlineStr">
        <is>
          <t>7</t>
        </is>
      </c>
      <c r="H629" s="256" t="inlineStr">
        <is>
          <t>Foreign Matter</t>
        </is>
      </c>
      <c r="I629" s="256" t="inlineStr">
        <is>
          <t>Ph. Eur. 2.8.2 · In-house · интерна</t>
        </is>
      </c>
      <c r="J629" s="256" t="inlineStr">
        <is>
          <t>≤ 2.0% / 25–50 g · &lt; 1 cm leaves | листови, no seeds | без семки</t>
        </is>
      </c>
      <c r="K629" s="256" t="inlineStr">
        <is>
          <t>Conforms | Одговара</t>
        </is>
      </c>
      <c r="L629" s="256" t="inlineStr">
        <is>
          <t>iCoA-PP_26-027</t>
        </is>
      </c>
      <c r="M629" s="256" t="inlineStr">
        <is>
          <t>03.06.2026</t>
        </is>
      </c>
      <c r="N629" s="256" t="inlineStr">
        <is>
          <t>Purely Plant GmbH (in-house)</t>
        </is>
      </c>
      <c r="O629" s="256" t="inlineStr">
        <is>
          <t>—</t>
        </is>
      </c>
      <c r="P629" s="256" t="inlineStr">
        <is>
          <t>to be performed — see route</t>
        </is>
      </c>
      <c r="Q629" s="256" t="inlineStr">
        <is>
          <t>Purely Plant laboratory — iCoA covering Foreign matter</t>
        </is>
      </c>
      <c r="R629" s="256" t="inlineStr"/>
    </row>
    <row r="630">
      <c r="A630" s="256" t="inlineStr">
        <is>
          <t>CoQ-PP_26-028</t>
        </is>
      </c>
      <c r="B630" s="256" t="inlineStr">
        <is>
          <t>release</t>
        </is>
      </c>
      <c r="C630" s="256" t="inlineStr">
        <is>
          <t>CJ062501/1</t>
        </is>
      </c>
      <c r="D630" s="256" t="inlineStr">
        <is>
          <t>P050222</t>
        </is>
      </c>
      <c r="E630" s="256" t="inlineStr">
        <is>
          <t>Cap Junky</t>
        </is>
      </c>
      <c r="F630" s="256" t="inlineStr">
        <is>
          <t>06.06.2026</t>
        </is>
      </c>
      <c r="G630" s="256" t="inlineStr">
        <is>
          <t>8</t>
        </is>
      </c>
      <c r="H630" s="256" t="inlineStr">
        <is>
          <t>Loss on Drying</t>
        </is>
      </c>
      <c r="I630" s="256" t="inlineStr">
        <is>
          <t>DAB 2018 monograph Cannabis flos, 2.2.32 — loss on drying (CNP, before its Ph. Eur. 3028 accreditation)</t>
        </is>
      </c>
      <c r="J630" s="256" t="inlineStr">
        <is>
          <t>≤ 12.0%</t>
        </is>
      </c>
      <c r="K630" s="256" t="inlineStr">
        <is>
          <t>7.77</t>
        </is>
      </c>
      <c r="L630" s="256" t="inlineStr">
        <is>
          <t>ППК25321</t>
        </is>
      </c>
      <c r="M630" s="256" t="inlineStr">
        <is>
          <t>23.10.2025</t>
        </is>
      </c>
      <c r="N630" s="256" t="inlineStr">
        <is>
          <t>UKIM Faculty of Pharmacy — Center for Natural Products</t>
        </is>
      </c>
      <c r="O630" s="256" t="inlineStr">
        <is>
          <t>10.10.2025</t>
        </is>
      </c>
      <c r="P630" s="256" t="inlineStr">
        <is>
          <t>covered</t>
        </is>
      </c>
      <c r="Q630" s="256" t="inlineStr"/>
      <c r="R630" s="256" t="inlineStr"/>
    </row>
    <row r="631">
      <c r="A631" s="256" t="inlineStr">
        <is>
          <t>CoQ-PP_26-028</t>
        </is>
      </c>
      <c r="B631" s="256" t="inlineStr">
        <is>
          <t>release</t>
        </is>
      </c>
      <c r="C631" s="256" t="inlineStr">
        <is>
          <t>CJ062501/1</t>
        </is>
      </c>
      <c r="D631" s="256" t="inlineStr">
        <is>
          <t>P050222</t>
        </is>
      </c>
      <c r="E631" s="256" t="inlineStr">
        <is>
          <t>Cap Junky</t>
        </is>
      </c>
      <c r="F631" s="256" t="inlineStr">
        <is>
          <t>06.06.2026</t>
        </is>
      </c>
      <c r="G631" s="256" t="inlineStr">
        <is>
          <t>9.1</t>
        </is>
      </c>
      <c r="H631" s="256" t="inlineStr">
        <is>
          <t>TAMC</t>
        </is>
      </c>
      <c r="I631" s="256" t="inlineStr">
        <is>
          <t>Ph. Eur. 2.6.12 cat. C</t>
        </is>
      </c>
      <c r="J631" s="256" t="inlineStr">
        <is>
          <t>≤ 10⁵ CFU/g</t>
        </is>
      </c>
      <c r="K631" s="256" t="inlineStr">
        <is>
          <t>&lt; 10</t>
        </is>
      </c>
      <c r="L631" s="256" t="inlineStr">
        <is>
          <t>1217/2168/25</t>
        </is>
      </c>
      <c r="M631" s="256" t="inlineStr">
        <is>
          <t>01.12.2025</t>
        </is>
      </c>
      <c r="N631" s="256" t="inlineStr">
        <is>
          <t>IPH — Institute of Public Health</t>
        </is>
      </c>
      <c r="O631" s="256" t="inlineStr">
        <is>
          <t>26.11.2025</t>
        </is>
      </c>
      <c r="P631" s="256" t="inlineStr">
        <is>
          <t>covered</t>
        </is>
      </c>
      <c r="Q631" s="256" t="inlineStr"/>
      <c r="R631" s="256" t="inlineStr"/>
    </row>
    <row r="632">
      <c r="A632" s="256" t="inlineStr">
        <is>
          <t>CoQ-PP_26-028</t>
        </is>
      </c>
      <c r="B632" s="256" t="inlineStr">
        <is>
          <t>release</t>
        </is>
      </c>
      <c r="C632" s="256" t="inlineStr">
        <is>
          <t>CJ062501/1</t>
        </is>
      </c>
      <c r="D632" s="256" t="inlineStr">
        <is>
          <t>P050222</t>
        </is>
      </c>
      <c r="E632" s="256" t="inlineStr">
        <is>
          <t>Cap Junky</t>
        </is>
      </c>
      <c r="F632" s="256" t="inlineStr">
        <is>
          <t>06.06.2026</t>
        </is>
      </c>
      <c r="G632" s="256" t="inlineStr">
        <is>
          <t>9.2</t>
        </is>
      </c>
      <c r="H632" s="256" t="inlineStr">
        <is>
          <t>TYMC</t>
        </is>
      </c>
      <c r="I632" s="256" t="inlineStr">
        <is>
          <t>Ph. Eur. 2.6.12 cat. C</t>
        </is>
      </c>
      <c r="J632" s="256" t="inlineStr">
        <is>
          <t>≤ 10⁴ CFU/g</t>
        </is>
      </c>
      <c r="K632" s="256" t="inlineStr">
        <is>
          <t>20</t>
        </is>
      </c>
      <c r="L632" s="256" t="inlineStr">
        <is>
          <t>1217/2168/25</t>
        </is>
      </c>
      <c r="M632" s="256" t="inlineStr">
        <is>
          <t>01.12.2025</t>
        </is>
      </c>
      <c r="N632" s="256" t="inlineStr">
        <is>
          <t>IPH — Institute of Public Health</t>
        </is>
      </c>
      <c r="O632" s="256" t="inlineStr">
        <is>
          <t>26.11.2025</t>
        </is>
      </c>
      <c r="P632" s="256" t="inlineStr">
        <is>
          <t>covered</t>
        </is>
      </c>
      <c r="Q632" s="256" t="inlineStr"/>
      <c r="R632" s="256" t="inlineStr"/>
    </row>
    <row r="633">
      <c r="A633" s="256" t="inlineStr">
        <is>
          <t>CoQ-PP_26-028</t>
        </is>
      </c>
      <c r="B633" s="256" t="inlineStr">
        <is>
          <t>release</t>
        </is>
      </c>
      <c r="C633" s="256" t="inlineStr">
        <is>
          <t>CJ062501/1</t>
        </is>
      </c>
      <c r="D633" s="256" t="inlineStr">
        <is>
          <t>P050222</t>
        </is>
      </c>
      <c r="E633" s="256" t="inlineStr">
        <is>
          <t>Cap Junky</t>
        </is>
      </c>
      <c r="F633" s="256" t="inlineStr">
        <is>
          <t>06.06.2026</t>
        </is>
      </c>
      <c r="G633" s="256" t="inlineStr">
        <is>
          <t>9.3</t>
        </is>
      </c>
      <c r="H633" s="256" t="inlineStr">
        <is>
          <t>Bile-tolerant gram-neg.</t>
        </is>
      </c>
      <c r="I633" s="256" t="inlineStr">
        <is>
          <t>Ph. Eur. 2.6.31 cat. C</t>
        </is>
      </c>
      <c r="J633" s="256" t="inlineStr">
        <is>
          <t>≤ 10⁴ CFU/g</t>
        </is>
      </c>
      <c r="K633" s="256" t="inlineStr">
        <is>
          <t>&lt; 10</t>
        </is>
      </c>
      <c r="L633" s="256" t="inlineStr">
        <is>
          <t>1217/2168/25</t>
        </is>
      </c>
      <c r="M633" s="256" t="inlineStr">
        <is>
          <t>01.12.2025</t>
        </is>
      </c>
      <c r="N633" s="256" t="inlineStr">
        <is>
          <t>IPH — Institute of Public Health</t>
        </is>
      </c>
      <c r="O633" s="256" t="inlineStr">
        <is>
          <t>26.11.2025</t>
        </is>
      </c>
      <c r="P633" s="256" t="inlineStr">
        <is>
          <t>covered</t>
        </is>
      </c>
      <c r="Q633" s="256" t="inlineStr"/>
      <c r="R633" s="256" t="inlineStr"/>
    </row>
    <row r="634">
      <c r="A634" s="256" t="inlineStr">
        <is>
          <t>CoQ-PP_26-028</t>
        </is>
      </c>
      <c r="B634" s="256" t="inlineStr">
        <is>
          <t>release</t>
        </is>
      </c>
      <c r="C634" s="256" t="inlineStr">
        <is>
          <t>CJ062501/1</t>
        </is>
      </c>
      <c r="D634" s="256" t="inlineStr">
        <is>
          <t>P050222</t>
        </is>
      </c>
      <c r="E634" s="256" t="inlineStr">
        <is>
          <t>Cap Junky</t>
        </is>
      </c>
      <c r="F634" s="256" t="inlineStr">
        <is>
          <t>06.06.2026</t>
        </is>
      </c>
      <c r="G634" s="256" t="inlineStr">
        <is>
          <t>9.4</t>
        </is>
      </c>
      <c r="H634" s="256" t="inlineStr">
        <is>
          <t>Salmonella</t>
        </is>
      </c>
      <c r="I634" s="256" t="inlineStr">
        <is>
          <t>Ph. Eur. 2.6.31 cat. C</t>
        </is>
      </c>
      <c r="J634" s="256" t="inlineStr">
        <is>
          <t>Absence | Отсуство / 25 g</t>
        </is>
      </c>
      <c r="K634" s="256" t="inlineStr">
        <is>
          <t>Absent | Отсутна</t>
        </is>
      </c>
      <c r="L634" s="256" t="inlineStr">
        <is>
          <t>1217/2168/25</t>
        </is>
      </c>
      <c r="M634" s="256" t="inlineStr">
        <is>
          <t>01.12.2025</t>
        </is>
      </c>
      <c r="N634" s="256" t="inlineStr">
        <is>
          <t>IPH — Institute of Public Health</t>
        </is>
      </c>
      <c r="O634" s="256" t="inlineStr">
        <is>
          <t>26.11.2025</t>
        </is>
      </c>
      <c r="P634" s="256" t="inlineStr">
        <is>
          <t>covered</t>
        </is>
      </c>
      <c r="Q634" s="256" t="inlineStr"/>
      <c r="R634" s="256" t="inlineStr"/>
    </row>
    <row r="635">
      <c r="A635" s="256" t="inlineStr">
        <is>
          <t>CoQ-PP_26-028</t>
        </is>
      </c>
      <c r="B635" s="256" t="inlineStr">
        <is>
          <t>release</t>
        </is>
      </c>
      <c r="C635" s="256" t="inlineStr">
        <is>
          <t>CJ062501/1</t>
        </is>
      </c>
      <c r="D635" s="256" t="inlineStr">
        <is>
          <t>P050222</t>
        </is>
      </c>
      <c r="E635" s="256" t="inlineStr">
        <is>
          <t>Cap Junky</t>
        </is>
      </c>
      <c r="F635" s="256" t="inlineStr">
        <is>
          <t>06.06.2026</t>
        </is>
      </c>
      <c r="G635" s="256" t="inlineStr">
        <is>
          <t>9.5</t>
        </is>
      </c>
      <c r="H635" s="256" t="inlineStr">
        <is>
          <t>Escherichia coli</t>
        </is>
      </c>
      <c r="I635" s="256" t="inlineStr">
        <is>
          <t>Ph. Eur. 2.6.13 cat. C</t>
        </is>
      </c>
      <c r="J635" s="256" t="inlineStr">
        <is>
          <t>Absence | Отсуство / 1 g</t>
        </is>
      </c>
      <c r="K635" s="256" t="inlineStr">
        <is>
          <t>Absent | Отсутна</t>
        </is>
      </c>
      <c r="L635" s="256" t="inlineStr">
        <is>
          <t>1217/2168/25</t>
        </is>
      </c>
      <c r="M635" s="256" t="inlineStr">
        <is>
          <t>01.12.2025</t>
        </is>
      </c>
      <c r="N635" s="256" t="inlineStr">
        <is>
          <t>IPH — Institute of Public Health</t>
        </is>
      </c>
      <c r="O635" s="256" t="inlineStr">
        <is>
          <t>26.11.2025</t>
        </is>
      </c>
      <c r="P635" s="256" t="inlineStr">
        <is>
          <t>covered</t>
        </is>
      </c>
      <c r="Q635" s="256" t="inlineStr"/>
      <c r="R635" s="256" t="inlineStr"/>
    </row>
    <row r="636">
      <c r="A636" s="256" t="inlineStr">
        <is>
          <t>CoQ-PP_26-028</t>
        </is>
      </c>
      <c r="B636" s="256" t="inlineStr">
        <is>
          <t>release</t>
        </is>
      </c>
      <c r="C636" s="256" t="inlineStr">
        <is>
          <t>CJ062501/1</t>
        </is>
      </c>
      <c r="D636" s="256" t="inlineStr">
        <is>
          <t>P050222</t>
        </is>
      </c>
      <c r="E636" s="256" t="inlineStr">
        <is>
          <t>Cap Junky</t>
        </is>
      </c>
      <c r="F636" s="256" t="inlineStr">
        <is>
          <t>06.06.2026</t>
        </is>
      </c>
      <c r="G636" s="256" t="inlineStr">
        <is>
          <t>9.6</t>
        </is>
      </c>
      <c r="H636" s="256" t="inlineStr">
        <is>
          <t>Pseudomonas aeruginosa</t>
        </is>
      </c>
      <c r="I636" s="256" t="inlineStr">
        <is>
          <t>Ph. Eur. 2.6.13 cat. C</t>
        </is>
      </c>
      <c r="J636" s="256" t="inlineStr">
        <is>
          <t>Absence | Отсуство / 1 g</t>
        </is>
      </c>
      <c r="K636" s="260" t="inlineStr">
        <is>
          <t>upon request — not required for release</t>
        </is>
      </c>
      <c r="L636" s="256" t="inlineStr">
        <is>
          <t>—</t>
        </is>
      </c>
      <c r="M636" s="256" t="inlineStr">
        <is>
          <t>—</t>
        </is>
      </c>
      <c r="N636" s="256" t="inlineStr">
        <is>
          <t>—</t>
        </is>
      </c>
      <c r="O636" s="256" t="inlineStr">
        <is>
          <t>—</t>
        </is>
      </c>
      <c r="P636" s="256" t="inlineStr">
        <is>
          <t>upon request — not required for release</t>
        </is>
      </c>
      <c r="Q636" s="256" t="inlineStr"/>
      <c r="R636" s="256" t="inlineStr"/>
    </row>
    <row r="637">
      <c r="A637" s="256" t="inlineStr">
        <is>
          <t>CoQ-PP_26-028</t>
        </is>
      </c>
      <c r="B637" s="256" t="inlineStr">
        <is>
          <t>release</t>
        </is>
      </c>
      <c r="C637" s="256" t="inlineStr">
        <is>
          <t>CJ062501/1</t>
        </is>
      </c>
      <c r="D637" s="256" t="inlineStr">
        <is>
          <t>P050222</t>
        </is>
      </c>
      <c r="E637" s="256" t="inlineStr">
        <is>
          <t>Cap Junky</t>
        </is>
      </c>
      <c r="F637" s="256" t="inlineStr">
        <is>
          <t>06.06.2026</t>
        </is>
      </c>
      <c r="G637" s="256" t="inlineStr">
        <is>
          <t>9.7</t>
        </is>
      </c>
      <c r="H637" s="256" t="inlineStr">
        <is>
          <t>Staphylococcus aureus</t>
        </is>
      </c>
      <c r="I637" s="256" t="inlineStr">
        <is>
          <t>Ph. Eur. 2.6.13 cat. C</t>
        </is>
      </c>
      <c r="J637" s="256" t="inlineStr">
        <is>
          <t>Absence | Отсуство / 1 g</t>
        </is>
      </c>
      <c r="K637" s="260" t="inlineStr">
        <is>
          <t>upon request — not required for release</t>
        </is>
      </c>
      <c r="L637" s="256" t="inlineStr">
        <is>
          <t>—</t>
        </is>
      </c>
      <c r="M637" s="256" t="inlineStr">
        <is>
          <t>—</t>
        </is>
      </c>
      <c r="N637" s="256" t="inlineStr">
        <is>
          <t>—</t>
        </is>
      </c>
      <c r="O637" s="256" t="inlineStr">
        <is>
          <t>—</t>
        </is>
      </c>
      <c r="P637" s="256" t="inlineStr">
        <is>
          <t>upon request — not required for release</t>
        </is>
      </c>
      <c r="Q637" s="256" t="inlineStr"/>
      <c r="R637" s="256" t="inlineStr"/>
    </row>
    <row r="638">
      <c r="A638" s="256" t="inlineStr">
        <is>
          <t>CoQ-PP_26-028</t>
        </is>
      </c>
      <c r="B638" s="256" t="inlineStr">
        <is>
          <t>release</t>
        </is>
      </c>
      <c r="C638" s="256" t="inlineStr">
        <is>
          <t>CJ062501/1</t>
        </is>
      </c>
      <c r="D638" s="256" t="inlineStr">
        <is>
          <t>P050222</t>
        </is>
      </c>
      <c r="E638" s="256" t="inlineStr">
        <is>
          <t>Cap Junky</t>
        </is>
      </c>
      <c r="F638" s="256" t="inlineStr">
        <is>
          <t>06.06.2026</t>
        </is>
      </c>
      <c r="G638" s="256" t="inlineStr">
        <is>
          <t>10.1</t>
        </is>
      </c>
      <c r="H638" s="256" t="inlineStr">
        <is>
          <t>Aflatoxin B₁</t>
        </is>
      </c>
      <c r="I638" s="256" t="inlineStr">
        <is>
          <t>Ph. Eur. 2.8.18 (HPLC-FLD)</t>
        </is>
      </c>
      <c r="J638" s="256" t="inlineStr">
        <is>
          <t>≤ 2 µg/kg</t>
        </is>
      </c>
      <c r="K638" s="259" t="inlineStr">
        <is>
          <t>not tested</t>
        </is>
      </c>
      <c r="L638" s="256" t="inlineStr">
        <is>
          <t>—</t>
        </is>
      </c>
      <c r="M638" s="256" t="inlineStr">
        <is>
          <t>—</t>
        </is>
      </c>
      <c r="N638" s="256" t="inlineStr">
        <is>
          <t>—</t>
        </is>
      </c>
      <c r="O638" s="256" t="inlineStr">
        <is>
          <t>—</t>
        </is>
      </c>
      <c r="P638" s="256" t="inlineStr">
        <is>
          <t>not tested — no certificate covers it</t>
        </is>
      </c>
      <c r="Q638" s="256" t="inlineStr"/>
      <c r="R638" s="256" t="inlineStr">
        <is>
          <t>ND (220-3-М/26)</t>
        </is>
      </c>
    </row>
    <row r="639">
      <c r="A639" s="256" t="inlineStr">
        <is>
          <t>CoQ-PP_26-028</t>
        </is>
      </c>
      <c r="B639" s="256" t="inlineStr">
        <is>
          <t>release</t>
        </is>
      </c>
      <c r="C639" s="256" t="inlineStr">
        <is>
          <t>CJ062501/1</t>
        </is>
      </c>
      <c r="D639" s="256" t="inlineStr">
        <is>
          <t>P050222</t>
        </is>
      </c>
      <c r="E639" s="256" t="inlineStr">
        <is>
          <t>Cap Junky</t>
        </is>
      </c>
      <c r="F639" s="256" t="inlineStr">
        <is>
          <t>06.06.2026</t>
        </is>
      </c>
      <c r="G639" s="256" t="inlineStr">
        <is>
          <t>10.2</t>
        </is>
      </c>
      <c r="H639" s="256" t="inlineStr">
        <is>
          <t>Aflatoxins ∑</t>
        </is>
      </c>
      <c r="I639" s="256" t="inlineStr">
        <is>
          <t>Ph. Eur. 2.8.18 (HPLC-FLD)</t>
        </is>
      </c>
      <c r="J639" s="256" t="inlineStr">
        <is>
          <t>≤ 4 µg/kg</t>
        </is>
      </c>
      <c r="K639" s="256" t="inlineStr">
        <is>
          <t>&lt; 2</t>
        </is>
      </c>
      <c r="L639" s="256" t="inlineStr">
        <is>
          <t>4907/2025</t>
        </is>
      </c>
      <c r="M639" s="256" t="inlineStr">
        <is>
          <t>24.10.2025</t>
        </is>
      </c>
      <c r="N639" s="256" t="inlineStr">
        <is>
          <t>IPH — Institute of Public Health</t>
        </is>
      </c>
      <c r="O639" s="256" t="inlineStr">
        <is>
          <t>10.10.2025</t>
        </is>
      </c>
      <c r="P639" s="256" t="inlineStr">
        <is>
          <t>covered</t>
        </is>
      </c>
      <c r="Q639" s="256" t="inlineStr"/>
      <c r="R639" s="256" t="inlineStr">
        <is>
          <t>ND (220-3-М/26)</t>
        </is>
      </c>
    </row>
    <row r="640">
      <c r="A640" s="256" t="inlineStr">
        <is>
          <t>CoQ-PP_26-028</t>
        </is>
      </c>
      <c r="B640" s="256" t="inlineStr">
        <is>
          <t>release</t>
        </is>
      </c>
      <c r="C640" s="256" t="inlineStr">
        <is>
          <t>CJ062501/1</t>
        </is>
      </c>
      <c r="D640" s="256" t="inlineStr">
        <is>
          <t>P050222</t>
        </is>
      </c>
      <c r="E640" s="256" t="inlineStr">
        <is>
          <t>Cap Junky</t>
        </is>
      </c>
      <c r="F640" s="256" t="inlineStr">
        <is>
          <t>06.06.2026</t>
        </is>
      </c>
      <c r="G640" s="256" t="inlineStr">
        <is>
          <t>10.3</t>
        </is>
      </c>
      <c r="H640" s="256" t="inlineStr">
        <is>
          <t>Ochratoxin A</t>
        </is>
      </c>
      <c r="I640" s="256" t="inlineStr">
        <is>
          <t>Ph. Eur. 2.8.22 (HPLC-FLD)</t>
        </is>
      </c>
      <c r="J640" s="256" t="inlineStr">
        <is>
          <t>≤ 20 µg/kg</t>
        </is>
      </c>
      <c r="K640" s="259" t="inlineStr">
        <is>
          <t>not tested</t>
        </is>
      </c>
      <c r="L640" s="256" t="inlineStr">
        <is>
          <t>—</t>
        </is>
      </c>
      <c r="M640" s="256" t="inlineStr">
        <is>
          <t>—</t>
        </is>
      </c>
      <c r="N640" s="256" t="inlineStr">
        <is>
          <t>—</t>
        </is>
      </c>
      <c r="O640" s="256" t="inlineStr">
        <is>
          <t>—</t>
        </is>
      </c>
      <c r="P640" s="256" t="inlineStr">
        <is>
          <t>not tested — no certificate covers it</t>
        </is>
      </c>
      <c r="Q640" s="256" t="inlineStr"/>
      <c r="R640" s="256" t="inlineStr">
        <is>
          <t>ND (220-3-М/26)</t>
        </is>
      </c>
    </row>
    <row r="641">
      <c r="A641" s="256" t="inlineStr">
        <is>
          <t>CoQ-PP_26-028</t>
        </is>
      </c>
      <c r="B641" s="256" t="inlineStr">
        <is>
          <t>release</t>
        </is>
      </c>
      <c r="C641" s="256" t="inlineStr">
        <is>
          <t>CJ062501/1</t>
        </is>
      </c>
      <c r="D641" s="256" t="inlineStr">
        <is>
          <t>P050222</t>
        </is>
      </c>
      <c r="E641" s="256" t="inlineStr">
        <is>
          <t>Cap Junky</t>
        </is>
      </c>
      <c r="F641" s="256" t="inlineStr">
        <is>
          <t>06.06.2026</t>
        </is>
      </c>
      <c r="G641" s="256" t="inlineStr">
        <is>
          <t>11.1</t>
        </is>
      </c>
      <c r="H641" s="256" t="inlineStr">
        <is>
          <t>Lead (Pb)</t>
        </is>
      </c>
      <c r="I641" s="256" t="inlineStr">
        <is>
          <t>Ph. Eur. 2.4.27 (ICP-MS)</t>
        </is>
      </c>
      <c r="J641" s="256" t="inlineStr">
        <is>
          <t>≤ 0.5 mg/kg</t>
        </is>
      </c>
      <c r="K641" s="256" t="inlineStr">
        <is>
          <t>0.037</t>
        </is>
      </c>
      <c r="L641" s="256" t="inlineStr">
        <is>
          <t>4907/2025</t>
        </is>
      </c>
      <c r="M641" s="256" t="inlineStr">
        <is>
          <t>24.10.2025</t>
        </is>
      </c>
      <c r="N641" s="256" t="inlineStr">
        <is>
          <t>IPH — Institute of Public Health</t>
        </is>
      </c>
      <c r="O641" s="256" t="inlineStr">
        <is>
          <t>10.10.2025</t>
        </is>
      </c>
      <c r="P641" s="256" t="inlineStr">
        <is>
          <t>covered</t>
        </is>
      </c>
      <c r="Q641" s="256" t="inlineStr"/>
      <c r="R641" s="256" t="inlineStr"/>
    </row>
    <row r="642">
      <c r="A642" s="256" t="inlineStr">
        <is>
          <t>CoQ-PP_26-028</t>
        </is>
      </c>
      <c r="B642" s="256" t="inlineStr">
        <is>
          <t>release</t>
        </is>
      </c>
      <c r="C642" s="256" t="inlineStr">
        <is>
          <t>CJ062501/1</t>
        </is>
      </c>
      <c r="D642" s="256" t="inlineStr">
        <is>
          <t>P050222</t>
        </is>
      </c>
      <c r="E642" s="256" t="inlineStr">
        <is>
          <t>Cap Junky</t>
        </is>
      </c>
      <c r="F642" s="256" t="inlineStr">
        <is>
          <t>06.06.2026</t>
        </is>
      </c>
      <c r="G642" s="256" t="inlineStr">
        <is>
          <t>11.2</t>
        </is>
      </c>
      <c r="H642" s="256" t="inlineStr">
        <is>
          <t>Cadmium (Cd)</t>
        </is>
      </c>
      <c r="I642" s="256" t="inlineStr">
        <is>
          <t>Ph. Eur. 2.4.27 (ICP-MS)</t>
        </is>
      </c>
      <c r="J642" s="256" t="inlineStr">
        <is>
          <t>≤ 0.3 mg/kg</t>
        </is>
      </c>
      <c r="K642" s="256" t="inlineStr">
        <is>
          <t>0.002</t>
        </is>
      </c>
      <c r="L642" s="256" t="inlineStr">
        <is>
          <t>4907/2025</t>
        </is>
      </c>
      <c r="M642" s="256" t="inlineStr">
        <is>
          <t>24.10.2025</t>
        </is>
      </c>
      <c r="N642" s="256" t="inlineStr">
        <is>
          <t>IPH — Institute of Public Health</t>
        </is>
      </c>
      <c r="O642" s="256" t="inlineStr">
        <is>
          <t>10.10.2025</t>
        </is>
      </c>
      <c r="P642" s="256" t="inlineStr">
        <is>
          <t>covered</t>
        </is>
      </c>
      <c r="Q642" s="256" t="inlineStr"/>
      <c r="R642" s="256" t="inlineStr"/>
    </row>
    <row r="643">
      <c r="A643" s="256" t="inlineStr">
        <is>
          <t>CoQ-PP_26-028</t>
        </is>
      </c>
      <c r="B643" s="256" t="inlineStr">
        <is>
          <t>release</t>
        </is>
      </c>
      <c r="C643" s="256" t="inlineStr">
        <is>
          <t>CJ062501/1</t>
        </is>
      </c>
      <c r="D643" s="256" t="inlineStr">
        <is>
          <t>P050222</t>
        </is>
      </c>
      <c r="E643" s="256" t="inlineStr">
        <is>
          <t>Cap Junky</t>
        </is>
      </c>
      <c r="F643" s="256" t="inlineStr">
        <is>
          <t>06.06.2026</t>
        </is>
      </c>
      <c r="G643" s="256" t="inlineStr">
        <is>
          <t>11.3</t>
        </is>
      </c>
      <c r="H643" s="256" t="inlineStr">
        <is>
          <t>Arsenic (As)</t>
        </is>
      </c>
      <c r="I643" s="256" t="inlineStr">
        <is>
          <t>Ph. Eur. 2.4.27 (ICP-MS)</t>
        </is>
      </c>
      <c r="J643" s="256" t="inlineStr">
        <is>
          <t>≤ 0.2 mg/kg</t>
        </is>
      </c>
      <c r="K643" s="256" t="inlineStr">
        <is>
          <t>0.027</t>
        </is>
      </c>
      <c r="L643" s="256" t="inlineStr">
        <is>
          <t>4907/2025</t>
        </is>
      </c>
      <c r="M643" s="256" t="inlineStr">
        <is>
          <t>24.10.2025</t>
        </is>
      </c>
      <c r="N643" s="256" t="inlineStr">
        <is>
          <t>IPH — Institute of Public Health</t>
        </is>
      </c>
      <c r="O643" s="256" t="inlineStr">
        <is>
          <t>10.10.2025</t>
        </is>
      </c>
      <c r="P643" s="256" t="inlineStr">
        <is>
          <t>covered</t>
        </is>
      </c>
      <c r="Q643" s="256" t="inlineStr"/>
      <c r="R643" s="256" t="inlineStr"/>
    </row>
    <row r="644">
      <c r="A644" s="256" t="inlineStr">
        <is>
          <t>CoQ-PP_26-028</t>
        </is>
      </c>
      <c r="B644" s="256" t="inlineStr">
        <is>
          <t>release</t>
        </is>
      </c>
      <c r="C644" s="256" t="inlineStr">
        <is>
          <t>CJ062501/1</t>
        </is>
      </c>
      <c r="D644" s="256" t="inlineStr">
        <is>
          <t>P050222</t>
        </is>
      </c>
      <c r="E644" s="256" t="inlineStr">
        <is>
          <t>Cap Junky</t>
        </is>
      </c>
      <c r="F644" s="256" t="inlineStr">
        <is>
          <t>06.06.2026</t>
        </is>
      </c>
      <c r="G644" s="256" t="inlineStr">
        <is>
          <t>11.4</t>
        </is>
      </c>
      <c r="H644" s="256" t="inlineStr">
        <is>
          <t>Mercury (Hg)</t>
        </is>
      </c>
      <c r="I644" s="256" t="inlineStr">
        <is>
          <t>Ph. Eur. 2.4.27 (ICP-MS)</t>
        </is>
      </c>
      <c r="J644" s="256" t="inlineStr">
        <is>
          <t>≤ 0.1 mg/kg</t>
        </is>
      </c>
      <c r="K644" s="256" t="inlineStr">
        <is>
          <t>0.017</t>
        </is>
      </c>
      <c r="L644" s="256" t="inlineStr">
        <is>
          <t>4907/2025</t>
        </is>
      </c>
      <c r="M644" s="256" t="inlineStr">
        <is>
          <t>24.10.2025</t>
        </is>
      </c>
      <c r="N644" s="256" t="inlineStr">
        <is>
          <t>IPH — Institute of Public Health</t>
        </is>
      </c>
      <c r="O644" s="256" t="inlineStr">
        <is>
          <t>10.10.2025</t>
        </is>
      </c>
      <c r="P644" s="256" t="inlineStr">
        <is>
          <t>covered</t>
        </is>
      </c>
      <c r="Q644" s="256" t="inlineStr"/>
      <c r="R644" s="256" t="inlineStr"/>
    </row>
    <row r="645">
      <c r="A645" s="256" t="inlineStr">
        <is>
          <t>CoQ-PP_26-028</t>
        </is>
      </c>
      <c r="B645" s="256" t="inlineStr">
        <is>
          <t>release</t>
        </is>
      </c>
      <c r="C645" s="256" t="inlineStr">
        <is>
          <t>CJ062501/1</t>
        </is>
      </c>
      <c r="D645" s="256" t="inlineStr">
        <is>
          <t>P050222</t>
        </is>
      </c>
      <c r="E645" s="256" t="inlineStr">
        <is>
          <t>Cap Junky</t>
        </is>
      </c>
      <c r="F645" s="256" t="inlineStr">
        <is>
          <t>06.06.2026</t>
        </is>
      </c>
      <c r="G645" s="256" t="inlineStr">
        <is>
          <t>12</t>
        </is>
      </c>
      <c r="H645" s="256" t="inlineStr">
        <is>
          <t>Pesticide Residues</t>
        </is>
      </c>
      <c r="I645" s="256" t="inlineStr">
        <is>
          <t>Ph. Eur. 2.8.13 (LC-MS/MS) · CUMCS Equivalency</t>
        </is>
      </c>
      <c r="J645" s="256" t="inlineStr">
        <is>
          <t>≤ LOQ as per Ph. Eur. 2.8.13 · ≤ LOQ as per CUMCS Equivalency</t>
        </is>
      </c>
      <c r="K645" s="256" t="inlineStr">
        <is>
          <t>ND</t>
        </is>
      </c>
      <c r="L645" s="256" t="inlineStr">
        <is>
          <t>4907/2025</t>
        </is>
      </c>
      <c r="M645" s="256" t="inlineStr">
        <is>
          <t>24.10.2025</t>
        </is>
      </c>
      <c r="N645" s="256" t="inlineStr">
        <is>
          <t>IPH — Institute of Public Health</t>
        </is>
      </c>
      <c r="O645" s="256" t="inlineStr">
        <is>
          <t>10.10.2025</t>
        </is>
      </c>
      <c r="P645" s="256" t="inlineStr">
        <is>
          <t>covered</t>
        </is>
      </c>
      <c r="Q645" s="256" t="inlineStr"/>
      <c r="R645" s="256" t="inlineStr"/>
    </row>
    <row r="646">
      <c r="A646" s="256" t="inlineStr">
        <is>
          <t>CoQ-PP_26-029</t>
        </is>
      </c>
      <c r="B646" s="256" t="inlineStr">
        <is>
          <t>release</t>
        </is>
      </c>
      <c r="C646" s="256" t="inlineStr">
        <is>
          <t>CJ072501</t>
        </is>
      </c>
      <c r="D646" s="256" t="inlineStr">
        <is>
          <t>P050252</t>
        </is>
      </c>
      <c r="E646" s="256" t="inlineStr">
        <is>
          <t>Cap Junky</t>
        </is>
      </c>
      <c r="F646" s="256" t="inlineStr">
        <is>
          <t>06.06.2026</t>
        </is>
      </c>
      <c r="G646" s="256" t="inlineStr">
        <is>
          <t>1</t>
        </is>
      </c>
      <c r="H646" s="256" t="inlineStr">
        <is>
          <t>Identification A, Appearance · Macroscopic</t>
        </is>
      </c>
      <c r="I646" s="256" t="inlineStr">
        <is>
          <t>Ph. Eur. mon. 3028</t>
        </is>
      </c>
      <c r="J646" s="256" t="inlineStr">
        <is>
          <t>Conforms to the monograph for Cannabis flos (07/2024:3028) in Ph. Eur. 11.0 | Согласно монографија за Cannabis flos (07/2024:3028) во Ph. Eur. 11.0</t>
        </is>
      </c>
      <c r="K646" s="256" t="inlineStr">
        <is>
          <t>Conforms | Одговара</t>
        </is>
      </c>
      <c r="L646" s="256" t="inlineStr">
        <is>
          <t>iCoA-PP_26-028</t>
        </is>
      </c>
      <c r="M646" s="256" t="inlineStr">
        <is>
          <t>03.06.2026</t>
        </is>
      </c>
      <c r="N646" s="256" t="inlineStr">
        <is>
          <t>Purely Plant GmbH (in-house)</t>
        </is>
      </c>
      <c r="O646" s="256" t="inlineStr">
        <is>
          <t>—</t>
        </is>
      </c>
      <c r="P646" s="256" t="inlineStr">
        <is>
          <t>to be performed — see route</t>
        </is>
      </c>
      <c r="Q646" s="256" t="inlineStr">
        <is>
          <t>Purely Plant laboratory — iCoA covering Ident A + B</t>
        </is>
      </c>
      <c r="R646" s="256" t="inlineStr"/>
    </row>
    <row r="647">
      <c r="A647" s="256" t="inlineStr">
        <is>
          <t>CoQ-PP_26-029</t>
        </is>
      </c>
      <c r="B647" s="256" t="inlineStr">
        <is>
          <t>release</t>
        </is>
      </c>
      <c r="C647" s="256" t="inlineStr">
        <is>
          <t>CJ072501</t>
        </is>
      </c>
      <c r="D647" s="256" t="inlineStr">
        <is>
          <t>P050252</t>
        </is>
      </c>
      <c r="E647" s="256" t="inlineStr">
        <is>
          <t>Cap Junky</t>
        </is>
      </c>
      <c r="F647" s="256" t="inlineStr">
        <is>
          <t>06.06.2026</t>
        </is>
      </c>
      <c r="G647" s="256" t="inlineStr">
        <is>
          <t>2</t>
        </is>
      </c>
      <c r="H647" s="256" t="inlineStr">
        <is>
          <t>Identification B · Microscopic</t>
        </is>
      </c>
      <c r="I647" s="256" t="inlineStr">
        <is>
          <t>Ph. Eur. 2.8.23 (microscopy)</t>
        </is>
      </c>
      <c r="J647" s="256" t="inlineStr">
        <is>
          <t>Conforms to the monograph for Cannabis flos (07/2024:3028) in Ph. Eur. 11.0 | Согласно монографија за Cannabis flos (07/2024:3028) во Ph. Eur. 11.0</t>
        </is>
      </c>
      <c r="K647" s="256" t="inlineStr">
        <is>
          <t>Conforms | Одговара</t>
        </is>
      </c>
      <c r="L647" s="256" t="inlineStr">
        <is>
          <t>iCoA-PP_26-028</t>
        </is>
      </c>
      <c r="M647" s="256" t="inlineStr">
        <is>
          <t>03.06.2026</t>
        </is>
      </c>
      <c r="N647" s="256" t="inlineStr">
        <is>
          <t>Purely Plant GmbH (in-house)</t>
        </is>
      </c>
      <c r="O647" s="256" t="inlineStr">
        <is>
          <t>—</t>
        </is>
      </c>
      <c r="P647" s="256" t="inlineStr">
        <is>
          <t>to be performed — see route</t>
        </is>
      </c>
      <c r="Q647" s="256" t="inlineStr">
        <is>
          <t>Purely Plant laboratory — iCoA covering Ident A + B</t>
        </is>
      </c>
      <c r="R647" s="256" t="inlineStr"/>
    </row>
    <row r="648">
      <c r="A648" s="256" t="inlineStr">
        <is>
          <t>CoQ-PP_26-029</t>
        </is>
      </c>
      <c r="B648" s="256" t="inlineStr">
        <is>
          <t>release</t>
        </is>
      </c>
      <c r="C648" s="256" t="inlineStr">
        <is>
          <t>CJ072501</t>
        </is>
      </c>
      <c r="D648" s="256" t="inlineStr">
        <is>
          <t>P050252</t>
        </is>
      </c>
      <c r="E648" s="256" t="inlineStr">
        <is>
          <t>Cap Junky</t>
        </is>
      </c>
      <c r="F648" s="256" t="inlineStr">
        <is>
          <t>06.06.2026</t>
        </is>
      </c>
      <c r="G648" s="256" t="inlineStr">
        <is>
          <t>3</t>
        </is>
      </c>
      <c r="H648" s="256" t="inlineStr">
        <is>
          <t>Identification C · HPLC/HPTLC</t>
        </is>
      </c>
      <c r="I648" s="256" t="inlineStr">
        <is>
          <t>HPLC — DAB 2018 monograph Cannabis flos, 2.2.29 (CNP, before its Ph. Eur. 3028 accreditation)</t>
        </is>
      </c>
      <c r="J648" s="256" t="inlineStr">
        <is>
          <t>Conforms to the monograph for Cannabis flos (07/2024:3028) in Ph. Eur. 11.0 | Согласно монографија за Cannabis flos (07/2024:3028) во Ph. Eur. 11.0</t>
        </is>
      </c>
      <c r="K648" s="256" t="inlineStr">
        <is>
          <t>Conforms | Одговара</t>
        </is>
      </c>
      <c r="L648" s="256" t="inlineStr">
        <is>
          <t>ППК25367</t>
        </is>
      </c>
      <c r="M648" s="256" t="inlineStr">
        <is>
          <t>28.11.2025</t>
        </is>
      </c>
      <c r="N648" s="256" t="inlineStr">
        <is>
          <t>UKIM Faculty of Pharmacy — Center for Natural Products</t>
        </is>
      </c>
      <c r="O648" s="256" t="inlineStr">
        <is>
          <t>24.11.2025</t>
        </is>
      </c>
      <c r="P648" s="256" t="inlineStr">
        <is>
          <t>covered</t>
        </is>
      </c>
      <c r="Q648" s="256" t="inlineStr"/>
      <c r="R648" s="256" t="inlineStr"/>
    </row>
    <row r="649">
      <c r="A649" s="256" t="inlineStr">
        <is>
          <t>CoQ-PP_26-029</t>
        </is>
      </c>
      <c r="B649" s="256" t="inlineStr">
        <is>
          <t>release</t>
        </is>
      </c>
      <c r="C649" s="256" t="inlineStr">
        <is>
          <t>CJ072501</t>
        </is>
      </c>
      <c r="D649" s="256" t="inlineStr">
        <is>
          <t>P050252</t>
        </is>
      </c>
      <c r="E649" s="256" t="inlineStr">
        <is>
          <t>Cap Junky</t>
        </is>
      </c>
      <c r="F649" s="256" t="inlineStr">
        <is>
          <t>06.06.2026</t>
        </is>
      </c>
      <c r="G649" s="256" t="inlineStr">
        <is>
          <t>4</t>
        </is>
      </c>
      <c r="H649" s="256" t="inlineStr">
        <is>
          <t>Assay — Total Δ⁹-THC</t>
        </is>
      </c>
      <c r="I649" s="256" t="inlineStr">
        <is>
          <t>HPLC — DAB 2018 monograph Cannabis flos, 2.2.29 (CNP, before its Ph. Eur. 3028 accreditation)</t>
        </is>
      </c>
      <c r="J649" s="256" t="inlineStr">
        <is>
          <t>21.60 – 26.39 %  (grade II, nominal 24.00 ± 2.40)</t>
        </is>
      </c>
      <c r="K649" s="256" t="inlineStr">
        <is>
          <t>23.70</t>
        </is>
      </c>
      <c r="L649" s="256" t="inlineStr">
        <is>
          <t>ППК25367</t>
        </is>
      </c>
      <c r="M649" s="256" t="inlineStr">
        <is>
          <t>28.11.2025</t>
        </is>
      </c>
      <c r="N649" s="256" t="inlineStr">
        <is>
          <t>UKIM Faculty of Pharmacy — Center for Natural Products</t>
        </is>
      </c>
      <c r="O649" s="256" t="inlineStr">
        <is>
          <t>24.11.2025</t>
        </is>
      </c>
      <c r="P649" s="256" t="inlineStr">
        <is>
          <t>covered</t>
        </is>
      </c>
      <c r="Q649" s="256" t="inlineStr"/>
      <c r="R649" s="256" t="inlineStr">
        <is>
          <t>28.18 (227-27-К/26)</t>
        </is>
      </c>
    </row>
    <row r="650">
      <c r="A650" s="256" t="inlineStr">
        <is>
          <t>CoQ-PP_26-029</t>
        </is>
      </c>
      <c r="B650" s="256" t="inlineStr">
        <is>
          <t>release</t>
        </is>
      </c>
      <c r="C650" s="256" t="inlineStr">
        <is>
          <t>CJ072501</t>
        </is>
      </c>
      <c r="D650" s="256" t="inlineStr">
        <is>
          <t>P050252</t>
        </is>
      </c>
      <c r="E650" s="256" t="inlineStr">
        <is>
          <t>Cap Junky</t>
        </is>
      </c>
      <c r="F650" s="256" t="inlineStr">
        <is>
          <t>06.06.2026</t>
        </is>
      </c>
      <c r="G650" s="256" t="inlineStr">
        <is>
          <t>5</t>
        </is>
      </c>
      <c r="H650" s="256" t="inlineStr">
        <is>
          <t>Assay — Total CBD</t>
        </is>
      </c>
      <c r="I650" s="256" t="inlineStr">
        <is>
          <t>HPLC — DAB 2018 monograph Cannabis flos, 2.2.29 · CBD + CBDA x 0.877 (CNP, before its Ph. Eur. 3028 accreditation)</t>
        </is>
      </c>
      <c r="J650" s="256" t="inlineStr">
        <is>
          <t>≤ 1.0%, w/w</t>
        </is>
      </c>
      <c r="K650" s="256" t="inlineStr">
        <is>
          <t>0.09</t>
        </is>
      </c>
      <c r="L650" s="256" t="inlineStr">
        <is>
          <t>ППК25367</t>
        </is>
      </c>
      <c r="M650" s="256" t="inlineStr">
        <is>
          <t>28.11.2025</t>
        </is>
      </c>
      <c r="N650" s="256" t="inlineStr">
        <is>
          <t>UKIM Faculty of Pharmacy — Center for Natural Products</t>
        </is>
      </c>
      <c r="O650" s="256" t="inlineStr">
        <is>
          <t>24.11.2025</t>
        </is>
      </c>
      <c r="P650" s="256" t="inlineStr">
        <is>
          <t>covered</t>
        </is>
      </c>
      <c r="Q650" s="256" t="inlineStr"/>
      <c r="R650" s="256" t="inlineStr">
        <is>
          <t>&lt;LOQ (227-27-К/26)</t>
        </is>
      </c>
    </row>
    <row r="651">
      <c r="A651" s="256" t="inlineStr">
        <is>
          <t>CoQ-PP_26-029</t>
        </is>
      </c>
      <c r="B651" s="256" t="inlineStr">
        <is>
          <t>release</t>
        </is>
      </c>
      <c r="C651" s="256" t="inlineStr">
        <is>
          <t>CJ072501</t>
        </is>
      </c>
      <c r="D651" s="256" t="inlineStr">
        <is>
          <t>P050252</t>
        </is>
      </c>
      <c r="E651" s="256" t="inlineStr">
        <is>
          <t>Cap Junky</t>
        </is>
      </c>
      <c r="F651" s="256" t="inlineStr">
        <is>
          <t>06.06.2026</t>
        </is>
      </c>
      <c r="G651" s="256" t="inlineStr">
        <is>
          <t>6</t>
        </is>
      </c>
      <c r="H651" s="256" t="inlineStr">
        <is>
          <t>Total CBN</t>
        </is>
      </c>
      <c r="I651" s="256" t="inlineStr">
        <is>
          <t>Ph. Eur. 2.2.29 (HPLC) · CBN + CBNA x 0.876</t>
        </is>
      </c>
      <c r="J651" s="256" t="inlineStr">
        <is>
          <t>≤ 1.0%, w/w</t>
        </is>
      </c>
      <c r="K651" s="259" t="inlineStr">
        <is>
          <t>not tested</t>
        </is>
      </c>
      <c r="L651" s="256" t="inlineStr">
        <is>
          <t>—</t>
        </is>
      </c>
      <c r="M651" s="256" t="inlineStr">
        <is>
          <t>—</t>
        </is>
      </c>
      <c r="N651" s="256" t="inlineStr">
        <is>
          <t>—</t>
        </is>
      </c>
      <c r="O651" s="256" t="inlineStr">
        <is>
          <t>—</t>
        </is>
      </c>
      <c r="P651" s="256" t="inlineStr">
        <is>
          <t>not tested — no certificate covers it</t>
        </is>
      </c>
      <c r="Q651" s="256" t="inlineStr"/>
      <c r="R651" s="256" t="inlineStr">
        <is>
          <t>&lt;LOQ (227-27-К/26)</t>
        </is>
      </c>
    </row>
    <row r="652">
      <c r="A652" s="256" t="inlineStr">
        <is>
          <t>CoQ-PP_26-029</t>
        </is>
      </c>
      <c r="B652" s="256" t="inlineStr">
        <is>
          <t>release</t>
        </is>
      </c>
      <c r="C652" s="256" t="inlineStr">
        <is>
          <t>CJ072501</t>
        </is>
      </c>
      <c r="D652" s="256" t="inlineStr">
        <is>
          <t>P050252</t>
        </is>
      </c>
      <c r="E652" s="256" t="inlineStr">
        <is>
          <t>Cap Junky</t>
        </is>
      </c>
      <c r="F652" s="256" t="inlineStr">
        <is>
          <t>06.06.2026</t>
        </is>
      </c>
      <c r="G652" s="256" t="inlineStr">
        <is>
          <t>7</t>
        </is>
      </c>
      <c r="H652" s="256" t="inlineStr">
        <is>
          <t>Foreign Matter</t>
        </is>
      </c>
      <c r="I652" s="256" t="inlineStr">
        <is>
          <t>Ph. Eur. 2.8.2 · In-house · интерна</t>
        </is>
      </c>
      <c r="J652" s="256" t="inlineStr">
        <is>
          <t>≤ 2.0% / 25–50 g · &lt; 1 cm leaves | листови, no seeds | без семки</t>
        </is>
      </c>
      <c r="K652" s="256" t="inlineStr">
        <is>
          <t>Conforms | Одговара</t>
        </is>
      </c>
      <c r="L652" s="256" t="inlineStr">
        <is>
          <t>iCoA-PP_26-028</t>
        </is>
      </c>
      <c r="M652" s="256" t="inlineStr">
        <is>
          <t>03.06.2026</t>
        </is>
      </c>
      <c r="N652" s="256" t="inlineStr">
        <is>
          <t>Purely Plant GmbH (in-house)</t>
        </is>
      </c>
      <c r="O652" s="256" t="inlineStr">
        <is>
          <t>—</t>
        </is>
      </c>
      <c r="P652" s="256" t="inlineStr">
        <is>
          <t>to be performed — see route</t>
        </is>
      </c>
      <c r="Q652" s="256" t="inlineStr">
        <is>
          <t>Purely Plant laboratory — iCoA covering Foreign matter</t>
        </is>
      </c>
      <c r="R652" s="256" t="inlineStr"/>
    </row>
    <row r="653">
      <c r="A653" s="256" t="inlineStr">
        <is>
          <t>CoQ-PP_26-029</t>
        </is>
      </c>
      <c r="B653" s="256" t="inlineStr">
        <is>
          <t>release</t>
        </is>
      </c>
      <c r="C653" s="256" t="inlineStr">
        <is>
          <t>CJ072501</t>
        </is>
      </c>
      <c r="D653" s="256" t="inlineStr">
        <is>
          <t>P050252</t>
        </is>
      </c>
      <c r="E653" s="256" t="inlineStr">
        <is>
          <t>Cap Junky</t>
        </is>
      </c>
      <c r="F653" s="256" t="inlineStr">
        <is>
          <t>06.06.2026</t>
        </is>
      </c>
      <c r="G653" s="256" t="inlineStr">
        <is>
          <t>8</t>
        </is>
      </c>
      <c r="H653" s="256" t="inlineStr">
        <is>
          <t>Loss on Drying</t>
        </is>
      </c>
      <c r="I653" s="256" t="inlineStr">
        <is>
          <t>DAB 2018 monograph Cannabis flos, 2.2.32 — loss on drying (CNP, before its Ph. Eur. 3028 accreditation)</t>
        </is>
      </c>
      <c r="J653" s="256" t="inlineStr">
        <is>
          <t>≤ 12.0%</t>
        </is>
      </c>
      <c r="K653" s="256" t="inlineStr">
        <is>
          <t>8.22</t>
        </is>
      </c>
      <c r="L653" s="256" t="inlineStr">
        <is>
          <t>ППК25367</t>
        </is>
      </c>
      <c r="M653" s="256" t="inlineStr">
        <is>
          <t>28.11.2025</t>
        </is>
      </c>
      <c r="N653" s="256" t="inlineStr">
        <is>
          <t>UKIM Faculty of Pharmacy — Center for Natural Products</t>
        </is>
      </c>
      <c r="O653" s="256" t="inlineStr">
        <is>
          <t>24.11.2025</t>
        </is>
      </c>
      <c r="P653" s="256" t="inlineStr">
        <is>
          <t>covered</t>
        </is>
      </c>
      <c r="Q653" s="256" t="inlineStr"/>
      <c r="R653" s="256" t="inlineStr"/>
    </row>
    <row r="654">
      <c r="A654" s="256" t="inlineStr">
        <is>
          <t>CoQ-PP_26-029</t>
        </is>
      </c>
      <c r="B654" s="256" t="inlineStr">
        <is>
          <t>release</t>
        </is>
      </c>
      <c r="C654" s="256" t="inlineStr">
        <is>
          <t>CJ072501</t>
        </is>
      </c>
      <c r="D654" s="256" t="inlineStr">
        <is>
          <t>P050252</t>
        </is>
      </c>
      <c r="E654" s="256" t="inlineStr">
        <is>
          <t>Cap Junky</t>
        </is>
      </c>
      <c r="F654" s="256" t="inlineStr">
        <is>
          <t>06.06.2026</t>
        </is>
      </c>
      <c r="G654" s="256" t="inlineStr">
        <is>
          <t>9.1</t>
        </is>
      </c>
      <c r="H654" s="256" t="inlineStr">
        <is>
          <t>TAMC</t>
        </is>
      </c>
      <c r="I654" s="256" t="inlineStr">
        <is>
          <t>Ph. Eur. 2.6.12 cat. C</t>
        </is>
      </c>
      <c r="J654" s="256" t="inlineStr">
        <is>
          <t>≤ 10⁵ CFU/g</t>
        </is>
      </c>
      <c r="K654" s="256" t="inlineStr">
        <is>
          <t>4.5 × 10³</t>
        </is>
      </c>
      <c r="L654" s="256" t="inlineStr">
        <is>
          <t>1218/2169/25</t>
        </is>
      </c>
      <c r="M654" s="256" t="inlineStr">
        <is>
          <t>01.12.2025</t>
        </is>
      </c>
      <c r="N654" s="256" t="inlineStr">
        <is>
          <t>IPH — Institute of Public Health</t>
        </is>
      </c>
      <c r="O654" s="256" t="inlineStr">
        <is>
          <t>26.11.2025</t>
        </is>
      </c>
      <c r="P654" s="256" t="inlineStr">
        <is>
          <t>covered</t>
        </is>
      </c>
      <c r="Q654" s="256" t="inlineStr"/>
      <c r="R654" s="256" t="inlineStr"/>
    </row>
    <row r="655">
      <c r="A655" s="256" t="inlineStr">
        <is>
          <t>CoQ-PP_26-029</t>
        </is>
      </c>
      <c r="B655" s="256" t="inlineStr">
        <is>
          <t>release</t>
        </is>
      </c>
      <c r="C655" s="256" t="inlineStr">
        <is>
          <t>CJ072501</t>
        </is>
      </c>
      <c r="D655" s="256" t="inlineStr">
        <is>
          <t>P050252</t>
        </is>
      </c>
      <c r="E655" s="256" t="inlineStr">
        <is>
          <t>Cap Junky</t>
        </is>
      </c>
      <c r="F655" s="256" t="inlineStr">
        <is>
          <t>06.06.2026</t>
        </is>
      </c>
      <c r="G655" s="256" t="inlineStr">
        <is>
          <t>9.2</t>
        </is>
      </c>
      <c r="H655" s="256" t="inlineStr">
        <is>
          <t>TYMC</t>
        </is>
      </c>
      <c r="I655" s="256" t="inlineStr">
        <is>
          <t>Ph. Eur. 2.6.12 cat. C</t>
        </is>
      </c>
      <c r="J655" s="256" t="inlineStr">
        <is>
          <t>≤ 10⁴ CFU/g</t>
        </is>
      </c>
      <c r="K655" s="256" t="inlineStr">
        <is>
          <t>3.5 × 10³</t>
        </is>
      </c>
      <c r="L655" s="256" t="inlineStr">
        <is>
          <t>1218/2169/25</t>
        </is>
      </c>
      <c r="M655" s="256" t="inlineStr">
        <is>
          <t>01.12.2025</t>
        </is>
      </c>
      <c r="N655" s="256" t="inlineStr">
        <is>
          <t>IPH — Institute of Public Health</t>
        </is>
      </c>
      <c r="O655" s="256" t="inlineStr">
        <is>
          <t>26.11.2025</t>
        </is>
      </c>
      <c r="P655" s="256" t="inlineStr">
        <is>
          <t>covered</t>
        </is>
      </c>
      <c r="Q655" s="256" t="inlineStr"/>
      <c r="R655" s="256" t="inlineStr"/>
    </row>
    <row r="656">
      <c r="A656" s="256" t="inlineStr">
        <is>
          <t>CoQ-PP_26-029</t>
        </is>
      </c>
      <c r="B656" s="256" t="inlineStr">
        <is>
          <t>release</t>
        </is>
      </c>
      <c r="C656" s="256" t="inlineStr">
        <is>
          <t>CJ072501</t>
        </is>
      </c>
      <c r="D656" s="256" t="inlineStr">
        <is>
          <t>P050252</t>
        </is>
      </c>
      <c r="E656" s="256" t="inlineStr">
        <is>
          <t>Cap Junky</t>
        </is>
      </c>
      <c r="F656" s="256" t="inlineStr">
        <is>
          <t>06.06.2026</t>
        </is>
      </c>
      <c r="G656" s="256" t="inlineStr">
        <is>
          <t>9.3</t>
        </is>
      </c>
      <c r="H656" s="256" t="inlineStr">
        <is>
          <t>Bile-tolerant gram-neg.</t>
        </is>
      </c>
      <c r="I656" s="256" t="inlineStr">
        <is>
          <t>Ph. Eur. 2.6.31 cat. C</t>
        </is>
      </c>
      <c r="J656" s="256" t="inlineStr">
        <is>
          <t>≤ 10⁴ CFU/g</t>
        </is>
      </c>
      <c r="K656" s="256" t="inlineStr">
        <is>
          <t>&lt; 10</t>
        </is>
      </c>
      <c r="L656" s="256" t="inlineStr">
        <is>
          <t>1218/2169/25</t>
        </is>
      </c>
      <c r="M656" s="256" t="inlineStr">
        <is>
          <t>01.12.2025</t>
        </is>
      </c>
      <c r="N656" s="256" t="inlineStr">
        <is>
          <t>IPH — Institute of Public Health</t>
        </is>
      </c>
      <c r="O656" s="256" t="inlineStr">
        <is>
          <t>26.11.2025</t>
        </is>
      </c>
      <c r="P656" s="256" t="inlineStr">
        <is>
          <t>covered</t>
        </is>
      </c>
      <c r="Q656" s="256" t="inlineStr"/>
      <c r="R656" s="256" t="inlineStr"/>
    </row>
    <row r="657">
      <c r="A657" s="256" t="inlineStr">
        <is>
          <t>CoQ-PP_26-029</t>
        </is>
      </c>
      <c r="B657" s="256" t="inlineStr">
        <is>
          <t>release</t>
        </is>
      </c>
      <c r="C657" s="256" t="inlineStr">
        <is>
          <t>CJ072501</t>
        </is>
      </c>
      <c r="D657" s="256" t="inlineStr">
        <is>
          <t>P050252</t>
        </is>
      </c>
      <c r="E657" s="256" t="inlineStr">
        <is>
          <t>Cap Junky</t>
        </is>
      </c>
      <c r="F657" s="256" t="inlineStr">
        <is>
          <t>06.06.2026</t>
        </is>
      </c>
      <c r="G657" s="256" t="inlineStr">
        <is>
          <t>9.4</t>
        </is>
      </c>
      <c r="H657" s="256" t="inlineStr">
        <is>
          <t>Salmonella</t>
        </is>
      </c>
      <c r="I657" s="256" t="inlineStr">
        <is>
          <t>Ph. Eur. 2.6.31 cat. C</t>
        </is>
      </c>
      <c r="J657" s="256" t="inlineStr">
        <is>
          <t>Absence | Отсуство / 25 g</t>
        </is>
      </c>
      <c r="K657" s="256" t="inlineStr">
        <is>
          <t>Absent | Отсутна</t>
        </is>
      </c>
      <c r="L657" s="256" t="inlineStr">
        <is>
          <t>1218/2169/25</t>
        </is>
      </c>
      <c r="M657" s="256" t="inlineStr">
        <is>
          <t>01.12.2025</t>
        </is>
      </c>
      <c r="N657" s="256" t="inlineStr">
        <is>
          <t>IPH — Institute of Public Health</t>
        </is>
      </c>
      <c r="O657" s="256" t="inlineStr">
        <is>
          <t>26.11.2025</t>
        </is>
      </c>
      <c r="P657" s="256" t="inlineStr">
        <is>
          <t>covered</t>
        </is>
      </c>
      <c r="Q657" s="256" t="inlineStr"/>
      <c r="R657" s="256" t="inlineStr"/>
    </row>
    <row r="658">
      <c r="A658" s="256" t="inlineStr">
        <is>
          <t>CoQ-PP_26-029</t>
        </is>
      </c>
      <c r="B658" s="256" t="inlineStr">
        <is>
          <t>release</t>
        </is>
      </c>
      <c r="C658" s="256" t="inlineStr">
        <is>
          <t>CJ072501</t>
        </is>
      </c>
      <c r="D658" s="256" t="inlineStr">
        <is>
          <t>P050252</t>
        </is>
      </c>
      <c r="E658" s="256" t="inlineStr">
        <is>
          <t>Cap Junky</t>
        </is>
      </c>
      <c r="F658" s="256" t="inlineStr">
        <is>
          <t>06.06.2026</t>
        </is>
      </c>
      <c r="G658" s="256" t="inlineStr">
        <is>
          <t>9.5</t>
        </is>
      </c>
      <c r="H658" s="256" t="inlineStr">
        <is>
          <t>Escherichia coli</t>
        </is>
      </c>
      <c r="I658" s="256" t="inlineStr">
        <is>
          <t>Ph. Eur. 2.6.13 cat. C</t>
        </is>
      </c>
      <c r="J658" s="256" t="inlineStr">
        <is>
          <t>Absence | Отсуство / 1 g</t>
        </is>
      </c>
      <c r="K658" s="256" t="inlineStr">
        <is>
          <t>Absent | Отсутна</t>
        </is>
      </c>
      <c r="L658" s="256" t="inlineStr">
        <is>
          <t>1218/2169/25</t>
        </is>
      </c>
      <c r="M658" s="256" t="inlineStr">
        <is>
          <t>01.12.2025</t>
        </is>
      </c>
      <c r="N658" s="256" t="inlineStr">
        <is>
          <t>IPH — Institute of Public Health</t>
        </is>
      </c>
      <c r="O658" s="256" t="inlineStr">
        <is>
          <t>26.11.2025</t>
        </is>
      </c>
      <c r="P658" s="256" t="inlineStr">
        <is>
          <t>covered</t>
        </is>
      </c>
      <c r="Q658" s="256" t="inlineStr"/>
      <c r="R658" s="256" t="inlineStr"/>
    </row>
    <row r="659">
      <c r="A659" s="256" t="inlineStr">
        <is>
          <t>CoQ-PP_26-029</t>
        </is>
      </c>
      <c r="B659" s="256" t="inlineStr">
        <is>
          <t>release</t>
        </is>
      </c>
      <c r="C659" s="256" t="inlineStr">
        <is>
          <t>CJ072501</t>
        </is>
      </c>
      <c r="D659" s="256" t="inlineStr">
        <is>
          <t>P050252</t>
        </is>
      </c>
      <c r="E659" s="256" t="inlineStr">
        <is>
          <t>Cap Junky</t>
        </is>
      </c>
      <c r="F659" s="256" t="inlineStr">
        <is>
          <t>06.06.2026</t>
        </is>
      </c>
      <c r="G659" s="256" t="inlineStr">
        <is>
          <t>9.6</t>
        </is>
      </c>
      <c r="H659" s="256" t="inlineStr">
        <is>
          <t>Pseudomonas aeruginosa</t>
        </is>
      </c>
      <c r="I659" s="256" t="inlineStr">
        <is>
          <t>Ph. Eur. 2.6.13 cat. C</t>
        </is>
      </c>
      <c r="J659" s="256" t="inlineStr">
        <is>
          <t>Absence | Отсуство / 1 g</t>
        </is>
      </c>
      <c r="K659" s="260" t="inlineStr">
        <is>
          <t>upon request — not required for release</t>
        </is>
      </c>
      <c r="L659" s="256" t="inlineStr">
        <is>
          <t>—</t>
        </is>
      </c>
      <c r="M659" s="256" t="inlineStr">
        <is>
          <t>—</t>
        </is>
      </c>
      <c r="N659" s="256" t="inlineStr">
        <is>
          <t>—</t>
        </is>
      </c>
      <c r="O659" s="256" t="inlineStr">
        <is>
          <t>—</t>
        </is>
      </c>
      <c r="P659" s="256" t="inlineStr">
        <is>
          <t>upon request — not required for release</t>
        </is>
      </c>
      <c r="Q659" s="256" t="inlineStr"/>
      <c r="R659" s="256" t="inlineStr"/>
    </row>
    <row r="660">
      <c r="A660" s="256" t="inlineStr">
        <is>
          <t>CoQ-PP_26-029</t>
        </is>
      </c>
      <c r="B660" s="256" t="inlineStr">
        <is>
          <t>release</t>
        </is>
      </c>
      <c r="C660" s="256" t="inlineStr">
        <is>
          <t>CJ072501</t>
        </is>
      </c>
      <c r="D660" s="256" t="inlineStr">
        <is>
          <t>P050252</t>
        </is>
      </c>
      <c r="E660" s="256" t="inlineStr">
        <is>
          <t>Cap Junky</t>
        </is>
      </c>
      <c r="F660" s="256" t="inlineStr">
        <is>
          <t>06.06.2026</t>
        </is>
      </c>
      <c r="G660" s="256" t="inlineStr">
        <is>
          <t>9.7</t>
        </is>
      </c>
      <c r="H660" s="256" t="inlineStr">
        <is>
          <t>Staphylococcus aureus</t>
        </is>
      </c>
      <c r="I660" s="256" t="inlineStr">
        <is>
          <t>Ph. Eur. 2.6.13 cat. C</t>
        </is>
      </c>
      <c r="J660" s="256" t="inlineStr">
        <is>
          <t>Absence | Отсуство / 1 g</t>
        </is>
      </c>
      <c r="K660" s="260" t="inlineStr">
        <is>
          <t>upon request — not required for release</t>
        </is>
      </c>
      <c r="L660" s="256" t="inlineStr">
        <is>
          <t>—</t>
        </is>
      </c>
      <c r="M660" s="256" t="inlineStr">
        <is>
          <t>—</t>
        </is>
      </c>
      <c r="N660" s="256" t="inlineStr">
        <is>
          <t>—</t>
        </is>
      </c>
      <c r="O660" s="256" t="inlineStr">
        <is>
          <t>—</t>
        </is>
      </c>
      <c r="P660" s="256" t="inlineStr">
        <is>
          <t>upon request — not required for release</t>
        </is>
      </c>
      <c r="Q660" s="256" t="inlineStr"/>
      <c r="R660" s="256" t="inlineStr"/>
    </row>
    <row r="661">
      <c r="A661" s="256" t="inlineStr">
        <is>
          <t>CoQ-PP_26-029</t>
        </is>
      </c>
      <c r="B661" s="256" t="inlineStr">
        <is>
          <t>release</t>
        </is>
      </c>
      <c r="C661" s="256" t="inlineStr">
        <is>
          <t>CJ072501</t>
        </is>
      </c>
      <c r="D661" s="256" t="inlineStr">
        <is>
          <t>P050252</t>
        </is>
      </c>
      <c r="E661" s="256" t="inlineStr">
        <is>
          <t>Cap Junky</t>
        </is>
      </c>
      <c r="F661" s="256" t="inlineStr">
        <is>
          <t>06.06.2026</t>
        </is>
      </c>
      <c r="G661" s="256" t="inlineStr">
        <is>
          <t>10.1</t>
        </is>
      </c>
      <c r="H661" s="256" t="inlineStr">
        <is>
          <t>Aflatoxin B₁</t>
        </is>
      </c>
      <c r="I661" s="256" t="inlineStr">
        <is>
          <t>Ph. Eur. 2.8.18 (HPLC-FLD)</t>
        </is>
      </c>
      <c r="J661" s="256" t="inlineStr">
        <is>
          <t>≤ 2 µg/kg</t>
        </is>
      </c>
      <c r="K661" s="259" t="inlineStr">
        <is>
          <t>not tested</t>
        </is>
      </c>
      <c r="L661" s="256" t="inlineStr">
        <is>
          <t>—</t>
        </is>
      </c>
      <c r="M661" s="256" t="inlineStr">
        <is>
          <t>—</t>
        </is>
      </c>
      <c r="N661" s="256" t="inlineStr">
        <is>
          <t>—</t>
        </is>
      </c>
      <c r="O661" s="256" t="inlineStr">
        <is>
          <t>—</t>
        </is>
      </c>
      <c r="P661" s="256" t="inlineStr">
        <is>
          <t>not tested — no certificate covers it</t>
        </is>
      </c>
      <c r="Q661" s="256" t="inlineStr"/>
      <c r="R661" s="256" t="inlineStr"/>
    </row>
    <row r="662">
      <c r="A662" s="256" t="inlineStr">
        <is>
          <t>CoQ-PP_26-029</t>
        </is>
      </c>
      <c r="B662" s="256" t="inlineStr">
        <is>
          <t>release</t>
        </is>
      </c>
      <c r="C662" s="256" t="inlineStr">
        <is>
          <t>CJ072501</t>
        </is>
      </c>
      <c r="D662" s="256" t="inlineStr">
        <is>
          <t>P050252</t>
        </is>
      </c>
      <c r="E662" s="256" t="inlineStr">
        <is>
          <t>Cap Junky</t>
        </is>
      </c>
      <c r="F662" s="256" t="inlineStr">
        <is>
          <t>06.06.2026</t>
        </is>
      </c>
      <c r="G662" s="256" t="inlineStr">
        <is>
          <t>10.2</t>
        </is>
      </c>
      <c r="H662" s="256" t="inlineStr">
        <is>
          <t>Aflatoxins ∑</t>
        </is>
      </c>
      <c r="I662" s="256" t="inlineStr">
        <is>
          <t>Ph. Eur. 2.8.18 (HPLC-FLD)</t>
        </is>
      </c>
      <c r="J662" s="256" t="inlineStr">
        <is>
          <t>≤ 4 µg/kg</t>
        </is>
      </c>
      <c r="K662" s="256" t="inlineStr">
        <is>
          <t>&lt; 2</t>
        </is>
      </c>
      <c r="L662" s="256" t="inlineStr">
        <is>
          <t>5697/2025</t>
        </is>
      </c>
      <c r="M662" s="256" t="inlineStr">
        <is>
          <t>02.12.2025</t>
        </is>
      </c>
      <c r="N662" s="256" t="inlineStr">
        <is>
          <t>IPH — Institute of Public Health</t>
        </is>
      </c>
      <c r="O662" s="256" t="inlineStr">
        <is>
          <t>24.11.2025</t>
        </is>
      </c>
      <c r="P662" s="256" t="inlineStr">
        <is>
          <t>covered</t>
        </is>
      </c>
      <c r="Q662" s="256" t="inlineStr"/>
      <c r="R662" s="256" t="inlineStr"/>
    </row>
    <row r="663">
      <c r="A663" s="256" t="inlineStr">
        <is>
          <t>CoQ-PP_26-029</t>
        </is>
      </c>
      <c r="B663" s="256" t="inlineStr">
        <is>
          <t>release</t>
        </is>
      </c>
      <c r="C663" s="256" t="inlineStr">
        <is>
          <t>CJ072501</t>
        </is>
      </c>
      <c r="D663" s="256" t="inlineStr">
        <is>
          <t>P050252</t>
        </is>
      </c>
      <c r="E663" s="256" t="inlineStr">
        <is>
          <t>Cap Junky</t>
        </is>
      </c>
      <c r="F663" s="256" t="inlineStr">
        <is>
          <t>06.06.2026</t>
        </is>
      </c>
      <c r="G663" s="256" t="inlineStr">
        <is>
          <t>10.3</t>
        </is>
      </c>
      <c r="H663" s="256" t="inlineStr">
        <is>
          <t>Ochratoxin A</t>
        </is>
      </c>
      <c r="I663" s="256" t="inlineStr">
        <is>
          <t>Ph. Eur. 2.8.22 (HPLC-FLD)</t>
        </is>
      </c>
      <c r="J663" s="256" t="inlineStr">
        <is>
          <t>≤ 20 µg/kg</t>
        </is>
      </c>
      <c r="K663" s="259" t="inlineStr">
        <is>
          <t>not tested</t>
        </is>
      </c>
      <c r="L663" s="256" t="inlineStr">
        <is>
          <t>—</t>
        </is>
      </c>
      <c r="M663" s="256" t="inlineStr">
        <is>
          <t>—</t>
        </is>
      </c>
      <c r="N663" s="256" t="inlineStr">
        <is>
          <t>—</t>
        </is>
      </c>
      <c r="O663" s="256" t="inlineStr">
        <is>
          <t>—</t>
        </is>
      </c>
      <c r="P663" s="256" t="inlineStr">
        <is>
          <t>not tested — no certificate covers it</t>
        </is>
      </c>
      <c r="Q663" s="256" t="inlineStr"/>
      <c r="R663" s="256" t="inlineStr"/>
    </row>
    <row r="664">
      <c r="A664" s="256" t="inlineStr">
        <is>
          <t>CoQ-PP_26-029</t>
        </is>
      </c>
      <c r="B664" s="256" t="inlineStr">
        <is>
          <t>release</t>
        </is>
      </c>
      <c r="C664" s="256" t="inlineStr">
        <is>
          <t>CJ072501</t>
        </is>
      </c>
      <c r="D664" s="256" t="inlineStr">
        <is>
          <t>P050252</t>
        </is>
      </c>
      <c r="E664" s="256" t="inlineStr">
        <is>
          <t>Cap Junky</t>
        </is>
      </c>
      <c r="F664" s="256" t="inlineStr">
        <is>
          <t>06.06.2026</t>
        </is>
      </c>
      <c r="G664" s="256" t="inlineStr">
        <is>
          <t>11.1</t>
        </is>
      </c>
      <c r="H664" s="256" t="inlineStr">
        <is>
          <t>Lead (Pb)</t>
        </is>
      </c>
      <c r="I664" s="256" t="inlineStr">
        <is>
          <t>Ph. Eur. 2.4.27 (ICP-MS)</t>
        </is>
      </c>
      <c r="J664" s="256" t="inlineStr">
        <is>
          <t>≤ 0.5 mg/kg</t>
        </is>
      </c>
      <c r="K664" s="256" t="inlineStr">
        <is>
          <t>0.013</t>
        </is>
      </c>
      <c r="L664" s="256" t="inlineStr">
        <is>
          <t>5697/2025</t>
        </is>
      </c>
      <c r="M664" s="256" t="inlineStr">
        <is>
          <t>02.12.2025</t>
        </is>
      </c>
      <c r="N664" s="256" t="inlineStr">
        <is>
          <t>IPH — Institute of Public Health</t>
        </is>
      </c>
      <c r="O664" s="256" t="inlineStr">
        <is>
          <t>24.11.2025</t>
        </is>
      </c>
      <c r="P664" s="256" t="inlineStr">
        <is>
          <t>covered</t>
        </is>
      </c>
      <c r="Q664" s="256" t="inlineStr"/>
      <c r="R664" s="256" t="inlineStr"/>
    </row>
    <row r="665">
      <c r="A665" s="256" t="inlineStr">
        <is>
          <t>CoQ-PP_26-029</t>
        </is>
      </c>
      <c r="B665" s="256" t="inlineStr">
        <is>
          <t>release</t>
        </is>
      </c>
      <c r="C665" s="256" t="inlineStr">
        <is>
          <t>CJ072501</t>
        </is>
      </c>
      <c r="D665" s="256" t="inlineStr">
        <is>
          <t>P050252</t>
        </is>
      </c>
      <c r="E665" s="256" t="inlineStr">
        <is>
          <t>Cap Junky</t>
        </is>
      </c>
      <c r="F665" s="256" t="inlineStr">
        <is>
          <t>06.06.2026</t>
        </is>
      </c>
      <c r="G665" s="256" t="inlineStr">
        <is>
          <t>11.2</t>
        </is>
      </c>
      <c r="H665" s="256" t="inlineStr">
        <is>
          <t>Cadmium (Cd)</t>
        </is>
      </c>
      <c r="I665" s="256" t="inlineStr">
        <is>
          <t>Ph. Eur. 2.4.27 (ICP-MS)</t>
        </is>
      </c>
      <c r="J665" s="256" t="inlineStr">
        <is>
          <t>≤ 0.3 mg/kg</t>
        </is>
      </c>
      <c r="K665" s="256" t="inlineStr">
        <is>
          <t>0.004</t>
        </is>
      </c>
      <c r="L665" s="256" t="inlineStr">
        <is>
          <t>5697/2025</t>
        </is>
      </c>
      <c r="M665" s="256" t="inlineStr">
        <is>
          <t>02.12.2025</t>
        </is>
      </c>
      <c r="N665" s="256" t="inlineStr">
        <is>
          <t>IPH — Institute of Public Health</t>
        </is>
      </c>
      <c r="O665" s="256" t="inlineStr">
        <is>
          <t>24.11.2025</t>
        </is>
      </c>
      <c r="P665" s="256" t="inlineStr">
        <is>
          <t>covered</t>
        </is>
      </c>
      <c r="Q665" s="256" t="inlineStr"/>
      <c r="R665" s="256" t="inlineStr"/>
    </row>
    <row r="666">
      <c r="A666" s="256" t="inlineStr">
        <is>
          <t>CoQ-PP_26-029</t>
        </is>
      </c>
      <c r="B666" s="256" t="inlineStr">
        <is>
          <t>release</t>
        </is>
      </c>
      <c r="C666" s="256" t="inlineStr">
        <is>
          <t>CJ072501</t>
        </is>
      </c>
      <c r="D666" s="256" t="inlineStr">
        <is>
          <t>P050252</t>
        </is>
      </c>
      <c r="E666" s="256" t="inlineStr">
        <is>
          <t>Cap Junky</t>
        </is>
      </c>
      <c r="F666" s="256" t="inlineStr">
        <is>
          <t>06.06.2026</t>
        </is>
      </c>
      <c r="G666" s="256" t="inlineStr">
        <is>
          <t>11.3</t>
        </is>
      </c>
      <c r="H666" s="256" t="inlineStr">
        <is>
          <t>Arsenic (As)</t>
        </is>
      </c>
      <c r="I666" s="256" t="inlineStr">
        <is>
          <t>Ph. Eur. 2.4.27 (ICP-MS)</t>
        </is>
      </c>
      <c r="J666" s="256" t="inlineStr">
        <is>
          <t>≤ 0.2 mg/kg</t>
        </is>
      </c>
      <c r="K666" s="256" t="inlineStr">
        <is>
          <t>0.011</t>
        </is>
      </c>
      <c r="L666" s="256" t="inlineStr">
        <is>
          <t>5697/2025</t>
        </is>
      </c>
      <c r="M666" s="256" t="inlineStr">
        <is>
          <t>02.12.2025</t>
        </is>
      </c>
      <c r="N666" s="256" t="inlineStr">
        <is>
          <t>IPH — Institute of Public Health</t>
        </is>
      </c>
      <c r="O666" s="256" t="inlineStr">
        <is>
          <t>24.11.2025</t>
        </is>
      </c>
      <c r="P666" s="256" t="inlineStr">
        <is>
          <t>covered</t>
        </is>
      </c>
      <c r="Q666" s="256" t="inlineStr"/>
      <c r="R666" s="256" t="inlineStr"/>
    </row>
    <row r="667">
      <c r="A667" s="256" t="inlineStr">
        <is>
          <t>CoQ-PP_26-029</t>
        </is>
      </c>
      <c r="B667" s="256" t="inlineStr">
        <is>
          <t>release</t>
        </is>
      </c>
      <c r="C667" s="256" t="inlineStr">
        <is>
          <t>CJ072501</t>
        </is>
      </c>
      <c r="D667" s="256" t="inlineStr">
        <is>
          <t>P050252</t>
        </is>
      </c>
      <c r="E667" s="256" t="inlineStr">
        <is>
          <t>Cap Junky</t>
        </is>
      </c>
      <c r="F667" s="256" t="inlineStr">
        <is>
          <t>06.06.2026</t>
        </is>
      </c>
      <c r="G667" s="256" t="inlineStr">
        <is>
          <t>11.4</t>
        </is>
      </c>
      <c r="H667" s="256" t="inlineStr">
        <is>
          <t>Mercury (Hg)</t>
        </is>
      </c>
      <c r="I667" s="256" t="inlineStr">
        <is>
          <t>Ph. Eur. 2.4.27 (ICP-MS)</t>
        </is>
      </c>
      <c r="J667" s="256" t="inlineStr">
        <is>
          <t>≤ 0.1 mg/kg</t>
        </is>
      </c>
      <c r="K667" s="256" t="inlineStr">
        <is>
          <t>0.002</t>
        </is>
      </c>
      <c r="L667" s="256" t="inlineStr">
        <is>
          <t>5697/2025</t>
        </is>
      </c>
      <c r="M667" s="256" t="inlineStr">
        <is>
          <t>02.12.2025</t>
        </is>
      </c>
      <c r="N667" s="256" t="inlineStr">
        <is>
          <t>IPH — Institute of Public Health</t>
        </is>
      </c>
      <c r="O667" s="256" t="inlineStr">
        <is>
          <t>24.11.2025</t>
        </is>
      </c>
      <c r="P667" s="256" t="inlineStr">
        <is>
          <t>covered</t>
        </is>
      </c>
      <c r="Q667" s="256" t="inlineStr"/>
      <c r="R667" s="256" t="inlineStr"/>
    </row>
    <row r="668">
      <c r="A668" s="256" t="inlineStr">
        <is>
          <t>CoQ-PP_26-029</t>
        </is>
      </c>
      <c r="B668" s="256" t="inlineStr">
        <is>
          <t>release</t>
        </is>
      </c>
      <c r="C668" s="256" t="inlineStr">
        <is>
          <t>CJ072501</t>
        </is>
      </c>
      <c r="D668" s="256" t="inlineStr">
        <is>
          <t>P050252</t>
        </is>
      </c>
      <c r="E668" s="256" t="inlineStr">
        <is>
          <t>Cap Junky</t>
        </is>
      </c>
      <c r="F668" s="256" t="inlineStr">
        <is>
          <t>06.06.2026</t>
        </is>
      </c>
      <c r="G668" s="256" t="inlineStr">
        <is>
          <t>12</t>
        </is>
      </c>
      <c r="H668" s="256" t="inlineStr">
        <is>
          <t>Pesticide Residues</t>
        </is>
      </c>
      <c r="I668" s="256" t="inlineStr">
        <is>
          <t>Ph. Eur. 2.8.13 (LC-MS/MS) · CUMCS Equivalency</t>
        </is>
      </c>
      <c r="J668" s="256" t="inlineStr">
        <is>
          <t>≤ LOQ as per Ph. Eur. 2.8.13 · ≤ LOQ as per CUMCS Equivalency</t>
        </is>
      </c>
      <c r="K668" s="256" t="inlineStr">
        <is>
          <t>ND</t>
        </is>
      </c>
      <c r="L668" s="256" t="inlineStr">
        <is>
          <t>5697/2025</t>
        </is>
      </c>
      <c r="M668" s="256" t="inlineStr">
        <is>
          <t>02.12.2025</t>
        </is>
      </c>
      <c r="N668" s="256" t="inlineStr">
        <is>
          <t>IPH — Institute of Public Health</t>
        </is>
      </c>
      <c r="O668" s="256" t="inlineStr">
        <is>
          <t>24.11.2025</t>
        </is>
      </c>
      <c r="P668" s="256" t="inlineStr">
        <is>
          <t>covered</t>
        </is>
      </c>
      <c r="Q668" s="256" t="inlineStr"/>
      <c r="R668" s="256" t="inlineStr"/>
    </row>
    <row r="669">
      <c r="A669" s="256" t="inlineStr">
        <is>
          <t>CoQ-PP_26-030</t>
        </is>
      </c>
      <c r="B669" s="256" t="inlineStr">
        <is>
          <t>release</t>
        </is>
      </c>
      <c r="C669" s="256" t="inlineStr">
        <is>
          <t>WC072501</t>
        </is>
      </c>
      <c r="D669" s="256" t="inlineStr">
        <is>
          <t>P050262</t>
        </is>
      </c>
      <c r="E669" s="256" t="inlineStr">
        <is>
          <t>Wedding Crusher</t>
        </is>
      </c>
      <c r="F669" s="256" t="inlineStr">
        <is>
          <t>06.06.2026</t>
        </is>
      </c>
      <c r="G669" s="256" t="inlineStr">
        <is>
          <t>1</t>
        </is>
      </c>
      <c r="H669" s="256" t="inlineStr">
        <is>
          <t>Identification A, Appearance · Macroscopic</t>
        </is>
      </c>
      <c r="I669" s="256" t="inlineStr">
        <is>
          <t>Ph. Eur. mon. 3028</t>
        </is>
      </c>
      <c r="J669" s="256" t="inlineStr">
        <is>
          <t>Conforms to the monograph for Cannabis flos (07/2024:3028) in Ph. Eur. 11.0 | Согласно монографија за Cannabis flos (07/2024:3028) во Ph. Eur. 11.0</t>
        </is>
      </c>
      <c r="K669" s="256" t="inlineStr">
        <is>
          <t>Conforms | Одговара</t>
        </is>
      </c>
      <c r="L669" s="256" t="inlineStr">
        <is>
          <t>iCoA-PP_26-029</t>
        </is>
      </c>
      <c r="M669" s="256" t="inlineStr">
        <is>
          <t>03.06.2026</t>
        </is>
      </c>
      <c r="N669" s="256" t="inlineStr">
        <is>
          <t>Purely Plant GmbH (in-house)</t>
        </is>
      </c>
      <c r="O669" s="256" t="inlineStr">
        <is>
          <t>—</t>
        </is>
      </c>
      <c r="P669" s="256" t="inlineStr">
        <is>
          <t>to be performed — see route</t>
        </is>
      </c>
      <c r="Q669" s="256" t="inlineStr">
        <is>
          <t>Purely Plant laboratory — iCoA covering Ident A + B</t>
        </is>
      </c>
      <c r="R669" s="256" t="inlineStr"/>
    </row>
    <row r="670">
      <c r="A670" s="256" t="inlineStr">
        <is>
          <t>CoQ-PP_26-030</t>
        </is>
      </c>
      <c r="B670" s="256" t="inlineStr">
        <is>
          <t>release</t>
        </is>
      </c>
      <c r="C670" s="256" t="inlineStr">
        <is>
          <t>WC072501</t>
        </is>
      </c>
      <c r="D670" s="256" t="inlineStr">
        <is>
          <t>P050262</t>
        </is>
      </c>
      <c r="E670" s="256" t="inlineStr">
        <is>
          <t>Wedding Crusher</t>
        </is>
      </c>
      <c r="F670" s="256" t="inlineStr">
        <is>
          <t>06.06.2026</t>
        </is>
      </c>
      <c r="G670" s="256" t="inlineStr">
        <is>
          <t>2</t>
        </is>
      </c>
      <c r="H670" s="256" t="inlineStr">
        <is>
          <t>Identification B · Microscopic</t>
        </is>
      </c>
      <c r="I670" s="256" t="inlineStr">
        <is>
          <t>Ph. Eur. 2.8.23 (microscopy)</t>
        </is>
      </c>
      <c r="J670" s="256" t="inlineStr">
        <is>
          <t>Conforms to the monograph for Cannabis flos (07/2024:3028) in Ph. Eur. 11.0 | Согласно монографија за Cannabis flos (07/2024:3028) во Ph. Eur. 11.0</t>
        </is>
      </c>
      <c r="K670" s="256" t="inlineStr">
        <is>
          <t>Conforms | Одговара</t>
        </is>
      </c>
      <c r="L670" s="256" t="inlineStr">
        <is>
          <t>iCoA-PP_26-029</t>
        </is>
      </c>
      <c r="M670" s="256" t="inlineStr">
        <is>
          <t>03.06.2026</t>
        </is>
      </c>
      <c r="N670" s="256" t="inlineStr">
        <is>
          <t>Purely Plant GmbH (in-house)</t>
        </is>
      </c>
      <c r="O670" s="256" t="inlineStr">
        <is>
          <t>—</t>
        </is>
      </c>
      <c r="P670" s="256" t="inlineStr">
        <is>
          <t>to be performed — see route</t>
        </is>
      </c>
      <c r="Q670" s="256" t="inlineStr">
        <is>
          <t>Purely Plant laboratory — iCoA covering Ident A + B</t>
        </is>
      </c>
      <c r="R670" s="256" t="inlineStr"/>
    </row>
    <row r="671">
      <c r="A671" s="256" t="inlineStr">
        <is>
          <t>CoQ-PP_26-030</t>
        </is>
      </c>
      <c r="B671" s="256" t="inlineStr">
        <is>
          <t>release</t>
        </is>
      </c>
      <c r="C671" s="256" t="inlineStr">
        <is>
          <t>WC072501</t>
        </is>
      </c>
      <c r="D671" s="256" t="inlineStr">
        <is>
          <t>P050262</t>
        </is>
      </c>
      <c r="E671" s="256" t="inlineStr">
        <is>
          <t>Wedding Crusher</t>
        </is>
      </c>
      <c r="F671" s="256" t="inlineStr">
        <is>
          <t>06.06.2026</t>
        </is>
      </c>
      <c r="G671" s="256" t="inlineStr">
        <is>
          <t>3</t>
        </is>
      </c>
      <c r="H671" s="256" t="inlineStr">
        <is>
          <t>Identification C · HPLC/HPTLC</t>
        </is>
      </c>
      <c r="I671" s="256" t="inlineStr">
        <is>
          <t>HPLC — DAB 2018 monograph Cannabis flos, 2.2.29 (CNP, before its Ph. Eur. 3028 accreditation)</t>
        </is>
      </c>
      <c r="J671" s="256" t="inlineStr">
        <is>
          <t>Conforms to the monograph for Cannabis flos (07/2024:3028) in Ph. Eur. 11.0 | Согласно монографија за Cannabis flos (07/2024:3028) во Ph. Eur. 11.0</t>
        </is>
      </c>
      <c r="K671" s="256" t="inlineStr">
        <is>
          <t>Conforms | Одговара</t>
        </is>
      </c>
      <c r="L671" s="256" t="inlineStr">
        <is>
          <t>ППК25369</t>
        </is>
      </c>
      <c r="M671" s="256" t="inlineStr">
        <is>
          <t>28.11.2025</t>
        </is>
      </c>
      <c r="N671" s="256" t="inlineStr">
        <is>
          <t>UKIM Faculty of Pharmacy — Center for Natural Products</t>
        </is>
      </c>
      <c r="O671" s="256" t="inlineStr">
        <is>
          <t>24.11.2025</t>
        </is>
      </c>
      <c r="P671" s="256" t="inlineStr">
        <is>
          <t>covered</t>
        </is>
      </c>
      <c r="Q671" s="256" t="inlineStr"/>
      <c r="R671" s="256" t="inlineStr"/>
    </row>
    <row r="672">
      <c r="A672" s="256" t="inlineStr">
        <is>
          <t>CoQ-PP_26-030</t>
        </is>
      </c>
      <c r="B672" s="256" t="inlineStr">
        <is>
          <t>release</t>
        </is>
      </c>
      <c r="C672" s="256" t="inlineStr">
        <is>
          <t>WC072501</t>
        </is>
      </c>
      <c r="D672" s="256" t="inlineStr">
        <is>
          <t>P050262</t>
        </is>
      </c>
      <c r="E672" s="256" t="inlineStr">
        <is>
          <t>Wedding Crusher</t>
        </is>
      </c>
      <c r="F672" s="256" t="inlineStr">
        <is>
          <t>06.06.2026</t>
        </is>
      </c>
      <c r="G672" s="256" t="inlineStr">
        <is>
          <t>4</t>
        </is>
      </c>
      <c r="H672" s="256" t="inlineStr">
        <is>
          <t>Assay — Total Δ⁹-THC</t>
        </is>
      </c>
      <c r="I672" s="256" t="inlineStr">
        <is>
          <t>HPLC — DAB 2018 monograph Cannabis flos, 2.2.29 (CNP, before its Ph. Eur. 3028 accreditation)</t>
        </is>
      </c>
      <c r="J672" s="256" t="inlineStr">
        <is>
          <t>20.60 – 23.39 %  (grade II, nominal 22.00 ± 1.40)</t>
        </is>
      </c>
      <c r="K672" s="256" t="inlineStr">
        <is>
          <t>22.11</t>
        </is>
      </c>
      <c r="L672" s="256" t="inlineStr">
        <is>
          <t>ППК25369</t>
        </is>
      </c>
      <c r="M672" s="256" t="inlineStr">
        <is>
          <t>28.11.2025</t>
        </is>
      </c>
      <c r="N672" s="256" t="inlineStr">
        <is>
          <t>UKIM Faculty of Pharmacy — Center for Natural Products</t>
        </is>
      </c>
      <c r="O672" s="256" t="inlineStr">
        <is>
          <t>24.11.2025</t>
        </is>
      </c>
      <c r="P672" s="256" t="inlineStr">
        <is>
          <t>covered</t>
        </is>
      </c>
      <c r="Q672" s="256" t="inlineStr"/>
      <c r="R672" s="256" t="inlineStr">
        <is>
          <t>25.37 (227-3-К/26)</t>
        </is>
      </c>
    </row>
    <row r="673">
      <c r="A673" s="256" t="inlineStr">
        <is>
          <t>CoQ-PP_26-030</t>
        </is>
      </c>
      <c r="B673" s="256" t="inlineStr">
        <is>
          <t>release</t>
        </is>
      </c>
      <c r="C673" s="256" t="inlineStr">
        <is>
          <t>WC072501</t>
        </is>
      </c>
      <c r="D673" s="256" t="inlineStr">
        <is>
          <t>P050262</t>
        </is>
      </c>
      <c r="E673" s="256" t="inlineStr">
        <is>
          <t>Wedding Crusher</t>
        </is>
      </c>
      <c r="F673" s="256" t="inlineStr">
        <is>
          <t>06.06.2026</t>
        </is>
      </c>
      <c r="G673" s="256" t="inlineStr">
        <is>
          <t>5</t>
        </is>
      </c>
      <c r="H673" s="256" t="inlineStr">
        <is>
          <t>Assay — Total CBD</t>
        </is>
      </c>
      <c r="I673" s="256" t="inlineStr">
        <is>
          <t>HPLC — DAB 2018 monograph Cannabis flos, 2.2.29 · CBD + CBDA x 0.877 (CNP, before its Ph. Eur. 3028 accreditation)</t>
        </is>
      </c>
      <c r="J673" s="256" t="inlineStr">
        <is>
          <t>≤ 1.0%, w/w</t>
        </is>
      </c>
      <c r="K673" s="256" t="inlineStr">
        <is>
          <t>0.06</t>
        </is>
      </c>
      <c r="L673" s="256" t="inlineStr">
        <is>
          <t>ППК25369</t>
        </is>
      </c>
      <c r="M673" s="256" t="inlineStr">
        <is>
          <t>28.11.2025</t>
        </is>
      </c>
      <c r="N673" s="256" t="inlineStr">
        <is>
          <t>UKIM Faculty of Pharmacy — Center for Natural Products</t>
        </is>
      </c>
      <c r="O673" s="256" t="inlineStr">
        <is>
          <t>24.11.2025</t>
        </is>
      </c>
      <c r="P673" s="256" t="inlineStr">
        <is>
          <t>covered</t>
        </is>
      </c>
      <c r="Q673" s="256" t="inlineStr"/>
      <c r="R673" s="256" t="inlineStr">
        <is>
          <t>&lt;LOQ (227-3-К/26)</t>
        </is>
      </c>
    </row>
    <row r="674">
      <c r="A674" s="256" t="inlineStr">
        <is>
          <t>CoQ-PP_26-030</t>
        </is>
      </c>
      <c r="B674" s="256" t="inlineStr">
        <is>
          <t>release</t>
        </is>
      </c>
      <c r="C674" s="256" t="inlineStr">
        <is>
          <t>WC072501</t>
        </is>
      </c>
      <c r="D674" s="256" t="inlineStr">
        <is>
          <t>P050262</t>
        </is>
      </c>
      <c r="E674" s="256" t="inlineStr">
        <is>
          <t>Wedding Crusher</t>
        </is>
      </c>
      <c r="F674" s="256" t="inlineStr">
        <is>
          <t>06.06.2026</t>
        </is>
      </c>
      <c r="G674" s="256" t="inlineStr">
        <is>
          <t>6</t>
        </is>
      </c>
      <c r="H674" s="256" t="inlineStr">
        <is>
          <t>Total CBN</t>
        </is>
      </c>
      <c r="I674" s="256" t="inlineStr">
        <is>
          <t>Ph. Eur. 2.2.29 (HPLC) · CBN + CBNA x 0.876</t>
        </is>
      </c>
      <c r="J674" s="256" t="inlineStr">
        <is>
          <t>≤ 1.0%, w/w</t>
        </is>
      </c>
      <c r="K674" s="259" t="inlineStr">
        <is>
          <t>not tested</t>
        </is>
      </c>
      <c r="L674" s="256" t="inlineStr">
        <is>
          <t>—</t>
        </is>
      </c>
      <c r="M674" s="256" t="inlineStr">
        <is>
          <t>—</t>
        </is>
      </c>
      <c r="N674" s="256" t="inlineStr">
        <is>
          <t>—</t>
        </is>
      </c>
      <c r="O674" s="256" t="inlineStr">
        <is>
          <t>—</t>
        </is>
      </c>
      <c r="P674" s="256" t="inlineStr">
        <is>
          <t>not tested — no certificate covers it</t>
        </is>
      </c>
      <c r="Q674" s="256" t="inlineStr"/>
      <c r="R674" s="256" t="inlineStr">
        <is>
          <t>&lt;LOQ (227-3-К/26)</t>
        </is>
      </c>
    </row>
    <row r="675">
      <c r="A675" s="256" t="inlineStr">
        <is>
          <t>CoQ-PP_26-030</t>
        </is>
      </c>
      <c r="B675" s="256" t="inlineStr">
        <is>
          <t>release</t>
        </is>
      </c>
      <c r="C675" s="256" t="inlineStr">
        <is>
          <t>WC072501</t>
        </is>
      </c>
      <c r="D675" s="256" t="inlineStr">
        <is>
          <t>P050262</t>
        </is>
      </c>
      <c r="E675" s="256" t="inlineStr">
        <is>
          <t>Wedding Crusher</t>
        </is>
      </c>
      <c r="F675" s="256" t="inlineStr">
        <is>
          <t>06.06.2026</t>
        </is>
      </c>
      <c r="G675" s="256" t="inlineStr">
        <is>
          <t>7</t>
        </is>
      </c>
      <c r="H675" s="256" t="inlineStr">
        <is>
          <t>Foreign Matter</t>
        </is>
      </c>
      <c r="I675" s="256" t="inlineStr">
        <is>
          <t>Ph. Eur. 2.8.2 · In-house · интерна</t>
        </is>
      </c>
      <c r="J675" s="256" t="inlineStr">
        <is>
          <t>≤ 2.0% / 25–50 g · &lt; 1 cm leaves | листови, no seeds | без семки</t>
        </is>
      </c>
      <c r="K675" s="256" t="inlineStr">
        <is>
          <t>Conforms | Одговара</t>
        </is>
      </c>
      <c r="L675" s="256" t="inlineStr">
        <is>
          <t>iCoA-PP_26-029</t>
        </is>
      </c>
      <c r="M675" s="256" t="inlineStr">
        <is>
          <t>03.06.2026</t>
        </is>
      </c>
      <c r="N675" s="256" t="inlineStr">
        <is>
          <t>Purely Plant GmbH (in-house)</t>
        </is>
      </c>
      <c r="O675" s="256" t="inlineStr">
        <is>
          <t>—</t>
        </is>
      </c>
      <c r="P675" s="256" t="inlineStr">
        <is>
          <t>to be performed — see route</t>
        </is>
      </c>
      <c r="Q675" s="256" t="inlineStr">
        <is>
          <t>Purely Plant laboratory — iCoA covering Foreign matter</t>
        </is>
      </c>
      <c r="R675" s="256" t="inlineStr"/>
    </row>
    <row r="676">
      <c r="A676" s="256" t="inlineStr">
        <is>
          <t>CoQ-PP_26-030</t>
        </is>
      </c>
      <c r="B676" s="256" t="inlineStr">
        <is>
          <t>release</t>
        </is>
      </c>
      <c r="C676" s="256" t="inlineStr">
        <is>
          <t>WC072501</t>
        </is>
      </c>
      <c r="D676" s="256" t="inlineStr">
        <is>
          <t>P050262</t>
        </is>
      </c>
      <c r="E676" s="256" t="inlineStr">
        <is>
          <t>Wedding Crusher</t>
        </is>
      </c>
      <c r="F676" s="256" t="inlineStr">
        <is>
          <t>06.06.2026</t>
        </is>
      </c>
      <c r="G676" s="256" t="inlineStr">
        <is>
          <t>8</t>
        </is>
      </c>
      <c r="H676" s="256" t="inlineStr">
        <is>
          <t>Loss on Drying</t>
        </is>
      </c>
      <c r="I676" s="256" t="inlineStr">
        <is>
          <t>DAB 2018 monograph Cannabis flos, 2.2.32 — loss on drying (CNP, before its Ph. Eur. 3028 accreditation)</t>
        </is>
      </c>
      <c r="J676" s="256" t="inlineStr">
        <is>
          <t>≤ 12.0%</t>
        </is>
      </c>
      <c r="K676" s="256" t="inlineStr">
        <is>
          <t>8.94</t>
        </is>
      </c>
      <c r="L676" s="256" t="inlineStr">
        <is>
          <t>ППК25369</t>
        </is>
      </c>
      <c r="M676" s="256" t="inlineStr">
        <is>
          <t>28.11.2025</t>
        </is>
      </c>
      <c r="N676" s="256" t="inlineStr">
        <is>
          <t>UKIM Faculty of Pharmacy — Center for Natural Products</t>
        </is>
      </c>
      <c r="O676" s="256" t="inlineStr">
        <is>
          <t>24.11.2025</t>
        </is>
      </c>
      <c r="P676" s="256" t="inlineStr">
        <is>
          <t>covered</t>
        </is>
      </c>
      <c r="Q676" s="256" t="inlineStr"/>
      <c r="R676" s="256" t="inlineStr"/>
    </row>
    <row r="677">
      <c r="A677" s="256" t="inlineStr">
        <is>
          <t>CoQ-PP_26-030</t>
        </is>
      </c>
      <c r="B677" s="256" t="inlineStr">
        <is>
          <t>release</t>
        </is>
      </c>
      <c r="C677" s="256" t="inlineStr">
        <is>
          <t>WC072501</t>
        </is>
      </c>
      <c r="D677" s="256" t="inlineStr">
        <is>
          <t>P050262</t>
        </is>
      </c>
      <c r="E677" s="256" t="inlineStr">
        <is>
          <t>Wedding Crusher</t>
        </is>
      </c>
      <c r="F677" s="256" t="inlineStr">
        <is>
          <t>06.06.2026</t>
        </is>
      </c>
      <c r="G677" s="256" t="inlineStr">
        <is>
          <t>9.1</t>
        </is>
      </c>
      <c r="H677" s="256" t="inlineStr">
        <is>
          <t>TAMC</t>
        </is>
      </c>
      <c r="I677" s="256" t="inlineStr">
        <is>
          <t>Ph. Eur. 2.6.12 cat. C</t>
        </is>
      </c>
      <c r="J677" s="256" t="inlineStr">
        <is>
          <t>≤ 10⁵ CFU/g</t>
        </is>
      </c>
      <c r="K677" s="256" t="inlineStr">
        <is>
          <t>100</t>
        </is>
      </c>
      <c r="L677" s="256" t="inlineStr">
        <is>
          <t>1221/2172/25</t>
        </is>
      </c>
      <c r="M677" s="256" t="inlineStr">
        <is>
          <t>01.12.2025</t>
        </is>
      </c>
      <c r="N677" s="256" t="inlineStr">
        <is>
          <t>IPH — Institute of Public Health</t>
        </is>
      </c>
      <c r="O677" s="256" t="inlineStr">
        <is>
          <t>26.11.2025</t>
        </is>
      </c>
      <c r="P677" s="256" t="inlineStr">
        <is>
          <t>covered</t>
        </is>
      </c>
      <c r="Q677" s="256" t="inlineStr"/>
      <c r="R677" s="256" t="inlineStr"/>
    </row>
    <row r="678">
      <c r="A678" s="256" t="inlineStr">
        <is>
          <t>CoQ-PP_26-030</t>
        </is>
      </c>
      <c r="B678" s="256" t="inlineStr">
        <is>
          <t>release</t>
        </is>
      </c>
      <c r="C678" s="256" t="inlineStr">
        <is>
          <t>WC072501</t>
        </is>
      </c>
      <c r="D678" s="256" t="inlineStr">
        <is>
          <t>P050262</t>
        </is>
      </c>
      <c r="E678" s="256" t="inlineStr">
        <is>
          <t>Wedding Crusher</t>
        </is>
      </c>
      <c r="F678" s="256" t="inlineStr">
        <is>
          <t>06.06.2026</t>
        </is>
      </c>
      <c r="G678" s="256" t="inlineStr">
        <is>
          <t>9.2</t>
        </is>
      </c>
      <c r="H678" s="256" t="inlineStr">
        <is>
          <t>TYMC</t>
        </is>
      </c>
      <c r="I678" s="256" t="inlineStr">
        <is>
          <t>Ph. Eur. 2.6.12 cat. C</t>
        </is>
      </c>
      <c r="J678" s="256" t="inlineStr">
        <is>
          <t>≤ 10⁴ CFU/g</t>
        </is>
      </c>
      <c r="K678" s="256" t="inlineStr">
        <is>
          <t>90</t>
        </is>
      </c>
      <c r="L678" s="256" t="inlineStr">
        <is>
          <t>1221/2172/25</t>
        </is>
      </c>
      <c r="M678" s="256" t="inlineStr">
        <is>
          <t>01.12.2025</t>
        </is>
      </c>
      <c r="N678" s="256" t="inlineStr">
        <is>
          <t>IPH — Institute of Public Health</t>
        </is>
      </c>
      <c r="O678" s="256" t="inlineStr">
        <is>
          <t>26.11.2025</t>
        </is>
      </c>
      <c r="P678" s="256" t="inlineStr">
        <is>
          <t>covered</t>
        </is>
      </c>
      <c r="Q678" s="256" t="inlineStr"/>
      <c r="R678" s="256" t="inlineStr"/>
    </row>
    <row r="679">
      <c r="A679" s="256" t="inlineStr">
        <is>
          <t>CoQ-PP_26-030</t>
        </is>
      </c>
      <c r="B679" s="256" t="inlineStr">
        <is>
          <t>release</t>
        </is>
      </c>
      <c r="C679" s="256" t="inlineStr">
        <is>
          <t>WC072501</t>
        </is>
      </c>
      <c r="D679" s="256" t="inlineStr">
        <is>
          <t>P050262</t>
        </is>
      </c>
      <c r="E679" s="256" t="inlineStr">
        <is>
          <t>Wedding Crusher</t>
        </is>
      </c>
      <c r="F679" s="256" t="inlineStr">
        <is>
          <t>06.06.2026</t>
        </is>
      </c>
      <c r="G679" s="256" t="inlineStr">
        <is>
          <t>9.3</t>
        </is>
      </c>
      <c r="H679" s="256" t="inlineStr">
        <is>
          <t>Bile-tolerant gram-neg.</t>
        </is>
      </c>
      <c r="I679" s="256" t="inlineStr">
        <is>
          <t>Ph. Eur. 2.6.31 cat. C</t>
        </is>
      </c>
      <c r="J679" s="256" t="inlineStr">
        <is>
          <t>≤ 10⁴ CFU/g</t>
        </is>
      </c>
      <c r="K679" s="256" t="inlineStr">
        <is>
          <t>&lt; 10</t>
        </is>
      </c>
      <c r="L679" s="256" t="inlineStr">
        <is>
          <t>1221/2172/25</t>
        </is>
      </c>
      <c r="M679" s="256" t="inlineStr">
        <is>
          <t>01.12.2025</t>
        </is>
      </c>
      <c r="N679" s="256" t="inlineStr">
        <is>
          <t>IPH — Institute of Public Health</t>
        </is>
      </c>
      <c r="O679" s="256" t="inlineStr">
        <is>
          <t>26.11.2025</t>
        </is>
      </c>
      <c r="P679" s="256" t="inlineStr">
        <is>
          <t>covered</t>
        </is>
      </c>
      <c r="Q679" s="256" t="inlineStr"/>
      <c r="R679" s="256" t="inlineStr"/>
    </row>
    <row r="680">
      <c r="A680" s="256" t="inlineStr">
        <is>
          <t>CoQ-PP_26-030</t>
        </is>
      </c>
      <c r="B680" s="256" t="inlineStr">
        <is>
          <t>release</t>
        </is>
      </c>
      <c r="C680" s="256" t="inlineStr">
        <is>
          <t>WC072501</t>
        </is>
      </c>
      <c r="D680" s="256" t="inlineStr">
        <is>
          <t>P050262</t>
        </is>
      </c>
      <c r="E680" s="256" t="inlineStr">
        <is>
          <t>Wedding Crusher</t>
        </is>
      </c>
      <c r="F680" s="256" t="inlineStr">
        <is>
          <t>06.06.2026</t>
        </is>
      </c>
      <c r="G680" s="256" t="inlineStr">
        <is>
          <t>9.4</t>
        </is>
      </c>
      <c r="H680" s="256" t="inlineStr">
        <is>
          <t>Salmonella</t>
        </is>
      </c>
      <c r="I680" s="256" t="inlineStr">
        <is>
          <t>Ph. Eur. 2.6.31 cat. C</t>
        </is>
      </c>
      <c r="J680" s="256" t="inlineStr">
        <is>
          <t>Absence | Отсуство / 25 g</t>
        </is>
      </c>
      <c r="K680" s="256" t="inlineStr">
        <is>
          <t>Absent | Отсутна</t>
        </is>
      </c>
      <c r="L680" s="256" t="inlineStr">
        <is>
          <t>1221/2172/25</t>
        </is>
      </c>
      <c r="M680" s="256" t="inlineStr">
        <is>
          <t>01.12.2025</t>
        </is>
      </c>
      <c r="N680" s="256" t="inlineStr">
        <is>
          <t>IPH — Institute of Public Health</t>
        </is>
      </c>
      <c r="O680" s="256" t="inlineStr">
        <is>
          <t>26.11.2025</t>
        </is>
      </c>
      <c r="P680" s="256" t="inlineStr">
        <is>
          <t>covered</t>
        </is>
      </c>
      <c r="Q680" s="256" t="inlineStr"/>
      <c r="R680" s="256" t="inlineStr"/>
    </row>
    <row r="681">
      <c r="A681" s="256" t="inlineStr">
        <is>
          <t>CoQ-PP_26-030</t>
        </is>
      </c>
      <c r="B681" s="256" t="inlineStr">
        <is>
          <t>release</t>
        </is>
      </c>
      <c r="C681" s="256" t="inlineStr">
        <is>
          <t>WC072501</t>
        </is>
      </c>
      <c r="D681" s="256" t="inlineStr">
        <is>
          <t>P050262</t>
        </is>
      </c>
      <c r="E681" s="256" t="inlineStr">
        <is>
          <t>Wedding Crusher</t>
        </is>
      </c>
      <c r="F681" s="256" t="inlineStr">
        <is>
          <t>06.06.2026</t>
        </is>
      </c>
      <c r="G681" s="256" t="inlineStr">
        <is>
          <t>9.5</t>
        </is>
      </c>
      <c r="H681" s="256" t="inlineStr">
        <is>
          <t>Escherichia coli</t>
        </is>
      </c>
      <c r="I681" s="256" t="inlineStr">
        <is>
          <t>Ph. Eur. 2.6.13 cat. C</t>
        </is>
      </c>
      <c r="J681" s="256" t="inlineStr">
        <is>
          <t>Absence | Отсуство / 1 g</t>
        </is>
      </c>
      <c r="K681" s="256" t="inlineStr">
        <is>
          <t>Absent | Отсутна</t>
        </is>
      </c>
      <c r="L681" s="256" t="inlineStr">
        <is>
          <t>1221/2172/25</t>
        </is>
      </c>
      <c r="M681" s="256" t="inlineStr">
        <is>
          <t>01.12.2025</t>
        </is>
      </c>
      <c r="N681" s="256" t="inlineStr">
        <is>
          <t>IPH — Institute of Public Health</t>
        </is>
      </c>
      <c r="O681" s="256" t="inlineStr">
        <is>
          <t>26.11.2025</t>
        </is>
      </c>
      <c r="P681" s="256" t="inlineStr">
        <is>
          <t>covered</t>
        </is>
      </c>
      <c r="Q681" s="256" t="inlineStr"/>
      <c r="R681" s="256" t="inlineStr"/>
    </row>
    <row r="682">
      <c r="A682" s="256" t="inlineStr">
        <is>
          <t>CoQ-PP_26-030</t>
        </is>
      </c>
      <c r="B682" s="256" t="inlineStr">
        <is>
          <t>release</t>
        </is>
      </c>
      <c r="C682" s="256" t="inlineStr">
        <is>
          <t>WC072501</t>
        </is>
      </c>
      <c r="D682" s="256" t="inlineStr">
        <is>
          <t>P050262</t>
        </is>
      </c>
      <c r="E682" s="256" t="inlineStr">
        <is>
          <t>Wedding Crusher</t>
        </is>
      </c>
      <c r="F682" s="256" t="inlineStr">
        <is>
          <t>06.06.2026</t>
        </is>
      </c>
      <c r="G682" s="256" t="inlineStr">
        <is>
          <t>9.6</t>
        </is>
      </c>
      <c r="H682" s="256" t="inlineStr">
        <is>
          <t>Pseudomonas aeruginosa</t>
        </is>
      </c>
      <c r="I682" s="256" t="inlineStr">
        <is>
          <t>Ph. Eur. 2.6.13 cat. C</t>
        </is>
      </c>
      <c r="J682" s="256" t="inlineStr">
        <is>
          <t>Absence | Отсуство / 1 g</t>
        </is>
      </c>
      <c r="K682" s="260" t="inlineStr">
        <is>
          <t>upon request — not required for release</t>
        </is>
      </c>
      <c r="L682" s="256" t="inlineStr">
        <is>
          <t>—</t>
        </is>
      </c>
      <c r="M682" s="256" t="inlineStr">
        <is>
          <t>—</t>
        </is>
      </c>
      <c r="N682" s="256" t="inlineStr">
        <is>
          <t>—</t>
        </is>
      </c>
      <c r="O682" s="256" t="inlineStr">
        <is>
          <t>—</t>
        </is>
      </c>
      <c r="P682" s="256" t="inlineStr">
        <is>
          <t>upon request — not required for release</t>
        </is>
      </c>
      <c r="Q682" s="256" t="inlineStr"/>
      <c r="R682" s="256" t="inlineStr"/>
    </row>
    <row r="683">
      <c r="A683" s="256" t="inlineStr">
        <is>
          <t>CoQ-PP_26-030</t>
        </is>
      </c>
      <c r="B683" s="256" t="inlineStr">
        <is>
          <t>release</t>
        </is>
      </c>
      <c r="C683" s="256" t="inlineStr">
        <is>
          <t>WC072501</t>
        </is>
      </c>
      <c r="D683" s="256" t="inlineStr">
        <is>
          <t>P050262</t>
        </is>
      </c>
      <c r="E683" s="256" t="inlineStr">
        <is>
          <t>Wedding Crusher</t>
        </is>
      </c>
      <c r="F683" s="256" t="inlineStr">
        <is>
          <t>06.06.2026</t>
        </is>
      </c>
      <c r="G683" s="256" t="inlineStr">
        <is>
          <t>9.7</t>
        </is>
      </c>
      <c r="H683" s="256" t="inlineStr">
        <is>
          <t>Staphylococcus aureus</t>
        </is>
      </c>
      <c r="I683" s="256" t="inlineStr">
        <is>
          <t>Ph. Eur. 2.6.13 cat. C</t>
        </is>
      </c>
      <c r="J683" s="256" t="inlineStr">
        <is>
          <t>Absence | Отсуство / 1 g</t>
        </is>
      </c>
      <c r="K683" s="260" t="inlineStr">
        <is>
          <t>upon request — not required for release</t>
        </is>
      </c>
      <c r="L683" s="256" t="inlineStr">
        <is>
          <t>—</t>
        </is>
      </c>
      <c r="M683" s="256" t="inlineStr">
        <is>
          <t>—</t>
        </is>
      </c>
      <c r="N683" s="256" t="inlineStr">
        <is>
          <t>—</t>
        </is>
      </c>
      <c r="O683" s="256" t="inlineStr">
        <is>
          <t>—</t>
        </is>
      </c>
      <c r="P683" s="256" t="inlineStr">
        <is>
          <t>upon request — not required for release</t>
        </is>
      </c>
      <c r="Q683" s="256" t="inlineStr"/>
      <c r="R683" s="256" t="inlineStr"/>
    </row>
    <row r="684">
      <c r="A684" s="256" t="inlineStr">
        <is>
          <t>CoQ-PP_26-030</t>
        </is>
      </c>
      <c r="B684" s="256" t="inlineStr">
        <is>
          <t>release</t>
        </is>
      </c>
      <c r="C684" s="256" t="inlineStr">
        <is>
          <t>WC072501</t>
        </is>
      </c>
      <c r="D684" s="256" t="inlineStr">
        <is>
          <t>P050262</t>
        </is>
      </c>
      <c r="E684" s="256" t="inlineStr">
        <is>
          <t>Wedding Crusher</t>
        </is>
      </c>
      <c r="F684" s="256" t="inlineStr">
        <is>
          <t>06.06.2026</t>
        </is>
      </c>
      <c r="G684" s="256" t="inlineStr">
        <is>
          <t>10.1</t>
        </is>
      </c>
      <c r="H684" s="256" t="inlineStr">
        <is>
          <t>Aflatoxin B₁</t>
        </is>
      </c>
      <c r="I684" s="256" t="inlineStr">
        <is>
          <t>Ph. Eur. 2.8.18 (HPLC-FLD)</t>
        </is>
      </c>
      <c r="J684" s="256" t="inlineStr">
        <is>
          <t>≤ 2 µg/kg</t>
        </is>
      </c>
      <c r="K684" s="259" t="inlineStr">
        <is>
          <t>not tested</t>
        </is>
      </c>
      <c r="L684" s="256" t="inlineStr">
        <is>
          <t>—</t>
        </is>
      </c>
      <c r="M684" s="256" t="inlineStr">
        <is>
          <t>—</t>
        </is>
      </c>
      <c r="N684" s="256" t="inlineStr">
        <is>
          <t>—</t>
        </is>
      </c>
      <c r="O684" s="256" t="inlineStr">
        <is>
          <t>—</t>
        </is>
      </c>
      <c r="P684" s="256" t="inlineStr">
        <is>
          <t>not tested — no certificate covers it</t>
        </is>
      </c>
      <c r="Q684" s="256" t="inlineStr"/>
      <c r="R684" s="256" t="inlineStr"/>
    </row>
    <row r="685">
      <c r="A685" s="256" t="inlineStr">
        <is>
          <t>CoQ-PP_26-030</t>
        </is>
      </c>
      <c r="B685" s="256" t="inlineStr">
        <is>
          <t>release</t>
        </is>
      </c>
      <c r="C685" s="256" t="inlineStr">
        <is>
          <t>WC072501</t>
        </is>
      </c>
      <c r="D685" s="256" t="inlineStr">
        <is>
          <t>P050262</t>
        </is>
      </c>
      <c r="E685" s="256" t="inlineStr">
        <is>
          <t>Wedding Crusher</t>
        </is>
      </c>
      <c r="F685" s="256" t="inlineStr">
        <is>
          <t>06.06.2026</t>
        </is>
      </c>
      <c r="G685" s="256" t="inlineStr">
        <is>
          <t>10.2</t>
        </is>
      </c>
      <c r="H685" s="256" t="inlineStr">
        <is>
          <t>Aflatoxins ∑</t>
        </is>
      </c>
      <c r="I685" s="256" t="inlineStr">
        <is>
          <t>Ph. Eur. 2.8.18 (HPLC-FLD)</t>
        </is>
      </c>
      <c r="J685" s="256" t="inlineStr">
        <is>
          <t>≤ 4 µg/kg</t>
        </is>
      </c>
      <c r="K685" s="256" t="inlineStr">
        <is>
          <t>&lt; 2</t>
        </is>
      </c>
      <c r="L685" s="256" t="inlineStr">
        <is>
          <t>5699/2025</t>
        </is>
      </c>
      <c r="M685" s="256" t="inlineStr">
        <is>
          <t>02.12.2025</t>
        </is>
      </c>
      <c r="N685" s="256" t="inlineStr">
        <is>
          <t>IPH — Institute of Public Health</t>
        </is>
      </c>
      <c r="O685" s="256" t="inlineStr">
        <is>
          <t>24.11.2025</t>
        </is>
      </c>
      <c r="P685" s="256" t="inlineStr">
        <is>
          <t>covered</t>
        </is>
      </c>
      <c r="Q685" s="256" t="inlineStr"/>
      <c r="R685" s="256" t="inlineStr"/>
    </row>
    <row r="686">
      <c r="A686" s="256" t="inlineStr">
        <is>
          <t>CoQ-PP_26-030</t>
        </is>
      </c>
      <c r="B686" s="256" t="inlineStr">
        <is>
          <t>release</t>
        </is>
      </c>
      <c r="C686" s="256" t="inlineStr">
        <is>
          <t>WC072501</t>
        </is>
      </c>
      <c r="D686" s="256" t="inlineStr">
        <is>
          <t>P050262</t>
        </is>
      </c>
      <c r="E686" s="256" t="inlineStr">
        <is>
          <t>Wedding Crusher</t>
        </is>
      </c>
      <c r="F686" s="256" t="inlineStr">
        <is>
          <t>06.06.2026</t>
        </is>
      </c>
      <c r="G686" s="256" t="inlineStr">
        <is>
          <t>10.3</t>
        </is>
      </c>
      <c r="H686" s="256" t="inlineStr">
        <is>
          <t>Ochratoxin A</t>
        </is>
      </c>
      <c r="I686" s="256" t="inlineStr">
        <is>
          <t>Ph. Eur. 2.8.22 (HPLC-FLD)</t>
        </is>
      </c>
      <c r="J686" s="256" t="inlineStr">
        <is>
          <t>≤ 20 µg/kg</t>
        </is>
      </c>
      <c r="K686" s="259" t="inlineStr">
        <is>
          <t>not tested</t>
        </is>
      </c>
      <c r="L686" s="256" t="inlineStr">
        <is>
          <t>—</t>
        </is>
      </c>
      <c r="M686" s="256" t="inlineStr">
        <is>
          <t>—</t>
        </is>
      </c>
      <c r="N686" s="256" t="inlineStr">
        <is>
          <t>—</t>
        </is>
      </c>
      <c r="O686" s="256" t="inlineStr">
        <is>
          <t>—</t>
        </is>
      </c>
      <c r="P686" s="256" t="inlineStr">
        <is>
          <t>not tested — no certificate covers it</t>
        </is>
      </c>
      <c r="Q686" s="256" t="inlineStr"/>
      <c r="R686" s="256" t="inlineStr"/>
    </row>
    <row r="687">
      <c r="A687" s="256" t="inlineStr">
        <is>
          <t>CoQ-PP_26-030</t>
        </is>
      </c>
      <c r="B687" s="256" t="inlineStr">
        <is>
          <t>release</t>
        </is>
      </c>
      <c r="C687" s="256" t="inlineStr">
        <is>
          <t>WC072501</t>
        </is>
      </c>
      <c r="D687" s="256" t="inlineStr">
        <is>
          <t>P050262</t>
        </is>
      </c>
      <c r="E687" s="256" t="inlineStr">
        <is>
          <t>Wedding Crusher</t>
        </is>
      </c>
      <c r="F687" s="256" t="inlineStr">
        <is>
          <t>06.06.2026</t>
        </is>
      </c>
      <c r="G687" s="256" t="inlineStr">
        <is>
          <t>11.1</t>
        </is>
      </c>
      <c r="H687" s="256" t="inlineStr">
        <is>
          <t>Lead (Pb)</t>
        </is>
      </c>
      <c r="I687" s="256" t="inlineStr">
        <is>
          <t>Ph. Eur. 2.4.27 (ICP-MS)</t>
        </is>
      </c>
      <c r="J687" s="256" t="inlineStr">
        <is>
          <t>≤ 0.5 mg/kg</t>
        </is>
      </c>
      <c r="K687" s="256" t="inlineStr">
        <is>
          <t>0.023</t>
        </is>
      </c>
      <c r="L687" s="256" t="inlineStr">
        <is>
          <t>5699/2025</t>
        </is>
      </c>
      <c r="M687" s="256" t="inlineStr">
        <is>
          <t>02.12.2025</t>
        </is>
      </c>
      <c r="N687" s="256" t="inlineStr">
        <is>
          <t>IPH — Institute of Public Health</t>
        </is>
      </c>
      <c r="O687" s="256" t="inlineStr">
        <is>
          <t>24.11.2025</t>
        </is>
      </c>
      <c r="P687" s="256" t="inlineStr">
        <is>
          <t>covered</t>
        </is>
      </c>
      <c r="Q687" s="256" t="inlineStr"/>
      <c r="R687" s="256" t="inlineStr"/>
    </row>
    <row r="688">
      <c r="A688" s="256" t="inlineStr">
        <is>
          <t>CoQ-PP_26-030</t>
        </is>
      </c>
      <c r="B688" s="256" t="inlineStr">
        <is>
          <t>release</t>
        </is>
      </c>
      <c r="C688" s="256" t="inlineStr">
        <is>
          <t>WC072501</t>
        </is>
      </c>
      <c r="D688" s="256" t="inlineStr">
        <is>
          <t>P050262</t>
        </is>
      </c>
      <c r="E688" s="256" t="inlineStr">
        <is>
          <t>Wedding Crusher</t>
        </is>
      </c>
      <c r="F688" s="256" t="inlineStr">
        <is>
          <t>06.06.2026</t>
        </is>
      </c>
      <c r="G688" s="256" t="inlineStr">
        <is>
          <t>11.2</t>
        </is>
      </c>
      <c r="H688" s="256" t="inlineStr">
        <is>
          <t>Cadmium (Cd)</t>
        </is>
      </c>
      <c r="I688" s="256" t="inlineStr">
        <is>
          <t>Ph. Eur. 2.4.27 (ICP-MS)</t>
        </is>
      </c>
      <c r="J688" s="256" t="inlineStr">
        <is>
          <t>≤ 0.3 mg/kg</t>
        </is>
      </c>
      <c r="K688" s="256" t="inlineStr">
        <is>
          <t>0.005</t>
        </is>
      </c>
      <c r="L688" s="256" t="inlineStr">
        <is>
          <t>5699/2025</t>
        </is>
      </c>
      <c r="M688" s="256" t="inlineStr">
        <is>
          <t>02.12.2025</t>
        </is>
      </c>
      <c r="N688" s="256" t="inlineStr">
        <is>
          <t>IPH — Institute of Public Health</t>
        </is>
      </c>
      <c r="O688" s="256" t="inlineStr">
        <is>
          <t>24.11.2025</t>
        </is>
      </c>
      <c r="P688" s="256" t="inlineStr">
        <is>
          <t>covered</t>
        </is>
      </c>
      <c r="Q688" s="256" t="inlineStr"/>
      <c r="R688" s="256" t="inlineStr"/>
    </row>
    <row r="689">
      <c r="A689" s="256" t="inlineStr">
        <is>
          <t>CoQ-PP_26-030</t>
        </is>
      </c>
      <c r="B689" s="256" t="inlineStr">
        <is>
          <t>release</t>
        </is>
      </c>
      <c r="C689" s="256" t="inlineStr">
        <is>
          <t>WC072501</t>
        </is>
      </c>
      <c r="D689" s="256" t="inlineStr">
        <is>
          <t>P050262</t>
        </is>
      </c>
      <c r="E689" s="256" t="inlineStr">
        <is>
          <t>Wedding Crusher</t>
        </is>
      </c>
      <c r="F689" s="256" t="inlineStr">
        <is>
          <t>06.06.2026</t>
        </is>
      </c>
      <c r="G689" s="256" t="inlineStr">
        <is>
          <t>11.3</t>
        </is>
      </c>
      <c r="H689" s="256" t="inlineStr">
        <is>
          <t>Arsenic (As)</t>
        </is>
      </c>
      <c r="I689" s="256" t="inlineStr">
        <is>
          <t>Ph. Eur. 2.4.27 (ICP-MS)</t>
        </is>
      </c>
      <c r="J689" s="256" t="inlineStr">
        <is>
          <t>≤ 0.2 mg/kg</t>
        </is>
      </c>
      <c r="K689" s="256" t="inlineStr">
        <is>
          <t>0.006</t>
        </is>
      </c>
      <c r="L689" s="256" t="inlineStr">
        <is>
          <t>5699/2025</t>
        </is>
      </c>
      <c r="M689" s="256" t="inlineStr">
        <is>
          <t>02.12.2025</t>
        </is>
      </c>
      <c r="N689" s="256" t="inlineStr">
        <is>
          <t>IPH — Institute of Public Health</t>
        </is>
      </c>
      <c r="O689" s="256" t="inlineStr">
        <is>
          <t>24.11.2025</t>
        </is>
      </c>
      <c r="P689" s="256" t="inlineStr">
        <is>
          <t>covered</t>
        </is>
      </c>
      <c r="Q689" s="256" t="inlineStr"/>
      <c r="R689" s="256" t="inlineStr"/>
    </row>
    <row r="690">
      <c r="A690" s="256" t="inlineStr">
        <is>
          <t>CoQ-PP_26-030</t>
        </is>
      </c>
      <c r="B690" s="256" t="inlineStr">
        <is>
          <t>release</t>
        </is>
      </c>
      <c r="C690" s="256" t="inlineStr">
        <is>
          <t>WC072501</t>
        </is>
      </c>
      <c r="D690" s="256" t="inlineStr">
        <is>
          <t>P050262</t>
        </is>
      </c>
      <c r="E690" s="256" t="inlineStr">
        <is>
          <t>Wedding Crusher</t>
        </is>
      </c>
      <c r="F690" s="256" t="inlineStr">
        <is>
          <t>06.06.2026</t>
        </is>
      </c>
      <c r="G690" s="256" t="inlineStr">
        <is>
          <t>11.4</t>
        </is>
      </c>
      <c r="H690" s="256" t="inlineStr">
        <is>
          <t>Mercury (Hg)</t>
        </is>
      </c>
      <c r="I690" s="256" t="inlineStr">
        <is>
          <t>Ph. Eur. 2.4.27 (ICP-MS)</t>
        </is>
      </c>
      <c r="J690" s="256" t="inlineStr">
        <is>
          <t>≤ 0.1 mg/kg</t>
        </is>
      </c>
      <c r="K690" s="256" t="inlineStr">
        <is>
          <t>0.01</t>
        </is>
      </c>
      <c r="L690" s="256" t="inlineStr">
        <is>
          <t>5699/2025</t>
        </is>
      </c>
      <c r="M690" s="256" t="inlineStr">
        <is>
          <t>02.12.2025</t>
        </is>
      </c>
      <c r="N690" s="256" t="inlineStr">
        <is>
          <t>IPH — Institute of Public Health</t>
        </is>
      </c>
      <c r="O690" s="256" t="inlineStr">
        <is>
          <t>24.11.2025</t>
        </is>
      </c>
      <c r="P690" s="256" t="inlineStr">
        <is>
          <t>covered</t>
        </is>
      </c>
      <c r="Q690" s="256" t="inlineStr"/>
      <c r="R690" s="256" t="inlineStr"/>
    </row>
    <row r="691">
      <c r="A691" s="256" t="inlineStr">
        <is>
          <t>CoQ-PP_26-030</t>
        </is>
      </c>
      <c r="B691" s="256" t="inlineStr">
        <is>
          <t>release</t>
        </is>
      </c>
      <c r="C691" s="256" t="inlineStr">
        <is>
          <t>WC072501</t>
        </is>
      </c>
      <c r="D691" s="256" t="inlineStr">
        <is>
          <t>P050262</t>
        </is>
      </c>
      <c r="E691" s="256" t="inlineStr">
        <is>
          <t>Wedding Crusher</t>
        </is>
      </c>
      <c r="F691" s="256" t="inlineStr">
        <is>
          <t>06.06.2026</t>
        </is>
      </c>
      <c r="G691" s="256" t="inlineStr">
        <is>
          <t>12</t>
        </is>
      </c>
      <c r="H691" s="256" t="inlineStr">
        <is>
          <t>Pesticide Residues</t>
        </is>
      </c>
      <c r="I691" s="256" t="inlineStr">
        <is>
          <t>Ph. Eur. 2.8.13 (LC-MS/MS) · CUMCS Equivalency</t>
        </is>
      </c>
      <c r="J691" s="256" t="inlineStr">
        <is>
          <t>≤ LOQ as per Ph. Eur. 2.8.13 · ≤ LOQ as per CUMCS Equivalency</t>
        </is>
      </c>
      <c r="K691" s="256" t="inlineStr">
        <is>
          <t>ND</t>
        </is>
      </c>
      <c r="L691" s="256" t="inlineStr">
        <is>
          <t>5699/2025</t>
        </is>
      </c>
      <c r="M691" s="256" t="inlineStr">
        <is>
          <t>02.12.2025</t>
        </is>
      </c>
      <c r="N691" s="256" t="inlineStr">
        <is>
          <t>IPH — Institute of Public Health</t>
        </is>
      </c>
      <c r="O691" s="256" t="inlineStr">
        <is>
          <t>24.11.2025</t>
        </is>
      </c>
      <c r="P691" s="256" t="inlineStr">
        <is>
          <t>covered</t>
        </is>
      </c>
      <c r="Q691" s="256" t="inlineStr"/>
      <c r="R691" s="256" t="inlineStr"/>
    </row>
    <row r="692">
      <c r="A692" s="256" t="inlineStr">
        <is>
          <t>CoQ-PP_26-031</t>
        </is>
      </c>
      <c r="B692" s="256" t="inlineStr">
        <is>
          <t>release</t>
        </is>
      </c>
      <c r="C692" s="256" t="inlineStr">
        <is>
          <t>PM072501</t>
        </is>
      </c>
      <c r="D692" s="256" t="inlineStr">
        <is>
          <t>P050272</t>
        </is>
      </c>
      <c r="E692" s="256" t="inlineStr">
        <is>
          <t>Permanent Marker</t>
        </is>
      </c>
      <c r="F692" s="256" t="inlineStr">
        <is>
          <t>06.06.2026</t>
        </is>
      </c>
      <c r="G692" s="256" t="inlineStr">
        <is>
          <t>1</t>
        </is>
      </c>
      <c r="H692" s="256" t="inlineStr">
        <is>
          <t>Identification A, Appearance · Macroscopic</t>
        </is>
      </c>
      <c r="I692" s="256" t="inlineStr">
        <is>
          <t>Ph. Eur. mon. 3028</t>
        </is>
      </c>
      <c r="J692" s="256" t="inlineStr">
        <is>
          <t>Conforms to the monograph for Cannabis flos (07/2024:3028) in Ph. Eur. 11.0 | Согласно монографија за Cannabis flos (07/2024:3028) во Ph. Eur. 11.0</t>
        </is>
      </c>
      <c r="K692" s="256" t="inlineStr">
        <is>
          <t>Conforms | Одговара</t>
        </is>
      </c>
      <c r="L692" s="256" t="inlineStr">
        <is>
          <t>iCoA-PP_26-030</t>
        </is>
      </c>
      <c r="M692" s="256" t="inlineStr">
        <is>
          <t>03.06.2026</t>
        </is>
      </c>
      <c r="N692" s="256" t="inlineStr">
        <is>
          <t>Purely Plant GmbH (in-house)</t>
        </is>
      </c>
      <c r="O692" s="256" t="inlineStr">
        <is>
          <t>—</t>
        </is>
      </c>
      <c r="P692" s="256" t="inlineStr">
        <is>
          <t>covered</t>
        </is>
      </c>
      <c r="Q692" s="256" t="inlineStr">
        <is>
          <t>Purely Plant laboratory — iCoA covering Ident A + B</t>
        </is>
      </c>
      <c r="R692" s="256" t="inlineStr"/>
    </row>
    <row r="693">
      <c r="A693" s="256" t="inlineStr">
        <is>
          <t>CoQ-PP_26-031</t>
        </is>
      </c>
      <c r="B693" s="256" t="inlineStr">
        <is>
          <t>release</t>
        </is>
      </c>
      <c r="C693" s="256" t="inlineStr">
        <is>
          <t>PM072501</t>
        </is>
      </c>
      <c r="D693" s="256" t="inlineStr">
        <is>
          <t>P050272</t>
        </is>
      </c>
      <c r="E693" s="256" t="inlineStr">
        <is>
          <t>Permanent Marker</t>
        </is>
      </c>
      <c r="F693" s="256" t="inlineStr">
        <is>
          <t>06.06.2026</t>
        </is>
      </c>
      <c r="G693" s="256" t="inlineStr">
        <is>
          <t>2</t>
        </is>
      </c>
      <c r="H693" s="256" t="inlineStr">
        <is>
          <t>Identification B · Microscopic</t>
        </is>
      </c>
      <c r="I693" s="256" t="inlineStr">
        <is>
          <t>Ph. Eur. 2.8.23 (microscopy)</t>
        </is>
      </c>
      <c r="J693" s="256" t="inlineStr">
        <is>
          <t>Conforms to the monograph for Cannabis flos (07/2024:3028) in Ph. Eur. 11.0 | Согласно монографија за Cannabis flos (07/2024:3028) во Ph. Eur. 11.0</t>
        </is>
      </c>
      <c r="K693" s="256" t="inlineStr">
        <is>
          <t>Conforms | Одговара</t>
        </is>
      </c>
      <c r="L693" s="256" t="inlineStr">
        <is>
          <t>iCoA-PP_26-030</t>
        </is>
      </c>
      <c r="M693" s="256" t="inlineStr">
        <is>
          <t>03.06.2026</t>
        </is>
      </c>
      <c r="N693" s="256" t="inlineStr">
        <is>
          <t>Purely Plant GmbH (in-house)</t>
        </is>
      </c>
      <c r="O693" s="256" t="inlineStr">
        <is>
          <t>—</t>
        </is>
      </c>
      <c r="P693" s="256" t="inlineStr">
        <is>
          <t>to be performed — see route</t>
        </is>
      </c>
      <c r="Q693" s="256" t="inlineStr">
        <is>
          <t>Purely Plant laboratory — iCoA covering Ident A + B</t>
        </is>
      </c>
      <c r="R693" s="256" t="inlineStr"/>
    </row>
    <row r="694">
      <c r="A694" s="256" t="inlineStr">
        <is>
          <t>CoQ-PP_26-031</t>
        </is>
      </c>
      <c r="B694" s="256" t="inlineStr">
        <is>
          <t>release</t>
        </is>
      </c>
      <c r="C694" s="256" t="inlineStr">
        <is>
          <t>PM072501</t>
        </is>
      </c>
      <c r="D694" s="256" t="inlineStr">
        <is>
          <t>P050272</t>
        </is>
      </c>
      <c r="E694" s="256" t="inlineStr">
        <is>
          <t>Permanent Marker</t>
        </is>
      </c>
      <c r="F694" s="256" t="inlineStr">
        <is>
          <t>06.06.2026</t>
        </is>
      </c>
      <c r="G694" s="256" t="inlineStr">
        <is>
          <t>3</t>
        </is>
      </c>
      <c r="H694" s="256" t="inlineStr">
        <is>
          <t>Identification C · HPLC/HPTLC</t>
        </is>
      </c>
      <c r="I694" s="256" t="inlineStr">
        <is>
          <t>HPLC — DAB 2018 monograph Cannabis flos, 2.2.29 (CNP, before its Ph. Eur. 3028 accreditation)</t>
        </is>
      </c>
      <c r="J694" s="256" t="inlineStr">
        <is>
          <t>Conforms to the monograph for Cannabis flos (07/2024:3028) in Ph. Eur. 11.0 | Согласно монографија за Cannabis flos (07/2024:3028) во Ph. Eur. 11.0</t>
        </is>
      </c>
      <c r="K694" s="256" t="inlineStr">
        <is>
          <t>Conforms | Одговара</t>
        </is>
      </c>
      <c r="L694" s="256" t="inlineStr">
        <is>
          <t>ППК25368</t>
        </is>
      </c>
      <c r="M694" s="256" t="inlineStr">
        <is>
          <t>28.11.2025</t>
        </is>
      </c>
      <c r="N694" s="256" t="inlineStr">
        <is>
          <t>UKIM Faculty of Pharmacy — Center for Natural Products</t>
        </is>
      </c>
      <c r="O694" s="256" t="inlineStr">
        <is>
          <t>24.11.2025</t>
        </is>
      </c>
      <c r="P694" s="256" t="inlineStr">
        <is>
          <t>covered</t>
        </is>
      </c>
      <c r="Q694" s="256" t="inlineStr"/>
      <c r="R694" s="256" t="inlineStr"/>
    </row>
    <row r="695">
      <c r="A695" s="256" t="inlineStr">
        <is>
          <t>CoQ-PP_26-031</t>
        </is>
      </c>
      <c r="B695" s="256" t="inlineStr">
        <is>
          <t>release</t>
        </is>
      </c>
      <c r="C695" s="256" t="inlineStr">
        <is>
          <t>PM072501</t>
        </is>
      </c>
      <c r="D695" s="256" t="inlineStr">
        <is>
          <t>P050272</t>
        </is>
      </c>
      <c r="E695" s="256" t="inlineStr">
        <is>
          <t>Permanent Marker</t>
        </is>
      </c>
      <c r="F695" s="256" t="inlineStr">
        <is>
          <t>06.06.2026</t>
        </is>
      </c>
      <c r="G695" s="256" t="inlineStr">
        <is>
          <t>4</t>
        </is>
      </c>
      <c r="H695" s="256" t="inlineStr">
        <is>
          <t>Assay — Total Δ⁹-THC</t>
        </is>
      </c>
      <c r="I695" s="256" t="inlineStr">
        <is>
          <t>HPLC — DAB 2018 monograph Cannabis flos, 2.2.29 (CNP, before its Ph. Eur. 3028 accreditation)</t>
        </is>
      </c>
      <c r="J695" s="256" t="inlineStr">
        <is>
          <t>9.00 – 10.99 %  (grade III, nominal 10.00 ± 1.00)</t>
        </is>
      </c>
      <c r="K695" s="256" t="inlineStr">
        <is>
          <t>10.01</t>
        </is>
      </c>
      <c r="L695" s="256" t="inlineStr">
        <is>
          <t>ППК25368</t>
        </is>
      </c>
      <c r="M695" s="256" t="inlineStr">
        <is>
          <t>28.11.2025</t>
        </is>
      </c>
      <c r="N695" s="256" t="inlineStr">
        <is>
          <t>UKIM Faculty of Pharmacy — Center for Natural Products</t>
        </is>
      </c>
      <c r="O695" s="256" t="inlineStr">
        <is>
          <t>24.11.2025</t>
        </is>
      </c>
      <c r="P695" s="256" t="inlineStr">
        <is>
          <t>covered</t>
        </is>
      </c>
      <c r="Q695" s="256" t="inlineStr"/>
      <c r="R695" s="256" t="inlineStr">
        <is>
          <t>12.77 (227-9-К/26)</t>
        </is>
      </c>
    </row>
    <row r="696">
      <c r="A696" s="256" t="inlineStr">
        <is>
          <t>CoQ-PP_26-031</t>
        </is>
      </c>
      <c r="B696" s="256" t="inlineStr">
        <is>
          <t>release</t>
        </is>
      </c>
      <c r="C696" s="256" t="inlineStr">
        <is>
          <t>PM072501</t>
        </is>
      </c>
      <c r="D696" s="256" t="inlineStr">
        <is>
          <t>P050272</t>
        </is>
      </c>
      <c r="E696" s="256" t="inlineStr">
        <is>
          <t>Permanent Marker</t>
        </is>
      </c>
      <c r="F696" s="256" t="inlineStr">
        <is>
          <t>06.06.2026</t>
        </is>
      </c>
      <c r="G696" s="256" t="inlineStr">
        <is>
          <t>5</t>
        </is>
      </c>
      <c r="H696" s="256" t="inlineStr">
        <is>
          <t>Assay — Total CBD</t>
        </is>
      </c>
      <c r="I696" s="256" t="inlineStr">
        <is>
          <t>HPLC — DAB 2018 monograph Cannabis flos, 2.2.29 · CBD + CBDA x 0.877 (CNP, before its Ph. Eur. 3028 accreditation)</t>
        </is>
      </c>
      <c r="J696" s="256" t="inlineStr">
        <is>
          <t>≤ 1.0%, w/w</t>
        </is>
      </c>
      <c r="K696" s="256" t="inlineStr">
        <is>
          <t>0.04</t>
        </is>
      </c>
      <c r="L696" s="256" t="inlineStr">
        <is>
          <t>ППК25368</t>
        </is>
      </c>
      <c r="M696" s="256" t="inlineStr">
        <is>
          <t>28.11.2025</t>
        </is>
      </c>
      <c r="N696" s="256" t="inlineStr">
        <is>
          <t>UKIM Faculty of Pharmacy — Center for Natural Products</t>
        </is>
      </c>
      <c r="O696" s="256" t="inlineStr">
        <is>
          <t>24.11.2025</t>
        </is>
      </c>
      <c r="P696" s="256" t="inlineStr">
        <is>
          <t>covered</t>
        </is>
      </c>
      <c r="Q696" s="256" t="inlineStr"/>
      <c r="R696" s="256" t="inlineStr">
        <is>
          <t>&lt;LOQ (227-9-К/26)</t>
        </is>
      </c>
    </row>
    <row r="697">
      <c r="A697" s="256" t="inlineStr">
        <is>
          <t>CoQ-PP_26-031</t>
        </is>
      </c>
      <c r="B697" s="256" t="inlineStr">
        <is>
          <t>release</t>
        </is>
      </c>
      <c r="C697" s="256" t="inlineStr">
        <is>
          <t>PM072501</t>
        </is>
      </c>
      <c r="D697" s="256" t="inlineStr">
        <is>
          <t>P050272</t>
        </is>
      </c>
      <c r="E697" s="256" t="inlineStr">
        <is>
          <t>Permanent Marker</t>
        </is>
      </c>
      <c r="F697" s="256" t="inlineStr">
        <is>
          <t>06.06.2026</t>
        </is>
      </c>
      <c r="G697" s="256" t="inlineStr">
        <is>
          <t>6</t>
        </is>
      </c>
      <c r="H697" s="256" t="inlineStr">
        <is>
          <t>Total CBN</t>
        </is>
      </c>
      <c r="I697" s="256" t="inlineStr">
        <is>
          <t>Ph. Eur. 2.2.29 (HPLC) · CBN + CBNA x 0.876</t>
        </is>
      </c>
      <c r="J697" s="256" t="inlineStr">
        <is>
          <t>≤ 1.0%, w/w</t>
        </is>
      </c>
      <c r="K697" s="259" t="inlineStr">
        <is>
          <t>not tested</t>
        </is>
      </c>
      <c r="L697" s="256" t="inlineStr">
        <is>
          <t>—</t>
        </is>
      </c>
      <c r="M697" s="256" t="inlineStr">
        <is>
          <t>—</t>
        </is>
      </c>
      <c r="N697" s="256" t="inlineStr">
        <is>
          <t>—</t>
        </is>
      </c>
      <c r="O697" s="256" t="inlineStr">
        <is>
          <t>—</t>
        </is>
      </c>
      <c r="P697" s="256" t="inlineStr">
        <is>
          <t>not tested — no certificate covers it</t>
        </is>
      </c>
      <c r="Q697" s="256" t="inlineStr"/>
      <c r="R697" s="256" t="inlineStr">
        <is>
          <t>&lt;LOQ (227-9-К/26)</t>
        </is>
      </c>
    </row>
    <row r="698">
      <c r="A698" s="256" t="inlineStr">
        <is>
          <t>CoQ-PP_26-031</t>
        </is>
      </c>
      <c r="B698" s="256" t="inlineStr">
        <is>
          <t>release</t>
        </is>
      </c>
      <c r="C698" s="256" t="inlineStr">
        <is>
          <t>PM072501</t>
        </is>
      </c>
      <c r="D698" s="256" t="inlineStr">
        <is>
          <t>P050272</t>
        </is>
      </c>
      <c r="E698" s="256" t="inlineStr">
        <is>
          <t>Permanent Marker</t>
        </is>
      </c>
      <c r="F698" s="256" t="inlineStr">
        <is>
          <t>06.06.2026</t>
        </is>
      </c>
      <c r="G698" s="256" t="inlineStr">
        <is>
          <t>7</t>
        </is>
      </c>
      <c r="H698" s="256" t="inlineStr">
        <is>
          <t>Foreign Matter</t>
        </is>
      </c>
      <c r="I698" s="256" t="inlineStr">
        <is>
          <t>Ph. Eur. 2.8.2 · In-house · интерна</t>
        </is>
      </c>
      <c r="J698" s="256" t="inlineStr">
        <is>
          <t>≤ 2.0% / 25–50 g · &lt; 1 cm leaves | листови, no seeds | без семки</t>
        </is>
      </c>
      <c r="K698" s="256" t="inlineStr">
        <is>
          <t>Conforms | Одговара</t>
        </is>
      </c>
      <c r="L698" s="256" t="inlineStr">
        <is>
          <t>iCoA-PP_26-030</t>
        </is>
      </c>
      <c r="M698" s="256" t="inlineStr">
        <is>
          <t>03.06.2026</t>
        </is>
      </c>
      <c r="N698" s="256" t="inlineStr">
        <is>
          <t>Purely Plant GmbH (in-house)</t>
        </is>
      </c>
      <c r="O698" s="256" t="inlineStr">
        <is>
          <t>—</t>
        </is>
      </c>
      <c r="P698" s="256" t="inlineStr">
        <is>
          <t>covered</t>
        </is>
      </c>
      <c r="Q698" s="256" t="inlineStr">
        <is>
          <t>Purely Plant laboratory — iCoA covering Foreign matter</t>
        </is>
      </c>
      <c r="R698" s="256" t="inlineStr"/>
    </row>
    <row r="699">
      <c r="A699" s="256" t="inlineStr">
        <is>
          <t>CoQ-PP_26-031</t>
        </is>
      </c>
      <c r="B699" s="256" t="inlineStr">
        <is>
          <t>release</t>
        </is>
      </c>
      <c r="C699" s="256" t="inlineStr">
        <is>
          <t>PM072501</t>
        </is>
      </c>
      <c r="D699" s="256" t="inlineStr">
        <is>
          <t>P050272</t>
        </is>
      </c>
      <c r="E699" s="256" t="inlineStr">
        <is>
          <t>Permanent Marker</t>
        </is>
      </c>
      <c r="F699" s="256" t="inlineStr">
        <is>
          <t>06.06.2026</t>
        </is>
      </c>
      <c r="G699" s="256" t="inlineStr">
        <is>
          <t>8</t>
        </is>
      </c>
      <c r="H699" s="256" t="inlineStr">
        <is>
          <t>Loss on Drying</t>
        </is>
      </c>
      <c r="I699" s="256" t="inlineStr">
        <is>
          <t>DAB 2018 monograph Cannabis flos, 2.2.32 — loss on drying (CNP, before its Ph. Eur. 3028 accreditation)</t>
        </is>
      </c>
      <c r="J699" s="256" t="inlineStr">
        <is>
          <t>≤ 12.0%</t>
        </is>
      </c>
      <c r="K699" s="256" t="inlineStr">
        <is>
          <t>9.52</t>
        </is>
      </c>
      <c r="L699" s="256" t="inlineStr">
        <is>
          <t>ППК25368</t>
        </is>
      </c>
      <c r="M699" s="256" t="inlineStr">
        <is>
          <t>28.11.2025</t>
        </is>
      </c>
      <c r="N699" s="256" t="inlineStr">
        <is>
          <t>UKIM Faculty of Pharmacy — Center for Natural Products</t>
        </is>
      </c>
      <c r="O699" s="256" t="inlineStr">
        <is>
          <t>24.11.2025</t>
        </is>
      </c>
      <c r="P699" s="256" t="inlineStr">
        <is>
          <t>covered</t>
        </is>
      </c>
      <c r="Q699" s="256" t="inlineStr"/>
      <c r="R699" s="256" t="inlineStr"/>
    </row>
    <row r="700">
      <c r="A700" s="256" t="inlineStr">
        <is>
          <t>CoQ-PP_26-031</t>
        </is>
      </c>
      <c r="B700" s="256" t="inlineStr">
        <is>
          <t>release</t>
        </is>
      </c>
      <c r="C700" s="256" t="inlineStr">
        <is>
          <t>PM072501</t>
        </is>
      </c>
      <c r="D700" s="256" t="inlineStr">
        <is>
          <t>P050272</t>
        </is>
      </c>
      <c r="E700" s="256" t="inlineStr">
        <is>
          <t>Permanent Marker</t>
        </is>
      </c>
      <c r="F700" s="256" t="inlineStr">
        <is>
          <t>06.06.2026</t>
        </is>
      </c>
      <c r="G700" s="256" t="inlineStr">
        <is>
          <t>9.1</t>
        </is>
      </c>
      <c r="H700" s="256" t="inlineStr">
        <is>
          <t>TAMC</t>
        </is>
      </c>
      <c r="I700" s="256" t="inlineStr">
        <is>
          <t>Ph. Eur. 2.6.12 cat. C</t>
        </is>
      </c>
      <c r="J700" s="256" t="inlineStr">
        <is>
          <t>≤ 10⁵ CFU/g</t>
        </is>
      </c>
      <c r="K700" s="256" t="inlineStr">
        <is>
          <t>110</t>
        </is>
      </c>
      <c r="L700" s="256" t="inlineStr">
        <is>
          <t>1220/2171/25</t>
        </is>
      </c>
      <c r="M700" s="256" t="inlineStr">
        <is>
          <t>01.12.2025</t>
        </is>
      </c>
      <c r="N700" s="256" t="inlineStr">
        <is>
          <t>IPH — Institute of Public Health</t>
        </is>
      </c>
      <c r="O700" s="256" t="inlineStr">
        <is>
          <t>26.11.2025</t>
        </is>
      </c>
      <c r="P700" s="256" t="inlineStr">
        <is>
          <t>covered</t>
        </is>
      </c>
      <c r="Q700" s="256" t="inlineStr"/>
      <c r="R700" s="256" t="inlineStr"/>
    </row>
    <row r="701">
      <c r="A701" s="256" t="inlineStr">
        <is>
          <t>CoQ-PP_26-031</t>
        </is>
      </c>
      <c r="B701" s="256" t="inlineStr">
        <is>
          <t>release</t>
        </is>
      </c>
      <c r="C701" s="256" t="inlineStr">
        <is>
          <t>PM072501</t>
        </is>
      </c>
      <c r="D701" s="256" t="inlineStr">
        <is>
          <t>P050272</t>
        </is>
      </c>
      <c r="E701" s="256" t="inlineStr">
        <is>
          <t>Permanent Marker</t>
        </is>
      </c>
      <c r="F701" s="256" t="inlineStr">
        <is>
          <t>06.06.2026</t>
        </is>
      </c>
      <c r="G701" s="256" t="inlineStr">
        <is>
          <t>9.2</t>
        </is>
      </c>
      <c r="H701" s="256" t="inlineStr">
        <is>
          <t>TYMC</t>
        </is>
      </c>
      <c r="I701" s="256" t="inlineStr">
        <is>
          <t>Ph. Eur. 2.6.12 cat. C</t>
        </is>
      </c>
      <c r="J701" s="256" t="inlineStr">
        <is>
          <t>≤ 10⁴ CFU/g</t>
        </is>
      </c>
      <c r="K701" s="256" t="inlineStr">
        <is>
          <t>200</t>
        </is>
      </c>
      <c r="L701" s="256" t="inlineStr">
        <is>
          <t>1220/2171/25</t>
        </is>
      </c>
      <c r="M701" s="256" t="inlineStr">
        <is>
          <t>01.12.2025</t>
        </is>
      </c>
      <c r="N701" s="256" t="inlineStr">
        <is>
          <t>IPH — Institute of Public Health</t>
        </is>
      </c>
      <c r="O701" s="256" t="inlineStr">
        <is>
          <t>26.11.2025</t>
        </is>
      </c>
      <c r="P701" s="256" t="inlineStr">
        <is>
          <t>covered — laboratory finding recorded</t>
        </is>
      </c>
      <c r="Q701" s="256" t="inlineStr"/>
      <c r="R701" s="256" t="inlineStr"/>
    </row>
    <row r="702">
      <c r="A702" s="256" t="inlineStr">
        <is>
          <t>CoQ-PP_26-031</t>
        </is>
      </c>
      <c r="B702" s="256" t="inlineStr">
        <is>
          <t>release</t>
        </is>
      </c>
      <c r="C702" s="256" t="inlineStr">
        <is>
          <t>PM072501</t>
        </is>
      </c>
      <c r="D702" s="256" t="inlineStr">
        <is>
          <t>P050272</t>
        </is>
      </c>
      <c r="E702" s="256" t="inlineStr">
        <is>
          <t>Permanent Marker</t>
        </is>
      </c>
      <c r="F702" s="256" t="inlineStr">
        <is>
          <t>06.06.2026</t>
        </is>
      </c>
      <c r="G702" s="256" t="inlineStr">
        <is>
          <t>9.3</t>
        </is>
      </c>
      <c r="H702" s="256" t="inlineStr">
        <is>
          <t>Bile-tolerant gram-neg.</t>
        </is>
      </c>
      <c r="I702" s="256" t="inlineStr">
        <is>
          <t>Ph. Eur. 2.6.31 cat. C</t>
        </is>
      </c>
      <c r="J702" s="256" t="inlineStr">
        <is>
          <t>≤ 10⁴ CFU/g</t>
        </is>
      </c>
      <c r="K702" s="256" t="inlineStr">
        <is>
          <t>&lt; 10</t>
        </is>
      </c>
      <c r="L702" s="256" t="inlineStr">
        <is>
          <t>1220/2171/25</t>
        </is>
      </c>
      <c r="M702" s="256" t="inlineStr">
        <is>
          <t>01.12.2025</t>
        </is>
      </c>
      <c r="N702" s="256" t="inlineStr">
        <is>
          <t>IPH — Institute of Public Health</t>
        </is>
      </c>
      <c r="O702" s="256" t="inlineStr">
        <is>
          <t>26.11.2025</t>
        </is>
      </c>
      <c r="P702" s="256" t="inlineStr">
        <is>
          <t>covered</t>
        </is>
      </c>
      <c r="Q702" s="256" t="inlineStr"/>
      <c r="R702" s="256" t="inlineStr"/>
    </row>
    <row r="703">
      <c r="A703" s="256" t="inlineStr">
        <is>
          <t>CoQ-PP_26-031</t>
        </is>
      </c>
      <c r="B703" s="256" t="inlineStr">
        <is>
          <t>release</t>
        </is>
      </c>
      <c r="C703" s="256" t="inlineStr">
        <is>
          <t>PM072501</t>
        </is>
      </c>
      <c r="D703" s="256" t="inlineStr">
        <is>
          <t>P050272</t>
        </is>
      </c>
      <c r="E703" s="256" t="inlineStr">
        <is>
          <t>Permanent Marker</t>
        </is>
      </c>
      <c r="F703" s="256" t="inlineStr">
        <is>
          <t>06.06.2026</t>
        </is>
      </c>
      <c r="G703" s="256" t="inlineStr">
        <is>
          <t>9.4</t>
        </is>
      </c>
      <c r="H703" s="256" t="inlineStr">
        <is>
          <t>Salmonella</t>
        </is>
      </c>
      <c r="I703" s="256" t="inlineStr">
        <is>
          <t>Ph. Eur. 2.6.31 cat. C</t>
        </is>
      </c>
      <c r="J703" s="256" t="inlineStr">
        <is>
          <t>Absence | Отсуство / 25 g</t>
        </is>
      </c>
      <c r="K703" s="256" t="inlineStr">
        <is>
          <t>Absent | Отсутна</t>
        </is>
      </c>
      <c r="L703" s="256" t="inlineStr">
        <is>
          <t>1220/2171/25</t>
        </is>
      </c>
      <c r="M703" s="256" t="inlineStr">
        <is>
          <t>01.12.2025</t>
        </is>
      </c>
      <c r="N703" s="256" t="inlineStr">
        <is>
          <t>IPH — Institute of Public Health</t>
        </is>
      </c>
      <c r="O703" s="256" t="inlineStr">
        <is>
          <t>26.11.2025</t>
        </is>
      </c>
      <c r="P703" s="256" t="inlineStr">
        <is>
          <t>covered</t>
        </is>
      </c>
      <c r="Q703" s="256" t="inlineStr"/>
      <c r="R703" s="256" t="inlineStr"/>
    </row>
    <row r="704">
      <c r="A704" s="256" t="inlineStr">
        <is>
          <t>CoQ-PP_26-031</t>
        </is>
      </c>
      <c r="B704" s="256" t="inlineStr">
        <is>
          <t>release</t>
        </is>
      </c>
      <c r="C704" s="256" t="inlineStr">
        <is>
          <t>PM072501</t>
        </is>
      </c>
      <c r="D704" s="256" t="inlineStr">
        <is>
          <t>P050272</t>
        </is>
      </c>
      <c r="E704" s="256" t="inlineStr">
        <is>
          <t>Permanent Marker</t>
        </is>
      </c>
      <c r="F704" s="256" t="inlineStr">
        <is>
          <t>06.06.2026</t>
        </is>
      </c>
      <c r="G704" s="256" t="inlineStr">
        <is>
          <t>9.5</t>
        </is>
      </c>
      <c r="H704" s="256" t="inlineStr">
        <is>
          <t>Escherichia coli</t>
        </is>
      </c>
      <c r="I704" s="256" t="inlineStr">
        <is>
          <t>Ph. Eur. 2.6.13 cat. C</t>
        </is>
      </c>
      <c r="J704" s="256" t="inlineStr">
        <is>
          <t>Absence | Отсуство / 1 g</t>
        </is>
      </c>
      <c r="K704" s="256" t="inlineStr">
        <is>
          <t>Absent | Отсутна</t>
        </is>
      </c>
      <c r="L704" s="256" t="inlineStr">
        <is>
          <t>1220/2171/25</t>
        </is>
      </c>
      <c r="M704" s="256" t="inlineStr">
        <is>
          <t>01.12.2025</t>
        </is>
      </c>
      <c r="N704" s="256" t="inlineStr">
        <is>
          <t>IPH — Institute of Public Health</t>
        </is>
      </c>
      <c r="O704" s="256" t="inlineStr">
        <is>
          <t>26.11.2025</t>
        </is>
      </c>
      <c r="P704" s="256" t="inlineStr">
        <is>
          <t>covered</t>
        </is>
      </c>
      <c r="Q704" s="256" t="inlineStr"/>
      <c r="R704" s="256" t="inlineStr"/>
    </row>
    <row r="705">
      <c r="A705" s="256" t="inlineStr">
        <is>
          <t>CoQ-PP_26-031</t>
        </is>
      </c>
      <c r="B705" s="256" t="inlineStr">
        <is>
          <t>release</t>
        </is>
      </c>
      <c r="C705" s="256" t="inlineStr">
        <is>
          <t>PM072501</t>
        </is>
      </c>
      <c r="D705" s="256" t="inlineStr">
        <is>
          <t>P050272</t>
        </is>
      </c>
      <c r="E705" s="256" t="inlineStr">
        <is>
          <t>Permanent Marker</t>
        </is>
      </c>
      <c r="F705" s="256" t="inlineStr">
        <is>
          <t>06.06.2026</t>
        </is>
      </c>
      <c r="G705" s="256" t="inlineStr">
        <is>
          <t>9.6</t>
        </is>
      </c>
      <c r="H705" s="256" t="inlineStr">
        <is>
          <t>Pseudomonas aeruginosa</t>
        </is>
      </c>
      <c r="I705" s="256" t="inlineStr">
        <is>
          <t>Ph. Eur. 2.6.13 cat. C</t>
        </is>
      </c>
      <c r="J705" s="256" t="inlineStr">
        <is>
          <t>Absence | Отсуство / 1 g</t>
        </is>
      </c>
      <c r="K705" s="260" t="inlineStr">
        <is>
          <t>upon request — not required for release</t>
        </is>
      </c>
      <c r="L705" s="256" t="inlineStr">
        <is>
          <t>—</t>
        </is>
      </c>
      <c r="M705" s="256" t="inlineStr">
        <is>
          <t>—</t>
        </is>
      </c>
      <c r="N705" s="256" t="inlineStr">
        <is>
          <t>—</t>
        </is>
      </c>
      <c r="O705" s="256" t="inlineStr">
        <is>
          <t>—</t>
        </is>
      </c>
      <c r="P705" s="256" t="inlineStr">
        <is>
          <t>upon request — not required for release</t>
        </is>
      </c>
      <c r="Q705" s="256" t="inlineStr"/>
      <c r="R705" s="256" t="inlineStr"/>
    </row>
    <row r="706">
      <c r="A706" s="256" t="inlineStr">
        <is>
          <t>CoQ-PP_26-031</t>
        </is>
      </c>
      <c r="B706" s="256" t="inlineStr">
        <is>
          <t>release</t>
        </is>
      </c>
      <c r="C706" s="256" t="inlineStr">
        <is>
          <t>PM072501</t>
        </is>
      </c>
      <c r="D706" s="256" t="inlineStr">
        <is>
          <t>P050272</t>
        </is>
      </c>
      <c r="E706" s="256" t="inlineStr">
        <is>
          <t>Permanent Marker</t>
        </is>
      </c>
      <c r="F706" s="256" t="inlineStr">
        <is>
          <t>06.06.2026</t>
        </is>
      </c>
      <c r="G706" s="256" t="inlineStr">
        <is>
          <t>9.7</t>
        </is>
      </c>
      <c r="H706" s="256" t="inlineStr">
        <is>
          <t>Staphylococcus aureus</t>
        </is>
      </c>
      <c r="I706" s="256" t="inlineStr">
        <is>
          <t>Ph. Eur. 2.6.13 cat. C</t>
        </is>
      </c>
      <c r="J706" s="256" t="inlineStr">
        <is>
          <t>Absence | Отсуство / 1 g</t>
        </is>
      </c>
      <c r="K706" s="260" t="inlineStr">
        <is>
          <t>upon request — not required for release</t>
        </is>
      </c>
      <c r="L706" s="256" t="inlineStr">
        <is>
          <t>—</t>
        </is>
      </c>
      <c r="M706" s="256" t="inlineStr">
        <is>
          <t>—</t>
        </is>
      </c>
      <c r="N706" s="256" t="inlineStr">
        <is>
          <t>—</t>
        </is>
      </c>
      <c r="O706" s="256" t="inlineStr">
        <is>
          <t>—</t>
        </is>
      </c>
      <c r="P706" s="256" t="inlineStr">
        <is>
          <t>upon request — not required for release</t>
        </is>
      </c>
      <c r="Q706" s="256" t="inlineStr"/>
      <c r="R706" s="256" t="inlineStr"/>
    </row>
    <row r="707">
      <c r="A707" s="256" t="inlineStr">
        <is>
          <t>CoQ-PP_26-031</t>
        </is>
      </c>
      <c r="B707" s="256" t="inlineStr">
        <is>
          <t>release</t>
        </is>
      </c>
      <c r="C707" s="256" t="inlineStr">
        <is>
          <t>PM072501</t>
        </is>
      </c>
      <c r="D707" s="256" t="inlineStr">
        <is>
          <t>P050272</t>
        </is>
      </c>
      <c r="E707" s="256" t="inlineStr">
        <is>
          <t>Permanent Marker</t>
        </is>
      </c>
      <c r="F707" s="256" t="inlineStr">
        <is>
          <t>06.06.2026</t>
        </is>
      </c>
      <c r="G707" s="256" t="inlineStr">
        <is>
          <t>10.1</t>
        </is>
      </c>
      <c r="H707" s="256" t="inlineStr">
        <is>
          <t>Aflatoxin B₁</t>
        </is>
      </c>
      <c r="I707" s="256" t="inlineStr">
        <is>
          <t>Ph. Eur. 2.8.18 (HPLC-FLD)</t>
        </is>
      </c>
      <c r="J707" s="256" t="inlineStr">
        <is>
          <t>≤ 2 µg/kg</t>
        </is>
      </c>
      <c r="K707" s="259" t="inlineStr">
        <is>
          <t>not tested</t>
        </is>
      </c>
      <c r="L707" s="256" t="inlineStr">
        <is>
          <t>—</t>
        </is>
      </c>
      <c r="M707" s="256" t="inlineStr">
        <is>
          <t>—</t>
        </is>
      </c>
      <c r="N707" s="256" t="inlineStr">
        <is>
          <t>—</t>
        </is>
      </c>
      <c r="O707" s="256" t="inlineStr">
        <is>
          <t>—</t>
        </is>
      </c>
      <c r="P707" s="256" t="inlineStr">
        <is>
          <t>not tested — no certificate covers it</t>
        </is>
      </c>
      <c r="Q707" s="256" t="inlineStr"/>
      <c r="R707" s="256" t="inlineStr"/>
    </row>
    <row r="708">
      <c r="A708" s="256" t="inlineStr">
        <is>
          <t>CoQ-PP_26-031</t>
        </is>
      </c>
      <c r="B708" s="256" t="inlineStr">
        <is>
          <t>release</t>
        </is>
      </c>
      <c r="C708" s="256" t="inlineStr">
        <is>
          <t>PM072501</t>
        </is>
      </c>
      <c r="D708" s="256" t="inlineStr">
        <is>
          <t>P050272</t>
        </is>
      </c>
      <c r="E708" s="256" t="inlineStr">
        <is>
          <t>Permanent Marker</t>
        </is>
      </c>
      <c r="F708" s="256" t="inlineStr">
        <is>
          <t>06.06.2026</t>
        </is>
      </c>
      <c r="G708" s="256" t="inlineStr">
        <is>
          <t>10.2</t>
        </is>
      </c>
      <c r="H708" s="256" t="inlineStr">
        <is>
          <t>Aflatoxins ∑</t>
        </is>
      </c>
      <c r="I708" s="256" t="inlineStr">
        <is>
          <t>Ph. Eur. 2.8.18 (HPLC-FLD)</t>
        </is>
      </c>
      <c r="J708" s="256" t="inlineStr">
        <is>
          <t>≤ 4 µg/kg</t>
        </is>
      </c>
      <c r="K708" s="256" t="inlineStr">
        <is>
          <t>&lt; 2</t>
        </is>
      </c>
      <c r="L708" s="256" t="inlineStr">
        <is>
          <t>5698/2025</t>
        </is>
      </c>
      <c r="M708" s="256" t="inlineStr">
        <is>
          <t>02.12.2025</t>
        </is>
      </c>
      <c r="N708" s="256" t="inlineStr">
        <is>
          <t>IPH — Institute of Public Health</t>
        </is>
      </c>
      <c r="O708" s="256" t="inlineStr">
        <is>
          <t>24.11.2025</t>
        </is>
      </c>
      <c r="P708" s="256" t="inlineStr">
        <is>
          <t>covered</t>
        </is>
      </c>
      <c r="Q708" s="256" t="inlineStr"/>
      <c r="R708" s="256" t="inlineStr"/>
    </row>
    <row r="709">
      <c r="A709" s="256" t="inlineStr">
        <is>
          <t>CoQ-PP_26-031</t>
        </is>
      </c>
      <c r="B709" s="256" t="inlineStr">
        <is>
          <t>release</t>
        </is>
      </c>
      <c r="C709" s="256" t="inlineStr">
        <is>
          <t>PM072501</t>
        </is>
      </c>
      <c r="D709" s="256" t="inlineStr">
        <is>
          <t>P050272</t>
        </is>
      </c>
      <c r="E709" s="256" t="inlineStr">
        <is>
          <t>Permanent Marker</t>
        </is>
      </c>
      <c r="F709" s="256" t="inlineStr">
        <is>
          <t>06.06.2026</t>
        </is>
      </c>
      <c r="G709" s="256" t="inlineStr">
        <is>
          <t>10.3</t>
        </is>
      </c>
      <c r="H709" s="256" t="inlineStr">
        <is>
          <t>Ochratoxin A</t>
        </is>
      </c>
      <c r="I709" s="256" t="inlineStr">
        <is>
          <t>Ph. Eur. 2.8.22 (HPLC-FLD)</t>
        </is>
      </c>
      <c r="J709" s="256" t="inlineStr">
        <is>
          <t>≤ 20 µg/kg</t>
        </is>
      </c>
      <c r="K709" s="259" t="inlineStr">
        <is>
          <t>not tested</t>
        </is>
      </c>
      <c r="L709" s="256" t="inlineStr">
        <is>
          <t>—</t>
        </is>
      </c>
      <c r="M709" s="256" t="inlineStr">
        <is>
          <t>—</t>
        </is>
      </c>
      <c r="N709" s="256" t="inlineStr">
        <is>
          <t>—</t>
        </is>
      </c>
      <c r="O709" s="256" t="inlineStr">
        <is>
          <t>—</t>
        </is>
      </c>
      <c r="P709" s="256" t="inlineStr">
        <is>
          <t>not tested — no certificate covers it</t>
        </is>
      </c>
      <c r="Q709" s="256" t="inlineStr"/>
      <c r="R709" s="256" t="inlineStr"/>
    </row>
    <row r="710">
      <c r="A710" s="256" t="inlineStr">
        <is>
          <t>CoQ-PP_26-031</t>
        </is>
      </c>
      <c r="B710" s="256" t="inlineStr">
        <is>
          <t>release</t>
        </is>
      </c>
      <c r="C710" s="256" t="inlineStr">
        <is>
          <t>PM072501</t>
        </is>
      </c>
      <c r="D710" s="256" t="inlineStr">
        <is>
          <t>P050272</t>
        </is>
      </c>
      <c r="E710" s="256" t="inlineStr">
        <is>
          <t>Permanent Marker</t>
        </is>
      </c>
      <c r="F710" s="256" t="inlineStr">
        <is>
          <t>06.06.2026</t>
        </is>
      </c>
      <c r="G710" s="256" t="inlineStr">
        <is>
          <t>11.1</t>
        </is>
      </c>
      <c r="H710" s="256" t="inlineStr">
        <is>
          <t>Lead (Pb)</t>
        </is>
      </c>
      <c r="I710" s="256" t="inlineStr">
        <is>
          <t>Ph. Eur. 2.4.27 (ICP-MS)</t>
        </is>
      </c>
      <c r="J710" s="256" t="inlineStr">
        <is>
          <t>≤ 0.5 mg/kg</t>
        </is>
      </c>
      <c r="K710" s="256" t="inlineStr">
        <is>
          <t>0.021</t>
        </is>
      </c>
      <c r="L710" s="256" t="inlineStr">
        <is>
          <t>5698/2025</t>
        </is>
      </c>
      <c r="M710" s="256" t="inlineStr">
        <is>
          <t>02.12.2025</t>
        </is>
      </c>
      <c r="N710" s="256" t="inlineStr">
        <is>
          <t>IPH — Institute of Public Health</t>
        </is>
      </c>
      <c r="O710" s="256" t="inlineStr">
        <is>
          <t>24.11.2025</t>
        </is>
      </c>
      <c r="P710" s="256" t="inlineStr">
        <is>
          <t>covered</t>
        </is>
      </c>
      <c r="Q710" s="256" t="inlineStr"/>
      <c r="R710" s="256" t="inlineStr"/>
    </row>
    <row r="711">
      <c r="A711" s="256" t="inlineStr">
        <is>
          <t>CoQ-PP_26-031</t>
        </is>
      </c>
      <c r="B711" s="256" t="inlineStr">
        <is>
          <t>release</t>
        </is>
      </c>
      <c r="C711" s="256" t="inlineStr">
        <is>
          <t>PM072501</t>
        </is>
      </c>
      <c r="D711" s="256" t="inlineStr">
        <is>
          <t>P050272</t>
        </is>
      </c>
      <c r="E711" s="256" t="inlineStr">
        <is>
          <t>Permanent Marker</t>
        </is>
      </c>
      <c r="F711" s="256" t="inlineStr">
        <is>
          <t>06.06.2026</t>
        </is>
      </c>
      <c r="G711" s="256" t="inlineStr">
        <is>
          <t>11.2</t>
        </is>
      </c>
      <c r="H711" s="256" t="inlineStr">
        <is>
          <t>Cadmium (Cd)</t>
        </is>
      </c>
      <c r="I711" s="256" t="inlineStr">
        <is>
          <t>Ph. Eur. 2.4.27 (ICP-MS)</t>
        </is>
      </c>
      <c r="J711" s="256" t="inlineStr">
        <is>
          <t>≤ 0.3 mg/kg</t>
        </is>
      </c>
      <c r="K711" s="256" t="inlineStr">
        <is>
          <t>0.001</t>
        </is>
      </c>
      <c r="L711" s="256" t="inlineStr">
        <is>
          <t>5698/2025</t>
        </is>
      </c>
      <c r="M711" s="256" t="inlineStr">
        <is>
          <t>02.12.2025</t>
        </is>
      </c>
      <c r="N711" s="256" t="inlineStr">
        <is>
          <t>IPH — Institute of Public Health</t>
        </is>
      </c>
      <c r="O711" s="256" t="inlineStr">
        <is>
          <t>24.11.2025</t>
        </is>
      </c>
      <c r="P711" s="256" t="inlineStr">
        <is>
          <t>covered</t>
        </is>
      </c>
      <c r="Q711" s="256" t="inlineStr"/>
      <c r="R711" s="256" t="inlineStr"/>
    </row>
    <row r="712">
      <c r="A712" s="256" t="inlineStr">
        <is>
          <t>CoQ-PP_26-031</t>
        </is>
      </c>
      <c r="B712" s="256" t="inlineStr">
        <is>
          <t>release</t>
        </is>
      </c>
      <c r="C712" s="256" t="inlineStr">
        <is>
          <t>PM072501</t>
        </is>
      </c>
      <c r="D712" s="256" t="inlineStr">
        <is>
          <t>P050272</t>
        </is>
      </c>
      <c r="E712" s="256" t="inlineStr">
        <is>
          <t>Permanent Marker</t>
        </is>
      </c>
      <c r="F712" s="256" t="inlineStr">
        <is>
          <t>06.06.2026</t>
        </is>
      </c>
      <c r="G712" s="256" t="inlineStr">
        <is>
          <t>11.3</t>
        </is>
      </c>
      <c r="H712" s="256" t="inlineStr">
        <is>
          <t>Arsenic (As)</t>
        </is>
      </c>
      <c r="I712" s="256" t="inlineStr">
        <is>
          <t>Ph. Eur. 2.4.27 (ICP-MS)</t>
        </is>
      </c>
      <c r="J712" s="256" t="inlineStr">
        <is>
          <t>≤ 0.2 mg/kg</t>
        </is>
      </c>
      <c r="K712" s="256" t="inlineStr">
        <is>
          <t>0.012</t>
        </is>
      </c>
      <c r="L712" s="256" t="inlineStr">
        <is>
          <t>5698/2025</t>
        </is>
      </c>
      <c r="M712" s="256" t="inlineStr">
        <is>
          <t>02.12.2025</t>
        </is>
      </c>
      <c r="N712" s="256" t="inlineStr">
        <is>
          <t>IPH — Institute of Public Health</t>
        </is>
      </c>
      <c r="O712" s="256" t="inlineStr">
        <is>
          <t>24.11.2025</t>
        </is>
      </c>
      <c r="P712" s="256" t="inlineStr">
        <is>
          <t>covered</t>
        </is>
      </c>
      <c r="Q712" s="256" t="inlineStr"/>
      <c r="R712" s="256" t="inlineStr"/>
    </row>
    <row r="713">
      <c r="A713" s="256" t="inlineStr">
        <is>
          <t>CoQ-PP_26-031</t>
        </is>
      </c>
      <c r="B713" s="256" t="inlineStr">
        <is>
          <t>release</t>
        </is>
      </c>
      <c r="C713" s="256" t="inlineStr">
        <is>
          <t>PM072501</t>
        </is>
      </c>
      <c r="D713" s="256" t="inlineStr">
        <is>
          <t>P050272</t>
        </is>
      </c>
      <c r="E713" s="256" t="inlineStr">
        <is>
          <t>Permanent Marker</t>
        </is>
      </c>
      <c r="F713" s="256" t="inlineStr">
        <is>
          <t>06.06.2026</t>
        </is>
      </c>
      <c r="G713" s="256" t="inlineStr">
        <is>
          <t>11.4</t>
        </is>
      </c>
      <c r="H713" s="256" t="inlineStr">
        <is>
          <t>Mercury (Hg)</t>
        </is>
      </c>
      <c r="I713" s="256" t="inlineStr">
        <is>
          <t>Ph. Eur. 2.4.27 (ICP-MS)</t>
        </is>
      </c>
      <c r="J713" s="256" t="inlineStr">
        <is>
          <t>≤ 0.1 mg/kg</t>
        </is>
      </c>
      <c r="K713" s="256" t="inlineStr">
        <is>
          <t>0.003</t>
        </is>
      </c>
      <c r="L713" s="256" t="inlineStr">
        <is>
          <t>5698/2025</t>
        </is>
      </c>
      <c r="M713" s="256" t="inlineStr">
        <is>
          <t>02.12.2025</t>
        </is>
      </c>
      <c r="N713" s="256" t="inlineStr">
        <is>
          <t>IPH — Institute of Public Health</t>
        </is>
      </c>
      <c r="O713" s="256" t="inlineStr">
        <is>
          <t>24.11.2025</t>
        </is>
      </c>
      <c r="P713" s="256" t="inlineStr">
        <is>
          <t>covered</t>
        </is>
      </c>
      <c r="Q713" s="256" t="inlineStr"/>
      <c r="R713" s="256" t="inlineStr"/>
    </row>
    <row r="714">
      <c r="A714" s="256" t="inlineStr">
        <is>
          <t>CoQ-PP_26-031</t>
        </is>
      </c>
      <c r="B714" s="256" t="inlineStr">
        <is>
          <t>release</t>
        </is>
      </c>
      <c r="C714" s="256" t="inlineStr">
        <is>
          <t>PM072501</t>
        </is>
      </c>
      <c r="D714" s="256" t="inlineStr">
        <is>
          <t>P050272</t>
        </is>
      </c>
      <c r="E714" s="256" t="inlineStr">
        <is>
          <t>Permanent Marker</t>
        </is>
      </c>
      <c r="F714" s="256" t="inlineStr">
        <is>
          <t>06.06.2026</t>
        </is>
      </c>
      <c r="G714" s="256" t="inlineStr">
        <is>
          <t>12</t>
        </is>
      </c>
      <c r="H714" s="256" t="inlineStr">
        <is>
          <t>Pesticide Residues</t>
        </is>
      </c>
      <c r="I714" s="256" t="inlineStr">
        <is>
          <t>Ph. Eur. 2.8.13 (LC-MS/MS) · CUMCS Equivalency</t>
        </is>
      </c>
      <c r="J714" s="256" t="inlineStr">
        <is>
          <t>≤ LOQ as per Ph. Eur. 2.8.13 · ≤ LOQ as per CUMCS Equivalency</t>
        </is>
      </c>
      <c r="K714" s="256" t="inlineStr">
        <is>
          <t>ND</t>
        </is>
      </c>
      <c r="L714" s="256" t="inlineStr">
        <is>
          <t>5698/2025</t>
        </is>
      </c>
      <c r="M714" s="256" t="inlineStr">
        <is>
          <t>02.12.2025</t>
        </is>
      </c>
      <c r="N714" s="256" t="inlineStr">
        <is>
          <t>IPH — Institute of Public Health</t>
        </is>
      </c>
      <c r="O714" s="256" t="inlineStr">
        <is>
          <t>24.11.2025</t>
        </is>
      </c>
      <c r="P714" s="256" t="inlineStr">
        <is>
          <t>covered</t>
        </is>
      </c>
      <c r="Q714" s="256" t="inlineStr"/>
      <c r="R714" s="256" t="inlineStr"/>
    </row>
    <row r="715">
      <c r="A715" s="256" t="inlineStr">
        <is>
          <t>CoQ-PP_26-032</t>
        </is>
      </c>
      <c r="B715" s="256" t="inlineStr">
        <is>
          <t>release</t>
        </is>
      </c>
      <c r="C715" s="256" t="inlineStr">
        <is>
          <t>CLE072501</t>
        </is>
      </c>
      <c r="D715" s="256" t="inlineStr">
        <is>
          <t>P050282</t>
        </is>
      </c>
      <c r="E715" s="256" t="inlineStr">
        <is>
          <t>Clemosa A Bud</t>
        </is>
      </c>
      <c r="F715" s="256" t="inlineStr">
        <is>
          <t>06.06.2026</t>
        </is>
      </c>
      <c r="G715" s="256" t="inlineStr">
        <is>
          <t>1</t>
        </is>
      </c>
      <c r="H715" s="256" t="inlineStr">
        <is>
          <t>Identification A, Appearance · Macroscopic</t>
        </is>
      </c>
      <c r="I715" s="256" t="inlineStr">
        <is>
          <t>Ph. Eur. mon. 3028</t>
        </is>
      </c>
      <c r="J715" s="256" t="inlineStr">
        <is>
          <t>Conforms to the monograph for Cannabis flos (07/2024:3028) in Ph. Eur. 11.0 | Согласно монографија за Cannabis flos (07/2024:3028) во Ph. Eur. 11.0</t>
        </is>
      </c>
      <c r="K715" s="256" t="inlineStr">
        <is>
          <t>Conforms | Одговара</t>
        </is>
      </c>
      <c r="L715" s="256" t="inlineStr">
        <is>
          <t>iCoA-PP_26-031</t>
        </is>
      </c>
      <c r="M715" s="256" t="inlineStr">
        <is>
          <t>03.06.2026</t>
        </is>
      </c>
      <c r="N715" s="256" t="inlineStr">
        <is>
          <t>Purely Plant GmbH (in-house)</t>
        </is>
      </c>
      <c r="O715" s="256" t="inlineStr">
        <is>
          <t>—</t>
        </is>
      </c>
      <c r="P715" s="256" t="inlineStr">
        <is>
          <t>to be performed — see route</t>
        </is>
      </c>
      <c r="Q715" s="256" t="inlineStr">
        <is>
          <t>Purely Plant laboratory — iCoA covering Ident A + B</t>
        </is>
      </c>
      <c r="R715" s="256" t="inlineStr"/>
    </row>
    <row r="716">
      <c r="A716" s="256" t="inlineStr">
        <is>
          <t>CoQ-PP_26-032</t>
        </is>
      </c>
      <c r="B716" s="256" t="inlineStr">
        <is>
          <t>release</t>
        </is>
      </c>
      <c r="C716" s="256" t="inlineStr">
        <is>
          <t>CLE072501</t>
        </is>
      </c>
      <c r="D716" s="256" t="inlineStr">
        <is>
          <t>P050282</t>
        </is>
      </c>
      <c r="E716" s="256" t="inlineStr">
        <is>
          <t>Clemosa A Bud</t>
        </is>
      </c>
      <c r="F716" s="256" t="inlineStr">
        <is>
          <t>06.06.2026</t>
        </is>
      </c>
      <c r="G716" s="256" t="inlineStr">
        <is>
          <t>2</t>
        </is>
      </c>
      <c r="H716" s="256" t="inlineStr">
        <is>
          <t>Identification B · Microscopic</t>
        </is>
      </c>
      <c r="I716" s="256" t="inlineStr">
        <is>
          <t>Ph. Eur. 2.8.23 (microscopy)</t>
        </is>
      </c>
      <c r="J716" s="256" t="inlineStr">
        <is>
          <t>Conforms to the monograph for Cannabis flos (07/2024:3028) in Ph. Eur. 11.0 | Согласно монографија за Cannabis flos (07/2024:3028) во Ph. Eur. 11.0</t>
        </is>
      </c>
      <c r="K716" s="256" t="inlineStr">
        <is>
          <t>Conforms | Одговара</t>
        </is>
      </c>
      <c r="L716" s="256" t="inlineStr">
        <is>
          <t>iCoA-PP_26-031</t>
        </is>
      </c>
      <c r="M716" s="256" t="inlineStr">
        <is>
          <t>03.06.2026</t>
        </is>
      </c>
      <c r="N716" s="256" t="inlineStr">
        <is>
          <t>Purely Plant GmbH (in-house)</t>
        </is>
      </c>
      <c r="O716" s="256" t="inlineStr">
        <is>
          <t>—</t>
        </is>
      </c>
      <c r="P716" s="256" t="inlineStr">
        <is>
          <t>to be performed — see route</t>
        </is>
      </c>
      <c r="Q716" s="256" t="inlineStr">
        <is>
          <t>Purely Plant laboratory — iCoA covering Ident A + B</t>
        </is>
      </c>
      <c r="R716" s="256" t="inlineStr"/>
    </row>
    <row r="717">
      <c r="A717" s="256" t="inlineStr">
        <is>
          <t>CoQ-PP_26-032</t>
        </is>
      </c>
      <c r="B717" s="256" t="inlineStr">
        <is>
          <t>release</t>
        </is>
      </c>
      <c r="C717" s="256" t="inlineStr">
        <is>
          <t>CLE072501</t>
        </is>
      </c>
      <c r="D717" s="256" t="inlineStr">
        <is>
          <t>P050282</t>
        </is>
      </c>
      <c r="E717" s="256" t="inlineStr">
        <is>
          <t>Clemosa A Bud</t>
        </is>
      </c>
      <c r="F717" s="256" t="inlineStr">
        <is>
          <t>06.06.2026</t>
        </is>
      </c>
      <c r="G717" s="256" t="inlineStr">
        <is>
          <t>3</t>
        </is>
      </c>
      <c r="H717" s="256" t="inlineStr">
        <is>
          <t>Identification C · HPLC/HPTLC</t>
        </is>
      </c>
      <c r="I717" s="256" t="inlineStr">
        <is>
          <t>Ph. Eur. 2.2.29 (3028)</t>
        </is>
      </c>
      <c r="J717" s="256" t="inlineStr">
        <is>
          <t>Conforms to the monograph for Cannabis flos (07/2024:3028) in Ph. Eur. 11.0 | Согласно монографија за Cannabis flos (07/2024:3028) во Ph. Eur. 11.0</t>
        </is>
      </c>
      <c r="K717" s="256" t="inlineStr">
        <is>
          <t>Conforms | Одговара</t>
        </is>
      </c>
      <c r="L717" s="256" t="inlineStr">
        <is>
          <t>ППК25370</t>
        </is>
      </c>
      <c r="M717" s="256" t="inlineStr">
        <is>
          <t>28.11.2025</t>
        </is>
      </c>
      <c r="N717" s="256" t="inlineStr">
        <is>
          <t>CNP</t>
        </is>
      </c>
      <c r="O717" s="256" t="inlineStr">
        <is>
          <t>24.11.2025</t>
        </is>
      </c>
      <c r="P717" s="256" t="inlineStr">
        <is>
          <t>covered</t>
        </is>
      </c>
      <c r="Q717" s="256" t="inlineStr"/>
      <c r="R717" s="256" t="inlineStr"/>
    </row>
    <row r="718">
      <c r="A718" s="256" t="inlineStr">
        <is>
          <t>CoQ-PP_26-032</t>
        </is>
      </c>
      <c r="B718" s="256" t="inlineStr">
        <is>
          <t>release</t>
        </is>
      </c>
      <c r="C718" s="256" t="inlineStr">
        <is>
          <t>CLE072501</t>
        </is>
      </c>
      <c r="D718" s="256" t="inlineStr">
        <is>
          <t>P050282</t>
        </is>
      </c>
      <c r="E718" s="256" t="inlineStr">
        <is>
          <t>Clemosa A Bud</t>
        </is>
      </c>
      <c r="F718" s="256" t="inlineStr">
        <is>
          <t>06.06.2026</t>
        </is>
      </c>
      <c r="G718" s="256" t="inlineStr">
        <is>
          <t>4</t>
        </is>
      </c>
      <c r="H718" s="256" t="inlineStr">
        <is>
          <t>Assay — Total Δ⁹-THC</t>
        </is>
      </c>
      <c r="I718" s="256" t="inlineStr">
        <is>
          <t>Ph. Eur. 2.2.29 (HPLC)</t>
        </is>
      </c>
      <c r="J718" s="256" t="inlineStr">
        <is>
          <t>7.20 – 8.79 %  (grade I, nominal 8.00 ± 0.80)</t>
        </is>
      </c>
      <c r="K718" s="256" t="inlineStr">
        <is>
          <t>8.02</t>
        </is>
      </c>
      <c r="L718" s="256" t="inlineStr">
        <is>
          <t>ППК25370</t>
        </is>
      </c>
      <c r="M718" s="256" t="inlineStr">
        <is>
          <t>28.11.2025</t>
        </is>
      </c>
      <c r="N718" s="256" t="inlineStr">
        <is>
          <t>CNP</t>
        </is>
      </c>
      <c r="O718" s="256" t="inlineStr">
        <is>
          <t>24.11.2025</t>
        </is>
      </c>
      <c r="P718" s="256" t="inlineStr">
        <is>
          <t>covered</t>
        </is>
      </c>
      <c r="Q718" s="256" t="inlineStr"/>
      <c r="R718" s="256" t="inlineStr">
        <is>
          <t>8.65 (220-7-К/26)</t>
        </is>
      </c>
    </row>
    <row r="719">
      <c r="A719" s="256" t="inlineStr">
        <is>
          <t>CoQ-PP_26-032</t>
        </is>
      </c>
      <c r="B719" s="256" t="inlineStr">
        <is>
          <t>release</t>
        </is>
      </c>
      <c r="C719" s="256" t="inlineStr">
        <is>
          <t>CLE072501</t>
        </is>
      </c>
      <c r="D719" s="256" t="inlineStr">
        <is>
          <t>P050282</t>
        </is>
      </c>
      <c r="E719" s="256" t="inlineStr">
        <is>
          <t>Clemosa A Bud</t>
        </is>
      </c>
      <c r="F719" s="256" t="inlineStr">
        <is>
          <t>06.06.2026</t>
        </is>
      </c>
      <c r="G719" s="256" t="inlineStr">
        <is>
          <t>5</t>
        </is>
      </c>
      <c r="H719" s="256" t="inlineStr">
        <is>
          <t>Assay — Total CBD</t>
        </is>
      </c>
      <c r="I719" s="256" t="inlineStr">
        <is>
          <t>Ph. Eur. 2.2.29 (HPLC) · CBD + CBDA x 0.877</t>
        </is>
      </c>
      <c r="J719" s="256" t="inlineStr">
        <is>
          <t>≤ 1.0%, w/w</t>
        </is>
      </c>
      <c r="K719" s="256" t="inlineStr">
        <is>
          <t>0.04</t>
        </is>
      </c>
      <c r="L719" s="256" t="inlineStr">
        <is>
          <t>ППК25370</t>
        </is>
      </c>
      <c r="M719" s="256" t="inlineStr">
        <is>
          <t>28.11.2025</t>
        </is>
      </c>
      <c r="N719" s="256" t="inlineStr">
        <is>
          <t>CNP</t>
        </is>
      </c>
      <c r="O719" s="256" t="inlineStr">
        <is>
          <t>24.11.2025</t>
        </is>
      </c>
      <c r="P719" s="256" t="inlineStr">
        <is>
          <t>covered</t>
        </is>
      </c>
      <c r="Q719" s="256" t="inlineStr"/>
      <c r="R719" s="256" t="inlineStr">
        <is>
          <t>&lt;LOQ (220-7-К/26)</t>
        </is>
      </c>
    </row>
    <row r="720">
      <c r="A720" s="256" t="inlineStr">
        <is>
          <t>CoQ-PP_26-032</t>
        </is>
      </c>
      <c r="B720" s="256" t="inlineStr">
        <is>
          <t>release</t>
        </is>
      </c>
      <c r="C720" s="256" t="inlineStr">
        <is>
          <t>CLE072501</t>
        </is>
      </c>
      <c r="D720" s="256" t="inlineStr">
        <is>
          <t>P050282</t>
        </is>
      </c>
      <c r="E720" s="256" t="inlineStr">
        <is>
          <t>Clemosa A Bud</t>
        </is>
      </c>
      <c r="F720" s="256" t="inlineStr">
        <is>
          <t>06.06.2026</t>
        </is>
      </c>
      <c r="G720" s="256" t="inlineStr">
        <is>
          <t>6</t>
        </is>
      </c>
      <c r="H720" s="256" t="inlineStr">
        <is>
          <t>Total CBN</t>
        </is>
      </c>
      <c r="I720" s="256" t="inlineStr">
        <is>
          <t>HPLC — DAB 2018 monograph Cannabis flos, 2.2.29 · CBN + CBNA x 0.876 (CNP, before its Ph. Eur. 3028 accreditation)</t>
        </is>
      </c>
      <c r="J720" s="256" t="inlineStr">
        <is>
          <t>≤ 1.0%, w/w</t>
        </is>
      </c>
      <c r="K720" s="256" t="inlineStr">
        <is>
          <t>&lt; LOQ ᴰ</t>
        </is>
      </c>
      <c r="L720" s="256" t="inlineStr">
        <is>
          <t>ППК25370</t>
        </is>
      </c>
      <c r="M720" s="256" t="inlineStr">
        <is>
          <t>28.11.2025</t>
        </is>
      </c>
      <c r="N720" s="256" t="inlineStr">
        <is>
          <t>CNP</t>
        </is>
      </c>
      <c r="O720" s="256" t="inlineStr">
        <is>
          <t>24.11.2025</t>
        </is>
      </c>
      <c r="P720" s="256" t="inlineStr">
        <is>
          <t>covered</t>
        </is>
      </c>
      <c r="Q720" s="256" t="inlineStr"/>
      <c r="R720" s="256" t="inlineStr"/>
    </row>
    <row r="721">
      <c r="A721" s="256" t="inlineStr">
        <is>
          <t>CoQ-PP_26-032</t>
        </is>
      </c>
      <c r="B721" s="256" t="inlineStr">
        <is>
          <t>release</t>
        </is>
      </c>
      <c r="C721" s="256" t="inlineStr">
        <is>
          <t>CLE072501</t>
        </is>
      </c>
      <c r="D721" s="256" t="inlineStr">
        <is>
          <t>P050282</t>
        </is>
      </c>
      <c r="E721" s="256" t="inlineStr">
        <is>
          <t>Clemosa A Bud</t>
        </is>
      </c>
      <c r="F721" s="256" t="inlineStr">
        <is>
          <t>06.06.2026</t>
        </is>
      </c>
      <c r="G721" s="256" t="inlineStr">
        <is>
          <t>7</t>
        </is>
      </c>
      <c r="H721" s="256" t="inlineStr">
        <is>
          <t>Foreign Matter</t>
        </is>
      </c>
      <c r="I721" s="256" t="inlineStr">
        <is>
          <t>Ph. Eur. 2.8.2 · In-house · интерна</t>
        </is>
      </c>
      <c r="J721" s="256" t="inlineStr">
        <is>
          <t>≤ 2.0% / 25–50 g · &lt; 1 cm leaves | листови, no seeds | без семки</t>
        </is>
      </c>
      <c r="K721" s="256" t="inlineStr">
        <is>
          <t>Conforms | Одговара</t>
        </is>
      </c>
      <c r="L721" s="256" t="inlineStr">
        <is>
          <t>iCoA-PP_26-031</t>
        </is>
      </c>
      <c r="M721" s="256" t="inlineStr">
        <is>
          <t>03.06.2026</t>
        </is>
      </c>
      <c r="N721" s="256" t="inlineStr">
        <is>
          <t>Purely Plant GmbH (in-house)</t>
        </is>
      </c>
      <c r="O721" s="256" t="inlineStr">
        <is>
          <t>—</t>
        </is>
      </c>
      <c r="P721" s="256" t="inlineStr">
        <is>
          <t>to be performed — see route</t>
        </is>
      </c>
      <c r="Q721" s="256" t="inlineStr">
        <is>
          <t>Purely Plant laboratory — iCoA covering Foreign matter</t>
        </is>
      </c>
      <c r="R721" s="256" t="inlineStr"/>
    </row>
    <row r="722">
      <c r="A722" s="256" t="inlineStr">
        <is>
          <t>CoQ-PP_26-032</t>
        </is>
      </c>
      <c r="B722" s="256" t="inlineStr">
        <is>
          <t>release</t>
        </is>
      </c>
      <c r="C722" s="256" t="inlineStr">
        <is>
          <t>CLE072501</t>
        </is>
      </c>
      <c r="D722" s="256" t="inlineStr">
        <is>
          <t>P050282</t>
        </is>
      </c>
      <c r="E722" s="256" t="inlineStr">
        <is>
          <t>Clemosa A Bud</t>
        </is>
      </c>
      <c r="F722" s="256" t="inlineStr">
        <is>
          <t>06.06.2026</t>
        </is>
      </c>
      <c r="G722" s="256" t="inlineStr">
        <is>
          <t>8</t>
        </is>
      </c>
      <c r="H722" s="256" t="inlineStr">
        <is>
          <t>Loss on Drying</t>
        </is>
      </c>
      <c r="I722" s="256" t="inlineStr">
        <is>
          <t>Ph. Eur. 2.2.32 (3028) · at 40 °C, 24 h, 15–25 mbar</t>
        </is>
      </c>
      <c r="J722" s="256" t="inlineStr">
        <is>
          <t>≤ 12.0%</t>
        </is>
      </c>
      <c r="K722" s="256" t="inlineStr">
        <is>
          <t>9.68</t>
        </is>
      </c>
      <c r="L722" s="256" t="inlineStr">
        <is>
          <t>ППК25370</t>
        </is>
      </c>
      <c r="M722" s="256" t="inlineStr">
        <is>
          <t>28.11.2025</t>
        </is>
      </c>
      <c r="N722" s="256" t="inlineStr">
        <is>
          <t>CNP</t>
        </is>
      </c>
      <c r="O722" s="256" t="inlineStr">
        <is>
          <t>24.11.2025</t>
        </is>
      </c>
      <c r="P722" s="256" t="inlineStr">
        <is>
          <t>covered</t>
        </is>
      </c>
      <c r="Q722" s="256" t="inlineStr"/>
      <c r="R722" s="256" t="inlineStr"/>
    </row>
    <row r="723">
      <c r="A723" s="256" t="inlineStr">
        <is>
          <t>CoQ-PP_26-032</t>
        </is>
      </c>
      <c r="B723" s="256" t="inlineStr">
        <is>
          <t>release</t>
        </is>
      </c>
      <c r="C723" s="256" t="inlineStr">
        <is>
          <t>CLE072501</t>
        </is>
      </c>
      <c r="D723" s="256" t="inlineStr">
        <is>
          <t>P050282</t>
        </is>
      </c>
      <c r="E723" s="256" t="inlineStr">
        <is>
          <t>Clemosa A Bud</t>
        </is>
      </c>
      <c r="F723" s="256" t="inlineStr">
        <is>
          <t>06.06.2026</t>
        </is>
      </c>
      <c r="G723" s="256" t="inlineStr">
        <is>
          <t>9.1</t>
        </is>
      </c>
      <c r="H723" s="256" t="inlineStr">
        <is>
          <t>TAMC</t>
        </is>
      </c>
      <c r="I723" s="256" t="inlineStr">
        <is>
          <t>Ph. Eur. 2.6.12 cat. C</t>
        </is>
      </c>
      <c r="J723" s="256" t="inlineStr">
        <is>
          <t>≤ 10⁵ CFU/g</t>
        </is>
      </c>
      <c r="K723" s="256" t="inlineStr">
        <is>
          <t>&lt; 10</t>
        </is>
      </c>
      <c r="L723" s="256" t="inlineStr">
        <is>
          <t>1219/2170/25</t>
        </is>
      </c>
      <c r="M723" s="256" t="inlineStr">
        <is>
          <t>01.12.2025</t>
        </is>
      </c>
      <c r="N723" s="256" t="inlineStr">
        <is>
          <t>IPH — Institute of Public Health</t>
        </is>
      </c>
      <c r="O723" s="256" t="inlineStr">
        <is>
          <t>26.11.2025</t>
        </is>
      </c>
      <c r="P723" s="256" t="inlineStr">
        <is>
          <t>covered</t>
        </is>
      </c>
      <c r="Q723" s="256" t="inlineStr"/>
      <c r="R723" s="256" t="inlineStr"/>
    </row>
    <row r="724">
      <c r="A724" s="256" t="inlineStr">
        <is>
          <t>CoQ-PP_26-032</t>
        </is>
      </c>
      <c r="B724" s="256" t="inlineStr">
        <is>
          <t>release</t>
        </is>
      </c>
      <c r="C724" s="256" t="inlineStr">
        <is>
          <t>CLE072501</t>
        </is>
      </c>
      <c r="D724" s="256" t="inlineStr">
        <is>
          <t>P050282</t>
        </is>
      </c>
      <c r="E724" s="256" t="inlineStr">
        <is>
          <t>Clemosa A Bud</t>
        </is>
      </c>
      <c r="F724" s="256" t="inlineStr">
        <is>
          <t>06.06.2026</t>
        </is>
      </c>
      <c r="G724" s="256" t="inlineStr">
        <is>
          <t>9.2</t>
        </is>
      </c>
      <c r="H724" s="256" t="inlineStr">
        <is>
          <t>TYMC</t>
        </is>
      </c>
      <c r="I724" s="256" t="inlineStr">
        <is>
          <t>Ph. Eur. 2.6.12 cat. C</t>
        </is>
      </c>
      <c r="J724" s="256" t="inlineStr">
        <is>
          <t>≤ 10⁴ CFU/g</t>
        </is>
      </c>
      <c r="K724" s="256" t="inlineStr">
        <is>
          <t>&lt; 10</t>
        </is>
      </c>
      <c r="L724" s="256" t="inlineStr">
        <is>
          <t>1219/2170/25</t>
        </is>
      </c>
      <c r="M724" s="256" t="inlineStr">
        <is>
          <t>01.12.2025</t>
        </is>
      </c>
      <c r="N724" s="256" t="inlineStr">
        <is>
          <t>IPH — Institute of Public Health</t>
        </is>
      </c>
      <c r="O724" s="256" t="inlineStr">
        <is>
          <t>26.11.2025</t>
        </is>
      </c>
      <c r="P724" s="256" t="inlineStr">
        <is>
          <t>covered</t>
        </is>
      </c>
      <c r="Q724" s="256" t="inlineStr"/>
      <c r="R724" s="256" t="inlineStr"/>
    </row>
    <row r="725">
      <c r="A725" s="256" t="inlineStr">
        <is>
          <t>CoQ-PP_26-032</t>
        </is>
      </c>
      <c r="B725" s="256" t="inlineStr">
        <is>
          <t>release</t>
        </is>
      </c>
      <c r="C725" s="256" t="inlineStr">
        <is>
          <t>CLE072501</t>
        </is>
      </c>
      <c r="D725" s="256" t="inlineStr">
        <is>
          <t>P050282</t>
        </is>
      </c>
      <c r="E725" s="256" t="inlineStr">
        <is>
          <t>Clemosa A Bud</t>
        </is>
      </c>
      <c r="F725" s="256" t="inlineStr">
        <is>
          <t>06.06.2026</t>
        </is>
      </c>
      <c r="G725" s="256" t="inlineStr">
        <is>
          <t>9.3</t>
        </is>
      </c>
      <c r="H725" s="256" t="inlineStr">
        <is>
          <t>Bile-tolerant gram-neg.</t>
        </is>
      </c>
      <c r="I725" s="256" t="inlineStr">
        <is>
          <t>Ph. Eur. 2.6.31 cat. C</t>
        </is>
      </c>
      <c r="J725" s="256" t="inlineStr">
        <is>
          <t>≤ 10⁴ CFU/g</t>
        </is>
      </c>
      <c r="K725" s="256" t="inlineStr">
        <is>
          <t>&lt; 10</t>
        </is>
      </c>
      <c r="L725" s="256" t="inlineStr">
        <is>
          <t>1219/2170/25</t>
        </is>
      </c>
      <c r="M725" s="256" t="inlineStr">
        <is>
          <t>01.12.2025</t>
        </is>
      </c>
      <c r="N725" s="256" t="inlineStr">
        <is>
          <t>IPH — Institute of Public Health</t>
        </is>
      </c>
      <c r="O725" s="256" t="inlineStr">
        <is>
          <t>26.11.2025</t>
        </is>
      </c>
      <c r="P725" s="256" t="inlineStr">
        <is>
          <t>covered</t>
        </is>
      </c>
      <c r="Q725" s="256" t="inlineStr"/>
      <c r="R725" s="256" t="inlineStr"/>
    </row>
    <row r="726">
      <c r="A726" s="256" t="inlineStr">
        <is>
          <t>CoQ-PP_26-032</t>
        </is>
      </c>
      <c r="B726" s="256" t="inlineStr">
        <is>
          <t>release</t>
        </is>
      </c>
      <c r="C726" s="256" t="inlineStr">
        <is>
          <t>CLE072501</t>
        </is>
      </c>
      <c r="D726" s="256" t="inlineStr">
        <is>
          <t>P050282</t>
        </is>
      </c>
      <c r="E726" s="256" t="inlineStr">
        <is>
          <t>Clemosa A Bud</t>
        </is>
      </c>
      <c r="F726" s="256" t="inlineStr">
        <is>
          <t>06.06.2026</t>
        </is>
      </c>
      <c r="G726" s="256" t="inlineStr">
        <is>
          <t>9.4</t>
        </is>
      </c>
      <c r="H726" s="256" t="inlineStr">
        <is>
          <t>Salmonella</t>
        </is>
      </c>
      <c r="I726" s="256" t="inlineStr">
        <is>
          <t>Ph. Eur. 2.6.31 cat. C</t>
        </is>
      </c>
      <c r="J726" s="256" t="inlineStr">
        <is>
          <t>Absence | Отсуство / 25 g</t>
        </is>
      </c>
      <c r="K726" s="256" t="inlineStr">
        <is>
          <t>Absent | Отсутна</t>
        </is>
      </c>
      <c r="L726" s="256" t="inlineStr">
        <is>
          <t>1219/2170/25</t>
        </is>
      </c>
      <c r="M726" s="256" t="inlineStr">
        <is>
          <t>01.12.2025</t>
        </is>
      </c>
      <c r="N726" s="256" t="inlineStr">
        <is>
          <t>IPH — Institute of Public Health</t>
        </is>
      </c>
      <c r="O726" s="256" t="inlineStr">
        <is>
          <t>26.11.2025</t>
        </is>
      </c>
      <c r="P726" s="256" t="inlineStr">
        <is>
          <t>covered</t>
        </is>
      </c>
      <c r="Q726" s="256" t="inlineStr"/>
      <c r="R726" s="256" t="inlineStr"/>
    </row>
    <row r="727">
      <c r="A727" s="256" t="inlineStr">
        <is>
          <t>CoQ-PP_26-032</t>
        </is>
      </c>
      <c r="B727" s="256" t="inlineStr">
        <is>
          <t>release</t>
        </is>
      </c>
      <c r="C727" s="256" t="inlineStr">
        <is>
          <t>CLE072501</t>
        </is>
      </c>
      <c r="D727" s="256" t="inlineStr">
        <is>
          <t>P050282</t>
        </is>
      </c>
      <c r="E727" s="256" t="inlineStr">
        <is>
          <t>Clemosa A Bud</t>
        </is>
      </c>
      <c r="F727" s="256" t="inlineStr">
        <is>
          <t>06.06.2026</t>
        </is>
      </c>
      <c r="G727" s="256" t="inlineStr">
        <is>
          <t>9.5</t>
        </is>
      </c>
      <c r="H727" s="256" t="inlineStr">
        <is>
          <t>Escherichia coli</t>
        </is>
      </c>
      <c r="I727" s="256" t="inlineStr">
        <is>
          <t>Ph. Eur. 2.6.13 cat. C</t>
        </is>
      </c>
      <c r="J727" s="256" t="inlineStr">
        <is>
          <t>Absence | Отсуство / 1 g</t>
        </is>
      </c>
      <c r="K727" s="256" t="inlineStr">
        <is>
          <t>Absent | Отсутна</t>
        </is>
      </c>
      <c r="L727" s="256" t="inlineStr">
        <is>
          <t>1219/2170/25</t>
        </is>
      </c>
      <c r="M727" s="256" t="inlineStr">
        <is>
          <t>01.12.2025</t>
        </is>
      </c>
      <c r="N727" s="256" t="inlineStr">
        <is>
          <t>IPH — Institute of Public Health</t>
        </is>
      </c>
      <c r="O727" s="256" t="inlineStr">
        <is>
          <t>26.11.2025</t>
        </is>
      </c>
      <c r="P727" s="256" t="inlineStr">
        <is>
          <t>covered</t>
        </is>
      </c>
      <c r="Q727" s="256" t="inlineStr"/>
      <c r="R727" s="256" t="inlineStr"/>
    </row>
    <row r="728">
      <c r="A728" s="256" t="inlineStr">
        <is>
          <t>CoQ-PP_26-032</t>
        </is>
      </c>
      <c r="B728" s="256" t="inlineStr">
        <is>
          <t>release</t>
        </is>
      </c>
      <c r="C728" s="256" t="inlineStr">
        <is>
          <t>CLE072501</t>
        </is>
      </c>
      <c r="D728" s="256" t="inlineStr">
        <is>
          <t>P050282</t>
        </is>
      </c>
      <c r="E728" s="256" t="inlineStr">
        <is>
          <t>Clemosa A Bud</t>
        </is>
      </c>
      <c r="F728" s="256" t="inlineStr">
        <is>
          <t>06.06.2026</t>
        </is>
      </c>
      <c r="G728" s="256" t="inlineStr">
        <is>
          <t>9.6</t>
        </is>
      </c>
      <c r="H728" s="256" t="inlineStr">
        <is>
          <t>Pseudomonas aeruginosa</t>
        </is>
      </c>
      <c r="I728" s="256" t="inlineStr">
        <is>
          <t>Ph. Eur. 2.6.13 cat. C</t>
        </is>
      </c>
      <c r="J728" s="256" t="inlineStr">
        <is>
          <t>Absence | Отсуство / 1 g</t>
        </is>
      </c>
      <c r="K728" s="260" t="inlineStr">
        <is>
          <t>upon request — not required for release</t>
        </is>
      </c>
      <c r="L728" s="256" t="inlineStr">
        <is>
          <t>—</t>
        </is>
      </c>
      <c r="M728" s="256" t="inlineStr">
        <is>
          <t>—</t>
        </is>
      </c>
      <c r="N728" s="256" t="inlineStr">
        <is>
          <t>—</t>
        </is>
      </c>
      <c r="O728" s="256" t="inlineStr">
        <is>
          <t>—</t>
        </is>
      </c>
      <c r="P728" s="256" t="inlineStr">
        <is>
          <t>upon request — not required for release</t>
        </is>
      </c>
      <c r="Q728" s="256" t="inlineStr"/>
      <c r="R728" s="256" t="inlineStr"/>
    </row>
    <row r="729">
      <c r="A729" s="256" t="inlineStr">
        <is>
          <t>CoQ-PP_26-032</t>
        </is>
      </c>
      <c r="B729" s="256" t="inlineStr">
        <is>
          <t>release</t>
        </is>
      </c>
      <c r="C729" s="256" t="inlineStr">
        <is>
          <t>CLE072501</t>
        </is>
      </c>
      <c r="D729" s="256" t="inlineStr">
        <is>
          <t>P050282</t>
        </is>
      </c>
      <c r="E729" s="256" t="inlineStr">
        <is>
          <t>Clemosa A Bud</t>
        </is>
      </c>
      <c r="F729" s="256" t="inlineStr">
        <is>
          <t>06.06.2026</t>
        </is>
      </c>
      <c r="G729" s="256" t="inlineStr">
        <is>
          <t>9.7</t>
        </is>
      </c>
      <c r="H729" s="256" t="inlineStr">
        <is>
          <t>Staphylococcus aureus</t>
        </is>
      </c>
      <c r="I729" s="256" t="inlineStr">
        <is>
          <t>Ph. Eur. 2.6.13 cat. C</t>
        </is>
      </c>
      <c r="J729" s="256" t="inlineStr">
        <is>
          <t>Absence | Отсуство / 1 g</t>
        </is>
      </c>
      <c r="K729" s="260" t="inlineStr">
        <is>
          <t>upon request — not required for release</t>
        </is>
      </c>
      <c r="L729" s="256" t="inlineStr">
        <is>
          <t>—</t>
        </is>
      </c>
      <c r="M729" s="256" t="inlineStr">
        <is>
          <t>—</t>
        </is>
      </c>
      <c r="N729" s="256" t="inlineStr">
        <is>
          <t>—</t>
        </is>
      </c>
      <c r="O729" s="256" t="inlineStr">
        <is>
          <t>—</t>
        </is>
      </c>
      <c r="P729" s="256" t="inlineStr">
        <is>
          <t>upon request — not required for release</t>
        </is>
      </c>
      <c r="Q729" s="256" t="inlineStr"/>
      <c r="R729" s="256" t="inlineStr"/>
    </row>
    <row r="730">
      <c r="A730" s="256" t="inlineStr">
        <is>
          <t>CoQ-PP_26-032</t>
        </is>
      </c>
      <c r="B730" s="256" t="inlineStr">
        <is>
          <t>release</t>
        </is>
      </c>
      <c r="C730" s="256" t="inlineStr">
        <is>
          <t>CLE072501</t>
        </is>
      </c>
      <c r="D730" s="256" t="inlineStr">
        <is>
          <t>P050282</t>
        </is>
      </c>
      <c r="E730" s="256" t="inlineStr">
        <is>
          <t>Clemosa A Bud</t>
        </is>
      </c>
      <c r="F730" s="256" t="inlineStr">
        <is>
          <t>06.06.2026</t>
        </is>
      </c>
      <c r="G730" s="256" t="inlineStr">
        <is>
          <t>10.1</t>
        </is>
      </c>
      <c r="H730" s="256" t="inlineStr">
        <is>
          <t>Aflatoxin B₁</t>
        </is>
      </c>
      <c r="I730" s="256" t="inlineStr">
        <is>
          <t>Ph. Eur. 2.8.18 (HPLC-FLD)</t>
        </is>
      </c>
      <c r="J730" s="256" t="inlineStr">
        <is>
          <t>≤ 2 µg/kg</t>
        </is>
      </c>
      <c r="K730" s="259" t="inlineStr">
        <is>
          <t>not tested</t>
        </is>
      </c>
      <c r="L730" s="256" t="inlineStr">
        <is>
          <t>—</t>
        </is>
      </c>
      <c r="M730" s="256" t="inlineStr">
        <is>
          <t>—</t>
        </is>
      </c>
      <c r="N730" s="256" t="inlineStr">
        <is>
          <t>—</t>
        </is>
      </c>
      <c r="O730" s="256" t="inlineStr">
        <is>
          <t>—</t>
        </is>
      </c>
      <c r="P730" s="256" t="inlineStr">
        <is>
          <t>not tested — no certificate covers it</t>
        </is>
      </c>
      <c r="Q730" s="256" t="inlineStr"/>
      <c r="R730" s="256" t="inlineStr">
        <is>
          <t>ND (220-7-М/26)</t>
        </is>
      </c>
    </row>
    <row r="731">
      <c r="A731" s="256" t="inlineStr">
        <is>
          <t>CoQ-PP_26-032</t>
        </is>
      </c>
      <c r="B731" s="256" t="inlineStr">
        <is>
          <t>release</t>
        </is>
      </c>
      <c r="C731" s="256" t="inlineStr">
        <is>
          <t>CLE072501</t>
        </is>
      </c>
      <c r="D731" s="256" t="inlineStr">
        <is>
          <t>P050282</t>
        </is>
      </c>
      <c r="E731" s="256" t="inlineStr">
        <is>
          <t>Clemosa A Bud</t>
        </is>
      </c>
      <c r="F731" s="256" t="inlineStr">
        <is>
          <t>06.06.2026</t>
        </is>
      </c>
      <c r="G731" s="256" t="inlineStr">
        <is>
          <t>10.2</t>
        </is>
      </c>
      <c r="H731" s="256" t="inlineStr">
        <is>
          <t>Aflatoxins ∑</t>
        </is>
      </c>
      <c r="I731" s="256" t="inlineStr">
        <is>
          <t>Ph. Eur. 2.8.18 (HPLC-FLD)</t>
        </is>
      </c>
      <c r="J731" s="256" t="inlineStr">
        <is>
          <t>≤ 4 µg/kg</t>
        </is>
      </c>
      <c r="K731" s="256" t="inlineStr">
        <is>
          <t>2.2</t>
        </is>
      </c>
      <c r="L731" s="256" t="inlineStr">
        <is>
          <t>5700/2025</t>
        </is>
      </c>
      <c r="M731" s="256" t="inlineStr">
        <is>
          <t>02.12.2025</t>
        </is>
      </c>
      <c r="N731" s="256" t="inlineStr">
        <is>
          <t>IPH — Institute of Public Health</t>
        </is>
      </c>
      <c r="O731" s="256" t="inlineStr">
        <is>
          <t>24.11.2025</t>
        </is>
      </c>
      <c r="P731" s="256" t="inlineStr">
        <is>
          <t>covered</t>
        </is>
      </c>
      <c r="Q731" s="256" t="inlineStr"/>
      <c r="R731" s="256" t="inlineStr">
        <is>
          <t>ND (220-7-М/26)</t>
        </is>
      </c>
    </row>
    <row r="732">
      <c r="A732" s="256" t="inlineStr">
        <is>
          <t>CoQ-PP_26-032</t>
        </is>
      </c>
      <c r="B732" s="256" t="inlineStr">
        <is>
          <t>release</t>
        </is>
      </c>
      <c r="C732" s="256" t="inlineStr">
        <is>
          <t>CLE072501</t>
        </is>
      </c>
      <c r="D732" s="256" t="inlineStr">
        <is>
          <t>P050282</t>
        </is>
      </c>
      <c r="E732" s="256" t="inlineStr">
        <is>
          <t>Clemosa A Bud</t>
        </is>
      </c>
      <c r="F732" s="256" t="inlineStr">
        <is>
          <t>06.06.2026</t>
        </is>
      </c>
      <c r="G732" s="256" t="inlineStr">
        <is>
          <t>10.3</t>
        </is>
      </c>
      <c r="H732" s="256" t="inlineStr">
        <is>
          <t>Ochratoxin A</t>
        </is>
      </c>
      <c r="I732" s="256" t="inlineStr">
        <is>
          <t>Ph. Eur. 2.8.22 (HPLC-FLD)</t>
        </is>
      </c>
      <c r="J732" s="256" t="inlineStr">
        <is>
          <t>≤ 20 µg/kg</t>
        </is>
      </c>
      <c r="K732" s="259" t="inlineStr">
        <is>
          <t>not tested</t>
        </is>
      </c>
      <c r="L732" s="256" t="inlineStr">
        <is>
          <t>—</t>
        </is>
      </c>
      <c r="M732" s="256" t="inlineStr">
        <is>
          <t>—</t>
        </is>
      </c>
      <c r="N732" s="256" t="inlineStr">
        <is>
          <t>—</t>
        </is>
      </c>
      <c r="O732" s="256" t="inlineStr">
        <is>
          <t>—</t>
        </is>
      </c>
      <c r="P732" s="256" t="inlineStr">
        <is>
          <t>not tested — no certificate covers it</t>
        </is>
      </c>
      <c r="Q732" s="256" t="inlineStr"/>
      <c r="R732" s="256" t="inlineStr">
        <is>
          <t>ND (220-7-М/26)</t>
        </is>
      </c>
    </row>
    <row r="733">
      <c r="A733" s="256" t="inlineStr">
        <is>
          <t>CoQ-PP_26-032</t>
        </is>
      </c>
      <c r="B733" s="256" t="inlineStr">
        <is>
          <t>release</t>
        </is>
      </c>
      <c r="C733" s="256" t="inlineStr">
        <is>
          <t>CLE072501</t>
        </is>
      </c>
      <c r="D733" s="256" t="inlineStr">
        <is>
          <t>P050282</t>
        </is>
      </c>
      <c r="E733" s="256" t="inlineStr">
        <is>
          <t>Clemosa A Bud</t>
        </is>
      </c>
      <c r="F733" s="256" t="inlineStr">
        <is>
          <t>06.06.2026</t>
        </is>
      </c>
      <c r="G733" s="256" t="inlineStr">
        <is>
          <t>11.1</t>
        </is>
      </c>
      <c r="H733" s="256" t="inlineStr">
        <is>
          <t>Lead (Pb)</t>
        </is>
      </c>
      <c r="I733" s="256" t="inlineStr">
        <is>
          <t>Ph. Eur. 2.4.27 (ICP-MS)</t>
        </is>
      </c>
      <c r="J733" s="256" t="inlineStr">
        <is>
          <t>≤ 0.5 mg/kg</t>
        </is>
      </c>
      <c r="K733" s="256" t="inlineStr">
        <is>
          <t>0.032</t>
        </is>
      </c>
      <c r="L733" s="256" t="inlineStr">
        <is>
          <t>5700/2025</t>
        </is>
      </c>
      <c r="M733" s="256" t="inlineStr">
        <is>
          <t>02.12.2025</t>
        </is>
      </c>
      <c r="N733" s="256" t="inlineStr">
        <is>
          <t>IPH — Institute of Public Health</t>
        </is>
      </c>
      <c r="O733" s="256" t="inlineStr">
        <is>
          <t>24.11.2025</t>
        </is>
      </c>
      <c r="P733" s="256" t="inlineStr">
        <is>
          <t>covered</t>
        </is>
      </c>
      <c r="Q733" s="256" t="inlineStr"/>
      <c r="R733" s="256" t="inlineStr"/>
    </row>
    <row r="734">
      <c r="A734" s="256" t="inlineStr">
        <is>
          <t>CoQ-PP_26-032</t>
        </is>
      </c>
      <c r="B734" s="256" t="inlineStr">
        <is>
          <t>release</t>
        </is>
      </c>
      <c r="C734" s="256" t="inlineStr">
        <is>
          <t>CLE072501</t>
        </is>
      </c>
      <c r="D734" s="256" t="inlineStr">
        <is>
          <t>P050282</t>
        </is>
      </c>
      <c r="E734" s="256" t="inlineStr">
        <is>
          <t>Clemosa A Bud</t>
        </is>
      </c>
      <c r="F734" s="256" t="inlineStr">
        <is>
          <t>06.06.2026</t>
        </is>
      </c>
      <c r="G734" s="256" t="inlineStr">
        <is>
          <t>11.2</t>
        </is>
      </c>
      <c r="H734" s="256" t="inlineStr">
        <is>
          <t>Cadmium (Cd)</t>
        </is>
      </c>
      <c r="I734" s="256" t="inlineStr">
        <is>
          <t>Ph. Eur. 2.4.27 (ICP-MS)</t>
        </is>
      </c>
      <c r="J734" s="256" t="inlineStr">
        <is>
          <t>≤ 0.3 mg/kg</t>
        </is>
      </c>
      <c r="K734" s="256" t="inlineStr">
        <is>
          <t>0.002</t>
        </is>
      </c>
      <c r="L734" s="256" t="inlineStr">
        <is>
          <t>5700/2025</t>
        </is>
      </c>
      <c r="M734" s="256" t="inlineStr">
        <is>
          <t>02.12.2025</t>
        </is>
      </c>
      <c r="N734" s="256" t="inlineStr">
        <is>
          <t>IPH — Institute of Public Health</t>
        </is>
      </c>
      <c r="O734" s="256" t="inlineStr">
        <is>
          <t>24.11.2025</t>
        </is>
      </c>
      <c r="P734" s="256" t="inlineStr">
        <is>
          <t>covered</t>
        </is>
      </c>
      <c r="Q734" s="256" t="inlineStr"/>
      <c r="R734" s="256" t="inlineStr"/>
    </row>
    <row r="735">
      <c r="A735" s="256" t="inlineStr">
        <is>
          <t>CoQ-PP_26-032</t>
        </is>
      </c>
      <c r="B735" s="256" t="inlineStr">
        <is>
          <t>release</t>
        </is>
      </c>
      <c r="C735" s="256" t="inlineStr">
        <is>
          <t>CLE072501</t>
        </is>
      </c>
      <c r="D735" s="256" t="inlineStr">
        <is>
          <t>P050282</t>
        </is>
      </c>
      <c r="E735" s="256" t="inlineStr">
        <is>
          <t>Clemosa A Bud</t>
        </is>
      </c>
      <c r="F735" s="256" t="inlineStr">
        <is>
          <t>06.06.2026</t>
        </is>
      </c>
      <c r="G735" s="256" t="inlineStr">
        <is>
          <t>11.3</t>
        </is>
      </c>
      <c r="H735" s="256" t="inlineStr">
        <is>
          <t>Arsenic (As)</t>
        </is>
      </c>
      <c r="I735" s="256" t="inlineStr">
        <is>
          <t>Ph. Eur. 2.4.27 (ICP-MS)</t>
        </is>
      </c>
      <c r="J735" s="256" t="inlineStr">
        <is>
          <t>≤ 0.2 mg/kg</t>
        </is>
      </c>
      <c r="K735" s="256" t="inlineStr">
        <is>
          <t>0.013</t>
        </is>
      </c>
      <c r="L735" s="256" t="inlineStr">
        <is>
          <t>5700/2025</t>
        </is>
      </c>
      <c r="M735" s="256" t="inlineStr">
        <is>
          <t>02.12.2025</t>
        </is>
      </c>
      <c r="N735" s="256" t="inlineStr">
        <is>
          <t>IPH — Institute of Public Health</t>
        </is>
      </c>
      <c r="O735" s="256" t="inlineStr">
        <is>
          <t>24.11.2025</t>
        </is>
      </c>
      <c r="P735" s="256" t="inlineStr">
        <is>
          <t>covered</t>
        </is>
      </c>
      <c r="Q735" s="256" t="inlineStr"/>
      <c r="R735" s="256" t="inlineStr"/>
    </row>
    <row r="736">
      <c r="A736" s="256" t="inlineStr">
        <is>
          <t>CoQ-PP_26-032</t>
        </is>
      </c>
      <c r="B736" s="256" t="inlineStr">
        <is>
          <t>release</t>
        </is>
      </c>
      <c r="C736" s="256" t="inlineStr">
        <is>
          <t>CLE072501</t>
        </is>
      </c>
      <c r="D736" s="256" t="inlineStr">
        <is>
          <t>P050282</t>
        </is>
      </c>
      <c r="E736" s="256" t="inlineStr">
        <is>
          <t>Clemosa A Bud</t>
        </is>
      </c>
      <c r="F736" s="256" t="inlineStr">
        <is>
          <t>06.06.2026</t>
        </is>
      </c>
      <c r="G736" s="256" t="inlineStr">
        <is>
          <t>11.4</t>
        </is>
      </c>
      <c r="H736" s="256" t="inlineStr">
        <is>
          <t>Mercury (Hg)</t>
        </is>
      </c>
      <c r="I736" s="256" t="inlineStr">
        <is>
          <t>Ph. Eur. 2.4.27 (ICP-MS)</t>
        </is>
      </c>
      <c r="J736" s="256" t="inlineStr">
        <is>
          <t>≤ 0.1 mg/kg</t>
        </is>
      </c>
      <c r="K736" s="256" t="inlineStr">
        <is>
          <t>0.021</t>
        </is>
      </c>
      <c r="L736" s="256" t="inlineStr">
        <is>
          <t>5700/2025</t>
        </is>
      </c>
      <c r="M736" s="256" t="inlineStr">
        <is>
          <t>02.12.2025</t>
        </is>
      </c>
      <c r="N736" s="256" t="inlineStr">
        <is>
          <t>IPH — Institute of Public Health</t>
        </is>
      </c>
      <c r="O736" s="256" t="inlineStr">
        <is>
          <t>24.11.2025</t>
        </is>
      </c>
      <c r="P736" s="256" t="inlineStr">
        <is>
          <t>covered</t>
        </is>
      </c>
      <c r="Q736" s="256" t="inlineStr"/>
      <c r="R736" s="256" t="inlineStr"/>
    </row>
    <row r="737">
      <c r="A737" s="256" t="inlineStr">
        <is>
          <t>CoQ-PP_26-032</t>
        </is>
      </c>
      <c r="B737" s="256" t="inlineStr">
        <is>
          <t>release</t>
        </is>
      </c>
      <c r="C737" s="256" t="inlineStr">
        <is>
          <t>CLE072501</t>
        </is>
      </c>
      <c r="D737" s="256" t="inlineStr">
        <is>
          <t>P050282</t>
        </is>
      </c>
      <c r="E737" s="256" t="inlineStr">
        <is>
          <t>Clemosa A Bud</t>
        </is>
      </c>
      <c r="F737" s="256" t="inlineStr">
        <is>
          <t>06.06.2026</t>
        </is>
      </c>
      <c r="G737" s="256" t="inlineStr">
        <is>
          <t>12</t>
        </is>
      </c>
      <c r="H737" s="256" t="inlineStr">
        <is>
          <t>Pesticide Residues</t>
        </is>
      </c>
      <c r="I737" s="256" t="inlineStr">
        <is>
          <t>Ph. Eur. 2.8.13 (LC-MS/MS) · CUMCS Equivalency</t>
        </is>
      </c>
      <c r="J737" s="256" t="inlineStr">
        <is>
          <t>≤ LOQ as per Ph. Eur. 2.8.13 · ≤ LOQ as per CUMCS Equivalency</t>
        </is>
      </c>
      <c r="K737" s="256" t="inlineStr">
        <is>
          <t>ND</t>
        </is>
      </c>
      <c r="L737" s="256" t="inlineStr">
        <is>
          <t>5700/2025</t>
        </is>
      </c>
      <c r="M737" s="256" t="inlineStr">
        <is>
          <t>02.12.2025</t>
        </is>
      </c>
      <c r="N737" s="256" t="inlineStr">
        <is>
          <t>IPH — Institute of Public Health</t>
        </is>
      </c>
      <c r="O737" s="256" t="inlineStr">
        <is>
          <t>24.11.2025</t>
        </is>
      </c>
      <c r="P737" s="256" t="inlineStr">
        <is>
          <t>covered</t>
        </is>
      </c>
      <c r="Q737" s="256" t="inlineStr"/>
      <c r="R737" s="256" t="inlineStr"/>
    </row>
    <row r="738">
      <c r="A738" s="256" t="inlineStr">
        <is>
          <t>CoQ-PP_26-033</t>
        </is>
      </c>
      <c r="B738" s="256" t="inlineStr">
        <is>
          <t>release</t>
        </is>
      </c>
      <c r="C738" s="256" t="inlineStr">
        <is>
          <t>GP072501-1</t>
        </is>
      </c>
      <c r="D738" s="256" t="inlineStr">
        <is>
          <t>P050292</t>
        </is>
      </c>
      <c r="E738" s="256" t="inlineStr">
        <is>
          <t>Grape Pie</t>
        </is>
      </c>
      <c r="F738" s="256" t="inlineStr">
        <is>
          <t>06.06.2026</t>
        </is>
      </c>
      <c r="G738" s="256" t="inlineStr">
        <is>
          <t>1</t>
        </is>
      </c>
      <c r="H738" s="256" t="inlineStr">
        <is>
          <t>Identification A, Appearance · Macroscopic</t>
        </is>
      </c>
      <c r="I738" s="256" t="inlineStr">
        <is>
          <t>Ph. Eur. mon. 3028</t>
        </is>
      </c>
      <c r="J738" s="256" t="inlineStr">
        <is>
          <t>Conforms to the monograph for Cannabis flos (07/2024:3028) in Ph. Eur. 11.0 | Согласно монографија за Cannabis flos (07/2024:3028) во Ph. Eur. 11.0</t>
        </is>
      </c>
      <c r="K738" s="256" t="inlineStr">
        <is>
          <t>Conforms | Одговара</t>
        </is>
      </c>
      <c r="L738" s="256" t="inlineStr">
        <is>
          <t>iCoA-PP_26-032</t>
        </is>
      </c>
      <c r="M738" s="256" t="inlineStr">
        <is>
          <t>03.06.2026</t>
        </is>
      </c>
      <c r="N738" s="256" t="inlineStr">
        <is>
          <t>Purely Plant GmbH (in-house)</t>
        </is>
      </c>
      <c r="O738" s="256" t="inlineStr">
        <is>
          <t>—</t>
        </is>
      </c>
      <c r="P738" s="256" t="inlineStr">
        <is>
          <t>to be performed — see route</t>
        </is>
      </c>
      <c r="Q738" s="256" t="inlineStr">
        <is>
          <t>Purely Plant laboratory — iCoA covering Ident A + B</t>
        </is>
      </c>
      <c r="R738" s="256" t="inlineStr"/>
    </row>
    <row r="739">
      <c r="A739" s="256" t="inlineStr">
        <is>
          <t>CoQ-PP_26-033</t>
        </is>
      </c>
      <c r="B739" s="256" t="inlineStr">
        <is>
          <t>release</t>
        </is>
      </c>
      <c r="C739" s="256" t="inlineStr">
        <is>
          <t>GP072501-1</t>
        </is>
      </c>
      <c r="D739" s="256" t="inlineStr">
        <is>
          <t>P050292</t>
        </is>
      </c>
      <c r="E739" s="256" t="inlineStr">
        <is>
          <t>Grape Pie</t>
        </is>
      </c>
      <c r="F739" s="256" t="inlineStr">
        <is>
          <t>06.06.2026</t>
        </is>
      </c>
      <c r="G739" s="256" t="inlineStr">
        <is>
          <t>2</t>
        </is>
      </c>
      <c r="H739" s="256" t="inlineStr">
        <is>
          <t>Identification B · Microscopic</t>
        </is>
      </c>
      <c r="I739" s="256" t="inlineStr">
        <is>
          <t>Ph. Eur. 2.8.23 (microscopy)</t>
        </is>
      </c>
      <c r="J739" s="256" t="inlineStr">
        <is>
          <t>Conforms to the monograph for Cannabis flos (07/2024:3028) in Ph. Eur. 11.0 | Согласно монографија за Cannabis flos (07/2024:3028) во Ph. Eur. 11.0</t>
        </is>
      </c>
      <c r="K739" s="256" t="inlineStr">
        <is>
          <t>Conforms | Одговара</t>
        </is>
      </c>
      <c r="L739" s="256" t="inlineStr">
        <is>
          <t>iCoA-PP_26-032</t>
        </is>
      </c>
      <c r="M739" s="256" t="inlineStr">
        <is>
          <t>03.06.2026</t>
        </is>
      </c>
      <c r="N739" s="256" t="inlineStr">
        <is>
          <t>Purely Plant GmbH (in-house)</t>
        </is>
      </c>
      <c r="O739" s="256" t="inlineStr">
        <is>
          <t>—</t>
        </is>
      </c>
      <c r="P739" s="256" t="inlineStr">
        <is>
          <t>to be performed — see route</t>
        </is>
      </c>
      <c r="Q739" s="256" t="inlineStr">
        <is>
          <t>Purely Plant laboratory — iCoA covering Ident A + B</t>
        </is>
      </c>
      <c r="R739" s="256" t="inlineStr"/>
    </row>
    <row r="740">
      <c r="A740" s="256" t="inlineStr">
        <is>
          <t>CoQ-PP_26-033</t>
        </is>
      </c>
      <c r="B740" s="256" t="inlineStr">
        <is>
          <t>release</t>
        </is>
      </c>
      <c r="C740" s="256" t="inlineStr">
        <is>
          <t>GP072501-1</t>
        </is>
      </c>
      <c r="D740" s="256" t="inlineStr">
        <is>
          <t>P050292</t>
        </is>
      </c>
      <c r="E740" s="256" t="inlineStr">
        <is>
          <t>Grape Pie</t>
        </is>
      </c>
      <c r="F740" s="256" t="inlineStr">
        <is>
          <t>06.06.2026</t>
        </is>
      </c>
      <c r="G740" s="256" t="inlineStr">
        <is>
          <t>3</t>
        </is>
      </c>
      <c r="H740" s="256" t="inlineStr">
        <is>
          <t>Identification C · HPLC/HPTLC</t>
        </is>
      </c>
      <c r="I740" s="256" t="inlineStr">
        <is>
          <t>Ph. Eur. 2.2.29 (3028)</t>
        </is>
      </c>
      <c r="J740" s="256" t="inlineStr">
        <is>
          <t>Conforms to the monograph for Cannabis flos (07/2024:3028) in Ph. Eur. 11.0 | Согласно монографија за Cannabis flos (07/2024:3028) во Ph. Eur. 11.0</t>
        </is>
      </c>
      <c r="K740" s="256" t="inlineStr">
        <is>
          <t>Conforms | Одговара</t>
        </is>
      </c>
      <c r="L740" s="256" t="inlineStr">
        <is>
          <t>ППК25378</t>
        </is>
      </c>
      <c r="M740" s="256" t="inlineStr">
        <is>
          <t>12.12.2025</t>
        </is>
      </c>
      <c r="N740" s="256" t="inlineStr">
        <is>
          <t>UKIM Faculty of Pharmacy — Center for Natural Products</t>
        </is>
      </c>
      <c r="O740" s="256" t="inlineStr">
        <is>
          <t>01.12.2025</t>
        </is>
      </c>
      <c r="P740" s="256" t="inlineStr">
        <is>
          <t>covered</t>
        </is>
      </c>
      <c r="Q740" s="256" t="inlineStr"/>
      <c r="R740" s="256" t="inlineStr"/>
    </row>
    <row r="741">
      <c r="A741" s="256" t="inlineStr">
        <is>
          <t>CoQ-PP_26-033</t>
        </is>
      </c>
      <c r="B741" s="256" t="inlineStr">
        <is>
          <t>release</t>
        </is>
      </c>
      <c r="C741" s="256" t="inlineStr">
        <is>
          <t>GP072501-1</t>
        </is>
      </c>
      <c r="D741" s="256" t="inlineStr">
        <is>
          <t>P050292</t>
        </is>
      </c>
      <c r="E741" s="256" t="inlineStr">
        <is>
          <t>Grape Pie</t>
        </is>
      </c>
      <c r="F741" s="256" t="inlineStr">
        <is>
          <t>06.06.2026</t>
        </is>
      </c>
      <c r="G741" s="256" t="inlineStr">
        <is>
          <t>4</t>
        </is>
      </c>
      <c r="H741" s="256" t="inlineStr">
        <is>
          <t>Assay — Total Δ⁹-THC</t>
        </is>
      </c>
      <c r="I741" s="256" t="inlineStr">
        <is>
          <t>Ph. Eur. 2.2.29 (HPLC)</t>
        </is>
      </c>
      <c r="J741" s="256" t="inlineStr">
        <is>
          <t>18.00 – 21.99 %  (grade III, nominal 20.00 ± 2.00)</t>
        </is>
      </c>
      <c r="K741" s="256" t="inlineStr">
        <is>
          <t>21.36</t>
        </is>
      </c>
      <c r="L741" s="256" t="inlineStr">
        <is>
          <t>ППК25378</t>
        </is>
      </c>
      <c r="M741" s="256" t="inlineStr">
        <is>
          <t>12.12.2025</t>
        </is>
      </c>
      <c r="N741" s="256" t="inlineStr">
        <is>
          <t>UKIM Faculty of Pharmacy — Center for Natural Products</t>
        </is>
      </c>
      <c r="O741" s="256" t="inlineStr">
        <is>
          <t>01.12.2025</t>
        </is>
      </c>
      <c r="P741" s="256" t="inlineStr">
        <is>
          <t>covered</t>
        </is>
      </c>
      <c r="Q741" s="256" t="inlineStr"/>
      <c r="R741" s="256" t="inlineStr">
        <is>
          <t>26.54 (227-17-К/26)</t>
        </is>
      </c>
    </row>
    <row r="742">
      <c r="A742" s="256" t="inlineStr">
        <is>
          <t>CoQ-PP_26-033</t>
        </is>
      </c>
      <c r="B742" s="256" t="inlineStr">
        <is>
          <t>release</t>
        </is>
      </c>
      <c r="C742" s="256" t="inlineStr">
        <is>
          <t>GP072501-1</t>
        </is>
      </c>
      <c r="D742" s="256" t="inlineStr">
        <is>
          <t>P050292</t>
        </is>
      </c>
      <c r="E742" s="256" t="inlineStr">
        <is>
          <t>Grape Pie</t>
        </is>
      </c>
      <c r="F742" s="256" t="inlineStr">
        <is>
          <t>06.06.2026</t>
        </is>
      </c>
      <c r="G742" s="256" t="inlineStr">
        <is>
          <t>5</t>
        </is>
      </c>
      <c r="H742" s="256" t="inlineStr">
        <is>
          <t>Assay — Total CBD</t>
        </is>
      </c>
      <c r="I742" s="256" t="inlineStr">
        <is>
          <t>Ph. Eur. 2.2.29 (HPLC) · CBD + CBDA x 0.877</t>
        </is>
      </c>
      <c r="J742" s="256" t="inlineStr">
        <is>
          <t>≤ 1.0%, w/w</t>
        </is>
      </c>
      <c r="K742" s="256" t="inlineStr">
        <is>
          <t>0.11</t>
        </is>
      </c>
      <c r="L742" s="256" t="inlineStr">
        <is>
          <t>ППК25378</t>
        </is>
      </c>
      <c r="M742" s="256" t="inlineStr">
        <is>
          <t>12.12.2025</t>
        </is>
      </c>
      <c r="N742" s="256" t="inlineStr">
        <is>
          <t>UKIM Faculty of Pharmacy — Center for Natural Products</t>
        </is>
      </c>
      <c r="O742" s="256" t="inlineStr">
        <is>
          <t>01.12.2025</t>
        </is>
      </c>
      <c r="P742" s="256" t="inlineStr">
        <is>
          <t>covered</t>
        </is>
      </c>
      <c r="Q742" s="256" t="inlineStr"/>
      <c r="R742" s="256" t="inlineStr">
        <is>
          <t>&lt;LOQ (227-17-К/26)</t>
        </is>
      </c>
    </row>
    <row r="743">
      <c r="A743" s="256" t="inlineStr">
        <is>
          <t>CoQ-PP_26-033</t>
        </is>
      </c>
      <c r="B743" s="256" t="inlineStr">
        <is>
          <t>release</t>
        </is>
      </c>
      <c r="C743" s="256" t="inlineStr">
        <is>
          <t>GP072501-1</t>
        </is>
      </c>
      <c r="D743" s="256" t="inlineStr">
        <is>
          <t>P050292</t>
        </is>
      </c>
      <c r="E743" s="256" t="inlineStr">
        <is>
          <t>Grape Pie</t>
        </is>
      </c>
      <c r="F743" s="256" t="inlineStr">
        <is>
          <t>06.06.2026</t>
        </is>
      </c>
      <c r="G743" s="256" t="inlineStr">
        <is>
          <t>6</t>
        </is>
      </c>
      <c r="H743" s="256" t="inlineStr">
        <is>
          <t>Total CBN</t>
        </is>
      </c>
      <c r="I743" s="256" t="inlineStr">
        <is>
          <t>Ph. Eur. 2.2.29 (HPLC) · CBN + CBNA x 0.876</t>
        </is>
      </c>
      <c r="J743" s="256" t="inlineStr">
        <is>
          <t>≤ 1.0%, w/w</t>
        </is>
      </c>
      <c r="K743" s="259" t="inlineStr">
        <is>
          <t>not tested</t>
        </is>
      </c>
      <c r="L743" s="256" t="inlineStr">
        <is>
          <t>—</t>
        </is>
      </c>
      <c r="M743" s="256" t="inlineStr">
        <is>
          <t>—</t>
        </is>
      </c>
      <c r="N743" s="256" t="inlineStr">
        <is>
          <t>—</t>
        </is>
      </c>
      <c r="O743" s="256" t="inlineStr">
        <is>
          <t>—</t>
        </is>
      </c>
      <c r="P743" s="256" t="inlineStr">
        <is>
          <t>not tested — no certificate covers it</t>
        </is>
      </c>
      <c r="Q743" s="256" t="inlineStr"/>
      <c r="R743" s="256" t="inlineStr">
        <is>
          <t>&lt;LOQ (227-17-К/26)</t>
        </is>
      </c>
    </row>
    <row r="744">
      <c r="A744" s="256" t="inlineStr">
        <is>
          <t>CoQ-PP_26-033</t>
        </is>
      </c>
      <c r="B744" s="256" t="inlineStr">
        <is>
          <t>release</t>
        </is>
      </c>
      <c r="C744" s="256" t="inlineStr">
        <is>
          <t>GP072501-1</t>
        </is>
      </c>
      <c r="D744" s="256" t="inlineStr">
        <is>
          <t>P050292</t>
        </is>
      </c>
      <c r="E744" s="256" t="inlineStr">
        <is>
          <t>Grape Pie</t>
        </is>
      </c>
      <c r="F744" s="256" t="inlineStr">
        <is>
          <t>06.06.2026</t>
        </is>
      </c>
      <c r="G744" s="256" t="inlineStr">
        <is>
          <t>7</t>
        </is>
      </c>
      <c r="H744" s="256" t="inlineStr">
        <is>
          <t>Foreign Matter</t>
        </is>
      </c>
      <c r="I744" s="256" t="inlineStr">
        <is>
          <t>Ph. Eur. 2.8.2 · In-house · интерна</t>
        </is>
      </c>
      <c r="J744" s="256" t="inlineStr">
        <is>
          <t>≤ 2.0% / 25–50 g · &lt; 1 cm leaves | листови, no seeds | без семки</t>
        </is>
      </c>
      <c r="K744" s="256" t="inlineStr">
        <is>
          <t>Conforms | Одговара</t>
        </is>
      </c>
      <c r="L744" s="256" t="inlineStr">
        <is>
          <t>iCoA-PP_26-032</t>
        </is>
      </c>
      <c r="M744" s="256" t="inlineStr">
        <is>
          <t>03.06.2026</t>
        </is>
      </c>
      <c r="N744" s="256" t="inlineStr">
        <is>
          <t>Purely Plant GmbH (in-house)</t>
        </is>
      </c>
      <c r="O744" s="256" t="inlineStr">
        <is>
          <t>—</t>
        </is>
      </c>
      <c r="P744" s="256" t="inlineStr">
        <is>
          <t>to be performed — see route</t>
        </is>
      </c>
      <c r="Q744" s="256" t="inlineStr">
        <is>
          <t>Purely Plant laboratory — iCoA covering Foreign matter</t>
        </is>
      </c>
      <c r="R744" s="256" t="inlineStr"/>
    </row>
    <row r="745">
      <c r="A745" s="256" t="inlineStr">
        <is>
          <t>CoQ-PP_26-033</t>
        </is>
      </c>
      <c r="B745" s="256" t="inlineStr">
        <is>
          <t>release</t>
        </is>
      </c>
      <c r="C745" s="256" t="inlineStr">
        <is>
          <t>GP072501-1</t>
        </is>
      </c>
      <c r="D745" s="256" t="inlineStr">
        <is>
          <t>P050292</t>
        </is>
      </c>
      <c r="E745" s="256" t="inlineStr">
        <is>
          <t>Grape Pie</t>
        </is>
      </c>
      <c r="F745" s="256" t="inlineStr">
        <is>
          <t>06.06.2026</t>
        </is>
      </c>
      <c r="G745" s="256" t="inlineStr">
        <is>
          <t>8</t>
        </is>
      </c>
      <c r="H745" s="256" t="inlineStr">
        <is>
          <t>Loss on Drying</t>
        </is>
      </c>
      <c r="I745" s="256" t="inlineStr">
        <is>
          <t>Ph. Eur. 2.2.32 (3028) · at 40 °C, 24 h, 15–25 mbar</t>
        </is>
      </c>
      <c r="J745" s="256" t="inlineStr">
        <is>
          <t>≤ 12.0%</t>
        </is>
      </c>
      <c r="K745" s="256" t="inlineStr">
        <is>
          <t>6.62</t>
        </is>
      </c>
      <c r="L745" s="256" t="inlineStr">
        <is>
          <t>ППК25378</t>
        </is>
      </c>
      <c r="M745" s="256" t="inlineStr">
        <is>
          <t>12.12.2025</t>
        </is>
      </c>
      <c r="N745" s="256" t="inlineStr">
        <is>
          <t>UKIM Faculty of Pharmacy — Center for Natural Products</t>
        </is>
      </c>
      <c r="O745" s="256" t="inlineStr">
        <is>
          <t>01.12.2025</t>
        </is>
      </c>
      <c r="P745" s="256" t="inlineStr">
        <is>
          <t>covered</t>
        </is>
      </c>
      <c r="Q745" s="256" t="inlineStr"/>
      <c r="R745" s="256" t="inlineStr"/>
    </row>
    <row r="746">
      <c r="A746" s="256" t="inlineStr">
        <is>
          <t>CoQ-PP_26-033</t>
        </is>
      </c>
      <c r="B746" s="256" t="inlineStr">
        <is>
          <t>release</t>
        </is>
      </c>
      <c r="C746" s="256" t="inlineStr">
        <is>
          <t>GP072501-1</t>
        </is>
      </c>
      <c r="D746" s="256" t="inlineStr">
        <is>
          <t>P050292</t>
        </is>
      </c>
      <c r="E746" s="256" t="inlineStr">
        <is>
          <t>Grape Pie</t>
        </is>
      </c>
      <c r="F746" s="256" t="inlineStr">
        <is>
          <t>06.06.2026</t>
        </is>
      </c>
      <c r="G746" s="256" t="inlineStr">
        <is>
          <t>9.1</t>
        </is>
      </c>
      <c r="H746" s="256" t="inlineStr">
        <is>
          <t>TAMC</t>
        </is>
      </c>
      <c r="I746" s="256" t="inlineStr">
        <is>
          <t>Ph. Eur. 2.6.12 cat. C</t>
        </is>
      </c>
      <c r="J746" s="256" t="inlineStr">
        <is>
          <t>≤ 10⁵ CFU/g</t>
        </is>
      </c>
      <c r="K746" s="256" t="inlineStr">
        <is>
          <t>6 × 10³</t>
        </is>
      </c>
      <c r="L746" s="256" t="inlineStr">
        <is>
          <t>1228/2194/25</t>
        </is>
      </c>
      <c r="M746" s="256" t="inlineStr">
        <is>
          <t>05.12.2025</t>
        </is>
      </c>
      <c r="N746" s="256" t="inlineStr">
        <is>
          <t>IPH — Institute of Public Health</t>
        </is>
      </c>
      <c r="O746" s="256" t="inlineStr">
        <is>
          <t>01.12.2025</t>
        </is>
      </c>
      <c r="P746" s="256" t="inlineStr">
        <is>
          <t>covered</t>
        </is>
      </c>
      <c r="Q746" s="256" t="inlineStr"/>
      <c r="R746" s="256" t="inlineStr"/>
    </row>
    <row r="747">
      <c r="A747" s="256" t="inlineStr">
        <is>
          <t>CoQ-PP_26-033</t>
        </is>
      </c>
      <c r="B747" s="256" t="inlineStr">
        <is>
          <t>release</t>
        </is>
      </c>
      <c r="C747" s="256" t="inlineStr">
        <is>
          <t>GP072501-1</t>
        </is>
      </c>
      <c r="D747" s="256" t="inlineStr">
        <is>
          <t>P050292</t>
        </is>
      </c>
      <c r="E747" s="256" t="inlineStr">
        <is>
          <t>Grape Pie</t>
        </is>
      </c>
      <c r="F747" s="256" t="inlineStr">
        <is>
          <t>06.06.2026</t>
        </is>
      </c>
      <c r="G747" s="256" t="inlineStr">
        <is>
          <t>9.2</t>
        </is>
      </c>
      <c r="H747" s="256" t="inlineStr">
        <is>
          <t>TYMC</t>
        </is>
      </c>
      <c r="I747" s="256" t="inlineStr">
        <is>
          <t>Ph. Eur. 2.6.12 cat. C</t>
        </is>
      </c>
      <c r="J747" s="256" t="inlineStr">
        <is>
          <t>≤ 10⁴ CFU/g</t>
        </is>
      </c>
      <c r="K747" s="256" t="inlineStr">
        <is>
          <t>6.5 × 10³</t>
        </is>
      </c>
      <c r="L747" s="256" t="inlineStr">
        <is>
          <t>1228/2194/25</t>
        </is>
      </c>
      <c r="M747" s="256" t="inlineStr">
        <is>
          <t>05.12.2025</t>
        </is>
      </c>
      <c r="N747" s="256" t="inlineStr">
        <is>
          <t>IPH — Institute of Public Health</t>
        </is>
      </c>
      <c r="O747" s="256" t="inlineStr">
        <is>
          <t>01.12.2025</t>
        </is>
      </c>
      <c r="P747" s="256" t="inlineStr">
        <is>
          <t>covered</t>
        </is>
      </c>
      <c r="Q747" s="256" t="inlineStr"/>
      <c r="R747" s="256" t="inlineStr"/>
    </row>
    <row r="748">
      <c r="A748" s="256" t="inlineStr">
        <is>
          <t>CoQ-PP_26-033</t>
        </is>
      </c>
      <c r="B748" s="256" t="inlineStr">
        <is>
          <t>release</t>
        </is>
      </c>
      <c r="C748" s="256" t="inlineStr">
        <is>
          <t>GP072501-1</t>
        </is>
      </c>
      <c r="D748" s="256" t="inlineStr">
        <is>
          <t>P050292</t>
        </is>
      </c>
      <c r="E748" s="256" t="inlineStr">
        <is>
          <t>Grape Pie</t>
        </is>
      </c>
      <c r="F748" s="256" t="inlineStr">
        <is>
          <t>06.06.2026</t>
        </is>
      </c>
      <c r="G748" s="256" t="inlineStr">
        <is>
          <t>9.3</t>
        </is>
      </c>
      <c r="H748" s="256" t="inlineStr">
        <is>
          <t>Bile-tolerant gram-neg.</t>
        </is>
      </c>
      <c r="I748" s="256" t="inlineStr">
        <is>
          <t>Ph. Eur. 2.6.31 cat. C</t>
        </is>
      </c>
      <c r="J748" s="256" t="inlineStr">
        <is>
          <t>≤ 10⁴ CFU/g</t>
        </is>
      </c>
      <c r="K748" s="256" t="inlineStr">
        <is>
          <t>&lt; 10</t>
        </is>
      </c>
      <c r="L748" s="256" t="inlineStr">
        <is>
          <t>1228/2194/25</t>
        </is>
      </c>
      <c r="M748" s="256" t="inlineStr">
        <is>
          <t>05.12.2025</t>
        </is>
      </c>
      <c r="N748" s="256" t="inlineStr">
        <is>
          <t>IPH — Institute of Public Health</t>
        </is>
      </c>
      <c r="O748" s="256" t="inlineStr">
        <is>
          <t>01.12.2025</t>
        </is>
      </c>
      <c r="P748" s="256" t="inlineStr">
        <is>
          <t>covered</t>
        </is>
      </c>
      <c r="Q748" s="256" t="inlineStr"/>
      <c r="R748" s="256" t="inlineStr"/>
    </row>
    <row r="749">
      <c r="A749" s="256" t="inlineStr">
        <is>
          <t>CoQ-PP_26-033</t>
        </is>
      </c>
      <c r="B749" s="256" t="inlineStr">
        <is>
          <t>release</t>
        </is>
      </c>
      <c r="C749" s="256" t="inlineStr">
        <is>
          <t>GP072501-1</t>
        </is>
      </c>
      <c r="D749" s="256" t="inlineStr">
        <is>
          <t>P050292</t>
        </is>
      </c>
      <c r="E749" s="256" t="inlineStr">
        <is>
          <t>Grape Pie</t>
        </is>
      </c>
      <c r="F749" s="256" t="inlineStr">
        <is>
          <t>06.06.2026</t>
        </is>
      </c>
      <c r="G749" s="256" t="inlineStr">
        <is>
          <t>9.4</t>
        </is>
      </c>
      <c r="H749" s="256" t="inlineStr">
        <is>
          <t>Salmonella</t>
        </is>
      </c>
      <c r="I749" s="256" t="inlineStr">
        <is>
          <t>Ph. Eur. 2.6.31 cat. C</t>
        </is>
      </c>
      <c r="J749" s="256" t="inlineStr">
        <is>
          <t>Absence | Отсуство / 25 g</t>
        </is>
      </c>
      <c r="K749" s="256" t="inlineStr">
        <is>
          <t>Absent | Отсутна</t>
        </is>
      </c>
      <c r="L749" s="256" t="inlineStr">
        <is>
          <t>1228/2194/25</t>
        </is>
      </c>
      <c r="M749" s="256" t="inlineStr">
        <is>
          <t>05.12.2025</t>
        </is>
      </c>
      <c r="N749" s="256" t="inlineStr">
        <is>
          <t>IPH — Institute of Public Health</t>
        </is>
      </c>
      <c r="O749" s="256" t="inlineStr">
        <is>
          <t>01.12.2025</t>
        </is>
      </c>
      <c r="P749" s="256" t="inlineStr">
        <is>
          <t>covered</t>
        </is>
      </c>
      <c r="Q749" s="256" t="inlineStr"/>
      <c r="R749" s="256" t="inlineStr"/>
    </row>
    <row r="750">
      <c r="A750" s="256" t="inlineStr">
        <is>
          <t>CoQ-PP_26-033</t>
        </is>
      </c>
      <c r="B750" s="256" t="inlineStr">
        <is>
          <t>release</t>
        </is>
      </c>
      <c r="C750" s="256" t="inlineStr">
        <is>
          <t>GP072501-1</t>
        </is>
      </c>
      <c r="D750" s="256" t="inlineStr">
        <is>
          <t>P050292</t>
        </is>
      </c>
      <c r="E750" s="256" t="inlineStr">
        <is>
          <t>Grape Pie</t>
        </is>
      </c>
      <c r="F750" s="256" t="inlineStr">
        <is>
          <t>06.06.2026</t>
        </is>
      </c>
      <c r="G750" s="256" t="inlineStr">
        <is>
          <t>9.5</t>
        </is>
      </c>
      <c r="H750" s="256" t="inlineStr">
        <is>
          <t>Escherichia coli</t>
        </is>
      </c>
      <c r="I750" s="256" t="inlineStr">
        <is>
          <t>Ph. Eur. 2.6.13 cat. C</t>
        </is>
      </c>
      <c r="J750" s="256" t="inlineStr">
        <is>
          <t>Absence | Отсуство / 1 g</t>
        </is>
      </c>
      <c r="K750" s="256" t="inlineStr">
        <is>
          <t>Absent | Отсутна</t>
        </is>
      </c>
      <c r="L750" s="256" t="inlineStr">
        <is>
          <t>1228/2194/25</t>
        </is>
      </c>
      <c r="M750" s="256" t="inlineStr">
        <is>
          <t>05.12.2025</t>
        </is>
      </c>
      <c r="N750" s="256" t="inlineStr">
        <is>
          <t>IPH — Institute of Public Health</t>
        </is>
      </c>
      <c r="O750" s="256" t="inlineStr">
        <is>
          <t>01.12.2025</t>
        </is>
      </c>
      <c r="P750" s="256" t="inlineStr">
        <is>
          <t>covered</t>
        </is>
      </c>
      <c r="Q750" s="256" t="inlineStr"/>
      <c r="R750" s="256" t="inlineStr"/>
    </row>
    <row r="751">
      <c r="A751" s="256" t="inlineStr">
        <is>
          <t>CoQ-PP_26-033</t>
        </is>
      </c>
      <c r="B751" s="256" t="inlineStr">
        <is>
          <t>release</t>
        </is>
      </c>
      <c r="C751" s="256" t="inlineStr">
        <is>
          <t>GP072501-1</t>
        </is>
      </c>
      <c r="D751" s="256" t="inlineStr">
        <is>
          <t>P050292</t>
        </is>
      </c>
      <c r="E751" s="256" t="inlineStr">
        <is>
          <t>Grape Pie</t>
        </is>
      </c>
      <c r="F751" s="256" t="inlineStr">
        <is>
          <t>06.06.2026</t>
        </is>
      </c>
      <c r="G751" s="256" t="inlineStr">
        <is>
          <t>9.6</t>
        </is>
      </c>
      <c r="H751" s="256" t="inlineStr">
        <is>
          <t>Pseudomonas aeruginosa</t>
        </is>
      </c>
      <c r="I751" s="256" t="inlineStr">
        <is>
          <t>Ph. Eur. 2.6.13 cat. C</t>
        </is>
      </c>
      <c r="J751" s="256" t="inlineStr">
        <is>
          <t>Absence | Отсуство / 1 g</t>
        </is>
      </c>
      <c r="K751" s="260" t="inlineStr">
        <is>
          <t>upon request — not required for release</t>
        </is>
      </c>
      <c r="L751" s="256" t="inlineStr">
        <is>
          <t>—</t>
        </is>
      </c>
      <c r="M751" s="256" t="inlineStr">
        <is>
          <t>—</t>
        </is>
      </c>
      <c r="N751" s="256" t="inlineStr">
        <is>
          <t>—</t>
        </is>
      </c>
      <c r="O751" s="256" t="inlineStr">
        <is>
          <t>—</t>
        </is>
      </c>
      <c r="P751" s="256" t="inlineStr">
        <is>
          <t>upon request — not required for release</t>
        </is>
      </c>
      <c r="Q751" s="256" t="inlineStr"/>
      <c r="R751" s="256" t="inlineStr"/>
    </row>
    <row r="752">
      <c r="A752" s="256" t="inlineStr">
        <is>
          <t>CoQ-PP_26-033</t>
        </is>
      </c>
      <c r="B752" s="256" t="inlineStr">
        <is>
          <t>release</t>
        </is>
      </c>
      <c r="C752" s="256" t="inlineStr">
        <is>
          <t>GP072501-1</t>
        </is>
      </c>
      <c r="D752" s="256" t="inlineStr">
        <is>
          <t>P050292</t>
        </is>
      </c>
      <c r="E752" s="256" t="inlineStr">
        <is>
          <t>Grape Pie</t>
        </is>
      </c>
      <c r="F752" s="256" t="inlineStr">
        <is>
          <t>06.06.2026</t>
        </is>
      </c>
      <c r="G752" s="256" t="inlineStr">
        <is>
          <t>9.7</t>
        </is>
      </c>
      <c r="H752" s="256" t="inlineStr">
        <is>
          <t>Staphylococcus aureus</t>
        </is>
      </c>
      <c r="I752" s="256" t="inlineStr">
        <is>
          <t>Ph. Eur. 2.6.13 cat. C</t>
        </is>
      </c>
      <c r="J752" s="256" t="inlineStr">
        <is>
          <t>Absence | Отсуство / 1 g</t>
        </is>
      </c>
      <c r="K752" s="260" t="inlineStr">
        <is>
          <t>upon request — not required for release</t>
        </is>
      </c>
      <c r="L752" s="256" t="inlineStr">
        <is>
          <t>—</t>
        </is>
      </c>
      <c r="M752" s="256" t="inlineStr">
        <is>
          <t>—</t>
        </is>
      </c>
      <c r="N752" s="256" t="inlineStr">
        <is>
          <t>—</t>
        </is>
      </c>
      <c r="O752" s="256" t="inlineStr">
        <is>
          <t>—</t>
        </is>
      </c>
      <c r="P752" s="256" t="inlineStr">
        <is>
          <t>upon request — not required for release</t>
        </is>
      </c>
      <c r="Q752" s="256" t="inlineStr"/>
      <c r="R752" s="256" t="inlineStr"/>
    </row>
    <row r="753">
      <c r="A753" s="256" t="inlineStr">
        <is>
          <t>CoQ-PP_26-033</t>
        </is>
      </c>
      <c r="B753" s="256" t="inlineStr">
        <is>
          <t>release</t>
        </is>
      </c>
      <c r="C753" s="256" t="inlineStr">
        <is>
          <t>GP072501-1</t>
        </is>
      </c>
      <c r="D753" s="256" t="inlineStr">
        <is>
          <t>P050292</t>
        </is>
      </c>
      <c r="E753" s="256" t="inlineStr">
        <is>
          <t>Grape Pie</t>
        </is>
      </c>
      <c r="F753" s="256" t="inlineStr">
        <is>
          <t>06.06.2026</t>
        </is>
      </c>
      <c r="G753" s="256" t="inlineStr">
        <is>
          <t>10.1</t>
        </is>
      </c>
      <c r="H753" s="256" t="inlineStr">
        <is>
          <t>Aflatoxin B₁</t>
        </is>
      </c>
      <c r="I753" s="256" t="inlineStr">
        <is>
          <t>Ph. Eur. 2.8.18 (HPLC-FLD)</t>
        </is>
      </c>
      <c r="J753" s="256" t="inlineStr">
        <is>
          <t>≤ 2 µg/kg</t>
        </is>
      </c>
      <c r="K753" s="259" t="inlineStr">
        <is>
          <t>not tested</t>
        </is>
      </c>
      <c r="L753" s="256" t="inlineStr">
        <is>
          <t>—</t>
        </is>
      </c>
      <c r="M753" s="256" t="inlineStr">
        <is>
          <t>—</t>
        </is>
      </c>
      <c r="N753" s="256" t="inlineStr">
        <is>
          <t>—</t>
        </is>
      </c>
      <c r="O753" s="256" t="inlineStr">
        <is>
          <t>—</t>
        </is>
      </c>
      <c r="P753" s="256" t="inlineStr">
        <is>
          <t>not tested — no certificate covers it</t>
        </is>
      </c>
      <c r="Q753" s="256" t="inlineStr"/>
      <c r="R753" s="256" t="inlineStr"/>
    </row>
    <row r="754">
      <c r="A754" s="256" t="inlineStr">
        <is>
          <t>CoQ-PP_26-033</t>
        </is>
      </c>
      <c r="B754" s="256" t="inlineStr">
        <is>
          <t>release</t>
        </is>
      </c>
      <c r="C754" s="256" t="inlineStr">
        <is>
          <t>GP072501-1</t>
        </is>
      </c>
      <c r="D754" s="256" t="inlineStr">
        <is>
          <t>P050292</t>
        </is>
      </c>
      <c r="E754" s="256" t="inlineStr">
        <is>
          <t>Grape Pie</t>
        </is>
      </c>
      <c r="F754" s="256" t="inlineStr">
        <is>
          <t>06.06.2026</t>
        </is>
      </c>
      <c r="G754" s="256" t="inlineStr">
        <is>
          <t>10.2</t>
        </is>
      </c>
      <c r="H754" s="256" t="inlineStr">
        <is>
          <t>Aflatoxins ∑</t>
        </is>
      </c>
      <c r="I754" s="256" t="inlineStr">
        <is>
          <t>Ph. Eur. 2.8.18 (HPLC-FLD)</t>
        </is>
      </c>
      <c r="J754" s="256" t="inlineStr">
        <is>
          <t>≤ 4 µg/kg</t>
        </is>
      </c>
      <c r="K754" s="256" t="inlineStr">
        <is>
          <t>&lt; 2</t>
        </is>
      </c>
      <c r="L754" s="256" t="inlineStr">
        <is>
          <t>5886/2025</t>
        </is>
      </c>
      <c r="M754" s="256" t="inlineStr">
        <is>
          <t>12.12.2025</t>
        </is>
      </c>
      <c r="N754" s="256" t="inlineStr">
        <is>
          <t>IPH — Institute of Public Health</t>
        </is>
      </c>
      <c r="O754" s="256" t="inlineStr">
        <is>
          <t>01.12.2025</t>
        </is>
      </c>
      <c r="P754" s="256" t="inlineStr">
        <is>
          <t>covered</t>
        </is>
      </c>
      <c r="Q754" s="256" t="inlineStr"/>
      <c r="R754" s="256" t="inlineStr"/>
    </row>
    <row r="755">
      <c r="A755" s="256" t="inlineStr">
        <is>
          <t>CoQ-PP_26-033</t>
        </is>
      </c>
      <c r="B755" s="256" t="inlineStr">
        <is>
          <t>release</t>
        </is>
      </c>
      <c r="C755" s="256" t="inlineStr">
        <is>
          <t>GP072501-1</t>
        </is>
      </c>
      <c r="D755" s="256" t="inlineStr">
        <is>
          <t>P050292</t>
        </is>
      </c>
      <c r="E755" s="256" t="inlineStr">
        <is>
          <t>Grape Pie</t>
        </is>
      </c>
      <c r="F755" s="256" t="inlineStr">
        <is>
          <t>06.06.2026</t>
        </is>
      </c>
      <c r="G755" s="256" t="inlineStr">
        <is>
          <t>10.3</t>
        </is>
      </c>
      <c r="H755" s="256" t="inlineStr">
        <is>
          <t>Ochratoxin A</t>
        </is>
      </c>
      <c r="I755" s="256" t="inlineStr">
        <is>
          <t>Ph. Eur. 2.8.22 (HPLC-FLD)</t>
        </is>
      </c>
      <c r="J755" s="256" t="inlineStr">
        <is>
          <t>≤ 20 µg/kg</t>
        </is>
      </c>
      <c r="K755" s="259" t="inlineStr">
        <is>
          <t>not tested</t>
        </is>
      </c>
      <c r="L755" s="256" t="inlineStr">
        <is>
          <t>—</t>
        </is>
      </c>
      <c r="M755" s="256" t="inlineStr">
        <is>
          <t>—</t>
        </is>
      </c>
      <c r="N755" s="256" t="inlineStr">
        <is>
          <t>—</t>
        </is>
      </c>
      <c r="O755" s="256" t="inlineStr">
        <is>
          <t>—</t>
        </is>
      </c>
      <c r="P755" s="256" t="inlineStr">
        <is>
          <t>not tested — no certificate covers it</t>
        </is>
      </c>
      <c r="Q755" s="256" t="inlineStr"/>
      <c r="R755" s="256" t="inlineStr"/>
    </row>
    <row r="756">
      <c r="A756" s="256" t="inlineStr">
        <is>
          <t>CoQ-PP_26-033</t>
        </is>
      </c>
      <c r="B756" s="256" t="inlineStr">
        <is>
          <t>release</t>
        </is>
      </c>
      <c r="C756" s="256" t="inlineStr">
        <is>
          <t>GP072501-1</t>
        </is>
      </c>
      <c r="D756" s="256" t="inlineStr">
        <is>
          <t>P050292</t>
        </is>
      </c>
      <c r="E756" s="256" t="inlineStr">
        <is>
          <t>Grape Pie</t>
        </is>
      </c>
      <c r="F756" s="256" t="inlineStr">
        <is>
          <t>06.06.2026</t>
        </is>
      </c>
      <c r="G756" s="256" t="inlineStr">
        <is>
          <t>11.1</t>
        </is>
      </c>
      <c r="H756" s="256" t="inlineStr">
        <is>
          <t>Lead (Pb)</t>
        </is>
      </c>
      <c r="I756" s="256" t="inlineStr">
        <is>
          <t>Ph. Eur. 2.4.27 (ICP-MS)</t>
        </is>
      </c>
      <c r="J756" s="256" t="inlineStr">
        <is>
          <t>≤ 0.5 mg/kg</t>
        </is>
      </c>
      <c r="K756" s="256" t="inlineStr">
        <is>
          <t>0.028</t>
        </is>
      </c>
      <c r="L756" s="256" t="inlineStr">
        <is>
          <t>5886/2025</t>
        </is>
      </c>
      <c r="M756" s="256" t="inlineStr">
        <is>
          <t>12.12.2025</t>
        </is>
      </c>
      <c r="N756" s="256" t="inlineStr">
        <is>
          <t>IPH — Institute of Public Health</t>
        </is>
      </c>
      <c r="O756" s="256" t="inlineStr">
        <is>
          <t>01.12.2025</t>
        </is>
      </c>
      <c r="P756" s="256" t="inlineStr">
        <is>
          <t>covered</t>
        </is>
      </c>
      <c r="Q756" s="256" t="inlineStr"/>
      <c r="R756" s="256" t="inlineStr"/>
    </row>
    <row r="757">
      <c r="A757" s="256" t="inlineStr">
        <is>
          <t>CoQ-PP_26-033</t>
        </is>
      </c>
      <c r="B757" s="256" t="inlineStr">
        <is>
          <t>release</t>
        </is>
      </c>
      <c r="C757" s="256" t="inlineStr">
        <is>
          <t>GP072501-1</t>
        </is>
      </c>
      <c r="D757" s="256" t="inlineStr">
        <is>
          <t>P050292</t>
        </is>
      </c>
      <c r="E757" s="256" t="inlineStr">
        <is>
          <t>Grape Pie</t>
        </is>
      </c>
      <c r="F757" s="256" t="inlineStr">
        <is>
          <t>06.06.2026</t>
        </is>
      </c>
      <c r="G757" s="256" t="inlineStr">
        <is>
          <t>11.2</t>
        </is>
      </c>
      <c r="H757" s="256" t="inlineStr">
        <is>
          <t>Cadmium (Cd)</t>
        </is>
      </c>
      <c r="I757" s="256" t="inlineStr">
        <is>
          <t>Ph. Eur. 2.4.27 (ICP-MS)</t>
        </is>
      </c>
      <c r="J757" s="256" t="inlineStr">
        <is>
          <t>≤ 0.3 mg/kg</t>
        </is>
      </c>
      <c r="K757" s="256" t="inlineStr">
        <is>
          <t>0.003</t>
        </is>
      </c>
      <c r="L757" s="256" t="inlineStr">
        <is>
          <t>5886/2025</t>
        </is>
      </c>
      <c r="M757" s="256" t="inlineStr">
        <is>
          <t>12.12.2025</t>
        </is>
      </c>
      <c r="N757" s="256" t="inlineStr">
        <is>
          <t>IPH — Institute of Public Health</t>
        </is>
      </c>
      <c r="O757" s="256" t="inlineStr">
        <is>
          <t>01.12.2025</t>
        </is>
      </c>
      <c r="P757" s="256" t="inlineStr">
        <is>
          <t>covered</t>
        </is>
      </c>
      <c r="Q757" s="256" t="inlineStr"/>
      <c r="R757" s="256" t="inlineStr"/>
    </row>
    <row r="758">
      <c r="A758" s="256" t="inlineStr">
        <is>
          <t>CoQ-PP_26-033</t>
        </is>
      </c>
      <c r="B758" s="256" t="inlineStr">
        <is>
          <t>release</t>
        </is>
      </c>
      <c r="C758" s="256" t="inlineStr">
        <is>
          <t>GP072501-1</t>
        </is>
      </c>
      <c r="D758" s="256" t="inlineStr">
        <is>
          <t>P050292</t>
        </is>
      </c>
      <c r="E758" s="256" t="inlineStr">
        <is>
          <t>Grape Pie</t>
        </is>
      </c>
      <c r="F758" s="256" t="inlineStr">
        <is>
          <t>06.06.2026</t>
        </is>
      </c>
      <c r="G758" s="256" t="inlineStr">
        <is>
          <t>11.3</t>
        </is>
      </c>
      <c r="H758" s="256" t="inlineStr">
        <is>
          <t>Arsenic (As)</t>
        </is>
      </c>
      <c r="I758" s="256" t="inlineStr">
        <is>
          <t>Ph. Eur. 2.4.27 (ICP-MS)</t>
        </is>
      </c>
      <c r="J758" s="256" t="inlineStr">
        <is>
          <t>≤ 0.2 mg/kg</t>
        </is>
      </c>
      <c r="K758" s="256" t="inlineStr">
        <is>
          <t>0.03</t>
        </is>
      </c>
      <c r="L758" s="256" t="inlineStr">
        <is>
          <t>5886/2025</t>
        </is>
      </c>
      <c r="M758" s="256" t="inlineStr">
        <is>
          <t>12.12.2025</t>
        </is>
      </c>
      <c r="N758" s="256" t="inlineStr">
        <is>
          <t>IPH — Institute of Public Health</t>
        </is>
      </c>
      <c r="O758" s="256" t="inlineStr">
        <is>
          <t>01.12.2025</t>
        </is>
      </c>
      <c r="P758" s="256" t="inlineStr">
        <is>
          <t>covered</t>
        </is>
      </c>
      <c r="Q758" s="256" t="inlineStr"/>
      <c r="R758" s="256" t="inlineStr"/>
    </row>
    <row r="759">
      <c r="A759" s="256" t="inlineStr">
        <is>
          <t>CoQ-PP_26-033</t>
        </is>
      </c>
      <c r="B759" s="256" t="inlineStr">
        <is>
          <t>release</t>
        </is>
      </c>
      <c r="C759" s="256" t="inlineStr">
        <is>
          <t>GP072501-1</t>
        </is>
      </c>
      <c r="D759" s="256" t="inlineStr">
        <is>
          <t>P050292</t>
        </is>
      </c>
      <c r="E759" s="256" t="inlineStr">
        <is>
          <t>Grape Pie</t>
        </is>
      </c>
      <c r="F759" s="256" t="inlineStr">
        <is>
          <t>06.06.2026</t>
        </is>
      </c>
      <c r="G759" s="256" t="inlineStr">
        <is>
          <t>11.4</t>
        </is>
      </c>
      <c r="H759" s="256" t="inlineStr">
        <is>
          <t>Mercury (Hg)</t>
        </is>
      </c>
      <c r="I759" s="256" t="inlineStr">
        <is>
          <t>Ph. Eur. 2.4.27 (ICP-MS)</t>
        </is>
      </c>
      <c r="J759" s="256" t="inlineStr">
        <is>
          <t>≤ 0.1 mg/kg</t>
        </is>
      </c>
      <c r="K759" s="256" t="inlineStr">
        <is>
          <t>0.025</t>
        </is>
      </c>
      <c r="L759" s="256" t="inlineStr">
        <is>
          <t>5886/2025</t>
        </is>
      </c>
      <c r="M759" s="256" t="inlineStr">
        <is>
          <t>12.12.2025</t>
        </is>
      </c>
      <c r="N759" s="256" t="inlineStr">
        <is>
          <t>IPH — Institute of Public Health</t>
        </is>
      </c>
      <c r="O759" s="256" t="inlineStr">
        <is>
          <t>01.12.2025</t>
        </is>
      </c>
      <c r="P759" s="256" t="inlineStr">
        <is>
          <t>covered</t>
        </is>
      </c>
      <c r="Q759" s="256" t="inlineStr"/>
      <c r="R759" s="256" t="inlineStr"/>
    </row>
    <row r="760">
      <c r="A760" s="256" t="inlineStr">
        <is>
          <t>CoQ-PP_26-033</t>
        </is>
      </c>
      <c r="B760" s="256" t="inlineStr">
        <is>
          <t>release</t>
        </is>
      </c>
      <c r="C760" s="256" t="inlineStr">
        <is>
          <t>GP072501-1</t>
        </is>
      </c>
      <c r="D760" s="256" t="inlineStr">
        <is>
          <t>P050292</t>
        </is>
      </c>
      <c r="E760" s="256" t="inlineStr">
        <is>
          <t>Grape Pie</t>
        </is>
      </c>
      <c r="F760" s="256" t="inlineStr">
        <is>
          <t>06.06.2026</t>
        </is>
      </c>
      <c r="G760" s="256" t="inlineStr">
        <is>
          <t>12</t>
        </is>
      </c>
      <c r="H760" s="256" t="inlineStr">
        <is>
          <t>Pesticide Residues</t>
        </is>
      </c>
      <c r="I760" s="256" t="inlineStr">
        <is>
          <t>Ph. Eur. 2.8.13 (LC-MS/MS) · CUMCS Equivalency</t>
        </is>
      </c>
      <c r="J760" s="256" t="inlineStr">
        <is>
          <t>≤ LOQ as per Ph. Eur. 2.8.13 · ≤ LOQ as per CUMCS Equivalency</t>
        </is>
      </c>
      <c r="K760" s="256" t="inlineStr">
        <is>
          <t>ND</t>
        </is>
      </c>
      <c r="L760" s="256" t="inlineStr">
        <is>
          <t>5886/2025</t>
        </is>
      </c>
      <c r="M760" s="256" t="inlineStr">
        <is>
          <t>12.12.2025</t>
        </is>
      </c>
      <c r="N760" s="256" t="inlineStr">
        <is>
          <t>IPH — Institute of Public Health</t>
        </is>
      </c>
      <c r="O760" s="256" t="inlineStr">
        <is>
          <t>01.12.2025</t>
        </is>
      </c>
      <c r="P760" s="256" t="inlineStr">
        <is>
          <t>covered</t>
        </is>
      </c>
      <c r="Q760" s="256" t="inlineStr"/>
      <c r="R760" s="256" t="inlineStr"/>
    </row>
    <row r="761">
      <c r="A761" s="256" t="inlineStr">
        <is>
          <t>CoQ-PP_26-034</t>
        </is>
      </c>
      <c r="B761" s="256" t="inlineStr">
        <is>
          <t>release</t>
        </is>
      </c>
      <c r="C761" s="256" t="inlineStr">
        <is>
          <t>GP072501/2</t>
        </is>
      </c>
      <c r="D761" s="256" t="inlineStr">
        <is>
          <t>P050302</t>
        </is>
      </c>
      <c r="E761" s="256" t="inlineStr">
        <is>
          <t>Grape Pie</t>
        </is>
      </c>
      <c r="F761" s="256" t="inlineStr">
        <is>
          <t>06.06.2026</t>
        </is>
      </c>
      <c r="G761" s="256" t="inlineStr">
        <is>
          <t>1</t>
        </is>
      </c>
      <c r="H761" s="256" t="inlineStr">
        <is>
          <t>Identification A, Appearance · Macroscopic</t>
        </is>
      </c>
      <c r="I761" s="256" t="inlineStr">
        <is>
          <t>Ph. Eur. mon. 3028</t>
        </is>
      </c>
      <c r="J761" s="256" t="inlineStr">
        <is>
          <t>Conforms to the monograph for Cannabis flos (07/2024:3028) in Ph. Eur. 11.0 | Согласно монографија за Cannabis flos (07/2024:3028) во Ph. Eur. 11.0</t>
        </is>
      </c>
      <c r="K761" s="256" t="inlineStr">
        <is>
          <t>Conforms | Одговара</t>
        </is>
      </c>
      <c r="L761" s="256" t="inlineStr">
        <is>
          <t>iCoA-PP_26-033</t>
        </is>
      </c>
      <c r="M761" s="256" t="inlineStr">
        <is>
          <t>03.06.2026</t>
        </is>
      </c>
      <c r="N761" s="256" t="inlineStr">
        <is>
          <t>Purely Plant GmbH (in-house)</t>
        </is>
      </c>
      <c r="O761" s="256" t="inlineStr">
        <is>
          <t>—</t>
        </is>
      </c>
      <c r="P761" s="256" t="inlineStr">
        <is>
          <t>to be performed — see route</t>
        </is>
      </c>
      <c r="Q761" s="256" t="inlineStr">
        <is>
          <t>Purely Plant laboratory — iCoA covering Ident A + B</t>
        </is>
      </c>
      <c r="R761" s="256" t="inlineStr"/>
    </row>
    <row r="762">
      <c r="A762" s="256" t="inlineStr">
        <is>
          <t>CoQ-PP_26-034</t>
        </is>
      </c>
      <c r="B762" s="256" t="inlineStr">
        <is>
          <t>release</t>
        </is>
      </c>
      <c r="C762" s="256" t="inlineStr">
        <is>
          <t>GP072501/2</t>
        </is>
      </c>
      <c r="D762" s="256" t="inlineStr">
        <is>
          <t>P050302</t>
        </is>
      </c>
      <c r="E762" s="256" t="inlineStr">
        <is>
          <t>Grape Pie</t>
        </is>
      </c>
      <c r="F762" s="256" t="inlineStr">
        <is>
          <t>06.06.2026</t>
        </is>
      </c>
      <c r="G762" s="256" t="inlineStr">
        <is>
          <t>2</t>
        </is>
      </c>
      <c r="H762" s="256" t="inlineStr">
        <is>
          <t>Identification B · Microscopic</t>
        </is>
      </c>
      <c r="I762" s="256" t="inlineStr">
        <is>
          <t>Ph. Eur. 2.8.23 (microscopy)</t>
        </is>
      </c>
      <c r="J762" s="256" t="inlineStr">
        <is>
          <t>Conforms to the monograph for Cannabis flos (07/2024:3028) in Ph. Eur. 11.0 | Согласно монографија за Cannabis flos (07/2024:3028) во Ph. Eur. 11.0</t>
        </is>
      </c>
      <c r="K762" s="256" t="inlineStr">
        <is>
          <t>Conforms | Одговара</t>
        </is>
      </c>
      <c r="L762" s="256" t="inlineStr">
        <is>
          <t>iCoA-PP_26-033</t>
        </is>
      </c>
      <c r="M762" s="256" t="inlineStr">
        <is>
          <t>03.06.2026</t>
        </is>
      </c>
      <c r="N762" s="256" t="inlineStr">
        <is>
          <t>Purely Plant GmbH (in-house)</t>
        </is>
      </c>
      <c r="O762" s="256" t="inlineStr">
        <is>
          <t>—</t>
        </is>
      </c>
      <c r="P762" s="256" t="inlineStr">
        <is>
          <t>to be performed — see route</t>
        </is>
      </c>
      <c r="Q762" s="256" t="inlineStr">
        <is>
          <t>Purely Plant laboratory — iCoA covering Ident A + B</t>
        </is>
      </c>
      <c r="R762" s="256" t="inlineStr"/>
    </row>
    <row r="763">
      <c r="A763" s="256" t="inlineStr">
        <is>
          <t>CoQ-PP_26-034</t>
        </is>
      </c>
      <c r="B763" s="256" t="inlineStr">
        <is>
          <t>release</t>
        </is>
      </c>
      <c r="C763" s="256" t="inlineStr">
        <is>
          <t>GP072501/2</t>
        </is>
      </c>
      <c r="D763" s="256" t="inlineStr">
        <is>
          <t>P050302</t>
        </is>
      </c>
      <c r="E763" s="256" t="inlineStr">
        <is>
          <t>Grape Pie</t>
        </is>
      </c>
      <c r="F763" s="256" t="inlineStr">
        <is>
          <t>06.06.2026</t>
        </is>
      </c>
      <c r="G763" s="256" t="inlineStr">
        <is>
          <t>3</t>
        </is>
      </c>
      <c r="H763" s="256" t="inlineStr">
        <is>
          <t>Identification C · HPLC/HPTLC</t>
        </is>
      </c>
      <c r="I763" s="256" t="inlineStr">
        <is>
          <t>Ph. Eur. 2.2.29 (3028)</t>
        </is>
      </c>
      <c r="J763" s="256" t="inlineStr">
        <is>
          <t>Conforms to the monograph for Cannabis flos (07/2024:3028) in Ph. Eur. 11.0 | Согласно монографија за Cannabis flos (07/2024:3028) во Ph. Eur. 11.0</t>
        </is>
      </c>
      <c r="K763" s="256" t="inlineStr">
        <is>
          <t>Conforms | Одговара</t>
        </is>
      </c>
      <c r="L763" s="256" t="inlineStr">
        <is>
          <t>ППК25379</t>
        </is>
      </c>
      <c r="M763" s="256" t="inlineStr">
        <is>
          <t>12.12.2025</t>
        </is>
      </c>
      <c r="N763" s="256" t="inlineStr">
        <is>
          <t>CNP</t>
        </is>
      </c>
      <c r="O763" s="256" t="inlineStr">
        <is>
          <t>01.12.2025</t>
        </is>
      </c>
      <c r="P763" s="256" t="inlineStr">
        <is>
          <t>covered</t>
        </is>
      </c>
      <c r="Q763" s="256" t="inlineStr"/>
      <c r="R763" s="256" t="inlineStr"/>
    </row>
    <row r="764">
      <c r="A764" s="256" t="inlineStr">
        <is>
          <t>CoQ-PP_26-034</t>
        </is>
      </c>
      <c r="B764" s="256" t="inlineStr">
        <is>
          <t>release</t>
        </is>
      </c>
      <c r="C764" s="256" t="inlineStr">
        <is>
          <t>GP072501/2</t>
        </is>
      </c>
      <c r="D764" s="256" t="inlineStr">
        <is>
          <t>P050302</t>
        </is>
      </c>
      <c r="E764" s="256" t="inlineStr">
        <is>
          <t>Grape Pie</t>
        </is>
      </c>
      <c r="F764" s="256" t="inlineStr">
        <is>
          <t>06.06.2026</t>
        </is>
      </c>
      <c r="G764" s="256" t="inlineStr">
        <is>
          <t>4</t>
        </is>
      </c>
      <c r="H764" s="256" t="inlineStr">
        <is>
          <t>Assay — Total Δ⁹-THC</t>
        </is>
      </c>
      <c r="I764" s="256" t="inlineStr">
        <is>
          <t>Ph. Eur. 2.2.29 (HPLC)</t>
        </is>
      </c>
      <c r="J764" s="256" t="inlineStr">
        <is>
          <t>18.00 – 21.99 %  (grade III, nominal 20.00 ± 2.00)</t>
        </is>
      </c>
      <c r="K764" s="256" t="inlineStr">
        <is>
          <t>19.81</t>
        </is>
      </c>
      <c r="L764" s="256" t="inlineStr">
        <is>
          <t>ППК25379</t>
        </is>
      </c>
      <c r="M764" s="256" t="inlineStr">
        <is>
          <t>12.12.2025</t>
        </is>
      </c>
      <c r="N764" s="256" t="inlineStr">
        <is>
          <t>CNP</t>
        </is>
      </c>
      <c r="O764" s="256" t="inlineStr">
        <is>
          <t>01.12.2025</t>
        </is>
      </c>
      <c r="P764" s="256" t="inlineStr">
        <is>
          <t>covered</t>
        </is>
      </c>
      <c r="Q764" s="256" t="inlineStr"/>
      <c r="R764" s="256" t="inlineStr">
        <is>
          <t>18.29 (220-10-К/26)</t>
        </is>
      </c>
    </row>
    <row r="765">
      <c r="A765" s="256" t="inlineStr">
        <is>
          <t>CoQ-PP_26-034</t>
        </is>
      </c>
      <c r="B765" s="256" t="inlineStr">
        <is>
          <t>release</t>
        </is>
      </c>
      <c r="C765" s="256" t="inlineStr">
        <is>
          <t>GP072501/2</t>
        </is>
      </c>
      <c r="D765" s="256" t="inlineStr">
        <is>
          <t>P050302</t>
        </is>
      </c>
      <c r="E765" s="256" t="inlineStr">
        <is>
          <t>Grape Pie</t>
        </is>
      </c>
      <c r="F765" s="256" t="inlineStr">
        <is>
          <t>06.06.2026</t>
        </is>
      </c>
      <c r="G765" s="256" t="inlineStr">
        <is>
          <t>5</t>
        </is>
      </c>
      <c r="H765" s="256" t="inlineStr">
        <is>
          <t>Assay — Total CBD</t>
        </is>
      </c>
      <c r="I765" s="256" t="inlineStr">
        <is>
          <t>Ph. Eur. 2.2.29 (HPLC) · CBD + CBDA x 0.877</t>
        </is>
      </c>
      <c r="J765" s="256" t="inlineStr">
        <is>
          <t>≤ 1.0%, w/w</t>
        </is>
      </c>
      <c r="K765" s="256" t="inlineStr">
        <is>
          <t>0.10</t>
        </is>
      </c>
      <c r="L765" s="256" t="inlineStr">
        <is>
          <t>ППК25379</t>
        </is>
      </c>
      <c r="M765" s="256" t="inlineStr">
        <is>
          <t>12.12.2025</t>
        </is>
      </c>
      <c r="N765" s="256" t="inlineStr">
        <is>
          <t>CNP</t>
        </is>
      </c>
      <c r="O765" s="256" t="inlineStr">
        <is>
          <t>01.12.2025</t>
        </is>
      </c>
      <c r="P765" s="256" t="inlineStr">
        <is>
          <t>covered</t>
        </is>
      </c>
      <c r="Q765" s="256" t="inlineStr"/>
      <c r="R765" s="256" t="inlineStr">
        <is>
          <t>&lt;LOQ (220-10-К/26)</t>
        </is>
      </c>
    </row>
    <row r="766">
      <c r="A766" s="256" t="inlineStr">
        <is>
          <t>CoQ-PP_26-034</t>
        </is>
      </c>
      <c r="B766" s="256" t="inlineStr">
        <is>
          <t>release</t>
        </is>
      </c>
      <c r="C766" s="256" t="inlineStr">
        <is>
          <t>GP072501/2</t>
        </is>
      </c>
      <c r="D766" s="256" t="inlineStr">
        <is>
          <t>P050302</t>
        </is>
      </c>
      <c r="E766" s="256" t="inlineStr">
        <is>
          <t>Grape Pie</t>
        </is>
      </c>
      <c r="F766" s="256" t="inlineStr">
        <is>
          <t>06.06.2026</t>
        </is>
      </c>
      <c r="G766" s="256" t="inlineStr">
        <is>
          <t>6</t>
        </is>
      </c>
      <c r="H766" s="256" t="inlineStr">
        <is>
          <t>Total CBN</t>
        </is>
      </c>
      <c r="I766" s="256" t="inlineStr">
        <is>
          <t>HPLC — DAB 2018 monograph Cannabis flos, 2.2.29 · CBN + CBNA x 0.876 (CNP, before its Ph. Eur. 3028 accreditation)</t>
        </is>
      </c>
      <c r="J766" s="256" t="inlineStr">
        <is>
          <t>≤ 1.0%, w/w</t>
        </is>
      </c>
      <c r="K766" s="256" t="inlineStr">
        <is>
          <t>0.03 ᴰ</t>
        </is>
      </c>
      <c r="L766" s="256" t="inlineStr">
        <is>
          <t>ППК25379</t>
        </is>
      </c>
      <c r="M766" s="256" t="inlineStr">
        <is>
          <t>12.12.2025</t>
        </is>
      </c>
      <c r="N766" s="256" t="inlineStr">
        <is>
          <t>CNP</t>
        </is>
      </c>
      <c r="O766" s="256" t="inlineStr">
        <is>
          <t>01.12.2025</t>
        </is>
      </c>
      <c r="P766" s="256" t="inlineStr">
        <is>
          <t>covered</t>
        </is>
      </c>
      <c r="Q766" s="256" t="inlineStr"/>
      <c r="R766" s="256" t="inlineStr"/>
    </row>
    <row r="767">
      <c r="A767" s="256" t="inlineStr">
        <is>
          <t>CoQ-PP_26-034</t>
        </is>
      </c>
      <c r="B767" s="256" t="inlineStr">
        <is>
          <t>release</t>
        </is>
      </c>
      <c r="C767" s="256" t="inlineStr">
        <is>
          <t>GP072501/2</t>
        </is>
      </c>
      <c r="D767" s="256" t="inlineStr">
        <is>
          <t>P050302</t>
        </is>
      </c>
      <c r="E767" s="256" t="inlineStr">
        <is>
          <t>Grape Pie</t>
        </is>
      </c>
      <c r="F767" s="256" t="inlineStr">
        <is>
          <t>06.06.2026</t>
        </is>
      </c>
      <c r="G767" s="256" t="inlineStr">
        <is>
          <t>7</t>
        </is>
      </c>
      <c r="H767" s="256" t="inlineStr">
        <is>
          <t>Foreign Matter</t>
        </is>
      </c>
      <c r="I767" s="256" t="inlineStr">
        <is>
          <t>Ph. Eur. 2.8.2 · In-house · интерна</t>
        </is>
      </c>
      <c r="J767" s="256" t="inlineStr">
        <is>
          <t>≤ 2.0% / 25–50 g · &lt; 1 cm leaves | листови, no seeds | без семки</t>
        </is>
      </c>
      <c r="K767" s="256" t="inlineStr">
        <is>
          <t>Conforms | Одговара</t>
        </is>
      </c>
      <c r="L767" s="256" t="inlineStr">
        <is>
          <t>iCoA-PP_26-033</t>
        </is>
      </c>
      <c r="M767" s="256" t="inlineStr">
        <is>
          <t>03.06.2026</t>
        </is>
      </c>
      <c r="N767" s="256" t="inlineStr">
        <is>
          <t>Purely Plant GmbH (in-house)</t>
        </is>
      </c>
      <c r="O767" s="256" t="inlineStr">
        <is>
          <t>—</t>
        </is>
      </c>
      <c r="P767" s="256" t="inlineStr">
        <is>
          <t>to be performed — see route</t>
        </is>
      </c>
      <c r="Q767" s="256" t="inlineStr">
        <is>
          <t>Purely Plant laboratory — iCoA covering Foreign matter</t>
        </is>
      </c>
      <c r="R767" s="256" t="inlineStr"/>
    </row>
    <row r="768">
      <c r="A768" s="256" t="inlineStr">
        <is>
          <t>CoQ-PP_26-034</t>
        </is>
      </c>
      <c r="B768" s="256" t="inlineStr">
        <is>
          <t>release</t>
        </is>
      </c>
      <c r="C768" s="256" t="inlineStr">
        <is>
          <t>GP072501/2</t>
        </is>
      </c>
      <c r="D768" s="256" t="inlineStr">
        <is>
          <t>P050302</t>
        </is>
      </c>
      <c r="E768" s="256" t="inlineStr">
        <is>
          <t>Grape Pie</t>
        </is>
      </c>
      <c r="F768" s="256" t="inlineStr">
        <is>
          <t>06.06.2026</t>
        </is>
      </c>
      <c r="G768" s="256" t="inlineStr">
        <is>
          <t>8</t>
        </is>
      </c>
      <c r="H768" s="256" t="inlineStr">
        <is>
          <t>Loss on Drying</t>
        </is>
      </c>
      <c r="I768" s="256" t="inlineStr">
        <is>
          <t>Ph. Eur. 2.2.32 (3028) · at 40 °C, 24 h, 15–25 mbar</t>
        </is>
      </c>
      <c r="J768" s="256" t="inlineStr">
        <is>
          <t>≤ 12.0%</t>
        </is>
      </c>
      <c r="K768" s="256" t="inlineStr">
        <is>
          <t>7.41</t>
        </is>
      </c>
      <c r="L768" s="256" t="inlineStr">
        <is>
          <t>ППК25379</t>
        </is>
      </c>
      <c r="M768" s="256" t="inlineStr">
        <is>
          <t>12.12.2025</t>
        </is>
      </c>
      <c r="N768" s="256" t="inlineStr">
        <is>
          <t>CNP</t>
        </is>
      </c>
      <c r="O768" s="256" t="inlineStr">
        <is>
          <t>01.12.2025</t>
        </is>
      </c>
      <c r="P768" s="256" t="inlineStr">
        <is>
          <t>covered</t>
        </is>
      </c>
      <c r="Q768" s="256" t="inlineStr"/>
      <c r="R768" s="256" t="inlineStr"/>
    </row>
    <row r="769">
      <c r="A769" s="256" t="inlineStr">
        <is>
          <t>CoQ-PP_26-034</t>
        </is>
      </c>
      <c r="B769" s="256" t="inlineStr">
        <is>
          <t>release</t>
        </is>
      </c>
      <c r="C769" s="256" t="inlineStr">
        <is>
          <t>GP072501/2</t>
        </is>
      </c>
      <c r="D769" s="256" t="inlineStr">
        <is>
          <t>P050302</t>
        </is>
      </c>
      <c r="E769" s="256" t="inlineStr">
        <is>
          <t>Grape Pie</t>
        </is>
      </c>
      <c r="F769" s="256" t="inlineStr">
        <is>
          <t>06.06.2026</t>
        </is>
      </c>
      <c r="G769" s="256" t="inlineStr">
        <is>
          <t>9.1</t>
        </is>
      </c>
      <c r="H769" s="256" t="inlineStr">
        <is>
          <t>TAMC</t>
        </is>
      </c>
      <c r="I769" s="256" t="inlineStr">
        <is>
          <t>Ph. Eur. 2.6.12 cat. C</t>
        </is>
      </c>
      <c r="J769" s="256" t="inlineStr">
        <is>
          <t>≤ 10⁵ CFU/g</t>
        </is>
      </c>
      <c r="K769" s="256" t="inlineStr">
        <is>
          <t>2 × 10²</t>
        </is>
      </c>
      <c r="L769" s="256" t="inlineStr">
        <is>
          <t>1229/2195/25</t>
        </is>
      </c>
      <c r="M769" s="256" t="inlineStr">
        <is>
          <t>05.12.2025</t>
        </is>
      </c>
      <c r="N769" s="256" t="inlineStr">
        <is>
          <t>IPH — Institute of Public Health</t>
        </is>
      </c>
      <c r="O769" s="256" t="inlineStr">
        <is>
          <t>01.12.2025</t>
        </is>
      </c>
      <c r="P769" s="256" t="inlineStr">
        <is>
          <t>covered</t>
        </is>
      </c>
      <c r="Q769" s="256" t="inlineStr"/>
      <c r="R769" s="256" t="inlineStr"/>
    </row>
    <row r="770">
      <c r="A770" s="256" t="inlineStr">
        <is>
          <t>CoQ-PP_26-034</t>
        </is>
      </c>
      <c r="B770" s="256" t="inlineStr">
        <is>
          <t>release</t>
        </is>
      </c>
      <c r="C770" s="256" t="inlineStr">
        <is>
          <t>GP072501/2</t>
        </is>
      </c>
      <c r="D770" s="256" t="inlineStr">
        <is>
          <t>P050302</t>
        </is>
      </c>
      <c r="E770" s="256" t="inlineStr">
        <is>
          <t>Grape Pie</t>
        </is>
      </c>
      <c r="F770" s="256" t="inlineStr">
        <is>
          <t>06.06.2026</t>
        </is>
      </c>
      <c r="G770" s="256" t="inlineStr">
        <is>
          <t>9.2</t>
        </is>
      </c>
      <c r="H770" s="256" t="inlineStr">
        <is>
          <t>TYMC</t>
        </is>
      </c>
      <c r="I770" s="256" t="inlineStr">
        <is>
          <t>Ph. Eur. 2.6.12 cat. C</t>
        </is>
      </c>
      <c r="J770" s="256" t="inlineStr">
        <is>
          <t>≤ 10⁴ CFU/g</t>
        </is>
      </c>
      <c r="K770" s="256" t="inlineStr">
        <is>
          <t>3 × 10²</t>
        </is>
      </c>
      <c r="L770" s="256" t="inlineStr">
        <is>
          <t>1229/2195/25</t>
        </is>
      </c>
      <c r="M770" s="256" t="inlineStr">
        <is>
          <t>05.12.2025</t>
        </is>
      </c>
      <c r="N770" s="256" t="inlineStr">
        <is>
          <t>IPH — Institute of Public Health</t>
        </is>
      </c>
      <c r="O770" s="256" t="inlineStr">
        <is>
          <t>01.12.2025</t>
        </is>
      </c>
      <c r="P770" s="256" t="inlineStr">
        <is>
          <t>covered</t>
        </is>
      </c>
      <c r="Q770" s="256" t="inlineStr"/>
      <c r="R770" s="256" t="inlineStr"/>
    </row>
    <row r="771">
      <c r="A771" s="256" t="inlineStr">
        <is>
          <t>CoQ-PP_26-034</t>
        </is>
      </c>
      <c r="B771" s="256" t="inlineStr">
        <is>
          <t>release</t>
        </is>
      </c>
      <c r="C771" s="256" t="inlineStr">
        <is>
          <t>GP072501/2</t>
        </is>
      </c>
      <c r="D771" s="256" t="inlineStr">
        <is>
          <t>P050302</t>
        </is>
      </c>
      <c r="E771" s="256" t="inlineStr">
        <is>
          <t>Grape Pie</t>
        </is>
      </c>
      <c r="F771" s="256" t="inlineStr">
        <is>
          <t>06.06.2026</t>
        </is>
      </c>
      <c r="G771" s="256" t="inlineStr">
        <is>
          <t>9.3</t>
        </is>
      </c>
      <c r="H771" s="256" t="inlineStr">
        <is>
          <t>Bile-tolerant gram-neg.</t>
        </is>
      </c>
      <c r="I771" s="256" t="inlineStr">
        <is>
          <t>Ph. Eur. 2.6.31 cat. C</t>
        </is>
      </c>
      <c r="J771" s="256" t="inlineStr">
        <is>
          <t>≤ 10⁴ CFU/g</t>
        </is>
      </c>
      <c r="K771" s="256" t="inlineStr">
        <is>
          <t>&lt; 10</t>
        </is>
      </c>
      <c r="L771" s="256" t="inlineStr">
        <is>
          <t>1229/2195/25</t>
        </is>
      </c>
      <c r="M771" s="256" t="inlineStr">
        <is>
          <t>05.12.2025</t>
        </is>
      </c>
      <c r="N771" s="256" t="inlineStr">
        <is>
          <t>IPH — Institute of Public Health</t>
        </is>
      </c>
      <c r="O771" s="256" t="inlineStr">
        <is>
          <t>01.12.2025</t>
        </is>
      </c>
      <c r="P771" s="256" t="inlineStr">
        <is>
          <t>covered</t>
        </is>
      </c>
      <c r="Q771" s="256" t="inlineStr"/>
      <c r="R771" s="256" t="inlineStr"/>
    </row>
    <row r="772">
      <c r="A772" s="256" t="inlineStr">
        <is>
          <t>CoQ-PP_26-034</t>
        </is>
      </c>
      <c r="B772" s="256" t="inlineStr">
        <is>
          <t>release</t>
        </is>
      </c>
      <c r="C772" s="256" t="inlineStr">
        <is>
          <t>GP072501/2</t>
        </is>
      </c>
      <c r="D772" s="256" t="inlineStr">
        <is>
          <t>P050302</t>
        </is>
      </c>
      <c r="E772" s="256" t="inlineStr">
        <is>
          <t>Grape Pie</t>
        </is>
      </c>
      <c r="F772" s="256" t="inlineStr">
        <is>
          <t>06.06.2026</t>
        </is>
      </c>
      <c r="G772" s="256" t="inlineStr">
        <is>
          <t>9.4</t>
        </is>
      </c>
      <c r="H772" s="256" t="inlineStr">
        <is>
          <t>Salmonella</t>
        </is>
      </c>
      <c r="I772" s="256" t="inlineStr">
        <is>
          <t>Ph. Eur. 2.6.31 cat. C</t>
        </is>
      </c>
      <c r="J772" s="256" t="inlineStr">
        <is>
          <t>Absence | Отсуство / 25 g</t>
        </is>
      </c>
      <c r="K772" s="256" t="inlineStr">
        <is>
          <t>Absent | Отсутна</t>
        </is>
      </c>
      <c r="L772" s="256" t="inlineStr">
        <is>
          <t>1229/2195/25</t>
        </is>
      </c>
      <c r="M772" s="256" t="inlineStr">
        <is>
          <t>05.12.2025</t>
        </is>
      </c>
      <c r="N772" s="256" t="inlineStr">
        <is>
          <t>IPH — Institute of Public Health</t>
        </is>
      </c>
      <c r="O772" s="256" t="inlineStr">
        <is>
          <t>01.12.2025</t>
        </is>
      </c>
      <c r="P772" s="256" t="inlineStr">
        <is>
          <t>covered</t>
        </is>
      </c>
      <c r="Q772" s="256" t="inlineStr"/>
      <c r="R772" s="256" t="inlineStr"/>
    </row>
    <row r="773">
      <c r="A773" s="256" t="inlineStr">
        <is>
          <t>CoQ-PP_26-034</t>
        </is>
      </c>
      <c r="B773" s="256" t="inlineStr">
        <is>
          <t>release</t>
        </is>
      </c>
      <c r="C773" s="256" t="inlineStr">
        <is>
          <t>GP072501/2</t>
        </is>
      </c>
      <c r="D773" s="256" t="inlineStr">
        <is>
          <t>P050302</t>
        </is>
      </c>
      <c r="E773" s="256" t="inlineStr">
        <is>
          <t>Grape Pie</t>
        </is>
      </c>
      <c r="F773" s="256" t="inlineStr">
        <is>
          <t>06.06.2026</t>
        </is>
      </c>
      <c r="G773" s="256" t="inlineStr">
        <is>
          <t>9.5</t>
        </is>
      </c>
      <c r="H773" s="256" t="inlineStr">
        <is>
          <t>Escherichia coli</t>
        </is>
      </c>
      <c r="I773" s="256" t="inlineStr">
        <is>
          <t>Ph. Eur. 2.6.13 cat. C</t>
        </is>
      </c>
      <c r="J773" s="256" t="inlineStr">
        <is>
          <t>Absence | Отсуство / 1 g</t>
        </is>
      </c>
      <c r="K773" s="256" t="inlineStr">
        <is>
          <t>Absent | Отсутна</t>
        </is>
      </c>
      <c r="L773" s="256" t="inlineStr">
        <is>
          <t>1229/2195/25</t>
        </is>
      </c>
      <c r="M773" s="256" t="inlineStr">
        <is>
          <t>05.12.2025</t>
        </is>
      </c>
      <c r="N773" s="256" t="inlineStr">
        <is>
          <t>IPH — Institute of Public Health</t>
        </is>
      </c>
      <c r="O773" s="256" t="inlineStr">
        <is>
          <t>01.12.2025</t>
        </is>
      </c>
      <c r="P773" s="256" t="inlineStr">
        <is>
          <t>covered</t>
        </is>
      </c>
      <c r="Q773" s="256" t="inlineStr"/>
      <c r="R773" s="256" t="inlineStr"/>
    </row>
    <row r="774">
      <c r="A774" s="256" t="inlineStr">
        <is>
          <t>CoQ-PP_26-034</t>
        </is>
      </c>
      <c r="B774" s="256" t="inlineStr">
        <is>
          <t>release</t>
        </is>
      </c>
      <c r="C774" s="256" t="inlineStr">
        <is>
          <t>GP072501/2</t>
        </is>
      </c>
      <c r="D774" s="256" t="inlineStr">
        <is>
          <t>P050302</t>
        </is>
      </c>
      <c r="E774" s="256" t="inlineStr">
        <is>
          <t>Grape Pie</t>
        </is>
      </c>
      <c r="F774" s="256" t="inlineStr">
        <is>
          <t>06.06.2026</t>
        </is>
      </c>
      <c r="G774" s="256" t="inlineStr">
        <is>
          <t>9.6</t>
        </is>
      </c>
      <c r="H774" s="256" t="inlineStr">
        <is>
          <t>Pseudomonas aeruginosa</t>
        </is>
      </c>
      <c r="I774" s="256" t="inlineStr">
        <is>
          <t>Ph. Eur. 2.6.13 cat. C</t>
        </is>
      </c>
      <c r="J774" s="256" t="inlineStr">
        <is>
          <t>Absence | Отсуство / 1 g</t>
        </is>
      </c>
      <c r="K774" s="260" t="inlineStr">
        <is>
          <t>upon request — not required for release</t>
        </is>
      </c>
      <c r="L774" s="256" t="inlineStr">
        <is>
          <t>—</t>
        </is>
      </c>
      <c r="M774" s="256" t="inlineStr">
        <is>
          <t>—</t>
        </is>
      </c>
      <c r="N774" s="256" t="inlineStr">
        <is>
          <t>—</t>
        </is>
      </c>
      <c r="O774" s="256" t="inlineStr">
        <is>
          <t>—</t>
        </is>
      </c>
      <c r="P774" s="256" t="inlineStr">
        <is>
          <t>upon request — not required for release</t>
        </is>
      </c>
      <c r="Q774" s="256" t="inlineStr"/>
      <c r="R774" s="256" t="inlineStr"/>
    </row>
    <row r="775">
      <c r="A775" s="256" t="inlineStr">
        <is>
          <t>CoQ-PP_26-034</t>
        </is>
      </c>
      <c r="B775" s="256" t="inlineStr">
        <is>
          <t>release</t>
        </is>
      </c>
      <c r="C775" s="256" t="inlineStr">
        <is>
          <t>GP072501/2</t>
        </is>
      </c>
      <c r="D775" s="256" t="inlineStr">
        <is>
          <t>P050302</t>
        </is>
      </c>
      <c r="E775" s="256" t="inlineStr">
        <is>
          <t>Grape Pie</t>
        </is>
      </c>
      <c r="F775" s="256" t="inlineStr">
        <is>
          <t>06.06.2026</t>
        </is>
      </c>
      <c r="G775" s="256" t="inlineStr">
        <is>
          <t>9.7</t>
        </is>
      </c>
      <c r="H775" s="256" t="inlineStr">
        <is>
          <t>Staphylococcus aureus</t>
        </is>
      </c>
      <c r="I775" s="256" t="inlineStr">
        <is>
          <t>Ph. Eur. 2.6.13 cat. C</t>
        </is>
      </c>
      <c r="J775" s="256" t="inlineStr">
        <is>
          <t>Absence | Отсуство / 1 g</t>
        </is>
      </c>
      <c r="K775" s="260" t="inlineStr">
        <is>
          <t>upon request — not required for release</t>
        </is>
      </c>
      <c r="L775" s="256" t="inlineStr">
        <is>
          <t>—</t>
        </is>
      </c>
      <c r="M775" s="256" t="inlineStr">
        <is>
          <t>—</t>
        </is>
      </c>
      <c r="N775" s="256" t="inlineStr">
        <is>
          <t>—</t>
        </is>
      </c>
      <c r="O775" s="256" t="inlineStr">
        <is>
          <t>—</t>
        </is>
      </c>
      <c r="P775" s="256" t="inlineStr">
        <is>
          <t>upon request — not required for release</t>
        </is>
      </c>
      <c r="Q775" s="256" t="inlineStr"/>
      <c r="R775" s="256" t="inlineStr"/>
    </row>
    <row r="776">
      <c r="A776" s="256" t="inlineStr">
        <is>
          <t>CoQ-PP_26-034</t>
        </is>
      </c>
      <c r="B776" s="256" t="inlineStr">
        <is>
          <t>release</t>
        </is>
      </c>
      <c r="C776" s="256" t="inlineStr">
        <is>
          <t>GP072501/2</t>
        </is>
      </c>
      <c r="D776" s="256" t="inlineStr">
        <is>
          <t>P050302</t>
        </is>
      </c>
      <c r="E776" s="256" t="inlineStr">
        <is>
          <t>Grape Pie</t>
        </is>
      </c>
      <c r="F776" s="256" t="inlineStr">
        <is>
          <t>06.06.2026</t>
        </is>
      </c>
      <c r="G776" s="256" t="inlineStr">
        <is>
          <t>10.1</t>
        </is>
      </c>
      <c r="H776" s="256" t="inlineStr">
        <is>
          <t>Aflatoxin B₁</t>
        </is>
      </c>
      <c r="I776" s="256" t="inlineStr">
        <is>
          <t>Ph. Eur. 2.8.18 (HPLC-FLD)</t>
        </is>
      </c>
      <c r="J776" s="256" t="inlineStr">
        <is>
          <t>≤ 2 µg/kg</t>
        </is>
      </c>
      <c r="K776" s="259" t="inlineStr">
        <is>
          <t>not tested</t>
        </is>
      </c>
      <c r="L776" s="256" t="inlineStr">
        <is>
          <t>—</t>
        </is>
      </c>
      <c r="M776" s="256" t="inlineStr">
        <is>
          <t>—</t>
        </is>
      </c>
      <c r="N776" s="256" t="inlineStr">
        <is>
          <t>—</t>
        </is>
      </c>
      <c r="O776" s="256" t="inlineStr">
        <is>
          <t>—</t>
        </is>
      </c>
      <c r="P776" s="256" t="inlineStr">
        <is>
          <t>not tested — no certificate covers it</t>
        </is>
      </c>
      <c r="Q776" s="256" t="inlineStr"/>
      <c r="R776" s="256" t="inlineStr">
        <is>
          <t>ND (220-10-М/26)</t>
        </is>
      </c>
    </row>
    <row r="777">
      <c r="A777" s="256" t="inlineStr">
        <is>
          <t>CoQ-PP_26-034</t>
        </is>
      </c>
      <c r="B777" s="256" t="inlineStr">
        <is>
          <t>release</t>
        </is>
      </c>
      <c r="C777" s="256" t="inlineStr">
        <is>
          <t>GP072501/2</t>
        </is>
      </c>
      <c r="D777" s="256" t="inlineStr">
        <is>
          <t>P050302</t>
        </is>
      </c>
      <c r="E777" s="256" t="inlineStr">
        <is>
          <t>Grape Pie</t>
        </is>
      </c>
      <c r="F777" s="256" t="inlineStr">
        <is>
          <t>06.06.2026</t>
        </is>
      </c>
      <c r="G777" s="256" t="inlineStr">
        <is>
          <t>10.2</t>
        </is>
      </c>
      <c r="H777" s="256" t="inlineStr">
        <is>
          <t>Aflatoxins ∑</t>
        </is>
      </c>
      <c r="I777" s="256" t="inlineStr">
        <is>
          <t>Ph. Eur. 2.8.18 (HPLC-FLD)</t>
        </is>
      </c>
      <c r="J777" s="256" t="inlineStr">
        <is>
          <t>≤ 4 µg/kg</t>
        </is>
      </c>
      <c r="K777" s="256" t="inlineStr">
        <is>
          <t>&lt; 2</t>
        </is>
      </c>
      <c r="L777" s="256" t="inlineStr">
        <is>
          <t>5887/2025</t>
        </is>
      </c>
      <c r="M777" s="256" t="inlineStr">
        <is>
          <t>12.12.2025</t>
        </is>
      </c>
      <c r="N777" s="256" t="inlineStr">
        <is>
          <t>IPH — Institute of Public Health</t>
        </is>
      </c>
      <c r="O777" s="256" t="inlineStr">
        <is>
          <t>01.12.2025</t>
        </is>
      </c>
      <c r="P777" s="256" t="inlineStr">
        <is>
          <t>covered</t>
        </is>
      </c>
      <c r="Q777" s="256" t="inlineStr"/>
      <c r="R777" s="256" t="inlineStr">
        <is>
          <t>ND (220-10-М/26)</t>
        </is>
      </c>
    </row>
    <row r="778">
      <c r="A778" s="256" t="inlineStr">
        <is>
          <t>CoQ-PP_26-034</t>
        </is>
      </c>
      <c r="B778" s="256" t="inlineStr">
        <is>
          <t>release</t>
        </is>
      </c>
      <c r="C778" s="256" t="inlineStr">
        <is>
          <t>GP072501/2</t>
        </is>
      </c>
      <c r="D778" s="256" t="inlineStr">
        <is>
          <t>P050302</t>
        </is>
      </c>
      <c r="E778" s="256" t="inlineStr">
        <is>
          <t>Grape Pie</t>
        </is>
      </c>
      <c r="F778" s="256" t="inlineStr">
        <is>
          <t>06.06.2026</t>
        </is>
      </c>
      <c r="G778" s="256" t="inlineStr">
        <is>
          <t>10.3</t>
        </is>
      </c>
      <c r="H778" s="256" t="inlineStr">
        <is>
          <t>Ochratoxin A</t>
        </is>
      </c>
      <c r="I778" s="256" t="inlineStr">
        <is>
          <t>Ph. Eur. 2.8.22 (HPLC-FLD)</t>
        </is>
      </c>
      <c r="J778" s="256" t="inlineStr">
        <is>
          <t>≤ 20 µg/kg</t>
        </is>
      </c>
      <c r="K778" s="259" t="inlineStr">
        <is>
          <t>not tested</t>
        </is>
      </c>
      <c r="L778" s="256" t="inlineStr">
        <is>
          <t>—</t>
        </is>
      </c>
      <c r="M778" s="256" t="inlineStr">
        <is>
          <t>—</t>
        </is>
      </c>
      <c r="N778" s="256" t="inlineStr">
        <is>
          <t>—</t>
        </is>
      </c>
      <c r="O778" s="256" t="inlineStr">
        <is>
          <t>—</t>
        </is>
      </c>
      <c r="P778" s="256" t="inlineStr">
        <is>
          <t>not tested — no certificate covers it</t>
        </is>
      </c>
      <c r="Q778" s="256" t="inlineStr"/>
      <c r="R778" s="256" t="inlineStr">
        <is>
          <t>ND (220-10-М/26)</t>
        </is>
      </c>
    </row>
    <row r="779">
      <c r="A779" s="256" t="inlineStr">
        <is>
          <t>CoQ-PP_26-034</t>
        </is>
      </c>
      <c r="B779" s="256" t="inlineStr">
        <is>
          <t>release</t>
        </is>
      </c>
      <c r="C779" s="256" t="inlineStr">
        <is>
          <t>GP072501/2</t>
        </is>
      </c>
      <c r="D779" s="256" t="inlineStr">
        <is>
          <t>P050302</t>
        </is>
      </c>
      <c r="E779" s="256" t="inlineStr">
        <is>
          <t>Grape Pie</t>
        </is>
      </c>
      <c r="F779" s="256" t="inlineStr">
        <is>
          <t>06.06.2026</t>
        </is>
      </c>
      <c r="G779" s="256" t="inlineStr">
        <is>
          <t>11.1</t>
        </is>
      </c>
      <c r="H779" s="256" t="inlineStr">
        <is>
          <t>Lead (Pb)</t>
        </is>
      </c>
      <c r="I779" s="256" t="inlineStr">
        <is>
          <t>Ph. Eur. 2.4.27 (ICP-MS)</t>
        </is>
      </c>
      <c r="J779" s="256" t="inlineStr">
        <is>
          <t>≤ 0.5 mg/kg</t>
        </is>
      </c>
      <c r="K779" s="256" t="inlineStr">
        <is>
          <t>0.017</t>
        </is>
      </c>
      <c r="L779" s="256" t="inlineStr">
        <is>
          <t>5887/2025</t>
        </is>
      </c>
      <c r="M779" s="256" t="inlineStr">
        <is>
          <t>12.12.2025</t>
        </is>
      </c>
      <c r="N779" s="256" t="inlineStr">
        <is>
          <t>IPH — Institute of Public Health</t>
        </is>
      </c>
      <c r="O779" s="256" t="inlineStr">
        <is>
          <t>01.12.2025</t>
        </is>
      </c>
      <c r="P779" s="256" t="inlineStr">
        <is>
          <t>covered</t>
        </is>
      </c>
      <c r="Q779" s="256" t="inlineStr"/>
      <c r="R779" s="256" t="inlineStr"/>
    </row>
    <row r="780">
      <c r="A780" s="256" t="inlineStr">
        <is>
          <t>CoQ-PP_26-034</t>
        </is>
      </c>
      <c r="B780" s="256" t="inlineStr">
        <is>
          <t>release</t>
        </is>
      </c>
      <c r="C780" s="256" t="inlineStr">
        <is>
          <t>GP072501/2</t>
        </is>
      </c>
      <c r="D780" s="256" t="inlineStr">
        <is>
          <t>P050302</t>
        </is>
      </c>
      <c r="E780" s="256" t="inlineStr">
        <is>
          <t>Grape Pie</t>
        </is>
      </c>
      <c r="F780" s="256" t="inlineStr">
        <is>
          <t>06.06.2026</t>
        </is>
      </c>
      <c r="G780" s="256" t="inlineStr">
        <is>
          <t>11.2</t>
        </is>
      </c>
      <c r="H780" s="256" t="inlineStr">
        <is>
          <t>Cadmium (Cd)</t>
        </is>
      </c>
      <c r="I780" s="256" t="inlineStr">
        <is>
          <t>Ph. Eur. 2.4.27 (ICP-MS)</t>
        </is>
      </c>
      <c r="J780" s="256" t="inlineStr">
        <is>
          <t>≤ 0.3 mg/kg</t>
        </is>
      </c>
      <c r="K780" s="256" t="inlineStr">
        <is>
          <t>0.0028</t>
        </is>
      </c>
      <c r="L780" s="256" t="inlineStr">
        <is>
          <t>5887/2025</t>
        </is>
      </c>
      <c r="M780" s="256" t="inlineStr">
        <is>
          <t>12.12.2025</t>
        </is>
      </c>
      <c r="N780" s="256" t="inlineStr">
        <is>
          <t>IPH — Institute of Public Health</t>
        </is>
      </c>
      <c r="O780" s="256" t="inlineStr">
        <is>
          <t>01.12.2025</t>
        </is>
      </c>
      <c r="P780" s="256" t="inlineStr">
        <is>
          <t>covered</t>
        </is>
      </c>
      <c r="Q780" s="256" t="inlineStr"/>
      <c r="R780" s="256" t="inlineStr"/>
    </row>
    <row r="781">
      <c r="A781" s="256" t="inlineStr">
        <is>
          <t>CoQ-PP_26-034</t>
        </is>
      </c>
      <c r="B781" s="256" t="inlineStr">
        <is>
          <t>release</t>
        </is>
      </c>
      <c r="C781" s="256" t="inlineStr">
        <is>
          <t>GP072501/2</t>
        </is>
      </c>
      <c r="D781" s="256" t="inlineStr">
        <is>
          <t>P050302</t>
        </is>
      </c>
      <c r="E781" s="256" t="inlineStr">
        <is>
          <t>Grape Pie</t>
        </is>
      </c>
      <c r="F781" s="256" t="inlineStr">
        <is>
          <t>06.06.2026</t>
        </is>
      </c>
      <c r="G781" s="256" t="inlineStr">
        <is>
          <t>11.3</t>
        </is>
      </c>
      <c r="H781" s="256" t="inlineStr">
        <is>
          <t>Arsenic (As)</t>
        </is>
      </c>
      <c r="I781" s="256" t="inlineStr">
        <is>
          <t>Ph. Eur. 2.4.27 (ICP-MS)</t>
        </is>
      </c>
      <c r="J781" s="256" t="inlineStr">
        <is>
          <t>≤ 0.2 mg/kg</t>
        </is>
      </c>
      <c r="K781" s="256" t="inlineStr">
        <is>
          <t>0.02</t>
        </is>
      </c>
      <c r="L781" s="256" t="inlineStr">
        <is>
          <t>5887/2025</t>
        </is>
      </c>
      <c r="M781" s="256" t="inlineStr">
        <is>
          <t>12.12.2025</t>
        </is>
      </c>
      <c r="N781" s="256" t="inlineStr">
        <is>
          <t>IPH — Institute of Public Health</t>
        </is>
      </c>
      <c r="O781" s="256" t="inlineStr">
        <is>
          <t>01.12.2025</t>
        </is>
      </c>
      <c r="P781" s="256" t="inlineStr">
        <is>
          <t>covered</t>
        </is>
      </c>
      <c r="Q781" s="256" t="inlineStr"/>
      <c r="R781" s="256" t="inlineStr"/>
    </row>
    <row r="782">
      <c r="A782" s="256" t="inlineStr">
        <is>
          <t>CoQ-PP_26-034</t>
        </is>
      </c>
      <c r="B782" s="256" t="inlineStr">
        <is>
          <t>release</t>
        </is>
      </c>
      <c r="C782" s="256" t="inlineStr">
        <is>
          <t>GP072501/2</t>
        </is>
      </c>
      <c r="D782" s="256" t="inlineStr">
        <is>
          <t>P050302</t>
        </is>
      </c>
      <c r="E782" s="256" t="inlineStr">
        <is>
          <t>Grape Pie</t>
        </is>
      </c>
      <c r="F782" s="256" t="inlineStr">
        <is>
          <t>06.06.2026</t>
        </is>
      </c>
      <c r="G782" s="256" t="inlineStr">
        <is>
          <t>11.4</t>
        </is>
      </c>
      <c r="H782" s="256" t="inlineStr">
        <is>
          <t>Mercury (Hg)</t>
        </is>
      </c>
      <c r="I782" s="256" t="inlineStr">
        <is>
          <t>Ph. Eur. 2.4.27 (ICP-MS)</t>
        </is>
      </c>
      <c r="J782" s="256" t="inlineStr">
        <is>
          <t>≤ 0.1 mg/kg</t>
        </is>
      </c>
      <c r="K782" s="256" t="inlineStr">
        <is>
          <t>0.019</t>
        </is>
      </c>
      <c r="L782" s="256" t="inlineStr">
        <is>
          <t>5887/2025</t>
        </is>
      </c>
      <c r="M782" s="256" t="inlineStr">
        <is>
          <t>12.12.2025</t>
        </is>
      </c>
      <c r="N782" s="256" t="inlineStr">
        <is>
          <t>IPH — Institute of Public Health</t>
        </is>
      </c>
      <c r="O782" s="256" t="inlineStr">
        <is>
          <t>01.12.2025</t>
        </is>
      </c>
      <c r="P782" s="256" t="inlineStr">
        <is>
          <t>covered</t>
        </is>
      </c>
      <c r="Q782" s="256" t="inlineStr"/>
      <c r="R782" s="256" t="inlineStr"/>
    </row>
    <row r="783">
      <c r="A783" s="256" t="inlineStr">
        <is>
          <t>CoQ-PP_26-034</t>
        </is>
      </c>
      <c r="B783" s="256" t="inlineStr">
        <is>
          <t>release</t>
        </is>
      </c>
      <c r="C783" s="256" t="inlineStr">
        <is>
          <t>GP072501/2</t>
        </is>
      </c>
      <c r="D783" s="256" t="inlineStr">
        <is>
          <t>P050302</t>
        </is>
      </c>
      <c r="E783" s="256" t="inlineStr">
        <is>
          <t>Grape Pie</t>
        </is>
      </c>
      <c r="F783" s="256" t="inlineStr">
        <is>
          <t>06.06.2026</t>
        </is>
      </c>
      <c r="G783" s="256" t="inlineStr">
        <is>
          <t>12</t>
        </is>
      </c>
      <c r="H783" s="256" t="inlineStr">
        <is>
          <t>Pesticide Residues</t>
        </is>
      </c>
      <c r="I783" s="256" t="inlineStr">
        <is>
          <t>Ph. Eur. 2.8.13 (LC-MS/MS) · CUMCS Equivalency</t>
        </is>
      </c>
      <c r="J783" s="256" t="inlineStr">
        <is>
          <t>≤ LOQ as per Ph. Eur. 2.8.13 · ≤ LOQ as per CUMCS Equivalency</t>
        </is>
      </c>
      <c r="K783" s="256" t="inlineStr">
        <is>
          <t>ND</t>
        </is>
      </c>
      <c r="L783" s="256" t="inlineStr">
        <is>
          <t>5887/2025</t>
        </is>
      </c>
      <c r="M783" s="256" t="inlineStr">
        <is>
          <t>12.12.2025</t>
        </is>
      </c>
      <c r="N783" s="256" t="inlineStr">
        <is>
          <t>IPH — Institute of Public Health</t>
        </is>
      </c>
      <c r="O783" s="256" t="inlineStr">
        <is>
          <t>01.12.2025</t>
        </is>
      </c>
      <c r="P783" s="256" t="inlineStr">
        <is>
          <t>covered</t>
        </is>
      </c>
      <c r="Q783" s="256" t="inlineStr"/>
      <c r="R783" s="256" t="inlineStr"/>
    </row>
    <row r="784">
      <c r="A784" s="256" t="inlineStr">
        <is>
          <t>CoQ-PP_26-035</t>
        </is>
      </c>
      <c r="B784" s="256" t="inlineStr">
        <is>
          <t>release</t>
        </is>
      </c>
      <c r="C784" s="256" t="inlineStr">
        <is>
          <t>GP082501/1</t>
        </is>
      </c>
      <c r="D784" s="256" t="inlineStr">
        <is>
          <t>P050312</t>
        </is>
      </c>
      <c r="E784" s="256" t="inlineStr">
        <is>
          <t>Grape Pie</t>
        </is>
      </c>
      <c r="F784" s="256" t="inlineStr">
        <is>
          <t>06.06.2026</t>
        </is>
      </c>
      <c r="G784" s="256" t="inlineStr">
        <is>
          <t>1</t>
        </is>
      </c>
      <c r="H784" s="256" t="inlineStr">
        <is>
          <t>Identification A, Appearance · Macroscopic</t>
        </is>
      </c>
      <c r="I784" s="256" t="inlineStr">
        <is>
          <t>Ph. Eur. mon. 3028</t>
        </is>
      </c>
      <c r="J784" s="256" t="inlineStr">
        <is>
          <t>Conforms to the monograph for Cannabis flos (07/2024:3028) in Ph. Eur. 11.0 | Согласно монографија за Cannabis flos (07/2024:3028) во Ph. Eur. 11.0</t>
        </is>
      </c>
      <c r="K784" s="256" t="inlineStr">
        <is>
          <t>Conforms | Одговара</t>
        </is>
      </c>
      <c r="L784" s="256" t="inlineStr">
        <is>
          <t>iCoA-PP_26-034</t>
        </is>
      </c>
      <c r="M784" s="256" t="inlineStr">
        <is>
          <t>03.06.2026</t>
        </is>
      </c>
      <c r="N784" s="256" t="inlineStr">
        <is>
          <t>Purely Plant GmbH (in-house)</t>
        </is>
      </c>
      <c r="O784" s="256" t="inlineStr">
        <is>
          <t>—</t>
        </is>
      </c>
      <c r="P784" s="256" t="inlineStr">
        <is>
          <t>to be performed — see route</t>
        </is>
      </c>
      <c r="Q784" s="256" t="inlineStr">
        <is>
          <t>Purely Plant laboratory — iCoA covering Ident A + B</t>
        </is>
      </c>
      <c r="R784" s="256" t="inlineStr"/>
    </row>
    <row r="785">
      <c r="A785" s="256" t="inlineStr">
        <is>
          <t>CoQ-PP_26-035</t>
        </is>
      </c>
      <c r="B785" s="256" t="inlineStr">
        <is>
          <t>release</t>
        </is>
      </c>
      <c r="C785" s="256" t="inlineStr">
        <is>
          <t>GP082501/1</t>
        </is>
      </c>
      <c r="D785" s="256" t="inlineStr">
        <is>
          <t>P050312</t>
        </is>
      </c>
      <c r="E785" s="256" t="inlineStr">
        <is>
          <t>Grape Pie</t>
        </is>
      </c>
      <c r="F785" s="256" t="inlineStr">
        <is>
          <t>06.06.2026</t>
        </is>
      </c>
      <c r="G785" s="256" t="inlineStr">
        <is>
          <t>2</t>
        </is>
      </c>
      <c r="H785" s="256" t="inlineStr">
        <is>
          <t>Identification B · Microscopic</t>
        </is>
      </c>
      <c r="I785" s="256" t="inlineStr">
        <is>
          <t>Ph. Eur. 2.8.23 (microscopy)</t>
        </is>
      </c>
      <c r="J785" s="256" t="inlineStr">
        <is>
          <t>Conforms to the monograph for Cannabis flos (07/2024:3028) in Ph. Eur. 11.0 | Согласно монографија за Cannabis flos (07/2024:3028) во Ph. Eur. 11.0</t>
        </is>
      </c>
      <c r="K785" s="256" t="inlineStr">
        <is>
          <t>Conforms | Одговара</t>
        </is>
      </c>
      <c r="L785" s="256" t="inlineStr">
        <is>
          <t>iCoA-PP_26-034</t>
        </is>
      </c>
      <c r="M785" s="256" t="inlineStr">
        <is>
          <t>03.06.2026</t>
        </is>
      </c>
      <c r="N785" s="256" t="inlineStr">
        <is>
          <t>Purely Plant GmbH (in-house)</t>
        </is>
      </c>
      <c r="O785" s="256" t="inlineStr">
        <is>
          <t>—</t>
        </is>
      </c>
      <c r="P785" s="256" t="inlineStr">
        <is>
          <t>to be performed — see route</t>
        </is>
      </c>
      <c r="Q785" s="256" t="inlineStr">
        <is>
          <t>Purely Plant laboratory — iCoA covering Ident A + B</t>
        </is>
      </c>
      <c r="R785" s="256" t="inlineStr"/>
    </row>
    <row r="786">
      <c r="A786" s="256" t="inlineStr">
        <is>
          <t>CoQ-PP_26-035</t>
        </is>
      </c>
      <c r="B786" s="256" t="inlineStr">
        <is>
          <t>release</t>
        </is>
      </c>
      <c r="C786" s="256" t="inlineStr">
        <is>
          <t>GP082501/1</t>
        </is>
      </c>
      <c r="D786" s="256" t="inlineStr">
        <is>
          <t>P050312</t>
        </is>
      </c>
      <c r="E786" s="256" t="inlineStr">
        <is>
          <t>Grape Pie</t>
        </is>
      </c>
      <c r="F786" s="256" t="inlineStr">
        <is>
          <t>06.06.2026</t>
        </is>
      </c>
      <c r="G786" s="256" t="inlineStr">
        <is>
          <t>3</t>
        </is>
      </c>
      <c r="H786" s="256" t="inlineStr">
        <is>
          <t>Identification C · HPLC/HPTLC</t>
        </is>
      </c>
      <c r="I786" s="256" t="inlineStr">
        <is>
          <t>Ph. Eur. 2.2.29 (3028)</t>
        </is>
      </c>
      <c r="J786" s="256" t="inlineStr">
        <is>
          <t>Conforms to the monograph for Cannabis flos (07/2024:3028) in Ph. Eur. 11.0 | Согласно монографија за Cannabis flos (07/2024:3028) во Ph. Eur. 11.0</t>
        </is>
      </c>
      <c r="K786" s="256" t="inlineStr">
        <is>
          <t>Conforms | Одговара</t>
        </is>
      </c>
      <c r="L786" s="256" t="inlineStr">
        <is>
          <t>ППК25380</t>
        </is>
      </c>
      <c r="M786" s="256" t="inlineStr">
        <is>
          <t>12.12.2025</t>
        </is>
      </c>
      <c r="N786" s="256" t="inlineStr">
        <is>
          <t>CNP</t>
        </is>
      </c>
      <c r="O786" s="256" t="inlineStr">
        <is>
          <t>01.12.2025</t>
        </is>
      </c>
      <c r="P786" s="256" t="inlineStr">
        <is>
          <t>covered</t>
        </is>
      </c>
      <c r="Q786" s="256" t="inlineStr"/>
      <c r="R786" s="256" t="inlineStr"/>
    </row>
    <row r="787">
      <c r="A787" s="256" t="inlineStr">
        <is>
          <t>CoQ-PP_26-035</t>
        </is>
      </c>
      <c r="B787" s="256" t="inlineStr">
        <is>
          <t>release</t>
        </is>
      </c>
      <c r="C787" s="256" t="inlineStr">
        <is>
          <t>GP082501/1</t>
        </is>
      </c>
      <c r="D787" s="256" t="inlineStr">
        <is>
          <t>P050312</t>
        </is>
      </c>
      <c r="E787" s="256" t="inlineStr">
        <is>
          <t>Grape Pie</t>
        </is>
      </c>
      <c r="F787" s="256" t="inlineStr">
        <is>
          <t>06.06.2026</t>
        </is>
      </c>
      <c r="G787" s="256" t="inlineStr">
        <is>
          <t>4</t>
        </is>
      </c>
      <c r="H787" s="256" t="inlineStr">
        <is>
          <t>Assay — Total Δ⁹-THC</t>
        </is>
      </c>
      <c r="I787" s="256" t="inlineStr">
        <is>
          <t>Ph. Eur. 2.2.29 (HPLC)</t>
        </is>
      </c>
      <c r="J787" s="256" t="inlineStr">
        <is>
          <t>18.00 – 21.99 %  (grade III, nominal 20.00 ± 2.00)</t>
        </is>
      </c>
      <c r="K787" s="256" t="inlineStr">
        <is>
          <t>21.29</t>
        </is>
      </c>
      <c r="L787" s="256" t="inlineStr">
        <is>
          <t>ППК25380</t>
        </is>
      </c>
      <c r="M787" s="256" t="inlineStr">
        <is>
          <t>12.12.2025</t>
        </is>
      </c>
      <c r="N787" s="256" t="inlineStr">
        <is>
          <t>CNP</t>
        </is>
      </c>
      <c r="O787" s="256" t="inlineStr">
        <is>
          <t>01.12.2025</t>
        </is>
      </c>
      <c r="P787" s="256" t="inlineStr">
        <is>
          <t>covered</t>
        </is>
      </c>
      <c r="Q787" s="256" t="inlineStr"/>
      <c r="R787" s="256" t="inlineStr">
        <is>
          <t>25.13 (220-12-К/26)</t>
        </is>
      </c>
    </row>
    <row r="788">
      <c r="A788" s="256" t="inlineStr">
        <is>
          <t>CoQ-PP_26-035</t>
        </is>
      </c>
      <c r="B788" s="256" t="inlineStr">
        <is>
          <t>release</t>
        </is>
      </c>
      <c r="C788" s="256" t="inlineStr">
        <is>
          <t>GP082501/1</t>
        </is>
      </c>
      <c r="D788" s="256" t="inlineStr">
        <is>
          <t>P050312</t>
        </is>
      </c>
      <c r="E788" s="256" t="inlineStr">
        <is>
          <t>Grape Pie</t>
        </is>
      </c>
      <c r="F788" s="256" t="inlineStr">
        <is>
          <t>06.06.2026</t>
        </is>
      </c>
      <c r="G788" s="256" t="inlineStr">
        <is>
          <t>5</t>
        </is>
      </c>
      <c r="H788" s="256" t="inlineStr">
        <is>
          <t>Assay — Total CBD</t>
        </is>
      </c>
      <c r="I788" s="256" t="inlineStr">
        <is>
          <t>Ph. Eur. 2.2.29 (HPLC) · CBD + CBDA x 0.877</t>
        </is>
      </c>
      <c r="J788" s="256" t="inlineStr">
        <is>
          <t>≤ 1.0%, w/w</t>
        </is>
      </c>
      <c r="K788" s="256" t="inlineStr">
        <is>
          <t>0.08</t>
        </is>
      </c>
      <c r="L788" s="256" t="inlineStr">
        <is>
          <t>ППК25380</t>
        </is>
      </c>
      <c r="M788" s="256" t="inlineStr">
        <is>
          <t>12.12.2025</t>
        </is>
      </c>
      <c r="N788" s="256" t="inlineStr">
        <is>
          <t>CNP</t>
        </is>
      </c>
      <c r="O788" s="256" t="inlineStr">
        <is>
          <t>01.12.2025</t>
        </is>
      </c>
      <c r="P788" s="256" t="inlineStr">
        <is>
          <t>covered</t>
        </is>
      </c>
      <c r="Q788" s="256" t="inlineStr"/>
      <c r="R788" s="256" t="inlineStr">
        <is>
          <t>&lt;LOQ (220-12-К/26)</t>
        </is>
      </c>
    </row>
    <row r="789">
      <c r="A789" s="256" t="inlineStr">
        <is>
          <t>CoQ-PP_26-035</t>
        </is>
      </c>
      <c r="B789" s="256" t="inlineStr">
        <is>
          <t>release</t>
        </is>
      </c>
      <c r="C789" s="256" t="inlineStr">
        <is>
          <t>GP082501/1</t>
        </is>
      </c>
      <c r="D789" s="256" t="inlineStr">
        <is>
          <t>P050312</t>
        </is>
      </c>
      <c r="E789" s="256" t="inlineStr">
        <is>
          <t>Grape Pie</t>
        </is>
      </c>
      <c r="F789" s="256" t="inlineStr">
        <is>
          <t>06.06.2026</t>
        </is>
      </c>
      <c r="G789" s="256" t="inlineStr">
        <is>
          <t>6</t>
        </is>
      </c>
      <c r="H789" s="256" t="inlineStr">
        <is>
          <t>Total CBN</t>
        </is>
      </c>
      <c r="I789" s="256" t="inlineStr">
        <is>
          <t>HPLC — DAB 2018 monograph Cannabis flos, 2.2.29 · CBN + CBNA x 0.876 (CNP, before its Ph. Eur. 3028 accreditation)</t>
        </is>
      </c>
      <c r="J789" s="256" t="inlineStr">
        <is>
          <t>≤ 1.0%, w/w</t>
        </is>
      </c>
      <c r="K789" s="256" t="inlineStr">
        <is>
          <t>0.03 ᴰ</t>
        </is>
      </c>
      <c r="L789" s="256" t="inlineStr">
        <is>
          <t>ППК25380</t>
        </is>
      </c>
      <c r="M789" s="256" t="inlineStr">
        <is>
          <t>12.12.2025</t>
        </is>
      </c>
      <c r="N789" s="256" t="inlineStr">
        <is>
          <t>CNP</t>
        </is>
      </c>
      <c r="O789" s="256" t="inlineStr">
        <is>
          <t>01.12.2025</t>
        </is>
      </c>
      <c r="P789" s="256" t="inlineStr">
        <is>
          <t>covered</t>
        </is>
      </c>
      <c r="Q789" s="256" t="inlineStr"/>
      <c r="R789" s="256" t="inlineStr"/>
    </row>
    <row r="790">
      <c r="A790" s="256" t="inlineStr">
        <is>
          <t>CoQ-PP_26-035</t>
        </is>
      </c>
      <c r="B790" s="256" t="inlineStr">
        <is>
          <t>release</t>
        </is>
      </c>
      <c r="C790" s="256" t="inlineStr">
        <is>
          <t>GP082501/1</t>
        </is>
      </c>
      <c r="D790" s="256" t="inlineStr">
        <is>
          <t>P050312</t>
        </is>
      </c>
      <c r="E790" s="256" t="inlineStr">
        <is>
          <t>Grape Pie</t>
        </is>
      </c>
      <c r="F790" s="256" t="inlineStr">
        <is>
          <t>06.06.2026</t>
        </is>
      </c>
      <c r="G790" s="256" t="inlineStr">
        <is>
          <t>7</t>
        </is>
      </c>
      <c r="H790" s="256" t="inlineStr">
        <is>
          <t>Foreign Matter</t>
        </is>
      </c>
      <c r="I790" s="256" t="inlineStr">
        <is>
          <t>Ph. Eur. 2.8.2 · In-house · интерна</t>
        </is>
      </c>
      <c r="J790" s="256" t="inlineStr">
        <is>
          <t>≤ 2.0% / 25–50 g · &lt; 1 cm leaves | листови, no seeds | без семки</t>
        </is>
      </c>
      <c r="K790" s="256" t="inlineStr">
        <is>
          <t>Conforms | Одговара</t>
        </is>
      </c>
      <c r="L790" s="256" t="inlineStr">
        <is>
          <t>iCoA-PP_26-034</t>
        </is>
      </c>
      <c r="M790" s="256" t="inlineStr">
        <is>
          <t>03.06.2026</t>
        </is>
      </c>
      <c r="N790" s="256" t="inlineStr">
        <is>
          <t>Purely Plant GmbH (in-house)</t>
        </is>
      </c>
      <c r="O790" s="256" t="inlineStr">
        <is>
          <t>—</t>
        </is>
      </c>
      <c r="P790" s="256" t="inlineStr">
        <is>
          <t>to be performed — see route</t>
        </is>
      </c>
      <c r="Q790" s="256" t="inlineStr">
        <is>
          <t>Purely Plant laboratory — iCoA covering Foreign matter</t>
        </is>
      </c>
      <c r="R790" s="256" t="inlineStr"/>
    </row>
    <row r="791">
      <c r="A791" s="256" t="inlineStr">
        <is>
          <t>CoQ-PP_26-035</t>
        </is>
      </c>
      <c r="B791" s="256" t="inlineStr">
        <is>
          <t>release</t>
        </is>
      </c>
      <c r="C791" s="256" t="inlineStr">
        <is>
          <t>GP082501/1</t>
        </is>
      </c>
      <c r="D791" s="256" t="inlineStr">
        <is>
          <t>P050312</t>
        </is>
      </c>
      <c r="E791" s="256" t="inlineStr">
        <is>
          <t>Grape Pie</t>
        </is>
      </c>
      <c r="F791" s="256" t="inlineStr">
        <is>
          <t>06.06.2026</t>
        </is>
      </c>
      <c r="G791" s="256" t="inlineStr">
        <is>
          <t>8</t>
        </is>
      </c>
      <c r="H791" s="256" t="inlineStr">
        <is>
          <t>Loss on Drying</t>
        </is>
      </c>
      <c r="I791" s="256" t="inlineStr">
        <is>
          <t>Ph. Eur. 2.2.32 (3028) · at 40 °C, 24 h, 15–25 mbar</t>
        </is>
      </c>
      <c r="J791" s="256" t="inlineStr">
        <is>
          <t>≤ 12.0%</t>
        </is>
      </c>
      <c r="K791" s="256" t="inlineStr">
        <is>
          <t>6.29</t>
        </is>
      </c>
      <c r="L791" s="256" t="inlineStr">
        <is>
          <t>ППК25380</t>
        </is>
      </c>
      <c r="M791" s="256" t="inlineStr">
        <is>
          <t>12.12.2025</t>
        </is>
      </c>
      <c r="N791" s="256" t="inlineStr">
        <is>
          <t>CNP</t>
        </is>
      </c>
      <c r="O791" s="256" t="inlineStr">
        <is>
          <t>01.12.2025</t>
        </is>
      </c>
      <c r="P791" s="256" t="inlineStr">
        <is>
          <t>covered</t>
        </is>
      </c>
      <c r="Q791" s="256" t="inlineStr"/>
      <c r="R791" s="256" t="inlineStr"/>
    </row>
    <row r="792">
      <c r="A792" s="256" t="inlineStr">
        <is>
          <t>CoQ-PP_26-035</t>
        </is>
      </c>
      <c r="B792" s="256" t="inlineStr">
        <is>
          <t>release</t>
        </is>
      </c>
      <c r="C792" s="256" t="inlineStr">
        <is>
          <t>GP082501/1</t>
        </is>
      </c>
      <c r="D792" s="256" t="inlineStr">
        <is>
          <t>P050312</t>
        </is>
      </c>
      <c r="E792" s="256" t="inlineStr">
        <is>
          <t>Grape Pie</t>
        </is>
      </c>
      <c r="F792" s="256" t="inlineStr">
        <is>
          <t>06.06.2026</t>
        </is>
      </c>
      <c r="G792" s="256" t="inlineStr">
        <is>
          <t>9.1</t>
        </is>
      </c>
      <c r="H792" s="256" t="inlineStr">
        <is>
          <t>TAMC</t>
        </is>
      </c>
      <c r="I792" s="256" t="inlineStr">
        <is>
          <t>Ph. Eur. 2.6.12 cat. C</t>
        </is>
      </c>
      <c r="J792" s="256" t="inlineStr">
        <is>
          <t>≤ 10⁵ CFU/g</t>
        </is>
      </c>
      <c r="K792" s="256" t="inlineStr">
        <is>
          <t>4.3 × 10²</t>
        </is>
      </c>
      <c r="L792" s="256" t="inlineStr">
        <is>
          <t>1226/2192/25</t>
        </is>
      </c>
      <c r="M792" s="256" t="inlineStr">
        <is>
          <t>05.12.2025</t>
        </is>
      </c>
      <c r="N792" s="256" t="inlineStr">
        <is>
          <t>IPH — Institute of Public Health</t>
        </is>
      </c>
      <c r="O792" s="256" t="inlineStr">
        <is>
          <t>01.12.2025</t>
        </is>
      </c>
      <c r="P792" s="256" t="inlineStr">
        <is>
          <t>covered</t>
        </is>
      </c>
      <c r="Q792" s="256" t="inlineStr"/>
      <c r="R792" s="256" t="inlineStr"/>
    </row>
    <row r="793">
      <c r="A793" s="256" t="inlineStr">
        <is>
          <t>CoQ-PP_26-035</t>
        </is>
      </c>
      <c r="B793" s="256" t="inlineStr">
        <is>
          <t>release</t>
        </is>
      </c>
      <c r="C793" s="256" t="inlineStr">
        <is>
          <t>GP082501/1</t>
        </is>
      </c>
      <c r="D793" s="256" t="inlineStr">
        <is>
          <t>P050312</t>
        </is>
      </c>
      <c r="E793" s="256" t="inlineStr">
        <is>
          <t>Grape Pie</t>
        </is>
      </c>
      <c r="F793" s="256" t="inlineStr">
        <is>
          <t>06.06.2026</t>
        </is>
      </c>
      <c r="G793" s="256" t="inlineStr">
        <is>
          <t>9.2</t>
        </is>
      </c>
      <c r="H793" s="256" t="inlineStr">
        <is>
          <t>TYMC</t>
        </is>
      </c>
      <c r="I793" s="256" t="inlineStr">
        <is>
          <t>Ph. Eur. 2.6.12 cat. C</t>
        </is>
      </c>
      <c r="J793" s="256" t="inlineStr">
        <is>
          <t>≤ 10⁴ CFU/g</t>
        </is>
      </c>
      <c r="K793" s="256" t="inlineStr">
        <is>
          <t>1 × 10³</t>
        </is>
      </c>
      <c r="L793" s="256" t="inlineStr">
        <is>
          <t>1226/2192/25</t>
        </is>
      </c>
      <c r="M793" s="256" t="inlineStr">
        <is>
          <t>05.12.2025</t>
        </is>
      </c>
      <c r="N793" s="256" t="inlineStr">
        <is>
          <t>IPH — Institute of Public Health</t>
        </is>
      </c>
      <c r="O793" s="256" t="inlineStr">
        <is>
          <t>01.12.2025</t>
        </is>
      </c>
      <c r="P793" s="256" t="inlineStr">
        <is>
          <t>covered</t>
        </is>
      </c>
      <c r="Q793" s="256" t="inlineStr"/>
      <c r="R793" s="256" t="inlineStr"/>
    </row>
    <row r="794">
      <c r="A794" s="256" t="inlineStr">
        <is>
          <t>CoQ-PP_26-035</t>
        </is>
      </c>
      <c r="B794" s="256" t="inlineStr">
        <is>
          <t>release</t>
        </is>
      </c>
      <c r="C794" s="256" t="inlineStr">
        <is>
          <t>GP082501/1</t>
        </is>
      </c>
      <c r="D794" s="256" t="inlineStr">
        <is>
          <t>P050312</t>
        </is>
      </c>
      <c r="E794" s="256" t="inlineStr">
        <is>
          <t>Grape Pie</t>
        </is>
      </c>
      <c r="F794" s="256" t="inlineStr">
        <is>
          <t>06.06.2026</t>
        </is>
      </c>
      <c r="G794" s="256" t="inlineStr">
        <is>
          <t>9.3</t>
        </is>
      </c>
      <c r="H794" s="256" t="inlineStr">
        <is>
          <t>Bile-tolerant gram-neg.</t>
        </is>
      </c>
      <c r="I794" s="256" t="inlineStr">
        <is>
          <t>Ph. Eur. 2.6.31 cat. C</t>
        </is>
      </c>
      <c r="J794" s="256" t="inlineStr">
        <is>
          <t>≤ 10⁴ CFU/g</t>
        </is>
      </c>
      <c r="K794" s="256" t="inlineStr">
        <is>
          <t>&lt; 10³ and &gt; 10²</t>
        </is>
      </c>
      <c r="L794" s="256" t="inlineStr">
        <is>
          <t>1226/2192/25</t>
        </is>
      </c>
      <c r="M794" s="256" t="inlineStr">
        <is>
          <t>05.12.2025</t>
        </is>
      </c>
      <c r="N794" s="256" t="inlineStr">
        <is>
          <t>IPH — Institute of Public Health</t>
        </is>
      </c>
      <c r="O794" s="256" t="inlineStr">
        <is>
          <t>01.12.2025</t>
        </is>
      </c>
      <c r="P794" s="256" t="inlineStr">
        <is>
          <t>covered</t>
        </is>
      </c>
      <c r="Q794" s="256" t="inlineStr"/>
      <c r="R794" s="256" t="inlineStr"/>
    </row>
    <row r="795">
      <c r="A795" s="256" t="inlineStr">
        <is>
          <t>CoQ-PP_26-035</t>
        </is>
      </c>
      <c r="B795" s="256" t="inlineStr">
        <is>
          <t>release</t>
        </is>
      </c>
      <c r="C795" s="256" t="inlineStr">
        <is>
          <t>GP082501/1</t>
        </is>
      </c>
      <c r="D795" s="256" t="inlineStr">
        <is>
          <t>P050312</t>
        </is>
      </c>
      <c r="E795" s="256" t="inlineStr">
        <is>
          <t>Grape Pie</t>
        </is>
      </c>
      <c r="F795" s="256" t="inlineStr">
        <is>
          <t>06.06.2026</t>
        </is>
      </c>
      <c r="G795" s="256" t="inlineStr">
        <is>
          <t>9.4</t>
        </is>
      </c>
      <c r="H795" s="256" t="inlineStr">
        <is>
          <t>Salmonella</t>
        </is>
      </c>
      <c r="I795" s="256" t="inlineStr">
        <is>
          <t>Ph. Eur. 2.6.31 cat. C</t>
        </is>
      </c>
      <c r="J795" s="256" t="inlineStr">
        <is>
          <t>Absence | Отсуство / 25 g</t>
        </is>
      </c>
      <c r="K795" s="256" t="inlineStr">
        <is>
          <t>Absent | Отсутна</t>
        </is>
      </c>
      <c r="L795" s="256" t="inlineStr">
        <is>
          <t>1226/2192/25</t>
        </is>
      </c>
      <c r="M795" s="256" t="inlineStr">
        <is>
          <t>05.12.2025</t>
        </is>
      </c>
      <c r="N795" s="256" t="inlineStr">
        <is>
          <t>IPH — Institute of Public Health</t>
        </is>
      </c>
      <c r="O795" s="256" t="inlineStr">
        <is>
          <t>01.12.2025</t>
        </is>
      </c>
      <c r="P795" s="256" t="inlineStr">
        <is>
          <t>covered</t>
        </is>
      </c>
      <c r="Q795" s="256" t="inlineStr"/>
      <c r="R795" s="256" t="inlineStr"/>
    </row>
    <row r="796">
      <c r="A796" s="256" t="inlineStr">
        <is>
          <t>CoQ-PP_26-035</t>
        </is>
      </c>
      <c r="B796" s="256" t="inlineStr">
        <is>
          <t>release</t>
        </is>
      </c>
      <c r="C796" s="256" t="inlineStr">
        <is>
          <t>GP082501/1</t>
        </is>
      </c>
      <c r="D796" s="256" t="inlineStr">
        <is>
          <t>P050312</t>
        </is>
      </c>
      <c r="E796" s="256" t="inlineStr">
        <is>
          <t>Grape Pie</t>
        </is>
      </c>
      <c r="F796" s="256" t="inlineStr">
        <is>
          <t>06.06.2026</t>
        </is>
      </c>
      <c r="G796" s="256" t="inlineStr">
        <is>
          <t>9.5</t>
        </is>
      </c>
      <c r="H796" s="256" t="inlineStr">
        <is>
          <t>Escherichia coli</t>
        </is>
      </c>
      <c r="I796" s="256" t="inlineStr">
        <is>
          <t>Ph. Eur. 2.6.13 cat. C</t>
        </is>
      </c>
      <c r="J796" s="256" t="inlineStr">
        <is>
          <t>Absence | Отсуство / 1 g</t>
        </is>
      </c>
      <c r="K796" s="256" t="inlineStr">
        <is>
          <t>Absent | Отсутна</t>
        </is>
      </c>
      <c r="L796" s="256" t="inlineStr">
        <is>
          <t>1226/2192/25</t>
        </is>
      </c>
      <c r="M796" s="256" t="inlineStr">
        <is>
          <t>05.12.2025</t>
        </is>
      </c>
      <c r="N796" s="256" t="inlineStr">
        <is>
          <t>IPH — Institute of Public Health</t>
        </is>
      </c>
      <c r="O796" s="256" t="inlineStr">
        <is>
          <t>01.12.2025</t>
        </is>
      </c>
      <c r="P796" s="256" t="inlineStr">
        <is>
          <t>covered</t>
        </is>
      </c>
      <c r="Q796" s="256" t="inlineStr"/>
      <c r="R796" s="256" t="inlineStr"/>
    </row>
    <row r="797">
      <c r="A797" s="256" t="inlineStr">
        <is>
          <t>CoQ-PP_26-035</t>
        </is>
      </c>
      <c r="B797" s="256" t="inlineStr">
        <is>
          <t>release</t>
        </is>
      </c>
      <c r="C797" s="256" t="inlineStr">
        <is>
          <t>GP082501/1</t>
        </is>
      </c>
      <c r="D797" s="256" t="inlineStr">
        <is>
          <t>P050312</t>
        </is>
      </c>
      <c r="E797" s="256" t="inlineStr">
        <is>
          <t>Grape Pie</t>
        </is>
      </c>
      <c r="F797" s="256" t="inlineStr">
        <is>
          <t>06.06.2026</t>
        </is>
      </c>
      <c r="G797" s="256" t="inlineStr">
        <is>
          <t>9.6</t>
        </is>
      </c>
      <c r="H797" s="256" t="inlineStr">
        <is>
          <t>Pseudomonas aeruginosa</t>
        </is>
      </c>
      <c r="I797" s="256" t="inlineStr">
        <is>
          <t>Ph. Eur. 2.6.13 cat. C</t>
        </is>
      </c>
      <c r="J797" s="256" t="inlineStr">
        <is>
          <t>Absence | Отсуство / 1 g</t>
        </is>
      </c>
      <c r="K797" s="260" t="inlineStr">
        <is>
          <t>upon request — not required for release</t>
        </is>
      </c>
      <c r="L797" s="256" t="inlineStr">
        <is>
          <t>—</t>
        </is>
      </c>
      <c r="M797" s="256" t="inlineStr">
        <is>
          <t>—</t>
        </is>
      </c>
      <c r="N797" s="256" t="inlineStr">
        <is>
          <t>—</t>
        </is>
      </c>
      <c r="O797" s="256" t="inlineStr">
        <is>
          <t>—</t>
        </is>
      </c>
      <c r="P797" s="256" t="inlineStr">
        <is>
          <t>upon request — not required for release</t>
        </is>
      </c>
      <c r="Q797" s="256" t="inlineStr"/>
      <c r="R797" s="256" t="inlineStr"/>
    </row>
    <row r="798">
      <c r="A798" s="256" t="inlineStr">
        <is>
          <t>CoQ-PP_26-035</t>
        </is>
      </c>
      <c r="B798" s="256" t="inlineStr">
        <is>
          <t>release</t>
        </is>
      </c>
      <c r="C798" s="256" t="inlineStr">
        <is>
          <t>GP082501/1</t>
        </is>
      </c>
      <c r="D798" s="256" t="inlineStr">
        <is>
          <t>P050312</t>
        </is>
      </c>
      <c r="E798" s="256" t="inlineStr">
        <is>
          <t>Grape Pie</t>
        </is>
      </c>
      <c r="F798" s="256" t="inlineStr">
        <is>
          <t>06.06.2026</t>
        </is>
      </c>
      <c r="G798" s="256" t="inlineStr">
        <is>
          <t>9.7</t>
        </is>
      </c>
      <c r="H798" s="256" t="inlineStr">
        <is>
          <t>Staphylococcus aureus</t>
        </is>
      </c>
      <c r="I798" s="256" t="inlineStr">
        <is>
          <t>Ph. Eur. 2.6.13 cat. C</t>
        </is>
      </c>
      <c r="J798" s="256" t="inlineStr">
        <is>
          <t>Absence | Отсуство / 1 g</t>
        </is>
      </c>
      <c r="K798" s="260" t="inlineStr">
        <is>
          <t>upon request — not required for release</t>
        </is>
      </c>
      <c r="L798" s="256" t="inlineStr">
        <is>
          <t>—</t>
        </is>
      </c>
      <c r="M798" s="256" t="inlineStr">
        <is>
          <t>—</t>
        </is>
      </c>
      <c r="N798" s="256" t="inlineStr">
        <is>
          <t>—</t>
        </is>
      </c>
      <c r="O798" s="256" t="inlineStr">
        <is>
          <t>—</t>
        </is>
      </c>
      <c r="P798" s="256" t="inlineStr">
        <is>
          <t>upon request — not required for release</t>
        </is>
      </c>
      <c r="Q798" s="256" t="inlineStr"/>
      <c r="R798" s="256" t="inlineStr"/>
    </row>
    <row r="799">
      <c r="A799" s="256" t="inlineStr">
        <is>
          <t>CoQ-PP_26-035</t>
        </is>
      </c>
      <c r="B799" s="256" t="inlineStr">
        <is>
          <t>release</t>
        </is>
      </c>
      <c r="C799" s="256" t="inlineStr">
        <is>
          <t>GP082501/1</t>
        </is>
      </c>
      <c r="D799" s="256" t="inlineStr">
        <is>
          <t>P050312</t>
        </is>
      </c>
      <c r="E799" s="256" t="inlineStr">
        <is>
          <t>Grape Pie</t>
        </is>
      </c>
      <c r="F799" s="256" t="inlineStr">
        <is>
          <t>06.06.2026</t>
        </is>
      </c>
      <c r="G799" s="256" t="inlineStr">
        <is>
          <t>10.1</t>
        </is>
      </c>
      <c r="H799" s="256" t="inlineStr">
        <is>
          <t>Aflatoxin B₁</t>
        </is>
      </c>
      <c r="I799" s="256" t="inlineStr">
        <is>
          <t>Ph. Eur. 2.8.18 (HPLC-FLD)</t>
        </is>
      </c>
      <c r="J799" s="256" t="inlineStr">
        <is>
          <t>≤ 2 µg/kg</t>
        </is>
      </c>
      <c r="K799" s="259" t="inlineStr">
        <is>
          <t>not tested</t>
        </is>
      </c>
      <c r="L799" s="256" t="inlineStr">
        <is>
          <t>—</t>
        </is>
      </c>
      <c r="M799" s="256" t="inlineStr">
        <is>
          <t>—</t>
        </is>
      </c>
      <c r="N799" s="256" t="inlineStr">
        <is>
          <t>—</t>
        </is>
      </c>
      <c r="O799" s="256" t="inlineStr">
        <is>
          <t>—</t>
        </is>
      </c>
      <c r="P799" s="256" t="inlineStr">
        <is>
          <t>not tested — no certificate covers it</t>
        </is>
      </c>
      <c r="Q799" s="256" t="inlineStr"/>
      <c r="R799" s="256" t="inlineStr">
        <is>
          <t>ND (220-12-М/26)</t>
        </is>
      </c>
    </row>
    <row r="800">
      <c r="A800" s="256" t="inlineStr">
        <is>
          <t>CoQ-PP_26-035</t>
        </is>
      </c>
      <c r="B800" s="256" t="inlineStr">
        <is>
          <t>release</t>
        </is>
      </c>
      <c r="C800" s="256" t="inlineStr">
        <is>
          <t>GP082501/1</t>
        </is>
      </c>
      <c r="D800" s="256" t="inlineStr">
        <is>
          <t>P050312</t>
        </is>
      </c>
      <c r="E800" s="256" t="inlineStr">
        <is>
          <t>Grape Pie</t>
        </is>
      </c>
      <c r="F800" s="256" t="inlineStr">
        <is>
          <t>06.06.2026</t>
        </is>
      </c>
      <c r="G800" s="256" t="inlineStr">
        <is>
          <t>10.2</t>
        </is>
      </c>
      <c r="H800" s="256" t="inlineStr">
        <is>
          <t>Aflatoxins ∑</t>
        </is>
      </c>
      <c r="I800" s="256" t="inlineStr">
        <is>
          <t>Ph. Eur. 2.8.18 (HPLC-FLD)</t>
        </is>
      </c>
      <c r="J800" s="256" t="inlineStr">
        <is>
          <t>≤ 4 µg/kg</t>
        </is>
      </c>
      <c r="K800" s="256" t="inlineStr">
        <is>
          <t>&lt; 2</t>
        </is>
      </c>
      <c r="L800" s="256" t="inlineStr">
        <is>
          <t>5888/2025</t>
        </is>
      </c>
      <c r="M800" s="256" t="inlineStr">
        <is>
          <t>12.12.2025</t>
        </is>
      </c>
      <c r="N800" s="256" t="inlineStr">
        <is>
          <t>IPH — Institute of Public Health</t>
        </is>
      </c>
      <c r="O800" s="256" t="inlineStr">
        <is>
          <t>01.12.2025</t>
        </is>
      </c>
      <c r="P800" s="256" t="inlineStr">
        <is>
          <t>covered</t>
        </is>
      </c>
      <c r="Q800" s="256" t="inlineStr"/>
      <c r="R800" s="256" t="inlineStr">
        <is>
          <t>ND (220-12-М/26)</t>
        </is>
      </c>
    </row>
    <row r="801">
      <c r="A801" s="256" t="inlineStr">
        <is>
          <t>CoQ-PP_26-035</t>
        </is>
      </c>
      <c r="B801" s="256" t="inlineStr">
        <is>
          <t>release</t>
        </is>
      </c>
      <c r="C801" s="256" t="inlineStr">
        <is>
          <t>GP082501/1</t>
        </is>
      </c>
      <c r="D801" s="256" t="inlineStr">
        <is>
          <t>P050312</t>
        </is>
      </c>
      <c r="E801" s="256" t="inlineStr">
        <is>
          <t>Grape Pie</t>
        </is>
      </c>
      <c r="F801" s="256" t="inlineStr">
        <is>
          <t>06.06.2026</t>
        </is>
      </c>
      <c r="G801" s="256" t="inlineStr">
        <is>
          <t>10.3</t>
        </is>
      </c>
      <c r="H801" s="256" t="inlineStr">
        <is>
          <t>Ochratoxin A</t>
        </is>
      </c>
      <c r="I801" s="256" t="inlineStr">
        <is>
          <t>Ph. Eur. 2.8.22 (HPLC-FLD)</t>
        </is>
      </c>
      <c r="J801" s="256" t="inlineStr">
        <is>
          <t>≤ 20 µg/kg</t>
        </is>
      </c>
      <c r="K801" s="259" t="inlineStr">
        <is>
          <t>not tested</t>
        </is>
      </c>
      <c r="L801" s="256" t="inlineStr">
        <is>
          <t>—</t>
        </is>
      </c>
      <c r="M801" s="256" t="inlineStr">
        <is>
          <t>—</t>
        </is>
      </c>
      <c r="N801" s="256" t="inlineStr">
        <is>
          <t>—</t>
        </is>
      </c>
      <c r="O801" s="256" t="inlineStr">
        <is>
          <t>—</t>
        </is>
      </c>
      <c r="P801" s="256" t="inlineStr">
        <is>
          <t>not tested — no certificate covers it</t>
        </is>
      </c>
      <c r="Q801" s="256" t="inlineStr"/>
      <c r="R801" s="256" t="inlineStr">
        <is>
          <t>ND (220-12-М/26)</t>
        </is>
      </c>
    </row>
    <row r="802">
      <c r="A802" s="256" t="inlineStr">
        <is>
          <t>CoQ-PP_26-035</t>
        </is>
      </c>
      <c r="B802" s="256" t="inlineStr">
        <is>
          <t>release</t>
        </is>
      </c>
      <c r="C802" s="256" t="inlineStr">
        <is>
          <t>GP082501/1</t>
        </is>
      </c>
      <c r="D802" s="256" t="inlineStr">
        <is>
          <t>P050312</t>
        </is>
      </c>
      <c r="E802" s="256" t="inlineStr">
        <is>
          <t>Grape Pie</t>
        </is>
      </c>
      <c r="F802" s="256" t="inlineStr">
        <is>
          <t>06.06.2026</t>
        </is>
      </c>
      <c r="G802" s="256" t="inlineStr">
        <is>
          <t>11.1</t>
        </is>
      </c>
      <c r="H802" s="256" t="inlineStr">
        <is>
          <t>Lead (Pb)</t>
        </is>
      </c>
      <c r="I802" s="256" t="inlineStr">
        <is>
          <t>Ph. Eur. 2.4.27 (ICP-MS)</t>
        </is>
      </c>
      <c r="J802" s="256" t="inlineStr">
        <is>
          <t>≤ 0.5 mg/kg</t>
        </is>
      </c>
      <c r="K802" s="256" t="inlineStr">
        <is>
          <t>0.014</t>
        </is>
      </c>
      <c r="L802" s="256" t="inlineStr">
        <is>
          <t>5888/2025</t>
        </is>
      </c>
      <c r="M802" s="256" t="inlineStr">
        <is>
          <t>12.12.2025</t>
        </is>
      </c>
      <c r="N802" s="256" t="inlineStr">
        <is>
          <t>IPH — Institute of Public Health</t>
        </is>
      </c>
      <c r="O802" s="256" t="inlineStr">
        <is>
          <t>01.12.2025</t>
        </is>
      </c>
      <c r="P802" s="256" t="inlineStr">
        <is>
          <t>covered</t>
        </is>
      </c>
      <c r="Q802" s="256" t="inlineStr"/>
      <c r="R802" s="256" t="inlineStr"/>
    </row>
    <row r="803">
      <c r="A803" s="256" t="inlineStr">
        <is>
          <t>CoQ-PP_26-035</t>
        </is>
      </c>
      <c r="B803" s="256" t="inlineStr">
        <is>
          <t>release</t>
        </is>
      </c>
      <c r="C803" s="256" t="inlineStr">
        <is>
          <t>GP082501/1</t>
        </is>
      </c>
      <c r="D803" s="256" t="inlineStr">
        <is>
          <t>P050312</t>
        </is>
      </c>
      <c r="E803" s="256" t="inlineStr">
        <is>
          <t>Grape Pie</t>
        </is>
      </c>
      <c r="F803" s="256" t="inlineStr">
        <is>
          <t>06.06.2026</t>
        </is>
      </c>
      <c r="G803" s="256" t="inlineStr">
        <is>
          <t>11.2</t>
        </is>
      </c>
      <c r="H803" s="256" t="inlineStr">
        <is>
          <t>Cadmium (Cd)</t>
        </is>
      </c>
      <c r="I803" s="256" t="inlineStr">
        <is>
          <t>Ph. Eur. 2.4.27 (ICP-MS)</t>
        </is>
      </c>
      <c r="J803" s="256" t="inlineStr">
        <is>
          <t>≤ 0.3 mg/kg</t>
        </is>
      </c>
      <c r="K803" s="256" t="inlineStr">
        <is>
          <t>0.003</t>
        </is>
      </c>
      <c r="L803" s="256" t="inlineStr">
        <is>
          <t>5888/2025</t>
        </is>
      </c>
      <c r="M803" s="256" t="inlineStr">
        <is>
          <t>12.12.2025</t>
        </is>
      </c>
      <c r="N803" s="256" t="inlineStr">
        <is>
          <t>IPH — Institute of Public Health</t>
        </is>
      </c>
      <c r="O803" s="256" t="inlineStr">
        <is>
          <t>01.12.2025</t>
        </is>
      </c>
      <c r="P803" s="256" t="inlineStr">
        <is>
          <t>covered</t>
        </is>
      </c>
      <c r="Q803" s="256" t="inlineStr"/>
      <c r="R803" s="256" t="inlineStr"/>
    </row>
    <row r="804">
      <c r="A804" s="256" t="inlineStr">
        <is>
          <t>CoQ-PP_26-035</t>
        </is>
      </c>
      <c r="B804" s="256" t="inlineStr">
        <is>
          <t>release</t>
        </is>
      </c>
      <c r="C804" s="256" t="inlineStr">
        <is>
          <t>GP082501/1</t>
        </is>
      </c>
      <c r="D804" s="256" t="inlineStr">
        <is>
          <t>P050312</t>
        </is>
      </c>
      <c r="E804" s="256" t="inlineStr">
        <is>
          <t>Grape Pie</t>
        </is>
      </c>
      <c r="F804" s="256" t="inlineStr">
        <is>
          <t>06.06.2026</t>
        </is>
      </c>
      <c r="G804" s="256" t="inlineStr">
        <is>
          <t>11.3</t>
        </is>
      </c>
      <c r="H804" s="256" t="inlineStr">
        <is>
          <t>Arsenic (As)</t>
        </is>
      </c>
      <c r="I804" s="256" t="inlineStr">
        <is>
          <t>Ph. Eur. 2.4.27 (ICP-MS)</t>
        </is>
      </c>
      <c r="J804" s="256" t="inlineStr">
        <is>
          <t>≤ 0.2 mg/kg</t>
        </is>
      </c>
      <c r="K804" s="256" t="inlineStr">
        <is>
          <t>0.02</t>
        </is>
      </c>
      <c r="L804" s="256" t="inlineStr">
        <is>
          <t>5888/2025</t>
        </is>
      </c>
      <c r="M804" s="256" t="inlineStr">
        <is>
          <t>12.12.2025</t>
        </is>
      </c>
      <c r="N804" s="256" t="inlineStr">
        <is>
          <t>IPH — Institute of Public Health</t>
        </is>
      </c>
      <c r="O804" s="256" t="inlineStr">
        <is>
          <t>01.12.2025</t>
        </is>
      </c>
      <c r="P804" s="256" t="inlineStr">
        <is>
          <t>covered</t>
        </is>
      </c>
      <c r="Q804" s="256" t="inlineStr"/>
      <c r="R804" s="256" t="inlineStr"/>
    </row>
    <row r="805">
      <c r="A805" s="256" t="inlineStr">
        <is>
          <t>CoQ-PP_26-035</t>
        </is>
      </c>
      <c r="B805" s="256" t="inlineStr">
        <is>
          <t>release</t>
        </is>
      </c>
      <c r="C805" s="256" t="inlineStr">
        <is>
          <t>GP082501/1</t>
        </is>
      </c>
      <c r="D805" s="256" t="inlineStr">
        <is>
          <t>P050312</t>
        </is>
      </c>
      <c r="E805" s="256" t="inlineStr">
        <is>
          <t>Grape Pie</t>
        </is>
      </c>
      <c r="F805" s="256" t="inlineStr">
        <is>
          <t>06.06.2026</t>
        </is>
      </c>
      <c r="G805" s="256" t="inlineStr">
        <is>
          <t>11.4</t>
        </is>
      </c>
      <c r="H805" s="256" t="inlineStr">
        <is>
          <t>Mercury (Hg)</t>
        </is>
      </c>
      <c r="I805" s="256" t="inlineStr">
        <is>
          <t>Ph. Eur. 2.4.27 (ICP-MS)</t>
        </is>
      </c>
      <c r="J805" s="256" t="inlineStr">
        <is>
          <t>≤ 0.1 mg/kg</t>
        </is>
      </c>
      <c r="K805" s="256" t="inlineStr">
        <is>
          <t>0.017</t>
        </is>
      </c>
      <c r="L805" s="256" t="inlineStr">
        <is>
          <t>5888/2025</t>
        </is>
      </c>
      <c r="M805" s="256" t="inlineStr">
        <is>
          <t>12.12.2025</t>
        </is>
      </c>
      <c r="N805" s="256" t="inlineStr">
        <is>
          <t>IPH — Institute of Public Health</t>
        </is>
      </c>
      <c r="O805" s="256" t="inlineStr">
        <is>
          <t>01.12.2025</t>
        </is>
      </c>
      <c r="P805" s="256" t="inlineStr">
        <is>
          <t>covered</t>
        </is>
      </c>
      <c r="Q805" s="256" t="inlineStr"/>
      <c r="R805" s="256" t="inlineStr"/>
    </row>
    <row r="806">
      <c r="A806" s="256" t="inlineStr">
        <is>
          <t>CoQ-PP_26-035</t>
        </is>
      </c>
      <c r="B806" s="256" t="inlineStr">
        <is>
          <t>release</t>
        </is>
      </c>
      <c r="C806" s="256" t="inlineStr">
        <is>
          <t>GP082501/1</t>
        </is>
      </c>
      <c r="D806" s="256" t="inlineStr">
        <is>
          <t>P050312</t>
        </is>
      </c>
      <c r="E806" s="256" t="inlineStr">
        <is>
          <t>Grape Pie</t>
        </is>
      </c>
      <c r="F806" s="256" t="inlineStr">
        <is>
          <t>06.06.2026</t>
        </is>
      </c>
      <c r="G806" s="256" t="inlineStr">
        <is>
          <t>12</t>
        </is>
      </c>
      <c r="H806" s="256" t="inlineStr">
        <is>
          <t>Pesticide Residues</t>
        </is>
      </c>
      <c r="I806" s="256" t="inlineStr">
        <is>
          <t>Ph. Eur. 2.8.13 (LC-MS/MS) · CUMCS Equivalency</t>
        </is>
      </c>
      <c r="J806" s="256" t="inlineStr">
        <is>
          <t>≤ LOQ as per Ph. Eur. 2.8.13 · ≤ LOQ as per CUMCS Equivalency</t>
        </is>
      </c>
      <c r="K806" s="256" t="inlineStr">
        <is>
          <t>ND</t>
        </is>
      </c>
      <c r="L806" s="256" t="inlineStr">
        <is>
          <t>5888/2025</t>
        </is>
      </c>
      <c r="M806" s="256" t="inlineStr">
        <is>
          <t>12.12.2025</t>
        </is>
      </c>
      <c r="N806" s="256" t="inlineStr">
        <is>
          <t>IPH — Institute of Public Health</t>
        </is>
      </c>
      <c r="O806" s="256" t="inlineStr">
        <is>
          <t>01.12.2025</t>
        </is>
      </c>
      <c r="P806" s="256" t="inlineStr">
        <is>
          <t>covered</t>
        </is>
      </c>
      <c r="Q806" s="256" t="inlineStr"/>
      <c r="R806" s="256" t="inlineStr"/>
    </row>
    <row r="807">
      <c r="A807" s="256" t="inlineStr">
        <is>
          <t>CoQ-PP_26-036</t>
        </is>
      </c>
      <c r="B807" s="256" t="inlineStr">
        <is>
          <t>release</t>
        </is>
      </c>
      <c r="C807" s="256" t="inlineStr">
        <is>
          <t>GP082501/2</t>
        </is>
      </c>
      <c r="D807" s="256" t="inlineStr">
        <is>
          <t>P050322</t>
        </is>
      </c>
      <c r="E807" s="256" t="inlineStr">
        <is>
          <t>Grape Pie</t>
        </is>
      </c>
      <c r="F807" s="256" t="inlineStr">
        <is>
          <t>06.06.2026</t>
        </is>
      </c>
      <c r="G807" s="256" t="inlineStr">
        <is>
          <t>1</t>
        </is>
      </c>
      <c r="H807" s="256" t="inlineStr">
        <is>
          <t>Identification A, Appearance · Macroscopic</t>
        </is>
      </c>
      <c r="I807" s="256" t="inlineStr">
        <is>
          <t>Ph. Eur. mon. 3028</t>
        </is>
      </c>
      <c r="J807" s="256" t="inlineStr">
        <is>
          <t>Conforms to the monograph for Cannabis flos (07/2024:3028) in Ph. Eur. 11.0 | Согласно монографија за Cannabis flos (07/2024:3028) во Ph. Eur. 11.0</t>
        </is>
      </c>
      <c r="K807" s="256" t="inlineStr">
        <is>
          <t>Conforms | Одговара</t>
        </is>
      </c>
      <c r="L807" s="256" t="inlineStr">
        <is>
          <t>iCoA-PP_26-035</t>
        </is>
      </c>
      <c r="M807" s="256" t="inlineStr">
        <is>
          <t>03.06.2026</t>
        </is>
      </c>
      <c r="N807" s="256" t="inlineStr">
        <is>
          <t>Purely Plant GmbH (in-house)</t>
        </is>
      </c>
      <c r="O807" s="256" t="inlineStr">
        <is>
          <t>—</t>
        </is>
      </c>
      <c r="P807" s="256" t="inlineStr">
        <is>
          <t>to be performed — see route</t>
        </is>
      </c>
      <c r="Q807" s="256" t="inlineStr">
        <is>
          <t>Purely Plant laboratory — iCoA covering Ident A + B</t>
        </is>
      </c>
      <c r="R807" s="256" t="inlineStr"/>
    </row>
    <row r="808">
      <c r="A808" s="256" t="inlineStr">
        <is>
          <t>CoQ-PP_26-036</t>
        </is>
      </c>
      <c r="B808" s="256" t="inlineStr">
        <is>
          <t>release</t>
        </is>
      </c>
      <c r="C808" s="256" t="inlineStr">
        <is>
          <t>GP082501/2</t>
        </is>
      </c>
      <c r="D808" s="256" t="inlineStr">
        <is>
          <t>P050322</t>
        </is>
      </c>
      <c r="E808" s="256" t="inlineStr">
        <is>
          <t>Grape Pie</t>
        </is>
      </c>
      <c r="F808" s="256" t="inlineStr">
        <is>
          <t>06.06.2026</t>
        </is>
      </c>
      <c r="G808" s="256" t="inlineStr">
        <is>
          <t>2</t>
        </is>
      </c>
      <c r="H808" s="256" t="inlineStr">
        <is>
          <t>Identification B · Microscopic</t>
        </is>
      </c>
      <c r="I808" s="256" t="inlineStr">
        <is>
          <t>Ph. Eur. 2.8.23 (microscopy)</t>
        </is>
      </c>
      <c r="J808" s="256" t="inlineStr">
        <is>
          <t>Conforms to the monograph for Cannabis flos (07/2024:3028) in Ph. Eur. 11.0 | Согласно монографија за Cannabis flos (07/2024:3028) во Ph. Eur. 11.0</t>
        </is>
      </c>
      <c r="K808" s="256" t="inlineStr">
        <is>
          <t>Conforms | Одговара</t>
        </is>
      </c>
      <c r="L808" s="256" t="inlineStr">
        <is>
          <t>iCoA-PP_26-035</t>
        </is>
      </c>
      <c r="M808" s="256" t="inlineStr">
        <is>
          <t>03.06.2026</t>
        </is>
      </c>
      <c r="N808" s="256" t="inlineStr">
        <is>
          <t>Purely Plant GmbH (in-house)</t>
        </is>
      </c>
      <c r="O808" s="256" t="inlineStr">
        <is>
          <t>—</t>
        </is>
      </c>
      <c r="P808" s="256" t="inlineStr">
        <is>
          <t>to be performed — see route</t>
        </is>
      </c>
      <c r="Q808" s="256" t="inlineStr">
        <is>
          <t>Purely Plant laboratory — iCoA covering Ident A + B</t>
        </is>
      </c>
      <c r="R808" s="256" t="inlineStr"/>
    </row>
    <row r="809">
      <c r="A809" s="256" t="inlineStr">
        <is>
          <t>CoQ-PP_26-036</t>
        </is>
      </c>
      <c r="B809" s="256" t="inlineStr">
        <is>
          <t>release</t>
        </is>
      </c>
      <c r="C809" s="256" t="inlineStr">
        <is>
          <t>GP082501/2</t>
        </is>
      </c>
      <c r="D809" s="256" t="inlineStr">
        <is>
          <t>P050322</t>
        </is>
      </c>
      <c r="E809" s="256" t="inlineStr">
        <is>
          <t>Grape Pie</t>
        </is>
      </c>
      <c r="F809" s="256" t="inlineStr">
        <is>
          <t>06.06.2026</t>
        </is>
      </c>
      <c r="G809" s="256" t="inlineStr">
        <is>
          <t>3</t>
        </is>
      </c>
      <c r="H809" s="256" t="inlineStr">
        <is>
          <t>Identification C · HPLC/HPTLC</t>
        </is>
      </c>
      <c r="I809" s="256" t="inlineStr">
        <is>
          <t>Ph. Eur. 2.2.29 (3028)</t>
        </is>
      </c>
      <c r="J809" s="256" t="inlineStr">
        <is>
          <t>Conforms to the monograph for Cannabis flos (07/2024:3028) in Ph. Eur. 11.0 | Согласно монографија за Cannabis flos (07/2024:3028) во Ph. Eur. 11.0</t>
        </is>
      </c>
      <c r="K809" s="256" t="inlineStr">
        <is>
          <t>Conforms | Одговара</t>
        </is>
      </c>
      <c r="L809" s="256" t="inlineStr">
        <is>
          <t>ППК25381</t>
        </is>
      </c>
      <c r="M809" s="256" t="inlineStr">
        <is>
          <t>12.12.2025</t>
        </is>
      </c>
      <c r="N809" s="256" t="inlineStr">
        <is>
          <t>CNP</t>
        </is>
      </c>
      <c r="O809" s="256" t="inlineStr">
        <is>
          <t>01.12.2025</t>
        </is>
      </c>
      <c r="P809" s="256" t="inlineStr">
        <is>
          <t>covered</t>
        </is>
      </c>
      <c r="Q809" s="256" t="inlineStr"/>
      <c r="R809" s="256" t="inlineStr"/>
    </row>
    <row r="810">
      <c r="A810" s="256" t="inlineStr">
        <is>
          <t>CoQ-PP_26-036</t>
        </is>
      </c>
      <c r="B810" s="256" t="inlineStr">
        <is>
          <t>release</t>
        </is>
      </c>
      <c r="C810" s="256" t="inlineStr">
        <is>
          <t>GP082501/2</t>
        </is>
      </c>
      <c r="D810" s="256" t="inlineStr">
        <is>
          <t>P050322</t>
        </is>
      </c>
      <c r="E810" s="256" t="inlineStr">
        <is>
          <t>Grape Pie</t>
        </is>
      </c>
      <c r="F810" s="256" t="inlineStr">
        <is>
          <t>06.06.2026</t>
        </is>
      </c>
      <c r="G810" s="256" t="inlineStr">
        <is>
          <t>4</t>
        </is>
      </c>
      <c r="H810" s="256" t="inlineStr">
        <is>
          <t>Assay — Total Δ⁹-THC</t>
        </is>
      </c>
      <c r="I810" s="256" t="inlineStr">
        <is>
          <t>Ph. Eur. 2.2.29 (HPLC)</t>
        </is>
      </c>
      <c r="J810" s="256" t="inlineStr">
        <is>
          <t>14.40 – 17.59 %  (grade IV, nominal 16.00 ± 1.60)</t>
        </is>
      </c>
      <c r="K810" s="256" t="inlineStr">
        <is>
          <t>14.83</t>
        </is>
      </c>
      <c r="L810" s="256" t="inlineStr">
        <is>
          <t>ППК25381</t>
        </is>
      </c>
      <c r="M810" s="256" t="inlineStr">
        <is>
          <t>12.12.2025</t>
        </is>
      </c>
      <c r="N810" s="256" t="inlineStr">
        <is>
          <t>CNP</t>
        </is>
      </c>
      <c r="O810" s="256" t="inlineStr">
        <is>
          <t>01.12.2025</t>
        </is>
      </c>
      <c r="P810" s="256" t="inlineStr">
        <is>
          <t>covered</t>
        </is>
      </c>
      <c r="Q810" s="256" t="inlineStr"/>
      <c r="R810" s="256" t="inlineStr">
        <is>
          <t>15.70 (197-12-К/26)</t>
        </is>
      </c>
    </row>
    <row r="811">
      <c r="A811" s="256" t="inlineStr">
        <is>
          <t>CoQ-PP_26-036</t>
        </is>
      </c>
      <c r="B811" s="256" t="inlineStr">
        <is>
          <t>release</t>
        </is>
      </c>
      <c r="C811" s="256" t="inlineStr">
        <is>
          <t>GP082501/2</t>
        </is>
      </c>
      <c r="D811" s="256" t="inlineStr">
        <is>
          <t>P050322</t>
        </is>
      </c>
      <c r="E811" s="256" t="inlineStr">
        <is>
          <t>Grape Pie</t>
        </is>
      </c>
      <c r="F811" s="256" t="inlineStr">
        <is>
          <t>06.06.2026</t>
        </is>
      </c>
      <c r="G811" s="256" t="inlineStr">
        <is>
          <t>5</t>
        </is>
      </c>
      <c r="H811" s="256" t="inlineStr">
        <is>
          <t>Assay — Total CBD</t>
        </is>
      </c>
      <c r="I811" s="256" t="inlineStr">
        <is>
          <t>Ph. Eur. 2.2.29 (HPLC) · CBD + CBDA x 0.877</t>
        </is>
      </c>
      <c r="J811" s="256" t="inlineStr">
        <is>
          <t>≤ 1.0%, w/w</t>
        </is>
      </c>
      <c r="K811" s="256" t="inlineStr">
        <is>
          <t>0.11</t>
        </is>
      </c>
      <c r="L811" s="256" t="inlineStr">
        <is>
          <t>ППК25381</t>
        </is>
      </c>
      <c r="M811" s="256" t="inlineStr">
        <is>
          <t>12.12.2025</t>
        </is>
      </c>
      <c r="N811" s="256" t="inlineStr">
        <is>
          <t>CNP</t>
        </is>
      </c>
      <c r="O811" s="256" t="inlineStr">
        <is>
          <t>01.12.2025</t>
        </is>
      </c>
      <c r="P811" s="256" t="inlineStr">
        <is>
          <t>covered</t>
        </is>
      </c>
      <c r="Q811" s="256" t="inlineStr"/>
      <c r="R811" s="256" t="inlineStr">
        <is>
          <t>&lt;LOQ (197-12-К/26)</t>
        </is>
      </c>
    </row>
    <row r="812">
      <c r="A812" s="256" t="inlineStr">
        <is>
          <t>CoQ-PP_26-036</t>
        </is>
      </c>
      <c r="B812" s="256" t="inlineStr">
        <is>
          <t>release</t>
        </is>
      </c>
      <c r="C812" s="256" t="inlineStr">
        <is>
          <t>GP082501/2</t>
        </is>
      </c>
      <c r="D812" s="256" t="inlineStr">
        <is>
          <t>P050322</t>
        </is>
      </c>
      <c r="E812" s="256" t="inlineStr">
        <is>
          <t>Grape Pie</t>
        </is>
      </c>
      <c r="F812" s="256" t="inlineStr">
        <is>
          <t>06.06.2026</t>
        </is>
      </c>
      <c r="G812" s="256" t="inlineStr">
        <is>
          <t>6</t>
        </is>
      </c>
      <c r="H812" s="256" t="inlineStr">
        <is>
          <t>Total CBN</t>
        </is>
      </c>
      <c r="I812" s="256" t="inlineStr">
        <is>
          <t>HPLC — DAB 2018 monograph Cannabis flos, 2.2.29 · CBN + CBNA x 0.876 (CNP, before its Ph. Eur. 3028 accreditation)</t>
        </is>
      </c>
      <c r="J812" s="256" t="inlineStr">
        <is>
          <t>≤ 1.0%, w/w</t>
        </is>
      </c>
      <c r="K812" s="256" t="inlineStr">
        <is>
          <t>0.02 ᴰ</t>
        </is>
      </c>
      <c r="L812" s="256" t="inlineStr">
        <is>
          <t>ППК25381</t>
        </is>
      </c>
      <c r="M812" s="256" t="inlineStr">
        <is>
          <t>12.12.2025</t>
        </is>
      </c>
      <c r="N812" s="256" t="inlineStr">
        <is>
          <t>CNP</t>
        </is>
      </c>
      <c r="O812" s="256" t="inlineStr">
        <is>
          <t>01.12.2025</t>
        </is>
      </c>
      <c r="P812" s="256" t="inlineStr">
        <is>
          <t>covered</t>
        </is>
      </c>
      <c r="Q812" s="256" t="inlineStr"/>
      <c r="R812" s="256" t="inlineStr"/>
    </row>
    <row r="813">
      <c r="A813" s="256" t="inlineStr">
        <is>
          <t>CoQ-PP_26-036</t>
        </is>
      </c>
      <c r="B813" s="256" t="inlineStr">
        <is>
          <t>release</t>
        </is>
      </c>
      <c r="C813" s="256" t="inlineStr">
        <is>
          <t>GP082501/2</t>
        </is>
      </c>
      <c r="D813" s="256" t="inlineStr">
        <is>
          <t>P050322</t>
        </is>
      </c>
      <c r="E813" s="256" t="inlineStr">
        <is>
          <t>Grape Pie</t>
        </is>
      </c>
      <c r="F813" s="256" t="inlineStr">
        <is>
          <t>06.06.2026</t>
        </is>
      </c>
      <c r="G813" s="256" t="inlineStr">
        <is>
          <t>7</t>
        </is>
      </c>
      <c r="H813" s="256" t="inlineStr">
        <is>
          <t>Foreign Matter</t>
        </is>
      </c>
      <c r="I813" s="256" t="inlineStr">
        <is>
          <t>Ph. Eur. 2.8.2 · In-house · интерна</t>
        </is>
      </c>
      <c r="J813" s="256" t="inlineStr">
        <is>
          <t>≤ 2.0% / 25–50 g · &lt; 1 cm leaves | листови, no seeds | без семки</t>
        </is>
      </c>
      <c r="K813" s="256" t="inlineStr">
        <is>
          <t>Conforms | Одговара</t>
        </is>
      </c>
      <c r="L813" s="256" t="inlineStr">
        <is>
          <t>iCoA-PP_26-035</t>
        </is>
      </c>
      <c r="M813" s="256" t="inlineStr">
        <is>
          <t>03.06.2026</t>
        </is>
      </c>
      <c r="N813" s="256" t="inlineStr">
        <is>
          <t>Purely Plant GmbH (in-house)</t>
        </is>
      </c>
      <c r="O813" s="256" t="inlineStr">
        <is>
          <t>—</t>
        </is>
      </c>
      <c r="P813" s="256" t="inlineStr">
        <is>
          <t>to be performed — see route</t>
        </is>
      </c>
      <c r="Q813" s="256" t="inlineStr">
        <is>
          <t>Purely Plant laboratory — iCoA covering Foreign matter</t>
        </is>
      </c>
      <c r="R813" s="256" t="inlineStr"/>
    </row>
    <row r="814">
      <c r="A814" s="256" t="inlineStr">
        <is>
          <t>CoQ-PP_26-036</t>
        </is>
      </c>
      <c r="B814" s="256" t="inlineStr">
        <is>
          <t>release</t>
        </is>
      </c>
      <c r="C814" s="256" t="inlineStr">
        <is>
          <t>GP082501/2</t>
        </is>
      </c>
      <c r="D814" s="256" t="inlineStr">
        <is>
          <t>P050322</t>
        </is>
      </c>
      <c r="E814" s="256" t="inlineStr">
        <is>
          <t>Grape Pie</t>
        </is>
      </c>
      <c r="F814" s="256" t="inlineStr">
        <is>
          <t>06.06.2026</t>
        </is>
      </c>
      <c r="G814" s="256" t="inlineStr">
        <is>
          <t>8</t>
        </is>
      </c>
      <c r="H814" s="256" t="inlineStr">
        <is>
          <t>Loss on Drying</t>
        </is>
      </c>
      <c r="I814" s="256" t="inlineStr">
        <is>
          <t>Ph. Eur. 2.2.32 (3028) · at 40 °C, 24 h, 15–25 mbar</t>
        </is>
      </c>
      <c r="J814" s="256" t="inlineStr">
        <is>
          <t>≤ 12.0%</t>
        </is>
      </c>
      <c r="K814" s="256" t="inlineStr">
        <is>
          <t>6.88</t>
        </is>
      </c>
      <c r="L814" s="256" t="inlineStr">
        <is>
          <t>ППК25381</t>
        </is>
      </c>
      <c r="M814" s="256" t="inlineStr">
        <is>
          <t>12.12.2025</t>
        </is>
      </c>
      <c r="N814" s="256" t="inlineStr">
        <is>
          <t>CNP</t>
        </is>
      </c>
      <c r="O814" s="256" t="inlineStr">
        <is>
          <t>01.12.2025</t>
        </is>
      </c>
      <c r="P814" s="256" t="inlineStr">
        <is>
          <t>covered</t>
        </is>
      </c>
      <c r="Q814" s="256" t="inlineStr"/>
      <c r="R814" s="256" t="inlineStr"/>
    </row>
    <row r="815">
      <c r="A815" s="256" t="inlineStr">
        <is>
          <t>CoQ-PP_26-036</t>
        </is>
      </c>
      <c r="B815" s="256" t="inlineStr">
        <is>
          <t>release</t>
        </is>
      </c>
      <c r="C815" s="256" t="inlineStr">
        <is>
          <t>GP082501/2</t>
        </is>
      </c>
      <c r="D815" s="256" t="inlineStr">
        <is>
          <t>P050322</t>
        </is>
      </c>
      <c r="E815" s="256" t="inlineStr">
        <is>
          <t>Grape Pie</t>
        </is>
      </c>
      <c r="F815" s="256" t="inlineStr">
        <is>
          <t>06.06.2026</t>
        </is>
      </c>
      <c r="G815" s="256" t="inlineStr">
        <is>
          <t>9.1</t>
        </is>
      </c>
      <c r="H815" s="256" t="inlineStr">
        <is>
          <t>TAMC</t>
        </is>
      </c>
      <c r="I815" s="256" t="inlineStr">
        <is>
          <t>Ph. Eur. 2.6.12 cat. C</t>
        </is>
      </c>
      <c r="J815" s="256" t="inlineStr">
        <is>
          <t>≤ 10⁵ CFU/g</t>
        </is>
      </c>
      <c r="K815" s="256" t="inlineStr">
        <is>
          <t>3.2 × 10³</t>
        </is>
      </c>
      <c r="L815" s="256" t="inlineStr">
        <is>
          <t>1227/2193/25</t>
        </is>
      </c>
      <c r="M815" s="256" t="inlineStr">
        <is>
          <t>05.12.2025</t>
        </is>
      </c>
      <c r="N815" s="256" t="inlineStr">
        <is>
          <t>IPH — Institute of Public Health</t>
        </is>
      </c>
      <c r="O815" s="256" t="inlineStr">
        <is>
          <t>—</t>
        </is>
      </c>
      <c r="P815" s="256" t="inlineStr">
        <is>
          <t>covered</t>
        </is>
      </c>
      <c r="Q815" s="256" t="inlineStr"/>
      <c r="R815" s="256" t="inlineStr"/>
    </row>
    <row r="816">
      <c r="A816" s="256" t="inlineStr">
        <is>
          <t>CoQ-PP_26-036</t>
        </is>
      </c>
      <c r="B816" s="256" t="inlineStr">
        <is>
          <t>release</t>
        </is>
      </c>
      <c r="C816" s="256" t="inlineStr">
        <is>
          <t>GP082501/2</t>
        </is>
      </c>
      <c r="D816" s="256" t="inlineStr">
        <is>
          <t>P050322</t>
        </is>
      </c>
      <c r="E816" s="256" t="inlineStr">
        <is>
          <t>Grape Pie</t>
        </is>
      </c>
      <c r="F816" s="256" t="inlineStr">
        <is>
          <t>06.06.2026</t>
        </is>
      </c>
      <c r="G816" s="256" t="inlineStr">
        <is>
          <t>9.2</t>
        </is>
      </c>
      <c r="H816" s="256" t="inlineStr">
        <is>
          <t>TYMC</t>
        </is>
      </c>
      <c r="I816" s="256" t="inlineStr">
        <is>
          <t>Ph. Eur. 2.6.12 cat. C</t>
        </is>
      </c>
      <c r="J816" s="256" t="inlineStr">
        <is>
          <t>≤ 10⁴ CFU/g</t>
        </is>
      </c>
      <c r="K816" s="256" t="inlineStr">
        <is>
          <t>5.8 × 10³</t>
        </is>
      </c>
      <c r="L816" s="256" t="inlineStr">
        <is>
          <t>1227/2193/25</t>
        </is>
      </c>
      <c r="M816" s="256" t="inlineStr">
        <is>
          <t>05.12.2025</t>
        </is>
      </c>
      <c r="N816" s="256" t="inlineStr">
        <is>
          <t>IPH — Institute of Public Health</t>
        </is>
      </c>
      <c r="O816" s="256" t="inlineStr">
        <is>
          <t>—</t>
        </is>
      </c>
      <c r="P816" s="256" t="inlineStr">
        <is>
          <t>covered</t>
        </is>
      </c>
      <c r="Q816" s="256" t="inlineStr"/>
      <c r="R816" s="256" t="inlineStr"/>
    </row>
    <row r="817">
      <c r="A817" s="256" t="inlineStr">
        <is>
          <t>CoQ-PP_26-036</t>
        </is>
      </c>
      <c r="B817" s="256" t="inlineStr">
        <is>
          <t>release</t>
        </is>
      </c>
      <c r="C817" s="256" t="inlineStr">
        <is>
          <t>GP082501/2</t>
        </is>
      </c>
      <c r="D817" s="256" t="inlineStr">
        <is>
          <t>P050322</t>
        </is>
      </c>
      <c r="E817" s="256" t="inlineStr">
        <is>
          <t>Grape Pie</t>
        </is>
      </c>
      <c r="F817" s="256" t="inlineStr">
        <is>
          <t>06.06.2026</t>
        </is>
      </c>
      <c r="G817" s="256" t="inlineStr">
        <is>
          <t>9.3</t>
        </is>
      </c>
      <c r="H817" s="256" t="inlineStr">
        <is>
          <t>Bile-tolerant gram-neg.</t>
        </is>
      </c>
      <c r="I817" s="256" t="inlineStr">
        <is>
          <t>Ph. Eur. 2.6.31 cat. C</t>
        </is>
      </c>
      <c r="J817" s="256" t="inlineStr">
        <is>
          <t>≤ 10⁴ CFU/g</t>
        </is>
      </c>
      <c r="K817" s="256" t="inlineStr">
        <is>
          <t>&lt; 10⁴ and &gt; 10³</t>
        </is>
      </c>
      <c r="L817" s="256" t="inlineStr">
        <is>
          <t>1227/2193/25</t>
        </is>
      </c>
      <c r="M817" s="256" t="inlineStr">
        <is>
          <t>05.12.2025</t>
        </is>
      </c>
      <c r="N817" s="256" t="inlineStr">
        <is>
          <t>IPH — Institute of Public Health</t>
        </is>
      </c>
      <c r="O817" s="256" t="inlineStr">
        <is>
          <t>—</t>
        </is>
      </c>
      <c r="P817" s="256" t="inlineStr">
        <is>
          <t>covered</t>
        </is>
      </c>
      <c r="Q817" s="256" t="inlineStr"/>
      <c r="R817" s="256" t="inlineStr"/>
    </row>
    <row r="818">
      <c r="A818" s="256" t="inlineStr">
        <is>
          <t>CoQ-PP_26-036</t>
        </is>
      </c>
      <c r="B818" s="256" t="inlineStr">
        <is>
          <t>release</t>
        </is>
      </c>
      <c r="C818" s="256" t="inlineStr">
        <is>
          <t>GP082501/2</t>
        </is>
      </c>
      <c r="D818" s="256" t="inlineStr">
        <is>
          <t>P050322</t>
        </is>
      </c>
      <c r="E818" s="256" t="inlineStr">
        <is>
          <t>Grape Pie</t>
        </is>
      </c>
      <c r="F818" s="256" t="inlineStr">
        <is>
          <t>06.06.2026</t>
        </is>
      </c>
      <c r="G818" s="256" t="inlineStr">
        <is>
          <t>9.4</t>
        </is>
      </c>
      <c r="H818" s="256" t="inlineStr">
        <is>
          <t>Salmonella</t>
        </is>
      </c>
      <c r="I818" s="256" t="inlineStr">
        <is>
          <t>Ph. Eur. 2.6.31 cat. C</t>
        </is>
      </c>
      <c r="J818" s="256" t="inlineStr">
        <is>
          <t>Absence | Отсуство / 25 g</t>
        </is>
      </c>
      <c r="K818" s="256" t="inlineStr">
        <is>
          <t>Absent | Отсутна</t>
        </is>
      </c>
      <c r="L818" s="256" t="inlineStr">
        <is>
          <t>1227/2193/25</t>
        </is>
      </c>
      <c r="M818" s="256" t="inlineStr">
        <is>
          <t>05.12.2025</t>
        </is>
      </c>
      <c r="N818" s="256" t="inlineStr">
        <is>
          <t>IPH — Institute of Public Health</t>
        </is>
      </c>
      <c r="O818" s="256" t="inlineStr">
        <is>
          <t>—</t>
        </is>
      </c>
      <c r="P818" s="256" t="inlineStr">
        <is>
          <t>covered</t>
        </is>
      </c>
      <c r="Q818" s="256" t="inlineStr"/>
      <c r="R818" s="256" t="inlineStr"/>
    </row>
    <row r="819">
      <c r="A819" s="256" t="inlineStr">
        <is>
          <t>CoQ-PP_26-036</t>
        </is>
      </c>
      <c r="B819" s="256" t="inlineStr">
        <is>
          <t>release</t>
        </is>
      </c>
      <c r="C819" s="256" t="inlineStr">
        <is>
          <t>GP082501/2</t>
        </is>
      </c>
      <c r="D819" s="256" t="inlineStr">
        <is>
          <t>P050322</t>
        </is>
      </c>
      <c r="E819" s="256" t="inlineStr">
        <is>
          <t>Grape Pie</t>
        </is>
      </c>
      <c r="F819" s="256" t="inlineStr">
        <is>
          <t>06.06.2026</t>
        </is>
      </c>
      <c r="G819" s="256" t="inlineStr">
        <is>
          <t>9.5</t>
        </is>
      </c>
      <c r="H819" s="256" t="inlineStr">
        <is>
          <t>Escherichia coli</t>
        </is>
      </c>
      <c r="I819" s="256" t="inlineStr">
        <is>
          <t>Ph. Eur. 2.6.13 cat. C</t>
        </is>
      </c>
      <c r="J819" s="256" t="inlineStr">
        <is>
          <t>Absence | Отсуство / 1 g</t>
        </is>
      </c>
      <c r="K819" s="256" t="inlineStr">
        <is>
          <t>Absent | Отсутна</t>
        </is>
      </c>
      <c r="L819" s="256" t="inlineStr">
        <is>
          <t>1227/2193/25</t>
        </is>
      </c>
      <c r="M819" s="256" t="inlineStr">
        <is>
          <t>05.12.2025</t>
        </is>
      </c>
      <c r="N819" s="256" t="inlineStr">
        <is>
          <t>IPH — Institute of Public Health</t>
        </is>
      </c>
      <c r="O819" s="256" t="inlineStr">
        <is>
          <t>—</t>
        </is>
      </c>
      <c r="P819" s="256" t="inlineStr">
        <is>
          <t>covered</t>
        </is>
      </c>
      <c r="Q819" s="256" t="inlineStr"/>
      <c r="R819" s="256" t="inlineStr"/>
    </row>
    <row r="820">
      <c r="A820" s="256" t="inlineStr">
        <is>
          <t>CoQ-PP_26-036</t>
        </is>
      </c>
      <c r="B820" s="256" t="inlineStr">
        <is>
          <t>release</t>
        </is>
      </c>
      <c r="C820" s="256" t="inlineStr">
        <is>
          <t>GP082501/2</t>
        </is>
      </c>
      <c r="D820" s="256" t="inlineStr">
        <is>
          <t>P050322</t>
        </is>
      </c>
      <c r="E820" s="256" t="inlineStr">
        <is>
          <t>Grape Pie</t>
        </is>
      </c>
      <c r="F820" s="256" t="inlineStr">
        <is>
          <t>06.06.2026</t>
        </is>
      </c>
      <c r="G820" s="256" t="inlineStr">
        <is>
          <t>9.6</t>
        </is>
      </c>
      <c r="H820" s="256" t="inlineStr">
        <is>
          <t>Pseudomonas aeruginosa</t>
        </is>
      </c>
      <c r="I820" s="256" t="inlineStr">
        <is>
          <t>Ph. Eur. 2.6.13 cat. C</t>
        </is>
      </c>
      <c r="J820" s="256" t="inlineStr">
        <is>
          <t>Absence | Отсуство / 1 g</t>
        </is>
      </c>
      <c r="K820" s="260" t="inlineStr">
        <is>
          <t>upon request — not required for release</t>
        </is>
      </c>
      <c r="L820" s="256" t="inlineStr">
        <is>
          <t>—</t>
        </is>
      </c>
      <c r="M820" s="256" t="inlineStr">
        <is>
          <t>—</t>
        </is>
      </c>
      <c r="N820" s="256" t="inlineStr">
        <is>
          <t>—</t>
        </is>
      </c>
      <c r="O820" s="256" t="inlineStr">
        <is>
          <t>—</t>
        </is>
      </c>
      <c r="P820" s="256" t="inlineStr">
        <is>
          <t>upon request — not required for release</t>
        </is>
      </c>
      <c r="Q820" s="256" t="inlineStr"/>
      <c r="R820" s="256" t="inlineStr"/>
    </row>
    <row r="821">
      <c r="A821" s="256" t="inlineStr">
        <is>
          <t>CoQ-PP_26-036</t>
        </is>
      </c>
      <c r="B821" s="256" t="inlineStr">
        <is>
          <t>release</t>
        </is>
      </c>
      <c r="C821" s="256" t="inlineStr">
        <is>
          <t>GP082501/2</t>
        </is>
      </c>
      <c r="D821" s="256" t="inlineStr">
        <is>
          <t>P050322</t>
        </is>
      </c>
      <c r="E821" s="256" t="inlineStr">
        <is>
          <t>Grape Pie</t>
        </is>
      </c>
      <c r="F821" s="256" t="inlineStr">
        <is>
          <t>06.06.2026</t>
        </is>
      </c>
      <c r="G821" s="256" t="inlineStr">
        <is>
          <t>9.7</t>
        </is>
      </c>
      <c r="H821" s="256" t="inlineStr">
        <is>
          <t>Staphylococcus aureus</t>
        </is>
      </c>
      <c r="I821" s="256" t="inlineStr">
        <is>
          <t>Ph. Eur. 2.6.13 cat. C</t>
        </is>
      </c>
      <c r="J821" s="256" t="inlineStr">
        <is>
          <t>Absence | Отсуство / 1 g</t>
        </is>
      </c>
      <c r="K821" s="260" t="inlineStr">
        <is>
          <t>upon request — not required for release</t>
        </is>
      </c>
      <c r="L821" s="256" t="inlineStr">
        <is>
          <t>—</t>
        </is>
      </c>
      <c r="M821" s="256" t="inlineStr">
        <is>
          <t>—</t>
        </is>
      </c>
      <c r="N821" s="256" t="inlineStr">
        <is>
          <t>—</t>
        </is>
      </c>
      <c r="O821" s="256" t="inlineStr">
        <is>
          <t>—</t>
        </is>
      </c>
      <c r="P821" s="256" t="inlineStr">
        <is>
          <t>upon request — not required for release</t>
        </is>
      </c>
      <c r="Q821" s="256" t="inlineStr"/>
      <c r="R821" s="256" t="inlineStr"/>
    </row>
    <row r="822">
      <c r="A822" s="256" t="inlineStr">
        <is>
          <t>CoQ-PP_26-036</t>
        </is>
      </c>
      <c r="B822" s="256" t="inlineStr">
        <is>
          <t>release</t>
        </is>
      </c>
      <c r="C822" s="256" t="inlineStr">
        <is>
          <t>GP082501/2</t>
        </is>
      </c>
      <c r="D822" s="256" t="inlineStr">
        <is>
          <t>P050322</t>
        </is>
      </c>
      <c r="E822" s="256" t="inlineStr">
        <is>
          <t>Grape Pie</t>
        </is>
      </c>
      <c r="F822" s="256" t="inlineStr">
        <is>
          <t>06.06.2026</t>
        </is>
      </c>
      <c r="G822" s="256" t="inlineStr">
        <is>
          <t>10.1</t>
        </is>
      </c>
      <c r="H822" s="256" t="inlineStr">
        <is>
          <t>Aflatoxin B₁</t>
        </is>
      </c>
      <c r="I822" s="256" t="inlineStr">
        <is>
          <t>Ph. Eur. 2.8.18 (HPLC-FLD)</t>
        </is>
      </c>
      <c r="J822" s="256" t="inlineStr">
        <is>
          <t>≤ 2 µg/kg</t>
        </is>
      </c>
      <c r="K822" s="259" t="inlineStr">
        <is>
          <t>not tested</t>
        </is>
      </c>
      <c r="L822" s="256" t="inlineStr">
        <is>
          <t>—</t>
        </is>
      </c>
      <c r="M822" s="256" t="inlineStr">
        <is>
          <t>—</t>
        </is>
      </c>
      <c r="N822" s="256" t="inlineStr">
        <is>
          <t>—</t>
        </is>
      </c>
      <c r="O822" s="256" t="inlineStr">
        <is>
          <t>—</t>
        </is>
      </c>
      <c r="P822" s="256" t="inlineStr">
        <is>
          <t>not tested — no certificate covers it</t>
        </is>
      </c>
      <c r="Q822" s="256" t="inlineStr"/>
      <c r="R822" s="256" t="inlineStr">
        <is>
          <t>ND (197-12-М/26)</t>
        </is>
      </c>
    </row>
    <row r="823">
      <c r="A823" s="256" t="inlineStr">
        <is>
          <t>CoQ-PP_26-036</t>
        </is>
      </c>
      <c r="B823" s="256" t="inlineStr">
        <is>
          <t>release</t>
        </is>
      </c>
      <c r="C823" s="256" t="inlineStr">
        <is>
          <t>GP082501/2</t>
        </is>
      </c>
      <c r="D823" s="256" t="inlineStr">
        <is>
          <t>P050322</t>
        </is>
      </c>
      <c r="E823" s="256" t="inlineStr">
        <is>
          <t>Grape Pie</t>
        </is>
      </c>
      <c r="F823" s="256" t="inlineStr">
        <is>
          <t>06.06.2026</t>
        </is>
      </c>
      <c r="G823" s="256" t="inlineStr">
        <is>
          <t>10.2</t>
        </is>
      </c>
      <c r="H823" s="256" t="inlineStr">
        <is>
          <t>Aflatoxins ∑</t>
        </is>
      </c>
      <c r="I823" s="256" t="inlineStr">
        <is>
          <t>Ph. Eur. 2.8.18 (HPLC-FLD)</t>
        </is>
      </c>
      <c r="J823" s="256" t="inlineStr">
        <is>
          <t>≤ 4 µg/kg</t>
        </is>
      </c>
      <c r="K823" s="256" t="inlineStr">
        <is>
          <t>&lt; 2</t>
        </is>
      </c>
      <c r="L823" s="256" t="inlineStr">
        <is>
          <t>5889/2025</t>
        </is>
      </c>
      <c r="M823" s="256" t="inlineStr">
        <is>
          <t>12.12.2025</t>
        </is>
      </c>
      <c r="N823" s="256" t="inlineStr">
        <is>
          <t>IPH — Institute of Public Health</t>
        </is>
      </c>
      <c r="O823" s="256" t="inlineStr">
        <is>
          <t>01.12.2025</t>
        </is>
      </c>
      <c r="P823" s="256" t="inlineStr">
        <is>
          <t>covered</t>
        </is>
      </c>
      <c r="Q823" s="256" t="inlineStr"/>
      <c r="R823" s="256" t="inlineStr">
        <is>
          <t>ND (197-12-М/26)</t>
        </is>
      </c>
    </row>
    <row r="824">
      <c r="A824" s="256" t="inlineStr">
        <is>
          <t>CoQ-PP_26-036</t>
        </is>
      </c>
      <c r="B824" s="256" t="inlineStr">
        <is>
          <t>release</t>
        </is>
      </c>
      <c r="C824" s="256" t="inlineStr">
        <is>
          <t>GP082501/2</t>
        </is>
      </c>
      <c r="D824" s="256" t="inlineStr">
        <is>
          <t>P050322</t>
        </is>
      </c>
      <c r="E824" s="256" t="inlineStr">
        <is>
          <t>Grape Pie</t>
        </is>
      </c>
      <c r="F824" s="256" t="inlineStr">
        <is>
          <t>06.06.2026</t>
        </is>
      </c>
      <c r="G824" s="256" t="inlineStr">
        <is>
          <t>10.3</t>
        </is>
      </c>
      <c r="H824" s="256" t="inlineStr">
        <is>
          <t>Ochratoxin A</t>
        </is>
      </c>
      <c r="I824" s="256" t="inlineStr">
        <is>
          <t>Ph. Eur. 2.8.22 (HPLC-FLD)</t>
        </is>
      </c>
      <c r="J824" s="256" t="inlineStr">
        <is>
          <t>≤ 20 µg/kg</t>
        </is>
      </c>
      <c r="K824" s="259" t="inlineStr">
        <is>
          <t>not tested</t>
        </is>
      </c>
      <c r="L824" s="256" t="inlineStr">
        <is>
          <t>—</t>
        </is>
      </c>
      <c r="M824" s="256" t="inlineStr">
        <is>
          <t>—</t>
        </is>
      </c>
      <c r="N824" s="256" t="inlineStr">
        <is>
          <t>—</t>
        </is>
      </c>
      <c r="O824" s="256" t="inlineStr">
        <is>
          <t>—</t>
        </is>
      </c>
      <c r="P824" s="256" t="inlineStr">
        <is>
          <t>not tested — no certificate covers it</t>
        </is>
      </c>
      <c r="Q824" s="256" t="inlineStr"/>
      <c r="R824" s="256" t="inlineStr">
        <is>
          <t>ND (197-12-М/26)</t>
        </is>
      </c>
    </row>
    <row r="825">
      <c r="A825" s="256" t="inlineStr">
        <is>
          <t>CoQ-PP_26-036</t>
        </is>
      </c>
      <c r="B825" s="256" t="inlineStr">
        <is>
          <t>release</t>
        </is>
      </c>
      <c r="C825" s="256" t="inlineStr">
        <is>
          <t>GP082501/2</t>
        </is>
      </c>
      <c r="D825" s="256" t="inlineStr">
        <is>
          <t>P050322</t>
        </is>
      </c>
      <c r="E825" s="256" t="inlineStr">
        <is>
          <t>Grape Pie</t>
        </is>
      </c>
      <c r="F825" s="256" t="inlineStr">
        <is>
          <t>06.06.2026</t>
        </is>
      </c>
      <c r="G825" s="256" t="inlineStr">
        <is>
          <t>11.1</t>
        </is>
      </c>
      <c r="H825" s="256" t="inlineStr">
        <is>
          <t>Lead (Pb)</t>
        </is>
      </c>
      <c r="I825" s="256" t="inlineStr">
        <is>
          <t>Ph. Eur. 2.4.27 (ICP-MS)</t>
        </is>
      </c>
      <c r="J825" s="256" t="inlineStr">
        <is>
          <t>≤ 0.5 mg/kg</t>
        </is>
      </c>
      <c r="K825" s="256" t="inlineStr">
        <is>
          <t>0.013</t>
        </is>
      </c>
      <c r="L825" s="256" t="inlineStr">
        <is>
          <t>5889/2025</t>
        </is>
      </c>
      <c r="M825" s="256" t="inlineStr">
        <is>
          <t>12.12.2025</t>
        </is>
      </c>
      <c r="N825" s="256" t="inlineStr">
        <is>
          <t>IPH — Institute of Public Health</t>
        </is>
      </c>
      <c r="O825" s="256" t="inlineStr">
        <is>
          <t>01.12.2025</t>
        </is>
      </c>
      <c r="P825" s="256" t="inlineStr">
        <is>
          <t>covered</t>
        </is>
      </c>
      <c r="Q825" s="256" t="inlineStr"/>
      <c r="R825" s="256" t="inlineStr"/>
    </row>
    <row r="826">
      <c r="A826" s="256" t="inlineStr">
        <is>
          <t>CoQ-PP_26-036</t>
        </is>
      </c>
      <c r="B826" s="256" t="inlineStr">
        <is>
          <t>release</t>
        </is>
      </c>
      <c r="C826" s="256" t="inlineStr">
        <is>
          <t>GP082501/2</t>
        </is>
      </c>
      <c r="D826" s="256" t="inlineStr">
        <is>
          <t>P050322</t>
        </is>
      </c>
      <c r="E826" s="256" t="inlineStr">
        <is>
          <t>Grape Pie</t>
        </is>
      </c>
      <c r="F826" s="256" t="inlineStr">
        <is>
          <t>06.06.2026</t>
        </is>
      </c>
      <c r="G826" s="256" t="inlineStr">
        <is>
          <t>11.2</t>
        </is>
      </c>
      <c r="H826" s="256" t="inlineStr">
        <is>
          <t>Cadmium (Cd)</t>
        </is>
      </c>
      <c r="I826" s="256" t="inlineStr">
        <is>
          <t>Ph. Eur. 2.4.27 (ICP-MS)</t>
        </is>
      </c>
      <c r="J826" s="256" t="inlineStr">
        <is>
          <t>≤ 0.3 mg/kg</t>
        </is>
      </c>
      <c r="K826" s="256" t="inlineStr">
        <is>
          <t>0.003</t>
        </is>
      </c>
      <c r="L826" s="256" t="inlineStr">
        <is>
          <t>5889/2025</t>
        </is>
      </c>
      <c r="M826" s="256" t="inlineStr">
        <is>
          <t>12.12.2025</t>
        </is>
      </c>
      <c r="N826" s="256" t="inlineStr">
        <is>
          <t>IPH — Institute of Public Health</t>
        </is>
      </c>
      <c r="O826" s="256" t="inlineStr">
        <is>
          <t>01.12.2025</t>
        </is>
      </c>
      <c r="P826" s="256" t="inlineStr">
        <is>
          <t>covered</t>
        </is>
      </c>
      <c r="Q826" s="256" t="inlineStr"/>
      <c r="R826" s="256" t="inlineStr"/>
    </row>
    <row r="827">
      <c r="A827" s="256" t="inlineStr">
        <is>
          <t>CoQ-PP_26-036</t>
        </is>
      </c>
      <c r="B827" s="256" t="inlineStr">
        <is>
          <t>release</t>
        </is>
      </c>
      <c r="C827" s="256" t="inlineStr">
        <is>
          <t>GP082501/2</t>
        </is>
      </c>
      <c r="D827" s="256" t="inlineStr">
        <is>
          <t>P050322</t>
        </is>
      </c>
      <c r="E827" s="256" t="inlineStr">
        <is>
          <t>Grape Pie</t>
        </is>
      </c>
      <c r="F827" s="256" t="inlineStr">
        <is>
          <t>06.06.2026</t>
        </is>
      </c>
      <c r="G827" s="256" t="inlineStr">
        <is>
          <t>11.3</t>
        </is>
      </c>
      <c r="H827" s="256" t="inlineStr">
        <is>
          <t>Arsenic (As)</t>
        </is>
      </c>
      <c r="I827" s="256" t="inlineStr">
        <is>
          <t>Ph. Eur. 2.4.27 (ICP-MS)</t>
        </is>
      </c>
      <c r="J827" s="256" t="inlineStr">
        <is>
          <t>≤ 0.2 mg/kg</t>
        </is>
      </c>
      <c r="K827" s="256" t="inlineStr">
        <is>
          <t>0.02</t>
        </is>
      </c>
      <c r="L827" s="256" t="inlineStr">
        <is>
          <t>5889/2025</t>
        </is>
      </c>
      <c r="M827" s="256" t="inlineStr">
        <is>
          <t>12.12.2025</t>
        </is>
      </c>
      <c r="N827" s="256" t="inlineStr">
        <is>
          <t>IPH — Institute of Public Health</t>
        </is>
      </c>
      <c r="O827" s="256" t="inlineStr">
        <is>
          <t>01.12.2025</t>
        </is>
      </c>
      <c r="P827" s="256" t="inlineStr">
        <is>
          <t>covered</t>
        </is>
      </c>
      <c r="Q827" s="256" t="inlineStr"/>
      <c r="R827" s="256" t="inlineStr"/>
    </row>
    <row r="828">
      <c r="A828" s="256" t="inlineStr">
        <is>
          <t>CoQ-PP_26-036</t>
        </is>
      </c>
      <c r="B828" s="256" t="inlineStr">
        <is>
          <t>release</t>
        </is>
      </c>
      <c r="C828" s="256" t="inlineStr">
        <is>
          <t>GP082501/2</t>
        </is>
      </c>
      <c r="D828" s="256" t="inlineStr">
        <is>
          <t>P050322</t>
        </is>
      </c>
      <c r="E828" s="256" t="inlineStr">
        <is>
          <t>Grape Pie</t>
        </is>
      </c>
      <c r="F828" s="256" t="inlineStr">
        <is>
          <t>06.06.2026</t>
        </is>
      </c>
      <c r="G828" s="256" t="inlineStr">
        <is>
          <t>11.4</t>
        </is>
      </c>
      <c r="H828" s="256" t="inlineStr">
        <is>
          <t>Mercury (Hg)</t>
        </is>
      </c>
      <c r="I828" s="256" t="inlineStr">
        <is>
          <t>Ph. Eur. 2.4.27 (ICP-MS)</t>
        </is>
      </c>
      <c r="J828" s="256" t="inlineStr">
        <is>
          <t>≤ 0.1 mg/kg</t>
        </is>
      </c>
      <c r="K828" s="256" t="inlineStr">
        <is>
          <t>0.016</t>
        </is>
      </c>
      <c r="L828" s="256" t="inlineStr">
        <is>
          <t>5889/2025</t>
        </is>
      </c>
      <c r="M828" s="256" t="inlineStr">
        <is>
          <t>12.12.2025</t>
        </is>
      </c>
      <c r="N828" s="256" t="inlineStr">
        <is>
          <t>IPH — Institute of Public Health</t>
        </is>
      </c>
      <c r="O828" s="256" t="inlineStr">
        <is>
          <t>01.12.2025</t>
        </is>
      </c>
      <c r="P828" s="256" t="inlineStr">
        <is>
          <t>covered</t>
        </is>
      </c>
      <c r="Q828" s="256" t="inlineStr"/>
      <c r="R828" s="256" t="inlineStr"/>
    </row>
    <row r="829">
      <c r="A829" s="256" t="inlineStr">
        <is>
          <t>CoQ-PP_26-036</t>
        </is>
      </c>
      <c r="B829" s="256" t="inlineStr">
        <is>
          <t>release</t>
        </is>
      </c>
      <c r="C829" s="256" t="inlineStr">
        <is>
          <t>GP082501/2</t>
        </is>
      </c>
      <c r="D829" s="256" t="inlineStr">
        <is>
          <t>P050322</t>
        </is>
      </c>
      <c r="E829" s="256" t="inlineStr">
        <is>
          <t>Grape Pie</t>
        </is>
      </c>
      <c r="F829" s="256" t="inlineStr">
        <is>
          <t>06.06.2026</t>
        </is>
      </c>
      <c r="G829" s="256" t="inlineStr">
        <is>
          <t>12</t>
        </is>
      </c>
      <c r="H829" s="256" t="inlineStr">
        <is>
          <t>Pesticide Residues</t>
        </is>
      </c>
      <c r="I829" s="256" t="inlineStr">
        <is>
          <t>Ph. Eur. 2.8.13 (LC-MS/MS) · CUMCS Equivalency</t>
        </is>
      </c>
      <c r="J829" s="256" t="inlineStr">
        <is>
          <t>≤ LOQ as per Ph. Eur. 2.8.13 · ≤ LOQ as per CUMCS Equivalency</t>
        </is>
      </c>
      <c r="K829" s="256" t="inlineStr">
        <is>
          <t>ND</t>
        </is>
      </c>
      <c r="L829" s="256" t="inlineStr">
        <is>
          <t>5889/2025</t>
        </is>
      </c>
      <c r="M829" s="256" t="inlineStr">
        <is>
          <t>12.12.2025</t>
        </is>
      </c>
      <c r="N829" s="256" t="inlineStr">
        <is>
          <t>IPH — Institute of Public Health</t>
        </is>
      </c>
      <c r="O829" s="256" t="inlineStr">
        <is>
          <t>01.12.2025</t>
        </is>
      </c>
      <c r="P829" s="256" t="inlineStr">
        <is>
          <t>covered</t>
        </is>
      </c>
      <c r="Q829" s="256" t="inlineStr"/>
      <c r="R829" s="256" t="inlineStr"/>
    </row>
    <row r="830">
      <c r="A830" s="256" t="inlineStr">
        <is>
          <t>CoQ-PP_26-037</t>
        </is>
      </c>
      <c r="B830" s="256" t="inlineStr">
        <is>
          <t>release</t>
        </is>
      </c>
      <c r="C830" s="256" t="inlineStr">
        <is>
          <t>WC082501</t>
        </is>
      </c>
      <c r="D830" s="256" t="inlineStr">
        <is>
          <t>P060012</t>
        </is>
      </c>
      <c r="E830" s="256" t="inlineStr">
        <is>
          <t>Wedding Crusher</t>
        </is>
      </c>
      <c r="F830" s="256" t="inlineStr">
        <is>
          <t>06.06.2026</t>
        </is>
      </c>
      <c r="G830" s="256" t="inlineStr">
        <is>
          <t>1</t>
        </is>
      </c>
      <c r="H830" s="256" t="inlineStr">
        <is>
          <t>Identification A, Appearance · Macroscopic</t>
        </is>
      </c>
      <c r="I830" s="256" t="inlineStr">
        <is>
          <t>Ph. Eur. mon. 3028</t>
        </is>
      </c>
      <c r="J830" s="256" t="inlineStr">
        <is>
          <t>Conforms to the monograph for Cannabis flos (07/2024:3028) in Ph. Eur. 11.0 | Согласно монографија за Cannabis flos (07/2024:3028) во Ph. Eur. 11.0</t>
        </is>
      </c>
      <c r="K830" s="256" t="inlineStr">
        <is>
          <t>Conforms | Одговара</t>
        </is>
      </c>
      <c r="L830" s="256" t="inlineStr">
        <is>
          <t>iCoA-PP_26-036</t>
        </is>
      </c>
      <c r="M830" s="256" t="inlineStr">
        <is>
          <t>03.06.2026</t>
        </is>
      </c>
      <c r="N830" s="256" t="inlineStr">
        <is>
          <t>Purely Plant GmbH (in-house)</t>
        </is>
      </c>
      <c r="O830" s="256" t="inlineStr">
        <is>
          <t>—</t>
        </is>
      </c>
      <c r="P830" s="256" t="inlineStr">
        <is>
          <t>to be performed — see route</t>
        </is>
      </c>
      <c r="Q830" s="256" t="inlineStr">
        <is>
          <t>Purely Plant laboratory — iCoA covering Ident A + B</t>
        </is>
      </c>
      <c r="R830" s="256" t="inlineStr"/>
    </row>
    <row r="831">
      <c r="A831" s="256" t="inlineStr">
        <is>
          <t>CoQ-PP_26-037</t>
        </is>
      </c>
      <c r="B831" s="256" t="inlineStr">
        <is>
          <t>release</t>
        </is>
      </c>
      <c r="C831" s="256" t="inlineStr">
        <is>
          <t>WC082501</t>
        </is>
      </c>
      <c r="D831" s="256" t="inlineStr">
        <is>
          <t>P060012</t>
        </is>
      </c>
      <c r="E831" s="256" t="inlineStr">
        <is>
          <t>Wedding Crusher</t>
        </is>
      </c>
      <c r="F831" s="256" t="inlineStr">
        <is>
          <t>06.06.2026</t>
        </is>
      </c>
      <c r="G831" s="256" t="inlineStr">
        <is>
          <t>2</t>
        </is>
      </c>
      <c r="H831" s="256" t="inlineStr">
        <is>
          <t>Identification B · Microscopic</t>
        </is>
      </c>
      <c r="I831" s="256" t="inlineStr">
        <is>
          <t>Ph. Eur. 2.8.23 (microscopy)</t>
        </is>
      </c>
      <c r="J831" s="256" t="inlineStr">
        <is>
          <t>Conforms to the monograph for Cannabis flos (07/2024:3028) in Ph. Eur. 11.0 | Согласно монографија за Cannabis flos (07/2024:3028) во Ph. Eur. 11.0</t>
        </is>
      </c>
      <c r="K831" s="256" t="inlineStr">
        <is>
          <t>Conforms | Одговара</t>
        </is>
      </c>
      <c r="L831" s="256" t="inlineStr">
        <is>
          <t>iCoA-PP_26-036</t>
        </is>
      </c>
      <c r="M831" s="256" t="inlineStr">
        <is>
          <t>03.06.2026</t>
        </is>
      </c>
      <c r="N831" s="256" t="inlineStr">
        <is>
          <t>Purely Plant GmbH (in-house)</t>
        </is>
      </c>
      <c r="O831" s="256" t="inlineStr">
        <is>
          <t>—</t>
        </is>
      </c>
      <c r="P831" s="256" t="inlineStr">
        <is>
          <t>to be performed — see route</t>
        </is>
      </c>
      <c r="Q831" s="256" t="inlineStr">
        <is>
          <t>Purely Plant laboratory — iCoA covering Ident A + B</t>
        </is>
      </c>
      <c r="R831" s="256" t="inlineStr"/>
    </row>
    <row r="832">
      <c r="A832" s="256" t="inlineStr">
        <is>
          <t>CoQ-PP_26-037</t>
        </is>
      </c>
      <c r="B832" s="256" t="inlineStr">
        <is>
          <t>release</t>
        </is>
      </c>
      <c r="C832" s="256" t="inlineStr">
        <is>
          <t>WC082501</t>
        </is>
      </c>
      <c r="D832" s="256" t="inlineStr">
        <is>
          <t>P060012</t>
        </is>
      </c>
      <c r="E832" s="256" t="inlineStr">
        <is>
          <t>Wedding Crusher</t>
        </is>
      </c>
      <c r="F832" s="256" t="inlineStr">
        <is>
          <t>06.06.2026</t>
        </is>
      </c>
      <c r="G832" s="256" t="inlineStr">
        <is>
          <t>3</t>
        </is>
      </c>
      <c r="H832" s="256" t="inlineStr">
        <is>
          <t>Identification C · HPLC/HPTLC</t>
        </is>
      </c>
      <c r="I832" s="256" t="inlineStr">
        <is>
          <t>HPLC — DAB 2018 monograph Cannabis flos, 2.2.29 (CNP, before its Ph. Eur. 3028 accreditation)</t>
        </is>
      </c>
      <c r="J832" s="256" t="inlineStr">
        <is>
          <t>Conforms to the monograph for Cannabis flos (07/2024:3028) in Ph. Eur. 11.0 | Согласно монографија за Cannabis flos (07/2024:3028) во Ph. Eur. 11.0</t>
        </is>
      </c>
      <c r="K832" s="256" t="inlineStr">
        <is>
          <t>Conforms | Одговара</t>
        </is>
      </c>
      <c r="L832" s="256" t="inlineStr">
        <is>
          <t>ППК26001</t>
        </is>
      </c>
      <c r="M832" s="256" t="inlineStr">
        <is>
          <t>21.01.2026</t>
        </is>
      </c>
      <c r="N832" s="256" t="inlineStr">
        <is>
          <t>UKIM Faculty of Pharmacy — Center for Natural Products</t>
        </is>
      </c>
      <c r="O832" s="256" t="inlineStr">
        <is>
          <t>08.01.2026</t>
        </is>
      </c>
      <c r="P832" s="256" t="inlineStr">
        <is>
          <t>covered</t>
        </is>
      </c>
      <c r="Q832" s="256" t="inlineStr"/>
      <c r="R832" s="256" t="inlineStr"/>
    </row>
    <row r="833">
      <c r="A833" s="256" t="inlineStr">
        <is>
          <t>CoQ-PP_26-037</t>
        </is>
      </c>
      <c r="B833" s="256" t="inlineStr">
        <is>
          <t>release</t>
        </is>
      </c>
      <c r="C833" s="256" t="inlineStr">
        <is>
          <t>WC082501</t>
        </is>
      </c>
      <c r="D833" s="256" t="inlineStr">
        <is>
          <t>P060012</t>
        </is>
      </c>
      <c r="E833" s="256" t="inlineStr">
        <is>
          <t>Wedding Crusher</t>
        </is>
      </c>
      <c r="F833" s="256" t="inlineStr">
        <is>
          <t>06.06.2026</t>
        </is>
      </c>
      <c r="G833" s="256" t="inlineStr">
        <is>
          <t>4</t>
        </is>
      </c>
      <c r="H833" s="256" t="inlineStr">
        <is>
          <t>Assay — Total Δ⁹-THC</t>
        </is>
      </c>
      <c r="I833" s="256" t="inlineStr">
        <is>
          <t>HPLC — DAB 2018 monograph Cannabis flos, 2.2.29 (CNP, before its Ph. Eur. 3028 accreditation)</t>
        </is>
      </c>
      <c r="J833" s="256" t="inlineStr">
        <is>
          <t>20.60 – 23.39 %  (grade II, nominal 22.00 ± 1.40)</t>
        </is>
      </c>
      <c r="K833" s="256" t="inlineStr">
        <is>
          <t>21.67</t>
        </is>
      </c>
      <c r="L833" s="256" t="inlineStr">
        <is>
          <t>ППК26001</t>
        </is>
      </c>
      <c r="M833" s="256" t="inlineStr">
        <is>
          <t>21.01.2026</t>
        </is>
      </c>
      <c r="N833" s="256" t="inlineStr">
        <is>
          <t>UKIM Faculty of Pharmacy — Center for Natural Products</t>
        </is>
      </c>
      <c r="O833" s="256" t="inlineStr">
        <is>
          <t>08.01.2026</t>
        </is>
      </c>
      <c r="P833" s="256" t="inlineStr">
        <is>
          <t>covered</t>
        </is>
      </c>
      <c r="Q833" s="256" t="inlineStr"/>
      <c r="R833" s="256" t="inlineStr">
        <is>
          <t>23.48 (220-28-К/26)</t>
        </is>
      </c>
    </row>
    <row r="834">
      <c r="A834" s="256" t="inlineStr">
        <is>
          <t>CoQ-PP_26-037</t>
        </is>
      </c>
      <c r="B834" s="256" t="inlineStr">
        <is>
          <t>release</t>
        </is>
      </c>
      <c r="C834" s="256" t="inlineStr">
        <is>
          <t>WC082501</t>
        </is>
      </c>
      <c r="D834" s="256" t="inlineStr">
        <is>
          <t>P060012</t>
        </is>
      </c>
      <c r="E834" s="256" t="inlineStr">
        <is>
          <t>Wedding Crusher</t>
        </is>
      </c>
      <c r="F834" s="256" t="inlineStr">
        <is>
          <t>06.06.2026</t>
        </is>
      </c>
      <c r="G834" s="256" t="inlineStr">
        <is>
          <t>5</t>
        </is>
      </c>
      <c r="H834" s="256" t="inlineStr">
        <is>
          <t>Assay — Total CBD</t>
        </is>
      </c>
      <c r="I834" s="256" t="inlineStr">
        <is>
          <t>HPLC — DAB 2018 monograph Cannabis flos, 2.2.29 · CBD + CBDA x 0.877 (CNP, before its Ph. Eur. 3028 accreditation)</t>
        </is>
      </c>
      <c r="J834" s="256" t="inlineStr">
        <is>
          <t>≤ 1.0%, w/w</t>
        </is>
      </c>
      <c r="K834" s="256" t="inlineStr">
        <is>
          <t>0.08</t>
        </is>
      </c>
      <c r="L834" s="256" t="inlineStr">
        <is>
          <t>ППК26001</t>
        </is>
      </c>
      <c r="M834" s="256" t="inlineStr">
        <is>
          <t>21.01.2026</t>
        </is>
      </c>
      <c r="N834" s="256" t="inlineStr">
        <is>
          <t>UKIM Faculty of Pharmacy — Center for Natural Products</t>
        </is>
      </c>
      <c r="O834" s="256" t="inlineStr">
        <is>
          <t>08.01.2026</t>
        </is>
      </c>
      <c r="P834" s="256" t="inlineStr">
        <is>
          <t>covered</t>
        </is>
      </c>
      <c r="Q834" s="256" t="inlineStr"/>
      <c r="R834" s="256" t="inlineStr">
        <is>
          <t>&lt;LOQ (220-28-К/26)</t>
        </is>
      </c>
    </row>
    <row r="835">
      <c r="A835" s="256" t="inlineStr">
        <is>
          <t>CoQ-PP_26-037</t>
        </is>
      </c>
      <c r="B835" s="256" t="inlineStr">
        <is>
          <t>release</t>
        </is>
      </c>
      <c r="C835" s="256" t="inlineStr">
        <is>
          <t>WC082501</t>
        </is>
      </c>
      <c r="D835" s="256" t="inlineStr">
        <is>
          <t>P060012</t>
        </is>
      </c>
      <c r="E835" s="256" t="inlineStr">
        <is>
          <t>Wedding Crusher</t>
        </is>
      </c>
      <c r="F835" s="256" t="inlineStr">
        <is>
          <t>06.06.2026</t>
        </is>
      </c>
      <c r="G835" s="256" t="inlineStr">
        <is>
          <t>6</t>
        </is>
      </c>
      <c r="H835" s="256" t="inlineStr">
        <is>
          <t>Total CBN</t>
        </is>
      </c>
      <c r="I835" s="256" t="inlineStr">
        <is>
          <t>HPLC — DAB 2018 monograph Cannabis flos, 2.2.29 · CBN + CBNA x 0.876 (CNP, before its Ph. Eur. 3028 accreditation)</t>
        </is>
      </c>
      <c r="J835" s="256" t="inlineStr">
        <is>
          <t>≤ 1.0%, w/w</t>
        </is>
      </c>
      <c r="K835" s="256" t="inlineStr">
        <is>
          <t>0.02 ᴰ</t>
        </is>
      </c>
      <c r="L835" s="256" t="inlineStr">
        <is>
          <t>ППК26001</t>
        </is>
      </c>
      <c r="M835" s="256" t="inlineStr">
        <is>
          <t>21.01.2026</t>
        </is>
      </c>
      <c r="N835" s="256" t="inlineStr">
        <is>
          <t>CNP</t>
        </is>
      </c>
      <c r="O835" s="256" t="inlineStr">
        <is>
          <t>08.01.2026</t>
        </is>
      </c>
      <c r="P835" s="256" t="inlineStr">
        <is>
          <t>covered</t>
        </is>
      </c>
      <c r="Q835" s="256" t="inlineStr"/>
      <c r="R835" s="256" t="inlineStr"/>
    </row>
    <row r="836">
      <c r="A836" s="256" t="inlineStr">
        <is>
          <t>CoQ-PP_26-037</t>
        </is>
      </c>
      <c r="B836" s="256" t="inlineStr">
        <is>
          <t>release</t>
        </is>
      </c>
      <c r="C836" s="256" t="inlineStr">
        <is>
          <t>WC082501</t>
        </is>
      </c>
      <c r="D836" s="256" t="inlineStr">
        <is>
          <t>P060012</t>
        </is>
      </c>
      <c r="E836" s="256" t="inlineStr">
        <is>
          <t>Wedding Crusher</t>
        </is>
      </c>
      <c r="F836" s="256" t="inlineStr">
        <is>
          <t>06.06.2026</t>
        </is>
      </c>
      <c r="G836" s="256" t="inlineStr">
        <is>
          <t>7</t>
        </is>
      </c>
      <c r="H836" s="256" t="inlineStr">
        <is>
          <t>Foreign Matter</t>
        </is>
      </c>
      <c r="I836" s="256" t="inlineStr">
        <is>
          <t>Ph. Eur. 2.8.2 · In-house · интерна</t>
        </is>
      </c>
      <c r="J836" s="256" t="inlineStr">
        <is>
          <t>≤ 2.0% / 25–50 g · &lt; 1 cm leaves | листови, no seeds | без семки</t>
        </is>
      </c>
      <c r="K836" s="256" t="inlineStr">
        <is>
          <t>Conforms | Одговара</t>
        </is>
      </c>
      <c r="L836" s="256" t="inlineStr">
        <is>
          <t>iCoA-PP_26-036</t>
        </is>
      </c>
      <c r="M836" s="256" t="inlineStr">
        <is>
          <t>03.06.2026</t>
        </is>
      </c>
      <c r="N836" s="256" t="inlineStr">
        <is>
          <t>Purely Plant GmbH (in-house)</t>
        </is>
      </c>
      <c r="O836" s="256" t="inlineStr">
        <is>
          <t>—</t>
        </is>
      </c>
      <c r="P836" s="256" t="inlineStr">
        <is>
          <t>to be performed — see route</t>
        </is>
      </c>
      <c r="Q836" s="256" t="inlineStr">
        <is>
          <t>Purely Plant laboratory — iCoA covering Foreign matter</t>
        </is>
      </c>
      <c r="R836" s="256" t="inlineStr"/>
    </row>
    <row r="837">
      <c r="A837" s="256" t="inlineStr">
        <is>
          <t>CoQ-PP_26-037</t>
        </is>
      </c>
      <c r="B837" s="256" t="inlineStr">
        <is>
          <t>release</t>
        </is>
      </c>
      <c r="C837" s="256" t="inlineStr">
        <is>
          <t>WC082501</t>
        </is>
      </c>
      <c r="D837" s="256" t="inlineStr">
        <is>
          <t>P060012</t>
        </is>
      </c>
      <c r="E837" s="256" t="inlineStr">
        <is>
          <t>Wedding Crusher</t>
        </is>
      </c>
      <c r="F837" s="256" t="inlineStr">
        <is>
          <t>06.06.2026</t>
        </is>
      </c>
      <c r="G837" s="256" t="inlineStr">
        <is>
          <t>8</t>
        </is>
      </c>
      <c r="H837" s="256" t="inlineStr">
        <is>
          <t>Loss on Drying</t>
        </is>
      </c>
      <c r="I837" s="256" t="inlineStr">
        <is>
          <t>DAB 2018 monograph Cannabis flos, 2.2.32 — loss on drying (CNP, before its Ph. Eur. 3028 accreditation)</t>
        </is>
      </c>
      <c r="J837" s="256" t="inlineStr">
        <is>
          <t>≤ 12.0%</t>
        </is>
      </c>
      <c r="K837" s="256" t="inlineStr">
        <is>
          <t>7.50</t>
        </is>
      </c>
      <c r="L837" s="256" t="inlineStr">
        <is>
          <t>ППК26001</t>
        </is>
      </c>
      <c r="M837" s="256" t="inlineStr">
        <is>
          <t>21.01.2026</t>
        </is>
      </c>
      <c r="N837" s="256" t="inlineStr">
        <is>
          <t>UKIM Faculty of Pharmacy — Center for Natural Products</t>
        </is>
      </c>
      <c r="O837" s="256" t="inlineStr">
        <is>
          <t>08.01.2026</t>
        </is>
      </c>
      <c r="P837" s="256" t="inlineStr">
        <is>
          <t>covered</t>
        </is>
      </c>
      <c r="Q837" s="256" t="inlineStr"/>
      <c r="R837" s="256" t="inlineStr"/>
    </row>
    <row r="838">
      <c r="A838" s="256" t="inlineStr">
        <is>
          <t>CoQ-PP_26-037</t>
        </is>
      </c>
      <c r="B838" s="256" t="inlineStr">
        <is>
          <t>release</t>
        </is>
      </c>
      <c r="C838" s="256" t="inlineStr">
        <is>
          <t>WC082501</t>
        </is>
      </c>
      <c r="D838" s="256" t="inlineStr">
        <is>
          <t>P060012</t>
        </is>
      </c>
      <c r="E838" s="256" t="inlineStr">
        <is>
          <t>Wedding Crusher</t>
        </is>
      </c>
      <c r="F838" s="256" t="inlineStr">
        <is>
          <t>06.06.2026</t>
        </is>
      </c>
      <c r="G838" s="256" t="inlineStr">
        <is>
          <t>9.1</t>
        </is>
      </c>
      <c r="H838" s="256" t="inlineStr">
        <is>
          <t>TAMC</t>
        </is>
      </c>
      <c r="I838" s="256" t="inlineStr">
        <is>
          <t>Ph. Eur. 2.6.12 cat. C</t>
        </is>
      </c>
      <c r="J838" s="256" t="inlineStr">
        <is>
          <t>≤ 10⁵ CFU/g</t>
        </is>
      </c>
      <c r="K838" s="256" t="inlineStr">
        <is>
          <t>10</t>
        </is>
      </c>
      <c r="L838" s="256" t="inlineStr">
        <is>
          <t>3/0006/26</t>
        </is>
      </c>
      <c r="M838" s="256" t="inlineStr">
        <is>
          <t>20.01.2026</t>
        </is>
      </c>
      <c r="N838" s="256" t="inlineStr">
        <is>
          <t>IPH — Institute of Public Health</t>
        </is>
      </c>
      <c r="O838" s="256" t="inlineStr">
        <is>
          <t>12.01.2025</t>
        </is>
      </c>
      <c r="P838" s="256" t="inlineStr">
        <is>
          <t>covered</t>
        </is>
      </c>
      <c r="Q838" s="256" t="inlineStr"/>
      <c r="R838" s="256" t="inlineStr"/>
    </row>
    <row r="839">
      <c r="A839" s="256" t="inlineStr">
        <is>
          <t>CoQ-PP_26-037</t>
        </is>
      </c>
      <c r="B839" s="256" t="inlineStr">
        <is>
          <t>release</t>
        </is>
      </c>
      <c r="C839" s="256" t="inlineStr">
        <is>
          <t>WC082501</t>
        </is>
      </c>
      <c r="D839" s="256" t="inlineStr">
        <is>
          <t>P060012</t>
        </is>
      </c>
      <c r="E839" s="256" t="inlineStr">
        <is>
          <t>Wedding Crusher</t>
        </is>
      </c>
      <c r="F839" s="256" t="inlineStr">
        <is>
          <t>06.06.2026</t>
        </is>
      </c>
      <c r="G839" s="256" t="inlineStr">
        <is>
          <t>9.2</t>
        </is>
      </c>
      <c r="H839" s="256" t="inlineStr">
        <is>
          <t>TYMC</t>
        </is>
      </c>
      <c r="I839" s="256" t="inlineStr">
        <is>
          <t>Ph. Eur. 2.6.12 cat. C</t>
        </is>
      </c>
      <c r="J839" s="256" t="inlineStr">
        <is>
          <t>≤ 10⁴ CFU/g</t>
        </is>
      </c>
      <c r="K839" s="256" t="inlineStr">
        <is>
          <t>30</t>
        </is>
      </c>
      <c r="L839" s="256" t="inlineStr">
        <is>
          <t>3/0006/26</t>
        </is>
      </c>
      <c r="M839" s="256" t="inlineStr">
        <is>
          <t>20.01.2026</t>
        </is>
      </c>
      <c r="N839" s="256" t="inlineStr">
        <is>
          <t>IPH — Institute of Public Health</t>
        </is>
      </c>
      <c r="O839" s="256" t="inlineStr">
        <is>
          <t>12.01.2025</t>
        </is>
      </c>
      <c r="P839" s="256" t="inlineStr">
        <is>
          <t>covered</t>
        </is>
      </c>
      <c r="Q839" s="256" t="inlineStr"/>
      <c r="R839" s="256" t="inlineStr"/>
    </row>
    <row r="840">
      <c r="A840" s="256" t="inlineStr">
        <is>
          <t>CoQ-PP_26-037</t>
        </is>
      </c>
      <c r="B840" s="256" t="inlineStr">
        <is>
          <t>release</t>
        </is>
      </c>
      <c r="C840" s="256" t="inlineStr">
        <is>
          <t>WC082501</t>
        </is>
      </c>
      <c r="D840" s="256" t="inlineStr">
        <is>
          <t>P060012</t>
        </is>
      </c>
      <c r="E840" s="256" t="inlineStr">
        <is>
          <t>Wedding Crusher</t>
        </is>
      </c>
      <c r="F840" s="256" t="inlineStr">
        <is>
          <t>06.06.2026</t>
        </is>
      </c>
      <c r="G840" s="256" t="inlineStr">
        <is>
          <t>9.3</t>
        </is>
      </c>
      <c r="H840" s="256" t="inlineStr">
        <is>
          <t>Bile-tolerant gram-neg.</t>
        </is>
      </c>
      <c r="I840" s="256" t="inlineStr">
        <is>
          <t>Ph. Eur. 2.6.31 cat. C</t>
        </is>
      </c>
      <c r="J840" s="256" t="inlineStr">
        <is>
          <t>≤ 10⁴ CFU/g</t>
        </is>
      </c>
      <c r="K840" s="256" t="inlineStr">
        <is>
          <t>&lt; 10</t>
        </is>
      </c>
      <c r="L840" s="256" t="inlineStr">
        <is>
          <t>3/0006/26</t>
        </is>
      </c>
      <c r="M840" s="256" t="inlineStr">
        <is>
          <t>20.01.2026</t>
        </is>
      </c>
      <c r="N840" s="256" t="inlineStr">
        <is>
          <t>IPH — Institute of Public Health</t>
        </is>
      </c>
      <c r="O840" s="256" t="inlineStr">
        <is>
          <t>12.01.2025</t>
        </is>
      </c>
      <c r="P840" s="256" t="inlineStr">
        <is>
          <t>covered</t>
        </is>
      </c>
      <c r="Q840" s="256" t="inlineStr"/>
      <c r="R840" s="256" t="inlineStr"/>
    </row>
    <row r="841">
      <c r="A841" s="256" t="inlineStr">
        <is>
          <t>CoQ-PP_26-037</t>
        </is>
      </c>
      <c r="B841" s="256" t="inlineStr">
        <is>
          <t>release</t>
        </is>
      </c>
      <c r="C841" s="256" t="inlineStr">
        <is>
          <t>WC082501</t>
        </is>
      </c>
      <c r="D841" s="256" t="inlineStr">
        <is>
          <t>P060012</t>
        </is>
      </c>
      <c r="E841" s="256" t="inlineStr">
        <is>
          <t>Wedding Crusher</t>
        </is>
      </c>
      <c r="F841" s="256" t="inlineStr">
        <is>
          <t>06.06.2026</t>
        </is>
      </c>
      <c r="G841" s="256" t="inlineStr">
        <is>
          <t>9.4</t>
        </is>
      </c>
      <c r="H841" s="256" t="inlineStr">
        <is>
          <t>Salmonella</t>
        </is>
      </c>
      <c r="I841" s="256" t="inlineStr">
        <is>
          <t>Ph. Eur. 2.6.31 cat. C</t>
        </is>
      </c>
      <c r="J841" s="256" t="inlineStr">
        <is>
          <t>Absence | Отсуство / 25 g</t>
        </is>
      </c>
      <c r="K841" s="256" t="inlineStr">
        <is>
          <t>Absent | Отсутна</t>
        </is>
      </c>
      <c r="L841" s="256" t="inlineStr">
        <is>
          <t>3/0006/26</t>
        </is>
      </c>
      <c r="M841" s="256" t="inlineStr">
        <is>
          <t>20.01.2026</t>
        </is>
      </c>
      <c r="N841" s="256" t="inlineStr">
        <is>
          <t>IPH — Institute of Public Health</t>
        </is>
      </c>
      <c r="O841" s="256" t="inlineStr">
        <is>
          <t>12.01.2025</t>
        </is>
      </c>
      <c r="P841" s="256" t="inlineStr">
        <is>
          <t>covered</t>
        </is>
      </c>
      <c r="Q841" s="256" t="inlineStr"/>
      <c r="R841" s="256" t="inlineStr"/>
    </row>
    <row r="842">
      <c r="A842" s="256" t="inlineStr">
        <is>
          <t>CoQ-PP_26-037</t>
        </is>
      </c>
      <c r="B842" s="256" t="inlineStr">
        <is>
          <t>release</t>
        </is>
      </c>
      <c r="C842" s="256" t="inlineStr">
        <is>
          <t>WC082501</t>
        </is>
      </c>
      <c r="D842" s="256" t="inlineStr">
        <is>
          <t>P060012</t>
        </is>
      </c>
      <c r="E842" s="256" t="inlineStr">
        <is>
          <t>Wedding Crusher</t>
        </is>
      </c>
      <c r="F842" s="256" t="inlineStr">
        <is>
          <t>06.06.2026</t>
        </is>
      </c>
      <c r="G842" s="256" t="inlineStr">
        <is>
          <t>9.5</t>
        </is>
      </c>
      <c r="H842" s="256" t="inlineStr">
        <is>
          <t>Escherichia coli</t>
        </is>
      </c>
      <c r="I842" s="256" t="inlineStr">
        <is>
          <t>Ph. Eur. 2.6.13 cat. C</t>
        </is>
      </c>
      <c r="J842" s="256" t="inlineStr">
        <is>
          <t>Absence | Отсуство / 1 g</t>
        </is>
      </c>
      <c r="K842" s="256" t="inlineStr">
        <is>
          <t>Absent | Отсутна</t>
        </is>
      </c>
      <c r="L842" s="256" t="inlineStr">
        <is>
          <t>3/0006/26</t>
        </is>
      </c>
      <c r="M842" s="256" t="inlineStr">
        <is>
          <t>20.01.2026</t>
        </is>
      </c>
      <c r="N842" s="256" t="inlineStr">
        <is>
          <t>IPH — Institute of Public Health</t>
        </is>
      </c>
      <c r="O842" s="256" t="inlineStr">
        <is>
          <t>12.01.2025</t>
        </is>
      </c>
      <c r="P842" s="256" t="inlineStr">
        <is>
          <t>covered</t>
        </is>
      </c>
      <c r="Q842" s="256" t="inlineStr"/>
      <c r="R842" s="256" t="inlineStr"/>
    </row>
    <row r="843">
      <c r="A843" s="256" t="inlineStr">
        <is>
          <t>CoQ-PP_26-037</t>
        </is>
      </c>
      <c r="B843" s="256" t="inlineStr">
        <is>
          <t>release</t>
        </is>
      </c>
      <c r="C843" s="256" t="inlineStr">
        <is>
          <t>WC082501</t>
        </is>
      </c>
      <c r="D843" s="256" t="inlineStr">
        <is>
          <t>P060012</t>
        </is>
      </c>
      <c r="E843" s="256" t="inlineStr">
        <is>
          <t>Wedding Crusher</t>
        </is>
      </c>
      <c r="F843" s="256" t="inlineStr">
        <is>
          <t>06.06.2026</t>
        </is>
      </c>
      <c r="G843" s="256" t="inlineStr">
        <is>
          <t>9.6</t>
        </is>
      </c>
      <c r="H843" s="256" t="inlineStr">
        <is>
          <t>Pseudomonas aeruginosa</t>
        </is>
      </c>
      <c r="I843" s="256" t="inlineStr">
        <is>
          <t>Ph. Eur. 2.6.13 cat. C</t>
        </is>
      </c>
      <c r="J843" s="256" t="inlineStr">
        <is>
          <t>Absence | Отсуство / 1 g</t>
        </is>
      </c>
      <c r="K843" s="260" t="inlineStr">
        <is>
          <t>upon request — not required for release</t>
        </is>
      </c>
      <c r="L843" s="256" t="inlineStr">
        <is>
          <t>—</t>
        </is>
      </c>
      <c r="M843" s="256" t="inlineStr">
        <is>
          <t>—</t>
        </is>
      </c>
      <c r="N843" s="256" t="inlineStr">
        <is>
          <t>—</t>
        </is>
      </c>
      <c r="O843" s="256" t="inlineStr">
        <is>
          <t>—</t>
        </is>
      </c>
      <c r="P843" s="256" t="inlineStr">
        <is>
          <t>upon request — not required for release</t>
        </is>
      </c>
      <c r="Q843" s="256" t="inlineStr"/>
      <c r="R843" s="256" t="inlineStr"/>
    </row>
    <row r="844">
      <c r="A844" s="256" t="inlineStr">
        <is>
          <t>CoQ-PP_26-037</t>
        </is>
      </c>
      <c r="B844" s="256" t="inlineStr">
        <is>
          <t>release</t>
        </is>
      </c>
      <c r="C844" s="256" t="inlineStr">
        <is>
          <t>WC082501</t>
        </is>
      </c>
      <c r="D844" s="256" t="inlineStr">
        <is>
          <t>P060012</t>
        </is>
      </c>
      <c r="E844" s="256" t="inlineStr">
        <is>
          <t>Wedding Crusher</t>
        </is>
      </c>
      <c r="F844" s="256" t="inlineStr">
        <is>
          <t>06.06.2026</t>
        </is>
      </c>
      <c r="G844" s="256" t="inlineStr">
        <is>
          <t>9.7</t>
        </is>
      </c>
      <c r="H844" s="256" t="inlineStr">
        <is>
          <t>Staphylococcus aureus</t>
        </is>
      </c>
      <c r="I844" s="256" t="inlineStr">
        <is>
          <t>Ph. Eur. 2.6.13 cat. C</t>
        </is>
      </c>
      <c r="J844" s="256" t="inlineStr">
        <is>
          <t>Absence | Отсуство / 1 g</t>
        </is>
      </c>
      <c r="K844" s="260" t="inlineStr">
        <is>
          <t>upon request — not required for release</t>
        </is>
      </c>
      <c r="L844" s="256" t="inlineStr">
        <is>
          <t>—</t>
        </is>
      </c>
      <c r="M844" s="256" t="inlineStr">
        <is>
          <t>—</t>
        </is>
      </c>
      <c r="N844" s="256" t="inlineStr">
        <is>
          <t>—</t>
        </is>
      </c>
      <c r="O844" s="256" t="inlineStr">
        <is>
          <t>—</t>
        </is>
      </c>
      <c r="P844" s="256" t="inlineStr">
        <is>
          <t>upon request — not required for release</t>
        </is>
      </c>
      <c r="Q844" s="256" t="inlineStr"/>
      <c r="R844" s="256" t="inlineStr"/>
    </row>
    <row r="845">
      <c r="A845" s="256" t="inlineStr">
        <is>
          <t>CoQ-PP_26-037</t>
        </is>
      </c>
      <c r="B845" s="256" t="inlineStr">
        <is>
          <t>release</t>
        </is>
      </c>
      <c r="C845" s="256" t="inlineStr">
        <is>
          <t>WC082501</t>
        </is>
      </c>
      <c r="D845" s="256" t="inlineStr">
        <is>
          <t>P060012</t>
        </is>
      </c>
      <c r="E845" s="256" t="inlineStr">
        <is>
          <t>Wedding Crusher</t>
        </is>
      </c>
      <c r="F845" s="256" t="inlineStr">
        <is>
          <t>06.06.2026</t>
        </is>
      </c>
      <c r="G845" s="256" t="inlineStr">
        <is>
          <t>10.1</t>
        </is>
      </c>
      <c r="H845" s="256" t="inlineStr">
        <is>
          <t>Aflatoxin B₁</t>
        </is>
      </c>
      <c r="I845" s="256" t="inlineStr">
        <is>
          <t>Ph. Eur. 2.8.18 (HPLC-FLD)</t>
        </is>
      </c>
      <c r="J845" s="256" t="inlineStr">
        <is>
          <t>≤ 2 µg/kg</t>
        </is>
      </c>
      <c r="K845" s="259" t="inlineStr">
        <is>
          <t>not tested</t>
        </is>
      </c>
      <c r="L845" s="256" t="inlineStr">
        <is>
          <t>—</t>
        </is>
      </c>
      <c r="M845" s="256" t="inlineStr">
        <is>
          <t>—</t>
        </is>
      </c>
      <c r="N845" s="256" t="inlineStr">
        <is>
          <t>—</t>
        </is>
      </c>
      <c r="O845" s="256" t="inlineStr">
        <is>
          <t>—</t>
        </is>
      </c>
      <c r="P845" s="256" t="inlineStr">
        <is>
          <t>not tested — no certificate covers it</t>
        </is>
      </c>
      <c r="Q845" s="256" t="inlineStr"/>
      <c r="R845" s="256" t="inlineStr">
        <is>
          <t>ND (220-28-М/26)</t>
        </is>
      </c>
    </row>
    <row r="846">
      <c r="A846" s="256" t="inlineStr">
        <is>
          <t>CoQ-PP_26-037</t>
        </is>
      </c>
      <c r="B846" s="256" t="inlineStr">
        <is>
          <t>release</t>
        </is>
      </c>
      <c r="C846" s="256" t="inlineStr">
        <is>
          <t>WC082501</t>
        </is>
      </c>
      <c r="D846" s="256" t="inlineStr">
        <is>
          <t>P060012</t>
        </is>
      </c>
      <c r="E846" s="256" t="inlineStr">
        <is>
          <t>Wedding Crusher</t>
        </is>
      </c>
      <c r="F846" s="256" t="inlineStr">
        <is>
          <t>06.06.2026</t>
        </is>
      </c>
      <c r="G846" s="256" t="inlineStr">
        <is>
          <t>10.2</t>
        </is>
      </c>
      <c r="H846" s="256" t="inlineStr">
        <is>
          <t>Aflatoxins ∑</t>
        </is>
      </c>
      <c r="I846" s="256" t="inlineStr">
        <is>
          <t>Ph. Eur. 2.8.18 (HPLC-FLD)</t>
        </is>
      </c>
      <c r="J846" s="256" t="inlineStr">
        <is>
          <t>≤ 4 µg/kg</t>
        </is>
      </c>
      <c r="K846" s="256" t="inlineStr">
        <is>
          <t>&lt; 2</t>
        </is>
      </c>
      <c r="L846" s="256" t="inlineStr">
        <is>
          <t>80/2026</t>
        </is>
      </c>
      <c r="M846" s="256" t="inlineStr">
        <is>
          <t>02.02.2026</t>
        </is>
      </c>
      <c r="N846" s="256" t="inlineStr">
        <is>
          <t>IPH — Institute of Public Health</t>
        </is>
      </c>
      <c r="O846" s="256" t="inlineStr">
        <is>
          <t>08.01.2026</t>
        </is>
      </c>
      <c r="P846" s="256" t="inlineStr">
        <is>
          <t>covered</t>
        </is>
      </c>
      <c r="Q846" s="256" t="inlineStr"/>
      <c r="R846" s="256" t="inlineStr">
        <is>
          <t>ND (220-28-М/26)</t>
        </is>
      </c>
    </row>
    <row r="847">
      <c r="A847" s="256" t="inlineStr">
        <is>
          <t>CoQ-PP_26-037</t>
        </is>
      </c>
      <c r="B847" s="256" t="inlineStr">
        <is>
          <t>release</t>
        </is>
      </c>
      <c r="C847" s="256" t="inlineStr">
        <is>
          <t>WC082501</t>
        </is>
      </c>
      <c r="D847" s="256" t="inlineStr">
        <is>
          <t>P060012</t>
        </is>
      </c>
      <c r="E847" s="256" t="inlineStr">
        <is>
          <t>Wedding Crusher</t>
        </is>
      </c>
      <c r="F847" s="256" t="inlineStr">
        <is>
          <t>06.06.2026</t>
        </is>
      </c>
      <c r="G847" s="256" t="inlineStr">
        <is>
          <t>10.3</t>
        </is>
      </c>
      <c r="H847" s="256" t="inlineStr">
        <is>
          <t>Ochratoxin A</t>
        </is>
      </c>
      <c r="I847" s="256" t="inlineStr">
        <is>
          <t>Ph. Eur. 2.8.22 (HPLC-FLD)</t>
        </is>
      </c>
      <c r="J847" s="256" t="inlineStr">
        <is>
          <t>≤ 20 µg/kg</t>
        </is>
      </c>
      <c r="K847" s="259" t="inlineStr">
        <is>
          <t>not tested</t>
        </is>
      </c>
      <c r="L847" s="256" t="inlineStr">
        <is>
          <t>—</t>
        </is>
      </c>
      <c r="M847" s="256" t="inlineStr">
        <is>
          <t>—</t>
        </is>
      </c>
      <c r="N847" s="256" t="inlineStr">
        <is>
          <t>—</t>
        </is>
      </c>
      <c r="O847" s="256" t="inlineStr">
        <is>
          <t>—</t>
        </is>
      </c>
      <c r="P847" s="256" t="inlineStr">
        <is>
          <t>not tested — no certificate covers it</t>
        </is>
      </c>
      <c r="Q847" s="256" t="inlineStr"/>
      <c r="R847" s="256" t="inlineStr">
        <is>
          <t>ND (220-28-М/26)</t>
        </is>
      </c>
    </row>
    <row r="848">
      <c r="A848" s="256" t="inlineStr">
        <is>
          <t>CoQ-PP_26-037</t>
        </is>
      </c>
      <c r="B848" s="256" t="inlineStr">
        <is>
          <t>release</t>
        </is>
      </c>
      <c r="C848" s="256" t="inlineStr">
        <is>
          <t>WC082501</t>
        </is>
      </c>
      <c r="D848" s="256" t="inlineStr">
        <is>
          <t>P060012</t>
        </is>
      </c>
      <c r="E848" s="256" t="inlineStr">
        <is>
          <t>Wedding Crusher</t>
        </is>
      </c>
      <c r="F848" s="256" t="inlineStr">
        <is>
          <t>06.06.2026</t>
        </is>
      </c>
      <c r="G848" s="256" t="inlineStr">
        <is>
          <t>11.1</t>
        </is>
      </c>
      <c r="H848" s="256" t="inlineStr">
        <is>
          <t>Lead (Pb)</t>
        </is>
      </c>
      <c r="I848" s="256" t="inlineStr">
        <is>
          <t>Ph. Eur. 2.4.27 (ICP-MS)</t>
        </is>
      </c>
      <c r="J848" s="256" t="inlineStr">
        <is>
          <t>≤ 0.5 mg/kg</t>
        </is>
      </c>
      <c r="K848" s="256" t="inlineStr">
        <is>
          <t>ND</t>
        </is>
      </c>
      <c r="L848" s="256" t="inlineStr">
        <is>
          <t>80/2026</t>
        </is>
      </c>
      <c r="M848" s="256" t="inlineStr">
        <is>
          <t>02.02.2026</t>
        </is>
      </c>
      <c r="N848" s="256" t="inlineStr">
        <is>
          <t>IPH — Institute of Public Health</t>
        </is>
      </c>
      <c r="O848" s="256" t="inlineStr">
        <is>
          <t>08.01.2026</t>
        </is>
      </c>
      <c r="P848" s="256" t="inlineStr">
        <is>
          <t>covered</t>
        </is>
      </c>
      <c r="Q848" s="256" t="inlineStr"/>
      <c r="R848" s="256" t="inlineStr"/>
    </row>
    <row r="849">
      <c r="A849" s="256" t="inlineStr">
        <is>
          <t>CoQ-PP_26-037</t>
        </is>
      </c>
      <c r="B849" s="256" t="inlineStr">
        <is>
          <t>release</t>
        </is>
      </c>
      <c r="C849" s="256" t="inlineStr">
        <is>
          <t>WC082501</t>
        </is>
      </c>
      <c r="D849" s="256" t="inlineStr">
        <is>
          <t>P060012</t>
        </is>
      </c>
      <c r="E849" s="256" t="inlineStr">
        <is>
          <t>Wedding Crusher</t>
        </is>
      </c>
      <c r="F849" s="256" t="inlineStr">
        <is>
          <t>06.06.2026</t>
        </is>
      </c>
      <c r="G849" s="256" t="inlineStr">
        <is>
          <t>11.2</t>
        </is>
      </c>
      <c r="H849" s="256" t="inlineStr">
        <is>
          <t>Cadmium (Cd)</t>
        </is>
      </c>
      <c r="I849" s="256" t="inlineStr">
        <is>
          <t>Ph. Eur. 2.4.27 (ICP-MS)</t>
        </is>
      </c>
      <c r="J849" s="256" t="inlineStr">
        <is>
          <t>≤ 0.3 mg/kg</t>
        </is>
      </c>
      <c r="K849" s="256" t="inlineStr">
        <is>
          <t>ND</t>
        </is>
      </c>
      <c r="L849" s="256" t="inlineStr">
        <is>
          <t>80/2026</t>
        </is>
      </c>
      <c r="M849" s="256" t="inlineStr">
        <is>
          <t>02.02.2026</t>
        </is>
      </c>
      <c r="N849" s="256" t="inlineStr">
        <is>
          <t>IPH — Institute of Public Health</t>
        </is>
      </c>
      <c r="O849" s="256" t="inlineStr">
        <is>
          <t>08.01.2026</t>
        </is>
      </c>
      <c r="P849" s="256" t="inlineStr">
        <is>
          <t>covered</t>
        </is>
      </c>
      <c r="Q849" s="256" t="inlineStr"/>
      <c r="R849" s="256" t="inlineStr"/>
    </row>
    <row r="850">
      <c r="A850" s="256" t="inlineStr">
        <is>
          <t>CoQ-PP_26-037</t>
        </is>
      </c>
      <c r="B850" s="256" t="inlineStr">
        <is>
          <t>release</t>
        </is>
      </c>
      <c r="C850" s="256" t="inlineStr">
        <is>
          <t>WC082501</t>
        </is>
      </c>
      <c r="D850" s="256" t="inlineStr">
        <is>
          <t>P060012</t>
        </is>
      </c>
      <c r="E850" s="256" t="inlineStr">
        <is>
          <t>Wedding Crusher</t>
        </is>
      </c>
      <c r="F850" s="256" t="inlineStr">
        <is>
          <t>06.06.2026</t>
        </is>
      </c>
      <c r="G850" s="256" t="inlineStr">
        <is>
          <t>11.3</t>
        </is>
      </c>
      <c r="H850" s="256" t="inlineStr">
        <is>
          <t>Arsenic (As)</t>
        </is>
      </c>
      <c r="I850" s="256" t="inlineStr">
        <is>
          <t>Ph. Eur. 2.4.27 (ICP-MS)</t>
        </is>
      </c>
      <c r="J850" s="256" t="inlineStr">
        <is>
          <t>≤ 0.2 mg/kg</t>
        </is>
      </c>
      <c r="K850" s="256" t="inlineStr">
        <is>
          <t>ND</t>
        </is>
      </c>
      <c r="L850" s="256" t="inlineStr">
        <is>
          <t>80/2026</t>
        </is>
      </c>
      <c r="M850" s="256" t="inlineStr">
        <is>
          <t>02.02.2026</t>
        </is>
      </c>
      <c r="N850" s="256" t="inlineStr">
        <is>
          <t>IPH — Institute of Public Health</t>
        </is>
      </c>
      <c r="O850" s="256" t="inlineStr">
        <is>
          <t>08.01.2026</t>
        </is>
      </c>
      <c r="P850" s="256" t="inlineStr">
        <is>
          <t>covered</t>
        </is>
      </c>
      <c r="Q850" s="256" t="inlineStr"/>
      <c r="R850" s="256" t="inlineStr"/>
    </row>
    <row r="851">
      <c r="A851" s="256" t="inlineStr">
        <is>
          <t>CoQ-PP_26-037</t>
        </is>
      </c>
      <c r="B851" s="256" t="inlineStr">
        <is>
          <t>release</t>
        </is>
      </c>
      <c r="C851" s="256" t="inlineStr">
        <is>
          <t>WC082501</t>
        </is>
      </c>
      <c r="D851" s="256" t="inlineStr">
        <is>
          <t>P060012</t>
        </is>
      </c>
      <c r="E851" s="256" t="inlineStr">
        <is>
          <t>Wedding Crusher</t>
        </is>
      </c>
      <c r="F851" s="256" t="inlineStr">
        <is>
          <t>06.06.2026</t>
        </is>
      </c>
      <c r="G851" s="256" t="inlineStr">
        <is>
          <t>11.4</t>
        </is>
      </c>
      <c r="H851" s="256" t="inlineStr">
        <is>
          <t>Mercury (Hg)</t>
        </is>
      </c>
      <c r="I851" s="256" t="inlineStr">
        <is>
          <t>Ph. Eur. 2.4.27 (ICP-MS)</t>
        </is>
      </c>
      <c r="J851" s="256" t="inlineStr">
        <is>
          <t>≤ 0.1 mg/kg</t>
        </is>
      </c>
      <c r="K851" s="256" t="inlineStr">
        <is>
          <t>ND</t>
        </is>
      </c>
      <c r="L851" s="256" t="inlineStr">
        <is>
          <t>80/2026</t>
        </is>
      </c>
      <c r="M851" s="256" t="inlineStr">
        <is>
          <t>02.02.2026</t>
        </is>
      </c>
      <c r="N851" s="256" t="inlineStr">
        <is>
          <t>IPH — Institute of Public Health</t>
        </is>
      </c>
      <c r="O851" s="256" t="inlineStr">
        <is>
          <t>08.01.2026</t>
        </is>
      </c>
      <c r="P851" s="256" t="inlineStr">
        <is>
          <t>covered</t>
        </is>
      </c>
      <c r="Q851" s="256" t="inlineStr"/>
      <c r="R851" s="256" t="inlineStr"/>
    </row>
    <row r="852">
      <c r="A852" s="256" t="inlineStr">
        <is>
          <t>CoQ-PP_26-037</t>
        </is>
      </c>
      <c r="B852" s="256" t="inlineStr">
        <is>
          <t>release</t>
        </is>
      </c>
      <c r="C852" s="256" t="inlineStr">
        <is>
          <t>WC082501</t>
        </is>
      </c>
      <c r="D852" s="256" t="inlineStr">
        <is>
          <t>P060012</t>
        </is>
      </c>
      <c r="E852" s="256" t="inlineStr">
        <is>
          <t>Wedding Crusher</t>
        </is>
      </c>
      <c r="F852" s="256" t="inlineStr">
        <is>
          <t>06.06.2026</t>
        </is>
      </c>
      <c r="G852" s="256" t="inlineStr">
        <is>
          <t>12</t>
        </is>
      </c>
      <c r="H852" s="256" t="inlineStr">
        <is>
          <t>Pesticide Residues</t>
        </is>
      </c>
      <c r="I852" s="256" t="inlineStr">
        <is>
          <t>Ph. Eur. 2.8.13 (LC-MS/MS) · CUMCS Equivalency</t>
        </is>
      </c>
      <c r="J852" s="256" t="inlineStr">
        <is>
          <t>≤ LOQ as per Ph. Eur. 2.8.13 · ≤ LOQ as per CUMCS Equivalency</t>
        </is>
      </c>
      <c r="K852" s="256" t="inlineStr">
        <is>
          <t>ND</t>
        </is>
      </c>
      <c r="L852" s="256" t="inlineStr">
        <is>
          <t>80/2026</t>
        </is>
      </c>
      <c r="M852" s="256" t="inlineStr">
        <is>
          <t>02.02.2026</t>
        </is>
      </c>
      <c r="N852" s="256" t="inlineStr">
        <is>
          <t>IPH — Institute of Public Health</t>
        </is>
      </c>
      <c r="O852" s="256" t="inlineStr">
        <is>
          <t>08.01.2026</t>
        </is>
      </c>
      <c r="P852" s="256" t="inlineStr">
        <is>
          <t>covered</t>
        </is>
      </c>
      <c r="Q852" s="256" t="inlineStr"/>
      <c r="R852" s="256" t="inlineStr"/>
    </row>
    <row r="853">
      <c r="A853" s="256" t="inlineStr">
        <is>
          <t>CoQ-PP_26-038</t>
        </is>
      </c>
      <c r="B853" s="256" t="inlineStr">
        <is>
          <t>release</t>
        </is>
      </c>
      <c r="C853" s="256" t="inlineStr">
        <is>
          <t>CJ082501/1</t>
        </is>
      </c>
      <c r="D853" s="256" t="inlineStr">
        <is>
          <t>P060022</t>
        </is>
      </c>
      <c r="E853" s="256" t="inlineStr">
        <is>
          <t>Cap Junky</t>
        </is>
      </c>
      <c r="F853" s="256" t="inlineStr">
        <is>
          <t>06.06.2026</t>
        </is>
      </c>
      <c r="G853" s="256" t="inlineStr">
        <is>
          <t>1</t>
        </is>
      </c>
      <c r="H853" s="256" t="inlineStr">
        <is>
          <t>Identification A, Appearance · Macroscopic</t>
        </is>
      </c>
      <c r="I853" s="256" t="inlineStr">
        <is>
          <t>Ph. Eur. mon. 3028</t>
        </is>
      </c>
      <c r="J853" s="256" t="inlineStr">
        <is>
          <t>Conforms to the monograph for Cannabis flos (07/2024:3028) in Ph. Eur. 11.0 | Согласно монографија за Cannabis flos (07/2024:3028) во Ph. Eur. 11.0</t>
        </is>
      </c>
      <c r="K853" s="256" t="inlineStr">
        <is>
          <t>Conforms | Одговара</t>
        </is>
      </c>
      <c r="L853" s="256" t="inlineStr">
        <is>
          <t>iCoA-PP_26-037</t>
        </is>
      </c>
      <c r="M853" s="256" t="inlineStr">
        <is>
          <t>03.06.2026</t>
        </is>
      </c>
      <c r="N853" s="256" t="inlineStr">
        <is>
          <t>Purely Plant GmbH (in-house)</t>
        </is>
      </c>
      <c r="O853" s="256" t="inlineStr">
        <is>
          <t>—</t>
        </is>
      </c>
      <c r="P853" s="256" t="inlineStr">
        <is>
          <t>to be performed — see route</t>
        </is>
      </c>
      <c r="Q853" s="256" t="inlineStr">
        <is>
          <t>Purely Plant laboratory — iCoA covering Ident A + B</t>
        </is>
      </c>
      <c r="R853" s="256" t="inlineStr"/>
    </row>
    <row r="854">
      <c r="A854" s="256" t="inlineStr">
        <is>
          <t>CoQ-PP_26-038</t>
        </is>
      </c>
      <c r="B854" s="256" t="inlineStr">
        <is>
          <t>release</t>
        </is>
      </c>
      <c r="C854" s="256" t="inlineStr">
        <is>
          <t>CJ082501/1</t>
        </is>
      </c>
      <c r="D854" s="256" t="inlineStr">
        <is>
          <t>P060022</t>
        </is>
      </c>
      <c r="E854" s="256" t="inlineStr">
        <is>
          <t>Cap Junky</t>
        </is>
      </c>
      <c r="F854" s="256" t="inlineStr">
        <is>
          <t>06.06.2026</t>
        </is>
      </c>
      <c r="G854" s="256" t="inlineStr">
        <is>
          <t>2</t>
        </is>
      </c>
      <c r="H854" s="256" t="inlineStr">
        <is>
          <t>Identification B · Microscopic</t>
        </is>
      </c>
      <c r="I854" s="256" t="inlineStr">
        <is>
          <t>Ph. Eur. 2.8.23 (microscopy)</t>
        </is>
      </c>
      <c r="J854" s="256" t="inlineStr">
        <is>
          <t>Conforms to the monograph for Cannabis flos (07/2024:3028) in Ph. Eur. 11.0 | Согласно монографија за Cannabis flos (07/2024:3028) во Ph. Eur. 11.0</t>
        </is>
      </c>
      <c r="K854" s="256" t="inlineStr">
        <is>
          <t>Conforms | Одговара</t>
        </is>
      </c>
      <c r="L854" s="256" t="inlineStr">
        <is>
          <t>iCoA-PP_26-037</t>
        </is>
      </c>
      <c r="M854" s="256" t="inlineStr">
        <is>
          <t>03.06.2026</t>
        </is>
      </c>
      <c r="N854" s="256" t="inlineStr">
        <is>
          <t>Purely Plant GmbH (in-house)</t>
        </is>
      </c>
      <c r="O854" s="256" t="inlineStr">
        <is>
          <t>—</t>
        </is>
      </c>
      <c r="P854" s="256" t="inlineStr">
        <is>
          <t>to be performed — see route</t>
        </is>
      </c>
      <c r="Q854" s="256" t="inlineStr">
        <is>
          <t>Purely Plant laboratory — iCoA covering Ident A + B</t>
        </is>
      </c>
      <c r="R854" s="256" t="inlineStr"/>
    </row>
    <row r="855">
      <c r="A855" s="256" t="inlineStr">
        <is>
          <t>CoQ-PP_26-038</t>
        </is>
      </c>
      <c r="B855" s="256" t="inlineStr">
        <is>
          <t>release</t>
        </is>
      </c>
      <c r="C855" s="256" t="inlineStr">
        <is>
          <t>CJ082501/1</t>
        </is>
      </c>
      <c r="D855" s="256" t="inlineStr">
        <is>
          <t>P060022</t>
        </is>
      </c>
      <c r="E855" s="256" t="inlineStr">
        <is>
          <t>Cap Junky</t>
        </is>
      </c>
      <c r="F855" s="256" t="inlineStr">
        <is>
          <t>06.06.2026</t>
        </is>
      </c>
      <c r="G855" s="256" t="inlineStr">
        <is>
          <t>3</t>
        </is>
      </c>
      <c r="H855" s="256" t="inlineStr">
        <is>
          <t>Identification C · HPLC/HPTLC</t>
        </is>
      </c>
      <c r="I855" s="256" t="inlineStr">
        <is>
          <t>HPLC — DAB 2018 monograph Cannabis flos, 2.2.29 (CNP, before its Ph. Eur. 3028 accreditation)</t>
        </is>
      </c>
      <c r="J855" s="256" t="inlineStr">
        <is>
          <t>Conforms to the monograph for Cannabis flos (07/2024:3028) in Ph. Eur. 11.0 | Согласно монографија за Cannabis flos (07/2024:3028) во Ph. Eur. 11.0</t>
        </is>
      </c>
      <c r="K855" s="256" t="inlineStr">
        <is>
          <t>Conforms | Одговара</t>
        </is>
      </c>
      <c r="L855" s="256" t="inlineStr">
        <is>
          <t>ППК26002</t>
        </is>
      </c>
      <c r="M855" s="256" t="inlineStr">
        <is>
          <t>21.01.2026</t>
        </is>
      </c>
      <c r="N855" s="256" t="inlineStr">
        <is>
          <t>UKIM Faculty of Pharmacy — Center for Natural Products</t>
        </is>
      </c>
      <c r="O855" s="256" t="inlineStr">
        <is>
          <t>08.01.2026</t>
        </is>
      </c>
      <c r="P855" s="256" t="inlineStr">
        <is>
          <t>covered</t>
        </is>
      </c>
      <c r="Q855" s="256" t="inlineStr"/>
      <c r="R855" s="256" t="inlineStr"/>
    </row>
    <row r="856">
      <c r="A856" s="256" t="inlineStr">
        <is>
          <t>CoQ-PP_26-038</t>
        </is>
      </c>
      <c r="B856" s="256" t="inlineStr">
        <is>
          <t>release</t>
        </is>
      </c>
      <c r="C856" s="256" t="inlineStr">
        <is>
          <t>CJ082501/1</t>
        </is>
      </c>
      <c r="D856" s="256" t="inlineStr">
        <is>
          <t>P060022</t>
        </is>
      </c>
      <c r="E856" s="256" t="inlineStr">
        <is>
          <t>Cap Junky</t>
        </is>
      </c>
      <c r="F856" s="256" t="inlineStr">
        <is>
          <t>06.06.2026</t>
        </is>
      </c>
      <c r="G856" s="256" t="inlineStr">
        <is>
          <t>4</t>
        </is>
      </c>
      <c r="H856" s="256" t="inlineStr">
        <is>
          <t>Assay — Total Δ⁹-THC</t>
        </is>
      </c>
      <c r="I856" s="256" t="inlineStr">
        <is>
          <t>HPLC — DAB 2018 monograph Cannabis flos, 2.2.29 (CNP, before its Ph. Eur. 3028 accreditation)</t>
        </is>
      </c>
      <c r="J856" s="256" t="inlineStr">
        <is>
          <t>21.60 – 26.39 %  (grade II, nominal 24.00 ± 2.40)</t>
        </is>
      </c>
      <c r="K856" s="256" t="inlineStr">
        <is>
          <t>24.96</t>
        </is>
      </c>
      <c r="L856" s="256" t="inlineStr">
        <is>
          <t>ППК26002</t>
        </is>
      </c>
      <c r="M856" s="256" t="inlineStr">
        <is>
          <t>21.01.2026</t>
        </is>
      </c>
      <c r="N856" s="256" t="inlineStr">
        <is>
          <t>UKIM Faculty of Pharmacy — Center for Natural Products</t>
        </is>
      </c>
      <c r="O856" s="256" t="inlineStr">
        <is>
          <t>08.01.2026</t>
        </is>
      </c>
      <c r="P856" s="256" t="inlineStr">
        <is>
          <t>covered</t>
        </is>
      </c>
      <c r="Q856" s="256" t="inlineStr"/>
      <c r="R856" s="256" t="inlineStr">
        <is>
          <t>28.34 (220-4-К/26)</t>
        </is>
      </c>
    </row>
    <row r="857">
      <c r="A857" s="256" t="inlineStr">
        <is>
          <t>CoQ-PP_26-038</t>
        </is>
      </c>
      <c r="B857" s="256" t="inlineStr">
        <is>
          <t>release</t>
        </is>
      </c>
      <c r="C857" s="256" t="inlineStr">
        <is>
          <t>CJ082501/1</t>
        </is>
      </c>
      <c r="D857" s="256" t="inlineStr">
        <is>
          <t>P060022</t>
        </is>
      </c>
      <c r="E857" s="256" t="inlineStr">
        <is>
          <t>Cap Junky</t>
        </is>
      </c>
      <c r="F857" s="256" t="inlineStr">
        <is>
          <t>06.06.2026</t>
        </is>
      </c>
      <c r="G857" s="256" t="inlineStr">
        <is>
          <t>5</t>
        </is>
      </c>
      <c r="H857" s="256" t="inlineStr">
        <is>
          <t>Assay — Total CBD</t>
        </is>
      </c>
      <c r="I857" s="256" t="inlineStr">
        <is>
          <t>HPLC — DAB 2018 monograph Cannabis flos, 2.2.29 · CBD + CBDA x 0.877 (CNP, before its Ph. Eur. 3028 accreditation)</t>
        </is>
      </c>
      <c r="J857" s="256" t="inlineStr">
        <is>
          <t>≤ 1.0%, w/w</t>
        </is>
      </c>
      <c r="K857" s="256" t="inlineStr">
        <is>
          <t>0.09</t>
        </is>
      </c>
      <c r="L857" s="256" t="inlineStr">
        <is>
          <t>ППК26002</t>
        </is>
      </c>
      <c r="M857" s="256" t="inlineStr">
        <is>
          <t>21.01.2026</t>
        </is>
      </c>
      <c r="N857" s="256" t="inlineStr">
        <is>
          <t>UKIM Faculty of Pharmacy — Center for Natural Products</t>
        </is>
      </c>
      <c r="O857" s="256" t="inlineStr">
        <is>
          <t>08.01.2026</t>
        </is>
      </c>
      <c r="P857" s="256" t="inlineStr">
        <is>
          <t>covered</t>
        </is>
      </c>
      <c r="Q857" s="256" t="inlineStr"/>
      <c r="R857" s="256" t="inlineStr">
        <is>
          <t>&lt;LOQ (220-4-К/26)</t>
        </is>
      </c>
    </row>
    <row r="858">
      <c r="A858" s="256" t="inlineStr">
        <is>
          <t>CoQ-PP_26-038</t>
        </is>
      </c>
      <c r="B858" s="256" t="inlineStr">
        <is>
          <t>release</t>
        </is>
      </c>
      <c r="C858" s="256" t="inlineStr">
        <is>
          <t>CJ082501/1</t>
        </is>
      </c>
      <c r="D858" s="256" t="inlineStr">
        <is>
          <t>P060022</t>
        </is>
      </c>
      <c r="E858" s="256" t="inlineStr">
        <is>
          <t>Cap Junky</t>
        </is>
      </c>
      <c r="F858" s="256" t="inlineStr">
        <is>
          <t>06.06.2026</t>
        </is>
      </c>
      <c r="G858" s="256" t="inlineStr">
        <is>
          <t>6</t>
        </is>
      </c>
      <c r="H858" s="256" t="inlineStr">
        <is>
          <t>Total CBN</t>
        </is>
      </c>
      <c r="I858" s="256" t="inlineStr">
        <is>
          <t>HPLC — DAB 2018 monograph Cannabis flos, 2.2.29 · CBN + CBNA x 0.876 (CNP, before its Ph. Eur. 3028 accreditation)</t>
        </is>
      </c>
      <c r="J858" s="256" t="inlineStr">
        <is>
          <t>≤ 1.0%, w/w</t>
        </is>
      </c>
      <c r="K858" s="256" t="inlineStr">
        <is>
          <t>0.02 ᴰ</t>
        </is>
      </c>
      <c r="L858" s="256" t="inlineStr">
        <is>
          <t>ППК26002</t>
        </is>
      </c>
      <c r="M858" s="256" t="inlineStr">
        <is>
          <t>21.01.2026</t>
        </is>
      </c>
      <c r="N858" s="256" t="inlineStr">
        <is>
          <t>CNP</t>
        </is>
      </c>
      <c r="O858" s="256" t="inlineStr">
        <is>
          <t>08.01.2026</t>
        </is>
      </c>
      <c r="P858" s="256" t="inlineStr">
        <is>
          <t>covered</t>
        </is>
      </c>
      <c r="Q858" s="256" t="inlineStr"/>
      <c r="R858" s="256" t="inlineStr"/>
    </row>
    <row r="859">
      <c r="A859" s="256" t="inlineStr">
        <is>
          <t>CoQ-PP_26-038</t>
        </is>
      </c>
      <c r="B859" s="256" t="inlineStr">
        <is>
          <t>release</t>
        </is>
      </c>
      <c r="C859" s="256" t="inlineStr">
        <is>
          <t>CJ082501/1</t>
        </is>
      </c>
      <c r="D859" s="256" t="inlineStr">
        <is>
          <t>P060022</t>
        </is>
      </c>
      <c r="E859" s="256" t="inlineStr">
        <is>
          <t>Cap Junky</t>
        </is>
      </c>
      <c r="F859" s="256" t="inlineStr">
        <is>
          <t>06.06.2026</t>
        </is>
      </c>
      <c r="G859" s="256" t="inlineStr">
        <is>
          <t>7</t>
        </is>
      </c>
      <c r="H859" s="256" t="inlineStr">
        <is>
          <t>Foreign Matter</t>
        </is>
      </c>
      <c r="I859" s="256" t="inlineStr">
        <is>
          <t>Ph. Eur. 2.8.2 · In-house · интерна</t>
        </is>
      </c>
      <c r="J859" s="256" t="inlineStr">
        <is>
          <t>≤ 2.0% / 25–50 g · &lt; 1 cm leaves | листови, no seeds | без семки</t>
        </is>
      </c>
      <c r="K859" s="256" t="inlineStr">
        <is>
          <t>Conforms | Одговара</t>
        </is>
      </c>
      <c r="L859" s="256" t="inlineStr">
        <is>
          <t>iCoA-PP_26-037</t>
        </is>
      </c>
      <c r="M859" s="256" t="inlineStr">
        <is>
          <t>03.06.2026</t>
        </is>
      </c>
      <c r="N859" s="256" t="inlineStr">
        <is>
          <t>Purely Plant GmbH (in-house)</t>
        </is>
      </c>
      <c r="O859" s="256" t="inlineStr">
        <is>
          <t>—</t>
        </is>
      </c>
      <c r="P859" s="256" t="inlineStr">
        <is>
          <t>to be performed — see route</t>
        </is>
      </c>
      <c r="Q859" s="256" t="inlineStr">
        <is>
          <t>Purely Plant laboratory — iCoA covering Foreign matter</t>
        </is>
      </c>
      <c r="R859" s="256" t="inlineStr"/>
    </row>
    <row r="860">
      <c r="A860" s="256" t="inlineStr">
        <is>
          <t>CoQ-PP_26-038</t>
        </is>
      </c>
      <c r="B860" s="256" t="inlineStr">
        <is>
          <t>release</t>
        </is>
      </c>
      <c r="C860" s="256" t="inlineStr">
        <is>
          <t>CJ082501/1</t>
        </is>
      </c>
      <c r="D860" s="256" t="inlineStr">
        <is>
          <t>P060022</t>
        </is>
      </c>
      <c r="E860" s="256" t="inlineStr">
        <is>
          <t>Cap Junky</t>
        </is>
      </c>
      <c r="F860" s="256" t="inlineStr">
        <is>
          <t>06.06.2026</t>
        </is>
      </c>
      <c r="G860" s="256" t="inlineStr">
        <is>
          <t>8</t>
        </is>
      </c>
      <c r="H860" s="256" t="inlineStr">
        <is>
          <t>Loss on Drying</t>
        </is>
      </c>
      <c r="I860" s="256" t="inlineStr">
        <is>
          <t>DAB 2018 monograph Cannabis flos, 2.2.32 — loss on drying (CNP, before its Ph. Eur. 3028 accreditation)</t>
        </is>
      </c>
      <c r="J860" s="256" t="inlineStr">
        <is>
          <t>≤ 12.0%</t>
        </is>
      </c>
      <c r="K860" s="256" t="inlineStr">
        <is>
          <t>7.21</t>
        </is>
      </c>
      <c r="L860" s="256" t="inlineStr">
        <is>
          <t>ППК26002</t>
        </is>
      </c>
      <c r="M860" s="256" t="inlineStr">
        <is>
          <t>21.01.2026</t>
        </is>
      </c>
      <c r="N860" s="256" t="inlineStr">
        <is>
          <t>UKIM Faculty of Pharmacy — Center for Natural Products</t>
        </is>
      </c>
      <c r="O860" s="256" t="inlineStr">
        <is>
          <t>08.01.2026</t>
        </is>
      </c>
      <c r="P860" s="256" t="inlineStr">
        <is>
          <t>covered</t>
        </is>
      </c>
      <c r="Q860" s="256" t="inlineStr"/>
      <c r="R860" s="256" t="inlineStr"/>
    </row>
    <row r="861">
      <c r="A861" s="256" t="inlineStr">
        <is>
          <t>CoQ-PP_26-038</t>
        </is>
      </c>
      <c r="B861" s="256" t="inlineStr">
        <is>
          <t>release</t>
        </is>
      </c>
      <c r="C861" s="256" t="inlineStr">
        <is>
          <t>CJ082501/1</t>
        </is>
      </c>
      <c r="D861" s="256" t="inlineStr">
        <is>
          <t>P060022</t>
        </is>
      </c>
      <c r="E861" s="256" t="inlineStr">
        <is>
          <t>Cap Junky</t>
        </is>
      </c>
      <c r="F861" s="256" t="inlineStr">
        <is>
          <t>06.06.2026</t>
        </is>
      </c>
      <c r="G861" s="256" t="inlineStr">
        <is>
          <t>9.1</t>
        </is>
      </c>
      <c r="H861" s="256" t="inlineStr">
        <is>
          <t>TAMC</t>
        </is>
      </c>
      <c r="I861" s="256" t="inlineStr">
        <is>
          <t>Ph. Eur. 2.6.12 cat. C</t>
        </is>
      </c>
      <c r="J861" s="256" t="inlineStr">
        <is>
          <t>≤ 10⁵ CFU/g</t>
        </is>
      </c>
      <c r="K861" s="256" t="inlineStr">
        <is>
          <t>1.5 × 10²</t>
        </is>
      </c>
      <c r="L861" s="256" t="inlineStr">
        <is>
          <t>8/0011/26</t>
        </is>
      </c>
      <c r="M861" s="256" t="inlineStr">
        <is>
          <t>20.01.2026</t>
        </is>
      </c>
      <c r="N861" s="256" t="inlineStr">
        <is>
          <t>IPH — Institute of Public Health</t>
        </is>
      </c>
      <c r="O861" s="256" t="inlineStr">
        <is>
          <t>12.01.2025</t>
        </is>
      </c>
      <c r="P861" s="256" t="inlineStr">
        <is>
          <t>covered</t>
        </is>
      </c>
      <c r="Q861" s="256" t="inlineStr"/>
      <c r="R861" s="256" t="inlineStr"/>
    </row>
    <row r="862">
      <c r="A862" s="256" t="inlineStr">
        <is>
          <t>CoQ-PP_26-038</t>
        </is>
      </c>
      <c r="B862" s="256" t="inlineStr">
        <is>
          <t>release</t>
        </is>
      </c>
      <c r="C862" s="256" t="inlineStr">
        <is>
          <t>CJ082501/1</t>
        </is>
      </c>
      <c r="D862" s="256" t="inlineStr">
        <is>
          <t>P060022</t>
        </is>
      </c>
      <c r="E862" s="256" t="inlineStr">
        <is>
          <t>Cap Junky</t>
        </is>
      </c>
      <c r="F862" s="256" t="inlineStr">
        <is>
          <t>06.06.2026</t>
        </is>
      </c>
      <c r="G862" s="256" t="inlineStr">
        <is>
          <t>9.2</t>
        </is>
      </c>
      <c r="H862" s="256" t="inlineStr">
        <is>
          <t>TYMC</t>
        </is>
      </c>
      <c r="I862" s="256" t="inlineStr">
        <is>
          <t>Ph. Eur. 2.6.12 cat. C</t>
        </is>
      </c>
      <c r="J862" s="256" t="inlineStr">
        <is>
          <t>≤ 10⁴ CFU/g</t>
        </is>
      </c>
      <c r="K862" s="256" t="inlineStr">
        <is>
          <t>1.3 × 10²</t>
        </is>
      </c>
      <c r="L862" s="256" t="inlineStr">
        <is>
          <t>8/0011/26</t>
        </is>
      </c>
      <c r="M862" s="256" t="inlineStr">
        <is>
          <t>20.01.2026</t>
        </is>
      </c>
      <c r="N862" s="256" t="inlineStr">
        <is>
          <t>IPH — Institute of Public Health</t>
        </is>
      </c>
      <c r="O862" s="256" t="inlineStr">
        <is>
          <t>12.01.2025</t>
        </is>
      </c>
      <c r="P862" s="256" t="inlineStr">
        <is>
          <t>covered</t>
        </is>
      </c>
      <c r="Q862" s="256" t="inlineStr"/>
      <c r="R862" s="256" t="inlineStr"/>
    </row>
    <row r="863">
      <c r="A863" s="256" t="inlineStr">
        <is>
          <t>CoQ-PP_26-038</t>
        </is>
      </c>
      <c r="B863" s="256" t="inlineStr">
        <is>
          <t>release</t>
        </is>
      </c>
      <c r="C863" s="256" t="inlineStr">
        <is>
          <t>CJ082501/1</t>
        </is>
      </c>
      <c r="D863" s="256" t="inlineStr">
        <is>
          <t>P060022</t>
        </is>
      </c>
      <c r="E863" s="256" t="inlineStr">
        <is>
          <t>Cap Junky</t>
        </is>
      </c>
      <c r="F863" s="256" t="inlineStr">
        <is>
          <t>06.06.2026</t>
        </is>
      </c>
      <c r="G863" s="256" t="inlineStr">
        <is>
          <t>9.3</t>
        </is>
      </c>
      <c r="H863" s="256" t="inlineStr">
        <is>
          <t>Bile-tolerant gram-neg.</t>
        </is>
      </c>
      <c r="I863" s="256" t="inlineStr">
        <is>
          <t>Ph. Eur. 2.6.31 cat. C</t>
        </is>
      </c>
      <c r="J863" s="256" t="inlineStr">
        <is>
          <t>≤ 10⁴ CFU/g</t>
        </is>
      </c>
      <c r="K863" s="256" t="inlineStr">
        <is>
          <t>&lt; 10</t>
        </is>
      </c>
      <c r="L863" s="256" t="inlineStr">
        <is>
          <t>8/0011/26</t>
        </is>
      </c>
      <c r="M863" s="256" t="inlineStr">
        <is>
          <t>20.01.2026</t>
        </is>
      </c>
      <c r="N863" s="256" t="inlineStr">
        <is>
          <t>IPH — Institute of Public Health</t>
        </is>
      </c>
      <c r="O863" s="256" t="inlineStr">
        <is>
          <t>12.01.2025</t>
        </is>
      </c>
      <c r="P863" s="256" t="inlineStr">
        <is>
          <t>covered</t>
        </is>
      </c>
      <c r="Q863" s="256" t="inlineStr"/>
      <c r="R863" s="256" t="inlineStr"/>
    </row>
    <row r="864">
      <c r="A864" s="256" t="inlineStr">
        <is>
          <t>CoQ-PP_26-038</t>
        </is>
      </c>
      <c r="B864" s="256" t="inlineStr">
        <is>
          <t>release</t>
        </is>
      </c>
      <c r="C864" s="256" t="inlineStr">
        <is>
          <t>CJ082501/1</t>
        </is>
      </c>
      <c r="D864" s="256" t="inlineStr">
        <is>
          <t>P060022</t>
        </is>
      </c>
      <c r="E864" s="256" t="inlineStr">
        <is>
          <t>Cap Junky</t>
        </is>
      </c>
      <c r="F864" s="256" t="inlineStr">
        <is>
          <t>06.06.2026</t>
        </is>
      </c>
      <c r="G864" s="256" t="inlineStr">
        <is>
          <t>9.4</t>
        </is>
      </c>
      <c r="H864" s="256" t="inlineStr">
        <is>
          <t>Salmonella</t>
        </is>
      </c>
      <c r="I864" s="256" t="inlineStr">
        <is>
          <t>Ph. Eur. 2.6.31 cat. C</t>
        </is>
      </c>
      <c r="J864" s="256" t="inlineStr">
        <is>
          <t>Absence | Отсуство / 25 g</t>
        </is>
      </c>
      <c r="K864" s="256" t="inlineStr">
        <is>
          <t>Absent | Отсутна</t>
        </is>
      </c>
      <c r="L864" s="256" t="inlineStr">
        <is>
          <t>8/0011/26</t>
        </is>
      </c>
      <c r="M864" s="256" t="inlineStr">
        <is>
          <t>20.01.2026</t>
        </is>
      </c>
      <c r="N864" s="256" t="inlineStr">
        <is>
          <t>IPH — Institute of Public Health</t>
        </is>
      </c>
      <c r="O864" s="256" t="inlineStr">
        <is>
          <t>12.01.2025</t>
        </is>
      </c>
      <c r="P864" s="256" t="inlineStr">
        <is>
          <t>covered</t>
        </is>
      </c>
      <c r="Q864" s="256" t="inlineStr"/>
      <c r="R864" s="256" t="inlineStr"/>
    </row>
    <row r="865">
      <c r="A865" s="256" t="inlineStr">
        <is>
          <t>CoQ-PP_26-038</t>
        </is>
      </c>
      <c r="B865" s="256" t="inlineStr">
        <is>
          <t>release</t>
        </is>
      </c>
      <c r="C865" s="256" t="inlineStr">
        <is>
          <t>CJ082501/1</t>
        </is>
      </c>
      <c r="D865" s="256" t="inlineStr">
        <is>
          <t>P060022</t>
        </is>
      </c>
      <c r="E865" s="256" t="inlineStr">
        <is>
          <t>Cap Junky</t>
        </is>
      </c>
      <c r="F865" s="256" t="inlineStr">
        <is>
          <t>06.06.2026</t>
        </is>
      </c>
      <c r="G865" s="256" t="inlineStr">
        <is>
          <t>9.5</t>
        </is>
      </c>
      <c r="H865" s="256" t="inlineStr">
        <is>
          <t>Escherichia coli</t>
        </is>
      </c>
      <c r="I865" s="256" t="inlineStr">
        <is>
          <t>Ph. Eur. 2.6.13 cat. C</t>
        </is>
      </c>
      <c r="J865" s="256" t="inlineStr">
        <is>
          <t>Absence | Отсуство / 1 g</t>
        </is>
      </c>
      <c r="K865" s="256" t="inlineStr">
        <is>
          <t>Absent | Отсутна</t>
        </is>
      </c>
      <c r="L865" s="256" t="inlineStr">
        <is>
          <t>8/0011/26</t>
        </is>
      </c>
      <c r="M865" s="256" t="inlineStr">
        <is>
          <t>20.01.2026</t>
        </is>
      </c>
      <c r="N865" s="256" t="inlineStr">
        <is>
          <t>IPH — Institute of Public Health</t>
        </is>
      </c>
      <c r="O865" s="256" t="inlineStr">
        <is>
          <t>12.01.2025</t>
        </is>
      </c>
      <c r="P865" s="256" t="inlineStr">
        <is>
          <t>covered</t>
        </is>
      </c>
      <c r="Q865" s="256" t="inlineStr"/>
      <c r="R865" s="256" t="inlineStr"/>
    </row>
    <row r="866">
      <c r="A866" s="256" t="inlineStr">
        <is>
          <t>CoQ-PP_26-038</t>
        </is>
      </c>
      <c r="B866" s="256" t="inlineStr">
        <is>
          <t>release</t>
        </is>
      </c>
      <c r="C866" s="256" t="inlineStr">
        <is>
          <t>CJ082501/1</t>
        </is>
      </c>
      <c r="D866" s="256" t="inlineStr">
        <is>
          <t>P060022</t>
        </is>
      </c>
      <c r="E866" s="256" t="inlineStr">
        <is>
          <t>Cap Junky</t>
        </is>
      </c>
      <c r="F866" s="256" t="inlineStr">
        <is>
          <t>06.06.2026</t>
        </is>
      </c>
      <c r="G866" s="256" t="inlineStr">
        <is>
          <t>9.6</t>
        </is>
      </c>
      <c r="H866" s="256" t="inlineStr">
        <is>
          <t>Pseudomonas aeruginosa</t>
        </is>
      </c>
      <c r="I866" s="256" t="inlineStr">
        <is>
          <t>Ph. Eur. 2.6.13 cat. C</t>
        </is>
      </c>
      <c r="J866" s="256" t="inlineStr">
        <is>
          <t>Absence | Отсуство / 1 g</t>
        </is>
      </c>
      <c r="K866" s="260" t="inlineStr">
        <is>
          <t>upon request — not required for release</t>
        </is>
      </c>
      <c r="L866" s="256" t="inlineStr">
        <is>
          <t>—</t>
        </is>
      </c>
      <c r="M866" s="256" t="inlineStr">
        <is>
          <t>—</t>
        </is>
      </c>
      <c r="N866" s="256" t="inlineStr">
        <is>
          <t>—</t>
        </is>
      </c>
      <c r="O866" s="256" t="inlineStr">
        <is>
          <t>—</t>
        </is>
      </c>
      <c r="P866" s="256" t="inlineStr">
        <is>
          <t>upon request — not required for release</t>
        </is>
      </c>
      <c r="Q866" s="256" t="inlineStr"/>
      <c r="R866" s="256" t="inlineStr"/>
    </row>
    <row r="867">
      <c r="A867" s="256" t="inlineStr">
        <is>
          <t>CoQ-PP_26-038</t>
        </is>
      </c>
      <c r="B867" s="256" t="inlineStr">
        <is>
          <t>release</t>
        </is>
      </c>
      <c r="C867" s="256" t="inlineStr">
        <is>
          <t>CJ082501/1</t>
        </is>
      </c>
      <c r="D867" s="256" t="inlineStr">
        <is>
          <t>P060022</t>
        </is>
      </c>
      <c r="E867" s="256" t="inlineStr">
        <is>
          <t>Cap Junky</t>
        </is>
      </c>
      <c r="F867" s="256" t="inlineStr">
        <is>
          <t>06.06.2026</t>
        </is>
      </c>
      <c r="G867" s="256" t="inlineStr">
        <is>
          <t>9.7</t>
        </is>
      </c>
      <c r="H867" s="256" t="inlineStr">
        <is>
          <t>Staphylococcus aureus</t>
        </is>
      </c>
      <c r="I867" s="256" t="inlineStr">
        <is>
          <t>Ph. Eur. 2.6.13 cat. C</t>
        </is>
      </c>
      <c r="J867" s="256" t="inlineStr">
        <is>
          <t>Absence | Отсуство / 1 g</t>
        </is>
      </c>
      <c r="K867" s="260" t="inlineStr">
        <is>
          <t>upon request — not required for release</t>
        </is>
      </c>
      <c r="L867" s="256" t="inlineStr">
        <is>
          <t>—</t>
        </is>
      </c>
      <c r="M867" s="256" t="inlineStr">
        <is>
          <t>—</t>
        </is>
      </c>
      <c r="N867" s="256" t="inlineStr">
        <is>
          <t>—</t>
        </is>
      </c>
      <c r="O867" s="256" t="inlineStr">
        <is>
          <t>—</t>
        </is>
      </c>
      <c r="P867" s="256" t="inlineStr">
        <is>
          <t>upon request — not required for release</t>
        </is>
      </c>
      <c r="Q867" s="256" t="inlineStr"/>
      <c r="R867" s="256" t="inlineStr"/>
    </row>
    <row r="868">
      <c r="A868" s="256" t="inlineStr">
        <is>
          <t>CoQ-PP_26-038</t>
        </is>
      </c>
      <c r="B868" s="256" t="inlineStr">
        <is>
          <t>release</t>
        </is>
      </c>
      <c r="C868" s="256" t="inlineStr">
        <is>
          <t>CJ082501/1</t>
        </is>
      </c>
      <c r="D868" s="256" t="inlineStr">
        <is>
          <t>P060022</t>
        </is>
      </c>
      <c r="E868" s="256" t="inlineStr">
        <is>
          <t>Cap Junky</t>
        </is>
      </c>
      <c r="F868" s="256" t="inlineStr">
        <is>
          <t>06.06.2026</t>
        </is>
      </c>
      <c r="G868" s="256" t="inlineStr">
        <is>
          <t>10.1</t>
        </is>
      </c>
      <c r="H868" s="256" t="inlineStr">
        <is>
          <t>Aflatoxin B₁</t>
        </is>
      </c>
      <c r="I868" s="256" t="inlineStr">
        <is>
          <t>Ph. Eur. 2.8.18 (HPLC-FLD)</t>
        </is>
      </c>
      <c r="J868" s="256" t="inlineStr">
        <is>
          <t>≤ 2 µg/kg</t>
        </is>
      </c>
      <c r="K868" s="259" t="inlineStr">
        <is>
          <t>not tested</t>
        </is>
      </c>
      <c r="L868" s="256" t="inlineStr">
        <is>
          <t>—</t>
        </is>
      </c>
      <c r="M868" s="256" t="inlineStr">
        <is>
          <t>—</t>
        </is>
      </c>
      <c r="N868" s="256" t="inlineStr">
        <is>
          <t>—</t>
        </is>
      </c>
      <c r="O868" s="256" t="inlineStr">
        <is>
          <t>—</t>
        </is>
      </c>
      <c r="P868" s="256" t="inlineStr">
        <is>
          <t>not tested — no certificate covers it</t>
        </is>
      </c>
      <c r="Q868" s="256" t="inlineStr"/>
      <c r="R868" s="256" t="inlineStr">
        <is>
          <t>ND (220-4-М/26)</t>
        </is>
      </c>
    </row>
    <row r="869">
      <c r="A869" s="256" t="inlineStr">
        <is>
          <t>CoQ-PP_26-038</t>
        </is>
      </c>
      <c r="B869" s="256" t="inlineStr">
        <is>
          <t>release</t>
        </is>
      </c>
      <c r="C869" s="256" t="inlineStr">
        <is>
          <t>CJ082501/1</t>
        </is>
      </c>
      <c r="D869" s="256" t="inlineStr">
        <is>
          <t>P060022</t>
        </is>
      </c>
      <c r="E869" s="256" t="inlineStr">
        <is>
          <t>Cap Junky</t>
        </is>
      </c>
      <c r="F869" s="256" t="inlineStr">
        <is>
          <t>06.06.2026</t>
        </is>
      </c>
      <c r="G869" s="256" t="inlineStr">
        <is>
          <t>10.2</t>
        </is>
      </c>
      <c r="H869" s="256" t="inlineStr">
        <is>
          <t>Aflatoxins ∑</t>
        </is>
      </c>
      <c r="I869" s="256" t="inlineStr">
        <is>
          <t>Ph. Eur. 2.8.18 (HPLC-FLD)</t>
        </is>
      </c>
      <c r="J869" s="256" t="inlineStr">
        <is>
          <t>≤ 4 µg/kg</t>
        </is>
      </c>
      <c r="K869" s="256" t="inlineStr">
        <is>
          <t>&lt; 2</t>
        </is>
      </c>
      <c r="L869" s="256" t="inlineStr">
        <is>
          <t>81/2026</t>
        </is>
      </c>
      <c r="M869" s="256" t="inlineStr">
        <is>
          <t>02.02.2026</t>
        </is>
      </c>
      <c r="N869" s="256" t="inlineStr">
        <is>
          <t>IPH — Institute of Public Health</t>
        </is>
      </c>
      <c r="O869" s="256" t="inlineStr">
        <is>
          <t>08.01.2026</t>
        </is>
      </c>
      <c r="P869" s="256" t="inlineStr">
        <is>
          <t>covered</t>
        </is>
      </c>
      <c r="Q869" s="256" t="inlineStr"/>
      <c r="R869" s="256" t="inlineStr">
        <is>
          <t>ND (220-4-М/26)</t>
        </is>
      </c>
    </row>
    <row r="870">
      <c r="A870" s="256" t="inlineStr">
        <is>
          <t>CoQ-PP_26-038</t>
        </is>
      </c>
      <c r="B870" s="256" t="inlineStr">
        <is>
          <t>release</t>
        </is>
      </c>
      <c r="C870" s="256" t="inlineStr">
        <is>
          <t>CJ082501/1</t>
        </is>
      </c>
      <c r="D870" s="256" t="inlineStr">
        <is>
          <t>P060022</t>
        </is>
      </c>
      <c r="E870" s="256" t="inlineStr">
        <is>
          <t>Cap Junky</t>
        </is>
      </c>
      <c r="F870" s="256" t="inlineStr">
        <is>
          <t>06.06.2026</t>
        </is>
      </c>
      <c r="G870" s="256" t="inlineStr">
        <is>
          <t>10.3</t>
        </is>
      </c>
      <c r="H870" s="256" t="inlineStr">
        <is>
          <t>Ochratoxin A</t>
        </is>
      </c>
      <c r="I870" s="256" t="inlineStr">
        <is>
          <t>Ph. Eur. 2.8.22 (HPLC-FLD)</t>
        </is>
      </c>
      <c r="J870" s="256" t="inlineStr">
        <is>
          <t>≤ 20 µg/kg</t>
        </is>
      </c>
      <c r="K870" s="259" t="inlineStr">
        <is>
          <t>not tested</t>
        </is>
      </c>
      <c r="L870" s="256" t="inlineStr">
        <is>
          <t>—</t>
        </is>
      </c>
      <c r="M870" s="256" t="inlineStr">
        <is>
          <t>—</t>
        </is>
      </c>
      <c r="N870" s="256" t="inlineStr">
        <is>
          <t>—</t>
        </is>
      </c>
      <c r="O870" s="256" t="inlineStr">
        <is>
          <t>—</t>
        </is>
      </c>
      <c r="P870" s="256" t="inlineStr">
        <is>
          <t>not tested — no certificate covers it</t>
        </is>
      </c>
      <c r="Q870" s="256" t="inlineStr"/>
      <c r="R870" s="256" t="inlineStr">
        <is>
          <t>ND (220-4-М/26)</t>
        </is>
      </c>
    </row>
    <row r="871">
      <c r="A871" s="256" t="inlineStr">
        <is>
          <t>CoQ-PP_26-038</t>
        </is>
      </c>
      <c r="B871" s="256" t="inlineStr">
        <is>
          <t>release</t>
        </is>
      </c>
      <c r="C871" s="256" t="inlineStr">
        <is>
          <t>CJ082501/1</t>
        </is>
      </c>
      <c r="D871" s="256" t="inlineStr">
        <is>
          <t>P060022</t>
        </is>
      </c>
      <c r="E871" s="256" t="inlineStr">
        <is>
          <t>Cap Junky</t>
        </is>
      </c>
      <c r="F871" s="256" t="inlineStr">
        <is>
          <t>06.06.2026</t>
        </is>
      </c>
      <c r="G871" s="256" t="inlineStr">
        <is>
          <t>11.1</t>
        </is>
      </c>
      <c r="H871" s="256" t="inlineStr">
        <is>
          <t>Lead (Pb)</t>
        </is>
      </c>
      <c r="I871" s="256" t="inlineStr">
        <is>
          <t>Ph. Eur. 2.4.27 (ICP-MS)</t>
        </is>
      </c>
      <c r="J871" s="256" t="inlineStr">
        <is>
          <t>≤ 0.5 mg/kg</t>
        </is>
      </c>
      <c r="K871" s="256" t="inlineStr">
        <is>
          <t>0.075</t>
        </is>
      </c>
      <c r="L871" s="256" t="inlineStr">
        <is>
          <t>81/2026</t>
        </is>
      </c>
      <c r="M871" s="256" t="inlineStr">
        <is>
          <t>02.02.2026</t>
        </is>
      </c>
      <c r="N871" s="256" t="inlineStr">
        <is>
          <t>IPH — Institute of Public Health</t>
        </is>
      </c>
      <c r="O871" s="256" t="inlineStr">
        <is>
          <t>08.01.2026</t>
        </is>
      </c>
      <c r="P871" s="256" t="inlineStr">
        <is>
          <t>covered</t>
        </is>
      </c>
      <c r="Q871" s="256" t="inlineStr"/>
      <c r="R871" s="256" t="inlineStr"/>
    </row>
    <row r="872">
      <c r="A872" s="256" t="inlineStr">
        <is>
          <t>CoQ-PP_26-038</t>
        </is>
      </c>
      <c r="B872" s="256" t="inlineStr">
        <is>
          <t>release</t>
        </is>
      </c>
      <c r="C872" s="256" t="inlineStr">
        <is>
          <t>CJ082501/1</t>
        </is>
      </c>
      <c r="D872" s="256" t="inlineStr">
        <is>
          <t>P060022</t>
        </is>
      </c>
      <c r="E872" s="256" t="inlineStr">
        <is>
          <t>Cap Junky</t>
        </is>
      </c>
      <c r="F872" s="256" t="inlineStr">
        <is>
          <t>06.06.2026</t>
        </is>
      </c>
      <c r="G872" s="256" t="inlineStr">
        <is>
          <t>11.2</t>
        </is>
      </c>
      <c r="H872" s="256" t="inlineStr">
        <is>
          <t>Cadmium (Cd)</t>
        </is>
      </c>
      <c r="I872" s="256" t="inlineStr">
        <is>
          <t>Ph. Eur. 2.4.27 (ICP-MS)</t>
        </is>
      </c>
      <c r="J872" s="256" t="inlineStr">
        <is>
          <t>≤ 0.3 mg/kg</t>
        </is>
      </c>
      <c r="K872" s="256" t="inlineStr">
        <is>
          <t>ND</t>
        </is>
      </c>
      <c r="L872" s="256" t="inlineStr">
        <is>
          <t>81/2026</t>
        </is>
      </c>
      <c r="M872" s="256" t="inlineStr">
        <is>
          <t>02.02.2026</t>
        </is>
      </c>
      <c r="N872" s="256" t="inlineStr">
        <is>
          <t>IPH — Institute of Public Health</t>
        </is>
      </c>
      <c r="O872" s="256" t="inlineStr">
        <is>
          <t>08.01.2026</t>
        </is>
      </c>
      <c r="P872" s="256" t="inlineStr">
        <is>
          <t>covered</t>
        </is>
      </c>
      <c r="Q872" s="256" t="inlineStr"/>
      <c r="R872" s="256" t="inlineStr"/>
    </row>
    <row r="873">
      <c r="A873" s="256" t="inlineStr">
        <is>
          <t>CoQ-PP_26-038</t>
        </is>
      </c>
      <c r="B873" s="256" t="inlineStr">
        <is>
          <t>release</t>
        </is>
      </c>
      <c r="C873" s="256" t="inlineStr">
        <is>
          <t>CJ082501/1</t>
        </is>
      </c>
      <c r="D873" s="256" t="inlineStr">
        <is>
          <t>P060022</t>
        </is>
      </c>
      <c r="E873" s="256" t="inlineStr">
        <is>
          <t>Cap Junky</t>
        </is>
      </c>
      <c r="F873" s="256" t="inlineStr">
        <is>
          <t>06.06.2026</t>
        </is>
      </c>
      <c r="G873" s="256" t="inlineStr">
        <is>
          <t>11.3</t>
        </is>
      </c>
      <c r="H873" s="256" t="inlineStr">
        <is>
          <t>Arsenic (As)</t>
        </is>
      </c>
      <c r="I873" s="256" t="inlineStr">
        <is>
          <t>Ph. Eur. 2.4.27 (ICP-MS)</t>
        </is>
      </c>
      <c r="J873" s="256" t="inlineStr">
        <is>
          <t>≤ 0.2 mg/kg</t>
        </is>
      </c>
      <c r="K873" s="256" t="inlineStr">
        <is>
          <t>ND</t>
        </is>
      </c>
      <c r="L873" s="256" t="inlineStr">
        <is>
          <t>81/2026</t>
        </is>
      </c>
      <c r="M873" s="256" t="inlineStr">
        <is>
          <t>02.02.2026</t>
        </is>
      </c>
      <c r="N873" s="256" t="inlineStr">
        <is>
          <t>IPH — Institute of Public Health</t>
        </is>
      </c>
      <c r="O873" s="256" t="inlineStr">
        <is>
          <t>08.01.2026</t>
        </is>
      </c>
      <c r="P873" s="256" t="inlineStr">
        <is>
          <t>covered</t>
        </is>
      </c>
      <c r="Q873" s="256" t="inlineStr"/>
      <c r="R873" s="256" t="inlineStr"/>
    </row>
    <row r="874">
      <c r="A874" s="256" t="inlineStr">
        <is>
          <t>CoQ-PP_26-038</t>
        </is>
      </c>
      <c r="B874" s="256" t="inlineStr">
        <is>
          <t>release</t>
        </is>
      </c>
      <c r="C874" s="256" t="inlineStr">
        <is>
          <t>CJ082501/1</t>
        </is>
      </c>
      <c r="D874" s="256" t="inlineStr">
        <is>
          <t>P060022</t>
        </is>
      </c>
      <c r="E874" s="256" t="inlineStr">
        <is>
          <t>Cap Junky</t>
        </is>
      </c>
      <c r="F874" s="256" t="inlineStr">
        <is>
          <t>06.06.2026</t>
        </is>
      </c>
      <c r="G874" s="256" t="inlineStr">
        <is>
          <t>11.4</t>
        </is>
      </c>
      <c r="H874" s="256" t="inlineStr">
        <is>
          <t>Mercury (Hg)</t>
        </is>
      </c>
      <c r="I874" s="256" t="inlineStr">
        <is>
          <t>Ph. Eur. 2.4.27 (ICP-MS)</t>
        </is>
      </c>
      <c r="J874" s="256" t="inlineStr">
        <is>
          <t>≤ 0.1 mg/kg</t>
        </is>
      </c>
      <c r="K874" s="256" t="inlineStr">
        <is>
          <t>ND</t>
        </is>
      </c>
      <c r="L874" s="256" t="inlineStr">
        <is>
          <t>81/2026</t>
        </is>
      </c>
      <c r="M874" s="256" t="inlineStr">
        <is>
          <t>02.02.2026</t>
        </is>
      </c>
      <c r="N874" s="256" t="inlineStr">
        <is>
          <t>IPH — Institute of Public Health</t>
        </is>
      </c>
      <c r="O874" s="256" t="inlineStr">
        <is>
          <t>08.01.2026</t>
        </is>
      </c>
      <c r="P874" s="256" t="inlineStr">
        <is>
          <t>covered</t>
        </is>
      </c>
      <c r="Q874" s="256" t="inlineStr"/>
      <c r="R874" s="256" t="inlineStr"/>
    </row>
    <row r="875">
      <c r="A875" s="256" t="inlineStr">
        <is>
          <t>CoQ-PP_26-038</t>
        </is>
      </c>
      <c r="B875" s="256" t="inlineStr">
        <is>
          <t>release</t>
        </is>
      </c>
      <c r="C875" s="256" t="inlineStr">
        <is>
          <t>CJ082501/1</t>
        </is>
      </c>
      <c r="D875" s="256" t="inlineStr">
        <is>
          <t>P060022</t>
        </is>
      </c>
      <c r="E875" s="256" t="inlineStr">
        <is>
          <t>Cap Junky</t>
        </is>
      </c>
      <c r="F875" s="256" t="inlineStr">
        <is>
          <t>06.06.2026</t>
        </is>
      </c>
      <c r="G875" s="256" t="inlineStr">
        <is>
          <t>12</t>
        </is>
      </c>
      <c r="H875" s="256" t="inlineStr">
        <is>
          <t>Pesticide Residues</t>
        </is>
      </c>
      <c r="I875" s="256" t="inlineStr">
        <is>
          <t>Ph. Eur. 2.8.13 (LC-MS/MS) · CUMCS Equivalency</t>
        </is>
      </c>
      <c r="J875" s="256" t="inlineStr">
        <is>
          <t>≤ LOQ as per Ph. Eur. 2.8.13 · ≤ LOQ as per CUMCS Equivalency</t>
        </is>
      </c>
      <c r="K875" s="256" t="inlineStr">
        <is>
          <t>ND</t>
        </is>
      </c>
      <c r="L875" s="256" t="inlineStr">
        <is>
          <t>81/2026</t>
        </is>
      </c>
      <c r="M875" s="256" t="inlineStr">
        <is>
          <t>02.02.2026</t>
        </is>
      </c>
      <c r="N875" s="256" t="inlineStr">
        <is>
          <t>IPH — Institute of Public Health</t>
        </is>
      </c>
      <c r="O875" s="256" t="inlineStr">
        <is>
          <t>08.01.2026</t>
        </is>
      </c>
      <c r="P875" s="256" t="inlineStr">
        <is>
          <t>covered</t>
        </is>
      </c>
      <c r="Q875" s="256" t="inlineStr"/>
      <c r="R875" s="256" t="inlineStr"/>
    </row>
    <row r="876">
      <c r="A876" s="256" t="inlineStr">
        <is>
          <t>CoQ-PP_26-039</t>
        </is>
      </c>
      <c r="B876" s="256" t="inlineStr">
        <is>
          <t>release</t>
        </is>
      </c>
      <c r="C876" s="256" t="inlineStr">
        <is>
          <t>CJ082501/2</t>
        </is>
      </c>
      <c r="D876" s="256" t="inlineStr">
        <is>
          <t>P060032</t>
        </is>
      </c>
      <c r="E876" s="256" t="inlineStr">
        <is>
          <t>Cap Junky</t>
        </is>
      </c>
      <c r="F876" s="256" t="inlineStr">
        <is>
          <t>06.06.2026</t>
        </is>
      </c>
      <c r="G876" s="256" t="inlineStr">
        <is>
          <t>1</t>
        </is>
      </c>
      <c r="H876" s="256" t="inlineStr">
        <is>
          <t>Identification A, Appearance · Macroscopic</t>
        </is>
      </c>
      <c r="I876" s="256" t="inlineStr">
        <is>
          <t>Ph. Eur. mon. 3028</t>
        </is>
      </c>
      <c r="J876" s="256" t="inlineStr">
        <is>
          <t>Conforms to the monograph for Cannabis flos (07/2024:3028) in Ph. Eur. 11.0 | Согласно монографија за Cannabis flos (07/2024:3028) во Ph. Eur. 11.0</t>
        </is>
      </c>
      <c r="K876" s="256" t="inlineStr">
        <is>
          <t>Conforms | Одговара</t>
        </is>
      </c>
      <c r="L876" s="256" t="inlineStr">
        <is>
          <t>iCoA-PP_26-038</t>
        </is>
      </c>
      <c r="M876" s="256" t="inlineStr">
        <is>
          <t>03.06.2026</t>
        </is>
      </c>
      <c r="N876" s="256" t="inlineStr">
        <is>
          <t>Purely Plant GmbH (in-house)</t>
        </is>
      </c>
      <c r="O876" s="256" t="inlineStr">
        <is>
          <t>—</t>
        </is>
      </c>
      <c r="P876" s="256" t="inlineStr">
        <is>
          <t>to be performed — see route</t>
        </is>
      </c>
      <c r="Q876" s="256" t="inlineStr">
        <is>
          <t>Purely Plant laboratory — iCoA covering Ident A + B</t>
        </is>
      </c>
      <c r="R876" s="256" t="inlineStr"/>
    </row>
    <row r="877">
      <c r="A877" s="256" t="inlineStr">
        <is>
          <t>CoQ-PP_26-039</t>
        </is>
      </c>
      <c r="B877" s="256" t="inlineStr">
        <is>
          <t>release</t>
        </is>
      </c>
      <c r="C877" s="256" t="inlineStr">
        <is>
          <t>CJ082501/2</t>
        </is>
      </c>
      <c r="D877" s="256" t="inlineStr">
        <is>
          <t>P060032</t>
        </is>
      </c>
      <c r="E877" s="256" t="inlineStr">
        <is>
          <t>Cap Junky</t>
        </is>
      </c>
      <c r="F877" s="256" t="inlineStr">
        <is>
          <t>06.06.2026</t>
        </is>
      </c>
      <c r="G877" s="256" t="inlineStr">
        <is>
          <t>2</t>
        </is>
      </c>
      <c r="H877" s="256" t="inlineStr">
        <is>
          <t>Identification B · Microscopic</t>
        </is>
      </c>
      <c r="I877" s="256" t="inlineStr">
        <is>
          <t>Ph. Eur. 2.8.23 (microscopy)</t>
        </is>
      </c>
      <c r="J877" s="256" t="inlineStr">
        <is>
          <t>Conforms to the monograph for Cannabis flos (07/2024:3028) in Ph. Eur. 11.0 | Согласно монографија за Cannabis flos (07/2024:3028) во Ph. Eur. 11.0</t>
        </is>
      </c>
      <c r="K877" s="256" t="inlineStr">
        <is>
          <t>Conforms | Одговара</t>
        </is>
      </c>
      <c r="L877" s="256" t="inlineStr">
        <is>
          <t>iCoA-PP_26-038</t>
        </is>
      </c>
      <c r="M877" s="256" t="inlineStr">
        <is>
          <t>03.06.2026</t>
        </is>
      </c>
      <c r="N877" s="256" t="inlineStr">
        <is>
          <t>Purely Plant GmbH (in-house)</t>
        </is>
      </c>
      <c r="O877" s="256" t="inlineStr">
        <is>
          <t>—</t>
        </is>
      </c>
      <c r="P877" s="256" t="inlineStr">
        <is>
          <t>to be performed — see route</t>
        </is>
      </c>
      <c r="Q877" s="256" t="inlineStr">
        <is>
          <t>Purely Plant laboratory — iCoA covering Ident A + B</t>
        </is>
      </c>
      <c r="R877" s="256" t="inlineStr"/>
    </row>
    <row r="878">
      <c r="A878" s="256" t="inlineStr">
        <is>
          <t>CoQ-PP_26-039</t>
        </is>
      </c>
      <c r="B878" s="256" t="inlineStr">
        <is>
          <t>release</t>
        </is>
      </c>
      <c r="C878" s="256" t="inlineStr">
        <is>
          <t>CJ082501/2</t>
        </is>
      </c>
      <c r="D878" s="256" t="inlineStr">
        <is>
          <t>P060032</t>
        </is>
      </c>
      <c r="E878" s="256" t="inlineStr">
        <is>
          <t>Cap Junky</t>
        </is>
      </c>
      <c r="F878" s="256" t="inlineStr">
        <is>
          <t>06.06.2026</t>
        </is>
      </c>
      <c r="G878" s="256" t="inlineStr">
        <is>
          <t>3</t>
        </is>
      </c>
      <c r="H878" s="256" t="inlineStr">
        <is>
          <t>Identification C · HPLC/HPTLC</t>
        </is>
      </c>
      <c r="I878" s="256" t="inlineStr">
        <is>
          <t>HPLC — DAB 2018 monograph Cannabis flos, 2.2.29 (CNP, before its Ph. Eur. 3028 accreditation)</t>
        </is>
      </c>
      <c r="J878" s="256" t="inlineStr">
        <is>
          <t>Conforms to the monograph for Cannabis flos (07/2024:3028) in Ph. Eur. 11.0 | Согласно монографија за Cannabis flos (07/2024:3028) во Ph. Eur. 11.0</t>
        </is>
      </c>
      <c r="K878" s="256" t="inlineStr">
        <is>
          <t>Conforms | Одговара</t>
        </is>
      </c>
      <c r="L878" s="256" t="inlineStr">
        <is>
          <t>ППК26003</t>
        </is>
      </c>
      <c r="M878" s="256" t="inlineStr">
        <is>
          <t>21.01.2026</t>
        </is>
      </c>
      <c r="N878" s="256" t="inlineStr">
        <is>
          <t>UKIM Faculty of Pharmacy — Center for Natural Products</t>
        </is>
      </c>
      <c r="O878" s="256" t="inlineStr">
        <is>
          <t>08.01.2026</t>
        </is>
      </c>
      <c r="P878" s="256" t="inlineStr">
        <is>
          <t>covered</t>
        </is>
      </c>
      <c r="Q878" s="256" t="inlineStr"/>
      <c r="R878" s="256" t="inlineStr"/>
    </row>
    <row r="879">
      <c r="A879" s="256" t="inlineStr">
        <is>
          <t>CoQ-PP_26-039</t>
        </is>
      </c>
      <c r="B879" s="256" t="inlineStr">
        <is>
          <t>release</t>
        </is>
      </c>
      <c r="C879" s="256" t="inlineStr">
        <is>
          <t>CJ082501/2</t>
        </is>
      </c>
      <c r="D879" s="256" t="inlineStr">
        <is>
          <t>P060032</t>
        </is>
      </c>
      <c r="E879" s="256" t="inlineStr">
        <is>
          <t>Cap Junky</t>
        </is>
      </c>
      <c r="F879" s="256" t="inlineStr">
        <is>
          <t>06.06.2026</t>
        </is>
      </c>
      <c r="G879" s="256" t="inlineStr">
        <is>
          <t>4</t>
        </is>
      </c>
      <c r="H879" s="256" t="inlineStr">
        <is>
          <t>Assay — Total Δ⁹-THC</t>
        </is>
      </c>
      <c r="I879" s="256" t="inlineStr">
        <is>
          <t>HPLC — DAB 2018 monograph Cannabis flos, 2.2.29 (CNP, before its Ph. Eur. 3028 accreditation)</t>
        </is>
      </c>
      <c r="J879" s="256" t="inlineStr">
        <is>
          <t>18.40 – 21.59 %  (grade III, nominal 20.00 ± 1.60)</t>
        </is>
      </c>
      <c r="K879" s="256" t="inlineStr">
        <is>
          <t>20.84</t>
        </is>
      </c>
      <c r="L879" s="256" t="inlineStr">
        <is>
          <t>ППК26003</t>
        </is>
      </c>
      <c r="M879" s="256" t="inlineStr">
        <is>
          <t>21.01.2026</t>
        </is>
      </c>
      <c r="N879" s="256" t="inlineStr">
        <is>
          <t>UKIM Faculty of Pharmacy — Center for Natural Products</t>
        </is>
      </c>
      <c r="O879" s="256" t="inlineStr">
        <is>
          <t>08.01.2026</t>
        </is>
      </c>
      <c r="P879" s="256" t="inlineStr">
        <is>
          <t>covered</t>
        </is>
      </c>
      <c r="Q879" s="256" t="inlineStr"/>
      <c r="R879" s="256" t="inlineStr">
        <is>
          <t>18.29 (197-5-К/26)</t>
        </is>
      </c>
    </row>
    <row r="880">
      <c r="A880" s="256" t="inlineStr">
        <is>
          <t>CoQ-PP_26-039</t>
        </is>
      </c>
      <c r="B880" s="256" t="inlineStr">
        <is>
          <t>release</t>
        </is>
      </c>
      <c r="C880" s="256" t="inlineStr">
        <is>
          <t>CJ082501/2</t>
        </is>
      </c>
      <c r="D880" s="256" t="inlineStr">
        <is>
          <t>P060032</t>
        </is>
      </c>
      <c r="E880" s="256" t="inlineStr">
        <is>
          <t>Cap Junky</t>
        </is>
      </c>
      <c r="F880" s="256" t="inlineStr">
        <is>
          <t>06.06.2026</t>
        </is>
      </c>
      <c r="G880" s="256" t="inlineStr">
        <is>
          <t>5</t>
        </is>
      </c>
      <c r="H880" s="256" t="inlineStr">
        <is>
          <t>Assay — Total CBD</t>
        </is>
      </c>
      <c r="I880" s="256" t="inlineStr">
        <is>
          <t>HPLC — DAB 2018 monograph Cannabis flos, 2.2.29 · CBD + CBDA x 0.877 (CNP, before its Ph. Eur. 3028 accreditation)</t>
        </is>
      </c>
      <c r="J880" s="256" t="inlineStr">
        <is>
          <t>≤ 1.0%, w/w</t>
        </is>
      </c>
      <c r="K880" s="256" t="inlineStr">
        <is>
          <t>0.08</t>
        </is>
      </c>
      <c r="L880" s="256" t="inlineStr">
        <is>
          <t>ППК26003</t>
        </is>
      </c>
      <c r="M880" s="256" t="inlineStr">
        <is>
          <t>21.01.2026</t>
        </is>
      </c>
      <c r="N880" s="256" t="inlineStr">
        <is>
          <t>UKIM Faculty of Pharmacy — Center for Natural Products</t>
        </is>
      </c>
      <c r="O880" s="256" t="inlineStr">
        <is>
          <t>08.01.2026</t>
        </is>
      </c>
      <c r="P880" s="256" t="inlineStr">
        <is>
          <t>covered</t>
        </is>
      </c>
      <c r="Q880" s="256" t="inlineStr"/>
      <c r="R880" s="256" t="inlineStr">
        <is>
          <t>&lt;LOQ (197-5-К/26)</t>
        </is>
      </c>
    </row>
    <row r="881">
      <c r="A881" s="256" t="inlineStr">
        <is>
          <t>CoQ-PP_26-039</t>
        </is>
      </c>
      <c r="B881" s="256" t="inlineStr">
        <is>
          <t>release</t>
        </is>
      </c>
      <c r="C881" s="256" t="inlineStr">
        <is>
          <t>CJ082501/2</t>
        </is>
      </c>
      <c r="D881" s="256" t="inlineStr">
        <is>
          <t>P060032</t>
        </is>
      </c>
      <c r="E881" s="256" t="inlineStr">
        <is>
          <t>Cap Junky</t>
        </is>
      </c>
      <c r="F881" s="256" t="inlineStr">
        <is>
          <t>06.06.2026</t>
        </is>
      </c>
      <c r="G881" s="256" t="inlineStr">
        <is>
          <t>6</t>
        </is>
      </c>
      <c r="H881" s="256" t="inlineStr">
        <is>
          <t>Total CBN</t>
        </is>
      </c>
      <c r="I881" s="256" t="inlineStr">
        <is>
          <t>HPLC — DAB 2018 monograph Cannabis flos, 2.2.29 · CBN + CBNA x 0.876 (CNP, before its Ph. Eur. 3028 accreditation)</t>
        </is>
      </c>
      <c r="J881" s="256" t="inlineStr">
        <is>
          <t>≤ 1.0%, w/w</t>
        </is>
      </c>
      <c r="K881" s="256" t="inlineStr">
        <is>
          <t>ND ᴰ</t>
        </is>
      </c>
      <c r="L881" s="256" t="inlineStr">
        <is>
          <t>ППК26003</t>
        </is>
      </c>
      <c r="M881" s="256" t="inlineStr">
        <is>
          <t>21.01.2026</t>
        </is>
      </c>
      <c r="N881" s="256" t="inlineStr">
        <is>
          <t>CNP</t>
        </is>
      </c>
      <c r="O881" s="256" t="inlineStr">
        <is>
          <t>08.01.2026</t>
        </is>
      </c>
      <c r="P881" s="256" t="inlineStr">
        <is>
          <t>covered</t>
        </is>
      </c>
      <c r="Q881" s="256" t="inlineStr"/>
      <c r="R881" s="256" t="inlineStr"/>
    </row>
    <row r="882">
      <c r="A882" s="256" t="inlineStr">
        <is>
          <t>CoQ-PP_26-039</t>
        </is>
      </c>
      <c r="B882" s="256" t="inlineStr">
        <is>
          <t>release</t>
        </is>
      </c>
      <c r="C882" s="256" t="inlineStr">
        <is>
          <t>CJ082501/2</t>
        </is>
      </c>
      <c r="D882" s="256" t="inlineStr">
        <is>
          <t>P060032</t>
        </is>
      </c>
      <c r="E882" s="256" t="inlineStr">
        <is>
          <t>Cap Junky</t>
        </is>
      </c>
      <c r="F882" s="256" t="inlineStr">
        <is>
          <t>06.06.2026</t>
        </is>
      </c>
      <c r="G882" s="256" t="inlineStr">
        <is>
          <t>7</t>
        </is>
      </c>
      <c r="H882" s="256" t="inlineStr">
        <is>
          <t>Foreign Matter</t>
        </is>
      </c>
      <c r="I882" s="256" t="inlineStr">
        <is>
          <t>Ph. Eur. 2.8.2 · In-house · интерна</t>
        </is>
      </c>
      <c r="J882" s="256" t="inlineStr">
        <is>
          <t>≤ 2.0% / 25–50 g · &lt; 1 cm leaves | листови, no seeds | без семки</t>
        </is>
      </c>
      <c r="K882" s="256" t="inlineStr">
        <is>
          <t>Conforms | Одговара</t>
        </is>
      </c>
      <c r="L882" s="256" t="inlineStr">
        <is>
          <t>iCoA-PP_26-038</t>
        </is>
      </c>
      <c r="M882" s="256" t="inlineStr">
        <is>
          <t>03.06.2026</t>
        </is>
      </c>
      <c r="N882" s="256" t="inlineStr">
        <is>
          <t>Purely Plant GmbH (in-house)</t>
        </is>
      </c>
      <c r="O882" s="256" t="inlineStr">
        <is>
          <t>—</t>
        </is>
      </c>
      <c r="P882" s="256" t="inlineStr">
        <is>
          <t>to be performed — see route</t>
        </is>
      </c>
      <c r="Q882" s="256" t="inlineStr">
        <is>
          <t>Purely Plant laboratory — iCoA covering Foreign matter</t>
        </is>
      </c>
      <c r="R882" s="256" t="inlineStr"/>
    </row>
    <row r="883">
      <c r="A883" s="256" t="inlineStr">
        <is>
          <t>CoQ-PP_26-039</t>
        </is>
      </c>
      <c r="B883" s="256" t="inlineStr">
        <is>
          <t>release</t>
        </is>
      </c>
      <c r="C883" s="256" t="inlineStr">
        <is>
          <t>CJ082501/2</t>
        </is>
      </c>
      <c r="D883" s="256" t="inlineStr">
        <is>
          <t>P060032</t>
        </is>
      </c>
      <c r="E883" s="256" t="inlineStr">
        <is>
          <t>Cap Junky</t>
        </is>
      </c>
      <c r="F883" s="256" t="inlineStr">
        <is>
          <t>06.06.2026</t>
        </is>
      </c>
      <c r="G883" s="256" t="inlineStr">
        <is>
          <t>8</t>
        </is>
      </c>
      <c r="H883" s="256" t="inlineStr">
        <is>
          <t>Loss on Drying</t>
        </is>
      </c>
      <c r="I883" s="256" t="inlineStr">
        <is>
          <t>DAB 2018 monograph Cannabis flos, 2.2.32 — loss on drying (CNP, before its Ph. Eur. 3028 accreditation)</t>
        </is>
      </c>
      <c r="J883" s="256" t="inlineStr">
        <is>
          <t>≤ 12.0%</t>
        </is>
      </c>
      <c r="K883" s="256" t="inlineStr">
        <is>
          <t>7.37</t>
        </is>
      </c>
      <c r="L883" s="256" t="inlineStr">
        <is>
          <t>ППК26003</t>
        </is>
      </c>
      <c r="M883" s="256" t="inlineStr">
        <is>
          <t>21.01.2026</t>
        </is>
      </c>
      <c r="N883" s="256" t="inlineStr">
        <is>
          <t>UKIM Faculty of Pharmacy — Center for Natural Products</t>
        </is>
      </c>
      <c r="O883" s="256" t="inlineStr">
        <is>
          <t>08.01.2026</t>
        </is>
      </c>
      <c r="P883" s="256" t="inlineStr">
        <is>
          <t>covered</t>
        </is>
      </c>
      <c r="Q883" s="256" t="inlineStr"/>
      <c r="R883" s="256" t="inlineStr"/>
    </row>
    <row r="884">
      <c r="A884" s="256" t="inlineStr">
        <is>
          <t>CoQ-PP_26-039</t>
        </is>
      </c>
      <c r="B884" s="256" t="inlineStr">
        <is>
          <t>release</t>
        </is>
      </c>
      <c r="C884" s="256" t="inlineStr">
        <is>
          <t>CJ082501/2</t>
        </is>
      </c>
      <c r="D884" s="256" t="inlineStr">
        <is>
          <t>P060032</t>
        </is>
      </c>
      <c r="E884" s="256" t="inlineStr">
        <is>
          <t>Cap Junky</t>
        </is>
      </c>
      <c r="F884" s="256" t="inlineStr">
        <is>
          <t>06.06.2026</t>
        </is>
      </c>
      <c r="G884" s="256" t="inlineStr">
        <is>
          <t>9.1</t>
        </is>
      </c>
      <c r="H884" s="256" t="inlineStr">
        <is>
          <t>TAMC</t>
        </is>
      </c>
      <c r="I884" s="256" t="inlineStr">
        <is>
          <t>Ph. Eur. 2.6.12 cat. C</t>
        </is>
      </c>
      <c r="J884" s="256" t="inlineStr">
        <is>
          <t>≤ 10⁵ CFU/g</t>
        </is>
      </c>
      <c r="K884" s="256" t="inlineStr">
        <is>
          <t>9.5 × 10²</t>
        </is>
      </c>
      <c r="L884" s="256" t="inlineStr">
        <is>
          <t>4/0007/26</t>
        </is>
      </c>
      <c r="M884" s="256" t="inlineStr">
        <is>
          <t>20.01.2026</t>
        </is>
      </c>
      <c r="N884" s="256" t="inlineStr">
        <is>
          <t>IPH — Institute of Public Health</t>
        </is>
      </c>
      <c r="O884" s="256" t="inlineStr">
        <is>
          <t>12.01.2025</t>
        </is>
      </c>
      <c r="P884" s="256" t="inlineStr">
        <is>
          <t>covered</t>
        </is>
      </c>
      <c r="Q884" s="256" t="inlineStr"/>
      <c r="R884" s="256" t="inlineStr"/>
    </row>
    <row r="885">
      <c r="A885" s="256" t="inlineStr">
        <is>
          <t>CoQ-PP_26-039</t>
        </is>
      </c>
      <c r="B885" s="256" t="inlineStr">
        <is>
          <t>release</t>
        </is>
      </c>
      <c r="C885" s="256" t="inlineStr">
        <is>
          <t>CJ082501/2</t>
        </is>
      </c>
      <c r="D885" s="256" t="inlineStr">
        <is>
          <t>P060032</t>
        </is>
      </c>
      <c r="E885" s="256" t="inlineStr">
        <is>
          <t>Cap Junky</t>
        </is>
      </c>
      <c r="F885" s="256" t="inlineStr">
        <is>
          <t>06.06.2026</t>
        </is>
      </c>
      <c r="G885" s="256" t="inlineStr">
        <is>
          <t>9.2</t>
        </is>
      </c>
      <c r="H885" s="256" t="inlineStr">
        <is>
          <t>TYMC</t>
        </is>
      </c>
      <c r="I885" s="256" t="inlineStr">
        <is>
          <t>Ph. Eur. 2.6.12 cat. C</t>
        </is>
      </c>
      <c r="J885" s="256" t="inlineStr">
        <is>
          <t>≤ 10⁴ CFU/g</t>
        </is>
      </c>
      <c r="K885" s="256" t="inlineStr">
        <is>
          <t>1.2 × 10³</t>
        </is>
      </c>
      <c r="L885" s="256" t="inlineStr">
        <is>
          <t>4/0007/26</t>
        </is>
      </c>
      <c r="M885" s="256" t="inlineStr">
        <is>
          <t>20.01.2026</t>
        </is>
      </c>
      <c r="N885" s="256" t="inlineStr">
        <is>
          <t>IPH — Institute of Public Health</t>
        </is>
      </c>
      <c r="O885" s="256" t="inlineStr">
        <is>
          <t>12.01.2025</t>
        </is>
      </c>
      <c r="P885" s="256" t="inlineStr">
        <is>
          <t>covered</t>
        </is>
      </c>
      <c r="Q885" s="256" t="inlineStr"/>
      <c r="R885" s="256" t="inlineStr"/>
    </row>
    <row r="886">
      <c r="A886" s="256" t="inlineStr">
        <is>
          <t>CoQ-PP_26-039</t>
        </is>
      </c>
      <c r="B886" s="256" t="inlineStr">
        <is>
          <t>release</t>
        </is>
      </c>
      <c r="C886" s="256" t="inlineStr">
        <is>
          <t>CJ082501/2</t>
        </is>
      </c>
      <c r="D886" s="256" t="inlineStr">
        <is>
          <t>P060032</t>
        </is>
      </c>
      <c r="E886" s="256" t="inlineStr">
        <is>
          <t>Cap Junky</t>
        </is>
      </c>
      <c r="F886" s="256" t="inlineStr">
        <is>
          <t>06.06.2026</t>
        </is>
      </c>
      <c r="G886" s="256" t="inlineStr">
        <is>
          <t>9.3</t>
        </is>
      </c>
      <c r="H886" s="256" t="inlineStr">
        <is>
          <t>Bile-tolerant gram-neg.</t>
        </is>
      </c>
      <c r="I886" s="256" t="inlineStr">
        <is>
          <t>Ph. Eur. 2.6.31 cat. C</t>
        </is>
      </c>
      <c r="J886" s="256" t="inlineStr">
        <is>
          <t>≤ 10⁴ CFU/g</t>
        </is>
      </c>
      <c r="K886" s="256" t="inlineStr">
        <is>
          <t>&lt; 10</t>
        </is>
      </c>
      <c r="L886" s="256" t="inlineStr">
        <is>
          <t>4/0007/26</t>
        </is>
      </c>
      <c r="M886" s="256" t="inlineStr">
        <is>
          <t>20.01.2026</t>
        </is>
      </c>
      <c r="N886" s="256" t="inlineStr">
        <is>
          <t>IPH — Institute of Public Health</t>
        </is>
      </c>
      <c r="O886" s="256" t="inlineStr">
        <is>
          <t>12.01.2025</t>
        </is>
      </c>
      <c r="P886" s="256" t="inlineStr">
        <is>
          <t>covered</t>
        </is>
      </c>
      <c r="Q886" s="256" t="inlineStr"/>
      <c r="R886" s="256" t="inlineStr"/>
    </row>
    <row r="887">
      <c r="A887" s="256" t="inlineStr">
        <is>
          <t>CoQ-PP_26-039</t>
        </is>
      </c>
      <c r="B887" s="256" t="inlineStr">
        <is>
          <t>release</t>
        </is>
      </c>
      <c r="C887" s="256" t="inlineStr">
        <is>
          <t>CJ082501/2</t>
        </is>
      </c>
      <c r="D887" s="256" t="inlineStr">
        <is>
          <t>P060032</t>
        </is>
      </c>
      <c r="E887" s="256" t="inlineStr">
        <is>
          <t>Cap Junky</t>
        </is>
      </c>
      <c r="F887" s="256" t="inlineStr">
        <is>
          <t>06.06.2026</t>
        </is>
      </c>
      <c r="G887" s="256" t="inlineStr">
        <is>
          <t>9.4</t>
        </is>
      </c>
      <c r="H887" s="256" t="inlineStr">
        <is>
          <t>Salmonella</t>
        </is>
      </c>
      <c r="I887" s="256" t="inlineStr">
        <is>
          <t>Ph. Eur. 2.6.31 cat. C</t>
        </is>
      </c>
      <c r="J887" s="256" t="inlineStr">
        <is>
          <t>Absence | Отсуство / 25 g</t>
        </is>
      </c>
      <c r="K887" s="256" t="inlineStr">
        <is>
          <t>Absent | Отсутна</t>
        </is>
      </c>
      <c r="L887" s="256" t="inlineStr">
        <is>
          <t>4/0007/26</t>
        </is>
      </c>
      <c r="M887" s="256" t="inlineStr">
        <is>
          <t>20.01.2026</t>
        </is>
      </c>
      <c r="N887" s="256" t="inlineStr">
        <is>
          <t>IPH — Institute of Public Health</t>
        </is>
      </c>
      <c r="O887" s="256" t="inlineStr">
        <is>
          <t>12.01.2025</t>
        </is>
      </c>
      <c r="P887" s="256" t="inlineStr">
        <is>
          <t>covered</t>
        </is>
      </c>
      <c r="Q887" s="256" t="inlineStr"/>
      <c r="R887" s="256" t="inlineStr"/>
    </row>
    <row r="888">
      <c r="A888" s="256" t="inlineStr">
        <is>
          <t>CoQ-PP_26-039</t>
        </is>
      </c>
      <c r="B888" s="256" t="inlineStr">
        <is>
          <t>release</t>
        </is>
      </c>
      <c r="C888" s="256" t="inlineStr">
        <is>
          <t>CJ082501/2</t>
        </is>
      </c>
      <c r="D888" s="256" t="inlineStr">
        <is>
          <t>P060032</t>
        </is>
      </c>
      <c r="E888" s="256" t="inlineStr">
        <is>
          <t>Cap Junky</t>
        </is>
      </c>
      <c r="F888" s="256" t="inlineStr">
        <is>
          <t>06.06.2026</t>
        </is>
      </c>
      <c r="G888" s="256" t="inlineStr">
        <is>
          <t>9.5</t>
        </is>
      </c>
      <c r="H888" s="256" t="inlineStr">
        <is>
          <t>Escherichia coli</t>
        </is>
      </c>
      <c r="I888" s="256" t="inlineStr">
        <is>
          <t>Ph. Eur. 2.6.13 cat. C</t>
        </is>
      </c>
      <c r="J888" s="256" t="inlineStr">
        <is>
          <t>Absence | Отсуство / 1 g</t>
        </is>
      </c>
      <c r="K888" s="256" t="inlineStr">
        <is>
          <t>Absent | Отсутна</t>
        </is>
      </c>
      <c r="L888" s="256" t="inlineStr">
        <is>
          <t>4/0007/26</t>
        </is>
      </c>
      <c r="M888" s="256" t="inlineStr">
        <is>
          <t>20.01.2026</t>
        </is>
      </c>
      <c r="N888" s="256" t="inlineStr">
        <is>
          <t>IPH — Institute of Public Health</t>
        </is>
      </c>
      <c r="O888" s="256" t="inlineStr">
        <is>
          <t>12.01.2025</t>
        </is>
      </c>
      <c r="P888" s="256" t="inlineStr">
        <is>
          <t>covered</t>
        </is>
      </c>
      <c r="Q888" s="256" t="inlineStr"/>
      <c r="R888" s="256" t="inlineStr"/>
    </row>
    <row r="889">
      <c r="A889" s="256" t="inlineStr">
        <is>
          <t>CoQ-PP_26-039</t>
        </is>
      </c>
      <c r="B889" s="256" t="inlineStr">
        <is>
          <t>release</t>
        </is>
      </c>
      <c r="C889" s="256" t="inlineStr">
        <is>
          <t>CJ082501/2</t>
        </is>
      </c>
      <c r="D889" s="256" t="inlineStr">
        <is>
          <t>P060032</t>
        </is>
      </c>
      <c r="E889" s="256" t="inlineStr">
        <is>
          <t>Cap Junky</t>
        </is>
      </c>
      <c r="F889" s="256" t="inlineStr">
        <is>
          <t>06.06.2026</t>
        </is>
      </c>
      <c r="G889" s="256" t="inlineStr">
        <is>
          <t>9.6</t>
        </is>
      </c>
      <c r="H889" s="256" t="inlineStr">
        <is>
          <t>Pseudomonas aeruginosa</t>
        </is>
      </c>
      <c r="I889" s="256" t="inlineStr">
        <is>
          <t>Ph. Eur. 2.6.13 cat. C</t>
        </is>
      </c>
      <c r="J889" s="256" t="inlineStr">
        <is>
          <t>Absence | Отсуство / 1 g</t>
        </is>
      </c>
      <c r="K889" s="260" t="inlineStr">
        <is>
          <t>upon request — not required for release</t>
        </is>
      </c>
      <c r="L889" s="256" t="inlineStr">
        <is>
          <t>—</t>
        </is>
      </c>
      <c r="M889" s="256" t="inlineStr">
        <is>
          <t>—</t>
        </is>
      </c>
      <c r="N889" s="256" t="inlineStr">
        <is>
          <t>—</t>
        </is>
      </c>
      <c r="O889" s="256" t="inlineStr">
        <is>
          <t>—</t>
        </is>
      </c>
      <c r="P889" s="256" t="inlineStr">
        <is>
          <t>upon request — not required for release</t>
        </is>
      </c>
      <c r="Q889" s="256" t="inlineStr"/>
      <c r="R889" s="256" t="inlineStr"/>
    </row>
    <row r="890">
      <c r="A890" s="256" t="inlineStr">
        <is>
          <t>CoQ-PP_26-039</t>
        </is>
      </c>
      <c r="B890" s="256" t="inlineStr">
        <is>
          <t>release</t>
        </is>
      </c>
      <c r="C890" s="256" t="inlineStr">
        <is>
          <t>CJ082501/2</t>
        </is>
      </c>
      <c r="D890" s="256" t="inlineStr">
        <is>
          <t>P060032</t>
        </is>
      </c>
      <c r="E890" s="256" t="inlineStr">
        <is>
          <t>Cap Junky</t>
        </is>
      </c>
      <c r="F890" s="256" t="inlineStr">
        <is>
          <t>06.06.2026</t>
        </is>
      </c>
      <c r="G890" s="256" t="inlineStr">
        <is>
          <t>9.7</t>
        </is>
      </c>
      <c r="H890" s="256" t="inlineStr">
        <is>
          <t>Staphylococcus aureus</t>
        </is>
      </c>
      <c r="I890" s="256" t="inlineStr">
        <is>
          <t>Ph. Eur. 2.6.13 cat. C</t>
        </is>
      </c>
      <c r="J890" s="256" t="inlineStr">
        <is>
          <t>Absence | Отсуство / 1 g</t>
        </is>
      </c>
      <c r="K890" s="260" t="inlineStr">
        <is>
          <t>upon request — not required for release</t>
        </is>
      </c>
      <c r="L890" s="256" t="inlineStr">
        <is>
          <t>—</t>
        </is>
      </c>
      <c r="M890" s="256" t="inlineStr">
        <is>
          <t>—</t>
        </is>
      </c>
      <c r="N890" s="256" t="inlineStr">
        <is>
          <t>—</t>
        </is>
      </c>
      <c r="O890" s="256" t="inlineStr">
        <is>
          <t>—</t>
        </is>
      </c>
      <c r="P890" s="256" t="inlineStr">
        <is>
          <t>upon request — not required for release</t>
        </is>
      </c>
      <c r="Q890" s="256" t="inlineStr"/>
      <c r="R890" s="256" t="inlineStr"/>
    </row>
    <row r="891">
      <c r="A891" s="256" t="inlineStr">
        <is>
          <t>CoQ-PP_26-039</t>
        </is>
      </c>
      <c r="B891" s="256" t="inlineStr">
        <is>
          <t>release</t>
        </is>
      </c>
      <c r="C891" s="256" t="inlineStr">
        <is>
          <t>CJ082501/2</t>
        </is>
      </c>
      <c r="D891" s="256" t="inlineStr">
        <is>
          <t>P060032</t>
        </is>
      </c>
      <c r="E891" s="256" t="inlineStr">
        <is>
          <t>Cap Junky</t>
        </is>
      </c>
      <c r="F891" s="256" t="inlineStr">
        <is>
          <t>06.06.2026</t>
        </is>
      </c>
      <c r="G891" s="256" t="inlineStr">
        <is>
          <t>10.1</t>
        </is>
      </c>
      <c r="H891" s="256" t="inlineStr">
        <is>
          <t>Aflatoxin B₁</t>
        </is>
      </c>
      <c r="I891" s="256" t="inlineStr">
        <is>
          <t>Ph. Eur. 2.8.18 (HPLC-FLD)</t>
        </is>
      </c>
      <c r="J891" s="256" t="inlineStr">
        <is>
          <t>≤ 2 µg/kg</t>
        </is>
      </c>
      <c r="K891" s="259" t="inlineStr">
        <is>
          <t>not tested</t>
        </is>
      </c>
      <c r="L891" s="256" t="inlineStr">
        <is>
          <t>—</t>
        </is>
      </c>
      <c r="M891" s="256" t="inlineStr">
        <is>
          <t>—</t>
        </is>
      </c>
      <c r="N891" s="256" t="inlineStr">
        <is>
          <t>—</t>
        </is>
      </c>
      <c r="O891" s="256" t="inlineStr">
        <is>
          <t>—</t>
        </is>
      </c>
      <c r="P891" s="256" t="inlineStr">
        <is>
          <t>not tested — no certificate covers it</t>
        </is>
      </c>
      <c r="Q891" s="256" t="inlineStr"/>
      <c r="R891" s="256" t="inlineStr">
        <is>
          <t>ND (197-5-М/26)</t>
        </is>
      </c>
    </row>
    <row r="892">
      <c r="A892" s="256" t="inlineStr">
        <is>
          <t>CoQ-PP_26-039</t>
        </is>
      </c>
      <c r="B892" s="256" t="inlineStr">
        <is>
          <t>release</t>
        </is>
      </c>
      <c r="C892" s="256" t="inlineStr">
        <is>
          <t>CJ082501/2</t>
        </is>
      </c>
      <c r="D892" s="256" t="inlineStr">
        <is>
          <t>P060032</t>
        </is>
      </c>
      <c r="E892" s="256" t="inlineStr">
        <is>
          <t>Cap Junky</t>
        </is>
      </c>
      <c r="F892" s="256" t="inlineStr">
        <is>
          <t>06.06.2026</t>
        </is>
      </c>
      <c r="G892" s="256" t="inlineStr">
        <is>
          <t>10.2</t>
        </is>
      </c>
      <c r="H892" s="256" t="inlineStr">
        <is>
          <t>Aflatoxins ∑</t>
        </is>
      </c>
      <c r="I892" s="256" t="inlineStr">
        <is>
          <t>Ph. Eur. 2.8.18 (HPLC-FLD)</t>
        </is>
      </c>
      <c r="J892" s="256" t="inlineStr">
        <is>
          <t>≤ 4 µg/kg</t>
        </is>
      </c>
      <c r="K892" s="256" t="inlineStr">
        <is>
          <t>&lt; 2</t>
        </is>
      </c>
      <c r="L892" s="256" t="inlineStr">
        <is>
          <t>82/2026</t>
        </is>
      </c>
      <c r="M892" s="256" t="inlineStr">
        <is>
          <t>02.02.2026</t>
        </is>
      </c>
      <c r="N892" s="256" t="inlineStr">
        <is>
          <t>IPH — Institute of Public Health</t>
        </is>
      </c>
      <c r="O892" s="256" t="inlineStr">
        <is>
          <t>08.01.2026</t>
        </is>
      </c>
      <c r="P892" s="256" t="inlineStr">
        <is>
          <t>covered</t>
        </is>
      </c>
      <c r="Q892" s="256" t="inlineStr"/>
      <c r="R892" s="256" t="inlineStr">
        <is>
          <t>ND (197-5-М/26)</t>
        </is>
      </c>
    </row>
    <row r="893">
      <c r="A893" s="256" t="inlineStr">
        <is>
          <t>CoQ-PP_26-039</t>
        </is>
      </c>
      <c r="B893" s="256" t="inlineStr">
        <is>
          <t>release</t>
        </is>
      </c>
      <c r="C893" s="256" t="inlineStr">
        <is>
          <t>CJ082501/2</t>
        </is>
      </c>
      <c r="D893" s="256" t="inlineStr">
        <is>
          <t>P060032</t>
        </is>
      </c>
      <c r="E893" s="256" t="inlineStr">
        <is>
          <t>Cap Junky</t>
        </is>
      </c>
      <c r="F893" s="256" t="inlineStr">
        <is>
          <t>06.06.2026</t>
        </is>
      </c>
      <c r="G893" s="256" t="inlineStr">
        <is>
          <t>10.3</t>
        </is>
      </c>
      <c r="H893" s="256" t="inlineStr">
        <is>
          <t>Ochratoxin A</t>
        </is>
      </c>
      <c r="I893" s="256" t="inlineStr">
        <is>
          <t>Ph. Eur. 2.8.22 (HPLC-FLD)</t>
        </is>
      </c>
      <c r="J893" s="256" t="inlineStr">
        <is>
          <t>≤ 20 µg/kg</t>
        </is>
      </c>
      <c r="K893" s="259" t="inlineStr">
        <is>
          <t>not tested</t>
        </is>
      </c>
      <c r="L893" s="256" t="inlineStr">
        <is>
          <t>—</t>
        </is>
      </c>
      <c r="M893" s="256" t="inlineStr">
        <is>
          <t>—</t>
        </is>
      </c>
      <c r="N893" s="256" t="inlineStr">
        <is>
          <t>—</t>
        </is>
      </c>
      <c r="O893" s="256" t="inlineStr">
        <is>
          <t>—</t>
        </is>
      </c>
      <c r="P893" s="256" t="inlineStr">
        <is>
          <t>not tested — no certificate covers it</t>
        </is>
      </c>
      <c r="Q893" s="256" t="inlineStr"/>
      <c r="R893" s="256" t="inlineStr">
        <is>
          <t>ND (197-5-М/26)</t>
        </is>
      </c>
    </row>
    <row r="894">
      <c r="A894" s="256" t="inlineStr">
        <is>
          <t>CoQ-PP_26-039</t>
        </is>
      </c>
      <c r="B894" s="256" t="inlineStr">
        <is>
          <t>release</t>
        </is>
      </c>
      <c r="C894" s="256" t="inlineStr">
        <is>
          <t>CJ082501/2</t>
        </is>
      </c>
      <c r="D894" s="256" t="inlineStr">
        <is>
          <t>P060032</t>
        </is>
      </c>
      <c r="E894" s="256" t="inlineStr">
        <is>
          <t>Cap Junky</t>
        </is>
      </c>
      <c r="F894" s="256" t="inlineStr">
        <is>
          <t>06.06.2026</t>
        </is>
      </c>
      <c r="G894" s="256" t="inlineStr">
        <is>
          <t>11.1</t>
        </is>
      </c>
      <c r="H894" s="256" t="inlineStr">
        <is>
          <t>Lead (Pb)</t>
        </is>
      </c>
      <c r="I894" s="256" t="inlineStr">
        <is>
          <t>Ph. Eur. 2.4.27 (ICP-MS)</t>
        </is>
      </c>
      <c r="J894" s="256" t="inlineStr">
        <is>
          <t>≤ 0.5 mg/kg</t>
        </is>
      </c>
      <c r="K894" s="256" t="inlineStr">
        <is>
          <t>0.073</t>
        </is>
      </c>
      <c r="L894" s="256" t="inlineStr">
        <is>
          <t>82/2026</t>
        </is>
      </c>
      <c r="M894" s="256" t="inlineStr">
        <is>
          <t>02.02.2026</t>
        </is>
      </c>
      <c r="N894" s="256" t="inlineStr">
        <is>
          <t>IPH — Institute of Public Health</t>
        </is>
      </c>
      <c r="O894" s="256" t="inlineStr">
        <is>
          <t>08.01.2026</t>
        </is>
      </c>
      <c r="P894" s="256" t="inlineStr">
        <is>
          <t>covered</t>
        </is>
      </c>
      <c r="Q894" s="256" t="inlineStr"/>
      <c r="R894" s="256" t="inlineStr"/>
    </row>
    <row r="895">
      <c r="A895" s="256" t="inlineStr">
        <is>
          <t>CoQ-PP_26-039</t>
        </is>
      </c>
      <c r="B895" s="256" t="inlineStr">
        <is>
          <t>release</t>
        </is>
      </c>
      <c r="C895" s="256" t="inlineStr">
        <is>
          <t>CJ082501/2</t>
        </is>
      </c>
      <c r="D895" s="256" t="inlineStr">
        <is>
          <t>P060032</t>
        </is>
      </c>
      <c r="E895" s="256" t="inlineStr">
        <is>
          <t>Cap Junky</t>
        </is>
      </c>
      <c r="F895" s="256" t="inlineStr">
        <is>
          <t>06.06.2026</t>
        </is>
      </c>
      <c r="G895" s="256" t="inlineStr">
        <is>
          <t>11.2</t>
        </is>
      </c>
      <c r="H895" s="256" t="inlineStr">
        <is>
          <t>Cadmium (Cd)</t>
        </is>
      </c>
      <c r="I895" s="256" t="inlineStr">
        <is>
          <t>Ph. Eur. 2.4.27 (ICP-MS)</t>
        </is>
      </c>
      <c r="J895" s="256" t="inlineStr">
        <is>
          <t>≤ 0.3 mg/kg</t>
        </is>
      </c>
      <c r="K895" s="256" t="inlineStr">
        <is>
          <t>ND</t>
        </is>
      </c>
      <c r="L895" s="256" t="inlineStr">
        <is>
          <t>82/2026</t>
        </is>
      </c>
      <c r="M895" s="256" t="inlineStr">
        <is>
          <t>02.02.2026</t>
        </is>
      </c>
      <c r="N895" s="256" t="inlineStr">
        <is>
          <t>IPH — Institute of Public Health</t>
        </is>
      </c>
      <c r="O895" s="256" t="inlineStr">
        <is>
          <t>08.01.2026</t>
        </is>
      </c>
      <c r="P895" s="256" t="inlineStr">
        <is>
          <t>covered</t>
        </is>
      </c>
      <c r="Q895" s="256" t="inlineStr"/>
      <c r="R895" s="256" t="inlineStr"/>
    </row>
    <row r="896">
      <c r="A896" s="256" t="inlineStr">
        <is>
          <t>CoQ-PP_26-039</t>
        </is>
      </c>
      <c r="B896" s="256" t="inlineStr">
        <is>
          <t>release</t>
        </is>
      </c>
      <c r="C896" s="256" t="inlineStr">
        <is>
          <t>CJ082501/2</t>
        </is>
      </c>
      <c r="D896" s="256" t="inlineStr">
        <is>
          <t>P060032</t>
        </is>
      </c>
      <c r="E896" s="256" t="inlineStr">
        <is>
          <t>Cap Junky</t>
        </is>
      </c>
      <c r="F896" s="256" t="inlineStr">
        <is>
          <t>06.06.2026</t>
        </is>
      </c>
      <c r="G896" s="256" t="inlineStr">
        <is>
          <t>11.3</t>
        </is>
      </c>
      <c r="H896" s="256" t="inlineStr">
        <is>
          <t>Arsenic (As)</t>
        </is>
      </c>
      <c r="I896" s="256" t="inlineStr">
        <is>
          <t>Ph. Eur. 2.4.27 (ICP-MS)</t>
        </is>
      </c>
      <c r="J896" s="256" t="inlineStr">
        <is>
          <t>≤ 0.2 mg/kg</t>
        </is>
      </c>
      <c r="K896" s="256" t="inlineStr">
        <is>
          <t>ND</t>
        </is>
      </c>
      <c r="L896" s="256" t="inlineStr">
        <is>
          <t>82/2026</t>
        </is>
      </c>
      <c r="M896" s="256" t="inlineStr">
        <is>
          <t>02.02.2026</t>
        </is>
      </c>
      <c r="N896" s="256" t="inlineStr">
        <is>
          <t>IPH — Institute of Public Health</t>
        </is>
      </c>
      <c r="O896" s="256" t="inlineStr">
        <is>
          <t>08.01.2026</t>
        </is>
      </c>
      <c r="P896" s="256" t="inlineStr">
        <is>
          <t>covered</t>
        </is>
      </c>
      <c r="Q896" s="256" t="inlineStr"/>
      <c r="R896" s="256" t="inlineStr"/>
    </row>
    <row r="897">
      <c r="A897" s="256" t="inlineStr">
        <is>
          <t>CoQ-PP_26-039</t>
        </is>
      </c>
      <c r="B897" s="256" t="inlineStr">
        <is>
          <t>release</t>
        </is>
      </c>
      <c r="C897" s="256" t="inlineStr">
        <is>
          <t>CJ082501/2</t>
        </is>
      </c>
      <c r="D897" s="256" t="inlineStr">
        <is>
          <t>P060032</t>
        </is>
      </c>
      <c r="E897" s="256" t="inlineStr">
        <is>
          <t>Cap Junky</t>
        </is>
      </c>
      <c r="F897" s="256" t="inlineStr">
        <is>
          <t>06.06.2026</t>
        </is>
      </c>
      <c r="G897" s="256" t="inlineStr">
        <is>
          <t>11.4</t>
        </is>
      </c>
      <c r="H897" s="256" t="inlineStr">
        <is>
          <t>Mercury (Hg)</t>
        </is>
      </c>
      <c r="I897" s="256" t="inlineStr">
        <is>
          <t>Ph. Eur. 2.4.27 (ICP-MS)</t>
        </is>
      </c>
      <c r="J897" s="256" t="inlineStr">
        <is>
          <t>≤ 0.1 mg/kg</t>
        </is>
      </c>
      <c r="K897" s="256" t="inlineStr">
        <is>
          <t>ND</t>
        </is>
      </c>
      <c r="L897" s="256" t="inlineStr">
        <is>
          <t>82/2026</t>
        </is>
      </c>
      <c r="M897" s="256" t="inlineStr">
        <is>
          <t>02.02.2026</t>
        </is>
      </c>
      <c r="N897" s="256" t="inlineStr">
        <is>
          <t>IPH — Institute of Public Health</t>
        </is>
      </c>
      <c r="O897" s="256" t="inlineStr">
        <is>
          <t>08.01.2026</t>
        </is>
      </c>
      <c r="P897" s="256" t="inlineStr">
        <is>
          <t>covered</t>
        </is>
      </c>
      <c r="Q897" s="256" t="inlineStr"/>
      <c r="R897" s="256" t="inlineStr"/>
    </row>
    <row r="898">
      <c r="A898" s="256" t="inlineStr">
        <is>
          <t>CoQ-PP_26-039</t>
        </is>
      </c>
      <c r="B898" s="256" t="inlineStr">
        <is>
          <t>release</t>
        </is>
      </c>
      <c r="C898" s="256" t="inlineStr">
        <is>
          <t>CJ082501/2</t>
        </is>
      </c>
      <c r="D898" s="256" t="inlineStr">
        <is>
          <t>P060032</t>
        </is>
      </c>
      <c r="E898" s="256" t="inlineStr">
        <is>
          <t>Cap Junky</t>
        </is>
      </c>
      <c r="F898" s="256" t="inlineStr">
        <is>
          <t>06.06.2026</t>
        </is>
      </c>
      <c r="G898" s="256" t="inlineStr">
        <is>
          <t>12</t>
        </is>
      </c>
      <c r="H898" s="256" t="inlineStr">
        <is>
          <t>Pesticide Residues</t>
        </is>
      </c>
      <c r="I898" s="256" t="inlineStr">
        <is>
          <t>Ph. Eur. 2.8.13 (LC-MS/MS) · CUMCS Equivalency</t>
        </is>
      </c>
      <c r="J898" s="256" t="inlineStr">
        <is>
          <t>≤ LOQ as per Ph. Eur. 2.8.13 · ≤ LOQ as per CUMCS Equivalency</t>
        </is>
      </c>
      <c r="K898" s="256" t="inlineStr">
        <is>
          <t>ND</t>
        </is>
      </c>
      <c r="L898" s="256" t="inlineStr">
        <is>
          <t>82/2026</t>
        </is>
      </c>
      <c r="M898" s="256" t="inlineStr">
        <is>
          <t>02.02.2026</t>
        </is>
      </c>
      <c r="N898" s="256" t="inlineStr">
        <is>
          <t>IPH — Institute of Public Health</t>
        </is>
      </c>
      <c r="O898" s="256" t="inlineStr">
        <is>
          <t>08.01.2026</t>
        </is>
      </c>
      <c r="P898" s="256" t="inlineStr">
        <is>
          <t>covered</t>
        </is>
      </c>
      <c r="Q898" s="256" t="inlineStr"/>
      <c r="R898" s="256" t="inlineStr"/>
    </row>
    <row r="899">
      <c r="A899" s="256" t="inlineStr">
        <is>
          <t>CoQ-PP_26-040</t>
        </is>
      </c>
      <c r="B899" s="256" t="inlineStr">
        <is>
          <t>release</t>
        </is>
      </c>
      <c r="C899" s="256" t="inlineStr">
        <is>
          <t>OPM092501</t>
        </is>
      </c>
      <c r="D899" s="256" t="inlineStr">
        <is>
          <t>P060042</t>
        </is>
      </c>
      <c r="E899" s="256" t="inlineStr">
        <is>
          <t>Orange Punch Mimosa</t>
        </is>
      </c>
      <c r="F899" s="256" t="inlineStr">
        <is>
          <t>06.06.2026</t>
        </is>
      </c>
      <c r="G899" s="256" t="inlineStr">
        <is>
          <t>1</t>
        </is>
      </c>
      <c r="H899" s="256" t="inlineStr">
        <is>
          <t>Identification A, Appearance · Macroscopic</t>
        </is>
      </c>
      <c r="I899" s="256" t="inlineStr">
        <is>
          <t>Ph. Eur. mon. 3028</t>
        </is>
      </c>
      <c r="J899" s="256" t="inlineStr">
        <is>
          <t>Conforms to the monograph for Cannabis flos (07/2024:3028) in Ph. Eur. 11.0 | Согласно монографија за Cannabis flos (07/2024:3028) во Ph. Eur. 11.0</t>
        </is>
      </c>
      <c r="K899" s="256" t="inlineStr">
        <is>
          <t>Conforms | Одговара</t>
        </is>
      </c>
      <c r="L899" s="256" t="inlineStr">
        <is>
          <t>iCoA-PP_26-039</t>
        </is>
      </c>
      <c r="M899" s="256" t="inlineStr">
        <is>
          <t>03.06.2026</t>
        </is>
      </c>
      <c r="N899" s="256" t="inlineStr">
        <is>
          <t>Purely Plant GmbH (in-house)</t>
        </is>
      </c>
      <c r="O899" s="256" t="inlineStr">
        <is>
          <t>—</t>
        </is>
      </c>
      <c r="P899" s="256" t="inlineStr">
        <is>
          <t>to be performed — see route</t>
        </is>
      </c>
      <c r="Q899" s="256" t="inlineStr">
        <is>
          <t>Purely Plant laboratory — iCoA covering Ident A + B</t>
        </is>
      </c>
      <c r="R899" s="256" t="inlineStr"/>
    </row>
    <row r="900">
      <c r="A900" s="256" t="inlineStr">
        <is>
          <t>CoQ-PP_26-040</t>
        </is>
      </c>
      <c r="B900" s="256" t="inlineStr">
        <is>
          <t>release</t>
        </is>
      </c>
      <c r="C900" s="256" t="inlineStr">
        <is>
          <t>OPM092501</t>
        </is>
      </c>
      <c r="D900" s="256" t="inlineStr">
        <is>
          <t>P060042</t>
        </is>
      </c>
      <c r="E900" s="256" t="inlineStr">
        <is>
          <t>Orange Punch Mimosa</t>
        </is>
      </c>
      <c r="F900" s="256" t="inlineStr">
        <is>
          <t>06.06.2026</t>
        </is>
      </c>
      <c r="G900" s="256" t="inlineStr">
        <is>
          <t>2</t>
        </is>
      </c>
      <c r="H900" s="256" t="inlineStr">
        <is>
          <t>Identification B · Microscopic</t>
        </is>
      </c>
      <c r="I900" s="256" t="inlineStr">
        <is>
          <t>Ph. Eur. 2.8.23 (microscopy)</t>
        </is>
      </c>
      <c r="J900" s="256" t="inlineStr">
        <is>
          <t>Conforms to the monograph for Cannabis flos (07/2024:3028) in Ph. Eur. 11.0 | Согласно монографија за Cannabis flos (07/2024:3028) во Ph. Eur. 11.0</t>
        </is>
      </c>
      <c r="K900" s="256" t="inlineStr">
        <is>
          <t>Conforms | Одговара</t>
        </is>
      </c>
      <c r="L900" s="256" t="inlineStr">
        <is>
          <t>iCoA-PP_26-039</t>
        </is>
      </c>
      <c r="M900" s="256" t="inlineStr">
        <is>
          <t>03.06.2026</t>
        </is>
      </c>
      <c r="N900" s="256" t="inlineStr">
        <is>
          <t>Purely Plant GmbH (in-house)</t>
        </is>
      </c>
      <c r="O900" s="256" t="inlineStr">
        <is>
          <t>—</t>
        </is>
      </c>
      <c r="P900" s="256" t="inlineStr">
        <is>
          <t>to be performed — see route</t>
        </is>
      </c>
      <c r="Q900" s="256" t="inlineStr">
        <is>
          <t>Purely Plant laboratory — iCoA covering Ident A + B</t>
        </is>
      </c>
      <c r="R900" s="256" t="inlineStr"/>
    </row>
    <row r="901">
      <c r="A901" s="256" t="inlineStr">
        <is>
          <t>CoQ-PP_26-040</t>
        </is>
      </c>
      <c r="B901" s="256" t="inlineStr">
        <is>
          <t>release</t>
        </is>
      </c>
      <c r="C901" s="256" t="inlineStr">
        <is>
          <t>OPM092501</t>
        </is>
      </c>
      <c r="D901" s="256" t="inlineStr">
        <is>
          <t>P060042</t>
        </is>
      </c>
      <c r="E901" s="256" t="inlineStr">
        <is>
          <t>Orange Punch Mimosa</t>
        </is>
      </c>
      <c r="F901" s="256" t="inlineStr">
        <is>
          <t>06.06.2026</t>
        </is>
      </c>
      <c r="G901" s="256" t="inlineStr">
        <is>
          <t>3</t>
        </is>
      </c>
      <c r="H901" s="256" t="inlineStr">
        <is>
          <t>Identification C · HPLC/HPTLC</t>
        </is>
      </c>
      <c r="I901" s="256" t="inlineStr">
        <is>
          <t>HPLC — DAB 2018 monograph Cannabis flos, 2.2.29 (CNP, before its Ph. Eur. 3028 accreditation)</t>
        </is>
      </c>
      <c r="J901" s="256" t="inlineStr">
        <is>
          <t>Conforms to the monograph for Cannabis flos (07/2024:3028) in Ph. Eur. 11.0 | Согласно монографија за Cannabis flos (07/2024:3028) во Ph. Eur. 11.0</t>
        </is>
      </c>
      <c r="K901" s="256" t="inlineStr">
        <is>
          <t>Conforms | Одговара</t>
        </is>
      </c>
      <c r="L901" s="256" t="inlineStr">
        <is>
          <t>ППК26008</t>
        </is>
      </c>
      <c r="M901" s="256" t="inlineStr">
        <is>
          <t>21.01.2026</t>
        </is>
      </c>
      <c r="N901" s="256" t="inlineStr">
        <is>
          <t>UKIM Faculty of Pharmacy — Center for Natural Products</t>
        </is>
      </c>
      <c r="O901" s="256" t="inlineStr">
        <is>
          <t>08.01.2026</t>
        </is>
      </c>
      <c r="P901" s="256" t="inlineStr">
        <is>
          <t>covered</t>
        </is>
      </c>
      <c r="Q901" s="256" t="inlineStr"/>
      <c r="R901" s="256" t="inlineStr"/>
    </row>
    <row r="902">
      <c r="A902" s="256" t="inlineStr">
        <is>
          <t>CoQ-PP_26-040</t>
        </is>
      </c>
      <c r="B902" s="256" t="inlineStr">
        <is>
          <t>release</t>
        </is>
      </c>
      <c r="C902" s="256" t="inlineStr">
        <is>
          <t>OPM092501</t>
        </is>
      </c>
      <c r="D902" s="256" t="inlineStr">
        <is>
          <t>P060042</t>
        </is>
      </c>
      <c r="E902" s="256" t="inlineStr">
        <is>
          <t>Orange Punch Mimosa</t>
        </is>
      </c>
      <c r="F902" s="256" t="inlineStr">
        <is>
          <t>06.06.2026</t>
        </is>
      </c>
      <c r="G902" s="256" t="inlineStr">
        <is>
          <t>4</t>
        </is>
      </c>
      <c r="H902" s="256" t="inlineStr">
        <is>
          <t>Assay — Total Δ⁹-THC</t>
        </is>
      </c>
      <c r="I902" s="256" t="inlineStr">
        <is>
          <t>HPLC — DAB 2018 monograph Cannabis flos, 2.2.29 (CNP, before its Ph. Eur. 3028 accreditation)</t>
        </is>
      </c>
      <c r="J902" s="256" t="inlineStr">
        <is>
          <t>9.00 – 10.99 %  (grade IV, nominal 10.00 ± 1.00)</t>
        </is>
      </c>
      <c r="K902" s="256" t="inlineStr">
        <is>
          <t>9.43</t>
        </is>
      </c>
      <c r="L902" s="256" t="inlineStr">
        <is>
          <t>ППК26008</t>
        </is>
      </c>
      <c r="M902" s="256" t="inlineStr">
        <is>
          <t>21.01.2026</t>
        </is>
      </c>
      <c r="N902" s="256" t="inlineStr">
        <is>
          <t>UKIM Faculty of Pharmacy — Center for Natural Products</t>
        </is>
      </c>
      <c r="O902" s="256" t="inlineStr">
        <is>
          <t>08.01.2026</t>
        </is>
      </c>
      <c r="P902" s="256" t="inlineStr">
        <is>
          <t>covered</t>
        </is>
      </c>
      <c r="Q902" s="256" t="inlineStr"/>
      <c r="R902" s="256" t="inlineStr">
        <is>
          <t>10.18 (220-22-К/26)</t>
        </is>
      </c>
    </row>
    <row r="903">
      <c r="A903" s="256" t="inlineStr">
        <is>
          <t>CoQ-PP_26-040</t>
        </is>
      </c>
      <c r="B903" s="256" t="inlineStr">
        <is>
          <t>release</t>
        </is>
      </c>
      <c r="C903" s="256" t="inlineStr">
        <is>
          <t>OPM092501</t>
        </is>
      </c>
      <c r="D903" s="256" t="inlineStr">
        <is>
          <t>P060042</t>
        </is>
      </c>
      <c r="E903" s="256" t="inlineStr">
        <is>
          <t>Orange Punch Mimosa</t>
        </is>
      </c>
      <c r="F903" s="256" t="inlineStr">
        <is>
          <t>06.06.2026</t>
        </is>
      </c>
      <c r="G903" s="256" t="inlineStr">
        <is>
          <t>5</t>
        </is>
      </c>
      <c r="H903" s="256" t="inlineStr">
        <is>
          <t>Assay — Total CBD</t>
        </is>
      </c>
      <c r="I903" s="256" t="inlineStr">
        <is>
          <t>HPLC — DAB 2018 monograph Cannabis flos, 2.2.29 · CBD + CBDA x 0.877 (CNP, before its Ph. Eur. 3028 accreditation)</t>
        </is>
      </c>
      <c r="J903" s="256" t="inlineStr">
        <is>
          <t>≤ 1.0%, w/w</t>
        </is>
      </c>
      <c r="K903" s="256" t="inlineStr">
        <is>
          <t>0.04</t>
        </is>
      </c>
      <c r="L903" s="256" t="inlineStr">
        <is>
          <t>ППК26008</t>
        </is>
      </c>
      <c r="M903" s="256" t="inlineStr">
        <is>
          <t>21.01.2026</t>
        </is>
      </c>
      <c r="N903" s="256" t="inlineStr">
        <is>
          <t>UKIM Faculty of Pharmacy — Center for Natural Products</t>
        </is>
      </c>
      <c r="O903" s="256" t="inlineStr">
        <is>
          <t>08.01.2026</t>
        </is>
      </c>
      <c r="P903" s="256" t="inlineStr">
        <is>
          <t>covered</t>
        </is>
      </c>
      <c r="Q903" s="256" t="inlineStr"/>
      <c r="R903" s="256" t="inlineStr">
        <is>
          <t>&lt;LOQ (220-22-К/26)</t>
        </is>
      </c>
    </row>
    <row r="904">
      <c r="A904" s="256" t="inlineStr">
        <is>
          <t>CoQ-PP_26-040</t>
        </is>
      </c>
      <c r="B904" s="256" t="inlineStr">
        <is>
          <t>release</t>
        </is>
      </c>
      <c r="C904" s="256" t="inlineStr">
        <is>
          <t>OPM092501</t>
        </is>
      </c>
      <c r="D904" s="256" t="inlineStr">
        <is>
          <t>P060042</t>
        </is>
      </c>
      <c r="E904" s="256" t="inlineStr">
        <is>
          <t>Orange Punch Mimosa</t>
        </is>
      </c>
      <c r="F904" s="256" t="inlineStr">
        <is>
          <t>06.06.2026</t>
        </is>
      </c>
      <c r="G904" s="256" t="inlineStr">
        <is>
          <t>6</t>
        </is>
      </c>
      <c r="H904" s="256" t="inlineStr">
        <is>
          <t>Total CBN</t>
        </is>
      </c>
      <c r="I904" s="256" t="inlineStr">
        <is>
          <t>HPLC — DAB 2018 monograph Cannabis flos, 2.2.29 · CBN + CBNA x 0.876 (CNP, before its Ph. Eur. 3028 accreditation)</t>
        </is>
      </c>
      <c r="J904" s="256" t="inlineStr">
        <is>
          <t>≤ 1.0%, w/w</t>
        </is>
      </c>
      <c r="K904" s="256" t="inlineStr">
        <is>
          <t>ND ᴰ</t>
        </is>
      </c>
      <c r="L904" s="256" t="inlineStr">
        <is>
          <t>ППК26008</t>
        </is>
      </c>
      <c r="M904" s="256" t="inlineStr">
        <is>
          <t>21.01.2026</t>
        </is>
      </c>
      <c r="N904" s="256" t="inlineStr">
        <is>
          <t>CNP</t>
        </is>
      </c>
      <c r="O904" s="256" t="inlineStr">
        <is>
          <t>08.01.2026</t>
        </is>
      </c>
      <c r="P904" s="256" t="inlineStr">
        <is>
          <t>covered</t>
        </is>
      </c>
      <c r="Q904" s="256" t="inlineStr"/>
      <c r="R904" s="256" t="inlineStr"/>
    </row>
    <row r="905">
      <c r="A905" s="256" t="inlineStr">
        <is>
          <t>CoQ-PP_26-040</t>
        </is>
      </c>
      <c r="B905" s="256" t="inlineStr">
        <is>
          <t>release</t>
        </is>
      </c>
      <c r="C905" s="256" t="inlineStr">
        <is>
          <t>OPM092501</t>
        </is>
      </c>
      <c r="D905" s="256" t="inlineStr">
        <is>
          <t>P060042</t>
        </is>
      </c>
      <c r="E905" s="256" t="inlineStr">
        <is>
          <t>Orange Punch Mimosa</t>
        </is>
      </c>
      <c r="F905" s="256" t="inlineStr">
        <is>
          <t>06.06.2026</t>
        </is>
      </c>
      <c r="G905" s="256" t="inlineStr">
        <is>
          <t>7</t>
        </is>
      </c>
      <c r="H905" s="256" t="inlineStr">
        <is>
          <t>Foreign Matter</t>
        </is>
      </c>
      <c r="I905" s="256" t="inlineStr">
        <is>
          <t>Ph. Eur. 2.8.2 · In-house · интерна</t>
        </is>
      </c>
      <c r="J905" s="256" t="inlineStr">
        <is>
          <t>≤ 2.0% / 25–50 g · &lt; 1 cm leaves | листови, no seeds | без семки</t>
        </is>
      </c>
      <c r="K905" s="256" t="inlineStr">
        <is>
          <t>Conforms | Одговара</t>
        </is>
      </c>
      <c r="L905" s="256" t="inlineStr">
        <is>
          <t>iCoA-PP_26-039</t>
        </is>
      </c>
      <c r="M905" s="256" t="inlineStr">
        <is>
          <t>03.06.2026</t>
        </is>
      </c>
      <c r="N905" s="256" t="inlineStr">
        <is>
          <t>Purely Plant GmbH (in-house)</t>
        </is>
      </c>
      <c r="O905" s="256" t="inlineStr">
        <is>
          <t>—</t>
        </is>
      </c>
      <c r="P905" s="256" t="inlineStr">
        <is>
          <t>to be performed — see route</t>
        </is>
      </c>
      <c r="Q905" s="256" t="inlineStr">
        <is>
          <t>Purely Plant laboratory — iCoA covering Foreign matter</t>
        </is>
      </c>
      <c r="R905" s="256" t="inlineStr"/>
    </row>
    <row r="906">
      <c r="A906" s="256" t="inlineStr">
        <is>
          <t>CoQ-PP_26-040</t>
        </is>
      </c>
      <c r="B906" s="256" t="inlineStr">
        <is>
          <t>release</t>
        </is>
      </c>
      <c r="C906" s="256" t="inlineStr">
        <is>
          <t>OPM092501</t>
        </is>
      </c>
      <c r="D906" s="256" t="inlineStr">
        <is>
          <t>P060042</t>
        </is>
      </c>
      <c r="E906" s="256" t="inlineStr">
        <is>
          <t>Orange Punch Mimosa</t>
        </is>
      </c>
      <c r="F906" s="256" t="inlineStr">
        <is>
          <t>06.06.2026</t>
        </is>
      </c>
      <c r="G906" s="256" t="inlineStr">
        <is>
          <t>8</t>
        </is>
      </c>
      <c r="H906" s="256" t="inlineStr">
        <is>
          <t>Loss on Drying</t>
        </is>
      </c>
      <c r="I906" s="256" t="inlineStr">
        <is>
          <t>DAB 2018 monograph Cannabis flos, 2.2.32 — loss on drying (CNP, before its Ph. Eur. 3028 accreditation)</t>
        </is>
      </c>
      <c r="J906" s="256" t="inlineStr">
        <is>
          <t>≤ 12.0%</t>
        </is>
      </c>
      <c r="K906" s="256" t="inlineStr">
        <is>
          <t>7.85</t>
        </is>
      </c>
      <c r="L906" s="256" t="inlineStr">
        <is>
          <t>ППК26008</t>
        </is>
      </c>
      <c r="M906" s="256" t="inlineStr">
        <is>
          <t>21.01.2026</t>
        </is>
      </c>
      <c r="N906" s="256" t="inlineStr">
        <is>
          <t>UKIM Faculty of Pharmacy — Center for Natural Products</t>
        </is>
      </c>
      <c r="O906" s="256" t="inlineStr">
        <is>
          <t>08.01.2026</t>
        </is>
      </c>
      <c r="P906" s="256" t="inlineStr">
        <is>
          <t>covered</t>
        </is>
      </c>
      <c r="Q906" s="256" t="inlineStr"/>
      <c r="R906" s="256" t="inlineStr"/>
    </row>
    <row r="907">
      <c r="A907" s="256" t="inlineStr">
        <is>
          <t>CoQ-PP_26-040</t>
        </is>
      </c>
      <c r="B907" s="256" t="inlineStr">
        <is>
          <t>release</t>
        </is>
      </c>
      <c r="C907" s="256" t="inlineStr">
        <is>
          <t>OPM092501</t>
        </is>
      </c>
      <c r="D907" s="256" t="inlineStr">
        <is>
          <t>P060042</t>
        </is>
      </c>
      <c r="E907" s="256" t="inlineStr">
        <is>
          <t>Orange Punch Mimosa</t>
        </is>
      </c>
      <c r="F907" s="256" t="inlineStr">
        <is>
          <t>06.06.2026</t>
        </is>
      </c>
      <c r="G907" s="256" t="inlineStr">
        <is>
          <t>9.1</t>
        </is>
      </c>
      <c r="H907" s="256" t="inlineStr">
        <is>
          <t>TAMC</t>
        </is>
      </c>
      <c r="I907" s="256" t="inlineStr">
        <is>
          <t>Ph. Eur. 2.6.12 cat. C</t>
        </is>
      </c>
      <c r="J907" s="256" t="inlineStr">
        <is>
          <t>≤ 10⁵ CFU/g</t>
        </is>
      </c>
      <c r="K907" s="256" t="inlineStr">
        <is>
          <t>10</t>
        </is>
      </c>
      <c r="L907" s="256" t="inlineStr">
        <is>
          <t>2/0005/26</t>
        </is>
      </c>
      <c r="M907" s="256" t="inlineStr">
        <is>
          <t>20.01.2026</t>
        </is>
      </c>
      <c r="N907" s="256" t="inlineStr">
        <is>
          <t>IPH — Institute of Public Health</t>
        </is>
      </c>
      <c r="O907" s="256" t="inlineStr">
        <is>
          <t>12.01.2025</t>
        </is>
      </c>
      <c r="P907" s="256" t="inlineStr">
        <is>
          <t>covered</t>
        </is>
      </c>
      <c r="Q907" s="256" t="inlineStr"/>
      <c r="R907" s="256" t="inlineStr"/>
    </row>
    <row r="908">
      <c r="A908" s="256" t="inlineStr">
        <is>
          <t>CoQ-PP_26-040</t>
        </is>
      </c>
      <c r="B908" s="256" t="inlineStr">
        <is>
          <t>release</t>
        </is>
      </c>
      <c r="C908" s="256" t="inlineStr">
        <is>
          <t>OPM092501</t>
        </is>
      </c>
      <c r="D908" s="256" t="inlineStr">
        <is>
          <t>P060042</t>
        </is>
      </c>
      <c r="E908" s="256" t="inlineStr">
        <is>
          <t>Orange Punch Mimosa</t>
        </is>
      </c>
      <c r="F908" s="256" t="inlineStr">
        <is>
          <t>06.06.2026</t>
        </is>
      </c>
      <c r="G908" s="256" t="inlineStr">
        <is>
          <t>9.2</t>
        </is>
      </c>
      <c r="H908" s="256" t="inlineStr">
        <is>
          <t>TYMC</t>
        </is>
      </c>
      <c r="I908" s="256" t="inlineStr">
        <is>
          <t>Ph. Eur. 2.6.12 cat. C</t>
        </is>
      </c>
      <c r="J908" s="256" t="inlineStr">
        <is>
          <t>≤ 10⁴ CFU/g</t>
        </is>
      </c>
      <c r="K908" s="256" t="inlineStr">
        <is>
          <t>10</t>
        </is>
      </c>
      <c r="L908" s="256" t="inlineStr">
        <is>
          <t>2/0005/26</t>
        </is>
      </c>
      <c r="M908" s="256" t="inlineStr">
        <is>
          <t>20.01.2026</t>
        </is>
      </c>
      <c r="N908" s="256" t="inlineStr">
        <is>
          <t>IPH — Institute of Public Health</t>
        </is>
      </c>
      <c r="O908" s="256" t="inlineStr">
        <is>
          <t>12.01.2025</t>
        </is>
      </c>
      <c r="P908" s="256" t="inlineStr">
        <is>
          <t>covered</t>
        </is>
      </c>
      <c r="Q908" s="256" t="inlineStr"/>
      <c r="R908" s="256" t="inlineStr"/>
    </row>
    <row r="909">
      <c r="A909" s="256" t="inlineStr">
        <is>
          <t>CoQ-PP_26-040</t>
        </is>
      </c>
      <c r="B909" s="256" t="inlineStr">
        <is>
          <t>release</t>
        </is>
      </c>
      <c r="C909" s="256" t="inlineStr">
        <is>
          <t>OPM092501</t>
        </is>
      </c>
      <c r="D909" s="256" t="inlineStr">
        <is>
          <t>P060042</t>
        </is>
      </c>
      <c r="E909" s="256" t="inlineStr">
        <is>
          <t>Orange Punch Mimosa</t>
        </is>
      </c>
      <c r="F909" s="256" t="inlineStr">
        <is>
          <t>06.06.2026</t>
        </is>
      </c>
      <c r="G909" s="256" t="inlineStr">
        <is>
          <t>9.3</t>
        </is>
      </c>
      <c r="H909" s="256" t="inlineStr">
        <is>
          <t>Bile-tolerant gram-neg.</t>
        </is>
      </c>
      <c r="I909" s="256" t="inlineStr">
        <is>
          <t>Ph. Eur. 2.6.31 cat. C</t>
        </is>
      </c>
      <c r="J909" s="256" t="inlineStr">
        <is>
          <t>≤ 10⁴ CFU/g</t>
        </is>
      </c>
      <c r="K909" s="256" t="inlineStr">
        <is>
          <t>&lt; 10² and &gt; 10</t>
        </is>
      </c>
      <c r="L909" s="256" t="inlineStr">
        <is>
          <t>2/0005/26</t>
        </is>
      </c>
      <c r="M909" s="256" t="inlineStr">
        <is>
          <t>20.01.2026</t>
        </is>
      </c>
      <c r="N909" s="256" t="inlineStr">
        <is>
          <t>IPH — Institute of Public Health</t>
        </is>
      </c>
      <c r="O909" s="256" t="inlineStr">
        <is>
          <t>12.01.2025</t>
        </is>
      </c>
      <c r="P909" s="256" t="inlineStr">
        <is>
          <t>covered</t>
        </is>
      </c>
      <c r="Q909" s="256" t="inlineStr"/>
      <c r="R909" s="256" t="inlineStr"/>
    </row>
    <row r="910">
      <c r="A910" s="256" t="inlineStr">
        <is>
          <t>CoQ-PP_26-040</t>
        </is>
      </c>
      <c r="B910" s="256" t="inlineStr">
        <is>
          <t>release</t>
        </is>
      </c>
      <c r="C910" s="256" t="inlineStr">
        <is>
          <t>OPM092501</t>
        </is>
      </c>
      <c r="D910" s="256" t="inlineStr">
        <is>
          <t>P060042</t>
        </is>
      </c>
      <c r="E910" s="256" t="inlineStr">
        <is>
          <t>Orange Punch Mimosa</t>
        </is>
      </c>
      <c r="F910" s="256" t="inlineStr">
        <is>
          <t>06.06.2026</t>
        </is>
      </c>
      <c r="G910" s="256" t="inlineStr">
        <is>
          <t>9.4</t>
        </is>
      </c>
      <c r="H910" s="256" t="inlineStr">
        <is>
          <t>Salmonella</t>
        </is>
      </c>
      <c r="I910" s="256" t="inlineStr">
        <is>
          <t>Ph. Eur. 2.6.31 cat. C</t>
        </is>
      </c>
      <c r="J910" s="256" t="inlineStr">
        <is>
          <t>Absence | Отсуство / 25 g</t>
        </is>
      </c>
      <c r="K910" s="256" t="inlineStr">
        <is>
          <t>Absent | Отсутна</t>
        </is>
      </c>
      <c r="L910" s="256" t="inlineStr">
        <is>
          <t>2/0005/26</t>
        </is>
      </c>
      <c r="M910" s="256" t="inlineStr">
        <is>
          <t>20.01.2026</t>
        </is>
      </c>
      <c r="N910" s="256" t="inlineStr">
        <is>
          <t>IPH — Institute of Public Health</t>
        </is>
      </c>
      <c r="O910" s="256" t="inlineStr">
        <is>
          <t>12.01.2025</t>
        </is>
      </c>
      <c r="P910" s="256" t="inlineStr">
        <is>
          <t>covered</t>
        </is>
      </c>
      <c r="Q910" s="256" t="inlineStr"/>
      <c r="R910" s="256" t="inlineStr"/>
    </row>
    <row r="911">
      <c r="A911" s="256" t="inlineStr">
        <is>
          <t>CoQ-PP_26-040</t>
        </is>
      </c>
      <c r="B911" s="256" t="inlineStr">
        <is>
          <t>release</t>
        </is>
      </c>
      <c r="C911" s="256" t="inlineStr">
        <is>
          <t>OPM092501</t>
        </is>
      </c>
      <c r="D911" s="256" t="inlineStr">
        <is>
          <t>P060042</t>
        </is>
      </c>
      <c r="E911" s="256" t="inlineStr">
        <is>
          <t>Orange Punch Mimosa</t>
        </is>
      </c>
      <c r="F911" s="256" t="inlineStr">
        <is>
          <t>06.06.2026</t>
        </is>
      </c>
      <c r="G911" s="256" t="inlineStr">
        <is>
          <t>9.5</t>
        </is>
      </c>
      <c r="H911" s="256" t="inlineStr">
        <is>
          <t>Escherichia coli</t>
        </is>
      </c>
      <c r="I911" s="256" t="inlineStr">
        <is>
          <t>Ph. Eur. 2.6.13 cat. C</t>
        </is>
      </c>
      <c r="J911" s="256" t="inlineStr">
        <is>
          <t>Absence | Отсуство / 1 g</t>
        </is>
      </c>
      <c r="K911" s="256" t="inlineStr">
        <is>
          <t>Absent | Отсутна</t>
        </is>
      </c>
      <c r="L911" s="256" t="inlineStr">
        <is>
          <t>2/0005/26</t>
        </is>
      </c>
      <c r="M911" s="256" t="inlineStr">
        <is>
          <t>20.01.2026</t>
        </is>
      </c>
      <c r="N911" s="256" t="inlineStr">
        <is>
          <t>IPH — Institute of Public Health</t>
        </is>
      </c>
      <c r="O911" s="256" t="inlineStr">
        <is>
          <t>12.01.2025</t>
        </is>
      </c>
      <c r="P911" s="256" t="inlineStr">
        <is>
          <t>covered</t>
        </is>
      </c>
      <c r="Q911" s="256" t="inlineStr"/>
      <c r="R911" s="256" t="inlineStr"/>
    </row>
    <row r="912">
      <c r="A912" s="256" t="inlineStr">
        <is>
          <t>CoQ-PP_26-040</t>
        </is>
      </c>
      <c r="B912" s="256" t="inlineStr">
        <is>
          <t>release</t>
        </is>
      </c>
      <c r="C912" s="256" t="inlineStr">
        <is>
          <t>OPM092501</t>
        </is>
      </c>
      <c r="D912" s="256" t="inlineStr">
        <is>
          <t>P060042</t>
        </is>
      </c>
      <c r="E912" s="256" t="inlineStr">
        <is>
          <t>Orange Punch Mimosa</t>
        </is>
      </c>
      <c r="F912" s="256" t="inlineStr">
        <is>
          <t>06.06.2026</t>
        </is>
      </c>
      <c r="G912" s="256" t="inlineStr">
        <is>
          <t>9.6</t>
        </is>
      </c>
      <c r="H912" s="256" t="inlineStr">
        <is>
          <t>Pseudomonas aeruginosa</t>
        </is>
      </c>
      <c r="I912" s="256" t="inlineStr">
        <is>
          <t>Ph. Eur. 2.6.13 cat. C</t>
        </is>
      </c>
      <c r="J912" s="256" t="inlineStr">
        <is>
          <t>Absence | Отсуство / 1 g</t>
        </is>
      </c>
      <c r="K912" s="260" t="inlineStr">
        <is>
          <t>upon request — not required for release</t>
        </is>
      </c>
      <c r="L912" s="256" t="inlineStr">
        <is>
          <t>—</t>
        </is>
      </c>
      <c r="M912" s="256" t="inlineStr">
        <is>
          <t>—</t>
        </is>
      </c>
      <c r="N912" s="256" t="inlineStr">
        <is>
          <t>—</t>
        </is>
      </c>
      <c r="O912" s="256" t="inlineStr">
        <is>
          <t>—</t>
        </is>
      </c>
      <c r="P912" s="256" t="inlineStr">
        <is>
          <t>upon request — not required for release</t>
        </is>
      </c>
      <c r="Q912" s="256" t="inlineStr"/>
      <c r="R912" s="256" t="inlineStr"/>
    </row>
    <row r="913">
      <c r="A913" s="256" t="inlineStr">
        <is>
          <t>CoQ-PP_26-040</t>
        </is>
      </c>
      <c r="B913" s="256" t="inlineStr">
        <is>
          <t>release</t>
        </is>
      </c>
      <c r="C913" s="256" t="inlineStr">
        <is>
          <t>OPM092501</t>
        </is>
      </c>
      <c r="D913" s="256" t="inlineStr">
        <is>
          <t>P060042</t>
        </is>
      </c>
      <c r="E913" s="256" t="inlineStr">
        <is>
          <t>Orange Punch Mimosa</t>
        </is>
      </c>
      <c r="F913" s="256" t="inlineStr">
        <is>
          <t>06.06.2026</t>
        </is>
      </c>
      <c r="G913" s="256" t="inlineStr">
        <is>
          <t>9.7</t>
        </is>
      </c>
      <c r="H913" s="256" t="inlineStr">
        <is>
          <t>Staphylococcus aureus</t>
        </is>
      </c>
      <c r="I913" s="256" t="inlineStr">
        <is>
          <t>Ph. Eur. 2.6.13 cat. C</t>
        </is>
      </c>
      <c r="J913" s="256" t="inlineStr">
        <is>
          <t>Absence | Отсуство / 1 g</t>
        </is>
      </c>
      <c r="K913" s="260" t="inlineStr">
        <is>
          <t>upon request — not required for release</t>
        </is>
      </c>
      <c r="L913" s="256" t="inlineStr">
        <is>
          <t>—</t>
        </is>
      </c>
      <c r="M913" s="256" t="inlineStr">
        <is>
          <t>—</t>
        </is>
      </c>
      <c r="N913" s="256" t="inlineStr">
        <is>
          <t>—</t>
        </is>
      </c>
      <c r="O913" s="256" t="inlineStr">
        <is>
          <t>—</t>
        </is>
      </c>
      <c r="P913" s="256" t="inlineStr">
        <is>
          <t>upon request — not required for release</t>
        </is>
      </c>
      <c r="Q913" s="256" t="inlineStr"/>
      <c r="R913" s="256" t="inlineStr"/>
    </row>
    <row r="914">
      <c r="A914" s="256" t="inlineStr">
        <is>
          <t>CoQ-PP_26-040</t>
        </is>
      </c>
      <c r="B914" s="256" t="inlineStr">
        <is>
          <t>release</t>
        </is>
      </c>
      <c r="C914" s="256" t="inlineStr">
        <is>
          <t>OPM092501</t>
        </is>
      </c>
      <c r="D914" s="256" t="inlineStr">
        <is>
          <t>P060042</t>
        </is>
      </c>
      <c r="E914" s="256" t="inlineStr">
        <is>
          <t>Orange Punch Mimosa</t>
        </is>
      </c>
      <c r="F914" s="256" t="inlineStr">
        <is>
          <t>06.06.2026</t>
        </is>
      </c>
      <c r="G914" s="256" t="inlineStr">
        <is>
          <t>10.1</t>
        </is>
      </c>
      <c r="H914" s="256" t="inlineStr">
        <is>
          <t>Aflatoxin B₁</t>
        </is>
      </c>
      <c r="I914" s="256" t="inlineStr">
        <is>
          <t>Ph. Eur. 2.8.18 (HPLC-FLD)</t>
        </is>
      </c>
      <c r="J914" s="256" t="inlineStr">
        <is>
          <t>≤ 2 µg/kg</t>
        </is>
      </c>
      <c r="K914" s="259" t="inlineStr">
        <is>
          <t>not tested</t>
        </is>
      </c>
      <c r="L914" s="256" t="inlineStr">
        <is>
          <t>—</t>
        </is>
      </c>
      <c r="M914" s="256" t="inlineStr">
        <is>
          <t>—</t>
        </is>
      </c>
      <c r="N914" s="256" t="inlineStr">
        <is>
          <t>—</t>
        </is>
      </c>
      <c r="O914" s="256" t="inlineStr">
        <is>
          <t>—</t>
        </is>
      </c>
      <c r="P914" s="256" t="inlineStr">
        <is>
          <t>not tested — no certificate covers it</t>
        </is>
      </c>
      <c r="Q914" s="256" t="inlineStr"/>
      <c r="R914" s="256" t="inlineStr">
        <is>
          <t>ND (220-22-М/26)</t>
        </is>
      </c>
    </row>
    <row r="915">
      <c r="A915" s="256" t="inlineStr">
        <is>
          <t>CoQ-PP_26-040</t>
        </is>
      </c>
      <c r="B915" s="256" t="inlineStr">
        <is>
          <t>release</t>
        </is>
      </c>
      <c r="C915" s="256" t="inlineStr">
        <is>
          <t>OPM092501</t>
        </is>
      </c>
      <c r="D915" s="256" t="inlineStr">
        <is>
          <t>P060042</t>
        </is>
      </c>
      <c r="E915" s="256" t="inlineStr">
        <is>
          <t>Orange Punch Mimosa</t>
        </is>
      </c>
      <c r="F915" s="256" t="inlineStr">
        <is>
          <t>06.06.2026</t>
        </is>
      </c>
      <c r="G915" s="256" t="inlineStr">
        <is>
          <t>10.2</t>
        </is>
      </c>
      <c r="H915" s="256" t="inlineStr">
        <is>
          <t>Aflatoxins ∑</t>
        </is>
      </c>
      <c r="I915" s="256" t="inlineStr">
        <is>
          <t>Ph. Eur. 2.8.18 (HPLC-FLD)</t>
        </is>
      </c>
      <c r="J915" s="256" t="inlineStr">
        <is>
          <t>≤ 4 µg/kg</t>
        </is>
      </c>
      <c r="K915" s="256" t="inlineStr">
        <is>
          <t>2.2</t>
        </is>
      </c>
      <c r="L915" s="256" t="inlineStr">
        <is>
          <t>87/2026</t>
        </is>
      </c>
      <c r="M915" s="256" t="inlineStr">
        <is>
          <t>03.02.2026</t>
        </is>
      </c>
      <c r="N915" s="256" t="inlineStr">
        <is>
          <t>IPH — Institute of Public Health</t>
        </is>
      </c>
      <c r="O915" s="256" t="inlineStr">
        <is>
          <t>08.01.2026</t>
        </is>
      </c>
      <c r="P915" s="256" t="inlineStr">
        <is>
          <t>covered</t>
        </is>
      </c>
      <c r="Q915" s="256" t="inlineStr"/>
      <c r="R915" s="256" t="inlineStr">
        <is>
          <t>ND (220-22-М/26)</t>
        </is>
      </c>
    </row>
    <row r="916">
      <c r="A916" s="256" t="inlineStr">
        <is>
          <t>CoQ-PP_26-040</t>
        </is>
      </c>
      <c r="B916" s="256" t="inlineStr">
        <is>
          <t>release</t>
        </is>
      </c>
      <c r="C916" s="256" t="inlineStr">
        <is>
          <t>OPM092501</t>
        </is>
      </c>
      <c r="D916" s="256" t="inlineStr">
        <is>
          <t>P060042</t>
        </is>
      </c>
      <c r="E916" s="256" t="inlineStr">
        <is>
          <t>Orange Punch Mimosa</t>
        </is>
      </c>
      <c r="F916" s="256" t="inlineStr">
        <is>
          <t>06.06.2026</t>
        </is>
      </c>
      <c r="G916" s="256" t="inlineStr">
        <is>
          <t>10.3</t>
        </is>
      </c>
      <c r="H916" s="256" t="inlineStr">
        <is>
          <t>Ochratoxin A</t>
        </is>
      </c>
      <c r="I916" s="256" t="inlineStr">
        <is>
          <t>Ph. Eur. 2.8.22 (HPLC-FLD)</t>
        </is>
      </c>
      <c r="J916" s="256" t="inlineStr">
        <is>
          <t>≤ 20 µg/kg</t>
        </is>
      </c>
      <c r="K916" s="259" t="inlineStr">
        <is>
          <t>not tested</t>
        </is>
      </c>
      <c r="L916" s="256" t="inlineStr">
        <is>
          <t>—</t>
        </is>
      </c>
      <c r="M916" s="256" t="inlineStr">
        <is>
          <t>—</t>
        </is>
      </c>
      <c r="N916" s="256" t="inlineStr">
        <is>
          <t>—</t>
        </is>
      </c>
      <c r="O916" s="256" t="inlineStr">
        <is>
          <t>—</t>
        </is>
      </c>
      <c r="P916" s="256" t="inlineStr">
        <is>
          <t>not tested — no certificate covers it</t>
        </is>
      </c>
      <c r="Q916" s="256" t="inlineStr"/>
      <c r="R916" s="256" t="inlineStr">
        <is>
          <t>ND (220-22-М/26)</t>
        </is>
      </c>
    </row>
    <row r="917">
      <c r="A917" s="256" t="inlineStr">
        <is>
          <t>CoQ-PP_26-040</t>
        </is>
      </c>
      <c r="B917" s="256" t="inlineStr">
        <is>
          <t>release</t>
        </is>
      </c>
      <c r="C917" s="256" t="inlineStr">
        <is>
          <t>OPM092501</t>
        </is>
      </c>
      <c r="D917" s="256" t="inlineStr">
        <is>
          <t>P060042</t>
        </is>
      </c>
      <c r="E917" s="256" t="inlineStr">
        <is>
          <t>Orange Punch Mimosa</t>
        </is>
      </c>
      <c r="F917" s="256" t="inlineStr">
        <is>
          <t>06.06.2026</t>
        </is>
      </c>
      <c r="G917" s="256" t="inlineStr">
        <is>
          <t>11.1</t>
        </is>
      </c>
      <c r="H917" s="256" t="inlineStr">
        <is>
          <t>Lead (Pb)</t>
        </is>
      </c>
      <c r="I917" s="256" t="inlineStr">
        <is>
          <t>Ph. Eur. 2.4.27 (ICP-MS)</t>
        </is>
      </c>
      <c r="J917" s="256" t="inlineStr">
        <is>
          <t>≤ 0.5 mg/kg</t>
        </is>
      </c>
      <c r="K917" s="256" t="inlineStr">
        <is>
          <t>0.022</t>
        </is>
      </c>
      <c r="L917" s="256" t="inlineStr">
        <is>
          <t>87/2026</t>
        </is>
      </c>
      <c r="M917" s="256" t="inlineStr">
        <is>
          <t>03.02.2026</t>
        </is>
      </c>
      <c r="N917" s="256" t="inlineStr">
        <is>
          <t>IPH — Institute of Public Health</t>
        </is>
      </c>
      <c r="O917" s="256" t="inlineStr">
        <is>
          <t>08.01.2026</t>
        </is>
      </c>
      <c r="P917" s="256" t="inlineStr">
        <is>
          <t>covered</t>
        </is>
      </c>
      <c r="Q917" s="256" t="inlineStr"/>
      <c r="R917" s="256" t="inlineStr"/>
    </row>
    <row r="918">
      <c r="A918" s="256" t="inlineStr">
        <is>
          <t>CoQ-PP_26-040</t>
        </is>
      </c>
      <c r="B918" s="256" t="inlineStr">
        <is>
          <t>release</t>
        </is>
      </c>
      <c r="C918" s="256" t="inlineStr">
        <is>
          <t>OPM092501</t>
        </is>
      </c>
      <c r="D918" s="256" t="inlineStr">
        <is>
          <t>P060042</t>
        </is>
      </c>
      <c r="E918" s="256" t="inlineStr">
        <is>
          <t>Orange Punch Mimosa</t>
        </is>
      </c>
      <c r="F918" s="256" t="inlineStr">
        <is>
          <t>06.06.2026</t>
        </is>
      </c>
      <c r="G918" s="256" t="inlineStr">
        <is>
          <t>11.2</t>
        </is>
      </c>
      <c r="H918" s="256" t="inlineStr">
        <is>
          <t>Cadmium (Cd)</t>
        </is>
      </c>
      <c r="I918" s="256" t="inlineStr">
        <is>
          <t>Ph. Eur. 2.4.27 (ICP-MS)</t>
        </is>
      </c>
      <c r="J918" s="256" t="inlineStr">
        <is>
          <t>≤ 0.3 mg/kg</t>
        </is>
      </c>
      <c r="K918" s="256" t="inlineStr">
        <is>
          <t>ND</t>
        </is>
      </c>
      <c r="L918" s="256" t="inlineStr">
        <is>
          <t>87/2026</t>
        </is>
      </c>
      <c r="M918" s="256" t="inlineStr">
        <is>
          <t>03.02.2026</t>
        </is>
      </c>
      <c r="N918" s="256" t="inlineStr">
        <is>
          <t>IPH — Institute of Public Health</t>
        </is>
      </c>
      <c r="O918" s="256" t="inlineStr">
        <is>
          <t>08.01.2026</t>
        </is>
      </c>
      <c r="P918" s="256" t="inlineStr">
        <is>
          <t>covered</t>
        </is>
      </c>
      <c r="Q918" s="256" t="inlineStr"/>
      <c r="R918" s="256" t="inlineStr"/>
    </row>
    <row r="919">
      <c r="A919" s="256" t="inlineStr">
        <is>
          <t>CoQ-PP_26-040</t>
        </is>
      </c>
      <c r="B919" s="256" t="inlineStr">
        <is>
          <t>release</t>
        </is>
      </c>
      <c r="C919" s="256" t="inlineStr">
        <is>
          <t>OPM092501</t>
        </is>
      </c>
      <c r="D919" s="256" t="inlineStr">
        <is>
          <t>P060042</t>
        </is>
      </c>
      <c r="E919" s="256" t="inlineStr">
        <is>
          <t>Orange Punch Mimosa</t>
        </is>
      </c>
      <c r="F919" s="256" t="inlineStr">
        <is>
          <t>06.06.2026</t>
        </is>
      </c>
      <c r="G919" s="256" t="inlineStr">
        <is>
          <t>11.3</t>
        </is>
      </c>
      <c r="H919" s="256" t="inlineStr">
        <is>
          <t>Arsenic (As)</t>
        </is>
      </c>
      <c r="I919" s="256" t="inlineStr">
        <is>
          <t>Ph. Eur. 2.4.27 (ICP-MS)</t>
        </is>
      </c>
      <c r="J919" s="256" t="inlineStr">
        <is>
          <t>≤ 0.2 mg/kg</t>
        </is>
      </c>
      <c r="K919" s="256" t="inlineStr">
        <is>
          <t>ND</t>
        </is>
      </c>
      <c r="L919" s="256" t="inlineStr">
        <is>
          <t>87/2026</t>
        </is>
      </c>
      <c r="M919" s="256" t="inlineStr">
        <is>
          <t>03.02.2026</t>
        </is>
      </c>
      <c r="N919" s="256" t="inlineStr">
        <is>
          <t>IPH — Institute of Public Health</t>
        </is>
      </c>
      <c r="O919" s="256" t="inlineStr">
        <is>
          <t>08.01.2026</t>
        </is>
      </c>
      <c r="P919" s="256" t="inlineStr">
        <is>
          <t>covered</t>
        </is>
      </c>
      <c r="Q919" s="256" t="inlineStr"/>
      <c r="R919" s="256" t="inlineStr"/>
    </row>
    <row r="920">
      <c r="A920" s="256" t="inlineStr">
        <is>
          <t>CoQ-PP_26-040</t>
        </is>
      </c>
      <c r="B920" s="256" t="inlineStr">
        <is>
          <t>release</t>
        </is>
      </c>
      <c r="C920" s="256" t="inlineStr">
        <is>
          <t>OPM092501</t>
        </is>
      </c>
      <c r="D920" s="256" t="inlineStr">
        <is>
          <t>P060042</t>
        </is>
      </c>
      <c r="E920" s="256" t="inlineStr">
        <is>
          <t>Orange Punch Mimosa</t>
        </is>
      </c>
      <c r="F920" s="256" t="inlineStr">
        <is>
          <t>06.06.2026</t>
        </is>
      </c>
      <c r="G920" s="256" t="inlineStr">
        <is>
          <t>11.4</t>
        </is>
      </c>
      <c r="H920" s="256" t="inlineStr">
        <is>
          <t>Mercury (Hg)</t>
        </is>
      </c>
      <c r="I920" s="256" t="inlineStr">
        <is>
          <t>Ph. Eur. 2.4.27 (ICP-MS)</t>
        </is>
      </c>
      <c r="J920" s="256" t="inlineStr">
        <is>
          <t>≤ 0.1 mg/kg</t>
        </is>
      </c>
      <c r="K920" s="256" t="inlineStr">
        <is>
          <t>ND</t>
        </is>
      </c>
      <c r="L920" s="256" t="inlineStr">
        <is>
          <t>87/2026</t>
        </is>
      </c>
      <c r="M920" s="256" t="inlineStr">
        <is>
          <t>03.02.2026</t>
        </is>
      </c>
      <c r="N920" s="256" t="inlineStr">
        <is>
          <t>IPH — Institute of Public Health</t>
        </is>
      </c>
      <c r="O920" s="256" t="inlineStr">
        <is>
          <t>08.01.2026</t>
        </is>
      </c>
      <c r="P920" s="256" t="inlineStr">
        <is>
          <t>covered</t>
        </is>
      </c>
      <c r="Q920" s="256" t="inlineStr"/>
      <c r="R920" s="256" t="inlineStr"/>
    </row>
    <row r="921">
      <c r="A921" s="256" t="inlineStr">
        <is>
          <t>CoQ-PP_26-040</t>
        </is>
      </c>
      <c r="B921" s="256" t="inlineStr">
        <is>
          <t>release</t>
        </is>
      </c>
      <c r="C921" s="256" t="inlineStr">
        <is>
          <t>OPM092501</t>
        </is>
      </c>
      <c r="D921" s="256" t="inlineStr">
        <is>
          <t>P060042</t>
        </is>
      </c>
      <c r="E921" s="256" t="inlineStr">
        <is>
          <t>Orange Punch Mimosa</t>
        </is>
      </c>
      <c r="F921" s="256" t="inlineStr">
        <is>
          <t>06.06.2026</t>
        </is>
      </c>
      <c r="G921" s="256" t="inlineStr">
        <is>
          <t>12</t>
        </is>
      </c>
      <c r="H921" s="256" t="inlineStr">
        <is>
          <t>Pesticide Residues</t>
        </is>
      </c>
      <c r="I921" s="256" t="inlineStr">
        <is>
          <t>Ph. Eur. 2.8.13 (LC-MS/MS) · CUMCS Equivalency</t>
        </is>
      </c>
      <c r="J921" s="256" t="inlineStr">
        <is>
          <t>≤ LOQ as per Ph. Eur. 2.8.13 · ≤ LOQ as per CUMCS Equivalency</t>
        </is>
      </c>
      <c r="K921" s="256" t="inlineStr">
        <is>
          <t>ND</t>
        </is>
      </c>
      <c r="L921" s="256" t="inlineStr">
        <is>
          <t>87/2026</t>
        </is>
      </c>
      <c r="M921" s="256" t="inlineStr">
        <is>
          <t>03.02.2026</t>
        </is>
      </c>
      <c r="N921" s="256" t="inlineStr">
        <is>
          <t>IPH — Institute of Public Health</t>
        </is>
      </c>
      <c r="O921" s="256" t="inlineStr">
        <is>
          <t>08.01.2026</t>
        </is>
      </c>
      <c r="P921" s="256" t="inlineStr">
        <is>
          <t>covered</t>
        </is>
      </c>
      <c r="Q921" s="256" t="inlineStr"/>
      <c r="R921" s="256" t="inlineStr"/>
    </row>
    <row r="922">
      <c r="A922" s="256" t="inlineStr">
        <is>
          <t>CoQ-PP_26-041</t>
        </is>
      </c>
      <c r="B922" s="256" t="inlineStr">
        <is>
          <t>release</t>
        </is>
      </c>
      <c r="C922" s="256" t="inlineStr">
        <is>
          <t>AB092501</t>
        </is>
      </c>
      <c r="D922" s="256" t="inlineStr">
        <is>
          <t>P060052</t>
        </is>
      </c>
      <c r="E922" s="256" t="inlineStr">
        <is>
          <t>Apple and Banana</t>
        </is>
      </c>
      <c r="F922" s="256" t="inlineStr">
        <is>
          <t>06.06.2026</t>
        </is>
      </c>
      <c r="G922" s="256" t="inlineStr">
        <is>
          <t>1</t>
        </is>
      </c>
      <c r="H922" s="256" t="inlineStr">
        <is>
          <t>Identification A, Appearance · Macroscopic</t>
        </is>
      </c>
      <c r="I922" s="256" t="inlineStr">
        <is>
          <t>Ph. Eur. mon. 3028</t>
        </is>
      </c>
      <c r="J922" s="256" t="inlineStr">
        <is>
          <t>Conforms to the monograph for Cannabis flos (07/2024:3028) in Ph. Eur. 11.0 | Согласно монографија за Cannabis flos (07/2024:3028) во Ph. Eur. 11.0</t>
        </is>
      </c>
      <c r="K922" s="256" t="inlineStr">
        <is>
          <t>Conforms | Одговара</t>
        </is>
      </c>
      <c r="L922" s="256" t="inlineStr">
        <is>
          <t>iCoA-PP_26-040</t>
        </is>
      </c>
      <c r="M922" s="256" t="inlineStr">
        <is>
          <t>03.06.2026</t>
        </is>
      </c>
      <c r="N922" s="256" t="inlineStr">
        <is>
          <t>Purely Plant GmbH (in-house)</t>
        </is>
      </c>
      <c r="O922" s="256" t="inlineStr">
        <is>
          <t>—</t>
        </is>
      </c>
      <c r="P922" s="256" t="inlineStr">
        <is>
          <t>to be performed — see route</t>
        </is>
      </c>
      <c r="Q922" s="256" t="inlineStr">
        <is>
          <t>Purely Plant laboratory — iCoA covering Ident A + B</t>
        </is>
      </c>
      <c r="R922" s="256" t="inlineStr"/>
    </row>
    <row r="923">
      <c r="A923" s="256" t="inlineStr">
        <is>
          <t>CoQ-PP_26-041</t>
        </is>
      </c>
      <c r="B923" s="256" t="inlineStr">
        <is>
          <t>release</t>
        </is>
      </c>
      <c r="C923" s="256" t="inlineStr">
        <is>
          <t>AB092501</t>
        </is>
      </c>
      <c r="D923" s="256" t="inlineStr">
        <is>
          <t>P060052</t>
        </is>
      </c>
      <c r="E923" s="256" t="inlineStr">
        <is>
          <t>Apple and Banana</t>
        </is>
      </c>
      <c r="F923" s="256" t="inlineStr">
        <is>
          <t>06.06.2026</t>
        </is>
      </c>
      <c r="G923" s="256" t="inlineStr">
        <is>
          <t>2</t>
        </is>
      </c>
      <c r="H923" s="256" t="inlineStr">
        <is>
          <t>Identification B · Microscopic</t>
        </is>
      </c>
      <c r="I923" s="256" t="inlineStr">
        <is>
          <t>Ph. Eur. 2.8.23 (microscopy)</t>
        </is>
      </c>
      <c r="J923" s="256" t="inlineStr">
        <is>
          <t>Conforms to the monograph for Cannabis flos (07/2024:3028) in Ph. Eur. 11.0 | Согласно монографија за Cannabis flos (07/2024:3028) во Ph. Eur. 11.0</t>
        </is>
      </c>
      <c r="K923" s="256" t="inlineStr">
        <is>
          <t>Conforms | Одговара</t>
        </is>
      </c>
      <c r="L923" s="256" t="inlineStr">
        <is>
          <t>iCoA-PP_26-040</t>
        </is>
      </c>
      <c r="M923" s="256" t="inlineStr">
        <is>
          <t>03.06.2026</t>
        </is>
      </c>
      <c r="N923" s="256" t="inlineStr">
        <is>
          <t>Purely Plant GmbH (in-house)</t>
        </is>
      </c>
      <c r="O923" s="256" t="inlineStr">
        <is>
          <t>—</t>
        </is>
      </c>
      <c r="P923" s="256" t="inlineStr">
        <is>
          <t>to be performed — see route</t>
        </is>
      </c>
      <c r="Q923" s="256" t="inlineStr">
        <is>
          <t>Purely Plant laboratory — iCoA covering Ident A + B</t>
        </is>
      </c>
      <c r="R923" s="256" t="inlineStr"/>
    </row>
    <row r="924">
      <c r="A924" s="256" t="inlineStr">
        <is>
          <t>CoQ-PP_26-041</t>
        </is>
      </c>
      <c r="B924" s="256" t="inlineStr">
        <is>
          <t>release</t>
        </is>
      </c>
      <c r="C924" s="256" t="inlineStr">
        <is>
          <t>AB092501</t>
        </is>
      </c>
      <c r="D924" s="256" t="inlineStr">
        <is>
          <t>P060052</t>
        </is>
      </c>
      <c r="E924" s="256" t="inlineStr">
        <is>
          <t>Apple and Banana</t>
        </is>
      </c>
      <c r="F924" s="256" t="inlineStr">
        <is>
          <t>06.06.2026</t>
        </is>
      </c>
      <c r="G924" s="256" t="inlineStr">
        <is>
          <t>3</t>
        </is>
      </c>
      <c r="H924" s="256" t="inlineStr">
        <is>
          <t>Identification C · HPLC/HPTLC</t>
        </is>
      </c>
      <c r="I924" s="256" t="inlineStr">
        <is>
          <t>Ph. Eur. 2.2.29 (3028)</t>
        </is>
      </c>
      <c r="J924" s="256" t="inlineStr">
        <is>
          <t>Conforms to the monograph for Cannabis flos (07/2024:3028) in Ph. Eur. 11.0 | Согласно монографија за Cannabis flos (07/2024:3028) во Ph. Eur. 11.0</t>
        </is>
      </c>
      <c r="K924" s="256" t="inlineStr">
        <is>
          <t>Conforms | Одговара</t>
        </is>
      </c>
      <c r="L924" s="256" t="inlineStr">
        <is>
          <t>ППК26005</t>
        </is>
      </c>
      <c r="M924" s="256" t="inlineStr">
        <is>
          <t>21.01.2026</t>
        </is>
      </c>
      <c r="N924" s="256" t="inlineStr">
        <is>
          <t>UKIM Faculty of Pharmacy — Center for Natural Products</t>
        </is>
      </c>
      <c r="O924" s="256" t="inlineStr">
        <is>
          <t>08.01.2026</t>
        </is>
      </c>
      <c r="P924" s="256" t="inlineStr">
        <is>
          <t>covered</t>
        </is>
      </c>
      <c r="Q924" s="256" t="inlineStr"/>
      <c r="R924" s="256" t="inlineStr"/>
    </row>
    <row r="925">
      <c r="A925" s="256" t="inlineStr">
        <is>
          <t>CoQ-PP_26-041</t>
        </is>
      </c>
      <c r="B925" s="256" t="inlineStr">
        <is>
          <t>release</t>
        </is>
      </c>
      <c r="C925" s="256" t="inlineStr">
        <is>
          <t>AB092501</t>
        </is>
      </c>
      <c r="D925" s="256" t="inlineStr">
        <is>
          <t>P060052</t>
        </is>
      </c>
      <c r="E925" s="256" t="inlineStr">
        <is>
          <t>Apple and Banana</t>
        </is>
      </c>
      <c r="F925" s="256" t="inlineStr">
        <is>
          <t>06.06.2026</t>
        </is>
      </c>
      <c r="G925" s="256" t="inlineStr">
        <is>
          <t>4</t>
        </is>
      </c>
      <c r="H925" s="256" t="inlineStr">
        <is>
          <t>Assay — Total Δ⁹-THC</t>
        </is>
      </c>
      <c r="I925" s="256" t="inlineStr">
        <is>
          <t>Ph. Eur. 2.2.29 (HPLC)</t>
        </is>
      </c>
      <c r="J925" s="256" t="inlineStr">
        <is>
          <t>16.20 – 19.79 %  (grade II, nominal 18.00 ± 1.80)</t>
        </is>
      </c>
      <c r="K925" s="256" t="inlineStr">
        <is>
          <t>16.93</t>
        </is>
      </c>
      <c r="L925" s="256" t="inlineStr">
        <is>
          <t>ППК26005</t>
        </is>
      </c>
      <c r="M925" s="256" t="inlineStr">
        <is>
          <t>21.01.2026</t>
        </is>
      </c>
      <c r="N925" s="256" t="inlineStr">
        <is>
          <t>UKIM Faculty of Pharmacy — Center for Natural Products</t>
        </is>
      </c>
      <c r="O925" s="256" t="inlineStr">
        <is>
          <t>08.01.2026</t>
        </is>
      </c>
      <c r="P925" s="256" t="inlineStr">
        <is>
          <t>covered</t>
        </is>
      </c>
      <c r="Q925" s="256" t="inlineStr"/>
      <c r="R925" s="256" t="inlineStr">
        <is>
          <t>22.97 (227-30-К/26)</t>
        </is>
      </c>
    </row>
    <row r="926">
      <c r="A926" s="256" t="inlineStr">
        <is>
          <t>CoQ-PP_26-041</t>
        </is>
      </c>
      <c r="B926" s="256" t="inlineStr">
        <is>
          <t>release</t>
        </is>
      </c>
      <c r="C926" s="256" t="inlineStr">
        <is>
          <t>AB092501</t>
        </is>
      </c>
      <c r="D926" s="256" t="inlineStr">
        <is>
          <t>P060052</t>
        </is>
      </c>
      <c r="E926" s="256" t="inlineStr">
        <is>
          <t>Apple and Banana</t>
        </is>
      </c>
      <c r="F926" s="256" t="inlineStr">
        <is>
          <t>06.06.2026</t>
        </is>
      </c>
      <c r="G926" s="256" t="inlineStr">
        <is>
          <t>5</t>
        </is>
      </c>
      <c r="H926" s="256" t="inlineStr">
        <is>
          <t>Assay — Total CBD</t>
        </is>
      </c>
      <c r="I926" s="256" t="inlineStr">
        <is>
          <t>Ph. Eur. 2.2.29 (HPLC) · CBD + CBDA x 0.877</t>
        </is>
      </c>
      <c r="J926" s="256" t="inlineStr">
        <is>
          <t>≤ 1.0%, w/w</t>
        </is>
      </c>
      <c r="K926" s="256" t="inlineStr">
        <is>
          <t>0.07</t>
        </is>
      </c>
      <c r="L926" s="256" t="inlineStr">
        <is>
          <t>ППК26005</t>
        </is>
      </c>
      <c r="M926" s="256" t="inlineStr">
        <is>
          <t>21.01.2026</t>
        </is>
      </c>
      <c r="N926" s="256" t="inlineStr">
        <is>
          <t>UKIM Faculty of Pharmacy — Center for Natural Products</t>
        </is>
      </c>
      <c r="O926" s="256" t="inlineStr">
        <is>
          <t>08.01.2026</t>
        </is>
      </c>
      <c r="P926" s="256" t="inlineStr">
        <is>
          <t>covered</t>
        </is>
      </c>
      <c r="Q926" s="256" t="inlineStr"/>
      <c r="R926" s="256" t="inlineStr">
        <is>
          <t>&lt;LOQ (227-30-К/26)</t>
        </is>
      </c>
    </row>
    <row r="927">
      <c r="A927" s="256" t="inlineStr">
        <is>
          <t>CoQ-PP_26-041</t>
        </is>
      </c>
      <c r="B927" s="256" t="inlineStr">
        <is>
          <t>release</t>
        </is>
      </c>
      <c r="C927" s="256" t="inlineStr">
        <is>
          <t>AB092501</t>
        </is>
      </c>
      <c r="D927" s="256" t="inlineStr">
        <is>
          <t>P060052</t>
        </is>
      </c>
      <c r="E927" s="256" t="inlineStr">
        <is>
          <t>Apple and Banana</t>
        </is>
      </c>
      <c r="F927" s="256" t="inlineStr">
        <is>
          <t>06.06.2026</t>
        </is>
      </c>
      <c r="G927" s="256" t="inlineStr">
        <is>
          <t>6</t>
        </is>
      </c>
      <c r="H927" s="256" t="inlineStr">
        <is>
          <t>Total CBN</t>
        </is>
      </c>
      <c r="I927" s="256" t="inlineStr">
        <is>
          <t>Ph. Eur. 2.2.29 (HPLC) · CBN + CBNA x 0.876</t>
        </is>
      </c>
      <c r="J927" s="256" t="inlineStr">
        <is>
          <t>≤ 1.0%, w/w</t>
        </is>
      </c>
      <c r="K927" s="259" t="inlineStr">
        <is>
          <t>not tested</t>
        </is>
      </c>
      <c r="L927" s="256" t="inlineStr">
        <is>
          <t>—</t>
        </is>
      </c>
      <c r="M927" s="256" t="inlineStr">
        <is>
          <t>—</t>
        </is>
      </c>
      <c r="N927" s="256" t="inlineStr">
        <is>
          <t>—</t>
        </is>
      </c>
      <c r="O927" s="256" t="inlineStr">
        <is>
          <t>—</t>
        </is>
      </c>
      <c r="P927" s="256" t="inlineStr">
        <is>
          <t>not tested — no certificate covers it</t>
        </is>
      </c>
      <c r="Q927" s="256" t="inlineStr"/>
      <c r="R927" s="256" t="inlineStr">
        <is>
          <t>&lt;LOQ (227-30-К/26)</t>
        </is>
      </c>
    </row>
    <row r="928">
      <c r="A928" s="256" t="inlineStr">
        <is>
          <t>CoQ-PP_26-041</t>
        </is>
      </c>
      <c r="B928" s="256" t="inlineStr">
        <is>
          <t>release</t>
        </is>
      </c>
      <c r="C928" s="256" t="inlineStr">
        <is>
          <t>AB092501</t>
        </is>
      </c>
      <c r="D928" s="256" t="inlineStr">
        <is>
          <t>P060052</t>
        </is>
      </c>
      <c r="E928" s="256" t="inlineStr">
        <is>
          <t>Apple and Banana</t>
        </is>
      </c>
      <c r="F928" s="256" t="inlineStr">
        <is>
          <t>06.06.2026</t>
        </is>
      </c>
      <c r="G928" s="256" t="inlineStr">
        <is>
          <t>7</t>
        </is>
      </c>
      <c r="H928" s="256" t="inlineStr">
        <is>
          <t>Foreign Matter</t>
        </is>
      </c>
      <c r="I928" s="256" t="inlineStr">
        <is>
          <t>Ph. Eur. 2.8.2 · In-house · интерна</t>
        </is>
      </c>
      <c r="J928" s="256" t="inlineStr">
        <is>
          <t>≤ 2.0% / 25–50 g · &lt; 1 cm leaves | листови, no seeds | без семки</t>
        </is>
      </c>
      <c r="K928" s="256" t="inlineStr">
        <is>
          <t>Conforms | Одговара</t>
        </is>
      </c>
      <c r="L928" s="256" t="inlineStr">
        <is>
          <t>iCoA-PP_26-040</t>
        </is>
      </c>
      <c r="M928" s="256" t="inlineStr">
        <is>
          <t>03.06.2026</t>
        </is>
      </c>
      <c r="N928" s="256" t="inlineStr">
        <is>
          <t>Purely Plant GmbH (in-house)</t>
        </is>
      </c>
      <c r="O928" s="256" t="inlineStr">
        <is>
          <t>—</t>
        </is>
      </c>
      <c r="P928" s="256" t="inlineStr">
        <is>
          <t>to be performed — see route</t>
        </is>
      </c>
      <c r="Q928" s="256" t="inlineStr">
        <is>
          <t>Purely Plant laboratory — iCoA covering Foreign matter</t>
        </is>
      </c>
      <c r="R928" s="256" t="inlineStr"/>
    </row>
    <row r="929">
      <c r="A929" s="256" t="inlineStr">
        <is>
          <t>CoQ-PP_26-041</t>
        </is>
      </c>
      <c r="B929" s="256" t="inlineStr">
        <is>
          <t>release</t>
        </is>
      </c>
      <c r="C929" s="256" t="inlineStr">
        <is>
          <t>AB092501</t>
        </is>
      </c>
      <c r="D929" s="256" t="inlineStr">
        <is>
          <t>P060052</t>
        </is>
      </c>
      <c r="E929" s="256" t="inlineStr">
        <is>
          <t>Apple and Banana</t>
        </is>
      </c>
      <c r="F929" s="256" t="inlineStr">
        <is>
          <t>06.06.2026</t>
        </is>
      </c>
      <c r="G929" s="256" t="inlineStr">
        <is>
          <t>8</t>
        </is>
      </c>
      <c r="H929" s="256" t="inlineStr">
        <is>
          <t>Loss on Drying</t>
        </is>
      </c>
      <c r="I929" s="256" t="inlineStr">
        <is>
          <t>Ph. Eur. 2.2.32 (3028) · at 40 °C, 24 h, 15–25 mbar</t>
        </is>
      </c>
      <c r="J929" s="256" t="inlineStr">
        <is>
          <t>≤ 12.0%</t>
        </is>
      </c>
      <c r="K929" s="256" t="inlineStr">
        <is>
          <t>6.77</t>
        </is>
      </c>
      <c r="L929" s="256" t="inlineStr">
        <is>
          <t>ППК26005</t>
        </is>
      </c>
      <c r="M929" s="256" t="inlineStr">
        <is>
          <t>21.01.2026</t>
        </is>
      </c>
      <c r="N929" s="256" t="inlineStr">
        <is>
          <t>UKIM Faculty of Pharmacy — Center for Natural Products</t>
        </is>
      </c>
      <c r="O929" s="256" t="inlineStr">
        <is>
          <t>08.01.2026</t>
        </is>
      </c>
      <c r="P929" s="256" t="inlineStr">
        <is>
          <t>covered</t>
        </is>
      </c>
      <c r="Q929" s="256" t="inlineStr"/>
      <c r="R929" s="256" t="inlineStr"/>
    </row>
    <row r="930">
      <c r="A930" s="256" t="inlineStr">
        <is>
          <t>CoQ-PP_26-041</t>
        </is>
      </c>
      <c r="B930" s="256" t="inlineStr">
        <is>
          <t>release</t>
        </is>
      </c>
      <c r="C930" s="256" t="inlineStr">
        <is>
          <t>AB092501</t>
        </is>
      </c>
      <c r="D930" s="256" t="inlineStr">
        <is>
          <t>P060052</t>
        </is>
      </c>
      <c r="E930" s="256" t="inlineStr">
        <is>
          <t>Apple and Banana</t>
        </is>
      </c>
      <c r="F930" s="256" t="inlineStr">
        <is>
          <t>06.06.2026</t>
        </is>
      </c>
      <c r="G930" s="256" t="inlineStr">
        <is>
          <t>9.1</t>
        </is>
      </c>
      <c r="H930" s="256" t="inlineStr">
        <is>
          <t>TAMC</t>
        </is>
      </c>
      <c r="I930" s="256" t="inlineStr">
        <is>
          <t>Ph. Eur. 2.6.12 cat. C</t>
        </is>
      </c>
      <c r="J930" s="256" t="inlineStr">
        <is>
          <t>≤ 10⁵ CFU/g</t>
        </is>
      </c>
      <c r="K930" s="256" t="inlineStr">
        <is>
          <t>&lt; 10</t>
        </is>
      </c>
      <c r="L930" s="256" t="inlineStr">
        <is>
          <t>7/0010/26</t>
        </is>
      </c>
      <c r="M930" s="256" t="inlineStr">
        <is>
          <t>20.01.2026</t>
        </is>
      </c>
      <c r="N930" s="256" t="inlineStr">
        <is>
          <t>IPH — Institute of Public Health</t>
        </is>
      </c>
      <c r="O930" s="256" t="inlineStr">
        <is>
          <t>12.01.2025</t>
        </is>
      </c>
      <c r="P930" s="256" t="inlineStr">
        <is>
          <t>covered</t>
        </is>
      </c>
      <c r="Q930" s="256" t="inlineStr"/>
      <c r="R930" s="256" t="inlineStr"/>
    </row>
    <row r="931">
      <c r="A931" s="256" t="inlineStr">
        <is>
          <t>CoQ-PP_26-041</t>
        </is>
      </c>
      <c r="B931" s="256" t="inlineStr">
        <is>
          <t>release</t>
        </is>
      </c>
      <c r="C931" s="256" t="inlineStr">
        <is>
          <t>AB092501</t>
        </is>
      </c>
      <c r="D931" s="256" t="inlineStr">
        <is>
          <t>P060052</t>
        </is>
      </c>
      <c r="E931" s="256" t="inlineStr">
        <is>
          <t>Apple and Banana</t>
        </is>
      </c>
      <c r="F931" s="256" t="inlineStr">
        <is>
          <t>06.06.2026</t>
        </is>
      </c>
      <c r="G931" s="256" t="inlineStr">
        <is>
          <t>9.2</t>
        </is>
      </c>
      <c r="H931" s="256" t="inlineStr">
        <is>
          <t>TYMC</t>
        </is>
      </c>
      <c r="I931" s="256" t="inlineStr">
        <is>
          <t>Ph. Eur. 2.6.12 cat. C</t>
        </is>
      </c>
      <c r="J931" s="256" t="inlineStr">
        <is>
          <t>≤ 10⁴ CFU/g</t>
        </is>
      </c>
      <c r="K931" s="256" t="inlineStr">
        <is>
          <t>&lt; 10</t>
        </is>
      </c>
      <c r="L931" s="256" t="inlineStr">
        <is>
          <t>7/0010/26</t>
        </is>
      </c>
      <c r="M931" s="256" t="inlineStr">
        <is>
          <t>20.01.2026</t>
        </is>
      </c>
      <c r="N931" s="256" t="inlineStr">
        <is>
          <t>IPH — Institute of Public Health</t>
        </is>
      </c>
      <c r="O931" s="256" t="inlineStr">
        <is>
          <t>12.01.2025</t>
        </is>
      </c>
      <c r="P931" s="256" t="inlineStr">
        <is>
          <t>covered</t>
        </is>
      </c>
      <c r="Q931" s="256" t="inlineStr"/>
      <c r="R931" s="256" t="inlineStr"/>
    </row>
    <row r="932">
      <c r="A932" s="256" t="inlineStr">
        <is>
          <t>CoQ-PP_26-041</t>
        </is>
      </c>
      <c r="B932" s="256" t="inlineStr">
        <is>
          <t>release</t>
        </is>
      </c>
      <c r="C932" s="256" t="inlineStr">
        <is>
          <t>AB092501</t>
        </is>
      </c>
      <c r="D932" s="256" t="inlineStr">
        <is>
          <t>P060052</t>
        </is>
      </c>
      <c r="E932" s="256" t="inlineStr">
        <is>
          <t>Apple and Banana</t>
        </is>
      </c>
      <c r="F932" s="256" t="inlineStr">
        <is>
          <t>06.06.2026</t>
        </is>
      </c>
      <c r="G932" s="256" t="inlineStr">
        <is>
          <t>9.3</t>
        </is>
      </c>
      <c r="H932" s="256" t="inlineStr">
        <is>
          <t>Bile-tolerant gram-neg.</t>
        </is>
      </c>
      <c r="I932" s="256" t="inlineStr">
        <is>
          <t>Ph. Eur. 2.6.31 cat. C</t>
        </is>
      </c>
      <c r="J932" s="256" t="inlineStr">
        <is>
          <t>≤ 10⁴ CFU/g</t>
        </is>
      </c>
      <c r="K932" s="256" t="inlineStr">
        <is>
          <t>&lt; 10</t>
        </is>
      </c>
      <c r="L932" s="256" t="inlineStr">
        <is>
          <t>7/0010/26</t>
        </is>
      </c>
      <c r="M932" s="256" t="inlineStr">
        <is>
          <t>20.01.2026</t>
        </is>
      </c>
      <c r="N932" s="256" t="inlineStr">
        <is>
          <t>IPH — Institute of Public Health</t>
        </is>
      </c>
      <c r="O932" s="256" t="inlineStr">
        <is>
          <t>12.01.2025</t>
        </is>
      </c>
      <c r="P932" s="256" t="inlineStr">
        <is>
          <t>covered</t>
        </is>
      </c>
      <c r="Q932" s="256" t="inlineStr"/>
      <c r="R932" s="256" t="inlineStr"/>
    </row>
    <row r="933">
      <c r="A933" s="256" t="inlineStr">
        <is>
          <t>CoQ-PP_26-041</t>
        </is>
      </c>
      <c r="B933" s="256" t="inlineStr">
        <is>
          <t>release</t>
        </is>
      </c>
      <c r="C933" s="256" t="inlineStr">
        <is>
          <t>AB092501</t>
        </is>
      </c>
      <c r="D933" s="256" t="inlineStr">
        <is>
          <t>P060052</t>
        </is>
      </c>
      <c r="E933" s="256" t="inlineStr">
        <is>
          <t>Apple and Banana</t>
        </is>
      </c>
      <c r="F933" s="256" t="inlineStr">
        <is>
          <t>06.06.2026</t>
        </is>
      </c>
      <c r="G933" s="256" t="inlineStr">
        <is>
          <t>9.4</t>
        </is>
      </c>
      <c r="H933" s="256" t="inlineStr">
        <is>
          <t>Salmonella</t>
        </is>
      </c>
      <c r="I933" s="256" t="inlineStr">
        <is>
          <t>Ph. Eur. 2.6.31 cat. C</t>
        </is>
      </c>
      <c r="J933" s="256" t="inlineStr">
        <is>
          <t>Absence | Отсуство / 25 g</t>
        </is>
      </c>
      <c r="K933" s="256" t="inlineStr">
        <is>
          <t>Absent | Отсутна</t>
        </is>
      </c>
      <c r="L933" s="256" t="inlineStr">
        <is>
          <t>7/0010/26</t>
        </is>
      </c>
      <c r="M933" s="256" t="inlineStr">
        <is>
          <t>20.01.2026</t>
        </is>
      </c>
      <c r="N933" s="256" t="inlineStr">
        <is>
          <t>IPH — Institute of Public Health</t>
        </is>
      </c>
      <c r="O933" s="256" t="inlineStr">
        <is>
          <t>12.01.2025</t>
        </is>
      </c>
      <c r="P933" s="256" t="inlineStr">
        <is>
          <t>covered</t>
        </is>
      </c>
      <c r="Q933" s="256" t="inlineStr"/>
      <c r="R933" s="256" t="inlineStr"/>
    </row>
    <row r="934">
      <c r="A934" s="256" t="inlineStr">
        <is>
          <t>CoQ-PP_26-041</t>
        </is>
      </c>
      <c r="B934" s="256" t="inlineStr">
        <is>
          <t>release</t>
        </is>
      </c>
      <c r="C934" s="256" t="inlineStr">
        <is>
          <t>AB092501</t>
        </is>
      </c>
      <c r="D934" s="256" t="inlineStr">
        <is>
          <t>P060052</t>
        </is>
      </c>
      <c r="E934" s="256" t="inlineStr">
        <is>
          <t>Apple and Banana</t>
        </is>
      </c>
      <c r="F934" s="256" t="inlineStr">
        <is>
          <t>06.06.2026</t>
        </is>
      </c>
      <c r="G934" s="256" t="inlineStr">
        <is>
          <t>9.5</t>
        </is>
      </c>
      <c r="H934" s="256" t="inlineStr">
        <is>
          <t>Escherichia coli</t>
        </is>
      </c>
      <c r="I934" s="256" t="inlineStr">
        <is>
          <t>Ph. Eur. 2.6.13 cat. C</t>
        </is>
      </c>
      <c r="J934" s="256" t="inlineStr">
        <is>
          <t>Absence | Отсуство / 1 g</t>
        </is>
      </c>
      <c r="K934" s="256" t="inlineStr">
        <is>
          <t>Absent | Отсутна</t>
        </is>
      </c>
      <c r="L934" s="256" t="inlineStr">
        <is>
          <t>7/0010/26</t>
        </is>
      </c>
      <c r="M934" s="256" t="inlineStr">
        <is>
          <t>20.01.2026</t>
        </is>
      </c>
      <c r="N934" s="256" t="inlineStr">
        <is>
          <t>IPH — Institute of Public Health</t>
        </is>
      </c>
      <c r="O934" s="256" t="inlineStr">
        <is>
          <t>12.01.2025</t>
        </is>
      </c>
      <c r="P934" s="256" t="inlineStr">
        <is>
          <t>covered</t>
        </is>
      </c>
      <c r="Q934" s="256" t="inlineStr"/>
      <c r="R934" s="256" t="inlineStr"/>
    </row>
    <row r="935">
      <c r="A935" s="256" t="inlineStr">
        <is>
          <t>CoQ-PP_26-041</t>
        </is>
      </c>
      <c r="B935" s="256" t="inlineStr">
        <is>
          <t>release</t>
        </is>
      </c>
      <c r="C935" s="256" t="inlineStr">
        <is>
          <t>AB092501</t>
        </is>
      </c>
      <c r="D935" s="256" t="inlineStr">
        <is>
          <t>P060052</t>
        </is>
      </c>
      <c r="E935" s="256" t="inlineStr">
        <is>
          <t>Apple and Banana</t>
        </is>
      </c>
      <c r="F935" s="256" t="inlineStr">
        <is>
          <t>06.06.2026</t>
        </is>
      </c>
      <c r="G935" s="256" t="inlineStr">
        <is>
          <t>9.6</t>
        </is>
      </c>
      <c r="H935" s="256" t="inlineStr">
        <is>
          <t>Pseudomonas aeruginosa</t>
        </is>
      </c>
      <c r="I935" s="256" t="inlineStr">
        <is>
          <t>Ph. Eur. 2.6.13 cat. C</t>
        </is>
      </c>
      <c r="J935" s="256" t="inlineStr">
        <is>
          <t>Absence | Отсуство / 1 g</t>
        </is>
      </c>
      <c r="K935" s="260" t="inlineStr">
        <is>
          <t>upon request — not required for release</t>
        </is>
      </c>
      <c r="L935" s="256" t="inlineStr">
        <is>
          <t>—</t>
        </is>
      </c>
      <c r="M935" s="256" t="inlineStr">
        <is>
          <t>—</t>
        </is>
      </c>
      <c r="N935" s="256" t="inlineStr">
        <is>
          <t>—</t>
        </is>
      </c>
      <c r="O935" s="256" t="inlineStr">
        <is>
          <t>—</t>
        </is>
      </c>
      <c r="P935" s="256" t="inlineStr">
        <is>
          <t>upon request — not required for release</t>
        </is>
      </c>
      <c r="Q935" s="256" t="inlineStr"/>
      <c r="R935" s="256" t="inlineStr"/>
    </row>
    <row r="936">
      <c r="A936" s="256" t="inlineStr">
        <is>
          <t>CoQ-PP_26-041</t>
        </is>
      </c>
      <c r="B936" s="256" t="inlineStr">
        <is>
          <t>release</t>
        </is>
      </c>
      <c r="C936" s="256" t="inlineStr">
        <is>
          <t>AB092501</t>
        </is>
      </c>
      <c r="D936" s="256" t="inlineStr">
        <is>
          <t>P060052</t>
        </is>
      </c>
      <c r="E936" s="256" t="inlineStr">
        <is>
          <t>Apple and Banana</t>
        </is>
      </c>
      <c r="F936" s="256" t="inlineStr">
        <is>
          <t>06.06.2026</t>
        </is>
      </c>
      <c r="G936" s="256" t="inlineStr">
        <is>
          <t>9.7</t>
        </is>
      </c>
      <c r="H936" s="256" t="inlineStr">
        <is>
          <t>Staphylococcus aureus</t>
        </is>
      </c>
      <c r="I936" s="256" t="inlineStr">
        <is>
          <t>Ph. Eur. 2.6.13 cat. C</t>
        </is>
      </c>
      <c r="J936" s="256" t="inlineStr">
        <is>
          <t>Absence | Отсуство / 1 g</t>
        </is>
      </c>
      <c r="K936" s="260" t="inlineStr">
        <is>
          <t>upon request — not required for release</t>
        </is>
      </c>
      <c r="L936" s="256" t="inlineStr">
        <is>
          <t>—</t>
        </is>
      </c>
      <c r="M936" s="256" t="inlineStr">
        <is>
          <t>—</t>
        </is>
      </c>
      <c r="N936" s="256" t="inlineStr">
        <is>
          <t>—</t>
        </is>
      </c>
      <c r="O936" s="256" t="inlineStr">
        <is>
          <t>—</t>
        </is>
      </c>
      <c r="P936" s="256" t="inlineStr">
        <is>
          <t>upon request — not required for release</t>
        </is>
      </c>
      <c r="Q936" s="256" t="inlineStr"/>
      <c r="R936" s="256" t="inlineStr"/>
    </row>
    <row r="937">
      <c r="A937" s="256" t="inlineStr">
        <is>
          <t>CoQ-PP_26-041</t>
        </is>
      </c>
      <c r="B937" s="256" t="inlineStr">
        <is>
          <t>release</t>
        </is>
      </c>
      <c r="C937" s="256" t="inlineStr">
        <is>
          <t>AB092501</t>
        </is>
      </c>
      <c r="D937" s="256" t="inlineStr">
        <is>
          <t>P060052</t>
        </is>
      </c>
      <c r="E937" s="256" t="inlineStr">
        <is>
          <t>Apple and Banana</t>
        </is>
      </c>
      <c r="F937" s="256" t="inlineStr">
        <is>
          <t>06.06.2026</t>
        </is>
      </c>
      <c r="G937" s="256" t="inlineStr">
        <is>
          <t>10.1</t>
        </is>
      </c>
      <c r="H937" s="256" t="inlineStr">
        <is>
          <t>Aflatoxin B₁</t>
        </is>
      </c>
      <c r="I937" s="256" t="inlineStr">
        <is>
          <t>Ph. Eur. 2.8.18 (HPLC-FLD)</t>
        </is>
      </c>
      <c r="J937" s="256" t="inlineStr">
        <is>
          <t>≤ 2 µg/kg</t>
        </is>
      </c>
      <c r="K937" s="259" t="inlineStr">
        <is>
          <t>not tested</t>
        </is>
      </c>
      <c r="L937" s="256" t="inlineStr">
        <is>
          <t>—</t>
        </is>
      </c>
      <c r="M937" s="256" t="inlineStr">
        <is>
          <t>—</t>
        </is>
      </c>
      <c r="N937" s="256" t="inlineStr">
        <is>
          <t>—</t>
        </is>
      </c>
      <c r="O937" s="256" t="inlineStr">
        <is>
          <t>—</t>
        </is>
      </c>
      <c r="P937" s="256" t="inlineStr">
        <is>
          <t>not tested — no certificate covers it</t>
        </is>
      </c>
      <c r="Q937" s="256" t="inlineStr"/>
      <c r="R937" s="256" t="inlineStr"/>
    </row>
    <row r="938">
      <c r="A938" s="256" t="inlineStr">
        <is>
          <t>CoQ-PP_26-041</t>
        </is>
      </c>
      <c r="B938" s="256" t="inlineStr">
        <is>
          <t>release</t>
        </is>
      </c>
      <c r="C938" s="256" t="inlineStr">
        <is>
          <t>AB092501</t>
        </is>
      </c>
      <c r="D938" s="256" t="inlineStr">
        <is>
          <t>P060052</t>
        </is>
      </c>
      <c r="E938" s="256" t="inlineStr">
        <is>
          <t>Apple and Banana</t>
        </is>
      </c>
      <c r="F938" s="256" t="inlineStr">
        <is>
          <t>06.06.2026</t>
        </is>
      </c>
      <c r="G938" s="256" t="inlineStr">
        <is>
          <t>10.2</t>
        </is>
      </c>
      <c r="H938" s="256" t="inlineStr">
        <is>
          <t>Aflatoxins ∑</t>
        </is>
      </c>
      <c r="I938" s="256" t="inlineStr">
        <is>
          <t>Ph. Eur. 2.8.18 (HPLC-FLD)</t>
        </is>
      </c>
      <c r="J938" s="256" t="inlineStr">
        <is>
          <t>≤ 4 µg/kg</t>
        </is>
      </c>
      <c r="K938" s="256" t="inlineStr">
        <is>
          <t>&lt; 2</t>
        </is>
      </c>
      <c r="L938" s="256" t="inlineStr">
        <is>
          <t>84/2026</t>
        </is>
      </c>
      <c r="M938" s="256" t="inlineStr">
        <is>
          <t>02.02.2026</t>
        </is>
      </c>
      <c r="N938" s="256" t="inlineStr">
        <is>
          <t>IPH — Institute of Public Health</t>
        </is>
      </c>
      <c r="O938" s="256" t="inlineStr">
        <is>
          <t>08.01.2026</t>
        </is>
      </c>
      <c r="P938" s="256" t="inlineStr">
        <is>
          <t>covered</t>
        </is>
      </c>
      <c r="Q938" s="256" t="inlineStr"/>
      <c r="R938" s="256" t="inlineStr"/>
    </row>
    <row r="939">
      <c r="A939" s="256" t="inlineStr">
        <is>
          <t>CoQ-PP_26-041</t>
        </is>
      </c>
      <c r="B939" s="256" t="inlineStr">
        <is>
          <t>release</t>
        </is>
      </c>
      <c r="C939" s="256" t="inlineStr">
        <is>
          <t>AB092501</t>
        </is>
      </c>
      <c r="D939" s="256" t="inlineStr">
        <is>
          <t>P060052</t>
        </is>
      </c>
      <c r="E939" s="256" t="inlineStr">
        <is>
          <t>Apple and Banana</t>
        </is>
      </c>
      <c r="F939" s="256" t="inlineStr">
        <is>
          <t>06.06.2026</t>
        </is>
      </c>
      <c r="G939" s="256" t="inlineStr">
        <is>
          <t>10.3</t>
        </is>
      </c>
      <c r="H939" s="256" t="inlineStr">
        <is>
          <t>Ochratoxin A</t>
        </is>
      </c>
      <c r="I939" s="256" t="inlineStr">
        <is>
          <t>Ph. Eur. 2.8.22 (HPLC-FLD)</t>
        </is>
      </c>
      <c r="J939" s="256" t="inlineStr">
        <is>
          <t>≤ 20 µg/kg</t>
        </is>
      </c>
      <c r="K939" s="259" t="inlineStr">
        <is>
          <t>not tested</t>
        </is>
      </c>
      <c r="L939" s="256" t="inlineStr">
        <is>
          <t>—</t>
        </is>
      </c>
      <c r="M939" s="256" t="inlineStr">
        <is>
          <t>—</t>
        </is>
      </c>
      <c r="N939" s="256" t="inlineStr">
        <is>
          <t>—</t>
        </is>
      </c>
      <c r="O939" s="256" t="inlineStr">
        <is>
          <t>—</t>
        </is>
      </c>
      <c r="P939" s="256" t="inlineStr">
        <is>
          <t>not tested — no certificate covers it</t>
        </is>
      </c>
      <c r="Q939" s="256" t="inlineStr"/>
      <c r="R939" s="256" t="inlineStr"/>
    </row>
    <row r="940">
      <c r="A940" s="256" t="inlineStr">
        <is>
          <t>CoQ-PP_26-041</t>
        </is>
      </c>
      <c r="B940" s="256" t="inlineStr">
        <is>
          <t>release</t>
        </is>
      </c>
      <c r="C940" s="256" t="inlineStr">
        <is>
          <t>AB092501</t>
        </is>
      </c>
      <c r="D940" s="256" t="inlineStr">
        <is>
          <t>P060052</t>
        </is>
      </c>
      <c r="E940" s="256" t="inlineStr">
        <is>
          <t>Apple and Banana</t>
        </is>
      </c>
      <c r="F940" s="256" t="inlineStr">
        <is>
          <t>06.06.2026</t>
        </is>
      </c>
      <c r="G940" s="256" t="inlineStr">
        <is>
          <t>11.1</t>
        </is>
      </c>
      <c r="H940" s="256" t="inlineStr">
        <is>
          <t>Lead (Pb)</t>
        </is>
      </c>
      <c r="I940" s="256" t="inlineStr">
        <is>
          <t>Ph. Eur. 2.4.27 (ICP-MS)</t>
        </is>
      </c>
      <c r="J940" s="256" t="inlineStr">
        <is>
          <t>≤ 0.5 mg/kg</t>
        </is>
      </c>
      <c r="K940" s="256" t="inlineStr">
        <is>
          <t>0.05</t>
        </is>
      </c>
      <c r="L940" s="256" t="inlineStr">
        <is>
          <t>84/2026</t>
        </is>
      </c>
      <c r="M940" s="256" t="inlineStr">
        <is>
          <t>02.02.2026</t>
        </is>
      </c>
      <c r="N940" s="256" t="inlineStr">
        <is>
          <t>IPH — Institute of Public Health</t>
        </is>
      </c>
      <c r="O940" s="256" t="inlineStr">
        <is>
          <t>08.01.2026</t>
        </is>
      </c>
      <c r="P940" s="256" t="inlineStr">
        <is>
          <t>covered</t>
        </is>
      </c>
      <c r="Q940" s="256" t="inlineStr"/>
      <c r="R940" s="256" t="inlineStr"/>
    </row>
    <row r="941">
      <c r="A941" s="256" t="inlineStr">
        <is>
          <t>CoQ-PP_26-041</t>
        </is>
      </c>
      <c r="B941" s="256" t="inlineStr">
        <is>
          <t>release</t>
        </is>
      </c>
      <c r="C941" s="256" t="inlineStr">
        <is>
          <t>AB092501</t>
        </is>
      </c>
      <c r="D941" s="256" t="inlineStr">
        <is>
          <t>P060052</t>
        </is>
      </c>
      <c r="E941" s="256" t="inlineStr">
        <is>
          <t>Apple and Banana</t>
        </is>
      </c>
      <c r="F941" s="256" t="inlineStr">
        <is>
          <t>06.06.2026</t>
        </is>
      </c>
      <c r="G941" s="256" t="inlineStr">
        <is>
          <t>11.2</t>
        </is>
      </c>
      <c r="H941" s="256" t="inlineStr">
        <is>
          <t>Cadmium (Cd)</t>
        </is>
      </c>
      <c r="I941" s="256" t="inlineStr">
        <is>
          <t>Ph. Eur. 2.4.27 (ICP-MS)</t>
        </is>
      </c>
      <c r="J941" s="256" t="inlineStr">
        <is>
          <t>≤ 0.3 mg/kg</t>
        </is>
      </c>
      <c r="K941" s="256" t="inlineStr">
        <is>
          <t>ND</t>
        </is>
      </c>
      <c r="L941" s="256" t="inlineStr">
        <is>
          <t>84/2026</t>
        </is>
      </c>
      <c r="M941" s="256" t="inlineStr">
        <is>
          <t>02.02.2026</t>
        </is>
      </c>
      <c r="N941" s="256" t="inlineStr">
        <is>
          <t>IPH — Institute of Public Health</t>
        </is>
      </c>
      <c r="O941" s="256" t="inlineStr">
        <is>
          <t>08.01.2026</t>
        </is>
      </c>
      <c r="P941" s="256" t="inlineStr">
        <is>
          <t>covered</t>
        </is>
      </c>
      <c r="Q941" s="256" t="inlineStr"/>
      <c r="R941" s="256" t="inlineStr"/>
    </row>
    <row r="942">
      <c r="A942" s="256" t="inlineStr">
        <is>
          <t>CoQ-PP_26-041</t>
        </is>
      </c>
      <c r="B942" s="256" t="inlineStr">
        <is>
          <t>release</t>
        </is>
      </c>
      <c r="C942" s="256" t="inlineStr">
        <is>
          <t>AB092501</t>
        </is>
      </c>
      <c r="D942" s="256" t="inlineStr">
        <is>
          <t>P060052</t>
        </is>
      </c>
      <c r="E942" s="256" t="inlineStr">
        <is>
          <t>Apple and Banana</t>
        </is>
      </c>
      <c r="F942" s="256" t="inlineStr">
        <is>
          <t>06.06.2026</t>
        </is>
      </c>
      <c r="G942" s="256" t="inlineStr">
        <is>
          <t>11.3</t>
        </is>
      </c>
      <c r="H942" s="256" t="inlineStr">
        <is>
          <t>Arsenic (As)</t>
        </is>
      </c>
      <c r="I942" s="256" t="inlineStr">
        <is>
          <t>Ph. Eur. 2.4.27 (ICP-MS)</t>
        </is>
      </c>
      <c r="J942" s="256" t="inlineStr">
        <is>
          <t>≤ 0.2 mg/kg</t>
        </is>
      </c>
      <c r="K942" s="256" t="inlineStr">
        <is>
          <t>ND</t>
        </is>
      </c>
      <c r="L942" s="256" t="inlineStr">
        <is>
          <t>84/2026</t>
        </is>
      </c>
      <c r="M942" s="256" t="inlineStr">
        <is>
          <t>02.02.2026</t>
        </is>
      </c>
      <c r="N942" s="256" t="inlineStr">
        <is>
          <t>IPH — Institute of Public Health</t>
        </is>
      </c>
      <c r="O942" s="256" t="inlineStr">
        <is>
          <t>08.01.2026</t>
        </is>
      </c>
      <c r="P942" s="256" t="inlineStr">
        <is>
          <t>covered</t>
        </is>
      </c>
      <c r="Q942" s="256" t="inlineStr"/>
      <c r="R942" s="256" t="inlineStr"/>
    </row>
    <row r="943">
      <c r="A943" s="256" t="inlineStr">
        <is>
          <t>CoQ-PP_26-041</t>
        </is>
      </c>
      <c r="B943" s="256" t="inlineStr">
        <is>
          <t>release</t>
        </is>
      </c>
      <c r="C943" s="256" t="inlineStr">
        <is>
          <t>AB092501</t>
        </is>
      </c>
      <c r="D943" s="256" t="inlineStr">
        <is>
          <t>P060052</t>
        </is>
      </c>
      <c r="E943" s="256" t="inlineStr">
        <is>
          <t>Apple and Banana</t>
        </is>
      </c>
      <c r="F943" s="256" t="inlineStr">
        <is>
          <t>06.06.2026</t>
        </is>
      </c>
      <c r="G943" s="256" t="inlineStr">
        <is>
          <t>11.4</t>
        </is>
      </c>
      <c r="H943" s="256" t="inlineStr">
        <is>
          <t>Mercury (Hg)</t>
        </is>
      </c>
      <c r="I943" s="256" t="inlineStr">
        <is>
          <t>Ph. Eur. 2.4.27 (ICP-MS)</t>
        </is>
      </c>
      <c r="J943" s="256" t="inlineStr">
        <is>
          <t>≤ 0.1 mg/kg</t>
        </is>
      </c>
      <c r="K943" s="256" t="inlineStr">
        <is>
          <t>0.003</t>
        </is>
      </c>
      <c r="L943" s="256" t="inlineStr">
        <is>
          <t>84/2026</t>
        </is>
      </c>
      <c r="M943" s="256" t="inlineStr">
        <is>
          <t>02.02.2026</t>
        </is>
      </c>
      <c r="N943" s="256" t="inlineStr">
        <is>
          <t>IPH — Institute of Public Health</t>
        </is>
      </c>
      <c r="O943" s="256" t="inlineStr">
        <is>
          <t>08.01.2026</t>
        </is>
      </c>
      <c r="P943" s="256" t="inlineStr">
        <is>
          <t>covered</t>
        </is>
      </c>
      <c r="Q943" s="256" t="inlineStr"/>
      <c r="R943" s="256" t="inlineStr"/>
    </row>
    <row r="944">
      <c r="A944" s="256" t="inlineStr">
        <is>
          <t>CoQ-PP_26-041</t>
        </is>
      </c>
      <c r="B944" s="256" t="inlineStr">
        <is>
          <t>release</t>
        </is>
      </c>
      <c r="C944" s="256" t="inlineStr">
        <is>
          <t>AB092501</t>
        </is>
      </c>
      <c r="D944" s="256" t="inlineStr">
        <is>
          <t>P060052</t>
        </is>
      </c>
      <c r="E944" s="256" t="inlineStr">
        <is>
          <t>Apple and Banana</t>
        </is>
      </c>
      <c r="F944" s="256" t="inlineStr">
        <is>
          <t>06.06.2026</t>
        </is>
      </c>
      <c r="G944" s="256" t="inlineStr">
        <is>
          <t>12</t>
        </is>
      </c>
      <c r="H944" s="256" t="inlineStr">
        <is>
          <t>Pesticide Residues</t>
        </is>
      </c>
      <c r="I944" s="256" t="inlineStr">
        <is>
          <t>Ph. Eur. 2.8.13 (LC-MS/MS) · CUMCS Equivalency</t>
        </is>
      </c>
      <c r="J944" s="256" t="inlineStr">
        <is>
          <t>≤ LOQ as per Ph. Eur. 2.8.13 · ≤ LOQ as per CUMCS Equivalency</t>
        </is>
      </c>
      <c r="K944" s="256" t="inlineStr">
        <is>
          <t>ND</t>
        </is>
      </c>
      <c r="L944" s="256" t="inlineStr">
        <is>
          <t>84/2026</t>
        </is>
      </c>
      <c r="M944" s="256" t="inlineStr">
        <is>
          <t>02.02.2026</t>
        </is>
      </c>
      <c r="N944" s="256" t="inlineStr">
        <is>
          <t>IPH — Institute of Public Health</t>
        </is>
      </c>
      <c r="O944" s="256" t="inlineStr">
        <is>
          <t>08.01.2026</t>
        </is>
      </c>
      <c r="P944" s="256" t="inlineStr">
        <is>
          <t>covered</t>
        </is>
      </c>
      <c r="Q944" s="256" t="inlineStr"/>
      <c r="R944" s="256" t="inlineStr"/>
    </row>
    <row r="945">
      <c r="A945" s="256" t="inlineStr">
        <is>
          <t>CoQ-PP_26-042</t>
        </is>
      </c>
      <c r="B945" s="256" t="inlineStr">
        <is>
          <t>release</t>
        </is>
      </c>
      <c r="C945" s="256" t="inlineStr">
        <is>
          <t>PM092501</t>
        </is>
      </c>
      <c r="D945" s="256" t="inlineStr">
        <is>
          <t>P060062</t>
        </is>
      </c>
      <c r="E945" s="256" t="inlineStr">
        <is>
          <t>Permanent Marker</t>
        </is>
      </c>
      <c r="F945" s="256" t="inlineStr">
        <is>
          <t>06.06.2026</t>
        </is>
      </c>
      <c r="G945" s="256" t="inlineStr">
        <is>
          <t>1</t>
        </is>
      </c>
      <c r="H945" s="256" t="inlineStr">
        <is>
          <t>Identification A, Appearance · Macroscopic</t>
        </is>
      </c>
      <c r="I945" s="256" t="inlineStr">
        <is>
          <t>Ph. Eur. mon. 3028</t>
        </is>
      </c>
      <c r="J945" s="256" t="inlineStr">
        <is>
          <t>Conforms to the monograph for Cannabis flos (07/2024:3028) in Ph. Eur. 11.0 | Согласно монографија за Cannabis flos (07/2024:3028) во Ph. Eur. 11.0</t>
        </is>
      </c>
      <c r="K945" s="256" t="inlineStr">
        <is>
          <t>Conforms | Одговара</t>
        </is>
      </c>
      <c r="L945" s="256" t="inlineStr">
        <is>
          <t>iCoA-PP_26-041</t>
        </is>
      </c>
      <c r="M945" s="256" t="inlineStr">
        <is>
          <t>03.06.2026</t>
        </is>
      </c>
      <c r="N945" s="256" t="inlineStr">
        <is>
          <t>Purely Plant GmbH (in-house)</t>
        </is>
      </c>
      <c r="O945" s="256" t="inlineStr">
        <is>
          <t>—</t>
        </is>
      </c>
      <c r="P945" s="256" t="inlineStr">
        <is>
          <t>to be performed — see route</t>
        </is>
      </c>
      <c r="Q945" s="256" t="inlineStr">
        <is>
          <t>Purely Plant laboratory — iCoA covering Ident A + B</t>
        </is>
      </c>
      <c r="R945" s="256" t="inlineStr"/>
    </row>
    <row r="946">
      <c r="A946" s="256" t="inlineStr">
        <is>
          <t>CoQ-PP_26-042</t>
        </is>
      </c>
      <c r="B946" s="256" t="inlineStr">
        <is>
          <t>release</t>
        </is>
      </c>
      <c r="C946" s="256" t="inlineStr">
        <is>
          <t>PM092501</t>
        </is>
      </c>
      <c r="D946" s="256" t="inlineStr">
        <is>
          <t>P060062</t>
        </is>
      </c>
      <c r="E946" s="256" t="inlineStr">
        <is>
          <t>Permanent Marker</t>
        </is>
      </c>
      <c r="F946" s="256" t="inlineStr">
        <is>
          <t>06.06.2026</t>
        </is>
      </c>
      <c r="G946" s="256" t="inlineStr">
        <is>
          <t>2</t>
        </is>
      </c>
      <c r="H946" s="256" t="inlineStr">
        <is>
          <t>Identification B · Microscopic</t>
        </is>
      </c>
      <c r="I946" s="256" t="inlineStr">
        <is>
          <t>Ph. Eur. 2.8.23 (microscopy)</t>
        </is>
      </c>
      <c r="J946" s="256" t="inlineStr">
        <is>
          <t>Conforms to the monograph for Cannabis flos (07/2024:3028) in Ph. Eur. 11.0 | Согласно монографија за Cannabis flos (07/2024:3028) во Ph. Eur. 11.0</t>
        </is>
      </c>
      <c r="K946" s="256" t="inlineStr">
        <is>
          <t>Conforms | Одговара</t>
        </is>
      </c>
      <c r="L946" s="256" t="inlineStr">
        <is>
          <t>iCoA-PP_26-041</t>
        </is>
      </c>
      <c r="M946" s="256" t="inlineStr">
        <is>
          <t>03.06.2026</t>
        </is>
      </c>
      <c r="N946" s="256" t="inlineStr">
        <is>
          <t>Purely Plant GmbH (in-house)</t>
        </is>
      </c>
      <c r="O946" s="256" t="inlineStr">
        <is>
          <t>—</t>
        </is>
      </c>
      <c r="P946" s="256" t="inlineStr">
        <is>
          <t>to be performed — see route</t>
        </is>
      </c>
      <c r="Q946" s="256" t="inlineStr">
        <is>
          <t>Purely Plant laboratory — iCoA covering Ident A + B</t>
        </is>
      </c>
      <c r="R946" s="256" t="inlineStr"/>
    </row>
    <row r="947">
      <c r="A947" s="256" t="inlineStr">
        <is>
          <t>CoQ-PP_26-042</t>
        </is>
      </c>
      <c r="B947" s="256" t="inlineStr">
        <is>
          <t>release</t>
        </is>
      </c>
      <c r="C947" s="256" t="inlineStr">
        <is>
          <t>PM092501</t>
        </is>
      </c>
      <c r="D947" s="256" t="inlineStr">
        <is>
          <t>P060062</t>
        </is>
      </c>
      <c r="E947" s="256" t="inlineStr">
        <is>
          <t>Permanent Marker</t>
        </is>
      </c>
      <c r="F947" s="256" t="inlineStr">
        <is>
          <t>06.06.2026</t>
        </is>
      </c>
      <c r="G947" s="256" t="inlineStr">
        <is>
          <t>3</t>
        </is>
      </c>
      <c r="H947" s="256" t="inlineStr">
        <is>
          <t>Identification C · HPLC/HPTLC</t>
        </is>
      </c>
      <c r="I947" s="256" t="inlineStr">
        <is>
          <t>HPLC — DAB 2018 monograph Cannabis flos, 2.2.29 (CNP, before its Ph. Eur. 3028 accreditation)</t>
        </is>
      </c>
      <c r="J947" s="256" t="inlineStr">
        <is>
          <t>Conforms to the monograph for Cannabis flos (07/2024:3028) in Ph. Eur. 11.0 | Согласно монографија за Cannabis flos (07/2024:3028) во Ph. Eur. 11.0</t>
        </is>
      </c>
      <c r="K947" s="256" t="inlineStr">
        <is>
          <t>Conforms | Одговара</t>
        </is>
      </c>
      <c r="L947" s="256" t="inlineStr">
        <is>
          <t>ППК26004</t>
        </is>
      </c>
      <c r="M947" s="256" t="inlineStr">
        <is>
          <t>21.01.2026</t>
        </is>
      </c>
      <c r="N947" s="256" t="inlineStr">
        <is>
          <t>UKIM Faculty of Pharmacy — Center for Natural Products</t>
        </is>
      </c>
      <c r="O947" s="256" t="inlineStr">
        <is>
          <t>08.01.2026</t>
        </is>
      </c>
      <c r="P947" s="256" t="inlineStr">
        <is>
          <t>covered</t>
        </is>
      </c>
      <c r="Q947" s="256" t="inlineStr"/>
      <c r="R947" s="256" t="inlineStr"/>
    </row>
    <row r="948">
      <c r="A948" s="256" t="inlineStr">
        <is>
          <t>CoQ-PP_26-042</t>
        </is>
      </c>
      <c r="B948" s="256" t="inlineStr">
        <is>
          <t>release</t>
        </is>
      </c>
      <c r="C948" s="256" t="inlineStr">
        <is>
          <t>PM092501</t>
        </is>
      </c>
      <c r="D948" s="256" t="inlineStr">
        <is>
          <t>P060062</t>
        </is>
      </c>
      <c r="E948" s="256" t="inlineStr">
        <is>
          <t>Permanent Marker</t>
        </is>
      </c>
      <c r="F948" s="256" t="inlineStr">
        <is>
          <t>06.06.2026</t>
        </is>
      </c>
      <c r="G948" s="256" t="inlineStr">
        <is>
          <t>4</t>
        </is>
      </c>
      <c r="H948" s="256" t="inlineStr">
        <is>
          <t>Assay — Total Δ⁹-THC</t>
        </is>
      </c>
      <c r="I948" s="256" t="inlineStr">
        <is>
          <t>HPLC — DAB 2018 monograph Cannabis flos, 2.2.29 (CNP, before its Ph. Eur. 3028 accreditation)</t>
        </is>
      </c>
      <c r="J948" s="256" t="inlineStr">
        <is>
          <t>13.00 – 14.99 %  (grade I, nominal 14.00 ± 1.00)</t>
        </is>
      </c>
      <c r="K948" s="256" t="inlineStr">
        <is>
          <t>14.06</t>
        </is>
      </c>
      <c r="L948" s="256" t="inlineStr">
        <is>
          <t>ППК26004</t>
        </is>
      </c>
      <c r="M948" s="256" t="inlineStr">
        <is>
          <t>21.01.2026</t>
        </is>
      </c>
      <c r="N948" s="256" t="inlineStr">
        <is>
          <t>UKIM Faculty of Pharmacy — Center for Natural Products</t>
        </is>
      </c>
      <c r="O948" s="256" t="inlineStr">
        <is>
          <t>08.01.2026</t>
        </is>
      </c>
      <c r="P948" s="256" t="inlineStr">
        <is>
          <t>covered</t>
        </is>
      </c>
      <c r="Q948" s="256" t="inlineStr"/>
      <c r="R948" s="256" t="inlineStr">
        <is>
          <t>12.25 (197-20-К/26)</t>
        </is>
      </c>
    </row>
    <row r="949">
      <c r="A949" s="256" t="inlineStr">
        <is>
          <t>CoQ-PP_26-042</t>
        </is>
      </c>
      <c r="B949" s="256" t="inlineStr">
        <is>
          <t>release</t>
        </is>
      </c>
      <c r="C949" s="256" t="inlineStr">
        <is>
          <t>PM092501</t>
        </is>
      </c>
      <c r="D949" s="256" t="inlineStr">
        <is>
          <t>P060062</t>
        </is>
      </c>
      <c r="E949" s="256" t="inlineStr">
        <is>
          <t>Permanent Marker</t>
        </is>
      </c>
      <c r="F949" s="256" t="inlineStr">
        <is>
          <t>06.06.2026</t>
        </is>
      </c>
      <c r="G949" s="256" t="inlineStr">
        <is>
          <t>5</t>
        </is>
      </c>
      <c r="H949" s="256" t="inlineStr">
        <is>
          <t>Assay — Total CBD</t>
        </is>
      </c>
      <c r="I949" s="256" t="inlineStr">
        <is>
          <t>HPLC — DAB 2018 monograph Cannabis flos, 2.2.29 · CBD + CBDA x 0.877 (CNP, before its Ph. Eur. 3028 accreditation)</t>
        </is>
      </c>
      <c r="J949" s="256" t="inlineStr">
        <is>
          <t>≤ 1.0%, w/w</t>
        </is>
      </c>
      <c r="K949" s="256" t="inlineStr">
        <is>
          <t>0.05</t>
        </is>
      </c>
      <c r="L949" s="256" t="inlineStr">
        <is>
          <t>ППК26004</t>
        </is>
      </c>
      <c r="M949" s="256" t="inlineStr">
        <is>
          <t>21.01.2026</t>
        </is>
      </c>
      <c r="N949" s="256" t="inlineStr">
        <is>
          <t>UKIM Faculty of Pharmacy — Center for Natural Products</t>
        </is>
      </c>
      <c r="O949" s="256" t="inlineStr">
        <is>
          <t>08.01.2026</t>
        </is>
      </c>
      <c r="P949" s="256" t="inlineStr">
        <is>
          <t>covered</t>
        </is>
      </c>
      <c r="Q949" s="256" t="inlineStr"/>
      <c r="R949" s="256" t="inlineStr">
        <is>
          <t>&lt;LOQ (197-20-К/26)</t>
        </is>
      </c>
    </row>
    <row r="950">
      <c r="A950" s="256" t="inlineStr">
        <is>
          <t>CoQ-PP_26-042</t>
        </is>
      </c>
      <c r="B950" s="256" t="inlineStr">
        <is>
          <t>release</t>
        </is>
      </c>
      <c r="C950" s="256" t="inlineStr">
        <is>
          <t>PM092501</t>
        </is>
      </c>
      <c r="D950" s="256" t="inlineStr">
        <is>
          <t>P060062</t>
        </is>
      </c>
      <c r="E950" s="256" t="inlineStr">
        <is>
          <t>Permanent Marker</t>
        </is>
      </c>
      <c r="F950" s="256" t="inlineStr">
        <is>
          <t>06.06.2026</t>
        </is>
      </c>
      <c r="G950" s="256" t="inlineStr">
        <is>
          <t>6</t>
        </is>
      </c>
      <c r="H950" s="256" t="inlineStr">
        <is>
          <t>Total CBN</t>
        </is>
      </c>
      <c r="I950" s="256" t="inlineStr">
        <is>
          <t>HPLC — DAB 2018 monograph Cannabis flos, 2.2.29 · CBN + CBNA x 0.876 (CNP, before its Ph. Eur. 3028 accreditation)</t>
        </is>
      </c>
      <c r="J950" s="256" t="inlineStr">
        <is>
          <t>≤ 1.0%, w/w</t>
        </is>
      </c>
      <c r="K950" s="256" t="inlineStr">
        <is>
          <t>&lt; LOQ ᴰ</t>
        </is>
      </c>
      <c r="L950" s="256" t="inlineStr">
        <is>
          <t>ППК26004</t>
        </is>
      </c>
      <c r="M950" s="256" t="inlineStr">
        <is>
          <t>21.01.2026</t>
        </is>
      </c>
      <c r="N950" s="256" t="inlineStr">
        <is>
          <t>CNP</t>
        </is>
      </c>
      <c r="O950" s="256" t="inlineStr">
        <is>
          <t>08.01.2026</t>
        </is>
      </c>
      <c r="P950" s="256" t="inlineStr">
        <is>
          <t>covered</t>
        </is>
      </c>
      <c r="Q950" s="256" t="inlineStr"/>
      <c r="R950" s="256" t="inlineStr"/>
    </row>
    <row r="951">
      <c r="A951" s="256" t="inlineStr">
        <is>
          <t>CoQ-PP_26-042</t>
        </is>
      </c>
      <c r="B951" s="256" t="inlineStr">
        <is>
          <t>release</t>
        </is>
      </c>
      <c r="C951" s="256" t="inlineStr">
        <is>
          <t>PM092501</t>
        </is>
      </c>
      <c r="D951" s="256" t="inlineStr">
        <is>
          <t>P060062</t>
        </is>
      </c>
      <c r="E951" s="256" t="inlineStr">
        <is>
          <t>Permanent Marker</t>
        </is>
      </c>
      <c r="F951" s="256" t="inlineStr">
        <is>
          <t>06.06.2026</t>
        </is>
      </c>
      <c r="G951" s="256" t="inlineStr">
        <is>
          <t>7</t>
        </is>
      </c>
      <c r="H951" s="256" t="inlineStr">
        <is>
          <t>Foreign Matter</t>
        </is>
      </c>
      <c r="I951" s="256" t="inlineStr">
        <is>
          <t>Ph. Eur. 2.8.2 · In-house · интерна</t>
        </is>
      </c>
      <c r="J951" s="256" t="inlineStr">
        <is>
          <t>≤ 2.0% / 25–50 g · &lt; 1 cm leaves | листови, no seeds | без семки</t>
        </is>
      </c>
      <c r="K951" s="256" t="inlineStr">
        <is>
          <t>Conforms | Одговара</t>
        </is>
      </c>
      <c r="L951" s="256" t="inlineStr">
        <is>
          <t>iCoA-PP_26-041</t>
        </is>
      </c>
      <c r="M951" s="256" t="inlineStr">
        <is>
          <t>03.06.2026</t>
        </is>
      </c>
      <c r="N951" s="256" t="inlineStr">
        <is>
          <t>Purely Plant GmbH (in-house)</t>
        </is>
      </c>
      <c r="O951" s="256" t="inlineStr">
        <is>
          <t>—</t>
        </is>
      </c>
      <c r="P951" s="256" t="inlineStr">
        <is>
          <t>to be performed — see route</t>
        </is>
      </c>
      <c r="Q951" s="256" t="inlineStr">
        <is>
          <t>Purely Plant laboratory — iCoA covering Foreign matter</t>
        </is>
      </c>
      <c r="R951" s="256" t="inlineStr"/>
    </row>
    <row r="952">
      <c r="A952" s="256" t="inlineStr">
        <is>
          <t>CoQ-PP_26-042</t>
        </is>
      </c>
      <c r="B952" s="256" t="inlineStr">
        <is>
          <t>release</t>
        </is>
      </c>
      <c r="C952" s="256" t="inlineStr">
        <is>
          <t>PM092501</t>
        </is>
      </c>
      <c r="D952" s="256" t="inlineStr">
        <is>
          <t>P060062</t>
        </is>
      </c>
      <c r="E952" s="256" t="inlineStr">
        <is>
          <t>Permanent Marker</t>
        </is>
      </c>
      <c r="F952" s="256" t="inlineStr">
        <is>
          <t>06.06.2026</t>
        </is>
      </c>
      <c r="G952" s="256" t="inlineStr">
        <is>
          <t>8</t>
        </is>
      </c>
      <c r="H952" s="256" t="inlineStr">
        <is>
          <t>Loss on Drying</t>
        </is>
      </c>
      <c r="I952" s="256" t="inlineStr">
        <is>
          <t>DAB 2018 monograph Cannabis flos, 2.2.32 — loss on drying (CNP, before its Ph. Eur. 3028 accreditation)</t>
        </is>
      </c>
      <c r="J952" s="256" t="inlineStr">
        <is>
          <t>≤ 12.0%</t>
        </is>
      </c>
      <c r="K952" s="256" t="inlineStr">
        <is>
          <t>7.97</t>
        </is>
      </c>
      <c r="L952" s="256" t="inlineStr">
        <is>
          <t>ППК26004</t>
        </is>
      </c>
      <c r="M952" s="256" t="inlineStr">
        <is>
          <t>21.01.2026</t>
        </is>
      </c>
      <c r="N952" s="256" t="inlineStr">
        <is>
          <t>UKIM Faculty of Pharmacy — Center for Natural Products</t>
        </is>
      </c>
      <c r="O952" s="256" t="inlineStr">
        <is>
          <t>08.01.2026</t>
        </is>
      </c>
      <c r="P952" s="256" t="inlineStr">
        <is>
          <t>covered</t>
        </is>
      </c>
      <c r="Q952" s="256" t="inlineStr"/>
      <c r="R952" s="256" t="inlineStr"/>
    </row>
    <row r="953">
      <c r="A953" s="256" t="inlineStr">
        <is>
          <t>CoQ-PP_26-042</t>
        </is>
      </c>
      <c r="B953" s="256" t="inlineStr">
        <is>
          <t>release</t>
        </is>
      </c>
      <c r="C953" s="256" t="inlineStr">
        <is>
          <t>PM092501</t>
        </is>
      </c>
      <c r="D953" s="256" t="inlineStr">
        <is>
          <t>P060062</t>
        </is>
      </c>
      <c r="E953" s="256" t="inlineStr">
        <is>
          <t>Permanent Marker</t>
        </is>
      </c>
      <c r="F953" s="256" t="inlineStr">
        <is>
          <t>06.06.2026</t>
        </is>
      </c>
      <c r="G953" s="256" t="inlineStr">
        <is>
          <t>9.1</t>
        </is>
      </c>
      <c r="H953" s="256" t="inlineStr">
        <is>
          <t>TAMC</t>
        </is>
      </c>
      <c r="I953" s="256" t="inlineStr">
        <is>
          <t>Ph. Eur. 2.6.12 cat. C</t>
        </is>
      </c>
      <c r="J953" s="256" t="inlineStr">
        <is>
          <t>≤ 10⁵ CFU/g</t>
        </is>
      </c>
      <c r="K953" s="256" t="inlineStr">
        <is>
          <t>2 × 10³</t>
        </is>
      </c>
      <c r="L953" s="256" t="inlineStr">
        <is>
          <t>6/0009/26</t>
        </is>
      </c>
      <c r="M953" s="256" t="inlineStr">
        <is>
          <t>20.01.2026</t>
        </is>
      </c>
      <c r="N953" s="256" t="inlineStr">
        <is>
          <t>IPH — Institute of Public Health</t>
        </is>
      </c>
      <c r="O953" s="256" t="inlineStr">
        <is>
          <t>12.01.2025</t>
        </is>
      </c>
      <c r="P953" s="256" t="inlineStr">
        <is>
          <t>covered</t>
        </is>
      </c>
      <c r="Q953" s="256" t="inlineStr"/>
      <c r="R953" s="256" t="inlineStr"/>
    </row>
    <row r="954">
      <c r="A954" s="256" t="inlineStr">
        <is>
          <t>CoQ-PP_26-042</t>
        </is>
      </c>
      <c r="B954" s="256" t="inlineStr">
        <is>
          <t>release</t>
        </is>
      </c>
      <c r="C954" s="256" t="inlineStr">
        <is>
          <t>PM092501</t>
        </is>
      </c>
      <c r="D954" s="256" t="inlineStr">
        <is>
          <t>P060062</t>
        </is>
      </c>
      <c r="E954" s="256" t="inlineStr">
        <is>
          <t>Permanent Marker</t>
        </is>
      </c>
      <c r="F954" s="256" t="inlineStr">
        <is>
          <t>06.06.2026</t>
        </is>
      </c>
      <c r="G954" s="256" t="inlineStr">
        <is>
          <t>9.2</t>
        </is>
      </c>
      <c r="H954" s="256" t="inlineStr">
        <is>
          <t>TYMC</t>
        </is>
      </c>
      <c r="I954" s="256" t="inlineStr">
        <is>
          <t>Ph. Eur. 2.6.12 cat. C</t>
        </is>
      </c>
      <c r="J954" s="256" t="inlineStr">
        <is>
          <t>≤ 10⁴ CFU/g</t>
        </is>
      </c>
      <c r="K954" s="256" t="inlineStr">
        <is>
          <t>2.2 × 10³</t>
        </is>
      </c>
      <c r="L954" s="256" t="inlineStr">
        <is>
          <t>6/0009/26</t>
        </is>
      </c>
      <c r="M954" s="256" t="inlineStr">
        <is>
          <t>20.01.2026</t>
        </is>
      </c>
      <c r="N954" s="256" t="inlineStr">
        <is>
          <t>IPH — Institute of Public Health</t>
        </is>
      </c>
      <c r="O954" s="256" t="inlineStr">
        <is>
          <t>12.01.2025</t>
        </is>
      </c>
      <c r="P954" s="256" t="inlineStr">
        <is>
          <t>covered</t>
        </is>
      </c>
      <c r="Q954" s="256" t="inlineStr"/>
      <c r="R954" s="256" t="inlineStr"/>
    </row>
    <row r="955">
      <c r="A955" s="256" t="inlineStr">
        <is>
          <t>CoQ-PP_26-042</t>
        </is>
      </c>
      <c r="B955" s="256" t="inlineStr">
        <is>
          <t>release</t>
        </is>
      </c>
      <c r="C955" s="256" t="inlineStr">
        <is>
          <t>PM092501</t>
        </is>
      </c>
      <c r="D955" s="256" t="inlineStr">
        <is>
          <t>P060062</t>
        </is>
      </c>
      <c r="E955" s="256" t="inlineStr">
        <is>
          <t>Permanent Marker</t>
        </is>
      </c>
      <c r="F955" s="256" t="inlineStr">
        <is>
          <t>06.06.2026</t>
        </is>
      </c>
      <c r="G955" s="256" t="inlineStr">
        <is>
          <t>9.3</t>
        </is>
      </c>
      <c r="H955" s="256" t="inlineStr">
        <is>
          <t>Bile-tolerant gram-neg.</t>
        </is>
      </c>
      <c r="I955" s="256" t="inlineStr">
        <is>
          <t>Ph. Eur. 2.6.31 cat. C</t>
        </is>
      </c>
      <c r="J955" s="256" t="inlineStr">
        <is>
          <t>≤ 10⁴ CFU/g</t>
        </is>
      </c>
      <c r="K955" s="256" t="inlineStr">
        <is>
          <t>&lt; 10</t>
        </is>
      </c>
      <c r="L955" s="256" t="inlineStr">
        <is>
          <t>6/0009/26</t>
        </is>
      </c>
      <c r="M955" s="256" t="inlineStr">
        <is>
          <t>20.01.2026</t>
        </is>
      </c>
      <c r="N955" s="256" t="inlineStr">
        <is>
          <t>IPH — Institute of Public Health</t>
        </is>
      </c>
      <c r="O955" s="256" t="inlineStr">
        <is>
          <t>12.01.2025</t>
        </is>
      </c>
      <c r="P955" s="256" t="inlineStr">
        <is>
          <t>covered</t>
        </is>
      </c>
      <c r="Q955" s="256" t="inlineStr"/>
      <c r="R955" s="256" t="inlineStr"/>
    </row>
    <row r="956">
      <c r="A956" s="256" t="inlineStr">
        <is>
          <t>CoQ-PP_26-042</t>
        </is>
      </c>
      <c r="B956" s="256" t="inlineStr">
        <is>
          <t>release</t>
        </is>
      </c>
      <c r="C956" s="256" t="inlineStr">
        <is>
          <t>PM092501</t>
        </is>
      </c>
      <c r="D956" s="256" t="inlineStr">
        <is>
          <t>P060062</t>
        </is>
      </c>
      <c r="E956" s="256" t="inlineStr">
        <is>
          <t>Permanent Marker</t>
        </is>
      </c>
      <c r="F956" s="256" t="inlineStr">
        <is>
          <t>06.06.2026</t>
        </is>
      </c>
      <c r="G956" s="256" t="inlineStr">
        <is>
          <t>9.4</t>
        </is>
      </c>
      <c r="H956" s="256" t="inlineStr">
        <is>
          <t>Salmonella</t>
        </is>
      </c>
      <c r="I956" s="256" t="inlineStr">
        <is>
          <t>Ph. Eur. 2.6.31 cat. C</t>
        </is>
      </c>
      <c r="J956" s="256" t="inlineStr">
        <is>
          <t>Absence | Отсуство / 25 g</t>
        </is>
      </c>
      <c r="K956" s="256" t="inlineStr">
        <is>
          <t>Absent | Отсутна</t>
        </is>
      </c>
      <c r="L956" s="256" t="inlineStr">
        <is>
          <t>6/0009/26</t>
        </is>
      </c>
      <c r="M956" s="256" t="inlineStr">
        <is>
          <t>20.01.2026</t>
        </is>
      </c>
      <c r="N956" s="256" t="inlineStr">
        <is>
          <t>IPH — Institute of Public Health</t>
        </is>
      </c>
      <c r="O956" s="256" t="inlineStr">
        <is>
          <t>12.01.2025</t>
        </is>
      </c>
      <c r="P956" s="256" t="inlineStr">
        <is>
          <t>covered</t>
        </is>
      </c>
      <c r="Q956" s="256" t="inlineStr"/>
      <c r="R956" s="256" t="inlineStr"/>
    </row>
    <row r="957">
      <c r="A957" s="256" t="inlineStr">
        <is>
          <t>CoQ-PP_26-042</t>
        </is>
      </c>
      <c r="B957" s="256" t="inlineStr">
        <is>
          <t>release</t>
        </is>
      </c>
      <c r="C957" s="256" t="inlineStr">
        <is>
          <t>PM092501</t>
        </is>
      </c>
      <c r="D957" s="256" t="inlineStr">
        <is>
          <t>P060062</t>
        </is>
      </c>
      <c r="E957" s="256" t="inlineStr">
        <is>
          <t>Permanent Marker</t>
        </is>
      </c>
      <c r="F957" s="256" t="inlineStr">
        <is>
          <t>06.06.2026</t>
        </is>
      </c>
      <c r="G957" s="256" t="inlineStr">
        <is>
          <t>9.5</t>
        </is>
      </c>
      <c r="H957" s="256" t="inlineStr">
        <is>
          <t>Escherichia coli</t>
        </is>
      </c>
      <c r="I957" s="256" t="inlineStr">
        <is>
          <t>Ph. Eur. 2.6.13 cat. C</t>
        </is>
      </c>
      <c r="J957" s="256" t="inlineStr">
        <is>
          <t>Absence | Отсуство / 1 g</t>
        </is>
      </c>
      <c r="K957" s="256" t="inlineStr">
        <is>
          <t>Absent | Отсутна</t>
        </is>
      </c>
      <c r="L957" s="256" t="inlineStr">
        <is>
          <t>6/0009/26</t>
        </is>
      </c>
      <c r="M957" s="256" t="inlineStr">
        <is>
          <t>20.01.2026</t>
        </is>
      </c>
      <c r="N957" s="256" t="inlineStr">
        <is>
          <t>IPH — Institute of Public Health</t>
        </is>
      </c>
      <c r="O957" s="256" t="inlineStr">
        <is>
          <t>12.01.2025</t>
        </is>
      </c>
      <c r="P957" s="256" t="inlineStr">
        <is>
          <t>covered</t>
        </is>
      </c>
      <c r="Q957" s="256" t="inlineStr"/>
      <c r="R957" s="256" t="inlineStr"/>
    </row>
    <row r="958">
      <c r="A958" s="256" t="inlineStr">
        <is>
          <t>CoQ-PP_26-042</t>
        </is>
      </c>
      <c r="B958" s="256" t="inlineStr">
        <is>
          <t>release</t>
        </is>
      </c>
      <c r="C958" s="256" t="inlineStr">
        <is>
          <t>PM092501</t>
        </is>
      </c>
      <c r="D958" s="256" t="inlineStr">
        <is>
          <t>P060062</t>
        </is>
      </c>
      <c r="E958" s="256" t="inlineStr">
        <is>
          <t>Permanent Marker</t>
        </is>
      </c>
      <c r="F958" s="256" t="inlineStr">
        <is>
          <t>06.06.2026</t>
        </is>
      </c>
      <c r="G958" s="256" t="inlineStr">
        <is>
          <t>9.6</t>
        </is>
      </c>
      <c r="H958" s="256" t="inlineStr">
        <is>
          <t>Pseudomonas aeruginosa</t>
        </is>
      </c>
      <c r="I958" s="256" t="inlineStr">
        <is>
          <t>Ph. Eur. 2.6.13 cat. C</t>
        </is>
      </c>
      <c r="J958" s="256" t="inlineStr">
        <is>
          <t>Absence | Отсуство / 1 g</t>
        </is>
      </c>
      <c r="K958" s="260" t="inlineStr">
        <is>
          <t>upon request — not required for release</t>
        </is>
      </c>
      <c r="L958" s="256" t="inlineStr">
        <is>
          <t>—</t>
        </is>
      </c>
      <c r="M958" s="256" t="inlineStr">
        <is>
          <t>—</t>
        </is>
      </c>
      <c r="N958" s="256" t="inlineStr">
        <is>
          <t>—</t>
        </is>
      </c>
      <c r="O958" s="256" t="inlineStr">
        <is>
          <t>—</t>
        </is>
      </c>
      <c r="P958" s="256" t="inlineStr">
        <is>
          <t>upon request — not required for release</t>
        </is>
      </c>
      <c r="Q958" s="256" t="inlineStr"/>
      <c r="R958" s="256" t="inlineStr"/>
    </row>
    <row r="959">
      <c r="A959" s="256" t="inlineStr">
        <is>
          <t>CoQ-PP_26-042</t>
        </is>
      </c>
      <c r="B959" s="256" t="inlineStr">
        <is>
          <t>release</t>
        </is>
      </c>
      <c r="C959" s="256" t="inlineStr">
        <is>
          <t>PM092501</t>
        </is>
      </c>
      <c r="D959" s="256" t="inlineStr">
        <is>
          <t>P060062</t>
        </is>
      </c>
      <c r="E959" s="256" t="inlineStr">
        <is>
          <t>Permanent Marker</t>
        </is>
      </c>
      <c r="F959" s="256" t="inlineStr">
        <is>
          <t>06.06.2026</t>
        </is>
      </c>
      <c r="G959" s="256" t="inlineStr">
        <is>
          <t>9.7</t>
        </is>
      </c>
      <c r="H959" s="256" t="inlineStr">
        <is>
          <t>Staphylococcus aureus</t>
        </is>
      </c>
      <c r="I959" s="256" t="inlineStr">
        <is>
          <t>Ph. Eur. 2.6.13 cat. C</t>
        </is>
      </c>
      <c r="J959" s="256" t="inlineStr">
        <is>
          <t>Absence | Отсуство / 1 g</t>
        </is>
      </c>
      <c r="K959" s="260" t="inlineStr">
        <is>
          <t>upon request — not required for release</t>
        </is>
      </c>
      <c r="L959" s="256" t="inlineStr">
        <is>
          <t>—</t>
        </is>
      </c>
      <c r="M959" s="256" t="inlineStr">
        <is>
          <t>—</t>
        </is>
      </c>
      <c r="N959" s="256" t="inlineStr">
        <is>
          <t>—</t>
        </is>
      </c>
      <c r="O959" s="256" t="inlineStr">
        <is>
          <t>—</t>
        </is>
      </c>
      <c r="P959" s="256" t="inlineStr">
        <is>
          <t>upon request — not required for release</t>
        </is>
      </c>
      <c r="Q959" s="256" t="inlineStr"/>
      <c r="R959" s="256" t="inlineStr"/>
    </row>
    <row r="960">
      <c r="A960" s="256" t="inlineStr">
        <is>
          <t>CoQ-PP_26-042</t>
        </is>
      </c>
      <c r="B960" s="256" t="inlineStr">
        <is>
          <t>release</t>
        </is>
      </c>
      <c r="C960" s="256" t="inlineStr">
        <is>
          <t>PM092501</t>
        </is>
      </c>
      <c r="D960" s="256" t="inlineStr">
        <is>
          <t>P060062</t>
        </is>
      </c>
      <c r="E960" s="256" t="inlineStr">
        <is>
          <t>Permanent Marker</t>
        </is>
      </c>
      <c r="F960" s="256" t="inlineStr">
        <is>
          <t>06.06.2026</t>
        </is>
      </c>
      <c r="G960" s="256" t="inlineStr">
        <is>
          <t>10.1</t>
        </is>
      </c>
      <c r="H960" s="256" t="inlineStr">
        <is>
          <t>Aflatoxin B₁</t>
        </is>
      </c>
      <c r="I960" s="256" t="inlineStr">
        <is>
          <t>Ph. Eur. 2.8.18 (HPLC-FLD)</t>
        </is>
      </c>
      <c r="J960" s="256" t="inlineStr">
        <is>
          <t>≤ 2 µg/kg</t>
        </is>
      </c>
      <c r="K960" s="259" t="inlineStr">
        <is>
          <t>not tested</t>
        </is>
      </c>
      <c r="L960" s="256" t="inlineStr">
        <is>
          <t>—</t>
        </is>
      </c>
      <c r="M960" s="256" t="inlineStr">
        <is>
          <t>—</t>
        </is>
      </c>
      <c r="N960" s="256" t="inlineStr">
        <is>
          <t>—</t>
        </is>
      </c>
      <c r="O960" s="256" t="inlineStr">
        <is>
          <t>—</t>
        </is>
      </c>
      <c r="P960" s="256" t="inlineStr">
        <is>
          <t>not tested — no certificate covers it</t>
        </is>
      </c>
      <c r="Q960" s="256" t="inlineStr"/>
      <c r="R960" s="256" t="inlineStr">
        <is>
          <t>ND (197-20-М/26)</t>
        </is>
      </c>
    </row>
    <row r="961">
      <c r="A961" s="256" t="inlineStr">
        <is>
          <t>CoQ-PP_26-042</t>
        </is>
      </c>
      <c r="B961" s="256" t="inlineStr">
        <is>
          <t>release</t>
        </is>
      </c>
      <c r="C961" s="256" t="inlineStr">
        <is>
          <t>PM092501</t>
        </is>
      </c>
      <c r="D961" s="256" t="inlineStr">
        <is>
          <t>P060062</t>
        </is>
      </c>
      <c r="E961" s="256" t="inlineStr">
        <is>
          <t>Permanent Marker</t>
        </is>
      </c>
      <c r="F961" s="256" t="inlineStr">
        <is>
          <t>06.06.2026</t>
        </is>
      </c>
      <c r="G961" s="256" t="inlineStr">
        <is>
          <t>10.2</t>
        </is>
      </c>
      <c r="H961" s="256" t="inlineStr">
        <is>
          <t>Aflatoxins ∑</t>
        </is>
      </c>
      <c r="I961" s="256" t="inlineStr">
        <is>
          <t>Ph. Eur. 2.8.18 (HPLC-FLD)</t>
        </is>
      </c>
      <c r="J961" s="256" t="inlineStr">
        <is>
          <t>≤ 4 µg/kg</t>
        </is>
      </c>
      <c r="K961" s="256" t="inlineStr">
        <is>
          <t>&lt; 2</t>
        </is>
      </c>
      <c r="L961" s="256" t="inlineStr">
        <is>
          <t>83/2026</t>
        </is>
      </c>
      <c r="M961" s="256" t="inlineStr">
        <is>
          <t>02.02.2026</t>
        </is>
      </c>
      <c r="N961" s="256" t="inlineStr">
        <is>
          <t>IPH — Institute of Public Health</t>
        </is>
      </c>
      <c r="O961" s="256" t="inlineStr">
        <is>
          <t>08.01.2026</t>
        </is>
      </c>
      <c r="P961" s="256" t="inlineStr">
        <is>
          <t>covered</t>
        </is>
      </c>
      <c r="Q961" s="256" t="inlineStr"/>
      <c r="R961" s="256" t="inlineStr">
        <is>
          <t>ND (197-20-М/26)</t>
        </is>
      </c>
    </row>
    <row r="962">
      <c r="A962" s="256" t="inlineStr">
        <is>
          <t>CoQ-PP_26-042</t>
        </is>
      </c>
      <c r="B962" s="256" t="inlineStr">
        <is>
          <t>release</t>
        </is>
      </c>
      <c r="C962" s="256" t="inlineStr">
        <is>
          <t>PM092501</t>
        </is>
      </c>
      <c r="D962" s="256" t="inlineStr">
        <is>
          <t>P060062</t>
        </is>
      </c>
      <c r="E962" s="256" t="inlineStr">
        <is>
          <t>Permanent Marker</t>
        </is>
      </c>
      <c r="F962" s="256" t="inlineStr">
        <is>
          <t>06.06.2026</t>
        </is>
      </c>
      <c r="G962" s="256" t="inlineStr">
        <is>
          <t>10.3</t>
        </is>
      </c>
      <c r="H962" s="256" t="inlineStr">
        <is>
          <t>Ochratoxin A</t>
        </is>
      </c>
      <c r="I962" s="256" t="inlineStr">
        <is>
          <t>Ph. Eur. 2.8.22 (HPLC-FLD)</t>
        </is>
      </c>
      <c r="J962" s="256" t="inlineStr">
        <is>
          <t>≤ 20 µg/kg</t>
        </is>
      </c>
      <c r="K962" s="259" t="inlineStr">
        <is>
          <t>not tested</t>
        </is>
      </c>
      <c r="L962" s="256" t="inlineStr">
        <is>
          <t>—</t>
        </is>
      </c>
      <c r="M962" s="256" t="inlineStr">
        <is>
          <t>—</t>
        </is>
      </c>
      <c r="N962" s="256" t="inlineStr">
        <is>
          <t>—</t>
        </is>
      </c>
      <c r="O962" s="256" t="inlineStr">
        <is>
          <t>—</t>
        </is>
      </c>
      <c r="P962" s="256" t="inlineStr">
        <is>
          <t>not tested — no certificate covers it</t>
        </is>
      </c>
      <c r="Q962" s="256" t="inlineStr"/>
      <c r="R962" s="256" t="inlineStr">
        <is>
          <t>ND (197-20-М/26)</t>
        </is>
      </c>
    </row>
    <row r="963">
      <c r="A963" s="256" t="inlineStr">
        <is>
          <t>CoQ-PP_26-042</t>
        </is>
      </c>
      <c r="B963" s="256" t="inlineStr">
        <is>
          <t>release</t>
        </is>
      </c>
      <c r="C963" s="256" t="inlineStr">
        <is>
          <t>PM092501</t>
        </is>
      </c>
      <c r="D963" s="256" t="inlineStr">
        <is>
          <t>P060062</t>
        </is>
      </c>
      <c r="E963" s="256" t="inlineStr">
        <is>
          <t>Permanent Marker</t>
        </is>
      </c>
      <c r="F963" s="256" t="inlineStr">
        <is>
          <t>06.06.2026</t>
        </is>
      </c>
      <c r="G963" s="256" t="inlineStr">
        <is>
          <t>11.1</t>
        </is>
      </c>
      <c r="H963" s="256" t="inlineStr">
        <is>
          <t>Lead (Pb)</t>
        </is>
      </c>
      <c r="I963" s="256" t="inlineStr">
        <is>
          <t>Ph. Eur. 2.4.27 (ICP-MS)</t>
        </is>
      </c>
      <c r="J963" s="256" t="inlineStr">
        <is>
          <t>≤ 0.5 mg/kg</t>
        </is>
      </c>
      <c r="K963" s="256" t="inlineStr">
        <is>
          <t>0.03</t>
        </is>
      </c>
      <c r="L963" s="256" t="inlineStr">
        <is>
          <t>83/2026</t>
        </is>
      </c>
      <c r="M963" s="256" t="inlineStr">
        <is>
          <t>02.02.2026</t>
        </is>
      </c>
      <c r="N963" s="256" t="inlineStr">
        <is>
          <t>IPH — Institute of Public Health</t>
        </is>
      </c>
      <c r="O963" s="256" t="inlineStr">
        <is>
          <t>08.01.2026</t>
        </is>
      </c>
      <c r="P963" s="256" t="inlineStr">
        <is>
          <t>covered</t>
        </is>
      </c>
      <c r="Q963" s="256" t="inlineStr"/>
      <c r="R963" s="256" t="inlineStr"/>
    </row>
    <row r="964">
      <c r="A964" s="256" t="inlineStr">
        <is>
          <t>CoQ-PP_26-042</t>
        </is>
      </c>
      <c r="B964" s="256" t="inlineStr">
        <is>
          <t>release</t>
        </is>
      </c>
      <c r="C964" s="256" t="inlineStr">
        <is>
          <t>PM092501</t>
        </is>
      </c>
      <c r="D964" s="256" t="inlineStr">
        <is>
          <t>P060062</t>
        </is>
      </c>
      <c r="E964" s="256" t="inlineStr">
        <is>
          <t>Permanent Marker</t>
        </is>
      </c>
      <c r="F964" s="256" t="inlineStr">
        <is>
          <t>06.06.2026</t>
        </is>
      </c>
      <c r="G964" s="256" t="inlineStr">
        <is>
          <t>11.2</t>
        </is>
      </c>
      <c r="H964" s="256" t="inlineStr">
        <is>
          <t>Cadmium (Cd)</t>
        </is>
      </c>
      <c r="I964" s="256" t="inlineStr">
        <is>
          <t>Ph. Eur. 2.4.27 (ICP-MS)</t>
        </is>
      </c>
      <c r="J964" s="256" t="inlineStr">
        <is>
          <t>≤ 0.3 mg/kg</t>
        </is>
      </c>
      <c r="K964" s="256" t="inlineStr">
        <is>
          <t>ND</t>
        </is>
      </c>
      <c r="L964" s="256" t="inlineStr">
        <is>
          <t>83/2026</t>
        </is>
      </c>
      <c r="M964" s="256" t="inlineStr">
        <is>
          <t>02.02.2026</t>
        </is>
      </c>
      <c r="N964" s="256" t="inlineStr">
        <is>
          <t>IPH — Institute of Public Health</t>
        </is>
      </c>
      <c r="O964" s="256" t="inlineStr">
        <is>
          <t>08.01.2026</t>
        </is>
      </c>
      <c r="P964" s="256" t="inlineStr">
        <is>
          <t>covered</t>
        </is>
      </c>
      <c r="Q964" s="256" t="inlineStr"/>
      <c r="R964" s="256" t="inlineStr"/>
    </row>
    <row r="965">
      <c r="A965" s="256" t="inlineStr">
        <is>
          <t>CoQ-PP_26-042</t>
        </is>
      </c>
      <c r="B965" s="256" t="inlineStr">
        <is>
          <t>release</t>
        </is>
      </c>
      <c r="C965" s="256" t="inlineStr">
        <is>
          <t>PM092501</t>
        </is>
      </c>
      <c r="D965" s="256" t="inlineStr">
        <is>
          <t>P060062</t>
        </is>
      </c>
      <c r="E965" s="256" t="inlineStr">
        <is>
          <t>Permanent Marker</t>
        </is>
      </c>
      <c r="F965" s="256" t="inlineStr">
        <is>
          <t>06.06.2026</t>
        </is>
      </c>
      <c r="G965" s="256" t="inlineStr">
        <is>
          <t>11.3</t>
        </is>
      </c>
      <c r="H965" s="256" t="inlineStr">
        <is>
          <t>Arsenic (As)</t>
        </is>
      </c>
      <c r="I965" s="256" t="inlineStr">
        <is>
          <t>Ph. Eur. 2.4.27 (ICP-MS)</t>
        </is>
      </c>
      <c r="J965" s="256" t="inlineStr">
        <is>
          <t>≤ 0.2 mg/kg</t>
        </is>
      </c>
      <c r="K965" s="256" t="inlineStr">
        <is>
          <t>ND</t>
        </is>
      </c>
      <c r="L965" s="256" t="inlineStr">
        <is>
          <t>83/2026</t>
        </is>
      </c>
      <c r="M965" s="256" t="inlineStr">
        <is>
          <t>02.02.2026</t>
        </is>
      </c>
      <c r="N965" s="256" t="inlineStr">
        <is>
          <t>IPH — Institute of Public Health</t>
        </is>
      </c>
      <c r="O965" s="256" t="inlineStr">
        <is>
          <t>08.01.2026</t>
        </is>
      </c>
      <c r="P965" s="256" t="inlineStr">
        <is>
          <t>covered</t>
        </is>
      </c>
      <c r="Q965" s="256" t="inlineStr"/>
      <c r="R965" s="256" t="inlineStr"/>
    </row>
    <row r="966">
      <c r="A966" s="256" t="inlineStr">
        <is>
          <t>CoQ-PP_26-042</t>
        </is>
      </c>
      <c r="B966" s="256" t="inlineStr">
        <is>
          <t>release</t>
        </is>
      </c>
      <c r="C966" s="256" t="inlineStr">
        <is>
          <t>PM092501</t>
        </is>
      </c>
      <c r="D966" s="256" t="inlineStr">
        <is>
          <t>P060062</t>
        </is>
      </c>
      <c r="E966" s="256" t="inlineStr">
        <is>
          <t>Permanent Marker</t>
        </is>
      </c>
      <c r="F966" s="256" t="inlineStr">
        <is>
          <t>06.06.2026</t>
        </is>
      </c>
      <c r="G966" s="256" t="inlineStr">
        <is>
          <t>11.4</t>
        </is>
      </c>
      <c r="H966" s="256" t="inlineStr">
        <is>
          <t>Mercury (Hg)</t>
        </is>
      </c>
      <c r="I966" s="256" t="inlineStr">
        <is>
          <t>Ph. Eur. 2.4.27 (ICP-MS)</t>
        </is>
      </c>
      <c r="J966" s="256" t="inlineStr">
        <is>
          <t>≤ 0.1 mg/kg</t>
        </is>
      </c>
      <c r="K966" s="256" t="inlineStr">
        <is>
          <t>ND</t>
        </is>
      </c>
      <c r="L966" s="256" t="inlineStr">
        <is>
          <t>83/2026</t>
        </is>
      </c>
      <c r="M966" s="256" t="inlineStr">
        <is>
          <t>02.02.2026</t>
        </is>
      </c>
      <c r="N966" s="256" t="inlineStr">
        <is>
          <t>IPH — Institute of Public Health</t>
        </is>
      </c>
      <c r="O966" s="256" t="inlineStr">
        <is>
          <t>08.01.2026</t>
        </is>
      </c>
      <c r="P966" s="256" t="inlineStr">
        <is>
          <t>covered</t>
        </is>
      </c>
      <c r="Q966" s="256" t="inlineStr"/>
      <c r="R966" s="256" t="inlineStr"/>
    </row>
    <row r="967">
      <c r="A967" s="256" t="inlineStr">
        <is>
          <t>CoQ-PP_26-042</t>
        </is>
      </c>
      <c r="B967" s="256" t="inlineStr">
        <is>
          <t>release</t>
        </is>
      </c>
      <c r="C967" s="256" t="inlineStr">
        <is>
          <t>PM092501</t>
        </is>
      </c>
      <c r="D967" s="256" t="inlineStr">
        <is>
          <t>P060062</t>
        </is>
      </c>
      <c r="E967" s="256" t="inlineStr">
        <is>
          <t>Permanent Marker</t>
        </is>
      </c>
      <c r="F967" s="256" t="inlineStr">
        <is>
          <t>06.06.2026</t>
        </is>
      </c>
      <c r="G967" s="256" t="inlineStr">
        <is>
          <t>12</t>
        </is>
      </c>
      <c r="H967" s="256" t="inlineStr">
        <is>
          <t>Pesticide Residues</t>
        </is>
      </c>
      <c r="I967" s="256" t="inlineStr">
        <is>
          <t>Ph. Eur. 2.8.13 (LC-MS/MS) · CUMCS Equivalency</t>
        </is>
      </c>
      <c r="J967" s="256" t="inlineStr">
        <is>
          <t>≤ LOQ as per Ph. Eur. 2.8.13 · ≤ LOQ as per CUMCS Equivalency</t>
        </is>
      </c>
      <c r="K967" s="256" t="inlineStr">
        <is>
          <t>ND</t>
        </is>
      </c>
      <c r="L967" s="256" t="inlineStr">
        <is>
          <t>83/2026</t>
        </is>
      </c>
      <c r="M967" s="256" t="inlineStr">
        <is>
          <t>02.02.2026</t>
        </is>
      </c>
      <c r="N967" s="256" t="inlineStr">
        <is>
          <t>IPH — Institute of Public Health</t>
        </is>
      </c>
      <c r="O967" s="256" t="inlineStr">
        <is>
          <t>08.01.2026</t>
        </is>
      </c>
      <c r="P967" s="256" t="inlineStr">
        <is>
          <t>covered</t>
        </is>
      </c>
      <c r="Q967" s="256" t="inlineStr"/>
      <c r="R967" s="256" t="inlineStr"/>
    </row>
    <row r="968">
      <c r="A968" s="256" t="inlineStr">
        <is>
          <t>CoQ-PP_26-043</t>
        </is>
      </c>
      <c r="B968" s="256" t="inlineStr">
        <is>
          <t>release</t>
        </is>
      </c>
      <c r="C968" s="256" t="inlineStr">
        <is>
          <t>CJ092501</t>
        </is>
      </c>
      <c r="D968" s="256" t="inlineStr">
        <is>
          <t>P060072</t>
        </is>
      </c>
      <c r="E968" s="256" t="inlineStr">
        <is>
          <t>Cap Junky</t>
        </is>
      </c>
      <c r="F968" s="256" t="inlineStr">
        <is>
          <t>06.06.2026</t>
        </is>
      </c>
      <c r="G968" s="256" t="inlineStr">
        <is>
          <t>1</t>
        </is>
      </c>
      <c r="H968" s="256" t="inlineStr">
        <is>
          <t>Identification A, Appearance · Macroscopic</t>
        </is>
      </c>
      <c r="I968" s="256" t="inlineStr">
        <is>
          <t>Ph. Eur. mon. 3028</t>
        </is>
      </c>
      <c r="J968" s="256" t="inlineStr">
        <is>
          <t>Conforms to the monograph for Cannabis flos (07/2024:3028) in Ph. Eur. 11.0 | Согласно монографија за Cannabis flos (07/2024:3028) во Ph. Eur. 11.0</t>
        </is>
      </c>
      <c r="K968" s="256" t="inlineStr">
        <is>
          <t>Conforms | Одговара</t>
        </is>
      </c>
      <c r="L968" s="256" t="inlineStr">
        <is>
          <t>iCoA-PP_26-042</t>
        </is>
      </c>
      <c r="M968" s="256" t="inlineStr">
        <is>
          <t>03.06.2026</t>
        </is>
      </c>
      <c r="N968" s="256" t="inlineStr">
        <is>
          <t>Purely Plant GmbH (in-house)</t>
        </is>
      </c>
      <c r="O968" s="256" t="inlineStr">
        <is>
          <t>—</t>
        </is>
      </c>
      <c r="P968" s="256" t="inlineStr">
        <is>
          <t>to be performed — see route</t>
        </is>
      </c>
      <c r="Q968" s="256" t="inlineStr">
        <is>
          <t>Purely Plant laboratory — iCoA covering Ident A + B</t>
        </is>
      </c>
      <c r="R968" s="256" t="inlineStr"/>
    </row>
    <row r="969">
      <c r="A969" s="256" t="inlineStr">
        <is>
          <t>CoQ-PP_26-043</t>
        </is>
      </c>
      <c r="B969" s="256" t="inlineStr">
        <is>
          <t>release</t>
        </is>
      </c>
      <c r="C969" s="256" t="inlineStr">
        <is>
          <t>CJ092501</t>
        </is>
      </c>
      <c r="D969" s="256" t="inlineStr">
        <is>
          <t>P060072</t>
        </is>
      </c>
      <c r="E969" s="256" t="inlineStr">
        <is>
          <t>Cap Junky</t>
        </is>
      </c>
      <c r="F969" s="256" t="inlineStr">
        <is>
          <t>06.06.2026</t>
        </is>
      </c>
      <c r="G969" s="256" t="inlineStr">
        <is>
          <t>2</t>
        </is>
      </c>
      <c r="H969" s="256" t="inlineStr">
        <is>
          <t>Identification B · Microscopic</t>
        </is>
      </c>
      <c r="I969" s="256" t="inlineStr">
        <is>
          <t>Ph. Eur. 2.8.23 (microscopy)</t>
        </is>
      </c>
      <c r="J969" s="256" t="inlineStr">
        <is>
          <t>Conforms to the monograph for Cannabis flos (07/2024:3028) in Ph. Eur. 11.0 | Согласно монографија за Cannabis flos (07/2024:3028) во Ph. Eur. 11.0</t>
        </is>
      </c>
      <c r="K969" s="256" t="inlineStr">
        <is>
          <t>Conforms | Одговара</t>
        </is>
      </c>
      <c r="L969" s="256" t="inlineStr">
        <is>
          <t>iCoA-PP_26-042</t>
        </is>
      </c>
      <c r="M969" s="256" t="inlineStr">
        <is>
          <t>03.06.2026</t>
        </is>
      </c>
      <c r="N969" s="256" t="inlineStr">
        <is>
          <t>Purely Plant GmbH (in-house)</t>
        </is>
      </c>
      <c r="O969" s="256" t="inlineStr">
        <is>
          <t>—</t>
        </is>
      </c>
      <c r="P969" s="256" t="inlineStr">
        <is>
          <t>to be performed — see route</t>
        </is>
      </c>
      <c r="Q969" s="256" t="inlineStr">
        <is>
          <t>Purely Plant laboratory — iCoA covering Ident A + B</t>
        </is>
      </c>
      <c r="R969" s="256" t="inlineStr"/>
    </row>
    <row r="970">
      <c r="A970" s="256" t="inlineStr">
        <is>
          <t>CoQ-PP_26-043</t>
        </is>
      </c>
      <c r="B970" s="256" t="inlineStr">
        <is>
          <t>release</t>
        </is>
      </c>
      <c r="C970" s="256" t="inlineStr">
        <is>
          <t>CJ092501</t>
        </is>
      </c>
      <c r="D970" s="256" t="inlineStr">
        <is>
          <t>P060072</t>
        </is>
      </c>
      <c r="E970" s="256" t="inlineStr">
        <is>
          <t>Cap Junky</t>
        </is>
      </c>
      <c r="F970" s="256" t="inlineStr">
        <is>
          <t>06.06.2026</t>
        </is>
      </c>
      <c r="G970" s="256" t="inlineStr">
        <is>
          <t>3</t>
        </is>
      </c>
      <c r="H970" s="256" t="inlineStr">
        <is>
          <t>Identification C · HPLC/HPTLC</t>
        </is>
      </c>
      <c r="I970" s="256" t="inlineStr">
        <is>
          <t>HPLC — DAB 2018 monograph Cannabis flos, 2.2.29 (CNP, before its Ph. Eur. 3028 accreditation)</t>
        </is>
      </c>
      <c r="J970" s="256" t="inlineStr">
        <is>
          <t>Conforms to the monograph for Cannabis flos (07/2024:3028) in Ph. Eur. 11.0 | Согласно монографија за Cannabis flos (07/2024:3028) во Ph. Eur. 11.0</t>
        </is>
      </c>
      <c r="K970" s="256" t="inlineStr">
        <is>
          <t>Conforms | Одговара</t>
        </is>
      </c>
      <c r="L970" s="256" t="inlineStr">
        <is>
          <t>ППК26007</t>
        </is>
      </c>
      <c r="M970" s="256" t="inlineStr">
        <is>
          <t>21.01.2026</t>
        </is>
      </c>
      <c r="N970" s="256" t="inlineStr">
        <is>
          <t>UKIM Faculty of Pharmacy — Center for Natural Products</t>
        </is>
      </c>
      <c r="O970" s="256" t="inlineStr">
        <is>
          <t>08.01.2026</t>
        </is>
      </c>
      <c r="P970" s="256" t="inlineStr">
        <is>
          <t>covered</t>
        </is>
      </c>
      <c r="Q970" s="256" t="inlineStr"/>
      <c r="R970" s="256" t="inlineStr"/>
    </row>
    <row r="971">
      <c r="A971" s="256" t="inlineStr">
        <is>
          <t>CoQ-PP_26-043</t>
        </is>
      </c>
      <c r="B971" s="256" t="inlineStr">
        <is>
          <t>release</t>
        </is>
      </c>
      <c r="C971" s="256" t="inlineStr">
        <is>
          <t>CJ092501</t>
        </is>
      </c>
      <c r="D971" s="256" t="inlineStr">
        <is>
          <t>P060072</t>
        </is>
      </c>
      <c r="E971" s="256" t="inlineStr">
        <is>
          <t>Cap Junky</t>
        </is>
      </c>
      <c r="F971" s="256" t="inlineStr">
        <is>
          <t>06.06.2026</t>
        </is>
      </c>
      <c r="G971" s="256" t="inlineStr">
        <is>
          <t>4</t>
        </is>
      </c>
      <c r="H971" s="256" t="inlineStr">
        <is>
          <t>Assay — Total Δ⁹-THC</t>
        </is>
      </c>
      <c r="I971" s="256" t="inlineStr">
        <is>
          <t>HPLC — DAB 2018 monograph Cannabis flos, 2.2.29 (CNP, before its Ph. Eur. 3028 accreditation)</t>
        </is>
      </c>
      <c r="J971" s="256" t="inlineStr">
        <is>
          <t>21.60 – 26.39 %  (grade II, nominal 24.00 ± 2.40)</t>
        </is>
      </c>
      <c r="K971" s="256" t="inlineStr">
        <is>
          <t>22.30</t>
        </is>
      </c>
      <c r="L971" s="256" t="inlineStr">
        <is>
          <t>ППК26007</t>
        </is>
      </c>
      <c r="M971" s="256" t="inlineStr">
        <is>
          <t>21.01.2026</t>
        </is>
      </c>
      <c r="N971" s="256" t="inlineStr">
        <is>
          <t>UKIM Faculty of Pharmacy — Center for Natural Products</t>
        </is>
      </c>
      <c r="O971" s="256" t="inlineStr">
        <is>
          <t>08.01.2026</t>
        </is>
      </c>
      <c r="P971" s="256" t="inlineStr">
        <is>
          <t>covered</t>
        </is>
      </c>
      <c r="Q971" s="256" t="inlineStr"/>
      <c r="R971" s="256" t="inlineStr">
        <is>
          <t>25.65 (220-5-К/26)</t>
        </is>
      </c>
    </row>
    <row r="972">
      <c r="A972" s="256" t="inlineStr">
        <is>
          <t>CoQ-PP_26-043</t>
        </is>
      </c>
      <c r="B972" s="256" t="inlineStr">
        <is>
          <t>release</t>
        </is>
      </c>
      <c r="C972" s="256" t="inlineStr">
        <is>
          <t>CJ092501</t>
        </is>
      </c>
      <c r="D972" s="256" t="inlineStr">
        <is>
          <t>P060072</t>
        </is>
      </c>
      <c r="E972" s="256" t="inlineStr">
        <is>
          <t>Cap Junky</t>
        </is>
      </c>
      <c r="F972" s="256" t="inlineStr">
        <is>
          <t>06.06.2026</t>
        </is>
      </c>
      <c r="G972" s="256" t="inlineStr">
        <is>
          <t>5</t>
        </is>
      </c>
      <c r="H972" s="256" t="inlineStr">
        <is>
          <t>Assay — Total CBD</t>
        </is>
      </c>
      <c r="I972" s="256" t="inlineStr">
        <is>
          <t>HPLC — DAB 2018 monograph Cannabis flos, 2.2.29 · CBD + CBDA x 0.877 (CNP, before its Ph. Eur. 3028 accreditation)</t>
        </is>
      </c>
      <c r="J972" s="256" t="inlineStr">
        <is>
          <t>≤ 1.0%, w/w</t>
        </is>
      </c>
      <c r="K972" s="256" t="inlineStr">
        <is>
          <t>0.10</t>
        </is>
      </c>
      <c r="L972" s="256" t="inlineStr">
        <is>
          <t>ППК26007</t>
        </is>
      </c>
      <c r="M972" s="256" t="inlineStr">
        <is>
          <t>21.01.2026</t>
        </is>
      </c>
      <c r="N972" s="256" t="inlineStr">
        <is>
          <t>UKIM Faculty of Pharmacy — Center for Natural Products</t>
        </is>
      </c>
      <c r="O972" s="256" t="inlineStr">
        <is>
          <t>08.01.2026</t>
        </is>
      </c>
      <c r="P972" s="256" t="inlineStr">
        <is>
          <t>covered</t>
        </is>
      </c>
      <c r="Q972" s="256" t="inlineStr"/>
      <c r="R972" s="256" t="inlineStr">
        <is>
          <t>&lt;LOQ (220-5-К/26)</t>
        </is>
      </c>
    </row>
    <row r="973">
      <c r="A973" s="256" t="inlineStr">
        <is>
          <t>CoQ-PP_26-043</t>
        </is>
      </c>
      <c r="B973" s="256" t="inlineStr">
        <is>
          <t>release</t>
        </is>
      </c>
      <c r="C973" s="256" t="inlineStr">
        <is>
          <t>CJ092501</t>
        </is>
      </c>
      <c r="D973" s="256" t="inlineStr">
        <is>
          <t>P060072</t>
        </is>
      </c>
      <c r="E973" s="256" t="inlineStr">
        <is>
          <t>Cap Junky</t>
        </is>
      </c>
      <c r="F973" s="256" t="inlineStr">
        <is>
          <t>06.06.2026</t>
        </is>
      </c>
      <c r="G973" s="256" t="inlineStr">
        <is>
          <t>6</t>
        </is>
      </c>
      <c r="H973" s="256" t="inlineStr">
        <is>
          <t>Total CBN</t>
        </is>
      </c>
      <c r="I973" s="256" t="inlineStr">
        <is>
          <t>HPLC — DAB 2018 monograph Cannabis flos, 2.2.29 · CBN + CBNA x 0.876 (CNP, before its Ph. Eur. 3028 accreditation)</t>
        </is>
      </c>
      <c r="J973" s="256" t="inlineStr">
        <is>
          <t>≤ 1.0%, w/w</t>
        </is>
      </c>
      <c r="K973" s="256" t="inlineStr">
        <is>
          <t>ND ᴰ</t>
        </is>
      </c>
      <c r="L973" s="256" t="inlineStr">
        <is>
          <t>ППК26007</t>
        </is>
      </c>
      <c r="M973" s="256" t="inlineStr">
        <is>
          <t>21.01.2026</t>
        </is>
      </c>
      <c r="N973" s="256" t="inlineStr">
        <is>
          <t>CNP</t>
        </is>
      </c>
      <c r="O973" s="256" t="inlineStr">
        <is>
          <t>08.01.2026</t>
        </is>
      </c>
      <c r="P973" s="256" t="inlineStr">
        <is>
          <t>covered</t>
        </is>
      </c>
      <c r="Q973" s="256" t="inlineStr"/>
      <c r="R973" s="256" t="inlineStr"/>
    </row>
    <row r="974">
      <c r="A974" s="256" t="inlineStr">
        <is>
          <t>CoQ-PP_26-043</t>
        </is>
      </c>
      <c r="B974" s="256" t="inlineStr">
        <is>
          <t>release</t>
        </is>
      </c>
      <c r="C974" s="256" t="inlineStr">
        <is>
          <t>CJ092501</t>
        </is>
      </c>
      <c r="D974" s="256" t="inlineStr">
        <is>
          <t>P060072</t>
        </is>
      </c>
      <c r="E974" s="256" t="inlineStr">
        <is>
          <t>Cap Junky</t>
        </is>
      </c>
      <c r="F974" s="256" t="inlineStr">
        <is>
          <t>06.06.2026</t>
        </is>
      </c>
      <c r="G974" s="256" t="inlineStr">
        <is>
          <t>7</t>
        </is>
      </c>
      <c r="H974" s="256" t="inlineStr">
        <is>
          <t>Foreign Matter</t>
        </is>
      </c>
      <c r="I974" s="256" t="inlineStr">
        <is>
          <t>Ph. Eur. 2.8.2 · In-house · интерна</t>
        </is>
      </c>
      <c r="J974" s="256" t="inlineStr">
        <is>
          <t>≤ 2.0% / 25–50 g · &lt; 1 cm leaves | листови, no seeds | без семки</t>
        </is>
      </c>
      <c r="K974" s="256" t="inlineStr">
        <is>
          <t>Conforms | Одговара</t>
        </is>
      </c>
      <c r="L974" s="256" t="inlineStr">
        <is>
          <t>iCoA-PP_26-042</t>
        </is>
      </c>
      <c r="M974" s="256" t="inlineStr">
        <is>
          <t>03.06.2026</t>
        </is>
      </c>
      <c r="N974" s="256" t="inlineStr">
        <is>
          <t>Purely Plant GmbH (in-house)</t>
        </is>
      </c>
      <c r="O974" s="256" t="inlineStr">
        <is>
          <t>—</t>
        </is>
      </c>
      <c r="P974" s="256" t="inlineStr">
        <is>
          <t>to be performed — see route</t>
        </is>
      </c>
      <c r="Q974" s="256" t="inlineStr">
        <is>
          <t>Purely Plant laboratory — iCoA covering Foreign matter</t>
        </is>
      </c>
      <c r="R974" s="256" t="inlineStr"/>
    </row>
    <row r="975">
      <c r="A975" s="256" t="inlineStr">
        <is>
          <t>CoQ-PP_26-043</t>
        </is>
      </c>
      <c r="B975" s="256" t="inlineStr">
        <is>
          <t>release</t>
        </is>
      </c>
      <c r="C975" s="256" t="inlineStr">
        <is>
          <t>CJ092501</t>
        </is>
      </c>
      <c r="D975" s="256" t="inlineStr">
        <is>
          <t>P060072</t>
        </is>
      </c>
      <c r="E975" s="256" t="inlineStr">
        <is>
          <t>Cap Junky</t>
        </is>
      </c>
      <c r="F975" s="256" t="inlineStr">
        <is>
          <t>06.06.2026</t>
        </is>
      </c>
      <c r="G975" s="256" t="inlineStr">
        <is>
          <t>8</t>
        </is>
      </c>
      <c r="H975" s="256" t="inlineStr">
        <is>
          <t>Loss on Drying</t>
        </is>
      </c>
      <c r="I975" s="256" t="inlineStr">
        <is>
          <t>DAB 2018 monograph Cannabis flos, 2.2.32 — loss on drying (CNP, before its Ph. Eur. 3028 accreditation)</t>
        </is>
      </c>
      <c r="J975" s="256" t="inlineStr">
        <is>
          <t>≤ 12.0%</t>
        </is>
      </c>
      <c r="K975" s="256" t="inlineStr">
        <is>
          <t>7.64</t>
        </is>
      </c>
      <c r="L975" s="256" t="inlineStr">
        <is>
          <t>ППК26007</t>
        </is>
      </c>
      <c r="M975" s="256" t="inlineStr">
        <is>
          <t>21.01.2026</t>
        </is>
      </c>
      <c r="N975" s="256" t="inlineStr">
        <is>
          <t>UKIM Faculty of Pharmacy — Center for Natural Products</t>
        </is>
      </c>
      <c r="O975" s="256" t="inlineStr">
        <is>
          <t>08.01.2026</t>
        </is>
      </c>
      <c r="P975" s="256" t="inlineStr">
        <is>
          <t>covered</t>
        </is>
      </c>
      <c r="Q975" s="256" t="inlineStr"/>
      <c r="R975" s="256" t="inlineStr"/>
    </row>
    <row r="976">
      <c r="A976" s="256" t="inlineStr">
        <is>
          <t>CoQ-PP_26-043</t>
        </is>
      </c>
      <c r="B976" s="256" t="inlineStr">
        <is>
          <t>release</t>
        </is>
      </c>
      <c r="C976" s="256" t="inlineStr">
        <is>
          <t>CJ092501</t>
        </is>
      </c>
      <c r="D976" s="256" t="inlineStr">
        <is>
          <t>P060072</t>
        </is>
      </c>
      <c r="E976" s="256" t="inlineStr">
        <is>
          <t>Cap Junky</t>
        </is>
      </c>
      <c r="F976" s="256" t="inlineStr">
        <is>
          <t>06.06.2026</t>
        </is>
      </c>
      <c r="G976" s="256" t="inlineStr">
        <is>
          <t>9.1</t>
        </is>
      </c>
      <c r="H976" s="256" t="inlineStr">
        <is>
          <t>TAMC</t>
        </is>
      </c>
      <c r="I976" s="256" t="inlineStr">
        <is>
          <t>Ph. Eur. 2.6.12 cat. C</t>
        </is>
      </c>
      <c r="J976" s="256" t="inlineStr">
        <is>
          <t>≤ 10⁵ CFU/g</t>
        </is>
      </c>
      <c r="K976" s="256" t="inlineStr">
        <is>
          <t>&lt; 10</t>
        </is>
      </c>
      <c r="L976" s="256" t="inlineStr">
        <is>
          <t>10/0013/26</t>
        </is>
      </c>
      <c r="M976" s="256" t="inlineStr">
        <is>
          <t>20.01.2026</t>
        </is>
      </c>
      <c r="N976" s="256" t="inlineStr">
        <is>
          <t>IPH — Institute of Public Health</t>
        </is>
      </c>
      <c r="O976" s="256" t="inlineStr">
        <is>
          <t>12.01.2025</t>
        </is>
      </c>
      <c r="P976" s="256" t="inlineStr">
        <is>
          <t>covered</t>
        </is>
      </c>
      <c r="Q976" s="256" t="inlineStr"/>
      <c r="R976" s="256" t="inlineStr"/>
    </row>
    <row r="977">
      <c r="A977" s="256" t="inlineStr">
        <is>
          <t>CoQ-PP_26-043</t>
        </is>
      </c>
      <c r="B977" s="256" t="inlineStr">
        <is>
          <t>release</t>
        </is>
      </c>
      <c r="C977" s="256" t="inlineStr">
        <is>
          <t>CJ092501</t>
        </is>
      </c>
      <c r="D977" s="256" t="inlineStr">
        <is>
          <t>P060072</t>
        </is>
      </c>
      <c r="E977" s="256" t="inlineStr">
        <is>
          <t>Cap Junky</t>
        </is>
      </c>
      <c r="F977" s="256" t="inlineStr">
        <is>
          <t>06.06.2026</t>
        </is>
      </c>
      <c r="G977" s="256" t="inlineStr">
        <is>
          <t>9.2</t>
        </is>
      </c>
      <c r="H977" s="256" t="inlineStr">
        <is>
          <t>TYMC</t>
        </is>
      </c>
      <c r="I977" s="256" t="inlineStr">
        <is>
          <t>Ph. Eur. 2.6.12 cat. C</t>
        </is>
      </c>
      <c r="J977" s="256" t="inlineStr">
        <is>
          <t>≤ 10⁴ CFU/g</t>
        </is>
      </c>
      <c r="K977" s="256" t="inlineStr">
        <is>
          <t>&lt; 10</t>
        </is>
      </c>
      <c r="L977" s="256" t="inlineStr">
        <is>
          <t>10/0013/26</t>
        </is>
      </c>
      <c r="M977" s="256" t="inlineStr">
        <is>
          <t>20.01.2026</t>
        </is>
      </c>
      <c r="N977" s="256" t="inlineStr">
        <is>
          <t>IPH — Institute of Public Health</t>
        </is>
      </c>
      <c r="O977" s="256" t="inlineStr">
        <is>
          <t>12.01.2025</t>
        </is>
      </c>
      <c r="P977" s="256" t="inlineStr">
        <is>
          <t>covered</t>
        </is>
      </c>
      <c r="Q977" s="256" t="inlineStr"/>
      <c r="R977" s="256" t="inlineStr"/>
    </row>
    <row r="978">
      <c r="A978" s="256" t="inlineStr">
        <is>
          <t>CoQ-PP_26-043</t>
        </is>
      </c>
      <c r="B978" s="256" t="inlineStr">
        <is>
          <t>release</t>
        </is>
      </c>
      <c r="C978" s="256" t="inlineStr">
        <is>
          <t>CJ092501</t>
        </is>
      </c>
      <c r="D978" s="256" t="inlineStr">
        <is>
          <t>P060072</t>
        </is>
      </c>
      <c r="E978" s="256" t="inlineStr">
        <is>
          <t>Cap Junky</t>
        </is>
      </c>
      <c r="F978" s="256" t="inlineStr">
        <is>
          <t>06.06.2026</t>
        </is>
      </c>
      <c r="G978" s="256" t="inlineStr">
        <is>
          <t>9.3</t>
        </is>
      </c>
      <c r="H978" s="256" t="inlineStr">
        <is>
          <t>Bile-tolerant gram-neg.</t>
        </is>
      </c>
      <c r="I978" s="256" t="inlineStr">
        <is>
          <t>Ph. Eur. 2.6.31 cat. C</t>
        </is>
      </c>
      <c r="J978" s="256" t="inlineStr">
        <is>
          <t>≤ 10⁴ CFU/g</t>
        </is>
      </c>
      <c r="K978" s="256" t="inlineStr">
        <is>
          <t>&lt; 10</t>
        </is>
      </c>
      <c r="L978" s="256" t="inlineStr">
        <is>
          <t>10/0013/26</t>
        </is>
      </c>
      <c r="M978" s="256" t="inlineStr">
        <is>
          <t>20.01.2026</t>
        </is>
      </c>
      <c r="N978" s="256" t="inlineStr">
        <is>
          <t>IPH — Institute of Public Health</t>
        </is>
      </c>
      <c r="O978" s="256" t="inlineStr">
        <is>
          <t>12.01.2025</t>
        </is>
      </c>
      <c r="P978" s="256" t="inlineStr">
        <is>
          <t>covered</t>
        </is>
      </c>
      <c r="Q978" s="256" t="inlineStr"/>
      <c r="R978" s="256" t="inlineStr"/>
    </row>
    <row r="979">
      <c r="A979" s="256" t="inlineStr">
        <is>
          <t>CoQ-PP_26-043</t>
        </is>
      </c>
      <c r="B979" s="256" t="inlineStr">
        <is>
          <t>release</t>
        </is>
      </c>
      <c r="C979" s="256" t="inlineStr">
        <is>
          <t>CJ092501</t>
        </is>
      </c>
      <c r="D979" s="256" t="inlineStr">
        <is>
          <t>P060072</t>
        </is>
      </c>
      <c r="E979" s="256" t="inlineStr">
        <is>
          <t>Cap Junky</t>
        </is>
      </c>
      <c r="F979" s="256" t="inlineStr">
        <is>
          <t>06.06.2026</t>
        </is>
      </c>
      <c r="G979" s="256" t="inlineStr">
        <is>
          <t>9.4</t>
        </is>
      </c>
      <c r="H979" s="256" t="inlineStr">
        <is>
          <t>Salmonella</t>
        </is>
      </c>
      <c r="I979" s="256" t="inlineStr">
        <is>
          <t>Ph. Eur. 2.6.31 cat. C</t>
        </is>
      </c>
      <c r="J979" s="256" t="inlineStr">
        <is>
          <t>Absence | Отсуство / 25 g</t>
        </is>
      </c>
      <c r="K979" s="256" t="inlineStr">
        <is>
          <t>Absent | Отсутна</t>
        </is>
      </c>
      <c r="L979" s="256" t="inlineStr">
        <is>
          <t>10/0013/26</t>
        </is>
      </c>
      <c r="M979" s="256" t="inlineStr">
        <is>
          <t>20.01.2026</t>
        </is>
      </c>
      <c r="N979" s="256" t="inlineStr">
        <is>
          <t>IPH — Institute of Public Health</t>
        </is>
      </c>
      <c r="O979" s="256" t="inlineStr">
        <is>
          <t>12.01.2025</t>
        </is>
      </c>
      <c r="P979" s="256" t="inlineStr">
        <is>
          <t>covered</t>
        </is>
      </c>
      <c r="Q979" s="256" t="inlineStr"/>
      <c r="R979" s="256" t="inlineStr"/>
    </row>
    <row r="980">
      <c r="A980" s="256" t="inlineStr">
        <is>
          <t>CoQ-PP_26-043</t>
        </is>
      </c>
      <c r="B980" s="256" t="inlineStr">
        <is>
          <t>release</t>
        </is>
      </c>
      <c r="C980" s="256" t="inlineStr">
        <is>
          <t>CJ092501</t>
        </is>
      </c>
      <c r="D980" s="256" t="inlineStr">
        <is>
          <t>P060072</t>
        </is>
      </c>
      <c r="E980" s="256" t="inlineStr">
        <is>
          <t>Cap Junky</t>
        </is>
      </c>
      <c r="F980" s="256" t="inlineStr">
        <is>
          <t>06.06.2026</t>
        </is>
      </c>
      <c r="G980" s="256" t="inlineStr">
        <is>
          <t>9.5</t>
        </is>
      </c>
      <c r="H980" s="256" t="inlineStr">
        <is>
          <t>Escherichia coli</t>
        </is>
      </c>
      <c r="I980" s="256" t="inlineStr">
        <is>
          <t>Ph. Eur. 2.6.13 cat. C</t>
        </is>
      </c>
      <c r="J980" s="256" t="inlineStr">
        <is>
          <t>Absence | Отсуство / 1 g</t>
        </is>
      </c>
      <c r="K980" s="256" t="inlineStr">
        <is>
          <t>Absent | Отсутна</t>
        </is>
      </c>
      <c r="L980" s="256" t="inlineStr">
        <is>
          <t>10/0013/26</t>
        </is>
      </c>
      <c r="M980" s="256" t="inlineStr">
        <is>
          <t>20.01.2026</t>
        </is>
      </c>
      <c r="N980" s="256" t="inlineStr">
        <is>
          <t>IPH — Institute of Public Health</t>
        </is>
      </c>
      <c r="O980" s="256" t="inlineStr">
        <is>
          <t>12.01.2025</t>
        </is>
      </c>
      <c r="P980" s="256" t="inlineStr">
        <is>
          <t>covered</t>
        </is>
      </c>
      <c r="Q980" s="256" t="inlineStr"/>
      <c r="R980" s="256" t="inlineStr"/>
    </row>
    <row r="981">
      <c r="A981" s="256" t="inlineStr">
        <is>
          <t>CoQ-PP_26-043</t>
        </is>
      </c>
      <c r="B981" s="256" t="inlineStr">
        <is>
          <t>release</t>
        </is>
      </c>
      <c r="C981" s="256" t="inlineStr">
        <is>
          <t>CJ092501</t>
        </is>
      </c>
      <c r="D981" s="256" t="inlineStr">
        <is>
          <t>P060072</t>
        </is>
      </c>
      <c r="E981" s="256" t="inlineStr">
        <is>
          <t>Cap Junky</t>
        </is>
      </c>
      <c r="F981" s="256" t="inlineStr">
        <is>
          <t>06.06.2026</t>
        </is>
      </c>
      <c r="G981" s="256" t="inlineStr">
        <is>
          <t>9.6</t>
        </is>
      </c>
      <c r="H981" s="256" t="inlineStr">
        <is>
          <t>Pseudomonas aeruginosa</t>
        </is>
      </c>
      <c r="I981" s="256" t="inlineStr">
        <is>
          <t>Ph. Eur. 2.6.13 cat. C</t>
        </is>
      </c>
      <c r="J981" s="256" t="inlineStr">
        <is>
          <t>Absence | Отсуство / 1 g</t>
        </is>
      </c>
      <c r="K981" s="260" t="inlineStr">
        <is>
          <t>upon request — not required for release</t>
        </is>
      </c>
      <c r="L981" s="256" t="inlineStr">
        <is>
          <t>—</t>
        </is>
      </c>
      <c r="M981" s="256" t="inlineStr">
        <is>
          <t>—</t>
        </is>
      </c>
      <c r="N981" s="256" t="inlineStr">
        <is>
          <t>—</t>
        </is>
      </c>
      <c r="O981" s="256" t="inlineStr">
        <is>
          <t>—</t>
        </is>
      </c>
      <c r="P981" s="256" t="inlineStr">
        <is>
          <t>upon request — not required for release</t>
        </is>
      </c>
      <c r="Q981" s="256" t="inlineStr"/>
      <c r="R981" s="256" t="inlineStr"/>
    </row>
    <row r="982">
      <c r="A982" s="256" t="inlineStr">
        <is>
          <t>CoQ-PP_26-043</t>
        </is>
      </c>
      <c r="B982" s="256" t="inlineStr">
        <is>
          <t>release</t>
        </is>
      </c>
      <c r="C982" s="256" t="inlineStr">
        <is>
          <t>CJ092501</t>
        </is>
      </c>
      <c r="D982" s="256" t="inlineStr">
        <is>
          <t>P060072</t>
        </is>
      </c>
      <c r="E982" s="256" t="inlineStr">
        <is>
          <t>Cap Junky</t>
        </is>
      </c>
      <c r="F982" s="256" t="inlineStr">
        <is>
          <t>06.06.2026</t>
        </is>
      </c>
      <c r="G982" s="256" t="inlineStr">
        <is>
          <t>9.7</t>
        </is>
      </c>
      <c r="H982" s="256" t="inlineStr">
        <is>
          <t>Staphylococcus aureus</t>
        </is>
      </c>
      <c r="I982" s="256" t="inlineStr">
        <is>
          <t>Ph. Eur. 2.6.13 cat. C</t>
        </is>
      </c>
      <c r="J982" s="256" t="inlineStr">
        <is>
          <t>Absence | Отсуство / 1 g</t>
        </is>
      </c>
      <c r="K982" s="260" t="inlineStr">
        <is>
          <t>upon request — not required for release</t>
        </is>
      </c>
      <c r="L982" s="256" t="inlineStr">
        <is>
          <t>—</t>
        </is>
      </c>
      <c r="M982" s="256" t="inlineStr">
        <is>
          <t>—</t>
        </is>
      </c>
      <c r="N982" s="256" t="inlineStr">
        <is>
          <t>—</t>
        </is>
      </c>
      <c r="O982" s="256" t="inlineStr">
        <is>
          <t>—</t>
        </is>
      </c>
      <c r="P982" s="256" t="inlineStr">
        <is>
          <t>upon request — not required for release</t>
        </is>
      </c>
      <c r="Q982" s="256" t="inlineStr"/>
      <c r="R982" s="256" t="inlineStr"/>
    </row>
    <row r="983">
      <c r="A983" s="256" t="inlineStr">
        <is>
          <t>CoQ-PP_26-043</t>
        </is>
      </c>
      <c r="B983" s="256" t="inlineStr">
        <is>
          <t>release</t>
        </is>
      </c>
      <c r="C983" s="256" t="inlineStr">
        <is>
          <t>CJ092501</t>
        </is>
      </c>
      <c r="D983" s="256" t="inlineStr">
        <is>
          <t>P060072</t>
        </is>
      </c>
      <c r="E983" s="256" t="inlineStr">
        <is>
          <t>Cap Junky</t>
        </is>
      </c>
      <c r="F983" s="256" t="inlineStr">
        <is>
          <t>06.06.2026</t>
        </is>
      </c>
      <c r="G983" s="256" t="inlineStr">
        <is>
          <t>10.1</t>
        </is>
      </c>
      <c r="H983" s="256" t="inlineStr">
        <is>
          <t>Aflatoxin B₁</t>
        </is>
      </c>
      <c r="I983" s="256" t="inlineStr">
        <is>
          <t>Ph. Eur. 2.8.18 (HPLC-FLD)</t>
        </is>
      </c>
      <c r="J983" s="256" t="inlineStr">
        <is>
          <t>≤ 2 µg/kg</t>
        </is>
      </c>
      <c r="K983" s="259" t="inlineStr">
        <is>
          <t>not tested</t>
        </is>
      </c>
      <c r="L983" s="256" t="inlineStr">
        <is>
          <t>—</t>
        </is>
      </c>
      <c r="M983" s="256" t="inlineStr">
        <is>
          <t>—</t>
        </is>
      </c>
      <c r="N983" s="256" t="inlineStr">
        <is>
          <t>—</t>
        </is>
      </c>
      <c r="O983" s="256" t="inlineStr">
        <is>
          <t>—</t>
        </is>
      </c>
      <c r="P983" s="256" t="inlineStr">
        <is>
          <t>not tested — no certificate covers it</t>
        </is>
      </c>
      <c r="Q983" s="256" t="inlineStr"/>
      <c r="R983" s="256" t="inlineStr">
        <is>
          <t>ND (220-5-М/26)</t>
        </is>
      </c>
    </row>
    <row r="984">
      <c r="A984" s="256" t="inlineStr">
        <is>
          <t>CoQ-PP_26-043</t>
        </is>
      </c>
      <c r="B984" s="256" t="inlineStr">
        <is>
          <t>release</t>
        </is>
      </c>
      <c r="C984" s="256" t="inlineStr">
        <is>
          <t>CJ092501</t>
        </is>
      </c>
      <c r="D984" s="256" t="inlineStr">
        <is>
          <t>P060072</t>
        </is>
      </c>
      <c r="E984" s="256" t="inlineStr">
        <is>
          <t>Cap Junky</t>
        </is>
      </c>
      <c r="F984" s="256" t="inlineStr">
        <is>
          <t>06.06.2026</t>
        </is>
      </c>
      <c r="G984" s="256" t="inlineStr">
        <is>
          <t>10.2</t>
        </is>
      </c>
      <c r="H984" s="256" t="inlineStr">
        <is>
          <t>Aflatoxins ∑</t>
        </is>
      </c>
      <c r="I984" s="256" t="inlineStr">
        <is>
          <t>Ph. Eur. 2.8.18 (HPLC-FLD)</t>
        </is>
      </c>
      <c r="J984" s="256" t="inlineStr">
        <is>
          <t>≤ 4 µg/kg</t>
        </is>
      </c>
      <c r="K984" s="256" t="inlineStr">
        <is>
          <t>&lt; 2</t>
        </is>
      </c>
      <c r="L984" s="256" t="inlineStr">
        <is>
          <t>86/2026</t>
        </is>
      </c>
      <c r="M984" s="256" t="inlineStr">
        <is>
          <t>02.02.2026</t>
        </is>
      </c>
      <c r="N984" s="256" t="inlineStr">
        <is>
          <t>IPH — Institute of Public Health</t>
        </is>
      </c>
      <c r="O984" s="256" t="inlineStr">
        <is>
          <t>08.01.2026</t>
        </is>
      </c>
      <c r="P984" s="256" t="inlineStr">
        <is>
          <t>covered</t>
        </is>
      </c>
      <c r="Q984" s="256" t="inlineStr"/>
      <c r="R984" s="256" t="inlineStr">
        <is>
          <t>ND (220-5-М/26)</t>
        </is>
      </c>
    </row>
    <row r="985">
      <c r="A985" s="256" t="inlineStr">
        <is>
          <t>CoQ-PP_26-043</t>
        </is>
      </c>
      <c r="B985" s="256" t="inlineStr">
        <is>
          <t>release</t>
        </is>
      </c>
      <c r="C985" s="256" t="inlineStr">
        <is>
          <t>CJ092501</t>
        </is>
      </c>
      <c r="D985" s="256" t="inlineStr">
        <is>
          <t>P060072</t>
        </is>
      </c>
      <c r="E985" s="256" t="inlineStr">
        <is>
          <t>Cap Junky</t>
        </is>
      </c>
      <c r="F985" s="256" t="inlineStr">
        <is>
          <t>06.06.2026</t>
        </is>
      </c>
      <c r="G985" s="256" t="inlineStr">
        <is>
          <t>10.3</t>
        </is>
      </c>
      <c r="H985" s="256" t="inlineStr">
        <is>
          <t>Ochratoxin A</t>
        </is>
      </c>
      <c r="I985" s="256" t="inlineStr">
        <is>
          <t>Ph. Eur. 2.8.22 (HPLC-FLD)</t>
        </is>
      </c>
      <c r="J985" s="256" t="inlineStr">
        <is>
          <t>≤ 20 µg/kg</t>
        </is>
      </c>
      <c r="K985" s="259" t="inlineStr">
        <is>
          <t>not tested</t>
        </is>
      </c>
      <c r="L985" s="256" t="inlineStr">
        <is>
          <t>—</t>
        </is>
      </c>
      <c r="M985" s="256" t="inlineStr">
        <is>
          <t>—</t>
        </is>
      </c>
      <c r="N985" s="256" t="inlineStr">
        <is>
          <t>—</t>
        </is>
      </c>
      <c r="O985" s="256" t="inlineStr">
        <is>
          <t>—</t>
        </is>
      </c>
      <c r="P985" s="256" t="inlineStr">
        <is>
          <t>not tested — no certificate covers it</t>
        </is>
      </c>
      <c r="Q985" s="256" t="inlineStr"/>
      <c r="R985" s="256" t="inlineStr">
        <is>
          <t>ND (220-5-М/26)</t>
        </is>
      </c>
    </row>
    <row r="986">
      <c r="A986" s="256" t="inlineStr">
        <is>
          <t>CoQ-PP_26-043</t>
        </is>
      </c>
      <c r="B986" s="256" t="inlineStr">
        <is>
          <t>release</t>
        </is>
      </c>
      <c r="C986" s="256" t="inlineStr">
        <is>
          <t>CJ092501</t>
        </is>
      </c>
      <c r="D986" s="256" t="inlineStr">
        <is>
          <t>P060072</t>
        </is>
      </c>
      <c r="E986" s="256" t="inlineStr">
        <is>
          <t>Cap Junky</t>
        </is>
      </c>
      <c r="F986" s="256" t="inlineStr">
        <is>
          <t>06.06.2026</t>
        </is>
      </c>
      <c r="G986" s="256" t="inlineStr">
        <is>
          <t>11.1</t>
        </is>
      </c>
      <c r="H986" s="256" t="inlineStr">
        <is>
          <t>Lead (Pb)</t>
        </is>
      </c>
      <c r="I986" s="256" t="inlineStr">
        <is>
          <t>Ph. Eur. 2.4.27 (ICP-MS)</t>
        </is>
      </c>
      <c r="J986" s="256" t="inlineStr">
        <is>
          <t>≤ 0.5 mg/kg</t>
        </is>
      </c>
      <c r="K986" s="256" t="inlineStr">
        <is>
          <t>0.04</t>
        </is>
      </c>
      <c r="L986" s="256" t="inlineStr">
        <is>
          <t>86/2026</t>
        </is>
      </c>
      <c r="M986" s="256" t="inlineStr">
        <is>
          <t>02.02.2026</t>
        </is>
      </c>
      <c r="N986" s="256" t="inlineStr">
        <is>
          <t>IPH — Institute of Public Health</t>
        </is>
      </c>
      <c r="O986" s="256" t="inlineStr">
        <is>
          <t>08.01.2026</t>
        </is>
      </c>
      <c r="P986" s="256" t="inlineStr">
        <is>
          <t>covered</t>
        </is>
      </c>
      <c r="Q986" s="256" t="inlineStr"/>
      <c r="R986" s="256" t="inlineStr"/>
    </row>
    <row r="987">
      <c r="A987" s="256" t="inlineStr">
        <is>
          <t>CoQ-PP_26-043</t>
        </is>
      </c>
      <c r="B987" s="256" t="inlineStr">
        <is>
          <t>release</t>
        </is>
      </c>
      <c r="C987" s="256" t="inlineStr">
        <is>
          <t>CJ092501</t>
        </is>
      </c>
      <c r="D987" s="256" t="inlineStr">
        <is>
          <t>P060072</t>
        </is>
      </c>
      <c r="E987" s="256" t="inlineStr">
        <is>
          <t>Cap Junky</t>
        </is>
      </c>
      <c r="F987" s="256" t="inlineStr">
        <is>
          <t>06.06.2026</t>
        </is>
      </c>
      <c r="G987" s="256" t="inlineStr">
        <is>
          <t>11.2</t>
        </is>
      </c>
      <c r="H987" s="256" t="inlineStr">
        <is>
          <t>Cadmium (Cd)</t>
        </is>
      </c>
      <c r="I987" s="256" t="inlineStr">
        <is>
          <t>Ph. Eur. 2.4.27 (ICP-MS)</t>
        </is>
      </c>
      <c r="J987" s="256" t="inlineStr">
        <is>
          <t>≤ 0.3 mg/kg</t>
        </is>
      </c>
      <c r="K987" s="256" t="inlineStr">
        <is>
          <t>ND</t>
        </is>
      </c>
      <c r="L987" s="256" t="inlineStr">
        <is>
          <t>86/2026</t>
        </is>
      </c>
      <c r="M987" s="256" t="inlineStr">
        <is>
          <t>02.02.2026</t>
        </is>
      </c>
      <c r="N987" s="256" t="inlineStr">
        <is>
          <t>IPH — Institute of Public Health</t>
        </is>
      </c>
      <c r="O987" s="256" t="inlineStr">
        <is>
          <t>08.01.2026</t>
        </is>
      </c>
      <c r="P987" s="256" t="inlineStr">
        <is>
          <t>covered</t>
        </is>
      </c>
      <c r="Q987" s="256" t="inlineStr"/>
      <c r="R987" s="256" t="inlineStr"/>
    </row>
    <row r="988">
      <c r="A988" s="256" t="inlineStr">
        <is>
          <t>CoQ-PP_26-043</t>
        </is>
      </c>
      <c r="B988" s="256" t="inlineStr">
        <is>
          <t>release</t>
        </is>
      </c>
      <c r="C988" s="256" t="inlineStr">
        <is>
          <t>CJ092501</t>
        </is>
      </c>
      <c r="D988" s="256" t="inlineStr">
        <is>
          <t>P060072</t>
        </is>
      </c>
      <c r="E988" s="256" t="inlineStr">
        <is>
          <t>Cap Junky</t>
        </is>
      </c>
      <c r="F988" s="256" t="inlineStr">
        <is>
          <t>06.06.2026</t>
        </is>
      </c>
      <c r="G988" s="256" t="inlineStr">
        <is>
          <t>11.3</t>
        </is>
      </c>
      <c r="H988" s="256" t="inlineStr">
        <is>
          <t>Arsenic (As)</t>
        </is>
      </c>
      <c r="I988" s="256" t="inlineStr">
        <is>
          <t>Ph. Eur. 2.4.27 (ICP-MS)</t>
        </is>
      </c>
      <c r="J988" s="256" t="inlineStr">
        <is>
          <t>≤ 0.2 mg/kg</t>
        </is>
      </c>
      <c r="K988" s="256" t="inlineStr">
        <is>
          <t>ND</t>
        </is>
      </c>
      <c r="L988" s="256" t="inlineStr">
        <is>
          <t>86/2026</t>
        </is>
      </c>
      <c r="M988" s="256" t="inlineStr">
        <is>
          <t>02.02.2026</t>
        </is>
      </c>
      <c r="N988" s="256" t="inlineStr">
        <is>
          <t>IPH — Institute of Public Health</t>
        </is>
      </c>
      <c r="O988" s="256" t="inlineStr">
        <is>
          <t>08.01.2026</t>
        </is>
      </c>
      <c r="P988" s="256" t="inlineStr">
        <is>
          <t>covered</t>
        </is>
      </c>
      <c r="Q988" s="256" t="inlineStr"/>
      <c r="R988" s="256" t="inlineStr"/>
    </row>
    <row r="989">
      <c r="A989" s="256" t="inlineStr">
        <is>
          <t>CoQ-PP_26-043</t>
        </is>
      </c>
      <c r="B989" s="256" t="inlineStr">
        <is>
          <t>release</t>
        </is>
      </c>
      <c r="C989" s="256" t="inlineStr">
        <is>
          <t>CJ092501</t>
        </is>
      </c>
      <c r="D989" s="256" t="inlineStr">
        <is>
          <t>P060072</t>
        </is>
      </c>
      <c r="E989" s="256" t="inlineStr">
        <is>
          <t>Cap Junky</t>
        </is>
      </c>
      <c r="F989" s="256" t="inlineStr">
        <is>
          <t>06.06.2026</t>
        </is>
      </c>
      <c r="G989" s="256" t="inlineStr">
        <is>
          <t>11.4</t>
        </is>
      </c>
      <c r="H989" s="256" t="inlineStr">
        <is>
          <t>Mercury (Hg)</t>
        </is>
      </c>
      <c r="I989" s="256" t="inlineStr">
        <is>
          <t>Ph. Eur. 2.4.27 (ICP-MS)</t>
        </is>
      </c>
      <c r="J989" s="256" t="inlineStr">
        <is>
          <t>≤ 0.1 mg/kg</t>
        </is>
      </c>
      <c r="K989" s="256" t="inlineStr">
        <is>
          <t>0.004</t>
        </is>
      </c>
      <c r="L989" s="256" t="inlineStr">
        <is>
          <t>86/2026</t>
        </is>
      </c>
      <c r="M989" s="256" t="inlineStr">
        <is>
          <t>02.02.2026</t>
        </is>
      </c>
      <c r="N989" s="256" t="inlineStr">
        <is>
          <t>IPH — Institute of Public Health</t>
        </is>
      </c>
      <c r="O989" s="256" t="inlineStr">
        <is>
          <t>08.01.2026</t>
        </is>
      </c>
      <c r="P989" s="256" t="inlineStr">
        <is>
          <t>covered</t>
        </is>
      </c>
      <c r="Q989" s="256" t="inlineStr"/>
      <c r="R989" s="256" t="inlineStr"/>
    </row>
    <row r="990">
      <c r="A990" s="256" t="inlineStr">
        <is>
          <t>CoQ-PP_26-043</t>
        </is>
      </c>
      <c r="B990" s="256" t="inlineStr">
        <is>
          <t>release</t>
        </is>
      </c>
      <c r="C990" s="256" t="inlineStr">
        <is>
          <t>CJ092501</t>
        </is>
      </c>
      <c r="D990" s="256" t="inlineStr">
        <is>
          <t>P060072</t>
        </is>
      </c>
      <c r="E990" s="256" t="inlineStr">
        <is>
          <t>Cap Junky</t>
        </is>
      </c>
      <c r="F990" s="256" t="inlineStr">
        <is>
          <t>06.06.2026</t>
        </is>
      </c>
      <c r="G990" s="256" t="inlineStr">
        <is>
          <t>12</t>
        </is>
      </c>
      <c r="H990" s="256" t="inlineStr">
        <is>
          <t>Pesticide Residues</t>
        </is>
      </c>
      <c r="I990" s="256" t="inlineStr">
        <is>
          <t>Ph. Eur. 2.8.13 (LC-MS/MS) · CUMCS Equivalency</t>
        </is>
      </c>
      <c r="J990" s="256" t="inlineStr">
        <is>
          <t>≤ LOQ as per Ph. Eur. 2.8.13 · ≤ LOQ as per CUMCS Equivalency</t>
        </is>
      </c>
      <c r="K990" s="256" t="inlineStr">
        <is>
          <t>ND</t>
        </is>
      </c>
      <c r="L990" s="256" t="inlineStr">
        <is>
          <t>86/2026</t>
        </is>
      </c>
      <c r="M990" s="256" t="inlineStr">
        <is>
          <t>02.02.2026</t>
        </is>
      </c>
      <c r="N990" s="256" t="inlineStr">
        <is>
          <t>IPH — Institute of Public Health</t>
        </is>
      </c>
      <c r="O990" s="256" t="inlineStr">
        <is>
          <t>08.01.2026</t>
        </is>
      </c>
      <c r="P990" s="256" t="inlineStr">
        <is>
          <t>covered</t>
        </is>
      </c>
      <c r="Q990" s="256" t="inlineStr"/>
      <c r="R990" s="256" t="inlineStr"/>
    </row>
    <row r="991">
      <c r="A991" s="256" t="inlineStr">
        <is>
          <t>CoQ-PP_26-044</t>
        </is>
      </c>
      <c r="B991" s="256" t="inlineStr">
        <is>
          <t>release</t>
        </is>
      </c>
      <c r="C991" s="256" t="inlineStr">
        <is>
          <t>SJ092501</t>
        </is>
      </c>
      <c r="D991" s="256" t="inlineStr">
        <is>
          <t>P060082</t>
        </is>
      </c>
      <c r="E991" s="256" t="inlineStr">
        <is>
          <t>Sleepy Joe</t>
        </is>
      </c>
      <c r="F991" s="256" t="inlineStr">
        <is>
          <t>06.06.2026</t>
        </is>
      </c>
      <c r="G991" s="256" t="inlineStr">
        <is>
          <t>1</t>
        </is>
      </c>
      <c r="H991" s="256" t="inlineStr">
        <is>
          <t>Identification A, Appearance · Macroscopic</t>
        </is>
      </c>
      <c r="I991" s="256" t="inlineStr">
        <is>
          <t>Ph. Eur. mon. 3028</t>
        </is>
      </c>
      <c r="J991" s="256" t="inlineStr">
        <is>
          <t>Conforms to the monograph for Cannabis flos (07/2024:3028) in Ph. Eur. 11.0 | Согласно монографија за Cannabis flos (07/2024:3028) во Ph. Eur. 11.0</t>
        </is>
      </c>
      <c r="K991" s="256" t="inlineStr">
        <is>
          <t>Conforms | Одговара</t>
        </is>
      </c>
      <c r="L991" s="256" t="inlineStr">
        <is>
          <t>iCoA-PP_26-043</t>
        </is>
      </c>
      <c r="M991" s="256" t="inlineStr">
        <is>
          <t>03.06.2026</t>
        </is>
      </c>
      <c r="N991" s="256" t="inlineStr">
        <is>
          <t>Purely Plant GmbH (in-house)</t>
        </is>
      </c>
      <c r="O991" s="256" t="inlineStr">
        <is>
          <t>—</t>
        </is>
      </c>
      <c r="P991" s="256" t="inlineStr">
        <is>
          <t>to be performed — see route</t>
        </is>
      </c>
      <c r="Q991" s="256" t="inlineStr">
        <is>
          <t>Purely Plant laboratory — iCoA covering Ident A + B</t>
        </is>
      </c>
      <c r="R991" s="256" t="inlineStr"/>
    </row>
    <row r="992">
      <c r="A992" s="256" t="inlineStr">
        <is>
          <t>CoQ-PP_26-044</t>
        </is>
      </c>
      <c r="B992" s="256" t="inlineStr">
        <is>
          <t>release</t>
        </is>
      </c>
      <c r="C992" s="256" t="inlineStr">
        <is>
          <t>SJ092501</t>
        </is>
      </c>
      <c r="D992" s="256" t="inlineStr">
        <is>
          <t>P060082</t>
        </is>
      </c>
      <c r="E992" s="256" t="inlineStr">
        <is>
          <t>Sleepy Joe</t>
        </is>
      </c>
      <c r="F992" s="256" t="inlineStr">
        <is>
          <t>06.06.2026</t>
        </is>
      </c>
      <c r="G992" s="256" t="inlineStr">
        <is>
          <t>2</t>
        </is>
      </c>
      <c r="H992" s="256" t="inlineStr">
        <is>
          <t>Identification B · Microscopic</t>
        </is>
      </c>
      <c r="I992" s="256" t="inlineStr">
        <is>
          <t>Ph. Eur. 2.8.23 (microscopy)</t>
        </is>
      </c>
      <c r="J992" s="256" t="inlineStr">
        <is>
          <t>Conforms to the monograph for Cannabis flos (07/2024:3028) in Ph. Eur. 11.0 | Согласно монографија за Cannabis flos (07/2024:3028) во Ph. Eur. 11.0</t>
        </is>
      </c>
      <c r="K992" s="256" t="inlineStr">
        <is>
          <t>Conforms | Одговара</t>
        </is>
      </c>
      <c r="L992" s="256" t="inlineStr">
        <is>
          <t>iCoA-PP_26-043</t>
        </is>
      </c>
      <c r="M992" s="256" t="inlineStr">
        <is>
          <t>03.06.2026</t>
        </is>
      </c>
      <c r="N992" s="256" t="inlineStr">
        <is>
          <t>Purely Plant GmbH (in-house)</t>
        </is>
      </c>
      <c r="O992" s="256" t="inlineStr">
        <is>
          <t>—</t>
        </is>
      </c>
      <c r="P992" s="256" t="inlineStr">
        <is>
          <t>to be performed — see route</t>
        </is>
      </c>
      <c r="Q992" s="256" t="inlineStr">
        <is>
          <t>Purely Plant laboratory — iCoA covering Ident A + B</t>
        </is>
      </c>
      <c r="R992" s="256" t="inlineStr"/>
    </row>
    <row r="993">
      <c r="A993" s="256" t="inlineStr">
        <is>
          <t>CoQ-PP_26-044</t>
        </is>
      </c>
      <c r="B993" s="256" t="inlineStr">
        <is>
          <t>release</t>
        </is>
      </c>
      <c r="C993" s="256" t="inlineStr">
        <is>
          <t>SJ092501</t>
        </is>
      </c>
      <c r="D993" s="256" t="inlineStr">
        <is>
          <t>P060082</t>
        </is>
      </c>
      <c r="E993" s="256" t="inlineStr">
        <is>
          <t>Sleepy Joe</t>
        </is>
      </c>
      <c r="F993" s="256" t="inlineStr">
        <is>
          <t>06.06.2026</t>
        </is>
      </c>
      <c r="G993" s="256" t="inlineStr">
        <is>
          <t>3</t>
        </is>
      </c>
      <c r="H993" s="256" t="inlineStr">
        <is>
          <t>Identification C · HPLC/HPTLC</t>
        </is>
      </c>
      <c r="I993" s="256" t="inlineStr">
        <is>
          <t>HPLC — DAB 2018 monograph Cannabis flos, 2.2.29 (CNP, before its Ph. Eur. 3028 accreditation)</t>
        </is>
      </c>
      <c r="J993" s="256" t="inlineStr">
        <is>
          <t>Conforms to the monograph for Cannabis flos (07/2024:3028) in Ph. Eur. 11.0 | Согласно монографија за Cannabis flos (07/2024:3028) во Ph. Eur. 11.0</t>
        </is>
      </c>
      <c r="K993" s="256" t="inlineStr">
        <is>
          <t>Conforms | Одговара</t>
        </is>
      </c>
      <c r="L993" s="256" t="inlineStr">
        <is>
          <t>ППК26006</t>
        </is>
      </c>
      <c r="M993" s="256" t="inlineStr">
        <is>
          <t>21.01.2026</t>
        </is>
      </c>
      <c r="N993" s="256" t="inlineStr">
        <is>
          <t>UKIM Faculty of Pharmacy — Center for Natural Products</t>
        </is>
      </c>
      <c r="O993" s="256" t="inlineStr">
        <is>
          <t>08.01.2026</t>
        </is>
      </c>
      <c r="P993" s="256" t="inlineStr">
        <is>
          <t>covered</t>
        </is>
      </c>
      <c r="Q993" s="256" t="inlineStr"/>
      <c r="R993" s="256" t="inlineStr"/>
    </row>
    <row r="994">
      <c r="A994" s="256" t="inlineStr">
        <is>
          <t>CoQ-PP_26-044</t>
        </is>
      </c>
      <c r="B994" s="256" t="inlineStr">
        <is>
          <t>release</t>
        </is>
      </c>
      <c r="C994" s="256" t="inlineStr">
        <is>
          <t>SJ092501</t>
        </is>
      </c>
      <c r="D994" s="256" t="inlineStr">
        <is>
          <t>P060082</t>
        </is>
      </c>
      <c r="E994" s="256" t="inlineStr">
        <is>
          <t>Sleepy Joe</t>
        </is>
      </c>
      <c r="F994" s="256" t="inlineStr">
        <is>
          <t>06.06.2026</t>
        </is>
      </c>
      <c r="G994" s="256" t="inlineStr">
        <is>
          <t>4</t>
        </is>
      </c>
      <c r="H994" s="256" t="inlineStr">
        <is>
          <t>Assay — Total Δ⁹-THC</t>
        </is>
      </c>
      <c r="I994" s="256" t="inlineStr">
        <is>
          <t>HPLC — DAB 2018 monograph Cannabis flos, 2.2.29 (CNP, before its Ph. Eur. 3028 accreditation)</t>
        </is>
      </c>
      <c r="J994" s="256" t="inlineStr">
        <is>
          <t>9.00 – 10.99 %  (grade II, nominal 10.00 ± 1.00)</t>
        </is>
      </c>
      <c r="K994" s="256" t="inlineStr">
        <is>
          <t>10.96</t>
        </is>
      </c>
      <c r="L994" s="256" t="inlineStr">
        <is>
          <t>ППК26006</t>
        </is>
      </c>
      <c r="M994" s="256" t="inlineStr">
        <is>
          <t>21.01.2026</t>
        </is>
      </c>
      <c r="N994" s="256" t="inlineStr">
        <is>
          <t>UKIM Faculty of Pharmacy — Center for Natural Products</t>
        </is>
      </c>
      <c r="O994" s="256" t="inlineStr">
        <is>
          <t>08.01.2026</t>
        </is>
      </c>
      <c r="P994" s="256" t="inlineStr">
        <is>
          <t>covered</t>
        </is>
      </c>
      <c r="Q994" s="256" t="inlineStr"/>
      <c r="R994" s="256" t="inlineStr">
        <is>
          <t>10.39 (220-27-К/26)</t>
        </is>
      </c>
    </row>
    <row r="995">
      <c r="A995" s="256" t="inlineStr">
        <is>
          <t>CoQ-PP_26-044</t>
        </is>
      </c>
      <c r="B995" s="256" t="inlineStr">
        <is>
          <t>release</t>
        </is>
      </c>
      <c r="C995" s="256" t="inlineStr">
        <is>
          <t>SJ092501</t>
        </is>
      </c>
      <c r="D995" s="256" t="inlineStr">
        <is>
          <t>P060082</t>
        </is>
      </c>
      <c r="E995" s="256" t="inlineStr">
        <is>
          <t>Sleepy Joe</t>
        </is>
      </c>
      <c r="F995" s="256" t="inlineStr">
        <is>
          <t>06.06.2026</t>
        </is>
      </c>
      <c r="G995" s="256" t="inlineStr">
        <is>
          <t>5</t>
        </is>
      </c>
      <c r="H995" s="256" t="inlineStr">
        <is>
          <t>Assay — Total CBD</t>
        </is>
      </c>
      <c r="I995" s="256" t="inlineStr">
        <is>
          <t>HPLC — DAB 2018 monograph Cannabis flos, 2.2.29 · CBD + CBDA x 0.877 (CNP, before its Ph. Eur. 3028 accreditation)</t>
        </is>
      </c>
      <c r="J995" s="256" t="inlineStr">
        <is>
          <t>≤ 1.0%, w/w</t>
        </is>
      </c>
      <c r="K995" s="256" t="inlineStr">
        <is>
          <t>0.07</t>
        </is>
      </c>
      <c r="L995" s="256" t="inlineStr">
        <is>
          <t>ППК26006</t>
        </is>
      </c>
      <c r="M995" s="256" t="inlineStr">
        <is>
          <t>21.01.2026</t>
        </is>
      </c>
      <c r="N995" s="256" t="inlineStr">
        <is>
          <t>UKIM Faculty of Pharmacy — Center for Natural Products</t>
        </is>
      </c>
      <c r="O995" s="256" t="inlineStr">
        <is>
          <t>08.01.2026</t>
        </is>
      </c>
      <c r="P995" s="256" t="inlineStr">
        <is>
          <t>covered</t>
        </is>
      </c>
      <c r="Q995" s="256" t="inlineStr"/>
      <c r="R995" s="256" t="inlineStr">
        <is>
          <t>&lt;LOQ (220-27-К/26)</t>
        </is>
      </c>
    </row>
    <row r="996">
      <c r="A996" s="256" t="inlineStr">
        <is>
          <t>CoQ-PP_26-044</t>
        </is>
      </c>
      <c r="B996" s="256" t="inlineStr">
        <is>
          <t>release</t>
        </is>
      </c>
      <c r="C996" s="256" t="inlineStr">
        <is>
          <t>SJ092501</t>
        </is>
      </c>
      <c r="D996" s="256" t="inlineStr">
        <is>
          <t>P060082</t>
        </is>
      </c>
      <c r="E996" s="256" t="inlineStr">
        <is>
          <t>Sleepy Joe</t>
        </is>
      </c>
      <c r="F996" s="256" t="inlineStr">
        <is>
          <t>06.06.2026</t>
        </is>
      </c>
      <c r="G996" s="256" t="inlineStr">
        <is>
          <t>6</t>
        </is>
      </c>
      <c r="H996" s="256" t="inlineStr">
        <is>
          <t>Total CBN</t>
        </is>
      </c>
      <c r="I996" s="256" t="inlineStr">
        <is>
          <t>HPLC — DAB 2018 monograph Cannabis flos, 2.2.29 · CBN + CBNA x 0.876 (CNP, before its Ph. Eur. 3028 accreditation)</t>
        </is>
      </c>
      <c r="J996" s="256" t="inlineStr">
        <is>
          <t>≤ 1.0%, w/w</t>
        </is>
      </c>
      <c r="K996" s="256" t="inlineStr">
        <is>
          <t>&lt; LOQ</t>
        </is>
      </c>
      <c r="L996" s="256" t="inlineStr">
        <is>
          <t>ППК26006</t>
        </is>
      </c>
      <c r="M996" s="256" t="inlineStr">
        <is>
          <t>21.01.2026</t>
        </is>
      </c>
      <c r="N996" s="256" t="inlineStr">
        <is>
          <t>CNP</t>
        </is>
      </c>
      <c r="O996" s="256" t="inlineStr">
        <is>
          <t>08.01.2026</t>
        </is>
      </c>
      <c r="P996" s="256" t="inlineStr">
        <is>
          <t>covered</t>
        </is>
      </c>
      <c r="Q996" s="256" t="inlineStr"/>
      <c r="R996" s="256" t="inlineStr"/>
    </row>
    <row r="997">
      <c r="A997" s="256" t="inlineStr">
        <is>
          <t>CoQ-PP_26-044</t>
        </is>
      </c>
      <c r="B997" s="256" t="inlineStr">
        <is>
          <t>release</t>
        </is>
      </c>
      <c r="C997" s="256" t="inlineStr">
        <is>
          <t>SJ092501</t>
        </is>
      </c>
      <c r="D997" s="256" t="inlineStr">
        <is>
          <t>P060082</t>
        </is>
      </c>
      <c r="E997" s="256" t="inlineStr">
        <is>
          <t>Sleepy Joe</t>
        </is>
      </c>
      <c r="F997" s="256" t="inlineStr">
        <is>
          <t>06.06.2026</t>
        </is>
      </c>
      <c r="G997" s="256" t="inlineStr">
        <is>
          <t>7</t>
        </is>
      </c>
      <c r="H997" s="256" t="inlineStr">
        <is>
          <t>Foreign Matter</t>
        </is>
      </c>
      <c r="I997" s="256" t="inlineStr">
        <is>
          <t>Ph. Eur. 2.8.2 · In-house · интерна</t>
        </is>
      </c>
      <c r="J997" s="256" t="inlineStr">
        <is>
          <t>≤ 2.0% / 25–50 g · &lt; 1 cm leaves | листови, no seeds | без семки</t>
        </is>
      </c>
      <c r="K997" s="256" t="inlineStr">
        <is>
          <t>Conforms | Одговара</t>
        </is>
      </c>
      <c r="L997" s="256" t="inlineStr">
        <is>
          <t>iCoA-PP_26-043</t>
        </is>
      </c>
      <c r="M997" s="256" t="inlineStr">
        <is>
          <t>03.06.2026</t>
        </is>
      </c>
      <c r="N997" s="256" t="inlineStr">
        <is>
          <t>Purely Plant GmbH (in-house)</t>
        </is>
      </c>
      <c r="O997" s="256" t="inlineStr">
        <is>
          <t>—</t>
        </is>
      </c>
      <c r="P997" s="256" t="inlineStr">
        <is>
          <t>to be performed — see route</t>
        </is>
      </c>
      <c r="Q997" s="256" t="inlineStr">
        <is>
          <t>Purely Plant laboratory — iCoA covering Foreign matter</t>
        </is>
      </c>
      <c r="R997" s="256" t="inlineStr"/>
    </row>
    <row r="998">
      <c r="A998" s="256" t="inlineStr">
        <is>
          <t>CoQ-PP_26-044</t>
        </is>
      </c>
      <c r="B998" s="256" t="inlineStr">
        <is>
          <t>release</t>
        </is>
      </c>
      <c r="C998" s="256" t="inlineStr">
        <is>
          <t>SJ092501</t>
        </is>
      </c>
      <c r="D998" s="256" t="inlineStr">
        <is>
          <t>P060082</t>
        </is>
      </c>
      <c r="E998" s="256" t="inlineStr">
        <is>
          <t>Sleepy Joe</t>
        </is>
      </c>
      <c r="F998" s="256" t="inlineStr">
        <is>
          <t>06.06.2026</t>
        </is>
      </c>
      <c r="G998" s="256" t="inlineStr">
        <is>
          <t>8</t>
        </is>
      </c>
      <c r="H998" s="256" t="inlineStr">
        <is>
          <t>Loss on Drying</t>
        </is>
      </c>
      <c r="I998" s="256" t="inlineStr">
        <is>
          <t>DAB 2018 monograph Cannabis flos, 2.2.32 — loss on drying (CNP, before its Ph. Eur. 3028 accreditation)</t>
        </is>
      </c>
      <c r="J998" s="256" t="inlineStr">
        <is>
          <t>≤ 12.0%</t>
        </is>
      </c>
      <c r="K998" s="256" t="inlineStr">
        <is>
          <t>8.68</t>
        </is>
      </c>
      <c r="L998" s="256" t="inlineStr">
        <is>
          <t>ППК26006</t>
        </is>
      </c>
      <c r="M998" s="256" t="inlineStr">
        <is>
          <t>21.01.2026</t>
        </is>
      </c>
      <c r="N998" s="256" t="inlineStr">
        <is>
          <t>UKIM Faculty of Pharmacy — Center for Natural Products</t>
        </is>
      </c>
      <c r="O998" s="256" t="inlineStr">
        <is>
          <t>08.01.2026</t>
        </is>
      </c>
      <c r="P998" s="256" t="inlineStr">
        <is>
          <t>covered</t>
        </is>
      </c>
      <c r="Q998" s="256" t="inlineStr"/>
      <c r="R998" s="256" t="inlineStr"/>
    </row>
    <row r="999">
      <c r="A999" s="256" t="inlineStr">
        <is>
          <t>CoQ-PP_26-044</t>
        </is>
      </c>
      <c r="B999" s="256" t="inlineStr">
        <is>
          <t>release</t>
        </is>
      </c>
      <c r="C999" s="256" t="inlineStr">
        <is>
          <t>SJ092501</t>
        </is>
      </c>
      <c r="D999" s="256" t="inlineStr">
        <is>
          <t>P060082</t>
        </is>
      </c>
      <c r="E999" s="256" t="inlineStr">
        <is>
          <t>Sleepy Joe</t>
        </is>
      </c>
      <c r="F999" s="256" t="inlineStr">
        <is>
          <t>06.06.2026</t>
        </is>
      </c>
      <c r="G999" s="256" t="inlineStr">
        <is>
          <t>9.1</t>
        </is>
      </c>
      <c r="H999" s="256" t="inlineStr">
        <is>
          <t>TAMC</t>
        </is>
      </c>
      <c r="I999" s="256" t="inlineStr">
        <is>
          <t>Ph. Eur. 2.6.12 cat. C</t>
        </is>
      </c>
      <c r="J999" s="256" t="inlineStr">
        <is>
          <t>≤ 10⁵ CFU/g</t>
        </is>
      </c>
      <c r="K999" s="256" t="inlineStr">
        <is>
          <t>&lt; 10</t>
        </is>
      </c>
      <c r="L999" s="256" t="inlineStr">
        <is>
          <t>9/0012/26</t>
        </is>
      </c>
      <c r="M999" s="256" t="inlineStr">
        <is>
          <t>20.01.2026</t>
        </is>
      </c>
      <c r="N999" s="256" t="inlineStr">
        <is>
          <t>IPH — Institute of Public Health</t>
        </is>
      </c>
      <c r="O999" s="256" t="inlineStr">
        <is>
          <t>12.01.2025</t>
        </is>
      </c>
      <c r="P999" s="256" t="inlineStr">
        <is>
          <t>covered</t>
        </is>
      </c>
      <c r="Q999" s="256" t="inlineStr"/>
      <c r="R999" s="256" t="inlineStr"/>
    </row>
    <row r="1000">
      <c r="A1000" s="256" t="inlineStr">
        <is>
          <t>CoQ-PP_26-044</t>
        </is>
      </c>
      <c r="B1000" s="256" t="inlineStr">
        <is>
          <t>release</t>
        </is>
      </c>
      <c r="C1000" s="256" t="inlineStr">
        <is>
          <t>SJ092501</t>
        </is>
      </c>
      <c r="D1000" s="256" t="inlineStr">
        <is>
          <t>P060082</t>
        </is>
      </c>
      <c r="E1000" s="256" t="inlineStr">
        <is>
          <t>Sleepy Joe</t>
        </is>
      </c>
      <c r="F1000" s="256" t="inlineStr">
        <is>
          <t>06.06.2026</t>
        </is>
      </c>
      <c r="G1000" s="256" t="inlineStr">
        <is>
          <t>9.2</t>
        </is>
      </c>
      <c r="H1000" s="256" t="inlineStr">
        <is>
          <t>TYMC</t>
        </is>
      </c>
      <c r="I1000" s="256" t="inlineStr">
        <is>
          <t>Ph. Eur. 2.6.12 cat. C</t>
        </is>
      </c>
      <c r="J1000" s="256" t="inlineStr">
        <is>
          <t>≤ 10⁴ CFU/g</t>
        </is>
      </c>
      <c r="K1000" s="256" t="inlineStr">
        <is>
          <t>&lt; 10</t>
        </is>
      </c>
      <c r="L1000" s="256" t="inlineStr">
        <is>
          <t>9/0012/26</t>
        </is>
      </c>
      <c r="M1000" s="256" t="inlineStr">
        <is>
          <t>20.01.2026</t>
        </is>
      </c>
      <c r="N1000" s="256" t="inlineStr">
        <is>
          <t>IPH — Institute of Public Health</t>
        </is>
      </c>
      <c r="O1000" s="256" t="inlineStr">
        <is>
          <t>12.01.2025</t>
        </is>
      </c>
      <c r="P1000" s="256" t="inlineStr">
        <is>
          <t>covered</t>
        </is>
      </c>
      <c r="Q1000" s="256" t="inlineStr"/>
      <c r="R1000" s="256" t="inlineStr"/>
    </row>
    <row r="1001">
      <c r="A1001" s="256" t="inlineStr">
        <is>
          <t>CoQ-PP_26-044</t>
        </is>
      </c>
      <c r="B1001" s="256" t="inlineStr">
        <is>
          <t>release</t>
        </is>
      </c>
      <c r="C1001" s="256" t="inlineStr">
        <is>
          <t>SJ092501</t>
        </is>
      </c>
      <c r="D1001" s="256" t="inlineStr">
        <is>
          <t>P060082</t>
        </is>
      </c>
      <c r="E1001" s="256" t="inlineStr">
        <is>
          <t>Sleepy Joe</t>
        </is>
      </c>
      <c r="F1001" s="256" t="inlineStr">
        <is>
          <t>06.06.2026</t>
        </is>
      </c>
      <c r="G1001" s="256" t="inlineStr">
        <is>
          <t>9.3</t>
        </is>
      </c>
      <c r="H1001" s="256" t="inlineStr">
        <is>
          <t>Bile-tolerant gram-neg.</t>
        </is>
      </c>
      <c r="I1001" s="256" t="inlineStr">
        <is>
          <t>Ph. Eur. 2.6.31 cat. C</t>
        </is>
      </c>
      <c r="J1001" s="256" t="inlineStr">
        <is>
          <t>≤ 10⁴ CFU/g</t>
        </is>
      </c>
      <c r="K1001" s="256" t="inlineStr">
        <is>
          <t>&lt; 10</t>
        </is>
      </c>
      <c r="L1001" s="256" t="inlineStr">
        <is>
          <t>9/0012/26</t>
        </is>
      </c>
      <c r="M1001" s="256" t="inlineStr">
        <is>
          <t>20.01.2026</t>
        </is>
      </c>
      <c r="N1001" s="256" t="inlineStr">
        <is>
          <t>IPH — Institute of Public Health</t>
        </is>
      </c>
      <c r="O1001" s="256" t="inlineStr">
        <is>
          <t>12.01.2025</t>
        </is>
      </c>
      <c r="P1001" s="256" t="inlineStr">
        <is>
          <t>covered</t>
        </is>
      </c>
      <c r="Q1001" s="256" t="inlineStr"/>
      <c r="R1001" s="256" t="inlineStr"/>
    </row>
    <row r="1002">
      <c r="A1002" s="256" t="inlineStr">
        <is>
          <t>CoQ-PP_26-044</t>
        </is>
      </c>
      <c r="B1002" s="256" t="inlineStr">
        <is>
          <t>release</t>
        </is>
      </c>
      <c r="C1002" s="256" t="inlineStr">
        <is>
          <t>SJ092501</t>
        </is>
      </c>
      <c r="D1002" s="256" t="inlineStr">
        <is>
          <t>P060082</t>
        </is>
      </c>
      <c r="E1002" s="256" t="inlineStr">
        <is>
          <t>Sleepy Joe</t>
        </is>
      </c>
      <c r="F1002" s="256" t="inlineStr">
        <is>
          <t>06.06.2026</t>
        </is>
      </c>
      <c r="G1002" s="256" t="inlineStr">
        <is>
          <t>9.4</t>
        </is>
      </c>
      <c r="H1002" s="256" t="inlineStr">
        <is>
          <t>Salmonella</t>
        </is>
      </c>
      <c r="I1002" s="256" t="inlineStr">
        <is>
          <t>Ph. Eur. 2.6.31 cat. C</t>
        </is>
      </c>
      <c r="J1002" s="256" t="inlineStr">
        <is>
          <t>Absence | Отсуство / 25 g</t>
        </is>
      </c>
      <c r="K1002" s="256" t="inlineStr">
        <is>
          <t>Absent | Отсутна</t>
        </is>
      </c>
      <c r="L1002" s="256" t="inlineStr">
        <is>
          <t>9/0012/26</t>
        </is>
      </c>
      <c r="M1002" s="256" t="inlineStr">
        <is>
          <t>20.01.2026</t>
        </is>
      </c>
      <c r="N1002" s="256" t="inlineStr">
        <is>
          <t>IPH — Institute of Public Health</t>
        </is>
      </c>
      <c r="O1002" s="256" t="inlineStr">
        <is>
          <t>12.01.2025</t>
        </is>
      </c>
      <c r="P1002" s="256" t="inlineStr">
        <is>
          <t>covered</t>
        </is>
      </c>
      <c r="Q1002" s="256" t="inlineStr"/>
      <c r="R1002" s="256" t="inlineStr"/>
    </row>
    <row r="1003">
      <c r="A1003" s="256" t="inlineStr">
        <is>
          <t>CoQ-PP_26-044</t>
        </is>
      </c>
      <c r="B1003" s="256" t="inlineStr">
        <is>
          <t>release</t>
        </is>
      </c>
      <c r="C1003" s="256" t="inlineStr">
        <is>
          <t>SJ092501</t>
        </is>
      </c>
      <c r="D1003" s="256" t="inlineStr">
        <is>
          <t>P060082</t>
        </is>
      </c>
      <c r="E1003" s="256" t="inlineStr">
        <is>
          <t>Sleepy Joe</t>
        </is>
      </c>
      <c r="F1003" s="256" t="inlineStr">
        <is>
          <t>06.06.2026</t>
        </is>
      </c>
      <c r="G1003" s="256" t="inlineStr">
        <is>
          <t>9.5</t>
        </is>
      </c>
      <c r="H1003" s="256" t="inlineStr">
        <is>
          <t>Escherichia coli</t>
        </is>
      </c>
      <c r="I1003" s="256" t="inlineStr">
        <is>
          <t>Ph. Eur. 2.6.13 cat. C</t>
        </is>
      </c>
      <c r="J1003" s="256" t="inlineStr">
        <is>
          <t>Absence | Отсуство / 1 g</t>
        </is>
      </c>
      <c r="K1003" s="256" t="inlineStr">
        <is>
          <t>Absent | Отсутна</t>
        </is>
      </c>
      <c r="L1003" s="256" t="inlineStr">
        <is>
          <t>9/0012/26</t>
        </is>
      </c>
      <c r="M1003" s="256" t="inlineStr">
        <is>
          <t>20.01.2026</t>
        </is>
      </c>
      <c r="N1003" s="256" t="inlineStr">
        <is>
          <t>IPH — Institute of Public Health</t>
        </is>
      </c>
      <c r="O1003" s="256" t="inlineStr">
        <is>
          <t>12.01.2025</t>
        </is>
      </c>
      <c r="P1003" s="256" t="inlineStr">
        <is>
          <t>covered</t>
        </is>
      </c>
      <c r="Q1003" s="256" t="inlineStr"/>
      <c r="R1003" s="256" t="inlineStr"/>
    </row>
    <row r="1004">
      <c r="A1004" s="256" t="inlineStr">
        <is>
          <t>CoQ-PP_26-044</t>
        </is>
      </c>
      <c r="B1004" s="256" t="inlineStr">
        <is>
          <t>release</t>
        </is>
      </c>
      <c r="C1004" s="256" t="inlineStr">
        <is>
          <t>SJ092501</t>
        </is>
      </c>
      <c r="D1004" s="256" t="inlineStr">
        <is>
          <t>P060082</t>
        </is>
      </c>
      <c r="E1004" s="256" t="inlineStr">
        <is>
          <t>Sleepy Joe</t>
        </is>
      </c>
      <c r="F1004" s="256" t="inlineStr">
        <is>
          <t>06.06.2026</t>
        </is>
      </c>
      <c r="G1004" s="256" t="inlineStr">
        <is>
          <t>9.6</t>
        </is>
      </c>
      <c r="H1004" s="256" t="inlineStr">
        <is>
          <t>Pseudomonas aeruginosa</t>
        </is>
      </c>
      <c r="I1004" s="256" t="inlineStr">
        <is>
          <t>Ph. Eur. 2.6.13 cat. C</t>
        </is>
      </c>
      <c r="J1004" s="256" t="inlineStr">
        <is>
          <t>Absence | Отсуство / 1 g</t>
        </is>
      </c>
      <c r="K1004" s="260" t="inlineStr">
        <is>
          <t>upon request — not required for release</t>
        </is>
      </c>
      <c r="L1004" s="256" t="inlineStr">
        <is>
          <t>—</t>
        </is>
      </c>
      <c r="M1004" s="256" t="inlineStr">
        <is>
          <t>—</t>
        </is>
      </c>
      <c r="N1004" s="256" t="inlineStr">
        <is>
          <t>—</t>
        </is>
      </c>
      <c r="O1004" s="256" t="inlineStr">
        <is>
          <t>—</t>
        </is>
      </c>
      <c r="P1004" s="256" t="inlineStr">
        <is>
          <t>upon request — not required for release</t>
        </is>
      </c>
      <c r="Q1004" s="256" t="inlineStr"/>
      <c r="R1004" s="256" t="inlineStr"/>
    </row>
    <row r="1005">
      <c r="A1005" s="256" t="inlineStr">
        <is>
          <t>CoQ-PP_26-044</t>
        </is>
      </c>
      <c r="B1005" s="256" t="inlineStr">
        <is>
          <t>release</t>
        </is>
      </c>
      <c r="C1005" s="256" t="inlineStr">
        <is>
          <t>SJ092501</t>
        </is>
      </c>
      <c r="D1005" s="256" t="inlineStr">
        <is>
          <t>P060082</t>
        </is>
      </c>
      <c r="E1005" s="256" t="inlineStr">
        <is>
          <t>Sleepy Joe</t>
        </is>
      </c>
      <c r="F1005" s="256" t="inlineStr">
        <is>
          <t>06.06.2026</t>
        </is>
      </c>
      <c r="G1005" s="256" t="inlineStr">
        <is>
          <t>9.7</t>
        </is>
      </c>
      <c r="H1005" s="256" t="inlineStr">
        <is>
          <t>Staphylococcus aureus</t>
        </is>
      </c>
      <c r="I1005" s="256" t="inlineStr">
        <is>
          <t>Ph. Eur. 2.6.13 cat. C</t>
        </is>
      </c>
      <c r="J1005" s="256" t="inlineStr">
        <is>
          <t>Absence | Отсуство / 1 g</t>
        </is>
      </c>
      <c r="K1005" s="260" t="inlineStr">
        <is>
          <t>upon request — not required for release</t>
        </is>
      </c>
      <c r="L1005" s="256" t="inlineStr">
        <is>
          <t>—</t>
        </is>
      </c>
      <c r="M1005" s="256" t="inlineStr">
        <is>
          <t>—</t>
        </is>
      </c>
      <c r="N1005" s="256" t="inlineStr">
        <is>
          <t>—</t>
        </is>
      </c>
      <c r="O1005" s="256" t="inlineStr">
        <is>
          <t>—</t>
        </is>
      </c>
      <c r="P1005" s="256" t="inlineStr">
        <is>
          <t>upon request — not required for release</t>
        </is>
      </c>
      <c r="Q1005" s="256" t="inlineStr"/>
      <c r="R1005" s="256" t="inlineStr"/>
    </row>
    <row r="1006">
      <c r="A1006" s="256" t="inlineStr">
        <is>
          <t>CoQ-PP_26-044</t>
        </is>
      </c>
      <c r="B1006" s="256" t="inlineStr">
        <is>
          <t>release</t>
        </is>
      </c>
      <c r="C1006" s="256" t="inlineStr">
        <is>
          <t>SJ092501</t>
        </is>
      </c>
      <c r="D1006" s="256" t="inlineStr">
        <is>
          <t>P060082</t>
        </is>
      </c>
      <c r="E1006" s="256" t="inlineStr">
        <is>
          <t>Sleepy Joe</t>
        </is>
      </c>
      <c r="F1006" s="256" t="inlineStr">
        <is>
          <t>06.06.2026</t>
        </is>
      </c>
      <c r="G1006" s="256" t="inlineStr">
        <is>
          <t>10.1</t>
        </is>
      </c>
      <c r="H1006" s="256" t="inlineStr">
        <is>
          <t>Aflatoxin B₁</t>
        </is>
      </c>
      <c r="I1006" s="256" t="inlineStr">
        <is>
          <t>Ph. Eur. 2.8.18 (HPLC-FLD)</t>
        </is>
      </c>
      <c r="J1006" s="256" t="inlineStr">
        <is>
          <t>≤ 2 µg/kg</t>
        </is>
      </c>
      <c r="K1006" s="259" t="inlineStr">
        <is>
          <t>not tested</t>
        </is>
      </c>
      <c r="L1006" s="256" t="inlineStr">
        <is>
          <t>—</t>
        </is>
      </c>
      <c r="M1006" s="256" t="inlineStr">
        <is>
          <t>—</t>
        </is>
      </c>
      <c r="N1006" s="256" t="inlineStr">
        <is>
          <t>—</t>
        </is>
      </c>
      <c r="O1006" s="256" t="inlineStr">
        <is>
          <t>—</t>
        </is>
      </c>
      <c r="P1006" s="256" t="inlineStr">
        <is>
          <t>not tested — no certificate covers it</t>
        </is>
      </c>
      <c r="Q1006" s="256" t="inlineStr"/>
      <c r="R1006" s="256" t="inlineStr">
        <is>
          <t>ND (220-27-М/26)</t>
        </is>
      </c>
    </row>
    <row r="1007">
      <c r="A1007" s="256" t="inlineStr">
        <is>
          <t>CoQ-PP_26-044</t>
        </is>
      </c>
      <c r="B1007" s="256" t="inlineStr">
        <is>
          <t>release</t>
        </is>
      </c>
      <c r="C1007" s="256" t="inlineStr">
        <is>
          <t>SJ092501</t>
        </is>
      </c>
      <c r="D1007" s="256" t="inlineStr">
        <is>
          <t>P060082</t>
        </is>
      </c>
      <c r="E1007" s="256" t="inlineStr">
        <is>
          <t>Sleepy Joe</t>
        </is>
      </c>
      <c r="F1007" s="256" t="inlineStr">
        <is>
          <t>06.06.2026</t>
        </is>
      </c>
      <c r="G1007" s="256" t="inlineStr">
        <is>
          <t>10.2</t>
        </is>
      </c>
      <c r="H1007" s="256" t="inlineStr">
        <is>
          <t>Aflatoxins ∑</t>
        </is>
      </c>
      <c r="I1007" s="256" t="inlineStr">
        <is>
          <t>Ph. Eur. 2.8.18 (HPLC-FLD)</t>
        </is>
      </c>
      <c r="J1007" s="256" t="inlineStr">
        <is>
          <t>≤ 4 µg/kg</t>
        </is>
      </c>
      <c r="K1007" s="256" t="inlineStr">
        <is>
          <t>2</t>
        </is>
      </c>
      <c r="L1007" s="256" t="inlineStr">
        <is>
          <t>85/2026</t>
        </is>
      </c>
      <c r="M1007" s="256" t="inlineStr">
        <is>
          <t>02.02.2026</t>
        </is>
      </c>
      <c r="N1007" s="256" t="inlineStr">
        <is>
          <t>IPH — Institute of Public Health</t>
        </is>
      </c>
      <c r="O1007" s="256" t="inlineStr">
        <is>
          <t>08.01.2026</t>
        </is>
      </c>
      <c r="P1007" s="256" t="inlineStr">
        <is>
          <t>covered</t>
        </is>
      </c>
      <c r="Q1007" s="256" t="inlineStr"/>
      <c r="R1007" s="256" t="inlineStr">
        <is>
          <t>ND (220-27-М/26)</t>
        </is>
      </c>
    </row>
    <row r="1008">
      <c r="A1008" s="256" t="inlineStr">
        <is>
          <t>CoQ-PP_26-044</t>
        </is>
      </c>
      <c r="B1008" s="256" t="inlineStr">
        <is>
          <t>release</t>
        </is>
      </c>
      <c r="C1008" s="256" t="inlineStr">
        <is>
          <t>SJ092501</t>
        </is>
      </c>
      <c r="D1008" s="256" t="inlineStr">
        <is>
          <t>P060082</t>
        </is>
      </c>
      <c r="E1008" s="256" t="inlineStr">
        <is>
          <t>Sleepy Joe</t>
        </is>
      </c>
      <c r="F1008" s="256" t="inlineStr">
        <is>
          <t>06.06.2026</t>
        </is>
      </c>
      <c r="G1008" s="256" t="inlineStr">
        <is>
          <t>10.3</t>
        </is>
      </c>
      <c r="H1008" s="256" t="inlineStr">
        <is>
          <t>Ochratoxin A</t>
        </is>
      </c>
      <c r="I1008" s="256" t="inlineStr">
        <is>
          <t>Ph. Eur. 2.8.22 (HPLC-FLD)</t>
        </is>
      </c>
      <c r="J1008" s="256" t="inlineStr">
        <is>
          <t>≤ 20 µg/kg</t>
        </is>
      </c>
      <c r="K1008" s="259" t="inlineStr">
        <is>
          <t>not tested</t>
        </is>
      </c>
      <c r="L1008" s="256" t="inlineStr">
        <is>
          <t>—</t>
        </is>
      </c>
      <c r="M1008" s="256" t="inlineStr">
        <is>
          <t>—</t>
        </is>
      </c>
      <c r="N1008" s="256" t="inlineStr">
        <is>
          <t>—</t>
        </is>
      </c>
      <c r="O1008" s="256" t="inlineStr">
        <is>
          <t>—</t>
        </is>
      </c>
      <c r="P1008" s="256" t="inlineStr">
        <is>
          <t>not tested — no certificate covers it</t>
        </is>
      </c>
      <c r="Q1008" s="256" t="inlineStr"/>
      <c r="R1008" s="256" t="inlineStr">
        <is>
          <t>ND (220-27-М/26)</t>
        </is>
      </c>
    </row>
    <row r="1009">
      <c r="A1009" s="256" t="inlineStr">
        <is>
          <t>CoQ-PP_26-044</t>
        </is>
      </c>
      <c r="B1009" s="256" t="inlineStr">
        <is>
          <t>release</t>
        </is>
      </c>
      <c r="C1009" s="256" t="inlineStr">
        <is>
          <t>SJ092501</t>
        </is>
      </c>
      <c r="D1009" s="256" t="inlineStr">
        <is>
          <t>P060082</t>
        </is>
      </c>
      <c r="E1009" s="256" t="inlineStr">
        <is>
          <t>Sleepy Joe</t>
        </is>
      </c>
      <c r="F1009" s="256" t="inlineStr">
        <is>
          <t>06.06.2026</t>
        </is>
      </c>
      <c r="G1009" s="256" t="inlineStr">
        <is>
          <t>11.1</t>
        </is>
      </c>
      <c r="H1009" s="256" t="inlineStr">
        <is>
          <t>Lead (Pb)</t>
        </is>
      </c>
      <c r="I1009" s="256" t="inlineStr">
        <is>
          <t>Ph. Eur. 2.4.27 (ICP-MS)</t>
        </is>
      </c>
      <c r="J1009" s="256" t="inlineStr">
        <is>
          <t>≤ 0.5 mg/kg</t>
        </is>
      </c>
      <c r="K1009" s="256" t="inlineStr">
        <is>
          <t>0.08</t>
        </is>
      </c>
      <c r="L1009" s="256" t="inlineStr">
        <is>
          <t>85/2026</t>
        </is>
      </c>
      <c r="M1009" s="256" t="inlineStr">
        <is>
          <t>02.02.2026</t>
        </is>
      </c>
      <c r="N1009" s="256" t="inlineStr">
        <is>
          <t>IPH — Institute of Public Health</t>
        </is>
      </c>
      <c r="O1009" s="256" t="inlineStr">
        <is>
          <t>08.01.2026</t>
        </is>
      </c>
      <c r="P1009" s="256" t="inlineStr">
        <is>
          <t>covered</t>
        </is>
      </c>
      <c r="Q1009" s="256" t="inlineStr"/>
      <c r="R1009" s="256" t="inlineStr"/>
    </row>
    <row r="1010">
      <c r="A1010" s="256" t="inlineStr">
        <is>
          <t>CoQ-PP_26-044</t>
        </is>
      </c>
      <c r="B1010" s="256" t="inlineStr">
        <is>
          <t>release</t>
        </is>
      </c>
      <c r="C1010" s="256" t="inlineStr">
        <is>
          <t>SJ092501</t>
        </is>
      </c>
      <c r="D1010" s="256" t="inlineStr">
        <is>
          <t>P060082</t>
        </is>
      </c>
      <c r="E1010" s="256" t="inlineStr">
        <is>
          <t>Sleepy Joe</t>
        </is>
      </c>
      <c r="F1010" s="256" t="inlineStr">
        <is>
          <t>06.06.2026</t>
        </is>
      </c>
      <c r="G1010" s="256" t="inlineStr">
        <is>
          <t>11.2</t>
        </is>
      </c>
      <c r="H1010" s="256" t="inlineStr">
        <is>
          <t>Cadmium (Cd)</t>
        </is>
      </c>
      <c r="I1010" s="256" t="inlineStr">
        <is>
          <t>Ph. Eur. 2.4.27 (ICP-MS)</t>
        </is>
      </c>
      <c r="J1010" s="256" t="inlineStr">
        <is>
          <t>≤ 0.3 mg/kg</t>
        </is>
      </c>
      <c r="K1010" s="256" t="inlineStr">
        <is>
          <t>ND</t>
        </is>
      </c>
      <c r="L1010" s="256" t="inlineStr">
        <is>
          <t>85/2026</t>
        </is>
      </c>
      <c r="M1010" s="256" t="inlineStr">
        <is>
          <t>02.02.2026</t>
        </is>
      </c>
      <c r="N1010" s="256" t="inlineStr">
        <is>
          <t>IPH — Institute of Public Health</t>
        </is>
      </c>
      <c r="O1010" s="256" t="inlineStr">
        <is>
          <t>08.01.2026</t>
        </is>
      </c>
      <c r="P1010" s="256" t="inlineStr">
        <is>
          <t>covered</t>
        </is>
      </c>
      <c r="Q1010" s="256" t="inlineStr"/>
      <c r="R1010" s="256" t="inlineStr"/>
    </row>
    <row r="1011">
      <c r="A1011" s="256" t="inlineStr">
        <is>
          <t>CoQ-PP_26-044</t>
        </is>
      </c>
      <c r="B1011" s="256" t="inlineStr">
        <is>
          <t>release</t>
        </is>
      </c>
      <c r="C1011" s="256" t="inlineStr">
        <is>
          <t>SJ092501</t>
        </is>
      </c>
      <c r="D1011" s="256" t="inlineStr">
        <is>
          <t>P060082</t>
        </is>
      </c>
      <c r="E1011" s="256" t="inlineStr">
        <is>
          <t>Sleepy Joe</t>
        </is>
      </c>
      <c r="F1011" s="256" t="inlineStr">
        <is>
          <t>06.06.2026</t>
        </is>
      </c>
      <c r="G1011" s="256" t="inlineStr">
        <is>
          <t>11.3</t>
        </is>
      </c>
      <c r="H1011" s="256" t="inlineStr">
        <is>
          <t>Arsenic (As)</t>
        </is>
      </c>
      <c r="I1011" s="256" t="inlineStr">
        <is>
          <t>Ph. Eur. 2.4.27 (ICP-MS)</t>
        </is>
      </c>
      <c r="J1011" s="256" t="inlineStr">
        <is>
          <t>≤ 0.2 mg/kg</t>
        </is>
      </c>
      <c r="K1011" s="256" t="inlineStr">
        <is>
          <t>ND</t>
        </is>
      </c>
      <c r="L1011" s="256" t="inlineStr">
        <is>
          <t>85/2026</t>
        </is>
      </c>
      <c r="M1011" s="256" t="inlineStr">
        <is>
          <t>02.02.2026</t>
        </is>
      </c>
      <c r="N1011" s="256" t="inlineStr">
        <is>
          <t>IPH — Institute of Public Health</t>
        </is>
      </c>
      <c r="O1011" s="256" t="inlineStr">
        <is>
          <t>08.01.2026</t>
        </is>
      </c>
      <c r="P1011" s="256" t="inlineStr">
        <is>
          <t>covered</t>
        </is>
      </c>
      <c r="Q1011" s="256" t="inlineStr"/>
      <c r="R1011" s="256" t="inlineStr"/>
    </row>
    <row r="1012">
      <c r="A1012" s="256" t="inlineStr">
        <is>
          <t>CoQ-PP_26-044</t>
        </is>
      </c>
      <c r="B1012" s="256" t="inlineStr">
        <is>
          <t>release</t>
        </is>
      </c>
      <c r="C1012" s="256" t="inlineStr">
        <is>
          <t>SJ092501</t>
        </is>
      </c>
      <c r="D1012" s="256" t="inlineStr">
        <is>
          <t>P060082</t>
        </is>
      </c>
      <c r="E1012" s="256" t="inlineStr">
        <is>
          <t>Sleepy Joe</t>
        </is>
      </c>
      <c r="F1012" s="256" t="inlineStr">
        <is>
          <t>06.06.2026</t>
        </is>
      </c>
      <c r="G1012" s="256" t="inlineStr">
        <is>
          <t>11.4</t>
        </is>
      </c>
      <c r="H1012" s="256" t="inlineStr">
        <is>
          <t>Mercury (Hg)</t>
        </is>
      </c>
      <c r="I1012" s="256" t="inlineStr">
        <is>
          <t>Ph. Eur. 2.4.27 (ICP-MS)</t>
        </is>
      </c>
      <c r="J1012" s="256" t="inlineStr">
        <is>
          <t>≤ 0.1 mg/kg</t>
        </is>
      </c>
      <c r="K1012" s="256" t="inlineStr">
        <is>
          <t>0.003</t>
        </is>
      </c>
      <c r="L1012" s="256" t="inlineStr">
        <is>
          <t>85/2026</t>
        </is>
      </c>
      <c r="M1012" s="256" t="inlineStr">
        <is>
          <t>02.02.2026</t>
        </is>
      </c>
      <c r="N1012" s="256" t="inlineStr">
        <is>
          <t>IPH — Institute of Public Health</t>
        </is>
      </c>
      <c r="O1012" s="256" t="inlineStr">
        <is>
          <t>08.01.2026</t>
        </is>
      </c>
      <c r="P1012" s="256" t="inlineStr">
        <is>
          <t>covered</t>
        </is>
      </c>
      <c r="Q1012" s="256" t="inlineStr"/>
      <c r="R1012" s="256" t="inlineStr"/>
    </row>
    <row r="1013">
      <c r="A1013" s="256" t="inlineStr">
        <is>
          <t>CoQ-PP_26-044</t>
        </is>
      </c>
      <c r="B1013" s="256" t="inlineStr">
        <is>
          <t>release</t>
        </is>
      </c>
      <c r="C1013" s="256" t="inlineStr">
        <is>
          <t>SJ092501</t>
        </is>
      </c>
      <c r="D1013" s="256" t="inlineStr">
        <is>
          <t>P060082</t>
        </is>
      </c>
      <c r="E1013" s="256" t="inlineStr">
        <is>
          <t>Sleepy Joe</t>
        </is>
      </c>
      <c r="F1013" s="256" t="inlineStr">
        <is>
          <t>06.06.2026</t>
        </is>
      </c>
      <c r="G1013" s="256" t="inlineStr">
        <is>
          <t>12</t>
        </is>
      </c>
      <c r="H1013" s="256" t="inlineStr">
        <is>
          <t>Pesticide Residues</t>
        </is>
      </c>
      <c r="I1013" s="256" t="inlineStr">
        <is>
          <t>Ph. Eur. 2.8.13 (LC-MS/MS) · CUMCS Equivalency</t>
        </is>
      </c>
      <c r="J1013" s="256" t="inlineStr">
        <is>
          <t>≤ LOQ as per Ph. Eur. 2.8.13 · ≤ LOQ as per CUMCS Equivalency</t>
        </is>
      </c>
      <c r="K1013" s="256" t="inlineStr">
        <is>
          <t>ND</t>
        </is>
      </c>
      <c r="L1013" s="256" t="inlineStr">
        <is>
          <t>85/2026</t>
        </is>
      </c>
      <c r="M1013" s="256" t="inlineStr">
        <is>
          <t>02.02.2026</t>
        </is>
      </c>
      <c r="N1013" s="256" t="inlineStr">
        <is>
          <t>IPH — Institute of Public Health</t>
        </is>
      </c>
      <c r="O1013" s="256" t="inlineStr">
        <is>
          <t>08.01.2026</t>
        </is>
      </c>
      <c r="P1013" s="256" t="inlineStr">
        <is>
          <t>covered</t>
        </is>
      </c>
      <c r="Q1013" s="256" t="inlineStr"/>
      <c r="R1013" s="256" t="inlineStr"/>
    </row>
    <row r="1014">
      <c r="A1014" s="256" t="inlineStr">
        <is>
          <t>CoQ-PP_26-045</t>
        </is>
      </c>
      <c r="B1014" s="256" t="inlineStr">
        <is>
          <t>release</t>
        </is>
      </c>
      <c r="C1014" s="256" t="inlineStr">
        <is>
          <t>GP092501</t>
        </is>
      </c>
      <c r="D1014" s="256" t="inlineStr">
        <is>
          <t>P060092</t>
        </is>
      </c>
      <c r="E1014" s="256" t="inlineStr">
        <is>
          <t>Grape Pie</t>
        </is>
      </c>
      <c r="F1014" s="256" t="inlineStr">
        <is>
          <t>06.06.2026</t>
        </is>
      </c>
      <c r="G1014" s="256" t="inlineStr">
        <is>
          <t>1</t>
        </is>
      </c>
      <c r="H1014" s="256" t="inlineStr">
        <is>
          <t>Identification A, Appearance · Macroscopic</t>
        </is>
      </c>
      <c r="I1014" s="256" t="inlineStr">
        <is>
          <t>Ph. Eur. mon. 3028</t>
        </is>
      </c>
      <c r="J1014" s="256" t="inlineStr">
        <is>
          <t>Conforms to the monograph for Cannabis flos (07/2024:3028) in Ph. Eur. 11.0 | Согласно монографија за Cannabis flos (07/2024:3028) во Ph. Eur. 11.0</t>
        </is>
      </c>
      <c r="K1014" s="256" t="inlineStr">
        <is>
          <t>Conforms | Одговара</t>
        </is>
      </c>
      <c r="L1014" s="256" t="inlineStr">
        <is>
          <t>iCoA-PP_26-044</t>
        </is>
      </c>
      <c r="M1014" s="256" t="inlineStr">
        <is>
          <t>03.06.2026</t>
        </is>
      </c>
      <c r="N1014" s="256" t="inlineStr">
        <is>
          <t>Purely Plant GmbH (in-house)</t>
        </is>
      </c>
      <c r="O1014" s="256" t="inlineStr">
        <is>
          <t>—</t>
        </is>
      </c>
      <c r="P1014" s="256" t="inlineStr">
        <is>
          <t>to be performed — see route</t>
        </is>
      </c>
      <c r="Q1014" s="256" t="inlineStr">
        <is>
          <t>Purely Plant laboratory — iCoA covering Ident A + B</t>
        </is>
      </c>
      <c r="R1014" s="256" t="inlineStr"/>
    </row>
    <row r="1015">
      <c r="A1015" s="256" t="inlineStr">
        <is>
          <t>CoQ-PP_26-045</t>
        </is>
      </c>
      <c r="B1015" s="256" t="inlineStr">
        <is>
          <t>release</t>
        </is>
      </c>
      <c r="C1015" s="256" t="inlineStr">
        <is>
          <t>GP092501</t>
        </is>
      </c>
      <c r="D1015" s="256" t="inlineStr">
        <is>
          <t>P060092</t>
        </is>
      </c>
      <c r="E1015" s="256" t="inlineStr">
        <is>
          <t>Grape Pie</t>
        </is>
      </c>
      <c r="F1015" s="256" t="inlineStr">
        <is>
          <t>06.06.2026</t>
        </is>
      </c>
      <c r="G1015" s="256" t="inlineStr">
        <is>
          <t>2</t>
        </is>
      </c>
      <c r="H1015" s="256" t="inlineStr">
        <is>
          <t>Identification B · Microscopic</t>
        </is>
      </c>
      <c r="I1015" s="256" t="inlineStr">
        <is>
          <t>Ph. Eur. 2.8.23 (microscopy)</t>
        </is>
      </c>
      <c r="J1015" s="256" t="inlineStr">
        <is>
          <t>Conforms to the monograph for Cannabis flos (07/2024:3028) in Ph. Eur. 11.0 | Согласно монографија за Cannabis flos (07/2024:3028) во Ph. Eur. 11.0</t>
        </is>
      </c>
      <c r="K1015" s="256" t="inlineStr">
        <is>
          <t>Conforms | Одговара</t>
        </is>
      </c>
      <c r="L1015" s="256" t="inlineStr">
        <is>
          <t>iCoA-PP_26-044</t>
        </is>
      </c>
      <c r="M1015" s="256" t="inlineStr">
        <is>
          <t>03.06.2026</t>
        </is>
      </c>
      <c r="N1015" s="256" t="inlineStr">
        <is>
          <t>Purely Plant GmbH (in-house)</t>
        </is>
      </c>
      <c r="O1015" s="256" t="inlineStr">
        <is>
          <t>—</t>
        </is>
      </c>
      <c r="P1015" s="256" t="inlineStr">
        <is>
          <t>to be performed — see route</t>
        </is>
      </c>
      <c r="Q1015" s="256" t="inlineStr">
        <is>
          <t>Purely Plant laboratory — iCoA covering Ident A + B</t>
        </is>
      </c>
      <c r="R1015" s="256" t="inlineStr"/>
    </row>
    <row r="1016">
      <c r="A1016" s="256" t="inlineStr">
        <is>
          <t>CoQ-PP_26-045</t>
        </is>
      </c>
      <c r="B1016" s="256" t="inlineStr">
        <is>
          <t>release</t>
        </is>
      </c>
      <c r="C1016" s="256" t="inlineStr">
        <is>
          <t>GP092501</t>
        </is>
      </c>
      <c r="D1016" s="256" t="inlineStr">
        <is>
          <t>P060092</t>
        </is>
      </c>
      <c r="E1016" s="256" t="inlineStr">
        <is>
          <t>Grape Pie</t>
        </is>
      </c>
      <c r="F1016" s="256" t="inlineStr">
        <is>
          <t>06.06.2026</t>
        </is>
      </c>
      <c r="G1016" s="256" t="inlineStr">
        <is>
          <t>3</t>
        </is>
      </c>
      <c r="H1016" s="256" t="inlineStr">
        <is>
          <t>Identification C · HPLC/HPTLC</t>
        </is>
      </c>
      <c r="I1016" s="256" t="inlineStr">
        <is>
          <t>HPLC — DAB 2018 monograph Cannabis flos, 2.2.29 (CNP, before its Ph. Eur. 3028 accreditation)</t>
        </is>
      </c>
      <c r="J1016" s="256" t="inlineStr">
        <is>
          <t>Conforms to the monograph for Cannabis flos (07/2024:3028) in Ph. Eur. 11.0 | Согласно монографија за Cannabis flos (07/2024:3028) во Ph. Eur. 11.0</t>
        </is>
      </c>
      <c r="K1016" s="256" t="inlineStr">
        <is>
          <t>Conforms | Одговара</t>
        </is>
      </c>
      <c r="L1016" s="256" t="inlineStr">
        <is>
          <t>ППК26009</t>
        </is>
      </c>
      <c r="M1016" s="256" t="inlineStr">
        <is>
          <t>21.01.2026</t>
        </is>
      </c>
      <c r="N1016" s="256" t="inlineStr">
        <is>
          <t>UKIM Faculty of Pharmacy — Center for Natural Products</t>
        </is>
      </c>
      <c r="O1016" s="256" t="inlineStr">
        <is>
          <t>08.01.2026</t>
        </is>
      </c>
      <c r="P1016" s="256" t="inlineStr">
        <is>
          <t>covered</t>
        </is>
      </c>
      <c r="Q1016" s="256" t="inlineStr"/>
      <c r="R1016" s="256" t="inlineStr"/>
    </row>
    <row r="1017">
      <c r="A1017" s="256" t="inlineStr">
        <is>
          <t>CoQ-PP_26-045</t>
        </is>
      </c>
      <c r="B1017" s="256" t="inlineStr">
        <is>
          <t>release</t>
        </is>
      </c>
      <c r="C1017" s="256" t="inlineStr">
        <is>
          <t>GP092501</t>
        </is>
      </c>
      <c r="D1017" s="256" t="inlineStr">
        <is>
          <t>P060092</t>
        </is>
      </c>
      <c r="E1017" s="256" t="inlineStr">
        <is>
          <t>Grape Pie</t>
        </is>
      </c>
      <c r="F1017" s="256" t="inlineStr">
        <is>
          <t>06.06.2026</t>
        </is>
      </c>
      <c r="G1017" s="256" t="inlineStr">
        <is>
          <t>4</t>
        </is>
      </c>
      <c r="H1017" s="256" t="inlineStr">
        <is>
          <t>Assay — Total Δ⁹-THC</t>
        </is>
      </c>
      <c r="I1017" s="256" t="inlineStr">
        <is>
          <t>HPLC — DAB 2018 monograph Cannabis flos, 2.2.29 (CNP, before its Ph. Eur. 3028 accreditation)</t>
        </is>
      </c>
      <c r="J1017" s="256" t="inlineStr">
        <is>
          <t>22.00 – 25.99 %  (grade II, nominal 24.00 ± 2.00)</t>
        </is>
      </c>
      <c r="K1017" s="256" t="inlineStr">
        <is>
          <t>25.73</t>
        </is>
      </c>
      <c r="L1017" s="256" t="inlineStr">
        <is>
          <t>ППК26009</t>
        </is>
      </c>
      <c r="M1017" s="256" t="inlineStr">
        <is>
          <t>21.01.2026</t>
        </is>
      </c>
      <c r="N1017" s="256" t="inlineStr">
        <is>
          <t>UKIM Faculty of Pharmacy — Center for Natural Products</t>
        </is>
      </c>
      <c r="O1017" s="256" t="inlineStr">
        <is>
          <t>08.01.2026</t>
        </is>
      </c>
      <c r="P1017" s="256" t="inlineStr">
        <is>
          <t>covered</t>
        </is>
      </c>
      <c r="Q1017" s="256" t="inlineStr"/>
      <c r="R1017" s="256" t="inlineStr">
        <is>
          <t>25.24 (220-13-К/26)</t>
        </is>
      </c>
    </row>
    <row r="1018">
      <c r="A1018" s="256" t="inlineStr">
        <is>
          <t>CoQ-PP_26-045</t>
        </is>
      </c>
      <c r="B1018" s="256" t="inlineStr">
        <is>
          <t>release</t>
        </is>
      </c>
      <c r="C1018" s="256" t="inlineStr">
        <is>
          <t>GP092501</t>
        </is>
      </c>
      <c r="D1018" s="256" t="inlineStr">
        <is>
          <t>P060092</t>
        </is>
      </c>
      <c r="E1018" s="256" t="inlineStr">
        <is>
          <t>Grape Pie</t>
        </is>
      </c>
      <c r="F1018" s="256" t="inlineStr">
        <is>
          <t>06.06.2026</t>
        </is>
      </c>
      <c r="G1018" s="256" t="inlineStr">
        <is>
          <t>5</t>
        </is>
      </c>
      <c r="H1018" s="256" t="inlineStr">
        <is>
          <t>Assay — Total CBD</t>
        </is>
      </c>
      <c r="I1018" s="256" t="inlineStr">
        <is>
          <t>HPLC — DAB 2018 monograph Cannabis flos, 2.2.29 · CBD + CBDA x 0.877 (CNP, before its Ph. Eur. 3028 accreditation)</t>
        </is>
      </c>
      <c r="J1018" s="256" t="inlineStr">
        <is>
          <t>≤ 1.0%, w/w</t>
        </is>
      </c>
      <c r="K1018" s="256" t="inlineStr">
        <is>
          <t>0.11</t>
        </is>
      </c>
      <c r="L1018" s="256" t="inlineStr">
        <is>
          <t>ППК26009</t>
        </is>
      </c>
      <c r="M1018" s="256" t="inlineStr">
        <is>
          <t>21.01.2026</t>
        </is>
      </c>
      <c r="N1018" s="256" t="inlineStr">
        <is>
          <t>UKIM Faculty of Pharmacy — Center for Natural Products</t>
        </is>
      </c>
      <c r="O1018" s="256" t="inlineStr">
        <is>
          <t>08.01.2026</t>
        </is>
      </c>
      <c r="P1018" s="256" t="inlineStr">
        <is>
          <t>covered</t>
        </is>
      </c>
      <c r="Q1018" s="256" t="inlineStr"/>
      <c r="R1018" s="256" t="inlineStr">
        <is>
          <t>&lt;LOQ (220-13-К/26)</t>
        </is>
      </c>
    </row>
    <row r="1019">
      <c r="A1019" s="256" t="inlineStr">
        <is>
          <t>CoQ-PP_26-045</t>
        </is>
      </c>
      <c r="B1019" s="256" t="inlineStr">
        <is>
          <t>release</t>
        </is>
      </c>
      <c r="C1019" s="256" t="inlineStr">
        <is>
          <t>GP092501</t>
        </is>
      </c>
      <c r="D1019" s="256" t="inlineStr">
        <is>
          <t>P060092</t>
        </is>
      </c>
      <c r="E1019" s="256" t="inlineStr">
        <is>
          <t>Grape Pie</t>
        </is>
      </c>
      <c r="F1019" s="256" t="inlineStr">
        <is>
          <t>06.06.2026</t>
        </is>
      </c>
      <c r="G1019" s="256" t="inlineStr">
        <is>
          <t>6</t>
        </is>
      </c>
      <c r="H1019" s="256" t="inlineStr">
        <is>
          <t>Total CBN</t>
        </is>
      </c>
      <c r="I1019" s="256" t="inlineStr">
        <is>
          <t>HPLC — DAB 2018 monograph Cannabis flos, 2.2.29 · CBN + CBNA x 0.876 (CNP, before its Ph. Eur. 3028 accreditation)</t>
        </is>
      </c>
      <c r="J1019" s="256" t="inlineStr">
        <is>
          <t>≤ 1.0%, w/w</t>
        </is>
      </c>
      <c r="K1019" s="256" t="inlineStr">
        <is>
          <t>0.02 ᴰ</t>
        </is>
      </c>
      <c r="L1019" s="256" t="inlineStr">
        <is>
          <t>ППК26009</t>
        </is>
      </c>
      <c r="M1019" s="256" t="inlineStr">
        <is>
          <t>21.01.2026</t>
        </is>
      </c>
      <c r="N1019" s="256" t="inlineStr">
        <is>
          <t>CNP</t>
        </is>
      </c>
      <c r="O1019" s="256" t="inlineStr">
        <is>
          <t>08.01.2026</t>
        </is>
      </c>
      <c r="P1019" s="256" t="inlineStr">
        <is>
          <t>covered</t>
        </is>
      </c>
      <c r="Q1019" s="256" t="inlineStr"/>
      <c r="R1019" s="256" t="inlineStr"/>
    </row>
    <row r="1020">
      <c r="A1020" s="256" t="inlineStr">
        <is>
          <t>CoQ-PP_26-045</t>
        </is>
      </c>
      <c r="B1020" s="256" t="inlineStr">
        <is>
          <t>release</t>
        </is>
      </c>
      <c r="C1020" s="256" t="inlineStr">
        <is>
          <t>GP092501</t>
        </is>
      </c>
      <c r="D1020" s="256" t="inlineStr">
        <is>
          <t>P060092</t>
        </is>
      </c>
      <c r="E1020" s="256" t="inlineStr">
        <is>
          <t>Grape Pie</t>
        </is>
      </c>
      <c r="F1020" s="256" t="inlineStr">
        <is>
          <t>06.06.2026</t>
        </is>
      </c>
      <c r="G1020" s="256" t="inlineStr">
        <is>
          <t>7</t>
        </is>
      </c>
      <c r="H1020" s="256" t="inlineStr">
        <is>
          <t>Foreign Matter</t>
        </is>
      </c>
      <c r="I1020" s="256" t="inlineStr">
        <is>
          <t>Ph. Eur. 2.8.2 · In-house · интерна</t>
        </is>
      </c>
      <c r="J1020" s="256" t="inlineStr">
        <is>
          <t>≤ 2.0% / 25–50 g · &lt; 1 cm leaves | листови, no seeds | без семки</t>
        </is>
      </c>
      <c r="K1020" s="256" t="inlineStr">
        <is>
          <t>Conforms | Одговара</t>
        </is>
      </c>
      <c r="L1020" s="256" t="inlineStr">
        <is>
          <t>iCoA-PP_26-044</t>
        </is>
      </c>
      <c r="M1020" s="256" t="inlineStr">
        <is>
          <t>03.06.2026</t>
        </is>
      </c>
      <c r="N1020" s="256" t="inlineStr">
        <is>
          <t>Purely Plant GmbH (in-house)</t>
        </is>
      </c>
      <c r="O1020" s="256" t="inlineStr">
        <is>
          <t>—</t>
        </is>
      </c>
      <c r="P1020" s="256" t="inlineStr">
        <is>
          <t>to be performed — see route</t>
        </is>
      </c>
      <c r="Q1020" s="256" t="inlineStr">
        <is>
          <t>Purely Plant laboratory — iCoA covering Foreign matter</t>
        </is>
      </c>
      <c r="R1020" s="256" t="inlineStr"/>
    </row>
    <row r="1021">
      <c r="A1021" s="256" t="inlineStr">
        <is>
          <t>CoQ-PP_26-045</t>
        </is>
      </c>
      <c r="B1021" s="256" t="inlineStr">
        <is>
          <t>release</t>
        </is>
      </c>
      <c r="C1021" s="256" t="inlineStr">
        <is>
          <t>GP092501</t>
        </is>
      </c>
      <c r="D1021" s="256" t="inlineStr">
        <is>
          <t>P060092</t>
        </is>
      </c>
      <c r="E1021" s="256" t="inlineStr">
        <is>
          <t>Grape Pie</t>
        </is>
      </c>
      <c r="F1021" s="256" t="inlineStr">
        <is>
          <t>06.06.2026</t>
        </is>
      </c>
      <c r="G1021" s="256" t="inlineStr">
        <is>
          <t>8</t>
        </is>
      </c>
      <c r="H1021" s="256" t="inlineStr">
        <is>
          <t>Loss on Drying</t>
        </is>
      </c>
      <c r="I1021" s="256" t="inlineStr">
        <is>
          <t>DAB 2018 monograph Cannabis flos, 2.2.32 — loss on drying (CNP, before its Ph. Eur. 3028 accreditation)</t>
        </is>
      </c>
      <c r="J1021" s="256" t="inlineStr">
        <is>
          <t>≤ 12.0%</t>
        </is>
      </c>
      <c r="K1021" s="256" t="inlineStr">
        <is>
          <t>6.91</t>
        </is>
      </c>
      <c r="L1021" s="256" t="inlineStr">
        <is>
          <t>ППК26009</t>
        </is>
      </c>
      <c r="M1021" s="256" t="inlineStr">
        <is>
          <t>21.01.2026</t>
        </is>
      </c>
      <c r="N1021" s="256" t="inlineStr">
        <is>
          <t>UKIM Faculty of Pharmacy — Center for Natural Products</t>
        </is>
      </c>
      <c r="O1021" s="256" t="inlineStr">
        <is>
          <t>08.01.2026</t>
        </is>
      </c>
      <c r="P1021" s="256" t="inlineStr">
        <is>
          <t>covered</t>
        </is>
      </c>
      <c r="Q1021" s="256" t="inlineStr"/>
      <c r="R1021" s="256" t="inlineStr"/>
    </row>
    <row r="1022">
      <c r="A1022" s="256" t="inlineStr">
        <is>
          <t>CoQ-PP_26-045</t>
        </is>
      </c>
      <c r="B1022" s="256" t="inlineStr">
        <is>
          <t>release</t>
        </is>
      </c>
      <c r="C1022" s="256" t="inlineStr">
        <is>
          <t>GP092501</t>
        </is>
      </c>
      <c r="D1022" s="256" t="inlineStr">
        <is>
          <t>P060092</t>
        </is>
      </c>
      <c r="E1022" s="256" t="inlineStr">
        <is>
          <t>Grape Pie</t>
        </is>
      </c>
      <c r="F1022" s="256" t="inlineStr">
        <is>
          <t>06.06.2026</t>
        </is>
      </c>
      <c r="G1022" s="256" t="inlineStr">
        <is>
          <t>9.1</t>
        </is>
      </c>
      <c r="H1022" s="256" t="inlineStr">
        <is>
          <t>TAMC</t>
        </is>
      </c>
      <c r="I1022" s="256" t="inlineStr">
        <is>
          <t>Ph. Eur. 2.6.12 cat. C</t>
        </is>
      </c>
      <c r="J1022" s="256" t="inlineStr">
        <is>
          <t>≤ 10⁵ CFU/g</t>
        </is>
      </c>
      <c r="K1022" s="256" t="inlineStr">
        <is>
          <t>1 × 10²</t>
        </is>
      </c>
      <c r="L1022" s="256" t="inlineStr">
        <is>
          <t>5/0008/26</t>
        </is>
      </c>
      <c r="M1022" s="256" t="inlineStr">
        <is>
          <t>20.01.2026</t>
        </is>
      </c>
      <c r="N1022" s="256" t="inlineStr">
        <is>
          <t>IPH — Institute of Public Health</t>
        </is>
      </c>
      <c r="O1022" s="256" t="inlineStr">
        <is>
          <t>—</t>
        </is>
      </c>
      <c r="P1022" s="256" t="inlineStr">
        <is>
          <t>covered</t>
        </is>
      </c>
      <c r="Q1022" s="256" t="inlineStr"/>
      <c r="R1022" s="256" t="inlineStr"/>
    </row>
    <row r="1023">
      <c r="A1023" s="256" t="inlineStr">
        <is>
          <t>CoQ-PP_26-045</t>
        </is>
      </c>
      <c r="B1023" s="256" t="inlineStr">
        <is>
          <t>release</t>
        </is>
      </c>
      <c r="C1023" s="256" t="inlineStr">
        <is>
          <t>GP092501</t>
        </is>
      </c>
      <c r="D1023" s="256" t="inlineStr">
        <is>
          <t>P060092</t>
        </is>
      </c>
      <c r="E1023" s="256" t="inlineStr">
        <is>
          <t>Grape Pie</t>
        </is>
      </c>
      <c r="F1023" s="256" t="inlineStr">
        <is>
          <t>06.06.2026</t>
        </is>
      </c>
      <c r="G1023" s="256" t="inlineStr">
        <is>
          <t>9.2</t>
        </is>
      </c>
      <c r="H1023" s="256" t="inlineStr">
        <is>
          <t>TYMC</t>
        </is>
      </c>
      <c r="I1023" s="256" t="inlineStr">
        <is>
          <t>Ph. Eur. 2.6.12 cat. C</t>
        </is>
      </c>
      <c r="J1023" s="256" t="inlineStr">
        <is>
          <t>≤ 10⁴ CFU/g</t>
        </is>
      </c>
      <c r="K1023" s="256" t="inlineStr">
        <is>
          <t>&lt; 10</t>
        </is>
      </c>
      <c r="L1023" s="256" t="inlineStr">
        <is>
          <t>5/0008/26</t>
        </is>
      </c>
      <c r="M1023" s="256" t="inlineStr">
        <is>
          <t>20.01.2026</t>
        </is>
      </c>
      <c r="N1023" s="256" t="inlineStr">
        <is>
          <t>IPH — Institute of Public Health</t>
        </is>
      </c>
      <c r="O1023" s="256" t="inlineStr">
        <is>
          <t>—</t>
        </is>
      </c>
      <c r="P1023" s="256" t="inlineStr">
        <is>
          <t>covered</t>
        </is>
      </c>
      <c r="Q1023" s="256" t="inlineStr"/>
      <c r="R1023" s="256" t="inlineStr"/>
    </row>
    <row r="1024">
      <c r="A1024" s="256" t="inlineStr">
        <is>
          <t>CoQ-PP_26-045</t>
        </is>
      </c>
      <c r="B1024" s="256" t="inlineStr">
        <is>
          <t>release</t>
        </is>
      </c>
      <c r="C1024" s="256" t="inlineStr">
        <is>
          <t>GP092501</t>
        </is>
      </c>
      <c r="D1024" s="256" t="inlineStr">
        <is>
          <t>P060092</t>
        </is>
      </c>
      <c r="E1024" s="256" t="inlineStr">
        <is>
          <t>Grape Pie</t>
        </is>
      </c>
      <c r="F1024" s="256" t="inlineStr">
        <is>
          <t>06.06.2026</t>
        </is>
      </c>
      <c r="G1024" s="256" t="inlineStr">
        <is>
          <t>9.3</t>
        </is>
      </c>
      <c r="H1024" s="256" t="inlineStr">
        <is>
          <t>Bile-tolerant gram-neg.</t>
        </is>
      </c>
      <c r="I1024" s="256" t="inlineStr">
        <is>
          <t>Ph. Eur. 2.6.31 cat. C</t>
        </is>
      </c>
      <c r="J1024" s="256" t="inlineStr">
        <is>
          <t>≤ 10⁴ CFU/g</t>
        </is>
      </c>
      <c r="K1024" s="256" t="inlineStr">
        <is>
          <t>&lt; 10² and &gt; 10</t>
        </is>
      </c>
      <c r="L1024" s="256" t="inlineStr">
        <is>
          <t>5/0008/26</t>
        </is>
      </c>
      <c r="M1024" s="256" t="inlineStr">
        <is>
          <t>20.01.2026</t>
        </is>
      </c>
      <c r="N1024" s="256" t="inlineStr">
        <is>
          <t>IPH — Institute of Public Health</t>
        </is>
      </c>
      <c r="O1024" s="256" t="inlineStr">
        <is>
          <t>—</t>
        </is>
      </c>
      <c r="P1024" s="256" t="inlineStr">
        <is>
          <t>covered</t>
        </is>
      </c>
      <c r="Q1024" s="256" t="inlineStr"/>
      <c r="R1024" s="256" t="inlineStr"/>
    </row>
    <row r="1025">
      <c r="A1025" s="256" t="inlineStr">
        <is>
          <t>CoQ-PP_26-045</t>
        </is>
      </c>
      <c r="B1025" s="256" t="inlineStr">
        <is>
          <t>release</t>
        </is>
      </c>
      <c r="C1025" s="256" t="inlineStr">
        <is>
          <t>GP092501</t>
        </is>
      </c>
      <c r="D1025" s="256" t="inlineStr">
        <is>
          <t>P060092</t>
        </is>
      </c>
      <c r="E1025" s="256" t="inlineStr">
        <is>
          <t>Grape Pie</t>
        </is>
      </c>
      <c r="F1025" s="256" t="inlineStr">
        <is>
          <t>06.06.2026</t>
        </is>
      </c>
      <c r="G1025" s="256" t="inlineStr">
        <is>
          <t>9.4</t>
        </is>
      </c>
      <c r="H1025" s="256" t="inlineStr">
        <is>
          <t>Salmonella</t>
        </is>
      </c>
      <c r="I1025" s="256" t="inlineStr">
        <is>
          <t>Ph. Eur. 2.6.31 cat. C</t>
        </is>
      </c>
      <c r="J1025" s="256" t="inlineStr">
        <is>
          <t>Absence | Отсуство / 25 g</t>
        </is>
      </c>
      <c r="K1025" s="256" t="inlineStr">
        <is>
          <t>Absent | Отсутна</t>
        </is>
      </c>
      <c r="L1025" s="256" t="inlineStr">
        <is>
          <t>5/0008/26</t>
        </is>
      </c>
      <c r="M1025" s="256" t="inlineStr">
        <is>
          <t>20.01.2026</t>
        </is>
      </c>
      <c r="N1025" s="256" t="inlineStr">
        <is>
          <t>IPH — Institute of Public Health</t>
        </is>
      </c>
      <c r="O1025" s="256" t="inlineStr">
        <is>
          <t>—</t>
        </is>
      </c>
      <c r="P1025" s="256" t="inlineStr">
        <is>
          <t>covered</t>
        </is>
      </c>
      <c r="Q1025" s="256" t="inlineStr"/>
      <c r="R1025" s="256" t="inlineStr"/>
    </row>
    <row r="1026">
      <c r="A1026" s="256" t="inlineStr">
        <is>
          <t>CoQ-PP_26-045</t>
        </is>
      </c>
      <c r="B1026" s="256" t="inlineStr">
        <is>
          <t>release</t>
        </is>
      </c>
      <c r="C1026" s="256" t="inlineStr">
        <is>
          <t>GP092501</t>
        </is>
      </c>
      <c r="D1026" s="256" t="inlineStr">
        <is>
          <t>P060092</t>
        </is>
      </c>
      <c r="E1026" s="256" t="inlineStr">
        <is>
          <t>Grape Pie</t>
        </is>
      </c>
      <c r="F1026" s="256" t="inlineStr">
        <is>
          <t>06.06.2026</t>
        </is>
      </c>
      <c r="G1026" s="256" t="inlineStr">
        <is>
          <t>9.5</t>
        </is>
      </c>
      <c r="H1026" s="256" t="inlineStr">
        <is>
          <t>Escherichia coli</t>
        </is>
      </c>
      <c r="I1026" s="256" t="inlineStr">
        <is>
          <t>Ph. Eur. 2.6.13 cat. C</t>
        </is>
      </c>
      <c r="J1026" s="256" t="inlineStr">
        <is>
          <t>Absence | Отсуство / 1 g</t>
        </is>
      </c>
      <c r="K1026" s="256" t="inlineStr">
        <is>
          <t>Absent | Отсутна</t>
        </is>
      </c>
      <c r="L1026" s="256" t="inlineStr">
        <is>
          <t>5/0008/26</t>
        </is>
      </c>
      <c r="M1026" s="256" t="inlineStr">
        <is>
          <t>20.01.2026</t>
        </is>
      </c>
      <c r="N1026" s="256" t="inlineStr">
        <is>
          <t>IPH — Institute of Public Health</t>
        </is>
      </c>
      <c r="O1026" s="256" t="inlineStr">
        <is>
          <t>—</t>
        </is>
      </c>
      <c r="P1026" s="256" t="inlineStr">
        <is>
          <t>covered</t>
        </is>
      </c>
      <c r="Q1026" s="256" t="inlineStr"/>
      <c r="R1026" s="256" t="inlineStr"/>
    </row>
    <row r="1027">
      <c r="A1027" s="256" t="inlineStr">
        <is>
          <t>CoQ-PP_26-045</t>
        </is>
      </c>
      <c r="B1027" s="256" t="inlineStr">
        <is>
          <t>release</t>
        </is>
      </c>
      <c r="C1027" s="256" t="inlineStr">
        <is>
          <t>GP092501</t>
        </is>
      </c>
      <c r="D1027" s="256" t="inlineStr">
        <is>
          <t>P060092</t>
        </is>
      </c>
      <c r="E1027" s="256" t="inlineStr">
        <is>
          <t>Grape Pie</t>
        </is>
      </c>
      <c r="F1027" s="256" t="inlineStr">
        <is>
          <t>06.06.2026</t>
        </is>
      </c>
      <c r="G1027" s="256" t="inlineStr">
        <is>
          <t>9.6</t>
        </is>
      </c>
      <c r="H1027" s="256" t="inlineStr">
        <is>
          <t>Pseudomonas aeruginosa</t>
        </is>
      </c>
      <c r="I1027" s="256" t="inlineStr">
        <is>
          <t>Ph. Eur. 2.6.13 cat. C</t>
        </is>
      </c>
      <c r="J1027" s="256" t="inlineStr">
        <is>
          <t>Absence | Отсуство / 1 g</t>
        </is>
      </c>
      <c r="K1027" s="260" t="inlineStr">
        <is>
          <t>upon request — not required for release</t>
        </is>
      </c>
      <c r="L1027" s="256" t="inlineStr">
        <is>
          <t>—</t>
        </is>
      </c>
      <c r="M1027" s="256" t="inlineStr">
        <is>
          <t>—</t>
        </is>
      </c>
      <c r="N1027" s="256" t="inlineStr">
        <is>
          <t>—</t>
        </is>
      </c>
      <c r="O1027" s="256" t="inlineStr">
        <is>
          <t>—</t>
        </is>
      </c>
      <c r="P1027" s="256" t="inlineStr">
        <is>
          <t>upon request — not required for release</t>
        </is>
      </c>
      <c r="Q1027" s="256" t="inlineStr"/>
      <c r="R1027" s="256" t="inlineStr"/>
    </row>
    <row r="1028">
      <c r="A1028" s="256" t="inlineStr">
        <is>
          <t>CoQ-PP_26-045</t>
        </is>
      </c>
      <c r="B1028" s="256" t="inlineStr">
        <is>
          <t>release</t>
        </is>
      </c>
      <c r="C1028" s="256" t="inlineStr">
        <is>
          <t>GP092501</t>
        </is>
      </c>
      <c r="D1028" s="256" t="inlineStr">
        <is>
          <t>P060092</t>
        </is>
      </c>
      <c r="E1028" s="256" t="inlineStr">
        <is>
          <t>Grape Pie</t>
        </is>
      </c>
      <c r="F1028" s="256" t="inlineStr">
        <is>
          <t>06.06.2026</t>
        </is>
      </c>
      <c r="G1028" s="256" t="inlineStr">
        <is>
          <t>9.7</t>
        </is>
      </c>
      <c r="H1028" s="256" t="inlineStr">
        <is>
          <t>Staphylococcus aureus</t>
        </is>
      </c>
      <c r="I1028" s="256" t="inlineStr">
        <is>
          <t>Ph. Eur. 2.6.13 cat. C</t>
        </is>
      </c>
      <c r="J1028" s="256" t="inlineStr">
        <is>
          <t>Absence | Отсуство / 1 g</t>
        </is>
      </c>
      <c r="K1028" s="260" t="inlineStr">
        <is>
          <t>upon request — not required for release</t>
        </is>
      </c>
      <c r="L1028" s="256" t="inlineStr">
        <is>
          <t>—</t>
        </is>
      </c>
      <c r="M1028" s="256" t="inlineStr">
        <is>
          <t>—</t>
        </is>
      </c>
      <c r="N1028" s="256" t="inlineStr">
        <is>
          <t>—</t>
        </is>
      </c>
      <c r="O1028" s="256" t="inlineStr">
        <is>
          <t>—</t>
        </is>
      </c>
      <c r="P1028" s="256" t="inlineStr">
        <is>
          <t>upon request — not required for release</t>
        </is>
      </c>
      <c r="Q1028" s="256" t="inlineStr"/>
      <c r="R1028" s="256" t="inlineStr"/>
    </row>
    <row r="1029">
      <c r="A1029" s="256" t="inlineStr">
        <is>
          <t>CoQ-PP_26-045</t>
        </is>
      </c>
      <c r="B1029" s="256" t="inlineStr">
        <is>
          <t>release</t>
        </is>
      </c>
      <c r="C1029" s="256" t="inlineStr">
        <is>
          <t>GP092501</t>
        </is>
      </c>
      <c r="D1029" s="256" t="inlineStr">
        <is>
          <t>P060092</t>
        </is>
      </c>
      <c r="E1029" s="256" t="inlineStr">
        <is>
          <t>Grape Pie</t>
        </is>
      </c>
      <c r="F1029" s="256" t="inlineStr">
        <is>
          <t>06.06.2026</t>
        </is>
      </c>
      <c r="G1029" s="256" t="inlineStr">
        <is>
          <t>10.1</t>
        </is>
      </c>
      <c r="H1029" s="256" t="inlineStr">
        <is>
          <t>Aflatoxin B₁</t>
        </is>
      </c>
      <c r="I1029" s="256" t="inlineStr">
        <is>
          <t>Ph. Eur. 2.8.18 (HPLC-FLD)</t>
        </is>
      </c>
      <c r="J1029" s="256" t="inlineStr">
        <is>
          <t>≤ 2 µg/kg</t>
        </is>
      </c>
      <c r="K1029" s="259" t="inlineStr">
        <is>
          <t>not tested</t>
        </is>
      </c>
      <c r="L1029" s="256" t="inlineStr">
        <is>
          <t>—</t>
        </is>
      </c>
      <c r="M1029" s="256" t="inlineStr">
        <is>
          <t>—</t>
        </is>
      </c>
      <c r="N1029" s="256" t="inlineStr">
        <is>
          <t>—</t>
        </is>
      </c>
      <c r="O1029" s="256" t="inlineStr">
        <is>
          <t>—</t>
        </is>
      </c>
      <c r="P1029" s="256" t="inlineStr">
        <is>
          <t>not tested — no certificate covers it</t>
        </is>
      </c>
      <c r="Q1029" s="256" t="inlineStr"/>
      <c r="R1029" s="256" t="inlineStr">
        <is>
          <t>ND (220-13-М/26)</t>
        </is>
      </c>
    </row>
    <row r="1030">
      <c r="A1030" s="256" t="inlineStr">
        <is>
          <t>CoQ-PP_26-045</t>
        </is>
      </c>
      <c r="B1030" s="256" t="inlineStr">
        <is>
          <t>release</t>
        </is>
      </c>
      <c r="C1030" s="256" t="inlineStr">
        <is>
          <t>GP092501</t>
        </is>
      </c>
      <c r="D1030" s="256" t="inlineStr">
        <is>
          <t>P060092</t>
        </is>
      </c>
      <c r="E1030" s="256" t="inlineStr">
        <is>
          <t>Grape Pie</t>
        </is>
      </c>
      <c r="F1030" s="256" t="inlineStr">
        <is>
          <t>06.06.2026</t>
        </is>
      </c>
      <c r="G1030" s="256" t="inlineStr">
        <is>
          <t>10.2</t>
        </is>
      </c>
      <c r="H1030" s="256" t="inlineStr">
        <is>
          <t>Aflatoxins ∑</t>
        </is>
      </c>
      <c r="I1030" s="256" t="inlineStr">
        <is>
          <t>Ph. Eur. 2.8.18 (HPLC-FLD)</t>
        </is>
      </c>
      <c r="J1030" s="256" t="inlineStr">
        <is>
          <t>≤ 4 µg/kg</t>
        </is>
      </c>
      <c r="K1030" s="256" t="inlineStr">
        <is>
          <t>&lt; 2</t>
        </is>
      </c>
      <c r="L1030" s="256" t="inlineStr">
        <is>
          <t>88/2026</t>
        </is>
      </c>
      <c r="M1030" s="256" t="inlineStr">
        <is>
          <t>03.02.2026</t>
        </is>
      </c>
      <c r="N1030" s="256" t="inlineStr">
        <is>
          <t>IPH — Institute of Public Health</t>
        </is>
      </c>
      <c r="O1030" s="256" t="inlineStr">
        <is>
          <t>08.01.2026</t>
        </is>
      </c>
      <c r="P1030" s="256" t="inlineStr">
        <is>
          <t>covered</t>
        </is>
      </c>
      <c r="Q1030" s="256" t="inlineStr"/>
      <c r="R1030" s="256" t="inlineStr">
        <is>
          <t>ND (220-13-М/26)</t>
        </is>
      </c>
    </row>
    <row r="1031">
      <c r="A1031" s="256" t="inlineStr">
        <is>
          <t>CoQ-PP_26-045</t>
        </is>
      </c>
      <c r="B1031" s="256" t="inlineStr">
        <is>
          <t>release</t>
        </is>
      </c>
      <c r="C1031" s="256" t="inlineStr">
        <is>
          <t>GP092501</t>
        </is>
      </c>
      <c r="D1031" s="256" t="inlineStr">
        <is>
          <t>P060092</t>
        </is>
      </c>
      <c r="E1031" s="256" t="inlineStr">
        <is>
          <t>Grape Pie</t>
        </is>
      </c>
      <c r="F1031" s="256" t="inlineStr">
        <is>
          <t>06.06.2026</t>
        </is>
      </c>
      <c r="G1031" s="256" t="inlineStr">
        <is>
          <t>10.3</t>
        </is>
      </c>
      <c r="H1031" s="256" t="inlineStr">
        <is>
          <t>Ochratoxin A</t>
        </is>
      </c>
      <c r="I1031" s="256" t="inlineStr">
        <is>
          <t>Ph. Eur. 2.8.22 (HPLC-FLD)</t>
        </is>
      </c>
      <c r="J1031" s="256" t="inlineStr">
        <is>
          <t>≤ 20 µg/kg</t>
        </is>
      </c>
      <c r="K1031" s="259" t="inlineStr">
        <is>
          <t>not tested</t>
        </is>
      </c>
      <c r="L1031" s="256" t="inlineStr">
        <is>
          <t>—</t>
        </is>
      </c>
      <c r="M1031" s="256" t="inlineStr">
        <is>
          <t>—</t>
        </is>
      </c>
      <c r="N1031" s="256" t="inlineStr">
        <is>
          <t>—</t>
        </is>
      </c>
      <c r="O1031" s="256" t="inlineStr">
        <is>
          <t>—</t>
        </is>
      </c>
      <c r="P1031" s="256" t="inlineStr">
        <is>
          <t>not tested — no certificate covers it</t>
        </is>
      </c>
      <c r="Q1031" s="256" t="inlineStr"/>
      <c r="R1031" s="256" t="inlineStr">
        <is>
          <t>ND (220-13-М/26)</t>
        </is>
      </c>
    </row>
    <row r="1032">
      <c r="A1032" s="256" t="inlineStr">
        <is>
          <t>CoQ-PP_26-045</t>
        </is>
      </c>
      <c r="B1032" s="256" t="inlineStr">
        <is>
          <t>release</t>
        </is>
      </c>
      <c r="C1032" s="256" t="inlineStr">
        <is>
          <t>GP092501</t>
        </is>
      </c>
      <c r="D1032" s="256" t="inlineStr">
        <is>
          <t>P060092</t>
        </is>
      </c>
      <c r="E1032" s="256" t="inlineStr">
        <is>
          <t>Grape Pie</t>
        </is>
      </c>
      <c r="F1032" s="256" t="inlineStr">
        <is>
          <t>06.06.2026</t>
        </is>
      </c>
      <c r="G1032" s="256" t="inlineStr">
        <is>
          <t>11.1</t>
        </is>
      </c>
      <c r="H1032" s="256" t="inlineStr">
        <is>
          <t>Lead (Pb)</t>
        </is>
      </c>
      <c r="I1032" s="256" t="inlineStr">
        <is>
          <t>Ph. Eur. 2.4.27 (ICP-MS)</t>
        </is>
      </c>
      <c r="J1032" s="256" t="inlineStr">
        <is>
          <t>≤ 0.5 mg/kg</t>
        </is>
      </c>
      <c r="K1032" s="256" t="inlineStr">
        <is>
          <t>0.022</t>
        </is>
      </c>
      <c r="L1032" s="256" t="inlineStr">
        <is>
          <t>88/2026</t>
        </is>
      </c>
      <c r="M1032" s="256" t="inlineStr">
        <is>
          <t>03.02.2026</t>
        </is>
      </c>
      <c r="N1032" s="256" t="inlineStr">
        <is>
          <t>IPH — Institute of Public Health</t>
        </is>
      </c>
      <c r="O1032" s="256" t="inlineStr">
        <is>
          <t>08.01.2026</t>
        </is>
      </c>
      <c r="P1032" s="256" t="inlineStr">
        <is>
          <t>covered</t>
        </is>
      </c>
      <c r="Q1032" s="256" t="inlineStr"/>
      <c r="R1032" s="256" t="inlineStr"/>
    </row>
    <row r="1033">
      <c r="A1033" s="256" t="inlineStr">
        <is>
          <t>CoQ-PP_26-045</t>
        </is>
      </c>
      <c r="B1033" s="256" t="inlineStr">
        <is>
          <t>release</t>
        </is>
      </c>
      <c r="C1033" s="256" t="inlineStr">
        <is>
          <t>GP092501</t>
        </is>
      </c>
      <c r="D1033" s="256" t="inlineStr">
        <is>
          <t>P060092</t>
        </is>
      </c>
      <c r="E1033" s="256" t="inlineStr">
        <is>
          <t>Grape Pie</t>
        </is>
      </c>
      <c r="F1033" s="256" t="inlineStr">
        <is>
          <t>06.06.2026</t>
        </is>
      </c>
      <c r="G1033" s="256" t="inlineStr">
        <is>
          <t>11.2</t>
        </is>
      </c>
      <c r="H1033" s="256" t="inlineStr">
        <is>
          <t>Cadmium (Cd)</t>
        </is>
      </c>
      <c r="I1033" s="256" t="inlineStr">
        <is>
          <t>Ph. Eur. 2.4.27 (ICP-MS)</t>
        </is>
      </c>
      <c r="J1033" s="256" t="inlineStr">
        <is>
          <t>≤ 0.3 mg/kg</t>
        </is>
      </c>
      <c r="K1033" s="256" t="inlineStr">
        <is>
          <t>ND</t>
        </is>
      </c>
      <c r="L1033" s="256" t="inlineStr">
        <is>
          <t>88/2026</t>
        </is>
      </c>
      <c r="M1033" s="256" t="inlineStr">
        <is>
          <t>03.02.2026</t>
        </is>
      </c>
      <c r="N1033" s="256" t="inlineStr">
        <is>
          <t>IPH — Institute of Public Health</t>
        </is>
      </c>
      <c r="O1033" s="256" t="inlineStr">
        <is>
          <t>08.01.2026</t>
        </is>
      </c>
      <c r="P1033" s="256" t="inlineStr">
        <is>
          <t>covered</t>
        </is>
      </c>
      <c r="Q1033" s="256" t="inlineStr"/>
      <c r="R1033" s="256" t="inlineStr"/>
    </row>
    <row r="1034">
      <c r="A1034" s="256" t="inlineStr">
        <is>
          <t>CoQ-PP_26-045</t>
        </is>
      </c>
      <c r="B1034" s="256" t="inlineStr">
        <is>
          <t>release</t>
        </is>
      </c>
      <c r="C1034" s="256" t="inlineStr">
        <is>
          <t>GP092501</t>
        </is>
      </c>
      <c r="D1034" s="256" t="inlineStr">
        <is>
          <t>P060092</t>
        </is>
      </c>
      <c r="E1034" s="256" t="inlineStr">
        <is>
          <t>Grape Pie</t>
        </is>
      </c>
      <c r="F1034" s="256" t="inlineStr">
        <is>
          <t>06.06.2026</t>
        </is>
      </c>
      <c r="G1034" s="256" t="inlineStr">
        <is>
          <t>11.3</t>
        </is>
      </c>
      <c r="H1034" s="256" t="inlineStr">
        <is>
          <t>Arsenic (As)</t>
        </is>
      </c>
      <c r="I1034" s="256" t="inlineStr">
        <is>
          <t>Ph. Eur. 2.4.27 (ICP-MS)</t>
        </is>
      </c>
      <c r="J1034" s="256" t="inlineStr">
        <is>
          <t>≤ 0.2 mg/kg</t>
        </is>
      </c>
      <c r="K1034" s="256" t="inlineStr">
        <is>
          <t>ND</t>
        </is>
      </c>
      <c r="L1034" s="256" t="inlineStr">
        <is>
          <t>88/2026</t>
        </is>
      </c>
      <c r="M1034" s="256" t="inlineStr">
        <is>
          <t>03.02.2026</t>
        </is>
      </c>
      <c r="N1034" s="256" t="inlineStr">
        <is>
          <t>IPH — Institute of Public Health</t>
        </is>
      </c>
      <c r="O1034" s="256" t="inlineStr">
        <is>
          <t>08.01.2026</t>
        </is>
      </c>
      <c r="P1034" s="256" t="inlineStr">
        <is>
          <t>covered</t>
        </is>
      </c>
      <c r="Q1034" s="256" t="inlineStr"/>
      <c r="R1034" s="256" t="inlineStr"/>
    </row>
    <row r="1035">
      <c r="A1035" s="256" t="inlineStr">
        <is>
          <t>CoQ-PP_26-045</t>
        </is>
      </c>
      <c r="B1035" s="256" t="inlineStr">
        <is>
          <t>release</t>
        </is>
      </c>
      <c r="C1035" s="256" t="inlineStr">
        <is>
          <t>GP092501</t>
        </is>
      </c>
      <c r="D1035" s="256" t="inlineStr">
        <is>
          <t>P060092</t>
        </is>
      </c>
      <c r="E1035" s="256" t="inlineStr">
        <is>
          <t>Grape Pie</t>
        </is>
      </c>
      <c r="F1035" s="256" t="inlineStr">
        <is>
          <t>06.06.2026</t>
        </is>
      </c>
      <c r="G1035" s="256" t="inlineStr">
        <is>
          <t>11.4</t>
        </is>
      </c>
      <c r="H1035" s="256" t="inlineStr">
        <is>
          <t>Mercury (Hg)</t>
        </is>
      </c>
      <c r="I1035" s="256" t="inlineStr">
        <is>
          <t>Ph. Eur. 2.4.27 (ICP-MS)</t>
        </is>
      </c>
      <c r="J1035" s="256" t="inlineStr">
        <is>
          <t>≤ 0.1 mg/kg</t>
        </is>
      </c>
      <c r="K1035" s="256" t="inlineStr">
        <is>
          <t>0.007</t>
        </is>
      </c>
      <c r="L1035" s="256" t="inlineStr">
        <is>
          <t>88/2026</t>
        </is>
      </c>
      <c r="M1035" s="256" t="inlineStr">
        <is>
          <t>03.02.2026</t>
        </is>
      </c>
      <c r="N1035" s="256" t="inlineStr">
        <is>
          <t>IPH — Institute of Public Health</t>
        </is>
      </c>
      <c r="O1035" s="256" t="inlineStr">
        <is>
          <t>08.01.2026</t>
        </is>
      </c>
      <c r="P1035" s="256" t="inlineStr">
        <is>
          <t>covered</t>
        </is>
      </c>
      <c r="Q1035" s="256" t="inlineStr"/>
      <c r="R1035" s="256" t="inlineStr"/>
    </row>
    <row r="1036">
      <c r="A1036" s="256" t="inlineStr">
        <is>
          <t>CoQ-PP_26-045</t>
        </is>
      </c>
      <c r="B1036" s="256" t="inlineStr">
        <is>
          <t>release</t>
        </is>
      </c>
      <c r="C1036" s="256" t="inlineStr">
        <is>
          <t>GP092501</t>
        </is>
      </c>
      <c r="D1036" s="256" t="inlineStr">
        <is>
          <t>P060092</t>
        </is>
      </c>
      <c r="E1036" s="256" t="inlineStr">
        <is>
          <t>Grape Pie</t>
        </is>
      </c>
      <c r="F1036" s="256" t="inlineStr">
        <is>
          <t>06.06.2026</t>
        </is>
      </c>
      <c r="G1036" s="256" t="inlineStr">
        <is>
          <t>12</t>
        </is>
      </c>
      <c r="H1036" s="256" t="inlineStr">
        <is>
          <t>Pesticide Residues</t>
        </is>
      </c>
      <c r="I1036" s="256" t="inlineStr">
        <is>
          <t>Ph. Eur. 2.8.13 (LC-MS/MS) · CUMCS Equivalency</t>
        </is>
      </c>
      <c r="J1036" s="256" t="inlineStr">
        <is>
          <t>≤ LOQ as per Ph. Eur. 2.8.13 · ≤ LOQ as per CUMCS Equivalency</t>
        </is>
      </c>
      <c r="K1036" s="256" t="inlineStr">
        <is>
          <t>ND</t>
        </is>
      </c>
      <c r="L1036" s="256" t="inlineStr">
        <is>
          <t>88/2026</t>
        </is>
      </c>
      <c r="M1036" s="256" t="inlineStr">
        <is>
          <t>03.02.2026</t>
        </is>
      </c>
      <c r="N1036" s="256" t="inlineStr">
        <is>
          <t>IPH — Institute of Public Health</t>
        </is>
      </c>
      <c r="O1036" s="256" t="inlineStr">
        <is>
          <t>08.01.2026</t>
        </is>
      </c>
      <c r="P1036" s="256" t="inlineStr">
        <is>
          <t>covered</t>
        </is>
      </c>
      <c r="Q1036" s="256" t="inlineStr"/>
      <c r="R1036" s="256" t="inlineStr"/>
    </row>
    <row r="1037">
      <c r="A1037" s="256" t="inlineStr">
        <is>
          <t>CoQ-PP_26-046</t>
        </is>
      </c>
      <c r="B1037" s="256" t="inlineStr">
        <is>
          <t>release</t>
        </is>
      </c>
      <c r="C1037" s="256" t="inlineStr">
        <is>
          <t>WED102501</t>
        </is>
      </c>
      <c r="D1037" s="256" t="inlineStr">
        <is>
          <t>P060102</t>
        </is>
      </c>
      <c r="E1037" s="256" t="inlineStr">
        <is>
          <t>Wedding Cake</t>
        </is>
      </c>
      <c r="F1037" s="256" t="inlineStr">
        <is>
          <t>06.06.2026</t>
        </is>
      </c>
      <c r="G1037" s="256" t="inlineStr">
        <is>
          <t>1</t>
        </is>
      </c>
      <c r="H1037" s="256" t="inlineStr">
        <is>
          <t>Identification A, Appearance · Macroscopic</t>
        </is>
      </c>
      <c r="I1037" s="256" t="inlineStr">
        <is>
          <t>Ph. Eur. mon. 3028</t>
        </is>
      </c>
      <c r="J1037" s="256" t="inlineStr">
        <is>
          <t>Conforms to the monograph for Cannabis flos (07/2024:3028) in Ph. Eur. 11.0 | Согласно монографија за Cannabis flos (07/2024:3028) во Ph. Eur. 11.0</t>
        </is>
      </c>
      <c r="K1037" s="256" t="inlineStr">
        <is>
          <t>Conforms | Одговара</t>
        </is>
      </c>
      <c r="L1037" s="256" t="inlineStr">
        <is>
          <t>iCoA-PP_26-045</t>
        </is>
      </c>
      <c r="M1037" s="256" t="inlineStr">
        <is>
          <t>03.06.2026</t>
        </is>
      </c>
      <c r="N1037" s="256" t="inlineStr">
        <is>
          <t>Purely Plant GmbH (in-house)</t>
        </is>
      </c>
      <c r="O1037" s="256" t="inlineStr">
        <is>
          <t>—</t>
        </is>
      </c>
      <c r="P1037" s="256" t="inlineStr">
        <is>
          <t>to be performed — see route</t>
        </is>
      </c>
      <c r="Q1037" s="256" t="inlineStr">
        <is>
          <t>Purely Plant laboratory — iCoA covering Ident A + B</t>
        </is>
      </c>
      <c r="R1037" s="256" t="inlineStr"/>
    </row>
    <row r="1038">
      <c r="A1038" s="256" t="inlineStr">
        <is>
          <t>CoQ-PP_26-046</t>
        </is>
      </c>
      <c r="B1038" s="256" t="inlineStr">
        <is>
          <t>release</t>
        </is>
      </c>
      <c r="C1038" s="256" t="inlineStr">
        <is>
          <t>WED102501</t>
        </is>
      </c>
      <c r="D1038" s="256" t="inlineStr">
        <is>
          <t>P060102</t>
        </is>
      </c>
      <c r="E1038" s="256" t="inlineStr">
        <is>
          <t>Wedding Cake</t>
        </is>
      </c>
      <c r="F1038" s="256" t="inlineStr">
        <is>
          <t>06.06.2026</t>
        </is>
      </c>
      <c r="G1038" s="256" t="inlineStr">
        <is>
          <t>2</t>
        </is>
      </c>
      <c r="H1038" s="256" t="inlineStr">
        <is>
          <t>Identification B · Microscopic</t>
        </is>
      </c>
      <c r="I1038" s="256" t="inlineStr">
        <is>
          <t>Ph. Eur. 2.8.23 (microscopy)</t>
        </is>
      </c>
      <c r="J1038" s="256" t="inlineStr">
        <is>
          <t>Conforms to the monograph for Cannabis flos (07/2024:3028) in Ph. Eur. 11.0 | Согласно монографија за Cannabis flos (07/2024:3028) во Ph. Eur. 11.0</t>
        </is>
      </c>
      <c r="K1038" s="256" t="inlineStr">
        <is>
          <t>Conforms | Одговара</t>
        </is>
      </c>
      <c r="L1038" s="256" t="inlineStr">
        <is>
          <t>iCoA-PP_26-045</t>
        </is>
      </c>
      <c r="M1038" s="256" t="inlineStr">
        <is>
          <t>03.06.2026</t>
        </is>
      </c>
      <c r="N1038" s="256" t="inlineStr">
        <is>
          <t>Purely Plant GmbH (in-house)</t>
        </is>
      </c>
      <c r="O1038" s="256" t="inlineStr">
        <is>
          <t>—</t>
        </is>
      </c>
      <c r="P1038" s="256" t="inlineStr">
        <is>
          <t>to be performed — see route</t>
        </is>
      </c>
      <c r="Q1038" s="256" t="inlineStr">
        <is>
          <t>Purely Plant laboratory — iCoA covering Ident A + B</t>
        </is>
      </c>
      <c r="R1038" s="256" t="inlineStr"/>
    </row>
    <row r="1039">
      <c r="A1039" s="256" t="inlineStr">
        <is>
          <t>CoQ-PP_26-046</t>
        </is>
      </c>
      <c r="B1039" s="256" t="inlineStr">
        <is>
          <t>release</t>
        </is>
      </c>
      <c r="C1039" s="256" t="inlineStr">
        <is>
          <t>WED102501</t>
        </is>
      </c>
      <c r="D1039" s="256" t="inlineStr">
        <is>
          <t>P060102</t>
        </is>
      </c>
      <c r="E1039" s="256" t="inlineStr">
        <is>
          <t>Wedding Cake</t>
        </is>
      </c>
      <c r="F1039" s="256" t="inlineStr">
        <is>
          <t>06.06.2026</t>
        </is>
      </c>
      <c r="G1039" s="256" t="inlineStr">
        <is>
          <t>3</t>
        </is>
      </c>
      <c r="H1039" s="256" t="inlineStr">
        <is>
          <t>Identification C · HPLC/HPTLC</t>
        </is>
      </c>
      <c r="I1039" s="256" t="inlineStr">
        <is>
          <t>Ph. Eur. 2.2.29 (3028)</t>
        </is>
      </c>
      <c r="J1039" s="256" t="inlineStr">
        <is>
          <t>Conforms to the monograph for Cannabis flos (07/2024:3028) in Ph. Eur. 11.0 | Согласно монографија за Cannabis flos (07/2024:3028) во Ph. Eur. 11.0</t>
        </is>
      </c>
      <c r="K1039" s="259" t="inlineStr">
        <is>
          <t>to be performed (in house)</t>
        </is>
      </c>
      <c r="L1039" s="256" t="inlineStr">
        <is>
          <t>—</t>
        </is>
      </c>
      <c r="M1039" s="256" t="inlineStr">
        <is>
          <t>—</t>
        </is>
      </c>
      <c r="N1039" s="256" t="inlineStr">
        <is>
          <t>—</t>
        </is>
      </c>
      <c r="O1039" s="256" t="inlineStr">
        <is>
          <t>—</t>
        </is>
      </c>
      <c r="P1039" s="256" t="inlineStr">
        <is>
          <t>to be performed — see route</t>
        </is>
      </c>
      <c r="Q1039" s="256" t="inlineStr">
        <is>
          <t>outside laboratory — the HPLC cannabinoid certificate discharges Ident C (Farmahem -K- or CNP); in-house iCoA P03 only where none exists</t>
        </is>
      </c>
      <c r="R1039" s="256" t="inlineStr"/>
    </row>
    <row r="1040">
      <c r="A1040" s="256" t="inlineStr">
        <is>
          <t>CoQ-PP_26-046</t>
        </is>
      </c>
      <c r="B1040" s="256" t="inlineStr">
        <is>
          <t>release</t>
        </is>
      </c>
      <c r="C1040" s="256" t="inlineStr">
        <is>
          <t>WED102501</t>
        </is>
      </c>
      <c r="D1040" s="256" t="inlineStr">
        <is>
          <t>P060102</t>
        </is>
      </c>
      <c r="E1040" s="256" t="inlineStr">
        <is>
          <t>Wedding Cake</t>
        </is>
      </c>
      <c r="F1040" s="256" t="inlineStr">
        <is>
          <t>06.06.2026</t>
        </is>
      </c>
      <c r="G1040" s="256" t="inlineStr">
        <is>
          <t>4</t>
        </is>
      </c>
      <c r="H1040" s="256" t="inlineStr">
        <is>
          <t>Assay — Total Δ⁹-THC</t>
        </is>
      </c>
      <c r="I1040" s="256" t="inlineStr">
        <is>
          <t>Ph. Eur. 2.2.29 (HPLC)</t>
        </is>
      </c>
      <c r="J1040" s="256" t="inlineStr">
        <is>
          <t>Per grade of the potency specification of 15.09.2026 — no Total THC result on file</t>
        </is>
      </c>
      <c r="K1040" s="259" t="inlineStr">
        <is>
          <t>not tested</t>
        </is>
      </c>
      <c r="L1040" s="256" t="inlineStr">
        <is>
          <t>—</t>
        </is>
      </c>
      <c r="M1040" s="256" t="inlineStr">
        <is>
          <t>—</t>
        </is>
      </c>
      <c r="N1040" s="256" t="inlineStr">
        <is>
          <t>—</t>
        </is>
      </c>
      <c r="O1040" s="256" t="inlineStr">
        <is>
          <t>—</t>
        </is>
      </c>
      <c r="P1040" s="256" t="inlineStr">
        <is>
          <t>not tested — no certificate covers it</t>
        </is>
      </c>
      <c r="Q1040" s="256" t="inlineStr"/>
      <c r="R1040" s="256" t="inlineStr">
        <is>
          <t>25.15 (227-4-К/26)</t>
        </is>
      </c>
    </row>
    <row r="1041">
      <c r="A1041" s="256" t="inlineStr">
        <is>
          <t>CoQ-PP_26-046</t>
        </is>
      </c>
      <c r="B1041" s="256" t="inlineStr">
        <is>
          <t>release</t>
        </is>
      </c>
      <c r="C1041" s="256" t="inlineStr">
        <is>
          <t>WED102501</t>
        </is>
      </c>
      <c r="D1041" s="256" t="inlineStr">
        <is>
          <t>P060102</t>
        </is>
      </c>
      <c r="E1041" s="256" t="inlineStr">
        <is>
          <t>Wedding Cake</t>
        </is>
      </c>
      <c r="F1041" s="256" t="inlineStr">
        <is>
          <t>06.06.2026</t>
        </is>
      </c>
      <c r="G1041" s="256" t="inlineStr">
        <is>
          <t>5</t>
        </is>
      </c>
      <c r="H1041" s="256" t="inlineStr">
        <is>
          <t>Assay — Total CBD</t>
        </is>
      </c>
      <c r="I1041" s="256" t="inlineStr">
        <is>
          <t>Ph. Eur. 2.2.29 (HPLC) · CBD + CBDA x 0.877</t>
        </is>
      </c>
      <c r="J1041" s="256" t="inlineStr">
        <is>
          <t>≤ 1.0%, w/w</t>
        </is>
      </c>
      <c r="K1041" s="259" t="inlineStr">
        <is>
          <t>not tested</t>
        </is>
      </c>
      <c r="L1041" s="256" t="inlineStr">
        <is>
          <t>—</t>
        </is>
      </c>
      <c r="M1041" s="256" t="inlineStr">
        <is>
          <t>—</t>
        </is>
      </c>
      <c r="N1041" s="256" t="inlineStr">
        <is>
          <t>—</t>
        </is>
      </c>
      <c r="O1041" s="256" t="inlineStr">
        <is>
          <t>—</t>
        </is>
      </c>
      <c r="P1041" s="256" t="inlineStr">
        <is>
          <t>not tested — no certificate covers it</t>
        </is>
      </c>
      <c r="Q1041" s="256" t="inlineStr"/>
      <c r="R1041" s="256" t="inlineStr">
        <is>
          <t>&lt;LOQ (227-4-К/26)</t>
        </is>
      </c>
    </row>
    <row r="1042">
      <c r="A1042" s="256" t="inlineStr">
        <is>
          <t>CoQ-PP_26-046</t>
        </is>
      </c>
      <c r="B1042" s="256" t="inlineStr">
        <is>
          <t>release</t>
        </is>
      </c>
      <c r="C1042" s="256" t="inlineStr">
        <is>
          <t>WED102501</t>
        </is>
      </c>
      <c r="D1042" s="256" t="inlineStr">
        <is>
          <t>P060102</t>
        </is>
      </c>
      <c r="E1042" s="256" t="inlineStr">
        <is>
          <t>Wedding Cake</t>
        </is>
      </c>
      <c r="F1042" s="256" t="inlineStr">
        <is>
          <t>06.06.2026</t>
        </is>
      </c>
      <c r="G1042" s="256" t="inlineStr">
        <is>
          <t>6</t>
        </is>
      </c>
      <c r="H1042" s="256" t="inlineStr">
        <is>
          <t>Total CBN</t>
        </is>
      </c>
      <c r="I1042" s="256" t="inlineStr">
        <is>
          <t>Ph. Eur. 2.2.29 (HPLC) · CBN + CBNA x 0.876</t>
        </is>
      </c>
      <c r="J1042" s="256" t="inlineStr">
        <is>
          <t>≤ 1.0%, w/w</t>
        </is>
      </c>
      <c r="K1042" s="259" t="inlineStr">
        <is>
          <t>not tested</t>
        </is>
      </c>
      <c r="L1042" s="256" t="inlineStr">
        <is>
          <t>—</t>
        </is>
      </c>
      <c r="M1042" s="256" t="inlineStr">
        <is>
          <t>—</t>
        </is>
      </c>
      <c r="N1042" s="256" t="inlineStr">
        <is>
          <t>—</t>
        </is>
      </c>
      <c r="O1042" s="256" t="inlineStr">
        <is>
          <t>—</t>
        </is>
      </c>
      <c r="P1042" s="256" t="inlineStr">
        <is>
          <t>not tested — no certificate covers it</t>
        </is>
      </c>
      <c r="Q1042" s="256" t="inlineStr"/>
      <c r="R1042" s="256" t="inlineStr">
        <is>
          <t>&lt;LOQ (227-4-К/26)</t>
        </is>
      </c>
    </row>
    <row r="1043">
      <c r="A1043" s="256" t="inlineStr">
        <is>
          <t>CoQ-PP_26-046</t>
        </is>
      </c>
      <c r="B1043" s="256" t="inlineStr">
        <is>
          <t>release</t>
        </is>
      </c>
      <c r="C1043" s="256" t="inlineStr">
        <is>
          <t>WED102501</t>
        </is>
      </c>
      <c r="D1043" s="256" t="inlineStr">
        <is>
          <t>P060102</t>
        </is>
      </c>
      <c r="E1043" s="256" t="inlineStr">
        <is>
          <t>Wedding Cake</t>
        </is>
      </c>
      <c r="F1043" s="256" t="inlineStr">
        <is>
          <t>06.06.2026</t>
        </is>
      </c>
      <c r="G1043" s="256" t="inlineStr">
        <is>
          <t>7</t>
        </is>
      </c>
      <c r="H1043" s="256" t="inlineStr">
        <is>
          <t>Foreign Matter</t>
        </is>
      </c>
      <c r="I1043" s="256" t="inlineStr">
        <is>
          <t>Ph. Eur. 2.8.2 · In-house · интерна</t>
        </is>
      </c>
      <c r="J1043" s="256" t="inlineStr">
        <is>
          <t>≤ 2.0% / 25–50 g · &lt; 1 cm leaves | листови, no seeds | без семки</t>
        </is>
      </c>
      <c r="K1043" s="256" t="inlineStr">
        <is>
          <t>Conforms | Одговара</t>
        </is>
      </c>
      <c r="L1043" s="256" t="inlineStr">
        <is>
          <t>iCoA-PP_26-045</t>
        </is>
      </c>
      <c r="M1043" s="256" t="inlineStr">
        <is>
          <t>03.06.2026</t>
        </is>
      </c>
      <c r="N1043" s="256" t="inlineStr">
        <is>
          <t>Purely Plant GmbH (in-house)</t>
        </is>
      </c>
      <c r="O1043" s="256" t="inlineStr">
        <is>
          <t>—</t>
        </is>
      </c>
      <c r="P1043" s="256" t="inlineStr">
        <is>
          <t>to be performed — see route</t>
        </is>
      </c>
      <c r="Q1043" s="256" t="inlineStr">
        <is>
          <t>Purely Plant laboratory — iCoA covering Foreign matter</t>
        </is>
      </c>
      <c r="R1043" s="256" t="inlineStr"/>
    </row>
    <row r="1044">
      <c r="A1044" s="256" t="inlineStr">
        <is>
          <t>CoQ-PP_26-046</t>
        </is>
      </c>
      <c r="B1044" s="256" t="inlineStr">
        <is>
          <t>release</t>
        </is>
      </c>
      <c r="C1044" s="256" t="inlineStr">
        <is>
          <t>WED102501</t>
        </is>
      </c>
      <c r="D1044" s="256" t="inlineStr">
        <is>
          <t>P060102</t>
        </is>
      </c>
      <c r="E1044" s="256" t="inlineStr">
        <is>
          <t>Wedding Cake</t>
        </is>
      </c>
      <c r="F1044" s="256" t="inlineStr">
        <is>
          <t>06.06.2026</t>
        </is>
      </c>
      <c r="G1044" s="256" t="inlineStr">
        <is>
          <t>8</t>
        </is>
      </c>
      <c r="H1044" s="256" t="inlineStr">
        <is>
          <t>Loss on Drying</t>
        </is>
      </c>
      <c r="I1044" s="256" t="inlineStr">
        <is>
          <t>Ph. Eur. 2.2.32 (3028) · at 40 °C, 24 h, 15–25 mbar</t>
        </is>
      </c>
      <c r="J1044" s="256" t="inlineStr">
        <is>
          <t>≤ 12.0%</t>
        </is>
      </c>
      <c r="K1044" s="256" t="inlineStr">
        <is>
          <t>6,8 %</t>
        </is>
      </c>
      <c r="L1044" s="256" t="inlineStr">
        <is>
          <t>031-3-ГС/26</t>
        </is>
      </c>
      <c r="M1044" s="256" t="inlineStr">
        <is>
          <t>12.02.2026</t>
        </is>
      </c>
      <c r="N1044" s="256" t="inlineStr">
        <is>
          <t>Farmahem</t>
        </is>
      </c>
      <c r="O1044" s="256" t="inlineStr">
        <is>
          <t>—</t>
        </is>
      </c>
      <c r="P1044" s="256" t="inlineStr">
        <is>
          <t>covered</t>
        </is>
      </c>
      <c r="Q1044" s="256" t="inlineStr"/>
      <c r="R1044" s="256" t="inlineStr"/>
    </row>
    <row r="1045">
      <c r="A1045" s="256" t="inlineStr">
        <is>
          <t>CoQ-PP_26-046</t>
        </is>
      </c>
      <c r="B1045" s="256" t="inlineStr">
        <is>
          <t>release</t>
        </is>
      </c>
      <c r="C1045" s="256" t="inlineStr">
        <is>
          <t>WED102501</t>
        </is>
      </c>
      <c r="D1045" s="256" t="inlineStr">
        <is>
          <t>P060102</t>
        </is>
      </c>
      <c r="E1045" s="256" t="inlineStr">
        <is>
          <t>Wedding Cake</t>
        </is>
      </c>
      <c r="F1045" s="256" t="inlineStr">
        <is>
          <t>06.06.2026</t>
        </is>
      </c>
      <c r="G1045" s="256" t="inlineStr">
        <is>
          <t>9.1</t>
        </is>
      </c>
      <c r="H1045" s="256" t="inlineStr">
        <is>
          <t>TAMC</t>
        </is>
      </c>
      <c r="I1045" s="256" t="inlineStr">
        <is>
          <t>Ph. Eur. 2.6.12 cat. C</t>
        </is>
      </c>
      <c r="J1045" s="256" t="inlineStr">
        <is>
          <t>≤ 10⁵ CFU/g</t>
        </is>
      </c>
      <c r="K1045" s="259" t="inlineStr">
        <is>
          <t>not tested</t>
        </is>
      </c>
      <c r="L1045" s="256" t="inlineStr">
        <is>
          <t>—</t>
        </is>
      </c>
      <c r="M1045" s="256" t="inlineStr">
        <is>
          <t>—</t>
        </is>
      </c>
      <c r="N1045" s="256" t="inlineStr">
        <is>
          <t>—</t>
        </is>
      </c>
      <c r="O1045" s="256" t="inlineStr">
        <is>
          <t>—</t>
        </is>
      </c>
      <c r="P1045" s="256" t="inlineStr">
        <is>
          <t>not tested — no certificate covers it</t>
        </is>
      </c>
      <c r="Q1045" s="256" t="inlineStr"/>
      <c r="R1045" s="256" t="inlineStr"/>
    </row>
    <row r="1046">
      <c r="A1046" s="256" t="inlineStr">
        <is>
          <t>CoQ-PP_26-046</t>
        </is>
      </c>
      <c r="B1046" s="256" t="inlineStr">
        <is>
          <t>release</t>
        </is>
      </c>
      <c r="C1046" s="256" t="inlineStr">
        <is>
          <t>WED102501</t>
        </is>
      </c>
      <c r="D1046" s="256" t="inlineStr">
        <is>
          <t>P060102</t>
        </is>
      </c>
      <c r="E1046" s="256" t="inlineStr">
        <is>
          <t>Wedding Cake</t>
        </is>
      </c>
      <c r="F1046" s="256" t="inlineStr">
        <is>
          <t>06.06.2026</t>
        </is>
      </c>
      <c r="G1046" s="256" t="inlineStr">
        <is>
          <t>9.2</t>
        </is>
      </c>
      <c r="H1046" s="256" t="inlineStr">
        <is>
          <t>TYMC</t>
        </is>
      </c>
      <c r="I1046" s="256" t="inlineStr">
        <is>
          <t>Ph. Eur. 2.6.12 cat. C</t>
        </is>
      </c>
      <c r="J1046" s="256" t="inlineStr">
        <is>
          <t>≤ 10⁴ CFU/g</t>
        </is>
      </c>
      <c r="K1046" s="259" t="inlineStr">
        <is>
          <t>not tested</t>
        </is>
      </c>
      <c r="L1046" s="256" t="inlineStr">
        <is>
          <t>—</t>
        </is>
      </c>
      <c r="M1046" s="256" t="inlineStr">
        <is>
          <t>—</t>
        </is>
      </c>
      <c r="N1046" s="256" t="inlineStr">
        <is>
          <t>—</t>
        </is>
      </c>
      <c r="O1046" s="256" t="inlineStr">
        <is>
          <t>—</t>
        </is>
      </c>
      <c r="P1046" s="256" t="inlineStr">
        <is>
          <t>not tested — no certificate covers it</t>
        </is>
      </c>
      <c r="Q1046" s="256" t="inlineStr"/>
      <c r="R1046" s="256" t="inlineStr"/>
    </row>
    <row r="1047">
      <c r="A1047" s="256" t="inlineStr">
        <is>
          <t>CoQ-PP_26-046</t>
        </is>
      </c>
      <c r="B1047" s="256" t="inlineStr">
        <is>
          <t>release</t>
        </is>
      </c>
      <c r="C1047" s="256" t="inlineStr">
        <is>
          <t>WED102501</t>
        </is>
      </c>
      <c r="D1047" s="256" t="inlineStr">
        <is>
          <t>P060102</t>
        </is>
      </c>
      <c r="E1047" s="256" t="inlineStr">
        <is>
          <t>Wedding Cake</t>
        </is>
      </c>
      <c r="F1047" s="256" t="inlineStr">
        <is>
          <t>06.06.2026</t>
        </is>
      </c>
      <c r="G1047" s="256" t="inlineStr">
        <is>
          <t>9.3</t>
        </is>
      </c>
      <c r="H1047" s="256" t="inlineStr">
        <is>
          <t>Bile-tolerant gram-neg.</t>
        </is>
      </c>
      <c r="I1047" s="256" t="inlineStr">
        <is>
          <t>Ph. Eur. 2.6.31 cat. C</t>
        </is>
      </c>
      <c r="J1047" s="256" t="inlineStr">
        <is>
          <t>≤ 10⁴ CFU/g</t>
        </is>
      </c>
      <c r="K1047" s="259" t="inlineStr">
        <is>
          <t>not tested</t>
        </is>
      </c>
      <c r="L1047" s="256" t="inlineStr">
        <is>
          <t>—</t>
        </is>
      </c>
      <c r="M1047" s="256" t="inlineStr">
        <is>
          <t>—</t>
        </is>
      </c>
      <c r="N1047" s="256" t="inlineStr">
        <is>
          <t>—</t>
        </is>
      </c>
      <c r="O1047" s="256" t="inlineStr">
        <is>
          <t>—</t>
        </is>
      </c>
      <c r="P1047" s="256" t="inlineStr">
        <is>
          <t>not tested — no certificate covers it</t>
        </is>
      </c>
      <c r="Q1047" s="256" t="inlineStr"/>
      <c r="R1047" s="256" t="inlineStr"/>
    </row>
    <row r="1048">
      <c r="A1048" s="256" t="inlineStr">
        <is>
          <t>CoQ-PP_26-046</t>
        </is>
      </c>
      <c r="B1048" s="256" t="inlineStr">
        <is>
          <t>release</t>
        </is>
      </c>
      <c r="C1048" s="256" t="inlineStr">
        <is>
          <t>WED102501</t>
        </is>
      </c>
      <c r="D1048" s="256" t="inlineStr">
        <is>
          <t>P060102</t>
        </is>
      </c>
      <c r="E1048" s="256" t="inlineStr">
        <is>
          <t>Wedding Cake</t>
        </is>
      </c>
      <c r="F1048" s="256" t="inlineStr">
        <is>
          <t>06.06.2026</t>
        </is>
      </c>
      <c r="G1048" s="256" t="inlineStr">
        <is>
          <t>9.4</t>
        </is>
      </c>
      <c r="H1048" s="256" t="inlineStr">
        <is>
          <t>Salmonella</t>
        </is>
      </c>
      <c r="I1048" s="256" t="inlineStr">
        <is>
          <t>Ph. Eur. 2.6.31 cat. C</t>
        </is>
      </c>
      <c r="J1048" s="256" t="inlineStr">
        <is>
          <t>Absence | Отсуство / 25 g</t>
        </is>
      </c>
      <c r="K1048" s="259" t="inlineStr">
        <is>
          <t>not tested</t>
        </is>
      </c>
      <c r="L1048" s="256" t="inlineStr">
        <is>
          <t>—</t>
        </is>
      </c>
      <c r="M1048" s="256" t="inlineStr">
        <is>
          <t>—</t>
        </is>
      </c>
      <c r="N1048" s="256" t="inlineStr">
        <is>
          <t>—</t>
        </is>
      </c>
      <c r="O1048" s="256" t="inlineStr">
        <is>
          <t>—</t>
        </is>
      </c>
      <c r="P1048" s="256" t="inlineStr">
        <is>
          <t>not tested — no certificate covers it</t>
        </is>
      </c>
      <c r="Q1048" s="256" t="inlineStr"/>
      <c r="R1048" s="256" t="inlineStr"/>
    </row>
    <row r="1049">
      <c r="A1049" s="256" t="inlineStr">
        <is>
          <t>CoQ-PP_26-046</t>
        </is>
      </c>
      <c r="B1049" s="256" t="inlineStr">
        <is>
          <t>release</t>
        </is>
      </c>
      <c r="C1049" s="256" t="inlineStr">
        <is>
          <t>WED102501</t>
        </is>
      </c>
      <c r="D1049" s="256" t="inlineStr">
        <is>
          <t>P060102</t>
        </is>
      </c>
      <c r="E1049" s="256" t="inlineStr">
        <is>
          <t>Wedding Cake</t>
        </is>
      </c>
      <c r="F1049" s="256" t="inlineStr">
        <is>
          <t>06.06.2026</t>
        </is>
      </c>
      <c r="G1049" s="256" t="inlineStr">
        <is>
          <t>9.5</t>
        </is>
      </c>
      <c r="H1049" s="256" t="inlineStr">
        <is>
          <t>Escherichia coli</t>
        </is>
      </c>
      <c r="I1049" s="256" t="inlineStr">
        <is>
          <t>Ph. Eur. 2.6.13 cat. C</t>
        </is>
      </c>
      <c r="J1049" s="256" t="inlineStr">
        <is>
          <t>Absence | Отсуство / 1 g</t>
        </is>
      </c>
      <c r="K1049" s="259" t="inlineStr">
        <is>
          <t>not tested</t>
        </is>
      </c>
      <c r="L1049" s="256" t="inlineStr">
        <is>
          <t>—</t>
        </is>
      </c>
      <c r="M1049" s="256" t="inlineStr">
        <is>
          <t>—</t>
        </is>
      </c>
      <c r="N1049" s="256" t="inlineStr">
        <is>
          <t>—</t>
        </is>
      </c>
      <c r="O1049" s="256" t="inlineStr">
        <is>
          <t>—</t>
        </is>
      </c>
      <c r="P1049" s="256" t="inlineStr">
        <is>
          <t>not tested — no certificate covers it</t>
        </is>
      </c>
      <c r="Q1049" s="256" t="inlineStr"/>
      <c r="R1049" s="256" t="inlineStr"/>
    </row>
    <row r="1050">
      <c r="A1050" s="256" t="inlineStr">
        <is>
          <t>CoQ-PP_26-046</t>
        </is>
      </c>
      <c r="B1050" s="256" t="inlineStr">
        <is>
          <t>release</t>
        </is>
      </c>
      <c r="C1050" s="256" t="inlineStr">
        <is>
          <t>WED102501</t>
        </is>
      </c>
      <c r="D1050" s="256" t="inlineStr">
        <is>
          <t>P060102</t>
        </is>
      </c>
      <c r="E1050" s="256" t="inlineStr">
        <is>
          <t>Wedding Cake</t>
        </is>
      </c>
      <c r="F1050" s="256" t="inlineStr">
        <is>
          <t>06.06.2026</t>
        </is>
      </c>
      <c r="G1050" s="256" t="inlineStr">
        <is>
          <t>9.6</t>
        </is>
      </c>
      <c r="H1050" s="256" t="inlineStr">
        <is>
          <t>Pseudomonas aeruginosa</t>
        </is>
      </c>
      <c r="I1050" s="256" t="inlineStr">
        <is>
          <t>Ph. Eur. 2.6.13 cat. C</t>
        </is>
      </c>
      <c r="J1050" s="256" t="inlineStr">
        <is>
          <t>Absence | Отсуство / 1 g</t>
        </is>
      </c>
      <c r="K1050" s="260" t="inlineStr">
        <is>
          <t>upon request — not required for release</t>
        </is>
      </c>
      <c r="L1050" s="256" t="inlineStr">
        <is>
          <t>—</t>
        </is>
      </c>
      <c r="M1050" s="256" t="inlineStr">
        <is>
          <t>—</t>
        </is>
      </c>
      <c r="N1050" s="256" t="inlineStr">
        <is>
          <t>—</t>
        </is>
      </c>
      <c r="O1050" s="256" t="inlineStr">
        <is>
          <t>—</t>
        </is>
      </c>
      <c r="P1050" s="256" t="inlineStr">
        <is>
          <t>upon request — not required for release</t>
        </is>
      </c>
      <c r="Q1050" s="256" t="inlineStr"/>
      <c r="R1050" s="256" t="inlineStr"/>
    </row>
    <row r="1051">
      <c r="A1051" s="256" t="inlineStr">
        <is>
          <t>CoQ-PP_26-046</t>
        </is>
      </c>
      <c r="B1051" s="256" t="inlineStr">
        <is>
          <t>release</t>
        </is>
      </c>
      <c r="C1051" s="256" t="inlineStr">
        <is>
          <t>WED102501</t>
        </is>
      </c>
      <c r="D1051" s="256" t="inlineStr">
        <is>
          <t>P060102</t>
        </is>
      </c>
      <c r="E1051" s="256" t="inlineStr">
        <is>
          <t>Wedding Cake</t>
        </is>
      </c>
      <c r="F1051" s="256" t="inlineStr">
        <is>
          <t>06.06.2026</t>
        </is>
      </c>
      <c r="G1051" s="256" t="inlineStr">
        <is>
          <t>9.7</t>
        </is>
      </c>
      <c r="H1051" s="256" t="inlineStr">
        <is>
          <t>Staphylococcus aureus</t>
        </is>
      </c>
      <c r="I1051" s="256" t="inlineStr">
        <is>
          <t>Ph. Eur. 2.6.13 cat. C</t>
        </is>
      </c>
      <c r="J1051" s="256" t="inlineStr">
        <is>
          <t>Absence | Отсуство / 1 g</t>
        </is>
      </c>
      <c r="K1051" s="260" t="inlineStr">
        <is>
          <t>upon request — not required for release</t>
        </is>
      </c>
      <c r="L1051" s="256" t="inlineStr">
        <is>
          <t>—</t>
        </is>
      </c>
      <c r="M1051" s="256" t="inlineStr">
        <is>
          <t>—</t>
        </is>
      </c>
      <c r="N1051" s="256" t="inlineStr">
        <is>
          <t>—</t>
        </is>
      </c>
      <c r="O1051" s="256" t="inlineStr">
        <is>
          <t>—</t>
        </is>
      </c>
      <c r="P1051" s="256" t="inlineStr">
        <is>
          <t>upon request — not required for release</t>
        </is>
      </c>
      <c r="Q1051" s="256" t="inlineStr"/>
      <c r="R1051" s="256" t="inlineStr"/>
    </row>
    <row r="1052">
      <c r="A1052" s="256" t="inlineStr">
        <is>
          <t>CoQ-PP_26-046</t>
        </is>
      </c>
      <c r="B1052" s="256" t="inlineStr">
        <is>
          <t>release</t>
        </is>
      </c>
      <c r="C1052" s="256" t="inlineStr">
        <is>
          <t>WED102501</t>
        </is>
      </c>
      <c r="D1052" s="256" t="inlineStr">
        <is>
          <t>P060102</t>
        </is>
      </c>
      <c r="E1052" s="256" t="inlineStr">
        <is>
          <t>Wedding Cake</t>
        </is>
      </c>
      <c r="F1052" s="256" t="inlineStr">
        <is>
          <t>06.06.2026</t>
        </is>
      </c>
      <c r="G1052" s="256" t="inlineStr">
        <is>
          <t>10.1</t>
        </is>
      </c>
      <c r="H1052" s="256" t="inlineStr">
        <is>
          <t>Aflatoxin B₁</t>
        </is>
      </c>
      <c r="I1052" s="256" t="inlineStr">
        <is>
          <t>Ph. Eur. 2.8.18 (HPLC-FLD)</t>
        </is>
      </c>
      <c r="J1052" s="256" t="inlineStr">
        <is>
          <t>≤ 2 µg/kg</t>
        </is>
      </c>
      <c r="K1052" s="259" t="inlineStr">
        <is>
          <t>not tested</t>
        </is>
      </c>
      <c r="L1052" s="256" t="inlineStr">
        <is>
          <t>—</t>
        </is>
      </c>
      <c r="M1052" s="256" t="inlineStr">
        <is>
          <t>—</t>
        </is>
      </c>
      <c r="N1052" s="256" t="inlineStr">
        <is>
          <t>—</t>
        </is>
      </c>
      <c r="O1052" s="256" t="inlineStr">
        <is>
          <t>—</t>
        </is>
      </c>
      <c r="P1052" s="256" t="inlineStr">
        <is>
          <t>not tested — no certificate covers it</t>
        </is>
      </c>
      <c r="Q1052" s="256" t="inlineStr"/>
      <c r="R1052" s="256" t="inlineStr"/>
    </row>
    <row r="1053">
      <c r="A1053" s="256" t="inlineStr">
        <is>
          <t>CoQ-PP_26-046</t>
        </is>
      </c>
      <c r="B1053" s="256" t="inlineStr">
        <is>
          <t>release</t>
        </is>
      </c>
      <c r="C1053" s="256" t="inlineStr">
        <is>
          <t>WED102501</t>
        </is>
      </c>
      <c r="D1053" s="256" t="inlineStr">
        <is>
          <t>P060102</t>
        </is>
      </c>
      <c r="E1053" s="256" t="inlineStr">
        <is>
          <t>Wedding Cake</t>
        </is>
      </c>
      <c r="F1053" s="256" t="inlineStr">
        <is>
          <t>06.06.2026</t>
        </is>
      </c>
      <c r="G1053" s="256" t="inlineStr">
        <is>
          <t>10.2</t>
        </is>
      </c>
      <c r="H1053" s="256" t="inlineStr">
        <is>
          <t>Aflatoxins ∑</t>
        </is>
      </c>
      <c r="I1053" s="256" t="inlineStr">
        <is>
          <t>Ph. Eur. 2.8.18 (HPLC-FLD)</t>
        </is>
      </c>
      <c r="J1053" s="256" t="inlineStr">
        <is>
          <t>≤ 4 µg/kg</t>
        </is>
      </c>
      <c r="K1053" s="259" t="inlineStr">
        <is>
          <t>not tested</t>
        </is>
      </c>
      <c r="L1053" s="256" t="inlineStr">
        <is>
          <t>—</t>
        </is>
      </c>
      <c r="M1053" s="256" t="inlineStr">
        <is>
          <t>—</t>
        </is>
      </c>
      <c r="N1053" s="256" t="inlineStr">
        <is>
          <t>—</t>
        </is>
      </c>
      <c r="O1053" s="256" t="inlineStr">
        <is>
          <t>—</t>
        </is>
      </c>
      <c r="P1053" s="256" t="inlineStr">
        <is>
          <t>not tested — no certificate covers it</t>
        </is>
      </c>
      <c r="Q1053" s="256" t="inlineStr"/>
      <c r="R1053" s="256" t="inlineStr"/>
    </row>
    <row r="1054">
      <c r="A1054" s="256" t="inlineStr">
        <is>
          <t>CoQ-PP_26-046</t>
        </is>
      </c>
      <c r="B1054" s="256" t="inlineStr">
        <is>
          <t>release</t>
        </is>
      </c>
      <c r="C1054" s="256" t="inlineStr">
        <is>
          <t>WED102501</t>
        </is>
      </c>
      <c r="D1054" s="256" t="inlineStr">
        <is>
          <t>P060102</t>
        </is>
      </c>
      <c r="E1054" s="256" t="inlineStr">
        <is>
          <t>Wedding Cake</t>
        </is>
      </c>
      <c r="F1054" s="256" t="inlineStr">
        <is>
          <t>06.06.2026</t>
        </is>
      </c>
      <c r="G1054" s="256" t="inlineStr">
        <is>
          <t>10.3</t>
        </is>
      </c>
      <c r="H1054" s="256" t="inlineStr">
        <is>
          <t>Ochratoxin A</t>
        </is>
      </c>
      <c r="I1054" s="256" t="inlineStr">
        <is>
          <t>Ph. Eur. 2.8.22 (HPLC-FLD)</t>
        </is>
      </c>
      <c r="J1054" s="256" t="inlineStr">
        <is>
          <t>≤ 20 µg/kg</t>
        </is>
      </c>
      <c r="K1054" s="259" t="inlineStr">
        <is>
          <t>not tested</t>
        </is>
      </c>
      <c r="L1054" s="256" t="inlineStr">
        <is>
          <t>—</t>
        </is>
      </c>
      <c r="M1054" s="256" t="inlineStr">
        <is>
          <t>—</t>
        </is>
      </c>
      <c r="N1054" s="256" t="inlineStr">
        <is>
          <t>—</t>
        </is>
      </c>
      <c r="O1054" s="256" t="inlineStr">
        <is>
          <t>—</t>
        </is>
      </c>
      <c r="P1054" s="256" t="inlineStr">
        <is>
          <t>not tested — no certificate covers it</t>
        </is>
      </c>
      <c r="Q1054" s="256" t="inlineStr"/>
      <c r="R1054" s="256" t="inlineStr"/>
    </row>
    <row r="1055">
      <c r="A1055" s="256" t="inlineStr">
        <is>
          <t>CoQ-PP_26-046</t>
        </is>
      </c>
      <c r="B1055" s="256" t="inlineStr">
        <is>
          <t>release</t>
        </is>
      </c>
      <c r="C1055" s="256" t="inlineStr">
        <is>
          <t>WED102501</t>
        </is>
      </c>
      <c r="D1055" s="256" t="inlineStr">
        <is>
          <t>P060102</t>
        </is>
      </c>
      <c r="E1055" s="256" t="inlineStr">
        <is>
          <t>Wedding Cake</t>
        </is>
      </c>
      <c r="F1055" s="256" t="inlineStr">
        <is>
          <t>06.06.2026</t>
        </is>
      </c>
      <c r="G1055" s="256" t="inlineStr">
        <is>
          <t>11.1</t>
        </is>
      </c>
      <c r="H1055" s="256" t="inlineStr">
        <is>
          <t>Lead (Pb)</t>
        </is>
      </c>
      <c r="I1055" s="256" t="inlineStr">
        <is>
          <t>Ph. Eur. 2.4.27 (ICP-MS)</t>
        </is>
      </c>
      <c r="J1055" s="256" t="inlineStr">
        <is>
          <t>≤ 0.5 mg/kg</t>
        </is>
      </c>
      <c r="K1055" s="259" t="inlineStr">
        <is>
          <t>not tested</t>
        </is>
      </c>
      <c r="L1055" s="256" t="inlineStr">
        <is>
          <t>—</t>
        </is>
      </c>
      <c r="M1055" s="256" t="inlineStr">
        <is>
          <t>—</t>
        </is>
      </c>
      <c r="N1055" s="256" t="inlineStr">
        <is>
          <t>—</t>
        </is>
      </c>
      <c r="O1055" s="256" t="inlineStr">
        <is>
          <t>—</t>
        </is>
      </c>
      <c r="P1055" s="256" t="inlineStr">
        <is>
          <t>not tested — no certificate covers it</t>
        </is>
      </c>
      <c r="Q1055" s="256" t="inlineStr"/>
      <c r="R1055" s="256" t="inlineStr"/>
    </row>
    <row r="1056">
      <c r="A1056" s="256" t="inlineStr">
        <is>
          <t>CoQ-PP_26-046</t>
        </is>
      </c>
      <c r="B1056" s="256" t="inlineStr">
        <is>
          <t>release</t>
        </is>
      </c>
      <c r="C1056" s="256" t="inlineStr">
        <is>
          <t>WED102501</t>
        </is>
      </c>
      <c r="D1056" s="256" t="inlineStr">
        <is>
          <t>P060102</t>
        </is>
      </c>
      <c r="E1056" s="256" t="inlineStr">
        <is>
          <t>Wedding Cake</t>
        </is>
      </c>
      <c r="F1056" s="256" t="inlineStr">
        <is>
          <t>06.06.2026</t>
        </is>
      </c>
      <c r="G1056" s="256" t="inlineStr">
        <is>
          <t>11.2</t>
        </is>
      </c>
      <c r="H1056" s="256" t="inlineStr">
        <is>
          <t>Cadmium (Cd)</t>
        </is>
      </c>
      <c r="I1056" s="256" t="inlineStr">
        <is>
          <t>Ph. Eur. 2.4.27 (ICP-MS)</t>
        </is>
      </c>
      <c r="J1056" s="256" t="inlineStr">
        <is>
          <t>≤ 0.3 mg/kg</t>
        </is>
      </c>
      <c r="K1056" s="259" t="inlineStr">
        <is>
          <t>not tested</t>
        </is>
      </c>
      <c r="L1056" s="256" t="inlineStr">
        <is>
          <t>—</t>
        </is>
      </c>
      <c r="M1056" s="256" t="inlineStr">
        <is>
          <t>—</t>
        </is>
      </c>
      <c r="N1056" s="256" t="inlineStr">
        <is>
          <t>—</t>
        </is>
      </c>
      <c r="O1056" s="256" t="inlineStr">
        <is>
          <t>—</t>
        </is>
      </c>
      <c r="P1056" s="256" t="inlineStr">
        <is>
          <t>not tested — no certificate covers it</t>
        </is>
      </c>
      <c r="Q1056" s="256" t="inlineStr"/>
      <c r="R1056" s="256" t="inlineStr"/>
    </row>
    <row r="1057">
      <c r="A1057" s="256" t="inlineStr">
        <is>
          <t>CoQ-PP_26-046</t>
        </is>
      </c>
      <c r="B1057" s="256" t="inlineStr">
        <is>
          <t>release</t>
        </is>
      </c>
      <c r="C1057" s="256" t="inlineStr">
        <is>
          <t>WED102501</t>
        </is>
      </c>
      <c r="D1057" s="256" t="inlineStr">
        <is>
          <t>P060102</t>
        </is>
      </c>
      <c r="E1057" s="256" t="inlineStr">
        <is>
          <t>Wedding Cake</t>
        </is>
      </c>
      <c r="F1057" s="256" t="inlineStr">
        <is>
          <t>06.06.2026</t>
        </is>
      </c>
      <c r="G1057" s="256" t="inlineStr">
        <is>
          <t>11.3</t>
        </is>
      </c>
      <c r="H1057" s="256" t="inlineStr">
        <is>
          <t>Arsenic (As)</t>
        </is>
      </c>
      <c r="I1057" s="256" t="inlineStr">
        <is>
          <t>Ph. Eur. 2.4.27 (ICP-MS)</t>
        </is>
      </c>
      <c r="J1057" s="256" t="inlineStr">
        <is>
          <t>≤ 0.2 mg/kg</t>
        </is>
      </c>
      <c r="K1057" s="259" t="inlineStr">
        <is>
          <t>not tested</t>
        </is>
      </c>
      <c r="L1057" s="256" t="inlineStr">
        <is>
          <t>—</t>
        </is>
      </c>
      <c r="M1057" s="256" t="inlineStr">
        <is>
          <t>—</t>
        </is>
      </c>
      <c r="N1057" s="256" t="inlineStr">
        <is>
          <t>—</t>
        </is>
      </c>
      <c r="O1057" s="256" t="inlineStr">
        <is>
          <t>—</t>
        </is>
      </c>
      <c r="P1057" s="256" t="inlineStr">
        <is>
          <t>not tested — no certificate covers it</t>
        </is>
      </c>
      <c r="Q1057" s="256" t="inlineStr"/>
      <c r="R1057" s="256" t="inlineStr"/>
    </row>
    <row r="1058">
      <c r="A1058" s="256" t="inlineStr">
        <is>
          <t>CoQ-PP_26-046</t>
        </is>
      </c>
      <c r="B1058" s="256" t="inlineStr">
        <is>
          <t>release</t>
        </is>
      </c>
      <c r="C1058" s="256" t="inlineStr">
        <is>
          <t>WED102501</t>
        </is>
      </c>
      <c r="D1058" s="256" t="inlineStr">
        <is>
          <t>P060102</t>
        </is>
      </c>
      <c r="E1058" s="256" t="inlineStr">
        <is>
          <t>Wedding Cake</t>
        </is>
      </c>
      <c r="F1058" s="256" t="inlineStr">
        <is>
          <t>06.06.2026</t>
        </is>
      </c>
      <c r="G1058" s="256" t="inlineStr">
        <is>
          <t>11.4</t>
        </is>
      </c>
      <c r="H1058" s="256" t="inlineStr">
        <is>
          <t>Mercury (Hg)</t>
        </is>
      </c>
      <c r="I1058" s="256" t="inlineStr">
        <is>
          <t>Ph. Eur. 2.4.27 (ICP-MS)</t>
        </is>
      </c>
      <c r="J1058" s="256" t="inlineStr">
        <is>
          <t>≤ 0.1 mg/kg</t>
        </is>
      </c>
      <c r="K1058" s="259" t="inlineStr">
        <is>
          <t>not tested</t>
        </is>
      </c>
      <c r="L1058" s="256" t="inlineStr">
        <is>
          <t>—</t>
        </is>
      </c>
      <c r="M1058" s="256" t="inlineStr">
        <is>
          <t>—</t>
        </is>
      </c>
      <c r="N1058" s="256" t="inlineStr">
        <is>
          <t>—</t>
        </is>
      </c>
      <c r="O1058" s="256" t="inlineStr">
        <is>
          <t>—</t>
        </is>
      </c>
      <c r="P1058" s="256" t="inlineStr">
        <is>
          <t>not tested — no certificate covers it</t>
        </is>
      </c>
      <c r="Q1058" s="256" t="inlineStr"/>
      <c r="R1058" s="256" t="inlineStr"/>
    </row>
    <row r="1059">
      <c r="A1059" s="256" t="inlineStr">
        <is>
          <t>CoQ-PP_26-046</t>
        </is>
      </c>
      <c r="B1059" s="256" t="inlineStr">
        <is>
          <t>release</t>
        </is>
      </c>
      <c r="C1059" s="256" t="inlineStr">
        <is>
          <t>WED102501</t>
        </is>
      </c>
      <c r="D1059" s="256" t="inlineStr">
        <is>
          <t>P060102</t>
        </is>
      </c>
      <c r="E1059" s="256" t="inlineStr">
        <is>
          <t>Wedding Cake</t>
        </is>
      </c>
      <c r="F1059" s="256" t="inlineStr">
        <is>
          <t>06.06.2026</t>
        </is>
      </c>
      <c r="G1059" s="256" t="inlineStr">
        <is>
          <t>12</t>
        </is>
      </c>
      <c r="H1059" s="256" t="inlineStr">
        <is>
          <t>Pesticide Residues</t>
        </is>
      </c>
      <c r="I1059" s="256" t="inlineStr">
        <is>
          <t>Ph. Eur. 2.8.13 (LC-MS/MS) · CUMCS Equivalency</t>
        </is>
      </c>
      <c r="J1059" s="256" t="inlineStr">
        <is>
          <t>≤ LOQ as per Ph. Eur. 2.8.13 · ≤ LOQ as per CUMCS Equivalency</t>
        </is>
      </c>
      <c r="K1059" s="259" t="inlineStr">
        <is>
          <t>not tested</t>
        </is>
      </c>
      <c r="L1059" s="256" t="inlineStr">
        <is>
          <t>—</t>
        </is>
      </c>
      <c r="M1059" s="256" t="inlineStr">
        <is>
          <t>—</t>
        </is>
      </c>
      <c r="N1059" s="256" t="inlineStr">
        <is>
          <t>—</t>
        </is>
      </c>
      <c r="O1059" s="256" t="inlineStr">
        <is>
          <t>—</t>
        </is>
      </c>
      <c r="P1059" s="256" t="inlineStr">
        <is>
          <t>not tested — no certificate covers it</t>
        </is>
      </c>
      <c r="Q1059" s="256" t="inlineStr"/>
      <c r="R1059" s="256" t="inlineStr"/>
    </row>
    <row r="1060">
      <c r="A1060" s="256" t="inlineStr">
        <is>
          <t>CoQ-PP_26-047</t>
        </is>
      </c>
      <c r="B1060" s="256" t="inlineStr">
        <is>
          <t>release</t>
        </is>
      </c>
      <c r="C1060" s="256" t="inlineStr">
        <is>
          <t>PUM102501</t>
        </is>
      </c>
      <c r="D1060" s="256" t="inlineStr">
        <is>
          <t>P060112</t>
        </is>
      </c>
      <c r="E1060" s="256" t="inlineStr">
        <is>
          <t>Pure Michigen</t>
        </is>
      </c>
      <c r="F1060" s="256" t="inlineStr">
        <is>
          <t>06.06.2026</t>
        </is>
      </c>
      <c r="G1060" s="256" t="inlineStr">
        <is>
          <t>1</t>
        </is>
      </c>
      <c r="H1060" s="256" t="inlineStr">
        <is>
          <t>Identification A, Appearance · Macroscopic</t>
        </is>
      </c>
      <c r="I1060" s="256" t="inlineStr">
        <is>
          <t>Ph. Eur. mon. 3028</t>
        </is>
      </c>
      <c r="J1060" s="256" t="inlineStr">
        <is>
          <t>Conforms to the monograph for Cannabis flos (07/2024:3028) in Ph. Eur. 11.0 | Согласно монографија за Cannabis flos (07/2024:3028) во Ph. Eur. 11.0</t>
        </is>
      </c>
      <c r="K1060" s="256" t="inlineStr">
        <is>
          <t>Conforms | Одговара</t>
        </is>
      </c>
      <c r="L1060" s="256" t="inlineStr">
        <is>
          <t>iCoA-PP_26-046</t>
        </is>
      </c>
      <c r="M1060" s="256" t="inlineStr">
        <is>
          <t>03.06.2026</t>
        </is>
      </c>
      <c r="N1060" s="256" t="inlineStr">
        <is>
          <t>Purely Plant GmbH (in-house)</t>
        </is>
      </c>
      <c r="O1060" s="256" t="inlineStr">
        <is>
          <t>—</t>
        </is>
      </c>
      <c r="P1060" s="256" t="inlineStr">
        <is>
          <t>to be performed — see route</t>
        </is>
      </c>
      <c r="Q1060" s="256" t="inlineStr">
        <is>
          <t>Purely Plant laboratory — iCoA covering Ident A + B</t>
        </is>
      </c>
      <c r="R1060" s="256" t="inlineStr"/>
    </row>
    <row r="1061">
      <c r="A1061" s="256" t="inlineStr">
        <is>
          <t>CoQ-PP_26-047</t>
        </is>
      </c>
      <c r="B1061" s="256" t="inlineStr">
        <is>
          <t>release</t>
        </is>
      </c>
      <c r="C1061" s="256" t="inlineStr">
        <is>
          <t>PUM102501</t>
        </is>
      </c>
      <c r="D1061" s="256" t="inlineStr">
        <is>
          <t>P060112</t>
        </is>
      </c>
      <c r="E1061" s="256" t="inlineStr">
        <is>
          <t>Pure Michigen</t>
        </is>
      </c>
      <c r="F1061" s="256" t="inlineStr">
        <is>
          <t>06.06.2026</t>
        </is>
      </c>
      <c r="G1061" s="256" t="inlineStr">
        <is>
          <t>2</t>
        </is>
      </c>
      <c r="H1061" s="256" t="inlineStr">
        <is>
          <t>Identification B · Microscopic</t>
        </is>
      </c>
      <c r="I1061" s="256" t="inlineStr">
        <is>
          <t>Ph. Eur. 2.8.23 (microscopy)</t>
        </is>
      </c>
      <c r="J1061" s="256" t="inlineStr">
        <is>
          <t>Conforms to the monograph for Cannabis flos (07/2024:3028) in Ph. Eur. 11.0 | Согласно монографија за Cannabis flos (07/2024:3028) во Ph. Eur. 11.0</t>
        </is>
      </c>
      <c r="K1061" s="256" t="inlineStr">
        <is>
          <t>Conforms | Одговара</t>
        </is>
      </c>
      <c r="L1061" s="256" t="inlineStr">
        <is>
          <t>iCoA-PP_26-046</t>
        </is>
      </c>
      <c r="M1061" s="256" t="inlineStr">
        <is>
          <t>03.06.2026</t>
        </is>
      </c>
      <c r="N1061" s="256" t="inlineStr">
        <is>
          <t>Purely Plant GmbH (in-house)</t>
        </is>
      </c>
      <c r="O1061" s="256" t="inlineStr">
        <is>
          <t>—</t>
        </is>
      </c>
      <c r="P1061" s="256" t="inlineStr">
        <is>
          <t>to be performed — see route</t>
        </is>
      </c>
      <c r="Q1061" s="256" t="inlineStr">
        <is>
          <t>Purely Plant laboratory — iCoA covering Ident A + B</t>
        </is>
      </c>
      <c r="R1061" s="256" t="inlineStr"/>
    </row>
    <row r="1062">
      <c r="A1062" s="256" t="inlineStr">
        <is>
          <t>CoQ-PP_26-047</t>
        </is>
      </c>
      <c r="B1062" s="256" t="inlineStr">
        <is>
          <t>release</t>
        </is>
      </c>
      <c r="C1062" s="256" t="inlineStr">
        <is>
          <t>PUM102501</t>
        </is>
      </c>
      <c r="D1062" s="256" t="inlineStr">
        <is>
          <t>P060112</t>
        </is>
      </c>
      <c r="E1062" s="256" t="inlineStr">
        <is>
          <t>Pure Michigen</t>
        </is>
      </c>
      <c r="F1062" s="256" t="inlineStr">
        <is>
          <t>06.06.2026</t>
        </is>
      </c>
      <c r="G1062" s="256" t="inlineStr">
        <is>
          <t>3</t>
        </is>
      </c>
      <c r="H1062" s="256" t="inlineStr">
        <is>
          <t>Identification C · HPLC/HPTLC</t>
        </is>
      </c>
      <c r="I1062" s="256" t="inlineStr">
        <is>
          <t>Ph. Eur. 2.2.29 (3028)</t>
        </is>
      </c>
      <c r="J1062" s="256" t="inlineStr">
        <is>
          <t>Conforms to the monograph for Cannabis flos (07/2024:3028) in Ph. Eur. 11.0 | Согласно монографија за Cannabis flos (07/2024:3028) во Ph. Eur. 11.0</t>
        </is>
      </c>
      <c r="K1062" s="256" t="inlineStr">
        <is>
          <t>identity by the HPLC cannabinoid profile on this certificate</t>
        </is>
      </c>
      <c r="L1062" s="256" t="inlineStr">
        <is>
          <t>031-2-К/26</t>
        </is>
      </c>
      <c r="M1062" s="256" t="inlineStr">
        <is>
          <t>10.02.2026</t>
        </is>
      </c>
      <c r="N1062" s="256" t="inlineStr">
        <is>
          <t>FHM</t>
        </is>
      </c>
      <c r="O1062" s="256" t="inlineStr">
        <is>
          <t>—</t>
        </is>
      </c>
      <c r="P1062" s="256" t="inlineStr">
        <is>
          <t>covered</t>
        </is>
      </c>
      <c r="Q1062" s="256" t="inlineStr"/>
      <c r="R1062" s="256" t="inlineStr"/>
    </row>
    <row r="1063">
      <c r="A1063" s="256" t="inlineStr">
        <is>
          <t>CoQ-PP_26-047</t>
        </is>
      </c>
      <c r="B1063" s="256" t="inlineStr">
        <is>
          <t>release</t>
        </is>
      </c>
      <c r="C1063" s="256" t="inlineStr">
        <is>
          <t>PUM102501</t>
        </is>
      </c>
      <c r="D1063" s="256" t="inlineStr">
        <is>
          <t>P060112</t>
        </is>
      </c>
      <c r="E1063" s="256" t="inlineStr">
        <is>
          <t>Pure Michigen</t>
        </is>
      </c>
      <c r="F1063" s="256" t="inlineStr">
        <is>
          <t>06.06.2026</t>
        </is>
      </c>
      <c r="G1063" s="256" t="inlineStr">
        <is>
          <t>4</t>
        </is>
      </c>
      <c r="H1063" s="256" t="inlineStr">
        <is>
          <t>Assay — Total Δ⁹-THC</t>
        </is>
      </c>
      <c r="I1063" s="256" t="inlineStr">
        <is>
          <t>Ph. Eur. 2.2.29 (HPLC)</t>
        </is>
      </c>
      <c r="J1063" s="256" t="inlineStr">
        <is>
          <t>Per grade of the potency specification of 15.09.2026 — no Total THC result on file</t>
        </is>
      </c>
      <c r="K1063" s="259" t="inlineStr">
        <is>
          <t>not tested</t>
        </is>
      </c>
      <c r="L1063" s="256" t="inlineStr">
        <is>
          <t>—</t>
        </is>
      </c>
      <c r="M1063" s="256" t="inlineStr">
        <is>
          <t>—</t>
        </is>
      </c>
      <c r="N1063" s="256" t="inlineStr">
        <is>
          <t>—</t>
        </is>
      </c>
      <c r="O1063" s="256" t="inlineStr">
        <is>
          <t>—</t>
        </is>
      </c>
      <c r="P1063" s="256" t="inlineStr">
        <is>
          <t>not tested — no certificate covers it</t>
        </is>
      </c>
      <c r="Q1063" s="256" t="inlineStr"/>
      <c r="R1063" s="256" t="inlineStr">
        <is>
          <t>13.95 (220-25-К/26)</t>
        </is>
      </c>
    </row>
    <row r="1064">
      <c r="A1064" s="256" t="inlineStr">
        <is>
          <t>CoQ-PP_26-047</t>
        </is>
      </c>
      <c r="B1064" s="256" t="inlineStr">
        <is>
          <t>release</t>
        </is>
      </c>
      <c r="C1064" s="256" t="inlineStr">
        <is>
          <t>PUM102501</t>
        </is>
      </c>
      <c r="D1064" s="256" t="inlineStr">
        <is>
          <t>P060112</t>
        </is>
      </c>
      <c r="E1064" s="256" t="inlineStr">
        <is>
          <t>Pure Michigen</t>
        </is>
      </c>
      <c r="F1064" s="256" t="inlineStr">
        <is>
          <t>06.06.2026</t>
        </is>
      </c>
      <c r="G1064" s="256" t="inlineStr">
        <is>
          <t>5</t>
        </is>
      </c>
      <c r="H1064" s="256" t="inlineStr">
        <is>
          <t>Assay — Total CBD</t>
        </is>
      </c>
      <c r="I1064" s="256" t="inlineStr">
        <is>
          <t>Ph. Eur. 2.2.29 (HPLC) · CBD + CBDA x 0.877</t>
        </is>
      </c>
      <c r="J1064" s="256" t="inlineStr">
        <is>
          <t>≤ 1.0%, w/w</t>
        </is>
      </c>
      <c r="K1064" s="256" t="inlineStr">
        <is>
          <t>&lt; LOQ** %w/w</t>
        </is>
      </c>
      <c r="L1064" s="256" t="inlineStr">
        <is>
          <t>031-2-К/26</t>
        </is>
      </c>
      <c r="M1064" s="256" t="inlineStr">
        <is>
          <t>10.02.2026</t>
        </is>
      </c>
      <c r="N1064" s="256" t="inlineStr">
        <is>
          <t>FHM</t>
        </is>
      </c>
      <c r="O1064" s="256" t="inlineStr">
        <is>
          <t>—</t>
        </is>
      </c>
      <c r="P1064" s="256" t="inlineStr">
        <is>
          <t>covered</t>
        </is>
      </c>
      <c r="Q1064" s="256" t="inlineStr"/>
      <c r="R1064" s="256" t="inlineStr"/>
    </row>
    <row r="1065">
      <c r="A1065" s="256" t="inlineStr">
        <is>
          <t>CoQ-PP_26-047</t>
        </is>
      </c>
      <c r="B1065" s="256" t="inlineStr">
        <is>
          <t>release</t>
        </is>
      </c>
      <c r="C1065" s="256" t="inlineStr">
        <is>
          <t>PUM102501</t>
        </is>
      </c>
      <c r="D1065" s="256" t="inlineStr">
        <is>
          <t>P060112</t>
        </is>
      </c>
      <c r="E1065" s="256" t="inlineStr">
        <is>
          <t>Pure Michigen</t>
        </is>
      </c>
      <c r="F1065" s="256" t="inlineStr">
        <is>
          <t>06.06.2026</t>
        </is>
      </c>
      <c r="G1065" s="256" t="inlineStr">
        <is>
          <t>6</t>
        </is>
      </c>
      <c r="H1065" s="256" t="inlineStr">
        <is>
          <t>Total CBN</t>
        </is>
      </c>
      <c r="I1065" s="256" t="inlineStr">
        <is>
          <t>Ph. Eur. 2.2.29 (HPLC) · CBN + CBNA x 0.876</t>
        </is>
      </c>
      <c r="J1065" s="256" t="inlineStr">
        <is>
          <t>≤ 1.0%, w/w</t>
        </is>
      </c>
      <c r="K1065" s="256" t="inlineStr">
        <is>
          <t>&lt; LOQ** %w/w</t>
        </is>
      </c>
      <c r="L1065" s="256" t="inlineStr">
        <is>
          <t>031-2-К/26</t>
        </is>
      </c>
      <c r="M1065" s="256" t="inlineStr">
        <is>
          <t>10.02.2026</t>
        </is>
      </c>
      <c r="N1065" s="256" t="inlineStr">
        <is>
          <t>FHM</t>
        </is>
      </c>
      <c r="O1065" s="256" t="inlineStr">
        <is>
          <t>—</t>
        </is>
      </c>
      <c r="P1065" s="256" t="inlineStr">
        <is>
          <t>covered</t>
        </is>
      </c>
      <c r="Q1065" s="256" t="inlineStr"/>
      <c r="R1065" s="256" t="inlineStr"/>
    </row>
    <row r="1066">
      <c r="A1066" s="256" t="inlineStr">
        <is>
          <t>CoQ-PP_26-047</t>
        </is>
      </c>
      <c r="B1066" s="256" t="inlineStr">
        <is>
          <t>release</t>
        </is>
      </c>
      <c r="C1066" s="256" t="inlineStr">
        <is>
          <t>PUM102501</t>
        </is>
      </c>
      <c r="D1066" s="256" t="inlineStr">
        <is>
          <t>P060112</t>
        </is>
      </c>
      <c r="E1066" s="256" t="inlineStr">
        <is>
          <t>Pure Michigen</t>
        </is>
      </c>
      <c r="F1066" s="256" t="inlineStr">
        <is>
          <t>06.06.2026</t>
        </is>
      </c>
      <c r="G1066" s="256" t="inlineStr">
        <is>
          <t>7</t>
        </is>
      </c>
      <c r="H1066" s="256" t="inlineStr">
        <is>
          <t>Foreign Matter</t>
        </is>
      </c>
      <c r="I1066" s="256" t="inlineStr">
        <is>
          <t>Ph. Eur. 2.8.2 · In-house · интерна</t>
        </is>
      </c>
      <c r="J1066" s="256" t="inlineStr">
        <is>
          <t>≤ 2.0% / 25–50 g · &lt; 1 cm leaves | листови, no seeds | без семки</t>
        </is>
      </c>
      <c r="K1066" s="256" t="inlineStr">
        <is>
          <t>Conforms | Одговара</t>
        </is>
      </c>
      <c r="L1066" s="256" t="inlineStr">
        <is>
          <t>iCoA-PP_26-046</t>
        </is>
      </c>
      <c r="M1066" s="256" t="inlineStr">
        <is>
          <t>03.06.2026</t>
        </is>
      </c>
      <c r="N1066" s="256" t="inlineStr">
        <is>
          <t>Purely Plant GmbH (in-house)</t>
        </is>
      </c>
      <c r="O1066" s="256" t="inlineStr">
        <is>
          <t>—</t>
        </is>
      </c>
      <c r="P1066" s="256" t="inlineStr">
        <is>
          <t>to be performed — see route</t>
        </is>
      </c>
      <c r="Q1066" s="256" t="inlineStr">
        <is>
          <t>Purely Plant laboratory — iCoA covering Foreign matter</t>
        </is>
      </c>
      <c r="R1066" s="256" t="inlineStr"/>
    </row>
    <row r="1067">
      <c r="A1067" s="256" t="inlineStr">
        <is>
          <t>CoQ-PP_26-047</t>
        </is>
      </c>
      <c r="B1067" s="256" t="inlineStr">
        <is>
          <t>release</t>
        </is>
      </c>
      <c r="C1067" s="256" t="inlineStr">
        <is>
          <t>PUM102501</t>
        </is>
      </c>
      <c r="D1067" s="256" t="inlineStr">
        <is>
          <t>P060112</t>
        </is>
      </c>
      <c r="E1067" s="256" t="inlineStr">
        <is>
          <t>Pure Michigen</t>
        </is>
      </c>
      <c r="F1067" s="256" t="inlineStr">
        <is>
          <t>06.06.2026</t>
        </is>
      </c>
      <c r="G1067" s="256" t="inlineStr">
        <is>
          <t>8</t>
        </is>
      </c>
      <c r="H1067" s="256" t="inlineStr">
        <is>
          <t>Loss on Drying</t>
        </is>
      </c>
      <c r="I1067" s="256" t="inlineStr">
        <is>
          <t>Ph. Eur. 2.2.32 (3028) · at 40 °C, 24 h, 15–25 mbar</t>
        </is>
      </c>
      <c r="J1067" s="256" t="inlineStr">
        <is>
          <t>≤ 12.0%</t>
        </is>
      </c>
      <c r="K1067" s="256" t="inlineStr">
        <is>
          <t>6,4 %</t>
        </is>
      </c>
      <c r="L1067" s="256" t="inlineStr">
        <is>
          <t>031-2-ГС/26</t>
        </is>
      </c>
      <c r="M1067" s="256" t="inlineStr">
        <is>
          <t>11.02.2026</t>
        </is>
      </c>
      <c r="N1067" s="256" t="inlineStr">
        <is>
          <t>FHM</t>
        </is>
      </c>
      <c r="O1067" s="256" t="inlineStr">
        <is>
          <t>—</t>
        </is>
      </c>
      <c r="P1067" s="256" t="inlineStr">
        <is>
          <t>covered</t>
        </is>
      </c>
      <c r="Q1067" s="256" t="inlineStr"/>
      <c r="R1067" s="256" t="inlineStr"/>
    </row>
    <row r="1068">
      <c r="A1068" s="256" t="inlineStr">
        <is>
          <t>CoQ-PP_26-047</t>
        </is>
      </c>
      <c r="B1068" s="256" t="inlineStr">
        <is>
          <t>release</t>
        </is>
      </c>
      <c r="C1068" s="256" t="inlineStr">
        <is>
          <t>PUM102501</t>
        </is>
      </c>
      <c r="D1068" s="256" t="inlineStr">
        <is>
          <t>P060112</t>
        </is>
      </c>
      <c r="E1068" s="256" t="inlineStr">
        <is>
          <t>Pure Michigen</t>
        </is>
      </c>
      <c r="F1068" s="256" t="inlineStr">
        <is>
          <t>06.06.2026</t>
        </is>
      </c>
      <c r="G1068" s="256" t="inlineStr">
        <is>
          <t>9.1</t>
        </is>
      </c>
      <c r="H1068" s="256" t="inlineStr">
        <is>
          <t>TAMC</t>
        </is>
      </c>
      <c r="I1068" s="256" t="inlineStr">
        <is>
          <t>Ph. Eur. 2.6.12 cat. C</t>
        </is>
      </c>
      <c r="J1068" s="256" t="inlineStr">
        <is>
          <t>≤ 10⁵ CFU/g</t>
        </is>
      </c>
      <c r="K1068" s="256" t="inlineStr">
        <is>
          <t>5 × 10¹</t>
        </is>
      </c>
      <c r="L1068" s="256" t="inlineStr">
        <is>
          <t>74/0117/26</t>
        </is>
      </c>
      <c r="M1068" s="256" t="inlineStr">
        <is>
          <t>09.02.2026</t>
        </is>
      </c>
      <c r="N1068" s="256" t="inlineStr">
        <is>
          <t>IPH — Institute of Public Health</t>
        </is>
      </c>
      <c r="O1068" s="256" t="inlineStr">
        <is>
          <t>—</t>
        </is>
      </c>
      <c r="P1068" s="256" t="inlineStr">
        <is>
          <t>covered</t>
        </is>
      </c>
      <c r="Q1068" s="256" t="inlineStr"/>
      <c r="R1068" s="256" t="inlineStr"/>
    </row>
    <row r="1069">
      <c r="A1069" s="256" t="inlineStr">
        <is>
          <t>CoQ-PP_26-047</t>
        </is>
      </c>
      <c r="B1069" s="256" t="inlineStr">
        <is>
          <t>release</t>
        </is>
      </c>
      <c r="C1069" s="256" t="inlineStr">
        <is>
          <t>PUM102501</t>
        </is>
      </c>
      <c r="D1069" s="256" t="inlineStr">
        <is>
          <t>P060112</t>
        </is>
      </c>
      <c r="E1069" s="256" t="inlineStr">
        <is>
          <t>Pure Michigen</t>
        </is>
      </c>
      <c r="F1069" s="256" t="inlineStr">
        <is>
          <t>06.06.2026</t>
        </is>
      </c>
      <c r="G1069" s="256" t="inlineStr">
        <is>
          <t>9.2</t>
        </is>
      </c>
      <c r="H1069" s="256" t="inlineStr">
        <is>
          <t>TYMC</t>
        </is>
      </c>
      <c r="I1069" s="256" t="inlineStr">
        <is>
          <t>Ph. Eur. 2.6.12 cat. C</t>
        </is>
      </c>
      <c r="J1069" s="256" t="inlineStr">
        <is>
          <t>≤ 10⁴ CFU/g</t>
        </is>
      </c>
      <c r="K1069" s="256" t="inlineStr">
        <is>
          <t>5 × 10¹</t>
        </is>
      </c>
      <c r="L1069" s="256" t="inlineStr">
        <is>
          <t>74/0117/26</t>
        </is>
      </c>
      <c r="M1069" s="256" t="inlineStr">
        <is>
          <t>09.02.2026</t>
        </is>
      </c>
      <c r="N1069" s="256" t="inlineStr">
        <is>
          <t>IPH — Institute of Public Health</t>
        </is>
      </c>
      <c r="O1069" s="256" t="inlineStr">
        <is>
          <t>—</t>
        </is>
      </c>
      <c r="P1069" s="256" t="inlineStr">
        <is>
          <t>covered</t>
        </is>
      </c>
      <c r="Q1069" s="256" t="inlineStr"/>
      <c r="R1069" s="256" t="inlineStr"/>
    </row>
    <row r="1070">
      <c r="A1070" s="256" t="inlineStr">
        <is>
          <t>CoQ-PP_26-047</t>
        </is>
      </c>
      <c r="B1070" s="256" t="inlineStr">
        <is>
          <t>release</t>
        </is>
      </c>
      <c r="C1070" s="256" t="inlineStr">
        <is>
          <t>PUM102501</t>
        </is>
      </c>
      <c r="D1070" s="256" t="inlineStr">
        <is>
          <t>P060112</t>
        </is>
      </c>
      <c r="E1070" s="256" t="inlineStr">
        <is>
          <t>Pure Michigen</t>
        </is>
      </c>
      <c r="F1070" s="256" t="inlineStr">
        <is>
          <t>06.06.2026</t>
        </is>
      </c>
      <c r="G1070" s="256" t="inlineStr">
        <is>
          <t>9.3</t>
        </is>
      </c>
      <c r="H1070" s="256" t="inlineStr">
        <is>
          <t>Bile-tolerant gram-neg.</t>
        </is>
      </c>
      <c r="I1070" s="256" t="inlineStr">
        <is>
          <t>Ph. Eur. 2.6.31 cat. C</t>
        </is>
      </c>
      <c r="J1070" s="256" t="inlineStr">
        <is>
          <t>≤ 10⁴ CFU/g</t>
        </is>
      </c>
      <c r="K1070" s="256" t="inlineStr">
        <is>
          <t>&lt; 10</t>
        </is>
      </c>
      <c r="L1070" s="256" t="inlineStr">
        <is>
          <t>74/0117/26</t>
        </is>
      </c>
      <c r="M1070" s="256" t="inlineStr">
        <is>
          <t>09.02.2026</t>
        </is>
      </c>
      <c r="N1070" s="256" t="inlineStr">
        <is>
          <t>IPH — Institute of Public Health</t>
        </is>
      </c>
      <c r="O1070" s="256" t="inlineStr">
        <is>
          <t>—</t>
        </is>
      </c>
      <c r="P1070" s="256" t="inlineStr">
        <is>
          <t>covered</t>
        </is>
      </c>
      <c r="Q1070" s="256" t="inlineStr"/>
      <c r="R1070" s="256" t="inlineStr"/>
    </row>
    <row r="1071">
      <c r="A1071" s="256" t="inlineStr">
        <is>
          <t>CoQ-PP_26-047</t>
        </is>
      </c>
      <c r="B1071" s="256" t="inlineStr">
        <is>
          <t>release</t>
        </is>
      </c>
      <c r="C1071" s="256" t="inlineStr">
        <is>
          <t>PUM102501</t>
        </is>
      </c>
      <c r="D1071" s="256" t="inlineStr">
        <is>
          <t>P060112</t>
        </is>
      </c>
      <c r="E1071" s="256" t="inlineStr">
        <is>
          <t>Pure Michigen</t>
        </is>
      </c>
      <c r="F1071" s="256" t="inlineStr">
        <is>
          <t>06.06.2026</t>
        </is>
      </c>
      <c r="G1071" s="256" t="inlineStr">
        <is>
          <t>9.4</t>
        </is>
      </c>
      <c r="H1071" s="256" t="inlineStr">
        <is>
          <t>Salmonella</t>
        </is>
      </c>
      <c r="I1071" s="256" t="inlineStr">
        <is>
          <t>Ph. Eur. 2.6.31 cat. C</t>
        </is>
      </c>
      <c r="J1071" s="256" t="inlineStr">
        <is>
          <t>Absence | Отсуство / 25 g</t>
        </is>
      </c>
      <c r="K1071" s="256" t="inlineStr">
        <is>
          <t>Absent | Отсутна</t>
        </is>
      </c>
      <c r="L1071" s="256" t="inlineStr">
        <is>
          <t>74/0117/26</t>
        </is>
      </c>
      <c r="M1071" s="256" t="inlineStr">
        <is>
          <t>09.02.2026</t>
        </is>
      </c>
      <c r="N1071" s="256" t="inlineStr">
        <is>
          <t>IPH — Institute of Public Health</t>
        </is>
      </c>
      <c r="O1071" s="256" t="inlineStr">
        <is>
          <t>—</t>
        </is>
      </c>
      <c r="P1071" s="256" t="inlineStr">
        <is>
          <t>covered</t>
        </is>
      </c>
      <c r="Q1071" s="256" t="inlineStr"/>
      <c r="R1071" s="256" t="inlineStr"/>
    </row>
    <row r="1072">
      <c r="A1072" s="256" t="inlineStr">
        <is>
          <t>CoQ-PP_26-047</t>
        </is>
      </c>
      <c r="B1072" s="256" t="inlineStr">
        <is>
          <t>release</t>
        </is>
      </c>
      <c r="C1072" s="256" t="inlineStr">
        <is>
          <t>PUM102501</t>
        </is>
      </c>
      <c r="D1072" s="256" t="inlineStr">
        <is>
          <t>P060112</t>
        </is>
      </c>
      <c r="E1072" s="256" t="inlineStr">
        <is>
          <t>Pure Michigen</t>
        </is>
      </c>
      <c r="F1072" s="256" t="inlineStr">
        <is>
          <t>06.06.2026</t>
        </is>
      </c>
      <c r="G1072" s="256" t="inlineStr">
        <is>
          <t>9.5</t>
        </is>
      </c>
      <c r="H1072" s="256" t="inlineStr">
        <is>
          <t>Escherichia coli</t>
        </is>
      </c>
      <c r="I1072" s="256" t="inlineStr">
        <is>
          <t>Ph. Eur. 2.6.13 cat. C</t>
        </is>
      </c>
      <c r="J1072" s="256" t="inlineStr">
        <is>
          <t>Absence | Отсуство / 1 g</t>
        </is>
      </c>
      <c r="K1072" s="256" t="inlineStr">
        <is>
          <t>Absent | Отсутна</t>
        </is>
      </c>
      <c r="L1072" s="256" t="inlineStr">
        <is>
          <t>74/0117/26</t>
        </is>
      </c>
      <c r="M1072" s="256" t="inlineStr">
        <is>
          <t>09.02.2026</t>
        </is>
      </c>
      <c r="N1072" s="256" t="inlineStr">
        <is>
          <t>IPH — Institute of Public Health</t>
        </is>
      </c>
      <c r="O1072" s="256" t="inlineStr">
        <is>
          <t>—</t>
        </is>
      </c>
      <c r="P1072" s="256" t="inlineStr">
        <is>
          <t>covered</t>
        </is>
      </c>
      <c r="Q1072" s="256" t="inlineStr"/>
      <c r="R1072" s="256" t="inlineStr"/>
    </row>
    <row r="1073">
      <c r="A1073" s="256" t="inlineStr">
        <is>
          <t>CoQ-PP_26-047</t>
        </is>
      </c>
      <c r="B1073" s="256" t="inlineStr">
        <is>
          <t>release</t>
        </is>
      </c>
      <c r="C1073" s="256" t="inlineStr">
        <is>
          <t>PUM102501</t>
        </is>
      </c>
      <c r="D1073" s="256" t="inlineStr">
        <is>
          <t>P060112</t>
        </is>
      </c>
      <c r="E1073" s="256" t="inlineStr">
        <is>
          <t>Pure Michigen</t>
        </is>
      </c>
      <c r="F1073" s="256" t="inlineStr">
        <is>
          <t>06.06.2026</t>
        </is>
      </c>
      <c r="G1073" s="256" t="inlineStr">
        <is>
          <t>9.6</t>
        </is>
      </c>
      <c r="H1073" s="256" t="inlineStr">
        <is>
          <t>Pseudomonas aeruginosa</t>
        </is>
      </c>
      <c r="I1073" s="256" t="inlineStr">
        <is>
          <t>Ph. Eur. 2.6.13 cat. C</t>
        </is>
      </c>
      <c r="J1073" s="256" t="inlineStr">
        <is>
          <t>Absence | Отсуство / 1 g</t>
        </is>
      </c>
      <c r="K1073" s="260" t="inlineStr">
        <is>
          <t>upon request — not required for release</t>
        </is>
      </c>
      <c r="L1073" s="256" t="inlineStr">
        <is>
          <t>—</t>
        </is>
      </c>
      <c r="M1073" s="256" t="inlineStr">
        <is>
          <t>—</t>
        </is>
      </c>
      <c r="N1073" s="256" t="inlineStr">
        <is>
          <t>—</t>
        </is>
      </c>
      <c r="O1073" s="256" t="inlineStr">
        <is>
          <t>—</t>
        </is>
      </c>
      <c r="P1073" s="256" t="inlineStr">
        <is>
          <t>upon request — not required for release</t>
        </is>
      </c>
      <c r="Q1073" s="256" t="inlineStr"/>
      <c r="R1073" s="256" t="inlineStr"/>
    </row>
    <row r="1074">
      <c r="A1074" s="256" t="inlineStr">
        <is>
          <t>CoQ-PP_26-047</t>
        </is>
      </c>
      <c r="B1074" s="256" t="inlineStr">
        <is>
          <t>release</t>
        </is>
      </c>
      <c r="C1074" s="256" t="inlineStr">
        <is>
          <t>PUM102501</t>
        </is>
      </c>
      <c r="D1074" s="256" t="inlineStr">
        <is>
          <t>P060112</t>
        </is>
      </c>
      <c r="E1074" s="256" t="inlineStr">
        <is>
          <t>Pure Michigen</t>
        </is>
      </c>
      <c r="F1074" s="256" t="inlineStr">
        <is>
          <t>06.06.2026</t>
        </is>
      </c>
      <c r="G1074" s="256" t="inlineStr">
        <is>
          <t>9.7</t>
        </is>
      </c>
      <c r="H1074" s="256" t="inlineStr">
        <is>
          <t>Staphylococcus aureus</t>
        </is>
      </c>
      <c r="I1074" s="256" t="inlineStr">
        <is>
          <t>Ph. Eur. 2.6.13 cat. C</t>
        </is>
      </c>
      <c r="J1074" s="256" t="inlineStr">
        <is>
          <t>Absence | Отсуство / 1 g</t>
        </is>
      </c>
      <c r="K1074" s="260" t="inlineStr">
        <is>
          <t>upon request — not required for release</t>
        </is>
      </c>
      <c r="L1074" s="256" t="inlineStr">
        <is>
          <t>—</t>
        </is>
      </c>
      <c r="M1074" s="256" t="inlineStr">
        <is>
          <t>—</t>
        </is>
      </c>
      <c r="N1074" s="256" t="inlineStr">
        <is>
          <t>—</t>
        </is>
      </c>
      <c r="O1074" s="256" t="inlineStr">
        <is>
          <t>—</t>
        </is>
      </c>
      <c r="P1074" s="256" t="inlineStr">
        <is>
          <t>upon request — not required for release</t>
        </is>
      </c>
      <c r="Q1074" s="256" t="inlineStr"/>
      <c r="R1074" s="256" t="inlineStr"/>
    </row>
    <row r="1075">
      <c r="A1075" s="256" t="inlineStr">
        <is>
          <t>CoQ-PP_26-047</t>
        </is>
      </c>
      <c r="B1075" s="256" t="inlineStr">
        <is>
          <t>release</t>
        </is>
      </c>
      <c r="C1075" s="256" t="inlineStr">
        <is>
          <t>PUM102501</t>
        </is>
      </c>
      <c r="D1075" s="256" t="inlineStr">
        <is>
          <t>P060112</t>
        </is>
      </c>
      <c r="E1075" s="256" t="inlineStr">
        <is>
          <t>Pure Michigen</t>
        </is>
      </c>
      <c r="F1075" s="256" t="inlineStr">
        <is>
          <t>06.06.2026</t>
        </is>
      </c>
      <c r="G1075" s="256" t="inlineStr">
        <is>
          <t>10.1</t>
        </is>
      </c>
      <c r="H1075" s="256" t="inlineStr">
        <is>
          <t>Aflatoxin B₁</t>
        </is>
      </c>
      <c r="I1075" s="256" t="inlineStr">
        <is>
          <t>Ph. Eur. 2.8.18 (HPLC-FLD)</t>
        </is>
      </c>
      <c r="J1075" s="256" t="inlineStr">
        <is>
          <t>≤ 2 µg/kg</t>
        </is>
      </c>
      <c r="K1075" s="259" t="inlineStr">
        <is>
          <t>not tested</t>
        </is>
      </c>
      <c r="L1075" s="256" t="inlineStr">
        <is>
          <t>—</t>
        </is>
      </c>
      <c r="M1075" s="256" t="inlineStr">
        <is>
          <t>—</t>
        </is>
      </c>
      <c r="N1075" s="256" t="inlineStr">
        <is>
          <t>—</t>
        </is>
      </c>
      <c r="O1075" s="256" t="inlineStr">
        <is>
          <t>—</t>
        </is>
      </c>
      <c r="P1075" s="256" t="inlineStr">
        <is>
          <t>not tested — no certificate covers it</t>
        </is>
      </c>
      <c r="Q1075" s="256" t="inlineStr"/>
      <c r="R1075" s="256" t="inlineStr">
        <is>
          <t>ND (220-25-М/26)</t>
        </is>
      </c>
    </row>
    <row r="1076">
      <c r="A1076" s="256" t="inlineStr">
        <is>
          <t>CoQ-PP_26-047</t>
        </is>
      </c>
      <c r="B1076" s="256" t="inlineStr">
        <is>
          <t>release</t>
        </is>
      </c>
      <c r="C1076" s="256" t="inlineStr">
        <is>
          <t>PUM102501</t>
        </is>
      </c>
      <c r="D1076" s="256" t="inlineStr">
        <is>
          <t>P060112</t>
        </is>
      </c>
      <c r="E1076" s="256" t="inlineStr">
        <is>
          <t>Pure Michigen</t>
        </is>
      </c>
      <c r="F1076" s="256" t="inlineStr">
        <is>
          <t>06.06.2026</t>
        </is>
      </c>
      <c r="G1076" s="256" t="inlineStr">
        <is>
          <t>10.2</t>
        </is>
      </c>
      <c r="H1076" s="256" t="inlineStr">
        <is>
          <t>Aflatoxins ∑</t>
        </is>
      </c>
      <c r="I1076" s="256" t="inlineStr">
        <is>
          <t>Ph. Eur. 2.8.18 (HPLC-FLD)</t>
        </is>
      </c>
      <c r="J1076" s="256" t="inlineStr">
        <is>
          <t>≤ 4 µg/kg</t>
        </is>
      </c>
      <c r="K1076" s="256" t="inlineStr">
        <is>
          <t>&lt; 2</t>
        </is>
      </c>
      <c r="L1076" s="256" t="inlineStr">
        <is>
          <t>327/2026</t>
        </is>
      </c>
      <c r="M1076" s="256" t="inlineStr">
        <is>
          <t>11.02.2026</t>
        </is>
      </c>
      <c r="N1076" s="256" t="inlineStr">
        <is>
          <t>IPH — Institute of Public Health</t>
        </is>
      </c>
      <c r="O1076" s="256" t="inlineStr">
        <is>
          <t>—</t>
        </is>
      </c>
      <c r="P1076" s="256" t="inlineStr">
        <is>
          <t>covered</t>
        </is>
      </c>
      <c r="Q1076" s="256" t="inlineStr"/>
      <c r="R1076" s="256" t="inlineStr">
        <is>
          <t>ND (220-25-М/26)</t>
        </is>
      </c>
    </row>
    <row r="1077">
      <c r="A1077" s="256" t="inlineStr">
        <is>
          <t>CoQ-PP_26-047</t>
        </is>
      </c>
      <c r="B1077" s="256" t="inlineStr">
        <is>
          <t>release</t>
        </is>
      </c>
      <c r="C1077" s="256" t="inlineStr">
        <is>
          <t>PUM102501</t>
        </is>
      </c>
      <c r="D1077" s="256" t="inlineStr">
        <is>
          <t>P060112</t>
        </is>
      </c>
      <c r="E1077" s="256" t="inlineStr">
        <is>
          <t>Pure Michigen</t>
        </is>
      </c>
      <c r="F1077" s="256" t="inlineStr">
        <is>
          <t>06.06.2026</t>
        </is>
      </c>
      <c r="G1077" s="256" t="inlineStr">
        <is>
          <t>10.3</t>
        </is>
      </c>
      <c r="H1077" s="256" t="inlineStr">
        <is>
          <t>Ochratoxin A</t>
        </is>
      </c>
      <c r="I1077" s="256" t="inlineStr">
        <is>
          <t>Ph. Eur. 2.8.22 (HPLC-FLD)</t>
        </is>
      </c>
      <c r="J1077" s="256" t="inlineStr">
        <is>
          <t>≤ 20 µg/kg</t>
        </is>
      </c>
      <c r="K1077" s="259" t="inlineStr">
        <is>
          <t>not tested</t>
        </is>
      </c>
      <c r="L1077" s="256" t="inlineStr">
        <is>
          <t>—</t>
        </is>
      </c>
      <c r="M1077" s="256" t="inlineStr">
        <is>
          <t>—</t>
        </is>
      </c>
      <c r="N1077" s="256" t="inlineStr">
        <is>
          <t>—</t>
        </is>
      </c>
      <c r="O1077" s="256" t="inlineStr">
        <is>
          <t>—</t>
        </is>
      </c>
      <c r="P1077" s="256" t="inlineStr">
        <is>
          <t>not tested — no certificate covers it</t>
        </is>
      </c>
      <c r="Q1077" s="256" t="inlineStr"/>
      <c r="R1077" s="256" t="inlineStr">
        <is>
          <t>ND (220-25-М/26)</t>
        </is>
      </c>
    </row>
    <row r="1078">
      <c r="A1078" s="256" t="inlineStr">
        <is>
          <t>CoQ-PP_26-047</t>
        </is>
      </c>
      <c r="B1078" s="256" t="inlineStr">
        <is>
          <t>release</t>
        </is>
      </c>
      <c r="C1078" s="256" t="inlineStr">
        <is>
          <t>PUM102501</t>
        </is>
      </c>
      <c r="D1078" s="256" t="inlineStr">
        <is>
          <t>P060112</t>
        </is>
      </c>
      <c r="E1078" s="256" t="inlineStr">
        <is>
          <t>Pure Michigen</t>
        </is>
      </c>
      <c r="F1078" s="256" t="inlineStr">
        <is>
          <t>06.06.2026</t>
        </is>
      </c>
      <c r="G1078" s="256" t="inlineStr">
        <is>
          <t>11.1</t>
        </is>
      </c>
      <c r="H1078" s="256" t="inlineStr">
        <is>
          <t>Lead (Pb)</t>
        </is>
      </c>
      <c r="I1078" s="256" t="inlineStr">
        <is>
          <t>Ph. Eur. 2.4.27 (ICP-MS)</t>
        </is>
      </c>
      <c r="J1078" s="256" t="inlineStr">
        <is>
          <t>≤ 0.5 mg/kg</t>
        </is>
      </c>
      <c r="K1078" s="256" t="inlineStr">
        <is>
          <t>0.078</t>
        </is>
      </c>
      <c r="L1078" s="256" t="inlineStr">
        <is>
          <t>327/2026</t>
        </is>
      </c>
      <c r="M1078" s="256" t="inlineStr">
        <is>
          <t>11.02.2026</t>
        </is>
      </c>
      <c r="N1078" s="256" t="inlineStr">
        <is>
          <t>IPH — Institute of Public Health</t>
        </is>
      </c>
      <c r="O1078" s="256" t="inlineStr">
        <is>
          <t>—</t>
        </is>
      </c>
      <c r="P1078" s="256" t="inlineStr">
        <is>
          <t>covered</t>
        </is>
      </c>
      <c r="Q1078" s="256" t="inlineStr"/>
      <c r="R1078" s="256" t="inlineStr"/>
    </row>
    <row r="1079">
      <c r="A1079" s="256" t="inlineStr">
        <is>
          <t>CoQ-PP_26-047</t>
        </is>
      </c>
      <c r="B1079" s="256" t="inlineStr">
        <is>
          <t>release</t>
        </is>
      </c>
      <c r="C1079" s="256" t="inlineStr">
        <is>
          <t>PUM102501</t>
        </is>
      </c>
      <c r="D1079" s="256" t="inlineStr">
        <is>
          <t>P060112</t>
        </is>
      </c>
      <c r="E1079" s="256" t="inlineStr">
        <is>
          <t>Pure Michigen</t>
        </is>
      </c>
      <c r="F1079" s="256" t="inlineStr">
        <is>
          <t>06.06.2026</t>
        </is>
      </c>
      <c r="G1079" s="256" t="inlineStr">
        <is>
          <t>11.2</t>
        </is>
      </c>
      <c r="H1079" s="256" t="inlineStr">
        <is>
          <t>Cadmium (Cd)</t>
        </is>
      </c>
      <c r="I1079" s="256" t="inlineStr">
        <is>
          <t>Ph. Eur. 2.4.27 (ICP-MS)</t>
        </is>
      </c>
      <c r="J1079" s="256" t="inlineStr">
        <is>
          <t>≤ 0.3 mg/kg</t>
        </is>
      </c>
      <c r="K1079" s="256" t="inlineStr">
        <is>
          <t>ND</t>
        </is>
      </c>
      <c r="L1079" s="256" t="inlineStr">
        <is>
          <t>327/2026</t>
        </is>
      </c>
      <c r="M1079" s="256" t="inlineStr">
        <is>
          <t>11.02.2026</t>
        </is>
      </c>
      <c r="N1079" s="256" t="inlineStr">
        <is>
          <t>IPH — Institute of Public Health</t>
        </is>
      </c>
      <c r="O1079" s="256" t="inlineStr">
        <is>
          <t>—</t>
        </is>
      </c>
      <c r="P1079" s="256" t="inlineStr">
        <is>
          <t>covered</t>
        </is>
      </c>
      <c r="Q1079" s="256" t="inlineStr"/>
      <c r="R1079" s="256" t="inlineStr"/>
    </row>
    <row r="1080">
      <c r="A1080" s="256" t="inlineStr">
        <is>
          <t>CoQ-PP_26-047</t>
        </is>
      </c>
      <c r="B1080" s="256" t="inlineStr">
        <is>
          <t>release</t>
        </is>
      </c>
      <c r="C1080" s="256" t="inlineStr">
        <is>
          <t>PUM102501</t>
        </is>
      </c>
      <c r="D1080" s="256" t="inlineStr">
        <is>
          <t>P060112</t>
        </is>
      </c>
      <c r="E1080" s="256" t="inlineStr">
        <is>
          <t>Pure Michigen</t>
        </is>
      </c>
      <c r="F1080" s="256" t="inlineStr">
        <is>
          <t>06.06.2026</t>
        </is>
      </c>
      <c r="G1080" s="256" t="inlineStr">
        <is>
          <t>11.3</t>
        </is>
      </c>
      <c r="H1080" s="256" t="inlineStr">
        <is>
          <t>Arsenic (As)</t>
        </is>
      </c>
      <c r="I1080" s="256" t="inlineStr">
        <is>
          <t>Ph. Eur. 2.4.27 (ICP-MS)</t>
        </is>
      </c>
      <c r="J1080" s="256" t="inlineStr">
        <is>
          <t>≤ 0.2 mg/kg</t>
        </is>
      </c>
      <c r="K1080" s="256" t="inlineStr">
        <is>
          <t>0.0187</t>
        </is>
      </c>
      <c r="L1080" s="256" t="inlineStr">
        <is>
          <t>327/2026</t>
        </is>
      </c>
      <c r="M1080" s="256" t="inlineStr">
        <is>
          <t>11.02.2026</t>
        </is>
      </c>
      <c r="N1080" s="256" t="inlineStr">
        <is>
          <t>IPH — Institute of Public Health</t>
        </is>
      </c>
      <c r="O1080" s="256" t="inlineStr">
        <is>
          <t>—</t>
        </is>
      </c>
      <c r="P1080" s="256" t="inlineStr">
        <is>
          <t>covered</t>
        </is>
      </c>
      <c r="Q1080" s="256" t="inlineStr"/>
      <c r="R1080" s="256" t="inlineStr"/>
    </row>
    <row r="1081">
      <c r="A1081" s="256" t="inlineStr">
        <is>
          <t>CoQ-PP_26-047</t>
        </is>
      </c>
      <c r="B1081" s="256" t="inlineStr">
        <is>
          <t>release</t>
        </is>
      </c>
      <c r="C1081" s="256" t="inlineStr">
        <is>
          <t>PUM102501</t>
        </is>
      </c>
      <c r="D1081" s="256" t="inlineStr">
        <is>
          <t>P060112</t>
        </is>
      </c>
      <c r="E1081" s="256" t="inlineStr">
        <is>
          <t>Pure Michigen</t>
        </is>
      </c>
      <c r="F1081" s="256" t="inlineStr">
        <is>
          <t>06.06.2026</t>
        </is>
      </c>
      <c r="G1081" s="256" t="inlineStr">
        <is>
          <t>11.4</t>
        </is>
      </c>
      <c r="H1081" s="256" t="inlineStr">
        <is>
          <t>Mercury (Hg)</t>
        </is>
      </c>
      <c r="I1081" s="256" t="inlineStr">
        <is>
          <t>Ph. Eur. 2.4.27 (ICP-MS)</t>
        </is>
      </c>
      <c r="J1081" s="256" t="inlineStr">
        <is>
          <t>≤ 0.1 mg/kg</t>
        </is>
      </c>
      <c r="K1081" s="256" t="inlineStr">
        <is>
          <t>ND</t>
        </is>
      </c>
      <c r="L1081" s="256" t="inlineStr">
        <is>
          <t>327/2026</t>
        </is>
      </c>
      <c r="M1081" s="256" t="inlineStr">
        <is>
          <t>11.02.2026</t>
        </is>
      </c>
      <c r="N1081" s="256" t="inlineStr">
        <is>
          <t>IPH — Institute of Public Health</t>
        </is>
      </c>
      <c r="O1081" s="256" t="inlineStr">
        <is>
          <t>—</t>
        </is>
      </c>
      <c r="P1081" s="256" t="inlineStr">
        <is>
          <t>covered</t>
        </is>
      </c>
      <c r="Q1081" s="256" t="inlineStr"/>
      <c r="R1081" s="256" t="inlineStr"/>
    </row>
    <row r="1082">
      <c r="A1082" s="256" t="inlineStr">
        <is>
          <t>CoQ-PP_26-047</t>
        </is>
      </c>
      <c r="B1082" s="256" t="inlineStr">
        <is>
          <t>release</t>
        </is>
      </c>
      <c r="C1082" s="256" t="inlineStr">
        <is>
          <t>PUM102501</t>
        </is>
      </c>
      <c r="D1082" s="256" t="inlineStr">
        <is>
          <t>P060112</t>
        </is>
      </c>
      <c r="E1082" s="256" t="inlineStr">
        <is>
          <t>Pure Michigen</t>
        </is>
      </c>
      <c r="F1082" s="256" t="inlineStr">
        <is>
          <t>06.06.2026</t>
        </is>
      </c>
      <c r="G1082" s="256" t="inlineStr">
        <is>
          <t>12</t>
        </is>
      </c>
      <c r="H1082" s="256" t="inlineStr">
        <is>
          <t>Pesticide Residues</t>
        </is>
      </c>
      <c r="I1082" s="256" t="inlineStr">
        <is>
          <t>Ph. Eur. 2.8.13 (LC-MS/MS) · CUMCS Equivalency</t>
        </is>
      </c>
      <c r="J1082" s="256" t="inlineStr">
        <is>
          <t>≤ LOQ as per Ph. Eur. 2.8.13 · ≤ LOQ as per CUMCS Equivalency</t>
        </is>
      </c>
      <c r="K1082" s="256" t="inlineStr">
        <is>
          <t>ND mg/kg — all 25 residues</t>
        </is>
      </c>
      <c r="L1082" s="256" t="inlineStr">
        <is>
          <t>327/2026</t>
        </is>
      </c>
      <c r="M1082" s="256" t="inlineStr">
        <is>
          <t>11.02.2026</t>
        </is>
      </c>
      <c r="N1082" s="256" t="inlineStr">
        <is>
          <t>IJZ</t>
        </is>
      </c>
      <c r="O1082" s="256" t="inlineStr">
        <is>
          <t>—</t>
        </is>
      </c>
      <c r="P1082" s="256" t="inlineStr">
        <is>
          <t>covered</t>
        </is>
      </c>
      <c r="Q1082" s="256" t="inlineStr"/>
      <c r="R1082" s="256" t="inlineStr"/>
    </row>
    <row r="1083">
      <c r="A1083" s="256" t="inlineStr">
        <is>
          <t>CoQ-PP_26-048</t>
        </is>
      </c>
      <c r="B1083" s="256" t="inlineStr">
        <is>
          <t>release</t>
        </is>
      </c>
      <c r="C1083" s="256" t="inlineStr">
        <is>
          <t>ACC102501</t>
        </is>
      </c>
      <c r="D1083" s="256" t="inlineStr">
        <is>
          <t>P060122</t>
        </is>
      </c>
      <c r="E1083" s="256" t="inlineStr">
        <is>
          <t>Amnesia Core Cut</t>
        </is>
      </c>
      <c r="F1083" s="256" t="inlineStr">
        <is>
          <t>06.06.2026</t>
        </is>
      </c>
      <c r="G1083" s="256" t="inlineStr">
        <is>
          <t>1</t>
        </is>
      </c>
      <c r="H1083" s="256" t="inlineStr">
        <is>
          <t>Identification A, Appearance · Macroscopic</t>
        </is>
      </c>
      <c r="I1083" s="256" t="inlineStr">
        <is>
          <t>Ph. Eur. mon. 3028</t>
        </is>
      </c>
      <c r="J1083" s="256" t="inlineStr">
        <is>
          <t>Conforms to the monograph for Cannabis flos (07/2024:3028) in Ph. Eur. 11.0 | Согласно монографија за Cannabis flos (07/2024:3028) во Ph. Eur. 11.0</t>
        </is>
      </c>
      <c r="K1083" s="256" t="inlineStr">
        <is>
          <t>Conforms | Одговара</t>
        </is>
      </c>
      <c r="L1083" s="256" t="inlineStr">
        <is>
          <t>iCoA-PP_26-047</t>
        </is>
      </c>
      <c r="M1083" s="256" t="inlineStr">
        <is>
          <t>03.06.2026</t>
        </is>
      </c>
      <c r="N1083" s="256" t="inlineStr">
        <is>
          <t>Purely Plant GmbH (in-house)</t>
        </is>
      </c>
      <c r="O1083" s="256" t="inlineStr">
        <is>
          <t>—</t>
        </is>
      </c>
      <c r="P1083" s="256" t="inlineStr">
        <is>
          <t>to be performed — see route</t>
        </is>
      </c>
      <c r="Q1083" s="256" t="inlineStr">
        <is>
          <t>Purely Plant laboratory — iCoA covering Ident A + B</t>
        </is>
      </c>
      <c r="R1083" s="256" t="inlineStr"/>
    </row>
    <row r="1084">
      <c r="A1084" s="256" t="inlineStr">
        <is>
          <t>CoQ-PP_26-048</t>
        </is>
      </c>
      <c r="B1084" s="256" t="inlineStr">
        <is>
          <t>release</t>
        </is>
      </c>
      <c r="C1084" s="256" t="inlineStr">
        <is>
          <t>ACC102501</t>
        </is>
      </c>
      <c r="D1084" s="256" t="inlineStr">
        <is>
          <t>P060122</t>
        </is>
      </c>
      <c r="E1084" s="256" t="inlineStr">
        <is>
          <t>Amnesia Core Cut</t>
        </is>
      </c>
      <c r="F1084" s="256" t="inlineStr">
        <is>
          <t>06.06.2026</t>
        </is>
      </c>
      <c r="G1084" s="256" t="inlineStr">
        <is>
          <t>2</t>
        </is>
      </c>
      <c r="H1084" s="256" t="inlineStr">
        <is>
          <t>Identification B · Microscopic</t>
        </is>
      </c>
      <c r="I1084" s="256" t="inlineStr">
        <is>
          <t>Ph. Eur. 2.8.23 (microscopy)</t>
        </is>
      </c>
      <c r="J1084" s="256" t="inlineStr">
        <is>
          <t>Conforms to the monograph for Cannabis flos (07/2024:3028) in Ph. Eur. 11.0 | Согласно монографија за Cannabis flos (07/2024:3028) во Ph. Eur. 11.0</t>
        </is>
      </c>
      <c r="K1084" s="256" t="inlineStr">
        <is>
          <t>Conforms | Одговара</t>
        </is>
      </c>
      <c r="L1084" s="256" t="inlineStr">
        <is>
          <t>iCoA-PP_26-047</t>
        </is>
      </c>
      <c r="M1084" s="256" t="inlineStr">
        <is>
          <t>03.06.2026</t>
        </is>
      </c>
      <c r="N1084" s="256" t="inlineStr">
        <is>
          <t>Purely Plant GmbH (in-house)</t>
        </is>
      </c>
      <c r="O1084" s="256" t="inlineStr">
        <is>
          <t>—</t>
        </is>
      </c>
      <c r="P1084" s="256" t="inlineStr">
        <is>
          <t>to be performed — see route</t>
        </is>
      </c>
      <c r="Q1084" s="256" t="inlineStr">
        <is>
          <t>Purely Plant laboratory — iCoA covering Ident A + B</t>
        </is>
      </c>
      <c r="R1084" s="256" t="inlineStr"/>
    </row>
    <row r="1085">
      <c r="A1085" s="256" t="inlineStr">
        <is>
          <t>CoQ-PP_26-048</t>
        </is>
      </c>
      <c r="B1085" s="256" t="inlineStr">
        <is>
          <t>release</t>
        </is>
      </c>
      <c r="C1085" s="256" t="inlineStr">
        <is>
          <t>ACC102501</t>
        </is>
      </c>
      <c r="D1085" s="256" t="inlineStr">
        <is>
          <t>P060122</t>
        </is>
      </c>
      <c r="E1085" s="256" t="inlineStr">
        <is>
          <t>Amnesia Core Cut</t>
        </is>
      </c>
      <c r="F1085" s="256" t="inlineStr">
        <is>
          <t>06.06.2026</t>
        </is>
      </c>
      <c r="G1085" s="256" t="inlineStr">
        <is>
          <t>3</t>
        </is>
      </c>
      <c r="H1085" s="256" t="inlineStr">
        <is>
          <t>Identification C · HPLC/HPTLC</t>
        </is>
      </c>
      <c r="I1085" s="256" t="inlineStr">
        <is>
          <t>Ph. Eur. 2.2.29 (3028)</t>
        </is>
      </c>
      <c r="J1085" s="256" t="inlineStr">
        <is>
          <t>Conforms to the monograph for Cannabis flos (07/2024:3028) in Ph. Eur. 11.0 | Согласно монографија за Cannabis flos (07/2024:3028) во Ph. Eur. 11.0</t>
        </is>
      </c>
      <c r="K1085" s="256" t="inlineStr">
        <is>
          <t>identity by the HPLC cannabinoid profile on this certificate</t>
        </is>
      </c>
      <c r="L1085" s="256" t="inlineStr">
        <is>
          <t>031-5-К/26</t>
        </is>
      </c>
      <c r="M1085" s="256" t="inlineStr">
        <is>
          <t>10.02.2026</t>
        </is>
      </c>
      <c r="N1085" s="256" t="inlineStr">
        <is>
          <t>FHM</t>
        </is>
      </c>
      <c r="O1085" s="256" t="inlineStr">
        <is>
          <t>—</t>
        </is>
      </c>
      <c r="P1085" s="256" t="inlineStr">
        <is>
          <t>covered</t>
        </is>
      </c>
      <c r="Q1085" s="256" t="inlineStr"/>
      <c r="R1085" s="256" t="inlineStr"/>
    </row>
    <row r="1086">
      <c r="A1086" s="256" t="inlineStr">
        <is>
          <t>CoQ-PP_26-048</t>
        </is>
      </c>
      <c r="B1086" s="256" t="inlineStr">
        <is>
          <t>release</t>
        </is>
      </c>
      <c r="C1086" s="256" t="inlineStr">
        <is>
          <t>ACC102501</t>
        </is>
      </c>
      <c r="D1086" s="256" t="inlineStr">
        <is>
          <t>P060122</t>
        </is>
      </c>
      <c r="E1086" s="256" t="inlineStr">
        <is>
          <t>Amnesia Core Cut</t>
        </is>
      </c>
      <c r="F1086" s="256" t="inlineStr">
        <is>
          <t>06.06.2026</t>
        </is>
      </c>
      <c r="G1086" s="256" t="inlineStr">
        <is>
          <t>4</t>
        </is>
      </c>
      <c r="H1086" s="256" t="inlineStr">
        <is>
          <t>Assay — Total Δ⁹-THC</t>
        </is>
      </c>
      <c r="I1086" s="256" t="inlineStr">
        <is>
          <t>Ph. Eur. 2.2.29 (HPLC)</t>
        </is>
      </c>
      <c r="J1086" s="256" t="inlineStr">
        <is>
          <t>10.80 – 13.19 %  (grade I, nominal 12.00 ± 1.20)</t>
        </is>
      </c>
      <c r="K1086" s="256" t="inlineStr">
        <is>
          <t>12.91</t>
        </is>
      </c>
      <c r="L1086" s="256" t="inlineStr">
        <is>
          <t>031-5-К/26</t>
        </is>
      </c>
      <c r="M1086" s="256" t="inlineStr">
        <is>
          <t>10.02.2026</t>
        </is>
      </c>
      <c r="N1086" s="256" t="inlineStr">
        <is>
          <t>Farmahem</t>
        </is>
      </c>
      <c r="O1086" s="256" t="inlineStr">
        <is>
          <t>—</t>
        </is>
      </c>
      <c r="P1086" s="256" t="inlineStr">
        <is>
          <t>covered</t>
        </is>
      </c>
      <c r="Q1086" s="256" t="inlineStr"/>
      <c r="R1086" s="256" t="inlineStr">
        <is>
          <t>12.09 (220-1-К/26)</t>
        </is>
      </c>
    </row>
    <row r="1087">
      <c r="A1087" s="256" t="inlineStr">
        <is>
          <t>CoQ-PP_26-048</t>
        </is>
      </c>
      <c r="B1087" s="256" t="inlineStr">
        <is>
          <t>release</t>
        </is>
      </c>
      <c r="C1087" s="256" t="inlineStr">
        <is>
          <t>ACC102501</t>
        </is>
      </c>
      <c r="D1087" s="256" t="inlineStr">
        <is>
          <t>P060122</t>
        </is>
      </c>
      <c r="E1087" s="256" t="inlineStr">
        <is>
          <t>Amnesia Core Cut</t>
        </is>
      </c>
      <c r="F1087" s="256" t="inlineStr">
        <is>
          <t>06.06.2026</t>
        </is>
      </c>
      <c r="G1087" s="256" t="inlineStr">
        <is>
          <t>5</t>
        </is>
      </c>
      <c r="H1087" s="256" t="inlineStr">
        <is>
          <t>Assay — Total CBD</t>
        </is>
      </c>
      <c r="I1087" s="256" t="inlineStr">
        <is>
          <t>Ph. Eur. 2.2.29 (HPLC) · CBD + CBDA x 0.877</t>
        </is>
      </c>
      <c r="J1087" s="256" t="inlineStr">
        <is>
          <t>≤ 1.0%, w/w</t>
        </is>
      </c>
      <c r="K1087" s="256" t="inlineStr">
        <is>
          <t>&lt; LOQ** %w/w</t>
        </is>
      </c>
      <c r="L1087" s="256" t="inlineStr">
        <is>
          <t>031-5-К/26</t>
        </is>
      </c>
      <c r="M1087" s="256" t="inlineStr">
        <is>
          <t>10.02.2026</t>
        </is>
      </c>
      <c r="N1087" s="256" t="inlineStr">
        <is>
          <t>Farmahem</t>
        </is>
      </c>
      <c r="O1087" s="256" t="inlineStr">
        <is>
          <t>—</t>
        </is>
      </c>
      <c r="P1087" s="256" t="inlineStr">
        <is>
          <t>covered</t>
        </is>
      </c>
      <c r="Q1087" s="256" t="inlineStr"/>
      <c r="R1087" s="256" t="inlineStr">
        <is>
          <t>&lt;LOQ (220-1-К/26)</t>
        </is>
      </c>
    </row>
    <row r="1088">
      <c r="A1088" s="256" t="inlineStr">
        <is>
          <t>CoQ-PP_26-048</t>
        </is>
      </c>
      <c r="B1088" s="256" t="inlineStr">
        <is>
          <t>release</t>
        </is>
      </c>
      <c r="C1088" s="256" t="inlineStr">
        <is>
          <t>ACC102501</t>
        </is>
      </c>
      <c r="D1088" s="256" t="inlineStr">
        <is>
          <t>P060122</t>
        </is>
      </c>
      <c r="E1088" s="256" t="inlineStr">
        <is>
          <t>Amnesia Core Cut</t>
        </is>
      </c>
      <c r="F1088" s="256" t="inlineStr">
        <is>
          <t>06.06.2026</t>
        </is>
      </c>
      <c r="G1088" s="256" t="inlineStr">
        <is>
          <t>6</t>
        </is>
      </c>
      <c r="H1088" s="256" t="inlineStr">
        <is>
          <t>Total CBN</t>
        </is>
      </c>
      <c r="I1088" s="256" t="inlineStr">
        <is>
          <t>Ph. Eur. 2.2.29 (HPLC) · CBN + CBNA x 0.876</t>
        </is>
      </c>
      <c r="J1088" s="256" t="inlineStr">
        <is>
          <t>≤ 1.0%, w/w</t>
        </is>
      </c>
      <c r="K1088" s="256" t="inlineStr">
        <is>
          <t>&lt; LOQ** %w/w</t>
        </is>
      </c>
      <c r="L1088" s="256" t="inlineStr">
        <is>
          <t>031-5-К/26</t>
        </is>
      </c>
      <c r="M1088" s="256" t="inlineStr">
        <is>
          <t>10.02.2026</t>
        </is>
      </c>
      <c r="N1088" s="256" t="inlineStr">
        <is>
          <t>Farmahem</t>
        </is>
      </c>
      <c r="O1088" s="256" t="inlineStr">
        <is>
          <t>—</t>
        </is>
      </c>
      <c r="P1088" s="256" t="inlineStr">
        <is>
          <t>covered</t>
        </is>
      </c>
      <c r="Q1088" s="256" t="inlineStr"/>
      <c r="R1088" s="256" t="inlineStr">
        <is>
          <t>&lt;LOQ (220-1-К/26)</t>
        </is>
      </c>
    </row>
    <row r="1089">
      <c r="A1089" s="256" t="inlineStr">
        <is>
          <t>CoQ-PP_26-048</t>
        </is>
      </c>
      <c r="B1089" s="256" t="inlineStr">
        <is>
          <t>release</t>
        </is>
      </c>
      <c r="C1089" s="256" t="inlineStr">
        <is>
          <t>ACC102501</t>
        </is>
      </c>
      <c r="D1089" s="256" t="inlineStr">
        <is>
          <t>P060122</t>
        </is>
      </c>
      <c r="E1089" s="256" t="inlineStr">
        <is>
          <t>Amnesia Core Cut</t>
        </is>
      </c>
      <c r="F1089" s="256" t="inlineStr">
        <is>
          <t>06.06.2026</t>
        </is>
      </c>
      <c r="G1089" s="256" t="inlineStr">
        <is>
          <t>7</t>
        </is>
      </c>
      <c r="H1089" s="256" t="inlineStr">
        <is>
          <t>Foreign Matter</t>
        </is>
      </c>
      <c r="I1089" s="256" t="inlineStr">
        <is>
          <t>Ph. Eur. 2.8.2 · In-house · интерна</t>
        </is>
      </c>
      <c r="J1089" s="256" t="inlineStr">
        <is>
          <t>≤ 2.0% / 25–50 g · &lt; 1 cm leaves | листови, no seeds | без семки</t>
        </is>
      </c>
      <c r="K1089" s="256" t="inlineStr">
        <is>
          <t>Conforms | Одговара</t>
        </is>
      </c>
      <c r="L1089" s="256" t="inlineStr">
        <is>
          <t>iCoA-PP_26-047</t>
        </is>
      </c>
      <c r="M1089" s="256" t="inlineStr">
        <is>
          <t>03.06.2026</t>
        </is>
      </c>
      <c r="N1089" s="256" t="inlineStr">
        <is>
          <t>Purely Plant GmbH (in-house)</t>
        </is>
      </c>
      <c r="O1089" s="256" t="inlineStr">
        <is>
          <t>—</t>
        </is>
      </c>
      <c r="P1089" s="256" t="inlineStr">
        <is>
          <t>to be performed — see route</t>
        </is>
      </c>
      <c r="Q1089" s="256" t="inlineStr">
        <is>
          <t>Purely Plant laboratory — iCoA covering Foreign matter</t>
        </is>
      </c>
      <c r="R1089" s="256" t="inlineStr"/>
    </row>
    <row r="1090">
      <c r="A1090" s="256" t="inlineStr">
        <is>
          <t>CoQ-PP_26-048</t>
        </is>
      </c>
      <c r="B1090" s="256" t="inlineStr">
        <is>
          <t>release</t>
        </is>
      </c>
      <c r="C1090" s="256" t="inlineStr">
        <is>
          <t>ACC102501</t>
        </is>
      </c>
      <c r="D1090" s="256" t="inlineStr">
        <is>
          <t>P060122</t>
        </is>
      </c>
      <c r="E1090" s="256" t="inlineStr">
        <is>
          <t>Amnesia Core Cut</t>
        </is>
      </c>
      <c r="F1090" s="256" t="inlineStr">
        <is>
          <t>06.06.2026</t>
        </is>
      </c>
      <c r="G1090" s="256" t="inlineStr">
        <is>
          <t>8</t>
        </is>
      </c>
      <c r="H1090" s="256" t="inlineStr">
        <is>
          <t>Loss on Drying</t>
        </is>
      </c>
      <c r="I1090" s="256" t="inlineStr">
        <is>
          <t>Ph. Eur. 2.2.32 (3028) · at 40 °C, 24 h, 15–25 mbar</t>
        </is>
      </c>
      <c r="J1090" s="256" t="inlineStr">
        <is>
          <t>≤ 12.0%</t>
        </is>
      </c>
      <c r="K1090" s="256" t="inlineStr">
        <is>
          <t>7,1 %</t>
        </is>
      </c>
      <c r="L1090" s="256" t="inlineStr">
        <is>
          <t>031-5-ГС/26</t>
        </is>
      </c>
      <c r="M1090" s="256" t="inlineStr">
        <is>
          <t>12.02.2026</t>
        </is>
      </c>
      <c r="N1090" s="256" t="inlineStr">
        <is>
          <t>FHM</t>
        </is>
      </c>
      <c r="O1090" s="256" t="inlineStr">
        <is>
          <t>—</t>
        </is>
      </c>
      <c r="P1090" s="256" t="inlineStr">
        <is>
          <t>covered</t>
        </is>
      </c>
      <c r="Q1090" s="256" t="inlineStr"/>
      <c r="R1090" s="256" t="inlineStr"/>
    </row>
    <row r="1091">
      <c r="A1091" s="256" t="inlineStr">
        <is>
          <t>CoQ-PP_26-048</t>
        </is>
      </c>
      <c r="B1091" s="256" t="inlineStr">
        <is>
          <t>release</t>
        </is>
      </c>
      <c r="C1091" s="256" t="inlineStr">
        <is>
          <t>ACC102501</t>
        </is>
      </c>
      <c r="D1091" s="256" t="inlineStr">
        <is>
          <t>P060122</t>
        </is>
      </c>
      <c r="E1091" s="256" t="inlineStr">
        <is>
          <t>Amnesia Core Cut</t>
        </is>
      </c>
      <c r="F1091" s="256" t="inlineStr">
        <is>
          <t>06.06.2026</t>
        </is>
      </c>
      <c r="G1091" s="256" t="inlineStr">
        <is>
          <t>9.1</t>
        </is>
      </c>
      <c r="H1091" s="256" t="inlineStr">
        <is>
          <t>TAMC</t>
        </is>
      </c>
      <c r="I1091" s="256" t="inlineStr">
        <is>
          <t>Ph. Eur. 2.6.12 cat. C</t>
        </is>
      </c>
      <c r="J1091" s="256" t="inlineStr">
        <is>
          <t>≤ 10⁵ CFU/g</t>
        </is>
      </c>
      <c r="K1091" s="256" t="inlineStr">
        <is>
          <t>1 × 10³</t>
        </is>
      </c>
      <c r="L1091" s="256" t="inlineStr">
        <is>
          <t>77/0120/26</t>
        </is>
      </c>
      <c r="M1091" s="256" t="inlineStr">
        <is>
          <t>09.02.2026</t>
        </is>
      </c>
      <c r="N1091" s="256" t="inlineStr">
        <is>
          <t>IPH — Institute of Public Health</t>
        </is>
      </c>
      <c r="O1091" s="256" t="inlineStr">
        <is>
          <t>—</t>
        </is>
      </c>
      <c r="P1091" s="256" t="inlineStr">
        <is>
          <t>covered</t>
        </is>
      </c>
      <c r="Q1091" s="256" t="inlineStr"/>
      <c r="R1091" s="256" t="inlineStr"/>
    </row>
    <row r="1092">
      <c r="A1092" s="256" t="inlineStr">
        <is>
          <t>CoQ-PP_26-048</t>
        </is>
      </c>
      <c r="B1092" s="256" t="inlineStr">
        <is>
          <t>release</t>
        </is>
      </c>
      <c r="C1092" s="256" t="inlineStr">
        <is>
          <t>ACC102501</t>
        </is>
      </c>
      <c r="D1092" s="256" t="inlineStr">
        <is>
          <t>P060122</t>
        </is>
      </c>
      <c r="E1092" s="256" t="inlineStr">
        <is>
          <t>Amnesia Core Cut</t>
        </is>
      </c>
      <c r="F1092" s="256" t="inlineStr">
        <is>
          <t>06.06.2026</t>
        </is>
      </c>
      <c r="G1092" s="256" t="inlineStr">
        <is>
          <t>9.2</t>
        </is>
      </c>
      <c r="H1092" s="256" t="inlineStr">
        <is>
          <t>TYMC</t>
        </is>
      </c>
      <c r="I1092" s="256" t="inlineStr">
        <is>
          <t>Ph. Eur. 2.6.12 cat. C</t>
        </is>
      </c>
      <c r="J1092" s="256" t="inlineStr">
        <is>
          <t>≤ 10⁴ CFU/g</t>
        </is>
      </c>
      <c r="K1092" s="256" t="inlineStr">
        <is>
          <t>1.6 × 10³</t>
        </is>
      </c>
      <c r="L1092" s="256" t="inlineStr">
        <is>
          <t>77/0120/26</t>
        </is>
      </c>
      <c r="M1092" s="256" t="inlineStr">
        <is>
          <t>09.02.2026</t>
        </is>
      </c>
      <c r="N1092" s="256" t="inlineStr">
        <is>
          <t>IPH — Institute of Public Health</t>
        </is>
      </c>
      <c r="O1092" s="256" t="inlineStr">
        <is>
          <t>—</t>
        </is>
      </c>
      <c r="P1092" s="256" t="inlineStr">
        <is>
          <t>covered</t>
        </is>
      </c>
      <c r="Q1092" s="256" t="inlineStr"/>
      <c r="R1092" s="256" t="inlineStr"/>
    </row>
    <row r="1093">
      <c r="A1093" s="256" t="inlineStr">
        <is>
          <t>CoQ-PP_26-048</t>
        </is>
      </c>
      <c r="B1093" s="256" t="inlineStr">
        <is>
          <t>release</t>
        </is>
      </c>
      <c r="C1093" s="256" t="inlineStr">
        <is>
          <t>ACC102501</t>
        </is>
      </c>
      <c r="D1093" s="256" t="inlineStr">
        <is>
          <t>P060122</t>
        </is>
      </c>
      <c r="E1093" s="256" t="inlineStr">
        <is>
          <t>Amnesia Core Cut</t>
        </is>
      </c>
      <c r="F1093" s="256" t="inlineStr">
        <is>
          <t>06.06.2026</t>
        </is>
      </c>
      <c r="G1093" s="256" t="inlineStr">
        <is>
          <t>9.3</t>
        </is>
      </c>
      <c r="H1093" s="256" t="inlineStr">
        <is>
          <t>Bile-tolerant gram-neg.</t>
        </is>
      </c>
      <c r="I1093" s="256" t="inlineStr">
        <is>
          <t>Ph. Eur. 2.6.31 cat. C</t>
        </is>
      </c>
      <c r="J1093" s="256" t="inlineStr">
        <is>
          <t>≤ 10⁴ CFU/g</t>
        </is>
      </c>
      <c r="K1093" s="256" t="inlineStr">
        <is>
          <t>&lt; 10</t>
        </is>
      </c>
      <c r="L1093" s="256" t="inlineStr">
        <is>
          <t>77/0120/26</t>
        </is>
      </c>
      <c r="M1093" s="256" t="inlineStr">
        <is>
          <t>09.02.2026</t>
        </is>
      </c>
      <c r="N1093" s="256" t="inlineStr">
        <is>
          <t>IPH — Institute of Public Health</t>
        </is>
      </c>
      <c r="O1093" s="256" t="inlineStr">
        <is>
          <t>—</t>
        </is>
      </c>
      <c r="P1093" s="256" t="inlineStr">
        <is>
          <t>covered</t>
        </is>
      </c>
      <c r="Q1093" s="256" t="inlineStr"/>
      <c r="R1093" s="256" t="inlineStr"/>
    </row>
    <row r="1094">
      <c r="A1094" s="256" t="inlineStr">
        <is>
          <t>CoQ-PP_26-048</t>
        </is>
      </c>
      <c r="B1094" s="256" t="inlineStr">
        <is>
          <t>release</t>
        </is>
      </c>
      <c r="C1094" s="256" t="inlineStr">
        <is>
          <t>ACC102501</t>
        </is>
      </c>
      <c r="D1094" s="256" t="inlineStr">
        <is>
          <t>P060122</t>
        </is>
      </c>
      <c r="E1094" s="256" t="inlineStr">
        <is>
          <t>Amnesia Core Cut</t>
        </is>
      </c>
      <c r="F1094" s="256" t="inlineStr">
        <is>
          <t>06.06.2026</t>
        </is>
      </c>
      <c r="G1094" s="256" t="inlineStr">
        <is>
          <t>9.4</t>
        </is>
      </c>
      <c r="H1094" s="256" t="inlineStr">
        <is>
          <t>Salmonella</t>
        </is>
      </c>
      <c r="I1094" s="256" t="inlineStr">
        <is>
          <t>Ph. Eur. 2.6.31 cat. C</t>
        </is>
      </c>
      <c r="J1094" s="256" t="inlineStr">
        <is>
          <t>Absence | Отсуство / 25 g</t>
        </is>
      </c>
      <c r="K1094" s="256" t="inlineStr">
        <is>
          <t>Absent | Отсутна</t>
        </is>
      </c>
      <c r="L1094" s="256" t="inlineStr">
        <is>
          <t>77/0120/26</t>
        </is>
      </c>
      <c r="M1094" s="256" t="inlineStr">
        <is>
          <t>09.02.2026</t>
        </is>
      </c>
      <c r="N1094" s="256" t="inlineStr">
        <is>
          <t>IPH — Institute of Public Health</t>
        </is>
      </c>
      <c r="O1094" s="256" t="inlineStr">
        <is>
          <t>—</t>
        </is>
      </c>
      <c r="P1094" s="256" t="inlineStr">
        <is>
          <t>covered</t>
        </is>
      </c>
      <c r="Q1094" s="256" t="inlineStr"/>
      <c r="R1094" s="256" t="inlineStr"/>
    </row>
    <row r="1095">
      <c r="A1095" s="256" t="inlineStr">
        <is>
          <t>CoQ-PP_26-048</t>
        </is>
      </c>
      <c r="B1095" s="256" t="inlineStr">
        <is>
          <t>release</t>
        </is>
      </c>
      <c r="C1095" s="256" t="inlineStr">
        <is>
          <t>ACC102501</t>
        </is>
      </c>
      <c r="D1095" s="256" t="inlineStr">
        <is>
          <t>P060122</t>
        </is>
      </c>
      <c r="E1095" s="256" t="inlineStr">
        <is>
          <t>Amnesia Core Cut</t>
        </is>
      </c>
      <c r="F1095" s="256" t="inlineStr">
        <is>
          <t>06.06.2026</t>
        </is>
      </c>
      <c r="G1095" s="256" t="inlineStr">
        <is>
          <t>9.5</t>
        </is>
      </c>
      <c r="H1095" s="256" t="inlineStr">
        <is>
          <t>Escherichia coli</t>
        </is>
      </c>
      <c r="I1095" s="256" t="inlineStr">
        <is>
          <t>Ph. Eur. 2.6.13 cat. C</t>
        </is>
      </c>
      <c r="J1095" s="256" t="inlineStr">
        <is>
          <t>Absence | Отсуство / 1 g</t>
        </is>
      </c>
      <c r="K1095" s="256" t="inlineStr">
        <is>
          <t>Absent | Отсутна</t>
        </is>
      </c>
      <c r="L1095" s="256" t="inlineStr">
        <is>
          <t>77/0120/26</t>
        </is>
      </c>
      <c r="M1095" s="256" t="inlineStr">
        <is>
          <t>09.02.2026</t>
        </is>
      </c>
      <c r="N1095" s="256" t="inlineStr">
        <is>
          <t>IPH — Institute of Public Health</t>
        </is>
      </c>
      <c r="O1095" s="256" t="inlineStr">
        <is>
          <t>—</t>
        </is>
      </c>
      <c r="P1095" s="256" t="inlineStr">
        <is>
          <t>covered</t>
        </is>
      </c>
      <c r="Q1095" s="256" t="inlineStr"/>
      <c r="R1095" s="256" t="inlineStr"/>
    </row>
    <row r="1096">
      <c r="A1096" s="256" t="inlineStr">
        <is>
          <t>CoQ-PP_26-048</t>
        </is>
      </c>
      <c r="B1096" s="256" t="inlineStr">
        <is>
          <t>release</t>
        </is>
      </c>
      <c r="C1096" s="256" t="inlineStr">
        <is>
          <t>ACC102501</t>
        </is>
      </c>
      <c r="D1096" s="256" t="inlineStr">
        <is>
          <t>P060122</t>
        </is>
      </c>
      <c r="E1096" s="256" t="inlineStr">
        <is>
          <t>Amnesia Core Cut</t>
        </is>
      </c>
      <c r="F1096" s="256" t="inlineStr">
        <is>
          <t>06.06.2026</t>
        </is>
      </c>
      <c r="G1096" s="256" t="inlineStr">
        <is>
          <t>9.6</t>
        </is>
      </c>
      <c r="H1096" s="256" t="inlineStr">
        <is>
          <t>Pseudomonas aeruginosa</t>
        </is>
      </c>
      <c r="I1096" s="256" t="inlineStr">
        <is>
          <t>Ph. Eur. 2.6.13 cat. C</t>
        </is>
      </c>
      <c r="J1096" s="256" t="inlineStr">
        <is>
          <t>Absence | Отсуство / 1 g</t>
        </is>
      </c>
      <c r="K1096" s="260" t="inlineStr">
        <is>
          <t>upon request — not required for release</t>
        </is>
      </c>
      <c r="L1096" s="256" t="inlineStr">
        <is>
          <t>—</t>
        </is>
      </c>
      <c r="M1096" s="256" t="inlineStr">
        <is>
          <t>—</t>
        </is>
      </c>
      <c r="N1096" s="256" t="inlineStr">
        <is>
          <t>—</t>
        </is>
      </c>
      <c r="O1096" s="256" t="inlineStr">
        <is>
          <t>—</t>
        </is>
      </c>
      <c r="P1096" s="256" t="inlineStr">
        <is>
          <t>upon request — not required for release</t>
        </is>
      </c>
      <c r="Q1096" s="256" t="inlineStr"/>
      <c r="R1096" s="256" t="inlineStr"/>
    </row>
    <row r="1097">
      <c r="A1097" s="256" t="inlineStr">
        <is>
          <t>CoQ-PP_26-048</t>
        </is>
      </c>
      <c r="B1097" s="256" t="inlineStr">
        <is>
          <t>release</t>
        </is>
      </c>
      <c r="C1097" s="256" t="inlineStr">
        <is>
          <t>ACC102501</t>
        </is>
      </c>
      <c r="D1097" s="256" t="inlineStr">
        <is>
          <t>P060122</t>
        </is>
      </c>
      <c r="E1097" s="256" t="inlineStr">
        <is>
          <t>Amnesia Core Cut</t>
        </is>
      </c>
      <c r="F1097" s="256" t="inlineStr">
        <is>
          <t>06.06.2026</t>
        </is>
      </c>
      <c r="G1097" s="256" t="inlineStr">
        <is>
          <t>9.7</t>
        </is>
      </c>
      <c r="H1097" s="256" t="inlineStr">
        <is>
          <t>Staphylococcus aureus</t>
        </is>
      </c>
      <c r="I1097" s="256" t="inlineStr">
        <is>
          <t>Ph. Eur. 2.6.13 cat. C</t>
        </is>
      </c>
      <c r="J1097" s="256" t="inlineStr">
        <is>
          <t>Absence | Отсуство / 1 g</t>
        </is>
      </c>
      <c r="K1097" s="260" t="inlineStr">
        <is>
          <t>upon request — not required for release</t>
        </is>
      </c>
      <c r="L1097" s="256" t="inlineStr">
        <is>
          <t>—</t>
        </is>
      </c>
      <c r="M1097" s="256" t="inlineStr">
        <is>
          <t>—</t>
        </is>
      </c>
      <c r="N1097" s="256" t="inlineStr">
        <is>
          <t>—</t>
        </is>
      </c>
      <c r="O1097" s="256" t="inlineStr">
        <is>
          <t>—</t>
        </is>
      </c>
      <c r="P1097" s="256" t="inlineStr">
        <is>
          <t>upon request — not required for release</t>
        </is>
      </c>
      <c r="Q1097" s="256" t="inlineStr"/>
      <c r="R1097" s="256" t="inlineStr"/>
    </row>
    <row r="1098">
      <c r="A1098" s="256" t="inlineStr">
        <is>
          <t>CoQ-PP_26-048</t>
        </is>
      </c>
      <c r="B1098" s="256" t="inlineStr">
        <is>
          <t>release</t>
        </is>
      </c>
      <c r="C1098" s="256" t="inlineStr">
        <is>
          <t>ACC102501</t>
        </is>
      </c>
      <c r="D1098" s="256" t="inlineStr">
        <is>
          <t>P060122</t>
        </is>
      </c>
      <c r="E1098" s="256" t="inlineStr">
        <is>
          <t>Amnesia Core Cut</t>
        </is>
      </c>
      <c r="F1098" s="256" t="inlineStr">
        <is>
          <t>06.06.2026</t>
        </is>
      </c>
      <c r="G1098" s="256" t="inlineStr">
        <is>
          <t>10.1</t>
        </is>
      </c>
      <c r="H1098" s="256" t="inlineStr">
        <is>
          <t>Aflatoxin B₁</t>
        </is>
      </c>
      <c r="I1098" s="256" t="inlineStr">
        <is>
          <t>Ph. Eur. 2.8.18 (HPLC-FLD)</t>
        </is>
      </c>
      <c r="J1098" s="256" t="inlineStr">
        <is>
          <t>≤ 2 µg/kg</t>
        </is>
      </c>
      <c r="K1098" s="259" t="inlineStr">
        <is>
          <t>not tested</t>
        </is>
      </c>
      <c r="L1098" s="256" t="inlineStr">
        <is>
          <t>—</t>
        </is>
      </c>
      <c r="M1098" s="256" t="inlineStr">
        <is>
          <t>—</t>
        </is>
      </c>
      <c r="N1098" s="256" t="inlineStr">
        <is>
          <t>—</t>
        </is>
      </c>
      <c r="O1098" s="256" t="inlineStr">
        <is>
          <t>—</t>
        </is>
      </c>
      <c r="P1098" s="256" t="inlineStr">
        <is>
          <t>not tested — no certificate covers it</t>
        </is>
      </c>
      <c r="Q1098" s="256" t="inlineStr"/>
      <c r="R1098" s="256" t="inlineStr">
        <is>
          <t>ND (220-1-М/26)</t>
        </is>
      </c>
    </row>
    <row r="1099">
      <c r="A1099" s="256" t="inlineStr">
        <is>
          <t>CoQ-PP_26-048</t>
        </is>
      </c>
      <c r="B1099" s="256" t="inlineStr">
        <is>
          <t>release</t>
        </is>
      </c>
      <c r="C1099" s="256" t="inlineStr">
        <is>
          <t>ACC102501</t>
        </is>
      </c>
      <c r="D1099" s="256" t="inlineStr">
        <is>
          <t>P060122</t>
        </is>
      </c>
      <c r="E1099" s="256" t="inlineStr">
        <is>
          <t>Amnesia Core Cut</t>
        </is>
      </c>
      <c r="F1099" s="256" t="inlineStr">
        <is>
          <t>06.06.2026</t>
        </is>
      </c>
      <c r="G1099" s="256" t="inlineStr">
        <is>
          <t>10.2</t>
        </is>
      </c>
      <c r="H1099" s="256" t="inlineStr">
        <is>
          <t>Aflatoxins ∑</t>
        </is>
      </c>
      <c r="I1099" s="256" t="inlineStr">
        <is>
          <t>Ph. Eur. 2.8.18 (HPLC-FLD)</t>
        </is>
      </c>
      <c r="J1099" s="256" t="inlineStr">
        <is>
          <t>≤ 4 µg/kg</t>
        </is>
      </c>
      <c r="K1099" s="256" t="inlineStr">
        <is>
          <t>2.3</t>
        </is>
      </c>
      <c r="L1099" s="256" t="inlineStr">
        <is>
          <t>326/2026</t>
        </is>
      </c>
      <c r="M1099" s="256" t="inlineStr">
        <is>
          <t>11.02.2026</t>
        </is>
      </c>
      <c r="N1099" s="256" t="inlineStr">
        <is>
          <t>IPH — Institute of Public Health</t>
        </is>
      </c>
      <c r="O1099" s="256" t="inlineStr">
        <is>
          <t>—</t>
        </is>
      </c>
      <c r="P1099" s="256" t="inlineStr">
        <is>
          <t>covered</t>
        </is>
      </c>
      <c r="Q1099" s="256" t="inlineStr"/>
      <c r="R1099" s="256" t="inlineStr">
        <is>
          <t>ND (220-1-М/26)</t>
        </is>
      </c>
    </row>
    <row r="1100">
      <c r="A1100" s="256" t="inlineStr">
        <is>
          <t>CoQ-PP_26-048</t>
        </is>
      </c>
      <c r="B1100" s="256" t="inlineStr">
        <is>
          <t>release</t>
        </is>
      </c>
      <c r="C1100" s="256" t="inlineStr">
        <is>
          <t>ACC102501</t>
        </is>
      </c>
      <c r="D1100" s="256" t="inlineStr">
        <is>
          <t>P060122</t>
        </is>
      </c>
      <c r="E1100" s="256" t="inlineStr">
        <is>
          <t>Amnesia Core Cut</t>
        </is>
      </c>
      <c r="F1100" s="256" t="inlineStr">
        <is>
          <t>06.06.2026</t>
        </is>
      </c>
      <c r="G1100" s="256" t="inlineStr">
        <is>
          <t>10.3</t>
        </is>
      </c>
      <c r="H1100" s="256" t="inlineStr">
        <is>
          <t>Ochratoxin A</t>
        </is>
      </c>
      <c r="I1100" s="256" t="inlineStr">
        <is>
          <t>Ph. Eur. 2.8.22 (HPLC-FLD)</t>
        </is>
      </c>
      <c r="J1100" s="256" t="inlineStr">
        <is>
          <t>≤ 20 µg/kg</t>
        </is>
      </c>
      <c r="K1100" s="259" t="inlineStr">
        <is>
          <t>not tested</t>
        </is>
      </c>
      <c r="L1100" s="256" t="inlineStr">
        <is>
          <t>—</t>
        </is>
      </c>
      <c r="M1100" s="256" t="inlineStr">
        <is>
          <t>—</t>
        </is>
      </c>
      <c r="N1100" s="256" t="inlineStr">
        <is>
          <t>—</t>
        </is>
      </c>
      <c r="O1100" s="256" t="inlineStr">
        <is>
          <t>—</t>
        </is>
      </c>
      <c r="P1100" s="256" t="inlineStr">
        <is>
          <t>not tested — no certificate covers it</t>
        </is>
      </c>
      <c r="Q1100" s="256" t="inlineStr"/>
      <c r="R1100" s="256" t="inlineStr">
        <is>
          <t>ND (220-1-М/26)</t>
        </is>
      </c>
    </row>
    <row r="1101">
      <c r="A1101" s="256" t="inlineStr">
        <is>
          <t>CoQ-PP_26-048</t>
        </is>
      </c>
      <c r="B1101" s="256" t="inlineStr">
        <is>
          <t>release</t>
        </is>
      </c>
      <c r="C1101" s="256" t="inlineStr">
        <is>
          <t>ACC102501</t>
        </is>
      </c>
      <c r="D1101" s="256" t="inlineStr">
        <is>
          <t>P060122</t>
        </is>
      </c>
      <c r="E1101" s="256" t="inlineStr">
        <is>
          <t>Amnesia Core Cut</t>
        </is>
      </c>
      <c r="F1101" s="256" t="inlineStr">
        <is>
          <t>06.06.2026</t>
        </is>
      </c>
      <c r="G1101" s="256" t="inlineStr">
        <is>
          <t>11.1</t>
        </is>
      </c>
      <c r="H1101" s="256" t="inlineStr">
        <is>
          <t>Lead (Pb)</t>
        </is>
      </c>
      <c r="I1101" s="256" t="inlineStr">
        <is>
          <t>Ph. Eur. 2.4.27 (ICP-MS)</t>
        </is>
      </c>
      <c r="J1101" s="256" t="inlineStr">
        <is>
          <t>≤ 0.5 mg/kg</t>
        </is>
      </c>
      <c r="K1101" s="256" t="inlineStr">
        <is>
          <t>0.078</t>
        </is>
      </c>
      <c r="L1101" s="256" t="inlineStr">
        <is>
          <t>326/2026</t>
        </is>
      </c>
      <c r="M1101" s="256" t="inlineStr">
        <is>
          <t>11.02.2026</t>
        </is>
      </c>
      <c r="N1101" s="256" t="inlineStr">
        <is>
          <t>IPH — Institute of Public Health</t>
        </is>
      </c>
      <c r="O1101" s="256" t="inlineStr">
        <is>
          <t>—</t>
        </is>
      </c>
      <c r="P1101" s="256" t="inlineStr">
        <is>
          <t>covered</t>
        </is>
      </c>
      <c r="Q1101" s="256" t="inlineStr"/>
      <c r="R1101" s="256" t="inlineStr"/>
    </row>
    <row r="1102">
      <c r="A1102" s="256" t="inlineStr">
        <is>
          <t>CoQ-PP_26-048</t>
        </is>
      </c>
      <c r="B1102" s="256" t="inlineStr">
        <is>
          <t>release</t>
        </is>
      </c>
      <c r="C1102" s="256" t="inlineStr">
        <is>
          <t>ACC102501</t>
        </is>
      </c>
      <c r="D1102" s="256" t="inlineStr">
        <is>
          <t>P060122</t>
        </is>
      </c>
      <c r="E1102" s="256" t="inlineStr">
        <is>
          <t>Amnesia Core Cut</t>
        </is>
      </c>
      <c r="F1102" s="256" t="inlineStr">
        <is>
          <t>06.06.2026</t>
        </is>
      </c>
      <c r="G1102" s="256" t="inlineStr">
        <is>
          <t>11.2</t>
        </is>
      </c>
      <c r="H1102" s="256" t="inlineStr">
        <is>
          <t>Cadmium (Cd)</t>
        </is>
      </c>
      <c r="I1102" s="256" t="inlineStr">
        <is>
          <t>Ph. Eur. 2.4.27 (ICP-MS)</t>
        </is>
      </c>
      <c r="J1102" s="256" t="inlineStr">
        <is>
          <t>≤ 0.3 mg/kg</t>
        </is>
      </c>
      <c r="K1102" s="256" t="inlineStr">
        <is>
          <t>ND</t>
        </is>
      </c>
      <c r="L1102" s="256" t="inlineStr">
        <is>
          <t>326/2026</t>
        </is>
      </c>
      <c r="M1102" s="256" t="inlineStr">
        <is>
          <t>11.02.2026</t>
        </is>
      </c>
      <c r="N1102" s="256" t="inlineStr">
        <is>
          <t>IPH — Institute of Public Health</t>
        </is>
      </c>
      <c r="O1102" s="256" t="inlineStr">
        <is>
          <t>—</t>
        </is>
      </c>
      <c r="P1102" s="256" t="inlineStr">
        <is>
          <t>covered</t>
        </is>
      </c>
      <c r="Q1102" s="256" t="inlineStr"/>
      <c r="R1102" s="256" t="inlineStr"/>
    </row>
    <row r="1103">
      <c r="A1103" s="256" t="inlineStr">
        <is>
          <t>CoQ-PP_26-048</t>
        </is>
      </c>
      <c r="B1103" s="256" t="inlineStr">
        <is>
          <t>release</t>
        </is>
      </c>
      <c r="C1103" s="256" t="inlineStr">
        <is>
          <t>ACC102501</t>
        </is>
      </c>
      <c r="D1103" s="256" t="inlineStr">
        <is>
          <t>P060122</t>
        </is>
      </c>
      <c r="E1103" s="256" t="inlineStr">
        <is>
          <t>Amnesia Core Cut</t>
        </is>
      </c>
      <c r="F1103" s="256" t="inlineStr">
        <is>
          <t>06.06.2026</t>
        </is>
      </c>
      <c r="G1103" s="256" t="inlineStr">
        <is>
          <t>11.3</t>
        </is>
      </c>
      <c r="H1103" s="256" t="inlineStr">
        <is>
          <t>Arsenic (As)</t>
        </is>
      </c>
      <c r="I1103" s="256" t="inlineStr">
        <is>
          <t>Ph. Eur. 2.4.27 (ICP-MS)</t>
        </is>
      </c>
      <c r="J1103" s="256" t="inlineStr">
        <is>
          <t>≤ 0.2 mg/kg</t>
        </is>
      </c>
      <c r="K1103" s="256" t="inlineStr">
        <is>
          <t>0.022</t>
        </is>
      </c>
      <c r="L1103" s="256" t="inlineStr">
        <is>
          <t>326/2026</t>
        </is>
      </c>
      <c r="M1103" s="256" t="inlineStr">
        <is>
          <t>11.02.2026</t>
        </is>
      </c>
      <c r="N1103" s="256" t="inlineStr">
        <is>
          <t>IPH — Institute of Public Health</t>
        </is>
      </c>
      <c r="O1103" s="256" t="inlineStr">
        <is>
          <t>—</t>
        </is>
      </c>
      <c r="P1103" s="256" t="inlineStr">
        <is>
          <t>covered</t>
        </is>
      </c>
      <c r="Q1103" s="256" t="inlineStr"/>
      <c r="R1103" s="256" t="inlineStr"/>
    </row>
    <row r="1104">
      <c r="A1104" s="256" t="inlineStr">
        <is>
          <t>CoQ-PP_26-048</t>
        </is>
      </c>
      <c r="B1104" s="256" t="inlineStr">
        <is>
          <t>release</t>
        </is>
      </c>
      <c r="C1104" s="256" t="inlineStr">
        <is>
          <t>ACC102501</t>
        </is>
      </c>
      <c r="D1104" s="256" t="inlineStr">
        <is>
          <t>P060122</t>
        </is>
      </c>
      <c r="E1104" s="256" t="inlineStr">
        <is>
          <t>Amnesia Core Cut</t>
        </is>
      </c>
      <c r="F1104" s="256" t="inlineStr">
        <is>
          <t>06.06.2026</t>
        </is>
      </c>
      <c r="G1104" s="256" t="inlineStr">
        <is>
          <t>11.4</t>
        </is>
      </c>
      <c r="H1104" s="256" t="inlineStr">
        <is>
          <t>Mercury (Hg)</t>
        </is>
      </c>
      <c r="I1104" s="256" t="inlineStr">
        <is>
          <t>Ph. Eur. 2.4.27 (ICP-MS)</t>
        </is>
      </c>
      <c r="J1104" s="256" t="inlineStr">
        <is>
          <t>≤ 0.1 mg/kg</t>
        </is>
      </c>
      <c r="K1104" s="256" t="inlineStr">
        <is>
          <t>ND</t>
        </is>
      </c>
      <c r="L1104" s="256" t="inlineStr">
        <is>
          <t>326/2026</t>
        </is>
      </c>
      <c r="M1104" s="256" t="inlineStr">
        <is>
          <t>11.02.2026</t>
        </is>
      </c>
      <c r="N1104" s="256" t="inlineStr">
        <is>
          <t>IPH — Institute of Public Health</t>
        </is>
      </c>
      <c r="O1104" s="256" t="inlineStr">
        <is>
          <t>—</t>
        </is>
      </c>
      <c r="P1104" s="256" t="inlineStr">
        <is>
          <t>covered</t>
        </is>
      </c>
      <c r="Q1104" s="256" t="inlineStr"/>
      <c r="R1104" s="256" t="inlineStr"/>
    </row>
    <row r="1105">
      <c r="A1105" s="256" t="inlineStr">
        <is>
          <t>CoQ-PP_26-048</t>
        </is>
      </c>
      <c r="B1105" s="256" t="inlineStr">
        <is>
          <t>release</t>
        </is>
      </c>
      <c r="C1105" s="256" t="inlineStr">
        <is>
          <t>ACC102501</t>
        </is>
      </c>
      <c r="D1105" s="256" t="inlineStr">
        <is>
          <t>P060122</t>
        </is>
      </c>
      <c r="E1105" s="256" t="inlineStr">
        <is>
          <t>Amnesia Core Cut</t>
        </is>
      </c>
      <c r="F1105" s="256" t="inlineStr">
        <is>
          <t>06.06.2026</t>
        </is>
      </c>
      <c r="G1105" s="256" t="inlineStr">
        <is>
          <t>12</t>
        </is>
      </c>
      <c r="H1105" s="256" t="inlineStr">
        <is>
          <t>Pesticide Residues</t>
        </is>
      </c>
      <c r="I1105" s="256" t="inlineStr">
        <is>
          <t>Ph. Eur. 2.8.13 (LC-MS/MS) · CUMCS Equivalency</t>
        </is>
      </c>
      <c r="J1105" s="256" t="inlineStr">
        <is>
          <t>≤ LOQ as per Ph. Eur. 2.8.13 · ≤ LOQ as per CUMCS Equivalency</t>
        </is>
      </c>
      <c r="K1105" s="256" t="inlineStr">
        <is>
          <t>ND mg/kg — all 25 residues</t>
        </is>
      </c>
      <c r="L1105" s="256" t="inlineStr">
        <is>
          <t>326/2026</t>
        </is>
      </c>
      <c r="M1105" s="256" t="inlineStr">
        <is>
          <t>11.02.2026</t>
        </is>
      </c>
      <c r="N1105" s="256" t="inlineStr">
        <is>
          <t>IJZ</t>
        </is>
      </c>
      <c r="O1105" s="256" t="inlineStr">
        <is>
          <t>—</t>
        </is>
      </c>
      <c r="P1105" s="256" t="inlineStr">
        <is>
          <t>covered</t>
        </is>
      </c>
      <c r="Q1105" s="256" t="inlineStr"/>
      <c r="R1105" s="256" t="inlineStr"/>
    </row>
    <row r="1106">
      <c r="A1106" s="256" t="inlineStr">
        <is>
          <t>CoQ-PP_26-049</t>
        </is>
      </c>
      <c r="B1106" s="256" t="inlineStr">
        <is>
          <t>release</t>
        </is>
      </c>
      <c r="C1106" s="256" t="inlineStr">
        <is>
          <t>CF102501</t>
        </is>
      </c>
      <c r="D1106" s="256" t="inlineStr">
        <is>
          <t>P060132</t>
        </is>
      </c>
      <c r="E1106" s="256" t="inlineStr">
        <is>
          <t>Chem Flyer</t>
        </is>
      </c>
      <c r="F1106" s="256" t="inlineStr">
        <is>
          <t>06.06.2026</t>
        </is>
      </c>
      <c r="G1106" s="256" t="inlineStr">
        <is>
          <t>1</t>
        </is>
      </c>
      <c r="H1106" s="256" t="inlineStr">
        <is>
          <t>Identification A, Appearance · Macroscopic</t>
        </is>
      </c>
      <c r="I1106" s="256" t="inlineStr">
        <is>
          <t>Ph. Eur. mon. 3028</t>
        </is>
      </c>
      <c r="J1106" s="256" t="inlineStr">
        <is>
          <t>Conforms to the monograph for Cannabis flos (07/2024:3028) in Ph. Eur. 11.0 | Согласно монографија за Cannabis flos (07/2024:3028) во Ph. Eur. 11.0</t>
        </is>
      </c>
      <c r="K1106" s="256" t="inlineStr">
        <is>
          <t>Conforms | Одговара</t>
        </is>
      </c>
      <c r="L1106" s="256" t="inlineStr">
        <is>
          <t>iCoA-PP_26-048</t>
        </is>
      </c>
      <c r="M1106" s="256" t="inlineStr">
        <is>
          <t>03.06.2026</t>
        </is>
      </c>
      <c r="N1106" s="256" t="inlineStr">
        <is>
          <t>Purely Plant GmbH (in-house)</t>
        </is>
      </c>
      <c r="O1106" s="256" t="inlineStr">
        <is>
          <t>—</t>
        </is>
      </c>
      <c r="P1106" s="256" t="inlineStr">
        <is>
          <t>to be performed — see route</t>
        </is>
      </c>
      <c r="Q1106" s="256" t="inlineStr">
        <is>
          <t>Purely Plant laboratory — iCoA covering Ident A + B</t>
        </is>
      </c>
      <c r="R1106" s="256" t="inlineStr"/>
    </row>
    <row r="1107">
      <c r="A1107" s="256" t="inlineStr">
        <is>
          <t>CoQ-PP_26-049</t>
        </is>
      </c>
      <c r="B1107" s="256" t="inlineStr">
        <is>
          <t>release</t>
        </is>
      </c>
      <c r="C1107" s="256" t="inlineStr">
        <is>
          <t>CF102501</t>
        </is>
      </c>
      <c r="D1107" s="256" t="inlineStr">
        <is>
          <t>P060132</t>
        </is>
      </c>
      <c r="E1107" s="256" t="inlineStr">
        <is>
          <t>Chem Flyer</t>
        </is>
      </c>
      <c r="F1107" s="256" t="inlineStr">
        <is>
          <t>06.06.2026</t>
        </is>
      </c>
      <c r="G1107" s="256" t="inlineStr">
        <is>
          <t>2</t>
        </is>
      </c>
      <c r="H1107" s="256" t="inlineStr">
        <is>
          <t>Identification B · Microscopic</t>
        </is>
      </c>
      <c r="I1107" s="256" t="inlineStr">
        <is>
          <t>Ph. Eur. 2.8.23 (microscopy)</t>
        </is>
      </c>
      <c r="J1107" s="256" t="inlineStr">
        <is>
          <t>Conforms to the monograph for Cannabis flos (07/2024:3028) in Ph. Eur. 11.0 | Согласно монографија за Cannabis flos (07/2024:3028) во Ph. Eur. 11.0</t>
        </is>
      </c>
      <c r="K1107" s="256" t="inlineStr">
        <is>
          <t>Conforms | Одговара</t>
        </is>
      </c>
      <c r="L1107" s="256" t="inlineStr">
        <is>
          <t>iCoA-PP_26-048</t>
        </is>
      </c>
      <c r="M1107" s="256" t="inlineStr">
        <is>
          <t>03.06.2026</t>
        </is>
      </c>
      <c r="N1107" s="256" t="inlineStr">
        <is>
          <t>Purely Plant GmbH (in-house)</t>
        </is>
      </c>
      <c r="O1107" s="256" t="inlineStr">
        <is>
          <t>—</t>
        </is>
      </c>
      <c r="P1107" s="256" t="inlineStr">
        <is>
          <t>to be performed — see route</t>
        </is>
      </c>
      <c r="Q1107" s="256" t="inlineStr">
        <is>
          <t>Purely Plant laboratory — iCoA covering Ident A + B</t>
        </is>
      </c>
      <c r="R1107" s="256" t="inlineStr"/>
    </row>
    <row r="1108">
      <c r="A1108" s="256" t="inlineStr">
        <is>
          <t>CoQ-PP_26-049</t>
        </is>
      </c>
      <c r="B1108" s="256" t="inlineStr">
        <is>
          <t>release</t>
        </is>
      </c>
      <c r="C1108" s="256" t="inlineStr">
        <is>
          <t>CF102501</t>
        </is>
      </c>
      <c r="D1108" s="256" t="inlineStr">
        <is>
          <t>P060132</t>
        </is>
      </c>
      <c r="E1108" s="256" t="inlineStr">
        <is>
          <t>Chem Flyer</t>
        </is>
      </c>
      <c r="F1108" s="256" t="inlineStr">
        <is>
          <t>06.06.2026</t>
        </is>
      </c>
      <c r="G1108" s="256" t="inlineStr">
        <is>
          <t>3</t>
        </is>
      </c>
      <c r="H1108" s="256" t="inlineStr">
        <is>
          <t>Identification C · HPLC/HPTLC</t>
        </is>
      </c>
      <c r="I1108" s="256" t="inlineStr">
        <is>
          <t>Ph. Eur. 2.2.29 (3028)</t>
        </is>
      </c>
      <c r="J1108" s="256" t="inlineStr">
        <is>
          <t>Conforms to the monograph for Cannabis flos (07/2024:3028) in Ph. Eur. 11.0 | Согласно монографија за Cannabis flos (07/2024:3028) во Ph. Eur. 11.0</t>
        </is>
      </c>
      <c r="K1108" s="256" t="inlineStr">
        <is>
          <t>identity by the HPLC cannabinoid profile on this certificate</t>
        </is>
      </c>
      <c r="L1108" s="256" t="inlineStr">
        <is>
          <t>031-4-К/26</t>
        </is>
      </c>
      <c r="M1108" s="256" t="inlineStr">
        <is>
          <t>10.02.2026</t>
        </is>
      </c>
      <c r="N1108" s="256" t="inlineStr">
        <is>
          <t>FHM</t>
        </is>
      </c>
      <c r="O1108" s="256" t="inlineStr">
        <is>
          <t>—</t>
        </is>
      </c>
      <c r="P1108" s="256" t="inlineStr">
        <is>
          <t>covered</t>
        </is>
      </c>
      <c r="Q1108" s="256" t="inlineStr"/>
      <c r="R1108" s="256" t="inlineStr"/>
    </row>
    <row r="1109">
      <c r="A1109" s="256" t="inlineStr">
        <is>
          <t>CoQ-PP_26-049</t>
        </is>
      </c>
      <c r="B1109" s="256" t="inlineStr">
        <is>
          <t>release</t>
        </is>
      </c>
      <c r="C1109" s="256" t="inlineStr">
        <is>
          <t>CF102501</t>
        </is>
      </c>
      <c r="D1109" s="256" t="inlineStr">
        <is>
          <t>P060132</t>
        </is>
      </c>
      <c r="E1109" s="256" t="inlineStr">
        <is>
          <t>Chem Flyer</t>
        </is>
      </c>
      <c r="F1109" s="256" t="inlineStr">
        <is>
          <t>06.06.2026</t>
        </is>
      </c>
      <c r="G1109" s="256" t="inlineStr">
        <is>
          <t>4</t>
        </is>
      </c>
      <c r="H1109" s="256" t="inlineStr">
        <is>
          <t>Assay — Total Δ⁹-THC</t>
        </is>
      </c>
      <c r="I1109" s="256" t="inlineStr">
        <is>
          <t>Ph. Eur. 2.2.29 (HPLC)</t>
        </is>
      </c>
      <c r="J1109" s="256" t="inlineStr">
        <is>
          <t>9.00 – 10.99 %  (grade I, nominal 10.00 ± 1.00)</t>
        </is>
      </c>
      <c r="K1109" s="256" t="inlineStr">
        <is>
          <t>9.83</t>
        </is>
      </c>
      <c r="L1109" s="256" t="inlineStr">
        <is>
          <t>031-4-К/26</t>
        </is>
      </c>
      <c r="M1109" s="256" t="inlineStr">
        <is>
          <t>10.02.2026</t>
        </is>
      </c>
      <c r="N1109" s="256" t="inlineStr">
        <is>
          <t>Farmahem</t>
        </is>
      </c>
      <c r="O1109" s="256" t="inlineStr">
        <is>
          <t>—</t>
        </is>
      </c>
      <c r="P1109" s="256" t="inlineStr">
        <is>
          <t>covered</t>
        </is>
      </c>
      <c r="Q1109" s="256" t="inlineStr"/>
      <c r="R1109" s="256" t="inlineStr">
        <is>
          <t>9.55 (220-6-К/26)</t>
        </is>
      </c>
    </row>
    <row r="1110">
      <c r="A1110" s="256" t="inlineStr">
        <is>
          <t>CoQ-PP_26-049</t>
        </is>
      </c>
      <c r="B1110" s="256" t="inlineStr">
        <is>
          <t>release</t>
        </is>
      </c>
      <c r="C1110" s="256" t="inlineStr">
        <is>
          <t>CF102501</t>
        </is>
      </c>
      <c r="D1110" s="256" t="inlineStr">
        <is>
          <t>P060132</t>
        </is>
      </c>
      <c r="E1110" s="256" t="inlineStr">
        <is>
          <t>Chem Flyer</t>
        </is>
      </c>
      <c r="F1110" s="256" t="inlineStr">
        <is>
          <t>06.06.2026</t>
        </is>
      </c>
      <c r="G1110" s="256" t="inlineStr">
        <is>
          <t>5</t>
        </is>
      </c>
      <c r="H1110" s="256" t="inlineStr">
        <is>
          <t>Assay — Total CBD</t>
        </is>
      </c>
      <c r="I1110" s="256" t="inlineStr">
        <is>
          <t>Ph. Eur. 2.2.29 (HPLC) · CBD + CBDA x 0.877</t>
        </is>
      </c>
      <c r="J1110" s="256" t="inlineStr">
        <is>
          <t>≤ 1.0%, w/w</t>
        </is>
      </c>
      <c r="K1110" s="256" t="inlineStr">
        <is>
          <t>&lt; LOQ** %w/w</t>
        </is>
      </c>
      <c r="L1110" s="256" t="inlineStr">
        <is>
          <t>031-4-К/26</t>
        </is>
      </c>
      <c r="M1110" s="256" t="inlineStr">
        <is>
          <t>10.02.2026</t>
        </is>
      </c>
      <c r="N1110" s="256" t="inlineStr">
        <is>
          <t>Farmahem</t>
        </is>
      </c>
      <c r="O1110" s="256" t="inlineStr">
        <is>
          <t>—</t>
        </is>
      </c>
      <c r="P1110" s="256" t="inlineStr">
        <is>
          <t>covered</t>
        </is>
      </c>
      <c r="Q1110" s="256" t="inlineStr"/>
      <c r="R1110" s="256" t="inlineStr">
        <is>
          <t>&lt;LOQ (220-6-К/26)</t>
        </is>
      </c>
    </row>
    <row r="1111">
      <c r="A1111" s="256" t="inlineStr">
        <is>
          <t>CoQ-PP_26-049</t>
        </is>
      </c>
      <c r="B1111" s="256" t="inlineStr">
        <is>
          <t>release</t>
        </is>
      </c>
      <c r="C1111" s="256" t="inlineStr">
        <is>
          <t>CF102501</t>
        </is>
      </c>
      <c r="D1111" s="256" t="inlineStr">
        <is>
          <t>P060132</t>
        </is>
      </c>
      <c r="E1111" s="256" t="inlineStr">
        <is>
          <t>Chem Flyer</t>
        </is>
      </c>
      <c r="F1111" s="256" t="inlineStr">
        <is>
          <t>06.06.2026</t>
        </is>
      </c>
      <c r="G1111" s="256" t="inlineStr">
        <is>
          <t>6</t>
        </is>
      </c>
      <c r="H1111" s="256" t="inlineStr">
        <is>
          <t>Total CBN</t>
        </is>
      </c>
      <c r="I1111" s="256" t="inlineStr">
        <is>
          <t>Ph. Eur. 2.2.29 (HPLC) · CBN + CBNA x 0.876</t>
        </is>
      </c>
      <c r="J1111" s="256" t="inlineStr">
        <is>
          <t>≤ 1.0%, w/w</t>
        </is>
      </c>
      <c r="K1111" s="256" t="inlineStr">
        <is>
          <t>&lt; LOQ** %w/w</t>
        </is>
      </c>
      <c r="L1111" s="256" t="inlineStr">
        <is>
          <t>031-4-К/26</t>
        </is>
      </c>
      <c r="M1111" s="256" t="inlineStr">
        <is>
          <t>10.02.2026</t>
        </is>
      </c>
      <c r="N1111" s="256" t="inlineStr">
        <is>
          <t>Farmahem</t>
        </is>
      </c>
      <c r="O1111" s="256" t="inlineStr">
        <is>
          <t>—</t>
        </is>
      </c>
      <c r="P1111" s="256" t="inlineStr">
        <is>
          <t>covered</t>
        </is>
      </c>
      <c r="Q1111" s="256" t="inlineStr"/>
      <c r="R1111" s="256" t="inlineStr">
        <is>
          <t>&lt;LOQ (220-6-К/26)</t>
        </is>
      </c>
    </row>
    <row r="1112">
      <c r="A1112" s="256" t="inlineStr">
        <is>
          <t>CoQ-PP_26-049</t>
        </is>
      </c>
      <c r="B1112" s="256" t="inlineStr">
        <is>
          <t>release</t>
        </is>
      </c>
      <c r="C1112" s="256" t="inlineStr">
        <is>
          <t>CF102501</t>
        </is>
      </c>
      <c r="D1112" s="256" t="inlineStr">
        <is>
          <t>P060132</t>
        </is>
      </c>
      <c r="E1112" s="256" t="inlineStr">
        <is>
          <t>Chem Flyer</t>
        </is>
      </c>
      <c r="F1112" s="256" t="inlineStr">
        <is>
          <t>06.06.2026</t>
        </is>
      </c>
      <c r="G1112" s="256" t="inlineStr">
        <is>
          <t>7</t>
        </is>
      </c>
      <c r="H1112" s="256" t="inlineStr">
        <is>
          <t>Foreign Matter</t>
        </is>
      </c>
      <c r="I1112" s="256" t="inlineStr">
        <is>
          <t>Ph. Eur. 2.8.2 · In-house · интерна</t>
        </is>
      </c>
      <c r="J1112" s="256" t="inlineStr">
        <is>
          <t>≤ 2.0% / 25–50 g · &lt; 1 cm leaves | листови, no seeds | без семки</t>
        </is>
      </c>
      <c r="K1112" s="256" t="inlineStr">
        <is>
          <t>Conforms | Одговара</t>
        </is>
      </c>
      <c r="L1112" s="256" t="inlineStr">
        <is>
          <t>iCoA-PP_26-048</t>
        </is>
      </c>
      <c r="M1112" s="256" t="inlineStr">
        <is>
          <t>03.06.2026</t>
        </is>
      </c>
      <c r="N1112" s="256" t="inlineStr">
        <is>
          <t>Purely Plant GmbH (in-house)</t>
        </is>
      </c>
      <c r="O1112" s="256" t="inlineStr">
        <is>
          <t>—</t>
        </is>
      </c>
      <c r="P1112" s="256" t="inlineStr">
        <is>
          <t>to be performed — see route</t>
        </is>
      </c>
      <c r="Q1112" s="256" t="inlineStr">
        <is>
          <t>Purely Plant laboratory — iCoA covering Foreign matter</t>
        </is>
      </c>
      <c r="R1112" s="256" t="inlineStr"/>
    </row>
    <row r="1113">
      <c r="A1113" s="256" t="inlineStr">
        <is>
          <t>CoQ-PP_26-049</t>
        </is>
      </c>
      <c r="B1113" s="256" t="inlineStr">
        <is>
          <t>release</t>
        </is>
      </c>
      <c r="C1113" s="256" t="inlineStr">
        <is>
          <t>CF102501</t>
        </is>
      </c>
      <c r="D1113" s="256" t="inlineStr">
        <is>
          <t>P060132</t>
        </is>
      </c>
      <c r="E1113" s="256" t="inlineStr">
        <is>
          <t>Chem Flyer</t>
        </is>
      </c>
      <c r="F1113" s="256" t="inlineStr">
        <is>
          <t>06.06.2026</t>
        </is>
      </c>
      <c r="G1113" s="256" t="inlineStr">
        <is>
          <t>8</t>
        </is>
      </c>
      <c r="H1113" s="256" t="inlineStr">
        <is>
          <t>Loss on Drying</t>
        </is>
      </c>
      <c r="I1113" s="256" t="inlineStr">
        <is>
          <t>Ph. Eur. 2.2.32 (3028) · at 40 °C, 24 h, 15–25 mbar</t>
        </is>
      </c>
      <c r="J1113" s="256" t="inlineStr">
        <is>
          <t>≤ 12.0%</t>
        </is>
      </c>
      <c r="K1113" s="256" t="inlineStr">
        <is>
          <t>5,6 %</t>
        </is>
      </c>
      <c r="L1113" s="256" t="inlineStr">
        <is>
          <t>031-4-ГС/26</t>
        </is>
      </c>
      <c r="M1113" s="256" t="inlineStr">
        <is>
          <t>12.02.2026</t>
        </is>
      </c>
      <c r="N1113" s="256" t="inlineStr">
        <is>
          <t>FHM</t>
        </is>
      </c>
      <c r="O1113" s="256" t="inlineStr">
        <is>
          <t>—</t>
        </is>
      </c>
      <c r="P1113" s="256" t="inlineStr">
        <is>
          <t>covered</t>
        </is>
      </c>
      <c r="Q1113" s="256" t="inlineStr"/>
      <c r="R1113" s="256" t="inlineStr"/>
    </row>
    <row r="1114">
      <c r="A1114" s="256" t="inlineStr">
        <is>
          <t>CoQ-PP_26-049</t>
        </is>
      </c>
      <c r="B1114" s="256" t="inlineStr">
        <is>
          <t>release</t>
        </is>
      </c>
      <c r="C1114" s="256" t="inlineStr">
        <is>
          <t>CF102501</t>
        </is>
      </c>
      <c r="D1114" s="256" t="inlineStr">
        <is>
          <t>P060132</t>
        </is>
      </c>
      <c r="E1114" s="256" t="inlineStr">
        <is>
          <t>Chem Flyer</t>
        </is>
      </c>
      <c r="F1114" s="256" t="inlineStr">
        <is>
          <t>06.06.2026</t>
        </is>
      </c>
      <c r="G1114" s="256" t="inlineStr">
        <is>
          <t>9.1</t>
        </is>
      </c>
      <c r="H1114" s="256" t="inlineStr">
        <is>
          <t>TAMC</t>
        </is>
      </c>
      <c r="I1114" s="256" t="inlineStr">
        <is>
          <t>Ph. Eur. 2.6.12 cat. C</t>
        </is>
      </c>
      <c r="J1114" s="256" t="inlineStr">
        <is>
          <t>≤ 10⁵ CFU/g</t>
        </is>
      </c>
      <c r="K1114" s="256" t="inlineStr">
        <is>
          <t>3.1 × 10⁴</t>
        </is>
      </c>
      <c r="L1114" s="256" t="inlineStr">
        <is>
          <t>73/0116/26</t>
        </is>
      </c>
      <c r="M1114" s="256" t="inlineStr">
        <is>
          <t>09.02.2026</t>
        </is>
      </c>
      <c r="N1114" s="256" t="inlineStr">
        <is>
          <t>IPH — Institute of Public Health</t>
        </is>
      </c>
      <c r="O1114" s="256" t="inlineStr">
        <is>
          <t>—</t>
        </is>
      </c>
      <c r="P1114" s="256" t="inlineStr">
        <is>
          <t>covered</t>
        </is>
      </c>
      <c r="Q1114" s="256" t="inlineStr"/>
      <c r="R1114" s="256" t="inlineStr"/>
    </row>
    <row r="1115">
      <c r="A1115" s="256" t="inlineStr">
        <is>
          <t>CoQ-PP_26-049</t>
        </is>
      </c>
      <c r="B1115" s="256" t="inlineStr">
        <is>
          <t>release</t>
        </is>
      </c>
      <c r="C1115" s="256" t="inlineStr">
        <is>
          <t>CF102501</t>
        </is>
      </c>
      <c r="D1115" s="256" t="inlineStr">
        <is>
          <t>P060132</t>
        </is>
      </c>
      <c r="E1115" s="256" t="inlineStr">
        <is>
          <t>Chem Flyer</t>
        </is>
      </c>
      <c r="F1115" s="256" t="inlineStr">
        <is>
          <t>06.06.2026</t>
        </is>
      </c>
      <c r="G1115" s="256" t="inlineStr">
        <is>
          <t>9.2</t>
        </is>
      </c>
      <c r="H1115" s="256" t="inlineStr">
        <is>
          <t>TYMC</t>
        </is>
      </c>
      <c r="I1115" s="256" t="inlineStr">
        <is>
          <t>Ph. Eur. 2.6.12 cat. C</t>
        </is>
      </c>
      <c r="J1115" s="256" t="inlineStr">
        <is>
          <t>≤ 10⁴ CFU/g</t>
        </is>
      </c>
      <c r="K1115" s="256" t="inlineStr">
        <is>
          <t>3.9 × 10⁴</t>
        </is>
      </c>
      <c r="L1115" s="256" t="inlineStr">
        <is>
          <t>73/0116/26</t>
        </is>
      </c>
      <c r="M1115" s="256" t="inlineStr">
        <is>
          <t>09.02.2026</t>
        </is>
      </c>
      <c r="N1115" s="256" t="inlineStr">
        <is>
          <t>IPH — Institute of Public Health</t>
        </is>
      </c>
      <c r="O1115" s="256" t="inlineStr">
        <is>
          <t>—</t>
        </is>
      </c>
      <c r="P1115" s="256" t="inlineStr">
        <is>
          <t>OUT OF SPECIFICATION — covered</t>
        </is>
      </c>
      <c r="Q1115" s="256" t="inlineStr"/>
      <c r="R1115" s="256" t="inlineStr"/>
    </row>
    <row r="1116">
      <c r="A1116" s="256" t="inlineStr">
        <is>
          <t>CoQ-PP_26-049</t>
        </is>
      </c>
      <c r="B1116" s="256" t="inlineStr">
        <is>
          <t>release</t>
        </is>
      </c>
      <c r="C1116" s="256" t="inlineStr">
        <is>
          <t>CF102501</t>
        </is>
      </c>
      <c r="D1116" s="256" t="inlineStr">
        <is>
          <t>P060132</t>
        </is>
      </c>
      <c r="E1116" s="256" t="inlineStr">
        <is>
          <t>Chem Flyer</t>
        </is>
      </c>
      <c r="F1116" s="256" t="inlineStr">
        <is>
          <t>06.06.2026</t>
        </is>
      </c>
      <c r="G1116" s="256" t="inlineStr">
        <is>
          <t>9.3</t>
        </is>
      </c>
      <c r="H1116" s="256" t="inlineStr">
        <is>
          <t>Bile-tolerant gram-neg.</t>
        </is>
      </c>
      <c r="I1116" s="256" t="inlineStr">
        <is>
          <t>Ph. Eur. 2.6.31 cat. C</t>
        </is>
      </c>
      <c r="J1116" s="256" t="inlineStr">
        <is>
          <t>≤ 10⁴ CFU/g</t>
        </is>
      </c>
      <c r="K1116" s="256" t="inlineStr">
        <is>
          <t>&lt; 10³ and &gt; 10²</t>
        </is>
      </c>
      <c r="L1116" s="256" t="inlineStr">
        <is>
          <t>73/0116/26</t>
        </is>
      </c>
      <c r="M1116" s="256" t="inlineStr">
        <is>
          <t>09.02.2026</t>
        </is>
      </c>
      <c r="N1116" s="256" t="inlineStr">
        <is>
          <t>IPH — Institute of Public Health</t>
        </is>
      </c>
      <c r="O1116" s="256" t="inlineStr">
        <is>
          <t>—</t>
        </is>
      </c>
      <c r="P1116" s="256" t="inlineStr">
        <is>
          <t>covered</t>
        </is>
      </c>
      <c r="Q1116" s="256" t="inlineStr"/>
      <c r="R1116" s="256" t="inlineStr"/>
    </row>
    <row r="1117">
      <c r="A1117" s="256" t="inlineStr">
        <is>
          <t>CoQ-PP_26-049</t>
        </is>
      </c>
      <c r="B1117" s="256" t="inlineStr">
        <is>
          <t>release</t>
        </is>
      </c>
      <c r="C1117" s="256" t="inlineStr">
        <is>
          <t>CF102501</t>
        </is>
      </c>
      <c r="D1117" s="256" t="inlineStr">
        <is>
          <t>P060132</t>
        </is>
      </c>
      <c r="E1117" s="256" t="inlineStr">
        <is>
          <t>Chem Flyer</t>
        </is>
      </c>
      <c r="F1117" s="256" t="inlineStr">
        <is>
          <t>06.06.2026</t>
        </is>
      </c>
      <c r="G1117" s="256" t="inlineStr">
        <is>
          <t>9.4</t>
        </is>
      </c>
      <c r="H1117" s="256" t="inlineStr">
        <is>
          <t>Salmonella</t>
        </is>
      </c>
      <c r="I1117" s="256" t="inlineStr">
        <is>
          <t>Ph. Eur. 2.6.31 cat. C</t>
        </is>
      </c>
      <c r="J1117" s="256" t="inlineStr">
        <is>
          <t>Absence | Отсуство / 25 g</t>
        </is>
      </c>
      <c r="K1117" s="256" t="inlineStr">
        <is>
          <t>Absent | Отсутна</t>
        </is>
      </c>
      <c r="L1117" s="256" t="inlineStr">
        <is>
          <t>73/0116/26</t>
        </is>
      </c>
      <c r="M1117" s="256" t="inlineStr">
        <is>
          <t>09.02.2026</t>
        </is>
      </c>
      <c r="N1117" s="256" t="inlineStr">
        <is>
          <t>IPH — Institute of Public Health</t>
        </is>
      </c>
      <c r="O1117" s="256" t="inlineStr">
        <is>
          <t>—</t>
        </is>
      </c>
      <c r="P1117" s="256" t="inlineStr">
        <is>
          <t>covered</t>
        </is>
      </c>
      <c r="Q1117" s="256" t="inlineStr"/>
      <c r="R1117" s="256" t="inlineStr"/>
    </row>
    <row r="1118">
      <c r="A1118" s="256" t="inlineStr">
        <is>
          <t>CoQ-PP_26-049</t>
        </is>
      </c>
      <c r="B1118" s="256" t="inlineStr">
        <is>
          <t>release</t>
        </is>
      </c>
      <c r="C1118" s="256" t="inlineStr">
        <is>
          <t>CF102501</t>
        </is>
      </c>
      <c r="D1118" s="256" t="inlineStr">
        <is>
          <t>P060132</t>
        </is>
      </c>
      <c r="E1118" s="256" t="inlineStr">
        <is>
          <t>Chem Flyer</t>
        </is>
      </c>
      <c r="F1118" s="256" t="inlineStr">
        <is>
          <t>06.06.2026</t>
        </is>
      </c>
      <c r="G1118" s="256" t="inlineStr">
        <is>
          <t>9.5</t>
        </is>
      </c>
      <c r="H1118" s="256" t="inlineStr">
        <is>
          <t>Escherichia coli</t>
        </is>
      </c>
      <c r="I1118" s="256" t="inlineStr">
        <is>
          <t>Ph. Eur. 2.6.13 cat. C</t>
        </is>
      </c>
      <c r="J1118" s="256" t="inlineStr">
        <is>
          <t>Absence | Отсуство / 1 g</t>
        </is>
      </c>
      <c r="K1118" s="256" t="inlineStr">
        <is>
          <t>Absent | Отсутна</t>
        </is>
      </c>
      <c r="L1118" s="256" t="inlineStr">
        <is>
          <t>73/0116/26</t>
        </is>
      </c>
      <c r="M1118" s="256" t="inlineStr">
        <is>
          <t>09.02.2026</t>
        </is>
      </c>
      <c r="N1118" s="256" t="inlineStr">
        <is>
          <t>IPH — Institute of Public Health</t>
        </is>
      </c>
      <c r="O1118" s="256" t="inlineStr">
        <is>
          <t>—</t>
        </is>
      </c>
      <c r="P1118" s="256" t="inlineStr">
        <is>
          <t>covered</t>
        </is>
      </c>
      <c r="Q1118" s="256" t="inlineStr"/>
      <c r="R1118" s="256" t="inlineStr"/>
    </row>
    <row r="1119">
      <c r="A1119" s="256" t="inlineStr">
        <is>
          <t>CoQ-PP_26-049</t>
        </is>
      </c>
      <c r="B1119" s="256" t="inlineStr">
        <is>
          <t>release</t>
        </is>
      </c>
      <c r="C1119" s="256" t="inlineStr">
        <is>
          <t>CF102501</t>
        </is>
      </c>
      <c r="D1119" s="256" t="inlineStr">
        <is>
          <t>P060132</t>
        </is>
      </c>
      <c r="E1119" s="256" t="inlineStr">
        <is>
          <t>Chem Flyer</t>
        </is>
      </c>
      <c r="F1119" s="256" t="inlineStr">
        <is>
          <t>06.06.2026</t>
        </is>
      </c>
      <c r="G1119" s="256" t="inlineStr">
        <is>
          <t>9.6</t>
        </is>
      </c>
      <c r="H1119" s="256" t="inlineStr">
        <is>
          <t>Pseudomonas aeruginosa</t>
        </is>
      </c>
      <c r="I1119" s="256" t="inlineStr">
        <is>
          <t>Ph. Eur. 2.6.13 cat. C</t>
        </is>
      </c>
      <c r="J1119" s="256" t="inlineStr">
        <is>
          <t>Absence | Отсуство / 1 g</t>
        </is>
      </c>
      <c r="K1119" s="260" t="inlineStr">
        <is>
          <t>upon request — not required for release</t>
        </is>
      </c>
      <c r="L1119" s="256" t="inlineStr">
        <is>
          <t>—</t>
        </is>
      </c>
      <c r="M1119" s="256" t="inlineStr">
        <is>
          <t>—</t>
        </is>
      </c>
      <c r="N1119" s="256" t="inlineStr">
        <is>
          <t>—</t>
        </is>
      </c>
      <c r="O1119" s="256" t="inlineStr">
        <is>
          <t>—</t>
        </is>
      </c>
      <c r="P1119" s="256" t="inlineStr">
        <is>
          <t>upon request — not required for release</t>
        </is>
      </c>
      <c r="Q1119" s="256" t="inlineStr"/>
      <c r="R1119" s="256" t="inlineStr"/>
    </row>
    <row r="1120">
      <c r="A1120" s="256" t="inlineStr">
        <is>
          <t>CoQ-PP_26-049</t>
        </is>
      </c>
      <c r="B1120" s="256" t="inlineStr">
        <is>
          <t>release</t>
        </is>
      </c>
      <c r="C1120" s="256" t="inlineStr">
        <is>
          <t>CF102501</t>
        </is>
      </c>
      <c r="D1120" s="256" t="inlineStr">
        <is>
          <t>P060132</t>
        </is>
      </c>
      <c r="E1120" s="256" t="inlineStr">
        <is>
          <t>Chem Flyer</t>
        </is>
      </c>
      <c r="F1120" s="256" t="inlineStr">
        <is>
          <t>06.06.2026</t>
        </is>
      </c>
      <c r="G1120" s="256" t="inlineStr">
        <is>
          <t>9.7</t>
        </is>
      </c>
      <c r="H1120" s="256" t="inlineStr">
        <is>
          <t>Staphylococcus aureus</t>
        </is>
      </c>
      <c r="I1120" s="256" t="inlineStr">
        <is>
          <t>Ph. Eur. 2.6.13 cat. C</t>
        </is>
      </c>
      <c r="J1120" s="256" t="inlineStr">
        <is>
          <t>Absence | Отсуство / 1 g</t>
        </is>
      </c>
      <c r="K1120" s="260" t="inlineStr">
        <is>
          <t>upon request — not required for release</t>
        </is>
      </c>
      <c r="L1120" s="256" t="inlineStr">
        <is>
          <t>—</t>
        </is>
      </c>
      <c r="M1120" s="256" t="inlineStr">
        <is>
          <t>—</t>
        </is>
      </c>
      <c r="N1120" s="256" t="inlineStr">
        <is>
          <t>—</t>
        </is>
      </c>
      <c r="O1120" s="256" t="inlineStr">
        <is>
          <t>—</t>
        </is>
      </c>
      <c r="P1120" s="256" t="inlineStr">
        <is>
          <t>upon request — not required for release</t>
        </is>
      </c>
      <c r="Q1120" s="256" t="inlineStr"/>
      <c r="R1120" s="256" t="inlineStr"/>
    </row>
    <row r="1121">
      <c r="A1121" s="256" t="inlineStr">
        <is>
          <t>CoQ-PP_26-049</t>
        </is>
      </c>
      <c r="B1121" s="256" t="inlineStr">
        <is>
          <t>release</t>
        </is>
      </c>
      <c r="C1121" s="256" t="inlineStr">
        <is>
          <t>CF102501</t>
        </is>
      </c>
      <c r="D1121" s="256" t="inlineStr">
        <is>
          <t>P060132</t>
        </is>
      </c>
      <c r="E1121" s="256" t="inlineStr">
        <is>
          <t>Chem Flyer</t>
        </is>
      </c>
      <c r="F1121" s="256" t="inlineStr">
        <is>
          <t>06.06.2026</t>
        </is>
      </c>
      <c r="G1121" s="256" t="inlineStr">
        <is>
          <t>10.1</t>
        </is>
      </c>
      <c r="H1121" s="256" t="inlineStr">
        <is>
          <t>Aflatoxin B₁</t>
        </is>
      </c>
      <c r="I1121" s="256" t="inlineStr">
        <is>
          <t>Ph. Eur. 2.8.18 (HPLC-FLD)</t>
        </is>
      </c>
      <c r="J1121" s="256" t="inlineStr">
        <is>
          <t>≤ 2 µg/kg</t>
        </is>
      </c>
      <c r="K1121" s="259" t="inlineStr">
        <is>
          <t>not tested</t>
        </is>
      </c>
      <c r="L1121" s="256" t="inlineStr">
        <is>
          <t>—</t>
        </is>
      </c>
      <c r="M1121" s="256" t="inlineStr">
        <is>
          <t>—</t>
        </is>
      </c>
      <c r="N1121" s="256" t="inlineStr">
        <is>
          <t>—</t>
        </is>
      </c>
      <c r="O1121" s="256" t="inlineStr">
        <is>
          <t>—</t>
        </is>
      </c>
      <c r="P1121" s="256" t="inlineStr">
        <is>
          <t>not tested — no certificate covers it</t>
        </is>
      </c>
      <c r="Q1121" s="256" t="inlineStr"/>
      <c r="R1121" s="256" t="inlineStr">
        <is>
          <t>ND (220-6-М/26)</t>
        </is>
      </c>
    </row>
    <row r="1122">
      <c r="A1122" s="256" t="inlineStr">
        <is>
          <t>CoQ-PP_26-049</t>
        </is>
      </c>
      <c r="B1122" s="256" t="inlineStr">
        <is>
          <t>release</t>
        </is>
      </c>
      <c r="C1122" s="256" t="inlineStr">
        <is>
          <t>CF102501</t>
        </is>
      </c>
      <c r="D1122" s="256" t="inlineStr">
        <is>
          <t>P060132</t>
        </is>
      </c>
      <c r="E1122" s="256" t="inlineStr">
        <is>
          <t>Chem Flyer</t>
        </is>
      </c>
      <c r="F1122" s="256" t="inlineStr">
        <is>
          <t>06.06.2026</t>
        </is>
      </c>
      <c r="G1122" s="256" t="inlineStr">
        <is>
          <t>10.2</t>
        </is>
      </c>
      <c r="H1122" s="256" t="inlineStr">
        <is>
          <t>Aflatoxins ∑</t>
        </is>
      </c>
      <c r="I1122" s="256" t="inlineStr">
        <is>
          <t>Ph. Eur. 2.8.18 (HPLC-FLD)</t>
        </is>
      </c>
      <c r="J1122" s="256" t="inlineStr">
        <is>
          <t>≤ 4 µg/kg</t>
        </is>
      </c>
      <c r="K1122" s="256" t="inlineStr">
        <is>
          <t>2.1</t>
        </is>
      </c>
      <c r="L1122" s="256" t="inlineStr">
        <is>
          <t>330/2026</t>
        </is>
      </c>
      <c r="M1122" s="256" t="inlineStr">
        <is>
          <t>11.02.2026</t>
        </is>
      </c>
      <c r="N1122" s="256" t="inlineStr">
        <is>
          <t>IPH — Institute of Public Health</t>
        </is>
      </c>
      <c r="O1122" s="256" t="inlineStr">
        <is>
          <t>—</t>
        </is>
      </c>
      <c r="P1122" s="256" t="inlineStr">
        <is>
          <t>covered</t>
        </is>
      </c>
      <c r="Q1122" s="256" t="inlineStr"/>
      <c r="R1122" s="256" t="inlineStr">
        <is>
          <t>ND (220-6-М/26)</t>
        </is>
      </c>
    </row>
    <row r="1123">
      <c r="A1123" s="256" t="inlineStr">
        <is>
          <t>CoQ-PP_26-049</t>
        </is>
      </c>
      <c r="B1123" s="256" t="inlineStr">
        <is>
          <t>release</t>
        </is>
      </c>
      <c r="C1123" s="256" t="inlineStr">
        <is>
          <t>CF102501</t>
        </is>
      </c>
      <c r="D1123" s="256" t="inlineStr">
        <is>
          <t>P060132</t>
        </is>
      </c>
      <c r="E1123" s="256" t="inlineStr">
        <is>
          <t>Chem Flyer</t>
        </is>
      </c>
      <c r="F1123" s="256" t="inlineStr">
        <is>
          <t>06.06.2026</t>
        </is>
      </c>
      <c r="G1123" s="256" t="inlineStr">
        <is>
          <t>10.3</t>
        </is>
      </c>
      <c r="H1123" s="256" t="inlineStr">
        <is>
          <t>Ochratoxin A</t>
        </is>
      </c>
      <c r="I1123" s="256" t="inlineStr">
        <is>
          <t>Ph. Eur. 2.8.22 (HPLC-FLD)</t>
        </is>
      </c>
      <c r="J1123" s="256" t="inlineStr">
        <is>
          <t>≤ 20 µg/kg</t>
        </is>
      </c>
      <c r="K1123" s="259" t="inlineStr">
        <is>
          <t>not tested</t>
        </is>
      </c>
      <c r="L1123" s="256" t="inlineStr">
        <is>
          <t>—</t>
        </is>
      </c>
      <c r="M1123" s="256" t="inlineStr">
        <is>
          <t>—</t>
        </is>
      </c>
      <c r="N1123" s="256" t="inlineStr">
        <is>
          <t>—</t>
        </is>
      </c>
      <c r="O1123" s="256" t="inlineStr">
        <is>
          <t>—</t>
        </is>
      </c>
      <c r="P1123" s="256" t="inlineStr">
        <is>
          <t>not tested — no certificate covers it</t>
        </is>
      </c>
      <c r="Q1123" s="256" t="inlineStr"/>
      <c r="R1123" s="256" t="inlineStr">
        <is>
          <t>ND (220-6-М/26)</t>
        </is>
      </c>
    </row>
    <row r="1124">
      <c r="A1124" s="256" t="inlineStr">
        <is>
          <t>CoQ-PP_26-049</t>
        </is>
      </c>
      <c r="B1124" s="256" t="inlineStr">
        <is>
          <t>release</t>
        </is>
      </c>
      <c r="C1124" s="256" t="inlineStr">
        <is>
          <t>CF102501</t>
        </is>
      </c>
      <c r="D1124" s="256" t="inlineStr">
        <is>
          <t>P060132</t>
        </is>
      </c>
      <c r="E1124" s="256" t="inlineStr">
        <is>
          <t>Chem Flyer</t>
        </is>
      </c>
      <c r="F1124" s="256" t="inlineStr">
        <is>
          <t>06.06.2026</t>
        </is>
      </c>
      <c r="G1124" s="256" t="inlineStr">
        <is>
          <t>11.1</t>
        </is>
      </c>
      <c r="H1124" s="256" t="inlineStr">
        <is>
          <t>Lead (Pb)</t>
        </is>
      </c>
      <c r="I1124" s="256" t="inlineStr">
        <is>
          <t>Ph. Eur. 2.4.27 (ICP-MS)</t>
        </is>
      </c>
      <c r="J1124" s="256" t="inlineStr">
        <is>
          <t>≤ 0.5 mg/kg</t>
        </is>
      </c>
      <c r="K1124" s="256" t="inlineStr">
        <is>
          <t>0.07</t>
        </is>
      </c>
      <c r="L1124" s="256" t="inlineStr">
        <is>
          <t>330/2026</t>
        </is>
      </c>
      <c r="M1124" s="256" t="inlineStr">
        <is>
          <t>11.02.2026</t>
        </is>
      </c>
      <c r="N1124" s="256" t="inlineStr">
        <is>
          <t>IPH — Institute of Public Health</t>
        </is>
      </c>
      <c r="O1124" s="256" t="inlineStr">
        <is>
          <t>—</t>
        </is>
      </c>
      <c r="P1124" s="256" t="inlineStr">
        <is>
          <t>covered</t>
        </is>
      </c>
      <c r="Q1124" s="256" t="inlineStr"/>
      <c r="R1124" s="256" t="inlineStr"/>
    </row>
    <row r="1125">
      <c r="A1125" s="256" t="inlineStr">
        <is>
          <t>CoQ-PP_26-049</t>
        </is>
      </c>
      <c r="B1125" s="256" t="inlineStr">
        <is>
          <t>release</t>
        </is>
      </c>
      <c r="C1125" s="256" t="inlineStr">
        <is>
          <t>CF102501</t>
        </is>
      </c>
      <c r="D1125" s="256" t="inlineStr">
        <is>
          <t>P060132</t>
        </is>
      </c>
      <c r="E1125" s="256" t="inlineStr">
        <is>
          <t>Chem Flyer</t>
        </is>
      </c>
      <c r="F1125" s="256" t="inlineStr">
        <is>
          <t>06.06.2026</t>
        </is>
      </c>
      <c r="G1125" s="256" t="inlineStr">
        <is>
          <t>11.2</t>
        </is>
      </c>
      <c r="H1125" s="256" t="inlineStr">
        <is>
          <t>Cadmium (Cd)</t>
        </is>
      </c>
      <c r="I1125" s="256" t="inlineStr">
        <is>
          <t>Ph. Eur. 2.4.27 (ICP-MS)</t>
        </is>
      </c>
      <c r="J1125" s="256" t="inlineStr">
        <is>
          <t>≤ 0.3 mg/kg</t>
        </is>
      </c>
      <c r="K1125" s="256" t="inlineStr">
        <is>
          <t>ND</t>
        </is>
      </c>
      <c r="L1125" s="256" t="inlineStr">
        <is>
          <t>330/2026</t>
        </is>
      </c>
      <c r="M1125" s="256" t="inlineStr">
        <is>
          <t>11.02.2026</t>
        </is>
      </c>
      <c r="N1125" s="256" t="inlineStr">
        <is>
          <t>IPH — Institute of Public Health</t>
        </is>
      </c>
      <c r="O1125" s="256" t="inlineStr">
        <is>
          <t>—</t>
        </is>
      </c>
      <c r="P1125" s="256" t="inlineStr">
        <is>
          <t>covered</t>
        </is>
      </c>
      <c r="Q1125" s="256" t="inlineStr"/>
      <c r="R1125" s="256" t="inlineStr"/>
    </row>
    <row r="1126">
      <c r="A1126" s="256" t="inlineStr">
        <is>
          <t>CoQ-PP_26-049</t>
        </is>
      </c>
      <c r="B1126" s="256" t="inlineStr">
        <is>
          <t>release</t>
        </is>
      </c>
      <c r="C1126" s="256" t="inlineStr">
        <is>
          <t>CF102501</t>
        </is>
      </c>
      <c r="D1126" s="256" t="inlineStr">
        <is>
          <t>P060132</t>
        </is>
      </c>
      <c r="E1126" s="256" t="inlineStr">
        <is>
          <t>Chem Flyer</t>
        </is>
      </c>
      <c r="F1126" s="256" t="inlineStr">
        <is>
          <t>06.06.2026</t>
        </is>
      </c>
      <c r="G1126" s="256" t="inlineStr">
        <is>
          <t>11.3</t>
        </is>
      </c>
      <c r="H1126" s="256" t="inlineStr">
        <is>
          <t>Arsenic (As)</t>
        </is>
      </c>
      <c r="I1126" s="256" t="inlineStr">
        <is>
          <t>Ph. Eur. 2.4.27 (ICP-MS)</t>
        </is>
      </c>
      <c r="J1126" s="256" t="inlineStr">
        <is>
          <t>≤ 0.2 mg/kg</t>
        </is>
      </c>
      <c r="K1126" s="256" t="inlineStr">
        <is>
          <t>0.0942</t>
        </is>
      </c>
      <c r="L1126" s="256" t="inlineStr">
        <is>
          <t>330/2026</t>
        </is>
      </c>
      <c r="M1126" s="256" t="inlineStr">
        <is>
          <t>11.02.2026</t>
        </is>
      </c>
      <c r="N1126" s="256" t="inlineStr">
        <is>
          <t>IPH — Institute of Public Health</t>
        </is>
      </c>
      <c r="O1126" s="256" t="inlineStr">
        <is>
          <t>—</t>
        </is>
      </c>
      <c r="P1126" s="256" t="inlineStr">
        <is>
          <t>covered</t>
        </is>
      </c>
      <c r="Q1126" s="256" t="inlineStr"/>
      <c r="R1126" s="256" t="inlineStr"/>
    </row>
    <row r="1127">
      <c r="A1127" s="256" t="inlineStr">
        <is>
          <t>CoQ-PP_26-049</t>
        </is>
      </c>
      <c r="B1127" s="256" t="inlineStr">
        <is>
          <t>release</t>
        </is>
      </c>
      <c r="C1127" s="256" t="inlineStr">
        <is>
          <t>CF102501</t>
        </is>
      </c>
      <c r="D1127" s="256" t="inlineStr">
        <is>
          <t>P060132</t>
        </is>
      </c>
      <c r="E1127" s="256" t="inlineStr">
        <is>
          <t>Chem Flyer</t>
        </is>
      </c>
      <c r="F1127" s="256" t="inlineStr">
        <is>
          <t>06.06.2026</t>
        </is>
      </c>
      <c r="G1127" s="256" t="inlineStr">
        <is>
          <t>11.4</t>
        </is>
      </c>
      <c r="H1127" s="256" t="inlineStr">
        <is>
          <t>Mercury (Hg)</t>
        </is>
      </c>
      <c r="I1127" s="256" t="inlineStr">
        <is>
          <t>Ph. Eur. 2.4.27 (ICP-MS)</t>
        </is>
      </c>
      <c r="J1127" s="256" t="inlineStr">
        <is>
          <t>≤ 0.1 mg/kg</t>
        </is>
      </c>
      <c r="K1127" s="256" t="inlineStr">
        <is>
          <t>ND</t>
        </is>
      </c>
      <c r="L1127" s="256" t="inlineStr">
        <is>
          <t>330/2026</t>
        </is>
      </c>
      <c r="M1127" s="256" t="inlineStr">
        <is>
          <t>11.02.2026</t>
        </is>
      </c>
      <c r="N1127" s="256" t="inlineStr">
        <is>
          <t>IPH — Institute of Public Health</t>
        </is>
      </c>
      <c r="O1127" s="256" t="inlineStr">
        <is>
          <t>—</t>
        </is>
      </c>
      <c r="P1127" s="256" t="inlineStr">
        <is>
          <t>covered</t>
        </is>
      </c>
      <c r="Q1127" s="256" t="inlineStr"/>
      <c r="R1127" s="256" t="inlineStr"/>
    </row>
    <row r="1128">
      <c r="A1128" s="256" t="inlineStr">
        <is>
          <t>CoQ-PP_26-049</t>
        </is>
      </c>
      <c r="B1128" s="256" t="inlineStr">
        <is>
          <t>release</t>
        </is>
      </c>
      <c r="C1128" s="256" t="inlineStr">
        <is>
          <t>CF102501</t>
        </is>
      </c>
      <c r="D1128" s="256" t="inlineStr">
        <is>
          <t>P060132</t>
        </is>
      </c>
      <c r="E1128" s="256" t="inlineStr">
        <is>
          <t>Chem Flyer</t>
        </is>
      </c>
      <c r="F1128" s="256" t="inlineStr">
        <is>
          <t>06.06.2026</t>
        </is>
      </c>
      <c r="G1128" s="256" t="inlineStr">
        <is>
          <t>12</t>
        </is>
      </c>
      <c r="H1128" s="256" t="inlineStr">
        <is>
          <t>Pesticide Residues</t>
        </is>
      </c>
      <c r="I1128" s="256" t="inlineStr">
        <is>
          <t>Ph. Eur. 2.8.13 (LC-MS/MS) · CUMCS Equivalency</t>
        </is>
      </c>
      <c r="J1128" s="256" t="inlineStr">
        <is>
          <t>≤ LOQ as per Ph. Eur. 2.8.13 · ≤ LOQ as per CUMCS Equivalency</t>
        </is>
      </c>
      <c r="K1128" s="256" t="inlineStr">
        <is>
          <t>ND mg/kg — all 25 residues</t>
        </is>
      </c>
      <c r="L1128" s="256" t="inlineStr">
        <is>
          <t>330/2026</t>
        </is>
      </c>
      <c r="M1128" s="256" t="inlineStr">
        <is>
          <t>11.02.2026</t>
        </is>
      </c>
      <c r="N1128" s="256" t="inlineStr">
        <is>
          <t>IJZ</t>
        </is>
      </c>
      <c r="O1128" s="256" t="inlineStr">
        <is>
          <t>—</t>
        </is>
      </c>
      <c r="P1128" s="256" t="inlineStr">
        <is>
          <t>covered</t>
        </is>
      </c>
      <c r="Q1128" s="256" t="inlineStr"/>
      <c r="R1128" s="256" t="inlineStr"/>
    </row>
    <row r="1129">
      <c r="A1129" s="256" t="inlineStr">
        <is>
          <t>CoQ-PP_26-050</t>
        </is>
      </c>
      <c r="B1129" s="256" t="inlineStr">
        <is>
          <t>release</t>
        </is>
      </c>
      <c r="C1129" s="256" t="inlineStr">
        <is>
          <t>GRC102501/1</t>
        </is>
      </c>
      <c r="D1129" s="256" t="inlineStr">
        <is>
          <t>P060142</t>
        </is>
      </c>
      <c r="E1129" s="256" t="inlineStr">
        <is>
          <t>Grapes And Cream</t>
        </is>
      </c>
      <c r="F1129" s="256" t="inlineStr">
        <is>
          <t>06.06.2026</t>
        </is>
      </c>
      <c r="G1129" s="256" t="inlineStr">
        <is>
          <t>1</t>
        </is>
      </c>
      <c r="H1129" s="256" t="inlineStr">
        <is>
          <t>Identification A, Appearance · Macroscopic</t>
        </is>
      </c>
      <c r="I1129" s="256" t="inlineStr">
        <is>
          <t>Ph. Eur. mon. 3028</t>
        </is>
      </c>
      <c r="J1129" s="256" t="inlineStr">
        <is>
          <t>Conforms to the monograph for Cannabis flos (07/2024:3028) in Ph. Eur. 11.0 | Согласно монографија за Cannabis flos (07/2024:3028) во Ph. Eur. 11.0</t>
        </is>
      </c>
      <c r="K1129" s="256" t="inlineStr">
        <is>
          <t>Conforms | Одговара</t>
        </is>
      </c>
      <c r="L1129" s="256" t="inlineStr">
        <is>
          <t>iCoA-PP_26-049</t>
        </is>
      </c>
      <c r="M1129" s="256" t="inlineStr">
        <is>
          <t>03.06.2026</t>
        </is>
      </c>
      <c r="N1129" s="256" t="inlineStr">
        <is>
          <t>Purely Plant GmbH (in-house)</t>
        </is>
      </c>
      <c r="O1129" s="256" t="inlineStr">
        <is>
          <t>—</t>
        </is>
      </c>
      <c r="P1129" s="256" t="inlineStr">
        <is>
          <t>to be performed — see route</t>
        </is>
      </c>
      <c r="Q1129" s="256" t="inlineStr">
        <is>
          <t>Purely Plant laboratory — iCoA covering Ident A + B</t>
        </is>
      </c>
      <c r="R1129" s="256" t="inlineStr"/>
    </row>
    <row r="1130">
      <c r="A1130" s="256" t="inlineStr">
        <is>
          <t>CoQ-PP_26-050</t>
        </is>
      </c>
      <c r="B1130" s="256" t="inlineStr">
        <is>
          <t>release</t>
        </is>
      </c>
      <c r="C1130" s="256" t="inlineStr">
        <is>
          <t>GRC102501/1</t>
        </is>
      </c>
      <c r="D1130" s="256" t="inlineStr">
        <is>
          <t>P060142</t>
        </is>
      </c>
      <c r="E1130" s="256" t="inlineStr">
        <is>
          <t>Grapes And Cream</t>
        </is>
      </c>
      <c r="F1130" s="256" t="inlineStr">
        <is>
          <t>06.06.2026</t>
        </is>
      </c>
      <c r="G1130" s="256" t="inlineStr">
        <is>
          <t>2</t>
        </is>
      </c>
      <c r="H1130" s="256" t="inlineStr">
        <is>
          <t>Identification B · Microscopic</t>
        </is>
      </c>
      <c r="I1130" s="256" t="inlineStr">
        <is>
          <t>Ph. Eur. 2.8.23 (microscopy)</t>
        </is>
      </c>
      <c r="J1130" s="256" t="inlineStr">
        <is>
          <t>Conforms to the monograph for Cannabis flos (07/2024:3028) in Ph. Eur. 11.0 | Согласно монографија за Cannabis flos (07/2024:3028) во Ph. Eur. 11.0</t>
        </is>
      </c>
      <c r="K1130" s="256" t="inlineStr">
        <is>
          <t>Conforms | Одговара</t>
        </is>
      </c>
      <c r="L1130" s="256" t="inlineStr">
        <is>
          <t>iCoA-PP_26-049</t>
        </is>
      </c>
      <c r="M1130" s="256" t="inlineStr">
        <is>
          <t>03.06.2026</t>
        </is>
      </c>
      <c r="N1130" s="256" t="inlineStr">
        <is>
          <t>Purely Plant GmbH (in-house)</t>
        </is>
      </c>
      <c r="O1130" s="256" t="inlineStr">
        <is>
          <t>—</t>
        </is>
      </c>
      <c r="P1130" s="256" t="inlineStr">
        <is>
          <t>to be performed — see route</t>
        </is>
      </c>
      <c r="Q1130" s="256" t="inlineStr">
        <is>
          <t>Purely Plant laboratory — iCoA covering Ident A + B</t>
        </is>
      </c>
      <c r="R1130" s="256" t="inlineStr"/>
    </row>
    <row r="1131">
      <c r="A1131" s="256" t="inlineStr">
        <is>
          <t>CoQ-PP_26-050</t>
        </is>
      </c>
      <c r="B1131" s="256" t="inlineStr">
        <is>
          <t>release</t>
        </is>
      </c>
      <c r="C1131" s="256" t="inlineStr">
        <is>
          <t>GRC102501/1</t>
        </is>
      </c>
      <c r="D1131" s="256" t="inlineStr">
        <is>
          <t>P060142</t>
        </is>
      </c>
      <c r="E1131" s="256" t="inlineStr">
        <is>
          <t>Grapes And Cream</t>
        </is>
      </c>
      <c r="F1131" s="256" t="inlineStr">
        <is>
          <t>06.06.2026</t>
        </is>
      </c>
      <c r="G1131" s="256" t="inlineStr">
        <is>
          <t>3</t>
        </is>
      </c>
      <c r="H1131" s="256" t="inlineStr">
        <is>
          <t>Identification C · HPLC/HPTLC</t>
        </is>
      </c>
      <c r="I1131" s="256" t="inlineStr">
        <is>
          <t>Ph. Eur. 2.2.29 (3028)</t>
        </is>
      </c>
      <c r="J1131" s="256" t="inlineStr">
        <is>
          <t>Conforms to the monograph for Cannabis flos (07/2024:3028) in Ph. Eur. 11.0 | Согласно монографија за Cannabis flos (07/2024:3028) во Ph. Eur. 11.0</t>
        </is>
      </c>
      <c r="K1131" s="259" t="inlineStr">
        <is>
          <t>to be performed (in house)</t>
        </is>
      </c>
      <c r="L1131" s="256" t="inlineStr">
        <is>
          <t>—</t>
        </is>
      </c>
      <c r="M1131" s="256" t="inlineStr">
        <is>
          <t>—</t>
        </is>
      </c>
      <c r="N1131" s="256" t="inlineStr">
        <is>
          <t>—</t>
        </is>
      </c>
      <c r="O1131" s="256" t="inlineStr">
        <is>
          <t>—</t>
        </is>
      </c>
      <c r="P1131" s="256" t="inlineStr">
        <is>
          <t>to be performed — see route</t>
        </is>
      </c>
      <c r="Q1131" s="256" t="inlineStr">
        <is>
          <t>outside laboratory — the HPLC cannabinoid certificate discharges Ident C (Farmahem -K- or CNP); in-house iCoA P03 only where none exists</t>
        </is>
      </c>
      <c r="R1131" s="256" t="inlineStr"/>
    </row>
    <row r="1132">
      <c r="A1132" s="256" t="inlineStr">
        <is>
          <t>CoQ-PP_26-050</t>
        </is>
      </c>
      <c r="B1132" s="256" t="inlineStr">
        <is>
          <t>release</t>
        </is>
      </c>
      <c r="C1132" s="256" t="inlineStr">
        <is>
          <t>GRC102501/1</t>
        </is>
      </c>
      <c r="D1132" s="256" t="inlineStr">
        <is>
          <t>P060142</t>
        </is>
      </c>
      <c r="E1132" s="256" t="inlineStr">
        <is>
          <t>Grapes And Cream</t>
        </is>
      </c>
      <c r="F1132" s="256" t="inlineStr">
        <is>
          <t>06.06.2026</t>
        </is>
      </c>
      <c r="G1132" s="256" t="inlineStr">
        <is>
          <t>4</t>
        </is>
      </c>
      <c r="H1132" s="256" t="inlineStr">
        <is>
          <t>Assay — Total Δ⁹-THC</t>
        </is>
      </c>
      <c r="I1132" s="256" t="inlineStr">
        <is>
          <t>Ph. Eur. 2.2.29 (HPLC)</t>
        </is>
      </c>
      <c r="J1132" s="256" t="inlineStr">
        <is>
          <t>Per grade of the potency specification of 15.09.2026 — no Total THC result on file</t>
        </is>
      </c>
      <c r="K1132" s="259" t="inlineStr">
        <is>
          <t>not tested</t>
        </is>
      </c>
      <c r="L1132" s="256" t="inlineStr">
        <is>
          <t>—</t>
        </is>
      </c>
      <c r="M1132" s="256" t="inlineStr">
        <is>
          <t>—</t>
        </is>
      </c>
      <c r="N1132" s="256" t="inlineStr">
        <is>
          <t>—</t>
        </is>
      </c>
      <c r="O1132" s="256" t="inlineStr">
        <is>
          <t>—</t>
        </is>
      </c>
      <c r="P1132" s="256" t="inlineStr">
        <is>
          <t>not tested — no certificate covers it</t>
        </is>
      </c>
      <c r="Q1132" s="256" t="inlineStr"/>
      <c r="R1132" s="256" t="inlineStr">
        <is>
          <t>7.50 (227-16-К/26)</t>
        </is>
      </c>
    </row>
    <row r="1133">
      <c r="A1133" s="256" t="inlineStr">
        <is>
          <t>CoQ-PP_26-050</t>
        </is>
      </c>
      <c r="B1133" s="256" t="inlineStr">
        <is>
          <t>release</t>
        </is>
      </c>
      <c r="C1133" s="256" t="inlineStr">
        <is>
          <t>GRC102501/1</t>
        </is>
      </c>
      <c r="D1133" s="256" t="inlineStr">
        <is>
          <t>P060142</t>
        </is>
      </c>
      <c r="E1133" s="256" t="inlineStr">
        <is>
          <t>Grapes And Cream</t>
        </is>
      </c>
      <c r="F1133" s="256" t="inlineStr">
        <is>
          <t>06.06.2026</t>
        </is>
      </c>
      <c r="G1133" s="256" t="inlineStr">
        <is>
          <t>5</t>
        </is>
      </c>
      <c r="H1133" s="256" t="inlineStr">
        <is>
          <t>Assay — Total CBD</t>
        </is>
      </c>
      <c r="I1133" s="256" t="inlineStr">
        <is>
          <t>Ph. Eur. 2.2.29 (HPLC) · CBD + CBDA x 0.877</t>
        </is>
      </c>
      <c r="J1133" s="256" t="inlineStr">
        <is>
          <t>≤ 1.0%, w/w</t>
        </is>
      </c>
      <c r="K1133" s="259" t="inlineStr">
        <is>
          <t>not tested</t>
        </is>
      </c>
      <c r="L1133" s="256" t="inlineStr">
        <is>
          <t>—</t>
        </is>
      </c>
      <c r="M1133" s="256" t="inlineStr">
        <is>
          <t>—</t>
        </is>
      </c>
      <c r="N1133" s="256" t="inlineStr">
        <is>
          <t>—</t>
        </is>
      </c>
      <c r="O1133" s="256" t="inlineStr">
        <is>
          <t>—</t>
        </is>
      </c>
      <c r="P1133" s="256" t="inlineStr">
        <is>
          <t>not tested — no certificate covers it</t>
        </is>
      </c>
      <c r="Q1133" s="256" t="inlineStr"/>
      <c r="R1133" s="256" t="inlineStr">
        <is>
          <t>&lt;LOQ (227-16-К/26)</t>
        </is>
      </c>
    </row>
    <row r="1134">
      <c r="A1134" s="256" t="inlineStr">
        <is>
          <t>CoQ-PP_26-050</t>
        </is>
      </c>
      <c r="B1134" s="256" t="inlineStr">
        <is>
          <t>release</t>
        </is>
      </c>
      <c r="C1134" s="256" t="inlineStr">
        <is>
          <t>GRC102501/1</t>
        </is>
      </c>
      <c r="D1134" s="256" t="inlineStr">
        <is>
          <t>P060142</t>
        </is>
      </c>
      <c r="E1134" s="256" t="inlineStr">
        <is>
          <t>Grapes And Cream</t>
        </is>
      </c>
      <c r="F1134" s="256" t="inlineStr">
        <is>
          <t>06.06.2026</t>
        </is>
      </c>
      <c r="G1134" s="256" t="inlineStr">
        <is>
          <t>6</t>
        </is>
      </c>
      <c r="H1134" s="256" t="inlineStr">
        <is>
          <t>Total CBN</t>
        </is>
      </c>
      <c r="I1134" s="256" t="inlineStr">
        <is>
          <t>Ph. Eur. 2.2.29 (HPLC) · CBN + CBNA x 0.876</t>
        </is>
      </c>
      <c r="J1134" s="256" t="inlineStr">
        <is>
          <t>≤ 1.0%, w/w</t>
        </is>
      </c>
      <c r="K1134" s="259" t="inlineStr">
        <is>
          <t>not tested</t>
        </is>
      </c>
      <c r="L1134" s="256" t="inlineStr">
        <is>
          <t>—</t>
        </is>
      </c>
      <c r="M1134" s="256" t="inlineStr">
        <is>
          <t>—</t>
        </is>
      </c>
      <c r="N1134" s="256" t="inlineStr">
        <is>
          <t>—</t>
        </is>
      </c>
      <c r="O1134" s="256" t="inlineStr">
        <is>
          <t>—</t>
        </is>
      </c>
      <c r="P1134" s="256" t="inlineStr">
        <is>
          <t>not tested — no certificate covers it</t>
        </is>
      </c>
      <c r="Q1134" s="256" t="inlineStr"/>
      <c r="R1134" s="256" t="inlineStr">
        <is>
          <t>&lt;LOQ (227-16-К/26)</t>
        </is>
      </c>
    </row>
    <row r="1135">
      <c r="A1135" s="256" t="inlineStr">
        <is>
          <t>CoQ-PP_26-050</t>
        </is>
      </c>
      <c r="B1135" s="256" t="inlineStr">
        <is>
          <t>release</t>
        </is>
      </c>
      <c r="C1135" s="256" t="inlineStr">
        <is>
          <t>GRC102501/1</t>
        </is>
      </c>
      <c r="D1135" s="256" t="inlineStr">
        <is>
          <t>P060142</t>
        </is>
      </c>
      <c r="E1135" s="256" t="inlineStr">
        <is>
          <t>Grapes And Cream</t>
        </is>
      </c>
      <c r="F1135" s="256" t="inlineStr">
        <is>
          <t>06.06.2026</t>
        </is>
      </c>
      <c r="G1135" s="256" t="inlineStr">
        <is>
          <t>7</t>
        </is>
      </c>
      <c r="H1135" s="256" t="inlineStr">
        <is>
          <t>Foreign Matter</t>
        </is>
      </c>
      <c r="I1135" s="256" t="inlineStr">
        <is>
          <t>Ph. Eur. 2.8.2 · In-house · интерна</t>
        </is>
      </c>
      <c r="J1135" s="256" t="inlineStr">
        <is>
          <t>≤ 2.0% / 25–50 g · &lt; 1 cm leaves | листови, no seeds | без семки</t>
        </is>
      </c>
      <c r="K1135" s="256" t="inlineStr">
        <is>
          <t>Conforms | Одговара</t>
        </is>
      </c>
      <c r="L1135" s="256" t="inlineStr">
        <is>
          <t>iCoA-PP_26-049</t>
        </is>
      </c>
      <c r="M1135" s="256" t="inlineStr">
        <is>
          <t>03.06.2026</t>
        </is>
      </c>
      <c r="N1135" s="256" t="inlineStr">
        <is>
          <t>Purely Plant GmbH (in-house)</t>
        </is>
      </c>
      <c r="O1135" s="256" t="inlineStr">
        <is>
          <t>—</t>
        </is>
      </c>
      <c r="P1135" s="256" t="inlineStr">
        <is>
          <t>to be performed — see route</t>
        </is>
      </c>
      <c r="Q1135" s="256" t="inlineStr">
        <is>
          <t>Purely Plant laboratory — iCoA covering Foreign matter</t>
        </is>
      </c>
      <c r="R1135" s="256" t="inlineStr"/>
    </row>
    <row r="1136">
      <c r="A1136" s="256" t="inlineStr">
        <is>
          <t>CoQ-PP_26-050</t>
        </is>
      </c>
      <c r="B1136" s="256" t="inlineStr">
        <is>
          <t>release</t>
        </is>
      </c>
      <c r="C1136" s="256" t="inlineStr">
        <is>
          <t>GRC102501/1</t>
        </is>
      </c>
      <c r="D1136" s="256" t="inlineStr">
        <is>
          <t>P060142</t>
        </is>
      </c>
      <c r="E1136" s="256" t="inlineStr">
        <is>
          <t>Grapes And Cream</t>
        </is>
      </c>
      <c r="F1136" s="256" t="inlineStr">
        <is>
          <t>06.06.2026</t>
        </is>
      </c>
      <c r="G1136" s="256" t="inlineStr">
        <is>
          <t>8</t>
        </is>
      </c>
      <c r="H1136" s="256" t="inlineStr">
        <is>
          <t>Loss on Drying</t>
        </is>
      </c>
      <c r="I1136" s="256" t="inlineStr">
        <is>
          <t>Ph. Eur. 2.2.32 (3028) · at 40 °C, 24 h, 15–25 mbar</t>
        </is>
      </c>
      <c r="J1136" s="256" t="inlineStr">
        <is>
          <t>≤ 12.0%</t>
        </is>
      </c>
      <c r="K1136" s="259" t="inlineStr">
        <is>
          <t>not tested</t>
        </is>
      </c>
      <c r="L1136" s="256" t="inlineStr">
        <is>
          <t>—</t>
        </is>
      </c>
      <c r="M1136" s="256" t="inlineStr">
        <is>
          <t>—</t>
        </is>
      </c>
      <c r="N1136" s="256" t="inlineStr">
        <is>
          <t>—</t>
        </is>
      </c>
      <c r="O1136" s="256" t="inlineStr">
        <is>
          <t>—</t>
        </is>
      </c>
      <c r="P1136" s="256" t="inlineStr">
        <is>
          <t>not tested — no certificate covers it</t>
        </is>
      </c>
      <c r="Q1136" s="256" t="inlineStr"/>
      <c r="R1136" s="256" t="inlineStr"/>
    </row>
    <row r="1137">
      <c r="A1137" s="256" t="inlineStr">
        <is>
          <t>CoQ-PP_26-050</t>
        </is>
      </c>
      <c r="B1137" s="256" t="inlineStr">
        <is>
          <t>release</t>
        </is>
      </c>
      <c r="C1137" s="256" t="inlineStr">
        <is>
          <t>GRC102501/1</t>
        </is>
      </c>
      <c r="D1137" s="256" t="inlineStr">
        <is>
          <t>P060142</t>
        </is>
      </c>
      <c r="E1137" s="256" t="inlineStr">
        <is>
          <t>Grapes And Cream</t>
        </is>
      </c>
      <c r="F1137" s="256" t="inlineStr">
        <is>
          <t>06.06.2026</t>
        </is>
      </c>
      <c r="G1137" s="256" t="inlineStr">
        <is>
          <t>9.1</t>
        </is>
      </c>
      <c r="H1137" s="256" t="inlineStr">
        <is>
          <t>TAMC</t>
        </is>
      </c>
      <c r="I1137" s="256" t="inlineStr">
        <is>
          <t>Ph. Eur. 2.6.12 cat. C</t>
        </is>
      </c>
      <c r="J1137" s="256" t="inlineStr">
        <is>
          <t>≤ 10⁵ CFU/g</t>
        </is>
      </c>
      <c r="K1137" s="259" t="inlineStr">
        <is>
          <t>not tested</t>
        </is>
      </c>
      <c r="L1137" s="256" t="inlineStr">
        <is>
          <t>—</t>
        </is>
      </c>
      <c r="M1137" s="256" t="inlineStr">
        <is>
          <t>—</t>
        </is>
      </c>
      <c r="N1137" s="256" t="inlineStr">
        <is>
          <t>—</t>
        </is>
      </c>
      <c r="O1137" s="256" t="inlineStr">
        <is>
          <t>—</t>
        </is>
      </c>
      <c r="P1137" s="256" t="inlineStr">
        <is>
          <t>not tested — no certificate covers it</t>
        </is>
      </c>
      <c r="Q1137" s="256" t="inlineStr"/>
      <c r="R1137" s="256" t="inlineStr"/>
    </row>
    <row r="1138">
      <c r="A1138" s="256" t="inlineStr">
        <is>
          <t>CoQ-PP_26-050</t>
        </is>
      </c>
      <c r="B1138" s="256" t="inlineStr">
        <is>
          <t>release</t>
        </is>
      </c>
      <c r="C1138" s="256" t="inlineStr">
        <is>
          <t>GRC102501/1</t>
        </is>
      </c>
      <c r="D1138" s="256" t="inlineStr">
        <is>
          <t>P060142</t>
        </is>
      </c>
      <c r="E1138" s="256" t="inlineStr">
        <is>
          <t>Grapes And Cream</t>
        </is>
      </c>
      <c r="F1138" s="256" t="inlineStr">
        <is>
          <t>06.06.2026</t>
        </is>
      </c>
      <c r="G1138" s="256" t="inlineStr">
        <is>
          <t>9.2</t>
        </is>
      </c>
      <c r="H1138" s="256" t="inlineStr">
        <is>
          <t>TYMC</t>
        </is>
      </c>
      <c r="I1138" s="256" t="inlineStr">
        <is>
          <t>Ph. Eur. 2.6.12 cat. C</t>
        </is>
      </c>
      <c r="J1138" s="256" t="inlineStr">
        <is>
          <t>≤ 10⁴ CFU/g</t>
        </is>
      </c>
      <c r="K1138" s="259" t="inlineStr">
        <is>
          <t>not tested</t>
        </is>
      </c>
      <c r="L1138" s="256" t="inlineStr">
        <is>
          <t>—</t>
        </is>
      </c>
      <c r="M1138" s="256" t="inlineStr">
        <is>
          <t>—</t>
        </is>
      </c>
      <c r="N1138" s="256" t="inlineStr">
        <is>
          <t>—</t>
        </is>
      </c>
      <c r="O1138" s="256" t="inlineStr">
        <is>
          <t>—</t>
        </is>
      </c>
      <c r="P1138" s="256" t="inlineStr">
        <is>
          <t>not tested — no certificate covers it</t>
        </is>
      </c>
      <c r="Q1138" s="256" t="inlineStr"/>
      <c r="R1138" s="256" t="inlineStr"/>
    </row>
    <row r="1139">
      <c r="A1139" s="256" t="inlineStr">
        <is>
          <t>CoQ-PP_26-050</t>
        </is>
      </c>
      <c r="B1139" s="256" t="inlineStr">
        <is>
          <t>release</t>
        </is>
      </c>
      <c r="C1139" s="256" t="inlineStr">
        <is>
          <t>GRC102501/1</t>
        </is>
      </c>
      <c r="D1139" s="256" t="inlineStr">
        <is>
          <t>P060142</t>
        </is>
      </c>
      <c r="E1139" s="256" t="inlineStr">
        <is>
          <t>Grapes And Cream</t>
        </is>
      </c>
      <c r="F1139" s="256" t="inlineStr">
        <is>
          <t>06.06.2026</t>
        </is>
      </c>
      <c r="G1139" s="256" t="inlineStr">
        <is>
          <t>9.3</t>
        </is>
      </c>
      <c r="H1139" s="256" t="inlineStr">
        <is>
          <t>Bile-tolerant gram-neg.</t>
        </is>
      </c>
      <c r="I1139" s="256" t="inlineStr">
        <is>
          <t>Ph. Eur. 2.6.31 cat. C</t>
        </is>
      </c>
      <c r="J1139" s="256" t="inlineStr">
        <is>
          <t>≤ 10⁴ CFU/g</t>
        </is>
      </c>
      <c r="K1139" s="259" t="inlineStr">
        <is>
          <t>not tested</t>
        </is>
      </c>
      <c r="L1139" s="256" t="inlineStr">
        <is>
          <t>—</t>
        </is>
      </c>
      <c r="M1139" s="256" t="inlineStr">
        <is>
          <t>—</t>
        </is>
      </c>
      <c r="N1139" s="256" t="inlineStr">
        <is>
          <t>—</t>
        </is>
      </c>
      <c r="O1139" s="256" t="inlineStr">
        <is>
          <t>—</t>
        </is>
      </c>
      <c r="P1139" s="256" t="inlineStr">
        <is>
          <t>not tested — no certificate covers it</t>
        </is>
      </c>
      <c r="Q1139" s="256" t="inlineStr"/>
      <c r="R1139" s="256" t="inlineStr"/>
    </row>
    <row r="1140">
      <c r="A1140" s="256" t="inlineStr">
        <is>
          <t>CoQ-PP_26-050</t>
        </is>
      </c>
      <c r="B1140" s="256" t="inlineStr">
        <is>
          <t>release</t>
        </is>
      </c>
      <c r="C1140" s="256" t="inlineStr">
        <is>
          <t>GRC102501/1</t>
        </is>
      </c>
      <c r="D1140" s="256" t="inlineStr">
        <is>
          <t>P060142</t>
        </is>
      </c>
      <c r="E1140" s="256" t="inlineStr">
        <is>
          <t>Grapes And Cream</t>
        </is>
      </c>
      <c r="F1140" s="256" t="inlineStr">
        <is>
          <t>06.06.2026</t>
        </is>
      </c>
      <c r="G1140" s="256" t="inlineStr">
        <is>
          <t>9.4</t>
        </is>
      </c>
      <c r="H1140" s="256" t="inlineStr">
        <is>
          <t>Salmonella</t>
        </is>
      </c>
      <c r="I1140" s="256" t="inlineStr">
        <is>
          <t>Ph. Eur. 2.6.31 cat. C</t>
        </is>
      </c>
      <c r="J1140" s="256" t="inlineStr">
        <is>
          <t>Absence | Отсуство / 25 g</t>
        </is>
      </c>
      <c r="K1140" s="259" t="inlineStr">
        <is>
          <t>not tested</t>
        </is>
      </c>
      <c r="L1140" s="256" t="inlineStr">
        <is>
          <t>—</t>
        </is>
      </c>
      <c r="M1140" s="256" t="inlineStr">
        <is>
          <t>—</t>
        </is>
      </c>
      <c r="N1140" s="256" t="inlineStr">
        <is>
          <t>—</t>
        </is>
      </c>
      <c r="O1140" s="256" t="inlineStr">
        <is>
          <t>—</t>
        </is>
      </c>
      <c r="P1140" s="256" t="inlineStr">
        <is>
          <t>not tested — no certificate covers it</t>
        </is>
      </c>
      <c r="Q1140" s="256" t="inlineStr"/>
      <c r="R1140" s="256" t="inlineStr"/>
    </row>
    <row r="1141">
      <c r="A1141" s="256" t="inlineStr">
        <is>
          <t>CoQ-PP_26-050</t>
        </is>
      </c>
      <c r="B1141" s="256" t="inlineStr">
        <is>
          <t>release</t>
        </is>
      </c>
      <c r="C1141" s="256" t="inlineStr">
        <is>
          <t>GRC102501/1</t>
        </is>
      </c>
      <c r="D1141" s="256" t="inlineStr">
        <is>
          <t>P060142</t>
        </is>
      </c>
      <c r="E1141" s="256" t="inlineStr">
        <is>
          <t>Grapes And Cream</t>
        </is>
      </c>
      <c r="F1141" s="256" t="inlineStr">
        <is>
          <t>06.06.2026</t>
        </is>
      </c>
      <c r="G1141" s="256" t="inlineStr">
        <is>
          <t>9.5</t>
        </is>
      </c>
      <c r="H1141" s="256" t="inlineStr">
        <is>
          <t>Escherichia coli</t>
        </is>
      </c>
      <c r="I1141" s="256" t="inlineStr">
        <is>
          <t>Ph. Eur. 2.6.13 cat. C</t>
        </is>
      </c>
      <c r="J1141" s="256" t="inlineStr">
        <is>
          <t>Absence | Отсуство / 1 g</t>
        </is>
      </c>
      <c r="K1141" s="259" t="inlineStr">
        <is>
          <t>not tested</t>
        </is>
      </c>
      <c r="L1141" s="256" t="inlineStr">
        <is>
          <t>—</t>
        </is>
      </c>
      <c r="M1141" s="256" t="inlineStr">
        <is>
          <t>—</t>
        </is>
      </c>
      <c r="N1141" s="256" t="inlineStr">
        <is>
          <t>—</t>
        </is>
      </c>
      <c r="O1141" s="256" t="inlineStr">
        <is>
          <t>—</t>
        </is>
      </c>
      <c r="P1141" s="256" t="inlineStr">
        <is>
          <t>not tested — no certificate covers it</t>
        </is>
      </c>
      <c r="Q1141" s="256" t="inlineStr"/>
      <c r="R1141" s="256" t="inlineStr"/>
    </row>
    <row r="1142">
      <c r="A1142" s="256" t="inlineStr">
        <is>
          <t>CoQ-PP_26-050</t>
        </is>
      </c>
      <c r="B1142" s="256" t="inlineStr">
        <is>
          <t>release</t>
        </is>
      </c>
      <c r="C1142" s="256" t="inlineStr">
        <is>
          <t>GRC102501/1</t>
        </is>
      </c>
      <c r="D1142" s="256" t="inlineStr">
        <is>
          <t>P060142</t>
        </is>
      </c>
      <c r="E1142" s="256" t="inlineStr">
        <is>
          <t>Grapes And Cream</t>
        </is>
      </c>
      <c r="F1142" s="256" t="inlineStr">
        <is>
          <t>06.06.2026</t>
        </is>
      </c>
      <c r="G1142" s="256" t="inlineStr">
        <is>
          <t>9.6</t>
        </is>
      </c>
      <c r="H1142" s="256" t="inlineStr">
        <is>
          <t>Pseudomonas aeruginosa</t>
        </is>
      </c>
      <c r="I1142" s="256" t="inlineStr">
        <is>
          <t>Ph. Eur. 2.6.13 cat. C</t>
        </is>
      </c>
      <c r="J1142" s="256" t="inlineStr">
        <is>
          <t>Absence | Отсуство / 1 g</t>
        </is>
      </c>
      <c r="K1142" s="260" t="inlineStr">
        <is>
          <t>upon request — not required for release</t>
        </is>
      </c>
      <c r="L1142" s="256" t="inlineStr">
        <is>
          <t>—</t>
        </is>
      </c>
      <c r="M1142" s="256" t="inlineStr">
        <is>
          <t>—</t>
        </is>
      </c>
      <c r="N1142" s="256" t="inlineStr">
        <is>
          <t>—</t>
        </is>
      </c>
      <c r="O1142" s="256" t="inlineStr">
        <is>
          <t>—</t>
        </is>
      </c>
      <c r="P1142" s="256" t="inlineStr">
        <is>
          <t>upon request — not required for release</t>
        </is>
      </c>
      <c r="Q1142" s="256" t="inlineStr"/>
      <c r="R1142" s="256" t="inlineStr"/>
    </row>
    <row r="1143">
      <c r="A1143" s="256" t="inlineStr">
        <is>
          <t>CoQ-PP_26-050</t>
        </is>
      </c>
      <c r="B1143" s="256" t="inlineStr">
        <is>
          <t>release</t>
        </is>
      </c>
      <c r="C1143" s="256" t="inlineStr">
        <is>
          <t>GRC102501/1</t>
        </is>
      </c>
      <c r="D1143" s="256" t="inlineStr">
        <is>
          <t>P060142</t>
        </is>
      </c>
      <c r="E1143" s="256" t="inlineStr">
        <is>
          <t>Grapes And Cream</t>
        </is>
      </c>
      <c r="F1143" s="256" t="inlineStr">
        <is>
          <t>06.06.2026</t>
        </is>
      </c>
      <c r="G1143" s="256" t="inlineStr">
        <is>
          <t>9.7</t>
        </is>
      </c>
      <c r="H1143" s="256" t="inlineStr">
        <is>
          <t>Staphylococcus aureus</t>
        </is>
      </c>
      <c r="I1143" s="256" t="inlineStr">
        <is>
          <t>Ph. Eur. 2.6.13 cat. C</t>
        </is>
      </c>
      <c r="J1143" s="256" t="inlineStr">
        <is>
          <t>Absence | Отсуство / 1 g</t>
        </is>
      </c>
      <c r="K1143" s="260" t="inlineStr">
        <is>
          <t>upon request — not required for release</t>
        </is>
      </c>
      <c r="L1143" s="256" t="inlineStr">
        <is>
          <t>—</t>
        </is>
      </c>
      <c r="M1143" s="256" t="inlineStr">
        <is>
          <t>—</t>
        </is>
      </c>
      <c r="N1143" s="256" t="inlineStr">
        <is>
          <t>—</t>
        </is>
      </c>
      <c r="O1143" s="256" t="inlineStr">
        <is>
          <t>—</t>
        </is>
      </c>
      <c r="P1143" s="256" t="inlineStr">
        <is>
          <t>upon request — not required for release</t>
        </is>
      </c>
      <c r="Q1143" s="256" t="inlineStr"/>
      <c r="R1143" s="256" t="inlineStr"/>
    </row>
    <row r="1144">
      <c r="A1144" s="256" t="inlineStr">
        <is>
          <t>CoQ-PP_26-050</t>
        </is>
      </c>
      <c r="B1144" s="256" t="inlineStr">
        <is>
          <t>release</t>
        </is>
      </c>
      <c r="C1144" s="256" t="inlineStr">
        <is>
          <t>GRC102501/1</t>
        </is>
      </c>
      <c r="D1144" s="256" t="inlineStr">
        <is>
          <t>P060142</t>
        </is>
      </c>
      <c r="E1144" s="256" t="inlineStr">
        <is>
          <t>Grapes And Cream</t>
        </is>
      </c>
      <c r="F1144" s="256" t="inlineStr">
        <is>
          <t>06.06.2026</t>
        </is>
      </c>
      <c r="G1144" s="256" t="inlineStr">
        <is>
          <t>10.1</t>
        </is>
      </c>
      <c r="H1144" s="256" t="inlineStr">
        <is>
          <t>Aflatoxin B₁</t>
        </is>
      </c>
      <c r="I1144" s="256" t="inlineStr">
        <is>
          <t>Ph. Eur. 2.8.18 (HPLC-FLD)</t>
        </is>
      </c>
      <c r="J1144" s="256" t="inlineStr">
        <is>
          <t>≤ 2 µg/kg</t>
        </is>
      </c>
      <c r="K1144" s="259" t="inlineStr">
        <is>
          <t>not tested</t>
        </is>
      </c>
      <c r="L1144" s="256" t="inlineStr">
        <is>
          <t>—</t>
        </is>
      </c>
      <c r="M1144" s="256" t="inlineStr">
        <is>
          <t>—</t>
        </is>
      </c>
      <c r="N1144" s="256" t="inlineStr">
        <is>
          <t>—</t>
        </is>
      </c>
      <c r="O1144" s="256" t="inlineStr">
        <is>
          <t>—</t>
        </is>
      </c>
      <c r="P1144" s="256" t="inlineStr">
        <is>
          <t>not tested — no certificate covers it</t>
        </is>
      </c>
      <c r="Q1144" s="256" t="inlineStr"/>
      <c r="R1144" s="256" t="inlineStr"/>
    </row>
    <row r="1145">
      <c r="A1145" s="256" t="inlineStr">
        <is>
          <t>CoQ-PP_26-050</t>
        </is>
      </c>
      <c r="B1145" s="256" t="inlineStr">
        <is>
          <t>release</t>
        </is>
      </c>
      <c r="C1145" s="256" t="inlineStr">
        <is>
          <t>GRC102501/1</t>
        </is>
      </c>
      <c r="D1145" s="256" t="inlineStr">
        <is>
          <t>P060142</t>
        </is>
      </c>
      <c r="E1145" s="256" t="inlineStr">
        <is>
          <t>Grapes And Cream</t>
        </is>
      </c>
      <c r="F1145" s="256" t="inlineStr">
        <is>
          <t>06.06.2026</t>
        </is>
      </c>
      <c r="G1145" s="256" t="inlineStr">
        <is>
          <t>10.2</t>
        </is>
      </c>
      <c r="H1145" s="256" t="inlineStr">
        <is>
          <t>Aflatoxins ∑</t>
        </is>
      </c>
      <c r="I1145" s="256" t="inlineStr">
        <is>
          <t>Ph. Eur. 2.8.18 (HPLC-FLD)</t>
        </is>
      </c>
      <c r="J1145" s="256" t="inlineStr">
        <is>
          <t>≤ 4 µg/kg</t>
        </is>
      </c>
      <c r="K1145" s="259" t="inlineStr">
        <is>
          <t>not tested</t>
        </is>
      </c>
      <c r="L1145" s="256" t="inlineStr">
        <is>
          <t>—</t>
        </is>
      </c>
      <c r="M1145" s="256" t="inlineStr">
        <is>
          <t>—</t>
        </is>
      </c>
      <c r="N1145" s="256" t="inlineStr">
        <is>
          <t>—</t>
        </is>
      </c>
      <c r="O1145" s="256" t="inlineStr">
        <is>
          <t>—</t>
        </is>
      </c>
      <c r="P1145" s="256" t="inlineStr">
        <is>
          <t>not tested — no certificate covers it</t>
        </is>
      </c>
      <c r="Q1145" s="256" t="inlineStr"/>
      <c r="R1145" s="256" t="inlineStr"/>
    </row>
    <row r="1146">
      <c r="A1146" s="256" t="inlineStr">
        <is>
          <t>CoQ-PP_26-050</t>
        </is>
      </c>
      <c r="B1146" s="256" t="inlineStr">
        <is>
          <t>release</t>
        </is>
      </c>
      <c r="C1146" s="256" t="inlineStr">
        <is>
          <t>GRC102501/1</t>
        </is>
      </c>
      <c r="D1146" s="256" t="inlineStr">
        <is>
          <t>P060142</t>
        </is>
      </c>
      <c r="E1146" s="256" t="inlineStr">
        <is>
          <t>Grapes And Cream</t>
        </is>
      </c>
      <c r="F1146" s="256" t="inlineStr">
        <is>
          <t>06.06.2026</t>
        </is>
      </c>
      <c r="G1146" s="256" t="inlineStr">
        <is>
          <t>10.3</t>
        </is>
      </c>
      <c r="H1146" s="256" t="inlineStr">
        <is>
          <t>Ochratoxin A</t>
        </is>
      </c>
      <c r="I1146" s="256" t="inlineStr">
        <is>
          <t>Ph. Eur. 2.8.22 (HPLC-FLD)</t>
        </is>
      </c>
      <c r="J1146" s="256" t="inlineStr">
        <is>
          <t>≤ 20 µg/kg</t>
        </is>
      </c>
      <c r="K1146" s="259" t="inlineStr">
        <is>
          <t>not tested</t>
        </is>
      </c>
      <c r="L1146" s="256" t="inlineStr">
        <is>
          <t>—</t>
        </is>
      </c>
      <c r="M1146" s="256" t="inlineStr">
        <is>
          <t>—</t>
        </is>
      </c>
      <c r="N1146" s="256" t="inlineStr">
        <is>
          <t>—</t>
        </is>
      </c>
      <c r="O1146" s="256" t="inlineStr">
        <is>
          <t>—</t>
        </is>
      </c>
      <c r="P1146" s="256" t="inlineStr">
        <is>
          <t>not tested — no certificate covers it</t>
        </is>
      </c>
      <c r="Q1146" s="256" t="inlineStr"/>
      <c r="R1146" s="256" t="inlineStr"/>
    </row>
    <row r="1147">
      <c r="A1147" s="256" t="inlineStr">
        <is>
          <t>CoQ-PP_26-050</t>
        </is>
      </c>
      <c r="B1147" s="256" t="inlineStr">
        <is>
          <t>release</t>
        </is>
      </c>
      <c r="C1147" s="256" t="inlineStr">
        <is>
          <t>GRC102501/1</t>
        </is>
      </c>
      <c r="D1147" s="256" t="inlineStr">
        <is>
          <t>P060142</t>
        </is>
      </c>
      <c r="E1147" s="256" t="inlineStr">
        <is>
          <t>Grapes And Cream</t>
        </is>
      </c>
      <c r="F1147" s="256" t="inlineStr">
        <is>
          <t>06.06.2026</t>
        </is>
      </c>
      <c r="G1147" s="256" t="inlineStr">
        <is>
          <t>11.1</t>
        </is>
      </c>
      <c r="H1147" s="256" t="inlineStr">
        <is>
          <t>Lead (Pb)</t>
        </is>
      </c>
      <c r="I1147" s="256" t="inlineStr">
        <is>
          <t>Ph. Eur. 2.4.27 (ICP-MS)</t>
        </is>
      </c>
      <c r="J1147" s="256" t="inlineStr">
        <is>
          <t>≤ 0.5 mg/kg</t>
        </is>
      </c>
      <c r="K1147" s="259" t="inlineStr">
        <is>
          <t>not tested</t>
        </is>
      </c>
      <c r="L1147" s="256" t="inlineStr">
        <is>
          <t>—</t>
        </is>
      </c>
      <c r="M1147" s="256" t="inlineStr">
        <is>
          <t>—</t>
        </is>
      </c>
      <c r="N1147" s="256" t="inlineStr">
        <is>
          <t>—</t>
        </is>
      </c>
      <c r="O1147" s="256" t="inlineStr">
        <is>
          <t>—</t>
        </is>
      </c>
      <c r="P1147" s="256" t="inlineStr">
        <is>
          <t>not tested — no certificate covers it</t>
        </is>
      </c>
      <c r="Q1147" s="256" t="inlineStr"/>
      <c r="R1147" s="256" t="inlineStr"/>
    </row>
    <row r="1148">
      <c r="A1148" s="256" t="inlineStr">
        <is>
          <t>CoQ-PP_26-050</t>
        </is>
      </c>
      <c r="B1148" s="256" t="inlineStr">
        <is>
          <t>release</t>
        </is>
      </c>
      <c r="C1148" s="256" t="inlineStr">
        <is>
          <t>GRC102501/1</t>
        </is>
      </c>
      <c r="D1148" s="256" t="inlineStr">
        <is>
          <t>P060142</t>
        </is>
      </c>
      <c r="E1148" s="256" t="inlineStr">
        <is>
          <t>Grapes And Cream</t>
        </is>
      </c>
      <c r="F1148" s="256" t="inlineStr">
        <is>
          <t>06.06.2026</t>
        </is>
      </c>
      <c r="G1148" s="256" t="inlineStr">
        <is>
          <t>11.2</t>
        </is>
      </c>
      <c r="H1148" s="256" t="inlineStr">
        <is>
          <t>Cadmium (Cd)</t>
        </is>
      </c>
      <c r="I1148" s="256" t="inlineStr">
        <is>
          <t>Ph. Eur. 2.4.27 (ICP-MS)</t>
        </is>
      </c>
      <c r="J1148" s="256" t="inlineStr">
        <is>
          <t>≤ 0.3 mg/kg</t>
        </is>
      </c>
      <c r="K1148" s="259" t="inlineStr">
        <is>
          <t>not tested</t>
        </is>
      </c>
      <c r="L1148" s="256" t="inlineStr">
        <is>
          <t>—</t>
        </is>
      </c>
      <c r="M1148" s="256" t="inlineStr">
        <is>
          <t>—</t>
        </is>
      </c>
      <c r="N1148" s="256" t="inlineStr">
        <is>
          <t>—</t>
        </is>
      </c>
      <c r="O1148" s="256" t="inlineStr">
        <is>
          <t>—</t>
        </is>
      </c>
      <c r="P1148" s="256" t="inlineStr">
        <is>
          <t>not tested — no certificate covers it</t>
        </is>
      </c>
      <c r="Q1148" s="256" t="inlineStr"/>
      <c r="R1148" s="256" t="inlineStr"/>
    </row>
    <row r="1149">
      <c r="A1149" s="256" t="inlineStr">
        <is>
          <t>CoQ-PP_26-050</t>
        </is>
      </c>
      <c r="B1149" s="256" t="inlineStr">
        <is>
          <t>release</t>
        </is>
      </c>
      <c r="C1149" s="256" t="inlineStr">
        <is>
          <t>GRC102501/1</t>
        </is>
      </c>
      <c r="D1149" s="256" t="inlineStr">
        <is>
          <t>P060142</t>
        </is>
      </c>
      <c r="E1149" s="256" t="inlineStr">
        <is>
          <t>Grapes And Cream</t>
        </is>
      </c>
      <c r="F1149" s="256" t="inlineStr">
        <is>
          <t>06.06.2026</t>
        </is>
      </c>
      <c r="G1149" s="256" t="inlineStr">
        <is>
          <t>11.3</t>
        </is>
      </c>
      <c r="H1149" s="256" t="inlineStr">
        <is>
          <t>Arsenic (As)</t>
        </is>
      </c>
      <c r="I1149" s="256" t="inlineStr">
        <is>
          <t>Ph. Eur. 2.4.27 (ICP-MS)</t>
        </is>
      </c>
      <c r="J1149" s="256" t="inlineStr">
        <is>
          <t>≤ 0.2 mg/kg</t>
        </is>
      </c>
      <c r="K1149" s="259" t="inlineStr">
        <is>
          <t>not tested</t>
        </is>
      </c>
      <c r="L1149" s="256" t="inlineStr">
        <is>
          <t>—</t>
        </is>
      </c>
      <c r="M1149" s="256" t="inlineStr">
        <is>
          <t>—</t>
        </is>
      </c>
      <c r="N1149" s="256" t="inlineStr">
        <is>
          <t>—</t>
        </is>
      </c>
      <c r="O1149" s="256" t="inlineStr">
        <is>
          <t>—</t>
        </is>
      </c>
      <c r="P1149" s="256" t="inlineStr">
        <is>
          <t>not tested — no certificate covers it</t>
        </is>
      </c>
      <c r="Q1149" s="256" t="inlineStr"/>
      <c r="R1149" s="256" t="inlineStr"/>
    </row>
    <row r="1150">
      <c r="A1150" s="256" t="inlineStr">
        <is>
          <t>CoQ-PP_26-050</t>
        </is>
      </c>
      <c r="B1150" s="256" t="inlineStr">
        <is>
          <t>release</t>
        </is>
      </c>
      <c r="C1150" s="256" t="inlineStr">
        <is>
          <t>GRC102501/1</t>
        </is>
      </c>
      <c r="D1150" s="256" t="inlineStr">
        <is>
          <t>P060142</t>
        </is>
      </c>
      <c r="E1150" s="256" t="inlineStr">
        <is>
          <t>Grapes And Cream</t>
        </is>
      </c>
      <c r="F1150" s="256" t="inlineStr">
        <is>
          <t>06.06.2026</t>
        </is>
      </c>
      <c r="G1150" s="256" t="inlineStr">
        <is>
          <t>11.4</t>
        </is>
      </c>
      <c r="H1150" s="256" t="inlineStr">
        <is>
          <t>Mercury (Hg)</t>
        </is>
      </c>
      <c r="I1150" s="256" t="inlineStr">
        <is>
          <t>Ph. Eur. 2.4.27 (ICP-MS)</t>
        </is>
      </c>
      <c r="J1150" s="256" t="inlineStr">
        <is>
          <t>≤ 0.1 mg/kg</t>
        </is>
      </c>
      <c r="K1150" s="259" t="inlineStr">
        <is>
          <t>not tested</t>
        </is>
      </c>
      <c r="L1150" s="256" t="inlineStr">
        <is>
          <t>—</t>
        </is>
      </c>
      <c r="M1150" s="256" t="inlineStr">
        <is>
          <t>—</t>
        </is>
      </c>
      <c r="N1150" s="256" t="inlineStr">
        <is>
          <t>—</t>
        </is>
      </c>
      <c r="O1150" s="256" t="inlineStr">
        <is>
          <t>—</t>
        </is>
      </c>
      <c r="P1150" s="256" t="inlineStr">
        <is>
          <t>not tested — no certificate covers it</t>
        </is>
      </c>
      <c r="Q1150" s="256" t="inlineStr"/>
      <c r="R1150" s="256" t="inlineStr"/>
    </row>
    <row r="1151">
      <c r="A1151" s="256" t="inlineStr">
        <is>
          <t>CoQ-PP_26-050</t>
        </is>
      </c>
      <c r="B1151" s="256" t="inlineStr">
        <is>
          <t>release</t>
        </is>
      </c>
      <c r="C1151" s="256" t="inlineStr">
        <is>
          <t>GRC102501/1</t>
        </is>
      </c>
      <c r="D1151" s="256" t="inlineStr">
        <is>
          <t>P060142</t>
        </is>
      </c>
      <c r="E1151" s="256" t="inlineStr">
        <is>
          <t>Grapes And Cream</t>
        </is>
      </c>
      <c r="F1151" s="256" t="inlineStr">
        <is>
          <t>06.06.2026</t>
        </is>
      </c>
      <c r="G1151" s="256" t="inlineStr">
        <is>
          <t>12</t>
        </is>
      </c>
      <c r="H1151" s="256" t="inlineStr">
        <is>
          <t>Pesticide Residues</t>
        </is>
      </c>
      <c r="I1151" s="256" t="inlineStr">
        <is>
          <t>Ph. Eur. 2.8.13 (LC-MS/MS) · CUMCS Equivalency</t>
        </is>
      </c>
      <c r="J1151" s="256" t="inlineStr">
        <is>
          <t>≤ LOQ as per Ph. Eur. 2.8.13 · ≤ LOQ as per CUMCS Equivalency</t>
        </is>
      </c>
      <c r="K1151" s="259" t="inlineStr">
        <is>
          <t>not tested</t>
        </is>
      </c>
      <c r="L1151" s="256" t="inlineStr">
        <is>
          <t>—</t>
        </is>
      </c>
      <c r="M1151" s="256" t="inlineStr">
        <is>
          <t>—</t>
        </is>
      </c>
      <c r="N1151" s="256" t="inlineStr">
        <is>
          <t>—</t>
        </is>
      </c>
      <c r="O1151" s="256" t="inlineStr">
        <is>
          <t>—</t>
        </is>
      </c>
      <c r="P1151" s="256" t="inlineStr">
        <is>
          <t>not tested — no certificate covers it</t>
        </is>
      </c>
      <c r="Q1151" s="256" t="inlineStr"/>
      <c r="R1151" s="256" t="inlineStr"/>
    </row>
    <row r="1152">
      <c r="A1152" s="256" t="inlineStr">
        <is>
          <t>CoQ-PP_26-051</t>
        </is>
      </c>
      <c r="B1152" s="256" t="inlineStr">
        <is>
          <t>release</t>
        </is>
      </c>
      <c r="C1152" s="256" t="inlineStr">
        <is>
          <t>J31102501</t>
        </is>
      </c>
      <c r="D1152" s="256" t="inlineStr">
        <is>
          <t>P060152</t>
        </is>
      </c>
      <c r="E1152" s="256" t="inlineStr">
        <is>
          <t>Jokerz 31</t>
        </is>
      </c>
      <c r="F1152" s="256" t="inlineStr">
        <is>
          <t>06.06.2026</t>
        </is>
      </c>
      <c r="G1152" s="256" t="inlineStr">
        <is>
          <t>1</t>
        </is>
      </c>
      <c r="H1152" s="256" t="inlineStr">
        <is>
          <t>Identification A, Appearance · Macroscopic</t>
        </is>
      </c>
      <c r="I1152" s="256" t="inlineStr">
        <is>
          <t>Ph. Eur. mon. 3028</t>
        </is>
      </c>
      <c r="J1152" s="256" t="inlineStr">
        <is>
          <t>Conforms to the monograph for Cannabis flos (07/2024:3028) in Ph. Eur. 11.0 | Согласно монографија за Cannabis flos (07/2024:3028) во Ph. Eur. 11.0</t>
        </is>
      </c>
      <c r="K1152" s="256" t="inlineStr">
        <is>
          <t>Conforms | Одговара</t>
        </is>
      </c>
      <c r="L1152" s="256" t="inlineStr">
        <is>
          <t>iCoA-PP_26-053</t>
        </is>
      </c>
      <c r="M1152" s="256" t="inlineStr">
        <is>
          <t>03.06.2026</t>
        </is>
      </c>
      <c r="N1152" s="256" t="inlineStr">
        <is>
          <t>Purely Plant GmbH (in-house)</t>
        </is>
      </c>
      <c r="O1152" s="256" t="inlineStr">
        <is>
          <t>—</t>
        </is>
      </c>
      <c r="P1152" s="256" t="inlineStr">
        <is>
          <t>to be performed — see route</t>
        </is>
      </c>
      <c r="Q1152" s="256" t="inlineStr">
        <is>
          <t>Purely Plant laboratory — iCoA covering Ident A + B</t>
        </is>
      </c>
      <c r="R1152" s="256" t="inlineStr"/>
    </row>
    <row r="1153">
      <c r="A1153" s="256" t="inlineStr">
        <is>
          <t>CoQ-PP_26-051</t>
        </is>
      </c>
      <c r="B1153" s="256" t="inlineStr">
        <is>
          <t>release</t>
        </is>
      </c>
      <c r="C1153" s="256" t="inlineStr">
        <is>
          <t>J31102501</t>
        </is>
      </c>
      <c r="D1153" s="256" t="inlineStr">
        <is>
          <t>P060152</t>
        </is>
      </c>
      <c r="E1153" s="256" t="inlineStr">
        <is>
          <t>Jokerz 31</t>
        </is>
      </c>
      <c r="F1153" s="256" t="inlineStr">
        <is>
          <t>06.06.2026</t>
        </is>
      </c>
      <c r="G1153" s="256" t="inlineStr">
        <is>
          <t>2</t>
        </is>
      </c>
      <c r="H1153" s="256" t="inlineStr">
        <is>
          <t>Identification B · Microscopic</t>
        </is>
      </c>
      <c r="I1153" s="256" t="inlineStr">
        <is>
          <t>Ph. Eur. 2.8.23 (microscopy)</t>
        </is>
      </c>
      <c r="J1153" s="256" t="inlineStr">
        <is>
          <t>Conforms to the monograph for Cannabis flos (07/2024:3028) in Ph. Eur. 11.0 | Согласно монографија за Cannabis flos (07/2024:3028) во Ph. Eur. 11.0</t>
        </is>
      </c>
      <c r="K1153" s="256" t="inlineStr">
        <is>
          <t>Conforms | Одговара</t>
        </is>
      </c>
      <c r="L1153" s="256" t="inlineStr">
        <is>
          <t>iCoA-PP_26-053</t>
        </is>
      </c>
      <c r="M1153" s="256" t="inlineStr">
        <is>
          <t>03.06.2026</t>
        </is>
      </c>
      <c r="N1153" s="256" t="inlineStr">
        <is>
          <t>Purely Plant GmbH (in-house)</t>
        </is>
      </c>
      <c r="O1153" s="256" t="inlineStr">
        <is>
          <t>—</t>
        </is>
      </c>
      <c r="P1153" s="256" t="inlineStr">
        <is>
          <t>to be performed — see route</t>
        </is>
      </c>
      <c r="Q1153" s="256" t="inlineStr">
        <is>
          <t>Purely Plant laboratory — iCoA covering Ident A + B</t>
        </is>
      </c>
      <c r="R1153" s="256" t="inlineStr"/>
    </row>
    <row r="1154">
      <c r="A1154" s="256" t="inlineStr">
        <is>
          <t>CoQ-PP_26-051</t>
        </is>
      </c>
      <c r="B1154" s="256" t="inlineStr">
        <is>
          <t>release</t>
        </is>
      </c>
      <c r="C1154" s="256" t="inlineStr">
        <is>
          <t>J31102501</t>
        </is>
      </c>
      <c r="D1154" s="256" t="inlineStr">
        <is>
          <t>P060152</t>
        </is>
      </c>
      <c r="E1154" s="256" t="inlineStr">
        <is>
          <t>Jokerz 31</t>
        </is>
      </c>
      <c r="F1154" s="256" t="inlineStr">
        <is>
          <t>06.06.2026</t>
        </is>
      </c>
      <c r="G1154" s="256" t="inlineStr">
        <is>
          <t>3</t>
        </is>
      </c>
      <c r="H1154" s="256" t="inlineStr">
        <is>
          <t>Identification C · HPLC/HPTLC</t>
        </is>
      </c>
      <c r="I1154" s="256" t="inlineStr">
        <is>
          <t>Ph. Eur. 2.2.29 (3028)</t>
        </is>
      </c>
      <c r="J1154" s="256" t="inlineStr">
        <is>
          <t>Conforms to the monograph for Cannabis flos (07/2024:3028) in Ph. Eur. 11.0 | Согласно монографија за Cannabis flos (07/2024:3028) во Ph. Eur. 11.0</t>
        </is>
      </c>
      <c r="K1154" s="256" t="inlineStr">
        <is>
          <t>Conforms | Одговара</t>
        </is>
      </c>
      <c r="L1154" s="256" t="inlineStr">
        <is>
          <t>051-1-К/26</t>
        </is>
      </c>
      <c r="M1154" s="256" t="inlineStr">
        <is>
          <t>04.03.2026</t>
        </is>
      </c>
      <c r="N1154" s="256" t="inlineStr">
        <is>
          <t>Farmahem</t>
        </is>
      </c>
      <c r="O1154" s="256" t="inlineStr">
        <is>
          <t>23.02.2026</t>
        </is>
      </c>
      <c r="P1154" s="256" t="inlineStr">
        <is>
          <t>covered</t>
        </is>
      </c>
      <c r="Q1154" s="256" t="inlineStr"/>
      <c r="R1154" s="256" t="inlineStr"/>
    </row>
    <row r="1155">
      <c r="A1155" s="256" t="inlineStr">
        <is>
          <t>CoQ-PP_26-051</t>
        </is>
      </c>
      <c r="B1155" s="256" t="inlineStr">
        <is>
          <t>release</t>
        </is>
      </c>
      <c r="C1155" s="256" t="inlineStr">
        <is>
          <t>J31102501</t>
        </is>
      </c>
      <c r="D1155" s="256" t="inlineStr">
        <is>
          <t>P060152</t>
        </is>
      </c>
      <c r="E1155" s="256" t="inlineStr">
        <is>
          <t>Jokerz 31</t>
        </is>
      </c>
      <c r="F1155" s="256" t="inlineStr">
        <is>
          <t>06.06.2026</t>
        </is>
      </c>
      <c r="G1155" s="256" t="inlineStr">
        <is>
          <t>4</t>
        </is>
      </c>
      <c r="H1155" s="256" t="inlineStr">
        <is>
          <t>Assay — Total Δ⁹-THC</t>
        </is>
      </c>
      <c r="I1155" s="256" t="inlineStr">
        <is>
          <t>Ph. Eur. 2.2.29 (HPLC)</t>
        </is>
      </c>
      <c r="J1155" s="256" t="inlineStr">
        <is>
          <t>16.20 – 19.79 %  (grade III, nominal 18.00 ± 1.80)</t>
        </is>
      </c>
      <c r="K1155" s="256" t="inlineStr">
        <is>
          <t>19.14</t>
        </is>
      </c>
      <c r="L1155" s="256" t="inlineStr">
        <is>
          <t>051-1-К/26</t>
        </is>
      </c>
      <c r="M1155" s="256" t="inlineStr">
        <is>
          <t>04.03.2026</t>
        </is>
      </c>
      <c r="N1155" s="256" t="inlineStr">
        <is>
          <t>Farmahem</t>
        </is>
      </c>
      <c r="O1155" s="256" t="inlineStr">
        <is>
          <t>23.02.2026</t>
        </is>
      </c>
      <c r="P1155" s="256" t="inlineStr">
        <is>
          <t>covered</t>
        </is>
      </c>
      <c r="Q1155" s="256" t="inlineStr"/>
      <c r="R1155" s="256" t="inlineStr">
        <is>
          <t>17.32 (197-16-К/26)</t>
        </is>
      </c>
    </row>
    <row r="1156">
      <c r="A1156" s="256" t="inlineStr">
        <is>
          <t>CoQ-PP_26-051</t>
        </is>
      </c>
      <c r="B1156" s="256" t="inlineStr">
        <is>
          <t>release</t>
        </is>
      </c>
      <c r="C1156" s="256" t="inlineStr">
        <is>
          <t>J31102501</t>
        </is>
      </c>
      <c r="D1156" s="256" t="inlineStr">
        <is>
          <t>P060152</t>
        </is>
      </c>
      <c r="E1156" s="256" t="inlineStr">
        <is>
          <t>Jokerz 31</t>
        </is>
      </c>
      <c r="F1156" s="256" t="inlineStr">
        <is>
          <t>06.06.2026</t>
        </is>
      </c>
      <c r="G1156" s="256" t="inlineStr">
        <is>
          <t>5</t>
        </is>
      </c>
      <c r="H1156" s="256" t="inlineStr">
        <is>
          <t>Assay — Total CBD</t>
        </is>
      </c>
      <c r="I1156" s="256" t="inlineStr">
        <is>
          <t>Ph. Eur. 2.2.29 (HPLC) · CBD + CBDA x 0.877</t>
        </is>
      </c>
      <c r="J1156" s="256" t="inlineStr">
        <is>
          <t>≤ 1.0%, w/w</t>
        </is>
      </c>
      <c r="K1156" s="256" t="inlineStr">
        <is>
          <t>&lt; LOQ (&lt;0.20)</t>
        </is>
      </c>
      <c r="L1156" s="256" t="inlineStr">
        <is>
          <t>051-1-К/26</t>
        </is>
      </c>
      <c r="M1156" s="256" t="inlineStr">
        <is>
          <t>04.03.2026</t>
        </is>
      </c>
      <c r="N1156" s="256" t="inlineStr">
        <is>
          <t>Farmahem</t>
        </is>
      </c>
      <c r="O1156" s="256" t="inlineStr">
        <is>
          <t>23.02.2026</t>
        </is>
      </c>
      <c r="P1156" s="256" t="inlineStr">
        <is>
          <t>covered</t>
        </is>
      </c>
      <c r="Q1156" s="256" t="inlineStr"/>
      <c r="R1156" s="256" t="inlineStr">
        <is>
          <t>&lt;LOQ (197-16-К/26)</t>
        </is>
      </c>
    </row>
    <row r="1157">
      <c r="A1157" s="256" t="inlineStr">
        <is>
          <t>CoQ-PP_26-051</t>
        </is>
      </c>
      <c r="B1157" s="256" t="inlineStr">
        <is>
          <t>release</t>
        </is>
      </c>
      <c r="C1157" s="256" t="inlineStr">
        <is>
          <t>J31102501</t>
        </is>
      </c>
      <c r="D1157" s="256" t="inlineStr">
        <is>
          <t>P060152</t>
        </is>
      </c>
      <c r="E1157" s="256" t="inlineStr">
        <is>
          <t>Jokerz 31</t>
        </is>
      </c>
      <c r="F1157" s="256" t="inlineStr">
        <is>
          <t>06.06.2026</t>
        </is>
      </c>
      <c r="G1157" s="256" t="inlineStr">
        <is>
          <t>6</t>
        </is>
      </c>
      <c r="H1157" s="256" t="inlineStr">
        <is>
          <t>Total CBN</t>
        </is>
      </c>
      <c r="I1157" s="256" t="inlineStr">
        <is>
          <t>Ph. Eur. 2.2.29 (HPLC) · CBN + CBNA x 0.876</t>
        </is>
      </c>
      <c r="J1157" s="256" t="inlineStr">
        <is>
          <t>≤ 1.0%, w/w</t>
        </is>
      </c>
      <c r="K1157" s="256" t="inlineStr">
        <is>
          <t>&lt; LOQ</t>
        </is>
      </c>
      <c r="L1157" s="256" t="inlineStr">
        <is>
          <t>051-1-К/26</t>
        </is>
      </c>
      <c r="M1157" s="256" t="inlineStr">
        <is>
          <t>04.03.2026</t>
        </is>
      </c>
      <c r="N1157" s="256" t="inlineStr">
        <is>
          <t>Farmahem</t>
        </is>
      </c>
      <c r="O1157" s="256" t="inlineStr">
        <is>
          <t>23.02.2026</t>
        </is>
      </c>
      <c r="P1157" s="256" t="inlineStr">
        <is>
          <t>covered</t>
        </is>
      </c>
      <c r="Q1157" s="256" t="inlineStr"/>
      <c r="R1157" s="256" t="inlineStr">
        <is>
          <t>&lt;LOQ (197-16-К/26)</t>
        </is>
      </c>
    </row>
    <row r="1158">
      <c r="A1158" s="256" t="inlineStr">
        <is>
          <t>CoQ-PP_26-051</t>
        </is>
      </c>
      <c r="B1158" s="256" t="inlineStr">
        <is>
          <t>release</t>
        </is>
      </c>
      <c r="C1158" s="256" t="inlineStr">
        <is>
          <t>J31102501</t>
        </is>
      </c>
      <c r="D1158" s="256" t="inlineStr">
        <is>
          <t>P060152</t>
        </is>
      </c>
      <c r="E1158" s="256" t="inlineStr">
        <is>
          <t>Jokerz 31</t>
        </is>
      </c>
      <c r="F1158" s="256" t="inlineStr">
        <is>
          <t>06.06.2026</t>
        </is>
      </c>
      <c r="G1158" s="256" t="inlineStr">
        <is>
          <t>7</t>
        </is>
      </c>
      <c r="H1158" s="256" t="inlineStr">
        <is>
          <t>Foreign Matter</t>
        </is>
      </c>
      <c r="I1158" s="256" t="inlineStr">
        <is>
          <t>Ph. Eur. 2.8.2 · In-house · интерна</t>
        </is>
      </c>
      <c r="J1158" s="256" t="inlineStr">
        <is>
          <t>≤ 2.0% / 25–50 g · &lt; 1 cm leaves | листови, no seeds | без семки</t>
        </is>
      </c>
      <c r="K1158" s="256" t="inlineStr">
        <is>
          <t>Conforms | Одговара</t>
        </is>
      </c>
      <c r="L1158" s="256" t="inlineStr">
        <is>
          <t>iCoA-PP_26-053</t>
        </is>
      </c>
      <c r="M1158" s="256" t="inlineStr">
        <is>
          <t>03.06.2026</t>
        </is>
      </c>
      <c r="N1158" s="256" t="inlineStr">
        <is>
          <t>Purely Plant GmbH (in-house)</t>
        </is>
      </c>
      <c r="O1158" s="256" t="inlineStr">
        <is>
          <t>—</t>
        </is>
      </c>
      <c r="P1158" s="256" t="inlineStr">
        <is>
          <t>to be performed — see route</t>
        </is>
      </c>
      <c r="Q1158" s="256" t="inlineStr">
        <is>
          <t>Purely Plant laboratory — iCoA covering Foreign matter</t>
        </is>
      </c>
      <c r="R1158" s="256" t="inlineStr"/>
    </row>
    <row r="1159">
      <c r="A1159" s="256" t="inlineStr">
        <is>
          <t>CoQ-PP_26-051</t>
        </is>
      </c>
      <c r="B1159" s="256" t="inlineStr">
        <is>
          <t>release</t>
        </is>
      </c>
      <c r="C1159" s="256" t="inlineStr">
        <is>
          <t>J31102501</t>
        </is>
      </c>
      <c r="D1159" s="256" t="inlineStr">
        <is>
          <t>P060152</t>
        </is>
      </c>
      <c r="E1159" s="256" t="inlineStr">
        <is>
          <t>Jokerz 31</t>
        </is>
      </c>
      <c r="F1159" s="256" t="inlineStr">
        <is>
          <t>06.06.2026</t>
        </is>
      </c>
      <c r="G1159" s="256" t="inlineStr">
        <is>
          <t>8</t>
        </is>
      </c>
      <c r="H1159" s="256" t="inlineStr">
        <is>
          <t>Loss on Drying</t>
        </is>
      </c>
      <c r="I1159" s="256" t="inlineStr">
        <is>
          <t>Ph. Eur. 2.2.32 (3028) · at 40 °C, 24 h, 15–25 mbar</t>
        </is>
      </c>
      <c r="J1159" s="256" t="inlineStr">
        <is>
          <t>≤ 12.0%</t>
        </is>
      </c>
      <c r="K1159" s="256" t="inlineStr">
        <is>
          <t>6.3</t>
        </is>
      </c>
      <c r="L1159" s="256" t="inlineStr">
        <is>
          <t>051-1-ГС/26</t>
        </is>
      </c>
      <c r="M1159" s="256" t="inlineStr">
        <is>
          <t>02.03.2026</t>
        </is>
      </c>
      <c r="N1159" s="256" t="inlineStr">
        <is>
          <t>Farmahem</t>
        </is>
      </c>
      <c r="O1159" s="256" t="inlineStr">
        <is>
          <t>—</t>
        </is>
      </c>
      <c r="P1159" s="256" t="inlineStr">
        <is>
          <t>covered</t>
        </is>
      </c>
      <c r="Q1159" s="256" t="inlineStr"/>
      <c r="R1159" s="256" t="inlineStr"/>
    </row>
    <row r="1160">
      <c r="A1160" s="256" t="inlineStr">
        <is>
          <t>CoQ-PP_26-051</t>
        </is>
      </c>
      <c r="B1160" s="256" t="inlineStr">
        <is>
          <t>release</t>
        </is>
      </c>
      <c r="C1160" s="256" t="inlineStr">
        <is>
          <t>J31102501</t>
        </is>
      </c>
      <c r="D1160" s="256" t="inlineStr">
        <is>
          <t>P060152</t>
        </is>
      </c>
      <c r="E1160" s="256" t="inlineStr">
        <is>
          <t>Jokerz 31</t>
        </is>
      </c>
      <c r="F1160" s="256" t="inlineStr">
        <is>
          <t>06.06.2026</t>
        </is>
      </c>
      <c r="G1160" s="256" t="inlineStr">
        <is>
          <t>9.1</t>
        </is>
      </c>
      <c r="H1160" s="256" t="inlineStr">
        <is>
          <t>TAMC</t>
        </is>
      </c>
      <c r="I1160" s="256" t="inlineStr">
        <is>
          <t>Ph. Eur. 2.6.12 cat. C</t>
        </is>
      </c>
      <c r="J1160" s="256" t="inlineStr">
        <is>
          <t>≤ 10⁵ CFU/g</t>
        </is>
      </c>
      <c r="K1160" s="256" t="inlineStr">
        <is>
          <t>1.6 × 10²</t>
        </is>
      </c>
      <c r="L1160" s="256" t="inlineStr">
        <is>
          <t>133/0230/26</t>
        </is>
      </c>
      <c r="M1160" s="256" t="inlineStr">
        <is>
          <t>06.03.2026</t>
        </is>
      </c>
      <c r="N1160" s="256" t="inlineStr">
        <is>
          <t>IPH — Institute of Public Health</t>
        </is>
      </c>
      <c r="O1160" s="256" t="inlineStr">
        <is>
          <t>—</t>
        </is>
      </c>
      <c r="P1160" s="256" t="inlineStr">
        <is>
          <t>covered</t>
        </is>
      </c>
      <c r="Q1160" s="256" t="inlineStr"/>
      <c r="R1160" s="256" t="inlineStr"/>
    </row>
    <row r="1161">
      <c r="A1161" s="256" t="inlineStr">
        <is>
          <t>CoQ-PP_26-051</t>
        </is>
      </c>
      <c r="B1161" s="256" t="inlineStr">
        <is>
          <t>release</t>
        </is>
      </c>
      <c r="C1161" s="256" t="inlineStr">
        <is>
          <t>J31102501</t>
        </is>
      </c>
      <c r="D1161" s="256" t="inlineStr">
        <is>
          <t>P060152</t>
        </is>
      </c>
      <c r="E1161" s="256" t="inlineStr">
        <is>
          <t>Jokerz 31</t>
        </is>
      </c>
      <c r="F1161" s="256" t="inlineStr">
        <is>
          <t>06.06.2026</t>
        </is>
      </c>
      <c r="G1161" s="256" t="inlineStr">
        <is>
          <t>9.2</t>
        </is>
      </c>
      <c r="H1161" s="256" t="inlineStr">
        <is>
          <t>TYMC</t>
        </is>
      </c>
      <c r="I1161" s="256" t="inlineStr">
        <is>
          <t>Ph. Eur. 2.6.12 cat. C</t>
        </is>
      </c>
      <c r="J1161" s="256" t="inlineStr">
        <is>
          <t>≤ 10⁴ CFU/g</t>
        </is>
      </c>
      <c r="K1161" s="256" t="inlineStr">
        <is>
          <t>1.9 × 10²</t>
        </is>
      </c>
      <c r="L1161" s="256" t="inlineStr">
        <is>
          <t>133/0230/26</t>
        </is>
      </c>
      <c r="M1161" s="256" t="inlineStr">
        <is>
          <t>06.03.2026</t>
        </is>
      </c>
      <c r="N1161" s="256" t="inlineStr">
        <is>
          <t>IPH — Institute of Public Health</t>
        </is>
      </c>
      <c r="O1161" s="256" t="inlineStr">
        <is>
          <t>—</t>
        </is>
      </c>
      <c r="P1161" s="256" t="inlineStr">
        <is>
          <t>covered</t>
        </is>
      </c>
      <c r="Q1161" s="256" t="inlineStr"/>
      <c r="R1161" s="256" t="inlineStr"/>
    </row>
    <row r="1162">
      <c r="A1162" s="256" t="inlineStr">
        <is>
          <t>CoQ-PP_26-051</t>
        </is>
      </c>
      <c r="B1162" s="256" t="inlineStr">
        <is>
          <t>release</t>
        </is>
      </c>
      <c r="C1162" s="256" t="inlineStr">
        <is>
          <t>J31102501</t>
        </is>
      </c>
      <c r="D1162" s="256" t="inlineStr">
        <is>
          <t>P060152</t>
        </is>
      </c>
      <c r="E1162" s="256" t="inlineStr">
        <is>
          <t>Jokerz 31</t>
        </is>
      </c>
      <c r="F1162" s="256" t="inlineStr">
        <is>
          <t>06.06.2026</t>
        </is>
      </c>
      <c r="G1162" s="256" t="inlineStr">
        <is>
          <t>9.3</t>
        </is>
      </c>
      <c r="H1162" s="256" t="inlineStr">
        <is>
          <t>Bile-tolerant gram-neg.</t>
        </is>
      </c>
      <c r="I1162" s="256" t="inlineStr">
        <is>
          <t>Ph. Eur. 2.6.31 cat. C</t>
        </is>
      </c>
      <c r="J1162" s="256" t="inlineStr">
        <is>
          <t>≤ 10⁴ CFU/g</t>
        </is>
      </c>
      <c r="K1162" s="256" t="inlineStr">
        <is>
          <t>&lt; 10</t>
        </is>
      </c>
      <c r="L1162" s="256" t="inlineStr">
        <is>
          <t>133/0230/26</t>
        </is>
      </c>
      <c r="M1162" s="256" t="inlineStr">
        <is>
          <t>06.03.2026</t>
        </is>
      </c>
      <c r="N1162" s="256" t="inlineStr">
        <is>
          <t>IPH — Institute of Public Health</t>
        </is>
      </c>
      <c r="O1162" s="256" t="inlineStr">
        <is>
          <t>—</t>
        </is>
      </c>
      <c r="P1162" s="256" t="inlineStr">
        <is>
          <t>covered</t>
        </is>
      </c>
      <c r="Q1162" s="256" t="inlineStr"/>
      <c r="R1162" s="256" t="inlineStr"/>
    </row>
    <row r="1163">
      <c r="A1163" s="256" t="inlineStr">
        <is>
          <t>CoQ-PP_26-051</t>
        </is>
      </c>
      <c r="B1163" s="256" t="inlineStr">
        <is>
          <t>release</t>
        </is>
      </c>
      <c r="C1163" s="256" t="inlineStr">
        <is>
          <t>J31102501</t>
        </is>
      </c>
      <c r="D1163" s="256" t="inlineStr">
        <is>
          <t>P060152</t>
        </is>
      </c>
      <c r="E1163" s="256" t="inlineStr">
        <is>
          <t>Jokerz 31</t>
        </is>
      </c>
      <c r="F1163" s="256" t="inlineStr">
        <is>
          <t>06.06.2026</t>
        </is>
      </c>
      <c r="G1163" s="256" t="inlineStr">
        <is>
          <t>9.4</t>
        </is>
      </c>
      <c r="H1163" s="256" t="inlineStr">
        <is>
          <t>Salmonella</t>
        </is>
      </c>
      <c r="I1163" s="256" t="inlineStr">
        <is>
          <t>Ph. Eur. 2.6.31 cat. C</t>
        </is>
      </c>
      <c r="J1163" s="256" t="inlineStr">
        <is>
          <t>Absence | Отсуство / 25 g</t>
        </is>
      </c>
      <c r="K1163" s="256" t="inlineStr">
        <is>
          <t>Absent | Отсутна</t>
        </is>
      </c>
      <c r="L1163" s="256" t="inlineStr">
        <is>
          <t>133/0230/26</t>
        </is>
      </c>
      <c r="M1163" s="256" t="inlineStr">
        <is>
          <t>06.03.2026</t>
        </is>
      </c>
      <c r="N1163" s="256" t="inlineStr">
        <is>
          <t>IPH — Institute of Public Health</t>
        </is>
      </c>
      <c r="O1163" s="256" t="inlineStr">
        <is>
          <t>—</t>
        </is>
      </c>
      <c r="P1163" s="256" t="inlineStr">
        <is>
          <t>covered</t>
        </is>
      </c>
      <c r="Q1163" s="256" t="inlineStr"/>
      <c r="R1163" s="256" t="inlineStr"/>
    </row>
    <row r="1164">
      <c r="A1164" s="256" t="inlineStr">
        <is>
          <t>CoQ-PP_26-051</t>
        </is>
      </c>
      <c r="B1164" s="256" t="inlineStr">
        <is>
          <t>release</t>
        </is>
      </c>
      <c r="C1164" s="256" t="inlineStr">
        <is>
          <t>J31102501</t>
        </is>
      </c>
      <c r="D1164" s="256" t="inlineStr">
        <is>
          <t>P060152</t>
        </is>
      </c>
      <c r="E1164" s="256" t="inlineStr">
        <is>
          <t>Jokerz 31</t>
        </is>
      </c>
      <c r="F1164" s="256" t="inlineStr">
        <is>
          <t>06.06.2026</t>
        </is>
      </c>
      <c r="G1164" s="256" t="inlineStr">
        <is>
          <t>9.5</t>
        </is>
      </c>
      <c r="H1164" s="256" t="inlineStr">
        <is>
          <t>Escherichia coli</t>
        </is>
      </c>
      <c r="I1164" s="256" t="inlineStr">
        <is>
          <t>Ph. Eur. 2.6.13 cat. C</t>
        </is>
      </c>
      <c r="J1164" s="256" t="inlineStr">
        <is>
          <t>Absence | Отсуство / 1 g</t>
        </is>
      </c>
      <c r="K1164" s="256" t="inlineStr">
        <is>
          <t>Absent | Отсутна</t>
        </is>
      </c>
      <c r="L1164" s="256" t="inlineStr">
        <is>
          <t>133/0230/26</t>
        </is>
      </c>
      <c r="M1164" s="256" t="inlineStr">
        <is>
          <t>06.03.2026</t>
        </is>
      </c>
      <c r="N1164" s="256" t="inlineStr">
        <is>
          <t>IPH — Institute of Public Health</t>
        </is>
      </c>
      <c r="O1164" s="256" t="inlineStr">
        <is>
          <t>—</t>
        </is>
      </c>
      <c r="P1164" s="256" t="inlineStr">
        <is>
          <t>covered</t>
        </is>
      </c>
      <c r="Q1164" s="256" t="inlineStr"/>
      <c r="R1164" s="256" t="inlineStr"/>
    </row>
    <row r="1165">
      <c r="A1165" s="256" t="inlineStr">
        <is>
          <t>CoQ-PP_26-051</t>
        </is>
      </c>
      <c r="B1165" s="256" t="inlineStr">
        <is>
          <t>release</t>
        </is>
      </c>
      <c r="C1165" s="256" t="inlineStr">
        <is>
          <t>J31102501</t>
        </is>
      </c>
      <c r="D1165" s="256" t="inlineStr">
        <is>
          <t>P060152</t>
        </is>
      </c>
      <c r="E1165" s="256" t="inlineStr">
        <is>
          <t>Jokerz 31</t>
        </is>
      </c>
      <c r="F1165" s="256" t="inlineStr">
        <is>
          <t>06.06.2026</t>
        </is>
      </c>
      <c r="G1165" s="256" t="inlineStr">
        <is>
          <t>9.6</t>
        </is>
      </c>
      <c r="H1165" s="256" t="inlineStr">
        <is>
          <t>Pseudomonas aeruginosa</t>
        </is>
      </c>
      <c r="I1165" s="256" t="inlineStr">
        <is>
          <t>Ph. Eur. 2.6.13 cat. C</t>
        </is>
      </c>
      <c r="J1165" s="256" t="inlineStr">
        <is>
          <t>Absence | Отсуство / 1 g</t>
        </is>
      </c>
      <c r="K1165" s="260" t="inlineStr">
        <is>
          <t>upon request — not required for release</t>
        </is>
      </c>
      <c r="L1165" s="256" t="inlineStr">
        <is>
          <t>—</t>
        </is>
      </c>
      <c r="M1165" s="256" t="inlineStr">
        <is>
          <t>—</t>
        </is>
      </c>
      <c r="N1165" s="256" t="inlineStr">
        <is>
          <t>—</t>
        </is>
      </c>
      <c r="O1165" s="256" t="inlineStr">
        <is>
          <t>—</t>
        </is>
      </c>
      <c r="P1165" s="256" t="inlineStr">
        <is>
          <t>upon request — not required for release</t>
        </is>
      </c>
      <c r="Q1165" s="256" t="inlineStr"/>
      <c r="R1165" s="256" t="inlineStr"/>
    </row>
    <row r="1166">
      <c r="A1166" s="256" t="inlineStr">
        <is>
          <t>CoQ-PP_26-051</t>
        </is>
      </c>
      <c r="B1166" s="256" t="inlineStr">
        <is>
          <t>release</t>
        </is>
      </c>
      <c r="C1166" s="256" t="inlineStr">
        <is>
          <t>J31102501</t>
        </is>
      </c>
      <c r="D1166" s="256" t="inlineStr">
        <is>
          <t>P060152</t>
        </is>
      </c>
      <c r="E1166" s="256" t="inlineStr">
        <is>
          <t>Jokerz 31</t>
        </is>
      </c>
      <c r="F1166" s="256" t="inlineStr">
        <is>
          <t>06.06.2026</t>
        </is>
      </c>
      <c r="G1166" s="256" t="inlineStr">
        <is>
          <t>9.7</t>
        </is>
      </c>
      <c r="H1166" s="256" t="inlineStr">
        <is>
          <t>Staphylococcus aureus</t>
        </is>
      </c>
      <c r="I1166" s="256" t="inlineStr">
        <is>
          <t>Ph. Eur. 2.6.13 cat. C</t>
        </is>
      </c>
      <c r="J1166" s="256" t="inlineStr">
        <is>
          <t>Absence | Отсуство / 1 g</t>
        </is>
      </c>
      <c r="K1166" s="260" t="inlineStr">
        <is>
          <t>upon request — not required for release</t>
        </is>
      </c>
      <c r="L1166" s="256" t="inlineStr">
        <is>
          <t>—</t>
        </is>
      </c>
      <c r="M1166" s="256" t="inlineStr">
        <is>
          <t>—</t>
        </is>
      </c>
      <c r="N1166" s="256" t="inlineStr">
        <is>
          <t>—</t>
        </is>
      </c>
      <c r="O1166" s="256" t="inlineStr">
        <is>
          <t>—</t>
        </is>
      </c>
      <c r="P1166" s="256" t="inlineStr">
        <is>
          <t>upon request — not required for release</t>
        </is>
      </c>
      <c r="Q1166" s="256" t="inlineStr"/>
      <c r="R1166" s="256" t="inlineStr"/>
    </row>
    <row r="1167">
      <c r="A1167" s="256" t="inlineStr">
        <is>
          <t>CoQ-PP_26-051</t>
        </is>
      </c>
      <c r="B1167" s="256" t="inlineStr">
        <is>
          <t>release</t>
        </is>
      </c>
      <c r="C1167" s="256" t="inlineStr">
        <is>
          <t>J31102501</t>
        </is>
      </c>
      <c r="D1167" s="256" t="inlineStr">
        <is>
          <t>P060152</t>
        </is>
      </c>
      <c r="E1167" s="256" t="inlineStr">
        <is>
          <t>Jokerz 31</t>
        </is>
      </c>
      <c r="F1167" s="256" t="inlineStr">
        <is>
          <t>06.06.2026</t>
        </is>
      </c>
      <c r="G1167" s="256" t="inlineStr">
        <is>
          <t>10.1</t>
        </is>
      </c>
      <c r="H1167" s="256" t="inlineStr">
        <is>
          <t>Aflatoxin B₁</t>
        </is>
      </c>
      <c r="I1167" s="256" t="inlineStr">
        <is>
          <t>Ph. Eur. 2.8.18 (HPLC-FLD)</t>
        </is>
      </c>
      <c r="J1167" s="256" t="inlineStr">
        <is>
          <t>≤ 2 µg/kg</t>
        </is>
      </c>
      <c r="K1167" s="259" t="inlineStr">
        <is>
          <t>not tested</t>
        </is>
      </c>
      <c r="L1167" s="256" t="inlineStr">
        <is>
          <t>—</t>
        </is>
      </c>
      <c r="M1167" s="256" t="inlineStr">
        <is>
          <t>—</t>
        </is>
      </c>
      <c r="N1167" s="256" t="inlineStr">
        <is>
          <t>—</t>
        </is>
      </c>
      <c r="O1167" s="256" t="inlineStr">
        <is>
          <t>—</t>
        </is>
      </c>
      <c r="P1167" s="256" t="inlineStr">
        <is>
          <t>not tested — no certificate covers it</t>
        </is>
      </c>
      <c r="Q1167" s="256" t="inlineStr"/>
      <c r="R1167" s="256" t="inlineStr">
        <is>
          <t>ND (197-16-М/26)</t>
        </is>
      </c>
    </row>
    <row r="1168">
      <c r="A1168" s="256" t="inlineStr">
        <is>
          <t>CoQ-PP_26-051</t>
        </is>
      </c>
      <c r="B1168" s="256" t="inlineStr">
        <is>
          <t>release</t>
        </is>
      </c>
      <c r="C1168" s="256" t="inlineStr">
        <is>
          <t>J31102501</t>
        </is>
      </c>
      <c r="D1168" s="256" t="inlineStr">
        <is>
          <t>P060152</t>
        </is>
      </c>
      <c r="E1168" s="256" t="inlineStr">
        <is>
          <t>Jokerz 31</t>
        </is>
      </c>
      <c r="F1168" s="256" t="inlineStr">
        <is>
          <t>06.06.2026</t>
        </is>
      </c>
      <c r="G1168" s="256" t="inlineStr">
        <is>
          <t>10.2</t>
        </is>
      </c>
      <c r="H1168" s="256" t="inlineStr">
        <is>
          <t>Aflatoxins ∑</t>
        </is>
      </c>
      <c r="I1168" s="256" t="inlineStr">
        <is>
          <t>Ph. Eur. 2.8.18 (HPLC-FLD)</t>
        </is>
      </c>
      <c r="J1168" s="256" t="inlineStr">
        <is>
          <t>≤ 4 µg/kg</t>
        </is>
      </c>
      <c r="K1168" s="256" t="inlineStr">
        <is>
          <t>&lt; 2</t>
        </is>
      </c>
      <c r="L1168" s="256" t="inlineStr">
        <is>
          <t>1056/2026</t>
        </is>
      </c>
      <c r="M1168" s="256" t="inlineStr">
        <is>
          <t>09.03.2026</t>
        </is>
      </c>
      <c r="N1168" s="256" t="inlineStr">
        <is>
          <t>IPH — Institute of Public Health</t>
        </is>
      </c>
      <c r="O1168" s="256" t="inlineStr">
        <is>
          <t>—</t>
        </is>
      </c>
      <c r="P1168" s="256" t="inlineStr">
        <is>
          <t>covered</t>
        </is>
      </c>
      <c r="Q1168" s="256" t="inlineStr"/>
      <c r="R1168" s="256" t="inlineStr">
        <is>
          <t>ND (197-16-М/26)</t>
        </is>
      </c>
    </row>
    <row r="1169">
      <c r="A1169" s="256" t="inlineStr">
        <is>
          <t>CoQ-PP_26-051</t>
        </is>
      </c>
      <c r="B1169" s="256" t="inlineStr">
        <is>
          <t>release</t>
        </is>
      </c>
      <c r="C1169" s="256" t="inlineStr">
        <is>
          <t>J31102501</t>
        </is>
      </c>
      <c r="D1169" s="256" t="inlineStr">
        <is>
          <t>P060152</t>
        </is>
      </c>
      <c r="E1169" s="256" t="inlineStr">
        <is>
          <t>Jokerz 31</t>
        </is>
      </c>
      <c r="F1169" s="256" t="inlineStr">
        <is>
          <t>06.06.2026</t>
        </is>
      </c>
      <c r="G1169" s="256" t="inlineStr">
        <is>
          <t>10.3</t>
        </is>
      </c>
      <c r="H1169" s="256" t="inlineStr">
        <is>
          <t>Ochratoxin A</t>
        </is>
      </c>
      <c r="I1169" s="256" t="inlineStr">
        <is>
          <t>Ph. Eur. 2.8.22 (HPLC-FLD)</t>
        </is>
      </c>
      <c r="J1169" s="256" t="inlineStr">
        <is>
          <t>≤ 20 µg/kg</t>
        </is>
      </c>
      <c r="K1169" s="259" t="inlineStr">
        <is>
          <t>not tested</t>
        </is>
      </c>
      <c r="L1169" s="256" t="inlineStr">
        <is>
          <t>—</t>
        </is>
      </c>
      <c r="M1169" s="256" t="inlineStr">
        <is>
          <t>—</t>
        </is>
      </c>
      <c r="N1169" s="256" t="inlineStr">
        <is>
          <t>—</t>
        </is>
      </c>
      <c r="O1169" s="256" t="inlineStr">
        <is>
          <t>—</t>
        </is>
      </c>
      <c r="P1169" s="256" t="inlineStr">
        <is>
          <t>not tested — no certificate covers it</t>
        </is>
      </c>
      <c r="Q1169" s="256" t="inlineStr"/>
      <c r="R1169" s="256" t="inlineStr">
        <is>
          <t>ND (197-16-М/26)</t>
        </is>
      </c>
    </row>
    <row r="1170">
      <c r="A1170" s="256" t="inlineStr">
        <is>
          <t>CoQ-PP_26-051</t>
        </is>
      </c>
      <c r="B1170" s="256" t="inlineStr">
        <is>
          <t>release</t>
        </is>
      </c>
      <c r="C1170" s="256" t="inlineStr">
        <is>
          <t>J31102501</t>
        </is>
      </c>
      <c r="D1170" s="256" t="inlineStr">
        <is>
          <t>P060152</t>
        </is>
      </c>
      <c r="E1170" s="256" t="inlineStr">
        <is>
          <t>Jokerz 31</t>
        </is>
      </c>
      <c r="F1170" s="256" t="inlineStr">
        <is>
          <t>06.06.2026</t>
        </is>
      </c>
      <c r="G1170" s="256" t="inlineStr">
        <is>
          <t>11.1</t>
        </is>
      </c>
      <c r="H1170" s="256" t="inlineStr">
        <is>
          <t>Lead (Pb)</t>
        </is>
      </c>
      <c r="I1170" s="256" t="inlineStr">
        <is>
          <t>Ph. Eur. 2.4.27 (ICP-MS)</t>
        </is>
      </c>
      <c r="J1170" s="256" t="inlineStr">
        <is>
          <t>≤ 0.5 mg/kg</t>
        </is>
      </c>
      <c r="K1170" s="256" t="inlineStr">
        <is>
          <t>0.061</t>
        </is>
      </c>
      <c r="L1170" s="256" t="inlineStr">
        <is>
          <t>1056/2026</t>
        </is>
      </c>
      <c r="M1170" s="256" t="inlineStr">
        <is>
          <t>09.03.2026</t>
        </is>
      </c>
      <c r="N1170" s="256" t="inlineStr">
        <is>
          <t>IPH — Institute of Public Health</t>
        </is>
      </c>
      <c r="O1170" s="256" t="inlineStr">
        <is>
          <t>—</t>
        </is>
      </c>
      <c r="P1170" s="256" t="inlineStr">
        <is>
          <t>covered</t>
        </is>
      </c>
      <c r="Q1170" s="256" t="inlineStr"/>
      <c r="R1170" s="256" t="inlineStr"/>
    </row>
    <row r="1171">
      <c r="A1171" s="256" t="inlineStr">
        <is>
          <t>CoQ-PP_26-051</t>
        </is>
      </c>
      <c r="B1171" s="256" t="inlineStr">
        <is>
          <t>release</t>
        </is>
      </c>
      <c r="C1171" s="256" t="inlineStr">
        <is>
          <t>J31102501</t>
        </is>
      </c>
      <c r="D1171" s="256" t="inlineStr">
        <is>
          <t>P060152</t>
        </is>
      </c>
      <c r="E1171" s="256" t="inlineStr">
        <is>
          <t>Jokerz 31</t>
        </is>
      </c>
      <c r="F1171" s="256" t="inlineStr">
        <is>
          <t>06.06.2026</t>
        </is>
      </c>
      <c r="G1171" s="256" t="inlineStr">
        <is>
          <t>11.2</t>
        </is>
      </c>
      <c r="H1171" s="256" t="inlineStr">
        <is>
          <t>Cadmium (Cd)</t>
        </is>
      </c>
      <c r="I1171" s="256" t="inlineStr">
        <is>
          <t>Ph. Eur. 2.4.27 (ICP-MS)</t>
        </is>
      </c>
      <c r="J1171" s="256" t="inlineStr">
        <is>
          <t>≤ 0.3 mg/kg</t>
        </is>
      </c>
      <c r="K1171" s="256" t="inlineStr">
        <is>
          <t>ND</t>
        </is>
      </c>
      <c r="L1171" s="256" t="inlineStr">
        <is>
          <t>1056/2026</t>
        </is>
      </c>
      <c r="M1171" s="256" t="inlineStr">
        <is>
          <t>09.03.2026</t>
        </is>
      </c>
      <c r="N1171" s="256" t="inlineStr">
        <is>
          <t>IPH — Institute of Public Health</t>
        </is>
      </c>
      <c r="O1171" s="256" t="inlineStr">
        <is>
          <t>—</t>
        </is>
      </c>
      <c r="P1171" s="256" t="inlineStr">
        <is>
          <t>covered</t>
        </is>
      </c>
      <c r="Q1171" s="256" t="inlineStr"/>
      <c r="R1171" s="256" t="inlineStr"/>
    </row>
    <row r="1172">
      <c r="A1172" s="256" t="inlineStr">
        <is>
          <t>CoQ-PP_26-051</t>
        </is>
      </c>
      <c r="B1172" s="256" t="inlineStr">
        <is>
          <t>release</t>
        </is>
      </c>
      <c r="C1172" s="256" t="inlineStr">
        <is>
          <t>J31102501</t>
        </is>
      </c>
      <c r="D1172" s="256" t="inlineStr">
        <is>
          <t>P060152</t>
        </is>
      </c>
      <c r="E1172" s="256" t="inlineStr">
        <is>
          <t>Jokerz 31</t>
        </is>
      </c>
      <c r="F1172" s="256" t="inlineStr">
        <is>
          <t>06.06.2026</t>
        </is>
      </c>
      <c r="G1172" s="256" t="inlineStr">
        <is>
          <t>11.3</t>
        </is>
      </c>
      <c r="H1172" s="256" t="inlineStr">
        <is>
          <t>Arsenic (As)</t>
        </is>
      </c>
      <c r="I1172" s="256" t="inlineStr">
        <is>
          <t>Ph. Eur. 2.4.27 (ICP-MS)</t>
        </is>
      </c>
      <c r="J1172" s="256" t="inlineStr">
        <is>
          <t>≤ 0.2 mg/kg</t>
        </is>
      </c>
      <c r="K1172" s="256" t="inlineStr">
        <is>
          <t>ND</t>
        </is>
      </c>
      <c r="L1172" s="256" t="inlineStr">
        <is>
          <t>1056/2026</t>
        </is>
      </c>
      <c r="M1172" s="256" t="inlineStr">
        <is>
          <t>09.03.2026</t>
        </is>
      </c>
      <c r="N1172" s="256" t="inlineStr">
        <is>
          <t>IPH — Institute of Public Health</t>
        </is>
      </c>
      <c r="O1172" s="256" t="inlineStr">
        <is>
          <t>—</t>
        </is>
      </c>
      <c r="P1172" s="256" t="inlineStr">
        <is>
          <t>covered</t>
        </is>
      </c>
      <c r="Q1172" s="256" t="inlineStr"/>
      <c r="R1172" s="256" t="inlineStr"/>
    </row>
    <row r="1173">
      <c r="A1173" s="256" t="inlineStr">
        <is>
          <t>CoQ-PP_26-051</t>
        </is>
      </c>
      <c r="B1173" s="256" t="inlineStr">
        <is>
          <t>release</t>
        </is>
      </c>
      <c r="C1173" s="256" t="inlineStr">
        <is>
          <t>J31102501</t>
        </is>
      </c>
      <c r="D1173" s="256" t="inlineStr">
        <is>
          <t>P060152</t>
        </is>
      </c>
      <c r="E1173" s="256" t="inlineStr">
        <is>
          <t>Jokerz 31</t>
        </is>
      </c>
      <c r="F1173" s="256" t="inlineStr">
        <is>
          <t>06.06.2026</t>
        </is>
      </c>
      <c r="G1173" s="256" t="inlineStr">
        <is>
          <t>11.4</t>
        </is>
      </c>
      <c r="H1173" s="256" t="inlineStr">
        <is>
          <t>Mercury (Hg)</t>
        </is>
      </c>
      <c r="I1173" s="256" t="inlineStr">
        <is>
          <t>Ph. Eur. 2.4.27 (ICP-MS)</t>
        </is>
      </c>
      <c r="J1173" s="256" t="inlineStr">
        <is>
          <t>≤ 0.1 mg/kg</t>
        </is>
      </c>
      <c r="K1173" s="256" t="inlineStr">
        <is>
          <t>ND</t>
        </is>
      </c>
      <c r="L1173" s="256" t="inlineStr">
        <is>
          <t>1056/2026</t>
        </is>
      </c>
      <c r="M1173" s="256" t="inlineStr">
        <is>
          <t>09.03.2026</t>
        </is>
      </c>
      <c r="N1173" s="256" t="inlineStr">
        <is>
          <t>IPH — Institute of Public Health</t>
        </is>
      </c>
      <c r="O1173" s="256" t="inlineStr">
        <is>
          <t>—</t>
        </is>
      </c>
      <c r="P1173" s="256" t="inlineStr">
        <is>
          <t>covered</t>
        </is>
      </c>
      <c r="Q1173" s="256" t="inlineStr"/>
      <c r="R1173" s="256" t="inlineStr"/>
    </row>
    <row r="1174">
      <c r="A1174" s="256" t="inlineStr">
        <is>
          <t>CoQ-PP_26-051</t>
        </is>
      </c>
      <c r="B1174" s="256" t="inlineStr">
        <is>
          <t>release</t>
        </is>
      </c>
      <c r="C1174" s="256" t="inlineStr">
        <is>
          <t>J31102501</t>
        </is>
      </c>
      <c r="D1174" s="256" t="inlineStr">
        <is>
          <t>P060152</t>
        </is>
      </c>
      <c r="E1174" s="256" t="inlineStr">
        <is>
          <t>Jokerz 31</t>
        </is>
      </c>
      <c r="F1174" s="256" t="inlineStr">
        <is>
          <t>06.06.2026</t>
        </is>
      </c>
      <c r="G1174" s="256" t="inlineStr">
        <is>
          <t>12</t>
        </is>
      </c>
      <c r="H1174" s="256" t="inlineStr">
        <is>
          <t>Pesticide Residues</t>
        </is>
      </c>
      <c r="I1174" s="256" t="inlineStr">
        <is>
          <t>Ph. Eur. 2.8.13 (LC-MS/MS) · CUMCS Equivalency</t>
        </is>
      </c>
      <c r="J1174" s="256" t="inlineStr">
        <is>
          <t>≤ LOQ as per Ph. Eur. 2.8.13 · ≤ LOQ as per CUMCS Equivalency</t>
        </is>
      </c>
      <c r="K1174" s="256" t="inlineStr">
        <is>
          <t>ND mg/kg — all 25 residues</t>
        </is>
      </c>
      <c r="L1174" s="256" t="inlineStr">
        <is>
          <t>1056/2026</t>
        </is>
      </c>
      <c r="M1174" s="256" t="inlineStr">
        <is>
          <t>09.03.2026</t>
        </is>
      </c>
      <c r="N1174" s="256" t="inlineStr">
        <is>
          <t>IJZ</t>
        </is>
      </c>
      <c r="O1174" s="256" t="inlineStr">
        <is>
          <t>—</t>
        </is>
      </c>
      <c r="P1174" s="256" t="inlineStr">
        <is>
          <t>covered</t>
        </is>
      </c>
      <c r="Q1174" s="256" t="inlineStr"/>
      <c r="R1174" s="256" t="inlineStr"/>
    </row>
    <row r="1175">
      <c r="A1175" s="256" t="inlineStr">
        <is>
          <t>CoQ-PP_26-052</t>
        </is>
      </c>
      <c r="B1175" s="256" t="inlineStr">
        <is>
          <t>release</t>
        </is>
      </c>
      <c r="C1175" s="256" t="inlineStr">
        <is>
          <t>SJ102501</t>
        </is>
      </c>
      <c r="D1175" s="256" t="inlineStr">
        <is>
          <t>— no P lot assigned —</t>
        </is>
      </c>
      <c r="E1175" s="256" t="inlineStr">
        <is>
          <t>Sleepy Joe</t>
        </is>
      </c>
      <c r="F1175" s="256" t="inlineStr">
        <is>
          <t>06.06.2026</t>
        </is>
      </c>
      <c r="G1175" s="256" t="inlineStr">
        <is>
          <t>1</t>
        </is>
      </c>
      <c r="H1175" s="256" t="inlineStr">
        <is>
          <t>Identification A, Appearance · Macroscopic</t>
        </is>
      </c>
      <c r="I1175" s="256" t="inlineStr">
        <is>
          <t>Ph. Eur. mon. 3028</t>
        </is>
      </c>
      <c r="J1175" s="256" t="inlineStr">
        <is>
          <t>Conforms to the monograph for Cannabis flos (07/2024:3028) in Ph. Eur. 11.0 | Согласно монографија за Cannabis flos (07/2024:3028) во Ph. Eur. 11.0</t>
        </is>
      </c>
      <c r="K1175" s="256" t="inlineStr">
        <is>
          <t>Conforms | Одговара</t>
        </is>
      </c>
      <c r="L1175" s="256" t="inlineStr">
        <is>
          <t>iCoA-PP_26-055</t>
        </is>
      </c>
      <c r="M1175" s="256" t="inlineStr">
        <is>
          <t>03.06.2026</t>
        </is>
      </c>
      <c r="N1175" s="256" t="inlineStr">
        <is>
          <t>Purely Plant GmbH (in-house)</t>
        </is>
      </c>
      <c r="O1175" s="256" t="inlineStr">
        <is>
          <t>—</t>
        </is>
      </c>
      <c r="P1175" s="256" t="inlineStr">
        <is>
          <t>to be performed — see route</t>
        </is>
      </c>
      <c r="Q1175" s="256" t="inlineStr">
        <is>
          <t>Purely Plant laboratory — iCoA covering Ident A + B</t>
        </is>
      </c>
      <c r="R1175" s="256" t="inlineStr"/>
    </row>
    <row r="1176">
      <c r="A1176" s="256" t="inlineStr">
        <is>
          <t>CoQ-PP_26-052</t>
        </is>
      </c>
      <c r="B1176" s="256" t="inlineStr">
        <is>
          <t>release</t>
        </is>
      </c>
      <c r="C1176" s="256" t="inlineStr">
        <is>
          <t>SJ102501</t>
        </is>
      </c>
      <c r="D1176" s="256" t="inlineStr">
        <is>
          <t>— no P lot assigned —</t>
        </is>
      </c>
      <c r="E1176" s="256" t="inlineStr">
        <is>
          <t>Sleepy Joe</t>
        </is>
      </c>
      <c r="F1176" s="256" t="inlineStr">
        <is>
          <t>06.06.2026</t>
        </is>
      </c>
      <c r="G1176" s="256" t="inlineStr">
        <is>
          <t>2</t>
        </is>
      </c>
      <c r="H1176" s="256" t="inlineStr">
        <is>
          <t>Identification B · Microscopic</t>
        </is>
      </c>
      <c r="I1176" s="256" t="inlineStr">
        <is>
          <t>Ph. Eur. 2.8.23 (microscopy)</t>
        </is>
      </c>
      <c r="J1176" s="256" t="inlineStr">
        <is>
          <t>Conforms to the monograph for Cannabis flos (07/2024:3028) in Ph. Eur. 11.0 | Согласно монографија за Cannabis flos (07/2024:3028) во Ph. Eur. 11.0</t>
        </is>
      </c>
      <c r="K1176" s="256" t="inlineStr">
        <is>
          <t>Conforms | Одговара</t>
        </is>
      </c>
      <c r="L1176" s="256" t="inlineStr">
        <is>
          <t>iCoA-PP_26-055</t>
        </is>
      </c>
      <c r="M1176" s="256" t="inlineStr">
        <is>
          <t>03.06.2026</t>
        </is>
      </c>
      <c r="N1176" s="256" t="inlineStr">
        <is>
          <t>Purely Plant GmbH (in-house)</t>
        </is>
      </c>
      <c r="O1176" s="256" t="inlineStr">
        <is>
          <t>—</t>
        </is>
      </c>
      <c r="P1176" s="256" t="inlineStr">
        <is>
          <t>to be performed — see route</t>
        </is>
      </c>
      <c r="Q1176" s="256" t="inlineStr">
        <is>
          <t>Purely Plant laboratory — iCoA covering Ident A + B</t>
        </is>
      </c>
      <c r="R1176" s="256" t="inlineStr"/>
    </row>
    <row r="1177">
      <c r="A1177" s="256" t="inlineStr">
        <is>
          <t>CoQ-PP_26-052</t>
        </is>
      </c>
      <c r="B1177" s="256" t="inlineStr">
        <is>
          <t>release</t>
        </is>
      </c>
      <c r="C1177" s="256" t="inlineStr">
        <is>
          <t>SJ102501</t>
        </is>
      </c>
      <c r="D1177" s="256" t="inlineStr">
        <is>
          <t>— no P lot assigned —</t>
        </is>
      </c>
      <c r="E1177" s="256" t="inlineStr">
        <is>
          <t>Sleepy Joe</t>
        </is>
      </c>
      <c r="F1177" s="256" t="inlineStr">
        <is>
          <t>06.06.2026</t>
        </is>
      </c>
      <c r="G1177" s="256" t="inlineStr">
        <is>
          <t>3</t>
        </is>
      </c>
      <c r="H1177" s="256" t="inlineStr">
        <is>
          <t>Identification C · HPLC/HPTLC</t>
        </is>
      </c>
      <c r="I1177" s="256" t="inlineStr">
        <is>
          <t>Ph. Eur. 2.2.29 (3028)</t>
        </is>
      </c>
      <c r="J1177" s="256" t="inlineStr">
        <is>
          <t>Conforms to the monograph for Cannabis flos (07/2024:3028) in Ph. Eur. 11.0 | Согласно монографија за Cannabis flos (07/2024:3028) во Ph. Eur. 11.0</t>
        </is>
      </c>
      <c r="K1177" s="256" t="inlineStr">
        <is>
          <t>Conforms | Одговара</t>
        </is>
      </c>
      <c r="L1177" s="256" t="inlineStr">
        <is>
          <t>051-3-К/26</t>
        </is>
      </c>
      <c r="M1177" s="256" t="inlineStr">
        <is>
          <t>04.03.2026</t>
        </is>
      </c>
      <c r="N1177" s="256" t="inlineStr">
        <is>
          <t>Farmahem</t>
        </is>
      </c>
      <c r="O1177" s="256" t="inlineStr">
        <is>
          <t>23.02.2026</t>
        </is>
      </c>
      <c r="P1177" s="256" t="inlineStr">
        <is>
          <t>covered</t>
        </is>
      </c>
      <c r="Q1177" s="256" t="inlineStr"/>
      <c r="R1177" s="256" t="inlineStr"/>
    </row>
    <row r="1178">
      <c r="A1178" s="256" t="inlineStr">
        <is>
          <t>CoQ-PP_26-052</t>
        </is>
      </c>
      <c r="B1178" s="256" t="inlineStr">
        <is>
          <t>release</t>
        </is>
      </c>
      <c r="C1178" s="256" t="inlineStr">
        <is>
          <t>SJ102501</t>
        </is>
      </c>
      <c r="D1178" s="256" t="inlineStr">
        <is>
          <t>— no P lot assigned —</t>
        </is>
      </c>
      <c r="E1178" s="256" t="inlineStr">
        <is>
          <t>Sleepy Joe</t>
        </is>
      </c>
      <c r="F1178" s="256" t="inlineStr">
        <is>
          <t>06.06.2026</t>
        </is>
      </c>
      <c r="G1178" s="256" t="inlineStr">
        <is>
          <t>4</t>
        </is>
      </c>
      <c r="H1178" s="256" t="inlineStr">
        <is>
          <t>Assay — Total Δ⁹-THC</t>
        </is>
      </c>
      <c r="I1178" s="256" t="inlineStr">
        <is>
          <t>Ph. Eur. 2.2.29 (HPLC)</t>
        </is>
      </c>
      <c r="J1178" s="256" t="inlineStr">
        <is>
          <t>11.00 – 12.99 %  (grade I, nominal 12.00 ± 1.00)</t>
        </is>
      </c>
      <c r="K1178" s="256" t="inlineStr">
        <is>
          <t>11.20</t>
        </is>
      </c>
      <c r="L1178" s="256" t="inlineStr">
        <is>
          <t>051-3-К/26</t>
        </is>
      </c>
      <c r="M1178" s="256" t="inlineStr">
        <is>
          <t>04.03.2026</t>
        </is>
      </c>
      <c r="N1178" s="256" t="inlineStr">
        <is>
          <t>Farmahem</t>
        </is>
      </c>
      <c r="O1178" s="256" t="inlineStr">
        <is>
          <t>23.02.2026</t>
        </is>
      </c>
      <c r="P1178" s="256" t="inlineStr">
        <is>
          <t>covered</t>
        </is>
      </c>
      <c r="Q1178" s="256" t="inlineStr"/>
      <c r="R1178" s="256" t="inlineStr">
        <is>
          <t>10.61 (227-6-К/26)</t>
        </is>
      </c>
    </row>
    <row r="1179">
      <c r="A1179" s="256" t="inlineStr">
        <is>
          <t>CoQ-PP_26-052</t>
        </is>
      </c>
      <c r="B1179" s="256" t="inlineStr">
        <is>
          <t>release</t>
        </is>
      </c>
      <c r="C1179" s="256" t="inlineStr">
        <is>
          <t>SJ102501</t>
        </is>
      </c>
      <c r="D1179" s="256" t="inlineStr">
        <is>
          <t>— no P lot assigned —</t>
        </is>
      </c>
      <c r="E1179" s="256" t="inlineStr">
        <is>
          <t>Sleepy Joe</t>
        </is>
      </c>
      <c r="F1179" s="256" t="inlineStr">
        <is>
          <t>06.06.2026</t>
        </is>
      </c>
      <c r="G1179" s="256" t="inlineStr">
        <is>
          <t>5</t>
        </is>
      </c>
      <c r="H1179" s="256" t="inlineStr">
        <is>
          <t>Assay — Total CBD</t>
        </is>
      </c>
      <c r="I1179" s="256" t="inlineStr">
        <is>
          <t>Ph. Eur. 2.2.29 (HPLC) · CBD + CBDA x 0.877</t>
        </is>
      </c>
      <c r="J1179" s="256" t="inlineStr">
        <is>
          <t>≤ 1.0%, w/w</t>
        </is>
      </c>
      <c r="K1179" s="256" t="inlineStr">
        <is>
          <t>&lt; LOQ (&lt;0.20)</t>
        </is>
      </c>
      <c r="L1179" s="256" t="inlineStr">
        <is>
          <t>051-3-К/26</t>
        </is>
      </c>
      <c r="M1179" s="256" t="inlineStr">
        <is>
          <t>04.03.2026</t>
        </is>
      </c>
      <c r="N1179" s="256" t="inlineStr">
        <is>
          <t>Farmahem</t>
        </is>
      </c>
      <c r="O1179" s="256" t="inlineStr">
        <is>
          <t>23.02.2026</t>
        </is>
      </c>
      <c r="P1179" s="256" t="inlineStr">
        <is>
          <t>covered</t>
        </is>
      </c>
      <c r="Q1179" s="256" t="inlineStr"/>
      <c r="R1179" s="256" t="inlineStr">
        <is>
          <t>&lt;LOQ (227-6-К/26)</t>
        </is>
      </c>
    </row>
    <row r="1180">
      <c r="A1180" s="256" t="inlineStr">
        <is>
          <t>CoQ-PP_26-052</t>
        </is>
      </c>
      <c r="B1180" s="256" t="inlineStr">
        <is>
          <t>release</t>
        </is>
      </c>
      <c r="C1180" s="256" t="inlineStr">
        <is>
          <t>SJ102501</t>
        </is>
      </c>
      <c r="D1180" s="256" t="inlineStr">
        <is>
          <t>— no P lot assigned —</t>
        </is>
      </c>
      <c r="E1180" s="256" t="inlineStr">
        <is>
          <t>Sleepy Joe</t>
        </is>
      </c>
      <c r="F1180" s="256" t="inlineStr">
        <is>
          <t>06.06.2026</t>
        </is>
      </c>
      <c r="G1180" s="256" t="inlineStr">
        <is>
          <t>6</t>
        </is>
      </c>
      <c r="H1180" s="256" t="inlineStr">
        <is>
          <t>Total CBN</t>
        </is>
      </c>
      <c r="I1180" s="256" t="inlineStr">
        <is>
          <t>Ph. Eur. 2.2.29 (HPLC) · CBN + CBNA x 0.876</t>
        </is>
      </c>
      <c r="J1180" s="256" t="inlineStr">
        <is>
          <t>≤ 1.0%, w/w</t>
        </is>
      </c>
      <c r="K1180" s="256" t="inlineStr">
        <is>
          <t>&lt; LOQ</t>
        </is>
      </c>
      <c r="L1180" s="256" t="inlineStr">
        <is>
          <t>051-3-К/26</t>
        </is>
      </c>
      <c r="M1180" s="256" t="inlineStr">
        <is>
          <t>04.03.2026</t>
        </is>
      </c>
      <c r="N1180" s="256" t="inlineStr">
        <is>
          <t>Farmahem</t>
        </is>
      </c>
      <c r="O1180" s="256" t="inlineStr">
        <is>
          <t>23.02.2026</t>
        </is>
      </c>
      <c r="P1180" s="256" t="inlineStr">
        <is>
          <t>covered</t>
        </is>
      </c>
      <c r="Q1180" s="256" t="inlineStr"/>
      <c r="R1180" s="256" t="inlineStr">
        <is>
          <t>&lt;LOQ (227-6-К/26)</t>
        </is>
      </c>
    </row>
    <row r="1181">
      <c r="A1181" s="256" t="inlineStr">
        <is>
          <t>CoQ-PP_26-052</t>
        </is>
      </c>
      <c r="B1181" s="256" t="inlineStr">
        <is>
          <t>release</t>
        </is>
      </c>
      <c r="C1181" s="256" t="inlineStr">
        <is>
          <t>SJ102501</t>
        </is>
      </c>
      <c r="D1181" s="256" t="inlineStr">
        <is>
          <t>— no P lot assigned —</t>
        </is>
      </c>
      <c r="E1181" s="256" t="inlineStr">
        <is>
          <t>Sleepy Joe</t>
        </is>
      </c>
      <c r="F1181" s="256" t="inlineStr">
        <is>
          <t>06.06.2026</t>
        </is>
      </c>
      <c r="G1181" s="256" t="inlineStr">
        <is>
          <t>7</t>
        </is>
      </c>
      <c r="H1181" s="256" t="inlineStr">
        <is>
          <t>Foreign Matter</t>
        </is>
      </c>
      <c r="I1181" s="256" t="inlineStr">
        <is>
          <t>Ph. Eur. 2.8.2 · In-house · интерна</t>
        </is>
      </c>
      <c r="J1181" s="256" t="inlineStr">
        <is>
          <t>≤ 2.0% / 25–50 g · &lt; 1 cm leaves | листови, no seeds | без семки</t>
        </is>
      </c>
      <c r="K1181" s="256" t="inlineStr">
        <is>
          <t>Conforms | Одговара</t>
        </is>
      </c>
      <c r="L1181" s="256" t="inlineStr">
        <is>
          <t>iCoA-PP_26-055</t>
        </is>
      </c>
      <c r="M1181" s="256" t="inlineStr">
        <is>
          <t>03.06.2026</t>
        </is>
      </c>
      <c r="N1181" s="256" t="inlineStr">
        <is>
          <t>Purely Plant GmbH (in-house)</t>
        </is>
      </c>
      <c r="O1181" s="256" t="inlineStr">
        <is>
          <t>—</t>
        </is>
      </c>
      <c r="P1181" s="256" t="inlineStr">
        <is>
          <t>to be performed — see route</t>
        </is>
      </c>
      <c r="Q1181" s="256" t="inlineStr">
        <is>
          <t>Purely Plant laboratory — iCoA covering Foreign matter</t>
        </is>
      </c>
      <c r="R1181" s="256" t="inlineStr"/>
    </row>
    <row r="1182">
      <c r="A1182" s="256" t="inlineStr">
        <is>
          <t>CoQ-PP_26-052</t>
        </is>
      </c>
      <c r="B1182" s="256" t="inlineStr">
        <is>
          <t>release</t>
        </is>
      </c>
      <c r="C1182" s="256" t="inlineStr">
        <is>
          <t>SJ102501</t>
        </is>
      </c>
      <c r="D1182" s="256" t="inlineStr">
        <is>
          <t>— no P lot assigned —</t>
        </is>
      </c>
      <c r="E1182" s="256" t="inlineStr">
        <is>
          <t>Sleepy Joe</t>
        </is>
      </c>
      <c r="F1182" s="256" t="inlineStr">
        <is>
          <t>06.06.2026</t>
        </is>
      </c>
      <c r="G1182" s="256" t="inlineStr">
        <is>
          <t>8</t>
        </is>
      </c>
      <c r="H1182" s="256" t="inlineStr">
        <is>
          <t>Loss on Drying</t>
        </is>
      </c>
      <c r="I1182" s="256" t="inlineStr">
        <is>
          <t>Ph. Eur. 2.2.32 (3028) · at 40 °C, 24 h, 15–25 mbar</t>
        </is>
      </c>
      <c r="J1182" s="256" t="inlineStr">
        <is>
          <t>≤ 12.0%</t>
        </is>
      </c>
      <c r="K1182" s="256" t="inlineStr">
        <is>
          <t>7.8</t>
        </is>
      </c>
      <c r="L1182" s="256" t="inlineStr">
        <is>
          <t>051-3-ГС/26</t>
        </is>
      </c>
      <c r="M1182" s="256" t="inlineStr">
        <is>
          <t>02.03.2026</t>
        </is>
      </c>
      <c r="N1182" s="256" t="inlineStr">
        <is>
          <t>Farmahem</t>
        </is>
      </c>
      <c r="O1182" s="256" t="inlineStr">
        <is>
          <t>—</t>
        </is>
      </c>
      <c r="P1182" s="256" t="inlineStr">
        <is>
          <t>covered</t>
        </is>
      </c>
      <c r="Q1182" s="256" t="inlineStr"/>
      <c r="R1182" s="256" t="inlineStr"/>
    </row>
    <row r="1183">
      <c r="A1183" s="256" t="inlineStr">
        <is>
          <t>CoQ-PP_26-052</t>
        </is>
      </c>
      <c r="B1183" s="256" t="inlineStr">
        <is>
          <t>release</t>
        </is>
      </c>
      <c r="C1183" s="256" t="inlineStr">
        <is>
          <t>SJ102501</t>
        </is>
      </c>
      <c r="D1183" s="256" t="inlineStr">
        <is>
          <t>— no P lot assigned —</t>
        </is>
      </c>
      <c r="E1183" s="256" t="inlineStr">
        <is>
          <t>Sleepy Joe</t>
        </is>
      </c>
      <c r="F1183" s="256" t="inlineStr">
        <is>
          <t>06.06.2026</t>
        </is>
      </c>
      <c r="G1183" s="256" t="inlineStr">
        <is>
          <t>9.1</t>
        </is>
      </c>
      <c r="H1183" s="256" t="inlineStr">
        <is>
          <t>TAMC</t>
        </is>
      </c>
      <c r="I1183" s="256" t="inlineStr">
        <is>
          <t>Ph. Eur. 2.6.12 cat. C</t>
        </is>
      </c>
      <c r="J1183" s="256" t="inlineStr">
        <is>
          <t>≤ 10⁵ CFU/g</t>
        </is>
      </c>
      <c r="K1183" s="259" t="inlineStr">
        <is>
          <t>not tested</t>
        </is>
      </c>
      <c r="L1183" s="256" t="inlineStr">
        <is>
          <t>—</t>
        </is>
      </c>
      <c r="M1183" s="256" t="inlineStr">
        <is>
          <t>—</t>
        </is>
      </c>
      <c r="N1183" s="256" t="inlineStr">
        <is>
          <t>—</t>
        </is>
      </c>
      <c r="O1183" s="256" t="inlineStr">
        <is>
          <t>—</t>
        </is>
      </c>
      <c r="P1183" s="256" t="inlineStr">
        <is>
          <t>not tested — no certificate covers it</t>
        </is>
      </c>
      <c r="Q1183" s="256" t="inlineStr"/>
      <c r="R1183" s="256" t="inlineStr"/>
    </row>
    <row r="1184">
      <c r="A1184" s="256" t="inlineStr">
        <is>
          <t>CoQ-PP_26-052</t>
        </is>
      </c>
      <c r="B1184" s="256" t="inlineStr">
        <is>
          <t>release</t>
        </is>
      </c>
      <c r="C1184" s="256" t="inlineStr">
        <is>
          <t>SJ102501</t>
        </is>
      </c>
      <c r="D1184" s="256" t="inlineStr">
        <is>
          <t>— no P lot assigned —</t>
        </is>
      </c>
      <c r="E1184" s="256" t="inlineStr">
        <is>
          <t>Sleepy Joe</t>
        </is>
      </c>
      <c r="F1184" s="256" t="inlineStr">
        <is>
          <t>06.06.2026</t>
        </is>
      </c>
      <c r="G1184" s="256" t="inlineStr">
        <is>
          <t>9.2</t>
        </is>
      </c>
      <c r="H1184" s="256" t="inlineStr">
        <is>
          <t>TYMC</t>
        </is>
      </c>
      <c r="I1184" s="256" t="inlineStr">
        <is>
          <t>Ph. Eur. 2.6.12 cat. C</t>
        </is>
      </c>
      <c r="J1184" s="256" t="inlineStr">
        <is>
          <t>≤ 10⁴ CFU/g</t>
        </is>
      </c>
      <c r="K1184" s="259" t="inlineStr">
        <is>
          <t>not tested</t>
        </is>
      </c>
      <c r="L1184" s="256" t="inlineStr">
        <is>
          <t>—</t>
        </is>
      </c>
      <c r="M1184" s="256" t="inlineStr">
        <is>
          <t>—</t>
        </is>
      </c>
      <c r="N1184" s="256" t="inlineStr">
        <is>
          <t>—</t>
        </is>
      </c>
      <c r="O1184" s="256" t="inlineStr">
        <is>
          <t>—</t>
        </is>
      </c>
      <c r="P1184" s="256" t="inlineStr">
        <is>
          <t>not tested — no certificate covers it</t>
        </is>
      </c>
      <c r="Q1184" s="256" t="inlineStr"/>
      <c r="R1184" s="256" t="inlineStr"/>
    </row>
    <row r="1185">
      <c r="A1185" s="256" t="inlineStr">
        <is>
          <t>CoQ-PP_26-052</t>
        </is>
      </c>
      <c r="B1185" s="256" t="inlineStr">
        <is>
          <t>release</t>
        </is>
      </c>
      <c r="C1185" s="256" t="inlineStr">
        <is>
          <t>SJ102501</t>
        </is>
      </c>
      <c r="D1185" s="256" t="inlineStr">
        <is>
          <t>— no P lot assigned —</t>
        </is>
      </c>
      <c r="E1185" s="256" t="inlineStr">
        <is>
          <t>Sleepy Joe</t>
        </is>
      </c>
      <c r="F1185" s="256" t="inlineStr">
        <is>
          <t>06.06.2026</t>
        </is>
      </c>
      <c r="G1185" s="256" t="inlineStr">
        <is>
          <t>9.3</t>
        </is>
      </c>
      <c r="H1185" s="256" t="inlineStr">
        <is>
          <t>Bile-tolerant gram-neg.</t>
        </is>
      </c>
      <c r="I1185" s="256" t="inlineStr">
        <is>
          <t>Ph. Eur. 2.6.31 cat. C</t>
        </is>
      </c>
      <c r="J1185" s="256" t="inlineStr">
        <is>
          <t>≤ 10⁴ CFU/g</t>
        </is>
      </c>
      <c r="K1185" s="259" t="inlineStr">
        <is>
          <t>not tested</t>
        </is>
      </c>
      <c r="L1185" s="256" t="inlineStr">
        <is>
          <t>—</t>
        </is>
      </c>
      <c r="M1185" s="256" t="inlineStr">
        <is>
          <t>—</t>
        </is>
      </c>
      <c r="N1185" s="256" t="inlineStr">
        <is>
          <t>—</t>
        </is>
      </c>
      <c r="O1185" s="256" t="inlineStr">
        <is>
          <t>—</t>
        </is>
      </c>
      <c r="P1185" s="256" t="inlineStr">
        <is>
          <t>not tested — no certificate covers it</t>
        </is>
      </c>
      <c r="Q1185" s="256" t="inlineStr"/>
      <c r="R1185" s="256" t="inlineStr"/>
    </row>
    <row r="1186">
      <c r="A1186" s="256" t="inlineStr">
        <is>
          <t>CoQ-PP_26-052</t>
        </is>
      </c>
      <c r="B1186" s="256" t="inlineStr">
        <is>
          <t>release</t>
        </is>
      </c>
      <c r="C1186" s="256" t="inlineStr">
        <is>
          <t>SJ102501</t>
        </is>
      </c>
      <c r="D1186" s="256" t="inlineStr">
        <is>
          <t>— no P lot assigned —</t>
        </is>
      </c>
      <c r="E1186" s="256" t="inlineStr">
        <is>
          <t>Sleepy Joe</t>
        </is>
      </c>
      <c r="F1186" s="256" t="inlineStr">
        <is>
          <t>06.06.2026</t>
        </is>
      </c>
      <c r="G1186" s="256" t="inlineStr">
        <is>
          <t>9.4</t>
        </is>
      </c>
      <c r="H1186" s="256" t="inlineStr">
        <is>
          <t>Salmonella</t>
        </is>
      </c>
      <c r="I1186" s="256" t="inlineStr">
        <is>
          <t>Ph. Eur. 2.6.31 cat. C</t>
        </is>
      </c>
      <c r="J1186" s="256" t="inlineStr">
        <is>
          <t>Absence | Отсуство / 25 g</t>
        </is>
      </c>
      <c r="K1186" s="259" t="inlineStr">
        <is>
          <t>not tested</t>
        </is>
      </c>
      <c r="L1186" s="256" t="inlineStr">
        <is>
          <t>—</t>
        </is>
      </c>
      <c r="M1186" s="256" t="inlineStr">
        <is>
          <t>—</t>
        </is>
      </c>
      <c r="N1186" s="256" t="inlineStr">
        <is>
          <t>—</t>
        </is>
      </c>
      <c r="O1186" s="256" t="inlineStr">
        <is>
          <t>—</t>
        </is>
      </c>
      <c r="P1186" s="256" t="inlineStr">
        <is>
          <t>not tested — no certificate covers it</t>
        </is>
      </c>
      <c r="Q1186" s="256" t="inlineStr"/>
      <c r="R1186" s="256" t="inlineStr"/>
    </row>
    <row r="1187">
      <c r="A1187" s="256" t="inlineStr">
        <is>
          <t>CoQ-PP_26-052</t>
        </is>
      </c>
      <c r="B1187" s="256" t="inlineStr">
        <is>
          <t>release</t>
        </is>
      </c>
      <c r="C1187" s="256" t="inlineStr">
        <is>
          <t>SJ102501</t>
        </is>
      </c>
      <c r="D1187" s="256" t="inlineStr">
        <is>
          <t>— no P lot assigned —</t>
        </is>
      </c>
      <c r="E1187" s="256" t="inlineStr">
        <is>
          <t>Sleepy Joe</t>
        </is>
      </c>
      <c r="F1187" s="256" t="inlineStr">
        <is>
          <t>06.06.2026</t>
        </is>
      </c>
      <c r="G1187" s="256" t="inlineStr">
        <is>
          <t>9.5</t>
        </is>
      </c>
      <c r="H1187" s="256" t="inlineStr">
        <is>
          <t>Escherichia coli</t>
        </is>
      </c>
      <c r="I1187" s="256" t="inlineStr">
        <is>
          <t>Ph. Eur. 2.6.13 cat. C</t>
        </is>
      </c>
      <c r="J1187" s="256" t="inlineStr">
        <is>
          <t>Absence | Отсуство / 1 g</t>
        </is>
      </c>
      <c r="K1187" s="259" t="inlineStr">
        <is>
          <t>not tested</t>
        </is>
      </c>
      <c r="L1187" s="256" t="inlineStr">
        <is>
          <t>—</t>
        </is>
      </c>
      <c r="M1187" s="256" t="inlineStr">
        <is>
          <t>—</t>
        </is>
      </c>
      <c r="N1187" s="256" t="inlineStr">
        <is>
          <t>—</t>
        </is>
      </c>
      <c r="O1187" s="256" t="inlineStr">
        <is>
          <t>—</t>
        </is>
      </c>
      <c r="P1187" s="256" t="inlineStr">
        <is>
          <t>not tested — no certificate covers it</t>
        </is>
      </c>
      <c r="Q1187" s="256" t="inlineStr"/>
      <c r="R1187" s="256" t="inlineStr"/>
    </row>
    <row r="1188">
      <c r="A1188" s="256" t="inlineStr">
        <is>
          <t>CoQ-PP_26-052</t>
        </is>
      </c>
      <c r="B1188" s="256" t="inlineStr">
        <is>
          <t>release</t>
        </is>
      </c>
      <c r="C1188" s="256" t="inlineStr">
        <is>
          <t>SJ102501</t>
        </is>
      </c>
      <c r="D1188" s="256" t="inlineStr">
        <is>
          <t>— no P lot assigned —</t>
        </is>
      </c>
      <c r="E1188" s="256" t="inlineStr">
        <is>
          <t>Sleepy Joe</t>
        </is>
      </c>
      <c r="F1188" s="256" t="inlineStr">
        <is>
          <t>06.06.2026</t>
        </is>
      </c>
      <c r="G1188" s="256" t="inlineStr">
        <is>
          <t>9.6</t>
        </is>
      </c>
      <c r="H1188" s="256" t="inlineStr">
        <is>
          <t>Pseudomonas aeruginosa</t>
        </is>
      </c>
      <c r="I1188" s="256" t="inlineStr">
        <is>
          <t>Ph. Eur. 2.6.13 cat. C</t>
        </is>
      </c>
      <c r="J1188" s="256" t="inlineStr">
        <is>
          <t>Absence | Отсуство / 1 g</t>
        </is>
      </c>
      <c r="K1188" s="260" t="inlineStr">
        <is>
          <t>upon request — not required for release</t>
        </is>
      </c>
      <c r="L1188" s="256" t="inlineStr">
        <is>
          <t>—</t>
        </is>
      </c>
      <c r="M1188" s="256" t="inlineStr">
        <is>
          <t>—</t>
        </is>
      </c>
      <c r="N1188" s="256" t="inlineStr">
        <is>
          <t>—</t>
        </is>
      </c>
      <c r="O1188" s="256" t="inlineStr">
        <is>
          <t>—</t>
        </is>
      </c>
      <c r="P1188" s="256" t="inlineStr">
        <is>
          <t>upon request — not required for release</t>
        </is>
      </c>
      <c r="Q1188" s="256" t="inlineStr"/>
      <c r="R1188" s="256" t="inlineStr"/>
    </row>
    <row r="1189">
      <c r="A1189" s="256" t="inlineStr">
        <is>
          <t>CoQ-PP_26-052</t>
        </is>
      </c>
      <c r="B1189" s="256" t="inlineStr">
        <is>
          <t>release</t>
        </is>
      </c>
      <c r="C1189" s="256" t="inlineStr">
        <is>
          <t>SJ102501</t>
        </is>
      </c>
      <c r="D1189" s="256" t="inlineStr">
        <is>
          <t>— no P lot assigned —</t>
        </is>
      </c>
      <c r="E1189" s="256" t="inlineStr">
        <is>
          <t>Sleepy Joe</t>
        </is>
      </c>
      <c r="F1189" s="256" t="inlineStr">
        <is>
          <t>06.06.2026</t>
        </is>
      </c>
      <c r="G1189" s="256" t="inlineStr">
        <is>
          <t>9.7</t>
        </is>
      </c>
      <c r="H1189" s="256" t="inlineStr">
        <is>
          <t>Staphylococcus aureus</t>
        </is>
      </c>
      <c r="I1189" s="256" t="inlineStr">
        <is>
          <t>Ph. Eur. 2.6.13 cat. C</t>
        </is>
      </c>
      <c r="J1189" s="256" t="inlineStr">
        <is>
          <t>Absence | Отсуство / 1 g</t>
        </is>
      </c>
      <c r="K1189" s="260" t="inlineStr">
        <is>
          <t>upon request — not required for release</t>
        </is>
      </c>
      <c r="L1189" s="256" t="inlineStr">
        <is>
          <t>—</t>
        </is>
      </c>
      <c r="M1189" s="256" t="inlineStr">
        <is>
          <t>—</t>
        </is>
      </c>
      <c r="N1189" s="256" t="inlineStr">
        <is>
          <t>—</t>
        </is>
      </c>
      <c r="O1189" s="256" t="inlineStr">
        <is>
          <t>—</t>
        </is>
      </c>
      <c r="P1189" s="256" t="inlineStr">
        <is>
          <t>upon request — not required for release</t>
        </is>
      </c>
      <c r="Q1189" s="256" t="inlineStr"/>
      <c r="R1189" s="256" t="inlineStr"/>
    </row>
    <row r="1190">
      <c r="A1190" s="256" t="inlineStr">
        <is>
          <t>CoQ-PP_26-052</t>
        </is>
      </c>
      <c r="B1190" s="256" t="inlineStr">
        <is>
          <t>release</t>
        </is>
      </c>
      <c r="C1190" s="256" t="inlineStr">
        <is>
          <t>SJ102501</t>
        </is>
      </c>
      <c r="D1190" s="256" t="inlineStr">
        <is>
          <t>— no P lot assigned —</t>
        </is>
      </c>
      <c r="E1190" s="256" t="inlineStr">
        <is>
          <t>Sleepy Joe</t>
        </is>
      </c>
      <c r="F1190" s="256" t="inlineStr">
        <is>
          <t>06.06.2026</t>
        </is>
      </c>
      <c r="G1190" s="256" t="inlineStr">
        <is>
          <t>10.1</t>
        </is>
      </c>
      <c r="H1190" s="256" t="inlineStr">
        <is>
          <t>Aflatoxin B₁</t>
        </is>
      </c>
      <c r="I1190" s="256" t="inlineStr">
        <is>
          <t>Ph. Eur. 2.8.18 (HPLC-FLD)</t>
        </is>
      </c>
      <c r="J1190" s="256" t="inlineStr">
        <is>
          <t>≤ 2 µg/kg</t>
        </is>
      </c>
      <c r="K1190" s="259" t="inlineStr">
        <is>
          <t>not tested</t>
        </is>
      </c>
      <c r="L1190" s="256" t="inlineStr">
        <is>
          <t>—</t>
        </is>
      </c>
      <c r="M1190" s="256" t="inlineStr">
        <is>
          <t>—</t>
        </is>
      </c>
      <c r="N1190" s="256" t="inlineStr">
        <is>
          <t>—</t>
        </is>
      </c>
      <c r="O1190" s="256" t="inlineStr">
        <is>
          <t>—</t>
        </is>
      </c>
      <c r="P1190" s="256" t="inlineStr">
        <is>
          <t>not tested — no certificate covers it</t>
        </is>
      </c>
      <c r="Q1190" s="256" t="inlineStr"/>
      <c r="R1190" s="256" t="inlineStr"/>
    </row>
    <row r="1191">
      <c r="A1191" s="256" t="inlineStr">
        <is>
          <t>CoQ-PP_26-052</t>
        </is>
      </c>
      <c r="B1191" s="256" t="inlineStr">
        <is>
          <t>release</t>
        </is>
      </c>
      <c r="C1191" s="256" t="inlineStr">
        <is>
          <t>SJ102501</t>
        </is>
      </c>
      <c r="D1191" s="256" t="inlineStr">
        <is>
          <t>— no P lot assigned —</t>
        </is>
      </c>
      <c r="E1191" s="256" t="inlineStr">
        <is>
          <t>Sleepy Joe</t>
        </is>
      </c>
      <c r="F1191" s="256" t="inlineStr">
        <is>
          <t>06.06.2026</t>
        </is>
      </c>
      <c r="G1191" s="256" t="inlineStr">
        <is>
          <t>10.2</t>
        </is>
      </c>
      <c r="H1191" s="256" t="inlineStr">
        <is>
          <t>Aflatoxins ∑</t>
        </is>
      </c>
      <c r="I1191" s="256" t="inlineStr">
        <is>
          <t>Ph. Eur. 2.8.18 (HPLC-FLD)</t>
        </is>
      </c>
      <c r="J1191" s="256" t="inlineStr">
        <is>
          <t>≤ 4 µg/kg</t>
        </is>
      </c>
      <c r="K1191" s="259" t="inlineStr">
        <is>
          <t>not tested</t>
        </is>
      </c>
      <c r="L1191" s="256" t="inlineStr">
        <is>
          <t>—</t>
        </is>
      </c>
      <c r="M1191" s="256" t="inlineStr">
        <is>
          <t>—</t>
        </is>
      </c>
      <c r="N1191" s="256" t="inlineStr">
        <is>
          <t>—</t>
        </is>
      </c>
      <c r="O1191" s="256" t="inlineStr">
        <is>
          <t>—</t>
        </is>
      </c>
      <c r="P1191" s="256" t="inlineStr">
        <is>
          <t>not tested — no certificate covers it</t>
        </is>
      </c>
      <c r="Q1191" s="256" t="inlineStr"/>
      <c r="R1191" s="256" t="inlineStr"/>
    </row>
    <row r="1192">
      <c r="A1192" s="256" t="inlineStr">
        <is>
          <t>CoQ-PP_26-052</t>
        </is>
      </c>
      <c r="B1192" s="256" t="inlineStr">
        <is>
          <t>release</t>
        </is>
      </c>
      <c r="C1192" s="256" t="inlineStr">
        <is>
          <t>SJ102501</t>
        </is>
      </c>
      <c r="D1192" s="256" t="inlineStr">
        <is>
          <t>— no P lot assigned —</t>
        </is>
      </c>
      <c r="E1192" s="256" t="inlineStr">
        <is>
          <t>Sleepy Joe</t>
        </is>
      </c>
      <c r="F1192" s="256" t="inlineStr">
        <is>
          <t>06.06.2026</t>
        </is>
      </c>
      <c r="G1192" s="256" t="inlineStr">
        <is>
          <t>10.3</t>
        </is>
      </c>
      <c r="H1192" s="256" t="inlineStr">
        <is>
          <t>Ochratoxin A</t>
        </is>
      </c>
      <c r="I1192" s="256" t="inlineStr">
        <is>
          <t>Ph. Eur. 2.8.22 (HPLC-FLD)</t>
        </is>
      </c>
      <c r="J1192" s="256" t="inlineStr">
        <is>
          <t>≤ 20 µg/kg</t>
        </is>
      </c>
      <c r="K1192" s="259" t="inlineStr">
        <is>
          <t>not tested</t>
        </is>
      </c>
      <c r="L1192" s="256" t="inlineStr">
        <is>
          <t>—</t>
        </is>
      </c>
      <c r="M1192" s="256" t="inlineStr">
        <is>
          <t>—</t>
        </is>
      </c>
      <c r="N1192" s="256" t="inlineStr">
        <is>
          <t>—</t>
        </is>
      </c>
      <c r="O1192" s="256" t="inlineStr">
        <is>
          <t>—</t>
        </is>
      </c>
      <c r="P1192" s="256" t="inlineStr">
        <is>
          <t>not tested — no certificate covers it</t>
        </is>
      </c>
      <c r="Q1192" s="256" t="inlineStr"/>
      <c r="R1192" s="256" t="inlineStr"/>
    </row>
    <row r="1193">
      <c r="A1193" s="256" t="inlineStr">
        <is>
          <t>CoQ-PP_26-052</t>
        </is>
      </c>
      <c r="B1193" s="256" t="inlineStr">
        <is>
          <t>release</t>
        </is>
      </c>
      <c r="C1193" s="256" t="inlineStr">
        <is>
          <t>SJ102501</t>
        </is>
      </c>
      <c r="D1193" s="256" t="inlineStr">
        <is>
          <t>— no P lot assigned —</t>
        </is>
      </c>
      <c r="E1193" s="256" t="inlineStr">
        <is>
          <t>Sleepy Joe</t>
        </is>
      </c>
      <c r="F1193" s="256" t="inlineStr">
        <is>
          <t>06.06.2026</t>
        </is>
      </c>
      <c r="G1193" s="256" t="inlineStr">
        <is>
          <t>11.1</t>
        </is>
      </c>
      <c r="H1193" s="256" t="inlineStr">
        <is>
          <t>Lead (Pb)</t>
        </is>
      </c>
      <c r="I1193" s="256" t="inlineStr">
        <is>
          <t>Ph. Eur. 2.4.27 (ICP-MS)</t>
        </is>
      </c>
      <c r="J1193" s="256" t="inlineStr">
        <is>
          <t>≤ 0.5 mg/kg</t>
        </is>
      </c>
      <c r="K1193" s="259" t="inlineStr">
        <is>
          <t>not tested</t>
        </is>
      </c>
      <c r="L1193" s="256" t="inlineStr">
        <is>
          <t>—</t>
        </is>
      </c>
      <c r="M1193" s="256" t="inlineStr">
        <is>
          <t>—</t>
        </is>
      </c>
      <c r="N1193" s="256" t="inlineStr">
        <is>
          <t>—</t>
        </is>
      </c>
      <c r="O1193" s="256" t="inlineStr">
        <is>
          <t>—</t>
        </is>
      </c>
      <c r="P1193" s="256" t="inlineStr">
        <is>
          <t>not tested — no certificate covers it</t>
        </is>
      </c>
      <c r="Q1193" s="256" t="inlineStr"/>
      <c r="R1193" s="256" t="inlineStr"/>
    </row>
    <row r="1194">
      <c r="A1194" s="256" t="inlineStr">
        <is>
          <t>CoQ-PP_26-052</t>
        </is>
      </c>
      <c r="B1194" s="256" t="inlineStr">
        <is>
          <t>release</t>
        </is>
      </c>
      <c r="C1194" s="256" t="inlineStr">
        <is>
          <t>SJ102501</t>
        </is>
      </c>
      <c r="D1194" s="256" t="inlineStr">
        <is>
          <t>— no P lot assigned —</t>
        </is>
      </c>
      <c r="E1194" s="256" t="inlineStr">
        <is>
          <t>Sleepy Joe</t>
        </is>
      </c>
      <c r="F1194" s="256" t="inlineStr">
        <is>
          <t>06.06.2026</t>
        </is>
      </c>
      <c r="G1194" s="256" t="inlineStr">
        <is>
          <t>11.2</t>
        </is>
      </c>
      <c r="H1194" s="256" t="inlineStr">
        <is>
          <t>Cadmium (Cd)</t>
        </is>
      </c>
      <c r="I1194" s="256" t="inlineStr">
        <is>
          <t>Ph. Eur. 2.4.27 (ICP-MS)</t>
        </is>
      </c>
      <c r="J1194" s="256" t="inlineStr">
        <is>
          <t>≤ 0.3 mg/kg</t>
        </is>
      </c>
      <c r="K1194" s="259" t="inlineStr">
        <is>
          <t>not tested</t>
        </is>
      </c>
      <c r="L1194" s="256" t="inlineStr">
        <is>
          <t>—</t>
        </is>
      </c>
      <c r="M1194" s="256" t="inlineStr">
        <is>
          <t>—</t>
        </is>
      </c>
      <c r="N1194" s="256" t="inlineStr">
        <is>
          <t>—</t>
        </is>
      </c>
      <c r="O1194" s="256" t="inlineStr">
        <is>
          <t>—</t>
        </is>
      </c>
      <c r="P1194" s="256" t="inlineStr">
        <is>
          <t>not tested — no certificate covers it</t>
        </is>
      </c>
      <c r="Q1194" s="256" t="inlineStr"/>
      <c r="R1194" s="256" t="inlineStr"/>
    </row>
    <row r="1195">
      <c r="A1195" s="256" t="inlineStr">
        <is>
          <t>CoQ-PP_26-052</t>
        </is>
      </c>
      <c r="B1195" s="256" t="inlineStr">
        <is>
          <t>release</t>
        </is>
      </c>
      <c r="C1195" s="256" t="inlineStr">
        <is>
          <t>SJ102501</t>
        </is>
      </c>
      <c r="D1195" s="256" t="inlineStr">
        <is>
          <t>— no P lot assigned —</t>
        </is>
      </c>
      <c r="E1195" s="256" t="inlineStr">
        <is>
          <t>Sleepy Joe</t>
        </is>
      </c>
      <c r="F1195" s="256" t="inlineStr">
        <is>
          <t>06.06.2026</t>
        </is>
      </c>
      <c r="G1195" s="256" t="inlineStr">
        <is>
          <t>11.3</t>
        </is>
      </c>
      <c r="H1195" s="256" t="inlineStr">
        <is>
          <t>Arsenic (As)</t>
        </is>
      </c>
      <c r="I1195" s="256" t="inlineStr">
        <is>
          <t>Ph. Eur. 2.4.27 (ICP-MS)</t>
        </is>
      </c>
      <c r="J1195" s="256" t="inlineStr">
        <is>
          <t>≤ 0.2 mg/kg</t>
        </is>
      </c>
      <c r="K1195" s="259" t="inlineStr">
        <is>
          <t>not tested</t>
        </is>
      </c>
      <c r="L1195" s="256" t="inlineStr">
        <is>
          <t>—</t>
        </is>
      </c>
      <c r="M1195" s="256" t="inlineStr">
        <is>
          <t>—</t>
        </is>
      </c>
      <c r="N1195" s="256" t="inlineStr">
        <is>
          <t>—</t>
        </is>
      </c>
      <c r="O1195" s="256" t="inlineStr">
        <is>
          <t>—</t>
        </is>
      </c>
      <c r="P1195" s="256" t="inlineStr">
        <is>
          <t>not tested — no certificate covers it</t>
        </is>
      </c>
      <c r="Q1195" s="256" t="inlineStr"/>
      <c r="R1195" s="256" t="inlineStr"/>
    </row>
    <row r="1196">
      <c r="A1196" s="256" t="inlineStr">
        <is>
          <t>CoQ-PP_26-052</t>
        </is>
      </c>
      <c r="B1196" s="256" t="inlineStr">
        <is>
          <t>release</t>
        </is>
      </c>
      <c r="C1196" s="256" t="inlineStr">
        <is>
          <t>SJ102501</t>
        </is>
      </c>
      <c r="D1196" s="256" t="inlineStr">
        <is>
          <t>— no P lot assigned —</t>
        </is>
      </c>
      <c r="E1196" s="256" t="inlineStr">
        <is>
          <t>Sleepy Joe</t>
        </is>
      </c>
      <c r="F1196" s="256" t="inlineStr">
        <is>
          <t>06.06.2026</t>
        </is>
      </c>
      <c r="G1196" s="256" t="inlineStr">
        <is>
          <t>11.4</t>
        </is>
      </c>
      <c r="H1196" s="256" t="inlineStr">
        <is>
          <t>Mercury (Hg)</t>
        </is>
      </c>
      <c r="I1196" s="256" t="inlineStr">
        <is>
          <t>Ph. Eur. 2.4.27 (ICP-MS)</t>
        </is>
      </c>
      <c r="J1196" s="256" t="inlineStr">
        <is>
          <t>≤ 0.1 mg/kg</t>
        </is>
      </c>
      <c r="K1196" s="259" t="inlineStr">
        <is>
          <t>not tested</t>
        </is>
      </c>
      <c r="L1196" s="256" t="inlineStr">
        <is>
          <t>—</t>
        </is>
      </c>
      <c r="M1196" s="256" t="inlineStr">
        <is>
          <t>—</t>
        </is>
      </c>
      <c r="N1196" s="256" t="inlineStr">
        <is>
          <t>—</t>
        </is>
      </c>
      <c r="O1196" s="256" t="inlineStr">
        <is>
          <t>—</t>
        </is>
      </c>
      <c r="P1196" s="256" t="inlineStr">
        <is>
          <t>not tested — no certificate covers it</t>
        </is>
      </c>
      <c r="Q1196" s="256" t="inlineStr"/>
      <c r="R1196" s="256" t="inlineStr"/>
    </row>
    <row r="1197">
      <c r="A1197" s="256" t="inlineStr">
        <is>
          <t>CoQ-PP_26-052</t>
        </is>
      </c>
      <c r="B1197" s="256" t="inlineStr">
        <is>
          <t>release</t>
        </is>
      </c>
      <c r="C1197" s="256" t="inlineStr">
        <is>
          <t>SJ102501</t>
        </is>
      </c>
      <c r="D1197" s="256" t="inlineStr">
        <is>
          <t>— no P lot assigned —</t>
        </is>
      </c>
      <c r="E1197" s="256" t="inlineStr">
        <is>
          <t>Sleepy Joe</t>
        </is>
      </c>
      <c r="F1197" s="256" t="inlineStr">
        <is>
          <t>06.06.2026</t>
        </is>
      </c>
      <c r="G1197" s="256" t="inlineStr">
        <is>
          <t>12</t>
        </is>
      </c>
      <c r="H1197" s="256" t="inlineStr">
        <is>
          <t>Pesticide Residues</t>
        </is>
      </c>
      <c r="I1197" s="256" t="inlineStr">
        <is>
          <t>Ph. Eur. 2.8.13 (LC-MS/MS) · CUMCS Equivalency</t>
        </is>
      </c>
      <c r="J1197" s="256" t="inlineStr">
        <is>
          <t>≤ LOQ as per Ph. Eur. 2.8.13 · ≤ LOQ as per CUMCS Equivalency</t>
        </is>
      </c>
      <c r="K1197" s="259" t="inlineStr">
        <is>
          <t>not tested</t>
        </is>
      </c>
      <c r="L1197" s="256" t="inlineStr">
        <is>
          <t>—</t>
        </is>
      </c>
      <c r="M1197" s="256" t="inlineStr">
        <is>
          <t>—</t>
        </is>
      </c>
      <c r="N1197" s="256" t="inlineStr">
        <is>
          <t>—</t>
        </is>
      </c>
      <c r="O1197" s="256" t="inlineStr">
        <is>
          <t>—</t>
        </is>
      </c>
      <c r="P1197" s="256" t="inlineStr">
        <is>
          <t>not tested — no certificate covers it</t>
        </is>
      </c>
      <c r="Q1197" s="256" t="inlineStr"/>
      <c r="R1197" s="256" t="inlineStr"/>
    </row>
    <row r="1198">
      <c r="A1198" s="256" t="inlineStr">
        <is>
          <t>CoQ-PP_26-053</t>
        </is>
      </c>
      <c r="B1198" s="256" t="inlineStr">
        <is>
          <t>release</t>
        </is>
      </c>
      <c r="C1198" s="256" t="inlineStr">
        <is>
          <t>KC102501</t>
        </is>
      </c>
      <c r="D1198" s="256" t="inlineStr">
        <is>
          <t>P060172</t>
        </is>
      </c>
      <c r="E1198" s="256" t="inlineStr">
        <is>
          <t>Kush Crasher</t>
        </is>
      </c>
      <c r="F1198" s="256" t="inlineStr">
        <is>
          <t>06.06.2026</t>
        </is>
      </c>
      <c r="G1198" s="256" t="inlineStr">
        <is>
          <t>1</t>
        </is>
      </c>
      <c r="H1198" s="256" t="inlineStr">
        <is>
          <t>Identification A, Appearance · Macroscopic</t>
        </is>
      </c>
      <c r="I1198" s="256" t="inlineStr">
        <is>
          <t>Ph. Eur. mon. 3028</t>
        </is>
      </c>
      <c r="J1198" s="256" t="inlineStr">
        <is>
          <t>Conforms to the monograph for Cannabis flos (07/2024:3028) in Ph. Eur. 11.0 | Согласно монографија за Cannabis flos (07/2024:3028) во Ph. Eur. 11.0</t>
        </is>
      </c>
      <c r="K1198" s="256" t="inlineStr">
        <is>
          <t>Conforms | Одговара</t>
        </is>
      </c>
      <c r="L1198" s="256" t="inlineStr">
        <is>
          <t>iCoA-PP_26-056</t>
        </is>
      </c>
      <c r="M1198" s="256" t="inlineStr">
        <is>
          <t>03.06.2026</t>
        </is>
      </c>
      <c r="N1198" s="256" t="inlineStr">
        <is>
          <t>Purely Plant GmbH (in-house)</t>
        </is>
      </c>
      <c r="O1198" s="256" t="inlineStr">
        <is>
          <t>—</t>
        </is>
      </c>
      <c r="P1198" s="256" t="inlineStr">
        <is>
          <t>to be performed — see route</t>
        </is>
      </c>
      <c r="Q1198" s="256" t="inlineStr">
        <is>
          <t>Purely Plant laboratory — iCoA covering Ident A + B</t>
        </is>
      </c>
      <c r="R1198" s="256" t="inlineStr"/>
    </row>
    <row r="1199">
      <c r="A1199" s="256" t="inlineStr">
        <is>
          <t>CoQ-PP_26-053</t>
        </is>
      </c>
      <c r="B1199" s="256" t="inlineStr">
        <is>
          <t>release</t>
        </is>
      </c>
      <c r="C1199" s="256" t="inlineStr">
        <is>
          <t>KC102501</t>
        </is>
      </c>
      <c r="D1199" s="256" t="inlineStr">
        <is>
          <t>P060172</t>
        </is>
      </c>
      <c r="E1199" s="256" t="inlineStr">
        <is>
          <t>Kush Crasher</t>
        </is>
      </c>
      <c r="F1199" s="256" t="inlineStr">
        <is>
          <t>06.06.2026</t>
        </is>
      </c>
      <c r="G1199" s="256" t="inlineStr">
        <is>
          <t>2</t>
        </is>
      </c>
      <c r="H1199" s="256" t="inlineStr">
        <is>
          <t>Identification B · Microscopic</t>
        </is>
      </c>
      <c r="I1199" s="256" t="inlineStr">
        <is>
          <t>Ph. Eur. 2.8.23 (microscopy)</t>
        </is>
      </c>
      <c r="J1199" s="256" t="inlineStr">
        <is>
          <t>Conforms to the monograph for Cannabis flos (07/2024:3028) in Ph. Eur. 11.0 | Согласно монографија за Cannabis flos (07/2024:3028) во Ph. Eur. 11.0</t>
        </is>
      </c>
      <c r="K1199" s="256" t="inlineStr">
        <is>
          <t>Conforms | Одговара</t>
        </is>
      </c>
      <c r="L1199" s="256" t="inlineStr">
        <is>
          <t>iCoA-PP_26-056</t>
        </is>
      </c>
      <c r="M1199" s="256" t="inlineStr">
        <is>
          <t>03.06.2026</t>
        </is>
      </c>
      <c r="N1199" s="256" t="inlineStr">
        <is>
          <t>Purely Plant GmbH (in-house)</t>
        </is>
      </c>
      <c r="O1199" s="256" t="inlineStr">
        <is>
          <t>—</t>
        </is>
      </c>
      <c r="P1199" s="256" t="inlineStr">
        <is>
          <t>to be performed — see route</t>
        </is>
      </c>
      <c r="Q1199" s="256" t="inlineStr">
        <is>
          <t>Purely Plant laboratory — iCoA covering Ident A + B</t>
        </is>
      </c>
      <c r="R1199" s="256" t="inlineStr"/>
    </row>
    <row r="1200">
      <c r="A1200" s="256" t="inlineStr">
        <is>
          <t>CoQ-PP_26-053</t>
        </is>
      </c>
      <c r="B1200" s="256" t="inlineStr">
        <is>
          <t>release</t>
        </is>
      </c>
      <c r="C1200" s="256" t="inlineStr">
        <is>
          <t>KC102501</t>
        </is>
      </c>
      <c r="D1200" s="256" t="inlineStr">
        <is>
          <t>P060172</t>
        </is>
      </c>
      <c r="E1200" s="256" t="inlineStr">
        <is>
          <t>Kush Crasher</t>
        </is>
      </c>
      <c r="F1200" s="256" t="inlineStr">
        <is>
          <t>06.06.2026</t>
        </is>
      </c>
      <c r="G1200" s="256" t="inlineStr">
        <is>
          <t>3</t>
        </is>
      </c>
      <c r="H1200" s="256" t="inlineStr">
        <is>
          <t>Identification C · HPLC/HPTLC</t>
        </is>
      </c>
      <c r="I1200" s="256" t="inlineStr">
        <is>
          <t>Ph. Eur. 2.2.29 (3028)</t>
        </is>
      </c>
      <c r="J1200" s="256" t="inlineStr">
        <is>
          <t>Conforms to the monograph for Cannabis flos (07/2024:3028) in Ph. Eur. 11.0 | Согласно монографија за Cannabis flos (07/2024:3028) во Ph. Eur. 11.0</t>
        </is>
      </c>
      <c r="K1200" s="256" t="inlineStr">
        <is>
          <t>Conforms | Одговара</t>
        </is>
      </c>
      <c r="L1200" s="256" t="inlineStr">
        <is>
          <t>051-4-К/26</t>
        </is>
      </c>
      <c r="M1200" s="256" t="inlineStr">
        <is>
          <t>04.03.2026</t>
        </is>
      </c>
      <c r="N1200" s="256" t="inlineStr">
        <is>
          <t>Farmahem</t>
        </is>
      </c>
      <c r="O1200" s="256" t="inlineStr">
        <is>
          <t>23.02.2026</t>
        </is>
      </c>
      <c r="P1200" s="256" t="inlineStr">
        <is>
          <t>covered</t>
        </is>
      </c>
      <c r="Q1200" s="256" t="inlineStr"/>
      <c r="R1200" s="256" t="inlineStr"/>
    </row>
    <row r="1201">
      <c r="A1201" s="256" t="inlineStr">
        <is>
          <t>CoQ-PP_26-053</t>
        </is>
      </c>
      <c r="B1201" s="256" t="inlineStr">
        <is>
          <t>release</t>
        </is>
      </c>
      <c r="C1201" s="256" t="inlineStr">
        <is>
          <t>KC102501</t>
        </is>
      </c>
      <c r="D1201" s="256" t="inlineStr">
        <is>
          <t>P060172</t>
        </is>
      </c>
      <c r="E1201" s="256" t="inlineStr">
        <is>
          <t>Kush Crasher</t>
        </is>
      </c>
      <c r="F1201" s="256" t="inlineStr">
        <is>
          <t>06.06.2026</t>
        </is>
      </c>
      <c r="G1201" s="256" t="inlineStr">
        <is>
          <t>4</t>
        </is>
      </c>
      <c r="H1201" s="256" t="inlineStr">
        <is>
          <t>Assay — Total Δ⁹-THC</t>
        </is>
      </c>
      <c r="I1201" s="256" t="inlineStr">
        <is>
          <t>Ph. Eur. 2.2.29 (HPLC)</t>
        </is>
      </c>
      <c r="J1201" s="256" t="inlineStr">
        <is>
          <t>16.20 – 19.79 %  (grade I, nominal 18.00 ± 1.80)</t>
        </is>
      </c>
      <c r="K1201" s="256" t="inlineStr">
        <is>
          <t>17.04</t>
        </is>
      </c>
      <c r="L1201" s="256" t="inlineStr">
        <is>
          <t>051-4-К/26</t>
        </is>
      </c>
      <c r="M1201" s="256" t="inlineStr">
        <is>
          <t>04.03.2026</t>
        </is>
      </c>
      <c r="N1201" s="256" t="inlineStr">
        <is>
          <t>Farmahem</t>
        </is>
      </c>
      <c r="O1201" s="256" t="inlineStr">
        <is>
          <t>23.02.2026</t>
        </is>
      </c>
      <c r="P1201" s="256" t="inlineStr">
        <is>
          <t>covered</t>
        </is>
      </c>
      <c r="Q1201" s="256" t="inlineStr"/>
      <c r="R1201" s="256" t="inlineStr">
        <is>
          <t>17.06 (220-19-К/26)</t>
        </is>
      </c>
    </row>
    <row r="1202">
      <c r="A1202" s="256" t="inlineStr">
        <is>
          <t>CoQ-PP_26-053</t>
        </is>
      </c>
      <c r="B1202" s="256" t="inlineStr">
        <is>
          <t>release</t>
        </is>
      </c>
      <c r="C1202" s="256" t="inlineStr">
        <is>
          <t>KC102501</t>
        </is>
      </c>
      <c r="D1202" s="256" t="inlineStr">
        <is>
          <t>P060172</t>
        </is>
      </c>
      <c r="E1202" s="256" t="inlineStr">
        <is>
          <t>Kush Crasher</t>
        </is>
      </c>
      <c r="F1202" s="256" t="inlineStr">
        <is>
          <t>06.06.2026</t>
        </is>
      </c>
      <c r="G1202" s="256" t="inlineStr">
        <is>
          <t>5</t>
        </is>
      </c>
      <c r="H1202" s="256" t="inlineStr">
        <is>
          <t>Assay — Total CBD</t>
        </is>
      </c>
      <c r="I1202" s="256" t="inlineStr">
        <is>
          <t>Ph. Eur. 2.2.29 (HPLC) · CBD + CBDA x 0.877</t>
        </is>
      </c>
      <c r="J1202" s="256" t="inlineStr">
        <is>
          <t>≤ 1.0%, w/w</t>
        </is>
      </c>
      <c r="K1202" s="256" t="inlineStr">
        <is>
          <t>&lt; LOQ (&lt;0.20)</t>
        </is>
      </c>
      <c r="L1202" s="256" t="inlineStr">
        <is>
          <t>051-4-К/26</t>
        </is>
      </c>
      <c r="M1202" s="256" t="inlineStr">
        <is>
          <t>04.03.2026</t>
        </is>
      </c>
      <c r="N1202" s="256" t="inlineStr">
        <is>
          <t>Farmahem</t>
        </is>
      </c>
      <c r="O1202" s="256" t="inlineStr">
        <is>
          <t>23.02.2026</t>
        </is>
      </c>
      <c r="P1202" s="256" t="inlineStr">
        <is>
          <t>covered</t>
        </is>
      </c>
      <c r="Q1202" s="256" t="inlineStr"/>
      <c r="R1202" s="256" t="inlineStr">
        <is>
          <t>&lt;LOQ (220-19-К/26)</t>
        </is>
      </c>
    </row>
    <row r="1203">
      <c r="A1203" s="256" t="inlineStr">
        <is>
          <t>CoQ-PP_26-053</t>
        </is>
      </c>
      <c r="B1203" s="256" t="inlineStr">
        <is>
          <t>release</t>
        </is>
      </c>
      <c r="C1203" s="256" t="inlineStr">
        <is>
          <t>KC102501</t>
        </is>
      </c>
      <c r="D1203" s="256" t="inlineStr">
        <is>
          <t>P060172</t>
        </is>
      </c>
      <c r="E1203" s="256" t="inlineStr">
        <is>
          <t>Kush Crasher</t>
        </is>
      </c>
      <c r="F1203" s="256" t="inlineStr">
        <is>
          <t>06.06.2026</t>
        </is>
      </c>
      <c r="G1203" s="256" t="inlineStr">
        <is>
          <t>6</t>
        </is>
      </c>
      <c r="H1203" s="256" t="inlineStr">
        <is>
          <t>Total CBN</t>
        </is>
      </c>
      <c r="I1203" s="256" t="inlineStr">
        <is>
          <t>Ph. Eur. 2.2.29 (HPLC) · CBN + CBNA x 0.876</t>
        </is>
      </c>
      <c r="J1203" s="256" t="inlineStr">
        <is>
          <t>≤ 1.0%, w/w</t>
        </is>
      </c>
      <c r="K1203" s="256" t="inlineStr">
        <is>
          <t>&lt; LOQ</t>
        </is>
      </c>
      <c r="L1203" s="256" t="inlineStr">
        <is>
          <t>051-4-К/26</t>
        </is>
      </c>
      <c r="M1203" s="256" t="inlineStr">
        <is>
          <t>04.03.2026</t>
        </is>
      </c>
      <c r="N1203" s="256" t="inlineStr">
        <is>
          <t>Farmahem</t>
        </is>
      </c>
      <c r="O1203" s="256" t="inlineStr">
        <is>
          <t>23.02.2026</t>
        </is>
      </c>
      <c r="P1203" s="256" t="inlineStr">
        <is>
          <t>covered</t>
        </is>
      </c>
      <c r="Q1203" s="256" t="inlineStr"/>
      <c r="R1203" s="256" t="inlineStr">
        <is>
          <t>&lt;LOQ (220-19-К/26)</t>
        </is>
      </c>
    </row>
    <row r="1204">
      <c r="A1204" s="256" t="inlineStr">
        <is>
          <t>CoQ-PP_26-053</t>
        </is>
      </c>
      <c r="B1204" s="256" t="inlineStr">
        <is>
          <t>release</t>
        </is>
      </c>
      <c r="C1204" s="256" t="inlineStr">
        <is>
          <t>KC102501</t>
        </is>
      </c>
      <c r="D1204" s="256" t="inlineStr">
        <is>
          <t>P060172</t>
        </is>
      </c>
      <c r="E1204" s="256" t="inlineStr">
        <is>
          <t>Kush Crasher</t>
        </is>
      </c>
      <c r="F1204" s="256" t="inlineStr">
        <is>
          <t>06.06.2026</t>
        </is>
      </c>
      <c r="G1204" s="256" t="inlineStr">
        <is>
          <t>7</t>
        </is>
      </c>
      <c r="H1204" s="256" t="inlineStr">
        <is>
          <t>Foreign Matter</t>
        </is>
      </c>
      <c r="I1204" s="256" t="inlineStr">
        <is>
          <t>Ph. Eur. 2.8.2 · In-house · интерна</t>
        </is>
      </c>
      <c r="J1204" s="256" t="inlineStr">
        <is>
          <t>≤ 2.0% / 25–50 g · &lt; 1 cm leaves | листови, no seeds | без семки</t>
        </is>
      </c>
      <c r="K1204" s="256" t="inlineStr">
        <is>
          <t>Conforms | Одговара</t>
        </is>
      </c>
      <c r="L1204" s="256" t="inlineStr">
        <is>
          <t>iCoA-PP_26-056</t>
        </is>
      </c>
      <c r="M1204" s="256" t="inlineStr">
        <is>
          <t>03.06.2026</t>
        </is>
      </c>
      <c r="N1204" s="256" t="inlineStr">
        <is>
          <t>Purely Plant GmbH (in-house)</t>
        </is>
      </c>
      <c r="O1204" s="256" t="inlineStr">
        <is>
          <t>—</t>
        </is>
      </c>
      <c r="P1204" s="256" t="inlineStr">
        <is>
          <t>to be performed — see route</t>
        </is>
      </c>
      <c r="Q1204" s="256" t="inlineStr">
        <is>
          <t>Purely Plant laboratory — iCoA covering Foreign matter</t>
        </is>
      </c>
      <c r="R1204" s="256" t="inlineStr"/>
    </row>
    <row r="1205">
      <c r="A1205" s="256" t="inlineStr">
        <is>
          <t>CoQ-PP_26-053</t>
        </is>
      </c>
      <c r="B1205" s="256" t="inlineStr">
        <is>
          <t>release</t>
        </is>
      </c>
      <c r="C1205" s="256" t="inlineStr">
        <is>
          <t>KC102501</t>
        </is>
      </c>
      <c r="D1205" s="256" t="inlineStr">
        <is>
          <t>P060172</t>
        </is>
      </c>
      <c r="E1205" s="256" t="inlineStr">
        <is>
          <t>Kush Crasher</t>
        </is>
      </c>
      <c r="F1205" s="256" t="inlineStr">
        <is>
          <t>06.06.2026</t>
        </is>
      </c>
      <c r="G1205" s="256" t="inlineStr">
        <is>
          <t>8</t>
        </is>
      </c>
      <c r="H1205" s="256" t="inlineStr">
        <is>
          <t>Loss on Drying</t>
        </is>
      </c>
      <c r="I1205" s="256" t="inlineStr">
        <is>
          <t>Ph. Eur. 2.2.32 (3028) · at 40 °C, 24 h, 15–25 mbar</t>
        </is>
      </c>
      <c r="J1205" s="256" t="inlineStr">
        <is>
          <t>≤ 12.0%</t>
        </is>
      </c>
      <c r="K1205" s="256" t="inlineStr">
        <is>
          <t>8.6</t>
        </is>
      </c>
      <c r="L1205" s="256" t="inlineStr">
        <is>
          <t>051-4-ГС/26</t>
        </is>
      </c>
      <c r="M1205" s="256" t="inlineStr">
        <is>
          <t>02.03.2026</t>
        </is>
      </c>
      <c r="N1205" s="256" t="inlineStr">
        <is>
          <t>Farmahem</t>
        </is>
      </c>
      <c r="O1205" s="256" t="inlineStr">
        <is>
          <t>—</t>
        </is>
      </c>
      <c r="P1205" s="256" t="inlineStr">
        <is>
          <t>covered</t>
        </is>
      </c>
      <c r="Q1205" s="256" t="inlineStr"/>
      <c r="R1205" s="256" t="inlineStr"/>
    </row>
    <row r="1206">
      <c r="A1206" s="256" t="inlineStr">
        <is>
          <t>CoQ-PP_26-053</t>
        </is>
      </c>
      <c r="B1206" s="256" t="inlineStr">
        <is>
          <t>release</t>
        </is>
      </c>
      <c r="C1206" s="256" t="inlineStr">
        <is>
          <t>KC102501</t>
        </is>
      </c>
      <c r="D1206" s="256" t="inlineStr">
        <is>
          <t>P060172</t>
        </is>
      </c>
      <c r="E1206" s="256" t="inlineStr">
        <is>
          <t>Kush Crasher</t>
        </is>
      </c>
      <c r="F1206" s="256" t="inlineStr">
        <is>
          <t>06.06.2026</t>
        </is>
      </c>
      <c r="G1206" s="256" t="inlineStr">
        <is>
          <t>9.1</t>
        </is>
      </c>
      <c r="H1206" s="256" t="inlineStr">
        <is>
          <t>TAMC</t>
        </is>
      </c>
      <c r="I1206" s="256" t="inlineStr">
        <is>
          <t>Ph. Eur. 2.6.12 cat. C</t>
        </is>
      </c>
      <c r="J1206" s="256" t="inlineStr">
        <is>
          <t>≤ 10⁵ CFU/g</t>
        </is>
      </c>
      <c r="K1206" s="256" t="inlineStr">
        <is>
          <t>3.8 × 10³</t>
        </is>
      </c>
      <c r="L1206" s="256" t="inlineStr">
        <is>
          <t>129/0226/26</t>
        </is>
      </c>
      <c r="M1206" s="256" t="inlineStr">
        <is>
          <t>06.03.2026</t>
        </is>
      </c>
      <c r="N1206" s="256" t="inlineStr">
        <is>
          <t>IPH — Institute of Public Health</t>
        </is>
      </c>
      <c r="O1206" s="256" t="inlineStr">
        <is>
          <t>—</t>
        </is>
      </c>
      <c r="P1206" s="256" t="inlineStr">
        <is>
          <t>covered</t>
        </is>
      </c>
      <c r="Q1206" s="256" t="inlineStr"/>
      <c r="R1206" s="256" t="inlineStr"/>
    </row>
    <row r="1207">
      <c r="A1207" s="256" t="inlineStr">
        <is>
          <t>CoQ-PP_26-053</t>
        </is>
      </c>
      <c r="B1207" s="256" t="inlineStr">
        <is>
          <t>release</t>
        </is>
      </c>
      <c r="C1207" s="256" t="inlineStr">
        <is>
          <t>KC102501</t>
        </is>
      </c>
      <c r="D1207" s="256" t="inlineStr">
        <is>
          <t>P060172</t>
        </is>
      </c>
      <c r="E1207" s="256" t="inlineStr">
        <is>
          <t>Kush Crasher</t>
        </is>
      </c>
      <c r="F1207" s="256" t="inlineStr">
        <is>
          <t>06.06.2026</t>
        </is>
      </c>
      <c r="G1207" s="256" t="inlineStr">
        <is>
          <t>9.2</t>
        </is>
      </c>
      <c r="H1207" s="256" t="inlineStr">
        <is>
          <t>TYMC</t>
        </is>
      </c>
      <c r="I1207" s="256" t="inlineStr">
        <is>
          <t>Ph. Eur. 2.6.12 cat. C</t>
        </is>
      </c>
      <c r="J1207" s="256" t="inlineStr">
        <is>
          <t>≤ 10⁴ CFU/g</t>
        </is>
      </c>
      <c r="K1207" s="256" t="inlineStr">
        <is>
          <t>6.8 × 10³</t>
        </is>
      </c>
      <c r="L1207" s="256" t="inlineStr">
        <is>
          <t>129/0226/26</t>
        </is>
      </c>
      <c r="M1207" s="256" t="inlineStr">
        <is>
          <t>06.03.2026</t>
        </is>
      </c>
      <c r="N1207" s="256" t="inlineStr">
        <is>
          <t>IPH — Institute of Public Health</t>
        </is>
      </c>
      <c r="O1207" s="256" t="inlineStr">
        <is>
          <t>—</t>
        </is>
      </c>
      <c r="P1207" s="256" t="inlineStr">
        <is>
          <t>covered</t>
        </is>
      </c>
      <c r="Q1207" s="256" t="inlineStr"/>
      <c r="R1207" s="256" t="inlineStr"/>
    </row>
    <row r="1208">
      <c r="A1208" s="256" t="inlineStr">
        <is>
          <t>CoQ-PP_26-053</t>
        </is>
      </c>
      <c r="B1208" s="256" t="inlineStr">
        <is>
          <t>release</t>
        </is>
      </c>
      <c r="C1208" s="256" t="inlineStr">
        <is>
          <t>KC102501</t>
        </is>
      </c>
      <c r="D1208" s="256" t="inlineStr">
        <is>
          <t>P060172</t>
        </is>
      </c>
      <c r="E1208" s="256" t="inlineStr">
        <is>
          <t>Kush Crasher</t>
        </is>
      </c>
      <c r="F1208" s="256" t="inlineStr">
        <is>
          <t>06.06.2026</t>
        </is>
      </c>
      <c r="G1208" s="256" t="inlineStr">
        <is>
          <t>9.3</t>
        </is>
      </c>
      <c r="H1208" s="256" t="inlineStr">
        <is>
          <t>Bile-tolerant gram-neg.</t>
        </is>
      </c>
      <c r="I1208" s="256" t="inlineStr">
        <is>
          <t>Ph. Eur. 2.6.31 cat. C</t>
        </is>
      </c>
      <c r="J1208" s="256" t="inlineStr">
        <is>
          <t>≤ 10⁴ CFU/g</t>
        </is>
      </c>
      <c r="K1208" s="256" t="inlineStr">
        <is>
          <t>&lt; 10³ and &gt; 10²</t>
        </is>
      </c>
      <c r="L1208" s="256" t="inlineStr">
        <is>
          <t>129/0226/26</t>
        </is>
      </c>
      <c r="M1208" s="256" t="inlineStr">
        <is>
          <t>06.03.2026</t>
        </is>
      </c>
      <c r="N1208" s="256" t="inlineStr">
        <is>
          <t>IPH — Institute of Public Health</t>
        </is>
      </c>
      <c r="O1208" s="256" t="inlineStr">
        <is>
          <t>—</t>
        </is>
      </c>
      <c r="P1208" s="256" t="inlineStr">
        <is>
          <t>covered</t>
        </is>
      </c>
      <c r="Q1208" s="256" t="inlineStr"/>
      <c r="R1208" s="256" t="inlineStr"/>
    </row>
    <row r="1209">
      <c r="A1209" s="256" t="inlineStr">
        <is>
          <t>CoQ-PP_26-053</t>
        </is>
      </c>
      <c r="B1209" s="256" t="inlineStr">
        <is>
          <t>release</t>
        </is>
      </c>
      <c r="C1209" s="256" t="inlineStr">
        <is>
          <t>KC102501</t>
        </is>
      </c>
      <c r="D1209" s="256" t="inlineStr">
        <is>
          <t>P060172</t>
        </is>
      </c>
      <c r="E1209" s="256" t="inlineStr">
        <is>
          <t>Kush Crasher</t>
        </is>
      </c>
      <c r="F1209" s="256" t="inlineStr">
        <is>
          <t>06.06.2026</t>
        </is>
      </c>
      <c r="G1209" s="256" t="inlineStr">
        <is>
          <t>9.4</t>
        </is>
      </c>
      <c r="H1209" s="256" t="inlineStr">
        <is>
          <t>Salmonella</t>
        </is>
      </c>
      <c r="I1209" s="256" t="inlineStr">
        <is>
          <t>Ph. Eur. 2.6.31 cat. C</t>
        </is>
      </c>
      <c r="J1209" s="256" t="inlineStr">
        <is>
          <t>Absence | Отсуство / 25 g</t>
        </is>
      </c>
      <c r="K1209" s="256" t="inlineStr">
        <is>
          <t>Absent | Отсутна</t>
        </is>
      </c>
      <c r="L1209" s="256" t="inlineStr">
        <is>
          <t>129/0226/26</t>
        </is>
      </c>
      <c r="M1209" s="256" t="inlineStr">
        <is>
          <t>06.03.2026</t>
        </is>
      </c>
      <c r="N1209" s="256" t="inlineStr">
        <is>
          <t>IPH — Institute of Public Health</t>
        </is>
      </c>
      <c r="O1209" s="256" t="inlineStr">
        <is>
          <t>—</t>
        </is>
      </c>
      <c r="P1209" s="256" t="inlineStr">
        <is>
          <t>covered</t>
        </is>
      </c>
      <c r="Q1209" s="256" t="inlineStr"/>
      <c r="R1209" s="256" t="inlineStr"/>
    </row>
    <row r="1210">
      <c r="A1210" s="256" t="inlineStr">
        <is>
          <t>CoQ-PP_26-053</t>
        </is>
      </c>
      <c r="B1210" s="256" t="inlineStr">
        <is>
          <t>release</t>
        </is>
      </c>
      <c r="C1210" s="256" t="inlineStr">
        <is>
          <t>KC102501</t>
        </is>
      </c>
      <c r="D1210" s="256" t="inlineStr">
        <is>
          <t>P060172</t>
        </is>
      </c>
      <c r="E1210" s="256" t="inlineStr">
        <is>
          <t>Kush Crasher</t>
        </is>
      </c>
      <c r="F1210" s="256" t="inlineStr">
        <is>
          <t>06.06.2026</t>
        </is>
      </c>
      <c r="G1210" s="256" t="inlineStr">
        <is>
          <t>9.5</t>
        </is>
      </c>
      <c r="H1210" s="256" t="inlineStr">
        <is>
          <t>Escherichia coli</t>
        </is>
      </c>
      <c r="I1210" s="256" t="inlineStr">
        <is>
          <t>Ph. Eur. 2.6.13 cat. C</t>
        </is>
      </c>
      <c r="J1210" s="256" t="inlineStr">
        <is>
          <t>Absence | Отсуство / 1 g</t>
        </is>
      </c>
      <c r="K1210" s="256" t="inlineStr">
        <is>
          <t>Absent | Отсутна</t>
        </is>
      </c>
      <c r="L1210" s="256" t="inlineStr">
        <is>
          <t>129/0226/26</t>
        </is>
      </c>
      <c r="M1210" s="256" t="inlineStr">
        <is>
          <t>06.03.2026</t>
        </is>
      </c>
      <c r="N1210" s="256" t="inlineStr">
        <is>
          <t>IPH — Institute of Public Health</t>
        </is>
      </c>
      <c r="O1210" s="256" t="inlineStr">
        <is>
          <t>—</t>
        </is>
      </c>
      <c r="P1210" s="256" t="inlineStr">
        <is>
          <t>covered</t>
        </is>
      </c>
      <c r="Q1210" s="256" t="inlineStr"/>
      <c r="R1210" s="256" t="inlineStr"/>
    </row>
    <row r="1211">
      <c r="A1211" s="256" t="inlineStr">
        <is>
          <t>CoQ-PP_26-053</t>
        </is>
      </c>
      <c r="B1211" s="256" t="inlineStr">
        <is>
          <t>release</t>
        </is>
      </c>
      <c r="C1211" s="256" t="inlineStr">
        <is>
          <t>KC102501</t>
        </is>
      </c>
      <c r="D1211" s="256" t="inlineStr">
        <is>
          <t>P060172</t>
        </is>
      </c>
      <c r="E1211" s="256" t="inlineStr">
        <is>
          <t>Kush Crasher</t>
        </is>
      </c>
      <c r="F1211" s="256" t="inlineStr">
        <is>
          <t>06.06.2026</t>
        </is>
      </c>
      <c r="G1211" s="256" t="inlineStr">
        <is>
          <t>9.6</t>
        </is>
      </c>
      <c r="H1211" s="256" t="inlineStr">
        <is>
          <t>Pseudomonas aeruginosa</t>
        </is>
      </c>
      <c r="I1211" s="256" t="inlineStr">
        <is>
          <t>Ph. Eur. 2.6.13 cat. C</t>
        </is>
      </c>
      <c r="J1211" s="256" t="inlineStr">
        <is>
          <t>Absence | Отсуство / 1 g</t>
        </is>
      </c>
      <c r="K1211" s="260" t="inlineStr">
        <is>
          <t>upon request — not required for release</t>
        </is>
      </c>
      <c r="L1211" s="256" t="inlineStr">
        <is>
          <t>—</t>
        </is>
      </c>
      <c r="M1211" s="256" t="inlineStr">
        <is>
          <t>—</t>
        </is>
      </c>
      <c r="N1211" s="256" t="inlineStr">
        <is>
          <t>—</t>
        </is>
      </c>
      <c r="O1211" s="256" t="inlineStr">
        <is>
          <t>—</t>
        </is>
      </c>
      <c r="P1211" s="256" t="inlineStr">
        <is>
          <t>upon request — not required for release</t>
        </is>
      </c>
      <c r="Q1211" s="256" t="inlineStr"/>
      <c r="R1211" s="256" t="inlineStr"/>
    </row>
    <row r="1212">
      <c r="A1212" s="256" t="inlineStr">
        <is>
          <t>CoQ-PP_26-053</t>
        </is>
      </c>
      <c r="B1212" s="256" t="inlineStr">
        <is>
          <t>release</t>
        </is>
      </c>
      <c r="C1212" s="256" t="inlineStr">
        <is>
          <t>KC102501</t>
        </is>
      </c>
      <c r="D1212" s="256" t="inlineStr">
        <is>
          <t>P060172</t>
        </is>
      </c>
      <c r="E1212" s="256" t="inlineStr">
        <is>
          <t>Kush Crasher</t>
        </is>
      </c>
      <c r="F1212" s="256" t="inlineStr">
        <is>
          <t>06.06.2026</t>
        </is>
      </c>
      <c r="G1212" s="256" t="inlineStr">
        <is>
          <t>9.7</t>
        </is>
      </c>
      <c r="H1212" s="256" t="inlineStr">
        <is>
          <t>Staphylococcus aureus</t>
        </is>
      </c>
      <c r="I1212" s="256" t="inlineStr">
        <is>
          <t>Ph. Eur. 2.6.13 cat. C</t>
        </is>
      </c>
      <c r="J1212" s="256" t="inlineStr">
        <is>
          <t>Absence | Отсуство / 1 g</t>
        </is>
      </c>
      <c r="K1212" s="260" t="inlineStr">
        <is>
          <t>upon request — not required for release</t>
        </is>
      </c>
      <c r="L1212" s="256" t="inlineStr">
        <is>
          <t>—</t>
        </is>
      </c>
      <c r="M1212" s="256" t="inlineStr">
        <is>
          <t>—</t>
        </is>
      </c>
      <c r="N1212" s="256" t="inlineStr">
        <is>
          <t>—</t>
        </is>
      </c>
      <c r="O1212" s="256" t="inlineStr">
        <is>
          <t>—</t>
        </is>
      </c>
      <c r="P1212" s="256" t="inlineStr">
        <is>
          <t>upon request — not required for release</t>
        </is>
      </c>
      <c r="Q1212" s="256" t="inlineStr"/>
      <c r="R1212" s="256" t="inlineStr"/>
    </row>
    <row r="1213">
      <c r="A1213" s="256" t="inlineStr">
        <is>
          <t>CoQ-PP_26-053</t>
        </is>
      </c>
      <c r="B1213" s="256" t="inlineStr">
        <is>
          <t>release</t>
        </is>
      </c>
      <c r="C1213" s="256" t="inlineStr">
        <is>
          <t>KC102501</t>
        </is>
      </c>
      <c r="D1213" s="256" t="inlineStr">
        <is>
          <t>P060172</t>
        </is>
      </c>
      <c r="E1213" s="256" t="inlineStr">
        <is>
          <t>Kush Crasher</t>
        </is>
      </c>
      <c r="F1213" s="256" t="inlineStr">
        <is>
          <t>06.06.2026</t>
        </is>
      </c>
      <c r="G1213" s="256" t="inlineStr">
        <is>
          <t>10.1</t>
        </is>
      </c>
      <c r="H1213" s="256" t="inlineStr">
        <is>
          <t>Aflatoxin B₁</t>
        </is>
      </c>
      <c r="I1213" s="256" t="inlineStr">
        <is>
          <t>Ph. Eur. 2.8.18 (HPLC-FLD)</t>
        </is>
      </c>
      <c r="J1213" s="256" t="inlineStr">
        <is>
          <t>≤ 2 µg/kg</t>
        </is>
      </c>
      <c r="K1213" s="259" t="inlineStr">
        <is>
          <t>not tested</t>
        </is>
      </c>
      <c r="L1213" s="256" t="inlineStr">
        <is>
          <t>—</t>
        </is>
      </c>
      <c r="M1213" s="256" t="inlineStr">
        <is>
          <t>—</t>
        </is>
      </c>
      <c r="N1213" s="256" t="inlineStr">
        <is>
          <t>—</t>
        </is>
      </c>
      <c r="O1213" s="256" t="inlineStr">
        <is>
          <t>—</t>
        </is>
      </c>
      <c r="P1213" s="256" t="inlineStr">
        <is>
          <t>not tested — no certificate covers it</t>
        </is>
      </c>
      <c r="Q1213" s="256" t="inlineStr"/>
      <c r="R1213" s="256" t="inlineStr">
        <is>
          <t>ND (220-19-М/26)</t>
        </is>
      </c>
    </row>
    <row r="1214">
      <c r="A1214" s="256" t="inlineStr">
        <is>
          <t>CoQ-PP_26-053</t>
        </is>
      </c>
      <c r="B1214" s="256" t="inlineStr">
        <is>
          <t>release</t>
        </is>
      </c>
      <c r="C1214" s="256" t="inlineStr">
        <is>
          <t>KC102501</t>
        </is>
      </c>
      <c r="D1214" s="256" t="inlineStr">
        <is>
          <t>P060172</t>
        </is>
      </c>
      <c r="E1214" s="256" t="inlineStr">
        <is>
          <t>Kush Crasher</t>
        </is>
      </c>
      <c r="F1214" s="256" t="inlineStr">
        <is>
          <t>06.06.2026</t>
        </is>
      </c>
      <c r="G1214" s="256" t="inlineStr">
        <is>
          <t>10.2</t>
        </is>
      </c>
      <c r="H1214" s="256" t="inlineStr">
        <is>
          <t>Aflatoxins ∑</t>
        </is>
      </c>
      <c r="I1214" s="256" t="inlineStr">
        <is>
          <t>Ph. Eur. 2.8.18 (HPLC-FLD)</t>
        </is>
      </c>
      <c r="J1214" s="256" t="inlineStr">
        <is>
          <t>≤ 4 µg/kg</t>
        </is>
      </c>
      <c r="K1214" s="256" t="inlineStr">
        <is>
          <t>2.8</t>
        </is>
      </c>
      <c r="L1214" s="256" t="inlineStr">
        <is>
          <t>1058/2026</t>
        </is>
      </c>
      <c r="M1214" s="256" t="inlineStr">
        <is>
          <t>09.03.2026</t>
        </is>
      </c>
      <c r="N1214" s="256" t="inlineStr">
        <is>
          <t>IPH — Institute of Public Health</t>
        </is>
      </c>
      <c r="O1214" s="256" t="inlineStr">
        <is>
          <t>—</t>
        </is>
      </c>
      <c r="P1214" s="256" t="inlineStr">
        <is>
          <t>covered</t>
        </is>
      </c>
      <c r="Q1214" s="256" t="inlineStr"/>
      <c r="R1214" s="256" t="inlineStr">
        <is>
          <t>ND (220-19-М/26)</t>
        </is>
      </c>
    </row>
    <row r="1215">
      <c r="A1215" s="256" t="inlineStr">
        <is>
          <t>CoQ-PP_26-053</t>
        </is>
      </c>
      <c r="B1215" s="256" t="inlineStr">
        <is>
          <t>release</t>
        </is>
      </c>
      <c r="C1215" s="256" t="inlineStr">
        <is>
          <t>KC102501</t>
        </is>
      </c>
      <c r="D1215" s="256" t="inlineStr">
        <is>
          <t>P060172</t>
        </is>
      </c>
      <c r="E1215" s="256" t="inlineStr">
        <is>
          <t>Kush Crasher</t>
        </is>
      </c>
      <c r="F1215" s="256" t="inlineStr">
        <is>
          <t>06.06.2026</t>
        </is>
      </c>
      <c r="G1215" s="256" t="inlineStr">
        <is>
          <t>10.3</t>
        </is>
      </c>
      <c r="H1215" s="256" t="inlineStr">
        <is>
          <t>Ochratoxin A</t>
        </is>
      </c>
      <c r="I1215" s="256" t="inlineStr">
        <is>
          <t>Ph. Eur. 2.8.22 (HPLC-FLD)</t>
        </is>
      </c>
      <c r="J1215" s="256" t="inlineStr">
        <is>
          <t>≤ 20 µg/kg</t>
        </is>
      </c>
      <c r="K1215" s="259" t="inlineStr">
        <is>
          <t>not tested</t>
        </is>
      </c>
      <c r="L1215" s="256" t="inlineStr">
        <is>
          <t>—</t>
        </is>
      </c>
      <c r="M1215" s="256" t="inlineStr">
        <is>
          <t>—</t>
        </is>
      </c>
      <c r="N1215" s="256" t="inlineStr">
        <is>
          <t>—</t>
        </is>
      </c>
      <c r="O1215" s="256" t="inlineStr">
        <is>
          <t>—</t>
        </is>
      </c>
      <c r="P1215" s="256" t="inlineStr">
        <is>
          <t>not tested — no certificate covers it</t>
        </is>
      </c>
      <c r="Q1215" s="256" t="inlineStr"/>
      <c r="R1215" s="256" t="inlineStr">
        <is>
          <t>ND (220-19-М/26)</t>
        </is>
      </c>
    </row>
    <row r="1216">
      <c r="A1216" s="256" t="inlineStr">
        <is>
          <t>CoQ-PP_26-053</t>
        </is>
      </c>
      <c r="B1216" s="256" t="inlineStr">
        <is>
          <t>release</t>
        </is>
      </c>
      <c r="C1216" s="256" t="inlineStr">
        <is>
          <t>KC102501</t>
        </is>
      </c>
      <c r="D1216" s="256" t="inlineStr">
        <is>
          <t>P060172</t>
        </is>
      </c>
      <c r="E1216" s="256" t="inlineStr">
        <is>
          <t>Kush Crasher</t>
        </is>
      </c>
      <c r="F1216" s="256" t="inlineStr">
        <is>
          <t>06.06.2026</t>
        </is>
      </c>
      <c r="G1216" s="256" t="inlineStr">
        <is>
          <t>11.1</t>
        </is>
      </c>
      <c r="H1216" s="256" t="inlineStr">
        <is>
          <t>Lead (Pb)</t>
        </is>
      </c>
      <c r="I1216" s="256" t="inlineStr">
        <is>
          <t>Ph. Eur. 2.4.27 (ICP-MS)</t>
        </is>
      </c>
      <c r="J1216" s="256" t="inlineStr">
        <is>
          <t>≤ 0.5 mg/kg</t>
        </is>
      </c>
      <c r="K1216" s="256" t="inlineStr">
        <is>
          <t>ND</t>
        </is>
      </c>
      <c r="L1216" s="256" t="inlineStr">
        <is>
          <t>1058/2026</t>
        </is>
      </c>
      <c r="M1216" s="256" t="inlineStr">
        <is>
          <t>09.03.2026</t>
        </is>
      </c>
      <c r="N1216" s="256" t="inlineStr">
        <is>
          <t>IPH — Institute of Public Health</t>
        </is>
      </c>
      <c r="O1216" s="256" t="inlineStr">
        <is>
          <t>—</t>
        </is>
      </c>
      <c r="P1216" s="256" t="inlineStr">
        <is>
          <t>covered</t>
        </is>
      </c>
      <c r="Q1216" s="256" t="inlineStr"/>
      <c r="R1216" s="256" t="inlineStr"/>
    </row>
    <row r="1217">
      <c r="A1217" s="256" t="inlineStr">
        <is>
          <t>CoQ-PP_26-053</t>
        </is>
      </c>
      <c r="B1217" s="256" t="inlineStr">
        <is>
          <t>release</t>
        </is>
      </c>
      <c r="C1217" s="256" t="inlineStr">
        <is>
          <t>KC102501</t>
        </is>
      </c>
      <c r="D1217" s="256" t="inlineStr">
        <is>
          <t>P060172</t>
        </is>
      </c>
      <c r="E1217" s="256" t="inlineStr">
        <is>
          <t>Kush Crasher</t>
        </is>
      </c>
      <c r="F1217" s="256" t="inlineStr">
        <is>
          <t>06.06.2026</t>
        </is>
      </c>
      <c r="G1217" s="256" t="inlineStr">
        <is>
          <t>11.2</t>
        </is>
      </c>
      <c r="H1217" s="256" t="inlineStr">
        <is>
          <t>Cadmium (Cd)</t>
        </is>
      </c>
      <c r="I1217" s="256" t="inlineStr">
        <is>
          <t>Ph. Eur. 2.4.27 (ICP-MS)</t>
        </is>
      </c>
      <c r="J1217" s="256" t="inlineStr">
        <is>
          <t>≤ 0.3 mg/kg</t>
        </is>
      </c>
      <c r="K1217" s="256" t="inlineStr">
        <is>
          <t>ND</t>
        </is>
      </c>
      <c r="L1217" s="256" t="inlineStr">
        <is>
          <t>1058/2026</t>
        </is>
      </c>
      <c r="M1217" s="256" t="inlineStr">
        <is>
          <t>09.03.2026</t>
        </is>
      </c>
      <c r="N1217" s="256" t="inlineStr">
        <is>
          <t>IPH — Institute of Public Health</t>
        </is>
      </c>
      <c r="O1217" s="256" t="inlineStr">
        <is>
          <t>—</t>
        </is>
      </c>
      <c r="P1217" s="256" t="inlineStr">
        <is>
          <t>covered</t>
        </is>
      </c>
      <c r="Q1217" s="256" t="inlineStr"/>
      <c r="R1217" s="256" t="inlineStr"/>
    </row>
    <row r="1218">
      <c r="A1218" s="256" t="inlineStr">
        <is>
          <t>CoQ-PP_26-053</t>
        </is>
      </c>
      <c r="B1218" s="256" t="inlineStr">
        <is>
          <t>release</t>
        </is>
      </c>
      <c r="C1218" s="256" t="inlineStr">
        <is>
          <t>KC102501</t>
        </is>
      </c>
      <c r="D1218" s="256" t="inlineStr">
        <is>
          <t>P060172</t>
        </is>
      </c>
      <c r="E1218" s="256" t="inlineStr">
        <is>
          <t>Kush Crasher</t>
        </is>
      </c>
      <c r="F1218" s="256" t="inlineStr">
        <is>
          <t>06.06.2026</t>
        </is>
      </c>
      <c r="G1218" s="256" t="inlineStr">
        <is>
          <t>11.3</t>
        </is>
      </c>
      <c r="H1218" s="256" t="inlineStr">
        <is>
          <t>Arsenic (As)</t>
        </is>
      </c>
      <c r="I1218" s="256" t="inlineStr">
        <is>
          <t>Ph. Eur. 2.4.27 (ICP-MS)</t>
        </is>
      </c>
      <c r="J1218" s="256" t="inlineStr">
        <is>
          <t>≤ 0.2 mg/kg</t>
        </is>
      </c>
      <c r="K1218" s="256" t="inlineStr">
        <is>
          <t>ND</t>
        </is>
      </c>
      <c r="L1218" s="256" t="inlineStr">
        <is>
          <t>1058/2026</t>
        </is>
      </c>
      <c r="M1218" s="256" t="inlineStr">
        <is>
          <t>09.03.2026</t>
        </is>
      </c>
      <c r="N1218" s="256" t="inlineStr">
        <is>
          <t>IPH — Institute of Public Health</t>
        </is>
      </c>
      <c r="O1218" s="256" t="inlineStr">
        <is>
          <t>—</t>
        </is>
      </c>
      <c r="P1218" s="256" t="inlineStr">
        <is>
          <t>covered</t>
        </is>
      </c>
      <c r="Q1218" s="256" t="inlineStr"/>
      <c r="R1218" s="256" t="inlineStr"/>
    </row>
    <row r="1219">
      <c r="A1219" s="256" t="inlineStr">
        <is>
          <t>CoQ-PP_26-053</t>
        </is>
      </c>
      <c r="B1219" s="256" t="inlineStr">
        <is>
          <t>release</t>
        </is>
      </c>
      <c r="C1219" s="256" t="inlineStr">
        <is>
          <t>KC102501</t>
        </is>
      </c>
      <c r="D1219" s="256" t="inlineStr">
        <is>
          <t>P060172</t>
        </is>
      </c>
      <c r="E1219" s="256" t="inlineStr">
        <is>
          <t>Kush Crasher</t>
        </is>
      </c>
      <c r="F1219" s="256" t="inlineStr">
        <is>
          <t>06.06.2026</t>
        </is>
      </c>
      <c r="G1219" s="256" t="inlineStr">
        <is>
          <t>11.4</t>
        </is>
      </c>
      <c r="H1219" s="256" t="inlineStr">
        <is>
          <t>Mercury (Hg)</t>
        </is>
      </c>
      <c r="I1219" s="256" t="inlineStr">
        <is>
          <t>Ph. Eur. 2.4.27 (ICP-MS)</t>
        </is>
      </c>
      <c r="J1219" s="256" t="inlineStr">
        <is>
          <t>≤ 0.1 mg/kg</t>
        </is>
      </c>
      <c r="K1219" s="256" t="inlineStr">
        <is>
          <t>ND</t>
        </is>
      </c>
      <c r="L1219" s="256" t="inlineStr">
        <is>
          <t>1058/2026</t>
        </is>
      </c>
      <c r="M1219" s="256" t="inlineStr">
        <is>
          <t>09.03.2026</t>
        </is>
      </c>
      <c r="N1219" s="256" t="inlineStr">
        <is>
          <t>IPH — Institute of Public Health</t>
        </is>
      </c>
      <c r="O1219" s="256" t="inlineStr">
        <is>
          <t>—</t>
        </is>
      </c>
      <c r="P1219" s="256" t="inlineStr">
        <is>
          <t>covered</t>
        </is>
      </c>
      <c r="Q1219" s="256" t="inlineStr"/>
      <c r="R1219" s="256" t="inlineStr"/>
    </row>
    <row r="1220">
      <c r="A1220" s="256" t="inlineStr">
        <is>
          <t>CoQ-PP_26-053</t>
        </is>
      </c>
      <c r="B1220" s="256" t="inlineStr">
        <is>
          <t>release</t>
        </is>
      </c>
      <c r="C1220" s="256" t="inlineStr">
        <is>
          <t>KC102501</t>
        </is>
      </c>
      <c r="D1220" s="256" t="inlineStr">
        <is>
          <t>P060172</t>
        </is>
      </c>
      <c r="E1220" s="256" t="inlineStr">
        <is>
          <t>Kush Crasher</t>
        </is>
      </c>
      <c r="F1220" s="256" t="inlineStr">
        <is>
          <t>06.06.2026</t>
        </is>
      </c>
      <c r="G1220" s="256" t="inlineStr">
        <is>
          <t>12</t>
        </is>
      </c>
      <c r="H1220" s="256" t="inlineStr">
        <is>
          <t>Pesticide Residues</t>
        </is>
      </c>
      <c r="I1220" s="256" t="inlineStr">
        <is>
          <t>Ph. Eur. 2.8.13 (LC-MS/MS) · CUMCS Equivalency</t>
        </is>
      </c>
      <c r="J1220" s="256" t="inlineStr">
        <is>
          <t>≤ LOQ as per Ph. Eur. 2.8.13 · ≤ LOQ as per CUMCS Equivalency</t>
        </is>
      </c>
      <c r="K1220" s="256" t="inlineStr">
        <is>
          <t>ND mg/kg — all 25 residues</t>
        </is>
      </c>
      <c r="L1220" s="256" t="inlineStr">
        <is>
          <t>1058/2026</t>
        </is>
      </c>
      <c r="M1220" s="256" t="inlineStr">
        <is>
          <t>09.03.2026</t>
        </is>
      </c>
      <c r="N1220" s="256" t="inlineStr">
        <is>
          <t>IJZ</t>
        </is>
      </c>
      <c r="O1220" s="256" t="inlineStr">
        <is>
          <t>—</t>
        </is>
      </c>
      <c r="P1220" s="256" t="inlineStr">
        <is>
          <t>covered</t>
        </is>
      </c>
      <c r="Q1220" s="256" t="inlineStr"/>
      <c r="R1220" s="256" t="inlineStr"/>
    </row>
    <row r="1221">
      <c r="A1221" s="256" t="inlineStr">
        <is>
          <t>CoQ-PP_26-054</t>
        </is>
      </c>
      <c r="B1221" s="256" t="inlineStr">
        <is>
          <t>release</t>
        </is>
      </c>
      <c r="C1221" s="256" t="inlineStr">
        <is>
          <t>GRC102501/2</t>
        </is>
      </c>
      <c r="D1221" s="256" t="inlineStr">
        <is>
          <t>P060182</t>
        </is>
      </c>
      <c r="E1221" s="256" t="inlineStr">
        <is>
          <t>Grapes And Cream</t>
        </is>
      </c>
      <c r="F1221" s="256" t="inlineStr">
        <is>
          <t>06.06.2026</t>
        </is>
      </c>
      <c r="G1221" s="256" t="inlineStr">
        <is>
          <t>1</t>
        </is>
      </c>
      <c r="H1221" s="256" t="inlineStr">
        <is>
          <t>Identification A, Appearance · Macroscopic</t>
        </is>
      </c>
      <c r="I1221" s="256" t="inlineStr">
        <is>
          <t>Ph. Eur. mon. 3028</t>
        </is>
      </c>
      <c r="J1221" s="256" t="inlineStr">
        <is>
          <t>Conforms to the monograph for Cannabis flos (07/2024:3028) in Ph. Eur. 11.0 | Согласно монографија за Cannabis flos (07/2024:3028) во Ph. Eur. 11.0</t>
        </is>
      </c>
      <c r="K1221" s="256" t="inlineStr">
        <is>
          <t>Conforms | Одговара</t>
        </is>
      </c>
      <c r="L1221" s="256" t="inlineStr">
        <is>
          <t>iCoA-PP_26-057</t>
        </is>
      </c>
      <c r="M1221" s="256" t="inlineStr">
        <is>
          <t>03.06.2026</t>
        </is>
      </c>
      <c r="N1221" s="256" t="inlineStr">
        <is>
          <t>Purely Plant GmbH (in-house)</t>
        </is>
      </c>
      <c r="O1221" s="256" t="inlineStr">
        <is>
          <t>—</t>
        </is>
      </c>
      <c r="P1221" s="256" t="inlineStr">
        <is>
          <t>to be performed — see route</t>
        </is>
      </c>
      <c r="Q1221" s="256" t="inlineStr">
        <is>
          <t>Purely Plant laboratory — iCoA covering Ident A + B</t>
        </is>
      </c>
      <c r="R1221" s="256" t="inlineStr"/>
    </row>
    <row r="1222">
      <c r="A1222" s="256" t="inlineStr">
        <is>
          <t>CoQ-PP_26-054</t>
        </is>
      </c>
      <c r="B1222" s="256" t="inlineStr">
        <is>
          <t>release</t>
        </is>
      </c>
      <c r="C1222" s="256" t="inlineStr">
        <is>
          <t>GRC102501/2</t>
        </is>
      </c>
      <c r="D1222" s="256" t="inlineStr">
        <is>
          <t>P060182</t>
        </is>
      </c>
      <c r="E1222" s="256" t="inlineStr">
        <is>
          <t>Grapes And Cream</t>
        </is>
      </c>
      <c r="F1222" s="256" t="inlineStr">
        <is>
          <t>06.06.2026</t>
        </is>
      </c>
      <c r="G1222" s="256" t="inlineStr">
        <is>
          <t>2</t>
        </is>
      </c>
      <c r="H1222" s="256" t="inlineStr">
        <is>
          <t>Identification B · Microscopic</t>
        </is>
      </c>
      <c r="I1222" s="256" t="inlineStr">
        <is>
          <t>Ph. Eur. 2.8.23 (microscopy)</t>
        </is>
      </c>
      <c r="J1222" s="256" t="inlineStr">
        <is>
          <t>Conforms to the monograph for Cannabis flos (07/2024:3028) in Ph. Eur. 11.0 | Согласно монографија за Cannabis flos (07/2024:3028) во Ph. Eur. 11.0</t>
        </is>
      </c>
      <c r="K1222" s="256" t="inlineStr">
        <is>
          <t>Conforms | Одговара</t>
        </is>
      </c>
      <c r="L1222" s="256" t="inlineStr">
        <is>
          <t>iCoA-PP_26-057</t>
        </is>
      </c>
      <c r="M1222" s="256" t="inlineStr">
        <is>
          <t>03.06.2026</t>
        </is>
      </c>
      <c r="N1222" s="256" t="inlineStr">
        <is>
          <t>Purely Plant GmbH (in-house)</t>
        </is>
      </c>
      <c r="O1222" s="256" t="inlineStr">
        <is>
          <t>—</t>
        </is>
      </c>
      <c r="P1222" s="256" t="inlineStr">
        <is>
          <t>to be performed — see route</t>
        </is>
      </c>
      <c r="Q1222" s="256" t="inlineStr">
        <is>
          <t>Purely Plant laboratory — iCoA covering Ident A + B</t>
        </is>
      </c>
      <c r="R1222" s="256" t="inlineStr"/>
    </row>
    <row r="1223">
      <c r="A1223" s="256" t="inlineStr">
        <is>
          <t>CoQ-PP_26-054</t>
        </is>
      </c>
      <c r="B1223" s="256" t="inlineStr">
        <is>
          <t>release</t>
        </is>
      </c>
      <c r="C1223" s="256" t="inlineStr">
        <is>
          <t>GRC102501/2</t>
        </is>
      </c>
      <c r="D1223" s="256" t="inlineStr">
        <is>
          <t>P060182</t>
        </is>
      </c>
      <c r="E1223" s="256" t="inlineStr">
        <is>
          <t>Grapes And Cream</t>
        </is>
      </c>
      <c r="F1223" s="256" t="inlineStr">
        <is>
          <t>06.06.2026</t>
        </is>
      </c>
      <c r="G1223" s="256" t="inlineStr">
        <is>
          <t>3</t>
        </is>
      </c>
      <c r="H1223" s="256" t="inlineStr">
        <is>
          <t>Identification C · HPLC/HPTLC</t>
        </is>
      </c>
      <c r="I1223" s="256" t="inlineStr">
        <is>
          <t>Ph. Eur. 2.2.29 (3028)</t>
        </is>
      </c>
      <c r="J1223" s="256" t="inlineStr">
        <is>
          <t>Conforms to the monograph for Cannabis flos (07/2024:3028) in Ph. Eur. 11.0 | Согласно монографија за Cannabis flos (07/2024:3028) во Ph. Eur. 11.0</t>
        </is>
      </c>
      <c r="K1223" s="256" t="inlineStr">
        <is>
          <t>Conforms | Одговара</t>
        </is>
      </c>
      <c r="L1223" s="256" t="inlineStr">
        <is>
          <t>051-6-К/26</t>
        </is>
      </c>
      <c r="M1223" s="256" t="inlineStr">
        <is>
          <t>04.03.2026</t>
        </is>
      </c>
      <c r="N1223" s="256" t="inlineStr">
        <is>
          <t>Farmahem</t>
        </is>
      </c>
      <c r="O1223" s="256" t="inlineStr">
        <is>
          <t>23.02.2026</t>
        </is>
      </c>
      <c r="P1223" s="256" t="inlineStr">
        <is>
          <t>covered</t>
        </is>
      </c>
      <c r="Q1223" s="256" t="inlineStr"/>
      <c r="R1223" s="256" t="inlineStr"/>
    </row>
    <row r="1224">
      <c r="A1224" s="256" t="inlineStr">
        <is>
          <t>CoQ-PP_26-054</t>
        </is>
      </c>
      <c r="B1224" s="256" t="inlineStr">
        <is>
          <t>release</t>
        </is>
      </c>
      <c r="C1224" s="256" t="inlineStr">
        <is>
          <t>GRC102501/2</t>
        </is>
      </c>
      <c r="D1224" s="256" t="inlineStr">
        <is>
          <t>P060182</t>
        </is>
      </c>
      <c r="E1224" s="256" t="inlineStr">
        <is>
          <t>Grapes And Cream</t>
        </is>
      </c>
      <c r="F1224" s="256" t="inlineStr">
        <is>
          <t>06.06.2026</t>
        </is>
      </c>
      <c r="G1224" s="256" t="inlineStr">
        <is>
          <t>4</t>
        </is>
      </c>
      <c r="H1224" s="256" t="inlineStr">
        <is>
          <t>Assay — Total Δ⁹-THC</t>
        </is>
      </c>
      <c r="I1224" s="256" t="inlineStr">
        <is>
          <t>Ph. Eur. 2.2.29 (HPLC)</t>
        </is>
      </c>
      <c r="J1224" s="256" t="inlineStr">
        <is>
          <t>11.00 – 12.99 %  (grade I, nominal 12.00 ± 1.00)</t>
        </is>
      </c>
      <c r="K1224" s="256" t="inlineStr">
        <is>
          <t>11.53</t>
        </is>
      </c>
      <c r="L1224" s="256" t="inlineStr">
        <is>
          <t>051-6-К/26</t>
        </is>
      </c>
      <c r="M1224" s="256" t="inlineStr">
        <is>
          <t>04.03.2026</t>
        </is>
      </c>
      <c r="N1224" s="256" t="inlineStr">
        <is>
          <t>Farmahem</t>
        </is>
      </c>
      <c r="O1224" s="256" t="inlineStr">
        <is>
          <t>23.02.2026</t>
        </is>
      </c>
      <c r="P1224" s="256" t="inlineStr">
        <is>
          <t>covered</t>
        </is>
      </c>
      <c r="Q1224" s="256" t="inlineStr"/>
      <c r="R1224" s="256" t="inlineStr">
        <is>
          <t>9.80 (220-14-К/26)</t>
        </is>
      </c>
    </row>
    <row r="1225">
      <c r="A1225" s="256" t="inlineStr">
        <is>
          <t>CoQ-PP_26-054</t>
        </is>
      </c>
      <c r="B1225" s="256" t="inlineStr">
        <is>
          <t>release</t>
        </is>
      </c>
      <c r="C1225" s="256" t="inlineStr">
        <is>
          <t>GRC102501/2</t>
        </is>
      </c>
      <c r="D1225" s="256" t="inlineStr">
        <is>
          <t>P060182</t>
        </is>
      </c>
      <c r="E1225" s="256" t="inlineStr">
        <is>
          <t>Grapes And Cream</t>
        </is>
      </c>
      <c r="F1225" s="256" t="inlineStr">
        <is>
          <t>06.06.2026</t>
        </is>
      </c>
      <c r="G1225" s="256" t="inlineStr">
        <is>
          <t>5</t>
        </is>
      </c>
      <c r="H1225" s="256" t="inlineStr">
        <is>
          <t>Assay — Total CBD</t>
        </is>
      </c>
      <c r="I1225" s="256" t="inlineStr">
        <is>
          <t>Ph. Eur. 2.2.29 (HPLC) · CBD + CBDA x 0.877</t>
        </is>
      </c>
      <c r="J1225" s="256" t="inlineStr">
        <is>
          <t>≤ 1.0%, w/w</t>
        </is>
      </c>
      <c r="K1225" s="256" t="inlineStr">
        <is>
          <t>&lt; LOQ (&lt;0.20)</t>
        </is>
      </c>
      <c r="L1225" s="256" t="inlineStr">
        <is>
          <t>051-6-К/26</t>
        </is>
      </c>
      <c r="M1225" s="256" t="inlineStr">
        <is>
          <t>04.03.2026</t>
        </is>
      </c>
      <c r="N1225" s="256" t="inlineStr">
        <is>
          <t>Farmahem</t>
        </is>
      </c>
      <c r="O1225" s="256" t="inlineStr">
        <is>
          <t>23.02.2026</t>
        </is>
      </c>
      <c r="P1225" s="256" t="inlineStr">
        <is>
          <t>covered</t>
        </is>
      </c>
      <c r="Q1225" s="256" t="inlineStr"/>
      <c r="R1225" s="256" t="inlineStr">
        <is>
          <t>&lt;LOQ (220-14-К/26)</t>
        </is>
      </c>
    </row>
    <row r="1226">
      <c r="A1226" s="256" t="inlineStr">
        <is>
          <t>CoQ-PP_26-054</t>
        </is>
      </c>
      <c r="B1226" s="256" t="inlineStr">
        <is>
          <t>release</t>
        </is>
      </c>
      <c r="C1226" s="256" t="inlineStr">
        <is>
          <t>GRC102501/2</t>
        </is>
      </c>
      <c r="D1226" s="256" t="inlineStr">
        <is>
          <t>P060182</t>
        </is>
      </c>
      <c r="E1226" s="256" t="inlineStr">
        <is>
          <t>Grapes And Cream</t>
        </is>
      </c>
      <c r="F1226" s="256" t="inlineStr">
        <is>
          <t>06.06.2026</t>
        </is>
      </c>
      <c r="G1226" s="256" t="inlineStr">
        <is>
          <t>6</t>
        </is>
      </c>
      <c r="H1226" s="256" t="inlineStr">
        <is>
          <t>Total CBN</t>
        </is>
      </c>
      <c r="I1226" s="256" t="inlineStr">
        <is>
          <t>Ph. Eur. 2.2.29 (HPLC) · CBN + CBNA x 0.876</t>
        </is>
      </c>
      <c r="J1226" s="256" t="inlineStr">
        <is>
          <t>≤ 1.0%, w/w</t>
        </is>
      </c>
      <c r="K1226" s="256" t="inlineStr">
        <is>
          <t>&lt; LOQ</t>
        </is>
      </c>
      <c r="L1226" s="256" t="inlineStr">
        <is>
          <t>051-6-К/26</t>
        </is>
      </c>
      <c r="M1226" s="256" t="inlineStr">
        <is>
          <t>04.03.2026</t>
        </is>
      </c>
      <c r="N1226" s="256" t="inlineStr">
        <is>
          <t>Farmahem</t>
        </is>
      </c>
      <c r="O1226" s="256" t="inlineStr">
        <is>
          <t>23.02.2026</t>
        </is>
      </c>
      <c r="P1226" s="256" t="inlineStr">
        <is>
          <t>covered</t>
        </is>
      </c>
      <c r="Q1226" s="256" t="inlineStr"/>
      <c r="R1226" s="256" t="inlineStr">
        <is>
          <t>&lt;LOQ (220-14-К/26)</t>
        </is>
      </c>
    </row>
    <row r="1227">
      <c r="A1227" s="256" t="inlineStr">
        <is>
          <t>CoQ-PP_26-054</t>
        </is>
      </c>
      <c r="B1227" s="256" t="inlineStr">
        <is>
          <t>release</t>
        </is>
      </c>
      <c r="C1227" s="256" t="inlineStr">
        <is>
          <t>GRC102501/2</t>
        </is>
      </c>
      <c r="D1227" s="256" t="inlineStr">
        <is>
          <t>P060182</t>
        </is>
      </c>
      <c r="E1227" s="256" t="inlineStr">
        <is>
          <t>Grapes And Cream</t>
        </is>
      </c>
      <c r="F1227" s="256" t="inlineStr">
        <is>
          <t>06.06.2026</t>
        </is>
      </c>
      <c r="G1227" s="256" t="inlineStr">
        <is>
          <t>7</t>
        </is>
      </c>
      <c r="H1227" s="256" t="inlineStr">
        <is>
          <t>Foreign Matter</t>
        </is>
      </c>
      <c r="I1227" s="256" t="inlineStr">
        <is>
          <t>Ph. Eur. 2.8.2 · In-house · интерна</t>
        </is>
      </c>
      <c r="J1227" s="256" t="inlineStr">
        <is>
          <t>≤ 2.0% / 25–50 g · &lt; 1 cm leaves | листови, no seeds | без семки</t>
        </is>
      </c>
      <c r="K1227" s="256" t="inlineStr">
        <is>
          <t>Conforms | Одговара</t>
        </is>
      </c>
      <c r="L1227" s="256" t="inlineStr">
        <is>
          <t>iCoA-PP_26-057</t>
        </is>
      </c>
      <c r="M1227" s="256" t="inlineStr">
        <is>
          <t>03.06.2026</t>
        </is>
      </c>
      <c r="N1227" s="256" t="inlineStr">
        <is>
          <t>Purely Plant GmbH (in-house)</t>
        </is>
      </c>
      <c r="O1227" s="256" t="inlineStr">
        <is>
          <t>—</t>
        </is>
      </c>
      <c r="P1227" s="256" t="inlineStr">
        <is>
          <t>to be performed — see route</t>
        </is>
      </c>
      <c r="Q1227" s="256" t="inlineStr">
        <is>
          <t>Purely Plant laboratory — iCoA covering Foreign matter</t>
        </is>
      </c>
      <c r="R1227" s="256" t="inlineStr"/>
    </row>
    <row r="1228">
      <c r="A1228" s="256" t="inlineStr">
        <is>
          <t>CoQ-PP_26-054</t>
        </is>
      </c>
      <c r="B1228" s="256" t="inlineStr">
        <is>
          <t>release</t>
        </is>
      </c>
      <c r="C1228" s="256" t="inlineStr">
        <is>
          <t>GRC102501/2</t>
        </is>
      </c>
      <c r="D1228" s="256" t="inlineStr">
        <is>
          <t>P060182</t>
        </is>
      </c>
      <c r="E1228" s="256" t="inlineStr">
        <is>
          <t>Grapes And Cream</t>
        </is>
      </c>
      <c r="F1228" s="256" t="inlineStr">
        <is>
          <t>06.06.2026</t>
        </is>
      </c>
      <c r="G1228" s="256" t="inlineStr">
        <is>
          <t>8</t>
        </is>
      </c>
      <c r="H1228" s="256" t="inlineStr">
        <is>
          <t>Loss on Drying</t>
        </is>
      </c>
      <c r="I1228" s="256" t="inlineStr">
        <is>
          <t>Ph. Eur. 2.2.32 (3028) · at 40 °C, 24 h, 15–25 mbar</t>
        </is>
      </c>
      <c r="J1228" s="256" t="inlineStr">
        <is>
          <t>≤ 12.0%</t>
        </is>
      </c>
      <c r="K1228" s="256" t="inlineStr">
        <is>
          <t>7.7</t>
        </is>
      </c>
      <c r="L1228" s="256" t="inlineStr">
        <is>
          <t>051-6-ГС/26</t>
        </is>
      </c>
      <c r="M1228" s="256" t="inlineStr">
        <is>
          <t>02.03.2026</t>
        </is>
      </c>
      <c r="N1228" s="256" t="inlineStr">
        <is>
          <t>Farmahem</t>
        </is>
      </c>
      <c r="O1228" s="256" t="inlineStr">
        <is>
          <t>—</t>
        </is>
      </c>
      <c r="P1228" s="256" t="inlineStr">
        <is>
          <t>covered</t>
        </is>
      </c>
      <c r="Q1228" s="256" t="inlineStr"/>
      <c r="R1228" s="256" t="inlineStr"/>
    </row>
    <row r="1229">
      <c r="A1229" s="256" t="inlineStr">
        <is>
          <t>CoQ-PP_26-054</t>
        </is>
      </c>
      <c r="B1229" s="256" t="inlineStr">
        <is>
          <t>release</t>
        </is>
      </c>
      <c r="C1229" s="256" t="inlineStr">
        <is>
          <t>GRC102501/2</t>
        </is>
      </c>
      <c r="D1229" s="256" t="inlineStr">
        <is>
          <t>P060182</t>
        </is>
      </c>
      <c r="E1229" s="256" t="inlineStr">
        <is>
          <t>Grapes And Cream</t>
        </is>
      </c>
      <c r="F1229" s="256" t="inlineStr">
        <is>
          <t>06.06.2026</t>
        </is>
      </c>
      <c r="G1229" s="256" t="inlineStr">
        <is>
          <t>9.1</t>
        </is>
      </c>
      <c r="H1229" s="256" t="inlineStr">
        <is>
          <t>TAMC</t>
        </is>
      </c>
      <c r="I1229" s="256" t="inlineStr">
        <is>
          <t>Ph. Eur. 2.6.12 cat. C</t>
        </is>
      </c>
      <c r="J1229" s="256" t="inlineStr">
        <is>
          <t>≤ 10⁵ CFU/g</t>
        </is>
      </c>
      <c r="K1229" s="256" t="inlineStr">
        <is>
          <t>2.3 × 10²</t>
        </is>
      </c>
      <c r="L1229" s="256" t="inlineStr">
        <is>
          <t>136/0233/26</t>
        </is>
      </c>
      <c r="M1229" s="256" t="inlineStr">
        <is>
          <t>06.03.2026</t>
        </is>
      </c>
      <c r="N1229" s="256" t="inlineStr">
        <is>
          <t>IPH — Institute of Public Health</t>
        </is>
      </c>
      <c r="O1229" s="256" t="inlineStr">
        <is>
          <t>—</t>
        </is>
      </c>
      <c r="P1229" s="256" t="inlineStr">
        <is>
          <t>covered</t>
        </is>
      </c>
      <c r="Q1229" s="256" t="inlineStr"/>
      <c r="R1229" s="256" t="inlineStr"/>
    </row>
    <row r="1230">
      <c r="A1230" s="256" t="inlineStr">
        <is>
          <t>CoQ-PP_26-054</t>
        </is>
      </c>
      <c r="B1230" s="256" t="inlineStr">
        <is>
          <t>release</t>
        </is>
      </c>
      <c r="C1230" s="256" t="inlineStr">
        <is>
          <t>GRC102501/2</t>
        </is>
      </c>
      <c r="D1230" s="256" t="inlineStr">
        <is>
          <t>P060182</t>
        </is>
      </c>
      <c r="E1230" s="256" t="inlineStr">
        <is>
          <t>Grapes And Cream</t>
        </is>
      </c>
      <c r="F1230" s="256" t="inlineStr">
        <is>
          <t>06.06.2026</t>
        </is>
      </c>
      <c r="G1230" s="256" t="inlineStr">
        <is>
          <t>9.2</t>
        </is>
      </c>
      <c r="H1230" s="256" t="inlineStr">
        <is>
          <t>TYMC</t>
        </is>
      </c>
      <c r="I1230" s="256" t="inlineStr">
        <is>
          <t>Ph. Eur. 2.6.12 cat. C</t>
        </is>
      </c>
      <c r="J1230" s="256" t="inlineStr">
        <is>
          <t>≤ 10⁴ CFU/g</t>
        </is>
      </c>
      <c r="K1230" s="256" t="inlineStr">
        <is>
          <t>1.3 × 10²</t>
        </is>
      </c>
      <c r="L1230" s="256" t="inlineStr">
        <is>
          <t>136/0233/26</t>
        </is>
      </c>
      <c r="M1230" s="256" t="inlineStr">
        <is>
          <t>06.03.2026</t>
        </is>
      </c>
      <c r="N1230" s="256" t="inlineStr">
        <is>
          <t>IPH — Institute of Public Health</t>
        </is>
      </c>
      <c r="O1230" s="256" t="inlineStr">
        <is>
          <t>—</t>
        </is>
      </c>
      <c r="P1230" s="256" t="inlineStr">
        <is>
          <t>covered</t>
        </is>
      </c>
      <c r="Q1230" s="256" t="inlineStr"/>
      <c r="R1230" s="256" t="inlineStr"/>
    </row>
    <row r="1231">
      <c r="A1231" s="256" t="inlineStr">
        <is>
          <t>CoQ-PP_26-054</t>
        </is>
      </c>
      <c r="B1231" s="256" t="inlineStr">
        <is>
          <t>release</t>
        </is>
      </c>
      <c r="C1231" s="256" t="inlineStr">
        <is>
          <t>GRC102501/2</t>
        </is>
      </c>
      <c r="D1231" s="256" t="inlineStr">
        <is>
          <t>P060182</t>
        </is>
      </c>
      <c r="E1231" s="256" t="inlineStr">
        <is>
          <t>Grapes And Cream</t>
        </is>
      </c>
      <c r="F1231" s="256" t="inlineStr">
        <is>
          <t>06.06.2026</t>
        </is>
      </c>
      <c r="G1231" s="256" t="inlineStr">
        <is>
          <t>9.3</t>
        </is>
      </c>
      <c r="H1231" s="256" t="inlineStr">
        <is>
          <t>Bile-tolerant gram-neg.</t>
        </is>
      </c>
      <c r="I1231" s="256" t="inlineStr">
        <is>
          <t>Ph. Eur. 2.6.31 cat. C</t>
        </is>
      </c>
      <c r="J1231" s="256" t="inlineStr">
        <is>
          <t>≤ 10⁴ CFU/g</t>
        </is>
      </c>
      <c r="K1231" s="256" t="inlineStr">
        <is>
          <t>&lt; 10</t>
        </is>
      </c>
      <c r="L1231" s="256" t="inlineStr">
        <is>
          <t>136/0233/26</t>
        </is>
      </c>
      <c r="M1231" s="256" t="inlineStr">
        <is>
          <t>06.03.2026</t>
        </is>
      </c>
      <c r="N1231" s="256" t="inlineStr">
        <is>
          <t>IPH — Institute of Public Health</t>
        </is>
      </c>
      <c r="O1231" s="256" t="inlineStr">
        <is>
          <t>—</t>
        </is>
      </c>
      <c r="P1231" s="256" t="inlineStr">
        <is>
          <t>covered</t>
        </is>
      </c>
      <c r="Q1231" s="256" t="inlineStr"/>
      <c r="R1231" s="256" t="inlineStr"/>
    </row>
    <row r="1232">
      <c r="A1232" s="256" t="inlineStr">
        <is>
          <t>CoQ-PP_26-054</t>
        </is>
      </c>
      <c r="B1232" s="256" t="inlineStr">
        <is>
          <t>release</t>
        </is>
      </c>
      <c r="C1232" s="256" t="inlineStr">
        <is>
          <t>GRC102501/2</t>
        </is>
      </c>
      <c r="D1232" s="256" t="inlineStr">
        <is>
          <t>P060182</t>
        </is>
      </c>
      <c r="E1232" s="256" t="inlineStr">
        <is>
          <t>Grapes And Cream</t>
        </is>
      </c>
      <c r="F1232" s="256" t="inlineStr">
        <is>
          <t>06.06.2026</t>
        </is>
      </c>
      <c r="G1232" s="256" t="inlineStr">
        <is>
          <t>9.4</t>
        </is>
      </c>
      <c r="H1232" s="256" t="inlineStr">
        <is>
          <t>Salmonella</t>
        </is>
      </c>
      <c r="I1232" s="256" t="inlineStr">
        <is>
          <t>Ph. Eur. 2.6.31 cat. C</t>
        </is>
      </c>
      <c r="J1232" s="256" t="inlineStr">
        <is>
          <t>Absence | Отсуство / 25 g</t>
        </is>
      </c>
      <c r="K1232" s="256" t="inlineStr">
        <is>
          <t>Absent | Отсутна</t>
        </is>
      </c>
      <c r="L1232" s="256" t="inlineStr">
        <is>
          <t>136/0233/26</t>
        </is>
      </c>
      <c r="M1232" s="256" t="inlineStr">
        <is>
          <t>06.03.2026</t>
        </is>
      </c>
      <c r="N1232" s="256" t="inlineStr">
        <is>
          <t>IPH — Institute of Public Health</t>
        </is>
      </c>
      <c r="O1232" s="256" t="inlineStr">
        <is>
          <t>—</t>
        </is>
      </c>
      <c r="P1232" s="256" t="inlineStr">
        <is>
          <t>covered</t>
        </is>
      </c>
      <c r="Q1232" s="256" t="inlineStr"/>
      <c r="R1232" s="256" t="inlineStr"/>
    </row>
    <row r="1233">
      <c r="A1233" s="256" t="inlineStr">
        <is>
          <t>CoQ-PP_26-054</t>
        </is>
      </c>
      <c r="B1233" s="256" t="inlineStr">
        <is>
          <t>release</t>
        </is>
      </c>
      <c r="C1233" s="256" t="inlineStr">
        <is>
          <t>GRC102501/2</t>
        </is>
      </c>
      <c r="D1233" s="256" t="inlineStr">
        <is>
          <t>P060182</t>
        </is>
      </c>
      <c r="E1233" s="256" t="inlineStr">
        <is>
          <t>Grapes And Cream</t>
        </is>
      </c>
      <c r="F1233" s="256" t="inlineStr">
        <is>
          <t>06.06.2026</t>
        </is>
      </c>
      <c r="G1233" s="256" t="inlineStr">
        <is>
          <t>9.5</t>
        </is>
      </c>
      <c r="H1233" s="256" t="inlineStr">
        <is>
          <t>Escherichia coli</t>
        </is>
      </c>
      <c r="I1233" s="256" t="inlineStr">
        <is>
          <t>Ph. Eur. 2.6.13 cat. C</t>
        </is>
      </c>
      <c r="J1233" s="256" t="inlineStr">
        <is>
          <t>Absence | Отсуство / 1 g</t>
        </is>
      </c>
      <c r="K1233" s="256" t="inlineStr">
        <is>
          <t>Absent | Отсутна</t>
        </is>
      </c>
      <c r="L1233" s="256" t="inlineStr">
        <is>
          <t>136/0233/26</t>
        </is>
      </c>
      <c r="M1233" s="256" t="inlineStr">
        <is>
          <t>06.03.2026</t>
        </is>
      </c>
      <c r="N1233" s="256" t="inlineStr">
        <is>
          <t>IPH — Institute of Public Health</t>
        </is>
      </c>
      <c r="O1233" s="256" t="inlineStr">
        <is>
          <t>—</t>
        </is>
      </c>
      <c r="P1233" s="256" t="inlineStr">
        <is>
          <t>covered</t>
        </is>
      </c>
      <c r="Q1233" s="256" t="inlineStr"/>
      <c r="R1233" s="256" t="inlineStr"/>
    </row>
    <row r="1234">
      <c r="A1234" s="256" t="inlineStr">
        <is>
          <t>CoQ-PP_26-054</t>
        </is>
      </c>
      <c r="B1234" s="256" t="inlineStr">
        <is>
          <t>release</t>
        </is>
      </c>
      <c r="C1234" s="256" t="inlineStr">
        <is>
          <t>GRC102501/2</t>
        </is>
      </c>
      <c r="D1234" s="256" t="inlineStr">
        <is>
          <t>P060182</t>
        </is>
      </c>
      <c r="E1234" s="256" t="inlineStr">
        <is>
          <t>Grapes And Cream</t>
        </is>
      </c>
      <c r="F1234" s="256" t="inlineStr">
        <is>
          <t>06.06.2026</t>
        </is>
      </c>
      <c r="G1234" s="256" t="inlineStr">
        <is>
          <t>9.6</t>
        </is>
      </c>
      <c r="H1234" s="256" t="inlineStr">
        <is>
          <t>Pseudomonas aeruginosa</t>
        </is>
      </c>
      <c r="I1234" s="256" t="inlineStr">
        <is>
          <t>Ph. Eur. 2.6.13 cat. C</t>
        </is>
      </c>
      <c r="J1234" s="256" t="inlineStr">
        <is>
          <t>Absence | Отсуство / 1 g</t>
        </is>
      </c>
      <c r="K1234" s="260" t="inlineStr">
        <is>
          <t>upon request — not required for release</t>
        </is>
      </c>
      <c r="L1234" s="256" t="inlineStr">
        <is>
          <t>—</t>
        </is>
      </c>
      <c r="M1234" s="256" t="inlineStr">
        <is>
          <t>—</t>
        </is>
      </c>
      <c r="N1234" s="256" t="inlineStr">
        <is>
          <t>—</t>
        </is>
      </c>
      <c r="O1234" s="256" t="inlineStr">
        <is>
          <t>—</t>
        </is>
      </c>
      <c r="P1234" s="256" t="inlineStr">
        <is>
          <t>upon request — not required for release</t>
        </is>
      </c>
      <c r="Q1234" s="256" t="inlineStr"/>
      <c r="R1234" s="256" t="inlineStr"/>
    </row>
    <row r="1235">
      <c r="A1235" s="256" t="inlineStr">
        <is>
          <t>CoQ-PP_26-054</t>
        </is>
      </c>
      <c r="B1235" s="256" t="inlineStr">
        <is>
          <t>release</t>
        </is>
      </c>
      <c r="C1235" s="256" t="inlineStr">
        <is>
          <t>GRC102501/2</t>
        </is>
      </c>
      <c r="D1235" s="256" t="inlineStr">
        <is>
          <t>P060182</t>
        </is>
      </c>
      <c r="E1235" s="256" t="inlineStr">
        <is>
          <t>Grapes And Cream</t>
        </is>
      </c>
      <c r="F1235" s="256" t="inlineStr">
        <is>
          <t>06.06.2026</t>
        </is>
      </c>
      <c r="G1235" s="256" t="inlineStr">
        <is>
          <t>9.7</t>
        </is>
      </c>
      <c r="H1235" s="256" t="inlineStr">
        <is>
          <t>Staphylococcus aureus</t>
        </is>
      </c>
      <c r="I1235" s="256" t="inlineStr">
        <is>
          <t>Ph. Eur. 2.6.13 cat. C</t>
        </is>
      </c>
      <c r="J1235" s="256" t="inlineStr">
        <is>
          <t>Absence | Отсуство / 1 g</t>
        </is>
      </c>
      <c r="K1235" s="260" t="inlineStr">
        <is>
          <t>upon request — not required for release</t>
        </is>
      </c>
      <c r="L1235" s="256" t="inlineStr">
        <is>
          <t>—</t>
        </is>
      </c>
      <c r="M1235" s="256" t="inlineStr">
        <is>
          <t>—</t>
        </is>
      </c>
      <c r="N1235" s="256" t="inlineStr">
        <is>
          <t>—</t>
        </is>
      </c>
      <c r="O1235" s="256" t="inlineStr">
        <is>
          <t>—</t>
        </is>
      </c>
      <c r="P1235" s="256" t="inlineStr">
        <is>
          <t>upon request — not required for release</t>
        </is>
      </c>
      <c r="Q1235" s="256" t="inlineStr"/>
      <c r="R1235" s="256" t="inlineStr"/>
    </row>
    <row r="1236">
      <c r="A1236" s="256" t="inlineStr">
        <is>
          <t>CoQ-PP_26-054</t>
        </is>
      </c>
      <c r="B1236" s="256" t="inlineStr">
        <is>
          <t>release</t>
        </is>
      </c>
      <c r="C1236" s="256" t="inlineStr">
        <is>
          <t>GRC102501/2</t>
        </is>
      </c>
      <c r="D1236" s="256" t="inlineStr">
        <is>
          <t>P060182</t>
        </is>
      </c>
      <c r="E1236" s="256" t="inlineStr">
        <is>
          <t>Grapes And Cream</t>
        </is>
      </c>
      <c r="F1236" s="256" t="inlineStr">
        <is>
          <t>06.06.2026</t>
        </is>
      </c>
      <c r="G1236" s="256" t="inlineStr">
        <is>
          <t>10.1</t>
        </is>
      </c>
      <c r="H1236" s="256" t="inlineStr">
        <is>
          <t>Aflatoxin B₁</t>
        </is>
      </c>
      <c r="I1236" s="256" t="inlineStr">
        <is>
          <t>Ph. Eur. 2.8.18 (HPLC-FLD)</t>
        </is>
      </c>
      <c r="J1236" s="256" t="inlineStr">
        <is>
          <t>≤ 2 µg/kg</t>
        </is>
      </c>
      <c r="K1236" s="259" t="inlineStr">
        <is>
          <t>not tested</t>
        </is>
      </c>
      <c r="L1236" s="256" t="inlineStr">
        <is>
          <t>—</t>
        </is>
      </c>
      <c r="M1236" s="256" t="inlineStr">
        <is>
          <t>—</t>
        </is>
      </c>
      <c r="N1236" s="256" t="inlineStr">
        <is>
          <t>—</t>
        </is>
      </c>
      <c r="O1236" s="256" t="inlineStr">
        <is>
          <t>—</t>
        </is>
      </c>
      <c r="P1236" s="256" t="inlineStr">
        <is>
          <t>not tested — no certificate covers it</t>
        </is>
      </c>
      <c r="Q1236" s="256" t="inlineStr"/>
      <c r="R1236" s="256" t="inlineStr">
        <is>
          <t>ND (220-14-М/26)</t>
        </is>
      </c>
    </row>
    <row r="1237">
      <c r="A1237" s="256" t="inlineStr">
        <is>
          <t>CoQ-PP_26-054</t>
        </is>
      </c>
      <c r="B1237" s="256" t="inlineStr">
        <is>
          <t>release</t>
        </is>
      </c>
      <c r="C1237" s="256" t="inlineStr">
        <is>
          <t>GRC102501/2</t>
        </is>
      </c>
      <c r="D1237" s="256" t="inlineStr">
        <is>
          <t>P060182</t>
        </is>
      </c>
      <c r="E1237" s="256" t="inlineStr">
        <is>
          <t>Grapes And Cream</t>
        </is>
      </c>
      <c r="F1237" s="256" t="inlineStr">
        <is>
          <t>06.06.2026</t>
        </is>
      </c>
      <c r="G1237" s="256" t="inlineStr">
        <is>
          <t>10.2</t>
        </is>
      </c>
      <c r="H1237" s="256" t="inlineStr">
        <is>
          <t>Aflatoxins ∑</t>
        </is>
      </c>
      <c r="I1237" s="256" t="inlineStr">
        <is>
          <t>Ph. Eur. 2.8.18 (HPLC-FLD)</t>
        </is>
      </c>
      <c r="J1237" s="256" t="inlineStr">
        <is>
          <t>≤ 4 µg/kg</t>
        </is>
      </c>
      <c r="K1237" s="259" t="inlineStr">
        <is>
          <t>not tested</t>
        </is>
      </c>
      <c r="L1237" s="256" t="inlineStr">
        <is>
          <t>—</t>
        </is>
      </c>
      <c r="M1237" s="256" t="inlineStr">
        <is>
          <t>—</t>
        </is>
      </c>
      <c r="N1237" s="256" t="inlineStr">
        <is>
          <t>—</t>
        </is>
      </c>
      <c r="O1237" s="256" t="inlineStr">
        <is>
          <t>—</t>
        </is>
      </c>
      <c r="P1237" s="256" t="inlineStr">
        <is>
          <t>not tested — no certificate covers it</t>
        </is>
      </c>
      <c r="Q1237" s="256" t="inlineStr"/>
      <c r="R1237" s="256" t="inlineStr">
        <is>
          <t>ND (220-14-М/26)</t>
        </is>
      </c>
    </row>
    <row r="1238">
      <c r="A1238" s="256" t="inlineStr">
        <is>
          <t>CoQ-PP_26-054</t>
        </is>
      </c>
      <c r="B1238" s="256" t="inlineStr">
        <is>
          <t>release</t>
        </is>
      </c>
      <c r="C1238" s="256" t="inlineStr">
        <is>
          <t>GRC102501/2</t>
        </is>
      </c>
      <c r="D1238" s="256" t="inlineStr">
        <is>
          <t>P060182</t>
        </is>
      </c>
      <c r="E1238" s="256" t="inlineStr">
        <is>
          <t>Grapes And Cream</t>
        </is>
      </c>
      <c r="F1238" s="256" t="inlineStr">
        <is>
          <t>06.06.2026</t>
        </is>
      </c>
      <c r="G1238" s="256" t="inlineStr">
        <is>
          <t>10.3</t>
        </is>
      </c>
      <c r="H1238" s="256" t="inlineStr">
        <is>
          <t>Ochratoxin A</t>
        </is>
      </c>
      <c r="I1238" s="256" t="inlineStr">
        <is>
          <t>Ph. Eur. 2.8.22 (HPLC-FLD)</t>
        </is>
      </c>
      <c r="J1238" s="256" t="inlineStr">
        <is>
          <t>≤ 20 µg/kg</t>
        </is>
      </c>
      <c r="K1238" s="259" t="inlineStr">
        <is>
          <t>not tested</t>
        </is>
      </c>
      <c r="L1238" s="256" t="inlineStr">
        <is>
          <t>—</t>
        </is>
      </c>
      <c r="M1238" s="256" t="inlineStr">
        <is>
          <t>—</t>
        </is>
      </c>
      <c r="N1238" s="256" t="inlineStr">
        <is>
          <t>—</t>
        </is>
      </c>
      <c r="O1238" s="256" t="inlineStr">
        <is>
          <t>—</t>
        </is>
      </c>
      <c r="P1238" s="256" t="inlineStr">
        <is>
          <t>not tested — no certificate covers it</t>
        </is>
      </c>
      <c r="Q1238" s="256" t="inlineStr"/>
      <c r="R1238" s="256" t="inlineStr">
        <is>
          <t>ND (220-14-М/26)</t>
        </is>
      </c>
    </row>
    <row r="1239">
      <c r="A1239" s="256" t="inlineStr">
        <is>
          <t>CoQ-PP_26-054</t>
        </is>
      </c>
      <c r="B1239" s="256" t="inlineStr">
        <is>
          <t>release</t>
        </is>
      </c>
      <c r="C1239" s="256" t="inlineStr">
        <is>
          <t>GRC102501/2</t>
        </is>
      </c>
      <c r="D1239" s="256" t="inlineStr">
        <is>
          <t>P060182</t>
        </is>
      </c>
      <c r="E1239" s="256" t="inlineStr">
        <is>
          <t>Grapes And Cream</t>
        </is>
      </c>
      <c r="F1239" s="256" t="inlineStr">
        <is>
          <t>06.06.2026</t>
        </is>
      </c>
      <c r="G1239" s="256" t="inlineStr">
        <is>
          <t>11.1</t>
        </is>
      </c>
      <c r="H1239" s="256" t="inlineStr">
        <is>
          <t>Lead (Pb)</t>
        </is>
      </c>
      <c r="I1239" s="256" t="inlineStr">
        <is>
          <t>Ph. Eur. 2.4.27 (ICP-MS)</t>
        </is>
      </c>
      <c r="J1239" s="256" t="inlineStr">
        <is>
          <t>≤ 0.5 mg/kg</t>
        </is>
      </c>
      <c r="K1239" s="256" t="inlineStr">
        <is>
          <t>ND</t>
        </is>
      </c>
      <c r="L1239" s="256" t="inlineStr">
        <is>
          <t>1060/2026</t>
        </is>
      </c>
      <c r="M1239" s="256" t="inlineStr">
        <is>
          <t>09.03.2026</t>
        </is>
      </c>
      <c r="N1239" s="256" t="inlineStr">
        <is>
          <t>IPH — Institute of Public Health</t>
        </is>
      </c>
      <c r="O1239" s="256" t="inlineStr">
        <is>
          <t>—</t>
        </is>
      </c>
      <c r="P1239" s="256" t="inlineStr">
        <is>
          <t>covered</t>
        </is>
      </c>
      <c r="Q1239" s="256" t="inlineStr"/>
      <c r="R1239" s="256" t="inlineStr"/>
    </row>
    <row r="1240">
      <c r="A1240" s="256" t="inlineStr">
        <is>
          <t>CoQ-PP_26-054</t>
        </is>
      </c>
      <c r="B1240" s="256" t="inlineStr">
        <is>
          <t>release</t>
        </is>
      </c>
      <c r="C1240" s="256" t="inlineStr">
        <is>
          <t>GRC102501/2</t>
        </is>
      </c>
      <c r="D1240" s="256" t="inlineStr">
        <is>
          <t>P060182</t>
        </is>
      </c>
      <c r="E1240" s="256" t="inlineStr">
        <is>
          <t>Grapes And Cream</t>
        </is>
      </c>
      <c r="F1240" s="256" t="inlineStr">
        <is>
          <t>06.06.2026</t>
        </is>
      </c>
      <c r="G1240" s="256" t="inlineStr">
        <is>
          <t>11.2</t>
        </is>
      </c>
      <c r="H1240" s="256" t="inlineStr">
        <is>
          <t>Cadmium (Cd)</t>
        </is>
      </c>
      <c r="I1240" s="256" t="inlineStr">
        <is>
          <t>Ph. Eur. 2.4.27 (ICP-MS)</t>
        </is>
      </c>
      <c r="J1240" s="256" t="inlineStr">
        <is>
          <t>≤ 0.3 mg/kg</t>
        </is>
      </c>
      <c r="K1240" s="256" t="inlineStr">
        <is>
          <t>ND</t>
        </is>
      </c>
      <c r="L1240" s="256" t="inlineStr">
        <is>
          <t>1060/2026</t>
        </is>
      </c>
      <c r="M1240" s="256" t="inlineStr">
        <is>
          <t>09.03.2026</t>
        </is>
      </c>
      <c r="N1240" s="256" t="inlineStr">
        <is>
          <t>IPH — Institute of Public Health</t>
        </is>
      </c>
      <c r="O1240" s="256" t="inlineStr">
        <is>
          <t>—</t>
        </is>
      </c>
      <c r="P1240" s="256" t="inlineStr">
        <is>
          <t>covered</t>
        </is>
      </c>
      <c r="Q1240" s="256" t="inlineStr"/>
      <c r="R1240" s="256" t="inlineStr"/>
    </row>
    <row r="1241">
      <c r="A1241" s="256" t="inlineStr">
        <is>
          <t>CoQ-PP_26-054</t>
        </is>
      </c>
      <c r="B1241" s="256" t="inlineStr">
        <is>
          <t>release</t>
        </is>
      </c>
      <c r="C1241" s="256" t="inlineStr">
        <is>
          <t>GRC102501/2</t>
        </is>
      </c>
      <c r="D1241" s="256" t="inlineStr">
        <is>
          <t>P060182</t>
        </is>
      </c>
      <c r="E1241" s="256" t="inlineStr">
        <is>
          <t>Grapes And Cream</t>
        </is>
      </c>
      <c r="F1241" s="256" t="inlineStr">
        <is>
          <t>06.06.2026</t>
        </is>
      </c>
      <c r="G1241" s="256" t="inlineStr">
        <is>
          <t>11.3</t>
        </is>
      </c>
      <c r="H1241" s="256" t="inlineStr">
        <is>
          <t>Arsenic (As)</t>
        </is>
      </c>
      <c r="I1241" s="256" t="inlineStr">
        <is>
          <t>Ph. Eur. 2.4.27 (ICP-MS)</t>
        </is>
      </c>
      <c r="J1241" s="256" t="inlineStr">
        <is>
          <t>≤ 0.2 mg/kg</t>
        </is>
      </c>
      <c r="K1241" s="256" t="inlineStr">
        <is>
          <t>0.0013</t>
        </is>
      </c>
      <c r="L1241" s="256" t="inlineStr">
        <is>
          <t>1060/2026</t>
        </is>
      </c>
      <c r="M1241" s="256" t="inlineStr">
        <is>
          <t>09.03.2026</t>
        </is>
      </c>
      <c r="N1241" s="256" t="inlineStr">
        <is>
          <t>IPH — Institute of Public Health</t>
        </is>
      </c>
      <c r="O1241" s="256" t="inlineStr">
        <is>
          <t>—</t>
        </is>
      </c>
      <c r="P1241" s="256" t="inlineStr">
        <is>
          <t>covered</t>
        </is>
      </c>
      <c r="Q1241" s="256" t="inlineStr"/>
      <c r="R1241" s="256" t="inlineStr"/>
    </row>
    <row r="1242">
      <c r="A1242" s="256" t="inlineStr">
        <is>
          <t>CoQ-PP_26-054</t>
        </is>
      </c>
      <c r="B1242" s="256" t="inlineStr">
        <is>
          <t>release</t>
        </is>
      </c>
      <c r="C1242" s="256" t="inlineStr">
        <is>
          <t>GRC102501/2</t>
        </is>
      </c>
      <c r="D1242" s="256" t="inlineStr">
        <is>
          <t>P060182</t>
        </is>
      </c>
      <c r="E1242" s="256" t="inlineStr">
        <is>
          <t>Grapes And Cream</t>
        </is>
      </c>
      <c r="F1242" s="256" t="inlineStr">
        <is>
          <t>06.06.2026</t>
        </is>
      </c>
      <c r="G1242" s="256" t="inlineStr">
        <is>
          <t>11.4</t>
        </is>
      </c>
      <c r="H1242" s="256" t="inlineStr">
        <is>
          <t>Mercury (Hg)</t>
        </is>
      </c>
      <c r="I1242" s="256" t="inlineStr">
        <is>
          <t>Ph. Eur. 2.4.27 (ICP-MS)</t>
        </is>
      </c>
      <c r="J1242" s="256" t="inlineStr">
        <is>
          <t>≤ 0.1 mg/kg</t>
        </is>
      </c>
      <c r="K1242" s="256" t="inlineStr">
        <is>
          <t>ND</t>
        </is>
      </c>
      <c r="L1242" s="256" t="inlineStr">
        <is>
          <t>1060/2026</t>
        </is>
      </c>
      <c r="M1242" s="256" t="inlineStr">
        <is>
          <t>09.03.2026</t>
        </is>
      </c>
      <c r="N1242" s="256" t="inlineStr">
        <is>
          <t>IPH — Institute of Public Health</t>
        </is>
      </c>
      <c r="O1242" s="256" t="inlineStr">
        <is>
          <t>—</t>
        </is>
      </c>
      <c r="P1242" s="256" t="inlineStr">
        <is>
          <t>covered</t>
        </is>
      </c>
      <c r="Q1242" s="256" t="inlineStr"/>
      <c r="R1242" s="256" t="inlineStr"/>
    </row>
    <row r="1243">
      <c r="A1243" s="256" t="inlineStr">
        <is>
          <t>CoQ-PP_26-054</t>
        </is>
      </c>
      <c r="B1243" s="256" t="inlineStr">
        <is>
          <t>release</t>
        </is>
      </c>
      <c r="C1243" s="256" t="inlineStr">
        <is>
          <t>GRC102501/2</t>
        </is>
      </c>
      <c r="D1243" s="256" t="inlineStr">
        <is>
          <t>P060182</t>
        </is>
      </c>
      <c r="E1243" s="256" t="inlineStr">
        <is>
          <t>Grapes And Cream</t>
        </is>
      </c>
      <c r="F1243" s="256" t="inlineStr">
        <is>
          <t>06.06.2026</t>
        </is>
      </c>
      <c r="G1243" s="256" t="inlineStr">
        <is>
          <t>12</t>
        </is>
      </c>
      <c r="H1243" s="256" t="inlineStr">
        <is>
          <t>Pesticide Residues</t>
        </is>
      </c>
      <c r="I1243" s="256" t="inlineStr">
        <is>
          <t>Ph. Eur. 2.8.13 (LC-MS/MS) · CUMCS Equivalency</t>
        </is>
      </c>
      <c r="J1243" s="256" t="inlineStr">
        <is>
          <t>≤ LOQ as per Ph. Eur. 2.8.13 · ≤ LOQ as per CUMCS Equivalency</t>
        </is>
      </c>
      <c r="K1243" s="256" t="inlineStr">
        <is>
          <t>ND mg/kg — all 25 residues</t>
        </is>
      </c>
      <c r="L1243" s="256" t="inlineStr">
        <is>
          <t>1060/2026</t>
        </is>
      </c>
      <c r="M1243" s="256" t="inlineStr">
        <is>
          <t>09.03.2026</t>
        </is>
      </c>
      <c r="N1243" s="256" t="inlineStr">
        <is>
          <t>IJZ</t>
        </is>
      </c>
      <c r="O1243" s="256" t="inlineStr">
        <is>
          <t>—</t>
        </is>
      </c>
      <c r="P1243" s="256" t="inlineStr">
        <is>
          <t>covered</t>
        </is>
      </c>
      <c r="Q1243" s="256" t="inlineStr"/>
      <c r="R1243" s="256" t="inlineStr"/>
    </row>
    <row r="1244">
      <c r="A1244" s="256" t="inlineStr">
        <is>
          <t>CoQ-PP_26-055</t>
        </is>
      </c>
      <c r="B1244" s="256" t="inlineStr">
        <is>
          <t>release</t>
        </is>
      </c>
      <c r="C1244" s="256" t="inlineStr">
        <is>
          <t>SJ112501</t>
        </is>
      </c>
      <c r="D1244" s="256" t="inlineStr">
        <is>
          <t>— no P lot assigned —</t>
        </is>
      </c>
      <c r="E1244" s="256" t="inlineStr">
        <is>
          <t>Sleepy Joe</t>
        </is>
      </c>
      <c r="F1244" s="256" t="inlineStr">
        <is>
          <t>06.06.2026</t>
        </is>
      </c>
      <c r="G1244" s="256" t="inlineStr">
        <is>
          <t>1</t>
        </is>
      </c>
      <c r="H1244" s="256" t="inlineStr">
        <is>
          <t>Identification A, Appearance · Macroscopic</t>
        </is>
      </c>
      <c r="I1244" s="256" t="inlineStr">
        <is>
          <t>Ph. Eur. mon. 3028</t>
        </is>
      </c>
      <c r="J1244" s="256" t="inlineStr">
        <is>
          <t>Conforms to the monograph for Cannabis flos (07/2024:3028) in Ph. Eur. 11.0 | Согласно монографија за Cannabis flos (07/2024:3028) во Ph. Eur. 11.0</t>
        </is>
      </c>
      <c r="K1244" s="256" t="inlineStr">
        <is>
          <t>Conforms | Одговара</t>
        </is>
      </c>
      <c r="L1244" s="256" t="inlineStr">
        <is>
          <t>iCoA-PP_26-058</t>
        </is>
      </c>
      <c r="M1244" s="256" t="inlineStr">
        <is>
          <t>03.06.2026</t>
        </is>
      </c>
      <c r="N1244" s="256" t="inlineStr">
        <is>
          <t>Purely Plant GmbH (in-house)</t>
        </is>
      </c>
      <c r="O1244" s="256" t="inlineStr">
        <is>
          <t>—</t>
        </is>
      </c>
      <c r="P1244" s="256" t="inlineStr">
        <is>
          <t>to be performed — see route</t>
        </is>
      </c>
      <c r="Q1244" s="256" t="inlineStr">
        <is>
          <t>Purely Plant laboratory — iCoA covering Ident A + B</t>
        </is>
      </c>
      <c r="R1244" s="256" t="inlineStr"/>
    </row>
    <row r="1245">
      <c r="A1245" s="256" t="inlineStr">
        <is>
          <t>CoQ-PP_26-055</t>
        </is>
      </c>
      <c r="B1245" s="256" t="inlineStr">
        <is>
          <t>release</t>
        </is>
      </c>
      <c r="C1245" s="256" t="inlineStr">
        <is>
          <t>SJ112501</t>
        </is>
      </c>
      <c r="D1245" s="256" t="inlineStr">
        <is>
          <t>— no P lot assigned —</t>
        </is>
      </c>
      <c r="E1245" s="256" t="inlineStr">
        <is>
          <t>Sleepy Joe</t>
        </is>
      </c>
      <c r="F1245" s="256" t="inlineStr">
        <is>
          <t>06.06.2026</t>
        </is>
      </c>
      <c r="G1245" s="256" t="inlineStr">
        <is>
          <t>2</t>
        </is>
      </c>
      <c r="H1245" s="256" t="inlineStr">
        <is>
          <t>Identification B · Microscopic</t>
        </is>
      </c>
      <c r="I1245" s="256" t="inlineStr">
        <is>
          <t>Ph. Eur. 2.8.23 (microscopy)</t>
        </is>
      </c>
      <c r="J1245" s="256" t="inlineStr">
        <is>
          <t>Conforms to the monograph for Cannabis flos (07/2024:3028) in Ph. Eur. 11.0 | Согласно монографија за Cannabis flos (07/2024:3028) во Ph. Eur. 11.0</t>
        </is>
      </c>
      <c r="K1245" s="256" t="inlineStr">
        <is>
          <t>Conforms | Одговара</t>
        </is>
      </c>
      <c r="L1245" s="256" t="inlineStr">
        <is>
          <t>iCoA-PP_26-058</t>
        </is>
      </c>
      <c r="M1245" s="256" t="inlineStr">
        <is>
          <t>03.06.2026</t>
        </is>
      </c>
      <c r="N1245" s="256" t="inlineStr">
        <is>
          <t>Purely Plant GmbH (in-house)</t>
        </is>
      </c>
      <c r="O1245" s="256" t="inlineStr">
        <is>
          <t>—</t>
        </is>
      </c>
      <c r="P1245" s="256" t="inlineStr">
        <is>
          <t>to be performed — see route</t>
        </is>
      </c>
      <c r="Q1245" s="256" t="inlineStr">
        <is>
          <t>Purely Plant laboratory — iCoA covering Ident A + B</t>
        </is>
      </c>
      <c r="R1245" s="256" t="inlineStr"/>
    </row>
    <row r="1246">
      <c r="A1246" s="256" t="inlineStr">
        <is>
          <t>CoQ-PP_26-055</t>
        </is>
      </c>
      <c r="B1246" s="256" t="inlineStr">
        <is>
          <t>release</t>
        </is>
      </c>
      <c r="C1246" s="256" t="inlineStr">
        <is>
          <t>SJ112501</t>
        </is>
      </c>
      <c r="D1246" s="256" t="inlineStr">
        <is>
          <t>— no P lot assigned —</t>
        </is>
      </c>
      <c r="E1246" s="256" t="inlineStr">
        <is>
          <t>Sleepy Joe</t>
        </is>
      </c>
      <c r="F1246" s="256" t="inlineStr">
        <is>
          <t>06.06.2026</t>
        </is>
      </c>
      <c r="G1246" s="256" t="inlineStr">
        <is>
          <t>3</t>
        </is>
      </c>
      <c r="H1246" s="256" t="inlineStr">
        <is>
          <t>Identification C · HPLC/HPTLC</t>
        </is>
      </c>
      <c r="I1246" s="256" t="inlineStr">
        <is>
          <t>Ph. Eur. 2.2.29 (3028)</t>
        </is>
      </c>
      <c r="J1246" s="256" t="inlineStr">
        <is>
          <t>Conforms to the monograph for Cannabis flos (07/2024:3028) in Ph. Eur. 11.0 | Согласно монографија за Cannabis flos (07/2024:3028) во Ph. Eur. 11.0</t>
        </is>
      </c>
      <c r="K1246" s="256" t="inlineStr">
        <is>
          <t>Conforms | Одговара</t>
        </is>
      </c>
      <c r="L1246" s="256" t="inlineStr">
        <is>
          <t>051-2-К/26</t>
        </is>
      </c>
      <c r="M1246" s="256" t="inlineStr">
        <is>
          <t>04.03.2026</t>
        </is>
      </c>
      <c r="N1246" s="256" t="inlineStr">
        <is>
          <t>Farmahem</t>
        </is>
      </c>
      <c r="O1246" s="256" t="inlineStr">
        <is>
          <t>23.02.2026</t>
        </is>
      </c>
      <c r="P1246" s="256" t="inlineStr">
        <is>
          <t>covered</t>
        </is>
      </c>
      <c r="Q1246" s="256" t="inlineStr"/>
      <c r="R1246" s="256" t="inlineStr"/>
    </row>
    <row r="1247">
      <c r="A1247" s="256" t="inlineStr">
        <is>
          <t>CoQ-PP_26-055</t>
        </is>
      </c>
      <c r="B1247" s="256" t="inlineStr">
        <is>
          <t>release</t>
        </is>
      </c>
      <c r="C1247" s="256" t="inlineStr">
        <is>
          <t>SJ112501</t>
        </is>
      </c>
      <c r="D1247" s="256" t="inlineStr">
        <is>
          <t>— no P lot assigned —</t>
        </is>
      </c>
      <c r="E1247" s="256" t="inlineStr">
        <is>
          <t>Sleepy Joe</t>
        </is>
      </c>
      <c r="F1247" s="256" t="inlineStr">
        <is>
          <t>06.06.2026</t>
        </is>
      </c>
      <c r="G1247" s="256" t="inlineStr">
        <is>
          <t>4</t>
        </is>
      </c>
      <c r="H1247" s="256" t="inlineStr">
        <is>
          <t>Assay — Total Δ⁹-THC</t>
        </is>
      </c>
      <c r="I1247" s="256" t="inlineStr">
        <is>
          <t>Ph. Eur. 2.2.29 (HPLC)</t>
        </is>
      </c>
      <c r="J1247" s="256" t="inlineStr">
        <is>
          <t>9.00 – 10.99 %  (grade II, nominal 10.00 ± 1.00)</t>
        </is>
      </c>
      <c r="K1247" s="256" t="inlineStr">
        <is>
          <t>9.20</t>
        </is>
      </c>
      <c r="L1247" s="256" t="inlineStr">
        <is>
          <t>051-2-К/26</t>
        </is>
      </c>
      <c r="M1247" s="256" t="inlineStr">
        <is>
          <t>04.03.2026</t>
        </is>
      </c>
      <c r="N1247" s="256" t="inlineStr">
        <is>
          <t>Farmahem</t>
        </is>
      </c>
      <c r="O1247" s="256" t="inlineStr">
        <is>
          <t>23.02.2026</t>
        </is>
      </c>
      <c r="P1247" s="256" t="inlineStr">
        <is>
          <t>covered</t>
        </is>
      </c>
      <c r="Q1247" s="256" t="inlineStr"/>
      <c r="R1247" s="256" t="inlineStr">
        <is>
          <t>11.27 (227-5-К/26)</t>
        </is>
      </c>
    </row>
    <row r="1248">
      <c r="A1248" s="256" t="inlineStr">
        <is>
          <t>CoQ-PP_26-055</t>
        </is>
      </c>
      <c r="B1248" s="256" t="inlineStr">
        <is>
          <t>release</t>
        </is>
      </c>
      <c r="C1248" s="256" t="inlineStr">
        <is>
          <t>SJ112501</t>
        </is>
      </c>
      <c r="D1248" s="256" t="inlineStr">
        <is>
          <t>— no P lot assigned —</t>
        </is>
      </c>
      <c r="E1248" s="256" t="inlineStr">
        <is>
          <t>Sleepy Joe</t>
        </is>
      </c>
      <c r="F1248" s="256" t="inlineStr">
        <is>
          <t>06.06.2026</t>
        </is>
      </c>
      <c r="G1248" s="256" t="inlineStr">
        <is>
          <t>5</t>
        </is>
      </c>
      <c r="H1248" s="256" t="inlineStr">
        <is>
          <t>Assay — Total CBD</t>
        </is>
      </c>
      <c r="I1248" s="256" t="inlineStr">
        <is>
          <t>Ph. Eur. 2.2.29 (HPLC) · CBD + CBDA x 0.877</t>
        </is>
      </c>
      <c r="J1248" s="256" t="inlineStr">
        <is>
          <t>≤ 1.0%, w/w</t>
        </is>
      </c>
      <c r="K1248" s="256" t="inlineStr">
        <is>
          <t>&lt; LOQ (&lt;0.20)</t>
        </is>
      </c>
      <c r="L1248" s="256" t="inlineStr">
        <is>
          <t>051-2-К/26</t>
        </is>
      </c>
      <c r="M1248" s="256" t="inlineStr">
        <is>
          <t>04.03.2026</t>
        </is>
      </c>
      <c r="N1248" s="256" t="inlineStr">
        <is>
          <t>Farmahem</t>
        </is>
      </c>
      <c r="O1248" s="256" t="inlineStr">
        <is>
          <t>23.02.2026</t>
        </is>
      </c>
      <c r="P1248" s="256" t="inlineStr">
        <is>
          <t>covered</t>
        </is>
      </c>
      <c r="Q1248" s="256" t="inlineStr"/>
      <c r="R1248" s="256" t="inlineStr">
        <is>
          <t>&lt;LOQ (227-5-К/26)</t>
        </is>
      </c>
    </row>
    <row r="1249">
      <c r="A1249" s="256" t="inlineStr">
        <is>
          <t>CoQ-PP_26-055</t>
        </is>
      </c>
      <c r="B1249" s="256" t="inlineStr">
        <is>
          <t>release</t>
        </is>
      </c>
      <c r="C1249" s="256" t="inlineStr">
        <is>
          <t>SJ112501</t>
        </is>
      </c>
      <c r="D1249" s="256" t="inlineStr">
        <is>
          <t>— no P lot assigned —</t>
        </is>
      </c>
      <c r="E1249" s="256" t="inlineStr">
        <is>
          <t>Sleepy Joe</t>
        </is>
      </c>
      <c r="F1249" s="256" t="inlineStr">
        <is>
          <t>06.06.2026</t>
        </is>
      </c>
      <c r="G1249" s="256" t="inlineStr">
        <is>
          <t>6</t>
        </is>
      </c>
      <c r="H1249" s="256" t="inlineStr">
        <is>
          <t>Total CBN</t>
        </is>
      </c>
      <c r="I1249" s="256" t="inlineStr">
        <is>
          <t>Ph. Eur. 2.2.29 (HPLC) · CBN + CBNA x 0.876</t>
        </is>
      </c>
      <c r="J1249" s="256" t="inlineStr">
        <is>
          <t>≤ 1.0%, w/w</t>
        </is>
      </c>
      <c r="K1249" s="256" t="inlineStr">
        <is>
          <t>&lt; LOQ</t>
        </is>
      </c>
      <c r="L1249" s="256" t="inlineStr">
        <is>
          <t>051-2-К/26</t>
        </is>
      </c>
      <c r="M1249" s="256" t="inlineStr">
        <is>
          <t>04.03.2026</t>
        </is>
      </c>
      <c r="N1249" s="256" t="inlineStr">
        <is>
          <t>Farmahem</t>
        </is>
      </c>
      <c r="O1249" s="256" t="inlineStr">
        <is>
          <t>23.02.2026</t>
        </is>
      </c>
      <c r="P1249" s="256" t="inlineStr">
        <is>
          <t>covered</t>
        </is>
      </c>
      <c r="Q1249" s="256" t="inlineStr"/>
      <c r="R1249" s="256" t="inlineStr">
        <is>
          <t>&lt;LOQ (227-5-К/26)</t>
        </is>
      </c>
    </row>
    <row r="1250">
      <c r="A1250" s="256" t="inlineStr">
        <is>
          <t>CoQ-PP_26-055</t>
        </is>
      </c>
      <c r="B1250" s="256" t="inlineStr">
        <is>
          <t>release</t>
        </is>
      </c>
      <c r="C1250" s="256" t="inlineStr">
        <is>
          <t>SJ112501</t>
        </is>
      </c>
      <c r="D1250" s="256" t="inlineStr">
        <is>
          <t>— no P lot assigned —</t>
        </is>
      </c>
      <c r="E1250" s="256" t="inlineStr">
        <is>
          <t>Sleepy Joe</t>
        </is>
      </c>
      <c r="F1250" s="256" t="inlineStr">
        <is>
          <t>06.06.2026</t>
        </is>
      </c>
      <c r="G1250" s="256" t="inlineStr">
        <is>
          <t>7</t>
        </is>
      </c>
      <c r="H1250" s="256" t="inlineStr">
        <is>
          <t>Foreign Matter</t>
        </is>
      </c>
      <c r="I1250" s="256" t="inlineStr">
        <is>
          <t>Ph. Eur. 2.8.2 · In-house · интерна</t>
        </is>
      </c>
      <c r="J1250" s="256" t="inlineStr">
        <is>
          <t>≤ 2.0% / 25–50 g · &lt; 1 cm leaves | листови, no seeds | без семки</t>
        </is>
      </c>
      <c r="K1250" s="256" t="inlineStr">
        <is>
          <t>Conforms | Одговара</t>
        </is>
      </c>
      <c r="L1250" s="256" t="inlineStr">
        <is>
          <t>iCoA-PP_26-058</t>
        </is>
      </c>
      <c r="M1250" s="256" t="inlineStr">
        <is>
          <t>03.06.2026</t>
        </is>
      </c>
      <c r="N1250" s="256" t="inlineStr">
        <is>
          <t>Purely Plant GmbH (in-house)</t>
        </is>
      </c>
      <c r="O1250" s="256" t="inlineStr">
        <is>
          <t>—</t>
        </is>
      </c>
      <c r="P1250" s="256" t="inlineStr">
        <is>
          <t>to be performed — see route</t>
        </is>
      </c>
      <c r="Q1250" s="256" t="inlineStr">
        <is>
          <t>Purely Plant laboratory — iCoA covering Foreign matter</t>
        </is>
      </c>
      <c r="R1250" s="256" t="inlineStr"/>
    </row>
    <row r="1251">
      <c r="A1251" s="256" t="inlineStr">
        <is>
          <t>CoQ-PP_26-055</t>
        </is>
      </c>
      <c r="B1251" s="256" t="inlineStr">
        <is>
          <t>release</t>
        </is>
      </c>
      <c r="C1251" s="256" t="inlineStr">
        <is>
          <t>SJ112501</t>
        </is>
      </c>
      <c r="D1251" s="256" t="inlineStr">
        <is>
          <t>— no P lot assigned —</t>
        </is>
      </c>
      <c r="E1251" s="256" t="inlineStr">
        <is>
          <t>Sleepy Joe</t>
        </is>
      </c>
      <c r="F1251" s="256" t="inlineStr">
        <is>
          <t>06.06.2026</t>
        </is>
      </c>
      <c r="G1251" s="256" t="inlineStr">
        <is>
          <t>8</t>
        </is>
      </c>
      <c r="H1251" s="256" t="inlineStr">
        <is>
          <t>Loss on Drying</t>
        </is>
      </c>
      <c r="I1251" s="256" t="inlineStr">
        <is>
          <t>Ph. Eur. 2.2.32 (3028) · at 40 °C, 24 h, 15–25 mbar</t>
        </is>
      </c>
      <c r="J1251" s="256" t="inlineStr">
        <is>
          <t>≤ 12.0%</t>
        </is>
      </c>
      <c r="K1251" s="256" t="inlineStr">
        <is>
          <t>6.7</t>
        </is>
      </c>
      <c r="L1251" s="256" t="inlineStr">
        <is>
          <t>051-2-ГС/26</t>
        </is>
      </c>
      <c r="M1251" s="256" t="inlineStr">
        <is>
          <t>02.03.2026</t>
        </is>
      </c>
      <c r="N1251" s="256" t="inlineStr">
        <is>
          <t>Farmahem</t>
        </is>
      </c>
      <c r="O1251" s="256" t="inlineStr">
        <is>
          <t>—</t>
        </is>
      </c>
      <c r="P1251" s="256" t="inlineStr">
        <is>
          <t>covered</t>
        </is>
      </c>
      <c r="Q1251" s="256" t="inlineStr"/>
      <c r="R1251" s="256" t="inlineStr"/>
    </row>
    <row r="1252">
      <c r="A1252" s="256" t="inlineStr">
        <is>
          <t>CoQ-PP_26-055</t>
        </is>
      </c>
      <c r="B1252" s="256" t="inlineStr">
        <is>
          <t>release</t>
        </is>
      </c>
      <c r="C1252" s="256" t="inlineStr">
        <is>
          <t>SJ112501</t>
        </is>
      </c>
      <c r="D1252" s="256" t="inlineStr">
        <is>
          <t>— no P lot assigned —</t>
        </is>
      </c>
      <c r="E1252" s="256" t="inlineStr">
        <is>
          <t>Sleepy Joe</t>
        </is>
      </c>
      <c r="F1252" s="256" t="inlineStr">
        <is>
          <t>06.06.2026</t>
        </is>
      </c>
      <c r="G1252" s="256" t="inlineStr">
        <is>
          <t>9.1</t>
        </is>
      </c>
      <c r="H1252" s="256" t="inlineStr">
        <is>
          <t>TAMC</t>
        </is>
      </c>
      <c r="I1252" s="256" t="inlineStr">
        <is>
          <t>Ph. Eur. 2.6.12 cat. C</t>
        </is>
      </c>
      <c r="J1252" s="256" t="inlineStr">
        <is>
          <t>≤ 10⁵ CFU/g</t>
        </is>
      </c>
      <c r="K1252" s="259" t="inlineStr">
        <is>
          <t>not tested</t>
        </is>
      </c>
      <c r="L1252" s="256" t="inlineStr">
        <is>
          <t>—</t>
        </is>
      </c>
      <c r="M1252" s="256" t="inlineStr">
        <is>
          <t>—</t>
        </is>
      </c>
      <c r="N1252" s="256" t="inlineStr">
        <is>
          <t>—</t>
        </is>
      </c>
      <c r="O1252" s="256" t="inlineStr">
        <is>
          <t>—</t>
        </is>
      </c>
      <c r="P1252" s="256" t="inlineStr">
        <is>
          <t>not tested — no certificate covers it</t>
        </is>
      </c>
      <c r="Q1252" s="256" t="inlineStr"/>
      <c r="R1252" s="256" t="inlineStr"/>
    </row>
    <row r="1253">
      <c r="A1253" s="256" t="inlineStr">
        <is>
          <t>CoQ-PP_26-055</t>
        </is>
      </c>
      <c r="B1253" s="256" t="inlineStr">
        <is>
          <t>release</t>
        </is>
      </c>
      <c r="C1253" s="256" t="inlineStr">
        <is>
          <t>SJ112501</t>
        </is>
      </c>
      <c r="D1253" s="256" t="inlineStr">
        <is>
          <t>— no P lot assigned —</t>
        </is>
      </c>
      <c r="E1253" s="256" t="inlineStr">
        <is>
          <t>Sleepy Joe</t>
        </is>
      </c>
      <c r="F1253" s="256" t="inlineStr">
        <is>
          <t>06.06.2026</t>
        </is>
      </c>
      <c r="G1253" s="256" t="inlineStr">
        <is>
          <t>9.2</t>
        </is>
      </c>
      <c r="H1253" s="256" t="inlineStr">
        <is>
          <t>TYMC</t>
        </is>
      </c>
      <c r="I1253" s="256" t="inlineStr">
        <is>
          <t>Ph. Eur. 2.6.12 cat. C</t>
        </is>
      </c>
      <c r="J1253" s="256" t="inlineStr">
        <is>
          <t>≤ 10⁴ CFU/g</t>
        </is>
      </c>
      <c r="K1253" s="259" t="inlineStr">
        <is>
          <t>not tested</t>
        </is>
      </c>
      <c r="L1253" s="256" t="inlineStr">
        <is>
          <t>—</t>
        </is>
      </c>
      <c r="M1253" s="256" t="inlineStr">
        <is>
          <t>—</t>
        </is>
      </c>
      <c r="N1253" s="256" t="inlineStr">
        <is>
          <t>—</t>
        </is>
      </c>
      <c r="O1253" s="256" t="inlineStr">
        <is>
          <t>—</t>
        </is>
      </c>
      <c r="P1253" s="256" t="inlineStr">
        <is>
          <t>not tested — no certificate covers it</t>
        </is>
      </c>
      <c r="Q1253" s="256" t="inlineStr"/>
      <c r="R1253" s="256" t="inlineStr"/>
    </row>
    <row r="1254">
      <c r="A1254" s="256" t="inlineStr">
        <is>
          <t>CoQ-PP_26-055</t>
        </is>
      </c>
      <c r="B1254" s="256" t="inlineStr">
        <is>
          <t>release</t>
        </is>
      </c>
      <c r="C1254" s="256" t="inlineStr">
        <is>
          <t>SJ112501</t>
        </is>
      </c>
      <c r="D1254" s="256" t="inlineStr">
        <is>
          <t>— no P lot assigned —</t>
        </is>
      </c>
      <c r="E1254" s="256" t="inlineStr">
        <is>
          <t>Sleepy Joe</t>
        </is>
      </c>
      <c r="F1254" s="256" t="inlineStr">
        <is>
          <t>06.06.2026</t>
        </is>
      </c>
      <c r="G1254" s="256" t="inlineStr">
        <is>
          <t>9.3</t>
        </is>
      </c>
      <c r="H1254" s="256" t="inlineStr">
        <is>
          <t>Bile-tolerant gram-neg.</t>
        </is>
      </c>
      <c r="I1254" s="256" t="inlineStr">
        <is>
          <t>Ph. Eur. 2.6.31 cat. C</t>
        </is>
      </c>
      <c r="J1254" s="256" t="inlineStr">
        <is>
          <t>≤ 10⁴ CFU/g</t>
        </is>
      </c>
      <c r="K1254" s="259" t="inlineStr">
        <is>
          <t>not tested</t>
        </is>
      </c>
      <c r="L1254" s="256" t="inlineStr">
        <is>
          <t>—</t>
        </is>
      </c>
      <c r="M1254" s="256" t="inlineStr">
        <is>
          <t>—</t>
        </is>
      </c>
      <c r="N1254" s="256" t="inlineStr">
        <is>
          <t>—</t>
        </is>
      </c>
      <c r="O1254" s="256" t="inlineStr">
        <is>
          <t>—</t>
        </is>
      </c>
      <c r="P1254" s="256" t="inlineStr">
        <is>
          <t>not tested — no certificate covers it</t>
        </is>
      </c>
      <c r="Q1254" s="256" t="inlineStr"/>
      <c r="R1254" s="256" t="inlineStr"/>
    </row>
    <row r="1255">
      <c r="A1255" s="256" t="inlineStr">
        <is>
          <t>CoQ-PP_26-055</t>
        </is>
      </c>
      <c r="B1255" s="256" t="inlineStr">
        <is>
          <t>release</t>
        </is>
      </c>
      <c r="C1255" s="256" t="inlineStr">
        <is>
          <t>SJ112501</t>
        </is>
      </c>
      <c r="D1255" s="256" t="inlineStr">
        <is>
          <t>— no P lot assigned —</t>
        </is>
      </c>
      <c r="E1255" s="256" t="inlineStr">
        <is>
          <t>Sleepy Joe</t>
        </is>
      </c>
      <c r="F1255" s="256" t="inlineStr">
        <is>
          <t>06.06.2026</t>
        </is>
      </c>
      <c r="G1255" s="256" t="inlineStr">
        <is>
          <t>9.4</t>
        </is>
      </c>
      <c r="H1255" s="256" t="inlineStr">
        <is>
          <t>Salmonella</t>
        </is>
      </c>
      <c r="I1255" s="256" t="inlineStr">
        <is>
          <t>Ph. Eur. 2.6.31 cat. C</t>
        </is>
      </c>
      <c r="J1255" s="256" t="inlineStr">
        <is>
          <t>Absence | Отсуство / 25 g</t>
        </is>
      </c>
      <c r="K1255" s="259" t="inlineStr">
        <is>
          <t>not tested</t>
        </is>
      </c>
      <c r="L1255" s="256" t="inlineStr">
        <is>
          <t>—</t>
        </is>
      </c>
      <c r="M1255" s="256" t="inlineStr">
        <is>
          <t>—</t>
        </is>
      </c>
      <c r="N1255" s="256" t="inlineStr">
        <is>
          <t>—</t>
        </is>
      </c>
      <c r="O1255" s="256" t="inlineStr">
        <is>
          <t>—</t>
        </is>
      </c>
      <c r="P1255" s="256" t="inlineStr">
        <is>
          <t>not tested — no certificate covers it</t>
        </is>
      </c>
      <c r="Q1255" s="256" t="inlineStr"/>
      <c r="R1255" s="256" t="inlineStr"/>
    </row>
    <row r="1256">
      <c r="A1256" s="256" t="inlineStr">
        <is>
          <t>CoQ-PP_26-055</t>
        </is>
      </c>
      <c r="B1256" s="256" t="inlineStr">
        <is>
          <t>release</t>
        </is>
      </c>
      <c r="C1256" s="256" t="inlineStr">
        <is>
          <t>SJ112501</t>
        </is>
      </c>
      <c r="D1256" s="256" t="inlineStr">
        <is>
          <t>— no P lot assigned —</t>
        </is>
      </c>
      <c r="E1256" s="256" t="inlineStr">
        <is>
          <t>Sleepy Joe</t>
        </is>
      </c>
      <c r="F1256" s="256" t="inlineStr">
        <is>
          <t>06.06.2026</t>
        </is>
      </c>
      <c r="G1256" s="256" t="inlineStr">
        <is>
          <t>9.5</t>
        </is>
      </c>
      <c r="H1256" s="256" t="inlineStr">
        <is>
          <t>Escherichia coli</t>
        </is>
      </c>
      <c r="I1256" s="256" t="inlineStr">
        <is>
          <t>Ph. Eur. 2.6.13 cat. C</t>
        </is>
      </c>
      <c r="J1256" s="256" t="inlineStr">
        <is>
          <t>Absence | Отсуство / 1 g</t>
        </is>
      </c>
      <c r="K1256" s="259" t="inlineStr">
        <is>
          <t>not tested</t>
        </is>
      </c>
      <c r="L1256" s="256" t="inlineStr">
        <is>
          <t>—</t>
        </is>
      </c>
      <c r="M1256" s="256" t="inlineStr">
        <is>
          <t>—</t>
        </is>
      </c>
      <c r="N1256" s="256" t="inlineStr">
        <is>
          <t>—</t>
        </is>
      </c>
      <c r="O1256" s="256" t="inlineStr">
        <is>
          <t>—</t>
        </is>
      </c>
      <c r="P1256" s="256" t="inlineStr">
        <is>
          <t>not tested — no certificate covers it</t>
        </is>
      </c>
      <c r="Q1256" s="256" t="inlineStr"/>
      <c r="R1256" s="256" t="inlineStr"/>
    </row>
    <row r="1257">
      <c r="A1257" s="256" t="inlineStr">
        <is>
          <t>CoQ-PP_26-055</t>
        </is>
      </c>
      <c r="B1257" s="256" t="inlineStr">
        <is>
          <t>release</t>
        </is>
      </c>
      <c r="C1257" s="256" t="inlineStr">
        <is>
          <t>SJ112501</t>
        </is>
      </c>
      <c r="D1257" s="256" t="inlineStr">
        <is>
          <t>— no P lot assigned —</t>
        </is>
      </c>
      <c r="E1257" s="256" t="inlineStr">
        <is>
          <t>Sleepy Joe</t>
        </is>
      </c>
      <c r="F1257" s="256" t="inlineStr">
        <is>
          <t>06.06.2026</t>
        </is>
      </c>
      <c r="G1257" s="256" t="inlineStr">
        <is>
          <t>9.6</t>
        </is>
      </c>
      <c r="H1257" s="256" t="inlineStr">
        <is>
          <t>Pseudomonas aeruginosa</t>
        </is>
      </c>
      <c r="I1257" s="256" t="inlineStr">
        <is>
          <t>Ph. Eur. 2.6.13 cat. C</t>
        </is>
      </c>
      <c r="J1257" s="256" t="inlineStr">
        <is>
          <t>Absence | Отсуство / 1 g</t>
        </is>
      </c>
      <c r="K1257" s="260" t="inlineStr">
        <is>
          <t>upon request — not required for release</t>
        </is>
      </c>
      <c r="L1257" s="256" t="inlineStr">
        <is>
          <t>—</t>
        </is>
      </c>
      <c r="M1257" s="256" t="inlineStr">
        <is>
          <t>—</t>
        </is>
      </c>
      <c r="N1257" s="256" t="inlineStr">
        <is>
          <t>—</t>
        </is>
      </c>
      <c r="O1257" s="256" t="inlineStr">
        <is>
          <t>—</t>
        </is>
      </c>
      <c r="P1257" s="256" t="inlineStr">
        <is>
          <t>upon request — not required for release</t>
        </is>
      </c>
      <c r="Q1257" s="256" t="inlineStr"/>
      <c r="R1257" s="256" t="inlineStr"/>
    </row>
    <row r="1258">
      <c r="A1258" s="256" t="inlineStr">
        <is>
          <t>CoQ-PP_26-055</t>
        </is>
      </c>
      <c r="B1258" s="256" t="inlineStr">
        <is>
          <t>release</t>
        </is>
      </c>
      <c r="C1258" s="256" t="inlineStr">
        <is>
          <t>SJ112501</t>
        </is>
      </c>
      <c r="D1258" s="256" t="inlineStr">
        <is>
          <t>— no P lot assigned —</t>
        </is>
      </c>
      <c r="E1258" s="256" t="inlineStr">
        <is>
          <t>Sleepy Joe</t>
        </is>
      </c>
      <c r="F1258" s="256" t="inlineStr">
        <is>
          <t>06.06.2026</t>
        </is>
      </c>
      <c r="G1258" s="256" t="inlineStr">
        <is>
          <t>9.7</t>
        </is>
      </c>
      <c r="H1258" s="256" t="inlineStr">
        <is>
          <t>Staphylococcus aureus</t>
        </is>
      </c>
      <c r="I1258" s="256" t="inlineStr">
        <is>
          <t>Ph. Eur. 2.6.13 cat. C</t>
        </is>
      </c>
      <c r="J1258" s="256" t="inlineStr">
        <is>
          <t>Absence | Отсуство / 1 g</t>
        </is>
      </c>
      <c r="K1258" s="260" t="inlineStr">
        <is>
          <t>upon request — not required for release</t>
        </is>
      </c>
      <c r="L1258" s="256" t="inlineStr">
        <is>
          <t>—</t>
        </is>
      </c>
      <c r="M1258" s="256" t="inlineStr">
        <is>
          <t>—</t>
        </is>
      </c>
      <c r="N1258" s="256" t="inlineStr">
        <is>
          <t>—</t>
        </is>
      </c>
      <c r="O1258" s="256" t="inlineStr">
        <is>
          <t>—</t>
        </is>
      </c>
      <c r="P1258" s="256" t="inlineStr">
        <is>
          <t>upon request — not required for release</t>
        </is>
      </c>
      <c r="Q1258" s="256" t="inlineStr"/>
      <c r="R1258" s="256" t="inlineStr"/>
    </row>
    <row r="1259">
      <c r="A1259" s="256" t="inlineStr">
        <is>
          <t>CoQ-PP_26-055</t>
        </is>
      </c>
      <c r="B1259" s="256" t="inlineStr">
        <is>
          <t>release</t>
        </is>
      </c>
      <c r="C1259" s="256" t="inlineStr">
        <is>
          <t>SJ112501</t>
        </is>
      </c>
      <c r="D1259" s="256" t="inlineStr">
        <is>
          <t>— no P lot assigned —</t>
        </is>
      </c>
      <c r="E1259" s="256" t="inlineStr">
        <is>
          <t>Sleepy Joe</t>
        </is>
      </c>
      <c r="F1259" s="256" t="inlineStr">
        <is>
          <t>06.06.2026</t>
        </is>
      </c>
      <c r="G1259" s="256" t="inlineStr">
        <is>
          <t>10.1</t>
        </is>
      </c>
      <c r="H1259" s="256" t="inlineStr">
        <is>
          <t>Aflatoxin B₁</t>
        </is>
      </c>
      <c r="I1259" s="256" t="inlineStr">
        <is>
          <t>Ph. Eur. 2.8.18 (HPLC-FLD)</t>
        </is>
      </c>
      <c r="J1259" s="256" t="inlineStr">
        <is>
          <t>≤ 2 µg/kg</t>
        </is>
      </c>
      <c r="K1259" s="259" t="inlineStr">
        <is>
          <t>not tested</t>
        </is>
      </c>
      <c r="L1259" s="256" t="inlineStr">
        <is>
          <t>—</t>
        </is>
      </c>
      <c r="M1259" s="256" t="inlineStr">
        <is>
          <t>—</t>
        </is>
      </c>
      <c r="N1259" s="256" t="inlineStr">
        <is>
          <t>—</t>
        </is>
      </c>
      <c r="O1259" s="256" t="inlineStr">
        <is>
          <t>—</t>
        </is>
      </c>
      <c r="P1259" s="256" t="inlineStr">
        <is>
          <t>not tested — no certificate covers it</t>
        </is>
      </c>
      <c r="Q1259" s="256" t="inlineStr"/>
      <c r="R1259" s="256" t="inlineStr"/>
    </row>
    <row r="1260">
      <c r="A1260" s="256" t="inlineStr">
        <is>
          <t>CoQ-PP_26-055</t>
        </is>
      </c>
      <c r="B1260" s="256" t="inlineStr">
        <is>
          <t>release</t>
        </is>
      </c>
      <c r="C1260" s="256" t="inlineStr">
        <is>
          <t>SJ112501</t>
        </is>
      </c>
      <c r="D1260" s="256" t="inlineStr">
        <is>
          <t>— no P lot assigned —</t>
        </is>
      </c>
      <c r="E1260" s="256" t="inlineStr">
        <is>
          <t>Sleepy Joe</t>
        </is>
      </c>
      <c r="F1260" s="256" t="inlineStr">
        <is>
          <t>06.06.2026</t>
        </is>
      </c>
      <c r="G1260" s="256" t="inlineStr">
        <is>
          <t>10.2</t>
        </is>
      </c>
      <c r="H1260" s="256" t="inlineStr">
        <is>
          <t>Aflatoxins ∑</t>
        </is>
      </c>
      <c r="I1260" s="256" t="inlineStr">
        <is>
          <t>Ph. Eur. 2.8.18 (HPLC-FLD)</t>
        </is>
      </c>
      <c r="J1260" s="256" t="inlineStr">
        <is>
          <t>≤ 4 µg/kg</t>
        </is>
      </c>
      <c r="K1260" s="259" t="inlineStr">
        <is>
          <t>not tested</t>
        </is>
      </c>
      <c r="L1260" s="256" t="inlineStr">
        <is>
          <t>—</t>
        </is>
      </c>
      <c r="M1260" s="256" t="inlineStr">
        <is>
          <t>—</t>
        </is>
      </c>
      <c r="N1260" s="256" t="inlineStr">
        <is>
          <t>—</t>
        </is>
      </c>
      <c r="O1260" s="256" t="inlineStr">
        <is>
          <t>—</t>
        </is>
      </c>
      <c r="P1260" s="256" t="inlineStr">
        <is>
          <t>not tested — no certificate covers it</t>
        </is>
      </c>
      <c r="Q1260" s="256" t="inlineStr"/>
      <c r="R1260" s="256" t="inlineStr"/>
    </row>
    <row r="1261">
      <c r="A1261" s="256" t="inlineStr">
        <is>
          <t>CoQ-PP_26-055</t>
        </is>
      </c>
      <c r="B1261" s="256" t="inlineStr">
        <is>
          <t>release</t>
        </is>
      </c>
      <c r="C1261" s="256" t="inlineStr">
        <is>
          <t>SJ112501</t>
        </is>
      </c>
      <c r="D1261" s="256" t="inlineStr">
        <is>
          <t>— no P lot assigned —</t>
        </is>
      </c>
      <c r="E1261" s="256" t="inlineStr">
        <is>
          <t>Sleepy Joe</t>
        </is>
      </c>
      <c r="F1261" s="256" t="inlineStr">
        <is>
          <t>06.06.2026</t>
        </is>
      </c>
      <c r="G1261" s="256" t="inlineStr">
        <is>
          <t>10.3</t>
        </is>
      </c>
      <c r="H1261" s="256" t="inlineStr">
        <is>
          <t>Ochratoxin A</t>
        </is>
      </c>
      <c r="I1261" s="256" t="inlineStr">
        <is>
          <t>Ph. Eur. 2.8.22 (HPLC-FLD)</t>
        </is>
      </c>
      <c r="J1261" s="256" t="inlineStr">
        <is>
          <t>≤ 20 µg/kg</t>
        </is>
      </c>
      <c r="K1261" s="259" t="inlineStr">
        <is>
          <t>not tested</t>
        </is>
      </c>
      <c r="L1261" s="256" t="inlineStr">
        <is>
          <t>—</t>
        </is>
      </c>
      <c r="M1261" s="256" t="inlineStr">
        <is>
          <t>—</t>
        </is>
      </c>
      <c r="N1261" s="256" t="inlineStr">
        <is>
          <t>—</t>
        </is>
      </c>
      <c r="O1261" s="256" t="inlineStr">
        <is>
          <t>—</t>
        </is>
      </c>
      <c r="P1261" s="256" t="inlineStr">
        <is>
          <t>not tested — no certificate covers it</t>
        </is>
      </c>
      <c r="Q1261" s="256" t="inlineStr"/>
      <c r="R1261" s="256" t="inlineStr"/>
    </row>
    <row r="1262">
      <c r="A1262" s="256" t="inlineStr">
        <is>
          <t>CoQ-PP_26-055</t>
        </is>
      </c>
      <c r="B1262" s="256" t="inlineStr">
        <is>
          <t>release</t>
        </is>
      </c>
      <c r="C1262" s="256" t="inlineStr">
        <is>
          <t>SJ112501</t>
        </is>
      </c>
      <c r="D1262" s="256" t="inlineStr">
        <is>
          <t>— no P lot assigned —</t>
        </is>
      </c>
      <c r="E1262" s="256" t="inlineStr">
        <is>
          <t>Sleepy Joe</t>
        </is>
      </c>
      <c r="F1262" s="256" t="inlineStr">
        <is>
          <t>06.06.2026</t>
        </is>
      </c>
      <c r="G1262" s="256" t="inlineStr">
        <is>
          <t>11.1</t>
        </is>
      </c>
      <c r="H1262" s="256" t="inlineStr">
        <is>
          <t>Lead (Pb)</t>
        </is>
      </c>
      <c r="I1262" s="256" t="inlineStr">
        <is>
          <t>Ph. Eur. 2.4.27 (ICP-MS)</t>
        </is>
      </c>
      <c r="J1262" s="256" t="inlineStr">
        <is>
          <t>≤ 0.5 mg/kg</t>
        </is>
      </c>
      <c r="K1262" s="259" t="inlineStr">
        <is>
          <t>not tested</t>
        </is>
      </c>
      <c r="L1262" s="256" t="inlineStr">
        <is>
          <t>—</t>
        </is>
      </c>
      <c r="M1262" s="256" t="inlineStr">
        <is>
          <t>—</t>
        </is>
      </c>
      <c r="N1262" s="256" t="inlineStr">
        <is>
          <t>—</t>
        </is>
      </c>
      <c r="O1262" s="256" t="inlineStr">
        <is>
          <t>—</t>
        </is>
      </c>
      <c r="P1262" s="256" t="inlineStr">
        <is>
          <t>not tested — no certificate covers it</t>
        </is>
      </c>
      <c r="Q1262" s="256" t="inlineStr"/>
      <c r="R1262" s="256" t="inlineStr"/>
    </row>
    <row r="1263">
      <c r="A1263" s="256" t="inlineStr">
        <is>
          <t>CoQ-PP_26-055</t>
        </is>
      </c>
      <c r="B1263" s="256" t="inlineStr">
        <is>
          <t>release</t>
        </is>
      </c>
      <c r="C1263" s="256" t="inlineStr">
        <is>
          <t>SJ112501</t>
        </is>
      </c>
      <c r="D1263" s="256" t="inlineStr">
        <is>
          <t>— no P lot assigned —</t>
        </is>
      </c>
      <c r="E1263" s="256" t="inlineStr">
        <is>
          <t>Sleepy Joe</t>
        </is>
      </c>
      <c r="F1263" s="256" t="inlineStr">
        <is>
          <t>06.06.2026</t>
        </is>
      </c>
      <c r="G1263" s="256" t="inlineStr">
        <is>
          <t>11.2</t>
        </is>
      </c>
      <c r="H1263" s="256" t="inlineStr">
        <is>
          <t>Cadmium (Cd)</t>
        </is>
      </c>
      <c r="I1263" s="256" t="inlineStr">
        <is>
          <t>Ph. Eur. 2.4.27 (ICP-MS)</t>
        </is>
      </c>
      <c r="J1263" s="256" t="inlineStr">
        <is>
          <t>≤ 0.3 mg/kg</t>
        </is>
      </c>
      <c r="K1263" s="259" t="inlineStr">
        <is>
          <t>not tested</t>
        </is>
      </c>
      <c r="L1263" s="256" t="inlineStr">
        <is>
          <t>—</t>
        </is>
      </c>
      <c r="M1263" s="256" t="inlineStr">
        <is>
          <t>—</t>
        </is>
      </c>
      <c r="N1263" s="256" t="inlineStr">
        <is>
          <t>—</t>
        </is>
      </c>
      <c r="O1263" s="256" t="inlineStr">
        <is>
          <t>—</t>
        </is>
      </c>
      <c r="P1263" s="256" t="inlineStr">
        <is>
          <t>not tested — no certificate covers it</t>
        </is>
      </c>
      <c r="Q1263" s="256" t="inlineStr"/>
      <c r="R1263" s="256" t="inlineStr"/>
    </row>
    <row r="1264">
      <c r="A1264" s="256" t="inlineStr">
        <is>
          <t>CoQ-PP_26-055</t>
        </is>
      </c>
      <c r="B1264" s="256" t="inlineStr">
        <is>
          <t>release</t>
        </is>
      </c>
      <c r="C1264" s="256" t="inlineStr">
        <is>
          <t>SJ112501</t>
        </is>
      </c>
      <c r="D1264" s="256" t="inlineStr">
        <is>
          <t>— no P lot assigned —</t>
        </is>
      </c>
      <c r="E1264" s="256" t="inlineStr">
        <is>
          <t>Sleepy Joe</t>
        </is>
      </c>
      <c r="F1264" s="256" t="inlineStr">
        <is>
          <t>06.06.2026</t>
        </is>
      </c>
      <c r="G1264" s="256" t="inlineStr">
        <is>
          <t>11.3</t>
        </is>
      </c>
      <c r="H1264" s="256" t="inlineStr">
        <is>
          <t>Arsenic (As)</t>
        </is>
      </c>
      <c r="I1264" s="256" t="inlineStr">
        <is>
          <t>Ph. Eur. 2.4.27 (ICP-MS)</t>
        </is>
      </c>
      <c r="J1264" s="256" t="inlineStr">
        <is>
          <t>≤ 0.2 mg/kg</t>
        </is>
      </c>
      <c r="K1264" s="259" t="inlineStr">
        <is>
          <t>not tested</t>
        </is>
      </c>
      <c r="L1264" s="256" t="inlineStr">
        <is>
          <t>—</t>
        </is>
      </c>
      <c r="M1264" s="256" t="inlineStr">
        <is>
          <t>—</t>
        </is>
      </c>
      <c r="N1264" s="256" t="inlineStr">
        <is>
          <t>—</t>
        </is>
      </c>
      <c r="O1264" s="256" t="inlineStr">
        <is>
          <t>—</t>
        </is>
      </c>
      <c r="P1264" s="256" t="inlineStr">
        <is>
          <t>not tested — no certificate covers it</t>
        </is>
      </c>
      <c r="Q1264" s="256" t="inlineStr"/>
      <c r="R1264" s="256" t="inlineStr"/>
    </row>
    <row r="1265">
      <c r="A1265" s="256" t="inlineStr">
        <is>
          <t>CoQ-PP_26-055</t>
        </is>
      </c>
      <c r="B1265" s="256" t="inlineStr">
        <is>
          <t>release</t>
        </is>
      </c>
      <c r="C1265" s="256" t="inlineStr">
        <is>
          <t>SJ112501</t>
        </is>
      </c>
      <c r="D1265" s="256" t="inlineStr">
        <is>
          <t>— no P lot assigned —</t>
        </is>
      </c>
      <c r="E1265" s="256" t="inlineStr">
        <is>
          <t>Sleepy Joe</t>
        </is>
      </c>
      <c r="F1265" s="256" t="inlineStr">
        <is>
          <t>06.06.2026</t>
        </is>
      </c>
      <c r="G1265" s="256" t="inlineStr">
        <is>
          <t>11.4</t>
        </is>
      </c>
      <c r="H1265" s="256" t="inlineStr">
        <is>
          <t>Mercury (Hg)</t>
        </is>
      </c>
      <c r="I1265" s="256" t="inlineStr">
        <is>
          <t>Ph. Eur. 2.4.27 (ICP-MS)</t>
        </is>
      </c>
      <c r="J1265" s="256" t="inlineStr">
        <is>
          <t>≤ 0.1 mg/kg</t>
        </is>
      </c>
      <c r="K1265" s="259" t="inlineStr">
        <is>
          <t>not tested</t>
        </is>
      </c>
      <c r="L1265" s="256" t="inlineStr">
        <is>
          <t>—</t>
        </is>
      </c>
      <c r="M1265" s="256" t="inlineStr">
        <is>
          <t>—</t>
        </is>
      </c>
      <c r="N1265" s="256" t="inlineStr">
        <is>
          <t>—</t>
        </is>
      </c>
      <c r="O1265" s="256" t="inlineStr">
        <is>
          <t>—</t>
        </is>
      </c>
      <c r="P1265" s="256" t="inlineStr">
        <is>
          <t>not tested — no certificate covers it</t>
        </is>
      </c>
      <c r="Q1265" s="256" t="inlineStr"/>
      <c r="R1265" s="256" t="inlineStr"/>
    </row>
    <row r="1266">
      <c r="A1266" s="256" t="inlineStr">
        <is>
          <t>CoQ-PP_26-055</t>
        </is>
      </c>
      <c r="B1266" s="256" t="inlineStr">
        <is>
          <t>release</t>
        </is>
      </c>
      <c r="C1266" s="256" t="inlineStr">
        <is>
          <t>SJ112501</t>
        </is>
      </c>
      <c r="D1266" s="256" t="inlineStr">
        <is>
          <t>— no P lot assigned —</t>
        </is>
      </c>
      <c r="E1266" s="256" t="inlineStr">
        <is>
          <t>Sleepy Joe</t>
        </is>
      </c>
      <c r="F1266" s="256" t="inlineStr">
        <is>
          <t>06.06.2026</t>
        </is>
      </c>
      <c r="G1266" s="256" t="inlineStr">
        <is>
          <t>12</t>
        </is>
      </c>
      <c r="H1266" s="256" t="inlineStr">
        <is>
          <t>Pesticide Residues</t>
        </is>
      </c>
      <c r="I1266" s="256" t="inlineStr">
        <is>
          <t>Ph. Eur. 2.8.13 (LC-MS/MS) · CUMCS Equivalency</t>
        </is>
      </c>
      <c r="J1266" s="256" t="inlineStr">
        <is>
          <t>≤ LOQ as per Ph. Eur. 2.8.13 · ≤ LOQ as per CUMCS Equivalency</t>
        </is>
      </c>
      <c r="K1266" s="259" t="inlineStr">
        <is>
          <t>not tested</t>
        </is>
      </c>
      <c r="L1266" s="256" t="inlineStr">
        <is>
          <t>—</t>
        </is>
      </c>
      <c r="M1266" s="256" t="inlineStr">
        <is>
          <t>—</t>
        </is>
      </c>
      <c r="N1266" s="256" t="inlineStr">
        <is>
          <t>—</t>
        </is>
      </c>
      <c r="O1266" s="256" t="inlineStr">
        <is>
          <t>—</t>
        </is>
      </c>
      <c r="P1266" s="256" t="inlineStr">
        <is>
          <t>not tested — no certificate covers it</t>
        </is>
      </c>
      <c r="Q1266" s="256" t="inlineStr"/>
      <c r="R1266" s="256" t="inlineStr"/>
    </row>
    <row r="1267">
      <c r="A1267" s="256" t="inlineStr">
        <is>
          <t>CoQ-PP_26-056</t>
        </is>
      </c>
      <c r="B1267" s="256" t="inlineStr">
        <is>
          <t>release</t>
        </is>
      </c>
      <c r="C1267" s="256" t="inlineStr">
        <is>
          <t>J31112501</t>
        </is>
      </c>
      <c r="D1267" s="256" t="inlineStr">
        <is>
          <t>— no P lot assigned —</t>
        </is>
      </c>
      <c r="E1267" s="256" t="inlineStr">
        <is>
          <t>Jokerz 31</t>
        </is>
      </c>
      <c r="F1267" s="256" t="inlineStr">
        <is>
          <t>06.06.2026</t>
        </is>
      </c>
      <c r="G1267" s="256" t="inlineStr">
        <is>
          <t>1</t>
        </is>
      </c>
      <c r="H1267" s="256" t="inlineStr">
        <is>
          <t>Identification A, Appearance · Macroscopic</t>
        </is>
      </c>
      <c r="I1267" s="256" t="inlineStr">
        <is>
          <t>Ph. Eur. mon. 3028</t>
        </is>
      </c>
      <c r="J1267" s="256" t="inlineStr">
        <is>
          <t>Conforms to the monograph for Cannabis flos (07/2024:3028) in Ph. Eur. 11.0 | Согласно монографија за Cannabis flos (07/2024:3028) во Ph. Eur. 11.0</t>
        </is>
      </c>
      <c r="K1267" s="256" t="inlineStr">
        <is>
          <t>Conforms | Одговара</t>
        </is>
      </c>
      <c r="L1267" s="256" t="inlineStr">
        <is>
          <t>iCoA-PP_26-059</t>
        </is>
      </c>
      <c r="M1267" s="256" t="inlineStr">
        <is>
          <t>03.06.2026</t>
        </is>
      </c>
      <c r="N1267" s="256" t="inlineStr">
        <is>
          <t>Purely Plant GmbH (in-house)</t>
        </is>
      </c>
      <c r="O1267" s="256" t="inlineStr">
        <is>
          <t>—</t>
        </is>
      </c>
      <c r="P1267" s="256" t="inlineStr">
        <is>
          <t>to be performed — see route</t>
        </is>
      </c>
      <c r="Q1267" s="256" t="inlineStr">
        <is>
          <t>Purely Plant laboratory — iCoA covering Ident A + B</t>
        </is>
      </c>
      <c r="R1267" s="256" t="inlineStr"/>
    </row>
    <row r="1268">
      <c r="A1268" s="256" t="inlineStr">
        <is>
          <t>CoQ-PP_26-056</t>
        </is>
      </c>
      <c r="B1268" s="256" t="inlineStr">
        <is>
          <t>release</t>
        </is>
      </c>
      <c r="C1268" s="256" t="inlineStr">
        <is>
          <t>J31112501</t>
        </is>
      </c>
      <c r="D1268" s="256" t="inlineStr">
        <is>
          <t>— no P lot assigned —</t>
        </is>
      </c>
      <c r="E1268" s="256" t="inlineStr">
        <is>
          <t>Jokerz 31</t>
        </is>
      </c>
      <c r="F1268" s="256" t="inlineStr">
        <is>
          <t>06.06.2026</t>
        </is>
      </c>
      <c r="G1268" s="256" t="inlineStr">
        <is>
          <t>2</t>
        </is>
      </c>
      <c r="H1268" s="256" t="inlineStr">
        <is>
          <t>Identification B · Microscopic</t>
        </is>
      </c>
      <c r="I1268" s="256" t="inlineStr">
        <is>
          <t>Ph. Eur. 2.8.23 (microscopy)</t>
        </is>
      </c>
      <c r="J1268" s="256" t="inlineStr">
        <is>
          <t>Conforms to the monograph for Cannabis flos (07/2024:3028) in Ph. Eur. 11.0 | Согласно монографија за Cannabis flos (07/2024:3028) во Ph. Eur. 11.0</t>
        </is>
      </c>
      <c r="K1268" s="256" t="inlineStr">
        <is>
          <t>Conforms | Одговара</t>
        </is>
      </c>
      <c r="L1268" s="256" t="inlineStr">
        <is>
          <t>iCoA-PP_26-059</t>
        </is>
      </c>
      <c r="M1268" s="256" t="inlineStr">
        <is>
          <t>03.06.2026</t>
        </is>
      </c>
      <c r="N1268" s="256" t="inlineStr">
        <is>
          <t>Purely Plant GmbH (in-house)</t>
        </is>
      </c>
      <c r="O1268" s="256" t="inlineStr">
        <is>
          <t>—</t>
        </is>
      </c>
      <c r="P1268" s="256" t="inlineStr">
        <is>
          <t>to be performed — see route</t>
        </is>
      </c>
      <c r="Q1268" s="256" t="inlineStr">
        <is>
          <t>Purely Plant laboratory — iCoA covering Ident A + B</t>
        </is>
      </c>
      <c r="R1268" s="256" t="inlineStr"/>
    </row>
    <row r="1269">
      <c r="A1269" s="256" t="inlineStr">
        <is>
          <t>CoQ-PP_26-056</t>
        </is>
      </c>
      <c r="B1269" s="256" t="inlineStr">
        <is>
          <t>release</t>
        </is>
      </c>
      <c r="C1269" s="256" t="inlineStr">
        <is>
          <t>J31112501</t>
        </is>
      </c>
      <c r="D1269" s="256" t="inlineStr">
        <is>
          <t>— no P lot assigned —</t>
        </is>
      </c>
      <c r="E1269" s="256" t="inlineStr">
        <is>
          <t>Jokerz 31</t>
        </is>
      </c>
      <c r="F1269" s="256" t="inlineStr">
        <is>
          <t>06.06.2026</t>
        </is>
      </c>
      <c r="G1269" s="256" t="inlineStr">
        <is>
          <t>3</t>
        </is>
      </c>
      <c r="H1269" s="256" t="inlineStr">
        <is>
          <t>Identification C · HPLC/HPTLC</t>
        </is>
      </c>
      <c r="I1269" s="256" t="inlineStr">
        <is>
          <t>Ph. Eur. 2.2.29 (3028)</t>
        </is>
      </c>
      <c r="J1269" s="256" t="inlineStr">
        <is>
          <t>Conforms to the monograph for Cannabis flos (07/2024:3028) in Ph. Eur. 11.0 | Согласно монографија за Cannabis flos (07/2024:3028) во Ph. Eur. 11.0</t>
        </is>
      </c>
      <c r="K1269" s="256" t="inlineStr">
        <is>
          <t>Conforms | Одговара</t>
        </is>
      </c>
      <c r="L1269" s="256" t="inlineStr">
        <is>
          <t>051-5-К/26</t>
        </is>
      </c>
      <c r="M1269" s="256" t="inlineStr">
        <is>
          <t>04.03.2026</t>
        </is>
      </c>
      <c r="N1269" s="256" t="inlineStr">
        <is>
          <t>Farmahem</t>
        </is>
      </c>
      <c r="O1269" s="256" t="inlineStr">
        <is>
          <t>23.02.2026</t>
        </is>
      </c>
      <c r="P1269" s="256" t="inlineStr">
        <is>
          <t>covered</t>
        </is>
      </c>
      <c r="Q1269" s="256" t="inlineStr"/>
      <c r="R1269" s="256" t="inlineStr"/>
    </row>
    <row r="1270">
      <c r="A1270" s="256" t="inlineStr">
        <is>
          <t>CoQ-PP_26-056</t>
        </is>
      </c>
      <c r="B1270" s="256" t="inlineStr">
        <is>
          <t>release</t>
        </is>
      </c>
      <c r="C1270" s="256" t="inlineStr">
        <is>
          <t>J31112501</t>
        </is>
      </c>
      <c r="D1270" s="256" t="inlineStr">
        <is>
          <t>— no P lot assigned —</t>
        </is>
      </c>
      <c r="E1270" s="256" t="inlineStr">
        <is>
          <t>Jokerz 31</t>
        </is>
      </c>
      <c r="F1270" s="256" t="inlineStr">
        <is>
          <t>06.06.2026</t>
        </is>
      </c>
      <c r="G1270" s="256" t="inlineStr">
        <is>
          <t>4</t>
        </is>
      </c>
      <c r="H1270" s="256" t="inlineStr">
        <is>
          <t>Assay — Total Δ⁹-THC</t>
        </is>
      </c>
      <c r="I1270" s="256" t="inlineStr">
        <is>
          <t>Ph. Eur. 2.2.29 (HPLC)</t>
        </is>
      </c>
      <c r="J1270" s="256" t="inlineStr">
        <is>
          <t>24.20 – 27.79 %  (grade I, nominal 26.00 ± 1.80)</t>
        </is>
      </c>
      <c r="K1270" s="256" t="inlineStr">
        <is>
          <t>25.27</t>
        </is>
      </c>
      <c r="L1270" s="256" t="inlineStr">
        <is>
          <t>051-5-К/26</t>
        </is>
      </c>
      <c r="M1270" s="256" t="inlineStr">
        <is>
          <t>04.03.2026</t>
        </is>
      </c>
      <c r="N1270" s="256" t="inlineStr">
        <is>
          <t>Farmahem</t>
        </is>
      </c>
      <c r="O1270" s="256" t="inlineStr">
        <is>
          <t>23.02.2026</t>
        </is>
      </c>
      <c r="P1270" s="256" t="inlineStr">
        <is>
          <t>covered</t>
        </is>
      </c>
      <c r="Q1270" s="256" t="inlineStr"/>
      <c r="R1270" s="256" t="inlineStr">
        <is>
          <t>20.21 (100-1-K/26); 23.85 (227-14-К/26)</t>
        </is>
      </c>
    </row>
    <row r="1271">
      <c r="A1271" s="256" t="inlineStr">
        <is>
          <t>CoQ-PP_26-056</t>
        </is>
      </c>
      <c r="B1271" s="256" t="inlineStr">
        <is>
          <t>release</t>
        </is>
      </c>
      <c r="C1271" s="256" t="inlineStr">
        <is>
          <t>J31112501</t>
        </is>
      </c>
      <c r="D1271" s="256" t="inlineStr">
        <is>
          <t>— no P lot assigned —</t>
        </is>
      </c>
      <c r="E1271" s="256" t="inlineStr">
        <is>
          <t>Jokerz 31</t>
        </is>
      </c>
      <c r="F1271" s="256" t="inlineStr">
        <is>
          <t>06.06.2026</t>
        </is>
      </c>
      <c r="G1271" s="256" t="inlineStr">
        <is>
          <t>5</t>
        </is>
      </c>
      <c r="H1271" s="256" t="inlineStr">
        <is>
          <t>Assay — Total CBD</t>
        </is>
      </c>
      <c r="I1271" s="256" t="inlineStr">
        <is>
          <t>Ph. Eur. 2.2.29 (HPLC) · CBD + CBDA x 0.877</t>
        </is>
      </c>
      <c r="J1271" s="256" t="inlineStr">
        <is>
          <t>≤ 1.0%, w/w</t>
        </is>
      </c>
      <c r="K1271" s="256" t="inlineStr">
        <is>
          <t>&lt; LOQ (&lt;0.20)</t>
        </is>
      </c>
      <c r="L1271" s="256" t="inlineStr">
        <is>
          <t>051-5-К/26</t>
        </is>
      </c>
      <c r="M1271" s="256" t="inlineStr">
        <is>
          <t>04.03.2026</t>
        </is>
      </c>
      <c r="N1271" s="256" t="inlineStr">
        <is>
          <t>Farmahem</t>
        </is>
      </c>
      <c r="O1271" s="256" t="inlineStr">
        <is>
          <t>23.02.2026</t>
        </is>
      </c>
      <c r="P1271" s="256" t="inlineStr">
        <is>
          <t>covered</t>
        </is>
      </c>
      <c r="Q1271" s="256" t="inlineStr"/>
      <c r="R1271" s="256" t="inlineStr">
        <is>
          <t>&lt; LOQ (&lt;0.20) (100-1-K/26); &lt;LOQ (227-14-К/26)</t>
        </is>
      </c>
    </row>
    <row r="1272">
      <c r="A1272" s="256" t="inlineStr">
        <is>
          <t>CoQ-PP_26-056</t>
        </is>
      </c>
      <c r="B1272" s="256" t="inlineStr">
        <is>
          <t>release</t>
        </is>
      </c>
      <c r="C1272" s="256" t="inlineStr">
        <is>
          <t>J31112501</t>
        </is>
      </c>
      <c r="D1272" s="256" t="inlineStr">
        <is>
          <t>— no P lot assigned —</t>
        </is>
      </c>
      <c r="E1272" s="256" t="inlineStr">
        <is>
          <t>Jokerz 31</t>
        </is>
      </c>
      <c r="F1272" s="256" t="inlineStr">
        <is>
          <t>06.06.2026</t>
        </is>
      </c>
      <c r="G1272" s="256" t="inlineStr">
        <is>
          <t>6</t>
        </is>
      </c>
      <c r="H1272" s="256" t="inlineStr">
        <is>
          <t>Total CBN</t>
        </is>
      </c>
      <c r="I1272" s="256" t="inlineStr">
        <is>
          <t>Ph. Eur. 2.2.29 (HPLC) · CBN + CBNA x 0.876</t>
        </is>
      </c>
      <c r="J1272" s="256" t="inlineStr">
        <is>
          <t>≤ 1.0%, w/w</t>
        </is>
      </c>
      <c r="K1272" s="256" t="inlineStr">
        <is>
          <t>&lt; LOQ</t>
        </is>
      </c>
      <c r="L1272" s="256" t="inlineStr">
        <is>
          <t>051-5-К/26</t>
        </is>
      </c>
      <c r="M1272" s="256" t="inlineStr">
        <is>
          <t>04.03.2026</t>
        </is>
      </c>
      <c r="N1272" s="256" t="inlineStr">
        <is>
          <t>Farmahem</t>
        </is>
      </c>
      <c r="O1272" s="256" t="inlineStr">
        <is>
          <t>23.02.2026</t>
        </is>
      </c>
      <c r="P1272" s="256" t="inlineStr">
        <is>
          <t>covered</t>
        </is>
      </c>
      <c r="Q1272" s="256" t="inlineStr"/>
      <c r="R1272" s="256" t="inlineStr">
        <is>
          <t>&lt; LOQ (100-1-K/26); &lt;LOQ (227-14-К/26)</t>
        </is>
      </c>
    </row>
    <row r="1273">
      <c r="A1273" s="256" t="inlineStr">
        <is>
          <t>CoQ-PP_26-056</t>
        </is>
      </c>
      <c r="B1273" s="256" t="inlineStr">
        <is>
          <t>release</t>
        </is>
      </c>
      <c r="C1273" s="256" t="inlineStr">
        <is>
          <t>J31112501</t>
        </is>
      </c>
      <c r="D1273" s="256" t="inlineStr">
        <is>
          <t>— no P lot assigned —</t>
        </is>
      </c>
      <c r="E1273" s="256" t="inlineStr">
        <is>
          <t>Jokerz 31</t>
        </is>
      </c>
      <c r="F1273" s="256" t="inlineStr">
        <is>
          <t>06.06.2026</t>
        </is>
      </c>
      <c r="G1273" s="256" t="inlineStr">
        <is>
          <t>7</t>
        </is>
      </c>
      <c r="H1273" s="256" t="inlineStr">
        <is>
          <t>Foreign Matter</t>
        </is>
      </c>
      <c r="I1273" s="256" t="inlineStr">
        <is>
          <t>Ph. Eur. 2.8.2 · In-house · интерна</t>
        </is>
      </c>
      <c r="J1273" s="256" t="inlineStr">
        <is>
          <t>≤ 2.0% / 25–50 g · &lt; 1 cm leaves | листови, no seeds | без семки</t>
        </is>
      </c>
      <c r="K1273" s="256" t="inlineStr">
        <is>
          <t>Conforms | Одговара</t>
        </is>
      </c>
      <c r="L1273" s="256" t="inlineStr">
        <is>
          <t>iCoA-PP_26-059</t>
        </is>
      </c>
      <c r="M1273" s="256" t="inlineStr">
        <is>
          <t>03.06.2026</t>
        </is>
      </c>
      <c r="N1273" s="256" t="inlineStr">
        <is>
          <t>Purely Plant GmbH (in-house)</t>
        </is>
      </c>
      <c r="O1273" s="256" t="inlineStr">
        <is>
          <t>—</t>
        </is>
      </c>
      <c r="P1273" s="256" t="inlineStr">
        <is>
          <t>to be performed — see route</t>
        </is>
      </c>
      <c r="Q1273" s="256" t="inlineStr">
        <is>
          <t>Purely Plant laboratory — iCoA covering Foreign matter</t>
        </is>
      </c>
      <c r="R1273" s="256" t="inlineStr"/>
    </row>
    <row r="1274">
      <c r="A1274" s="256" t="inlineStr">
        <is>
          <t>CoQ-PP_26-056</t>
        </is>
      </c>
      <c r="B1274" s="256" t="inlineStr">
        <is>
          <t>release</t>
        </is>
      </c>
      <c r="C1274" s="256" t="inlineStr">
        <is>
          <t>J31112501</t>
        </is>
      </c>
      <c r="D1274" s="256" t="inlineStr">
        <is>
          <t>— no P lot assigned —</t>
        </is>
      </c>
      <c r="E1274" s="256" t="inlineStr">
        <is>
          <t>Jokerz 31</t>
        </is>
      </c>
      <c r="F1274" s="256" t="inlineStr">
        <is>
          <t>06.06.2026</t>
        </is>
      </c>
      <c r="G1274" s="256" t="inlineStr">
        <is>
          <t>8</t>
        </is>
      </c>
      <c r="H1274" s="256" t="inlineStr">
        <is>
          <t>Loss on Drying</t>
        </is>
      </c>
      <c r="I1274" s="256" t="inlineStr">
        <is>
          <t>Ph. Eur. 2.2.32 (3028) · at 40 °C, 24 h, 15–25 mbar</t>
        </is>
      </c>
      <c r="J1274" s="256" t="inlineStr">
        <is>
          <t>≤ 12.0%</t>
        </is>
      </c>
      <c r="K1274" s="256" t="inlineStr">
        <is>
          <t>8.4</t>
        </is>
      </c>
      <c r="L1274" s="256" t="inlineStr">
        <is>
          <t>051-5-ГС/26</t>
        </is>
      </c>
      <c r="M1274" s="256" t="inlineStr">
        <is>
          <t>02.03.2026</t>
        </is>
      </c>
      <c r="N1274" s="256" t="inlineStr">
        <is>
          <t>Farmahem</t>
        </is>
      </c>
      <c r="O1274" s="256" t="inlineStr">
        <is>
          <t>—</t>
        </is>
      </c>
      <c r="P1274" s="256" t="inlineStr">
        <is>
          <t>covered</t>
        </is>
      </c>
      <c r="Q1274" s="256" t="inlineStr"/>
      <c r="R1274" s="256" t="inlineStr">
        <is>
          <t>7.6 (100-1-GS/26)</t>
        </is>
      </c>
    </row>
    <row r="1275">
      <c r="A1275" s="256" t="inlineStr">
        <is>
          <t>CoQ-PP_26-056</t>
        </is>
      </c>
      <c r="B1275" s="256" t="inlineStr">
        <is>
          <t>release</t>
        </is>
      </c>
      <c r="C1275" s="256" t="inlineStr">
        <is>
          <t>J31112501</t>
        </is>
      </c>
      <c r="D1275" s="256" t="inlineStr">
        <is>
          <t>— no P lot assigned —</t>
        </is>
      </c>
      <c r="E1275" s="256" t="inlineStr">
        <is>
          <t>Jokerz 31</t>
        </is>
      </c>
      <c r="F1275" s="256" t="inlineStr">
        <is>
          <t>06.06.2026</t>
        </is>
      </c>
      <c r="G1275" s="256" t="inlineStr">
        <is>
          <t>9.1</t>
        </is>
      </c>
      <c r="H1275" s="256" t="inlineStr">
        <is>
          <t>TAMC</t>
        </is>
      </c>
      <c r="I1275" s="256" t="inlineStr">
        <is>
          <t>Ph. Eur. 2.6.12 cat. C</t>
        </is>
      </c>
      <c r="J1275" s="256" t="inlineStr">
        <is>
          <t>≤ 10⁵ CFU/g</t>
        </is>
      </c>
      <c r="K1275" s="259" t="inlineStr">
        <is>
          <t>not tested</t>
        </is>
      </c>
      <c r="L1275" s="256" t="inlineStr">
        <is>
          <t>—</t>
        </is>
      </c>
      <c r="M1275" s="256" t="inlineStr">
        <is>
          <t>—</t>
        </is>
      </c>
      <c r="N1275" s="256" t="inlineStr">
        <is>
          <t>—</t>
        </is>
      </c>
      <c r="O1275" s="256" t="inlineStr">
        <is>
          <t>—</t>
        </is>
      </c>
      <c r="P1275" s="256" t="inlineStr">
        <is>
          <t>not tested — no certificate covers it</t>
        </is>
      </c>
      <c r="Q1275" s="256" t="inlineStr"/>
      <c r="R1275" s="256" t="inlineStr"/>
    </row>
    <row r="1276">
      <c r="A1276" s="256" t="inlineStr">
        <is>
          <t>CoQ-PP_26-056</t>
        </is>
      </c>
      <c r="B1276" s="256" t="inlineStr">
        <is>
          <t>release</t>
        </is>
      </c>
      <c r="C1276" s="256" t="inlineStr">
        <is>
          <t>J31112501</t>
        </is>
      </c>
      <c r="D1276" s="256" t="inlineStr">
        <is>
          <t>— no P lot assigned —</t>
        </is>
      </c>
      <c r="E1276" s="256" t="inlineStr">
        <is>
          <t>Jokerz 31</t>
        </is>
      </c>
      <c r="F1276" s="256" t="inlineStr">
        <is>
          <t>06.06.2026</t>
        </is>
      </c>
      <c r="G1276" s="256" t="inlineStr">
        <is>
          <t>9.2</t>
        </is>
      </c>
      <c r="H1276" s="256" t="inlineStr">
        <is>
          <t>TYMC</t>
        </is>
      </c>
      <c r="I1276" s="256" t="inlineStr">
        <is>
          <t>Ph. Eur. 2.6.12 cat. C</t>
        </is>
      </c>
      <c r="J1276" s="256" t="inlineStr">
        <is>
          <t>≤ 10⁴ CFU/g</t>
        </is>
      </c>
      <c r="K1276" s="259" t="inlineStr">
        <is>
          <t>not tested</t>
        </is>
      </c>
      <c r="L1276" s="256" t="inlineStr">
        <is>
          <t>—</t>
        </is>
      </c>
      <c r="M1276" s="256" t="inlineStr">
        <is>
          <t>—</t>
        </is>
      </c>
      <c r="N1276" s="256" t="inlineStr">
        <is>
          <t>—</t>
        </is>
      </c>
      <c r="O1276" s="256" t="inlineStr">
        <is>
          <t>—</t>
        </is>
      </c>
      <c r="P1276" s="256" t="inlineStr">
        <is>
          <t>not tested — no certificate covers it</t>
        </is>
      </c>
      <c r="Q1276" s="256" t="inlineStr"/>
      <c r="R1276" s="256" t="inlineStr"/>
    </row>
    <row r="1277">
      <c r="A1277" s="256" t="inlineStr">
        <is>
          <t>CoQ-PP_26-056</t>
        </is>
      </c>
      <c r="B1277" s="256" t="inlineStr">
        <is>
          <t>release</t>
        </is>
      </c>
      <c r="C1277" s="256" t="inlineStr">
        <is>
          <t>J31112501</t>
        </is>
      </c>
      <c r="D1277" s="256" t="inlineStr">
        <is>
          <t>— no P lot assigned —</t>
        </is>
      </c>
      <c r="E1277" s="256" t="inlineStr">
        <is>
          <t>Jokerz 31</t>
        </is>
      </c>
      <c r="F1277" s="256" t="inlineStr">
        <is>
          <t>06.06.2026</t>
        </is>
      </c>
      <c r="G1277" s="256" t="inlineStr">
        <is>
          <t>9.3</t>
        </is>
      </c>
      <c r="H1277" s="256" t="inlineStr">
        <is>
          <t>Bile-tolerant gram-neg.</t>
        </is>
      </c>
      <c r="I1277" s="256" t="inlineStr">
        <is>
          <t>Ph. Eur. 2.6.31 cat. C</t>
        </is>
      </c>
      <c r="J1277" s="256" t="inlineStr">
        <is>
          <t>≤ 10⁴ CFU/g</t>
        </is>
      </c>
      <c r="K1277" s="259" t="inlineStr">
        <is>
          <t>not tested</t>
        </is>
      </c>
      <c r="L1277" s="256" t="inlineStr">
        <is>
          <t>—</t>
        </is>
      </c>
      <c r="M1277" s="256" t="inlineStr">
        <is>
          <t>—</t>
        </is>
      </c>
      <c r="N1277" s="256" t="inlineStr">
        <is>
          <t>—</t>
        </is>
      </c>
      <c r="O1277" s="256" t="inlineStr">
        <is>
          <t>—</t>
        </is>
      </c>
      <c r="P1277" s="256" t="inlineStr">
        <is>
          <t>not tested — no certificate covers it</t>
        </is>
      </c>
      <c r="Q1277" s="256" t="inlineStr"/>
      <c r="R1277" s="256" t="inlineStr"/>
    </row>
    <row r="1278">
      <c r="A1278" s="256" t="inlineStr">
        <is>
          <t>CoQ-PP_26-056</t>
        </is>
      </c>
      <c r="B1278" s="256" t="inlineStr">
        <is>
          <t>release</t>
        </is>
      </c>
      <c r="C1278" s="256" t="inlineStr">
        <is>
          <t>J31112501</t>
        </is>
      </c>
      <c r="D1278" s="256" t="inlineStr">
        <is>
          <t>— no P lot assigned —</t>
        </is>
      </c>
      <c r="E1278" s="256" t="inlineStr">
        <is>
          <t>Jokerz 31</t>
        </is>
      </c>
      <c r="F1278" s="256" t="inlineStr">
        <is>
          <t>06.06.2026</t>
        </is>
      </c>
      <c r="G1278" s="256" t="inlineStr">
        <is>
          <t>9.4</t>
        </is>
      </c>
      <c r="H1278" s="256" t="inlineStr">
        <is>
          <t>Salmonella</t>
        </is>
      </c>
      <c r="I1278" s="256" t="inlineStr">
        <is>
          <t>Ph. Eur. 2.6.31 cat. C</t>
        </is>
      </c>
      <c r="J1278" s="256" t="inlineStr">
        <is>
          <t>Absence | Отсуство / 25 g</t>
        </is>
      </c>
      <c r="K1278" s="259" t="inlineStr">
        <is>
          <t>not tested</t>
        </is>
      </c>
      <c r="L1278" s="256" t="inlineStr">
        <is>
          <t>—</t>
        </is>
      </c>
      <c r="M1278" s="256" t="inlineStr">
        <is>
          <t>—</t>
        </is>
      </c>
      <c r="N1278" s="256" t="inlineStr">
        <is>
          <t>—</t>
        </is>
      </c>
      <c r="O1278" s="256" t="inlineStr">
        <is>
          <t>—</t>
        </is>
      </c>
      <c r="P1278" s="256" t="inlineStr">
        <is>
          <t>not tested — no certificate covers it</t>
        </is>
      </c>
      <c r="Q1278" s="256" t="inlineStr"/>
      <c r="R1278" s="256" t="inlineStr"/>
    </row>
    <row r="1279">
      <c r="A1279" s="256" t="inlineStr">
        <is>
          <t>CoQ-PP_26-056</t>
        </is>
      </c>
      <c r="B1279" s="256" t="inlineStr">
        <is>
          <t>release</t>
        </is>
      </c>
      <c r="C1279" s="256" t="inlineStr">
        <is>
          <t>J31112501</t>
        </is>
      </c>
      <c r="D1279" s="256" t="inlineStr">
        <is>
          <t>— no P lot assigned —</t>
        </is>
      </c>
      <c r="E1279" s="256" t="inlineStr">
        <is>
          <t>Jokerz 31</t>
        </is>
      </c>
      <c r="F1279" s="256" t="inlineStr">
        <is>
          <t>06.06.2026</t>
        </is>
      </c>
      <c r="G1279" s="256" t="inlineStr">
        <is>
          <t>9.5</t>
        </is>
      </c>
      <c r="H1279" s="256" t="inlineStr">
        <is>
          <t>Escherichia coli</t>
        </is>
      </c>
      <c r="I1279" s="256" t="inlineStr">
        <is>
          <t>Ph. Eur. 2.6.13 cat. C</t>
        </is>
      </c>
      <c r="J1279" s="256" t="inlineStr">
        <is>
          <t>Absence | Отсуство / 1 g</t>
        </is>
      </c>
      <c r="K1279" s="259" t="inlineStr">
        <is>
          <t>not tested</t>
        </is>
      </c>
      <c r="L1279" s="256" t="inlineStr">
        <is>
          <t>—</t>
        </is>
      </c>
      <c r="M1279" s="256" t="inlineStr">
        <is>
          <t>—</t>
        </is>
      </c>
      <c r="N1279" s="256" t="inlineStr">
        <is>
          <t>—</t>
        </is>
      </c>
      <c r="O1279" s="256" t="inlineStr">
        <is>
          <t>—</t>
        </is>
      </c>
      <c r="P1279" s="256" t="inlineStr">
        <is>
          <t>not tested — no certificate covers it</t>
        </is>
      </c>
      <c r="Q1279" s="256" t="inlineStr"/>
      <c r="R1279" s="256" t="inlineStr"/>
    </row>
    <row r="1280">
      <c r="A1280" s="256" t="inlineStr">
        <is>
          <t>CoQ-PP_26-056</t>
        </is>
      </c>
      <c r="B1280" s="256" t="inlineStr">
        <is>
          <t>release</t>
        </is>
      </c>
      <c r="C1280" s="256" t="inlineStr">
        <is>
          <t>J31112501</t>
        </is>
      </c>
      <c r="D1280" s="256" t="inlineStr">
        <is>
          <t>— no P lot assigned —</t>
        </is>
      </c>
      <c r="E1280" s="256" t="inlineStr">
        <is>
          <t>Jokerz 31</t>
        </is>
      </c>
      <c r="F1280" s="256" t="inlineStr">
        <is>
          <t>06.06.2026</t>
        </is>
      </c>
      <c r="G1280" s="256" t="inlineStr">
        <is>
          <t>9.6</t>
        </is>
      </c>
      <c r="H1280" s="256" t="inlineStr">
        <is>
          <t>Pseudomonas aeruginosa</t>
        </is>
      </c>
      <c r="I1280" s="256" t="inlineStr">
        <is>
          <t>Ph. Eur. 2.6.13 cat. C</t>
        </is>
      </c>
      <c r="J1280" s="256" t="inlineStr">
        <is>
          <t>Absence | Отсуство / 1 g</t>
        </is>
      </c>
      <c r="K1280" s="260" t="inlineStr">
        <is>
          <t>upon request — not required for release</t>
        </is>
      </c>
      <c r="L1280" s="256" t="inlineStr">
        <is>
          <t>—</t>
        </is>
      </c>
      <c r="M1280" s="256" t="inlineStr">
        <is>
          <t>—</t>
        </is>
      </c>
      <c r="N1280" s="256" t="inlineStr">
        <is>
          <t>—</t>
        </is>
      </c>
      <c r="O1280" s="256" t="inlineStr">
        <is>
          <t>—</t>
        </is>
      </c>
      <c r="P1280" s="256" t="inlineStr">
        <is>
          <t>upon request — not required for release</t>
        </is>
      </c>
      <c r="Q1280" s="256" t="inlineStr"/>
      <c r="R1280" s="256" t="inlineStr"/>
    </row>
    <row r="1281">
      <c r="A1281" s="256" t="inlineStr">
        <is>
          <t>CoQ-PP_26-056</t>
        </is>
      </c>
      <c r="B1281" s="256" t="inlineStr">
        <is>
          <t>release</t>
        </is>
      </c>
      <c r="C1281" s="256" t="inlineStr">
        <is>
          <t>J31112501</t>
        </is>
      </c>
      <c r="D1281" s="256" t="inlineStr">
        <is>
          <t>— no P lot assigned —</t>
        </is>
      </c>
      <c r="E1281" s="256" t="inlineStr">
        <is>
          <t>Jokerz 31</t>
        </is>
      </c>
      <c r="F1281" s="256" t="inlineStr">
        <is>
          <t>06.06.2026</t>
        </is>
      </c>
      <c r="G1281" s="256" t="inlineStr">
        <is>
          <t>9.7</t>
        </is>
      </c>
      <c r="H1281" s="256" t="inlineStr">
        <is>
          <t>Staphylococcus aureus</t>
        </is>
      </c>
      <c r="I1281" s="256" t="inlineStr">
        <is>
          <t>Ph. Eur. 2.6.13 cat. C</t>
        </is>
      </c>
      <c r="J1281" s="256" t="inlineStr">
        <is>
          <t>Absence | Отсуство / 1 g</t>
        </is>
      </c>
      <c r="K1281" s="260" t="inlineStr">
        <is>
          <t>upon request — not required for release</t>
        </is>
      </c>
      <c r="L1281" s="256" t="inlineStr">
        <is>
          <t>—</t>
        </is>
      </c>
      <c r="M1281" s="256" t="inlineStr">
        <is>
          <t>—</t>
        </is>
      </c>
      <c r="N1281" s="256" t="inlineStr">
        <is>
          <t>—</t>
        </is>
      </c>
      <c r="O1281" s="256" t="inlineStr">
        <is>
          <t>—</t>
        </is>
      </c>
      <c r="P1281" s="256" t="inlineStr">
        <is>
          <t>upon request — not required for release</t>
        </is>
      </c>
      <c r="Q1281" s="256" t="inlineStr"/>
      <c r="R1281" s="256" t="inlineStr"/>
    </row>
    <row r="1282">
      <c r="A1282" s="256" t="inlineStr">
        <is>
          <t>CoQ-PP_26-056</t>
        </is>
      </c>
      <c r="B1282" s="256" t="inlineStr">
        <is>
          <t>release</t>
        </is>
      </c>
      <c r="C1282" s="256" t="inlineStr">
        <is>
          <t>J31112501</t>
        </is>
      </c>
      <c r="D1282" s="256" t="inlineStr">
        <is>
          <t>— no P lot assigned —</t>
        </is>
      </c>
      <c r="E1282" s="256" t="inlineStr">
        <is>
          <t>Jokerz 31</t>
        </is>
      </c>
      <c r="F1282" s="256" t="inlineStr">
        <is>
          <t>06.06.2026</t>
        </is>
      </c>
      <c r="G1282" s="256" t="inlineStr">
        <is>
          <t>10.1</t>
        </is>
      </c>
      <c r="H1282" s="256" t="inlineStr">
        <is>
          <t>Aflatoxin B₁</t>
        </is>
      </c>
      <c r="I1282" s="256" t="inlineStr">
        <is>
          <t>Ph. Eur. 2.8.18 (HPLC-FLD)</t>
        </is>
      </c>
      <c r="J1282" s="256" t="inlineStr">
        <is>
          <t>≤ 2 µg/kg</t>
        </is>
      </c>
      <c r="K1282" s="259" t="inlineStr">
        <is>
          <t>not tested</t>
        </is>
      </c>
      <c r="L1282" s="256" t="inlineStr">
        <is>
          <t>—</t>
        </is>
      </c>
      <c r="M1282" s="256" t="inlineStr">
        <is>
          <t>—</t>
        </is>
      </c>
      <c r="N1282" s="256" t="inlineStr">
        <is>
          <t>—</t>
        </is>
      </c>
      <c r="O1282" s="256" t="inlineStr">
        <is>
          <t>—</t>
        </is>
      </c>
      <c r="P1282" s="256" t="inlineStr">
        <is>
          <t>not tested — no certificate covers it</t>
        </is>
      </c>
      <c r="Q1282" s="256" t="inlineStr"/>
      <c r="R1282" s="256" t="inlineStr"/>
    </row>
    <row r="1283">
      <c r="A1283" s="256" t="inlineStr">
        <is>
          <t>CoQ-PP_26-056</t>
        </is>
      </c>
      <c r="B1283" s="256" t="inlineStr">
        <is>
          <t>release</t>
        </is>
      </c>
      <c r="C1283" s="256" t="inlineStr">
        <is>
          <t>J31112501</t>
        </is>
      </c>
      <c r="D1283" s="256" t="inlineStr">
        <is>
          <t>— no P lot assigned —</t>
        </is>
      </c>
      <c r="E1283" s="256" t="inlineStr">
        <is>
          <t>Jokerz 31</t>
        </is>
      </c>
      <c r="F1283" s="256" t="inlineStr">
        <is>
          <t>06.06.2026</t>
        </is>
      </c>
      <c r="G1283" s="256" t="inlineStr">
        <is>
          <t>10.2</t>
        </is>
      </c>
      <c r="H1283" s="256" t="inlineStr">
        <is>
          <t>Aflatoxins ∑</t>
        </is>
      </c>
      <c r="I1283" s="256" t="inlineStr">
        <is>
          <t>Ph. Eur. 2.8.18 (HPLC-FLD)</t>
        </is>
      </c>
      <c r="J1283" s="256" t="inlineStr">
        <is>
          <t>≤ 4 µg/kg</t>
        </is>
      </c>
      <c r="K1283" s="259" t="inlineStr">
        <is>
          <t>not tested</t>
        </is>
      </c>
      <c r="L1283" s="256" t="inlineStr">
        <is>
          <t>—</t>
        </is>
      </c>
      <c r="M1283" s="256" t="inlineStr">
        <is>
          <t>—</t>
        </is>
      </c>
      <c r="N1283" s="256" t="inlineStr">
        <is>
          <t>—</t>
        </is>
      </c>
      <c r="O1283" s="256" t="inlineStr">
        <is>
          <t>—</t>
        </is>
      </c>
      <c r="P1283" s="256" t="inlineStr">
        <is>
          <t>not tested — no certificate covers it</t>
        </is>
      </c>
      <c r="Q1283" s="256" t="inlineStr"/>
      <c r="R1283" s="256" t="inlineStr"/>
    </row>
    <row r="1284">
      <c r="A1284" s="256" t="inlineStr">
        <is>
          <t>CoQ-PP_26-056</t>
        </is>
      </c>
      <c r="B1284" s="256" t="inlineStr">
        <is>
          <t>release</t>
        </is>
      </c>
      <c r="C1284" s="256" t="inlineStr">
        <is>
          <t>J31112501</t>
        </is>
      </c>
      <c r="D1284" s="256" t="inlineStr">
        <is>
          <t>— no P lot assigned —</t>
        </is>
      </c>
      <c r="E1284" s="256" t="inlineStr">
        <is>
          <t>Jokerz 31</t>
        </is>
      </c>
      <c r="F1284" s="256" t="inlineStr">
        <is>
          <t>06.06.2026</t>
        </is>
      </c>
      <c r="G1284" s="256" t="inlineStr">
        <is>
          <t>10.3</t>
        </is>
      </c>
      <c r="H1284" s="256" t="inlineStr">
        <is>
          <t>Ochratoxin A</t>
        </is>
      </c>
      <c r="I1284" s="256" t="inlineStr">
        <is>
          <t>Ph. Eur. 2.8.22 (HPLC-FLD)</t>
        </is>
      </c>
      <c r="J1284" s="256" t="inlineStr">
        <is>
          <t>≤ 20 µg/kg</t>
        </is>
      </c>
      <c r="K1284" s="259" t="inlineStr">
        <is>
          <t>not tested</t>
        </is>
      </c>
      <c r="L1284" s="256" t="inlineStr">
        <is>
          <t>—</t>
        </is>
      </c>
      <c r="M1284" s="256" t="inlineStr">
        <is>
          <t>—</t>
        </is>
      </c>
      <c r="N1284" s="256" t="inlineStr">
        <is>
          <t>—</t>
        </is>
      </c>
      <c r="O1284" s="256" t="inlineStr">
        <is>
          <t>—</t>
        </is>
      </c>
      <c r="P1284" s="256" t="inlineStr">
        <is>
          <t>not tested — no certificate covers it</t>
        </is>
      </c>
      <c r="Q1284" s="256" t="inlineStr"/>
      <c r="R1284" s="256" t="inlineStr"/>
    </row>
    <row r="1285">
      <c r="A1285" s="256" t="inlineStr">
        <is>
          <t>CoQ-PP_26-056</t>
        </is>
      </c>
      <c r="B1285" s="256" t="inlineStr">
        <is>
          <t>release</t>
        </is>
      </c>
      <c r="C1285" s="256" t="inlineStr">
        <is>
          <t>J31112501</t>
        </is>
      </c>
      <c r="D1285" s="256" t="inlineStr">
        <is>
          <t>— no P lot assigned —</t>
        </is>
      </c>
      <c r="E1285" s="256" t="inlineStr">
        <is>
          <t>Jokerz 31</t>
        </is>
      </c>
      <c r="F1285" s="256" t="inlineStr">
        <is>
          <t>06.06.2026</t>
        </is>
      </c>
      <c r="G1285" s="256" t="inlineStr">
        <is>
          <t>11.1</t>
        </is>
      </c>
      <c r="H1285" s="256" t="inlineStr">
        <is>
          <t>Lead (Pb)</t>
        </is>
      </c>
      <c r="I1285" s="256" t="inlineStr">
        <is>
          <t>Ph. Eur. 2.4.27 (ICP-MS)</t>
        </is>
      </c>
      <c r="J1285" s="256" t="inlineStr">
        <is>
          <t>≤ 0.5 mg/kg</t>
        </is>
      </c>
      <c r="K1285" s="259" t="inlineStr">
        <is>
          <t>not tested</t>
        </is>
      </c>
      <c r="L1285" s="256" t="inlineStr">
        <is>
          <t>—</t>
        </is>
      </c>
      <c r="M1285" s="256" t="inlineStr">
        <is>
          <t>—</t>
        </is>
      </c>
      <c r="N1285" s="256" t="inlineStr">
        <is>
          <t>—</t>
        </is>
      </c>
      <c r="O1285" s="256" t="inlineStr">
        <is>
          <t>—</t>
        </is>
      </c>
      <c r="P1285" s="256" t="inlineStr">
        <is>
          <t>not tested — no certificate covers it</t>
        </is>
      </c>
      <c r="Q1285" s="256" t="inlineStr"/>
      <c r="R1285" s="256" t="inlineStr"/>
    </row>
    <row r="1286">
      <c r="A1286" s="256" t="inlineStr">
        <is>
          <t>CoQ-PP_26-056</t>
        </is>
      </c>
      <c r="B1286" s="256" t="inlineStr">
        <is>
          <t>release</t>
        </is>
      </c>
      <c r="C1286" s="256" t="inlineStr">
        <is>
          <t>J31112501</t>
        </is>
      </c>
      <c r="D1286" s="256" t="inlineStr">
        <is>
          <t>— no P lot assigned —</t>
        </is>
      </c>
      <c r="E1286" s="256" t="inlineStr">
        <is>
          <t>Jokerz 31</t>
        </is>
      </c>
      <c r="F1286" s="256" t="inlineStr">
        <is>
          <t>06.06.2026</t>
        </is>
      </c>
      <c r="G1286" s="256" t="inlineStr">
        <is>
          <t>11.2</t>
        </is>
      </c>
      <c r="H1286" s="256" t="inlineStr">
        <is>
          <t>Cadmium (Cd)</t>
        </is>
      </c>
      <c r="I1286" s="256" t="inlineStr">
        <is>
          <t>Ph. Eur. 2.4.27 (ICP-MS)</t>
        </is>
      </c>
      <c r="J1286" s="256" t="inlineStr">
        <is>
          <t>≤ 0.3 mg/kg</t>
        </is>
      </c>
      <c r="K1286" s="259" t="inlineStr">
        <is>
          <t>not tested</t>
        </is>
      </c>
      <c r="L1286" s="256" t="inlineStr">
        <is>
          <t>—</t>
        </is>
      </c>
      <c r="M1286" s="256" t="inlineStr">
        <is>
          <t>—</t>
        </is>
      </c>
      <c r="N1286" s="256" t="inlineStr">
        <is>
          <t>—</t>
        </is>
      </c>
      <c r="O1286" s="256" t="inlineStr">
        <is>
          <t>—</t>
        </is>
      </c>
      <c r="P1286" s="256" t="inlineStr">
        <is>
          <t>not tested — no certificate covers it</t>
        </is>
      </c>
      <c r="Q1286" s="256" t="inlineStr"/>
      <c r="R1286" s="256" t="inlineStr"/>
    </row>
    <row r="1287">
      <c r="A1287" s="256" t="inlineStr">
        <is>
          <t>CoQ-PP_26-056</t>
        </is>
      </c>
      <c r="B1287" s="256" t="inlineStr">
        <is>
          <t>release</t>
        </is>
      </c>
      <c r="C1287" s="256" t="inlineStr">
        <is>
          <t>J31112501</t>
        </is>
      </c>
      <c r="D1287" s="256" t="inlineStr">
        <is>
          <t>— no P lot assigned —</t>
        </is>
      </c>
      <c r="E1287" s="256" t="inlineStr">
        <is>
          <t>Jokerz 31</t>
        </is>
      </c>
      <c r="F1287" s="256" t="inlineStr">
        <is>
          <t>06.06.2026</t>
        </is>
      </c>
      <c r="G1287" s="256" t="inlineStr">
        <is>
          <t>11.3</t>
        </is>
      </c>
      <c r="H1287" s="256" t="inlineStr">
        <is>
          <t>Arsenic (As)</t>
        </is>
      </c>
      <c r="I1287" s="256" t="inlineStr">
        <is>
          <t>Ph. Eur. 2.4.27 (ICP-MS)</t>
        </is>
      </c>
      <c r="J1287" s="256" t="inlineStr">
        <is>
          <t>≤ 0.2 mg/kg</t>
        </is>
      </c>
      <c r="K1287" s="259" t="inlineStr">
        <is>
          <t>not tested</t>
        </is>
      </c>
      <c r="L1287" s="256" t="inlineStr">
        <is>
          <t>—</t>
        </is>
      </c>
      <c r="M1287" s="256" t="inlineStr">
        <is>
          <t>—</t>
        </is>
      </c>
      <c r="N1287" s="256" t="inlineStr">
        <is>
          <t>—</t>
        </is>
      </c>
      <c r="O1287" s="256" t="inlineStr">
        <is>
          <t>—</t>
        </is>
      </c>
      <c r="P1287" s="256" t="inlineStr">
        <is>
          <t>not tested — no certificate covers it</t>
        </is>
      </c>
      <c r="Q1287" s="256" t="inlineStr"/>
      <c r="R1287" s="256" t="inlineStr"/>
    </row>
    <row r="1288">
      <c r="A1288" s="256" t="inlineStr">
        <is>
          <t>CoQ-PP_26-056</t>
        </is>
      </c>
      <c r="B1288" s="256" t="inlineStr">
        <is>
          <t>release</t>
        </is>
      </c>
      <c r="C1288" s="256" t="inlineStr">
        <is>
          <t>J31112501</t>
        </is>
      </c>
      <c r="D1288" s="256" t="inlineStr">
        <is>
          <t>— no P lot assigned —</t>
        </is>
      </c>
      <c r="E1288" s="256" t="inlineStr">
        <is>
          <t>Jokerz 31</t>
        </is>
      </c>
      <c r="F1288" s="256" t="inlineStr">
        <is>
          <t>06.06.2026</t>
        </is>
      </c>
      <c r="G1288" s="256" t="inlineStr">
        <is>
          <t>11.4</t>
        </is>
      </c>
      <c r="H1288" s="256" t="inlineStr">
        <is>
          <t>Mercury (Hg)</t>
        </is>
      </c>
      <c r="I1288" s="256" t="inlineStr">
        <is>
          <t>Ph. Eur. 2.4.27 (ICP-MS)</t>
        </is>
      </c>
      <c r="J1288" s="256" t="inlineStr">
        <is>
          <t>≤ 0.1 mg/kg</t>
        </is>
      </c>
      <c r="K1288" s="259" t="inlineStr">
        <is>
          <t>not tested</t>
        </is>
      </c>
      <c r="L1288" s="256" t="inlineStr">
        <is>
          <t>—</t>
        </is>
      </c>
      <c r="M1288" s="256" t="inlineStr">
        <is>
          <t>—</t>
        </is>
      </c>
      <c r="N1288" s="256" t="inlineStr">
        <is>
          <t>—</t>
        </is>
      </c>
      <c r="O1288" s="256" t="inlineStr">
        <is>
          <t>—</t>
        </is>
      </c>
      <c r="P1288" s="256" t="inlineStr">
        <is>
          <t>not tested — no certificate covers it</t>
        </is>
      </c>
      <c r="Q1288" s="256" t="inlineStr"/>
      <c r="R1288" s="256" t="inlineStr"/>
    </row>
    <row r="1289">
      <c r="A1289" s="256" t="inlineStr">
        <is>
          <t>CoQ-PP_26-056</t>
        </is>
      </c>
      <c r="B1289" s="256" t="inlineStr">
        <is>
          <t>release</t>
        </is>
      </c>
      <c r="C1289" s="256" t="inlineStr">
        <is>
          <t>J31112501</t>
        </is>
      </c>
      <c r="D1289" s="256" t="inlineStr">
        <is>
          <t>— no P lot assigned —</t>
        </is>
      </c>
      <c r="E1289" s="256" t="inlineStr">
        <is>
          <t>Jokerz 31</t>
        </is>
      </c>
      <c r="F1289" s="256" t="inlineStr">
        <is>
          <t>06.06.2026</t>
        </is>
      </c>
      <c r="G1289" s="256" t="inlineStr">
        <is>
          <t>12</t>
        </is>
      </c>
      <c r="H1289" s="256" t="inlineStr">
        <is>
          <t>Pesticide Residues</t>
        </is>
      </c>
      <c r="I1289" s="256" t="inlineStr">
        <is>
          <t>Ph. Eur. 2.8.13 (LC-MS/MS) · CUMCS Equivalency</t>
        </is>
      </c>
      <c r="J1289" s="256" t="inlineStr">
        <is>
          <t>≤ LOQ as per Ph. Eur. 2.8.13 · ≤ LOQ as per CUMCS Equivalency</t>
        </is>
      </c>
      <c r="K1289" s="259" t="inlineStr">
        <is>
          <t>not tested</t>
        </is>
      </c>
      <c r="L1289" s="256" t="inlineStr">
        <is>
          <t>—</t>
        </is>
      </c>
      <c r="M1289" s="256" t="inlineStr">
        <is>
          <t>—</t>
        </is>
      </c>
      <c r="N1289" s="256" t="inlineStr">
        <is>
          <t>—</t>
        </is>
      </c>
      <c r="O1289" s="256" t="inlineStr">
        <is>
          <t>—</t>
        </is>
      </c>
      <c r="P1289" s="256" t="inlineStr">
        <is>
          <t>not tested — no certificate covers it</t>
        </is>
      </c>
      <c r="Q1289" s="256" t="inlineStr"/>
      <c r="R1289" s="256" t="inlineStr"/>
    </row>
    <row r="1290">
      <c r="A1290" s="256" t="inlineStr">
        <is>
          <t>CoQ-PP_26-057</t>
        </is>
      </c>
      <c r="B1290" s="256" t="inlineStr">
        <is>
          <t>release</t>
        </is>
      </c>
      <c r="C1290" s="256" t="inlineStr">
        <is>
          <t>JD112501</t>
        </is>
      </c>
      <c r="D1290" s="256" t="inlineStr">
        <is>
          <t>P060212</t>
        </is>
      </c>
      <c r="E1290" s="256" t="inlineStr">
        <is>
          <t>Jelly Donuts</t>
        </is>
      </c>
      <c r="F1290" s="256" t="inlineStr">
        <is>
          <t>06.06.2026</t>
        </is>
      </c>
      <c r="G1290" s="256" t="inlineStr">
        <is>
          <t>1</t>
        </is>
      </c>
      <c r="H1290" s="256" t="inlineStr">
        <is>
          <t>Identification A, Appearance · Macroscopic</t>
        </is>
      </c>
      <c r="I1290" s="256" t="inlineStr">
        <is>
          <t>Ph. Eur. mon. 3028</t>
        </is>
      </c>
      <c r="J1290" s="256" t="inlineStr">
        <is>
          <t>Conforms to the monograph for Cannabis flos (07/2024:3028) in Ph. Eur. 11.0 | Согласно монографија за Cannabis flos (07/2024:3028) во Ph. Eur. 11.0</t>
        </is>
      </c>
      <c r="K1290" s="256" t="inlineStr">
        <is>
          <t>Conforms | Одговара</t>
        </is>
      </c>
      <c r="L1290" s="256" t="inlineStr">
        <is>
          <t>iCoA-PP_26-060</t>
        </is>
      </c>
      <c r="M1290" s="256" t="inlineStr">
        <is>
          <t>03.06.2026</t>
        </is>
      </c>
      <c r="N1290" s="256" t="inlineStr">
        <is>
          <t>Purely Plant GmbH (in-house)</t>
        </is>
      </c>
      <c r="O1290" s="256" t="inlineStr">
        <is>
          <t>—</t>
        </is>
      </c>
      <c r="P1290" s="256" t="inlineStr">
        <is>
          <t>to be performed — see route</t>
        </is>
      </c>
      <c r="Q1290" s="256" t="inlineStr">
        <is>
          <t>Purely Plant laboratory — iCoA covering Ident A + B</t>
        </is>
      </c>
      <c r="R1290" s="256" t="inlineStr"/>
    </row>
    <row r="1291">
      <c r="A1291" s="256" t="inlineStr">
        <is>
          <t>CoQ-PP_26-057</t>
        </is>
      </c>
      <c r="B1291" s="256" t="inlineStr">
        <is>
          <t>release</t>
        </is>
      </c>
      <c r="C1291" s="256" t="inlineStr">
        <is>
          <t>JD112501</t>
        </is>
      </c>
      <c r="D1291" s="256" t="inlineStr">
        <is>
          <t>P060212</t>
        </is>
      </c>
      <c r="E1291" s="256" t="inlineStr">
        <is>
          <t>Jelly Donuts</t>
        </is>
      </c>
      <c r="F1291" s="256" t="inlineStr">
        <is>
          <t>06.06.2026</t>
        </is>
      </c>
      <c r="G1291" s="256" t="inlineStr">
        <is>
          <t>2</t>
        </is>
      </c>
      <c r="H1291" s="256" t="inlineStr">
        <is>
          <t>Identification B · Microscopic</t>
        </is>
      </c>
      <c r="I1291" s="256" t="inlineStr">
        <is>
          <t>Ph. Eur. 2.8.23 (microscopy)</t>
        </is>
      </c>
      <c r="J1291" s="256" t="inlineStr">
        <is>
          <t>Conforms to the monograph for Cannabis flos (07/2024:3028) in Ph. Eur. 11.0 | Согласно монографија за Cannabis flos (07/2024:3028) во Ph. Eur. 11.0</t>
        </is>
      </c>
      <c r="K1291" s="256" t="inlineStr">
        <is>
          <t>Conforms | Одговара</t>
        </is>
      </c>
      <c r="L1291" s="256" t="inlineStr">
        <is>
          <t>iCoA-PP_26-060</t>
        </is>
      </c>
      <c r="M1291" s="256" t="inlineStr">
        <is>
          <t>03.06.2026</t>
        </is>
      </c>
      <c r="N1291" s="256" t="inlineStr">
        <is>
          <t>Purely Plant GmbH (in-house)</t>
        </is>
      </c>
      <c r="O1291" s="256" t="inlineStr">
        <is>
          <t>—</t>
        </is>
      </c>
      <c r="P1291" s="256" t="inlineStr">
        <is>
          <t>to be performed — see route</t>
        </is>
      </c>
      <c r="Q1291" s="256" t="inlineStr">
        <is>
          <t>Purely Plant laboratory — iCoA covering Ident A + B</t>
        </is>
      </c>
      <c r="R1291" s="256" t="inlineStr"/>
    </row>
    <row r="1292">
      <c r="A1292" s="256" t="inlineStr">
        <is>
          <t>CoQ-PP_26-057</t>
        </is>
      </c>
      <c r="B1292" s="256" t="inlineStr">
        <is>
          <t>release</t>
        </is>
      </c>
      <c r="C1292" s="256" t="inlineStr">
        <is>
          <t>JD112501</t>
        </is>
      </c>
      <c r="D1292" s="256" t="inlineStr">
        <is>
          <t>P060212</t>
        </is>
      </c>
      <c r="E1292" s="256" t="inlineStr">
        <is>
          <t>Jelly Donuts</t>
        </is>
      </c>
      <c r="F1292" s="256" t="inlineStr">
        <is>
          <t>06.06.2026</t>
        </is>
      </c>
      <c r="G1292" s="256" t="inlineStr">
        <is>
          <t>3</t>
        </is>
      </c>
      <c r="H1292" s="256" t="inlineStr">
        <is>
          <t>Identification C · HPLC/HPTLC</t>
        </is>
      </c>
      <c r="I1292" s="256" t="inlineStr">
        <is>
          <t>HPLC — DAB 2018 monograph Cannabis flos, 2.2.29 (CNP, before its Ph. Eur. 3028 accreditation)</t>
        </is>
      </c>
      <c r="J1292" s="256" t="inlineStr">
        <is>
          <t>Conforms to the monograph for Cannabis flos (07/2024:3028) in Ph. Eur. 11.0 | Согласно монографија за Cannabis flos (07/2024:3028) во Ph. Eur. 11.0</t>
        </is>
      </c>
      <c r="K1292" s="256" t="inlineStr">
        <is>
          <t>Conforms | Одговара</t>
        </is>
      </c>
      <c r="L1292" s="256" t="inlineStr">
        <is>
          <t>ППК26063</t>
        </is>
      </c>
      <c r="M1292" s="256" t="inlineStr">
        <is>
          <t>11.05.2026</t>
        </is>
      </c>
      <c r="N1292" s="256" t="inlineStr">
        <is>
          <t>UKIM Faculty of Pharmacy — Center for Natural Products</t>
        </is>
      </c>
      <c r="O1292" s="256" t="inlineStr">
        <is>
          <t>21.04.2026</t>
        </is>
      </c>
      <c r="P1292" s="256" t="inlineStr">
        <is>
          <t>covered</t>
        </is>
      </c>
      <c r="Q1292" s="256" t="inlineStr"/>
      <c r="R1292" s="256" t="inlineStr"/>
    </row>
    <row r="1293">
      <c r="A1293" s="256" t="inlineStr">
        <is>
          <t>CoQ-PP_26-057</t>
        </is>
      </c>
      <c r="B1293" s="256" t="inlineStr">
        <is>
          <t>release</t>
        </is>
      </c>
      <c r="C1293" s="256" t="inlineStr">
        <is>
          <t>JD112501</t>
        </is>
      </c>
      <c r="D1293" s="256" t="inlineStr">
        <is>
          <t>P060212</t>
        </is>
      </c>
      <c r="E1293" s="256" t="inlineStr">
        <is>
          <t>Jelly Donuts</t>
        </is>
      </c>
      <c r="F1293" s="256" t="inlineStr">
        <is>
          <t>06.06.2026</t>
        </is>
      </c>
      <c r="G1293" s="256" t="inlineStr">
        <is>
          <t>4</t>
        </is>
      </c>
      <c r="H1293" s="256" t="inlineStr">
        <is>
          <t>Assay — Total Δ⁹-THC</t>
        </is>
      </c>
      <c r="I1293" s="256" t="inlineStr">
        <is>
          <t>HPLC — DAB 2018 monograph Cannabis flos, 2.2.29 (CNP, before its Ph. Eur. 3028 accreditation)</t>
        </is>
      </c>
      <c r="J1293" s="256" t="inlineStr">
        <is>
          <t>16.20 – 19.79 %  (grade II, nominal 18.00 ± 1.80)</t>
        </is>
      </c>
      <c r="K1293" s="256" t="inlineStr">
        <is>
          <t>19.64</t>
        </is>
      </c>
      <c r="L1293" s="256" t="inlineStr">
        <is>
          <t>ППК26063</t>
        </is>
      </c>
      <c r="M1293" s="256" t="inlineStr">
        <is>
          <t>11.05.2026</t>
        </is>
      </c>
      <c r="N1293" s="256" t="inlineStr">
        <is>
          <t>UKIM Faculty of Pharmacy — Center for Natural Products</t>
        </is>
      </c>
      <c r="O1293" s="256" t="inlineStr">
        <is>
          <t>21.04.2026</t>
        </is>
      </c>
      <c r="P1293" s="256" t="inlineStr">
        <is>
          <t>covered</t>
        </is>
      </c>
      <c r="Q1293" s="256" t="inlineStr"/>
      <c r="R1293" s="256" t="inlineStr">
        <is>
          <t>20.32 (197-15-К/26)</t>
        </is>
      </c>
    </row>
    <row r="1294">
      <c r="A1294" s="256" t="inlineStr">
        <is>
          <t>CoQ-PP_26-057</t>
        </is>
      </c>
      <c r="B1294" s="256" t="inlineStr">
        <is>
          <t>release</t>
        </is>
      </c>
      <c r="C1294" s="256" t="inlineStr">
        <is>
          <t>JD112501</t>
        </is>
      </c>
      <c r="D1294" s="256" t="inlineStr">
        <is>
          <t>P060212</t>
        </is>
      </c>
      <c r="E1294" s="256" t="inlineStr">
        <is>
          <t>Jelly Donuts</t>
        </is>
      </c>
      <c r="F1294" s="256" t="inlineStr">
        <is>
          <t>06.06.2026</t>
        </is>
      </c>
      <c r="G1294" s="256" t="inlineStr">
        <is>
          <t>5</t>
        </is>
      </c>
      <c r="H1294" s="256" t="inlineStr">
        <is>
          <t>Assay — Total CBD</t>
        </is>
      </c>
      <c r="I1294" s="256" t="inlineStr">
        <is>
          <t>HPLC — DAB 2018 monograph Cannabis flos, 2.2.29 · CBD + CBDA x 0.877 (CNP, before its Ph. Eur. 3028 accreditation)</t>
        </is>
      </c>
      <c r="J1294" s="256" t="inlineStr">
        <is>
          <t>≤ 1.0%, w/w</t>
        </is>
      </c>
      <c r="K1294" s="256" t="inlineStr">
        <is>
          <t>0.06</t>
        </is>
      </c>
      <c r="L1294" s="256" t="inlineStr">
        <is>
          <t>ППК26063</t>
        </is>
      </c>
      <c r="M1294" s="256" t="inlineStr">
        <is>
          <t>11.05.2026</t>
        </is>
      </c>
      <c r="N1294" s="256" t="inlineStr">
        <is>
          <t>UKIM Faculty of Pharmacy — Center for Natural Products</t>
        </is>
      </c>
      <c r="O1294" s="256" t="inlineStr">
        <is>
          <t>21.04.2026</t>
        </is>
      </c>
      <c r="P1294" s="256" t="inlineStr">
        <is>
          <t>covered</t>
        </is>
      </c>
      <c r="Q1294" s="256" t="inlineStr"/>
      <c r="R1294" s="256" t="inlineStr">
        <is>
          <t>&lt;LOQ (197-15-К/26)</t>
        </is>
      </c>
    </row>
    <row r="1295">
      <c r="A1295" s="256" t="inlineStr">
        <is>
          <t>CoQ-PP_26-057</t>
        </is>
      </c>
      <c r="B1295" s="256" t="inlineStr">
        <is>
          <t>release</t>
        </is>
      </c>
      <c r="C1295" s="256" t="inlineStr">
        <is>
          <t>JD112501</t>
        </is>
      </c>
      <c r="D1295" s="256" t="inlineStr">
        <is>
          <t>P060212</t>
        </is>
      </c>
      <c r="E1295" s="256" t="inlineStr">
        <is>
          <t>Jelly Donuts</t>
        </is>
      </c>
      <c r="F1295" s="256" t="inlineStr">
        <is>
          <t>06.06.2026</t>
        </is>
      </c>
      <c r="G1295" s="256" t="inlineStr">
        <is>
          <t>6</t>
        </is>
      </c>
      <c r="H1295" s="256" t="inlineStr">
        <is>
          <t>Total CBN</t>
        </is>
      </c>
      <c r="I1295" s="256" t="inlineStr">
        <is>
          <t>HPLC — DAB 2018 monograph Cannabis flos, 2.2.29 · CBN + CBNA x 0.876 (CNP, before its Ph. Eur. 3028 accreditation)</t>
        </is>
      </c>
      <c r="J1295" s="256" t="inlineStr">
        <is>
          <t>≤ 1.0%, w/w</t>
        </is>
      </c>
      <c r="K1295" s="256" t="inlineStr">
        <is>
          <t>&lt; LOQ %</t>
        </is>
      </c>
      <c r="L1295" s="256" t="inlineStr">
        <is>
          <t>ППК26063</t>
        </is>
      </c>
      <c r="M1295" s="256" t="inlineStr">
        <is>
          <t>11.05.2026</t>
        </is>
      </c>
      <c r="N1295" s="256" t="inlineStr">
        <is>
          <t>CNP</t>
        </is>
      </c>
      <c r="O1295" s="256" t="inlineStr">
        <is>
          <t>21.04.2026</t>
        </is>
      </c>
      <c r="P1295" s="256" t="inlineStr">
        <is>
          <t>covered</t>
        </is>
      </c>
      <c r="Q1295" s="256" t="inlineStr"/>
      <c r="R1295" s="256" t="inlineStr"/>
    </row>
    <row r="1296">
      <c r="A1296" s="256" t="inlineStr">
        <is>
          <t>CoQ-PP_26-057</t>
        </is>
      </c>
      <c r="B1296" s="256" t="inlineStr">
        <is>
          <t>release</t>
        </is>
      </c>
      <c r="C1296" s="256" t="inlineStr">
        <is>
          <t>JD112501</t>
        </is>
      </c>
      <c r="D1296" s="256" t="inlineStr">
        <is>
          <t>P060212</t>
        </is>
      </c>
      <c r="E1296" s="256" t="inlineStr">
        <is>
          <t>Jelly Donuts</t>
        </is>
      </c>
      <c r="F1296" s="256" t="inlineStr">
        <is>
          <t>06.06.2026</t>
        </is>
      </c>
      <c r="G1296" s="256" t="inlineStr">
        <is>
          <t>7</t>
        </is>
      </c>
      <c r="H1296" s="256" t="inlineStr">
        <is>
          <t>Foreign Matter</t>
        </is>
      </c>
      <c r="I1296" s="256" t="inlineStr">
        <is>
          <t>Ph. Eur. 2.8.2 · In-house · интерна</t>
        </is>
      </c>
      <c r="J1296" s="256" t="inlineStr">
        <is>
          <t>≤ 2.0% / 25–50 g · &lt; 1 cm leaves | листови, no seeds | без семки</t>
        </is>
      </c>
      <c r="K1296" s="256" t="inlineStr">
        <is>
          <t>Conforms | Одговара</t>
        </is>
      </c>
      <c r="L1296" s="256" t="inlineStr">
        <is>
          <t>iCoA-PP_26-060</t>
        </is>
      </c>
      <c r="M1296" s="256" t="inlineStr">
        <is>
          <t>03.06.2026</t>
        </is>
      </c>
      <c r="N1296" s="256" t="inlineStr">
        <is>
          <t>Purely Plant GmbH (in-house)</t>
        </is>
      </c>
      <c r="O1296" s="256" t="inlineStr">
        <is>
          <t>—</t>
        </is>
      </c>
      <c r="P1296" s="256" t="inlineStr">
        <is>
          <t>to be performed — see route</t>
        </is>
      </c>
      <c r="Q1296" s="256" t="inlineStr">
        <is>
          <t>Purely Plant laboratory — iCoA covering Foreign matter</t>
        </is>
      </c>
      <c r="R1296" s="256" t="inlineStr"/>
    </row>
    <row r="1297">
      <c r="A1297" s="256" t="inlineStr">
        <is>
          <t>CoQ-PP_26-057</t>
        </is>
      </c>
      <c r="B1297" s="256" t="inlineStr">
        <is>
          <t>release</t>
        </is>
      </c>
      <c r="C1297" s="256" t="inlineStr">
        <is>
          <t>JD112501</t>
        </is>
      </c>
      <c r="D1297" s="256" t="inlineStr">
        <is>
          <t>P060212</t>
        </is>
      </c>
      <c r="E1297" s="256" t="inlineStr">
        <is>
          <t>Jelly Donuts</t>
        </is>
      </c>
      <c r="F1297" s="256" t="inlineStr">
        <is>
          <t>06.06.2026</t>
        </is>
      </c>
      <c r="G1297" s="256" t="inlineStr">
        <is>
          <t>8</t>
        </is>
      </c>
      <c r="H1297" s="256" t="inlineStr">
        <is>
          <t>Loss on Drying</t>
        </is>
      </c>
      <c r="I1297" s="256" t="inlineStr">
        <is>
          <t>DAB 2018 monograph Cannabis flos, 2.2.32 — loss on drying (CNP, before its Ph. Eur. 3028 accreditation)</t>
        </is>
      </c>
      <c r="J1297" s="256" t="inlineStr">
        <is>
          <t>≤ 12.0%</t>
        </is>
      </c>
      <c r="K1297" s="256" t="inlineStr">
        <is>
          <t>6.69</t>
        </is>
      </c>
      <c r="L1297" s="256" t="inlineStr">
        <is>
          <t>ППК26063</t>
        </is>
      </c>
      <c r="M1297" s="256" t="inlineStr">
        <is>
          <t>11.05.2026</t>
        </is>
      </c>
      <c r="N1297" s="256" t="inlineStr">
        <is>
          <t>UKIM Faculty of Pharmacy — Center for Natural Products</t>
        </is>
      </c>
      <c r="O1297" s="256" t="inlineStr">
        <is>
          <t>21.04.2026</t>
        </is>
      </c>
      <c r="P1297" s="256" t="inlineStr">
        <is>
          <t>covered</t>
        </is>
      </c>
      <c r="Q1297" s="256" t="inlineStr"/>
      <c r="R1297" s="256" t="inlineStr"/>
    </row>
    <row r="1298">
      <c r="A1298" s="256" t="inlineStr">
        <is>
          <t>CoQ-PP_26-057</t>
        </is>
      </c>
      <c r="B1298" s="256" t="inlineStr">
        <is>
          <t>release</t>
        </is>
      </c>
      <c r="C1298" s="256" t="inlineStr">
        <is>
          <t>JD112501</t>
        </is>
      </c>
      <c r="D1298" s="256" t="inlineStr">
        <is>
          <t>P060212</t>
        </is>
      </c>
      <c r="E1298" s="256" t="inlineStr">
        <is>
          <t>Jelly Donuts</t>
        </is>
      </c>
      <c r="F1298" s="256" t="inlineStr">
        <is>
          <t>06.06.2026</t>
        </is>
      </c>
      <c r="G1298" s="256" t="inlineStr">
        <is>
          <t>9.1</t>
        </is>
      </c>
      <c r="H1298" s="256" t="inlineStr">
        <is>
          <t>TAMC</t>
        </is>
      </c>
      <c r="I1298" s="256" t="inlineStr">
        <is>
          <t>Ph. Eur. 2.6.12 cat. C</t>
        </is>
      </c>
      <c r="J1298" s="256" t="inlineStr">
        <is>
          <t>≤ 10⁵ CFU/g</t>
        </is>
      </c>
      <c r="K1298" s="256" t="inlineStr">
        <is>
          <t>2,6 × 10³</t>
        </is>
      </c>
      <c r="L1298" s="256" t="inlineStr">
        <is>
          <t>307/0551/26</t>
        </is>
      </c>
      <c r="M1298" s="256" t="inlineStr">
        <is>
          <t>28.04.2026</t>
        </is>
      </c>
      <c r="N1298" s="256" t="inlineStr">
        <is>
          <t>IPH — Institute of Public Health</t>
        </is>
      </c>
      <c r="O1298" s="256" t="inlineStr">
        <is>
          <t>22.04.2026</t>
        </is>
      </c>
      <c r="P1298" s="256" t="inlineStr">
        <is>
          <t>covered</t>
        </is>
      </c>
      <c r="Q1298" s="256" t="inlineStr"/>
      <c r="R1298" s="256" t="inlineStr"/>
    </row>
    <row r="1299">
      <c r="A1299" s="256" t="inlineStr">
        <is>
          <t>CoQ-PP_26-057</t>
        </is>
      </c>
      <c r="B1299" s="256" t="inlineStr">
        <is>
          <t>release</t>
        </is>
      </c>
      <c r="C1299" s="256" t="inlineStr">
        <is>
          <t>JD112501</t>
        </is>
      </c>
      <c r="D1299" s="256" t="inlineStr">
        <is>
          <t>P060212</t>
        </is>
      </c>
      <c r="E1299" s="256" t="inlineStr">
        <is>
          <t>Jelly Donuts</t>
        </is>
      </c>
      <c r="F1299" s="256" t="inlineStr">
        <is>
          <t>06.06.2026</t>
        </is>
      </c>
      <c r="G1299" s="256" t="inlineStr">
        <is>
          <t>9.2</t>
        </is>
      </c>
      <c r="H1299" s="256" t="inlineStr">
        <is>
          <t>TYMC</t>
        </is>
      </c>
      <c r="I1299" s="256" t="inlineStr">
        <is>
          <t>Ph. Eur. 2.6.12 cat. C</t>
        </is>
      </c>
      <c r="J1299" s="256" t="inlineStr">
        <is>
          <t>≤ 10⁴ CFU/g</t>
        </is>
      </c>
      <c r="K1299" s="256" t="inlineStr">
        <is>
          <t>3,3 × 10³</t>
        </is>
      </c>
      <c r="L1299" s="256" t="inlineStr">
        <is>
          <t>307/0551/26</t>
        </is>
      </c>
      <c r="M1299" s="256" t="inlineStr">
        <is>
          <t>28.04.2026</t>
        </is>
      </c>
      <c r="N1299" s="256" t="inlineStr">
        <is>
          <t>IPH — Institute of Public Health</t>
        </is>
      </c>
      <c r="O1299" s="256" t="inlineStr">
        <is>
          <t>22.04.2026</t>
        </is>
      </c>
      <c r="P1299" s="256" t="inlineStr">
        <is>
          <t>covered</t>
        </is>
      </c>
      <c r="Q1299" s="256" t="inlineStr"/>
      <c r="R1299" s="256" t="inlineStr"/>
    </row>
    <row r="1300">
      <c r="A1300" s="256" t="inlineStr">
        <is>
          <t>CoQ-PP_26-057</t>
        </is>
      </c>
      <c r="B1300" s="256" t="inlineStr">
        <is>
          <t>release</t>
        </is>
      </c>
      <c r="C1300" s="256" t="inlineStr">
        <is>
          <t>JD112501</t>
        </is>
      </c>
      <c r="D1300" s="256" t="inlineStr">
        <is>
          <t>P060212</t>
        </is>
      </c>
      <c r="E1300" s="256" t="inlineStr">
        <is>
          <t>Jelly Donuts</t>
        </is>
      </c>
      <c r="F1300" s="256" t="inlineStr">
        <is>
          <t>06.06.2026</t>
        </is>
      </c>
      <c r="G1300" s="256" t="inlineStr">
        <is>
          <t>9.3</t>
        </is>
      </c>
      <c r="H1300" s="256" t="inlineStr">
        <is>
          <t>Bile-tolerant gram-neg.</t>
        </is>
      </c>
      <c r="I1300" s="256" t="inlineStr">
        <is>
          <t>Ph. Eur. 2.6.31 cat. C</t>
        </is>
      </c>
      <c r="J1300" s="256" t="inlineStr">
        <is>
          <t>≤ 10⁴ CFU/g</t>
        </is>
      </c>
      <c r="K1300" s="256" t="inlineStr">
        <is>
          <t>&lt; 10³ and &gt; 10²</t>
        </is>
      </c>
      <c r="L1300" s="256" t="inlineStr">
        <is>
          <t>307/0551/26</t>
        </is>
      </c>
      <c r="M1300" s="256" t="inlineStr">
        <is>
          <t>28.04.2026</t>
        </is>
      </c>
      <c r="N1300" s="256" t="inlineStr">
        <is>
          <t>IPH — Institute of Public Health</t>
        </is>
      </c>
      <c r="O1300" s="256" t="inlineStr">
        <is>
          <t>22.04.2026</t>
        </is>
      </c>
      <c r="P1300" s="256" t="inlineStr">
        <is>
          <t>covered</t>
        </is>
      </c>
      <c r="Q1300" s="256" t="inlineStr"/>
      <c r="R1300" s="256" t="inlineStr"/>
    </row>
    <row r="1301">
      <c r="A1301" s="256" t="inlineStr">
        <is>
          <t>CoQ-PP_26-057</t>
        </is>
      </c>
      <c r="B1301" s="256" t="inlineStr">
        <is>
          <t>release</t>
        </is>
      </c>
      <c r="C1301" s="256" t="inlineStr">
        <is>
          <t>JD112501</t>
        </is>
      </c>
      <c r="D1301" s="256" t="inlineStr">
        <is>
          <t>P060212</t>
        </is>
      </c>
      <c r="E1301" s="256" t="inlineStr">
        <is>
          <t>Jelly Donuts</t>
        </is>
      </c>
      <c r="F1301" s="256" t="inlineStr">
        <is>
          <t>06.06.2026</t>
        </is>
      </c>
      <c r="G1301" s="256" t="inlineStr">
        <is>
          <t>9.4</t>
        </is>
      </c>
      <c r="H1301" s="256" t="inlineStr">
        <is>
          <t>Salmonella</t>
        </is>
      </c>
      <c r="I1301" s="256" t="inlineStr">
        <is>
          <t>Ph. Eur. 2.6.31 cat. C</t>
        </is>
      </c>
      <c r="J1301" s="256" t="inlineStr">
        <is>
          <t>Absence | Отсуство / 25 g</t>
        </is>
      </c>
      <c r="K1301" s="256" t="inlineStr">
        <is>
          <t>Absent | Отсутна</t>
        </is>
      </c>
      <c r="L1301" s="256" t="inlineStr">
        <is>
          <t>307/0551/26</t>
        </is>
      </c>
      <c r="M1301" s="256" t="inlineStr">
        <is>
          <t>28.04.2026</t>
        </is>
      </c>
      <c r="N1301" s="256" t="inlineStr">
        <is>
          <t>IPH — Institute of Public Health</t>
        </is>
      </c>
      <c r="O1301" s="256" t="inlineStr">
        <is>
          <t>22.04.2026</t>
        </is>
      </c>
      <c r="P1301" s="256" t="inlineStr">
        <is>
          <t>covered</t>
        </is>
      </c>
      <c r="Q1301" s="256" t="inlineStr"/>
      <c r="R1301" s="256" t="inlineStr"/>
    </row>
    <row r="1302">
      <c r="A1302" s="256" t="inlineStr">
        <is>
          <t>CoQ-PP_26-057</t>
        </is>
      </c>
      <c r="B1302" s="256" t="inlineStr">
        <is>
          <t>release</t>
        </is>
      </c>
      <c r="C1302" s="256" t="inlineStr">
        <is>
          <t>JD112501</t>
        </is>
      </c>
      <c r="D1302" s="256" t="inlineStr">
        <is>
          <t>P060212</t>
        </is>
      </c>
      <c r="E1302" s="256" t="inlineStr">
        <is>
          <t>Jelly Donuts</t>
        </is>
      </c>
      <c r="F1302" s="256" t="inlineStr">
        <is>
          <t>06.06.2026</t>
        </is>
      </c>
      <c r="G1302" s="256" t="inlineStr">
        <is>
          <t>9.5</t>
        </is>
      </c>
      <c r="H1302" s="256" t="inlineStr">
        <is>
          <t>Escherichia coli</t>
        </is>
      </c>
      <c r="I1302" s="256" t="inlineStr">
        <is>
          <t>Ph. Eur. 2.6.13 cat. C</t>
        </is>
      </c>
      <c r="J1302" s="256" t="inlineStr">
        <is>
          <t>Absence | Отсуство / 1 g</t>
        </is>
      </c>
      <c r="K1302" s="256" t="inlineStr">
        <is>
          <t>Absent | Отсутна</t>
        </is>
      </c>
      <c r="L1302" s="256" t="inlineStr">
        <is>
          <t>307/0551/26</t>
        </is>
      </c>
      <c r="M1302" s="256" t="inlineStr">
        <is>
          <t>28.04.2026</t>
        </is>
      </c>
      <c r="N1302" s="256" t="inlineStr">
        <is>
          <t>IPH — Institute of Public Health</t>
        </is>
      </c>
      <c r="O1302" s="256" t="inlineStr">
        <is>
          <t>22.04.2026</t>
        </is>
      </c>
      <c r="P1302" s="256" t="inlineStr">
        <is>
          <t>covered</t>
        </is>
      </c>
      <c r="Q1302" s="256" t="inlineStr"/>
      <c r="R1302" s="256" t="inlineStr"/>
    </row>
    <row r="1303">
      <c r="A1303" s="256" t="inlineStr">
        <is>
          <t>CoQ-PP_26-057</t>
        </is>
      </c>
      <c r="B1303" s="256" t="inlineStr">
        <is>
          <t>release</t>
        </is>
      </c>
      <c r="C1303" s="256" t="inlineStr">
        <is>
          <t>JD112501</t>
        </is>
      </c>
      <c r="D1303" s="256" t="inlineStr">
        <is>
          <t>P060212</t>
        </is>
      </c>
      <c r="E1303" s="256" t="inlineStr">
        <is>
          <t>Jelly Donuts</t>
        </is>
      </c>
      <c r="F1303" s="256" t="inlineStr">
        <is>
          <t>06.06.2026</t>
        </is>
      </c>
      <c r="G1303" s="256" t="inlineStr">
        <is>
          <t>9.6</t>
        </is>
      </c>
      <c r="H1303" s="256" t="inlineStr">
        <is>
          <t>Pseudomonas aeruginosa</t>
        </is>
      </c>
      <c r="I1303" s="256" t="inlineStr">
        <is>
          <t>Ph. Eur. 2.6.13 cat. C</t>
        </is>
      </c>
      <c r="J1303" s="256" t="inlineStr">
        <is>
          <t>Absence | Отсуство / 1 g</t>
        </is>
      </c>
      <c r="K1303" s="260" t="inlineStr">
        <is>
          <t>upon request — not required for release</t>
        </is>
      </c>
      <c r="L1303" s="256" t="inlineStr">
        <is>
          <t>—</t>
        </is>
      </c>
      <c r="M1303" s="256" t="inlineStr">
        <is>
          <t>—</t>
        </is>
      </c>
      <c r="N1303" s="256" t="inlineStr">
        <is>
          <t>—</t>
        </is>
      </c>
      <c r="O1303" s="256" t="inlineStr">
        <is>
          <t>—</t>
        </is>
      </c>
      <c r="P1303" s="256" t="inlineStr">
        <is>
          <t>upon request — not required for release</t>
        </is>
      </c>
      <c r="Q1303" s="256" t="inlineStr"/>
      <c r="R1303" s="256" t="inlineStr"/>
    </row>
    <row r="1304">
      <c r="A1304" s="256" t="inlineStr">
        <is>
          <t>CoQ-PP_26-057</t>
        </is>
      </c>
      <c r="B1304" s="256" t="inlineStr">
        <is>
          <t>release</t>
        </is>
      </c>
      <c r="C1304" s="256" t="inlineStr">
        <is>
          <t>JD112501</t>
        </is>
      </c>
      <c r="D1304" s="256" t="inlineStr">
        <is>
          <t>P060212</t>
        </is>
      </c>
      <c r="E1304" s="256" t="inlineStr">
        <is>
          <t>Jelly Donuts</t>
        </is>
      </c>
      <c r="F1304" s="256" t="inlineStr">
        <is>
          <t>06.06.2026</t>
        </is>
      </c>
      <c r="G1304" s="256" t="inlineStr">
        <is>
          <t>9.7</t>
        </is>
      </c>
      <c r="H1304" s="256" t="inlineStr">
        <is>
          <t>Staphylococcus aureus</t>
        </is>
      </c>
      <c r="I1304" s="256" t="inlineStr">
        <is>
          <t>Ph. Eur. 2.6.13 cat. C</t>
        </is>
      </c>
      <c r="J1304" s="256" t="inlineStr">
        <is>
          <t>Absence | Отсуство / 1 g</t>
        </is>
      </c>
      <c r="K1304" s="260" t="inlineStr">
        <is>
          <t>upon request — not required for release</t>
        </is>
      </c>
      <c r="L1304" s="256" t="inlineStr">
        <is>
          <t>—</t>
        </is>
      </c>
      <c r="M1304" s="256" t="inlineStr">
        <is>
          <t>—</t>
        </is>
      </c>
      <c r="N1304" s="256" t="inlineStr">
        <is>
          <t>—</t>
        </is>
      </c>
      <c r="O1304" s="256" t="inlineStr">
        <is>
          <t>—</t>
        </is>
      </c>
      <c r="P1304" s="256" t="inlineStr">
        <is>
          <t>upon request — not required for release</t>
        </is>
      </c>
      <c r="Q1304" s="256" t="inlineStr"/>
      <c r="R1304" s="256" t="inlineStr"/>
    </row>
    <row r="1305">
      <c r="A1305" s="256" t="inlineStr">
        <is>
          <t>CoQ-PP_26-057</t>
        </is>
      </c>
      <c r="B1305" s="256" t="inlineStr">
        <is>
          <t>release</t>
        </is>
      </c>
      <c r="C1305" s="256" t="inlineStr">
        <is>
          <t>JD112501</t>
        </is>
      </c>
      <c r="D1305" s="256" t="inlineStr">
        <is>
          <t>P060212</t>
        </is>
      </c>
      <c r="E1305" s="256" t="inlineStr">
        <is>
          <t>Jelly Donuts</t>
        </is>
      </c>
      <c r="F1305" s="256" t="inlineStr">
        <is>
          <t>06.06.2026</t>
        </is>
      </c>
      <c r="G1305" s="256" t="inlineStr">
        <is>
          <t>10.1</t>
        </is>
      </c>
      <c r="H1305" s="256" t="inlineStr">
        <is>
          <t>Aflatoxin B₁</t>
        </is>
      </c>
      <c r="I1305" s="256" t="inlineStr">
        <is>
          <t>Ph. Eur. 2.8.18 (HPLC-FLD)</t>
        </is>
      </c>
      <c r="J1305" s="256" t="inlineStr">
        <is>
          <t>≤ 2 µg/kg</t>
        </is>
      </c>
      <c r="K1305" s="259" t="inlineStr">
        <is>
          <t>not tested</t>
        </is>
      </c>
      <c r="L1305" s="256" t="inlineStr">
        <is>
          <t>—</t>
        </is>
      </c>
      <c r="M1305" s="256" t="inlineStr">
        <is>
          <t>—</t>
        </is>
      </c>
      <c r="N1305" s="256" t="inlineStr">
        <is>
          <t>—</t>
        </is>
      </c>
      <c r="O1305" s="256" t="inlineStr">
        <is>
          <t>—</t>
        </is>
      </c>
      <c r="P1305" s="256" t="inlineStr">
        <is>
          <t>not tested — no certificate covers it</t>
        </is>
      </c>
      <c r="Q1305" s="256" t="inlineStr"/>
      <c r="R1305" s="256" t="inlineStr">
        <is>
          <t>ND (197-15-М/26)</t>
        </is>
      </c>
    </row>
    <row r="1306">
      <c r="A1306" s="256" t="inlineStr">
        <is>
          <t>CoQ-PP_26-057</t>
        </is>
      </c>
      <c r="B1306" s="256" t="inlineStr">
        <is>
          <t>release</t>
        </is>
      </c>
      <c r="C1306" s="256" t="inlineStr">
        <is>
          <t>JD112501</t>
        </is>
      </c>
      <c r="D1306" s="256" t="inlineStr">
        <is>
          <t>P060212</t>
        </is>
      </c>
      <c r="E1306" s="256" t="inlineStr">
        <is>
          <t>Jelly Donuts</t>
        </is>
      </c>
      <c r="F1306" s="256" t="inlineStr">
        <is>
          <t>06.06.2026</t>
        </is>
      </c>
      <c r="G1306" s="256" t="inlineStr">
        <is>
          <t>10.2</t>
        </is>
      </c>
      <c r="H1306" s="256" t="inlineStr">
        <is>
          <t>Aflatoxins ∑</t>
        </is>
      </c>
      <c r="I1306" s="256" t="inlineStr">
        <is>
          <t>Ph. Eur. 2.8.18 (HPLC-FLD)</t>
        </is>
      </c>
      <c r="J1306" s="256" t="inlineStr">
        <is>
          <t>≤ 4 µg/kg</t>
        </is>
      </c>
      <c r="K1306" s="256" t="inlineStr">
        <is>
          <t>&lt; 2</t>
        </is>
      </c>
      <c r="L1306" s="256" t="inlineStr">
        <is>
          <t>2361/2026</t>
        </is>
      </c>
      <c r="M1306" s="256" t="inlineStr">
        <is>
          <t>30.04.2026</t>
        </is>
      </c>
      <c r="N1306" s="256" t="inlineStr">
        <is>
          <t>IPH — Institute of Public Health</t>
        </is>
      </c>
      <c r="O1306" s="256" t="inlineStr">
        <is>
          <t>21.04.2026</t>
        </is>
      </c>
      <c r="P1306" s="256" t="inlineStr">
        <is>
          <t>covered</t>
        </is>
      </c>
      <c r="Q1306" s="256" t="inlineStr"/>
      <c r="R1306" s="256" t="inlineStr">
        <is>
          <t>ND (197-15-М/26)</t>
        </is>
      </c>
    </row>
    <row r="1307">
      <c r="A1307" s="256" t="inlineStr">
        <is>
          <t>CoQ-PP_26-057</t>
        </is>
      </c>
      <c r="B1307" s="256" t="inlineStr">
        <is>
          <t>release</t>
        </is>
      </c>
      <c r="C1307" s="256" t="inlineStr">
        <is>
          <t>JD112501</t>
        </is>
      </c>
      <c r="D1307" s="256" t="inlineStr">
        <is>
          <t>P060212</t>
        </is>
      </c>
      <c r="E1307" s="256" t="inlineStr">
        <is>
          <t>Jelly Donuts</t>
        </is>
      </c>
      <c r="F1307" s="256" t="inlineStr">
        <is>
          <t>06.06.2026</t>
        </is>
      </c>
      <c r="G1307" s="256" t="inlineStr">
        <is>
          <t>10.3</t>
        </is>
      </c>
      <c r="H1307" s="256" t="inlineStr">
        <is>
          <t>Ochratoxin A</t>
        </is>
      </c>
      <c r="I1307" s="256" t="inlineStr">
        <is>
          <t>Ph. Eur. 2.8.22 (HPLC-FLD)</t>
        </is>
      </c>
      <c r="J1307" s="256" t="inlineStr">
        <is>
          <t>≤ 20 µg/kg</t>
        </is>
      </c>
      <c r="K1307" s="259" t="inlineStr">
        <is>
          <t>not tested</t>
        </is>
      </c>
      <c r="L1307" s="256" t="inlineStr">
        <is>
          <t>—</t>
        </is>
      </c>
      <c r="M1307" s="256" t="inlineStr">
        <is>
          <t>—</t>
        </is>
      </c>
      <c r="N1307" s="256" t="inlineStr">
        <is>
          <t>—</t>
        </is>
      </c>
      <c r="O1307" s="256" t="inlineStr">
        <is>
          <t>—</t>
        </is>
      </c>
      <c r="P1307" s="256" t="inlineStr">
        <is>
          <t>not tested — no certificate covers it</t>
        </is>
      </c>
      <c r="Q1307" s="256" t="inlineStr"/>
      <c r="R1307" s="256" t="inlineStr">
        <is>
          <t>ND (197-15-М/26)</t>
        </is>
      </c>
    </row>
    <row r="1308">
      <c r="A1308" s="256" t="inlineStr">
        <is>
          <t>CoQ-PP_26-057</t>
        </is>
      </c>
      <c r="B1308" s="256" t="inlineStr">
        <is>
          <t>release</t>
        </is>
      </c>
      <c r="C1308" s="256" t="inlineStr">
        <is>
          <t>JD112501</t>
        </is>
      </c>
      <c r="D1308" s="256" t="inlineStr">
        <is>
          <t>P060212</t>
        </is>
      </c>
      <c r="E1308" s="256" t="inlineStr">
        <is>
          <t>Jelly Donuts</t>
        </is>
      </c>
      <c r="F1308" s="256" t="inlineStr">
        <is>
          <t>06.06.2026</t>
        </is>
      </c>
      <c r="G1308" s="256" t="inlineStr">
        <is>
          <t>11.1</t>
        </is>
      </c>
      <c r="H1308" s="256" t="inlineStr">
        <is>
          <t>Lead (Pb)</t>
        </is>
      </c>
      <c r="I1308" s="256" t="inlineStr">
        <is>
          <t>Ph. Eur. 2.4.27 (ICP-MS)</t>
        </is>
      </c>
      <c r="J1308" s="256" t="inlineStr">
        <is>
          <t>≤ 0.5 mg/kg</t>
        </is>
      </c>
      <c r="K1308" s="256" t="inlineStr">
        <is>
          <t>0.022</t>
        </is>
      </c>
      <c r="L1308" s="256" t="inlineStr">
        <is>
          <t>2361/2026</t>
        </is>
      </c>
      <c r="M1308" s="256" t="inlineStr">
        <is>
          <t>30.04.2026</t>
        </is>
      </c>
      <c r="N1308" s="256" t="inlineStr">
        <is>
          <t>IPH — Institute of Public Health</t>
        </is>
      </c>
      <c r="O1308" s="256" t="inlineStr">
        <is>
          <t>21.04.2026</t>
        </is>
      </c>
      <c r="P1308" s="256" t="inlineStr">
        <is>
          <t>covered</t>
        </is>
      </c>
      <c r="Q1308" s="256" t="inlineStr"/>
      <c r="R1308" s="256" t="inlineStr"/>
    </row>
    <row r="1309">
      <c r="A1309" s="256" t="inlineStr">
        <is>
          <t>CoQ-PP_26-057</t>
        </is>
      </c>
      <c r="B1309" s="256" t="inlineStr">
        <is>
          <t>release</t>
        </is>
      </c>
      <c r="C1309" s="256" t="inlineStr">
        <is>
          <t>JD112501</t>
        </is>
      </c>
      <c r="D1309" s="256" t="inlineStr">
        <is>
          <t>P060212</t>
        </is>
      </c>
      <c r="E1309" s="256" t="inlineStr">
        <is>
          <t>Jelly Donuts</t>
        </is>
      </c>
      <c r="F1309" s="256" t="inlineStr">
        <is>
          <t>06.06.2026</t>
        </is>
      </c>
      <c r="G1309" s="256" t="inlineStr">
        <is>
          <t>11.2</t>
        </is>
      </c>
      <c r="H1309" s="256" t="inlineStr">
        <is>
          <t>Cadmium (Cd)</t>
        </is>
      </c>
      <c r="I1309" s="256" t="inlineStr">
        <is>
          <t>Ph. Eur. 2.4.27 (ICP-MS)</t>
        </is>
      </c>
      <c r="J1309" s="256" t="inlineStr">
        <is>
          <t>≤ 0.3 mg/kg</t>
        </is>
      </c>
      <c r="K1309" s="256" t="inlineStr">
        <is>
          <t>0.0149</t>
        </is>
      </c>
      <c r="L1309" s="256" t="inlineStr">
        <is>
          <t>2361/2026</t>
        </is>
      </c>
      <c r="M1309" s="256" t="inlineStr">
        <is>
          <t>30.04.2026</t>
        </is>
      </c>
      <c r="N1309" s="256" t="inlineStr">
        <is>
          <t>IPH — Institute of Public Health</t>
        </is>
      </c>
      <c r="O1309" s="256" t="inlineStr">
        <is>
          <t>21.04.2026</t>
        </is>
      </c>
      <c r="P1309" s="256" t="inlineStr">
        <is>
          <t>covered</t>
        </is>
      </c>
      <c r="Q1309" s="256" t="inlineStr"/>
      <c r="R1309" s="256" t="inlineStr"/>
    </row>
    <row r="1310">
      <c r="A1310" s="256" t="inlineStr">
        <is>
          <t>CoQ-PP_26-057</t>
        </is>
      </c>
      <c r="B1310" s="256" t="inlineStr">
        <is>
          <t>release</t>
        </is>
      </c>
      <c r="C1310" s="256" t="inlineStr">
        <is>
          <t>JD112501</t>
        </is>
      </c>
      <c r="D1310" s="256" t="inlineStr">
        <is>
          <t>P060212</t>
        </is>
      </c>
      <c r="E1310" s="256" t="inlineStr">
        <is>
          <t>Jelly Donuts</t>
        </is>
      </c>
      <c r="F1310" s="256" t="inlineStr">
        <is>
          <t>06.06.2026</t>
        </is>
      </c>
      <c r="G1310" s="256" t="inlineStr">
        <is>
          <t>11.3</t>
        </is>
      </c>
      <c r="H1310" s="256" t="inlineStr">
        <is>
          <t>Arsenic (As)</t>
        </is>
      </c>
      <c r="I1310" s="256" t="inlineStr">
        <is>
          <t>Ph. Eur. 2.4.27 (ICP-MS)</t>
        </is>
      </c>
      <c r="J1310" s="256" t="inlineStr">
        <is>
          <t>≤ 0.2 mg/kg</t>
        </is>
      </c>
      <c r="K1310" s="256" t="inlineStr">
        <is>
          <t>0.02</t>
        </is>
      </c>
      <c r="L1310" s="256" t="inlineStr">
        <is>
          <t>2361/2026</t>
        </is>
      </c>
      <c r="M1310" s="256" t="inlineStr">
        <is>
          <t>30.04.2026</t>
        </is>
      </c>
      <c r="N1310" s="256" t="inlineStr">
        <is>
          <t>IPH — Institute of Public Health</t>
        </is>
      </c>
      <c r="O1310" s="256" t="inlineStr">
        <is>
          <t>21.04.2026</t>
        </is>
      </c>
      <c r="P1310" s="256" t="inlineStr">
        <is>
          <t>covered</t>
        </is>
      </c>
      <c r="Q1310" s="256" t="inlineStr"/>
      <c r="R1310" s="256" t="inlineStr"/>
    </row>
    <row r="1311">
      <c r="A1311" s="256" t="inlineStr">
        <is>
          <t>CoQ-PP_26-057</t>
        </is>
      </c>
      <c r="B1311" s="256" t="inlineStr">
        <is>
          <t>release</t>
        </is>
      </c>
      <c r="C1311" s="256" t="inlineStr">
        <is>
          <t>JD112501</t>
        </is>
      </c>
      <c r="D1311" s="256" t="inlineStr">
        <is>
          <t>P060212</t>
        </is>
      </c>
      <c r="E1311" s="256" t="inlineStr">
        <is>
          <t>Jelly Donuts</t>
        </is>
      </c>
      <c r="F1311" s="256" t="inlineStr">
        <is>
          <t>06.06.2026</t>
        </is>
      </c>
      <c r="G1311" s="256" t="inlineStr">
        <is>
          <t>11.4</t>
        </is>
      </c>
      <c r="H1311" s="256" t="inlineStr">
        <is>
          <t>Mercury (Hg)</t>
        </is>
      </c>
      <c r="I1311" s="256" t="inlineStr">
        <is>
          <t>Ph. Eur. 2.4.27 (ICP-MS)</t>
        </is>
      </c>
      <c r="J1311" s="256" t="inlineStr">
        <is>
          <t>≤ 0.1 mg/kg</t>
        </is>
      </c>
      <c r="K1311" s="256" t="inlineStr">
        <is>
          <t>0.0166</t>
        </is>
      </c>
      <c r="L1311" s="256" t="inlineStr">
        <is>
          <t>2361/2026</t>
        </is>
      </c>
      <c r="M1311" s="256" t="inlineStr">
        <is>
          <t>30.04.2026</t>
        </is>
      </c>
      <c r="N1311" s="256" t="inlineStr">
        <is>
          <t>IPH — Institute of Public Health</t>
        </is>
      </c>
      <c r="O1311" s="256" t="inlineStr">
        <is>
          <t>21.04.2026</t>
        </is>
      </c>
      <c r="P1311" s="256" t="inlineStr">
        <is>
          <t>covered</t>
        </is>
      </c>
      <c r="Q1311" s="256" t="inlineStr"/>
      <c r="R1311" s="256" t="inlineStr"/>
    </row>
    <row r="1312">
      <c r="A1312" s="256" t="inlineStr">
        <is>
          <t>CoQ-PP_26-057</t>
        </is>
      </c>
      <c r="B1312" s="256" t="inlineStr">
        <is>
          <t>release</t>
        </is>
      </c>
      <c r="C1312" s="256" t="inlineStr">
        <is>
          <t>JD112501</t>
        </is>
      </c>
      <c r="D1312" s="256" t="inlineStr">
        <is>
          <t>P060212</t>
        </is>
      </c>
      <c r="E1312" s="256" t="inlineStr">
        <is>
          <t>Jelly Donuts</t>
        </is>
      </c>
      <c r="F1312" s="256" t="inlineStr">
        <is>
          <t>06.06.2026</t>
        </is>
      </c>
      <c r="G1312" s="256" t="inlineStr">
        <is>
          <t>12</t>
        </is>
      </c>
      <c r="H1312" s="256" t="inlineStr">
        <is>
          <t>Pesticide Residues</t>
        </is>
      </c>
      <c r="I1312" s="256" t="inlineStr">
        <is>
          <t>Ph. Eur. 2.8.13 (LC-MS/MS) · CUMCS Equivalency</t>
        </is>
      </c>
      <c r="J1312" s="256" t="inlineStr">
        <is>
          <t>≤ LOQ as per Ph. Eur. 2.8.13 · ≤ LOQ as per CUMCS Equivalency</t>
        </is>
      </c>
      <c r="K1312" s="256" t="inlineStr">
        <is>
          <t>ND</t>
        </is>
      </c>
      <c r="L1312" s="256" t="inlineStr">
        <is>
          <t>2361/2026</t>
        </is>
      </c>
      <c r="M1312" s="256" t="inlineStr">
        <is>
          <t>30.04.2026</t>
        </is>
      </c>
      <c r="N1312" s="256" t="inlineStr">
        <is>
          <t>IPH — Institute of Public Health</t>
        </is>
      </c>
      <c r="O1312" s="256" t="inlineStr">
        <is>
          <t>21.04.2026</t>
        </is>
      </c>
      <c r="P1312" s="256" t="inlineStr">
        <is>
          <t>covered</t>
        </is>
      </c>
      <c r="Q1312" s="256" t="inlineStr"/>
      <c r="R1312" s="256" t="inlineStr"/>
    </row>
    <row r="1313">
      <c r="A1313" s="256" t="inlineStr">
        <is>
          <t>CoQ-PP_26-058</t>
        </is>
      </c>
      <c r="B1313" s="256" t="inlineStr">
        <is>
          <t>release</t>
        </is>
      </c>
      <c r="C1313" s="256" t="inlineStr">
        <is>
          <t>OPM112501</t>
        </is>
      </c>
      <c r="D1313" s="256" t="inlineStr">
        <is>
          <t>— no P lot assigned —</t>
        </is>
      </c>
      <c r="E1313" s="256" t="inlineStr">
        <is>
          <t>Orange Punch Mimosa</t>
        </is>
      </c>
      <c r="F1313" s="256" t="inlineStr">
        <is>
          <t>06.06.2026</t>
        </is>
      </c>
      <c r="G1313" s="256" t="inlineStr">
        <is>
          <t>1</t>
        </is>
      </c>
      <c r="H1313" s="256" t="inlineStr">
        <is>
          <t>Identification A, Appearance · Macroscopic</t>
        </is>
      </c>
      <c r="I1313" s="256" t="inlineStr">
        <is>
          <t>Ph. Eur. mon. 3028</t>
        </is>
      </c>
      <c r="J1313" s="256" t="inlineStr">
        <is>
          <t>Conforms to the monograph for Cannabis flos (07/2024:3028) in Ph. Eur. 11.0 | Согласно монографија за Cannabis flos (07/2024:3028) во Ph. Eur. 11.0</t>
        </is>
      </c>
      <c r="K1313" s="256" t="inlineStr">
        <is>
          <t>Conforms | Одговара</t>
        </is>
      </c>
      <c r="L1313" s="256" t="inlineStr">
        <is>
          <t>iCoA-PP_26-061</t>
        </is>
      </c>
      <c r="M1313" s="256" t="inlineStr">
        <is>
          <t>03.06.2026</t>
        </is>
      </c>
      <c r="N1313" s="256" t="inlineStr">
        <is>
          <t>Purely Plant GmbH (in-house)</t>
        </is>
      </c>
      <c r="O1313" s="256" t="inlineStr">
        <is>
          <t>—</t>
        </is>
      </c>
      <c r="P1313" s="256" t="inlineStr">
        <is>
          <t>to be performed — see route</t>
        </is>
      </c>
      <c r="Q1313" s="256" t="inlineStr">
        <is>
          <t>Purely Plant laboratory — iCoA covering Ident A + B</t>
        </is>
      </c>
      <c r="R1313" s="256" t="inlineStr"/>
    </row>
    <row r="1314">
      <c r="A1314" s="256" t="inlineStr">
        <is>
          <t>CoQ-PP_26-058</t>
        </is>
      </c>
      <c r="B1314" s="256" t="inlineStr">
        <is>
          <t>release</t>
        </is>
      </c>
      <c r="C1314" s="256" t="inlineStr">
        <is>
          <t>OPM112501</t>
        </is>
      </c>
      <c r="D1314" s="256" t="inlineStr">
        <is>
          <t>— no P lot assigned —</t>
        </is>
      </c>
      <c r="E1314" s="256" t="inlineStr">
        <is>
          <t>Orange Punch Mimosa</t>
        </is>
      </c>
      <c r="F1314" s="256" t="inlineStr">
        <is>
          <t>06.06.2026</t>
        </is>
      </c>
      <c r="G1314" s="256" t="inlineStr">
        <is>
          <t>2</t>
        </is>
      </c>
      <c r="H1314" s="256" t="inlineStr">
        <is>
          <t>Identification B · Microscopic</t>
        </is>
      </c>
      <c r="I1314" s="256" t="inlineStr">
        <is>
          <t>Ph. Eur. 2.8.23 (microscopy)</t>
        </is>
      </c>
      <c r="J1314" s="256" t="inlineStr">
        <is>
          <t>Conforms to the monograph for Cannabis flos (07/2024:3028) in Ph. Eur. 11.0 | Согласно монографија за Cannabis flos (07/2024:3028) во Ph. Eur. 11.0</t>
        </is>
      </c>
      <c r="K1314" s="256" t="inlineStr">
        <is>
          <t>Conforms | Одговара</t>
        </is>
      </c>
      <c r="L1314" s="256" t="inlineStr">
        <is>
          <t>iCoA-PP_26-061</t>
        </is>
      </c>
      <c r="M1314" s="256" t="inlineStr">
        <is>
          <t>03.06.2026</t>
        </is>
      </c>
      <c r="N1314" s="256" t="inlineStr">
        <is>
          <t>Purely Plant GmbH (in-house)</t>
        </is>
      </c>
      <c r="O1314" s="256" t="inlineStr">
        <is>
          <t>—</t>
        </is>
      </c>
      <c r="P1314" s="256" t="inlineStr">
        <is>
          <t>to be performed — see route</t>
        </is>
      </c>
      <c r="Q1314" s="256" t="inlineStr">
        <is>
          <t>Purely Plant laboratory — iCoA covering Ident A + B</t>
        </is>
      </c>
      <c r="R1314" s="256" t="inlineStr"/>
    </row>
    <row r="1315">
      <c r="A1315" s="256" t="inlineStr">
        <is>
          <t>CoQ-PP_26-058</t>
        </is>
      </c>
      <c r="B1315" s="256" t="inlineStr">
        <is>
          <t>release</t>
        </is>
      </c>
      <c r="C1315" s="256" t="inlineStr">
        <is>
          <t>OPM112501</t>
        </is>
      </c>
      <c r="D1315" s="256" t="inlineStr">
        <is>
          <t>— no P lot assigned —</t>
        </is>
      </c>
      <c r="E1315" s="256" t="inlineStr">
        <is>
          <t>Orange Punch Mimosa</t>
        </is>
      </c>
      <c r="F1315" s="256" t="inlineStr">
        <is>
          <t>06.06.2026</t>
        </is>
      </c>
      <c r="G1315" s="256" t="inlineStr">
        <is>
          <t>3</t>
        </is>
      </c>
      <c r="H1315" s="256" t="inlineStr">
        <is>
          <t>Identification C · HPLC/HPTLC</t>
        </is>
      </c>
      <c r="I1315" s="256" t="inlineStr">
        <is>
          <t>HPLC — DAB 2018 monograph Cannabis flos, 2.2.29 (CNP, before its Ph. Eur. 3028 accreditation)</t>
        </is>
      </c>
      <c r="J1315" s="256" t="inlineStr">
        <is>
          <t>Conforms to the monograph for Cannabis flos (07/2024:3028) in Ph. Eur. 11.0 | Согласно монографија за Cannabis flos (07/2024:3028) во Ph. Eur. 11.0</t>
        </is>
      </c>
      <c r="K1315" s="256" t="inlineStr">
        <is>
          <t>Conforms | Одговара</t>
        </is>
      </c>
      <c r="L1315" s="256" t="inlineStr">
        <is>
          <t>ППК26031</t>
        </is>
      </c>
      <c r="M1315" s="256" t="inlineStr">
        <is>
          <t>05.03.2026</t>
        </is>
      </c>
      <c r="N1315" s="256" t="inlineStr">
        <is>
          <t>UKIM Faculty of Pharmacy — Center for Natural Products</t>
        </is>
      </c>
      <c r="O1315" s="256" t="inlineStr">
        <is>
          <t>23.02.2026</t>
        </is>
      </c>
      <c r="P1315" s="256" t="inlineStr">
        <is>
          <t>covered</t>
        </is>
      </c>
      <c r="Q1315" s="256" t="inlineStr"/>
      <c r="R1315" s="256" t="inlineStr"/>
    </row>
    <row r="1316">
      <c r="A1316" s="256" t="inlineStr">
        <is>
          <t>CoQ-PP_26-058</t>
        </is>
      </c>
      <c r="B1316" s="256" t="inlineStr">
        <is>
          <t>release</t>
        </is>
      </c>
      <c r="C1316" s="256" t="inlineStr">
        <is>
          <t>OPM112501</t>
        </is>
      </c>
      <c r="D1316" s="256" t="inlineStr">
        <is>
          <t>— no P lot assigned —</t>
        </is>
      </c>
      <c r="E1316" s="256" t="inlineStr">
        <is>
          <t>Orange Punch Mimosa</t>
        </is>
      </c>
      <c r="F1316" s="256" t="inlineStr">
        <is>
          <t>06.06.2026</t>
        </is>
      </c>
      <c r="G1316" s="256" t="inlineStr">
        <is>
          <t>4</t>
        </is>
      </c>
      <c r="H1316" s="256" t="inlineStr">
        <is>
          <t>Assay — Total Δ⁹-THC</t>
        </is>
      </c>
      <c r="I1316" s="256" t="inlineStr">
        <is>
          <t>HPLC — DAB 2018 monograph Cannabis flos, 2.2.29 (CNP, before its Ph. Eur. 3028 accreditation)</t>
        </is>
      </c>
      <c r="J1316" s="256" t="inlineStr">
        <is>
          <t>7.20 – 8.79 %  (grade V, nominal 8.00 ± 0.80)</t>
        </is>
      </c>
      <c r="K1316" s="256" t="inlineStr">
        <is>
          <t>8.00</t>
        </is>
      </c>
      <c r="L1316" s="256" t="inlineStr">
        <is>
          <t>ППК26031</t>
        </is>
      </c>
      <c r="M1316" s="256" t="inlineStr">
        <is>
          <t>05.03.2026</t>
        </is>
      </c>
      <c r="N1316" s="256" t="inlineStr">
        <is>
          <t>UKIM Faculty of Pharmacy — Center for Natural Products</t>
        </is>
      </c>
      <c r="O1316" s="256" t="inlineStr">
        <is>
          <t>23.02.2026</t>
        </is>
      </c>
      <c r="P1316" s="256" t="inlineStr">
        <is>
          <t>covered</t>
        </is>
      </c>
      <c r="Q1316" s="256" t="inlineStr"/>
      <c r="R1316" s="256" t="inlineStr">
        <is>
          <t>9.73 (227-10-К/26)</t>
        </is>
      </c>
    </row>
    <row r="1317">
      <c r="A1317" s="256" t="inlineStr">
        <is>
          <t>CoQ-PP_26-058</t>
        </is>
      </c>
      <c r="B1317" s="256" t="inlineStr">
        <is>
          <t>release</t>
        </is>
      </c>
      <c r="C1317" s="256" t="inlineStr">
        <is>
          <t>OPM112501</t>
        </is>
      </c>
      <c r="D1317" s="256" t="inlineStr">
        <is>
          <t>— no P lot assigned —</t>
        </is>
      </c>
      <c r="E1317" s="256" t="inlineStr">
        <is>
          <t>Orange Punch Mimosa</t>
        </is>
      </c>
      <c r="F1317" s="256" t="inlineStr">
        <is>
          <t>06.06.2026</t>
        </is>
      </c>
      <c r="G1317" s="256" t="inlineStr">
        <is>
          <t>5</t>
        </is>
      </c>
      <c r="H1317" s="256" t="inlineStr">
        <is>
          <t>Assay — Total CBD</t>
        </is>
      </c>
      <c r="I1317" s="256" t="inlineStr">
        <is>
          <t>HPLC — DAB 2018 monograph Cannabis flos, 2.2.29 · CBD + CBDA x 0.877 (CNP, before its Ph. Eur. 3028 accreditation)</t>
        </is>
      </c>
      <c r="J1317" s="256" t="inlineStr">
        <is>
          <t>≤ 1.0%, w/w</t>
        </is>
      </c>
      <c r="K1317" s="256" t="inlineStr">
        <is>
          <t>0.02</t>
        </is>
      </c>
      <c r="L1317" s="256" t="inlineStr">
        <is>
          <t>ППК26031</t>
        </is>
      </c>
      <c r="M1317" s="256" t="inlineStr">
        <is>
          <t>05.03.2026</t>
        </is>
      </c>
      <c r="N1317" s="256" t="inlineStr">
        <is>
          <t>UKIM Faculty of Pharmacy — Center for Natural Products</t>
        </is>
      </c>
      <c r="O1317" s="256" t="inlineStr">
        <is>
          <t>23.02.2026</t>
        </is>
      </c>
      <c r="P1317" s="256" t="inlineStr">
        <is>
          <t>covered</t>
        </is>
      </c>
      <c r="Q1317" s="256" t="inlineStr"/>
      <c r="R1317" s="256" t="inlineStr">
        <is>
          <t>&lt;LOQ (227-10-К/26)</t>
        </is>
      </c>
    </row>
    <row r="1318">
      <c r="A1318" s="256" t="inlineStr">
        <is>
          <t>CoQ-PP_26-058</t>
        </is>
      </c>
      <c r="B1318" s="256" t="inlineStr">
        <is>
          <t>release</t>
        </is>
      </c>
      <c r="C1318" s="256" t="inlineStr">
        <is>
          <t>OPM112501</t>
        </is>
      </c>
      <c r="D1318" s="256" t="inlineStr">
        <is>
          <t>— no P lot assigned —</t>
        </is>
      </c>
      <c r="E1318" s="256" t="inlineStr">
        <is>
          <t>Orange Punch Mimosa</t>
        </is>
      </c>
      <c r="F1318" s="256" t="inlineStr">
        <is>
          <t>06.06.2026</t>
        </is>
      </c>
      <c r="G1318" s="256" t="inlineStr">
        <is>
          <t>6</t>
        </is>
      </c>
      <c r="H1318" s="256" t="inlineStr">
        <is>
          <t>Total CBN</t>
        </is>
      </c>
      <c r="I1318" s="256" t="inlineStr">
        <is>
          <t>Ph. Eur. 2.2.29 (HPLC) · CBN + CBNA x 0.876</t>
        </is>
      </c>
      <c r="J1318" s="256" t="inlineStr">
        <is>
          <t>≤ 1.0%, w/w</t>
        </is>
      </c>
      <c r="K1318" s="259" t="inlineStr">
        <is>
          <t>not tested</t>
        </is>
      </c>
      <c r="L1318" s="256" t="inlineStr">
        <is>
          <t>—</t>
        </is>
      </c>
      <c r="M1318" s="256" t="inlineStr">
        <is>
          <t>—</t>
        </is>
      </c>
      <c r="N1318" s="256" t="inlineStr">
        <is>
          <t>—</t>
        </is>
      </c>
      <c r="O1318" s="256" t="inlineStr">
        <is>
          <t>—</t>
        </is>
      </c>
      <c r="P1318" s="256" t="inlineStr">
        <is>
          <t>not tested — no certificate covers it</t>
        </is>
      </c>
      <c r="Q1318" s="256" t="inlineStr"/>
      <c r="R1318" s="256" t="inlineStr">
        <is>
          <t>&lt;LOQ (227-10-К/26)</t>
        </is>
      </c>
    </row>
    <row r="1319">
      <c r="A1319" s="256" t="inlineStr">
        <is>
          <t>CoQ-PP_26-058</t>
        </is>
      </c>
      <c r="B1319" s="256" t="inlineStr">
        <is>
          <t>release</t>
        </is>
      </c>
      <c r="C1319" s="256" t="inlineStr">
        <is>
          <t>OPM112501</t>
        </is>
      </c>
      <c r="D1319" s="256" t="inlineStr">
        <is>
          <t>— no P lot assigned —</t>
        </is>
      </c>
      <c r="E1319" s="256" t="inlineStr">
        <is>
          <t>Orange Punch Mimosa</t>
        </is>
      </c>
      <c r="F1319" s="256" t="inlineStr">
        <is>
          <t>06.06.2026</t>
        </is>
      </c>
      <c r="G1319" s="256" t="inlineStr">
        <is>
          <t>7</t>
        </is>
      </c>
      <c r="H1319" s="256" t="inlineStr">
        <is>
          <t>Foreign Matter</t>
        </is>
      </c>
      <c r="I1319" s="256" t="inlineStr">
        <is>
          <t>Ph. Eur. 2.8.2 · In-house · интерна</t>
        </is>
      </c>
      <c r="J1319" s="256" t="inlineStr">
        <is>
          <t>≤ 2.0% / 25–50 g · &lt; 1 cm leaves | листови, no seeds | без семки</t>
        </is>
      </c>
      <c r="K1319" s="256" t="inlineStr">
        <is>
          <t>Conforms | Одговара</t>
        </is>
      </c>
      <c r="L1319" s="256" t="inlineStr">
        <is>
          <t>iCoA-PP_26-061</t>
        </is>
      </c>
      <c r="M1319" s="256" t="inlineStr">
        <is>
          <t>03.06.2026</t>
        </is>
      </c>
      <c r="N1319" s="256" t="inlineStr">
        <is>
          <t>Purely Plant GmbH (in-house)</t>
        </is>
      </c>
      <c r="O1319" s="256" t="inlineStr">
        <is>
          <t>—</t>
        </is>
      </c>
      <c r="P1319" s="256" t="inlineStr">
        <is>
          <t>to be performed — see route</t>
        </is>
      </c>
      <c r="Q1319" s="256" t="inlineStr">
        <is>
          <t>Purely Plant laboratory — iCoA covering Foreign matter</t>
        </is>
      </c>
      <c r="R1319" s="256" t="inlineStr"/>
    </row>
    <row r="1320">
      <c r="A1320" s="256" t="inlineStr">
        <is>
          <t>CoQ-PP_26-058</t>
        </is>
      </c>
      <c r="B1320" s="256" t="inlineStr">
        <is>
          <t>release</t>
        </is>
      </c>
      <c r="C1320" s="256" t="inlineStr">
        <is>
          <t>OPM112501</t>
        </is>
      </c>
      <c r="D1320" s="256" t="inlineStr">
        <is>
          <t>— no P lot assigned —</t>
        </is>
      </c>
      <c r="E1320" s="256" t="inlineStr">
        <is>
          <t>Orange Punch Mimosa</t>
        </is>
      </c>
      <c r="F1320" s="256" t="inlineStr">
        <is>
          <t>06.06.2026</t>
        </is>
      </c>
      <c r="G1320" s="256" t="inlineStr">
        <is>
          <t>8</t>
        </is>
      </c>
      <c r="H1320" s="256" t="inlineStr">
        <is>
          <t>Loss on Drying</t>
        </is>
      </c>
      <c r="I1320" s="256" t="inlineStr">
        <is>
          <t>DAB 2018 monograph Cannabis flos, 2.2.32 — loss on drying (CNP, before its Ph. Eur. 3028 accreditation)</t>
        </is>
      </c>
      <c r="J1320" s="256" t="inlineStr">
        <is>
          <t>≤ 12.0%</t>
        </is>
      </c>
      <c r="K1320" s="256" t="inlineStr">
        <is>
          <t>8.06</t>
        </is>
      </c>
      <c r="L1320" s="256" t="inlineStr">
        <is>
          <t>ППК26031</t>
        </is>
      </c>
      <c r="M1320" s="256" t="inlineStr">
        <is>
          <t>05.03.2026</t>
        </is>
      </c>
      <c r="N1320" s="256" t="inlineStr">
        <is>
          <t>UKIM Faculty of Pharmacy — Center for Natural Products</t>
        </is>
      </c>
      <c r="O1320" s="256" t="inlineStr">
        <is>
          <t>23.02.2026</t>
        </is>
      </c>
      <c r="P1320" s="256" t="inlineStr">
        <is>
          <t>covered</t>
        </is>
      </c>
      <c r="Q1320" s="256" t="inlineStr"/>
      <c r="R1320" s="256" t="inlineStr"/>
    </row>
    <row r="1321">
      <c r="A1321" s="256" t="inlineStr">
        <is>
          <t>CoQ-PP_26-058</t>
        </is>
      </c>
      <c r="B1321" s="256" t="inlineStr">
        <is>
          <t>release</t>
        </is>
      </c>
      <c r="C1321" s="256" t="inlineStr">
        <is>
          <t>OPM112501</t>
        </is>
      </c>
      <c r="D1321" s="256" t="inlineStr">
        <is>
          <t>— no P lot assigned —</t>
        </is>
      </c>
      <c r="E1321" s="256" t="inlineStr">
        <is>
          <t>Orange Punch Mimosa</t>
        </is>
      </c>
      <c r="F1321" s="256" t="inlineStr">
        <is>
          <t>06.06.2026</t>
        </is>
      </c>
      <c r="G1321" s="256" t="inlineStr">
        <is>
          <t>9.1</t>
        </is>
      </c>
      <c r="H1321" s="256" t="inlineStr">
        <is>
          <t>TAMC</t>
        </is>
      </c>
      <c r="I1321" s="256" t="inlineStr">
        <is>
          <t>Ph. Eur. 2.6.12 cat. C</t>
        </is>
      </c>
      <c r="J1321" s="256" t="inlineStr">
        <is>
          <t>≤ 10⁵ CFU/g</t>
        </is>
      </c>
      <c r="K1321" s="259" t="inlineStr">
        <is>
          <t>not tested</t>
        </is>
      </c>
      <c r="L1321" s="256" t="inlineStr">
        <is>
          <t>—</t>
        </is>
      </c>
      <c r="M1321" s="256" t="inlineStr">
        <is>
          <t>—</t>
        </is>
      </c>
      <c r="N1321" s="256" t="inlineStr">
        <is>
          <t>—</t>
        </is>
      </c>
      <c r="O1321" s="256" t="inlineStr">
        <is>
          <t>—</t>
        </is>
      </c>
      <c r="P1321" s="256" t="inlineStr">
        <is>
          <t>not tested — no certificate covers it</t>
        </is>
      </c>
      <c r="Q1321" s="256" t="inlineStr"/>
      <c r="R1321" s="256" t="inlineStr"/>
    </row>
    <row r="1322">
      <c r="A1322" s="256" t="inlineStr">
        <is>
          <t>CoQ-PP_26-058</t>
        </is>
      </c>
      <c r="B1322" s="256" t="inlineStr">
        <is>
          <t>release</t>
        </is>
      </c>
      <c r="C1322" s="256" t="inlineStr">
        <is>
          <t>OPM112501</t>
        </is>
      </c>
      <c r="D1322" s="256" t="inlineStr">
        <is>
          <t>— no P lot assigned —</t>
        </is>
      </c>
      <c r="E1322" s="256" t="inlineStr">
        <is>
          <t>Orange Punch Mimosa</t>
        </is>
      </c>
      <c r="F1322" s="256" t="inlineStr">
        <is>
          <t>06.06.2026</t>
        </is>
      </c>
      <c r="G1322" s="256" t="inlineStr">
        <is>
          <t>9.2</t>
        </is>
      </c>
      <c r="H1322" s="256" t="inlineStr">
        <is>
          <t>TYMC</t>
        </is>
      </c>
      <c r="I1322" s="256" t="inlineStr">
        <is>
          <t>Ph. Eur. 2.6.12 cat. C</t>
        </is>
      </c>
      <c r="J1322" s="256" t="inlineStr">
        <is>
          <t>≤ 10⁴ CFU/g</t>
        </is>
      </c>
      <c r="K1322" s="259" t="inlineStr">
        <is>
          <t>not tested</t>
        </is>
      </c>
      <c r="L1322" s="256" t="inlineStr">
        <is>
          <t>—</t>
        </is>
      </c>
      <c r="M1322" s="256" t="inlineStr">
        <is>
          <t>—</t>
        </is>
      </c>
      <c r="N1322" s="256" t="inlineStr">
        <is>
          <t>—</t>
        </is>
      </c>
      <c r="O1322" s="256" t="inlineStr">
        <is>
          <t>—</t>
        </is>
      </c>
      <c r="P1322" s="256" t="inlineStr">
        <is>
          <t>not tested — no certificate covers it</t>
        </is>
      </c>
      <c r="Q1322" s="256" t="inlineStr"/>
      <c r="R1322" s="256" t="inlineStr"/>
    </row>
    <row r="1323">
      <c r="A1323" s="256" t="inlineStr">
        <is>
          <t>CoQ-PP_26-058</t>
        </is>
      </c>
      <c r="B1323" s="256" t="inlineStr">
        <is>
          <t>release</t>
        </is>
      </c>
      <c r="C1323" s="256" t="inlineStr">
        <is>
          <t>OPM112501</t>
        </is>
      </c>
      <c r="D1323" s="256" t="inlineStr">
        <is>
          <t>— no P lot assigned —</t>
        </is>
      </c>
      <c r="E1323" s="256" t="inlineStr">
        <is>
          <t>Orange Punch Mimosa</t>
        </is>
      </c>
      <c r="F1323" s="256" t="inlineStr">
        <is>
          <t>06.06.2026</t>
        </is>
      </c>
      <c r="G1323" s="256" t="inlineStr">
        <is>
          <t>9.3</t>
        </is>
      </c>
      <c r="H1323" s="256" t="inlineStr">
        <is>
          <t>Bile-tolerant gram-neg.</t>
        </is>
      </c>
      <c r="I1323" s="256" t="inlineStr">
        <is>
          <t>Ph. Eur. 2.6.31 cat. C</t>
        </is>
      </c>
      <c r="J1323" s="256" t="inlineStr">
        <is>
          <t>≤ 10⁴ CFU/g</t>
        </is>
      </c>
      <c r="K1323" s="259" t="inlineStr">
        <is>
          <t>not tested</t>
        </is>
      </c>
      <c r="L1323" s="256" t="inlineStr">
        <is>
          <t>—</t>
        </is>
      </c>
      <c r="M1323" s="256" t="inlineStr">
        <is>
          <t>—</t>
        </is>
      </c>
      <c r="N1323" s="256" t="inlineStr">
        <is>
          <t>—</t>
        </is>
      </c>
      <c r="O1323" s="256" t="inlineStr">
        <is>
          <t>—</t>
        </is>
      </c>
      <c r="P1323" s="256" t="inlineStr">
        <is>
          <t>not tested — no certificate covers it</t>
        </is>
      </c>
      <c r="Q1323" s="256" t="inlineStr"/>
      <c r="R1323" s="256" t="inlineStr"/>
    </row>
    <row r="1324">
      <c r="A1324" s="256" t="inlineStr">
        <is>
          <t>CoQ-PP_26-058</t>
        </is>
      </c>
      <c r="B1324" s="256" t="inlineStr">
        <is>
          <t>release</t>
        </is>
      </c>
      <c r="C1324" s="256" t="inlineStr">
        <is>
          <t>OPM112501</t>
        </is>
      </c>
      <c r="D1324" s="256" t="inlineStr">
        <is>
          <t>— no P lot assigned —</t>
        </is>
      </c>
      <c r="E1324" s="256" t="inlineStr">
        <is>
          <t>Orange Punch Mimosa</t>
        </is>
      </c>
      <c r="F1324" s="256" t="inlineStr">
        <is>
          <t>06.06.2026</t>
        </is>
      </c>
      <c r="G1324" s="256" t="inlineStr">
        <is>
          <t>9.4</t>
        </is>
      </c>
      <c r="H1324" s="256" t="inlineStr">
        <is>
          <t>Salmonella</t>
        </is>
      </c>
      <c r="I1324" s="256" t="inlineStr">
        <is>
          <t>Ph. Eur. 2.6.31 cat. C</t>
        </is>
      </c>
      <c r="J1324" s="256" t="inlineStr">
        <is>
          <t>Absence | Отсуство / 25 g</t>
        </is>
      </c>
      <c r="K1324" s="259" t="inlineStr">
        <is>
          <t>not tested</t>
        </is>
      </c>
      <c r="L1324" s="256" t="inlineStr">
        <is>
          <t>—</t>
        </is>
      </c>
      <c r="M1324" s="256" t="inlineStr">
        <is>
          <t>—</t>
        </is>
      </c>
      <c r="N1324" s="256" t="inlineStr">
        <is>
          <t>—</t>
        </is>
      </c>
      <c r="O1324" s="256" t="inlineStr">
        <is>
          <t>—</t>
        </is>
      </c>
      <c r="P1324" s="256" t="inlineStr">
        <is>
          <t>not tested — no certificate covers it</t>
        </is>
      </c>
      <c r="Q1324" s="256" t="inlineStr"/>
      <c r="R1324" s="256" t="inlineStr"/>
    </row>
    <row r="1325">
      <c r="A1325" s="256" t="inlineStr">
        <is>
          <t>CoQ-PP_26-058</t>
        </is>
      </c>
      <c r="B1325" s="256" t="inlineStr">
        <is>
          <t>release</t>
        </is>
      </c>
      <c r="C1325" s="256" t="inlineStr">
        <is>
          <t>OPM112501</t>
        </is>
      </c>
      <c r="D1325" s="256" t="inlineStr">
        <is>
          <t>— no P lot assigned —</t>
        </is>
      </c>
      <c r="E1325" s="256" t="inlineStr">
        <is>
          <t>Orange Punch Mimosa</t>
        </is>
      </c>
      <c r="F1325" s="256" t="inlineStr">
        <is>
          <t>06.06.2026</t>
        </is>
      </c>
      <c r="G1325" s="256" t="inlineStr">
        <is>
          <t>9.5</t>
        </is>
      </c>
      <c r="H1325" s="256" t="inlineStr">
        <is>
          <t>Escherichia coli</t>
        </is>
      </c>
      <c r="I1325" s="256" t="inlineStr">
        <is>
          <t>Ph. Eur. 2.6.13 cat. C</t>
        </is>
      </c>
      <c r="J1325" s="256" t="inlineStr">
        <is>
          <t>Absence | Отсуство / 1 g</t>
        </is>
      </c>
      <c r="K1325" s="259" t="inlineStr">
        <is>
          <t>not tested</t>
        </is>
      </c>
      <c r="L1325" s="256" t="inlineStr">
        <is>
          <t>—</t>
        </is>
      </c>
      <c r="M1325" s="256" t="inlineStr">
        <is>
          <t>—</t>
        </is>
      </c>
      <c r="N1325" s="256" t="inlineStr">
        <is>
          <t>—</t>
        </is>
      </c>
      <c r="O1325" s="256" t="inlineStr">
        <is>
          <t>—</t>
        </is>
      </c>
      <c r="P1325" s="256" t="inlineStr">
        <is>
          <t>not tested — no certificate covers it</t>
        </is>
      </c>
      <c r="Q1325" s="256" t="inlineStr"/>
      <c r="R1325" s="256" t="inlineStr"/>
    </row>
    <row r="1326">
      <c r="A1326" s="256" t="inlineStr">
        <is>
          <t>CoQ-PP_26-058</t>
        </is>
      </c>
      <c r="B1326" s="256" t="inlineStr">
        <is>
          <t>release</t>
        </is>
      </c>
      <c r="C1326" s="256" t="inlineStr">
        <is>
          <t>OPM112501</t>
        </is>
      </c>
      <c r="D1326" s="256" t="inlineStr">
        <is>
          <t>— no P lot assigned —</t>
        </is>
      </c>
      <c r="E1326" s="256" t="inlineStr">
        <is>
          <t>Orange Punch Mimosa</t>
        </is>
      </c>
      <c r="F1326" s="256" t="inlineStr">
        <is>
          <t>06.06.2026</t>
        </is>
      </c>
      <c r="G1326" s="256" t="inlineStr">
        <is>
          <t>9.6</t>
        </is>
      </c>
      <c r="H1326" s="256" t="inlineStr">
        <is>
          <t>Pseudomonas aeruginosa</t>
        </is>
      </c>
      <c r="I1326" s="256" t="inlineStr">
        <is>
          <t>Ph. Eur. 2.6.13 cat. C</t>
        </is>
      </c>
      <c r="J1326" s="256" t="inlineStr">
        <is>
          <t>Absence | Отсуство / 1 g</t>
        </is>
      </c>
      <c r="K1326" s="260" t="inlineStr">
        <is>
          <t>upon request — not required for release</t>
        </is>
      </c>
      <c r="L1326" s="256" t="inlineStr">
        <is>
          <t>—</t>
        </is>
      </c>
      <c r="M1326" s="256" t="inlineStr">
        <is>
          <t>—</t>
        </is>
      </c>
      <c r="N1326" s="256" t="inlineStr">
        <is>
          <t>—</t>
        </is>
      </c>
      <c r="O1326" s="256" t="inlineStr">
        <is>
          <t>—</t>
        </is>
      </c>
      <c r="P1326" s="256" t="inlineStr">
        <is>
          <t>upon request — not required for release</t>
        </is>
      </c>
      <c r="Q1326" s="256" t="inlineStr"/>
      <c r="R1326" s="256" t="inlineStr"/>
    </row>
    <row r="1327">
      <c r="A1327" s="256" t="inlineStr">
        <is>
          <t>CoQ-PP_26-058</t>
        </is>
      </c>
      <c r="B1327" s="256" t="inlineStr">
        <is>
          <t>release</t>
        </is>
      </c>
      <c r="C1327" s="256" t="inlineStr">
        <is>
          <t>OPM112501</t>
        </is>
      </c>
      <c r="D1327" s="256" t="inlineStr">
        <is>
          <t>— no P lot assigned —</t>
        </is>
      </c>
      <c r="E1327" s="256" t="inlineStr">
        <is>
          <t>Orange Punch Mimosa</t>
        </is>
      </c>
      <c r="F1327" s="256" t="inlineStr">
        <is>
          <t>06.06.2026</t>
        </is>
      </c>
      <c r="G1327" s="256" t="inlineStr">
        <is>
          <t>9.7</t>
        </is>
      </c>
      <c r="H1327" s="256" t="inlineStr">
        <is>
          <t>Staphylococcus aureus</t>
        </is>
      </c>
      <c r="I1327" s="256" t="inlineStr">
        <is>
          <t>Ph. Eur. 2.6.13 cat. C</t>
        </is>
      </c>
      <c r="J1327" s="256" t="inlineStr">
        <is>
          <t>Absence | Отсуство / 1 g</t>
        </is>
      </c>
      <c r="K1327" s="260" t="inlineStr">
        <is>
          <t>upon request — not required for release</t>
        </is>
      </c>
      <c r="L1327" s="256" t="inlineStr">
        <is>
          <t>—</t>
        </is>
      </c>
      <c r="M1327" s="256" t="inlineStr">
        <is>
          <t>—</t>
        </is>
      </c>
      <c r="N1327" s="256" t="inlineStr">
        <is>
          <t>—</t>
        </is>
      </c>
      <c r="O1327" s="256" t="inlineStr">
        <is>
          <t>—</t>
        </is>
      </c>
      <c r="P1327" s="256" t="inlineStr">
        <is>
          <t>upon request — not required for release</t>
        </is>
      </c>
      <c r="Q1327" s="256" t="inlineStr"/>
      <c r="R1327" s="256" t="inlineStr"/>
    </row>
    <row r="1328">
      <c r="A1328" s="256" t="inlineStr">
        <is>
          <t>CoQ-PP_26-058</t>
        </is>
      </c>
      <c r="B1328" s="256" t="inlineStr">
        <is>
          <t>release</t>
        </is>
      </c>
      <c r="C1328" s="256" t="inlineStr">
        <is>
          <t>OPM112501</t>
        </is>
      </c>
      <c r="D1328" s="256" t="inlineStr">
        <is>
          <t>— no P lot assigned —</t>
        </is>
      </c>
      <c r="E1328" s="256" t="inlineStr">
        <is>
          <t>Orange Punch Mimosa</t>
        </is>
      </c>
      <c r="F1328" s="256" t="inlineStr">
        <is>
          <t>06.06.2026</t>
        </is>
      </c>
      <c r="G1328" s="256" t="inlineStr">
        <is>
          <t>10.1</t>
        </is>
      </c>
      <c r="H1328" s="256" t="inlineStr">
        <is>
          <t>Aflatoxin B₁</t>
        </is>
      </c>
      <c r="I1328" s="256" t="inlineStr">
        <is>
          <t>Ph. Eur. 2.8.18 (HPLC-FLD)</t>
        </is>
      </c>
      <c r="J1328" s="256" t="inlineStr">
        <is>
          <t>≤ 2 µg/kg</t>
        </is>
      </c>
      <c r="K1328" s="259" t="inlineStr">
        <is>
          <t>not tested</t>
        </is>
      </c>
      <c r="L1328" s="256" t="inlineStr">
        <is>
          <t>—</t>
        </is>
      </c>
      <c r="M1328" s="256" t="inlineStr">
        <is>
          <t>—</t>
        </is>
      </c>
      <c r="N1328" s="256" t="inlineStr">
        <is>
          <t>—</t>
        </is>
      </c>
      <c r="O1328" s="256" t="inlineStr">
        <is>
          <t>—</t>
        </is>
      </c>
      <c r="P1328" s="256" t="inlineStr">
        <is>
          <t>not tested — no certificate covers it</t>
        </is>
      </c>
      <c r="Q1328" s="256" t="inlineStr"/>
      <c r="R1328" s="256" t="inlineStr"/>
    </row>
    <row r="1329">
      <c r="A1329" s="256" t="inlineStr">
        <is>
          <t>CoQ-PP_26-058</t>
        </is>
      </c>
      <c r="B1329" s="256" t="inlineStr">
        <is>
          <t>release</t>
        </is>
      </c>
      <c r="C1329" s="256" t="inlineStr">
        <is>
          <t>OPM112501</t>
        </is>
      </c>
      <c r="D1329" s="256" t="inlineStr">
        <is>
          <t>— no P lot assigned —</t>
        </is>
      </c>
      <c r="E1329" s="256" t="inlineStr">
        <is>
          <t>Orange Punch Mimosa</t>
        </is>
      </c>
      <c r="F1329" s="256" t="inlineStr">
        <is>
          <t>06.06.2026</t>
        </is>
      </c>
      <c r="G1329" s="256" t="inlineStr">
        <is>
          <t>10.2</t>
        </is>
      </c>
      <c r="H1329" s="256" t="inlineStr">
        <is>
          <t>Aflatoxins ∑</t>
        </is>
      </c>
      <c r="I1329" s="256" t="inlineStr">
        <is>
          <t>Ph. Eur. 2.8.18 (HPLC-FLD)</t>
        </is>
      </c>
      <c r="J1329" s="256" t="inlineStr">
        <is>
          <t>≤ 4 µg/kg</t>
        </is>
      </c>
      <c r="K1329" s="259" t="inlineStr">
        <is>
          <t>not tested</t>
        </is>
      </c>
      <c r="L1329" s="256" t="inlineStr">
        <is>
          <t>—</t>
        </is>
      </c>
      <c r="M1329" s="256" t="inlineStr">
        <is>
          <t>—</t>
        </is>
      </c>
      <c r="N1329" s="256" t="inlineStr">
        <is>
          <t>—</t>
        </is>
      </c>
      <c r="O1329" s="256" t="inlineStr">
        <is>
          <t>—</t>
        </is>
      </c>
      <c r="P1329" s="256" t="inlineStr">
        <is>
          <t>not tested — no certificate covers it</t>
        </is>
      </c>
      <c r="Q1329" s="256" t="inlineStr"/>
      <c r="R1329" s="256" t="inlineStr"/>
    </row>
    <row r="1330">
      <c r="A1330" s="256" t="inlineStr">
        <is>
          <t>CoQ-PP_26-058</t>
        </is>
      </c>
      <c r="B1330" s="256" t="inlineStr">
        <is>
          <t>release</t>
        </is>
      </c>
      <c r="C1330" s="256" t="inlineStr">
        <is>
          <t>OPM112501</t>
        </is>
      </c>
      <c r="D1330" s="256" t="inlineStr">
        <is>
          <t>— no P lot assigned —</t>
        </is>
      </c>
      <c r="E1330" s="256" t="inlineStr">
        <is>
          <t>Orange Punch Mimosa</t>
        </is>
      </c>
      <c r="F1330" s="256" t="inlineStr">
        <is>
          <t>06.06.2026</t>
        </is>
      </c>
      <c r="G1330" s="256" t="inlineStr">
        <is>
          <t>10.3</t>
        </is>
      </c>
      <c r="H1330" s="256" t="inlineStr">
        <is>
          <t>Ochratoxin A</t>
        </is>
      </c>
      <c r="I1330" s="256" t="inlineStr">
        <is>
          <t>Ph. Eur. 2.8.22 (HPLC-FLD)</t>
        </is>
      </c>
      <c r="J1330" s="256" t="inlineStr">
        <is>
          <t>≤ 20 µg/kg</t>
        </is>
      </c>
      <c r="K1330" s="259" t="inlineStr">
        <is>
          <t>not tested</t>
        </is>
      </c>
      <c r="L1330" s="256" t="inlineStr">
        <is>
          <t>—</t>
        </is>
      </c>
      <c r="M1330" s="256" t="inlineStr">
        <is>
          <t>—</t>
        </is>
      </c>
      <c r="N1330" s="256" t="inlineStr">
        <is>
          <t>—</t>
        </is>
      </c>
      <c r="O1330" s="256" t="inlineStr">
        <is>
          <t>—</t>
        </is>
      </c>
      <c r="P1330" s="256" t="inlineStr">
        <is>
          <t>not tested — no certificate covers it</t>
        </is>
      </c>
      <c r="Q1330" s="256" t="inlineStr"/>
      <c r="R1330" s="256" t="inlineStr"/>
    </row>
    <row r="1331">
      <c r="A1331" s="256" t="inlineStr">
        <is>
          <t>CoQ-PP_26-058</t>
        </is>
      </c>
      <c r="B1331" s="256" t="inlineStr">
        <is>
          <t>release</t>
        </is>
      </c>
      <c r="C1331" s="256" t="inlineStr">
        <is>
          <t>OPM112501</t>
        </is>
      </c>
      <c r="D1331" s="256" t="inlineStr">
        <is>
          <t>— no P lot assigned —</t>
        </is>
      </c>
      <c r="E1331" s="256" t="inlineStr">
        <is>
          <t>Orange Punch Mimosa</t>
        </is>
      </c>
      <c r="F1331" s="256" t="inlineStr">
        <is>
          <t>06.06.2026</t>
        </is>
      </c>
      <c r="G1331" s="256" t="inlineStr">
        <is>
          <t>11.1</t>
        </is>
      </c>
      <c r="H1331" s="256" t="inlineStr">
        <is>
          <t>Lead (Pb)</t>
        </is>
      </c>
      <c r="I1331" s="256" t="inlineStr">
        <is>
          <t>Ph. Eur. 2.4.27 (ICP-MS)</t>
        </is>
      </c>
      <c r="J1331" s="256" t="inlineStr">
        <is>
          <t>≤ 0.5 mg/kg</t>
        </is>
      </c>
      <c r="K1331" s="259" t="inlineStr">
        <is>
          <t>not tested</t>
        </is>
      </c>
      <c r="L1331" s="256" t="inlineStr">
        <is>
          <t>—</t>
        </is>
      </c>
      <c r="M1331" s="256" t="inlineStr">
        <is>
          <t>—</t>
        </is>
      </c>
      <c r="N1331" s="256" t="inlineStr">
        <is>
          <t>—</t>
        </is>
      </c>
      <c r="O1331" s="256" t="inlineStr">
        <is>
          <t>—</t>
        </is>
      </c>
      <c r="P1331" s="256" t="inlineStr">
        <is>
          <t>not tested — no certificate covers it</t>
        </is>
      </c>
      <c r="Q1331" s="256" t="inlineStr"/>
      <c r="R1331" s="256" t="inlineStr"/>
    </row>
    <row r="1332">
      <c r="A1332" s="256" t="inlineStr">
        <is>
          <t>CoQ-PP_26-058</t>
        </is>
      </c>
      <c r="B1332" s="256" t="inlineStr">
        <is>
          <t>release</t>
        </is>
      </c>
      <c r="C1332" s="256" t="inlineStr">
        <is>
          <t>OPM112501</t>
        </is>
      </c>
      <c r="D1332" s="256" t="inlineStr">
        <is>
          <t>— no P lot assigned —</t>
        </is>
      </c>
      <c r="E1332" s="256" t="inlineStr">
        <is>
          <t>Orange Punch Mimosa</t>
        </is>
      </c>
      <c r="F1332" s="256" t="inlineStr">
        <is>
          <t>06.06.2026</t>
        </is>
      </c>
      <c r="G1332" s="256" t="inlineStr">
        <is>
          <t>11.2</t>
        </is>
      </c>
      <c r="H1332" s="256" t="inlineStr">
        <is>
          <t>Cadmium (Cd)</t>
        </is>
      </c>
      <c r="I1332" s="256" t="inlineStr">
        <is>
          <t>Ph. Eur. 2.4.27 (ICP-MS)</t>
        </is>
      </c>
      <c r="J1332" s="256" t="inlineStr">
        <is>
          <t>≤ 0.3 mg/kg</t>
        </is>
      </c>
      <c r="K1332" s="259" t="inlineStr">
        <is>
          <t>not tested</t>
        </is>
      </c>
      <c r="L1332" s="256" t="inlineStr">
        <is>
          <t>—</t>
        </is>
      </c>
      <c r="M1332" s="256" t="inlineStr">
        <is>
          <t>—</t>
        </is>
      </c>
      <c r="N1332" s="256" t="inlineStr">
        <is>
          <t>—</t>
        </is>
      </c>
      <c r="O1332" s="256" t="inlineStr">
        <is>
          <t>—</t>
        </is>
      </c>
      <c r="P1332" s="256" t="inlineStr">
        <is>
          <t>not tested — no certificate covers it</t>
        </is>
      </c>
      <c r="Q1332" s="256" t="inlineStr"/>
      <c r="R1332" s="256" t="inlineStr"/>
    </row>
    <row r="1333">
      <c r="A1333" s="256" t="inlineStr">
        <is>
          <t>CoQ-PP_26-058</t>
        </is>
      </c>
      <c r="B1333" s="256" t="inlineStr">
        <is>
          <t>release</t>
        </is>
      </c>
      <c r="C1333" s="256" t="inlineStr">
        <is>
          <t>OPM112501</t>
        </is>
      </c>
      <c r="D1333" s="256" t="inlineStr">
        <is>
          <t>— no P lot assigned —</t>
        </is>
      </c>
      <c r="E1333" s="256" t="inlineStr">
        <is>
          <t>Orange Punch Mimosa</t>
        </is>
      </c>
      <c r="F1333" s="256" t="inlineStr">
        <is>
          <t>06.06.2026</t>
        </is>
      </c>
      <c r="G1333" s="256" t="inlineStr">
        <is>
          <t>11.3</t>
        </is>
      </c>
      <c r="H1333" s="256" t="inlineStr">
        <is>
          <t>Arsenic (As)</t>
        </is>
      </c>
      <c r="I1333" s="256" t="inlineStr">
        <is>
          <t>Ph. Eur. 2.4.27 (ICP-MS)</t>
        </is>
      </c>
      <c r="J1333" s="256" t="inlineStr">
        <is>
          <t>≤ 0.2 mg/kg</t>
        </is>
      </c>
      <c r="K1333" s="259" t="inlineStr">
        <is>
          <t>not tested</t>
        </is>
      </c>
      <c r="L1333" s="256" t="inlineStr">
        <is>
          <t>—</t>
        </is>
      </c>
      <c r="M1333" s="256" t="inlineStr">
        <is>
          <t>—</t>
        </is>
      </c>
      <c r="N1333" s="256" t="inlineStr">
        <is>
          <t>—</t>
        </is>
      </c>
      <c r="O1333" s="256" t="inlineStr">
        <is>
          <t>—</t>
        </is>
      </c>
      <c r="P1333" s="256" t="inlineStr">
        <is>
          <t>not tested — no certificate covers it</t>
        </is>
      </c>
      <c r="Q1333" s="256" t="inlineStr"/>
      <c r="R1333" s="256" t="inlineStr"/>
    </row>
    <row r="1334">
      <c r="A1334" s="256" t="inlineStr">
        <is>
          <t>CoQ-PP_26-058</t>
        </is>
      </c>
      <c r="B1334" s="256" t="inlineStr">
        <is>
          <t>release</t>
        </is>
      </c>
      <c r="C1334" s="256" t="inlineStr">
        <is>
          <t>OPM112501</t>
        </is>
      </c>
      <c r="D1334" s="256" t="inlineStr">
        <is>
          <t>— no P lot assigned —</t>
        </is>
      </c>
      <c r="E1334" s="256" t="inlineStr">
        <is>
          <t>Orange Punch Mimosa</t>
        </is>
      </c>
      <c r="F1334" s="256" t="inlineStr">
        <is>
          <t>06.06.2026</t>
        </is>
      </c>
      <c r="G1334" s="256" t="inlineStr">
        <is>
          <t>11.4</t>
        </is>
      </c>
      <c r="H1334" s="256" t="inlineStr">
        <is>
          <t>Mercury (Hg)</t>
        </is>
      </c>
      <c r="I1334" s="256" t="inlineStr">
        <is>
          <t>Ph. Eur. 2.4.27 (ICP-MS)</t>
        </is>
      </c>
      <c r="J1334" s="256" t="inlineStr">
        <is>
          <t>≤ 0.1 mg/kg</t>
        </is>
      </c>
      <c r="K1334" s="259" t="inlineStr">
        <is>
          <t>not tested</t>
        </is>
      </c>
      <c r="L1334" s="256" t="inlineStr">
        <is>
          <t>—</t>
        </is>
      </c>
      <c r="M1334" s="256" t="inlineStr">
        <is>
          <t>—</t>
        </is>
      </c>
      <c r="N1334" s="256" t="inlineStr">
        <is>
          <t>—</t>
        </is>
      </c>
      <c r="O1334" s="256" t="inlineStr">
        <is>
          <t>—</t>
        </is>
      </c>
      <c r="P1334" s="256" t="inlineStr">
        <is>
          <t>not tested — no certificate covers it</t>
        </is>
      </c>
      <c r="Q1334" s="256" t="inlineStr"/>
      <c r="R1334" s="256" t="inlineStr"/>
    </row>
    <row r="1335">
      <c r="A1335" s="256" t="inlineStr">
        <is>
          <t>CoQ-PP_26-058</t>
        </is>
      </c>
      <c r="B1335" s="256" t="inlineStr">
        <is>
          <t>release</t>
        </is>
      </c>
      <c r="C1335" s="256" t="inlineStr">
        <is>
          <t>OPM112501</t>
        </is>
      </c>
      <c r="D1335" s="256" t="inlineStr">
        <is>
          <t>— no P lot assigned —</t>
        </is>
      </c>
      <c r="E1335" s="256" t="inlineStr">
        <is>
          <t>Orange Punch Mimosa</t>
        </is>
      </c>
      <c r="F1335" s="256" t="inlineStr">
        <is>
          <t>06.06.2026</t>
        </is>
      </c>
      <c r="G1335" s="256" t="inlineStr">
        <is>
          <t>12</t>
        </is>
      </c>
      <c r="H1335" s="256" t="inlineStr">
        <is>
          <t>Pesticide Residues</t>
        </is>
      </c>
      <c r="I1335" s="256" t="inlineStr">
        <is>
          <t>Ph. Eur. 2.8.13 (LC-MS/MS) · CUMCS Equivalency</t>
        </is>
      </c>
      <c r="J1335" s="256" t="inlineStr">
        <is>
          <t>≤ LOQ as per Ph. Eur. 2.8.13 · ≤ LOQ as per CUMCS Equivalency</t>
        </is>
      </c>
      <c r="K1335" s="259" t="inlineStr">
        <is>
          <t>not tested</t>
        </is>
      </c>
      <c r="L1335" s="256" t="inlineStr">
        <is>
          <t>—</t>
        </is>
      </c>
      <c r="M1335" s="256" t="inlineStr">
        <is>
          <t>—</t>
        </is>
      </c>
      <c r="N1335" s="256" t="inlineStr">
        <is>
          <t>—</t>
        </is>
      </c>
      <c r="O1335" s="256" t="inlineStr">
        <is>
          <t>—</t>
        </is>
      </c>
      <c r="P1335" s="256" t="inlineStr">
        <is>
          <t>not tested — no certificate covers it</t>
        </is>
      </c>
      <c r="Q1335" s="256" t="inlineStr"/>
      <c r="R1335" s="256" t="inlineStr"/>
    </row>
    <row r="1336">
      <c r="A1336" s="256" t="inlineStr">
        <is>
          <t>CoQ-PP_26-059</t>
        </is>
      </c>
      <c r="B1336" s="256" t="inlineStr">
        <is>
          <t>release</t>
        </is>
      </c>
      <c r="C1336" s="256" t="inlineStr">
        <is>
          <t>PM112501</t>
        </is>
      </c>
      <c r="D1336" s="256" t="inlineStr">
        <is>
          <t>P060232</t>
        </is>
      </c>
      <c r="E1336" s="256" t="inlineStr">
        <is>
          <t>Permanent Marker</t>
        </is>
      </c>
      <c r="F1336" s="256" t="inlineStr">
        <is>
          <t>06.06.2026</t>
        </is>
      </c>
      <c r="G1336" s="256" t="inlineStr">
        <is>
          <t>1</t>
        </is>
      </c>
      <c r="H1336" s="256" t="inlineStr">
        <is>
          <t>Identification A, Appearance · Macroscopic</t>
        </is>
      </c>
      <c r="I1336" s="256" t="inlineStr">
        <is>
          <t>Ph. Eur. mon. 3028</t>
        </is>
      </c>
      <c r="J1336" s="256" t="inlineStr">
        <is>
          <t>Conforms to the monograph for Cannabis flos (07/2024:3028) in Ph. Eur. 11.0 | Согласно монографија за Cannabis flos (07/2024:3028) во Ph. Eur. 11.0</t>
        </is>
      </c>
      <c r="K1336" s="256" t="inlineStr">
        <is>
          <t>Conforms | Одговара</t>
        </is>
      </c>
      <c r="L1336" s="256" t="inlineStr">
        <is>
          <t>iCoA-PP_26-062</t>
        </is>
      </c>
      <c r="M1336" s="256" t="inlineStr">
        <is>
          <t>03.06.2026</t>
        </is>
      </c>
      <c r="N1336" s="256" t="inlineStr">
        <is>
          <t>Purely Plant GmbH (in-house)</t>
        </is>
      </c>
      <c r="O1336" s="256" t="inlineStr">
        <is>
          <t>—</t>
        </is>
      </c>
      <c r="P1336" s="256" t="inlineStr">
        <is>
          <t>to be performed — see route</t>
        </is>
      </c>
      <c r="Q1336" s="256" t="inlineStr">
        <is>
          <t>Purely Plant laboratory — iCoA covering Ident A + B</t>
        </is>
      </c>
      <c r="R1336" s="256" t="inlineStr"/>
    </row>
    <row r="1337">
      <c r="A1337" s="256" t="inlineStr">
        <is>
          <t>CoQ-PP_26-059</t>
        </is>
      </c>
      <c r="B1337" s="256" t="inlineStr">
        <is>
          <t>release</t>
        </is>
      </c>
      <c r="C1337" s="256" t="inlineStr">
        <is>
          <t>PM112501</t>
        </is>
      </c>
      <c r="D1337" s="256" t="inlineStr">
        <is>
          <t>P060232</t>
        </is>
      </c>
      <c r="E1337" s="256" t="inlineStr">
        <is>
          <t>Permanent Marker</t>
        </is>
      </c>
      <c r="F1337" s="256" t="inlineStr">
        <is>
          <t>06.06.2026</t>
        </is>
      </c>
      <c r="G1337" s="256" t="inlineStr">
        <is>
          <t>2</t>
        </is>
      </c>
      <c r="H1337" s="256" t="inlineStr">
        <is>
          <t>Identification B · Microscopic</t>
        </is>
      </c>
      <c r="I1337" s="256" t="inlineStr">
        <is>
          <t>Ph. Eur. 2.8.23 (microscopy)</t>
        </is>
      </c>
      <c r="J1337" s="256" t="inlineStr">
        <is>
          <t>Conforms to the monograph for Cannabis flos (07/2024:3028) in Ph. Eur. 11.0 | Согласно монографија за Cannabis flos (07/2024:3028) во Ph. Eur. 11.0</t>
        </is>
      </c>
      <c r="K1337" s="256" t="inlineStr">
        <is>
          <t>Conforms | Одговара</t>
        </is>
      </c>
      <c r="L1337" s="256" t="inlineStr">
        <is>
          <t>iCoA-PP_26-062</t>
        </is>
      </c>
      <c r="M1337" s="256" t="inlineStr">
        <is>
          <t>03.06.2026</t>
        </is>
      </c>
      <c r="N1337" s="256" t="inlineStr">
        <is>
          <t>Purely Plant GmbH (in-house)</t>
        </is>
      </c>
      <c r="O1337" s="256" t="inlineStr">
        <is>
          <t>—</t>
        </is>
      </c>
      <c r="P1337" s="256" t="inlineStr">
        <is>
          <t>to be performed — see route</t>
        </is>
      </c>
      <c r="Q1337" s="256" t="inlineStr">
        <is>
          <t>Purely Plant laboratory — iCoA covering Ident A + B</t>
        </is>
      </c>
      <c r="R1337" s="256" t="inlineStr"/>
    </row>
    <row r="1338">
      <c r="A1338" s="256" t="inlineStr">
        <is>
          <t>CoQ-PP_26-059</t>
        </is>
      </c>
      <c r="B1338" s="256" t="inlineStr">
        <is>
          <t>release</t>
        </is>
      </c>
      <c r="C1338" s="256" t="inlineStr">
        <is>
          <t>PM112501</t>
        </is>
      </c>
      <c r="D1338" s="256" t="inlineStr">
        <is>
          <t>P060232</t>
        </is>
      </c>
      <c r="E1338" s="256" t="inlineStr">
        <is>
          <t>Permanent Marker</t>
        </is>
      </c>
      <c r="F1338" s="256" t="inlineStr">
        <is>
          <t>06.06.2026</t>
        </is>
      </c>
      <c r="G1338" s="256" t="inlineStr">
        <is>
          <t>3</t>
        </is>
      </c>
      <c r="H1338" s="256" t="inlineStr">
        <is>
          <t>Identification C · HPLC/HPTLC</t>
        </is>
      </c>
      <c r="I1338" s="256" t="inlineStr">
        <is>
          <t>HPLC — DAB 2018 monograph Cannabis flos, 2.2.29 (CNP, before its Ph. Eur. 3028 accreditation)</t>
        </is>
      </c>
      <c r="J1338" s="256" t="inlineStr">
        <is>
          <t>Conforms to the monograph for Cannabis flos (07/2024:3028) in Ph. Eur. 11.0 | Согласно монографија за Cannabis flos (07/2024:3028) во Ph. Eur. 11.0</t>
        </is>
      </c>
      <c r="K1338" s="256" t="inlineStr">
        <is>
          <t>Conforms | Одговара</t>
        </is>
      </c>
      <c r="L1338" s="256" t="inlineStr">
        <is>
          <t>ППК26030</t>
        </is>
      </c>
      <c r="M1338" s="256" t="inlineStr">
        <is>
          <t>05.03.2026</t>
        </is>
      </c>
      <c r="N1338" s="256" t="inlineStr">
        <is>
          <t>UKIM Faculty of Pharmacy — Center for Natural Products</t>
        </is>
      </c>
      <c r="O1338" s="256" t="inlineStr">
        <is>
          <t>23.02.2026</t>
        </is>
      </c>
      <c r="P1338" s="256" t="inlineStr">
        <is>
          <t>covered</t>
        </is>
      </c>
      <c r="Q1338" s="256" t="inlineStr"/>
      <c r="R1338" s="256" t="inlineStr"/>
    </row>
    <row r="1339">
      <c r="A1339" s="256" t="inlineStr">
        <is>
          <t>CoQ-PP_26-059</t>
        </is>
      </c>
      <c r="B1339" s="256" t="inlineStr">
        <is>
          <t>release</t>
        </is>
      </c>
      <c r="C1339" s="256" t="inlineStr">
        <is>
          <t>PM112501</t>
        </is>
      </c>
      <c r="D1339" s="256" t="inlineStr">
        <is>
          <t>P060232</t>
        </is>
      </c>
      <c r="E1339" s="256" t="inlineStr">
        <is>
          <t>Permanent Marker</t>
        </is>
      </c>
      <c r="F1339" s="256" t="inlineStr">
        <is>
          <t>06.06.2026</t>
        </is>
      </c>
      <c r="G1339" s="256" t="inlineStr">
        <is>
          <t>4</t>
        </is>
      </c>
      <c r="H1339" s="256" t="inlineStr">
        <is>
          <t>Assay — Total Δ⁹-THC</t>
        </is>
      </c>
      <c r="I1339" s="256" t="inlineStr">
        <is>
          <t>HPLC — DAB 2018 monograph Cannabis flos, 2.2.29 (CNP, before its Ph. Eur. 3028 accreditation)</t>
        </is>
      </c>
      <c r="J1339" s="256" t="inlineStr">
        <is>
          <t>13.00 – 14.99 %  (grade I, nominal 14.00 ± 1.00)</t>
        </is>
      </c>
      <c r="K1339" s="256" t="inlineStr">
        <is>
          <t>13.33</t>
        </is>
      </c>
      <c r="L1339" s="256" t="inlineStr">
        <is>
          <t>ППК26030</t>
        </is>
      </c>
      <c r="M1339" s="256" t="inlineStr">
        <is>
          <t>05.03.2026</t>
        </is>
      </c>
      <c r="N1339" s="256" t="inlineStr">
        <is>
          <t>UKIM Faculty of Pharmacy — Center for Natural Products</t>
        </is>
      </c>
      <c r="O1339" s="256" t="inlineStr">
        <is>
          <t>23.02.2026</t>
        </is>
      </c>
      <c r="P1339" s="256" t="inlineStr">
        <is>
          <t>covered</t>
        </is>
      </c>
      <c r="Q1339" s="256" t="inlineStr"/>
      <c r="R1339" s="256" t="inlineStr">
        <is>
          <t>10.80 (220-24-К/26)</t>
        </is>
      </c>
    </row>
    <row r="1340">
      <c r="A1340" s="256" t="inlineStr">
        <is>
          <t>CoQ-PP_26-059</t>
        </is>
      </c>
      <c r="B1340" s="256" t="inlineStr">
        <is>
          <t>release</t>
        </is>
      </c>
      <c r="C1340" s="256" t="inlineStr">
        <is>
          <t>PM112501</t>
        </is>
      </c>
      <c r="D1340" s="256" t="inlineStr">
        <is>
          <t>P060232</t>
        </is>
      </c>
      <c r="E1340" s="256" t="inlineStr">
        <is>
          <t>Permanent Marker</t>
        </is>
      </c>
      <c r="F1340" s="256" t="inlineStr">
        <is>
          <t>06.06.2026</t>
        </is>
      </c>
      <c r="G1340" s="256" t="inlineStr">
        <is>
          <t>5</t>
        </is>
      </c>
      <c r="H1340" s="256" t="inlineStr">
        <is>
          <t>Assay — Total CBD</t>
        </is>
      </c>
      <c r="I1340" s="256" t="inlineStr">
        <is>
          <t>HPLC — DAB 2018 monograph Cannabis flos, 2.2.29 · CBD + CBDA x 0.877 (CNP, before its Ph. Eur. 3028 accreditation)</t>
        </is>
      </c>
      <c r="J1340" s="256" t="inlineStr">
        <is>
          <t>≤ 1.0%, w/w</t>
        </is>
      </c>
      <c r="K1340" s="256" t="inlineStr">
        <is>
          <t>0.03</t>
        </is>
      </c>
      <c r="L1340" s="256" t="inlineStr">
        <is>
          <t>ППК26030</t>
        </is>
      </c>
      <c r="M1340" s="256" t="inlineStr">
        <is>
          <t>05.03.2026</t>
        </is>
      </c>
      <c r="N1340" s="256" t="inlineStr">
        <is>
          <t>UKIM Faculty of Pharmacy — Center for Natural Products</t>
        </is>
      </c>
      <c r="O1340" s="256" t="inlineStr">
        <is>
          <t>23.02.2026</t>
        </is>
      </c>
      <c r="P1340" s="256" t="inlineStr">
        <is>
          <t>covered</t>
        </is>
      </c>
      <c r="Q1340" s="256" t="inlineStr"/>
      <c r="R1340" s="256" t="inlineStr">
        <is>
          <t>&lt;LOQ (220-24-К/26)</t>
        </is>
      </c>
    </row>
    <row r="1341">
      <c r="A1341" s="256" t="inlineStr">
        <is>
          <t>CoQ-PP_26-059</t>
        </is>
      </c>
      <c r="B1341" s="256" t="inlineStr">
        <is>
          <t>release</t>
        </is>
      </c>
      <c r="C1341" s="256" t="inlineStr">
        <is>
          <t>PM112501</t>
        </is>
      </c>
      <c r="D1341" s="256" t="inlineStr">
        <is>
          <t>P060232</t>
        </is>
      </c>
      <c r="E1341" s="256" t="inlineStr">
        <is>
          <t>Permanent Marker</t>
        </is>
      </c>
      <c r="F1341" s="256" t="inlineStr">
        <is>
          <t>06.06.2026</t>
        </is>
      </c>
      <c r="G1341" s="256" t="inlineStr">
        <is>
          <t>6</t>
        </is>
      </c>
      <c r="H1341" s="256" t="inlineStr">
        <is>
          <t>Total CBN</t>
        </is>
      </c>
      <c r="I1341" s="256" t="inlineStr">
        <is>
          <t>HPLC — DAB 2018 monograph Cannabis flos, 2.2.29 · CBN + CBNA x 0.876 (CNP, before its Ph. Eur. 3028 accreditation)</t>
        </is>
      </c>
      <c r="J1341" s="256" t="inlineStr">
        <is>
          <t>≤ 1.0%, w/w</t>
        </is>
      </c>
      <c r="K1341" s="256" t="inlineStr">
        <is>
          <t>0.01 % %</t>
        </is>
      </c>
      <c r="L1341" s="256" t="inlineStr">
        <is>
          <t>ППК26030</t>
        </is>
      </c>
      <c r="M1341" s="256" t="inlineStr">
        <is>
          <t>05.03.2026</t>
        </is>
      </c>
      <c r="N1341" s="256" t="inlineStr">
        <is>
          <t>CNP</t>
        </is>
      </c>
      <c r="O1341" s="256" t="inlineStr">
        <is>
          <t>23.02.2026</t>
        </is>
      </c>
      <c r="P1341" s="256" t="inlineStr">
        <is>
          <t>covered</t>
        </is>
      </c>
      <c r="Q1341" s="256" t="inlineStr"/>
      <c r="R1341" s="256" t="inlineStr"/>
    </row>
    <row r="1342">
      <c r="A1342" s="256" t="inlineStr">
        <is>
          <t>CoQ-PP_26-059</t>
        </is>
      </c>
      <c r="B1342" s="256" t="inlineStr">
        <is>
          <t>release</t>
        </is>
      </c>
      <c r="C1342" s="256" t="inlineStr">
        <is>
          <t>PM112501</t>
        </is>
      </c>
      <c r="D1342" s="256" t="inlineStr">
        <is>
          <t>P060232</t>
        </is>
      </c>
      <c r="E1342" s="256" t="inlineStr">
        <is>
          <t>Permanent Marker</t>
        </is>
      </c>
      <c r="F1342" s="256" t="inlineStr">
        <is>
          <t>06.06.2026</t>
        </is>
      </c>
      <c r="G1342" s="256" t="inlineStr">
        <is>
          <t>7</t>
        </is>
      </c>
      <c r="H1342" s="256" t="inlineStr">
        <is>
          <t>Foreign Matter</t>
        </is>
      </c>
      <c r="I1342" s="256" t="inlineStr">
        <is>
          <t>Ph. Eur. 2.8.2 · In-house · интерна</t>
        </is>
      </c>
      <c r="J1342" s="256" t="inlineStr">
        <is>
          <t>≤ 2.0% / 25–50 g · &lt; 1 cm leaves | листови, no seeds | без семки</t>
        </is>
      </c>
      <c r="K1342" s="256" t="inlineStr">
        <is>
          <t>Conforms | Одговара</t>
        </is>
      </c>
      <c r="L1342" s="256" t="inlineStr">
        <is>
          <t>iCoA-PP_26-062</t>
        </is>
      </c>
      <c r="M1342" s="256" t="inlineStr">
        <is>
          <t>03.06.2026</t>
        </is>
      </c>
      <c r="N1342" s="256" t="inlineStr">
        <is>
          <t>Purely Plant GmbH (in-house)</t>
        </is>
      </c>
      <c r="O1342" s="256" t="inlineStr">
        <is>
          <t>—</t>
        </is>
      </c>
      <c r="P1342" s="256" t="inlineStr">
        <is>
          <t>to be performed — see route</t>
        </is>
      </c>
      <c r="Q1342" s="256" t="inlineStr">
        <is>
          <t>Purely Plant laboratory — iCoA covering Foreign matter</t>
        </is>
      </c>
      <c r="R1342" s="256" t="inlineStr"/>
    </row>
    <row r="1343">
      <c r="A1343" s="256" t="inlineStr">
        <is>
          <t>CoQ-PP_26-059</t>
        </is>
      </c>
      <c r="B1343" s="256" t="inlineStr">
        <is>
          <t>release</t>
        </is>
      </c>
      <c r="C1343" s="256" t="inlineStr">
        <is>
          <t>PM112501</t>
        </is>
      </c>
      <c r="D1343" s="256" t="inlineStr">
        <is>
          <t>P060232</t>
        </is>
      </c>
      <c r="E1343" s="256" t="inlineStr">
        <is>
          <t>Permanent Marker</t>
        </is>
      </c>
      <c r="F1343" s="256" t="inlineStr">
        <is>
          <t>06.06.2026</t>
        </is>
      </c>
      <c r="G1343" s="256" t="inlineStr">
        <is>
          <t>8</t>
        </is>
      </c>
      <c r="H1343" s="256" t="inlineStr">
        <is>
          <t>Loss on Drying</t>
        </is>
      </c>
      <c r="I1343" s="256" t="inlineStr">
        <is>
          <t>DAB 2018 monograph Cannabis flos, 2.2.32 — loss on drying (CNP, before its Ph. Eur. 3028 accreditation)</t>
        </is>
      </c>
      <c r="J1343" s="256" t="inlineStr">
        <is>
          <t>≤ 12.0%</t>
        </is>
      </c>
      <c r="K1343" s="256" t="inlineStr">
        <is>
          <t>8.61</t>
        </is>
      </c>
      <c r="L1343" s="256" t="inlineStr">
        <is>
          <t>ППК26030</t>
        </is>
      </c>
      <c r="M1343" s="256" t="inlineStr">
        <is>
          <t>05.03.2026</t>
        </is>
      </c>
      <c r="N1343" s="256" t="inlineStr">
        <is>
          <t>UKIM Faculty of Pharmacy — Center for Natural Products</t>
        </is>
      </c>
      <c r="O1343" s="256" t="inlineStr">
        <is>
          <t>23.02.2026</t>
        </is>
      </c>
      <c r="P1343" s="256" t="inlineStr">
        <is>
          <t>covered</t>
        </is>
      </c>
      <c r="Q1343" s="256" t="inlineStr"/>
      <c r="R1343" s="256" t="inlineStr"/>
    </row>
    <row r="1344">
      <c r="A1344" s="256" t="inlineStr">
        <is>
          <t>CoQ-PP_26-059</t>
        </is>
      </c>
      <c r="B1344" s="256" t="inlineStr">
        <is>
          <t>release</t>
        </is>
      </c>
      <c r="C1344" s="256" t="inlineStr">
        <is>
          <t>PM112501</t>
        </is>
      </c>
      <c r="D1344" s="256" t="inlineStr">
        <is>
          <t>P060232</t>
        </is>
      </c>
      <c r="E1344" s="256" t="inlineStr">
        <is>
          <t>Permanent Marker</t>
        </is>
      </c>
      <c r="F1344" s="256" t="inlineStr">
        <is>
          <t>06.06.2026</t>
        </is>
      </c>
      <c r="G1344" s="256" t="inlineStr">
        <is>
          <t>9.1</t>
        </is>
      </c>
      <c r="H1344" s="256" t="inlineStr">
        <is>
          <t>TAMC</t>
        </is>
      </c>
      <c r="I1344" s="256" t="inlineStr">
        <is>
          <t>Ph. Eur. 2.6.12 cat. C</t>
        </is>
      </c>
      <c r="J1344" s="256" t="inlineStr">
        <is>
          <t>≤ 10⁵ CFU/g</t>
        </is>
      </c>
      <c r="K1344" s="256" t="inlineStr">
        <is>
          <t>10</t>
        </is>
      </c>
      <c r="L1344" s="256" t="inlineStr">
        <is>
          <t>135/0232/26</t>
        </is>
      </c>
      <c r="M1344" s="256" t="inlineStr">
        <is>
          <t>06.03.2026</t>
        </is>
      </c>
      <c r="N1344" s="256" t="inlineStr">
        <is>
          <t>IPH — Institute of Public Health</t>
        </is>
      </c>
      <c r="O1344" s="256" t="inlineStr">
        <is>
          <t>—</t>
        </is>
      </c>
      <c r="P1344" s="256" t="inlineStr">
        <is>
          <t>covered</t>
        </is>
      </c>
      <c r="Q1344" s="256" t="inlineStr"/>
      <c r="R1344" s="256" t="inlineStr"/>
    </row>
    <row r="1345">
      <c r="A1345" s="256" t="inlineStr">
        <is>
          <t>CoQ-PP_26-059</t>
        </is>
      </c>
      <c r="B1345" s="256" t="inlineStr">
        <is>
          <t>release</t>
        </is>
      </c>
      <c r="C1345" s="256" t="inlineStr">
        <is>
          <t>PM112501</t>
        </is>
      </c>
      <c r="D1345" s="256" t="inlineStr">
        <is>
          <t>P060232</t>
        </is>
      </c>
      <c r="E1345" s="256" t="inlineStr">
        <is>
          <t>Permanent Marker</t>
        </is>
      </c>
      <c r="F1345" s="256" t="inlineStr">
        <is>
          <t>06.06.2026</t>
        </is>
      </c>
      <c r="G1345" s="256" t="inlineStr">
        <is>
          <t>9.2</t>
        </is>
      </c>
      <c r="H1345" s="256" t="inlineStr">
        <is>
          <t>TYMC</t>
        </is>
      </c>
      <c r="I1345" s="256" t="inlineStr">
        <is>
          <t>Ph. Eur. 2.6.12 cat. C</t>
        </is>
      </c>
      <c r="J1345" s="256" t="inlineStr">
        <is>
          <t>≤ 10⁴ CFU/g</t>
        </is>
      </c>
      <c r="K1345" s="256" t="inlineStr">
        <is>
          <t>&lt; 10</t>
        </is>
      </c>
      <c r="L1345" s="256" t="inlineStr">
        <is>
          <t>135/0232/26</t>
        </is>
      </c>
      <c r="M1345" s="256" t="inlineStr">
        <is>
          <t>06.03.2026</t>
        </is>
      </c>
      <c r="N1345" s="256" t="inlineStr">
        <is>
          <t>IPH — Institute of Public Health</t>
        </is>
      </c>
      <c r="O1345" s="256" t="inlineStr">
        <is>
          <t>—</t>
        </is>
      </c>
      <c r="P1345" s="256" t="inlineStr">
        <is>
          <t>covered</t>
        </is>
      </c>
      <c r="Q1345" s="256" t="inlineStr"/>
      <c r="R1345" s="256" t="inlineStr"/>
    </row>
    <row r="1346">
      <c r="A1346" s="256" t="inlineStr">
        <is>
          <t>CoQ-PP_26-059</t>
        </is>
      </c>
      <c r="B1346" s="256" t="inlineStr">
        <is>
          <t>release</t>
        </is>
      </c>
      <c r="C1346" s="256" t="inlineStr">
        <is>
          <t>PM112501</t>
        </is>
      </c>
      <c r="D1346" s="256" t="inlineStr">
        <is>
          <t>P060232</t>
        </is>
      </c>
      <c r="E1346" s="256" t="inlineStr">
        <is>
          <t>Permanent Marker</t>
        </is>
      </c>
      <c r="F1346" s="256" t="inlineStr">
        <is>
          <t>06.06.2026</t>
        </is>
      </c>
      <c r="G1346" s="256" t="inlineStr">
        <is>
          <t>9.3</t>
        </is>
      </c>
      <c r="H1346" s="256" t="inlineStr">
        <is>
          <t>Bile-tolerant gram-neg.</t>
        </is>
      </c>
      <c r="I1346" s="256" t="inlineStr">
        <is>
          <t>Ph. Eur. 2.6.31 cat. C</t>
        </is>
      </c>
      <c r="J1346" s="256" t="inlineStr">
        <is>
          <t>≤ 10⁴ CFU/g</t>
        </is>
      </c>
      <c r="K1346" s="256" t="inlineStr">
        <is>
          <t>&lt; 10</t>
        </is>
      </c>
      <c r="L1346" s="256" t="inlineStr">
        <is>
          <t>135/0232/26</t>
        </is>
      </c>
      <c r="M1346" s="256" t="inlineStr">
        <is>
          <t>06.03.2026</t>
        </is>
      </c>
      <c r="N1346" s="256" t="inlineStr">
        <is>
          <t>IPH — Institute of Public Health</t>
        </is>
      </c>
      <c r="O1346" s="256" t="inlineStr">
        <is>
          <t>—</t>
        </is>
      </c>
      <c r="P1346" s="256" t="inlineStr">
        <is>
          <t>covered</t>
        </is>
      </c>
      <c r="Q1346" s="256" t="inlineStr"/>
      <c r="R1346" s="256" t="inlineStr"/>
    </row>
    <row r="1347">
      <c r="A1347" s="256" t="inlineStr">
        <is>
          <t>CoQ-PP_26-059</t>
        </is>
      </c>
      <c r="B1347" s="256" t="inlineStr">
        <is>
          <t>release</t>
        </is>
      </c>
      <c r="C1347" s="256" t="inlineStr">
        <is>
          <t>PM112501</t>
        </is>
      </c>
      <c r="D1347" s="256" t="inlineStr">
        <is>
          <t>P060232</t>
        </is>
      </c>
      <c r="E1347" s="256" t="inlineStr">
        <is>
          <t>Permanent Marker</t>
        </is>
      </c>
      <c r="F1347" s="256" t="inlineStr">
        <is>
          <t>06.06.2026</t>
        </is>
      </c>
      <c r="G1347" s="256" t="inlineStr">
        <is>
          <t>9.4</t>
        </is>
      </c>
      <c r="H1347" s="256" t="inlineStr">
        <is>
          <t>Salmonella</t>
        </is>
      </c>
      <c r="I1347" s="256" t="inlineStr">
        <is>
          <t>Ph. Eur. 2.6.31 cat. C</t>
        </is>
      </c>
      <c r="J1347" s="256" t="inlineStr">
        <is>
          <t>Absence | Отсуство / 25 g</t>
        </is>
      </c>
      <c r="K1347" s="256" t="inlineStr">
        <is>
          <t>Absent | Отсутна</t>
        </is>
      </c>
      <c r="L1347" s="256" t="inlineStr">
        <is>
          <t>135/0232/26</t>
        </is>
      </c>
      <c r="M1347" s="256" t="inlineStr">
        <is>
          <t>06.03.2026</t>
        </is>
      </c>
      <c r="N1347" s="256" t="inlineStr">
        <is>
          <t>IPH — Institute of Public Health</t>
        </is>
      </c>
      <c r="O1347" s="256" t="inlineStr">
        <is>
          <t>—</t>
        </is>
      </c>
      <c r="P1347" s="256" t="inlineStr">
        <is>
          <t>covered</t>
        </is>
      </c>
      <c r="Q1347" s="256" t="inlineStr"/>
      <c r="R1347" s="256" t="inlineStr"/>
    </row>
    <row r="1348">
      <c r="A1348" s="256" t="inlineStr">
        <is>
          <t>CoQ-PP_26-059</t>
        </is>
      </c>
      <c r="B1348" s="256" t="inlineStr">
        <is>
          <t>release</t>
        </is>
      </c>
      <c r="C1348" s="256" t="inlineStr">
        <is>
          <t>PM112501</t>
        </is>
      </c>
      <c r="D1348" s="256" t="inlineStr">
        <is>
          <t>P060232</t>
        </is>
      </c>
      <c r="E1348" s="256" t="inlineStr">
        <is>
          <t>Permanent Marker</t>
        </is>
      </c>
      <c r="F1348" s="256" t="inlineStr">
        <is>
          <t>06.06.2026</t>
        </is>
      </c>
      <c r="G1348" s="256" t="inlineStr">
        <is>
          <t>9.5</t>
        </is>
      </c>
      <c r="H1348" s="256" t="inlineStr">
        <is>
          <t>Escherichia coli</t>
        </is>
      </c>
      <c r="I1348" s="256" t="inlineStr">
        <is>
          <t>Ph. Eur. 2.6.13 cat. C</t>
        </is>
      </c>
      <c r="J1348" s="256" t="inlineStr">
        <is>
          <t>Absence | Отсуство / 1 g</t>
        </is>
      </c>
      <c r="K1348" s="256" t="inlineStr">
        <is>
          <t>Absent | Отсутна</t>
        </is>
      </c>
      <c r="L1348" s="256" t="inlineStr">
        <is>
          <t>135/0232/26</t>
        </is>
      </c>
      <c r="M1348" s="256" t="inlineStr">
        <is>
          <t>06.03.2026</t>
        </is>
      </c>
      <c r="N1348" s="256" t="inlineStr">
        <is>
          <t>IPH — Institute of Public Health</t>
        </is>
      </c>
      <c r="O1348" s="256" t="inlineStr">
        <is>
          <t>—</t>
        </is>
      </c>
      <c r="P1348" s="256" t="inlineStr">
        <is>
          <t>covered</t>
        </is>
      </c>
      <c r="Q1348" s="256" t="inlineStr"/>
      <c r="R1348" s="256" t="inlineStr"/>
    </row>
    <row r="1349">
      <c r="A1349" s="256" t="inlineStr">
        <is>
          <t>CoQ-PP_26-059</t>
        </is>
      </c>
      <c r="B1349" s="256" t="inlineStr">
        <is>
          <t>release</t>
        </is>
      </c>
      <c r="C1349" s="256" t="inlineStr">
        <is>
          <t>PM112501</t>
        </is>
      </c>
      <c r="D1349" s="256" t="inlineStr">
        <is>
          <t>P060232</t>
        </is>
      </c>
      <c r="E1349" s="256" t="inlineStr">
        <is>
          <t>Permanent Marker</t>
        </is>
      </c>
      <c r="F1349" s="256" t="inlineStr">
        <is>
          <t>06.06.2026</t>
        </is>
      </c>
      <c r="G1349" s="256" t="inlineStr">
        <is>
          <t>9.6</t>
        </is>
      </c>
      <c r="H1349" s="256" t="inlineStr">
        <is>
          <t>Pseudomonas aeruginosa</t>
        </is>
      </c>
      <c r="I1349" s="256" t="inlineStr">
        <is>
          <t>Ph. Eur. 2.6.13 cat. C</t>
        </is>
      </c>
      <c r="J1349" s="256" t="inlineStr">
        <is>
          <t>Absence | Отсуство / 1 g</t>
        </is>
      </c>
      <c r="K1349" s="260" t="inlineStr">
        <is>
          <t>upon request — not required for release</t>
        </is>
      </c>
      <c r="L1349" s="256" t="inlineStr">
        <is>
          <t>—</t>
        </is>
      </c>
      <c r="M1349" s="256" t="inlineStr">
        <is>
          <t>—</t>
        </is>
      </c>
      <c r="N1349" s="256" t="inlineStr">
        <is>
          <t>—</t>
        </is>
      </c>
      <c r="O1349" s="256" t="inlineStr">
        <is>
          <t>—</t>
        </is>
      </c>
      <c r="P1349" s="256" t="inlineStr">
        <is>
          <t>upon request — not required for release</t>
        </is>
      </c>
      <c r="Q1349" s="256" t="inlineStr"/>
      <c r="R1349" s="256" t="inlineStr"/>
    </row>
    <row r="1350">
      <c r="A1350" s="256" t="inlineStr">
        <is>
          <t>CoQ-PP_26-059</t>
        </is>
      </c>
      <c r="B1350" s="256" t="inlineStr">
        <is>
          <t>release</t>
        </is>
      </c>
      <c r="C1350" s="256" t="inlineStr">
        <is>
          <t>PM112501</t>
        </is>
      </c>
      <c r="D1350" s="256" t="inlineStr">
        <is>
          <t>P060232</t>
        </is>
      </c>
      <c r="E1350" s="256" t="inlineStr">
        <is>
          <t>Permanent Marker</t>
        </is>
      </c>
      <c r="F1350" s="256" t="inlineStr">
        <is>
          <t>06.06.2026</t>
        </is>
      </c>
      <c r="G1350" s="256" t="inlineStr">
        <is>
          <t>9.7</t>
        </is>
      </c>
      <c r="H1350" s="256" t="inlineStr">
        <is>
          <t>Staphylococcus aureus</t>
        </is>
      </c>
      <c r="I1350" s="256" t="inlineStr">
        <is>
          <t>Ph. Eur. 2.6.13 cat. C</t>
        </is>
      </c>
      <c r="J1350" s="256" t="inlineStr">
        <is>
          <t>Absence | Отсуство / 1 g</t>
        </is>
      </c>
      <c r="K1350" s="260" t="inlineStr">
        <is>
          <t>upon request — not required for release</t>
        </is>
      </c>
      <c r="L1350" s="256" t="inlineStr">
        <is>
          <t>—</t>
        </is>
      </c>
      <c r="M1350" s="256" t="inlineStr">
        <is>
          <t>—</t>
        </is>
      </c>
      <c r="N1350" s="256" t="inlineStr">
        <is>
          <t>—</t>
        </is>
      </c>
      <c r="O1350" s="256" t="inlineStr">
        <is>
          <t>—</t>
        </is>
      </c>
      <c r="P1350" s="256" t="inlineStr">
        <is>
          <t>upon request — not required for release</t>
        </is>
      </c>
      <c r="Q1350" s="256" t="inlineStr"/>
      <c r="R1350" s="256" t="inlineStr"/>
    </row>
    <row r="1351">
      <c r="A1351" s="256" t="inlineStr">
        <is>
          <t>CoQ-PP_26-059</t>
        </is>
      </c>
      <c r="B1351" s="256" t="inlineStr">
        <is>
          <t>release</t>
        </is>
      </c>
      <c r="C1351" s="256" t="inlineStr">
        <is>
          <t>PM112501</t>
        </is>
      </c>
      <c r="D1351" s="256" t="inlineStr">
        <is>
          <t>P060232</t>
        </is>
      </c>
      <c r="E1351" s="256" t="inlineStr">
        <is>
          <t>Permanent Marker</t>
        </is>
      </c>
      <c r="F1351" s="256" t="inlineStr">
        <is>
          <t>06.06.2026</t>
        </is>
      </c>
      <c r="G1351" s="256" t="inlineStr">
        <is>
          <t>10.1</t>
        </is>
      </c>
      <c r="H1351" s="256" t="inlineStr">
        <is>
          <t>Aflatoxin B₁</t>
        </is>
      </c>
      <c r="I1351" s="256" t="inlineStr">
        <is>
          <t>Ph. Eur. 2.8.18 (HPLC-FLD)</t>
        </is>
      </c>
      <c r="J1351" s="256" t="inlineStr">
        <is>
          <t>≤ 2 µg/kg</t>
        </is>
      </c>
      <c r="K1351" s="259" t="inlineStr">
        <is>
          <t>not tested</t>
        </is>
      </c>
      <c r="L1351" s="256" t="inlineStr">
        <is>
          <t>—</t>
        </is>
      </c>
      <c r="M1351" s="256" t="inlineStr">
        <is>
          <t>—</t>
        </is>
      </c>
      <c r="N1351" s="256" t="inlineStr">
        <is>
          <t>—</t>
        </is>
      </c>
      <c r="O1351" s="256" t="inlineStr">
        <is>
          <t>—</t>
        </is>
      </c>
      <c r="P1351" s="256" t="inlineStr">
        <is>
          <t>not tested — no certificate covers it</t>
        </is>
      </c>
      <c r="Q1351" s="256" t="inlineStr"/>
      <c r="R1351" s="256" t="inlineStr">
        <is>
          <t>ND (220-24-М/26)</t>
        </is>
      </c>
    </row>
    <row r="1352">
      <c r="A1352" s="256" t="inlineStr">
        <is>
          <t>CoQ-PP_26-059</t>
        </is>
      </c>
      <c r="B1352" s="256" t="inlineStr">
        <is>
          <t>release</t>
        </is>
      </c>
      <c r="C1352" s="256" t="inlineStr">
        <is>
          <t>PM112501</t>
        </is>
      </c>
      <c r="D1352" s="256" t="inlineStr">
        <is>
          <t>P060232</t>
        </is>
      </c>
      <c r="E1352" s="256" t="inlineStr">
        <is>
          <t>Permanent Marker</t>
        </is>
      </c>
      <c r="F1352" s="256" t="inlineStr">
        <is>
          <t>06.06.2026</t>
        </is>
      </c>
      <c r="G1352" s="256" t="inlineStr">
        <is>
          <t>10.2</t>
        </is>
      </c>
      <c r="H1352" s="256" t="inlineStr">
        <is>
          <t>Aflatoxins ∑</t>
        </is>
      </c>
      <c r="I1352" s="256" t="inlineStr">
        <is>
          <t>Ph. Eur. 2.8.18 (HPLC-FLD)</t>
        </is>
      </c>
      <c r="J1352" s="256" t="inlineStr">
        <is>
          <t>≤ 4 µg/kg</t>
        </is>
      </c>
      <c r="K1352" s="256" t="inlineStr">
        <is>
          <t>2.2</t>
        </is>
      </c>
      <c r="L1352" s="256" t="inlineStr">
        <is>
          <t>1059/2026</t>
        </is>
      </c>
      <c r="M1352" s="256" t="inlineStr">
        <is>
          <t>09.03.2026</t>
        </is>
      </c>
      <c r="N1352" s="256" t="inlineStr">
        <is>
          <t>IPH — Institute of Public Health</t>
        </is>
      </c>
      <c r="O1352" s="256" t="inlineStr">
        <is>
          <t>—</t>
        </is>
      </c>
      <c r="P1352" s="256" t="inlineStr">
        <is>
          <t>covered</t>
        </is>
      </c>
      <c r="Q1352" s="256" t="inlineStr"/>
      <c r="R1352" s="256" t="inlineStr">
        <is>
          <t>ND (220-24-М/26)</t>
        </is>
      </c>
    </row>
    <row r="1353">
      <c r="A1353" s="256" t="inlineStr">
        <is>
          <t>CoQ-PP_26-059</t>
        </is>
      </c>
      <c r="B1353" s="256" t="inlineStr">
        <is>
          <t>release</t>
        </is>
      </c>
      <c r="C1353" s="256" t="inlineStr">
        <is>
          <t>PM112501</t>
        </is>
      </c>
      <c r="D1353" s="256" t="inlineStr">
        <is>
          <t>P060232</t>
        </is>
      </c>
      <c r="E1353" s="256" t="inlineStr">
        <is>
          <t>Permanent Marker</t>
        </is>
      </c>
      <c r="F1353" s="256" t="inlineStr">
        <is>
          <t>06.06.2026</t>
        </is>
      </c>
      <c r="G1353" s="256" t="inlineStr">
        <is>
          <t>10.3</t>
        </is>
      </c>
      <c r="H1353" s="256" t="inlineStr">
        <is>
          <t>Ochratoxin A</t>
        </is>
      </c>
      <c r="I1353" s="256" t="inlineStr">
        <is>
          <t>Ph. Eur. 2.8.22 (HPLC-FLD)</t>
        </is>
      </c>
      <c r="J1353" s="256" t="inlineStr">
        <is>
          <t>≤ 20 µg/kg</t>
        </is>
      </c>
      <c r="K1353" s="259" t="inlineStr">
        <is>
          <t>not tested</t>
        </is>
      </c>
      <c r="L1353" s="256" t="inlineStr">
        <is>
          <t>—</t>
        </is>
      </c>
      <c r="M1353" s="256" t="inlineStr">
        <is>
          <t>—</t>
        </is>
      </c>
      <c r="N1353" s="256" t="inlineStr">
        <is>
          <t>—</t>
        </is>
      </c>
      <c r="O1353" s="256" t="inlineStr">
        <is>
          <t>—</t>
        </is>
      </c>
      <c r="P1353" s="256" t="inlineStr">
        <is>
          <t>not tested — no certificate covers it</t>
        </is>
      </c>
      <c r="Q1353" s="256" t="inlineStr"/>
      <c r="R1353" s="256" t="inlineStr">
        <is>
          <t>ND (220-24-М/26)</t>
        </is>
      </c>
    </row>
    <row r="1354">
      <c r="A1354" s="256" t="inlineStr">
        <is>
          <t>CoQ-PP_26-059</t>
        </is>
      </c>
      <c r="B1354" s="256" t="inlineStr">
        <is>
          <t>release</t>
        </is>
      </c>
      <c r="C1354" s="256" t="inlineStr">
        <is>
          <t>PM112501</t>
        </is>
      </c>
      <c r="D1354" s="256" t="inlineStr">
        <is>
          <t>P060232</t>
        </is>
      </c>
      <c r="E1354" s="256" t="inlineStr">
        <is>
          <t>Permanent Marker</t>
        </is>
      </c>
      <c r="F1354" s="256" t="inlineStr">
        <is>
          <t>06.06.2026</t>
        </is>
      </c>
      <c r="G1354" s="256" t="inlineStr">
        <is>
          <t>11.1</t>
        </is>
      </c>
      <c r="H1354" s="256" t="inlineStr">
        <is>
          <t>Lead (Pb)</t>
        </is>
      </c>
      <c r="I1354" s="256" t="inlineStr">
        <is>
          <t>Ph. Eur. 2.4.27 (ICP-MS)</t>
        </is>
      </c>
      <c r="J1354" s="256" t="inlineStr">
        <is>
          <t>≤ 0.5 mg/kg</t>
        </is>
      </c>
      <c r="K1354" s="256" t="inlineStr">
        <is>
          <t>ND</t>
        </is>
      </c>
      <c r="L1354" s="256" t="inlineStr">
        <is>
          <t>1059/2026</t>
        </is>
      </c>
      <c r="M1354" s="256" t="inlineStr">
        <is>
          <t>09.03.2026</t>
        </is>
      </c>
      <c r="N1354" s="256" t="inlineStr">
        <is>
          <t>IPH — Institute of Public Health</t>
        </is>
      </c>
      <c r="O1354" s="256" t="inlineStr">
        <is>
          <t>—</t>
        </is>
      </c>
      <c r="P1354" s="256" t="inlineStr">
        <is>
          <t>covered</t>
        </is>
      </c>
      <c r="Q1354" s="256" t="inlineStr"/>
      <c r="R1354" s="256" t="inlineStr"/>
    </row>
    <row r="1355">
      <c r="A1355" s="256" t="inlineStr">
        <is>
          <t>CoQ-PP_26-059</t>
        </is>
      </c>
      <c r="B1355" s="256" t="inlineStr">
        <is>
          <t>release</t>
        </is>
      </c>
      <c r="C1355" s="256" t="inlineStr">
        <is>
          <t>PM112501</t>
        </is>
      </c>
      <c r="D1355" s="256" t="inlineStr">
        <is>
          <t>P060232</t>
        </is>
      </c>
      <c r="E1355" s="256" t="inlineStr">
        <is>
          <t>Permanent Marker</t>
        </is>
      </c>
      <c r="F1355" s="256" t="inlineStr">
        <is>
          <t>06.06.2026</t>
        </is>
      </c>
      <c r="G1355" s="256" t="inlineStr">
        <is>
          <t>11.2</t>
        </is>
      </c>
      <c r="H1355" s="256" t="inlineStr">
        <is>
          <t>Cadmium (Cd)</t>
        </is>
      </c>
      <c r="I1355" s="256" t="inlineStr">
        <is>
          <t>Ph. Eur. 2.4.27 (ICP-MS)</t>
        </is>
      </c>
      <c r="J1355" s="256" t="inlineStr">
        <is>
          <t>≤ 0.3 mg/kg</t>
        </is>
      </c>
      <c r="K1355" s="256" t="inlineStr">
        <is>
          <t>ND</t>
        </is>
      </c>
      <c r="L1355" s="256" t="inlineStr">
        <is>
          <t>1059/2026</t>
        </is>
      </c>
      <c r="M1355" s="256" t="inlineStr">
        <is>
          <t>09.03.2026</t>
        </is>
      </c>
      <c r="N1355" s="256" t="inlineStr">
        <is>
          <t>IPH — Institute of Public Health</t>
        </is>
      </c>
      <c r="O1355" s="256" t="inlineStr">
        <is>
          <t>—</t>
        </is>
      </c>
      <c r="P1355" s="256" t="inlineStr">
        <is>
          <t>covered</t>
        </is>
      </c>
      <c r="Q1355" s="256" t="inlineStr"/>
      <c r="R1355" s="256" t="inlineStr"/>
    </row>
    <row r="1356">
      <c r="A1356" s="256" t="inlineStr">
        <is>
          <t>CoQ-PP_26-059</t>
        </is>
      </c>
      <c r="B1356" s="256" t="inlineStr">
        <is>
          <t>release</t>
        </is>
      </c>
      <c r="C1356" s="256" t="inlineStr">
        <is>
          <t>PM112501</t>
        </is>
      </c>
      <c r="D1356" s="256" t="inlineStr">
        <is>
          <t>P060232</t>
        </is>
      </c>
      <c r="E1356" s="256" t="inlineStr">
        <is>
          <t>Permanent Marker</t>
        </is>
      </c>
      <c r="F1356" s="256" t="inlineStr">
        <is>
          <t>06.06.2026</t>
        </is>
      </c>
      <c r="G1356" s="256" t="inlineStr">
        <is>
          <t>11.3</t>
        </is>
      </c>
      <c r="H1356" s="256" t="inlineStr">
        <is>
          <t>Arsenic (As)</t>
        </is>
      </c>
      <c r="I1356" s="256" t="inlineStr">
        <is>
          <t>Ph. Eur. 2.4.27 (ICP-MS)</t>
        </is>
      </c>
      <c r="J1356" s="256" t="inlineStr">
        <is>
          <t>≤ 0.2 mg/kg</t>
        </is>
      </c>
      <c r="K1356" s="256" t="inlineStr">
        <is>
          <t>ND</t>
        </is>
      </c>
      <c r="L1356" s="256" t="inlineStr">
        <is>
          <t>1059/2026</t>
        </is>
      </c>
      <c r="M1356" s="256" t="inlineStr">
        <is>
          <t>09.03.2026</t>
        </is>
      </c>
      <c r="N1356" s="256" t="inlineStr">
        <is>
          <t>IPH — Institute of Public Health</t>
        </is>
      </c>
      <c r="O1356" s="256" t="inlineStr">
        <is>
          <t>—</t>
        </is>
      </c>
      <c r="P1356" s="256" t="inlineStr">
        <is>
          <t>covered</t>
        </is>
      </c>
      <c r="Q1356" s="256" t="inlineStr"/>
      <c r="R1356" s="256" t="inlineStr"/>
    </row>
    <row r="1357">
      <c r="A1357" s="256" t="inlineStr">
        <is>
          <t>CoQ-PP_26-059</t>
        </is>
      </c>
      <c r="B1357" s="256" t="inlineStr">
        <is>
          <t>release</t>
        </is>
      </c>
      <c r="C1357" s="256" t="inlineStr">
        <is>
          <t>PM112501</t>
        </is>
      </c>
      <c r="D1357" s="256" t="inlineStr">
        <is>
          <t>P060232</t>
        </is>
      </c>
      <c r="E1357" s="256" t="inlineStr">
        <is>
          <t>Permanent Marker</t>
        </is>
      </c>
      <c r="F1357" s="256" t="inlineStr">
        <is>
          <t>06.06.2026</t>
        </is>
      </c>
      <c r="G1357" s="256" t="inlineStr">
        <is>
          <t>11.4</t>
        </is>
      </c>
      <c r="H1357" s="256" t="inlineStr">
        <is>
          <t>Mercury (Hg)</t>
        </is>
      </c>
      <c r="I1357" s="256" t="inlineStr">
        <is>
          <t>Ph. Eur. 2.4.27 (ICP-MS)</t>
        </is>
      </c>
      <c r="J1357" s="256" t="inlineStr">
        <is>
          <t>≤ 0.1 mg/kg</t>
        </is>
      </c>
      <c r="K1357" s="256" t="inlineStr">
        <is>
          <t>ND</t>
        </is>
      </c>
      <c r="L1357" s="256" t="inlineStr">
        <is>
          <t>1059/2026</t>
        </is>
      </c>
      <c r="M1357" s="256" t="inlineStr">
        <is>
          <t>09.03.2026</t>
        </is>
      </c>
      <c r="N1357" s="256" t="inlineStr">
        <is>
          <t>IPH — Institute of Public Health</t>
        </is>
      </c>
      <c r="O1357" s="256" t="inlineStr">
        <is>
          <t>—</t>
        </is>
      </c>
      <c r="P1357" s="256" t="inlineStr">
        <is>
          <t>covered</t>
        </is>
      </c>
      <c r="Q1357" s="256" t="inlineStr"/>
      <c r="R1357" s="256" t="inlineStr"/>
    </row>
    <row r="1358">
      <c r="A1358" s="256" t="inlineStr">
        <is>
          <t>CoQ-PP_26-059</t>
        </is>
      </c>
      <c r="B1358" s="256" t="inlineStr">
        <is>
          <t>release</t>
        </is>
      </c>
      <c r="C1358" s="256" t="inlineStr">
        <is>
          <t>PM112501</t>
        </is>
      </c>
      <c r="D1358" s="256" t="inlineStr">
        <is>
          <t>P060232</t>
        </is>
      </c>
      <c r="E1358" s="256" t="inlineStr">
        <is>
          <t>Permanent Marker</t>
        </is>
      </c>
      <c r="F1358" s="256" t="inlineStr">
        <is>
          <t>06.06.2026</t>
        </is>
      </c>
      <c r="G1358" s="256" t="inlineStr">
        <is>
          <t>12</t>
        </is>
      </c>
      <c r="H1358" s="256" t="inlineStr">
        <is>
          <t>Pesticide Residues</t>
        </is>
      </c>
      <c r="I1358" s="256" t="inlineStr">
        <is>
          <t>Ph. Eur. 2.8.13 (LC-MS/MS) · CUMCS Equivalency</t>
        </is>
      </c>
      <c r="J1358" s="256" t="inlineStr">
        <is>
          <t>≤ LOQ as per Ph. Eur. 2.8.13 · ≤ LOQ as per CUMCS Equivalency</t>
        </is>
      </c>
      <c r="K1358" s="256" t="inlineStr">
        <is>
          <t>ND mg/kg — all 25 residues</t>
        </is>
      </c>
      <c r="L1358" s="256" t="inlineStr">
        <is>
          <t>1059/2026</t>
        </is>
      </c>
      <c r="M1358" s="256" t="inlineStr">
        <is>
          <t>09.03.2026</t>
        </is>
      </c>
      <c r="N1358" s="256" t="inlineStr">
        <is>
          <t>IJZ</t>
        </is>
      </c>
      <c r="O1358" s="256" t="inlineStr">
        <is>
          <t>—</t>
        </is>
      </c>
      <c r="P1358" s="256" t="inlineStr">
        <is>
          <t>covered</t>
        </is>
      </c>
      <c r="Q1358" s="256" t="inlineStr"/>
      <c r="R1358" s="256" t="inlineStr"/>
    </row>
    <row r="1359">
      <c r="A1359" s="256" t="inlineStr">
        <is>
          <t>CoQ-PP_26-060</t>
        </is>
      </c>
      <c r="B1359" s="256" t="inlineStr">
        <is>
          <t>release</t>
        </is>
      </c>
      <c r="C1359" s="256" t="inlineStr">
        <is>
          <t>OPM122501</t>
        </is>
      </c>
      <c r="D1359" s="256" t="inlineStr">
        <is>
          <t>P060242</t>
        </is>
      </c>
      <c r="E1359" s="256" t="inlineStr">
        <is>
          <t>Orange Punch Mimosa</t>
        </is>
      </c>
      <c r="F1359" s="256" t="inlineStr">
        <is>
          <t>06.06.2026</t>
        </is>
      </c>
      <c r="G1359" s="256" t="inlineStr">
        <is>
          <t>1</t>
        </is>
      </c>
      <c r="H1359" s="256" t="inlineStr">
        <is>
          <t>Identification A, Appearance · Macroscopic</t>
        </is>
      </c>
      <c r="I1359" s="256" t="inlineStr">
        <is>
          <t>Ph. Eur. mon. 3028</t>
        </is>
      </c>
      <c r="J1359" s="256" t="inlineStr">
        <is>
          <t>Conforms to the monograph for Cannabis flos (07/2024:3028) in Ph. Eur. 11.0 | Согласно монографија за Cannabis flos (07/2024:3028) во Ph. Eur. 11.0</t>
        </is>
      </c>
      <c r="K1359" s="256" t="inlineStr">
        <is>
          <t>Conforms | Одговара</t>
        </is>
      </c>
      <c r="L1359" s="256" t="inlineStr">
        <is>
          <t>iCoA-PP_26-063</t>
        </is>
      </c>
      <c r="M1359" s="256" t="inlineStr">
        <is>
          <t>03.06.2026</t>
        </is>
      </c>
      <c r="N1359" s="256" t="inlineStr">
        <is>
          <t>Purely Plant GmbH (in-house)</t>
        </is>
      </c>
      <c r="O1359" s="256" t="inlineStr">
        <is>
          <t>—</t>
        </is>
      </c>
      <c r="P1359" s="256" t="inlineStr">
        <is>
          <t>to be performed — see route</t>
        </is>
      </c>
      <c r="Q1359" s="256" t="inlineStr">
        <is>
          <t>Purely Plant laboratory — iCoA covering Ident A + B</t>
        </is>
      </c>
      <c r="R1359" s="256" t="inlineStr"/>
    </row>
    <row r="1360">
      <c r="A1360" s="256" t="inlineStr">
        <is>
          <t>CoQ-PP_26-060</t>
        </is>
      </c>
      <c r="B1360" s="256" t="inlineStr">
        <is>
          <t>release</t>
        </is>
      </c>
      <c r="C1360" s="256" t="inlineStr">
        <is>
          <t>OPM122501</t>
        </is>
      </c>
      <c r="D1360" s="256" t="inlineStr">
        <is>
          <t>P060242</t>
        </is>
      </c>
      <c r="E1360" s="256" t="inlineStr">
        <is>
          <t>Orange Punch Mimosa</t>
        </is>
      </c>
      <c r="F1360" s="256" t="inlineStr">
        <is>
          <t>06.06.2026</t>
        </is>
      </c>
      <c r="G1360" s="256" t="inlineStr">
        <is>
          <t>2</t>
        </is>
      </c>
      <c r="H1360" s="256" t="inlineStr">
        <is>
          <t>Identification B · Microscopic</t>
        </is>
      </c>
      <c r="I1360" s="256" t="inlineStr">
        <is>
          <t>Ph. Eur. 2.8.23 (microscopy)</t>
        </is>
      </c>
      <c r="J1360" s="256" t="inlineStr">
        <is>
          <t>Conforms to the monograph for Cannabis flos (07/2024:3028) in Ph. Eur. 11.0 | Согласно монографија за Cannabis flos (07/2024:3028) во Ph. Eur. 11.0</t>
        </is>
      </c>
      <c r="K1360" s="256" t="inlineStr">
        <is>
          <t>Conforms | Одговара</t>
        </is>
      </c>
      <c r="L1360" s="256" t="inlineStr">
        <is>
          <t>iCoA-PP_26-063</t>
        </is>
      </c>
      <c r="M1360" s="256" t="inlineStr">
        <is>
          <t>03.06.2026</t>
        </is>
      </c>
      <c r="N1360" s="256" t="inlineStr">
        <is>
          <t>Purely Plant GmbH (in-house)</t>
        </is>
      </c>
      <c r="O1360" s="256" t="inlineStr">
        <is>
          <t>—</t>
        </is>
      </c>
      <c r="P1360" s="256" t="inlineStr">
        <is>
          <t>to be performed — see route</t>
        </is>
      </c>
      <c r="Q1360" s="256" t="inlineStr">
        <is>
          <t>Purely Plant laboratory — iCoA covering Ident A + B</t>
        </is>
      </c>
      <c r="R1360" s="256" t="inlineStr"/>
    </row>
    <row r="1361">
      <c r="A1361" s="256" t="inlineStr">
        <is>
          <t>CoQ-PP_26-060</t>
        </is>
      </c>
      <c r="B1361" s="256" t="inlineStr">
        <is>
          <t>release</t>
        </is>
      </c>
      <c r="C1361" s="256" t="inlineStr">
        <is>
          <t>OPM122501</t>
        </is>
      </c>
      <c r="D1361" s="256" t="inlineStr">
        <is>
          <t>P060242</t>
        </is>
      </c>
      <c r="E1361" s="256" t="inlineStr">
        <is>
          <t>Orange Punch Mimosa</t>
        </is>
      </c>
      <c r="F1361" s="256" t="inlineStr">
        <is>
          <t>06.06.2026</t>
        </is>
      </c>
      <c r="G1361" s="256" t="inlineStr">
        <is>
          <t>3</t>
        </is>
      </c>
      <c r="H1361" s="256" t="inlineStr">
        <is>
          <t>Identification C · HPLC/HPTLC</t>
        </is>
      </c>
      <c r="I1361" s="256" t="inlineStr">
        <is>
          <t>Ph. Eur. 2.2.29 (3028)</t>
        </is>
      </c>
      <c r="J1361" s="256" t="inlineStr">
        <is>
          <t>Conforms to the monograph for Cannabis flos (07/2024:3028) in Ph. Eur. 11.0 | Согласно монографија за Cannabis flos (07/2024:3028) во Ph. Eur. 11.0</t>
        </is>
      </c>
      <c r="K1361" s="256" t="inlineStr">
        <is>
          <t>Conforms | Одговара</t>
        </is>
      </c>
      <c r="L1361" s="256" t="inlineStr">
        <is>
          <t>100-4-К/26</t>
        </is>
      </c>
      <c r="M1361" s="256" t="inlineStr">
        <is>
          <t>09.04.2026</t>
        </is>
      </c>
      <c r="N1361" s="256" t="inlineStr">
        <is>
          <t>Farmahem</t>
        </is>
      </c>
      <c r="O1361" s="256" t="inlineStr">
        <is>
          <t>26.03.2026</t>
        </is>
      </c>
      <c r="P1361" s="256" t="inlineStr">
        <is>
          <t>covered</t>
        </is>
      </c>
      <c r="Q1361" s="256" t="inlineStr"/>
      <c r="R1361" s="256" t="inlineStr"/>
    </row>
    <row r="1362">
      <c r="A1362" s="256" t="inlineStr">
        <is>
          <t>CoQ-PP_26-060</t>
        </is>
      </c>
      <c r="B1362" s="256" t="inlineStr">
        <is>
          <t>release</t>
        </is>
      </c>
      <c r="C1362" s="256" t="inlineStr">
        <is>
          <t>OPM122501</t>
        </is>
      </c>
      <c r="D1362" s="256" t="inlineStr">
        <is>
          <t>P060242</t>
        </is>
      </c>
      <c r="E1362" s="256" t="inlineStr">
        <is>
          <t>Orange Punch Mimosa</t>
        </is>
      </c>
      <c r="F1362" s="256" t="inlineStr">
        <is>
          <t>06.06.2026</t>
        </is>
      </c>
      <c r="G1362" s="256" t="inlineStr">
        <is>
          <t>4</t>
        </is>
      </c>
      <c r="H1362" s="256" t="inlineStr">
        <is>
          <t>Assay — Total Δ⁹-THC</t>
        </is>
      </c>
      <c r="I1362" s="256" t="inlineStr">
        <is>
          <t>Ph. Eur. 2.2.29 (HPLC)</t>
        </is>
      </c>
      <c r="J1362" s="256" t="inlineStr">
        <is>
          <t>7.20 – 8.79 %  (grade V, nominal 8.00 ± 0.80)</t>
        </is>
      </c>
      <c r="K1362" s="256" t="inlineStr">
        <is>
          <t>8.09</t>
        </is>
      </c>
      <c r="L1362" s="256" t="inlineStr">
        <is>
          <t>100-4-К/26</t>
        </is>
      </c>
      <c r="M1362" s="256" t="inlineStr">
        <is>
          <t>09.04.2026</t>
        </is>
      </c>
      <c r="N1362" s="256" t="inlineStr">
        <is>
          <t>Farmahem</t>
        </is>
      </c>
      <c r="O1362" s="256" t="inlineStr">
        <is>
          <t>26.03.2026</t>
        </is>
      </c>
      <c r="P1362" s="256" t="inlineStr">
        <is>
          <t>covered</t>
        </is>
      </c>
      <c r="Q1362" s="256" t="inlineStr"/>
      <c r="R1362" s="256" t="inlineStr">
        <is>
          <t>7.91 (197-19-К/26)</t>
        </is>
      </c>
    </row>
    <row r="1363">
      <c r="A1363" s="256" t="inlineStr">
        <is>
          <t>CoQ-PP_26-060</t>
        </is>
      </c>
      <c r="B1363" s="256" t="inlineStr">
        <is>
          <t>release</t>
        </is>
      </c>
      <c r="C1363" s="256" t="inlineStr">
        <is>
          <t>OPM122501</t>
        </is>
      </c>
      <c r="D1363" s="256" t="inlineStr">
        <is>
          <t>P060242</t>
        </is>
      </c>
      <c r="E1363" s="256" t="inlineStr">
        <is>
          <t>Orange Punch Mimosa</t>
        </is>
      </c>
      <c r="F1363" s="256" t="inlineStr">
        <is>
          <t>06.06.2026</t>
        </is>
      </c>
      <c r="G1363" s="256" t="inlineStr">
        <is>
          <t>5</t>
        </is>
      </c>
      <c r="H1363" s="256" t="inlineStr">
        <is>
          <t>Assay — Total CBD</t>
        </is>
      </c>
      <c r="I1363" s="256" t="inlineStr">
        <is>
          <t>Ph. Eur. 2.2.29 (HPLC) · CBD + CBDA x 0.877</t>
        </is>
      </c>
      <c r="J1363" s="256" t="inlineStr">
        <is>
          <t>≤ 1.0%, w/w</t>
        </is>
      </c>
      <c r="K1363" s="256" t="inlineStr">
        <is>
          <t>&lt; LOQ (&lt;0.20)</t>
        </is>
      </c>
      <c r="L1363" s="256" t="inlineStr">
        <is>
          <t>100-4-К/26</t>
        </is>
      </c>
      <c r="M1363" s="256" t="inlineStr">
        <is>
          <t>09.04.2026</t>
        </is>
      </c>
      <c r="N1363" s="256" t="inlineStr">
        <is>
          <t>Farmahem</t>
        </is>
      </c>
      <c r="O1363" s="256" t="inlineStr">
        <is>
          <t>26.03.2026</t>
        </is>
      </c>
      <c r="P1363" s="256" t="inlineStr">
        <is>
          <t>covered</t>
        </is>
      </c>
      <c r="Q1363" s="256" t="inlineStr"/>
      <c r="R1363" s="256" t="inlineStr">
        <is>
          <t>&lt;LOQ (197-19-К/26)</t>
        </is>
      </c>
    </row>
    <row r="1364">
      <c r="A1364" s="256" t="inlineStr">
        <is>
          <t>CoQ-PP_26-060</t>
        </is>
      </c>
      <c r="B1364" s="256" t="inlineStr">
        <is>
          <t>release</t>
        </is>
      </c>
      <c r="C1364" s="256" t="inlineStr">
        <is>
          <t>OPM122501</t>
        </is>
      </c>
      <c r="D1364" s="256" t="inlineStr">
        <is>
          <t>P060242</t>
        </is>
      </c>
      <c r="E1364" s="256" t="inlineStr">
        <is>
          <t>Orange Punch Mimosa</t>
        </is>
      </c>
      <c r="F1364" s="256" t="inlineStr">
        <is>
          <t>06.06.2026</t>
        </is>
      </c>
      <c r="G1364" s="256" t="inlineStr">
        <is>
          <t>6</t>
        </is>
      </c>
      <c r="H1364" s="256" t="inlineStr">
        <is>
          <t>Total CBN</t>
        </is>
      </c>
      <c r="I1364" s="256" t="inlineStr">
        <is>
          <t>Ph. Eur. 2.2.29 (HPLC) · CBN + CBNA x 0.876</t>
        </is>
      </c>
      <c r="J1364" s="256" t="inlineStr">
        <is>
          <t>≤ 1.0%, w/w</t>
        </is>
      </c>
      <c r="K1364" s="256" t="inlineStr">
        <is>
          <t>&lt; LOQ</t>
        </is>
      </c>
      <c r="L1364" s="256" t="inlineStr">
        <is>
          <t>100-4-К/26</t>
        </is>
      </c>
      <c r="M1364" s="256" t="inlineStr">
        <is>
          <t>09.04.2026</t>
        </is>
      </c>
      <c r="N1364" s="256" t="inlineStr">
        <is>
          <t>Farmahem</t>
        </is>
      </c>
      <c r="O1364" s="256" t="inlineStr">
        <is>
          <t>26.03.2026</t>
        </is>
      </c>
      <c r="P1364" s="256" t="inlineStr">
        <is>
          <t>covered</t>
        </is>
      </c>
      <c r="Q1364" s="256" t="inlineStr"/>
      <c r="R1364" s="256" t="inlineStr">
        <is>
          <t>&lt;LOQ (197-19-К/26)</t>
        </is>
      </c>
    </row>
    <row r="1365">
      <c r="A1365" s="256" t="inlineStr">
        <is>
          <t>CoQ-PP_26-060</t>
        </is>
      </c>
      <c r="B1365" s="256" t="inlineStr">
        <is>
          <t>release</t>
        </is>
      </c>
      <c r="C1365" s="256" t="inlineStr">
        <is>
          <t>OPM122501</t>
        </is>
      </c>
      <c r="D1365" s="256" t="inlineStr">
        <is>
          <t>P060242</t>
        </is>
      </c>
      <c r="E1365" s="256" t="inlineStr">
        <is>
          <t>Orange Punch Mimosa</t>
        </is>
      </c>
      <c r="F1365" s="256" t="inlineStr">
        <is>
          <t>06.06.2026</t>
        </is>
      </c>
      <c r="G1365" s="256" t="inlineStr">
        <is>
          <t>7</t>
        </is>
      </c>
      <c r="H1365" s="256" t="inlineStr">
        <is>
          <t>Foreign Matter</t>
        </is>
      </c>
      <c r="I1365" s="256" t="inlineStr">
        <is>
          <t>Ph. Eur. 2.8.2 · In-house · интерна</t>
        </is>
      </c>
      <c r="J1365" s="256" t="inlineStr">
        <is>
          <t>≤ 2.0% / 25–50 g · &lt; 1 cm leaves | листови, no seeds | без семки</t>
        </is>
      </c>
      <c r="K1365" s="256" t="inlineStr">
        <is>
          <t>Conforms | Одговара</t>
        </is>
      </c>
      <c r="L1365" s="256" t="inlineStr">
        <is>
          <t>iCoA-PP_26-063</t>
        </is>
      </c>
      <c r="M1365" s="256" t="inlineStr">
        <is>
          <t>03.06.2026</t>
        </is>
      </c>
      <c r="N1365" s="256" t="inlineStr">
        <is>
          <t>Purely Plant GmbH (in-house)</t>
        </is>
      </c>
      <c r="O1365" s="256" t="inlineStr">
        <is>
          <t>—</t>
        </is>
      </c>
      <c r="P1365" s="256" t="inlineStr">
        <is>
          <t>to be performed — see route</t>
        </is>
      </c>
      <c r="Q1365" s="256" t="inlineStr">
        <is>
          <t>Purely Plant laboratory — iCoA covering Foreign matter</t>
        </is>
      </c>
      <c r="R1365" s="256" t="inlineStr"/>
    </row>
    <row r="1366">
      <c r="A1366" s="256" t="inlineStr">
        <is>
          <t>CoQ-PP_26-060</t>
        </is>
      </c>
      <c r="B1366" s="256" t="inlineStr">
        <is>
          <t>release</t>
        </is>
      </c>
      <c r="C1366" s="256" t="inlineStr">
        <is>
          <t>OPM122501</t>
        </is>
      </c>
      <c r="D1366" s="256" t="inlineStr">
        <is>
          <t>P060242</t>
        </is>
      </c>
      <c r="E1366" s="256" t="inlineStr">
        <is>
          <t>Orange Punch Mimosa</t>
        </is>
      </c>
      <c r="F1366" s="256" t="inlineStr">
        <is>
          <t>06.06.2026</t>
        </is>
      </c>
      <c r="G1366" s="256" t="inlineStr">
        <is>
          <t>8</t>
        </is>
      </c>
      <c r="H1366" s="256" t="inlineStr">
        <is>
          <t>Loss on Drying</t>
        </is>
      </c>
      <c r="I1366" s="256" t="inlineStr">
        <is>
          <t>Ph. Eur. 2.2.32 (3028) · at 40 °C, 24 h, 15–25 mbar</t>
        </is>
      </c>
      <c r="J1366" s="256" t="inlineStr">
        <is>
          <t>≤ 12.0%</t>
        </is>
      </c>
      <c r="K1366" s="256" t="inlineStr">
        <is>
          <t>6.6</t>
        </is>
      </c>
      <c r="L1366" s="256" t="inlineStr">
        <is>
          <t>100-4-ГС/26</t>
        </is>
      </c>
      <c r="M1366" s="256" t="inlineStr">
        <is>
          <t>09.04.2026</t>
        </is>
      </c>
      <c r="N1366" s="256" t="inlineStr">
        <is>
          <t>Farmahem</t>
        </is>
      </c>
      <c r="O1366" s="256" t="inlineStr">
        <is>
          <t>—</t>
        </is>
      </c>
      <c r="P1366" s="256" t="inlineStr">
        <is>
          <t>covered</t>
        </is>
      </c>
      <c r="Q1366" s="256" t="inlineStr"/>
      <c r="R1366" s="256" t="inlineStr"/>
    </row>
    <row r="1367">
      <c r="A1367" s="256" t="inlineStr">
        <is>
          <t>CoQ-PP_26-060</t>
        </is>
      </c>
      <c r="B1367" s="256" t="inlineStr">
        <is>
          <t>release</t>
        </is>
      </c>
      <c r="C1367" s="256" t="inlineStr">
        <is>
          <t>OPM122501</t>
        </is>
      </c>
      <c r="D1367" s="256" t="inlineStr">
        <is>
          <t>P060242</t>
        </is>
      </c>
      <c r="E1367" s="256" t="inlineStr">
        <is>
          <t>Orange Punch Mimosa</t>
        </is>
      </c>
      <c r="F1367" s="256" t="inlineStr">
        <is>
          <t>06.06.2026</t>
        </is>
      </c>
      <c r="G1367" s="256" t="inlineStr">
        <is>
          <t>9.1</t>
        </is>
      </c>
      <c r="H1367" s="256" t="inlineStr">
        <is>
          <t>TAMC</t>
        </is>
      </c>
      <c r="I1367" s="256" t="inlineStr">
        <is>
          <t>Ph. Eur. 2.6.12 cat. C</t>
        </is>
      </c>
      <c r="J1367" s="256" t="inlineStr">
        <is>
          <t>≤ 10⁵ CFU/g</t>
        </is>
      </c>
      <c r="K1367" s="256" t="inlineStr">
        <is>
          <t>120</t>
        </is>
      </c>
      <c r="L1367" s="256" t="inlineStr">
        <is>
          <t>229/0392/26</t>
        </is>
      </c>
      <c r="M1367" s="256" t="inlineStr">
        <is>
          <t>07.04.2026</t>
        </is>
      </c>
      <c r="N1367" s="256" t="inlineStr">
        <is>
          <t>IPH — Institute of Public Health</t>
        </is>
      </c>
      <c r="O1367" s="256" t="inlineStr">
        <is>
          <t>01.04.2026</t>
        </is>
      </c>
      <c r="P1367" s="256" t="inlineStr">
        <is>
          <t>covered</t>
        </is>
      </c>
      <c r="Q1367" s="256" t="inlineStr"/>
      <c r="R1367" s="256" t="inlineStr"/>
    </row>
    <row r="1368">
      <c r="A1368" s="256" t="inlineStr">
        <is>
          <t>CoQ-PP_26-060</t>
        </is>
      </c>
      <c r="B1368" s="256" t="inlineStr">
        <is>
          <t>release</t>
        </is>
      </c>
      <c r="C1368" s="256" t="inlineStr">
        <is>
          <t>OPM122501</t>
        </is>
      </c>
      <c r="D1368" s="256" t="inlineStr">
        <is>
          <t>P060242</t>
        </is>
      </c>
      <c r="E1368" s="256" t="inlineStr">
        <is>
          <t>Orange Punch Mimosa</t>
        </is>
      </c>
      <c r="F1368" s="256" t="inlineStr">
        <is>
          <t>06.06.2026</t>
        </is>
      </c>
      <c r="G1368" s="256" t="inlineStr">
        <is>
          <t>9.2</t>
        </is>
      </c>
      <c r="H1368" s="256" t="inlineStr">
        <is>
          <t>TYMC</t>
        </is>
      </c>
      <c r="I1368" s="256" t="inlineStr">
        <is>
          <t>Ph. Eur. 2.6.12 cat. C</t>
        </is>
      </c>
      <c r="J1368" s="256" t="inlineStr">
        <is>
          <t>≤ 10⁴ CFU/g</t>
        </is>
      </c>
      <c r="K1368" s="256" t="inlineStr">
        <is>
          <t>100</t>
        </is>
      </c>
      <c r="L1368" s="256" t="inlineStr">
        <is>
          <t>229/0392/26</t>
        </is>
      </c>
      <c r="M1368" s="256" t="inlineStr">
        <is>
          <t>07.04.2026</t>
        </is>
      </c>
      <c r="N1368" s="256" t="inlineStr">
        <is>
          <t>IPH — Institute of Public Health</t>
        </is>
      </c>
      <c r="O1368" s="256" t="inlineStr">
        <is>
          <t>01.04.2026</t>
        </is>
      </c>
      <c r="P1368" s="256" t="inlineStr">
        <is>
          <t>covered</t>
        </is>
      </c>
      <c r="Q1368" s="256" t="inlineStr"/>
      <c r="R1368" s="256" t="inlineStr"/>
    </row>
    <row r="1369">
      <c r="A1369" s="256" t="inlineStr">
        <is>
          <t>CoQ-PP_26-060</t>
        </is>
      </c>
      <c r="B1369" s="256" t="inlineStr">
        <is>
          <t>release</t>
        </is>
      </c>
      <c r="C1369" s="256" t="inlineStr">
        <is>
          <t>OPM122501</t>
        </is>
      </c>
      <c r="D1369" s="256" t="inlineStr">
        <is>
          <t>P060242</t>
        </is>
      </c>
      <c r="E1369" s="256" t="inlineStr">
        <is>
          <t>Orange Punch Mimosa</t>
        </is>
      </c>
      <c r="F1369" s="256" t="inlineStr">
        <is>
          <t>06.06.2026</t>
        </is>
      </c>
      <c r="G1369" s="256" t="inlineStr">
        <is>
          <t>9.3</t>
        </is>
      </c>
      <c r="H1369" s="256" t="inlineStr">
        <is>
          <t>Bile-tolerant gram-neg.</t>
        </is>
      </c>
      <c r="I1369" s="256" t="inlineStr">
        <is>
          <t>Ph. Eur. 2.6.31 cat. C</t>
        </is>
      </c>
      <c r="J1369" s="256" t="inlineStr">
        <is>
          <t>≤ 10⁴ CFU/g</t>
        </is>
      </c>
      <c r="K1369" s="256" t="inlineStr">
        <is>
          <t>&lt; 10</t>
        </is>
      </c>
      <c r="L1369" s="256" t="inlineStr">
        <is>
          <t>229/0392/26</t>
        </is>
      </c>
      <c r="M1369" s="256" t="inlineStr">
        <is>
          <t>07.04.2026</t>
        </is>
      </c>
      <c r="N1369" s="256" t="inlineStr">
        <is>
          <t>IPH — Institute of Public Health</t>
        </is>
      </c>
      <c r="O1369" s="256" t="inlineStr">
        <is>
          <t>01.04.2026</t>
        </is>
      </c>
      <c r="P1369" s="256" t="inlineStr">
        <is>
          <t>covered</t>
        </is>
      </c>
      <c r="Q1369" s="256" t="inlineStr"/>
      <c r="R1369" s="256" t="inlineStr"/>
    </row>
    <row r="1370">
      <c r="A1370" s="256" t="inlineStr">
        <is>
          <t>CoQ-PP_26-060</t>
        </is>
      </c>
      <c r="B1370" s="256" t="inlineStr">
        <is>
          <t>release</t>
        </is>
      </c>
      <c r="C1370" s="256" t="inlineStr">
        <is>
          <t>OPM122501</t>
        </is>
      </c>
      <c r="D1370" s="256" t="inlineStr">
        <is>
          <t>P060242</t>
        </is>
      </c>
      <c r="E1370" s="256" t="inlineStr">
        <is>
          <t>Orange Punch Mimosa</t>
        </is>
      </c>
      <c r="F1370" s="256" t="inlineStr">
        <is>
          <t>06.06.2026</t>
        </is>
      </c>
      <c r="G1370" s="256" t="inlineStr">
        <is>
          <t>9.4</t>
        </is>
      </c>
      <c r="H1370" s="256" t="inlineStr">
        <is>
          <t>Salmonella</t>
        </is>
      </c>
      <c r="I1370" s="256" t="inlineStr">
        <is>
          <t>Ph. Eur. 2.6.31 cat. C</t>
        </is>
      </c>
      <c r="J1370" s="256" t="inlineStr">
        <is>
          <t>Absence | Отсуство / 25 g</t>
        </is>
      </c>
      <c r="K1370" s="256" t="inlineStr">
        <is>
          <t>Absent | Отсутна</t>
        </is>
      </c>
      <c r="L1370" s="256" t="inlineStr">
        <is>
          <t>229/0392/26</t>
        </is>
      </c>
      <c r="M1370" s="256" t="inlineStr">
        <is>
          <t>07.04.2026</t>
        </is>
      </c>
      <c r="N1370" s="256" t="inlineStr">
        <is>
          <t>IPH — Institute of Public Health</t>
        </is>
      </c>
      <c r="O1370" s="256" t="inlineStr">
        <is>
          <t>01.04.2026</t>
        </is>
      </c>
      <c r="P1370" s="256" t="inlineStr">
        <is>
          <t>covered</t>
        </is>
      </c>
      <c r="Q1370" s="256" t="inlineStr"/>
      <c r="R1370" s="256" t="inlineStr"/>
    </row>
    <row r="1371">
      <c r="A1371" s="256" t="inlineStr">
        <is>
          <t>CoQ-PP_26-060</t>
        </is>
      </c>
      <c r="B1371" s="256" t="inlineStr">
        <is>
          <t>release</t>
        </is>
      </c>
      <c r="C1371" s="256" t="inlineStr">
        <is>
          <t>OPM122501</t>
        </is>
      </c>
      <c r="D1371" s="256" t="inlineStr">
        <is>
          <t>P060242</t>
        </is>
      </c>
      <c r="E1371" s="256" t="inlineStr">
        <is>
          <t>Orange Punch Mimosa</t>
        </is>
      </c>
      <c r="F1371" s="256" t="inlineStr">
        <is>
          <t>06.06.2026</t>
        </is>
      </c>
      <c r="G1371" s="256" t="inlineStr">
        <is>
          <t>9.5</t>
        </is>
      </c>
      <c r="H1371" s="256" t="inlineStr">
        <is>
          <t>Escherichia coli</t>
        </is>
      </c>
      <c r="I1371" s="256" t="inlineStr">
        <is>
          <t>Ph. Eur. 2.6.13 cat. C</t>
        </is>
      </c>
      <c r="J1371" s="256" t="inlineStr">
        <is>
          <t>Absence | Отсуство / 1 g</t>
        </is>
      </c>
      <c r="K1371" s="256" t="inlineStr">
        <is>
          <t>Absent | Отсутна</t>
        </is>
      </c>
      <c r="L1371" s="256" t="inlineStr">
        <is>
          <t>229/0392/26</t>
        </is>
      </c>
      <c r="M1371" s="256" t="inlineStr">
        <is>
          <t>07.04.2026</t>
        </is>
      </c>
      <c r="N1371" s="256" t="inlineStr">
        <is>
          <t>IPH — Institute of Public Health</t>
        </is>
      </c>
      <c r="O1371" s="256" t="inlineStr">
        <is>
          <t>01.04.2026</t>
        </is>
      </c>
      <c r="P1371" s="256" t="inlineStr">
        <is>
          <t>covered</t>
        </is>
      </c>
      <c r="Q1371" s="256" t="inlineStr"/>
      <c r="R1371" s="256" t="inlineStr"/>
    </row>
    <row r="1372">
      <c r="A1372" s="256" t="inlineStr">
        <is>
          <t>CoQ-PP_26-060</t>
        </is>
      </c>
      <c r="B1372" s="256" t="inlineStr">
        <is>
          <t>release</t>
        </is>
      </c>
      <c r="C1372" s="256" t="inlineStr">
        <is>
          <t>OPM122501</t>
        </is>
      </c>
      <c r="D1372" s="256" t="inlineStr">
        <is>
          <t>P060242</t>
        </is>
      </c>
      <c r="E1372" s="256" t="inlineStr">
        <is>
          <t>Orange Punch Mimosa</t>
        </is>
      </c>
      <c r="F1372" s="256" t="inlineStr">
        <is>
          <t>06.06.2026</t>
        </is>
      </c>
      <c r="G1372" s="256" t="inlineStr">
        <is>
          <t>9.6</t>
        </is>
      </c>
      <c r="H1372" s="256" t="inlineStr">
        <is>
          <t>Pseudomonas aeruginosa</t>
        </is>
      </c>
      <c r="I1372" s="256" t="inlineStr">
        <is>
          <t>Ph. Eur. 2.6.13 cat. C</t>
        </is>
      </c>
      <c r="J1372" s="256" t="inlineStr">
        <is>
          <t>Absence | Отсуство / 1 g</t>
        </is>
      </c>
      <c r="K1372" s="260" t="inlineStr">
        <is>
          <t>upon request — not required for release</t>
        </is>
      </c>
      <c r="L1372" s="256" t="inlineStr">
        <is>
          <t>—</t>
        </is>
      </c>
      <c r="M1372" s="256" t="inlineStr">
        <is>
          <t>—</t>
        </is>
      </c>
      <c r="N1372" s="256" t="inlineStr">
        <is>
          <t>—</t>
        </is>
      </c>
      <c r="O1372" s="256" t="inlineStr">
        <is>
          <t>—</t>
        </is>
      </c>
      <c r="P1372" s="256" t="inlineStr">
        <is>
          <t>upon request — not required for release</t>
        </is>
      </c>
      <c r="Q1372" s="256" t="inlineStr"/>
      <c r="R1372" s="256" t="inlineStr"/>
    </row>
    <row r="1373">
      <c r="A1373" s="256" t="inlineStr">
        <is>
          <t>CoQ-PP_26-060</t>
        </is>
      </c>
      <c r="B1373" s="256" t="inlineStr">
        <is>
          <t>release</t>
        </is>
      </c>
      <c r="C1373" s="256" t="inlineStr">
        <is>
          <t>OPM122501</t>
        </is>
      </c>
      <c r="D1373" s="256" t="inlineStr">
        <is>
          <t>P060242</t>
        </is>
      </c>
      <c r="E1373" s="256" t="inlineStr">
        <is>
          <t>Orange Punch Mimosa</t>
        </is>
      </c>
      <c r="F1373" s="256" t="inlineStr">
        <is>
          <t>06.06.2026</t>
        </is>
      </c>
      <c r="G1373" s="256" t="inlineStr">
        <is>
          <t>9.7</t>
        </is>
      </c>
      <c r="H1373" s="256" t="inlineStr">
        <is>
          <t>Staphylococcus aureus</t>
        </is>
      </c>
      <c r="I1373" s="256" t="inlineStr">
        <is>
          <t>Ph. Eur. 2.6.13 cat. C</t>
        </is>
      </c>
      <c r="J1373" s="256" t="inlineStr">
        <is>
          <t>Absence | Отсуство / 1 g</t>
        </is>
      </c>
      <c r="K1373" s="260" t="inlineStr">
        <is>
          <t>upon request — not required for release</t>
        </is>
      </c>
      <c r="L1373" s="256" t="inlineStr">
        <is>
          <t>—</t>
        </is>
      </c>
      <c r="M1373" s="256" t="inlineStr">
        <is>
          <t>—</t>
        </is>
      </c>
      <c r="N1373" s="256" t="inlineStr">
        <is>
          <t>—</t>
        </is>
      </c>
      <c r="O1373" s="256" t="inlineStr">
        <is>
          <t>—</t>
        </is>
      </c>
      <c r="P1373" s="256" t="inlineStr">
        <is>
          <t>upon request — not required for release</t>
        </is>
      </c>
      <c r="Q1373" s="256" t="inlineStr"/>
      <c r="R1373" s="256" t="inlineStr"/>
    </row>
    <row r="1374">
      <c r="A1374" s="256" t="inlineStr">
        <is>
          <t>CoQ-PP_26-060</t>
        </is>
      </c>
      <c r="B1374" s="256" t="inlineStr">
        <is>
          <t>release</t>
        </is>
      </c>
      <c r="C1374" s="256" t="inlineStr">
        <is>
          <t>OPM122501</t>
        </is>
      </c>
      <c r="D1374" s="256" t="inlineStr">
        <is>
          <t>P060242</t>
        </is>
      </c>
      <c r="E1374" s="256" t="inlineStr">
        <is>
          <t>Orange Punch Mimosa</t>
        </is>
      </c>
      <c r="F1374" s="256" t="inlineStr">
        <is>
          <t>06.06.2026</t>
        </is>
      </c>
      <c r="G1374" s="256" t="inlineStr">
        <is>
          <t>10.1</t>
        </is>
      </c>
      <c r="H1374" s="256" t="inlineStr">
        <is>
          <t>Aflatoxin B₁</t>
        </is>
      </c>
      <c r="I1374" s="256" t="inlineStr">
        <is>
          <t>Ph. Eur. 2.8.18 (HPLC-FLD)</t>
        </is>
      </c>
      <c r="J1374" s="256" t="inlineStr">
        <is>
          <t>≤ 2 µg/kg</t>
        </is>
      </c>
      <c r="K1374" s="259" t="inlineStr">
        <is>
          <t>not tested</t>
        </is>
      </c>
      <c r="L1374" s="256" t="inlineStr">
        <is>
          <t>—</t>
        </is>
      </c>
      <c r="M1374" s="256" t="inlineStr">
        <is>
          <t>—</t>
        </is>
      </c>
      <c r="N1374" s="256" t="inlineStr">
        <is>
          <t>—</t>
        </is>
      </c>
      <c r="O1374" s="256" t="inlineStr">
        <is>
          <t>—</t>
        </is>
      </c>
      <c r="P1374" s="256" t="inlineStr">
        <is>
          <t>not tested — no certificate covers it</t>
        </is>
      </c>
      <c r="Q1374" s="256" t="inlineStr"/>
      <c r="R1374" s="256" t="inlineStr">
        <is>
          <t>ND (197-19-М/26)</t>
        </is>
      </c>
    </row>
    <row r="1375">
      <c r="A1375" s="256" t="inlineStr">
        <is>
          <t>CoQ-PP_26-060</t>
        </is>
      </c>
      <c r="B1375" s="256" t="inlineStr">
        <is>
          <t>release</t>
        </is>
      </c>
      <c r="C1375" s="256" t="inlineStr">
        <is>
          <t>OPM122501</t>
        </is>
      </c>
      <c r="D1375" s="256" t="inlineStr">
        <is>
          <t>P060242</t>
        </is>
      </c>
      <c r="E1375" s="256" t="inlineStr">
        <is>
          <t>Orange Punch Mimosa</t>
        </is>
      </c>
      <c r="F1375" s="256" t="inlineStr">
        <is>
          <t>06.06.2026</t>
        </is>
      </c>
      <c r="G1375" s="256" t="inlineStr">
        <is>
          <t>10.2</t>
        </is>
      </c>
      <c r="H1375" s="256" t="inlineStr">
        <is>
          <t>Aflatoxins ∑</t>
        </is>
      </c>
      <c r="I1375" s="256" t="inlineStr">
        <is>
          <t>Ph. Eur. 2.8.18 (HPLC-FLD)</t>
        </is>
      </c>
      <c r="J1375" s="256" t="inlineStr">
        <is>
          <t>≤ 4 µg/kg</t>
        </is>
      </c>
      <c r="K1375" s="256" t="inlineStr">
        <is>
          <t>2.2</t>
        </is>
      </c>
      <c r="L1375" s="256" t="inlineStr">
        <is>
          <t>1627/2026</t>
        </is>
      </c>
      <c r="M1375" s="256" t="inlineStr">
        <is>
          <t>23.04.2026</t>
        </is>
      </c>
      <c r="N1375" s="256" t="inlineStr">
        <is>
          <t>IPH — Institute of Public Health</t>
        </is>
      </c>
      <c r="O1375" s="256" t="inlineStr">
        <is>
          <t>27.03.2026</t>
        </is>
      </c>
      <c r="P1375" s="256" t="inlineStr">
        <is>
          <t>covered</t>
        </is>
      </c>
      <c r="Q1375" s="256" t="inlineStr"/>
      <c r="R1375" s="256" t="inlineStr">
        <is>
          <t>ND (197-19-М/26)</t>
        </is>
      </c>
    </row>
    <row r="1376">
      <c r="A1376" s="256" t="inlineStr">
        <is>
          <t>CoQ-PP_26-060</t>
        </is>
      </c>
      <c r="B1376" s="256" t="inlineStr">
        <is>
          <t>release</t>
        </is>
      </c>
      <c r="C1376" s="256" t="inlineStr">
        <is>
          <t>OPM122501</t>
        </is>
      </c>
      <c r="D1376" s="256" t="inlineStr">
        <is>
          <t>P060242</t>
        </is>
      </c>
      <c r="E1376" s="256" t="inlineStr">
        <is>
          <t>Orange Punch Mimosa</t>
        </is>
      </c>
      <c r="F1376" s="256" t="inlineStr">
        <is>
          <t>06.06.2026</t>
        </is>
      </c>
      <c r="G1376" s="256" t="inlineStr">
        <is>
          <t>10.3</t>
        </is>
      </c>
      <c r="H1376" s="256" t="inlineStr">
        <is>
          <t>Ochratoxin A</t>
        </is>
      </c>
      <c r="I1376" s="256" t="inlineStr">
        <is>
          <t>Ph. Eur. 2.8.22 (HPLC-FLD)</t>
        </is>
      </c>
      <c r="J1376" s="256" t="inlineStr">
        <is>
          <t>≤ 20 µg/kg</t>
        </is>
      </c>
      <c r="K1376" s="259" t="inlineStr">
        <is>
          <t>not tested</t>
        </is>
      </c>
      <c r="L1376" s="256" t="inlineStr">
        <is>
          <t>—</t>
        </is>
      </c>
      <c r="M1376" s="256" t="inlineStr">
        <is>
          <t>—</t>
        </is>
      </c>
      <c r="N1376" s="256" t="inlineStr">
        <is>
          <t>—</t>
        </is>
      </c>
      <c r="O1376" s="256" t="inlineStr">
        <is>
          <t>—</t>
        </is>
      </c>
      <c r="P1376" s="256" t="inlineStr">
        <is>
          <t>not tested — no certificate covers it</t>
        </is>
      </c>
      <c r="Q1376" s="256" t="inlineStr"/>
      <c r="R1376" s="256" t="inlineStr">
        <is>
          <t>ND (197-19-М/26)</t>
        </is>
      </c>
    </row>
    <row r="1377">
      <c r="A1377" s="256" t="inlineStr">
        <is>
          <t>CoQ-PP_26-060</t>
        </is>
      </c>
      <c r="B1377" s="256" t="inlineStr">
        <is>
          <t>release</t>
        </is>
      </c>
      <c r="C1377" s="256" t="inlineStr">
        <is>
          <t>OPM122501</t>
        </is>
      </c>
      <c r="D1377" s="256" t="inlineStr">
        <is>
          <t>P060242</t>
        </is>
      </c>
      <c r="E1377" s="256" t="inlineStr">
        <is>
          <t>Orange Punch Mimosa</t>
        </is>
      </c>
      <c r="F1377" s="256" t="inlineStr">
        <is>
          <t>06.06.2026</t>
        </is>
      </c>
      <c r="G1377" s="256" t="inlineStr">
        <is>
          <t>11.1</t>
        </is>
      </c>
      <c r="H1377" s="256" t="inlineStr">
        <is>
          <t>Lead (Pb)</t>
        </is>
      </c>
      <c r="I1377" s="256" t="inlineStr">
        <is>
          <t>Ph. Eur. 2.4.27 (ICP-MS)</t>
        </is>
      </c>
      <c r="J1377" s="256" t="inlineStr">
        <is>
          <t>≤ 0.5 mg/kg</t>
        </is>
      </c>
      <c r="K1377" s="256" t="inlineStr">
        <is>
          <t>0.049</t>
        </is>
      </c>
      <c r="L1377" s="256" t="inlineStr">
        <is>
          <t>1627/2026</t>
        </is>
      </c>
      <c r="M1377" s="256" t="inlineStr">
        <is>
          <t>23.04.2026</t>
        </is>
      </c>
      <c r="N1377" s="256" t="inlineStr">
        <is>
          <t>IPH — Institute of Public Health</t>
        </is>
      </c>
      <c r="O1377" s="256" t="inlineStr">
        <is>
          <t>27.03.2026</t>
        </is>
      </c>
      <c r="P1377" s="256" t="inlineStr">
        <is>
          <t>covered</t>
        </is>
      </c>
      <c r="Q1377" s="256" t="inlineStr"/>
      <c r="R1377" s="256" t="inlineStr"/>
    </row>
    <row r="1378">
      <c r="A1378" s="256" t="inlineStr">
        <is>
          <t>CoQ-PP_26-060</t>
        </is>
      </c>
      <c r="B1378" s="256" t="inlineStr">
        <is>
          <t>release</t>
        </is>
      </c>
      <c r="C1378" s="256" t="inlineStr">
        <is>
          <t>OPM122501</t>
        </is>
      </c>
      <c r="D1378" s="256" t="inlineStr">
        <is>
          <t>P060242</t>
        </is>
      </c>
      <c r="E1378" s="256" t="inlineStr">
        <is>
          <t>Orange Punch Mimosa</t>
        </is>
      </c>
      <c r="F1378" s="256" t="inlineStr">
        <is>
          <t>06.06.2026</t>
        </is>
      </c>
      <c r="G1378" s="256" t="inlineStr">
        <is>
          <t>11.2</t>
        </is>
      </c>
      <c r="H1378" s="256" t="inlineStr">
        <is>
          <t>Cadmium (Cd)</t>
        </is>
      </c>
      <c r="I1378" s="256" t="inlineStr">
        <is>
          <t>Ph. Eur. 2.4.27 (ICP-MS)</t>
        </is>
      </c>
      <c r="J1378" s="256" t="inlineStr">
        <is>
          <t>≤ 0.3 mg/kg</t>
        </is>
      </c>
      <c r="K1378" s="256" t="inlineStr">
        <is>
          <t>0.165</t>
        </is>
      </c>
      <c r="L1378" s="256" t="inlineStr">
        <is>
          <t>1627/2026</t>
        </is>
      </c>
      <c r="M1378" s="256" t="inlineStr">
        <is>
          <t>23.04.2026</t>
        </is>
      </c>
      <c r="N1378" s="256" t="inlineStr">
        <is>
          <t>IPH — Institute of Public Health</t>
        </is>
      </c>
      <c r="O1378" s="256" t="inlineStr">
        <is>
          <t>27.03.2026</t>
        </is>
      </c>
      <c r="P1378" s="256" t="inlineStr">
        <is>
          <t>covered</t>
        </is>
      </c>
      <c r="Q1378" s="256" t="inlineStr"/>
      <c r="R1378" s="256" t="inlineStr"/>
    </row>
    <row r="1379">
      <c r="A1379" s="256" t="inlineStr">
        <is>
          <t>CoQ-PP_26-060</t>
        </is>
      </c>
      <c r="B1379" s="256" t="inlineStr">
        <is>
          <t>release</t>
        </is>
      </c>
      <c r="C1379" s="256" t="inlineStr">
        <is>
          <t>OPM122501</t>
        </is>
      </c>
      <c r="D1379" s="256" t="inlineStr">
        <is>
          <t>P060242</t>
        </is>
      </c>
      <c r="E1379" s="256" t="inlineStr">
        <is>
          <t>Orange Punch Mimosa</t>
        </is>
      </c>
      <c r="F1379" s="256" t="inlineStr">
        <is>
          <t>06.06.2026</t>
        </is>
      </c>
      <c r="G1379" s="256" t="inlineStr">
        <is>
          <t>11.3</t>
        </is>
      </c>
      <c r="H1379" s="256" t="inlineStr">
        <is>
          <t>Arsenic (As)</t>
        </is>
      </c>
      <c r="I1379" s="256" t="inlineStr">
        <is>
          <t>Ph. Eur. 2.4.27 (ICP-MS)</t>
        </is>
      </c>
      <c r="J1379" s="256" t="inlineStr">
        <is>
          <t>≤ 0.2 mg/kg</t>
        </is>
      </c>
      <c r="K1379" s="256" t="inlineStr">
        <is>
          <t>ND</t>
        </is>
      </c>
      <c r="L1379" s="256" t="inlineStr">
        <is>
          <t>1627/2026</t>
        </is>
      </c>
      <c r="M1379" s="256" t="inlineStr">
        <is>
          <t>23.04.2026</t>
        </is>
      </c>
      <c r="N1379" s="256" t="inlineStr">
        <is>
          <t>IPH — Institute of Public Health</t>
        </is>
      </c>
      <c r="O1379" s="256" t="inlineStr">
        <is>
          <t>27.03.2026</t>
        </is>
      </c>
      <c r="P1379" s="256" t="inlineStr">
        <is>
          <t>covered</t>
        </is>
      </c>
      <c r="Q1379" s="256" t="inlineStr"/>
      <c r="R1379" s="256" t="inlineStr"/>
    </row>
    <row r="1380">
      <c r="A1380" s="256" t="inlineStr">
        <is>
          <t>CoQ-PP_26-060</t>
        </is>
      </c>
      <c r="B1380" s="256" t="inlineStr">
        <is>
          <t>release</t>
        </is>
      </c>
      <c r="C1380" s="256" t="inlineStr">
        <is>
          <t>OPM122501</t>
        </is>
      </c>
      <c r="D1380" s="256" t="inlineStr">
        <is>
          <t>P060242</t>
        </is>
      </c>
      <c r="E1380" s="256" t="inlineStr">
        <is>
          <t>Orange Punch Mimosa</t>
        </is>
      </c>
      <c r="F1380" s="256" t="inlineStr">
        <is>
          <t>06.06.2026</t>
        </is>
      </c>
      <c r="G1380" s="256" t="inlineStr">
        <is>
          <t>11.4</t>
        </is>
      </c>
      <c r="H1380" s="256" t="inlineStr">
        <is>
          <t>Mercury (Hg)</t>
        </is>
      </c>
      <c r="I1380" s="256" t="inlineStr">
        <is>
          <t>Ph. Eur. 2.4.27 (ICP-MS)</t>
        </is>
      </c>
      <c r="J1380" s="256" t="inlineStr">
        <is>
          <t>≤ 0.1 mg/kg</t>
        </is>
      </c>
      <c r="K1380" s="256" t="inlineStr">
        <is>
          <t>ND</t>
        </is>
      </c>
      <c r="L1380" s="256" t="inlineStr">
        <is>
          <t>1627/2026</t>
        </is>
      </c>
      <c r="M1380" s="256" t="inlineStr">
        <is>
          <t>23.04.2026</t>
        </is>
      </c>
      <c r="N1380" s="256" t="inlineStr">
        <is>
          <t>IPH — Institute of Public Health</t>
        </is>
      </c>
      <c r="O1380" s="256" t="inlineStr">
        <is>
          <t>27.03.2026</t>
        </is>
      </c>
      <c r="P1380" s="256" t="inlineStr">
        <is>
          <t>covered</t>
        </is>
      </c>
      <c r="Q1380" s="256" t="inlineStr"/>
      <c r="R1380" s="256" t="inlineStr"/>
    </row>
    <row r="1381">
      <c r="A1381" s="256" t="inlineStr">
        <is>
          <t>CoQ-PP_26-060</t>
        </is>
      </c>
      <c r="B1381" s="256" t="inlineStr">
        <is>
          <t>release</t>
        </is>
      </c>
      <c r="C1381" s="256" t="inlineStr">
        <is>
          <t>OPM122501</t>
        </is>
      </c>
      <c r="D1381" s="256" t="inlineStr">
        <is>
          <t>P060242</t>
        </is>
      </c>
      <c r="E1381" s="256" t="inlineStr">
        <is>
          <t>Orange Punch Mimosa</t>
        </is>
      </c>
      <c r="F1381" s="256" t="inlineStr">
        <is>
          <t>06.06.2026</t>
        </is>
      </c>
      <c r="G1381" s="256" t="inlineStr">
        <is>
          <t>12</t>
        </is>
      </c>
      <c r="H1381" s="256" t="inlineStr">
        <is>
          <t>Pesticide Residues</t>
        </is>
      </c>
      <c r="I1381" s="256" t="inlineStr">
        <is>
          <t>Ph. Eur. 2.8.13 (LC-MS/MS) · CUMCS Equivalency</t>
        </is>
      </c>
      <c r="J1381" s="256" t="inlineStr">
        <is>
          <t>≤ LOQ as per Ph. Eur. 2.8.13 · ≤ LOQ as per CUMCS Equivalency</t>
        </is>
      </c>
      <c r="K1381" s="256" t="inlineStr">
        <is>
          <t>ND</t>
        </is>
      </c>
      <c r="L1381" s="256" t="inlineStr">
        <is>
          <t>1627/2026</t>
        </is>
      </c>
      <c r="M1381" s="256" t="inlineStr">
        <is>
          <t>23.04.2026</t>
        </is>
      </c>
      <c r="N1381" s="256" t="inlineStr">
        <is>
          <t>IPH — Institute of Public Health</t>
        </is>
      </c>
      <c r="O1381" s="256" t="inlineStr">
        <is>
          <t>27.03.2026</t>
        </is>
      </c>
      <c r="P1381" s="256" t="inlineStr">
        <is>
          <t>covered</t>
        </is>
      </c>
      <c r="Q1381" s="256" t="inlineStr"/>
      <c r="R1381" s="256" t="inlineStr"/>
    </row>
    <row r="1382">
      <c r="A1382" s="256" t="inlineStr">
        <is>
          <t>CoQ-PP_26-061</t>
        </is>
      </c>
      <c r="B1382" s="256" t="inlineStr">
        <is>
          <t>release</t>
        </is>
      </c>
      <c r="C1382" s="256" t="inlineStr">
        <is>
          <t>GG112501</t>
        </is>
      </c>
      <c r="D1382" s="256" t="inlineStr">
        <is>
          <t>— no P lot assigned —</t>
        </is>
      </c>
      <c r="E1382" s="256" t="inlineStr">
        <is>
          <t>Gorilla Glue</t>
        </is>
      </c>
      <c r="F1382" s="256" t="inlineStr">
        <is>
          <t>06.06.2026</t>
        </is>
      </c>
      <c r="G1382" s="256" t="inlineStr">
        <is>
          <t>1</t>
        </is>
      </c>
      <c r="H1382" s="256" t="inlineStr">
        <is>
          <t>Identification A, Appearance · Macroscopic</t>
        </is>
      </c>
      <c r="I1382" s="256" t="inlineStr">
        <is>
          <t>Ph. Eur. mon. 3028</t>
        </is>
      </c>
      <c r="J1382" s="256" t="inlineStr">
        <is>
          <t>Conforms to the monograph for Cannabis flos (07/2024:3028) in Ph. Eur. 11.0 | Согласно монографија за Cannabis flos (07/2024:3028) во Ph. Eur. 11.0</t>
        </is>
      </c>
      <c r="K1382" s="256" t="inlineStr">
        <is>
          <t>Conforms | Одговара</t>
        </is>
      </c>
      <c r="L1382" s="256" t="inlineStr">
        <is>
          <t>iCoA-PP_26-064</t>
        </is>
      </c>
      <c r="M1382" s="256" t="inlineStr">
        <is>
          <t>03.06.2026</t>
        </is>
      </c>
      <c r="N1382" s="256" t="inlineStr">
        <is>
          <t>Purely Plant GmbH (in-house)</t>
        </is>
      </c>
      <c r="O1382" s="256" t="inlineStr">
        <is>
          <t>—</t>
        </is>
      </c>
      <c r="P1382" s="256" t="inlineStr">
        <is>
          <t>to be performed — see route</t>
        </is>
      </c>
      <c r="Q1382" s="256" t="inlineStr">
        <is>
          <t>Purely Plant laboratory — iCoA covering Ident A + B</t>
        </is>
      </c>
      <c r="R1382" s="256" t="inlineStr"/>
    </row>
    <row r="1383">
      <c r="A1383" s="256" t="inlineStr">
        <is>
          <t>CoQ-PP_26-061</t>
        </is>
      </c>
      <c r="B1383" s="256" t="inlineStr">
        <is>
          <t>release</t>
        </is>
      </c>
      <c r="C1383" s="256" t="inlineStr">
        <is>
          <t>GG112501</t>
        </is>
      </c>
      <c r="D1383" s="256" t="inlineStr">
        <is>
          <t>— no P lot assigned —</t>
        </is>
      </c>
      <c r="E1383" s="256" t="inlineStr">
        <is>
          <t>Gorilla Glue</t>
        </is>
      </c>
      <c r="F1383" s="256" t="inlineStr">
        <is>
          <t>06.06.2026</t>
        </is>
      </c>
      <c r="G1383" s="256" t="inlineStr">
        <is>
          <t>2</t>
        </is>
      </c>
      <c r="H1383" s="256" t="inlineStr">
        <is>
          <t>Identification B · Microscopic</t>
        </is>
      </c>
      <c r="I1383" s="256" t="inlineStr">
        <is>
          <t>Ph. Eur. 2.8.23 (microscopy)</t>
        </is>
      </c>
      <c r="J1383" s="256" t="inlineStr">
        <is>
          <t>Conforms to the monograph for Cannabis flos (07/2024:3028) in Ph. Eur. 11.0 | Согласно монографија за Cannabis flos (07/2024:3028) во Ph. Eur. 11.0</t>
        </is>
      </c>
      <c r="K1383" s="256" t="inlineStr">
        <is>
          <t>Conforms | Одговара</t>
        </is>
      </c>
      <c r="L1383" s="256" t="inlineStr">
        <is>
          <t>iCoA-PP_26-064</t>
        </is>
      </c>
      <c r="M1383" s="256" t="inlineStr">
        <is>
          <t>03.06.2026</t>
        </is>
      </c>
      <c r="N1383" s="256" t="inlineStr">
        <is>
          <t>Purely Plant GmbH (in-house)</t>
        </is>
      </c>
      <c r="O1383" s="256" t="inlineStr">
        <is>
          <t>—</t>
        </is>
      </c>
      <c r="P1383" s="256" t="inlineStr">
        <is>
          <t>to be performed — see route</t>
        </is>
      </c>
      <c r="Q1383" s="256" t="inlineStr">
        <is>
          <t>Purely Plant laboratory — iCoA covering Ident A + B</t>
        </is>
      </c>
      <c r="R1383" s="256" t="inlineStr"/>
    </row>
    <row r="1384">
      <c r="A1384" s="256" t="inlineStr">
        <is>
          <t>CoQ-PP_26-061</t>
        </is>
      </c>
      <c r="B1384" s="256" t="inlineStr">
        <is>
          <t>release</t>
        </is>
      </c>
      <c r="C1384" s="256" t="inlineStr">
        <is>
          <t>GG112501</t>
        </is>
      </c>
      <c r="D1384" s="256" t="inlineStr">
        <is>
          <t>— no P lot assigned —</t>
        </is>
      </c>
      <c r="E1384" s="256" t="inlineStr">
        <is>
          <t>Gorilla Glue</t>
        </is>
      </c>
      <c r="F1384" s="256" t="inlineStr">
        <is>
          <t>06.06.2026</t>
        </is>
      </c>
      <c r="G1384" s="256" t="inlineStr">
        <is>
          <t>3</t>
        </is>
      </c>
      <c r="H1384" s="256" t="inlineStr">
        <is>
          <t>Identification C · HPLC/HPTLC</t>
        </is>
      </c>
      <c r="I1384" s="256" t="inlineStr">
        <is>
          <t>HPLC — DAB 2018 monograph Cannabis flos, 2.2.29 (CNP, before its Ph. Eur. 3028 accreditation)</t>
        </is>
      </c>
      <c r="J1384" s="256" t="inlineStr">
        <is>
          <t>Conforms to the monograph for Cannabis flos (07/2024:3028) in Ph. Eur. 11.0 | Согласно монографија за Cannabis flos (07/2024:3028) во Ph. Eur. 11.0</t>
        </is>
      </c>
      <c r="K1384" s="256" t="inlineStr">
        <is>
          <t>Conforms | Одговара</t>
        </is>
      </c>
      <c r="L1384" s="256" t="inlineStr">
        <is>
          <t>ППК26061</t>
        </is>
      </c>
      <c r="M1384" s="256" t="inlineStr">
        <is>
          <t>11.05.2026</t>
        </is>
      </c>
      <c r="N1384" s="256" t="inlineStr">
        <is>
          <t>UKIM Faculty of Pharmacy — Center for Natural Products</t>
        </is>
      </c>
      <c r="O1384" s="256" t="inlineStr">
        <is>
          <t>21.04.2026</t>
        </is>
      </c>
      <c r="P1384" s="256" t="inlineStr">
        <is>
          <t>covered</t>
        </is>
      </c>
      <c r="Q1384" s="256" t="inlineStr"/>
      <c r="R1384" s="256" t="inlineStr"/>
    </row>
    <row r="1385">
      <c r="A1385" s="256" t="inlineStr">
        <is>
          <t>CoQ-PP_26-061</t>
        </is>
      </c>
      <c r="B1385" s="256" t="inlineStr">
        <is>
          <t>release</t>
        </is>
      </c>
      <c r="C1385" s="256" t="inlineStr">
        <is>
          <t>GG112501</t>
        </is>
      </c>
      <c r="D1385" s="256" t="inlineStr">
        <is>
          <t>— no P lot assigned —</t>
        </is>
      </c>
      <c r="E1385" s="256" t="inlineStr">
        <is>
          <t>Gorilla Glue</t>
        </is>
      </c>
      <c r="F1385" s="256" t="inlineStr">
        <is>
          <t>06.06.2026</t>
        </is>
      </c>
      <c r="G1385" s="256" t="inlineStr">
        <is>
          <t>4</t>
        </is>
      </c>
      <c r="H1385" s="256" t="inlineStr">
        <is>
          <t>Assay — Total Δ⁹-THC</t>
        </is>
      </c>
      <c r="I1385" s="256" t="inlineStr">
        <is>
          <t>HPLC — DAB 2018 monograph Cannabis flos, 2.2.29 (CNP, before its Ph. Eur. 3028 accreditation)</t>
        </is>
      </c>
      <c r="J1385" s="256" t="inlineStr">
        <is>
          <t>16.23 – 19.76 %  (grade I, nominal 18.00 ± 1.77)</t>
        </is>
      </c>
      <c r="K1385" s="256" t="inlineStr">
        <is>
          <t>17.94</t>
        </is>
      </c>
      <c r="L1385" s="256" t="inlineStr">
        <is>
          <t>ППК26061</t>
        </is>
      </c>
      <c r="M1385" s="256" t="inlineStr">
        <is>
          <t>11.05.2026</t>
        </is>
      </c>
      <c r="N1385" s="256" t="inlineStr">
        <is>
          <t>UKIM Faculty of Pharmacy — Center for Natural Products</t>
        </is>
      </c>
      <c r="O1385" s="256" t="inlineStr">
        <is>
          <t>21.04.2026</t>
        </is>
      </c>
      <c r="P1385" s="256" t="inlineStr">
        <is>
          <t>covered</t>
        </is>
      </c>
      <c r="Q1385" s="256" t="inlineStr"/>
      <c r="R1385" s="256" t="inlineStr">
        <is>
          <t>18.64 (227-20-К/26)</t>
        </is>
      </c>
    </row>
    <row r="1386">
      <c r="A1386" s="256" t="inlineStr">
        <is>
          <t>CoQ-PP_26-061</t>
        </is>
      </c>
      <c r="B1386" s="256" t="inlineStr">
        <is>
          <t>release</t>
        </is>
      </c>
      <c r="C1386" s="256" t="inlineStr">
        <is>
          <t>GG112501</t>
        </is>
      </c>
      <c r="D1386" s="256" t="inlineStr">
        <is>
          <t>— no P lot assigned —</t>
        </is>
      </c>
      <c r="E1386" s="256" t="inlineStr">
        <is>
          <t>Gorilla Glue</t>
        </is>
      </c>
      <c r="F1386" s="256" t="inlineStr">
        <is>
          <t>06.06.2026</t>
        </is>
      </c>
      <c r="G1386" s="256" t="inlineStr">
        <is>
          <t>5</t>
        </is>
      </c>
      <c r="H1386" s="256" t="inlineStr">
        <is>
          <t>Assay — Total CBD</t>
        </is>
      </c>
      <c r="I1386" s="256" t="inlineStr">
        <is>
          <t>HPLC — DAB 2018 monograph Cannabis flos, 2.2.29 · CBD + CBDA x 0.877 (CNP, before its Ph. Eur. 3028 accreditation)</t>
        </is>
      </c>
      <c r="J1386" s="256" t="inlineStr">
        <is>
          <t>≤ 1.0%, w/w</t>
        </is>
      </c>
      <c r="K1386" s="256" t="inlineStr">
        <is>
          <t>0.08</t>
        </is>
      </c>
      <c r="L1386" s="256" t="inlineStr">
        <is>
          <t>ППК26061</t>
        </is>
      </c>
      <c r="M1386" s="256" t="inlineStr">
        <is>
          <t>11.05.2026</t>
        </is>
      </c>
      <c r="N1386" s="256" t="inlineStr">
        <is>
          <t>UKIM Faculty of Pharmacy — Center for Natural Products</t>
        </is>
      </c>
      <c r="O1386" s="256" t="inlineStr">
        <is>
          <t>21.04.2026</t>
        </is>
      </c>
      <c r="P1386" s="256" t="inlineStr">
        <is>
          <t>covered</t>
        </is>
      </c>
      <c r="Q1386" s="256" t="inlineStr"/>
      <c r="R1386" s="256" t="inlineStr">
        <is>
          <t>&lt;LOQ (227-20-К/26)</t>
        </is>
      </c>
    </row>
    <row r="1387">
      <c r="A1387" s="256" t="inlineStr">
        <is>
          <t>CoQ-PP_26-061</t>
        </is>
      </c>
      <c r="B1387" s="256" t="inlineStr">
        <is>
          <t>release</t>
        </is>
      </c>
      <c r="C1387" s="256" t="inlineStr">
        <is>
          <t>GG112501</t>
        </is>
      </c>
      <c r="D1387" s="256" t="inlineStr">
        <is>
          <t>— no P lot assigned —</t>
        </is>
      </c>
      <c r="E1387" s="256" t="inlineStr">
        <is>
          <t>Gorilla Glue</t>
        </is>
      </c>
      <c r="F1387" s="256" t="inlineStr">
        <is>
          <t>06.06.2026</t>
        </is>
      </c>
      <c r="G1387" s="256" t="inlineStr">
        <is>
          <t>6</t>
        </is>
      </c>
      <c r="H1387" s="256" t="inlineStr">
        <is>
          <t>Total CBN</t>
        </is>
      </c>
      <c r="I1387" s="256" t="inlineStr">
        <is>
          <t>Ph. Eur. 2.2.29 (HPLC) · CBN + CBNA x 0.876</t>
        </is>
      </c>
      <c r="J1387" s="256" t="inlineStr">
        <is>
          <t>≤ 1.0%, w/w</t>
        </is>
      </c>
      <c r="K1387" s="259" t="inlineStr">
        <is>
          <t>not tested</t>
        </is>
      </c>
      <c r="L1387" s="256" t="inlineStr">
        <is>
          <t>—</t>
        </is>
      </c>
      <c r="M1387" s="256" t="inlineStr">
        <is>
          <t>—</t>
        </is>
      </c>
      <c r="N1387" s="256" t="inlineStr">
        <is>
          <t>—</t>
        </is>
      </c>
      <c r="O1387" s="256" t="inlineStr">
        <is>
          <t>—</t>
        </is>
      </c>
      <c r="P1387" s="256" t="inlineStr">
        <is>
          <t>not tested — no certificate covers it</t>
        </is>
      </c>
      <c r="Q1387" s="256" t="inlineStr"/>
      <c r="R1387" s="256" t="inlineStr">
        <is>
          <t>&lt;LOQ (227-20-К/26)</t>
        </is>
      </c>
    </row>
    <row r="1388">
      <c r="A1388" s="256" t="inlineStr">
        <is>
          <t>CoQ-PP_26-061</t>
        </is>
      </c>
      <c r="B1388" s="256" t="inlineStr">
        <is>
          <t>release</t>
        </is>
      </c>
      <c r="C1388" s="256" t="inlineStr">
        <is>
          <t>GG112501</t>
        </is>
      </c>
      <c r="D1388" s="256" t="inlineStr">
        <is>
          <t>— no P lot assigned —</t>
        </is>
      </c>
      <c r="E1388" s="256" t="inlineStr">
        <is>
          <t>Gorilla Glue</t>
        </is>
      </c>
      <c r="F1388" s="256" t="inlineStr">
        <is>
          <t>06.06.2026</t>
        </is>
      </c>
      <c r="G1388" s="256" t="inlineStr">
        <is>
          <t>7</t>
        </is>
      </c>
      <c r="H1388" s="256" t="inlineStr">
        <is>
          <t>Foreign Matter</t>
        </is>
      </c>
      <c r="I1388" s="256" t="inlineStr">
        <is>
          <t>Ph. Eur. 2.8.2 · In-house · интерна</t>
        </is>
      </c>
      <c r="J1388" s="256" t="inlineStr">
        <is>
          <t>≤ 2.0% / 25–50 g · &lt; 1 cm leaves | листови, no seeds | без семки</t>
        </is>
      </c>
      <c r="K1388" s="256" t="inlineStr">
        <is>
          <t>Conforms | Одговара</t>
        </is>
      </c>
      <c r="L1388" s="256" t="inlineStr">
        <is>
          <t>iCoA-PP_26-064</t>
        </is>
      </c>
      <c r="M1388" s="256" t="inlineStr">
        <is>
          <t>03.06.2026</t>
        </is>
      </c>
      <c r="N1388" s="256" t="inlineStr">
        <is>
          <t>Purely Plant GmbH (in-house)</t>
        </is>
      </c>
      <c r="O1388" s="256" t="inlineStr">
        <is>
          <t>—</t>
        </is>
      </c>
      <c r="P1388" s="256" t="inlineStr">
        <is>
          <t>to be performed — see route</t>
        </is>
      </c>
      <c r="Q1388" s="256" t="inlineStr">
        <is>
          <t>Purely Plant laboratory — iCoA covering Foreign matter</t>
        </is>
      </c>
      <c r="R1388" s="256" t="inlineStr"/>
    </row>
    <row r="1389">
      <c r="A1389" s="256" t="inlineStr">
        <is>
          <t>CoQ-PP_26-061</t>
        </is>
      </c>
      <c r="B1389" s="256" t="inlineStr">
        <is>
          <t>release</t>
        </is>
      </c>
      <c r="C1389" s="256" t="inlineStr">
        <is>
          <t>GG112501</t>
        </is>
      </c>
      <c r="D1389" s="256" t="inlineStr">
        <is>
          <t>— no P lot assigned —</t>
        </is>
      </c>
      <c r="E1389" s="256" t="inlineStr">
        <is>
          <t>Gorilla Glue</t>
        </is>
      </c>
      <c r="F1389" s="256" t="inlineStr">
        <is>
          <t>06.06.2026</t>
        </is>
      </c>
      <c r="G1389" s="256" t="inlineStr">
        <is>
          <t>8</t>
        </is>
      </c>
      <c r="H1389" s="256" t="inlineStr">
        <is>
          <t>Loss on Drying</t>
        </is>
      </c>
      <c r="I1389" s="256" t="inlineStr">
        <is>
          <t>DAB 2018 monograph Cannabis flos, 2.2.32 — loss on drying (CNP, before its Ph. Eur. 3028 accreditation)</t>
        </is>
      </c>
      <c r="J1389" s="256" t="inlineStr">
        <is>
          <t>≤ 12.0%</t>
        </is>
      </c>
      <c r="K1389" s="256" t="inlineStr">
        <is>
          <t>6.31</t>
        </is>
      </c>
      <c r="L1389" s="256" t="inlineStr">
        <is>
          <t>ППК26061</t>
        </is>
      </c>
      <c r="M1389" s="256" t="inlineStr">
        <is>
          <t>11.05.2026</t>
        </is>
      </c>
      <c r="N1389" s="256" t="inlineStr">
        <is>
          <t>UKIM Faculty of Pharmacy — Center for Natural Products</t>
        </is>
      </c>
      <c r="O1389" s="256" t="inlineStr">
        <is>
          <t>21.04.2026</t>
        </is>
      </c>
      <c r="P1389" s="256" t="inlineStr">
        <is>
          <t>covered</t>
        </is>
      </c>
      <c r="Q1389" s="256" t="inlineStr"/>
      <c r="R1389" s="256" t="inlineStr"/>
    </row>
    <row r="1390">
      <c r="A1390" s="256" t="inlineStr">
        <is>
          <t>CoQ-PP_26-061</t>
        </is>
      </c>
      <c r="B1390" s="256" t="inlineStr">
        <is>
          <t>release</t>
        </is>
      </c>
      <c r="C1390" s="256" t="inlineStr">
        <is>
          <t>GG112501</t>
        </is>
      </c>
      <c r="D1390" s="256" t="inlineStr">
        <is>
          <t>— no P lot assigned —</t>
        </is>
      </c>
      <c r="E1390" s="256" t="inlineStr">
        <is>
          <t>Gorilla Glue</t>
        </is>
      </c>
      <c r="F1390" s="256" t="inlineStr">
        <is>
          <t>06.06.2026</t>
        </is>
      </c>
      <c r="G1390" s="256" t="inlineStr">
        <is>
          <t>9.1</t>
        </is>
      </c>
      <c r="H1390" s="256" t="inlineStr">
        <is>
          <t>TAMC</t>
        </is>
      </c>
      <c r="I1390" s="256" t="inlineStr">
        <is>
          <t>Ph. Eur. 2.6.12 cat. C</t>
        </is>
      </c>
      <c r="J1390" s="256" t="inlineStr">
        <is>
          <t>≤ 10⁵ CFU/g</t>
        </is>
      </c>
      <c r="K1390" s="256" t="inlineStr">
        <is>
          <t>5,1 × 10³</t>
        </is>
      </c>
      <c r="L1390" s="256" t="inlineStr">
        <is>
          <t>304/0548/26</t>
        </is>
      </c>
      <c r="M1390" s="256" t="inlineStr">
        <is>
          <t>28.04.2026</t>
        </is>
      </c>
      <c r="N1390" s="256" t="inlineStr">
        <is>
          <t>IPH — Institute of Public Health</t>
        </is>
      </c>
      <c r="O1390" s="256" t="inlineStr">
        <is>
          <t>22.04.2026</t>
        </is>
      </c>
      <c r="P1390" s="256" t="inlineStr">
        <is>
          <t>covered</t>
        </is>
      </c>
      <c r="Q1390" s="256" t="inlineStr"/>
      <c r="R1390" s="256" t="inlineStr"/>
    </row>
    <row r="1391">
      <c r="A1391" s="256" t="inlineStr">
        <is>
          <t>CoQ-PP_26-061</t>
        </is>
      </c>
      <c r="B1391" s="256" t="inlineStr">
        <is>
          <t>release</t>
        </is>
      </c>
      <c r="C1391" s="256" t="inlineStr">
        <is>
          <t>GG112501</t>
        </is>
      </c>
      <c r="D1391" s="256" t="inlineStr">
        <is>
          <t>— no P lot assigned —</t>
        </is>
      </c>
      <c r="E1391" s="256" t="inlineStr">
        <is>
          <t>Gorilla Glue</t>
        </is>
      </c>
      <c r="F1391" s="256" t="inlineStr">
        <is>
          <t>06.06.2026</t>
        </is>
      </c>
      <c r="G1391" s="256" t="inlineStr">
        <is>
          <t>9.2</t>
        </is>
      </c>
      <c r="H1391" s="256" t="inlineStr">
        <is>
          <t>TYMC</t>
        </is>
      </c>
      <c r="I1391" s="256" t="inlineStr">
        <is>
          <t>Ph. Eur. 2.6.12 cat. C</t>
        </is>
      </c>
      <c r="J1391" s="256" t="inlineStr">
        <is>
          <t>≤ 10⁴ CFU/g</t>
        </is>
      </c>
      <c r="K1391" s="256" t="inlineStr">
        <is>
          <t>4,5 × 10³</t>
        </is>
      </c>
      <c r="L1391" s="256" t="inlineStr">
        <is>
          <t>304/0548/26</t>
        </is>
      </c>
      <c r="M1391" s="256" t="inlineStr">
        <is>
          <t>28.04.2026</t>
        </is>
      </c>
      <c r="N1391" s="256" t="inlineStr">
        <is>
          <t>IPH — Institute of Public Health</t>
        </is>
      </c>
      <c r="O1391" s="256" t="inlineStr">
        <is>
          <t>22.04.2026</t>
        </is>
      </c>
      <c r="P1391" s="256" t="inlineStr">
        <is>
          <t>covered</t>
        </is>
      </c>
      <c r="Q1391" s="256" t="inlineStr"/>
      <c r="R1391" s="256" t="inlineStr"/>
    </row>
    <row r="1392">
      <c r="A1392" s="256" t="inlineStr">
        <is>
          <t>CoQ-PP_26-061</t>
        </is>
      </c>
      <c r="B1392" s="256" t="inlineStr">
        <is>
          <t>release</t>
        </is>
      </c>
      <c r="C1392" s="256" t="inlineStr">
        <is>
          <t>GG112501</t>
        </is>
      </c>
      <c r="D1392" s="256" t="inlineStr">
        <is>
          <t>— no P lot assigned —</t>
        </is>
      </c>
      <c r="E1392" s="256" t="inlineStr">
        <is>
          <t>Gorilla Glue</t>
        </is>
      </c>
      <c r="F1392" s="256" t="inlineStr">
        <is>
          <t>06.06.2026</t>
        </is>
      </c>
      <c r="G1392" s="256" t="inlineStr">
        <is>
          <t>9.3</t>
        </is>
      </c>
      <c r="H1392" s="256" t="inlineStr">
        <is>
          <t>Bile-tolerant gram-neg.</t>
        </is>
      </c>
      <c r="I1392" s="256" t="inlineStr">
        <is>
          <t>Ph. Eur. 2.6.31 cat. C</t>
        </is>
      </c>
      <c r="J1392" s="256" t="inlineStr">
        <is>
          <t>≤ 10⁴ CFU/g</t>
        </is>
      </c>
      <c r="K1392" s="256" t="inlineStr">
        <is>
          <t>&lt; 10² and &gt; 10</t>
        </is>
      </c>
      <c r="L1392" s="256" t="inlineStr">
        <is>
          <t>304/0548/26</t>
        </is>
      </c>
      <c r="M1392" s="256" t="inlineStr">
        <is>
          <t>28.04.2026</t>
        </is>
      </c>
      <c r="N1392" s="256" t="inlineStr">
        <is>
          <t>IPH — Institute of Public Health</t>
        </is>
      </c>
      <c r="O1392" s="256" t="inlineStr">
        <is>
          <t>22.04.2026</t>
        </is>
      </c>
      <c r="P1392" s="256" t="inlineStr">
        <is>
          <t>covered</t>
        </is>
      </c>
      <c r="Q1392" s="256" t="inlineStr"/>
      <c r="R1392" s="256" t="inlineStr"/>
    </row>
    <row r="1393">
      <c r="A1393" s="256" t="inlineStr">
        <is>
          <t>CoQ-PP_26-061</t>
        </is>
      </c>
      <c r="B1393" s="256" t="inlineStr">
        <is>
          <t>release</t>
        </is>
      </c>
      <c r="C1393" s="256" t="inlineStr">
        <is>
          <t>GG112501</t>
        </is>
      </c>
      <c r="D1393" s="256" t="inlineStr">
        <is>
          <t>— no P lot assigned —</t>
        </is>
      </c>
      <c r="E1393" s="256" t="inlineStr">
        <is>
          <t>Gorilla Glue</t>
        </is>
      </c>
      <c r="F1393" s="256" t="inlineStr">
        <is>
          <t>06.06.2026</t>
        </is>
      </c>
      <c r="G1393" s="256" t="inlineStr">
        <is>
          <t>9.4</t>
        </is>
      </c>
      <c r="H1393" s="256" t="inlineStr">
        <is>
          <t>Salmonella</t>
        </is>
      </c>
      <c r="I1393" s="256" t="inlineStr">
        <is>
          <t>Ph. Eur. 2.6.31 cat. C</t>
        </is>
      </c>
      <c r="J1393" s="256" t="inlineStr">
        <is>
          <t>Absence | Отсуство / 25 g</t>
        </is>
      </c>
      <c r="K1393" s="256" t="inlineStr">
        <is>
          <t>Absent | Отсутна</t>
        </is>
      </c>
      <c r="L1393" s="256" t="inlineStr">
        <is>
          <t>304/0548/26</t>
        </is>
      </c>
      <c r="M1393" s="256" t="inlineStr">
        <is>
          <t>28.04.2026</t>
        </is>
      </c>
      <c r="N1393" s="256" t="inlineStr">
        <is>
          <t>IPH — Institute of Public Health</t>
        </is>
      </c>
      <c r="O1393" s="256" t="inlineStr">
        <is>
          <t>22.04.2026</t>
        </is>
      </c>
      <c r="P1393" s="256" t="inlineStr">
        <is>
          <t>covered</t>
        </is>
      </c>
      <c r="Q1393" s="256" t="inlineStr"/>
      <c r="R1393" s="256" t="inlineStr"/>
    </row>
    <row r="1394">
      <c r="A1394" s="256" t="inlineStr">
        <is>
          <t>CoQ-PP_26-061</t>
        </is>
      </c>
      <c r="B1394" s="256" t="inlineStr">
        <is>
          <t>release</t>
        </is>
      </c>
      <c r="C1394" s="256" t="inlineStr">
        <is>
          <t>GG112501</t>
        </is>
      </c>
      <c r="D1394" s="256" t="inlineStr">
        <is>
          <t>— no P lot assigned —</t>
        </is>
      </c>
      <c r="E1394" s="256" t="inlineStr">
        <is>
          <t>Gorilla Glue</t>
        </is>
      </c>
      <c r="F1394" s="256" t="inlineStr">
        <is>
          <t>06.06.2026</t>
        </is>
      </c>
      <c r="G1394" s="256" t="inlineStr">
        <is>
          <t>9.5</t>
        </is>
      </c>
      <c r="H1394" s="256" t="inlineStr">
        <is>
          <t>Escherichia coli</t>
        </is>
      </c>
      <c r="I1394" s="256" t="inlineStr">
        <is>
          <t>Ph. Eur. 2.6.13 cat. C</t>
        </is>
      </c>
      <c r="J1394" s="256" t="inlineStr">
        <is>
          <t>Absence | Отсуство / 1 g</t>
        </is>
      </c>
      <c r="K1394" s="256" t="inlineStr">
        <is>
          <t>Absent | Отсутна</t>
        </is>
      </c>
      <c r="L1394" s="256" t="inlineStr">
        <is>
          <t>304/0548/26</t>
        </is>
      </c>
      <c r="M1394" s="256" t="inlineStr">
        <is>
          <t>28.04.2026</t>
        </is>
      </c>
      <c r="N1394" s="256" t="inlineStr">
        <is>
          <t>IPH — Institute of Public Health</t>
        </is>
      </c>
      <c r="O1394" s="256" t="inlineStr">
        <is>
          <t>22.04.2026</t>
        </is>
      </c>
      <c r="P1394" s="256" t="inlineStr">
        <is>
          <t>covered</t>
        </is>
      </c>
      <c r="Q1394" s="256" t="inlineStr"/>
      <c r="R1394" s="256" t="inlineStr"/>
    </row>
    <row r="1395">
      <c r="A1395" s="256" t="inlineStr">
        <is>
          <t>CoQ-PP_26-061</t>
        </is>
      </c>
      <c r="B1395" s="256" t="inlineStr">
        <is>
          <t>release</t>
        </is>
      </c>
      <c r="C1395" s="256" t="inlineStr">
        <is>
          <t>GG112501</t>
        </is>
      </c>
      <c r="D1395" s="256" t="inlineStr">
        <is>
          <t>— no P lot assigned —</t>
        </is>
      </c>
      <c r="E1395" s="256" t="inlineStr">
        <is>
          <t>Gorilla Glue</t>
        </is>
      </c>
      <c r="F1395" s="256" t="inlineStr">
        <is>
          <t>06.06.2026</t>
        </is>
      </c>
      <c r="G1395" s="256" t="inlineStr">
        <is>
          <t>9.6</t>
        </is>
      </c>
      <c r="H1395" s="256" t="inlineStr">
        <is>
          <t>Pseudomonas aeruginosa</t>
        </is>
      </c>
      <c r="I1395" s="256" t="inlineStr">
        <is>
          <t>Ph. Eur. 2.6.13 cat. C</t>
        </is>
      </c>
      <c r="J1395" s="256" t="inlineStr">
        <is>
          <t>Absence | Отсуство / 1 g</t>
        </is>
      </c>
      <c r="K1395" s="260" t="inlineStr">
        <is>
          <t>upon request — not required for release</t>
        </is>
      </c>
      <c r="L1395" s="256" t="inlineStr">
        <is>
          <t>—</t>
        </is>
      </c>
      <c r="M1395" s="256" t="inlineStr">
        <is>
          <t>—</t>
        </is>
      </c>
      <c r="N1395" s="256" t="inlineStr">
        <is>
          <t>—</t>
        </is>
      </c>
      <c r="O1395" s="256" t="inlineStr">
        <is>
          <t>—</t>
        </is>
      </c>
      <c r="P1395" s="256" t="inlineStr">
        <is>
          <t>upon request — not required for release</t>
        </is>
      </c>
      <c r="Q1395" s="256" t="inlineStr"/>
      <c r="R1395" s="256" t="inlineStr"/>
    </row>
    <row r="1396">
      <c r="A1396" s="256" t="inlineStr">
        <is>
          <t>CoQ-PP_26-061</t>
        </is>
      </c>
      <c r="B1396" s="256" t="inlineStr">
        <is>
          <t>release</t>
        </is>
      </c>
      <c r="C1396" s="256" t="inlineStr">
        <is>
          <t>GG112501</t>
        </is>
      </c>
      <c r="D1396" s="256" t="inlineStr">
        <is>
          <t>— no P lot assigned —</t>
        </is>
      </c>
      <c r="E1396" s="256" t="inlineStr">
        <is>
          <t>Gorilla Glue</t>
        </is>
      </c>
      <c r="F1396" s="256" t="inlineStr">
        <is>
          <t>06.06.2026</t>
        </is>
      </c>
      <c r="G1396" s="256" t="inlineStr">
        <is>
          <t>9.7</t>
        </is>
      </c>
      <c r="H1396" s="256" t="inlineStr">
        <is>
          <t>Staphylococcus aureus</t>
        </is>
      </c>
      <c r="I1396" s="256" t="inlineStr">
        <is>
          <t>Ph. Eur. 2.6.13 cat. C</t>
        </is>
      </c>
      <c r="J1396" s="256" t="inlineStr">
        <is>
          <t>Absence | Отсуство / 1 g</t>
        </is>
      </c>
      <c r="K1396" s="260" t="inlineStr">
        <is>
          <t>upon request — not required for release</t>
        </is>
      </c>
      <c r="L1396" s="256" t="inlineStr">
        <is>
          <t>—</t>
        </is>
      </c>
      <c r="M1396" s="256" t="inlineStr">
        <is>
          <t>—</t>
        </is>
      </c>
      <c r="N1396" s="256" t="inlineStr">
        <is>
          <t>—</t>
        </is>
      </c>
      <c r="O1396" s="256" t="inlineStr">
        <is>
          <t>—</t>
        </is>
      </c>
      <c r="P1396" s="256" t="inlineStr">
        <is>
          <t>upon request — not required for release</t>
        </is>
      </c>
      <c r="Q1396" s="256" t="inlineStr"/>
      <c r="R1396" s="256" t="inlineStr"/>
    </row>
    <row r="1397">
      <c r="A1397" s="256" t="inlineStr">
        <is>
          <t>CoQ-PP_26-061</t>
        </is>
      </c>
      <c r="B1397" s="256" t="inlineStr">
        <is>
          <t>release</t>
        </is>
      </c>
      <c r="C1397" s="256" t="inlineStr">
        <is>
          <t>GG112501</t>
        </is>
      </c>
      <c r="D1397" s="256" t="inlineStr">
        <is>
          <t>— no P lot assigned —</t>
        </is>
      </c>
      <c r="E1397" s="256" t="inlineStr">
        <is>
          <t>Gorilla Glue</t>
        </is>
      </c>
      <c r="F1397" s="256" t="inlineStr">
        <is>
          <t>06.06.2026</t>
        </is>
      </c>
      <c r="G1397" s="256" t="inlineStr">
        <is>
          <t>10.1</t>
        </is>
      </c>
      <c r="H1397" s="256" t="inlineStr">
        <is>
          <t>Aflatoxin B₁</t>
        </is>
      </c>
      <c r="I1397" s="256" t="inlineStr">
        <is>
          <t>Ph. Eur. 2.8.18 (HPLC-FLD)</t>
        </is>
      </c>
      <c r="J1397" s="256" t="inlineStr">
        <is>
          <t>≤ 2 µg/kg</t>
        </is>
      </c>
      <c r="K1397" s="259" t="inlineStr">
        <is>
          <t>not tested</t>
        </is>
      </c>
      <c r="L1397" s="256" t="inlineStr">
        <is>
          <t>—</t>
        </is>
      </c>
      <c r="M1397" s="256" t="inlineStr">
        <is>
          <t>—</t>
        </is>
      </c>
      <c r="N1397" s="256" t="inlineStr">
        <is>
          <t>—</t>
        </is>
      </c>
      <c r="O1397" s="256" t="inlineStr">
        <is>
          <t>—</t>
        </is>
      </c>
      <c r="P1397" s="256" t="inlineStr">
        <is>
          <t>not tested — no certificate covers it</t>
        </is>
      </c>
      <c r="Q1397" s="256" t="inlineStr"/>
      <c r="R1397" s="256" t="inlineStr"/>
    </row>
    <row r="1398">
      <c r="A1398" s="256" t="inlineStr">
        <is>
          <t>CoQ-PP_26-061</t>
        </is>
      </c>
      <c r="B1398" s="256" t="inlineStr">
        <is>
          <t>release</t>
        </is>
      </c>
      <c r="C1398" s="256" t="inlineStr">
        <is>
          <t>GG112501</t>
        </is>
      </c>
      <c r="D1398" s="256" t="inlineStr">
        <is>
          <t>— no P lot assigned —</t>
        </is>
      </c>
      <c r="E1398" s="256" t="inlineStr">
        <is>
          <t>Gorilla Glue</t>
        </is>
      </c>
      <c r="F1398" s="256" t="inlineStr">
        <is>
          <t>06.06.2026</t>
        </is>
      </c>
      <c r="G1398" s="256" t="inlineStr">
        <is>
          <t>10.2</t>
        </is>
      </c>
      <c r="H1398" s="256" t="inlineStr">
        <is>
          <t>Aflatoxins ∑</t>
        </is>
      </c>
      <c r="I1398" s="256" t="inlineStr">
        <is>
          <t>Ph. Eur. 2.8.18 (HPLC-FLD)</t>
        </is>
      </c>
      <c r="J1398" s="256" t="inlineStr">
        <is>
          <t>≤ 4 µg/kg</t>
        </is>
      </c>
      <c r="K1398" s="256" t="inlineStr">
        <is>
          <t>&lt; 2</t>
        </is>
      </c>
      <c r="L1398" s="256" t="inlineStr">
        <is>
          <t>2358/2026</t>
        </is>
      </c>
      <c r="M1398" s="256" t="inlineStr">
        <is>
          <t>29.04.2026</t>
        </is>
      </c>
      <c r="N1398" s="256" t="inlineStr">
        <is>
          <t>IPH — Institute of Public Health</t>
        </is>
      </c>
      <c r="O1398" s="256" t="inlineStr">
        <is>
          <t>21.04.2026</t>
        </is>
      </c>
      <c r="P1398" s="256" t="inlineStr">
        <is>
          <t>covered</t>
        </is>
      </c>
      <c r="Q1398" s="256" t="inlineStr"/>
      <c r="R1398" s="256" t="inlineStr"/>
    </row>
    <row r="1399">
      <c r="A1399" s="256" t="inlineStr">
        <is>
          <t>CoQ-PP_26-061</t>
        </is>
      </c>
      <c r="B1399" s="256" t="inlineStr">
        <is>
          <t>release</t>
        </is>
      </c>
      <c r="C1399" s="256" t="inlineStr">
        <is>
          <t>GG112501</t>
        </is>
      </c>
      <c r="D1399" s="256" t="inlineStr">
        <is>
          <t>— no P lot assigned —</t>
        </is>
      </c>
      <c r="E1399" s="256" t="inlineStr">
        <is>
          <t>Gorilla Glue</t>
        </is>
      </c>
      <c r="F1399" s="256" t="inlineStr">
        <is>
          <t>06.06.2026</t>
        </is>
      </c>
      <c r="G1399" s="256" t="inlineStr">
        <is>
          <t>10.3</t>
        </is>
      </c>
      <c r="H1399" s="256" t="inlineStr">
        <is>
          <t>Ochratoxin A</t>
        </is>
      </c>
      <c r="I1399" s="256" t="inlineStr">
        <is>
          <t>Ph. Eur. 2.8.22 (HPLC-FLD)</t>
        </is>
      </c>
      <c r="J1399" s="256" t="inlineStr">
        <is>
          <t>≤ 20 µg/kg</t>
        </is>
      </c>
      <c r="K1399" s="259" t="inlineStr">
        <is>
          <t>not tested</t>
        </is>
      </c>
      <c r="L1399" s="256" t="inlineStr">
        <is>
          <t>—</t>
        </is>
      </c>
      <c r="M1399" s="256" t="inlineStr">
        <is>
          <t>—</t>
        </is>
      </c>
      <c r="N1399" s="256" t="inlineStr">
        <is>
          <t>—</t>
        </is>
      </c>
      <c r="O1399" s="256" t="inlineStr">
        <is>
          <t>—</t>
        </is>
      </c>
      <c r="P1399" s="256" t="inlineStr">
        <is>
          <t>not tested — no certificate covers it</t>
        </is>
      </c>
      <c r="Q1399" s="256" t="inlineStr"/>
      <c r="R1399" s="256" t="inlineStr"/>
    </row>
    <row r="1400">
      <c r="A1400" s="256" t="inlineStr">
        <is>
          <t>CoQ-PP_26-061</t>
        </is>
      </c>
      <c r="B1400" s="256" t="inlineStr">
        <is>
          <t>release</t>
        </is>
      </c>
      <c r="C1400" s="256" t="inlineStr">
        <is>
          <t>GG112501</t>
        </is>
      </c>
      <c r="D1400" s="256" t="inlineStr">
        <is>
          <t>— no P lot assigned —</t>
        </is>
      </c>
      <c r="E1400" s="256" t="inlineStr">
        <is>
          <t>Gorilla Glue</t>
        </is>
      </c>
      <c r="F1400" s="256" t="inlineStr">
        <is>
          <t>06.06.2026</t>
        </is>
      </c>
      <c r="G1400" s="256" t="inlineStr">
        <is>
          <t>11.1</t>
        </is>
      </c>
      <c r="H1400" s="256" t="inlineStr">
        <is>
          <t>Lead (Pb)</t>
        </is>
      </c>
      <c r="I1400" s="256" t="inlineStr">
        <is>
          <t>Ph. Eur. 2.4.27 (ICP-MS)</t>
        </is>
      </c>
      <c r="J1400" s="256" t="inlineStr">
        <is>
          <t>≤ 0.5 mg/kg</t>
        </is>
      </c>
      <c r="K1400" s="256" t="inlineStr">
        <is>
          <t>0.033</t>
        </is>
      </c>
      <c r="L1400" s="256" t="inlineStr">
        <is>
          <t>2358/2026</t>
        </is>
      </c>
      <c r="M1400" s="256" t="inlineStr">
        <is>
          <t>29.04.2026</t>
        </is>
      </c>
      <c r="N1400" s="256" t="inlineStr">
        <is>
          <t>IPH — Institute of Public Health</t>
        </is>
      </c>
      <c r="O1400" s="256" t="inlineStr">
        <is>
          <t>21.04.2026</t>
        </is>
      </c>
      <c r="P1400" s="256" t="inlineStr">
        <is>
          <t>covered</t>
        </is>
      </c>
      <c r="Q1400" s="256" t="inlineStr"/>
      <c r="R1400" s="256" t="inlineStr"/>
    </row>
    <row r="1401">
      <c r="A1401" s="256" t="inlineStr">
        <is>
          <t>CoQ-PP_26-061</t>
        </is>
      </c>
      <c r="B1401" s="256" t="inlineStr">
        <is>
          <t>release</t>
        </is>
      </c>
      <c r="C1401" s="256" t="inlineStr">
        <is>
          <t>GG112501</t>
        </is>
      </c>
      <c r="D1401" s="256" t="inlineStr">
        <is>
          <t>— no P lot assigned —</t>
        </is>
      </c>
      <c r="E1401" s="256" t="inlineStr">
        <is>
          <t>Gorilla Glue</t>
        </is>
      </c>
      <c r="F1401" s="256" t="inlineStr">
        <is>
          <t>06.06.2026</t>
        </is>
      </c>
      <c r="G1401" s="256" t="inlineStr">
        <is>
          <t>11.2</t>
        </is>
      </c>
      <c r="H1401" s="256" t="inlineStr">
        <is>
          <t>Cadmium (Cd)</t>
        </is>
      </c>
      <c r="I1401" s="256" t="inlineStr">
        <is>
          <t>Ph. Eur. 2.4.27 (ICP-MS)</t>
        </is>
      </c>
      <c r="J1401" s="256" t="inlineStr">
        <is>
          <t>≤ 0.3 mg/kg</t>
        </is>
      </c>
      <c r="K1401" s="256" t="inlineStr">
        <is>
          <t>0.0154</t>
        </is>
      </c>
      <c r="L1401" s="256" t="inlineStr">
        <is>
          <t>2358/2026</t>
        </is>
      </c>
      <c r="M1401" s="256" t="inlineStr">
        <is>
          <t>29.04.2026</t>
        </is>
      </c>
      <c r="N1401" s="256" t="inlineStr">
        <is>
          <t>IPH — Institute of Public Health</t>
        </is>
      </c>
      <c r="O1401" s="256" t="inlineStr">
        <is>
          <t>21.04.2026</t>
        </is>
      </c>
      <c r="P1401" s="256" t="inlineStr">
        <is>
          <t>covered</t>
        </is>
      </c>
      <c r="Q1401" s="256" t="inlineStr"/>
      <c r="R1401" s="256" t="inlineStr"/>
    </row>
    <row r="1402">
      <c r="A1402" s="256" t="inlineStr">
        <is>
          <t>CoQ-PP_26-061</t>
        </is>
      </c>
      <c r="B1402" s="256" t="inlineStr">
        <is>
          <t>release</t>
        </is>
      </c>
      <c r="C1402" s="256" t="inlineStr">
        <is>
          <t>GG112501</t>
        </is>
      </c>
      <c r="D1402" s="256" t="inlineStr">
        <is>
          <t>— no P lot assigned —</t>
        </is>
      </c>
      <c r="E1402" s="256" t="inlineStr">
        <is>
          <t>Gorilla Glue</t>
        </is>
      </c>
      <c r="F1402" s="256" t="inlineStr">
        <is>
          <t>06.06.2026</t>
        </is>
      </c>
      <c r="G1402" s="256" t="inlineStr">
        <is>
          <t>11.3</t>
        </is>
      </c>
      <c r="H1402" s="256" t="inlineStr">
        <is>
          <t>Arsenic (As)</t>
        </is>
      </c>
      <c r="I1402" s="256" t="inlineStr">
        <is>
          <t>Ph. Eur. 2.4.27 (ICP-MS)</t>
        </is>
      </c>
      <c r="J1402" s="256" t="inlineStr">
        <is>
          <t>≤ 0.2 mg/kg</t>
        </is>
      </c>
      <c r="K1402" s="256" t="inlineStr">
        <is>
          <t>0.0272</t>
        </is>
      </c>
      <c r="L1402" s="256" t="inlineStr">
        <is>
          <t>2358/2026</t>
        </is>
      </c>
      <c r="M1402" s="256" t="inlineStr">
        <is>
          <t>29.04.2026</t>
        </is>
      </c>
      <c r="N1402" s="256" t="inlineStr">
        <is>
          <t>IPH — Institute of Public Health</t>
        </is>
      </c>
      <c r="O1402" s="256" t="inlineStr">
        <is>
          <t>21.04.2026</t>
        </is>
      </c>
      <c r="P1402" s="256" t="inlineStr">
        <is>
          <t>covered</t>
        </is>
      </c>
      <c r="Q1402" s="256" t="inlineStr"/>
      <c r="R1402" s="256" t="inlineStr"/>
    </row>
    <row r="1403">
      <c r="A1403" s="256" t="inlineStr">
        <is>
          <t>CoQ-PP_26-061</t>
        </is>
      </c>
      <c r="B1403" s="256" t="inlineStr">
        <is>
          <t>release</t>
        </is>
      </c>
      <c r="C1403" s="256" t="inlineStr">
        <is>
          <t>GG112501</t>
        </is>
      </c>
      <c r="D1403" s="256" t="inlineStr">
        <is>
          <t>— no P lot assigned —</t>
        </is>
      </c>
      <c r="E1403" s="256" t="inlineStr">
        <is>
          <t>Gorilla Glue</t>
        </is>
      </c>
      <c r="F1403" s="256" t="inlineStr">
        <is>
          <t>06.06.2026</t>
        </is>
      </c>
      <c r="G1403" s="256" t="inlineStr">
        <is>
          <t>11.4</t>
        </is>
      </c>
      <c r="H1403" s="256" t="inlineStr">
        <is>
          <t>Mercury (Hg)</t>
        </is>
      </c>
      <c r="I1403" s="256" t="inlineStr">
        <is>
          <t>Ph. Eur. 2.4.27 (ICP-MS)</t>
        </is>
      </c>
      <c r="J1403" s="256" t="inlineStr">
        <is>
          <t>≤ 0.1 mg/kg</t>
        </is>
      </c>
      <c r="K1403" s="256" t="inlineStr">
        <is>
          <t>0.0146</t>
        </is>
      </c>
      <c r="L1403" s="256" t="inlineStr">
        <is>
          <t>2358/2026</t>
        </is>
      </c>
      <c r="M1403" s="256" t="inlineStr">
        <is>
          <t>29.04.2026</t>
        </is>
      </c>
      <c r="N1403" s="256" t="inlineStr">
        <is>
          <t>IPH — Institute of Public Health</t>
        </is>
      </c>
      <c r="O1403" s="256" t="inlineStr">
        <is>
          <t>21.04.2026</t>
        </is>
      </c>
      <c r="P1403" s="256" t="inlineStr">
        <is>
          <t>covered</t>
        </is>
      </c>
      <c r="Q1403" s="256" t="inlineStr"/>
      <c r="R1403" s="256" t="inlineStr"/>
    </row>
    <row r="1404">
      <c r="A1404" s="256" t="inlineStr">
        <is>
          <t>CoQ-PP_26-061</t>
        </is>
      </c>
      <c r="B1404" s="256" t="inlineStr">
        <is>
          <t>release</t>
        </is>
      </c>
      <c r="C1404" s="256" t="inlineStr">
        <is>
          <t>GG112501</t>
        </is>
      </c>
      <c r="D1404" s="256" t="inlineStr">
        <is>
          <t>— no P lot assigned —</t>
        </is>
      </c>
      <c r="E1404" s="256" t="inlineStr">
        <is>
          <t>Gorilla Glue</t>
        </is>
      </c>
      <c r="F1404" s="256" t="inlineStr">
        <is>
          <t>06.06.2026</t>
        </is>
      </c>
      <c r="G1404" s="256" t="inlineStr">
        <is>
          <t>12</t>
        </is>
      </c>
      <c r="H1404" s="256" t="inlineStr">
        <is>
          <t>Pesticide Residues</t>
        </is>
      </c>
      <c r="I1404" s="256" t="inlineStr">
        <is>
          <t>Ph. Eur. 2.8.13 (LC-MS/MS) · CUMCS Equivalency</t>
        </is>
      </c>
      <c r="J1404" s="256" t="inlineStr">
        <is>
          <t>≤ LOQ as per Ph. Eur. 2.8.13 · ≤ LOQ as per CUMCS Equivalency</t>
        </is>
      </c>
      <c r="K1404" s="256" t="inlineStr">
        <is>
          <t>ND</t>
        </is>
      </c>
      <c r="L1404" s="256" t="inlineStr">
        <is>
          <t>2358/2026</t>
        </is>
      </c>
      <c r="M1404" s="256" t="inlineStr">
        <is>
          <t>29.04.2026</t>
        </is>
      </c>
      <c r="N1404" s="256" t="inlineStr">
        <is>
          <t>IPH — Institute of Public Health</t>
        </is>
      </c>
      <c r="O1404" s="256" t="inlineStr">
        <is>
          <t>21.04.2026</t>
        </is>
      </c>
      <c r="P1404" s="256" t="inlineStr">
        <is>
          <t>covered</t>
        </is>
      </c>
      <c r="Q1404" s="256" t="inlineStr"/>
      <c r="R1404" s="256" t="inlineStr"/>
    </row>
    <row r="1405">
      <c r="A1405" s="256" t="inlineStr">
        <is>
          <t>CoQ-PP_26-062</t>
        </is>
      </c>
      <c r="B1405" s="256" t="inlineStr">
        <is>
          <t>release</t>
        </is>
      </c>
      <c r="C1405" s="256" t="inlineStr">
        <is>
          <t>J31122501</t>
        </is>
      </c>
      <c r="D1405" s="256" t="inlineStr">
        <is>
          <t>— no P lot assigned —</t>
        </is>
      </c>
      <c r="E1405" s="256" t="inlineStr">
        <is>
          <t>Jokerz 31</t>
        </is>
      </c>
      <c r="F1405" s="256" t="inlineStr">
        <is>
          <t>06.06.2026</t>
        </is>
      </c>
      <c r="G1405" s="256" t="inlineStr">
        <is>
          <t>1</t>
        </is>
      </c>
      <c r="H1405" s="256" t="inlineStr">
        <is>
          <t>Identification A, Appearance · Macroscopic</t>
        </is>
      </c>
      <c r="I1405" s="256" t="inlineStr">
        <is>
          <t>Ph. Eur. mon. 3028</t>
        </is>
      </c>
      <c r="J1405" s="256" t="inlineStr">
        <is>
          <t>Conforms to the monograph for Cannabis flos (07/2024:3028) in Ph. Eur. 11.0 | Согласно монографија за Cannabis flos (07/2024:3028) во Ph. Eur. 11.0</t>
        </is>
      </c>
      <c r="K1405" s="256" t="inlineStr">
        <is>
          <t>Conforms | Одговара</t>
        </is>
      </c>
      <c r="L1405" s="256" t="inlineStr">
        <is>
          <t>iCoA-PP_26-072</t>
        </is>
      </c>
      <c r="M1405" s="256" t="inlineStr">
        <is>
          <t>03.06.2026</t>
        </is>
      </c>
      <c r="N1405" s="256" t="inlineStr">
        <is>
          <t>Purely Plant GmbH (in-house)</t>
        </is>
      </c>
      <c r="O1405" s="256" t="inlineStr">
        <is>
          <t>—</t>
        </is>
      </c>
      <c r="P1405" s="256" t="inlineStr">
        <is>
          <t>to be performed — see route</t>
        </is>
      </c>
      <c r="Q1405" s="256" t="inlineStr">
        <is>
          <t>Purely Plant laboratory — iCoA covering Ident A + B</t>
        </is>
      </c>
      <c r="R1405" s="256" t="inlineStr"/>
    </row>
    <row r="1406">
      <c r="A1406" s="256" t="inlineStr">
        <is>
          <t>CoQ-PP_26-062</t>
        </is>
      </c>
      <c r="B1406" s="256" t="inlineStr">
        <is>
          <t>release</t>
        </is>
      </c>
      <c r="C1406" s="256" t="inlineStr">
        <is>
          <t>J31122501</t>
        </is>
      </c>
      <c r="D1406" s="256" t="inlineStr">
        <is>
          <t>— no P lot assigned —</t>
        </is>
      </c>
      <c r="E1406" s="256" t="inlineStr">
        <is>
          <t>Jokerz 31</t>
        </is>
      </c>
      <c r="F1406" s="256" t="inlineStr">
        <is>
          <t>06.06.2026</t>
        </is>
      </c>
      <c r="G1406" s="256" t="inlineStr">
        <is>
          <t>2</t>
        </is>
      </c>
      <c r="H1406" s="256" t="inlineStr">
        <is>
          <t>Identification B · Microscopic</t>
        </is>
      </c>
      <c r="I1406" s="256" t="inlineStr">
        <is>
          <t>Ph. Eur. 2.8.23 (microscopy)</t>
        </is>
      </c>
      <c r="J1406" s="256" t="inlineStr">
        <is>
          <t>Conforms to the monograph for Cannabis flos (07/2024:3028) in Ph. Eur. 11.0 | Согласно монографија за Cannabis flos (07/2024:3028) во Ph. Eur. 11.0</t>
        </is>
      </c>
      <c r="K1406" s="256" t="inlineStr">
        <is>
          <t>Conforms | Одговара</t>
        </is>
      </c>
      <c r="L1406" s="256" t="inlineStr">
        <is>
          <t>iCoA-PP_26-072</t>
        </is>
      </c>
      <c r="M1406" s="256" t="inlineStr">
        <is>
          <t>03.06.2026</t>
        </is>
      </c>
      <c r="N1406" s="256" t="inlineStr">
        <is>
          <t>Purely Plant GmbH (in-house)</t>
        </is>
      </c>
      <c r="O1406" s="256" t="inlineStr">
        <is>
          <t>—</t>
        </is>
      </c>
      <c r="P1406" s="256" t="inlineStr">
        <is>
          <t>to be performed — see route</t>
        </is>
      </c>
      <c r="Q1406" s="256" t="inlineStr">
        <is>
          <t>Purely Plant laboratory — iCoA covering Ident A + B</t>
        </is>
      </c>
      <c r="R1406" s="256" t="inlineStr"/>
    </row>
    <row r="1407">
      <c r="A1407" s="256" t="inlineStr">
        <is>
          <t>CoQ-PP_26-062</t>
        </is>
      </c>
      <c r="B1407" s="256" t="inlineStr">
        <is>
          <t>release</t>
        </is>
      </c>
      <c r="C1407" s="256" t="inlineStr">
        <is>
          <t>J31122501</t>
        </is>
      </c>
      <c r="D1407" s="256" t="inlineStr">
        <is>
          <t>— no P lot assigned —</t>
        </is>
      </c>
      <c r="E1407" s="256" t="inlineStr">
        <is>
          <t>Jokerz 31</t>
        </is>
      </c>
      <c r="F1407" s="256" t="inlineStr">
        <is>
          <t>06.06.2026</t>
        </is>
      </c>
      <c r="G1407" s="256" t="inlineStr">
        <is>
          <t>3</t>
        </is>
      </c>
      <c r="H1407" s="256" t="inlineStr">
        <is>
          <t>Identification C · HPLC/HPTLC</t>
        </is>
      </c>
      <c r="I1407" s="256" t="inlineStr">
        <is>
          <t>Ph. Eur. 2.2.29 (3028)</t>
        </is>
      </c>
      <c r="J1407" s="256" t="inlineStr">
        <is>
          <t>Conforms to the monograph for Cannabis flos (07/2024:3028) in Ph. Eur. 11.0 | Согласно монографија за Cannabis flos (07/2024:3028) во Ph. Eur. 11.0</t>
        </is>
      </c>
      <c r="K1407" s="256" t="inlineStr">
        <is>
          <t>Conforms | Одговара</t>
        </is>
      </c>
      <c r="L1407" s="256" t="inlineStr">
        <is>
          <t>100-2-К/26</t>
        </is>
      </c>
      <c r="M1407" s="256" t="inlineStr">
        <is>
          <t>09.04.2026</t>
        </is>
      </c>
      <c r="N1407" s="256" t="inlineStr">
        <is>
          <t>Farmahem</t>
        </is>
      </c>
      <c r="O1407" s="256" t="inlineStr">
        <is>
          <t>26.03.2026</t>
        </is>
      </c>
      <c r="P1407" s="256" t="inlineStr">
        <is>
          <t>covered</t>
        </is>
      </c>
      <c r="Q1407" s="256" t="inlineStr"/>
      <c r="R1407" s="256" t="inlineStr"/>
    </row>
    <row r="1408">
      <c r="A1408" s="256" t="inlineStr">
        <is>
          <t>CoQ-PP_26-062</t>
        </is>
      </c>
      <c r="B1408" s="256" t="inlineStr">
        <is>
          <t>release</t>
        </is>
      </c>
      <c r="C1408" s="256" t="inlineStr">
        <is>
          <t>J31122501</t>
        </is>
      </c>
      <c r="D1408" s="256" t="inlineStr">
        <is>
          <t>— no P lot assigned —</t>
        </is>
      </c>
      <c r="E1408" s="256" t="inlineStr">
        <is>
          <t>Jokerz 31</t>
        </is>
      </c>
      <c r="F1408" s="256" t="inlineStr">
        <is>
          <t>06.06.2026</t>
        </is>
      </c>
      <c r="G1408" s="256" t="inlineStr">
        <is>
          <t>4</t>
        </is>
      </c>
      <c r="H1408" s="256" t="inlineStr">
        <is>
          <t>Assay — Total Δ⁹-THC</t>
        </is>
      </c>
      <c r="I1408" s="256" t="inlineStr">
        <is>
          <t>Ph. Eur. 2.2.29 (HPLC)</t>
        </is>
      </c>
      <c r="J1408" s="256" t="inlineStr">
        <is>
          <t>19.80 – 24.19 %  (grade II, nominal 22.00 ± 2.20)</t>
        </is>
      </c>
      <c r="K1408" s="256" t="inlineStr">
        <is>
          <t>19.84</t>
        </is>
      </c>
      <c r="L1408" s="256" t="inlineStr">
        <is>
          <t>100-2-К/26</t>
        </is>
      </c>
      <c r="M1408" s="256" t="inlineStr">
        <is>
          <t>09.04.2026</t>
        </is>
      </c>
      <c r="N1408" s="256" t="inlineStr">
        <is>
          <t>Farmahem</t>
        </is>
      </c>
      <c r="O1408" s="256" t="inlineStr">
        <is>
          <t>26.03.2026</t>
        </is>
      </c>
      <c r="P1408" s="256" t="inlineStr">
        <is>
          <t>covered</t>
        </is>
      </c>
      <c r="Q1408" s="256" t="inlineStr"/>
      <c r="R1408" s="256" t="inlineStr">
        <is>
          <t>21.84 (100-3-К/26); 24.48 (227-13-К/26)</t>
        </is>
      </c>
    </row>
    <row r="1409">
      <c r="A1409" s="256" t="inlineStr">
        <is>
          <t>CoQ-PP_26-062</t>
        </is>
      </c>
      <c r="B1409" s="256" t="inlineStr">
        <is>
          <t>release</t>
        </is>
      </c>
      <c r="C1409" s="256" t="inlineStr">
        <is>
          <t>J31122501</t>
        </is>
      </c>
      <c r="D1409" s="256" t="inlineStr">
        <is>
          <t>— no P lot assigned —</t>
        </is>
      </c>
      <c r="E1409" s="256" t="inlineStr">
        <is>
          <t>Jokerz 31</t>
        </is>
      </c>
      <c r="F1409" s="256" t="inlineStr">
        <is>
          <t>06.06.2026</t>
        </is>
      </c>
      <c r="G1409" s="256" t="inlineStr">
        <is>
          <t>5</t>
        </is>
      </c>
      <c r="H1409" s="256" t="inlineStr">
        <is>
          <t>Assay — Total CBD</t>
        </is>
      </c>
      <c r="I1409" s="256" t="inlineStr">
        <is>
          <t>Ph. Eur. 2.2.29 (HPLC) · CBD + CBDA x 0.877</t>
        </is>
      </c>
      <c r="J1409" s="256" t="inlineStr">
        <is>
          <t>≤ 1.0%, w/w</t>
        </is>
      </c>
      <c r="K1409" s="256" t="inlineStr">
        <is>
          <t>&lt; LOQ (&lt;0.20)</t>
        </is>
      </c>
      <c r="L1409" s="256" t="inlineStr">
        <is>
          <t>100-2-К/26</t>
        </is>
      </c>
      <c r="M1409" s="256" t="inlineStr">
        <is>
          <t>09.04.2026</t>
        </is>
      </c>
      <c r="N1409" s="256" t="inlineStr">
        <is>
          <t>Farmahem</t>
        </is>
      </c>
      <c r="O1409" s="256" t="inlineStr">
        <is>
          <t>26.03.2026</t>
        </is>
      </c>
      <c r="P1409" s="256" t="inlineStr">
        <is>
          <t>covered</t>
        </is>
      </c>
      <c r="Q1409" s="256" t="inlineStr"/>
      <c r="R1409" s="256" t="inlineStr">
        <is>
          <t>&lt; LOQ (&lt;0.20) (100-3-К/26); &lt;LOQ (227-13-К/26)</t>
        </is>
      </c>
    </row>
    <row r="1410">
      <c r="A1410" s="256" t="inlineStr">
        <is>
          <t>CoQ-PP_26-062</t>
        </is>
      </c>
      <c r="B1410" s="256" t="inlineStr">
        <is>
          <t>release</t>
        </is>
      </c>
      <c r="C1410" s="256" t="inlineStr">
        <is>
          <t>J31122501</t>
        </is>
      </c>
      <c r="D1410" s="256" t="inlineStr">
        <is>
          <t>— no P lot assigned —</t>
        </is>
      </c>
      <c r="E1410" s="256" t="inlineStr">
        <is>
          <t>Jokerz 31</t>
        </is>
      </c>
      <c r="F1410" s="256" t="inlineStr">
        <is>
          <t>06.06.2026</t>
        </is>
      </c>
      <c r="G1410" s="256" t="inlineStr">
        <is>
          <t>6</t>
        </is>
      </c>
      <c r="H1410" s="256" t="inlineStr">
        <is>
          <t>Total CBN</t>
        </is>
      </c>
      <c r="I1410" s="256" t="inlineStr">
        <is>
          <t>Ph. Eur. 2.2.29 (HPLC) · CBN + CBNA x 0.876</t>
        </is>
      </c>
      <c r="J1410" s="256" t="inlineStr">
        <is>
          <t>≤ 1.0%, w/w</t>
        </is>
      </c>
      <c r="K1410" s="256" t="inlineStr">
        <is>
          <t>&lt; LOQ</t>
        </is>
      </c>
      <c r="L1410" s="256" t="inlineStr">
        <is>
          <t>100-2-К/26</t>
        </is>
      </c>
      <c r="M1410" s="256" t="inlineStr">
        <is>
          <t>09.04.2026</t>
        </is>
      </c>
      <c r="N1410" s="256" t="inlineStr">
        <is>
          <t>Farmahem</t>
        </is>
      </c>
      <c r="O1410" s="256" t="inlineStr">
        <is>
          <t>26.03.2026</t>
        </is>
      </c>
      <c r="P1410" s="256" t="inlineStr">
        <is>
          <t>covered</t>
        </is>
      </c>
      <c r="Q1410" s="256" t="inlineStr"/>
      <c r="R1410" s="256" t="inlineStr">
        <is>
          <t>&lt; LOQ (100-3-К/26); &lt;LOQ (227-13-К/26)</t>
        </is>
      </c>
    </row>
    <row r="1411">
      <c r="A1411" s="256" t="inlineStr">
        <is>
          <t>CoQ-PP_26-062</t>
        </is>
      </c>
      <c r="B1411" s="256" t="inlineStr">
        <is>
          <t>release</t>
        </is>
      </c>
      <c r="C1411" s="256" t="inlineStr">
        <is>
          <t>J31122501</t>
        </is>
      </c>
      <c r="D1411" s="256" t="inlineStr">
        <is>
          <t>— no P lot assigned —</t>
        </is>
      </c>
      <c r="E1411" s="256" t="inlineStr">
        <is>
          <t>Jokerz 31</t>
        </is>
      </c>
      <c r="F1411" s="256" t="inlineStr">
        <is>
          <t>06.06.2026</t>
        </is>
      </c>
      <c r="G1411" s="256" t="inlineStr">
        <is>
          <t>7</t>
        </is>
      </c>
      <c r="H1411" s="256" t="inlineStr">
        <is>
          <t>Foreign Matter</t>
        </is>
      </c>
      <c r="I1411" s="256" t="inlineStr">
        <is>
          <t>Ph. Eur. 2.8.2 · In-house · интерна</t>
        </is>
      </c>
      <c r="J1411" s="256" t="inlineStr">
        <is>
          <t>≤ 2.0% / 25–50 g · &lt; 1 cm leaves | листови, no seeds | без семки</t>
        </is>
      </c>
      <c r="K1411" s="256" t="inlineStr">
        <is>
          <t>Conforms | Одговара</t>
        </is>
      </c>
      <c r="L1411" s="256" t="inlineStr">
        <is>
          <t>iCoA-PP_26-072</t>
        </is>
      </c>
      <c r="M1411" s="256" t="inlineStr">
        <is>
          <t>03.06.2026</t>
        </is>
      </c>
      <c r="N1411" s="256" t="inlineStr">
        <is>
          <t>Purely Plant GmbH (in-house)</t>
        </is>
      </c>
      <c r="O1411" s="256" t="inlineStr">
        <is>
          <t>—</t>
        </is>
      </c>
      <c r="P1411" s="256" t="inlineStr">
        <is>
          <t>to be performed — see route</t>
        </is>
      </c>
      <c r="Q1411" s="256" t="inlineStr">
        <is>
          <t>Purely Plant laboratory — iCoA covering Foreign matter</t>
        </is>
      </c>
      <c r="R1411" s="256" t="inlineStr"/>
    </row>
    <row r="1412">
      <c r="A1412" s="256" t="inlineStr">
        <is>
          <t>CoQ-PP_26-062</t>
        </is>
      </c>
      <c r="B1412" s="256" t="inlineStr">
        <is>
          <t>release</t>
        </is>
      </c>
      <c r="C1412" s="256" t="inlineStr">
        <is>
          <t>J31122501</t>
        </is>
      </c>
      <c r="D1412" s="256" t="inlineStr">
        <is>
          <t>— no P lot assigned —</t>
        </is>
      </c>
      <c r="E1412" s="256" t="inlineStr">
        <is>
          <t>Jokerz 31</t>
        </is>
      </c>
      <c r="F1412" s="256" t="inlineStr">
        <is>
          <t>06.06.2026</t>
        </is>
      </c>
      <c r="G1412" s="256" t="inlineStr">
        <is>
          <t>8</t>
        </is>
      </c>
      <c r="H1412" s="256" t="inlineStr">
        <is>
          <t>Loss on Drying</t>
        </is>
      </c>
      <c r="I1412" s="256" t="inlineStr">
        <is>
          <t>Ph. Eur. 2.2.32 (3028) · at 40 °C, 24 h, 15–25 mbar</t>
        </is>
      </c>
      <c r="J1412" s="256" t="inlineStr">
        <is>
          <t>≤ 12.0%</t>
        </is>
      </c>
      <c r="K1412" s="256" t="inlineStr">
        <is>
          <t>10.3</t>
        </is>
      </c>
      <c r="L1412" s="256" t="inlineStr">
        <is>
          <t>100-2-ГС/26</t>
        </is>
      </c>
      <c r="M1412" s="256" t="inlineStr">
        <is>
          <t>09.04.2026</t>
        </is>
      </c>
      <c r="N1412" s="256" t="inlineStr">
        <is>
          <t>Farmahem</t>
        </is>
      </c>
      <c r="O1412" s="256" t="inlineStr">
        <is>
          <t>—</t>
        </is>
      </c>
      <c r="P1412" s="256" t="inlineStr">
        <is>
          <t>covered — laboratory finding recorded</t>
        </is>
      </c>
      <c r="Q1412" s="256" t="inlineStr"/>
      <c r="R1412" s="256" t="inlineStr">
        <is>
          <t>10.3 (100-3-ГС/26)</t>
        </is>
      </c>
    </row>
    <row r="1413">
      <c r="A1413" s="256" t="inlineStr">
        <is>
          <t>CoQ-PP_26-062</t>
        </is>
      </c>
      <c r="B1413" s="256" t="inlineStr">
        <is>
          <t>release</t>
        </is>
      </c>
      <c r="C1413" s="256" t="inlineStr">
        <is>
          <t>J31122501</t>
        </is>
      </c>
      <c r="D1413" s="256" t="inlineStr">
        <is>
          <t>— no P lot assigned —</t>
        </is>
      </c>
      <c r="E1413" s="256" t="inlineStr">
        <is>
          <t>Jokerz 31</t>
        </is>
      </c>
      <c r="F1413" s="256" t="inlineStr">
        <is>
          <t>06.06.2026</t>
        </is>
      </c>
      <c r="G1413" s="256" t="inlineStr">
        <is>
          <t>9.1</t>
        </is>
      </c>
      <c r="H1413" s="256" t="inlineStr">
        <is>
          <t>TAMC</t>
        </is>
      </c>
      <c r="I1413" s="256" t="inlineStr">
        <is>
          <t>Ph. Eur. 2.6.12 cat. C</t>
        </is>
      </c>
      <c r="J1413" s="256" t="inlineStr">
        <is>
          <t>≤ 10⁵ CFU/g</t>
        </is>
      </c>
      <c r="K1413" s="256" t="inlineStr">
        <is>
          <t>850</t>
        </is>
      </c>
      <c r="L1413" s="256" t="inlineStr">
        <is>
          <t>231/0394/26 (Racno trimiran cvet)</t>
        </is>
      </c>
      <c r="M1413" s="256" t="inlineStr">
        <is>
          <t>07.04.2026</t>
        </is>
      </c>
      <c r="N1413" s="256" t="inlineStr">
        <is>
          <t>IPH — Institute of Public Health</t>
        </is>
      </c>
      <c r="O1413" s="256" t="inlineStr">
        <is>
          <t>—</t>
        </is>
      </c>
      <c r="P1413" s="256" t="inlineStr">
        <is>
          <t>covered</t>
        </is>
      </c>
      <c r="Q1413" s="256" t="inlineStr"/>
      <c r="R1413" s="256" t="inlineStr">
        <is>
          <t>1900 (230/0393/26 (Trimiran cvet))</t>
        </is>
      </c>
    </row>
    <row r="1414">
      <c r="A1414" s="256" t="inlineStr">
        <is>
          <t>CoQ-PP_26-062</t>
        </is>
      </c>
      <c r="B1414" s="256" t="inlineStr">
        <is>
          <t>release</t>
        </is>
      </c>
      <c r="C1414" s="256" t="inlineStr">
        <is>
          <t>J31122501</t>
        </is>
      </c>
      <c r="D1414" s="256" t="inlineStr">
        <is>
          <t>— no P lot assigned —</t>
        </is>
      </c>
      <c r="E1414" s="256" t="inlineStr">
        <is>
          <t>Jokerz 31</t>
        </is>
      </c>
      <c r="F1414" s="256" t="inlineStr">
        <is>
          <t>06.06.2026</t>
        </is>
      </c>
      <c r="G1414" s="256" t="inlineStr">
        <is>
          <t>9.2</t>
        </is>
      </c>
      <c r="H1414" s="256" t="inlineStr">
        <is>
          <t>TYMC</t>
        </is>
      </c>
      <c r="I1414" s="256" t="inlineStr">
        <is>
          <t>Ph. Eur. 2.6.12 cat. C</t>
        </is>
      </c>
      <c r="J1414" s="256" t="inlineStr">
        <is>
          <t>≤ 10⁴ CFU/g</t>
        </is>
      </c>
      <c r="K1414" s="256" t="inlineStr">
        <is>
          <t>370</t>
        </is>
      </c>
      <c r="L1414" s="256" t="inlineStr">
        <is>
          <t>231/0394/26 (Racno trimiran cvet)</t>
        </is>
      </c>
      <c r="M1414" s="256" t="inlineStr">
        <is>
          <t>07.04.2026</t>
        </is>
      </c>
      <c r="N1414" s="256" t="inlineStr">
        <is>
          <t>IPH — Institute of Public Health</t>
        </is>
      </c>
      <c r="O1414" s="256" t="inlineStr">
        <is>
          <t>—</t>
        </is>
      </c>
      <c r="P1414" s="256" t="inlineStr">
        <is>
          <t>covered</t>
        </is>
      </c>
      <c r="Q1414" s="256" t="inlineStr"/>
      <c r="R1414" s="256" t="inlineStr">
        <is>
          <t>840 (230/0393/26 (Trimiran cvet))</t>
        </is>
      </c>
    </row>
    <row r="1415">
      <c r="A1415" s="256" t="inlineStr">
        <is>
          <t>CoQ-PP_26-062</t>
        </is>
      </c>
      <c r="B1415" s="256" t="inlineStr">
        <is>
          <t>release</t>
        </is>
      </c>
      <c r="C1415" s="256" t="inlineStr">
        <is>
          <t>J31122501</t>
        </is>
      </c>
      <c r="D1415" s="256" t="inlineStr">
        <is>
          <t>— no P lot assigned —</t>
        </is>
      </c>
      <c r="E1415" s="256" t="inlineStr">
        <is>
          <t>Jokerz 31</t>
        </is>
      </c>
      <c r="F1415" s="256" t="inlineStr">
        <is>
          <t>06.06.2026</t>
        </is>
      </c>
      <c r="G1415" s="256" t="inlineStr">
        <is>
          <t>9.3</t>
        </is>
      </c>
      <c r="H1415" s="256" t="inlineStr">
        <is>
          <t>Bile-tolerant gram-neg.</t>
        </is>
      </c>
      <c r="I1415" s="256" t="inlineStr">
        <is>
          <t>Ph. Eur. 2.6.31 cat. C</t>
        </is>
      </c>
      <c r="J1415" s="256" t="inlineStr">
        <is>
          <t>≤ 10⁴ CFU/g</t>
        </is>
      </c>
      <c r="K1415" s="256" t="inlineStr">
        <is>
          <t>&lt; 10² and &gt; 10</t>
        </is>
      </c>
      <c r="L1415" s="256" t="inlineStr">
        <is>
          <t>231/0394/26 (Racno trimiran cvet)</t>
        </is>
      </c>
      <c r="M1415" s="256" t="inlineStr">
        <is>
          <t>07.04.2026</t>
        </is>
      </c>
      <c r="N1415" s="256" t="inlineStr">
        <is>
          <t>IPH — Institute of Public Health</t>
        </is>
      </c>
      <c r="O1415" s="256" t="inlineStr">
        <is>
          <t>—</t>
        </is>
      </c>
      <c r="P1415" s="256" t="inlineStr">
        <is>
          <t>covered</t>
        </is>
      </c>
      <c r="Q1415" s="256" t="inlineStr"/>
      <c r="R1415" s="256" t="inlineStr">
        <is>
          <t>&lt; 10^3 and &gt; 10^2 (230/0393/26 (Trimiran cvet))</t>
        </is>
      </c>
    </row>
    <row r="1416">
      <c r="A1416" s="256" t="inlineStr">
        <is>
          <t>CoQ-PP_26-062</t>
        </is>
      </c>
      <c r="B1416" s="256" t="inlineStr">
        <is>
          <t>release</t>
        </is>
      </c>
      <c r="C1416" s="256" t="inlineStr">
        <is>
          <t>J31122501</t>
        </is>
      </c>
      <c r="D1416" s="256" t="inlineStr">
        <is>
          <t>— no P lot assigned —</t>
        </is>
      </c>
      <c r="E1416" s="256" t="inlineStr">
        <is>
          <t>Jokerz 31</t>
        </is>
      </c>
      <c r="F1416" s="256" t="inlineStr">
        <is>
          <t>06.06.2026</t>
        </is>
      </c>
      <c r="G1416" s="256" t="inlineStr">
        <is>
          <t>9.4</t>
        </is>
      </c>
      <c r="H1416" s="256" t="inlineStr">
        <is>
          <t>Salmonella</t>
        </is>
      </c>
      <c r="I1416" s="256" t="inlineStr">
        <is>
          <t>Ph. Eur. 2.6.31 cat. C</t>
        </is>
      </c>
      <c r="J1416" s="256" t="inlineStr">
        <is>
          <t>Absence | Отсуство / 25 g</t>
        </is>
      </c>
      <c r="K1416" s="256" t="inlineStr">
        <is>
          <t>Absent | Отсутна</t>
        </is>
      </c>
      <c r="L1416" s="256" t="inlineStr">
        <is>
          <t>231/0394/26 (Racno trimiran cvet)</t>
        </is>
      </c>
      <c r="M1416" s="256" t="inlineStr">
        <is>
          <t>07.04.2026</t>
        </is>
      </c>
      <c r="N1416" s="256" t="inlineStr">
        <is>
          <t>IPH — Institute of Public Health</t>
        </is>
      </c>
      <c r="O1416" s="256" t="inlineStr">
        <is>
          <t>—</t>
        </is>
      </c>
      <c r="P1416" s="256" t="inlineStr">
        <is>
          <t>covered</t>
        </is>
      </c>
      <c r="Q1416" s="256" t="inlineStr"/>
      <c r="R1416" s="256" t="inlineStr">
        <is>
          <t>Одговара (Complies/Absent) (230/0393/26 (Trimiran cvet))</t>
        </is>
      </c>
    </row>
    <row r="1417">
      <c r="A1417" s="256" t="inlineStr">
        <is>
          <t>CoQ-PP_26-062</t>
        </is>
      </c>
      <c r="B1417" s="256" t="inlineStr">
        <is>
          <t>release</t>
        </is>
      </c>
      <c r="C1417" s="256" t="inlineStr">
        <is>
          <t>J31122501</t>
        </is>
      </c>
      <c r="D1417" s="256" t="inlineStr">
        <is>
          <t>— no P lot assigned —</t>
        </is>
      </c>
      <c r="E1417" s="256" t="inlineStr">
        <is>
          <t>Jokerz 31</t>
        </is>
      </c>
      <c r="F1417" s="256" t="inlineStr">
        <is>
          <t>06.06.2026</t>
        </is>
      </c>
      <c r="G1417" s="256" t="inlineStr">
        <is>
          <t>9.5</t>
        </is>
      </c>
      <c r="H1417" s="256" t="inlineStr">
        <is>
          <t>Escherichia coli</t>
        </is>
      </c>
      <c r="I1417" s="256" t="inlineStr">
        <is>
          <t>Ph. Eur. 2.6.13 cat. C</t>
        </is>
      </c>
      <c r="J1417" s="256" t="inlineStr">
        <is>
          <t>Absence | Отсуство / 1 g</t>
        </is>
      </c>
      <c r="K1417" s="256" t="inlineStr">
        <is>
          <t>Absent | Отсутна</t>
        </is>
      </c>
      <c r="L1417" s="256" t="inlineStr">
        <is>
          <t>231/0394/26 (Racno trimiran cvet)</t>
        </is>
      </c>
      <c r="M1417" s="256" t="inlineStr">
        <is>
          <t>07.04.2026</t>
        </is>
      </c>
      <c r="N1417" s="256" t="inlineStr">
        <is>
          <t>IPH — Institute of Public Health</t>
        </is>
      </c>
      <c r="O1417" s="256" t="inlineStr">
        <is>
          <t>—</t>
        </is>
      </c>
      <c r="P1417" s="256" t="inlineStr">
        <is>
          <t>covered</t>
        </is>
      </c>
      <c r="Q1417" s="256" t="inlineStr"/>
      <c r="R1417" s="256" t="inlineStr">
        <is>
          <t>Одговара (Complies/Absent) (230/0393/26 (Trimiran cvet))</t>
        </is>
      </c>
    </row>
    <row r="1418">
      <c r="A1418" s="256" t="inlineStr">
        <is>
          <t>CoQ-PP_26-062</t>
        </is>
      </c>
      <c r="B1418" s="256" t="inlineStr">
        <is>
          <t>release</t>
        </is>
      </c>
      <c r="C1418" s="256" t="inlineStr">
        <is>
          <t>J31122501</t>
        </is>
      </c>
      <c r="D1418" s="256" t="inlineStr">
        <is>
          <t>— no P lot assigned —</t>
        </is>
      </c>
      <c r="E1418" s="256" t="inlineStr">
        <is>
          <t>Jokerz 31</t>
        </is>
      </c>
      <c r="F1418" s="256" t="inlineStr">
        <is>
          <t>06.06.2026</t>
        </is>
      </c>
      <c r="G1418" s="256" t="inlineStr">
        <is>
          <t>9.6</t>
        </is>
      </c>
      <c r="H1418" s="256" t="inlineStr">
        <is>
          <t>Pseudomonas aeruginosa</t>
        </is>
      </c>
      <c r="I1418" s="256" t="inlineStr">
        <is>
          <t>Ph. Eur. 2.6.13 cat. C</t>
        </is>
      </c>
      <c r="J1418" s="256" t="inlineStr">
        <is>
          <t>Absence | Отсуство / 1 g</t>
        </is>
      </c>
      <c r="K1418" s="260" t="inlineStr">
        <is>
          <t>upon request — not required for release</t>
        </is>
      </c>
      <c r="L1418" s="256" t="inlineStr">
        <is>
          <t>—</t>
        </is>
      </c>
      <c r="M1418" s="256" t="inlineStr">
        <is>
          <t>—</t>
        </is>
      </c>
      <c r="N1418" s="256" t="inlineStr">
        <is>
          <t>—</t>
        </is>
      </c>
      <c r="O1418" s="256" t="inlineStr">
        <is>
          <t>—</t>
        </is>
      </c>
      <c r="P1418" s="256" t="inlineStr">
        <is>
          <t>upon request — not required for release</t>
        </is>
      </c>
      <c r="Q1418" s="256" t="inlineStr"/>
      <c r="R1418" s="256" t="inlineStr"/>
    </row>
    <row r="1419">
      <c r="A1419" s="256" t="inlineStr">
        <is>
          <t>CoQ-PP_26-062</t>
        </is>
      </c>
      <c r="B1419" s="256" t="inlineStr">
        <is>
          <t>release</t>
        </is>
      </c>
      <c r="C1419" s="256" t="inlineStr">
        <is>
          <t>J31122501</t>
        </is>
      </c>
      <c r="D1419" s="256" t="inlineStr">
        <is>
          <t>— no P lot assigned —</t>
        </is>
      </c>
      <c r="E1419" s="256" t="inlineStr">
        <is>
          <t>Jokerz 31</t>
        </is>
      </c>
      <c r="F1419" s="256" t="inlineStr">
        <is>
          <t>06.06.2026</t>
        </is>
      </c>
      <c r="G1419" s="256" t="inlineStr">
        <is>
          <t>9.7</t>
        </is>
      </c>
      <c r="H1419" s="256" t="inlineStr">
        <is>
          <t>Staphylococcus aureus</t>
        </is>
      </c>
      <c r="I1419" s="256" t="inlineStr">
        <is>
          <t>Ph. Eur. 2.6.13 cat. C</t>
        </is>
      </c>
      <c r="J1419" s="256" t="inlineStr">
        <is>
          <t>Absence | Отсуство / 1 g</t>
        </is>
      </c>
      <c r="K1419" s="260" t="inlineStr">
        <is>
          <t>upon request — not required for release</t>
        </is>
      </c>
      <c r="L1419" s="256" t="inlineStr">
        <is>
          <t>—</t>
        </is>
      </c>
      <c r="M1419" s="256" t="inlineStr">
        <is>
          <t>—</t>
        </is>
      </c>
      <c r="N1419" s="256" t="inlineStr">
        <is>
          <t>—</t>
        </is>
      </c>
      <c r="O1419" s="256" t="inlineStr">
        <is>
          <t>—</t>
        </is>
      </c>
      <c r="P1419" s="256" t="inlineStr">
        <is>
          <t>upon request — not required for release</t>
        </is>
      </c>
      <c r="Q1419" s="256" t="inlineStr"/>
      <c r="R1419" s="256" t="inlineStr"/>
    </row>
    <row r="1420">
      <c r="A1420" s="256" t="inlineStr">
        <is>
          <t>CoQ-PP_26-062</t>
        </is>
      </c>
      <c r="B1420" s="256" t="inlineStr">
        <is>
          <t>release</t>
        </is>
      </c>
      <c r="C1420" s="256" t="inlineStr">
        <is>
          <t>J31122501</t>
        </is>
      </c>
      <c r="D1420" s="256" t="inlineStr">
        <is>
          <t>— no P lot assigned —</t>
        </is>
      </c>
      <c r="E1420" s="256" t="inlineStr">
        <is>
          <t>Jokerz 31</t>
        </is>
      </c>
      <c r="F1420" s="256" t="inlineStr">
        <is>
          <t>06.06.2026</t>
        </is>
      </c>
      <c r="G1420" s="256" t="inlineStr">
        <is>
          <t>10.1</t>
        </is>
      </c>
      <c r="H1420" s="256" t="inlineStr">
        <is>
          <t>Aflatoxin B₁</t>
        </is>
      </c>
      <c r="I1420" s="256" t="inlineStr">
        <is>
          <t>Ph. Eur. 2.8.18 (HPLC-FLD)</t>
        </is>
      </c>
      <c r="J1420" s="256" t="inlineStr">
        <is>
          <t>≤ 2 µg/kg</t>
        </is>
      </c>
      <c r="K1420" s="259" t="inlineStr">
        <is>
          <t>not tested</t>
        </is>
      </c>
      <c r="L1420" s="256" t="inlineStr">
        <is>
          <t>—</t>
        </is>
      </c>
      <c r="M1420" s="256" t="inlineStr">
        <is>
          <t>—</t>
        </is>
      </c>
      <c r="N1420" s="256" t="inlineStr">
        <is>
          <t>—</t>
        </is>
      </c>
      <c r="O1420" s="256" t="inlineStr">
        <is>
          <t>—</t>
        </is>
      </c>
      <c r="P1420" s="256" t="inlineStr">
        <is>
          <t>not tested — no certificate covers it</t>
        </is>
      </c>
      <c r="Q1420" s="256" t="inlineStr"/>
      <c r="R1420" s="256" t="inlineStr"/>
    </row>
    <row r="1421">
      <c r="A1421" s="256" t="inlineStr">
        <is>
          <t>CoQ-PP_26-062</t>
        </is>
      </c>
      <c r="B1421" s="256" t="inlineStr">
        <is>
          <t>release</t>
        </is>
      </c>
      <c r="C1421" s="256" t="inlineStr">
        <is>
          <t>J31122501</t>
        </is>
      </c>
      <c r="D1421" s="256" t="inlineStr">
        <is>
          <t>— no P lot assigned —</t>
        </is>
      </c>
      <c r="E1421" s="256" t="inlineStr">
        <is>
          <t>Jokerz 31</t>
        </is>
      </c>
      <c r="F1421" s="256" t="inlineStr">
        <is>
          <t>06.06.2026</t>
        </is>
      </c>
      <c r="G1421" s="256" t="inlineStr">
        <is>
          <t>10.2</t>
        </is>
      </c>
      <c r="H1421" s="256" t="inlineStr">
        <is>
          <t>Aflatoxins ∑</t>
        </is>
      </c>
      <c r="I1421" s="256" t="inlineStr">
        <is>
          <t>Ph. Eur. 2.8.18 (HPLC-FLD)</t>
        </is>
      </c>
      <c r="J1421" s="256" t="inlineStr">
        <is>
          <t>≤ 4 µg/kg</t>
        </is>
      </c>
      <c r="K1421" s="256" t="inlineStr">
        <is>
          <t>2.5</t>
        </is>
      </c>
      <c r="L1421" s="256" t="inlineStr">
        <is>
          <t>1628/2026</t>
        </is>
      </c>
      <c r="M1421" s="256" t="inlineStr">
        <is>
          <t>23.04.2026</t>
        </is>
      </c>
      <c r="N1421" s="256" t="inlineStr">
        <is>
          <t>IPH — Institute of Public Health</t>
        </is>
      </c>
      <c r="O1421" s="256" t="inlineStr">
        <is>
          <t>27.03.2026</t>
        </is>
      </c>
      <c r="P1421" s="256" t="inlineStr">
        <is>
          <t>covered</t>
        </is>
      </c>
      <c r="Q1421" s="256" t="inlineStr"/>
      <c r="R1421" s="256" t="inlineStr">
        <is>
          <t>COMPLIES (numeric value not present in captured source excerpt for report 1625/2026 — see Bundle cross-reference) (1625/2026)</t>
        </is>
      </c>
    </row>
    <row r="1422">
      <c r="A1422" s="256" t="inlineStr">
        <is>
          <t>CoQ-PP_26-062</t>
        </is>
      </c>
      <c r="B1422" s="256" t="inlineStr">
        <is>
          <t>release</t>
        </is>
      </c>
      <c r="C1422" s="256" t="inlineStr">
        <is>
          <t>J31122501</t>
        </is>
      </c>
      <c r="D1422" s="256" t="inlineStr">
        <is>
          <t>— no P lot assigned —</t>
        </is>
      </c>
      <c r="E1422" s="256" t="inlineStr">
        <is>
          <t>Jokerz 31</t>
        </is>
      </c>
      <c r="F1422" s="256" t="inlineStr">
        <is>
          <t>06.06.2026</t>
        </is>
      </c>
      <c r="G1422" s="256" t="inlineStr">
        <is>
          <t>10.3</t>
        </is>
      </c>
      <c r="H1422" s="256" t="inlineStr">
        <is>
          <t>Ochratoxin A</t>
        </is>
      </c>
      <c r="I1422" s="256" t="inlineStr">
        <is>
          <t>Ph. Eur. 2.8.22 (HPLC-FLD)</t>
        </is>
      </c>
      <c r="J1422" s="256" t="inlineStr">
        <is>
          <t>≤ 20 µg/kg</t>
        </is>
      </c>
      <c r="K1422" s="259" t="inlineStr">
        <is>
          <t>not tested</t>
        </is>
      </c>
      <c r="L1422" s="256" t="inlineStr">
        <is>
          <t>—</t>
        </is>
      </c>
      <c r="M1422" s="256" t="inlineStr">
        <is>
          <t>—</t>
        </is>
      </c>
      <c r="N1422" s="256" t="inlineStr">
        <is>
          <t>—</t>
        </is>
      </c>
      <c r="O1422" s="256" t="inlineStr">
        <is>
          <t>—</t>
        </is>
      </c>
      <c r="P1422" s="256" t="inlineStr">
        <is>
          <t>not tested — no certificate covers it</t>
        </is>
      </c>
      <c r="Q1422" s="256" t="inlineStr"/>
      <c r="R1422" s="256" t="inlineStr"/>
    </row>
    <row r="1423">
      <c r="A1423" s="256" t="inlineStr">
        <is>
          <t>CoQ-PP_26-062</t>
        </is>
      </c>
      <c r="B1423" s="256" t="inlineStr">
        <is>
          <t>release</t>
        </is>
      </c>
      <c r="C1423" s="256" t="inlineStr">
        <is>
          <t>J31122501</t>
        </is>
      </c>
      <c r="D1423" s="256" t="inlineStr">
        <is>
          <t>— no P lot assigned —</t>
        </is>
      </c>
      <c r="E1423" s="256" t="inlineStr">
        <is>
          <t>Jokerz 31</t>
        </is>
      </c>
      <c r="F1423" s="256" t="inlineStr">
        <is>
          <t>06.06.2026</t>
        </is>
      </c>
      <c r="G1423" s="256" t="inlineStr">
        <is>
          <t>11.1</t>
        </is>
      </c>
      <c r="H1423" s="256" t="inlineStr">
        <is>
          <t>Lead (Pb)</t>
        </is>
      </c>
      <c r="I1423" s="256" t="inlineStr">
        <is>
          <t>Ph. Eur. 2.4.27 (ICP-MS)</t>
        </is>
      </c>
      <c r="J1423" s="256" t="inlineStr">
        <is>
          <t>≤ 0.5 mg/kg</t>
        </is>
      </c>
      <c r="K1423" s="256" t="inlineStr">
        <is>
          <t>ND</t>
        </is>
      </c>
      <c r="L1423" s="256" t="inlineStr">
        <is>
          <t>1628/2026</t>
        </is>
      </c>
      <c r="M1423" s="256" t="inlineStr">
        <is>
          <t>23.04.2026</t>
        </is>
      </c>
      <c r="N1423" s="256" t="inlineStr">
        <is>
          <t>IPH — Institute of Public Health</t>
        </is>
      </c>
      <c r="O1423" s="256" t="inlineStr">
        <is>
          <t>27.03.2026</t>
        </is>
      </c>
      <c r="P1423" s="256" t="inlineStr">
        <is>
          <t>covered</t>
        </is>
      </c>
      <c r="Q1423" s="256" t="inlineStr"/>
      <c r="R1423" s="256" t="inlineStr"/>
    </row>
    <row r="1424">
      <c r="A1424" s="256" t="inlineStr">
        <is>
          <t>CoQ-PP_26-062</t>
        </is>
      </c>
      <c r="B1424" s="256" t="inlineStr">
        <is>
          <t>release</t>
        </is>
      </c>
      <c r="C1424" s="256" t="inlineStr">
        <is>
          <t>J31122501</t>
        </is>
      </c>
      <c r="D1424" s="256" t="inlineStr">
        <is>
          <t>— no P lot assigned —</t>
        </is>
      </c>
      <c r="E1424" s="256" t="inlineStr">
        <is>
          <t>Jokerz 31</t>
        </is>
      </c>
      <c r="F1424" s="256" t="inlineStr">
        <is>
          <t>06.06.2026</t>
        </is>
      </c>
      <c r="G1424" s="256" t="inlineStr">
        <is>
          <t>11.2</t>
        </is>
      </c>
      <c r="H1424" s="256" t="inlineStr">
        <is>
          <t>Cadmium (Cd)</t>
        </is>
      </c>
      <c r="I1424" s="256" t="inlineStr">
        <is>
          <t>Ph. Eur. 2.4.27 (ICP-MS)</t>
        </is>
      </c>
      <c r="J1424" s="256" t="inlineStr">
        <is>
          <t>≤ 0.3 mg/kg</t>
        </is>
      </c>
      <c r="K1424" s="256" t="inlineStr">
        <is>
          <t>ND</t>
        </is>
      </c>
      <c r="L1424" s="256" t="inlineStr">
        <is>
          <t>1628/2026</t>
        </is>
      </c>
      <c r="M1424" s="256" t="inlineStr">
        <is>
          <t>23.04.2026</t>
        </is>
      </c>
      <c r="N1424" s="256" t="inlineStr">
        <is>
          <t>IPH — Institute of Public Health</t>
        </is>
      </c>
      <c r="O1424" s="256" t="inlineStr">
        <is>
          <t>27.03.2026</t>
        </is>
      </c>
      <c r="P1424" s="256" t="inlineStr">
        <is>
          <t>covered</t>
        </is>
      </c>
      <c r="Q1424" s="256" t="inlineStr"/>
      <c r="R1424" s="256" t="inlineStr"/>
    </row>
    <row r="1425">
      <c r="A1425" s="256" t="inlineStr">
        <is>
          <t>CoQ-PP_26-062</t>
        </is>
      </c>
      <c r="B1425" s="256" t="inlineStr">
        <is>
          <t>release</t>
        </is>
      </c>
      <c r="C1425" s="256" t="inlineStr">
        <is>
          <t>J31122501</t>
        </is>
      </c>
      <c r="D1425" s="256" t="inlineStr">
        <is>
          <t>— no P lot assigned —</t>
        </is>
      </c>
      <c r="E1425" s="256" t="inlineStr">
        <is>
          <t>Jokerz 31</t>
        </is>
      </c>
      <c r="F1425" s="256" t="inlineStr">
        <is>
          <t>06.06.2026</t>
        </is>
      </c>
      <c r="G1425" s="256" t="inlineStr">
        <is>
          <t>11.3</t>
        </is>
      </c>
      <c r="H1425" s="256" t="inlineStr">
        <is>
          <t>Arsenic (As)</t>
        </is>
      </c>
      <c r="I1425" s="256" t="inlineStr">
        <is>
          <t>Ph. Eur. 2.4.27 (ICP-MS)</t>
        </is>
      </c>
      <c r="J1425" s="256" t="inlineStr">
        <is>
          <t>≤ 0.2 mg/kg</t>
        </is>
      </c>
      <c r="K1425" s="256" t="inlineStr">
        <is>
          <t>ND</t>
        </is>
      </c>
      <c r="L1425" s="256" t="inlineStr">
        <is>
          <t>1628/2026</t>
        </is>
      </c>
      <c r="M1425" s="256" t="inlineStr">
        <is>
          <t>23.04.2026</t>
        </is>
      </c>
      <c r="N1425" s="256" t="inlineStr">
        <is>
          <t>IPH — Institute of Public Health</t>
        </is>
      </c>
      <c r="O1425" s="256" t="inlineStr">
        <is>
          <t>27.03.2026</t>
        </is>
      </c>
      <c r="P1425" s="256" t="inlineStr">
        <is>
          <t>covered</t>
        </is>
      </c>
      <c r="Q1425" s="256" t="inlineStr"/>
      <c r="R1425" s="256" t="inlineStr"/>
    </row>
    <row r="1426">
      <c r="A1426" s="256" t="inlineStr">
        <is>
          <t>CoQ-PP_26-062</t>
        </is>
      </c>
      <c r="B1426" s="256" t="inlineStr">
        <is>
          <t>release</t>
        </is>
      </c>
      <c r="C1426" s="256" t="inlineStr">
        <is>
          <t>J31122501</t>
        </is>
      </c>
      <c r="D1426" s="256" t="inlineStr">
        <is>
          <t>— no P lot assigned —</t>
        </is>
      </c>
      <c r="E1426" s="256" t="inlineStr">
        <is>
          <t>Jokerz 31</t>
        </is>
      </c>
      <c r="F1426" s="256" t="inlineStr">
        <is>
          <t>06.06.2026</t>
        </is>
      </c>
      <c r="G1426" s="256" t="inlineStr">
        <is>
          <t>11.4</t>
        </is>
      </c>
      <c r="H1426" s="256" t="inlineStr">
        <is>
          <t>Mercury (Hg)</t>
        </is>
      </c>
      <c r="I1426" s="256" t="inlineStr">
        <is>
          <t>Ph. Eur. 2.4.27 (ICP-MS)</t>
        </is>
      </c>
      <c r="J1426" s="256" t="inlineStr">
        <is>
          <t>≤ 0.1 mg/kg</t>
        </is>
      </c>
      <c r="K1426" s="256" t="inlineStr">
        <is>
          <t>ND</t>
        </is>
      </c>
      <c r="L1426" s="256" t="inlineStr">
        <is>
          <t>1628/2026</t>
        </is>
      </c>
      <c r="M1426" s="256" t="inlineStr">
        <is>
          <t>23.04.2026</t>
        </is>
      </c>
      <c r="N1426" s="256" t="inlineStr">
        <is>
          <t>IPH — Institute of Public Health</t>
        </is>
      </c>
      <c r="O1426" s="256" t="inlineStr">
        <is>
          <t>27.03.2026</t>
        </is>
      </c>
      <c r="P1426" s="256" t="inlineStr">
        <is>
          <t>covered</t>
        </is>
      </c>
      <c r="Q1426" s="256" t="inlineStr"/>
      <c r="R1426" s="256" t="inlineStr"/>
    </row>
    <row r="1427">
      <c r="A1427" s="256" t="inlineStr">
        <is>
          <t>CoQ-PP_26-062</t>
        </is>
      </c>
      <c r="B1427" s="256" t="inlineStr">
        <is>
          <t>release</t>
        </is>
      </c>
      <c r="C1427" s="256" t="inlineStr">
        <is>
          <t>J31122501</t>
        </is>
      </c>
      <c r="D1427" s="256" t="inlineStr">
        <is>
          <t>— no P lot assigned —</t>
        </is>
      </c>
      <c r="E1427" s="256" t="inlineStr">
        <is>
          <t>Jokerz 31</t>
        </is>
      </c>
      <c r="F1427" s="256" t="inlineStr">
        <is>
          <t>06.06.2026</t>
        </is>
      </c>
      <c r="G1427" s="256" t="inlineStr">
        <is>
          <t>12</t>
        </is>
      </c>
      <c r="H1427" s="256" t="inlineStr">
        <is>
          <t>Pesticide Residues</t>
        </is>
      </c>
      <c r="I1427" s="256" t="inlineStr">
        <is>
          <t>Ph. Eur. 2.8.13 (LC-MS/MS) · CUMCS Equivalency</t>
        </is>
      </c>
      <c r="J1427" s="256" t="inlineStr">
        <is>
          <t>≤ LOQ as per Ph. Eur. 2.8.13 · ≤ LOQ as per CUMCS Equivalency</t>
        </is>
      </c>
      <c r="K1427" s="256" t="inlineStr">
        <is>
          <t>ND</t>
        </is>
      </c>
      <c r="L1427" s="256" t="inlineStr">
        <is>
          <t>1628/2026</t>
        </is>
      </c>
      <c r="M1427" s="256" t="inlineStr">
        <is>
          <t>23.04.2026</t>
        </is>
      </c>
      <c r="N1427" s="256" t="inlineStr">
        <is>
          <t>IPH — Institute of Public Health</t>
        </is>
      </c>
      <c r="O1427" s="256" t="inlineStr">
        <is>
          <t>27.03.2026</t>
        </is>
      </c>
      <c r="P1427" s="256" t="inlineStr">
        <is>
          <t>covered</t>
        </is>
      </c>
      <c r="Q1427" s="256" t="inlineStr"/>
      <c r="R1427" s="256" t="inlineStr">
        <is>
          <t>н.д. (1625/2026)</t>
        </is>
      </c>
    </row>
    <row r="1428">
      <c r="A1428" s="256" t="inlineStr">
        <is>
          <t>CoQ-PP_26-063</t>
        </is>
      </c>
      <c r="B1428" s="256" t="inlineStr">
        <is>
          <t>release</t>
        </is>
      </c>
      <c r="C1428" s="256" t="inlineStr">
        <is>
          <t>CC112501</t>
        </is>
      </c>
      <c r="D1428" s="256" t="inlineStr">
        <is>
          <t>— no P lot assigned —</t>
        </is>
      </c>
      <c r="E1428" s="256" t="inlineStr">
        <is>
          <t>Cash Cow</t>
        </is>
      </c>
      <c r="F1428" s="256" t="inlineStr">
        <is>
          <t>06.06.2026</t>
        </is>
      </c>
      <c r="G1428" s="256" t="inlineStr">
        <is>
          <t>1</t>
        </is>
      </c>
      <c r="H1428" s="256" t="inlineStr">
        <is>
          <t>Identification A, Appearance · Macroscopic</t>
        </is>
      </c>
      <c r="I1428" s="256" t="inlineStr">
        <is>
          <t>Ph. Eur. mon. 3028</t>
        </is>
      </c>
      <c r="J1428" s="256" t="inlineStr">
        <is>
          <t>Conforms to the monograph for Cannabis flos (07/2024:3028) in Ph. Eur. 11.0 | Согласно монографија за Cannabis flos (07/2024:3028) во Ph. Eur. 11.0</t>
        </is>
      </c>
      <c r="K1428" s="256" t="inlineStr">
        <is>
          <t>Conforms | Одговара</t>
        </is>
      </c>
      <c r="L1428" s="256" t="inlineStr">
        <is>
          <t>iCoA-PP_26-073</t>
        </is>
      </c>
      <c r="M1428" s="256" t="inlineStr">
        <is>
          <t>03.06.2026</t>
        </is>
      </c>
      <c r="N1428" s="256" t="inlineStr">
        <is>
          <t>Purely Plant GmbH (in-house)</t>
        </is>
      </c>
      <c r="O1428" s="256" t="inlineStr">
        <is>
          <t>—</t>
        </is>
      </c>
      <c r="P1428" s="256" t="inlineStr">
        <is>
          <t>to be performed — see route</t>
        </is>
      </c>
      <c r="Q1428" s="256" t="inlineStr">
        <is>
          <t>Purely Plant laboratory — iCoA covering Ident A + B</t>
        </is>
      </c>
      <c r="R1428" s="256" t="inlineStr"/>
    </row>
    <row r="1429">
      <c r="A1429" s="256" t="inlineStr">
        <is>
          <t>CoQ-PP_26-063</t>
        </is>
      </c>
      <c r="B1429" s="256" t="inlineStr">
        <is>
          <t>release</t>
        </is>
      </c>
      <c r="C1429" s="256" t="inlineStr">
        <is>
          <t>CC112501</t>
        </is>
      </c>
      <c r="D1429" s="256" t="inlineStr">
        <is>
          <t>— no P lot assigned —</t>
        </is>
      </c>
      <c r="E1429" s="256" t="inlineStr">
        <is>
          <t>Cash Cow</t>
        </is>
      </c>
      <c r="F1429" s="256" t="inlineStr">
        <is>
          <t>06.06.2026</t>
        </is>
      </c>
      <c r="G1429" s="256" t="inlineStr">
        <is>
          <t>2</t>
        </is>
      </c>
      <c r="H1429" s="256" t="inlineStr">
        <is>
          <t>Identification B · Microscopic</t>
        </is>
      </c>
      <c r="I1429" s="256" t="inlineStr">
        <is>
          <t>Ph. Eur. 2.8.23 (microscopy)</t>
        </is>
      </c>
      <c r="J1429" s="256" t="inlineStr">
        <is>
          <t>Conforms to the monograph for Cannabis flos (07/2024:3028) in Ph. Eur. 11.0 | Согласно монографија за Cannabis flos (07/2024:3028) во Ph. Eur. 11.0</t>
        </is>
      </c>
      <c r="K1429" s="256" t="inlineStr">
        <is>
          <t>Conforms | Одговара</t>
        </is>
      </c>
      <c r="L1429" s="256" t="inlineStr">
        <is>
          <t>iCoA-PP_26-073</t>
        </is>
      </c>
      <c r="M1429" s="256" t="inlineStr">
        <is>
          <t>03.06.2026</t>
        </is>
      </c>
      <c r="N1429" s="256" t="inlineStr">
        <is>
          <t>Purely Plant GmbH (in-house)</t>
        </is>
      </c>
      <c r="O1429" s="256" t="inlineStr">
        <is>
          <t>—</t>
        </is>
      </c>
      <c r="P1429" s="256" t="inlineStr">
        <is>
          <t>to be performed — see route</t>
        </is>
      </c>
      <c r="Q1429" s="256" t="inlineStr">
        <is>
          <t>Purely Plant laboratory — iCoA covering Ident A + B</t>
        </is>
      </c>
      <c r="R1429" s="256" t="inlineStr"/>
    </row>
    <row r="1430">
      <c r="A1430" s="256" t="inlineStr">
        <is>
          <t>CoQ-PP_26-063</t>
        </is>
      </c>
      <c r="B1430" s="256" t="inlineStr">
        <is>
          <t>release</t>
        </is>
      </c>
      <c r="C1430" s="256" t="inlineStr">
        <is>
          <t>CC112501</t>
        </is>
      </c>
      <c r="D1430" s="256" t="inlineStr">
        <is>
          <t>— no P lot assigned —</t>
        </is>
      </c>
      <c r="E1430" s="256" t="inlineStr">
        <is>
          <t>Cash Cow</t>
        </is>
      </c>
      <c r="F1430" s="256" t="inlineStr">
        <is>
          <t>06.06.2026</t>
        </is>
      </c>
      <c r="G1430" s="256" t="inlineStr">
        <is>
          <t>3</t>
        </is>
      </c>
      <c r="H1430" s="256" t="inlineStr">
        <is>
          <t>Identification C · HPLC/HPTLC</t>
        </is>
      </c>
      <c r="I1430" s="256" t="inlineStr">
        <is>
          <t>HPLC — DAB 2018 monograph Cannabis flos, 2.2.29 (CNP, before its Ph. Eur. 3028 accreditation)</t>
        </is>
      </c>
      <c r="J1430" s="256" t="inlineStr">
        <is>
          <t>Conforms to the monograph for Cannabis flos (07/2024:3028) in Ph. Eur. 11.0 | Согласно монографија за Cannabis flos (07/2024:3028) во Ph. Eur. 11.0</t>
        </is>
      </c>
      <c r="K1430" s="256" t="inlineStr">
        <is>
          <t>Conforms | Одговара</t>
        </is>
      </c>
      <c r="L1430" s="256" t="inlineStr">
        <is>
          <t>ППК26068</t>
        </is>
      </c>
      <c r="M1430" s="256" t="inlineStr">
        <is>
          <t>11.05.2026</t>
        </is>
      </c>
      <c r="N1430" s="256" t="inlineStr">
        <is>
          <t>UKIM Faculty of Pharmacy — Center for Natural Products</t>
        </is>
      </c>
      <c r="O1430" s="256" t="inlineStr">
        <is>
          <t>21.04.2026</t>
        </is>
      </c>
      <c r="P1430" s="256" t="inlineStr">
        <is>
          <t>covered</t>
        </is>
      </c>
      <c r="Q1430" s="256" t="inlineStr"/>
      <c r="R1430" s="256" t="inlineStr"/>
    </row>
    <row r="1431">
      <c r="A1431" s="256" t="inlineStr">
        <is>
          <t>CoQ-PP_26-063</t>
        </is>
      </c>
      <c r="B1431" s="256" t="inlineStr">
        <is>
          <t>release</t>
        </is>
      </c>
      <c r="C1431" s="256" t="inlineStr">
        <is>
          <t>CC112501</t>
        </is>
      </c>
      <c r="D1431" s="256" t="inlineStr">
        <is>
          <t>— no P lot assigned —</t>
        </is>
      </c>
      <c r="E1431" s="256" t="inlineStr">
        <is>
          <t>Cash Cow</t>
        </is>
      </c>
      <c r="F1431" s="256" t="inlineStr">
        <is>
          <t>06.06.2026</t>
        </is>
      </c>
      <c r="G1431" s="256" t="inlineStr">
        <is>
          <t>4</t>
        </is>
      </c>
      <c r="H1431" s="256" t="inlineStr">
        <is>
          <t>Assay — Total Δ⁹-THC</t>
        </is>
      </c>
      <c r="I1431" s="256" t="inlineStr">
        <is>
          <t>HPLC — DAB 2018 monograph Cannabis flos, 2.2.29 (CNP, before its Ph. Eur. 3028 accreditation)</t>
        </is>
      </c>
      <c r="J1431" s="256" t="inlineStr">
        <is>
          <t>12.65 – 15.34 %  (grade II, nominal 14.00 ± 1.35)</t>
        </is>
      </c>
      <c r="K1431" s="256" t="inlineStr">
        <is>
          <t>13.35</t>
        </is>
      </c>
      <c r="L1431" s="256" t="inlineStr">
        <is>
          <t>ППК26068</t>
        </is>
      </c>
      <c r="M1431" s="256" t="inlineStr">
        <is>
          <t>11.05.2026</t>
        </is>
      </c>
      <c r="N1431" s="256" t="inlineStr">
        <is>
          <t>UKIM Faculty of Pharmacy — Center for Natural Products</t>
        </is>
      </c>
      <c r="O1431" s="256" t="inlineStr">
        <is>
          <t>21.04.2026</t>
        </is>
      </c>
      <c r="P1431" s="256" t="inlineStr">
        <is>
          <t>covered</t>
        </is>
      </c>
      <c r="Q1431" s="256" t="inlineStr"/>
      <c r="R1431" s="256" t="inlineStr">
        <is>
          <t>16.36 (227-25-К/26)</t>
        </is>
      </c>
    </row>
    <row r="1432">
      <c r="A1432" s="256" t="inlineStr">
        <is>
          <t>CoQ-PP_26-063</t>
        </is>
      </c>
      <c r="B1432" s="256" t="inlineStr">
        <is>
          <t>release</t>
        </is>
      </c>
      <c r="C1432" s="256" t="inlineStr">
        <is>
          <t>CC112501</t>
        </is>
      </c>
      <c r="D1432" s="256" t="inlineStr">
        <is>
          <t>— no P lot assigned —</t>
        </is>
      </c>
      <c r="E1432" s="256" t="inlineStr">
        <is>
          <t>Cash Cow</t>
        </is>
      </c>
      <c r="F1432" s="256" t="inlineStr">
        <is>
          <t>06.06.2026</t>
        </is>
      </c>
      <c r="G1432" s="256" t="inlineStr">
        <is>
          <t>5</t>
        </is>
      </c>
      <c r="H1432" s="256" t="inlineStr">
        <is>
          <t>Assay — Total CBD</t>
        </is>
      </c>
      <c r="I1432" s="256" t="inlineStr">
        <is>
          <t>HPLC — DAB 2018 monograph Cannabis flos, 2.2.29 · CBD + CBDA x 0.877 (CNP, before its Ph. Eur. 3028 accreditation)</t>
        </is>
      </c>
      <c r="J1432" s="256" t="inlineStr">
        <is>
          <t>≤ 1.0%, w/w</t>
        </is>
      </c>
      <c r="K1432" s="256" t="inlineStr">
        <is>
          <t>0.04</t>
        </is>
      </c>
      <c r="L1432" s="256" t="inlineStr">
        <is>
          <t>ППК26068</t>
        </is>
      </c>
      <c r="M1432" s="256" t="inlineStr">
        <is>
          <t>11.05.2026</t>
        </is>
      </c>
      <c r="N1432" s="256" t="inlineStr">
        <is>
          <t>UKIM Faculty of Pharmacy — Center for Natural Products</t>
        </is>
      </c>
      <c r="O1432" s="256" t="inlineStr">
        <is>
          <t>21.04.2026</t>
        </is>
      </c>
      <c r="P1432" s="256" t="inlineStr">
        <is>
          <t>covered</t>
        </is>
      </c>
      <c r="Q1432" s="256" t="inlineStr"/>
      <c r="R1432" s="256" t="inlineStr">
        <is>
          <t>&lt;LOQ (227-25-К/26)</t>
        </is>
      </c>
    </row>
    <row r="1433">
      <c r="A1433" s="256" t="inlineStr">
        <is>
          <t>CoQ-PP_26-063</t>
        </is>
      </c>
      <c r="B1433" s="256" t="inlineStr">
        <is>
          <t>release</t>
        </is>
      </c>
      <c r="C1433" s="256" t="inlineStr">
        <is>
          <t>CC112501</t>
        </is>
      </c>
      <c r="D1433" s="256" t="inlineStr">
        <is>
          <t>— no P lot assigned —</t>
        </is>
      </c>
      <c r="E1433" s="256" t="inlineStr">
        <is>
          <t>Cash Cow</t>
        </is>
      </c>
      <c r="F1433" s="256" t="inlineStr">
        <is>
          <t>06.06.2026</t>
        </is>
      </c>
      <c r="G1433" s="256" t="inlineStr">
        <is>
          <t>6</t>
        </is>
      </c>
      <c r="H1433" s="256" t="inlineStr">
        <is>
          <t>Total CBN</t>
        </is>
      </c>
      <c r="I1433" s="256" t="inlineStr">
        <is>
          <t>Ph. Eur. 2.2.29 (HPLC) · CBN + CBNA x 0.876</t>
        </is>
      </c>
      <c r="J1433" s="256" t="inlineStr">
        <is>
          <t>≤ 1.0%, w/w</t>
        </is>
      </c>
      <c r="K1433" s="259" t="inlineStr">
        <is>
          <t>not tested</t>
        </is>
      </c>
      <c r="L1433" s="256" t="inlineStr">
        <is>
          <t>—</t>
        </is>
      </c>
      <c r="M1433" s="256" t="inlineStr">
        <is>
          <t>—</t>
        </is>
      </c>
      <c r="N1433" s="256" t="inlineStr">
        <is>
          <t>—</t>
        </is>
      </c>
      <c r="O1433" s="256" t="inlineStr">
        <is>
          <t>—</t>
        </is>
      </c>
      <c r="P1433" s="256" t="inlineStr">
        <is>
          <t>not tested — no certificate covers it</t>
        </is>
      </c>
      <c r="Q1433" s="256" t="inlineStr"/>
      <c r="R1433" s="256" t="inlineStr">
        <is>
          <t>&lt;LOQ (227-25-К/26)</t>
        </is>
      </c>
    </row>
    <row r="1434">
      <c r="A1434" s="256" t="inlineStr">
        <is>
          <t>CoQ-PP_26-063</t>
        </is>
      </c>
      <c r="B1434" s="256" t="inlineStr">
        <is>
          <t>release</t>
        </is>
      </c>
      <c r="C1434" s="256" t="inlineStr">
        <is>
          <t>CC112501</t>
        </is>
      </c>
      <c r="D1434" s="256" t="inlineStr">
        <is>
          <t>— no P lot assigned —</t>
        </is>
      </c>
      <c r="E1434" s="256" t="inlineStr">
        <is>
          <t>Cash Cow</t>
        </is>
      </c>
      <c r="F1434" s="256" t="inlineStr">
        <is>
          <t>06.06.2026</t>
        </is>
      </c>
      <c r="G1434" s="256" t="inlineStr">
        <is>
          <t>7</t>
        </is>
      </c>
      <c r="H1434" s="256" t="inlineStr">
        <is>
          <t>Foreign Matter</t>
        </is>
      </c>
      <c r="I1434" s="256" t="inlineStr">
        <is>
          <t>Ph. Eur. 2.8.2 · In-house · интерна</t>
        </is>
      </c>
      <c r="J1434" s="256" t="inlineStr">
        <is>
          <t>≤ 2.0% / 25–50 g · &lt; 1 cm leaves | листови, no seeds | без семки</t>
        </is>
      </c>
      <c r="K1434" s="256" t="inlineStr">
        <is>
          <t>Conforms | Одговара</t>
        </is>
      </c>
      <c r="L1434" s="256" t="inlineStr">
        <is>
          <t>iCoA-PP_26-073</t>
        </is>
      </c>
      <c r="M1434" s="256" t="inlineStr">
        <is>
          <t>03.06.2026</t>
        </is>
      </c>
      <c r="N1434" s="256" t="inlineStr">
        <is>
          <t>Purely Plant GmbH (in-house)</t>
        </is>
      </c>
      <c r="O1434" s="256" t="inlineStr">
        <is>
          <t>—</t>
        </is>
      </c>
      <c r="P1434" s="256" t="inlineStr">
        <is>
          <t>to be performed — see route</t>
        </is>
      </c>
      <c r="Q1434" s="256" t="inlineStr">
        <is>
          <t>Purely Plant laboratory — iCoA covering Foreign matter</t>
        </is>
      </c>
      <c r="R1434" s="256" t="inlineStr"/>
    </row>
    <row r="1435">
      <c r="A1435" s="256" t="inlineStr">
        <is>
          <t>CoQ-PP_26-063</t>
        </is>
      </c>
      <c r="B1435" s="256" t="inlineStr">
        <is>
          <t>release</t>
        </is>
      </c>
      <c r="C1435" s="256" t="inlineStr">
        <is>
          <t>CC112501</t>
        </is>
      </c>
      <c r="D1435" s="256" t="inlineStr">
        <is>
          <t>— no P lot assigned —</t>
        </is>
      </c>
      <c r="E1435" s="256" t="inlineStr">
        <is>
          <t>Cash Cow</t>
        </is>
      </c>
      <c r="F1435" s="256" t="inlineStr">
        <is>
          <t>06.06.2026</t>
        </is>
      </c>
      <c r="G1435" s="256" t="inlineStr">
        <is>
          <t>8</t>
        </is>
      </c>
      <c r="H1435" s="256" t="inlineStr">
        <is>
          <t>Loss on Drying</t>
        </is>
      </c>
      <c r="I1435" s="256" t="inlineStr">
        <is>
          <t>DAB 2018 monograph Cannabis flos, 2.2.32 — loss on drying (CNP, before its Ph. Eur. 3028 accreditation)</t>
        </is>
      </c>
      <c r="J1435" s="256" t="inlineStr">
        <is>
          <t>≤ 12.0%</t>
        </is>
      </c>
      <c r="K1435" s="256" t="inlineStr">
        <is>
          <t>7.39</t>
        </is>
      </c>
      <c r="L1435" s="256" t="inlineStr">
        <is>
          <t>ППК26068</t>
        </is>
      </c>
      <c r="M1435" s="256" t="inlineStr">
        <is>
          <t>11.05.2026</t>
        </is>
      </c>
      <c r="N1435" s="256" t="inlineStr">
        <is>
          <t>UKIM Faculty of Pharmacy — Center for Natural Products</t>
        </is>
      </c>
      <c r="O1435" s="256" t="inlineStr">
        <is>
          <t>21.04.2026</t>
        </is>
      </c>
      <c r="P1435" s="256" t="inlineStr">
        <is>
          <t>covered</t>
        </is>
      </c>
      <c r="Q1435" s="256" t="inlineStr"/>
      <c r="R1435" s="256" t="inlineStr"/>
    </row>
    <row r="1436">
      <c r="A1436" s="256" t="inlineStr">
        <is>
          <t>CoQ-PP_26-063</t>
        </is>
      </c>
      <c r="B1436" s="256" t="inlineStr">
        <is>
          <t>release</t>
        </is>
      </c>
      <c r="C1436" s="256" t="inlineStr">
        <is>
          <t>CC112501</t>
        </is>
      </c>
      <c r="D1436" s="256" t="inlineStr">
        <is>
          <t>— no P lot assigned —</t>
        </is>
      </c>
      <c r="E1436" s="256" t="inlineStr">
        <is>
          <t>Cash Cow</t>
        </is>
      </c>
      <c r="F1436" s="256" t="inlineStr">
        <is>
          <t>06.06.2026</t>
        </is>
      </c>
      <c r="G1436" s="256" t="inlineStr">
        <is>
          <t>9.1</t>
        </is>
      </c>
      <c r="H1436" s="256" t="inlineStr">
        <is>
          <t>TAMC</t>
        </is>
      </c>
      <c r="I1436" s="256" t="inlineStr">
        <is>
          <t>Ph. Eur. 2.6.12 cat. C</t>
        </is>
      </c>
      <c r="J1436" s="256" t="inlineStr">
        <is>
          <t>≤ 10⁵ CFU/g</t>
        </is>
      </c>
      <c r="K1436" s="256" t="inlineStr">
        <is>
          <t>3,8 × 10³</t>
        </is>
      </c>
      <c r="L1436" s="256" t="inlineStr">
        <is>
          <t>311/0555/26</t>
        </is>
      </c>
      <c r="M1436" s="256" t="inlineStr">
        <is>
          <t>28.04.2026</t>
        </is>
      </c>
      <c r="N1436" s="256" t="inlineStr">
        <is>
          <t>IPH — Institute of Public Health</t>
        </is>
      </c>
      <c r="O1436" s="256" t="inlineStr">
        <is>
          <t>22.04.2026</t>
        </is>
      </c>
      <c r="P1436" s="256" t="inlineStr">
        <is>
          <t>covered</t>
        </is>
      </c>
      <c r="Q1436" s="256" t="inlineStr"/>
      <c r="R1436" s="256" t="inlineStr"/>
    </row>
    <row r="1437">
      <c r="A1437" s="256" t="inlineStr">
        <is>
          <t>CoQ-PP_26-063</t>
        </is>
      </c>
      <c r="B1437" s="256" t="inlineStr">
        <is>
          <t>release</t>
        </is>
      </c>
      <c r="C1437" s="256" t="inlineStr">
        <is>
          <t>CC112501</t>
        </is>
      </c>
      <c r="D1437" s="256" t="inlineStr">
        <is>
          <t>— no P lot assigned —</t>
        </is>
      </c>
      <c r="E1437" s="256" t="inlineStr">
        <is>
          <t>Cash Cow</t>
        </is>
      </c>
      <c r="F1437" s="256" t="inlineStr">
        <is>
          <t>06.06.2026</t>
        </is>
      </c>
      <c r="G1437" s="256" t="inlineStr">
        <is>
          <t>9.2</t>
        </is>
      </c>
      <c r="H1437" s="256" t="inlineStr">
        <is>
          <t>TYMC</t>
        </is>
      </c>
      <c r="I1437" s="256" t="inlineStr">
        <is>
          <t>Ph. Eur. 2.6.12 cat. C</t>
        </is>
      </c>
      <c r="J1437" s="256" t="inlineStr">
        <is>
          <t>≤ 10⁴ CFU/g</t>
        </is>
      </c>
      <c r="K1437" s="256" t="inlineStr">
        <is>
          <t>2,7 × 10³</t>
        </is>
      </c>
      <c r="L1437" s="256" t="inlineStr">
        <is>
          <t>311/0555/26</t>
        </is>
      </c>
      <c r="M1437" s="256" t="inlineStr">
        <is>
          <t>28.04.2026</t>
        </is>
      </c>
      <c r="N1437" s="256" t="inlineStr">
        <is>
          <t>IPH — Institute of Public Health</t>
        </is>
      </c>
      <c r="O1437" s="256" t="inlineStr">
        <is>
          <t>22.04.2026</t>
        </is>
      </c>
      <c r="P1437" s="256" t="inlineStr">
        <is>
          <t>covered</t>
        </is>
      </c>
      <c r="Q1437" s="256" t="inlineStr"/>
      <c r="R1437" s="256" t="inlineStr"/>
    </row>
    <row r="1438">
      <c r="A1438" s="256" t="inlineStr">
        <is>
          <t>CoQ-PP_26-063</t>
        </is>
      </c>
      <c r="B1438" s="256" t="inlineStr">
        <is>
          <t>release</t>
        </is>
      </c>
      <c r="C1438" s="256" t="inlineStr">
        <is>
          <t>CC112501</t>
        </is>
      </c>
      <c r="D1438" s="256" t="inlineStr">
        <is>
          <t>— no P lot assigned —</t>
        </is>
      </c>
      <c r="E1438" s="256" t="inlineStr">
        <is>
          <t>Cash Cow</t>
        </is>
      </c>
      <c r="F1438" s="256" t="inlineStr">
        <is>
          <t>06.06.2026</t>
        </is>
      </c>
      <c r="G1438" s="256" t="inlineStr">
        <is>
          <t>9.3</t>
        </is>
      </c>
      <c r="H1438" s="256" t="inlineStr">
        <is>
          <t>Bile-tolerant gram-neg.</t>
        </is>
      </c>
      <c r="I1438" s="256" t="inlineStr">
        <is>
          <t>Ph. Eur. 2.6.31 cat. C</t>
        </is>
      </c>
      <c r="J1438" s="256" t="inlineStr">
        <is>
          <t>≤ 10⁴ CFU/g</t>
        </is>
      </c>
      <c r="K1438" s="256" t="inlineStr">
        <is>
          <t>&lt; 10³ and &gt; 10²</t>
        </is>
      </c>
      <c r="L1438" s="256" t="inlineStr">
        <is>
          <t>311/0555/26</t>
        </is>
      </c>
      <c r="M1438" s="256" t="inlineStr">
        <is>
          <t>28.04.2026</t>
        </is>
      </c>
      <c r="N1438" s="256" t="inlineStr">
        <is>
          <t>IPH — Institute of Public Health</t>
        </is>
      </c>
      <c r="O1438" s="256" t="inlineStr">
        <is>
          <t>22.04.2026</t>
        </is>
      </c>
      <c r="P1438" s="256" t="inlineStr">
        <is>
          <t>covered</t>
        </is>
      </c>
      <c r="Q1438" s="256" t="inlineStr"/>
      <c r="R1438" s="256" t="inlineStr"/>
    </row>
    <row r="1439">
      <c r="A1439" s="256" t="inlineStr">
        <is>
          <t>CoQ-PP_26-063</t>
        </is>
      </c>
      <c r="B1439" s="256" t="inlineStr">
        <is>
          <t>release</t>
        </is>
      </c>
      <c r="C1439" s="256" t="inlineStr">
        <is>
          <t>CC112501</t>
        </is>
      </c>
      <c r="D1439" s="256" t="inlineStr">
        <is>
          <t>— no P lot assigned —</t>
        </is>
      </c>
      <c r="E1439" s="256" t="inlineStr">
        <is>
          <t>Cash Cow</t>
        </is>
      </c>
      <c r="F1439" s="256" t="inlineStr">
        <is>
          <t>06.06.2026</t>
        </is>
      </c>
      <c r="G1439" s="256" t="inlineStr">
        <is>
          <t>9.4</t>
        </is>
      </c>
      <c r="H1439" s="256" t="inlineStr">
        <is>
          <t>Salmonella</t>
        </is>
      </c>
      <c r="I1439" s="256" t="inlineStr">
        <is>
          <t>Ph. Eur. 2.6.31 cat. C</t>
        </is>
      </c>
      <c r="J1439" s="256" t="inlineStr">
        <is>
          <t>Absence | Отсуство / 25 g</t>
        </is>
      </c>
      <c r="K1439" s="256" t="inlineStr">
        <is>
          <t>Absent | Отсутна</t>
        </is>
      </c>
      <c r="L1439" s="256" t="inlineStr">
        <is>
          <t>311/0555/26</t>
        </is>
      </c>
      <c r="M1439" s="256" t="inlineStr">
        <is>
          <t>28.04.2026</t>
        </is>
      </c>
      <c r="N1439" s="256" t="inlineStr">
        <is>
          <t>IPH — Institute of Public Health</t>
        </is>
      </c>
      <c r="O1439" s="256" t="inlineStr">
        <is>
          <t>22.04.2026</t>
        </is>
      </c>
      <c r="P1439" s="256" t="inlineStr">
        <is>
          <t>covered</t>
        </is>
      </c>
      <c r="Q1439" s="256" t="inlineStr"/>
      <c r="R1439" s="256" t="inlineStr"/>
    </row>
    <row r="1440">
      <c r="A1440" s="256" t="inlineStr">
        <is>
          <t>CoQ-PP_26-063</t>
        </is>
      </c>
      <c r="B1440" s="256" t="inlineStr">
        <is>
          <t>release</t>
        </is>
      </c>
      <c r="C1440" s="256" t="inlineStr">
        <is>
          <t>CC112501</t>
        </is>
      </c>
      <c r="D1440" s="256" t="inlineStr">
        <is>
          <t>— no P lot assigned —</t>
        </is>
      </c>
      <c r="E1440" s="256" t="inlineStr">
        <is>
          <t>Cash Cow</t>
        </is>
      </c>
      <c r="F1440" s="256" t="inlineStr">
        <is>
          <t>06.06.2026</t>
        </is>
      </c>
      <c r="G1440" s="256" t="inlineStr">
        <is>
          <t>9.5</t>
        </is>
      </c>
      <c r="H1440" s="256" t="inlineStr">
        <is>
          <t>Escherichia coli</t>
        </is>
      </c>
      <c r="I1440" s="256" t="inlineStr">
        <is>
          <t>Ph. Eur. 2.6.13 cat. C</t>
        </is>
      </c>
      <c r="J1440" s="256" t="inlineStr">
        <is>
          <t>Absence | Отсуство / 1 g</t>
        </is>
      </c>
      <c r="K1440" s="256" t="inlineStr">
        <is>
          <t>Absent | Отсутна</t>
        </is>
      </c>
      <c r="L1440" s="256" t="inlineStr">
        <is>
          <t>311/0555/26</t>
        </is>
      </c>
      <c r="M1440" s="256" t="inlineStr">
        <is>
          <t>28.04.2026</t>
        </is>
      </c>
      <c r="N1440" s="256" t="inlineStr">
        <is>
          <t>IPH — Institute of Public Health</t>
        </is>
      </c>
      <c r="O1440" s="256" t="inlineStr">
        <is>
          <t>22.04.2026</t>
        </is>
      </c>
      <c r="P1440" s="256" t="inlineStr">
        <is>
          <t>covered</t>
        </is>
      </c>
      <c r="Q1440" s="256" t="inlineStr"/>
      <c r="R1440" s="256" t="inlineStr"/>
    </row>
    <row r="1441">
      <c r="A1441" s="256" t="inlineStr">
        <is>
          <t>CoQ-PP_26-063</t>
        </is>
      </c>
      <c r="B1441" s="256" t="inlineStr">
        <is>
          <t>release</t>
        </is>
      </c>
      <c r="C1441" s="256" t="inlineStr">
        <is>
          <t>CC112501</t>
        </is>
      </c>
      <c r="D1441" s="256" t="inlineStr">
        <is>
          <t>— no P lot assigned —</t>
        </is>
      </c>
      <c r="E1441" s="256" t="inlineStr">
        <is>
          <t>Cash Cow</t>
        </is>
      </c>
      <c r="F1441" s="256" t="inlineStr">
        <is>
          <t>06.06.2026</t>
        </is>
      </c>
      <c r="G1441" s="256" t="inlineStr">
        <is>
          <t>9.6</t>
        </is>
      </c>
      <c r="H1441" s="256" t="inlineStr">
        <is>
          <t>Pseudomonas aeruginosa</t>
        </is>
      </c>
      <c r="I1441" s="256" t="inlineStr">
        <is>
          <t>Ph. Eur. 2.6.13 cat. C</t>
        </is>
      </c>
      <c r="J1441" s="256" t="inlineStr">
        <is>
          <t>Absence | Отсуство / 1 g</t>
        </is>
      </c>
      <c r="K1441" s="260" t="inlineStr">
        <is>
          <t>upon request — not required for release</t>
        </is>
      </c>
      <c r="L1441" s="256" t="inlineStr">
        <is>
          <t>—</t>
        </is>
      </c>
      <c r="M1441" s="256" t="inlineStr">
        <is>
          <t>—</t>
        </is>
      </c>
      <c r="N1441" s="256" t="inlineStr">
        <is>
          <t>—</t>
        </is>
      </c>
      <c r="O1441" s="256" t="inlineStr">
        <is>
          <t>—</t>
        </is>
      </c>
      <c r="P1441" s="256" t="inlineStr">
        <is>
          <t>upon request — not required for release</t>
        </is>
      </c>
      <c r="Q1441" s="256" t="inlineStr"/>
      <c r="R1441" s="256" t="inlineStr"/>
    </row>
    <row r="1442">
      <c r="A1442" s="256" t="inlineStr">
        <is>
          <t>CoQ-PP_26-063</t>
        </is>
      </c>
      <c r="B1442" s="256" t="inlineStr">
        <is>
          <t>release</t>
        </is>
      </c>
      <c r="C1442" s="256" t="inlineStr">
        <is>
          <t>CC112501</t>
        </is>
      </c>
      <c r="D1442" s="256" t="inlineStr">
        <is>
          <t>— no P lot assigned —</t>
        </is>
      </c>
      <c r="E1442" s="256" t="inlineStr">
        <is>
          <t>Cash Cow</t>
        </is>
      </c>
      <c r="F1442" s="256" t="inlineStr">
        <is>
          <t>06.06.2026</t>
        </is>
      </c>
      <c r="G1442" s="256" t="inlineStr">
        <is>
          <t>9.7</t>
        </is>
      </c>
      <c r="H1442" s="256" t="inlineStr">
        <is>
          <t>Staphylococcus aureus</t>
        </is>
      </c>
      <c r="I1442" s="256" t="inlineStr">
        <is>
          <t>Ph. Eur. 2.6.13 cat. C</t>
        </is>
      </c>
      <c r="J1442" s="256" t="inlineStr">
        <is>
          <t>Absence | Отсуство / 1 g</t>
        </is>
      </c>
      <c r="K1442" s="260" t="inlineStr">
        <is>
          <t>upon request — not required for release</t>
        </is>
      </c>
      <c r="L1442" s="256" t="inlineStr">
        <is>
          <t>—</t>
        </is>
      </c>
      <c r="M1442" s="256" t="inlineStr">
        <is>
          <t>—</t>
        </is>
      </c>
      <c r="N1442" s="256" t="inlineStr">
        <is>
          <t>—</t>
        </is>
      </c>
      <c r="O1442" s="256" t="inlineStr">
        <is>
          <t>—</t>
        </is>
      </c>
      <c r="P1442" s="256" t="inlineStr">
        <is>
          <t>upon request — not required for release</t>
        </is>
      </c>
      <c r="Q1442" s="256" t="inlineStr"/>
      <c r="R1442" s="256" t="inlineStr"/>
    </row>
    <row r="1443">
      <c r="A1443" s="256" t="inlineStr">
        <is>
          <t>CoQ-PP_26-063</t>
        </is>
      </c>
      <c r="B1443" s="256" t="inlineStr">
        <is>
          <t>release</t>
        </is>
      </c>
      <c r="C1443" s="256" t="inlineStr">
        <is>
          <t>CC112501</t>
        </is>
      </c>
      <c r="D1443" s="256" t="inlineStr">
        <is>
          <t>— no P lot assigned —</t>
        </is>
      </c>
      <c r="E1443" s="256" t="inlineStr">
        <is>
          <t>Cash Cow</t>
        </is>
      </c>
      <c r="F1443" s="256" t="inlineStr">
        <is>
          <t>06.06.2026</t>
        </is>
      </c>
      <c r="G1443" s="256" t="inlineStr">
        <is>
          <t>10.1</t>
        </is>
      </c>
      <c r="H1443" s="256" t="inlineStr">
        <is>
          <t>Aflatoxin B₁</t>
        </is>
      </c>
      <c r="I1443" s="256" t="inlineStr">
        <is>
          <t>Ph. Eur. 2.8.18 (HPLC-FLD)</t>
        </is>
      </c>
      <c r="J1443" s="256" t="inlineStr">
        <is>
          <t>≤ 2 µg/kg</t>
        </is>
      </c>
      <c r="K1443" s="259" t="inlineStr">
        <is>
          <t>not tested</t>
        </is>
      </c>
      <c r="L1443" s="256" t="inlineStr">
        <is>
          <t>—</t>
        </is>
      </c>
      <c r="M1443" s="256" t="inlineStr">
        <is>
          <t>—</t>
        </is>
      </c>
      <c r="N1443" s="256" t="inlineStr">
        <is>
          <t>—</t>
        </is>
      </c>
      <c r="O1443" s="256" t="inlineStr">
        <is>
          <t>—</t>
        </is>
      </c>
      <c r="P1443" s="256" t="inlineStr">
        <is>
          <t>not tested — no certificate covers it</t>
        </is>
      </c>
      <c r="Q1443" s="256" t="inlineStr"/>
      <c r="R1443" s="256" t="inlineStr"/>
    </row>
    <row r="1444">
      <c r="A1444" s="256" t="inlineStr">
        <is>
          <t>CoQ-PP_26-063</t>
        </is>
      </c>
      <c r="B1444" s="256" t="inlineStr">
        <is>
          <t>release</t>
        </is>
      </c>
      <c r="C1444" s="256" t="inlineStr">
        <is>
          <t>CC112501</t>
        </is>
      </c>
      <c r="D1444" s="256" t="inlineStr">
        <is>
          <t>— no P lot assigned —</t>
        </is>
      </c>
      <c r="E1444" s="256" t="inlineStr">
        <is>
          <t>Cash Cow</t>
        </is>
      </c>
      <c r="F1444" s="256" t="inlineStr">
        <is>
          <t>06.06.2026</t>
        </is>
      </c>
      <c r="G1444" s="256" t="inlineStr">
        <is>
          <t>10.2</t>
        </is>
      </c>
      <c r="H1444" s="256" t="inlineStr">
        <is>
          <t>Aflatoxins ∑</t>
        </is>
      </c>
      <c r="I1444" s="256" t="inlineStr">
        <is>
          <t>Ph. Eur. 2.8.18 (HPLC-FLD)</t>
        </is>
      </c>
      <c r="J1444" s="256" t="inlineStr">
        <is>
          <t>≤ 4 µg/kg</t>
        </is>
      </c>
      <c r="K1444" s="256" t="inlineStr">
        <is>
          <t>&lt; 2</t>
        </is>
      </c>
      <c r="L1444" s="256" t="inlineStr">
        <is>
          <t>2359/2026</t>
        </is>
      </c>
      <c r="M1444" s="256" t="inlineStr">
        <is>
          <t>29.04.2026</t>
        </is>
      </c>
      <c r="N1444" s="256" t="inlineStr">
        <is>
          <t>IPH — Institute of Public Health</t>
        </is>
      </c>
      <c r="O1444" s="256" t="inlineStr">
        <is>
          <t>21.04.2026</t>
        </is>
      </c>
      <c r="P1444" s="256" t="inlineStr">
        <is>
          <t>covered</t>
        </is>
      </c>
      <c r="Q1444" s="256" t="inlineStr"/>
      <c r="R1444" s="256" t="inlineStr"/>
    </row>
    <row r="1445">
      <c r="A1445" s="256" t="inlineStr">
        <is>
          <t>CoQ-PP_26-063</t>
        </is>
      </c>
      <c r="B1445" s="256" t="inlineStr">
        <is>
          <t>release</t>
        </is>
      </c>
      <c r="C1445" s="256" t="inlineStr">
        <is>
          <t>CC112501</t>
        </is>
      </c>
      <c r="D1445" s="256" t="inlineStr">
        <is>
          <t>— no P lot assigned —</t>
        </is>
      </c>
      <c r="E1445" s="256" t="inlineStr">
        <is>
          <t>Cash Cow</t>
        </is>
      </c>
      <c r="F1445" s="256" t="inlineStr">
        <is>
          <t>06.06.2026</t>
        </is>
      </c>
      <c r="G1445" s="256" t="inlineStr">
        <is>
          <t>10.3</t>
        </is>
      </c>
      <c r="H1445" s="256" t="inlineStr">
        <is>
          <t>Ochratoxin A</t>
        </is>
      </c>
      <c r="I1445" s="256" t="inlineStr">
        <is>
          <t>Ph. Eur. 2.8.22 (HPLC-FLD)</t>
        </is>
      </c>
      <c r="J1445" s="256" t="inlineStr">
        <is>
          <t>≤ 20 µg/kg</t>
        </is>
      </c>
      <c r="K1445" s="259" t="inlineStr">
        <is>
          <t>not tested</t>
        </is>
      </c>
      <c r="L1445" s="256" t="inlineStr">
        <is>
          <t>—</t>
        </is>
      </c>
      <c r="M1445" s="256" t="inlineStr">
        <is>
          <t>—</t>
        </is>
      </c>
      <c r="N1445" s="256" t="inlineStr">
        <is>
          <t>—</t>
        </is>
      </c>
      <c r="O1445" s="256" t="inlineStr">
        <is>
          <t>—</t>
        </is>
      </c>
      <c r="P1445" s="256" t="inlineStr">
        <is>
          <t>not tested — no certificate covers it</t>
        </is>
      </c>
      <c r="Q1445" s="256" t="inlineStr"/>
      <c r="R1445" s="256" t="inlineStr"/>
    </row>
    <row r="1446">
      <c r="A1446" s="256" t="inlineStr">
        <is>
          <t>CoQ-PP_26-063</t>
        </is>
      </c>
      <c r="B1446" s="256" t="inlineStr">
        <is>
          <t>release</t>
        </is>
      </c>
      <c r="C1446" s="256" t="inlineStr">
        <is>
          <t>CC112501</t>
        </is>
      </c>
      <c r="D1446" s="256" t="inlineStr">
        <is>
          <t>— no P lot assigned —</t>
        </is>
      </c>
      <c r="E1446" s="256" t="inlineStr">
        <is>
          <t>Cash Cow</t>
        </is>
      </c>
      <c r="F1446" s="256" t="inlineStr">
        <is>
          <t>06.06.2026</t>
        </is>
      </c>
      <c r="G1446" s="256" t="inlineStr">
        <is>
          <t>11.1</t>
        </is>
      </c>
      <c r="H1446" s="256" t="inlineStr">
        <is>
          <t>Lead (Pb)</t>
        </is>
      </c>
      <c r="I1446" s="256" t="inlineStr">
        <is>
          <t>Ph. Eur. 2.4.27 (ICP-MS)</t>
        </is>
      </c>
      <c r="J1446" s="256" t="inlineStr">
        <is>
          <t>≤ 0.5 mg/kg</t>
        </is>
      </c>
      <c r="K1446" s="256" t="inlineStr">
        <is>
          <t>0.0289</t>
        </is>
      </c>
      <c r="L1446" s="256" t="inlineStr">
        <is>
          <t>2359/2026</t>
        </is>
      </c>
      <c r="M1446" s="256" t="inlineStr">
        <is>
          <t>29.04.2026</t>
        </is>
      </c>
      <c r="N1446" s="256" t="inlineStr">
        <is>
          <t>IPH — Institute of Public Health</t>
        </is>
      </c>
      <c r="O1446" s="256" t="inlineStr">
        <is>
          <t>21.04.2026</t>
        </is>
      </c>
      <c r="P1446" s="256" t="inlineStr">
        <is>
          <t>covered</t>
        </is>
      </c>
      <c r="Q1446" s="256" t="inlineStr"/>
      <c r="R1446" s="256" t="inlineStr"/>
    </row>
    <row r="1447">
      <c r="A1447" s="256" t="inlineStr">
        <is>
          <t>CoQ-PP_26-063</t>
        </is>
      </c>
      <c r="B1447" s="256" t="inlineStr">
        <is>
          <t>release</t>
        </is>
      </c>
      <c r="C1447" s="256" t="inlineStr">
        <is>
          <t>CC112501</t>
        </is>
      </c>
      <c r="D1447" s="256" t="inlineStr">
        <is>
          <t>— no P lot assigned —</t>
        </is>
      </c>
      <c r="E1447" s="256" t="inlineStr">
        <is>
          <t>Cash Cow</t>
        </is>
      </c>
      <c r="F1447" s="256" t="inlineStr">
        <is>
          <t>06.06.2026</t>
        </is>
      </c>
      <c r="G1447" s="256" t="inlineStr">
        <is>
          <t>11.2</t>
        </is>
      </c>
      <c r="H1447" s="256" t="inlineStr">
        <is>
          <t>Cadmium (Cd)</t>
        </is>
      </c>
      <c r="I1447" s="256" t="inlineStr">
        <is>
          <t>Ph. Eur. 2.4.27 (ICP-MS)</t>
        </is>
      </c>
      <c r="J1447" s="256" t="inlineStr">
        <is>
          <t>≤ 0.3 mg/kg</t>
        </is>
      </c>
      <c r="K1447" s="256" t="inlineStr">
        <is>
          <t>0.0119</t>
        </is>
      </c>
      <c r="L1447" s="256" t="inlineStr">
        <is>
          <t>2359/2026</t>
        </is>
      </c>
      <c r="M1447" s="256" t="inlineStr">
        <is>
          <t>29.04.2026</t>
        </is>
      </c>
      <c r="N1447" s="256" t="inlineStr">
        <is>
          <t>IPH — Institute of Public Health</t>
        </is>
      </c>
      <c r="O1447" s="256" t="inlineStr">
        <is>
          <t>21.04.2026</t>
        </is>
      </c>
      <c r="P1447" s="256" t="inlineStr">
        <is>
          <t>covered</t>
        </is>
      </c>
      <c r="Q1447" s="256" t="inlineStr"/>
      <c r="R1447" s="256" t="inlineStr"/>
    </row>
    <row r="1448">
      <c r="A1448" s="256" t="inlineStr">
        <is>
          <t>CoQ-PP_26-063</t>
        </is>
      </c>
      <c r="B1448" s="256" t="inlineStr">
        <is>
          <t>release</t>
        </is>
      </c>
      <c r="C1448" s="256" t="inlineStr">
        <is>
          <t>CC112501</t>
        </is>
      </c>
      <c r="D1448" s="256" t="inlineStr">
        <is>
          <t>— no P lot assigned —</t>
        </is>
      </c>
      <c r="E1448" s="256" t="inlineStr">
        <is>
          <t>Cash Cow</t>
        </is>
      </c>
      <c r="F1448" s="256" t="inlineStr">
        <is>
          <t>06.06.2026</t>
        </is>
      </c>
      <c r="G1448" s="256" t="inlineStr">
        <is>
          <t>11.3</t>
        </is>
      </c>
      <c r="H1448" s="256" t="inlineStr">
        <is>
          <t>Arsenic (As)</t>
        </is>
      </c>
      <c r="I1448" s="256" t="inlineStr">
        <is>
          <t>Ph. Eur. 2.4.27 (ICP-MS)</t>
        </is>
      </c>
      <c r="J1448" s="256" t="inlineStr">
        <is>
          <t>≤ 0.2 mg/kg</t>
        </is>
      </c>
      <c r="K1448" s="256" t="inlineStr">
        <is>
          <t>0.016</t>
        </is>
      </c>
      <c r="L1448" s="256" t="inlineStr">
        <is>
          <t>2359/2026</t>
        </is>
      </c>
      <c r="M1448" s="256" t="inlineStr">
        <is>
          <t>29.04.2026</t>
        </is>
      </c>
      <c r="N1448" s="256" t="inlineStr">
        <is>
          <t>IPH — Institute of Public Health</t>
        </is>
      </c>
      <c r="O1448" s="256" t="inlineStr">
        <is>
          <t>21.04.2026</t>
        </is>
      </c>
      <c r="P1448" s="256" t="inlineStr">
        <is>
          <t>covered</t>
        </is>
      </c>
      <c r="Q1448" s="256" t="inlineStr"/>
      <c r="R1448" s="256" t="inlineStr"/>
    </row>
    <row r="1449">
      <c r="A1449" s="256" t="inlineStr">
        <is>
          <t>CoQ-PP_26-063</t>
        </is>
      </c>
      <c r="B1449" s="256" t="inlineStr">
        <is>
          <t>release</t>
        </is>
      </c>
      <c r="C1449" s="256" t="inlineStr">
        <is>
          <t>CC112501</t>
        </is>
      </c>
      <c r="D1449" s="256" t="inlineStr">
        <is>
          <t>— no P lot assigned —</t>
        </is>
      </c>
      <c r="E1449" s="256" t="inlineStr">
        <is>
          <t>Cash Cow</t>
        </is>
      </c>
      <c r="F1449" s="256" t="inlineStr">
        <is>
          <t>06.06.2026</t>
        </is>
      </c>
      <c r="G1449" s="256" t="inlineStr">
        <is>
          <t>11.4</t>
        </is>
      </c>
      <c r="H1449" s="256" t="inlineStr">
        <is>
          <t>Mercury (Hg)</t>
        </is>
      </c>
      <c r="I1449" s="256" t="inlineStr">
        <is>
          <t>Ph. Eur. 2.4.27 (ICP-MS)</t>
        </is>
      </c>
      <c r="J1449" s="256" t="inlineStr">
        <is>
          <t>≤ 0.1 mg/kg</t>
        </is>
      </c>
      <c r="K1449" s="256" t="inlineStr">
        <is>
          <t>0.0102</t>
        </is>
      </c>
      <c r="L1449" s="256" t="inlineStr">
        <is>
          <t>2359/2026</t>
        </is>
      </c>
      <c r="M1449" s="256" t="inlineStr">
        <is>
          <t>29.04.2026</t>
        </is>
      </c>
      <c r="N1449" s="256" t="inlineStr">
        <is>
          <t>IPH — Institute of Public Health</t>
        </is>
      </c>
      <c r="O1449" s="256" t="inlineStr">
        <is>
          <t>21.04.2026</t>
        </is>
      </c>
      <c r="P1449" s="256" t="inlineStr">
        <is>
          <t>covered</t>
        </is>
      </c>
      <c r="Q1449" s="256" t="inlineStr"/>
      <c r="R1449" s="256" t="inlineStr"/>
    </row>
    <row r="1450">
      <c r="A1450" s="256" t="inlineStr">
        <is>
          <t>CoQ-PP_26-063</t>
        </is>
      </c>
      <c r="B1450" s="256" t="inlineStr">
        <is>
          <t>release</t>
        </is>
      </c>
      <c r="C1450" s="256" t="inlineStr">
        <is>
          <t>CC112501</t>
        </is>
      </c>
      <c r="D1450" s="256" t="inlineStr">
        <is>
          <t>— no P lot assigned —</t>
        </is>
      </c>
      <c r="E1450" s="256" t="inlineStr">
        <is>
          <t>Cash Cow</t>
        </is>
      </c>
      <c r="F1450" s="256" t="inlineStr">
        <is>
          <t>06.06.2026</t>
        </is>
      </c>
      <c r="G1450" s="256" t="inlineStr">
        <is>
          <t>12</t>
        </is>
      </c>
      <c r="H1450" s="256" t="inlineStr">
        <is>
          <t>Pesticide Residues</t>
        </is>
      </c>
      <c r="I1450" s="256" t="inlineStr">
        <is>
          <t>Ph. Eur. 2.8.13 (LC-MS/MS) · CUMCS Equivalency</t>
        </is>
      </c>
      <c r="J1450" s="256" t="inlineStr">
        <is>
          <t>≤ LOQ as per Ph. Eur. 2.8.13 · ≤ LOQ as per CUMCS Equivalency</t>
        </is>
      </c>
      <c r="K1450" s="256" t="inlineStr">
        <is>
          <t>ND</t>
        </is>
      </c>
      <c r="L1450" s="256" t="inlineStr">
        <is>
          <t>2359/2026</t>
        </is>
      </c>
      <c r="M1450" s="256" t="inlineStr">
        <is>
          <t>29.04.2026</t>
        </is>
      </c>
      <c r="N1450" s="256" t="inlineStr">
        <is>
          <t>IPH — Institute of Public Health</t>
        </is>
      </c>
      <c r="O1450" s="256" t="inlineStr">
        <is>
          <t>21.04.2026</t>
        </is>
      </c>
      <c r="P1450" s="256" t="inlineStr">
        <is>
          <t>covered</t>
        </is>
      </c>
      <c r="Q1450" s="256" t="inlineStr"/>
      <c r="R1450" s="256" t="inlineStr"/>
    </row>
    <row r="1451">
      <c r="A1451" s="256" t="inlineStr">
        <is>
          <t>CoQ-PP_26-064</t>
        </is>
      </c>
      <c r="B1451" s="256" t="inlineStr">
        <is>
          <t>release</t>
        </is>
      </c>
      <c r="C1451" s="256" t="inlineStr">
        <is>
          <t>SCR112501</t>
        </is>
      </c>
      <c r="D1451" s="256" t="inlineStr">
        <is>
          <t>P060282</t>
        </is>
      </c>
      <c r="E1451" s="256" t="inlineStr">
        <is>
          <t>Scrambler</t>
        </is>
      </c>
      <c r="F1451" s="256" t="inlineStr">
        <is>
          <t>06.06.2026</t>
        </is>
      </c>
      <c r="G1451" s="256" t="inlineStr">
        <is>
          <t>1</t>
        </is>
      </c>
      <c r="H1451" s="256" t="inlineStr">
        <is>
          <t>Identification A, Appearance · Macroscopic</t>
        </is>
      </c>
      <c r="I1451" s="256" t="inlineStr">
        <is>
          <t>Ph. Eur. mon. 3028</t>
        </is>
      </c>
      <c r="J1451" s="256" t="inlineStr">
        <is>
          <t>Conforms to the monograph for Cannabis flos (07/2024:3028) in Ph. Eur. 11.0 | Согласно монографија за Cannabis flos (07/2024:3028) во Ph. Eur. 11.0</t>
        </is>
      </c>
      <c r="K1451" s="256" t="inlineStr">
        <is>
          <t>Conforms | Одговара</t>
        </is>
      </c>
      <c r="L1451" s="256" t="inlineStr">
        <is>
          <t>iCoA-PP_26-074</t>
        </is>
      </c>
      <c r="M1451" s="256" t="inlineStr">
        <is>
          <t>03.06.2026</t>
        </is>
      </c>
      <c r="N1451" s="256" t="inlineStr">
        <is>
          <t>Purely Plant GmbH (in-house)</t>
        </is>
      </c>
      <c r="O1451" s="256" t="inlineStr">
        <is>
          <t>—</t>
        </is>
      </c>
      <c r="P1451" s="256" t="inlineStr">
        <is>
          <t>to be performed — see route</t>
        </is>
      </c>
      <c r="Q1451" s="256" t="inlineStr">
        <is>
          <t>Purely Plant laboratory — iCoA covering Ident A + B</t>
        </is>
      </c>
      <c r="R1451" s="256" t="inlineStr"/>
    </row>
    <row r="1452">
      <c r="A1452" s="256" t="inlineStr">
        <is>
          <t>CoQ-PP_26-064</t>
        </is>
      </c>
      <c r="B1452" s="256" t="inlineStr">
        <is>
          <t>release</t>
        </is>
      </c>
      <c r="C1452" s="256" t="inlineStr">
        <is>
          <t>SCR112501</t>
        </is>
      </c>
      <c r="D1452" s="256" t="inlineStr">
        <is>
          <t>P060282</t>
        </is>
      </c>
      <c r="E1452" s="256" t="inlineStr">
        <is>
          <t>Scrambler</t>
        </is>
      </c>
      <c r="F1452" s="256" t="inlineStr">
        <is>
          <t>06.06.2026</t>
        </is>
      </c>
      <c r="G1452" s="256" t="inlineStr">
        <is>
          <t>2</t>
        </is>
      </c>
      <c r="H1452" s="256" t="inlineStr">
        <is>
          <t>Identification B · Microscopic</t>
        </is>
      </c>
      <c r="I1452" s="256" t="inlineStr">
        <is>
          <t>Ph. Eur. 2.8.23 (microscopy)</t>
        </is>
      </c>
      <c r="J1452" s="256" t="inlineStr">
        <is>
          <t>Conforms to the monograph for Cannabis flos (07/2024:3028) in Ph. Eur. 11.0 | Согласно монографија за Cannabis flos (07/2024:3028) во Ph. Eur. 11.0</t>
        </is>
      </c>
      <c r="K1452" s="256" t="inlineStr">
        <is>
          <t>Conforms | Одговара</t>
        </is>
      </c>
      <c r="L1452" s="256" t="inlineStr">
        <is>
          <t>iCoA-PP_26-074</t>
        </is>
      </c>
      <c r="M1452" s="256" t="inlineStr">
        <is>
          <t>03.06.2026</t>
        </is>
      </c>
      <c r="N1452" s="256" t="inlineStr">
        <is>
          <t>Purely Plant GmbH (in-house)</t>
        </is>
      </c>
      <c r="O1452" s="256" t="inlineStr">
        <is>
          <t>—</t>
        </is>
      </c>
      <c r="P1452" s="256" t="inlineStr">
        <is>
          <t>to be performed — see route</t>
        </is>
      </c>
      <c r="Q1452" s="256" t="inlineStr">
        <is>
          <t>Purely Plant laboratory — iCoA covering Ident A + B</t>
        </is>
      </c>
      <c r="R1452" s="256" t="inlineStr"/>
    </row>
    <row r="1453">
      <c r="A1453" s="256" t="inlineStr">
        <is>
          <t>CoQ-PP_26-064</t>
        </is>
      </c>
      <c r="B1453" s="256" t="inlineStr">
        <is>
          <t>release</t>
        </is>
      </c>
      <c r="C1453" s="256" t="inlineStr">
        <is>
          <t>SCR112501</t>
        </is>
      </c>
      <c r="D1453" s="256" t="inlineStr">
        <is>
          <t>P060282</t>
        </is>
      </c>
      <c r="E1453" s="256" t="inlineStr">
        <is>
          <t>Scrambler</t>
        </is>
      </c>
      <c r="F1453" s="256" t="inlineStr">
        <is>
          <t>06.06.2026</t>
        </is>
      </c>
      <c r="G1453" s="256" t="inlineStr">
        <is>
          <t>3</t>
        </is>
      </c>
      <c r="H1453" s="256" t="inlineStr">
        <is>
          <t>Identification C · HPLC/HPTLC</t>
        </is>
      </c>
      <c r="I1453" s="256" t="inlineStr">
        <is>
          <t>HPLC — DAB 2018 monograph Cannabis flos, 2.2.29 (CNP, before its Ph. Eur. 3028 accreditation)</t>
        </is>
      </c>
      <c r="J1453" s="256" t="inlineStr">
        <is>
          <t>Conforms to the monograph for Cannabis flos (07/2024:3028) in Ph. Eur. 11.0 | Согласно монографија за Cannabis flos (07/2024:3028) во Ph. Eur. 11.0</t>
        </is>
      </c>
      <c r="K1453" s="256" t="inlineStr">
        <is>
          <t>Conforms | Одговара</t>
        </is>
      </c>
      <c r="L1453" s="256" t="inlineStr">
        <is>
          <t>ППК26069</t>
        </is>
      </c>
      <c r="M1453" s="256" t="inlineStr">
        <is>
          <t>11.05.2026</t>
        </is>
      </c>
      <c r="N1453" s="256" t="inlineStr">
        <is>
          <t>UKIM Faculty of Pharmacy — Center for Natural Products</t>
        </is>
      </c>
      <c r="O1453" s="256" t="inlineStr">
        <is>
          <t>21.04.2026</t>
        </is>
      </c>
      <c r="P1453" s="256" t="inlineStr">
        <is>
          <t>covered</t>
        </is>
      </c>
      <c r="Q1453" s="256" t="inlineStr"/>
      <c r="R1453" s="256" t="inlineStr"/>
    </row>
    <row r="1454">
      <c r="A1454" s="256" t="inlineStr">
        <is>
          <t>CoQ-PP_26-064</t>
        </is>
      </c>
      <c r="B1454" s="256" t="inlineStr">
        <is>
          <t>release</t>
        </is>
      </c>
      <c r="C1454" s="256" t="inlineStr">
        <is>
          <t>SCR112501</t>
        </is>
      </c>
      <c r="D1454" s="256" t="inlineStr">
        <is>
          <t>P060282</t>
        </is>
      </c>
      <c r="E1454" s="256" t="inlineStr">
        <is>
          <t>Scrambler</t>
        </is>
      </c>
      <c r="F1454" s="256" t="inlineStr">
        <is>
          <t>06.06.2026</t>
        </is>
      </c>
      <c r="G1454" s="256" t="inlineStr">
        <is>
          <t>4</t>
        </is>
      </c>
      <c r="H1454" s="256" t="inlineStr">
        <is>
          <t>Assay — Total Δ⁹-THC</t>
        </is>
      </c>
      <c r="I1454" s="256" t="inlineStr">
        <is>
          <t>HPLC — DAB 2018 monograph Cannabis flos, 2.2.29 (CNP, before its Ph. Eur. 3028 accreditation)</t>
        </is>
      </c>
      <c r="J1454" s="256" t="inlineStr">
        <is>
          <t>16.20 – 19.79 %  (grade II, nominal 18.00 ± 1.80)</t>
        </is>
      </c>
      <c r="K1454" s="256" t="inlineStr">
        <is>
          <t>17.13</t>
        </is>
      </c>
      <c r="L1454" s="256" t="inlineStr">
        <is>
          <t>ППК26069</t>
        </is>
      </c>
      <c r="M1454" s="256" t="inlineStr">
        <is>
          <t>11.05.2026</t>
        </is>
      </c>
      <c r="N1454" s="256" t="inlineStr">
        <is>
          <t>UKIM Faculty of Pharmacy — Center for Natural Products</t>
        </is>
      </c>
      <c r="O1454" s="256" t="inlineStr">
        <is>
          <t>21.04.2026</t>
        </is>
      </c>
      <c r="P1454" s="256" t="inlineStr">
        <is>
          <t>covered</t>
        </is>
      </c>
      <c r="Q1454" s="256" t="inlineStr"/>
      <c r="R1454" s="256" t="inlineStr">
        <is>
          <t>19.73 (220-26-К/26)</t>
        </is>
      </c>
    </row>
    <row r="1455">
      <c r="A1455" s="256" t="inlineStr">
        <is>
          <t>CoQ-PP_26-064</t>
        </is>
      </c>
      <c r="B1455" s="256" t="inlineStr">
        <is>
          <t>release</t>
        </is>
      </c>
      <c r="C1455" s="256" t="inlineStr">
        <is>
          <t>SCR112501</t>
        </is>
      </c>
      <c r="D1455" s="256" t="inlineStr">
        <is>
          <t>P060282</t>
        </is>
      </c>
      <c r="E1455" s="256" t="inlineStr">
        <is>
          <t>Scrambler</t>
        </is>
      </c>
      <c r="F1455" s="256" t="inlineStr">
        <is>
          <t>06.06.2026</t>
        </is>
      </c>
      <c r="G1455" s="256" t="inlineStr">
        <is>
          <t>5</t>
        </is>
      </c>
      <c r="H1455" s="256" t="inlineStr">
        <is>
          <t>Assay — Total CBD</t>
        </is>
      </c>
      <c r="I1455" s="256" t="inlineStr">
        <is>
          <t>HPLC — DAB 2018 monograph Cannabis flos, 2.2.29 · CBD + CBDA x 0.877 (CNP, before its Ph. Eur. 3028 accreditation)</t>
        </is>
      </c>
      <c r="J1455" s="256" t="inlineStr">
        <is>
          <t>≤ 1.0%, w/w</t>
        </is>
      </c>
      <c r="K1455" s="256" t="inlineStr">
        <is>
          <t>0.04</t>
        </is>
      </c>
      <c r="L1455" s="256" t="inlineStr">
        <is>
          <t>ППК26069</t>
        </is>
      </c>
      <c r="M1455" s="256" t="inlineStr">
        <is>
          <t>11.05.2026</t>
        </is>
      </c>
      <c r="N1455" s="256" t="inlineStr">
        <is>
          <t>UKIM Faculty of Pharmacy — Center for Natural Products</t>
        </is>
      </c>
      <c r="O1455" s="256" t="inlineStr">
        <is>
          <t>21.04.2026</t>
        </is>
      </c>
      <c r="P1455" s="256" t="inlineStr">
        <is>
          <t>covered</t>
        </is>
      </c>
      <c r="Q1455" s="256" t="inlineStr"/>
      <c r="R1455" s="256" t="inlineStr">
        <is>
          <t>&lt;LOQ (220-26-К/26)</t>
        </is>
      </c>
    </row>
    <row r="1456">
      <c r="A1456" s="256" t="inlineStr">
        <is>
          <t>CoQ-PP_26-064</t>
        </is>
      </c>
      <c r="B1456" s="256" t="inlineStr">
        <is>
          <t>release</t>
        </is>
      </c>
      <c r="C1456" s="256" t="inlineStr">
        <is>
          <t>SCR112501</t>
        </is>
      </c>
      <c r="D1456" s="256" t="inlineStr">
        <is>
          <t>P060282</t>
        </is>
      </c>
      <c r="E1456" s="256" t="inlineStr">
        <is>
          <t>Scrambler</t>
        </is>
      </c>
      <c r="F1456" s="256" t="inlineStr">
        <is>
          <t>06.06.2026</t>
        </is>
      </c>
      <c r="G1456" s="256" t="inlineStr">
        <is>
          <t>6</t>
        </is>
      </c>
      <c r="H1456" s="256" t="inlineStr">
        <is>
          <t>Total CBN</t>
        </is>
      </c>
      <c r="I1456" s="256" t="inlineStr">
        <is>
          <t>HPLC — DAB 2018 monograph Cannabis flos, 2.2.29 · CBN + CBNA x 0.876 (CNP, before its Ph. Eur. 3028 accreditation)</t>
        </is>
      </c>
      <c r="J1456" s="256" t="inlineStr">
        <is>
          <t>≤ 1.0%, w/w</t>
        </is>
      </c>
      <c r="K1456" s="256" t="inlineStr">
        <is>
          <t>&lt; LOQ %</t>
        </is>
      </c>
      <c r="L1456" s="256" t="inlineStr">
        <is>
          <t>ППК26069</t>
        </is>
      </c>
      <c r="M1456" s="256" t="inlineStr">
        <is>
          <t>11.05.2026</t>
        </is>
      </c>
      <c r="N1456" s="256" t="inlineStr">
        <is>
          <t>CNP</t>
        </is>
      </c>
      <c r="O1456" s="256" t="inlineStr">
        <is>
          <t>21.04.2026</t>
        </is>
      </c>
      <c r="P1456" s="256" t="inlineStr">
        <is>
          <t>covered</t>
        </is>
      </c>
      <c r="Q1456" s="256" t="inlineStr"/>
      <c r="R1456" s="256" t="inlineStr"/>
    </row>
    <row r="1457">
      <c r="A1457" s="256" t="inlineStr">
        <is>
          <t>CoQ-PP_26-064</t>
        </is>
      </c>
      <c r="B1457" s="256" t="inlineStr">
        <is>
          <t>release</t>
        </is>
      </c>
      <c r="C1457" s="256" t="inlineStr">
        <is>
          <t>SCR112501</t>
        </is>
      </c>
      <c r="D1457" s="256" t="inlineStr">
        <is>
          <t>P060282</t>
        </is>
      </c>
      <c r="E1457" s="256" t="inlineStr">
        <is>
          <t>Scrambler</t>
        </is>
      </c>
      <c r="F1457" s="256" t="inlineStr">
        <is>
          <t>06.06.2026</t>
        </is>
      </c>
      <c r="G1457" s="256" t="inlineStr">
        <is>
          <t>7</t>
        </is>
      </c>
      <c r="H1457" s="256" t="inlineStr">
        <is>
          <t>Foreign Matter</t>
        </is>
      </c>
      <c r="I1457" s="256" t="inlineStr">
        <is>
          <t>Ph. Eur. 2.8.2 · In-house · интерна</t>
        </is>
      </c>
      <c r="J1457" s="256" t="inlineStr">
        <is>
          <t>≤ 2.0% / 25–50 g · &lt; 1 cm leaves | листови, no seeds | без семки</t>
        </is>
      </c>
      <c r="K1457" s="256" t="inlineStr">
        <is>
          <t>Conforms | Одговара</t>
        </is>
      </c>
      <c r="L1457" s="256" t="inlineStr">
        <is>
          <t>iCoA-PP_26-074</t>
        </is>
      </c>
      <c r="M1457" s="256" t="inlineStr">
        <is>
          <t>03.06.2026</t>
        </is>
      </c>
      <c r="N1457" s="256" t="inlineStr">
        <is>
          <t>Purely Plant GmbH (in-house)</t>
        </is>
      </c>
      <c r="O1457" s="256" t="inlineStr">
        <is>
          <t>—</t>
        </is>
      </c>
      <c r="P1457" s="256" t="inlineStr">
        <is>
          <t>to be performed — see route</t>
        </is>
      </c>
      <c r="Q1457" s="256" t="inlineStr">
        <is>
          <t>Purely Plant laboratory — iCoA covering Foreign matter</t>
        </is>
      </c>
      <c r="R1457" s="256" t="inlineStr"/>
    </row>
    <row r="1458">
      <c r="A1458" s="256" t="inlineStr">
        <is>
          <t>CoQ-PP_26-064</t>
        </is>
      </c>
      <c r="B1458" s="256" t="inlineStr">
        <is>
          <t>release</t>
        </is>
      </c>
      <c r="C1458" s="256" t="inlineStr">
        <is>
          <t>SCR112501</t>
        </is>
      </c>
      <c r="D1458" s="256" t="inlineStr">
        <is>
          <t>P060282</t>
        </is>
      </c>
      <c r="E1458" s="256" t="inlineStr">
        <is>
          <t>Scrambler</t>
        </is>
      </c>
      <c r="F1458" s="256" t="inlineStr">
        <is>
          <t>06.06.2026</t>
        </is>
      </c>
      <c r="G1458" s="256" t="inlineStr">
        <is>
          <t>8</t>
        </is>
      </c>
      <c r="H1458" s="256" t="inlineStr">
        <is>
          <t>Loss on Drying</t>
        </is>
      </c>
      <c r="I1458" s="256" t="inlineStr">
        <is>
          <t>DAB 2018 monograph Cannabis flos, 2.2.32 — loss on drying (CNP, before its Ph. Eur. 3028 accreditation)</t>
        </is>
      </c>
      <c r="J1458" s="256" t="inlineStr">
        <is>
          <t>≤ 12.0%</t>
        </is>
      </c>
      <c r="K1458" s="256" t="inlineStr">
        <is>
          <t>6.84</t>
        </is>
      </c>
      <c r="L1458" s="256" t="inlineStr">
        <is>
          <t>ППК26069</t>
        </is>
      </c>
      <c r="M1458" s="256" t="inlineStr">
        <is>
          <t>11.05.2026</t>
        </is>
      </c>
      <c r="N1458" s="256" t="inlineStr">
        <is>
          <t>UKIM Faculty of Pharmacy — Center for Natural Products</t>
        </is>
      </c>
      <c r="O1458" s="256" t="inlineStr">
        <is>
          <t>21.04.2026</t>
        </is>
      </c>
      <c r="P1458" s="256" t="inlineStr">
        <is>
          <t>covered</t>
        </is>
      </c>
      <c r="Q1458" s="256" t="inlineStr"/>
      <c r="R1458" s="256" t="inlineStr"/>
    </row>
    <row r="1459">
      <c r="A1459" s="256" t="inlineStr">
        <is>
          <t>CoQ-PP_26-064</t>
        </is>
      </c>
      <c r="B1459" s="256" t="inlineStr">
        <is>
          <t>release</t>
        </is>
      </c>
      <c r="C1459" s="256" t="inlineStr">
        <is>
          <t>SCR112501</t>
        </is>
      </c>
      <c r="D1459" s="256" t="inlineStr">
        <is>
          <t>P060282</t>
        </is>
      </c>
      <c r="E1459" s="256" t="inlineStr">
        <is>
          <t>Scrambler</t>
        </is>
      </c>
      <c r="F1459" s="256" t="inlineStr">
        <is>
          <t>06.06.2026</t>
        </is>
      </c>
      <c r="G1459" s="256" t="inlineStr">
        <is>
          <t>9.1</t>
        </is>
      </c>
      <c r="H1459" s="256" t="inlineStr">
        <is>
          <t>TAMC</t>
        </is>
      </c>
      <c r="I1459" s="256" t="inlineStr">
        <is>
          <t>Ph. Eur. 2.6.12 cat. C</t>
        </is>
      </c>
      <c r="J1459" s="256" t="inlineStr">
        <is>
          <t>≤ 10⁵ CFU/g</t>
        </is>
      </c>
      <c r="K1459" s="256" t="inlineStr">
        <is>
          <t>2,3 × 10³</t>
        </is>
      </c>
      <c r="L1459" s="256" t="inlineStr">
        <is>
          <t>305/0549/26</t>
        </is>
      </c>
      <c r="M1459" s="256" t="inlineStr">
        <is>
          <t>28.04.2026</t>
        </is>
      </c>
      <c r="N1459" s="256" t="inlineStr">
        <is>
          <t>IPH — Institute of Public Health</t>
        </is>
      </c>
      <c r="O1459" s="256" t="inlineStr">
        <is>
          <t>22.04.2026</t>
        </is>
      </c>
      <c r="P1459" s="256" t="inlineStr">
        <is>
          <t>covered</t>
        </is>
      </c>
      <c r="Q1459" s="256" t="inlineStr"/>
      <c r="R1459" s="256" t="inlineStr"/>
    </row>
    <row r="1460">
      <c r="A1460" s="256" t="inlineStr">
        <is>
          <t>CoQ-PP_26-064</t>
        </is>
      </c>
      <c r="B1460" s="256" t="inlineStr">
        <is>
          <t>release</t>
        </is>
      </c>
      <c r="C1460" s="256" t="inlineStr">
        <is>
          <t>SCR112501</t>
        </is>
      </c>
      <c r="D1460" s="256" t="inlineStr">
        <is>
          <t>P060282</t>
        </is>
      </c>
      <c r="E1460" s="256" t="inlineStr">
        <is>
          <t>Scrambler</t>
        </is>
      </c>
      <c r="F1460" s="256" t="inlineStr">
        <is>
          <t>06.06.2026</t>
        </is>
      </c>
      <c r="G1460" s="256" t="inlineStr">
        <is>
          <t>9.2</t>
        </is>
      </c>
      <c r="H1460" s="256" t="inlineStr">
        <is>
          <t>TYMC</t>
        </is>
      </c>
      <c r="I1460" s="256" t="inlineStr">
        <is>
          <t>Ph. Eur. 2.6.12 cat. C</t>
        </is>
      </c>
      <c r="J1460" s="256" t="inlineStr">
        <is>
          <t>≤ 10⁴ CFU/g</t>
        </is>
      </c>
      <c r="K1460" s="256" t="inlineStr">
        <is>
          <t>4,3 × 10³</t>
        </is>
      </c>
      <c r="L1460" s="256" t="inlineStr">
        <is>
          <t>305/0549/26</t>
        </is>
      </c>
      <c r="M1460" s="256" t="inlineStr">
        <is>
          <t>28.04.2026</t>
        </is>
      </c>
      <c r="N1460" s="256" t="inlineStr">
        <is>
          <t>IPH — Institute of Public Health</t>
        </is>
      </c>
      <c r="O1460" s="256" t="inlineStr">
        <is>
          <t>22.04.2026</t>
        </is>
      </c>
      <c r="P1460" s="256" t="inlineStr">
        <is>
          <t>covered</t>
        </is>
      </c>
      <c r="Q1460" s="256" t="inlineStr"/>
      <c r="R1460" s="256" t="inlineStr"/>
    </row>
    <row r="1461">
      <c r="A1461" s="256" t="inlineStr">
        <is>
          <t>CoQ-PP_26-064</t>
        </is>
      </c>
      <c r="B1461" s="256" t="inlineStr">
        <is>
          <t>release</t>
        </is>
      </c>
      <c r="C1461" s="256" t="inlineStr">
        <is>
          <t>SCR112501</t>
        </is>
      </c>
      <c r="D1461" s="256" t="inlineStr">
        <is>
          <t>P060282</t>
        </is>
      </c>
      <c r="E1461" s="256" t="inlineStr">
        <is>
          <t>Scrambler</t>
        </is>
      </c>
      <c r="F1461" s="256" t="inlineStr">
        <is>
          <t>06.06.2026</t>
        </is>
      </c>
      <c r="G1461" s="256" t="inlineStr">
        <is>
          <t>9.3</t>
        </is>
      </c>
      <c r="H1461" s="256" t="inlineStr">
        <is>
          <t>Bile-tolerant gram-neg.</t>
        </is>
      </c>
      <c r="I1461" s="256" t="inlineStr">
        <is>
          <t>Ph. Eur. 2.6.31 cat. C</t>
        </is>
      </c>
      <c r="J1461" s="256" t="inlineStr">
        <is>
          <t>≤ 10⁴ CFU/g</t>
        </is>
      </c>
      <c r="K1461" s="256" t="inlineStr">
        <is>
          <t>&lt; 10³ and &gt; 10²</t>
        </is>
      </c>
      <c r="L1461" s="256" t="inlineStr">
        <is>
          <t>305/0549/26</t>
        </is>
      </c>
      <c r="M1461" s="256" t="inlineStr">
        <is>
          <t>28.04.2026</t>
        </is>
      </c>
      <c r="N1461" s="256" t="inlineStr">
        <is>
          <t>IPH — Institute of Public Health</t>
        </is>
      </c>
      <c r="O1461" s="256" t="inlineStr">
        <is>
          <t>22.04.2026</t>
        </is>
      </c>
      <c r="P1461" s="256" t="inlineStr">
        <is>
          <t>covered</t>
        </is>
      </c>
      <c r="Q1461" s="256" t="inlineStr"/>
      <c r="R1461" s="256" t="inlineStr"/>
    </row>
    <row r="1462">
      <c r="A1462" s="256" t="inlineStr">
        <is>
          <t>CoQ-PP_26-064</t>
        </is>
      </c>
      <c r="B1462" s="256" t="inlineStr">
        <is>
          <t>release</t>
        </is>
      </c>
      <c r="C1462" s="256" t="inlineStr">
        <is>
          <t>SCR112501</t>
        </is>
      </c>
      <c r="D1462" s="256" t="inlineStr">
        <is>
          <t>P060282</t>
        </is>
      </c>
      <c r="E1462" s="256" t="inlineStr">
        <is>
          <t>Scrambler</t>
        </is>
      </c>
      <c r="F1462" s="256" t="inlineStr">
        <is>
          <t>06.06.2026</t>
        </is>
      </c>
      <c r="G1462" s="256" t="inlineStr">
        <is>
          <t>9.4</t>
        </is>
      </c>
      <c r="H1462" s="256" t="inlineStr">
        <is>
          <t>Salmonella</t>
        </is>
      </c>
      <c r="I1462" s="256" t="inlineStr">
        <is>
          <t>Ph. Eur. 2.6.31 cat. C</t>
        </is>
      </c>
      <c r="J1462" s="256" t="inlineStr">
        <is>
          <t>Absence | Отсуство / 25 g</t>
        </is>
      </c>
      <c r="K1462" s="256" t="inlineStr">
        <is>
          <t>Absent | Отсутна</t>
        </is>
      </c>
      <c r="L1462" s="256" t="inlineStr">
        <is>
          <t>305/0549/26</t>
        </is>
      </c>
      <c r="M1462" s="256" t="inlineStr">
        <is>
          <t>28.04.2026</t>
        </is>
      </c>
      <c r="N1462" s="256" t="inlineStr">
        <is>
          <t>IPH — Institute of Public Health</t>
        </is>
      </c>
      <c r="O1462" s="256" t="inlineStr">
        <is>
          <t>22.04.2026</t>
        </is>
      </c>
      <c r="P1462" s="256" t="inlineStr">
        <is>
          <t>covered</t>
        </is>
      </c>
      <c r="Q1462" s="256" t="inlineStr"/>
      <c r="R1462" s="256" t="inlineStr"/>
    </row>
    <row r="1463">
      <c r="A1463" s="256" t="inlineStr">
        <is>
          <t>CoQ-PP_26-064</t>
        </is>
      </c>
      <c r="B1463" s="256" t="inlineStr">
        <is>
          <t>release</t>
        </is>
      </c>
      <c r="C1463" s="256" t="inlineStr">
        <is>
          <t>SCR112501</t>
        </is>
      </c>
      <c r="D1463" s="256" t="inlineStr">
        <is>
          <t>P060282</t>
        </is>
      </c>
      <c r="E1463" s="256" t="inlineStr">
        <is>
          <t>Scrambler</t>
        </is>
      </c>
      <c r="F1463" s="256" t="inlineStr">
        <is>
          <t>06.06.2026</t>
        </is>
      </c>
      <c r="G1463" s="256" t="inlineStr">
        <is>
          <t>9.5</t>
        </is>
      </c>
      <c r="H1463" s="256" t="inlineStr">
        <is>
          <t>Escherichia coli</t>
        </is>
      </c>
      <c r="I1463" s="256" t="inlineStr">
        <is>
          <t>Ph. Eur. 2.6.13 cat. C</t>
        </is>
      </c>
      <c r="J1463" s="256" t="inlineStr">
        <is>
          <t>Absence | Отсуство / 1 g</t>
        </is>
      </c>
      <c r="K1463" s="256" t="inlineStr">
        <is>
          <t>Absent | Отсутна</t>
        </is>
      </c>
      <c r="L1463" s="256" t="inlineStr">
        <is>
          <t>305/0549/26</t>
        </is>
      </c>
      <c r="M1463" s="256" t="inlineStr">
        <is>
          <t>28.04.2026</t>
        </is>
      </c>
      <c r="N1463" s="256" t="inlineStr">
        <is>
          <t>IPH — Institute of Public Health</t>
        </is>
      </c>
      <c r="O1463" s="256" t="inlineStr">
        <is>
          <t>22.04.2026</t>
        </is>
      </c>
      <c r="P1463" s="256" t="inlineStr">
        <is>
          <t>covered</t>
        </is>
      </c>
      <c r="Q1463" s="256" t="inlineStr"/>
      <c r="R1463" s="256" t="inlineStr"/>
    </row>
    <row r="1464">
      <c r="A1464" s="256" t="inlineStr">
        <is>
          <t>CoQ-PP_26-064</t>
        </is>
      </c>
      <c r="B1464" s="256" t="inlineStr">
        <is>
          <t>release</t>
        </is>
      </c>
      <c r="C1464" s="256" t="inlineStr">
        <is>
          <t>SCR112501</t>
        </is>
      </c>
      <c r="D1464" s="256" t="inlineStr">
        <is>
          <t>P060282</t>
        </is>
      </c>
      <c r="E1464" s="256" t="inlineStr">
        <is>
          <t>Scrambler</t>
        </is>
      </c>
      <c r="F1464" s="256" t="inlineStr">
        <is>
          <t>06.06.2026</t>
        </is>
      </c>
      <c r="G1464" s="256" t="inlineStr">
        <is>
          <t>9.6</t>
        </is>
      </c>
      <c r="H1464" s="256" t="inlineStr">
        <is>
          <t>Pseudomonas aeruginosa</t>
        </is>
      </c>
      <c r="I1464" s="256" t="inlineStr">
        <is>
          <t>Ph. Eur. 2.6.13 cat. C</t>
        </is>
      </c>
      <c r="J1464" s="256" t="inlineStr">
        <is>
          <t>Absence | Отсуство / 1 g</t>
        </is>
      </c>
      <c r="K1464" s="260" t="inlineStr">
        <is>
          <t>upon request — not required for release</t>
        </is>
      </c>
      <c r="L1464" s="256" t="inlineStr">
        <is>
          <t>—</t>
        </is>
      </c>
      <c r="M1464" s="256" t="inlineStr">
        <is>
          <t>—</t>
        </is>
      </c>
      <c r="N1464" s="256" t="inlineStr">
        <is>
          <t>—</t>
        </is>
      </c>
      <c r="O1464" s="256" t="inlineStr">
        <is>
          <t>—</t>
        </is>
      </c>
      <c r="P1464" s="256" t="inlineStr">
        <is>
          <t>upon request — not required for release</t>
        </is>
      </c>
      <c r="Q1464" s="256" t="inlineStr"/>
      <c r="R1464" s="256" t="inlineStr"/>
    </row>
    <row r="1465">
      <c r="A1465" s="256" t="inlineStr">
        <is>
          <t>CoQ-PP_26-064</t>
        </is>
      </c>
      <c r="B1465" s="256" t="inlineStr">
        <is>
          <t>release</t>
        </is>
      </c>
      <c r="C1465" s="256" t="inlineStr">
        <is>
          <t>SCR112501</t>
        </is>
      </c>
      <c r="D1465" s="256" t="inlineStr">
        <is>
          <t>P060282</t>
        </is>
      </c>
      <c r="E1465" s="256" t="inlineStr">
        <is>
          <t>Scrambler</t>
        </is>
      </c>
      <c r="F1465" s="256" t="inlineStr">
        <is>
          <t>06.06.2026</t>
        </is>
      </c>
      <c r="G1465" s="256" t="inlineStr">
        <is>
          <t>9.7</t>
        </is>
      </c>
      <c r="H1465" s="256" t="inlineStr">
        <is>
          <t>Staphylococcus aureus</t>
        </is>
      </c>
      <c r="I1465" s="256" t="inlineStr">
        <is>
          <t>Ph. Eur. 2.6.13 cat. C</t>
        </is>
      </c>
      <c r="J1465" s="256" t="inlineStr">
        <is>
          <t>Absence | Отсуство / 1 g</t>
        </is>
      </c>
      <c r="K1465" s="260" t="inlineStr">
        <is>
          <t>upon request — not required for release</t>
        </is>
      </c>
      <c r="L1465" s="256" t="inlineStr">
        <is>
          <t>—</t>
        </is>
      </c>
      <c r="M1465" s="256" t="inlineStr">
        <is>
          <t>—</t>
        </is>
      </c>
      <c r="N1465" s="256" t="inlineStr">
        <is>
          <t>—</t>
        </is>
      </c>
      <c r="O1465" s="256" t="inlineStr">
        <is>
          <t>—</t>
        </is>
      </c>
      <c r="P1465" s="256" t="inlineStr">
        <is>
          <t>upon request — not required for release</t>
        </is>
      </c>
      <c r="Q1465" s="256" t="inlineStr"/>
      <c r="R1465" s="256" t="inlineStr"/>
    </row>
    <row r="1466">
      <c r="A1466" s="256" t="inlineStr">
        <is>
          <t>CoQ-PP_26-064</t>
        </is>
      </c>
      <c r="B1466" s="256" t="inlineStr">
        <is>
          <t>release</t>
        </is>
      </c>
      <c r="C1466" s="256" t="inlineStr">
        <is>
          <t>SCR112501</t>
        </is>
      </c>
      <c r="D1466" s="256" t="inlineStr">
        <is>
          <t>P060282</t>
        </is>
      </c>
      <c r="E1466" s="256" t="inlineStr">
        <is>
          <t>Scrambler</t>
        </is>
      </c>
      <c r="F1466" s="256" t="inlineStr">
        <is>
          <t>06.06.2026</t>
        </is>
      </c>
      <c r="G1466" s="256" t="inlineStr">
        <is>
          <t>10.1</t>
        </is>
      </c>
      <c r="H1466" s="256" t="inlineStr">
        <is>
          <t>Aflatoxin B₁</t>
        </is>
      </c>
      <c r="I1466" s="256" t="inlineStr">
        <is>
          <t>Ph. Eur. 2.8.18 (HPLC-FLD)</t>
        </is>
      </c>
      <c r="J1466" s="256" t="inlineStr">
        <is>
          <t>≤ 2 µg/kg</t>
        </is>
      </c>
      <c r="K1466" s="259" t="inlineStr">
        <is>
          <t>not tested</t>
        </is>
      </c>
      <c r="L1466" s="256" t="inlineStr">
        <is>
          <t>—</t>
        </is>
      </c>
      <c r="M1466" s="256" t="inlineStr">
        <is>
          <t>—</t>
        </is>
      </c>
      <c r="N1466" s="256" t="inlineStr">
        <is>
          <t>—</t>
        </is>
      </c>
      <c r="O1466" s="256" t="inlineStr">
        <is>
          <t>—</t>
        </is>
      </c>
      <c r="P1466" s="256" t="inlineStr">
        <is>
          <t>not tested — no certificate covers it</t>
        </is>
      </c>
      <c r="Q1466" s="256" t="inlineStr"/>
      <c r="R1466" s="256" t="inlineStr">
        <is>
          <t>ND (220-26-М/26)</t>
        </is>
      </c>
    </row>
    <row r="1467">
      <c r="A1467" s="256" t="inlineStr">
        <is>
          <t>CoQ-PP_26-064</t>
        </is>
      </c>
      <c r="B1467" s="256" t="inlineStr">
        <is>
          <t>release</t>
        </is>
      </c>
      <c r="C1467" s="256" t="inlineStr">
        <is>
          <t>SCR112501</t>
        </is>
      </c>
      <c r="D1467" s="256" t="inlineStr">
        <is>
          <t>P060282</t>
        </is>
      </c>
      <c r="E1467" s="256" t="inlineStr">
        <is>
          <t>Scrambler</t>
        </is>
      </c>
      <c r="F1467" s="256" t="inlineStr">
        <is>
          <t>06.06.2026</t>
        </is>
      </c>
      <c r="G1467" s="256" t="inlineStr">
        <is>
          <t>10.2</t>
        </is>
      </c>
      <c r="H1467" s="256" t="inlineStr">
        <is>
          <t>Aflatoxins ∑</t>
        </is>
      </c>
      <c r="I1467" s="256" t="inlineStr">
        <is>
          <t>Ph. Eur. 2.8.18 (HPLC-FLD)</t>
        </is>
      </c>
      <c r="J1467" s="256" t="inlineStr">
        <is>
          <t>≤ 4 µg/kg</t>
        </is>
      </c>
      <c r="K1467" s="256" t="inlineStr">
        <is>
          <t>&lt; 2</t>
        </is>
      </c>
      <c r="L1467" s="256" t="inlineStr">
        <is>
          <t>2360/2026</t>
        </is>
      </c>
      <c r="M1467" s="256" t="inlineStr">
        <is>
          <t>29.04.2026</t>
        </is>
      </c>
      <c r="N1467" s="256" t="inlineStr">
        <is>
          <t>IPH — Institute of Public Health</t>
        </is>
      </c>
      <c r="O1467" s="256" t="inlineStr">
        <is>
          <t>21.04.2026</t>
        </is>
      </c>
      <c r="P1467" s="256" t="inlineStr">
        <is>
          <t>covered</t>
        </is>
      </c>
      <c r="Q1467" s="256" t="inlineStr"/>
      <c r="R1467" s="256" t="inlineStr">
        <is>
          <t>ND (220-26-М/26)</t>
        </is>
      </c>
    </row>
    <row r="1468">
      <c r="A1468" s="256" t="inlineStr">
        <is>
          <t>CoQ-PP_26-064</t>
        </is>
      </c>
      <c r="B1468" s="256" t="inlineStr">
        <is>
          <t>release</t>
        </is>
      </c>
      <c r="C1468" s="256" t="inlineStr">
        <is>
          <t>SCR112501</t>
        </is>
      </c>
      <c r="D1468" s="256" t="inlineStr">
        <is>
          <t>P060282</t>
        </is>
      </c>
      <c r="E1468" s="256" t="inlineStr">
        <is>
          <t>Scrambler</t>
        </is>
      </c>
      <c r="F1468" s="256" t="inlineStr">
        <is>
          <t>06.06.2026</t>
        </is>
      </c>
      <c r="G1468" s="256" t="inlineStr">
        <is>
          <t>10.3</t>
        </is>
      </c>
      <c r="H1468" s="256" t="inlineStr">
        <is>
          <t>Ochratoxin A</t>
        </is>
      </c>
      <c r="I1468" s="256" t="inlineStr">
        <is>
          <t>Ph. Eur. 2.8.22 (HPLC-FLD)</t>
        </is>
      </c>
      <c r="J1468" s="256" t="inlineStr">
        <is>
          <t>≤ 20 µg/kg</t>
        </is>
      </c>
      <c r="K1468" s="259" t="inlineStr">
        <is>
          <t>not tested</t>
        </is>
      </c>
      <c r="L1468" s="256" t="inlineStr">
        <is>
          <t>—</t>
        </is>
      </c>
      <c r="M1468" s="256" t="inlineStr">
        <is>
          <t>—</t>
        </is>
      </c>
      <c r="N1468" s="256" t="inlineStr">
        <is>
          <t>—</t>
        </is>
      </c>
      <c r="O1468" s="256" t="inlineStr">
        <is>
          <t>—</t>
        </is>
      </c>
      <c r="P1468" s="256" t="inlineStr">
        <is>
          <t>not tested — no certificate covers it</t>
        </is>
      </c>
      <c r="Q1468" s="256" t="inlineStr"/>
      <c r="R1468" s="256" t="inlineStr">
        <is>
          <t>ND (220-26-М/26)</t>
        </is>
      </c>
    </row>
    <row r="1469">
      <c r="A1469" s="256" t="inlineStr">
        <is>
          <t>CoQ-PP_26-064</t>
        </is>
      </c>
      <c r="B1469" s="256" t="inlineStr">
        <is>
          <t>release</t>
        </is>
      </c>
      <c r="C1469" s="256" t="inlineStr">
        <is>
          <t>SCR112501</t>
        </is>
      </c>
      <c r="D1469" s="256" t="inlineStr">
        <is>
          <t>P060282</t>
        </is>
      </c>
      <c r="E1469" s="256" t="inlineStr">
        <is>
          <t>Scrambler</t>
        </is>
      </c>
      <c r="F1469" s="256" t="inlineStr">
        <is>
          <t>06.06.2026</t>
        </is>
      </c>
      <c r="G1469" s="256" t="inlineStr">
        <is>
          <t>11.1</t>
        </is>
      </c>
      <c r="H1469" s="256" t="inlineStr">
        <is>
          <t>Lead (Pb)</t>
        </is>
      </c>
      <c r="I1469" s="256" t="inlineStr">
        <is>
          <t>Ph. Eur. 2.4.27 (ICP-MS)</t>
        </is>
      </c>
      <c r="J1469" s="256" t="inlineStr">
        <is>
          <t>≤ 0.5 mg/kg</t>
        </is>
      </c>
      <c r="K1469" s="256" t="inlineStr">
        <is>
          <t>0.0299</t>
        </is>
      </c>
      <c r="L1469" s="256" t="inlineStr">
        <is>
          <t>2360/2026</t>
        </is>
      </c>
      <c r="M1469" s="256" t="inlineStr">
        <is>
          <t>29.04.2026</t>
        </is>
      </c>
      <c r="N1469" s="256" t="inlineStr">
        <is>
          <t>IPH — Institute of Public Health</t>
        </is>
      </c>
      <c r="O1469" s="256" t="inlineStr">
        <is>
          <t>21.04.2026</t>
        </is>
      </c>
      <c r="P1469" s="256" t="inlineStr">
        <is>
          <t>covered</t>
        </is>
      </c>
      <c r="Q1469" s="256" t="inlineStr"/>
      <c r="R1469" s="256" t="inlineStr"/>
    </row>
    <row r="1470">
      <c r="A1470" s="256" t="inlineStr">
        <is>
          <t>CoQ-PP_26-064</t>
        </is>
      </c>
      <c r="B1470" s="256" t="inlineStr">
        <is>
          <t>release</t>
        </is>
      </c>
      <c r="C1470" s="256" t="inlineStr">
        <is>
          <t>SCR112501</t>
        </is>
      </c>
      <c r="D1470" s="256" t="inlineStr">
        <is>
          <t>P060282</t>
        </is>
      </c>
      <c r="E1470" s="256" t="inlineStr">
        <is>
          <t>Scrambler</t>
        </is>
      </c>
      <c r="F1470" s="256" t="inlineStr">
        <is>
          <t>06.06.2026</t>
        </is>
      </c>
      <c r="G1470" s="256" t="inlineStr">
        <is>
          <t>11.2</t>
        </is>
      </c>
      <c r="H1470" s="256" t="inlineStr">
        <is>
          <t>Cadmium (Cd)</t>
        </is>
      </c>
      <c r="I1470" s="256" t="inlineStr">
        <is>
          <t>Ph. Eur. 2.4.27 (ICP-MS)</t>
        </is>
      </c>
      <c r="J1470" s="256" t="inlineStr">
        <is>
          <t>≤ 0.3 mg/kg</t>
        </is>
      </c>
      <c r="K1470" s="256" t="inlineStr">
        <is>
          <t>0.0136</t>
        </is>
      </c>
      <c r="L1470" s="256" t="inlineStr">
        <is>
          <t>2360/2026</t>
        </is>
      </c>
      <c r="M1470" s="256" t="inlineStr">
        <is>
          <t>29.04.2026</t>
        </is>
      </c>
      <c r="N1470" s="256" t="inlineStr">
        <is>
          <t>IPH — Institute of Public Health</t>
        </is>
      </c>
      <c r="O1470" s="256" t="inlineStr">
        <is>
          <t>21.04.2026</t>
        </is>
      </c>
      <c r="P1470" s="256" t="inlineStr">
        <is>
          <t>covered</t>
        </is>
      </c>
      <c r="Q1470" s="256" t="inlineStr"/>
      <c r="R1470" s="256" t="inlineStr"/>
    </row>
    <row r="1471">
      <c r="A1471" s="256" t="inlineStr">
        <is>
          <t>CoQ-PP_26-064</t>
        </is>
      </c>
      <c r="B1471" s="256" t="inlineStr">
        <is>
          <t>release</t>
        </is>
      </c>
      <c r="C1471" s="256" t="inlineStr">
        <is>
          <t>SCR112501</t>
        </is>
      </c>
      <c r="D1471" s="256" t="inlineStr">
        <is>
          <t>P060282</t>
        </is>
      </c>
      <c r="E1471" s="256" t="inlineStr">
        <is>
          <t>Scrambler</t>
        </is>
      </c>
      <c r="F1471" s="256" t="inlineStr">
        <is>
          <t>06.06.2026</t>
        </is>
      </c>
      <c r="G1471" s="256" t="inlineStr">
        <is>
          <t>11.3</t>
        </is>
      </c>
      <c r="H1471" s="256" t="inlineStr">
        <is>
          <t>Arsenic (As)</t>
        </is>
      </c>
      <c r="I1471" s="256" t="inlineStr">
        <is>
          <t>Ph. Eur. 2.4.27 (ICP-MS)</t>
        </is>
      </c>
      <c r="J1471" s="256" t="inlineStr">
        <is>
          <t>≤ 0.2 mg/kg</t>
        </is>
      </c>
      <c r="K1471" s="256" t="inlineStr">
        <is>
          <t>0.0154</t>
        </is>
      </c>
      <c r="L1471" s="256" t="inlineStr">
        <is>
          <t>2360/2026</t>
        </is>
      </c>
      <c r="M1471" s="256" t="inlineStr">
        <is>
          <t>29.04.2026</t>
        </is>
      </c>
      <c r="N1471" s="256" t="inlineStr">
        <is>
          <t>IPH — Institute of Public Health</t>
        </is>
      </c>
      <c r="O1471" s="256" t="inlineStr">
        <is>
          <t>21.04.2026</t>
        </is>
      </c>
      <c r="P1471" s="256" t="inlineStr">
        <is>
          <t>covered</t>
        </is>
      </c>
      <c r="Q1471" s="256" t="inlineStr"/>
      <c r="R1471" s="256" t="inlineStr"/>
    </row>
    <row r="1472">
      <c r="A1472" s="256" t="inlineStr">
        <is>
          <t>CoQ-PP_26-064</t>
        </is>
      </c>
      <c r="B1472" s="256" t="inlineStr">
        <is>
          <t>release</t>
        </is>
      </c>
      <c r="C1472" s="256" t="inlineStr">
        <is>
          <t>SCR112501</t>
        </is>
      </c>
      <c r="D1472" s="256" t="inlineStr">
        <is>
          <t>P060282</t>
        </is>
      </c>
      <c r="E1472" s="256" t="inlineStr">
        <is>
          <t>Scrambler</t>
        </is>
      </c>
      <c r="F1472" s="256" t="inlineStr">
        <is>
          <t>06.06.2026</t>
        </is>
      </c>
      <c r="G1472" s="256" t="inlineStr">
        <is>
          <t>11.4</t>
        </is>
      </c>
      <c r="H1472" s="256" t="inlineStr">
        <is>
          <t>Mercury (Hg)</t>
        </is>
      </c>
      <c r="I1472" s="256" t="inlineStr">
        <is>
          <t>Ph. Eur. 2.4.27 (ICP-MS)</t>
        </is>
      </c>
      <c r="J1472" s="256" t="inlineStr">
        <is>
          <t>≤ 0.1 mg/kg</t>
        </is>
      </c>
      <c r="K1472" s="256" t="inlineStr">
        <is>
          <t>0.017</t>
        </is>
      </c>
      <c r="L1472" s="256" t="inlineStr">
        <is>
          <t>2360/2026</t>
        </is>
      </c>
      <c r="M1472" s="256" t="inlineStr">
        <is>
          <t>29.04.2026</t>
        </is>
      </c>
      <c r="N1472" s="256" t="inlineStr">
        <is>
          <t>IPH — Institute of Public Health</t>
        </is>
      </c>
      <c r="O1472" s="256" t="inlineStr">
        <is>
          <t>21.04.2026</t>
        </is>
      </c>
      <c r="P1472" s="256" t="inlineStr">
        <is>
          <t>covered</t>
        </is>
      </c>
      <c r="Q1472" s="256" t="inlineStr"/>
      <c r="R1472" s="256" t="inlineStr"/>
    </row>
    <row r="1473">
      <c r="A1473" s="256" t="inlineStr">
        <is>
          <t>CoQ-PP_26-064</t>
        </is>
      </c>
      <c r="B1473" s="256" t="inlineStr">
        <is>
          <t>release</t>
        </is>
      </c>
      <c r="C1473" s="256" t="inlineStr">
        <is>
          <t>SCR112501</t>
        </is>
      </c>
      <c r="D1473" s="256" t="inlineStr">
        <is>
          <t>P060282</t>
        </is>
      </c>
      <c r="E1473" s="256" t="inlineStr">
        <is>
          <t>Scrambler</t>
        </is>
      </c>
      <c r="F1473" s="256" t="inlineStr">
        <is>
          <t>06.06.2026</t>
        </is>
      </c>
      <c r="G1473" s="256" t="inlineStr">
        <is>
          <t>12</t>
        </is>
      </c>
      <c r="H1473" s="256" t="inlineStr">
        <is>
          <t>Pesticide Residues</t>
        </is>
      </c>
      <c r="I1473" s="256" t="inlineStr">
        <is>
          <t>Ph. Eur. 2.8.13 (LC-MS/MS) · CUMCS Equivalency</t>
        </is>
      </c>
      <c r="J1473" s="256" t="inlineStr">
        <is>
          <t>≤ LOQ as per Ph. Eur. 2.8.13 · ≤ LOQ as per CUMCS Equivalency</t>
        </is>
      </c>
      <c r="K1473" s="256" t="inlineStr">
        <is>
          <t>ND</t>
        </is>
      </c>
      <c r="L1473" s="256" t="inlineStr">
        <is>
          <t>2360/2026</t>
        </is>
      </c>
      <c r="M1473" s="256" t="inlineStr">
        <is>
          <t>29.04.2026</t>
        </is>
      </c>
      <c r="N1473" s="256" t="inlineStr">
        <is>
          <t>IPH — Institute of Public Health</t>
        </is>
      </c>
      <c r="O1473" s="256" t="inlineStr">
        <is>
          <t>21.04.2026</t>
        </is>
      </c>
      <c r="P1473" s="256" t="inlineStr">
        <is>
          <t>covered</t>
        </is>
      </c>
      <c r="Q1473" s="256" t="inlineStr"/>
      <c r="R1473" s="256" t="inlineStr"/>
    </row>
    <row r="1474">
      <c r="A1474" s="256" t="inlineStr">
        <is>
          <t>CoQ-PP_26-065</t>
        </is>
      </c>
      <c r="B1474" s="256" t="inlineStr">
        <is>
          <t>release</t>
        </is>
      </c>
      <c r="C1474" s="256" t="inlineStr">
        <is>
          <t>FB112501</t>
        </is>
      </c>
      <c r="D1474" s="256" t="inlineStr">
        <is>
          <t>— no P lot assigned —</t>
        </is>
      </c>
      <c r="E1474" s="256" t="inlineStr">
        <is>
          <t>Fat Bastard</t>
        </is>
      </c>
      <c r="F1474" s="256" t="inlineStr">
        <is>
          <t>06.06.2026</t>
        </is>
      </c>
      <c r="G1474" s="256" t="inlineStr">
        <is>
          <t>1</t>
        </is>
      </c>
      <c r="H1474" s="256" t="inlineStr">
        <is>
          <t>Identification A, Appearance · Macroscopic</t>
        </is>
      </c>
      <c r="I1474" s="256" t="inlineStr">
        <is>
          <t>Ph. Eur. mon. 3028</t>
        </is>
      </c>
      <c r="J1474" s="256" t="inlineStr">
        <is>
          <t>Conforms to the monograph for Cannabis flos (07/2024:3028) in Ph. Eur. 11.0 | Согласно монографија за Cannabis flos (07/2024:3028) во Ph. Eur. 11.0</t>
        </is>
      </c>
      <c r="K1474" s="256" t="inlineStr">
        <is>
          <t>Conforms | Одговара</t>
        </is>
      </c>
      <c r="L1474" s="256" t="inlineStr">
        <is>
          <t>iCoA-PP_26-075</t>
        </is>
      </c>
      <c r="M1474" s="256" t="inlineStr">
        <is>
          <t>03.06.2026</t>
        </is>
      </c>
      <c r="N1474" s="256" t="inlineStr">
        <is>
          <t>Purely Plant GmbH (in-house)</t>
        </is>
      </c>
      <c r="O1474" s="256" t="inlineStr">
        <is>
          <t>—</t>
        </is>
      </c>
      <c r="P1474" s="256" t="inlineStr">
        <is>
          <t>to be performed — see route</t>
        </is>
      </c>
      <c r="Q1474" s="256" t="inlineStr">
        <is>
          <t>Purely Plant laboratory — iCoA covering Ident A + B</t>
        </is>
      </c>
      <c r="R1474" s="256" t="inlineStr"/>
    </row>
    <row r="1475">
      <c r="A1475" s="256" t="inlineStr">
        <is>
          <t>CoQ-PP_26-065</t>
        </is>
      </c>
      <c r="B1475" s="256" t="inlineStr">
        <is>
          <t>release</t>
        </is>
      </c>
      <c r="C1475" s="256" t="inlineStr">
        <is>
          <t>FB112501</t>
        </is>
      </c>
      <c r="D1475" s="256" t="inlineStr">
        <is>
          <t>— no P lot assigned —</t>
        </is>
      </c>
      <c r="E1475" s="256" t="inlineStr">
        <is>
          <t>Fat Bastard</t>
        </is>
      </c>
      <c r="F1475" s="256" t="inlineStr">
        <is>
          <t>06.06.2026</t>
        </is>
      </c>
      <c r="G1475" s="256" t="inlineStr">
        <is>
          <t>2</t>
        </is>
      </c>
      <c r="H1475" s="256" t="inlineStr">
        <is>
          <t>Identification B · Microscopic</t>
        </is>
      </c>
      <c r="I1475" s="256" t="inlineStr">
        <is>
          <t>Ph. Eur. 2.8.23 (microscopy)</t>
        </is>
      </c>
      <c r="J1475" s="256" t="inlineStr">
        <is>
          <t>Conforms to the monograph for Cannabis flos (07/2024:3028) in Ph. Eur. 11.0 | Согласно монографија за Cannabis flos (07/2024:3028) во Ph. Eur. 11.0</t>
        </is>
      </c>
      <c r="K1475" s="256" t="inlineStr">
        <is>
          <t>Conforms | Одговара</t>
        </is>
      </c>
      <c r="L1475" s="256" t="inlineStr">
        <is>
          <t>iCoA-PP_26-075</t>
        </is>
      </c>
      <c r="M1475" s="256" t="inlineStr">
        <is>
          <t>03.06.2026</t>
        </is>
      </c>
      <c r="N1475" s="256" t="inlineStr">
        <is>
          <t>Purely Plant GmbH (in-house)</t>
        </is>
      </c>
      <c r="O1475" s="256" t="inlineStr">
        <is>
          <t>—</t>
        </is>
      </c>
      <c r="P1475" s="256" t="inlineStr">
        <is>
          <t>to be performed — see route</t>
        </is>
      </c>
      <c r="Q1475" s="256" t="inlineStr">
        <is>
          <t>Purely Plant laboratory — iCoA covering Ident A + B</t>
        </is>
      </c>
      <c r="R1475" s="256" t="inlineStr"/>
    </row>
    <row r="1476">
      <c r="A1476" s="256" t="inlineStr">
        <is>
          <t>CoQ-PP_26-065</t>
        </is>
      </c>
      <c r="B1476" s="256" t="inlineStr">
        <is>
          <t>release</t>
        </is>
      </c>
      <c r="C1476" s="256" t="inlineStr">
        <is>
          <t>FB112501</t>
        </is>
      </c>
      <c r="D1476" s="256" t="inlineStr">
        <is>
          <t>— no P lot assigned —</t>
        </is>
      </c>
      <c r="E1476" s="256" t="inlineStr">
        <is>
          <t>Fat Bastard</t>
        </is>
      </c>
      <c r="F1476" s="256" t="inlineStr">
        <is>
          <t>06.06.2026</t>
        </is>
      </c>
      <c r="G1476" s="256" t="inlineStr">
        <is>
          <t>3</t>
        </is>
      </c>
      <c r="H1476" s="256" t="inlineStr">
        <is>
          <t>Identification C · HPLC/HPTLC</t>
        </is>
      </c>
      <c r="I1476" s="256" t="inlineStr">
        <is>
          <t>HPLC — DAB 2018 monograph Cannabis flos, 2.2.29 (CNP, before its Ph. Eur. 3028 accreditation)</t>
        </is>
      </c>
      <c r="J1476" s="256" t="inlineStr">
        <is>
          <t>Conforms to the monograph for Cannabis flos (07/2024:3028) in Ph. Eur. 11.0 | Согласно монографија за Cannabis flos (07/2024:3028) во Ph. Eur. 11.0</t>
        </is>
      </c>
      <c r="K1476" s="256" t="inlineStr">
        <is>
          <t>Conforms | Одговара</t>
        </is>
      </c>
      <c r="L1476" s="256" t="inlineStr">
        <is>
          <t>ППК26066</t>
        </is>
      </c>
      <c r="M1476" s="256" t="inlineStr">
        <is>
          <t>11.05.2026</t>
        </is>
      </c>
      <c r="N1476" s="256" t="inlineStr">
        <is>
          <t>UKIM Faculty of Pharmacy — Center for Natural Products</t>
        </is>
      </c>
      <c r="O1476" s="256" t="inlineStr">
        <is>
          <t>21.04.2026</t>
        </is>
      </c>
      <c r="P1476" s="256" t="inlineStr">
        <is>
          <t>covered</t>
        </is>
      </c>
      <c r="Q1476" s="256" t="inlineStr"/>
      <c r="R1476" s="256" t="inlineStr"/>
    </row>
    <row r="1477">
      <c r="A1477" s="256" t="inlineStr">
        <is>
          <t>CoQ-PP_26-065</t>
        </is>
      </c>
      <c r="B1477" s="256" t="inlineStr">
        <is>
          <t>release</t>
        </is>
      </c>
      <c r="C1477" s="256" t="inlineStr">
        <is>
          <t>FB112501</t>
        </is>
      </c>
      <c r="D1477" s="256" t="inlineStr">
        <is>
          <t>— no P lot assigned —</t>
        </is>
      </c>
      <c r="E1477" s="256" t="inlineStr">
        <is>
          <t>Fat Bastard</t>
        </is>
      </c>
      <c r="F1477" s="256" t="inlineStr">
        <is>
          <t>06.06.2026</t>
        </is>
      </c>
      <c r="G1477" s="256" t="inlineStr">
        <is>
          <t>4</t>
        </is>
      </c>
      <c r="H1477" s="256" t="inlineStr">
        <is>
          <t>Assay — Total Δ⁹-THC</t>
        </is>
      </c>
      <c r="I1477" s="256" t="inlineStr">
        <is>
          <t>HPLC — DAB 2018 monograph Cannabis flos, 2.2.29 (CNP, before its Ph. Eur. 3028 accreditation)</t>
        </is>
      </c>
      <c r="J1477" s="256" t="inlineStr">
        <is>
          <t>16.20 – 19.79 %  (grade II, nominal 18.00 ± 1.80)</t>
        </is>
      </c>
      <c r="K1477" s="256" t="inlineStr">
        <is>
          <t>16.69</t>
        </is>
      </c>
      <c r="L1477" s="256" t="inlineStr">
        <is>
          <t>ППК26066</t>
        </is>
      </c>
      <c r="M1477" s="256" t="inlineStr">
        <is>
          <t>11.05.2026</t>
        </is>
      </c>
      <c r="N1477" s="256" t="inlineStr">
        <is>
          <t>UKIM Faculty of Pharmacy — Center for Natural Products</t>
        </is>
      </c>
      <c r="O1477" s="256" t="inlineStr">
        <is>
          <t>21.04.2026</t>
        </is>
      </c>
      <c r="P1477" s="256" t="inlineStr">
        <is>
          <t>covered</t>
        </is>
      </c>
      <c r="Q1477" s="256" t="inlineStr"/>
      <c r="R1477" s="256" t="inlineStr">
        <is>
          <t>18.75 (227-22-К/26)</t>
        </is>
      </c>
    </row>
    <row r="1478">
      <c r="A1478" s="256" t="inlineStr">
        <is>
          <t>CoQ-PP_26-065</t>
        </is>
      </c>
      <c r="B1478" s="256" t="inlineStr">
        <is>
          <t>release</t>
        </is>
      </c>
      <c r="C1478" s="256" t="inlineStr">
        <is>
          <t>FB112501</t>
        </is>
      </c>
      <c r="D1478" s="256" t="inlineStr">
        <is>
          <t>— no P lot assigned —</t>
        </is>
      </c>
      <c r="E1478" s="256" t="inlineStr">
        <is>
          <t>Fat Bastard</t>
        </is>
      </c>
      <c r="F1478" s="256" t="inlineStr">
        <is>
          <t>06.06.2026</t>
        </is>
      </c>
      <c r="G1478" s="256" t="inlineStr">
        <is>
          <t>5</t>
        </is>
      </c>
      <c r="H1478" s="256" t="inlineStr">
        <is>
          <t>Assay — Total CBD</t>
        </is>
      </c>
      <c r="I1478" s="256" t="inlineStr">
        <is>
          <t>HPLC — DAB 2018 monograph Cannabis flos, 2.2.29 · CBD + CBDA x 0.877 (CNP, before its Ph. Eur. 3028 accreditation)</t>
        </is>
      </c>
      <c r="J1478" s="256" t="inlineStr">
        <is>
          <t>≤ 1.0%, w/w</t>
        </is>
      </c>
      <c r="K1478" s="256" t="inlineStr">
        <is>
          <t>0.05</t>
        </is>
      </c>
      <c r="L1478" s="256" t="inlineStr">
        <is>
          <t>ППК26066</t>
        </is>
      </c>
      <c r="M1478" s="256" t="inlineStr">
        <is>
          <t>11.05.2026</t>
        </is>
      </c>
      <c r="N1478" s="256" t="inlineStr">
        <is>
          <t>UKIM Faculty of Pharmacy — Center for Natural Products</t>
        </is>
      </c>
      <c r="O1478" s="256" t="inlineStr">
        <is>
          <t>21.04.2026</t>
        </is>
      </c>
      <c r="P1478" s="256" t="inlineStr">
        <is>
          <t>covered</t>
        </is>
      </c>
      <c r="Q1478" s="256" t="inlineStr"/>
      <c r="R1478" s="256" t="inlineStr">
        <is>
          <t>&lt;LOQ (227-22-К/26)</t>
        </is>
      </c>
    </row>
    <row r="1479">
      <c r="A1479" s="256" t="inlineStr">
        <is>
          <t>CoQ-PP_26-065</t>
        </is>
      </c>
      <c r="B1479" s="256" t="inlineStr">
        <is>
          <t>release</t>
        </is>
      </c>
      <c r="C1479" s="256" t="inlineStr">
        <is>
          <t>FB112501</t>
        </is>
      </c>
      <c r="D1479" s="256" t="inlineStr">
        <is>
          <t>— no P lot assigned —</t>
        </is>
      </c>
      <c r="E1479" s="256" t="inlineStr">
        <is>
          <t>Fat Bastard</t>
        </is>
      </c>
      <c r="F1479" s="256" t="inlineStr">
        <is>
          <t>06.06.2026</t>
        </is>
      </c>
      <c r="G1479" s="256" t="inlineStr">
        <is>
          <t>6</t>
        </is>
      </c>
      <c r="H1479" s="256" t="inlineStr">
        <is>
          <t>Total CBN</t>
        </is>
      </c>
      <c r="I1479" s="256" t="inlineStr">
        <is>
          <t>Ph. Eur. 2.2.29 (HPLC) · CBN + CBNA x 0.876</t>
        </is>
      </c>
      <c r="J1479" s="256" t="inlineStr">
        <is>
          <t>≤ 1.0%, w/w</t>
        </is>
      </c>
      <c r="K1479" s="259" t="inlineStr">
        <is>
          <t>not tested</t>
        </is>
      </c>
      <c r="L1479" s="256" t="inlineStr">
        <is>
          <t>—</t>
        </is>
      </c>
      <c r="M1479" s="256" t="inlineStr">
        <is>
          <t>—</t>
        </is>
      </c>
      <c r="N1479" s="256" t="inlineStr">
        <is>
          <t>—</t>
        </is>
      </c>
      <c r="O1479" s="256" t="inlineStr">
        <is>
          <t>—</t>
        </is>
      </c>
      <c r="P1479" s="256" t="inlineStr">
        <is>
          <t>not tested — no certificate covers it</t>
        </is>
      </c>
      <c r="Q1479" s="256" t="inlineStr"/>
      <c r="R1479" s="256" t="inlineStr">
        <is>
          <t>&lt;LOQ (227-22-К/26)</t>
        </is>
      </c>
    </row>
    <row r="1480">
      <c r="A1480" s="256" t="inlineStr">
        <is>
          <t>CoQ-PP_26-065</t>
        </is>
      </c>
      <c r="B1480" s="256" t="inlineStr">
        <is>
          <t>release</t>
        </is>
      </c>
      <c r="C1480" s="256" t="inlineStr">
        <is>
          <t>FB112501</t>
        </is>
      </c>
      <c r="D1480" s="256" t="inlineStr">
        <is>
          <t>— no P lot assigned —</t>
        </is>
      </c>
      <c r="E1480" s="256" t="inlineStr">
        <is>
          <t>Fat Bastard</t>
        </is>
      </c>
      <c r="F1480" s="256" t="inlineStr">
        <is>
          <t>06.06.2026</t>
        </is>
      </c>
      <c r="G1480" s="256" t="inlineStr">
        <is>
          <t>7</t>
        </is>
      </c>
      <c r="H1480" s="256" t="inlineStr">
        <is>
          <t>Foreign Matter</t>
        </is>
      </c>
      <c r="I1480" s="256" t="inlineStr">
        <is>
          <t>Ph. Eur. 2.8.2 · In-house · интерна</t>
        </is>
      </c>
      <c r="J1480" s="256" t="inlineStr">
        <is>
          <t>≤ 2.0% / 25–50 g · &lt; 1 cm leaves | листови, no seeds | без семки</t>
        </is>
      </c>
      <c r="K1480" s="256" t="inlineStr">
        <is>
          <t>Conforms | Одговара</t>
        </is>
      </c>
      <c r="L1480" s="256" t="inlineStr">
        <is>
          <t>iCoA-PP_26-075</t>
        </is>
      </c>
      <c r="M1480" s="256" t="inlineStr">
        <is>
          <t>03.06.2026</t>
        </is>
      </c>
      <c r="N1480" s="256" t="inlineStr">
        <is>
          <t>Purely Plant GmbH (in-house)</t>
        </is>
      </c>
      <c r="O1480" s="256" t="inlineStr">
        <is>
          <t>—</t>
        </is>
      </c>
      <c r="P1480" s="256" t="inlineStr">
        <is>
          <t>to be performed — see route</t>
        </is>
      </c>
      <c r="Q1480" s="256" t="inlineStr">
        <is>
          <t>Purely Plant laboratory — iCoA covering Foreign matter</t>
        </is>
      </c>
      <c r="R1480" s="256" t="inlineStr"/>
    </row>
    <row r="1481">
      <c r="A1481" s="256" t="inlineStr">
        <is>
          <t>CoQ-PP_26-065</t>
        </is>
      </c>
      <c r="B1481" s="256" t="inlineStr">
        <is>
          <t>release</t>
        </is>
      </c>
      <c r="C1481" s="256" t="inlineStr">
        <is>
          <t>FB112501</t>
        </is>
      </c>
      <c r="D1481" s="256" t="inlineStr">
        <is>
          <t>— no P lot assigned —</t>
        </is>
      </c>
      <c r="E1481" s="256" t="inlineStr">
        <is>
          <t>Fat Bastard</t>
        </is>
      </c>
      <c r="F1481" s="256" t="inlineStr">
        <is>
          <t>06.06.2026</t>
        </is>
      </c>
      <c r="G1481" s="256" t="inlineStr">
        <is>
          <t>8</t>
        </is>
      </c>
      <c r="H1481" s="256" t="inlineStr">
        <is>
          <t>Loss on Drying</t>
        </is>
      </c>
      <c r="I1481" s="256" t="inlineStr">
        <is>
          <t>DAB 2018 monograph Cannabis flos, 2.2.32 — loss on drying (CNP, before its Ph. Eur. 3028 accreditation)</t>
        </is>
      </c>
      <c r="J1481" s="256" t="inlineStr">
        <is>
          <t>≤ 12.0%</t>
        </is>
      </c>
      <c r="K1481" s="256" t="inlineStr">
        <is>
          <t>6.09</t>
        </is>
      </c>
      <c r="L1481" s="256" t="inlineStr">
        <is>
          <t>ППК26066</t>
        </is>
      </c>
      <c r="M1481" s="256" t="inlineStr">
        <is>
          <t>11.05.2026</t>
        </is>
      </c>
      <c r="N1481" s="256" t="inlineStr">
        <is>
          <t>UKIM Faculty of Pharmacy — Center for Natural Products</t>
        </is>
      </c>
      <c r="O1481" s="256" t="inlineStr">
        <is>
          <t>21.04.2026</t>
        </is>
      </c>
      <c r="P1481" s="256" t="inlineStr">
        <is>
          <t>covered</t>
        </is>
      </c>
      <c r="Q1481" s="256" t="inlineStr"/>
      <c r="R1481" s="256" t="inlineStr"/>
    </row>
    <row r="1482">
      <c r="A1482" s="256" t="inlineStr">
        <is>
          <t>CoQ-PP_26-065</t>
        </is>
      </c>
      <c r="B1482" s="256" t="inlineStr">
        <is>
          <t>release</t>
        </is>
      </c>
      <c r="C1482" s="256" t="inlineStr">
        <is>
          <t>FB112501</t>
        </is>
      </c>
      <c r="D1482" s="256" t="inlineStr">
        <is>
          <t>— no P lot assigned —</t>
        </is>
      </c>
      <c r="E1482" s="256" t="inlineStr">
        <is>
          <t>Fat Bastard</t>
        </is>
      </c>
      <c r="F1482" s="256" t="inlineStr">
        <is>
          <t>06.06.2026</t>
        </is>
      </c>
      <c r="G1482" s="256" t="inlineStr">
        <is>
          <t>9.1</t>
        </is>
      </c>
      <c r="H1482" s="256" t="inlineStr">
        <is>
          <t>TAMC</t>
        </is>
      </c>
      <c r="I1482" s="256" t="inlineStr">
        <is>
          <t>Ph. Eur. 2.6.12 cat. C</t>
        </is>
      </c>
      <c r="J1482" s="256" t="inlineStr">
        <is>
          <t>≤ 10⁵ CFU/g</t>
        </is>
      </c>
      <c r="K1482" s="256" t="inlineStr">
        <is>
          <t>3,9 × 10³</t>
        </is>
      </c>
      <c r="L1482" s="256" t="inlineStr">
        <is>
          <t>312/0556/26</t>
        </is>
      </c>
      <c r="M1482" s="256" t="inlineStr">
        <is>
          <t>28.04.2026</t>
        </is>
      </c>
      <c r="N1482" s="256" t="inlineStr">
        <is>
          <t>IPH — Institute of Public Health</t>
        </is>
      </c>
      <c r="O1482" s="256" t="inlineStr">
        <is>
          <t>22.04.2026</t>
        </is>
      </c>
      <c r="P1482" s="256" t="inlineStr">
        <is>
          <t>covered</t>
        </is>
      </c>
      <c r="Q1482" s="256" t="inlineStr"/>
      <c r="R1482" s="256" t="inlineStr"/>
    </row>
    <row r="1483">
      <c r="A1483" s="256" t="inlineStr">
        <is>
          <t>CoQ-PP_26-065</t>
        </is>
      </c>
      <c r="B1483" s="256" t="inlineStr">
        <is>
          <t>release</t>
        </is>
      </c>
      <c r="C1483" s="256" t="inlineStr">
        <is>
          <t>FB112501</t>
        </is>
      </c>
      <c r="D1483" s="256" t="inlineStr">
        <is>
          <t>— no P lot assigned —</t>
        </is>
      </c>
      <c r="E1483" s="256" t="inlineStr">
        <is>
          <t>Fat Bastard</t>
        </is>
      </c>
      <c r="F1483" s="256" t="inlineStr">
        <is>
          <t>06.06.2026</t>
        </is>
      </c>
      <c r="G1483" s="256" t="inlineStr">
        <is>
          <t>9.2</t>
        </is>
      </c>
      <c r="H1483" s="256" t="inlineStr">
        <is>
          <t>TYMC</t>
        </is>
      </c>
      <c r="I1483" s="256" t="inlineStr">
        <is>
          <t>Ph. Eur. 2.6.12 cat. C</t>
        </is>
      </c>
      <c r="J1483" s="256" t="inlineStr">
        <is>
          <t>≤ 10⁴ CFU/g</t>
        </is>
      </c>
      <c r="K1483" s="256" t="inlineStr">
        <is>
          <t>2,4 × 10³</t>
        </is>
      </c>
      <c r="L1483" s="256" t="inlineStr">
        <is>
          <t>312/0556/26</t>
        </is>
      </c>
      <c r="M1483" s="256" t="inlineStr">
        <is>
          <t>28.04.2026</t>
        </is>
      </c>
      <c r="N1483" s="256" t="inlineStr">
        <is>
          <t>IPH — Institute of Public Health</t>
        </is>
      </c>
      <c r="O1483" s="256" t="inlineStr">
        <is>
          <t>22.04.2026</t>
        </is>
      </c>
      <c r="P1483" s="256" t="inlineStr">
        <is>
          <t>covered</t>
        </is>
      </c>
      <c r="Q1483" s="256" t="inlineStr"/>
      <c r="R1483" s="256" t="inlineStr"/>
    </row>
    <row r="1484">
      <c r="A1484" s="256" t="inlineStr">
        <is>
          <t>CoQ-PP_26-065</t>
        </is>
      </c>
      <c r="B1484" s="256" t="inlineStr">
        <is>
          <t>release</t>
        </is>
      </c>
      <c r="C1484" s="256" t="inlineStr">
        <is>
          <t>FB112501</t>
        </is>
      </c>
      <c r="D1484" s="256" t="inlineStr">
        <is>
          <t>— no P lot assigned —</t>
        </is>
      </c>
      <c r="E1484" s="256" t="inlineStr">
        <is>
          <t>Fat Bastard</t>
        </is>
      </c>
      <c r="F1484" s="256" t="inlineStr">
        <is>
          <t>06.06.2026</t>
        </is>
      </c>
      <c r="G1484" s="256" t="inlineStr">
        <is>
          <t>9.3</t>
        </is>
      </c>
      <c r="H1484" s="256" t="inlineStr">
        <is>
          <t>Bile-tolerant gram-neg.</t>
        </is>
      </c>
      <c r="I1484" s="256" t="inlineStr">
        <is>
          <t>Ph. Eur. 2.6.31 cat. C</t>
        </is>
      </c>
      <c r="J1484" s="256" t="inlineStr">
        <is>
          <t>≤ 10⁴ CFU/g</t>
        </is>
      </c>
      <c r="K1484" s="256" t="inlineStr">
        <is>
          <t>&lt; 10</t>
        </is>
      </c>
      <c r="L1484" s="256" t="inlineStr">
        <is>
          <t>312/0556/26</t>
        </is>
      </c>
      <c r="M1484" s="256" t="inlineStr">
        <is>
          <t>28.04.2026</t>
        </is>
      </c>
      <c r="N1484" s="256" t="inlineStr">
        <is>
          <t>IPH — Institute of Public Health</t>
        </is>
      </c>
      <c r="O1484" s="256" t="inlineStr">
        <is>
          <t>22.04.2026</t>
        </is>
      </c>
      <c r="P1484" s="256" t="inlineStr">
        <is>
          <t>covered</t>
        </is>
      </c>
      <c r="Q1484" s="256" t="inlineStr"/>
      <c r="R1484" s="256" t="inlineStr"/>
    </row>
    <row r="1485">
      <c r="A1485" s="256" t="inlineStr">
        <is>
          <t>CoQ-PP_26-065</t>
        </is>
      </c>
      <c r="B1485" s="256" t="inlineStr">
        <is>
          <t>release</t>
        </is>
      </c>
      <c r="C1485" s="256" t="inlineStr">
        <is>
          <t>FB112501</t>
        </is>
      </c>
      <c r="D1485" s="256" t="inlineStr">
        <is>
          <t>— no P lot assigned —</t>
        </is>
      </c>
      <c r="E1485" s="256" t="inlineStr">
        <is>
          <t>Fat Bastard</t>
        </is>
      </c>
      <c r="F1485" s="256" t="inlineStr">
        <is>
          <t>06.06.2026</t>
        </is>
      </c>
      <c r="G1485" s="256" t="inlineStr">
        <is>
          <t>9.4</t>
        </is>
      </c>
      <c r="H1485" s="256" t="inlineStr">
        <is>
          <t>Salmonella</t>
        </is>
      </c>
      <c r="I1485" s="256" t="inlineStr">
        <is>
          <t>Ph. Eur. 2.6.31 cat. C</t>
        </is>
      </c>
      <c r="J1485" s="256" t="inlineStr">
        <is>
          <t>Absence | Отсуство / 25 g</t>
        </is>
      </c>
      <c r="K1485" s="256" t="inlineStr">
        <is>
          <t>Absent | Отсутна</t>
        </is>
      </c>
      <c r="L1485" s="256" t="inlineStr">
        <is>
          <t>312/0556/26</t>
        </is>
      </c>
      <c r="M1485" s="256" t="inlineStr">
        <is>
          <t>28.04.2026</t>
        </is>
      </c>
      <c r="N1485" s="256" t="inlineStr">
        <is>
          <t>IPH — Institute of Public Health</t>
        </is>
      </c>
      <c r="O1485" s="256" t="inlineStr">
        <is>
          <t>22.04.2026</t>
        </is>
      </c>
      <c r="P1485" s="256" t="inlineStr">
        <is>
          <t>covered</t>
        </is>
      </c>
      <c r="Q1485" s="256" t="inlineStr"/>
      <c r="R1485" s="256" t="inlineStr"/>
    </row>
    <row r="1486">
      <c r="A1486" s="256" t="inlineStr">
        <is>
          <t>CoQ-PP_26-065</t>
        </is>
      </c>
      <c r="B1486" s="256" t="inlineStr">
        <is>
          <t>release</t>
        </is>
      </c>
      <c r="C1486" s="256" t="inlineStr">
        <is>
          <t>FB112501</t>
        </is>
      </c>
      <c r="D1486" s="256" t="inlineStr">
        <is>
          <t>— no P lot assigned —</t>
        </is>
      </c>
      <c r="E1486" s="256" t="inlineStr">
        <is>
          <t>Fat Bastard</t>
        </is>
      </c>
      <c r="F1486" s="256" t="inlineStr">
        <is>
          <t>06.06.2026</t>
        </is>
      </c>
      <c r="G1486" s="256" t="inlineStr">
        <is>
          <t>9.5</t>
        </is>
      </c>
      <c r="H1486" s="256" t="inlineStr">
        <is>
          <t>Escherichia coli</t>
        </is>
      </c>
      <c r="I1486" s="256" t="inlineStr">
        <is>
          <t>Ph. Eur. 2.6.13 cat. C</t>
        </is>
      </c>
      <c r="J1486" s="256" t="inlineStr">
        <is>
          <t>Absence | Отсуство / 1 g</t>
        </is>
      </c>
      <c r="K1486" s="256" t="inlineStr">
        <is>
          <t>Absent | Отсутна</t>
        </is>
      </c>
      <c r="L1486" s="256" t="inlineStr">
        <is>
          <t>312/0556/26</t>
        </is>
      </c>
      <c r="M1486" s="256" t="inlineStr">
        <is>
          <t>28.04.2026</t>
        </is>
      </c>
      <c r="N1486" s="256" t="inlineStr">
        <is>
          <t>IPH — Institute of Public Health</t>
        </is>
      </c>
      <c r="O1486" s="256" t="inlineStr">
        <is>
          <t>22.04.2026</t>
        </is>
      </c>
      <c r="P1486" s="256" t="inlineStr">
        <is>
          <t>covered</t>
        </is>
      </c>
      <c r="Q1486" s="256" t="inlineStr"/>
      <c r="R1486" s="256" t="inlineStr"/>
    </row>
    <row r="1487">
      <c r="A1487" s="256" t="inlineStr">
        <is>
          <t>CoQ-PP_26-065</t>
        </is>
      </c>
      <c r="B1487" s="256" t="inlineStr">
        <is>
          <t>release</t>
        </is>
      </c>
      <c r="C1487" s="256" t="inlineStr">
        <is>
          <t>FB112501</t>
        </is>
      </c>
      <c r="D1487" s="256" t="inlineStr">
        <is>
          <t>— no P lot assigned —</t>
        </is>
      </c>
      <c r="E1487" s="256" t="inlineStr">
        <is>
          <t>Fat Bastard</t>
        </is>
      </c>
      <c r="F1487" s="256" t="inlineStr">
        <is>
          <t>06.06.2026</t>
        </is>
      </c>
      <c r="G1487" s="256" t="inlineStr">
        <is>
          <t>9.6</t>
        </is>
      </c>
      <c r="H1487" s="256" t="inlineStr">
        <is>
          <t>Pseudomonas aeruginosa</t>
        </is>
      </c>
      <c r="I1487" s="256" t="inlineStr">
        <is>
          <t>Ph. Eur. 2.6.13 cat. C</t>
        </is>
      </c>
      <c r="J1487" s="256" t="inlineStr">
        <is>
          <t>Absence | Отсуство / 1 g</t>
        </is>
      </c>
      <c r="K1487" s="260" t="inlineStr">
        <is>
          <t>upon request — not required for release</t>
        </is>
      </c>
      <c r="L1487" s="256" t="inlineStr">
        <is>
          <t>—</t>
        </is>
      </c>
      <c r="M1487" s="256" t="inlineStr">
        <is>
          <t>—</t>
        </is>
      </c>
      <c r="N1487" s="256" t="inlineStr">
        <is>
          <t>—</t>
        </is>
      </c>
      <c r="O1487" s="256" t="inlineStr">
        <is>
          <t>—</t>
        </is>
      </c>
      <c r="P1487" s="256" t="inlineStr">
        <is>
          <t>upon request — not required for release</t>
        </is>
      </c>
      <c r="Q1487" s="256" t="inlineStr"/>
      <c r="R1487" s="256" t="inlineStr"/>
    </row>
    <row r="1488">
      <c r="A1488" s="256" t="inlineStr">
        <is>
          <t>CoQ-PP_26-065</t>
        </is>
      </c>
      <c r="B1488" s="256" t="inlineStr">
        <is>
          <t>release</t>
        </is>
      </c>
      <c r="C1488" s="256" t="inlineStr">
        <is>
          <t>FB112501</t>
        </is>
      </c>
      <c r="D1488" s="256" t="inlineStr">
        <is>
          <t>— no P lot assigned —</t>
        </is>
      </c>
      <c r="E1488" s="256" t="inlineStr">
        <is>
          <t>Fat Bastard</t>
        </is>
      </c>
      <c r="F1488" s="256" t="inlineStr">
        <is>
          <t>06.06.2026</t>
        </is>
      </c>
      <c r="G1488" s="256" t="inlineStr">
        <is>
          <t>9.7</t>
        </is>
      </c>
      <c r="H1488" s="256" t="inlineStr">
        <is>
          <t>Staphylococcus aureus</t>
        </is>
      </c>
      <c r="I1488" s="256" t="inlineStr">
        <is>
          <t>Ph. Eur. 2.6.13 cat. C</t>
        </is>
      </c>
      <c r="J1488" s="256" t="inlineStr">
        <is>
          <t>Absence | Отсуство / 1 g</t>
        </is>
      </c>
      <c r="K1488" s="260" t="inlineStr">
        <is>
          <t>upon request — not required for release</t>
        </is>
      </c>
      <c r="L1488" s="256" t="inlineStr">
        <is>
          <t>—</t>
        </is>
      </c>
      <c r="M1488" s="256" t="inlineStr">
        <is>
          <t>—</t>
        </is>
      </c>
      <c r="N1488" s="256" t="inlineStr">
        <is>
          <t>—</t>
        </is>
      </c>
      <c r="O1488" s="256" t="inlineStr">
        <is>
          <t>—</t>
        </is>
      </c>
      <c r="P1488" s="256" t="inlineStr">
        <is>
          <t>upon request — not required for release</t>
        </is>
      </c>
      <c r="Q1488" s="256" t="inlineStr"/>
      <c r="R1488" s="256" t="inlineStr"/>
    </row>
    <row r="1489">
      <c r="A1489" s="256" t="inlineStr">
        <is>
          <t>CoQ-PP_26-065</t>
        </is>
      </c>
      <c r="B1489" s="256" t="inlineStr">
        <is>
          <t>release</t>
        </is>
      </c>
      <c r="C1489" s="256" t="inlineStr">
        <is>
          <t>FB112501</t>
        </is>
      </c>
      <c r="D1489" s="256" t="inlineStr">
        <is>
          <t>— no P lot assigned —</t>
        </is>
      </c>
      <c r="E1489" s="256" t="inlineStr">
        <is>
          <t>Fat Bastard</t>
        </is>
      </c>
      <c r="F1489" s="256" t="inlineStr">
        <is>
          <t>06.06.2026</t>
        </is>
      </c>
      <c r="G1489" s="256" t="inlineStr">
        <is>
          <t>10.1</t>
        </is>
      </c>
      <c r="H1489" s="256" t="inlineStr">
        <is>
          <t>Aflatoxin B₁</t>
        </is>
      </c>
      <c r="I1489" s="256" t="inlineStr">
        <is>
          <t>Ph. Eur. 2.8.18 (HPLC-FLD)</t>
        </is>
      </c>
      <c r="J1489" s="256" t="inlineStr">
        <is>
          <t>≤ 2 µg/kg</t>
        </is>
      </c>
      <c r="K1489" s="259" t="inlineStr">
        <is>
          <t>not tested</t>
        </is>
      </c>
      <c r="L1489" s="256" t="inlineStr">
        <is>
          <t>—</t>
        </is>
      </c>
      <c r="M1489" s="256" t="inlineStr">
        <is>
          <t>—</t>
        </is>
      </c>
      <c r="N1489" s="256" t="inlineStr">
        <is>
          <t>—</t>
        </is>
      </c>
      <c r="O1489" s="256" t="inlineStr">
        <is>
          <t>—</t>
        </is>
      </c>
      <c r="P1489" s="256" t="inlineStr">
        <is>
          <t>not tested — no certificate covers it</t>
        </is>
      </c>
      <c r="Q1489" s="256" t="inlineStr"/>
      <c r="R1489" s="256" t="inlineStr"/>
    </row>
    <row r="1490">
      <c r="A1490" s="256" t="inlineStr">
        <is>
          <t>CoQ-PP_26-065</t>
        </is>
      </c>
      <c r="B1490" s="256" t="inlineStr">
        <is>
          <t>release</t>
        </is>
      </c>
      <c r="C1490" s="256" t="inlineStr">
        <is>
          <t>FB112501</t>
        </is>
      </c>
      <c r="D1490" s="256" t="inlineStr">
        <is>
          <t>— no P lot assigned —</t>
        </is>
      </c>
      <c r="E1490" s="256" t="inlineStr">
        <is>
          <t>Fat Bastard</t>
        </is>
      </c>
      <c r="F1490" s="256" t="inlineStr">
        <is>
          <t>06.06.2026</t>
        </is>
      </c>
      <c r="G1490" s="256" t="inlineStr">
        <is>
          <t>10.2</t>
        </is>
      </c>
      <c r="H1490" s="256" t="inlineStr">
        <is>
          <t>Aflatoxins ∑</t>
        </is>
      </c>
      <c r="I1490" s="256" t="inlineStr">
        <is>
          <t>Ph. Eur. 2.8.18 (HPLC-FLD)</t>
        </is>
      </c>
      <c r="J1490" s="256" t="inlineStr">
        <is>
          <t>≤ 4 µg/kg</t>
        </is>
      </c>
      <c r="K1490" s="256" t="inlineStr">
        <is>
          <t>&lt; 2</t>
        </is>
      </c>
      <c r="L1490" s="256" t="inlineStr">
        <is>
          <t>2357/2026</t>
        </is>
      </c>
      <c r="M1490" s="256" t="inlineStr">
        <is>
          <t>29.04.2026</t>
        </is>
      </c>
      <c r="N1490" s="256" t="inlineStr">
        <is>
          <t>IPH — Institute of Public Health</t>
        </is>
      </c>
      <c r="O1490" s="256" t="inlineStr">
        <is>
          <t>21.04.2026</t>
        </is>
      </c>
      <c r="P1490" s="256" t="inlineStr">
        <is>
          <t>covered</t>
        </is>
      </c>
      <c r="Q1490" s="256" t="inlineStr"/>
      <c r="R1490" s="256" t="inlineStr"/>
    </row>
    <row r="1491">
      <c r="A1491" s="256" t="inlineStr">
        <is>
          <t>CoQ-PP_26-065</t>
        </is>
      </c>
      <c r="B1491" s="256" t="inlineStr">
        <is>
          <t>release</t>
        </is>
      </c>
      <c r="C1491" s="256" t="inlineStr">
        <is>
          <t>FB112501</t>
        </is>
      </c>
      <c r="D1491" s="256" t="inlineStr">
        <is>
          <t>— no P lot assigned —</t>
        </is>
      </c>
      <c r="E1491" s="256" t="inlineStr">
        <is>
          <t>Fat Bastard</t>
        </is>
      </c>
      <c r="F1491" s="256" t="inlineStr">
        <is>
          <t>06.06.2026</t>
        </is>
      </c>
      <c r="G1491" s="256" t="inlineStr">
        <is>
          <t>10.3</t>
        </is>
      </c>
      <c r="H1491" s="256" t="inlineStr">
        <is>
          <t>Ochratoxin A</t>
        </is>
      </c>
      <c r="I1491" s="256" t="inlineStr">
        <is>
          <t>Ph. Eur. 2.8.22 (HPLC-FLD)</t>
        </is>
      </c>
      <c r="J1491" s="256" t="inlineStr">
        <is>
          <t>≤ 20 µg/kg</t>
        </is>
      </c>
      <c r="K1491" s="259" t="inlineStr">
        <is>
          <t>not tested</t>
        </is>
      </c>
      <c r="L1491" s="256" t="inlineStr">
        <is>
          <t>—</t>
        </is>
      </c>
      <c r="M1491" s="256" t="inlineStr">
        <is>
          <t>—</t>
        </is>
      </c>
      <c r="N1491" s="256" t="inlineStr">
        <is>
          <t>—</t>
        </is>
      </c>
      <c r="O1491" s="256" t="inlineStr">
        <is>
          <t>—</t>
        </is>
      </c>
      <c r="P1491" s="256" t="inlineStr">
        <is>
          <t>not tested — no certificate covers it</t>
        </is>
      </c>
      <c r="Q1491" s="256" t="inlineStr"/>
      <c r="R1491" s="256" t="inlineStr"/>
    </row>
    <row r="1492">
      <c r="A1492" s="256" t="inlineStr">
        <is>
          <t>CoQ-PP_26-065</t>
        </is>
      </c>
      <c r="B1492" s="256" t="inlineStr">
        <is>
          <t>release</t>
        </is>
      </c>
      <c r="C1492" s="256" t="inlineStr">
        <is>
          <t>FB112501</t>
        </is>
      </c>
      <c r="D1492" s="256" t="inlineStr">
        <is>
          <t>— no P lot assigned —</t>
        </is>
      </c>
      <c r="E1492" s="256" t="inlineStr">
        <is>
          <t>Fat Bastard</t>
        </is>
      </c>
      <c r="F1492" s="256" t="inlineStr">
        <is>
          <t>06.06.2026</t>
        </is>
      </c>
      <c r="G1492" s="256" t="inlineStr">
        <is>
          <t>11.1</t>
        </is>
      </c>
      <c r="H1492" s="256" t="inlineStr">
        <is>
          <t>Lead (Pb)</t>
        </is>
      </c>
      <c r="I1492" s="256" t="inlineStr">
        <is>
          <t>Ph. Eur. 2.4.27 (ICP-MS)</t>
        </is>
      </c>
      <c r="J1492" s="256" t="inlineStr">
        <is>
          <t>≤ 0.5 mg/kg</t>
        </is>
      </c>
      <c r="K1492" s="256" t="inlineStr">
        <is>
          <t>0.0215</t>
        </is>
      </c>
      <c r="L1492" s="256" t="inlineStr">
        <is>
          <t>2357/2026</t>
        </is>
      </c>
      <c r="M1492" s="256" t="inlineStr">
        <is>
          <t>29.04.2026</t>
        </is>
      </c>
      <c r="N1492" s="256" t="inlineStr">
        <is>
          <t>IPH — Institute of Public Health</t>
        </is>
      </c>
      <c r="O1492" s="256" t="inlineStr">
        <is>
          <t>21.04.2026</t>
        </is>
      </c>
      <c r="P1492" s="256" t="inlineStr">
        <is>
          <t>covered</t>
        </is>
      </c>
      <c r="Q1492" s="256" t="inlineStr"/>
      <c r="R1492" s="256" t="inlineStr"/>
    </row>
    <row r="1493">
      <c r="A1493" s="256" t="inlineStr">
        <is>
          <t>CoQ-PP_26-065</t>
        </is>
      </c>
      <c r="B1493" s="256" t="inlineStr">
        <is>
          <t>release</t>
        </is>
      </c>
      <c r="C1493" s="256" t="inlineStr">
        <is>
          <t>FB112501</t>
        </is>
      </c>
      <c r="D1493" s="256" t="inlineStr">
        <is>
          <t>— no P lot assigned —</t>
        </is>
      </c>
      <c r="E1493" s="256" t="inlineStr">
        <is>
          <t>Fat Bastard</t>
        </is>
      </c>
      <c r="F1493" s="256" t="inlineStr">
        <is>
          <t>06.06.2026</t>
        </is>
      </c>
      <c r="G1493" s="256" t="inlineStr">
        <is>
          <t>11.2</t>
        </is>
      </c>
      <c r="H1493" s="256" t="inlineStr">
        <is>
          <t>Cadmium (Cd)</t>
        </is>
      </c>
      <c r="I1493" s="256" t="inlineStr">
        <is>
          <t>Ph. Eur. 2.4.27 (ICP-MS)</t>
        </is>
      </c>
      <c r="J1493" s="256" t="inlineStr">
        <is>
          <t>≤ 0.3 mg/kg</t>
        </is>
      </c>
      <c r="K1493" s="256" t="inlineStr">
        <is>
          <t>0.0108</t>
        </is>
      </c>
      <c r="L1493" s="256" t="inlineStr">
        <is>
          <t>2357/2026</t>
        </is>
      </c>
      <c r="M1493" s="256" t="inlineStr">
        <is>
          <t>29.04.2026</t>
        </is>
      </c>
      <c r="N1493" s="256" t="inlineStr">
        <is>
          <t>IPH — Institute of Public Health</t>
        </is>
      </c>
      <c r="O1493" s="256" t="inlineStr">
        <is>
          <t>21.04.2026</t>
        </is>
      </c>
      <c r="P1493" s="256" t="inlineStr">
        <is>
          <t>covered</t>
        </is>
      </c>
      <c r="Q1493" s="256" t="inlineStr"/>
      <c r="R1493" s="256" t="inlineStr"/>
    </row>
    <row r="1494">
      <c r="A1494" s="256" t="inlineStr">
        <is>
          <t>CoQ-PP_26-065</t>
        </is>
      </c>
      <c r="B1494" s="256" t="inlineStr">
        <is>
          <t>release</t>
        </is>
      </c>
      <c r="C1494" s="256" t="inlineStr">
        <is>
          <t>FB112501</t>
        </is>
      </c>
      <c r="D1494" s="256" t="inlineStr">
        <is>
          <t>— no P lot assigned —</t>
        </is>
      </c>
      <c r="E1494" s="256" t="inlineStr">
        <is>
          <t>Fat Bastard</t>
        </is>
      </c>
      <c r="F1494" s="256" t="inlineStr">
        <is>
          <t>06.06.2026</t>
        </is>
      </c>
      <c r="G1494" s="256" t="inlineStr">
        <is>
          <t>11.3</t>
        </is>
      </c>
      <c r="H1494" s="256" t="inlineStr">
        <is>
          <t>Arsenic (As)</t>
        </is>
      </c>
      <c r="I1494" s="256" t="inlineStr">
        <is>
          <t>Ph. Eur. 2.4.27 (ICP-MS)</t>
        </is>
      </c>
      <c r="J1494" s="256" t="inlineStr">
        <is>
          <t>≤ 0.2 mg/kg</t>
        </is>
      </c>
      <c r="K1494" s="256" t="inlineStr">
        <is>
          <t>0.0199</t>
        </is>
      </c>
      <c r="L1494" s="256" t="inlineStr">
        <is>
          <t>2357/2026</t>
        </is>
      </c>
      <c r="M1494" s="256" t="inlineStr">
        <is>
          <t>29.04.2026</t>
        </is>
      </c>
      <c r="N1494" s="256" t="inlineStr">
        <is>
          <t>IPH — Institute of Public Health</t>
        </is>
      </c>
      <c r="O1494" s="256" t="inlineStr">
        <is>
          <t>21.04.2026</t>
        </is>
      </c>
      <c r="P1494" s="256" t="inlineStr">
        <is>
          <t>covered</t>
        </is>
      </c>
      <c r="Q1494" s="256" t="inlineStr"/>
      <c r="R1494" s="256" t="inlineStr"/>
    </row>
    <row r="1495">
      <c r="A1495" s="256" t="inlineStr">
        <is>
          <t>CoQ-PP_26-065</t>
        </is>
      </c>
      <c r="B1495" s="256" t="inlineStr">
        <is>
          <t>release</t>
        </is>
      </c>
      <c r="C1495" s="256" t="inlineStr">
        <is>
          <t>FB112501</t>
        </is>
      </c>
      <c r="D1495" s="256" t="inlineStr">
        <is>
          <t>— no P lot assigned —</t>
        </is>
      </c>
      <c r="E1495" s="256" t="inlineStr">
        <is>
          <t>Fat Bastard</t>
        </is>
      </c>
      <c r="F1495" s="256" t="inlineStr">
        <is>
          <t>06.06.2026</t>
        </is>
      </c>
      <c r="G1495" s="256" t="inlineStr">
        <is>
          <t>11.4</t>
        </is>
      </c>
      <c r="H1495" s="256" t="inlineStr">
        <is>
          <t>Mercury (Hg)</t>
        </is>
      </c>
      <c r="I1495" s="256" t="inlineStr">
        <is>
          <t>Ph. Eur. 2.4.27 (ICP-MS)</t>
        </is>
      </c>
      <c r="J1495" s="256" t="inlineStr">
        <is>
          <t>≤ 0.1 mg/kg</t>
        </is>
      </c>
      <c r="K1495" s="256" t="inlineStr">
        <is>
          <t>0.0078</t>
        </is>
      </c>
      <c r="L1495" s="256" t="inlineStr">
        <is>
          <t>2357/2026</t>
        </is>
      </c>
      <c r="M1495" s="256" t="inlineStr">
        <is>
          <t>29.04.2026</t>
        </is>
      </c>
      <c r="N1495" s="256" t="inlineStr">
        <is>
          <t>IPH — Institute of Public Health</t>
        </is>
      </c>
      <c r="O1495" s="256" t="inlineStr">
        <is>
          <t>21.04.2026</t>
        </is>
      </c>
      <c r="P1495" s="256" t="inlineStr">
        <is>
          <t>covered</t>
        </is>
      </c>
      <c r="Q1495" s="256" t="inlineStr"/>
      <c r="R1495" s="256" t="inlineStr"/>
    </row>
    <row r="1496">
      <c r="A1496" s="256" t="inlineStr">
        <is>
          <t>CoQ-PP_26-065</t>
        </is>
      </c>
      <c r="B1496" s="256" t="inlineStr">
        <is>
          <t>release</t>
        </is>
      </c>
      <c r="C1496" s="256" t="inlineStr">
        <is>
          <t>FB112501</t>
        </is>
      </c>
      <c r="D1496" s="256" t="inlineStr">
        <is>
          <t>— no P lot assigned —</t>
        </is>
      </c>
      <c r="E1496" s="256" t="inlineStr">
        <is>
          <t>Fat Bastard</t>
        </is>
      </c>
      <c r="F1496" s="256" t="inlineStr">
        <is>
          <t>06.06.2026</t>
        </is>
      </c>
      <c r="G1496" s="256" t="inlineStr">
        <is>
          <t>12</t>
        </is>
      </c>
      <c r="H1496" s="256" t="inlineStr">
        <is>
          <t>Pesticide Residues</t>
        </is>
      </c>
      <c r="I1496" s="256" t="inlineStr">
        <is>
          <t>Ph. Eur. 2.8.13 (LC-MS/MS) · CUMCS Equivalency</t>
        </is>
      </c>
      <c r="J1496" s="256" t="inlineStr">
        <is>
          <t>≤ LOQ as per Ph. Eur. 2.8.13 · ≤ LOQ as per CUMCS Equivalency</t>
        </is>
      </c>
      <c r="K1496" s="256" t="inlineStr">
        <is>
          <t>ND</t>
        </is>
      </c>
      <c r="L1496" s="256" t="inlineStr">
        <is>
          <t>2357/2026</t>
        </is>
      </c>
      <c r="M1496" s="256" t="inlineStr">
        <is>
          <t>29.04.2026</t>
        </is>
      </c>
      <c r="N1496" s="256" t="inlineStr">
        <is>
          <t>IPH — Institute of Public Health</t>
        </is>
      </c>
      <c r="O1496" s="256" t="inlineStr">
        <is>
          <t>21.04.2026</t>
        </is>
      </c>
      <c r="P1496" s="256" t="inlineStr">
        <is>
          <t>covered</t>
        </is>
      </c>
      <c r="Q1496" s="256" t="inlineStr"/>
      <c r="R1496" s="256" t="inlineStr"/>
    </row>
    <row r="1497">
      <c r="A1497" s="256" t="inlineStr">
        <is>
          <t>CoQ-PP_26-066</t>
        </is>
      </c>
      <c r="B1497" s="256" t="inlineStr">
        <is>
          <t>release</t>
        </is>
      </c>
      <c r="C1497" s="256" t="inlineStr">
        <is>
          <t>GG012601</t>
        </is>
      </c>
      <c r="D1497" s="256" t="inlineStr">
        <is>
          <t>— no P lot assigned —</t>
        </is>
      </c>
      <c r="E1497" s="256" t="inlineStr">
        <is>
          <t>Gorilla Glue</t>
        </is>
      </c>
      <c r="F1497" s="256" t="inlineStr">
        <is>
          <t>06.06.2026</t>
        </is>
      </c>
      <c r="G1497" s="256" t="inlineStr">
        <is>
          <t>1</t>
        </is>
      </c>
      <c r="H1497" s="256" t="inlineStr">
        <is>
          <t>Identification A, Appearance · Macroscopic</t>
        </is>
      </c>
      <c r="I1497" s="256" t="inlineStr">
        <is>
          <t>Ph. Eur. mon. 3028</t>
        </is>
      </c>
      <c r="J1497" s="256" t="inlineStr">
        <is>
          <t>Conforms to the monograph for Cannabis flos (07/2024:3028) in Ph. Eur. 11.0 | Согласно монографија за Cannabis flos (07/2024:3028) во Ph. Eur. 11.0</t>
        </is>
      </c>
      <c r="K1497" s="256" t="inlineStr">
        <is>
          <t>Conforms | Одговара</t>
        </is>
      </c>
      <c r="L1497" s="256" t="inlineStr">
        <is>
          <t>iCoA-PP_26-076</t>
        </is>
      </c>
      <c r="M1497" s="256" t="inlineStr">
        <is>
          <t>03.06.2026</t>
        </is>
      </c>
      <c r="N1497" s="256" t="inlineStr">
        <is>
          <t>Purely Plant GmbH (in-house)</t>
        </is>
      </c>
      <c r="O1497" s="256" t="inlineStr">
        <is>
          <t>—</t>
        </is>
      </c>
      <c r="P1497" s="256" t="inlineStr">
        <is>
          <t>to be performed — see route</t>
        </is>
      </c>
      <c r="Q1497" s="256" t="inlineStr">
        <is>
          <t>Purely Plant laboratory — iCoA covering Ident A + B</t>
        </is>
      </c>
      <c r="R1497" s="256" t="inlineStr"/>
    </row>
    <row r="1498">
      <c r="A1498" s="256" t="inlineStr">
        <is>
          <t>CoQ-PP_26-066</t>
        </is>
      </c>
      <c r="B1498" s="256" t="inlineStr">
        <is>
          <t>release</t>
        </is>
      </c>
      <c r="C1498" s="256" t="inlineStr">
        <is>
          <t>GG012601</t>
        </is>
      </c>
      <c r="D1498" s="256" t="inlineStr">
        <is>
          <t>— no P lot assigned —</t>
        </is>
      </c>
      <c r="E1498" s="256" t="inlineStr">
        <is>
          <t>Gorilla Glue</t>
        </is>
      </c>
      <c r="F1498" s="256" t="inlineStr">
        <is>
          <t>06.06.2026</t>
        </is>
      </c>
      <c r="G1498" s="256" t="inlineStr">
        <is>
          <t>2</t>
        </is>
      </c>
      <c r="H1498" s="256" t="inlineStr">
        <is>
          <t>Identification B · Microscopic</t>
        </is>
      </c>
      <c r="I1498" s="256" t="inlineStr">
        <is>
          <t>Ph. Eur. 2.8.23 (microscopy)</t>
        </is>
      </c>
      <c r="J1498" s="256" t="inlineStr">
        <is>
          <t>Conforms to the monograph for Cannabis flos (07/2024:3028) in Ph. Eur. 11.0 | Согласно монографија за Cannabis flos (07/2024:3028) во Ph. Eur. 11.0</t>
        </is>
      </c>
      <c r="K1498" s="256" t="inlineStr">
        <is>
          <t>Conforms | Одговара</t>
        </is>
      </c>
      <c r="L1498" s="256" t="inlineStr">
        <is>
          <t>iCoA-PP_26-076</t>
        </is>
      </c>
      <c r="M1498" s="256" t="inlineStr">
        <is>
          <t>03.06.2026</t>
        </is>
      </c>
      <c r="N1498" s="256" t="inlineStr">
        <is>
          <t>Purely Plant GmbH (in-house)</t>
        </is>
      </c>
      <c r="O1498" s="256" t="inlineStr">
        <is>
          <t>—</t>
        </is>
      </c>
      <c r="P1498" s="256" t="inlineStr">
        <is>
          <t>to be performed — see route</t>
        </is>
      </c>
      <c r="Q1498" s="256" t="inlineStr">
        <is>
          <t>Purely Plant laboratory — iCoA covering Ident A + B</t>
        </is>
      </c>
      <c r="R1498" s="256" t="inlineStr"/>
    </row>
    <row r="1499">
      <c r="A1499" s="256" t="inlineStr">
        <is>
          <t>CoQ-PP_26-066</t>
        </is>
      </c>
      <c r="B1499" s="256" t="inlineStr">
        <is>
          <t>release</t>
        </is>
      </c>
      <c r="C1499" s="256" t="inlineStr">
        <is>
          <t>GG012601</t>
        </is>
      </c>
      <c r="D1499" s="256" t="inlineStr">
        <is>
          <t>— no P lot assigned —</t>
        </is>
      </c>
      <c r="E1499" s="256" t="inlineStr">
        <is>
          <t>Gorilla Glue</t>
        </is>
      </c>
      <c r="F1499" s="256" t="inlineStr">
        <is>
          <t>06.06.2026</t>
        </is>
      </c>
      <c r="G1499" s="256" t="inlineStr">
        <is>
          <t>3</t>
        </is>
      </c>
      <c r="H1499" s="256" t="inlineStr">
        <is>
          <t>Identification C · HPLC/HPTLC</t>
        </is>
      </c>
      <c r="I1499" s="256" t="inlineStr">
        <is>
          <t>HPLC — DAB 2018 monograph Cannabis flos, 2.2.29 (CNP, before its Ph. Eur. 3028 accreditation)</t>
        </is>
      </c>
      <c r="J1499" s="256" t="inlineStr">
        <is>
          <t>Conforms to the monograph for Cannabis flos (07/2024:3028) in Ph. Eur. 11.0 | Согласно монографија за Cannabis flos (07/2024:3028) во Ph. Eur. 11.0</t>
        </is>
      </c>
      <c r="K1499" s="256" t="inlineStr">
        <is>
          <t>Conforms | Одговара</t>
        </is>
      </c>
      <c r="L1499" s="256" t="inlineStr">
        <is>
          <t>ППК26062</t>
        </is>
      </c>
      <c r="M1499" s="256" t="inlineStr">
        <is>
          <t>11.05.2026</t>
        </is>
      </c>
      <c r="N1499" s="256" t="inlineStr">
        <is>
          <t>UKIM Faculty of Pharmacy — Center for Natural Products</t>
        </is>
      </c>
      <c r="O1499" s="256" t="inlineStr">
        <is>
          <t>21.04.2026</t>
        </is>
      </c>
      <c r="P1499" s="256" t="inlineStr">
        <is>
          <t>covered</t>
        </is>
      </c>
      <c r="Q1499" s="256" t="inlineStr"/>
      <c r="R1499" s="256" t="inlineStr"/>
    </row>
    <row r="1500">
      <c r="A1500" s="256" t="inlineStr">
        <is>
          <t>CoQ-PP_26-066</t>
        </is>
      </c>
      <c r="B1500" s="256" t="inlineStr">
        <is>
          <t>release</t>
        </is>
      </c>
      <c r="C1500" s="256" t="inlineStr">
        <is>
          <t>GG012601</t>
        </is>
      </c>
      <c r="D1500" s="256" t="inlineStr">
        <is>
          <t>— no P lot assigned —</t>
        </is>
      </c>
      <c r="E1500" s="256" t="inlineStr">
        <is>
          <t>Gorilla Glue</t>
        </is>
      </c>
      <c r="F1500" s="256" t="inlineStr">
        <is>
          <t>06.06.2026</t>
        </is>
      </c>
      <c r="G1500" s="256" t="inlineStr">
        <is>
          <t>4</t>
        </is>
      </c>
      <c r="H1500" s="256" t="inlineStr">
        <is>
          <t>Assay — Total Δ⁹-THC</t>
        </is>
      </c>
      <c r="I1500" s="256" t="inlineStr">
        <is>
          <t>HPLC — DAB 2018 monograph Cannabis flos, 2.2.29 (CNP, before its Ph. Eur. 3028 accreditation)</t>
        </is>
      </c>
      <c r="J1500" s="256" t="inlineStr">
        <is>
          <t>13.77 – 16.22 %  (grade II, nominal 15.00 ± 1.23)</t>
        </is>
      </c>
      <c r="K1500" s="256" t="inlineStr">
        <is>
          <t>15.35</t>
        </is>
      </c>
      <c r="L1500" s="256" t="inlineStr">
        <is>
          <t>ППК26062</t>
        </is>
      </c>
      <c r="M1500" s="256" t="inlineStr">
        <is>
          <t>11.05.2026</t>
        </is>
      </c>
      <c r="N1500" s="256" t="inlineStr">
        <is>
          <t>UKIM Faculty of Pharmacy — Center for Natural Products</t>
        </is>
      </c>
      <c r="O1500" s="256" t="inlineStr">
        <is>
          <t>21.04.2026</t>
        </is>
      </c>
      <c r="P1500" s="256" t="inlineStr">
        <is>
          <t>covered</t>
        </is>
      </c>
      <c r="Q1500" s="256" t="inlineStr"/>
      <c r="R1500" s="256" t="inlineStr">
        <is>
          <t>19.16 (227-21-К/26)</t>
        </is>
      </c>
    </row>
    <row r="1501">
      <c r="A1501" s="256" t="inlineStr">
        <is>
          <t>CoQ-PP_26-066</t>
        </is>
      </c>
      <c r="B1501" s="256" t="inlineStr">
        <is>
          <t>release</t>
        </is>
      </c>
      <c r="C1501" s="256" t="inlineStr">
        <is>
          <t>GG012601</t>
        </is>
      </c>
      <c r="D1501" s="256" t="inlineStr">
        <is>
          <t>— no P lot assigned —</t>
        </is>
      </c>
      <c r="E1501" s="256" t="inlineStr">
        <is>
          <t>Gorilla Glue</t>
        </is>
      </c>
      <c r="F1501" s="256" t="inlineStr">
        <is>
          <t>06.06.2026</t>
        </is>
      </c>
      <c r="G1501" s="256" t="inlineStr">
        <is>
          <t>5</t>
        </is>
      </c>
      <c r="H1501" s="256" t="inlineStr">
        <is>
          <t>Assay — Total CBD</t>
        </is>
      </c>
      <c r="I1501" s="256" t="inlineStr">
        <is>
          <t>HPLC — DAB 2018 monograph Cannabis flos, 2.2.29 · CBD + CBDA x 0.877 (CNP, before its Ph. Eur. 3028 accreditation)</t>
        </is>
      </c>
      <c r="J1501" s="256" t="inlineStr">
        <is>
          <t>≤ 1.0%, w/w</t>
        </is>
      </c>
      <c r="K1501" s="256" t="inlineStr">
        <is>
          <t>0.06</t>
        </is>
      </c>
      <c r="L1501" s="256" t="inlineStr">
        <is>
          <t>ППК26062</t>
        </is>
      </c>
      <c r="M1501" s="256" t="inlineStr">
        <is>
          <t>11.05.2026</t>
        </is>
      </c>
      <c r="N1501" s="256" t="inlineStr">
        <is>
          <t>UKIM Faculty of Pharmacy — Center for Natural Products</t>
        </is>
      </c>
      <c r="O1501" s="256" t="inlineStr">
        <is>
          <t>21.04.2026</t>
        </is>
      </c>
      <c r="P1501" s="256" t="inlineStr">
        <is>
          <t>covered</t>
        </is>
      </c>
      <c r="Q1501" s="256" t="inlineStr"/>
      <c r="R1501" s="256" t="inlineStr">
        <is>
          <t>&lt;LOQ (227-21-К/26)</t>
        </is>
      </c>
    </row>
    <row r="1502">
      <c r="A1502" s="256" t="inlineStr">
        <is>
          <t>CoQ-PP_26-066</t>
        </is>
      </c>
      <c r="B1502" s="256" t="inlineStr">
        <is>
          <t>release</t>
        </is>
      </c>
      <c r="C1502" s="256" t="inlineStr">
        <is>
          <t>GG012601</t>
        </is>
      </c>
      <c r="D1502" s="256" t="inlineStr">
        <is>
          <t>— no P lot assigned —</t>
        </is>
      </c>
      <c r="E1502" s="256" t="inlineStr">
        <is>
          <t>Gorilla Glue</t>
        </is>
      </c>
      <c r="F1502" s="256" t="inlineStr">
        <is>
          <t>06.06.2026</t>
        </is>
      </c>
      <c r="G1502" s="256" t="inlineStr">
        <is>
          <t>6</t>
        </is>
      </c>
      <c r="H1502" s="256" t="inlineStr">
        <is>
          <t>Total CBN</t>
        </is>
      </c>
      <c r="I1502" s="256" t="inlineStr">
        <is>
          <t>Ph. Eur. 2.2.29 (HPLC) · CBN + CBNA x 0.876</t>
        </is>
      </c>
      <c r="J1502" s="256" t="inlineStr">
        <is>
          <t>≤ 1.0%, w/w</t>
        </is>
      </c>
      <c r="K1502" s="259" t="inlineStr">
        <is>
          <t>not tested</t>
        </is>
      </c>
      <c r="L1502" s="256" t="inlineStr">
        <is>
          <t>—</t>
        </is>
      </c>
      <c r="M1502" s="256" t="inlineStr">
        <is>
          <t>—</t>
        </is>
      </c>
      <c r="N1502" s="256" t="inlineStr">
        <is>
          <t>—</t>
        </is>
      </c>
      <c r="O1502" s="256" t="inlineStr">
        <is>
          <t>—</t>
        </is>
      </c>
      <c r="P1502" s="256" t="inlineStr">
        <is>
          <t>not tested — no certificate covers it</t>
        </is>
      </c>
      <c r="Q1502" s="256" t="inlineStr"/>
      <c r="R1502" s="256" t="inlineStr">
        <is>
          <t>&lt;LOQ (227-21-К/26)</t>
        </is>
      </c>
    </row>
    <row r="1503">
      <c r="A1503" s="256" t="inlineStr">
        <is>
          <t>CoQ-PP_26-066</t>
        </is>
      </c>
      <c r="B1503" s="256" t="inlineStr">
        <is>
          <t>release</t>
        </is>
      </c>
      <c r="C1503" s="256" t="inlineStr">
        <is>
          <t>GG012601</t>
        </is>
      </c>
      <c r="D1503" s="256" t="inlineStr">
        <is>
          <t>— no P lot assigned —</t>
        </is>
      </c>
      <c r="E1503" s="256" t="inlineStr">
        <is>
          <t>Gorilla Glue</t>
        </is>
      </c>
      <c r="F1503" s="256" t="inlineStr">
        <is>
          <t>06.06.2026</t>
        </is>
      </c>
      <c r="G1503" s="256" t="inlineStr">
        <is>
          <t>7</t>
        </is>
      </c>
      <c r="H1503" s="256" t="inlineStr">
        <is>
          <t>Foreign Matter</t>
        </is>
      </c>
      <c r="I1503" s="256" t="inlineStr">
        <is>
          <t>Ph. Eur. 2.8.2 · In-house · интерна</t>
        </is>
      </c>
      <c r="J1503" s="256" t="inlineStr">
        <is>
          <t>≤ 2.0% / 25–50 g · &lt; 1 cm leaves | листови, no seeds | без семки</t>
        </is>
      </c>
      <c r="K1503" s="256" t="inlineStr">
        <is>
          <t>Conforms | Одговара</t>
        </is>
      </c>
      <c r="L1503" s="256" t="inlineStr">
        <is>
          <t>iCoA-PP_26-076</t>
        </is>
      </c>
      <c r="M1503" s="256" t="inlineStr">
        <is>
          <t>03.06.2026</t>
        </is>
      </c>
      <c r="N1503" s="256" t="inlineStr">
        <is>
          <t>Purely Plant GmbH (in-house)</t>
        </is>
      </c>
      <c r="O1503" s="256" t="inlineStr">
        <is>
          <t>—</t>
        </is>
      </c>
      <c r="P1503" s="256" t="inlineStr">
        <is>
          <t>to be performed — see route</t>
        </is>
      </c>
      <c r="Q1503" s="256" t="inlineStr">
        <is>
          <t>Purely Plant laboratory — iCoA covering Foreign matter</t>
        </is>
      </c>
      <c r="R1503" s="256" t="inlineStr"/>
    </row>
    <row r="1504">
      <c r="A1504" s="256" t="inlineStr">
        <is>
          <t>CoQ-PP_26-066</t>
        </is>
      </c>
      <c r="B1504" s="256" t="inlineStr">
        <is>
          <t>release</t>
        </is>
      </c>
      <c r="C1504" s="256" t="inlineStr">
        <is>
          <t>GG012601</t>
        </is>
      </c>
      <c r="D1504" s="256" t="inlineStr">
        <is>
          <t>— no P lot assigned —</t>
        </is>
      </c>
      <c r="E1504" s="256" t="inlineStr">
        <is>
          <t>Gorilla Glue</t>
        </is>
      </c>
      <c r="F1504" s="256" t="inlineStr">
        <is>
          <t>06.06.2026</t>
        </is>
      </c>
      <c r="G1504" s="256" t="inlineStr">
        <is>
          <t>8</t>
        </is>
      </c>
      <c r="H1504" s="256" t="inlineStr">
        <is>
          <t>Loss on Drying</t>
        </is>
      </c>
      <c r="I1504" s="256" t="inlineStr">
        <is>
          <t>DAB 2018 monograph Cannabis flos, 2.2.32 — loss on drying (CNP, before its Ph. Eur. 3028 accreditation)</t>
        </is>
      </c>
      <c r="J1504" s="256" t="inlineStr">
        <is>
          <t>≤ 12.0%</t>
        </is>
      </c>
      <c r="K1504" s="256" t="inlineStr">
        <is>
          <t>6.13</t>
        </is>
      </c>
      <c r="L1504" s="256" t="inlineStr">
        <is>
          <t>ППК26062</t>
        </is>
      </c>
      <c r="M1504" s="256" t="inlineStr">
        <is>
          <t>11.05.2026</t>
        </is>
      </c>
      <c r="N1504" s="256" t="inlineStr">
        <is>
          <t>UKIM Faculty of Pharmacy — Center for Natural Products</t>
        </is>
      </c>
      <c r="O1504" s="256" t="inlineStr">
        <is>
          <t>21.04.2026</t>
        </is>
      </c>
      <c r="P1504" s="256" t="inlineStr">
        <is>
          <t>covered</t>
        </is>
      </c>
      <c r="Q1504" s="256" t="inlineStr"/>
      <c r="R1504" s="256" t="inlineStr"/>
    </row>
    <row r="1505">
      <c r="A1505" s="256" t="inlineStr">
        <is>
          <t>CoQ-PP_26-066</t>
        </is>
      </c>
      <c r="B1505" s="256" t="inlineStr">
        <is>
          <t>release</t>
        </is>
      </c>
      <c r="C1505" s="256" t="inlineStr">
        <is>
          <t>GG012601</t>
        </is>
      </c>
      <c r="D1505" s="256" t="inlineStr">
        <is>
          <t>— no P lot assigned —</t>
        </is>
      </c>
      <c r="E1505" s="256" t="inlineStr">
        <is>
          <t>Gorilla Glue</t>
        </is>
      </c>
      <c r="F1505" s="256" t="inlineStr">
        <is>
          <t>06.06.2026</t>
        </is>
      </c>
      <c r="G1505" s="256" t="inlineStr">
        <is>
          <t>9.1</t>
        </is>
      </c>
      <c r="H1505" s="256" t="inlineStr">
        <is>
          <t>TAMC</t>
        </is>
      </c>
      <c r="I1505" s="256" t="inlineStr">
        <is>
          <t>Ph. Eur. 2.6.12 cat. C</t>
        </is>
      </c>
      <c r="J1505" s="256" t="inlineStr">
        <is>
          <t>≤ 10⁵ CFU/g</t>
        </is>
      </c>
      <c r="K1505" s="256" t="inlineStr">
        <is>
          <t>1 × 10⁴</t>
        </is>
      </c>
      <c r="L1505" s="256" t="inlineStr">
        <is>
          <t>310/0554/26</t>
        </is>
      </c>
      <c r="M1505" s="256" t="inlineStr">
        <is>
          <t>28.04.2026</t>
        </is>
      </c>
      <c r="N1505" s="256" t="inlineStr">
        <is>
          <t>IPH — Institute of Public Health</t>
        </is>
      </c>
      <c r="O1505" s="256" t="inlineStr">
        <is>
          <t>22.04.2026</t>
        </is>
      </c>
      <c r="P1505" s="256" t="inlineStr">
        <is>
          <t>covered</t>
        </is>
      </c>
      <c r="Q1505" s="256" t="inlineStr"/>
      <c r="R1505" s="256" t="inlineStr"/>
    </row>
    <row r="1506">
      <c r="A1506" s="256" t="inlineStr">
        <is>
          <t>CoQ-PP_26-066</t>
        </is>
      </c>
      <c r="B1506" s="256" t="inlineStr">
        <is>
          <t>release</t>
        </is>
      </c>
      <c r="C1506" s="256" t="inlineStr">
        <is>
          <t>GG012601</t>
        </is>
      </c>
      <c r="D1506" s="256" t="inlineStr">
        <is>
          <t>— no P lot assigned —</t>
        </is>
      </c>
      <c r="E1506" s="256" t="inlineStr">
        <is>
          <t>Gorilla Glue</t>
        </is>
      </c>
      <c r="F1506" s="256" t="inlineStr">
        <is>
          <t>06.06.2026</t>
        </is>
      </c>
      <c r="G1506" s="256" t="inlineStr">
        <is>
          <t>9.2</t>
        </is>
      </c>
      <c r="H1506" s="256" t="inlineStr">
        <is>
          <t>TYMC</t>
        </is>
      </c>
      <c r="I1506" s="256" t="inlineStr">
        <is>
          <t>Ph. Eur. 2.6.12 cat. C</t>
        </is>
      </c>
      <c r="J1506" s="256" t="inlineStr">
        <is>
          <t>≤ 10⁴ CFU/g</t>
        </is>
      </c>
      <c r="K1506" s="256" t="inlineStr">
        <is>
          <t>1 × 10⁴</t>
        </is>
      </c>
      <c r="L1506" s="256" t="inlineStr">
        <is>
          <t>310/0554/26</t>
        </is>
      </c>
      <c r="M1506" s="256" t="inlineStr">
        <is>
          <t>28.04.2026</t>
        </is>
      </c>
      <c r="N1506" s="256" t="inlineStr">
        <is>
          <t>IPH — Institute of Public Health</t>
        </is>
      </c>
      <c r="O1506" s="256" t="inlineStr">
        <is>
          <t>22.04.2026</t>
        </is>
      </c>
      <c r="P1506" s="256" t="inlineStr">
        <is>
          <t>covered</t>
        </is>
      </c>
      <c r="Q1506" s="256" t="inlineStr"/>
      <c r="R1506" s="256" t="inlineStr"/>
    </row>
    <row r="1507">
      <c r="A1507" s="256" t="inlineStr">
        <is>
          <t>CoQ-PP_26-066</t>
        </is>
      </c>
      <c r="B1507" s="256" t="inlineStr">
        <is>
          <t>release</t>
        </is>
      </c>
      <c r="C1507" s="256" t="inlineStr">
        <is>
          <t>GG012601</t>
        </is>
      </c>
      <c r="D1507" s="256" t="inlineStr">
        <is>
          <t>— no P lot assigned —</t>
        </is>
      </c>
      <c r="E1507" s="256" t="inlineStr">
        <is>
          <t>Gorilla Glue</t>
        </is>
      </c>
      <c r="F1507" s="256" t="inlineStr">
        <is>
          <t>06.06.2026</t>
        </is>
      </c>
      <c r="G1507" s="256" t="inlineStr">
        <is>
          <t>9.3</t>
        </is>
      </c>
      <c r="H1507" s="256" t="inlineStr">
        <is>
          <t>Bile-tolerant gram-neg.</t>
        </is>
      </c>
      <c r="I1507" s="256" t="inlineStr">
        <is>
          <t>Ph. Eur. 2.6.31 cat. C</t>
        </is>
      </c>
      <c r="J1507" s="256" t="inlineStr">
        <is>
          <t>≤ 10⁴ CFU/g</t>
        </is>
      </c>
      <c r="K1507" s="256" t="inlineStr">
        <is>
          <t>&lt; 10</t>
        </is>
      </c>
      <c r="L1507" s="256" t="inlineStr">
        <is>
          <t>310/0554/26</t>
        </is>
      </c>
      <c r="M1507" s="256" t="inlineStr">
        <is>
          <t>28.04.2026</t>
        </is>
      </c>
      <c r="N1507" s="256" t="inlineStr">
        <is>
          <t>IPH — Institute of Public Health</t>
        </is>
      </c>
      <c r="O1507" s="256" t="inlineStr">
        <is>
          <t>22.04.2026</t>
        </is>
      </c>
      <c r="P1507" s="256" t="inlineStr">
        <is>
          <t>covered</t>
        </is>
      </c>
      <c r="Q1507" s="256" t="inlineStr"/>
      <c r="R1507" s="256" t="inlineStr"/>
    </row>
    <row r="1508">
      <c r="A1508" s="256" t="inlineStr">
        <is>
          <t>CoQ-PP_26-066</t>
        </is>
      </c>
      <c r="B1508" s="256" t="inlineStr">
        <is>
          <t>release</t>
        </is>
      </c>
      <c r="C1508" s="256" t="inlineStr">
        <is>
          <t>GG012601</t>
        </is>
      </c>
      <c r="D1508" s="256" t="inlineStr">
        <is>
          <t>— no P lot assigned —</t>
        </is>
      </c>
      <c r="E1508" s="256" t="inlineStr">
        <is>
          <t>Gorilla Glue</t>
        </is>
      </c>
      <c r="F1508" s="256" t="inlineStr">
        <is>
          <t>06.06.2026</t>
        </is>
      </c>
      <c r="G1508" s="256" t="inlineStr">
        <is>
          <t>9.4</t>
        </is>
      </c>
      <c r="H1508" s="256" t="inlineStr">
        <is>
          <t>Salmonella</t>
        </is>
      </c>
      <c r="I1508" s="256" t="inlineStr">
        <is>
          <t>Ph. Eur. 2.6.31 cat. C</t>
        </is>
      </c>
      <c r="J1508" s="256" t="inlineStr">
        <is>
          <t>Absence | Отсуство / 25 g</t>
        </is>
      </c>
      <c r="K1508" s="256" t="inlineStr">
        <is>
          <t>Absent | Отсутна</t>
        </is>
      </c>
      <c r="L1508" s="256" t="inlineStr">
        <is>
          <t>310/0554/26</t>
        </is>
      </c>
      <c r="M1508" s="256" t="inlineStr">
        <is>
          <t>28.04.2026</t>
        </is>
      </c>
      <c r="N1508" s="256" t="inlineStr">
        <is>
          <t>IPH — Institute of Public Health</t>
        </is>
      </c>
      <c r="O1508" s="256" t="inlineStr">
        <is>
          <t>22.04.2026</t>
        </is>
      </c>
      <c r="P1508" s="256" t="inlineStr">
        <is>
          <t>covered</t>
        </is>
      </c>
      <c r="Q1508" s="256" t="inlineStr"/>
      <c r="R1508" s="256" t="inlineStr"/>
    </row>
    <row r="1509">
      <c r="A1509" s="256" t="inlineStr">
        <is>
          <t>CoQ-PP_26-066</t>
        </is>
      </c>
      <c r="B1509" s="256" t="inlineStr">
        <is>
          <t>release</t>
        </is>
      </c>
      <c r="C1509" s="256" t="inlineStr">
        <is>
          <t>GG012601</t>
        </is>
      </c>
      <c r="D1509" s="256" t="inlineStr">
        <is>
          <t>— no P lot assigned —</t>
        </is>
      </c>
      <c r="E1509" s="256" t="inlineStr">
        <is>
          <t>Gorilla Glue</t>
        </is>
      </c>
      <c r="F1509" s="256" t="inlineStr">
        <is>
          <t>06.06.2026</t>
        </is>
      </c>
      <c r="G1509" s="256" t="inlineStr">
        <is>
          <t>9.5</t>
        </is>
      </c>
      <c r="H1509" s="256" t="inlineStr">
        <is>
          <t>Escherichia coli</t>
        </is>
      </c>
      <c r="I1509" s="256" t="inlineStr">
        <is>
          <t>Ph. Eur. 2.6.13 cat. C</t>
        </is>
      </c>
      <c r="J1509" s="256" t="inlineStr">
        <is>
          <t>Absence | Отсуство / 1 g</t>
        </is>
      </c>
      <c r="K1509" s="256" t="inlineStr">
        <is>
          <t>Absent | Отсутна</t>
        </is>
      </c>
      <c r="L1509" s="256" t="inlineStr">
        <is>
          <t>310/0554/26</t>
        </is>
      </c>
      <c r="M1509" s="256" t="inlineStr">
        <is>
          <t>28.04.2026</t>
        </is>
      </c>
      <c r="N1509" s="256" t="inlineStr">
        <is>
          <t>IPH — Institute of Public Health</t>
        </is>
      </c>
      <c r="O1509" s="256" t="inlineStr">
        <is>
          <t>22.04.2026</t>
        </is>
      </c>
      <c r="P1509" s="256" t="inlineStr">
        <is>
          <t>covered</t>
        </is>
      </c>
      <c r="Q1509" s="256" t="inlineStr"/>
      <c r="R1509" s="256" t="inlineStr"/>
    </row>
    <row r="1510">
      <c r="A1510" s="256" t="inlineStr">
        <is>
          <t>CoQ-PP_26-066</t>
        </is>
      </c>
      <c r="B1510" s="256" t="inlineStr">
        <is>
          <t>release</t>
        </is>
      </c>
      <c r="C1510" s="256" t="inlineStr">
        <is>
          <t>GG012601</t>
        </is>
      </c>
      <c r="D1510" s="256" t="inlineStr">
        <is>
          <t>— no P lot assigned —</t>
        </is>
      </c>
      <c r="E1510" s="256" t="inlineStr">
        <is>
          <t>Gorilla Glue</t>
        </is>
      </c>
      <c r="F1510" s="256" t="inlineStr">
        <is>
          <t>06.06.2026</t>
        </is>
      </c>
      <c r="G1510" s="256" t="inlineStr">
        <is>
          <t>9.6</t>
        </is>
      </c>
      <c r="H1510" s="256" t="inlineStr">
        <is>
          <t>Pseudomonas aeruginosa</t>
        </is>
      </c>
      <c r="I1510" s="256" t="inlineStr">
        <is>
          <t>Ph. Eur. 2.6.13 cat. C</t>
        </is>
      </c>
      <c r="J1510" s="256" t="inlineStr">
        <is>
          <t>Absence | Отсуство / 1 g</t>
        </is>
      </c>
      <c r="K1510" s="260" t="inlineStr">
        <is>
          <t>upon request — not required for release</t>
        </is>
      </c>
      <c r="L1510" s="256" t="inlineStr">
        <is>
          <t>—</t>
        </is>
      </c>
      <c r="M1510" s="256" t="inlineStr">
        <is>
          <t>—</t>
        </is>
      </c>
      <c r="N1510" s="256" t="inlineStr">
        <is>
          <t>—</t>
        </is>
      </c>
      <c r="O1510" s="256" t="inlineStr">
        <is>
          <t>—</t>
        </is>
      </c>
      <c r="P1510" s="256" t="inlineStr">
        <is>
          <t>upon request — not required for release</t>
        </is>
      </c>
      <c r="Q1510" s="256" t="inlineStr"/>
      <c r="R1510" s="256" t="inlineStr"/>
    </row>
    <row r="1511">
      <c r="A1511" s="256" t="inlineStr">
        <is>
          <t>CoQ-PP_26-066</t>
        </is>
      </c>
      <c r="B1511" s="256" t="inlineStr">
        <is>
          <t>release</t>
        </is>
      </c>
      <c r="C1511" s="256" t="inlineStr">
        <is>
          <t>GG012601</t>
        </is>
      </c>
      <c r="D1511" s="256" t="inlineStr">
        <is>
          <t>— no P lot assigned —</t>
        </is>
      </c>
      <c r="E1511" s="256" t="inlineStr">
        <is>
          <t>Gorilla Glue</t>
        </is>
      </c>
      <c r="F1511" s="256" t="inlineStr">
        <is>
          <t>06.06.2026</t>
        </is>
      </c>
      <c r="G1511" s="256" t="inlineStr">
        <is>
          <t>9.7</t>
        </is>
      </c>
      <c r="H1511" s="256" t="inlineStr">
        <is>
          <t>Staphylococcus aureus</t>
        </is>
      </c>
      <c r="I1511" s="256" t="inlineStr">
        <is>
          <t>Ph. Eur. 2.6.13 cat. C</t>
        </is>
      </c>
      <c r="J1511" s="256" t="inlineStr">
        <is>
          <t>Absence | Отсуство / 1 g</t>
        </is>
      </c>
      <c r="K1511" s="260" t="inlineStr">
        <is>
          <t>upon request — not required for release</t>
        </is>
      </c>
      <c r="L1511" s="256" t="inlineStr">
        <is>
          <t>—</t>
        </is>
      </c>
      <c r="M1511" s="256" t="inlineStr">
        <is>
          <t>—</t>
        </is>
      </c>
      <c r="N1511" s="256" t="inlineStr">
        <is>
          <t>—</t>
        </is>
      </c>
      <c r="O1511" s="256" t="inlineStr">
        <is>
          <t>—</t>
        </is>
      </c>
      <c r="P1511" s="256" t="inlineStr">
        <is>
          <t>upon request — not required for release</t>
        </is>
      </c>
      <c r="Q1511" s="256" t="inlineStr"/>
      <c r="R1511" s="256" t="inlineStr"/>
    </row>
    <row r="1512">
      <c r="A1512" s="256" t="inlineStr">
        <is>
          <t>CoQ-PP_26-066</t>
        </is>
      </c>
      <c r="B1512" s="256" t="inlineStr">
        <is>
          <t>release</t>
        </is>
      </c>
      <c r="C1512" s="256" t="inlineStr">
        <is>
          <t>GG012601</t>
        </is>
      </c>
      <c r="D1512" s="256" t="inlineStr">
        <is>
          <t>— no P lot assigned —</t>
        </is>
      </c>
      <c r="E1512" s="256" t="inlineStr">
        <is>
          <t>Gorilla Glue</t>
        </is>
      </c>
      <c r="F1512" s="256" t="inlineStr">
        <is>
          <t>06.06.2026</t>
        </is>
      </c>
      <c r="G1512" s="256" t="inlineStr">
        <is>
          <t>10.1</t>
        </is>
      </c>
      <c r="H1512" s="256" t="inlineStr">
        <is>
          <t>Aflatoxin B₁</t>
        </is>
      </c>
      <c r="I1512" s="256" t="inlineStr">
        <is>
          <t>Ph. Eur. 2.8.18 (HPLC-FLD)</t>
        </is>
      </c>
      <c r="J1512" s="256" t="inlineStr">
        <is>
          <t>≤ 2 µg/kg</t>
        </is>
      </c>
      <c r="K1512" s="259" t="inlineStr">
        <is>
          <t>not tested</t>
        </is>
      </c>
      <c r="L1512" s="256" t="inlineStr">
        <is>
          <t>—</t>
        </is>
      </c>
      <c r="M1512" s="256" t="inlineStr">
        <is>
          <t>—</t>
        </is>
      </c>
      <c r="N1512" s="256" t="inlineStr">
        <is>
          <t>—</t>
        </is>
      </c>
      <c r="O1512" s="256" t="inlineStr">
        <is>
          <t>—</t>
        </is>
      </c>
      <c r="P1512" s="256" t="inlineStr">
        <is>
          <t>not tested — no certificate covers it</t>
        </is>
      </c>
      <c r="Q1512" s="256" t="inlineStr"/>
      <c r="R1512" s="256" t="inlineStr"/>
    </row>
    <row r="1513">
      <c r="A1513" s="256" t="inlineStr">
        <is>
          <t>CoQ-PP_26-066</t>
        </is>
      </c>
      <c r="B1513" s="256" t="inlineStr">
        <is>
          <t>release</t>
        </is>
      </c>
      <c r="C1513" s="256" t="inlineStr">
        <is>
          <t>GG012601</t>
        </is>
      </c>
      <c r="D1513" s="256" t="inlineStr">
        <is>
          <t>— no P lot assigned —</t>
        </is>
      </c>
      <c r="E1513" s="256" t="inlineStr">
        <is>
          <t>Gorilla Glue</t>
        </is>
      </c>
      <c r="F1513" s="256" t="inlineStr">
        <is>
          <t>06.06.2026</t>
        </is>
      </c>
      <c r="G1513" s="256" t="inlineStr">
        <is>
          <t>10.2</t>
        </is>
      </c>
      <c r="H1513" s="256" t="inlineStr">
        <is>
          <t>Aflatoxins ∑</t>
        </is>
      </c>
      <c r="I1513" s="256" t="inlineStr">
        <is>
          <t>Ph. Eur. 2.8.18 (HPLC-FLD)</t>
        </is>
      </c>
      <c r="J1513" s="256" t="inlineStr">
        <is>
          <t>≤ 4 µg/kg</t>
        </is>
      </c>
      <c r="K1513" s="256" t="inlineStr">
        <is>
          <t>&lt; 2</t>
        </is>
      </c>
      <c r="L1513" s="256" t="inlineStr">
        <is>
          <t>2364/2026</t>
        </is>
      </c>
      <c r="M1513" s="256" t="inlineStr">
        <is>
          <t>30.04.2026</t>
        </is>
      </c>
      <c r="N1513" s="256" t="inlineStr">
        <is>
          <t>IPH — Institute of Public Health</t>
        </is>
      </c>
      <c r="O1513" s="256" t="inlineStr">
        <is>
          <t>21.04.2026</t>
        </is>
      </c>
      <c r="P1513" s="256" t="inlineStr">
        <is>
          <t>covered</t>
        </is>
      </c>
      <c r="Q1513" s="256" t="inlineStr"/>
      <c r="R1513" s="256" t="inlineStr"/>
    </row>
    <row r="1514">
      <c r="A1514" s="256" t="inlineStr">
        <is>
          <t>CoQ-PP_26-066</t>
        </is>
      </c>
      <c r="B1514" s="256" t="inlineStr">
        <is>
          <t>release</t>
        </is>
      </c>
      <c r="C1514" s="256" t="inlineStr">
        <is>
          <t>GG012601</t>
        </is>
      </c>
      <c r="D1514" s="256" t="inlineStr">
        <is>
          <t>— no P lot assigned —</t>
        </is>
      </c>
      <c r="E1514" s="256" t="inlineStr">
        <is>
          <t>Gorilla Glue</t>
        </is>
      </c>
      <c r="F1514" s="256" t="inlineStr">
        <is>
          <t>06.06.2026</t>
        </is>
      </c>
      <c r="G1514" s="256" t="inlineStr">
        <is>
          <t>10.3</t>
        </is>
      </c>
      <c r="H1514" s="256" t="inlineStr">
        <is>
          <t>Ochratoxin A</t>
        </is>
      </c>
      <c r="I1514" s="256" t="inlineStr">
        <is>
          <t>Ph. Eur. 2.8.22 (HPLC-FLD)</t>
        </is>
      </c>
      <c r="J1514" s="256" t="inlineStr">
        <is>
          <t>≤ 20 µg/kg</t>
        </is>
      </c>
      <c r="K1514" s="259" t="inlineStr">
        <is>
          <t>not tested</t>
        </is>
      </c>
      <c r="L1514" s="256" t="inlineStr">
        <is>
          <t>—</t>
        </is>
      </c>
      <c r="M1514" s="256" t="inlineStr">
        <is>
          <t>—</t>
        </is>
      </c>
      <c r="N1514" s="256" t="inlineStr">
        <is>
          <t>—</t>
        </is>
      </c>
      <c r="O1514" s="256" t="inlineStr">
        <is>
          <t>—</t>
        </is>
      </c>
      <c r="P1514" s="256" t="inlineStr">
        <is>
          <t>not tested — no certificate covers it</t>
        </is>
      </c>
      <c r="Q1514" s="256" t="inlineStr"/>
      <c r="R1514" s="256" t="inlineStr"/>
    </row>
    <row r="1515">
      <c r="A1515" s="256" t="inlineStr">
        <is>
          <t>CoQ-PP_26-066</t>
        </is>
      </c>
      <c r="B1515" s="256" t="inlineStr">
        <is>
          <t>release</t>
        </is>
      </c>
      <c r="C1515" s="256" t="inlineStr">
        <is>
          <t>GG012601</t>
        </is>
      </c>
      <c r="D1515" s="256" t="inlineStr">
        <is>
          <t>— no P lot assigned —</t>
        </is>
      </c>
      <c r="E1515" s="256" t="inlineStr">
        <is>
          <t>Gorilla Glue</t>
        </is>
      </c>
      <c r="F1515" s="256" t="inlineStr">
        <is>
          <t>06.06.2026</t>
        </is>
      </c>
      <c r="G1515" s="256" t="inlineStr">
        <is>
          <t>11.1</t>
        </is>
      </c>
      <c r="H1515" s="256" t="inlineStr">
        <is>
          <t>Lead (Pb)</t>
        </is>
      </c>
      <c r="I1515" s="256" t="inlineStr">
        <is>
          <t>Ph. Eur. 2.4.27 (ICP-MS)</t>
        </is>
      </c>
      <c r="J1515" s="256" t="inlineStr">
        <is>
          <t>≤ 0.5 mg/kg</t>
        </is>
      </c>
      <c r="K1515" s="256" t="inlineStr">
        <is>
          <t>0.0227</t>
        </is>
      </c>
      <c r="L1515" s="256" t="inlineStr">
        <is>
          <t>2364/2026</t>
        </is>
      </c>
      <c r="M1515" s="256" t="inlineStr">
        <is>
          <t>30.04.2026</t>
        </is>
      </c>
      <c r="N1515" s="256" t="inlineStr">
        <is>
          <t>IPH — Institute of Public Health</t>
        </is>
      </c>
      <c r="O1515" s="256" t="inlineStr">
        <is>
          <t>21.04.2026</t>
        </is>
      </c>
      <c r="P1515" s="256" t="inlineStr">
        <is>
          <t>covered</t>
        </is>
      </c>
      <c r="Q1515" s="256" t="inlineStr"/>
      <c r="R1515" s="256" t="inlineStr"/>
    </row>
    <row r="1516">
      <c r="A1516" s="256" t="inlineStr">
        <is>
          <t>CoQ-PP_26-066</t>
        </is>
      </c>
      <c r="B1516" s="256" t="inlineStr">
        <is>
          <t>release</t>
        </is>
      </c>
      <c r="C1516" s="256" t="inlineStr">
        <is>
          <t>GG012601</t>
        </is>
      </c>
      <c r="D1516" s="256" t="inlineStr">
        <is>
          <t>— no P lot assigned —</t>
        </is>
      </c>
      <c r="E1516" s="256" t="inlineStr">
        <is>
          <t>Gorilla Glue</t>
        </is>
      </c>
      <c r="F1516" s="256" t="inlineStr">
        <is>
          <t>06.06.2026</t>
        </is>
      </c>
      <c r="G1516" s="256" t="inlineStr">
        <is>
          <t>11.2</t>
        </is>
      </c>
      <c r="H1516" s="256" t="inlineStr">
        <is>
          <t>Cadmium (Cd)</t>
        </is>
      </c>
      <c r="I1516" s="256" t="inlineStr">
        <is>
          <t>Ph. Eur. 2.4.27 (ICP-MS)</t>
        </is>
      </c>
      <c r="J1516" s="256" t="inlineStr">
        <is>
          <t>≤ 0.3 mg/kg</t>
        </is>
      </c>
      <c r="K1516" s="256" t="inlineStr">
        <is>
          <t>0.0179</t>
        </is>
      </c>
      <c r="L1516" s="256" t="inlineStr">
        <is>
          <t>2364/2026</t>
        </is>
      </c>
      <c r="M1516" s="256" t="inlineStr">
        <is>
          <t>30.04.2026</t>
        </is>
      </c>
      <c r="N1516" s="256" t="inlineStr">
        <is>
          <t>IPH — Institute of Public Health</t>
        </is>
      </c>
      <c r="O1516" s="256" t="inlineStr">
        <is>
          <t>21.04.2026</t>
        </is>
      </c>
      <c r="P1516" s="256" t="inlineStr">
        <is>
          <t>covered</t>
        </is>
      </c>
      <c r="Q1516" s="256" t="inlineStr"/>
      <c r="R1516" s="256" t="inlineStr"/>
    </row>
    <row r="1517">
      <c r="A1517" s="256" t="inlineStr">
        <is>
          <t>CoQ-PP_26-066</t>
        </is>
      </c>
      <c r="B1517" s="256" t="inlineStr">
        <is>
          <t>release</t>
        </is>
      </c>
      <c r="C1517" s="256" t="inlineStr">
        <is>
          <t>GG012601</t>
        </is>
      </c>
      <c r="D1517" s="256" t="inlineStr">
        <is>
          <t>— no P lot assigned —</t>
        </is>
      </c>
      <c r="E1517" s="256" t="inlineStr">
        <is>
          <t>Gorilla Glue</t>
        </is>
      </c>
      <c r="F1517" s="256" t="inlineStr">
        <is>
          <t>06.06.2026</t>
        </is>
      </c>
      <c r="G1517" s="256" t="inlineStr">
        <is>
          <t>11.3</t>
        </is>
      </c>
      <c r="H1517" s="256" t="inlineStr">
        <is>
          <t>Arsenic (As)</t>
        </is>
      </c>
      <c r="I1517" s="256" t="inlineStr">
        <is>
          <t>Ph. Eur. 2.4.27 (ICP-MS)</t>
        </is>
      </c>
      <c r="J1517" s="256" t="inlineStr">
        <is>
          <t>≤ 0.2 mg/kg</t>
        </is>
      </c>
      <c r="K1517" s="256" t="inlineStr">
        <is>
          <t>0.0163</t>
        </is>
      </c>
      <c r="L1517" s="256" t="inlineStr">
        <is>
          <t>2364/2026</t>
        </is>
      </c>
      <c r="M1517" s="256" t="inlineStr">
        <is>
          <t>30.04.2026</t>
        </is>
      </c>
      <c r="N1517" s="256" t="inlineStr">
        <is>
          <t>IPH — Institute of Public Health</t>
        </is>
      </c>
      <c r="O1517" s="256" t="inlineStr">
        <is>
          <t>21.04.2026</t>
        </is>
      </c>
      <c r="P1517" s="256" t="inlineStr">
        <is>
          <t>covered</t>
        </is>
      </c>
      <c r="Q1517" s="256" t="inlineStr"/>
      <c r="R1517" s="256" t="inlineStr"/>
    </row>
    <row r="1518">
      <c r="A1518" s="256" t="inlineStr">
        <is>
          <t>CoQ-PP_26-066</t>
        </is>
      </c>
      <c r="B1518" s="256" t="inlineStr">
        <is>
          <t>release</t>
        </is>
      </c>
      <c r="C1518" s="256" t="inlineStr">
        <is>
          <t>GG012601</t>
        </is>
      </c>
      <c r="D1518" s="256" t="inlineStr">
        <is>
          <t>— no P lot assigned —</t>
        </is>
      </c>
      <c r="E1518" s="256" t="inlineStr">
        <is>
          <t>Gorilla Glue</t>
        </is>
      </c>
      <c r="F1518" s="256" t="inlineStr">
        <is>
          <t>06.06.2026</t>
        </is>
      </c>
      <c r="G1518" s="256" t="inlineStr">
        <is>
          <t>11.4</t>
        </is>
      </c>
      <c r="H1518" s="256" t="inlineStr">
        <is>
          <t>Mercury (Hg)</t>
        </is>
      </c>
      <c r="I1518" s="256" t="inlineStr">
        <is>
          <t>Ph. Eur. 2.4.27 (ICP-MS)</t>
        </is>
      </c>
      <c r="J1518" s="256" t="inlineStr">
        <is>
          <t>≤ 0.1 mg/kg</t>
        </is>
      </c>
      <c r="K1518" s="256" t="inlineStr">
        <is>
          <t>0.031</t>
        </is>
      </c>
      <c r="L1518" s="256" t="inlineStr">
        <is>
          <t>2364/2026</t>
        </is>
      </c>
      <c r="M1518" s="256" t="inlineStr">
        <is>
          <t>30.04.2026</t>
        </is>
      </c>
      <c r="N1518" s="256" t="inlineStr">
        <is>
          <t>IPH — Institute of Public Health</t>
        </is>
      </c>
      <c r="O1518" s="256" t="inlineStr">
        <is>
          <t>21.04.2026</t>
        </is>
      </c>
      <c r="P1518" s="256" t="inlineStr">
        <is>
          <t>covered</t>
        </is>
      </c>
      <c r="Q1518" s="256" t="inlineStr"/>
      <c r="R1518" s="256" t="inlineStr"/>
    </row>
    <row r="1519">
      <c r="A1519" s="256" t="inlineStr">
        <is>
          <t>CoQ-PP_26-066</t>
        </is>
      </c>
      <c r="B1519" s="256" t="inlineStr">
        <is>
          <t>release</t>
        </is>
      </c>
      <c r="C1519" s="256" t="inlineStr">
        <is>
          <t>GG012601</t>
        </is>
      </c>
      <c r="D1519" s="256" t="inlineStr">
        <is>
          <t>— no P lot assigned —</t>
        </is>
      </c>
      <c r="E1519" s="256" t="inlineStr">
        <is>
          <t>Gorilla Glue</t>
        </is>
      </c>
      <c r="F1519" s="256" t="inlineStr">
        <is>
          <t>06.06.2026</t>
        </is>
      </c>
      <c r="G1519" s="256" t="inlineStr">
        <is>
          <t>12</t>
        </is>
      </c>
      <c r="H1519" s="256" t="inlineStr">
        <is>
          <t>Pesticide Residues</t>
        </is>
      </c>
      <c r="I1519" s="256" t="inlineStr">
        <is>
          <t>Ph. Eur. 2.8.13 (LC-MS/MS) · CUMCS Equivalency</t>
        </is>
      </c>
      <c r="J1519" s="256" t="inlineStr">
        <is>
          <t>≤ LOQ as per Ph. Eur. 2.8.13 · ≤ LOQ as per CUMCS Equivalency</t>
        </is>
      </c>
      <c r="K1519" s="256" t="inlineStr">
        <is>
          <t>ND</t>
        </is>
      </c>
      <c r="L1519" s="256" t="inlineStr">
        <is>
          <t>2364/2026</t>
        </is>
      </c>
      <c r="M1519" s="256" t="inlineStr">
        <is>
          <t>30.04.2026</t>
        </is>
      </c>
      <c r="N1519" s="256" t="inlineStr">
        <is>
          <t>IPH — Institute of Public Health</t>
        </is>
      </c>
      <c r="O1519" s="256" t="inlineStr">
        <is>
          <t>21.04.2026</t>
        </is>
      </c>
      <c r="P1519" s="256" t="inlineStr">
        <is>
          <t>covered</t>
        </is>
      </c>
      <c r="Q1519" s="256" t="inlineStr"/>
      <c r="R1519" s="256" t="inlineStr"/>
    </row>
    <row r="1520">
      <c r="A1520" s="256" t="inlineStr">
        <is>
          <t>CoQ-PP_26-067</t>
        </is>
      </c>
      <c r="B1520" s="256" t="inlineStr">
        <is>
          <t>release</t>
        </is>
      </c>
      <c r="C1520" s="256" t="inlineStr">
        <is>
          <t>JD012601</t>
        </is>
      </c>
      <c r="D1520" s="256" t="inlineStr">
        <is>
          <t>— no P lot assigned —</t>
        </is>
      </c>
      <c r="E1520" s="256" t="inlineStr">
        <is>
          <t>Jelly Donuts</t>
        </is>
      </c>
      <c r="F1520" s="256" t="inlineStr">
        <is>
          <t>06.06.2026</t>
        </is>
      </c>
      <c r="G1520" s="256" t="inlineStr">
        <is>
          <t>1</t>
        </is>
      </c>
      <c r="H1520" s="256" t="inlineStr">
        <is>
          <t>Identification A, Appearance · Macroscopic</t>
        </is>
      </c>
      <c r="I1520" s="256" t="inlineStr">
        <is>
          <t>Ph. Eur. mon. 3028</t>
        </is>
      </c>
      <c r="J1520" s="256" t="inlineStr">
        <is>
          <t>Conforms to the monograph for Cannabis flos (07/2024:3028) in Ph. Eur. 11.0 | Согласно монографија за Cannabis flos (07/2024:3028) во Ph. Eur. 11.0</t>
        </is>
      </c>
      <c r="K1520" s="256" t="inlineStr">
        <is>
          <t>Conforms | Одговара</t>
        </is>
      </c>
      <c r="L1520" s="256" t="inlineStr">
        <is>
          <t>iCoA-PP_26-077</t>
        </is>
      </c>
      <c r="M1520" s="256" t="inlineStr">
        <is>
          <t>03.06.2026</t>
        </is>
      </c>
      <c r="N1520" s="256" t="inlineStr">
        <is>
          <t>Purely Plant GmbH (in-house)</t>
        </is>
      </c>
      <c r="O1520" s="256" t="inlineStr">
        <is>
          <t>—</t>
        </is>
      </c>
      <c r="P1520" s="256" t="inlineStr">
        <is>
          <t>to be performed — see route</t>
        </is>
      </c>
      <c r="Q1520" s="256" t="inlineStr">
        <is>
          <t>Purely Plant laboratory — iCoA covering Ident A + B</t>
        </is>
      </c>
      <c r="R1520" s="256" t="inlineStr"/>
    </row>
    <row r="1521">
      <c r="A1521" s="256" t="inlineStr">
        <is>
          <t>CoQ-PP_26-067</t>
        </is>
      </c>
      <c r="B1521" s="256" t="inlineStr">
        <is>
          <t>release</t>
        </is>
      </c>
      <c r="C1521" s="256" t="inlineStr">
        <is>
          <t>JD012601</t>
        </is>
      </c>
      <c r="D1521" s="256" t="inlineStr">
        <is>
          <t>— no P lot assigned —</t>
        </is>
      </c>
      <c r="E1521" s="256" t="inlineStr">
        <is>
          <t>Jelly Donuts</t>
        </is>
      </c>
      <c r="F1521" s="256" t="inlineStr">
        <is>
          <t>06.06.2026</t>
        </is>
      </c>
      <c r="G1521" s="256" t="inlineStr">
        <is>
          <t>2</t>
        </is>
      </c>
      <c r="H1521" s="256" t="inlineStr">
        <is>
          <t>Identification B · Microscopic</t>
        </is>
      </c>
      <c r="I1521" s="256" t="inlineStr">
        <is>
          <t>Ph. Eur. 2.8.23 (microscopy)</t>
        </is>
      </c>
      <c r="J1521" s="256" t="inlineStr">
        <is>
          <t>Conforms to the monograph for Cannabis flos (07/2024:3028) in Ph. Eur. 11.0 | Согласно монографија за Cannabis flos (07/2024:3028) во Ph. Eur. 11.0</t>
        </is>
      </c>
      <c r="K1521" s="256" t="inlineStr">
        <is>
          <t>Conforms | Одговара</t>
        </is>
      </c>
      <c r="L1521" s="256" t="inlineStr">
        <is>
          <t>iCoA-PP_26-077</t>
        </is>
      </c>
      <c r="M1521" s="256" t="inlineStr">
        <is>
          <t>03.06.2026</t>
        </is>
      </c>
      <c r="N1521" s="256" t="inlineStr">
        <is>
          <t>Purely Plant GmbH (in-house)</t>
        </is>
      </c>
      <c r="O1521" s="256" t="inlineStr">
        <is>
          <t>—</t>
        </is>
      </c>
      <c r="P1521" s="256" t="inlineStr">
        <is>
          <t>to be performed — see route</t>
        </is>
      </c>
      <c r="Q1521" s="256" t="inlineStr">
        <is>
          <t>Purely Plant laboratory — iCoA covering Ident A + B</t>
        </is>
      </c>
      <c r="R1521" s="256" t="inlineStr"/>
    </row>
    <row r="1522">
      <c r="A1522" s="256" t="inlineStr">
        <is>
          <t>CoQ-PP_26-067</t>
        </is>
      </c>
      <c r="B1522" s="256" t="inlineStr">
        <is>
          <t>release</t>
        </is>
      </c>
      <c r="C1522" s="256" t="inlineStr">
        <is>
          <t>JD012601</t>
        </is>
      </c>
      <c r="D1522" s="256" t="inlineStr">
        <is>
          <t>— no P lot assigned —</t>
        </is>
      </c>
      <c r="E1522" s="256" t="inlineStr">
        <is>
          <t>Jelly Donuts</t>
        </is>
      </c>
      <c r="F1522" s="256" t="inlineStr">
        <is>
          <t>06.06.2026</t>
        </is>
      </c>
      <c r="G1522" s="256" t="inlineStr">
        <is>
          <t>3</t>
        </is>
      </c>
      <c r="H1522" s="256" t="inlineStr">
        <is>
          <t>Identification C · HPLC/HPTLC</t>
        </is>
      </c>
      <c r="I1522" s="256" t="inlineStr">
        <is>
          <t>HPLC — DAB 2018 monograph Cannabis flos, 2.2.29 (CNP, before its Ph. Eur. 3028 accreditation)</t>
        </is>
      </c>
      <c r="J1522" s="256" t="inlineStr">
        <is>
          <t>Conforms to the monograph for Cannabis flos (07/2024:3028) in Ph. Eur. 11.0 | Согласно монографија за Cannabis flos (07/2024:3028) во Ph. Eur. 11.0</t>
        </is>
      </c>
      <c r="K1522" s="256" t="inlineStr">
        <is>
          <t>Conforms | Одговара</t>
        </is>
      </c>
      <c r="L1522" s="256" t="inlineStr">
        <is>
          <t>ППК26064</t>
        </is>
      </c>
      <c r="M1522" s="256" t="inlineStr">
        <is>
          <t>11.05.2026</t>
        </is>
      </c>
      <c r="N1522" s="256" t="inlineStr">
        <is>
          <t>UKIM Faculty of Pharmacy — Center for Natural Products</t>
        </is>
      </c>
      <c r="O1522" s="256" t="inlineStr">
        <is>
          <t>21.04.2026</t>
        </is>
      </c>
      <c r="P1522" s="256" t="inlineStr">
        <is>
          <t>covered</t>
        </is>
      </c>
      <c r="Q1522" s="256" t="inlineStr"/>
      <c r="R1522" s="256" t="inlineStr"/>
    </row>
    <row r="1523">
      <c r="A1523" s="256" t="inlineStr">
        <is>
          <t>CoQ-PP_26-067</t>
        </is>
      </c>
      <c r="B1523" s="256" t="inlineStr">
        <is>
          <t>release</t>
        </is>
      </c>
      <c r="C1523" s="256" t="inlineStr">
        <is>
          <t>JD012601</t>
        </is>
      </c>
      <c r="D1523" s="256" t="inlineStr">
        <is>
          <t>— no P lot assigned —</t>
        </is>
      </c>
      <c r="E1523" s="256" t="inlineStr">
        <is>
          <t>Jelly Donuts</t>
        </is>
      </c>
      <c r="F1523" s="256" t="inlineStr">
        <is>
          <t>06.06.2026</t>
        </is>
      </c>
      <c r="G1523" s="256" t="inlineStr">
        <is>
          <t>4</t>
        </is>
      </c>
      <c r="H1523" s="256" t="inlineStr">
        <is>
          <t>Assay — Total Δ⁹-THC</t>
        </is>
      </c>
      <c r="I1523" s="256" t="inlineStr">
        <is>
          <t>HPLC — DAB 2018 monograph Cannabis flos, 2.2.29 (CNP, before its Ph. Eur. 3028 accreditation)</t>
        </is>
      </c>
      <c r="J1523" s="256" t="inlineStr">
        <is>
          <t>16.20 – 19.79 %  (grade II, nominal 18.00 ± 1.80)</t>
        </is>
      </c>
      <c r="K1523" s="256" t="inlineStr">
        <is>
          <t>18.16</t>
        </is>
      </c>
      <c r="L1523" s="256" t="inlineStr">
        <is>
          <t>ППК26064</t>
        </is>
      </c>
      <c r="M1523" s="256" t="inlineStr">
        <is>
          <t>11.05.2026</t>
        </is>
      </c>
      <c r="N1523" s="256" t="inlineStr">
        <is>
          <t>UKIM Faculty of Pharmacy — Center for Natural Products</t>
        </is>
      </c>
      <c r="O1523" s="256" t="inlineStr">
        <is>
          <t>21.04.2026</t>
        </is>
      </c>
      <c r="P1523" s="256" t="inlineStr">
        <is>
          <t>covered</t>
        </is>
      </c>
      <c r="Q1523" s="256" t="inlineStr"/>
      <c r="R1523" s="256" t="inlineStr">
        <is>
          <t>19.99 (227-15-К/26)</t>
        </is>
      </c>
    </row>
    <row r="1524">
      <c r="A1524" s="256" t="inlineStr">
        <is>
          <t>CoQ-PP_26-067</t>
        </is>
      </c>
      <c r="B1524" s="256" t="inlineStr">
        <is>
          <t>release</t>
        </is>
      </c>
      <c r="C1524" s="256" t="inlineStr">
        <is>
          <t>JD012601</t>
        </is>
      </c>
      <c r="D1524" s="256" t="inlineStr">
        <is>
          <t>— no P lot assigned —</t>
        </is>
      </c>
      <c r="E1524" s="256" t="inlineStr">
        <is>
          <t>Jelly Donuts</t>
        </is>
      </c>
      <c r="F1524" s="256" t="inlineStr">
        <is>
          <t>06.06.2026</t>
        </is>
      </c>
      <c r="G1524" s="256" t="inlineStr">
        <is>
          <t>5</t>
        </is>
      </c>
      <c r="H1524" s="256" t="inlineStr">
        <is>
          <t>Assay — Total CBD</t>
        </is>
      </c>
      <c r="I1524" s="256" t="inlineStr">
        <is>
          <t>HPLC — DAB 2018 monograph Cannabis flos, 2.2.29 · CBD + CBDA x 0.877 (CNP, before its Ph. Eur. 3028 accreditation)</t>
        </is>
      </c>
      <c r="J1524" s="256" t="inlineStr">
        <is>
          <t>≤ 1.0%, w/w</t>
        </is>
      </c>
      <c r="K1524" s="256" t="inlineStr">
        <is>
          <t>0.06</t>
        </is>
      </c>
      <c r="L1524" s="256" t="inlineStr">
        <is>
          <t>ППК26064</t>
        </is>
      </c>
      <c r="M1524" s="256" t="inlineStr">
        <is>
          <t>11.05.2026</t>
        </is>
      </c>
      <c r="N1524" s="256" t="inlineStr">
        <is>
          <t>UKIM Faculty of Pharmacy — Center for Natural Products</t>
        </is>
      </c>
      <c r="O1524" s="256" t="inlineStr">
        <is>
          <t>21.04.2026</t>
        </is>
      </c>
      <c r="P1524" s="256" t="inlineStr">
        <is>
          <t>covered</t>
        </is>
      </c>
      <c r="Q1524" s="256" t="inlineStr"/>
      <c r="R1524" s="256" t="inlineStr">
        <is>
          <t>&lt;LOQ (227-15-К/26)</t>
        </is>
      </c>
    </row>
    <row r="1525">
      <c r="A1525" s="256" t="inlineStr">
        <is>
          <t>CoQ-PP_26-067</t>
        </is>
      </c>
      <c r="B1525" s="256" t="inlineStr">
        <is>
          <t>release</t>
        </is>
      </c>
      <c r="C1525" s="256" t="inlineStr">
        <is>
          <t>JD012601</t>
        </is>
      </c>
      <c r="D1525" s="256" t="inlineStr">
        <is>
          <t>— no P lot assigned —</t>
        </is>
      </c>
      <c r="E1525" s="256" t="inlineStr">
        <is>
          <t>Jelly Donuts</t>
        </is>
      </c>
      <c r="F1525" s="256" t="inlineStr">
        <is>
          <t>06.06.2026</t>
        </is>
      </c>
      <c r="G1525" s="256" t="inlineStr">
        <is>
          <t>6</t>
        </is>
      </c>
      <c r="H1525" s="256" t="inlineStr">
        <is>
          <t>Total CBN</t>
        </is>
      </c>
      <c r="I1525" s="256" t="inlineStr">
        <is>
          <t>Ph. Eur. 2.2.29 (HPLC) · CBN + CBNA x 0.876</t>
        </is>
      </c>
      <c r="J1525" s="256" t="inlineStr">
        <is>
          <t>≤ 1.0%, w/w</t>
        </is>
      </c>
      <c r="K1525" s="259" t="inlineStr">
        <is>
          <t>not tested</t>
        </is>
      </c>
      <c r="L1525" s="256" t="inlineStr">
        <is>
          <t>—</t>
        </is>
      </c>
      <c r="M1525" s="256" t="inlineStr">
        <is>
          <t>—</t>
        </is>
      </c>
      <c r="N1525" s="256" t="inlineStr">
        <is>
          <t>—</t>
        </is>
      </c>
      <c r="O1525" s="256" t="inlineStr">
        <is>
          <t>—</t>
        </is>
      </c>
      <c r="P1525" s="256" t="inlineStr">
        <is>
          <t>not tested — no certificate covers it</t>
        </is>
      </c>
      <c r="Q1525" s="256" t="inlineStr"/>
      <c r="R1525" s="256" t="inlineStr">
        <is>
          <t>&lt;LOQ (227-15-К/26)</t>
        </is>
      </c>
    </row>
    <row r="1526">
      <c r="A1526" s="256" t="inlineStr">
        <is>
          <t>CoQ-PP_26-067</t>
        </is>
      </c>
      <c r="B1526" s="256" t="inlineStr">
        <is>
          <t>release</t>
        </is>
      </c>
      <c r="C1526" s="256" t="inlineStr">
        <is>
          <t>JD012601</t>
        </is>
      </c>
      <c r="D1526" s="256" t="inlineStr">
        <is>
          <t>— no P lot assigned —</t>
        </is>
      </c>
      <c r="E1526" s="256" t="inlineStr">
        <is>
          <t>Jelly Donuts</t>
        </is>
      </c>
      <c r="F1526" s="256" t="inlineStr">
        <is>
          <t>06.06.2026</t>
        </is>
      </c>
      <c r="G1526" s="256" t="inlineStr">
        <is>
          <t>7</t>
        </is>
      </c>
      <c r="H1526" s="256" t="inlineStr">
        <is>
          <t>Foreign Matter</t>
        </is>
      </c>
      <c r="I1526" s="256" t="inlineStr">
        <is>
          <t>Ph. Eur. 2.8.2 · In-house · интерна</t>
        </is>
      </c>
      <c r="J1526" s="256" t="inlineStr">
        <is>
          <t>≤ 2.0% / 25–50 g · &lt; 1 cm leaves | листови, no seeds | без семки</t>
        </is>
      </c>
      <c r="K1526" s="256" t="inlineStr">
        <is>
          <t>Conforms | Одговара</t>
        </is>
      </c>
      <c r="L1526" s="256" t="inlineStr">
        <is>
          <t>iCoA-PP_26-077</t>
        </is>
      </c>
      <c r="M1526" s="256" t="inlineStr">
        <is>
          <t>03.06.2026</t>
        </is>
      </c>
      <c r="N1526" s="256" t="inlineStr">
        <is>
          <t>Purely Plant GmbH (in-house)</t>
        </is>
      </c>
      <c r="O1526" s="256" t="inlineStr">
        <is>
          <t>—</t>
        </is>
      </c>
      <c r="P1526" s="256" t="inlineStr">
        <is>
          <t>to be performed — see route</t>
        </is>
      </c>
      <c r="Q1526" s="256" t="inlineStr">
        <is>
          <t>Purely Plant laboratory — iCoA covering Foreign matter</t>
        </is>
      </c>
      <c r="R1526" s="256" t="inlineStr"/>
    </row>
    <row r="1527">
      <c r="A1527" s="256" t="inlineStr">
        <is>
          <t>CoQ-PP_26-067</t>
        </is>
      </c>
      <c r="B1527" s="256" t="inlineStr">
        <is>
          <t>release</t>
        </is>
      </c>
      <c r="C1527" s="256" t="inlineStr">
        <is>
          <t>JD012601</t>
        </is>
      </c>
      <c r="D1527" s="256" t="inlineStr">
        <is>
          <t>— no P lot assigned —</t>
        </is>
      </c>
      <c r="E1527" s="256" t="inlineStr">
        <is>
          <t>Jelly Donuts</t>
        </is>
      </c>
      <c r="F1527" s="256" t="inlineStr">
        <is>
          <t>06.06.2026</t>
        </is>
      </c>
      <c r="G1527" s="256" t="inlineStr">
        <is>
          <t>8</t>
        </is>
      </c>
      <c r="H1527" s="256" t="inlineStr">
        <is>
          <t>Loss on Drying</t>
        </is>
      </c>
      <c r="I1527" s="256" t="inlineStr">
        <is>
          <t>DAB 2018 monograph Cannabis flos, 2.2.32 — loss on drying (CNP, before its Ph. Eur. 3028 accreditation)</t>
        </is>
      </c>
      <c r="J1527" s="256" t="inlineStr">
        <is>
          <t>≤ 12.0%</t>
        </is>
      </c>
      <c r="K1527" s="256" t="inlineStr">
        <is>
          <t>6.68</t>
        </is>
      </c>
      <c r="L1527" s="256" t="inlineStr">
        <is>
          <t>ППК26064</t>
        </is>
      </c>
      <c r="M1527" s="256" t="inlineStr">
        <is>
          <t>11.05.2026</t>
        </is>
      </c>
      <c r="N1527" s="256" t="inlineStr">
        <is>
          <t>UKIM Faculty of Pharmacy — Center for Natural Products</t>
        </is>
      </c>
      <c r="O1527" s="256" t="inlineStr">
        <is>
          <t>21.04.2026</t>
        </is>
      </c>
      <c r="P1527" s="256" t="inlineStr">
        <is>
          <t>covered</t>
        </is>
      </c>
      <c r="Q1527" s="256" t="inlineStr"/>
      <c r="R1527" s="256" t="inlineStr"/>
    </row>
    <row r="1528">
      <c r="A1528" s="256" t="inlineStr">
        <is>
          <t>CoQ-PP_26-067</t>
        </is>
      </c>
      <c r="B1528" s="256" t="inlineStr">
        <is>
          <t>release</t>
        </is>
      </c>
      <c r="C1528" s="256" t="inlineStr">
        <is>
          <t>JD012601</t>
        </is>
      </c>
      <c r="D1528" s="256" t="inlineStr">
        <is>
          <t>— no P lot assigned —</t>
        </is>
      </c>
      <c r="E1528" s="256" t="inlineStr">
        <is>
          <t>Jelly Donuts</t>
        </is>
      </c>
      <c r="F1528" s="256" t="inlineStr">
        <is>
          <t>06.06.2026</t>
        </is>
      </c>
      <c r="G1528" s="256" t="inlineStr">
        <is>
          <t>9.1</t>
        </is>
      </c>
      <c r="H1528" s="256" t="inlineStr">
        <is>
          <t>TAMC</t>
        </is>
      </c>
      <c r="I1528" s="256" t="inlineStr">
        <is>
          <t>Ph. Eur. 2.6.12 cat. C</t>
        </is>
      </c>
      <c r="J1528" s="256" t="inlineStr">
        <is>
          <t>≤ 10⁵ CFU/g</t>
        </is>
      </c>
      <c r="K1528" s="256" t="inlineStr">
        <is>
          <t>1,9 × 10³</t>
        </is>
      </c>
      <c r="L1528" s="256" t="inlineStr">
        <is>
          <t>309/0553/26</t>
        </is>
      </c>
      <c r="M1528" s="256" t="inlineStr">
        <is>
          <t>28.04.2026</t>
        </is>
      </c>
      <c r="N1528" s="256" t="inlineStr">
        <is>
          <t>IPH — Institute of Public Health</t>
        </is>
      </c>
      <c r="O1528" s="256" t="inlineStr">
        <is>
          <t>22.04.2026</t>
        </is>
      </c>
      <c r="P1528" s="256" t="inlineStr">
        <is>
          <t>covered</t>
        </is>
      </c>
      <c r="Q1528" s="256" t="inlineStr"/>
      <c r="R1528" s="256" t="inlineStr"/>
    </row>
    <row r="1529">
      <c r="A1529" s="256" t="inlineStr">
        <is>
          <t>CoQ-PP_26-067</t>
        </is>
      </c>
      <c r="B1529" s="256" t="inlineStr">
        <is>
          <t>release</t>
        </is>
      </c>
      <c r="C1529" s="256" t="inlineStr">
        <is>
          <t>JD012601</t>
        </is>
      </c>
      <c r="D1529" s="256" t="inlineStr">
        <is>
          <t>— no P lot assigned —</t>
        </is>
      </c>
      <c r="E1529" s="256" t="inlineStr">
        <is>
          <t>Jelly Donuts</t>
        </is>
      </c>
      <c r="F1529" s="256" t="inlineStr">
        <is>
          <t>06.06.2026</t>
        </is>
      </c>
      <c r="G1529" s="256" t="inlineStr">
        <is>
          <t>9.2</t>
        </is>
      </c>
      <c r="H1529" s="256" t="inlineStr">
        <is>
          <t>TYMC</t>
        </is>
      </c>
      <c r="I1529" s="256" t="inlineStr">
        <is>
          <t>Ph. Eur. 2.6.12 cat. C</t>
        </is>
      </c>
      <c r="J1529" s="256" t="inlineStr">
        <is>
          <t>≤ 10⁴ CFU/g</t>
        </is>
      </c>
      <c r="K1529" s="256" t="inlineStr">
        <is>
          <t>2,4 × 10³</t>
        </is>
      </c>
      <c r="L1529" s="256" t="inlineStr">
        <is>
          <t>309/0553/26</t>
        </is>
      </c>
      <c r="M1529" s="256" t="inlineStr">
        <is>
          <t>28.04.2026</t>
        </is>
      </c>
      <c r="N1529" s="256" t="inlineStr">
        <is>
          <t>IPH — Institute of Public Health</t>
        </is>
      </c>
      <c r="O1529" s="256" t="inlineStr">
        <is>
          <t>22.04.2026</t>
        </is>
      </c>
      <c r="P1529" s="256" t="inlineStr">
        <is>
          <t>covered</t>
        </is>
      </c>
      <c r="Q1529" s="256" t="inlineStr"/>
      <c r="R1529" s="256" t="inlineStr"/>
    </row>
    <row r="1530">
      <c r="A1530" s="256" t="inlineStr">
        <is>
          <t>CoQ-PP_26-067</t>
        </is>
      </c>
      <c r="B1530" s="256" t="inlineStr">
        <is>
          <t>release</t>
        </is>
      </c>
      <c r="C1530" s="256" t="inlineStr">
        <is>
          <t>JD012601</t>
        </is>
      </c>
      <c r="D1530" s="256" t="inlineStr">
        <is>
          <t>— no P lot assigned —</t>
        </is>
      </c>
      <c r="E1530" s="256" t="inlineStr">
        <is>
          <t>Jelly Donuts</t>
        </is>
      </c>
      <c r="F1530" s="256" t="inlineStr">
        <is>
          <t>06.06.2026</t>
        </is>
      </c>
      <c r="G1530" s="256" t="inlineStr">
        <is>
          <t>9.3</t>
        </is>
      </c>
      <c r="H1530" s="256" t="inlineStr">
        <is>
          <t>Bile-tolerant gram-neg.</t>
        </is>
      </c>
      <c r="I1530" s="256" t="inlineStr">
        <is>
          <t>Ph. Eur. 2.6.31 cat. C</t>
        </is>
      </c>
      <c r="J1530" s="256" t="inlineStr">
        <is>
          <t>≤ 10⁴ CFU/g</t>
        </is>
      </c>
      <c r="K1530" s="256" t="inlineStr">
        <is>
          <t>&lt; 10</t>
        </is>
      </c>
      <c r="L1530" s="256" t="inlineStr">
        <is>
          <t>309/0553/26</t>
        </is>
      </c>
      <c r="M1530" s="256" t="inlineStr">
        <is>
          <t>28.04.2026</t>
        </is>
      </c>
      <c r="N1530" s="256" t="inlineStr">
        <is>
          <t>IPH — Institute of Public Health</t>
        </is>
      </c>
      <c r="O1530" s="256" t="inlineStr">
        <is>
          <t>22.04.2026</t>
        </is>
      </c>
      <c r="P1530" s="256" t="inlineStr">
        <is>
          <t>covered</t>
        </is>
      </c>
      <c r="Q1530" s="256" t="inlineStr"/>
      <c r="R1530" s="256" t="inlineStr"/>
    </row>
    <row r="1531">
      <c r="A1531" s="256" t="inlineStr">
        <is>
          <t>CoQ-PP_26-067</t>
        </is>
      </c>
      <c r="B1531" s="256" t="inlineStr">
        <is>
          <t>release</t>
        </is>
      </c>
      <c r="C1531" s="256" t="inlineStr">
        <is>
          <t>JD012601</t>
        </is>
      </c>
      <c r="D1531" s="256" t="inlineStr">
        <is>
          <t>— no P lot assigned —</t>
        </is>
      </c>
      <c r="E1531" s="256" t="inlineStr">
        <is>
          <t>Jelly Donuts</t>
        </is>
      </c>
      <c r="F1531" s="256" t="inlineStr">
        <is>
          <t>06.06.2026</t>
        </is>
      </c>
      <c r="G1531" s="256" t="inlineStr">
        <is>
          <t>9.4</t>
        </is>
      </c>
      <c r="H1531" s="256" t="inlineStr">
        <is>
          <t>Salmonella</t>
        </is>
      </c>
      <c r="I1531" s="256" t="inlineStr">
        <is>
          <t>Ph. Eur. 2.6.31 cat. C</t>
        </is>
      </c>
      <c r="J1531" s="256" t="inlineStr">
        <is>
          <t>Absence | Отсуство / 25 g</t>
        </is>
      </c>
      <c r="K1531" s="256" t="inlineStr">
        <is>
          <t>Absent | Отсутна</t>
        </is>
      </c>
      <c r="L1531" s="256" t="inlineStr">
        <is>
          <t>309/0553/26</t>
        </is>
      </c>
      <c r="M1531" s="256" t="inlineStr">
        <is>
          <t>28.04.2026</t>
        </is>
      </c>
      <c r="N1531" s="256" t="inlineStr">
        <is>
          <t>IPH — Institute of Public Health</t>
        </is>
      </c>
      <c r="O1531" s="256" t="inlineStr">
        <is>
          <t>22.04.2026</t>
        </is>
      </c>
      <c r="P1531" s="256" t="inlineStr">
        <is>
          <t>covered</t>
        </is>
      </c>
      <c r="Q1531" s="256" t="inlineStr"/>
      <c r="R1531" s="256" t="inlineStr"/>
    </row>
    <row r="1532">
      <c r="A1532" s="256" t="inlineStr">
        <is>
          <t>CoQ-PP_26-067</t>
        </is>
      </c>
      <c r="B1532" s="256" t="inlineStr">
        <is>
          <t>release</t>
        </is>
      </c>
      <c r="C1532" s="256" t="inlineStr">
        <is>
          <t>JD012601</t>
        </is>
      </c>
      <c r="D1532" s="256" t="inlineStr">
        <is>
          <t>— no P lot assigned —</t>
        </is>
      </c>
      <c r="E1532" s="256" t="inlineStr">
        <is>
          <t>Jelly Donuts</t>
        </is>
      </c>
      <c r="F1532" s="256" t="inlineStr">
        <is>
          <t>06.06.2026</t>
        </is>
      </c>
      <c r="G1532" s="256" t="inlineStr">
        <is>
          <t>9.5</t>
        </is>
      </c>
      <c r="H1532" s="256" t="inlineStr">
        <is>
          <t>Escherichia coli</t>
        </is>
      </c>
      <c r="I1532" s="256" t="inlineStr">
        <is>
          <t>Ph. Eur. 2.6.13 cat. C</t>
        </is>
      </c>
      <c r="J1532" s="256" t="inlineStr">
        <is>
          <t>Absence | Отсуство / 1 g</t>
        </is>
      </c>
      <c r="K1532" s="256" t="inlineStr">
        <is>
          <t>Absent | Отсутна</t>
        </is>
      </c>
      <c r="L1532" s="256" t="inlineStr">
        <is>
          <t>309/0553/26</t>
        </is>
      </c>
      <c r="M1532" s="256" t="inlineStr">
        <is>
          <t>28.04.2026</t>
        </is>
      </c>
      <c r="N1532" s="256" t="inlineStr">
        <is>
          <t>IPH — Institute of Public Health</t>
        </is>
      </c>
      <c r="O1532" s="256" t="inlineStr">
        <is>
          <t>22.04.2026</t>
        </is>
      </c>
      <c r="P1532" s="256" t="inlineStr">
        <is>
          <t>covered</t>
        </is>
      </c>
      <c r="Q1532" s="256" t="inlineStr"/>
      <c r="R1532" s="256" t="inlineStr"/>
    </row>
    <row r="1533">
      <c r="A1533" s="256" t="inlineStr">
        <is>
          <t>CoQ-PP_26-067</t>
        </is>
      </c>
      <c r="B1533" s="256" t="inlineStr">
        <is>
          <t>release</t>
        </is>
      </c>
      <c r="C1533" s="256" t="inlineStr">
        <is>
          <t>JD012601</t>
        </is>
      </c>
      <c r="D1533" s="256" t="inlineStr">
        <is>
          <t>— no P lot assigned —</t>
        </is>
      </c>
      <c r="E1533" s="256" t="inlineStr">
        <is>
          <t>Jelly Donuts</t>
        </is>
      </c>
      <c r="F1533" s="256" t="inlineStr">
        <is>
          <t>06.06.2026</t>
        </is>
      </c>
      <c r="G1533" s="256" t="inlineStr">
        <is>
          <t>9.6</t>
        </is>
      </c>
      <c r="H1533" s="256" t="inlineStr">
        <is>
          <t>Pseudomonas aeruginosa</t>
        </is>
      </c>
      <c r="I1533" s="256" t="inlineStr">
        <is>
          <t>Ph. Eur. 2.6.13 cat. C</t>
        </is>
      </c>
      <c r="J1533" s="256" t="inlineStr">
        <is>
          <t>Absence | Отсуство / 1 g</t>
        </is>
      </c>
      <c r="K1533" s="260" t="inlineStr">
        <is>
          <t>upon request — not required for release</t>
        </is>
      </c>
      <c r="L1533" s="256" t="inlineStr">
        <is>
          <t>—</t>
        </is>
      </c>
      <c r="M1533" s="256" t="inlineStr">
        <is>
          <t>—</t>
        </is>
      </c>
      <c r="N1533" s="256" t="inlineStr">
        <is>
          <t>—</t>
        </is>
      </c>
      <c r="O1533" s="256" t="inlineStr">
        <is>
          <t>—</t>
        </is>
      </c>
      <c r="P1533" s="256" t="inlineStr">
        <is>
          <t>upon request — not required for release</t>
        </is>
      </c>
      <c r="Q1533" s="256" t="inlineStr"/>
      <c r="R1533" s="256" t="inlineStr"/>
    </row>
    <row r="1534">
      <c r="A1534" s="256" t="inlineStr">
        <is>
          <t>CoQ-PP_26-067</t>
        </is>
      </c>
      <c r="B1534" s="256" t="inlineStr">
        <is>
          <t>release</t>
        </is>
      </c>
      <c r="C1534" s="256" t="inlineStr">
        <is>
          <t>JD012601</t>
        </is>
      </c>
      <c r="D1534" s="256" t="inlineStr">
        <is>
          <t>— no P lot assigned —</t>
        </is>
      </c>
      <c r="E1534" s="256" t="inlineStr">
        <is>
          <t>Jelly Donuts</t>
        </is>
      </c>
      <c r="F1534" s="256" t="inlineStr">
        <is>
          <t>06.06.2026</t>
        </is>
      </c>
      <c r="G1534" s="256" t="inlineStr">
        <is>
          <t>9.7</t>
        </is>
      </c>
      <c r="H1534" s="256" t="inlineStr">
        <is>
          <t>Staphylococcus aureus</t>
        </is>
      </c>
      <c r="I1534" s="256" t="inlineStr">
        <is>
          <t>Ph. Eur. 2.6.13 cat. C</t>
        </is>
      </c>
      <c r="J1534" s="256" t="inlineStr">
        <is>
          <t>Absence | Отсуство / 1 g</t>
        </is>
      </c>
      <c r="K1534" s="260" t="inlineStr">
        <is>
          <t>upon request — not required for release</t>
        </is>
      </c>
      <c r="L1534" s="256" t="inlineStr">
        <is>
          <t>—</t>
        </is>
      </c>
      <c r="M1534" s="256" t="inlineStr">
        <is>
          <t>—</t>
        </is>
      </c>
      <c r="N1534" s="256" t="inlineStr">
        <is>
          <t>—</t>
        </is>
      </c>
      <c r="O1534" s="256" t="inlineStr">
        <is>
          <t>—</t>
        </is>
      </c>
      <c r="P1534" s="256" t="inlineStr">
        <is>
          <t>upon request — not required for release</t>
        </is>
      </c>
      <c r="Q1534" s="256" t="inlineStr"/>
      <c r="R1534" s="256" t="inlineStr"/>
    </row>
    <row r="1535">
      <c r="A1535" s="256" t="inlineStr">
        <is>
          <t>CoQ-PP_26-067</t>
        </is>
      </c>
      <c r="B1535" s="256" t="inlineStr">
        <is>
          <t>release</t>
        </is>
      </c>
      <c r="C1535" s="256" t="inlineStr">
        <is>
          <t>JD012601</t>
        </is>
      </c>
      <c r="D1535" s="256" t="inlineStr">
        <is>
          <t>— no P lot assigned —</t>
        </is>
      </c>
      <c r="E1535" s="256" t="inlineStr">
        <is>
          <t>Jelly Donuts</t>
        </is>
      </c>
      <c r="F1535" s="256" t="inlineStr">
        <is>
          <t>06.06.2026</t>
        </is>
      </c>
      <c r="G1535" s="256" t="inlineStr">
        <is>
          <t>10.1</t>
        </is>
      </c>
      <c r="H1535" s="256" t="inlineStr">
        <is>
          <t>Aflatoxin B₁</t>
        </is>
      </c>
      <c r="I1535" s="256" t="inlineStr">
        <is>
          <t>Ph. Eur. 2.8.18 (HPLC-FLD)</t>
        </is>
      </c>
      <c r="J1535" s="256" t="inlineStr">
        <is>
          <t>≤ 2 µg/kg</t>
        </is>
      </c>
      <c r="K1535" s="259" t="inlineStr">
        <is>
          <t>not tested</t>
        </is>
      </c>
      <c r="L1535" s="256" t="inlineStr">
        <is>
          <t>—</t>
        </is>
      </c>
      <c r="M1535" s="256" t="inlineStr">
        <is>
          <t>—</t>
        </is>
      </c>
      <c r="N1535" s="256" t="inlineStr">
        <is>
          <t>—</t>
        </is>
      </c>
      <c r="O1535" s="256" t="inlineStr">
        <is>
          <t>—</t>
        </is>
      </c>
      <c r="P1535" s="256" t="inlineStr">
        <is>
          <t>not tested — no certificate covers it</t>
        </is>
      </c>
      <c r="Q1535" s="256" t="inlineStr"/>
      <c r="R1535" s="256" t="inlineStr"/>
    </row>
    <row r="1536">
      <c r="A1536" s="256" t="inlineStr">
        <is>
          <t>CoQ-PP_26-067</t>
        </is>
      </c>
      <c r="B1536" s="256" t="inlineStr">
        <is>
          <t>release</t>
        </is>
      </c>
      <c r="C1536" s="256" t="inlineStr">
        <is>
          <t>JD012601</t>
        </is>
      </c>
      <c r="D1536" s="256" t="inlineStr">
        <is>
          <t>— no P lot assigned —</t>
        </is>
      </c>
      <c r="E1536" s="256" t="inlineStr">
        <is>
          <t>Jelly Donuts</t>
        </is>
      </c>
      <c r="F1536" s="256" t="inlineStr">
        <is>
          <t>06.06.2026</t>
        </is>
      </c>
      <c r="G1536" s="256" t="inlineStr">
        <is>
          <t>10.2</t>
        </is>
      </c>
      <c r="H1536" s="256" t="inlineStr">
        <is>
          <t>Aflatoxins ∑</t>
        </is>
      </c>
      <c r="I1536" s="256" t="inlineStr">
        <is>
          <t>Ph. Eur. 2.8.18 (HPLC-FLD)</t>
        </is>
      </c>
      <c r="J1536" s="256" t="inlineStr">
        <is>
          <t>≤ 4 µg/kg</t>
        </is>
      </c>
      <c r="K1536" s="256" t="inlineStr">
        <is>
          <t>&lt; 2</t>
        </is>
      </c>
      <c r="L1536" s="256" t="inlineStr">
        <is>
          <t>2363/2026</t>
        </is>
      </c>
      <c r="M1536" s="256" t="inlineStr">
        <is>
          <t>30.04.2026</t>
        </is>
      </c>
      <c r="N1536" s="256" t="inlineStr">
        <is>
          <t>IPH — Institute of Public Health</t>
        </is>
      </c>
      <c r="O1536" s="256" t="inlineStr">
        <is>
          <t>21.04.2026</t>
        </is>
      </c>
      <c r="P1536" s="256" t="inlineStr">
        <is>
          <t>covered</t>
        </is>
      </c>
      <c r="Q1536" s="256" t="inlineStr"/>
      <c r="R1536" s="256" t="inlineStr"/>
    </row>
    <row r="1537">
      <c r="A1537" s="256" t="inlineStr">
        <is>
          <t>CoQ-PP_26-067</t>
        </is>
      </c>
      <c r="B1537" s="256" t="inlineStr">
        <is>
          <t>release</t>
        </is>
      </c>
      <c r="C1537" s="256" t="inlineStr">
        <is>
          <t>JD012601</t>
        </is>
      </c>
      <c r="D1537" s="256" t="inlineStr">
        <is>
          <t>— no P lot assigned —</t>
        </is>
      </c>
      <c r="E1537" s="256" t="inlineStr">
        <is>
          <t>Jelly Donuts</t>
        </is>
      </c>
      <c r="F1537" s="256" t="inlineStr">
        <is>
          <t>06.06.2026</t>
        </is>
      </c>
      <c r="G1537" s="256" t="inlineStr">
        <is>
          <t>10.3</t>
        </is>
      </c>
      <c r="H1537" s="256" t="inlineStr">
        <is>
          <t>Ochratoxin A</t>
        </is>
      </c>
      <c r="I1537" s="256" t="inlineStr">
        <is>
          <t>Ph. Eur. 2.8.22 (HPLC-FLD)</t>
        </is>
      </c>
      <c r="J1537" s="256" t="inlineStr">
        <is>
          <t>≤ 20 µg/kg</t>
        </is>
      </c>
      <c r="K1537" s="259" t="inlineStr">
        <is>
          <t>not tested</t>
        </is>
      </c>
      <c r="L1537" s="256" t="inlineStr">
        <is>
          <t>—</t>
        </is>
      </c>
      <c r="M1537" s="256" t="inlineStr">
        <is>
          <t>—</t>
        </is>
      </c>
      <c r="N1537" s="256" t="inlineStr">
        <is>
          <t>—</t>
        </is>
      </c>
      <c r="O1537" s="256" t="inlineStr">
        <is>
          <t>—</t>
        </is>
      </c>
      <c r="P1537" s="256" t="inlineStr">
        <is>
          <t>not tested — no certificate covers it</t>
        </is>
      </c>
      <c r="Q1537" s="256" t="inlineStr"/>
      <c r="R1537" s="256" t="inlineStr"/>
    </row>
    <row r="1538">
      <c r="A1538" s="256" t="inlineStr">
        <is>
          <t>CoQ-PP_26-067</t>
        </is>
      </c>
      <c r="B1538" s="256" t="inlineStr">
        <is>
          <t>release</t>
        </is>
      </c>
      <c r="C1538" s="256" t="inlineStr">
        <is>
          <t>JD012601</t>
        </is>
      </c>
      <c r="D1538" s="256" t="inlineStr">
        <is>
          <t>— no P lot assigned —</t>
        </is>
      </c>
      <c r="E1538" s="256" t="inlineStr">
        <is>
          <t>Jelly Donuts</t>
        </is>
      </c>
      <c r="F1538" s="256" t="inlineStr">
        <is>
          <t>06.06.2026</t>
        </is>
      </c>
      <c r="G1538" s="256" t="inlineStr">
        <is>
          <t>11.1</t>
        </is>
      </c>
      <c r="H1538" s="256" t="inlineStr">
        <is>
          <t>Lead (Pb)</t>
        </is>
      </c>
      <c r="I1538" s="256" t="inlineStr">
        <is>
          <t>Ph. Eur. 2.4.27 (ICP-MS)</t>
        </is>
      </c>
      <c r="J1538" s="256" t="inlineStr">
        <is>
          <t>≤ 0.5 mg/kg</t>
        </is>
      </c>
      <c r="K1538" s="256" t="inlineStr">
        <is>
          <t>0.0739</t>
        </is>
      </c>
      <c r="L1538" s="256" t="inlineStr">
        <is>
          <t>2363/2026</t>
        </is>
      </c>
      <c r="M1538" s="256" t="inlineStr">
        <is>
          <t>30.04.2026</t>
        </is>
      </c>
      <c r="N1538" s="256" t="inlineStr">
        <is>
          <t>IPH — Institute of Public Health</t>
        </is>
      </c>
      <c r="O1538" s="256" t="inlineStr">
        <is>
          <t>21.04.2026</t>
        </is>
      </c>
      <c r="P1538" s="256" t="inlineStr">
        <is>
          <t>covered</t>
        </is>
      </c>
      <c r="Q1538" s="256" t="inlineStr"/>
      <c r="R1538" s="256" t="inlineStr"/>
    </row>
    <row r="1539">
      <c r="A1539" s="256" t="inlineStr">
        <is>
          <t>CoQ-PP_26-067</t>
        </is>
      </c>
      <c r="B1539" s="256" t="inlineStr">
        <is>
          <t>release</t>
        </is>
      </c>
      <c r="C1539" s="256" t="inlineStr">
        <is>
          <t>JD012601</t>
        </is>
      </c>
      <c r="D1539" s="256" t="inlineStr">
        <is>
          <t>— no P lot assigned —</t>
        </is>
      </c>
      <c r="E1539" s="256" t="inlineStr">
        <is>
          <t>Jelly Donuts</t>
        </is>
      </c>
      <c r="F1539" s="256" t="inlineStr">
        <is>
          <t>06.06.2026</t>
        </is>
      </c>
      <c r="G1539" s="256" t="inlineStr">
        <is>
          <t>11.2</t>
        </is>
      </c>
      <c r="H1539" s="256" t="inlineStr">
        <is>
          <t>Cadmium (Cd)</t>
        </is>
      </c>
      <c r="I1539" s="256" t="inlineStr">
        <is>
          <t>Ph. Eur. 2.4.27 (ICP-MS)</t>
        </is>
      </c>
      <c r="J1539" s="256" t="inlineStr">
        <is>
          <t>≤ 0.3 mg/kg</t>
        </is>
      </c>
      <c r="K1539" s="256" t="inlineStr">
        <is>
          <t>0.0166</t>
        </is>
      </c>
      <c r="L1539" s="256" t="inlineStr">
        <is>
          <t>2363/2026</t>
        </is>
      </c>
      <c r="M1539" s="256" t="inlineStr">
        <is>
          <t>30.04.2026</t>
        </is>
      </c>
      <c r="N1539" s="256" t="inlineStr">
        <is>
          <t>IPH — Institute of Public Health</t>
        </is>
      </c>
      <c r="O1539" s="256" t="inlineStr">
        <is>
          <t>21.04.2026</t>
        </is>
      </c>
      <c r="P1539" s="256" t="inlineStr">
        <is>
          <t>covered</t>
        </is>
      </c>
      <c r="Q1539" s="256" t="inlineStr"/>
      <c r="R1539" s="256" t="inlineStr"/>
    </row>
    <row r="1540">
      <c r="A1540" s="256" t="inlineStr">
        <is>
          <t>CoQ-PP_26-067</t>
        </is>
      </c>
      <c r="B1540" s="256" t="inlineStr">
        <is>
          <t>release</t>
        </is>
      </c>
      <c r="C1540" s="256" t="inlineStr">
        <is>
          <t>JD012601</t>
        </is>
      </c>
      <c r="D1540" s="256" t="inlineStr">
        <is>
          <t>— no P lot assigned —</t>
        </is>
      </c>
      <c r="E1540" s="256" t="inlineStr">
        <is>
          <t>Jelly Donuts</t>
        </is>
      </c>
      <c r="F1540" s="256" t="inlineStr">
        <is>
          <t>06.06.2026</t>
        </is>
      </c>
      <c r="G1540" s="256" t="inlineStr">
        <is>
          <t>11.3</t>
        </is>
      </c>
      <c r="H1540" s="256" t="inlineStr">
        <is>
          <t>Arsenic (As)</t>
        </is>
      </c>
      <c r="I1540" s="256" t="inlineStr">
        <is>
          <t>Ph. Eur. 2.4.27 (ICP-MS)</t>
        </is>
      </c>
      <c r="J1540" s="256" t="inlineStr">
        <is>
          <t>≤ 0.2 mg/kg</t>
        </is>
      </c>
      <c r="K1540" s="256" t="inlineStr">
        <is>
          <t>0.0136</t>
        </is>
      </c>
      <c r="L1540" s="256" t="inlineStr">
        <is>
          <t>2363/2026</t>
        </is>
      </c>
      <c r="M1540" s="256" t="inlineStr">
        <is>
          <t>30.04.2026</t>
        </is>
      </c>
      <c r="N1540" s="256" t="inlineStr">
        <is>
          <t>IPH — Institute of Public Health</t>
        </is>
      </c>
      <c r="O1540" s="256" t="inlineStr">
        <is>
          <t>21.04.2026</t>
        </is>
      </c>
      <c r="P1540" s="256" t="inlineStr">
        <is>
          <t>covered</t>
        </is>
      </c>
      <c r="Q1540" s="256" t="inlineStr"/>
      <c r="R1540" s="256" t="inlineStr"/>
    </row>
    <row r="1541">
      <c r="A1541" s="256" t="inlineStr">
        <is>
          <t>CoQ-PP_26-067</t>
        </is>
      </c>
      <c r="B1541" s="256" t="inlineStr">
        <is>
          <t>release</t>
        </is>
      </c>
      <c r="C1541" s="256" t="inlineStr">
        <is>
          <t>JD012601</t>
        </is>
      </c>
      <c r="D1541" s="256" t="inlineStr">
        <is>
          <t>— no P lot assigned —</t>
        </is>
      </c>
      <c r="E1541" s="256" t="inlineStr">
        <is>
          <t>Jelly Donuts</t>
        </is>
      </c>
      <c r="F1541" s="256" t="inlineStr">
        <is>
          <t>06.06.2026</t>
        </is>
      </c>
      <c r="G1541" s="256" t="inlineStr">
        <is>
          <t>11.4</t>
        </is>
      </c>
      <c r="H1541" s="256" t="inlineStr">
        <is>
          <t>Mercury (Hg)</t>
        </is>
      </c>
      <c r="I1541" s="256" t="inlineStr">
        <is>
          <t>Ph. Eur. 2.4.27 (ICP-MS)</t>
        </is>
      </c>
      <c r="J1541" s="256" t="inlineStr">
        <is>
          <t>≤ 0.1 mg/kg</t>
        </is>
      </c>
      <c r="K1541" s="256" t="inlineStr">
        <is>
          <t>0.0322</t>
        </is>
      </c>
      <c r="L1541" s="256" t="inlineStr">
        <is>
          <t>2363/2026</t>
        </is>
      </c>
      <c r="M1541" s="256" t="inlineStr">
        <is>
          <t>30.04.2026</t>
        </is>
      </c>
      <c r="N1541" s="256" t="inlineStr">
        <is>
          <t>IPH — Institute of Public Health</t>
        </is>
      </c>
      <c r="O1541" s="256" t="inlineStr">
        <is>
          <t>21.04.2026</t>
        </is>
      </c>
      <c r="P1541" s="256" t="inlineStr">
        <is>
          <t>covered</t>
        </is>
      </c>
      <c r="Q1541" s="256" t="inlineStr"/>
      <c r="R1541" s="256" t="inlineStr"/>
    </row>
    <row r="1542">
      <c r="A1542" s="256" t="inlineStr">
        <is>
          <t>CoQ-PP_26-067</t>
        </is>
      </c>
      <c r="B1542" s="256" t="inlineStr">
        <is>
          <t>release</t>
        </is>
      </c>
      <c r="C1542" s="256" t="inlineStr">
        <is>
          <t>JD012601</t>
        </is>
      </c>
      <c r="D1542" s="256" t="inlineStr">
        <is>
          <t>— no P lot assigned —</t>
        </is>
      </c>
      <c r="E1542" s="256" t="inlineStr">
        <is>
          <t>Jelly Donuts</t>
        </is>
      </c>
      <c r="F1542" s="256" t="inlineStr">
        <is>
          <t>06.06.2026</t>
        </is>
      </c>
      <c r="G1542" s="256" t="inlineStr">
        <is>
          <t>12</t>
        </is>
      </c>
      <c r="H1542" s="256" t="inlineStr">
        <is>
          <t>Pesticide Residues</t>
        </is>
      </c>
      <c r="I1542" s="256" t="inlineStr">
        <is>
          <t>Ph. Eur. 2.8.13 (LC-MS/MS) · CUMCS Equivalency</t>
        </is>
      </c>
      <c r="J1542" s="256" t="inlineStr">
        <is>
          <t>≤ LOQ as per Ph. Eur. 2.8.13 · ≤ LOQ as per CUMCS Equivalency</t>
        </is>
      </c>
      <c r="K1542" s="256" t="inlineStr">
        <is>
          <t>ND</t>
        </is>
      </c>
      <c r="L1542" s="256" t="inlineStr">
        <is>
          <t>2363/2026</t>
        </is>
      </c>
      <c r="M1542" s="256" t="inlineStr">
        <is>
          <t>30.04.2026</t>
        </is>
      </c>
      <c r="N1542" s="256" t="inlineStr">
        <is>
          <t>IPH — Institute of Public Health</t>
        </is>
      </c>
      <c r="O1542" s="256" t="inlineStr">
        <is>
          <t>21.04.2026</t>
        </is>
      </c>
      <c r="P1542" s="256" t="inlineStr">
        <is>
          <t>covered</t>
        </is>
      </c>
      <c r="Q1542" s="256" t="inlineStr"/>
      <c r="R1542" s="256" t="inlineStr"/>
    </row>
    <row r="1543">
      <c r="A1543" s="256" t="inlineStr">
        <is>
          <t>CoQ-PP_26-068</t>
        </is>
      </c>
      <c r="B1543" s="256" t="inlineStr">
        <is>
          <t>release</t>
        </is>
      </c>
      <c r="C1543" s="256" t="inlineStr">
        <is>
          <t>P060332</t>
        </is>
      </c>
      <c r="D1543" s="256" t="inlineStr">
        <is>
          <t>— no P lot assigned —</t>
        </is>
      </c>
      <c r="E1543" s="256" t="inlineStr">
        <is>
          <t>Cash Cow</t>
        </is>
      </c>
      <c r="F1543" s="256" t="inlineStr">
        <is>
          <t>06.06.2026</t>
        </is>
      </c>
      <c r="G1543" s="256" t="inlineStr">
        <is>
          <t>1</t>
        </is>
      </c>
      <c r="H1543" s="256" t="inlineStr">
        <is>
          <t>Identification A, Appearance · Macroscopic</t>
        </is>
      </c>
      <c r="I1543" s="256" t="inlineStr">
        <is>
          <t>Ph. Eur. mon. 3028</t>
        </is>
      </c>
      <c r="J1543" s="256" t="inlineStr">
        <is>
          <t>Conforms to the monograph for Cannabis flos (07/2024:3028) in Ph. Eur. 11.0 | Согласно монографија за Cannabis flos (07/2024:3028) во Ph. Eur. 11.0</t>
        </is>
      </c>
      <c r="K1543" s="256" t="inlineStr">
        <is>
          <t>Conforms | Одговара</t>
        </is>
      </c>
      <c r="L1543" s="256" t="inlineStr">
        <is>
          <t>iCoA-PP_26-079</t>
        </is>
      </c>
      <c r="M1543" s="256" t="inlineStr">
        <is>
          <t>03.06.2026</t>
        </is>
      </c>
      <c r="N1543" s="256" t="inlineStr">
        <is>
          <t>Purely Plant GmbH (in-house)</t>
        </is>
      </c>
      <c r="O1543" s="256" t="inlineStr">
        <is>
          <t>—</t>
        </is>
      </c>
      <c r="P1543" s="256" t="inlineStr">
        <is>
          <t>to be performed — see route</t>
        </is>
      </c>
      <c r="Q1543" s="256" t="inlineStr">
        <is>
          <t>Purely Plant laboratory — iCoA covering Ident A + B</t>
        </is>
      </c>
      <c r="R1543" s="256" t="inlineStr"/>
    </row>
    <row r="1544">
      <c r="A1544" s="256" t="inlineStr">
        <is>
          <t>CoQ-PP_26-068</t>
        </is>
      </c>
      <c r="B1544" s="256" t="inlineStr">
        <is>
          <t>release</t>
        </is>
      </c>
      <c r="C1544" s="256" t="inlineStr">
        <is>
          <t>P060332</t>
        </is>
      </c>
      <c r="D1544" s="256" t="inlineStr">
        <is>
          <t>— no P lot assigned —</t>
        </is>
      </c>
      <c r="E1544" s="256" t="inlineStr">
        <is>
          <t>Cash Cow</t>
        </is>
      </c>
      <c r="F1544" s="256" t="inlineStr">
        <is>
          <t>06.06.2026</t>
        </is>
      </c>
      <c r="G1544" s="256" t="inlineStr">
        <is>
          <t>2</t>
        </is>
      </c>
      <c r="H1544" s="256" t="inlineStr">
        <is>
          <t>Identification B · Microscopic</t>
        </is>
      </c>
      <c r="I1544" s="256" t="inlineStr">
        <is>
          <t>Ph. Eur. 2.8.23 (microscopy)</t>
        </is>
      </c>
      <c r="J1544" s="256" t="inlineStr">
        <is>
          <t>Conforms to the monograph for Cannabis flos (07/2024:3028) in Ph. Eur. 11.0 | Согласно монографија за Cannabis flos (07/2024:3028) во Ph. Eur. 11.0</t>
        </is>
      </c>
      <c r="K1544" s="256" t="inlineStr">
        <is>
          <t>Conforms | Одговара</t>
        </is>
      </c>
      <c r="L1544" s="256" t="inlineStr">
        <is>
          <t>iCoA-PP_26-079</t>
        </is>
      </c>
      <c r="M1544" s="256" t="inlineStr">
        <is>
          <t>03.06.2026</t>
        </is>
      </c>
      <c r="N1544" s="256" t="inlineStr">
        <is>
          <t>Purely Plant GmbH (in-house)</t>
        </is>
      </c>
      <c r="O1544" s="256" t="inlineStr">
        <is>
          <t>—</t>
        </is>
      </c>
      <c r="P1544" s="256" t="inlineStr">
        <is>
          <t>to be performed — see route</t>
        </is>
      </c>
      <c r="Q1544" s="256" t="inlineStr">
        <is>
          <t>Purely Plant laboratory — iCoA covering Ident A + B</t>
        </is>
      </c>
      <c r="R1544" s="256" t="inlineStr"/>
    </row>
    <row r="1545">
      <c r="A1545" s="256" t="inlineStr">
        <is>
          <t>CoQ-PP_26-068</t>
        </is>
      </c>
      <c r="B1545" s="256" t="inlineStr">
        <is>
          <t>release</t>
        </is>
      </c>
      <c r="C1545" s="256" t="inlineStr">
        <is>
          <t>P060332</t>
        </is>
      </c>
      <c r="D1545" s="256" t="inlineStr">
        <is>
          <t>— no P lot assigned —</t>
        </is>
      </c>
      <c r="E1545" s="256" t="inlineStr">
        <is>
          <t>Cash Cow</t>
        </is>
      </c>
      <c r="F1545" s="256" t="inlineStr">
        <is>
          <t>06.06.2026</t>
        </is>
      </c>
      <c r="G1545" s="256" t="inlineStr">
        <is>
          <t>3</t>
        </is>
      </c>
      <c r="H1545" s="256" t="inlineStr">
        <is>
          <t>Identification C · HPLC/HPTLC</t>
        </is>
      </c>
      <c r="I1545" s="256" t="inlineStr">
        <is>
          <t>Ph. Eur. 2.2.29 (3028)</t>
        </is>
      </c>
      <c r="J1545" s="256" t="inlineStr">
        <is>
          <t>Conforms to the monograph for Cannabis flos (07/2024:3028) in Ph. Eur. 11.0 | Согласно монографија за Cannabis flos (07/2024:3028) во Ph. Eur. 11.0</t>
        </is>
      </c>
      <c r="K1545" s="259" t="inlineStr">
        <is>
          <t>to be performed (in house)</t>
        </is>
      </c>
      <c r="L1545" s="256" t="inlineStr">
        <is>
          <t>—</t>
        </is>
      </c>
      <c r="M1545" s="256" t="inlineStr">
        <is>
          <t>—</t>
        </is>
      </c>
      <c r="N1545" s="256" t="inlineStr">
        <is>
          <t>—</t>
        </is>
      </c>
      <c r="O1545" s="256" t="inlineStr">
        <is>
          <t>—</t>
        </is>
      </c>
      <c r="P1545" s="256" t="inlineStr">
        <is>
          <t>to be performed — see route</t>
        </is>
      </c>
      <c r="Q1545" s="256" t="inlineStr">
        <is>
          <t>outside laboratory — the HPLC cannabinoid certificate discharges Ident C (Farmahem -K- or CNP); in-house iCoA P03 only where none exists</t>
        </is>
      </c>
      <c r="R1545" s="256" t="inlineStr"/>
    </row>
    <row r="1546">
      <c r="A1546" s="256" t="inlineStr">
        <is>
          <t>CoQ-PP_26-068</t>
        </is>
      </c>
      <c r="B1546" s="256" t="inlineStr">
        <is>
          <t>release</t>
        </is>
      </c>
      <c r="C1546" s="256" t="inlineStr">
        <is>
          <t>P060332</t>
        </is>
      </c>
      <c r="D1546" s="256" t="inlineStr">
        <is>
          <t>— no P lot assigned —</t>
        </is>
      </c>
      <c r="E1546" s="256" t="inlineStr">
        <is>
          <t>Cash Cow</t>
        </is>
      </c>
      <c r="F1546" s="256" t="inlineStr">
        <is>
          <t>06.06.2026</t>
        </is>
      </c>
      <c r="G1546" s="256" t="inlineStr">
        <is>
          <t>4</t>
        </is>
      </c>
      <c r="H1546" s="256" t="inlineStr">
        <is>
          <t>Assay — Total Δ⁹-THC</t>
        </is>
      </c>
      <c r="I1546" s="256" t="inlineStr">
        <is>
          <t>Ph. Eur. 2.2.29 (HPLC)</t>
        </is>
      </c>
      <c r="J1546" s="256" t="inlineStr">
        <is>
          <t>Per grade of the potency specification of 15.09.2026 — no Total THC result on file</t>
        </is>
      </c>
      <c r="K1546" s="259" t="inlineStr">
        <is>
          <t>not tested</t>
        </is>
      </c>
      <c r="L1546" s="256" t="inlineStr">
        <is>
          <t>—</t>
        </is>
      </c>
      <c r="M1546" s="256" t="inlineStr">
        <is>
          <t>—</t>
        </is>
      </c>
      <c r="N1546" s="256" t="inlineStr">
        <is>
          <t>—</t>
        </is>
      </c>
      <c r="O1546" s="256" t="inlineStr">
        <is>
          <t>—</t>
        </is>
      </c>
      <c r="P1546" s="256" t="inlineStr">
        <is>
          <t>not tested — no certificate covers it</t>
        </is>
      </c>
      <c r="Q1546" s="256" t="inlineStr"/>
      <c r="R1546" s="256" t="inlineStr">
        <is>
          <t>17.67 (197-6-К/26)</t>
        </is>
      </c>
    </row>
    <row r="1547">
      <c r="A1547" s="256" t="inlineStr">
        <is>
          <t>CoQ-PP_26-068</t>
        </is>
      </c>
      <c r="B1547" s="256" t="inlineStr">
        <is>
          <t>release</t>
        </is>
      </c>
      <c r="C1547" s="256" t="inlineStr">
        <is>
          <t>P060332</t>
        </is>
      </c>
      <c r="D1547" s="256" t="inlineStr">
        <is>
          <t>— no P lot assigned —</t>
        </is>
      </c>
      <c r="E1547" s="256" t="inlineStr">
        <is>
          <t>Cash Cow</t>
        </is>
      </c>
      <c r="F1547" s="256" t="inlineStr">
        <is>
          <t>06.06.2026</t>
        </is>
      </c>
      <c r="G1547" s="256" t="inlineStr">
        <is>
          <t>5</t>
        </is>
      </c>
      <c r="H1547" s="256" t="inlineStr">
        <is>
          <t>Assay — Total CBD</t>
        </is>
      </c>
      <c r="I1547" s="256" t="inlineStr">
        <is>
          <t>Ph. Eur. 2.2.29 (HPLC) · CBD + CBDA x 0.877</t>
        </is>
      </c>
      <c r="J1547" s="256" t="inlineStr">
        <is>
          <t>≤ 1.0%, w/w</t>
        </is>
      </c>
      <c r="K1547" s="259" t="inlineStr">
        <is>
          <t>not tested</t>
        </is>
      </c>
      <c r="L1547" s="256" t="inlineStr">
        <is>
          <t>—</t>
        </is>
      </c>
      <c r="M1547" s="256" t="inlineStr">
        <is>
          <t>—</t>
        </is>
      </c>
      <c r="N1547" s="256" t="inlineStr">
        <is>
          <t>—</t>
        </is>
      </c>
      <c r="O1547" s="256" t="inlineStr">
        <is>
          <t>—</t>
        </is>
      </c>
      <c r="P1547" s="256" t="inlineStr">
        <is>
          <t>not tested — no certificate covers it</t>
        </is>
      </c>
      <c r="Q1547" s="256" t="inlineStr"/>
      <c r="R1547" s="256" t="inlineStr">
        <is>
          <t>&lt;LOQ (197-6-К/26)</t>
        </is>
      </c>
    </row>
    <row r="1548">
      <c r="A1548" s="256" t="inlineStr">
        <is>
          <t>CoQ-PP_26-068</t>
        </is>
      </c>
      <c r="B1548" s="256" t="inlineStr">
        <is>
          <t>release</t>
        </is>
      </c>
      <c r="C1548" s="256" t="inlineStr">
        <is>
          <t>P060332</t>
        </is>
      </c>
      <c r="D1548" s="256" t="inlineStr">
        <is>
          <t>— no P lot assigned —</t>
        </is>
      </c>
      <c r="E1548" s="256" t="inlineStr">
        <is>
          <t>Cash Cow</t>
        </is>
      </c>
      <c r="F1548" s="256" t="inlineStr">
        <is>
          <t>06.06.2026</t>
        </is>
      </c>
      <c r="G1548" s="256" t="inlineStr">
        <is>
          <t>6</t>
        </is>
      </c>
      <c r="H1548" s="256" t="inlineStr">
        <is>
          <t>Total CBN</t>
        </is>
      </c>
      <c r="I1548" s="256" t="inlineStr">
        <is>
          <t>Ph. Eur. 2.2.29 (HPLC) · CBN + CBNA x 0.876</t>
        </is>
      </c>
      <c r="J1548" s="256" t="inlineStr">
        <is>
          <t>≤ 1.0%, w/w</t>
        </is>
      </c>
      <c r="K1548" s="259" t="inlineStr">
        <is>
          <t>not tested</t>
        </is>
      </c>
      <c r="L1548" s="256" t="inlineStr">
        <is>
          <t>—</t>
        </is>
      </c>
      <c r="M1548" s="256" t="inlineStr">
        <is>
          <t>—</t>
        </is>
      </c>
      <c r="N1548" s="256" t="inlineStr">
        <is>
          <t>—</t>
        </is>
      </c>
      <c r="O1548" s="256" t="inlineStr">
        <is>
          <t>—</t>
        </is>
      </c>
      <c r="P1548" s="256" t="inlineStr">
        <is>
          <t>not tested — no certificate covers it</t>
        </is>
      </c>
      <c r="Q1548" s="256" t="inlineStr"/>
      <c r="R1548" s="256" t="inlineStr">
        <is>
          <t>&lt;LOQ (197-6-К/26)</t>
        </is>
      </c>
    </row>
    <row r="1549">
      <c r="A1549" s="256" t="inlineStr">
        <is>
          <t>CoQ-PP_26-068</t>
        </is>
      </c>
      <c r="B1549" s="256" t="inlineStr">
        <is>
          <t>release</t>
        </is>
      </c>
      <c r="C1549" s="256" t="inlineStr">
        <is>
          <t>P060332</t>
        </is>
      </c>
      <c r="D1549" s="256" t="inlineStr">
        <is>
          <t>— no P lot assigned —</t>
        </is>
      </c>
      <c r="E1549" s="256" t="inlineStr">
        <is>
          <t>Cash Cow</t>
        </is>
      </c>
      <c r="F1549" s="256" t="inlineStr">
        <is>
          <t>06.06.2026</t>
        </is>
      </c>
      <c r="G1549" s="256" t="inlineStr">
        <is>
          <t>7</t>
        </is>
      </c>
      <c r="H1549" s="256" t="inlineStr">
        <is>
          <t>Foreign Matter</t>
        </is>
      </c>
      <c r="I1549" s="256" t="inlineStr">
        <is>
          <t>Ph. Eur. 2.8.2 · In-house · интерна</t>
        </is>
      </c>
      <c r="J1549" s="256" t="inlineStr">
        <is>
          <t>≤ 2.0% / 25–50 g · &lt; 1 cm leaves | листови, no seeds | без семки</t>
        </is>
      </c>
      <c r="K1549" s="256" t="inlineStr">
        <is>
          <t>Conforms | Одговара</t>
        </is>
      </c>
      <c r="L1549" s="256" t="inlineStr">
        <is>
          <t>iCoA-PP_26-079</t>
        </is>
      </c>
      <c r="M1549" s="256" t="inlineStr">
        <is>
          <t>03.06.2026</t>
        </is>
      </c>
      <c r="N1549" s="256" t="inlineStr">
        <is>
          <t>Purely Plant GmbH (in-house)</t>
        </is>
      </c>
      <c r="O1549" s="256" t="inlineStr">
        <is>
          <t>—</t>
        </is>
      </c>
      <c r="P1549" s="256" t="inlineStr">
        <is>
          <t>to be performed — see route</t>
        </is>
      </c>
      <c r="Q1549" s="256" t="inlineStr">
        <is>
          <t>Purely Plant laboratory — iCoA covering Foreign matter</t>
        </is>
      </c>
      <c r="R1549" s="256" t="inlineStr"/>
    </row>
    <row r="1550">
      <c r="A1550" s="256" t="inlineStr">
        <is>
          <t>CoQ-PP_26-068</t>
        </is>
      </c>
      <c r="B1550" s="256" t="inlineStr">
        <is>
          <t>release</t>
        </is>
      </c>
      <c r="C1550" s="256" t="inlineStr">
        <is>
          <t>P060332</t>
        </is>
      </c>
      <c r="D1550" s="256" t="inlineStr">
        <is>
          <t>— no P lot assigned —</t>
        </is>
      </c>
      <c r="E1550" s="256" t="inlineStr">
        <is>
          <t>Cash Cow</t>
        </is>
      </c>
      <c r="F1550" s="256" t="inlineStr">
        <is>
          <t>06.06.2026</t>
        </is>
      </c>
      <c r="G1550" s="256" t="inlineStr">
        <is>
          <t>8</t>
        </is>
      </c>
      <c r="H1550" s="256" t="inlineStr">
        <is>
          <t>Loss on Drying</t>
        </is>
      </c>
      <c r="I1550" s="256" t="inlineStr">
        <is>
          <t>Ph. Eur. 2.2.32 (3028) · at 40 °C, 24 h, 15–25 mbar</t>
        </is>
      </c>
      <c r="J1550" s="256" t="inlineStr">
        <is>
          <t>≤ 12.0%</t>
        </is>
      </c>
      <c r="K1550" s="259" t="inlineStr">
        <is>
          <t>not tested</t>
        </is>
      </c>
      <c r="L1550" s="256" t="inlineStr">
        <is>
          <t>—</t>
        </is>
      </c>
      <c r="M1550" s="256" t="inlineStr">
        <is>
          <t>—</t>
        </is>
      </c>
      <c r="N1550" s="256" t="inlineStr">
        <is>
          <t>—</t>
        </is>
      </c>
      <c r="O1550" s="256" t="inlineStr">
        <is>
          <t>—</t>
        </is>
      </c>
      <c r="P1550" s="256" t="inlineStr">
        <is>
          <t>not tested — no certificate covers it</t>
        </is>
      </c>
      <c r="Q1550" s="256" t="inlineStr"/>
      <c r="R1550" s="256" t="inlineStr"/>
    </row>
    <row r="1551">
      <c r="A1551" s="256" t="inlineStr">
        <is>
          <t>CoQ-PP_26-068</t>
        </is>
      </c>
      <c r="B1551" s="256" t="inlineStr">
        <is>
          <t>release</t>
        </is>
      </c>
      <c r="C1551" s="256" t="inlineStr">
        <is>
          <t>P060332</t>
        </is>
      </c>
      <c r="D1551" s="256" t="inlineStr">
        <is>
          <t>— no P lot assigned —</t>
        </is>
      </c>
      <c r="E1551" s="256" t="inlineStr">
        <is>
          <t>Cash Cow</t>
        </is>
      </c>
      <c r="F1551" s="256" t="inlineStr">
        <is>
          <t>06.06.2026</t>
        </is>
      </c>
      <c r="G1551" s="256" t="inlineStr">
        <is>
          <t>9.1</t>
        </is>
      </c>
      <c r="H1551" s="256" t="inlineStr">
        <is>
          <t>TAMC</t>
        </is>
      </c>
      <c r="I1551" s="256" t="inlineStr">
        <is>
          <t>Ph. Eur. 2.6.12 cat. C</t>
        </is>
      </c>
      <c r="J1551" s="256" t="inlineStr">
        <is>
          <t>≤ 10⁵ CFU/g</t>
        </is>
      </c>
      <c r="K1551" s="256" t="inlineStr">
        <is>
          <t>7.8 × 10⁴</t>
        </is>
      </c>
      <c r="L1551" s="256" t="inlineStr">
        <is>
          <t>361/0691/26</t>
        </is>
      </c>
      <c r="M1551" s="256" t="inlineStr">
        <is>
          <t>01.06.2026</t>
        </is>
      </c>
      <c r="N1551" s="256" t="inlineStr">
        <is>
          <t>IPH — Institute of Public Health</t>
        </is>
      </c>
      <c r="O1551" s="256" t="inlineStr">
        <is>
          <t>—</t>
        </is>
      </c>
      <c r="P1551" s="256" t="inlineStr">
        <is>
          <t>covered</t>
        </is>
      </c>
      <c r="Q1551" s="256" t="inlineStr"/>
      <c r="R1551" s="256" t="inlineStr"/>
    </row>
    <row r="1552">
      <c r="A1552" s="256" t="inlineStr">
        <is>
          <t>CoQ-PP_26-068</t>
        </is>
      </c>
      <c r="B1552" s="256" t="inlineStr">
        <is>
          <t>release</t>
        </is>
      </c>
      <c r="C1552" s="256" t="inlineStr">
        <is>
          <t>P060332</t>
        </is>
      </c>
      <c r="D1552" s="256" t="inlineStr">
        <is>
          <t>— no P lot assigned —</t>
        </is>
      </c>
      <c r="E1552" s="256" t="inlineStr">
        <is>
          <t>Cash Cow</t>
        </is>
      </c>
      <c r="F1552" s="256" t="inlineStr">
        <is>
          <t>06.06.2026</t>
        </is>
      </c>
      <c r="G1552" s="256" t="inlineStr">
        <is>
          <t>9.2</t>
        </is>
      </c>
      <c r="H1552" s="256" t="inlineStr">
        <is>
          <t>TYMC</t>
        </is>
      </c>
      <c r="I1552" s="256" t="inlineStr">
        <is>
          <t>Ph. Eur. 2.6.12 cat. C</t>
        </is>
      </c>
      <c r="J1552" s="256" t="inlineStr">
        <is>
          <t>≤ 10⁴ CFU/g</t>
        </is>
      </c>
      <c r="K1552" s="256" t="inlineStr">
        <is>
          <t>2.2 × 10⁴</t>
        </is>
      </c>
      <c r="L1552" s="256" t="inlineStr">
        <is>
          <t>361/0691/26</t>
        </is>
      </c>
      <c r="M1552" s="256" t="inlineStr">
        <is>
          <t>01.06.2026</t>
        </is>
      </c>
      <c r="N1552" s="256" t="inlineStr">
        <is>
          <t>IPH — Institute of Public Health</t>
        </is>
      </c>
      <c r="O1552" s="256" t="inlineStr">
        <is>
          <t>—</t>
        </is>
      </c>
      <c r="P1552" s="256" t="inlineStr">
        <is>
          <t>OUT OF SPECIFICATION — covered</t>
        </is>
      </c>
      <c r="Q1552" s="256" t="inlineStr"/>
      <c r="R1552" s="256" t="inlineStr"/>
    </row>
    <row r="1553">
      <c r="A1553" s="256" t="inlineStr">
        <is>
          <t>CoQ-PP_26-068</t>
        </is>
      </c>
      <c r="B1553" s="256" t="inlineStr">
        <is>
          <t>release</t>
        </is>
      </c>
      <c r="C1553" s="256" t="inlineStr">
        <is>
          <t>P060332</t>
        </is>
      </c>
      <c r="D1553" s="256" t="inlineStr">
        <is>
          <t>— no P lot assigned —</t>
        </is>
      </c>
      <c r="E1553" s="256" t="inlineStr">
        <is>
          <t>Cash Cow</t>
        </is>
      </c>
      <c r="F1553" s="256" t="inlineStr">
        <is>
          <t>06.06.2026</t>
        </is>
      </c>
      <c r="G1553" s="256" t="inlineStr">
        <is>
          <t>9.3</t>
        </is>
      </c>
      <c r="H1553" s="256" t="inlineStr">
        <is>
          <t>Bile-tolerant gram-neg.</t>
        </is>
      </c>
      <c r="I1553" s="256" t="inlineStr">
        <is>
          <t>Ph. Eur. 2.6.31 cat. C</t>
        </is>
      </c>
      <c r="J1553" s="256" t="inlineStr">
        <is>
          <t>≤ 10⁴ CFU/g</t>
        </is>
      </c>
      <c r="K1553" s="256" t="inlineStr">
        <is>
          <t>&lt; 10</t>
        </is>
      </c>
      <c r="L1553" s="256" t="inlineStr">
        <is>
          <t>361/0691/26</t>
        </is>
      </c>
      <c r="M1553" s="256" t="inlineStr">
        <is>
          <t>01.06.2026</t>
        </is>
      </c>
      <c r="N1553" s="256" t="inlineStr">
        <is>
          <t>IPH — Institute of Public Health</t>
        </is>
      </c>
      <c r="O1553" s="256" t="inlineStr">
        <is>
          <t>—</t>
        </is>
      </c>
      <c r="P1553" s="256" t="inlineStr">
        <is>
          <t>covered</t>
        </is>
      </c>
      <c r="Q1553" s="256" t="inlineStr"/>
      <c r="R1553" s="256" t="inlineStr"/>
    </row>
    <row r="1554">
      <c r="A1554" s="256" t="inlineStr">
        <is>
          <t>CoQ-PP_26-068</t>
        </is>
      </c>
      <c r="B1554" s="256" t="inlineStr">
        <is>
          <t>release</t>
        </is>
      </c>
      <c r="C1554" s="256" t="inlineStr">
        <is>
          <t>P060332</t>
        </is>
      </c>
      <c r="D1554" s="256" t="inlineStr">
        <is>
          <t>— no P lot assigned —</t>
        </is>
      </c>
      <c r="E1554" s="256" t="inlineStr">
        <is>
          <t>Cash Cow</t>
        </is>
      </c>
      <c r="F1554" s="256" t="inlineStr">
        <is>
          <t>06.06.2026</t>
        </is>
      </c>
      <c r="G1554" s="256" t="inlineStr">
        <is>
          <t>9.4</t>
        </is>
      </c>
      <c r="H1554" s="256" t="inlineStr">
        <is>
          <t>Salmonella</t>
        </is>
      </c>
      <c r="I1554" s="256" t="inlineStr">
        <is>
          <t>Ph. Eur. 2.6.31 cat. C</t>
        </is>
      </c>
      <c r="J1554" s="256" t="inlineStr">
        <is>
          <t>Absence | Отсуство / 25 g</t>
        </is>
      </c>
      <c r="K1554" s="256" t="inlineStr">
        <is>
          <t>Absent | Отсутна</t>
        </is>
      </c>
      <c r="L1554" s="256" t="inlineStr">
        <is>
          <t>361/0691/26</t>
        </is>
      </c>
      <c r="M1554" s="256" t="inlineStr">
        <is>
          <t>01.06.2026</t>
        </is>
      </c>
      <c r="N1554" s="256" t="inlineStr">
        <is>
          <t>IPH — Institute of Public Health</t>
        </is>
      </c>
      <c r="O1554" s="256" t="inlineStr">
        <is>
          <t>—</t>
        </is>
      </c>
      <c r="P1554" s="256" t="inlineStr">
        <is>
          <t>covered</t>
        </is>
      </c>
      <c r="Q1554" s="256" t="inlineStr"/>
      <c r="R1554" s="256" t="inlineStr"/>
    </row>
    <row r="1555">
      <c r="A1555" s="256" t="inlineStr">
        <is>
          <t>CoQ-PP_26-068</t>
        </is>
      </c>
      <c r="B1555" s="256" t="inlineStr">
        <is>
          <t>release</t>
        </is>
      </c>
      <c r="C1555" s="256" t="inlineStr">
        <is>
          <t>P060332</t>
        </is>
      </c>
      <c r="D1555" s="256" t="inlineStr">
        <is>
          <t>— no P lot assigned —</t>
        </is>
      </c>
      <c r="E1555" s="256" t="inlineStr">
        <is>
          <t>Cash Cow</t>
        </is>
      </c>
      <c r="F1555" s="256" t="inlineStr">
        <is>
          <t>06.06.2026</t>
        </is>
      </c>
      <c r="G1555" s="256" t="inlineStr">
        <is>
          <t>9.5</t>
        </is>
      </c>
      <c r="H1555" s="256" t="inlineStr">
        <is>
          <t>Escherichia coli</t>
        </is>
      </c>
      <c r="I1555" s="256" t="inlineStr">
        <is>
          <t>Ph. Eur. 2.6.13 cat. C</t>
        </is>
      </c>
      <c r="J1555" s="256" t="inlineStr">
        <is>
          <t>Absence | Отсуство / 1 g</t>
        </is>
      </c>
      <c r="K1555" s="256" t="inlineStr">
        <is>
          <t>Absent | Отсутна</t>
        </is>
      </c>
      <c r="L1555" s="256" t="inlineStr">
        <is>
          <t>361/0691/26</t>
        </is>
      </c>
      <c r="M1555" s="256" t="inlineStr">
        <is>
          <t>01.06.2026</t>
        </is>
      </c>
      <c r="N1555" s="256" t="inlineStr">
        <is>
          <t>IPH — Institute of Public Health</t>
        </is>
      </c>
      <c r="O1555" s="256" t="inlineStr">
        <is>
          <t>—</t>
        </is>
      </c>
      <c r="P1555" s="256" t="inlineStr">
        <is>
          <t>covered</t>
        </is>
      </c>
      <c r="Q1555" s="256" t="inlineStr"/>
      <c r="R1555" s="256" t="inlineStr"/>
    </row>
    <row r="1556">
      <c r="A1556" s="256" t="inlineStr">
        <is>
          <t>CoQ-PP_26-068</t>
        </is>
      </c>
      <c r="B1556" s="256" t="inlineStr">
        <is>
          <t>release</t>
        </is>
      </c>
      <c r="C1556" s="256" t="inlineStr">
        <is>
          <t>P060332</t>
        </is>
      </c>
      <c r="D1556" s="256" t="inlineStr">
        <is>
          <t>— no P lot assigned —</t>
        </is>
      </c>
      <c r="E1556" s="256" t="inlineStr">
        <is>
          <t>Cash Cow</t>
        </is>
      </c>
      <c r="F1556" s="256" t="inlineStr">
        <is>
          <t>06.06.2026</t>
        </is>
      </c>
      <c r="G1556" s="256" t="inlineStr">
        <is>
          <t>9.6</t>
        </is>
      </c>
      <c r="H1556" s="256" t="inlineStr">
        <is>
          <t>Pseudomonas aeruginosa</t>
        </is>
      </c>
      <c r="I1556" s="256" t="inlineStr">
        <is>
          <t>Ph. Eur. 2.6.13 cat. C</t>
        </is>
      </c>
      <c r="J1556" s="256" t="inlineStr">
        <is>
          <t>Absence | Отсуство / 1 g</t>
        </is>
      </c>
      <c r="K1556" s="260" t="inlineStr">
        <is>
          <t>upon request — not required for release</t>
        </is>
      </c>
      <c r="L1556" s="256" t="inlineStr">
        <is>
          <t>—</t>
        </is>
      </c>
      <c r="M1556" s="256" t="inlineStr">
        <is>
          <t>—</t>
        </is>
      </c>
      <c r="N1556" s="256" t="inlineStr">
        <is>
          <t>—</t>
        </is>
      </c>
      <c r="O1556" s="256" t="inlineStr">
        <is>
          <t>—</t>
        </is>
      </c>
      <c r="P1556" s="256" t="inlineStr">
        <is>
          <t>upon request — not required for release</t>
        </is>
      </c>
      <c r="Q1556" s="256" t="inlineStr"/>
      <c r="R1556" s="256" t="inlineStr"/>
    </row>
    <row r="1557">
      <c r="A1557" s="256" t="inlineStr">
        <is>
          <t>CoQ-PP_26-068</t>
        </is>
      </c>
      <c r="B1557" s="256" t="inlineStr">
        <is>
          <t>release</t>
        </is>
      </c>
      <c r="C1557" s="256" t="inlineStr">
        <is>
          <t>P060332</t>
        </is>
      </c>
      <c r="D1557" s="256" t="inlineStr">
        <is>
          <t>— no P lot assigned —</t>
        </is>
      </c>
      <c r="E1557" s="256" t="inlineStr">
        <is>
          <t>Cash Cow</t>
        </is>
      </c>
      <c r="F1557" s="256" t="inlineStr">
        <is>
          <t>06.06.2026</t>
        </is>
      </c>
      <c r="G1557" s="256" t="inlineStr">
        <is>
          <t>9.7</t>
        </is>
      </c>
      <c r="H1557" s="256" t="inlineStr">
        <is>
          <t>Staphylococcus aureus</t>
        </is>
      </c>
      <c r="I1557" s="256" t="inlineStr">
        <is>
          <t>Ph. Eur. 2.6.13 cat. C</t>
        </is>
      </c>
      <c r="J1557" s="256" t="inlineStr">
        <is>
          <t>Absence | Отсуство / 1 g</t>
        </is>
      </c>
      <c r="K1557" s="260" t="inlineStr">
        <is>
          <t>upon request — not required for release</t>
        </is>
      </c>
      <c r="L1557" s="256" t="inlineStr">
        <is>
          <t>—</t>
        </is>
      </c>
      <c r="M1557" s="256" t="inlineStr">
        <is>
          <t>—</t>
        </is>
      </c>
      <c r="N1557" s="256" t="inlineStr">
        <is>
          <t>—</t>
        </is>
      </c>
      <c r="O1557" s="256" t="inlineStr">
        <is>
          <t>—</t>
        </is>
      </c>
      <c r="P1557" s="256" t="inlineStr">
        <is>
          <t>upon request — not required for release</t>
        </is>
      </c>
      <c r="Q1557" s="256" t="inlineStr"/>
      <c r="R1557" s="256" t="inlineStr"/>
    </row>
    <row r="1558">
      <c r="A1558" s="256" t="inlineStr">
        <is>
          <t>CoQ-PP_26-068</t>
        </is>
      </c>
      <c r="B1558" s="256" t="inlineStr">
        <is>
          <t>release</t>
        </is>
      </c>
      <c r="C1558" s="256" t="inlineStr">
        <is>
          <t>P060332</t>
        </is>
      </c>
      <c r="D1558" s="256" t="inlineStr">
        <is>
          <t>— no P lot assigned —</t>
        </is>
      </c>
      <c r="E1558" s="256" t="inlineStr">
        <is>
          <t>Cash Cow</t>
        </is>
      </c>
      <c r="F1558" s="256" t="inlineStr">
        <is>
          <t>06.06.2026</t>
        </is>
      </c>
      <c r="G1558" s="256" t="inlineStr">
        <is>
          <t>10.1</t>
        </is>
      </c>
      <c r="H1558" s="256" t="inlineStr">
        <is>
          <t>Aflatoxin B₁</t>
        </is>
      </c>
      <c r="I1558" s="256" t="inlineStr">
        <is>
          <t>Ph. Eur. 2.8.18 (HPLC-FLD)</t>
        </is>
      </c>
      <c r="J1558" s="256" t="inlineStr">
        <is>
          <t>≤ 2 µg/kg</t>
        </is>
      </c>
      <c r="K1558" s="259" t="inlineStr">
        <is>
          <t>not tested</t>
        </is>
      </c>
      <c r="L1558" s="256" t="inlineStr">
        <is>
          <t>—</t>
        </is>
      </c>
      <c r="M1558" s="256" t="inlineStr">
        <is>
          <t>—</t>
        </is>
      </c>
      <c r="N1558" s="256" t="inlineStr">
        <is>
          <t>—</t>
        </is>
      </c>
      <c r="O1558" s="256" t="inlineStr">
        <is>
          <t>—</t>
        </is>
      </c>
      <c r="P1558" s="256" t="inlineStr">
        <is>
          <t>not tested — no certificate covers it</t>
        </is>
      </c>
      <c r="Q1558" s="256" t="inlineStr"/>
      <c r="R1558" s="256" t="inlineStr">
        <is>
          <t>ND (197-6-М/26)</t>
        </is>
      </c>
    </row>
    <row r="1559">
      <c r="A1559" s="256" t="inlineStr">
        <is>
          <t>CoQ-PP_26-068</t>
        </is>
      </c>
      <c r="B1559" s="256" t="inlineStr">
        <is>
          <t>release</t>
        </is>
      </c>
      <c r="C1559" s="256" t="inlineStr">
        <is>
          <t>P060332</t>
        </is>
      </c>
      <c r="D1559" s="256" t="inlineStr">
        <is>
          <t>— no P lot assigned —</t>
        </is>
      </c>
      <c r="E1559" s="256" t="inlineStr">
        <is>
          <t>Cash Cow</t>
        </is>
      </c>
      <c r="F1559" s="256" t="inlineStr">
        <is>
          <t>06.06.2026</t>
        </is>
      </c>
      <c r="G1559" s="256" t="inlineStr">
        <is>
          <t>10.2</t>
        </is>
      </c>
      <c r="H1559" s="256" t="inlineStr">
        <is>
          <t>Aflatoxins ∑</t>
        </is>
      </c>
      <c r="I1559" s="256" t="inlineStr">
        <is>
          <t>Ph. Eur. 2.8.18 (HPLC-FLD)</t>
        </is>
      </c>
      <c r="J1559" s="256" t="inlineStr">
        <is>
          <t>≤ 4 µg/kg</t>
        </is>
      </c>
      <c r="K1559" s="259" t="inlineStr">
        <is>
          <t>not tested</t>
        </is>
      </c>
      <c r="L1559" s="256" t="inlineStr">
        <is>
          <t>—</t>
        </is>
      </c>
      <c r="M1559" s="256" t="inlineStr">
        <is>
          <t>—</t>
        </is>
      </c>
      <c r="N1559" s="256" t="inlineStr">
        <is>
          <t>—</t>
        </is>
      </c>
      <c r="O1559" s="256" t="inlineStr">
        <is>
          <t>—</t>
        </is>
      </c>
      <c r="P1559" s="256" t="inlineStr">
        <is>
          <t>not tested — no certificate covers it</t>
        </is>
      </c>
      <c r="Q1559" s="256" t="inlineStr"/>
      <c r="R1559" s="256" t="inlineStr">
        <is>
          <t>ND (197-6-М/26)</t>
        </is>
      </c>
    </row>
    <row r="1560">
      <c r="A1560" s="256" t="inlineStr">
        <is>
          <t>CoQ-PP_26-068</t>
        </is>
      </c>
      <c r="B1560" s="256" t="inlineStr">
        <is>
          <t>release</t>
        </is>
      </c>
      <c r="C1560" s="256" t="inlineStr">
        <is>
          <t>P060332</t>
        </is>
      </c>
      <c r="D1560" s="256" t="inlineStr">
        <is>
          <t>— no P lot assigned —</t>
        </is>
      </c>
      <c r="E1560" s="256" t="inlineStr">
        <is>
          <t>Cash Cow</t>
        </is>
      </c>
      <c r="F1560" s="256" t="inlineStr">
        <is>
          <t>06.06.2026</t>
        </is>
      </c>
      <c r="G1560" s="256" t="inlineStr">
        <is>
          <t>10.3</t>
        </is>
      </c>
      <c r="H1560" s="256" t="inlineStr">
        <is>
          <t>Ochratoxin A</t>
        </is>
      </c>
      <c r="I1560" s="256" t="inlineStr">
        <is>
          <t>Ph. Eur. 2.8.22 (HPLC-FLD)</t>
        </is>
      </c>
      <c r="J1560" s="256" t="inlineStr">
        <is>
          <t>≤ 20 µg/kg</t>
        </is>
      </c>
      <c r="K1560" s="259" t="inlineStr">
        <is>
          <t>not tested</t>
        </is>
      </c>
      <c r="L1560" s="256" t="inlineStr">
        <is>
          <t>—</t>
        </is>
      </c>
      <c r="M1560" s="256" t="inlineStr">
        <is>
          <t>—</t>
        </is>
      </c>
      <c r="N1560" s="256" t="inlineStr">
        <is>
          <t>—</t>
        </is>
      </c>
      <c r="O1560" s="256" t="inlineStr">
        <is>
          <t>—</t>
        </is>
      </c>
      <c r="P1560" s="256" t="inlineStr">
        <is>
          <t>not tested — no certificate covers it</t>
        </is>
      </c>
      <c r="Q1560" s="256" t="inlineStr"/>
      <c r="R1560" s="256" t="inlineStr">
        <is>
          <t>ND (197-6-М/26)</t>
        </is>
      </c>
    </row>
    <row r="1561">
      <c r="A1561" s="256" t="inlineStr">
        <is>
          <t>CoQ-PP_26-068</t>
        </is>
      </c>
      <c r="B1561" s="256" t="inlineStr">
        <is>
          <t>release</t>
        </is>
      </c>
      <c r="C1561" s="256" t="inlineStr">
        <is>
          <t>P060332</t>
        </is>
      </c>
      <c r="D1561" s="256" t="inlineStr">
        <is>
          <t>— no P lot assigned —</t>
        </is>
      </c>
      <c r="E1561" s="256" t="inlineStr">
        <is>
          <t>Cash Cow</t>
        </is>
      </c>
      <c r="F1561" s="256" t="inlineStr">
        <is>
          <t>06.06.2026</t>
        </is>
      </c>
      <c r="G1561" s="256" t="inlineStr">
        <is>
          <t>11.1</t>
        </is>
      </c>
      <c r="H1561" s="256" t="inlineStr">
        <is>
          <t>Lead (Pb)</t>
        </is>
      </c>
      <c r="I1561" s="256" t="inlineStr">
        <is>
          <t>Ph. Eur. 2.4.27 (ICP-MS)</t>
        </is>
      </c>
      <c r="J1561" s="256" t="inlineStr">
        <is>
          <t>≤ 0.5 mg/kg</t>
        </is>
      </c>
      <c r="K1561" s="259" t="inlineStr">
        <is>
          <t>not tested</t>
        </is>
      </c>
      <c r="L1561" s="256" t="inlineStr">
        <is>
          <t>—</t>
        </is>
      </c>
      <c r="M1561" s="256" t="inlineStr">
        <is>
          <t>—</t>
        </is>
      </c>
      <c r="N1561" s="256" t="inlineStr">
        <is>
          <t>—</t>
        </is>
      </c>
      <c r="O1561" s="256" t="inlineStr">
        <is>
          <t>—</t>
        </is>
      </c>
      <c r="P1561" s="256" t="inlineStr">
        <is>
          <t>not tested — no certificate covers it</t>
        </is>
      </c>
      <c r="Q1561" s="256" t="inlineStr"/>
      <c r="R1561" s="256" t="inlineStr"/>
    </row>
    <row r="1562">
      <c r="A1562" s="256" t="inlineStr">
        <is>
          <t>CoQ-PP_26-068</t>
        </is>
      </c>
      <c r="B1562" s="256" t="inlineStr">
        <is>
          <t>release</t>
        </is>
      </c>
      <c r="C1562" s="256" t="inlineStr">
        <is>
          <t>P060332</t>
        </is>
      </c>
      <c r="D1562" s="256" t="inlineStr">
        <is>
          <t>— no P lot assigned —</t>
        </is>
      </c>
      <c r="E1562" s="256" t="inlineStr">
        <is>
          <t>Cash Cow</t>
        </is>
      </c>
      <c r="F1562" s="256" t="inlineStr">
        <is>
          <t>06.06.2026</t>
        </is>
      </c>
      <c r="G1562" s="256" t="inlineStr">
        <is>
          <t>11.2</t>
        </is>
      </c>
      <c r="H1562" s="256" t="inlineStr">
        <is>
          <t>Cadmium (Cd)</t>
        </is>
      </c>
      <c r="I1562" s="256" t="inlineStr">
        <is>
          <t>Ph. Eur. 2.4.27 (ICP-MS)</t>
        </is>
      </c>
      <c r="J1562" s="256" t="inlineStr">
        <is>
          <t>≤ 0.3 mg/kg</t>
        </is>
      </c>
      <c r="K1562" s="259" t="inlineStr">
        <is>
          <t>not tested</t>
        </is>
      </c>
      <c r="L1562" s="256" t="inlineStr">
        <is>
          <t>—</t>
        </is>
      </c>
      <c r="M1562" s="256" t="inlineStr">
        <is>
          <t>—</t>
        </is>
      </c>
      <c r="N1562" s="256" t="inlineStr">
        <is>
          <t>—</t>
        </is>
      </c>
      <c r="O1562" s="256" t="inlineStr">
        <is>
          <t>—</t>
        </is>
      </c>
      <c r="P1562" s="256" t="inlineStr">
        <is>
          <t>not tested — no certificate covers it</t>
        </is>
      </c>
      <c r="Q1562" s="256" t="inlineStr"/>
      <c r="R1562" s="256" t="inlineStr"/>
    </row>
    <row r="1563">
      <c r="A1563" s="256" t="inlineStr">
        <is>
          <t>CoQ-PP_26-068</t>
        </is>
      </c>
      <c r="B1563" s="256" t="inlineStr">
        <is>
          <t>release</t>
        </is>
      </c>
      <c r="C1563" s="256" t="inlineStr">
        <is>
          <t>P060332</t>
        </is>
      </c>
      <c r="D1563" s="256" t="inlineStr">
        <is>
          <t>— no P lot assigned —</t>
        </is>
      </c>
      <c r="E1563" s="256" t="inlineStr">
        <is>
          <t>Cash Cow</t>
        </is>
      </c>
      <c r="F1563" s="256" t="inlineStr">
        <is>
          <t>06.06.2026</t>
        </is>
      </c>
      <c r="G1563" s="256" t="inlineStr">
        <is>
          <t>11.3</t>
        </is>
      </c>
      <c r="H1563" s="256" t="inlineStr">
        <is>
          <t>Arsenic (As)</t>
        </is>
      </c>
      <c r="I1563" s="256" t="inlineStr">
        <is>
          <t>Ph. Eur. 2.4.27 (ICP-MS)</t>
        </is>
      </c>
      <c r="J1563" s="256" t="inlineStr">
        <is>
          <t>≤ 0.2 mg/kg</t>
        </is>
      </c>
      <c r="K1563" s="259" t="inlineStr">
        <is>
          <t>not tested</t>
        </is>
      </c>
      <c r="L1563" s="256" t="inlineStr">
        <is>
          <t>—</t>
        </is>
      </c>
      <c r="M1563" s="256" t="inlineStr">
        <is>
          <t>—</t>
        </is>
      </c>
      <c r="N1563" s="256" t="inlineStr">
        <is>
          <t>—</t>
        </is>
      </c>
      <c r="O1563" s="256" t="inlineStr">
        <is>
          <t>—</t>
        </is>
      </c>
      <c r="P1563" s="256" t="inlineStr">
        <is>
          <t>not tested — no certificate covers it</t>
        </is>
      </c>
      <c r="Q1563" s="256" t="inlineStr"/>
      <c r="R1563" s="256" t="inlineStr"/>
    </row>
    <row r="1564">
      <c r="A1564" s="256" t="inlineStr">
        <is>
          <t>CoQ-PP_26-068</t>
        </is>
      </c>
      <c r="B1564" s="256" t="inlineStr">
        <is>
          <t>release</t>
        </is>
      </c>
      <c r="C1564" s="256" t="inlineStr">
        <is>
          <t>P060332</t>
        </is>
      </c>
      <c r="D1564" s="256" t="inlineStr">
        <is>
          <t>— no P lot assigned —</t>
        </is>
      </c>
      <c r="E1564" s="256" t="inlineStr">
        <is>
          <t>Cash Cow</t>
        </is>
      </c>
      <c r="F1564" s="256" t="inlineStr">
        <is>
          <t>06.06.2026</t>
        </is>
      </c>
      <c r="G1564" s="256" t="inlineStr">
        <is>
          <t>11.4</t>
        </is>
      </c>
      <c r="H1564" s="256" t="inlineStr">
        <is>
          <t>Mercury (Hg)</t>
        </is>
      </c>
      <c r="I1564" s="256" t="inlineStr">
        <is>
          <t>Ph. Eur. 2.4.27 (ICP-MS)</t>
        </is>
      </c>
      <c r="J1564" s="256" t="inlineStr">
        <is>
          <t>≤ 0.1 mg/kg</t>
        </is>
      </c>
      <c r="K1564" s="259" t="inlineStr">
        <is>
          <t>not tested</t>
        </is>
      </c>
      <c r="L1564" s="256" t="inlineStr">
        <is>
          <t>—</t>
        </is>
      </c>
      <c r="M1564" s="256" t="inlineStr">
        <is>
          <t>—</t>
        </is>
      </c>
      <c r="N1564" s="256" t="inlineStr">
        <is>
          <t>—</t>
        </is>
      </c>
      <c r="O1564" s="256" t="inlineStr">
        <is>
          <t>—</t>
        </is>
      </c>
      <c r="P1564" s="256" t="inlineStr">
        <is>
          <t>not tested — no certificate covers it</t>
        </is>
      </c>
      <c r="Q1564" s="256" t="inlineStr"/>
      <c r="R1564" s="256" t="inlineStr"/>
    </row>
    <row r="1565">
      <c r="A1565" s="256" t="inlineStr">
        <is>
          <t>CoQ-PP_26-068</t>
        </is>
      </c>
      <c r="B1565" s="256" t="inlineStr">
        <is>
          <t>release</t>
        </is>
      </c>
      <c r="C1565" s="256" t="inlineStr">
        <is>
          <t>P060332</t>
        </is>
      </c>
      <c r="D1565" s="256" t="inlineStr">
        <is>
          <t>— no P lot assigned —</t>
        </is>
      </c>
      <c r="E1565" s="256" t="inlineStr">
        <is>
          <t>Cash Cow</t>
        </is>
      </c>
      <c r="F1565" s="256" t="inlineStr">
        <is>
          <t>06.06.2026</t>
        </is>
      </c>
      <c r="G1565" s="256" t="inlineStr">
        <is>
          <t>12</t>
        </is>
      </c>
      <c r="H1565" s="256" t="inlineStr">
        <is>
          <t>Pesticide Residues</t>
        </is>
      </c>
      <c r="I1565" s="256" t="inlineStr">
        <is>
          <t>Ph. Eur. 2.8.13 (LC-MS/MS) · CUMCS Equivalency</t>
        </is>
      </c>
      <c r="J1565" s="256" t="inlineStr">
        <is>
          <t>≤ LOQ as per Ph. Eur. 2.8.13 · ≤ LOQ as per CUMCS Equivalency</t>
        </is>
      </c>
      <c r="K1565" s="259" t="inlineStr">
        <is>
          <t>not tested</t>
        </is>
      </c>
      <c r="L1565" s="256" t="inlineStr">
        <is>
          <t>—</t>
        </is>
      </c>
      <c r="M1565" s="256" t="inlineStr">
        <is>
          <t>—</t>
        </is>
      </c>
      <c r="N1565" s="256" t="inlineStr">
        <is>
          <t>—</t>
        </is>
      </c>
      <c r="O1565" s="256" t="inlineStr">
        <is>
          <t>—</t>
        </is>
      </c>
      <c r="P1565" s="256" t="inlineStr">
        <is>
          <t>not tested — no certificate covers it</t>
        </is>
      </c>
      <c r="Q1565" s="256" t="inlineStr"/>
      <c r="R1565" s="256" t="inlineStr"/>
    </row>
    <row r="1566">
      <c r="A1566" s="256" t="inlineStr">
        <is>
          <t>CoQ-PP_26-069</t>
        </is>
      </c>
      <c r="B1566" s="256" t="inlineStr">
        <is>
          <t>release</t>
        </is>
      </c>
      <c r="C1566" s="256" t="inlineStr">
        <is>
          <t>FB012601/1</t>
        </is>
      </c>
      <c r="D1566" s="256" t="inlineStr">
        <is>
          <t>P060322</t>
        </is>
      </c>
      <c r="E1566" s="256" t="inlineStr">
        <is>
          <t>Fat Bastard</t>
        </is>
      </c>
      <c r="F1566" s="256" t="inlineStr">
        <is>
          <t>06.06.2026</t>
        </is>
      </c>
      <c r="G1566" s="256" t="inlineStr">
        <is>
          <t>1</t>
        </is>
      </c>
      <c r="H1566" s="256" t="inlineStr">
        <is>
          <t>Identification A, Appearance · Macroscopic</t>
        </is>
      </c>
      <c r="I1566" s="256" t="inlineStr">
        <is>
          <t>Ph. Eur. mon. 3028</t>
        </is>
      </c>
      <c r="J1566" s="256" t="inlineStr">
        <is>
          <t>Conforms to the monograph for Cannabis flos (07/2024:3028) in Ph. Eur. 11.0 | Согласно монографија за Cannabis flos (07/2024:3028) во Ph. Eur. 11.0</t>
        </is>
      </c>
      <c r="K1566" s="256" t="inlineStr">
        <is>
          <t>Conforms | Одговара</t>
        </is>
      </c>
      <c r="L1566" s="256" t="inlineStr">
        <is>
          <t>iCoA-PP_26-078</t>
        </is>
      </c>
      <c r="M1566" s="256" t="inlineStr">
        <is>
          <t>03.06.2026</t>
        </is>
      </c>
      <c r="N1566" s="256" t="inlineStr">
        <is>
          <t>Purely Plant GmbH (in-house)</t>
        </is>
      </c>
      <c r="O1566" s="256" t="inlineStr">
        <is>
          <t>—</t>
        </is>
      </c>
      <c r="P1566" s="256" t="inlineStr">
        <is>
          <t>to be performed — see route</t>
        </is>
      </c>
      <c r="Q1566" s="256" t="inlineStr">
        <is>
          <t>Purely Plant laboratory — iCoA covering Ident A + B</t>
        </is>
      </c>
      <c r="R1566" s="256" t="inlineStr"/>
    </row>
    <row r="1567">
      <c r="A1567" s="256" t="inlineStr">
        <is>
          <t>CoQ-PP_26-069</t>
        </is>
      </c>
      <c r="B1567" s="256" t="inlineStr">
        <is>
          <t>release</t>
        </is>
      </c>
      <c r="C1567" s="256" t="inlineStr">
        <is>
          <t>FB012601/1</t>
        </is>
      </c>
      <c r="D1567" s="256" t="inlineStr">
        <is>
          <t>P060322</t>
        </is>
      </c>
      <c r="E1567" s="256" t="inlineStr">
        <is>
          <t>Fat Bastard</t>
        </is>
      </c>
      <c r="F1567" s="256" t="inlineStr">
        <is>
          <t>06.06.2026</t>
        </is>
      </c>
      <c r="G1567" s="256" t="inlineStr">
        <is>
          <t>2</t>
        </is>
      </c>
      <c r="H1567" s="256" t="inlineStr">
        <is>
          <t>Identification B · Microscopic</t>
        </is>
      </c>
      <c r="I1567" s="256" t="inlineStr">
        <is>
          <t>Ph. Eur. 2.8.23 (microscopy)</t>
        </is>
      </c>
      <c r="J1567" s="256" t="inlineStr">
        <is>
          <t>Conforms to the monograph for Cannabis flos (07/2024:3028) in Ph. Eur. 11.0 | Согласно монографија за Cannabis flos (07/2024:3028) во Ph. Eur. 11.0</t>
        </is>
      </c>
      <c r="K1567" s="256" t="inlineStr">
        <is>
          <t>Conforms | Одговара</t>
        </is>
      </c>
      <c r="L1567" s="256" t="inlineStr">
        <is>
          <t>iCoA-PP_26-078</t>
        </is>
      </c>
      <c r="M1567" s="256" t="inlineStr">
        <is>
          <t>03.06.2026</t>
        </is>
      </c>
      <c r="N1567" s="256" t="inlineStr">
        <is>
          <t>Purely Plant GmbH (in-house)</t>
        </is>
      </c>
      <c r="O1567" s="256" t="inlineStr">
        <is>
          <t>—</t>
        </is>
      </c>
      <c r="P1567" s="256" t="inlineStr">
        <is>
          <t>to be performed — see route</t>
        </is>
      </c>
      <c r="Q1567" s="256" t="inlineStr">
        <is>
          <t>Purely Plant laboratory — iCoA covering Ident A + B</t>
        </is>
      </c>
      <c r="R1567" s="256" t="inlineStr"/>
    </row>
    <row r="1568">
      <c r="A1568" s="256" t="inlineStr">
        <is>
          <t>CoQ-PP_26-069</t>
        </is>
      </c>
      <c r="B1568" s="256" t="inlineStr">
        <is>
          <t>release</t>
        </is>
      </c>
      <c r="C1568" s="256" t="inlineStr">
        <is>
          <t>FB012601/1</t>
        </is>
      </c>
      <c r="D1568" s="256" t="inlineStr">
        <is>
          <t>P060322</t>
        </is>
      </c>
      <c r="E1568" s="256" t="inlineStr">
        <is>
          <t>Fat Bastard</t>
        </is>
      </c>
      <c r="F1568" s="256" t="inlineStr">
        <is>
          <t>06.06.2026</t>
        </is>
      </c>
      <c r="G1568" s="256" t="inlineStr">
        <is>
          <t>3</t>
        </is>
      </c>
      <c r="H1568" s="256" t="inlineStr">
        <is>
          <t>Identification C · HPLC/HPTLC</t>
        </is>
      </c>
      <c r="I1568" s="256" t="inlineStr">
        <is>
          <t>HPLC — DAB 2018 monograph Cannabis flos, 2.2.29 (CNP, before its Ph. Eur. 3028 accreditation)</t>
        </is>
      </c>
      <c r="J1568" s="256" t="inlineStr">
        <is>
          <t>Conforms to the monograph for Cannabis flos (07/2024:3028) in Ph. Eur. 11.0 | Согласно монографија за Cannabis flos (07/2024:3028) во Ph. Eur. 11.0</t>
        </is>
      </c>
      <c r="K1568" s="256" t="inlineStr">
        <is>
          <t>Conforms | Одговара</t>
        </is>
      </c>
      <c r="L1568" s="256" t="inlineStr">
        <is>
          <t>ППК26067</t>
        </is>
      </c>
      <c r="M1568" s="256" t="inlineStr">
        <is>
          <t>11.05.2026</t>
        </is>
      </c>
      <c r="N1568" s="256" t="inlineStr">
        <is>
          <t>UKIM Faculty of Pharmacy — Center for Natural Products</t>
        </is>
      </c>
      <c r="O1568" s="256" t="inlineStr">
        <is>
          <t>21.04.2026</t>
        </is>
      </c>
      <c r="P1568" s="256" t="inlineStr">
        <is>
          <t>covered</t>
        </is>
      </c>
      <c r="Q1568" s="256" t="inlineStr"/>
      <c r="R1568" s="256" t="inlineStr"/>
    </row>
    <row r="1569">
      <c r="A1569" s="256" t="inlineStr">
        <is>
          <t>CoQ-PP_26-069</t>
        </is>
      </c>
      <c r="B1569" s="256" t="inlineStr">
        <is>
          <t>release</t>
        </is>
      </c>
      <c r="C1569" s="256" t="inlineStr">
        <is>
          <t>FB012601/1</t>
        </is>
      </c>
      <c r="D1569" s="256" t="inlineStr">
        <is>
          <t>P060322</t>
        </is>
      </c>
      <c r="E1569" s="256" t="inlineStr">
        <is>
          <t>Fat Bastard</t>
        </is>
      </c>
      <c r="F1569" s="256" t="inlineStr">
        <is>
          <t>06.06.2026</t>
        </is>
      </c>
      <c r="G1569" s="256" t="inlineStr">
        <is>
          <t>4</t>
        </is>
      </c>
      <c r="H1569" s="256" t="inlineStr">
        <is>
          <t>Assay — Total Δ⁹-THC</t>
        </is>
      </c>
      <c r="I1569" s="256" t="inlineStr">
        <is>
          <t>HPLC — DAB 2018 monograph Cannabis flos, 2.2.29 (CNP, before its Ph. Eur. 3028 accreditation)</t>
        </is>
      </c>
      <c r="J1569" s="256" t="inlineStr">
        <is>
          <t>13.80 – 16.19 %  (grade III, nominal 15.00 ± 1.20)</t>
        </is>
      </c>
      <c r="K1569" s="256" t="inlineStr">
        <is>
          <t>14.68</t>
        </is>
      </c>
      <c r="L1569" s="256" t="inlineStr">
        <is>
          <t>ППК26067</t>
        </is>
      </c>
      <c r="M1569" s="256" t="inlineStr">
        <is>
          <t>11.05.2026</t>
        </is>
      </c>
      <c r="N1569" s="256" t="inlineStr">
        <is>
          <t>UKIM Faculty of Pharmacy — Center for Natural Products</t>
        </is>
      </c>
      <c r="O1569" s="256" t="inlineStr">
        <is>
          <t>21.04.2026</t>
        </is>
      </c>
      <c r="P1569" s="256" t="inlineStr">
        <is>
          <t>covered</t>
        </is>
      </c>
      <c r="Q1569" s="256" t="inlineStr"/>
      <c r="R1569" s="256" t="inlineStr">
        <is>
          <t>17.99 (220-8-К/26)</t>
        </is>
      </c>
    </row>
    <row r="1570">
      <c r="A1570" s="256" t="inlineStr">
        <is>
          <t>CoQ-PP_26-069</t>
        </is>
      </c>
      <c r="B1570" s="256" t="inlineStr">
        <is>
          <t>release</t>
        </is>
      </c>
      <c r="C1570" s="256" t="inlineStr">
        <is>
          <t>FB012601/1</t>
        </is>
      </c>
      <c r="D1570" s="256" t="inlineStr">
        <is>
          <t>P060322</t>
        </is>
      </c>
      <c r="E1570" s="256" t="inlineStr">
        <is>
          <t>Fat Bastard</t>
        </is>
      </c>
      <c r="F1570" s="256" t="inlineStr">
        <is>
          <t>06.06.2026</t>
        </is>
      </c>
      <c r="G1570" s="256" t="inlineStr">
        <is>
          <t>5</t>
        </is>
      </c>
      <c r="H1570" s="256" t="inlineStr">
        <is>
          <t>Assay — Total CBD</t>
        </is>
      </c>
      <c r="I1570" s="256" t="inlineStr">
        <is>
          <t>HPLC — DAB 2018 monograph Cannabis flos, 2.2.29 · CBD + CBDA x 0.877 (CNP, before its Ph. Eur. 3028 accreditation)</t>
        </is>
      </c>
      <c r="J1570" s="256" t="inlineStr">
        <is>
          <t>≤ 1.0%, w/w</t>
        </is>
      </c>
      <c r="K1570" s="256" t="inlineStr">
        <is>
          <t>0.04</t>
        </is>
      </c>
      <c r="L1570" s="256" t="inlineStr">
        <is>
          <t>ППК26067</t>
        </is>
      </c>
      <c r="M1570" s="256" t="inlineStr">
        <is>
          <t>11.05.2026</t>
        </is>
      </c>
      <c r="N1570" s="256" t="inlineStr">
        <is>
          <t>UKIM Faculty of Pharmacy — Center for Natural Products</t>
        </is>
      </c>
      <c r="O1570" s="256" t="inlineStr">
        <is>
          <t>21.04.2026</t>
        </is>
      </c>
      <c r="P1570" s="256" t="inlineStr">
        <is>
          <t>covered</t>
        </is>
      </c>
      <c r="Q1570" s="256" t="inlineStr"/>
      <c r="R1570" s="256" t="inlineStr">
        <is>
          <t>&lt;LOQ (220-8-К/26)</t>
        </is>
      </c>
    </row>
    <row r="1571">
      <c r="A1571" s="256" t="inlineStr">
        <is>
          <t>CoQ-PP_26-069</t>
        </is>
      </c>
      <c r="B1571" s="256" t="inlineStr">
        <is>
          <t>release</t>
        </is>
      </c>
      <c r="C1571" s="256" t="inlineStr">
        <is>
          <t>FB012601/1</t>
        </is>
      </c>
      <c r="D1571" s="256" t="inlineStr">
        <is>
          <t>P060322</t>
        </is>
      </c>
      <c r="E1571" s="256" t="inlineStr">
        <is>
          <t>Fat Bastard</t>
        </is>
      </c>
      <c r="F1571" s="256" t="inlineStr">
        <is>
          <t>06.06.2026</t>
        </is>
      </c>
      <c r="G1571" s="256" t="inlineStr">
        <is>
          <t>6</t>
        </is>
      </c>
      <c r="H1571" s="256" t="inlineStr">
        <is>
          <t>Total CBN</t>
        </is>
      </c>
      <c r="I1571" s="256" t="inlineStr">
        <is>
          <t>HPLC — DAB 2018 monograph Cannabis flos, 2.2.29 · CBN + CBNA x 0.876 (CNP, before its Ph. Eur. 3028 accreditation)</t>
        </is>
      </c>
      <c r="J1571" s="256" t="inlineStr">
        <is>
          <t>≤ 1.0%, w/w</t>
        </is>
      </c>
      <c r="K1571" s="256" t="inlineStr">
        <is>
          <t>&lt; LOQ %</t>
        </is>
      </c>
      <c r="L1571" s="256" t="inlineStr">
        <is>
          <t>ППК26067</t>
        </is>
      </c>
      <c r="M1571" s="256" t="inlineStr">
        <is>
          <t>11.05.2026</t>
        </is>
      </c>
      <c r="N1571" s="256" t="inlineStr">
        <is>
          <t>CNP</t>
        </is>
      </c>
      <c r="O1571" s="256" t="inlineStr">
        <is>
          <t>21.04.2026</t>
        </is>
      </c>
      <c r="P1571" s="256" t="inlineStr">
        <is>
          <t>covered</t>
        </is>
      </c>
      <c r="Q1571" s="256" t="inlineStr"/>
      <c r="R1571" s="256" t="inlineStr"/>
    </row>
    <row r="1572">
      <c r="A1572" s="256" t="inlineStr">
        <is>
          <t>CoQ-PP_26-069</t>
        </is>
      </c>
      <c r="B1572" s="256" t="inlineStr">
        <is>
          <t>release</t>
        </is>
      </c>
      <c r="C1572" s="256" t="inlineStr">
        <is>
          <t>FB012601/1</t>
        </is>
      </c>
      <c r="D1572" s="256" t="inlineStr">
        <is>
          <t>P060322</t>
        </is>
      </c>
      <c r="E1572" s="256" t="inlineStr">
        <is>
          <t>Fat Bastard</t>
        </is>
      </c>
      <c r="F1572" s="256" t="inlineStr">
        <is>
          <t>06.06.2026</t>
        </is>
      </c>
      <c r="G1572" s="256" t="inlineStr">
        <is>
          <t>7</t>
        </is>
      </c>
      <c r="H1572" s="256" t="inlineStr">
        <is>
          <t>Foreign Matter</t>
        </is>
      </c>
      <c r="I1572" s="256" t="inlineStr">
        <is>
          <t>Ph. Eur. 2.8.2 · In-house · интерна</t>
        </is>
      </c>
      <c r="J1572" s="256" t="inlineStr">
        <is>
          <t>≤ 2.0% / 25–50 g · &lt; 1 cm leaves | листови, no seeds | без семки</t>
        </is>
      </c>
      <c r="K1572" s="256" t="inlineStr">
        <is>
          <t>Conforms | Одговара</t>
        </is>
      </c>
      <c r="L1572" s="256" t="inlineStr">
        <is>
          <t>iCoA-PP_26-078</t>
        </is>
      </c>
      <c r="M1572" s="256" t="inlineStr">
        <is>
          <t>03.06.2026</t>
        </is>
      </c>
      <c r="N1572" s="256" t="inlineStr">
        <is>
          <t>Purely Plant GmbH (in-house)</t>
        </is>
      </c>
      <c r="O1572" s="256" t="inlineStr">
        <is>
          <t>—</t>
        </is>
      </c>
      <c r="P1572" s="256" t="inlineStr">
        <is>
          <t>to be performed — see route</t>
        </is>
      </c>
      <c r="Q1572" s="256" t="inlineStr">
        <is>
          <t>Purely Plant laboratory — iCoA covering Foreign matter</t>
        </is>
      </c>
      <c r="R1572" s="256" t="inlineStr"/>
    </row>
    <row r="1573">
      <c r="A1573" s="256" t="inlineStr">
        <is>
          <t>CoQ-PP_26-069</t>
        </is>
      </c>
      <c r="B1573" s="256" t="inlineStr">
        <is>
          <t>release</t>
        </is>
      </c>
      <c r="C1573" s="256" t="inlineStr">
        <is>
          <t>FB012601/1</t>
        </is>
      </c>
      <c r="D1573" s="256" t="inlineStr">
        <is>
          <t>P060322</t>
        </is>
      </c>
      <c r="E1573" s="256" t="inlineStr">
        <is>
          <t>Fat Bastard</t>
        </is>
      </c>
      <c r="F1573" s="256" t="inlineStr">
        <is>
          <t>06.06.2026</t>
        </is>
      </c>
      <c r="G1573" s="256" t="inlineStr">
        <is>
          <t>8</t>
        </is>
      </c>
      <c r="H1573" s="256" t="inlineStr">
        <is>
          <t>Loss on Drying</t>
        </is>
      </c>
      <c r="I1573" s="256" t="inlineStr">
        <is>
          <t>DAB 2018 monograph Cannabis flos, 2.2.32 — loss on drying (CNP, before its Ph. Eur. 3028 accreditation)</t>
        </is>
      </c>
      <c r="J1573" s="256" t="inlineStr">
        <is>
          <t>≤ 12.0%</t>
        </is>
      </c>
      <c r="K1573" s="256" t="inlineStr">
        <is>
          <t>7.67</t>
        </is>
      </c>
      <c r="L1573" s="256" t="inlineStr">
        <is>
          <t>ППК26067</t>
        </is>
      </c>
      <c r="M1573" s="256" t="inlineStr">
        <is>
          <t>11.05.2026</t>
        </is>
      </c>
      <c r="N1573" s="256" t="inlineStr">
        <is>
          <t>UKIM Faculty of Pharmacy — Center for Natural Products</t>
        </is>
      </c>
      <c r="O1573" s="256" t="inlineStr">
        <is>
          <t>21.04.2026</t>
        </is>
      </c>
      <c r="P1573" s="256" t="inlineStr">
        <is>
          <t>covered</t>
        </is>
      </c>
      <c r="Q1573" s="256" t="inlineStr"/>
      <c r="R1573" s="256" t="inlineStr"/>
    </row>
    <row r="1574">
      <c r="A1574" s="256" t="inlineStr">
        <is>
          <t>CoQ-PP_26-069</t>
        </is>
      </c>
      <c r="B1574" s="256" t="inlineStr">
        <is>
          <t>release</t>
        </is>
      </c>
      <c r="C1574" s="256" t="inlineStr">
        <is>
          <t>FB012601/1</t>
        </is>
      </c>
      <c r="D1574" s="256" t="inlineStr">
        <is>
          <t>P060322</t>
        </is>
      </c>
      <c r="E1574" s="256" t="inlineStr">
        <is>
          <t>Fat Bastard</t>
        </is>
      </c>
      <c r="F1574" s="256" t="inlineStr">
        <is>
          <t>06.06.2026</t>
        </is>
      </c>
      <c r="G1574" s="256" t="inlineStr">
        <is>
          <t>9.1</t>
        </is>
      </c>
      <c r="H1574" s="256" t="inlineStr">
        <is>
          <t>TAMC</t>
        </is>
      </c>
      <c r="I1574" s="256" t="inlineStr">
        <is>
          <t>Ph. Eur. 2.6.12 cat. C</t>
        </is>
      </c>
      <c r="J1574" s="256" t="inlineStr">
        <is>
          <t>≤ 10⁵ CFU/g</t>
        </is>
      </c>
      <c r="K1574" s="256" t="inlineStr">
        <is>
          <t>2 × 10³</t>
        </is>
      </c>
      <c r="L1574" s="256" t="inlineStr">
        <is>
          <t>308/0552/26</t>
        </is>
      </c>
      <c r="M1574" s="256" t="inlineStr">
        <is>
          <t>28.04.2026</t>
        </is>
      </c>
      <c r="N1574" s="256" t="inlineStr">
        <is>
          <t>IPH — Institute of Public Health</t>
        </is>
      </c>
      <c r="O1574" s="256" t="inlineStr">
        <is>
          <t>22.04.2026</t>
        </is>
      </c>
      <c r="P1574" s="256" t="inlineStr">
        <is>
          <t>covered</t>
        </is>
      </c>
      <c r="Q1574" s="256" t="inlineStr"/>
      <c r="R1574" s="256" t="inlineStr"/>
    </row>
    <row r="1575">
      <c r="A1575" s="256" t="inlineStr">
        <is>
          <t>CoQ-PP_26-069</t>
        </is>
      </c>
      <c r="B1575" s="256" t="inlineStr">
        <is>
          <t>release</t>
        </is>
      </c>
      <c r="C1575" s="256" t="inlineStr">
        <is>
          <t>FB012601/1</t>
        </is>
      </c>
      <c r="D1575" s="256" t="inlineStr">
        <is>
          <t>P060322</t>
        </is>
      </c>
      <c r="E1575" s="256" t="inlineStr">
        <is>
          <t>Fat Bastard</t>
        </is>
      </c>
      <c r="F1575" s="256" t="inlineStr">
        <is>
          <t>06.06.2026</t>
        </is>
      </c>
      <c r="G1575" s="256" t="inlineStr">
        <is>
          <t>9.2</t>
        </is>
      </c>
      <c r="H1575" s="256" t="inlineStr">
        <is>
          <t>TYMC</t>
        </is>
      </c>
      <c r="I1575" s="256" t="inlineStr">
        <is>
          <t>Ph. Eur. 2.6.12 cat. C</t>
        </is>
      </c>
      <c r="J1575" s="256" t="inlineStr">
        <is>
          <t>≤ 10⁴ CFU/g</t>
        </is>
      </c>
      <c r="K1575" s="256" t="inlineStr">
        <is>
          <t>2,1 × 10³</t>
        </is>
      </c>
      <c r="L1575" s="256" t="inlineStr">
        <is>
          <t>308/0552/26</t>
        </is>
      </c>
      <c r="M1575" s="256" t="inlineStr">
        <is>
          <t>28.04.2026</t>
        </is>
      </c>
      <c r="N1575" s="256" t="inlineStr">
        <is>
          <t>IPH — Institute of Public Health</t>
        </is>
      </c>
      <c r="O1575" s="256" t="inlineStr">
        <is>
          <t>22.04.2026</t>
        </is>
      </c>
      <c r="P1575" s="256" t="inlineStr">
        <is>
          <t>covered</t>
        </is>
      </c>
      <c r="Q1575" s="256" t="inlineStr"/>
      <c r="R1575" s="256" t="inlineStr"/>
    </row>
    <row r="1576">
      <c r="A1576" s="256" t="inlineStr">
        <is>
          <t>CoQ-PP_26-069</t>
        </is>
      </c>
      <c r="B1576" s="256" t="inlineStr">
        <is>
          <t>release</t>
        </is>
      </c>
      <c r="C1576" s="256" t="inlineStr">
        <is>
          <t>FB012601/1</t>
        </is>
      </c>
      <c r="D1576" s="256" t="inlineStr">
        <is>
          <t>P060322</t>
        </is>
      </c>
      <c r="E1576" s="256" t="inlineStr">
        <is>
          <t>Fat Bastard</t>
        </is>
      </c>
      <c r="F1576" s="256" t="inlineStr">
        <is>
          <t>06.06.2026</t>
        </is>
      </c>
      <c r="G1576" s="256" t="inlineStr">
        <is>
          <t>9.3</t>
        </is>
      </c>
      <c r="H1576" s="256" t="inlineStr">
        <is>
          <t>Bile-tolerant gram-neg.</t>
        </is>
      </c>
      <c r="I1576" s="256" t="inlineStr">
        <is>
          <t>Ph. Eur. 2.6.31 cat. C</t>
        </is>
      </c>
      <c r="J1576" s="256" t="inlineStr">
        <is>
          <t>≤ 10⁴ CFU/g</t>
        </is>
      </c>
      <c r="K1576" s="256" t="inlineStr">
        <is>
          <t>&lt; 10</t>
        </is>
      </c>
      <c r="L1576" s="256" t="inlineStr">
        <is>
          <t>308/0552/26</t>
        </is>
      </c>
      <c r="M1576" s="256" t="inlineStr">
        <is>
          <t>28.04.2026</t>
        </is>
      </c>
      <c r="N1576" s="256" t="inlineStr">
        <is>
          <t>IPH — Institute of Public Health</t>
        </is>
      </c>
      <c r="O1576" s="256" t="inlineStr">
        <is>
          <t>22.04.2026</t>
        </is>
      </c>
      <c r="P1576" s="256" t="inlineStr">
        <is>
          <t>covered</t>
        </is>
      </c>
      <c r="Q1576" s="256" t="inlineStr"/>
      <c r="R1576" s="256" t="inlineStr"/>
    </row>
    <row r="1577">
      <c r="A1577" s="256" t="inlineStr">
        <is>
          <t>CoQ-PP_26-069</t>
        </is>
      </c>
      <c r="B1577" s="256" t="inlineStr">
        <is>
          <t>release</t>
        </is>
      </c>
      <c r="C1577" s="256" t="inlineStr">
        <is>
          <t>FB012601/1</t>
        </is>
      </c>
      <c r="D1577" s="256" t="inlineStr">
        <is>
          <t>P060322</t>
        </is>
      </c>
      <c r="E1577" s="256" t="inlineStr">
        <is>
          <t>Fat Bastard</t>
        </is>
      </c>
      <c r="F1577" s="256" t="inlineStr">
        <is>
          <t>06.06.2026</t>
        </is>
      </c>
      <c r="G1577" s="256" t="inlineStr">
        <is>
          <t>9.4</t>
        </is>
      </c>
      <c r="H1577" s="256" t="inlineStr">
        <is>
          <t>Salmonella</t>
        </is>
      </c>
      <c r="I1577" s="256" t="inlineStr">
        <is>
          <t>Ph. Eur. 2.6.31 cat. C</t>
        </is>
      </c>
      <c r="J1577" s="256" t="inlineStr">
        <is>
          <t>Absence | Отсуство / 25 g</t>
        </is>
      </c>
      <c r="K1577" s="256" t="inlineStr">
        <is>
          <t>Absent | Отсутна</t>
        </is>
      </c>
      <c r="L1577" s="256" t="inlineStr">
        <is>
          <t>308/0552/26</t>
        </is>
      </c>
      <c r="M1577" s="256" t="inlineStr">
        <is>
          <t>28.04.2026</t>
        </is>
      </c>
      <c r="N1577" s="256" t="inlineStr">
        <is>
          <t>IPH — Institute of Public Health</t>
        </is>
      </c>
      <c r="O1577" s="256" t="inlineStr">
        <is>
          <t>22.04.2026</t>
        </is>
      </c>
      <c r="P1577" s="256" t="inlineStr">
        <is>
          <t>covered</t>
        </is>
      </c>
      <c r="Q1577" s="256" t="inlineStr"/>
      <c r="R1577" s="256" t="inlineStr"/>
    </row>
    <row r="1578">
      <c r="A1578" s="256" t="inlineStr">
        <is>
          <t>CoQ-PP_26-069</t>
        </is>
      </c>
      <c r="B1578" s="256" t="inlineStr">
        <is>
          <t>release</t>
        </is>
      </c>
      <c r="C1578" s="256" t="inlineStr">
        <is>
          <t>FB012601/1</t>
        </is>
      </c>
      <c r="D1578" s="256" t="inlineStr">
        <is>
          <t>P060322</t>
        </is>
      </c>
      <c r="E1578" s="256" t="inlineStr">
        <is>
          <t>Fat Bastard</t>
        </is>
      </c>
      <c r="F1578" s="256" t="inlineStr">
        <is>
          <t>06.06.2026</t>
        </is>
      </c>
      <c r="G1578" s="256" t="inlineStr">
        <is>
          <t>9.5</t>
        </is>
      </c>
      <c r="H1578" s="256" t="inlineStr">
        <is>
          <t>Escherichia coli</t>
        </is>
      </c>
      <c r="I1578" s="256" t="inlineStr">
        <is>
          <t>Ph. Eur. 2.6.13 cat. C</t>
        </is>
      </c>
      <c r="J1578" s="256" t="inlineStr">
        <is>
          <t>Absence | Отсуство / 1 g</t>
        </is>
      </c>
      <c r="K1578" s="256" t="inlineStr">
        <is>
          <t>Absent | Отсутна</t>
        </is>
      </c>
      <c r="L1578" s="256" t="inlineStr">
        <is>
          <t>308/0552/26</t>
        </is>
      </c>
      <c r="M1578" s="256" t="inlineStr">
        <is>
          <t>28.04.2026</t>
        </is>
      </c>
      <c r="N1578" s="256" t="inlineStr">
        <is>
          <t>IPH — Institute of Public Health</t>
        </is>
      </c>
      <c r="O1578" s="256" t="inlineStr">
        <is>
          <t>22.04.2026</t>
        </is>
      </c>
      <c r="P1578" s="256" t="inlineStr">
        <is>
          <t>covered</t>
        </is>
      </c>
      <c r="Q1578" s="256" t="inlineStr"/>
      <c r="R1578" s="256" t="inlineStr"/>
    </row>
    <row r="1579">
      <c r="A1579" s="256" t="inlineStr">
        <is>
          <t>CoQ-PP_26-069</t>
        </is>
      </c>
      <c r="B1579" s="256" t="inlineStr">
        <is>
          <t>release</t>
        </is>
      </c>
      <c r="C1579" s="256" t="inlineStr">
        <is>
          <t>FB012601/1</t>
        </is>
      </c>
      <c r="D1579" s="256" t="inlineStr">
        <is>
          <t>P060322</t>
        </is>
      </c>
      <c r="E1579" s="256" t="inlineStr">
        <is>
          <t>Fat Bastard</t>
        </is>
      </c>
      <c r="F1579" s="256" t="inlineStr">
        <is>
          <t>06.06.2026</t>
        </is>
      </c>
      <c r="G1579" s="256" t="inlineStr">
        <is>
          <t>9.6</t>
        </is>
      </c>
      <c r="H1579" s="256" t="inlineStr">
        <is>
          <t>Pseudomonas aeruginosa</t>
        </is>
      </c>
      <c r="I1579" s="256" t="inlineStr">
        <is>
          <t>Ph. Eur. 2.6.13 cat. C</t>
        </is>
      </c>
      <c r="J1579" s="256" t="inlineStr">
        <is>
          <t>Absence | Отсуство / 1 g</t>
        </is>
      </c>
      <c r="K1579" s="260" t="inlineStr">
        <is>
          <t>upon request — not required for release</t>
        </is>
      </c>
      <c r="L1579" s="256" t="inlineStr">
        <is>
          <t>—</t>
        </is>
      </c>
      <c r="M1579" s="256" t="inlineStr">
        <is>
          <t>—</t>
        </is>
      </c>
      <c r="N1579" s="256" t="inlineStr">
        <is>
          <t>—</t>
        </is>
      </c>
      <c r="O1579" s="256" t="inlineStr">
        <is>
          <t>—</t>
        </is>
      </c>
      <c r="P1579" s="256" t="inlineStr">
        <is>
          <t>upon request — not required for release</t>
        </is>
      </c>
      <c r="Q1579" s="256" t="inlineStr"/>
      <c r="R1579" s="256" t="inlineStr"/>
    </row>
    <row r="1580">
      <c r="A1580" s="256" t="inlineStr">
        <is>
          <t>CoQ-PP_26-069</t>
        </is>
      </c>
      <c r="B1580" s="256" t="inlineStr">
        <is>
          <t>release</t>
        </is>
      </c>
      <c r="C1580" s="256" t="inlineStr">
        <is>
          <t>FB012601/1</t>
        </is>
      </c>
      <c r="D1580" s="256" t="inlineStr">
        <is>
          <t>P060322</t>
        </is>
      </c>
      <c r="E1580" s="256" t="inlineStr">
        <is>
          <t>Fat Bastard</t>
        </is>
      </c>
      <c r="F1580" s="256" t="inlineStr">
        <is>
          <t>06.06.2026</t>
        </is>
      </c>
      <c r="G1580" s="256" t="inlineStr">
        <is>
          <t>9.7</t>
        </is>
      </c>
      <c r="H1580" s="256" t="inlineStr">
        <is>
          <t>Staphylococcus aureus</t>
        </is>
      </c>
      <c r="I1580" s="256" t="inlineStr">
        <is>
          <t>Ph. Eur. 2.6.13 cat. C</t>
        </is>
      </c>
      <c r="J1580" s="256" t="inlineStr">
        <is>
          <t>Absence | Отсуство / 1 g</t>
        </is>
      </c>
      <c r="K1580" s="260" t="inlineStr">
        <is>
          <t>upon request — not required for release</t>
        </is>
      </c>
      <c r="L1580" s="256" t="inlineStr">
        <is>
          <t>—</t>
        </is>
      </c>
      <c r="M1580" s="256" t="inlineStr">
        <is>
          <t>—</t>
        </is>
      </c>
      <c r="N1580" s="256" t="inlineStr">
        <is>
          <t>—</t>
        </is>
      </c>
      <c r="O1580" s="256" t="inlineStr">
        <is>
          <t>—</t>
        </is>
      </c>
      <c r="P1580" s="256" t="inlineStr">
        <is>
          <t>upon request — not required for release</t>
        </is>
      </c>
      <c r="Q1580" s="256" t="inlineStr"/>
      <c r="R1580" s="256" t="inlineStr"/>
    </row>
    <row r="1581">
      <c r="A1581" s="256" t="inlineStr">
        <is>
          <t>CoQ-PP_26-069</t>
        </is>
      </c>
      <c r="B1581" s="256" t="inlineStr">
        <is>
          <t>release</t>
        </is>
      </c>
      <c r="C1581" s="256" t="inlineStr">
        <is>
          <t>FB012601/1</t>
        </is>
      </c>
      <c r="D1581" s="256" t="inlineStr">
        <is>
          <t>P060322</t>
        </is>
      </c>
      <c r="E1581" s="256" t="inlineStr">
        <is>
          <t>Fat Bastard</t>
        </is>
      </c>
      <c r="F1581" s="256" t="inlineStr">
        <is>
          <t>06.06.2026</t>
        </is>
      </c>
      <c r="G1581" s="256" t="inlineStr">
        <is>
          <t>10.1</t>
        </is>
      </c>
      <c r="H1581" s="256" t="inlineStr">
        <is>
          <t>Aflatoxin B₁</t>
        </is>
      </c>
      <c r="I1581" s="256" t="inlineStr">
        <is>
          <t>Ph. Eur. 2.8.18 (HPLC-FLD)</t>
        </is>
      </c>
      <c r="J1581" s="256" t="inlineStr">
        <is>
          <t>≤ 2 µg/kg</t>
        </is>
      </c>
      <c r="K1581" s="259" t="inlineStr">
        <is>
          <t>not tested</t>
        </is>
      </c>
      <c r="L1581" s="256" t="inlineStr">
        <is>
          <t>—</t>
        </is>
      </c>
      <c r="M1581" s="256" t="inlineStr">
        <is>
          <t>—</t>
        </is>
      </c>
      <c r="N1581" s="256" t="inlineStr">
        <is>
          <t>—</t>
        </is>
      </c>
      <c r="O1581" s="256" t="inlineStr">
        <is>
          <t>—</t>
        </is>
      </c>
      <c r="P1581" s="256" t="inlineStr">
        <is>
          <t>not tested — no certificate covers it</t>
        </is>
      </c>
      <c r="Q1581" s="256" t="inlineStr"/>
      <c r="R1581" s="256" t="inlineStr">
        <is>
          <t>ND (220-8-М/26)</t>
        </is>
      </c>
    </row>
    <row r="1582">
      <c r="A1582" s="256" t="inlineStr">
        <is>
          <t>CoQ-PP_26-069</t>
        </is>
      </c>
      <c r="B1582" s="256" t="inlineStr">
        <is>
          <t>release</t>
        </is>
      </c>
      <c r="C1582" s="256" t="inlineStr">
        <is>
          <t>FB012601/1</t>
        </is>
      </c>
      <c r="D1582" s="256" t="inlineStr">
        <is>
          <t>P060322</t>
        </is>
      </c>
      <c r="E1582" s="256" t="inlineStr">
        <is>
          <t>Fat Bastard</t>
        </is>
      </c>
      <c r="F1582" s="256" t="inlineStr">
        <is>
          <t>06.06.2026</t>
        </is>
      </c>
      <c r="G1582" s="256" t="inlineStr">
        <is>
          <t>10.2</t>
        </is>
      </c>
      <c r="H1582" s="256" t="inlineStr">
        <is>
          <t>Aflatoxins ∑</t>
        </is>
      </c>
      <c r="I1582" s="256" t="inlineStr">
        <is>
          <t>Ph. Eur. 2.8.18 (HPLC-FLD)</t>
        </is>
      </c>
      <c r="J1582" s="256" t="inlineStr">
        <is>
          <t>≤ 4 µg/kg</t>
        </is>
      </c>
      <c r="K1582" s="256" t="inlineStr">
        <is>
          <t>&lt; 2</t>
        </is>
      </c>
      <c r="L1582" s="256" t="inlineStr">
        <is>
          <t>2362/2026</t>
        </is>
      </c>
      <c r="M1582" s="256" t="inlineStr">
        <is>
          <t>30.04.2026</t>
        </is>
      </c>
      <c r="N1582" s="256" t="inlineStr">
        <is>
          <t>IPH — Institute of Public Health</t>
        </is>
      </c>
      <c r="O1582" s="256" t="inlineStr">
        <is>
          <t>21.04.2026</t>
        </is>
      </c>
      <c r="P1582" s="256" t="inlineStr">
        <is>
          <t>covered</t>
        </is>
      </c>
      <c r="Q1582" s="256" t="inlineStr"/>
      <c r="R1582" s="256" t="inlineStr">
        <is>
          <t>ND (220-8-М/26)</t>
        </is>
      </c>
    </row>
    <row r="1583">
      <c r="A1583" s="256" t="inlineStr">
        <is>
          <t>CoQ-PP_26-069</t>
        </is>
      </c>
      <c r="B1583" s="256" t="inlineStr">
        <is>
          <t>release</t>
        </is>
      </c>
      <c r="C1583" s="256" t="inlineStr">
        <is>
          <t>FB012601/1</t>
        </is>
      </c>
      <c r="D1583" s="256" t="inlineStr">
        <is>
          <t>P060322</t>
        </is>
      </c>
      <c r="E1583" s="256" t="inlineStr">
        <is>
          <t>Fat Bastard</t>
        </is>
      </c>
      <c r="F1583" s="256" t="inlineStr">
        <is>
          <t>06.06.2026</t>
        </is>
      </c>
      <c r="G1583" s="256" t="inlineStr">
        <is>
          <t>10.3</t>
        </is>
      </c>
      <c r="H1583" s="256" t="inlineStr">
        <is>
          <t>Ochratoxin A</t>
        </is>
      </c>
      <c r="I1583" s="256" t="inlineStr">
        <is>
          <t>Ph. Eur. 2.8.22 (HPLC-FLD)</t>
        </is>
      </c>
      <c r="J1583" s="256" t="inlineStr">
        <is>
          <t>≤ 20 µg/kg</t>
        </is>
      </c>
      <c r="K1583" s="259" t="inlineStr">
        <is>
          <t>not tested</t>
        </is>
      </c>
      <c r="L1583" s="256" t="inlineStr">
        <is>
          <t>—</t>
        </is>
      </c>
      <c r="M1583" s="256" t="inlineStr">
        <is>
          <t>—</t>
        </is>
      </c>
      <c r="N1583" s="256" t="inlineStr">
        <is>
          <t>—</t>
        </is>
      </c>
      <c r="O1583" s="256" t="inlineStr">
        <is>
          <t>—</t>
        </is>
      </c>
      <c r="P1583" s="256" t="inlineStr">
        <is>
          <t>not tested — no certificate covers it</t>
        </is>
      </c>
      <c r="Q1583" s="256" t="inlineStr"/>
      <c r="R1583" s="256" t="inlineStr">
        <is>
          <t>ND (220-8-М/26)</t>
        </is>
      </c>
    </row>
    <row r="1584">
      <c r="A1584" s="256" t="inlineStr">
        <is>
          <t>CoQ-PP_26-069</t>
        </is>
      </c>
      <c r="B1584" s="256" t="inlineStr">
        <is>
          <t>release</t>
        </is>
      </c>
      <c r="C1584" s="256" t="inlineStr">
        <is>
          <t>FB012601/1</t>
        </is>
      </c>
      <c r="D1584" s="256" t="inlineStr">
        <is>
          <t>P060322</t>
        </is>
      </c>
      <c r="E1584" s="256" t="inlineStr">
        <is>
          <t>Fat Bastard</t>
        </is>
      </c>
      <c r="F1584" s="256" t="inlineStr">
        <is>
          <t>06.06.2026</t>
        </is>
      </c>
      <c r="G1584" s="256" t="inlineStr">
        <is>
          <t>11.1</t>
        </is>
      </c>
      <c r="H1584" s="256" t="inlineStr">
        <is>
          <t>Lead (Pb)</t>
        </is>
      </c>
      <c r="I1584" s="256" t="inlineStr">
        <is>
          <t>Ph. Eur. 2.4.27 (ICP-MS)</t>
        </is>
      </c>
      <c r="J1584" s="256" t="inlineStr">
        <is>
          <t>≤ 0.5 mg/kg</t>
        </is>
      </c>
      <c r="K1584" s="256" t="inlineStr">
        <is>
          <t>0.0114</t>
        </is>
      </c>
      <c r="L1584" s="256" t="inlineStr">
        <is>
          <t>2362/2026</t>
        </is>
      </c>
      <c r="M1584" s="256" t="inlineStr">
        <is>
          <t>30.04.2026</t>
        </is>
      </c>
      <c r="N1584" s="256" t="inlineStr">
        <is>
          <t>IPH — Institute of Public Health</t>
        </is>
      </c>
      <c r="O1584" s="256" t="inlineStr">
        <is>
          <t>21.04.2026</t>
        </is>
      </c>
      <c r="P1584" s="256" t="inlineStr">
        <is>
          <t>covered</t>
        </is>
      </c>
      <c r="Q1584" s="256" t="inlineStr"/>
      <c r="R1584" s="256" t="inlineStr"/>
    </row>
    <row r="1585">
      <c r="A1585" s="256" t="inlineStr">
        <is>
          <t>CoQ-PP_26-069</t>
        </is>
      </c>
      <c r="B1585" s="256" t="inlineStr">
        <is>
          <t>release</t>
        </is>
      </c>
      <c r="C1585" s="256" t="inlineStr">
        <is>
          <t>FB012601/1</t>
        </is>
      </c>
      <c r="D1585" s="256" t="inlineStr">
        <is>
          <t>P060322</t>
        </is>
      </c>
      <c r="E1585" s="256" t="inlineStr">
        <is>
          <t>Fat Bastard</t>
        </is>
      </c>
      <c r="F1585" s="256" t="inlineStr">
        <is>
          <t>06.06.2026</t>
        </is>
      </c>
      <c r="G1585" s="256" t="inlineStr">
        <is>
          <t>11.2</t>
        </is>
      </c>
      <c r="H1585" s="256" t="inlineStr">
        <is>
          <t>Cadmium (Cd)</t>
        </is>
      </c>
      <c r="I1585" s="256" t="inlineStr">
        <is>
          <t>Ph. Eur. 2.4.27 (ICP-MS)</t>
        </is>
      </c>
      <c r="J1585" s="256" t="inlineStr">
        <is>
          <t>≤ 0.3 mg/kg</t>
        </is>
      </c>
      <c r="K1585" s="256" t="inlineStr">
        <is>
          <t>0.017</t>
        </is>
      </c>
      <c r="L1585" s="256" t="inlineStr">
        <is>
          <t>2362/2026</t>
        </is>
      </c>
      <c r="M1585" s="256" t="inlineStr">
        <is>
          <t>30.04.2026</t>
        </is>
      </c>
      <c r="N1585" s="256" t="inlineStr">
        <is>
          <t>IPH — Institute of Public Health</t>
        </is>
      </c>
      <c r="O1585" s="256" t="inlineStr">
        <is>
          <t>21.04.2026</t>
        </is>
      </c>
      <c r="P1585" s="256" t="inlineStr">
        <is>
          <t>covered</t>
        </is>
      </c>
      <c r="Q1585" s="256" t="inlineStr"/>
      <c r="R1585" s="256" t="inlineStr"/>
    </row>
    <row r="1586">
      <c r="A1586" s="256" t="inlineStr">
        <is>
          <t>CoQ-PP_26-069</t>
        </is>
      </c>
      <c r="B1586" s="256" t="inlineStr">
        <is>
          <t>release</t>
        </is>
      </c>
      <c r="C1586" s="256" t="inlineStr">
        <is>
          <t>FB012601/1</t>
        </is>
      </c>
      <c r="D1586" s="256" t="inlineStr">
        <is>
          <t>P060322</t>
        </is>
      </c>
      <c r="E1586" s="256" t="inlineStr">
        <is>
          <t>Fat Bastard</t>
        </is>
      </c>
      <c r="F1586" s="256" t="inlineStr">
        <is>
          <t>06.06.2026</t>
        </is>
      </c>
      <c r="G1586" s="256" t="inlineStr">
        <is>
          <t>11.3</t>
        </is>
      </c>
      <c r="H1586" s="256" t="inlineStr">
        <is>
          <t>Arsenic (As)</t>
        </is>
      </c>
      <c r="I1586" s="256" t="inlineStr">
        <is>
          <t>Ph. Eur. 2.4.27 (ICP-MS)</t>
        </is>
      </c>
      <c r="J1586" s="256" t="inlineStr">
        <is>
          <t>≤ 0.2 mg/kg</t>
        </is>
      </c>
      <c r="K1586" s="256" t="inlineStr">
        <is>
          <t>0.0144</t>
        </is>
      </c>
      <c r="L1586" s="256" t="inlineStr">
        <is>
          <t>2362/2026</t>
        </is>
      </c>
      <c r="M1586" s="256" t="inlineStr">
        <is>
          <t>30.04.2026</t>
        </is>
      </c>
      <c r="N1586" s="256" t="inlineStr">
        <is>
          <t>IPH — Institute of Public Health</t>
        </is>
      </c>
      <c r="O1586" s="256" t="inlineStr">
        <is>
          <t>21.04.2026</t>
        </is>
      </c>
      <c r="P1586" s="256" t="inlineStr">
        <is>
          <t>covered</t>
        </is>
      </c>
      <c r="Q1586" s="256" t="inlineStr"/>
      <c r="R1586" s="256" t="inlineStr"/>
    </row>
    <row r="1587">
      <c r="A1587" s="256" t="inlineStr">
        <is>
          <t>CoQ-PP_26-069</t>
        </is>
      </c>
      <c r="B1587" s="256" t="inlineStr">
        <is>
          <t>release</t>
        </is>
      </c>
      <c r="C1587" s="256" t="inlineStr">
        <is>
          <t>FB012601/1</t>
        </is>
      </c>
      <c r="D1587" s="256" t="inlineStr">
        <is>
          <t>P060322</t>
        </is>
      </c>
      <c r="E1587" s="256" t="inlineStr">
        <is>
          <t>Fat Bastard</t>
        </is>
      </c>
      <c r="F1587" s="256" t="inlineStr">
        <is>
          <t>06.06.2026</t>
        </is>
      </c>
      <c r="G1587" s="256" t="inlineStr">
        <is>
          <t>11.4</t>
        </is>
      </c>
      <c r="H1587" s="256" t="inlineStr">
        <is>
          <t>Mercury (Hg)</t>
        </is>
      </c>
      <c r="I1587" s="256" t="inlineStr">
        <is>
          <t>Ph. Eur. 2.4.27 (ICP-MS)</t>
        </is>
      </c>
      <c r="J1587" s="256" t="inlineStr">
        <is>
          <t>≤ 0.1 mg/kg</t>
        </is>
      </c>
      <c r="K1587" s="256" t="inlineStr">
        <is>
          <t>0.0155</t>
        </is>
      </c>
      <c r="L1587" s="256" t="inlineStr">
        <is>
          <t>2362/2026</t>
        </is>
      </c>
      <c r="M1587" s="256" t="inlineStr">
        <is>
          <t>30.04.2026</t>
        </is>
      </c>
      <c r="N1587" s="256" t="inlineStr">
        <is>
          <t>IPH — Institute of Public Health</t>
        </is>
      </c>
      <c r="O1587" s="256" t="inlineStr">
        <is>
          <t>21.04.2026</t>
        </is>
      </c>
      <c r="P1587" s="256" t="inlineStr">
        <is>
          <t>covered</t>
        </is>
      </c>
      <c r="Q1587" s="256" t="inlineStr"/>
      <c r="R1587" s="256" t="inlineStr"/>
    </row>
    <row r="1588">
      <c r="A1588" s="256" t="inlineStr">
        <is>
          <t>CoQ-PP_26-069</t>
        </is>
      </c>
      <c r="B1588" s="256" t="inlineStr">
        <is>
          <t>release</t>
        </is>
      </c>
      <c r="C1588" s="256" t="inlineStr">
        <is>
          <t>FB012601/1</t>
        </is>
      </c>
      <c r="D1588" s="256" t="inlineStr">
        <is>
          <t>P060322</t>
        </is>
      </c>
      <c r="E1588" s="256" t="inlineStr">
        <is>
          <t>Fat Bastard</t>
        </is>
      </c>
      <c r="F1588" s="256" t="inlineStr">
        <is>
          <t>06.06.2026</t>
        </is>
      </c>
      <c r="G1588" s="256" t="inlineStr">
        <is>
          <t>12</t>
        </is>
      </c>
      <c r="H1588" s="256" t="inlineStr">
        <is>
          <t>Pesticide Residues</t>
        </is>
      </c>
      <c r="I1588" s="256" t="inlineStr">
        <is>
          <t>Ph. Eur. 2.8.13 (LC-MS/MS) · CUMCS Equivalency</t>
        </is>
      </c>
      <c r="J1588" s="256" t="inlineStr">
        <is>
          <t>≤ LOQ as per Ph. Eur. 2.8.13 · ≤ LOQ as per CUMCS Equivalency</t>
        </is>
      </c>
      <c r="K1588" s="256" t="inlineStr">
        <is>
          <t>ND</t>
        </is>
      </c>
      <c r="L1588" s="256" t="inlineStr">
        <is>
          <t>2362/2026</t>
        </is>
      </c>
      <c r="M1588" s="256" t="inlineStr">
        <is>
          <t>30.04.2026</t>
        </is>
      </c>
      <c r="N1588" s="256" t="inlineStr">
        <is>
          <t>IPH — Institute of Public Health</t>
        </is>
      </c>
      <c r="O1588" s="256" t="inlineStr">
        <is>
          <t>21.04.2026</t>
        </is>
      </c>
      <c r="P1588" s="256" t="inlineStr">
        <is>
          <t>covered</t>
        </is>
      </c>
      <c r="Q1588" s="256" t="inlineStr"/>
      <c r="R1588" s="256" t="inlineStr"/>
    </row>
    <row r="1589">
      <c r="A1589" s="256" t="inlineStr">
        <is>
          <t>CoQ-PP_26-070</t>
        </is>
      </c>
      <c r="B1589" s="256" t="inlineStr">
        <is>
          <t>release</t>
        </is>
      </c>
      <c r="C1589" s="256" t="inlineStr">
        <is>
          <t>FB012602</t>
        </is>
      </c>
      <c r="D1589" s="256" t="inlineStr">
        <is>
          <t>P060352</t>
        </is>
      </c>
      <c r="E1589" s="256" t="inlineStr">
        <is>
          <t>Fat Bastard</t>
        </is>
      </c>
      <c r="F1589" s="256" t="inlineStr">
        <is>
          <t>06.06.2026</t>
        </is>
      </c>
      <c r="G1589" s="256" t="inlineStr">
        <is>
          <t>1</t>
        </is>
      </c>
      <c r="H1589" s="256" t="inlineStr">
        <is>
          <t>Identification A, Appearance · Macroscopic</t>
        </is>
      </c>
      <c r="I1589" s="256" t="inlineStr">
        <is>
          <t>Ph. Eur. mon. 3028</t>
        </is>
      </c>
      <c r="J1589" s="256" t="inlineStr">
        <is>
          <t>Conforms to the monograph for Cannabis flos (07/2024:3028) in Ph. Eur. 11.0 | Согласно монографија за Cannabis flos (07/2024:3028) во Ph. Eur. 11.0</t>
        </is>
      </c>
      <c r="K1589" s="256" t="inlineStr">
        <is>
          <t>Conforms | Одговара</t>
        </is>
      </c>
      <c r="L1589" s="256" t="inlineStr">
        <is>
          <t>iCoA-PP_26-083</t>
        </is>
      </c>
      <c r="M1589" s="256" t="inlineStr">
        <is>
          <t>03.06.2026</t>
        </is>
      </c>
      <c r="N1589" s="256" t="inlineStr">
        <is>
          <t>Purely Plant GmbH (in-house)</t>
        </is>
      </c>
      <c r="O1589" s="256" t="inlineStr">
        <is>
          <t>—</t>
        </is>
      </c>
      <c r="P1589" s="256" t="inlineStr">
        <is>
          <t>to be performed — see route</t>
        </is>
      </c>
      <c r="Q1589" s="256" t="inlineStr">
        <is>
          <t>Purely Plant laboratory — iCoA covering Ident A + B</t>
        </is>
      </c>
      <c r="R1589" s="256" t="inlineStr"/>
    </row>
    <row r="1590">
      <c r="A1590" s="256" t="inlineStr">
        <is>
          <t>CoQ-PP_26-070</t>
        </is>
      </c>
      <c r="B1590" s="256" t="inlineStr">
        <is>
          <t>release</t>
        </is>
      </c>
      <c r="C1590" s="256" t="inlineStr">
        <is>
          <t>FB012602</t>
        </is>
      </c>
      <c r="D1590" s="256" t="inlineStr">
        <is>
          <t>P060352</t>
        </is>
      </c>
      <c r="E1590" s="256" t="inlineStr">
        <is>
          <t>Fat Bastard</t>
        </is>
      </c>
      <c r="F1590" s="256" t="inlineStr">
        <is>
          <t>06.06.2026</t>
        </is>
      </c>
      <c r="G1590" s="256" t="inlineStr">
        <is>
          <t>2</t>
        </is>
      </c>
      <c r="H1590" s="256" t="inlineStr">
        <is>
          <t>Identification B · Microscopic</t>
        </is>
      </c>
      <c r="I1590" s="256" t="inlineStr">
        <is>
          <t>Ph. Eur. 2.8.23 (microscopy)</t>
        </is>
      </c>
      <c r="J1590" s="256" t="inlineStr">
        <is>
          <t>Conforms to the monograph for Cannabis flos (07/2024:3028) in Ph. Eur. 11.0 | Согласно монографија за Cannabis flos (07/2024:3028) во Ph. Eur. 11.0</t>
        </is>
      </c>
      <c r="K1590" s="256" t="inlineStr">
        <is>
          <t>Conforms | Одговара</t>
        </is>
      </c>
      <c r="L1590" s="256" t="inlineStr">
        <is>
          <t>iCoA-PP_26-083</t>
        </is>
      </c>
      <c r="M1590" s="256" t="inlineStr">
        <is>
          <t>03.06.2026</t>
        </is>
      </c>
      <c r="N1590" s="256" t="inlineStr">
        <is>
          <t>Purely Plant GmbH (in-house)</t>
        </is>
      </c>
      <c r="O1590" s="256" t="inlineStr">
        <is>
          <t>—</t>
        </is>
      </c>
      <c r="P1590" s="256" t="inlineStr">
        <is>
          <t>to be performed — see route</t>
        </is>
      </c>
      <c r="Q1590" s="256" t="inlineStr">
        <is>
          <t>Purely Plant laboratory — iCoA covering Ident A + B</t>
        </is>
      </c>
      <c r="R1590" s="256" t="inlineStr"/>
    </row>
    <row r="1591">
      <c r="A1591" s="256" t="inlineStr">
        <is>
          <t>CoQ-PP_26-070</t>
        </is>
      </c>
      <c r="B1591" s="256" t="inlineStr">
        <is>
          <t>release</t>
        </is>
      </c>
      <c r="C1591" s="256" t="inlineStr">
        <is>
          <t>FB012602</t>
        </is>
      </c>
      <c r="D1591" s="256" t="inlineStr">
        <is>
          <t>P060352</t>
        </is>
      </c>
      <c r="E1591" s="256" t="inlineStr">
        <is>
          <t>Fat Bastard</t>
        </is>
      </c>
      <c r="F1591" s="256" t="inlineStr">
        <is>
          <t>06.06.2026</t>
        </is>
      </c>
      <c r="G1591" s="256" t="inlineStr">
        <is>
          <t>3</t>
        </is>
      </c>
      <c r="H1591" s="256" t="inlineStr">
        <is>
          <t>Identification C · HPLC/HPTLC</t>
        </is>
      </c>
      <c r="I1591" s="256" t="inlineStr">
        <is>
          <t>Ph. Eur. 2.2.29 (3028)</t>
        </is>
      </c>
      <c r="J1591" s="256" t="inlineStr">
        <is>
          <t>Conforms to the monograph for Cannabis flos (07/2024:3028) in Ph. Eur. 11.0 | Согласно монографија за Cannabis flos (07/2024:3028) во Ph. Eur. 11.0</t>
        </is>
      </c>
      <c r="K1591" s="259" t="inlineStr">
        <is>
          <t>to be performed (in house)</t>
        </is>
      </c>
      <c r="L1591" s="256" t="inlineStr">
        <is>
          <t>—</t>
        </is>
      </c>
      <c r="M1591" s="256" t="inlineStr">
        <is>
          <t>—</t>
        </is>
      </c>
      <c r="N1591" s="256" t="inlineStr">
        <is>
          <t>—</t>
        </is>
      </c>
      <c r="O1591" s="256" t="inlineStr">
        <is>
          <t>—</t>
        </is>
      </c>
      <c r="P1591" s="256" t="inlineStr">
        <is>
          <t>to be performed — see route</t>
        </is>
      </c>
      <c r="Q1591" s="256" t="inlineStr">
        <is>
          <t>outside laboratory — the HPLC cannabinoid certificate discharges Ident C (Farmahem -K- or CNP); in-house iCoA P03 only where none exists</t>
        </is>
      </c>
      <c r="R1591" s="256" t="inlineStr"/>
    </row>
    <row r="1592">
      <c r="A1592" s="256" t="inlineStr">
        <is>
          <t>CoQ-PP_26-070</t>
        </is>
      </c>
      <c r="B1592" s="256" t="inlineStr">
        <is>
          <t>release</t>
        </is>
      </c>
      <c r="C1592" s="256" t="inlineStr">
        <is>
          <t>FB012602</t>
        </is>
      </c>
      <c r="D1592" s="256" t="inlineStr">
        <is>
          <t>P060352</t>
        </is>
      </c>
      <c r="E1592" s="256" t="inlineStr">
        <is>
          <t>Fat Bastard</t>
        </is>
      </c>
      <c r="F1592" s="256" t="inlineStr">
        <is>
          <t>06.06.2026</t>
        </is>
      </c>
      <c r="G1592" s="256" t="inlineStr">
        <is>
          <t>4</t>
        </is>
      </c>
      <c r="H1592" s="256" t="inlineStr">
        <is>
          <t>Assay — Total Δ⁹-THC</t>
        </is>
      </c>
      <c r="I1592" s="256" t="inlineStr">
        <is>
          <t>Ph. Eur. 2.2.29 (HPLC)</t>
        </is>
      </c>
      <c r="J1592" s="256" t="inlineStr">
        <is>
          <t>Per grade of the potency specification of 15.09.2026 — no Total THC result on file</t>
        </is>
      </c>
      <c r="K1592" s="259" t="inlineStr">
        <is>
          <t>not tested</t>
        </is>
      </c>
      <c r="L1592" s="256" t="inlineStr">
        <is>
          <t>—</t>
        </is>
      </c>
      <c r="M1592" s="256" t="inlineStr">
        <is>
          <t>—</t>
        </is>
      </c>
      <c r="N1592" s="256" t="inlineStr">
        <is>
          <t>—</t>
        </is>
      </c>
      <c r="O1592" s="256" t="inlineStr">
        <is>
          <t>—</t>
        </is>
      </c>
      <c r="P1592" s="256" t="inlineStr">
        <is>
          <t>not tested — no certificate covers it</t>
        </is>
      </c>
      <c r="Q1592" s="256" t="inlineStr"/>
      <c r="R1592" s="256" t="inlineStr">
        <is>
          <t>18.86 (197-7-К/26)</t>
        </is>
      </c>
    </row>
    <row r="1593">
      <c r="A1593" s="256" t="inlineStr">
        <is>
          <t>CoQ-PP_26-070</t>
        </is>
      </c>
      <c r="B1593" s="256" t="inlineStr">
        <is>
          <t>release</t>
        </is>
      </c>
      <c r="C1593" s="256" t="inlineStr">
        <is>
          <t>FB012602</t>
        </is>
      </c>
      <c r="D1593" s="256" t="inlineStr">
        <is>
          <t>P060352</t>
        </is>
      </c>
      <c r="E1593" s="256" t="inlineStr">
        <is>
          <t>Fat Bastard</t>
        </is>
      </c>
      <c r="F1593" s="256" t="inlineStr">
        <is>
          <t>06.06.2026</t>
        </is>
      </c>
      <c r="G1593" s="256" t="inlineStr">
        <is>
          <t>5</t>
        </is>
      </c>
      <c r="H1593" s="256" t="inlineStr">
        <is>
          <t>Assay — Total CBD</t>
        </is>
      </c>
      <c r="I1593" s="256" t="inlineStr">
        <is>
          <t>Ph. Eur. 2.2.29 (HPLC) · CBD + CBDA x 0.877</t>
        </is>
      </c>
      <c r="J1593" s="256" t="inlineStr">
        <is>
          <t>≤ 1.0%, w/w</t>
        </is>
      </c>
      <c r="K1593" s="259" t="inlineStr">
        <is>
          <t>not tested</t>
        </is>
      </c>
      <c r="L1593" s="256" t="inlineStr">
        <is>
          <t>—</t>
        </is>
      </c>
      <c r="M1593" s="256" t="inlineStr">
        <is>
          <t>—</t>
        </is>
      </c>
      <c r="N1593" s="256" t="inlineStr">
        <is>
          <t>—</t>
        </is>
      </c>
      <c r="O1593" s="256" t="inlineStr">
        <is>
          <t>—</t>
        </is>
      </c>
      <c r="P1593" s="256" t="inlineStr">
        <is>
          <t>not tested — no certificate covers it</t>
        </is>
      </c>
      <c r="Q1593" s="256" t="inlineStr"/>
      <c r="R1593" s="256" t="inlineStr">
        <is>
          <t>0.22 (197-7-К/26)</t>
        </is>
      </c>
    </row>
    <row r="1594">
      <c r="A1594" s="256" t="inlineStr">
        <is>
          <t>CoQ-PP_26-070</t>
        </is>
      </c>
      <c r="B1594" s="256" t="inlineStr">
        <is>
          <t>release</t>
        </is>
      </c>
      <c r="C1594" s="256" t="inlineStr">
        <is>
          <t>FB012602</t>
        </is>
      </c>
      <c r="D1594" s="256" t="inlineStr">
        <is>
          <t>P060352</t>
        </is>
      </c>
      <c r="E1594" s="256" t="inlineStr">
        <is>
          <t>Fat Bastard</t>
        </is>
      </c>
      <c r="F1594" s="256" t="inlineStr">
        <is>
          <t>06.06.2026</t>
        </is>
      </c>
      <c r="G1594" s="256" t="inlineStr">
        <is>
          <t>6</t>
        </is>
      </c>
      <c r="H1594" s="256" t="inlineStr">
        <is>
          <t>Total CBN</t>
        </is>
      </c>
      <c r="I1594" s="256" t="inlineStr">
        <is>
          <t>Ph. Eur. 2.2.29 (HPLC) · CBN + CBNA x 0.876</t>
        </is>
      </c>
      <c r="J1594" s="256" t="inlineStr">
        <is>
          <t>≤ 1.0%, w/w</t>
        </is>
      </c>
      <c r="K1594" s="259" t="inlineStr">
        <is>
          <t>not tested</t>
        </is>
      </c>
      <c r="L1594" s="256" t="inlineStr">
        <is>
          <t>—</t>
        </is>
      </c>
      <c r="M1594" s="256" t="inlineStr">
        <is>
          <t>—</t>
        </is>
      </c>
      <c r="N1594" s="256" t="inlineStr">
        <is>
          <t>—</t>
        </is>
      </c>
      <c r="O1594" s="256" t="inlineStr">
        <is>
          <t>—</t>
        </is>
      </c>
      <c r="P1594" s="256" t="inlineStr">
        <is>
          <t>not tested — no certificate covers it</t>
        </is>
      </c>
      <c r="Q1594" s="256" t="inlineStr"/>
      <c r="R1594" s="256" t="inlineStr">
        <is>
          <t>&lt; LOQ (197-7-К/26)</t>
        </is>
      </c>
    </row>
    <row r="1595">
      <c r="A1595" s="256" t="inlineStr">
        <is>
          <t>CoQ-PP_26-070</t>
        </is>
      </c>
      <c r="B1595" s="256" t="inlineStr">
        <is>
          <t>release</t>
        </is>
      </c>
      <c r="C1595" s="256" t="inlineStr">
        <is>
          <t>FB012602</t>
        </is>
      </c>
      <c r="D1595" s="256" t="inlineStr">
        <is>
          <t>P060352</t>
        </is>
      </c>
      <c r="E1595" s="256" t="inlineStr">
        <is>
          <t>Fat Bastard</t>
        </is>
      </c>
      <c r="F1595" s="256" t="inlineStr">
        <is>
          <t>06.06.2026</t>
        </is>
      </c>
      <c r="G1595" s="256" t="inlineStr">
        <is>
          <t>7</t>
        </is>
      </c>
      <c r="H1595" s="256" t="inlineStr">
        <is>
          <t>Foreign Matter</t>
        </is>
      </c>
      <c r="I1595" s="256" t="inlineStr">
        <is>
          <t>Ph. Eur. 2.8.2 · In-house · интерна</t>
        </is>
      </c>
      <c r="J1595" s="256" t="inlineStr">
        <is>
          <t>≤ 2.0% / 25–50 g · &lt; 1 cm leaves | листови, no seeds | без семки</t>
        </is>
      </c>
      <c r="K1595" s="256" t="inlineStr">
        <is>
          <t>Conforms | Одговара</t>
        </is>
      </c>
      <c r="L1595" s="256" t="inlineStr">
        <is>
          <t>iCoA-PP_26-083</t>
        </is>
      </c>
      <c r="M1595" s="256" t="inlineStr">
        <is>
          <t>03.06.2026</t>
        </is>
      </c>
      <c r="N1595" s="256" t="inlineStr">
        <is>
          <t>Purely Plant GmbH (in-house)</t>
        </is>
      </c>
      <c r="O1595" s="256" t="inlineStr">
        <is>
          <t>—</t>
        </is>
      </c>
      <c r="P1595" s="256" t="inlineStr">
        <is>
          <t>to be performed — see route</t>
        </is>
      </c>
      <c r="Q1595" s="256" t="inlineStr">
        <is>
          <t>Purely Plant laboratory — iCoA covering Foreign matter</t>
        </is>
      </c>
      <c r="R1595" s="256" t="inlineStr"/>
    </row>
    <row r="1596">
      <c r="A1596" s="256" t="inlineStr">
        <is>
          <t>CoQ-PP_26-070</t>
        </is>
      </c>
      <c r="B1596" s="256" t="inlineStr">
        <is>
          <t>release</t>
        </is>
      </c>
      <c r="C1596" s="256" t="inlineStr">
        <is>
          <t>FB012602</t>
        </is>
      </c>
      <c r="D1596" s="256" t="inlineStr">
        <is>
          <t>P060352</t>
        </is>
      </c>
      <c r="E1596" s="256" t="inlineStr">
        <is>
          <t>Fat Bastard</t>
        </is>
      </c>
      <c r="F1596" s="256" t="inlineStr">
        <is>
          <t>06.06.2026</t>
        </is>
      </c>
      <c r="G1596" s="256" t="inlineStr">
        <is>
          <t>8</t>
        </is>
      </c>
      <c r="H1596" s="256" t="inlineStr">
        <is>
          <t>Loss on Drying</t>
        </is>
      </c>
      <c r="I1596" s="256" t="inlineStr">
        <is>
          <t>Ph. Eur. 2.2.32 (3028) · at 40 °C, 24 h, 15–25 mbar</t>
        </is>
      </c>
      <c r="J1596" s="256" t="inlineStr">
        <is>
          <t>≤ 12.0%</t>
        </is>
      </c>
      <c r="K1596" s="259" t="inlineStr">
        <is>
          <t>not tested</t>
        </is>
      </c>
      <c r="L1596" s="256" t="inlineStr">
        <is>
          <t>—</t>
        </is>
      </c>
      <c r="M1596" s="256" t="inlineStr">
        <is>
          <t>—</t>
        </is>
      </c>
      <c r="N1596" s="256" t="inlineStr">
        <is>
          <t>—</t>
        </is>
      </c>
      <c r="O1596" s="256" t="inlineStr">
        <is>
          <t>—</t>
        </is>
      </c>
      <c r="P1596" s="256" t="inlineStr">
        <is>
          <t>not tested — no certificate covers it</t>
        </is>
      </c>
      <c r="Q1596" s="256" t="inlineStr"/>
      <c r="R1596" s="256" t="inlineStr"/>
    </row>
    <row r="1597">
      <c r="A1597" s="256" t="inlineStr">
        <is>
          <t>CoQ-PP_26-070</t>
        </is>
      </c>
      <c r="B1597" s="256" t="inlineStr">
        <is>
          <t>release</t>
        </is>
      </c>
      <c r="C1597" s="256" t="inlineStr">
        <is>
          <t>FB012602</t>
        </is>
      </c>
      <c r="D1597" s="256" t="inlineStr">
        <is>
          <t>P060352</t>
        </is>
      </c>
      <c r="E1597" s="256" t="inlineStr">
        <is>
          <t>Fat Bastard</t>
        </is>
      </c>
      <c r="F1597" s="256" t="inlineStr">
        <is>
          <t>06.06.2026</t>
        </is>
      </c>
      <c r="G1597" s="256" t="inlineStr">
        <is>
          <t>9.1</t>
        </is>
      </c>
      <c r="H1597" s="256" t="inlineStr">
        <is>
          <t>TAMC</t>
        </is>
      </c>
      <c r="I1597" s="256" t="inlineStr">
        <is>
          <t>Ph. Eur. 2.6.12 cat. C</t>
        </is>
      </c>
      <c r="J1597" s="256" t="inlineStr">
        <is>
          <t>≤ 10⁵ CFU/g</t>
        </is>
      </c>
      <c r="K1597" s="256" t="inlineStr">
        <is>
          <t>6.3 × 10⁴</t>
        </is>
      </c>
      <c r="L1597" s="256" t="inlineStr">
        <is>
          <t>366/0696/26</t>
        </is>
      </c>
      <c r="M1597" s="256" t="inlineStr">
        <is>
          <t>01.06.2026</t>
        </is>
      </c>
      <c r="N1597" s="256" t="inlineStr">
        <is>
          <t>IPH — Institute of Public Health</t>
        </is>
      </c>
      <c r="O1597" s="256" t="inlineStr">
        <is>
          <t>—</t>
        </is>
      </c>
      <c r="P1597" s="256" t="inlineStr">
        <is>
          <t>covered</t>
        </is>
      </c>
      <c r="Q1597" s="256" t="inlineStr"/>
      <c r="R1597" s="256" t="inlineStr"/>
    </row>
    <row r="1598">
      <c r="A1598" s="256" t="inlineStr">
        <is>
          <t>CoQ-PP_26-070</t>
        </is>
      </c>
      <c r="B1598" s="256" t="inlineStr">
        <is>
          <t>release</t>
        </is>
      </c>
      <c r="C1598" s="256" t="inlineStr">
        <is>
          <t>FB012602</t>
        </is>
      </c>
      <c r="D1598" s="256" t="inlineStr">
        <is>
          <t>P060352</t>
        </is>
      </c>
      <c r="E1598" s="256" t="inlineStr">
        <is>
          <t>Fat Bastard</t>
        </is>
      </c>
      <c r="F1598" s="256" t="inlineStr">
        <is>
          <t>06.06.2026</t>
        </is>
      </c>
      <c r="G1598" s="256" t="inlineStr">
        <is>
          <t>9.2</t>
        </is>
      </c>
      <c r="H1598" s="256" t="inlineStr">
        <is>
          <t>TYMC</t>
        </is>
      </c>
      <c r="I1598" s="256" t="inlineStr">
        <is>
          <t>Ph. Eur. 2.6.12 cat. C</t>
        </is>
      </c>
      <c r="J1598" s="256" t="inlineStr">
        <is>
          <t>≤ 10⁴ CFU/g</t>
        </is>
      </c>
      <c r="K1598" s="256" t="inlineStr">
        <is>
          <t>2.2 × 10⁴</t>
        </is>
      </c>
      <c r="L1598" s="256" t="inlineStr">
        <is>
          <t>366/0696/26</t>
        </is>
      </c>
      <c r="M1598" s="256" t="inlineStr">
        <is>
          <t>01.06.2026</t>
        </is>
      </c>
      <c r="N1598" s="256" t="inlineStr">
        <is>
          <t>IPH — Institute of Public Health</t>
        </is>
      </c>
      <c r="O1598" s="256" t="inlineStr">
        <is>
          <t>—</t>
        </is>
      </c>
      <c r="P1598" s="256" t="inlineStr">
        <is>
          <t>OUT OF SPECIFICATION — covered</t>
        </is>
      </c>
      <c r="Q1598" s="256" t="inlineStr"/>
      <c r="R1598" s="256" t="inlineStr"/>
    </row>
    <row r="1599">
      <c r="A1599" s="256" t="inlineStr">
        <is>
          <t>CoQ-PP_26-070</t>
        </is>
      </c>
      <c r="B1599" s="256" t="inlineStr">
        <is>
          <t>release</t>
        </is>
      </c>
      <c r="C1599" s="256" t="inlineStr">
        <is>
          <t>FB012602</t>
        </is>
      </c>
      <c r="D1599" s="256" t="inlineStr">
        <is>
          <t>P060352</t>
        </is>
      </c>
      <c r="E1599" s="256" t="inlineStr">
        <is>
          <t>Fat Bastard</t>
        </is>
      </c>
      <c r="F1599" s="256" t="inlineStr">
        <is>
          <t>06.06.2026</t>
        </is>
      </c>
      <c r="G1599" s="256" t="inlineStr">
        <is>
          <t>9.3</t>
        </is>
      </c>
      <c r="H1599" s="256" t="inlineStr">
        <is>
          <t>Bile-tolerant gram-neg.</t>
        </is>
      </c>
      <c r="I1599" s="256" t="inlineStr">
        <is>
          <t>Ph. Eur. 2.6.31 cat. C</t>
        </is>
      </c>
      <c r="J1599" s="256" t="inlineStr">
        <is>
          <t>≤ 10⁴ CFU/g</t>
        </is>
      </c>
      <c r="K1599" s="256" t="inlineStr">
        <is>
          <t>&lt; 10</t>
        </is>
      </c>
      <c r="L1599" s="256" t="inlineStr">
        <is>
          <t>366/0696/26</t>
        </is>
      </c>
      <c r="M1599" s="256" t="inlineStr">
        <is>
          <t>01.06.2026</t>
        </is>
      </c>
      <c r="N1599" s="256" t="inlineStr">
        <is>
          <t>IPH — Institute of Public Health</t>
        </is>
      </c>
      <c r="O1599" s="256" t="inlineStr">
        <is>
          <t>—</t>
        </is>
      </c>
      <c r="P1599" s="256" t="inlineStr">
        <is>
          <t>covered</t>
        </is>
      </c>
      <c r="Q1599" s="256" t="inlineStr"/>
      <c r="R1599" s="256" t="inlineStr"/>
    </row>
    <row r="1600">
      <c r="A1600" s="256" t="inlineStr">
        <is>
          <t>CoQ-PP_26-070</t>
        </is>
      </c>
      <c r="B1600" s="256" t="inlineStr">
        <is>
          <t>release</t>
        </is>
      </c>
      <c r="C1600" s="256" t="inlineStr">
        <is>
          <t>FB012602</t>
        </is>
      </c>
      <c r="D1600" s="256" t="inlineStr">
        <is>
          <t>P060352</t>
        </is>
      </c>
      <c r="E1600" s="256" t="inlineStr">
        <is>
          <t>Fat Bastard</t>
        </is>
      </c>
      <c r="F1600" s="256" t="inlineStr">
        <is>
          <t>06.06.2026</t>
        </is>
      </c>
      <c r="G1600" s="256" t="inlineStr">
        <is>
          <t>9.4</t>
        </is>
      </c>
      <c r="H1600" s="256" t="inlineStr">
        <is>
          <t>Salmonella</t>
        </is>
      </c>
      <c r="I1600" s="256" t="inlineStr">
        <is>
          <t>Ph. Eur. 2.6.31 cat. C</t>
        </is>
      </c>
      <c r="J1600" s="256" t="inlineStr">
        <is>
          <t>Absence | Отсуство / 25 g</t>
        </is>
      </c>
      <c r="K1600" s="256" t="inlineStr">
        <is>
          <t>Absent | Отсутна</t>
        </is>
      </c>
      <c r="L1600" s="256" t="inlineStr">
        <is>
          <t>366/0696/26</t>
        </is>
      </c>
      <c r="M1600" s="256" t="inlineStr">
        <is>
          <t>01.06.2026</t>
        </is>
      </c>
      <c r="N1600" s="256" t="inlineStr">
        <is>
          <t>IPH — Institute of Public Health</t>
        </is>
      </c>
      <c r="O1600" s="256" t="inlineStr">
        <is>
          <t>—</t>
        </is>
      </c>
      <c r="P1600" s="256" t="inlineStr">
        <is>
          <t>covered</t>
        </is>
      </c>
      <c r="Q1600" s="256" t="inlineStr"/>
      <c r="R1600" s="256" t="inlineStr"/>
    </row>
    <row r="1601">
      <c r="A1601" s="256" t="inlineStr">
        <is>
          <t>CoQ-PP_26-070</t>
        </is>
      </c>
      <c r="B1601" s="256" t="inlineStr">
        <is>
          <t>release</t>
        </is>
      </c>
      <c r="C1601" s="256" t="inlineStr">
        <is>
          <t>FB012602</t>
        </is>
      </c>
      <c r="D1601" s="256" t="inlineStr">
        <is>
          <t>P060352</t>
        </is>
      </c>
      <c r="E1601" s="256" t="inlineStr">
        <is>
          <t>Fat Bastard</t>
        </is>
      </c>
      <c r="F1601" s="256" t="inlineStr">
        <is>
          <t>06.06.2026</t>
        </is>
      </c>
      <c r="G1601" s="256" t="inlineStr">
        <is>
          <t>9.5</t>
        </is>
      </c>
      <c r="H1601" s="256" t="inlineStr">
        <is>
          <t>Escherichia coli</t>
        </is>
      </c>
      <c r="I1601" s="256" t="inlineStr">
        <is>
          <t>Ph. Eur. 2.6.13 cat. C</t>
        </is>
      </c>
      <c r="J1601" s="256" t="inlineStr">
        <is>
          <t>Absence | Отсуство / 1 g</t>
        </is>
      </c>
      <c r="K1601" s="256" t="inlineStr">
        <is>
          <t>Absent | Отсутна</t>
        </is>
      </c>
      <c r="L1601" s="256" t="inlineStr">
        <is>
          <t>366/0696/26</t>
        </is>
      </c>
      <c r="M1601" s="256" t="inlineStr">
        <is>
          <t>01.06.2026</t>
        </is>
      </c>
      <c r="N1601" s="256" t="inlineStr">
        <is>
          <t>IPH — Institute of Public Health</t>
        </is>
      </c>
      <c r="O1601" s="256" t="inlineStr">
        <is>
          <t>—</t>
        </is>
      </c>
      <c r="P1601" s="256" t="inlineStr">
        <is>
          <t>covered</t>
        </is>
      </c>
      <c r="Q1601" s="256" t="inlineStr"/>
      <c r="R1601" s="256" t="inlineStr"/>
    </row>
    <row r="1602">
      <c r="A1602" s="256" t="inlineStr">
        <is>
          <t>CoQ-PP_26-070</t>
        </is>
      </c>
      <c r="B1602" s="256" t="inlineStr">
        <is>
          <t>release</t>
        </is>
      </c>
      <c r="C1602" s="256" t="inlineStr">
        <is>
          <t>FB012602</t>
        </is>
      </c>
      <c r="D1602" s="256" t="inlineStr">
        <is>
          <t>P060352</t>
        </is>
      </c>
      <c r="E1602" s="256" t="inlineStr">
        <is>
          <t>Fat Bastard</t>
        </is>
      </c>
      <c r="F1602" s="256" t="inlineStr">
        <is>
          <t>06.06.2026</t>
        </is>
      </c>
      <c r="G1602" s="256" t="inlineStr">
        <is>
          <t>9.6</t>
        </is>
      </c>
      <c r="H1602" s="256" t="inlineStr">
        <is>
          <t>Pseudomonas aeruginosa</t>
        </is>
      </c>
      <c r="I1602" s="256" t="inlineStr">
        <is>
          <t>Ph. Eur. 2.6.13 cat. C</t>
        </is>
      </c>
      <c r="J1602" s="256" t="inlineStr">
        <is>
          <t>Absence | Отсуство / 1 g</t>
        </is>
      </c>
      <c r="K1602" s="260" t="inlineStr">
        <is>
          <t>upon request — not required for release</t>
        </is>
      </c>
      <c r="L1602" s="256" t="inlineStr">
        <is>
          <t>—</t>
        </is>
      </c>
      <c r="M1602" s="256" t="inlineStr">
        <is>
          <t>—</t>
        </is>
      </c>
      <c r="N1602" s="256" t="inlineStr">
        <is>
          <t>—</t>
        </is>
      </c>
      <c r="O1602" s="256" t="inlineStr">
        <is>
          <t>—</t>
        </is>
      </c>
      <c r="P1602" s="256" t="inlineStr">
        <is>
          <t>upon request — not required for release</t>
        </is>
      </c>
      <c r="Q1602" s="256" t="inlineStr"/>
      <c r="R1602" s="256" t="inlineStr"/>
    </row>
    <row r="1603">
      <c r="A1603" s="256" t="inlineStr">
        <is>
          <t>CoQ-PP_26-070</t>
        </is>
      </c>
      <c r="B1603" s="256" t="inlineStr">
        <is>
          <t>release</t>
        </is>
      </c>
      <c r="C1603" s="256" t="inlineStr">
        <is>
          <t>FB012602</t>
        </is>
      </c>
      <c r="D1603" s="256" t="inlineStr">
        <is>
          <t>P060352</t>
        </is>
      </c>
      <c r="E1603" s="256" t="inlineStr">
        <is>
          <t>Fat Bastard</t>
        </is>
      </c>
      <c r="F1603" s="256" t="inlineStr">
        <is>
          <t>06.06.2026</t>
        </is>
      </c>
      <c r="G1603" s="256" t="inlineStr">
        <is>
          <t>9.7</t>
        </is>
      </c>
      <c r="H1603" s="256" t="inlineStr">
        <is>
          <t>Staphylococcus aureus</t>
        </is>
      </c>
      <c r="I1603" s="256" t="inlineStr">
        <is>
          <t>Ph. Eur. 2.6.13 cat. C</t>
        </is>
      </c>
      <c r="J1603" s="256" t="inlineStr">
        <is>
          <t>Absence | Отсуство / 1 g</t>
        </is>
      </c>
      <c r="K1603" s="260" t="inlineStr">
        <is>
          <t>upon request — not required for release</t>
        </is>
      </c>
      <c r="L1603" s="256" t="inlineStr">
        <is>
          <t>—</t>
        </is>
      </c>
      <c r="M1603" s="256" t="inlineStr">
        <is>
          <t>—</t>
        </is>
      </c>
      <c r="N1603" s="256" t="inlineStr">
        <is>
          <t>—</t>
        </is>
      </c>
      <c r="O1603" s="256" t="inlineStr">
        <is>
          <t>—</t>
        </is>
      </c>
      <c r="P1603" s="256" t="inlineStr">
        <is>
          <t>upon request — not required for release</t>
        </is>
      </c>
      <c r="Q1603" s="256" t="inlineStr"/>
      <c r="R1603" s="256" t="inlineStr"/>
    </row>
    <row r="1604">
      <c r="A1604" s="256" t="inlineStr">
        <is>
          <t>CoQ-PP_26-070</t>
        </is>
      </c>
      <c r="B1604" s="256" t="inlineStr">
        <is>
          <t>release</t>
        </is>
      </c>
      <c r="C1604" s="256" t="inlineStr">
        <is>
          <t>FB012602</t>
        </is>
      </c>
      <c r="D1604" s="256" t="inlineStr">
        <is>
          <t>P060352</t>
        </is>
      </c>
      <c r="E1604" s="256" t="inlineStr">
        <is>
          <t>Fat Bastard</t>
        </is>
      </c>
      <c r="F1604" s="256" t="inlineStr">
        <is>
          <t>06.06.2026</t>
        </is>
      </c>
      <c r="G1604" s="256" t="inlineStr">
        <is>
          <t>10.1</t>
        </is>
      </c>
      <c r="H1604" s="256" t="inlineStr">
        <is>
          <t>Aflatoxin B₁</t>
        </is>
      </c>
      <c r="I1604" s="256" t="inlineStr">
        <is>
          <t>Ph. Eur. 2.8.18 (HPLC-FLD)</t>
        </is>
      </c>
      <c r="J1604" s="256" t="inlineStr">
        <is>
          <t>≤ 2 µg/kg</t>
        </is>
      </c>
      <c r="K1604" s="259" t="inlineStr">
        <is>
          <t>not tested</t>
        </is>
      </c>
      <c r="L1604" s="256" t="inlineStr">
        <is>
          <t>—</t>
        </is>
      </c>
      <c r="M1604" s="256" t="inlineStr">
        <is>
          <t>—</t>
        </is>
      </c>
      <c r="N1604" s="256" t="inlineStr">
        <is>
          <t>—</t>
        </is>
      </c>
      <c r="O1604" s="256" t="inlineStr">
        <is>
          <t>—</t>
        </is>
      </c>
      <c r="P1604" s="256" t="inlineStr">
        <is>
          <t>not tested — no certificate covers it</t>
        </is>
      </c>
      <c r="Q1604" s="256" t="inlineStr"/>
      <c r="R1604" s="256" t="inlineStr">
        <is>
          <t>ND (197-7-М/26)</t>
        </is>
      </c>
    </row>
    <row r="1605">
      <c r="A1605" s="256" t="inlineStr">
        <is>
          <t>CoQ-PP_26-070</t>
        </is>
      </c>
      <c r="B1605" s="256" t="inlineStr">
        <is>
          <t>release</t>
        </is>
      </c>
      <c r="C1605" s="256" t="inlineStr">
        <is>
          <t>FB012602</t>
        </is>
      </c>
      <c r="D1605" s="256" t="inlineStr">
        <is>
          <t>P060352</t>
        </is>
      </c>
      <c r="E1605" s="256" t="inlineStr">
        <is>
          <t>Fat Bastard</t>
        </is>
      </c>
      <c r="F1605" s="256" t="inlineStr">
        <is>
          <t>06.06.2026</t>
        </is>
      </c>
      <c r="G1605" s="256" t="inlineStr">
        <is>
          <t>10.2</t>
        </is>
      </c>
      <c r="H1605" s="256" t="inlineStr">
        <is>
          <t>Aflatoxins ∑</t>
        </is>
      </c>
      <c r="I1605" s="256" t="inlineStr">
        <is>
          <t>Ph. Eur. 2.8.18 (HPLC-FLD)</t>
        </is>
      </c>
      <c r="J1605" s="256" t="inlineStr">
        <is>
          <t>≤ 4 µg/kg</t>
        </is>
      </c>
      <c r="K1605" s="259" t="inlineStr">
        <is>
          <t>not tested</t>
        </is>
      </c>
      <c r="L1605" s="256" t="inlineStr">
        <is>
          <t>—</t>
        </is>
      </c>
      <c r="M1605" s="256" t="inlineStr">
        <is>
          <t>—</t>
        </is>
      </c>
      <c r="N1605" s="256" t="inlineStr">
        <is>
          <t>—</t>
        </is>
      </c>
      <c r="O1605" s="256" t="inlineStr">
        <is>
          <t>—</t>
        </is>
      </c>
      <c r="P1605" s="256" t="inlineStr">
        <is>
          <t>not tested — no certificate covers it</t>
        </is>
      </c>
      <c r="Q1605" s="256" t="inlineStr"/>
      <c r="R1605" s="256" t="inlineStr">
        <is>
          <t>ND (197-7-М/26)</t>
        </is>
      </c>
    </row>
    <row r="1606">
      <c r="A1606" s="256" t="inlineStr">
        <is>
          <t>CoQ-PP_26-070</t>
        </is>
      </c>
      <c r="B1606" s="256" t="inlineStr">
        <is>
          <t>release</t>
        </is>
      </c>
      <c r="C1606" s="256" t="inlineStr">
        <is>
          <t>FB012602</t>
        </is>
      </c>
      <c r="D1606" s="256" t="inlineStr">
        <is>
          <t>P060352</t>
        </is>
      </c>
      <c r="E1606" s="256" t="inlineStr">
        <is>
          <t>Fat Bastard</t>
        </is>
      </c>
      <c r="F1606" s="256" t="inlineStr">
        <is>
          <t>06.06.2026</t>
        </is>
      </c>
      <c r="G1606" s="256" t="inlineStr">
        <is>
          <t>10.3</t>
        </is>
      </c>
      <c r="H1606" s="256" t="inlineStr">
        <is>
          <t>Ochratoxin A</t>
        </is>
      </c>
      <c r="I1606" s="256" t="inlineStr">
        <is>
          <t>Ph. Eur. 2.8.22 (HPLC-FLD)</t>
        </is>
      </c>
      <c r="J1606" s="256" t="inlineStr">
        <is>
          <t>≤ 20 µg/kg</t>
        </is>
      </c>
      <c r="K1606" s="259" t="inlineStr">
        <is>
          <t>not tested</t>
        </is>
      </c>
      <c r="L1606" s="256" t="inlineStr">
        <is>
          <t>—</t>
        </is>
      </c>
      <c r="M1606" s="256" t="inlineStr">
        <is>
          <t>—</t>
        </is>
      </c>
      <c r="N1606" s="256" t="inlineStr">
        <is>
          <t>—</t>
        </is>
      </c>
      <c r="O1606" s="256" t="inlineStr">
        <is>
          <t>—</t>
        </is>
      </c>
      <c r="P1606" s="256" t="inlineStr">
        <is>
          <t>not tested — no certificate covers it</t>
        </is>
      </c>
      <c r="Q1606" s="256" t="inlineStr"/>
      <c r="R1606" s="256" t="inlineStr">
        <is>
          <t>ND (197-7-М/26)</t>
        </is>
      </c>
    </row>
    <row r="1607">
      <c r="A1607" s="256" t="inlineStr">
        <is>
          <t>CoQ-PP_26-070</t>
        </is>
      </c>
      <c r="B1607" s="256" t="inlineStr">
        <is>
          <t>release</t>
        </is>
      </c>
      <c r="C1607" s="256" t="inlineStr">
        <is>
          <t>FB012602</t>
        </is>
      </c>
      <c r="D1607" s="256" t="inlineStr">
        <is>
          <t>P060352</t>
        </is>
      </c>
      <c r="E1607" s="256" t="inlineStr">
        <is>
          <t>Fat Bastard</t>
        </is>
      </c>
      <c r="F1607" s="256" t="inlineStr">
        <is>
          <t>06.06.2026</t>
        </is>
      </c>
      <c r="G1607" s="256" t="inlineStr">
        <is>
          <t>11.1</t>
        </is>
      </c>
      <c r="H1607" s="256" t="inlineStr">
        <is>
          <t>Lead (Pb)</t>
        </is>
      </c>
      <c r="I1607" s="256" t="inlineStr">
        <is>
          <t>Ph. Eur. 2.4.27 (ICP-MS)</t>
        </is>
      </c>
      <c r="J1607" s="256" t="inlineStr">
        <is>
          <t>≤ 0.5 mg/kg</t>
        </is>
      </c>
      <c r="K1607" s="259" t="inlineStr">
        <is>
          <t>not tested</t>
        </is>
      </c>
      <c r="L1607" s="256" t="inlineStr">
        <is>
          <t>—</t>
        </is>
      </c>
      <c r="M1607" s="256" t="inlineStr">
        <is>
          <t>—</t>
        </is>
      </c>
      <c r="N1607" s="256" t="inlineStr">
        <is>
          <t>—</t>
        </is>
      </c>
      <c r="O1607" s="256" t="inlineStr">
        <is>
          <t>—</t>
        </is>
      </c>
      <c r="P1607" s="256" t="inlineStr">
        <is>
          <t>not tested — no certificate covers it</t>
        </is>
      </c>
      <c r="Q1607" s="256" t="inlineStr"/>
      <c r="R1607" s="256" t="inlineStr"/>
    </row>
    <row r="1608">
      <c r="A1608" s="256" t="inlineStr">
        <is>
          <t>CoQ-PP_26-070</t>
        </is>
      </c>
      <c r="B1608" s="256" t="inlineStr">
        <is>
          <t>release</t>
        </is>
      </c>
      <c r="C1608" s="256" t="inlineStr">
        <is>
          <t>FB012602</t>
        </is>
      </c>
      <c r="D1608" s="256" t="inlineStr">
        <is>
          <t>P060352</t>
        </is>
      </c>
      <c r="E1608" s="256" t="inlineStr">
        <is>
          <t>Fat Bastard</t>
        </is>
      </c>
      <c r="F1608" s="256" t="inlineStr">
        <is>
          <t>06.06.2026</t>
        </is>
      </c>
      <c r="G1608" s="256" t="inlineStr">
        <is>
          <t>11.2</t>
        </is>
      </c>
      <c r="H1608" s="256" t="inlineStr">
        <is>
          <t>Cadmium (Cd)</t>
        </is>
      </c>
      <c r="I1608" s="256" t="inlineStr">
        <is>
          <t>Ph. Eur. 2.4.27 (ICP-MS)</t>
        </is>
      </c>
      <c r="J1608" s="256" t="inlineStr">
        <is>
          <t>≤ 0.3 mg/kg</t>
        </is>
      </c>
      <c r="K1608" s="259" t="inlineStr">
        <is>
          <t>not tested</t>
        </is>
      </c>
      <c r="L1608" s="256" t="inlineStr">
        <is>
          <t>—</t>
        </is>
      </c>
      <c r="M1608" s="256" t="inlineStr">
        <is>
          <t>—</t>
        </is>
      </c>
      <c r="N1608" s="256" t="inlineStr">
        <is>
          <t>—</t>
        </is>
      </c>
      <c r="O1608" s="256" t="inlineStr">
        <is>
          <t>—</t>
        </is>
      </c>
      <c r="P1608" s="256" t="inlineStr">
        <is>
          <t>not tested — no certificate covers it</t>
        </is>
      </c>
      <c r="Q1608" s="256" t="inlineStr"/>
      <c r="R1608" s="256" t="inlineStr"/>
    </row>
    <row r="1609">
      <c r="A1609" s="256" t="inlineStr">
        <is>
          <t>CoQ-PP_26-070</t>
        </is>
      </c>
      <c r="B1609" s="256" t="inlineStr">
        <is>
          <t>release</t>
        </is>
      </c>
      <c r="C1609" s="256" t="inlineStr">
        <is>
          <t>FB012602</t>
        </is>
      </c>
      <c r="D1609" s="256" t="inlineStr">
        <is>
          <t>P060352</t>
        </is>
      </c>
      <c r="E1609" s="256" t="inlineStr">
        <is>
          <t>Fat Bastard</t>
        </is>
      </c>
      <c r="F1609" s="256" t="inlineStr">
        <is>
          <t>06.06.2026</t>
        </is>
      </c>
      <c r="G1609" s="256" t="inlineStr">
        <is>
          <t>11.3</t>
        </is>
      </c>
      <c r="H1609" s="256" t="inlineStr">
        <is>
          <t>Arsenic (As)</t>
        </is>
      </c>
      <c r="I1609" s="256" t="inlineStr">
        <is>
          <t>Ph. Eur. 2.4.27 (ICP-MS)</t>
        </is>
      </c>
      <c r="J1609" s="256" t="inlineStr">
        <is>
          <t>≤ 0.2 mg/kg</t>
        </is>
      </c>
      <c r="K1609" s="259" t="inlineStr">
        <is>
          <t>not tested</t>
        </is>
      </c>
      <c r="L1609" s="256" t="inlineStr">
        <is>
          <t>—</t>
        </is>
      </c>
      <c r="M1609" s="256" t="inlineStr">
        <is>
          <t>—</t>
        </is>
      </c>
      <c r="N1609" s="256" t="inlineStr">
        <is>
          <t>—</t>
        </is>
      </c>
      <c r="O1609" s="256" t="inlineStr">
        <is>
          <t>—</t>
        </is>
      </c>
      <c r="P1609" s="256" t="inlineStr">
        <is>
          <t>not tested — no certificate covers it</t>
        </is>
      </c>
      <c r="Q1609" s="256" t="inlineStr"/>
      <c r="R1609" s="256" t="inlineStr"/>
    </row>
    <row r="1610">
      <c r="A1610" s="256" t="inlineStr">
        <is>
          <t>CoQ-PP_26-070</t>
        </is>
      </c>
      <c r="B1610" s="256" t="inlineStr">
        <is>
          <t>release</t>
        </is>
      </c>
      <c r="C1610" s="256" t="inlineStr">
        <is>
          <t>FB012602</t>
        </is>
      </c>
      <c r="D1610" s="256" t="inlineStr">
        <is>
          <t>P060352</t>
        </is>
      </c>
      <c r="E1610" s="256" t="inlineStr">
        <is>
          <t>Fat Bastard</t>
        </is>
      </c>
      <c r="F1610" s="256" t="inlineStr">
        <is>
          <t>06.06.2026</t>
        </is>
      </c>
      <c r="G1610" s="256" t="inlineStr">
        <is>
          <t>11.4</t>
        </is>
      </c>
      <c r="H1610" s="256" t="inlineStr">
        <is>
          <t>Mercury (Hg)</t>
        </is>
      </c>
      <c r="I1610" s="256" t="inlineStr">
        <is>
          <t>Ph. Eur. 2.4.27 (ICP-MS)</t>
        </is>
      </c>
      <c r="J1610" s="256" t="inlineStr">
        <is>
          <t>≤ 0.1 mg/kg</t>
        </is>
      </c>
      <c r="K1610" s="259" t="inlineStr">
        <is>
          <t>not tested</t>
        </is>
      </c>
      <c r="L1610" s="256" t="inlineStr">
        <is>
          <t>—</t>
        </is>
      </c>
      <c r="M1610" s="256" t="inlineStr">
        <is>
          <t>—</t>
        </is>
      </c>
      <c r="N1610" s="256" t="inlineStr">
        <is>
          <t>—</t>
        </is>
      </c>
      <c r="O1610" s="256" t="inlineStr">
        <is>
          <t>—</t>
        </is>
      </c>
      <c r="P1610" s="256" t="inlineStr">
        <is>
          <t>not tested — no certificate covers it</t>
        </is>
      </c>
      <c r="Q1610" s="256" t="inlineStr"/>
      <c r="R1610" s="256" t="inlineStr"/>
    </row>
    <row r="1611">
      <c r="A1611" s="256" t="inlineStr">
        <is>
          <t>CoQ-PP_26-070</t>
        </is>
      </c>
      <c r="B1611" s="256" t="inlineStr">
        <is>
          <t>release</t>
        </is>
      </c>
      <c r="C1611" s="256" t="inlineStr">
        <is>
          <t>FB012602</t>
        </is>
      </c>
      <c r="D1611" s="256" t="inlineStr">
        <is>
          <t>P060352</t>
        </is>
      </c>
      <c r="E1611" s="256" t="inlineStr">
        <is>
          <t>Fat Bastard</t>
        </is>
      </c>
      <c r="F1611" s="256" t="inlineStr">
        <is>
          <t>06.06.2026</t>
        </is>
      </c>
      <c r="G1611" s="256" t="inlineStr">
        <is>
          <t>12</t>
        </is>
      </c>
      <c r="H1611" s="256" t="inlineStr">
        <is>
          <t>Pesticide Residues</t>
        </is>
      </c>
      <c r="I1611" s="256" t="inlineStr">
        <is>
          <t>Ph. Eur. 2.8.13 (LC-MS/MS) · CUMCS Equivalency</t>
        </is>
      </c>
      <c r="J1611" s="256" t="inlineStr">
        <is>
          <t>≤ LOQ as per Ph. Eur. 2.8.13 · ≤ LOQ as per CUMCS Equivalency</t>
        </is>
      </c>
      <c r="K1611" s="259" t="inlineStr">
        <is>
          <t>not tested</t>
        </is>
      </c>
      <c r="L1611" s="256" t="inlineStr">
        <is>
          <t>—</t>
        </is>
      </c>
      <c r="M1611" s="256" t="inlineStr">
        <is>
          <t>—</t>
        </is>
      </c>
      <c r="N1611" s="256" t="inlineStr">
        <is>
          <t>—</t>
        </is>
      </c>
      <c r="O1611" s="256" t="inlineStr">
        <is>
          <t>—</t>
        </is>
      </c>
      <c r="P1611" s="256" t="inlineStr">
        <is>
          <t>not tested — no certificate covers it</t>
        </is>
      </c>
      <c r="Q1611" s="256" t="inlineStr"/>
      <c r="R1611" s="256" t="inlineStr"/>
    </row>
    <row r="1612">
      <c r="A1612" s="256" t="inlineStr">
        <is>
          <t>CoQ-PP_26-071</t>
        </is>
      </c>
      <c r="B1612" s="256" t="inlineStr">
        <is>
          <t>release</t>
        </is>
      </c>
      <c r="C1612" s="256" t="inlineStr">
        <is>
          <t>JD012603/01</t>
        </is>
      </c>
      <c r="D1612" s="256" t="inlineStr">
        <is>
          <t>P060362</t>
        </is>
      </c>
      <c r="E1612" s="256" t="inlineStr">
        <is>
          <t>Jelly Donuts</t>
        </is>
      </c>
      <c r="F1612" s="256" t="inlineStr">
        <is>
          <t>06.06.2026</t>
        </is>
      </c>
      <c r="G1612" s="256" t="inlineStr">
        <is>
          <t>1</t>
        </is>
      </c>
      <c r="H1612" s="256" t="inlineStr">
        <is>
          <t>Identification A, Appearance · Macroscopic</t>
        </is>
      </c>
      <c r="I1612" s="256" t="inlineStr">
        <is>
          <t>Ph. Eur. mon. 3028</t>
        </is>
      </c>
      <c r="J1612" s="256" t="inlineStr">
        <is>
          <t>Conforms to the monograph for Cannabis flos (07/2024:3028) in Ph. Eur. 11.0 | Согласно монографија за Cannabis flos (07/2024:3028) во Ph. Eur. 11.0</t>
        </is>
      </c>
      <c r="K1612" s="259" t="inlineStr">
        <is>
          <t>to be performed (in house)</t>
        </is>
      </c>
      <c r="L1612" s="256" t="inlineStr">
        <is>
          <t>iCoA-PP_26-082</t>
        </is>
      </c>
      <c r="M1612" s="256" t="inlineStr">
        <is>
          <t>03.06.2026</t>
        </is>
      </c>
      <c r="N1612" s="256" t="inlineStr">
        <is>
          <t>Purely Plant GmbH (in-house)</t>
        </is>
      </c>
      <c r="O1612" s="256" t="inlineStr">
        <is>
          <t>—</t>
        </is>
      </c>
      <c r="P1612" s="256" t="inlineStr">
        <is>
          <t>to be performed — see route</t>
        </is>
      </c>
      <c r="Q1612" s="256" t="inlineStr">
        <is>
          <t>Purely Plant laboratory — iCoA covering Ident A + B</t>
        </is>
      </c>
      <c r="R1612" s="256" t="inlineStr"/>
    </row>
    <row r="1613">
      <c r="A1613" s="256" t="inlineStr">
        <is>
          <t>CoQ-PP_26-071</t>
        </is>
      </c>
      <c r="B1613" s="256" t="inlineStr">
        <is>
          <t>release</t>
        </is>
      </c>
      <c r="C1613" s="256" t="inlineStr">
        <is>
          <t>JD012603/01</t>
        </is>
      </c>
      <c r="D1613" s="256" t="inlineStr">
        <is>
          <t>P060362</t>
        </is>
      </c>
      <c r="E1613" s="256" t="inlineStr">
        <is>
          <t>Jelly Donuts</t>
        </is>
      </c>
      <c r="F1613" s="256" t="inlineStr">
        <is>
          <t>06.06.2026</t>
        </is>
      </c>
      <c r="G1613" s="256" t="inlineStr">
        <is>
          <t>2</t>
        </is>
      </c>
      <c r="H1613" s="256" t="inlineStr">
        <is>
          <t>Identification B · Microscopic</t>
        </is>
      </c>
      <c r="I1613" s="256" t="inlineStr">
        <is>
          <t>Ph. Eur. 2.8.23 (microscopy)</t>
        </is>
      </c>
      <c r="J1613" s="256" t="inlineStr">
        <is>
          <t>Conforms to the monograph for Cannabis flos (07/2024:3028) in Ph. Eur. 11.0 | Согласно монографија за Cannabis flos (07/2024:3028) во Ph. Eur. 11.0</t>
        </is>
      </c>
      <c r="K1613" s="259" t="inlineStr">
        <is>
          <t>to be performed (in house)</t>
        </is>
      </c>
      <c r="L1613" s="256" t="inlineStr">
        <is>
          <t>iCoA-PP_26-082</t>
        </is>
      </c>
      <c r="M1613" s="256" t="inlineStr">
        <is>
          <t>03.06.2026</t>
        </is>
      </c>
      <c r="N1613" s="256" t="inlineStr">
        <is>
          <t>Purely Plant GmbH (in-house)</t>
        </is>
      </c>
      <c r="O1613" s="256" t="inlineStr">
        <is>
          <t>—</t>
        </is>
      </c>
      <c r="P1613" s="256" t="inlineStr">
        <is>
          <t>to be performed — see route</t>
        </is>
      </c>
      <c r="Q1613" s="256" t="inlineStr">
        <is>
          <t>Purely Plant laboratory — iCoA covering Ident A + B</t>
        </is>
      </c>
      <c r="R1613" s="256" t="inlineStr"/>
    </row>
    <row r="1614">
      <c r="A1614" s="256" t="inlineStr">
        <is>
          <t>CoQ-PP_26-071</t>
        </is>
      </c>
      <c r="B1614" s="256" t="inlineStr">
        <is>
          <t>release</t>
        </is>
      </c>
      <c r="C1614" s="256" t="inlineStr">
        <is>
          <t>JD012603/01</t>
        </is>
      </c>
      <c r="D1614" s="256" t="inlineStr">
        <is>
          <t>P060362</t>
        </is>
      </c>
      <c r="E1614" s="256" t="inlineStr">
        <is>
          <t>Jelly Donuts</t>
        </is>
      </c>
      <c r="F1614" s="256" t="inlineStr">
        <is>
          <t>06.06.2026</t>
        </is>
      </c>
      <c r="G1614" s="256" t="inlineStr">
        <is>
          <t>3</t>
        </is>
      </c>
      <c r="H1614" s="256" t="inlineStr">
        <is>
          <t>Identification C · HPLC/HPTLC</t>
        </is>
      </c>
      <c r="I1614" s="256" t="inlineStr">
        <is>
          <t>Ph. Eur. 2.2.29 (3028)</t>
        </is>
      </c>
      <c r="J1614" s="256" t="inlineStr">
        <is>
          <t>Conforms to the monograph for Cannabis flos (07/2024:3028) in Ph. Eur. 11.0 | Согласно монографија за Cannabis flos (07/2024:3028) во Ph. Eur. 11.0</t>
        </is>
      </c>
      <c r="K1614" s="259" t="inlineStr">
        <is>
          <t>to be performed (in house)</t>
        </is>
      </c>
      <c r="L1614" s="256" t="inlineStr">
        <is>
          <t>—</t>
        </is>
      </c>
      <c r="M1614" s="256" t="inlineStr">
        <is>
          <t>—</t>
        </is>
      </c>
      <c r="N1614" s="256" t="inlineStr">
        <is>
          <t>—</t>
        </is>
      </c>
      <c r="O1614" s="256" t="inlineStr">
        <is>
          <t>—</t>
        </is>
      </c>
      <c r="P1614" s="256" t="inlineStr">
        <is>
          <t>to be performed — see route</t>
        </is>
      </c>
      <c r="Q1614" s="256" t="inlineStr">
        <is>
          <t>outside laboratory — the HPLC cannabinoid certificate discharges Ident C (Farmahem -K- or CNP); in-house iCoA P03 only where none exists</t>
        </is>
      </c>
      <c r="R1614" s="256" t="inlineStr"/>
    </row>
    <row r="1615">
      <c r="A1615" s="256" t="inlineStr">
        <is>
          <t>CoQ-PP_26-071</t>
        </is>
      </c>
      <c r="B1615" s="256" t="inlineStr">
        <is>
          <t>release</t>
        </is>
      </c>
      <c r="C1615" s="256" t="inlineStr">
        <is>
          <t>JD012603/01</t>
        </is>
      </c>
      <c r="D1615" s="256" t="inlineStr">
        <is>
          <t>P060362</t>
        </is>
      </c>
      <c r="E1615" s="256" t="inlineStr">
        <is>
          <t>Jelly Donuts</t>
        </is>
      </c>
      <c r="F1615" s="256" t="inlineStr">
        <is>
          <t>06.06.2026</t>
        </is>
      </c>
      <c r="G1615" s="256" t="inlineStr">
        <is>
          <t>4</t>
        </is>
      </c>
      <c r="H1615" s="256" t="inlineStr">
        <is>
          <t>Assay — Total Δ⁹-THC</t>
        </is>
      </c>
      <c r="I1615" s="256" t="inlineStr">
        <is>
          <t>Ph. Eur. 2.2.29 (HPLC)</t>
        </is>
      </c>
      <c r="J1615" s="256" t="inlineStr">
        <is>
          <t>Per grade of the potency specification of 15.09.2026 — no Total THC result on file</t>
        </is>
      </c>
      <c r="K1615" s="259" t="inlineStr">
        <is>
          <t>not tested</t>
        </is>
      </c>
      <c r="L1615" s="256" t="inlineStr">
        <is>
          <t>—</t>
        </is>
      </c>
      <c r="M1615" s="256" t="inlineStr">
        <is>
          <t>—</t>
        </is>
      </c>
      <c r="N1615" s="256" t="inlineStr">
        <is>
          <t>—</t>
        </is>
      </c>
      <c r="O1615" s="256" t="inlineStr">
        <is>
          <t>—</t>
        </is>
      </c>
      <c r="P1615" s="256" t="inlineStr">
        <is>
          <t>not tested — no certificate covers it</t>
        </is>
      </c>
      <c r="Q1615" s="256" t="inlineStr"/>
      <c r="R1615" s="256" t="inlineStr">
        <is>
          <t>21.01 (220-16-К/26)</t>
        </is>
      </c>
    </row>
    <row r="1616">
      <c r="A1616" s="256" t="inlineStr">
        <is>
          <t>CoQ-PP_26-071</t>
        </is>
      </c>
      <c r="B1616" s="256" t="inlineStr">
        <is>
          <t>release</t>
        </is>
      </c>
      <c r="C1616" s="256" t="inlineStr">
        <is>
          <t>JD012603/01</t>
        </is>
      </c>
      <c r="D1616" s="256" t="inlineStr">
        <is>
          <t>P060362</t>
        </is>
      </c>
      <c r="E1616" s="256" t="inlineStr">
        <is>
          <t>Jelly Donuts</t>
        </is>
      </c>
      <c r="F1616" s="256" t="inlineStr">
        <is>
          <t>06.06.2026</t>
        </is>
      </c>
      <c r="G1616" s="256" t="inlineStr">
        <is>
          <t>5</t>
        </is>
      </c>
      <c r="H1616" s="256" t="inlineStr">
        <is>
          <t>Assay — Total CBD</t>
        </is>
      </c>
      <c r="I1616" s="256" t="inlineStr">
        <is>
          <t>Ph. Eur. 2.2.29 (HPLC) · CBD + CBDA x 0.877</t>
        </is>
      </c>
      <c r="J1616" s="256" t="inlineStr">
        <is>
          <t>≤ 1.0%, w/w</t>
        </is>
      </c>
      <c r="K1616" s="259" t="inlineStr">
        <is>
          <t>not tested</t>
        </is>
      </c>
      <c r="L1616" s="256" t="inlineStr">
        <is>
          <t>—</t>
        </is>
      </c>
      <c r="M1616" s="256" t="inlineStr">
        <is>
          <t>—</t>
        </is>
      </c>
      <c r="N1616" s="256" t="inlineStr">
        <is>
          <t>—</t>
        </is>
      </c>
      <c r="O1616" s="256" t="inlineStr">
        <is>
          <t>—</t>
        </is>
      </c>
      <c r="P1616" s="256" t="inlineStr">
        <is>
          <t>not tested — no certificate covers it</t>
        </is>
      </c>
      <c r="Q1616" s="256" t="inlineStr"/>
      <c r="R1616" s="256" t="inlineStr">
        <is>
          <t>&lt;LOQ (220-16-К/26)</t>
        </is>
      </c>
    </row>
    <row r="1617">
      <c r="A1617" s="256" t="inlineStr">
        <is>
          <t>CoQ-PP_26-071</t>
        </is>
      </c>
      <c r="B1617" s="256" t="inlineStr">
        <is>
          <t>release</t>
        </is>
      </c>
      <c r="C1617" s="256" t="inlineStr">
        <is>
          <t>JD012603/01</t>
        </is>
      </c>
      <c r="D1617" s="256" t="inlineStr">
        <is>
          <t>P060362</t>
        </is>
      </c>
      <c r="E1617" s="256" t="inlineStr">
        <is>
          <t>Jelly Donuts</t>
        </is>
      </c>
      <c r="F1617" s="256" t="inlineStr">
        <is>
          <t>06.06.2026</t>
        </is>
      </c>
      <c r="G1617" s="256" t="inlineStr">
        <is>
          <t>6</t>
        </is>
      </c>
      <c r="H1617" s="256" t="inlineStr">
        <is>
          <t>Total CBN</t>
        </is>
      </c>
      <c r="I1617" s="256" t="inlineStr">
        <is>
          <t>Ph. Eur. 2.2.29 (HPLC) · CBN + CBNA x 0.876</t>
        </is>
      </c>
      <c r="J1617" s="256" t="inlineStr">
        <is>
          <t>≤ 1.0%, w/w</t>
        </is>
      </c>
      <c r="K1617" s="259" t="inlineStr">
        <is>
          <t>not tested</t>
        </is>
      </c>
      <c r="L1617" s="256" t="inlineStr">
        <is>
          <t>—</t>
        </is>
      </c>
      <c r="M1617" s="256" t="inlineStr">
        <is>
          <t>—</t>
        </is>
      </c>
      <c r="N1617" s="256" t="inlineStr">
        <is>
          <t>—</t>
        </is>
      </c>
      <c r="O1617" s="256" t="inlineStr">
        <is>
          <t>—</t>
        </is>
      </c>
      <c r="P1617" s="256" t="inlineStr">
        <is>
          <t>not tested — no certificate covers it</t>
        </is>
      </c>
      <c r="Q1617" s="256" t="inlineStr"/>
      <c r="R1617" s="256" t="inlineStr">
        <is>
          <t>&lt;LOQ (220-16-К/26)</t>
        </is>
      </c>
    </row>
    <row r="1618">
      <c r="A1618" s="256" t="inlineStr">
        <is>
          <t>CoQ-PP_26-071</t>
        </is>
      </c>
      <c r="B1618" s="256" t="inlineStr">
        <is>
          <t>release</t>
        </is>
      </c>
      <c r="C1618" s="256" t="inlineStr">
        <is>
          <t>JD012603/01</t>
        </is>
      </c>
      <c r="D1618" s="256" t="inlineStr">
        <is>
          <t>P060362</t>
        </is>
      </c>
      <c r="E1618" s="256" t="inlineStr">
        <is>
          <t>Jelly Donuts</t>
        </is>
      </c>
      <c r="F1618" s="256" t="inlineStr">
        <is>
          <t>06.06.2026</t>
        </is>
      </c>
      <c r="G1618" s="256" t="inlineStr">
        <is>
          <t>7</t>
        </is>
      </c>
      <c r="H1618" s="256" t="inlineStr">
        <is>
          <t>Foreign Matter</t>
        </is>
      </c>
      <c r="I1618" s="256" t="inlineStr">
        <is>
          <t>Ph. Eur. 2.8.2 · In-house · интерна</t>
        </is>
      </c>
      <c r="J1618" s="256" t="inlineStr">
        <is>
          <t>≤ 2.0% / 25–50 g · &lt; 1 cm leaves | листови, no seeds | без семки</t>
        </is>
      </c>
      <c r="K1618" s="259" t="inlineStr">
        <is>
          <t>to be performed (in house)</t>
        </is>
      </c>
      <c r="L1618" s="256" t="inlineStr">
        <is>
          <t>iCoA-PP_26-082</t>
        </is>
      </c>
      <c r="M1618" s="256" t="inlineStr">
        <is>
          <t>03.06.2026</t>
        </is>
      </c>
      <c r="N1618" s="256" t="inlineStr">
        <is>
          <t>Purely Plant GmbH (in-house)</t>
        </is>
      </c>
      <c r="O1618" s="256" t="inlineStr">
        <is>
          <t>—</t>
        </is>
      </c>
      <c r="P1618" s="256" t="inlineStr">
        <is>
          <t>to be performed — see route</t>
        </is>
      </c>
      <c r="Q1618" s="256" t="inlineStr">
        <is>
          <t>Purely Plant laboratory — iCoA covering Foreign matter</t>
        </is>
      </c>
      <c r="R1618" s="256" t="inlineStr"/>
    </row>
    <row r="1619">
      <c r="A1619" s="256" t="inlineStr">
        <is>
          <t>CoQ-PP_26-071</t>
        </is>
      </c>
      <c r="B1619" s="256" t="inlineStr">
        <is>
          <t>release</t>
        </is>
      </c>
      <c r="C1619" s="256" t="inlineStr">
        <is>
          <t>JD012603/01</t>
        </is>
      </c>
      <c r="D1619" s="256" t="inlineStr">
        <is>
          <t>P060362</t>
        </is>
      </c>
      <c r="E1619" s="256" t="inlineStr">
        <is>
          <t>Jelly Donuts</t>
        </is>
      </c>
      <c r="F1619" s="256" t="inlineStr">
        <is>
          <t>06.06.2026</t>
        </is>
      </c>
      <c r="G1619" s="256" t="inlineStr">
        <is>
          <t>8</t>
        </is>
      </c>
      <c r="H1619" s="256" t="inlineStr">
        <is>
          <t>Loss on Drying</t>
        </is>
      </c>
      <c r="I1619" s="256" t="inlineStr">
        <is>
          <t>Ph. Eur. 2.2.32 (3028) · at 40 °C, 24 h, 15–25 mbar</t>
        </is>
      </c>
      <c r="J1619" s="256" t="inlineStr">
        <is>
          <t>≤ 12.0%</t>
        </is>
      </c>
      <c r="K1619" s="259" t="inlineStr">
        <is>
          <t>not tested</t>
        </is>
      </c>
      <c r="L1619" s="256" t="inlineStr">
        <is>
          <t>—</t>
        </is>
      </c>
      <c r="M1619" s="256" t="inlineStr">
        <is>
          <t>—</t>
        </is>
      </c>
      <c r="N1619" s="256" t="inlineStr">
        <is>
          <t>—</t>
        </is>
      </c>
      <c r="O1619" s="256" t="inlineStr">
        <is>
          <t>—</t>
        </is>
      </c>
      <c r="P1619" s="256" t="inlineStr">
        <is>
          <t>not tested — no certificate covers it</t>
        </is>
      </c>
      <c r="Q1619" s="256" t="inlineStr"/>
      <c r="R1619" s="256" t="inlineStr"/>
    </row>
    <row r="1620">
      <c r="A1620" s="256" t="inlineStr">
        <is>
          <t>CoQ-PP_26-071</t>
        </is>
      </c>
      <c r="B1620" s="256" t="inlineStr">
        <is>
          <t>release</t>
        </is>
      </c>
      <c r="C1620" s="256" t="inlineStr">
        <is>
          <t>JD012603/01</t>
        </is>
      </c>
      <c r="D1620" s="256" t="inlineStr">
        <is>
          <t>P060362</t>
        </is>
      </c>
      <c r="E1620" s="256" t="inlineStr">
        <is>
          <t>Jelly Donuts</t>
        </is>
      </c>
      <c r="F1620" s="256" t="inlineStr">
        <is>
          <t>06.06.2026</t>
        </is>
      </c>
      <c r="G1620" s="256" t="inlineStr">
        <is>
          <t>9.1</t>
        </is>
      </c>
      <c r="H1620" s="256" t="inlineStr">
        <is>
          <t>TAMC</t>
        </is>
      </c>
      <c r="I1620" s="256" t="inlineStr">
        <is>
          <t>Ph. Eur. 2.6.12 cat. C</t>
        </is>
      </c>
      <c r="J1620" s="256" t="inlineStr">
        <is>
          <t>≤ 10⁵ CFU/g</t>
        </is>
      </c>
      <c r="K1620" s="256" t="inlineStr">
        <is>
          <t>2 × 10²</t>
        </is>
      </c>
      <c r="L1620" s="256" t="inlineStr">
        <is>
          <t>365/0695/26</t>
        </is>
      </c>
      <c r="M1620" s="256" t="inlineStr">
        <is>
          <t>01.06.2026</t>
        </is>
      </c>
      <c r="N1620" s="256" t="inlineStr">
        <is>
          <t>IPH — Institute of Public Health</t>
        </is>
      </c>
      <c r="O1620" s="256" t="inlineStr">
        <is>
          <t>—</t>
        </is>
      </c>
      <c r="P1620" s="256" t="inlineStr">
        <is>
          <t>covered</t>
        </is>
      </c>
      <c r="Q1620" s="256" t="inlineStr"/>
      <c r="R1620" s="256" t="inlineStr"/>
    </row>
    <row r="1621">
      <c r="A1621" s="256" t="inlineStr">
        <is>
          <t>CoQ-PP_26-071</t>
        </is>
      </c>
      <c r="B1621" s="256" t="inlineStr">
        <is>
          <t>release</t>
        </is>
      </c>
      <c r="C1621" s="256" t="inlineStr">
        <is>
          <t>JD012603/01</t>
        </is>
      </c>
      <c r="D1621" s="256" t="inlineStr">
        <is>
          <t>P060362</t>
        </is>
      </c>
      <c r="E1621" s="256" t="inlineStr">
        <is>
          <t>Jelly Donuts</t>
        </is>
      </c>
      <c r="F1621" s="256" t="inlineStr">
        <is>
          <t>06.06.2026</t>
        </is>
      </c>
      <c r="G1621" s="256" t="inlineStr">
        <is>
          <t>9.2</t>
        </is>
      </c>
      <c r="H1621" s="256" t="inlineStr">
        <is>
          <t>TYMC</t>
        </is>
      </c>
      <c r="I1621" s="256" t="inlineStr">
        <is>
          <t>Ph. Eur. 2.6.12 cat. C</t>
        </is>
      </c>
      <c r="J1621" s="256" t="inlineStr">
        <is>
          <t>≤ 10⁴ CFU/g</t>
        </is>
      </c>
      <c r="K1621" s="256" t="inlineStr">
        <is>
          <t>1 × 10²</t>
        </is>
      </c>
      <c r="L1621" s="256" t="inlineStr">
        <is>
          <t>365/0695/26</t>
        </is>
      </c>
      <c r="M1621" s="256" t="inlineStr">
        <is>
          <t>01.06.2026</t>
        </is>
      </c>
      <c r="N1621" s="256" t="inlineStr">
        <is>
          <t>IPH — Institute of Public Health</t>
        </is>
      </c>
      <c r="O1621" s="256" t="inlineStr">
        <is>
          <t>—</t>
        </is>
      </c>
      <c r="P1621" s="256" t="inlineStr">
        <is>
          <t>covered</t>
        </is>
      </c>
      <c r="Q1621" s="256" t="inlineStr"/>
      <c r="R1621" s="256" t="inlineStr"/>
    </row>
    <row r="1622">
      <c r="A1622" s="256" t="inlineStr">
        <is>
          <t>CoQ-PP_26-071</t>
        </is>
      </c>
      <c r="B1622" s="256" t="inlineStr">
        <is>
          <t>release</t>
        </is>
      </c>
      <c r="C1622" s="256" t="inlineStr">
        <is>
          <t>JD012603/01</t>
        </is>
      </c>
      <c r="D1622" s="256" t="inlineStr">
        <is>
          <t>P060362</t>
        </is>
      </c>
      <c r="E1622" s="256" t="inlineStr">
        <is>
          <t>Jelly Donuts</t>
        </is>
      </c>
      <c r="F1622" s="256" t="inlineStr">
        <is>
          <t>06.06.2026</t>
        </is>
      </c>
      <c r="G1622" s="256" t="inlineStr">
        <is>
          <t>9.3</t>
        </is>
      </c>
      <c r="H1622" s="256" t="inlineStr">
        <is>
          <t>Bile-tolerant gram-neg.</t>
        </is>
      </c>
      <c r="I1622" s="256" t="inlineStr">
        <is>
          <t>Ph. Eur. 2.6.31 cat. C</t>
        </is>
      </c>
      <c r="J1622" s="256" t="inlineStr">
        <is>
          <t>≤ 10⁴ CFU/g</t>
        </is>
      </c>
      <c r="K1622" s="256" t="inlineStr">
        <is>
          <t>&lt; 10</t>
        </is>
      </c>
      <c r="L1622" s="256" t="inlineStr">
        <is>
          <t>365/0695/26</t>
        </is>
      </c>
      <c r="M1622" s="256" t="inlineStr">
        <is>
          <t>01.06.2026</t>
        </is>
      </c>
      <c r="N1622" s="256" t="inlineStr">
        <is>
          <t>IPH — Institute of Public Health</t>
        </is>
      </c>
      <c r="O1622" s="256" t="inlineStr">
        <is>
          <t>—</t>
        </is>
      </c>
      <c r="P1622" s="256" t="inlineStr">
        <is>
          <t>covered</t>
        </is>
      </c>
      <c r="Q1622" s="256" t="inlineStr"/>
      <c r="R1622" s="256" t="inlineStr"/>
    </row>
    <row r="1623">
      <c r="A1623" s="256" t="inlineStr">
        <is>
          <t>CoQ-PP_26-071</t>
        </is>
      </c>
      <c r="B1623" s="256" t="inlineStr">
        <is>
          <t>release</t>
        </is>
      </c>
      <c r="C1623" s="256" t="inlineStr">
        <is>
          <t>JD012603/01</t>
        </is>
      </c>
      <c r="D1623" s="256" t="inlineStr">
        <is>
          <t>P060362</t>
        </is>
      </c>
      <c r="E1623" s="256" t="inlineStr">
        <is>
          <t>Jelly Donuts</t>
        </is>
      </c>
      <c r="F1623" s="256" t="inlineStr">
        <is>
          <t>06.06.2026</t>
        </is>
      </c>
      <c r="G1623" s="256" t="inlineStr">
        <is>
          <t>9.4</t>
        </is>
      </c>
      <c r="H1623" s="256" t="inlineStr">
        <is>
          <t>Salmonella</t>
        </is>
      </c>
      <c r="I1623" s="256" t="inlineStr">
        <is>
          <t>Ph. Eur. 2.6.31 cat. C</t>
        </is>
      </c>
      <c r="J1623" s="256" t="inlineStr">
        <is>
          <t>Absence | Отсуство / 25 g</t>
        </is>
      </c>
      <c r="K1623" s="256" t="inlineStr">
        <is>
          <t>Absent | Отсутна</t>
        </is>
      </c>
      <c r="L1623" s="256" t="inlineStr">
        <is>
          <t>365/0695/26</t>
        </is>
      </c>
      <c r="M1623" s="256" t="inlineStr">
        <is>
          <t>01.06.2026</t>
        </is>
      </c>
      <c r="N1623" s="256" t="inlineStr">
        <is>
          <t>IPH — Institute of Public Health</t>
        </is>
      </c>
      <c r="O1623" s="256" t="inlineStr">
        <is>
          <t>—</t>
        </is>
      </c>
      <c r="P1623" s="256" t="inlineStr">
        <is>
          <t>covered</t>
        </is>
      </c>
      <c r="Q1623" s="256" t="inlineStr"/>
      <c r="R1623" s="256" t="inlineStr"/>
    </row>
    <row r="1624">
      <c r="A1624" s="256" t="inlineStr">
        <is>
          <t>CoQ-PP_26-071</t>
        </is>
      </c>
      <c r="B1624" s="256" t="inlineStr">
        <is>
          <t>release</t>
        </is>
      </c>
      <c r="C1624" s="256" t="inlineStr">
        <is>
          <t>JD012603/01</t>
        </is>
      </c>
      <c r="D1624" s="256" t="inlineStr">
        <is>
          <t>P060362</t>
        </is>
      </c>
      <c r="E1624" s="256" t="inlineStr">
        <is>
          <t>Jelly Donuts</t>
        </is>
      </c>
      <c r="F1624" s="256" t="inlineStr">
        <is>
          <t>06.06.2026</t>
        </is>
      </c>
      <c r="G1624" s="256" t="inlineStr">
        <is>
          <t>9.5</t>
        </is>
      </c>
      <c r="H1624" s="256" t="inlineStr">
        <is>
          <t>Escherichia coli</t>
        </is>
      </c>
      <c r="I1624" s="256" t="inlineStr">
        <is>
          <t>Ph. Eur. 2.6.13 cat. C</t>
        </is>
      </c>
      <c r="J1624" s="256" t="inlineStr">
        <is>
          <t>Absence | Отсуство / 1 g</t>
        </is>
      </c>
      <c r="K1624" s="256" t="inlineStr">
        <is>
          <t>Absent | Отсутна</t>
        </is>
      </c>
      <c r="L1624" s="256" t="inlineStr">
        <is>
          <t>365/0695/26</t>
        </is>
      </c>
      <c r="M1624" s="256" t="inlineStr">
        <is>
          <t>01.06.2026</t>
        </is>
      </c>
      <c r="N1624" s="256" t="inlineStr">
        <is>
          <t>IPH — Institute of Public Health</t>
        </is>
      </c>
      <c r="O1624" s="256" t="inlineStr">
        <is>
          <t>—</t>
        </is>
      </c>
      <c r="P1624" s="256" t="inlineStr">
        <is>
          <t>covered</t>
        </is>
      </c>
      <c r="Q1624" s="256" t="inlineStr"/>
      <c r="R1624" s="256" t="inlineStr"/>
    </row>
    <row r="1625">
      <c r="A1625" s="256" t="inlineStr">
        <is>
          <t>CoQ-PP_26-071</t>
        </is>
      </c>
      <c r="B1625" s="256" t="inlineStr">
        <is>
          <t>release</t>
        </is>
      </c>
      <c r="C1625" s="256" t="inlineStr">
        <is>
          <t>JD012603/01</t>
        </is>
      </c>
      <c r="D1625" s="256" t="inlineStr">
        <is>
          <t>P060362</t>
        </is>
      </c>
      <c r="E1625" s="256" t="inlineStr">
        <is>
          <t>Jelly Donuts</t>
        </is>
      </c>
      <c r="F1625" s="256" t="inlineStr">
        <is>
          <t>06.06.2026</t>
        </is>
      </c>
      <c r="G1625" s="256" t="inlineStr">
        <is>
          <t>9.6</t>
        </is>
      </c>
      <c r="H1625" s="256" t="inlineStr">
        <is>
          <t>Pseudomonas aeruginosa</t>
        </is>
      </c>
      <c r="I1625" s="256" t="inlineStr">
        <is>
          <t>Ph. Eur. 2.6.13 cat. C</t>
        </is>
      </c>
      <c r="J1625" s="256" t="inlineStr">
        <is>
          <t>Absence | Отсуство / 1 g</t>
        </is>
      </c>
      <c r="K1625" s="260" t="inlineStr">
        <is>
          <t>upon request — not required for release</t>
        </is>
      </c>
      <c r="L1625" s="256" t="inlineStr">
        <is>
          <t>—</t>
        </is>
      </c>
      <c r="M1625" s="256" t="inlineStr">
        <is>
          <t>—</t>
        </is>
      </c>
      <c r="N1625" s="256" t="inlineStr">
        <is>
          <t>—</t>
        </is>
      </c>
      <c r="O1625" s="256" t="inlineStr">
        <is>
          <t>—</t>
        </is>
      </c>
      <c r="P1625" s="256" t="inlineStr">
        <is>
          <t>upon request — not required for release</t>
        </is>
      </c>
      <c r="Q1625" s="256" t="inlineStr"/>
      <c r="R1625" s="256" t="inlineStr"/>
    </row>
    <row r="1626">
      <c r="A1626" s="256" t="inlineStr">
        <is>
          <t>CoQ-PP_26-071</t>
        </is>
      </c>
      <c r="B1626" s="256" t="inlineStr">
        <is>
          <t>release</t>
        </is>
      </c>
      <c r="C1626" s="256" t="inlineStr">
        <is>
          <t>JD012603/01</t>
        </is>
      </c>
      <c r="D1626" s="256" t="inlineStr">
        <is>
          <t>P060362</t>
        </is>
      </c>
      <c r="E1626" s="256" t="inlineStr">
        <is>
          <t>Jelly Donuts</t>
        </is>
      </c>
      <c r="F1626" s="256" t="inlineStr">
        <is>
          <t>06.06.2026</t>
        </is>
      </c>
      <c r="G1626" s="256" t="inlineStr">
        <is>
          <t>9.7</t>
        </is>
      </c>
      <c r="H1626" s="256" t="inlineStr">
        <is>
          <t>Staphylococcus aureus</t>
        </is>
      </c>
      <c r="I1626" s="256" t="inlineStr">
        <is>
          <t>Ph. Eur. 2.6.13 cat. C</t>
        </is>
      </c>
      <c r="J1626" s="256" t="inlineStr">
        <is>
          <t>Absence | Отсуство / 1 g</t>
        </is>
      </c>
      <c r="K1626" s="260" t="inlineStr">
        <is>
          <t>upon request — not required for release</t>
        </is>
      </c>
      <c r="L1626" s="256" t="inlineStr">
        <is>
          <t>—</t>
        </is>
      </c>
      <c r="M1626" s="256" t="inlineStr">
        <is>
          <t>—</t>
        </is>
      </c>
      <c r="N1626" s="256" t="inlineStr">
        <is>
          <t>—</t>
        </is>
      </c>
      <c r="O1626" s="256" t="inlineStr">
        <is>
          <t>—</t>
        </is>
      </c>
      <c r="P1626" s="256" t="inlineStr">
        <is>
          <t>upon request — not required for release</t>
        </is>
      </c>
      <c r="Q1626" s="256" t="inlineStr"/>
      <c r="R1626" s="256" t="inlineStr"/>
    </row>
    <row r="1627">
      <c r="A1627" s="256" t="inlineStr">
        <is>
          <t>CoQ-PP_26-071</t>
        </is>
      </c>
      <c r="B1627" s="256" t="inlineStr">
        <is>
          <t>release</t>
        </is>
      </c>
      <c r="C1627" s="256" t="inlineStr">
        <is>
          <t>JD012603/01</t>
        </is>
      </c>
      <c r="D1627" s="256" t="inlineStr">
        <is>
          <t>P060362</t>
        </is>
      </c>
      <c r="E1627" s="256" t="inlineStr">
        <is>
          <t>Jelly Donuts</t>
        </is>
      </c>
      <c r="F1627" s="256" t="inlineStr">
        <is>
          <t>06.06.2026</t>
        </is>
      </c>
      <c r="G1627" s="256" t="inlineStr">
        <is>
          <t>10.1</t>
        </is>
      </c>
      <c r="H1627" s="256" t="inlineStr">
        <is>
          <t>Aflatoxin B₁</t>
        </is>
      </c>
      <c r="I1627" s="256" t="inlineStr">
        <is>
          <t>Ph. Eur. 2.8.18 (HPLC-FLD)</t>
        </is>
      </c>
      <c r="J1627" s="256" t="inlineStr">
        <is>
          <t>≤ 2 µg/kg</t>
        </is>
      </c>
      <c r="K1627" s="259" t="inlineStr">
        <is>
          <t>not tested</t>
        </is>
      </c>
      <c r="L1627" s="256" t="inlineStr">
        <is>
          <t>—</t>
        </is>
      </c>
      <c r="M1627" s="256" t="inlineStr">
        <is>
          <t>—</t>
        </is>
      </c>
      <c r="N1627" s="256" t="inlineStr">
        <is>
          <t>—</t>
        </is>
      </c>
      <c r="O1627" s="256" t="inlineStr">
        <is>
          <t>—</t>
        </is>
      </c>
      <c r="P1627" s="256" t="inlineStr">
        <is>
          <t>not tested — no certificate covers it</t>
        </is>
      </c>
      <c r="Q1627" s="256" t="inlineStr"/>
      <c r="R1627" s="256" t="inlineStr">
        <is>
          <t>ND (220-16-М/26)</t>
        </is>
      </c>
    </row>
    <row r="1628">
      <c r="A1628" s="256" t="inlineStr">
        <is>
          <t>CoQ-PP_26-071</t>
        </is>
      </c>
      <c r="B1628" s="256" t="inlineStr">
        <is>
          <t>release</t>
        </is>
      </c>
      <c r="C1628" s="256" t="inlineStr">
        <is>
          <t>JD012603/01</t>
        </is>
      </c>
      <c r="D1628" s="256" t="inlineStr">
        <is>
          <t>P060362</t>
        </is>
      </c>
      <c r="E1628" s="256" t="inlineStr">
        <is>
          <t>Jelly Donuts</t>
        </is>
      </c>
      <c r="F1628" s="256" t="inlineStr">
        <is>
          <t>06.06.2026</t>
        </is>
      </c>
      <c r="G1628" s="256" t="inlineStr">
        <is>
          <t>10.2</t>
        </is>
      </c>
      <c r="H1628" s="256" t="inlineStr">
        <is>
          <t>Aflatoxins ∑</t>
        </is>
      </c>
      <c r="I1628" s="256" t="inlineStr">
        <is>
          <t>Ph. Eur. 2.8.18 (HPLC-FLD)</t>
        </is>
      </c>
      <c r="J1628" s="256" t="inlineStr">
        <is>
          <t>≤ 4 µg/kg</t>
        </is>
      </c>
      <c r="K1628" s="259" t="inlineStr">
        <is>
          <t>not tested</t>
        </is>
      </c>
      <c r="L1628" s="256" t="inlineStr">
        <is>
          <t>—</t>
        </is>
      </c>
      <c r="M1628" s="256" t="inlineStr">
        <is>
          <t>—</t>
        </is>
      </c>
      <c r="N1628" s="256" t="inlineStr">
        <is>
          <t>—</t>
        </is>
      </c>
      <c r="O1628" s="256" t="inlineStr">
        <is>
          <t>—</t>
        </is>
      </c>
      <c r="P1628" s="256" t="inlineStr">
        <is>
          <t>not tested — no certificate covers it</t>
        </is>
      </c>
      <c r="Q1628" s="256" t="inlineStr"/>
      <c r="R1628" s="256" t="inlineStr">
        <is>
          <t>ND (220-16-М/26)</t>
        </is>
      </c>
    </row>
    <row r="1629">
      <c r="A1629" s="256" t="inlineStr">
        <is>
          <t>CoQ-PP_26-071</t>
        </is>
      </c>
      <c r="B1629" s="256" t="inlineStr">
        <is>
          <t>release</t>
        </is>
      </c>
      <c r="C1629" s="256" t="inlineStr">
        <is>
          <t>JD012603/01</t>
        </is>
      </c>
      <c r="D1629" s="256" t="inlineStr">
        <is>
          <t>P060362</t>
        </is>
      </c>
      <c r="E1629" s="256" t="inlineStr">
        <is>
          <t>Jelly Donuts</t>
        </is>
      </c>
      <c r="F1629" s="256" t="inlineStr">
        <is>
          <t>06.06.2026</t>
        </is>
      </c>
      <c r="G1629" s="256" t="inlineStr">
        <is>
          <t>10.3</t>
        </is>
      </c>
      <c r="H1629" s="256" t="inlineStr">
        <is>
          <t>Ochratoxin A</t>
        </is>
      </c>
      <c r="I1629" s="256" t="inlineStr">
        <is>
          <t>Ph. Eur. 2.8.22 (HPLC-FLD)</t>
        </is>
      </c>
      <c r="J1629" s="256" t="inlineStr">
        <is>
          <t>≤ 20 µg/kg</t>
        </is>
      </c>
      <c r="K1629" s="259" t="inlineStr">
        <is>
          <t>not tested</t>
        </is>
      </c>
      <c r="L1629" s="256" t="inlineStr">
        <is>
          <t>—</t>
        </is>
      </c>
      <c r="M1629" s="256" t="inlineStr">
        <is>
          <t>—</t>
        </is>
      </c>
      <c r="N1629" s="256" t="inlineStr">
        <is>
          <t>—</t>
        </is>
      </c>
      <c r="O1629" s="256" t="inlineStr">
        <is>
          <t>—</t>
        </is>
      </c>
      <c r="P1629" s="256" t="inlineStr">
        <is>
          <t>not tested — no certificate covers it</t>
        </is>
      </c>
      <c r="Q1629" s="256" t="inlineStr"/>
      <c r="R1629" s="256" t="inlineStr">
        <is>
          <t>ND (220-16-М/26)</t>
        </is>
      </c>
    </row>
    <row r="1630">
      <c r="A1630" s="256" t="inlineStr">
        <is>
          <t>CoQ-PP_26-071</t>
        </is>
      </c>
      <c r="B1630" s="256" t="inlineStr">
        <is>
          <t>release</t>
        </is>
      </c>
      <c r="C1630" s="256" t="inlineStr">
        <is>
          <t>JD012603/01</t>
        </is>
      </c>
      <c r="D1630" s="256" t="inlineStr">
        <is>
          <t>P060362</t>
        </is>
      </c>
      <c r="E1630" s="256" t="inlineStr">
        <is>
          <t>Jelly Donuts</t>
        </is>
      </c>
      <c r="F1630" s="256" t="inlineStr">
        <is>
          <t>06.06.2026</t>
        </is>
      </c>
      <c r="G1630" s="256" t="inlineStr">
        <is>
          <t>11.1</t>
        </is>
      </c>
      <c r="H1630" s="256" t="inlineStr">
        <is>
          <t>Lead (Pb)</t>
        </is>
      </c>
      <c r="I1630" s="256" t="inlineStr">
        <is>
          <t>Ph. Eur. 2.4.27 (ICP-MS)</t>
        </is>
      </c>
      <c r="J1630" s="256" t="inlineStr">
        <is>
          <t>≤ 0.5 mg/kg</t>
        </is>
      </c>
      <c r="K1630" s="259" t="inlineStr">
        <is>
          <t>not tested</t>
        </is>
      </c>
      <c r="L1630" s="256" t="inlineStr">
        <is>
          <t>—</t>
        </is>
      </c>
      <c r="M1630" s="256" t="inlineStr">
        <is>
          <t>—</t>
        </is>
      </c>
      <c r="N1630" s="256" t="inlineStr">
        <is>
          <t>—</t>
        </is>
      </c>
      <c r="O1630" s="256" t="inlineStr">
        <is>
          <t>—</t>
        </is>
      </c>
      <c r="P1630" s="256" t="inlineStr">
        <is>
          <t>not tested — no certificate covers it</t>
        </is>
      </c>
      <c r="Q1630" s="256" t="inlineStr"/>
      <c r="R1630" s="256" t="inlineStr"/>
    </row>
    <row r="1631">
      <c r="A1631" s="256" t="inlineStr">
        <is>
          <t>CoQ-PP_26-071</t>
        </is>
      </c>
      <c r="B1631" s="256" t="inlineStr">
        <is>
          <t>release</t>
        </is>
      </c>
      <c r="C1631" s="256" t="inlineStr">
        <is>
          <t>JD012603/01</t>
        </is>
      </c>
      <c r="D1631" s="256" t="inlineStr">
        <is>
          <t>P060362</t>
        </is>
      </c>
      <c r="E1631" s="256" t="inlineStr">
        <is>
          <t>Jelly Donuts</t>
        </is>
      </c>
      <c r="F1631" s="256" t="inlineStr">
        <is>
          <t>06.06.2026</t>
        </is>
      </c>
      <c r="G1631" s="256" t="inlineStr">
        <is>
          <t>11.2</t>
        </is>
      </c>
      <c r="H1631" s="256" t="inlineStr">
        <is>
          <t>Cadmium (Cd)</t>
        </is>
      </c>
      <c r="I1631" s="256" t="inlineStr">
        <is>
          <t>Ph. Eur. 2.4.27 (ICP-MS)</t>
        </is>
      </c>
      <c r="J1631" s="256" t="inlineStr">
        <is>
          <t>≤ 0.3 mg/kg</t>
        </is>
      </c>
      <c r="K1631" s="259" t="inlineStr">
        <is>
          <t>not tested</t>
        </is>
      </c>
      <c r="L1631" s="256" t="inlineStr">
        <is>
          <t>—</t>
        </is>
      </c>
      <c r="M1631" s="256" t="inlineStr">
        <is>
          <t>—</t>
        </is>
      </c>
      <c r="N1631" s="256" t="inlineStr">
        <is>
          <t>—</t>
        </is>
      </c>
      <c r="O1631" s="256" t="inlineStr">
        <is>
          <t>—</t>
        </is>
      </c>
      <c r="P1631" s="256" t="inlineStr">
        <is>
          <t>not tested — no certificate covers it</t>
        </is>
      </c>
      <c r="Q1631" s="256" t="inlineStr"/>
      <c r="R1631" s="256" t="inlineStr"/>
    </row>
    <row r="1632">
      <c r="A1632" s="256" t="inlineStr">
        <is>
          <t>CoQ-PP_26-071</t>
        </is>
      </c>
      <c r="B1632" s="256" t="inlineStr">
        <is>
          <t>release</t>
        </is>
      </c>
      <c r="C1632" s="256" t="inlineStr">
        <is>
          <t>JD012603/01</t>
        </is>
      </c>
      <c r="D1632" s="256" t="inlineStr">
        <is>
          <t>P060362</t>
        </is>
      </c>
      <c r="E1632" s="256" t="inlineStr">
        <is>
          <t>Jelly Donuts</t>
        </is>
      </c>
      <c r="F1632" s="256" t="inlineStr">
        <is>
          <t>06.06.2026</t>
        </is>
      </c>
      <c r="G1632" s="256" t="inlineStr">
        <is>
          <t>11.3</t>
        </is>
      </c>
      <c r="H1632" s="256" t="inlineStr">
        <is>
          <t>Arsenic (As)</t>
        </is>
      </c>
      <c r="I1632" s="256" t="inlineStr">
        <is>
          <t>Ph. Eur. 2.4.27 (ICP-MS)</t>
        </is>
      </c>
      <c r="J1632" s="256" t="inlineStr">
        <is>
          <t>≤ 0.2 mg/kg</t>
        </is>
      </c>
      <c r="K1632" s="259" t="inlineStr">
        <is>
          <t>not tested</t>
        </is>
      </c>
      <c r="L1632" s="256" t="inlineStr">
        <is>
          <t>—</t>
        </is>
      </c>
      <c r="M1632" s="256" t="inlineStr">
        <is>
          <t>—</t>
        </is>
      </c>
      <c r="N1632" s="256" t="inlineStr">
        <is>
          <t>—</t>
        </is>
      </c>
      <c r="O1632" s="256" t="inlineStr">
        <is>
          <t>—</t>
        </is>
      </c>
      <c r="P1632" s="256" t="inlineStr">
        <is>
          <t>not tested — no certificate covers it</t>
        </is>
      </c>
      <c r="Q1632" s="256" t="inlineStr"/>
      <c r="R1632" s="256" t="inlineStr"/>
    </row>
    <row r="1633">
      <c r="A1633" s="256" t="inlineStr">
        <is>
          <t>CoQ-PP_26-071</t>
        </is>
      </c>
      <c r="B1633" s="256" t="inlineStr">
        <is>
          <t>release</t>
        </is>
      </c>
      <c r="C1633" s="256" t="inlineStr">
        <is>
          <t>JD012603/01</t>
        </is>
      </c>
      <c r="D1633" s="256" t="inlineStr">
        <is>
          <t>P060362</t>
        </is>
      </c>
      <c r="E1633" s="256" t="inlineStr">
        <is>
          <t>Jelly Donuts</t>
        </is>
      </c>
      <c r="F1633" s="256" t="inlineStr">
        <is>
          <t>06.06.2026</t>
        </is>
      </c>
      <c r="G1633" s="256" t="inlineStr">
        <is>
          <t>11.4</t>
        </is>
      </c>
      <c r="H1633" s="256" t="inlineStr">
        <is>
          <t>Mercury (Hg)</t>
        </is>
      </c>
      <c r="I1633" s="256" t="inlineStr">
        <is>
          <t>Ph. Eur. 2.4.27 (ICP-MS)</t>
        </is>
      </c>
      <c r="J1633" s="256" t="inlineStr">
        <is>
          <t>≤ 0.1 mg/kg</t>
        </is>
      </c>
      <c r="K1633" s="259" t="inlineStr">
        <is>
          <t>not tested</t>
        </is>
      </c>
      <c r="L1633" s="256" t="inlineStr">
        <is>
          <t>—</t>
        </is>
      </c>
      <c r="M1633" s="256" t="inlineStr">
        <is>
          <t>—</t>
        </is>
      </c>
      <c r="N1633" s="256" t="inlineStr">
        <is>
          <t>—</t>
        </is>
      </c>
      <c r="O1633" s="256" t="inlineStr">
        <is>
          <t>—</t>
        </is>
      </c>
      <c r="P1633" s="256" t="inlineStr">
        <is>
          <t>not tested — no certificate covers it</t>
        </is>
      </c>
      <c r="Q1633" s="256" t="inlineStr"/>
      <c r="R1633" s="256" t="inlineStr"/>
    </row>
    <row r="1634">
      <c r="A1634" s="256" t="inlineStr">
        <is>
          <t>CoQ-PP_26-071</t>
        </is>
      </c>
      <c r="B1634" s="256" t="inlineStr">
        <is>
          <t>release</t>
        </is>
      </c>
      <c r="C1634" s="256" t="inlineStr">
        <is>
          <t>JD012603/01</t>
        </is>
      </c>
      <c r="D1634" s="256" t="inlineStr">
        <is>
          <t>P060362</t>
        </is>
      </c>
      <c r="E1634" s="256" t="inlineStr">
        <is>
          <t>Jelly Donuts</t>
        </is>
      </c>
      <c r="F1634" s="256" t="inlineStr">
        <is>
          <t>06.06.2026</t>
        </is>
      </c>
      <c r="G1634" s="256" t="inlineStr">
        <is>
          <t>12</t>
        </is>
      </c>
      <c r="H1634" s="256" t="inlineStr">
        <is>
          <t>Pesticide Residues</t>
        </is>
      </c>
      <c r="I1634" s="256" t="inlineStr">
        <is>
          <t>Ph. Eur. 2.8.13 (LC-MS/MS) · CUMCS Equivalency</t>
        </is>
      </c>
      <c r="J1634" s="256" t="inlineStr">
        <is>
          <t>≤ LOQ as per Ph. Eur. 2.8.13 · ≤ LOQ as per CUMCS Equivalency</t>
        </is>
      </c>
      <c r="K1634" s="259" t="inlineStr">
        <is>
          <t>not tested</t>
        </is>
      </c>
      <c r="L1634" s="256" t="inlineStr">
        <is>
          <t>—</t>
        </is>
      </c>
      <c r="M1634" s="256" t="inlineStr">
        <is>
          <t>—</t>
        </is>
      </c>
      <c r="N1634" s="256" t="inlineStr">
        <is>
          <t>—</t>
        </is>
      </c>
      <c r="O1634" s="256" t="inlineStr">
        <is>
          <t>—</t>
        </is>
      </c>
      <c r="P1634" s="256" t="inlineStr">
        <is>
          <t>not tested — no certificate covers it</t>
        </is>
      </c>
      <c r="Q1634" s="256" t="inlineStr"/>
      <c r="R1634" s="256" t="inlineStr"/>
    </row>
    <row r="1635">
      <c r="A1635" s="256" t="inlineStr">
        <is>
          <t>CoQ-PP_26-072</t>
        </is>
      </c>
      <c r="B1635" s="256" t="inlineStr">
        <is>
          <t>release</t>
        </is>
      </c>
      <c r="C1635" s="256" t="inlineStr">
        <is>
          <t>CC012603</t>
        </is>
      </c>
      <c r="D1635" s="256" t="inlineStr">
        <is>
          <t>P060372</t>
        </is>
      </c>
      <c r="E1635" s="256" t="inlineStr">
        <is>
          <t>Cash Cow</t>
        </is>
      </c>
      <c r="F1635" s="256" t="inlineStr">
        <is>
          <t>06.06.2026</t>
        </is>
      </c>
      <c r="G1635" s="256" t="inlineStr">
        <is>
          <t>1</t>
        </is>
      </c>
      <c r="H1635" s="256" t="inlineStr">
        <is>
          <t>Identification A, Appearance · Macroscopic</t>
        </is>
      </c>
      <c r="I1635" s="256" t="inlineStr">
        <is>
          <t>Ph. Eur. mon. 3028</t>
        </is>
      </c>
      <c r="J1635" s="256" t="inlineStr">
        <is>
          <t>Conforms to the monograph for Cannabis flos (07/2024:3028) in Ph. Eur. 11.0 | Согласно монографија за Cannabis flos (07/2024:3028) во Ph. Eur. 11.0</t>
        </is>
      </c>
      <c r="K1635" s="256" t="inlineStr">
        <is>
          <t>Conforms | Одговара</t>
        </is>
      </c>
      <c r="L1635" s="256" t="inlineStr">
        <is>
          <t>iCoA-PP_26-084</t>
        </is>
      </c>
      <c r="M1635" s="256" t="inlineStr">
        <is>
          <t>03.06.2026</t>
        </is>
      </c>
      <c r="N1635" s="256" t="inlineStr">
        <is>
          <t>Purely Plant GmbH (in-house)</t>
        </is>
      </c>
      <c r="O1635" s="256" t="inlineStr">
        <is>
          <t>—</t>
        </is>
      </c>
      <c r="P1635" s="256" t="inlineStr">
        <is>
          <t>to be performed — see route</t>
        </is>
      </c>
      <c r="Q1635" s="256" t="inlineStr">
        <is>
          <t>Purely Plant laboratory — iCoA covering Ident A + B</t>
        </is>
      </c>
      <c r="R1635" s="256" t="inlineStr"/>
    </row>
    <row r="1636">
      <c r="A1636" s="256" t="inlineStr">
        <is>
          <t>CoQ-PP_26-072</t>
        </is>
      </c>
      <c r="B1636" s="256" t="inlineStr">
        <is>
          <t>release</t>
        </is>
      </c>
      <c r="C1636" s="256" t="inlineStr">
        <is>
          <t>CC012603</t>
        </is>
      </c>
      <c r="D1636" s="256" t="inlineStr">
        <is>
          <t>P060372</t>
        </is>
      </c>
      <c r="E1636" s="256" t="inlineStr">
        <is>
          <t>Cash Cow</t>
        </is>
      </c>
      <c r="F1636" s="256" t="inlineStr">
        <is>
          <t>06.06.2026</t>
        </is>
      </c>
      <c r="G1636" s="256" t="inlineStr">
        <is>
          <t>2</t>
        </is>
      </c>
      <c r="H1636" s="256" t="inlineStr">
        <is>
          <t>Identification B · Microscopic</t>
        </is>
      </c>
      <c r="I1636" s="256" t="inlineStr">
        <is>
          <t>Ph. Eur. 2.8.23 (microscopy)</t>
        </is>
      </c>
      <c r="J1636" s="256" t="inlineStr">
        <is>
          <t>Conforms to the monograph for Cannabis flos (07/2024:3028) in Ph. Eur. 11.0 | Согласно монографија за Cannabis flos (07/2024:3028) во Ph. Eur. 11.0</t>
        </is>
      </c>
      <c r="K1636" s="256" t="inlineStr">
        <is>
          <t>Conforms | Одговара</t>
        </is>
      </c>
      <c r="L1636" s="256" t="inlineStr">
        <is>
          <t>iCoA-PP_26-084</t>
        </is>
      </c>
      <c r="M1636" s="256" t="inlineStr">
        <is>
          <t>03.06.2026</t>
        </is>
      </c>
      <c r="N1636" s="256" t="inlineStr">
        <is>
          <t>Purely Plant GmbH (in-house)</t>
        </is>
      </c>
      <c r="O1636" s="256" t="inlineStr">
        <is>
          <t>—</t>
        </is>
      </c>
      <c r="P1636" s="256" t="inlineStr">
        <is>
          <t>to be performed — see route</t>
        </is>
      </c>
      <c r="Q1636" s="256" t="inlineStr">
        <is>
          <t>Purely Plant laboratory — iCoA covering Ident A + B</t>
        </is>
      </c>
      <c r="R1636" s="256" t="inlineStr"/>
    </row>
    <row r="1637">
      <c r="A1637" s="256" t="inlineStr">
        <is>
          <t>CoQ-PP_26-072</t>
        </is>
      </c>
      <c r="B1637" s="256" t="inlineStr">
        <is>
          <t>release</t>
        </is>
      </c>
      <c r="C1637" s="256" t="inlineStr">
        <is>
          <t>CC012603</t>
        </is>
      </c>
      <c r="D1637" s="256" t="inlineStr">
        <is>
          <t>P060372</t>
        </is>
      </c>
      <c r="E1637" s="256" t="inlineStr">
        <is>
          <t>Cash Cow</t>
        </is>
      </c>
      <c r="F1637" s="256" t="inlineStr">
        <is>
          <t>06.06.2026</t>
        </is>
      </c>
      <c r="G1637" s="256" t="inlineStr">
        <is>
          <t>3</t>
        </is>
      </c>
      <c r="H1637" s="256" t="inlineStr">
        <is>
          <t>Identification C · HPLC/HPTLC</t>
        </is>
      </c>
      <c r="I1637" s="256" t="inlineStr">
        <is>
          <t>Ph. Eur. 2.2.29 (3028)</t>
        </is>
      </c>
      <c r="J1637" s="256" t="inlineStr">
        <is>
          <t>Conforms to the monograph for Cannabis flos (07/2024:3028) in Ph. Eur. 11.0 | Согласно монографија за Cannabis flos (07/2024:3028) во Ph. Eur. 11.0</t>
        </is>
      </c>
      <c r="K1637" s="259" t="inlineStr">
        <is>
          <t>to be performed (in house)</t>
        </is>
      </c>
      <c r="L1637" s="256" t="inlineStr">
        <is>
          <t>—</t>
        </is>
      </c>
      <c r="M1637" s="256" t="inlineStr">
        <is>
          <t>—</t>
        </is>
      </c>
      <c r="N1637" s="256" t="inlineStr">
        <is>
          <t>—</t>
        </is>
      </c>
      <c r="O1637" s="256" t="inlineStr">
        <is>
          <t>—</t>
        </is>
      </c>
      <c r="P1637" s="256" t="inlineStr">
        <is>
          <t>to be performed — see route</t>
        </is>
      </c>
      <c r="Q1637" s="256" t="inlineStr">
        <is>
          <t>outside laboratory — the HPLC cannabinoid certificate discharges Ident C (Farmahem -K- or CNP); in-house iCoA P03 only where none exists</t>
        </is>
      </c>
      <c r="R1637" s="256" t="inlineStr"/>
    </row>
    <row r="1638">
      <c r="A1638" s="256" t="inlineStr">
        <is>
          <t>CoQ-PP_26-072</t>
        </is>
      </c>
      <c r="B1638" s="256" t="inlineStr">
        <is>
          <t>release</t>
        </is>
      </c>
      <c r="C1638" s="256" t="inlineStr">
        <is>
          <t>CC012603</t>
        </is>
      </c>
      <c r="D1638" s="256" t="inlineStr">
        <is>
          <t>P060372</t>
        </is>
      </c>
      <c r="E1638" s="256" t="inlineStr">
        <is>
          <t>Cash Cow</t>
        </is>
      </c>
      <c r="F1638" s="256" t="inlineStr">
        <is>
          <t>06.06.2026</t>
        </is>
      </c>
      <c r="G1638" s="256" t="inlineStr">
        <is>
          <t>4</t>
        </is>
      </c>
      <c r="H1638" s="256" t="inlineStr">
        <is>
          <t>Assay — Total Δ⁹-THC</t>
        </is>
      </c>
      <c r="I1638" s="256" t="inlineStr">
        <is>
          <t>Ph. Eur. 2.2.29 (HPLC)</t>
        </is>
      </c>
      <c r="J1638" s="256" t="inlineStr">
        <is>
          <t>Per grade of the potency specification of 15.09.2026 — no Total THC result on file</t>
        </is>
      </c>
      <c r="K1638" s="259" t="inlineStr">
        <is>
          <t>not tested</t>
        </is>
      </c>
      <c r="L1638" s="256" t="inlineStr">
        <is>
          <t>—</t>
        </is>
      </c>
      <c r="M1638" s="256" t="inlineStr">
        <is>
          <t>—</t>
        </is>
      </c>
      <c r="N1638" s="256" t="inlineStr">
        <is>
          <t>—</t>
        </is>
      </c>
      <c r="O1638" s="256" t="inlineStr">
        <is>
          <t>—</t>
        </is>
      </c>
      <c r="P1638" s="256" t="inlineStr">
        <is>
          <t>not tested — no certificate covers it</t>
        </is>
      </c>
      <c r="Q1638" s="256" t="inlineStr"/>
      <c r="R1638" s="256" t="inlineStr">
        <is>
          <t>14.76 (220-29-К/26)</t>
        </is>
      </c>
    </row>
    <row r="1639">
      <c r="A1639" s="256" t="inlineStr">
        <is>
          <t>CoQ-PP_26-072</t>
        </is>
      </c>
      <c r="B1639" s="256" t="inlineStr">
        <is>
          <t>release</t>
        </is>
      </c>
      <c r="C1639" s="256" t="inlineStr">
        <is>
          <t>CC012603</t>
        </is>
      </c>
      <c r="D1639" s="256" t="inlineStr">
        <is>
          <t>P060372</t>
        </is>
      </c>
      <c r="E1639" s="256" t="inlineStr">
        <is>
          <t>Cash Cow</t>
        </is>
      </c>
      <c r="F1639" s="256" t="inlineStr">
        <is>
          <t>06.06.2026</t>
        </is>
      </c>
      <c r="G1639" s="256" t="inlineStr">
        <is>
          <t>5</t>
        </is>
      </c>
      <c r="H1639" s="256" t="inlineStr">
        <is>
          <t>Assay — Total CBD</t>
        </is>
      </c>
      <c r="I1639" s="256" t="inlineStr">
        <is>
          <t>Ph. Eur. 2.2.29 (HPLC) · CBD + CBDA x 0.877</t>
        </is>
      </c>
      <c r="J1639" s="256" t="inlineStr">
        <is>
          <t>≤ 1.0%, w/w</t>
        </is>
      </c>
      <c r="K1639" s="259" t="inlineStr">
        <is>
          <t>not tested</t>
        </is>
      </c>
      <c r="L1639" s="256" t="inlineStr">
        <is>
          <t>—</t>
        </is>
      </c>
      <c r="M1639" s="256" t="inlineStr">
        <is>
          <t>—</t>
        </is>
      </c>
      <c r="N1639" s="256" t="inlineStr">
        <is>
          <t>—</t>
        </is>
      </c>
      <c r="O1639" s="256" t="inlineStr">
        <is>
          <t>—</t>
        </is>
      </c>
      <c r="P1639" s="256" t="inlineStr">
        <is>
          <t>not tested — no certificate covers it</t>
        </is>
      </c>
      <c r="Q1639" s="256" t="inlineStr"/>
      <c r="R1639" s="256" t="inlineStr">
        <is>
          <t>&lt;LOQ (220-29-К/26)</t>
        </is>
      </c>
    </row>
    <row r="1640">
      <c r="A1640" s="256" t="inlineStr">
        <is>
          <t>CoQ-PP_26-072</t>
        </is>
      </c>
      <c r="B1640" s="256" t="inlineStr">
        <is>
          <t>release</t>
        </is>
      </c>
      <c r="C1640" s="256" t="inlineStr">
        <is>
          <t>CC012603</t>
        </is>
      </c>
      <c r="D1640" s="256" t="inlineStr">
        <is>
          <t>P060372</t>
        </is>
      </c>
      <c r="E1640" s="256" t="inlineStr">
        <is>
          <t>Cash Cow</t>
        </is>
      </c>
      <c r="F1640" s="256" t="inlineStr">
        <is>
          <t>06.06.2026</t>
        </is>
      </c>
      <c r="G1640" s="256" t="inlineStr">
        <is>
          <t>6</t>
        </is>
      </c>
      <c r="H1640" s="256" t="inlineStr">
        <is>
          <t>Total CBN</t>
        </is>
      </c>
      <c r="I1640" s="256" t="inlineStr">
        <is>
          <t>Ph. Eur. 2.2.29 (HPLC) · CBN + CBNA x 0.876</t>
        </is>
      </c>
      <c r="J1640" s="256" t="inlineStr">
        <is>
          <t>≤ 1.0%, w/w</t>
        </is>
      </c>
      <c r="K1640" s="259" t="inlineStr">
        <is>
          <t>not tested</t>
        </is>
      </c>
      <c r="L1640" s="256" t="inlineStr">
        <is>
          <t>—</t>
        </is>
      </c>
      <c r="M1640" s="256" t="inlineStr">
        <is>
          <t>—</t>
        </is>
      </c>
      <c r="N1640" s="256" t="inlineStr">
        <is>
          <t>—</t>
        </is>
      </c>
      <c r="O1640" s="256" t="inlineStr">
        <is>
          <t>—</t>
        </is>
      </c>
      <c r="P1640" s="256" t="inlineStr">
        <is>
          <t>not tested — no certificate covers it</t>
        </is>
      </c>
      <c r="Q1640" s="256" t="inlineStr"/>
      <c r="R1640" s="256" t="inlineStr">
        <is>
          <t>&lt;LOQ (220-29-К/26)</t>
        </is>
      </c>
    </row>
    <row r="1641">
      <c r="A1641" s="256" t="inlineStr">
        <is>
          <t>CoQ-PP_26-072</t>
        </is>
      </c>
      <c r="B1641" s="256" t="inlineStr">
        <is>
          <t>release</t>
        </is>
      </c>
      <c r="C1641" s="256" t="inlineStr">
        <is>
          <t>CC012603</t>
        </is>
      </c>
      <c r="D1641" s="256" t="inlineStr">
        <is>
          <t>P060372</t>
        </is>
      </c>
      <c r="E1641" s="256" t="inlineStr">
        <is>
          <t>Cash Cow</t>
        </is>
      </c>
      <c r="F1641" s="256" t="inlineStr">
        <is>
          <t>06.06.2026</t>
        </is>
      </c>
      <c r="G1641" s="256" t="inlineStr">
        <is>
          <t>7</t>
        </is>
      </c>
      <c r="H1641" s="256" t="inlineStr">
        <is>
          <t>Foreign Matter</t>
        </is>
      </c>
      <c r="I1641" s="256" t="inlineStr">
        <is>
          <t>Ph. Eur. 2.8.2 · In-house · интерна</t>
        </is>
      </c>
      <c r="J1641" s="256" t="inlineStr">
        <is>
          <t>≤ 2.0% / 25–50 g · &lt; 1 cm leaves | листови, no seeds | без семки</t>
        </is>
      </c>
      <c r="K1641" s="256" t="inlineStr">
        <is>
          <t>Conforms | Одговара</t>
        </is>
      </c>
      <c r="L1641" s="256" t="inlineStr">
        <is>
          <t>iCoA-PP_26-084</t>
        </is>
      </c>
      <c r="M1641" s="256" t="inlineStr">
        <is>
          <t>03.06.2026</t>
        </is>
      </c>
      <c r="N1641" s="256" t="inlineStr">
        <is>
          <t>Purely Plant GmbH (in-house)</t>
        </is>
      </c>
      <c r="O1641" s="256" t="inlineStr">
        <is>
          <t>—</t>
        </is>
      </c>
      <c r="P1641" s="256" t="inlineStr">
        <is>
          <t>to be performed — see route</t>
        </is>
      </c>
      <c r="Q1641" s="256" t="inlineStr">
        <is>
          <t>Purely Plant laboratory — iCoA covering Foreign matter</t>
        </is>
      </c>
      <c r="R1641" s="256" t="inlineStr"/>
    </row>
    <row r="1642">
      <c r="A1642" s="256" t="inlineStr">
        <is>
          <t>CoQ-PP_26-072</t>
        </is>
      </c>
      <c r="B1642" s="256" t="inlineStr">
        <is>
          <t>release</t>
        </is>
      </c>
      <c r="C1642" s="256" t="inlineStr">
        <is>
          <t>CC012603</t>
        </is>
      </c>
      <c r="D1642" s="256" t="inlineStr">
        <is>
          <t>P060372</t>
        </is>
      </c>
      <c r="E1642" s="256" t="inlineStr">
        <is>
          <t>Cash Cow</t>
        </is>
      </c>
      <c r="F1642" s="256" t="inlineStr">
        <is>
          <t>06.06.2026</t>
        </is>
      </c>
      <c r="G1642" s="256" t="inlineStr">
        <is>
          <t>8</t>
        </is>
      </c>
      <c r="H1642" s="256" t="inlineStr">
        <is>
          <t>Loss on Drying</t>
        </is>
      </c>
      <c r="I1642" s="256" t="inlineStr">
        <is>
          <t>Ph. Eur. 2.2.32 (3028) · at 40 °C, 24 h, 15–25 mbar</t>
        </is>
      </c>
      <c r="J1642" s="256" t="inlineStr">
        <is>
          <t>≤ 12.0%</t>
        </is>
      </c>
      <c r="K1642" s="259" t="inlineStr">
        <is>
          <t>not tested</t>
        </is>
      </c>
      <c r="L1642" s="256" t="inlineStr">
        <is>
          <t>—</t>
        </is>
      </c>
      <c r="M1642" s="256" t="inlineStr">
        <is>
          <t>—</t>
        </is>
      </c>
      <c r="N1642" s="256" t="inlineStr">
        <is>
          <t>—</t>
        </is>
      </c>
      <c r="O1642" s="256" t="inlineStr">
        <is>
          <t>—</t>
        </is>
      </c>
      <c r="P1642" s="256" t="inlineStr">
        <is>
          <t>not tested — no certificate covers it</t>
        </is>
      </c>
      <c r="Q1642" s="256" t="inlineStr"/>
      <c r="R1642" s="256" t="inlineStr"/>
    </row>
    <row r="1643">
      <c r="A1643" s="256" t="inlineStr">
        <is>
          <t>CoQ-PP_26-072</t>
        </is>
      </c>
      <c r="B1643" s="256" t="inlineStr">
        <is>
          <t>release</t>
        </is>
      </c>
      <c r="C1643" s="256" t="inlineStr">
        <is>
          <t>CC012603</t>
        </is>
      </c>
      <c r="D1643" s="256" t="inlineStr">
        <is>
          <t>P060372</t>
        </is>
      </c>
      <c r="E1643" s="256" t="inlineStr">
        <is>
          <t>Cash Cow</t>
        </is>
      </c>
      <c r="F1643" s="256" t="inlineStr">
        <is>
          <t>06.06.2026</t>
        </is>
      </c>
      <c r="G1643" s="256" t="inlineStr">
        <is>
          <t>9.1</t>
        </is>
      </c>
      <c r="H1643" s="256" t="inlineStr">
        <is>
          <t>TAMC</t>
        </is>
      </c>
      <c r="I1643" s="256" t="inlineStr">
        <is>
          <t>Ph. Eur. 2.6.12 cat. C</t>
        </is>
      </c>
      <c r="J1643" s="256" t="inlineStr">
        <is>
          <t>≤ 10⁵ CFU/g</t>
        </is>
      </c>
      <c r="K1643" s="256" t="inlineStr">
        <is>
          <t>2.7 × 10³</t>
        </is>
      </c>
      <c r="L1643" s="256" t="inlineStr">
        <is>
          <t>363/0693/26</t>
        </is>
      </c>
      <c r="M1643" s="256" t="inlineStr">
        <is>
          <t>01.06.2026</t>
        </is>
      </c>
      <c r="N1643" s="256" t="inlineStr">
        <is>
          <t>IPH — Institute of Public Health</t>
        </is>
      </c>
      <c r="O1643" s="256" t="inlineStr">
        <is>
          <t>—</t>
        </is>
      </c>
      <c r="P1643" s="256" t="inlineStr">
        <is>
          <t>covered</t>
        </is>
      </c>
      <c r="Q1643" s="256" t="inlineStr"/>
      <c r="R1643" s="256" t="inlineStr"/>
    </row>
    <row r="1644">
      <c r="A1644" s="256" t="inlineStr">
        <is>
          <t>CoQ-PP_26-072</t>
        </is>
      </c>
      <c r="B1644" s="256" t="inlineStr">
        <is>
          <t>release</t>
        </is>
      </c>
      <c r="C1644" s="256" t="inlineStr">
        <is>
          <t>CC012603</t>
        </is>
      </c>
      <c r="D1644" s="256" t="inlineStr">
        <is>
          <t>P060372</t>
        </is>
      </c>
      <c r="E1644" s="256" t="inlineStr">
        <is>
          <t>Cash Cow</t>
        </is>
      </c>
      <c r="F1644" s="256" t="inlineStr">
        <is>
          <t>06.06.2026</t>
        </is>
      </c>
      <c r="G1644" s="256" t="inlineStr">
        <is>
          <t>9.2</t>
        </is>
      </c>
      <c r="H1644" s="256" t="inlineStr">
        <is>
          <t>TYMC</t>
        </is>
      </c>
      <c r="I1644" s="256" t="inlineStr">
        <is>
          <t>Ph. Eur. 2.6.12 cat. C</t>
        </is>
      </c>
      <c r="J1644" s="256" t="inlineStr">
        <is>
          <t>≤ 10⁴ CFU/g</t>
        </is>
      </c>
      <c r="K1644" s="256" t="inlineStr">
        <is>
          <t>1.6 × 10¹</t>
        </is>
      </c>
      <c r="L1644" s="256" t="inlineStr">
        <is>
          <t>363/0693/26</t>
        </is>
      </c>
      <c r="M1644" s="256" t="inlineStr">
        <is>
          <t>01.06.2026</t>
        </is>
      </c>
      <c r="N1644" s="256" t="inlineStr">
        <is>
          <t>IPH — Institute of Public Health</t>
        </is>
      </c>
      <c r="O1644" s="256" t="inlineStr">
        <is>
          <t>—</t>
        </is>
      </c>
      <c r="P1644" s="256" t="inlineStr">
        <is>
          <t>covered</t>
        </is>
      </c>
      <c r="Q1644" s="256" t="inlineStr"/>
      <c r="R1644" s="256" t="inlineStr"/>
    </row>
    <row r="1645">
      <c r="A1645" s="256" t="inlineStr">
        <is>
          <t>CoQ-PP_26-072</t>
        </is>
      </c>
      <c r="B1645" s="256" t="inlineStr">
        <is>
          <t>release</t>
        </is>
      </c>
      <c r="C1645" s="256" t="inlineStr">
        <is>
          <t>CC012603</t>
        </is>
      </c>
      <c r="D1645" s="256" t="inlineStr">
        <is>
          <t>P060372</t>
        </is>
      </c>
      <c r="E1645" s="256" t="inlineStr">
        <is>
          <t>Cash Cow</t>
        </is>
      </c>
      <c r="F1645" s="256" t="inlineStr">
        <is>
          <t>06.06.2026</t>
        </is>
      </c>
      <c r="G1645" s="256" t="inlineStr">
        <is>
          <t>9.3</t>
        </is>
      </c>
      <c r="H1645" s="256" t="inlineStr">
        <is>
          <t>Bile-tolerant gram-neg.</t>
        </is>
      </c>
      <c r="I1645" s="256" t="inlineStr">
        <is>
          <t>Ph. Eur. 2.6.31 cat. C</t>
        </is>
      </c>
      <c r="J1645" s="256" t="inlineStr">
        <is>
          <t>≤ 10⁴ CFU/g</t>
        </is>
      </c>
      <c r="K1645" s="256" t="inlineStr">
        <is>
          <t>&lt; 10</t>
        </is>
      </c>
      <c r="L1645" s="256" t="inlineStr">
        <is>
          <t>363/0693/26</t>
        </is>
      </c>
      <c r="M1645" s="256" t="inlineStr">
        <is>
          <t>01.06.2026</t>
        </is>
      </c>
      <c r="N1645" s="256" t="inlineStr">
        <is>
          <t>IPH — Institute of Public Health</t>
        </is>
      </c>
      <c r="O1645" s="256" t="inlineStr">
        <is>
          <t>—</t>
        </is>
      </c>
      <c r="P1645" s="256" t="inlineStr">
        <is>
          <t>covered</t>
        </is>
      </c>
      <c r="Q1645" s="256" t="inlineStr"/>
      <c r="R1645" s="256" t="inlineStr"/>
    </row>
    <row r="1646">
      <c r="A1646" s="256" t="inlineStr">
        <is>
          <t>CoQ-PP_26-072</t>
        </is>
      </c>
      <c r="B1646" s="256" t="inlineStr">
        <is>
          <t>release</t>
        </is>
      </c>
      <c r="C1646" s="256" t="inlineStr">
        <is>
          <t>CC012603</t>
        </is>
      </c>
      <c r="D1646" s="256" t="inlineStr">
        <is>
          <t>P060372</t>
        </is>
      </c>
      <c r="E1646" s="256" t="inlineStr">
        <is>
          <t>Cash Cow</t>
        </is>
      </c>
      <c r="F1646" s="256" t="inlineStr">
        <is>
          <t>06.06.2026</t>
        </is>
      </c>
      <c r="G1646" s="256" t="inlineStr">
        <is>
          <t>9.4</t>
        </is>
      </c>
      <c r="H1646" s="256" t="inlineStr">
        <is>
          <t>Salmonella</t>
        </is>
      </c>
      <c r="I1646" s="256" t="inlineStr">
        <is>
          <t>Ph. Eur. 2.6.31 cat. C</t>
        </is>
      </c>
      <c r="J1646" s="256" t="inlineStr">
        <is>
          <t>Absence | Отсуство / 25 g</t>
        </is>
      </c>
      <c r="K1646" s="256" t="inlineStr">
        <is>
          <t>Absent | Отсутна</t>
        </is>
      </c>
      <c r="L1646" s="256" t="inlineStr">
        <is>
          <t>363/0693/26</t>
        </is>
      </c>
      <c r="M1646" s="256" t="inlineStr">
        <is>
          <t>01.06.2026</t>
        </is>
      </c>
      <c r="N1646" s="256" t="inlineStr">
        <is>
          <t>IPH — Institute of Public Health</t>
        </is>
      </c>
      <c r="O1646" s="256" t="inlineStr">
        <is>
          <t>—</t>
        </is>
      </c>
      <c r="P1646" s="256" t="inlineStr">
        <is>
          <t>covered</t>
        </is>
      </c>
      <c r="Q1646" s="256" t="inlineStr"/>
      <c r="R1646" s="256" t="inlineStr"/>
    </row>
    <row r="1647">
      <c r="A1647" s="256" t="inlineStr">
        <is>
          <t>CoQ-PP_26-072</t>
        </is>
      </c>
      <c r="B1647" s="256" t="inlineStr">
        <is>
          <t>release</t>
        </is>
      </c>
      <c r="C1647" s="256" t="inlineStr">
        <is>
          <t>CC012603</t>
        </is>
      </c>
      <c r="D1647" s="256" t="inlineStr">
        <is>
          <t>P060372</t>
        </is>
      </c>
      <c r="E1647" s="256" t="inlineStr">
        <is>
          <t>Cash Cow</t>
        </is>
      </c>
      <c r="F1647" s="256" t="inlineStr">
        <is>
          <t>06.06.2026</t>
        </is>
      </c>
      <c r="G1647" s="256" t="inlineStr">
        <is>
          <t>9.5</t>
        </is>
      </c>
      <c r="H1647" s="256" t="inlineStr">
        <is>
          <t>Escherichia coli</t>
        </is>
      </c>
      <c r="I1647" s="256" t="inlineStr">
        <is>
          <t>Ph. Eur. 2.6.13 cat. C</t>
        </is>
      </c>
      <c r="J1647" s="256" t="inlineStr">
        <is>
          <t>Absence | Отсуство / 1 g</t>
        </is>
      </c>
      <c r="K1647" s="256" t="inlineStr">
        <is>
          <t>Absent | Отсутна</t>
        </is>
      </c>
      <c r="L1647" s="256" t="inlineStr">
        <is>
          <t>363/0693/26</t>
        </is>
      </c>
      <c r="M1647" s="256" t="inlineStr">
        <is>
          <t>01.06.2026</t>
        </is>
      </c>
      <c r="N1647" s="256" t="inlineStr">
        <is>
          <t>IPH — Institute of Public Health</t>
        </is>
      </c>
      <c r="O1647" s="256" t="inlineStr">
        <is>
          <t>—</t>
        </is>
      </c>
      <c r="P1647" s="256" t="inlineStr">
        <is>
          <t>covered</t>
        </is>
      </c>
      <c r="Q1647" s="256" t="inlineStr"/>
      <c r="R1647" s="256" t="inlineStr"/>
    </row>
    <row r="1648">
      <c r="A1648" s="256" t="inlineStr">
        <is>
          <t>CoQ-PP_26-072</t>
        </is>
      </c>
      <c r="B1648" s="256" t="inlineStr">
        <is>
          <t>release</t>
        </is>
      </c>
      <c r="C1648" s="256" t="inlineStr">
        <is>
          <t>CC012603</t>
        </is>
      </c>
      <c r="D1648" s="256" t="inlineStr">
        <is>
          <t>P060372</t>
        </is>
      </c>
      <c r="E1648" s="256" t="inlineStr">
        <is>
          <t>Cash Cow</t>
        </is>
      </c>
      <c r="F1648" s="256" t="inlineStr">
        <is>
          <t>06.06.2026</t>
        </is>
      </c>
      <c r="G1648" s="256" t="inlineStr">
        <is>
          <t>9.6</t>
        </is>
      </c>
      <c r="H1648" s="256" t="inlineStr">
        <is>
          <t>Pseudomonas aeruginosa</t>
        </is>
      </c>
      <c r="I1648" s="256" t="inlineStr">
        <is>
          <t>Ph. Eur. 2.6.13 cat. C</t>
        </is>
      </c>
      <c r="J1648" s="256" t="inlineStr">
        <is>
          <t>Absence | Отсуство / 1 g</t>
        </is>
      </c>
      <c r="K1648" s="260" t="inlineStr">
        <is>
          <t>upon request — not required for release</t>
        </is>
      </c>
      <c r="L1648" s="256" t="inlineStr">
        <is>
          <t>—</t>
        </is>
      </c>
      <c r="M1648" s="256" t="inlineStr">
        <is>
          <t>—</t>
        </is>
      </c>
      <c r="N1648" s="256" t="inlineStr">
        <is>
          <t>—</t>
        </is>
      </c>
      <c r="O1648" s="256" t="inlineStr">
        <is>
          <t>—</t>
        </is>
      </c>
      <c r="P1648" s="256" t="inlineStr">
        <is>
          <t>upon request — not required for release</t>
        </is>
      </c>
      <c r="Q1648" s="256" t="inlineStr"/>
      <c r="R1648" s="256" t="inlineStr"/>
    </row>
    <row r="1649">
      <c r="A1649" s="256" t="inlineStr">
        <is>
          <t>CoQ-PP_26-072</t>
        </is>
      </c>
      <c r="B1649" s="256" t="inlineStr">
        <is>
          <t>release</t>
        </is>
      </c>
      <c r="C1649" s="256" t="inlineStr">
        <is>
          <t>CC012603</t>
        </is>
      </c>
      <c r="D1649" s="256" t="inlineStr">
        <is>
          <t>P060372</t>
        </is>
      </c>
      <c r="E1649" s="256" t="inlineStr">
        <is>
          <t>Cash Cow</t>
        </is>
      </c>
      <c r="F1649" s="256" t="inlineStr">
        <is>
          <t>06.06.2026</t>
        </is>
      </c>
      <c r="G1649" s="256" t="inlineStr">
        <is>
          <t>9.7</t>
        </is>
      </c>
      <c r="H1649" s="256" t="inlineStr">
        <is>
          <t>Staphylococcus aureus</t>
        </is>
      </c>
      <c r="I1649" s="256" t="inlineStr">
        <is>
          <t>Ph. Eur. 2.6.13 cat. C</t>
        </is>
      </c>
      <c r="J1649" s="256" t="inlineStr">
        <is>
          <t>Absence | Отсуство / 1 g</t>
        </is>
      </c>
      <c r="K1649" s="260" t="inlineStr">
        <is>
          <t>upon request — not required for release</t>
        </is>
      </c>
      <c r="L1649" s="256" t="inlineStr">
        <is>
          <t>—</t>
        </is>
      </c>
      <c r="M1649" s="256" t="inlineStr">
        <is>
          <t>—</t>
        </is>
      </c>
      <c r="N1649" s="256" t="inlineStr">
        <is>
          <t>—</t>
        </is>
      </c>
      <c r="O1649" s="256" t="inlineStr">
        <is>
          <t>—</t>
        </is>
      </c>
      <c r="P1649" s="256" t="inlineStr">
        <is>
          <t>upon request — not required for release</t>
        </is>
      </c>
      <c r="Q1649" s="256" t="inlineStr"/>
      <c r="R1649" s="256" t="inlineStr"/>
    </row>
    <row r="1650">
      <c r="A1650" s="256" t="inlineStr">
        <is>
          <t>CoQ-PP_26-072</t>
        </is>
      </c>
      <c r="B1650" s="256" t="inlineStr">
        <is>
          <t>release</t>
        </is>
      </c>
      <c r="C1650" s="256" t="inlineStr">
        <is>
          <t>CC012603</t>
        </is>
      </c>
      <c r="D1650" s="256" t="inlineStr">
        <is>
          <t>P060372</t>
        </is>
      </c>
      <c r="E1650" s="256" t="inlineStr">
        <is>
          <t>Cash Cow</t>
        </is>
      </c>
      <c r="F1650" s="256" t="inlineStr">
        <is>
          <t>06.06.2026</t>
        </is>
      </c>
      <c r="G1650" s="256" t="inlineStr">
        <is>
          <t>10.1</t>
        </is>
      </c>
      <c r="H1650" s="256" t="inlineStr">
        <is>
          <t>Aflatoxin B₁</t>
        </is>
      </c>
      <c r="I1650" s="256" t="inlineStr">
        <is>
          <t>Ph. Eur. 2.8.18 (HPLC-FLD)</t>
        </is>
      </c>
      <c r="J1650" s="256" t="inlineStr">
        <is>
          <t>≤ 2 µg/kg</t>
        </is>
      </c>
      <c r="K1650" s="259" t="inlineStr">
        <is>
          <t>not tested</t>
        </is>
      </c>
      <c r="L1650" s="256" t="inlineStr">
        <is>
          <t>—</t>
        </is>
      </c>
      <c r="M1650" s="256" t="inlineStr">
        <is>
          <t>—</t>
        </is>
      </c>
      <c r="N1650" s="256" t="inlineStr">
        <is>
          <t>—</t>
        </is>
      </c>
      <c r="O1650" s="256" t="inlineStr">
        <is>
          <t>—</t>
        </is>
      </c>
      <c r="P1650" s="256" t="inlineStr">
        <is>
          <t>not tested — no certificate covers it</t>
        </is>
      </c>
      <c r="Q1650" s="256" t="inlineStr"/>
      <c r="R1650" s="256" t="inlineStr">
        <is>
          <t>ND (220-29-М/26)</t>
        </is>
      </c>
    </row>
    <row r="1651">
      <c r="A1651" s="256" t="inlineStr">
        <is>
          <t>CoQ-PP_26-072</t>
        </is>
      </c>
      <c r="B1651" s="256" t="inlineStr">
        <is>
          <t>release</t>
        </is>
      </c>
      <c r="C1651" s="256" t="inlineStr">
        <is>
          <t>CC012603</t>
        </is>
      </c>
      <c r="D1651" s="256" t="inlineStr">
        <is>
          <t>P060372</t>
        </is>
      </c>
      <c r="E1651" s="256" t="inlineStr">
        <is>
          <t>Cash Cow</t>
        </is>
      </c>
      <c r="F1651" s="256" t="inlineStr">
        <is>
          <t>06.06.2026</t>
        </is>
      </c>
      <c r="G1651" s="256" t="inlineStr">
        <is>
          <t>10.2</t>
        </is>
      </c>
      <c r="H1651" s="256" t="inlineStr">
        <is>
          <t>Aflatoxins ∑</t>
        </is>
      </c>
      <c r="I1651" s="256" t="inlineStr">
        <is>
          <t>Ph. Eur. 2.8.18 (HPLC-FLD)</t>
        </is>
      </c>
      <c r="J1651" s="256" t="inlineStr">
        <is>
          <t>≤ 4 µg/kg</t>
        </is>
      </c>
      <c r="K1651" s="259" t="inlineStr">
        <is>
          <t>not tested</t>
        </is>
      </c>
      <c r="L1651" s="256" t="inlineStr">
        <is>
          <t>—</t>
        </is>
      </c>
      <c r="M1651" s="256" t="inlineStr">
        <is>
          <t>—</t>
        </is>
      </c>
      <c r="N1651" s="256" t="inlineStr">
        <is>
          <t>—</t>
        </is>
      </c>
      <c r="O1651" s="256" t="inlineStr">
        <is>
          <t>—</t>
        </is>
      </c>
      <c r="P1651" s="256" t="inlineStr">
        <is>
          <t>not tested — no certificate covers it</t>
        </is>
      </c>
      <c r="Q1651" s="256" t="inlineStr"/>
      <c r="R1651" s="256" t="inlineStr">
        <is>
          <t>ND (220-29-М/26)</t>
        </is>
      </c>
    </row>
    <row r="1652">
      <c r="A1652" s="256" t="inlineStr">
        <is>
          <t>CoQ-PP_26-072</t>
        </is>
      </c>
      <c r="B1652" s="256" t="inlineStr">
        <is>
          <t>release</t>
        </is>
      </c>
      <c r="C1652" s="256" t="inlineStr">
        <is>
          <t>CC012603</t>
        </is>
      </c>
      <c r="D1652" s="256" t="inlineStr">
        <is>
          <t>P060372</t>
        </is>
      </c>
      <c r="E1652" s="256" t="inlineStr">
        <is>
          <t>Cash Cow</t>
        </is>
      </c>
      <c r="F1652" s="256" t="inlineStr">
        <is>
          <t>06.06.2026</t>
        </is>
      </c>
      <c r="G1652" s="256" t="inlineStr">
        <is>
          <t>10.3</t>
        </is>
      </c>
      <c r="H1652" s="256" t="inlineStr">
        <is>
          <t>Ochratoxin A</t>
        </is>
      </c>
      <c r="I1652" s="256" t="inlineStr">
        <is>
          <t>Ph. Eur. 2.8.22 (HPLC-FLD)</t>
        </is>
      </c>
      <c r="J1652" s="256" t="inlineStr">
        <is>
          <t>≤ 20 µg/kg</t>
        </is>
      </c>
      <c r="K1652" s="259" t="inlineStr">
        <is>
          <t>not tested</t>
        </is>
      </c>
      <c r="L1652" s="256" t="inlineStr">
        <is>
          <t>—</t>
        </is>
      </c>
      <c r="M1652" s="256" t="inlineStr">
        <is>
          <t>—</t>
        </is>
      </c>
      <c r="N1652" s="256" t="inlineStr">
        <is>
          <t>—</t>
        </is>
      </c>
      <c r="O1652" s="256" t="inlineStr">
        <is>
          <t>—</t>
        </is>
      </c>
      <c r="P1652" s="256" t="inlineStr">
        <is>
          <t>not tested — no certificate covers it</t>
        </is>
      </c>
      <c r="Q1652" s="256" t="inlineStr"/>
      <c r="R1652" s="256" t="inlineStr">
        <is>
          <t>ND (220-29-М/26)</t>
        </is>
      </c>
    </row>
    <row r="1653">
      <c r="A1653" s="256" t="inlineStr">
        <is>
          <t>CoQ-PP_26-072</t>
        </is>
      </c>
      <c r="B1653" s="256" t="inlineStr">
        <is>
          <t>release</t>
        </is>
      </c>
      <c r="C1653" s="256" t="inlineStr">
        <is>
          <t>CC012603</t>
        </is>
      </c>
      <c r="D1653" s="256" t="inlineStr">
        <is>
          <t>P060372</t>
        </is>
      </c>
      <c r="E1653" s="256" t="inlineStr">
        <is>
          <t>Cash Cow</t>
        </is>
      </c>
      <c r="F1653" s="256" t="inlineStr">
        <is>
          <t>06.06.2026</t>
        </is>
      </c>
      <c r="G1653" s="256" t="inlineStr">
        <is>
          <t>11.1</t>
        </is>
      </c>
      <c r="H1653" s="256" t="inlineStr">
        <is>
          <t>Lead (Pb)</t>
        </is>
      </c>
      <c r="I1653" s="256" t="inlineStr">
        <is>
          <t>Ph. Eur. 2.4.27 (ICP-MS)</t>
        </is>
      </c>
      <c r="J1653" s="256" t="inlineStr">
        <is>
          <t>≤ 0.5 mg/kg</t>
        </is>
      </c>
      <c r="K1653" s="259" t="inlineStr">
        <is>
          <t>not tested</t>
        </is>
      </c>
      <c r="L1653" s="256" t="inlineStr">
        <is>
          <t>—</t>
        </is>
      </c>
      <c r="M1653" s="256" t="inlineStr">
        <is>
          <t>—</t>
        </is>
      </c>
      <c r="N1653" s="256" t="inlineStr">
        <is>
          <t>—</t>
        </is>
      </c>
      <c r="O1653" s="256" t="inlineStr">
        <is>
          <t>—</t>
        </is>
      </c>
      <c r="P1653" s="256" t="inlineStr">
        <is>
          <t>not tested — no certificate covers it</t>
        </is>
      </c>
      <c r="Q1653" s="256" t="inlineStr"/>
      <c r="R1653" s="256" t="inlineStr"/>
    </row>
    <row r="1654">
      <c r="A1654" s="256" t="inlineStr">
        <is>
          <t>CoQ-PP_26-072</t>
        </is>
      </c>
      <c r="B1654" s="256" t="inlineStr">
        <is>
          <t>release</t>
        </is>
      </c>
      <c r="C1654" s="256" t="inlineStr">
        <is>
          <t>CC012603</t>
        </is>
      </c>
      <c r="D1654" s="256" t="inlineStr">
        <is>
          <t>P060372</t>
        </is>
      </c>
      <c r="E1654" s="256" t="inlineStr">
        <is>
          <t>Cash Cow</t>
        </is>
      </c>
      <c r="F1654" s="256" t="inlineStr">
        <is>
          <t>06.06.2026</t>
        </is>
      </c>
      <c r="G1654" s="256" t="inlineStr">
        <is>
          <t>11.2</t>
        </is>
      </c>
      <c r="H1654" s="256" t="inlineStr">
        <is>
          <t>Cadmium (Cd)</t>
        </is>
      </c>
      <c r="I1654" s="256" t="inlineStr">
        <is>
          <t>Ph. Eur. 2.4.27 (ICP-MS)</t>
        </is>
      </c>
      <c r="J1654" s="256" t="inlineStr">
        <is>
          <t>≤ 0.3 mg/kg</t>
        </is>
      </c>
      <c r="K1654" s="259" t="inlineStr">
        <is>
          <t>not tested</t>
        </is>
      </c>
      <c r="L1654" s="256" t="inlineStr">
        <is>
          <t>—</t>
        </is>
      </c>
      <c r="M1654" s="256" t="inlineStr">
        <is>
          <t>—</t>
        </is>
      </c>
      <c r="N1654" s="256" t="inlineStr">
        <is>
          <t>—</t>
        </is>
      </c>
      <c r="O1654" s="256" t="inlineStr">
        <is>
          <t>—</t>
        </is>
      </c>
      <c r="P1654" s="256" t="inlineStr">
        <is>
          <t>not tested — no certificate covers it</t>
        </is>
      </c>
      <c r="Q1654" s="256" t="inlineStr"/>
      <c r="R1654" s="256" t="inlineStr"/>
    </row>
    <row r="1655">
      <c r="A1655" s="256" t="inlineStr">
        <is>
          <t>CoQ-PP_26-072</t>
        </is>
      </c>
      <c r="B1655" s="256" t="inlineStr">
        <is>
          <t>release</t>
        </is>
      </c>
      <c r="C1655" s="256" t="inlineStr">
        <is>
          <t>CC012603</t>
        </is>
      </c>
      <c r="D1655" s="256" t="inlineStr">
        <is>
          <t>P060372</t>
        </is>
      </c>
      <c r="E1655" s="256" t="inlineStr">
        <is>
          <t>Cash Cow</t>
        </is>
      </c>
      <c r="F1655" s="256" t="inlineStr">
        <is>
          <t>06.06.2026</t>
        </is>
      </c>
      <c r="G1655" s="256" t="inlineStr">
        <is>
          <t>11.3</t>
        </is>
      </c>
      <c r="H1655" s="256" t="inlineStr">
        <is>
          <t>Arsenic (As)</t>
        </is>
      </c>
      <c r="I1655" s="256" t="inlineStr">
        <is>
          <t>Ph. Eur. 2.4.27 (ICP-MS)</t>
        </is>
      </c>
      <c r="J1655" s="256" t="inlineStr">
        <is>
          <t>≤ 0.2 mg/kg</t>
        </is>
      </c>
      <c r="K1655" s="259" t="inlineStr">
        <is>
          <t>not tested</t>
        </is>
      </c>
      <c r="L1655" s="256" t="inlineStr">
        <is>
          <t>—</t>
        </is>
      </c>
      <c r="M1655" s="256" t="inlineStr">
        <is>
          <t>—</t>
        </is>
      </c>
      <c r="N1655" s="256" t="inlineStr">
        <is>
          <t>—</t>
        </is>
      </c>
      <c r="O1655" s="256" t="inlineStr">
        <is>
          <t>—</t>
        </is>
      </c>
      <c r="P1655" s="256" t="inlineStr">
        <is>
          <t>not tested — no certificate covers it</t>
        </is>
      </c>
      <c r="Q1655" s="256" t="inlineStr"/>
      <c r="R1655" s="256" t="inlineStr"/>
    </row>
    <row r="1656">
      <c r="A1656" s="256" t="inlineStr">
        <is>
          <t>CoQ-PP_26-072</t>
        </is>
      </c>
      <c r="B1656" s="256" t="inlineStr">
        <is>
          <t>release</t>
        </is>
      </c>
      <c r="C1656" s="256" t="inlineStr">
        <is>
          <t>CC012603</t>
        </is>
      </c>
      <c r="D1656" s="256" t="inlineStr">
        <is>
          <t>P060372</t>
        </is>
      </c>
      <c r="E1656" s="256" t="inlineStr">
        <is>
          <t>Cash Cow</t>
        </is>
      </c>
      <c r="F1656" s="256" t="inlineStr">
        <is>
          <t>06.06.2026</t>
        </is>
      </c>
      <c r="G1656" s="256" t="inlineStr">
        <is>
          <t>11.4</t>
        </is>
      </c>
      <c r="H1656" s="256" t="inlineStr">
        <is>
          <t>Mercury (Hg)</t>
        </is>
      </c>
      <c r="I1656" s="256" t="inlineStr">
        <is>
          <t>Ph. Eur. 2.4.27 (ICP-MS)</t>
        </is>
      </c>
      <c r="J1656" s="256" t="inlineStr">
        <is>
          <t>≤ 0.1 mg/kg</t>
        </is>
      </c>
      <c r="K1656" s="259" t="inlineStr">
        <is>
          <t>not tested</t>
        </is>
      </c>
      <c r="L1656" s="256" t="inlineStr">
        <is>
          <t>—</t>
        </is>
      </c>
      <c r="M1656" s="256" t="inlineStr">
        <is>
          <t>—</t>
        </is>
      </c>
      <c r="N1656" s="256" t="inlineStr">
        <is>
          <t>—</t>
        </is>
      </c>
      <c r="O1656" s="256" t="inlineStr">
        <is>
          <t>—</t>
        </is>
      </c>
      <c r="P1656" s="256" t="inlineStr">
        <is>
          <t>not tested — no certificate covers it</t>
        </is>
      </c>
      <c r="Q1656" s="256" t="inlineStr"/>
      <c r="R1656" s="256" t="inlineStr"/>
    </row>
    <row r="1657">
      <c r="A1657" s="256" t="inlineStr">
        <is>
          <t>CoQ-PP_26-072</t>
        </is>
      </c>
      <c r="B1657" s="256" t="inlineStr">
        <is>
          <t>release</t>
        </is>
      </c>
      <c r="C1657" s="256" t="inlineStr">
        <is>
          <t>CC012603</t>
        </is>
      </c>
      <c r="D1657" s="256" t="inlineStr">
        <is>
          <t>P060372</t>
        </is>
      </c>
      <c r="E1657" s="256" t="inlineStr">
        <is>
          <t>Cash Cow</t>
        </is>
      </c>
      <c r="F1657" s="256" t="inlineStr">
        <is>
          <t>06.06.2026</t>
        </is>
      </c>
      <c r="G1657" s="256" t="inlineStr">
        <is>
          <t>12</t>
        </is>
      </c>
      <c r="H1657" s="256" t="inlineStr">
        <is>
          <t>Pesticide Residues</t>
        </is>
      </c>
      <c r="I1657" s="256" t="inlineStr">
        <is>
          <t>Ph. Eur. 2.8.13 (LC-MS/MS) · CUMCS Equivalency</t>
        </is>
      </c>
      <c r="J1657" s="256" t="inlineStr">
        <is>
          <t>≤ LOQ as per Ph. Eur. 2.8.13 · ≤ LOQ as per CUMCS Equivalency</t>
        </is>
      </c>
      <c r="K1657" s="259" t="inlineStr">
        <is>
          <t>not tested</t>
        </is>
      </c>
      <c r="L1657" s="256" t="inlineStr">
        <is>
          <t>—</t>
        </is>
      </c>
      <c r="M1657" s="256" t="inlineStr">
        <is>
          <t>—</t>
        </is>
      </c>
      <c r="N1657" s="256" t="inlineStr">
        <is>
          <t>—</t>
        </is>
      </c>
      <c r="O1657" s="256" t="inlineStr">
        <is>
          <t>—</t>
        </is>
      </c>
      <c r="P1657" s="256" t="inlineStr">
        <is>
          <t>not tested — no certificate covers it</t>
        </is>
      </c>
      <c r="Q1657" s="256" t="inlineStr"/>
      <c r="R1657" s="256" t="inlineStr"/>
    </row>
    <row r="1658">
      <c r="A1658" s="256" t="inlineStr">
        <is>
          <t>CoQ-PP_26-073</t>
        </is>
      </c>
      <c r="B1658" s="256" t="inlineStr">
        <is>
          <t>release</t>
        </is>
      </c>
      <c r="C1658" s="256" t="inlineStr">
        <is>
          <t>SCR012601</t>
        </is>
      </c>
      <c r="D1658" s="256" t="inlineStr">
        <is>
          <t>P060342</t>
        </is>
      </c>
      <c r="E1658" s="256" t="inlineStr">
        <is>
          <t>Scrambler</t>
        </is>
      </c>
      <c r="F1658" s="256" t="inlineStr">
        <is>
          <t>06.06.2026</t>
        </is>
      </c>
      <c r="G1658" s="256" t="inlineStr">
        <is>
          <t>1</t>
        </is>
      </c>
      <c r="H1658" s="256" t="inlineStr">
        <is>
          <t>Identification A, Appearance · Macroscopic</t>
        </is>
      </c>
      <c r="I1658" s="256" t="inlineStr">
        <is>
          <t>Ph. Eur. mon. 3028</t>
        </is>
      </c>
      <c r="J1658" s="256" t="inlineStr">
        <is>
          <t>Conforms to the monograph for Cannabis flos (07/2024:3028) in Ph. Eur. 11.0 | Согласно монографија за Cannabis flos (07/2024:3028) во Ph. Eur. 11.0</t>
        </is>
      </c>
      <c r="K1658" s="256" t="inlineStr">
        <is>
          <t>Conforms | Одговара</t>
        </is>
      </c>
      <c r="L1658" s="256" t="inlineStr">
        <is>
          <t>iCoA-PP_26-088</t>
        </is>
      </c>
      <c r="M1658" s="256" t="inlineStr">
        <is>
          <t>03.06.2026</t>
        </is>
      </c>
      <c r="N1658" s="256" t="inlineStr">
        <is>
          <t>Purely Plant GmbH (in-house)</t>
        </is>
      </c>
      <c r="O1658" s="256" t="inlineStr">
        <is>
          <t>—</t>
        </is>
      </c>
      <c r="P1658" s="256" t="inlineStr">
        <is>
          <t>to be performed — see route</t>
        </is>
      </c>
      <c r="Q1658" s="256" t="inlineStr">
        <is>
          <t>Purely Plant laboratory — iCoA covering Ident A + B</t>
        </is>
      </c>
      <c r="R1658" s="256" t="inlineStr"/>
    </row>
    <row r="1659">
      <c r="A1659" s="256" t="inlineStr">
        <is>
          <t>CoQ-PP_26-073</t>
        </is>
      </c>
      <c r="B1659" s="256" t="inlineStr">
        <is>
          <t>release</t>
        </is>
      </c>
      <c r="C1659" s="256" t="inlineStr">
        <is>
          <t>SCR012601</t>
        </is>
      </c>
      <c r="D1659" s="256" t="inlineStr">
        <is>
          <t>P060342</t>
        </is>
      </c>
      <c r="E1659" s="256" t="inlineStr">
        <is>
          <t>Scrambler</t>
        </is>
      </c>
      <c r="F1659" s="256" t="inlineStr">
        <is>
          <t>06.06.2026</t>
        </is>
      </c>
      <c r="G1659" s="256" t="inlineStr">
        <is>
          <t>2</t>
        </is>
      </c>
      <c r="H1659" s="256" t="inlineStr">
        <is>
          <t>Identification B · Microscopic</t>
        </is>
      </c>
      <c r="I1659" s="256" t="inlineStr">
        <is>
          <t>Ph. Eur. 2.8.23 (microscopy)</t>
        </is>
      </c>
      <c r="J1659" s="256" t="inlineStr">
        <is>
          <t>Conforms to the monograph for Cannabis flos (07/2024:3028) in Ph. Eur. 11.0 | Согласно монографија за Cannabis flos (07/2024:3028) во Ph. Eur. 11.0</t>
        </is>
      </c>
      <c r="K1659" s="256" t="inlineStr">
        <is>
          <t>Conforms | Одговара</t>
        </is>
      </c>
      <c r="L1659" s="256" t="inlineStr">
        <is>
          <t>iCoA-PP_26-088</t>
        </is>
      </c>
      <c r="M1659" s="256" t="inlineStr">
        <is>
          <t>03.06.2026</t>
        </is>
      </c>
      <c r="N1659" s="256" t="inlineStr">
        <is>
          <t>Purely Plant GmbH (in-house)</t>
        </is>
      </c>
      <c r="O1659" s="256" t="inlineStr">
        <is>
          <t>—</t>
        </is>
      </c>
      <c r="P1659" s="256" t="inlineStr">
        <is>
          <t>to be performed — see route</t>
        </is>
      </c>
      <c r="Q1659" s="256" t="inlineStr">
        <is>
          <t>Purely Plant laboratory — iCoA covering Ident A + B</t>
        </is>
      </c>
      <c r="R1659" s="256" t="inlineStr"/>
    </row>
    <row r="1660">
      <c r="A1660" s="256" t="inlineStr">
        <is>
          <t>CoQ-PP_26-073</t>
        </is>
      </c>
      <c r="B1660" s="256" t="inlineStr">
        <is>
          <t>release</t>
        </is>
      </c>
      <c r="C1660" s="256" t="inlineStr">
        <is>
          <t>SCR012601</t>
        </is>
      </c>
      <c r="D1660" s="256" t="inlineStr">
        <is>
          <t>P060342</t>
        </is>
      </c>
      <c r="E1660" s="256" t="inlineStr">
        <is>
          <t>Scrambler</t>
        </is>
      </c>
      <c r="F1660" s="256" t="inlineStr">
        <is>
          <t>06.06.2026</t>
        </is>
      </c>
      <c r="G1660" s="256" t="inlineStr">
        <is>
          <t>3</t>
        </is>
      </c>
      <c r="H1660" s="256" t="inlineStr">
        <is>
          <t>Identification C · HPLC/HPTLC</t>
        </is>
      </c>
      <c r="I1660" s="256" t="inlineStr">
        <is>
          <t>Ph. Eur. 2.2.29 (3028)</t>
        </is>
      </c>
      <c r="J1660" s="256" t="inlineStr">
        <is>
          <t>Conforms to the monograph for Cannabis flos (07/2024:3028) in Ph. Eur. 11.0 | Согласно монографија за Cannabis flos (07/2024:3028) во Ph. Eur. 11.0</t>
        </is>
      </c>
      <c r="K1660" s="259" t="inlineStr">
        <is>
          <t>to be performed (in house)</t>
        </is>
      </c>
      <c r="L1660" s="256" t="inlineStr">
        <is>
          <t>—</t>
        </is>
      </c>
      <c r="M1660" s="256" t="inlineStr">
        <is>
          <t>—</t>
        </is>
      </c>
      <c r="N1660" s="256" t="inlineStr">
        <is>
          <t>—</t>
        </is>
      </c>
      <c r="O1660" s="256" t="inlineStr">
        <is>
          <t>—</t>
        </is>
      </c>
      <c r="P1660" s="256" t="inlineStr">
        <is>
          <t>to be performed — see route</t>
        </is>
      </c>
      <c r="Q1660" s="256" t="inlineStr">
        <is>
          <t>outside laboratory — the HPLC cannabinoid certificate discharges Ident C (Farmahem -K- or CNP); in-house iCoA P03 only where none exists</t>
        </is>
      </c>
      <c r="R1660" s="256" t="inlineStr"/>
    </row>
    <row r="1661">
      <c r="A1661" s="256" t="inlineStr">
        <is>
          <t>CoQ-PP_26-073</t>
        </is>
      </c>
      <c r="B1661" s="256" t="inlineStr">
        <is>
          <t>release</t>
        </is>
      </c>
      <c r="C1661" s="256" t="inlineStr">
        <is>
          <t>SCR012601</t>
        </is>
      </c>
      <c r="D1661" s="256" t="inlineStr">
        <is>
          <t>P060342</t>
        </is>
      </c>
      <c r="E1661" s="256" t="inlineStr">
        <is>
          <t>Scrambler</t>
        </is>
      </c>
      <c r="F1661" s="256" t="inlineStr">
        <is>
          <t>06.06.2026</t>
        </is>
      </c>
      <c r="G1661" s="256" t="inlineStr">
        <is>
          <t>4</t>
        </is>
      </c>
      <c r="H1661" s="256" t="inlineStr">
        <is>
          <t>Assay — Total Δ⁹-THC</t>
        </is>
      </c>
      <c r="I1661" s="256" t="inlineStr">
        <is>
          <t>Ph. Eur. 2.2.29 (HPLC)</t>
        </is>
      </c>
      <c r="J1661" s="256" t="inlineStr">
        <is>
          <t>Per grade of the potency specification of 15.09.2026 — no Total THC result on file</t>
        </is>
      </c>
      <c r="K1661" s="259" t="inlineStr">
        <is>
          <t>not tested</t>
        </is>
      </c>
      <c r="L1661" s="256" t="inlineStr">
        <is>
          <t>—</t>
        </is>
      </c>
      <c r="M1661" s="256" t="inlineStr">
        <is>
          <t>—</t>
        </is>
      </c>
      <c r="N1661" s="256" t="inlineStr">
        <is>
          <t>—</t>
        </is>
      </c>
      <c r="O1661" s="256" t="inlineStr">
        <is>
          <t>—</t>
        </is>
      </c>
      <c r="P1661" s="256" t="inlineStr">
        <is>
          <t>not tested — no certificate covers it</t>
        </is>
      </c>
      <c r="Q1661" s="256" t="inlineStr"/>
      <c r="R1661" s="256" t="inlineStr">
        <is>
          <t>22.40 (227-8-К/26)</t>
        </is>
      </c>
    </row>
    <row r="1662">
      <c r="A1662" s="256" t="inlineStr">
        <is>
          <t>CoQ-PP_26-073</t>
        </is>
      </c>
      <c r="B1662" s="256" t="inlineStr">
        <is>
          <t>release</t>
        </is>
      </c>
      <c r="C1662" s="256" t="inlineStr">
        <is>
          <t>SCR012601</t>
        </is>
      </c>
      <c r="D1662" s="256" t="inlineStr">
        <is>
          <t>P060342</t>
        </is>
      </c>
      <c r="E1662" s="256" t="inlineStr">
        <is>
          <t>Scrambler</t>
        </is>
      </c>
      <c r="F1662" s="256" t="inlineStr">
        <is>
          <t>06.06.2026</t>
        </is>
      </c>
      <c r="G1662" s="256" t="inlineStr">
        <is>
          <t>5</t>
        </is>
      </c>
      <c r="H1662" s="256" t="inlineStr">
        <is>
          <t>Assay — Total CBD</t>
        </is>
      </c>
      <c r="I1662" s="256" t="inlineStr">
        <is>
          <t>Ph. Eur. 2.2.29 (HPLC) · CBD + CBDA x 0.877</t>
        </is>
      </c>
      <c r="J1662" s="256" t="inlineStr">
        <is>
          <t>≤ 1.0%, w/w</t>
        </is>
      </c>
      <c r="K1662" s="259" t="inlineStr">
        <is>
          <t>not tested</t>
        </is>
      </c>
      <c r="L1662" s="256" t="inlineStr">
        <is>
          <t>—</t>
        </is>
      </c>
      <c r="M1662" s="256" t="inlineStr">
        <is>
          <t>—</t>
        </is>
      </c>
      <c r="N1662" s="256" t="inlineStr">
        <is>
          <t>—</t>
        </is>
      </c>
      <c r="O1662" s="256" t="inlineStr">
        <is>
          <t>—</t>
        </is>
      </c>
      <c r="P1662" s="256" t="inlineStr">
        <is>
          <t>not tested — no certificate covers it</t>
        </is>
      </c>
      <c r="Q1662" s="256" t="inlineStr"/>
      <c r="R1662" s="256" t="inlineStr">
        <is>
          <t>&lt;LOQ (227-8-К/26)</t>
        </is>
      </c>
    </row>
    <row r="1663">
      <c r="A1663" s="256" t="inlineStr">
        <is>
          <t>CoQ-PP_26-073</t>
        </is>
      </c>
      <c r="B1663" s="256" t="inlineStr">
        <is>
          <t>release</t>
        </is>
      </c>
      <c r="C1663" s="256" t="inlineStr">
        <is>
          <t>SCR012601</t>
        </is>
      </c>
      <c r="D1663" s="256" t="inlineStr">
        <is>
          <t>P060342</t>
        </is>
      </c>
      <c r="E1663" s="256" t="inlineStr">
        <is>
          <t>Scrambler</t>
        </is>
      </c>
      <c r="F1663" s="256" t="inlineStr">
        <is>
          <t>06.06.2026</t>
        </is>
      </c>
      <c r="G1663" s="256" t="inlineStr">
        <is>
          <t>6</t>
        </is>
      </c>
      <c r="H1663" s="256" t="inlineStr">
        <is>
          <t>Total CBN</t>
        </is>
      </c>
      <c r="I1663" s="256" t="inlineStr">
        <is>
          <t>Ph. Eur. 2.2.29 (HPLC) · CBN + CBNA x 0.876</t>
        </is>
      </c>
      <c r="J1663" s="256" t="inlineStr">
        <is>
          <t>≤ 1.0%, w/w</t>
        </is>
      </c>
      <c r="K1663" s="259" t="inlineStr">
        <is>
          <t>not tested</t>
        </is>
      </c>
      <c r="L1663" s="256" t="inlineStr">
        <is>
          <t>—</t>
        </is>
      </c>
      <c r="M1663" s="256" t="inlineStr">
        <is>
          <t>—</t>
        </is>
      </c>
      <c r="N1663" s="256" t="inlineStr">
        <is>
          <t>—</t>
        </is>
      </c>
      <c r="O1663" s="256" t="inlineStr">
        <is>
          <t>—</t>
        </is>
      </c>
      <c r="P1663" s="256" t="inlineStr">
        <is>
          <t>not tested — no certificate covers it</t>
        </is>
      </c>
      <c r="Q1663" s="256" t="inlineStr"/>
      <c r="R1663" s="256" t="inlineStr">
        <is>
          <t>&lt;LOQ (227-8-К/26)</t>
        </is>
      </c>
    </row>
    <row r="1664">
      <c r="A1664" s="256" t="inlineStr">
        <is>
          <t>CoQ-PP_26-073</t>
        </is>
      </c>
      <c r="B1664" s="256" t="inlineStr">
        <is>
          <t>release</t>
        </is>
      </c>
      <c r="C1664" s="256" t="inlineStr">
        <is>
          <t>SCR012601</t>
        </is>
      </c>
      <c r="D1664" s="256" t="inlineStr">
        <is>
          <t>P060342</t>
        </is>
      </c>
      <c r="E1664" s="256" t="inlineStr">
        <is>
          <t>Scrambler</t>
        </is>
      </c>
      <c r="F1664" s="256" t="inlineStr">
        <is>
          <t>06.06.2026</t>
        </is>
      </c>
      <c r="G1664" s="256" t="inlineStr">
        <is>
          <t>7</t>
        </is>
      </c>
      <c r="H1664" s="256" t="inlineStr">
        <is>
          <t>Foreign Matter</t>
        </is>
      </c>
      <c r="I1664" s="256" t="inlineStr">
        <is>
          <t>Ph. Eur. 2.8.2 · In-house · интерна</t>
        </is>
      </c>
      <c r="J1664" s="256" t="inlineStr">
        <is>
          <t>≤ 2.0% / 25–50 g · &lt; 1 cm leaves | листови, no seeds | без семки</t>
        </is>
      </c>
      <c r="K1664" s="256" t="inlineStr">
        <is>
          <t>Conforms | Одговара</t>
        </is>
      </c>
      <c r="L1664" s="256" t="inlineStr">
        <is>
          <t>iCoA-PP_26-088</t>
        </is>
      </c>
      <c r="M1664" s="256" t="inlineStr">
        <is>
          <t>03.06.2026</t>
        </is>
      </c>
      <c r="N1664" s="256" t="inlineStr">
        <is>
          <t>Purely Plant GmbH (in-house)</t>
        </is>
      </c>
      <c r="O1664" s="256" t="inlineStr">
        <is>
          <t>—</t>
        </is>
      </c>
      <c r="P1664" s="256" t="inlineStr">
        <is>
          <t>to be performed — see route</t>
        </is>
      </c>
      <c r="Q1664" s="256" t="inlineStr">
        <is>
          <t>Purely Plant laboratory — iCoA covering Foreign matter</t>
        </is>
      </c>
      <c r="R1664" s="256" t="inlineStr"/>
    </row>
    <row r="1665">
      <c r="A1665" s="256" t="inlineStr">
        <is>
          <t>CoQ-PP_26-073</t>
        </is>
      </c>
      <c r="B1665" s="256" t="inlineStr">
        <is>
          <t>release</t>
        </is>
      </c>
      <c r="C1665" s="256" t="inlineStr">
        <is>
          <t>SCR012601</t>
        </is>
      </c>
      <c r="D1665" s="256" t="inlineStr">
        <is>
          <t>P060342</t>
        </is>
      </c>
      <c r="E1665" s="256" t="inlineStr">
        <is>
          <t>Scrambler</t>
        </is>
      </c>
      <c r="F1665" s="256" t="inlineStr">
        <is>
          <t>06.06.2026</t>
        </is>
      </c>
      <c r="G1665" s="256" t="inlineStr">
        <is>
          <t>8</t>
        </is>
      </c>
      <c r="H1665" s="256" t="inlineStr">
        <is>
          <t>Loss on Drying</t>
        </is>
      </c>
      <c r="I1665" s="256" t="inlineStr">
        <is>
          <t>Ph. Eur. 2.2.32 (3028) · at 40 °C, 24 h, 15–25 mbar</t>
        </is>
      </c>
      <c r="J1665" s="256" t="inlineStr">
        <is>
          <t>≤ 12.0%</t>
        </is>
      </c>
      <c r="K1665" s="259" t="inlineStr">
        <is>
          <t>not tested</t>
        </is>
      </c>
      <c r="L1665" s="256" t="inlineStr">
        <is>
          <t>—</t>
        </is>
      </c>
      <c r="M1665" s="256" t="inlineStr">
        <is>
          <t>—</t>
        </is>
      </c>
      <c r="N1665" s="256" t="inlineStr">
        <is>
          <t>—</t>
        </is>
      </c>
      <c r="O1665" s="256" t="inlineStr">
        <is>
          <t>—</t>
        </is>
      </c>
      <c r="P1665" s="256" t="inlineStr">
        <is>
          <t>not tested — no certificate covers it</t>
        </is>
      </c>
      <c r="Q1665" s="256" t="inlineStr"/>
      <c r="R1665" s="256" t="inlineStr"/>
    </row>
    <row r="1666">
      <c r="A1666" s="256" t="inlineStr">
        <is>
          <t>CoQ-PP_26-073</t>
        </is>
      </c>
      <c r="B1666" s="256" t="inlineStr">
        <is>
          <t>release</t>
        </is>
      </c>
      <c r="C1666" s="256" t="inlineStr">
        <is>
          <t>SCR012601</t>
        </is>
      </c>
      <c r="D1666" s="256" t="inlineStr">
        <is>
          <t>P060342</t>
        </is>
      </c>
      <c r="E1666" s="256" t="inlineStr">
        <is>
          <t>Scrambler</t>
        </is>
      </c>
      <c r="F1666" s="256" t="inlineStr">
        <is>
          <t>06.06.2026</t>
        </is>
      </c>
      <c r="G1666" s="256" t="inlineStr">
        <is>
          <t>9.1</t>
        </is>
      </c>
      <c r="H1666" s="256" t="inlineStr">
        <is>
          <t>TAMC</t>
        </is>
      </c>
      <c r="I1666" s="256" t="inlineStr">
        <is>
          <t>Ph. Eur. 2.6.12 cat. C</t>
        </is>
      </c>
      <c r="J1666" s="256" t="inlineStr">
        <is>
          <t>≤ 10⁵ CFU/g</t>
        </is>
      </c>
      <c r="K1666" s="259" t="inlineStr">
        <is>
          <t>not tested</t>
        </is>
      </c>
      <c r="L1666" s="256" t="inlineStr">
        <is>
          <t>—</t>
        </is>
      </c>
      <c r="M1666" s="256" t="inlineStr">
        <is>
          <t>—</t>
        </is>
      </c>
      <c r="N1666" s="256" t="inlineStr">
        <is>
          <t>—</t>
        </is>
      </c>
      <c r="O1666" s="256" t="inlineStr">
        <is>
          <t>—</t>
        </is>
      </c>
      <c r="P1666" s="256" t="inlineStr">
        <is>
          <t>not tested — no certificate covers it</t>
        </is>
      </c>
      <c r="Q1666" s="256" t="inlineStr"/>
      <c r="R1666" s="256" t="inlineStr"/>
    </row>
    <row r="1667">
      <c r="A1667" s="256" t="inlineStr">
        <is>
          <t>CoQ-PP_26-073</t>
        </is>
      </c>
      <c r="B1667" s="256" t="inlineStr">
        <is>
          <t>release</t>
        </is>
      </c>
      <c r="C1667" s="256" t="inlineStr">
        <is>
          <t>SCR012601</t>
        </is>
      </c>
      <c r="D1667" s="256" t="inlineStr">
        <is>
          <t>P060342</t>
        </is>
      </c>
      <c r="E1667" s="256" t="inlineStr">
        <is>
          <t>Scrambler</t>
        </is>
      </c>
      <c r="F1667" s="256" t="inlineStr">
        <is>
          <t>06.06.2026</t>
        </is>
      </c>
      <c r="G1667" s="256" t="inlineStr">
        <is>
          <t>9.2</t>
        </is>
      </c>
      <c r="H1667" s="256" t="inlineStr">
        <is>
          <t>TYMC</t>
        </is>
      </c>
      <c r="I1667" s="256" t="inlineStr">
        <is>
          <t>Ph. Eur. 2.6.12 cat. C</t>
        </is>
      </c>
      <c r="J1667" s="256" t="inlineStr">
        <is>
          <t>≤ 10⁴ CFU/g</t>
        </is>
      </c>
      <c r="K1667" s="259" t="inlineStr">
        <is>
          <t>not tested</t>
        </is>
      </c>
      <c r="L1667" s="256" t="inlineStr">
        <is>
          <t>—</t>
        </is>
      </c>
      <c r="M1667" s="256" t="inlineStr">
        <is>
          <t>—</t>
        </is>
      </c>
      <c r="N1667" s="256" t="inlineStr">
        <is>
          <t>—</t>
        </is>
      </c>
      <c r="O1667" s="256" t="inlineStr">
        <is>
          <t>—</t>
        </is>
      </c>
      <c r="P1667" s="256" t="inlineStr">
        <is>
          <t>not tested — no certificate covers it</t>
        </is>
      </c>
      <c r="Q1667" s="256" t="inlineStr"/>
      <c r="R1667" s="256" t="inlineStr"/>
    </row>
    <row r="1668">
      <c r="A1668" s="256" t="inlineStr">
        <is>
          <t>CoQ-PP_26-073</t>
        </is>
      </c>
      <c r="B1668" s="256" t="inlineStr">
        <is>
          <t>release</t>
        </is>
      </c>
      <c r="C1668" s="256" t="inlineStr">
        <is>
          <t>SCR012601</t>
        </is>
      </c>
      <c r="D1668" s="256" t="inlineStr">
        <is>
          <t>P060342</t>
        </is>
      </c>
      <c r="E1668" s="256" t="inlineStr">
        <is>
          <t>Scrambler</t>
        </is>
      </c>
      <c r="F1668" s="256" t="inlineStr">
        <is>
          <t>06.06.2026</t>
        </is>
      </c>
      <c r="G1668" s="256" t="inlineStr">
        <is>
          <t>9.3</t>
        </is>
      </c>
      <c r="H1668" s="256" t="inlineStr">
        <is>
          <t>Bile-tolerant gram-neg.</t>
        </is>
      </c>
      <c r="I1668" s="256" t="inlineStr">
        <is>
          <t>Ph. Eur. 2.6.31 cat. C</t>
        </is>
      </c>
      <c r="J1668" s="256" t="inlineStr">
        <is>
          <t>≤ 10⁴ CFU/g</t>
        </is>
      </c>
      <c r="K1668" s="259" t="inlineStr">
        <is>
          <t>not tested</t>
        </is>
      </c>
      <c r="L1668" s="256" t="inlineStr">
        <is>
          <t>—</t>
        </is>
      </c>
      <c r="M1668" s="256" t="inlineStr">
        <is>
          <t>—</t>
        </is>
      </c>
      <c r="N1668" s="256" t="inlineStr">
        <is>
          <t>—</t>
        </is>
      </c>
      <c r="O1668" s="256" t="inlineStr">
        <is>
          <t>—</t>
        </is>
      </c>
      <c r="P1668" s="256" t="inlineStr">
        <is>
          <t>not tested — no certificate covers it</t>
        </is>
      </c>
      <c r="Q1668" s="256" t="inlineStr"/>
      <c r="R1668" s="256" t="inlineStr"/>
    </row>
    <row r="1669">
      <c r="A1669" s="256" t="inlineStr">
        <is>
          <t>CoQ-PP_26-073</t>
        </is>
      </c>
      <c r="B1669" s="256" t="inlineStr">
        <is>
          <t>release</t>
        </is>
      </c>
      <c r="C1669" s="256" t="inlineStr">
        <is>
          <t>SCR012601</t>
        </is>
      </c>
      <c r="D1669" s="256" t="inlineStr">
        <is>
          <t>P060342</t>
        </is>
      </c>
      <c r="E1669" s="256" t="inlineStr">
        <is>
          <t>Scrambler</t>
        </is>
      </c>
      <c r="F1669" s="256" t="inlineStr">
        <is>
          <t>06.06.2026</t>
        </is>
      </c>
      <c r="G1669" s="256" t="inlineStr">
        <is>
          <t>9.4</t>
        </is>
      </c>
      <c r="H1669" s="256" t="inlineStr">
        <is>
          <t>Salmonella</t>
        </is>
      </c>
      <c r="I1669" s="256" t="inlineStr">
        <is>
          <t>Ph. Eur. 2.6.31 cat. C</t>
        </is>
      </c>
      <c r="J1669" s="256" t="inlineStr">
        <is>
          <t>Absence | Отсуство / 25 g</t>
        </is>
      </c>
      <c r="K1669" s="259" t="inlineStr">
        <is>
          <t>not tested</t>
        </is>
      </c>
      <c r="L1669" s="256" t="inlineStr">
        <is>
          <t>—</t>
        </is>
      </c>
      <c r="M1669" s="256" t="inlineStr">
        <is>
          <t>—</t>
        </is>
      </c>
      <c r="N1669" s="256" t="inlineStr">
        <is>
          <t>—</t>
        </is>
      </c>
      <c r="O1669" s="256" t="inlineStr">
        <is>
          <t>—</t>
        </is>
      </c>
      <c r="P1669" s="256" t="inlineStr">
        <is>
          <t>not tested — no certificate covers it</t>
        </is>
      </c>
      <c r="Q1669" s="256" t="inlineStr"/>
      <c r="R1669" s="256" t="inlineStr"/>
    </row>
    <row r="1670">
      <c r="A1670" s="256" t="inlineStr">
        <is>
          <t>CoQ-PP_26-073</t>
        </is>
      </c>
      <c r="B1670" s="256" t="inlineStr">
        <is>
          <t>release</t>
        </is>
      </c>
      <c r="C1670" s="256" t="inlineStr">
        <is>
          <t>SCR012601</t>
        </is>
      </c>
      <c r="D1670" s="256" t="inlineStr">
        <is>
          <t>P060342</t>
        </is>
      </c>
      <c r="E1670" s="256" t="inlineStr">
        <is>
          <t>Scrambler</t>
        </is>
      </c>
      <c r="F1670" s="256" t="inlineStr">
        <is>
          <t>06.06.2026</t>
        </is>
      </c>
      <c r="G1670" s="256" t="inlineStr">
        <is>
          <t>9.5</t>
        </is>
      </c>
      <c r="H1670" s="256" t="inlineStr">
        <is>
          <t>Escherichia coli</t>
        </is>
      </c>
      <c r="I1670" s="256" t="inlineStr">
        <is>
          <t>Ph. Eur. 2.6.13 cat. C</t>
        </is>
      </c>
      <c r="J1670" s="256" t="inlineStr">
        <is>
          <t>Absence | Отсуство / 1 g</t>
        </is>
      </c>
      <c r="K1670" s="259" t="inlineStr">
        <is>
          <t>not tested</t>
        </is>
      </c>
      <c r="L1670" s="256" t="inlineStr">
        <is>
          <t>—</t>
        </is>
      </c>
      <c r="M1670" s="256" t="inlineStr">
        <is>
          <t>—</t>
        </is>
      </c>
      <c r="N1670" s="256" t="inlineStr">
        <is>
          <t>—</t>
        </is>
      </c>
      <c r="O1670" s="256" t="inlineStr">
        <is>
          <t>—</t>
        </is>
      </c>
      <c r="P1670" s="256" t="inlineStr">
        <is>
          <t>not tested — no certificate covers it</t>
        </is>
      </c>
      <c r="Q1670" s="256" t="inlineStr"/>
      <c r="R1670" s="256" t="inlineStr"/>
    </row>
    <row r="1671">
      <c r="A1671" s="256" t="inlineStr">
        <is>
          <t>CoQ-PP_26-073</t>
        </is>
      </c>
      <c r="B1671" s="256" t="inlineStr">
        <is>
          <t>release</t>
        </is>
      </c>
      <c r="C1671" s="256" t="inlineStr">
        <is>
          <t>SCR012601</t>
        </is>
      </c>
      <c r="D1671" s="256" t="inlineStr">
        <is>
          <t>P060342</t>
        </is>
      </c>
      <c r="E1671" s="256" t="inlineStr">
        <is>
          <t>Scrambler</t>
        </is>
      </c>
      <c r="F1671" s="256" t="inlineStr">
        <is>
          <t>06.06.2026</t>
        </is>
      </c>
      <c r="G1671" s="256" t="inlineStr">
        <is>
          <t>9.6</t>
        </is>
      </c>
      <c r="H1671" s="256" t="inlineStr">
        <is>
          <t>Pseudomonas aeruginosa</t>
        </is>
      </c>
      <c r="I1671" s="256" t="inlineStr">
        <is>
          <t>Ph. Eur. 2.6.13 cat. C</t>
        </is>
      </c>
      <c r="J1671" s="256" t="inlineStr">
        <is>
          <t>Absence | Отсуство / 1 g</t>
        </is>
      </c>
      <c r="K1671" s="260" t="inlineStr">
        <is>
          <t>upon request — not required for release</t>
        </is>
      </c>
      <c r="L1671" s="256" t="inlineStr">
        <is>
          <t>—</t>
        </is>
      </c>
      <c r="M1671" s="256" t="inlineStr">
        <is>
          <t>—</t>
        </is>
      </c>
      <c r="N1671" s="256" t="inlineStr">
        <is>
          <t>—</t>
        </is>
      </c>
      <c r="O1671" s="256" t="inlineStr">
        <is>
          <t>—</t>
        </is>
      </c>
      <c r="P1671" s="256" t="inlineStr">
        <is>
          <t>upon request — not required for release</t>
        </is>
      </c>
      <c r="Q1671" s="256" t="inlineStr"/>
      <c r="R1671" s="256" t="inlineStr"/>
    </row>
    <row r="1672">
      <c r="A1672" s="256" t="inlineStr">
        <is>
          <t>CoQ-PP_26-073</t>
        </is>
      </c>
      <c r="B1672" s="256" t="inlineStr">
        <is>
          <t>release</t>
        </is>
      </c>
      <c r="C1672" s="256" t="inlineStr">
        <is>
          <t>SCR012601</t>
        </is>
      </c>
      <c r="D1672" s="256" t="inlineStr">
        <is>
          <t>P060342</t>
        </is>
      </c>
      <c r="E1672" s="256" t="inlineStr">
        <is>
          <t>Scrambler</t>
        </is>
      </c>
      <c r="F1672" s="256" t="inlineStr">
        <is>
          <t>06.06.2026</t>
        </is>
      </c>
      <c r="G1672" s="256" t="inlineStr">
        <is>
          <t>9.7</t>
        </is>
      </c>
      <c r="H1672" s="256" t="inlineStr">
        <is>
          <t>Staphylococcus aureus</t>
        </is>
      </c>
      <c r="I1672" s="256" t="inlineStr">
        <is>
          <t>Ph. Eur. 2.6.13 cat. C</t>
        </is>
      </c>
      <c r="J1672" s="256" t="inlineStr">
        <is>
          <t>Absence | Отсуство / 1 g</t>
        </is>
      </c>
      <c r="K1672" s="260" t="inlineStr">
        <is>
          <t>upon request — not required for release</t>
        </is>
      </c>
      <c r="L1672" s="256" t="inlineStr">
        <is>
          <t>—</t>
        </is>
      </c>
      <c r="M1672" s="256" t="inlineStr">
        <is>
          <t>—</t>
        </is>
      </c>
      <c r="N1672" s="256" t="inlineStr">
        <is>
          <t>—</t>
        </is>
      </c>
      <c r="O1672" s="256" t="inlineStr">
        <is>
          <t>—</t>
        </is>
      </c>
      <c r="P1672" s="256" t="inlineStr">
        <is>
          <t>upon request — not required for release</t>
        </is>
      </c>
      <c r="Q1672" s="256" t="inlineStr"/>
      <c r="R1672" s="256" t="inlineStr"/>
    </row>
    <row r="1673">
      <c r="A1673" s="256" t="inlineStr">
        <is>
          <t>CoQ-PP_26-073</t>
        </is>
      </c>
      <c r="B1673" s="256" t="inlineStr">
        <is>
          <t>release</t>
        </is>
      </c>
      <c r="C1673" s="256" t="inlineStr">
        <is>
          <t>SCR012601</t>
        </is>
      </c>
      <c r="D1673" s="256" t="inlineStr">
        <is>
          <t>P060342</t>
        </is>
      </c>
      <c r="E1673" s="256" t="inlineStr">
        <is>
          <t>Scrambler</t>
        </is>
      </c>
      <c r="F1673" s="256" t="inlineStr">
        <is>
          <t>06.06.2026</t>
        </is>
      </c>
      <c r="G1673" s="256" t="inlineStr">
        <is>
          <t>10.1</t>
        </is>
      </c>
      <c r="H1673" s="256" t="inlineStr">
        <is>
          <t>Aflatoxin B₁</t>
        </is>
      </c>
      <c r="I1673" s="256" t="inlineStr">
        <is>
          <t>Ph. Eur. 2.8.18 (HPLC-FLD)</t>
        </is>
      </c>
      <c r="J1673" s="256" t="inlineStr">
        <is>
          <t>≤ 2 µg/kg</t>
        </is>
      </c>
      <c r="K1673" s="259" t="inlineStr">
        <is>
          <t>not tested</t>
        </is>
      </c>
      <c r="L1673" s="256" t="inlineStr">
        <is>
          <t>—</t>
        </is>
      </c>
      <c r="M1673" s="256" t="inlineStr">
        <is>
          <t>—</t>
        </is>
      </c>
      <c r="N1673" s="256" t="inlineStr">
        <is>
          <t>—</t>
        </is>
      </c>
      <c r="O1673" s="256" t="inlineStr">
        <is>
          <t>—</t>
        </is>
      </c>
      <c r="P1673" s="256" t="inlineStr">
        <is>
          <t>not tested — no certificate covers it</t>
        </is>
      </c>
      <c r="Q1673" s="256" t="inlineStr"/>
      <c r="R1673" s="256" t="inlineStr"/>
    </row>
    <row r="1674">
      <c r="A1674" s="256" t="inlineStr">
        <is>
          <t>CoQ-PP_26-073</t>
        </is>
      </c>
      <c r="B1674" s="256" t="inlineStr">
        <is>
          <t>release</t>
        </is>
      </c>
      <c r="C1674" s="256" t="inlineStr">
        <is>
          <t>SCR012601</t>
        </is>
      </c>
      <c r="D1674" s="256" t="inlineStr">
        <is>
          <t>P060342</t>
        </is>
      </c>
      <c r="E1674" s="256" t="inlineStr">
        <is>
          <t>Scrambler</t>
        </is>
      </c>
      <c r="F1674" s="256" t="inlineStr">
        <is>
          <t>06.06.2026</t>
        </is>
      </c>
      <c r="G1674" s="256" t="inlineStr">
        <is>
          <t>10.2</t>
        </is>
      </c>
      <c r="H1674" s="256" t="inlineStr">
        <is>
          <t>Aflatoxins ∑</t>
        </is>
      </c>
      <c r="I1674" s="256" t="inlineStr">
        <is>
          <t>Ph. Eur. 2.8.18 (HPLC-FLD)</t>
        </is>
      </c>
      <c r="J1674" s="256" t="inlineStr">
        <is>
          <t>≤ 4 µg/kg</t>
        </is>
      </c>
      <c r="K1674" s="259" t="inlineStr">
        <is>
          <t>not tested</t>
        </is>
      </c>
      <c r="L1674" s="256" t="inlineStr">
        <is>
          <t>—</t>
        </is>
      </c>
      <c r="M1674" s="256" t="inlineStr">
        <is>
          <t>—</t>
        </is>
      </c>
      <c r="N1674" s="256" t="inlineStr">
        <is>
          <t>—</t>
        </is>
      </c>
      <c r="O1674" s="256" t="inlineStr">
        <is>
          <t>—</t>
        </is>
      </c>
      <c r="P1674" s="256" t="inlineStr">
        <is>
          <t>not tested — no certificate covers it</t>
        </is>
      </c>
      <c r="Q1674" s="256" t="inlineStr"/>
      <c r="R1674" s="256" t="inlineStr"/>
    </row>
    <row r="1675">
      <c r="A1675" s="256" t="inlineStr">
        <is>
          <t>CoQ-PP_26-073</t>
        </is>
      </c>
      <c r="B1675" s="256" t="inlineStr">
        <is>
          <t>release</t>
        </is>
      </c>
      <c r="C1675" s="256" t="inlineStr">
        <is>
          <t>SCR012601</t>
        </is>
      </c>
      <c r="D1675" s="256" t="inlineStr">
        <is>
          <t>P060342</t>
        </is>
      </c>
      <c r="E1675" s="256" t="inlineStr">
        <is>
          <t>Scrambler</t>
        </is>
      </c>
      <c r="F1675" s="256" t="inlineStr">
        <is>
          <t>06.06.2026</t>
        </is>
      </c>
      <c r="G1675" s="256" t="inlineStr">
        <is>
          <t>10.3</t>
        </is>
      </c>
      <c r="H1675" s="256" t="inlineStr">
        <is>
          <t>Ochratoxin A</t>
        </is>
      </c>
      <c r="I1675" s="256" t="inlineStr">
        <is>
          <t>Ph. Eur. 2.8.22 (HPLC-FLD)</t>
        </is>
      </c>
      <c r="J1675" s="256" t="inlineStr">
        <is>
          <t>≤ 20 µg/kg</t>
        </is>
      </c>
      <c r="K1675" s="259" t="inlineStr">
        <is>
          <t>not tested</t>
        </is>
      </c>
      <c r="L1675" s="256" t="inlineStr">
        <is>
          <t>—</t>
        </is>
      </c>
      <c r="M1675" s="256" t="inlineStr">
        <is>
          <t>—</t>
        </is>
      </c>
      <c r="N1675" s="256" t="inlineStr">
        <is>
          <t>—</t>
        </is>
      </c>
      <c r="O1675" s="256" t="inlineStr">
        <is>
          <t>—</t>
        </is>
      </c>
      <c r="P1675" s="256" t="inlineStr">
        <is>
          <t>not tested — no certificate covers it</t>
        </is>
      </c>
      <c r="Q1675" s="256" t="inlineStr"/>
      <c r="R1675" s="256" t="inlineStr"/>
    </row>
    <row r="1676">
      <c r="A1676" s="256" t="inlineStr">
        <is>
          <t>CoQ-PP_26-073</t>
        </is>
      </c>
      <c r="B1676" s="256" t="inlineStr">
        <is>
          <t>release</t>
        </is>
      </c>
      <c r="C1676" s="256" t="inlineStr">
        <is>
          <t>SCR012601</t>
        </is>
      </c>
      <c r="D1676" s="256" t="inlineStr">
        <is>
          <t>P060342</t>
        </is>
      </c>
      <c r="E1676" s="256" t="inlineStr">
        <is>
          <t>Scrambler</t>
        </is>
      </c>
      <c r="F1676" s="256" t="inlineStr">
        <is>
          <t>06.06.2026</t>
        </is>
      </c>
      <c r="G1676" s="256" t="inlineStr">
        <is>
          <t>11.1</t>
        </is>
      </c>
      <c r="H1676" s="256" t="inlineStr">
        <is>
          <t>Lead (Pb)</t>
        </is>
      </c>
      <c r="I1676" s="256" t="inlineStr">
        <is>
          <t>Ph. Eur. 2.4.27 (ICP-MS)</t>
        </is>
      </c>
      <c r="J1676" s="256" t="inlineStr">
        <is>
          <t>≤ 0.5 mg/kg</t>
        </is>
      </c>
      <c r="K1676" s="259" t="inlineStr">
        <is>
          <t>not tested</t>
        </is>
      </c>
      <c r="L1676" s="256" t="inlineStr">
        <is>
          <t>—</t>
        </is>
      </c>
      <c r="M1676" s="256" t="inlineStr">
        <is>
          <t>—</t>
        </is>
      </c>
      <c r="N1676" s="256" t="inlineStr">
        <is>
          <t>—</t>
        </is>
      </c>
      <c r="O1676" s="256" t="inlineStr">
        <is>
          <t>—</t>
        </is>
      </c>
      <c r="P1676" s="256" t="inlineStr">
        <is>
          <t>not tested — no certificate covers it</t>
        </is>
      </c>
      <c r="Q1676" s="256" t="inlineStr"/>
      <c r="R1676" s="256" t="inlineStr"/>
    </row>
    <row r="1677">
      <c r="A1677" s="256" t="inlineStr">
        <is>
          <t>CoQ-PP_26-073</t>
        </is>
      </c>
      <c r="B1677" s="256" t="inlineStr">
        <is>
          <t>release</t>
        </is>
      </c>
      <c r="C1677" s="256" t="inlineStr">
        <is>
          <t>SCR012601</t>
        </is>
      </c>
      <c r="D1677" s="256" t="inlineStr">
        <is>
          <t>P060342</t>
        </is>
      </c>
      <c r="E1677" s="256" t="inlineStr">
        <is>
          <t>Scrambler</t>
        </is>
      </c>
      <c r="F1677" s="256" t="inlineStr">
        <is>
          <t>06.06.2026</t>
        </is>
      </c>
      <c r="G1677" s="256" t="inlineStr">
        <is>
          <t>11.2</t>
        </is>
      </c>
      <c r="H1677" s="256" t="inlineStr">
        <is>
          <t>Cadmium (Cd)</t>
        </is>
      </c>
      <c r="I1677" s="256" t="inlineStr">
        <is>
          <t>Ph. Eur. 2.4.27 (ICP-MS)</t>
        </is>
      </c>
      <c r="J1677" s="256" t="inlineStr">
        <is>
          <t>≤ 0.3 mg/kg</t>
        </is>
      </c>
      <c r="K1677" s="259" t="inlineStr">
        <is>
          <t>not tested</t>
        </is>
      </c>
      <c r="L1677" s="256" t="inlineStr">
        <is>
          <t>—</t>
        </is>
      </c>
      <c r="M1677" s="256" t="inlineStr">
        <is>
          <t>—</t>
        </is>
      </c>
      <c r="N1677" s="256" t="inlineStr">
        <is>
          <t>—</t>
        </is>
      </c>
      <c r="O1677" s="256" t="inlineStr">
        <is>
          <t>—</t>
        </is>
      </c>
      <c r="P1677" s="256" t="inlineStr">
        <is>
          <t>not tested — no certificate covers it</t>
        </is>
      </c>
      <c r="Q1677" s="256" t="inlineStr"/>
      <c r="R1677" s="256" t="inlineStr"/>
    </row>
    <row r="1678">
      <c r="A1678" s="256" t="inlineStr">
        <is>
          <t>CoQ-PP_26-073</t>
        </is>
      </c>
      <c r="B1678" s="256" t="inlineStr">
        <is>
          <t>release</t>
        </is>
      </c>
      <c r="C1678" s="256" t="inlineStr">
        <is>
          <t>SCR012601</t>
        </is>
      </c>
      <c r="D1678" s="256" t="inlineStr">
        <is>
          <t>P060342</t>
        </is>
      </c>
      <c r="E1678" s="256" t="inlineStr">
        <is>
          <t>Scrambler</t>
        </is>
      </c>
      <c r="F1678" s="256" t="inlineStr">
        <is>
          <t>06.06.2026</t>
        </is>
      </c>
      <c r="G1678" s="256" t="inlineStr">
        <is>
          <t>11.3</t>
        </is>
      </c>
      <c r="H1678" s="256" t="inlineStr">
        <is>
          <t>Arsenic (As)</t>
        </is>
      </c>
      <c r="I1678" s="256" t="inlineStr">
        <is>
          <t>Ph. Eur. 2.4.27 (ICP-MS)</t>
        </is>
      </c>
      <c r="J1678" s="256" t="inlineStr">
        <is>
          <t>≤ 0.2 mg/kg</t>
        </is>
      </c>
      <c r="K1678" s="259" t="inlineStr">
        <is>
          <t>not tested</t>
        </is>
      </c>
      <c r="L1678" s="256" t="inlineStr">
        <is>
          <t>—</t>
        </is>
      </c>
      <c r="M1678" s="256" t="inlineStr">
        <is>
          <t>—</t>
        </is>
      </c>
      <c r="N1678" s="256" t="inlineStr">
        <is>
          <t>—</t>
        </is>
      </c>
      <c r="O1678" s="256" t="inlineStr">
        <is>
          <t>—</t>
        </is>
      </c>
      <c r="P1678" s="256" t="inlineStr">
        <is>
          <t>not tested — no certificate covers it</t>
        </is>
      </c>
      <c r="Q1678" s="256" t="inlineStr"/>
      <c r="R1678" s="256" t="inlineStr"/>
    </row>
    <row r="1679">
      <c r="A1679" s="256" t="inlineStr">
        <is>
          <t>CoQ-PP_26-073</t>
        </is>
      </c>
      <c r="B1679" s="256" t="inlineStr">
        <is>
          <t>release</t>
        </is>
      </c>
      <c r="C1679" s="256" t="inlineStr">
        <is>
          <t>SCR012601</t>
        </is>
      </c>
      <c r="D1679" s="256" t="inlineStr">
        <is>
          <t>P060342</t>
        </is>
      </c>
      <c r="E1679" s="256" t="inlineStr">
        <is>
          <t>Scrambler</t>
        </is>
      </c>
      <c r="F1679" s="256" t="inlineStr">
        <is>
          <t>06.06.2026</t>
        </is>
      </c>
      <c r="G1679" s="256" t="inlineStr">
        <is>
          <t>11.4</t>
        </is>
      </c>
      <c r="H1679" s="256" t="inlineStr">
        <is>
          <t>Mercury (Hg)</t>
        </is>
      </c>
      <c r="I1679" s="256" t="inlineStr">
        <is>
          <t>Ph. Eur. 2.4.27 (ICP-MS)</t>
        </is>
      </c>
      <c r="J1679" s="256" t="inlineStr">
        <is>
          <t>≤ 0.1 mg/kg</t>
        </is>
      </c>
      <c r="K1679" s="259" t="inlineStr">
        <is>
          <t>not tested</t>
        </is>
      </c>
      <c r="L1679" s="256" t="inlineStr">
        <is>
          <t>—</t>
        </is>
      </c>
      <c r="M1679" s="256" t="inlineStr">
        <is>
          <t>—</t>
        </is>
      </c>
      <c r="N1679" s="256" t="inlineStr">
        <is>
          <t>—</t>
        </is>
      </c>
      <c r="O1679" s="256" t="inlineStr">
        <is>
          <t>—</t>
        </is>
      </c>
      <c r="P1679" s="256" t="inlineStr">
        <is>
          <t>not tested — no certificate covers it</t>
        </is>
      </c>
      <c r="Q1679" s="256" t="inlineStr"/>
      <c r="R1679" s="256" t="inlineStr"/>
    </row>
    <row r="1680">
      <c r="A1680" s="256" t="inlineStr">
        <is>
          <t>CoQ-PP_26-073</t>
        </is>
      </c>
      <c r="B1680" s="256" t="inlineStr">
        <is>
          <t>release</t>
        </is>
      </c>
      <c r="C1680" s="256" t="inlineStr">
        <is>
          <t>SCR012601</t>
        </is>
      </c>
      <c r="D1680" s="256" t="inlineStr">
        <is>
          <t>P060342</t>
        </is>
      </c>
      <c r="E1680" s="256" t="inlineStr">
        <is>
          <t>Scrambler</t>
        </is>
      </c>
      <c r="F1680" s="256" t="inlineStr">
        <is>
          <t>06.06.2026</t>
        </is>
      </c>
      <c r="G1680" s="256" t="inlineStr">
        <is>
          <t>12</t>
        </is>
      </c>
      <c r="H1680" s="256" t="inlineStr">
        <is>
          <t>Pesticide Residues</t>
        </is>
      </c>
      <c r="I1680" s="256" t="inlineStr">
        <is>
          <t>Ph. Eur. 2.8.13 (LC-MS/MS) · CUMCS Equivalency</t>
        </is>
      </c>
      <c r="J1680" s="256" t="inlineStr">
        <is>
          <t>≤ LOQ as per Ph. Eur. 2.8.13 · ≤ LOQ as per CUMCS Equivalency</t>
        </is>
      </c>
      <c r="K1680" s="259" t="inlineStr">
        <is>
          <t>not tested</t>
        </is>
      </c>
      <c r="L1680" s="256" t="inlineStr">
        <is>
          <t>—</t>
        </is>
      </c>
      <c r="M1680" s="256" t="inlineStr">
        <is>
          <t>—</t>
        </is>
      </c>
      <c r="N1680" s="256" t="inlineStr">
        <is>
          <t>—</t>
        </is>
      </c>
      <c r="O1680" s="256" t="inlineStr">
        <is>
          <t>—</t>
        </is>
      </c>
      <c r="P1680" s="256" t="inlineStr">
        <is>
          <t>not tested — no certificate covers it</t>
        </is>
      </c>
      <c r="Q1680" s="256" t="inlineStr"/>
      <c r="R1680" s="256" t="inlineStr"/>
    </row>
    <row r="1681">
      <c r="A1681" s="256" t="inlineStr">
        <is>
          <t>CoQ-PP_26-074</t>
        </is>
      </c>
      <c r="B1681" s="256" t="inlineStr">
        <is>
          <t>release</t>
        </is>
      </c>
      <c r="C1681" s="256" t="inlineStr">
        <is>
          <t>SCR012603</t>
        </is>
      </c>
      <c r="D1681" s="256" t="inlineStr">
        <is>
          <t>P060382</t>
        </is>
      </c>
      <c r="E1681" s="256" t="inlineStr">
        <is>
          <t>Scrambler</t>
        </is>
      </c>
      <c r="F1681" s="256" t="inlineStr">
        <is>
          <t>06.06.2026</t>
        </is>
      </c>
      <c r="G1681" s="256" t="inlineStr">
        <is>
          <t>1</t>
        </is>
      </c>
      <c r="H1681" s="256" t="inlineStr">
        <is>
          <t>Identification A, Appearance · Macroscopic</t>
        </is>
      </c>
      <c r="I1681" s="256" t="inlineStr">
        <is>
          <t>Ph. Eur. mon. 3028</t>
        </is>
      </c>
      <c r="J1681" s="256" t="inlineStr">
        <is>
          <t>Conforms to the monograph for Cannabis flos (07/2024:3028) in Ph. Eur. 11.0 | Согласно монографија за Cannabis flos (07/2024:3028) во Ph. Eur. 11.0</t>
        </is>
      </c>
      <c r="K1681" s="256" t="inlineStr">
        <is>
          <t>Conforms | Одговара</t>
        </is>
      </c>
      <c r="L1681" s="256" t="inlineStr">
        <is>
          <t>iCoA-PP_26-087</t>
        </is>
      </c>
      <c r="M1681" s="256" t="inlineStr">
        <is>
          <t>03.06.2026</t>
        </is>
      </c>
      <c r="N1681" s="256" t="inlineStr">
        <is>
          <t>Purely Plant GmbH (in-house)</t>
        </is>
      </c>
      <c r="O1681" s="256" t="inlineStr">
        <is>
          <t>—</t>
        </is>
      </c>
      <c r="P1681" s="256" t="inlineStr">
        <is>
          <t>to be performed — see route</t>
        </is>
      </c>
      <c r="Q1681" s="256" t="inlineStr">
        <is>
          <t>Purely Plant laboratory — iCoA covering Ident A + B</t>
        </is>
      </c>
      <c r="R1681" s="256" t="inlineStr"/>
    </row>
    <row r="1682">
      <c r="A1682" s="256" t="inlineStr">
        <is>
          <t>CoQ-PP_26-074</t>
        </is>
      </c>
      <c r="B1682" s="256" t="inlineStr">
        <is>
          <t>release</t>
        </is>
      </c>
      <c r="C1682" s="256" t="inlineStr">
        <is>
          <t>SCR012603</t>
        </is>
      </c>
      <c r="D1682" s="256" t="inlineStr">
        <is>
          <t>P060382</t>
        </is>
      </c>
      <c r="E1682" s="256" t="inlineStr">
        <is>
          <t>Scrambler</t>
        </is>
      </c>
      <c r="F1682" s="256" t="inlineStr">
        <is>
          <t>06.06.2026</t>
        </is>
      </c>
      <c r="G1682" s="256" t="inlineStr">
        <is>
          <t>2</t>
        </is>
      </c>
      <c r="H1682" s="256" t="inlineStr">
        <is>
          <t>Identification B · Microscopic</t>
        </is>
      </c>
      <c r="I1682" s="256" t="inlineStr">
        <is>
          <t>Ph. Eur. 2.8.23 (microscopy)</t>
        </is>
      </c>
      <c r="J1682" s="256" t="inlineStr">
        <is>
          <t>Conforms to the monograph for Cannabis flos (07/2024:3028) in Ph. Eur. 11.0 | Согласно монографија за Cannabis flos (07/2024:3028) во Ph. Eur. 11.0</t>
        </is>
      </c>
      <c r="K1682" s="256" t="inlineStr">
        <is>
          <t>Conforms | Одговара</t>
        </is>
      </c>
      <c r="L1682" s="256" t="inlineStr">
        <is>
          <t>iCoA-PP_26-087</t>
        </is>
      </c>
      <c r="M1682" s="256" t="inlineStr">
        <is>
          <t>03.06.2026</t>
        </is>
      </c>
      <c r="N1682" s="256" t="inlineStr">
        <is>
          <t>Purely Plant GmbH (in-house)</t>
        </is>
      </c>
      <c r="O1682" s="256" t="inlineStr">
        <is>
          <t>—</t>
        </is>
      </c>
      <c r="P1682" s="256" t="inlineStr">
        <is>
          <t>to be performed — see route</t>
        </is>
      </c>
      <c r="Q1682" s="256" t="inlineStr">
        <is>
          <t>Purely Plant laboratory — iCoA covering Ident A + B</t>
        </is>
      </c>
      <c r="R1682" s="256" t="inlineStr"/>
    </row>
    <row r="1683">
      <c r="A1683" s="256" t="inlineStr">
        <is>
          <t>CoQ-PP_26-074</t>
        </is>
      </c>
      <c r="B1683" s="256" t="inlineStr">
        <is>
          <t>release</t>
        </is>
      </c>
      <c r="C1683" s="256" t="inlineStr">
        <is>
          <t>SCR012603</t>
        </is>
      </c>
      <c r="D1683" s="256" t="inlineStr">
        <is>
          <t>P060382</t>
        </is>
      </c>
      <c r="E1683" s="256" t="inlineStr">
        <is>
          <t>Scrambler</t>
        </is>
      </c>
      <c r="F1683" s="256" t="inlineStr">
        <is>
          <t>06.06.2026</t>
        </is>
      </c>
      <c r="G1683" s="256" t="inlineStr">
        <is>
          <t>3</t>
        </is>
      </c>
      <c r="H1683" s="256" t="inlineStr">
        <is>
          <t>Identification C · HPLC/HPTLC</t>
        </is>
      </c>
      <c r="I1683" s="256" t="inlineStr">
        <is>
          <t>Ph. Eur. 2.2.29 (3028)</t>
        </is>
      </c>
      <c r="J1683" s="256" t="inlineStr">
        <is>
          <t>Conforms to the monograph for Cannabis flos (07/2024:3028) in Ph. Eur. 11.0 | Согласно монографија за Cannabis flos (07/2024:3028) во Ph. Eur. 11.0</t>
        </is>
      </c>
      <c r="K1683" s="259" t="inlineStr">
        <is>
          <t>to be performed (in house)</t>
        </is>
      </c>
      <c r="L1683" s="256" t="inlineStr">
        <is>
          <t>—</t>
        </is>
      </c>
      <c r="M1683" s="256" t="inlineStr">
        <is>
          <t>—</t>
        </is>
      </c>
      <c r="N1683" s="256" t="inlineStr">
        <is>
          <t>—</t>
        </is>
      </c>
      <c r="O1683" s="256" t="inlineStr">
        <is>
          <t>—</t>
        </is>
      </c>
      <c r="P1683" s="256" t="inlineStr">
        <is>
          <t>to be performed — see route</t>
        </is>
      </c>
      <c r="Q1683" s="256" t="inlineStr">
        <is>
          <t>outside laboratory — the HPLC cannabinoid certificate discharges Ident C (Farmahem -K- or CNP); in-house iCoA P03 only where none exists</t>
        </is>
      </c>
      <c r="R1683" s="256" t="inlineStr"/>
    </row>
    <row r="1684">
      <c r="A1684" s="256" t="inlineStr">
        <is>
          <t>CoQ-PP_26-074</t>
        </is>
      </c>
      <c r="B1684" s="256" t="inlineStr">
        <is>
          <t>release</t>
        </is>
      </c>
      <c r="C1684" s="256" t="inlineStr">
        <is>
          <t>SCR012603</t>
        </is>
      </c>
      <c r="D1684" s="256" t="inlineStr">
        <is>
          <t>P060382</t>
        </is>
      </c>
      <c r="E1684" s="256" t="inlineStr">
        <is>
          <t>Scrambler</t>
        </is>
      </c>
      <c r="F1684" s="256" t="inlineStr">
        <is>
          <t>06.06.2026</t>
        </is>
      </c>
      <c r="G1684" s="256" t="inlineStr">
        <is>
          <t>4</t>
        </is>
      </c>
      <c r="H1684" s="256" t="inlineStr">
        <is>
          <t>Assay — Total Δ⁹-THC</t>
        </is>
      </c>
      <c r="I1684" s="256" t="inlineStr">
        <is>
          <t>Ph. Eur. 2.2.29 (HPLC)</t>
        </is>
      </c>
      <c r="J1684" s="256" t="inlineStr">
        <is>
          <t>Per grade of the potency specification of 15.09.2026 — no Total THC result on file</t>
        </is>
      </c>
      <c r="K1684" s="259" t="inlineStr">
        <is>
          <t>not tested</t>
        </is>
      </c>
      <c r="L1684" s="256" t="inlineStr">
        <is>
          <t>—</t>
        </is>
      </c>
      <c r="M1684" s="256" t="inlineStr">
        <is>
          <t>—</t>
        </is>
      </c>
      <c r="N1684" s="256" t="inlineStr">
        <is>
          <t>—</t>
        </is>
      </c>
      <c r="O1684" s="256" t="inlineStr">
        <is>
          <t>—</t>
        </is>
      </c>
      <c r="P1684" s="256" t="inlineStr">
        <is>
          <t>not tested — no certificate covers it</t>
        </is>
      </c>
      <c r="Q1684" s="256" t="inlineStr"/>
      <c r="R1684" s="256" t="inlineStr">
        <is>
          <t>17.84 (197-21-К/26)</t>
        </is>
      </c>
    </row>
    <row r="1685">
      <c r="A1685" s="256" t="inlineStr">
        <is>
          <t>CoQ-PP_26-074</t>
        </is>
      </c>
      <c r="B1685" s="256" t="inlineStr">
        <is>
          <t>release</t>
        </is>
      </c>
      <c r="C1685" s="256" t="inlineStr">
        <is>
          <t>SCR012603</t>
        </is>
      </c>
      <c r="D1685" s="256" t="inlineStr">
        <is>
          <t>P060382</t>
        </is>
      </c>
      <c r="E1685" s="256" t="inlineStr">
        <is>
          <t>Scrambler</t>
        </is>
      </c>
      <c r="F1685" s="256" t="inlineStr">
        <is>
          <t>06.06.2026</t>
        </is>
      </c>
      <c r="G1685" s="256" t="inlineStr">
        <is>
          <t>5</t>
        </is>
      </c>
      <c r="H1685" s="256" t="inlineStr">
        <is>
          <t>Assay — Total CBD</t>
        </is>
      </c>
      <c r="I1685" s="256" t="inlineStr">
        <is>
          <t>Ph. Eur. 2.2.29 (HPLC) · CBD + CBDA x 0.877</t>
        </is>
      </c>
      <c r="J1685" s="256" t="inlineStr">
        <is>
          <t>≤ 1.0%, w/w</t>
        </is>
      </c>
      <c r="K1685" s="259" t="inlineStr">
        <is>
          <t>not tested</t>
        </is>
      </c>
      <c r="L1685" s="256" t="inlineStr">
        <is>
          <t>—</t>
        </is>
      </c>
      <c r="M1685" s="256" t="inlineStr">
        <is>
          <t>—</t>
        </is>
      </c>
      <c r="N1685" s="256" t="inlineStr">
        <is>
          <t>—</t>
        </is>
      </c>
      <c r="O1685" s="256" t="inlineStr">
        <is>
          <t>—</t>
        </is>
      </c>
      <c r="P1685" s="256" t="inlineStr">
        <is>
          <t>not tested — no certificate covers it</t>
        </is>
      </c>
      <c r="Q1685" s="256" t="inlineStr"/>
      <c r="R1685" s="256" t="inlineStr">
        <is>
          <t>&lt;LOQ (197-21-К/26)</t>
        </is>
      </c>
    </row>
    <row r="1686">
      <c r="A1686" s="256" t="inlineStr">
        <is>
          <t>CoQ-PP_26-074</t>
        </is>
      </c>
      <c r="B1686" s="256" t="inlineStr">
        <is>
          <t>release</t>
        </is>
      </c>
      <c r="C1686" s="256" t="inlineStr">
        <is>
          <t>SCR012603</t>
        </is>
      </c>
      <c r="D1686" s="256" t="inlineStr">
        <is>
          <t>P060382</t>
        </is>
      </c>
      <c r="E1686" s="256" t="inlineStr">
        <is>
          <t>Scrambler</t>
        </is>
      </c>
      <c r="F1686" s="256" t="inlineStr">
        <is>
          <t>06.06.2026</t>
        </is>
      </c>
      <c r="G1686" s="256" t="inlineStr">
        <is>
          <t>6</t>
        </is>
      </c>
      <c r="H1686" s="256" t="inlineStr">
        <is>
          <t>Total CBN</t>
        </is>
      </c>
      <c r="I1686" s="256" t="inlineStr">
        <is>
          <t>Ph. Eur. 2.2.29 (HPLC) · CBN + CBNA x 0.876</t>
        </is>
      </c>
      <c r="J1686" s="256" t="inlineStr">
        <is>
          <t>≤ 1.0%, w/w</t>
        </is>
      </c>
      <c r="K1686" s="259" t="inlineStr">
        <is>
          <t>not tested</t>
        </is>
      </c>
      <c r="L1686" s="256" t="inlineStr">
        <is>
          <t>—</t>
        </is>
      </c>
      <c r="M1686" s="256" t="inlineStr">
        <is>
          <t>—</t>
        </is>
      </c>
      <c r="N1686" s="256" t="inlineStr">
        <is>
          <t>—</t>
        </is>
      </c>
      <c r="O1686" s="256" t="inlineStr">
        <is>
          <t>—</t>
        </is>
      </c>
      <c r="P1686" s="256" t="inlineStr">
        <is>
          <t>not tested — no certificate covers it</t>
        </is>
      </c>
      <c r="Q1686" s="256" t="inlineStr"/>
      <c r="R1686" s="256" t="inlineStr">
        <is>
          <t>&lt;LOQ (197-21-К/26)</t>
        </is>
      </c>
    </row>
    <row r="1687">
      <c r="A1687" s="256" t="inlineStr">
        <is>
          <t>CoQ-PP_26-074</t>
        </is>
      </c>
      <c r="B1687" s="256" t="inlineStr">
        <is>
          <t>release</t>
        </is>
      </c>
      <c r="C1687" s="256" t="inlineStr">
        <is>
          <t>SCR012603</t>
        </is>
      </c>
      <c r="D1687" s="256" t="inlineStr">
        <is>
          <t>P060382</t>
        </is>
      </c>
      <c r="E1687" s="256" t="inlineStr">
        <is>
          <t>Scrambler</t>
        </is>
      </c>
      <c r="F1687" s="256" t="inlineStr">
        <is>
          <t>06.06.2026</t>
        </is>
      </c>
      <c r="G1687" s="256" t="inlineStr">
        <is>
          <t>7</t>
        </is>
      </c>
      <c r="H1687" s="256" t="inlineStr">
        <is>
          <t>Foreign Matter</t>
        </is>
      </c>
      <c r="I1687" s="256" t="inlineStr">
        <is>
          <t>Ph. Eur. 2.8.2 · In-house · интерна</t>
        </is>
      </c>
      <c r="J1687" s="256" t="inlineStr">
        <is>
          <t>≤ 2.0% / 25–50 g · &lt; 1 cm leaves | листови, no seeds | без семки</t>
        </is>
      </c>
      <c r="K1687" s="256" t="inlineStr">
        <is>
          <t>Conforms | Одговара</t>
        </is>
      </c>
      <c r="L1687" s="256" t="inlineStr">
        <is>
          <t>iCoA-PP_26-087</t>
        </is>
      </c>
      <c r="M1687" s="256" t="inlineStr">
        <is>
          <t>03.06.2026</t>
        </is>
      </c>
      <c r="N1687" s="256" t="inlineStr">
        <is>
          <t>Purely Plant GmbH (in-house)</t>
        </is>
      </c>
      <c r="O1687" s="256" t="inlineStr">
        <is>
          <t>—</t>
        </is>
      </c>
      <c r="P1687" s="256" t="inlineStr">
        <is>
          <t>to be performed — see route</t>
        </is>
      </c>
      <c r="Q1687" s="256" t="inlineStr">
        <is>
          <t>Purely Plant laboratory — iCoA covering Foreign matter</t>
        </is>
      </c>
      <c r="R1687" s="256" t="inlineStr"/>
    </row>
    <row r="1688">
      <c r="A1688" s="256" t="inlineStr">
        <is>
          <t>CoQ-PP_26-074</t>
        </is>
      </c>
      <c r="B1688" s="256" t="inlineStr">
        <is>
          <t>release</t>
        </is>
      </c>
      <c r="C1688" s="256" t="inlineStr">
        <is>
          <t>SCR012603</t>
        </is>
      </c>
      <c r="D1688" s="256" t="inlineStr">
        <is>
          <t>P060382</t>
        </is>
      </c>
      <c r="E1688" s="256" t="inlineStr">
        <is>
          <t>Scrambler</t>
        </is>
      </c>
      <c r="F1688" s="256" t="inlineStr">
        <is>
          <t>06.06.2026</t>
        </is>
      </c>
      <c r="G1688" s="256" t="inlineStr">
        <is>
          <t>8</t>
        </is>
      </c>
      <c r="H1688" s="256" t="inlineStr">
        <is>
          <t>Loss on Drying</t>
        </is>
      </c>
      <c r="I1688" s="256" t="inlineStr">
        <is>
          <t>Ph. Eur. 2.2.32 (3028) · at 40 °C, 24 h, 15–25 mbar</t>
        </is>
      </c>
      <c r="J1688" s="256" t="inlineStr">
        <is>
          <t>≤ 12.0%</t>
        </is>
      </c>
      <c r="K1688" s="259" t="inlineStr">
        <is>
          <t>not tested</t>
        </is>
      </c>
      <c r="L1688" s="256" t="inlineStr">
        <is>
          <t>—</t>
        </is>
      </c>
      <c r="M1688" s="256" t="inlineStr">
        <is>
          <t>—</t>
        </is>
      </c>
      <c r="N1688" s="256" t="inlineStr">
        <is>
          <t>—</t>
        </is>
      </c>
      <c r="O1688" s="256" t="inlineStr">
        <is>
          <t>—</t>
        </is>
      </c>
      <c r="P1688" s="256" t="inlineStr">
        <is>
          <t>not tested — no certificate covers it</t>
        </is>
      </c>
      <c r="Q1688" s="256" t="inlineStr"/>
      <c r="R1688" s="256" t="inlineStr"/>
    </row>
    <row r="1689">
      <c r="A1689" s="256" t="inlineStr">
        <is>
          <t>CoQ-PP_26-074</t>
        </is>
      </c>
      <c r="B1689" s="256" t="inlineStr">
        <is>
          <t>release</t>
        </is>
      </c>
      <c r="C1689" s="256" t="inlineStr">
        <is>
          <t>SCR012603</t>
        </is>
      </c>
      <c r="D1689" s="256" t="inlineStr">
        <is>
          <t>P060382</t>
        </is>
      </c>
      <c r="E1689" s="256" t="inlineStr">
        <is>
          <t>Scrambler</t>
        </is>
      </c>
      <c r="F1689" s="256" t="inlineStr">
        <is>
          <t>06.06.2026</t>
        </is>
      </c>
      <c r="G1689" s="256" t="inlineStr">
        <is>
          <t>9.1</t>
        </is>
      </c>
      <c r="H1689" s="256" t="inlineStr">
        <is>
          <t>TAMC</t>
        </is>
      </c>
      <c r="I1689" s="256" t="inlineStr">
        <is>
          <t>Ph. Eur. 2.6.12 cat. C</t>
        </is>
      </c>
      <c r="J1689" s="256" t="inlineStr">
        <is>
          <t>≤ 10⁵ CFU/g</t>
        </is>
      </c>
      <c r="K1689" s="256" t="inlineStr">
        <is>
          <t>5.4 × 10⁴</t>
        </is>
      </c>
      <c r="L1689" s="256" t="inlineStr">
        <is>
          <t>364/0694/26</t>
        </is>
      </c>
      <c r="M1689" s="256" t="inlineStr">
        <is>
          <t>01.06.2026</t>
        </is>
      </c>
      <c r="N1689" s="256" t="inlineStr">
        <is>
          <t>IPH — Institute of Public Health</t>
        </is>
      </c>
      <c r="O1689" s="256" t="inlineStr">
        <is>
          <t>—</t>
        </is>
      </c>
      <c r="P1689" s="256" t="inlineStr">
        <is>
          <t>covered</t>
        </is>
      </c>
      <c r="Q1689" s="256" t="inlineStr"/>
      <c r="R1689" s="256" t="inlineStr"/>
    </row>
    <row r="1690">
      <c r="A1690" s="256" t="inlineStr">
        <is>
          <t>CoQ-PP_26-074</t>
        </is>
      </c>
      <c r="B1690" s="256" t="inlineStr">
        <is>
          <t>release</t>
        </is>
      </c>
      <c r="C1690" s="256" t="inlineStr">
        <is>
          <t>SCR012603</t>
        </is>
      </c>
      <c r="D1690" s="256" t="inlineStr">
        <is>
          <t>P060382</t>
        </is>
      </c>
      <c r="E1690" s="256" t="inlineStr">
        <is>
          <t>Scrambler</t>
        </is>
      </c>
      <c r="F1690" s="256" t="inlineStr">
        <is>
          <t>06.06.2026</t>
        </is>
      </c>
      <c r="G1690" s="256" t="inlineStr">
        <is>
          <t>9.2</t>
        </is>
      </c>
      <c r="H1690" s="256" t="inlineStr">
        <is>
          <t>TYMC</t>
        </is>
      </c>
      <c r="I1690" s="256" t="inlineStr">
        <is>
          <t>Ph. Eur. 2.6.12 cat. C</t>
        </is>
      </c>
      <c r="J1690" s="256" t="inlineStr">
        <is>
          <t>≤ 10⁴ CFU/g</t>
        </is>
      </c>
      <c r="K1690" s="256" t="inlineStr">
        <is>
          <t>1.8 × 10⁴</t>
        </is>
      </c>
      <c r="L1690" s="256" t="inlineStr">
        <is>
          <t>364/0694/26</t>
        </is>
      </c>
      <c r="M1690" s="256" t="inlineStr">
        <is>
          <t>01.06.2026</t>
        </is>
      </c>
      <c r="N1690" s="256" t="inlineStr">
        <is>
          <t>IPH — Institute of Public Health</t>
        </is>
      </c>
      <c r="O1690" s="256" t="inlineStr">
        <is>
          <t>—</t>
        </is>
      </c>
      <c r="P1690" s="256" t="inlineStr">
        <is>
          <t>UNDETERMINED (Ph. Eur. 5.1.4) — covered</t>
        </is>
      </c>
      <c r="Q1690" s="256" t="inlineStr"/>
      <c r="R1690" s="256" t="inlineStr"/>
    </row>
    <row r="1691">
      <c r="A1691" s="256" t="inlineStr">
        <is>
          <t>CoQ-PP_26-074</t>
        </is>
      </c>
      <c r="B1691" s="256" t="inlineStr">
        <is>
          <t>release</t>
        </is>
      </c>
      <c r="C1691" s="256" t="inlineStr">
        <is>
          <t>SCR012603</t>
        </is>
      </c>
      <c r="D1691" s="256" t="inlineStr">
        <is>
          <t>P060382</t>
        </is>
      </c>
      <c r="E1691" s="256" t="inlineStr">
        <is>
          <t>Scrambler</t>
        </is>
      </c>
      <c r="F1691" s="256" t="inlineStr">
        <is>
          <t>06.06.2026</t>
        </is>
      </c>
      <c r="G1691" s="256" t="inlineStr">
        <is>
          <t>9.3</t>
        </is>
      </c>
      <c r="H1691" s="256" t="inlineStr">
        <is>
          <t>Bile-tolerant gram-neg.</t>
        </is>
      </c>
      <c r="I1691" s="256" t="inlineStr">
        <is>
          <t>Ph. Eur. 2.6.31 cat. C</t>
        </is>
      </c>
      <c r="J1691" s="256" t="inlineStr">
        <is>
          <t>≤ 10⁴ CFU/g</t>
        </is>
      </c>
      <c r="K1691" s="256" t="inlineStr">
        <is>
          <t>&lt; 10</t>
        </is>
      </c>
      <c r="L1691" s="256" t="inlineStr">
        <is>
          <t>364/0694/26</t>
        </is>
      </c>
      <c r="M1691" s="256" t="inlineStr">
        <is>
          <t>01.06.2026</t>
        </is>
      </c>
      <c r="N1691" s="256" t="inlineStr">
        <is>
          <t>IPH — Institute of Public Health</t>
        </is>
      </c>
      <c r="O1691" s="256" t="inlineStr">
        <is>
          <t>—</t>
        </is>
      </c>
      <c r="P1691" s="256" t="inlineStr">
        <is>
          <t>covered</t>
        </is>
      </c>
      <c r="Q1691" s="256" t="inlineStr"/>
      <c r="R1691" s="256" t="inlineStr"/>
    </row>
    <row r="1692">
      <c r="A1692" s="256" t="inlineStr">
        <is>
          <t>CoQ-PP_26-074</t>
        </is>
      </c>
      <c r="B1692" s="256" t="inlineStr">
        <is>
          <t>release</t>
        </is>
      </c>
      <c r="C1692" s="256" t="inlineStr">
        <is>
          <t>SCR012603</t>
        </is>
      </c>
      <c r="D1692" s="256" t="inlineStr">
        <is>
          <t>P060382</t>
        </is>
      </c>
      <c r="E1692" s="256" t="inlineStr">
        <is>
          <t>Scrambler</t>
        </is>
      </c>
      <c r="F1692" s="256" t="inlineStr">
        <is>
          <t>06.06.2026</t>
        </is>
      </c>
      <c r="G1692" s="256" t="inlineStr">
        <is>
          <t>9.4</t>
        </is>
      </c>
      <c r="H1692" s="256" t="inlineStr">
        <is>
          <t>Salmonella</t>
        </is>
      </c>
      <c r="I1692" s="256" t="inlineStr">
        <is>
          <t>Ph. Eur. 2.6.31 cat. C</t>
        </is>
      </c>
      <c r="J1692" s="256" t="inlineStr">
        <is>
          <t>Absence | Отсуство / 25 g</t>
        </is>
      </c>
      <c r="K1692" s="256" t="inlineStr">
        <is>
          <t>Absent | Отсутна</t>
        </is>
      </c>
      <c r="L1692" s="256" t="inlineStr">
        <is>
          <t>364/0694/26</t>
        </is>
      </c>
      <c r="M1692" s="256" t="inlineStr">
        <is>
          <t>01.06.2026</t>
        </is>
      </c>
      <c r="N1692" s="256" t="inlineStr">
        <is>
          <t>IPH — Institute of Public Health</t>
        </is>
      </c>
      <c r="O1692" s="256" t="inlineStr">
        <is>
          <t>—</t>
        </is>
      </c>
      <c r="P1692" s="256" t="inlineStr">
        <is>
          <t>covered</t>
        </is>
      </c>
      <c r="Q1692" s="256" t="inlineStr"/>
      <c r="R1692" s="256" t="inlineStr"/>
    </row>
    <row r="1693">
      <c r="A1693" s="256" t="inlineStr">
        <is>
          <t>CoQ-PP_26-074</t>
        </is>
      </c>
      <c r="B1693" s="256" t="inlineStr">
        <is>
          <t>release</t>
        </is>
      </c>
      <c r="C1693" s="256" t="inlineStr">
        <is>
          <t>SCR012603</t>
        </is>
      </c>
      <c r="D1693" s="256" t="inlineStr">
        <is>
          <t>P060382</t>
        </is>
      </c>
      <c r="E1693" s="256" t="inlineStr">
        <is>
          <t>Scrambler</t>
        </is>
      </c>
      <c r="F1693" s="256" t="inlineStr">
        <is>
          <t>06.06.2026</t>
        </is>
      </c>
      <c r="G1693" s="256" t="inlineStr">
        <is>
          <t>9.5</t>
        </is>
      </c>
      <c r="H1693" s="256" t="inlineStr">
        <is>
          <t>Escherichia coli</t>
        </is>
      </c>
      <c r="I1693" s="256" t="inlineStr">
        <is>
          <t>Ph. Eur. 2.6.13 cat. C</t>
        </is>
      </c>
      <c r="J1693" s="256" t="inlineStr">
        <is>
          <t>Absence | Отсуство / 1 g</t>
        </is>
      </c>
      <c r="K1693" s="256" t="inlineStr">
        <is>
          <t>Absent | Отсутна</t>
        </is>
      </c>
      <c r="L1693" s="256" t="inlineStr">
        <is>
          <t>364/0694/26</t>
        </is>
      </c>
      <c r="M1693" s="256" t="inlineStr">
        <is>
          <t>01.06.2026</t>
        </is>
      </c>
      <c r="N1693" s="256" t="inlineStr">
        <is>
          <t>IPH — Institute of Public Health</t>
        </is>
      </c>
      <c r="O1693" s="256" t="inlineStr">
        <is>
          <t>—</t>
        </is>
      </c>
      <c r="P1693" s="256" t="inlineStr">
        <is>
          <t>covered</t>
        </is>
      </c>
      <c r="Q1693" s="256" t="inlineStr"/>
      <c r="R1693" s="256" t="inlineStr"/>
    </row>
    <row r="1694">
      <c r="A1694" s="256" t="inlineStr">
        <is>
          <t>CoQ-PP_26-074</t>
        </is>
      </c>
      <c r="B1694" s="256" t="inlineStr">
        <is>
          <t>release</t>
        </is>
      </c>
      <c r="C1694" s="256" t="inlineStr">
        <is>
          <t>SCR012603</t>
        </is>
      </c>
      <c r="D1694" s="256" t="inlineStr">
        <is>
          <t>P060382</t>
        </is>
      </c>
      <c r="E1694" s="256" t="inlineStr">
        <is>
          <t>Scrambler</t>
        </is>
      </c>
      <c r="F1694" s="256" t="inlineStr">
        <is>
          <t>06.06.2026</t>
        </is>
      </c>
      <c r="G1694" s="256" t="inlineStr">
        <is>
          <t>9.6</t>
        </is>
      </c>
      <c r="H1694" s="256" t="inlineStr">
        <is>
          <t>Pseudomonas aeruginosa</t>
        </is>
      </c>
      <c r="I1694" s="256" t="inlineStr">
        <is>
          <t>Ph. Eur. 2.6.13 cat. C</t>
        </is>
      </c>
      <c r="J1694" s="256" t="inlineStr">
        <is>
          <t>Absence | Отсуство / 1 g</t>
        </is>
      </c>
      <c r="K1694" s="260" t="inlineStr">
        <is>
          <t>upon request — not required for release</t>
        </is>
      </c>
      <c r="L1694" s="256" t="inlineStr">
        <is>
          <t>—</t>
        </is>
      </c>
      <c r="M1694" s="256" t="inlineStr">
        <is>
          <t>—</t>
        </is>
      </c>
      <c r="N1694" s="256" t="inlineStr">
        <is>
          <t>—</t>
        </is>
      </c>
      <c r="O1694" s="256" t="inlineStr">
        <is>
          <t>—</t>
        </is>
      </c>
      <c r="P1694" s="256" t="inlineStr">
        <is>
          <t>upon request — not required for release</t>
        </is>
      </c>
      <c r="Q1694" s="256" t="inlineStr"/>
      <c r="R1694" s="256" t="inlineStr"/>
    </row>
    <row r="1695">
      <c r="A1695" s="256" t="inlineStr">
        <is>
          <t>CoQ-PP_26-074</t>
        </is>
      </c>
      <c r="B1695" s="256" t="inlineStr">
        <is>
          <t>release</t>
        </is>
      </c>
      <c r="C1695" s="256" t="inlineStr">
        <is>
          <t>SCR012603</t>
        </is>
      </c>
      <c r="D1695" s="256" t="inlineStr">
        <is>
          <t>P060382</t>
        </is>
      </c>
      <c r="E1695" s="256" t="inlineStr">
        <is>
          <t>Scrambler</t>
        </is>
      </c>
      <c r="F1695" s="256" t="inlineStr">
        <is>
          <t>06.06.2026</t>
        </is>
      </c>
      <c r="G1695" s="256" t="inlineStr">
        <is>
          <t>9.7</t>
        </is>
      </c>
      <c r="H1695" s="256" t="inlineStr">
        <is>
          <t>Staphylococcus aureus</t>
        </is>
      </c>
      <c r="I1695" s="256" t="inlineStr">
        <is>
          <t>Ph. Eur. 2.6.13 cat. C</t>
        </is>
      </c>
      <c r="J1695" s="256" t="inlineStr">
        <is>
          <t>Absence | Отсуство / 1 g</t>
        </is>
      </c>
      <c r="K1695" s="260" t="inlineStr">
        <is>
          <t>upon request — not required for release</t>
        </is>
      </c>
      <c r="L1695" s="256" t="inlineStr">
        <is>
          <t>—</t>
        </is>
      </c>
      <c r="M1695" s="256" t="inlineStr">
        <is>
          <t>—</t>
        </is>
      </c>
      <c r="N1695" s="256" t="inlineStr">
        <is>
          <t>—</t>
        </is>
      </c>
      <c r="O1695" s="256" t="inlineStr">
        <is>
          <t>—</t>
        </is>
      </c>
      <c r="P1695" s="256" t="inlineStr">
        <is>
          <t>upon request — not required for release</t>
        </is>
      </c>
      <c r="Q1695" s="256" t="inlineStr"/>
      <c r="R1695" s="256" t="inlineStr"/>
    </row>
    <row r="1696">
      <c r="A1696" s="256" t="inlineStr">
        <is>
          <t>CoQ-PP_26-074</t>
        </is>
      </c>
      <c r="B1696" s="256" t="inlineStr">
        <is>
          <t>release</t>
        </is>
      </c>
      <c r="C1696" s="256" t="inlineStr">
        <is>
          <t>SCR012603</t>
        </is>
      </c>
      <c r="D1696" s="256" t="inlineStr">
        <is>
          <t>P060382</t>
        </is>
      </c>
      <c r="E1696" s="256" t="inlineStr">
        <is>
          <t>Scrambler</t>
        </is>
      </c>
      <c r="F1696" s="256" t="inlineStr">
        <is>
          <t>06.06.2026</t>
        </is>
      </c>
      <c r="G1696" s="256" t="inlineStr">
        <is>
          <t>10.1</t>
        </is>
      </c>
      <c r="H1696" s="256" t="inlineStr">
        <is>
          <t>Aflatoxin B₁</t>
        </is>
      </c>
      <c r="I1696" s="256" t="inlineStr">
        <is>
          <t>Ph. Eur. 2.8.18 (HPLC-FLD)</t>
        </is>
      </c>
      <c r="J1696" s="256" t="inlineStr">
        <is>
          <t>≤ 2 µg/kg</t>
        </is>
      </c>
      <c r="K1696" s="259" t="inlineStr">
        <is>
          <t>not tested</t>
        </is>
      </c>
      <c r="L1696" s="256" t="inlineStr">
        <is>
          <t>—</t>
        </is>
      </c>
      <c r="M1696" s="256" t="inlineStr">
        <is>
          <t>—</t>
        </is>
      </c>
      <c r="N1696" s="256" t="inlineStr">
        <is>
          <t>—</t>
        </is>
      </c>
      <c r="O1696" s="256" t="inlineStr">
        <is>
          <t>—</t>
        </is>
      </c>
      <c r="P1696" s="256" t="inlineStr">
        <is>
          <t>not tested — no certificate covers it</t>
        </is>
      </c>
      <c r="Q1696" s="256" t="inlineStr"/>
      <c r="R1696" s="256" t="inlineStr">
        <is>
          <t>ND (197-21-М/26)</t>
        </is>
      </c>
    </row>
    <row r="1697">
      <c r="A1697" s="256" t="inlineStr">
        <is>
          <t>CoQ-PP_26-074</t>
        </is>
      </c>
      <c r="B1697" s="256" t="inlineStr">
        <is>
          <t>release</t>
        </is>
      </c>
      <c r="C1697" s="256" t="inlineStr">
        <is>
          <t>SCR012603</t>
        </is>
      </c>
      <c r="D1697" s="256" t="inlineStr">
        <is>
          <t>P060382</t>
        </is>
      </c>
      <c r="E1697" s="256" t="inlineStr">
        <is>
          <t>Scrambler</t>
        </is>
      </c>
      <c r="F1697" s="256" t="inlineStr">
        <is>
          <t>06.06.2026</t>
        </is>
      </c>
      <c r="G1697" s="256" t="inlineStr">
        <is>
          <t>10.2</t>
        </is>
      </c>
      <c r="H1697" s="256" t="inlineStr">
        <is>
          <t>Aflatoxins ∑</t>
        </is>
      </c>
      <c r="I1697" s="256" t="inlineStr">
        <is>
          <t>Ph. Eur. 2.8.18 (HPLC-FLD)</t>
        </is>
      </c>
      <c r="J1697" s="256" t="inlineStr">
        <is>
          <t>≤ 4 µg/kg</t>
        </is>
      </c>
      <c r="K1697" s="259" t="inlineStr">
        <is>
          <t>not tested</t>
        </is>
      </c>
      <c r="L1697" s="256" t="inlineStr">
        <is>
          <t>—</t>
        </is>
      </c>
      <c r="M1697" s="256" t="inlineStr">
        <is>
          <t>—</t>
        </is>
      </c>
      <c r="N1697" s="256" t="inlineStr">
        <is>
          <t>—</t>
        </is>
      </c>
      <c r="O1697" s="256" t="inlineStr">
        <is>
          <t>—</t>
        </is>
      </c>
      <c r="P1697" s="256" t="inlineStr">
        <is>
          <t>not tested — no certificate covers it</t>
        </is>
      </c>
      <c r="Q1697" s="256" t="inlineStr"/>
      <c r="R1697" s="256" t="inlineStr">
        <is>
          <t>ND (197-21-М/26)</t>
        </is>
      </c>
    </row>
    <row r="1698">
      <c r="A1698" s="256" t="inlineStr">
        <is>
          <t>CoQ-PP_26-074</t>
        </is>
      </c>
      <c r="B1698" s="256" t="inlineStr">
        <is>
          <t>release</t>
        </is>
      </c>
      <c r="C1698" s="256" t="inlineStr">
        <is>
          <t>SCR012603</t>
        </is>
      </c>
      <c r="D1698" s="256" t="inlineStr">
        <is>
          <t>P060382</t>
        </is>
      </c>
      <c r="E1698" s="256" t="inlineStr">
        <is>
          <t>Scrambler</t>
        </is>
      </c>
      <c r="F1698" s="256" t="inlineStr">
        <is>
          <t>06.06.2026</t>
        </is>
      </c>
      <c r="G1698" s="256" t="inlineStr">
        <is>
          <t>10.3</t>
        </is>
      </c>
      <c r="H1698" s="256" t="inlineStr">
        <is>
          <t>Ochratoxin A</t>
        </is>
      </c>
      <c r="I1698" s="256" t="inlineStr">
        <is>
          <t>Ph. Eur. 2.8.22 (HPLC-FLD)</t>
        </is>
      </c>
      <c r="J1698" s="256" t="inlineStr">
        <is>
          <t>≤ 20 µg/kg</t>
        </is>
      </c>
      <c r="K1698" s="259" t="inlineStr">
        <is>
          <t>not tested</t>
        </is>
      </c>
      <c r="L1698" s="256" t="inlineStr">
        <is>
          <t>—</t>
        </is>
      </c>
      <c r="M1698" s="256" t="inlineStr">
        <is>
          <t>—</t>
        </is>
      </c>
      <c r="N1698" s="256" t="inlineStr">
        <is>
          <t>—</t>
        </is>
      </c>
      <c r="O1698" s="256" t="inlineStr">
        <is>
          <t>—</t>
        </is>
      </c>
      <c r="P1698" s="256" t="inlineStr">
        <is>
          <t>not tested — no certificate covers it</t>
        </is>
      </c>
      <c r="Q1698" s="256" t="inlineStr"/>
      <c r="R1698" s="256" t="inlineStr">
        <is>
          <t>ND (197-21-М/26)</t>
        </is>
      </c>
    </row>
    <row r="1699">
      <c r="A1699" s="256" t="inlineStr">
        <is>
          <t>CoQ-PP_26-074</t>
        </is>
      </c>
      <c r="B1699" s="256" t="inlineStr">
        <is>
          <t>release</t>
        </is>
      </c>
      <c r="C1699" s="256" t="inlineStr">
        <is>
          <t>SCR012603</t>
        </is>
      </c>
      <c r="D1699" s="256" t="inlineStr">
        <is>
          <t>P060382</t>
        </is>
      </c>
      <c r="E1699" s="256" t="inlineStr">
        <is>
          <t>Scrambler</t>
        </is>
      </c>
      <c r="F1699" s="256" t="inlineStr">
        <is>
          <t>06.06.2026</t>
        </is>
      </c>
      <c r="G1699" s="256" t="inlineStr">
        <is>
          <t>11.1</t>
        </is>
      </c>
      <c r="H1699" s="256" t="inlineStr">
        <is>
          <t>Lead (Pb)</t>
        </is>
      </c>
      <c r="I1699" s="256" t="inlineStr">
        <is>
          <t>Ph. Eur. 2.4.27 (ICP-MS)</t>
        </is>
      </c>
      <c r="J1699" s="256" t="inlineStr">
        <is>
          <t>≤ 0.5 mg/kg</t>
        </is>
      </c>
      <c r="K1699" s="259" t="inlineStr">
        <is>
          <t>not tested</t>
        </is>
      </c>
      <c r="L1699" s="256" t="inlineStr">
        <is>
          <t>—</t>
        </is>
      </c>
      <c r="M1699" s="256" t="inlineStr">
        <is>
          <t>—</t>
        </is>
      </c>
      <c r="N1699" s="256" t="inlineStr">
        <is>
          <t>—</t>
        </is>
      </c>
      <c r="O1699" s="256" t="inlineStr">
        <is>
          <t>—</t>
        </is>
      </c>
      <c r="P1699" s="256" t="inlineStr">
        <is>
          <t>not tested — no certificate covers it</t>
        </is>
      </c>
      <c r="Q1699" s="256" t="inlineStr"/>
      <c r="R1699" s="256" t="inlineStr"/>
    </row>
    <row r="1700">
      <c r="A1700" s="256" t="inlineStr">
        <is>
          <t>CoQ-PP_26-074</t>
        </is>
      </c>
      <c r="B1700" s="256" t="inlineStr">
        <is>
          <t>release</t>
        </is>
      </c>
      <c r="C1700" s="256" t="inlineStr">
        <is>
          <t>SCR012603</t>
        </is>
      </c>
      <c r="D1700" s="256" t="inlineStr">
        <is>
          <t>P060382</t>
        </is>
      </c>
      <c r="E1700" s="256" t="inlineStr">
        <is>
          <t>Scrambler</t>
        </is>
      </c>
      <c r="F1700" s="256" t="inlineStr">
        <is>
          <t>06.06.2026</t>
        </is>
      </c>
      <c r="G1700" s="256" t="inlineStr">
        <is>
          <t>11.2</t>
        </is>
      </c>
      <c r="H1700" s="256" t="inlineStr">
        <is>
          <t>Cadmium (Cd)</t>
        </is>
      </c>
      <c r="I1700" s="256" t="inlineStr">
        <is>
          <t>Ph. Eur. 2.4.27 (ICP-MS)</t>
        </is>
      </c>
      <c r="J1700" s="256" t="inlineStr">
        <is>
          <t>≤ 0.3 mg/kg</t>
        </is>
      </c>
      <c r="K1700" s="259" t="inlineStr">
        <is>
          <t>not tested</t>
        </is>
      </c>
      <c r="L1700" s="256" t="inlineStr">
        <is>
          <t>—</t>
        </is>
      </c>
      <c r="M1700" s="256" t="inlineStr">
        <is>
          <t>—</t>
        </is>
      </c>
      <c r="N1700" s="256" t="inlineStr">
        <is>
          <t>—</t>
        </is>
      </c>
      <c r="O1700" s="256" t="inlineStr">
        <is>
          <t>—</t>
        </is>
      </c>
      <c r="P1700" s="256" t="inlineStr">
        <is>
          <t>not tested — no certificate covers it</t>
        </is>
      </c>
      <c r="Q1700" s="256" t="inlineStr"/>
      <c r="R1700" s="256" t="inlineStr"/>
    </row>
    <row r="1701">
      <c r="A1701" s="256" t="inlineStr">
        <is>
          <t>CoQ-PP_26-074</t>
        </is>
      </c>
      <c r="B1701" s="256" t="inlineStr">
        <is>
          <t>release</t>
        </is>
      </c>
      <c r="C1701" s="256" t="inlineStr">
        <is>
          <t>SCR012603</t>
        </is>
      </c>
      <c r="D1701" s="256" t="inlineStr">
        <is>
          <t>P060382</t>
        </is>
      </c>
      <c r="E1701" s="256" t="inlineStr">
        <is>
          <t>Scrambler</t>
        </is>
      </c>
      <c r="F1701" s="256" t="inlineStr">
        <is>
          <t>06.06.2026</t>
        </is>
      </c>
      <c r="G1701" s="256" t="inlineStr">
        <is>
          <t>11.3</t>
        </is>
      </c>
      <c r="H1701" s="256" t="inlineStr">
        <is>
          <t>Arsenic (As)</t>
        </is>
      </c>
      <c r="I1701" s="256" t="inlineStr">
        <is>
          <t>Ph. Eur. 2.4.27 (ICP-MS)</t>
        </is>
      </c>
      <c r="J1701" s="256" t="inlineStr">
        <is>
          <t>≤ 0.2 mg/kg</t>
        </is>
      </c>
      <c r="K1701" s="259" t="inlineStr">
        <is>
          <t>not tested</t>
        </is>
      </c>
      <c r="L1701" s="256" t="inlineStr">
        <is>
          <t>—</t>
        </is>
      </c>
      <c r="M1701" s="256" t="inlineStr">
        <is>
          <t>—</t>
        </is>
      </c>
      <c r="N1701" s="256" t="inlineStr">
        <is>
          <t>—</t>
        </is>
      </c>
      <c r="O1701" s="256" t="inlineStr">
        <is>
          <t>—</t>
        </is>
      </c>
      <c r="P1701" s="256" t="inlineStr">
        <is>
          <t>not tested — no certificate covers it</t>
        </is>
      </c>
      <c r="Q1701" s="256" t="inlineStr"/>
      <c r="R1701" s="256" t="inlineStr"/>
    </row>
    <row r="1702">
      <c r="A1702" s="256" t="inlineStr">
        <is>
          <t>CoQ-PP_26-074</t>
        </is>
      </c>
      <c r="B1702" s="256" t="inlineStr">
        <is>
          <t>release</t>
        </is>
      </c>
      <c r="C1702" s="256" t="inlineStr">
        <is>
          <t>SCR012603</t>
        </is>
      </c>
      <c r="D1702" s="256" t="inlineStr">
        <is>
          <t>P060382</t>
        </is>
      </c>
      <c r="E1702" s="256" t="inlineStr">
        <is>
          <t>Scrambler</t>
        </is>
      </c>
      <c r="F1702" s="256" t="inlineStr">
        <is>
          <t>06.06.2026</t>
        </is>
      </c>
      <c r="G1702" s="256" t="inlineStr">
        <is>
          <t>11.4</t>
        </is>
      </c>
      <c r="H1702" s="256" t="inlineStr">
        <is>
          <t>Mercury (Hg)</t>
        </is>
      </c>
      <c r="I1702" s="256" t="inlineStr">
        <is>
          <t>Ph. Eur. 2.4.27 (ICP-MS)</t>
        </is>
      </c>
      <c r="J1702" s="256" t="inlineStr">
        <is>
          <t>≤ 0.1 mg/kg</t>
        </is>
      </c>
      <c r="K1702" s="259" t="inlineStr">
        <is>
          <t>not tested</t>
        </is>
      </c>
      <c r="L1702" s="256" t="inlineStr">
        <is>
          <t>—</t>
        </is>
      </c>
      <c r="M1702" s="256" t="inlineStr">
        <is>
          <t>—</t>
        </is>
      </c>
      <c r="N1702" s="256" t="inlineStr">
        <is>
          <t>—</t>
        </is>
      </c>
      <c r="O1702" s="256" t="inlineStr">
        <is>
          <t>—</t>
        </is>
      </c>
      <c r="P1702" s="256" t="inlineStr">
        <is>
          <t>not tested — no certificate covers it</t>
        </is>
      </c>
      <c r="Q1702" s="256" t="inlineStr"/>
      <c r="R1702" s="256" t="inlineStr"/>
    </row>
    <row r="1703">
      <c r="A1703" s="256" t="inlineStr">
        <is>
          <t>CoQ-PP_26-074</t>
        </is>
      </c>
      <c r="B1703" s="256" t="inlineStr">
        <is>
          <t>release</t>
        </is>
      </c>
      <c r="C1703" s="256" t="inlineStr">
        <is>
          <t>SCR012603</t>
        </is>
      </c>
      <c r="D1703" s="256" t="inlineStr">
        <is>
          <t>P060382</t>
        </is>
      </c>
      <c r="E1703" s="256" t="inlineStr">
        <is>
          <t>Scrambler</t>
        </is>
      </c>
      <c r="F1703" s="256" t="inlineStr">
        <is>
          <t>06.06.2026</t>
        </is>
      </c>
      <c r="G1703" s="256" t="inlineStr">
        <is>
          <t>12</t>
        </is>
      </c>
      <c r="H1703" s="256" t="inlineStr">
        <is>
          <t>Pesticide Residues</t>
        </is>
      </c>
      <c r="I1703" s="256" t="inlineStr">
        <is>
          <t>Ph. Eur. 2.8.13 (LC-MS/MS) · CUMCS Equivalency</t>
        </is>
      </c>
      <c r="J1703" s="256" t="inlineStr">
        <is>
          <t>≤ LOQ as per Ph. Eur. 2.8.13 · ≤ LOQ as per CUMCS Equivalency</t>
        </is>
      </c>
      <c r="K1703" s="259" t="inlineStr">
        <is>
          <t>not tested</t>
        </is>
      </c>
      <c r="L1703" s="256" t="inlineStr">
        <is>
          <t>—</t>
        </is>
      </c>
      <c r="M1703" s="256" t="inlineStr">
        <is>
          <t>—</t>
        </is>
      </c>
      <c r="N1703" s="256" t="inlineStr">
        <is>
          <t>—</t>
        </is>
      </c>
      <c r="O1703" s="256" t="inlineStr">
        <is>
          <t>—</t>
        </is>
      </c>
      <c r="P1703" s="256" t="inlineStr">
        <is>
          <t>not tested — no certificate covers it</t>
        </is>
      </c>
      <c r="Q1703" s="256" t="inlineStr"/>
      <c r="R1703" s="256" t="inlineStr"/>
    </row>
    <row r="1704">
      <c r="A1704" s="256" t="inlineStr">
        <is>
          <t>CoQ-PP_26-075</t>
        </is>
      </c>
      <c r="B1704" s="256" t="inlineStr">
        <is>
          <t>release</t>
        </is>
      </c>
      <c r="C1704" s="256" t="inlineStr">
        <is>
          <t>FB012603V</t>
        </is>
      </c>
      <c r="D1704" s="256" t="inlineStr">
        <is>
          <t>— no P lot assigned —</t>
        </is>
      </c>
      <c r="E1704" s="256" t="inlineStr">
        <is>
          <t>Fat Bastard</t>
        </is>
      </c>
      <c r="F1704" s="256" t="inlineStr">
        <is>
          <t>07.07.2026</t>
        </is>
      </c>
      <c r="G1704" s="256" t="inlineStr">
        <is>
          <t>1</t>
        </is>
      </c>
      <c r="H1704" s="256" t="inlineStr">
        <is>
          <t>Identification A, Appearance · Macroscopic</t>
        </is>
      </c>
      <c r="I1704" s="256" t="inlineStr">
        <is>
          <t>Ph. Eur. mon. 3028</t>
        </is>
      </c>
      <c r="J1704" s="256" t="inlineStr">
        <is>
          <t>Conforms to the monograph for Cannabis flos (07/2024:3028) in Ph. Eur. 11.0 | Согласно монографија за Cannabis flos (07/2024:3028) во Ph. Eur. 11.0</t>
        </is>
      </c>
      <c r="K1704" s="256" t="inlineStr">
        <is>
          <t>Conforms | Одговара</t>
        </is>
      </c>
      <c r="L1704" s="256" t="inlineStr">
        <is>
          <t>ППК26110</t>
        </is>
      </c>
      <c r="M1704" s="256" t="inlineStr">
        <is>
          <t>30.06.2026</t>
        </is>
      </c>
      <c r="N1704" s="256" t="inlineStr">
        <is>
          <t>UKIM Faculty of Pharmacy — Center for Natural Products</t>
        </is>
      </c>
      <c r="O1704" s="256" t="inlineStr">
        <is>
          <t>17.06.2026</t>
        </is>
      </c>
      <c r="P1704" s="256" t="inlineStr">
        <is>
          <t>covered</t>
        </is>
      </c>
      <c r="Q1704" s="256" t="inlineStr"/>
      <c r="R1704" s="256" t="inlineStr"/>
    </row>
    <row r="1705">
      <c r="A1705" s="256" t="inlineStr">
        <is>
          <t>CoQ-PP_26-075</t>
        </is>
      </c>
      <c r="B1705" s="256" t="inlineStr">
        <is>
          <t>release</t>
        </is>
      </c>
      <c r="C1705" s="256" t="inlineStr">
        <is>
          <t>FB012603V</t>
        </is>
      </c>
      <c r="D1705" s="256" t="inlineStr">
        <is>
          <t>— no P lot assigned —</t>
        </is>
      </c>
      <c r="E1705" s="256" t="inlineStr">
        <is>
          <t>Fat Bastard</t>
        </is>
      </c>
      <c r="F1705" s="256" t="inlineStr">
        <is>
          <t>07.07.2026</t>
        </is>
      </c>
      <c r="G1705" s="256" t="inlineStr">
        <is>
          <t>2</t>
        </is>
      </c>
      <c r="H1705" s="256" t="inlineStr">
        <is>
          <t>Identification B · Microscopic</t>
        </is>
      </c>
      <c r="I1705" s="256" t="inlineStr">
        <is>
          <t>Ph. Eur. 2.8.23 (microscopy)</t>
        </is>
      </c>
      <c r="J1705" s="256" t="inlineStr">
        <is>
          <t>Conforms to the monograph for Cannabis flos (07/2024:3028) in Ph. Eur. 11.0 | Согласно монографија за Cannabis flos (07/2024:3028) во Ph. Eur. 11.0</t>
        </is>
      </c>
      <c r="K1705" s="256" t="inlineStr">
        <is>
          <t>Conforms | Одговара</t>
        </is>
      </c>
      <c r="L1705" s="256" t="inlineStr">
        <is>
          <t>ППК26110</t>
        </is>
      </c>
      <c r="M1705" s="256" t="inlineStr">
        <is>
          <t>30.06.2026</t>
        </is>
      </c>
      <c r="N1705" s="256" t="inlineStr">
        <is>
          <t>UKIM Faculty of Pharmacy — Center for Natural Products</t>
        </is>
      </c>
      <c r="O1705" s="256" t="inlineStr">
        <is>
          <t>17.06.2026</t>
        </is>
      </c>
      <c r="P1705" s="256" t="inlineStr">
        <is>
          <t>covered</t>
        </is>
      </c>
      <c r="Q1705" s="256" t="inlineStr"/>
      <c r="R1705" s="256" t="inlineStr"/>
    </row>
    <row r="1706">
      <c r="A1706" s="256" t="inlineStr">
        <is>
          <t>CoQ-PP_26-075</t>
        </is>
      </c>
      <c r="B1706" s="256" t="inlineStr">
        <is>
          <t>release</t>
        </is>
      </c>
      <c r="C1706" s="256" t="inlineStr">
        <is>
          <t>FB012603V</t>
        </is>
      </c>
      <c r="D1706" s="256" t="inlineStr">
        <is>
          <t>— no P lot assigned —</t>
        </is>
      </c>
      <c r="E1706" s="256" t="inlineStr">
        <is>
          <t>Fat Bastard</t>
        </is>
      </c>
      <c r="F1706" s="256" t="inlineStr">
        <is>
          <t>07.07.2026</t>
        </is>
      </c>
      <c r="G1706" s="256" t="inlineStr">
        <is>
          <t>3</t>
        </is>
      </c>
      <c r="H1706" s="256" t="inlineStr">
        <is>
          <t>Identification C · HPLC/HPTLC</t>
        </is>
      </c>
      <c r="I1706" s="256" t="inlineStr">
        <is>
          <t>Ph. Eur. 2.2.29 (3028)</t>
        </is>
      </c>
      <c r="J1706" s="256" t="inlineStr">
        <is>
          <t>Conforms to the monograph for Cannabis flos (07/2024:3028) in Ph. Eur. 11.0 | Согласно монографија за Cannabis flos (07/2024:3028) во Ph. Eur. 11.0</t>
        </is>
      </c>
      <c r="K1706" s="256" t="inlineStr">
        <is>
          <t>Conforms | Одговара</t>
        </is>
      </c>
      <c r="L1706" s="256" t="inlineStr">
        <is>
          <t>ППК26110</t>
        </is>
      </c>
      <c r="M1706" s="256" t="inlineStr">
        <is>
          <t>30.06.2026</t>
        </is>
      </c>
      <c r="N1706" s="256" t="inlineStr">
        <is>
          <t>UKIM Faculty of Pharmacy — Center for Natural Products</t>
        </is>
      </c>
      <c r="O1706" s="256" t="inlineStr">
        <is>
          <t>17.06.2026</t>
        </is>
      </c>
      <c r="P1706" s="256" t="inlineStr">
        <is>
          <t>covered</t>
        </is>
      </c>
      <c r="Q1706" s="256" t="inlineStr"/>
      <c r="R1706" s="256" t="inlineStr"/>
    </row>
    <row r="1707">
      <c r="A1707" s="256" t="inlineStr">
        <is>
          <t>CoQ-PP_26-075</t>
        </is>
      </c>
      <c r="B1707" s="256" t="inlineStr">
        <is>
          <t>release</t>
        </is>
      </c>
      <c r="C1707" s="256" t="inlineStr">
        <is>
          <t>FB012603V</t>
        </is>
      </c>
      <c r="D1707" s="256" t="inlineStr">
        <is>
          <t>— no P lot assigned —</t>
        </is>
      </c>
      <c r="E1707" s="256" t="inlineStr">
        <is>
          <t>Fat Bastard</t>
        </is>
      </c>
      <c r="F1707" s="256" t="inlineStr">
        <is>
          <t>07.07.2026</t>
        </is>
      </c>
      <c r="G1707" s="256" t="inlineStr">
        <is>
          <t>4</t>
        </is>
      </c>
      <c r="H1707" s="256" t="inlineStr">
        <is>
          <t>Assay — Total Δ⁹-THC</t>
        </is>
      </c>
      <c r="I1707" s="256" t="inlineStr">
        <is>
          <t>Ph. Eur. 2.2.29 (HPLC)</t>
        </is>
      </c>
      <c r="J1707" s="256" t="inlineStr">
        <is>
          <t>16.20 – 19.79 %  (grade II, nominal 18.00 ± 1.80)</t>
        </is>
      </c>
      <c r="K1707" s="256" t="inlineStr">
        <is>
          <t>18.29</t>
        </is>
      </c>
      <c r="L1707" s="256" t="inlineStr">
        <is>
          <t>ППК26110</t>
        </is>
      </c>
      <c r="M1707" s="256" t="inlineStr">
        <is>
          <t>30.06.2026</t>
        </is>
      </c>
      <c r="N1707" s="256" t="inlineStr">
        <is>
          <t>UKIM Faculty of Pharmacy — Center for Natural Products</t>
        </is>
      </c>
      <c r="O1707" s="256" t="inlineStr">
        <is>
          <t>17.06.2026</t>
        </is>
      </c>
      <c r="P1707" s="256" t="inlineStr">
        <is>
          <t>covered</t>
        </is>
      </c>
      <c r="Q1707" s="256" t="inlineStr"/>
      <c r="R1707" s="256" t="inlineStr">
        <is>
          <t>19.31 (227-23-К/26)</t>
        </is>
      </c>
    </row>
    <row r="1708">
      <c r="A1708" s="256" t="inlineStr">
        <is>
          <t>CoQ-PP_26-075</t>
        </is>
      </c>
      <c r="B1708" s="256" t="inlineStr">
        <is>
          <t>release</t>
        </is>
      </c>
      <c r="C1708" s="256" t="inlineStr">
        <is>
          <t>FB012603V</t>
        </is>
      </c>
      <c r="D1708" s="256" t="inlineStr">
        <is>
          <t>— no P lot assigned —</t>
        </is>
      </c>
      <c r="E1708" s="256" t="inlineStr">
        <is>
          <t>Fat Bastard</t>
        </is>
      </c>
      <c r="F1708" s="256" t="inlineStr">
        <is>
          <t>07.07.2026</t>
        </is>
      </c>
      <c r="G1708" s="256" t="inlineStr">
        <is>
          <t>5</t>
        </is>
      </c>
      <c r="H1708" s="256" t="inlineStr">
        <is>
          <t>Assay — Total CBD</t>
        </is>
      </c>
      <c r="I1708" s="256" t="inlineStr">
        <is>
          <t>Ph. Eur. 2.2.29 (HPLC) · CBD + CBDA x 0.877</t>
        </is>
      </c>
      <c r="J1708" s="256" t="inlineStr">
        <is>
          <t>≤ 1.0%, w/w</t>
        </is>
      </c>
      <c r="K1708" s="256" t="inlineStr">
        <is>
          <t>0.16</t>
        </is>
      </c>
      <c r="L1708" s="256" t="inlineStr">
        <is>
          <t>ППК26110</t>
        </is>
      </c>
      <c r="M1708" s="256" t="inlineStr">
        <is>
          <t>30.06.2026</t>
        </is>
      </c>
      <c r="N1708" s="256" t="inlineStr">
        <is>
          <t>UKIM Faculty of Pharmacy — Center for Natural Products</t>
        </is>
      </c>
      <c r="O1708" s="256" t="inlineStr">
        <is>
          <t>17.06.2026</t>
        </is>
      </c>
      <c r="P1708" s="256" t="inlineStr">
        <is>
          <t>covered</t>
        </is>
      </c>
      <c r="Q1708" s="256" t="inlineStr"/>
      <c r="R1708" s="256" t="inlineStr">
        <is>
          <t>&lt;LOQ (227-23-К/26)</t>
        </is>
      </c>
    </row>
    <row r="1709">
      <c r="A1709" s="256" t="inlineStr">
        <is>
          <t>CoQ-PP_26-075</t>
        </is>
      </c>
      <c r="B1709" s="256" t="inlineStr">
        <is>
          <t>release</t>
        </is>
      </c>
      <c r="C1709" s="256" t="inlineStr">
        <is>
          <t>FB012603V</t>
        </is>
      </c>
      <c r="D1709" s="256" t="inlineStr">
        <is>
          <t>— no P lot assigned —</t>
        </is>
      </c>
      <c r="E1709" s="256" t="inlineStr">
        <is>
          <t>Fat Bastard</t>
        </is>
      </c>
      <c r="F1709" s="256" t="inlineStr">
        <is>
          <t>07.07.2026</t>
        </is>
      </c>
      <c r="G1709" s="256" t="inlineStr">
        <is>
          <t>6</t>
        </is>
      </c>
      <c r="H1709" s="256" t="inlineStr">
        <is>
          <t>Total CBN</t>
        </is>
      </c>
      <c r="I1709" s="256" t="inlineStr">
        <is>
          <t>Ph. Eur. 2.2.29 (HPLC) · CBN + CBNA x 0.876</t>
        </is>
      </c>
      <c r="J1709" s="256" t="inlineStr">
        <is>
          <t>≤ 1.0%, w/w</t>
        </is>
      </c>
      <c r="K1709" s="256" t="inlineStr">
        <is>
          <t>0.06</t>
        </is>
      </c>
      <c r="L1709" s="256" t="inlineStr">
        <is>
          <t>ППК26110</t>
        </is>
      </c>
      <c r="M1709" s="256" t="inlineStr">
        <is>
          <t>30.06.2026</t>
        </is>
      </c>
      <c r="N1709" s="256" t="inlineStr">
        <is>
          <t>UKIM Faculty of Pharmacy — Center for Natural Products</t>
        </is>
      </c>
      <c r="O1709" s="256" t="inlineStr">
        <is>
          <t>17.06.2026</t>
        </is>
      </c>
      <c r="P1709" s="256" t="inlineStr">
        <is>
          <t>covered</t>
        </is>
      </c>
      <c r="Q1709" s="256" t="inlineStr"/>
      <c r="R1709" s="256" t="inlineStr">
        <is>
          <t>&lt;LOQ (227-23-К/26)</t>
        </is>
      </c>
    </row>
    <row r="1710">
      <c r="A1710" s="256" t="inlineStr">
        <is>
          <t>CoQ-PP_26-075</t>
        </is>
      </c>
      <c r="B1710" s="256" t="inlineStr">
        <is>
          <t>release</t>
        </is>
      </c>
      <c r="C1710" s="256" t="inlineStr">
        <is>
          <t>FB012603V</t>
        </is>
      </c>
      <c r="D1710" s="256" t="inlineStr">
        <is>
          <t>— no P lot assigned —</t>
        </is>
      </c>
      <c r="E1710" s="256" t="inlineStr">
        <is>
          <t>Fat Bastard</t>
        </is>
      </c>
      <c r="F1710" s="256" t="inlineStr">
        <is>
          <t>07.07.2026</t>
        </is>
      </c>
      <c r="G1710" s="256" t="inlineStr">
        <is>
          <t>7</t>
        </is>
      </c>
      <c r="H1710" s="256" t="inlineStr">
        <is>
          <t>Foreign Matter</t>
        </is>
      </c>
      <c r="I1710" s="256" t="inlineStr">
        <is>
          <t>Ph. Eur. 2.8.2 · In-house · интерна</t>
        </is>
      </c>
      <c r="J1710" s="256" t="inlineStr">
        <is>
          <t>≤ 2.0% / 25–50 g · &lt; 1 cm leaves | листови, no seeds | без семки</t>
        </is>
      </c>
      <c r="K1710" s="256" t="inlineStr">
        <is>
          <t>Conforms | Одговара</t>
        </is>
      </c>
      <c r="L1710" s="256" t="inlineStr">
        <is>
          <t>ППК26110</t>
        </is>
      </c>
      <c r="M1710" s="256" t="inlineStr">
        <is>
          <t>30.06.2026</t>
        </is>
      </c>
      <c r="N1710" s="256" t="inlineStr">
        <is>
          <t>UKIM Faculty of Pharmacy — Center for Natural Products</t>
        </is>
      </c>
      <c r="O1710" s="256" t="inlineStr">
        <is>
          <t>17.06.2026</t>
        </is>
      </c>
      <c r="P1710" s="256" t="inlineStr">
        <is>
          <t>covered</t>
        </is>
      </c>
      <c r="Q1710" s="256" t="inlineStr"/>
      <c r="R1710" s="256" t="inlineStr"/>
    </row>
    <row r="1711">
      <c r="A1711" s="256" t="inlineStr">
        <is>
          <t>CoQ-PP_26-075</t>
        </is>
      </c>
      <c r="B1711" s="256" t="inlineStr">
        <is>
          <t>release</t>
        </is>
      </c>
      <c r="C1711" s="256" t="inlineStr">
        <is>
          <t>FB012603V</t>
        </is>
      </c>
      <c r="D1711" s="256" t="inlineStr">
        <is>
          <t>— no P lot assigned —</t>
        </is>
      </c>
      <c r="E1711" s="256" t="inlineStr">
        <is>
          <t>Fat Bastard</t>
        </is>
      </c>
      <c r="F1711" s="256" t="inlineStr">
        <is>
          <t>07.07.2026</t>
        </is>
      </c>
      <c r="G1711" s="256" t="inlineStr">
        <is>
          <t>8</t>
        </is>
      </c>
      <c r="H1711" s="256" t="inlineStr">
        <is>
          <t>Loss on Drying</t>
        </is>
      </c>
      <c r="I1711" s="256" t="inlineStr">
        <is>
          <t>Ph. Eur. 2.2.32 (3028) · at 40 °C, 24 h, 15–25 mbar</t>
        </is>
      </c>
      <c r="J1711" s="256" t="inlineStr">
        <is>
          <t>≤ 12.0%</t>
        </is>
      </c>
      <c r="K1711" s="256" t="inlineStr">
        <is>
          <t>6.36</t>
        </is>
      </c>
      <c r="L1711" s="256" t="inlineStr">
        <is>
          <t>ППК26110</t>
        </is>
      </c>
      <c r="M1711" s="256" t="inlineStr">
        <is>
          <t>30.06.2026</t>
        </is>
      </c>
      <c r="N1711" s="256" t="inlineStr">
        <is>
          <t>UKIM Faculty of Pharmacy — Center for Natural Products</t>
        </is>
      </c>
      <c r="O1711" s="256" t="inlineStr">
        <is>
          <t>17.06.2026</t>
        </is>
      </c>
      <c r="P1711" s="256" t="inlineStr">
        <is>
          <t>covered</t>
        </is>
      </c>
      <c r="Q1711" s="256" t="inlineStr"/>
      <c r="R1711" s="256" t="inlineStr"/>
    </row>
    <row r="1712">
      <c r="A1712" s="256" t="inlineStr">
        <is>
          <t>CoQ-PP_26-075</t>
        </is>
      </c>
      <c r="B1712" s="256" t="inlineStr">
        <is>
          <t>release</t>
        </is>
      </c>
      <c r="C1712" s="256" t="inlineStr">
        <is>
          <t>FB012603V</t>
        </is>
      </c>
      <c r="D1712" s="256" t="inlineStr">
        <is>
          <t>— no P lot assigned —</t>
        </is>
      </c>
      <c r="E1712" s="256" t="inlineStr">
        <is>
          <t>Fat Bastard</t>
        </is>
      </c>
      <c r="F1712" s="256" t="inlineStr">
        <is>
          <t>07.07.2026</t>
        </is>
      </c>
      <c r="G1712" s="256" t="inlineStr">
        <is>
          <t>9.1</t>
        </is>
      </c>
      <c r="H1712" s="256" t="inlineStr">
        <is>
          <t>TAMC</t>
        </is>
      </c>
      <c r="I1712" s="256" t="inlineStr">
        <is>
          <t>Ph. Eur. 2.6.12 cat. C</t>
        </is>
      </c>
      <c r="J1712" s="256" t="inlineStr">
        <is>
          <t>≤ 10⁵ CFU/g</t>
        </is>
      </c>
      <c r="K1712" s="259" t="inlineStr">
        <is>
          <t>not tested</t>
        </is>
      </c>
      <c r="L1712" s="256" t="inlineStr">
        <is>
          <t>—</t>
        </is>
      </c>
      <c r="M1712" s="256" t="inlineStr">
        <is>
          <t>—</t>
        </is>
      </c>
      <c r="N1712" s="256" t="inlineStr">
        <is>
          <t>—</t>
        </is>
      </c>
      <c r="O1712" s="256" t="inlineStr">
        <is>
          <t>—</t>
        </is>
      </c>
      <c r="P1712" s="256" t="inlineStr">
        <is>
          <t>not tested — no certificate covers it</t>
        </is>
      </c>
      <c r="Q1712" s="256" t="inlineStr"/>
      <c r="R1712" s="256" t="inlineStr"/>
    </row>
    <row r="1713">
      <c r="A1713" s="256" t="inlineStr">
        <is>
          <t>CoQ-PP_26-075</t>
        </is>
      </c>
      <c r="B1713" s="256" t="inlineStr">
        <is>
          <t>release</t>
        </is>
      </c>
      <c r="C1713" s="256" t="inlineStr">
        <is>
          <t>FB012603V</t>
        </is>
      </c>
      <c r="D1713" s="256" t="inlineStr">
        <is>
          <t>— no P lot assigned —</t>
        </is>
      </c>
      <c r="E1713" s="256" t="inlineStr">
        <is>
          <t>Fat Bastard</t>
        </is>
      </c>
      <c r="F1713" s="256" t="inlineStr">
        <is>
          <t>07.07.2026</t>
        </is>
      </c>
      <c r="G1713" s="256" t="inlineStr">
        <is>
          <t>9.2</t>
        </is>
      </c>
      <c r="H1713" s="256" t="inlineStr">
        <is>
          <t>TYMC</t>
        </is>
      </c>
      <c r="I1713" s="256" t="inlineStr">
        <is>
          <t>Ph. Eur. 2.6.12 cat. C</t>
        </is>
      </c>
      <c r="J1713" s="256" t="inlineStr">
        <is>
          <t>≤ 10⁴ CFU/g</t>
        </is>
      </c>
      <c r="K1713" s="259" t="inlineStr">
        <is>
          <t>not tested</t>
        </is>
      </c>
      <c r="L1713" s="256" t="inlineStr">
        <is>
          <t>—</t>
        </is>
      </c>
      <c r="M1713" s="256" t="inlineStr">
        <is>
          <t>—</t>
        </is>
      </c>
      <c r="N1713" s="256" t="inlineStr">
        <is>
          <t>—</t>
        </is>
      </c>
      <c r="O1713" s="256" t="inlineStr">
        <is>
          <t>—</t>
        </is>
      </c>
      <c r="P1713" s="256" t="inlineStr">
        <is>
          <t>not tested — no certificate covers it</t>
        </is>
      </c>
      <c r="Q1713" s="256" t="inlineStr"/>
      <c r="R1713" s="256" t="inlineStr"/>
    </row>
    <row r="1714">
      <c r="A1714" s="256" t="inlineStr">
        <is>
          <t>CoQ-PP_26-075</t>
        </is>
      </c>
      <c r="B1714" s="256" t="inlineStr">
        <is>
          <t>release</t>
        </is>
      </c>
      <c r="C1714" s="256" t="inlineStr">
        <is>
          <t>FB012603V</t>
        </is>
      </c>
      <c r="D1714" s="256" t="inlineStr">
        <is>
          <t>— no P lot assigned —</t>
        </is>
      </c>
      <c r="E1714" s="256" t="inlineStr">
        <is>
          <t>Fat Bastard</t>
        </is>
      </c>
      <c r="F1714" s="256" t="inlineStr">
        <is>
          <t>07.07.2026</t>
        </is>
      </c>
      <c r="G1714" s="256" t="inlineStr">
        <is>
          <t>9.3</t>
        </is>
      </c>
      <c r="H1714" s="256" t="inlineStr">
        <is>
          <t>Bile-tolerant gram-neg.</t>
        </is>
      </c>
      <c r="I1714" s="256" t="inlineStr">
        <is>
          <t>Ph. Eur. 2.6.31 cat. C</t>
        </is>
      </c>
      <c r="J1714" s="256" t="inlineStr">
        <is>
          <t>≤ 10⁴ CFU/g</t>
        </is>
      </c>
      <c r="K1714" s="259" t="inlineStr">
        <is>
          <t>not tested</t>
        </is>
      </c>
      <c r="L1714" s="256" t="inlineStr">
        <is>
          <t>—</t>
        </is>
      </c>
      <c r="M1714" s="256" t="inlineStr">
        <is>
          <t>—</t>
        </is>
      </c>
      <c r="N1714" s="256" t="inlineStr">
        <is>
          <t>—</t>
        </is>
      </c>
      <c r="O1714" s="256" t="inlineStr">
        <is>
          <t>—</t>
        </is>
      </c>
      <c r="P1714" s="256" t="inlineStr">
        <is>
          <t>not tested — no certificate covers it</t>
        </is>
      </c>
      <c r="Q1714" s="256" t="inlineStr"/>
      <c r="R1714" s="256" t="inlineStr"/>
    </row>
    <row r="1715">
      <c r="A1715" s="256" t="inlineStr">
        <is>
          <t>CoQ-PP_26-075</t>
        </is>
      </c>
      <c r="B1715" s="256" t="inlineStr">
        <is>
          <t>release</t>
        </is>
      </c>
      <c r="C1715" s="256" t="inlineStr">
        <is>
          <t>FB012603V</t>
        </is>
      </c>
      <c r="D1715" s="256" t="inlineStr">
        <is>
          <t>— no P lot assigned —</t>
        </is>
      </c>
      <c r="E1715" s="256" t="inlineStr">
        <is>
          <t>Fat Bastard</t>
        </is>
      </c>
      <c r="F1715" s="256" t="inlineStr">
        <is>
          <t>07.07.2026</t>
        </is>
      </c>
      <c r="G1715" s="256" t="inlineStr">
        <is>
          <t>9.4</t>
        </is>
      </c>
      <c r="H1715" s="256" t="inlineStr">
        <is>
          <t>Salmonella</t>
        </is>
      </c>
      <c r="I1715" s="256" t="inlineStr">
        <is>
          <t>Ph. Eur. 2.6.31 cat. C</t>
        </is>
      </c>
      <c r="J1715" s="256" t="inlineStr">
        <is>
          <t>Absence | Отсуство / 25 g</t>
        </is>
      </c>
      <c r="K1715" s="259" t="inlineStr">
        <is>
          <t>not tested</t>
        </is>
      </c>
      <c r="L1715" s="256" t="inlineStr">
        <is>
          <t>—</t>
        </is>
      </c>
      <c r="M1715" s="256" t="inlineStr">
        <is>
          <t>—</t>
        </is>
      </c>
      <c r="N1715" s="256" t="inlineStr">
        <is>
          <t>—</t>
        </is>
      </c>
      <c r="O1715" s="256" t="inlineStr">
        <is>
          <t>—</t>
        </is>
      </c>
      <c r="P1715" s="256" t="inlineStr">
        <is>
          <t>not tested — no certificate covers it</t>
        </is>
      </c>
      <c r="Q1715" s="256" t="inlineStr"/>
      <c r="R1715" s="256" t="inlineStr"/>
    </row>
    <row r="1716">
      <c r="A1716" s="256" t="inlineStr">
        <is>
          <t>CoQ-PP_26-075</t>
        </is>
      </c>
      <c r="B1716" s="256" t="inlineStr">
        <is>
          <t>release</t>
        </is>
      </c>
      <c r="C1716" s="256" t="inlineStr">
        <is>
          <t>FB012603V</t>
        </is>
      </c>
      <c r="D1716" s="256" t="inlineStr">
        <is>
          <t>— no P lot assigned —</t>
        </is>
      </c>
      <c r="E1716" s="256" t="inlineStr">
        <is>
          <t>Fat Bastard</t>
        </is>
      </c>
      <c r="F1716" s="256" t="inlineStr">
        <is>
          <t>07.07.2026</t>
        </is>
      </c>
      <c r="G1716" s="256" t="inlineStr">
        <is>
          <t>9.5</t>
        </is>
      </c>
      <c r="H1716" s="256" t="inlineStr">
        <is>
          <t>Escherichia coli</t>
        </is>
      </c>
      <c r="I1716" s="256" t="inlineStr">
        <is>
          <t>Ph. Eur. 2.6.13 cat. C</t>
        </is>
      </c>
      <c r="J1716" s="256" t="inlineStr">
        <is>
          <t>Absence | Отсуство / 1 g</t>
        </is>
      </c>
      <c r="K1716" s="259" t="inlineStr">
        <is>
          <t>not tested</t>
        </is>
      </c>
      <c r="L1716" s="256" t="inlineStr">
        <is>
          <t>—</t>
        </is>
      </c>
      <c r="M1716" s="256" t="inlineStr">
        <is>
          <t>—</t>
        </is>
      </c>
      <c r="N1716" s="256" t="inlineStr">
        <is>
          <t>—</t>
        </is>
      </c>
      <c r="O1716" s="256" t="inlineStr">
        <is>
          <t>—</t>
        </is>
      </c>
      <c r="P1716" s="256" t="inlineStr">
        <is>
          <t>not tested — no certificate covers it</t>
        </is>
      </c>
      <c r="Q1716" s="256" t="inlineStr"/>
      <c r="R1716" s="256" t="inlineStr"/>
    </row>
    <row r="1717">
      <c r="A1717" s="256" t="inlineStr">
        <is>
          <t>CoQ-PP_26-075</t>
        </is>
      </c>
      <c r="B1717" s="256" t="inlineStr">
        <is>
          <t>release</t>
        </is>
      </c>
      <c r="C1717" s="256" t="inlineStr">
        <is>
          <t>FB012603V</t>
        </is>
      </c>
      <c r="D1717" s="256" t="inlineStr">
        <is>
          <t>— no P lot assigned —</t>
        </is>
      </c>
      <c r="E1717" s="256" t="inlineStr">
        <is>
          <t>Fat Bastard</t>
        </is>
      </c>
      <c r="F1717" s="256" t="inlineStr">
        <is>
          <t>07.07.2026</t>
        </is>
      </c>
      <c r="G1717" s="256" t="inlineStr">
        <is>
          <t>9.6</t>
        </is>
      </c>
      <c r="H1717" s="256" t="inlineStr">
        <is>
          <t>Pseudomonas aeruginosa</t>
        </is>
      </c>
      <c r="I1717" s="256" t="inlineStr">
        <is>
          <t>Ph. Eur. 2.6.13 cat. C</t>
        </is>
      </c>
      <c r="J1717" s="256" t="inlineStr">
        <is>
          <t>Absence | Отсуство / 1 g</t>
        </is>
      </c>
      <c r="K1717" s="260" t="inlineStr">
        <is>
          <t>upon request — not required for release</t>
        </is>
      </c>
      <c r="L1717" s="256" t="inlineStr">
        <is>
          <t>—</t>
        </is>
      </c>
      <c r="M1717" s="256" t="inlineStr">
        <is>
          <t>—</t>
        </is>
      </c>
      <c r="N1717" s="256" t="inlineStr">
        <is>
          <t>—</t>
        </is>
      </c>
      <c r="O1717" s="256" t="inlineStr">
        <is>
          <t>—</t>
        </is>
      </c>
      <c r="P1717" s="256" t="inlineStr">
        <is>
          <t>upon request — not required for release</t>
        </is>
      </c>
      <c r="Q1717" s="256" t="inlineStr"/>
      <c r="R1717" s="256" t="inlineStr"/>
    </row>
    <row r="1718">
      <c r="A1718" s="256" t="inlineStr">
        <is>
          <t>CoQ-PP_26-075</t>
        </is>
      </c>
      <c r="B1718" s="256" t="inlineStr">
        <is>
          <t>release</t>
        </is>
      </c>
      <c r="C1718" s="256" t="inlineStr">
        <is>
          <t>FB012603V</t>
        </is>
      </c>
      <c r="D1718" s="256" t="inlineStr">
        <is>
          <t>— no P lot assigned —</t>
        </is>
      </c>
      <c r="E1718" s="256" t="inlineStr">
        <is>
          <t>Fat Bastard</t>
        </is>
      </c>
      <c r="F1718" s="256" t="inlineStr">
        <is>
          <t>07.07.2026</t>
        </is>
      </c>
      <c r="G1718" s="256" t="inlineStr">
        <is>
          <t>9.7</t>
        </is>
      </c>
      <c r="H1718" s="256" t="inlineStr">
        <is>
          <t>Staphylococcus aureus</t>
        </is>
      </c>
      <c r="I1718" s="256" t="inlineStr">
        <is>
          <t>Ph. Eur. 2.6.13 cat. C</t>
        </is>
      </c>
      <c r="J1718" s="256" t="inlineStr">
        <is>
          <t>Absence | Отсуство / 1 g</t>
        </is>
      </c>
      <c r="K1718" s="260" t="inlineStr">
        <is>
          <t>upon request — not required for release</t>
        </is>
      </c>
      <c r="L1718" s="256" t="inlineStr">
        <is>
          <t>—</t>
        </is>
      </c>
      <c r="M1718" s="256" t="inlineStr">
        <is>
          <t>—</t>
        </is>
      </c>
      <c r="N1718" s="256" t="inlineStr">
        <is>
          <t>—</t>
        </is>
      </c>
      <c r="O1718" s="256" t="inlineStr">
        <is>
          <t>—</t>
        </is>
      </c>
      <c r="P1718" s="256" t="inlineStr">
        <is>
          <t>upon request — not required for release</t>
        </is>
      </c>
      <c r="Q1718" s="256" t="inlineStr"/>
      <c r="R1718" s="256" t="inlineStr"/>
    </row>
    <row r="1719">
      <c r="A1719" s="256" t="inlineStr">
        <is>
          <t>CoQ-PP_26-075</t>
        </is>
      </c>
      <c r="B1719" s="256" t="inlineStr">
        <is>
          <t>release</t>
        </is>
      </c>
      <c r="C1719" s="256" t="inlineStr">
        <is>
          <t>FB012603V</t>
        </is>
      </c>
      <c r="D1719" s="256" t="inlineStr">
        <is>
          <t>— no P lot assigned —</t>
        </is>
      </c>
      <c r="E1719" s="256" t="inlineStr">
        <is>
          <t>Fat Bastard</t>
        </is>
      </c>
      <c r="F1719" s="256" t="inlineStr">
        <is>
          <t>07.07.2026</t>
        </is>
      </c>
      <c r="G1719" s="256" t="inlineStr">
        <is>
          <t>10.1</t>
        </is>
      </c>
      <c r="H1719" s="256" t="inlineStr">
        <is>
          <t>Aflatoxin B₁</t>
        </is>
      </c>
      <c r="I1719" s="256" t="inlineStr">
        <is>
          <t>Ph. Eur. 2.8.18 (HPLC-FLD)</t>
        </is>
      </c>
      <c r="J1719" s="256" t="inlineStr">
        <is>
          <t>≤ 2 µg/kg</t>
        </is>
      </c>
      <c r="K1719" s="259" t="inlineStr">
        <is>
          <t>not tested</t>
        </is>
      </c>
      <c r="L1719" s="256" t="inlineStr">
        <is>
          <t>—</t>
        </is>
      </c>
      <c r="M1719" s="256" t="inlineStr">
        <is>
          <t>—</t>
        </is>
      </c>
      <c r="N1719" s="256" t="inlineStr">
        <is>
          <t>—</t>
        </is>
      </c>
      <c r="O1719" s="256" t="inlineStr">
        <is>
          <t>—</t>
        </is>
      </c>
      <c r="P1719" s="256" t="inlineStr">
        <is>
          <t>not tested — no certificate covers it</t>
        </is>
      </c>
      <c r="Q1719" s="256" t="inlineStr"/>
      <c r="R1719" s="256" t="inlineStr"/>
    </row>
    <row r="1720">
      <c r="A1720" s="256" t="inlineStr">
        <is>
          <t>CoQ-PP_26-075</t>
        </is>
      </c>
      <c r="B1720" s="256" t="inlineStr">
        <is>
          <t>release</t>
        </is>
      </c>
      <c r="C1720" s="256" t="inlineStr">
        <is>
          <t>FB012603V</t>
        </is>
      </c>
      <c r="D1720" s="256" t="inlineStr">
        <is>
          <t>— no P lot assigned —</t>
        </is>
      </c>
      <c r="E1720" s="256" t="inlineStr">
        <is>
          <t>Fat Bastard</t>
        </is>
      </c>
      <c r="F1720" s="256" t="inlineStr">
        <is>
          <t>07.07.2026</t>
        </is>
      </c>
      <c r="G1720" s="256" t="inlineStr">
        <is>
          <t>10.2</t>
        </is>
      </c>
      <c r="H1720" s="256" t="inlineStr">
        <is>
          <t>Aflatoxins ∑</t>
        </is>
      </c>
      <c r="I1720" s="256" t="inlineStr">
        <is>
          <t>Ph. Eur. 2.8.18 (HPLC-FLD)</t>
        </is>
      </c>
      <c r="J1720" s="256" t="inlineStr">
        <is>
          <t>≤ 4 µg/kg</t>
        </is>
      </c>
      <c r="K1720" s="259" t="inlineStr">
        <is>
          <t>not tested</t>
        </is>
      </c>
      <c r="L1720" s="256" t="inlineStr">
        <is>
          <t>—</t>
        </is>
      </c>
      <c r="M1720" s="256" t="inlineStr">
        <is>
          <t>—</t>
        </is>
      </c>
      <c r="N1720" s="256" t="inlineStr">
        <is>
          <t>—</t>
        </is>
      </c>
      <c r="O1720" s="256" t="inlineStr">
        <is>
          <t>—</t>
        </is>
      </c>
      <c r="P1720" s="256" t="inlineStr">
        <is>
          <t>not tested — no certificate covers it</t>
        </is>
      </c>
      <c r="Q1720" s="256" t="inlineStr"/>
      <c r="R1720" s="256" t="inlineStr"/>
    </row>
    <row r="1721">
      <c r="A1721" s="256" t="inlineStr">
        <is>
          <t>CoQ-PP_26-075</t>
        </is>
      </c>
      <c r="B1721" s="256" t="inlineStr">
        <is>
          <t>release</t>
        </is>
      </c>
      <c r="C1721" s="256" t="inlineStr">
        <is>
          <t>FB012603V</t>
        </is>
      </c>
      <c r="D1721" s="256" t="inlineStr">
        <is>
          <t>— no P lot assigned —</t>
        </is>
      </c>
      <c r="E1721" s="256" t="inlineStr">
        <is>
          <t>Fat Bastard</t>
        </is>
      </c>
      <c r="F1721" s="256" t="inlineStr">
        <is>
          <t>07.07.2026</t>
        </is>
      </c>
      <c r="G1721" s="256" t="inlineStr">
        <is>
          <t>10.3</t>
        </is>
      </c>
      <c r="H1721" s="256" t="inlineStr">
        <is>
          <t>Ochratoxin A</t>
        </is>
      </c>
      <c r="I1721" s="256" t="inlineStr">
        <is>
          <t>Ph. Eur. 2.8.22 (HPLC-FLD)</t>
        </is>
      </c>
      <c r="J1721" s="256" t="inlineStr">
        <is>
          <t>≤ 20 µg/kg</t>
        </is>
      </c>
      <c r="K1721" s="259" t="inlineStr">
        <is>
          <t>not tested</t>
        </is>
      </c>
      <c r="L1721" s="256" t="inlineStr">
        <is>
          <t>—</t>
        </is>
      </c>
      <c r="M1721" s="256" t="inlineStr">
        <is>
          <t>—</t>
        </is>
      </c>
      <c r="N1721" s="256" t="inlineStr">
        <is>
          <t>—</t>
        </is>
      </c>
      <c r="O1721" s="256" t="inlineStr">
        <is>
          <t>—</t>
        </is>
      </c>
      <c r="P1721" s="256" t="inlineStr">
        <is>
          <t>not tested — no certificate covers it</t>
        </is>
      </c>
      <c r="Q1721" s="256" t="inlineStr"/>
      <c r="R1721" s="256" t="inlineStr"/>
    </row>
    <row r="1722">
      <c r="A1722" s="256" t="inlineStr">
        <is>
          <t>CoQ-PP_26-075</t>
        </is>
      </c>
      <c r="B1722" s="256" t="inlineStr">
        <is>
          <t>release</t>
        </is>
      </c>
      <c r="C1722" s="256" t="inlineStr">
        <is>
          <t>FB012603V</t>
        </is>
      </c>
      <c r="D1722" s="256" t="inlineStr">
        <is>
          <t>— no P lot assigned —</t>
        </is>
      </c>
      <c r="E1722" s="256" t="inlineStr">
        <is>
          <t>Fat Bastard</t>
        </is>
      </c>
      <c r="F1722" s="256" t="inlineStr">
        <is>
          <t>07.07.2026</t>
        </is>
      </c>
      <c r="G1722" s="256" t="inlineStr">
        <is>
          <t>11.1</t>
        </is>
      </c>
      <c r="H1722" s="256" t="inlineStr">
        <is>
          <t>Lead (Pb)</t>
        </is>
      </c>
      <c r="I1722" s="256" t="inlineStr">
        <is>
          <t>Ph. Eur. 2.4.27 (ICP-MS)</t>
        </is>
      </c>
      <c r="J1722" s="256" t="inlineStr">
        <is>
          <t>≤ 0.5 mg/kg</t>
        </is>
      </c>
      <c r="K1722" s="259" t="inlineStr">
        <is>
          <t>not tested</t>
        </is>
      </c>
      <c r="L1722" s="256" t="inlineStr">
        <is>
          <t>—</t>
        </is>
      </c>
      <c r="M1722" s="256" t="inlineStr">
        <is>
          <t>—</t>
        </is>
      </c>
      <c r="N1722" s="256" t="inlineStr">
        <is>
          <t>—</t>
        </is>
      </c>
      <c r="O1722" s="256" t="inlineStr">
        <is>
          <t>—</t>
        </is>
      </c>
      <c r="P1722" s="256" t="inlineStr">
        <is>
          <t>not tested — no certificate covers it</t>
        </is>
      </c>
      <c r="Q1722" s="256" t="inlineStr"/>
      <c r="R1722" s="256" t="inlineStr"/>
    </row>
    <row r="1723">
      <c r="A1723" s="256" t="inlineStr">
        <is>
          <t>CoQ-PP_26-075</t>
        </is>
      </c>
      <c r="B1723" s="256" t="inlineStr">
        <is>
          <t>release</t>
        </is>
      </c>
      <c r="C1723" s="256" t="inlineStr">
        <is>
          <t>FB012603V</t>
        </is>
      </c>
      <c r="D1723" s="256" t="inlineStr">
        <is>
          <t>— no P lot assigned —</t>
        </is>
      </c>
      <c r="E1723" s="256" t="inlineStr">
        <is>
          <t>Fat Bastard</t>
        </is>
      </c>
      <c r="F1723" s="256" t="inlineStr">
        <is>
          <t>07.07.2026</t>
        </is>
      </c>
      <c r="G1723" s="256" t="inlineStr">
        <is>
          <t>11.2</t>
        </is>
      </c>
      <c r="H1723" s="256" t="inlineStr">
        <is>
          <t>Cadmium (Cd)</t>
        </is>
      </c>
      <c r="I1723" s="256" t="inlineStr">
        <is>
          <t>Ph. Eur. 2.4.27 (ICP-MS)</t>
        </is>
      </c>
      <c r="J1723" s="256" t="inlineStr">
        <is>
          <t>≤ 0.3 mg/kg</t>
        </is>
      </c>
      <c r="K1723" s="259" t="inlineStr">
        <is>
          <t>not tested</t>
        </is>
      </c>
      <c r="L1723" s="256" t="inlineStr">
        <is>
          <t>—</t>
        </is>
      </c>
      <c r="M1723" s="256" t="inlineStr">
        <is>
          <t>—</t>
        </is>
      </c>
      <c r="N1723" s="256" t="inlineStr">
        <is>
          <t>—</t>
        </is>
      </c>
      <c r="O1723" s="256" t="inlineStr">
        <is>
          <t>—</t>
        </is>
      </c>
      <c r="P1723" s="256" t="inlineStr">
        <is>
          <t>not tested — no certificate covers it</t>
        </is>
      </c>
      <c r="Q1723" s="256" t="inlineStr"/>
      <c r="R1723" s="256" t="inlineStr"/>
    </row>
    <row r="1724">
      <c r="A1724" s="256" t="inlineStr">
        <is>
          <t>CoQ-PP_26-075</t>
        </is>
      </c>
      <c r="B1724" s="256" t="inlineStr">
        <is>
          <t>release</t>
        </is>
      </c>
      <c r="C1724" s="256" t="inlineStr">
        <is>
          <t>FB012603V</t>
        </is>
      </c>
      <c r="D1724" s="256" t="inlineStr">
        <is>
          <t>— no P lot assigned —</t>
        </is>
      </c>
      <c r="E1724" s="256" t="inlineStr">
        <is>
          <t>Fat Bastard</t>
        </is>
      </c>
      <c r="F1724" s="256" t="inlineStr">
        <is>
          <t>07.07.2026</t>
        </is>
      </c>
      <c r="G1724" s="256" t="inlineStr">
        <is>
          <t>11.3</t>
        </is>
      </c>
      <c r="H1724" s="256" t="inlineStr">
        <is>
          <t>Arsenic (As)</t>
        </is>
      </c>
      <c r="I1724" s="256" t="inlineStr">
        <is>
          <t>Ph. Eur. 2.4.27 (ICP-MS)</t>
        </is>
      </c>
      <c r="J1724" s="256" t="inlineStr">
        <is>
          <t>≤ 0.2 mg/kg</t>
        </is>
      </c>
      <c r="K1724" s="259" t="inlineStr">
        <is>
          <t>not tested</t>
        </is>
      </c>
      <c r="L1724" s="256" t="inlineStr">
        <is>
          <t>—</t>
        </is>
      </c>
      <c r="M1724" s="256" t="inlineStr">
        <is>
          <t>—</t>
        </is>
      </c>
      <c r="N1724" s="256" t="inlineStr">
        <is>
          <t>—</t>
        </is>
      </c>
      <c r="O1724" s="256" t="inlineStr">
        <is>
          <t>—</t>
        </is>
      </c>
      <c r="P1724" s="256" t="inlineStr">
        <is>
          <t>not tested — no certificate covers it</t>
        </is>
      </c>
      <c r="Q1724" s="256" t="inlineStr"/>
      <c r="R1724" s="256" t="inlineStr"/>
    </row>
    <row r="1725">
      <c r="A1725" s="256" t="inlineStr">
        <is>
          <t>CoQ-PP_26-075</t>
        </is>
      </c>
      <c r="B1725" s="256" t="inlineStr">
        <is>
          <t>release</t>
        </is>
      </c>
      <c r="C1725" s="256" t="inlineStr">
        <is>
          <t>FB012603V</t>
        </is>
      </c>
      <c r="D1725" s="256" t="inlineStr">
        <is>
          <t>— no P lot assigned —</t>
        </is>
      </c>
      <c r="E1725" s="256" t="inlineStr">
        <is>
          <t>Fat Bastard</t>
        </is>
      </c>
      <c r="F1725" s="256" t="inlineStr">
        <is>
          <t>07.07.2026</t>
        </is>
      </c>
      <c r="G1725" s="256" t="inlineStr">
        <is>
          <t>11.4</t>
        </is>
      </c>
      <c r="H1725" s="256" t="inlineStr">
        <is>
          <t>Mercury (Hg)</t>
        </is>
      </c>
      <c r="I1725" s="256" t="inlineStr">
        <is>
          <t>Ph. Eur. 2.4.27 (ICP-MS)</t>
        </is>
      </c>
      <c r="J1725" s="256" t="inlineStr">
        <is>
          <t>≤ 0.1 mg/kg</t>
        </is>
      </c>
      <c r="K1725" s="259" t="inlineStr">
        <is>
          <t>not tested</t>
        </is>
      </c>
      <c r="L1725" s="256" t="inlineStr">
        <is>
          <t>—</t>
        </is>
      </c>
      <c r="M1725" s="256" t="inlineStr">
        <is>
          <t>—</t>
        </is>
      </c>
      <c r="N1725" s="256" t="inlineStr">
        <is>
          <t>—</t>
        </is>
      </c>
      <c r="O1725" s="256" t="inlineStr">
        <is>
          <t>—</t>
        </is>
      </c>
      <c r="P1725" s="256" t="inlineStr">
        <is>
          <t>not tested — no certificate covers it</t>
        </is>
      </c>
      <c r="Q1725" s="256" t="inlineStr"/>
      <c r="R1725" s="256" t="inlineStr"/>
    </row>
    <row r="1726">
      <c r="A1726" s="256" t="inlineStr">
        <is>
          <t>CoQ-PP_26-075</t>
        </is>
      </c>
      <c r="B1726" s="256" t="inlineStr">
        <is>
          <t>release</t>
        </is>
      </c>
      <c r="C1726" s="256" t="inlineStr">
        <is>
          <t>FB012603V</t>
        </is>
      </c>
      <c r="D1726" s="256" t="inlineStr">
        <is>
          <t>— no P lot assigned —</t>
        </is>
      </c>
      <c r="E1726" s="256" t="inlineStr">
        <is>
          <t>Fat Bastard</t>
        </is>
      </c>
      <c r="F1726" s="256" t="inlineStr">
        <is>
          <t>07.07.2026</t>
        </is>
      </c>
      <c r="G1726" s="256" t="inlineStr">
        <is>
          <t>12</t>
        </is>
      </c>
      <c r="H1726" s="256" t="inlineStr">
        <is>
          <t>Pesticide Residues</t>
        </is>
      </c>
      <c r="I1726" s="256" t="inlineStr">
        <is>
          <t>Ph. Eur. 2.8.13 (LC-MS/MS) · CUMCS Equivalency</t>
        </is>
      </c>
      <c r="J1726" s="256" t="inlineStr">
        <is>
          <t>≤ LOQ as per Ph. Eur. 2.8.13 · ≤ LOQ as per CUMCS Equivalency</t>
        </is>
      </c>
      <c r="K1726" s="259" t="inlineStr">
        <is>
          <t>not tested</t>
        </is>
      </c>
      <c r="L1726" s="256" t="inlineStr">
        <is>
          <t>—</t>
        </is>
      </c>
      <c r="M1726" s="256" t="inlineStr">
        <is>
          <t>—</t>
        </is>
      </c>
      <c r="N1726" s="256" t="inlineStr">
        <is>
          <t>—</t>
        </is>
      </c>
      <c r="O1726" s="256" t="inlineStr">
        <is>
          <t>—</t>
        </is>
      </c>
      <c r="P1726" s="256" t="inlineStr">
        <is>
          <t>not tested — no certificate covers it</t>
        </is>
      </c>
      <c r="Q1726" s="256" t="inlineStr"/>
      <c r="R1726" s="256" t="inlineStr"/>
    </row>
    <row r="1727">
      <c r="A1727" s="256" t="inlineStr">
        <is>
          <t>CoQ-PP_26-076</t>
        </is>
      </c>
      <c r="B1727" s="256" t="inlineStr">
        <is>
          <t>release</t>
        </is>
      </c>
      <c r="C1727" s="256" t="inlineStr">
        <is>
          <t>JD012603/02V</t>
        </is>
      </c>
      <c r="D1727" s="256" t="inlineStr">
        <is>
          <t>P060422</t>
        </is>
      </c>
      <c r="E1727" s="256" t="inlineStr">
        <is>
          <t>Jelly Donuts</t>
        </is>
      </c>
      <c r="F1727" s="256" t="inlineStr">
        <is>
          <t>07.07.2026</t>
        </is>
      </c>
      <c r="G1727" s="256" t="inlineStr">
        <is>
          <t>1</t>
        </is>
      </c>
      <c r="H1727" s="256" t="inlineStr">
        <is>
          <t>Identification A, Appearance · Macroscopic</t>
        </is>
      </c>
      <c r="I1727" s="256" t="inlineStr">
        <is>
          <t>Ph. Eur. mon. 3028</t>
        </is>
      </c>
      <c r="J1727" s="256" t="inlineStr">
        <is>
          <t>Conforms to the monograph for Cannabis flos (07/2024:3028) in Ph. Eur. 11.0 | Согласно монографија за Cannabis flos (07/2024:3028) во Ph. Eur. 11.0</t>
        </is>
      </c>
      <c r="K1727" s="256" t="inlineStr">
        <is>
          <t>Conforms | Одговара</t>
        </is>
      </c>
      <c r="L1727" s="256" t="inlineStr">
        <is>
          <t>ППК26111</t>
        </is>
      </c>
      <c r="M1727" s="256" t="inlineStr">
        <is>
          <t>30.06.2026</t>
        </is>
      </c>
      <c r="N1727" s="256" t="inlineStr">
        <is>
          <t>UKIM Faculty of Pharmacy — Center for Natural Products</t>
        </is>
      </c>
      <c r="O1727" s="256" t="inlineStr">
        <is>
          <t>17.06.2026</t>
        </is>
      </c>
      <c r="P1727" s="256" t="inlineStr">
        <is>
          <t>covered</t>
        </is>
      </c>
      <c r="Q1727" s="256" t="inlineStr"/>
      <c r="R1727" s="256" t="inlineStr"/>
    </row>
    <row r="1728">
      <c r="A1728" s="256" t="inlineStr">
        <is>
          <t>CoQ-PP_26-076</t>
        </is>
      </c>
      <c r="B1728" s="256" t="inlineStr">
        <is>
          <t>release</t>
        </is>
      </c>
      <c r="C1728" s="256" t="inlineStr">
        <is>
          <t>JD012603/02V</t>
        </is>
      </c>
      <c r="D1728" s="256" t="inlineStr">
        <is>
          <t>P060422</t>
        </is>
      </c>
      <c r="E1728" s="256" t="inlineStr">
        <is>
          <t>Jelly Donuts</t>
        </is>
      </c>
      <c r="F1728" s="256" t="inlineStr">
        <is>
          <t>07.07.2026</t>
        </is>
      </c>
      <c r="G1728" s="256" t="inlineStr">
        <is>
          <t>2</t>
        </is>
      </c>
      <c r="H1728" s="256" t="inlineStr">
        <is>
          <t>Identification B · Microscopic</t>
        </is>
      </c>
      <c r="I1728" s="256" t="inlineStr">
        <is>
          <t>Ph. Eur. 2.8.23 (microscopy)</t>
        </is>
      </c>
      <c r="J1728" s="256" t="inlineStr">
        <is>
          <t>Conforms to the monograph for Cannabis flos (07/2024:3028) in Ph. Eur. 11.0 | Согласно монографија за Cannabis flos (07/2024:3028) во Ph. Eur. 11.0</t>
        </is>
      </c>
      <c r="K1728" s="256" t="inlineStr">
        <is>
          <t>Conforms | Одговара</t>
        </is>
      </c>
      <c r="L1728" s="256" t="inlineStr">
        <is>
          <t>ППК26111</t>
        </is>
      </c>
      <c r="M1728" s="256" t="inlineStr">
        <is>
          <t>30.06.2026</t>
        </is>
      </c>
      <c r="N1728" s="256" t="inlineStr">
        <is>
          <t>UKIM Faculty of Pharmacy — Center for Natural Products</t>
        </is>
      </c>
      <c r="O1728" s="256" t="inlineStr">
        <is>
          <t>17.06.2026</t>
        </is>
      </c>
      <c r="P1728" s="256" t="inlineStr">
        <is>
          <t>covered</t>
        </is>
      </c>
      <c r="Q1728" s="256" t="inlineStr"/>
      <c r="R1728" s="256" t="inlineStr"/>
    </row>
    <row r="1729">
      <c r="A1729" s="256" t="inlineStr">
        <is>
          <t>CoQ-PP_26-076</t>
        </is>
      </c>
      <c r="B1729" s="256" t="inlineStr">
        <is>
          <t>release</t>
        </is>
      </c>
      <c r="C1729" s="256" t="inlineStr">
        <is>
          <t>JD012603/02V</t>
        </is>
      </c>
      <c r="D1729" s="256" t="inlineStr">
        <is>
          <t>P060422</t>
        </is>
      </c>
      <c r="E1729" s="256" t="inlineStr">
        <is>
          <t>Jelly Donuts</t>
        </is>
      </c>
      <c r="F1729" s="256" t="inlineStr">
        <is>
          <t>07.07.2026</t>
        </is>
      </c>
      <c r="G1729" s="256" t="inlineStr">
        <is>
          <t>3</t>
        </is>
      </c>
      <c r="H1729" s="256" t="inlineStr">
        <is>
          <t>Identification C · HPLC/HPTLC</t>
        </is>
      </c>
      <c r="I1729" s="256" t="inlineStr">
        <is>
          <t>Ph. Eur. 2.2.29 (3028)</t>
        </is>
      </c>
      <c r="J1729" s="256" t="inlineStr">
        <is>
          <t>Conforms to the monograph for Cannabis flos (07/2024:3028) in Ph. Eur. 11.0 | Согласно монографија за Cannabis flos (07/2024:3028) во Ph. Eur. 11.0</t>
        </is>
      </c>
      <c r="K1729" s="256" t="inlineStr">
        <is>
          <t>Conforms | Одговара</t>
        </is>
      </c>
      <c r="L1729" s="256" t="inlineStr">
        <is>
          <t>ППК26111</t>
        </is>
      </c>
      <c r="M1729" s="256" t="inlineStr">
        <is>
          <t>30.06.2026</t>
        </is>
      </c>
      <c r="N1729" s="256" t="inlineStr">
        <is>
          <t>UKIM Faculty of Pharmacy — Center for Natural Products</t>
        </is>
      </c>
      <c r="O1729" s="256" t="inlineStr">
        <is>
          <t>17.06.2026</t>
        </is>
      </c>
      <c r="P1729" s="256" t="inlineStr">
        <is>
          <t>covered</t>
        </is>
      </c>
      <c r="Q1729" s="256" t="inlineStr"/>
      <c r="R1729" s="256" t="inlineStr"/>
    </row>
    <row r="1730">
      <c r="A1730" s="256" t="inlineStr">
        <is>
          <t>CoQ-PP_26-076</t>
        </is>
      </c>
      <c r="B1730" s="256" t="inlineStr">
        <is>
          <t>release</t>
        </is>
      </c>
      <c r="C1730" s="256" t="inlineStr">
        <is>
          <t>JD012603/02V</t>
        </is>
      </c>
      <c r="D1730" s="256" t="inlineStr">
        <is>
          <t>P060422</t>
        </is>
      </c>
      <c r="E1730" s="256" t="inlineStr">
        <is>
          <t>Jelly Donuts</t>
        </is>
      </c>
      <c r="F1730" s="256" t="inlineStr">
        <is>
          <t>07.07.2026</t>
        </is>
      </c>
      <c r="G1730" s="256" t="inlineStr">
        <is>
          <t>4</t>
        </is>
      </c>
      <c r="H1730" s="256" t="inlineStr">
        <is>
          <t>Assay — Total Δ⁹-THC</t>
        </is>
      </c>
      <c r="I1730" s="256" t="inlineStr">
        <is>
          <t>Ph. Eur. 2.2.29 (HPLC)</t>
        </is>
      </c>
      <c r="J1730" s="256" t="inlineStr">
        <is>
          <t>13.80 – 16.19 %  (grade III, nominal 15.00 ± 1.20)</t>
        </is>
      </c>
      <c r="K1730" s="256" t="inlineStr">
        <is>
          <t>15.16</t>
        </is>
      </c>
      <c r="L1730" s="256" t="inlineStr">
        <is>
          <t>ППК26111</t>
        </is>
      </c>
      <c r="M1730" s="256" t="inlineStr">
        <is>
          <t>30.06.2026</t>
        </is>
      </c>
      <c r="N1730" s="256" t="inlineStr">
        <is>
          <t>UKIM Faculty of Pharmacy — Center for Natural Products</t>
        </is>
      </c>
      <c r="O1730" s="256" t="inlineStr">
        <is>
          <t>17.06.2026</t>
        </is>
      </c>
      <c r="P1730" s="256" t="inlineStr">
        <is>
          <t>covered</t>
        </is>
      </c>
      <c r="Q1730" s="256" t="inlineStr"/>
      <c r="R1730" s="256" t="inlineStr">
        <is>
          <t>17.09 (220-18-К/26)</t>
        </is>
      </c>
    </row>
    <row r="1731">
      <c r="A1731" s="256" t="inlineStr">
        <is>
          <t>CoQ-PP_26-076</t>
        </is>
      </c>
      <c r="B1731" s="256" t="inlineStr">
        <is>
          <t>release</t>
        </is>
      </c>
      <c r="C1731" s="256" t="inlineStr">
        <is>
          <t>JD012603/02V</t>
        </is>
      </c>
      <c r="D1731" s="256" t="inlineStr">
        <is>
          <t>P060422</t>
        </is>
      </c>
      <c r="E1731" s="256" t="inlineStr">
        <is>
          <t>Jelly Donuts</t>
        </is>
      </c>
      <c r="F1731" s="256" t="inlineStr">
        <is>
          <t>07.07.2026</t>
        </is>
      </c>
      <c r="G1731" s="256" t="inlineStr">
        <is>
          <t>5</t>
        </is>
      </c>
      <c r="H1731" s="256" t="inlineStr">
        <is>
          <t>Assay — Total CBD</t>
        </is>
      </c>
      <c r="I1731" s="256" t="inlineStr">
        <is>
          <t>Ph. Eur. 2.2.29 (HPLC) · CBD + CBDA x 0.877</t>
        </is>
      </c>
      <c r="J1731" s="256" t="inlineStr">
        <is>
          <t>≤ 1.0%, w/w</t>
        </is>
      </c>
      <c r="K1731" s="256" t="inlineStr">
        <is>
          <t>&lt; LOQ (below limit of quantification)</t>
        </is>
      </c>
      <c r="L1731" s="256" t="inlineStr">
        <is>
          <t>ППК26111</t>
        </is>
      </c>
      <c r="M1731" s="256" t="inlineStr">
        <is>
          <t>30.06.2026</t>
        </is>
      </c>
      <c r="N1731" s="256" t="inlineStr">
        <is>
          <t>UKIM Faculty of Pharmacy — Center for Natural Products</t>
        </is>
      </c>
      <c r="O1731" s="256" t="inlineStr">
        <is>
          <t>17.06.2026</t>
        </is>
      </c>
      <c r="P1731" s="256" t="inlineStr">
        <is>
          <t>covered</t>
        </is>
      </c>
      <c r="Q1731" s="256" t="inlineStr"/>
      <c r="R1731" s="256" t="inlineStr">
        <is>
          <t>&lt;LOQ (220-18-К/26)</t>
        </is>
      </c>
    </row>
    <row r="1732">
      <c r="A1732" s="256" t="inlineStr">
        <is>
          <t>CoQ-PP_26-076</t>
        </is>
      </c>
      <c r="B1732" s="256" t="inlineStr">
        <is>
          <t>release</t>
        </is>
      </c>
      <c r="C1732" s="256" t="inlineStr">
        <is>
          <t>JD012603/02V</t>
        </is>
      </c>
      <c r="D1732" s="256" t="inlineStr">
        <is>
          <t>P060422</t>
        </is>
      </c>
      <c r="E1732" s="256" t="inlineStr">
        <is>
          <t>Jelly Donuts</t>
        </is>
      </c>
      <c r="F1732" s="256" t="inlineStr">
        <is>
          <t>07.07.2026</t>
        </is>
      </c>
      <c r="G1732" s="256" t="inlineStr">
        <is>
          <t>6</t>
        </is>
      </c>
      <c r="H1732" s="256" t="inlineStr">
        <is>
          <t>Total CBN</t>
        </is>
      </c>
      <c r="I1732" s="256" t="inlineStr">
        <is>
          <t>Ph. Eur. 2.2.29 (HPLC) · CBN + CBNA x 0.876</t>
        </is>
      </c>
      <c r="J1732" s="256" t="inlineStr">
        <is>
          <t>≤ 1.0%, w/w</t>
        </is>
      </c>
      <c r="K1732" s="256" t="inlineStr">
        <is>
          <t>0.04</t>
        </is>
      </c>
      <c r="L1732" s="256" t="inlineStr">
        <is>
          <t>ППК26111</t>
        </is>
      </c>
      <c r="M1732" s="256" t="inlineStr">
        <is>
          <t>30.06.2026</t>
        </is>
      </c>
      <c r="N1732" s="256" t="inlineStr">
        <is>
          <t>UKIM Faculty of Pharmacy — Center for Natural Products</t>
        </is>
      </c>
      <c r="O1732" s="256" t="inlineStr">
        <is>
          <t>17.06.2026</t>
        </is>
      </c>
      <c r="P1732" s="256" t="inlineStr">
        <is>
          <t>covered</t>
        </is>
      </c>
      <c r="Q1732" s="256" t="inlineStr"/>
      <c r="R1732" s="256" t="inlineStr">
        <is>
          <t>&lt;LOQ (220-18-К/26)</t>
        </is>
      </c>
    </row>
    <row r="1733">
      <c r="A1733" s="256" t="inlineStr">
        <is>
          <t>CoQ-PP_26-076</t>
        </is>
      </c>
      <c r="B1733" s="256" t="inlineStr">
        <is>
          <t>release</t>
        </is>
      </c>
      <c r="C1733" s="256" t="inlineStr">
        <is>
          <t>JD012603/02V</t>
        </is>
      </c>
      <c r="D1733" s="256" t="inlineStr">
        <is>
          <t>P060422</t>
        </is>
      </c>
      <c r="E1733" s="256" t="inlineStr">
        <is>
          <t>Jelly Donuts</t>
        </is>
      </c>
      <c r="F1733" s="256" t="inlineStr">
        <is>
          <t>07.07.2026</t>
        </is>
      </c>
      <c r="G1733" s="256" t="inlineStr">
        <is>
          <t>7</t>
        </is>
      </c>
      <c r="H1733" s="256" t="inlineStr">
        <is>
          <t>Foreign Matter</t>
        </is>
      </c>
      <c r="I1733" s="256" t="inlineStr">
        <is>
          <t>Ph. Eur. 2.8.2 · In-house · интерна</t>
        </is>
      </c>
      <c r="J1733" s="256" t="inlineStr">
        <is>
          <t>≤ 2.0% / 25–50 g · &lt; 1 cm leaves | листови, no seeds | без семки</t>
        </is>
      </c>
      <c r="K1733" s="256" t="inlineStr">
        <is>
          <t>Conforms | Одговара</t>
        </is>
      </c>
      <c r="L1733" s="256" t="inlineStr">
        <is>
          <t>ППК26111</t>
        </is>
      </c>
      <c r="M1733" s="256" t="inlineStr">
        <is>
          <t>30.06.2026</t>
        </is>
      </c>
      <c r="N1733" s="256" t="inlineStr">
        <is>
          <t>UKIM Faculty of Pharmacy — Center for Natural Products</t>
        </is>
      </c>
      <c r="O1733" s="256" t="inlineStr">
        <is>
          <t>17.06.2026</t>
        </is>
      </c>
      <c r="P1733" s="256" t="inlineStr">
        <is>
          <t>covered</t>
        </is>
      </c>
      <c r="Q1733" s="256" t="inlineStr"/>
      <c r="R1733" s="256" t="inlineStr"/>
    </row>
    <row r="1734">
      <c r="A1734" s="256" t="inlineStr">
        <is>
          <t>CoQ-PP_26-076</t>
        </is>
      </c>
      <c r="B1734" s="256" t="inlineStr">
        <is>
          <t>release</t>
        </is>
      </c>
      <c r="C1734" s="256" t="inlineStr">
        <is>
          <t>JD012603/02V</t>
        </is>
      </c>
      <c r="D1734" s="256" t="inlineStr">
        <is>
          <t>P060422</t>
        </is>
      </c>
      <c r="E1734" s="256" t="inlineStr">
        <is>
          <t>Jelly Donuts</t>
        </is>
      </c>
      <c r="F1734" s="256" t="inlineStr">
        <is>
          <t>07.07.2026</t>
        </is>
      </c>
      <c r="G1734" s="256" t="inlineStr">
        <is>
          <t>8</t>
        </is>
      </c>
      <c r="H1734" s="256" t="inlineStr">
        <is>
          <t>Loss on Drying</t>
        </is>
      </c>
      <c r="I1734" s="256" t="inlineStr">
        <is>
          <t>Ph. Eur. 2.2.32 (3028) · at 40 °C, 24 h, 15–25 mbar</t>
        </is>
      </c>
      <c r="J1734" s="256" t="inlineStr">
        <is>
          <t>≤ 12.0%</t>
        </is>
      </c>
      <c r="K1734" s="256" t="inlineStr">
        <is>
          <t>7.04</t>
        </is>
      </c>
      <c r="L1734" s="256" t="inlineStr">
        <is>
          <t>ППК26111</t>
        </is>
      </c>
      <c r="M1734" s="256" t="inlineStr">
        <is>
          <t>30.06.2026</t>
        </is>
      </c>
      <c r="N1734" s="256" t="inlineStr">
        <is>
          <t>UKIM Faculty of Pharmacy — Center for Natural Products</t>
        </is>
      </c>
      <c r="O1734" s="256" t="inlineStr">
        <is>
          <t>17.06.2026</t>
        </is>
      </c>
      <c r="P1734" s="256" t="inlineStr">
        <is>
          <t>covered</t>
        </is>
      </c>
      <c r="Q1734" s="256" t="inlineStr"/>
      <c r="R1734" s="256" t="inlineStr"/>
    </row>
    <row r="1735">
      <c r="A1735" s="256" t="inlineStr">
        <is>
          <t>CoQ-PP_26-076</t>
        </is>
      </c>
      <c r="B1735" s="256" t="inlineStr">
        <is>
          <t>release</t>
        </is>
      </c>
      <c r="C1735" s="256" t="inlineStr">
        <is>
          <t>JD012603/02V</t>
        </is>
      </c>
      <c r="D1735" s="256" t="inlineStr">
        <is>
          <t>P060422</t>
        </is>
      </c>
      <c r="E1735" s="256" t="inlineStr">
        <is>
          <t>Jelly Donuts</t>
        </is>
      </c>
      <c r="F1735" s="256" t="inlineStr">
        <is>
          <t>07.07.2026</t>
        </is>
      </c>
      <c r="G1735" s="256" t="inlineStr">
        <is>
          <t>9.1</t>
        </is>
      </c>
      <c r="H1735" s="256" t="inlineStr">
        <is>
          <t>TAMC</t>
        </is>
      </c>
      <c r="I1735" s="256" t="inlineStr">
        <is>
          <t>Ph. Eur. 2.6.12 cat. C</t>
        </is>
      </c>
      <c r="J1735" s="256" t="inlineStr">
        <is>
          <t>≤ 10⁵ CFU/g</t>
        </is>
      </c>
      <c r="K1735" s="256" t="inlineStr">
        <is>
          <t>5.1 × 10³</t>
        </is>
      </c>
      <c r="L1735" s="256" t="inlineStr">
        <is>
          <t>406/0789/26</t>
        </is>
      </c>
      <c r="M1735" s="256" t="inlineStr">
        <is>
          <t>24.06.2026</t>
        </is>
      </c>
      <c r="N1735" s="256" t="inlineStr">
        <is>
          <t>IPH — Institute of Public Health</t>
        </is>
      </c>
      <c r="O1735" s="256" t="inlineStr">
        <is>
          <t>—</t>
        </is>
      </c>
      <c r="P1735" s="256" t="inlineStr">
        <is>
          <t>covered</t>
        </is>
      </c>
      <c r="Q1735" s="256" t="inlineStr"/>
      <c r="R1735" s="256" t="inlineStr"/>
    </row>
    <row r="1736">
      <c r="A1736" s="256" t="inlineStr">
        <is>
          <t>CoQ-PP_26-076</t>
        </is>
      </c>
      <c r="B1736" s="256" t="inlineStr">
        <is>
          <t>release</t>
        </is>
      </c>
      <c r="C1736" s="256" t="inlineStr">
        <is>
          <t>JD012603/02V</t>
        </is>
      </c>
      <c r="D1736" s="256" t="inlineStr">
        <is>
          <t>P060422</t>
        </is>
      </c>
      <c r="E1736" s="256" t="inlineStr">
        <is>
          <t>Jelly Donuts</t>
        </is>
      </c>
      <c r="F1736" s="256" t="inlineStr">
        <is>
          <t>07.07.2026</t>
        </is>
      </c>
      <c r="G1736" s="256" t="inlineStr">
        <is>
          <t>9.2</t>
        </is>
      </c>
      <c r="H1736" s="256" t="inlineStr">
        <is>
          <t>TYMC</t>
        </is>
      </c>
      <c r="I1736" s="256" t="inlineStr">
        <is>
          <t>Ph. Eur. 2.6.12 cat. C</t>
        </is>
      </c>
      <c r="J1736" s="256" t="inlineStr">
        <is>
          <t>≤ 10⁴ CFU/g</t>
        </is>
      </c>
      <c r="K1736" s="256" t="inlineStr">
        <is>
          <t>4.7 × 10³</t>
        </is>
      </c>
      <c r="L1736" s="256" t="inlineStr">
        <is>
          <t>406/0789/26</t>
        </is>
      </c>
      <c r="M1736" s="256" t="inlineStr">
        <is>
          <t>24.06.2026</t>
        </is>
      </c>
      <c r="N1736" s="256" t="inlineStr">
        <is>
          <t>IPH — Institute of Public Health</t>
        </is>
      </c>
      <c r="O1736" s="256" t="inlineStr">
        <is>
          <t>—</t>
        </is>
      </c>
      <c r="P1736" s="256" t="inlineStr">
        <is>
          <t>covered</t>
        </is>
      </c>
      <c r="Q1736" s="256" t="inlineStr"/>
      <c r="R1736" s="256" t="inlineStr"/>
    </row>
    <row r="1737">
      <c r="A1737" s="256" t="inlineStr">
        <is>
          <t>CoQ-PP_26-076</t>
        </is>
      </c>
      <c r="B1737" s="256" t="inlineStr">
        <is>
          <t>release</t>
        </is>
      </c>
      <c r="C1737" s="256" t="inlineStr">
        <is>
          <t>JD012603/02V</t>
        </is>
      </c>
      <c r="D1737" s="256" t="inlineStr">
        <is>
          <t>P060422</t>
        </is>
      </c>
      <c r="E1737" s="256" t="inlineStr">
        <is>
          <t>Jelly Donuts</t>
        </is>
      </c>
      <c r="F1737" s="256" t="inlineStr">
        <is>
          <t>07.07.2026</t>
        </is>
      </c>
      <c r="G1737" s="256" t="inlineStr">
        <is>
          <t>9.3</t>
        </is>
      </c>
      <c r="H1737" s="256" t="inlineStr">
        <is>
          <t>Bile-tolerant gram-neg.</t>
        </is>
      </c>
      <c r="I1737" s="256" t="inlineStr">
        <is>
          <t>Ph. Eur. 2.6.31 cat. C</t>
        </is>
      </c>
      <c r="J1737" s="256" t="inlineStr">
        <is>
          <t>≤ 10⁴ CFU/g</t>
        </is>
      </c>
      <c r="K1737" s="256" t="inlineStr">
        <is>
          <t>&lt; 10</t>
        </is>
      </c>
      <c r="L1737" s="256" t="inlineStr">
        <is>
          <t>406/0789/26</t>
        </is>
      </c>
      <c r="M1737" s="256" t="inlineStr">
        <is>
          <t>24.06.2026</t>
        </is>
      </c>
      <c r="N1737" s="256" t="inlineStr">
        <is>
          <t>IPH — Institute of Public Health</t>
        </is>
      </c>
      <c r="O1737" s="256" t="inlineStr">
        <is>
          <t>—</t>
        </is>
      </c>
      <c r="P1737" s="256" t="inlineStr">
        <is>
          <t>covered</t>
        </is>
      </c>
      <c r="Q1737" s="256" t="inlineStr"/>
      <c r="R1737" s="256" t="inlineStr"/>
    </row>
    <row r="1738">
      <c r="A1738" s="256" t="inlineStr">
        <is>
          <t>CoQ-PP_26-076</t>
        </is>
      </c>
      <c r="B1738" s="256" t="inlineStr">
        <is>
          <t>release</t>
        </is>
      </c>
      <c r="C1738" s="256" t="inlineStr">
        <is>
          <t>JD012603/02V</t>
        </is>
      </c>
      <c r="D1738" s="256" t="inlineStr">
        <is>
          <t>P060422</t>
        </is>
      </c>
      <c r="E1738" s="256" t="inlineStr">
        <is>
          <t>Jelly Donuts</t>
        </is>
      </c>
      <c r="F1738" s="256" t="inlineStr">
        <is>
          <t>07.07.2026</t>
        </is>
      </c>
      <c r="G1738" s="256" t="inlineStr">
        <is>
          <t>9.4</t>
        </is>
      </c>
      <c r="H1738" s="256" t="inlineStr">
        <is>
          <t>Salmonella</t>
        </is>
      </c>
      <c r="I1738" s="256" t="inlineStr">
        <is>
          <t>Ph. Eur. 2.6.31 cat. C</t>
        </is>
      </c>
      <c r="J1738" s="256" t="inlineStr">
        <is>
          <t>Absence | Отсуство / 25 g</t>
        </is>
      </c>
      <c r="K1738" s="256" t="inlineStr">
        <is>
          <t>Absent | Отсутна</t>
        </is>
      </c>
      <c r="L1738" s="256" t="inlineStr">
        <is>
          <t>406/0789/26</t>
        </is>
      </c>
      <c r="M1738" s="256" t="inlineStr">
        <is>
          <t>24.06.2026</t>
        </is>
      </c>
      <c r="N1738" s="256" t="inlineStr">
        <is>
          <t>IPH — Institute of Public Health</t>
        </is>
      </c>
      <c r="O1738" s="256" t="inlineStr">
        <is>
          <t>—</t>
        </is>
      </c>
      <c r="P1738" s="256" t="inlineStr">
        <is>
          <t>covered</t>
        </is>
      </c>
      <c r="Q1738" s="256" t="inlineStr"/>
      <c r="R1738" s="256" t="inlineStr"/>
    </row>
    <row r="1739">
      <c r="A1739" s="256" t="inlineStr">
        <is>
          <t>CoQ-PP_26-076</t>
        </is>
      </c>
      <c r="B1739" s="256" t="inlineStr">
        <is>
          <t>release</t>
        </is>
      </c>
      <c r="C1739" s="256" t="inlineStr">
        <is>
          <t>JD012603/02V</t>
        </is>
      </c>
      <c r="D1739" s="256" t="inlineStr">
        <is>
          <t>P060422</t>
        </is>
      </c>
      <c r="E1739" s="256" t="inlineStr">
        <is>
          <t>Jelly Donuts</t>
        </is>
      </c>
      <c r="F1739" s="256" t="inlineStr">
        <is>
          <t>07.07.2026</t>
        </is>
      </c>
      <c r="G1739" s="256" t="inlineStr">
        <is>
          <t>9.5</t>
        </is>
      </c>
      <c r="H1739" s="256" t="inlineStr">
        <is>
          <t>Escherichia coli</t>
        </is>
      </c>
      <c r="I1739" s="256" t="inlineStr">
        <is>
          <t>Ph. Eur. 2.6.13 cat. C</t>
        </is>
      </c>
      <c r="J1739" s="256" t="inlineStr">
        <is>
          <t>Absence | Отсуство / 1 g</t>
        </is>
      </c>
      <c r="K1739" s="256" t="inlineStr">
        <is>
          <t>Absent | Отсутна</t>
        </is>
      </c>
      <c r="L1739" s="256" t="inlineStr">
        <is>
          <t>406/0789/26</t>
        </is>
      </c>
      <c r="M1739" s="256" t="inlineStr">
        <is>
          <t>24.06.2026</t>
        </is>
      </c>
      <c r="N1739" s="256" t="inlineStr">
        <is>
          <t>IPH — Institute of Public Health</t>
        </is>
      </c>
      <c r="O1739" s="256" t="inlineStr">
        <is>
          <t>—</t>
        </is>
      </c>
      <c r="P1739" s="256" t="inlineStr">
        <is>
          <t>covered</t>
        </is>
      </c>
      <c r="Q1739" s="256" t="inlineStr"/>
      <c r="R1739" s="256" t="inlineStr"/>
    </row>
    <row r="1740">
      <c r="A1740" s="256" t="inlineStr">
        <is>
          <t>CoQ-PP_26-076</t>
        </is>
      </c>
      <c r="B1740" s="256" t="inlineStr">
        <is>
          <t>release</t>
        </is>
      </c>
      <c r="C1740" s="256" t="inlineStr">
        <is>
          <t>JD012603/02V</t>
        </is>
      </c>
      <c r="D1740" s="256" t="inlineStr">
        <is>
          <t>P060422</t>
        </is>
      </c>
      <c r="E1740" s="256" t="inlineStr">
        <is>
          <t>Jelly Donuts</t>
        </is>
      </c>
      <c r="F1740" s="256" t="inlineStr">
        <is>
          <t>07.07.2026</t>
        </is>
      </c>
      <c r="G1740" s="256" t="inlineStr">
        <is>
          <t>9.6</t>
        </is>
      </c>
      <c r="H1740" s="256" t="inlineStr">
        <is>
          <t>Pseudomonas aeruginosa</t>
        </is>
      </c>
      <c r="I1740" s="256" t="inlineStr">
        <is>
          <t>Ph. Eur. 2.6.13 cat. C</t>
        </is>
      </c>
      <c r="J1740" s="256" t="inlineStr">
        <is>
          <t>Absence | Отсуство / 1 g</t>
        </is>
      </c>
      <c r="K1740" s="260" t="inlineStr">
        <is>
          <t>upon request — not required for release</t>
        </is>
      </c>
      <c r="L1740" s="256" t="inlineStr">
        <is>
          <t>—</t>
        </is>
      </c>
      <c r="M1740" s="256" t="inlineStr">
        <is>
          <t>—</t>
        </is>
      </c>
      <c r="N1740" s="256" t="inlineStr">
        <is>
          <t>—</t>
        </is>
      </c>
      <c r="O1740" s="256" t="inlineStr">
        <is>
          <t>—</t>
        </is>
      </c>
      <c r="P1740" s="256" t="inlineStr">
        <is>
          <t>upon request — not required for release</t>
        </is>
      </c>
      <c r="Q1740" s="256" t="inlineStr"/>
      <c r="R1740" s="256" t="inlineStr"/>
    </row>
    <row r="1741">
      <c r="A1741" s="256" t="inlineStr">
        <is>
          <t>CoQ-PP_26-076</t>
        </is>
      </c>
      <c r="B1741" s="256" t="inlineStr">
        <is>
          <t>release</t>
        </is>
      </c>
      <c r="C1741" s="256" t="inlineStr">
        <is>
          <t>JD012603/02V</t>
        </is>
      </c>
      <c r="D1741" s="256" t="inlineStr">
        <is>
          <t>P060422</t>
        </is>
      </c>
      <c r="E1741" s="256" t="inlineStr">
        <is>
          <t>Jelly Donuts</t>
        </is>
      </c>
      <c r="F1741" s="256" t="inlineStr">
        <is>
          <t>07.07.2026</t>
        </is>
      </c>
      <c r="G1741" s="256" t="inlineStr">
        <is>
          <t>9.7</t>
        </is>
      </c>
      <c r="H1741" s="256" t="inlineStr">
        <is>
          <t>Staphylococcus aureus</t>
        </is>
      </c>
      <c r="I1741" s="256" t="inlineStr">
        <is>
          <t>Ph. Eur. 2.6.13 cat. C</t>
        </is>
      </c>
      <c r="J1741" s="256" t="inlineStr">
        <is>
          <t>Absence | Отсуство / 1 g</t>
        </is>
      </c>
      <c r="K1741" s="260" t="inlineStr">
        <is>
          <t>upon request — not required for release</t>
        </is>
      </c>
      <c r="L1741" s="256" t="inlineStr">
        <is>
          <t>—</t>
        </is>
      </c>
      <c r="M1741" s="256" t="inlineStr">
        <is>
          <t>—</t>
        </is>
      </c>
      <c r="N1741" s="256" t="inlineStr">
        <is>
          <t>—</t>
        </is>
      </c>
      <c r="O1741" s="256" t="inlineStr">
        <is>
          <t>—</t>
        </is>
      </c>
      <c r="P1741" s="256" t="inlineStr">
        <is>
          <t>upon request — not required for release</t>
        </is>
      </c>
      <c r="Q1741" s="256" t="inlineStr"/>
      <c r="R1741" s="256" t="inlineStr"/>
    </row>
    <row r="1742">
      <c r="A1742" s="256" t="inlineStr">
        <is>
          <t>CoQ-PP_26-076</t>
        </is>
      </c>
      <c r="B1742" s="256" t="inlineStr">
        <is>
          <t>release</t>
        </is>
      </c>
      <c r="C1742" s="256" t="inlineStr">
        <is>
          <t>JD012603/02V</t>
        </is>
      </c>
      <c r="D1742" s="256" t="inlineStr">
        <is>
          <t>P060422</t>
        </is>
      </c>
      <c r="E1742" s="256" t="inlineStr">
        <is>
          <t>Jelly Donuts</t>
        </is>
      </c>
      <c r="F1742" s="256" t="inlineStr">
        <is>
          <t>07.07.2026</t>
        </is>
      </c>
      <c r="G1742" s="256" t="inlineStr">
        <is>
          <t>10.1</t>
        </is>
      </c>
      <c r="H1742" s="256" t="inlineStr">
        <is>
          <t>Aflatoxin B₁</t>
        </is>
      </c>
      <c r="I1742" s="256" t="inlineStr">
        <is>
          <t>Ph. Eur. 2.8.18 (HPLC-FLD)</t>
        </is>
      </c>
      <c r="J1742" s="256" t="inlineStr">
        <is>
          <t>≤ 2 µg/kg</t>
        </is>
      </c>
      <c r="K1742" s="259" t="inlineStr">
        <is>
          <t>not tested</t>
        </is>
      </c>
      <c r="L1742" s="256" t="inlineStr">
        <is>
          <t>—</t>
        </is>
      </c>
      <c r="M1742" s="256" t="inlineStr">
        <is>
          <t>—</t>
        </is>
      </c>
      <c r="N1742" s="256" t="inlineStr">
        <is>
          <t>—</t>
        </is>
      </c>
      <c r="O1742" s="256" t="inlineStr">
        <is>
          <t>—</t>
        </is>
      </c>
      <c r="P1742" s="256" t="inlineStr">
        <is>
          <t>not tested — no certificate covers it</t>
        </is>
      </c>
      <c r="Q1742" s="256" t="inlineStr"/>
      <c r="R1742" s="256" t="inlineStr">
        <is>
          <t>ND (220-18-М/26)</t>
        </is>
      </c>
    </row>
    <row r="1743">
      <c r="A1743" s="256" t="inlineStr">
        <is>
          <t>CoQ-PP_26-076</t>
        </is>
      </c>
      <c r="B1743" s="256" t="inlineStr">
        <is>
          <t>release</t>
        </is>
      </c>
      <c r="C1743" s="256" t="inlineStr">
        <is>
          <t>JD012603/02V</t>
        </is>
      </c>
      <c r="D1743" s="256" t="inlineStr">
        <is>
          <t>P060422</t>
        </is>
      </c>
      <c r="E1743" s="256" t="inlineStr">
        <is>
          <t>Jelly Donuts</t>
        </is>
      </c>
      <c r="F1743" s="256" t="inlineStr">
        <is>
          <t>07.07.2026</t>
        </is>
      </c>
      <c r="G1743" s="256" t="inlineStr">
        <is>
          <t>10.2</t>
        </is>
      </c>
      <c r="H1743" s="256" t="inlineStr">
        <is>
          <t>Aflatoxins ∑</t>
        </is>
      </c>
      <c r="I1743" s="256" t="inlineStr">
        <is>
          <t>Ph. Eur. 2.8.18 (HPLC-FLD)</t>
        </is>
      </c>
      <c r="J1743" s="256" t="inlineStr">
        <is>
          <t>≤ 4 µg/kg</t>
        </is>
      </c>
      <c r="K1743" s="259" t="inlineStr">
        <is>
          <t>not tested</t>
        </is>
      </c>
      <c r="L1743" s="256" t="inlineStr">
        <is>
          <t>—</t>
        </is>
      </c>
      <c r="M1743" s="256" t="inlineStr">
        <is>
          <t>—</t>
        </is>
      </c>
      <c r="N1743" s="256" t="inlineStr">
        <is>
          <t>—</t>
        </is>
      </c>
      <c r="O1743" s="256" t="inlineStr">
        <is>
          <t>—</t>
        </is>
      </c>
      <c r="P1743" s="256" t="inlineStr">
        <is>
          <t>not tested — no certificate covers it</t>
        </is>
      </c>
      <c r="Q1743" s="256" t="inlineStr"/>
      <c r="R1743" s="256" t="inlineStr">
        <is>
          <t>ND (220-18-М/26)</t>
        </is>
      </c>
    </row>
    <row r="1744">
      <c r="A1744" s="256" t="inlineStr">
        <is>
          <t>CoQ-PP_26-076</t>
        </is>
      </c>
      <c r="B1744" s="256" t="inlineStr">
        <is>
          <t>release</t>
        </is>
      </c>
      <c r="C1744" s="256" t="inlineStr">
        <is>
          <t>JD012603/02V</t>
        </is>
      </c>
      <c r="D1744" s="256" t="inlineStr">
        <is>
          <t>P060422</t>
        </is>
      </c>
      <c r="E1744" s="256" t="inlineStr">
        <is>
          <t>Jelly Donuts</t>
        </is>
      </c>
      <c r="F1744" s="256" t="inlineStr">
        <is>
          <t>07.07.2026</t>
        </is>
      </c>
      <c r="G1744" s="256" t="inlineStr">
        <is>
          <t>10.3</t>
        </is>
      </c>
      <c r="H1744" s="256" t="inlineStr">
        <is>
          <t>Ochratoxin A</t>
        </is>
      </c>
      <c r="I1744" s="256" t="inlineStr">
        <is>
          <t>Ph. Eur. 2.8.22 (HPLC-FLD)</t>
        </is>
      </c>
      <c r="J1744" s="256" t="inlineStr">
        <is>
          <t>≤ 20 µg/kg</t>
        </is>
      </c>
      <c r="K1744" s="259" t="inlineStr">
        <is>
          <t>not tested</t>
        </is>
      </c>
      <c r="L1744" s="256" t="inlineStr">
        <is>
          <t>—</t>
        </is>
      </c>
      <c r="M1744" s="256" t="inlineStr">
        <is>
          <t>—</t>
        </is>
      </c>
      <c r="N1744" s="256" t="inlineStr">
        <is>
          <t>—</t>
        </is>
      </c>
      <c r="O1744" s="256" t="inlineStr">
        <is>
          <t>—</t>
        </is>
      </c>
      <c r="P1744" s="256" t="inlineStr">
        <is>
          <t>not tested — no certificate covers it</t>
        </is>
      </c>
      <c r="Q1744" s="256" t="inlineStr"/>
      <c r="R1744" s="256" t="inlineStr">
        <is>
          <t>ND (220-18-М/26)</t>
        </is>
      </c>
    </row>
    <row r="1745">
      <c r="A1745" s="256" t="inlineStr">
        <is>
          <t>CoQ-PP_26-076</t>
        </is>
      </c>
      <c r="B1745" s="256" t="inlineStr">
        <is>
          <t>release</t>
        </is>
      </c>
      <c r="C1745" s="256" t="inlineStr">
        <is>
          <t>JD012603/02V</t>
        </is>
      </c>
      <c r="D1745" s="256" t="inlineStr">
        <is>
          <t>P060422</t>
        </is>
      </c>
      <c r="E1745" s="256" t="inlineStr">
        <is>
          <t>Jelly Donuts</t>
        </is>
      </c>
      <c r="F1745" s="256" t="inlineStr">
        <is>
          <t>07.07.2026</t>
        </is>
      </c>
      <c r="G1745" s="256" t="inlineStr">
        <is>
          <t>11.1</t>
        </is>
      </c>
      <c r="H1745" s="256" t="inlineStr">
        <is>
          <t>Lead (Pb)</t>
        </is>
      </c>
      <c r="I1745" s="256" t="inlineStr">
        <is>
          <t>Ph. Eur. 2.4.27 (ICP-MS)</t>
        </is>
      </c>
      <c r="J1745" s="256" t="inlineStr">
        <is>
          <t>≤ 0.5 mg/kg</t>
        </is>
      </c>
      <c r="K1745" s="256" t="inlineStr">
        <is>
          <t>0.06</t>
        </is>
      </c>
      <c r="L1745" s="256" t="inlineStr">
        <is>
          <t>3662/2026</t>
        </is>
      </c>
      <c r="M1745" s="256" t="inlineStr">
        <is>
          <t>22.06.2026</t>
        </is>
      </c>
      <c r="N1745" s="256" t="inlineStr">
        <is>
          <t>IPH — Institute of Public Health</t>
        </is>
      </c>
      <c r="O1745" s="256" t="inlineStr">
        <is>
          <t>—</t>
        </is>
      </c>
      <c r="P1745" s="256" t="inlineStr">
        <is>
          <t>covered</t>
        </is>
      </c>
      <c r="Q1745" s="256" t="inlineStr"/>
      <c r="R1745" s="256" t="inlineStr"/>
    </row>
    <row r="1746">
      <c r="A1746" s="256" t="inlineStr">
        <is>
          <t>CoQ-PP_26-076</t>
        </is>
      </c>
      <c r="B1746" s="256" t="inlineStr">
        <is>
          <t>release</t>
        </is>
      </c>
      <c r="C1746" s="256" t="inlineStr">
        <is>
          <t>JD012603/02V</t>
        </is>
      </c>
      <c r="D1746" s="256" t="inlineStr">
        <is>
          <t>P060422</t>
        </is>
      </c>
      <c r="E1746" s="256" t="inlineStr">
        <is>
          <t>Jelly Donuts</t>
        </is>
      </c>
      <c r="F1746" s="256" t="inlineStr">
        <is>
          <t>07.07.2026</t>
        </is>
      </c>
      <c r="G1746" s="256" t="inlineStr">
        <is>
          <t>11.2</t>
        </is>
      </c>
      <c r="H1746" s="256" t="inlineStr">
        <is>
          <t>Cadmium (Cd)</t>
        </is>
      </c>
      <c r="I1746" s="256" t="inlineStr">
        <is>
          <t>Ph. Eur. 2.4.27 (ICP-MS)</t>
        </is>
      </c>
      <c r="J1746" s="256" t="inlineStr">
        <is>
          <t>≤ 0.3 mg/kg</t>
        </is>
      </c>
      <c r="K1746" s="256" t="inlineStr">
        <is>
          <t>0.03</t>
        </is>
      </c>
      <c r="L1746" s="256" t="inlineStr">
        <is>
          <t>3662/2026</t>
        </is>
      </c>
      <c r="M1746" s="256" t="inlineStr">
        <is>
          <t>22.06.2026</t>
        </is>
      </c>
      <c r="N1746" s="256" t="inlineStr">
        <is>
          <t>IPH — Institute of Public Health</t>
        </is>
      </c>
      <c r="O1746" s="256" t="inlineStr">
        <is>
          <t>—</t>
        </is>
      </c>
      <c r="P1746" s="256" t="inlineStr">
        <is>
          <t>covered</t>
        </is>
      </c>
      <c r="Q1746" s="256" t="inlineStr"/>
      <c r="R1746" s="256" t="inlineStr"/>
    </row>
    <row r="1747">
      <c r="A1747" s="256" t="inlineStr">
        <is>
          <t>CoQ-PP_26-076</t>
        </is>
      </c>
      <c r="B1747" s="256" t="inlineStr">
        <is>
          <t>release</t>
        </is>
      </c>
      <c r="C1747" s="256" t="inlineStr">
        <is>
          <t>JD012603/02V</t>
        </is>
      </c>
      <c r="D1747" s="256" t="inlineStr">
        <is>
          <t>P060422</t>
        </is>
      </c>
      <c r="E1747" s="256" t="inlineStr">
        <is>
          <t>Jelly Donuts</t>
        </is>
      </c>
      <c r="F1747" s="256" t="inlineStr">
        <is>
          <t>07.07.2026</t>
        </is>
      </c>
      <c r="G1747" s="256" t="inlineStr">
        <is>
          <t>11.3</t>
        </is>
      </c>
      <c r="H1747" s="256" t="inlineStr">
        <is>
          <t>Arsenic (As)</t>
        </is>
      </c>
      <c r="I1747" s="256" t="inlineStr">
        <is>
          <t>Ph. Eur. 2.4.27 (ICP-MS)</t>
        </is>
      </c>
      <c r="J1747" s="256" t="inlineStr">
        <is>
          <t>≤ 0.2 mg/kg</t>
        </is>
      </c>
      <c r="K1747" s="256" t="inlineStr">
        <is>
          <t>0.045</t>
        </is>
      </c>
      <c r="L1747" s="256" t="inlineStr">
        <is>
          <t>3662/2026</t>
        </is>
      </c>
      <c r="M1747" s="256" t="inlineStr">
        <is>
          <t>22.06.2026</t>
        </is>
      </c>
      <c r="N1747" s="256" t="inlineStr">
        <is>
          <t>IPH — Institute of Public Health</t>
        </is>
      </c>
      <c r="O1747" s="256" t="inlineStr">
        <is>
          <t>—</t>
        </is>
      </c>
      <c r="P1747" s="256" t="inlineStr">
        <is>
          <t>covered</t>
        </is>
      </c>
      <c r="Q1747" s="256" t="inlineStr"/>
      <c r="R1747" s="256" t="inlineStr"/>
    </row>
    <row r="1748">
      <c r="A1748" s="256" t="inlineStr">
        <is>
          <t>CoQ-PP_26-076</t>
        </is>
      </c>
      <c r="B1748" s="256" t="inlineStr">
        <is>
          <t>release</t>
        </is>
      </c>
      <c r="C1748" s="256" t="inlineStr">
        <is>
          <t>JD012603/02V</t>
        </is>
      </c>
      <c r="D1748" s="256" t="inlineStr">
        <is>
          <t>P060422</t>
        </is>
      </c>
      <c r="E1748" s="256" t="inlineStr">
        <is>
          <t>Jelly Donuts</t>
        </is>
      </c>
      <c r="F1748" s="256" t="inlineStr">
        <is>
          <t>07.07.2026</t>
        </is>
      </c>
      <c r="G1748" s="256" t="inlineStr">
        <is>
          <t>11.4</t>
        </is>
      </c>
      <c r="H1748" s="256" t="inlineStr">
        <is>
          <t>Mercury (Hg)</t>
        </is>
      </c>
      <c r="I1748" s="256" t="inlineStr">
        <is>
          <t>Ph. Eur. 2.4.27 (ICP-MS)</t>
        </is>
      </c>
      <c r="J1748" s="256" t="inlineStr">
        <is>
          <t>≤ 0.1 mg/kg</t>
        </is>
      </c>
      <c r="K1748" s="256" t="inlineStr">
        <is>
          <t>0.013</t>
        </is>
      </c>
      <c r="L1748" s="256" t="inlineStr">
        <is>
          <t>3662/2026</t>
        </is>
      </c>
      <c r="M1748" s="256" t="inlineStr">
        <is>
          <t>22.06.2026</t>
        </is>
      </c>
      <c r="N1748" s="256" t="inlineStr">
        <is>
          <t>IPH — Institute of Public Health</t>
        </is>
      </c>
      <c r="O1748" s="256" t="inlineStr">
        <is>
          <t>—</t>
        </is>
      </c>
      <c r="P1748" s="256" t="inlineStr">
        <is>
          <t>covered</t>
        </is>
      </c>
      <c r="Q1748" s="256" t="inlineStr"/>
      <c r="R1748" s="256" t="inlineStr"/>
    </row>
    <row r="1749">
      <c r="A1749" s="256" t="inlineStr">
        <is>
          <t>CoQ-PP_26-076</t>
        </is>
      </c>
      <c r="B1749" s="256" t="inlineStr">
        <is>
          <t>release</t>
        </is>
      </c>
      <c r="C1749" s="256" t="inlineStr">
        <is>
          <t>JD012603/02V</t>
        </is>
      </c>
      <c r="D1749" s="256" t="inlineStr">
        <is>
          <t>P060422</t>
        </is>
      </c>
      <c r="E1749" s="256" t="inlineStr">
        <is>
          <t>Jelly Donuts</t>
        </is>
      </c>
      <c r="F1749" s="256" t="inlineStr">
        <is>
          <t>07.07.2026</t>
        </is>
      </c>
      <c r="G1749" s="256" t="inlineStr">
        <is>
          <t>12</t>
        </is>
      </c>
      <c r="H1749" s="256" t="inlineStr">
        <is>
          <t>Pesticide Residues</t>
        </is>
      </c>
      <c r="I1749" s="256" t="inlineStr">
        <is>
          <t>Ph. Eur. 2.8.13 (LC-MS/MS) · CUMCS Equivalency</t>
        </is>
      </c>
      <c r="J1749" s="256" t="inlineStr">
        <is>
          <t>≤ LOQ as per Ph. Eur. 2.8.13 · ≤ LOQ as per CUMCS Equivalency</t>
        </is>
      </c>
      <c r="K1749" s="256" t="inlineStr">
        <is>
          <t>&lt; 0,01 mg/kg — all 22 residues</t>
        </is>
      </c>
      <c r="L1749" s="256" t="inlineStr">
        <is>
          <t>3662/2026</t>
        </is>
      </c>
      <c r="M1749" s="256" t="inlineStr">
        <is>
          <t>22.06.2026</t>
        </is>
      </c>
      <c r="N1749" s="256" t="inlineStr">
        <is>
          <t>IJZ</t>
        </is>
      </c>
      <c r="O1749" s="256" t="inlineStr">
        <is>
          <t>—</t>
        </is>
      </c>
      <c r="P1749" s="256" t="inlineStr">
        <is>
          <t>covered</t>
        </is>
      </c>
      <c r="Q1749" s="256" t="inlineStr"/>
      <c r="R1749" s="256" t="inlineStr"/>
    </row>
    <row r="1750">
      <c r="A1750" s="256" t="inlineStr">
        <is>
          <t>CoQ-PP_26-077</t>
        </is>
      </c>
      <c r="B1750" s="256" t="inlineStr">
        <is>
          <t>release</t>
        </is>
      </c>
      <c r="C1750" s="256" t="inlineStr">
        <is>
          <t>GG012603</t>
        </is>
      </c>
      <c r="D1750" s="256" t="inlineStr">
        <is>
          <t>P060402</t>
        </is>
      </c>
      <c r="E1750" s="256" t="inlineStr">
        <is>
          <t>Gorilla Glue</t>
        </is>
      </c>
      <c r="F1750" s="256" t="inlineStr">
        <is>
          <t>07.07.2026</t>
        </is>
      </c>
      <c r="G1750" s="256" t="inlineStr">
        <is>
          <t>1</t>
        </is>
      </c>
      <c r="H1750" s="256" t="inlineStr">
        <is>
          <t>Identification A, Appearance · Macroscopic</t>
        </is>
      </c>
      <c r="I1750" s="256" t="inlineStr">
        <is>
          <t>Ph. Eur. mon. 3028</t>
        </is>
      </c>
      <c r="J1750" s="256" t="inlineStr">
        <is>
          <t>Conforms to the monograph for Cannabis flos (07/2024:3028) in Ph. Eur. 11.0 | Согласно монографија за Cannabis flos (07/2024:3028) во Ph. Eur. 11.0</t>
        </is>
      </c>
      <c r="K1750" s="256" t="inlineStr">
        <is>
          <t>Conforms | Одговара</t>
        </is>
      </c>
      <c r="L1750" s="256" t="inlineStr">
        <is>
          <t>ППК26114</t>
        </is>
      </c>
      <c r="M1750" s="256" t="inlineStr">
        <is>
          <t>30.06.2026</t>
        </is>
      </c>
      <c r="N1750" s="256" t="inlineStr">
        <is>
          <t>UKIM Faculty of Pharmacy — Center for Natural Products</t>
        </is>
      </c>
      <c r="O1750" s="256" t="inlineStr">
        <is>
          <t>17.06.2026</t>
        </is>
      </c>
      <c r="P1750" s="256" t="inlineStr">
        <is>
          <t>covered</t>
        </is>
      </c>
      <c r="Q1750" s="256" t="inlineStr"/>
      <c r="R1750" s="256" t="inlineStr"/>
    </row>
    <row r="1751">
      <c r="A1751" s="256" t="inlineStr">
        <is>
          <t>CoQ-PP_26-077</t>
        </is>
      </c>
      <c r="B1751" s="256" t="inlineStr">
        <is>
          <t>release</t>
        </is>
      </c>
      <c r="C1751" s="256" t="inlineStr">
        <is>
          <t>GG012603</t>
        </is>
      </c>
      <c r="D1751" s="256" t="inlineStr">
        <is>
          <t>P060402</t>
        </is>
      </c>
      <c r="E1751" s="256" t="inlineStr">
        <is>
          <t>Gorilla Glue</t>
        </is>
      </c>
      <c r="F1751" s="256" t="inlineStr">
        <is>
          <t>07.07.2026</t>
        </is>
      </c>
      <c r="G1751" s="256" t="inlineStr">
        <is>
          <t>2</t>
        </is>
      </c>
      <c r="H1751" s="256" t="inlineStr">
        <is>
          <t>Identification B · Microscopic</t>
        </is>
      </c>
      <c r="I1751" s="256" t="inlineStr">
        <is>
          <t>Ph. Eur. 2.8.23 (microscopy)</t>
        </is>
      </c>
      <c r="J1751" s="256" t="inlineStr">
        <is>
          <t>Conforms to the monograph for Cannabis flos (07/2024:3028) in Ph. Eur. 11.0 | Согласно монографија за Cannabis flos (07/2024:3028) во Ph. Eur. 11.0</t>
        </is>
      </c>
      <c r="K1751" s="256" t="inlineStr">
        <is>
          <t>Conforms | Одговара</t>
        </is>
      </c>
      <c r="L1751" s="256" t="inlineStr">
        <is>
          <t>ППК26114</t>
        </is>
      </c>
      <c r="M1751" s="256" t="inlineStr">
        <is>
          <t>30.06.2026</t>
        </is>
      </c>
      <c r="N1751" s="256" t="inlineStr">
        <is>
          <t>UKIM Faculty of Pharmacy — Center for Natural Products</t>
        </is>
      </c>
      <c r="O1751" s="256" t="inlineStr">
        <is>
          <t>17.06.2026</t>
        </is>
      </c>
      <c r="P1751" s="256" t="inlineStr">
        <is>
          <t>covered</t>
        </is>
      </c>
      <c r="Q1751" s="256" t="inlineStr"/>
      <c r="R1751" s="256" t="inlineStr"/>
    </row>
    <row r="1752">
      <c r="A1752" s="256" t="inlineStr">
        <is>
          <t>CoQ-PP_26-077</t>
        </is>
      </c>
      <c r="B1752" s="256" t="inlineStr">
        <is>
          <t>release</t>
        </is>
      </c>
      <c r="C1752" s="256" t="inlineStr">
        <is>
          <t>GG012603</t>
        </is>
      </c>
      <c r="D1752" s="256" t="inlineStr">
        <is>
          <t>P060402</t>
        </is>
      </c>
      <c r="E1752" s="256" t="inlineStr">
        <is>
          <t>Gorilla Glue</t>
        </is>
      </c>
      <c r="F1752" s="256" t="inlineStr">
        <is>
          <t>07.07.2026</t>
        </is>
      </c>
      <c r="G1752" s="256" t="inlineStr">
        <is>
          <t>3</t>
        </is>
      </c>
      <c r="H1752" s="256" t="inlineStr">
        <is>
          <t>Identification C · HPLC/HPTLC</t>
        </is>
      </c>
      <c r="I1752" s="256" t="inlineStr">
        <is>
          <t>Ph. Eur. 2.2.29 (3028)</t>
        </is>
      </c>
      <c r="J1752" s="256" t="inlineStr">
        <is>
          <t>Conforms to the monograph for Cannabis flos (07/2024:3028) in Ph. Eur. 11.0 | Согласно монографија за Cannabis flos (07/2024:3028) во Ph. Eur. 11.0</t>
        </is>
      </c>
      <c r="K1752" s="256" t="inlineStr">
        <is>
          <t>Conforms | Одговара</t>
        </is>
      </c>
      <c r="L1752" s="256" t="inlineStr">
        <is>
          <t>ППК26114</t>
        </is>
      </c>
      <c r="M1752" s="256" t="inlineStr">
        <is>
          <t>30.06.2026</t>
        </is>
      </c>
      <c r="N1752" s="256" t="inlineStr">
        <is>
          <t>UKIM Faculty of Pharmacy — Center for Natural Products</t>
        </is>
      </c>
      <c r="O1752" s="256" t="inlineStr">
        <is>
          <t>17.06.2026</t>
        </is>
      </c>
      <c r="P1752" s="256" t="inlineStr">
        <is>
          <t>covered</t>
        </is>
      </c>
      <c r="Q1752" s="256" t="inlineStr"/>
      <c r="R1752" s="256" t="inlineStr"/>
    </row>
    <row r="1753">
      <c r="A1753" s="256" t="inlineStr">
        <is>
          <t>CoQ-PP_26-077</t>
        </is>
      </c>
      <c r="B1753" s="256" t="inlineStr">
        <is>
          <t>release</t>
        </is>
      </c>
      <c r="C1753" s="256" t="inlineStr">
        <is>
          <t>GG012603</t>
        </is>
      </c>
      <c r="D1753" s="256" t="inlineStr">
        <is>
          <t>P060402</t>
        </is>
      </c>
      <c r="E1753" s="256" t="inlineStr">
        <is>
          <t>Gorilla Glue</t>
        </is>
      </c>
      <c r="F1753" s="256" t="inlineStr">
        <is>
          <t>07.07.2026</t>
        </is>
      </c>
      <c r="G1753" s="256" t="inlineStr">
        <is>
          <t>4</t>
        </is>
      </c>
      <c r="H1753" s="256" t="inlineStr">
        <is>
          <t>Assay — Total Δ⁹-THC</t>
        </is>
      </c>
      <c r="I1753" s="256" t="inlineStr">
        <is>
          <t>Ph. Eur. 2.2.29 (HPLC)</t>
        </is>
      </c>
      <c r="J1753" s="256" t="inlineStr">
        <is>
          <t>16.23 – 19.76 %  (grade I, nominal 18.00 ± 1.77)</t>
        </is>
      </c>
      <c r="K1753" s="256" t="inlineStr">
        <is>
          <t>17.59</t>
        </is>
      </c>
      <c r="L1753" s="256" t="inlineStr">
        <is>
          <t>ППК26114</t>
        </is>
      </c>
      <c r="M1753" s="256" t="inlineStr">
        <is>
          <t>30.06.2026</t>
        </is>
      </c>
      <c r="N1753" s="256" t="inlineStr">
        <is>
          <t>UKIM Faculty of Pharmacy — Center for Natural Products</t>
        </is>
      </c>
      <c r="O1753" s="256" t="inlineStr">
        <is>
          <t>17.06.2026</t>
        </is>
      </c>
      <c r="P1753" s="256" t="inlineStr">
        <is>
          <t>covered</t>
        </is>
      </c>
      <c r="Q1753" s="256" t="inlineStr"/>
      <c r="R1753" s="256" t="inlineStr">
        <is>
          <t>16.70 (197-8-К/26)</t>
        </is>
      </c>
    </row>
    <row r="1754">
      <c r="A1754" s="256" t="inlineStr">
        <is>
          <t>CoQ-PP_26-077</t>
        </is>
      </c>
      <c r="B1754" s="256" t="inlineStr">
        <is>
          <t>release</t>
        </is>
      </c>
      <c r="C1754" s="256" t="inlineStr">
        <is>
          <t>GG012603</t>
        </is>
      </c>
      <c r="D1754" s="256" t="inlineStr">
        <is>
          <t>P060402</t>
        </is>
      </c>
      <c r="E1754" s="256" t="inlineStr">
        <is>
          <t>Gorilla Glue</t>
        </is>
      </c>
      <c r="F1754" s="256" t="inlineStr">
        <is>
          <t>07.07.2026</t>
        </is>
      </c>
      <c r="G1754" s="256" t="inlineStr">
        <is>
          <t>5</t>
        </is>
      </c>
      <c r="H1754" s="256" t="inlineStr">
        <is>
          <t>Assay — Total CBD</t>
        </is>
      </c>
      <c r="I1754" s="256" t="inlineStr">
        <is>
          <t>Ph. Eur. 2.2.29 (HPLC) · CBD + CBDA x 0.877</t>
        </is>
      </c>
      <c r="J1754" s="256" t="inlineStr">
        <is>
          <t>≤ 1.0%, w/w</t>
        </is>
      </c>
      <c r="K1754" s="256" t="inlineStr">
        <is>
          <t>0.05</t>
        </is>
      </c>
      <c r="L1754" s="256" t="inlineStr">
        <is>
          <t>ППК26114</t>
        </is>
      </c>
      <c r="M1754" s="256" t="inlineStr">
        <is>
          <t>30.06.2026</t>
        </is>
      </c>
      <c r="N1754" s="256" t="inlineStr">
        <is>
          <t>UKIM Faculty of Pharmacy — Center for Natural Products</t>
        </is>
      </c>
      <c r="O1754" s="256" t="inlineStr">
        <is>
          <t>17.06.2026</t>
        </is>
      </c>
      <c r="P1754" s="256" t="inlineStr">
        <is>
          <t>covered</t>
        </is>
      </c>
      <c r="Q1754" s="256" t="inlineStr"/>
      <c r="R1754" s="256" t="inlineStr">
        <is>
          <t>&lt;LOQ (197-8-К/26)</t>
        </is>
      </c>
    </row>
    <row r="1755">
      <c r="A1755" s="256" t="inlineStr">
        <is>
          <t>CoQ-PP_26-077</t>
        </is>
      </c>
      <c r="B1755" s="256" t="inlineStr">
        <is>
          <t>release</t>
        </is>
      </c>
      <c r="C1755" s="256" t="inlineStr">
        <is>
          <t>GG012603</t>
        </is>
      </c>
      <c r="D1755" s="256" t="inlineStr">
        <is>
          <t>P060402</t>
        </is>
      </c>
      <c r="E1755" s="256" t="inlineStr">
        <is>
          <t>Gorilla Glue</t>
        </is>
      </c>
      <c r="F1755" s="256" t="inlineStr">
        <is>
          <t>07.07.2026</t>
        </is>
      </c>
      <c r="G1755" s="256" t="inlineStr">
        <is>
          <t>6</t>
        </is>
      </c>
      <c r="H1755" s="256" t="inlineStr">
        <is>
          <t>Total CBN</t>
        </is>
      </c>
      <c r="I1755" s="256" t="inlineStr">
        <is>
          <t>Ph. Eur. 2.2.29 (HPLC) · CBN + CBNA x 0.876</t>
        </is>
      </c>
      <c r="J1755" s="256" t="inlineStr">
        <is>
          <t>≤ 1.0%, w/w</t>
        </is>
      </c>
      <c r="K1755" s="256" t="inlineStr">
        <is>
          <t>0.15</t>
        </is>
      </c>
      <c r="L1755" s="256" t="inlineStr">
        <is>
          <t>ППК26114</t>
        </is>
      </c>
      <c r="M1755" s="256" t="inlineStr">
        <is>
          <t>30.06.2026</t>
        </is>
      </c>
      <c r="N1755" s="256" t="inlineStr">
        <is>
          <t>UKIM Faculty of Pharmacy — Center for Natural Products</t>
        </is>
      </c>
      <c r="O1755" s="256" t="inlineStr">
        <is>
          <t>17.06.2026</t>
        </is>
      </c>
      <c r="P1755" s="256" t="inlineStr">
        <is>
          <t>covered</t>
        </is>
      </c>
      <c r="Q1755" s="256" t="inlineStr"/>
      <c r="R1755" s="256" t="inlineStr">
        <is>
          <t>&lt;LOQ (197-8-К/26)</t>
        </is>
      </c>
    </row>
    <row r="1756">
      <c r="A1756" s="256" t="inlineStr">
        <is>
          <t>CoQ-PP_26-077</t>
        </is>
      </c>
      <c r="B1756" s="256" t="inlineStr">
        <is>
          <t>release</t>
        </is>
      </c>
      <c r="C1756" s="256" t="inlineStr">
        <is>
          <t>GG012603</t>
        </is>
      </c>
      <c r="D1756" s="256" t="inlineStr">
        <is>
          <t>P060402</t>
        </is>
      </c>
      <c r="E1756" s="256" t="inlineStr">
        <is>
          <t>Gorilla Glue</t>
        </is>
      </c>
      <c r="F1756" s="256" t="inlineStr">
        <is>
          <t>07.07.2026</t>
        </is>
      </c>
      <c r="G1756" s="256" t="inlineStr">
        <is>
          <t>7</t>
        </is>
      </c>
      <c r="H1756" s="256" t="inlineStr">
        <is>
          <t>Foreign Matter</t>
        </is>
      </c>
      <c r="I1756" s="256" t="inlineStr">
        <is>
          <t>Ph. Eur. 2.8.2 · In-house · интерна</t>
        </is>
      </c>
      <c r="J1756" s="256" t="inlineStr">
        <is>
          <t>≤ 2.0% / 25–50 g · &lt; 1 cm leaves | листови, no seeds | без семки</t>
        </is>
      </c>
      <c r="K1756" s="256" t="inlineStr">
        <is>
          <t>Conforms | Одговара</t>
        </is>
      </c>
      <c r="L1756" s="256" t="inlineStr">
        <is>
          <t>ППК26114</t>
        </is>
      </c>
      <c r="M1756" s="256" t="inlineStr">
        <is>
          <t>30.06.2026</t>
        </is>
      </c>
      <c r="N1756" s="256" t="inlineStr">
        <is>
          <t>UKIM Faculty of Pharmacy — Center for Natural Products</t>
        </is>
      </c>
      <c r="O1756" s="256" t="inlineStr">
        <is>
          <t>17.06.2026</t>
        </is>
      </c>
      <c r="P1756" s="256" t="inlineStr">
        <is>
          <t>covered</t>
        </is>
      </c>
      <c r="Q1756" s="256" t="inlineStr"/>
      <c r="R1756" s="256" t="inlineStr"/>
    </row>
    <row r="1757">
      <c r="A1757" s="256" t="inlineStr">
        <is>
          <t>CoQ-PP_26-077</t>
        </is>
      </c>
      <c r="B1757" s="256" t="inlineStr">
        <is>
          <t>release</t>
        </is>
      </c>
      <c r="C1757" s="256" t="inlineStr">
        <is>
          <t>GG012603</t>
        </is>
      </c>
      <c r="D1757" s="256" t="inlineStr">
        <is>
          <t>P060402</t>
        </is>
      </c>
      <c r="E1757" s="256" t="inlineStr">
        <is>
          <t>Gorilla Glue</t>
        </is>
      </c>
      <c r="F1757" s="256" t="inlineStr">
        <is>
          <t>07.07.2026</t>
        </is>
      </c>
      <c r="G1757" s="256" t="inlineStr">
        <is>
          <t>8</t>
        </is>
      </c>
      <c r="H1757" s="256" t="inlineStr">
        <is>
          <t>Loss on Drying</t>
        </is>
      </c>
      <c r="I1757" s="256" t="inlineStr">
        <is>
          <t>Ph. Eur. 2.2.32 (3028) · at 40 °C, 24 h, 15–25 mbar</t>
        </is>
      </c>
      <c r="J1757" s="256" t="inlineStr">
        <is>
          <t>≤ 12.0%</t>
        </is>
      </c>
      <c r="K1757" s="256" t="inlineStr">
        <is>
          <t>6.48</t>
        </is>
      </c>
      <c r="L1757" s="256" t="inlineStr">
        <is>
          <t>ППК26114</t>
        </is>
      </c>
      <c r="M1757" s="256" t="inlineStr">
        <is>
          <t>30.06.2026</t>
        </is>
      </c>
      <c r="N1757" s="256" t="inlineStr">
        <is>
          <t>UKIM Faculty of Pharmacy — Center for Natural Products</t>
        </is>
      </c>
      <c r="O1757" s="256" t="inlineStr">
        <is>
          <t>17.06.2026</t>
        </is>
      </c>
      <c r="P1757" s="256" t="inlineStr">
        <is>
          <t>covered</t>
        </is>
      </c>
      <c r="Q1757" s="256" t="inlineStr"/>
      <c r="R1757" s="256" t="inlineStr"/>
    </row>
    <row r="1758">
      <c r="A1758" s="256" t="inlineStr">
        <is>
          <t>CoQ-PP_26-077</t>
        </is>
      </c>
      <c r="B1758" s="256" t="inlineStr">
        <is>
          <t>release</t>
        </is>
      </c>
      <c r="C1758" s="256" t="inlineStr">
        <is>
          <t>GG012603</t>
        </is>
      </c>
      <c r="D1758" s="256" t="inlineStr">
        <is>
          <t>P060402</t>
        </is>
      </c>
      <c r="E1758" s="256" t="inlineStr">
        <is>
          <t>Gorilla Glue</t>
        </is>
      </c>
      <c r="F1758" s="256" t="inlineStr">
        <is>
          <t>07.07.2026</t>
        </is>
      </c>
      <c r="G1758" s="256" t="inlineStr">
        <is>
          <t>9.1</t>
        </is>
      </c>
      <c r="H1758" s="256" t="inlineStr">
        <is>
          <t>TAMC</t>
        </is>
      </c>
      <c r="I1758" s="256" t="inlineStr">
        <is>
          <t>Ph. Eur. 2.6.12 cat. C</t>
        </is>
      </c>
      <c r="J1758" s="256" t="inlineStr">
        <is>
          <t>≤ 10⁵ CFU/g</t>
        </is>
      </c>
      <c r="K1758" s="256" t="inlineStr">
        <is>
          <t>5 × 10³</t>
        </is>
      </c>
      <c r="L1758" s="256" t="inlineStr">
        <is>
          <t>404/0787/26</t>
        </is>
      </c>
      <c r="M1758" s="256" t="inlineStr">
        <is>
          <t>24.06.2026</t>
        </is>
      </c>
      <c r="N1758" s="256" t="inlineStr">
        <is>
          <t>IPH — Institute of Public Health</t>
        </is>
      </c>
      <c r="O1758" s="256" t="inlineStr">
        <is>
          <t>—</t>
        </is>
      </c>
      <c r="P1758" s="256" t="inlineStr">
        <is>
          <t>covered</t>
        </is>
      </c>
      <c r="Q1758" s="256" t="inlineStr"/>
      <c r="R1758" s="256" t="inlineStr"/>
    </row>
    <row r="1759">
      <c r="A1759" s="256" t="inlineStr">
        <is>
          <t>CoQ-PP_26-077</t>
        </is>
      </c>
      <c r="B1759" s="256" t="inlineStr">
        <is>
          <t>release</t>
        </is>
      </c>
      <c r="C1759" s="256" t="inlineStr">
        <is>
          <t>GG012603</t>
        </is>
      </c>
      <c r="D1759" s="256" t="inlineStr">
        <is>
          <t>P060402</t>
        </is>
      </c>
      <c r="E1759" s="256" t="inlineStr">
        <is>
          <t>Gorilla Glue</t>
        </is>
      </c>
      <c r="F1759" s="256" t="inlineStr">
        <is>
          <t>07.07.2026</t>
        </is>
      </c>
      <c r="G1759" s="256" t="inlineStr">
        <is>
          <t>9.2</t>
        </is>
      </c>
      <c r="H1759" s="256" t="inlineStr">
        <is>
          <t>TYMC</t>
        </is>
      </c>
      <c r="I1759" s="256" t="inlineStr">
        <is>
          <t>Ph. Eur. 2.6.12 cat. C</t>
        </is>
      </c>
      <c r="J1759" s="256" t="inlineStr">
        <is>
          <t>≤ 10⁴ CFU/g</t>
        </is>
      </c>
      <c r="K1759" s="256" t="inlineStr">
        <is>
          <t>4.1 × 10³</t>
        </is>
      </c>
      <c r="L1759" s="256" t="inlineStr">
        <is>
          <t>404/0787/26</t>
        </is>
      </c>
      <c r="M1759" s="256" t="inlineStr">
        <is>
          <t>24.06.2026</t>
        </is>
      </c>
      <c r="N1759" s="256" t="inlineStr">
        <is>
          <t>IPH — Institute of Public Health</t>
        </is>
      </c>
      <c r="O1759" s="256" t="inlineStr">
        <is>
          <t>—</t>
        </is>
      </c>
      <c r="P1759" s="256" t="inlineStr">
        <is>
          <t>covered</t>
        </is>
      </c>
      <c r="Q1759" s="256" t="inlineStr"/>
      <c r="R1759" s="256" t="inlineStr"/>
    </row>
    <row r="1760">
      <c r="A1760" s="256" t="inlineStr">
        <is>
          <t>CoQ-PP_26-077</t>
        </is>
      </c>
      <c r="B1760" s="256" t="inlineStr">
        <is>
          <t>release</t>
        </is>
      </c>
      <c r="C1760" s="256" t="inlineStr">
        <is>
          <t>GG012603</t>
        </is>
      </c>
      <c r="D1760" s="256" t="inlineStr">
        <is>
          <t>P060402</t>
        </is>
      </c>
      <c r="E1760" s="256" t="inlineStr">
        <is>
          <t>Gorilla Glue</t>
        </is>
      </c>
      <c r="F1760" s="256" t="inlineStr">
        <is>
          <t>07.07.2026</t>
        </is>
      </c>
      <c r="G1760" s="256" t="inlineStr">
        <is>
          <t>9.3</t>
        </is>
      </c>
      <c r="H1760" s="256" t="inlineStr">
        <is>
          <t>Bile-tolerant gram-neg.</t>
        </is>
      </c>
      <c r="I1760" s="256" t="inlineStr">
        <is>
          <t>Ph. Eur. 2.6.31 cat. C</t>
        </is>
      </c>
      <c r="J1760" s="256" t="inlineStr">
        <is>
          <t>≤ 10⁴ CFU/g</t>
        </is>
      </c>
      <c r="K1760" s="256" t="inlineStr">
        <is>
          <t>&lt; 10</t>
        </is>
      </c>
      <c r="L1760" s="256" t="inlineStr">
        <is>
          <t>404/0787/26</t>
        </is>
      </c>
      <c r="M1760" s="256" t="inlineStr">
        <is>
          <t>24.06.2026</t>
        </is>
      </c>
      <c r="N1760" s="256" t="inlineStr">
        <is>
          <t>IPH — Institute of Public Health</t>
        </is>
      </c>
      <c r="O1760" s="256" t="inlineStr">
        <is>
          <t>—</t>
        </is>
      </c>
      <c r="P1760" s="256" t="inlineStr">
        <is>
          <t>covered</t>
        </is>
      </c>
      <c r="Q1760" s="256" t="inlineStr"/>
      <c r="R1760" s="256" t="inlineStr"/>
    </row>
    <row r="1761">
      <c r="A1761" s="256" t="inlineStr">
        <is>
          <t>CoQ-PP_26-077</t>
        </is>
      </c>
      <c r="B1761" s="256" t="inlineStr">
        <is>
          <t>release</t>
        </is>
      </c>
      <c r="C1761" s="256" t="inlineStr">
        <is>
          <t>GG012603</t>
        </is>
      </c>
      <c r="D1761" s="256" t="inlineStr">
        <is>
          <t>P060402</t>
        </is>
      </c>
      <c r="E1761" s="256" t="inlineStr">
        <is>
          <t>Gorilla Glue</t>
        </is>
      </c>
      <c r="F1761" s="256" t="inlineStr">
        <is>
          <t>07.07.2026</t>
        </is>
      </c>
      <c r="G1761" s="256" t="inlineStr">
        <is>
          <t>9.4</t>
        </is>
      </c>
      <c r="H1761" s="256" t="inlineStr">
        <is>
          <t>Salmonella</t>
        </is>
      </c>
      <c r="I1761" s="256" t="inlineStr">
        <is>
          <t>Ph. Eur. 2.6.31 cat. C</t>
        </is>
      </c>
      <c r="J1761" s="256" t="inlineStr">
        <is>
          <t>Absence | Отсуство / 25 g</t>
        </is>
      </c>
      <c r="K1761" s="256" t="inlineStr">
        <is>
          <t>Absent | Отсутна</t>
        </is>
      </c>
      <c r="L1761" s="256" t="inlineStr">
        <is>
          <t>404/0787/26</t>
        </is>
      </c>
      <c r="M1761" s="256" t="inlineStr">
        <is>
          <t>24.06.2026</t>
        </is>
      </c>
      <c r="N1761" s="256" t="inlineStr">
        <is>
          <t>IPH — Institute of Public Health</t>
        </is>
      </c>
      <c r="O1761" s="256" t="inlineStr">
        <is>
          <t>—</t>
        </is>
      </c>
      <c r="P1761" s="256" t="inlineStr">
        <is>
          <t>covered</t>
        </is>
      </c>
      <c r="Q1761" s="256" t="inlineStr"/>
      <c r="R1761" s="256" t="inlineStr"/>
    </row>
    <row r="1762">
      <c r="A1762" s="256" t="inlineStr">
        <is>
          <t>CoQ-PP_26-077</t>
        </is>
      </c>
      <c r="B1762" s="256" t="inlineStr">
        <is>
          <t>release</t>
        </is>
      </c>
      <c r="C1762" s="256" t="inlineStr">
        <is>
          <t>GG012603</t>
        </is>
      </c>
      <c r="D1762" s="256" t="inlineStr">
        <is>
          <t>P060402</t>
        </is>
      </c>
      <c r="E1762" s="256" t="inlineStr">
        <is>
          <t>Gorilla Glue</t>
        </is>
      </c>
      <c r="F1762" s="256" t="inlineStr">
        <is>
          <t>07.07.2026</t>
        </is>
      </c>
      <c r="G1762" s="256" t="inlineStr">
        <is>
          <t>9.5</t>
        </is>
      </c>
      <c r="H1762" s="256" t="inlineStr">
        <is>
          <t>Escherichia coli</t>
        </is>
      </c>
      <c r="I1762" s="256" t="inlineStr">
        <is>
          <t>Ph. Eur. 2.6.13 cat. C</t>
        </is>
      </c>
      <c r="J1762" s="256" t="inlineStr">
        <is>
          <t>Absence | Отсуство / 1 g</t>
        </is>
      </c>
      <c r="K1762" s="256" t="inlineStr">
        <is>
          <t>Absent | Отсутна</t>
        </is>
      </c>
      <c r="L1762" s="256" t="inlineStr">
        <is>
          <t>404/0787/26</t>
        </is>
      </c>
      <c r="M1762" s="256" t="inlineStr">
        <is>
          <t>24.06.2026</t>
        </is>
      </c>
      <c r="N1762" s="256" t="inlineStr">
        <is>
          <t>IPH — Institute of Public Health</t>
        </is>
      </c>
      <c r="O1762" s="256" t="inlineStr">
        <is>
          <t>—</t>
        </is>
      </c>
      <c r="P1762" s="256" t="inlineStr">
        <is>
          <t>covered</t>
        </is>
      </c>
      <c r="Q1762" s="256" t="inlineStr"/>
      <c r="R1762" s="256" t="inlineStr"/>
    </row>
    <row r="1763">
      <c r="A1763" s="256" t="inlineStr">
        <is>
          <t>CoQ-PP_26-077</t>
        </is>
      </c>
      <c r="B1763" s="256" t="inlineStr">
        <is>
          <t>release</t>
        </is>
      </c>
      <c r="C1763" s="256" t="inlineStr">
        <is>
          <t>GG012603</t>
        </is>
      </c>
      <c r="D1763" s="256" t="inlineStr">
        <is>
          <t>P060402</t>
        </is>
      </c>
      <c r="E1763" s="256" t="inlineStr">
        <is>
          <t>Gorilla Glue</t>
        </is>
      </c>
      <c r="F1763" s="256" t="inlineStr">
        <is>
          <t>07.07.2026</t>
        </is>
      </c>
      <c r="G1763" s="256" t="inlineStr">
        <is>
          <t>9.6</t>
        </is>
      </c>
      <c r="H1763" s="256" t="inlineStr">
        <is>
          <t>Pseudomonas aeruginosa</t>
        </is>
      </c>
      <c r="I1763" s="256" t="inlineStr">
        <is>
          <t>Ph. Eur. 2.6.13 cat. C</t>
        </is>
      </c>
      <c r="J1763" s="256" t="inlineStr">
        <is>
          <t>Absence | Отсуство / 1 g</t>
        </is>
      </c>
      <c r="K1763" s="260" t="inlineStr">
        <is>
          <t>upon request — not required for release</t>
        </is>
      </c>
      <c r="L1763" s="256" t="inlineStr">
        <is>
          <t>—</t>
        </is>
      </c>
      <c r="M1763" s="256" t="inlineStr">
        <is>
          <t>—</t>
        </is>
      </c>
      <c r="N1763" s="256" t="inlineStr">
        <is>
          <t>—</t>
        </is>
      </c>
      <c r="O1763" s="256" t="inlineStr">
        <is>
          <t>—</t>
        </is>
      </c>
      <c r="P1763" s="256" t="inlineStr">
        <is>
          <t>upon request — not required for release</t>
        </is>
      </c>
      <c r="Q1763" s="256" t="inlineStr"/>
      <c r="R1763" s="256" t="inlineStr"/>
    </row>
    <row r="1764">
      <c r="A1764" s="256" t="inlineStr">
        <is>
          <t>CoQ-PP_26-077</t>
        </is>
      </c>
      <c r="B1764" s="256" t="inlineStr">
        <is>
          <t>release</t>
        </is>
      </c>
      <c r="C1764" s="256" t="inlineStr">
        <is>
          <t>GG012603</t>
        </is>
      </c>
      <c r="D1764" s="256" t="inlineStr">
        <is>
          <t>P060402</t>
        </is>
      </c>
      <c r="E1764" s="256" t="inlineStr">
        <is>
          <t>Gorilla Glue</t>
        </is>
      </c>
      <c r="F1764" s="256" t="inlineStr">
        <is>
          <t>07.07.2026</t>
        </is>
      </c>
      <c r="G1764" s="256" t="inlineStr">
        <is>
          <t>9.7</t>
        </is>
      </c>
      <c r="H1764" s="256" t="inlineStr">
        <is>
          <t>Staphylococcus aureus</t>
        </is>
      </c>
      <c r="I1764" s="256" t="inlineStr">
        <is>
          <t>Ph. Eur. 2.6.13 cat. C</t>
        </is>
      </c>
      <c r="J1764" s="256" t="inlineStr">
        <is>
          <t>Absence | Отсуство / 1 g</t>
        </is>
      </c>
      <c r="K1764" s="260" t="inlineStr">
        <is>
          <t>upon request — not required for release</t>
        </is>
      </c>
      <c r="L1764" s="256" t="inlineStr">
        <is>
          <t>—</t>
        </is>
      </c>
      <c r="M1764" s="256" t="inlineStr">
        <is>
          <t>—</t>
        </is>
      </c>
      <c r="N1764" s="256" t="inlineStr">
        <is>
          <t>—</t>
        </is>
      </c>
      <c r="O1764" s="256" t="inlineStr">
        <is>
          <t>—</t>
        </is>
      </c>
      <c r="P1764" s="256" t="inlineStr">
        <is>
          <t>upon request — not required for release</t>
        </is>
      </c>
      <c r="Q1764" s="256" t="inlineStr"/>
      <c r="R1764" s="256" t="inlineStr"/>
    </row>
    <row r="1765">
      <c r="A1765" s="256" t="inlineStr">
        <is>
          <t>CoQ-PP_26-077</t>
        </is>
      </c>
      <c r="B1765" s="256" t="inlineStr">
        <is>
          <t>release</t>
        </is>
      </c>
      <c r="C1765" s="256" t="inlineStr">
        <is>
          <t>GG012603</t>
        </is>
      </c>
      <c r="D1765" s="256" t="inlineStr">
        <is>
          <t>P060402</t>
        </is>
      </c>
      <c r="E1765" s="256" t="inlineStr">
        <is>
          <t>Gorilla Glue</t>
        </is>
      </c>
      <c r="F1765" s="256" t="inlineStr">
        <is>
          <t>07.07.2026</t>
        </is>
      </c>
      <c r="G1765" s="256" t="inlineStr">
        <is>
          <t>10.1</t>
        </is>
      </c>
      <c r="H1765" s="256" t="inlineStr">
        <is>
          <t>Aflatoxin B₁</t>
        </is>
      </c>
      <c r="I1765" s="256" t="inlineStr">
        <is>
          <t>Ph. Eur. 2.8.18 (HPLC-FLD)</t>
        </is>
      </c>
      <c r="J1765" s="256" t="inlineStr">
        <is>
          <t>≤ 2 µg/kg</t>
        </is>
      </c>
      <c r="K1765" s="259" t="inlineStr">
        <is>
          <t>not tested</t>
        </is>
      </c>
      <c r="L1765" s="256" t="inlineStr">
        <is>
          <t>—</t>
        </is>
      </c>
      <c r="M1765" s="256" t="inlineStr">
        <is>
          <t>—</t>
        </is>
      </c>
      <c r="N1765" s="256" t="inlineStr">
        <is>
          <t>—</t>
        </is>
      </c>
      <c r="O1765" s="256" t="inlineStr">
        <is>
          <t>—</t>
        </is>
      </c>
      <c r="P1765" s="256" t="inlineStr">
        <is>
          <t>not tested — no certificate covers it</t>
        </is>
      </c>
      <c r="Q1765" s="256" t="inlineStr"/>
      <c r="R1765" s="256" t="inlineStr">
        <is>
          <t>ND (197-8-М/26)</t>
        </is>
      </c>
    </row>
    <row r="1766">
      <c r="A1766" s="256" t="inlineStr">
        <is>
          <t>CoQ-PP_26-077</t>
        </is>
      </c>
      <c r="B1766" s="256" t="inlineStr">
        <is>
          <t>release</t>
        </is>
      </c>
      <c r="C1766" s="256" t="inlineStr">
        <is>
          <t>GG012603</t>
        </is>
      </c>
      <c r="D1766" s="256" t="inlineStr">
        <is>
          <t>P060402</t>
        </is>
      </c>
      <c r="E1766" s="256" t="inlineStr">
        <is>
          <t>Gorilla Glue</t>
        </is>
      </c>
      <c r="F1766" s="256" t="inlineStr">
        <is>
          <t>07.07.2026</t>
        </is>
      </c>
      <c r="G1766" s="256" t="inlineStr">
        <is>
          <t>10.2</t>
        </is>
      </c>
      <c r="H1766" s="256" t="inlineStr">
        <is>
          <t>Aflatoxins ∑</t>
        </is>
      </c>
      <c r="I1766" s="256" t="inlineStr">
        <is>
          <t>Ph. Eur. 2.8.18 (HPLC-FLD)</t>
        </is>
      </c>
      <c r="J1766" s="256" t="inlineStr">
        <is>
          <t>≤ 4 µg/kg</t>
        </is>
      </c>
      <c r="K1766" s="256" t="inlineStr">
        <is>
          <t>&lt; 2</t>
        </is>
      </c>
      <c r="L1766" s="256" t="inlineStr">
        <is>
          <t>3659/2026</t>
        </is>
      </c>
      <c r="M1766" s="256" t="inlineStr">
        <is>
          <t>22.06.2026</t>
        </is>
      </c>
      <c r="N1766" s="256" t="inlineStr">
        <is>
          <t>IPH — Institute of Public Health</t>
        </is>
      </c>
      <c r="O1766" s="256" t="inlineStr">
        <is>
          <t>—</t>
        </is>
      </c>
      <c r="P1766" s="256" t="inlineStr">
        <is>
          <t>covered</t>
        </is>
      </c>
      <c r="Q1766" s="256" t="inlineStr"/>
      <c r="R1766" s="256" t="inlineStr">
        <is>
          <t>ND (197-8-М/26)</t>
        </is>
      </c>
    </row>
    <row r="1767">
      <c r="A1767" s="256" t="inlineStr">
        <is>
          <t>CoQ-PP_26-077</t>
        </is>
      </c>
      <c r="B1767" s="256" t="inlineStr">
        <is>
          <t>release</t>
        </is>
      </c>
      <c r="C1767" s="256" t="inlineStr">
        <is>
          <t>GG012603</t>
        </is>
      </c>
      <c r="D1767" s="256" t="inlineStr">
        <is>
          <t>P060402</t>
        </is>
      </c>
      <c r="E1767" s="256" t="inlineStr">
        <is>
          <t>Gorilla Glue</t>
        </is>
      </c>
      <c r="F1767" s="256" t="inlineStr">
        <is>
          <t>07.07.2026</t>
        </is>
      </c>
      <c r="G1767" s="256" t="inlineStr">
        <is>
          <t>10.3</t>
        </is>
      </c>
      <c r="H1767" s="256" t="inlineStr">
        <is>
          <t>Ochratoxin A</t>
        </is>
      </c>
      <c r="I1767" s="256" t="inlineStr">
        <is>
          <t>Ph. Eur. 2.8.22 (HPLC-FLD)</t>
        </is>
      </c>
      <c r="J1767" s="256" t="inlineStr">
        <is>
          <t>≤ 20 µg/kg</t>
        </is>
      </c>
      <c r="K1767" s="259" t="inlineStr">
        <is>
          <t>not tested</t>
        </is>
      </c>
      <c r="L1767" s="256" t="inlineStr">
        <is>
          <t>—</t>
        </is>
      </c>
      <c r="M1767" s="256" t="inlineStr">
        <is>
          <t>—</t>
        </is>
      </c>
      <c r="N1767" s="256" t="inlineStr">
        <is>
          <t>—</t>
        </is>
      </c>
      <c r="O1767" s="256" t="inlineStr">
        <is>
          <t>—</t>
        </is>
      </c>
      <c r="P1767" s="256" t="inlineStr">
        <is>
          <t>not tested — no certificate covers it</t>
        </is>
      </c>
      <c r="Q1767" s="256" t="inlineStr"/>
      <c r="R1767" s="256" t="inlineStr">
        <is>
          <t>ND (197-8-М/26)</t>
        </is>
      </c>
    </row>
    <row r="1768">
      <c r="A1768" s="256" t="inlineStr">
        <is>
          <t>CoQ-PP_26-077</t>
        </is>
      </c>
      <c r="B1768" s="256" t="inlineStr">
        <is>
          <t>release</t>
        </is>
      </c>
      <c r="C1768" s="256" t="inlineStr">
        <is>
          <t>GG012603</t>
        </is>
      </c>
      <c r="D1768" s="256" t="inlineStr">
        <is>
          <t>P060402</t>
        </is>
      </c>
      <c r="E1768" s="256" t="inlineStr">
        <is>
          <t>Gorilla Glue</t>
        </is>
      </c>
      <c r="F1768" s="256" t="inlineStr">
        <is>
          <t>07.07.2026</t>
        </is>
      </c>
      <c r="G1768" s="256" t="inlineStr">
        <is>
          <t>11.1</t>
        </is>
      </c>
      <c r="H1768" s="256" t="inlineStr">
        <is>
          <t>Lead (Pb)</t>
        </is>
      </c>
      <c r="I1768" s="256" t="inlineStr">
        <is>
          <t>Ph. Eur. 2.4.27 (ICP-MS)</t>
        </is>
      </c>
      <c r="J1768" s="256" t="inlineStr">
        <is>
          <t>≤ 0.5 mg/kg</t>
        </is>
      </c>
      <c r="K1768" s="256" t="inlineStr">
        <is>
          <t>0.059</t>
        </is>
      </c>
      <c r="L1768" s="256" t="inlineStr">
        <is>
          <t>3659/2026</t>
        </is>
      </c>
      <c r="M1768" s="256" t="inlineStr">
        <is>
          <t>22.06.2026</t>
        </is>
      </c>
      <c r="N1768" s="256" t="inlineStr">
        <is>
          <t>IPH — Institute of Public Health</t>
        </is>
      </c>
      <c r="O1768" s="256" t="inlineStr">
        <is>
          <t>—</t>
        </is>
      </c>
      <c r="P1768" s="256" t="inlineStr">
        <is>
          <t>covered</t>
        </is>
      </c>
      <c r="Q1768" s="256" t="inlineStr"/>
      <c r="R1768" s="256" t="inlineStr"/>
    </row>
    <row r="1769">
      <c r="A1769" s="256" t="inlineStr">
        <is>
          <t>CoQ-PP_26-077</t>
        </is>
      </c>
      <c r="B1769" s="256" t="inlineStr">
        <is>
          <t>release</t>
        </is>
      </c>
      <c r="C1769" s="256" t="inlineStr">
        <is>
          <t>GG012603</t>
        </is>
      </c>
      <c r="D1769" s="256" t="inlineStr">
        <is>
          <t>P060402</t>
        </is>
      </c>
      <c r="E1769" s="256" t="inlineStr">
        <is>
          <t>Gorilla Glue</t>
        </is>
      </c>
      <c r="F1769" s="256" t="inlineStr">
        <is>
          <t>07.07.2026</t>
        </is>
      </c>
      <c r="G1769" s="256" t="inlineStr">
        <is>
          <t>11.2</t>
        </is>
      </c>
      <c r="H1769" s="256" t="inlineStr">
        <is>
          <t>Cadmium (Cd)</t>
        </is>
      </c>
      <c r="I1769" s="256" t="inlineStr">
        <is>
          <t>Ph. Eur. 2.4.27 (ICP-MS)</t>
        </is>
      </c>
      <c r="J1769" s="256" t="inlineStr">
        <is>
          <t>≤ 0.3 mg/kg</t>
        </is>
      </c>
      <c r="K1769" s="256" t="inlineStr">
        <is>
          <t>0.03</t>
        </is>
      </c>
      <c r="L1769" s="256" t="inlineStr">
        <is>
          <t>3659/2026</t>
        </is>
      </c>
      <c r="M1769" s="256" t="inlineStr">
        <is>
          <t>22.06.2026</t>
        </is>
      </c>
      <c r="N1769" s="256" t="inlineStr">
        <is>
          <t>IPH — Institute of Public Health</t>
        </is>
      </c>
      <c r="O1769" s="256" t="inlineStr">
        <is>
          <t>—</t>
        </is>
      </c>
      <c r="P1769" s="256" t="inlineStr">
        <is>
          <t>covered</t>
        </is>
      </c>
      <c r="Q1769" s="256" t="inlineStr"/>
      <c r="R1769" s="256" t="inlineStr"/>
    </row>
    <row r="1770">
      <c r="A1770" s="256" t="inlineStr">
        <is>
          <t>CoQ-PP_26-077</t>
        </is>
      </c>
      <c r="B1770" s="256" t="inlineStr">
        <is>
          <t>release</t>
        </is>
      </c>
      <c r="C1770" s="256" t="inlineStr">
        <is>
          <t>GG012603</t>
        </is>
      </c>
      <c r="D1770" s="256" t="inlineStr">
        <is>
          <t>P060402</t>
        </is>
      </c>
      <c r="E1770" s="256" t="inlineStr">
        <is>
          <t>Gorilla Glue</t>
        </is>
      </c>
      <c r="F1770" s="256" t="inlineStr">
        <is>
          <t>07.07.2026</t>
        </is>
      </c>
      <c r="G1770" s="256" t="inlineStr">
        <is>
          <t>11.3</t>
        </is>
      </c>
      <c r="H1770" s="256" t="inlineStr">
        <is>
          <t>Arsenic (As)</t>
        </is>
      </c>
      <c r="I1770" s="256" t="inlineStr">
        <is>
          <t>Ph. Eur. 2.4.27 (ICP-MS)</t>
        </is>
      </c>
      <c r="J1770" s="256" t="inlineStr">
        <is>
          <t>≤ 0.2 mg/kg</t>
        </is>
      </c>
      <c r="K1770" s="256" t="inlineStr">
        <is>
          <t>0.05</t>
        </is>
      </c>
      <c r="L1770" s="256" t="inlineStr">
        <is>
          <t>3659/2026</t>
        </is>
      </c>
      <c r="M1770" s="256" t="inlineStr">
        <is>
          <t>22.06.2026</t>
        </is>
      </c>
      <c r="N1770" s="256" t="inlineStr">
        <is>
          <t>IPH — Institute of Public Health</t>
        </is>
      </c>
      <c r="O1770" s="256" t="inlineStr">
        <is>
          <t>—</t>
        </is>
      </c>
      <c r="P1770" s="256" t="inlineStr">
        <is>
          <t>covered</t>
        </is>
      </c>
      <c r="Q1770" s="256" t="inlineStr"/>
      <c r="R1770" s="256" t="inlineStr"/>
    </row>
    <row r="1771">
      <c r="A1771" s="256" t="inlineStr">
        <is>
          <t>CoQ-PP_26-077</t>
        </is>
      </c>
      <c r="B1771" s="256" t="inlineStr">
        <is>
          <t>release</t>
        </is>
      </c>
      <c r="C1771" s="256" t="inlineStr">
        <is>
          <t>GG012603</t>
        </is>
      </c>
      <c r="D1771" s="256" t="inlineStr">
        <is>
          <t>P060402</t>
        </is>
      </c>
      <c r="E1771" s="256" t="inlineStr">
        <is>
          <t>Gorilla Glue</t>
        </is>
      </c>
      <c r="F1771" s="256" t="inlineStr">
        <is>
          <t>07.07.2026</t>
        </is>
      </c>
      <c r="G1771" s="256" t="inlineStr">
        <is>
          <t>11.4</t>
        </is>
      </c>
      <c r="H1771" s="256" t="inlineStr">
        <is>
          <t>Mercury (Hg)</t>
        </is>
      </c>
      <c r="I1771" s="256" t="inlineStr">
        <is>
          <t>Ph. Eur. 2.4.27 (ICP-MS)</t>
        </is>
      </c>
      <c r="J1771" s="256" t="inlineStr">
        <is>
          <t>≤ 0.1 mg/kg</t>
        </is>
      </c>
      <c r="K1771" s="256" t="inlineStr">
        <is>
          <t>0.015</t>
        </is>
      </c>
      <c r="L1771" s="256" t="inlineStr">
        <is>
          <t>3659/2026</t>
        </is>
      </c>
      <c r="M1771" s="256" t="inlineStr">
        <is>
          <t>22.06.2026</t>
        </is>
      </c>
      <c r="N1771" s="256" t="inlineStr">
        <is>
          <t>IPH — Institute of Public Health</t>
        </is>
      </c>
      <c r="O1771" s="256" t="inlineStr">
        <is>
          <t>—</t>
        </is>
      </c>
      <c r="P1771" s="256" t="inlineStr">
        <is>
          <t>covered</t>
        </is>
      </c>
      <c r="Q1771" s="256" t="inlineStr"/>
      <c r="R1771" s="256" t="inlineStr"/>
    </row>
    <row r="1772">
      <c r="A1772" s="256" t="inlineStr">
        <is>
          <t>CoQ-PP_26-077</t>
        </is>
      </c>
      <c r="B1772" s="256" t="inlineStr">
        <is>
          <t>release</t>
        </is>
      </c>
      <c r="C1772" s="256" t="inlineStr">
        <is>
          <t>GG012603</t>
        </is>
      </c>
      <c r="D1772" s="256" t="inlineStr">
        <is>
          <t>P060402</t>
        </is>
      </c>
      <c r="E1772" s="256" t="inlineStr">
        <is>
          <t>Gorilla Glue</t>
        </is>
      </c>
      <c r="F1772" s="256" t="inlineStr">
        <is>
          <t>07.07.2026</t>
        </is>
      </c>
      <c r="G1772" s="256" t="inlineStr">
        <is>
          <t>12</t>
        </is>
      </c>
      <c r="H1772" s="256" t="inlineStr">
        <is>
          <t>Pesticide Residues</t>
        </is>
      </c>
      <c r="I1772" s="256" t="inlineStr">
        <is>
          <t>Ph. Eur. 2.8.13 (LC-MS/MS) · CUMCS Equivalency</t>
        </is>
      </c>
      <c r="J1772" s="256" t="inlineStr">
        <is>
          <t>≤ LOQ as per Ph. Eur. 2.8.13 · ≤ LOQ as per CUMCS Equivalency</t>
        </is>
      </c>
      <c r="K1772" s="256" t="inlineStr">
        <is>
          <t>&lt; 0,01 mg/kg — all 22 residues</t>
        </is>
      </c>
      <c r="L1772" s="256" t="inlineStr">
        <is>
          <t>3659/2026</t>
        </is>
      </c>
      <c r="M1772" s="256" t="inlineStr">
        <is>
          <t>22.06.2026</t>
        </is>
      </c>
      <c r="N1772" s="256" t="inlineStr">
        <is>
          <t>IJZ</t>
        </is>
      </c>
      <c r="O1772" s="256" t="inlineStr">
        <is>
          <t>—</t>
        </is>
      </c>
      <c r="P1772" s="256" t="inlineStr">
        <is>
          <t>covered</t>
        </is>
      </c>
      <c r="Q1772" s="256" t="inlineStr"/>
      <c r="R1772" s="256" t="inlineStr"/>
    </row>
    <row r="1773">
      <c r="A1773" s="256" t="inlineStr">
        <is>
          <t>CoQ-PP_26-078</t>
        </is>
      </c>
      <c r="B1773" s="256" t="inlineStr">
        <is>
          <t>release</t>
        </is>
      </c>
      <c r="C1773" s="256" t="inlineStr">
        <is>
          <t>JD012603/02</t>
        </is>
      </c>
      <c r="D1773" s="256" t="inlineStr">
        <is>
          <t>P060412</t>
        </is>
      </c>
      <c r="E1773" s="256" t="inlineStr">
        <is>
          <t>Jelly Donuts</t>
        </is>
      </c>
      <c r="F1773" s="256" t="inlineStr">
        <is>
          <t>07.07.2026</t>
        </is>
      </c>
      <c r="G1773" s="256" t="inlineStr">
        <is>
          <t>1</t>
        </is>
      </c>
      <c r="H1773" s="256" t="inlineStr">
        <is>
          <t>Identification A, Appearance · Macroscopic</t>
        </is>
      </c>
      <c r="I1773" s="256" t="inlineStr">
        <is>
          <t>Ph. Eur. mon. 3028</t>
        </is>
      </c>
      <c r="J1773" s="256" t="inlineStr">
        <is>
          <t>Conforms to the monograph for Cannabis flos (07/2024:3028) in Ph. Eur. 11.0 | Согласно монографија за Cannabis flos (07/2024:3028) во Ph. Eur. 11.0</t>
        </is>
      </c>
      <c r="K1773" s="256" t="inlineStr">
        <is>
          <t>Conforms | Одговара</t>
        </is>
      </c>
      <c r="L1773" s="256" t="inlineStr">
        <is>
          <t>ППК26113</t>
        </is>
      </c>
      <c r="M1773" s="256" t="inlineStr">
        <is>
          <t>30.06.2026</t>
        </is>
      </c>
      <c r="N1773" s="256" t="inlineStr">
        <is>
          <t>UKIM Faculty of Pharmacy — Center for Natural Products</t>
        </is>
      </c>
      <c r="O1773" s="256" t="inlineStr">
        <is>
          <t>17.06.2026</t>
        </is>
      </c>
      <c r="P1773" s="256" t="inlineStr">
        <is>
          <t>covered</t>
        </is>
      </c>
      <c r="Q1773" s="256" t="inlineStr"/>
      <c r="R1773" s="256" t="inlineStr"/>
    </row>
    <row r="1774">
      <c r="A1774" s="256" t="inlineStr">
        <is>
          <t>CoQ-PP_26-078</t>
        </is>
      </c>
      <c r="B1774" s="256" t="inlineStr">
        <is>
          <t>release</t>
        </is>
      </c>
      <c r="C1774" s="256" t="inlineStr">
        <is>
          <t>JD012603/02</t>
        </is>
      </c>
      <c r="D1774" s="256" t="inlineStr">
        <is>
          <t>P060412</t>
        </is>
      </c>
      <c r="E1774" s="256" t="inlineStr">
        <is>
          <t>Jelly Donuts</t>
        </is>
      </c>
      <c r="F1774" s="256" t="inlineStr">
        <is>
          <t>07.07.2026</t>
        </is>
      </c>
      <c r="G1774" s="256" t="inlineStr">
        <is>
          <t>2</t>
        </is>
      </c>
      <c r="H1774" s="256" t="inlineStr">
        <is>
          <t>Identification B · Microscopic</t>
        </is>
      </c>
      <c r="I1774" s="256" t="inlineStr">
        <is>
          <t>Ph. Eur. 2.8.23 (microscopy)</t>
        </is>
      </c>
      <c r="J1774" s="256" t="inlineStr">
        <is>
          <t>Conforms to the monograph for Cannabis flos (07/2024:3028) in Ph. Eur. 11.0 | Согласно монографија за Cannabis flos (07/2024:3028) во Ph. Eur. 11.0</t>
        </is>
      </c>
      <c r="K1774" s="256" t="inlineStr">
        <is>
          <t>Conforms | Одговара</t>
        </is>
      </c>
      <c r="L1774" s="256" t="inlineStr">
        <is>
          <t>ППК26113</t>
        </is>
      </c>
      <c r="M1774" s="256" t="inlineStr">
        <is>
          <t>30.06.2026</t>
        </is>
      </c>
      <c r="N1774" s="256" t="inlineStr">
        <is>
          <t>UKIM Faculty of Pharmacy — Center for Natural Products</t>
        </is>
      </c>
      <c r="O1774" s="256" t="inlineStr">
        <is>
          <t>17.06.2026</t>
        </is>
      </c>
      <c r="P1774" s="256" t="inlineStr">
        <is>
          <t>covered</t>
        </is>
      </c>
      <c r="Q1774" s="256" t="inlineStr"/>
      <c r="R1774" s="256" t="inlineStr"/>
    </row>
    <row r="1775">
      <c r="A1775" s="256" t="inlineStr">
        <is>
          <t>CoQ-PP_26-078</t>
        </is>
      </c>
      <c r="B1775" s="256" t="inlineStr">
        <is>
          <t>release</t>
        </is>
      </c>
      <c r="C1775" s="256" t="inlineStr">
        <is>
          <t>JD012603/02</t>
        </is>
      </c>
      <c r="D1775" s="256" t="inlineStr">
        <is>
          <t>P060412</t>
        </is>
      </c>
      <c r="E1775" s="256" t="inlineStr">
        <is>
          <t>Jelly Donuts</t>
        </is>
      </c>
      <c r="F1775" s="256" t="inlineStr">
        <is>
          <t>07.07.2026</t>
        </is>
      </c>
      <c r="G1775" s="256" t="inlineStr">
        <is>
          <t>3</t>
        </is>
      </c>
      <c r="H1775" s="256" t="inlineStr">
        <is>
          <t>Identification C · HPLC/HPTLC</t>
        </is>
      </c>
      <c r="I1775" s="256" t="inlineStr">
        <is>
          <t>Ph. Eur. 2.2.29 (3028)</t>
        </is>
      </c>
      <c r="J1775" s="256" t="inlineStr">
        <is>
          <t>Conforms to the monograph for Cannabis flos (07/2024:3028) in Ph. Eur. 11.0 | Согласно монографија за Cannabis flos (07/2024:3028) во Ph. Eur. 11.0</t>
        </is>
      </c>
      <c r="K1775" s="256" t="inlineStr">
        <is>
          <t>Conforms | Одговара</t>
        </is>
      </c>
      <c r="L1775" s="256" t="inlineStr">
        <is>
          <t>ППК26113</t>
        </is>
      </c>
      <c r="M1775" s="256" t="inlineStr">
        <is>
          <t>30.06.2026</t>
        </is>
      </c>
      <c r="N1775" s="256" t="inlineStr">
        <is>
          <t>UKIM Faculty of Pharmacy — Center for Natural Products</t>
        </is>
      </c>
      <c r="O1775" s="256" t="inlineStr">
        <is>
          <t>17.06.2026</t>
        </is>
      </c>
      <c r="P1775" s="256" t="inlineStr">
        <is>
          <t>covered</t>
        </is>
      </c>
      <c r="Q1775" s="256" t="inlineStr"/>
      <c r="R1775" s="256" t="inlineStr"/>
    </row>
    <row r="1776">
      <c r="A1776" s="256" t="inlineStr">
        <is>
          <t>CoQ-PP_26-078</t>
        </is>
      </c>
      <c r="B1776" s="256" t="inlineStr">
        <is>
          <t>release</t>
        </is>
      </c>
      <c r="C1776" s="256" t="inlineStr">
        <is>
          <t>JD012603/02</t>
        </is>
      </c>
      <c r="D1776" s="256" t="inlineStr">
        <is>
          <t>P060412</t>
        </is>
      </c>
      <c r="E1776" s="256" t="inlineStr">
        <is>
          <t>Jelly Donuts</t>
        </is>
      </c>
      <c r="F1776" s="256" t="inlineStr">
        <is>
          <t>07.07.2026</t>
        </is>
      </c>
      <c r="G1776" s="256" t="inlineStr">
        <is>
          <t>4</t>
        </is>
      </c>
      <c r="H1776" s="256" t="inlineStr">
        <is>
          <t>Assay — Total Δ⁹-THC</t>
        </is>
      </c>
      <c r="I1776" s="256" t="inlineStr">
        <is>
          <t>Ph. Eur. 2.2.29 (HPLC)</t>
        </is>
      </c>
      <c r="J1776" s="256" t="inlineStr">
        <is>
          <t>19.80 – 24.19 %  (grade I, nominal 22.00 ± 2.20)</t>
        </is>
      </c>
      <c r="K1776" s="256" t="inlineStr">
        <is>
          <t>20.54</t>
        </is>
      </c>
      <c r="L1776" s="256" t="inlineStr">
        <is>
          <t>ППК26113</t>
        </is>
      </c>
      <c r="M1776" s="256" t="inlineStr">
        <is>
          <t>30.06.2026</t>
        </is>
      </c>
      <c r="N1776" s="256" t="inlineStr">
        <is>
          <t>UKIM Faculty of Pharmacy — Center for Natural Products</t>
        </is>
      </c>
      <c r="O1776" s="256" t="inlineStr">
        <is>
          <t>17.06.2026</t>
        </is>
      </c>
      <c r="P1776" s="256" t="inlineStr">
        <is>
          <t>covered</t>
        </is>
      </c>
      <c r="Q1776" s="256" t="inlineStr"/>
      <c r="R1776" s="256" t="inlineStr">
        <is>
          <t>14.43 (220-17-К/26)</t>
        </is>
      </c>
    </row>
    <row r="1777">
      <c r="A1777" s="256" t="inlineStr">
        <is>
          <t>CoQ-PP_26-078</t>
        </is>
      </c>
      <c r="B1777" s="256" t="inlineStr">
        <is>
          <t>release</t>
        </is>
      </c>
      <c r="C1777" s="256" t="inlineStr">
        <is>
          <t>JD012603/02</t>
        </is>
      </c>
      <c r="D1777" s="256" t="inlineStr">
        <is>
          <t>P060412</t>
        </is>
      </c>
      <c r="E1777" s="256" t="inlineStr">
        <is>
          <t>Jelly Donuts</t>
        </is>
      </c>
      <c r="F1777" s="256" t="inlineStr">
        <is>
          <t>07.07.2026</t>
        </is>
      </c>
      <c r="G1777" s="256" t="inlineStr">
        <is>
          <t>5</t>
        </is>
      </c>
      <c r="H1777" s="256" t="inlineStr">
        <is>
          <t>Assay — Total CBD</t>
        </is>
      </c>
      <c r="I1777" s="256" t="inlineStr">
        <is>
          <t>Ph. Eur. 2.2.29 (HPLC) · CBD + CBDA x 0.877</t>
        </is>
      </c>
      <c r="J1777" s="256" t="inlineStr">
        <is>
          <t>≤ 1.0%, w/w</t>
        </is>
      </c>
      <c r="K1777" s="256" t="inlineStr">
        <is>
          <t>0.05</t>
        </is>
      </c>
      <c r="L1777" s="256" t="inlineStr">
        <is>
          <t>ППК26113</t>
        </is>
      </c>
      <c r="M1777" s="256" t="inlineStr">
        <is>
          <t>30.06.2026</t>
        </is>
      </c>
      <c r="N1777" s="256" t="inlineStr">
        <is>
          <t>UKIM Faculty of Pharmacy — Center for Natural Products</t>
        </is>
      </c>
      <c r="O1777" s="256" t="inlineStr">
        <is>
          <t>17.06.2026</t>
        </is>
      </c>
      <c r="P1777" s="256" t="inlineStr">
        <is>
          <t>covered</t>
        </is>
      </c>
      <c r="Q1777" s="256" t="inlineStr"/>
      <c r="R1777" s="256" t="inlineStr">
        <is>
          <t>&lt;LOQ (220-17-К/26)</t>
        </is>
      </c>
    </row>
    <row r="1778">
      <c r="A1778" s="256" t="inlineStr">
        <is>
          <t>CoQ-PP_26-078</t>
        </is>
      </c>
      <c r="B1778" s="256" t="inlineStr">
        <is>
          <t>release</t>
        </is>
      </c>
      <c r="C1778" s="256" t="inlineStr">
        <is>
          <t>JD012603/02</t>
        </is>
      </c>
      <c r="D1778" s="256" t="inlineStr">
        <is>
          <t>P060412</t>
        </is>
      </c>
      <c r="E1778" s="256" t="inlineStr">
        <is>
          <t>Jelly Donuts</t>
        </is>
      </c>
      <c r="F1778" s="256" t="inlineStr">
        <is>
          <t>07.07.2026</t>
        </is>
      </c>
      <c r="G1778" s="256" t="inlineStr">
        <is>
          <t>6</t>
        </is>
      </c>
      <c r="H1778" s="256" t="inlineStr">
        <is>
          <t>Total CBN</t>
        </is>
      </c>
      <c r="I1778" s="256" t="inlineStr">
        <is>
          <t>Ph. Eur. 2.2.29 (HPLC) · CBN + CBNA x 0.876</t>
        </is>
      </c>
      <c r="J1778" s="256" t="inlineStr">
        <is>
          <t>≤ 1.0%, w/w</t>
        </is>
      </c>
      <c r="K1778" s="256" t="inlineStr">
        <is>
          <t>0.05</t>
        </is>
      </c>
      <c r="L1778" s="256" t="inlineStr">
        <is>
          <t>ППК26113</t>
        </is>
      </c>
      <c r="M1778" s="256" t="inlineStr">
        <is>
          <t>30.06.2026</t>
        </is>
      </c>
      <c r="N1778" s="256" t="inlineStr">
        <is>
          <t>UKIM Faculty of Pharmacy — Center for Natural Products</t>
        </is>
      </c>
      <c r="O1778" s="256" t="inlineStr">
        <is>
          <t>17.06.2026</t>
        </is>
      </c>
      <c r="P1778" s="256" t="inlineStr">
        <is>
          <t>covered</t>
        </is>
      </c>
      <c r="Q1778" s="256" t="inlineStr"/>
      <c r="R1778" s="256" t="inlineStr">
        <is>
          <t>&lt;LOQ (220-17-К/26)</t>
        </is>
      </c>
    </row>
    <row r="1779">
      <c r="A1779" s="256" t="inlineStr">
        <is>
          <t>CoQ-PP_26-078</t>
        </is>
      </c>
      <c r="B1779" s="256" t="inlineStr">
        <is>
          <t>release</t>
        </is>
      </c>
      <c r="C1779" s="256" t="inlineStr">
        <is>
          <t>JD012603/02</t>
        </is>
      </c>
      <c r="D1779" s="256" t="inlineStr">
        <is>
          <t>P060412</t>
        </is>
      </c>
      <c r="E1779" s="256" t="inlineStr">
        <is>
          <t>Jelly Donuts</t>
        </is>
      </c>
      <c r="F1779" s="256" t="inlineStr">
        <is>
          <t>07.07.2026</t>
        </is>
      </c>
      <c r="G1779" s="256" t="inlineStr">
        <is>
          <t>7</t>
        </is>
      </c>
      <c r="H1779" s="256" t="inlineStr">
        <is>
          <t>Foreign Matter</t>
        </is>
      </c>
      <c r="I1779" s="256" t="inlineStr">
        <is>
          <t>Ph. Eur. 2.8.2 · In-house · интерна</t>
        </is>
      </c>
      <c r="J1779" s="256" t="inlineStr">
        <is>
          <t>≤ 2.0% / 25–50 g · &lt; 1 cm leaves | листови, no seeds | без семки</t>
        </is>
      </c>
      <c r="K1779" s="256" t="inlineStr">
        <is>
          <t>Conforms | Одговара</t>
        </is>
      </c>
      <c r="L1779" s="256" t="inlineStr">
        <is>
          <t>ППК26113</t>
        </is>
      </c>
      <c r="M1779" s="256" t="inlineStr">
        <is>
          <t>30.06.2026</t>
        </is>
      </c>
      <c r="N1779" s="256" t="inlineStr">
        <is>
          <t>UKIM Faculty of Pharmacy — Center for Natural Products</t>
        </is>
      </c>
      <c r="O1779" s="256" t="inlineStr">
        <is>
          <t>17.06.2026</t>
        </is>
      </c>
      <c r="P1779" s="256" t="inlineStr">
        <is>
          <t>covered</t>
        </is>
      </c>
      <c r="Q1779" s="256" t="inlineStr"/>
      <c r="R1779" s="256" t="inlineStr"/>
    </row>
    <row r="1780">
      <c r="A1780" s="256" t="inlineStr">
        <is>
          <t>CoQ-PP_26-078</t>
        </is>
      </c>
      <c r="B1780" s="256" t="inlineStr">
        <is>
          <t>release</t>
        </is>
      </c>
      <c r="C1780" s="256" t="inlineStr">
        <is>
          <t>JD012603/02</t>
        </is>
      </c>
      <c r="D1780" s="256" t="inlineStr">
        <is>
          <t>P060412</t>
        </is>
      </c>
      <c r="E1780" s="256" t="inlineStr">
        <is>
          <t>Jelly Donuts</t>
        </is>
      </c>
      <c r="F1780" s="256" t="inlineStr">
        <is>
          <t>07.07.2026</t>
        </is>
      </c>
      <c r="G1780" s="256" t="inlineStr">
        <is>
          <t>8</t>
        </is>
      </c>
      <c r="H1780" s="256" t="inlineStr">
        <is>
          <t>Loss on Drying</t>
        </is>
      </c>
      <c r="I1780" s="256" t="inlineStr">
        <is>
          <t>Ph. Eur. 2.2.32 (3028) · at 40 °C, 24 h, 15–25 mbar</t>
        </is>
      </c>
      <c r="J1780" s="256" t="inlineStr">
        <is>
          <t>≤ 12.0%</t>
        </is>
      </c>
      <c r="K1780" s="256" t="inlineStr">
        <is>
          <t>7.52</t>
        </is>
      </c>
      <c r="L1780" s="256" t="inlineStr">
        <is>
          <t>ППК26113</t>
        </is>
      </c>
      <c r="M1780" s="256" t="inlineStr">
        <is>
          <t>30.06.2026</t>
        </is>
      </c>
      <c r="N1780" s="256" t="inlineStr">
        <is>
          <t>UKIM Faculty of Pharmacy — Center for Natural Products</t>
        </is>
      </c>
      <c r="O1780" s="256" t="inlineStr">
        <is>
          <t>17.06.2026</t>
        </is>
      </c>
      <c r="P1780" s="256" t="inlineStr">
        <is>
          <t>covered</t>
        </is>
      </c>
      <c r="Q1780" s="256" t="inlineStr"/>
      <c r="R1780" s="256" t="inlineStr"/>
    </row>
    <row r="1781">
      <c r="A1781" s="256" t="inlineStr">
        <is>
          <t>CoQ-PP_26-078</t>
        </is>
      </c>
      <c r="B1781" s="256" t="inlineStr">
        <is>
          <t>release</t>
        </is>
      </c>
      <c r="C1781" s="256" t="inlineStr">
        <is>
          <t>JD012603/02</t>
        </is>
      </c>
      <c r="D1781" s="256" t="inlineStr">
        <is>
          <t>P060412</t>
        </is>
      </c>
      <c r="E1781" s="256" t="inlineStr">
        <is>
          <t>Jelly Donuts</t>
        </is>
      </c>
      <c r="F1781" s="256" t="inlineStr">
        <is>
          <t>07.07.2026</t>
        </is>
      </c>
      <c r="G1781" s="256" t="inlineStr">
        <is>
          <t>9.1</t>
        </is>
      </c>
      <c r="H1781" s="256" t="inlineStr">
        <is>
          <t>TAMC</t>
        </is>
      </c>
      <c r="I1781" s="256" t="inlineStr">
        <is>
          <t>Ph. Eur. 2.6.12 cat. C</t>
        </is>
      </c>
      <c r="J1781" s="256" t="inlineStr">
        <is>
          <t>≤ 10⁵ CFU/g</t>
        </is>
      </c>
      <c r="K1781" s="256" t="inlineStr">
        <is>
          <t>6.3 × 10³</t>
        </is>
      </c>
      <c r="L1781" s="256" t="inlineStr">
        <is>
          <t>405/0788/26</t>
        </is>
      </c>
      <c r="M1781" s="256" t="inlineStr">
        <is>
          <t>24.06.2026</t>
        </is>
      </c>
      <c r="N1781" s="256" t="inlineStr">
        <is>
          <t>IPH — Institute of Public Health</t>
        </is>
      </c>
      <c r="O1781" s="256" t="inlineStr">
        <is>
          <t>—</t>
        </is>
      </c>
      <c r="P1781" s="256" t="inlineStr">
        <is>
          <t>covered</t>
        </is>
      </c>
      <c r="Q1781" s="256" t="inlineStr"/>
      <c r="R1781" s="256" t="inlineStr"/>
    </row>
    <row r="1782">
      <c r="A1782" s="256" t="inlineStr">
        <is>
          <t>CoQ-PP_26-078</t>
        </is>
      </c>
      <c r="B1782" s="256" t="inlineStr">
        <is>
          <t>release</t>
        </is>
      </c>
      <c r="C1782" s="256" t="inlineStr">
        <is>
          <t>JD012603/02</t>
        </is>
      </c>
      <c r="D1782" s="256" t="inlineStr">
        <is>
          <t>P060412</t>
        </is>
      </c>
      <c r="E1782" s="256" t="inlineStr">
        <is>
          <t>Jelly Donuts</t>
        </is>
      </c>
      <c r="F1782" s="256" t="inlineStr">
        <is>
          <t>07.07.2026</t>
        </is>
      </c>
      <c r="G1782" s="256" t="inlineStr">
        <is>
          <t>9.2</t>
        </is>
      </c>
      <c r="H1782" s="256" t="inlineStr">
        <is>
          <t>TYMC</t>
        </is>
      </c>
      <c r="I1782" s="256" t="inlineStr">
        <is>
          <t>Ph. Eur. 2.6.12 cat. C</t>
        </is>
      </c>
      <c r="J1782" s="256" t="inlineStr">
        <is>
          <t>≤ 10⁴ CFU/g</t>
        </is>
      </c>
      <c r="K1782" s="256" t="inlineStr">
        <is>
          <t>4.4 × 10³</t>
        </is>
      </c>
      <c r="L1782" s="256" t="inlineStr">
        <is>
          <t>405/0788/26</t>
        </is>
      </c>
      <c r="M1782" s="256" t="inlineStr">
        <is>
          <t>24.06.2026</t>
        </is>
      </c>
      <c r="N1782" s="256" t="inlineStr">
        <is>
          <t>IPH — Institute of Public Health</t>
        </is>
      </c>
      <c r="O1782" s="256" t="inlineStr">
        <is>
          <t>—</t>
        </is>
      </c>
      <c r="P1782" s="256" t="inlineStr">
        <is>
          <t>covered</t>
        </is>
      </c>
      <c r="Q1782" s="256" t="inlineStr"/>
      <c r="R1782" s="256" t="inlineStr"/>
    </row>
    <row r="1783">
      <c r="A1783" s="256" t="inlineStr">
        <is>
          <t>CoQ-PP_26-078</t>
        </is>
      </c>
      <c r="B1783" s="256" t="inlineStr">
        <is>
          <t>release</t>
        </is>
      </c>
      <c r="C1783" s="256" t="inlineStr">
        <is>
          <t>JD012603/02</t>
        </is>
      </c>
      <c r="D1783" s="256" t="inlineStr">
        <is>
          <t>P060412</t>
        </is>
      </c>
      <c r="E1783" s="256" t="inlineStr">
        <is>
          <t>Jelly Donuts</t>
        </is>
      </c>
      <c r="F1783" s="256" t="inlineStr">
        <is>
          <t>07.07.2026</t>
        </is>
      </c>
      <c r="G1783" s="256" t="inlineStr">
        <is>
          <t>9.3</t>
        </is>
      </c>
      <c r="H1783" s="256" t="inlineStr">
        <is>
          <t>Bile-tolerant gram-neg.</t>
        </is>
      </c>
      <c r="I1783" s="256" t="inlineStr">
        <is>
          <t>Ph. Eur. 2.6.31 cat. C</t>
        </is>
      </c>
      <c r="J1783" s="256" t="inlineStr">
        <is>
          <t>≤ 10⁴ CFU/g</t>
        </is>
      </c>
      <c r="K1783" s="256" t="inlineStr">
        <is>
          <t>&lt; 10</t>
        </is>
      </c>
      <c r="L1783" s="256" t="inlineStr">
        <is>
          <t>405/0788/26</t>
        </is>
      </c>
      <c r="M1783" s="256" t="inlineStr">
        <is>
          <t>24.06.2026</t>
        </is>
      </c>
      <c r="N1783" s="256" t="inlineStr">
        <is>
          <t>IPH — Institute of Public Health</t>
        </is>
      </c>
      <c r="O1783" s="256" t="inlineStr">
        <is>
          <t>—</t>
        </is>
      </c>
      <c r="P1783" s="256" t="inlineStr">
        <is>
          <t>covered</t>
        </is>
      </c>
      <c r="Q1783" s="256" t="inlineStr"/>
      <c r="R1783" s="256" t="inlineStr"/>
    </row>
    <row r="1784">
      <c r="A1784" s="256" t="inlineStr">
        <is>
          <t>CoQ-PP_26-078</t>
        </is>
      </c>
      <c r="B1784" s="256" t="inlineStr">
        <is>
          <t>release</t>
        </is>
      </c>
      <c r="C1784" s="256" t="inlineStr">
        <is>
          <t>JD012603/02</t>
        </is>
      </c>
      <c r="D1784" s="256" t="inlineStr">
        <is>
          <t>P060412</t>
        </is>
      </c>
      <c r="E1784" s="256" t="inlineStr">
        <is>
          <t>Jelly Donuts</t>
        </is>
      </c>
      <c r="F1784" s="256" t="inlineStr">
        <is>
          <t>07.07.2026</t>
        </is>
      </c>
      <c r="G1784" s="256" t="inlineStr">
        <is>
          <t>9.4</t>
        </is>
      </c>
      <c r="H1784" s="256" t="inlineStr">
        <is>
          <t>Salmonella</t>
        </is>
      </c>
      <c r="I1784" s="256" t="inlineStr">
        <is>
          <t>Ph. Eur. 2.6.31 cat. C</t>
        </is>
      </c>
      <c r="J1784" s="256" t="inlineStr">
        <is>
          <t>Absence | Отсуство / 25 g</t>
        </is>
      </c>
      <c r="K1784" s="256" t="inlineStr">
        <is>
          <t>Absent | Отсутна</t>
        </is>
      </c>
      <c r="L1784" s="256" t="inlineStr">
        <is>
          <t>405/0788/26</t>
        </is>
      </c>
      <c r="M1784" s="256" t="inlineStr">
        <is>
          <t>24.06.2026</t>
        </is>
      </c>
      <c r="N1784" s="256" t="inlineStr">
        <is>
          <t>IPH — Institute of Public Health</t>
        </is>
      </c>
      <c r="O1784" s="256" t="inlineStr">
        <is>
          <t>—</t>
        </is>
      </c>
      <c r="P1784" s="256" t="inlineStr">
        <is>
          <t>covered</t>
        </is>
      </c>
      <c r="Q1784" s="256" t="inlineStr"/>
      <c r="R1784" s="256" t="inlineStr"/>
    </row>
    <row r="1785">
      <c r="A1785" s="256" t="inlineStr">
        <is>
          <t>CoQ-PP_26-078</t>
        </is>
      </c>
      <c r="B1785" s="256" t="inlineStr">
        <is>
          <t>release</t>
        </is>
      </c>
      <c r="C1785" s="256" t="inlineStr">
        <is>
          <t>JD012603/02</t>
        </is>
      </c>
      <c r="D1785" s="256" t="inlineStr">
        <is>
          <t>P060412</t>
        </is>
      </c>
      <c r="E1785" s="256" t="inlineStr">
        <is>
          <t>Jelly Donuts</t>
        </is>
      </c>
      <c r="F1785" s="256" t="inlineStr">
        <is>
          <t>07.07.2026</t>
        </is>
      </c>
      <c r="G1785" s="256" t="inlineStr">
        <is>
          <t>9.5</t>
        </is>
      </c>
      <c r="H1785" s="256" t="inlineStr">
        <is>
          <t>Escherichia coli</t>
        </is>
      </c>
      <c r="I1785" s="256" t="inlineStr">
        <is>
          <t>Ph. Eur. 2.6.13 cat. C</t>
        </is>
      </c>
      <c r="J1785" s="256" t="inlineStr">
        <is>
          <t>Absence | Отсуство / 1 g</t>
        </is>
      </c>
      <c r="K1785" s="256" t="inlineStr">
        <is>
          <t>Absent | Отсутна</t>
        </is>
      </c>
      <c r="L1785" s="256" t="inlineStr">
        <is>
          <t>405/0788/26</t>
        </is>
      </c>
      <c r="M1785" s="256" t="inlineStr">
        <is>
          <t>24.06.2026</t>
        </is>
      </c>
      <c r="N1785" s="256" t="inlineStr">
        <is>
          <t>IPH — Institute of Public Health</t>
        </is>
      </c>
      <c r="O1785" s="256" t="inlineStr">
        <is>
          <t>—</t>
        </is>
      </c>
      <c r="P1785" s="256" t="inlineStr">
        <is>
          <t>covered</t>
        </is>
      </c>
      <c r="Q1785" s="256" t="inlineStr"/>
      <c r="R1785" s="256" t="inlineStr"/>
    </row>
    <row r="1786">
      <c r="A1786" s="256" t="inlineStr">
        <is>
          <t>CoQ-PP_26-078</t>
        </is>
      </c>
      <c r="B1786" s="256" t="inlineStr">
        <is>
          <t>release</t>
        </is>
      </c>
      <c r="C1786" s="256" t="inlineStr">
        <is>
          <t>JD012603/02</t>
        </is>
      </c>
      <c r="D1786" s="256" t="inlineStr">
        <is>
          <t>P060412</t>
        </is>
      </c>
      <c r="E1786" s="256" t="inlineStr">
        <is>
          <t>Jelly Donuts</t>
        </is>
      </c>
      <c r="F1786" s="256" t="inlineStr">
        <is>
          <t>07.07.2026</t>
        </is>
      </c>
      <c r="G1786" s="256" t="inlineStr">
        <is>
          <t>9.6</t>
        </is>
      </c>
      <c r="H1786" s="256" t="inlineStr">
        <is>
          <t>Pseudomonas aeruginosa</t>
        </is>
      </c>
      <c r="I1786" s="256" t="inlineStr">
        <is>
          <t>Ph. Eur. 2.6.13 cat. C</t>
        </is>
      </c>
      <c r="J1786" s="256" t="inlineStr">
        <is>
          <t>Absence | Отсуство / 1 g</t>
        </is>
      </c>
      <c r="K1786" s="260" t="inlineStr">
        <is>
          <t>upon request — not required for release</t>
        </is>
      </c>
      <c r="L1786" s="256" t="inlineStr">
        <is>
          <t>—</t>
        </is>
      </c>
      <c r="M1786" s="256" t="inlineStr">
        <is>
          <t>—</t>
        </is>
      </c>
      <c r="N1786" s="256" t="inlineStr">
        <is>
          <t>—</t>
        </is>
      </c>
      <c r="O1786" s="256" t="inlineStr">
        <is>
          <t>—</t>
        </is>
      </c>
      <c r="P1786" s="256" t="inlineStr">
        <is>
          <t>upon request — not required for release</t>
        </is>
      </c>
      <c r="Q1786" s="256" t="inlineStr"/>
      <c r="R1786" s="256" t="inlineStr"/>
    </row>
    <row r="1787">
      <c r="A1787" s="256" t="inlineStr">
        <is>
          <t>CoQ-PP_26-078</t>
        </is>
      </c>
      <c r="B1787" s="256" t="inlineStr">
        <is>
          <t>release</t>
        </is>
      </c>
      <c r="C1787" s="256" t="inlineStr">
        <is>
          <t>JD012603/02</t>
        </is>
      </c>
      <c r="D1787" s="256" t="inlineStr">
        <is>
          <t>P060412</t>
        </is>
      </c>
      <c r="E1787" s="256" t="inlineStr">
        <is>
          <t>Jelly Donuts</t>
        </is>
      </c>
      <c r="F1787" s="256" t="inlineStr">
        <is>
          <t>07.07.2026</t>
        </is>
      </c>
      <c r="G1787" s="256" t="inlineStr">
        <is>
          <t>9.7</t>
        </is>
      </c>
      <c r="H1787" s="256" t="inlineStr">
        <is>
          <t>Staphylococcus aureus</t>
        </is>
      </c>
      <c r="I1787" s="256" t="inlineStr">
        <is>
          <t>Ph. Eur. 2.6.13 cat. C</t>
        </is>
      </c>
      <c r="J1787" s="256" t="inlineStr">
        <is>
          <t>Absence | Отсуство / 1 g</t>
        </is>
      </c>
      <c r="K1787" s="260" t="inlineStr">
        <is>
          <t>upon request — not required for release</t>
        </is>
      </c>
      <c r="L1787" s="256" t="inlineStr">
        <is>
          <t>—</t>
        </is>
      </c>
      <c r="M1787" s="256" t="inlineStr">
        <is>
          <t>—</t>
        </is>
      </c>
      <c r="N1787" s="256" t="inlineStr">
        <is>
          <t>—</t>
        </is>
      </c>
      <c r="O1787" s="256" t="inlineStr">
        <is>
          <t>—</t>
        </is>
      </c>
      <c r="P1787" s="256" t="inlineStr">
        <is>
          <t>upon request — not required for release</t>
        </is>
      </c>
      <c r="Q1787" s="256" t="inlineStr"/>
      <c r="R1787" s="256" t="inlineStr"/>
    </row>
    <row r="1788">
      <c r="A1788" s="256" t="inlineStr">
        <is>
          <t>CoQ-PP_26-078</t>
        </is>
      </c>
      <c r="B1788" s="256" t="inlineStr">
        <is>
          <t>release</t>
        </is>
      </c>
      <c r="C1788" s="256" t="inlineStr">
        <is>
          <t>JD012603/02</t>
        </is>
      </c>
      <c r="D1788" s="256" t="inlineStr">
        <is>
          <t>P060412</t>
        </is>
      </c>
      <c r="E1788" s="256" t="inlineStr">
        <is>
          <t>Jelly Donuts</t>
        </is>
      </c>
      <c r="F1788" s="256" t="inlineStr">
        <is>
          <t>07.07.2026</t>
        </is>
      </c>
      <c r="G1788" s="256" t="inlineStr">
        <is>
          <t>10.1</t>
        </is>
      </c>
      <c r="H1788" s="256" t="inlineStr">
        <is>
          <t>Aflatoxin B₁</t>
        </is>
      </c>
      <c r="I1788" s="256" t="inlineStr">
        <is>
          <t>Ph. Eur. 2.8.18 (HPLC-FLD)</t>
        </is>
      </c>
      <c r="J1788" s="256" t="inlineStr">
        <is>
          <t>≤ 2 µg/kg</t>
        </is>
      </c>
      <c r="K1788" s="259" t="inlineStr">
        <is>
          <t>not tested</t>
        </is>
      </c>
      <c r="L1788" s="256" t="inlineStr">
        <is>
          <t>—</t>
        </is>
      </c>
      <c r="M1788" s="256" t="inlineStr">
        <is>
          <t>—</t>
        </is>
      </c>
      <c r="N1788" s="256" t="inlineStr">
        <is>
          <t>—</t>
        </is>
      </c>
      <c r="O1788" s="256" t="inlineStr">
        <is>
          <t>—</t>
        </is>
      </c>
      <c r="P1788" s="256" t="inlineStr">
        <is>
          <t>not tested — no certificate covers it</t>
        </is>
      </c>
      <c r="Q1788" s="256" t="inlineStr"/>
      <c r="R1788" s="256" t="inlineStr">
        <is>
          <t>ND (220-17-М/26)</t>
        </is>
      </c>
    </row>
    <row r="1789">
      <c r="A1789" s="256" t="inlineStr">
        <is>
          <t>CoQ-PP_26-078</t>
        </is>
      </c>
      <c r="B1789" s="256" t="inlineStr">
        <is>
          <t>release</t>
        </is>
      </c>
      <c r="C1789" s="256" t="inlineStr">
        <is>
          <t>JD012603/02</t>
        </is>
      </c>
      <c r="D1789" s="256" t="inlineStr">
        <is>
          <t>P060412</t>
        </is>
      </c>
      <c r="E1789" s="256" t="inlineStr">
        <is>
          <t>Jelly Donuts</t>
        </is>
      </c>
      <c r="F1789" s="256" t="inlineStr">
        <is>
          <t>07.07.2026</t>
        </is>
      </c>
      <c r="G1789" s="256" t="inlineStr">
        <is>
          <t>10.2</t>
        </is>
      </c>
      <c r="H1789" s="256" t="inlineStr">
        <is>
          <t>Aflatoxins ∑</t>
        </is>
      </c>
      <c r="I1789" s="256" t="inlineStr">
        <is>
          <t>Ph. Eur. 2.8.18 (HPLC-FLD)</t>
        </is>
      </c>
      <c r="J1789" s="256" t="inlineStr">
        <is>
          <t>≤ 4 µg/kg</t>
        </is>
      </c>
      <c r="K1789" s="259" t="inlineStr">
        <is>
          <t>not tested</t>
        </is>
      </c>
      <c r="L1789" s="256" t="inlineStr">
        <is>
          <t>—</t>
        </is>
      </c>
      <c r="M1789" s="256" t="inlineStr">
        <is>
          <t>—</t>
        </is>
      </c>
      <c r="N1789" s="256" t="inlineStr">
        <is>
          <t>—</t>
        </is>
      </c>
      <c r="O1789" s="256" t="inlineStr">
        <is>
          <t>—</t>
        </is>
      </c>
      <c r="P1789" s="256" t="inlineStr">
        <is>
          <t>not tested — no certificate covers it</t>
        </is>
      </c>
      <c r="Q1789" s="256" t="inlineStr"/>
      <c r="R1789" s="256" t="inlineStr">
        <is>
          <t>ND (220-17-М/26)</t>
        </is>
      </c>
    </row>
    <row r="1790">
      <c r="A1790" s="256" t="inlineStr">
        <is>
          <t>CoQ-PP_26-078</t>
        </is>
      </c>
      <c r="B1790" s="256" t="inlineStr">
        <is>
          <t>release</t>
        </is>
      </c>
      <c r="C1790" s="256" t="inlineStr">
        <is>
          <t>JD012603/02</t>
        </is>
      </c>
      <c r="D1790" s="256" t="inlineStr">
        <is>
          <t>P060412</t>
        </is>
      </c>
      <c r="E1790" s="256" t="inlineStr">
        <is>
          <t>Jelly Donuts</t>
        </is>
      </c>
      <c r="F1790" s="256" t="inlineStr">
        <is>
          <t>07.07.2026</t>
        </is>
      </c>
      <c r="G1790" s="256" t="inlineStr">
        <is>
          <t>10.3</t>
        </is>
      </c>
      <c r="H1790" s="256" t="inlineStr">
        <is>
          <t>Ochratoxin A</t>
        </is>
      </c>
      <c r="I1790" s="256" t="inlineStr">
        <is>
          <t>Ph. Eur. 2.8.22 (HPLC-FLD)</t>
        </is>
      </c>
      <c r="J1790" s="256" t="inlineStr">
        <is>
          <t>≤ 20 µg/kg</t>
        </is>
      </c>
      <c r="K1790" s="259" t="inlineStr">
        <is>
          <t>not tested</t>
        </is>
      </c>
      <c r="L1790" s="256" t="inlineStr">
        <is>
          <t>—</t>
        </is>
      </c>
      <c r="M1790" s="256" t="inlineStr">
        <is>
          <t>—</t>
        </is>
      </c>
      <c r="N1790" s="256" t="inlineStr">
        <is>
          <t>—</t>
        </is>
      </c>
      <c r="O1790" s="256" t="inlineStr">
        <is>
          <t>—</t>
        </is>
      </c>
      <c r="P1790" s="256" t="inlineStr">
        <is>
          <t>not tested — no certificate covers it</t>
        </is>
      </c>
      <c r="Q1790" s="256" t="inlineStr"/>
      <c r="R1790" s="256" t="inlineStr">
        <is>
          <t>ND (220-17-М/26)</t>
        </is>
      </c>
    </row>
    <row r="1791">
      <c r="A1791" s="256" t="inlineStr">
        <is>
          <t>CoQ-PP_26-078</t>
        </is>
      </c>
      <c r="B1791" s="256" t="inlineStr">
        <is>
          <t>release</t>
        </is>
      </c>
      <c r="C1791" s="256" t="inlineStr">
        <is>
          <t>JD012603/02</t>
        </is>
      </c>
      <c r="D1791" s="256" t="inlineStr">
        <is>
          <t>P060412</t>
        </is>
      </c>
      <c r="E1791" s="256" t="inlineStr">
        <is>
          <t>Jelly Donuts</t>
        </is>
      </c>
      <c r="F1791" s="256" t="inlineStr">
        <is>
          <t>07.07.2026</t>
        </is>
      </c>
      <c r="G1791" s="256" t="inlineStr">
        <is>
          <t>11.1</t>
        </is>
      </c>
      <c r="H1791" s="256" t="inlineStr">
        <is>
          <t>Lead (Pb)</t>
        </is>
      </c>
      <c r="I1791" s="256" t="inlineStr">
        <is>
          <t>Ph. Eur. 2.4.27 (ICP-MS)</t>
        </is>
      </c>
      <c r="J1791" s="256" t="inlineStr">
        <is>
          <t>≤ 0.5 mg/kg</t>
        </is>
      </c>
      <c r="K1791" s="256" t="inlineStr">
        <is>
          <t>0.085</t>
        </is>
      </c>
      <c r="L1791" s="256" t="inlineStr">
        <is>
          <t>3660/2026</t>
        </is>
      </c>
      <c r="M1791" s="256" t="inlineStr">
        <is>
          <t>22.06.2026</t>
        </is>
      </c>
      <c r="N1791" s="256" t="inlineStr">
        <is>
          <t>IPH — Institute of Public Health</t>
        </is>
      </c>
      <c r="O1791" s="256" t="inlineStr">
        <is>
          <t>—</t>
        </is>
      </c>
      <c r="P1791" s="256" t="inlineStr">
        <is>
          <t>covered</t>
        </is>
      </c>
      <c r="Q1791" s="256" t="inlineStr"/>
      <c r="R1791" s="256" t="inlineStr"/>
    </row>
    <row r="1792">
      <c r="A1792" s="256" t="inlineStr">
        <is>
          <t>CoQ-PP_26-078</t>
        </is>
      </c>
      <c r="B1792" s="256" t="inlineStr">
        <is>
          <t>release</t>
        </is>
      </c>
      <c r="C1792" s="256" t="inlineStr">
        <is>
          <t>JD012603/02</t>
        </is>
      </c>
      <c r="D1792" s="256" t="inlineStr">
        <is>
          <t>P060412</t>
        </is>
      </c>
      <c r="E1792" s="256" t="inlineStr">
        <is>
          <t>Jelly Donuts</t>
        </is>
      </c>
      <c r="F1792" s="256" t="inlineStr">
        <is>
          <t>07.07.2026</t>
        </is>
      </c>
      <c r="G1792" s="256" t="inlineStr">
        <is>
          <t>11.2</t>
        </is>
      </c>
      <c r="H1792" s="256" t="inlineStr">
        <is>
          <t>Cadmium (Cd)</t>
        </is>
      </c>
      <c r="I1792" s="256" t="inlineStr">
        <is>
          <t>Ph. Eur. 2.4.27 (ICP-MS)</t>
        </is>
      </c>
      <c r="J1792" s="256" t="inlineStr">
        <is>
          <t>≤ 0.3 mg/kg</t>
        </is>
      </c>
      <c r="K1792" s="256" t="inlineStr">
        <is>
          <t>0.044</t>
        </is>
      </c>
      <c r="L1792" s="256" t="inlineStr">
        <is>
          <t>3660/2026</t>
        </is>
      </c>
      <c r="M1792" s="256" t="inlineStr">
        <is>
          <t>22.06.2026</t>
        </is>
      </c>
      <c r="N1792" s="256" t="inlineStr">
        <is>
          <t>IPH — Institute of Public Health</t>
        </is>
      </c>
      <c r="O1792" s="256" t="inlineStr">
        <is>
          <t>—</t>
        </is>
      </c>
      <c r="P1792" s="256" t="inlineStr">
        <is>
          <t>covered</t>
        </is>
      </c>
      <c r="Q1792" s="256" t="inlineStr"/>
      <c r="R1792" s="256" t="inlineStr"/>
    </row>
    <row r="1793">
      <c r="A1793" s="256" t="inlineStr">
        <is>
          <t>CoQ-PP_26-078</t>
        </is>
      </c>
      <c r="B1793" s="256" t="inlineStr">
        <is>
          <t>release</t>
        </is>
      </c>
      <c r="C1793" s="256" t="inlineStr">
        <is>
          <t>JD012603/02</t>
        </is>
      </c>
      <c r="D1793" s="256" t="inlineStr">
        <is>
          <t>P060412</t>
        </is>
      </c>
      <c r="E1793" s="256" t="inlineStr">
        <is>
          <t>Jelly Donuts</t>
        </is>
      </c>
      <c r="F1793" s="256" t="inlineStr">
        <is>
          <t>07.07.2026</t>
        </is>
      </c>
      <c r="G1793" s="256" t="inlineStr">
        <is>
          <t>11.3</t>
        </is>
      </c>
      <c r="H1793" s="256" t="inlineStr">
        <is>
          <t>Arsenic (As)</t>
        </is>
      </c>
      <c r="I1793" s="256" t="inlineStr">
        <is>
          <t>Ph. Eur. 2.4.27 (ICP-MS)</t>
        </is>
      </c>
      <c r="J1793" s="256" t="inlineStr">
        <is>
          <t>≤ 0.2 mg/kg</t>
        </is>
      </c>
      <c r="K1793" s="256" t="inlineStr">
        <is>
          <t>0.042</t>
        </is>
      </c>
      <c r="L1793" s="256" t="inlineStr">
        <is>
          <t>3660/2026</t>
        </is>
      </c>
      <c r="M1793" s="256" t="inlineStr">
        <is>
          <t>22.06.2026</t>
        </is>
      </c>
      <c r="N1793" s="256" t="inlineStr">
        <is>
          <t>IPH — Institute of Public Health</t>
        </is>
      </c>
      <c r="O1793" s="256" t="inlineStr">
        <is>
          <t>—</t>
        </is>
      </c>
      <c r="P1793" s="256" t="inlineStr">
        <is>
          <t>covered</t>
        </is>
      </c>
      <c r="Q1793" s="256" t="inlineStr"/>
      <c r="R1793" s="256" t="inlineStr"/>
    </row>
    <row r="1794">
      <c r="A1794" s="256" t="inlineStr">
        <is>
          <t>CoQ-PP_26-078</t>
        </is>
      </c>
      <c r="B1794" s="256" t="inlineStr">
        <is>
          <t>release</t>
        </is>
      </c>
      <c r="C1794" s="256" t="inlineStr">
        <is>
          <t>JD012603/02</t>
        </is>
      </c>
      <c r="D1794" s="256" t="inlineStr">
        <is>
          <t>P060412</t>
        </is>
      </c>
      <c r="E1794" s="256" t="inlineStr">
        <is>
          <t>Jelly Donuts</t>
        </is>
      </c>
      <c r="F1794" s="256" t="inlineStr">
        <is>
          <t>07.07.2026</t>
        </is>
      </c>
      <c r="G1794" s="256" t="inlineStr">
        <is>
          <t>11.4</t>
        </is>
      </c>
      <c r="H1794" s="256" t="inlineStr">
        <is>
          <t>Mercury (Hg)</t>
        </is>
      </c>
      <c r="I1794" s="256" t="inlineStr">
        <is>
          <t>Ph. Eur. 2.4.27 (ICP-MS)</t>
        </is>
      </c>
      <c r="J1794" s="256" t="inlineStr">
        <is>
          <t>≤ 0.1 mg/kg</t>
        </is>
      </c>
      <c r="K1794" s="256" t="inlineStr">
        <is>
          <t>0.042</t>
        </is>
      </c>
      <c r="L1794" s="256" t="inlineStr">
        <is>
          <t>3660/2026</t>
        </is>
      </c>
      <c r="M1794" s="256" t="inlineStr">
        <is>
          <t>22.06.2026</t>
        </is>
      </c>
      <c r="N1794" s="256" t="inlineStr">
        <is>
          <t>IPH — Institute of Public Health</t>
        </is>
      </c>
      <c r="O1794" s="256" t="inlineStr">
        <is>
          <t>—</t>
        </is>
      </c>
      <c r="P1794" s="256" t="inlineStr">
        <is>
          <t>covered</t>
        </is>
      </c>
      <c r="Q1794" s="256" t="inlineStr"/>
      <c r="R1794" s="256" t="inlineStr"/>
    </row>
    <row r="1795">
      <c r="A1795" s="256" t="inlineStr">
        <is>
          <t>CoQ-PP_26-078</t>
        </is>
      </c>
      <c r="B1795" s="256" t="inlineStr">
        <is>
          <t>release</t>
        </is>
      </c>
      <c r="C1795" s="256" t="inlineStr">
        <is>
          <t>JD012603/02</t>
        </is>
      </c>
      <c r="D1795" s="256" t="inlineStr">
        <is>
          <t>P060412</t>
        </is>
      </c>
      <c r="E1795" s="256" t="inlineStr">
        <is>
          <t>Jelly Donuts</t>
        </is>
      </c>
      <c r="F1795" s="256" t="inlineStr">
        <is>
          <t>07.07.2026</t>
        </is>
      </c>
      <c r="G1795" s="256" t="inlineStr">
        <is>
          <t>12</t>
        </is>
      </c>
      <c r="H1795" s="256" t="inlineStr">
        <is>
          <t>Pesticide Residues</t>
        </is>
      </c>
      <c r="I1795" s="256" t="inlineStr">
        <is>
          <t>Ph. Eur. 2.8.13 (LC-MS/MS) · CUMCS Equivalency</t>
        </is>
      </c>
      <c r="J1795" s="256" t="inlineStr">
        <is>
          <t>≤ LOQ as per Ph. Eur. 2.8.13 · ≤ LOQ as per CUMCS Equivalency</t>
        </is>
      </c>
      <c r="K1795" s="256" t="inlineStr">
        <is>
          <t>&lt; 0,01 mg/kg — all 22 residues</t>
        </is>
      </c>
      <c r="L1795" s="256" t="inlineStr">
        <is>
          <t>3660/2026</t>
        </is>
      </c>
      <c r="M1795" s="256" t="inlineStr">
        <is>
          <t>22.06.2026</t>
        </is>
      </c>
      <c r="N1795" s="256" t="inlineStr">
        <is>
          <t>IJZ</t>
        </is>
      </c>
      <c r="O1795" s="256" t="inlineStr">
        <is>
          <t>—</t>
        </is>
      </c>
      <c r="P1795" s="256" t="inlineStr">
        <is>
          <t>covered</t>
        </is>
      </c>
      <c r="Q1795" s="256" t="inlineStr"/>
      <c r="R1795" s="256" t="inlineStr"/>
    </row>
    <row r="1796">
      <c r="A1796" s="256" t="inlineStr">
        <is>
          <t>CoQ-PP_26-079</t>
        </is>
      </c>
      <c r="B1796" s="256" t="inlineStr">
        <is>
          <t>release</t>
        </is>
      </c>
      <c r="C1796" s="256" t="inlineStr">
        <is>
          <t>FB012603</t>
        </is>
      </c>
      <c r="D1796" s="256" t="inlineStr">
        <is>
          <t>— no P lot assigned —</t>
        </is>
      </c>
      <c r="E1796" s="256" t="inlineStr">
        <is>
          <t>Fat Bastard</t>
        </is>
      </c>
      <c r="F1796" s="256" t="inlineStr">
        <is>
          <t>07.07.2026</t>
        </is>
      </c>
      <c r="G1796" s="256" t="inlineStr">
        <is>
          <t>1</t>
        </is>
      </c>
      <c r="H1796" s="256" t="inlineStr">
        <is>
          <t>Identification A, Appearance · Macroscopic</t>
        </is>
      </c>
      <c r="I1796" s="256" t="inlineStr">
        <is>
          <t>Ph. Eur. mon. 3028</t>
        </is>
      </c>
      <c r="J1796" s="256" t="inlineStr">
        <is>
          <t>Conforms to the monograph for Cannabis flos (07/2024:3028) in Ph. Eur. 11.0 | Согласно монографија за Cannabis flos (07/2024:3028) во Ph. Eur. 11.0</t>
        </is>
      </c>
      <c r="K1796" s="256" t="inlineStr">
        <is>
          <t>Conforms | Одговара</t>
        </is>
      </c>
      <c r="L1796" s="256" t="inlineStr">
        <is>
          <t>ППК26112</t>
        </is>
      </c>
      <c r="M1796" s="256" t="inlineStr">
        <is>
          <t>30.06.2026</t>
        </is>
      </c>
      <c r="N1796" s="256" t="inlineStr">
        <is>
          <t>UKIM Faculty of Pharmacy — Center for Natural Products</t>
        </is>
      </c>
      <c r="O1796" s="256" t="inlineStr">
        <is>
          <t>17.06.2026</t>
        </is>
      </c>
      <c r="P1796" s="256" t="inlineStr">
        <is>
          <t>covered</t>
        </is>
      </c>
      <c r="Q1796" s="256" t="inlineStr"/>
      <c r="R1796" s="256" t="inlineStr"/>
    </row>
    <row r="1797">
      <c r="A1797" s="256" t="inlineStr">
        <is>
          <t>CoQ-PP_26-079</t>
        </is>
      </c>
      <c r="B1797" s="256" t="inlineStr">
        <is>
          <t>release</t>
        </is>
      </c>
      <c r="C1797" s="256" t="inlineStr">
        <is>
          <t>FB012603</t>
        </is>
      </c>
      <c r="D1797" s="256" t="inlineStr">
        <is>
          <t>— no P lot assigned —</t>
        </is>
      </c>
      <c r="E1797" s="256" t="inlineStr">
        <is>
          <t>Fat Bastard</t>
        </is>
      </c>
      <c r="F1797" s="256" t="inlineStr">
        <is>
          <t>07.07.2026</t>
        </is>
      </c>
      <c r="G1797" s="256" t="inlineStr">
        <is>
          <t>2</t>
        </is>
      </c>
      <c r="H1797" s="256" t="inlineStr">
        <is>
          <t>Identification B · Microscopic</t>
        </is>
      </c>
      <c r="I1797" s="256" t="inlineStr">
        <is>
          <t>Ph. Eur. 2.8.23 (microscopy)</t>
        </is>
      </c>
      <c r="J1797" s="256" t="inlineStr">
        <is>
          <t>Conforms to the monograph for Cannabis flos (07/2024:3028) in Ph. Eur. 11.0 | Согласно монографија за Cannabis flos (07/2024:3028) во Ph. Eur. 11.0</t>
        </is>
      </c>
      <c r="K1797" s="256" t="inlineStr">
        <is>
          <t>Conforms | Одговара</t>
        </is>
      </c>
      <c r="L1797" s="256" t="inlineStr">
        <is>
          <t>ППК26112</t>
        </is>
      </c>
      <c r="M1797" s="256" t="inlineStr">
        <is>
          <t>30.06.2026</t>
        </is>
      </c>
      <c r="N1797" s="256" t="inlineStr">
        <is>
          <t>UKIM Faculty of Pharmacy — Center for Natural Products</t>
        </is>
      </c>
      <c r="O1797" s="256" t="inlineStr">
        <is>
          <t>17.06.2026</t>
        </is>
      </c>
      <c r="P1797" s="256" t="inlineStr">
        <is>
          <t>covered</t>
        </is>
      </c>
      <c r="Q1797" s="256" t="inlineStr"/>
      <c r="R1797" s="256" t="inlineStr"/>
    </row>
    <row r="1798">
      <c r="A1798" s="256" t="inlineStr">
        <is>
          <t>CoQ-PP_26-079</t>
        </is>
      </c>
      <c r="B1798" s="256" t="inlineStr">
        <is>
          <t>release</t>
        </is>
      </c>
      <c r="C1798" s="256" t="inlineStr">
        <is>
          <t>FB012603</t>
        </is>
      </c>
      <c r="D1798" s="256" t="inlineStr">
        <is>
          <t>— no P lot assigned —</t>
        </is>
      </c>
      <c r="E1798" s="256" t="inlineStr">
        <is>
          <t>Fat Bastard</t>
        </is>
      </c>
      <c r="F1798" s="256" t="inlineStr">
        <is>
          <t>07.07.2026</t>
        </is>
      </c>
      <c r="G1798" s="256" t="inlineStr">
        <is>
          <t>3</t>
        </is>
      </c>
      <c r="H1798" s="256" t="inlineStr">
        <is>
          <t>Identification C · HPLC/HPTLC</t>
        </is>
      </c>
      <c r="I1798" s="256" t="inlineStr">
        <is>
          <t>Ph. Eur. 2.2.29 (3028)</t>
        </is>
      </c>
      <c r="J1798" s="256" t="inlineStr">
        <is>
          <t>Conforms to the monograph for Cannabis flos (07/2024:3028) in Ph. Eur. 11.0 | Согласно монографија за Cannabis flos (07/2024:3028) во Ph. Eur. 11.0</t>
        </is>
      </c>
      <c r="K1798" s="256" t="inlineStr">
        <is>
          <t>Conforms | Одговара</t>
        </is>
      </c>
      <c r="L1798" s="256" t="inlineStr">
        <is>
          <t>ППК26112</t>
        </is>
      </c>
      <c r="M1798" s="256" t="inlineStr">
        <is>
          <t>30.06.2026</t>
        </is>
      </c>
      <c r="N1798" s="256" t="inlineStr">
        <is>
          <t>UKIM Faculty of Pharmacy — Center for Natural Products</t>
        </is>
      </c>
      <c r="O1798" s="256" t="inlineStr">
        <is>
          <t>17.06.2026</t>
        </is>
      </c>
      <c r="P1798" s="256" t="inlineStr">
        <is>
          <t>covered</t>
        </is>
      </c>
      <c r="Q1798" s="256" t="inlineStr"/>
      <c r="R1798" s="256" t="inlineStr"/>
    </row>
    <row r="1799">
      <c r="A1799" s="256" t="inlineStr">
        <is>
          <t>CoQ-PP_26-079</t>
        </is>
      </c>
      <c r="B1799" s="256" t="inlineStr">
        <is>
          <t>release</t>
        </is>
      </c>
      <c r="C1799" s="256" t="inlineStr">
        <is>
          <t>FB012603</t>
        </is>
      </c>
      <c r="D1799" s="256" t="inlineStr">
        <is>
          <t>— no P lot assigned —</t>
        </is>
      </c>
      <c r="E1799" s="256" t="inlineStr">
        <is>
          <t>Fat Bastard</t>
        </is>
      </c>
      <c r="F1799" s="256" t="inlineStr">
        <is>
          <t>07.07.2026</t>
        </is>
      </c>
      <c r="G1799" s="256" t="inlineStr">
        <is>
          <t>4</t>
        </is>
      </c>
      <c r="H1799" s="256" t="inlineStr">
        <is>
          <t>Assay — Total Δ⁹-THC</t>
        </is>
      </c>
      <c r="I1799" s="256" t="inlineStr">
        <is>
          <t>Ph. Eur. 2.2.29 (HPLC)</t>
        </is>
      </c>
      <c r="J1799" s="256" t="inlineStr">
        <is>
          <t>19.80 – 24.19 %  (grade I, nominal 22.00 ± 2.20)</t>
        </is>
      </c>
      <c r="K1799" s="256" t="inlineStr">
        <is>
          <t>20.83</t>
        </is>
      </c>
      <c r="L1799" s="256" t="inlineStr">
        <is>
          <t>ППК26112</t>
        </is>
      </c>
      <c r="M1799" s="256" t="inlineStr">
        <is>
          <t>30.06.2026</t>
        </is>
      </c>
      <c r="N1799" s="256" t="inlineStr">
        <is>
          <t>UKIM Faculty of Pharmacy — Center for Natural Products</t>
        </is>
      </c>
      <c r="O1799" s="256" t="inlineStr">
        <is>
          <t>17.06.2026</t>
        </is>
      </c>
      <c r="P1799" s="256" t="inlineStr">
        <is>
          <t>covered</t>
        </is>
      </c>
      <c r="Q1799" s="256" t="inlineStr"/>
      <c r="R1799" s="256" t="inlineStr">
        <is>
          <t>20.00 (227-24-К/26)</t>
        </is>
      </c>
    </row>
    <row r="1800">
      <c r="A1800" s="256" t="inlineStr">
        <is>
          <t>CoQ-PP_26-079</t>
        </is>
      </c>
      <c r="B1800" s="256" t="inlineStr">
        <is>
          <t>release</t>
        </is>
      </c>
      <c r="C1800" s="256" t="inlineStr">
        <is>
          <t>FB012603</t>
        </is>
      </c>
      <c r="D1800" s="256" t="inlineStr">
        <is>
          <t>— no P lot assigned —</t>
        </is>
      </c>
      <c r="E1800" s="256" t="inlineStr">
        <is>
          <t>Fat Bastard</t>
        </is>
      </c>
      <c r="F1800" s="256" t="inlineStr">
        <is>
          <t>07.07.2026</t>
        </is>
      </c>
      <c r="G1800" s="256" t="inlineStr">
        <is>
          <t>5</t>
        </is>
      </c>
      <c r="H1800" s="256" t="inlineStr">
        <is>
          <t>Assay — Total CBD</t>
        </is>
      </c>
      <c r="I1800" s="256" t="inlineStr">
        <is>
          <t>Ph. Eur. 2.2.29 (HPLC) · CBD + CBDA x 0.877</t>
        </is>
      </c>
      <c r="J1800" s="256" t="inlineStr">
        <is>
          <t>≤ 1.0%, w/w</t>
        </is>
      </c>
      <c r="K1800" s="256" t="inlineStr">
        <is>
          <t>0.21</t>
        </is>
      </c>
      <c r="L1800" s="256" t="inlineStr">
        <is>
          <t>ППК26112</t>
        </is>
      </c>
      <c r="M1800" s="256" t="inlineStr">
        <is>
          <t>30.06.2026</t>
        </is>
      </c>
      <c r="N1800" s="256" t="inlineStr">
        <is>
          <t>UKIM Faculty of Pharmacy — Center for Natural Products</t>
        </is>
      </c>
      <c r="O1800" s="256" t="inlineStr">
        <is>
          <t>17.06.2026</t>
        </is>
      </c>
      <c r="P1800" s="256" t="inlineStr">
        <is>
          <t>covered</t>
        </is>
      </c>
      <c r="Q1800" s="256" t="inlineStr"/>
      <c r="R1800" s="256" t="inlineStr">
        <is>
          <t>0.21 (227-24-К/26)</t>
        </is>
      </c>
    </row>
    <row r="1801">
      <c r="A1801" s="256" t="inlineStr">
        <is>
          <t>CoQ-PP_26-079</t>
        </is>
      </c>
      <c r="B1801" s="256" t="inlineStr">
        <is>
          <t>release</t>
        </is>
      </c>
      <c r="C1801" s="256" t="inlineStr">
        <is>
          <t>FB012603</t>
        </is>
      </c>
      <c r="D1801" s="256" t="inlineStr">
        <is>
          <t>— no P lot assigned —</t>
        </is>
      </c>
      <c r="E1801" s="256" t="inlineStr">
        <is>
          <t>Fat Bastard</t>
        </is>
      </c>
      <c r="F1801" s="256" t="inlineStr">
        <is>
          <t>07.07.2026</t>
        </is>
      </c>
      <c r="G1801" s="256" t="inlineStr">
        <is>
          <t>6</t>
        </is>
      </c>
      <c r="H1801" s="256" t="inlineStr">
        <is>
          <t>Total CBN</t>
        </is>
      </c>
      <c r="I1801" s="256" t="inlineStr">
        <is>
          <t>Ph. Eur. 2.2.29 (HPLC) · CBN + CBNA x 0.876</t>
        </is>
      </c>
      <c r="J1801" s="256" t="inlineStr">
        <is>
          <t>≤ 1.0%, w/w</t>
        </is>
      </c>
      <c r="K1801" s="256" t="inlineStr">
        <is>
          <t>0.06</t>
        </is>
      </c>
      <c r="L1801" s="256" t="inlineStr">
        <is>
          <t>ППК26112</t>
        </is>
      </c>
      <c r="M1801" s="256" t="inlineStr">
        <is>
          <t>30.06.2026</t>
        </is>
      </c>
      <c r="N1801" s="256" t="inlineStr">
        <is>
          <t>UKIM Faculty of Pharmacy — Center for Natural Products</t>
        </is>
      </c>
      <c r="O1801" s="256" t="inlineStr">
        <is>
          <t>17.06.2026</t>
        </is>
      </c>
      <c r="P1801" s="256" t="inlineStr">
        <is>
          <t>covered</t>
        </is>
      </c>
      <c r="Q1801" s="256" t="inlineStr"/>
      <c r="R1801" s="256" t="inlineStr">
        <is>
          <t>&lt;LOQ (227-24-К/26)</t>
        </is>
      </c>
    </row>
    <row r="1802">
      <c r="A1802" s="256" t="inlineStr">
        <is>
          <t>CoQ-PP_26-079</t>
        </is>
      </c>
      <c r="B1802" s="256" t="inlineStr">
        <is>
          <t>release</t>
        </is>
      </c>
      <c r="C1802" s="256" t="inlineStr">
        <is>
          <t>FB012603</t>
        </is>
      </c>
      <c r="D1802" s="256" t="inlineStr">
        <is>
          <t>— no P lot assigned —</t>
        </is>
      </c>
      <c r="E1802" s="256" t="inlineStr">
        <is>
          <t>Fat Bastard</t>
        </is>
      </c>
      <c r="F1802" s="256" t="inlineStr">
        <is>
          <t>07.07.2026</t>
        </is>
      </c>
      <c r="G1802" s="256" t="inlineStr">
        <is>
          <t>7</t>
        </is>
      </c>
      <c r="H1802" s="256" t="inlineStr">
        <is>
          <t>Foreign Matter</t>
        </is>
      </c>
      <c r="I1802" s="256" t="inlineStr">
        <is>
          <t>Ph. Eur. 2.8.2 · In-house · интерна</t>
        </is>
      </c>
      <c r="J1802" s="256" t="inlineStr">
        <is>
          <t>≤ 2.0% / 25–50 g · &lt; 1 cm leaves | листови, no seeds | без семки</t>
        </is>
      </c>
      <c r="K1802" s="256" t="inlineStr">
        <is>
          <t>Conforms | Одговара</t>
        </is>
      </c>
      <c r="L1802" s="256" t="inlineStr">
        <is>
          <t>ППК26112</t>
        </is>
      </c>
      <c r="M1802" s="256" t="inlineStr">
        <is>
          <t>30.06.2026</t>
        </is>
      </c>
      <c r="N1802" s="256" t="inlineStr">
        <is>
          <t>UKIM Faculty of Pharmacy — Center for Natural Products</t>
        </is>
      </c>
      <c r="O1802" s="256" t="inlineStr">
        <is>
          <t>17.06.2026</t>
        </is>
      </c>
      <c r="P1802" s="256" t="inlineStr">
        <is>
          <t>covered</t>
        </is>
      </c>
      <c r="Q1802" s="256" t="inlineStr"/>
      <c r="R1802" s="256" t="inlineStr"/>
    </row>
    <row r="1803">
      <c r="A1803" s="256" t="inlineStr">
        <is>
          <t>CoQ-PP_26-079</t>
        </is>
      </c>
      <c r="B1803" s="256" t="inlineStr">
        <is>
          <t>release</t>
        </is>
      </c>
      <c r="C1803" s="256" t="inlineStr">
        <is>
          <t>FB012603</t>
        </is>
      </c>
      <c r="D1803" s="256" t="inlineStr">
        <is>
          <t>— no P lot assigned —</t>
        </is>
      </c>
      <c r="E1803" s="256" t="inlineStr">
        <is>
          <t>Fat Bastard</t>
        </is>
      </c>
      <c r="F1803" s="256" t="inlineStr">
        <is>
          <t>07.07.2026</t>
        </is>
      </c>
      <c r="G1803" s="256" t="inlineStr">
        <is>
          <t>8</t>
        </is>
      </c>
      <c r="H1803" s="256" t="inlineStr">
        <is>
          <t>Loss on Drying</t>
        </is>
      </c>
      <c r="I1803" s="256" t="inlineStr">
        <is>
          <t>Ph. Eur. 2.2.32 (3028) · at 40 °C, 24 h, 15–25 mbar</t>
        </is>
      </c>
      <c r="J1803" s="256" t="inlineStr">
        <is>
          <t>≤ 12.0%</t>
        </is>
      </c>
      <c r="K1803" s="256" t="inlineStr">
        <is>
          <t>7.04</t>
        </is>
      </c>
      <c r="L1803" s="256" t="inlineStr">
        <is>
          <t>ППК26112</t>
        </is>
      </c>
      <c r="M1803" s="256" t="inlineStr">
        <is>
          <t>30.06.2026</t>
        </is>
      </c>
      <c r="N1803" s="256" t="inlineStr">
        <is>
          <t>UKIM Faculty of Pharmacy — Center for Natural Products</t>
        </is>
      </c>
      <c r="O1803" s="256" t="inlineStr">
        <is>
          <t>17.06.2026</t>
        </is>
      </c>
      <c r="P1803" s="256" t="inlineStr">
        <is>
          <t>covered</t>
        </is>
      </c>
      <c r="Q1803" s="256" t="inlineStr"/>
      <c r="R1803" s="256" t="inlineStr"/>
    </row>
    <row r="1804">
      <c r="A1804" s="256" t="inlineStr">
        <is>
          <t>CoQ-PP_26-079</t>
        </is>
      </c>
      <c r="B1804" s="256" t="inlineStr">
        <is>
          <t>release</t>
        </is>
      </c>
      <c r="C1804" s="256" t="inlineStr">
        <is>
          <t>FB012603</t>
        </is>
      </c>
      <c r="D1804" s="256" t="inlineStr">
        <is>
          <t>— no P lot assigned —</t>
        </is>
      </c>
      <c r="E1804" s="256" t="inlineStr">
        <is>
          <t>Fat Bastard</t>
        </is>
      </c>
      <c r="F1804" s="256" t="inlineStr">
        <is>
          <t>07.07.2026</t>
        </is>
      </c>
      <c r="G1804" s="256" t="inlineStr">
        <is>
          <t>9.1</t>
        </is>
      </c>
      <c r="H1804" s="256" t="inlineStr">
        <is>
          <t>TAMC</t>
        </is>
      </c>
      <c r="I1804" s="256" t="inlineStr">
        <is>
          <t>Ph. Eur. 2.6.12 cat. C</t>
        </is>
      </c>
      <c r="J1804" s="256" t="inlineStr">
        <is>
          <t>≤ 10⁵ CFU/g</t>
        </is>
      </c>
      <c r="K1804" s="259" t="inlineStr">
        <is>
          <t>not tested</t>
        </is>
      </c>
      <c r="L1804" s="256" t="inlineStr">
        <is>
          <t>—</t>
        </is>
      </c>
      <c r="M1804" s="256" t="inlineStr">
        <is>
          <t>—</t>
        </is>
      </c>
      <c r="N1804" s="256" t="inlineStr">
        <is>
          <t>—</t>
        </is>
      </c>
      <c r="O1804" s="256" t="inlineStr">
        <is>
          <t>—</t>
        </is>
      </c>
      <c r="P1804" s="256" t="inlineStr">
        <is>
          <t>not tested — no certificate covers it</t>
        </is>
      </c>
      <c r="Q1804" s="256" t="inlineStr"/>
      <c r="R1804" s="256" t="inlineStr"/>
    </row>
    <row r="1805">
      <c r="A1805" s="256" t="inlineStr">
        <is>
          <t>CoQ-PP_26-079</t>
        </is>
      </c>
      <c r="B1805" s="256" t="inlineStr">
        <is>
          <t>release</t>
        </is>
      </c>
      <c r="C1805" s="256" t="inlineStr">
        <is>
          <t>FB012603</t>
        </is>
      </c>
      <c r="D1805" s="256" t="inlineStr">
        <is>
          <t>— no P lot assigned —</t>
        </is>
      </c>
      <c r="E1805" s="256" t="inlineStr">
        <is>
          <t>Fat Bastard</t>
        </is>
      </c>
      <c r="F1805" s="256" t="inlineStr">
        <is>
          <t>07.07.2026</t>
        </is>
      </c>
      <c r="G1805" s="256" t="inlineStr">
        <is>
          <t>9.2</t>
        </is>
      </c>
      <c r="H1805" s="256" t="inlineStr">
        <is>
          <t>TYMC</t>
        </is>
      </c>
      <c r="I1805" s="256" t="inlineStr">
        <is>
          <t>Ph. Eur. 2.6.12 cat. C</t>
        </is>
      </c>
      <c r="J1805" s="256" t="inlineStr">
        <is>
          <t>≤ 10⁴ CFU/g</t>
        </is>
      </c>
      <c r="K1805" s="259" t="inlineStr">
        <is>
          <t>not tested</t>
        </is>
      </c>
      <c r="L1805" s="256" t="inlineStr">
        <is>
          <t>—</t>
        </is>
      </c>
      <c r="M1805" s="256" t="inlineStr">
        <is>
          <t>—</t>
        </is>
      </c>
      <c r="N1805" s="256" t="inlineStr">
        <is>
          <t>—</t>
        </is>
      </c>
      <c r="O1805" s="256" t="inlineStr">
        <is>
          <t>—</t>
        </is>
      </c>
      <c r="P1805" s="256" t="inlineStr">
        <is>
          <t>not tested — no certificate covers it</t>
        </is>
      </c>
      <c r="Q1805" s="256" t="inlineStr"/>
      <c r="R1805" s="256" t="inlineStr"/>
    </row>
    <row r="1806">
      <c r="A1806" s="256" t="inlineStr">
        <is>
          <t>CoQ-PP_26-079</t>
        </is>
      </c>
      <c r="B1806" s="256" t="inlineStr">
        <is>
          <t>release</t>
        </is>
      </c>
      <c r="C1806" s="256" t="inlineStr">
        <is>
          <t>FB012603</t>
        </is>
      </c>
      <c r="D1806" s="256" t="inlineStr">
        <is>
          <t>— no P lot assigned —</t>
        </is>
      </c>
      <c r="E1806" s="256" t="inlineStr">
        <is>
          <t>Fat Bastard</t>
        </is>
      </c>
      <c r="F1806" s="256" t="inlineStr">
        <is>
          <t>07.07.2026</t>
        </is>
      </c>
      <c r="G1806" s="256" t="inlineStr">
        <is>
          <t>9.3</t>
        </is>
      </c>
      <c r="H1806" s="256" t="inlineStr">
        <is>
          <t>Bile-tolerant gram-neg.</t>
        </is>
      </c>
      <c r="I1806" s="256" t="inlineStr">
        <is>
          <t>Ph. Eur. 2.6.31 cat. C</t>
        </is>
      </c>
      <c r="J1806" s="256" t="inlineStr">
        <is>
          <t>≤ 10⁴ CFU/g</t>
        </is>
      </c>
      <c r="K1806" s="259" t="inlineStr">
        <is>
          <t>not tested</t>
        </is>
      </c>
      <c r="L1806" s="256" t="inlineStr">
        <is>
          <t>—</t>
        </is>
      </c>
      <c r="M1806" s="256" t="inlineStr">
        <is>
          <t>—</t>
        </is>
      </c>
      <c r="N1806" s="256" t="inlineStr">
        <is>
          <t>—</t>
        </is>
      </c>
      <c r="O1806" s="256" t="inlineStr">
        <is>
          <t>—</t>
        </is>
      </c>
      <c r="P1806" s="256" t="inlineStr">
        <is>
          <t>not tested — no certificate covers it</t>
        </is>
      </c>
      <c r="Q1806" s="256" t="inlineStr"/>
      <c r="R1806" s="256" t="inlineStr"/>
    </row>
    <row r="1807">
      <c r="A1807" s="256" t="inlineStr">
        <is>
          <t>CoQ-PP_26-079</t>
        </is>
      </c>
      <c r="B1807" s="256" t="inlineStr">
        <is>
          <t>release</t>
        </is>
      </c>
      <c r="C1807" s="256" t="inlineStr">
        <is>
          <t>FB012603</t>
        </is>
      </c>
      <c r="D1807" s="256" t="inlineStr">
        <is>
          <t>— no P lot assigned —</t>
        </is>
      </c>
      <c r="E1807" s="256" t="inlineStr">
        <is>
          <t>Fat Bastard</t>
        </is>
      </c>
      <c r="F1807" s="256" t="inlineStr">
        <is>
          <t>07.07.2026</t>
        </is>
      </c>
      <c r="G1807" s="256" t="inlineStr">
        <is>
          <t>9.4</t>
        </is>
      </c>
      <c r="H1807" s="256" t="inlineStr">
        <is>
          <t>Salmonella</t>
        </is>
      </c>
      <c r="I1807" s="256" t="inlineStr">
        <is>
          <t>Ph. Eur. 2.6.31 cat. C</t>
        </is>
      </c>
      <c r="J1807" s="256" t="inlineStr">
        <is>
          <t>Absence | Отсуство / 25 g</t>
        </is>
      </c>
      <c r="K1807" s="259" t="inlineStr">
        <is>
          <t>not tested</t>
        </is>
      </c>
      <c r="L1807" s="256" t="inlineStr">
        <is>
          <t>—</t>
        </is>
      </c>
      <c r="M1807" s="256" t="inlineStr">
        <is>
          <t>—</t>
        </is>
      </c>
      <c r="N1807" s="256" t="inlineStr">
        <is>
          <t>—</t>
        </is>
      </c>
      <c r="O1807" s="256" t="inlineStr">
        <is>
          <t>—</t>
        </is>
      </c>
      <c r="P1807" s="256" t="inlineStr">
        <is>
          <t>not tested — no certificate covers it</t>
        </is>
      </c>
      <c r="Q1807" s="256" t="inlineStr"/>
      <c r="R1807" s="256" t="inlineStr"/>
    </row>
    <row r="1808">
      <c r="A1808" s="256" t="inlineStr">
        <is>
          <t>CoQ-PP_26-079</t>
        </is>
      </c>
      <c r="B1808" s="256" t="inlineStr">
        <is>
          <t>release</t>
        </is>
      </c>
      <c r="C1808" s="256" t="inlineStr">
        <is>
          <t>FB012603</t>
        </is>
      </c>
      <c r="D1808" s="256" t="inlineStr">
        <is>
          <t>— no P lot assigned —</t>
        </is>
      </c>
      <c r="E1808" s="256" t="inlineStr">
        <is>
          <t>Fat Bastard</t>
        </is>
      </c>
      <c r="F1808" s="256" t="inlineStr">
        <is>
          <t>07.07.2026</t>
        </is>
      </c>
      <c r="G1808" s="256" t="inlineStr">
        <is>
          <t>9.5</t>
        </is>
      </c>
      <c r="H1808" s="256" t="inlineStr">
        <is>
          <t>Escherichia coli</t>
        </is>
      </c>
      <c r="I1808" s="256" t="inlineStr">
        <is>
          <t>Ph. Eur. 2.6.13 cat. C</t>
        </is>
      </c>
      <c r="J1808" s="256" t="inlineStr">
        <is>
          <t>Absence | Отсуство / 1 g</t>
        </is>
      </c>
      <c r="K1808" s="259" t="inlineStr">
        <is>
          <t>not tested</t>
        </is>
      </c>
      <c r="L1808" s="256" t="inlineStr">
        <is>
          <t>—</t>
        </is>
      </c>
      <c r="M1808" s="256" t="inlineStr">
        <is>
          <t>—</t>
        </is>
      </c>
      <c r="N1808" s="256" t="inlineStr">
        <is>
          <t>—</t>
        </is>
      </c>
      <c r="O1808" s="256" t="inlineStr">
        <is>
          <t>—</t>
        </is>
      </c>
      <c r="P1808" s="256" t="inlineStr">
        <is>
          <t>not tested — no certificate covers it</t>
        </is>
      </c>
      <c r="Q1808" s="256" t="inlineStr"/>
      <c r="R1808" s="256" t="inlineStr"/>
    </row>
    <row r="1809">
      <c r="A1809" s="256" t="inlineStr">
        <is>
          <t>CoQ-PP_26-079</t>
        </is>
      </c>
      <c r="B1809" s="256" t="inlineStr">
        <is>
          <t>release</t>
        </is>
      </c>
      <c r="C1809" s="256" t="inlineStr">
        <is>
          <t>FB012603</t>
        </is>
      </c>
      <c r="D1809" s="256" t="inlineStr">
        <is>
          <t>— no P lot assigned —</t>
        </is>
      </c>
      <c r="E1809" s="256" t="inlineStr">
        <is>
          <t>Fat Bastard</t>
        </is>
      </c>
      <c r="F1809" s="256" t="inlineStr">
        <is>
          <t>07.07.2026</t>
        </is>
      </c>
      <c r="G1809" s="256" t="inlineStr">
        <is>
          <t>9.6</t>
        </is>
      </c>
      <c r="H1809" s="256" t="inlineStr">
        <is>
          <t>Pseudomonas aeruginosa</t>
        </is>
      </c>
      <c r="I1809" s="256" t="inlineStr">
        <is>
          <t>Ph. Eur. 2.6.13 cat. C</t>
        </is>
      </c>
      <c r="J1809" s="256" t="inlineStr">
        <is>
          <t>Absence | Отсуство / 1 g</t>
        </is>
      </c>
      <c r="K1809" s="260" t="inlineStr">
        <is>
          <t>upon request — not required for release</t>
        </is>
      </c>
      <c r="L1809" s="256" t="inlineStr">
        <is>
          <t>—</t>
        </is>
      </c>
      <c r="M1809" s="256" t="inlineStr">
        <is>
          <t>—</t>
        </is>
      </c>
      <c r="N1809" s="256" t="inlineStr">
        <is>
          <t>—</t>
        </is>
      </c>
      <c r="O1809" s="256" t="inlineStr">
        <is>
          <t>—</t>
        </is>
      </c>
      <c r="P1809" s="256" t="inlineStr">
        <is>
          <t>upon request — not required for release</t>
        </is>
      </c>
      <c r="Q1809" s="256" t="inlineStr"/>
      <c r="R1809" s="256" t="inlineStr"/>
    </row>
    <row r="1810">
      <c r="A1810" s="256" t="inlineStr">
        <is>
          <t>CoQ-PP_26-079</t>
        </is>
      </c>
      <c r="B1810" s="256" t="inlineStr">
        <is>
          <t>release</t>
        </is>
      </c>
      <c r="C1810" s="256" t="inlineStr">
        <is>
          <t>FB012603</t>
        </is>
      </c>
      <c r="D1810" s="256" t="inlineStr">
        <is>
          <t>— no P lot assigned —</t>
        </is>
      </c>
      <c r="E1810" s="256" t="inlineStr">
        <is>
          <t>Fat Bastard</t>
        </is>
      </c>
      <c r="F1810" s="256" t="inlineStr">
        <is>
          <t>07.07.2026</t>
        </is>
      </c>
      <c r="G1810" s="256" t="inlineStr">
        <is>
          <t>9.7</t>
        </is>
      </c>
      <c r="H1810" s="256" t="inlineStr">
        <is>
          <t>Staphylococcus aureus</t>
        </is>
      </c>
      <c r="I1810" s="256" t="inlineStr">
        <is>
          <t>Ph. Eur. 2.6.13 cat. C</t>
        </is>
      </c>
      <c r="J1810" s="256" t="inlineStr">
        <is>
          <t>Absence | Отсуство / 1 g</t>
        </is>
      </c>
      <c r="K1810" s="260" t="inlineStr">
        <is>
          <t>upon request — not required for release</t>
        </is>
      </c>
      <c r="L1810" s="256" t="inlineStr">
        <is>
          <t>—</t>
        </is>
      </c>
      <c r="M1810" s="256" t="inlineStr">
        <is>
          <t>—</t>
        </is>
      </c>
      <c r="N1810" s="256" t="inlineStr">
        <is>
          <t>—</t>
        </is>
      </c>
      <c r="O1810" s="256" t="inlineStr">
        <is>
          <t>—</t>
        </is>
      </c>
      <c r="P1810" s="256" t="inlineStr">
        <is>
          <t>upon request — not required for release</t>
        </is>
      </c>
      <c r="Q1810" s="256" t="inlineStr"/>
      <c r="R1810" s="256" t="inlineStr"/>
    </row>
    <row r="1811">
      <c r="A1811" s="256" t="inlineStr">
        <is>
          <t>CoQ-PP_26-079</t>
        </is>
      </c>
      <c r="B1811" s="256" t="inlineStr">
        <is>
          <t>release</t>
        </is>
      </c>
      <c r="C1811" s="256" t="inlineStr">
        <is>
          <t>FB012603</t>
        </is>
      </c>
      <c r="D1811" s="256" t="inlineStr">
        <is>
          <t>— no P lot assigned —</t>
        </is>
      </c>
      <c r="E1811" s="256" t="inlineStr">
        <is>
          <t>Fat Bastard</t>
        </is>
      </c>
      <c r="F1811" s="256" t="inlineStr">
        <is>
          <t>07.07.2026</t>
        </is>
      </c>
      <c r="G1811" s="256" t="inlineStr">
        <is>
          <t>10.1</t>
        </is>
      </c>
      <c r="H1811" s="256" t="inlineStr">
        <is>
          <t>Aflatoxin B₁</t>
        </is>
      </c>
      <c r="I1811" s="256" t="inlineStr">
        <is>
          <t>Ph. Eur. 2.8.18 (HPLC-FLD)</t>
        </is>
      </c>
      <c r="J1811" s="256" t="inlineStr">
        <is>
          <t>≤ 2 µg/kg</t>
        </is>
      </c>
      <c r="K1811" s="259" t="inlineStr">
        <is>
          <t>not tested</t>
        </is>
      </c>
      <c r="L1811" s="256" t="inlineStr">
        <is>
          <t>—</t>
        </is>
      </c>
      <c r="M1811" s="256" t="inlineStr">
        <is>
          <t>—</t>
        </is>
      </c>
      <c r="N1811" s="256" t="inlineStr">
        <is>
          <t>—</t>
        </is>
      </c>
      <c r="O1811" s="256" t="inlineStr">
        <is>
          <t>—</t>
        </is>
      </c>
      <c r="P1811" s="256" t="inlineStr">
        <is>
          <t>not tested — no certificate covers it</t>
        </is>
      </c>
      <c r="Q1811" s="256" t="inlineStr"/>
      <c r="R1811" s="256" t="inlineStr"/>
    </row>
    <row r="1812">
      <c r="A1812" s="256" t="inlineStr">
        <is>
          <t>CoQ-PP_26-079</t>
        </is>
      </c>
      <c r="B1812" s="256" t="inlineStr">
        <is>
          <t>release</t>
        </is>
      </c>
      <c r="C1812" s="256" t="inlineStr">
        <is>
          <t>FB012603</t>
        </is>
      </c>
      <c r="D1812" s="256" t="inlineStr">
        <is>
          <t>— no P lot assigned —</t>
        </is>
      </c>
      <c r="E1812" s="256" t="inlineStr">
        <is>
          <t>Fat Bastard</t>
        </is>
      </c>
      <c r="F1812" s="256" t="inlineStr">
        <is>
          <t>07.07.2026</t>
        </is>
      </c>
      <c r="G1812" s="256" t="inlineStr">
        <is>
          <t>10.2</t>
        </is>
      </c>
      <c r="H1812" s="256" t="inlineStr">
        <is>
          <t>Aflatoxins ∑</t>
        </is>
      </c>
      <c r="I1812" s="256" t="inlineStr">
        <is>
          <t>Ph. Eur. 2.8.18 (HPLC-FLD)</t>
        </is>
      </c>
      <c r="J1812" s="256" t="inlineStr">
        <is>
          <t>≤ 4 µg/kg</t>
        </is>
      </c>
      <c r="K1812" s="259" t="inlineStr">
        <is>
          <t>not tested</t>
        </is>
      </c>
      <c r="L1812" s="256" t="inlineStr">
        <is>
          <t>—</t>
        </is>
      </c>
      <c r="M1812" s="256" t="inlineStr">
        <is>
          <t>—</t>
        </is>
      </c>
      <c r="N1812" s="256" t="inlineStr">
        <is>
          <t>—</t>
        </is>
      </c>
      <c r="O1812" s="256" t="inlineStr">
        <is>
          <t>—</t>
        </is>
      </c>
      <c r="P1812" s="256" t="inlineStr">
        <is>
          <t>not tested — no certificate covers it</t>
        </is>
      </c>
      <c r="Q1812" s="256" t="inlineStr"/>
      <c r="R1812" s="256" t="inlineStr"/>
    </row>
    <row r="1813">
      <c r="A1813" s="256" t="inlineStr">
        <is>
          <t>CoQ-PP_26-079</t>
        </is>
      </c>
      <c r="B1813" s="256" t="inlineStr">
        <is>
          <t>release</t>
        </is>
      </c>
      <c r="C1813" s="256" t="inlineStr">
        <is>
          <t>FB012603</t>
        </is>
      </c>
      <c r="D1813" s="256" t="inlineStr">
        <is>
          <t>— no P lot assigned —</t>
        </is>
      </c>
      <c r="E1813" s="256" t="inlineStr">
        <is>
          <t>Fat Bastard</t>
        </is>
      </c>
      <c r="F1813" s="256" t="inlineStr">
        <is>
          <t>07.07.2026</t>
        </is>
      </c>
      <c r="G1813" s="256" t="inlineStr">
        <is>
          <t>10.3</t>
        </is>
      </c>
      <c r="H1813" s="256" t="inlineStr">
        <is>
          <t>Ochratoxin A</t>
        </is>
      </c>
      <c r="I1813" s="256" t="inlineStr">
        <is>
          <t>Ph. Eur. 2.8.22 (HPLC-FLD)</t>
        </is>
      </c>
      <c r="J1813" s="256" t="inlineStr">
        <is>
          <t>≤ 20 µg/kg</t>
        </is>
      </c>
      <c r="K1813" s="259" t="inlineStr">
        <is>
          <t>not tested</t>
        </is>
      </c>
      <c r="L1813" s="256" t="inlineStr">
        <is>
          <t>—</t>
        </is>
      </c>
      <c r="M1813" s="256" t="inlineStr">
        <is>
          <t>—</t>
        </is>
      </c>
      <c r="N1813" s="256" t="inlineStr">
        <is>
          <t>—</t>
        </is>
      </c>
      <c r="O1813" s="256" t="inlineStr">
        <is>
          <t>—</t>
        </is>
      </c>
      <c r="P1813" s="256" t="inlineStr">
        <is>
          <t>not tested — no certificate covers it</t>
        </is>
      </c>
      <c r="Q1813" s="256" t="inlineStr"/>
      <c r="R1813" s="256" t="inlineStr"/>
    </row>
    <row r="1814">
      <c r="A1814" s="256" t="inlineStr">
        <is>
          <t>CoQ-PP_26-079</t>
        </is>
      </c>
      <c r="B1814" s="256" t="inlineStr">
        <is>
          <t>release</t>
        </is>
      </c>
      <c r="C1814" s="256" t="inlineStr">
        <is>
          <t>FB012603</t>
        </is>
      </c>
      <c r="D1814" s="256" t="inlineStr">
        <is>
          <t>— no P lot assigned —</t>
        </is>
      </c>
      <c r="E1814" s="256" t="inlineStr">
        <is>
          <t>Fat Bastard</t>
        </is>
      </c>
      <c r="F1814" s="256" t="inlineStr">
        <is>
          <t>07.07.2026</t>
        </is>
      </c>
      <c r="G1814" s="256" t="inlineStr">
        <is>
          <t>11.1</t>
        </is>
      </c>
      <c r="H1814" s="256" t="inlineStr">
        <is>
          <t>Lead (Pb)</t>
        </is>
      </c>
      <c r="I1814" s="256" t="inlineStr">
        <is>
          <t>Ph. Eur. 2.4.27 (ICP-MS)</t>
        </is>
      </c>
      <c r="J1814" s="256" t="inlineStr">
        <is>
          <t>≤ 0.5 mg/kg</t>
        </is>
      </c>
      <c r="K1814" s="259" t="inlineStr">
        <is>
          <t>not tested</t>
        </is>
      </c>
      <c r="L1814" s="256" t="inlineStr">
        <is>
          <t>—</t>
        </is>
      </c>
      <c r="M1814" s="256" t="inlineStr">
        <is>
          <t>—</t>
        </is>
      </c>
      <c r="N1814" s="256" t="inlineStr">
        <is>
          <t>—</t>
        </is>
      </c>
      <c r="O1814" s="256" t="inlineStr">
        <is>
          <t>—</t>
        </is>
      </c>
      <c r="P1814" s="256" t="inlineStr">
        <is>
          <t>not tested — no certificate covers it</t>
        </is>
      </c>
      <c r="Q1814" s="256" t="inlineStr"/>
      <c r="R1814" s="256" t="inlineStr"/>
    </row>
    <row r="1815">
      <c r="A1815" s="256" t="inlineStr">
        <is>
          <t>CoQ-PP_26-079</t>
        </is>
      </c>
      <c r="B1815" s="256" t="inlineStr">
        <is>
          <t>release</t>
        </is>
      </c>
      <c r="C1815" s="256" t="inlineStr">
        <is>
          <t>FB012603</t>
        </is>
      </c>
      <c r="D1815" s="256" t="inlineStr">
        <is>
          <t>— no P lot assigned —</t>
        </is>
      </c>
      <c r="E1815" s="256" t="inlineStr">
        <is>
          <t>Fat Bastard</t>
        </is>
      </c>
      <c r="F1815" s="256" t="inlineStr">
        <is>
          <t>07.07.2026</t>
        </is>
      </c>
      <c r="G1815" s="256" t="inlineStr">
        <is>
          <t>11.2</t>
        </is>
      </c>
      <c r="H1815" s="256" t="inlineStr">
        <is>
          <t>Cadmium (Cd)</t>
        </is>
      </c>
      <c r="I1815" s="256" t="inlineStr">
        <is>
          <t>Ph. Eur. 2.4.27 (ICP-MS)</t>
        </is>
      </c>
      <c r="J1815" s="256" t="inlineStr">
        <is>
          <t>≤ 0.3 mg/kg</t>
        </is>
      </c>
      <c r="K1815" s="259" t="inlineStr">
        <is>
          <t>not tested</t>
        </is>
      </c>
      <c r="L1815" s="256" t="inlineStr">
        <is>
          <t>—</t>
        </is>
      </c>
      <c r="M1815" s="256" t="inlineStr">
        <is>
          <t>—</t>
        </is>
      </c>
      <c r="N1815" s="256" t="inlineStr">
        <is>
          <t>—</t>
        </is>
      </c>
      <c r="O1815" s="256" t="inlineStr">
        <is>
          <t>—</t>
        </is>
      </c>
      <c r="P1815" s="256" t="inlineStr">
        <is>
          <t>not tested — no certificate covers it</t>
        </is>
      </c>
      <c r="Q1815" s="256" t="inlineStr"/>
      <c r="R1815" s="256" t="inlineStr"/>
    </row>
    <row r="1816">
      <c r="A1816" s="256" t="inlineStr">
        <is>
          <t>CoQ-PP_26-079</t>
        </is>
      </c>
      <c r="B1816" s="256" t="inlineStr">
        <is>
          <t>release</t>
        </is>
      </c>
      <c r="C1816" s="256" t="inlineStr">
        <is>
          <t>FB012603</t>
        </is>
      </c>
      <c r="D1816" s="256" t="inlineStr">
        <is>
          <t>— no P lot assigned —</t>
        </is>
      </c>
      <c r="E1816" s="256" t="inlineStr">
        <is>
          <t>Fat Bastard</t>
        </is>
      </c>
      <c r="F1816" s="256" t="inlineStr">
        <is>
          <t>07.07.2026</t>
        </is>
      </c>
      <c r="G1816" s="256" t="inlineStr">
        <is>
          <t>11.3</t>
        </is>
      </c>
      <c r="H1816" s="256" t="inlineStr">
        <is>
          <t>Arsenic (As)</t>
        </is>
      </c>
      <c r="I1816" s="256" t="inlineStr">
        <is>
          <t>Ph. Eur. 2.4.27 (ICP-MS)</t>
        </is>
      </c>
      <c r="J1816" s="256" t="inlineStr">
        <is>
          <t>≤ 0.2 mg/kg</t>
        </is>
      </c>
      <c r="K1816" s="259" t="inlineStr">
        <is>
          <t>not tested</t>
        </is>
      </c>
      <c r="L1816" s="256" t="inlineStr">
        <is>
          <t>—</t>
        </is>
      </c>
      <c r="M1816" s="256" t="inlineStr">
        <is>
          <t>—</t>
        </is>
      </c>
      <c r="N1816" s="256" t="inlineStr">
        <is>
          <t>—</t>
        </is>
      </c>
      <c r="O1816" s="256" t="inlineStr">
        <is>
          <t>—</t>
        </is>
      </c>
      <c r="P1816" s="256" t="inlineStr">
        <is>
          <t>not tested — no certificate covers it</t>
        </is>
      </c>
      <c r="Q1816" s="256" t="inlineStr"/>
      <c r="R1816" s="256" t="inlineStr"/>
    </row>
    <row r="1817">
      <c r="A1817" s="256" t="inlineStr">
        <is>
          <t>CoQ-PP_26-079</t>
        </is>
      </c>
      <c r="B1817" s="256" t="inlineStr">
        <is>
          <t>release</t>
        </is>
      </c>
      <c r="C1817" s="256" t="inlineStr">
        <is>
          <t>FB012603</t>
        </is>
      </c>
      <c r="D1817" s="256" t="inlineStr">
        <is>
          <t>— no P lot assigned —</t>
        </is>
      </c>
      <c r="E1817" s="256" t="inlineStr">
        <is>
          <t>Fat Bastard</t>
        </is>
      </c>
      <c r="F1817" s="256" t="inlineStr">
        <is>
          <t>07.07.2026</t>
        </is>
      </c>
      <c r="G1817" s="256" t="inlineStr">
        <is>
          <t>11.4</t>
        </is>
      </c>
      <c r="H1817" s="256" t="inlineStr">
        <is>
          <t>Mercury (Hg)</t>
        </is>
      </c>
      <c r="I1817" s="256" t="inlineStr">
        <is>
          <t>Ph. Eur. 2.4.27 (ICP-MS)</t>
        </is>
      </c>
      <c r="J1817" s="256" t="inlineStr">
        <is>
          <t>≤ 0.1 mg/kg</t>
        </is>
      </c>
      <c r="K1817" s="259" t="inlineStr">
        <is>
          <t>not tested</t>
        </is>
      </c>
      <c r="L1817" s="256" t="inlineStr">
        <is>
          <t>—</t>
        </is>
      </c>
      <c r="M1817" s="256" t="inlineStr">
        <is>
          <t>—</t>
        </is>
      </c>
      <c r="N1817" s="256" t="inlineStr">
        <is>
          <t>—</t>
        </is>
      </c>
      <c r="O1817" s="256" t="inlineStr">
        <is>
          <t>—</t>
        </is>
      </c>
      <c r="P1817" s="256" t="inlineStr">
        <is>
          <t>not tested — no certificate covers it</t>
        </is>
      </c>
      <c r="Q1817" s="256" t="inlineStr"/>
      <c r="R1817" s="256" t="inlineStr"/>
    </row>
    <row r="1818">
      <c r="A1818" s="256" t="inlineStr">
        <is>
          <t>CoQ-PP_26-079</t>
        </is>
      </c>
      <c r="B1818" s="256" t="inlineStr">
        <is>
          <t>release</t>
        </is>
      </c>
      <c r="C1818" s="256" t="inlineStr">
        <is>
          <t>FB012603</t>
        </is>
      </c>
      <c r="D1818" s="256" t="inlineStr">
        <is>
          <t>— no P lot assigned —</t>
        </is>
      </c>
      <c r="E1818" s="256" t="inlineStr">
        <is>
          <t>Fat Bastard</t>
        </is>
      </c>
      <c r="F1818" s="256" t="inlineStr">
        <is>
          <t>07.07.2026</t>
        </is>
      </c>
      <c r="G1818" s="256" t="inlineStr">
        <is>
          <t>12</t>
        </is>
      </c>
      <c r="H1818" s="256" t="inlineStr">
        <is>
          <t>Pesticide Residues</t>
        </is>
      </c>
      <c r="I1818" s="256" t="inlineStr">
        <is>
          <t>Ph. Eur. 2.8.13 (LC-MS/MS) · CUMCS Equivalency</t>
        </is>
      </c>
      <c r="J1818" s="256" t="inlineStr">
        <is>
          <t>≤ LOQ as per Ph. Eur. 2.8.13 · ≤ LOQ as per CUMCS Equivalency</t>
        </is>
      </c>
      <c r="K1818" s="259" t="inlineStr">
        <is>
          <t>not tested</t>
        </is>
      </c>
      <c r="L1818" s="256" t="inlineStr">
        <is>
          <t>—</t>
        </is>
      </c>
      <c r="M1818" s="256" t="inlineStr">
        <is>
          <t>—</t>
        </is>
      </c>
      <c r="N1818" s="256" t="inlineStr">
        <is>
          <t>—</t>
        </is>
      </c>
      <c r="O1818" s="256" t="inlineStr">
        <is>
          <t>—</t>
        </is>
      </c>
      <c r="P1818" s="256" t="inlineStr">
        <is>
          <t>not tested — no certificate covers it</t>
        </is>
      </c>
      <c r="Q1818" s="256" t="inlineStr"/>
      <c r="R1818" s="256" t="inlineStr"/>
    </row>
    <row r="1819">
      <c r="A1819" s="256" t="inlineStr">
        <is>
          <t>CoQ-PP_26-080</t>
        </is>
      </c>
      <c r="B1819" s="256" t="inlineStr">
        <is>
          <t>release</t>
        </is>
      </c>
      <c r="C1819" s="256" t="inlineStr">
        <is>
          <t>SCR022601</t>
        </is>
      </c>
      <c r="D1819" s="256" t="inlineStr">
        <is>
          <t>— no P lot assigned —</t>
        </is>
      </c>
      <c r="E1819" s="256" t="inlineStr">
        <is>
          <t>Scrambler</t>
        </is>
      </c>
      <c r="F1819" s="256" t="inlineStr">
        <is>
          <t>13.07.2026</t>
        </is>
      </c>
      <c r="G1819" s="256" t="inlineStr">
        <is>
          <t>1</t>
        </is>
      </c>
      <c r="H1819" s="256" t="inlineStr">
        <is>
          <t>Identification A, Appearance · Macroscopic</t>
        </is>
      </c>
      <c r="I1819" s="256" t="inlineStr">
        <is>
          <t>Ph. Eur. mon. 3028</t>
        </is>
      </c>
      <c r="J1819" s="256" t="inlineStr">
        <is>
          <t>Conforms to the monograph for Cannabis flos (07/2024:3028) in Ph. Eur. 11.0 | Согласно монографија за Cannabis flos (07/2024:3028) во Ph. Eur. 11.0</t>
        </is>
      </c>
      <c r="K1819" s="256" t="inlineStr">
        <is>
          <t>Conforms | Одговара</t>
        </is>
      </c>
      <c r="L1819" s="256" t="inlineStr">
        <is>
          <t>ППК26116</t>
        </is>
      </c>
      <c r="M1819" s="256" t="inlineStr">
        <is>
          <t>06.07.2026</t>
        </is>
      </c>
      <c r="N1819" s="256" t="inlineStr">
        <is>
          <t>UKIM Faculty of Pharmacy — Center for Natural Products</t>
        </is>
      </c>
      <c r="O1819" s="256" t="inlineStr">
        <is>
          <t>17.06.2026</t>
        </is>
      </c>
      <c r="P1819" s="256" t="inlineStr">
        <is>
          <t>covered</t>
        </is>
      </c>
      <c r="Q1819" s="256" t="inlineStr"/>
      <c r="R1819" s="256" t="inlineStr"/>
    </row>
    <row r="1820">
      <c r="A1820" s="256" t="inlineStr">
        <is>
          <t>CoQ-PP_26-080</t>
        </is>
      </c>
      <c r="B1820" s="256" t="inlineStr">
        <is>
          <t>release</t>
        </is>
      </c>
      <c r="C1820" s="256" t="inlineStr">
        <is>
          <t>SCR022601</t>
        </is>
      </c>
      <c r="D1820" s="256" t="inlineStr">
        <is>
          <t>— no P lot assigned —</t>
        </is>
      </c>
      <c r="E1820" s="256" t="inlineStr">
        <is>
          <t>Scrambler</t>
        </is>
      </c>
      <c r="F1820" s="256" t="inlineStr">
        <is>
          <t>13.07.2026</t>
        </is>
      </c>
      <c r="G1820" s="256" t="inlineStr">
        <is>
          <t>2</t>
        </is>
      </c>
      <c r="H1820" s="256" t="inlineStr">
        <is>
          <t>Identification B · Microscopic</t>
        </is>
      </c>
      <c r="I1820" s="256" t="inlineStr">
        <is>
          <t>Ph. Eur. 2.8.23 (microscopy)</t>
        </is>
      </c>
      <c r="J1820" s="256" t="inlineStr">
        <is>
          <t>Conforms to the monograph for Cannabis flos (07/2024:3028) in Ph. Eur. 11.0 | Согласно монографија за Cannabis flos (07/2024:3028) во Ph. Eur. 11.0</t>
        </is>
      </c>
      <c r="K1820" s="256" t="inlineStr">
        <is>
          <t>Conforms | Одговара</t>
        </is>
      </c>
      <c r="L1820" s="256" t="inlineStr">
        <is>
          <t>ППК26116</t>
        </is>
      </c>
      <c r="M1820" s="256" t="inlineStr">
        <is>
          <t>06.07.2026</t>
        </is>
      </c>
      <c r="N1820" s="256" t="inlineStr">
        <is>
          <t>UKIM Faculty of Pharmacy — Center for Natural Products</t>
        </is>
      </c>
      <c r="O1820" s="256" t="inlineStr">
        <is>
          <t>17.06.2026</t>
        </is>
      </c>
      <c r="P1820" s="256" t="inlineStr">
        <is>
          <t>covered</t>
        </is>
      </c>
      <c r="Q1820" s="256" t="inlineStr"/>
      <c r="R1820" s="256" t="inlineStr"/>
    </row>
    <row r="1821">
      <c r="A1821" s="256" t="inlineStr">
        <is>
          <t>CoQ-PP_26-080</t>
        </is>
      </c>
      <c r="B1821" s="256" t="inlineStr">
        <is>
          <t>release</t>
        </is>
      </c>
      <c r="C1821" s="256" t="inlineStr">
        <is>
          <t>SCR022601</t>
        </is>
      </c>
      <c r="D1821" s="256" t="inlineStr">
        <is>
          <t>— no P lot assigned —</t>
        </is>
      </c>
      <c r="E1821" s="256" t="inlineStr">
        <is>
          <t>Scrambler</t>
        </is>
      </c>
      <c r="F1821" s="256" t="inlineStr">
        <is>
          <t>13.07.2026</t>
        </is>
      </c>
      <c r="G1821" s="256" t="inlineStr">
        <is>
          <t>3</t>
        </is>
      </c>
      <c r="H1821" s="256" t="inlineStr">
        <is>
          <t>Identification C · HPLC/HPTLC</t>
        </is>
      </c>
      <c r="I1821" s="256" t="inlineStr">
        <is>
          <t>Ph. Eur. 2.2.29 (3028)</t>
        </is>
      </c>
      <c r="J1821" s="256" t="inlineStr">
        <is>
          <t>Conforms to the monograph for Cannabis flos (07/2024:3028) in Ph. Eur. 11.0 | Согласно монографија за Cannabis flos (07/2024:3028) во Ph. Eur. 11.0</t>
        </is>
      </c>
      <c r="K1821" s="256" t="inlineStr">
        <is>
          <t>Conforms | Одговара</t>
        </is>
      </c>
      <c r="L1821" s="256" t="inlineStr">
        <is>
          <t>ППК26116</t>
        </is>
      </c>
      <c r="M1821" s="256" t="inlineStr">
        <is>
          <t>06.07.2026</t>
        </is>
      </c>
      <c r="N1821" s="256" t="inlineStr">
        <is>
          <t>UKIM Faculty of Pharmacy — Center for Natural Products</t>
        </is>
      </c>
      <c r="O1821" s="256" t="inlineStr">
        <is>
          <t>17.06.2026</t>
        </is>
      </c>
      <c r="P1821" s="256" t="inlineStr">
        <is>
          <t>covered</t>
        </is>
      </c>
      <c r="Q1821" s="256" t="inlineStr"/>
      <c r="R1821" s="256" t="inlineStr"/>
    </row>
    <row r="1822">
      <c r="A1822" s="256" t="inlineStr">
        <is>
          <t>CoQ-PP_26-080</t>
        </is>
      </c>
      <c r="B1822" s="256" t="inlineStr">
        <is>
          <t>release</t>
        </is>
      </c>
      <c r="C1822" s="256" t="inlineStr">
        <is>
          <t>SCR022601</t>
        </is>
      </c>
      <c r="D1822" s="256" t="inlineStr">
        <is>
          <t>— no P lot assigned —</t>
        </is>
      </c>
      <c r="E1822" s="256" t="inlineStr">
        <is>
          <t>Scrambler</t>
        </is>
      </c>
      <c r="F1822" s="256" t="inlineStr">
        <is>
          <t>13.07.2026</t>
        </is>
      </c>
      <c r="G1822" s="256" t="inlineStr">
        <is>
          <t>4</t>
        </is>
      </c>
      <c r="H1822" s="256" t="inlineStr">
        <is>
          <t>Assay — Total Δ⁹-THC</t>
        </is>
      </c>
      <c r="I1822" s="256" t="inlineStr">
        <is>
          <t>Ph. Eur. 2.2.29 (HPLC)</t>
        </is>
      </c>
      <c r="J1822" s="256" t="inlineStr">
        <is>
          <t>19.80 – 24.19 %  (grade I, nominal 22.00 ± 2.20)</t>
        </is>
      </c>
      <c r="K1822" s="256" t="inlineStr">
        <is>
          <t>21.92</t>
        </is>
      </c>
      <c r="L1822" s="256" t="inlineStr">
        <is>
          <t>ППК26116</t>
        </is>
      </c>
      <c r="M1822" s="256" t="inlineStr">
        <is>
          <t>06.07.2026</t>
        </is>
      </c>
      <c r="N1822" s="256" t="inlineStr">
        <is>
          <t>UKIM Faculty of Pharmacy — Center for Natural Products</t>
        </is>
      </c>
      <c r="O1822" s="256" t="inlineStr">
        <is>
          <t>17.06.2026</t>
        </is>
      </c>
      <c r="P1822" s="256" t="inlineStr">
        <is>
          <t>covered</t>
        </is>
      </c>
      <c r="Q1822" s="256" t="inlineStr"/>
      <c r="R1822" s="256" t="inlineStr">
        <is>
          <t>16.68 (227-7-К/26)</t>
        </is>
      </c>
    </row>
    <row r="1823">
      <c r="A1823" s="256" t="inlineStr">
        <is>
          <t>CoQ-PP_26-080</t>
        </is>
      </c>
      <c r="B1823" s="256" t="inlineStr">
        <is>
          <t>release</t>
        </is>
      </c>
      <c r="C1823" s="256" t="inlineStr">
        <is>
          <t>SCR022601</t>
        </is>
      </c>
      <c r="D1823" s="256" t="inlineStr">
        <is>
          <t>— no P lot assigned —</t>
        </is>
      </c>
      <c r="E1823" s="256" t="inlineStr">
        <is>
          <t>Scrambler</t>
        </is>
      </c>
      <c r="F1823" s="256" t="inlineStr">
        <is>
          <t>13.07.2026</t>
        </is>
      </c>
      <c r="G1823" s="256" t="inlineStr">
        <is>
          <t>5</t>
        </is>
      </c>
      <c r="H1823" s="256" t="inlineStr">
        <is>
          <t>Assay — Total CBD</t>
        </is>
      </c>
      <c r="I1823" s="256" t="inlineStr">
        <is>
          <t>Ph. Eur. 2.2.29 (HPLC) · CBD + CBDA x 0.877</t>
        </is>
      </c>
      <c r="J1823" s="256" t="inlineStr">
        <is>
          <t>≤ 1.0%, w/w</t>
        </is>
      </c>
      <c r="K1823" s="256" t="inlineStr">
        <is>
          <t>0.19</t>
        </is>
      </c>
      <c r="L1823" s="256" t="inlineStr">
        <is>
          <t>ППК26116</t>
        </is>
      </c>
      <c r="M1823" s="256" t="inlineStr">
        <is>
          <t>06.07.2026</t>
        </is>
      </c>
      <c r="N1823" s="256" t="inlineStr">
        <is>
          <t>UKIM Faculty of Pharmacy — Center for Natural Products</t>
        </is>
      </c>
      <c r="O1823" s="256" t="inlineStr">
        <is>
          <t>17.06.2026</t>
        </is>
      </c>
      <c r="P1823" s="256" t="inlineStr">
        <is>
          <t>covered</t>
        </is>
      </c>
      <c r="Q1823" s="256" t="inlineStr"/>
      <c r="R1823" s="256" t="inlineStr">
        <is>
          <t>&lt;LOQ (227-7-К/26)</t>
        </is>
      </c>
    </row>
    <row r="1824">
      <c r="A1824" s="256" t="inlineStr">
        <is>
          <t>CoQ-PP_26-080</t>
        </is>
      </c>
      <c r="B1824" s="256" t="inlineStr">
        <is>
          <t>release</t>
        </is>
      </c>
      <c r="C1824" s="256" t="inlineStr">
        <is>
          <t>SCR022601</t>
        </is>
      </c>
      <c r="D1824" s="256" t="inlineStr">
        <is>
          <t>— no P lot assigned —</t>
        </is>
      </c>
      <c r="E1824" s="256" t="inlineStr">
        <is>
          <t>Scrambler</t>
        </is>
      </c>
      <c r="F1824" s="256" t="inlineStr">
        <is>
          <t>13.07.2026</t>
        </is>
      </c>
      <c r="G1824" s="256" t="inlineStr">
        <is>
          <t>6</t>
        </is>
      </c>
      <c r="H1824" s="256" t="inlineStr">
        <is>
          <t>Total CBN</t>
        </is>
      </c>
      <c r="I1824" s="256" t="inlineStr">
        <is>
          <t>Ph. Eur. 2.2.29 (HPLC) · CBN + CBNA x 0.876</t>
        </is>
      </c>
      <c r="J1824" s="256" t="inlineStr">
        <is>
          <t>≤ 1.0%, w/w</t>
        </is>
      </c>
      <c r="K1824" s="256" t="inlineStr">
        <is>
          <t>0.06</t>
        </is>
      </c>
      <c r="L1824" s="256" t="inlineStr">
        <is>
          <t>ППК26116</t>
        </is>
      </c>
      <c r="M1824" s="256" t="inlineStr">
        <is>
          <t>06.07.2026</t>
        </is>
      </c>
      <c r="N1824" s="256" t="inlineStr">
        <is>
          <t>UKIM Faculty of Pharmacy — Center for Natural Products</t>
        </is>
      </c>
      <c r="O1824" s="256" t="inlineStr">
        <is>
          <t>17.06.2026</t>
        </is>
      </c>
      <c r="P1824" s="256" t="inlineStr">
        <is>
          <t>covered</t>
        </is>
      </c>
      <c r="Q1824" s="256" t="inlineStr"/>
      <c r="R1824" s="256" t="inlineStr">
        <is>
          <t>&lt;LOQ (227-7-К/26)</t>
        </is>
      </c>
    </row>
    <row r="1825">
      <c r="A1825" s="256" t="inlineStr">
        <is>
          <t>CoQ-PP_26-080</t>
        </is>
      </c>
      <c r="B1825" s="256" t="inlineStr">
        <is>
          <t>release</t>
        </is>
      </c>
      <c r="C1825" s="256" t="inlineStr">
        <is>
          <t>SCR022601</t>
        </is>
      </c>
      <c r="D1825" s="256" t="inlineStr">
        <is>
          <t>— no P lot assigned —</t>
        </is>
      </c>
      <c r="E1825" s="256" t="inlineStr">
        <is>
          <t>Scrambler</t>
        </is>
      </c>
      <c r="F1825" s="256" t="inlineStr">
        <is>
          <t>13.07.2026</t>
        </is>
      </c>
      <c r="G1825" s="256" t="inlineStr">
        <is>
          <t>7</t>
        </is>
      </c>
      <c r="H1825" s="256" t="inlineStr">
        <is>
          <t>Foreign Matter</t>
        </is>
      </c>
      <c r="I1825" s="256" t="inlineStr">
        <is>
          <t>Ph. Eur. 2.8.2 · In-house · интерна</t>
        </is>
      </c>
      <c r="J1825" s="256" t="inlineStr">
        <is>
          <t>≤ 2.0% / 25–50 g · &lt; 1 cm leaves | листови, no seeds | без семки</t>
        </is>
      </c>
      <c r="K1825" s="256" t="inlineStr">
        <is>
          <t>Conforms | Одговара</t>
        </is>
      </c>
      <c r="L1825" s="256" t="inlineStr">
        <is>
          <t>ППК26116</t>
        </is>
      </c>
      <c r="M1825" s="256" t="inlineStr">
        <is>
          <t>06.07.2026</t>
        </is>
      </c>
      <c r="N1825" s="256" t="inlineStr">
        <is>
          <t>UKIM Faculty of Pharmacy — Center for Natural Products</t>
        </is>
      </c>
      <c r="O1825" s="256" t="inlineStr">
        <is>
          <t>17.06.2026</t>
        </is>
      </c>
      <c r="P1825" s="256" t="inlineStr">
        <is>
          <t>covered</t>
        </is>
      </c>
      <c r="Q1825" s="256" t="inlineStr"/>
      <c r="R1825" s="256" t="inlineStr"/>
    </row>
    <row r="1826">
      <c r="A1826" s="256" t="inlineStr">
        <is>
          <t>CoQ-PP_26-080</t>
        </is>
      </c>
      <c r="B1826" s="256" t="inlineStr">
        <is>
          <t>release</t>
        </is>
      </c>
      <c r="C1826" s="256" t="inlineStr">
        <is>
          <t>SCR022601</t>
        </is>
      </c>
      <c r="D1826" s="256" t="inlineStr">
        <is>
          <t>— no P lot assigned —</t>
        </is>
      </c>
      <c r="E1826" s="256" t="inlineStr">
        <is>
          <t>Scrambler</t>
        </is>
      </c>
      <c r="F1826" s="256" t="inlineStr">
        <is>
          <t>13.07.2026</t>
        </is>
      </c>
      <c r="G1826" s="256" t="inlineStr">
        <is>
          <t>8</t>
        </is>
      </c>
      <c r="H1826" s="256" t="inlineStr">
        <is>
          <t>Loss on Drying</t>
        </is>
      </c>
      <c r="I1826" s="256" t="inlineStr">
        <is>
          <t>Ph. Eur. 2.2.32 (3028) · at 40 °C, 24 h, 15–25 mbar</t>
        </is>
      </c>
      <c r="J1826" s="256" t="inlineStr">
        <is>
          <t>≤ 12.0%</t>
        </is>
      </c>
      <c r="K1826" s="256" t="inlineStr">
        <is>
          <t>7.06</t>
        </is>
      </c>
      <c r="L1826" s="256" t="inlineStr">
        <is>
          <t>ППК26116</t>
        </is>
      </c>
      <c r="M1826" s="256" t="inlineStr">
        <is>
          <t>06.07.2026</t>
        </is>
      </c>
      <c r="N1826" s="256" t="inlineStr">
        <is>
          <t>UKIM Faculty of Pharmacy — Center for Natural Products</t>
        </is>
      </c>
      <c r="O1826" s="256" t="inlineStr">
        <is>
          <t>17.06.2026</t>
        </is>
      </c>
      <c r="P1826" s="256" t="inlineStr">
        <is>
          <t>covered</t>
        </is>
      </c>
      <c r="Q1826" s="256" t="inlineStr"/>
      <c r="R1826" s="256" t="inlineStr"/>
    </row>
    <row r="1827">
      <c r="A1827" s="256" t="inlineStr">
        <is>
          <t>CoQ-PP_26-080</t>
        </is>
      </c>
      <c r="B1827" s="256" t="inlineStr">
        <is>
          <t>release</t>
        </is>
      </c>
      <c r="C1827" s="256" t="inlineStr">
        <is>
          <t>SCR022601</t>
        </is>
      </c>
      <c r="D1827" s="256" t="inlineStr">
        <is>
          <t>— no P lot assigned —</t>
        </is>
      </c>
      <c r="E1827" s="256" t="inlineStr">
        <is>
          <t>Scrambler</t>
        </is>
      </c>
      <c r="F1827" s="256" t="inlineStr">
        <is>
          <t>13.07.2026</t>
        </is>
      </c>
      <c r="G1827" s="256" t="inlineStr">
        <is>
          <t>9.1</t>
        </is>
      </c>
      <c r="H1827" s="256" t="inlineStr">
        <is>
          <t>TAMC</t>
        </is>
      </c>
      <c r="I1827" s="256" t="inlineStr">
        <is>
          <t>Ph. Eur. 2.6.12 cat. C</t>
        </is>
      </c>
      <c r="J1827" s="256" t="inlineStr">
        <is>
          <t>≤ 10⁵ CFU/g</t>
        </is>
      </c>
      <c r="K1827" s="259" t="inlineStr">
        <is>
          <t>not tested</t>
        </is>
      </c>
      <c r="L1827" s="256" t="inlineStr">
        <is>
          <t>—</t>
        </is>
      </c>
      <c r="M1827" s="256" t="inlineStr">
        <is>
          <t>—</t>
        </is>
      </c>
      <c r="N1827" s="256" t="inlineStr">
        <is>
          <t>—</t>
        </is>
      </c>
      <c r="O1827" s="256" t="inlineStr">
        <is>
          <t>—</t>
        </is>
      </c>
      <c r="P1827" s="256" t="inlineStr">
        <is>
          <t>not tested — no certificate covers it</t>
        </is>
      </c>
      <c r="Q1827" s="256" t="inlineStr"/>
      <c r="R1827" s="256" t="inlineStr"/>
    </row>
    <row r="1828">
      <c r="A1828" s="256" t="inlineStr">
        <is>
          <t>CoQ-PP_26-080</t>
        </is>
      </c>
      <c r="B1828" s="256" t="inlineStr">
        <is>
          <t>release</t>
        </is>
      </c>
      <c r="C1828" s="256" t="inlineStr">
        <is>
          <t>SCR022601</t>
        </is>
      </c>
      <c r="D1828" s="256" t="inlineStr">
        <is>
          <t>— no P lot assigned —</t>
        </is>
      </c>
      <c r="E1828" s="256" t="inlineStr">
        <is>
          <t>Scrambler</t>
        </is>
      </c>
      <c r="F1828" s="256" t="inlineStr">
        <is>
          <t>13.07.2026</t>
        </is>
      </c>
      <c r="G1828" s="256" t="inlineStr">
        <is>
          <t>9.2</t>
        </is>
      </c>
      <c r="H1828" s="256" t="inlineStr">
        <is>
          <t>TYMC</t>
        </is>
      </c>
      <c r="I1828" s="256" t="inlineStr">
        <is>
          <t>Ph. Eur. 2.6.12 cat. C</t>
        </is>
      </c>
      <c r="J1828" s="256" t="inlineStr">
        <is>
          <t>≤ 10⁴ CFU/g</t>
        </is>
      </c>
      <c r="K1828" s="259" t="inlineStr">
        <is>
          <t>not tested</t>
        </is>
      </c>
      <c r="L1828" s="256" t="inlineStr">
        <is>
          <t>—</t>
        </is>
      </c>
      <c r="M1828" s="256" t="inlineStr">
        <is>
          <t>—</t>
        </is>
      </c>
      <c r="N1828" s="256" t="inlineStr">
        <is>
          <t>—</t>
        </is>
      </c>
      <c r="O1828" s="256" t="inlineStr">
        <is>
          <t>—</t>
        </is>
      </c>
      <c r="P1828" s="256" t="inlineStr">
        <is>
          <t>not tested — no certificate covers it</t>
        </is>
      </c>
      <c r="Q1828" s="256" t="inlineStr"/>
      <c r="R1828" s="256" t="inlineStr"/>
    </row>
    <row r="1829">
      <c r="A1829" s="256" t="inlineStr">
        <is>
          <t>CoQ-PP_26-080</t>
        </is>
      </c>
      <c r="B1829" s="256" t="inlineStr">
        <is>
          <t>release</t>
        </is>
      </c>
      <c r="C1829" s="256" t="inlineStr">
        <is>
          <t>SCR022601</t>
        </is>
      </c>
      <c r="D1829" s="256" t="inlineStr">
        <is>
          <t>— no P lot assigned —</t>
        </is>
      </c>
      <c r="E1829" s="256" t="inlineStr">
        <is>
          <t>Scrambler</t>
        </is>
      </c>
      <c r="F1829" s="256" t="inlineStr">
        <is>
          <t>13.07.2026</t>
        </is>
      </c>
      <c r="G1829" s="256" t="inlineStr">
        <is>
          <t>9.3</t>
        </is>
      </c>
      <c r="H1829" s="256" t="inlineStr">
        <is>
          <t>Bile-tolerant gram-neg.</t>
        </is>
      </c>
      <c r="I1829" s="256" t="inlineStr">
        <is>
          <t>Ph. Eur. 2.6.31 cat. C</t>
        </is>
      </c>
      <c r="J1829" s="256" t="inlineStr">
        <is>
          <t>≤ 10⁴ CFU/g</t>
        </is>
      </c>
      <c r="K1829" s="259" t="inlineStr">
        <is>
          <t>not tested</t>
        </is>
      </c>
      <c r="L1829" s="256" t="inlineStr">
        <is>
          <t>—</t>
        </is>
      </c>
      <c r="M1829" s="256" t="inlineStr">
        <is>
          <t>—</t>
        </is>
      </c>
      <c r="N1829" s="256" t="inlineStr">
        <is>
          <t>—</t>
        </is>
      </c>
      <c r="O1829" s="256" t="inlineStr">
        <is>
          <t>—</t>
        </is>
      </c>
      <c r="P1829" s="256" t="inlineStr">
        <is>
          <t>not tested — no certificate covers it</t>
        </is>
      </c>
      <c r="Q1829" s="256" t="inlineStr"/>
      <c r="R1829" s="256" t="inlineStr"/>
    </row>
    <row r="1830">
      <c r="A1830" s="256" t="inlineStr">
        <is>
          <t>CoQ-PP_26-080</t>
        </is>
      </c>
      <c r="B1830" s="256" t="inlineStr">
        <is>
          <t>release</t>
        </is>
      </c>
      <c r="C1830" s="256" t="inlineStr">
        <is>
          <t>SCR022601</t>
        </is>
      </c>
      <c r="D1830" s="256" t="inlineStr">
        <is>
          <t>— no P lot assigned —</t>
        </is>
      </c>
      <c r="E1830" s="256" t="inlineStr">
        <is>
          <t>Scrambler</t>
        </is>
      </c>
      <c r="F1830" s="256" t="inlineStr">
        <is>
          <t>13.07.2026</t>
        </is>
      </c>
      <c r="G1830" s="256" t="inlineStr">
        <is>
          <t>9.4</t>
        </is>
      </c>
      <c r="H1830" s="256" t="inlineStr">
        <is>
          <t>Salmonella</t>
        </is>
      </c>
      <c r="I1830" s="256" t="inlineStr">
        <is>
          <t>Ph. Eur. 2.6.31 cat. C</t>
        </is>
      </c>
      <c r="J1830" s="256" t="inlineStr">
        <is>
          <t>Absence | Отсуство / 25 g</t>
        </is>
      </c>
      <c r="K1830" s="259" t="inlineStr">
        <is>
          <t>not tested</t>
        </is>
      </c>
      <c r="L1830" s="256" t="inlineStr">
        <is>
          <t>—</t>
        </is>
      </c>
      <c r="M1830" s="256" t="inlineStr">
        <is>
          <t>—</t>
        </is>
      </c>
      <c r="N1830" s="256" t="inlineStr">
        <is>
          <t>—</t>
        </is>
      </c>
      <c r="O1830" s="256" t="inlineStr">
        <is>
          <t>—</t>
        </is>
      </c>
      <c r="P1830" s="256" t="inlineStr">
        <is>
          <t>not tested — no certificate covers it</t>
        </is>
      </c>
      <c r="Q1830" s="256" t="inlineStr"/>
      <c r="R1830" s="256" t="inlineStr"/>
    </row>
    <row r="1831">
      <c r="A1831" s="256" t="inlineStr">
        <is>
          <t>CoQ-PP_26-080</t>
        </is>
      </c>
      <c r="B1831" s="256" t="inlineStr">
        <is>
          <t>release</t>
        </is>
      </c>
      <c r="C1831" s="256" t="inlineStr">
        <is>
          <t>SCR022601</t>
        </is>
      </c>
      <c r="D1831" s="256" t="inlineStr">
        <is>
          <t>— no P lot assigned —</t>
        </is>
      </c>
      <c r="E1831" s="256" t="inlineStr">
        <is>
          <t>Scrambler</t>
        </is>
      </c>
      <c r="F1831" s="256" t="inlineStr">
        <is>
          <t>13.07.2026</t>
        </is>
      </c>
      <c r="G1831" s="256" t="inlineStr">
        <is>
          <t>9.5</t>
        </is>
      </c>
      <c r="H1831" s="256" t="inlineStr">
        <is>
          <t>Escherichia coli</t>
        </is>
      </c>
      <c r="I1831" s="256" t="inlineStr">
        <is>
          <t>Ph. Eur. 2.6.13 cat. C</t>
        </is>
      </c>
      <c r="J1831" s="256" t="inlineStr">
        <is>
          <t>Absence | Отсуство / 1 g</t>
        </is>
      </c>
      <c r="K1831" s="259" t="inlineStr">
        <is>
          <t>not tested</t>
        </is>
      </c>
      <c r="L1831" s="256" t="inlineStr">
        <is>
          <t>—</t>
        </is>
      </c>
      <c r="M1831" s="256" t="inlineStr">
        <is>
          <t>—</t>
        </is>
      </c>
      <c r="N1831" s="256" t="inlineStr">
        <is>
          <t>—</t>
        </is>
      </c>
      <c r="O1831" s="256" t="inlineStr">
        <is>
          <t>—</t>
        </is>
      </c>
      <c r="P1831" s="256" t="inlineStr">
        <is>
          <t>not tested — no certificate covers it</t>
        </is>
      </c>
      <c r="Q1831" s="256" t="inlineStr"/>
      <c r="R1831" s="256" t="inlineStr"/>
    </row>
    <row r="1832">
      <c r="A1832" s="256" t="inlineStr">
        <is>
          <t>CoQ-PP_26-080</t>
        </is>
      </c>
      <c r="B1832" s="256" t="inlineStr">
        <is>
          <t>release</t>
        </is>
      </c>
      <c r="C1832" s="256" t="inlineStr">
        <is>
          <t>SCR022601</t>
        </is>
      </c>
      <c r="D1832" s="256" t="inlineStr">
        <is>
          <t>— no P lot assigned —</t>
        </is>
      </c>
      <c r="E1832" s="256" t="inlineStr">
        <is>
          <t>Scrambler</t>
        </is>
      </c>
      <c r="F1832" s="256" t="inlineStr">
        <is>
          <t>13.07.2026</t>
        </is>
      </c>
      <c r="G1832" s="256" t="inlineStr">
        <is>
          <t>9.6</t>
        </is>
      </c>
      <c r="H1832" s="256" t="inlineStr">
        <is>
          <t>Pseudomonas aeruginosa</t>
        </is>
      </c>
      <c r="I1832" s="256" t="inlineStr">
        <is>
          <t>Ph. Eur. 2.6.13 cat. C</t>
        </is>
      </c>
      <c r="J1832" s="256" t="inlineStr">
        <is>
          <t>Absence | Отсуство / 1 g</t>
        </is>
      </c>
      <c r="K1832" s="260" t="inlineStr">
        <is>
          <t>upon request — not required for release</t>
        </is>
      </c>
      <c r="L1832" s="256" t="inlineStr">
        <is>
          <t>—</t>
        </is>
      </c>
      <c r="M1832" s="256" t="inlineStr">
        <is>
          <t>—</t>
        </is>
      </c>
      <c r="N1832" s="256" t="inlineStr">
        <is>
          <t>—</t>
        </is>
      </c>
      <c r="O1832" s="256" t="inlineStr">
        <is>
          <t>—</t>
        </is>
      </c>
      <c r="P1832" s="256" t="inlineStr">
        <is>
          <t>upon request — not required for release</t>
        </is>
      </c>
      <c r="Q1832" s="256" t="inlineStr"/>
      <c r="R1832" s="256" t="inlineStr"/>
    </row>
    <row r="1833">
      <c r="A1833" s="256" t="inlineStr">
        <is>
          <t>CoQ-PP_26-080</t>
        </is>
      </c>
      <c r="B1833" s="256" t="inlineStr">
        <is>
          <t>release</t>
        </is>
      </c>
      <c r="C1833" s="256" t="inlineStr">
        <is>
          <t>SCR022601</t>
        </is>
      </c>
      <c r="D1833" s="256" t="inlineStr">
        <is>
          <t>— no P lot assigned —</t>
        </is>
      </c>
      <c r="E1833" s="256" t="inlineStr">
        <is>
          <t>Scrambler</t>
        </is>
      </c>
      <c r="F1833" s="256" t="inlineStr">
        <is>
          <t>13.07.2026</t>
        </is>
      </c>
      <c r="G1833" s="256" t="inlineStr">
        <is>
          <t>9.7</t>
        </is>
      </c>
      <c r="H1833" s="256" t="inlineStr">
        <is>
          <t>Staphylococcus aureus</t>
        </is>
      </c>
      <c r="I1833" s="256" t="inlineStr">
        <is>
          <t>Ph. Eur. 2.6.13 cat. C</t>
        </is>
      </c>
      <c r="J1833" s="256" t="inlineStr">
        <is>
          <t>Absence | Отсуство / 1 g</t>
        </is>
      </c>
      <c r="K1833" s="260" t="inlineStr">
        <is>
          <t>upon request — not required for release</t>
        </is>
      </c>
      <c r="L1833" s="256" t="inlineStr">
        <is>
          <t>—</t>
        </is>
      </c>
      <c r="M1833" s="256" t="inlineStr">
        <is>
          <t>—</t>
        </is>
      </c>
      <c r="N1833" s="256" t="inlineStr">
        <is>
          <t>—</t>
        </is>
      </c>
      <c r="O1833" s="256" t="inlineStr">
        <is>
          <t>—</t>
        </is>
      </c>
      <c r="P1833" s="256" t="inlineStr">
        <is>
          <t>upon request — not required for release</t>
        </is>
      </c>
      <c r="Q1833" s="256" t="inlineStr"/>
      <c r="R1833" s="256" t="inlineStr"/>
    </row>
    <row r="1834">
      <c r="A1834" s="256" t="inlineStr">
        <is>
          <t>CoQ-PP_26-080</t>
        </is>
      </c>
      <c r="B1834" s="256" t="inlineStr">
        <is>
          <t>release</t>
        </is>
      </c>
      <c r="C1834" s="256" t="inlineStr">
        <is>
          <t>SCR022601</t>
        </is>
      </c>
      <c r="D1834" s="256" t="inlineStr">
        <is>
          <t>— no P lot assigned —</t>
        </is>
      </c>
      <c r="E1834" s="256" t="inlineStr">
        <is>
          <t>Scrambler</t>
        </is>
      </c>
      <c r="F1834" s="256" t="inlineStr">
        <is>
          <t>13.07.2026</t>
        </is>
      </c>
      <c r="G1834" s="256" t="inlineStr">
        <is>
          <t>10.1</t>
        </is>
      </c>
      <c r="H1834" s="256" t="inlineStr">
        <is>
          <t>Aflatoxin B₁</t>
        </is>
      </c>
      <c r="I1834" s="256" t="inlineStr">
        <is>
          <t>Ph. Eur. 2.8.18 (HPLC-FLD)</t>
        </is>
      </c>
      <c r="J1834" s="256" t="inlineStr">
        <is>
          <t>≤ 2 µg/kg</t>
        </is>
      </c>
      <c r="K1834" s="259" t="inlineStr">
        <is>
          <t>not tested</t>
        </is>
      </c>
      <c r="L1834" s="256" t="inlineStr">
        <is>
          <t>—</t>
        </is>
      </c>
      <c r="M1834" s="256" t="inlineStr">
        <is>
          <t>—</t>
        </is>
      </c>
      <c r="N1834" s="256" t="inlineStr">
        <is>
          <t>—</t>
        </is>
      </c>
      <c r="O1834" s="256" t="inlineStr">
        <is>
          <t>—</t>
        </is>
      </c>
      <c r="P1834" s="256" t="inlineStr">
        <is>
          <t>not tested — no certificate covers it</t>
        </is>
      </c>
      <c r="Q1834" s="256" t="inlineStr"/>
      <c r="R1834" s="256" t="inlineStr"/>
    </row>
    <row r="1835">
      <c r="A1835" s="256" t="inlineStr">
        <is>
          <t>CoQ-PP_26-080</t>
        </is>
      </c>
      <c r="B1835" s="256" t="inlineStr">
        <is>
          <t>release</t>
        </is>
      </c>
      <c r="C1835" s="256" t="inlineStr">
        <is>
          <t>SCR022601</t>
        </is>
      </c>
      <c r="D1835" s="256" t="inlineStr">
        <is>
          <t>— no P lot assigned —</t>
        </is>
      </c>
      <c r="E1835" s="256" t="inlineStr">
        <is>
          <t>Scrambler</t>
        </is>
      </c>
      <c r="F1835" s="256" t="inlineStr">
        <is>
          <t>13.07.2026</t>
        </is>
      </c>
      <c r="G1835" s="256" t="inlineStr">
        <is>
          <t>10.2</t>
        </is>
      </c>
      <c r="H1835" s="256" t="inlineStr">
        <is>
          <t>Aflatoxins ∑</t>
        </is>
      </c>
      <c r="I1835" s="256" t="inlineStr">
        <is>
          <t>Ph. Eur. 2.8.18 (HPLC-FLD)</t>
        </is>
      </c>
      <c r="J1835" s="256" t="inlineStr">
        <is>
          <t>≤ 4 µg/kg</t>
        </is>
      </c>
      <c r="K1835" s="259" t="inlineStr">
        <is>
          <t>not tested</t>
        </is>
      </c>
      <c r="L1835" s="256" t="inlineStr">
        <is>
          <t>—</t>
        </is>
      </c>
      <c r="M1835" s="256" t="inlineStr">
        <is>
          <t>—</t>
        </is>
      </c>
      <c r="N1835" s="256" t="inlineStr">
        <is>
          <t>—</t>
        </is>
      </c>
      <c r="O1835" s="256" t="inlineStr">
        <is>
          <t>—</t>
        </is>
      </c>
      <c r="P1835" s="256" t="inlineStr">
        <is>
          <t>not tested — no certificate covers it</t>
        </is>
      </c>
      <c r="Q1835" s="256" t="inlineStr"/>
      <c r="R1835" s="256" t="inlineStr"/>
    </row>
    <row r="1836">
      <c r="A1836" s="256" t="inlineStr">
        <is>
          <t>CoQ-PP_26-080</t>
        </is>
      </c>
      <c r="B1836" s="256" t="inlineStr">
        <is>
          <t>release</t>
        </is>
      </c>
      <c r="C1836" s="256" t="inlineStr">
        <is>
          <t>SCR022601</t>
        </is>
      </c>
      <c r="D1836" s="256" t="inlineStr">
        <is>
          <t>— no P lot assigned —</t>
        </is>
      </c>
      <c r="E1836" s="256" t="inlineStr">
        <is>
          <t>Scrambler</t>
        </is>
      </c>
      <c r="F1836" s="256" t="inlineStr">
        <is>
          <t>13.07.2026</t>
        </is>
      </c>
      <c r="G1836" s="256" t="inlineStr">
        <is>
          <t>10.3</t>
        </is>
      </c>
      <c r="H1836" s="256" t="inlineStr">
        <is>
          <t>Ochratoxin A</t>
        </is>
      </c>
      <c r="I1836" s="256" t="inlineStr">
        <is>
          <t>Ph. Eur. 2.8.22 (HPLC-FLD)</t>
        </is>
      </c>
      <c r="J1836" s="256" t="inlineStr">
        <is>
          <t>≤ 20 µg/kg</t>
        </is>
      </c>
      <c r="K1836" s="259" t="inlineStr">
        <is>
          <t>not tested</t>
        </is>
      </c>
      <c r="L1836" s="256" t="inlineStr">
        <is>
          <t>—</t>
        </is>
      </c>
      <c r="M1836" s="256" t="inlineStr">
        <is>
          <t>—</t>
        </is>
      </c>
      <c r="N1836" s="256" t="inlineStr">
        <is>
          <t>—</t>
        </is>
      </c>
      <c r="O1836" s="256" t="inlineStr">
        <is>
          <t>—</t>
        </is>
      </c>
      <c r="P1836" s="256" t="inlineStr">
        <is>
          <t>not tested — no certificate covers it</t>
        </is>
      </c>
      <c r="Q1836" s="256" t="inlineStr"/>
      <c r="R1836" s="256" t="inlineStr"/>
    </row>
    <row r="1837">
      <c r="A1837" s="256" t="inlineStr">
        <is>
          <t>CoQ-PP_26-080</t>
        </is>
      </c>
      <c r="B1837" s="256" t="inlineStr">
        <is>
          <t>release</t>
        </is>
      </c>
      <c r="C1837" s="256" t="inlineStr">
        <is>
          <t>SCR022601</t>
        </is>
      </c>
      <c r="D1837" s="256" t="inlineStr">
        <is>
          <t>— no P lot assigned —</t>
        </is>
      </c>
      <c r="E1837" s="256" t="inlineStr">
        <is>
          <t>Scrambler</t>
        </is>
      </c>
      <c r="F1837" s="256" t="inlineStr">
        <is>
          <t>13.07.2026</t>
        </is>
      </c>
      <c r="G1837" s="256" t="inlineStr">
        <is>
          <t>11.1</t>
        </is>
      </c>
      <c r="H1837" s="256" t="inlineStr">
        <is>
          <t>Lead (Pb)</t>
        </is>
      </c>
      <c r="I1837" s="256" t="inlineStr">
        <is>
          <t>Ph. Eur. 2.4.27 (ICP-MS)</t>
        </is>
      </c>
      <c r="J1837" s="256" t="inlineStr">
        <is>
          <t>≤ 0.5 mg/kg</t>
        </is>
      </c>
      <c r="K1837" s="259" t="inlineStr">
        <is>
          <t>not tested</t>
        </is>
      </c>
      <c r="L1837" s="256" t="inlineStr">
        <is>
          <t>—</t>
        </is>
      </c>
      <c r="M1837" s="256" t="inlineStr">
        <is>
          <t>—</t>
        </is>
      </c>
      <c r="N1837" s="256" t="inlineStr">
        <is>
          <t>—</t>
        </is>
      </c>
      <c r="O1837" s="256" t="inlineStr">
        <is>
          <t>—</t>
        </is>
      </c>
      <c r="P1837" s="256" t="inlineStr">
        <is>
          <t>not tested — no certificate covers it</t>
        </is>
      </c>
      <c r="Q1837" s="256" t="inlineStr"/>
      <c r="R1837" s="256" t="inlineStr"/>
    </row>
    <row r="1838">
      <c r="A1838" s="256" t="inlineStr">
        <is>
          <t>CoQ-PP_26-080</t>
        </is>
      </c>
      <c r="B1838" s="256" t="inlineStr">
        <is>
          <t>release</t>
        </is>
      </c>
      <c r="C1838" s="256" t="inlineStr">
        <is>
          <t>SCR022601</t>
        </is>
      </c>
      <c r="D1838" s="256" t="inlineStr">
        <is>
          <t>— no P lot assigned —</t>
        </is>
      </c>
      <c r="E1838" s="256" t="inlineStr">
        <is>
          <t>Scrambler</t>
        </is>
      </c>
      <c r="F1838" s="256" t="inlineStr">
        <is>
          <t>13.07.2026</t>
        </is>
      </c>
      <c r="G1838" s="256" t="inlineStr">
        <is>
          <t>11.2</t>
        </is>
      </c>
      <c r="H1838" s="256" t="inlineStr">
        <is>
          <t>Cadmium (Cd)</t>
        </is>
      </c>
      <c r="I1838" s="256" t="inlineStr">
        <is>
          <t>Ph. Eur. 2.4.27 (ICP-MS)</t>
        </is>
      </c>
      <c r="J1838" s="256" t="inlineStr">
        <is>
          <t>≤ 0.3 mg/kg</t>
        </is>
      </c>
      <c r="K1838" s="259" t="inlineStr">
        <is>
          <t>not tested</t>
        </is>
      </c>
      <c r="L1838" s="256" t="inlineStr">
        <is>
          <t>—</t>
        </is>
      </c>
      <c r="M1838" s="256" t="inlineStr">
        <is>
          <t>—</t>
        </is>
      </c>
      <c r="N1838" s="256" t="inlineStr">
        <is>
          <t>—</t>
        </is>
      </c>
      <c r="O1838" s="256" t="inlineStr">
        <is>
          <t>—</t>
        </is>
      </c>
      <c r="P1838" s="256" t="inlineStr">
        <is>
          <t>not tested — no certificate covers it</t>
        </is>
      </c>
      <c r="Q1838" s="256" t="inlineStr"/>
      <c r="R1838" s="256" t="inlineStr"/>
    </row>
    <row r="1839">
      <c r="A1839" s="256" t="inlineStr">
        <is>
          <t>CoQ-PP_26-080</t>
        </is>
      </c>
      <c r="B1839" s="256" t="inlineStr">
        <is>
          <t>release</t>
        </is>
      </c>
      <c r="C1839" s="256" t="inlineStr">
        <is>
          <t>SCR022601</t>
        </is>
      </c>
      <c r="D1839" s="256" t="inlineStr">
        <is>
          <t>— no P lot assigned —</t>
        </is>
      </c>
      <c r="E1839" s="256" t="inlineStr">
        <is>
          <t>Scrambler</t>
        </is>
      </c>
      <c r="F1839" s="256" t="inlineStr">
        <is>
          <t>13.07.2026</t>
        </is>
      </c>
      <c r="G1839" s="256" t="inlineStr">
        <is>
          <t>11.3</t>
        </is>
      </c>
      <c r="H1839" s="256" t="inlineStr">
        <is>
          <t>Arsenic (As)</t>
        </is>
      </c>
      <c r="I1839" s="256" t="inlineStr">
        <is>
          <t>Ph. Eur. 2.4.27 (ICP-MS)</t>
        </is>
      </c>
      <c r="J1839" s="256" t="inlineStr">
        <is>
          <t>≤ 0.2 mg/kg</t>
        </is>
      </c>
      <c r="K1839" s="259" t="inlineStr">
        <is>
          <t>not tested</t>
        </is>
      </c>
      <c r="L1839" s="256" t="inlineStr">
        <is>
          <t>—</t>
        </is>
      </c>
      <c r="M1839" s="256" t="inlineStr">
        <is>
          <t>—</t>
        </is>
      </c>
      <c r="N1839" s="256" t="inlineStr">
        <is>
          <t>—</t>
        </is>
      </c>
      <c r="O1839" s="256" t="inlineStr">
        <is>
          <t>—</t>
        </is>
      </c>
      <c r="P1839" s="256" t="inlineStr">
        <is>
          <t>not tested — no certificate covers it</t>
        </is>
      </c>
      <c r="Q1839" s="256" t="inlineStr"/>
      <c r="R1839" s="256" t="inlineStr"/>
    </row>
    <row r="1840">
      <c r="A1840" s="256" t="inlineStr">
        <is>
          <t>CoQ-PP_26-080</t>
        </is>
      </c>
      <c r="B1840" s="256" t="inlineStr">
        <is>
          <t>release</t>
        </is>
      </c>
      <c r="C1840" s="256" t="inlineStr">
        <is>
          <t>SCR022601</t>
        </is>
      </c>
      <c r="D1840" s="256" t="inlineStr">
        <is>
          <t>— no P lot assigned —</t>
        </is>
      </c>
      <c r="E1840" s="256" t="inlineStr">
        <is>
          <t>Scrambler</t>
        </is>
      </c>
      <c r="F1840" s="256" t="inlineStr">
        <is>
          <t>13.07.2026</t>
        </is>
      </c>
      <c r="G1840" s="256" t="inlineStr">
        <is>
          <t>11.4</t>
        </is>
      </c>
      <c r="H1840" s="256" t="inlineStr">
        <is>
          <t>Mercury (Hg)</t>
        </is>
      </c>
      <c r="I1840" s="256" t="inlineStr">
        <is>
          <t>Ph. Eur. 2.4.27 (ICP-MS)</t>
        </is>
      </c>
      <c r="J1840" s="256" t="inlineStr">
        <is>
          <t>≤ 0.1 mg/kg</t>
        </is>
      </c>
      <c r="K1840" s="259" t="inlineStr">
        <is>
          <t>not tested</t>
        </is>
      </c>
      <c r="L1840" s="256" t="inlineStr">
        <is>
          <t>—</t>
        </is>
      </c>
      <c r="M1840" s="256" t="inlineStr">
        <is>
          <t>—</t>
        </is>
      </c>
      <c r="N1840" s="256" t="inlineStr">
        <is>
          <t>—</t>
        </is>
      </c>
      <c r="O1840" s="256" t="inlineStr">
        <is>
          <t>—</t>
        </is>
      </c>
      <c r="P1840" s="256" t="inlineStr">
        <is>
          <t>not tested — no certificate covers it</t>
        </is>
      </c>
      <c r="Q1840" s="256" t="inlineStr"/>
      <c r="R1840" s="256" t="inlineStr"/>
    </row>
    <row r="1841">
      <c r="A1841" s="256" t="inlineStr">
        <is>
          <t>CoQ-PP_26-080</t>
        </is>
      </c>
      <c r="B1841" s="256" t="inlineStr">
        <is>
          <t>release</t>
        </is>
      </c>
      <c r="C1841" s="256" t="inlineStr">
        <is>
          <t>SCR022601</t>
        </is>
      </c>
      <c r="D1841" s="256" t="inlineStr">
        <is>
          <t>— no P lot assigned —</t>
        </is>
      </c>
      <c r="E1841" s="256" t="inlineStr">
        <is>
          <t>Scrambler</t>
        </is>
      </c>
      <c r="F1841" s="256" t="inlineStr">
        <is>
          <t>13.07.2026</t>
        </is>
      </c>
      <c r="G1841" s="256" t="inlineStr">
        <is>
          <t>12</t>
        </is>
      </c>
      <c r="H1841" s="256" t="inlineStr">
        <is>
          <t>Pesticide Residues</t>
        </is>
      </c>
      <c r="I1841" s="256" t="inlineStr">
        <is>
          <t>Ph. Eur. 2.8.13 (LC-MS/MS) · CUMCS Equivalency</t>
        </is>
      </c>
      <c r="J1841" s="256" t="inlineStr">
        <is>
          <t>≤ LOQ as per Ph. Eur. 2.8.13 · ≤ LOQ as per CUMCS Equivalency</t>
        </is>
      </c>
      <c r="K1841" s="259" t="inlineStr">
        <is>
          <t>not tested</t>
        </is>
      </c>
      <c r="L1841" s="256" t="inlineStr">
        <is>
          <t>—</t>
        </is>
      </c>
      <c r="M1841" s="256" t="inlineStr">
        <is>
          <t>—</t>
        </is>
      </c>
      <c r="N1841" s="256" t="inlineStr">
        <is>
          <t>—</t>
        </is>
      </c>
      <c r="O1841" s="256" t="inlineStr">
        <is>
          <t>—</t>
        </is>
      </c>
      <c r="P1841" s="256" t="inlineStr">
        <is>
          <t>not tested — no certificate covers it</t>
        </is>
      </c>
      <c r="Q1841" s="256" t="inlineStr"/>
      <c r="R1841" s="256" t="inlineStr"/>
    </row>
    <row r="1842">
      <c r="A1842" s="256" t="inlineStr">
        <is>
          <t>CoQ-PP_26-081</t>
        </is>
      </c>
      <c r="B1842" s="256" t="inlineStr">
        <is>
          <t>release</t>
        </is>
      </c>
      <c r="C1842" s="256" t="inlineStr">
        <is>
          <t>FB032601</t>
        </is>
      </c>
      <c r="D1842" s="256" t="inlineStr">
        <is>
          <t>— no P lot assigned —</t>
        </is>
      </c>
      <c r="E1842" s="256" t="inlineStr">
        <is>
          <t>Fat Bastard</t>
        </is>
      </c>
      <c r="F1842" s="256" t="inlineStr">
        <is>
          <t>28.07.2026</t>
        </is>
      </c>
      <c r="G1842" s="256" t="inlineStr">
        <is>
          <t>1</t>
        </is>
      </c>
      <c r="H1842" s="256" t="inlineStr">
        <is>
          <t>Identification A, Appearance · Macroscopic</t>
        </is>
      </c>
      <c r="I1842" s="256" t="inlineStr">
        <is>
          <t>Ph. Eur. mon. 3028</t>
        </is>
      </c>
      <c r="J1842" s="256" t="inlineStr">
        <is>
          <t>Conforms to the monograph for Cannabis flos (07/2024:3028) in Ph. Eur. 11.0 | Согласно монографија за Cannabis flos (07/2024:3028) во Ph. Eur. 11.0</t>
        </is>
      </c>
      <c r="K1842" s="256" t="inlineStr">
        <is>
          <t>Conforms | Одговара</t>
        </is>
      </c>
      <c r="L1842" s="256" t="inlineStr">
        <is>
          <t>ППК26127</t>
        </is>
      </c>
      <c r="M1842" s="256" t="inlineStr">
        <is>
          <t>21.07.2026</t>
        </is>
      </c>
      <c r="N1842" s="256" t="inlineStr">
        <is>
          <t>UKIM Faculty of Pharmacy — Center for Natural Products</t>
        </is>
      </c>
      <c r="O1842" s="256" t="inlineStr">
        <is>
          <t>02.07.2026</t>
        </is>
      </c>
      <c r="P1842" s="256" t="inlineStr">
        <is>
          <t>covered</t>
        </is>
      </c>
      <c r="Q1842" s="256" t="inlineStr"/>
      <c r="R1842" s="256" t="inlineStr"/>
    </row>
    <row r="1843">
      <c r="A1843" s="256" t="inlineStr">
        <is>
          <t>CoQ-PP_26-081</t>
        </is>
      </c>
      <c r="B1843" s="256" t="inlineStr">
        <is>
          <t>release</t>
        </is>
      </c>
      <c r="C1843" s="256" t="inlineStr">
        <is>
          <t>FB032601</t>
        </is>
      </c>
      <c r="D1843" s="256" t="inlineStr">
        <is>
          <t>— no P lot assigned —</t>
        </is>
      </c>
      <c r="E1843" s="256" t="inlineStr">
        <is>
          <t>Fat Bastard</t>
        </is>
      </c>
      <c r="F1843" s="256" t="inlineStr">
        <is>
          <t>28.07.2026</t>
        </is>
      </c>
      <c r="G1843" s="256" t="inlineStr">
        <is>
          <t>2</t>
        </is>
      </c>
      <c r="H1843" s="256" t="inlineStr">
        <is>
          <t>Identification B · Microscopic</t>
        </is>
      </c>
      <c r="I1843" s="256" t="inlineStr">
        <is>
          <t>Ph. Eur. 2.8.23 (microscopy)</t>
        </is>
      </c>
      <c r="J1843" s="256" t="inlineStr">
        <is>
          <t>Conforms to the monograph for Cannabis flos (07/2024:3028) in Ph. Eur. 11.0 | Согласно монографија за Cannabis flos (07/2024:3028) во Ph. Eur. 11.0</t>
        </is>
      </c>
      <c r="K1843" s="256" t="inlineStr">
        <is>
          <t>Conforms | Одговара</t>
        </is>
      </c>
      <c r="L1843" s="256" t="inlineStr">
        <is>
          <t>ППК26127</t>
        </is>
      </c>
      <c r="M1843" s="256" t="inlineStr">
        <is>
          <t>21.07.2026</t>
        </is>
      </c>
      <c r="N1843" s="256" t="inlineStr">
        <is>
          <t>UKIM Faculty of Pharmacy — Center for Natural Products</t>
        </is>
      </c>
      <c r="O1843" s="256" t="inlineStr">
        <is>
          <t>02.07.2026</t>
        </is>
      </c>
      <c r="P1843" s="256" t="inlineStr">
        <is>
          <t>covered</t>
        </is>
      </c>
      <c r="Q1843" s="256" t="inlineStr"/>
      <c r="R1843" s="256" t="inlineStr"/>
    </row>
    <row r="1844">
      <c r="A1844" s="256" t="inlineStr">
        <is>
          <t>CoQ-PP_26-081</t>
        </is>
      </c>
      <c r="B1844" s="256" t="inlineStr">
        <is>
          <t>release</t>
        </is>
      </c>
      <c r="C1844" s="256" t="inlineStr">
        <is>
          <t>FB032601</t>
        </is>
      </c>
      <c r="D1844" s="256" t="inlineStr">
        <is>
          <t>— no P lot assigned —</t>
        </is>
      </c>
      <c r="E1844" s="256" t="inlineStr">
        <is>
          <t>Fat Bastard</t>
        </is>
      </c>
      <c r="F1844" s="256" t="inlineStr">
        <is>
          <t>28.07.2026</t>
        </is>
      </c>
      <c r="G1844" s="256" t="inlineStr">
        <is>
          <t>3</t>
        </is>
      </c>
      <c r="H1844" s="256" t="inlineStr">
        <is>
          <t>Identification C · HPLC/HPTLC</t>
        </is>
      </c>
      <c r="I1844" s="256" t="inlineStr">
        <is>
          <t>Ph. Eur. 2.2.29 (3028)</t>
        </is>
      </c>
      <c r="J1844" s="256" t="inlineStr">
        <is>
          <t>Conforms to the monograph for Cannabis flos (07/2024:3028) in Ph. Eur. 11.0 | Согласно монографија за Cannabis flos (07/2024:3028) во Ph. Eur. 11.0</t>
        </is>
      </c>
      <c r="K1844" s="256" t="inlineStr">
        <is>
          <t>Conforms | Одговара</t>
        </is>
      </c>
      <c r="L1844" s="256" t="inlineStr">
        <is>
          <t>ППК26127</t>
        </is>
      </c>
      <c r="M1844" s="256" t="inlineStr">
        <is>
          <t>21.07.2026</t>
        </is>
      </c>
      <c r="N1844" s="256" t="inlineStr">
        <is>
          <t>UKIM Faculty of Pharmacy — Center for Natural Products</t>
        </is>
      </c>
      <c r="O1844" s="256" t="inlineStr">
        <is>
          <t>02.07.2026</t>
        </is>
      </c>
      <c r="P1844" s="256" t="inlineStr">
        <is>
          <t>covered</t>
        </is>
      </c>
      <c r="Q1844" s="256" t="inlineStr"/>
      <c r="R1844" s="256" t="inlineStr"/>
    </row>
    <row r="1845">
      <c r="A1845" s="256" t="inlineStr">
        <is>
          <t>CoQ-PP_26-081</t>
        </is>
      </c>
      <c r="B1845" s="256" t="inlineStr">
        <is>
          <t>release</t>
        </is>
      </c>
      <c r="C1845" s="256" t="inlineStr">
        <is>
          <t>FB032601</t>
        </is>
      </c>
      <c r="D1845" s="256" t="inlineStr">
        <is>
          <t>— no P lot assigned —</t>
        </is>
      </c>
      <c r="E1845" s="256" t="inlineStr">
        <is>
          <t>Fat Bastard</t>
        </is>
      </c>
      <c r="F1845" s="256" t="inlineStr">
        <is>
          <t>28.07.2026</t>
        </is>
      </c>
      <c r="G1845" s="256" t="inlineStr">
        <is>
          <t>4</t>
        </is>
      </c>
      <c r="H1845" s="256" t="inlineStr">
        <is>
          <t>Assay — Total Δ⁹-THC</t>
        </is>
      </c>
      <c r="I1845" s="256" t="inlineStr">
        <is>
          <t>Ph. Eur. 2.2.29 (HPLC)</t>
        </is>
      </c>
      <c r="J1845" s="256" t="inlineStr">
        <is>
          <t>10.80 – 13.19 %  (grade IV, nominal 12.00 ± 1.20)</t>
        </is>
      </c>
      <c r="K1845" s="256" t="inlineStr">
        <is>
          <t>12.39</t>
        </is>
      </c>
      <c r="L1845" s="256" t="inlineStr">
        <is>
          <t>ППК26127</t>
        </is>
      </c>
      <c r="M1845" s="256" t="inlineStr">
        <is>
          <t>21.07.2026</t>
        </is>
      </c>
      <c r="N1845" s="256" t="inlineStr">
        <is>
          <t>UKIM Faculty of Pharmacy — Center for Natural Products</t>
        </is>
      </c>
      <c r="O1845" s="256" t="inlineStr">
        <is>
          <t>02.07.2026</t>
        </is>
      </c>
      <c r="P1845" s="256" t="inlineStr">
        <is>
          <t>covered</t>
        </is>
      </c>
      <c r="Q1845" s="256" t="inlineStr"/>
      <c r="R1845" s="256" t="inlineStr"/>
    </row>
    <row r="1846">
      <c r="A1846" s="256" t="inlineStr">
        <is>
          <t>CoQ-PP_26-081</t>
        </is>
      </c>
      <c r="B1846" s="256" t="inlineStr">
        <is>
          <t>release</t>
        </is>
      </c>
      <c r="C1846" s="256" t="inlineStr">
        <is>
          <t>FB032601</t>
        </is>
      </c>
      <c r="D1846" s="256" t="inlineStr">
        <is>
          <t>— no P lot assigned —</t>
        </is>
      </c>
      <c r="E1846" s="256" t="inlineStr">
        <is>
          <t>Fat Bastard</t>
        </is>
      </c>
      <c r="F1846" s="256" t="inlineStr">
        <is>
          <t>28.07.2026</t>
        </is>
      </c>
      <c r="G1846" s="256" t="inlineStr">
        <is>
          <t>5</t>
        </is>
      </c>
      <c r="H1846" s="256" t="inlineStr">
        <is>
          <t>Assay — Total CBD</t>
        </is>
      </c>
      <c r="I1846" s="256" t="inlineStr">
        <is>
          <t>Ph. Eur. 2.2.29 (HPLC) · CBD + CBDA x 0.877</t>
        </is>
      </c>
      <c r="J1846" s="256" t="inlineStr">
        <is>
          <t>≤ 1.0%, w/w</t>
        </is>
      </c>
      <c r="K1846" s="256" t="inlineStr">
        <is>
          <t>0.06</t>
        </is>
      </c>
      <c r="L1846" s="256" t="inlineStr">
        <is>
          <t>ППК26127</t>
        </is>
      </c>
      <c r="M1846" s="256" t="inlineStr">
        <is>
          <t>21.07.2026</t>
        </is>
      </c>
      <c r="N1846" s="256" t="inlineStr">
        <is>
          <t>UKIM Faculty of Pharmacy — Center for Natural Products</t>
        </is>
      </c>
      <c r="O1846" s="256" t="inlineStr">
        <is>
          <t>02.07.2026</t>
        </is>
      </c>
      <c r="P1846" s="256" t="inlineStr">
        <is>
          <t>covered</t>
        </is>
      </c>
      <c r="Q1846" s="256" t="inlineStr"/>
      <c r="R1846" s="256" t="inlineStr"/>
    </row>
    <row r="1847">
      <c r="A1847" s="256" t="inlineStr">
        <is>
          <t>CoQ-PP_26-081</t>
        </is>
      </c>
      <c r="B1847" s="256" t="inlineStr">
        <is>
          <t>release</t>
        </is>
      </c>
      <c r="C1847" s="256" t="inlineStr">
        <is>
          <t>FB032601</t>
        </is>
      </c>
      <c r="D1847" s="256" t="inlineStr">
        <is>
          <t>— no P lot assigned —</t>
        </is>
      </c>
      <c r="E1847" s="256" t="inlineStr">
        <is>
          <t>Fat Bastard</t>
        </is>
      </c>
      <c r="F1847" s="256" t="inlineStr">
        <is>
          <t>28.07.2026</t>
        </is>
      </c>
      <c r="G1847" s="256" t="inlineStr">
        <is>
          <t>6</t>
        </is>
      </c>
      <c r="H1847" s="256" t="inlineStr">
        <is>
          <t>Total CBN</t>
        </is>
      </c>
      <c r="I1847" s="256" t="inlineStr">
        <is>
          <t>Ph. Eur. 2.2.29 (HPLC) · CBN + CBNA x 0.876</t>
        </is>
      </c>
      <c r="J1847" s="256" t="inlineStr">
        <is>
          <t>≤ 1.0%, w/w</t>
        </is>
      </c>
      <c r="K1847" s="256" t="inlineStr">
        <is>
          <t>0.04</t>
        </is>
      </c>
      <c r="L1847" s="256" t="inlineStr">
        <is>
          <t>ППК26127</t>
        </is>
      </c>
      <c r="M1847" s="256" t="inlineStr">
        <is>
          <t>21.07.2026</t>
        </is>
      </c>
      <c r="N1847" s="256" t="inlineStr">
        <is>
          <t>UKIM Faculty of Pharmacy — Center for Natural Products</t>
        </is>
      </c>
      <c r="O1847" s="256" t="inlineStr">
        <is>
          <t>02.07.2026</t>
        </is>
      </c>
      <c r="P1847" s="256" t="inlineStr">
        <is>
          <t>covered</t>
        </is>
      </c>
      <c r="Q1847" s="256" t="inlineStr"/>
      <c r="R1847" s="256" t="inlineStr"/>
    </row>
    <row r="1848">
      <c r="A1848" s="256" t="inlineStr">
        <is>
          <t>CoQ-PP_26-081</t>
        </is>
      </c>
      <c r="B1848" s="256" t="inlineStr">
        <is>
          <t>release</t>
        </is>
      </c>
      <c r="C1848" s="256" t="inlineStr">
        <is>
          <t>FB032601</t>
        </is>
      </c>
      <c r="D1848" s="256" t="inlineStr">
        <is>
          <t>— no P lot assigned —</t>
        </is>
      </c>
      <c r="E1848" s="256" t="inlineStr">
        <is>
          <t>Fat Bastard</t>
        </is>
      </c>
      <c r="F1848" s="256" t="inlineStr">
        <is>
          <t>28.07.2026</t>
        </is>
      </c>
      <c r="G1848" s="256" t="inlineStr">
        <is>
          <t>7</t>
        </is>
      </c>
      <c r="H1848" s="256" t="inlineStr">
        <is>
          <t>Foreign Matter</t>
        </is>
      </c>
      <c r="I1848" s="256" t="inlineStr">
        <is>
          <t>Ph. Eur. 2.8.2 · In-house · интерна</t>
        </is>
      </c>
      <c r="J1848" s="256" t="inlineStr">
        <is>
          <t>≤ 2.0% / 25–50 g · &lt; 1 cm leaves | листови, no seeds | без семки</t>
        </is>
      </c>
      <c r="K1848" s="256" t="inlineStr">
        <is>
          <t>Conforms | Одговара</t>
        </is>
      </c>
      <c r="L1848" s="256" t="inlineStr">
        <is>
          <t>ППК26127</t>
        </is>
      </c>
      <c r="M1848" s="256" t="inlineStr">
        <is>
          <t>21.07.2026</t>
        </is>
      </c>
      <c r="N1848" s="256" t="inlineStr">
        <is>
          <t>UKIM Faculty of Pharmacy — Center for Natural Products</t>
        </is>
      </c>
      <c r="O1848" s="256" t="inlineStr">
        <is>
          <t>02.07.2026</t>
        </is>
      </c>
      <c r="P1848" s="256" t="inlineStr">
        <is>
          <t>BLOCKED — declared out of specification by the laboratory</t>
        </is>
      </c>
      <c r="Q1848" s="256" t="inlineStr"/>
      <c r="R1848" s="256" t="inlineStr"/>
    </row>
    <row r="1849">
      <c r="A1849" s="256" t="inlineStr">
        <is>
          <t>CoQ-PP_26-081</t>
        </is>
      </c>
      <c r="B1849" s="256" t="inlineStr">
        <is>
          <t>release</t>
        </is>
      </c>
      <c r="C1849" s="256" t="inlineStr">
        <is>
          <t>FB032601</t>
        </is>
      </c>
      <c r="D1849" s="256" t="inlineStr">
        <is>
          <t>— no P lot assigned —</t>
        </is>
      </c>
      <c r="E1849" s="256" t="inlineStr">
        <is>
          <t>Fat Bastard</t>
        </is>
      </c>
      <c r="F1849" s="256" t="inlineStr">
        <is>
          <t>28.07.2026</t>
        </is>
      </c>
      <c r="G1849" s="256" t="inlineStr">
        <is>
          <t>8</t>
        </is>
      </c>
      <c r="H1849" s="256" t="inlineStr">
        <is>
          <t>Loss on Drying</t>
        </is>
      </c>
      <c r="I1849" s="256" t="inlineStr">
        <is>
          <t>Ph. Eur. 2.2.32 (3028) · at 40 °C, 24 h, 15–25 mbar</t>
        </is>
      </c>
      <c r="J1849" s="256" t="inlineStr">
        <is>
          <t>≤ 12.0%</t>
        </is>
      </c>
      <c r="K1849" s="256" t="inlineStr">
        <is>
          <t>7.77</t>
        </is>
      </c>
      <c r="L1849" s="256" t="inlineStr">
        <is>
          <t>ППК26127</t>
        </is>
      </c>
      <c r="M1849" s="256" t="inlineStr">
        <is>
          <t>21.07.2026</t>
        </is>
      </c>
      <c r="N1849" s="256" t="inlineStr">
        <is>
          <t>UKIM Faculty of Pharmacy — Center for Natural Products</t>
        </is>
      </c>
      <c r="O1849" s="256" t="inlineStr">
        <is>
          <t>02.07.2026</t>
        </is>
      </c>
      <c r="P1849" s="256" t="inlineStr">
        <is>
          <t>covered</t>
        </is>
      </c>
      <c r="Q1849" s="256" t="inlineStr"/>
      <c r="R1849" s="256" t="inlineStr"/>
    </row>
    <row r="1850">
      <c r="A1850" s="256" t="inlineStr">
        <is>
          <t>CoQ-PP_26-081</t>
        </is>
      </c>
      <c r="B1850" s="256" t="inlineStr">
        <is>
          <t>release</t>
        </is>
      </c>
      <c r="C1850" s="256" t="inlineStr">
        <is>
          <t>FB032601</t>
        </is>
      </c>
      <c r="D1850" s="256" t="inlineStr">
        <is>
          <t>— no P lot assigned —</t>
        </is>
      </c>
      <c r="E1850" s="256" t="inlineStr">
        <is>
          <t>Fat Bastard</t>
        </is>
      </c>
      <c r="F1850" s="256" t="inlineStr">
        <is>
          <t>28.07.2026</t>
        </is>
      </c>
      <c r="G1850" s="256" t="inlineStr">
        <is>
          <t>9.1</t>
        </is>
      </c>
      <c r="H1850" s="256" t="inlineStr">
        <is>
          <t>TAMC</t>
        </is>
      </c>
      <c r="I1850" s="256" t="inlineStr">
        <is>
          <t>Ph. Eur. 2.6.12 cat. C</t>
        </is>
      </c>
      <c r="J1850" s="256" t="inlineStr">
        <is>
          <t>≤ 10⁵ CFU/g</t>
        </is>
      </c>
      <c r="K1850" s="259" t="inlineStr">
        <is>
          <t>not tested</t>
        </is>
      </c>
      <c r="L1850" s="256" t="inlineStr">
        <is>
          <t>—</t>
        </is>
      </c>
      <c r="M1850" s="256" t="inlineStr">
        <is>
          <t>—</t>
        </is>
      </c>
      <c r="N1850" s="256" t="inlineStr">
        <is>
          <t>—</t>
        </is>
      </c>
      <c r="O1850" s="256" t="inlineStr">
        <is>
          <t>—</t>
        </is>
      </c>
      <c r="P1850" s="256" t="inlineStr">
        <is>
          <t>not tested — no certificate covers it</t>
        </is>
      </c>
      <c r="Q1850" s="256" t="inlineStr"/>
      <c r="R1850" s="256" t="inlineStr"/>
    </row>
    <row r="1851">
      <c r="A1851" s="256" t="inlineStr">
        <is>
          <t>CoQ-PP_26-081</t>
        </is>
      </c>
      <c r="B1851" s="256" t="inlineStr">
        <is>
          <t>release</t>
        </is>
      </c>
      <c r="C1851" s="256" t="inlineStr">
        <is>
          <t>FB032601</t>
        </is>
      </c>
      <c r="D1851" s="256" t="inlineStr">
        <is>
          <t>— no P lot assigned —</t>
        </is>
      </c>
      <c r="E1851" s="256" t="inlineStr">
        <is>
          <t>Fat Bastard</t>
        </is>
      </c>
      <c r="F1851" s="256" t="inlineStr">
        <is>
          <t>28.07.2026</t>
        </is>
      </c>
      <c r="G1851" s="256" t="inlineStr">
        <is>
          <t>9.2</t>
        </is>
      </c>
      <c r="H1851" s="256" t="inlineStr">
        <is>
          <t>TYMC</t>
        </is>
      </c>
      <c r="I1851" s="256" t="inlineStr">
        <is>
          <t>Ph. Eur. 2.6.12 cat. C</t>
        </is>
      </c>
      <c r="J1851" s="256" t="inlineStr">
        <is>
          <t>≤ 10⁴ CFU/g</t>
        </is>
      </c>
      <c r="K1851" s="259" t="inlineStr">
        <is>
          <t>not tested</t>
        </is>
      </c>
      <c r="L1851" s="256" t="inlineStr">
        <is>
          <t>—</t>
        </is>
      </c>
      <c r="M1851" s="256" t="inlineStr">
        <is>
          <t>—</t>
        </is>
      </c>
      <c r="N1851" s="256" t="inlineStr">
        <is>
          <t>—</t>
        </is>
      </c>
      <c r="O1851" s="256" t="inlineStr">
        <is>
          <t>—</t>
        </is>
      </c>
      <c r="P1851" s="256" t="inlineStr">
        <is>
          <t>not tested — no certificate covers it</t>
        </is>
      </c>
      <c r="Q1851" s="256" t="inlineStr"/>
      <c r="R1851" s="256" t="inlineStr"/>
    </row>
    <row r="1852">
      <c r="A1852" s="256" t="inlineStr">
        <is>
          <t>CoQ-PP_26-081</t>
        </is>
      </c>
      <c r="B1852" s="256" t="inlineStr">
        <is>
          <t>release</t>
        </is>
      </c>
      <c r="C1852" s="256" t="inlineStr">
        <is>
          <t>FB032601</t>
        </is>
      </c>
      <c r="D1852" s="256" t="inlineStr">
        <is>
          <t>— no P lot assigned —</t>
        </is>
      </c>
      <c r="E1852" s="256" t="inlineStr">
        <is>
          <t>Fat Bastard</t>
        </is>
      </c>
      <c r="F1852" s="256" t="inlineStr">
        <is>
          <t>28.07.2026</t>
        </is>
      </c>
      <c r="G1852" s="256" t="inlineStr">
        <is>
          <t>9.3</t>
        </is>
      </c>
      <c r="H1852" s="256" t="inlineStr">
        <is>
          <t>Bile-tolerant gram-neg.</t>
        </is>
      </c>
      <c r="I1852" s="256" t="inlineStr">
        <is>
          <t>Ph. Eur. 2.6.31 cat. C</t>
        </is>
      </c>
      <c r="J1852" s="256" t="inlineStr">
        <is>
          <t>≤ 10⁴ CFU/g</t>
        </is>
      </c>
      <c r="K1852" s="259" t="inlineStr">
        <is>
          <t>not tested</t>
        </is>
      </c>
      <c r="L1852" s="256" t="inlineStr">
        <is>
          <t>—</t>
        </is>
      </c>
      <c r="M1852" s="256" t="inlineStr">
        <is>
          <t>—</t>
        </is>
      </c>
      <c r="N1852" s="256" t="inlineStr">
        <is>
          <t>—</t>
        </is>
      </c>
      <c r="O1852" s="256" t="inlineStr">
        <is>
          <t>—</t>
        </is>
      </c>
      <c r="P1852" s="256" t="inlineStr">
        <is>
          <t>not tested — no certificate covers it</t>
        </is>
      </c>
      <c r="Q1852" s="256" t="inlineStr"/>
      <c r="R1852" s="256" t="inlineStr"/>
    </row>
    <row r="1853">
      <c r="A1853" s="256" t="inlineStr">
        <is>
          <t>CoQ-PP_26-081</t>
        </is>
      </c>
      <c r="B1853" s="256" t="inlineStr">
        <is>
          <t>release</t>
        </is>
      </c>
      <c r="C1853" s="256" t="inlineStr">
        <is>
          <t>FB032601</t>
        </is>
      </c>
      <c r="D1853" s="256" t="inlineStr">
        <is>
          <t>— no P lot assigned —</t>
        </is>
      </c>
      <c r="E1853" s="256" t="inlineStr">
        <is>
          <t>Fat Bastard</t>
        </is>
      </c>
      <c r="F1853" s="256" t="inlineStr">
        <is>
          <t>28.07.2026</t>
        </is>
      </c>
      <c r="G1853" s="256" t="inlineStr">
        <is>
          <t>9.4</t>
        </is>
      </c>
      <c r="H1853" s="256" t="inlineStr">
        <is>
          <t>Salmonella</t>
        </is>
      </c>
      <c r="I1853" s="256" t="inlineStr">
        <is>
          <t>Ph. Eur. 2.6.31 cat. C</t>
        </is>
      </c>
      <c r="J1853" s="256" t="inlineStr">
        <is>
          <t>Absence | Отсуство / 25 g</t>
        </is>
      </c>
      <c r="K1853" s="259" t="inlineStr">
        <is>
          <t>not tested</t>
        </is>
      </c>
      <c r="L1853" s="256" t="inlineStr">
        <is>
          <t>—</t>
        </is>
      </c>
      <c r="M1853" s="256" t="inlineStr">
        <is>
          <t>—</t>
        </is>
      </c>
      <c r="N1853" s="256" t="inlineStr">
        <is>
          <t>—</t>
        </is>
      </c>
      <c r="O1853" s="256" t="inlineStr">
        <is>
          <t>—</t>
        </is>
      </c>
      <c r="P1853" s="256" t="inlineStr">
        <is>
          <t>not tested — no certificate covers it</t>
        </is>
      </c>
      <c r="Q1853" s="256" t="inlineStr"/>
      <c r="R1853" s="256" t="inlineStr"/>
    </row>
    <row r="1854">
      <c r="A1854" s="256" t="inlineStr">
        <is>
          <t>CoQ-PP_26-081</t>
        </is>
      </c>
      <c r="B1854" s="256" t="inlineStr">
        <is>
          <t>release</t>
        </is>
      </c>
      <c r="C1854" s="256" t="inlineStr">
        <is>
          <t>FB032601</t>
        </is>
      </c>
      <c r="D1854" s="256" t="inlineStr">
        <is>
          <t>— no P lot assigned —</t>
        </is>
      </c>
      <c r="E1854" s="256" t="inlineStr">
        <is>
          <t>Fat Bastard</t>
        </is>
      </c>
      <c r="F1854" s="256" t="inlineStr">
        <is>
          <t>28.07.2026</t>
        </is>
      </c>
      <c r="G1854" s="256" t="inlineStr">
        <is>
          <t>9.5</t>
        </is>
      </c>
      <c r="H1854" s="256" t="inlineStr">
        <is>
          <t>Escherichia coli</t>
        </is>
      </c>
      <c r="I1854" s="256" t="inlineStr">
        <is>
          <t>Ph. Eur. 2.6.13 cat. C</t>
        </is>
      </c>
      <c r="J1854" s="256" t="inlineStr">
        <is>
          <t>Absence | Отсуство / 1 g</t>
        </is>
      </c>
      <c r="K1854" s="259" t="inlineStr">
        <is>
          <t>not tested</t>
        </is>
      </c>
      <c r="L1854" s="256" t="inlineStr">
        <is>
          <t>—</t>
        </is>
      </c>
      <c r="M1854" s="256" t="inlineStr">
        <is>
          <t>—</t>
        </is>
      </c>
      <c r="N1854" s="256" t="inlineStr">
        <is>
          <t>—</t>
        </is>
      </c>
      <c r="O1854" s="256" t="inlineStr">
        <is>
          <t>—</t>
        </is>
      </c>
      <c r="P1854" s="256" t="inlineStr">
        <is>
          <t>not tested — no certificate covers it</t>
        </is>
      </c>
      <c r="Q1854" s="256" t="inlineStr"/>
      <c r="R1854" s="256" t="inlineStr"/>
    </row>
    <row r="1855">
      <c r="A1855" s="256" t="inlineStr">
        <is>
          <t>CoQ-PP_26-081</t>
        </is>
      </c>
      <c r="B1855" s="256" t="inlineStr">
        <is>
          <t>release</t>
        </is>
      </c>
      <c r="C1855" s="256" t="inlineStr">
        <is>
          <t>FB032601</t>
        </is>
      </c>
      <c r="D1855" s="256" t="inlineStr">
        <is>
          <t>— no P lot assigned —</t>
        </is>
      </c>
      <c r="E1855" s="256" t="inlineStr">
        <is>
          <t>Fat Bastard</t>
        </is>
      </c>
      <c r="F1855" s="256" t="inlineStr">
        <is>
          <t>28.07.2026</t>
        </is>
      </c>
      <c r="G1855" s="256" t="inlineStr">
        <is>
          <t>9.6</t>
        </is>
      </c>
      <c r="H1855" s="256" t="inlineStr">
        <is>
          <t>Pseudomonas aeruginosa</t>
        </is>
      </c>
      <c r="I1855" s="256" t="inlineStr">
        <is>
          <t>Ph. Eur. 2.6.13 cat. C</t>
        </is>
      </c>
      <c r="J1855" s="256" t="inlineStr">
        <is>
          <t>Absence | Отсуство / 1 g</t>
        </is>
      </c>
      <c r="K1855" s="260" t="inlineStr">
        <is>
          <t>upon request — not required for release</t>
        </is>
      </c>
      <c r="L1855" s="256" t="inlineStr">
        <is>
          <t>—</t>
        </is>
      </c>
      <c r="M1855" s="256" t="inlineStr">
        <is>
          <t>—</t>
        </is>
      </c>
      <c r="N1855" s="256" t="inlineStr">
        <is>
          <t>—</t>
        </is>
      </c>
      <c r="O1855" s="256" t="inlineStr">
        <is>
          <t>—</t>
        </is>
      </c>
      <c r="P1855" s="256" t="inlineStr">
        <is>
          <t>upon request — not required for release</t>
        </is>
      </c>
      <c r="Q1855" s="256" t="inlineStr"/>
      <c r="R1855" s="256" t="inlineStr"/>
    </row>
    <row r="1856">
      <c r="A1856" s="256" t="inlineStr">
        <is>
          <t>CoQ-PP_26-081</t>
        </is>
      </c>
      <c r="B1856" s="256" t="inlineStr">
        <is>
          <t>release</t>
        </is>
      </c>
      <c r="C1856" s="256" t="inlineStr">
        <is>
          <t>FB032601</t>
        </is>
      </c>
      <c r="D1856" s="256" t="inlineStr">
        <is>
          <t>— no P lot assigned —</t>
        </is>
      </c>
      <c r="E1856" s="256" t="inlineStr">
        <is>
          <t>Fat Bastard</t>
        </is>
      </c>
      <c r="F1856" s="256" t="inlineStr">
        <is>
          <t>28.07.2026</t>
        </is>
      </c>
      <c r="G1856" s="256" t="inlineStr">
        <is>
          <t>9.7</t>
        </is>
      </c>
      <c r="H1856" s="256" t="inlineStr">
        <is>
          <t>Staphylococcus aureus</t>
        </is>
      </c>
      <c r="I1856" s="256" t="inlineStr">
        <is>
          <t>Ph. Eur. 2.6.13 cat. C</t>
        </is>
      </c>
      <c r="J1856" s="256" t="inlineStr">
        <is>
          <t>Absence | Отсуство / 1 g</t>
        </is>
      </c>
      <c r="K1856" s="260" t="inlineStr">
        <is>
          <t>upon request — not required for release</t>
        </is>
      </c>
      <c r="L1856" s="256" t="inlineStr">
        <is>
          <t>—</t>
        </is>
      </c>
      <c r="M1856" s="256" t="inlineStr">
        <is>
          <t>—</t>
        </is>
      </c>
      <c r="N1856" s="256" t="inlineStr">
        <is>
          <t>—</t>
        </is>
      </c>
      <c r="O1856" s="256" t="inlineStr">
        <is>
          <t>—</t>
        </is>
      </c>
      <c r="P1856" s="256" t="inlineStr">
        <is>
          <t>upon request — not required for release</t>
        </is>
      </c>
      <c r="Q1856" s="256" t="inlineStr"/>
      <c r="R1856" s="256" t="inlineStr"/>
    </row>
    <row r="1857">
      <c r="A1857" s="256" t="inlineStr">
        <is>
          <t>CoQ-PP_26-081</t>
        </is>
      </c>
      <c r="B1857" s="256" t="inlineStr">
        <is>
          <t>release</t>
        </is>
      </c>
      <c r="C1857" s="256" t="inlineStr">
        <is>
          <t>FB032601</t>
        </is>
      </c>
      <c r="D1857" s="256" t="inlineStr">
        <is>
          <t>— no P lot assigned —</t>
        </is>
      </c>
      <c r="E1857" s="256" t="inlineStr">
        <is>
          <t>Fat Bastard</t>
        </is>
      </c>
      <c r="F1857" s="256" t="inlineStr">
        <is>
          <t>28.07.2026</t>
        </is>
      </c>
      <c r="G1857" s="256" t="inlineStr">
        <is>
          <t>10.1</t>
        </is>
      </c>
      <c r="H1857" s="256" t="inlineStr">
        <is>
          <t>Aflatoxin B₁</t>
        </is>
      </c>
      <c r="I1857" s="256" t="inlineStr">
        <is>
          <t>Ph. Eur. 2.8.18 (HPLC-FLD)</t>
        </is>
      </c>
      <c r="J1857" s="256" t="inlineStr">
        <is>
          <t>≤ 2 µg/kg</t>
        </is>
      </c>
      <c r="K1857" s="259" t="inlineStr">
        <is>
          <t>not tested</t>
        </is>
      </c>
      <c r="L1857" s="256" t="inlineStr">
        <is>
          <t>—</t>
        </is>
      </c>
      <c r="M1857" s="256" t="inlineStr">
        <is>
          <t>—</t>
        </is>
      </c>
      <c r="N1857" s="256" t="inlineStr">
        <is>
          <t>—</t>
        </is>
      </c>
      <c r="O1857" s="256" t="inlineStr">
        <is>
          <t>—</t>
        </is>
      </c>
      <c r="P1857" s="256" t="inlineStr">
        <is>
          <t>not tested — no certificate covers it</t>
        </is>
      </c>
      <c r="Q1857" s="256" t="inlineStr"/>
      <c r="R1857" s="256" t="inlineStr"/>
    </row>
    <row r="1858">
      <c r="A1858" s="256" t="inlineStr">
        <is>
          <t>CoQ-PP_26-081</t>
        </is>
      </c>
      <c r="B1858" s="256" t="inlineStr">
        <is>
          <t>release</t>
        </is>
      </c>
      <c r="C1858" s="256" t="inlineStr">
        <is>
          <t>FB032601</t>
        </is>
      </c>
      <c r="D1858" s="256" t="inlineStr">
        <is>
          <t>— no P lot assigned —</t>
        </is>
      </c>
      <c r="E1858" s="256" t="inlineStr">
        <is>
          <t>Fat Bastard</t>
        </is>
      </c>
      <c r="F1858" s="256" t="inlineStr">
        <is>
          <t>28.07.2026</t>
        </is>
      </c>
      <c r="G1858" s="256" t="inlineStr">
        <is>
          <t>10.2</t>
        </is>
      </c>
      <c r="H1858" s="256" t="inlineStr">
        <is>
          <t>Aflatoxins ∑</t>
        </is>
      </c>
      <c r="I1858" s="256" t="inlineStr">
        <is>
          <t>Ph. Eur. 2.8.18 (HPLC-FLD)</t>
        </is>
      </c>
      <c r="J1858" s="256" t="inlineStr">
        <is>
          <t>≤ 4 µg/kg</t>
        </is>
      </c>
      <c r="K1858" s="259" t="inlineStr">
        <is>
          <t>not tested</t>
        </is>
      </c>
      <c r="L1858" s="256" t="inlineStr">
        <is>
          <t>—</t>
        </is>
      </c>
      <c r="M1858" s="256" t="inlineStr">
        <is>
          <t>—</t>
        </is>
      </c>
      <c r="N1858" s="256" t="inlineStr">
        <is>
          <t>—</t>
        </is>
      </c>
      <c r="O1858" s="256" t="inlineStr">
        <is>
          <t>—</t>
        </is>
      </c>
      <c r="P1858" s="256" t="inlineStr">
        <is>
          <t>not tested — no certificate covers it</t>
        </is>
      </c>
      <c r="Q1858" s="256" t="inlineStr"/>
      <c r="R1858" s="256" t="inlineStr"/>
    </row>
    <row r="1859">
      <c r="A1859" s="256" t="inlineStr">
        <is>
          <t>CoQ-PP_26-081</t>
        </is>
      </c>
      <c r="B1859" s="256" t="inlineStr">
        <is>
          <t>release</t>
        </is>
      </c>
      <c r="C1859" s="256" t="inlineStr">
        <is>
          <t>FB032601</t>
        </is>
      </c>
      <c r="D1859" s="256" t="inlineStr">
        <is>
          <t>— no P lot assigned —</t>
        </is>
      </c>
      <c r="E1859" s="256" t="inlineStr">
        <is>
          <t>Fat Bastard</t>
        </is>
      </c>
      <c r="F1859" s="256" t="inlineStr">
        <is>
          <t>28.07.2026</t>
        </is>
      </c>
      <c r="G1859" s="256" t="inlineStr">
        <is>
          <t>10.3</t>
        </is>
      </c>
      <c r="H1859" s="256" t="inlineStr">
        <is>
          <t>Ochratoxin A</t>
        </is>
      </c>
      <c r="I1859" s="256" t="inlineStr">
        <is>
          <t>Ph. Eur. 2.8.22 (HPLC-FLD)</t>
        </is>
      </c>
      <c r="J1859" s="256" t="inlineStr">
        <is>
          <t>≤ 20 µg/kg</t>
        </is>
      </c>
      <c r="K1859" s="259" t="inlineStr">
        <is>
          <t>not tested</t>
        </is>
      </c>
      <c r="L1859" s="256" t="inlineStr">
        <is>
          <t>—</t>
        </is>
      </c>
      <c r="M1859" s="256" t="inlineStr">
        <is>
          <t>—</t>
        </is>
      </c>
      <c r="N1859" s="256" t="inlineStr">
        <is>
          <t>—</t>
        </is>
      </c>
      <c r="O1859" s="256" t="inlineStr">
        <is>
          <t>—</t>
        </is>
      </c>
      <c r="P1859" s="256" t="inlineStr">
        <is>
          <t>not tested — no certificate covers it</t>
        </is>
      </c>
      <c r="Q1859" s="256" t="inlineStr"/>
      <c r="R1859" s="256" t="inlineStr"/>
    </row>
    <row r="1860">
      <c r="A1860" s="256" t="inlineStr">
        <is>
          <t>CoQ-PP_26-081</t>
        </is>
      </c>
      <c r="B1860" s="256" t="inlineStr">
        <is>
          <t>release</t>
        </is>
      </c>
      <c r="C1860" s="256" t="inlineStr">
        <is>
          <t>FB032601</t>
        </is>
      </c>
      <c r="D1860" s="256" t="inlineStr">
        <is>
          <t>— no P lot assigned —</t>
        </is>
      </c>
      <c r="E1860" s="256" t="inlineStr">
        <is>
          <t>Fat Bastard</t>
        </is>
      </c>
      <c r="F1860" s="256" t="inlineStr">
        <is>
          <t>28.07.2026</t>
        </is>
      </c>
      <c r="G1860" s="256" t="inlineStr">
        <is>
          <t>11.1</t>
        </is>
      </c>
      <c r="H1860" s="256" t="inlineStr">
        <is>
          <t>Lead (Pb)</t>
        </is>
      </c>
      <c r="I1860" s="256" t="inlineStr">
        <is>
          <t>Ph. Eur. 2.4.27 (ICP-MS)</t>
        </is>
      </c>
      <c r="J1860" s="256" t="inlineStr">
        <is>
          <t>≤ 0.5 mg/kg</t>
        </is>
      </c>
      <c r="K1860" s="259" t="inlineStr">
        <is>
          <t>not tested</t>
        </is>
      </c>
      <c r="L1860" s="256" t="inlineStr">
        <is>
          <t>—</t>
        </is>
      </c>
      <c r="M1860" s="256" t="inlineStr">
        <is>
          <t>—</t>
        </is>
      </c>
      <c r="N1860" s="256" t="inlineStr">
        <is>
          <t>—</t>
        </is>
      </c>
      <c r="O1860" s="256" t="inlineStr">
        <is>
          <t>—</t>
        </is>
      </c>
      <c r="P1860" s="256" t="inlineStr">
        <is>
          <t>not tested — no certificate covers it</t>
        </is>
      </c>
      <c r="Q1860" s="256" t="inlineStr"/>
      <c r="R1860" s="256" t="inlineStr"/>
    </row>
    <row r="1861">
      <c r="A1861" s="256" t="inlineStr">
        <is>
          <t>CoQ-PP_26-081</t>
        </is>
      </c>
      <c r="B1861" s="256" t="inlineStr">
        <is>
          <t>release</t>
        </is>
      </c>
      <c r="C1861" s="256" t="inlineStr">
        <is>
          <t>FB032601</t>
        </is>
      </c>
      <c r="D1861" s="256" t="inlineStr">
        <is>
          <t>— no P lot assigned —</t>
        </is>
      </c>
      <c r="E1861" s="256" t="inlineStr">
        <is>
          <t>Fat Bastard</t>
        </is>
      </c>
      <c r="F1861" s="256" t="inlineStr">
        <is>
          <t>28.07.2026</t>
        </is>
      </c>
      <c r="G1861" s="256" t="inlineStr">
        <is>
          <t>11.2</t>
        </is>
      </c>
      <c r="H1861" s="256" t="inlineStr">
        <is>
          <t>Cadmium (Cd)</t>
        </is>
      </c>
      <c r="I1861" s="256" t="inlineStr">
        <is>
          <t>Ph. Eur. 2.4.27 (ICP-MS)</t>
        </is>
      </c>
      <c r="J1861" s="256" t="inlineStr">
        <is>
          <t>≤ 0.3 mg/kg</t>
        </is>
      </c>
      <c r="K1861" s="259" t="inlineStr">
        <is>
          <t>not tested</t>
        </is>
      </c>
      <c r="L1861" s="256" t="inlineStr">
        <is>
          <t>—</t>
        </is>
      </c>
      <c r="M1861" s="256" t="inlineStr">
        <is>
          <t>—</t>
        </is>
      </c>
      <c r="N1861" s="256" t="inlineStr">
        <is>
          <t>—</t>
        </is>
      </c>
      <c r="O1861" s="256" t="inlineStr">
        <is>
          <t>—</t>
        </is>
      </c>
      <c r="P1861" s="256" t="inlineStr">
        <is>
          <t>not tested — no certificate covers it</t>
        </is>
      </c>
      <c r="Q1861" s="256" t="inlineStr"/>
      <c r="R1861" s="256" t="inlineStr"/>
    </row>
    <row r="1862">
      <c r="A1862" s="256" t="inlineStr">
        <is>
          <t>CoQ-PP_26-081</t>
        </is>
      </c>
      <c r="B1862" s="256" t="inlineStr">
        <is>
          <t>release</t>
        </is>
      </c>
      <c r="C1862" s="256" t="inlineStr">
        <is>
          <t>FB032601</t>
        </is>
      </c>
      <c r="D1862" s="256" t="inlineStr">
        <is>
          <t>— no P lot assigned —</t>
        </is>
      </c>
      <c r="E1862" s="256" t="inlineStr">
        <is>
          <t>Fat Bastard</t>
        </is>
      </c>
      <c r="F1862" s="256" t="inlineStr">
        <is>
          <t>28.07.2026</t>
        </is>
      </c>
      <c r="G1862" s="256" t="inlineStr">
        <is>
          <t>11.3</t>
        </is>
      </c>
      <c r="H1862" s="256" t="inlineStr">
        <is>
          <t>Arsenic (As)</t>
        </is>
      </c>
      <c r="I1862" s="256" t="inlineStr">
        <is>
          <t>Ph. Eur. 2.4.27 (ICP-MS)</t>
        </is>
      </c>
      <c r="J1862" s="256" t="inlineStr">
        <is>
          <t>≤ 0.2 mg/kg</t>
        </is>
      </c>
      <c r="K1862" s="259" t="inlineStr">
        <is>
          <t>not tested</t>
        </is>
      </c>
      <c r="L1862" s="256" t="inlineStr">
        <is>
          <t>—</t>
        </is>
      </c>
      <c r="M1862" s="256" t="inlineStr">
        <is>
          <t>—</t>
        </is>
      </c>
      <c r="N1862" s="256" t="inlineStr">
        <is>
          <t>—</t>
        </is>
      </c>
      <c r="O1862" s="256" t="inlineStr">
        <is>
          <t>—</t>
        </is>
      </c>
      <c r="P1862" s="256" t="inlineStr">
        <is>
          <t>not tested — no certificate covers it</t>
        </is>
      </c>
      <c r="Q1862" s="256" t="inlineStr"/>
      <c r="R1862" s="256" t="inlineStr"/>
    </row>
    <row r="1863">
      <c r="A1863" s="256" t="inlineStr">
        <is>
          <t>CoQ-PP_26-081</t>
        </is>
      </c>
      <c r="B1863" s="256" t="inlineStr">
        <is>
          <t>release</t>
        </is>
      </c>
      <c r="C1863" s="256" t="inlineStr">
        <is>
          <t>FB032601</t>
        </is>
      </c>
      <c r="D1863" s="256" t="inlineStr">
        <is>
          <t>— no P lot assigned —</t>
        </is>
      </c>
      <c r="E1863" s="256" t="inlineStr">
        <is>
          <t>Fat Bastard</t>
        </is>
      </c>
      <c r="F1863" s="256" t="inlineStr">
        <is>
          <t>28.07.2026</t>
        </is>
      </c>
      <c r="G1863" s="256" t="inlineStr">
        <is>
          <t>11.4</t>
        </is>
      </c>
      <c r="H1863" s="256" t="inlineStr">
        <is>
          <t>Mercury (Hg)</t>
        </is>
      </c>
      <c r="I1863" s="256" t="inlineStr">
        <is>
          <t>Ph. Eur. 2.4.27 (ICP-MS)</t>
        </is>
      </c>
      <c r="J1863" s="256" t="inlineStr">
        <is>
          <t>≤ 0.1 mg/kg</t>
        </is>
      </c>
      <c r="K1863" s="259" t="inlineStr">
        <is>
          <t>not tested</t>
        </is>
      </c>
      <c r="L1863" s="256" t="inlineStr">
        <is>
          <t>—</t>
        </is>
      </c>
      <c r="M1863" s="256" t="inlineStr">
        <is>
          <t>—</t>
        </is>
      </c>
      <c r="N1863" s="256" t="inlineStr">
        <is>
          <t>—</t>
        </is>
      </c>
      <c r="O1863" s="256" t="inlineStr">
        <is>
          <t>—</t>
        </is>
      </c>
      <c r="P1863" s="256" t="inlineStr">
        <is>
          <t>not tested — no certificate covers it</t>
        </is>
      </c>
      <c r="Q1863" s="256" t="inlineStr"/>
      <c r="R1863" s="256" t="inlineStr"/>
    </row>
    <row r="1864">
      <c r="A1864" s="256" t="inlineStr">
        <is>
          <t>CoQ-PP_26-081</t>
        </is>
      </c>
      <c r="B1864" s="256" t="inlineStr">
        <is>
          <t>release</t>
        </is>
      </c>
      <c r="C1864" s="256" t="inlineStr">
        <is>
          <t>FB032601</t>
        </is>
      </c>
      <c r="D1864" s="256" t="inlineStr">
        <is>
          <t>— no P lot assigned —</t>
        </is>
      </c>
      <c r="E1864" s="256" t="inlineStr">
        <is>
          <t>Fat Bastard</t>
        </is>
      </c>
      <c r="F1864" s="256" t="inlineStr">
        <is>
          <t>28.07.2026</t>
        </is>
      </c>
      <c r="G1864" s="256" t="inlineStr">
        <is>
          <t>12</t>
        </is>
      </c>
      <c r="H1864" s="256" t="inlineStr">
        <is>
          <t>Pesticide Residues</t>
        </is>
      </c>
      <c r="I1864" s="256" t="inlineStr">
        <is>
          <t>Ph. Eur. 2.8.13 (LC-MS/MS) · CUMCS Equivalency</t>
        </is>
      </c>
      <c r="J1864" s="256" t="inlineStr">
        <is>
          <t>≤ LOQ as per Ph. Eur. 2.8.13 · ≤ LOQ as per CUMCS Equivalency</t>
        </is>
      </c>
      <c r="K1864" s="259" t="inlineStr">
        <is>
          <t>not tested</t>
        </is>
      </c>
      <c r="L1864" s="256" t="inlineStr">
        <is>
          <t>—</t>
        </is>
      </c>
      <c r="M1864" s="256" t="inlineStr">
        <is>
          <t>—</t>
        </is>
      </c>
      <c r="N1864" s="256" t="inlineStr">
        <is>
          <t>—</t>
        </is>
      </c>
      <c r="O1864" s="256" t="inlineStr">
        <is>
          <t>—</t>
        </is>
      </c>
      <c r="P1864" s="256" t="inlineStr">
        <is>
          <t>not tested — no certificate covers it</t>
        </is>
      </c>
      <c r="Q1864" s="256" t="inlineStr"/>
      <c r="R1864" s="256" t="inlineStr"/>
    </row>
    <row r="1865">
      <c r="A1865" s="256" t="inlineStr">
        <is>
          <t>CoQ-PP_26-082</t>
        </is>
      </c>
      <c r="B1865" s="256" t="inlineStr">
        <is>
          <t>release</t>
        </is>
      </c>
      <c r="C1865" s="256" t="inlineStr">
        <is>
          <t>GG032601</t>
        </is>
      </c>
      <c r="D1865" s="256" t="inlineStr">
        <is>
          <t>— no P lot assigned —</t>
        </is>
      </c>
      <c r="E1865" s="256" t="inlineStr">
        <is>
          <t>Gorilla Glue</t>
        </is>
      </c>
      <c r="F1865" s="256" t="inlineStr">
        <is>
          <t>28.07.2026</t>
        </is>
      </c>
      <c r="G1865" s="256" t="inlineStr">
        <is>
          <t>1</t>
        </is>
      </c>
      <c r="H1865" s="256" t="inlineStr">
        <is>
          <t>Identification A, Appearance · Macroscopic</t>
        </is>
      </c>
      <c r="I1865" s="256" t="inlineStr">
        <is>
          <t>Ph. Eur. mon. 3028</t>
        </is>
      </c>
      <c r="J1865" s="256" t="inlineStr">
        <is>
          <t>Conforms to the monograph for Cannabis flos (07/2024:3028) in Ph. Eur. 11.0 | Согласно монографија за Cannabis flos (07/2024:3028) во Ph. Eur. 11.0</t>
        </is>
      </c>
      <c r="K1865" s="256" t="inlineStr">
        <is>
          <t>Conforms | Одговара</t>
        </is>
      </c>
      <c r="L1865" s="256" t="inlineStr">
        <is>
          <t>ППК26128</t>
        </is>
      </c>
      <c r="M1865" s="256" t="inlineStr">
        <is>
          <t>21.07.2026</t>
        </is>
      </c>
      <c r="N1865" s="256" t="inlineStr">
        <is>
          <t>UKIM Faculty of Pharmacy — Center for Natural Products</t>
        </is>
      </c>
      <c r="O1865" s="256" t="inlineStr">
        <is>
          <t>02.07.2026</t>
        </is>
      </c>
      <c r="P1865" s="256" t="inlineStr">
        <is>
          <t>covered</t>
        </is>
      </c>
      <c r="Q1865" s="256" t="inlineStr"/>
      <c r="R1865" s="256" t="inlineStr"/>
    </row>
    <row r="1866">
      <c r="A1866" s="256" t="inlineStr">
        <is>
          <t>CoQ-PP_26-082</t>
        </is>
      </c>
      <c r="B1866" s="256" t="inlineStr">
        <is>
          <t>release</t>
        </is>
      </c>
      <c r="C1866" s="256" t="inlineStr">
        <is>
          <t>GG032601</t>
        </is>
      </c>
      <c r="D1866" s="256" t="inlineStr">
        <is>
          <t>— no P lot assigned —</t>
        </is>
      </c>
      <c r="E1866" s="256" t="inlineStr">
        <is>
          <t>Gorilla Glue</t>
        </is>
      </c>
      <c r="F1866" s="256" t="inlineStr">
        <is>
          <t>28.07.2026</t>
        </is>
      </c>
      <c r="G1866" s="256" t="inlineStr">
        <is>
          <t>2</t>
        </is>
      </c>
      <c r="H1866" s="256" t="inlineStr">
        <is>
          <t>Identification B · Microscopic</t>
        </is>
      </c>
      <c r="I1866" s="256" t="inlineStr">
        <is>
          <t>Ph. Eur. 2.8.23 (microscopy)</t>
        </is>
      </c>
      <c r="J1866" s="256" t="inlineStr">
        <is>
          <t>Conforms to the monograph for Cannabis flos (07/2024:3028) in Ph. Eur. 11.0 | Согласно монографија за Cannabis flos (07/2024:3028) во Ph. Eur. 11.0</t>
        </is>
      </c>
      <c r="K1866" s="256" t="inlineStr">
        <is>
          <t>Conforms | Одговара</t>
        </is>
      </c>
      <c r="L1866" s="256" t="inlineStr">
        <is>
          <t>ППК26128</t>
        </is>
      </c>
      <c r="M1866" s="256" t="inlineStr">
        <is>
          <t>21.07.2026</t>
        </is>
      </c>
      <c r="N1866" s="256" t="inlineStr">
        <is>
          <t>UKIM Faculty of Pharmacy — Center for Natural Products</t>
        </is>
      </c>
      <c r="O1866" s="256" t="inlineStr">
        <is>
          <t>02.07.2026</t>
        </is>
      </c>
      <c r="P1866" s="256" t="inlineStr">
        <is>
          <t>covered</t>
        </is>
      </c>
      <c r="Q1866" s="256" t="inlineStr"/>
      <c r="R1866" s="256" t="inlineStr"/>
    </row>
    <row r="1867">
      <c r="A1867" s="256" t="inlineStr">
        <is>
          <t>CoQ-PP_26-082</t>
        </is>
      </c>
      <c r="B1867" s="256" t="inlineStr">
        <is>
          <t>release</t>
        </is>
      </c>
      <c r="C1867" s="256" t="inlineStr">
        <is>
          <t>GG032601</t>
        </is>
      </c>
      <c r="D1867" s="256" t="inlineStr">
        <is>
          <t>— no P lot assigned —</t>
        </is>
      </c>
      <c r="E1867" s="256" t="inlineStr">
        <is>
          <t>Gorilla Glue</t>
        </is>
      </c>
      <c r="F1867" s="256" t="inlineStr">
        <is>
          <t>28.07.2026</t>
        </is>
      </c>
      <c r="G1867" s="256" t="inlineStr">
        <is>
          <t>3</t>
        </is>
      </c>
      <c r="H1867" s="256" t="inlineStr">
        <is>
          <t>Identification C · HPLC/HPTLC</t>
        </is>
      </c>
      <c r="I1867" s="256" t="inlineStr">
        <is>
          <t>Ph. Eur. 2.2.29 (3028)</t>
        </is>
      </c>
      <c r="J1867" s="256" t="inlineStr">
        <is>
          <t>Conforms to the monograph for Cannabis flos (07/2024:3028) in Ph. Eur. 11.0 | Согласно монографија за Cannabis flos (07/2024:3028) во Ph. Eur. 11.0</t>
        </is>
      </c>
      <c r="K1867" s="256" t="inlineStr">
        <is>
          <t>Conforms | Одговара</t>
        </is>
      </c>
      <c r="L1867" s="256" t="inlineStr">
        <is>
          <t>ППК26128</t>
        </is>
      </c>
      <c r="M1867" s="256" t="inlineStr">
        <is>
          <t>21.07.2026</t>
        </is>
      </c>
      <c r="N1867" s="256" t="inlineStr">
        <is>
          <t>UKIM Faculty of Pharmacy — Center for Natural Products</t>
        </is>
      </c>
      <c r="O1867" s="256" t="inlineStr">
        <is>
          <t>02.07.2026</t>
        </is>
      </c>
      <c r="P1867" s="256" t="inlineStr">
        <is>
          <t>covered</t>
        </is>
      </c>
      <c r="Q1867" s="256" t="inlineStr"/>
      <c r="R1867" s="256" t="inlineStr"/>
    </row>
    <row r="1868">
      <c r="A1868" s="256" t="inlineStr">
        <is>
          <t>CoQ-PP_26-082</t>
        </is>
      </c>
      <c r="B1868" s="256" t="inlineStr">
        <is>
          <t>release</t>
        </is>
      </c>
      <c r="C1868" s="256" t="inlineStr">
        <is>
          <t>GG032601</t>
        </is>
      </c>
      <c r="D1868" s="256" t="inlineStr">
        <is>
          <t>— no P lot assigned —</t>
        </is>
      </c>
      <c r="E1868" s="256" t="inlineStr">
        <is>
          <t>Gorilla Glue</t>
        </is>
      </c>
      <c r="F1868" s="256" t="inlineStr">
        <is>
          <t>28.07.2026</t>
        </is>
      </c>
      <c r="G1868" s="256" t="inlineStr">
        <is>
          <t>4</t>
        </is>
      </c>
      <c r="H1868" s="256" t="inlineStr">
        <is>
          <t>Assay — Total Δ⁹-THC</t>
        </is>
      </c>
      <c r="I1868" s="256" t="inlineStr">
        <is>
          <t>Ph. Eur. 2.2.29 (HPLC)</t>
        </is>
      </c>
      <c r="J1868" s="256" t="inlineStr">
        <is>
          <t>16.23 – 19.76 %  (grade I, nominal 18.00 ± 1.77)</t>
        </is>
      </c>
      <c r="K1868" s="256" t="inlineStr">
        <is>
          <t>18.98</t>
        </is>
      </c>
      <c r="L1868" s="256" t="inlineStr">
        <is>
          <t>ППК26128</t>
        </is>
      </c>
      <c r="M1868" s="256" t="inlineStr">
        <is>
          <t>21.07.2026</t>
        </is>
      </c>
      <c r="N1868" s="256" t="inlineStr">
        <is>
          <t>UKIM Faculty of Pharmacy — Center for Natural Products</t>
        </is>
      </c>
      <c r="O1868" s="256" t="inlineStr">
        <is>
          <t>02.07.2026</t>
        </is>
      </c>
      <c r="P1868" s="256" t="inlineStr">
        <is>
          <t>covered</t>
        </is>
      </c>
      <c r="Q1868" s="256" t="inlineStr"/>
      <c r="R1868" s="256" t="inlineStr"/>
    </row>
    <row r="1869">
      <c r="A1869" s="256" t="inlineStr">
        <is>
          <t>CoQ-PP_26-082</t>
        </is>
      </c>
      <c r="B1869" s="256" t="inlineStr">
        <is>
          <t>release</t>
        </is>
      </c>
      <c r="C1869" s="256" t="inlineStr">
        <is>
          <t>GG032601</t>
        </is>
      </c>
      <c r="D1869" s="256" t="inlineStr">
        <is>
          <t>— no P lot assigned —</t>
        </is>
      </c>
      <c r="E1869" s="256" t="inlineStr">
        <is>
          <t>Gorilla Glue</t>
        </is>
      </c>
      <c r="F1869" s="256" t="inlineStr">
        <is>
          <t>28.07.2026</t>
        </is>
      </c>
      <c r="G1869" s="256" t="inlineStr">
        <is>
          <t>5</t>
        </is>
      </c>
      <c r="H1869" s="256" t="inlineStr">
        <is>
          <t>Assay — Total CBD</t>
        </is>
      </c>
      <c r="I1869" s="256" t="inlineStr">
        <is>
          <t>Ph. Eur. 2.2.29 (HPLC) · CBD + CBDA x 0.877</t>
        </is>
      </c>
      <c r="J1869" s="256" t="inlineStr">
        <is>
          <t>≤ 1.0%, w/w</t>
        </is>
      </c>
      <c r="K1869" s="256" t="inlineStr">
        <is>
          <t>0.25</t>
        </is>
      </c>
      <c r="L1869" s="256" t="inlineStr">
        <is>
          <t>ППК26128</t>
        </is>
      </c>
      <c r="M1869" s="256" t="inlineStr">
        <is>
          <t>21.07.2026</t>
        </is>
      </c>
      <c r="N1869" s="256" t="inlineStr">
        <is>
          <t>UKIM Faculty of Pharmacy — Center for Natural Products</t>
        </is>
      </c>
      <c r="O1869" s="256" t="inlineStr">
        <is>
          <t>02.07.2026</t>
        </is>
      </c>
      <c r="P1869" s="256" t="inlineStr">
        <is>
          <t>covered</t>
        </is>
      </c>
      <c r="Q1869" s="256" t="inlineStr"/>
      <c r="R1869" s="256" t="inlineStr"/>
    </row>
    <row r="1870">
      <c r="A1870" s="256" t="inlineStr">
        <is>
          <t>CoQ-PP_26-082</t>
        </is>
      </c>
      <c r="B1870" s="256" t="inlineStr">
        <is>
          <t>release</t>
        </is>
      </c>
      <c r="C1870" s="256" t="inlineStr">
        <is>
          <t>GG032601</t>
        </is>
      </c>
      <c r="D1870" s="256" t="inlineStr">
        <is>
          <t>— no P lot assigned —</t>
        </is>
      </c>
      <c r="E1870" s="256" t="inlineStr">
        <is>
          <t>Gorilla Glue</t>
        </is>
      </c>
      <c r="F1870" s="256" t="inlineStr">
        <is>
          <t>28.07.2026</t>
        </is>
      </c>
      <c r="G1870" s="256" t="inlineStr">
        <is>
          <t>6</t>
        </is>
      </c>
      <c r="H1870" s="256" t="inlineStr">
        <is>
          <t>Total CBN</t>
        </is>
      </c>
      <c r="I1870" s="256" t="inlineStr">
        <is>
          <t>Ph. Eur. 2.2.29 (HPLC) · CBN + CBNA x 0.876</t>
        </is>
      </c>
      <c r="J1870" s="256" t="inlineStr">
        <is>
          <t>≤ 1.0%, w/w</t>
        </is>
      </c>
      <c r="K1870" s="256" t="inlineStr">
        <is>
          <t>0.04</t>
        </is>
      </c>
      <c r="L1870" s="256" t="inlineStr">
        <is>
          <t>ППК26128</t>
        </is>
      </c>
      <c r="M1870" s="256" t="inlineStr">
        <is>
          <t>21.07.2026</t>
        </is>
      </c>
      <c r="N1870" s="256" t="inlineStr">
        <is>
          <t>UKIM Faculty of Pharmacy — Center for Natural Products</t>
        </is>
      </c>
      <c r="O1870" s="256" t="inlineStr">
        <is>
          <t>02.07.2026</t>
        </is>
      </c>
      <c r="P1870" s="256" t="inlineStr">
        <is>
          <t>covered</t>
        </is>
      </c>
      <c r="Q1870" s="256" t="inlineStr"/>
      <c r="R1870" s="256" t="inlineStr"/>
    </row>
    <row r="1871">
      <c r="A1871" s="256" t="inlineStr">
        <is>
          <t>CoQ-PP_26-082</t>
        </is>
      </c>
      <c r="B1871" s="256" t="inlineStr">
        <is>
          <t>release</t>
        </is>
      </c>
      <c r="C1871" s="256" t="inlineStr">
        <is>
          <t>GG032601</t>
        </is>
      </c>
      <c r="D1871" s="256" t="inlineStr">
        <is>
          <t>— no P lot assigned —</t>
        </is>
      </c>
      <c r="E1871" s="256" t="inlineStr">
        <is>
          <t>Gorilla Glue</t>
        </is>
      </c>
      <c r="F1871" s="256" t="inlineStr">
        <is>
          <t>28.07.2026</t>
        </is>
      </c>
      <c r="G1871" s="256" t="inlineStr">
        <is>
          <t>7</t>
        </is>
      </c>
      <c r="H1871" s="256" t="inlineStr">
        <is>
          <t>Foreign Matter</t>
        </is>
      </c>
      <c r="I1871" s="256" t="inlineStr">
        <is>
          <t>Ph. Eur. 2.8.2 · In-house · интерна</t>
        </is>
      </c>
      <c r="J1871" s="256" t="inlineStr">
        <is>
          <t>≤ 2.0% / 25–50 g · &lt; 1 cm leaves | листови, no seeds | без семки</t>
        </is>
      </c>
      <c r="K1871" s="256" t="inlineStr">
        <is>
          <t>Conforms | Одговара</t>
        </is>
      </c>
      <c r="L1871" s="256" t="inlineStr">
        <is>
          <t>ППК26128</t>
        </is>
      </c>
      <c r="M1871" s="256" t="inlineStr">
        <is>
          <t>21.07.2026</t>
        </is>
      </c>
      <c r="N1871" s="256" t="inlineStr">
        <is>
          <t>UKIM Faculty of Pharmacy — Center for Natural Products</t>
        </is>
      </c>
      <c r="O1871" s="256" t="inlineStr">
        <is>
          <t>02.07.2026</t>
        </is>
      </c>
      <c r="P1871" s="256" t="inlineStr">
        <is>
          <t>covered</t>
        </is>
      </c>
      <c r="Q1871" s="256" t="inlineStr"/>
      <c r="R1871" s="256" t="inlineStr"/>
    </row>
    <row r="1872">
      <c r="A1872" s="256" t="inlineStr">
        <is>
          <t>CoQ-PP_26-082</t>
        </is>
      </c>
      <c r="B1872" s="256" t="inlineStr">
        <is>
          <t>release</t>
        </is>
      </c>
      <c r="C1872" s="256" t="inlineStr">
        <is>
          <t>GG032601</t>
        </is>
      </c>
      <c r="D1872" s="256" t="inlineStr">
        <is>
          <t>— no P lot assigned —</t>
        </is>
      </c>
      <c r="E1872" s="256" t="inlineStr">
        <is>
          <t>Gorilla Glue</t>
        </is>
      </c>
      <c r="F1872" s="256" t="inlineStr">
        <is>
          <t>28.07.2026</t>
        </is>
      </c>
      <c r="G1872" s="256" t="inlineStr">
        <is>
          <t>8</t>
        </is>
      </c>
      <c r="H1872" s="256" t="inlineStr">
        <is>
          <t>Loss on Drying</t>
        </is>
      </c>
      <c r="I1872" s="256" t="inlineStr">
        <is>
          <t>Ph. Eur. 2.2.32 (3028) · at 40 °C, 24 h, 15–25 mbar</t>
        </is>
      </c>
      <c r="J1872" s="256" t="inlineStr">
        <is>
          <t>≤ 12.0%</t>
        </is>
      </c>
      <c r="K1872" s="256" t="inlineStr">
        <is>
          <t>7.88</t>
        </is>
      </c>
      <c r="L1872" s="256" t="inlineStr">
        <is>
          <t>ППК26128</t>
        </is>
      </c>
      <c r="M1872" s="256" t="inlineStr">
        <is>
          <t>21.07.2026</t>
        </is>
      </c>
      <c r="N1872" s="256" t="inlineStr">
        <is>
          <t>UKIM Faculty of Pharmacy — Center for Natural Products</t>
        </is>
      </c>
      <c r="O1872" s="256" t="inlineStr">
        <is>
          <t>02.07.2026</t>
        </is>
      </c>
      <c r="P1872" s="256" t="inlineStr">
        <is>
          <t>covered</t>
        </is>
      </c>
      <c r="Q1872" s="256" t="inlineStr"/>
      <c r="R1872" s="256" t="inlineStr"/>
    </row>
    <row r="1873">
      <c r="A1873" s="256" t="inlineStr">
        <is>
          <t>CoQ-PP_26-082</t>
        </is>
      </c>
      <c r="B1873" s="256" t="inlineStr">
        <is>
          <t>release</t>
        </is>
      </c>
      <c r="C1873" s="256" t="inlineStr">
        <is>
          <t>GG032601</t>
        </is>
      </c>
      <c r="D1873" s="256" t="inlineStr">
        <is>
          <t>— no P lot assigned —</t>
        </is>
      </c>
      <c r="E1873" s="256" t="inlineStr">
        <is>
          <t>Gorilla Glue</t>
        </is>
      </c>
      <c r="F1873" s="256" t="inlineStr">
        <is>
          <t>28.07.2026</t>
        </is>
      </c>
      <c r="G1873" s="256" t="inlineStr">
        <is>
          <t>9.1</t>
        </is>
      </c>
      <c r="H1873" s="256" t="inlineStr">
        <is>
          <t>TAMC</t>
        </is>
      </c>
      <c r="I1873" s="256" t="inlineStr">
        <is>
          <t>Ph. Eur. 2.6.12 cat. C</t>
        </is>
      </c>
      <c r="J1873" s="256" t="inlineStr">
        <is>
          <t>≤ 10⁵ CFU/g</t>
        </is>
      </c>
      <c r="K1873" s="259" t="inlineStr">
        <is>
          <t>not tested</t>
        </is>
      </c>
      <c r="L1873" s="256" t="inlineStr">
        <is>
          <t>—</t>
        </is>
      </c>
      <c r="M1873" s="256" t="inlineStr">
        <is>
          <t>—</t>
        </is>
      </c>
      <c r="N1873" s="256" t="inlineStr">
        <is>
          <t>—</t>
        </is>
      </c>
      <c r="O1873" s="256" t="inlineStr">
        <is>
          <t>—</t>
        </is>
      </c>
      <c r="P1873" s="256" t="inlineStr">
        <is>
          <t>not tested — no certificate covers it</t>
        </is>
      </c>
      <c r="Q1873" s="256" t="inlineStr"/>
      <c r="R1873" s="256" t="inlineStr"/>
    </row>
    <row r="1874">
      <c r="A1874" s="256" t="inlineStr">
        <is>
          <t>CoQ-PP_26-082</t>
        </is>
      </c>
      <c r="B1874" s="256" t="inlineStr">
        <is>
          <t>release</t>
        </is>
      </c>
      <c r="C1874" s="256" t="inlineStr">
        <is>
          <t>GG032601</t>
        </is>
      </c>
      <c r="D1874" s="256" t="inlineStr">
        <is>
          <t>— no P lot assigned —</t>
        </is>
      </c>
      <c r="E1874" s="256" t="inlineStr">
        <is>
          <t>Gorilla Glue</t>
        </is>
      </c>
      <c r="F1874" s="256" t="inlineStr">
        <is>
          <t>28.07.2026</t>
        </is>
      </c>
      <c r="G1874" s="256" t="inlineStr">
        <is>
          <t>9.2</t>
        </is>
      </c>
      <c r="H1874" s="256" t="inlineStr">
        <is>
          <t>TYMC</t>
        </is>
      </c>
      <c r="I1874" s="256" t="inlineStr">
        <is>
          <t>Ph. Eur. 2.6.12 cat. C</t>
        </is>
      </c>
      <c r="J1874" s="256" t="inlineStr">
        <is>
          <t>≤ 10⁴ CFU/g</t>
        </is>
      </c>
      <c r="K1874" s="259" t="inlineStr">
        <is>
          <t>not tested</t>
        </is>
      </c>
      <c r="L1874" s="256" t="inlineStr">
        <is>
          <t>—</t>
        </is>
      </c>
      <c r="M1874" s="256" t="inlineStr">
        <is>
          <t>—</t>
        </is>
      </c>
      <c r="N1874" s="256" t="inlineStr">
        <is>
          <t>—</t>
        </is>
      </c>
      <c r="O1874" s="256" t="inlineStr">
        <is>
          <t>—</t>
        </is>
      </c>
      <c r="P1874" s="256" t="inlineStr">
        <is>
          <t>not tested — no certificate covers it</t>
        </is>
      </c>
      <c r="Q1874" s="256" t="inlineStr"/>
      <c r="R1874" s="256" t="inlineStr"/>
    </row>
    <row r="1875">
      <c r="A1875" s="256" t="inlineStr">
        <is>
          <t>CoQ-PP_26-082</t>
        </is>
      </c>
      <c r="B1875" s="256" t="inlineStr">
        <is>
          <t>release</t>
        </is>
      </c>
      <c r="C1875" s="256" t="inlineStr">
        <is>
          <t>GG032601</t>
        </is>
      </c>
      <c r="D1875" s="256" t="inlineStr">
        <is>
          <t>— no P lot assigned —</t>
        </is>
      </c>
      <c r="E1875" s="256" t="inlineStr">
        <is>
          <t>Gorilla Glue</t>
        </is>
      </c>
      <c r="F1875" s="256" t="inlineStr">
        <is>
          <t>28.07.2026</t>
        </is>
      </c>
      <c r="G1875" s="256" t="inlineStr">
        <is>
          <t>9.3</t>
        </is>
      </c>
      <c r="H1875" s="256" t="inlineStr">
        <is>
          <t>Bile-tolerant gram-neg.</t>
        </is>
      </c>
      <c r="I1875" s="256" t="inlineStr">
        <is>
          <t>Ph. Eur. 2.6.31 cat. C</t>
        </is>
      </c>
      <c r="J1875" s="256" t="inlineStr">
        <is>
          <t>≤ 10⁴ CFU/g</t>
        </is>
      </c>
      <c r="K1875" s="259" t="inlineStr">
        <is>
          <t>not tested</t>
        </is>
      </c>
      <c r="L1875" s="256" t="inlineStr">
        <is>
          <t>—</t>
        </is>
      </c>
      <c r="M1875" s="256" t="inlineStr">
        <is>
          <t>—</t>
        </is>
      </c>
      <c r="N1875" s="256" t="inlineStr">
        <is>
          <t>—</t>
        </is>
      </c>
      <c r="O1875" s="256" t="inlineStr">
        <is>
          <t>—</t>
        </is>
      </c>
      <c r="P1875" s="256" t="inlineStr">
        <is>
          <t>not tested — no certificate covers it</t>
        </is>
      </c>
      <c r="Q1875" s="256" t="inlineStr"/>
      <c r="R1875" s="256" t="inlineStr"/>
    </row>
    <row r="1876">
      <c r="A1876" s="256" t="inlineStr">
        <is>
          <t>CoQ-PP_26-082</t>
        </is>
      </c>
      <c r="B1876" s="256" t="inlineStr">
        <is>
          <t>release</t>
        </is>
      </c>
      <c r="C1876" s="256" t="inlineStr">
        <is>
          <t>GG032601</t>
        </is>
      </c>
      <c r="D1876" s="256" t="inlineStr">
        <is>
          <t>— no P lot assigned —</t>
        </is>
      </c>
      <c r="E1876" s="256" t="inlineStr">
        <is>
          <t>Gorilla Glue</t>
        </is>
      </c>
      <c r="F1876" s="256" t="inlineStr">
        <is>
          <t>28.07.2026</t>
        </is>
      </c>
      <c r="G1876" s="256" t="inlineStr">
        <is>
          <t>9.4</t>
        </is>
      </c>
      <c r="H1876" s="256" t="inlineStr">
        <is>
          <t>Salmonella</t>
        </is>
      </c>
      <c r="I1876" s="256" t="inlineStr">
        <is>
          <t>Ph. Eur. 2.6.31 cat. C</t>
        </is>
      </c>
      <c r="J1876" s="256" t="inlineStr">
        <is>
          <t>Absence | Отсуство / 25 g</t>
        </is>
      </c>
      <c r="K1876" s="259" t="inlineStr">
        <is>
          <t>not tested</t>
        </is>
      </c>
      <c r="L1876" s="256" t="inlineStr">
        <is>
          <t>—</t>
        </is>
      </c>
      <c r="M1876" s="256" t="inlineStr">
        <is>
          <t>—</t>
        </is>
      </c>
      <c r="N1876" s="256" t="inlineStr">
        <is>
          <t>—</t>
        </is>
      </c>
      <c r="O1876" s="256" t="inlineStr">
        <is>
          <t>—</t>
        </is>
      </c>
      <c r="P1876" s="256" t="inlineStr">
        <is>
          <t>not tested — no certificate covers it</t>
        </is>
      </c>
      <c r="Q1876" s="256" t="inlineStr"/>
      <c r="R1876" s="256" t="inlineStr"/>
    </row>
    <row r="1877">
      <c r="A1877" s="256" t="inlineStr">
        <is>
          <t>CoQ-PP_26-082</t>
        </is>
      </c>
      <c r="B1877" s="256" t="inlineStr">
        <is>
          <t>release</t>
        </is>
      </c>
      <c r="C1877" s="256" t="inlineStr">
        <is>
          <t>GG032601</t>
        </is>
      </c>
      <c r="D1877" s="256" t="inlineStr">
        <is>
          <t>— no P lot assigned —</t>
        </is>
      </c>
      <c r="E1877" s="256" t="inlineStr">
        <is>
          <t>Gorilla Glue</t>
        </is>
      </c>
      <c r="F1877" s="256" t="inlineStr">
        <is>
          <t>28.07.2026</t>
        </is>
      </c>
      <c r="G1877" s="256" t="inlineStr">
        <is>
          <t>9.5</t>
        </is>
      </c>
      <c r="H1877" s="256" t="inlineStr">
        <is>
          <t>Escherichia coli</t>
        </is>
      </c>
      <c r="I1877" s="256" t="inlineStr">
        <is>
          <t>Ph. Eur. 2.6.13 cat. C</t>
        </is>
      </c>
      <c r="J1877" s="256" t="inlineStr">
        <is>
          <t>Absence | Отсуство / 1 g</t>
        </is>
      </c>
      <c r="K1877" s="259" t="inlineStr">
        <is>
          <t>not tested</t>
        </is>
      </c>
      <c r="L1877" s="256" t="inlineStr">
        <is>
          <t>—</t>
        </is>
      </c>
      <c r="M1877" s="256" t="inlineStr">
        <is>
          <t>—</t>
        </is>
      </c>
      <c r="N1877" s="256" t="inlineStr">
        <is>
          <t>—</t>
        </is>
      </c>
      <c r="O1877" s="256" t="inlineStr">
        <is>
          <t>—</t>
        </is>
      </c>
      <c r="P1877" s="256" t="inlineStr">
        <is>
          <t>not tested — no certificate covers it</t>
        </is>
      </c>
      <c r="Q1877" s="256" t="inlineStr"/>
      <c r="R1877" s="256" t="inlineStr"/>
    </row>
    <row r="1878">
      <c r="A1878" s="256" t="inlineStr">
        <is>
          <t>CoQ-PP_26-082</t>
        </is>
      </c>
      <c r="B1878" s="256" t="inlineStr">
        <is>
          <t>release</t>
        </is>
      </c>
      <c r="C1878" s="256" t="inlineStr">
        <is>
          <t>GG032601</t>
        </is>
      </c>
      <c r="D1878" s="256" t="inlineStr">
        <is>
          <t>— no P lot assigned —</t>
        </is>
      </c>
      <c r="E1878" s="256" t="inlineStr">
        <is>
          <t>Gorilla Glue</t>
        </is>
      </c>
      <c r="F1878" s="256" t="inlineStr">
        <is>
          <t>28.07.2026</t>
        </is>
      </c>
      <c r="G1878" s="256" t="inlineStr">
        <is>
          <t>9.6</t>
        </is>
      </c>
      <c r="H1878" s="256" t="inlineStr">
        <is>
          <t>Pseudomonas aeruginosa</t>
        </is>
      </c>
      <c r="I1878" s="256" t="inlineStr">
        <is>
          <t>Ph. Eur. 2.6.13 cat. C</t>
        </is>
      </c>
      <c r="J1878" s="256" t="inlineStr">
        <is>
          <t>Absence | Отсуство / 1 g</t>
        </is>
      </c>
      <c r="K1878" s="260" t="inlineStr">
        <is>
          <t>upon request — not required for release</t>
        </is>
      </c>
      <c r="L1878" s="256" t="inlineStr">
        <is>
          <t>—</t>
        </is>
      </c>
      <c r="M1878" s="256" t="inlineStr">
        <is>
          <t>—</t>
        </is>
      </c>
      <c r="N1878" s="256" t="inlineStr">
        <is>
          <t>—</t>
        </is>
      </c>
      <c r="O1878" s="256" t="inlineStr">
        <is>
          <t>—</t>
        </is>
      </c>
      <c r="P1878" s="256" t="inlineStr">
        <is>
          <t>upon request — not required for release</t>
        </is>
      </c>
      <c r="Q1878" s="256" t="inlineStr"/>
      <c r="R1878" s="256" t="inlineStr"/>
    </row>
    <row r="1879">
      <c r="A1879" s="256" t="inlineStr">
        <is>
          <t>CoQ-PP_26-082</t>
        </is>
      </c>
      <c r="B1879" s="256" t="inlineStr">
        <is>
          <t>release</t>
        </is>
      </c>
      <c r="C1879" s="256" t="inlineStr">
        <is>
          <t>GG032601</t>
        </is>
      </c>
      <c r="D1879" s="256" t="inlineStr">
        <is>
          <t>— no P lot assigned —</t>
        </is>
      </c>
      <c r="E1879" s="256" t="inlineStr">
        <is>
          <t>Gorilla Glue</t>
        </is>
      </c>
      <c r="F1879" s="256" t="inlineStr">
        <is>
          <t>28.07.2026</t>
        </is>
      </c>
      <c r="G1879" s="256" t="inlineStr">
        <is>
          <t>9.7</t>
        </is>
      </c>
      <c r="H1879" s="256" t="inlineStr">
        <is>
          <t>Staphylococcus aureus</t>
        </is>
      </c>
      <c r="I1879" s="256" t="inlineStr">
        <is>
          <t>Ph. Eur. 2.6.13 cat. C</t>
        </is>
      </c>
      <c r="J1879" s="256" t="inlineStr">
        <is>
          <t>Absence | Отсуство / 1 g</t>
        </is>
      </c>
      <c r="K1879" s="260" t="inlineStr">
        <is>
          <t>upon request — not required for release</t>
        </is>
      </c>
      <c r="L1879" s="256" t="inlineStr">
        <is>
          <t>—</t>
        </is>
      </c>
      <c r="M1879" s="256" t="inlineStr">
        <is>
          <t>—</t>
        </is>
      </c>
      <c r="N1879" s="256" t="inlineStr">
        <is>
          <t>—</t>
        </is>
      </c>
      <c r="O1879" s="256" t="inlineStr">
        <is>
          <t>—</t>
        </is>
      </c>
      <c r="P1879" s="256" t="inlineStr">
        <is>
          <t>upon request — not required for release</t>
        </is>
      </c>
      <c r="Q1879" s="256" t="inlineStr"/>
      <c r="R1879" s="256" t="inlineStr"/>
    </row>
    <row r="1880">
      <c r="A1880" s="256" t="inlineStr">
        <is>
          <t>CoQ-PP_26-082</t>
        </is>
      </c>
      <c r="B1880" s="256" t="inlineStr">
        <is>
          <t>release</t>
        </is>
      </c>
      <c r="C1880" s="256" t="inlineStr">
        <is>
          <t>GG032601</t>
        </is>
      </c>
      <c r="D1880" s="256" t="inlineStr">
        <is>
          <t>— no P lot assigned —</t>
        </is>
      </c>
      <c r="E1880" s="256" t="inlineStr">
        <is>
          <t>Gorilla Glue</t>
        </is>
      </c>
      <c r="F1880" s="256" t="inlineStr">
        <is>
          <t>28.07.2026</t>
        </is>
      </c>
      <c r="G1880" s="256" t="inlineStr">
        <is>
          <t>10.1</t>
        </is>
      </c>
      <c r="H1880" s="256" t="inlineStr">
        <is>
          <t>Aflatoxin B₁</t>
        </is>
      </c>
      <c r="I1880" s="256" t="inlineStr">
        <is>
          <t>Ph. Eur. 2.8.18 (HPLC-FLD)</t>
        </is>
      </c>
      <c r="J1880" s="256" t="inlineStr">
        <is>
          <t>≤ 2 µg/kg</t>
        </is>
      </c>
      <c r="K1880" s="259" t="inlineStr">
        <is>
          <t>not tested</t>
        </is>
      </c>
      <c r="L1880" s="256" t="inlineStr">
        <is>
          <t>—</t>
        </is>
      </c>
      <c r="M1880" s="256" t="inlineStr">
        <is>
          <t>—</t>
        </is>
      </c>
      <c r="N1880" s="256" t="inlineStr">
        <is>
          <t>—</t>
        </is>
      </c>
      <c r="O1880" s="256" t="inlineStr">
        <is>
          <t>—</t>
        </is>
      </c>
      <c r="P1880" s="256" t="inlineStr">
        <is>
          <t>not tested — no certificate covers it</t>
        </is>
      </c>
      <c r="Q1880" s="256" t="inlineStr"/>
      <c r="R1880" s="256" t="inlineStr"/>
    </row>
    <row r="1881">
      <c r="A1881" s="256" t="inlineStr">
        <is>
          <t>CoQ-PP_26-082</t>
        </is>
      </c>
      <c r="B1881" s="256" t="inlineStr">
        <is>
          <t>release</t>
        </is>
      </c>
      <c r="C1881" s="256" t="inlineStr">
        <is>
          <t>GG032601</t>
        </is>
      </c>
      <c r="D1881" s="256" t="inlineStr">
        <is>
          <t>— no P lot assigned —</t>
        </is>
      </c>
      <c r="E1881" s="256" t="inlineStr">
        <is>
          <t>Gorilla Glue</t>
        </is>
      </c>
      <c r="F1881" s="256" t="inlineStr">
        <is>
          <t>28.07.2026</t>
        </is>
      </c>
      <c r="G1881" s="256" t="inlineStr">
        <is>
          <t>10.2</t>
        </is>
      </c>
      <c r="H1881" s="256" t="inlineStr">
        <is>
          <t>Aflatoxins ∑</t>
        </is>
      </c>
      <c r="I1881" s="256" t="inlineStr">
        <is>
          <t>Ph. Eur. 2.8.18 (HPLC-FLD)</t>
        </is>
      </c>
      <c r="J1881" s="256" t="inlineStr">
        <is>
          <t>≤ 4 µg/kg</t>
        </is>
      </c>
      <c r="K1881" s="259" t="inlineStr">
        <is>
          <t>not tested</t>
        </is>
      </c>
      <c r="L1881" s="256" t="inlineStr">
        <is>
          <t>—</t>
        </is>
      </c>
      <c r="M1881" s="256" t="inlineStr">
        <is>
          <t>—</t>
        </is>
      </c>
      <c r="N1881" s="256" t="inlineStr">
        <is>
          <t>—</t>
        </is>
      </c>
      <c r="O1881" s="256" t="inlineStr">
        <is>
          <t>—</t>
        </is>
      </c>
      <c r="P1881" s="256" t="inlineStr">
        <is>
          <t>not tested — no certificate covers it</t>
        </is>
      </c>
      <c r="Q1881" s="256" t="inlineStr"/>
      <c r="R1881" s="256" t="inlineStr"/>
    </row>
    <row r="1882">
      <c r="A1882" s="256" t="inlineStr">
        <is>
          <t>CoQ-PP_26-082</t>
        </is>
      </c>
      <c r="B1882" s="256" t="inlineStr">
        <is>
          <t>release</t>
        </is>
      </c>
      <c r="C1882" s="256" t="inlineStr">
        <is>
          <t>GG032601</t>
        </is>
      </c>
      <c r="D1882" s="256" t="inlineStr">
        <is>
          <t>— no P lot assigned —</t>
        </is>
      </c>
      <c r="E1882" s="256" t="inlineStr">
        <is>
          <t>Gorilla Glue</t>
        </is>
      </c>
      <c r="F1882" s="256" t="inlineStr">
        <is>
          <t>28.07.2026</t>
        </is>
      </c>
      <c r="G1882" s="256" t="inlineStr">
        <is>
          <t>10.3</t>
        </is>
      </c>
      <c r="H1882" s="256" t="inlineStr">
        <is>
          <t>Ochratoxin A</t>
        </is>
      </c>
      <c r="I1882" s="256" t="inlineStr">
        <is>
          <t>Ph. Eur. 2.8.22 (HPLC-FLD)</t>
        </is>
      </c>
      <c r="J1882" s="256" t="inlineStr">
        <is>
          <t>≤ 20 µg/kg</t>
        </is>
      </c>
      <c r="K1882" s="259" t="inlineStr">
        <is>
          <t>not tested</t>
        </is>
      </c>
      <c r="L1882" s="256" t="inlineStr">
        <is>
          <t>—</t>
        </is>
      </c>
      <c r="M1882" s="256" t="inlineStr">
        <is>
          <t>—</t>
        </is>
      </c>
      <c r="N1882" s="256" t="inlineStr">
        <is>
          <t>—</t>
        </is>
      </c>
      <c r="O1882" s="256" t="inlineStr">
        <is>
          <t>—</t>
        </is>
      </c>
      <c r="P1882" s="256" t="inlineStr">
        <is>
          <t>not tested — no certificate covers it</t>
        </is>
      </c>
      <c r="Q1882" s="256" t="inlineStr"/>
      <c r="R1882" s="256" t="inlineStr"/>
    </row>
    <row r="1883">
      <c r="A1883" s="256" t="inlineStr">
        <is>
          <t>CoQ-PP_26-082</t>
        </is>
      </c>
      <c r="B1883" s="256" t="inlineStr">
        <is>
          <t>release</t>
        </is>
      </c>
      <c r="C1883" s="256" t="inlineStr">
        <is>
          <t>GG032601</t>
        </is>
      </c>
      <c r="D1883" s="256" t="inlineStr">
        <is>
          <t>— no P lot assigned —</t>
        </is>
      </c>
      <c r="E1883" s="256" t="inlineStr">
        <is>
          <t>Gorilla Glue</t>
        </is>
      </c>
      <c r="F1883" s="256" t="inlineStr">
        <is>
          <t>28.07.2026</t>
        </is>
      </c>
      <c r="G1883" s="256" t="inlineStr">
        <is>
          <t>11.1</t>
        </is>
      </c>
      <c r="H1883" s="256" t="inlineStr">
        <is>
          <t>Lead (Pb)</t>
        </is>
      </c>
      <c r="I1883" s="256" t="inlineStr">
        <is>
          <t>Ph. Eur. 2.4.27 (ICP-MS)</t>
        </is>
      </c>
      <c r="J1883" s="256" t="inlineStr">
        <is>
          <t>≤ 0.5 mg/kg</t>
        </is>
      </c>
      <c r="K1883" s="259" t="inlineStr">
        <is>
          <t>not tested</t>
        </is>
      </c>
      <c r="L1883" s="256" t="inlineStr">
        <is>
          <t>—</t>
        </is>
      </c>
      <c r="M1883" s="256" t="inlineStr">
        <is>
          <t>—</t>
        </is>
      </c>
      <c r="N1883" s="256" t="inlineStr">
        <is>
          <t>—</t>
        </is>
      </c>
      <c r="O1883" s="256" t="inlineStr">
        <is>
          <t>—</t>
        </is>
      </c>
      <c r="P1883" s="256" t="inlineStr">
        <is>
          <t>not tested — no certificate covers it</t>
        </is>
      </c>
      <c r="Q1883" s="256" t="inlineStr"/>
      <c r="R1883" s="256" t="inlineStr"/>
    </row>
    <row r="1884">
      <c r="A1884" s="256" t="inlineStr">
        <is>
          <t>CoQ-PP_26-082</t>
        </is>
      </c>
      <c r="B1884" s="256" t="inlineStr">
        <is>
          <t>release</t>
        </is>
      </c>
      <c r="C1884" s="256" t="inlineStr">
        <is>
          <t>GG032601</t>
        </is>
      </c>
      <c r="D1884" s="256" t="inlineStr">
        <is>
          <t>— no P lot assigned —</t>
        </is>
      </c>
      <c r="E1884" s="256" t="inlineStr">
        <is>
          <t>Gorilla Glue</t>
        </is>
      </c>
      <c r="F1884" s="256" t="inlineStr">
        <is>
          <t>28.07.2026</t>
        </is>
      </c>
      <c r="G1884" s="256" t="inlineStr">
        <is>
          <t>11.2</t>
        </is>
      </c>
      <c r="H1884" s="256" t="inlineStr">
        <is>
          <t>Cadmium (Cd)</t>
        </is>
      </c>
      <c r="I1884" s="256" t="inlineStr">
        <is>
          <t>Ph. Eur. 2.4.27 (ICP-MS)</t>
        </is>
      </c>
      <c r="J1884" s="256" t="inlineStr">
        <is>
          <t>≤ 0.3 mg/kg</t>
        </is>
      </c>
      <c r="K1884" s="259" t="inlineStr">
        <is>
          <t>not tested</t>
        </is>
      </c>
      <c r="L1884" s="256" t="inlineStr">
        <is>
          <t>—</t>
        </is>
      </c>
      <c r="M1884" s="256" t="inlineStr">
        <is>
          <t>—</t>
        </is>
      </c>
      <c r="N1884" s="256" t="inlineStr">
        <is>
          <t>—</t>
        </is>
      </c>
      <c r="O1884" s="256" t="inlineStr">
        <is>
          <t>—</t>
        </is>
      </c>
      <c r="P1884" s="256" t="inlineStr">
        <is>
          <t>not tested — no certificate covers it</t>
        </is>
      </c>
      <c r="Q1884" s="256" t="inlineStr"/>
      <c r="R1884" s="256" t="inlineStr"/>
    </row>
    <row r="1885">
      <c r="A1885" s="256" t="inlineStr">
        <is>
          <t>CoQ-PP_26-082</t>
        </is>
      </c>
      <c r="B1885" s="256" t="inlineStr">
        <is>
          <t>release</t>
        </is>
      </c>
      <c r="C1885" s="256" t="inlineStr">
        <is>
          <t>GG032601</t>
        </is>
      </c>
      <c r="D1885" s="256" t="inlineStr">
        <is>
          <t>— no P lot assigned —</t>
        </is>
      </c>
      <c r="E1885" s="256" t="inlineStr">
        <is>
          <t>Gorilla Glue</t>
        </is>
      </c>
      <c r="F1885" s="256" t="inlineStr">
        <is>
          <t>28.07.2026</t>
        </is>
      </c>
      <c r="G1885" s="256" t="inlineStr">
        <is>
          <t>11.3</t>
        </is>
      </c>
      <c r="H1885" s="256" t="inlineStr">
        <is>
          <t>Arsenic (As)</t>
        </is>
      </c>
      <c r="I1885" s="256" t="inlineStr">
        <is>
          <t>Ph. Eur. 2.4.27 (ICP-MS)</t>
        </is>
      </c>
      <c r="J1885" s="256" t="inlineStr">
        <is>
          <t>≤ 0.2 mg/kg</t>
        </is>
      </c>
      <c r="K1885" s="259" t="inlineStr">
        <is>
          <t>not tested</t>
        </is>
      </c>
      <c r="L1885" s="256" t="inlineStr">
        <is>
          <t>—</t>
        </is>
      </c>
      <c r="M1885" s="256" t="inlineStr">
        <is>
          <t>—</t>
        </is>
      </c>
      <c r="N1885" s="256" t="inlineStr">
        <is>
          <t>—</t>
        </is>
      </c>
      <c r="O1885" s="256" t="inlineStr">
        <is>
          <t>—</t>
        </is>
      </c>
      <c r="P1885" s="256" t="inlineStr">
        <is>
          <t>not tested — no certificate covers it</t>
        </is>
      </c>
      <c r="Q1885" s="256" t="inlineStr"/>
      <c r="R1885" s="256" t="inlineStr"/>
    </row>
    <row r="1886">
      <c r="A1886" s="256" t="inlineStr">
        <is>
          <t>CoQ-PP_26-082</t>
        </is>
      </c>
      <c r="B1886" s="256" t="inlineStr">
        <is>
          <t>release</t>
        </is>
      </c>
      <c r="C1886" s="256" t="inlineStr">
        <is>
          <t>GG032601</t>
        </is>
      </c>
      <c r="D1886" s="256" t="inlineStr">
        <is>
          <t>— no P lot assigned —</t>
        </is>
      </c>
      <c r="E1886" s="256" t="inlineStr">
        <is>
          <t>Gorilla Glue</t>
        </is>
      </c>
      <c r="F1886" s="256" t="inlineStr">
        <is>
          <t>28.07.2026</t>
        </is>
      </c>
      <c r="G1886" s="256" t="inlineStr">
        <is>
          <t>11.4</t>
        </is>
      </c>
      <c r="H1886" s="256" t="inlineStr">
        <is>
          <t>Mercury (Hg)</t>
        </is>
      </c>
      <c r="I1886" s="256" t="inlineStr">
        <is>
          <t>Ph. Eur. 2.4.27 (ICP-MS)</t>
        </is>
      </c>
      <c r="J1886" s="256" t="inlineStr">
        <is>
          <t>≤ 0.1 mg/kg</t>
        </is>
      </c>
      <c r="K1886" s="259" t="inlineStr">
        <is>
          <t>not tested</t>
        </is>
      </c>
      <c r="L1886" s="256" t="inlineStr">
        <is>
          <t>—</t>
        </is>
      </c>
      <c r="M1886" s="256" t="inlineStr">
        <is>
          <t>—</t>
        </is>
      </c>
      <c r="N1886" s="256" t="inlineStr">
        <is>
          <t>—</t>
        </is>
      </c>
      <c r="O1886" s="256" t="inlineStr">
        <is>
          <t>—</t>
        </is>
      </c>
      <c r="P1886" s="256" t="inlineStr">
        <is>
          <t>not tested — no certificate covers it</t>
        </is>
      </c>
      <c r="Q1886" s="256" t="inlineStr"/>
      <c r="R1886" s="256" t="inlineStr"/>
    </row>
    <row r="1887">
      <c r="A1887" s="256" t="inlineStr">
        <is>
          <t>CoQ-PP_26-082</t>
        </is>
      </c>
      <c r="B1887" s="256" t="inlineStr">
        <is>
          <t>release</t>
        </is>
      </c>
      <c r="C1887" s="256" t="inlineStr">
        <is>
          <t>GG032601</t>
        </is>
      </c>
      <c r="D1887" s="256" t="inlineStr">
        <is>
          <t>— no P lot assigned —</t>
        </is>
      </c>
      <c r="E1887" s="256" t="inlineStr">
        <is>
          <t>Gorilla Glue</t>
        </is>
      </c>
      <c r="F1887" s="256" t="inlineStr">
        <is>
          <t>28.07.2026</t>
        </is>
      </c>
      <c r="G1887" s="256" t="inlineStr">
        <is>
          <t>12</t>
        </is>
      </c>
      <c r="H1887" s="256" t="inlineStr">
        <is>
          <t>Pesticide Residues</t>
        </is>
      </c>
      <c r="I1887" s="256" t="inlineStr">
        <is>
          <t>Ph. Eur. 2.8.13 (LC-MS/MS) · CUMCS Equivalency</t>
        </is>
      </c>
      <c r="J1887" s="256" t="inlineStr">
        <is>
          <t>≤ LOQ as per Ph. Eur. 2.8.13 · ≤ LOQ as per CUMCS Equivalency</t>
        </is>
      </c>
      <c r="K1887" s="259" t="inlineStr">
        <is>
          <t>not tested</t>
        </is>
      </c>
      <c r="L1887" s="256" t="inlineStr">
        <is>
          <t>—</t>
        </is>
      </c>
      <c r="M1887" s="256" t="inlineStr">
        <is>
          <t>—</t>
        </is>
      </c>
      <c r="N1887" s="256" t="inlineStr">
        <is>
          <t>—</t>
        </is>
      </c>
      <c r="O1887" s="256" t="inlineStr">
        <is>
          <t>—</t>
        </is>
      </c>
      <c r="P1887" s="256" t="inlineStr">
        <is>
          <t>not tested — no certificate covers it</t>
        </is>
      </c>
      <c r="Q1887" s="256" t="inlineStr"/>
      <c r="R1887" s="256" t="inlineStr"/>
    </row>
    <row r="1888">
      <c r="A1888" s="256" t="inlineStr">
        <is>
          <t>CoQ-PP_26-083</t>
        </is>
      </c>
      <c r="B1888" s="256" t="inlineStr">
        <is>
          <t>release</t>
        </is>
      </c>
      <c r="C1888" s="256" t="inlineStr">
        <is>
          <t>JD022601</t>
        </is>
      </c>
      <c r="D1888" s="256" t="inlineStr">
        <is>
          <t>— no P lot assigned —</t>
        </is>
      </c>
      <c r="E1888" s="256" t="inlineStr">
        <is>
          <t>Jelly Donuts</t>
        </is>
      </c>
      <c r="F1888" s="256" t="inlineStr">
        <is>
          <t>05.08.2026</t>
        </is>
      </c>
      <c r="G1888" s="256" t="inlineStr">
        <is>
          <t>1</t>
        </is>
      </c>
      <c r="H1888" s="256" t="inlineStr">
        <is>
          <t>Identification A, Appearance · Macroscopic</t>
        </is>
      </c>
      <c r="I1888" s="256" t="inlineStr">
        <is>
          <t>Ph. Eur. mon. 3028</t>
        </is>
      </c>
      <c r="J1888" s="256" t="inlineStr">
        <is>
          <t>Conforms to the monograph for Cannabis flos (07/2024:3028) in Ph. Eur. 11.0 | Согласно монографија за Cannabis flos (07/2024:3028) во Ph. Eur. 11.0</t>
        </is>
      </c>
      <c r="K1888" s="256" t="inlineStr">
        <is>
          <t>Conforms | Одговара</t>
        </is>
      </c>
      <c r="L1888" s="256" t="inlineStr">
        <is>
          <t>ППК26115</t>
        </is>
      </c>
      <c r="M1888" s="256" t="inlineStr">
        <is>
          <t>30.06.2026</t>
        </is>
      </c>
      <c r="N1888" s="256" t="inlineStr">
        <is>
          <t>UKIM Faculty of Pharmacy — Center for Natural Products</t>
        </is>
      </c>
      <c r="O1888" s="256" t="inlineStr">
        <is>
          <t>17.06.2026</t>
        </is>
      </c>
      <c r="P1888" s="256" t="inlineStr">
        <is>
          <t>covered</t>
        </is>
      </c>
      <c r="Q1888" s="256" t="inlineStr"/>
      <c r="R1888" s="256" t="inlineStr"/>
    </row>
    <row r="1889">
      <c r="A1889" s="256" t="inlineStr">
        <is>
          <t>CoQ-PP_26-083</t>
        </is>
      </c>
      <c r="B1889" s="256" t="inlineStr">
        <is>
          <t>release</t>
        </is>
      </c>
      <c r="C1889" s="256" t="inlineStr">
        <is>
          <t>JD022601</t>
        </is>
      </c>
      <c r="D1889" s="256" t="inlineStr">
        <is>
          <t>— no P lot assigned —</t>
        </is>
      </c>
      <c r="E1889" s="256" t="inlineStr">
        <is>
          <t>Jelly Donuts</t>
        </is>
      </c>
      <c r="F1889" s="256" t="inlineStr">
        <is>
          <t>05.08.2026</t>
        </is>
      </c>
      <c r="G1889" s="256" t="inlineStr">
        <is>
          <t>2</t>
        </is>
      </c>
      <c r="H1889" s="256" t="inlineStr">
        <is>
          <t>Identification B · Microscopic</t>
        </is>
      </c>
      <c r="I1889" s="256" t="inlineStr">
        <is>
          <t>Ph. Eur. 2.8.23 (microscopy)</t>
        </is>
      </c>
      <c r="J1889" s="256" t="inlineStr">
        <is>
          <t>Conforms to the monograph for Cannabis flos (07/2024:3028) in Ph. Eur. 11.0 | Согласно монографија за Cannabis flos (07/2024:3028) во Ph. Eur. 11.0</t>
        </is>
      </c>
      <c r="K1889" s="256" t="inlineStr">
        <is>
          <t>Conforms | Одговара</t>
        </is>
      </c>
      <c r="L1889" s="256" t="inlineStr">
        <is>
          <t>ППК26115</t>
        </is>
      </c>
      <c r="M1889" s="256" t="inlineStr">
        <is>
          <t>30.06.2026</t>
        </is>
      </c>
      <c r="N1889" s="256" t="inlineStr">
        <is>
          <t>UKIM Faculty of Pharmacy — Center for Natural Products</t>
        </is>
      </c>
      <c r="O1889" s="256" t="inlineStr">
        <is>
          <t>17.06.2026</t>
        </is>
      </c>
      <c r="P1889" s="256" t="inlineStr">
        <is>
          <t>covered</t>
        </is>
      </c>
      <c r="Q1889" s="256" t="inlineStr"/>
      <c r="R1889" s="256" t="inlineStr"/>
    </row>
    <row r="1890">
      <c r="A1890" s="256" t="inlineStr">
        <is>
          <t>CoQ-PP_26-083</t>
        </is>
      </c>
      <c r="B1890" s="256" t="inlineStr">
        <is>
          <t>release</t>
        </is>
      </c>
      <c r="C1890" s="256" t="inlineStr">
        <is>
          <t>JD022601</t>
        </is>
      </c>
      <c r="D1890" s="256" t="inlineStr">
        <is>
          <t>— no P lot assigned —</t>
        </is>
      </c>
      <c r="E1890" s="256" t="inlineStr">
        <is>
          <t>Jelly Donuts</t>
        </is>
      </c>
      <c r="F1890" s="256" t="inlineStr">
        <is>
          <t>05.08.2026</t>
        </is>
      </c>
      <c r="G1890" s="256" t="inlineStr">
        <is>
          <t>3</t>
        </is>
      </c>
      <c r="H1890" s="256" t="inlineStr">
        <is>
          <t>Identification C · HPLC/HPTLC</t>
        </is>
      </c>
      <c r="I1890" s="256" t="inlineStr">
        <is>
          <t>Ph. Eur. 2.2.29 (3028)</t>
        </is>
      </c>
      <c r="J1890" s="256" t="inlineStr">
        <is>
          <t>Conforms to the monograph for Cannabis flos (07/2024:3028) in Ph. Eur. 11.0 | Согласно монографија за Cannabis flos (07/2024:3028) во Ph. Eur. 11.0</t>
        </is>
      </c>
      <c r="K1890" s="256" t="inlineStr">
        <is>
          <t>Conforms | Одговара</t>
        </is>
      </c>
      <c r="L1890" s="256" t="inlineStr">
        <is>
          <t>ППК26115</t>
        </is>
      </c>
      <c r="M1890" s="256" t="inlineStr">
        <is>
          <t>30.06.2026</t>
        </is>
      </c>
      <c r="N1890" s="256" t="inlineStr">
        <is>
          <t>UKIM Faculty of Pharmacy — Center for Natural Products</t>
        </is>
      </c>
      <c r="O1890" s="256" t="inlineStr">
        <is>
          <t>17.06.2026</t>
        </is>
      </c>
      <c r="P1890" s="256" t="inlineStr">
        <is>
          <t>covered</t>
        </is>
      </c>
      <c r="Q1890" s="256" t="inlineStr"/>
      <c r="R1890" s="256" t="inlineStr"/>
    </row>
    <row r="1891">
      <c r="A1891" s="256" t="inlineStr">
        <is>
          <t>CoQ-PP_26-083</t>
        </is>
      </c>
      <c r="B1891" s="256" t="inlineStr">
        <is>
          <t>release</t>
        </is>
      </c>
      <c r="C1891" s="256" t="inlineStr">
        <is>
          <t>JD022601</t>
        </is>
      </c>
      <c r="D1891" s="256" t="inlineStr">
        <is>
          <t>— no P lot assigned —</t>
        </is>
      </c>
      <c r="E1891" s="256" t="inlineStr">
        <is>
          <t>Jelly Donuts</t>
        </is>
      </c>
      <c r="F1891" s="256" t="inlineStr">
        <is>
          <t>05.08.2026</t>
        </is>
      </c>
      <c r="G1891" s="256" t="inlineStr">
        <is>
          <t>4</t>
        </is>
      </c>
      <c r="H1891" s="256" t="inlineStr">
        <is>
          <t>Assay — Total Δ⁹-THC</t>
        </is>
      </c>
      <c r="I1891" s="256" t="inlineStr">
        <is>
          <t>Ph. Eur. 2.2.29 (HPLC)</t>
        </is>
      </c>
      <c r="J1891" s="256" t="inlineStr">
        <is>
          <t>16.20 – 19.79 %  (grade II, nominal 18.00 ± 1.80)</t>
        </is>
      </c>
      <c r="K1891" s="256" t="inlineStr">
        <is>
          <t>18.58</t>
        </is>
      </c>
      <c r="L1891" s="256" t="inlineStr">
        <is>
          <t>ППК26115</t>
        </is>
      </c>
      <c r="M1891" s="256" t="inlineStr">
        <is>
          <t>30.06.2026</t>
        </is>
      </c>
      <c r="N1891" s="256" t="inlineStr">
        <is>
          <t>UKIM Faculty of Pharmacy — Center for Natural Products</t>
        </is>
      </c>
      <c r="O1891" s="256" t="inlineStr">
        <is>
          <t>17.06.2026</t>
        </is>
      </c>
      <c r="P1891" s="256" t="inlineStr">
        <is>
          <t>covered</t>
        </is>
      </c>
      <c r="Q1891" s="256" t="inlineStr"/>
      <c r="R1891" s="256" t="inlineStr"/>
    </row>
    <row r="1892">
      <c r="A1892" s="256" t="inlineStr">
        <is>
          <t>CoQ-PP_26-083</t>
        </is>
      </c>
      <c r="B1892" s="256" t="inlineStr">
        <is>
          <t>release</t>
        </is>
      </c>
      <c r="C1892" s="256" t="inlineStr">
        <is>
          <t>JD022601</t>
        </is>
      </c>
      <c r="D1892" s="256" t="inlineStr">
        <is>
          <t>— no P lot assigned —</t>
        </is>
      </c>
      <c r="E1892" s="256" t="inlineStr">
        <is>
          <t>Jelly Donuts</t>
        </is>
      </c>
      <c r="F1892" s="256" t="inlineStr">
        <is>
          <t>05.08.2026</t>
        </is>
      </c>
      <c r="G1892" s="256" t="inlineStr">
        <is>
          <t>5</t>
        </is>
      </c>
      <c r="H1892" s="256" t="inlineStr">
        <is>
          <t>Assay — Total CBD</t>
        </is>
      </c>
      <c r="I1892" s="256" t="inlineStr">
        <is>
          <t>Ph. Eur. 2.2.29 (HPLC) · CBD + CBDA x 0.877</t>
        </is>
      </c>
      <c r="J1892" s="256" t="inlineStr">
        <is>
          <t>≤ 1.0%, w/w</t>
        </is>
      </c>
      <c r="K1892" s="256" t="inlineStr">
        <is>
          <t>&lt; LOQ (below limit of quantification)</t>
        </is>
      </c>
      <c r="L1892" s="256" t="inlineStr">
        <is>
          <t>ППК26115</t>
        </is>
      </c>
      <c r="M1892" s="256" t="inlineStr">
        <is>
          <t>30.06.2026</t>
        </is>
      </c>
      <c r="N1892" s="256" t="inlineStr">
        <is>
          <t>UKIM Faculty of Pharmacy — Center for Natural Products</t>
        </is>
      </c>
      <c r="O1892" s="256" t="inlineStr">
        <is>
          <t>17.06.2026</t>
        </is>
      </c>
      <c r="P1892" s="256" t="inlineStr">
        <is>
          <t>covered</t>
        </is>
      </c>
      <c r="Q1892" s="256" t="inlineStr"/>
      <c r="R1892" s="256" t="inlineStr"/>
    </row>
    <row r="1893">
      <c r="A1893" s="256" t="inlineStr">
        <is>
          <t>CoQ-PP_26-083</t>
        </is>
      </c>
      <c r="B1893" s="256" t="inlineStr">
        <is>
          <t>release</t>
        </is>
      </c>
      <c r="C1893" s="256" t="inlineStr">
        <is>
          <t>JD022601</t>
        </is>
      </c>
      <c r="D1893" s="256" t="inlineStr">
        <is>
          <t>— no P lot assigned —</t>
        </is>
      </c>
      <c r="E1893" s="256" t="inlineStr">
        <is>
          <t>Jelly Donuts</t>
        </is>
      </c>
      <c r="F1893" s="256" t="inlineStr">
        <is>
          <t>05.08.2026</t>
        </is>
      </c>
      <c r="G1893" s="256" t="inlineStr">
        <is>
          <t>6</t>
        </is>
      </c>
      <c r="H1893" s="256" t="inlineStr">
        <is>
          <t>Total CBN</t>
        </is>
      </c>
      <c r="I1893" s="256" t="inlineStr">
        <is>
          <t>Ph. Eur. 2.2.29 (HPLC) · CBN + CBNA x 0.876</t>
        </is>
      </c>
      <c r="J1893" s="256" t="inlineStr">
        <is>
          <t>≤ 1.0%, w/w</t>
        </is>
      </c>
      <c r="K1893" s="256" t="inlineStr">
        <is>
          <t>0.05</t>
        </is>
      </c>
      <c r="L1893" s="256" t="inlineStr">
        <is>
          <t>ППК26115</t>
        </is>
      </c>
      <c r="M1893" s="256" t="inlineStr">
        <is>
          <t>30.06.2026</t>
        </is>
      </c>
      <c r="N1893" s="256" t="inlineStr">
        <is>
          <t>UKIM Faculty of Pharmacy — Center for Natural Products</t>
        </is>
      </c>
      <c r="O1893" s="256" t="inlineStr">
        <is>
          <t>17.06.2026</t>
        </is>
      </c>
      <c r="P1893" s="256" t="inlineStr">
        <is>
          <t>covered</t>
        </is>
      </c>
      <c r="Q1893" s="256" t="inlineStr"/>
      <c r="R1893" s="256" t="inlineStr"/>
    </row>
    <row r="1894">
      <c r="A1894" s="256" t="inlineStr">
        <is>
          <t>CoQ-PP_26-083</t>
        </is>
      </c>
      <c r="B1894" s="256" t="inlineStr">
        <is>
          <t>release</t>
        </is>
      </c>
      <c r="C1894" s="256" t="inlineStr">
        <is>
          <t>JD022601</t>
        </is>
      </c>
      <c r="D1894" s="256" t="inlineStr">
        <is>
          <t>— no P lot assigned —</t>
        </is>
      </c>
      <c r="E1894" s="256" t="inlineStr">
        <is>
          <t>Jelly Donuts</t>
        </is>
      </c>
      <c r="F1894" s="256" t="inlineStr">
        <is>
          <t>05.08.2026</t>
        </is>
      </c>
      <c r="G1894" s="256" t="inlineStr">
        <is>
          <t>7</t>
        </is>
      </c>
      <c r="H1894" s="256" t="inlineStr">
        <is>
          <t>Foreign Matter</t>
        </is>
      </c>
      <c r="I1894" s="256" t="inlineStr">
        <is>
          <t>Ph. Eur. 2.8.2 · In-house · интерна</t>
        </is>
      </c>
      <c r="J1894" s="256" t="inlineStr">
        <is>
          <t>≤ 2.0% / 25–50 g · &lt; 1 cm leaves | листови, no seeds | без семки</t>
        </is>
      </c>
      <c r="K1894" s="256" t="inlineStr">
        <is>
          <t>Conforms | Одговара</t>
        </is>
      </c>
      <c r="L1894" s="256" t="inlineStr">
        <is>
          <t>ППК26115</t>
        </is>
      </c>
      <c r="M1894" s="256" t="inlineStr">
        <is>
          <t>30.06.2026</t>
        </is>
      </c>
      <c r="N1894" s="256" t="inlineStr">
        <is>
          <t>UKIM Faculty of Pharmacy — Center for Natural Products</t>
        </is>
      </c>
      <c r="O1894" s="256" t="inlineStr">
        <is>
          <t>17.06.2026</t>
        </is>
      </c>
      <c r="P1894" s="256" t="inlineStr">
        <is>
          <t>covered</t>
        </is>
      </c>
      <c r="Q1894" s="256" t="inlineStr"/>
      <c r="R1894" s="256" t="inlineStr"/>
    </row>
    <row r="1895">
      <c r="A1895" s="256" t="inlineStr">
        <is>
          <t>CoQ-PP_26-083</t>
        </is>
      </c>
      <c r="B1895" s="256" t="inlineStr">
        <is>
          <t>release</t>
        </is>
      </c>
      <c r="C1895" s="256" t="inlineStr">
        <is>
          <t>JD022601</t>
        </is>
      </c>
      <c r="D1895" s="256" t="inlineStr">
        <is>
          <t>— no P lot assigned —</t>
        </is>
      </c>
      <c r="E1895" s="256" t="inlineStr">
        <is>
          <t>Jelly Donuts</t>
        </is>
      </c>
      <c r="F1895" s="256" t="inlineStr">
        <is>
          <t>05.08.2026</t>
        </is>
      </c>
      <c r="G1895" s="256" t="inlineStr">
        <is>
          <t>8</t>
        </is>
      </c>
      <c r="H1895" s="256" t="inlineStr">
        <is>
          <t>Loss on Drying</t>
        </is>
      </c>
      <c r="I1895" s="256" t="inlineStr">
        <is>
          <t>Ph. Eur. 2.2.32 (3028) · at 40 °C, 24 h, 15–25 mbar</t>
        </is>
      </c>
      <c r="J1895" s="256" t="inlineStr">
        <is>
          <t>≤ 12.0%</t>
        </is>
      </c>
      <c r="K1895" s="256" t="inlineStr">
        <is>
          <t>7.73</t>
        </is>
      </c>
      <c r="L1895" s="256" t="inlineStr">
        <is>
          <t>ППК26115</t>
        </is>
      </c>
      <c r="M1895" s="256" t="inlineStr">
        <is>
          <t>30.06.2026</t>
        </is>
      </c>
      <c r="N1895" s="256" t="inlineStr">
        <is>
          <t>UKIM Faculty of Pharmacy — Center for Natural Products</t>
        </is>
      </c>
      <c r="O1895" s="256" t="inlineStr">
        <is>
          <t>17.06.2026</t>
        </is>
      </c>
      <c r="P1895" s="256" t="inlineStr">
        <is>
          <t>covered</t>
        </is>
      </c>
      <c r="Q1895" s="256" t="inlineStr"/>
      <c r="R1895" s="256" t="inlineStr"/>
    </row>
    <row r="1896">
      <c r="A1896" s="256" t="inlineStr">
        <is>
          <t>CoQ-PP_26-083</t>
        </is>
      </c>
      <c r="B1896" s="256" t="inlineStr">
        <is>
          <t>release</t>
        </is>
      </c>
      <c r="C1896" s="256" t="inlineStr">
        <is>
          <t>JD022601</t>
        </is>
      </c>
      <c r="D1896" s="256" t="inlineStr">
        <is>
          <t>— no P lot assigned —</t>
        </is>
      </c>
      <c r="E1896" s="256" t="inlineStr">
        <is>
          <t>Jelly Donuts</t>
        </is>
      </c>
      <c r="F1896" s="256" t="inlineStr">
        <is>
          <t>05.08.2026</t>
        </is>
      </c>
      <c r="G1896" s="256" t="inlineStr">
        <is>
          <t>9.1</t>
        </is>
      </c>
      <c r="H1896" s="256" t="inlineStr">
        <is>
          <t>TAMC</t>
        </is>
      </c>
      <c r="I1896" s="256" t="inlineStr">
        <is>
          <t>Ph. Eur. 2.6.12 cat. C</t>
        </is>
      </c>
      <c r="J1896" s="256" t="inlineStr">
        <is>
          <t>≤ 10⁵ CFU/g</t>
        </is>
      </c>
      <c r="K1896" s="259" t="inlineStr">
        <is>
          <t>not tested</t>
        </is>
      </c>
      <c r="L1896" s="256" t="inlineStr">
        <is>
          <t>—</t>
        </is>
      </c>
      <c r="M1896" s="256" t="inlineStr">
        <is>
          <t>—</t>
        </is>
      </c>
      <c r="N1896" s="256" t="inlineStr">
        <is>
          <t>—</t>
        </is>
      </c>
      <c r="O1896" s="256" t="inlineStr">
        <is>
          <t>—</t>
        </is>
      </c>
      <c r="P1896" s="256" t="inlineStr">
        <is>
          <t>not tested — no certificate covers it</t>
        </is>
      </c>
      <c r="Q1896" s="256" t="inlineStr"/>
      <c r="R1896" s="256" t="inlineStr"/>
    </row>
    <row r="1897">
      <c r="A1897" s="256" t="inlineStr">
        <is>
          <t>CoQ-PP_26-083</t>
        </is>
      </c>
      <c r="B1897" s="256" t="inlineStr">
        <is>
          <t>release</t>
        </is>
      </c>
      <c r="C1897" s="256" t="inlineStr">
        <is>
          <t>JD022601</t>
        </is>
      </c>
      <c r="D1897" s="256" t="inlineStr">
        <is>
          <t>— no P lot assigned —</t>
        </is>
      </c>
      <c r="E1897" s="256" t="inlineStr">
        <is>
          <t>Jelly Donuts</t>
        </is>
      </c>
      <c r="F1897" s="256" t="inlineStr">
        <is>
          <t>05.08.2026</t>
        </is>
      </c>
      <c r="G1897" s="256" t="inlineStr">
        <is>
          <t>9.2</t>
        </is>
      </c>
      <c r="H1897" s="256" t="inlineStr">
        <is>
          <t>TYMC</t>
        </is>
      </c>
      <c r="I1897" s="256" t="inlineStr">
        <is>
          <t>Ph. Eur. 2.6.12 cat. C</t>
        </is>
      </c>
      <c r="J1897" s="256" t="inlineStr">
        <is>
          <t>≤ 10⁴ CFU/g</t>
        </is>
      </c>
      <c r="K1897" s="259" t="inlineStr">
        <is>
          <t>not tested</t>
        </is>
      </c>
      <c r="L1897" s="256" t="inlineStr">
        <is>
          <t>—</t>
        </is>
      </c>
      <c r="M1897" s="256" t="inlineStr">
        <is>
          <t>—</t>
        </is>
      </c>
      <c r="N1897" s="256" t="inlineStr">
        <is>
          <t>—</t>
        </is>
      </c>
      <c r="O1897" s="256" t="inlineStr">
        <is>
          <t>—</t>
        </is>
      </c>
      <c r="P1897" s="256" t="inlineStr">
        <is>
          <t>not tested — no certificate covers it</t>
        </is>
      </c>
      <c r="Q1897" s="256" t="inlineStr"/>
      <c r="R1897" s="256" t="inlineStr"/>
    </row>
    <row r="1898">
      <c r="A1898" s="256" t="inlineStr">
        <is>
          <t>CoQ-PP_26-083</t>
        </is>
      </c>
      <c r="B1898" s="256" t="inlineStr">
        <is>
          <t>release</t>
        </is>
      </c>
      <c r="C1898" s="256" t="inlineStr">
        <is>
          <t>JD022601</t>
        </is>
      </c>
      <c r="D1898" s="256" t="inlineStr">
        <is>
          <t>— no P lot assigned —</t>
        </is>
      </c>
      <c r="E1898" s="256" t="inlineStr">
        <is>
          <t>Jelly Donuts</t>
        </is>
      </c>
      <c r="F1898" s="256" t="inlineStr">
        <is>
          <t>05.08.2026</t>
        </is>
      </c>
      <c r="G1898" s="256" t="inlineStr">
        <is>
          <t>9.3</t>
        </is>
      </c>
      <c r="H1898" s="256" t="inlineStr">
        <is>
          <t>Bile-tolerant gram-neg.</t>
        </is>
      </c>
      <c r="I1898" s="256" t="inlineStr">
        <is>
          <t>Ph. Eur. 2.6.31 cat. C</t>
        </is>
      </c>
      <c r="J1898" s="256" t="inlineStr">
        <is>
          <t>≤ 10⁴ CFU/g</t>
        </is>
      </c>
      <c r="K1898" s="259" t="inlineStr">
        <is>
          <t>not tested</t>
        </is>
      </c>
      <c r="L1898" s="256" t="inlineStr">
        <is>
          <t>—</t>
        </is>
      </c>
      <c r="M1898" s="256" t="inlineStr">
        <is>
          <t>—</t>
        </is>
      </c>
      <c r="N1898" s="256" t="inlineStr">
        <is>
          <t>—</t>
        </is>
      </c>
      <c r="O1898" s="256" t="inlineStr">
        <is>
          <t>—</t>
        </is>
      </c>
      <c r="P1898" s="256" t="inlineStr">
        <is>
          <t>not tested — no certificate covers it</t>
        </is>
      </c>
      <c r="Q1898" s="256" t="inlineStr"/>
      <c r="R1898" s="256" t="inlineStr"/>
    </row>
    <row r="1899">
      <c r="A1899" s="256" t="inlineStr">
        <is>
          <t>CoQ-PP_26-083</t>
        </is>
      </c>
      <c r="B1899" s="256" t="inlineStr">
        <is>
          <t>release</t>
        </is>
      </c>
      <c r="C1899" s="256" t="inlineStr">
        <is>
          <t>JD022601</t>
        </is>
      </c>
      <c r="D1899" s="256" t="inlineStr">
        <is>
          <t>— no P lot assigned —</t>
        </is>
      </c>
      <c r="E1899" s="256" t="inlineStr">
        <is>
          <t>Jelly Donuts</t>
        </is>
      </c>
      <c r="F1899" s="256" t="inlineStr">
        <is>
          <t>05.08.2026</t>
        </is>
      </c>
      <c r="G1899" s="256" t="inlineStr">
        <is>
          <t>9.4</t>
        </is>
      </c>
      <c r="H1899" s="256" t="inlineStr">
        <is>
          <t>Salmonella</t>
        </is>
      </c>
      <c r="I1899" s="256" t="inlineStr">
        <is>
          <t>Ph. Eur. 2.6.31 cat. C</t>
        </is>
      </c>
      <c r="J1899" s="256" t="inlineStr">
        <is>
          <t>Absence | Отсуство / 25 g</t>
        </is>
      </c>
      <c r="K1899" s="259" t="inlineStr">
        <is>
          <t>not tested</t>
        </is>
      </c>
      <c r="L1899" s="256" t="inlineStr">
        <is>
          <t>—</t>
        </is>
      </c>
      <c r="M1899" s="256" t="inlineStr">
        <is>
          <t>—</t>
        </is>
      </c>
      <c r="N1899" s="256" t="inlineStr">
        <is>
          <t>—</t>
        </is>
      </c>
      <c r="O1899" s="256" t="inlineStr">
        <is>
          <t>—</t>
        </is>
      </c>
      <c r="P1899" s="256" t="inlineStr">
        <is>
          <t>not tested — no certificate covers it</t>
        </is>
      </c>
      <c r="Q1899" s="256" t="inlineStr"/>
      <c r="R1899" s="256" t="inlineStr"/>
    </row>
    <row r="1900">
      <c r="A1900" s="256" t="inlineStr">
        <is>
          <t>CoQ-PP_26-083</t>
        </is>
      </c>
      <c r="B1900" s="256" t="inlineStr">
        <is>
          <t>release</t>
        </is>
      </c>
      <c r="C1900" s="256" t="inlineStr">
        <is>
          <t>JD022601</t>
        </is>
      </c>
      <c r="D1900" s="256" t="inlineStr">
        <is>
          <t>— no P lot assigned —</t>
        </is>
      </c>
      <c r="E1900" s="256" t="inlineStr">
        <is>
          <t>Jelly Donuts</t>
        </is>
      </c>
      <c r="F1900" s="256" t="inlineStr">
        <is>
          <t>05.08.2026</t>
        </is>
      </c>
      <c r="G1900" s="256" t="inlineStr">
        <is>
          <t>9.5</t>
        </is>
      </c>
      <c r="H1900" s="256" t="inlineStr">
        <is>
          <t>Escherichia coli</t>
        </is>
      </c>
      <c r="I1900" s="256" t="inlineStr">
        <is>
          <t>Ph. Eur. 2.6.13 cat. C</t>
        </is>
      </c>
      <c r="J1900" s="256" t="inlineStr">
        <is>
          <t>Absence | Отсуство / 1 g</t>
        </is>
      </c>
      <c r="K1900" s="259" t="inlineStr">
        <is>
          <t>not tested</t>
        </is>
      </c>
      <c r="L1900" s="256" t="inlineStr">
        <is>
          <t>—</t>
        </is>
      </c>
      <c r="M1900" s="256" t="inlineStr">
        <is>
          <t>—</t>
        </is>
      </c>
      <c r="N1900" s="256" t="inlineStr">
        <is>
          <t>—</t>
        </is>
      </c>
      <c r="O1900" s="256" t="inlineStr">
        <is>
          <t>—</t>
        </is>
      </c>
      <c r="P1900" s="256" t="inlineStr">
        <is>
          <t>not tested — no certificate covers it</t>
        </is>
      </c>
      <c r="Q1900" s="256" t="inlineStr"/>
      <c r="R1900" s="256" t="inlineStr"/>
    </row>
    <row r="1901">
      <c r="A1901" s="256" t="inlineStr">
        <is>
          <t>CoQ-PP_26-083</t>
        </is>
      </c>
      <c r="B1901" s="256" t="inlineStr">
        <is>
          <t>release</t>
        </is>
      </c>
      <c r="C1901" s="256" t="inlineStr">
        <is>
          <t>JD022601</t>
        </is>
      </c>
      <c r="D1901" s="256" t="inlineStr">
        <is>
          <t>— no P lot assigned —</t>
        </is>
      </c>
      <c r="E1901" s="256" t="inlineStr">
        <is>
          <t>Jelly Donuts</t>
        </is>
      </c>
      <c r="F1901" s="256" t="inlineStr">
        <is>
          <t>05.08.2026</t>
        </is>
      </c>
      <c r="G1901" s="256" t="inlineStr">
        <is>
          <t>9.6</t>
        </is>
      </c>
      <c r="H1901" s="256" t="inlineStr">
        <is>
          <t>Pseudomonas aeruginosa</t>
        </is>
      </c>
      <c r="I1901" s="256" t="inlineStr">
        <is>
          <t>Ph. Eur. 2.6.13 cat. C</t>
        </is>
      </c>
      <c r="J1901" s="256" t="inlineStr">
        <is>
          <t>Absence | Отсуство / 1 g</t>
        </is>
      </c>
      <c r="K1901" s="260" t="inlineStr">
        <is>
          <t>upon request — not required for release</t>
        </is>
      </c>
      <c r="L1901" s="256" t="inlineStr">
        <is>
          <t>—</t>
        </is>
      </c>
      <c r="M1901" s="256" t="inlineStr">
        <is>
          <t>—</t>
        </is>
      </c>
      <c r="N1901" s="256" t="inlineStr">
        <is>
          <t>—</t>
        </is>
      </c>
      <c r="O1901" s="256" t="inlineStr">
        <is>
          <t>—</t>
        </is>
      </c>
      <c r="P1901" s="256" t="inlineStr">
        <is>
          <t>upon request — not required for release</t>
        </is>
      </c>
      <c r="Q1901" s="256" t="inlineStr"/>
      <c r="R1901" s="256" t="inlineStr"/>
    </row>
    <row r="1902">
      <c r="A1902" s="256" t="inlineStr">
        <is>
          <t>CoQ-PP_26-083</t>
        </is>
      </c>
      <c r="B1902" s="256" t="inlineStr">
        <is>
          <t>release</t>
        </is>
      </c>
      <c r="C1902" s="256" t="inlineStr">
        <is>
          <t>JD022601</t>
        </is>
      </c>
      <c r="D1902" s="256" t="inlineStr">
        <is>
          <t>— no P lot assigned —</t>
        </is>
      </c>
      <c r="E1902" s="256" t="inlineStr">
        <is>
          <t>Jelly Donuts</t>
        </is>
      </c>
      <c r="F1902" s="256" t="inlineStr">
        <is>
          <t>05.08.2026</t>
        </is>
      </c>
      <c r="G1902" s="256" t="inlineStr">
        <is>
          <t>9.7</t>
        </is>
      </c>
      <c r="H1902" s="256" t="inlineStr">
        <is>
          <t>Staphylococcus aureus</t>
        </is>
      </c>
      <c r="I1902" s="256" t="inlineStr">
        <is>
          <t>Ph. Eur. 2.6.13 cat. C</t>
        </is>
      </c>
      <c r="J1902" s="256" t="inlineStr">
        <is>
          <t>Absence | Отсуство / 1 g</t>
        </is>
      </c>
      <c r="K1902" s="260" t="inlineStr">
        <is>
          <t>upon request — not required for release</t>
        </is>
      </c>
      <c r="L1902" s="256" t="inlineStr">
        <is>
          <t>—</t>
        </is>
      </c>
      <c r="M1902" s="256" t="inlineStr">
        <is>
          <t>—</t>
        </is>
      </c>
      <c r="N1902" s="256" t="inlineStr">
        <is>
          <t>—</t>
        </is>
      </c>
      <c r="O1902" s="256" t="inlineStr">
        <is>
          <t>—</t>
        </is>
      </c>
      <c r="P1902" s="256" t="inlineStr">
        <is>
          <t>upon request — not required for release</t>
        </is>
      </c>
      <c r="Q1902" s="256" t="inlineStr"/>
      <c r="R1902" s="256" t="inlineStr"/>
    </row>
    <row r="1903">
      <c r="A1903" s="256" t="inlineStr">
        <is>
          <t>CoQ-PP_26-083</t>
        </is>
      </c>
      <c r="B1903" s="256" t="inlineStr">
        <is>
          <t>release</t>
        </is>
      </c>
      <c r="C1903" s="256" t="inlineStr">
        <is>
          <t>JD022601</t>
        </is>
      </c>
      <c r="D1903" s="256" t="inlineStr">
        <is>
          <t>— no P lot assigned —</t>
        </is>
      </c>
      <c r="E1903" s="256" t="inlineStr">
        <is>
          <t>Jelly Donuts</t>
        </is>
      </c>
      <c r="F1903" s="256" t="inlineStr">
        <is>
          <t>05.08.2026</t>
        </is>
      </c>
      <c r="G1903" s="256" t="inlineStr">
        <is>
          <t>10.1</t>
        </is>
      </c>
      <c r="H1903" s="256" t="inlineStr">
        <is>
          <t>Aflatoxin B₁</t>
        </is>
      </c>
      <c r="I1903" s="256" t="inlineStr">
        <is>
          <t>Ph. Eur. 2.8.18 (HPLC-FLD)</t>
        </is>
      </c>
      <c r="J1903" s="256" t="inlineStr">
        <is>
          <t>≤ 2 µg/kg</t>
        </is>
      </c>
      <c r="K1903" s="259" t="inlineStr">
        <is>
          <t>not tested</t>
        </is>
      </c>
      <c r="L1903" s="256" t="inlineStr">
        <is>
          <t>—</t>
        </is>
      </c>
      <c r="M1903" s="256" t="inlineStr">
        <is>
          <t>—</t>
        </is>
      </c>
      <c r="N1903" s="256" t="inlineStr">
        <is>
          <t>—</t>
        </is>
      </c>
      <c r="O1903" s="256" t="inlineStr">
        <is>
          <t>—</t>
        </is>
      </c>
      <c r="P1903" s="256" t="inlineStr">
        <is>
          <t>not tested — no certificate covers it</t>
        </is>
      </c>
      <c r="Q1903" s="256" t="inlineStr"/>
      <c r="R1903" s="256" t="inlineStr"/>
    </row>
    <row r="1904">
      <c r="A1904" s="256" t="inlineStr">
        <is>
          <t>CoQ-PP_26-083</t>
        </is>
      </c>
      <c r="B1904" s="256" t="inlineStr">
        <is>
          <t>release</t>
        </is>
      </c>
      <c r="C1904" s="256" t="inlineStr">
        <is>
          <t>JD022601</t>
        </is>
      </c>
      <c r="D1904" s="256" t="inlineStr">
        <is>
          <t>— no P lot assigned —</t>
        </is>
      </c>
      <c r="E1904" s="256" t="inlineStr">
        <is>
          <t>Jelly Donuts</t>
        </is>
      </c>
      <c r="F1904" s="256" t="inlineStr">
        <is>
          <t>05.08.2026</t>
        </is>
      </c>
      <c r="G1904" s="256" t="inlineStr">
        <is>
          <t>10.2</t>
        </is>
      </c>
      <c r="H1904" s="256" t="inlineStr">
        <is>
          <t>Aflatoxins ∑</t>
        </is>
      </c>
      <c r="I1904" s="256" t="inlineStr">
        <is>
          <t>Ph. Eur. 2.8.18 (HPLC-FLD)</t>
        </is>
      </c>
      <c r="J1904" s="256" t="inlineStr">
        <is>
          <t>≤ 4 µg/kg</t>
        </is>
      </c>
      <c r="K1904" s="259" t="inlineStr">
        <is>
          <t>not tested</t>
        </is>
      </c>
      <c r="L1904" s="256" t="inlineStr">
        <is>
          <t>—</t>
        </is>
      </c>
      <c r="M1904" s="256" t="inlineStr">
        <is>
          <t>—</t>
        </is>
      </c>
      <c r="N1904" s="256" t="inlineStr">
        <is>
          <t>—</t>
        </is>
      </c>
      <c r="O1904" s="256" t="inlineStr">
        <is>
          <t>—</t>
        </is>
      </c>
      <c r="P1904" s="256" t="inlineStr">
        <is>
          <t>not tested — no certificate covers it</t>
        </is>
      </c>
      <c r="Q1904" s="256" t="inlineStr"/>
      <c r="R1904" s="256" t="inlineStr"/>
    </row>
    <row r="1905">
      <c r="A1905" s="256" t="inlineStr">
        <is>
          <t>CoQ-PP_26-083</t>
        </is>
      </c>
      <c r="B1905" s="256" t="inlineStr">
        <is>
          <t>release</t>
        </is>
      </c>
      <c r="C1905" s="256" t="inlineStr">
        <is>
          <t>JD022601</t>
        </is>
      </c>
      <c r="D1905" s="256" t="inlineStr">
        <is>
          <t>— no P lot assigned —</t>
        </is>
      </c>
      <c r="E1905" s="256" t="inlineStr">
        <is>
          <t>Jelly Donuts</t>
        </is>
      </c>
      <c r="F1905" s="256" t="inlineStr">
        <is>
          <t>05.08.2026</t>
        </is>
      </c>
      <c r="G1905" s="256" t="inlineStr">
        <is>
          <t>10.3</t>
        </is>
      </c>
      <c r="H1905" s="256" t="inlineStr">
        <is>
          <t>Ochratoxin A</t>
        </is>
      </c>
      <c r="I1905" s="256" t="inlineStr">
        <is>
          <t>Ph. Eur. 2.8.22 (HPLC-FLD)</t>
        </is>
      </c>
      <c r="J1905" s="256" t="inlineStr">
        <is>
          <t>≤ 20 µg/kg</t>
        </is>
      </c>
      <c r="K1905" s="259" t="inlineStr">
        <is>
          <t>not tested</t>
        </is>
      </c>
      <c r="L1905" s="256" t="inlineStr">
        <is>
          <t>—</t>
        </is>
      </c>
      <c r="M1905" s="256" t="inlineStr">
        <is>
          <t>—</t>
        </is>
      </c>
      <c r="N1905" s="256" t="inlineStr">
        <is>
          <t>—</t>
        </is>
      </c>
      <c r="O1905" s="256" t="inlineStr">
        <is>
          <t>—</t>
        </is>
      </c>
      <c r="P1905" s="256" t="inlineStr">
        <is>
          <t>not tested — no certificate covers it</t>
        </is>
      </c>
      <c r="Q1905" s="256" t="inlineStr"/>
      <c r="R1905" s="256" t="inlineStr"/>
    </row>
    <row r="1906">
      <c r="A1906" s="256" t="inlineStr">
        <is>
          <t>CoQ-PP_26-083</t>
        </is>
      </c>
      <c r="B1906" s="256" t="inlineStr">
        <is>
          <t>release</t>
        </is>
      </c>
      <c r="C1906" s="256" t="inlineStr">
        <is>
          <t>JD022601</t>
        </is>
      </c>
      <c r="D1906" s="256" t="inlineStr">
        <is>
          <t>— no P lot assigned —</t>
        </is>
      </c>
      <c r="E1906" s="256" t="inlineStr">
        <is>
          <t>Jelly Donuts</t>
        </is>
      </c>
      <c r="F1906" s="256" t="inlineStr">
        <is>
          <t>05.08.2026</t>
        </is>
      </c>
      <c r="G1906" s="256" t="inlineStr">
        <is>
          <t>11.1</t>
        </is>
      </c>
      <c r="H1906" s="256" t="inlineStr">
        <is>
          <t>Lead (Pb)</t>
        </is>
      </c>
      <c r="I1906" s="256" t="inlineStr">
        <is>
          <t>Ph. Eur. 2.4.27 (ICP-MS)</t>
        </is>
      </c>
      <c r="J1906" s="256" t="inlineStr">
        <is>
          <t>≤ 0.5 mg/kg</t>
        </is>
      </c>
      <c r="K1906" s="259" t="inlineStr">
        <is>
          <t>not tested</t>
        </is>
      </c>
      <c r="L1906" s="256" t="inlineStr">
        <is>
          <t>—</t>
        </is>
      </c>
      <c r="M1906" s="256" t="inlineStr">
        <is>
          <t>—</t>
        </is>
      </c>
      <c r="N1906" s="256" t="inlineStr">
        <is>
          <t>—</t>
        </is>
      </c>
      <c r="O1906" s="256" t="inlineStr">
        <is>
          <t>—</t>
        </is>
      </c>
      <c r="P1906" s="256" t="inlineStr">
        <is>
          <t>not tested — no certificate covers it</t>
        </is>
      </c>
      <c r="Q1906" s="256" t="inlineStr"/>
      <c r="R1906" s="256" t="inlineStr"/>
    </row>
    <row r="1907">
      <c r="A1907" s="256" t="inlineStr">
        <is>
          <t>CoQ-PP_26-083</t>
        </is>
      </c>
      <c r="B1907" s="256" t="inlineStr">
        <is>
          <t>release</t>
        </is>
      </c>
      <c r="C1907" s="256" t="inlineStr">
        <is>
          <t>JD022601</t>
        </is>
      </c>
      <c r="D1907" s="256" t="inlineStr">
        <is>
          <t>— no P lot assigned —</t>
        </is>
      </c>
      <c r="E1907" s="256" t="inlineStr">
        <is>
          <t>Jelly Donuts</t>
        </is>
      </c>
      <c r="F1907" s="256" t="inlineStr">
        <is>
          <t>05.08.2026</t>
        </is>
      </c>
      <c r="G1907" s="256" t="inlineStr">
        <is>
          <t>11.2</t>
        </is>
      </c>
      <c r="H1907" s="256" t="inlineStr">
        <is>
          <t>Cadmium (Cd)</t>
        </is>
      </c>
      <c r="I1907" s="256" t="inlineStr">
        <is>
          <t>Ph. Eur. 2.4.27 (ICP-MS)</t>
        </is>
      </c>
      <c r="J1907" s="256" t="inlineStr">
        <is>
          <t>≤ 0.3 mg/kg</t>
        </is>
      </c>
      <c r="K1907" s="259" t="inlineStr">
        <is>
          <t>not tested</t>
        </is>
      </c>
      <c r="L1907" s="256" t="inlineStr">
        <is>
          <t>—</t>
        </is>
      </c>
      <c r="M1907" s="256" t="inlineStr">
        <is>
          <t>—</t>
        </is>
      </c>
      <c r="N1907" s="256" t="inlineStr">
        <is>
          <t>—</t>
        </is>
      </c>
      <c r="O1907" s="256" t="inlineStr">
        <is>
          <t>—</t>
        </is>
      </c>
      <c r="P1907" s="256" t="inlineStr">
        <is>
          <t>not tested — no certificate covers it</t>
        </is>
      </c>
      <c r="Q1907" s="256" t="inlineStr"/>
      <c r="R1907" s="256" t="inlineStr"/>
    </row>
    <row r="1908">
      <c r="A1908" s="256" t="inlineStr">
        <is>
          <t>CoQ-PP_26-083</t>
        </is>
      </c>
      <c r="B1908" s="256" t="inlineStr">
        <is>
          <t>release</t>
        </is>
      </c>
      <c r="C1908" s="256" t="inlineStr">
        <is>
          <t>JD022601</t>
        </is>
      </c>
      <c r="D1908" s="256" t="inlineStr">
        <is>
          <t>— no P lot assigned —</t>
        </is>
      </c>
      <c r="E1908" s="256" t="inlineStr">
        <is>
          <t>Jelly Donuts</t>
        </is>
      </c>
      <c r="F1908" s="256" t="inlineStr">
        <is>
          <t>05.08.2026</t>
        </is>
      </c>
      <c r="G1908" s="256" t="inlineStr">
        <is>
          <t>11.3</t>
        </is>
      </c>
      <c r="H1908" s="256" t="inlineStr">
        <is>
          <t>Arsenic (As)</t>
        </is>
      </c>
      <c r="I1908" s="256" t="inlineStr">
        <is>
          <t>Ph. Eur. 2.4.27 (ICP-MS)</t>
        </is>
      </c>
      <c r="J1908" s="256" t="inlineStr">
        <is>
          <t>≤ 0.2 mg/kg</t>
        </is>
      </c>
      <c r="K1908" s="259" t="inlineStr">
        <is>
          <t>not tested</t>
        </is>
      </c>
      <c r="L1908" s="256" t="inlineStr">
        <is>
          <t>—</t>
        </is>
      </c>
      <c r="M1908" s="256" t="inlineStr">
        <is>
          <t>—</t>
        </is>
      </c>
      <c r="N1908" s="256" t="inlineStr">
        <is>
          <t>—</t>
        </is>
      </c>
      <c r="O1908" s="256" t="inlineStr">
        <is>
          <t>—</t>
        </is>
      </c>
      <c r="P1908" s="256" t="inlineStr">
        <is>
          <t>not tested — no certificate covers it</t>
        </is>
      </c>
      <c r="Q1908" s="256" t="inlineStr"/>
      <c r="R1908" s="256" t="inlineStr"/>
    </row>
    <row r="1909">
      <c r="A1909" s="256" t="inlineStr">
        <is>
          <t>CoQ-PP_26-083</t>
        </is>
      </c>
      <c r="B1909" s="256" t="inlineStr">
        <is>
          <t>release</t>
        </is>
      </c>
      <c r="C1909" s="256" t="inlineStr">
        <is>
          <t>JD022601</t>
        </is>
      </c>
      <c r="D1909" s="256" t="inlineStr">
        <is>
          <t>— no P lot assigned —</t>
        </is>
      </c>
      <c r="E1909" s="256" t="inlineStr">
        <is>
          <t>Jelly Donuts</t>
        </is>
      </c>
      <c r="F1909" s="256" t="inlineStr">
        <is>
          <t>05.08.2026</t>
        </is>
      </c>
      <c r="G1909" s="256" t="inlineStr">
        <is>
          <t>11.4</t>
        </is>
      </c>
      <c r="H1909" s="256" t="inlineStr">
        <is>
          <t>Mercury (Hg)</t>
        </is>
      </c>
      <c r="I1909" s="256" t="inlineStr">
        <is>
          <t>Ph. Eur. 2.4.27 (ICP-MS)</t>
        </is>
      </c>
      <c r="J1909" s="256" t="inlineStr">
        <is>
          <t>≤ 0.1 mg/kg</t>
        </is>
      </c>
      <c r="K1909" s="259" t="inlineStr">
        <is>
          <t>not tested</t>
        </is>
      </c>
      <c r="L1909" s="256" t="inlineStr">
        <is>
          <t>—</t>
        </is>
      </c>
      <c r="M1909" s="256" t="inlineStr">
        <is>
          <t>—</t>
        </is>
      </c>
      <c r="N1909" s="256" t="inlineStr">
        <is>
          <t>—</t>
        </is>
      </c>
      <c r="O1909" s="256" t="inlineStr">
        <is>
          <t>—</t>
        </is>
      </c>
      <c r="P1909" s="256" t="inlineStr">
        <is>
          <t>not tested — no certificate covers it</t>
        </is>
      </c>
      <c r="Q1909" s="256" t="inlineStr"/>
      <c r="R1909" s="256" t="inlineStr"/>
    </row>
    <row r="1910">
      <c r="A1910" s="256" t="inlineStr">
        <is>
          <t>CoQ-PP_26-083</t>
        </is>
      </c>
      <c r="B1910" s="256" t="inlineStr">
        <is>
          <t>release</t>
        </is>
      </c>
      <c r="C1910" s="256" t="inlineStr">
        <is>
          <t>JD022601</t>
        </is>
      </c>
      <c r="D1910" s="256" t="inlineStr">
        <is>
          <t>— no P lot assigned —</t>
        </is>
      </c>
      <c r="E1910" s="256" t="inlineStr">
        <is>
          <t>Jelly Donuts</t>
        </is>
      </c>
      <c r="F1910" s="256" t="inlineStr">
        <is>
          <t>05.08.2026</t>
        </is>
      </c>
      <c r="G1910" s="256" t="inlineStr">
        <is>
          <t>12</t>
        </is>
      </c>
      <c r="H1910" s="256" t="inlineStr">
        <is>
          <t>Pesticide Residues</t>
        </is>
      </c>
      <c r="I1910" s="256" t="inlineStr">
        <is>
          <t>Ph. Eur. 2.8.13 (LC-MS/MS) · CUMCS Equivalency</t>
        </is>
      </c>
      <c r="J1910" s="256" t="inlineStr">
        <is>
          <t>≤ LOQ as per Ph. Eur. 2.8.13 · ≤ LOQ as per CUMCS Equivalency</t>
        </is>
      </c>
      <c r="K1910" s="259" t="inlineStr">
        <is>
          <t>not tested</t>
        </is>
      </c>
      <c r="L1910" s="256" t="inlineStr">
        <is>
          <t>—</t>
        </is>
      </c>
      <c r="M1910" s="256" t="inlineStr">
        <is>
          <t>—</t>
        </is>
      </c>
      <c r="N1910" s="256" t="inlineStr">
        <is>
          <t>—</t>
        </is>
      </c>
      <c r="O1910" s="256" t="inlineStr">
        <is>
          <t>—</t>
        </is>
      </c>
      <c r="P1910" s="256" t="inlineStr">
        <is>
          <t>not tested — no certificate covers it</t>
        </is>
      </c>
      <c r="Q1910" s="256" t="inlineStr"/>
      <c r="R1910" s="256" t="inlineStr"/>
    </row>
    <row r="1911">
      <c r="A1911" s="256" t="inlineStr">
        <is>
          <t>CoQ-PP_26-084</t>
        </is>
      </c>
      <c r="B1911" s="256" t="inlineStr">
        <is>
          <t>release</t>
        </is>
      </c>
      <c r="C1911" s="256" t="inlineStr">
        <is>
          <t>JD042601</t>
        </is>
      </c>
      <c r="D1911" s="256" t="inlineStr">
        <is>
          <t>P060492</t>
        </is>
      </c>
      <c r="E1911" s="256" t="inlineStr">
        <is>
          <t>Jelly Donuts</t>
        </is>
      </c>
      <c r="F1911" s="256" t="inlineStr">
        <is>
          <t>13.08.2026</t>
        </is>
      </c>
      <c r="G1911" s="256" t="inlineStr">
        <is>
          <t>1</t>
        </is>
      </c>
      <c r="H1911" s="256" t="inlineStr">
        <is>
          <t>Identification A, Appearance · Macroscopic</t>
        </is>
      </c>
      <c r="I1911" s="256" t="inlineStr">
        <is>
          <t>Ph. Eur. mon. 3028</t>
        </is>
      </c>
      <c r="J1911" s="256" t="inlineStr">
        <is>
          <t>Conforms to the monograph for Cannabis flos (07/2024:3028) in Ph. Eur. 11.0 | Согласно монографија за Cannabis flos (07/2024:3028) во Ph. Eur. 11.0</t>
        </is>
      </c>
      <c r="K1911" s="256" t="inlineStr">
        <is>
          <t>Conforms | Одговара</t>
        </is>
      </c>
      <c r="L1911" s="256" t="inlineStr">
        <is>
          <t>iCoA-PP_26-122</t>
        </is>
      </c>
      <c r="M1911" s="256" t="inlineStr">
        <is>
          <t>13.08.2026</t>
        </is>
      </c>
      <c r="N1911" s="256" t="inlineStr">
        <is>
          <t>Purely Plant GmbH (in-house)</t>
        </is>
      </c>
      <c r="O1911" s="256" t="inlineStr">
        <is>
          <t>—</t>
        </is>
      </c>
      <c r="P1911" s="256" t="inlineStr">
        <is>
          <t>to be performed — see route</t>
        </is>
      </c>
      <c r="Q1911" s="256" t="inlineStr">
        <is>
          <t>Purely Plant laboratory — iCoA covering Ident A + B</t>
        </is>
      </c>
      <c r="R1911" s="256" t="inlineStr"/>
    </row>
    <row r="1912">
      <c r="A1912" s="256" t="inlineStr">
        <is>
          <t>CoQ-PP_26-084</t>
        </is>
      </c>
      <c r="B1912" s="256" t="inlineStr">
        <is>
          <t>release</t>
        </is>
      </c>
      <c r="C1912" s="256" t="inlineStr">
        <is>
          <t>JD042601</t>
        </is>
      </c>
      <c r="D1912" s="256" t="inlineStr">
        <is>
          <t>P060492</t>
        </is>
      </c>
      <c r="E1912" s="256" t="inlineStr">
        <is>
          <t>Jelly Donuts</t>
        </is>
      </c>
      <c r="F1912" s="256" t="inlineStr">
        <is>
          <t>13.08.2026</t>
        </is>
      </c>
      <c r="G1912" s="256" t="inlineStr">
        <is>
          <t>2</t>
        </is>
      </c>
      <c r="H1912" s="256" t="inlineStr">
        <is>
          <t>Identification B · Microscopic</t>
        </is>
      </c>
      <c r="I1912" s="256" t="inlineStr">
        <is>
          <t>Ph. Eur. 2.8.23 (microscopy)</t>
        </is>
      </c>
      <c r="J1912" s="256" t="inlineStr">
        <is>
          <t>Conforms to the monograph for Cannabis flos (07/2024:3028) in Ph. Eur. 11.0 | Согласно монографија за Cannabis flos (07/2024:3028) во Ph. Eur. 11.0</t>
        </is>
      </c>
      <c r="K1912" s="256" t="inlineStr">
        <is>
          <t>Conforms | Одговара</t>
        </is>
      </c>
      <c r="L1912" s="256" t="inlineStr">
        <is>
          <t>iCoA-PP_26-122</t>
        </is>
      </c>
      <c r="M1912" s="256" t="inlineStr">
        <is>
          <t>13.08.2026</t>
        </is>
      </c>
      <c r="N1912" s="256" t="inlineStr">
        <is>
          <t>Purely Plant GmbH (in-house)</t>
        </is>
      </c>
      <c r="O1912" s="256" t="inlineStr">
        <is>
          <t>—</t>
        </is>
      </c>
      <c r="P1912" s="256" t="inlineStr">
        <is>
          <t>to be performed — see route</t>
        </is>
      </c>
      <c r="Q1912" s="256" t="inlineStr">
        <is>
          <t>Purely Plant laboratory — iCoA covering Ident A + B</t>
        </is>
      </c>
      <c r="R1912" s="256" t="inlineStr"/>
    </row>
    <row r="1913">
      <c r="A1913" s="256" t="inlineStr">
        <is>
          <t>CoQ-PP_26-084</t>
        </is>
      </c>
      <c r="B1913" s="256" t="inlineStr">
        <is>
          <t>release</t>
        </is>
      </c>
      <c r="C1913" s="256" t="inlineStr">
        <is>
          <t>JD042601</t>
        </is>
      </c>
      <c r="D1913" s="256" t="inlineStr">
        <is>
          <t>P060492</t>
        </is>
      </c>
      <c r="E1913" s="256" t="inlineStr">
        <is>
          <t>Jelly Donuts</t>
        </is>
      </c>
      <c r="F1913" s="256" t="inlineStr">
        <is>
          <t>13.08.2026</t>
        </is>
      </c>
      <c r="G1913" s="256" t="inlineStr">
        <is>
          <t>3</t>
        </is>
      </c>
      <c r="H1913" s="256" t="inlineStr">
        <is>
          <t>Identification C · HPLC/HPTLC</t>
        </is>
      </c>
      <c r="I1913" s="256" t="inlineStr">
        <is>
          <t>Ph. Eur. 2.2.29 (3028)</t>
        </is>
      </c>
      <c r="J1913" s="256" t="inlineStr">
        <is>
          <t>Conforms to the monograph for Cannabis flos (07/2024:3028) in Ph. Eur. 11.0 | Согласно монографија за Cannabis flos (07/2024:3028) во Ph. Eur. 11.0</t>
        </is>
      </c>
      <c r="K1913" s="259" t="inlineStr">
        <is>
          <t>to be performed (in house)</t>
        </is>
      </c>
      <c r="L1913" s="256" t="inlineStr">
        <is>
          <t>—</t>
        </is>
      </c>
      <c r="M1913" s="256" t="inlineStr">
        <is>
          <t>—</t>
        </is>
      </c>
      <c r="N1913" s="256" t="inlineStr">
        <is>
          <t>—</t>
        </is>
      </c>
      <c r="O1913" s="256" t="inlineStr">
        <is>
          <t>—</t>
        </is>
      </c>
      <c r="P1913" s="256" t="inlineStr">
        <is>
          <t>to be performed — see route</t>
        </is>
      </c>
      <c r="Q1913" s="256" t="inlineStr">
        <is>
          <t>outside laboratory — the HPLC cannabinoid certificate discharges Ident C (Farmahem -K- or CNP); in-house iCoA P03 only where none exists</t>
        </is>
      </c>
      <c r="R1913" s="256" t="inlineStr"/>
    </row>
    <row r="1914">
      <c r="A1914" s="256" t="inlineStr">
        <is>
          <t>CoQ-PP_26-084</t>
        </is>
      </c>
      <c r="B1914" s="256" t="inlineStr">
        <is>
          <t>release</t>
        </is>
      </c>
      <c r="C1914" s="256" t="inlineStr">
        <is>
          <t>JD042601</t>
        </is>
      </c>
      <c r="D1914" s="256" t="inlineStr">
        <is>
          <t>P060492</t>
        </is>
      </c>
      <c r="E1914" s="256" t="inlineStr">
        <is>
          <t>Jelly Donuts</t>
        </is>
      </c>
      <c r="F1914" s="256" t="inlineStr">
        <is>
          <t>13.08.2026</t>
        </is>
      </c>
      <c r="G1914" s="256" t="inlineStr">
        <is>
          <t>4</t>
        </is>
      </c>
      <c r="H1914" s="256" t="inlineStr">
        <is>
          <t>Assay — Total Δ⁹-THC</t>
        </is>
      </c>
      <c r="I1914" s="256" t="inlineStr">
        <is>
          <t>Ph. Eur. 2.2.29 (HPLC)</t>
        </is>
      </c>
      <c r="J1914" s="256" t="inlineStr">
        <is>
          <t>Per grade of the potency specification of 15.09.2026 — no Total THC result on file</t>
        </is>
      </c>
      <c r="K1914" s="259" t="inlineStr">
        <is>
          <t>not tested</t>
        </is>
      </c>
      <c r="L1914" s="256" t="inlineStr">
        <is>
          <t>—</t>
        </is>
      </c>
      <c r="M1914" s="256" t="inlineStr">
        <is>
          <t>—</t>
        </is>
      </c>
      <c r="N1914" s="256" t="inlineStr">
        <is>
          <t>—</t>
        </is>
      </c>
      <c r="O1914" s="256" t="inlineStr">
        <is>
          <t>—</t>
        </is>
      </c>
      <c r="P1914" s="256" t="inlineStr">
        <is>
          <t>not tested — no certificate covers it</t>
        </is>
      </c>
      <c r="Q1914" s="256" t="inlineStr"/>
      <c r="R1914" s="256" t="inlineStr">
        <is>
          <t>14.89 (220-30-К/26)</t>
        </is>
      </c>
    </row>
    <row r="1915">
      <c r="A1915" s="256" t="inlineStr">
        <is>
          <t>CoQ-PP_26-084</t>
        </is>
      </c>
      <c r="B1915" s="256" t="inlineStr">
        <is>
          <t>release</t>
        </is>
      </c>
      <c r="C1915" s="256" t="inlineStr">
        <is>
          <t>JD042601</t>
        </is>
      </c>
      <c r="D1915" s="256" t="inlineStr">
        <is>
          <t>P060492</t>
        </is>
      </c>
      <c r="E1915" s="256" t="inlineStr">
        <is>
          <t>Jelly Donuts</t>
        </is>
      </c>
      <c r="F1915" s="256" t="inlineStr">
        <is>
          <t>13.08.2026</t>
        </is>
      </c>
      <c r="G1915" s="256" t="inlineStr">
        <is>
          <t>5</t>
        </is>
      </c>
      <c r="H1915" s="256" t="inlineStr">
        <is>
          <t>Assay — Total CBD</t>
        </is>
      </c>
      <c r="I1915" s="256" t="inlineStr">
        <is>
          <t>Ph. Eur. 2.2.29 (HPLC) · CBD + CBDA x 0.877</t>
        </is>
      </c>
      <c r="J1915" s="256" t="inlineStr">
        <is>
          <t>≤ 1.0%, w/w</t>
        </is>
      </c>
      <c r="K1915" s="259" t="inlineStr">
        <is>
          <t>not tested</t>
        </is>
      </c>
      <c r="L1915" s="256" t="inlineStr">
        <is>
          <t>—</t>
        </is>
      </c>
      <c r="M1915" s="256" t="inlineStr">
        <is>
          <t>—</t>
        </is>
      </c>
      <c r="N1915" s="256" t="inlineStr">
        <is>
          <t>—</t>
        </is>
      </c>
      <c r="O1915" s="256" t="inlineStr">
        <is>
          <t>—</t>
        </is>
      </c>
      <c r="P1915" s="256" t="inlineStr">
        <is>
          <t>not tested — no certificate covers it</t>
        </is>
      </c>
      <c r="Q1915" s="256" t="inlineStr"/>
      <c r="R1915" s="256" t="inlineStr">
        <is>
          <t>&lt;LOQ (220-30-К/26)</t>
        </is>
      </c>
    </row>
    <row r="1916">
      <c r="A1916" s="256" t="inlineStr">
        <is>
          <t>CoQ-PP_26-084</t>
        </is>
      </c>
      <c r="B1916" s="256" t="inlineStr">
        <is>
          <t>release</t>
        </is>
      </c>
      <c r="C1916" s="256" t="inlineStr">
        <is>
          <t>JD042601</t>
        </is>
      </c>
      <c r="D1916" s="256" t="inlineStr">
        <is>
          <t>P060492</t>
        </is>
      </c>
      <c r="E1916" s="256" t="inlineStr">
        <is>
          <t>Jelly Donuts</t>
        </is>
      </c>
      <c r="F1916" s="256" t="inlineStr">
        <is>
          <t>13.08.2026</t>
        </is>
      </c>
      <c r="G1916" s="256" t="inlineStr">
        <is>
          <t>6</t>
        </is>
      </c>
      <c r="H1916" s="256" t="inlineStr">
        <is>
          <t>Total CBN</t>
        </is>
      </c>
      <c r="I1916" s="256" t="inlineStr">
        <is>
          <t>Ph. Eur. 2.2.29 (HPLC) · CBN + CBNA x 0.876</t>
        </is>
      </c>
      <c r="J1916" s="256" t="inlineStr">
        <is>
          <t>≤ 1.0%, w/w</t>
        </is>
      </c>
      <c r="K1916" s="259" t="inlineStr">
        <is>
          <t>not tested</t>
        </is>
      </c>
      <c r="L1916" s="256" t="inlineStr">
        <is>
          <t>—</t>
        </is>
      </c>
      <c r="M1916" s="256" t="inlineStr">
        <is>
          <t>—</t>
        </is>
      </c>
      <c r="N1916" s="256" t="inlineStr">
        <is>
          <t>—</t>
        </is>
      </c>
      <c r="O1916" s="256" t="inlineStr">
        <is>
          <t>—</t>
        </is>
      </c>
      <c r="P1916" s="256" t="inlineStr">
        <is>
          <t>not tested — no certificate covers it</t>
        </is>
      </c>
      <c r="Q1916" s="256" t="inlineStr"/>
      <c r="R1916" s="256" t="inlineStr">
        <is>
          <t>&lt;LOQ (220-30-К/26)</t>
        </is>
      </c>
    </row>
    <row r="1917">
      <c r="A1917" s="256" t="inlineStr">
        <is>
          <t>CoQ-PP_26-084</t>
        </is>
      </c>
      <c r="B1917" s="256" t="inlineStr">
        <is>
          <t>release</t>
        </is>
      </c>
      <c r="C1917" s="256" t="inlineStr">
        <is>
          <t>JD042601</t>
        </is>
      </c>
      <c r="D1917" s="256" t="inlineStr">
        <is>
          <t>P060492</t>
        </is>
      </c>
      <c r="E1917" s="256" t="inlineStr">
        <is>
          <t>Jelly Donuts</t>
        </is>
      </c>
      <c r="F1917" s="256" t="inlineStr">
        <is>
          <t>13.08.2026</t>
        </is>
      </c>
      <c r="G1917" s="256" t="inlineStr">
        <is>
          <t>7</t>
        </is>
      </c>
      <c r="H1917" s="256" t="inlineStr">
        <is>
          <t>Foreign Matter</t>
        </is>
      </c>
      <c r="I1917" s="256" t="inlineStr">
        <is>
          <t>Ph. Eur. 2.8.2 · In-house · интерна</t>
        </is>
      </c>
      <c r="J1917" s="256" t="inlineStr">
        <is>
          <t>≤ 2.0% / 25–50 g · &lt; 1 cm leaves | листови, no seeds | без семки</t>
        </is>
      </c>
      <c r="K1917" s="256" t="inlineStr">
        <is>
          <t>Conforms | Одговара</t>
        </is>
      </c>
      <c r="L1917" s="256" t="inlineStr">
        <is>
          <t>iCoA-PP_26-122</t>
        </is>
      </c>
      <c r="M1917" s="256" t="inlineStr">
        <is>
          <t>13.08.2026</t>
        </is>
      </c>
      <c r="N1917" s="256" t="inlineStr">
        <is>
          <t>Purely Plant GmbH (in-house)</t>
        </is>
      </c>
      <c r="O1917" s="256" t="inlineStr">
        <is>
          <t>—</t>
        </is>
      </c>
      <c r="P1917" s="256" t="inlineStr">
        <is>
          <t>to be performed — see route</t>
        </is>
      </c>
      <c r="Q1917" s="256" t="inlineStr">
        <is>
          <t>Purely Plant laboratory — iCoA covering Foreign matter</t>
        </is>
      </c>
      <c r="R1917" s="256" t="inlineStr"/>
    </row>
    <row r="1918">
      <c r="A1918" s="256" t="inlineStr">
        <is>
          <t>CoQ-PP_26-084</t>
        </is>
      </c>
      <c r="B1918" s="256" t="inlineStr">
        <is>
          <t>release</t>
        </is>
      </c>
      <c r="C1918" s="256" t="inlineStr">
        <is>
          <t>JD042601</t>
        </is>
      </c>
      <c r="D1918" s="256" t="inlineStr">
        <is>
          <t>P060492</t>
        </is>
      </c>
      <c r="E1918" s="256" t="inlineStr">
        <is>
          <t>Jelly Donuts</t>
        </is>
      </c>
      <c r="F1918" s="256" t="inlineStr">
        <is>
          <t>13.08.2026</t>
        </is>
      </c>
      <c r="G1918" s="256" t="inlineStr">
        <is>
          <t>8</t>
        </is>
      </c>
      <c r="H1918" s="256" t="inlineStr">
        <is>
          <t>Loss on Drying</t>
        </is>
      </c>
      <c r="I1918" s="256" t="inlineStr">
        <is>
          <t>Ph. Eur. 2.2.32 (3028) · at 40 °C, 24 h, 15–25 mbar</t>
        </is>
      </c>
      <c r="J1918" s="256" t="inlineStr">
        <is>
          <t>≤ 12.0%</t>
        </is>
      </c>
      <c r="K1918" s="259" t="inlineStr">
        <is>
          <t>not tested</t>
        </is>
      </c>
      <c r="L1918" s="256" t="inlineStr">
        <is>
          <t>—</t>
        </is>
      </c>
      <c r="M1918" s="256" t="inlineStr">
        <is>
          <t>—</t>
        </is>
      </c>
      <c r="N1918" s="256" t="inlineStr">
        <is>
          <t>—</t>
        </is>
      </c>
      <c r="O1918" s="256" t="inlineStr">
        <is>
          <t>—</t>
        </is>
      </c>
      <c r="P1918" s="256" t="inlineStr">
        <is>
          <t>not tested — no certificate covers it</t>
        </is>
      </c>
      <c r="Q1918" s="256" t="inlineStr"/>
      <c r="R1918" s="256" t="inlineStr"/>
    </row>
    <row r="1919">
      <c r="A1919" s="256" t="inlineStr">
        <is>
          <t>CoQ-PP_26-084</t>
        </is>
      </c>
      <c r="B1919" s="256" t="inlineStr">
        <is>
          <t>release</t>
        </is>
      </c>
      <c r="C1919" s="256" t="inlineStr">
        <is>
          <t>JD042601</t>
        </is>
      </c>
      <c r="D1919" s="256" t="inlineStr">
        <is>
          <t>P060492</t>
        </is>
      </c>
      <c r="E1919" s="256" t="inlineStr">
        <is>
          <t>Jelly Donuts</t>
        </is>
      </c>
      <c r="F1919" s="256" t="inlineStr">
        <is>
          <t>13.08.2026</t>
        </is>
      </c>
      <c r="G1919" s="256" t="inlineStr">
        <is>
          <t>9.1</t>
        </is>
      </c>
      <c r="H1919" s="256" t="inlineStr">
        <is>
          <t>TAMC</t>
        </is>
      </c>
      <c r="I1919" s="256" t="inlineStr">
        <is>
          <t>Ph. Eur. 2.6.12 cat. C</t>
        </is>
      </c>
      <c r="J1919" s="256" t="inlineStr">
        <is>
          <t>≤ 10⁵ CFU/g</t>
        </is>
      </c>
      <c r="K1919" s="259" t="inlineStr">
        <is>
          <t>not tested</t>
        </is>
      </c>
      <c r="L1919" s="256" t="inlineStr">
        <is>
          <t>—</t>
        </is>
      </c>
      <c r="M1919" s="256" t="inlineStr">
        <is>
          <t>—</t>
        </is>
      </c>
      <c r="N1919" s="256" t="inlineStr">
        <is>
          <t>—</t>
        </is>
      </c>
      <c r="O1919" s="256" t="inlineStr">
        <is>
          <t>—</t>
        </is>
      </c>
      <c r="P1919" s="256" t="inlineStr">
        <is>
          <t>not tested — no certificate covers it</t>
        </is>
      </c>
      <c r="Q1919" s="256" t="inlineStr"/>
      <c r="R1919" s="256" t="inlineStr"/>
    </row>
    <row r="1920">
      <c r="A1920" s="256" t="inlineStr">
        <is>
          <t>CoQ-PP_26-084</t>
        </is>
      </c>
      <c r="B1920" s="256" t="inlineStr">
        <is>
          <t>release</t>
        </is>
      </c>
      <c r="C1920" s="256" t="inlineStr">
        <is>
          <t>JD042601</t>
        </is>
      </c>
      <c r="D1920" s="256" t="inlineStr">
        <is>
          <t>P060492</t>
        </is>
      </c>
      <c r="E1920" s="256" t="inlineStr">
        <is>
          <t>Jelly Donuts</t>
        </is>
      </c>
      <c r="F1920" s="256" t="inlineStr">
        <is>
          <t>13.08.2026</t>
        </is>
      </c>
      <c r="G1920" s="256" t="inlineStr">
        <is>
          <t>9.2</t>
        </is>
      </c>
      <c r="H1920" s="256" t="inlineStr">
        <is>
          <t>TYMC</t>
        </is>
      </c>
      <c r="I1920" s="256" t="inlineStr">
        <is>
          <t>Ph. Eur. 2.6.12 cat. C</t>
        </is>
      </c>
      <c r="J1920" s="256" t="inlineStr">
        <is>
          <t>≤ 10⁴ CFU/g</t>
        </is>
      </c>
      <c r="K1920" s="259" t="inlineStr">
        <is>
          <t>not tested</t>
        </is>
      </c>
      <c r="L1920" s="256" t="inlineStr">
        <is>
          <t>—</t>
        </is>
      </c>
      <c r="M1920" s="256" t="inlineStr">
        <is>
          <t>—</t>
        </is>
      </c>
      <c r="N1920" s="256" t="inlineStr">
        <is>
          <t>—</t>
        </is>
      </c>
      <c r="O1920" s="256" t="inlineStr">
        <is>
          <t>—</t>
        </is>
      </c>
      <c r="P1920" s="256" t="inlineStr">
        <is>
          <t>not tested — no certificate covers it</t>
        </is>
      </c>
      <c r="Q1920" s="256" t="inlineStr"/>
      <c r="R1920" s="256" t="inlineStr"/>
    </row>
    <row r="1921">
      <c r="A1921" s="256" t="inlineStr">
        <is>
          <t>CoQ-PP_26-084</t>
        </is>
      </c>
      <c r="B1921" s="256" t="inlineStr">
        <is>
          <t>release</t>
        </is>
      </c>
      <c r="C1921" s="256" t="inlineStr">
        <is>
          <t>JD042601</t>
        </is>
      </c>
      <c r="D1921" s="256" t="inlineStr">
        <is>
          <t>P060492</t>
        </is>
      </c>
      <c r="E1921" s="256" t="inlineStr">
        <is>
          <t>Jelly Donuts</t>
        </is>
      </c>
      <c r="F1921" s="256" t="inlineStr">
        <is>
          <t>13.08.2026</t>
        </is>
      </c>
      <c r="G1921" s="256" t="inlineStr">
        <is>
          <t>9.3</t>
        </is>
      </c>
      <c r="H1921" s="256" t="inlineStr">
        <is>
          <t>Bile-tolerant gram-neg.</t>
        </is>
      </c>
      <c r="I1921" s="256" t="inlineStr">
        <is>
          <t>Ph. Eur. 2.6.31 cat. C</t>
        </is>
      </c>
      <c r="J1921" s="256" t="inlineStr">
        <is>
          <t>≤ 10⁴ CFU/g</t>
        </is>
      </c>
      <c r="K1921" s="259" t="inlineStr">
        <is>
          <t>not tested</t>
        </is>
      </c>
      <c r="L1921" s="256" t="inlineStr">
        <is>
          <t>—</t>
        </is>
      </c>
      <c r="M1921" s="256" t="inlineStr">
        <is>
          <t>—</t>
        </is>
      </c>
      <c r="N1921" s="256" t="inlineStr">
        <is>
          <t>—</t>
        </is>
      </c>
      <c r="O1921" s="256" t="inlineStr">
        <is>
          <t>—</t>
        </is>
      </c>
      <c r="P1921" s="256" t="inlineStr">
        <is>
          <t>not tested — no certificate covers it</t>
        </is>
      </c>
      <c r="Q1921" s="256" t="inlineStr"/>
      <c r="R1921" s="256" t="inlineStr"/>
    </row>
    <row r="1922">
      <c r="A1922" s="256" t="inlineStr">
        <is>
          <t>CoQ-PP_26-084</t>
        </is>
      </c>
      <c r="B1922" s="256" t="inlineStr">
        <is>
          <t>release</t>
        </is>
      </c>
      <c r="C1922" s="256" t="inlineStr">
        <is>
          <t>JD042601</t>
        </is>
      </c>
      <c r="D1922" s="256" t="inlineStr">
        <is>
          <t>P060492</t>
        </is>
      </c>
      <c r="E1922" s="256" t="inlineStr">
        <is>
          <t>Jelly Donuts</t>
        </is>
      </c>
      <c r="F1922" s="256" t="inlineStr">
        <is>
          <t>13.08.2026</t>
        </is>
      </c>
      <c r="G1922" s="256" t="inlineStr">
        <is>
          <t>9.4</t>
        </is>
      </c>
      <c r="H1922" s="256" t="inlineStr">
        <is>
          <t>Salmonella</t>
        </is>
      </c>
      <c r="I1922" s="256" t="inlineStr">
        <is>
          <t>Ph. Eur. 2.6.31 cat. C</t>
        </is>
      </c>
      <c r="J1922" s="256" t="inlineStr">
        <is>
          <t>Absence | Отсуство / 25 g</t>
        </is>
      </c>
      <c r="K1922" s="259" t="inlineStr">
        <is>
          <t>not tested</t>
        </is>
      </c>
      <c r="L1922" s="256" t="inlineStr">
        <is>
          <t>—</t>
        </is>
      </c>
      <c r="M1922" s="256" t="inlineStr">
        <is>
          <t>—</t>
        </is>
      </c>
      <c r="N1922" s="256" t="inlineStr">
        <is>
          <t>—</t>
        </is>
      </c>
      <c r="O1922" s="256" t="inlineStr">
        <is>
          <t>—</t>
        </is>
      </c>
      <c r="P1922" s="256" t="inlineStr">
        <is>
          <t>not tested — no certificate covers it</t>
        </is>
      </c>
      <c r="Q1922" s="256" t="inlineStr"/>
      <c r="R1922" s="256" t="inlineStr"/>
    </row>
    <row r="1923">
      <c r="A1923" s="256" t="inlineStr">
        <is>
          <t>CoQ-PP_26-084</t>
        </is>
      </c>
      <c r="B1923" s="256" t="inlineStr">
        <is>
          <t>release</t>
        </is>
      </c>
      <c r="C1923" s="256" t="inlineStr">
        <is>
          <t>JD042601</t>
        </is>
      </c>
      <c r="D1923" s="256" t="inlineStr">
        <is>
          <t>P060492</t>
        </is>
      </c>
      <c r="E1923" s="256" t="inlineStr">
        <is>
          <t>Jelly Donuts</t>
        </is>
      </c>
      <c r="F1923" s="256" t="inlineStr">
        <is>
          <t>13.08.2026</t>
        </is>
      </c>
      <c r="G1923" s="256" t="inlineStr">
        <is>
          <t>9.5</t>
        </is>
      </c>
      <c r="H1923" s="256" t="inlineStr">
        <is>
          <t>Escherichia coli</t>
        </is>
      </c>
      <c r="I1923" s="256" t="inlineStr">
        <is>
          <t>Ph. Eur. 2.6.13 cat. C</t>
        </is>
      </c>
      <c r="J1923" s="256" t="inlineStr">
        <is>
          <t>Absence | Отсуство / 1 g</t>
        </is>
      </c>
      <c r="K1923" s="259" t="inlineStr">
        <is>
          <t>not tested</t>
        </is>
      </c>
      <c r="L1923" s="256" t="inlineStr">
        <is>
          <t>—</t>
        </is>
      </c>
      <c r="M1923" s="256" t="inlineStr">
        <is>
          <t>—</t>
        </is>
      </c>
      <c r="N1923" s="256" t="inlineStr">
        <is>
          <t>—</t>
        </is>
      </c>
      <c r="O1923" s="256" t="inlineStr">
        <is>
          <t>—</t>
        </is>
      </c>
      <c r="P1923" s="256" t="inlineStr">
        <is>
          <t>not tested — no certificate covers it</t>
        </is>
      </c>
      <c r="Q1923" s="256" t="inlineStr"/>
      <c r="R1923" s="256" t="inlineStr"/>
    </row>
    <row r="1924">
      <c r="A1924" s="256" t="inlineStr">
        <is>
          <t>CoQ-PP_26-084</t>
        </is>
      </c>
      <c r="B1924" s="256" t="inlineStr">
        <is>
          <t>release</t>
        </is>
      </c>
      <c r="C1924" s="256" t="inlineStr">
        <is>
          <t>JD042601</t>
        </is>
      </c>
      <c r="D1924" s="256" t="inlineStr">
        <is>
          <t>P060492</t>
        </is>
      </c>
      <c r="E1924" s="256" t="inlineStr">
        <is>
          <t>Jelly Donuts</t>
        </is>
      </c>
      <c r="F1924" s="256" t="inlineStr">
        <is>
          <t>13.08.2026</t>
        </is>
      </c>
      <c r="G1924" s="256" t="inlineStr">
        <is>
          <t>9.6</t>
        </is>
      </c>
      <c r="H1924" s="256" t="inlineStr">
        <is>
          <t>Pseudomonas aeruginosa</t>
        </is>
      </c>
      <c r="I1924" s="256" t="inlineStr">
        <is>
          <t>Ph. Eur. 2.6.13 cat. C</t>
        </is>
      </c>
      <c r="J1924" s="256" t="inlineStr">
        <is>
          <t>Absence | Отсуство / 1 g</t>
        </is>
      </c>
      <c r="K1924" s="260" t="inlineStr">
        <is>
          <t>upon request — not required for release</t>
        </is>
      </c>
      <c r="L1924" s="256" t="inlineStr">
        <is>
          <t>—</t>
        </is>
      </c>
      <c r="M1924" s="256" t="inlineStr">
        <is>
          <t>—</t>
        </is>
      </c>
      <c r="N1924" s="256" t="inlineStr">
        <is>
          <t>—</t>
        </is>
      </c>
      <c r="O1924" s="256" t="inlineStr">
        <is>
          <t>—</t>
        </is>
      </c>
      <c r="P1924" s="256" t="inlineStr">
        <is>
          <t>upon request — not required for release</t>
        </is>
      </c>
      <c r="Q1924" s="256" t="inlineStr"/>
      <c r="R1924" s="256" t="inlineStr"/>
    </row>
    <row r="1925">
      <c r="A1925" s="256" t="inlineStr">
        <is>
          <t>CoQ-PP_26-084</t>
        </is>
      </c>
      <c r="B1925" s="256" t="inlineStr">
        <is>
          <t>release</t>
        </is>
      </c>
      <c r="C1925" s="256" t="inlineStr">
        <is>
          <t>JD042601</t>
        </is>
      </c>
      <c r="D1925" s="256" t="inlineStr">
        <is>
          <t>P060492</t>
        </is>
      </c>
      <c r="E1925" s="256" t="inlineStr">
        <is>
          <t>Jelly Donuts</t>
        </is>
      </c>
      <c r="F1925" s="256" t="inlineStr">
        <is>
          <t>13.08.2026</t>
        </is>
      </c>
      <c r="G1925" s="256" t="inlineStr">
        <is>
          <t>9.7</t>
        </is>
      </c>
      <c r="H1925" s="256" t="inlineStr">
        <is>
          <t>Staphylococcus aureus</t>
        </is>
      </c>
      <c r="I1925" s="256" t="inlineStr">
        <is>
          <t>Ph. Eur. 2.6.13 cat. C</t>
        </is>
      </c>
      <c r="J1925" s="256" t="inlineStr">
        <is>
          <t>Absence | Отсуство / 1 g</t>
        </is>
      </c>
      <c r="K1925" s="260" t="inlineStr">
        <is>
          <t>upon request — not required for release</t>
        </is>
      </c>
      <c r="L1925" s="256" t="inlineStr">
        <is>
          <t>—</t>
        </is>
      </c>
      <c r="M1925" s="256" t="inlineStr">
        <is>
          <t>—</t>
        </is>
      </c>
      <c r="N1925" s="256" t="inlineStr">
        <is>
          <t>—</t>
        </is>
      </c>
      <c r="O1925" s="256" t="inlineStr">
        <is>
          <t>—</t>
        </is>
      </c>
      <c r="P1925" s="256" t="inlineStr">
        <is>
          <t>upon request — not required for release</t>
        </is>
      </c>
      <c r="Q1925" s="256" t="inlineStr"/>
      <c r="R1925" s="256" t="inlineStr"/>
    </row>
    <row r="1926">
      <c r="A1926" s="256" t="inlineStr">
        <is>
          <t>CoQ-PP_26-084</t>
        </is>
      </c>
      <c r="B1926" s="256" t="inlineStr">
        <is>
          <t>release</t>
        </is>
      </c>
      <c r="C1926" s="256" t="inlineStr">
        <is>
          <t>JD042601</t>
        </is>
      </c>
      <c r="D1926" s="256" t="inlineStr">
        <is>
          <t>P060492</t>
        </is>
      </c>
      <c r="E1926" s="256" t="inlineStr">
        <is>
          <t>Jelly Donuts</t>
        </is>
      </c>
      <c r="F1926" s="256" t="inlineStr">
        <is>
          <t>13.08.2026</t>
        </is>
      </c>
      <c r="G1926" s="256" t="inlineStr">
        <is>
          <t>10.1</t>
        </is>
      </c>
      <c r="H1926" s="256" t="inlineStr">
        <is>
          <t>Aflatoxin B₁</t>
        </is>
      </c>
      <c r="I1926" s="256" t="inlineStr">
        <is>
          <t>Ph. Eur. 2.8.18 (HPLC-FLD)</t>
        </is>
      </c>
      <c r="J1926" s="256" t="inlineStr">
        <is>
          <t>≤ 2 µg/kg</t>
        </is>
      </c>
      <c r="K1926" s="259" t="inlineStr">
        <is>
          <t>not tested</t>
        </is>
      </c>
      <c r="L1926" s="256" t="inlineStr">
        <is>
          <t>—</t>
        </is>
      </c>
      <c r="M1926" s="256" t="inlineStr">
        <is>
          <t>—</t>
        </is>
      </c>
      <c r="N1926" s="256" t="inlineStr">
        <is>
          <t>—</t>
        </is>
      </c>
      <c r="O1926" s="256" t="inlineStr">
        <is>
          <t>—</t>
        </is>
      </c>
      <c r="P1926" s="256" t="inlineStr">
        <is>
          <t>not tested — no certificate covers it</t>
        </is>
      </c>
      <c r="Q1926" s="256" t="inlineStr"/>
      <c r="R1926" s="256" t="inlineStr">
        <is>
          <t>ND (220-30-М/26)</t>
        </is>
      </c>
    </row>
    <row r="1927">
      <c r="A1927" s="256" t="inlineStr">
        <is>
          <t>CoQ-PP_26-084</t>
        </is>
      </c>
      <c r="B1927" s="256" t="inlineStr">
        <is>
          <t>release</t>
        </is>
      </c>
      <c r="C1927" s="256" t="inlineStr">
        <is>
          <t>JD042601</t>
        </is>
      </c>
      <c r="D1927" s="256" t="inlineStr">
        <is>
          <t>P060492</t>
        </is>
      </c>
      <c r="E1927" s="256" t="inlineStr">
        <is>
          <t>Jelly Donuts</t>
        </is>
      </c>
      <c r="F1927" s="256" t="inlineStr">
        <is>
          <t>13.08.2026</t>
        </is>
      </c>
      <c r="G1927" s="256" t="inlineStr">
        <is>
          <t>10.2</t>
        </is>
      </c>
      <c r="H1927" s="256" t="inlineStr">
        <is>
          <t>Aflatoxins ∑</t>
        </is>
      </c>
      <c r="I1927" s="256" t="inlineStr">
        <is>
          <t>Ph. Eur. 2.8.18 (HPLC-FLD)</t>
        </is>
      </c>
      <c r="J1927" s="256" t="inlineStr">
        <is>
          <t>≤ 4 µg/kg</t>
        </is>
      </c>
      <c r="K1927" s="259" t="inlineStr">
        <is>
          <t>not tested</t>
        </is>
      </c>
      <c r="L1927" s="256" t="inlineStr">
        <is>
          <t>—</t>
        </is>
      </c>
      <c r="M1927" s="256" t="inlineStr">
        <is>
          <t>—</t>
        </is>
      </c>
      <c r="N1927" s="256" t="inlineStr">
        <is>
          <t>—</t>
        </is>
      </c>
      <c r="O1927" s="256" t="inlineStr">
        <is>
          <t>—</t>
        </is>
      </c>
      <c r="P1927" s="256" t="inlineStr">
        <is>
          <t>not tested — no certificate covers it</t>
        </is>
      </c>
      <c r="Q1927" s="256" t="inlineStr"/>
      <c r="R1927" s="256" t="inlineStr">
        <is>
          <t>ND (220-30-М/26)</t>
        </is>
      </c>
    </row>
    <row r="1928">
      <c r="A1928" s="256" t="inlineStr">
        <is>
          <t>CoQ-PP_26-084</t>
        </is>
      </c>
      <c r="B1928" s="256" t="inlineStr">
        <is>
          <t>release</t>
        </is>
      </c>
      <c r="C1928" s="256" t="inlineStr">
        <is>
          <t>JD042601</t>
        </is>
      </c>
      <c r="D1928" s="256" t="inlineStr">
        <is>
          <t>P060492</t>
        </is>
      </c>
      <c r="E1928" s="256" t="inlineStr">
        <is>
          <t>Jelly Donuts</t>
        </is>
      </c>
      <c r="F1928" s="256" t="inlineStr">
        <is>
          <t>13.08.2026</t>
        </is>
      </c>
      <c r="G1928" s="256" t="inlineStr">
        <is>
          <t>10.3</t>
        </is>
      </c>
      <c r="H1928" s="256" t="inlineStr">
        <is>
          <t>Ochratoxin A</t>
        </is>
      </c>
      <c r="I1928" s="256" t="inlineStr">
        <is>
          <t>Ph. Eur. 2.8.22 (HPLC-FLD)</t>
        </is>
      </c>
      <c r="J1928" s="256" t="inlineStr">
        <is>
          <t>≤ 20 µg/kg</t>
        </is>
      </c>
      <c r="K1928" s="259" t="inlineStr">
        <is>
          <t>not tested</t>
        </is>
      </c>
      <c r="L1928" s="256" t="inlineStr">
        <is>
          <t>—</t>
        </is>
      </c>
      <c r="M1928" s="256" t="inlineStr">
        <is>
          <t>—</t>
        </is>
      </c>
      <c r="N1928" s="256" t="inlineStr">
        <is>
          <t>—</t>
        </is>
      </c>
      <c r="O1928" s="256" t="inlineStr">
        <is>
          <t>—</t>
        </is>
      </c>
      <c r="P1928" s="256" t="inlineStr">
        <is>
          <t>not tested — no certificate covers it</t>
        </is>
      </c>
      <c r="Q1928" s="256" t="inlineStr"/>
      <c r="R1928" s="256" t="inlineStr">
        <is>
          <t>ND (220-30-М/26)</t>
        </is>
      </c>
    </row>
    <row r="1929">
      <c r="A1929" s="256" t="inlineStr">
        <is>
          <t>CoQ-PP_26-084</t>
        </is>
      </c>
      <c r="B1929" s="256" t="inlineStr">
        <is>
          <t>release</t>
        </is>
      </c>
      <c r="C1929" s="256" t="inlineStr">
        <is>
          <t>JD042601</t>
        </is>
      </c>
      <c r="D1929" s="256" t="inlineStr">
        <is>
          <t>P060492</t>
        </is>
      </c>
      <c r="E1929" s="256" t="inlineStr">
        <is>
          <t>Jelly Donuts</t>
        </is>
      </c>
      <c r="F1929" s="256" t="inlineStr">
        <is>
          <t>13.08.2026</t>
        </is>
      </c>
      <c r="G1929" s="256" t="inlineStr">
        <is>
          <t>11.1</t>
        </is>
      </c>
      <c r="H1929" s="256" t="inlineStr">
        <is>
          <t>Lead (Pb)</t>
        </is>
      </c>
      <c r="I1929" s="256" t="inlineStr">
        <is>
          <t>Ph. Eur. 2.4.27 (ICP-MS)</t>
        </is>
      </c>
      <c r="J1929" s="256" t="inlineStr">
        <is>
          <t>≤ 0.5 mg/kg</t>
        </is>
      </c>
      <c r="K1929" s="259" t="inlineStr">
        <is>
          <t>not tested</t>
        </is>
      </c>
      <c r="L1929" s="256" t="inlineStr">
        <is>
          <t>—</t>
        </is>
      </c>
      <c r="M1929" s="256" t="inlineStr">
        <is>
          <t>—</t>
        </is>
      </c>
      <c r="N1929" s="256" t="inlineStr">
        <is>
          <t>—</t>
        </is>
      </c>
      <c r="O1929" s="256" t="inlineStr">
        <is>
          <t>—</t>
        </is>
      </c>
      <c r="P1929" s="256" t="inlineStr">
        <is>
          <t>not tested — no certificate covers it</t>
        </is>
      </c>
      <c r="Q1929" s="256" t="inlineStr"/>
      <c r="R1929" s="256" t="inlineStr"/>
    </row>
    <row r="1930">
      <c r="A1930" s="256" t="inlineStr">
        <is>
          <t>CoQ-PP_26-084</t>
        </is>
      </c>
      <c r="B1930" s="256" t="inlineStr">
        <is>
          <t>release</t>
        </is>
      </c>
      <c r="C1930" s="256" t="inlineStr">
        <is>
          <t>JD042601</t>
        </is>
      </c>
      <c r="D1930" s="256" t="inlineStr">
        <is>
          <t>P060492</t>
        </is>
      </c>
      <c r="E1930" s="256" t="inlineStr">
        <is>
          <t>Jelly Donuts</t>
        </is>
      </c>
      <c r="F1930" s="256" t="inlineStr">
        <is>
          <t>13.08.2026</t>
        </is>
      </c>
      <c r="G1930" s="256" t="inlineStr">
        <is>
          <t>11.2</t>
        </is>
      </c>
      <c r="H1930" s="256" t="inlineStr">
        <is>
          <t>Cadmium (Cd)</t>
        </is>
      </c>
      <c r="I1930" s="256" t="inlineStr">
        <is>
          <t>Ph. Eur. 2.4.27 (ICP-MS)</t>
        </is>
      </c>
      <c r="J1930" s="256" t="inlineStr">
        <is>
          <t>≤ 0.3 mg/kg</t>
        </is>
      </c>
      <c r="K1930" s="259" t="inlineStr">
        <is>
          <t>not tested</t>
        </is>
      </c>
      <c r="L1930" s="256" t="inlineStr">
        <is>
          <t>—</t>
        </is>
      </c>
      <c r="M1930" s="256" t="inlineStr">
        <is>
          <t>—</t>
        </is>
      </c>
      <c r="N1930" s="256" t="inlineStr">
        <is>
          <t>—</t>
        </is>
      </c>
      <c r="O1930" s="256" t="inlineStr">
        <is>
          <t>—</t>
        </is>
      </c>
      <c r="P1930" s="256" t="inlineStr">
        <is>
          <t>not tested — no certificate covers it</t>
        </is>
      </c>
      <c r="Q1930" s="256" t="inlineStr"/>
      <c r="R1930" s="256" t="inlineStr"/>
    </row>
    <row r="1931">
      <c r="A1931" s="256" t="inlineStr">
        <is>
          <t>CoQ-PP_26-084</t>
        </is>
      </c>
      <c r="B1931" s="256" t="inlineStr">
        <is>
          <t>release</t>
        </is>
      </c>
      <c r="C1931" s="256" t="inlineStr">
        <is>
          <t>JD042601</t>
        </is>
      </c>
      <c r="D1931" s="256" t="inlineStr">
        <is>
          <t>P060492</t>
        </is>
      </c>
      <c r="E1931" s="256" t="inlineStr">
        <is>
          <t>Jelly Donuts</t>
        </is>
      </c>
      <c r="F1931" s="256" t="inlineStr">
        <is>
          <t>13.08.2026</t>
        </is>
      </c>
      <c r="G1931" s="256" t="inlineStr">
        <is>
          <t>11.3</t>
        </is>
      </c>
      <c r="H1931" s="256" t="inlineStr">
        <is>
          <t>Arsenic (As)</t>
        </is>
      </c>
      <c r="I1931" s="256" t="inlineStr">
        <is>
          <t>Ph. Eur. 2.4.27 (ICP-MS)</t>
        </is>
      </c>
      <c r="J1931" s="256" t="inlineStr">
        <is>
          <t>≤ 0.2 mg/kg</t>
        </is>
      </c>
      <c r="K1931" s="259" t="inlineStr">
        <is>
          <t>not tested</t>
        </is>
      </c>
      <c r="L1931" s="256" t="inlineStr">
        <is>
          <t>—</t>
        </is>
      </c>
      <c r="M1931" s="256" t="inlineStr">
        <is>
          <t>—</t>
        </is>
      </c>
      <c r="N1931" s="256" t="inlineStr">
        <is>
          <t>—</t>
        </is>
      </c>
      <c r="O1931" s="256" t="inlineStr">
        <is>
          <t>—</t>
        </is>
      </c>
      <c r="P1931" s="256" t="inlineStr">
        <is>
          <t>not tested — no certificate covers it</t>
        </is>
      </c>
      <c r="Q1931" s="256" t="inlineStr"/>
      <c r="R1931" s="256" t="inlineStr"/>
    </row>
    <row r="1932">
      <c r="A1932" s="256" t="inlineStr">
        <is>
          <t>CoQ-PP_26-084</t>
        </is>
      </c>
      <c r="B1932" s="256" t="inlineStr">
        <is>
          <t>release</t>
        </is>
      </c>
      <c r="C1932" s="256" t="inlineStr">
        <is>
          <t>JD042601</t>
        </is>
      </c>
      <c r="D1932" s="256" t="inlineStr">
        <is>
          <t>P060492</t>
        </is>
      </c>
      <c r="E1932" s="256" t="inlineStr">
        <is>
          <t>Jelly Donuts</t>
        </is>
      </c>
      <c r="F1932" s="256" t="inlineStr">
        <is>
          <t>13.08.2026</t>
        </is>
      </c>
      <c r="G1932" s="256" t="inlineStr">
        <is>
          <t>11.4</t>
        </is>
      </c>
      <c r="H1932" s="256" t="inlineStr">
        <is>
          <t>Mercury (Hg)</t>
        </is>
      </c>
      <c r="I1932" s="256" t="inlineStr">
        <is>
          <t>Ph. Eur. 2.4.27 (ICP-MS)</t>
        </is>
      </c>
      <c r="J1932" s="256" t="inlineStr">
        <is>
          <t>≤ 0.1 mg/kg</t>
        </is>
      </c>
      <c r="K1932" s="259" t="inlineStr">
        <is>
          <t>not tested</t>
        </is>
      </c>
      <c r="L1932" s="256" t="inlineStr">
        <is>
          <t>—</t>
        </is>
      </c>
      <c r="M1932" s="256" t="inlineStr">
        <is>
          <t>—</t>
        </is>
      </c>
      <c r="N1932" s="256" t="inlineStr">
        <is>
          <t>—</t>
        </is>
      </c>
      <c r="O1932" s="256" t="inlineStr">
        <is>
          <t>—</t>
        </is>
      </c>
      <c r="P1932" s="256" t="inlineStr">
        <is>
          <t>not tested — no certificate covers it</t>
        </is>
      </c>
      <c r="Q1932" s="256" t="inlineStr"/>
      <c r="R1932" s="256" t="inlineStr"/>
    </row>
    <row r="1933">
      <c r="A1933" s="256" t="inlineStr">
        <is>
          <t>CoQ-PP_26-084</t>
        </is>
      </c>
      <c r="B1933" s="256" t="inlineStr">
        <is>
          <t>release</t>
        </is>
      </c>
      <c r="C1933" s="256" t="inlineStr">
        <is>
          <t>JD042601</t>
        </is>
      </c>
      <c r="D1933" s="256" t="inlineStr">
        <is>
          <t>P060492</t>
        </is>
      </c>
      <c r="E1933" s="256" t="inlineStr">
        <is>
          <t>Jelly Donuts</t>
        </is>
      </c>
      <c r="F1933" s="256" t="inlineStr">
        <is>
          <t>13.08.2026</t>
        </is>
      </c>
      <c r="G1933" s="256" t="inlineStr">
        <is>
          <t>12</t>
        </is>
      </c>
      <c r="H1933" s="256" t="inlineStr">
        <is>
          <t>Pesticide Residues</t>
        </is>
      </c>
      <c r="I1933" s="256" t="inlineStr">
        <is>
          <t>Ph. Eur. 2.8.13 (LC-MS/MS) · CUMCS Equivalency</t>
        </is>
      </c>
      <c r="J1933" s="256" t="inlineStr">
        <is>
          <t>≤ LOQ as per Ph. Eur. 2.8.13 · ≤ LOQ as per CUMCS Equivalency</t>
        </is>
      </c>
      <c r="K1933" s="259" t="inlineStr">
        <is>
          <t>not tested</t>
        </is>
      </c>
      <c r="L1933" s="256" t="inlineStr">
        <is>
          <t>—</t>
        </is>
      </c>
      <c r="M1933" s="256" t="inlineStr">
        <is>
          <t>—</t>
        </is>
      </c>
      <c r="N1933" s="256" t="inlineStr">
        <is>
          <t>—</t>
        </is>
      </c>
      <c r="O1933" s="256" t="inlineStr">
        <is>
          <t>—</t>
        </is>
      </c>
      <c r="P1933" s="256" t="inlineStr">
        <is>
          <t>not tested — no certificate covers it</t>
        </is>
      </c>
      <c r="Q1933" s="256" t="inlineStr"/>
      <c r="R1933" s="256" t="inlineStr"/>
    </row>
    <row r="1934">
      <c r="A1934" s="256" t="inlineStr">
        <is>
          <t>CoQ-PP_26-085</t>
        </is>
      </c>
      <c r="B1934" s="256" t="inlineStr">
        <is>
          <t>reissue — retest</t>
        </is>
      </c>
      <c r="C1934" s="256" t="inlineStr">
        <is>
          <t>BG1024</t>
        </is>
      </c>
      <c r="D1934" s="256" t="inlineStr">
        <is>
          <t>BG1024</t>
        </is>
      </c>
      <c r="E1934" s="256" t="inlineStr">
        <is>
          <t>Blue Gelato</t>
        </is>
      </c>
      <c r="F1934" s="256" t="inlineStr">
        <is>
          <t>17.08.2026</t>
        </is>
      </c>
      <c r="G1934" s="256" t="inlineStr">
        <is>
          <t>1</t>
        </is>
      </c>
      <c r="H1934" s="256" t="inlineStr">
        <is>
          <t>Identification A, Appearance · Macroscopic</t>
        </is>
      </c>
      <c r="I1934" s="256" t="inlineStr">
        <is>
          <t>Ph. Eur. mon. 3028</t>
        </is>
      </c>
      <c r="J1934" s="256" t="inlineStr">
        <is>
          <t>Conforms to the monograph for Cannabis flos (07/2024:3028) in Ph. Eur. 11.0 | Согласно монографија за Cannabis flos (07/2024:3028) во Ph. Eur. 11.0</t>
        </is>
      </c>
      <c r="K1934" s="256" t="inlineStr">
        <is>
          <t>Conforms | Одговара</t>
        </is>
      </c>
      <c r="L1934" s="256" t="inlineStr">
        <is>
          <t>iCoA-PP_26-100</t>
        </is>
      </c>
      <c r="M1934" s="256" t="inlineStr">
        <is>
          <t>27.07.2026</t>
        </is>
      </c>
      <c r="N1934" s="256" t="inlineStr">
        <is>
          <t>Purely Plant GmbH (in-house)</t>
        </is>
      </c>
      <c r="O1934" s="256" t="inlineStr">
        <is>
          <t>—</t>
        </is>
      </c>
      <c r="P1934" s="256" t="inlineStr">
        <is>
          <t>covered</t>
        </is>
      </c>
      <c r="Q1934" s="256" t="inlineStr">
        <is>
          <t>Farmahem — Ident A + B + C with the Assay, at retest</t>
        </is>
      </c>
      <c r="R1934" s="256" t="inlineStr"/>
    </row>
    <row r="1935">
      <c r="A1935" s="256" t="inlineStr">
        <is>
          <t>CoQ-PP_26-085</t>
        </is>
      </c>
      <c r="B1935" s="256" t="inlineStr">
        <is>
          <t>reissue — retest</t>
        </is>
      </c>
      <c r="C1935" s="256" t="inlineStr">
        <is>
          <t>BG1024</t>
        </is>
      </c>
      <c r="D1935" s="256" t="inlineStr">
        <is>
          <t>BG1024</t>
        </is>
      </c>
      <c r="E1935" s="256" t="inlineStr">
        <is>
          <t>Blue Gelato</t>
        </is>
      </c>
      <c r="F1935" s="256" t="inlineStr">
        <is>
          <t>17.08.2026</t>
        </is>
      </c>
      <c r="G1935" s="256" t="inlineStr">
        <is>
          <t>2</t>
        </is>
      </c>
      <c r="H1935" s="256" t="inlineStr">
        <is>
          <t>Identification B · Microscopic</t>
        </is>
      </c>
      <c r="I1935" s="256" t="inlineStr">
        <is>
          <t>Ph. Eur. 2.8.23 (microscopy)</t>
        </is>
      </c>
      <c r="J1935" s="256" t="inlineStr">
        <is>
          <t>Conforms to the monograph for Cannabis flos (07/2024:3028) in Ph. Eur. 11.0 | Согласно монографија за Cannabis flos (07/2024:3028) во Ph. Eur. 11.0</t>
        </is>
      </c>
      <c r="K1935" s="256" t="inlineStr">
        <is>
          <t>Conforms | Одговара</t>
        </is>
      </c>
      <c r="L1935" s="256" t="inlineStr">
        <is>
          <t>iCoA-PP_26-100</t>
        </is>
      </c>
      <c r="M1935" s="256" t="inlineStr">
        <is>
          <t>27.07.2026</t>
        </is>
      </c>
      <c r="N1935" s="256" t="inlineStr">
        <is>
          <t>Purely Plant GmbH (in-house)</t>
        </is>
      </c>
      <c r="O1935" s="256" t="inlineStr">
        <is>
          <t>—</t>
        </is>
      </c>
      <c r="P1935" s="256" t="inlineStr">
        <is>
          <t>covered</t>
        </is>
      </c>
      <c r="Q1935" s="256" t="inlineStr">
        <is>
          <t>Farmahem — Ident A + B + C with the Assay, at retest</t>
        </is>
      </c>
      <c r="R1935" s="256" t="inlineStr"/>
    </row>
    <row r="1936">
      <c r="A1936" s="256" t="inlineStr">
        <is>
          <t>CoQ-PP_26-085</t>
        </is>
      </c>
      <c r="B1936" s="256" t="inlineStr">
        <is>
          <t>reissue — retest</t>
        </is>
      </c>
      <c r="C1936" s="256" t="inlineStr">
        <is>
          <t>BG1024</t>
        </is>
      </c>
      <c r="D1936" s="256" t="inlineStr">
        <is>
          <t>BG1024</t>
        </is>
      </c>
      <c r="E1936" s="256" t="inlineStr">
        <is>
          <t>Blue Gelato</t>
        </is>
      </c>
      <c r="F1936" s="256" t="inlineStr">
        <is>
          <t>17.08.2026</t>
        </is>
      </c>
      <c r="G1936" s="256" t="inlineStr">
        <is>
          <t>3</t>
        </is>
      </c>
      <c r="H1936" s="256" t="inlineStr">
        <is>
          <t>Identification C · HPLC/HPTLC</t>
        </is>
      </c>
      <c r="I1936" s="256" t="inlineStr">
        <is>
          <t>Ph. Eur. 2.2.29 (3028)</t>
        </is>
      </c>
      <c r="J1936" s="256" t="inlineStr">
        <is>
          <t>Conforms to the monograph for Cannabis flos (07/2024:3028) in Ph. Eur. 11.0 | Согласно монографија за Cannabis flos (07/2024:3028) во Ph. Eur. 11.0</t>
        </is>
      </c>
      <c r="K1936" s="256" t="inlineStr">
        <is>
          <t>Conforms | Одговара</t>
        </is>
      </c>
      <c r="L1936" s="256" t="inlineStr">
        <is>
          <t>197-1-К/26</t>
        </is>
      </c>
      <c r="M1936" s="256" t="inlineStr">
        <is>
          <t>07.08.2026</t>
        </is>
      </c>
      <c r="N1936" s="256" t="inlineStr">
        <is>
          <t>Farmahem</t>
        </is>
      </c>
      <c r="O1936" s="256" t="inlineStr">
        <is>
          <t>27.07.2026</t>
        </is>
      </c>
      <c r="P1936" s="256" t="inlineStr">
        <is>
          <t>covered</t>
        </is>
      </c>
      <c r="Q1936" s="256" t="inlineStr"/>
      <c r="R1936" s="256" t="inlineStr"/>
    </row>
    <row r="1937">
      <c r="A1937" s="256" t="inlineStr">
        <is>
          <t>CoQ-PP_26-085</t>
        </is>
      </c>
      <c r="B1937" s="256" t="inlineStr">
        <is>
          <t>reissue — retest</t>
        </is>
      </c>
      <c r="C1937" s="256" t="inlineStr">
        <is>
          <t>BG1024</t>
        </is>
      </c>
      <c r="D1937" s="256" t="inlineStr">
        <is>
          <t>BG1024</t>
        </is>
      </c>
      <c r="E1937" s="256" t="inlineStr">
        <is>
          <t>Blue Gelato</t>
        </is>
      </c>
      <c r="F1937" s="256" t="inlineStr">
        <is>
          <t>17.08.2026</t>
        </is>
      </c>
      <c r="G1937" s="256" t="inlineStr">
        <is>
          <t>4</t>
        </is>
      </c>
      <c r="H1937" s="256" t="inlineStr">
        <is>
          <t>Assay — Total Δ⁹-THC</t>
        </is>
      </c>
      <c r="I1937" s="256" t="inlineStr">
        <is>
          <t>Ph. Eur. 2.2.29 (HPLC)</t>
        </is>
      </c>
      <c r="J1937" s="256" t="inlineStr">
        <is>
          <t>24.20 – 27.79 %  (grade I, nominal 26.00 ± 1.80)</t>
        </is>
      </c>
      <c r="K1937" s="256" t="inlineStr">
        <is>
          <t>26.14</t>
        </is>
      </c>
      <c r="L1937" s="256" t="inlineStr">
        <is>
          <t>197-1-К/26</t>
        </is>
      </c>
      <c r="M1937" s="256" t="inlineStr">
        <is>
          <t>07.08.2026</t>
        </is>
      </c>
      <c r="N1937" s="256" t="inlineStr">
        <is>
          <t>Farmahem</t>
        </is>
      </c>
      <c r="O1937" s="256" t="inlineStr">
        <is>
          <t>27.07.2026</t>
        </is>
      </c>
      <c r="P1937" s="256" t="inlineStr">
        <is>
          <t>covered</t>
        </is>
      </c>
      <c r="Q1937" s="256" t="inlineStr"/>
      <c r="R1937" s="256" t="inlineStr"/>
    </row>
    <row r="1938">
      <c r="A1938" s="256" t="inlineStr">
        <is>
          <t>CoQ-PP_26-085</t>
        </is>
      </c>
      <c r="B1938" s="256" t="inlineStr">
        <is>
          <t>reissue — retest</t>
        </is>
      </c>
      <c r="C1938" s="256" t="inlineStr">
        <is>
          <t>BG1024</t>
        </is>
      </c>
      <c r="D1938" s="256" t="inlineStr">
        <is>
          <t>BG1024</t>
        </is>
      </c>
      <c r="E1938" s="256" t="inlineStr">
        <is>
          <t>Blue Gelato</t>
        </is>
      </c>
      <c r="F1938" s="256" t="inlineStr">
        <is>
          <t>17.08.2026</t>
        </is>
      </c>
      <c r="G1938" s="256" t="inlineStr">
        <is>
          <t>5</t>
        </is>
      </c>
      <c r="H1938" s="256" t="inlineStr">
        <is>
          <t>Assay — Total CBD</t>
        </is>
      </c>
      <c r="I1938" s="256" t="inlineStr">
        <is>
          <t>Ph. Eur. 2.2.29 (HPLC) · CBD + CBDA x 0.877</t>
        </is>
      </c>
      <c r="J1938" s="256" t="inlineStr">
        <is>
          <t>≤ 1.0%, w/w</t>
        </is>
      </c>
      <c r="K1938" s="256" t="inlineStr">
        <is>
          <t>&lt; LOQ</t>
        </is>
      </c>
      <c r="L1938" s="256" t="inlineStr">
        <is>
          <t>197-1-К/26</t>
        </is>
      </c>
      <c r="M1938" s="256" t="inlineStr">
        <is>
          <t>07.08.2026</t>
        </is>
      </c>
      <c r="N1938" s="256" t="inlineStr">
        <is>
          <t>Farmahem</t>
        </is>
      </c>
      <c r="O1938" s="256" t="inlineStr">
        <is>
          <t>27.07.2026</t>
        </is>
      </c>
      <c r="P1938" s="256" t="inlineStr">
        <is>
          <t>covered</t>
        </is>
      </c>
      <c r="Q1938" s="256" t="inlineStr"/>
      <c r="R1938" s="256" t="inlineStr"/>
    </row>
    <row r="1939">
      <c r="A1939" s="256" t="inlineStr">
        <is>
          <t>CoQ-PP_26-085</t>
        </is>
      </c>
      <c r="B1939" s="256" t="inlineStr">
        <is>
          <t>reissue — retest</t>
        </is>
      </c>
      <c r="C1939" s="256" t="inlineStr">
        <is>
          <t>BG1024</t>
        </is>
      </c>
      <c r="D1939" s="256" t="inlineStr">
        <is>
          <t>BG1024</t>
        </is>
      </c>
      <c r="E1939" s="256" t="inlineStr">
        <is>
          <t>Blue Gelato</t>
        </is>
      </c>
      <c r="F1939" s="256" t="inlineStr">
        <is>
          <t>17.08.2026</t>
        </is>
      </c>
      <c r="G1939" s="256" t="inlineStr">
        <is>
          <t>6</t>
        </is>
      </c>
      <c r="H1939" s="256" t="inlineStr">
        <is>
          <t>Total CBN</t>
        </is>
      </c>
      <c r="I1939" s="256" t="inlineStr">
        <is>
          <t>Ph. Eur. 2.2.29 (HPLC) · CBN + CBNA x 0.876</t>
        </is>
      </c>
      <c r="J1939" s="256" t="inlineStr">
        <is>
          <t>≤ 1.0%, w/w</t>
        </is>
      </c>
      <c r="K1939" s="256" t="inlineStr">
        <is>
          <t>0.28</t>
        </is>
      </c>
      <c r="L1939" s="256" t="inlineStr">
        <is>
          <t>197-1-К/26</t>
        </is>
      </c>
      <c r="M1939" s="256" t="inlineStr">
        <is>
          <t>07.08.2026</t>
        </is>
      </c>
      <c r="N1939" s="256" t="inlineStr">
        <is>
          <t>Farmahem</t>
        </is>
      </c>
      <c r="O1939" s="256" t="inlineStr">
        <is>
          <t>27.07.2026</t>
        </is>
      </c>
      <c r="P1939" s="256" t="inlineStr">
        <is>
          <t>covered</t>
        </is>
      </c>
      <c r="Q1939" s="256" t="inlineStr"/>
      <c r="R1939" s="256" t="inlineStr"/>
    </row>
    <row r="1940">
      <c r="A1940" s="256" t="inlineStr">
        <is>
          <t>CoQ-PP_26-085</t>
        </is>
      </c>
      <c r="B1940" s="256" t="inlineStr">
        <is>
          <t>reissue — retest</t>
        </is>
      </c>
      <c r="C1940" s="256" t="inlineStr">
        <is>
          <t>BG1024</t>
        </is>
      </c>
      <c r="D1940" s="256" t="inlineStr">
        <is>
          <t>BG1024</t>
        </is>
      </c>
      <c r="E1940" s="256" t="inlineStr">
        <is>
          <t>Blue Gelato</t>
        </is>
      </c>
      <c r="F1940" s="256" t="inlineStr">
        <is>
          <t>17.08.2026</t>
        </is>
      </c>
      <c r="G1940" s="256" t="inlineStr">
        <is>
          <t>7</t>
        </is>
      </c>
      <c r="H1940" s="256" t="inlineStr">
        <is>
          <t>Foreign Matter</t>
        </is>
      </c>
      <c r="I1940" s="256" t="inlineStr">
        <is>
          <t>Ph. Eur. 2.8.2 · In-house · интерна</t>
        </is>
      </c>
      <c r="J1940" s="256" t="inlineStr">
        <is>
          <t>≤ 2.0% / 25–50 g · &lt; 1 cm leaves | листови, no seeds | без семки</t>
        </is>
      </c>
      <c r="K1940" s="256" t="inlineStr">
        <is>
          <t>Conforms | Одговара</t>
        </is>
      </c>
      <c r="L1940" s="256" t="inlineStr">
        <is>
          <t>iCoA-PP_26-100</t>
        </is>
      </c>
      <c r="M1940" s="256" t="inlineStr">
        <is>
          <t>27.07.2026</t>
        </is>
      </c>
      <c r="N1940" s="256" t="inlineStr">
        <is>
          <t>Purely Plant GmbH (in-house)</t>
        </is>
      </c>
      <c r="O1940" s="256" t="inlineStr">
        <is>
          <t>—</t>
        </is>
      </c>
      <c r="P1940" s="256" t="inlineStr">
        <is>
          <t>covered</t>
        </is>
      </c>
      <c r="Q1940" s="256" t="inlineStr">
        <is>
          <t>Purely Plant laboratory — iCoA covering Foreign matter</t>
        </is>
      </c>
      <c r="R1940" s="256" t="inlineStr"/>
    </row>
    <row r="1941">
      <c r="A1941" s="256" t="inlineStr">
        <is>
          <t>CoQ-PP_26-085</t>
        </is>
      </c>
      <c r="B1941" s="256" t="inlineStr">
        <is>
          <t>reissue — retest</t>
        </is>
      </c>
      <c r="C1941" s="256" t="inlineStr">
        <is>
          <t>BG1024</t>
        </is>
      </c>
      <c r="D1941" s="256" t="inlineStr">
        <is>
          <t>BG1024</t>
        </is>
      </c>
      <c r="E1941" s="256" t="inlineStr">
        <is>
          <t>Blue Gelato</t>
        </is>
      </c>
      <c r="F1941" s="256" t="inlineStr">
        <is>
          <t>17.08.2026</t>
        </is>
      </c>
      <c r="G1941" s="256" t="inlineStr">
        <is>
          <t>8</t>
        </is>
      </c>
      <c r="H1941" s="256" t="inlineStr">
        <is>
          <t>Loss on Drying</t>
        </is>
      </c>
      <c r="I1941" s="256" t="inlineStr">
        <is>
          <t>DAB 2018 monograph Cannabis flos, 2.2.32 — loss on drying (CNP, before its Ph. Eur. 3028 accreditation)</t>
        </is>
      </c>
      <c r="J1941" s="256" t="inlineStr">
        <is>
          <t>≤ 12.0%</t>
        </is>
      </c>
      <c r="K1941" s="256" t="inlineStr">
        <is>
          <t>5.73</t>
        </is>
      </c>
      <c r="L1941" s="256" t="inlineStr">
        <is>
          <t>ППК25050</t>
        </is>
      </c>
      <c r="M1941" s="256" t="inlineStr">
        <is>
          <t>26.02.2025</t>
        </is>
      </c>
      <c r="N1941" s="256" t="inlineStr">
        <is>
          <t>UKIM Faculty of Pharmacy — Center for Natural Products</t>
        </is>
      </c>
      <c r="O1941" s="256" t="inlineStr">
        <is>
          <t>13.02.2025</t>
        </is>
      </c>
      <c r="P1941" s="256" t="inlineStr">
        <is>
          <t>carried from the initial testing (CoQ-PP-2025-0002) — covered</t>
        </is>
      </c>
      <c r="Q1941" s="256" t="inlineStr"/>
      <c r="R1941" s="256" t="inlineStr"/>
    </row>
    <row r="1942">
      <c r="A1942" s="256" t="inlineStr">
        <is>
          <t>CoQ-PP_26-085</t>
        </is>
      </c>
      <c r="B1942" s="256" t="inlineStr">
        <is>
          <t>reissue — retest</t>
        </is>
      </c>
      <c r="C1942" s="256" t="inlineStr">
        <is>
          <t>BG1024</t>
        </is>
      </c>
      <c r="D1942" s="256" t="inlineStr">
        <is>
          <t>BG1024</t>
        </is>
      </c>
      <c r="E1942" s="256" t="inlineStr">
        <is>
          <t>Blue Gelato</t>
        </is>
      </c>
      <c r="F1942" s="256" t="inlineStr">
        <is>
          <t>17.08.2026</t>
        </is>
      </c>
      <c r="G1942" s="256" t="inlineStr">
        <is>
          <t>9.1</t>
        </is>
      </c>
      <c r="H1942" s="256" t="inlineStr">
        <is>
          <t>TAMC</t>
        </is>
      </c>
      <c r="I1942" s="256" t="inlineStr">
        <is>
          <t>Ph. Eur. 2.6.12 cat. C</t>
        </is>
      </c>
      <c r="J1942" s="256" t="inlineStr">
        <is>
          <t>≤ 10⁵ CFU/g</t>
        </is>
      </c>
      <c r="K1942" s="256" t="inlineStr">
        <is>
          <t>1.6 × 10⁴</t>
        </is>
      </c>
      <c r="L1942" s="256" t="inlineStr">
        <is>
          <t>163/0271/25</t>
        </is>
      </c>
      <c r="M1942" s="256" t="inlineStr">
        <is>
          <t>24.02.2025</t>
        </is>
      </c>
      <c r="N1942" s="256" t="inlineStr">
        <is>
          <t>IPH — Institute of Public Health</t>
        </is>
      </c>
      <c r="O1942" s="256" t="inlineStr">
        <is>
          <t>17.02.2025</t>
        </is>
      </c>
      <c r="P1942" s="256" t="inlineStr">
        <is>
          <t>carried from the initial testing (CoQ-PP-2025-0002) — covered</t>
        </is>
      </c>
      <c r="Q1942" s="256" t="inlineStr"/>
      <c r="R1942" s="256" t="inlineStr"/>
    </row>
    <row r="1943">
      <c r="A1943" s="256" t="inlineStr">
        <is>
          <t>CoQ-PP_26-085</t>
        </is>
      </c>
      <c r="B1943" s="256" t="inlineStr">
        <is>
          <t>reissue — retest</t>
        </is>
      </c>
      <c r="C1943" s="256" t="inlineStr">
        <is>
          <t>BG1024</t>
        </is>
      </c>
      <c r="D1943" s="256" t="inlineStr">
        <is>
          <t>BG1024</t>
        </is>
      </c>
      <c r="E1943" s="256" t="inlineStr">
        <is>
          <t>Blue Gelato</t>
        </is>
      </c>
      <c r="F1943" s="256" t="inlineStr">
        <is>
          <t>17.08.2026</t>
        </is>
      </c>
      <c r="G1943" s="256" t="inlineStr">
        <is>
          <t>9.2</t>
        </is>
      </c>
      <c r="H1943" s="256" t="inlineStr">
        <is>
          <t>TYMC</t>
        </is>
      </c>
      <c r="I1943" s="256" t="inlineStr">
        <is>
          <t>Ph. Eur. 2.6.12 cat. C</t>
        </is>
      </c>
      <c r="J1943" s="256" t="inlineStr">
        <is>
          <t>≤ 10⁴ CFU/g</t>
        </is>
      </c>
      <c r="K1943" s="256" t="inlineStr">
        <is>
          <t>1 × 10⁴</t>
        </is>
      </c>
      <c r="L1943" s="256" t="inlineStr">
        <is>
          <t>163/0271/25</t>
        </is>
      </c>
      <c r="M1943" s="256" t="inlineStr">
        <is>
          <t>24.02.2025</t>
        </is>
      </c>
      <c r="N1943" s="256" t="inlineStr">
        <is>
          <t>IPH — Institute of Public Health</t>
        </is>
      </c>
      <c r="O1943" s="256" t="inlineStr">
        <is>
          <t>17.02.2025</t>
        </is>
      </c>
      <c r="P1943" s="256" t="inlineStr">
        <is>
          <t>carried from the initial testing (CoQ-PP-2025-0002) — covered</t>
        </is>
      </c>
      <c r="Q1943" s="256" t="inlineStr"/>
      <c r="R1943" s="256" t="inlineStr"/>
    </row>
    <row r="1944">
      <c r="A1944" s="256" t="inlineStr">
        <is>
          <t>CoQ-PP_26-085</t>
        </is>
      </c>
      <c r="B1944" s="256" t="inlineStr">
        <is>
          <t>reissue — retest</t>
        </is>
      </c>
      <c r="C1944" s="256" t="inlineStr">
        <is>
          <t>BG1024</t>
        </is>
      </c>
      <c r="D1944" s="256" t="inlineStr">
        <is>
          <t>BG1024</t>
        </is>
      </c>
      <c r="E1944" s="256" t="inlineStr">
        <is>
          <t>Blue Gelato</t>
        </is>
      </c>
      <c r="F1944" s="256" t="inlineStr">
        <is>
          <t>17.08.2026</t>
        </is>
      </c>
      <c r="G1944" s="256" t="inlineStr">
        <is>
          <t>9.3</t>
        </is>
      </c>
      <c r="H1944" s="256" t="inlineStr">
        <is>
          <t>Bile-tolerant gram-neg.</t>
        </is>
      </c>
      <c r="I1944" s="256" t="inlineStr">
        <is>
          <t>Ph. Eur. 2.6.31 cat. C</t>
        </is>
      </c>
      <c r="J1944" s="256" t="inlineStr">
        <is>
          <t>≤ 10⁴ CFU/g</t>
        </is>
      </c>
      <c r="K1944" s="256" t="inlineStr">
        <is>
          <t>&lt; 10² and &gt; 10</t>
        </is>
      </c>
      <c r="L1944" s="256" t="inlineStr">
        <is>
          <t>163/0271/25</t>
        </is>
      </c>
      <c r="M1944" s="256" t="inlineStr">
        <is>
          <t>24.02.2025</t>
        </is>
      </c>
      <c r="N1944" s="256" t="inlineStr">
        <is>
          <t>IPH — Institute of Public Health</t>
        </is>
      </c>
      <c r="O1944" s="256" t="inlineStr">
        <is>
          <t>17.02.2025</t>
        </is>
      </c>
      <c r="P1944" s="256" t="inlineStr">
        <is>
          <t>carried from the initial testing (CoQ-PP-2025-0002) — covered</t>
        </is>
      </c>
      <c r="Q1944" s="256" t="inlineStr"/>
      <c r="R1944" s="256" t="inlineStr"/>
    </row>
    <row r="1945">
      <c r="A1945" s="256" t="inlineStr">
        <is>
          <t>CoQ-PP_26-085</t>
        </is>
      </c>
      <c r="B1945" s="256" t="inlineStr">
        <is>
          <t>reissue — retest</t>
        </is>
      </c>
      <c r="C1945" s="256" t="inlineStr">
        <is>
          <t>BG1024</t>
        </is>
      </c>
      <c r="D1945" s="256" t="inlineStr">
        <is>
          <t>BG1024</t>
        </is>
      </c>
      <c r="E1945" s="256" t="inlineStr">
        <is>
          <t>Blue Gelato</t>
        </is>
      </c>
      <c r="F1945" s="256" t="inlineStr">
        <is>
          <t>17.08.2026</t>
        </is>
      </c>
      <c r="G1945" s="256" t="inlineStr">
        <is>
          <t>9.4</t>
        </is>
      </c>
      <c r="H1945" s="256" t="inlineStr">
        <is>
          <t>Salmonella</t>
        </is>
      </c>
      <c r="I1945" s="256" t="inlineStr">
        <is>
          <t>Ph. Eur. 2.6.31 cat. C</t>
        </is>
      </c>
      <c r="J1945" s="256" t="inlineStr">
        <is>
          <t>Absence | Отсуство / 25 g</t>
        </is>
      </c>
      <c r="K1945" s="256" t="inlineStr">
        <is>
          <t>Absent | Отсутна</t>
        </is>
      </c>
      <c r="L1945" s="256" t="inlineStr">
        <is>
          <t>163/0271/25</t>
        </is>
      </c>
      <c r="M1945" s="256" t="inlineStr">
        <is>
          <t>24.02.2025</t>
        </is>
      </c>
      <c r="N1945" s="256" t="inlineStr">
        <is>
          <t>IPH — Institute of Public Health</t>
        </is>
      </c>
      <c r="O1945" s="256" t="inlineStr">
        <is>
          <t>17.02.2025</t>
        </is>
      </c>
      <c r="P1945" s="256" t="inlineStr">
        <is>
          <t>carried from the initial testing (CoQ-PP-2025-0002) — covered</t>
        </is>
      </c>
      <c r="Q1945" s="256" t="inlineStr"/>
      <c r="R1945" s="256" t="inlineStr"/>
    </row>
    <row r="1946">
      <c r="A1946" s="256" t="inlineStr">
        <is>
          <t>CoQ-PP_26-085</t>
        </is>
      </c>
      <c r="B1946" s="256" t="inlineStr">
        <is>
          <t>reissue — retest</t>
        </is>
      </c>
      <c r="C1946" s="256" t="inlineStr">
        <is>
          <t>BG1024</t>
        </is>
      </c>
      <c r="D1946" s="256" t="inlineStr">
        <is>
          <t>BG1024</t>
        </is>
      </c>
      <c r="E1946" s="256" t="inlineStr">
        <is>
          <t>Blue Gelato</t>
        </is>
      </c>
      <c r="F1946" s="256" t="inlineStr">
        <is>
          <t>17.08.2026</t>
        </is>
      </c>
      <c r="G1946" s="256" t="inlineStr">
        <is>
          <t>9.5</t>
        </is>
      </c>
      <c r="H1946" s="256" t="inlineStr">
        <is>
          <t>Escherichia coli</t>
        </is>
      </c>
      <c r="I1946" s="256" t="inlineStr">
        <is>
          <t>Ph. Eur. 2.6.13 cat. C</t>
        </is>
      </c>
      <c r="J1946" s="256" t="inlineStr">
        <is>
          <t>Absence | Отсуство / 1 g</t>
        </is>
      </c>
      <c r="K1946" s="256" t="inlineStr">
        <is>
          <t>Absent | Отсутна</t>
        </is>
      </c>
      <c r="L1946" s="256" t="inlineStr">
        <is>
          <t>163/0271/25</t>
        </is>
      </c>
      <c r="M1946" s="256" t="inlineStr">
        <is>
          <t>24.02.2025</t>
        </is>
      </c>
      <c r="N1946" s="256" t="inlineStr">
        <is>
          <t>IPH — Institute of Public Health</t>
        </is>
      </c>
      <c r="O1946" s="256" t="inlineStr">
        <is>
          <t>17.02.2025</t>
        </is>
      </c>
      <c r="P1946" s="256" t="inlineStr">
        <is>
          <t>carried from the initial testing (CoQ-PP-2025-0002) — covered</t>
        </is>
      </c>
      <c r="Q1946" s="256" t="inlineStr"/>
      <c r="R1946" s="256" t="inlineStr"/>
    </row>
    <row r="1947">
      <c r="A1947" s="256" t="inlineStr">
        <is>
          <t>CoQ-PP_26-085</t>
        </is>
      </c>
      <c r="B1947" s="256" t="inlineStr">
        <is>
          <t>reissue — retest</t>
        </is>
      </c>
      <c r="C1947" s="256" t="inlineStr">
        <is>
          <t>BG1024</t>
        </is>
      </c>
      <c r="D1947" s="256" t="inlineStr">
        <is>
          <t>BG1024</t>
        </is>
      </c>
      <c r="E1947" s="256" t="inlineStr">
        <is>
          <t>Blue Gelato</t>
        </is>
      </c>
      <c r="F1947" s="256" t="inlineStr">
        <is>
          <t>17.08.2026</t>
        </is>
      </c>
      <c r="G1947" s="256" t="inlineStr">
        <is>
          <t>9.6</t>
        </is>
      </c>
      <c r="H1947" s="256" t="inlineStr">
        <is>
          <t>Pseudomonas aeruginosa</t>
        </is>
      </c>
      <c r="I1947" s="256" t="inlineStr">
        <is>
          <t>Ph. Eur. 2.6.13 cat. C</t>
        </is>
      </c>
      <c r="J1947" s="256" t="inlineStr">
        <is>
          <t>Absence | Отсуство / 1 g</t>
        </is>
      </c>
      <c r="K1947" s="260" t="inlineStr">
        <is>
          <t>upon request — not required for release</t>
        </is>
      </c>
      <c r="L1947" s="256" t="inlineStr">
        <is>
          <t>—</t>
        </is>
      </c>
      <c r="M1947" s="256" t="inlineStr">
        <is>
          <t>—</t>
        </is>
      </c>
      <c r="N1947" s="256" t="inlineStr">
        <is>
          <t>—</t>
        </is>
      </c>
      <c r="O1947" s="256" t="inlineStr">
        <is>
          <t>—</t>
        </is>
      </c>
      <c r="P1947" s="256" t="inlineStr">
        <is>
          <t>upon request — not required for release</t>
        </is>
      </c>
      <c r="Q1947" s="256" t="inlineStr"/>
      <c r="R1947" s="256" t="inlineStr"/>
    </row>
    <row r="1948">
      <c r="A1948" s="256" t="inlineStr">
        <is>
          <t>CoQ-PP_26-085</t>
        </is>
      </c>
      <c r="B1948" s="256" t="inlineStr">
        <is>
          <t>reissue — retest</t>
        </is>
      </c>
      <c r="C1948" s="256" t="inlineStr">
        <is>
          <t>BG1024</t>
        </is>
      </c>
      <c r="D1948" s="256" t="inlineStr">
        <is>
          <t>BG1024</t>
        </is>
      </c>
      <c r="E1948" s="256" t="inlineStr">
        <is>
          <t>Blue Gelato</t>
        </is>
      </c>
      <c r="F1948" s="256" t="inlineStr">
        <is>
          <t>17.08.2026</t>
        </is>
      </c>
      <c r="G1948" s="256" t="inlineStr">
        <is>
          <t>9.7</t>
        </is>
      </c>
      <c r="H1948" s="256" t="inlineStr">
        <is>
          <t>Staphylococcus aureus</t>
        </is>
      </c>
      <c r="I1948" s="256" t="inlineStr">
        <is>
          <t>Ph. Eur. 2.6.13 cat. C</t>
        </is>
      </c>
      <c r="J1948" s="256" t="inlineStr">
        <is>
          <t>Absence | Отсуство / 1 g</t>
        </is>
      </c>
      <c r="K1948" s="260" t="inlineStr">
        <is>
          <t>upon request — not required for release</t>
        </is>
      </c>
      <c r="L1948" s="256" t="inlineStr">
        <is>
          <t>—</t>
        </is>
      </c>
      <c r="M1948" s="256" t="inlineStr">
        <is>
          <t>—</t>
        </is>
      </c>
      <c r="N1948" s="256" t="inlineStr">
        <is>
          <t>—</t>
        </is>
      </c>
      <c r="O1948" s="256" t="inlineStr">
        <is>
          <t>—</t>
        </is>
      </c>
      <c r="P1948" s="256" t="inlineStr">
        <is>
          <t>upon request — not required for release</t>
        </is>
      </c>
      <c r="Q1948" s="256" t="inlineStr"/>
      <c r="R1948" s="256" t="inlineStr"/>
    </row>
    <row r="1949">
      <c r="A1949" s="256" t="inlineStr">
        <is>
          <t>CoQ-PP_26-085</t>
        </is>
      </c>
      <c r="B1949" s="256" t="inlineStr">
        <is>
          <t>reissue — retest</t>
        </is>
      </c>
      <c r="C1949" s="256" t="inlineStr">
        <is>
          <t>BG1024</t>
        </is>
      </c>
      <c r="D1949" s="256" t="inlineStr">
        <is>
          <t>BG1024</t>
        </is>
      </c>
      <c r="E1949" s="256" t="inlineStr">
        <is>
          <t>Blue Gelato</t>
        </is>
      </c>
      <c r="F1949" s="256" t="inlineStr">
        <is>
          <t>17.08.2026</t>
        </is>
      </c>
      <c r="G1949" s="256" t="inlineStr">
        <is>
          <t>10.1</t>
        </is>
      </c>
      <c r="H1949" s="256" t="inlineStr">
        <is>
          <t>Aflatoxin B₁</t>
        </is>
      </c>
      <c r="I1949" s="256" t="inlineStr">
        <is>
          <t>Ph. Eur. 2.8.18 (HPLC-FLD)</t>
        </is>
      </c>
      <c r="J1949" s="256" t="inlineStr">
        <is>
          <t>≤ 2 µg/kg</t>
        </is>
      </c>
      <c r="K1949" s="256" t="inlineStr">
        <is>
          <t>ND</t>
        </is>
      </c>
      <c r="L1949" s="256" t="inlineStr">
        <is>
          <t>197-1-М/26</t>
        </is>
      </c>
      <c r="M1949" s="256" t="inlineStr">
        <is>
          <t>10.08.2026</t>
        </is>
      </c>
      <c r="N1949" s="256" t="inlineStr">
        <is>
          <t>Farmahem</t>
        </is>
      </c>
      <c r="O1949" s="256" t="inlineStr">
        <is>
          <t>29.07.2026</t>
        </is>
      </c>
      <c r="P1949" s="256" t="inlineStr">
        <is>
          <t>covered</t>
        </is>
      </c>
      <c r="Q1949" s="256" t="inlineStr"/>
      <c r="R1949" s="256" t="inlineStr"/>
    </row>
    <row r="1950">
      <c r="A1950" s="256" t="inlineStr">
        <is>
          <t>CoQ-PP_26-085</t>
        </is>
      </c>
      <c r="B1950" s="256" t="inlineStr">
        <is>
          <t>reissue — retest</t>
        </is>
      </c>
      <c r="C1950" s="256" t="inlineStr">
        <is>
          <t>BG1024</t>
        </is>
      </c>
      <c r="D1950" s="256" t="inlineStr">
        <is>
          <t>BG1024</t>
        </is>
      </c>
      <c r="E1950" s="256" t="inlineStr">
        <is>
          <t>Blue Gelato</t>
        </is>
      </c>
      <c r="F1950" s="256" t="inlineStr">
        <is>
          <t>17.08.2026</t>
        </is>
      </c>
      <c r="G1950" s="256" t="inlineStr">
        <is>
          <t>10.2</t>
        </is>
      </c>
      <c r="H1950" s="256" t="inlineStr">
        <is>
          <t>Aflatoxins ∑</t>
        </is>
      </c>
      <c r="I1950" s="256" t="inlineStr">
        <is>
          <t>Ph. Eur. 2.8.18 (HPLC-FLD)</t>
        </is>
      </c>
      <c r="J1950" s="256" t="inlineStr">
        <is>
          <t>≤ 4 µg/kg</t>
        </is>
      </c>
      <c r="K1950" s="256" t="inlineStr">
        <is>
          <t>ND</t>
        </is>
      </c>
      <c r="L1950" s="256" t="inlineStr">
        <is>
          <t>197-1-М/26</t>
        </is>
      </c>
      <c r="M1950" s="256" t="inlineStr">
        <is>
          <t>10.08.2026</t>
        </is>
      </c>
      <c r="N1950" s="256" t="inlineStr">
        <is>
          <t>Farmahem</t>
        </is>
      </c>
      <c r="O1950" s="256" t="inlineStr">
        <is>
          <t>29.07.2026</t>
        </is>
      </c>
      <c r="P1950" s="256" t="inlineStr">
        <is>
          <t>covered</t>
        </is>
      </c>
      <c r="Q1950" s="256" t="inlineStr"/>
      <c r="R1950" s="256" t="inlineStr"/>
    </row>
    <row r="1951">
      <c r="A1951" s="256" t="inlineStr">
        <is>
          <t>CoQ-PP_26-085</t>
        </is>
      </c>
      <c r="B1951" s="256" t="inlineStr">
        <is>
          <t>reissue — retest</t>
        </is>
      </c>
      <c r="C1951" s="256" t="inlineStr">
        <is>
          <t>BG1024</t>
        </is>
      </c>
      <c r="D1951" s="256" t="inlineStr">
        <is>
          <t>BG1024</t>
        </is>
      </c>
      <c r="E1951" s="256" t="inlineStr">
        <is>
          <t>Blue Gelato</t>
        </is>
      </c>
      <c r="F1951" s="256" t="inlineStr">
        <is>
          <t>17.08.2026</t>
        </is>
      </c>
      <c r="G1951" s="256" t="inlineStr">
        <is>
          <t>10.3</t>
        </is>
      </c>
      <c r="H1951" s="256" t="inlineStr">
        <is>
          <t>Ochratoxin A</t>
        </is>
      </c>
      <c r="I1951" s="256" t="inlineStr">
        <is>
          <t>Ph. Eur. 2.8.22 (HPLC-FLD)</t>
        </is>
      </c>
      <c r="J1951" s="256" t="inlineStr">
        <is>
          <t>≤ 20 µg/kg</t>
        </is>
      </c>
      <c r="K1951" s="256" t="inlineStr">
        <is>
          <t>ND</t>
        </is>
      </c>
      <c r="L1951" s="256" t="inlineStr">
        <is>
          <t>197-1-М/26</t>
        </is>
      </c>
      <c r="M1951" s="256" t="inlineStr">
        <is>
          <t>10.08.2026</t>
        </is>
      </c>
      <c r="N1951" s="256" t="inlineStr">
        <is>
          <t>Farmahem</t>
        </is>
      </c>
      <c r="O1951" s="256" t="inlineStr">
        <is>
          <t>29.07.2026</t>
        </is>
      </c>
      <c r="P1951" s="256" t="inlineStr">
        <is>
          <t>covered</t>
        </is>
      </c>
      <c r="Q1951" s="256" t="inlineStr"/>
      <c r="R1951" s="256" t="inlineStr"/>
    </row>
    <row r="1952">
      <c r="A1952" s="256" t="inlineStr">
        <is>
          <t>CoQ-PP_26-085</t>
        </is>
      </c>
      <c r="B1952" s="256" t="inlineStr">
        <is>
          <t>reissue — retest</t>
        </is>
      </c>
      <c r="C1952" s="256" t="inlineStr">
        <is>
          <t>BG1024</t>
        </is>
      </c>
      <c r="D1952" s="256" t="inlineStr">
        <is>
          <t>BG1024</t>
        </is>
      </c>
      <c r="E1952" s="256" t="inlineStr">
        <is>
          <t>Blue Gelato</t>
        </is>
      </c>
      <c r="F1952" s="256" t="inlineStr">
        <is>
          <t>17.08.2026</t>
        </is>
      </c>
      <c r="G1952" s="256" t="inlineStr">
        <is>
          <t>11.1</t>
        </is>
      </c>
      <c r="H1952" s="256" t="inlineStr">
        <is>
          <t>Lead (Pb)</t>
        </is>
      </c>
      <c r="I1952" s="256" t="inlineStr">
        <is>
          <t>Ph. Eur. 2.4.27 (ICP-MS)</t>
        </is>
      </c>
      <c r="J1952" s="256" t="inlineStr">
        <is>
          <t>≤ 0.5 mg/kg</t>
        </is>
      </c>
      <c r="K1952" s="256" t="inlineStr">
        <is>
          <t>0.01</t>
        </is>
      </c>
      <c r="L1952" s="256" t="inlineStr">
        <is>
          <t>752/2025</t>
        </is>
      </c>
      <c r="M1952" s="256" t="inlineStr">
        <is>
          <t>27.02.2025</t>
        </is>
      </c>
      <c r="N1952" s="256" t="inlineStr">
        <is>
          <t>IPH — Institute of Public Health</t>
        </is>
      </c>
      <c r="O1952" s="256" t="inlineStr">
        <is>
          <t>13.02.2025</t>
        </is>
      </c>
      <c r="P1952" s="256" t="inlineStr">
        <is>
          <t>carried from the initial testing (CoQ-PP-2025-0002) — covered</t>
        </is>
      </c>
      <c r="Q1952" s="256" t="inlineStr"/>
      <c r="R1952" s="256" t="inlineStr"/>
    </row>
    <row r="1953">
      <c r="A1953" s="256" t="inlineStr">
        <is>
          <t>CoQ-PP_26-085</t>
        </is>
      </c>
      <c r="B1953" s="256" t="inlineStr">
        <is>
          <t>reissue — retest</t>
        </is>
      </c>
      <c r="C1953" s="256" t="inlineStr">
        <is>
          <t>BG1024</t>
        </is>
      </c>
      <c r="D1953" s="256" t="inlineStr">
        <is>
          <t>BG1024</t>
        </is>
      </c>
      <c r="E1953" s="256" t="inlineStr">
        <is>
          <t>Blue Gelato</t>
        </is>
      </c>
      <c r="F1953" s="256" t="inlineStr">
        <is>
          <t>17.08.2026</t>
        </is>
      </c>
      <c r="G1953" s="256" t="inlineStr">
        <is>
          <t>11.2</t>
        </is>
      </c>
      <c r="H1953" s="256" t="inlineStr">
        <is>
          <t>Cadmium (Cd)</t>
        </is>
      </c>
      <c r="I1953" s="256" t="inlineStr">
        <is>
          <t>Ph. Eur. 2.4.27 (ICP-MS)</t>
        </is>
      </c>
      <c r="J1953" s="256" t="inlineStr">
        <is>
          <t>≤ 0.3 mg/kg</t>
        </is>
      </c>
      <c r="K1953" s="256" t="inlineStr">
        <is>
          <t>0.016</t>
        </is>
      </c>
      <c r="L1953" s="256" t="inlineStr">
        <is>
          <t>752/2025</t>
        </is>
      </c>
      <c r="M1953" s="256" t="inlineStr">
        <is>
          <t>27.02.2025</t>
        </is>
      </c>
      <c r="N1953" s="256" t="inlineStr">
        <is>
          <t>IPH — Institute of Public Health</t>
        </is>
      </c>
      <c r="O1953" s="256" t="inlineStr">
        <is>
          <t>13.02.2025</t>
        </is>
      </c>
      <c r="P1953" s="256" t="inlineStr">
        <is>
          <t>carried from the initial testing (CoQ-PP-2025-0002) — covered</t>
        </is>
      </c>
      <c r="Q1953" s="256" t="inlineStr"/>
      <c r="R1953" s="256" t="inlineStr"/>
    </row>
    <row r="1954">
      <c r="A1954" s="256" t="inlineStr">
        <is>
          <t>CoQ-PP_26-085</t>
        </is>
      </c>
      <c r="B1954" s="256" t="inlineStr">
        <is>
          <t>reissue — retest</t>
        </is>
      </c>
      <c r="C1954" s="256" t="inlineStr">
        <is>
          <t>BG1024</t>
        </is>
      </c>
      <c r="D1954" s="256" t="inlineStr">
        <is>
          <t>BG1024</t>
        </is>
      </c>
      <c r="E1954" s="256" t="inlineStr">
        <is>
          <t>Blue Gelato</t>
        </is>
      </c>
      <c r="F1954" s="256" t="inlineStr">
        <is>
          <t>17.08.2026</t>
        </is>
      </c>
      <c r="G1954" s="256" t="inlineStr">
        <is>
          <t>11.3</t>
        </is>
      </c>
      <c r="H1954" s="256" t="inlineStr">
        <is>
          <t>Arsenic (As)</t>
        </is>
      </c>
      <c r="I1954" s="256" t="inlineStr">
        <is>
          <t>Ph. Eur. 2.4.27 (ICP-MS)</t>
        </is>
      </c>
      <c r="J1954" s="256" t="inlineStr">
        <is>
          <t>≤ 0.2 mg/kg</t>
        </is>
      </c>
      <c r="K1954" s="256" t="inlineStr">
        <is>
          <t>0.014</t>
        </is>
      </c>
      <c r="L1954" s="256" t="inlineStr">
        <is>
          <t>752/2025</t>
        </is>
      </c>
      <c r="M1954" s="256" t="inlineStr">
        <is>
          <t>27.02.2025</t>
        </is>
      </c>
      <c r="N1954" s="256" t="inlineStr">
        <is>
          <t>IPH — Institute of Public Health</t>
        </is>
      </c>
      <c r="O1954" s="256" t="inlineStr">
        <is>
          <t>13.02.2025</t>
        </is>
      </c>
      <c r="P1954" s="256" t="inlineStr">
        <is>
          <t>carried from the initial testing (CoQ-PP-2025-0002) — covered</t>
        </is>
      </c>
      <c r="Q1954" s="256" t="inlineStr"/>
      <c r="R1954" s="256" t="inlineStr"/>
    </row>
    <row r="1955">
      <c r="A1955" s="256" t="inlineStr">
        <is>
          <t>CoQ-PP_26-085</t>
        </is>
      </c>
      <c r="B1955" s="256" t="inlineStr">
        <is>
          <t>reissue — retest</t>
        </is>
      </c>
      <c r="C1955" s="256" t="inlineStr">
        <is>
          <t>BG1024</t>
        </is>
      </c>
      <c r="D1955" s="256" t="inlineStr">
        <is>
          <t>BG1024</t>
        </is>
      </c>
      <c r="E1955" s="256" t="inlineStr">
        <is>
          <t>Blue Gelato</t>
        </is>
      </c>
      <c r="F1955" s="256" t="inlineStr">
        <is>
          <t>17.08.2026</t>
        </is>
      </c>
      <c r="G1955" s="256" t="inlineStr">
        <is>
          <t>11.4</t>
        </is>
      </c>
      <c r="H1955" s="256" t="inlineStr">
        <is>
          <t>Mercury (Hg)</t>
        </is>
      </c>
      <c r="I1955" s="256" t="inlineStr">
        <is>
          <t>Ph. Eur. 2.4.27 (ICP-MS)</t>
        </is>
      </c>
      <c r="J1955" s="256" t="inlineStr">
        <is>
          <t>≤ 0.1 mg/kg</t>
        </is>
      </c>
      <c r="K1955" s="256" t="inlineStr">
        <is>
          <t>0.005</t>
        </is>
      </c>
      <c r="L1955" s="256" t="inlineStr">
        <is>
          <t>752/2025</t>
        </is>
      </c>
      <c r="M1955" s="256" t="inlineStr">
        <is>
          <t>27.02.2025</t>
        </is>
      </c>
      <c r="N1955" s="256" t="inlineStr">
        <is>
          <t>IPH — Institute of Public Health</t>
        </is>
      </c>
      <c r="O1955" s="256" t="inlineStr">
        <is>
          <t>13.02.2025</t>
        </is>
      </c>
      <c r="P1955" s="256" t="inlineStr">
        <is>
          <t>carried from the initial testing (CoQ-PP-2025-0002) — covered</t>
        </is>
      </c>
      <c r="Q1955" s="256" t="inlineStr"/>
      <c r="R1955" s="256" t="inlineStr"/>
    </row>
    <row r="1956">
      <c r="A1956" s="256" t="inlineStr">
        <is>
          <t>CoQ-PP_26-085</t>
        </is>
      </c>
      <c r="B1956" s="256" t="inlineStr">
        <is>
          <t>reissue — retest</t>
        </is>
      </c>
      <c r="C1956" s="256" t="inlineStr">
        <is>
          <t>BG1024</t>
        </is>
      </c>
      <c r="D1956" s="256" t="inlineStr">
        <is>
          <t>BG1024</t>
        </is>
      </c>
      <c r="E1956" s="256" t="inlineStr">
        <is>
          <t>Blue Gelato</t>
        </is>
      </c>
      <c r="F1956" s="256" t="inlineStr">
        <is>
          <t>17.08.2026</t>
        </is>
      </c>
      <c r="G1956" s="256" t="inlineStr">
        <is>
          <t>12</t>
        </is>
      </c>
      <c r="H1956" s="256" t="inlineStr">
        <is>
          <t>Pesticide Residues</t>
        </is>
      </c>
      <c r="I1956" s="256" t="inlineStr">
        <is>
          <t>Ph. Eur. 2.8.13 (LC-MS/MS) · CUMCS Equivalency</t>
        </is>
      </c>
      <c r="J1956" s="256" t="inlineStr">
        <is>
          <t>≤ LOQ as per Ph. Eur. 2.8.13 · ≤ LOQ as per CUMCS Equivalency</t>
        </is>
      </c>
      <c r="K1956" s="256" t="inlineStr">
        <is>
          <t>ND</t>
        </is>
      </c>
      <c r="L1956" s="256" t="inlineStr">
        <is>
          <t>752/2025</t>
        </is>
      </c>
      <c r="M1956" s="256" t="inlineStr">
        <is>
          <t>27.02.2025</t>
        </is>
      </c>
      <c r="N1956" s="256" t="inlineStr">
        <is>
          <t>IPH — Institute of Public Health</t>
        </is>
      </c>
      <c r="O1956" s="256" t="inlineStr">
        <is>
          <t>13.02.2025</t>
        </is>
      </c>
      <c r="P1956" s="256" t="inlineStr">
        <is>
          <t>carried from the initial testing (CoQ-PP-2025-0002) — covered</t>
        </is>
      </c>
      <c r="Q1956" s="256" t="inlineStr"/>
      <c r="R1956" s="256" t="inlineStr"/>
    </row>
    <row r="1957">
      <c r="A1957" s="256" t="inlineStr">
        <is>
          <t>CoQ-PP_26-086</t>
        </is>
      </c>
      <c r="B1957" s="256" t="inlineStr">
        <is>
          <t>reissue — retest</t>
        </is>
      </c>
      <c r="C1957" s="256" t="inlineStr">
        <is>
          <t>BSS1024</t>
        </is>
      </c>
      <c r="D1957" s="256" t="inlineStr">
        <is>
          <t>BSS1024</t>
        </is>
      </c>
      <c r="E1957" s="256" t="inlineStr">
        <is>
          <t>Blue Sunset Sherbet</t>
        </is>
      </c>
      <c r="F1957" s="256" t="inlineStr">
        <is>
          <t>17.08.2026</t>
        </is>
      </c>
      <c r="G1957" s="256" t="inlineStr">
        <is>
          <t>1</t>
        </is>
      </c>
      <c r="H1957" s="256" t="inlineStr">
        <is>
          <t>Identification A, Appearance · Macroscopic</t>
        </is>
      </c>
      <c r="I1957" s="256" t="inlineStr">
        <is>
          <t>Ph. Eur. mon. 3028</t>
        </is>
      </c>
      <c r="J1957" s="256" t="inlineStr">
        <is>
          <t>Conforms to the monograph for Cannabis flos (07/2024:3028) in Ph. Eur. 11.0 | Согласно монографија за Cannabis flos (07/2024:3028) во Ph. Eur. 11.0</t>
        </is>
      </c>
      <c r="K1957" s="256" t="inlineStr">
        <is>
          <t>Conforms | Одговара</t>
        </is>
      </c>
      <c r="L1957" s="256" t="inlineStr">
        <is>
          <t>iCoA-PP_26-101</t>
        </is>
      </c>
      <c r="M1957" s="256" t="inlineStr">
        <is>
          <t>27.07.2026</t>
        </is>
      </c>
      <c r="N1957" s="256" t="inlineStr">
        <is>
          <t>Purely Plant GmbH (in-house)</t>
        </is>
      </c>
      <c r="O1957" s="256" t="inlineStr">
        <is>
          <t>—</t>
        </is>
      </c>
      <c r="P1957" s="256" t="inlineStr">
        <is>
          <t>covered</t>
        </is>
      </c>
      <c r="Q1957" s="256" t="inlineStr">
        <is>
          <t>Farmahem — Ident A + B + C with the Assay, at retest</t>
        </is>
      </c>
      <c r="R1957" s="256" t="inlineStr"/>
    </row>
    <row r="1958">
      <c r="A1958" s="256" t="inlineStr">
        <is>
          <t>CoQ-PP_26-086</t>
        </is>
      </c>
      <c r="B1958" s="256" t="inlineStr">
        <is>
          <t>reissue — retest</t>
        </is>
      </c>
      <c r="C1958" s="256" t="inlineStr">
        <is>
          <t>BSS1024</t>
        </is>
      </c>
      <c r="D1958" s="256" t="inlineStr">
        <is>
          <t>BSS1024</t>
        </is>
      </c>
      <c r="E1958" s="256" t="inlineStr">
        <is>
          <t>Blue Sunset Sherbet</t>
        </is>
      </c>
      <c r="F1958" s="256" t="inlineStr">
        <is>
          <t>17.08.2026</t>
        </is>
      </c>
      <c r="G1958" s="256" t="inlineStr">
        <is>
          <t>2</t>
        </is>
      </c>
      <c r="H1958" s="256" t="inlineStr">
        <is>
          <t>Identification B · Microscopic</t>
        </is>
      </c>
      <c r="I1958" s="256" t="inlineStr">
        <is>
          <t>Ph. Eur. 2.8.23 (microscopy)</t>
        </is>
      </c>
      <c r="J1958" s="256" t="inlineStr">
        <is>
          <t>Conforms to the monograph for Cannabis flos (07/2024:3028) in Ph. Eur. 11.0 | Согласно монографија за Cannabis flos (07/2024:3028) во Ph. Eur. 11.0</t>
        </is>
      </c>
      <c r="K1958" s="256" t="inlineStr">
        <is>
          <t>Conforms | Одговара</t>
        </is>
      </c>
      <c r="L1958" s="256" t="inlineStr">
        <is>
          <t>iCoA-PP_26-101</t>
        </is>
      </c>
      <c r="M1958" s="256" t="inlineStr">
        <is>
          <t>27.07.2026</t>
        </is>
      </c>
      <c r="N1958" s="256" t="inlineStr">
        <is>
          <t>Purely Plant GmbH (in-house)</t>
        </is>
      </c>
      <c r="O1958" s="256" t="inlineStr">
        <is>
          <t>—</t>
        </is>
      </c>
      <c r="P1958" s="256" t="inlineStr">
        <is>
          <t>covered</t>
        </is>
      </c>
      <c r="Q1958" s="256" t="inlineStr">
        <is>
          <t>Farmahem — Ident A + B + C with the Assay, at retest</t>
        </is>
      </c>
      <c r="R1958" s="256" t="inlineStr"/>
    </row>
    <row r="1959">
      <c r="A1959" s="256" t="inlineStr">
        <is>
          <t>CoQ-PP_26-086</t>
        </is>
      </c>
      <c r="B1959" s="256" t="inlineStr">
        <is>
          <t>reissue — retest</t>
        </is>
      </c>
      <c r="C1959" s="256" t="inlineStr">
        <is>
          <t>BSS1024</t>
        </is>
      </c>
      <c r="D1959" s="256" t="inlineStr">
        <is>
          <t>BSS1024</t>
        </is>
      </c>
      <c r="E1959" s="256" t="inlineStr">
        <is>
          <t>Blue Sunset Sherbet</t>
        </is>
      </c>
      <c r="F1959" s="256" t="inlineStr">
        <is>
          <t>17.08.2026</t>
        </is>
      </c>
      <c r="G1959" s="256" t="inlineStr">
        <is>
          <t>3</t>
        </is>
      </c>
      <c r="H1959" s="256" t="inlineStr">
        <is>
          <t>Identification C · HPLC/HPTLC</t>
        </is>
      </c>
      <c r="I1959" s="256" t="inlineStr">
        <is>
          <t>Ph. Eur. 2.2.29 (3028)</t>
        </is>
      </c>
      <c r="J1959" s="256" t="inlineStr">
        <is>
          <t>Conforms to the monograph for Cannabis flos (07/2024:3028) in Ph. Eur. 11.0 | Согласно монографија за Cannabis flos (07/2024:3028) во Ph. Eur. 11.0</t>
        </is>
      </c>
      <c r="K1959" s="256" t="inlineStr">
        <is>
          <t>Conforms | Одговара</t>
        </is>
      </c>
      <c r="L1959" s="256" t="inlineStr">
        <is>
          <t>197-2-К/26</t>
        </is>
      </c>
      <c r="M1959" s="256" t="inlineStr">
        <is>
          <t>07.08.2026</t>
        </is>
      </c>
      <c r="N1959" s="256" t="inlineStr">
        <is>
          <t>Farmahem</t>
        </is>
      </c>
      <c r="O1959" s="256" t="inlineStr">
        <is>
          <t>27.07.2026</t>
        </is>
      </c>
      <c r="P1959" s="256" t="inlineStr">
        <is>
          <t>covered</t>
        </is>
      </c>
      <c r="Q1959" s="256" t="inlineStr"/>
      <c r="R1959" s="256" t="inlineStr"/>
    </row>
    <row r="1960">
      <c r="A1960" s="256" t="inlineStr">
        <is>
          <t>CoQ-PP_26-086</t>
        </is>
      </c>
      <c r="B1960" s="256" t="inlineStr">
        <is>
          <t>reissue — retest</t>
        </is>
      </c>
      <c r="C1960" s="256" t="inlineStr">
        <is>
          <t>BSS1024</t>
        </is>
      </c>
      <c r="D1960" s="256" t="inlineStr">
        <is>
          <t>BSS1024</t>
        </is>
      </c>
      <c r="E1960" s="256" t="inlineStr">
        <is>
          <t>Blue Sunset Sherbet</t>
        </is>
      </c>
      <c r="F1960" s="256" t="inlineStr">
        <is>
          <t>17.08.2026</t>
        </is>
      </c>
      <c r="G1960" s="256" t="inlineStr">
        <is>
          <t>4</t>
        </is>
      </c>
      <c r="H1960" s="256" t="inlineStr">
        <is>
          <t>Assay — Total Δ⁹-THC</t>
        </is>
      </c>
      <c r="I1960" s="256" t="inlineStr">
        <is>
          <t>Ph. Eur. 2.2.29 (HPLC)</t>
        </is>
      </c>
      <c r="J1960" s="256" t="inlineStr">
        <is>
          <t>21.89 – 26.10 %  (grade II, nominal 24.00 ± 2.11)</t>
        </is>
      </c>
      <c r="K1960" s="256" t="inlineStr">
        <is>
          <t>25.01</t>
        </is>
      </c>
      <c r="L1960" s="256" t="inlineStr">
        <is>
          <t>197-2-К/26</t>
        </is>
      </c>
      <c r="M1960" s="256" t="inlineStr">
        <is>
          <t>07.08.2026</t>
        </is>
      </c>
      <c r="N1960" s="256" t="inlineStr">
        <is>
          <t>Farmahem</t>
        </is>
      </c>
      <c r="O1960" s="256" t="inlineStr">
        <is>
          <t>27.07.2026</t>
        </is>
      </c>
      <c r="P1960" s="256" t="inlineStr">
        <is>
          <t>covered</t>
        </is>
      </c>
      <c r="Q1960" s="256" t="inlineStr"/>
      <c r="R1960" s="256" t="inlineStr"/>
    </row>
    <row r="1961">
      <c r="A1961" s="256" t="inlineStr">
        <is>
          <t>CoQ-PP_26-086</t>
        </is>
      </c>
      <c r="B1961" s="256" t="inlineStr">
        <is>
          <t>reissue — retest</t>
        </is>
      </c>
      <c r="C1961" s="256" t="inlineStr">
        <is>
          <t>BSS1024</t>
        </is>
      </c>
      <c r="D1961" s="256" t="inlineStr">
        <is>
          <t>BSS1024</t>
        </is>
      </c>
      <c r="E1961" s="256" t="inlineStr">
        <is>
          <t>Blue Sunset Sherbet</t>
        </is>
      </c>
      <c r="F1961" s="256" t="inlineStr">
        <is>
          <t>17.08.2026</t>
        </is>
      </c>
      <c r="G1961" s="256" t="inlineStr">
        <is>
          <t>5</t>
        </is>
      </c>
      <c r="H1961" s="256" t="inlineStr">
        <is>
          <t>Assay — Total CBD</t>
        </is>
      </c>
      <c r="I1961" s="256" t="inlineStr">
        <is>
          <t>Ph. Eur. 2.2.29 (HPLC) · CBD + CBDA x 0.877</t>
        </is>
      </c>
      <c r="J1961" s="256" t="inlineStr">
        <is>
          <t>≤ 1.0%, w/w</t>
        </is>
      </c>
      <c r="K1961" s="256" t="inlineStr">
        <is>
          <t>&lt; LOQ</t>
        </is>
      </c>
      <c r="L1961" s="256" t="inlineStr">
        <is>
          <t>197-2-К/26</t>
        </is>
      </c>
      <c r="M1961" s="256" t="inlineStr">
        <is>
          <t>07.08.2026</t>
        </is>
      </c>
      <c r="N1961" s="256" t="inlineStr">
        <is>
          <t>Farmahem</t>
        </is>
      </c>
      <c r="O1961" s="256" t="inlineStr">
        <is>
          <t>27.07.2026</t>
        </is>
      </c>
      <c r="P1961" s="256" t="inlineStr">
        <is>
          <t>covered</t>
        </is>
      </c>
      <c r="Q1961" s="256" t="inlineStr"/>
      <c r="R1961" s="256" t="inlineStr"/>
    </row>
    <row r="1962">
      <c r="A1962" s="256" t="inlineStr">
        <is>
          <t>CoQ-PP_26-086</t>
        </is>
      </c>
      <c r="B1962" s="256" t="inlineStr">
        <is>
          <t>reissue — retest</t>
        </is>
      </c>
      <c r="C1962" s="256" t="inlineStr">
        <is>
          <t>BSS1024</t>
        </is>
      </c>
      <c r="D1962" s="256" t="inlineStr">
        <is>
          <t>BSS1024</t>
        </is>
      </c>
      <c r="E1962" s="256" t="inlineStr">
        <is>
          <t>Blue Sunset Sherbet</t>
        </is>
      </c>
      <c r="F1962" s="256" t="inlineStr">
        <is>
          <t>17.08.2026</t>
        </is>
      </c>
      <c r="G1962" s="256" t="inlineStr">
        <is>
          <t>6</t>
        </is>
      </c>
      <c r="H1962" s="256" t="inlineStr">
        <is>
          <t>Total CBN</t>
        </is>
      </c>
      <c r="I1962" s="256" t="inlineStr">
        <is>
          <t>Ph. Eur. 2.2.29 (HPLC) · CBN + CBNA x 0.876</t>
        </is>
      </c>
      <c r="J1962" s="256" t="inlineStr">
        <is>
          <t>≤ 1.0%, w/w</t>
        </is>
      </c>
      <c r="K1962" s="256" t="inlineStr">
        <is>
          <t>&lt; LOQ</t>
        </is>
      </c>
      <c r="L1962" s="256" t="inlineStr">
        <is>
          <t>197-2-К/26</t>
        </is>
      </c>
      <c r="M1962" s="256" t="inlineStr">
        <is>
          <t>07.08.2026</t>
        </is>
      </c>
      <c r="N1962" s="256" t="inlineStr">
        <is>
          <t>Farmahem</t>
        </is>
      </c>
      <c r="O1962" s="256" t="inlineStr">
        <is>
          <t>27.07.2026</t>
        </is>
      </c>
      <c r="P1962" s="256" t="inlineStr">
        <is>
          <t>covered</t>
        </is>
      </c>
      <c r="Q1962" s="256" t="inlineStr"/>
      <c r="R1962" s="256" t="inlineStr"/>
    </row>
    <row r="1963">
      <c r="A1963" s="256" t="inlineStr">
        <is>
          <t>CoQ-PP_26-086</t>
        </is>
      </c>
      <c r="B1963" s="256" t="inlineStr">
        <is>
          <t>reissue — retest</t>
        </is>
      </c>
      <c r="C1963" s="256" t="inlineStr">
        <is>
          <t>BSS1024</t>
        </is>
      </c>
      <c r="D1963" s="256" t="inlineStr">
        <is>
          <t>BSS1024</t>
        </is>
      </c>
      <c r="E1963" s="256" t="inlineStr">
        <is>
          <t>Blue Sunset Sherbet</t>
        </is>
      </c>
      <c r="F1963" s="256" t="inlineStr">
        <is>
          <t>17.08.2026</t>
        </is>
      </c>
      <c r="G1963" s="256" t="inlineStr">
        <is>
          <t>7</t>
        </is>
      </c>
      <c r="H1963" s="256" t="inlineStr">
        <is>
          <t>Foreign Matter</t>
        </is>
      </c>
      <c r="I1963" s="256" t="inlineStr">
        <is>
          <t>Ph. Eur. 2.8.2 · In-house · интерна</t>
        </is>
      </c>
      <c r="J1963" s="256" t="inlineStr">
        <is>
          <t>≤ 2.0% / 25–50 g · &lt; 1 cm leaves | листови, no seeds | без семки</t>
        </is>
      </c>
      <c r="K1963" s="256" t="inlineStr">
        <is>
          <t>Conforms | Одговара</t>
        </is>
      </c>
      <c r="L1963" s="256" t="inlineStr">
        <is>
          <t>iCoA-PP_26-101</t>
        </is>
      </c>
      <c r="M1963" s="256" t="inlineStr">
        <is>
          <t>27.07.2026</t>
        </is>
      </c>
      <c r="N1963" s="256" t="inlineStr">
        <is>
          <t>Purely Plant GmbH (in-house)</t>
        </is>
      </c>
      <c r="O1963" s="256" t="inlineStr">
        <is>
          <t>—</t>
        </is>
      </c>
      <c r="P1963" s="256" t="inlineStr">
        <is>
          <t>covered</t>
        </is>
      </c>
      <c r="Q1963" s="256" t="inlineStr">
        <is>
          <t>Purely Plant laboratory — iCoA covering Foreign matter</t>
        </is>
      </c>
      <c r="R1963" s="256" t="inlineStr"/>
    </row>
    <row r="1964">
      <c r="A1964" s="256" t="inlineStr">
        <is>
          <t>CoQ-PP_26-086</t>
        </is>
      </c>
      <c r="B1964" s="256" t="inlineStr">
        <is>
          <t>reissue — retest</t>
        </is>
      </c>
      <c r="C1964" s="256" t="inlineStr">
        <is>
          <t>BSS1024</t>
        </is>
      </c>
      <c r="D1964" s="256" t="inlineStr">
        <is>
          <t>BSS1024</t>
        </is>
      </c>
      <c r="E1964" s="256" t="inlineStr">
        <is>
          <t>Blue Sunset Sherbet</t>
        </is>
      </c>
      <c r="F1964" s="256" t="inlineStr">
        <is>
          <t>17.08.2026</t>
        </is>
      </c>
      <c r="G1964" s="256" t="inlineStr">
        <is>
          <t>8</t>
        </is>
      </c>
      <c r="H1964" s="256" t="inlineStr">
        <is>
          <t>Loss on Drying</t>
        </is>
      </c>
      <c r="I1964" s="256" t="inlineStr">
        <is>
          <t>DAB 2018 monograph Cannabis flos, 2.2.32 — loss on drying (CNP, before its Ph. Eur. 3028 accreditation)</t>
        </is>
      </c>
      <c r="J1964" s="256" t="inlineStr">
        <is>
          <t>≤ 12.0%</t>
        </is>
      </c>
      <c r="K1964" s="256" t="inlineStr">
        <is>
          <t>5.99</t>
        </is>
      </c>
      <c r="L1964" s="256" t="inlineStr">
        <is>
          <t>ППК25051</t>
        </is>
      </c>
      <c r="M1964" s="256" t="inlineStr">
        <is>
          <t>26.02.2025</t>
        </is>
      </c>
      <c r="N1964" s="256" t="inlineStr">
        <is>
          <t>UKIM Faculty of Pharmacy — Center for Natural Products</t>
        </is>
      </c>
      <c r="O1964" s="256" t="inlineStr">
        <is>
          <t>13.02.2025</t>
        </is>
      </c>
      <c r="P1964" s="256" t="inlineStr">
        <is>
          <t>carried from the initial testing (CoQ-PP-2025-0001) — covered</t>
        </is>
      </c>
      <c r="Q1964" s="256" t="inlineStr"/>
      <c r="R1964" s="256" t="inlineStr"/>
    </row>
    <row r="1965">
      <c r="A1965" s="256" t="inlineStr">
        <is>
          <t>CoQ-PP_26-086</t>
        </is>
      </c>
      <c r="B1965" s="256" t="inlineStr">
        <is>
          <t>reissue — retest</t>
        </is>
      </c>
      <c r="C1965" s="256" t="inlineStr">
        <is>
          <t>BSS1024</t>
        </is>
      </c>
      <c r="D1965" s="256" t="inlineStr">
        <is>
          <t>BSS1024</t>
        </is>
      </c>
      <c r="E1965" s="256" t="inlineStr">
        <is>
          <t>Blue Sunset Sherbet</t>
        </is>
      </c>
      <c r="F1965" s="256" t="inlineStr">
        <is>
          <t>17.08.2026</t>
        </is>
      </c>
      <c r="G1965" s="256" t="inlineStr">
        <is>
          <t>9.1</t>
        </is>
      </c>
      <c r="H1965" s="256" t="inlineStr">
        <is>
          <t>TAMC</t>
        </is>
      </c>
      <c r="I1965" s="256" t="inlineStr">
        <is>
          <t>Ph. Eur. 2.6.12 cat. C</t>
        </is>
      </c>
      <c r="J1965" s="256" t="inlineStr">
        <is>
          <t>≤ 10⁵ CFU/g</t>
        </is>
      </c>
      <c r="K1965" s="256" t="inlineStr">
        <is>
          <t>1.5 × 10⁴</t>
        </is>
      </c>
      <c r="L1965" s="256" t="inlineStr">
        <is>
          <t>161/0269/25</t>
        </is>
      </c>
      <c r="M1965" s="256" t="inlineStr">
        <is>
          <t>24.02.2025</t>
        </is>
      </c>
      <c r="N1965" s="256" t="inlineStr">
        <is>
          <t>IPH — Institute of Public Health</t>
        </is>
      </c>
      <c r="O1965" s="256" t="inlineStr">
        <is>
          <t>—</t>
        </is>
      </c>
      <c r="P1965" s="256" t="inlineStr">
        <is>
          <t>carried from the initial testing (CoQ-PP-2025-0001) — covered</t>
        </is>
      </c>
      <c r="Q1965" s="256" t="inlineStr"/>
      <c r="R1965" s="256" t="inlineStr"/>
    </row>
    <row r="1966">
      <c r="A1966" s="256" t="inlineStr">
        <is>
          <t>CoQ-PP_26-086</t>
        </is>
      </c>
      <c r="B1966" s="256" t="inlineStr">
        <is>
          <t>reissue — retest</t>
        </is>
      </c>
      <c r="C1966" s="256" t="inlineStr">
        <is>
          <t>BSS1024</t>
        </is>
      </c>
      <c r="D1966" s="256" t="inlineStr">
        <is>
          <t>BSS1024</t>
        </is>
      </c>
      <c r="E1966" s="256" t="inlineStr">
        <is>
          <t>Blue Sunset Sherbet</t>
        </is>
      </c>
      <c r="F1966" s="256" t="inlineStr">
        <is>
          <t>17.08.2026</t>
        </is>
      </c>
      <c r="G1966" s="256" t="inlineStr">
        <is>
          <t>9.2</t>
        </is>
      </c>
      <c r="H1966" s="256" t="inlineStr">
        <is>
          <t>TYMC</t>
        </is>
      </c>
      <c r="I1966" s="256" t="inlineStr">
        <is>
          <t>Ph. Eur. 2.6.12 cat. C</t>
        </is>
      </c>
      <c r="J1966" s="256" t="inlineStr">
        <is>
          <t>≤ 10⁴ CFU/g</t>
        </is>
      </c>
      <c r="K1966" s="256" t="inlineStr">
        <is>
          <t>2.2 × 10³</t>
        </is>
      </c>
      <c r="L1966" s="256" t="inlineStr">
        <is>
          <t>161/0269/25</t>
        </is>
      </c>
      <c r="M1966" s="256" t="inlineStr">
        <is>
          <t>24.02.2025</t>
        </is>
      </c>
      <c r="N1966" s="256" t="inlineStr">
        <is>
          <t>IPH — Institute of Public Health</t>
        </is>
      </c>
      <c r="O1966" s="256" t="inlineStr">
        <is>
          <t>—</t>
        </is>
      </c>
      <c r="P1966" s="256" t="inlineStr">
        <is>
          <t>carried from the initial testing (CoQ-PP-2025-0001) — covered</t>
        </is>
      </c>
      <c r="Q1966" s="256" t="inlineStr"/>
      <c r="R1966" s="256" t="inlineStr"/>
    </row>
    <row r="1967">
      <c r="A1967" s="256" t="inlineStr">
        <is>
          <t>CoQ-PP_26-086</t>
        </is>
      </c>
      <c r="B1967" s="256" t="inlineStr">
        <is>
          <t>reissue — retest</t>
        </is>
      </c>
      <c r="C1967" s="256" t="inlineStr">
        <is>
          <t>BSS1024</t>
        </is>
      </c>
      <c r="D1967" s="256" t="inlineStr">
        <is>
          <t>BSS1024</t>
        </is>
      </c>
      <c r="E1967" s="256" t="inlineStr">
        <is>
          <t>Blue Sunset Sherbet</t>
        </is>
      </c>
      <c r="F1967" s="256" t="inlineStr">
        <is>
          <t>17.08.2026</t>
        </is>
      </c>
      <c r="G1967" s="256" t="inlineStr">
        <is>
          <t>9.3</t>
        </is>
      </c>
      <c r="H1967" s="256" t="inlineStr">
        <is>
          <t>Bile-tolerant gram-neg.</t>
        </is>
      </c>
      <c r="I1967" s="256" t="inlineStr">
        <is>
          <t>Ph. Eur. 2.6.31 cat. C</t>
        </is>
      </c>
      <c r="J1967" s="256" t="inlineStr">
        <is>
          <t>≤ 10⁴ CFU/g</t>
        </is>
      </c>
      <c r="K1967" s="256" t="inlineStr">
        <is>
          <t>&lt; 10² and &gt; 10</t>
        </is>
      </c>
      <c r="L1967" s="256" t="inlineStr">
        <is>
          <t>161/0269/25</t>
        </is>
      </c>
      <c r="M1967" s="256" t="inlineStr">
        <is>
          <t>24.02.2025</t>
        </is>
      </c>
      <c r="N1967" s="256" t="inlineStr">
        <is>
          <t>IPH — Institute of Public Health</t>
        </is>
      </c>
      <c r="O1967" s="256" t="inlineStr">
        <is>
          <t>—</t>
        </is>
      </c>
      <c r="P1967" s="256" t="inlineStr">
        <is>
          <t>carried from the initial testing (CoQ-PP-2025-0001) — covered</t>
        </is>
      </c>
      <c r="Q1967" s="256" t="inlineStr"/>
      <c r="R1967" s="256" t="inlineStr"/>
    </row>
    <row r="1968">
      <c r="A1968" s="256" t="inlineStr">
        <is>
          <t>CoQ-PP_26-086</t>
        </is>
      </c>
      <c r="B1968" s="256" t="inlineStr">
        <is>
          <t>reissue — retest</t>
        </is>
      </c>
      <c r="C1968" s="256" t="inlineStr">
        <is>
          <t>BSS1024</t>
        </is>
      </c>
      <c r="D1968" s="256" t="inlineStr">
        <is>
          <t>BSS1024</t>
        </is>
      </c>
      <c r="E1968" s="256" t="inlineStr">
        <is>
          <t>Blue Sunset Sherbet</t>
        </is>
      </c>
      <c r="F1968" s="256" t="inlineStr">
        <is>
          <t>17.08.2026</t>
        </is>
      </c>
      <c r="G1968" s="256" t="inlineStr">
        <is>
          <t>9.4</t>
        </is>
      </c>
      <c r="H1968" s="256" t="inlineStr">
        <is>
          <t>Salmonella</t>
        </is>
      </c>
      <c r="I1968" s="256" t="inlineStr">
        <is>
          <t>Ph. Eur. 2.6.31 cat. C</t>
        </is>
      </c>
      <c r="J1968" s="256" t="inlineStr">
        <is>
          <t>Absence | Отсуство / 25 g</t>
        </is>
      </c>
      <c r="K1968" s="256" t="inlineStr">
        <is>
          <t>Absent | Отсутна</t>
        </is>
      </c>
      <c r="L1968" s="256" t="inlineStr">
        <is>
          <t>161/0269/25</t>
        </is>
      </c>
      <c r="M1968" s="256" t="inlineStr">
        <is>
          <t>24.02.2025</t>
        </is>
      </c>
      <c r="N1968" s="256" t="inlineStr">
        <is>
          <t>IPH — Institute of Public Health</t>
        </is>
      </c>
      <c r="O1968" s="256" t="inlineStr">
        <is>
          <t>—</t>
        </is>
      </c>
      <c r="P1968" s="256" t="inlineStr">
        <is>
          <t>carried from the initial testing (CoQ-PP-2025-0001) — covered</t>
        </is>
      </c>
      <c r="Q1968" s="256" t="inlineStr"/>
      <c r="R1968" s="256" t="inlineStr"/>
    </row>
    <row r="1969">
      <c r="A1969" s="256" t="inlineStr">
        <is>
          <t>CoQ-PP_26-086</t>
        </is>
      </c>
      <c r="B1969" s="256" t="inlineStr">
        <is>
          <t>reissue — retest</t>
        </is>
      </c>
      <c r="C1969" s="256" t="inlineStr">
        <is>
          <t>BSS1024</t>
        </is>
      </c>
      <c r="D1969" s="256" t="inlineStr">
        <is>
          <t>BSS1024</t>
        </is>
      </c>
      <c r="E1969" s="256" t="inlineStr">
        <is>
          <t>Blue Sunset Sherbet</t>
        </is>
      </c>
      <c r="F1969" s="256" t="inlineStr">
        <is>
          <t>17.08.2026</t>
        </is>
      </c>
      <c r="G1969" s="256" t="inlineStr">
        <is>
          <t>9.5</t>
        </is>
      </c>
      <c r="H1969" s="256" t="inlineStr">
        <is>
          <t>Escherichia coli</t>
        </is>
      </c>
      <c r="I1969" s="256" t="inlineStr">
        <is>
          <t>Ph. Eur. 2.6.13 cat. C</t>
        </is>
      </c>
      <c r="J1969" s="256" t="inlineStr">
        <is>
          <t>Absence | Отсуство / 1 g</t>
        </is>
      </c>
      <c r="K1969" s="256" t="inlineStr">
        <is>
          <t>Absent | Отсутна</t>
        </is>
      </c>
      <c r="L1969" s="256" t="inlineStr">
        <is>
          <t>161/0269/25</t>
        </is>
      </c>
      <c r="M1969" s="256" t="inlineStr">
        <is>
          <t>24.02.2025</t>
        </is>
      </c>
      <c r="N1969" s="256" t="inlineStr">
        <is>
          <t>IPH — Institute of Public Health</t>
        </is>
      </c>
      <c r="O1969" s="256" t="inlineStr">
        <is>
          <t>—</t>
        </is>
      </c>
      <c r="P1969" s="256" t="inlineStr">
        <is>
          <t>carried from the initial testing (CoQ-PP-2025-0001) — covered</t>
        </is>
      </c>
      <c r="Q1969" s="256" t="inlineStr"/>
      <c r="R1969" s="256" t="inlineStr"/>
    </row>
    <row r="1970">
      <c r="A1970" s="256" t="inlineStr">
        <is>
          <t>CoQ-PP_26-086</t>
        </is>
      </c>
      <c r="B1970" s="256" t="inlineStr">
        <is>
          <t>reissue — retest</t>
        </is>
      </c>
      <c r="C1970" s="256" t="inlineStr">
        <is>
          <t>BSS1024</t>
        </is>
      </c>
      <c r="D1970" s="256" t="inlineStr">
        <is>
          <t>BSS1024</t>
        </is>
      </c>
      <c r="E1970" s="256" t="inlineStr">
        <is>
          <t>Blue Sunset Sherbet</t>
        </is>
      </c>
      <c r="F1970" s="256" t="inlineStr">
        <is>
          <t>17.08.2026</t>
        </is>
      </c>
      <c r="G1970" s="256" t="inlineStr">
        <is>
          <t>9.6</t>
        </is>
      </c>
      <c r="H1970" s="256" t="inlineStr">
        <is>
          <t>Pseudomonas aeruginosa</t>
        </is>
      </c>
      <c r="I1970" s="256" t="inlineStr">
        <is>
          <t>Ph. Eur. 2.6.13 cat. C</t>
        </is>
      </c>
      <c r="J1970" s="256" t="inlineStr">
        <is>
          <t>Absence | Отсуство / 1 g</t>
        </is>
      </c>
      <c r="K1970" s="260" t="inlineStr">
        <is>
          <t>upon request — not required for release</t>
        </is>
      </c>
      <c r="L1970" s="256" t="inlineStr">
        <is>
          <t>—</t>
        </is>
      </c>
      <c r="M1970" s="256" t="inlineStr">
        <is>
          <t>—</t>
        </is>
      </c>
      <c r="N1970" s="256" t="inlineStr">
        <is>
          <t>—</t>
        </is>
      </c>
      <c r="O1970" s="256" t="inlineStr">
        <is>
          <t>—</t>
        </is>
      </c>
      <c r="P1970" s="256" t="inlineStr">
        <is>
          <t>upon request — not required for release</t>
        </is>
      </c>
      <c r="Q1970" s="256" t="inlineStr"/>
      <c r="R1970" s="256" t="inlineStr"/>
    </row>
    <row r="1971">
      <c r="A1971" s="256" t="inlineStr">
        <is>
          <t>CoQ-PP_26-086</t>
        </is>
      </c>
      <c r="B1971" s="256" t="inlineStr">
        <is>
          <t>reissue — retest</t>
        </is>
      </c>
      <c r="C1971" s="256" t="inlineStr">
        <is>
          <t>BSS1024</t>
        </is>
      </c>
      <c r="D1971" s="256" t="inlineStr">
        <is>
          <t>BSS1024</t>
        </is>
      </c>
      <c r="E1971" s="256" t="inlineStr">
        <is>
          <t>Blue Sunset Sherbet</t>
        </is>
      </c>
      <c r="F1971" s="256" t="inlineStr">
        <is>
          <t>17.08.2026</t>
        </is>
      </c>
      <c r="G1971" s="256" t="inlineStr">
        <is>
          <t>9.7</t>
        </is>
      </c>
      <c r="H1971" s="256" t="inlineStr">
        <is>
          <t>Staphylococcus aureus</t>
        </is>
      </c>
      <c r="I1971" s="256" t="inlineStr">
        <is>
          <t>Ph. Eur. 2.6.13 cat. C</t>
        </is>
      </c>
      <c r="J1971" s="256" t="inlineStr">
        <is>
          <t>Absence | Отсуство / 1 g</t>
        </is>
      </c>
      <c r="K1971" s="260" t="inlineStr">
        <is>
          <t>upon request — not required for release</t>
        </is>
      </c>
      <c r="L1971" s="256" t="inlineStr">
        <is>
          <t>—</t>
        </is>
      </c>
      <c r="M1971" s="256" t="inlineStr">
        <is>
          <t>—</t>
        </is>
      </c>
      <c r="N1971" s="256" t="inlineStr">
        <is>
          <t>—</t>
        </is>
      </c>
      <c r="O1971" s="256" t="inlineStr">
        <is>
          <t>—</t>
        </is>
      </c>
      <c r="P1971" s="256" t="inlineStr">
        <is>
          <t>upon request — not required for release</t>
        </is>
      </c>
      <c r="Q1971" s="256" t="inlineStr"/>
      <c r="R1971" s="256" t="inlineStr"/>
    </row>
    <row r="1972">
      <c r="A1972" s="256" t="inlineStr">
        <is>
          <t>CoQ-PP_26-086</t>
        </is>
      </c>
      <c r="B1972" s="256" t="inlineStr">
        <is>
          <t>reissue — retest</t>
        </is>
      </c>
      <c r="C1972" s="256" t="inlineStr">
        <is>
          <t>BSS1024</t>
        </is>
      </c>
      <c r="D1972" s="256" t="inlineStr">
        <is>
          <t>BSS1024</t>
        </is>
      </c>
      <c r="E1972" s="256" t="inlineStr">
        <is>
          <t>Blue Sunset Sherbet</t>
        </is>
      </c>
      <c r="F1972" s="256" t="inlineStr">
        <is>
          <t>17.08.2026</t>
        </is>
      </c>
      <c r="G1972" s="256" t="inlineStr">
        <is>
          <t>10.1</t>
        </is>
      </c>
      <c r="H1972" s="256" t="inlineStr">
        <is>
          <t>Aflatoxin B₁</t>
        </is>
      </c>
      <c r="I1972" s="256" t="inlineStr">
        <is>
          <t>Ph. Eur. 2.8.18 (HPLC-FLD)</t>
        </is>
      </c>
      <c r="J1972" s="256" t="inlineStr">
        <is>
          <t>≤ 2 µg/kg</t>
        </is>
      </c>
      <c r="K1972" s="256" t="inlineStr">
        <is>
          <t>ND</t>
        </is>
      </c>
      <c r="L1972" s="256" t="inlineStr">
        <is>
          <t>197-2-М/26</t>
        </is>
      </c>
      <c r="M1972" s="256" t="inlineStr">
        <is>
          <t>10.08.2026</t>
        </is>
      </c>
      <c r="N1972" s="256" t="inlineStr">
        <is>
          <t>Farmahem</t>
        </is>
      </c>
      <c r="O1972" s="256" t="inlineStr">
        <is>
          <t>29.07.2026</t>
        </is>
      </c>
      <c r="P1972" s="256" t="inlineStr">
        <is>
          <t>covered</t>
        </is>
      </c>
      <c r="Q1972" s="256" t="inlineStr"/>
      <c r="R1972" s="256" t="inlineStr"/>
    </row>
    <row r="1973">
      <c r="A1973" s="256" t="inlineStr">
        <is>
          <t>CoQ-PP_26-086</t>
        </is>
      </c>
      <c r="B1973" s="256" t="inlineStr">
        <is>
          <t>reissue — retest</t>
        </is>
      </c>
      <c r="C1973" s="256" t="inlineStr">
        <is>
          <t>BSS1024</t>
        </is>
      </c>
      <c r="D1973" s="256" t="inlineStr">
        <is>
          <t>BSS1024</t>
        </is>
      </c>
      <c r="E1973" s="256" t="inlineStr">
        <is>
          <t>Blue Sunset Sherbet</t>
        </is>
      </c>
      <c r="F1973" s="256" t="inlineStr">
        <is>
          <t>17.08.2026</t>
        </is>
      </c>
      <c r="G1973" s="256" t="inlineStr">
        <is>
          <t>10.2</t>
        </is>
      </c>
      <c r="H1973" s="256" t="inlineStr">
        <is>
          <t>Aflatoxins ∑</t>
        </is>
      </c>
      <c r="I1973" s="256" t="inlineStr">
        <is>
          <t>Ph. Eur. 2.8.18 (HPLC-FLD)</t>
        </is>
      </c>
      <c r="J1973" s="256" t="inlineStr">
        <is>
          <t>≤ 4 µg/kg</t>
        </is>
      </c>
      <c r="K1973" s="256" t="inlineStr">
        <is>
          <t>ND</t>
        </is>
      </c>
      <c r="L1973" s="256" t="inlineStr">
        <is>
          <t>197-2-М/26</t>
        </is>
      </c>
      <c r="M1973" s="256" t="inlineStr">
        <is>
          <t>10.08.2026</t>
        </is>
      </c>
      <c r="N1973" s="256" t="inlineStr">
        <is>
          <t>Farmahem</t>
        </is>
      </c>
      <c r="O1973" s="256" t="inlineStr">
        <is>
          <t>29.07.2026</t>
        </is>
      </c>
      <c r="P1973" s="256" t="inlineStr">
        <is>
          <t>covered</t>
        </is>
      </c>
      <c r="Q1973" s="256" t="inlineStr"/>
      <c r="R1973" s="256" t="inlineStr"/>
    </row>
    <row r="1974">
      <c r="A1974" s="256" t="inlineStr">
        <is>
          <t>CoQ-PP_26-086</t>
        </is>
      </c>
      <c r="B1974" s="256" t="inlineStr">
        <is>
          <t>reissue — retest</t>
        </is>
      </c>
      <c r="C1974" s="256" t="inlineStr">
        <is>
          <t>BSS1024</t>
        </is>
      </c>
      <c r="D1974" s="256" t="inlineStr">
        <is>
          <t>BSS1024</t>
        </is>
      </c>
      <c r="E1974" s="256" t="inlineStr">
        <is>
          <t>Blue Sunset Sherbet</t>
        </is>
      </c>
      <c r="F1974" s="256" t="inlineStr">
        <is>
          <t>17.08.2026</t>
        </is>
      </c>
      <c r="G1974" s="256" t="inlineStr">
        <is>
          <t>10.3</t>
        </is>
      </c>
      <c r="H1974" s="256" t="inlineStr">
        <is>
          <t>Ochratoxin A</t>
        </is>
      </c>
      <c r="I1974" s="256" t="inlineStr">
        <is>
          <t>Ph. Eur. 2.8.22 (HPLC-FLD)</t>
        </is>
      </c>
      <c r="J1974" s="256" t="inlineStr">
        <is>
          <t>≤ 20 µg/kg</t>
        </is>
      </c>
      <c r="K1974" s="256" t="inlineStr">
        <is>
          <t>ND</t>
        </is>
      </c>
      <c r="L1974" s="256" t="inlineStr">
        <is>
          <t>197-2-М/26</t>
        </is>
      </c>
      <c r="M1974" s="256" t="inlineStr">
        <is>
          <t>10.08.2026</t>
        </is>
      </c>
      <c r="N1974" s="256" t="inlineStr">
        <is>
          <t>Farmahem</t>
        </is>
      </c>
      <c r="O1974" s="256" t="inlineStr">
        <is>
          <t>29.07.2026</t>
        </is>
      </c>
      <c r="P1974" s="256" t="inlineStr">
        <is>
          <t>covered</t>
        </is>
      </c>
      <c r="Q1974" s="256" t="inlineStr"/>
      <c r="R1974" s="256" t="inlineStr"/>
    </row>
    <row r="1975">
      <c r="A1975" s="256" t="inlineStr">
        <is>
          <t>CoQ-PP_26-086</t>
        </is>
      </c>
      <c r="B1975" s="256" t="inlineStr">
        <is>
          <t>reissue — retest</t>
        </is>
      </c>
      <c r="C1975" s="256" t="inlineStr">
        <is>
          <t>BSS1024</t>
        </is>
      </c>
      <c r="D1975" s="256" t="inlineStr">
        <is>
          <t>BSS1024</t>
        </is>
      </c>
      <c r="E1975" s="256" t="inlineStr">
        <is>
          <t>Blue Sunset Sherbet</t>
        </is>
      </c>
      <c r="F1975" s="256" t="inlineStr">
        <is>
          <t>17.08.2026</t>
        </is>
      </c>
      <c r="G1975" s="256" t="inlineStr">
        <is>
          <t>11.1</t>
        </is>
      </c>
      <c r="H1975" s="256" t="inlineStr">
        <is>
          <t>Lead (Pb)</t>
        </is>
      </c>
      <c r="I1975" s="256" t="inlineStr">
        <is>
          <t>Ph. Eur. 2.4.27 (ICP-MS)</t>
        </is>
      </c>
      <c r="J1975" s="256" t="inlineStr">
        <is>
          <t>≤ 0.5 mg/kg</t>
        </is>
      </c>
      <c r="K1975" s="256" t="inlineStr">
        <is>
          <t>0.071</t>
        </is>
      </c>
      <c r="L1975" s="256" t="inlineStr">
        <is>
          <t>751/2025</t>
        </is>
      </c>
      <c r="M1975" s="256" t="inlineStr">
        <is>
          <t>27.02.2025</t>
        </is>
      </c>
      <c r="N1975" s="256" t="inlineStr">
        <is>
          <t>IPH — Institute of Public Health</t>
        </is>
      </c>
      <c r="O1975" s="256" t="inlineStr">
        <is>
          <t>13.02.2025</t>
        </is>
      </c>
      <c r="P1975" s="256" t="inlineStr">
        <is>
          <t>carried from the initial testing (CoQ-PP-2025-0001) — covered</t>
        </is>
      </c>
      <c r="Q1975" s="256" t="inlineStr"/>
      <c r="R1975" s="256" t="inlineStr"/>
    </row>
    <row r="1976">
      <c r="A1976" s="256" t="inlineStr">
        <is>
          <t>CoQ-PP_26-086</t>
        </is>
      </c>
      <c r="B1976" s="256" t="inlineStr">
        <is>
          <t>reissue — retest</t>
        </is>
      </c>
      <c r="C1976" s="256" t="inlineStr">
        <is>
          <t>BSS1024</t>
        </is>
      </c>
      <c r="D1976" s="256" t="inlineStr">
        <is>
          <t>BSS1024</t>
        </is>
      </c>
      <c r="E1976" s="256" t="inlineStr">
        <is>
          <t>Blue Sunset Sherbet</t>
        </is>
      </c>
      <c r="F1976" s="256" t="inlineStr">
        <is>
          <t>17.08.2026</t>
        </is>
      </c>
      <c r="G1976" s="256" t="inlineStr">
        <is>
          <t>11.2</t>
        </is>
      </c>
      <c r="H1976" s="256" t="inlineStr">
        <is>
          <t>Cadmium (Cd)</t>
        </is>
      </c>
      <c r="I1976" s="256" t="inlineStr">
        <is>
          <t>Ph. Eur. 2.4.27 (ICP-MS)</t>
        </is>
      </c>
      <c r="J1976" s="256" t="inlineStr">
        <is>
          <t>≤ 0.3 mg/kg</t>
        </is>
      </c>
      <c r="K1976" s="256" t="inlineStr">
        <is>
          <t>0.014</t>
        </is>
      </c>
      <c r="L1976" s="256" t="inlineStr">
        <is>
          <t>751/2025</t>
        </is>
      </c>
      <c r="M1976" s="256" t="inlineStr">
        <is>
          <t>27.02.2025</t>
        </is>
      </c>
      <c r="N1976" s="256" t="inlineStr">
        <is>
          <t>IPH — Institute of Public Health</t>
        </is>
      </c>
      <c r="O1976" s="256" t="inlineStr">
        <is>
          <t>13.02.2025</t>
        </is>
      </c>
      <c r="P1976" s="256" t="inlineStr">
        <is>
          <t>carried from the initial testing (CoQ-PP-2025-0001) — covered</t>
        </is>
      </c>
      <c r="Q1976" s="256" t="inlineStr"/>
      <c r="R1976" s="256" t="inlineStr"/>
    </row>
    <row r="1977">
      <c r="A1977" s="256" t="inlineStr">
        <is>
          <t>CoQ-PP_26-086</t>
        </is>
      </c>
      <c r="B1977" s="256" t="inlineStr">
        <is>
          <t>reissue — retest</t>
        </is>
      </c>
      <c r="C1977" s="256" t="inlineStr">
        <is>
          <t>BSS1024</t>
        </is>
      </c>
      <c r="D1977" s="256" t="inlineStr">
        <is>
          <t>BSS1024</t>
        </is>
      </c>
      <c r="E1977" s="256" t="inlineStr">
        <is>
          <t>Blue Sunset Sherbet</t>
        </is>
      </c>
      <c r="F1977" s="256" t="inlineStr">
        <is>
          <t>17.08.2026</t>
        </is>
      </c>
      <c r="G1977" s="256" t="inlineStr">
        <is>
          <t>11.3</t>
        </is>
      </c>
      <c r="H1977" s="256" t="inlineStr">
        <is>
          <t>Arsenic (As)</t>
        </is>
      </c>
      <c r="I1977" s="256" t="inlineStr">
        <is>
          <t>Ph. Eur. 2.4.27 (ICP-MS)</t>
        </is>
      </c>
      <c r="J1977" s="256" t="inlineStr">
        <is>
          <t>≤ 0.2 mg/kg</t>
        </is>
      </c>
      <c r="K1977" s="256" t="inlineStr">
        <is>
          <t>0.081</t>
        </is>
      </c>
      <c r="L1977" s="256" t="inlineStr">
        <is>
          <t>751/2025</t>
        </is>
      </c>
      <c r="M1977" s="256" t="inlineStr">
        <is>
          <t>27.02.2025</t>
        </is>
      </c>
      <c r="N1977" s="256" t="inlineStr">
        <is>
          <t>IPH — Institute of Public Health</t>
        </is>
      </c>
      <c r="O1977" s="256" t="inlineStr">
        <is>
          <t>13.02.2025</t>
        </is>
      </c>
      <c r="P1977" s="256" t="inlineStr">
        <is>
          <t>carried from the initial testing (CoQ-PP-2025-0001) — covered</t>
        </is>
      </c>
      <c r="Q1977" s="256" t="inlineStr"/>
      <c r="R1977" s="256" t="inlineStr"/>
    </row>
    <row r="1978">
      <c r="A1978" s="256" t="inlineStr">
        <is>
          <t>CoQ-PP_26-086</t>
        </is>
      </c>
      <c r="B1978" s="256" t="inlineStr">
        <is>
          <t>reissue — retest</t>
        </is>
      </c>
      <c r="C1978" s="256" t="inlineStr">
        <is>
          <t>BSS1024</t>
        </is>
      </c>
      <c r="D1978" s="256" t="inlineStr">
        <is>
          <t>BSS1024</t>
        </is>
      </c>
      <c r="E1978" s="256" t="inlineStr">
        <is>
          <t>Blue Sunset Sherbet</t>
        </is>
      </c>
      <c r="F1978" s="256" t="inlineStr">
        <is>
          <t>17.08.2026</t>
        </is>
      </c>
      <c r="G1978" s="256" t="inlineStr">
        <is>
          <t>11.4</t>
        </is>
      </c>
      <c r="H1978" s="256" t="inlineStr">
        <is>
          <t>Mercury (Hg)</t>
        </is>
      </c>
      <c r="I1978" s="256" t="inlineStr">
        <is>
          <t>Ph. Eur. 2.4.27 (ICP-MS)</t>
        </is>
      </c>
      <c r="J1978" s="256" t="inlineStr">
        <is>
          <t>≤ 0.1 mg/kg</t>
        </is>
      </c>
      <c r="K1978" s="256" t="inlineStr">
        <is>
          <t>0.014</t>
        </is>
      </c>
      <c r="L1978" s="256" t="inlineStr">
        <is>
          <t>751/2025</t>
        </is>
      </c>
      <c r="M1978" s="256" t="inlineStr">
        <is>
          <t>27.02.2025</t>
        </is>
      </c>
      <c r="N1978" s="256" t="inlineStr">
        <is>
          <t>IPH — Institute of Public Health</t>
        </is>
      </c>
      <c r="O1978" s="256" t="inlineStr">
        <is>
          <t>13.02.2025</t>
        </is>
      </c>
      <c r="P1978" s="256" t="inlineStr">
        <is>
          <t>carried from the initial testing (CoQ-PP-2025-0001) — covered</t>
        </is>
      </c>
      <c r="Q1978" s="256" t="inlineStr"/>
      <c r="R1978" s="256" t="inlineStr"/>
    </row>
    <row r="1979">
      <c r="A1979" s="256" t="inlineStr">
        <is>
          <t>CoQ-PP_26-086</t>
        </is>
      </c>
      <c r="B1979" s="256" t="inlineStr">
        <is>
          <t>reissue — retest</t>
        </is>
      </c>
      <c r="C1979" s="256" t="inlineStr">
        <is>
          <t>BSS1024</t>
        </is>
      </c>
      <c r="D1979" s="256" t="inlineStr">
        <is>
          <t>BSS1024</t>
        </is>
      </c>
      <c r="E1979" s="256" t="inlineStr">
        <is>
          <t>Blue Sunset Sherbet</t>
        </is>
      </c>
      <c r="F1979" s="256" t="inlineStr">
        <is>
          <t>17.08.2026</t>
        </is>
      </c>
      <c r="G1979" s="256" t="inlineStr">
        <is>
          <t>12</t>
        </is>
      </c>
      <c r="H1979" s="256" t="inlineStr">
        <is>
          <t>Pesticide Residues</t>
        </is>
      </c>
      <c r="I1979" s="256" t="inlineStr">
        <is>
          <t>Ph. Eur. 2.8.13 (LC-MS/MS) · CUMCS Equivalency</t>
        </is>
      </c>
      <c r="J1979" s="256" t="inlineStr">
        <is>
          <t>≤ LOQ as per Ph. Eur. 2.8.13 · ≤ LOQ as per CUMCS Equivalency</t>
        </is>
      </c>
      <c r="K1979" s="256" t="inlineStr">
        <is>
          <t>ND</t>
        </is>
      </c>
      <c r="L1979" s="256" t="inlineStr">
        <is>
          <t>751/2025</t>
        </is>
      </c>
      <c r="M1979" s="256" t="inlineStr">
        <is>
          <t>27.02.2025</t>
        </is>
      </c>
      <c r="N1979" s="256" t="inlineStr">
        <is>
          <t>IPH — Institute of Public Health</t>
        </is>
      </c>
      <c r="O1979" s="256" t="inlineStr">
        <is>
          <t>13.02.2025</t>
        </is>
      </c>
      <c r="P1979" s="256" t="inlineStr">
        <is>
          <t>carried from the initial testing (CoQ-PP-2025-0001) — covered</t>
        </is>
      </c>
      <c r="Q1979" s="256" t="inlineStr"/>
      <c r="R1979" s="256" t="inlineStr"/>
    </row>
    <row r="1980">
      <c r="A1980" s="256" t="inlineStr">
        <is>
          <t>CoQ-PP_26-087</t>
        </is>
      </c>
      <c r="B1980" s="256" t="inlineStr">
        <is>
          <t>reissue — retest</t>
        </is>
      </c>
      <c r="C1980" s="256" t="inlineStr">
        <is>
          <t>P060332</t>
        </is>
      </c>
      <c r="D1980" s="256" t="inlineStr">
        <is>
          <t>— no P lot assigned —</t>
        </is>
      </c>
      <c r="E1980" s="256" t="inlineStr">
        <is>
          <t>Cash Cow</t>
        </is>
      </c>
      <c r="F1980" s="256" t="inlineStr">
        <is>
          <t>17.08.2026</t>
        </is>
      </c>
      <c r="G1980" s="256" t="inlineStr">
        <is>
          <t>1</t>
        </is>
      </c>
      <c r="H1980" s="256" t="inlineStr">
        <is>
          <t>Identification A, Appearance · Macroscopic</t>
        </is>
      </c>
      <c r="I1980" s="256" t="inlineStr">
        <is>
          <t>Ph. Eur. mon. 3028</t>
        </is>
      </c>
      <c r="J1980" s="256" t="inlineStr">
        <is>
          <t>Conforms to the monograph for Cannabis flos (07/2024:3028) in Ph. Eur. 11.0 | Согласно монографија за Cannabis flos (07/2024:3028) во Ph. Eur. 11.0</t>
        </is>
      </c>
      <c r="K1980" s="256" t="inlineStr">
        <is>
          <t>Conforms | Одговара</t>
        </is>
      </c>
      <c r="L1980" s="256" t="inlineStr">
        <is>
          <t>iCoA-PP_26-105</t>
        </is>
      </c>
      <c r="M1980" s="256" t="inlineStr">
        <is>
          <t>27.07.2026</t>
        </is>
      </c>
      <c r="N1980" s="256" t="inlineStr">
        <is>
          <t>Purely Plant GmbH (in-house)</t>
        </is>
      </c>
      <c r="O1980" s="256" t="inlineStr">
        <is>
          <t>—</t>
        </is>
      </c>
      <c r="P1980" s="256" t="inlineStr">
        <is>
          <t>covered</t>
        </is>
      </c>
      <c r="Q1980" s="256" t="inlineStr">
        <is>
          <t>Farmahem — Ident A + B + C with the Assay, at retest</t>
        </is>
      </c>
      <c r="R1980" s="256" t="inlineStr"/>
    </row>
    <row r="1981">
      <c r="A1981" s="256" t="inlineStr">
        <is>
          <t>CoQ-PP_26-087</t>
        </is>
      </c>
      <c r="B1981" s="256" t="inlineStr">
        <is>
          <t>reissue — retest</t>
        </is>
      </c>
      <c r="C1981" s="256" t="inlineStr">
        <is>
          <t>P060332</t>
        </is>
      </c>
      <c r="D1981" s="256" t="inlineStr">
        <is>
          <t>— no P lot assigned —</t>
        </is>
      </c>
      <c r="E1981" s="256" t="inlineStr">
        <is>
          <t>Cash Cow</t>
        </is>
      </c>
      <c r="F1981" s="256" t="inlineStr">
        <is>
          <t>17.08.2026</t>
        </is>
      </c>
      <c r="G1981" s="256" t="inlineStr">
        <is>
          <t>2</t>
        </is>
      </c>
      <c r="H1981" s="256" t="inlineStr">
        <is>
          <t>Identification B · Microscopic</t>
        </is>
      </c>
      <c r="I1981" s="256" t="inlineStr">
        <is>
          <t>Ph. Eur. 2.8.23 (microscopy)</t>
        </is>
      </c>
      <c r="J1981" s="256" t="inlineStr">
        <is>
          <t>Conforms to the monograph for Cannabis flos (07/2024:3028) in Ph. Eur. 11.0 | Согласно монографија за Cannabis flos (07/2024:3028) во Ph. Eur. 11.0</t>
        </is>
      </c>
      <c r="K1981" s="256" t="inlineStr">
        <is>
          <t>Conforms | Одговара</t>
        </is>
      </c>
      <c r="L1981" s="256" t="inlineStr">
        <is>
          <t>iCoA-PP_26-105</t>
        </is>
      </c>
      <c r="M1981" s="256" t="inlineStr">
        <is>
          <t>27.07.2026</t>
        </is>
      </c>
      <c r="N1981" s="256" t="inlineStr">
        <is>
          <t>Purely Plant GmbH (in-house)</t>
        </is>
      </c>
      <c r="O1981" s="256" t="inlineStr">
        <is>
          <t>—</t>
        </is>
      </c>
      <c r="P1981" s="256" t="inlineStr">
        <is>
          <t>covered</t>
        </is>
      </c>
      <c r="Q1981" s="256" t="inlineStr">
        <is>
          <t>Farmahem — Ident A + B + C with the Assay, at retest</t>
        </is>
      </c>
      <c r="R1981" s="256" t="inlineStr"/>
    </row>
    <row r="1982">
      <c r="A1982" s="256" t="inlineStr">
        <is>
          <t>CoQ-PP_26-087</t>
        </is>
      </c>
      <c r="B1982" s="256" t="inlineStr">
        <is>
          <t>reissue — retest</t>
        </is>
      </c>
      <c r="C1982" s="256" t="inlineStr">
        <is>
          <t>P060332</t>
        </is>
      </c>
      <c r="D1982" s="256" t="inlineStr">
        <is>
          <t>— no P lot assigned —</t>
        </is>
      </c>
      <c r="E1982" s="256" t="inlineStr">
        <is>
          <t>Cash Cow</t>
        </is>
      </c>
      <c r="F1982" s="256" t="inlineStr">
        <is>
          <t>17.08.2026</t>
        </is>
      </c>
      <c r="G1982" s="256" t="inlineStr">
        <is>
          <t>3</t>
        </is>
      </c>
      <c r="H1982" s="256" t="inlineStr">
        <is>
          <t>Identification C · HPLC/HPTLC</t>
        </is>
      </c>
      <c r="I1982" s="256" t="inlineStr">
        <is>
          <t>Ph. Eur. 2.2.29 (3028)</t>
        </is>
      </c>
      <c r="J1982" s="256" t="inlineStr">
        <is>
          <t>Conforms to the monograph for Cannabis flos (07/2024:3028) in Ph. Eur. 11.0 | Согласно монографија за Cannabis flos (07/2024:3028) во Ph. Eur. 11.0</t>
        </is>
      </c>
      <c r="K1982" s="256" t="inlineStr">
        <is>
          <t>Conforms | Одговара</t>
        </is>
      </c>
      <c r="L1982" s="256" t="inlineStr">
        <is>
          <t>197-6-К/26</t>
        </is>
      </c>
      <c r="M1982" s="256" t="inlineStr">
        <is>
          <t>07.08.2026</t>
        </is>
      </c>
      <c r="N1982" s="256" t="inlineStr">
        <is>
          <t>Farmahem</t>
        </is>
      </c>
      <c r="O1982" s="256" t="inlineStr">
        <is>
          <t>27.07.2026</t>
        </is>
      </c>
      <c r="P1982" s="256" t="inlineStr">
        <is>
          <t>covered</t>
        </is>
      </c>
      <c r="Q1982" s="256" t="inlineStr"/>
      <c r="R1982" s="256" t="inlineStr"/>
    </row>
    <row r="1983">
      <c r="A1983" s="256" t="inlineStr">
        <is>
          <t>CoQ-PP_26-087</t>
        </is>
      </c>
      <c r="B1983" s="256" t="inlineStr">
        <is>
          <t>reissue — retest</t>
        </is>
      </c>
      <c r="C1983" s="256" t="inlineStr">
        <is>
          <t>P060332</t>
        </is>
      </c>
      <c r="D1983" s="256" t="inlineStr">
        <is>
          <t>— no P lot assigned —</t>
        </is>
      </c>
      <c r="E1983" s="256" t="inlineStr">
        <is>
          <t>Cash Cow</t>
        </is>
      </c>
      <c r="F1983" s="256" t="inlineStr">
        <is>
          <t>17.08.2026</t>
        </is>
      </c>
      <c r="G1983" s="256" t="inlineStr">
        <is>
          <t>4</t>
        </is>
      </c>
      <c r="H1983" s="256" t="inlineStr">
        <is>
          <t>Assay — Total Δ⁹-THC</t>
        </is>
      </c>
      <c r="I1983" s="256" t="inlineStr">
        <is>
          <t>Ph. Eur. 2.2.29 (HPLC)</t>
        </is>
      </c>
      <c r="J1983" s="256" t="inlineStr">
        <is>
          <t>15.35 – 18.64 %  (grade I, nominal 17.00 ± 1.65)</t>
        </is>
      </c>
      <c r="K1983" s="256" t="inlineStr">
        <is>
          <t>17.67</t>
        </is>
      </c>
      <c r="L1983" s="256" t="inlineStr">
        <is>
          <t>197-6-К/26</t>
        </is>
      </c>
      <c r="M1983" s="256" t="inlineStr">
        <is>
          <t>07.08.2026</t>
        </is>
      </c>
      <c r="N1983" s="256" t="inlineStr">
        <is>
          <t>Farmahem</t>
        </is>
      </c>
      <c r="O1983" s="256" t="inlineStr">
        <is>
          <t>27.07.2026</t>
        </is>
      </c>
      <c r="P1983" s="256" t="inlineStr">
        <is>
          <t>covered</t>
        </is>
      </c>
      <c r="Q1983" s="256" t="inlineStr"/>
      <c r="R1983" s="256" t="inlineStr"/>
    </row>
    <row r="1984">
      <c r="A1984" s="256" t="inlineStr">
        <is>
          <t>CoQ-PP_26-087</t>
        </is>
      </c>
      <c r="B1984" s="256" t="inlineStr">
        <is>
          <t>reissue — retest</t>
        </is>
      </c>
      <c r="C1984" s="256" t="inlineStr">
        <is>
          <t>P060332</t>
        </is>
      </c>
      <c r="D1984" s="256" t="inlineStr">
        <is>
          <t>— no P lot assigned —</t>
        </is>
      </c>
      <c r="E1984" s="256" t="inlineStr">
        <is>
          <t>Cash Cow</t>
        </is>
      </c>
      <c r="F1984" s="256" t="inlineStr">
        <is>
          <t>17.08.2026</t>
        </is>
      </c>
      <c r="G1984" s="256" t="inlineStr">
        <is>
          <t>5</t>
        </is>
      </c>
      <c r="H1984" s="256" t="inlineStr">
        <is>
          <t>Assay — Total CBD</t>
        </is>
      </c>
      <c r="I1984" s="256" t="inlineStr">
        <is>
          <t>Ph. Eur. 2.2.29 (HPLC) · CBD + CBDA x 0.877</t>
        </is>
      </c>
      <c r="J1984" s="256" t="inlineStr">
        <is>
          <t>≤ 1.0%, w/w</t>
        </is>
      </c>
      <c r="K1984" s="256" t="inlineStr">
        <is>
          <t>&lt; LOQ</t>
        </is>
      </c>
      <c r="L1984" s="256" t="inlineStr">
        <is>
          <t>197-6-К/26</t>
        </is>
      </c>
      <c r="M1984" s="256" t="inlineStr">
        <is>
          <t>07.08.2026</t>
        </is>
      </c>
      <c r="N1984" s="256" t="inlineStr">
        <is>
          <t>Farmahem</t>
        </is>
      </c>
      <c r="O1984" s="256" t="inlineStr">
        <is>
          <t>27.07.2026</t>
        </is>
      </c>
      <c r="P1984" s="256" t="inlineStr">
        <is>
          <t>covered</t>
        </is>
      </c>
      <c r="Q1984" s="256" t="inlineStr"/>
      <c r="R1984" s="256" t="inlineStr"/>
    </row>
    <row r="1985">
      <c r="A1985" s="256" t="inlineStr">
        <is>
          <t>CoQ-PP_26-087</t>
        </is>
      </c>
      <c r="B1985" s="256" t="inlineStr">
        <is>
          <t>reissue — retest</t>
        </is>
      </c>
      <c r="C1985" s="256" t="inlineStr">
        <is>
          <t>P060332</t>
        </is>
      </c>
      <c r="D1985" s="256" t="inlineStr">
        <is>
          <t>— no P lot assigned —</t>
        </is>
      </c>
      <c r="E1985" s="256" t="inlineStr">
        <is>
          <t>Cash Cow</t>
        </is>
      </c>
      <c r="F1985" s="256" t="inlineStr">
        <is>
          <t>17.08.2026</t>
        </is>
      </c>
      <c r="G1985" s="256" t="inlineStr">
        <is>
          <t>6</t>
        </is>
      </c>
      <c r="H1985" s="256" t="inlineStr">
        <is>
          <t>Total CBN</t>
        </is>
      </c>
      <c r="I1985" s="256" t="inlineStr">
        <is>
          <t>Ph. Eur. 2.2.29 (HPLC) · CBN + CBNA x 0.876</t>
        </is>
      </c>
      <c r="J1985" s="256" t="inlineStr">
        <is>
          <t>≤ 1.0%, w/w</t>
        </is>
      </c>
      <c r="K1985" s="256" t="inlineStr">
        <is>
          <t>&lt; LOQ</t>
        </is>
      </c>
      <c r="L1985" s="256" t="inlineStr">
        <is>
          <t>197-6-К/26</t>
        </is>
      </c>
      <c r="M1985" s="256" t="inlineStr">
        <is>
          <t>07.08.2026</t>
        </is>
      </c>
      <c r="N1985" s="256" t="inlineStr">
        <is>
          <t>Farmahem</t>
        </is>
      </c>
      <c r="O1985" s="256" t="inlineStr">
        <is>
          <t>27.07.2026</t>
        </is>
      </c>
      <c r="P1985" s="256" t="inlineStr">
        <is>
          <t>covered</t>
        </is>
      </c>
      <c r="Q1985" s="256" t="inlineStr"/>
      <c r="R1985" s="256" t="inlineStr"/>
    </row>
    <row r="1986">
      <c r="A1986" s="256" t="inlineStr">
        <is>
          <t>CoQ-PP_26-087</t>
        </is>
      </c>
      <c r="B1986" s="256" t="inlineStr">
        <is>
          <t>reissue — retest</t>
        </is>
      </c>
      <c r="C1986" s="256" t="inlineStr">
        <is>
          <t>P060332</t>
        </is>
      </c>
      <c r="D1986" s="256" t="inlineStr">
        <is>
          <t>— no P lot assigned —</t>
        </is>
      </c>
      <c r="E1986" s="256" t="inlineStr">
        <is>
          <t>Cash Cow</t>
        </is>
      </c>
      <c r="F1986" s="256" t="inlineStr">
        <is>
          <t>17.08.2026</t>
        </is>
      </c>
      <c r="G1986" s="256" t="inlineStr">
        <is>
          <t>7</t>
        </is>
      </c>
      <c r="H1986" s="256" t="inlineStr">
        <is>
          <t>Foreign Matter</t>
        </is>
      </c>
      <c r="I1986" s="256" t="inlineStr">
        <is>
          <t>Ph. Eur. 2.8.2 · In-house · интерна</t>
        </is>
      </c>
      <c r="J1986" s="256" t="inlineStr">
        <is>
          <t>≤ 2.0% / 25–50 g · &lt; 1 cm leaves | листови, no seeds | без семки</t>
        </is>
      </c>
      <c r="K1986" s="256" t="inlineStr">
        <is>
          <t>Conforms | Одговара</t>
        </is>
      </c>
      <c r="L1986" s="256" t="inlineStr">
        <is>
          <t>iCoA-PP_26-105</t>
        </is>
      </c>
      <c r="M1986" s="256" t="inlineStr">
        <is>
          <t>27.07.2026</t>
        </is>
      </c>
      <c r="N1986" s="256" t="inlineStr">
        <is>
          <t>Purely Plant GmbH (in-house)</t>
        </is>
      </c>
      <c r="O1986" s="256" t="inlineStr">
        <is>
          <t>—</t>
        </is>
      </c>
      <c r="P1986" s="256" t="inlineStr">
        <is>
          <t>covered</t>
        </is>
      </c>
      <c r="Q1986" s="256" t="inlineStr">
        <is>
          <t>Purely Plant laboratory — iCoA covering Foreign matter</t>
        </is>
      </c>
      <c r="R1986" s="256" t="inlineStr"/>
    </row>
    <row r="1987">
      <c r="A1987" s="256" t="inlineStr">
        <is>
          <t>CoQ-PP_26-087</t>
        </is>
      </c>
      <c r="B1987" s="256" t="inlineStr">
        <is>
          <t>reissue — retest</t>
        </is>
      </c>
      <c r="C1987" s="256" t="inlineStr">
        <is>
          <t>P060332</t>
        </is>
      </c>
      <c r="D1987" s="256" t="inlineStr">
        <is>
          <t>— no P lot assigned —</t>
        </is>
      </c>
      <c r="E1987" s="256" t="inlineStr">
        <is>
          <t>Cash Cow</t>
        </is>
      </c>
      <c r="F1987" s="256" t="inlineStr">
        <is>
          <t>17.08.2026</t>
        </is>
      </c>
      <c r="G1987" s="256" t="inlineStr">
        <is>
          <t>8</t>
        </is>
      </c>
      <c r="H1987" s="256" t="inlineStr">
        <is>
          <t>Loss on Drying</t>
        </is>
      </c>
      <c r="I1987" s="256" t="inlineStr">
        <is>
          <t>Ph. Eur. 2.2.32 (3028) · at 40 °C, 24 h, 15–25 mbar</t>
        </is>
      </c>
      <c r="J1987" s="256" t="inlineStr">
        <is>
          <t>≤ 12.0%</t>
        </is>
      </c>
      <c r="K1987" s="256" t="inlineStr">
        <is>
          <t>carried from the initial testing — not tested</t>
        </is>
      </c>
      <c r="L1987" s="256" t="inlineStr">
        <is>
          <t>—</t>
        </is>
      </c>
      <c r="M1987" s="256" t="inlineStr">
        <is>
          <t>—</t>
        </is>
      </c>
      <c r="N1987" s="256" t="inlineStr">
        <is>
          <t>—</t>
        </is>
      </c>
      <c r="O1987" s="256" t="inlineStr">
        <is>
          <t>—</t>
        </is>
      </c>
      <c r="P1987" s="256" t="inlineStr">
        <is>
          <t>carried from the initial testing (the batch's initial CoQ (number assigned on issue)) — not tested — no certificate covers it</t>
        </is>
      </c>
      <c r="Q1987" s="256" t="inlineStr"/>
      <c r="R1987" s="256" t="inlineStr"/>
    </row>
    <row r="1988">
      <c r="A1988" s="256" t="inlineStr">
        <is>
          <t>CoQ-PP_26-087</t>
        </is>
      </c>
      <c r="B1988" s="256" t="inlineStr">
        <is>
          <t>reissue — retest</t>
        </is>
      </c>
      <c r="C1988" s="256" t="inlineStr">
        <is>
          <t>P060332</t>
        </is>
      </c>
      <c r="D1988" s="256" t="inlineStr">
        <is>
          <t>— no P lot assigned —</t>
        </is>
      </c>
      <c r="E1988" s="256" t="inlineStr">
        <is>
          <t>Cash Cow</t>
        </is>
      </c>
      <c r="F1988" s="256" t="inlineStr">
        <is>
          <t>17.08.2026</t>
        </is>
      </c>
      <c r="G1988" s="256" t="inlineStr">
        <is>
          <t>9.1</t>
        </is>
      </c>
      <c r="H1988" s="256" t="inlineStr">
        <is>
          <t>TAMC</t>
        </is>
      </c>
      <c r="I1988" s="256" t="inlineStr">
        <is>
          <t>Ph. Eur. 2.6.12 cat. C</t>
        </is>
      </c>
      <c r="J1988" s="256" t="inlineStr">
        <is>
          <t>≤ 10⁵ CFU/g</t>
        </is>
      </c>
      <c r="K1988" s="256" t="inlineStr">
        <is>
          <t>7.8 × 10⁴</t>
        </is>
      </c>
      <c r="L1988" s="256" t="inlineStr">
        <is>
          <t>361/0691/26</t>
        </is>
      </c>
      <c r="M1988" s="256" t="inlineStr">
        <is>
          <t>01.06.2026</t>
        </is>
      </c>
      <c r="N1988" s="256" t="inlineStr">
        <is>
          <t>IPH — Institute of Public Health</t>
        </is>
      </c>
      <c r="O1988" s="256" t="inlineStr">
        <is>
          <t>—</t>
        </is>
      </c>
      <c r="P1988" s="256" t="inlineStr">
        <is>
          <t>covered</t>
        </is>
      </c>
      <c r="Q1988" s="256" t="inlineStr"/>
      <c r="R1988" s="256" t="inlineStr"/>
    </row>
    <row r="1989">
      <c r="A1989" s="256" t="inlineStr">
        <is>
          <t>CoQ-PP_26-087</t>
        </is>
      </c>
      <c r="B1989" s="256" t="inlineStr">
        <is>
          <t>reissue — retest</t>
        </is>
      </c>
      <c r="C1989" s="256" t="inlineStr">
        <is>
          <t>P060332</t>
        </is>
      </c>
      <c r="D1989" s="256" t="inlineStr">
        <is>
          <t>— no P lot assigned —</t>
        </is>
      </c>
      <c r="E1989" s="256" t="inlineStr">
        <is>
          <t>Cash Cow</t>
        </is>
      </c>
      <c r="F1989" s="256" t="inlineStr">
        <is>
          <t>17.08.2026</t>
        </is>
      </c>
      <c r="G1989" s="256" t="inlineStr">
        <is>
          <t>9.2</t>
        </is>
      </c>
      <c r="H1989" s="256" t="inlineStr">
        <is>
          <t>TYMC</t>
        </is>
      </c>
      <c r="I1989" s="256" t="inlineStr">
        <is>
          <t>Ph. Eur. 2.6.12 cat. C</t>
        </is>
      </c>
      <c r="J1989" s="256" t="inlineStr">
        <is>
          <t>≤ 10⁴ CFU/g</t>
        </is>
      </c>
      <c r="K1989" s="256" t="inlineStr">
        <is>
          <t>2.2 × 10⁴</t>
        </is>
      </c>
      <c r="L1989" s="256" t="inlineStr">
        <is>
          <t>361/0691/26</t>
        </is>
      </c>
      <c r="M1989" s="256" t="inlineStr">
        <is>
          <t>01.06.2026</t>
        </is>
      </c>
      <c r="N1989" s="256" t="inlineStr">
        <is>
          <t>IPH — Institute of Public Health</t>
        </is>
      </c>
      <c r="O1989" s="256" t="inlineStr">
        <is>
          <t>—</t>
        </is>
      </c>
      <c r="P1989" s="256" t="inlineStr">
        <is>
          <t>OUT OF SPECIFICATION — covered</t>
        </is>
      </c>
      <c r="Q1989" s="256" t="inlineStr"/>
      <c r="R1989" s="256" t="inlineStr"/>
    </row>
    <row r="1990">
      <c r="A1990" s="256" t="inlineStr">
        <is>
          <t>CoQ-PP_26-087</t>
        </is>
      </c>
      <c r="B1990" s="256" t="inlineStr">
        <is>
          <t>reissue — retest</t>
        </is>
      </c>
      <c r="C1990" s="256" t="inlineStr">
        <is>
          <t>P060332</t>
        </is>
      </c>
      <c r="D1990" s="256" t="inlineStr">
        <is>
          <t>— no P lot assigned —</t>
        </is>
      </c>
      <c r="E1990" s="256" t="inlineStr">
        <is>
          <t>Cash Cow</t>
        </is>
      </c>
      <c r="F1990" s="256" t="inlineStr">
        <is>
          <t>17.08.2026</t>
        </is>
      </c>
      <c r="G1990" s="256" t="inlineStr">
        <is>
          <t>9.3</t>
        </is>
      </c>
      <c r="H1990" s="256" t="inlineStr">
        <is>
          <t>Bile-tolerant gram-neg.</t>
        </is>
      </c>
      <c r="I1990" s="256" t="inlineStr">
        <is>
          <t>Ph. Eur. 2.6.31 cat. C</t>
        </is>
      </c>
      <c r="J1990" s="256" t="inlineStr">
        <is>
          <t>≤ 10⁴ CFU/g</t>
        </is>
      </c>
      <c r="K1990" s="256" t="inlineStr">
        <is>
          <t>&lt; 10</t>
        </is>
      </c>
      <c r="L1990" s="256" t="inlineStr">
        <is>
          <t>361/0691/26</t>
        </is>
      </c>
      <c r="M1990" s="256" t="inlineStr">
        <is>
          <t>01.06.2026</t>
        </is>
      </c>
      <c r="N1990" s="256" t="inlineStr">
        <is>
          <t>IPH — Institute of Public Health</t>
        </is>
      </c>
      <c r="O1990" s="256" t="inlineStr">
        <is>
          <t>—</t>
        </is>
      </c>
      <c r="P1990" s="256" t="inlineStr">
        <is>
          <t>covered</t>
        </is>
      </c>
      <c r="Q1990" s="256" t="inlineStr"/>
      <c r="R1990" s="256" t="inlineStr"/>
    </row>
    <row r="1991">
      <c r="A1991" s="256" t="inlineStr">
        <is>
          <t>CoQ-PP_26-087</t>
        </is>
      </c>
      <c r="B1991" s="256" t="inlineStr">
        <is>
          <t>reissue — retest</t>
        </is>
      </c>
      <c r="C1991" s="256" t="inlineStr">
        <is>
          <t>P060332</t>
        </is>
      </c>
      <c r="D1991" s="256" t="inlineStr">
        <is>
          <t>— no P lot assigned —</t>
        </is>
      </c>
      <c r="E1991" s="256" t="inlineStr">
        <is>
          <t>Cash Cow</t>
        </is>
      </c>
      <c r="F1991" s="256" t="inlineStr">
        <is>
          <t>17.08.2026</t>
        </is>
      </c>
      <c r="G1991" s="256" t="inlineStr">
        <is>
          <t>9.4</t>
        </is>
      </c>
      <c r="H1991" s="256" t="inlineStr">
        <is>
          <t>Salmonella</t>
        </is>
      </c>
      <c r="I1991" s="256" t="inlineStr">
        <is>
          <t>Ph. Eur. 2.6.31 cat. C</t>
        </is>
      </c>
      <c r="J1991" s="256" t="inlineStr">
        <is>
          <t>Absence | Отсуство / 25 g</t>
        </is>
      </c>
      <c r="K1991" s="256" t="inlineStr">
        <is>
          <t>Absent | Отсутна</t>
        </is>
      </c>
      <c r="L1991" s="256" t="inlineStr">
        <is>
          <t>361/0691/26</t>
        </is>
      </c>
      <c r="M1991" s="256" t="inlineStr">
        <is>
          <t>01.06.2026</t>
        </is>
      </c>
      <c r="N1991" s="256" t="inlineStr">
        <is>
          <t>IPH — Institute of Public Health</t>
        </is>
      </c>
      <c r="O1991" s="256" t="inlineStr">
        <is>
          <t>—</t>
        </is>
      </c>
      <c r="P1991" s="256" t="inlineStr">
        <is>
          <t>covered</t>
        </is>
      </c>
      <c r="Q1991" s="256" t="inlineStr"/>
      <c r="R1991" s="256" t="inlineStr"/>
    </row>
    <row r="1992">
      <c r="A1992" s="256" t="inlineStr">
        <is>
          <t>CoQ-PP_26-087</t>
        </is>
      </c>
      <c r="B1992" s="256" t="inlineStr">
        <is>
          <t>reissue — retest</t>
        </is>
      </c>
      <c r="C1992" s="256" t="inlineStr">
        <is>
          <t>P060332</t>
        </is>
      </c>
      <c r="D1992" s="256" t="inlineStr">
        <is>
          <t>— no P lot assigned —</t>
        </is>
      </c>
      <c r="E1992" s="256" t="inlineStr">
        <is>
          <t>Cash Cow</t>
        </is>
      </c>
      <c r="F1992" s="256" t="inlineStr">
        <is>
          <t>17.08.2026</t>
        </is>
      </c>
      <c r="G1992" s="256" t="inlineStr">
        <is>
          <t>9.5</t>
        </is>
      </c>
      <c r="H1992" s="256" t="inlineStr">
        <is>
          <t>Escherichia coli</t>
        </is>
      </c>
      <c r="I1992" s="256" t="inlineStr">
        <is>
          <t>Ph. Eur. 2.6.13 cat. C</t>
        </is>
      </c>
      <c r="J1992" s="256" t="inlineStr">
        <is>
          <t>Absence | Отсуство / 1 g</t>
        </is>
      </c>
      <c r="K1992" s="256" t="inlineStr">
        <is>
          <t>Absent | Отсутна</t>
        </is>
      </c>
      <c r="L1992" s="256" t="inlineStr">
        <is>
          <t>361/0691/26</t>
        </is>
      </c>
      <c r="M1992" s="256" t="inlineStr">
        <is>
          <t>01.06.2026</t>
        </is>
      </c>
      <c r="N1992" s="256" t="inlineStr">
        <is>
          <t>IPH — Institute of Public Health</t>
        </is>
      </c>
      <c r="O1992" s="256" t="inlineStr">
        <is>
          <t>—</t>
        </is>
      </c>
      <c r="P1992" s="256" t="inlineStr">
        <is>
          <t>covered</t>
        </is>
      </c>
      <c r="Q1992" s="256" t="inlineStr"/>
      <c r="R1992" s="256" t="inlineStr"/>
    </row>
    <row r="1993">
      <c r="A1993" s="256" t="inlineStr">
        <is>
          <t>CoQ-PP_26-087</t>
        </is>
      </c>
      <c r="B1993" s="256" t="inlineStr">
        <is>
          <t>reissue — retest</t>
        </is>
      </c>
      <c r="C1993" s="256" t="inlineStr">
        <is>
          <t>P060332</t>
        </is>
      </c>
      <c r="D1993" s="256" t="inlineStr">
        <is>
          <t>— no P lot assigned —</t>
        </is>
      </c>
      <c r="E1993" s="256" t="inlineStr">
        <is>
          <t>Cash Cow</t>
        </is>
      </c>
      <c r="F1993" s="256" t="inlineStr">
        <is>
          <t>17.08.2026</t>
        </is>
      </c>
      <c r="G1993" s="256" t="inlineStr">
        <is>
          <t>9.6</t>
        </is>
      </c>
      <c r="H1993" s="256" t="inlineStr">
        <is>
          <t>Pseudomonas aeruginosa</t>
        </is>
      </c>
      <c r="I1993" s="256" t="inlineStr">
        <is>
          <t>Ph. Eur. 2.6.13 cat. C</t>
        </is>
      </c>
      <c r="J1993" s="256" t="inlineStr">
        <is>
          <t>Absence | Отсуство / 1 g</t>
        </is>
      </c>
      <c r="K1993" s="260" t="inlineStr">
        <is>
          <t>upon request — not required for release</t>
        </is>
      </c>
      <c r="L1993" s="256" t="inlineStr">
        <is>
          <t>—</t>
        </is>
      </c>
      <c r="M1993" s="256" t="inlineStr">
        <is>
          <t>—</t>
        </is>
      </c>
      <c r="N1993" s="256" t="inlineStr">
        <is>
          <t>—</t>
        </is>
      </c>
      <c r="O1993" s="256" t="inlineStr">
        <is>
          <t>—</t>
        </is>
      </c>
      <c r="P1993" s="256" t="inlineStr">
        <is>
          <t>upon request — not required for release</t>
        </is>
      </c>
      <c r="Q1993" s="256" t="inlineStr"/>
      <c r="R1993" s="256" t="inlineStr"/>
    </row>
    <row r="1994">
      <c r="A1994" s="256" t="inlineStr">
        <is>
          <t>CoQ-PP_26-087</t>
        </is>
      </c>
      <c r="B1994" s="256" t="inlineStr">
        <is>
          <t>reissue — retest</t>
        </is>
      </c>
      <c r="C1994" s="256" t="inlineStr">
        <is>
          <t>P060332</t>
        </is>
      </c>
      <c r="D1994" s="256" t="inlineStr">
        <is>
          <t>— no P lot assigned —</t>
        </is>
      </c>
      <c r="E1994" s="256" t="inlineStr">
        <is>
          <t>Cash Cow</t>
        </is>
      </c>
      <c r="F1994" s="256" t="inlineStr">
        <is>
          <t>17.08.2026</t>
        </is>
      </c>
      <c r="G1994" s="256" t="inlineStr">
        <is>
          <t>9.7</t>
        </is>
      </c>
      <c r="H1994" s="256" t="inlineStr">
        <is>
          <t>Staphylococcus aureus</t>
        </is>
      </c>
      <c r="I1994" s="256" t="inlineStr">
        <is>
          <t>Ph. Eur. 2.6.13 cat. C</t>
        </is>
      </c>
      <c r="J1994" s="256" t="inlineStr">
        <is>
          <t>Absence | Отсуство / 1 g</t>
        </is>
      </c>
      <c r="K1994" s="260" t="inlineStr">
        <is>
          <t>upon request — not required for release</t>
        </is>
      </c>
      <c r="L1994" s="256" t="inlineStr">
        <is>
          <t>—</t>
        </is>
      </c>
      <c r="M1994" s="256" t="inlineStr">
        <is>
          <t>—</t>
        </is>
      </c>
      <c r="N1994" s="256" t="inlineStr">
        <is>
          <t>—</t>
        </is>
      </c>
      <c r="O1994" s="256" t="inlineStr">
        <is>
          <t>—</t>
        </is>
      </c>
      <c r="P1994" s="256" t="inlineStr">
        <is>
          <t>upon request — not required for release</t>
        </is>
      </c>
      <c r="Q1994" s="256" t="inlineStr"/>
      <c r="R1994" s="256" t="inlineStr"/>
    </row>
    <row r="1995">
      <c r="A1995" s="256" t="inlineStr">
        <is>
          <t>CoQ-PP_26-087</t>
        </is>
      </c>
      <c r="B1995" s="256" t="inlineStr">
        <is>
          <t>reissue — retest</t>
        </is>
      </c>
      <c r="C1995" s="256" t="inlineStr">
        <is>
          <t>P060332</t>
        </is>
      </c>
      <c r="D1995" s="256" t="inlineStr">
        <is>
          <t>— no P lot assigned —</t>
        </is>
      </c>
      <c r="E1995" s="256" t="inlineStr">
        <is>
          <t>Cash Cow</t>
        </is>
      </c>
      <c r="F1995" s="256" t="inlineStr">
        <is>
          <t>17.08.2026</t>
        </is>
      </c>
      <c r="G1995" s="256" t="inlineStr">
        <is>
          <t>10.1</t>
        </is>
      </c>
      <c r="H1995" s="256" t="inlineStr">
        <is>
          <t>Aflatoxin B₁</t>
        </is>
      </c>
      <c r="I1995" s="256" t="inlineStr">
        <is>
          <t>Ph. Eur. 2.8.18 (HPLC-FLD)</t>
        </is>
      </c>
      <c r="J1995" s="256" t="inlineStr">
        <is>
          <t>≤ 2 µg/kg</t>
        </is>
      </c>
      <c r="K1995" s="256" t="inlineStr">
        <is>
          <t>ND</t>
        </is>
      </c>
      <c r="L1995" s="256" t="inlineStr">
        <is>
          <t>197-6-М/26</t>
        </is>
      </c>
      <c r="M1995" s="256" t="inlineStr">
        <is>
          <t>10.08.2026</t>
        </is>
      </c>
      <c r="N1995" s="256" t="inlineStr">
        <is>
          <t>Farmahem</t>
        </is>
      </c>
      <c r="O1995" s="256" t="inlineStr">
        <is>
          <t>29.07.2026</t>
        </is>
      </c>
      <c r="P1995" s="256" t="inlineStr">
        <is>
          <t>covered</t>
        </is>
      </c>
      <c r="Q1995" s="256" t="inlineStr"/>
      <c r="R1995" s="256" t="inlineStr"/>
    </row>
    <row r="1996">
      <c r="A1996" s="256" t="inlineStr">
        <is>
          <t>CoQ-PP_26-087</t>
        </is>
      </c>
      <c r="B1996" s="256" t="inlineStr">
        <is>
          <t>reissue — retest</t>
        </is>
      </c>
      <c r="C1996" s="256" t="inlineStr">
        <is>
          <t>P060332</t>
        </is>
      </c>
      <c r="D1996" s="256" t="inlineStr">
        <is>
          <t>— no P lot assigned —</t>
        </is>
      </c>
      <c r="E1996" s="256" t="inlineStr">
        <is>
          <t>Cash Cow</t>
        </is>
      </c>
      <c r="F1996" s="256" t="inlineStr">
        <is>
          <t>17.08.2026</t>
        </is>
      </c>
      <c r="G1996" s="256" t="inlineStr">
        <is>
          <t>10.2</t>
        </is>
      </c>
      <c r="H1996" s="256" t="inlineStr">
        <is>
          <t>Aflatoxins ∑</t>
        </is>
      </c>
      <c r="I1996" s="256" t="inlineStr">
        <is>
          <t>Ph. Eur. 2.8.18 (HPLC-FLD)</t>
        </is>
      </c>
      <c r="J1996" s="256" t="inlineStr">
        <is>
          <t>≤ 4 µg/kg</t>
        </is>
      </c>
      <c r="K1996" s="256" t="inlineStr">
        <is>
          <t>ND</t>
        </is>
      </c>
      <c r="L1996" s="256" t="inlineStr">
        <is>
          <t>197-6-М/26</t>
        </is>
      </c>
      <c r="M1996" s="256" t="inlineStr">
        <is>
          <t>10.08.2026</t>
        </is>
      </c>
      <c r="N1996" s="256" t="inlineStr">
        <is>
          <t>Farmahem</t>
        </is>
      </c>
      <c r="O1996" s="256" t="inlineStr">
        <is>
          <t>29.07.2026</t>
        </is>
      </c>
      <c r="P1996" s="256" t="inlineStr">
        <is>
          <t>covered</t>
        </is>
      </c>
      <c r="Q1996" s="256" t="inlineStr"/>
      <c r="R1996" s="256" t="inlineStr"/>
    </row>
    <row r="1997">
      <c r="A1997" s="256" t="inlineStr">
        <is>
          <t>CoQ-PP_26-087</t>
        </is>
      </c>
      <c r="B1997" s="256" t="inlineStr">
        <is>
          <t>reissue — retest</t>
        </is>
      </c>
      <c r="C1997" s="256" t="inlineStr">
        <is>
          <t>P060332</t>
        </is>
      </c>
      <c r="D1997" s="256" t="inlineStr">
        <is>
          <t>— no P lot assigned —</t>
        </is>
      </c>
      <c r="E1997" s="256" t="inlineStr">
        <is>
          <t>Cash Cow</t>
        </is>
      </c>
      <c r="F1997" s="256" t="inlineStr">
        <is>
          <t>17.08.2026</t>
        </is>
      </c>
      <c r="G1997" s="256" t="inlineStr">
        <is>
          <t>10.3</t>
        </is>
      </c>
      <c r="H1997" s="256" t="inlineStr">
        <is>
          <t>Ochratoxin A</t>
        </is>
      </c>
      <c r="I1997" s="256" t="inlineStr">
        <is>
          <t>Ph. Eur. 2.8.22 (HPLC-FLD)</t>
        </is>
      </c>
      <c r="J1997" s="256" t="inlineStr">
        <is>
          <t>≤ 20 µg/kg</t>
        </is>
      </c>
      <c r="K1997" s="256" t="inlineStr">
        <is>
          <t>ND</t>
        </is>
      </c>
      <c r="L1997" s="256" t="inlineStr">
        <is>
          <t>197-6-М/26</t>
        </is>
      </c>
      <c r="M1997" s="256" t="inlineStr">
        <is>
          <t>10.08.2026</t>
        </is>
      </c>
      <c r="N1997" s="256" t="inlineStr">
        <is>
          <t>Farmahem</t>
        </is>
      </c>
      <c r="O1997" s="256" t="inlineStr">
        <is>
          <t>29.07.2026</t>
        </is>
      </c>
      <c r="P1997" s="256" t="inlineStr">
        <is>
          <t>covered</t>
        </is>
      </c>
      <c r="Q1997" s="256" t="inlineStr"/>
      <c r="R1997" s="256" t="inlineStr"/>
    </row>
    <row r="1998">
      <c r="A1998" s="256" t="inlineStr">
        <is>
          <t>CoQ-PP_26-087</t>
        </is>
      </c>
      <c r="B1998" s="256" t="inlineStr">
        <is>
          <t>reissue — retest</t>
        </is>
      </c>
      <c r="C1998" s="256" t="inlineStr">
        <is>
          <t>P060332</t>
        </is>
      </c>
      <c r="D1998" s="256" t="inlineStr">
        <is>
          <t>— no P lot assigned —</t>
        </is>
      </c>
      <c r="E1998" s="256" t="inlineStr">
        <is>
          <t>Cash Cow</t>
        </is>
      </c>
      <c r="F1998" s="256" t="inlineStr">
        <is>
          <t>17.08.2026</t>
        </is>
      </c>
      <c r="G1998" s="256" t="inlineStr">
        <is>
          <t>11.1</t>
        </is>
      </c>
      <c r="H1998" s="256" t="inlineStr">
        <is>
          <t>Lead (Pb)</t>
        </is>
      </c>
      <c r="I1998" s="256" t="inlineStr">
        <is>
          <t>Ph. Eur. 2.4.27 (ICP-MS)</t>
        </is>
      </c>
      <c r="J1998" s="256" t="inlineStr">
        <is>
          <t>≤ 0.5 mg/kg</t>
        </is>
      </c>
      <c r="K1998" s="256" t="inlineStr">
        <is>
          <t>carried from the initial testing — not tested</t>
        </is>
      </c>
      <c r="L1998" s="256" t="inlineStr">
        <is>
          <t>—</t>
        </is>
      </c>
      <c r="M1998" s="256" t="inlineStr">
        <is>
          <t>—</t>
        </is>
      </c>
      <c r="N1998" s="256" t="inlineStr">
        <is>
          <t>—</t>
        </is>
      </c>
      <c r="O1998" s="256" t="inlineStr">
        <is>
          <t>—</t>
        </is>
      </c>
      <c r="P1998" s="256" t="inlineStr">
        <is>
          <t>carried from the initial testing (the batch's initial CoQ (number assigned on issue)) — not tested — no certificate covers it</t>
        </is>
      </c>
      <c r="Q1998" s="256" t="inlineStr"/>
      <c r="R1998" s="256" t="inlineStr"/>
    </row>
    <row r="1999">
      <c r="A1999" s="256" t="inlineStr">
        <is>
          <t>CoQ-PP_26-087</t>
        </is>
      </c>
      <c r="B1999" s="256" t="inlineStr">
        <is>
          <t>reissue — retest</t>
        </is>
      </c>
      <c r="C1999" s="256" t="inlineStr">
        <is>
          <t>P060332</t>
        </is>
      </c>
      <c r="D1999" s="256" t="inlineStr">
        <is>
          <t>— no P lot assigned —</t>
        </is>
      </c>
      <c r="E1999" s="256" t="inlineStr">
        <is>
          <t>Cash Cow</t>
        </is>
      </c>
      <c r="F1999" s="256" t="inlineStr">
        <is>
          <t>17.08.2026</t>
        </is>
      </c>
      <c r="G1999" s="256" t="inlineStr">
        <is>
          <t>11.2</t>
        </is>
      </c>
      <c r="H1999" s="256" t="inlineStr">
        <is>
          <t>Cadmium (Cd)</t>
        </is>
      </c>
      <c r="I1999" s="256" t="inlineStr">
        <is>
          <t>Ph. Eur. 2.4.27 (ICP-MS)</t>
        </is>
      </c>
      <c r="J1999" s="256" t="inlineStr">
        <is>
          <t>≤ 0.3 mg/kg</t>
        </is>
      </c>
      <c r="K1999" s="256" t="inlineStr">
        <is>
          <t>carried from the initial testing — not tested</t>
        </is>
      </c>
      <c r="L1999" s="256" t="inlineStr">
        <is>
          <t>—</t>
        </is>
      </c>
      <c r="M1999" s="256" t="inlineStr">
        <is>
          <t>—</t>
        </is>
      </c>
      <c r="N1999" s="256" t="inlineStr">
        <is>
          <t>—</t>
        </is>
      </c>
      <c r="O1999" s="256" t="inlineStr">
        <is>
          <t>—</t>
        </is>
      </c>
      <c r="P1999" s="256" t="inlineStr">
        <is>
          <t>carried from the initial testing (the batch's initial CoQ (number assigned on issue)) — not tested — no certificate covers it</t>
        </is>
      </c>
      <c r="Q1999" s="256" t="inlineStr"/>
      <c r="R1999" s="256" t="inlineStr"/>
    </row>
    <row r="2000">
      <c r="A2000" s="256" t="inlineStr">
        <is>
          <t>CoQ-PP_26-087</t>
        </is>
      </c>
      <c r="B2000" s="256" t="inlineStr">
        <is>
          <t>reissue — retest</t>
        </is>
      </c>
      <c r="C2000" s="256" t="inlineStr">
        <is>
          <t>P060332</t>
        </is>
      </c>
      <c r="D2000" s="256" t="inlineStr">
        <is>
          <t>— no P lot assigned —</t>
        </is>
      </c>
      <c r="E2000" s="256" t="inlineStr">
        <is>
          <t>Cash Cow</t>
        </is>
      </c>
      <c r="F2000" s="256" t="inlineStr">
        <is>
          <t>17.08.2026</t>
        </is>
      </c>
      <c r="G2000" s="256" t="inlineStr">
        <is>
          <t>11.3</t>
        </is>
      </c>
      <c r="H2000" s="256" t="inlineStr">
        <is>
          <t>Arsenic (As)</t>
        </is>
      </c>
      <c r="I2000" s="256" t="inlineStr">
        <is>
          <t>Ph. Eur. 2.4.27 (ICP-MS)</t>
        </is>
      </c>
      <c r="J2000" s="256" t="inlineStr">
        <is>
          <t>≤ 0.2 mg/kg</t>
        </is>
      </c>
      <c r="K2000" s="256" t="inlineStr">
        <is>
          <t>carried from the initial testing — not tested</t>
        </is>
      </c>
      <c r="L2000" s="256" t="inlineStr">
        <is>
          <t>—</t>
        </is>
      </c>
      <c r="M2000" s="256" t="inlineStr">
        <is>
          <t>—</t>
        </is>
      </c>
      <c r="N2000" s="256" t="inlineStr">
        <is>
          <t>—</t>
        </is>
      </c>
      <c r="O2000" s="256" t="inlineStr">
        <is>
          <t>—</t>
        </is>
      </c>
      <c r="P2000" s="256" t="inlineStr">
        <is>
          <t>carried from the initial testing (the batch's initial CoQ (number assigned on issue)) — not tested — no certificate covers it</t>
        </is>
      </c>
      <c r="Q2000" s="256" t="inlineStr"/>
      <c r="R2000" s="256" t="inlineStr"/>
    </row>
    <row r="2001">
      <c r="A2001" s="256" t="inlineStr">
        <is>
          <t>CoQ-PP_26-087</t>
        </is>
      </c>
      <c r="B2001" s="256" t="inlineStr">
        <is>
          <t>reissue — retest</t>
        </is>
      </c>
      <c r="C2001" s="256" t="inlineStr">
        <is>
          <t>P060332</t>
        </is>
      </c>
      <c r="D2001" s="256" t="inlineStr">
        <is>
          <t>— no P lot assigned —</t>
        </is>
      </c>
      <c r="E2001" s="256" t="inlineStr">
        <is>
          <t>Cash Cow</t>
        </is>
      </c>
      <c r="F2001" s="256" t="inlineStr">
        <is>
          <t>17.08.2026</t>
        </is>
      </c>
      <c r="G2001" s="256" t="inlineStr">
        <is>
          <t>11.4</t>
        </is>
      </c>
      <c r="H2001" s="256" t="inlineStr">
        <is>
          <t>Mercury (Hg)</t>
        </is>
      </c>
      <c r="I2001" s="256" t="inlineStr">
        <is>
          <t>Ph. Eur. 2.4.27 (ICP-MS)</t>
        </is>
      </c>
      <c r="J2001" s="256" t="inlineStr">
        <is>
          <t>≤ 0.1 mg/kg</t>
        </is>
      </c>
      <c r="K2001" s="256" t="inlineStr">
        <is>
          <t>carried from the initial testing — not tested</t>
        </is>
      </c>
      <c r="L2001" s="256" t="inlineStr">
        <is>
          <t>—</t>
        </is>
      </c>
      <c r="M2001" s="256" t="inlineStr">
        <is>
          <t>—</t>
        </is>
      </c>
      <c r="N2001" s="256" t="inlineStr">
        <is>
          <t>—</t>
        </is>
      </c>
      <c r="O2001" s="256" t="inlineStr">
        <is>
          <t>—</t>
        </is>
      </c>
      <c r="P2001" s="256" t="inlineStr">
        <is>
          <t>carried from the initial testing (the batch's initial CoQ (number assigned on issue)) — not tested — no certificate covers it</t>
        </is>
      </c>
      <c r="Q2001" s="256" t="inlineStr"/>
      <c r="R2001" s="256" t="inlineStr"/>
    </row>
    <row r="2002">
      <c r="A2002" s="256" t="inlineStr">
        <is>
          <t>CoQ-PP_26-087</t>
        </is>
      </c>
      <c r="B2002" s="256" t="inlineStr">
        <is>
          <t>reissue — retest</t>
        </is>
      </c>
      <c r="C2002" s="256" t="inlineStr">
        <is>
          <t>P060332</t>
        </is>
      </c>
      <c r="D2002" s="256" t="inlineStr">
        <is>
          <t>— no P lot assigned —</t>
        </is>
      </c>
      <c r="E2002" s="256" t="inlineStr">
        <is>
          <t>Cash Cow</t>
        </is>
      </c>
      <c r="F2002" s="256" t="inlineStr">
        <is>
          <t>17.08.2026</t>
        </is>
      </c>
      <c r="G2002" s="256" t="inlineStr">
        <is>
          <t>12</t>
        </is>
      </c>
      <c r="H2002" s="256" t="inlineStr">
        <is>
          <t>Pesticide Residues</t>
        </is>
      </c>
      <c r="I2002" s="256" t="inlineStr">
        <is>
          <t>Ph. Eur. 2.8.13 (LC-MS/MS) · CUMCS Equivalency</t>
        </is>
      </c>
      <c r="J2002" s="256" t="inlineStr">
        <is>
          <t>≤ LOQ as per Ph. Eur. 2.8.13 · ≤ LOQ as per CUMCS Equivalency</t>
        </is>
      </c>
      <c r="K2002" s="256" t="inlineStr">
        <is>
          <t>carried from the initial testing — not tested</t>
        </is>
      </c>
      <c r="L2002" s="256" t="inlineStr">
        <is>
          <t>—</t>
        </is>
      </c>
      <c r="M2002" s="256" t="inlineStr">
        <is>
          <t>—</t>
        </is>
      </c>
      <c r="N2002" s="256" t="inlineStr">
        <is>
          <t>—</t>
        </is>
      </c>
      <c r="O2002" s="256" t="inlineStr">
        <is>
          <t>—</t>
        </is>
      </c>
      <c r="P2002" s="256" t="inlineStr">
        <is>
          <t>carried from the initial testing (the batch's initial CoQ (number assigned on issue)) — not tested — no certificate covers it</t>
        </is>
      </c>
      <c r="Q2002" s="256" t="inlineStr"/>
      <c r="R2002" s="256" t="inlineStr"/>
    </row>
    <row r="2003">
      <c r="A2003" s="256" t="inlineStr">
        <is>
          <t>CoQ-PP_26-088</t>
        </is>
      </c>
      <c r="B2003" s="256" t="inlineStr">
        <is>
          <t>reissue — retest</t>
        </is>
      </c>
      <c r="C2003" s="256" t="inlineStr">
        <is>
          <t>CJ052501/01</t>
        </is>
      </c>
      <c r="D2003" s="256" t="inlineStr">
        <is>
          <t>P050162</t>
        </is>
      </c>
      <c r="E2003" s="256" t="inlineStr">
        <is>
          <t>Cap Junky</t>
        </is>
      </c>
      <c r="F2003" s="256" t="inlineStr">
        <is>
          <t>17.08.2026</t>
        </is>
      </c>
      <c r="G2003" s="256" t="inlineStr">
        <is>
          <t>1</t>
        </is>
      </c>
      <c r="H2003" s="256" t="inlineStr">
        <is>
          <t>Identification A, Appearance · Macroscopic</t>
        </is>
      </c>
      <c r="I2003" s="256" t="inlineStr">
        <is>
          <t>Ph. Eur. mon. 3028</t>
        </is>
      </c>
      <c r="J2003" s="256" t="inlineStr">
        <is>
          <t>Conforms to the monograph for Cannabis flos (07/2024:3028) in Ph. Eur. 11.0 | Согласно монографија за Cannabis flos (07/2024:3028) во Ph. Eur. 11.0</t>
        </is>
      </c>
      <c r="K2003" s="256" t="inlineStr">
        <is>
          <t>Conforms | Одговара</t>
        </is>
      </c>
      <c r="L2003" s="256" t="inlineStr">
        <is>
          <t>iCoA-PP_26-102</t>
        </is>
      </c>
      <c r="M2003" s="256" t="inlineStr">
        <is>
          <t>27.07.2026</t>
        </is>
      </c>
      <c r="N2003" s="256" t="inlineStr">
        <is>
          <t>Purely Plant GmbH (in-house)</t>
        </is>
      </c>
      <c r="O2003" s="256" t="inlineStr">
        <is>
          <t>—</t>
        </is>
      </c>
      <c r="P2003" s="256" t="inlineStr">
        <is>
          <t>covered</t>
        </is>
      </c>
      <c r="Q2003" s="256" t="inlineStr">
        <is>
          <t>Farmahem — Ident A + B + C with the Assay, at retest</t>
        </is>
      </c>
      <c r="R2003" s="256" t="inlineStr"/>
    </row>
    <row r="2004">
      <c r="A2004" s="256" t="inlineStr">
        <is>
          <t>CoQ-PP_26-088</t>
        </is>
      </c>
      <c r="B2004" s="256" t="inlineStr">
        <is>
          <t>reissue — retest</t>
        </is>
      </c>
      <c r="C2004" s="256" t="inlineStr">
        <is>
          <t>CJ052501/01</t>
        </is>
      </c>
      <c r="D2004" s="256" t="inlineStr">
        <is>
          <t>P050162</t>
        </is>
      </c>
      <c r="E2004" s="256" t="inlineStr">
        <is>
          <t>Cap Junky</t>
        </is>
      </c>
      <c r="F2004" s="256" t="inlineStr">
        <is>
          <t>17.08.2026</t>
        </is>
      </c>
      <c r="G2004" s="256" t="inlineStr">
        <is>
          <t>2</t>
        </is>
      </c>
      <c r="H2004" s="256" t="inlineStr">
        <is>
          <t>Identification B · Microscopic</t>
        </is>
      </c>
      <c r="I2004" s="256" t="inlineStr">
        <is>
          <t>Ph. Eur. 2.8.23 (microscopy)</t>
        </is>
      </c>
      <c r="J2004" s="256" t="inlineStr">
        <is>
          <t>Conforms to the monograph for Cannabis flos (07/2024:3028) in Ph. Eur. 11.0 | Согласно монографија за Cannabis flos (07/2024:3028) во Ph. Eur. 11.0</t>
        </is>
      </c>
      <c r="K2004" s="256" t="inlineStr">
        <is>
          <t>Conforms | Одговара</t>
        </is>
      </c>
      <c r="L2004" s="256" t="inlineStr">
        <is>
          <t>iCoA-PP_26-102</t>
        </is>
      </c>
      <c r="M2004" s="256" t="inlineStr">
        <is>
          <t>27.07.2026</t>
        </is>
      </c>
      <c r="N2004" s="256" t="inlineStr">
        <is>
          <t>Purely Plant GmbH (in-house)</t>
        </is>
      </c>
      <c r="O2004" s="256" t="inlineStr">
        <is>
          <t>—</t>
        </is>
      </c>
      <c r="P2004" s="256" t="inlineStr">
        <is>
          <t>covered</t>
        </is>
      </c>
      <c r="Q2004" s="256" t="inlineStr">
        <is>
          <t>Farmahem — Ident A + B + C with the Assay, at retest</t>
        </is>
      </c>
      <c r="R2004" s="256" t="inlineStr"/>
    </row>
    <row r="2005">
      <c r="A2005" s="256" t="inlineStr">
        <is>
          <t>CoQ-PP_26-088</t>
        </is>
      </c>
      <c r="B2005" s="256" t="inlineStr">
        <is>
          <t>reissue — retest</t>
        </is>
      </c>
      <c r="C2005" s="256" t="inlineStr">
        <is>
          <t>CJ052501/01</t>
        </is>
      </c>
      <c r="D2005" s="256" t="inlineStr">
        <is>
          <t>P050162</t>
        </is>
      </c>
      <c r="E2005" s="256" t="inlineStr">
        <is>
          <t>Cap Junky</t>
        </is>
      </c>
      <c r="F2005" s="256" t="inlineStr">
        <is>
          <t>17.08.2026</t>
        </is>
      </c>
      <c r="G2005" s="256" t="inlineStr">
        <is>
          <t>3</t>
        </is>
      </c>
      <c r="H2005" s="256" t="inlineStr">
        <is>
          <t>Identification C · HPLC/HPTLC</t>
        </is>
      </c>
      <c r="I2005" s="256" t="inlineStr">
        <is>
          <t>Ph. Eur. 2.2.29 (3028)</t>
        </is>
      </c>
      <c r="J2005" s="256" t="inlineStr">
        <is>
          <t>Conforms to the monograph for Cannabis flos (07/2024:3028) in Ph. Eur. 11.0 | Согласно монографија за Cannabis flos (07/2024:3028) во Ph. Eur. 11.0</t>
        </is>
      </c>
      <c r="K2005" s="256" t="inlineStr">
        <is>
          <t>Conforms | Одговара</t>
        </is>
      </c>
      <c r="L2005" s="256" t="inlineStr">
        <is>
          <t>197-3-К/26</t>
        </is>
      </c>
      <c r="M2005" s="256" t="inlineStr">
        <is>
          <t>07.08.2026</t>
        </is>
      </c>
      <c r="N2005" s="256" t="inlineStr">
        <is>
          <t>Farmahem</t>
        </is>
      </c>
      <c r="O2005" s="256" t="inlineStr">
        <is>
          <t>27.07.2026</t>
        </is>
      </c>
      <c r="P2005" s="256" t="inlineStr">
        <is>
          <t>covered</t>
        </is>
      </c>
      <c r="Q2005" s="256" t="inlineStr"/>
      <c r="R2005" s="256" t="inlineStr"/>
    </row>
    <row r="2006">
      <c r="A2006" s="256" t="inlineStr">
        <is>
          <t>CoQ-PP_26-088</t>
        </is>
      </c>
      <c r="B2006" s="256" t="inlineStr">
        <is>
          <t>reissue — retest</t>
        </is>
      </c>
      <c r="C2006" s="256" t="inlineStr">
        <is>
          <t>CJ052501/01</t>
        </is>
      </c>
      <c r="D2006" s="256" t="inlineStr">
        <is>
          <t>P050162</t>
        </is>
      </c>
      <c r="E2006" s="256" t="inlineStr">
        <is>
          <t>Cap Junky</t>
        </is>
      </c>
      <c r="F2006" s="256" t="inlineStr">
        <is>
          <t>17.08.2026</t>
        </is>
      </c>
      <c r="G2006" s="256" t="inlineStr">
        <is>
          <t>4</t>
        </is>
      </c>
      <c r="H2006" s="256" t="inlineStr">
        <is>
          <t>Assay — Total Δ⁹-THC</t>
        </is>
      </c>
      <c r="I2006" s="256" t="inlineStr">
        <is>
          <t>Ph. Eur. 2.2.29 (HPLC)</t>
        </is>
      </c>
      <c r="J2006" s="256" t="inlineStr">
        <is>
          <t>21.60 – 26.39 %  (grade II, nominal 24.00 ± 2.40)</t>
        </is>
      </c>
      <c r="K2006" s="256" t="inlineStr">
        <is>
          <t>24.05</t>
        </is>
      </c>
      <c r="L2006" s="256" t="inlineStr">
        <is>
          <t>197-3-К/26</t>
        </is>
      </c>
      <c r="M2006" s="256" t="inlineStr">
        <is>
          <t>07.08.2026</t>
        </is>
      </c>
      <c r="N2006" s="256" t="inlineStr">
        <is>
          <t>Farmahem</t>
        </is>
      </c>
      <c r="O2006" s="256" t="inlineStr">
        <is>
          <t>27.07.2026</t>
        </is>
      </c>
      <c r="P2006" s="256" t="inlineStr">
        <is>
          <t>covered</t>
        </is>
      </c>
      <c r="Q2006" s="256" t="inlineStr"/>
      <c r="R2006" s="256" t="inlineStr"/>
    </row>
    <row r="2007">
      <c r="A2007" s="256" t="inlineStr">
        <is>
          <t>CoQ-PP_26-088</t>
        </is>
      </c>
      <c r="B2007" s="256" t="inlineStr">
        <is>
          <t>reissue — retest</t>
        </is>
      </c>
      <c r="C2007" s="256" t="inlineStr">
        <is>
          <t>CJ052501/01</t>
        </is>
      </c>
      <c r="D2007" s="256" t="inlineStr">
        <is>
          <t>P050162</t>
        </is>
      </c>
      <c r="E2007" s="256" t="inlineStr">
        <is>
          <t>Cap Junky</t>
        </is>
      </c>
      <c r="F2007" s="256" t="inlineStr">
        <is>
          <t>17.08.2026</t>
        </is>
      </c>
      <c r="G2007" s="256" t="inlineStr">
        <is>
          <t>5</t>
        </is>
      </c>
      <c r="H2007" s="256" t="inlineStr">
        <is>
          <t>Assay — Total CBD</t>
        </is>
      </c>
      <c r="I2007" s="256" t="inlineStr">
        <is>
          <t>Ph. Eur. 2.2.29 (HPLC) · CBD + CBDA x 0.877</t>
        </is>
      </c>
      <c r="J2007" s="256" t="inlineStr">
        <is>
          <t>≤ 1.0%, w/w</t>
        </is>
      </c>
      <c r="K2007" s="256" t="inlineStr">
        <is>
          <t>&lt; LOQ</t>
        </is>
      </c>
      <c r="L2007" s="256" t="inlineStr">
        <is>
          <t>197-3-К/26</t>
        </is>
      </c>
      <c r="M2007" s="256" t="inlineStr">
        <is>
          <t>07.08.2026</t>
        </is>
      </c>
      <c r="N2007" s="256" t="inlineStr">
        <is>
          <t>Farmahem</t>
        </is>
      </c>
      <c r="O2007" s="256" t="inlineStr">
        <is>
          <t>27.07.2026</t>
        </is>
      </c>
      <c r="P2007" s="256" t="inlineStr">
        <is>
          <t>covered</t>
        </is>
      </c>
      <c r="Q2007" s="256" t="inlineStr"/>
      <c r="R2007" s="256" t="inlineStr"/>
    </row>
    <row r="2008">
      <c r="A2008" s="256" t="inlineStr">
        <is>
          <t>CoQ-PP_26-088</t>
        </is>
      </c>
      <c r="B2008" s="256" t="inlineStr">
        <is>
          <t>reissue — retest</t>
        </is>
      </c>
      <c r="C2008" s="256" t="inlineStr">
        <is>
          <t>CJ052501/01</t>
        </is>
      </c>
      <c r="D2008" s="256" t="inlineStr">
        <is>
          <t>P050162</t>
        </is>
      </c>
      <c r="E2008" s="256" t="inlineStr">
        <is>
          <t>Cap Junky</t>
        </is>
      </c>
      <c r="F2008" s="256" t="inlineStr">
        <is>
          <t>17.08.2026</t>
        </is>
      </c>
      <c r="G2008" s="256" t="inlineStr">
        <is>
          <t>6</t>
        </is>
      </c>
      <c r="H2008" s="256" t="inlineStr">
        <is>
          <t>Total CBN</t>
        </is>
      </c>
      <c r="I2008" s="256" t="inlineStr">
        <is>
          <t>Ph. Eur. 2.2.29 (HPLC) · CBN + CBNA x 0.876</t>
        </is>
      </c>
      <c r="J2008" s="256" t="inlineStr">
        <is>
          <t>≤ 1.0%, w/w</t>
        </is>
      </c>
      <c r="K2008" s="256" t="inlineStr">
        <is>
          <t>&lt; LOQ</t>
        </is>
      </c>
      <c r="L2008" s="256" t="inlineStr">
        <is>
          <t>197-3-К/26</t>
        </is>
      </c>
      <c r="M2008" s="256" t="inlineStr">
        <is>
          <t>07.08.2026</t>
        </is>
      </c>
      <c r="N2008" s="256" t="inlineStr">
        <is>
          <t>Farmahem</t>
        </is>
      </c>
      <c r="O2008" s="256" t="inlineStr">
        <is>
          <t>27.07.2026</t>
        </is>
      </c>
      <c r="P2008" s="256" t="inlineStr">
        <is>
          <t>covered</t>
        </is>
      </c>
      <c r="Q2008" s="256" t="inlineStr"/>
      <c r="R2008" s="256" t="inlineStr"/>
    </row>
    <row r="2009">
      <c r="A2009" s="256" t="inlineStr">
        <is>
          <t>CoQ-PP_26-088</t>
        </is>
      </c>
      <c r="B2009" s="256" t="inlineStr">
        <is>
          <t>reissue — retest</t>
        </is>
      </c>
      <c r="C2009" s="256" t="inlineStr">
        <is>
          <t>CJ052501/01</t>
        </is>
      </c>
      <c r="D2009" s="256" t="inlineStr">
        <is>
          <t>P050162</t>
        </is>
      </c>
      <c r="E2009" s="256" t="inlineStr">
        <is>
          <t>Cap Junky</t>
        </is>
      </c>
      <c r="F2009" s="256" t="inlineStr">
        <is>
          <t>17.08.2026</t>
        </is>
      </c>
      <c r="G2009" s="256" t="inlineStr">
        <is>
          <t>7</t>
        </is>
      </c>
      <c r="H2009" s="256" t="inlineStr">
        <is>
          <t>Foreign Matter</t>
        </is>
      </c>
      <c r="I2009" s="256" t="inlineStr">
        <is>
          <t>Ph. Eur. 2.8.2 · In-house · интерна</t>
        </is>
      </c>
      <c r="J2009" s="256" t="inlineStr">
        <is>
          <t>≤ 2.0% / 25–50 g · &lt; 1 cm leaves | листови, no seeds | без семки</t>
        </is>
      </c>
      <c r="K2009" s="256" t="inlineStr">
        <is>
          <t>Conforms | Одговара</t>
        </is>
      </c>
      <c r="L2009" s="256" t="inlineStr">
        <is>
          <t>iCoA-PP_26-102</t>
        </is>
      </c>
      <c r="M2009" s="256" t="inlineStr">
        <is>
          <t>27.07.2026</t>
        </is>
      </c>
      <c r="N2009" s="256" t="inlineStr">
        <is>
          <t>Purely Plant GmbH (in-house)</t>
        </is>
      </c>
      <c r="O2009" s="256" t="inlineStr">
        <is>
          <t>—</t>
        </is>
      </c>
      <c r="P2009" s="256" t="inlineStr">
        <is>
          <t>covered</t>
        </is>
      </c>
      <c r="Q2009" s="256" t="inlineStr">
        <is>
          <t>Purely Plant laboratory — iCoA covering Foreign matter</t>
        </is>
      </c>
      <c r="R2009" s="256" t="inlineStr"/>
    </row>
    <row r="2010">
      <c r="A2010" s="256" t="inlineStr">
        <is>
          <t>CoQ-PP_26-088</t>
        </is>
      </c>
      <c r="B2010" s="256" t="inlineStr">
        <is>
          <t>reissue — retest</t>
        </is>
      </c>
      <c r="C2010" s="256" t="inlineStr">
        <is>
          <t>CJ052501/01</t>
        </is>
      </c>
      <c r="D2010" s="256" t="inlineStr">
        <is>
          <t>P050162</t>
        </is>
      </c>
      <c r="E2010" s="256" t="inlineStr">
        <is>
          <t>Cap Junky</t>
        </is>
      </c>
      <c r="F2010" s="256" t="inlineStr">
        <is>
          <t>17.08.2026</t>
        </is>
      </c>
      <c r="G2010" s="256" t="inlineStr">
        <is>
          <t>8</t>
        </is>
      </c>
      <c r="H2010" s="256" t="inlineStr">
        <is>
          <t>Loss on Drying</t>
        </is>
      </c>
      <c r="I2010" s="256" t="inlineStr">
        <is>
          <t>DAB 2018 monograph Cannabis flos, 2.2.32 — loss on drying (CNP, before its Ph. Eur. 3028 accreditation)</t>
        </is>
      </c>
      <c r="J2010" s="256" t="inlineStr">
        <is>
          <t>≤ 12.0%</t>
        </is>
      </c>
      <c r="K2010" s="256" t="inlineStr">
        <is>
          <t>7.93</t>
        </is>
      </c>
      <c r="L2010" s="256" t="inlineStr">
        <is>
          <t>ППК25280</t>
        </is>
      </c>
      <c r="M2010" s="256" t="inlineStr">
        <is>
          <t>17.09.2025</t>
        </is>
      </c>
      <c r="N2010" s="256" t="inlineStr">
        <is>
          <t>UKIM Faculty of Pharmacy — Center for Natural Products</t>
        </is>
      </c>
      <c r="O2010" s="256" t="inlineStr">
        <is>
          <t>05.09.2025</t>
        </is>
      </c>
      <c r="P2010" s="256" t="inlineStr">
        <is>
          <t>carried from the initial testing (CoQ-PP-2025-0015) — covered</t>
        </is>
      </c>
      <c r="Q2010" s="256" t="inlineStr"/>
      <c r="R2010" s="256" t="inlineStr"/>
    </row>
    <row r="2011">
      <c r="A2011" s="256" t="inlineStr">
        <is>
          <t>CoQ-PP_26-088</t>
        </is>
      </c>
      <c r="B2011" s="256" t="inlineStr">
        <is>
          <t>reissue — retest</t>
        </is>
      </c>
      <c r="C2011" s="256" t="inlineStr">
        <is>
          <t>CJ052501/01</t>
        </is>
      </c>
      <c r="D2011" s="256" t="inlineStr">
        <is>
          <t>P050162</t>
        </is>
      </c>
      <c r="E2011" s="256" t="inlineStr">
        <is>
          <t>Cap Junky</t>
        </is>
      </c>
      <c r="F2011" s="256" t="inlineStr">
        <is>
          <t>17.08.2026</t>
        </is>
      </c>
      <c r="G2011" s="256" t="inlineStr">
        <is>
          <t>9.1</t>
        </is>
      </c>
      <c r="H2011" s="256" t="inlineStr">
        <is>
          <t>TAMC</t>
        </is>
      </c>
      <c r="I2011" s="256" t="inlineStr">
        <is>
          <t>Ph. Eur. 2.6.12 cat. C</t>
        </is>
      </c>
      <c r="J2011" s="256" t="inlineStr">
        <is>
          <t>≤ 10⁵ CFU/g</t>
        </is>
      </c>
      <c r="K2011" s="256" t="inlineStr">
        <is>
          <t>2.8 × 10⁴</t>
        </is>
      </c>
      <c r="L2011" s="256" t="inlineStr">
        <is>
          <t>949/1687/25</t>
        </is>
      </c>
      <c r="M2011" s="256" t="inlineStr">
        <is>
          <t>17.09.2025</t>
        </is>
      </c>
      <c r="N2011" s="256" t="inlineStr">
        <is>
          <t>IPH — Institute of Public Health</t>
        </is>
      </c>
      <c r="O2011" s="256" t="inlineStr">
        <is>
          <t>11.09.2025</t>
        </is>
      </c>
      <c r="P2011" s="256" t="inlineStr">
        <is>
          <t>carried from the initial testing (CoQ-PP-2025-0015) — covered</t>
        </is>
      </c>
      <c r="Q2011" s="256" t="inlineStr"/>
      <c r="R2011" s="256" t="inlineStr"/>
    </row>
    <row r="2012">
      <c r="A2012" s="256" t="inlineStr">
        <is>
          <t>CoQ-PP_26-088</t>
        </is>
      </c>
      <c r="B2012" s="256" t="inlineStr">
        <is>
          <t>reissue — retest</t>
        </is>
      </c>
      <c r="C2012" s="256" t="inlineStr">
        <is>
          <t>CJ052501/01</t>
        </is>
      </c>
      <c r="D2012" s="256" t="inlineStr">
        <is>
          <t>P050162</t>
        </is>
      </c>
      <c r="E2012" s="256" t="inlineStr">
        <is>
          <t>Cap Junky</t>
        </is>
      </c>
      <c r="F2012" s="256" t="inlineStr">
        <is>
          <t>17.08.2026</t>
        </is>
      </c>
      <c r="G2012" s="256" t="inlineStr">
        <is>
          <t>9.2</t>
        </is>
      </c>
      <c r="H2012" s="256" t="inlineStr">
        <is>
          <t>TYMC</t>
        </is>
      </c>
      <c r="I2012" s="256" t="inlineStr">
        <is>
          <t>Ph. Eur. 2.6.12 cat. C</t>
        </is>
      </c>
      <c r="J2012" s="256" t="inlineStr">
        <is>
          <t>≤ 10⁴ CFU/g</t>
        </is>
      </c>
      <c r="K2012" s="256" t="inlineStr">
        <is>
          <t>1.7 × 10⁴</t>
        </is>
      </c>
      <c r="L2012" s="256" t="inlineStr">
        <is>
          <t>949/1687/25</t>
        </is>
      </c>
      <c r="M2012" s="256" t="inlineStr">
        <is>
          <t>17.09.2025</t>
        </is>
      </c>
      <c r="N2012" s="256" t="inlineStr">
        <is>
          <t>IPH — Institute of Public Health</t>
        </is>
      </c>
      <c r="O2012" s="256" t="inlineStr">
        <is>
          <t>11.09.2025</t>
        </is>
      </c>
      <c r="P2012" s="256" t="inlineStr">
        <is>
          <t>carried from the initial testing (CoQ-PP-2025-0015) — UNDETERMINED — pending the QCSP 001 reading</t>
        </is>
      </c>
      <c r="Q2012" s="256" t="inlineStr"/>
      <c r="R2012" s="256" t="inlineStr"/>
    </row>
    <row r="2013">
      <c r="A2013" s="256" t="inlineStr">
        <is>
          <t>CoQ-PP_26-088</t>
        </is>
      </c>
      <c r="B2013" s="256" t="inlineStr">
        <is>
          <t>reissue — retest</t>
        </is>
      </c>
      <c r="C2013" s="256" t="inlineStr">
        <is>
          <t>CJ052501/01</t>
        </is>
      </c>
      <c r="D2013" s="256" t="inlineStr">
        <is>
          <t>P050162</t>
        </is>
      </c>
      <c r="E2013" s="256" t="inlineStr">
        <is>
          <t>Cap Junky</t>
        </is>
      </c>
      <c r="F2013" s="256" t="inlineStr">
        <is>
          <t>17.08.2026</t>
        </is>
      </c>
      <c r="G2013" s="256" t="inlineStr">
        <is>
          <t>9.3</t>
        </is>
      </c>
      <c r="H2013" s="256" t="inlineStr">
        <is>
          <t>Bile-tolerant gram-neg.</t>
        </is>
      </c>
      <c r="I2013" s="256" t="inlineStr">
        <is>
          <t>Ph. Eur. 2.6.31 cat. C</t>
        </is>
      </c>
      <c r="J2013" s="256" t="inlineStr">
        <is>
          <t>≤ 10⁴ CFU/g</t>
        </is>
      </c>
      <c r="K2013" s="256" t="inlineStr">
        <is>
          <t>&lt; 10³ and &gt; 10²</t>
        </is>
      </c>
      <c r="L2013" s="256" t="inlineStr">
        <is>
          <t>949/1687/25</t>
        </is>
      </c>
      <c r="M2013" s="256" t="inlineStr">
        <is>
          <t>17.09.2025</t>
        </is>
      </c>
      <c r="N2013" s="256" t="inlineStr">
        <is>
          <t>IPH — Institute of Public Health</t>
        </is>
      </c>
      <c r="O2013" s="256" t="inlineStr">
        <is>
          <t>11.09.2025</t>
        </is>
      </c>
      <c r="P2013" s="256" t="inlineStr">
        <is>
          <t>carried from the initial testing (CoQ-PP-2025-0015) — covered</t>
        </is>
      </c>
      <c r="Q2013" s="256" t="inlineStr"/>
      <c r="R2013" s="256" t="inlineStr"/>
    </row>
    <row r="2014">
      <c r="A2014" s="256" t="inlineStr">
        <is>
          <t>CoQ-PP_26-088</t>
        </is>
      </c>
      <c r="B2014" s="256" t="inlineStr">
        <is>
          <t>reissue — retest</t>
        </is>
      </c>
      <c r="C2014" s="256" t="inlineStr">
        <is>
          <t>CJ052501/01</t>
        </is>
      </c>
      <c r="D2014" s="256" t="inlineStr">
        <is>
          <t>P050162</t>
        </is>
      </c>
      <c r="E2014" s="256" t="inlineStr">
        <is>
          <t>Cap Junky</t>
        </is>
      </c>
      <c r="F2014" s="256" t="inlineStr">
        <is>
          <t>17.08.2026</t>
        </is>
      </c>
      <c r="G2014" s="256" t="inlineStr">
        <is>
          <t>9.4</t>
        </is>
      </c>
      <c r="H2014" s="256" t="inlineStr">
        <is>
          <t>Salmonella</t>
        </is>
      </c>
      <c r="I2014" s="256" t="inlineStr">
        <is>
          <t>Ph. Eur. 2.6.31 cat. C</t>
        </is>
      </c>
      <c r="J2014" s="256" t="inlineStr">
        <is>
          <t>Absence | Отсуство / 25 g</t>
        </is>
      </c>
      <c r="K2014" s="256" t="inlineStr">
        <is>
          <t>Absent | Отсутна</t>
        </is>
      </c>
      <c r="L2014" s="256" t="inlineStr">
        <is>
          <t>949/1687/25</t>
        </is>
      </c>
      <c r="M2014" s="256" t="inlineStr">
        <is>
          <t>17.09.2025</t>
        </is>
      </c>
      <c r="N2014" s="256" t="inlineStr">
        <is>
          <t>IPH — Institute of Public Health</t>
        </is>
      </c>
      <c r="O2014" s="256" t="inlineStr">
        <is>
          <t>11.09.2025</t>
        </is>
      </c>
      <c r="P2014" s="256" t="inlineStr">
        <is>
          <t>carried from the initial testing (CoQ-PP-2025-0015) — covered</t>
        </is>
      </c>
      <c r="Q2014" s="256" t="inlineStr"/>
      <c r="R2014" s="256" t="inlineStr"/>
    </row>
    <row r="2015">
      <c r="A2015" s="256" t="inlineStr">
        <is>
          <t>CoQ-PP_26-088</t>
        </is>
      </c>
      <c r="B2015" s="256" t="inlineStr">
        <is>
          <t>reissue — retest</t>
        </is>
      </c>
      <c r="C2015" s="256" t="inlineStr">
        <is>
          <t>CJ052501/01</t>
        </is>
      </c>
      <c r="D2015" s="256" t="inlineStr">
        <is>
          <t>P050162</t>
        </is>
      </c>
      <c r="E2015" s="256" t="inlineStr">
        <is>
          <t>Cap Junky</t>
        </is>
      </c>
      <c r="F2015" s="256" t="inlineStr">
        <is>
          <t>17.08.2026</t>
        </is>
      </c>
      <c r="G2015" s="256" t="inlineStr">
        <is>
          <t>9.5</t>
        </is>
      </c>
      <c r="H2015" s="256" t="inlineStr">
        <is>
          <t>Escherichia coli</t>
        </is>
      </c>
      <c r="I2015" s="256" t="inlineStr">
        <is>
          <t>Ph. Eur. 2.6.13 cat. C</t>
        </is>
      </c>
      <c r="J2015" s="256" t="inlineStr">
        <is>
          <t>Absence | Отсуство / 1 g</t>
        </is>
      </c>
      <c r="K2015" s="256" t="inlineStr">
        <is>
          <t>Absent | Отсутна</t>
        </is>
      </c>
      <c r="L2015" s="256" t="inlineStr">
        <is>
          <t>949/1687/25</t>
        </is>
      </c>
      <c r="M2015" s="256" t="inlineStr">
        <is>
          <t>17.09.2025</t>
        </is>
      </c>
      <c r="N2015" s="256" t="inlineStr">
        <is>
          <t>IPH — Institute of Public Health</t>
        </is>
      </c>
      <c r="O2015" s="256" t="inlineStr">
        <is>
          <t>11.09.2025</t>
        </is>
      </c>
      <c r="P2015" s="256" t="inlineStr">
        <is>
          <t>carried from the initial testing (CoQ-PP-2025-0015) — covered</t>
        </is>
      </c>
      <c r="Q2015" s="256" t="inlineStr"/>
      <c r="R2015" s="256" t="inlineStr"/>
    </row>
    <row r="2016">
      <c r="A2016" s="256" t="inlineStr">
        <is>
          <t>CoQ-PP_26-088</t>
        </is>
      </c>
      <c r="B2016" s="256" t="inlineStr">
        <is>
          <t>reissue — retest</t>
        </is>
      </c>
      <c r="C2016" s="256" t="inlineStr">
        <is>
          <t>CJ052501/01</t>
        </is>
      </c>
      <c r="D2016" s="256" t="inlineStr">
        <is>
          <t>P050162</t>
        </is>
      </c>
      <c r="E2016" s="256" t="inlineStr">
        <is>
          <t>Cap Junky</t>
        </is>
      </c>
      <c r="F2016" s="256" t="inlineStr">
        <is>
          <t>17.08.2026</t>
        </is>
      </c>
      <c r="G2016" s="256" t="inlineStr">
        <is>
          <t>9.6</t>
        </is>
      </c>
      <c r="H2016" s="256" t="inlineStr">
        <is>
          <t>Pseudomonas aeruginosa</t>
        </is>
      </c>
      <c r="I2016" s="256" t="inlineStr">
        <is>
          <t>Ph. Eur. 2.6.13 cat. C</t>
        </is>
      </c>
      <c r="J2016" s="256" t="inlineStr">
        <is>
          <t>Absence | Отсуство / 1 g</t>
        </is>
      </c>
      <c r="K2016" s="260" t="inlineStr">
        <is>
          <t>upon request — not required for release</t>
        </is>
      </c>
      <c r="L2016" s="256" t="inlineStr">
        <is>
          <t>—</t>
        </is>
      </c>
      <c r="M2016" s="256" t="inlineStr">
        <is>
          <t>—</t>
        </is>
      </c>
      <c r="N2016" s="256" t="inlineStr">
        <is>
          <t>—</t>
        </is>
      </c>
      <c r="O2016" s="256" t="inlineStr">
        <is>
          <t>—</t>
        </is>
      </c>
      <c r="P2016" s="256" t="inlineStr">
        <is>
          <t>upon request — not required for release</t>
        </is>
      </c>
      <c r="Q2016" s="256" t="inlineStr"/>
      <c r="R2016" s="256" t="inlineStr"/>
    </row>
    <row r="2017">
      <c r="A2017" s="256" t="inlineStr">
        <is>
          <t>CoQ-PP_26-088</t>
        </is>
      </c>
      <c r="B2017" s="256" t="inlineStr">
        <is>
          <t>reissue — retest</t>
        </is>
      </c>
      <c r="C2017" s="256" t="inlineStr">
        <is>
          <t>CJ052501/01</t>
        </is>
      </c>
      <c r="D2017" s="256" t="inlineStr">
        <is>
          <t>P050162</t>
        </is>
      </c>
      <c r="E2017" s="256" t="inlineStr">
        <is>
          <t>Cap Junky</t>
        </is>
      </c>
      <c r="F2017" s="256" t="inlineStr">
        <is>
          <t>17.08.2026</t>
        </is>
      </c>
      <c r="G2017" s="256" t="inlineStr">
        <is>
          <t>9.7</t>
        </is>
      </c>
      <c r="H2017" s="256" t="inlineStr">
        <is>
          <t>Staphylococcus aureus</t>
        </is>
      </c>
      <c r="I2017" s="256" t="inlineStr">
        <is>
          <t>Ph. Eur. 2.6.13 cat. C</t>
        </is>
      </c>
      <c r="J2017" s="256" t="inlineStr">
        <is>
          <t>Absence | Отсуство / 1 g</t>
        </is>
      </c>
      <c r="K2017" s="260" t="inlineStr">
        <is>
          <t>upon request — not required for release</t>
        </is>
      </c>
      <c r="L2017" s="256" t="inlineStr">
        <is>
          <t>—</t>
        </is>
      </c>
      <c r="M2017" s="256" t="inlineStr">
        <is>
          <t>—</t>
        </is>
      </c>
      <c r="N2017" s="256" t="inlineStr">
        <is>
          <t>—</t>
        </is>
      </c>
      <c r="O2017" s="256" t="inlineStr">
        <is>
          <t>—</t>
        </is>
      </c>
      <c r="P2017" s="256" t="inlineStr">
        <is>
          <t>upon request — not required for release</t>
        </is>
      </c>
      <c r="Q2017" s="256" t="inlineStr"/>
      <c r="R2017" s="256" t="inlineStr"/>
    </row>
    <row r="2018">
      <c r="A2018" s="256" t="inlineStr">
        <is>
          <t>CoQ-PP_26-088</t>
        </is>
      </c>
      <c r="B2018" s="256" t="inlineStr">
        <is>
          <t>reissue — retest</t>
        </is>
      </c>
      <c r="C2018" s="256" t="inlineStr">
        <is>
          <t>CJ052501/01</t>
        </is>
      </c>
      <c r="D2018" s="256" t="inlineStr">
        <is>
          <t>P050162</t>
        </is>
      </c>
      <c r="E2018" s="256" t="inlineStr">
        <is>
          <t>Cap Junky</t>
        </is>
      </c>
      <c r="F2018" s="256" t="inlineStr">
        <is>
          <t>17.08.2026</t>
        </is>
      </c>
      <c r="G2018" s="256" t="inlineStr">
        <is>
          <t>10.1</t>
        </is>
      </c>
      <c r="H2018" s="256" t="inlineStr">
        <is>
          <t>Aflatoxin B₁</t>
        </is>
      </c>
      <c r="I2018" s="256" t="inlineStr">
        <is>
          <t>Ph. Eur. 2.8.18 (HPLC-FLD)</t>
        </is>
      </c>
      <c r="J2018" s="256" t="inlineStr">
        <is>
          <t>≤ 2 µg/kg</t>
        </is>
      </c>
      <c r="K2018" s="256" t="inlineStr">
        <is>
          <t>ND</t>
        </is>
      </c>
      <c r="L2018" s="256" t="inlineStr">
        <is>
          <t>197-3-М/26</t>
        </is>
      </c>
      <c r="M2018" s="256" t="inlineStr">
        <is>
          <t>10.08.2026</t>
        </is>
      </c>
      <c r="N2018" s="256" t="inlineStr">
        <is>
          <t>Farmahem</t>
        </is>
      </c>
      <c r="O2018" s="256" t="inlineStr">
        <is>
          <t>29.07.2026</t>
        </is>
      </c>
      <c r="P2018" s="256" t="inlineStr">
        <is>
          <t>covered</t>
        </is>
      </c>
      <c r="Q2018" s="256" t="inlineStr"/>
      <c r="R2018" s="256" t="inlineStr"/>
    </row>
    <row r="2019">
      <c r="A2019" s="256" t="inlineStr">
        <is>
          <t>CoQ-PP_26-088</t>
        </is>
      </c>
      <c r="B2019" s="256" t="inlineStr">
        <is>
          <t>reissue — retest</t>
        </is>
      </c>
      <c r="C2019" s="256" t="inlineStr">
        <is>
          <t>CJ052501/01</t>
        </is>
      </c>
      <c r="D2019" s="256" t="inlineStr">
        <is>
          <t>P050162</t>
        </is>
      </c>
      <c r="E2019" s="256" t="inlineStr">
        <is>
          <t>Cap Junky</t>
        </is>
      </c>
      <c r="F2019" s="256" t="inlineStr">
        <is>
          <t>17.08.2026</t>
        </is>
      </c>
      <c r="G2019" s="256" t="inlineStr">
        <is>
          <t>10.2</t>
        </is>
      </c>
      <c r="H2019" s="256" t="inlineStr">
        <is>
          <t>Aflatoxins ∑</t>
        </is>
      </c>
      <c r="I2019" s="256" t="inlineStr">
        <is>
          <t>Ph. Eur. 2.8.18 (HPLC-FLD)</t>
        </is>
      </c>
      <c r="J2019" s="256" t="inlineStr">
        <is>
          <t>≤ 4 µg/kg</t>
        </is>
      </c>
      <c r="K2019" s="256" t="inlineStr">
        <is>
          <t>ND</t>
        </is>
      </c>
      <c r="L2019" s="256" t="inlineStr">
        <is>
          <t>197-3-М/26</t>
        </is>
      </c>
      <c r="M2019" s="256" t="inlineStr">
        <is>
          <t>10.08.2026</t>
        </is>
      </c>
      <c r="N2019" s="256" t="inlineStr">
        <is>
          <t>Farmahem</t>
        </is>
      </c>
      <c r="O2019" s="256" t="inlineStr">
        <is>
          <t>29.07.2026</t>
        </is>
      </c>
      <c r="P2019" s="256" t="inlineStr">
        <is>
          <t>covered</t>
        </is>
      </c>
      <c r="Q2019" s="256" t="inlineStr"/>
      <c r="R2019" s="256" t="inlineStr"/>
    </row>
    <row r="2020">
      <c r="A2020" s="256" t="inlineStr">
        <is>
          <t>CoQ-PP_26-088</t>
        </is>
      </c>
      <c r="B2020" s="256" t="inlineStr">
        <is>
          <t>reissue — retest</t>
        </is>
      </c>
      <c r="C2020" s="256" t="inlineStr">
        <is>
          <t>CJ052501/01</t>
        </is>
      </c>
      <c r="D2020" s="256" t="inlineStr">
        <is>
          <t>P050162</t>
        </is>
      </c>
      <c r="E2020" s="256" t="inlineStr">
        <is>
          <t>Cap Junky</t>
        </is>
      </c>
      <c r="F2020" s="256" t="inlineStr">
        <is>
          <t>17.08.2026</t>
        </is>
      </c>
      <c r="G2020" s="256" t="inlineStr">
        <is>
          <t>10.3</t>
        </is>
      </c>
      <c r="H2020" s="256" t="inlineStr">
        <is>
          <t>Ochratoxin A</t>
        </is>
      </c>
      <c r="I2020" s="256" t="inlineStr">
        <is>
          <t>Ph. Eur. 2.8.22 (HPLC-FLD)</t>
        </is>
      </c>
      <c r="J2020" s="256" t="inlineStr">
        <is>
          <t>≤ 20 µg/kg</t>
        </is>
      </c>
      <c r="K2020" s="256" t="inlineStr">
        <is>
          <t>ND</t>
        </is>
      </c>
      <c r="L2020" s="256" t="inlineStr">
        <is>
          <t>197-3-М/26</t>
        </is>
      </c>
      <c r="M2020" s="256" t="inlineStr">
        <is>
          <t>10.08.2026</t>
        </is>
      </c>
      <c r="N2020" s="256" t="inlineStr">
        <is>
          <t>Farmahem</t>
        </is>
      </c>
      <c r="O2020" s="256" t="inlineStr">
        <is>
          <t>29.07.2026</t>
        </is>
      </c>
      <c r="P2020" s="256" t="inlineStr">
        <is>
          <t>covered</t>
        </is>
      </c>
      <c r="Q2020" s="256" t="inlineStr"/>
      <c r="R2020" s="256" t="inlineStr"/>
    </row>
    <row r="2021">
      <c r="A2021" s="256" t="inlineStr">
        <is>
          <t>CoQ-PP_26-088</t>
        </is>
      </c>
      <c r="B2021" s="256" t="inlineStr">
        <is>
          <t>reissue — retest</t>
        </is>
      </c>
      <c r="C2021" s="256" t="inlineStr">
        <is>
          <t>CJ052501/01</t>
        </is>
      </c>
      <c r="D2021" s="256" t="inlineStr">
        <is>
          <t>P050162</t>
        </is>
      </c>
      <c r="E2021" s="256" t="inlineStr">
        <is>
          <t>Cap Junky</t>
        </is>
      </c>
      <c r="F2021" s="256" t="inlineStr">
        <is>
          <t>17.08.2026</t>
        </is>
      </c>
      <c r="G2021" s="256" t="inlineStr">
        <is>
          <t>11.1</t>
        </is>
      </c>
      <c r="H2021" s="256" t="inlineStr">
        <is>
          <t>Lead (Pb)</t>
        </is>
      </c>
      <c r="I2021" s="256" t="inlineStr">
        <is>
          <t>Ph. Eur. 2.4.27 (ICP-MS)</t>
        </is>
      </c>
      <c r="J2021" s="256" t="inlineStr">
        <is>
          <t>≤ 0.5 mg/kg</t>
        </is>
      </c>
      <c r="K2021" s="256" t="inlineStr">
        <is>
          <t>0.085</t>
        </is>
      </c>
      <c r="L2021" s="256" t="inlineStr">
        <is>
          <t>4350/2025</t>
        </is>
      </c>
      <c r="M2021" s="256" t="inlineStr">
        <is>
          <t>15.09.2025</t>
        </is>
      </c>
      <c r="N2021" s="256" t="inlineStr">
        <is>
          <t>IPH — Institute of Public Health</t>
        </is>
      </c>
      <c r="O2021" s="256" t="inlineStr">
        <is>
          <t>05.09.2025</t>
        </is>
      </c>
      <c r="P2021" s="256" t="inlineStr">
        <is>
          <t>carried from the initial testing (CoQ-PP-2025-0015) — covered</t>
        </is>
      </c>
      <c r="Q2021" s="256" t="inlineStr"/>
      <c r="R2021" s="256" t="inlineStr"/>
    </row>
    <row r="2022">
      <c r="A2022" s="256" t="inlineStr">
        <is>
          <t>CoQ-PP_26-088</t>
        </is>
      </c>
      <c r="B2022" s="256" t="inlineStr">
        <is>
          <t>reissue — retest</t>
        </is>
      </c>
      <c r="C2022" s="256" t="inlineStr">
        <is>
          <t>CJ052501/01</t>
        </is>
      </c>
      <c r="D2022" s="256" t="inlineStr">
        <is>
          <t>P050162</t>
        </is>
      </c>
      <c r="E2022" s="256" t="inlineStr">
        <is>
          <t>Cap Junky</t>
        </is>
      </c>
      <c r="F2022" s="256" t="inlineStr">
        <is>
          <t>17.08.2026</t>
        </is>
      </c>
      <c r="G2022" s="256" t="inlineStr">
        <is>
          <t>11.2</t>
        </is>
      </c>
      <c r="H2022" s="256" t="inlineStr">
        <is>
          <t>Cadmium (Cd)</t>
        </is>
      </c>
      <c r="I2022" s="256" t="inlineStr">
        <is>
          <t>Ph. Eur. 2.4.27 (ICP-MS)</t>
        </is>
      </c>
      <c r="J2022" s="256" t="inlineStr">
        <is>
          <t>≤ 0.3 mg/kg</t>
        </is>
      </c>
      <c r="K2022" s="256" t="inlineStr">
        <is>
          <t>ND</t>
        </is>
      </c>
      <c r="L2022" s="256" t="inlineStr">
        <is>
          <t>4350/2025</t>
        </is>
      </c>
      <c r="M2022" s="256" t="inlineStr">
        <is>
          <t>15.09.2025</t>
        </is>
      </c>
      <c r="N2022" s="256" t="inlineStr">
        <is>
          <t>IPH — Institute of Public Health</t>
        </is>
      </c>
      <c r="O2022" s="256" t="inlineStr">
        <is>
          <t>05.09.2025</t>
        </is>
      </c>
      <c r="P2022" s="256" t="inlineStr">
        <is>
          <t>carried from the initial testing (CoQ-PP-2025-0015) — covered</t>
        </is>
      </c>
      <c r="Q2022" s="256" t="inlineStr"/>
      <c r="R2022" s="256" t="inlineStr"/>
    </row>
    <row r="2023">
      <c r="A2023" s="256" t="inlineStr">
        <is>
          <t>CoQ-PP_26-088</t>
        </is>
      </c>
      <c r="B2023" s="256" t="inlineStr">
        <is>
          <t>reissue — retest</t>
        </is>
      </c>
      <c r="C2023" s="256" t="inlineStr">
        <is>
          <t>CJ052501/01</t>
        </is>
      </c>
      <c r="D2023" s="256" t="inlineStr">
        <is>
          <t>P050162</t>
        </is>
      </c>
      <c r="E2023" s="256" t="inlineStr">
        <is>
          <t>Cap Junky</t>
        </is>
      </c>
      <c r="F2023" s="256" t="inlineStr">
        <is>
          <t>17.08.2026</t>
        </is>
      </c>
      <c r="G2023" s="256" t="inlineStr">
        <is>
          <t>11.3</t>
        </is>
      </c>
      <c r="H2023" s="256" t="inlineStr">
        <is>
          <t>Arsenic (As)</t>
        </is>
      </c>
      <c r="I2023" s="256" t="inlineStr">
        <is>
          <t>Ph. Eur. 2.4.27 (ICP-MS)</t>
        </is>
      </c>
      <c r="J2023" s="256" t="inlineStr">
        <is>
          <t>≤ 0.2 mg/kg</t>
        </is>
      </c>
      <c r="K2023" s="256" t="inlineStr">
        <is>
          <t>ND</t>
        </is>
      </c>
      <c r="L2023" s="256" t="inlineStr">
        <is>
          <t>4350/2025</t>
        </is>
      </c>
      <c r="M2023" s="256" t="inlineStr">
        <is>
          <t>15.09.2025</t>
        </is>
      </c>
      <c r="N2023" s="256" t="inlineStr">
        <is>
          <t>IPH — Institute of Public Health</t>
        </is>
      </c>
      <c r="O2023" s="256" t="inlineStr">
        <is>
          <t>05.09.2025</t>
        </is>
      </c>
      <c r="P2023" s="256" t="inlineStr">
        <is>
          <t>carried from the initial testing (CoQ-PP-2025-0015) — covered</t>
        </is>
      </c>
      <c r="Q2023" s="256" t="inlineStr"/>
      <c r="R2023" s="256" t="inlineStr"/>
    </row>
    <row r="2024">
      <c r="A2024" s="256" t="inlineStr">
        <is>
          <t>CoQ-PP_26-088</t>
        </is>
      </c>
      <c r="B2024" s="256" t="inlineStr">
        <is>
          <t>reissue — retest</t>
        </is>
      </c>
      <c r="C2024" s="256" t="inlineStr">
        <is>
          <t>CJ052501/01</t>
        </is>
      </c>
      <c r="D2024" s="256" t="inlineStr">
        <is>
          <t>P050162</t>
        </is>
      </c>
      <c r="E2024" s="256" t="inlineStr">
        <is>
          <t>Cap Junky</t>
        </is>
      </c>
      <c r="F2024" s="256" t="inlineStr">
        <is>
          <t>17.08.2026</t>
        </is>
      </c>
      <c r="G2024" s="256" t="inlineStr">
        <is>
          <t>11.4</t>
        </is>
      </c>
      <c r="H2024" s="256" t="inlineStr">
        <is>
          <t>Mercury (Hg)</t>
        </is>
      </c>
      <c r="I2024" s="256" t="inlineStr">
        <is>
          <t>Ph. Eur. 2.4.27 (ICP-MS)</t>
        </is>
      </c>
      <c r="J2024" s="256" t="inlineStr">
        <is>
          <t>≤ 0.1 mg/kg</t>
        </is>
      </c>
      <c r="K2024" s="256" t="inlineStr">
        <is>
          <t>ND</t>
        </is>
      </c>
      <c r="L2024" s="256" t="inlineStr">
        <is>
          <t>4350/2025</t>
        </is>
      </c>
      <c r="M2024" s="256" t="inlineStr">
        <is>
          <t>15.09.2025</t>
        </is>
      </c>
      <c r="N2024" s="256" t="inlineStr">
        <is>
          <t>IPH — Institute of Public Health</t>
        </is>
      </c>
      <c r="O2024" s="256" t="inlineStr">
        <is>
          <t>05.09.2025</t>
        </is>
      </c>
      <c r="P2024" s="256" t="inlineStr">
        <is>
          <t>carried from the initial testing (CoQ-PP-2025-0015) — covered</t>
        </is>
      </c>
      <c r="Q2024" s="256" t="inlineStr"/>
      <c r="R2024" s="256" t="inlineStr"/>
    </row>
    <row r="2025">
      <c r="A2025" s="256" t="inlineStr">
        <is>
          <t>CoQ-PP_26-088</t>
        </is>
      </c>
      <c r="B2025" s="256" t="inlineStr">
        <is>
          <t>reissue — retest</t>
        </is>
      </c>
      <c r="C2025" s="256" t="inlineStr">
        <is>
          <t>CJ052501/01</t>
        </is>
      </c>
      <c r="D2025" s="256" t="inlineStr">
        <is>
          <t>P050162</t>
        </is>
      </c>
      <c r="E2025" s="256" t="inlineStr">
        <is>
          <t>Cap Junky</t>
        </is>
      </c>
      <c r="F2025" s="256" t="inlineStr">
        <is>
          <t>17.08.2026</t>
        </is>
      </c>
      <c r="G2025" s="256" t="inlineStr">
        <is>
          <t>12</t>
        </is>
      </c>
      <c r="H2025" s="256" t="inlineStr">
        <is>
          <t>Pesticide Residues</t>
        </is>
      </c>
      <c r="I2025" s="256" t="inlineStr">
        <is>
          <t>Ph. Eur. 2.8.13 (LC-MS/MS) · CUMCS Equivalency</t>
        </is>
      </c>
      <c r="J2025" s="256" t="inlineStr">
        <is>
          <t>≤ LOQ as per Ph. Eur. 2.8.13 · ≤ LOQ as per CUMCS Equivalency</t>
        </is>
      </c>
      <c r="K2025" s="256" t="inlineStr">
        <is>
          <t>ND</t>
        </is>
      </c>
      <c r="L2025" s="256" t="inlineStr">
        <is>
          <t>4350/2025</t>
        </is>
      </c>
      <c r="M2025" s="256" t="inlineStr">
        <is>
          <t>15.09.2025</t>
        </is>
      </c>
      <c r="N2025" s="256" t="inlineStr">
        <is>
          <t>IPH — Institute of Public Health</t>
        </is>
      </c>
      <c r="O2025" s="256" t="inlineStr">
        <is>
          <t>05.09.2025</t>
        </is>
      </c>
      <c r="P2025" s="256" t="inlineStr">
        <is>
          <t>carried from the initial testing (CoQ-PP-2025-0015) — covered</t>
        </is>
      </c>
      <c r="Q2025" s="256" t="inlineStr"/>
      <c r="R2025" s="256" t="inlineStr"/>
    </row>
    <row r="2026">
      <c r="A2026" s="256" t="inlineStr">
        <is>
          <t>CoQ-PP_26-089</t>
        </is>
      </c>
      <c r="B2026" s="256" t="inlineStr">
        <is>
          <t>reissue — retest</t>
        </is>
      </c>
      <c r="C2026" s="256" t="inlineStr">
        <is>
          <t>CJ082501/2</t>
        </is>
      </c>
      <c r="D2026" s="256" t="inlineStr">
        <is>
          <t>P060032</t>
        </is>
      </c>
      <c r="E2026" s="256" t="inlineStr">
        <is>
          <t>Cap Junky</t>
        </is>
      </c>
      <c r="F2026" s="256" t="inlineStr">
        <is>
          <t>17.08.2026</t>
        </is>
      </c>
      <c r="G2026" s="256" t="inlineStr">
        <is>
          <t>1</t>
        </is>
      </c>
      <c r="H2026" s="256" t="inlineStr">
        <is>
          <t>Identification A, Appearance · Macroscopic</t>
        </is>
      </c>
      <c r="I2026" s="256" t="inlineStr">
        <is>
          <t>Ph. Eur. mon. 3028</t>
        </is>
      </c>
      <c r="J2026" s="256" t="inlineStr">
        <is>
          <t>Conforms to the monograph for Cannabis flos (07/2024:3028) in Ph. Eur. 11.0 | Согласно монографија за Cannabis flos (07/2024:3028) во Ph. Eur. 11.0</t>
        </is>
      </c>
      <c r="K2026" s="256" t="inlineStr">
        <is>
          <t>Conforms | Одговара</t>
        </is>
      </c>
      <c r="L2026" s="256" t="inlineStr">
        <is>
          <t>iCoA-PP_26-104</t>
        </is>
      </c>
      <c r="M2026" s="256" t="inlineStr">
        <is>
          <t>27.07.2026</t>
        </is>
      </c>
      <c r="N2026" s="256" t="inlineStr">
        <is>
          <t>Purely Plant GmbH (in-house)</t>
        </is>
      </c>
      <c r="O2026" s="256" t="inlineStr">
        <is>
          <t>—</t>
        </is>
      </c>
      <c r="P2026" s="256" t="inlineStr">
        <is>
          <t>covered</t>
        </is>
      </c>
      <c r="Q2026" s="256" t="inlineStr">
        <is>
          <t>Farmahem — Ident A + B + C with the Assay, at retest</t>
        </is>
      </c>
      <c r="R2026" s="256" t="inlineStr"/>
    </row>
    <row r="2027">
      <c r="A2027" s="256" t="inlineStr">
        <is>
          <t>CoQ-PP_26-089</t>
        </is>
      </c>
      <c r="B2027" s="256" t="inlineStr">
        <is>
          <t>reissue — retest</t>
        </is>
      </c>
      <c r="C2027" s="256" t="inlineStr">
        <is>
          <t>CJ082501/2</t>
        </is>
      </c>
      <c r="D2027" s="256" t="inlineStr">
        <is>
          <t>P060032</t>
        </is>
      </c>
      <c r="E2027" s="256" t="inlineStr">
        <is>
          <t>Cap Junky</t>
        </is>
      </c>
      <c r="F2027" s="256" t="inlineStr">
        <is>
          <t>17.08.2026</t>
        </is>
      </c>
      <c r="G2027" s="256" t="inlineStr">
        <is>
          <t>2</t>
        </is>
      </c>
      <c r="H2027" s="256" t="inlineStr">
        <is>
          <t>Identification B · Microscopic</t>
        </is>
      </c>
      <c r="I2027" s="256" t="inlineStr">
        <is>
          <t>Ph. Eur. 2.8.23 (microscopy)</t>
        </is>
      </c>
      <c r="J2027" s="256" t="inlineStr">
        <is>
          <t>Conforms to the monograph for Cannabis flos (07/2024:3028) in Ph. Eur. 11.0 | Согласно монографија за Cannabis flos (07/2024:3028) во Ph. Eur. 11.0</t>
        </is>
      </c>
      <c r="K2027" s="256" t="inlineStr">
        <is>
          <t>Conforms | Одговара</t>
        </is>
      </c>
      <c r="L2027" s="256" t="inlineStr">
        <is>
          <t>iCoA-PP_26-104</t>
        </is>
      </c>
      <c r="M2027" s="256" t="inlineStr">
        <is>
          <t>27.07.2026</t>
        </is>
      </c>
      <c r="N2027" s="256" t="inlineStr">
        <is>
          <t>Purely Plant GmbH (in-house)</t>
        </is>
      </c>
      <c r="O2027" s="256" t="inlineStr">
        <is>
          <t>—</t>
        </is>
      </c>
      <c r="P2027" s="256" t="inlineStr">
        <is>
          <t>covered</t>
        </is>
      </c>
      <c r="Q2027" s="256" t="inlineStr">
        <is>
          <t>Farmahem — Ident A + B + C with the Assay, at retest</t>
        </is>
      </c>
      <c r="R2027" s="256" t="inlineStr"/>
    </row>
    <row r="2028">
      <c r="A2028" s="256" t="inlineStr">
        <is>
          <t>CoQ-PP_26-089</t>
        </is>
      </c>
      <c r="B2028" s="256" t="inlineStr">
        <is>
          <t>reissue — retest</t>
        </is>
      </c>
      <c r="C2028" s="256" t="inlineStr">
        <is>
          <t>CJ082501/2</t>
        </is>
      </c>
      <c r="D2028" s="256" t="inlineStr">
        <is>
          <t>P060032</t>
        </is>
      </c>
      <c r="E2028" s="256" t="inlineStr">
        <is>
          <t>Cap Junky</t>
        </is>
      </c>
      <c r="F2028" s="256" t="inlineStr">
        <is>
          <t>17.08.2026</t>
        </is>
      </c>
      <c r="G2028" s="256" t="inlineStr">
        <is>
          <t>3</t>
        </is>
      </c>
      <c r="H2028" s="256" t="inlineStr">
        <is>
          <t>Identification C · HPLC/HPTLC</t>
        </is>
      </c>
      <c r="I2028" s="256" t="inlineStr">
        <is>
          <t>Ph. Eur. 2.2.29 (3028)</t>
        </is>
      </c>
      <c r="J2028" s="256" t="inlineStr">
        <is>
          <t>Conforms to the monograph for Cannabis flos (07/2024:3028) in Ph. Eur. 11.0 | Согласно монографија за Cannabis flos (07/2024:3028) во Ph. Eur. 11.0</t>
        </is>
      </c>
      <c r="K2028" s="256" t="inlineStr">
        <is>
          <t>Conforms | Одговара</t>
        </is>
      </c>
      <c r="L2028" s="256" t="inlineStr">
        <is>
          <t>197-5-К/26</t>
        </is>
      </c>
      <c r="M2028" s="256" t="inlineStr">
        <is>
          <t>07.08.2026</t>
        </is>
      </c>
      <c r="N2028" s="256" t="inlineStr">
        <is>
          <t>Farmahem</t>
        </is>
      </c>
      <c r="O2028" s="256" t="inlineStr">
        <is>
          <t>27.07.2026</t>
        </is>
      </c>
      <c r="P2028" s="256" t="inlineStr">
        <is>
          <t>covered</t>
        </is>
      </c>
      <c r="Q2028" s="256" t="inlineStr"/>
      <c r="R2028" s="256" t="inlineStr"/>
    </row>
    <row r="2029">
      <c r="A2029" s="256" t="inlineStr">
        <is>
          <t>CoQ-PP_26-089</t>
        </is>
      </c>
      <c r="B2029" s="256" t="inlineStr">
        <is>
          <t>reissue — retest</t>
        </is>
      </c>
      <c r="C2029" s="256" t="inlineStr">
        <is>
          <t>CJ082501/2</t>
        </is>
      </c>
      <c r="D2029" s="256" t="inlineStr">
        <is>
          <t>P060032</t>
        </is>
      </c>
      <c r="E2029" s="256" t="inlineStr">
        <is>
          <t>Cap Junky</t>
        </is>
      </c>
      <c r="F2029" s="256" t="inlineStr">
        <is>
          <t>17.08.2026</t>
        </is>
      </c>
      <c r="G2029" s="256" t="inlineStr">
        <is>
          <t>4</t>
        </is>
      </c>
      <c r="H2029" s="256" t="inlineStr">
        <is>
          <t>Assay — Total Δ⁹-THC</t>
        </is>
      </c>
      <c r="I2029" s="256" t="inlineStr">
        <is>
          <t>Ph. Eur. 2.2.29 (HPLC)</t>
        </is>
      </c>
      <c r="J2029" s="256" t="inlineStr">
        <is>
          <t>15.60 – 18.39 %  (grade IV, nominal 17.00 ± 1.40)</t>
        </is>
      </c>
      <c r="K2029" s="256" t="inlineStr">
        <is>
          <t>18.29</t>
        </is>
      </c>
      <c r="L2029" s="256" t="inlineStr">
        <is>
          <t>197-5-К/26</t>
        </is>
      </c>
      <c r="M2029" s="256" t="inlineStr">
        <is>
          <t>07.08.2026</t>
        </is>
      </c>
      <c r="N2029" s="256" t="inlineStr">
        <is>
          <t>Farmahem</t>
        </is>
      </c>
      <c r="O2029" s="256" t="inlineStr">
        <is>
          <t>27.07.2026</t>
        </is>
      </c>
      <c r="P2029" s="256" t="inlineStr">
        <is>
          <t>covered</t>
        </is>
      </c>
      <c r="Q2029" s="256" t="inlineStr"/>
      <c r="R2029" s="256" t="inlineStr"/>
    </row>
    <row r="2030">
      <c r="A2030" s="256" t="inlineStr">
        <is>
          <t>CoQ-PP_26-089</t>
        </is>
      </c>
      <c r="B2030" s="256" t="inlineStr">
        <is>
          <t>reissue — retest</t>
        </is>
      </c>
      <c r="C2030" s="256" t="inlineStr">
        <is>
          <t>CJ082501/2</t>
        </is>
      </c>
      <c r="D2030" s="256" t="inlineStr">
        <is>
          <t>P060032</t>
        </is>
      </c>
      <c r="E2030" s="256" t="inlineStr">
        <is>
          <t>Cap Junky</t>
        </is>
      </c>
      <c r="F2030" s="256" t="inlineStr">
        <is>
          <t>17.08.2026</t>
        </is>
      </c>
      <c r="G2030" s="256" t="inlineStr">
        <is>
          <t>5</t>
        </is>
      </c>
      <c r="H2030" s="256" t="inlineStr">
        <is>
          <t>Assay — Total CBD</t>
        </is>
      </c>
      <c r="I2030" s="256" t="inlineStr">
        <is>
          <t>Ph. Eur. 2.2.29 (HPLC) · CBD + CBDA x 0.877</t>
        </is>
      </c>
      <c r="J2030" s="256" t="inlineStr">
        <is>
          <t>≤ 1.0%, w/w</t>
        </is>
      </c>
      <c r="K2030" s="256" t="inlineStr">
        <is>
          <t>&lt; LOQ</t>
        </is>
      </c>
      <c r="L2030" s="256" t="inlineStr">
        <is>
          <t>197-5-К/26</t>
        </is>
      </c>
      <c r="M2030" s="256" t="inlineStr">
        <is>
          <t>07.08.2026</t>
        </is>
      </c>
      <c r="N2030" s="256" t="inlineStr">
        <is>
          <t>Farmahem</t>
        </is>
      </c>
      <c r="O2030" s="256" t="inlineStr">
        <is>
          <t>27.07.2026</t>
        </is>
      </c>
      <c r="P2030" s="256" t="inlineStr">
        <is>
          <t>covered</t>
        </is>
      </c>
      <c r="Q2030" s="256" t="inlineStr"/>
      <c r="R2030" s="256" t="inlineStr"/>
    </row>
    <row r="2031">
      <c r="A2031" s="256" t="inlineStr">
        <is>
          <t>CoQ-PP_26-089</t>
        </is>
      </c>
      <c r="B2031" s="256" t="inlineStr">
        <is>
          <t>reissue — retest</t>
        </is>
      </c>
      <c r="C2031" s="256" t="inlineStr">
        <is>
          <t>CJ082501/2</t>
        </is>
      </c>
      <c r="D2031" s="256" t="inlineStr">
        <is>
          <t>P060032</t>
        </is>
      </c>
      <c r="E2031" s="256" t="inlineStr">
        <is>
          <t>Cap Junky</t>
        </is>
      </c>
      <c r="F2031" s="256" t="inlineStr">
        <is>
          <t>17.08.2026</t>
        </is>
      </c>
      <c r="G2031" s="256" t="inlineStr">
        <is>
          <t>6</t>
        </is>
      </c>
      <c r="H2031" s="256" t="inlineStr">
        <is>
          <t>Total CBN</t>
        </is>
      </c>
      <c r="I2031" s="256" t="inlineStr">
        <is>
          <t>Ph. Eur. 2.2.29 (HPLC) · CBN + CBNA x 0.876</t>
        </is>
      </c>
      <c r="J2031" s="256" t="inlineStr">
        <is>
          <t>≤ 1.0%, w/w</t>
        </is>
      </c>
      <c r="K2031" s="256" t="inlineStr">
        <is>
          <t>&lt; LOQ</t>
        </is>
      </c>
      <c r="L2031" s="256" t="inlineStr">
        <is>
          <t>197-5-К/26</t>
        </is>
      </c>
      <c r="M2031" s="256" t="inlineStr">
        <is>
          <t>07.08.2026</t>
        </is>
      </c>
      <c r="N2031" s="256" t="inlineStr">
        <is>
          <t>Farmahem</t>
        </is>
      </c>
      <c r="O2031" s="256" t="inlineStr">
        <is>
          <t>27.07.2026</t>
        </is>
      </c>
      <c r="P2031" s="256" t="inlineStr">
        <is>
          <t>covered</t>
        </is>
      </c>
      <c r="Q2031" s="256" t="inlineStr"/>
      <c r="R2031" s="256" t="inlineStr"/>
    </row>
    <row r="2032">
      <c r="A2032" s="256" t="inlineStr">
        <is>
          <t>CoQ-PP_26-089</t>
        </is>
      </c>
      <c r="B2032" s="256" t="inlineStr">
        <is>
          <t>reissue — retest</t>
        </is>
      </c>
      <c r="C2032" s="256" t="inlineStr">
        <is>
          <t>CJ082501/2</t>
        </is>
      </c>
      <c r="D2032" s="256" t="inlineStr">
        <is>
          <t>P060032</t>
        </is>
      </c>
      <c r="E2032" s="256" t="inlineStr">
        <is>
          <t>Cap Junky</t>
        </is>
      </c>
      <c r="F2032" s="256" t="inlineStr">
        <is>
          <t>17.08.2026</t>
        </is>
      </c>
      <c r="G2032" s="256" t="inlineStr">
        <is>
          <t>7</t>
        </is>
      </c>
      <c r="H2032" s="256" t="inlineStr">
        <is>
          <t>Foreign Matter</t>
        </is>
      </c>
      <c r="I2032" s="256" t="inlineStr">
        <is>
          <t>Ph. Eur. 2.8.2 · In-house · интерна</t>
        </is>
      </c>
      <c r="J2032" s="256" t="inlineStr">
        <is>
          <t>≤ 2.0% / 25–50 g · &lt; 1 cm leaves | листови, no seeds | без семки</t>
        </is>
      </c>
      <c r="K2032" s="256" t="inlineStr">
        <is>
          <t>Conforms | Одговара</t>
        </is>
      </c>
      <c r="L2032" s="256" t="inlineStr">
        <is>
          <t>iCoA-PP_26-104</t>
        </is>
      </c>
      <c r="M2032" s="256" t="inlineStr">
        <is>
          <t>27.07.2026</t>
        </is>
      </c>
      <c r="N2032" s="256" t="inlineStr">
        <is>
          <t>Purely Plant GmbH (in-house)</t>
        </is>
      </c>
      <c r="O2032" s="256" t="inlineStr">
        <is>
          <t>—</t>
        </is>
      </c>
      <c r="P2032" s="256" t="inlineStr">
        <is>
          <t>covered</t>
        </is>
      </c>
      <c r="Q2032" s="256" t="inlineStr">
        <is>
          <t>Purely Plant laboratory — iCoA covering Foreign matter</t>
        </is>
      </c>
      <c r="R2032" s="256" t="inlineStr"/>
    </row>
    <row r="2033">
      <c r="A2033" s="256" t="inlineStr">
        <is>
          <t>CoQ-PP_26-089</t>
        </is>
      </c>
      <c r="B2033" s="256" t="inlineStr">
        <is>
          <t>reissue — retest</t>
        </is>
      </c>
      <c r="C2033" s="256" t="inlineStr">
        <is>
          <t>CJ082501/2</t>
        </is>
      </c>
      <c r="D2033" s="256" t="inlineStr">
        <is>
          <t>P060032</t>
        </is>
      </c>
      <c r="E2033" s="256" t="inlineStr">
        <is>
          <t>Cap Junky</t>
        </is>
      </c>
      <c r="F2033" s="256" t="inlineStr">
        <is>
          <t>17.08.2026</t>
        </is>
      </c>
      <c r="G2033" s="256" t="inlineStr">
        <is>
          <t>8</t>
        </is>
      </c>
      <c r="H2033" s="256" t="inlineStr">
        <is>
          <t>Loss on Drying</t>
        </is>
      </c>
      <c r="I2033" s="256" t="inlineStr">
        <is>
          <t>DAB 2018 monograph Cannabis flos, 2.2.32 — loss on drying (CNP, before its Ph. Eur. 3028 accreditation)</t>
        </is>
      </c>
      <c r="J2033" s="256" t="inlineStr">
        <is>
          <t>≤ 12.0%</t>
        </is>
      </c>
      <c r="K2033" s="256" t="inlineStr">
        <is>
          <t>7.37</t>
        </is>
      </c>
      <c r="L2033" s="256" t="inlineStr">
        <is>
          <t>ППК26003</t>
        </is>
      </c>
      <c r="M2033" s="256" t="inlineStr">
        <is>
          <t>21.01.2026</t>
        </is>
      </c>
      <c r="N2033" s="256" t="inlineStr">
        <is>
          <t>UKIM Faculty of Pharmacy — Center for Natural Products</t>
        </is>
      </c>
      <c r="O2033" s="256" t="inlineStr">
        <is>
          <t>08.01.2026</t>
        </is>
      </c>
      <c r="P2033" s="256" t="inlineStr">
        <is>
          <t>carried from the initial testing (CoQ-PP-2026-0003) — covered</t>
        </is>
      </c>
      <c r="Q2033" s="256" t="inlineStr"/>
      <c r="R2033" s="256" t="inlineStr"/>
    </row>
    <row r="2034">
      <c r="A2034" s="256" t="inlineStr">
        <is>
          <t>CoQ-PP_26-089</t>
        </is>
      </c>
      <c r="B2034" s="256" t="inlineStr">
        <is>
          <t>reissue — retest</t>
        </is>
      </c>
      <c r="C2034" s="256" t="inlineStr">
        <is>
          <t>CJ082501/2</t>
        </is>
      </c>
      <c r="D2034" s="256" t="inlineStr">
        <is>
          <t>P060032</t>
        </is>
      </c>
      <c r="E2034" s="256" t="inlineStr">
        <is>
          <t>Cap Junky</t>
        </is>
      </c>
      <c r="F2034" s="256" t="inlineStr">
        <is>
          <t>17.08.2026</t>
        </is>
      </c>
      <c r="G2034" s="256" t="inlineStr">
        <is>
          <t>9.1</t>
        </is>
      </c>
      <c r="H2034" s="256" t="inlineStr">
        <is>
          <t>TAMC</t>
        </is>
      </c>
      <c r="I2034" s="256" t="inlineStr">
        <is>
          <t>Ph. Eur. 2.6.12 cat. C</t>
        </is>
      </c>
      <c r="J2034" s="256" t="inlineStr">
        <is>
          <t>≤ 10⁵ CFU/g</t>
        </is>
      </c>
      <c r="K2034" s="256" t="inlineStr">
        <is>
          <t>9.5 × 10²</t>
        </is>
      </c>
      <c r="L2034" s="256" t="inlineStr">
        <is>
          <t>4/0007/26</t>
        </is>
      </c>
      <c r="M2034" s="256" t="inlineStr">
        <is>
          <t>20.01.2026</t>
        </is>
      </c>
      <c r="N2034" s="256" t="inlineStr">
        <is>
          <t>IPH — Institute of Public Health</t>
        </is>
      </c>
      <c r="O2034" s="256" t="inlineStr">
        <is>
          <t>12.01.2025</t>
        </is>
      </c>
      <c r="P2034" s="256" t="inlineStr">
        <is>
          <t>carried from the initial testing (CoQ-PP-2026-0003) — covered</t>
        </is>
      </c>
      <c r="Q2034" s="256" t="inlineStr"/>
      <c r="R2034" s="256" t="inlineStr"/>
    </row>
    <row r="2035">
      <c r="A2035" s="256" t="inlineStr">
        <is>
          <t>CoQ-PP_26-089</t>
        </is>
      </c>
      <c r="B2035" s="256" t="inlineStr">
        <is>
          <t>reissue — retest</t>
        </is>
      </c>
      <c r="C2035" s="256" t="inlineStr">
        <is>
          <t>CJ082501/2</t>
        </is>
      </c>
      <c r="D2035" s="256" t="inlineStr">
        <is>
          <t>P060032</t>
        </is>
      </c>
      <c r="E2035" s="256" t="inlineStr">
        <is>
          <t>Cap Junky</t>
        </is>
      </c>
      <c r="F2035" s="256" t="inlineStr">
        <is>
          <t>17.08.2026</t>
        </is>
      </c>
      <c r="G2035" s="256" t="inlineStr">
        <is>
          <t>9.2</t>
        </is>
      </c>
      <c r="H2035" s="256" t="inlineStr">
        <is>
          <t>TYMC</t>
        </is>
      </c>
      <c r="I2035" s="256" t="inlineStr">
        <is>
          <t>Ph. Eur. 2.6.12 cat. C</t>
        </is>
      </c>
      <c r="J2035" s="256" t="inlineStr">
        <is>
          <t>≤ 10⁴ CFU/g</t>
        </is>
      </c>
      <c r="K2035" s="256" t="inlineStr">
        <is>
          <t>1.2 × 10³</t>
        </is>
      </c>
      <c r="L2035" s="256" t="inlineStr">
        <is>
          <t>4/0007/26</t>
        </is>
      </c>
      <c r="M2035" s="256" t="inlineStr">
        <is>
          <t>20.01.2026</t>
        </is>
      </c>
      <c r="N2035" s="256" t="inlineStr">
        <is>
          <t>IPH — Institute of Public Health</t>
        </is>
      </c>
      <c r="O2035" s="256" t="inlineStr">
        <is>
          <t>12.01.2025</t>
        </is>
      </c>
      <c r="P2035" s="256" t="inlineStr">
        <is>
          <t>carried from the initial testing (CoQ-PP-2026-0003) — covered</t>
        </is>
      </c>
      <c r="Q2035" s="256" t="inlineStr"/>
      <c r="R2035" s="256" t="inlineStr"/>
    </row>
    <row r="2036">
      <c r="A2036" s="256" t="inlineStr">
        <is>
          <t>CoQ-PP_26-089</t>
        </is>
      </c>
      <c r="B2036" s="256" t="inlineStr">
        <is>
          <t>reissue — retest</t>
        </is>
      </c>
      <c r="C2036" s="256" t="inlineStr">
        <is>
          <t>CJ082501/2</t>
        </is>
      </c>
      <c r="D2036" s="256" t="inlineStr">
        <is>
          <t>P060032</t>
        </is>
      </c>
      <c r="E2036" s="256" t="inlineStr">
        <is>
          <t>Cap Junky</t>
        </is>
      </c>
      <c r="F2036" s="256" t="inlineStr">
        <is>
          <t>17.08.2026</t>
        </is>
      </c>
      <c r="G2036" s="256" t="inlineStr">
        <is>
          <t>9.3</t>
        </is>
      </c>
      <c r="H2036" s="256" t="inlineStr">
        <is>
          <t>Bile-tolerant gram-neg.</t>
        </is>
      </c>
      <c r="I2036" s="256" t="inlineStr">
        <is>
          <t>Ph. Eur. 2.6.31 cat. C</t>
        </is>
      </c>
      <c r="J2036" s="256" t="inlineStr">
        <is>
          <t>≤ 10⁴ CFU/g</t>
        </is>
      </c>
      <c r="K2036" s="256" t="inlineStr">
        <is>
          <t>&lt; 10</t>
        </is>
      </c>
      <c r="L2036" s="256" t="inlineStr">
        <is>
          <t>4/0007/26</t>
        </is>
      </c>
      <c r="M2036" s="256" t="inlineStr">
        <is>
          <t>20.01.2026</t>
        </is>
      </c>
      <c r="N2036" s="256" t="inlineStr">
        <is>
          <t>IPH — Institute of Public Health</t>
        </is>
      </c>
      <c r="O2036" s="256" t="inlineStr">
        <is>
          <t>12.01.2025</t>
        </is>
      </c>
      <c r="P2036" s="256" t="inlineStr">
        <is>
          <t>carried from the initial testing (CoQ-PP-2026-0003) — covered</t>
        </is>
      </c>
      <c r="Q2036" s="256" t="inlineStr"/>
      <c r="R2036" s="256" t="inlineStr"/>
    </row>
    <row r="2037">
      <c r="A2037" s="256" t="inlineStr">
        <is>
          <t>CoQ-PP_26-089</t>
        </is>
      </c>
      <c r="B2037" s="256" t="inlineStr">
        <is>
          <t>reissue — retest</t>
        </is>
      </c>
      <c r="C2037" s="256" t="inlineStr">
        <is>
          <t>CJ082501/2</t>
        </is>
      </c>
      <c r="D2037" s="256" t="inlineStr">
        <is>
          <t>P060032</t>
        </is>
      </c>
      <c r="E2037" s="256" t="inlineStr">
        <is>
          <t>Cap Junky</t>
        </is>
      </c>
      <c r="F2037" s="256" t="inlineStr">
        <is>
          <t>17.08.2026</t>
        </is>
      </c>
      <c r="G2037" s="256" t="inlineStr">
        <is>
          <t>9.4</t>
        </is>
      </c>
      <c r="H2037" s="256" t="inlineStr">
        <is>
          <t>Salmonella</t>
        </is>
      </c>
      <c r="I2037" s="256" t="inlineStr">
        <is>
          <t>Ph. Eur. 2.6.31 cat. C</t>
        </is>
      </c>
      <c r="J2037" s="256" t="inlineStr">
        <is>
          <t>Absence | Отсуство / 25 g</t>
        </is>
      </c>
      <c r="K2037" s="256" t="inlineStr">
        <is>
          <t>Absent | Отсутна</t>
        </is>
      </c>
      <c r="L2037" s="256" t="inlineStr">
        <is>
          <t>4/0007/26</t>
        </is>
      </c>
      <c r="M2037" s="256" t="inlineStr">
        <is>
          <t>20.01.2026</t>
        </is>
      </c>
      <c r="N2037" s="256" t="inlineStr">
        <is>
          <t>IPH — Institute of Public Health</t>
        </is>
      </c>
      <c r="O2037" s="256" t="inlineStr">
        <is>
          <t>12.01.2025</t>
        </is>
      </c>
      <c r="P2037" s="256" t="inlineStr">
        <is>
          <t>carried from the initial testing (CoQ-PP-2026-0003) — covered</t>
        </is>
      </c>
      <c r="Q2037" s="256" t="inlineStr"/>
      <c r="R2037" s="256" t="inlineStr"/>
    </row>
    <row r="2038">
      <c r="A2038" s="256" t="inlineStr">
        <is>
          <t>CoQ-PP_26-089</t>
        </is>
      </c>
      <c r="B2038" s="256" t="inlineStr">
        <is>
          <t>reissue — retest</t>
        </is>
      </c>
      <c r="C2038" s="256" t="inlineStr">
        <is>
          <t>CJ082501/2</t>
        </is>
      </c>
      <c r="D2038" s="256" t="inlineStr">
        <is>
          <t>P060032</t>
        </is>
      </c>
      <c r="E2038" s="256" t="inlineStr">
        <is>
          <t>Cap Junky</t>
        </is>
      </c>
      <c r="F2038" s="256" t="inlineStr">
        <is>
          <t>17.08.2026</t>
        </is>
      </c>
      <c r="G2038" s="256" t="inlineStr">
        <is>
          <t>9.5</t>
        </is>
      </c>
      <c r="H2038" s="256" t="inlineStr">
        <is>
          <t>Escherichia coli</t>
        </is>
      </c>
      <c r="I2038" s="256" t="inlineStr">
        <is>
          <t>Ph. Eur. 2.6.13 cat. C</t>
        </is>
      </c>
      <c r="J2038" s="256" t="inlineStr">
        <is>
          <t>Absence | Отсуство / 1 g</t>
        </is>
      </c>
      <c r="K2038" s="256" t="inlineStr">
        <is>
          <t>Absent | Отсутна</t>
        </is>
      </c>
      <c r="L2038" s="256" t="inlineStr">
        <is>
          <t>4/0007/26</t>
        </is>
      </c>
      <c r="M2038" s="256" t="inlineStr">
        <is>
          <t>20.01.2026</t>
        </is>
      </c>
      <c r="N2038" s="256" t="inlineStr">
        <is>
          <t>IPH — Institute of Public Health</t>
        </is>
      </c>
      <c r="O2038" s="256" t="inlineStr">
        <is>
          <t>12.01.2025</t>
        </is>
      </c>
      <c r="P2038" s="256" t="inlineStr">
        <is>
          <t>carried from the initial testing (CoQ-PP-2026-0003) — covered</t>
        </is>
      </c>
      <c r="Q2038" s="256" t="inlineStr"/>
      <c r="R2038" s="256" t="inlineStr"/>
    </row>
    <row r="2039">
      <c r="A2039" s="256" t="inlineStr">
        <is>
          <t>CoQ-PP_26-089</t>
        </is>
      </c>
      <c r="B2039" s="256" t="inlineStr">
        <is>
          <t>reissue — retest</t>
        </is>
      </c>
      <c r="C2039" s="256" t="inlineStr">
        <is>
          <t>CJ082501/2</t>
        </is>
      </c>
      <c r="D2039" s="256" t="inlineStr">
        <is>
          <t>P060032</t>
        </is>
      </c>
      <c r="E2039" s="256" t="inlineStr">
        <is>
          <t>Cap Junky</t>
        </is>
      </c>
      <c r="F2039" s="256" t="inlineStr">
        <is>
          <t>17.08.2026</t>
        </is>
      </c>
      <c r="G2039" s="256" t="inlineStr">
        <is>
          <t>9.6</t>
        </is>
      </c>
      <c r="H2039" s="256" t="inlineStr">
        <is>
          <t>Pseudomonas aeruginosa</t>
        </is>
      </c>
      <c r="I2039" s="256" t="inlineStr">
        <is>
          <t>Ph. Eur. 2.6.13 cat. C</t>
        </is>
      </c>
      <c r="J2039" s="256" t="inlineStr">
        <is>
          <t>Absence | Отсуство / 1 g</t>
        </is>
      </c>
      <c r="K2039" s="260" t="inlineStr">
        <is>
          <t>upon request — not required for release</t>
        </is>
      </c>
      <c r="L2039" s="256" t="inlineStr">
        <is>
          <t>—</t>
        </is>
      </c>
      <c r="M2039" s="256" t="inlineStr">
        <is>
          <t>—</t>
        </is>
      </c>
      <c r="N2039" s="256" t="inlineStr">
        <is>
          <t>—</t>
        </is>
      </c>
      <c r="O2039" s="256" t="inlineStr">
        <is>
          <t>—</t>
        </is>
      </c>
      <c r="P2039" s="256" t="inlineStr">
        <is>
          <t>upon request — not required for release</t>
        </is>
      </c>
      <c r="Q2039" s="256" t="inlineStr"/>
      <c r="R2039" s="256" t="inlineStr"/>
    </row>
    <row r="2040">
      <c r="A2040" s="256" t="inlineStr">
        <is>
          <t>CoQ-PP_26-089</t>
        </is>
      </c>
      <c r="B2040" s="256" t="inlineStr">
        <is>
          <t>reissue — retest</t>
        </is>
      </c>
      <c r="C2040" s="256" t="inlineStr">
        <is>
          <t>CJ082501/2</t>
        </is>
      </c>
      <c r="D2040" s="256" t="inlineStr">
        <is>
          <t>P060032</t>
        </is>
      </c>
      <c r="E2040" s="256" t="inlineStr">
        <is>
          <t>Cap Junky</t>
        </is>
      </c>
      <c r="F2040" s="256" t="inlineStr">
        <is>
          <t>17.08.2026</t>
        </is>
      </c>
      <c r="G2040" s="256" t="inlineStr">
        <is>
          <t>9.7</t>
        </is>
      </c>
      <c r="H2040" s="256" t="inlineStr">
        <is>
          <t>Staphylococcus aureus</t>
        </is>
      </c>
      <c r="I2040" s="256" t="inlineStr">
        <is>
          <t>Ph. Eur. 2.6.13 cat. C</t>
        </is>
      </c>
      <c r="J2040" s="256" t="inlineStr">
        <is>
          <t>Absence | Отсуство / 1 g</t>
        </is>
      </c>
      <c r="K2040" s="260" t="inlineStr">
        <is>
          <t>upon request — not required for release</t>
        </is>
      </c>
      <c r="L2040" s="256" t="inlineStr">
        <is>
          <t>—</t>
        </is>
      </c>
      <c r="M2040" s="256" t="inlineStr">
        <is>
          <t>—</t>
        </is>
      </c>
      <c r="N2040" s="256" t="inlineStr">
        <is>
          <t>—</t>
        </is>
      </c>
      <c r="O2040" s="256" t="inlineStr">
        <is>
          <t>—</t>
        </is>
      </c>
      <c r="P2040" s="256" t="inlineStr">
        <is>
          <t>upon request — not required for release</t>
        </is>
      </c>
      <c r="Q2040" s="256" t="inlineStr"/>
      <c r="R2040" s="256" t="inlineStr"/>
    </row>
    <row r="2041">
      <c r="A2041" s="256" t="inlineStr">
        <is>
          <t>CoQ-PP_26-089</t>
        </is>
      </c>
      <c r="B2041" s="256" t="inlineStr">
        <is>
          <t>reissue — retest</t>
        </is>
      </c>
      <c r="C2041" s="256" t="inlineStr">
        <is>
          <t>CJ082501/2</t>
        </is>
      </c>
      <c r="D2041" s="256" t="inlineStr">
        <is>
          <t>P060032</t>
        </is>
      </c>
      <c r="E2041" s="256" t="inlineStr">
        <is>
          <t>Cap Junky</t>
        </is>
      </c>
      <c r="F2041" s="256" t="inlineStr">
        <is>
          <t>17.08.2026</t>
        </is>
      </c>
      <c r="G2041" s="256" t="inlineStr">
        <is>
          <t>10.1</t>
        </is>
      </c>
      <c r="H2041" s="256" t="inlineStr">
        <is>
          <t>Aflatoxin B₁</t>
        </is>
      </c>
      <c r="I2041" s="256" t="inlineStr">
        <is>
          <t>Ph. Eur. 2.8.18 (HPLC-FLD)</t>
        </is>
      </c>
      <c r="J2041" s="256" t="inlineStr">
        <is>
          <t>≤ 2 µg/kg</t>
        </is>
      </c>
      <c r="K2041" s="256" t="inlineStr">
        <is>
          <t>ND</t>
        </is>
      </c>
      <c r="L2041" s="256" t="inlineStr">
        <is>
          <t>197-5-М/26</t>
        </is>
      </c>
      <c r="M2041" s="256" t="inlineStr">
        <is>
          <t>10.08.2026</t>
        </is>
      </c>
      <c r="N2041" s="256" t="inlineStr">
        <is>
          <t>Farmahem</t>
        </is>
      </c>
      <c r="O2041" s="256" t="inlineStr">
        <is>
          <t>29.07.2026</t>
        </is>
      </c>
      <c r="P2041" s="256" t="inlineStr">
        <is>
          <t>covered</t>
        </is>
      </c>
      <c r="Q2041" s="256" t="inlineStr"/>
      <c r="R2041" s="256" t="inlineStr"/>
    </row>
    <row r="2042">
      <c r="A2042" s="256" t="inlineStr">
        <is>
          <t>CoQ-PP_26-089</t>
        </is>
      </c>
      <c r="B2042" s="256" t="inlineStr">
        <is>
          <t>reissue — retest</t>
        </is>
      </c>
      <c r="C2042" s="256" t="inlineStr">
        <is>
          <t>CJ082501/2</t>
        </is>
      </c>
      <c r="D2042" s="256" t="inlineStr">
        <is>
          <t>P060032</t>
        </is>
      </c>
      <c r="E2042" s="256" t="inlineStr">
        <is>
          <t>Cap Junky</t>
        </is>
      </c>
      <c r="F2042" s="256" t="inlineStr">
        <is>
          <t>17.08.2026</t>
        </is>
      </c>
      <c r="G2042" s="256" t="inlineStr">
        <is>
          <t>10.2</t>
        </is>
      </c>
      <c r="H2042" s="256" t="inlineStr">
        <is>
          <t>Aflatoxins ∑</t>
        </is>
      </c>
      <c r="I2042" s="256" t="inlineStr">
        <is>
          <t>Ph. Eur. 2.8.18 (HPLC-FLD)</t>
        </is>
      </c>
      <c r="J2042" s="256" t="inlineStr">
        <is>
          <t>≤ 4 µg/kg</t>
        </is>
      </c>
      <c r="K2042" s="256" t="inlineStr">
        <is>
          <t>ND</t>
        </is>
      </c>
      <c r="L2042" s="256" t="inlineStr">
        <is>
          <t>197-5-М/26</t>
        </is>
      </c>
      <c r="M2042" s="256" t="inlineStr">
        <is>
          <t>10.08.2026</t>
        </is>
      </c>
      <c r="N2042" s="256" t="inlineStr">
        <is>
          <t>Farmahem</t>
        </is>
      </c>
      <c r="O2042" s="256" t="inlineStr">
        <is>
          <t>29.07.2026</t>
        </is>
      </c>
      <c r="P2042" s="256" t="inlineStr">
        <is>
          <t>covered</t>
        </is>
      </c>
      <c r="Q2042" s="256" t="inlineStr"/>
      <c r="R2042" s="256" t="inlineStr"/>
    </row>
    <row r="2043">
      <c r="A2043" s="256" t="inlineStr">
        <is>
          <t>CoQ-PP_26-089</t>
        </is>
      </c>
      <c r="B2043" s="256" t="inlineStr">
        <is>
          <t>reissue — retest</t>
        </is>
      </c>
      <c r="C2043" s="256" t="inlineStr">
        <is>
          <t>CJ082501/2</t>
        </is>
      </c>
      <c r="D2043" s="256" t="inlineStr">
        <is>
          <t>P060032</t>
        </is>
      </c>
      <c r="E2043" s="256" t="inlineStr">
        <is>
          <t>Cap Junky</t>
        </is>
      </c>
      <c r="F2043" s="256" t="inlineStr">
        <is>
          <t>17.08.2026</t>
        </is>
      </c>
      <c r="G2043" s="256" t="inlineStr">
        <is>
          <t>10.3</t>
        </is>
      </c>
      <c r="H2043" s="256" t="inlineStr">
        <is>
          <t>Ochratoxin A</t>
        </is>
      </c>
      <c r="I2043" s="256" t="inlineStr">
        <is>
          <t>Ph. Eur. 2.8.22 (HPLC-FLD)</t>
        </is>
      </c>
      <c r="J2043" s="256" t="inlineStr">
        <is>
          <t>≤ 20 µg/kg</t>
        </is>
      </c>
      <c r="K2043" s="256" t="inlineStr">
        <is>
          <t>ND</t>
        </is>
      </c>
      <c r="L2043" s="256" t="inlineStr">
        <is>
          <t>197-5-М/26</t>
        </is>
      </c>
      <c r="M2043" s="256" t="inlineStr">
        <is>
          <t>10.08.2026</t>
        </is>
      </c>
      <c r="N2043" s="256" t="inlineStr">
        <is>
          <t>Farmahem</t>
        </is>
      </c>
      <c r="O2043" s="256" t="inlineStr">
        <is>
          <t>29.07.2026</t>
        </is>
      </c>
      <c r="P2043" s="256" t="inlineStr">
        <is>
          <t>covered</t>
        </is>
      </c>
      <c r="Q2043" s="256" t="inlineStr"/>
      <c r="R2043" s="256" t="inlineStr"/>
    </row>
    <row r="2044">
      <c r="A2044" s="256" t="inlineStr">
        <is>
          <t>CoQ-PP_26-089</t>
        </is>
      </c>
      <c r="B2044" s="256" t="inlineStr">
        <is>
          <t>reissue — retest</t>
        </is>
      </c>
      <c r="C2044" s="256" t="inlineStr">
        <is>
          <t>CJ082501/2</t>
        </is>
      </c>
      <c r="D2044" s="256" t="inlineStr">
        <is>
          <t>P060032</t>
        </is>
      </c>
      <c r="E2044" s="256" t="inlineStr">
        <is>
          <t>Cap Junky</t>
        </is>
      </c>
      <c r="F2044" s="256" t="inlineStr">
        <is>
          <t>17.08.2026</t>
        </is>
      </c>
      <c r="G2044" s="256" t="inlineStr">
        <is>
          <t>11.1</t>
        </is>
      </c>
      <c r="H2044" s="256" t="inlineStr">
        <is>
          <t>Lead (Pb)</t>
        </is>
      </c>
      <c r="I2044" s="256" t="inlineStr">
        <is>
          <t>Ph. Eur. 2.4.27 (ICP-MS)</t>
        </is>
      </c>
      <c r="J2044" s="256" t="inlineStr">
        <is>
          <t>≤ 0.5 mg/kg</t>
        </is>
      </c>
      <c r="K2044" s="256" t="inlineStr">
        <is>
          <t>0.073</t>
        </is>
      </c>
      <c r="L2044" s="256" t="inlineStr">
        <is>
          <t>82/2026</t>
        </is>
      </c>
      <c r="M2044" s="256" t="inlineStr">
        <is>
          <t>02.02.2026</t>
        </is>
      </c>
      <c r="N2044" s="256" t="inlineStr">
        <is>
          <t>IPH — Institute of Public Health</t>
        </is>
      </c>
      <c r="O2044" s="256" t="inlineStr">
        <is>
          <t>08.01.2026</t>
        </is>
      </c>
      <c r="P2044" s="256" t="inlineStr">
        <is>
          <t>carried from the initial testing (CoQ-PP-2026-0003) — covered</t>
        </is>
      </c>
      <c r="Q2044" s="256" t="inlineStr"/>
      <c r="R2044" s="256" t="inlineStr"/>
    </row>
    <row r="2045">
      <c r="A2045" s="256" t="inlineStr">
        <is>
          <t>CoQ-PP_26-089</t>
        </is>
      </c>
      <c r="B2045" s="256" t="inlineStr">
        <is>
          <t>reissue — retest</t>
        </is>
      </c>
      <c r="C2045" s="256" t="inlineStr">
        <is>
          <t>CJ082501/2</t>
        </is>
      </c>
      <c r="D2045" s="256" t="inlineStr">
        <is>
          <t>P060032</t>
        </is>
      </c>
      <c r="E2045" s="256" t="inlineStr">
        <is>
          <t>Cap Junky</t>
        </is>
      </c>
      <c r="F2045" s="256" t="inlineStr">
        <is>
          <t>17.08.2026</t>
        </is>
      </c>
      <c r="G2045" s="256" t="inlineStr">
        <is>
          <t>11.2</t>
        </is>
      </c>
      <c r="H2045" s="256" t="inlineStr">
        <is>
          <t>Cadmium (Cd)</t>
        </is>
      </c>
      <c r="I2045" s="256" t="inlineStr">
        <is>
          <t>Ph. Eur. 2.4.27 (ICP-MS)</t>
        </is>
      </c>
      <c r="J2045" s="256" t="inlineStr">
        <is>
          <t>≤ 0.3 mg/kg</t>
        </is>
      </c>
      <c r="K2045" s="256" t="inlineStr">
        <is>
          <t>ND</t>
        </is>
      </c>
      <c r="L2045" s="256" t="inlineStr">
        <is>
          <t>82/2026</t>
        </is>
      </c>
      <c r="M2045" s="256" t="inlineStr">
        <is>
          <t>02.02.2026</t>
        </is>
      </c>
      <c r="N2045" s="256" t="inlineStr">
        <is>
          <t>IPH — Institute of Public Health</t>
        </is>
      </c>
      <c r="O2045" s="256" t="inlineStr">
        <is>
          <t>08.01.2026</t>
        </is>
      </c>
      <c r="P2045" s="256" t="inlineStr">
        <is>
          <t>carried from the initial testing (CoQ-PP-2026-0003) — covered</t>
        </is>
      </c>
      <c r="Q2045" s="256" t="inlineStr"/>
      <c r="R2045" s="256" t="inlineStr"/>
    </row>
    <row r="2046">
      <c r="A2046" s="256" t="inlineStr">
        <is>
          <t>CoQ-PP_26-089</t>
        </is>
      </c>
      <c r="B2046" s="256" t="inlineStr">
        <is>
          <t>reissue — retest</t>
        </is>
      </c>
      <c r="C2046" s="256" t="inlineStr">
        <is>
          <t>CJ082501/2</t>
        </is>
      </c>
      <c r="D2046" s="256" t="inlineStr">
        <is>
          <t>P060032</t>
        </is>
      </c>
      <c r="E2046" s="256" t="inlineStr">
        <is>
          <t>Cap Junky</t>
        </is>
      </c>
      <c r="F2046" s="256" t="inlineStr">
        <is>
          <t>17.08.2026</t>
        </is>
      </c>
      <c r="G2046" s="256" t="inlineStr">
        <is>
          <t>11.3</t>
        </is>
      </c>
      <c r="H2046" s="256" t="inlineStr">
        <is>
          <t>Arsenic (As)</t>
        </is>
      </c>
      <c r="I2046" s="256" t="inlineStr">
        <is>
          <t>Ph. Eur. 2.4.27 (ICP-MS)</t>
        </is>
      </c>
      <c r="J2046" s="256" t="inlineStr">
        <is>
          <t>≤ 0.2 mg/kg</t>
        </is>
      </c>
      <c r="K2046" s="256" t="inlineStr">
        <is>
          <t>ND</t>
        </is>
      </c>
      <c r="L2046" s="256" t="inlineStr">
        <is>
          <t>82/2026</t>
        </is>
      </c>
      <c r="M2046" s="256" t="inlineStr">
        <is>
          <t>02.02.2026</t>
        </is>
      </c>
      <c r="N2046" s="256" t="inlineStr">
        <is>
          <t>IPH — Institute of Public Health</t>
        </is>
      </c>
      <c r="O2046" s="256" t="inlineStr">
        <is>
          <t>08.01.2026</t>
        </is>
      </c>
      <c r="P2046" s="256" t="inlineStr">
        <is>
          <t>carried from the initial testing (CoQ-PP-2026-0003) — covered</t>
        </is>
      </c>
      <c r="Q2046" s="256" t="inlineStr"/>
      <c r="R2046" s="256" t="inlineStr"/>
    </row>
    <row r="2047">
      <c r="A2047" s="256" t="inlineStr">
        <is>
          <t>CoQ-PP_26-089</t>
        </is>
      </c>
      <c r="B2047" s="256" t="inlineStr">
        <is>
          <t>reissue — retest</t>
        </is>
      </c>
      <c r="C2047" s="256" t="inlineStr">
        <is>
          <t>CJ082501/2</t>
        </is>
      </c>
      <c r="D2047" s="256" t="inlineStr">
        <is>
          <t>P060032</t>
        </is>
      </c>
      <c r="E2047" s="256" t="inlineStr">
        <is>
          <t>Cap Junky</t>
        </is>
      </c>
      <c r="F2047" s="256" t="inlineStr">
        <is>
          <t>17.08.2026</t>
        </is>
      </c>
      <c r="G2047" s="256" t="inlineStr">
        <is>
          <t>11.4</t>
        </is>
      </c>
      <c r="H2047" s="256" t="inlineStr">
        <is>
          <t>Mercury (Hg)</t>
        </is>
      </c>
      <c r="I2047" s="256" t="inlineStr">
        <is>
          <t>Ph. Eur. 2.4.27 (ICP-MS)</t>
        </is>
      </c>
      <c r="J2047" s="256" t="inlineStr">
        <is>
          <t>≤ 0.1 mg/kg</t>
        </is>
      </c>
      <c r="K2047" s="256" t="inlineStr">
        <is>
          <t>ND</t>
        </is>
      </c>
      <c r="L2047" s="256" t="inlineStr">
        <is>
          <t>82/2026</t>
        </is>
      </c>
      <c r="M2047" s="256" t="inlineStr">
        <is>
          <t>02.02.2026</t>
        </is>
      </c>
      <c r="N2047" s="256" t="inlineStr">
        <is>
          <t>IPH — Institute of Public Health</t>
        </is>
      </c>
      <c r="O2047" s="256" t="inlineStr">
        <is>
          <t>08.01.2026</t>
        </is>
      </c>
      <c r="P2047" s="256" t="inlineStr">
        <is>
          <t>carried from the initial testing (CoQ-PP-2026-0003) — covered</t>
        </is>
      </c>
      <c r="Q2047" s="256" t="inlineStr"/>
      <c r="R2047" s="256" t="inlineStr"/>
    </row>
    <row r="2048">
      <c r="A2048" s="256" t="inlineStr">
        <is>
          <t>CoQ-PP_26-089</t>
        </is>
      </c>
      <c r="B2048" s="256" t="inlineStr">
        <is>
          <t>reissue — retest</t>
        </is>
      </c>
      <c r="C2048" s="256" t="inlineStr">
        <is>
          <t>CJ082501/2</t>
        </is>
      </c>
      <c r="D2048" s="256" t="inlineStr">
        <is>
          <t>P060032</t>
        </is>
      </c>
      <c r="E2048" s="256" t="inlineStr">
        <is>
          <t>Cap Junky</t>
        </is>
      </c>
      <c r="F2048" s="256" t="inlineStr">
        <is>
          <t>17.08.2026</t>
        </is>
      </c>
      <c r="G2048" s="256" t="inlineStr">
        <is>
          <t>12</t>
        </is>
      </c>
      <c r="H2048" s="256" t="inlineStr">
        <is>
          <t>Pesticide Residues</t>
        </is>
      </c>
      <c r="I2048" s="256" t="inlineStr">
        <is>
          <t>Ph. Eur. 2.8.13 (LC-MS/MS) · CUMCS Equivalency</t>
        </is>
      </c>
      <c r="J2048" s="256" t="inlineStr">
        <is>
          <t>≤ LOQ as per Ph. Eur. 2.8.13 · ≤ LOQ as per CUMCS Equivalency</t>
        </is>
      </c>
      <c r="K2048" s="256" t="inlineStr">
        <is>
          <t>ND</t>
        </is>
      </c>
      <c r="L2048" s="256" t="inlineStr">
        <is>
          <t>82/2026</t>
        </is>
      </c>
      <c r="M2048" s="256" t="inlineStr">
        <is>
          <t>02.02.2026</t>
        </is>
      </c>
      <c r="N2048" s="256" t="inlineStr">
        <is>
          <t>IPH — Institute of Public Health</t>
        </is>
      </c>
      <c r="O2048" s="256" t="inlineStr">
        <is>
          <t>08.01.2026</t>
        </is>
      </c>
      <c r="P2048" s="256" t="inlineStr">
        <is>
          <t>carried from the initial testing (CoQ-PP-2026-0003) — covered</t>
        </is>
      </c>
      <c r="Q2048" s="256" t="inlineStr"/>
      <c r="R2048" s="256" t="inlineStr"/>
    </row>
    <row r="2049">
      <c r="A2049" s="256" t="inlineStr">
        <is>
          <t>CoQ-PP_26-090</t>
        </is>
      </c>
      <c r="B2049" s="256" t="inlineStr">
        <is>
          <t>reissue — retest</t>
        </is>
      </c>
      <c r="C2049" s="256" t="inlineStr">
        <is>
          <t>FB012602</t>
        </is>
      </c>
      <c r="D2049" s="256" t="inlineStr">
        <is>
          <t>P060352</t>
        </is>
      </c>
      <c r="E2049" s="256" t="inlineStr">
        <is>
          <t>Fat Bastard</t>
        </is>
      </c>
      <c r="F2049" s="256" t="inlineStr">
        <is>
          <t>17.08.2026</t>
        </is>
      </c>
      <c r="G2049" s="256" t="inlineStr">
        <is>
          <t>1</t>
        </is>
      </c>
      <c r="H2049" s="256" t="inlineStr">
        <is>
          <t>Identification A, Appearance · Macroscopic</t>
        </is>
      </c>
      <c r="I2049" s="256" t="inlineStr">
        <is>
          <t>Ph. Eur. mon. 3028</t>
        </is>
      </c>
      <c r="J2049" s="256" t="inlineStr">
        <is>
          <t>Conforms to the monograph for Cannabis flos (07/2024:3028) in Ph. Eur. 11.0 | Согласно монографија за Cannabis flos (07/2024:3028) во Ph. Eur. 11.0</t>
        </is>
      </c>
      <c r="K2049" s="256" t="inlineStr">
        <is>
          <t>Conforms | Одговара</t>
        </is>
      </c>
      <c r="L2049" s="256" t="inlineStr">
        <is>
          <t>iCoA-PP_26-109</t>
        </is>
      </c>
      <c r="M2049" s="256" t="inlineStr">
        <is>
          <t>27.07.2026</t>
        </is>
      </c>
      <c r="N2049" s="256" t="inlineStr">
        <is>
          <t>Purely Plant GmbH (in-house)</t>
        </is>
      </c>
      <c r="O2049" s="256" t="inlineStr">
        <is>
          <t>—</t>
        </is>
      </c>
      <c r="P2049" s="256" t="inlineStr">
        <is>
          <t>covered</t>
        </is>
      </c>
      <c r="Q2049" s="256" t="inlineStr">
        <is>
          <t>Farmahem — Ident A + B + C with the Assay, at retest</t>
        </is>
      </c>
      <c r="R2049" s="256" t="inlineStr"/>
    </row>
    <row r="2050">
      <c r="A2050" s="256" t="inlineStr">
        <is>
          <t>CoQ-PP_26-090</t>
        </is>
      </c>
      <c r="B2050" s="256" t="inlineStr">
        <is>
          <t>reissue — retest</t>
        </is>
      </c>
      <c r="C2050" s="256" t="inlineStr">
        <is>
          <t>FB012602</t>
        </is>
      </c>
      <c r="D2050" s="256" t="inlineStr">
        <is>
          <t>P060352</t>
        </is>
      </c>
      <c r="E2050" s="256" t="inlineStr">
        <is>
          <t>Fat Bastard</t>
        </is>
      </c>
      <c r="F2050" s="256" t="inlineStr">
        <is>
          <t>17.08.2026</t>
        </is>
      </c>
      <c r="G2050" s="256" t="inlineStr">
        <is>
          <t>2</t>
        </is>
      </c>
      <c r="H2050" s="256" t="inlineStr">
        <is>
          <t>Identification B · Microscopic</t>
        </is>
      </c>
      <c r="I2050" s="256" t="inlineStr">
        <is>
          <t>Ph. Eur. 2.8.23 (microscopy)</t>
        </is>
      </c>
      <c r="J2050" s="256" t="inlineStr">
        <is>
          <t>Conforms to the monograph for Cannabis flos (07/2024:3028) in Ph. Eur. 11.0 | Согласно монографија за Cannabis flos (07/2024:3028) во Ph. Eur. 11.0</t>
        </is>
      </c>
      <c r="K2050" s="256" t="inlineStr">
        <is>
          <t>Conforms | Одговара</t>
        </is>
      </c>
      <c r="L2050" s="256" t="inlineStr">
        <is>
          <t>iCoA-PP_26-109</t>
        </is>
      </c>
      <c r="M2050" s="256" t="inlineStr">
        <is>
          <t>27.07.2026</t>
        </is>
      </c>
      <c r="N2050" s="256" t="inlineStr">
        <is>
          <t>Purely Plant GmbH (in-house)</t>
        </is>
      </c>
      <c r="O2050" s="256" t="inlineStr">
        <is>
          <t>—</t>
        </is>
      </c>
      <c r="P2050" s="256" t="inlineStr">
        <is>
          <t>covered</t>
        </is>
      </c>
      <c r="Q2050" s="256" t="inlineStr">
        <is>
          <t>Farmahem — Ident A + B + C with the Assay, at retest</t>
        </is>
      </c>
      <c r="R2050" s="256" t="inlineStr"/>
    </row>
    <row r="2051">
      <c r="A2051" s="256" t="inlineStr">
        <is>
          <t>CoQ-PP_26-090</t>
        </is>
      </c>
      <c r="B2051" s="256" t="inlineStr">
        <is>
          <t>reissue — retest</t>
        </is>
      </c>
      <c r="C2051" s="256" t="inlineStr">
        <is>
          <t>FB012602</t>
        </is>
      </c>
      <c r="D2051" s="256" t="inlineStr">
        <is>
          <t>P060352</t>
        </is>
      </c>
      <c r="E2051" s="256" t="inlineStr">
        <is>
          <t>Fat Bastard</t>
        </is>
      </c>
      <c r="F2051" s="256" t="inlineStr">
        <is>
          <t>17.08.2026</t>
        </is>
      </c>
      <c r="G2051" s="256" t="inlineStr">
        <is>
          <t>3</t>
        </is>
      </c>
      <c r="H2051" s="256" t="inlineStr">
        <is>
          <t>Identification C · HPLC/HPTLC</t>
        </is>
      </c>
      <c r="I2051" s="256" t="inlineStr">
        <is>
          <t>Ph. Eur. 2.2.29 (3028)</t>
        </is>
      </c>
      <c r="J2051" s="256" t="inlineStr">
        <is>
          <t>Conforms to the monograph for Cannabis flos (07/2024:3028) in Ph. Eur. 11.0 | Согласно монографија за Cannabis flos (07/2024:3028) во Ph. Eur. 11.0</t>
        </is>
      </c>
      <c r="K2051" s="256" t="inlineStr">
        <is>
          <t>Conforms | Одговара</t>
        </is>
      </c>
      <c r="L2051" s="256" t="inlineStr">
        <is>
          <t>197-7-К/26</t>
        </is>
      </c>
      <c r="M2051" s="256" t="inlineStr">
        <is>
          <t>07.08.2026</t>
        </is>
      </c>
      <c r="N2051" s="256" t="inlineStr">
        <is>
          <t>Farmahem</t>
        </is>
      </c>
      <c r="O2051" s="256" t="inlineStr">
        <is>
          <t>27.07.2026</t>
        </is>
      </c>
      <c r="P2051" s="256" t="inlineStr">
        <is>
          <t>covered</t>
        </is>
      </c>
      <c r="Q2051" s="256" t="inlineStr"/>
      <c r="R2051" s="256" t="inlineStr"/>
    </row>
    <row r="2052">
      <c r="A2052" s="256" t="inlineStr">
        <is>
          <t>CoQ-PP_26-090</t>
        </is>
      </c>
      <c r="B2052" s="256" t="inlineStr">
        <is>
          <t>reissue — retest</t>
        </is>
      </c>
      <c r="C2052" s="256" t="inlineStr">
        <is>
          <t>FB012602</t>
        </is>
      </c>
      <c r="D2052" s="256" t="inlineStr">
        <is>
          <t>P060352</t>
        </is>
      </c>
      <c r="E2052" s="256" t="inlineStr">
        <is>
          <t>Fat Bastard</t>
        </is>
      </c>
      <c r="F2052" s="256" t="inlineStr">
        <is>
          <t>17.08.2026</t>
        </is>
      </c>
      <c r="G2052" s="256" t="inlineStr">
        <is>
          <t>4</t>
        </is>
      </c>
      <c r="H2052" s="256" t="inlineStr">
        <is>
          <t>Assay — Total Δ⁹-THC</t>
        </is>
      </c>
      <c r="I2052" s="256" t="inlineStr">
        <is>
          <t>Ph. Eur. 2.2.29 (HPLC)</t>
        </is>
      </c>
      <c r="J2052" s="256" t="inlineStr">
        <is>
          <t>16.20 – 19.79 %  (grade II, nominal 18.00 ± 1.80)</t>
        </is>
      </c>
      <c r="K2052" s="256" t="inlineStr">
        <is>
          <t>18.86</t>
        </is>
      </c>
      <c r="L2052" s="256" t="inlineStr">
        <is>
          <t>197-7-К/26</t>
        </is>
      </c>
      <c r="M2052" s="256" t="inlineStr">
        <is>
          <t>07.08.2026</t>
        </is>
      </c>
      <c r="N2052" s="256" t="inlineStr">
        <is>
          <t>Farmahem</t>
        </is>
      </c>
      <c r="O2052" s="256" t="inlineStr">
        <is>
          <t>27.07.2026</t>
        </is>
      </c>
      <c r="P2052" s="256" t="inlineStr">
        <is>
          <t>covered</t>
        </is>
      </c>
      <c r="Q2052" s="256" t="inlineStr"/>
      <c r="R2052" s="256" t="inlineStr"/>
    </row>
    <row r="2053">
      <c r="A2053" s="256" t="inlineStr">
        <is>
          <t>CoQ-PP_26-090</t>
        </is>
      </c>
      <c r="B2053" s="256" t="inlineStr">
        <is>
          <t>reissue — retest</t>
        </is>
      </c>
      <c r="C2053" s="256" t="inlineStr">
        <is>
          <t>FB012602</t>
        </is>
      </c>
      <c r="D2053" s="256" t="inlineStr">
        <is>
          <t>P060352</t>
        </is>
      </c>
      <c r="E2053" s="256" t="inlineStr">
        <is>
          <t>Fat Bastard</t>
        </is>
      </c>
      <c r="F2053" s="256" t="inlineStr">
        <is>
          <t>17.08.2026</t>
        </is>
      </c>
      <c r="G2053" s="256" t="inlineStr">
        <is>
          <t>5</t>
        </is>
      </c>
      <c r="H2053" s="256" t="inlineStr">
        <is>
          <t>Assay — Total CBD</t>
        </is>
      </c>
      <c r="I2053" s="256" t="inlineStr">
        <is>
          <t>Ph. Eur. 2.2.29 (HPLC) · CBD + CBDA x 0.877</t>
        </is>
      </c>
      <c r="J2053" s="256" t="inlineStr">
        <is>
          <t>≤ 1.0%, w/w</t>
        </is>
      </c>
      <c r="K2053" s="256" t="inlineStr">
        <is>
          <t>0.22</t>
        </is>
      </c>
      <c r="L2053" s="256" t="inlineStr">
        <is>
          <t>197-7-К/26</t>
        </is>
      </c>
      <c r="M2053" s="256" t="inlineStr">
        <is>
          <t>07.08.2026</t>
        </is>
      </c>
      <c r="N2053" s="256" t="inlineStr">
        <is>
          <t>Farmahem</t>
        </is>
      </c>
      <c r="O2053" s="256" t="inlineStr">
        <is>
          <t>27.07.2026</t>
        </is>
      </c>
      <c r="P2053" s="256" t="inlineStr">
        <is>
          <t>covered — laboratory finding recorded</t>
        </is>
      </c>
      <c r="Q2053" s="256" t="inlineStr"/>
      <c r="R2053" s="256" t="inlineStr"/>
    </row>
    <row r="2054">
      <c r="A2054" s="256" t="inlineStr">
        <is>
          <t>CoQ-PP_26-090</t>
        </is>
      </c>
      <c r="B2054" s="256" t="inlineStr">
        <is>
          <t>reissue — retest</t>
        </is>
      </c>
      <c r="C2054" s="256" t="inlineStr">
        <is>
          <t>FB012602</t>
        </is>
      </c>
      <c r="D2054" s="256" t="inlineStr">
        <is>
          <t>P060352</t>
        </is>
      </c>
      <c r="E2054" s="256" t="inlineStr">
        <is>
          <t>Fat Bastard</t>
        </is>
      </c>
      <c r="F2054" s="256" t="inlineStr">
        <is>
          <t>17.08.2026</t>
        </is>
      </c>
      <c r="G2054" s="256" t="inlineStr">
        <is>
          <t>6</t>
        </is>
      </c>
      <c r="H2054" s="256" t="inlineStr">
        <is>
          <t>Total CBN</t>
        </is>
      </c>
      <c r="I2054" s="256" t="inlineStr">
        <is>
          <t>Ph. Eur. 2.2.29 (HPLC) · CBN + CBNA x 0.876</t>
        </is>
      </c>
      <c r="J2054" s="256" t="inlineStr">
        <is>
          <t>≤ 1.0%, w/w</t>
        </is>
      </c>
      <c r="K2054" s="256" t="inlineStr">
        <is>
          <t>&lt; LOQ</t>
        </is>
      </c>
      <c r="L2054" s="256" t="inlineStr">
        <is>
          <t>197-7-К/26</t>
        </is>
      </c>
      <c r="M2054" s="256" t="inlineStr">
        <is>
          <t>07.08.2026</t>
        </is>
      </c>
      <c r="N2054" s="256" t="inlineStr">
        <is>
          <t>Farmahem</t>
        </is>
      </c>
      <c r="O2054" s="256" t="inlineStr">
        <is>
          <t>27.07.2026</t>
        </is>
      </c>
      <c r="P2054" s="256" t="inlineStr">
        <is>
          <t>covered — laboratory finding recorded</t>
        </is>
      </c>
      <c r="Q2054" s="256" t="inlineStr"/>
      <c r="R2054" s="256" t="inlineStr"/>
    </row>
    <row r="2055">
      <c r="A2055" s="256" t="inlineStr">
        <is>
          <t>CoQ-PP_26-090</t>
        </is>
      </c>
      <c r="B2055" s="256" t="inlineStr">
        <is>
          <t>reissue — retest</t>
        </is>
      </c>
      <c r="C2055" s="256" t="inlineStr">
        <is>
          <t>FB012602</t>
        </is>
      </c>
      <c r="D2055" s="256" t="inlineStr">
        <is>
          <t>P060352</t>
        </is>
      </c>
      <c r="E2055" s="256" t="inlineStr">
        <is>
          <t>Fat Bastard</t>
        </is>
      </c>
      <c r="F2055" s="256" t="inlineStr">
        <is>
          <t>17.08.2026</t>
        </is>
      </c>
      <c r="G2055" s="256" t="inlineStr">
        <is>
          <t>7</t>
        </is>
      </c>
      <c r="H2055" s="256" t="inlineStr">
        <is>
          <t>Foreign Matter</t>
        </is>
      </c>
      <c r="I2055" s="256" t="inlineStr">
        <is>
          <t>Ph. Eur. 2.8.2 · In-house · интерна</t>
        </is>
      </c>
      <c r="J2055" s="256" t="inlineStr">
        <is>
          <t>≤ 2.0% / 25–50 g · &lt; 1 cm leaves | листови, no seeds | без семки</t>
        </is>
      </c>
      <c r="K2055" s="256" t="inlineStr">
        <is>
          <t>Conforms | Одговара</t>
        </is>
      </c>
      <c r="L2055" s="256" t="inlineStr">
        <is>
          <t>iCoA-PP_26-109</t>
        </is>
      </c>
      <c r="M2055" s="256" t="inlineStr">
        <is>
          <t>27.07.2026</t>
        </is>
      </c>
      <c r="N2055" s="256" t="inlineStr">
        <is>
          <t>Purely Plant GmbH (in-house)</t>
        </is>
      </c>
      <c r="O2055" s="256" t="inlineStr">
        <is>
          <t>—</t>
        </is>
      </c>
      <c r="P2055" s="256" t="inlineStr">
        <is>
          <t>covered</t>
        </is>
      </c>
      <c r="Q2055" s="256" t="inlineStr">
        <is>
          <t>Purely Plant laboratory — iCoA covering Foreign matter</t>
        </is>
      </c>
      <c r="R2055" s="256" t="inlineStr"/>
    </row>
    <row r="2056">
      <c r="A2056" s="256" t="inlineStr">
        <is>
          <t>CoQ-PP_26-090</t>
        </is>
      </c>
      <c r="B2056" s="256" t="inlineStr">
        <is>
          <t>reissue — retest</t>
        </is>
      </c>
      <c r="C2056" s="256" t="inlineStr">
        <is>
          <t>FB012602</t>
        </is>
      </c>
      <c r="D2056" s="256" t="inlineStr">
        <is>
          <t>P060352</t>
        </is>
      </c>
      <c r="E2056" s="256" t="inlineStr">
        <is>
          <t>Fat Bastard</t>
        </is>
      </c>
      <c r="F2056" s="256" t="inlineStr">
        <is>
          <t>17.08.2026</t>
        </is>
      </c>
      <c r="G2056" s="256" t="inlineStr">
        <is>
          <t>8</t>
        </is>
      </c>
      <c r="H2056" s="256" t="inlineStr">
        <is>
          <t>Loss on Drying</t>
        </is>
      </c>
      <c r="I2056" s="256" t="inlineStr">
        <is>
          <t>Ph. Eur. 2.2.32 (3028) · at 40 °C, 24 h, 15–25 mbar</t>
        </is>
      </c>
      <c r="J2056" s="256" t="inlineStr">
        <is>
          <t>≤ 12.0%</t>
        </is>
      </c>
      <c r="K2056" s="256" t="inlineStr">
        <is>
          <t>carried from the initial testing — not tested</t>
        </is>
      </c>
      <c r="L2056" s="256" t="inlineStr">
        <is>
          <t>—</t>
        </is>
      </c>
      <c r="M2056" s="256" t="inlineStr">
        <is>
          <t>—</t>
        </is>
      </c>
      <c r="N2056" s="256" t="inlineStr">
        <is>
          <t>—</t>
        </is>
      </c>
      <c r="O2056" s="256" t="inlineStr">
        <is>
          <t>—</t>
        </is>
      </c>
      <c r="P2056" s="256" t="inlineStr">
        <is>
          <t>carried from the initial testing (CoQ-PP-2026-0021) — not tested — no certificate covers it</t>
        </is>
      </c>
      <c r="Q2056" s="256" t="inlineStr"/>
      <c r="R2056" s="256" t="inlineStr"/>
    </row>
    <row r="2057">
      <c r="A2057" s="256" t="inlineStr">
        <is>
          <t>CoQ-PP_26-090</t>
        </is>
      </c>
      <c r="B2057" s="256" t="inlineStr">
        <is>
          <t>reissue — retest</t>
        </is>
      </c>
      <c r="C2057" s="256" t="inlineStr">
        <is>
          <t>FB012602</t>
        </is>
      </c>
      <c r="D2057" s="256" t="inlineStr">
        <is>
          <t>P060352</t>
        </is>
      </c>
      <c r="E2057" s="256" t="inlineStr">
        <is>
          <t>Fat Bastard</t>
        </is>
      </c>
      <c r="F2057" s="256" t="inlineStr">
        <is>
          <t>17.08.2026</t>
        </is>
      </c>
      <c r="G2057" s="256" t="inlineStr">
        <is>
          <t>9.1</t>
        </is>
      </c>
      <c r="H2057" s="256" t="inlineStr">
        <is>
          <t>TAMC</t>
        </is>
      </c>
      <c r="I2057" s="256" t="inlineStr">
        <is>
          <t>Ph. Eur. 2.6.12 cat. C</t>
        </is>
      </c>
      <c r="J2057" s="256" t="inlineStr">
        <is>
          <t>≤ 10⁵ CFU/g</t>
        </is>
      </c>
      <c r="K2057" s="256" t="inlineStr">
        <is>
          <t>6.3 × 10⁴</t>
        </is>
      </c>
      <c r="L2057" s="256" t="inlineStr">
        <is>
          <t>366/0696/26</t>
        </is>
      </c>
      <c r="M2057" s="256" t="inlineStr">
        <is>
          <t>01.06.2026</t>
        </is>
      </c>
      <c r="N2057" s="256" t="inlineStr">
        <is>
          <t>IPH — Institute of Public Health</t>
        </is>
      </c>
      <c r="O2057" s="256" t="inlineStr">
        <is>
          <t>—</t>
        </is>
      </c>
      <c r="P2057" s="256" t="inlineStr">
        <is>
          <t>covered</t>
        </is>
      </c>
      <c r="Q2057" s="256" t="inlineStr"/>
      <c r="R2057" s="256" t="inlineStr"/>
    </row>
    <row r="2058">
      <c r="A2058" s="256" t="inlineStr">
        <is>
          <t>CoQ-PP_26-090</t>
        </is>
      </c>
      <c r="B2058" s="256" t="inlineStr">
        <is>
          <t>reissue — retest</t>
        </is>
      </c>
      <c r="C2058" s="256" t="inlineStr">
        <is>
          <t>FB012602</t>
        </is>
      </c>
      <c r="D2058" s="256" t="inlineStr">
        <is>
          <t>P060352</t>
        </is>
      </c>
      <c r="E2058" s="256" t="inlineStr">
        <is>
          <t>Fat Bastard</t>
        </is>
      </c>
      <c r="F2058" s="256" t="inlineStr">
        <is>
          <t>17.08.2026</t>
        </is>
      </c>
      <c r="G2058" s="256" t="inlineStr">
        <is>
          <t>9.2</t>
        </is>
      </c>
      <c r="H2058" s="256" t="inlineStr">
        <is>
          <t>TYMC</t>
        </is>
      </c>
      <c r="I2058" s="256" t="inlineStr">
        <is>
          <t>Ph. Eur. 2.6.12 cat. C</t>
        </is>
      </c>
      <c r="J2058" s="256" t="inlineStr">
        <is>
          <t>≤ 10⁴ CFU/g</t>
        </is>
      </c>
      <c r="K2058" s="256" t="inlineStr">
        <is>
          <t>2.2 × 10⁴</t>
        </is>
      </c>
      <c r="L2058" s="256" t="inlineStr">
        <is>
          <t>366/0696/26</t>
        </is>
      </c>
      <c r="M2058" s="256" t="inlineStr">
        <is>
          <t>01.06.2026</t>
        </is>
      </c>
      <c r="N2058" s="256" t="inlineStr">
        <is>
          <t>IPH — Institute of Public Health</t>
        </is>
      </c>
      <c r="O2058" s="256" t="inlineStr">
        <is>
          <t>—</t>
        </is>
      </c>
      <c r="P2058" s="256" t="inlineStr">
        <is>
          <t>OUT OF SPECIFICATION — covered</t>
        </is>
      </c>
      <c r="Q2058" s="256" t="inlineStr"/>
      <c r="R2058" s="256" t="inlineStr"/>
    </row>
    <row r="2059">
      <c r="A2059" s="256" t="inlineStr">
        <is>
          <t>CoQ-PP_26-090</t>
        </is>
      </c>
      <c r="B2059" s="256" t="inlineStr">
        <is>
          <t>reissue — retest</t>
        </is>
      </c>
      <c r="C2059" s="256" t="inlineStr">
        <is>
          <t>FB012602</t>
        </is>
      </c>
      <c r="D2059" s="256" t="inlineStr">
        <is>
          <t>P060352</t>
        </is>
      </c>
      <c r="E2059" s="256" t="inlineStr">
        <is>
          <t>Fat Bastard</t>
        </is>
      </c>
      <c r="F2059" s="256" t="inlineStr">
        <is>
          <t>17.08.2026</t>
        </is>
      </c>
      <c r="G2059" s="256" t="inlineStr">
        <is>
          <t>9.3</t>
        </is>
      </c>
      <c r="H2059" s="256" t="inlineStr">
        <is>
          <t>Bile-tolerant gram-neg.</t>
        </is>
      </c>
      <c r="I2059" s="256" t="inlineStr">
        <is>
          <t>Ph. Eur. 2.6.31 cat. C</t>
        </is>
      </c>
      <c r="J2059" s="256" t="inlineStr">
        <is>
          <t>≤ 10⁴ CFU/g</t>
        </is>
      </c>
      <c r="K2059" s="256" t="inlineStr">
        <is>
          <t>&lt; 10</t>
        </is>
      </c>
      <c r="L2059" s="256" t="inlineStr">
        <is>
          <t>366/0696/26</t>
        </is>
      </c>
      <c r="M2059" s="256" t="inlineStr">
        <is>
          <t>01.06.2026</t>
        </is>
      </c>
      <c r="N2059" s="256" t="inlineStr">
        <is>
          <t>IPH — Institute of Public Health</t>
        </is>
      </c>
      <c r="O2059" s="256" t="inlineStr">
        <is>
          <t>—</t>
        </is>
      </c>
      <c r="P2059" s="256" t="inlineStr">
        <is>
          <t>covered</t>
        </is>
      </c>
      <c r="Q2059" s="256" t="inlineStr"/>
      <c r="R2059" s="256" t="inlineStr"/>
    </row>
    <row r="2060">
      <c r="A2060" s="256" t="inlineStr">
        <is>
          <t>CoQ-PP_26-090</t>
        </is>
      </c>
      <c r="B2060" s="256" t="inlineStr">
        <is>
          <t>reissue — retest</t>
        </is>
      </c>
      <c r="C2060" s="256" t="inlineStr">
        <is>
          <t>FB012602</t>
        </is>
      </c>
      <c r="D2060" s="256" t="inlineStr">
        <is>
          <t>P060352</t>
        </is>
      </c>
      <c r="E2060" s="256" t="inlineStr">
        <is>
          <t>Fat Bastard</t>
        </is>
      </c>
      <c r="F2060" s="256" t="inlineStr">
        <is>
          <t>17.08.2026</t>
        </is>
      </c>
      <c r="G2060" s="256" t="inlineStr">
        <is>
          <t>9.4</t>
        </is>
      </c>
      <c r="H2060" s="256" t="inlineStr">
        <is>
          <t>Salmonella</t>
        </is>
      </c>
      <c r="I2060" s="256" t="inlineStr">
        <is>
          <t>Ph. Eur. 2.6.31 cat. C</t>
        </is>
      </c>
      <c r="J2060" s="256" t="inlineStr">
        <is>
          <t>Absence | Отсуство / 25 g</t>
        </is>
      </c>
      <c r="K2060" s="256" t="inlineStr">
        <is>
          <t>Absent | Отсутна</t>
        </is>
      </c>
      <c r="L2060" s="256" t="inlineStr">
        <is>
          <t>366/0696/26</t>
        </is>
      </c>
      <c r="M2060" s="256" t="inlineStr">
        <is>
          <t>01.06.2026</t>
        </is>
      </c>
      <c r="N2060" s="256" t="inlineStr">
        <is>
          <t>IPH — Institute of Public Health</t>
        </is>
      </c>
      <c r="O2060" s="256" t="inlineStr">
        <is>
          <t>—</t>
        </is>
      </c>
      <c r="P2060" s="256" t="inlineStr">
        <is>
          <t>covered</t>
        </is>
      </c>
      <c r="Q2060" s="256" t="inlineStr"/>
      <c r="R2060" s="256" t="inlineStr"/>
    </row>
    <row r="2061">
      <c r="A2061" s="256" t="inlineStr">
        <is>
          <t>CoQ-PP_26-090</t>
        </is>
      </c>
      <c r="B2061" s="256" t="inlineStr">
        <is>
          <t>reissue — retest</t>
        </is>
      </c>
      <c r="C2061" s="256" t="inlineStr">
        <is>
          <t>FB012602</t>
        </is>
      </c>
      <c r="D2061" s="256" t="inlineStr">
        <is>
          <t>P060352</t>
        </is>
      </c>
      <c r="E2061" s="256" t="inlineStr">
        <is>
          <t>Fat Bastard</t>
        </is>
      </c>
      <c r="F2061" s="256" t="inlineStr">
        <is>
          <t>17.08.2026</t>
        </is>
      </c>
      <c r="G2061" s="256" t="inlineStr">
        <is>
          <t>9.5</t>
        </is>
      </c>
      <c r="H2061" s="256" t="inlineStr">
        <is>
          <t>Escherichia coli</t>
        </is>
      </c>
      <c r="I2061" s="256" t="inlineStr">
        <is>
          <t>Ph. Eur. 2.6.13 cat. C</t>
        </is>
      </c>
      <c r="J2061" s="256" t="inlineStr">
        <is>
          <t>Absence | Отсуство / 1 g</t>
        </is>
      </c>
      <c r="K2061" s="256" t="inlineStr">
        <is>
          <t>Absent | Отсутна</t>
        </is>
      </c>
      <c r="L2061" s="256" t="inlineStr">
        <is>
          <t>366/0696/26</t>
        </is>
      </c>
      <c r="M2061" s="256" t="inlineStr">
        <is>
          <t>01.06.2026</t>
        </is>
      </c>
      <c r="N2061" s="256" t="inlineStr">
        <is>
          <t>IPH — Institute of Public Health</t>
        </is>
      </c>
      <c r="O2061" s="256" t="inlineStr">
        <is>
          <t>—</t>
        </is>
      </c>
      <c r="P2061" s="256" t="inlineStr">
        <is>
          <t>covered</t>
        </is>
      </c>
      <c r="Q2061" s="256" t="inlineStr"/>
      <c r="R2061" s="256" t="inlineStr"/>
    </row>
    <row r="2062">
      <c r="A2062" s="256" t="inlineStr">
        <is>
          <t>CoQ-PP_26-090</t>
        </is>
      </c>
      <c r="B2062" s="256" t="inlineStr">
        <is>
          <t>reissue — retest</t>
        </is>
      </c>
      <c r="C2062" s="256" t="inlineStr">
        <is>
          <t>FB012602</t>
        </is>
      </c>
      <c r="D2062" s="256" t="inlineStr">
        <is>
          <t>P060352</t>
        </is>
      </c>
      <c r="E2062" s="256" t="inlineStr">
        <is>
          <t>Fat Bastard</t>
        </is>
      </c>
      <c r="F2062" s="256" t="inlineStr">
        <is>
          <t>17.08.2026</t>
        </is>
      </c>
      <c r="G2062" s="256" t="inlineStr">
        <is>
          <t>9.6</t>
        </is>
      </c>
      <c r="H2062" s="256" t="inlineStr">
        <is>
          <t>Pseudomonas aeruginosa</t>
        </is>
      </c>
      <c r="I2062" s="256" t="inlineStr">
        <is>
          <t>Ph. Eur. 2.6.13 cat. C</t>
        </is>
      </c>
      <c r="J2062" s="256" t="inlineStr">
        <is>
          <t>Absence | Отсуство / 1 g</t>
        </is>
      </c>
      <c r="K2062" s="260" t="inlineStr">
        <is>
          <t>upon request — not required for release</t>
        </is>
      </c>
      <c r="L2062" s="256" t="inlineStr">
        <is>
          <t>—</t>
        </is>
      </c>
      <c r="M2062" s="256" t="inlineStr">
        <is>
          <t>—</t>
        </is>
      </c>
      <c r="N2062" s="256" t="inlineStr">
        <is>
          <t>—</t>
        </is>
      </c>
      <c r="O2062" s="256" t="inlineStr">
        <is>
          <t>—</t>
        </is>
      </c>
      <c r="P2062" s="256" t="inlineStr">
        <is>
          <t>upon request — not required for release</t>
        </is>
      </c>
      <c r="Q2062" s="256" t="inlineStr"/>
      <c r="R2062" s="256" t="inlineStr"/>
    </row>
    <row r="2063">
      <c r="A2063" s="256" t="inlineStr">
        <is>
          <t>CoQ-PP_26-090</t>
        </is>
      </c>
      <c r="B2063" s="256" t="inlineStr">
        <is>
          <t>reissue — retest</t>
        </is>
      </c>
      <c r="C2063" s="256" t="inlineStr">
        <is>
          <t>FB012602</t>
        </is>
      </c>
      <c r="D2063" s="256" t="inlineStr">
        <is>
          <t>P060352</t>
        </is>
      </c>
      <c r="E2063" s="256" t="inlineStr">
        <is>
          <t>Fat Bastard</t>
        </is>
      </c>
      <c r="F2063" s="256" t="inlineStr">
        <is>
          <t>17.08.2026</t>
        </is>
      </c>
      <c r="G2063" s="256" t="inlineStr">
        <is>
          <t>9.7</t>
        </is>
      </c>
      <c r="H2063" s="256" t="inlineStr">
        <is>
          <t>Staphylococcus aureus</t>
        </is>
      </c>
      <c r="I2063" s="256" t="inlineStr">
        <is>
          <t>Ph. Eur. 2.6.13 cat. C</t>
        </is>
      </c>
      <c r="J2063" s="256" t="inlineStr">
        <is>
          <t>Absence | Отсуство / 1 g</t>
        </is>
      </c>
      <c r="K2063" s="260" t="inlineStr">
        <is>
          <t>upon request — not required for release</t>
        </is>
      </c>
      <c r="L2063" s="256" t="inlineStr">
        <is>
          <t>—</t>
        </is>
      </c>
      <c r="M2063" s="256" t="inlineStr">
        <is>
          <t>—</t>
        </is>
      </c>
      <c r="N2063" s="256" t="inlineStr">
        <is>
          <t>—</t>
        </is>
      </c>
      <c r="O2063" s="256" t="inlineStr">
        <is>
          <t>—</t>
        </is>
      </c>
      <c r="P2063" s="256" t="inlineStr">
        <is>
          <t>upon request — not required for release</t>
        </is>
      </c>
      <c r="Q2063" s="256" t="inlineStr"/>
      <c r="R2063" s="256" t="inlineStr"/>
    </row>
    <row r="2064">
      <c r="A2064" s="256" t="inlineStr">
        <is>
          <t>CoQ-PP_26-090</t>
        </is>
      </c>
      <c r="B2064" s="256" t="inlineStr">
        <is>
          <t>reissue — retest</t>
        </is>
      </c>
      <c r="C2064" s="256" t="inlineStr">
        <is>
          <t>FB012602</t>
        </is>
      </c>
      <c r="D2064" s="256" t="inlineStr">
        <is>
          <t>P060352</t>
        </is>
      </c>
      <c r="E2064" s="256" t="inlineStr">
        <is>
          <t>Fat Bastard</t>
        </is>
      </c>
      <c r="F2064" s="256" t="inlineStr">
        <is>
          <t>17.08.2026</t>
        </is>
      </c>
      <c r="G2064" s="256" t="inlineStr">
        <is>
          <t>10.1</t>
        </is>
      </c>
      <c r="H2064" s="256" t="inlineStr">
        <is>
          <t>Aflatoxin B₁</t>
        </is>
      </c>
      <c r="I2064" s="256" t="inlineStr">
        <is>
          <t>Ph. Eur. 2.8.18 (HPLC-FLD)</t>
        </is>
      </c>
      <c r="J2064" s="256" t="inlineStr">
        <is>
          <t>≤ 2 µg/kg</t>
        </is>
      </c>
      <c r="K2064" s="256" t="inlineStr">
        <is>
          <t>ND</t>
        </is>
      </c>
      <c r="L2064" s="256" t="inlineStr">
        <is>
          <t>197-7-М/26</t>
        </is>
      </c>
      <c r="M2064" s="256" t="inlineStr">
        <is>
          <t>10.08.2026</t>
        </is>
      </c>
      <c r="N2064" s="256" t="inlineStr">
        <is>
          <t>Farmahem</t>
        </is>
      </c>
      <c r="O2064" s="256" t="inlineStr">
        <is>
          <t>29.07.2026</t>
        </is>
      </c>
      <c r="P2064" s="256" t="inlineStr">
        <is>
          <t>covered</t>
        </is>
      </c>
      <c r="Q2064" s="256" t="inlineStr"/>
      <c r="R2064" s="256" t="inlineStr"/>
    </row>
    <row r="2065">
      <c r="A2065" s="256" t="inlineStr">
        <is>
          <t>CoQ-PP_26-090</t>
        </is>
      </c>
      <c r="B2065" s="256" t="inlineStr">
        <is>
          <t>reissue — retest</t>
        </is>
      </c>
      <c r="C2065" s="256" t="inlineStr">
        <is>
          <t>FB012602</t>
        </is>
      </c>
      <c r="D2065" s="256" t="inlineStr">
        <is>
          <t>P060352</t>
        </is>
      </c>
      <c r="E2065" s="256" t="inlineStr">
        <is>
          <t>Fat Bastard</t>
        </is>
      </c>
      <c r="F2065" s="256" t="inlineStr">
        <is>
          <t>17.08.2026</t>
        </is>
      </c>
      <c r="G2065" s="256" t="inlineStr">
        <is>
          <t>10.2</t>
        </is>
      </c>
      <c r="H2065" s="256" t="inlineStr">
        <is>
          <t>Aflatoxins ∑</t>
        </is>
      </c>
      <c r="I2065" s="256" t="inlineStr">
        <is>
          <t>Ph. Eur. 2.8.18 (HPLC-FLD)</t>
        </is>
      </c>
      <c r="J2065" s="256" t="inlineStr">
        <is>
          <t>≤ 4 µg/kg</t>
        </is>
      </c>
      <c r="K2065" s="256" t="inlineStr">
        <is>
          <t>ND</t>
        </is>
      </c>
      <c r="L2065" s="256" t="inlineStr">
        <is>
          <t>197-7-М/26</t>
        </is>
      </c>
      <c r="M2065" s="256" t="inlineStr">
        <is>
          <t>10.08.2026</t>
        </is>
      </c>
      <c r="N2065" s="256" t="inlineStr">
        <is>
          <t>Farmahem</t>
        </is>
      </c>
      <c r="O2065" s="256" t="inlineStr">
        <is>
          <t>29.07.2026</t>
        </is>
      </c>
      <c r="P2065" s="256" t="inlineStr">
        <is>
          <t>covered</t>
        </is>
      </c>
      <c r="Q2065" s="256" t="inlineStr"/>
      <c r="R2065" s="256" t="inlineStr"/>
    </row>
    <row r="2066">
      <c r="A2066" s="256" t="inlineStr">
        <is>
          <t>CoQ-PP_26-090</t>
        </is>
      </c>
      <c r="B2066" s="256" t="inlineStr">
        <is>
          <t>reissue — retest</t>
        </is>
      </c>
      <c r="C2066" s="256" t="inlineStr">
        <is>
          <t>FB012602</t>
        </is>
      </c>
      <c r="D2066" s="256" t="inlineStr">
        <is>
          <t>P060352</t>
        </is>
      </c>
      <c r="E2066" s="256" t="inlineStr">
        <is>
          <t>Fat Bastard</t>
        </is>
      </c>
      <c r="F2066" s="256" t="inlineStr">
        <is>
          <t>17.08.2026</t>
        </is>
      </c>
      <c r="G2066" s="256" t="inlineStr">
        <is>
          <t>10.3</t>
        </is>
      </c>
      <c r="H2066" s="256" t="inlineStr">
        <is>
          <t>Ochratoxin A</t>
        </is>
      </c>
      <c r="I2066" s="256" t="inlineStr">
        <is>
          <t>Ph. Eur. 2.8.22 (HPLC-FLD)</t>
        </is>
      </c>
      <c r="J2066" s="256" t="inlineStr">
        <is>
          <t>≤ 20 µg/kg</t>
        </is>
      </c>
      <c r="K2066" s="256" t="inlineStr">
        <is>
          <t>ND</t>
        </is>
      </c>
      <c r="L2066" s="256" t="inlineStr">
        <is>
          <t>197-7-М/26</t>
        </is>
      </c>
      <c r="M2066" s="256" t="inlineStr">
        <is>
          <t>10.08.2026</t>
        </is>
      </c>
      <c r="N2066" s="256" t="inlineStr">
        <is>
          <t>Farmahem</t>
        </is>
      </c>
      <c r="O2066" s="256" t="inlineStr">
        <is>
          <t>29.07.2026</t>
        </is>
      </c>
      <c r="P2066" s="256" t="inlineStr">
        <is>
          <t>covered</t>
        </is>
      </c>
      <c r="Q2066" s="256" t="inlineStr"/>
      <c r="R2066" s="256" t="inlineStr"/>
    </row>
    <row r="2067">
      <c r="A2067" s="256" t="inlineStr">
        <is>
          <t>CoQ-PP_26-090</t>
        </is>
      </c>
      <c r="B2067" s="256" t="inlineStr">
        <is>
          <t>reissue — retest</t>
        </is>
      </c>
      <c r="C2067" s="256" t="inlineStr">
        <is>
          <t>FB012602</t>
        </is>
      </c>
      <c r="D2067" s="256" t="inlineStr">
        <is>
          <t>P060352</t>
        </is>
      </c>
      <c r="E2067" s="256" t="inlineStr">
        <is>
          <t>Fat Bastard</t>
        </is>
      </c>
      <c r="F2067" s="256" t="inlineStr">
        <is>
          <t>17.08.2026</t>
        </is>
      </c>
      <c r="G2067" s="256" t="inlineStr">
        <is>
          <t>11.1</t>
        </is>
      </c>
      <c r="H2067" s="256" t="inlineStr">
        <is>
          <t>Lead (Pb)</t>
        </is>
      </c>
      <c r="I2067" s="256" t="inlineStr">
        <is>
          <t>Ph. Eur. 2.4.27 (ICP-MS)</t>
        </is>
      </c>
      <c r="J2067" s="256" t="inlineStr">
        <is>
          <t>≤ 0.5 mg/kg</t>
        </is>
      </c>
      <c r="K2067" s="256" t="inlineStr">
        <is>
          <t>carried from the initial testing — not tested</t>
        </is>
      </c>
      <c r="L2067" s="256" t="inlineStr">
        <is>
          <t>—</t>
        </is>
      </c>
      <c r="M2067" s="256" t="inlineStr">
        <is>
          <t>—</t>
        </is>
      </c>
      <c r="N2067" s="256" t="inlineStr">
        <is>
          <t>—</t>
        </is>
      </c>
      <c r="O2067" s="256" t="inlineStr">
        <is>
          <t>—</t>
        </is>
      </c>
      <c r="P2067" s="256" t="inlineStr">
        <is>
          <t>carried from the initial testing (CoQ-PP-2026-0021) — not tested — no certificate covers it</t>
        </is>
      </c>
      <c r="Q2067" s="256" t="inlineStr"/>
      <c r="R2067" s="256" t="inlineStr"/>
    </row>
    <row r="2068">
      <c r="A2068" s="256" t="inlineStr">
        <is>
          <t>CoQ-PP_26-090</t>
        </is>
      </c>
      <c r="B2068" s="256" t="inlineStr">
        <is>
          <t>reissue — retest</t>
        </is>
      </c>
      <c r="C2068" s="256" t="inlineStr">
        <is>
          <t>FB012602</t>
        </is>
      </c>
      <c r="D2068" s="256" t="inlineStr">
        <is>
          <t>P060352</t>
        </is>
      </c>
      <c r="E2068" s="256" t="inlineStr">
        <is>
          <t>Fat Bastard</t>
        </is>
      </c>
      <c r="F2068" s="256" t="inlineStr">
        <is>
          <t>17.08.2026</t>
        </is>
      </c>
      <c r="G2068" s="256" t="inlineStr">
        <is>
          <t>11.2</t>
        </is>
      </c>
      <c r="H2068" s="256" t="inlineStr">
        <is>
          <t>Cadmium (Cd)</t>
        </is>
      </c>
      <c r="I2068" s="256" t="inlineStr">
        <is>
          <t>Ph. Eur. 2.4.27 (ICP-MS)</t>
        </is>
      </c>
      <c r="J2068" s="256" t="inlineStr">
        <is>
          <t>≤ 0.3 mg/kg</t>
        </is>
      </c>
      <c r="K2068" s="256" t="inlineStr">
        <is>
          <t>carried from the initial testing — not tested</t>
        </is>
      </c>
      <c r="L2068" s="256" t="inlineStr">
        <is>
          <t>—</t>
        </is>
      </c>
      <c r="M2068" s="256" t="inlineStr">
        <is>
          <t>—</t>
        </is>
      </c>
      <c r="N2068" s="256" t="inlineStr">
        <is>
          <t>—</t>
        </is>
      </c>
      <c r="O2068" s="256" t="inlineStr">
        <is>
          <t>—</t>
        </is>
      </c>
      <c r="P2068" s="256" t="inlineStr">
        <is>
          <t>carried from the initial testing (CoQ-PP-2026-0021) — not tested — no certificate covers it</t>
        </is>
      </c>
      <c r="Q2068" s="256" t="inlineStr"/>
      <c r="R2068" s="256" t="inlineStr"/>
    </row>
    <row r="2069">
      <c r="A2069" s="256" t="inlineStr">
        <is>
          <t>CoQ-PP_26-090</t>
        </is>
      </c>
      <c r="B2069" s="256" t="inlineStr">
        <is>
          <t>reissue — retest</t>
        </is>
      </c>
      <c r="C2069" s="256" t="inlineStr">
        <is>
          <t>FB012602</t>
        </is>
      </c>
      <c r="D2069" s="256" t="inlineStr">
        <is>
          <t>P060352</t>
        </is>
      </c>
      <c r="E2069" s="256" t="inlineStr">
        <is>
          <t>Fat Bastard</t>
        </is>
      </c>
      <c r="F2069" s="256" t="inlineStr">
        <is>
          <t>17.08.2026</t>
        </is>
      </c>
      <c r="G2069" s="256" t="inlineStr">
        <is>
          <t>11.3</t>
        </is>
      </c>
      <c r="H2069" s="256" t="inlineStr">
        <is>
          <t>Arsenic (As)</t>
        </is>
      </c>
      <c r="I2069" s="256" t="inlineStr">
        <is>
          <t>Ph. Eur. 2.4.27 (ICP-MS)</t>
        </is>
      </c>
      <c r="J2069" s="256" t="inlineStr">
        <is>
          <t>≤ 0.2 mg/kg</t>
        </is>
      </c>
      <c r="K2069" s="256" t="inlineStr">
        <is>
          <t>carried from the initial testing — not tested</t>
        </is>
      </c>
      <c r="L2069" s="256" t="inlineStr">
        <is>
          <t>—</t>
        </is>
      </c>
      <c r="M2069" s="256" t="inlineStr">
        <is>
          <t>—</t>
        </is>
      </c>
      <c r="N2069" s="256" t="inlineStr">
        <is>
          <t>—</t>
        </is>
      </c>
      <c r="O2069" s="256" t="inlineStr">
        <is>
          <t>—</t>
        </is>
      </c>
      <c r="P2069" s="256" t="inlineStr">
        <is>
          <t>carried from the initial testing (CoQ-PP-2026-0021) — not tested — no certificate covers it</t>
        </is>
      </c>
      <c r="Q2069" s="256" t="inlineStr"/>
      <c r="R2069" s="256" t="inlineStr"/>
    </row>
    <row r="2070">
      <c r="A2070" s="256" t="inlineStr">
        <is>
          <t>CoQ-PP_26-090</t>
        </is>
      </c>
      <c r="B2070" s="256" t="inlineStr">
        <is>
          <t>reissue — retest</t>
        </is>
      </c>
      <c r="C2070" s="256" t="inlineStr">
        <is>
          <t>FB012602</t>
        </is>
      </c>
      <c r="D2070" s="256" t="inlineStr">
        <is>
          <t>P060352</t>
        </is>
      </c>
      <c r="E2070" s="256" t="inlineStr">
        <is>
          <t>Fat Bastard</t>
        </is>
      </c>
      <c r="F2070" s="256" t="inlineStr">
        <is>
          <t>17.08.2026</t>
        </is>
      </c>
      <c r="G2070" s="256" t="inlineStr">
        <is>
          <t>11.4</t>
        </is>
      </c>
      <c r="H2070" s="256" t="inlineStr">
        <is>
          <t>Mercury (Hg)</t>
        </is>
      </c>
      <c r="I2070" s="256" t="inlineStr">
        <is>
          <t>Ph. Eur. 2.4.27 (ICP-MS)</t>
        </is>
      </c>
      <c r="J2070" s="256" t="inlineStr">
        <is>
          <t>≤ 0.1 mg/kg</t>
        </is>
      </c>
      <c r="K2070" s="256" t="inlineStr">
        <is>
          <t>carried from the initial testing — not tested</t>
        </is>
      </c>
      <c r="L2070" s="256" t="inlineStr">
        <is>
          <t>—</t>
        </is>
      </c>
      <c r="M2070" s="256" t="inlineStr">
        <is>
          <t>—</t>
        </is>
      </c>
      <c r="N2070" s="256" t="inlineStr">
        <is>
          <t>—</t>
        </is>
      </c>
      <c r="O2070" s="256" t="inlineStr">
        <is>
          <t>—</t>
        </is>
      </c>
      <c r="P2070" s="256" t="inlineStr">
        <is>
          <t>carried from the initial testing (CoQ-PP-2026-0021) — not tested — no certificate covers it</t>
        </is>
      </c>
      <c r="Q2070" s="256" t="inlineStr"/>
      <c r="R2070" s="256" t="inlineStr"/>
    </row>
    <row r="2071">
      <c r="A2071" s="256" t="inlineStr">
        <is>
          <t>CoQ-PP_26-090</t>
        </is>
      </c>
      <c r="B2071" s="256" t="inlineStr">
        <is>
          <t>reissue — retest</t>
        </is>
      </c>
      <c r="C2071" s="256" t="inlineStr">
        <is>
          <t>FB012602</t>
        </is>
      </c>
      <c r="D2071" s="256" t="inlineStr">
        <is>
          <t>P060352</t>
        </is>
      </c>
      <c r="E2071" s="256" t="inlineStr">
        <is>
          <t>Fat Bastard</t>
        </is>
      </c>
      <c r="F2071" s="256" t="inlineStr">
        <is>
          <t>17.08.2026</t>
        </is>
      </c>
      <c r="G2071" s="256" t="inlineStr">
        <is>
          <t>12</t>
        </is>
      </c>
      <c r="H2071" s="256" t="inlineStr">
        <is>
          <t>Pesticide Residues</t>
        </is>
      </c>
      <c r="I2071" s="256" t="inlineStr">
        <is>
          <t>Ph. Eur. 2.8.13 (LC-MS/MS) · CUMCS Equivalency</t>
        </is>
      </c>
      <c r="J2071" s="256" t="inlineStr">
        <is>
          <t>≤ LOQ as per Ph. Eur. 2.8.13 · ≤ LOQ as per CUMCS Equivalency</t>
        </is>
      </c>
      <c r="K2071" s="256" t="inlineStr">
        <is>
          <t>carried from the initial testing — not tested</t>
        </is>
      </c>
      <c r="L2071" s="256" t="inlineStr">
        <is>
          <t>—</t>
        </is>
      </c>
      <c r="M2071" s="256" t="inlineStr">
        <is>
          <t>—</t>
        </is>
      </c>
      <c r="N2071" s="256" t="inlineStr">
        <is>
          <t>—</t>
        </is>
      </c>
      <c r="O2071" s="256" t="inlineStr">
        <is>
          <t>—</t>
        </is>
      </c>
      <c r="P2071" s="256" t="inlineStr">
        <is>
          <t>carried from the initial testing (CoQ-PP-2026-0021) — not tested — no certificate covers it</t>
        </is>
      </c>
      <c r="Q2071" s="256" t="inlineStr"/>
      <c r="R2071" s="256" t="inlineStr"/>
    </row>
    <row r="2072">
      <c r="A2072" s="256" t="inlineStr">
        <is>
          <t>CoQ-PP_26-091</t>
        </is>
      </c>
      <c r="B2072" s="256" t="inlineStr">
        <is>
          <t>reissue — retest</t>
        </is>
      </c>
      <c r="C2072" s="256" t="inlineStr">
        <is>
          <t>GG012603</t>
        </is>
      </c>
      <c r="D2072" s="256" t="inlineStr">
        <is>
          <t>P060402</t>
        </is>
      </c>
      <c r="E2072" s="256" t="inlineStr">
        <is>
          <t>Gorilla Glue</t>
        </is>
      </c>
      <c r="F2072" s="256" t="inlineStr">
        <is>
          <t>17.08.2026</t>
        </is>
      </c>
      <c r="G2072" s="256" t="inlineStr">
        <is>
          <t>1</t>
        </is>
      </c>
      <c r="H2072" s="256" t="inlineStr">
        <is>
          <t>Identification A, Appearance · Macroscopic</t>
        </is>
      </c>
      <c r="I2072" s="256" t="inlineStr">
        <is>
          <t>Ph. Eur. mon. 3028</t>
        </is>
      </c>
      <c r="J2072" s="256" t="inlineStr">
        <is>
          <t>Conforms to the monograph for Cannabis flos (07/2024:3028) in Ph. Eur. 11.0 | Согласно монографија за Cannabis flos (07/2024:3028) во Ph. Eur. 11.0</t>
        </is>
      </c>
      <c r="K2072" s="256" t="inlineStr">
        <is>
          <t>Conforms | Одговара</t>
        </is>
      </c>
      <c r="L2072" s="256" t="inlineStr">
        <is>
          <t>ППК26114</t>
        </is>
      </c>
      <c r="M2072" s="256" t="inlineStr">
        <is>
          <t>30.06.2026</t>
        </is>
      </c>
      <c r="N2072" s="256" t="inlineStr">
        <is>
          <t>UKIM Faculty of Pharmacy — Center for Natural Products</t>
        </is>
      </c>
      <c r="O2072" s="256" t="inlineStr">
        <is>
          <t>17.06.2026</t>
        </is>
      </c>
      <c r="P2072" s="256" t="inlineStr">
        <is>
          <t>carried from the initial testing (CoQ-PP-2026-0023) — covered</t>
        </is>
      </c>
      <c r="Q2072" s="256" t="inlineStr"/>
      <c r="R2072" s="256" t="inlineStr"/>
    </row>
    <row r="2073">
      <c r="A2073" s="256" t="inlineStr">
        <is>
          <t>CoQ-PP_26-091</t>
        </is>
      </c>
      <c r="B2073" s="256" t="inlineStr">
        <is>
          <t>reissue — retest</t>
        </is>
      </c>
      <c r="C2073" s="256" t="inlineStr">
        <is>
          <t>GG012603</t>
        </is>
      </c>
      <c r="D2073" s="256" t="inlineStr">
        <is>
          <t>P060402</t>
        </is>
      </c>
      <c r="E2073" s="256" t="inlineStr">
        <is>
          <t>Gorilla Glue</t>
        </is>
      </c>
      <c r="F2073" s="256" t="inlineStr">
        <is>
          <t>17.08.2026</t>
        </is>
      </c>
      <c r="G2073" s="256" t="inlineStr">
        <is>
          <t>2</t>
        </is>
      </c>
      <c r="H2073" s="256" t="inlineStr">
        <is>
          <t>Identification B · Microscopic</t>
        </is>
      </c>
      <c r="I2073" s="256" t="inlineStr">
        <is>
          <t>Ph. Eur. 2.8.23 (microscopy)</t>
        </is>
      </c>
      <c r="J2073" s="256" t="inlineStr">
        <is>
          <t>Conforms to the monograph for Cannabis flos (07/2024:3028) in Ph. Eur. 11.0 | Согласно монографија за Cannabis flos (07/2024:3028) во Ph. Eur. 11.0</t>
        </is>
      </c>
      <c r="K2073" s="256" t="inlineStr">
        <is>
          <t>Conforms | Одговара</t>
        </is>
      </c>
      <c r="L2073" s="256" t="inlineStr">
        <is>
          <t>ППК26114</t>
        </is>
      </c>
      <c r="M2073" s="256" t="inlineStr">
        <is>
          <t>30.06.2026</t>
        </is>
      </c>
      <c r="N2073" s="256" t="inlineStr">
        <is>
          <t>UKIM Faculty of Pharmacy — Center for Natural Products</t>
        </is>
      </c>
      <c r="O2073" s="256" t="inlineStr">
        <is>
          <t>17.06.2026</t>
        </is>
      </c>
      <c r="P2073" s="256" t="inlineStr">
        <is>
          <t>carried from the initial testing (CoQ-PP-2026-0023) — covered</t>
        </is>
      </c>
      <c r="Q2073" s="256" t="inlineStr"/>
      <c r="R2073" s="256" t="inlineStr"/>
    </row>
    <row r="2074">
      <c r="A2074" s="256" t="inlineStr">
        <is>
          <t>CoQ-PP_26-091</t>
        </is>
      </c>
      <c r="B2074" s="256" t="inlineStr">
        <is>
          <t>reissue — retest</t>
        </is>
      </c>
      <c r="C2074" s="256" t="inlineStr">
        <is>
          <t>GG012603</t>
        </is>
      </c>
      <c r="D2074" s="256" t="inlineStr">
        <is>
          <t>P060402</t>
        </is>
      </c>
      <c r="E2074" s="256" t="inlineStr">
        <is>
          <t>Gorilla Glue</t>
        </is>
      </c>
      <c r="F2074" s="256" t="inlineStr">
        <is>
          <t>17.08.2026</t>
        </is>
      </c>
      <c r="G2074" s="256" t="inlineStr">
        <is>
          <t>3</t>
        </is>
      </c>
      <c r="H2074" s="256" t="inlineStr">
        <is>
          <t>Identification C · HPLC/HPTLC</t>
        </is>
      </c>
      <c r="I2074" s="256" t="inlineStr">
        <is>
          <t>Ph. Eur. 2.2.29 (3028)</t>
        </is>
      </c>
      <c r="J2074" s="256" t="inlineStr">
        <is>
          <t>Conforms to the monograph for Cannabis flos (07/2024:3028) in Ph. Eur. 11.0 | Согласно монографија за Cannabis flos (07/2024:3028) во Ph. Eur. 11.0</t>
        </is>
      </c>
      <c r="K2074" s="256" t="inlineStr">
        <is>
          <t>Conforms | Одговара</t>
        </is>
      </c>
      <c r="L2074" s="256" t="inlineStr">
        <is>
          <t>197-8-К/26</t>
        </is>
      </c>
      <c r="M2074" s="256" t="inlineStr">
        <is>
          <t>07.08.2026</t>
        </is>
      </c>
      <c r="N2074" s="256" t="inlineStr">
        <is>
          <t>Farmahem</t>
        </is>
      </c>
      <c r="O2074" s="256" t="inlineStr">
        <is>
          <t>27.07.2026</t>
        </is>
      </c>
      <c r="P2074" s="256" t="inlineStr">
        <is>
          <t>covered</t>
        </is>
      </c>
      <c r="Q2074" s="256" t="inlineStr"/>
      <c r="R2074" s="256" t="inlineStr"/>
    </row>
    <row r="2075">
      <c r="A2075" s="256" t="inlineStr">
        <is>
          <t>CoQ-PP_26-091</t>
        </is>
      </c>
      <c r="B2075" s="256" t="inlineStr">
        <is>
          <t>reissue — retest</t>
        </is>
      </c>
      <c r="C2075" s="256" t="inlineStr">
        <is>
          <t>GG012603</t>
        </is>
      </c>
      <c r="D2075" s="256" t="inlineStr">
        <is>
          <t>P060402</t>
        </is>
      </c>
      <c r="E2075" s="256" t="inlineStr">
        <is>
          <t>Gorilla Glue</t>
        </is>
      </c>
      <c r="F2075" s="256" t="inlineStr">
        <is>
          <t>17.08.2026</t>
        </is>
      </c>
      <c r="G2075" s="256" t="inlineStr">
        <is>
          <t>4</t>
        </is>
      </c>
      <c r="H2075" s="256" t="inlineStr">
        <is>
          <t>Assay — Total Δ⁹-THC</t>
        </is>
      </c>
      <c r="I2075" s="256" t="inlineStr">
        <is>
          <t>Ph. Eur. 2.2.29 (HPLC)</t>
        </is>
      </c>
      <c r="J2075" s="256" t="inlineStr">
        <is>
          <t>16.23 – 19.76 %  (grade I, nominal 18.00 ± 1.77)</t>
        </is>
      </c>
      <c r="K2075" s="256" t="inlineStr">
        <is>
          <t>16.70</t>
        </is>
      </c>
      <c r="L2075" s="256" t="inlineStr">
        <is>
          <t>197-8-К/26</t>
        </is>
      </c>
      <c r="M2075" s="256" t="inlineStr">
        <is>
          <t>07.08.2026</t>
        </is>
      </c>
      <c r="N2075" s="256" t="inlineStr">
        <is>
          <t>Farmahem</t>
        </is>
      </c>
      <c r="O2075" s="256" t="inlineStr">
        <is>
          <t>27.07.2026</t>
        </is>
      </c>
      <c r="P2075" s="256" t="inlineStr">
        <is>
          <t>covered</t>
        </is>
      </c>
      <c r="Q2075" s="256" t="inlineStr"/>
      <c r="R2075" s="256" t="inlineStr"/>
    </row>
    <row r="2076">
      <c r="A2076" s="256" t="inlineStr">
        <is>
          <t>CoQ-PP_26-091</t>
        </is>
      </c>
      <c r="B2076" s="256" t="inlineStr">
        <is>
          <t>reissue — retest</t>
        </is>
      </c>
      <c r="C2076" s="256" t="inlineStr">
        <is>
          <t>GG012603</t>
        </is>
      </c>
      <c r="D2076" s="256" t="inlineStr">
        <is>
          <t>P060402</t>
        </is>
      </c>
      <c r="E2076" s="256" t="inlineStr">
        <is>
          <t>Gorilla Glue</t>
        </is>
      </c>
      <c r="F2076" s="256" t="inlineStr">
        <is>
          <t>17.08.2026</t>
        </is>
      </c>
      <c r="G2076" s="256" t="inlineStr">
        <is>
          <t>5</t>
        </is>
      </c>
      <c r="H2076" s="256" t="inlineStr">
        <is>
          <t>Assay — Total CBD</t>
        </is>
      </c>
      <c r="I2076" s="256" t="inlineStr">
        <is>
          <t>Ph. Eur. 2.2.29 (HPLC) · CBD + CBDA x 0.877</t>
        </is>
      </c>
      <c r="J2076" s="256" t="inlineStr">
        <is>
          <t>≤ 1.0%, w/w</t>
        </is>
      </c>
      <c r="K2076" s="256" t="inlineStr">
        <is>
          <t>&lt; LOQ</t>
        </is>
      </c>
      <c r="L2076" s="256" t="inlineStr">
        <is>
          <t>197-8-К/26</t>
        </is>
      </c>
      <c r="M2076" s="256" t="inlineStr">
        <is>
          <t>07.08.2026</t>
        </is>
      </c>
      <c r="N2076" s="256" t="inlineStr">
        <is>
          <t>Farmahem</t>
        </is>
      </c>
      <c r="O2076" s="256" t="inlineStr">
        <is>
          <t>27.07.2026</t>
        </is>
      </c>
      <c r="P2076" s="256" t="inlineStr">
        <is>
          <t>covered</t>
        </is>
      </c>
      <c r="Q2076" s="256" t="inlineStr"/>
      <c r="R2076" s="256" t="inlineStr"/>
    </row>
    <row r="2077">
      <c r="A2077" s="256" t="inlineStr">
        <is>
          <t>CoQ-PP_26-091</t>
        </is>
      </c>
      <c r="B2077" s="256" t="inlineStr">
        <is>
          <t>reissue — retest</t>
        </is>
      </c>
      <c r="C2077" s="256" t="inlineStr">
        <is>
          <t>GG012603</t>
        </is>
      </c>
      <c r="D2077" s="256" t="inlineStr">
        <is>
          <t>P060402</t>
        </is>
      </c>
      <c r="E2077" s="256" t="inlineStr">
        <is>
          <t>Gorilla Glue</t>
        </is>
      </c>
      <c r="F2077" s="256" t="inlineStr">
        <is>
          <t>17.08.2026</t>
        </is>
      </c>
      <c r="G2077" s="256" t="inlineStr">
        <is>
          <t>6</t>
        </is>
      </c>
      <c r="H2077" s="256" t="inlineStr">
        <is>
          <t>Total CBN</t>
        </is>
      </c>
      <c r="I2077" s="256" t="inlineStr">
        <is>
          <t>Ph. Eur. 2.2.29 (HPLC) · CBN + CBNA x 0.876</t>
        </is>
      </c>
      <c r="J2077" s="256" t="inlineStr">
        <is>
          <t>≤ 1.0%, w/w</t>
        </is>
      </c>
      <c r="K2077" s="256" t="inlineStr">
        <is>
          <t>&lt; LOQ</t>
        </is>
      </c>
      <c r="L2077" s="256" t="inlineStr">
        <is>
          <t>197-8-К/26</t>
        </is>
      </c>
      <c r="M2077" s="256" t="inlineStr">
        <is>
          <t>07.08.2026</t>
        </is>
      </c>
      <c r="N2077" s="256" t="inlineStr">
        <is>
          <t>Farmahem</t>
        </is>
      </c>
      <c r="O2077" s="256" t="inlineStr">
        <is>
          <t>27.07.2026</t>
        </is>
      </c>
      <c r="P2077" s="256" t="inlineStr">
        <is>
          <t>covered</t>
        </is>
      </c>
      <c r="Q2077" s="256" t="inlineStr"/>
      <c r="R2077" s="256" t="inlineStr"/>
    </row>
    <row r="2078">
      <c r="A2078" s="256" t="inlineStr">
        <is>
          <t>CoQ-PP_26-091</t>
        </is>
      </c>
      <c r="B2078" s="256" t="inlineStr">
        <is>
          <t>reissue — retest</t>
        </is>
      </c>
      <c r="C2078" s="256" t="inlineStr">
        <is>
          <t>GG012603</t>
        </is>
      </c>
      <c r="D2078" s="256" t="inlineStr">
        <is>
          <t>P060402</t>
        </is>
      </c>
      <c r="E2078" s="256" t="inlineStr">
        <is>
          <t>Gorilla Glue</t>
        </is>
      </c>
      <c r="F2078" s="256" t="inlineStr">
        <is>
          <t>17.08.2026</t>
        </is>
      </c>
      <c r="G2078" s="256" t="inlineStr">
        <is>
          <t>7</t>
        </is>
      </c>
      <c r="H2078" s="256" t="inlineStr">
        <is>
          <t>Foreign Matter</t>
        </is>
      </c>
      <c r="I2078" s="256" t="inlineStr">
        <is>
          <t>Ph. Eur. 2.8.2 · In-house · интерна</t>
        </is>
      </c>
      <c r="J2078" s="256" t="inlineStr">
        <is>
          <t>≤ 2.0% / 25–50 g · &lt; 1 cm leaves | листови, no seeds | без семки</t>
        </is>
      </c>
      <c r="K2078" s="256" t="inlineStr">
        <is>
          <t>Conforms | Одговара</t>
        </is>
      </c>
      <c r="L2078" s="256" t="inlineStr">
        <is>
          <t>ППК26114</t>
        </is>
      </c>
      <c r="M2078" s="256" t="inlineStr">
        <is>
          <t>30.06.2026</t>
        </is>
      </c>
      <c r="N2078" s="256" t="inlineStr">
        <is>
          <t>UKIM Faculty of Pharmacy — Center for Natural Products</t>
        </is>
      </c>
      <c r="O2078" s="256" t="inlineStr">
        <is>
          <t>17.06.2026</t>
        </is>
      </c>
      <c r="P2078" s="256" t="inlineStr">
        <is>
          <t>carried from the initial testing (CoQ-PP-2026-0023) — covered</t>
        </is>
      </c>
      <c r="Q2078" s="256" t="inlineStr"/>
      <c r="R2078" s="256" t="inlineStr"/>
    </row>
    <row r="2079">
      <c r="A2079" s="256" t="inlineStr">
        <is>
          <t>CoQ-PP_26-091</t>
        </is>
      </c>
      <c r="B2079" s="256" t="inlineStr">
        <is>
          <t>reissue — retest</t>
        </is>
      </c>
      <c r="C2079" s="256" t="inlineStr">
        <is>
          <t>GG012603</t>
        </is>
      </c>
      <c r="D2079" s="256" t="inlineStr">
        <is>
          <t>P060402</t>
        </is>
      </c>
      <c r="E2079" s="256" t="inlineStr">
        <is>
          <t>Gorilla Glue</t>
        </is>
      </c>
      <c r="F2079" s="256" t="inlineStr">
        <is>
          <t>17.08.2026</t>
        </is>
      </c>
      <c r="G2079" s="256" t="inlineStr">
        <is>
          <t>8</t>
        </is>
      </c>
      <c r="H2079" s="256" t="inlineStr">
        <is>
          <t>Loss on Drying</t>
        </is>
      </c>
      <c r="I2079" s="256" t="inlineStr">
        <is>
          <t>Ph. Eur. 2.2.32 (3028) · at 40 °C, 24 h, 15–25 mbar</t>
        </is>
      </c>
      <c r="J2079" s="256" t="inlineStr">
        <is>
          <t>≤ 12.0%</t>
        </is>
      </c>
      <c r="K2079" s="256" t="inlineStr">
        <is>
          <t>6.48</t>
        </is>
      </c>
      <c r="L2079" s="256" t="inlineStr">
        <is>
          <t>ППК26114</t>
        </is>
      </c>
      <c r="M2079" s="256" t="inlineStr">
        <is>
          <t>30.06.2026</t>
        </is>
      </c>
      <c r="N2079" s="256" t="inlineStr">
        <is>
          <t>UKIM Faculty of Pharmacy — Center for Natural Products</t>
        </is>
      </c>
      <c r="O2079" s="256" t="inlineStr">
        <is>
          <t>17.06.2026</t>
        </is>
      </c>
      <c r="P2079" s="256" t="inlineStr">
        <is>
          <t>carried from the initial testing (CoQ-PP-2026-0023) — covered</t>
        </is>
      </c>
      <c r="Q2079" s="256" t="inlineStr"/>
      <c r="R2079" s="256" t="inlineStr"/>
    </row>
    <row r="2080">
      <c r="A2080" s="256" t="inlineStr">
        <is>
          <t>CoQ-PP_26-091</t>
        </is>
      </c>
      <c r="B2080" s="256" t="inlineStr">
        <is>
          <t>reissue — retest</t>
        </is>
      </c>
      <c r="C2080" s="256" t="inlineStr">
        <is>
          <t>GG012603</t>
        </is>
      </c>
      <c r="D2080" s="256" t="inlineStr">
        <is>
          <t>P060402</t>
        </is>
      </c>
      <c r="E2080" s="256" t="inlineStr">
        <is>
          <t>Gorilla Glue</t>
        </is>
      </c>
      <c r="F2080" s="256" t="inlineStr">
        <is>
          <t>17.08.2026</t>
        </is>
      </c>
      <c r="G2080" s="256" t="inlineStr">
        <is>
          <t>9.1</t>
        </is>
      </c>
      <c r="H2080" s="256" t="inlineStr">
        <is>
          <t>TAMC</t>
        </is>
      </c>
      <c r="I2080" s="256" t="inlineStr">
        <is>
          <t>Ph. Eur. 2.6.12 cat. C</t>
        </is>
      </c>
      <c r="J2080" s="256" t="inlineStr">
        <is>
          <t>≤ 10⁵ CFU/g</t>
        </is>
      </c>
      <c r="K2080" s="256" t="inlineStr">
        <is>
          <t>5 × 10³</t>
        </is>
      </c>
      <c r="L2080" s="256" t="inlineStr">
        <is>
          <t>404/0787/26</t>
        </is>
      </c>
      <c r="M2080" s="256" t="inlineStr">
        <is>
          <t>24.06.2026</t>
        </is>
      </c>
      <c r="N2080" s="256" t="inlineStr">
        <is>
          <t>IPH — Institute of Public Health</t>
        </is>
      </c>
      <c r="O2080" s="256" t="inlineStr">
        <is>
          <t>—</t>
        </is>
      </c>
      <c r="P2080" s="256" t="inlineStr">
        <is>
          <t>covered</t>
        </is>
      </c>
      <c r="Q2080" s="256" t="inlineStr"/>
      <c r="R2080" s="256" t="inlineStr"/>
    </row>
    <row r="2081">
      <c r="A2081" s="256" t="inlineStr">
        <is>
          <t>CoQ-PP_26-091</t>
        </is>
      </c>
      <c r="B2081" s="256" t="inlineStr">
        <is>
          <t>reissue — retest</t>
        </is>
      </c>
      <c r="C2081" s="256" t="inlineStr">
        <is>
          <t>GG012603</t>
        </is>
      </c>
      <c r="D2081" s="256" t="inlineStr">
        <is>
          <t>P060402</t>
        </is>
      </c>
      <c r="E2081" s="256" t="inlineStr">
        <is>
          <t>Gorilla Glue</t>
        </is>
      </c>
      <c r="F2081" s="256" t="inlineStr">
        <is>
          <t>17.08.2026</t>
        </is>
      </c>
      <c r="G2081" s="256" t="inlineStr">
        <is>
          <t>9.2</t>
        </is>
      </c>
      <c r="H2081" s="256" t="inlineStr">
        <is>
          <t>TYMC</t>
        </is>
      </c>
      <c r="I2081" s="256" t="inlineStr">
        <is>
          <t>Ph. Eur. 2.6.12 cat. C</t>
        </is>
      </c>
      <c r="J2081" s="256" t="inlineStr">
        <is>
          <t>≤ 10⁴ CFU/g</t>
        </is>
      </c>
      <c r="K2081" s="256" t="inlineStr">
        <is>
          <t>4.1 × 10³</t>
        </is>
      </c>
      <c r="L2081" s="256" t="inlineStr">
        <is>
          <t>404/0787/26</t>
        </is>
      </c>
      <c r="M2081" s="256" t="inlineStr">
        <is>
          <t>24.06.2026</t>
        </is>
      </c>
      <c r="N2081" s="256" t="inlineStr">
        <is>
          <t>IPH — Institute of Public Health</t>
        </is>
      </c>
      <c r="O2081" s="256" t="inlineStr">
        <is>
          <t>—</t>
        </is>
      </c>
      <c r="P2081" s="256" t="inlineStr">
        <is>
          <t>covered</t>
        </is>
      </c>
      <c r="Q2081" s="256" t="inlineStr"/>
      <c r="R2081" s="256" t="inlineStr"/>
    </row>
    <row r="2082">
      <c r="A2082" s="256" t="inlineStr">
        <is>
          <t>CoQ-PP_26-091</t>
        </is>
      </c>
      <c r="B2082" s="256" t="inlineStr">
        <is>
          <t>reissue — retest</t>
        </is>
      </c>
      <c r="C2082" s="256" t="inlineStr">
        <is>
          <t>GG012603</t>
        </is>
      </c>
      <c r="D2082" s="256" t="inlineStr">
        <is>
          <t>P060402</t>
        </is>
      </c>
      <c r="E2082" s="256" t="inlineStr">
        <is>
          <t>Gorilla Glue</t>
        </is>
      </c>
      <c r="F2082" s="256" t="inlineStr">
        <is>
          <t>17.08.2026</t>
        </is>
      </c>
      <c r="G2082" s="256" t="inlineStr">
        <is>
          <t>9.3</t>
        </is>
      </c>
      <c r="H2082" s="256" t="inlineStr">
        <is>
          <t>Bile-tolerant gram-neg.</t>
        </is>
      </c>
      <c r="I2082" s="256" t="inlineStr">
        <is>
          <t>Ph. Eur. 2.6.31 cat. C</t>
        </is>
      </c>
      <c r="J2082" s="256" t="inlineStr">
        <is>
          <t>≤ 10⁴ CFU/g</t>
        </is>
      </c>
      <c r="K2082" s="256" t="inlineStr">
        <is>
          <t>&lt; 10</t>
        </is>
      </c>
      <c r="L2082" s="256" t="inlineStr">
        <is>
          <t>404/0787/26</t>
        </is>
      </c>
      <c r="M2082" s="256" t="inlineStr">
        <is>
          <t>24.06.2026</t>
        </is>
      </c>
      <c r="N2082" s="256" t="inlineStr">
        <is>
          <t>IPH — Institute of Public Health</t>
        </is>
      </c>
      <c r="O2082" s="256" t="inlineStr">
        <is>
          <t>—</t>
        </is>
      </c>
      <c r="P2082" s="256" t="inlineStr">
        <is>
          <t>covered</t>
        </is>
      </c>
      <c r="Q2082" s="256" t="inlineStr"/>
      <c r="R2082" s="256" t="inlineStr"/>
    </row>
    <row r="2083">
      <c r="A2083" s="256" t="inlineStr">
        <is>
          <t>CoQ-PP_26-091</t>
        </is>
      </c>
      <c r="B2083" s="256" t="inlineStr">
        <is>
          <t>reissue — retest</t>
        </is>
      </c>
      <c r="C2083" s="256" t="inlineStr">
        <is>
          <t>GG012603</t>
        </is>
      </c>
      <c r="D2083" s="256" t="inlineStr">
        <is>
          <t>P060402</t>
        </is>
      </c>
      <c r="E2083" s="256" t="inlineStr">
        <is>
          <t>Gorilla Glue</t>
        </is>
      </c>
      <c r="F2083" s="256" t="inlineStr">
        <is>
          <t>17.08.2026</t>
        </is>
      </c>
      <c r="G2083" s="256" t="inlineStr">
        <is>
          <t>9.4</t>
        </is>
      </c>
      <c r="H2083" s="256" t="inlineStr">
        <is>
          <t>Salmonella</t>
        </is>
      </c>
      <c r="I2083" s="256" t="inlineStr">
        <is>
          <t>Ph. Eur. 2.6.31 cat. C</t>
        </is>
      </c>
      <c r="J2083" s="256" t="inlineStr">
        <is>
          <t>Absence | Отсуство / 25 g</t>
        </is>
      </c>
      <c r="K2083" s="256" t="inlineStr">
        <is>
          <t>Absent | Отсутна</t>
        </is>
      </c>
      <c r="L2083" s="256" t="inlineStr">
        <is>
          <t>404/0787/26</t>
        </is>
      </c>
      <c r="M2083" s="256" t="inlineStr">
        <is>
          <t>24.06.2026</t>
        </is>
      </c>
      <c r="N2083" s="256" t="inlineStr">
        <is>
          <t>IPH — Institute of Public Health</t>
        </is>
      </c>
      <c r="O2083" s="256" t="inlineStr">
        <is>
          <t>—</t>
        </is>
      </c>
      <c r="P2083" s="256" t="inlineStr">
        <is>
          <t>covered</t>
        </is>
      </c>
      <c r="Q2083" s="256" t="inlineStr"/>
      <c r="R2083" s="256" t="inlineStr"/>
    </row>
    <row r="2084">
      <c r="A2084" s="256" t="inlineStr">
        <is>
          <t>CoQ-PP_26-091</t>
        </is>
      </c>
      <c r="B2084" s="256" t="inlineStr">
        <is>
          <t>reissue — retest</t>
        </is>
      </c>
      <c r="C2084" s="256" t="inlineStr">
        <is>
          <t>GG012603</t>
        </is>
      </c>
      <c r="D2084" s="256" t="inlineStr">
        <is>
          <t>P060402</t>
        </is>
      </c>
      <c r="E2084" s="256" t="inlineStr">
        <is>
          <t>Gorilla Glue</t>
        </is>
      </c>
      <c r="F2084" s="256" t="inlineStr">
        <is>
          <t>17.08.2026</t>
        </is>
      </c>
      <c r="G2084" s="256" t="inlineStr">
        <is>
          <t>9.5</t>
        </is>
      </c>
      <c r="H2084" s="256" t="inlineStr">
        <is>
          <t>Escherichia coli</t>
        </is>
      </c>
      <c r="I2084" s="256" t="inlineStr">
        <is>
          <t>Ph. Eur. 2.6.13 cat. C</t>
        </is>
      </c>
      <c r="J2084" s="256" t="inlineStr">
        <is>
          <t>Absence | Отсуство / 1 g</t>
        </is>
      </c>
      <c r="K2084" s="256" t="inlineStr">
        <is>
          <t>Absent | Отсутна</t>
        </is>
      </c>
      <c r="L2084" s="256" t="inlineStr">
        <is>
          <t>404/0787/26</t>
        </is>
      </c>
      <c r="M2084" s="256" t="inlineStr">
        <is>
          <t>24.06.2026</t>
        </is>
      </c>
      <c r="N2084" s="256" t="inlineStr">
        <is>
          <t>IPH — Institute of Public Health</t>
        </is>
      </c>
      <c r="O2084" s="256" t="inlineStr">
        <is>
          <t>—</t>
        </is>
      </c>
      <c r="P2084" s="256" t="inlineStr">
        <is>
          <t>covered</t>
        </is>
      </c>
      <c r="Q2084" s="256" t="inlineStr"/>
      <c r="R2084" s="256" t="inlineStr"/>
    </row>
    <row r="2085">
      <c r="A2085" s="256" t="inlineStr">
        <is>
          <t>CoQ-PP_26-091</t>
        </is>
      </c>
      <c r="B2085" s="256" t="inlineStr">
        <is>
          <t>reissue — retest</t>
        </is>
      </c>
      <c r="C2085" s="256" t="inlineStr">
        <is>
          <t>GG012603</t>
        </is>
      </c>
      <c r="D2085" s="256" t="inlineStr">
        <is>
          <t>P060402</t>
        </is>
      </c>
      <c r="E2085" s="256" t="inlineStr">
        <is>
          <t>Gorilla Glue</t>
        </is>
      </c>
      <c r="F2085" s="256" t="inlineStr">
        <is>
          <t>17.08.2026</t>
        </is>
      </c>
      <c r="G2085" s="256" t="inlineStr">
        <is>
          <t>9.6</t>
        </is>
      </c>
      <c r="H2085" s="256" t="inlineStr">
        <is>
          <t>Pseudomonas aeruginosa</t>
        </is>
      </c>
      <c r="I2085" s="256" t="inlineStr">
        <is>
          <t>Ph. Eur. 2.6.13 cat. C</t>
        </is>
      </c>
      <c r="J2085" s="256" t="inlineStr">
        <is>
          <t>Absence | Отсуство / 1 g</t>
        </is>
      </c>
      <c r="K2085" s="260" t="inlineStr">
        <is>
          <t>upon request — not required for release</t>
        </is>
      </c>
      <c r="L2085" s="256" t="inlineStr">
        <is>
          <t>—</t>
        </is>
      </c>
      <c r="M2085" s="256" t="inlineStr">
        <is>
          <t>—</t>
        </is>
      </c>
      <c r="N2085" s="256" t="inlineStr">
        <is>
          <t>—</t>
        </is>
      </c>
      <c r="O2085" s="256" t="inlineStr">
        <is>
          <t>—</t>
        </is>
      </c>
      <c r="P2085" s="256" t="inlineStr">
        <is>
          <t>upon request — not required for release</t>
        </is>
      </c>
      <c r="Q2085" s="256" t="inlineStr"/>
      <c r="R2085" s="256" t="inlineStr"/>
    </row>
    <row r="2086">
      <c r="A2086" s="256" t="inlineStr">
        <is>
          <t>CoQ-PP_26-091</t>
        </is>
      </c>
      <c r="B2086" s="256" t="inlineStr">
        <is>
          <t>reissue — retest</t>
        </is>
      </c>
      <c r="C2086" s="256" t="inlineStr">
        <is>
          <t>GG012603</t>
        </is>
      </c>
      <c r="D2086" s="256" t="inlineStr">
        <is>
          <t>P060402</t>
        </is>
      </c>
      <c r="E2086" s="256" t="inlineStr">
        <is>
          <t>Gorilla Glue</t>
        </is>
      </c>
      <c r="F2086" s="256" t="inlineStr">
        <is>
          <t>17.08.2026</t>
        </is>
      </c>
      <c r="G2086" s="256" t="inlineStr">
        <is>
          <t>9.7</t>
        </is>
      </c>
      <c r="H2086" s="256" t="inlineStr">
        <is>
          <t>Staphylococcus aureus</t>
        </is>
      </c>
      <c r="I2086" s="256" t="inlineStr">
        <is>
          <t>Ph. Eur. 2.6.13 cat. C</t>
        </is>
      </c>
      <c r="J2086" s="256" t="inlineStr">
        <is>
          <t>Absence | Отсуство / 1 g</t>
        </is>
      </c>
      <c r="K2086" s="260" t="inlineStr">
        <is>
          <t>upon request — not required for release</t>
        </is>
      </c>
      <c r="L2086" s="256" t="inlineStr">
        <is>
          <t>—</t>
        </is>
      </c>
      <c r="M2086" s="256" t="inlineStr">
        <is>
          <t>—</t>
        </is>
      </c>
      <c r="N2086" s="256" t="inlineStr">
        <is>
          <t>—</t>
        </is>
      </c>
      <c r="O2086" s="256" t="inlineStr">
        <is>
          <t>—</t>
        </is>
      </c>
      <c r="P2086" s="256" t="inlineStr">
        <is>
          <t>upon request — not required for release</t>
        </is>
      </c>
      <c r="Q2086" s="256" t="inlineStr"/>
      <c r="R2086" s="256" t="inlineStr"/>
    </row>
    <row r="2087">
      <c r="A2087" s="256" t="inlineStr">
        <is>
          <t>CoQ-PP_26-091</t>
        </is>
      </c>
      <c r="B2087" s="256" t="inlineStr">
        <is>
          <t>reissue — retest</t>
        </is>
      </c>
      <c r="C2087" s="256" t="inlineStr">
        <is>
          <t>GG012603</t>
        </is>
      </c>
      <c r="D2087" s="256" t="inlineStr">
        <is>
          <t>P060402</t>
        </is>
      </c>
      <c r="E2087" s="256" t="inlineStr">
        <is>
          <t>Gorilla Glue</t>
        </is>
      </c>
      <c r="F2087" s="256" t="inlineStr">
        <is>
          <t>17.08.2026</t>
        </is>
      </c>
      <c r="G2087" s="256" t="inlineStr">
        <is>
          <t>10.1</t>
        </is>
      </c>
      <c r="H2087" s="256" t="inlineStr">
        <is>
          <t>Aflatoxin B₁</t>
        </is>
      </c>
      <c r="I2087" s="256" t="inlineStr">
        <is>
          <t>Ph. Eur. 2.8.18 (HPLC-FLD)</t>
        </is>
      </c>
      <c r="J2087" s="256" t="inlineStr">
        <is>
          <t>≤ 2 µg/kg</t>
        </is>
      </c>
      <c r="K2087" s="256" t="inlineStr">
        <is>
          <t>ND</t>
        </is>
      </c>
      <c r="L2087" s="256" t="inlineStr">
        <is>
          <t>197-8-М/26</t>
        </is>
      </c>
      <c r="M2087" s="256" t="inlineStr">
        <is>
          <t>10.08.2026</t>
        </is>
      </c>
      <c r="N2087" s="256" t="inlineStr">
        <is>
          <t>Farmahem</t>
        </is>
      </c>
      <c r="O2087" s="256" t="inlineStr">
        <is>
          <t>29.07.2026</t>
        </is>
      </c>
      <c r="P2087" s="256" t="inlineStr">
        <is>
          <t>covered</t>
        </is>
      </c>
      <c r="Q2087" s="256" t="inlineStr"/>
      <c r="R2087" s="256" t="inlineStr"/>
    </row>
    <row r="2088">
      <c r="A2088" s="256" t="inlineStr">
        <is>
          <t>CoQ-PP_26-091</t>
        </is>
      </c>
      <c r="B2088" s="256" t="inlineStr">
        <is>
          <t>reissue — retest</t>
        </is>
      </c>
      <c r="C2088" s="256" t="inlineStr">
        <is>
          <t>GG012603</t>
        </is>
      </c>
      <c r="D2088" s="256" t="inlineStr">
        <is>
          <t>P060402</t>
        </is>
      </c>
      <c r="E2088" s="256" t="inlineStr">
        <is>
          <t>Gorilla Glue</t>
        </is>
      </c>
      <c r="F2088" s="256" t="inlineStr">
        <is>
          <t>17.08.2026</t>
        </is>
      </c>
      <c r="G2088" s="256" t="inlineStr">
        <is>
          <t>10.2</t>
        </is>
      </c>
      <c r="H2088" s="256" t="inlineStr">
        <is>
          <t>Aflatoxins ∑</t>
        </is>
      </c>
      <c r="I2088" s="256" t="inlineStr">
        <is>
          <t>Ph. Eur. 2.8.18 (HPLC-FLD)</t>
        </is>
      </c>
      <c r="J2088" s="256" t="inlineStr">
        <is>
          <t>≤ 4 µg/kg</t>
        </is>
      </c>
      <c r="K2088" s="256" t="inlineStr">
        <is>
          <t>ND</t>
        </is>
      </c>
      <c r="L2088" s="256" t="inlineStr">
        <is>
          <t>197-8-М/26</t>
        </is>
      </c>
      <c r="M2088" s="256" t="inlineStr">
        <is>
          <t>10.08.2026</t>
        </is>
      </c>
      <c r="N2088" s="256" t="inlineStr">
        <is>
          <t>Farmahem</t>
        </is>
      </c>
      <c r="O2088" s="256" t="inlineStr">
        <is>
          <t>29.07.2026</t>
        </is>
      </c>
      <c r="P2088" s="256" t="inlineStr">
        <is>
          <t>covered</t>
        </is>
      </c>
      <c r="Q2088" s="256" t="inlineStr"/>
      <c r="R2088" s="256" t="inlineStr"/>
    </row>
    <row r="2089">
      <c r="A2089" s="256" t="inlineStr">
        <is>
          <t>CoQ-PP_26-091</t>
        </is>
      </c>
      <c r="B2089" s="256" t="inlineStr">
        <is>
          <t>reissue — retest</t>
        </is>
      </c>
      <c r="C2089" s="256" t="inlineStr">
        <is>
          <t>GG012603</t>
        </is>
      </c>
      <c r="D2089" s="256" t="inlineStr">
        <is>
          <t>P060402</t>
        </is>
      </c>
      <c r="E2089" s="256" t="inlineStr">
        <is>
          <t>Gorilla Glue</t>
        </is>
      </c>
      <c r="F2089" s="256" t="inlineStr">
        <is>
          <t>17.08.2026</t>
        </is>
      </c>
      <c r="G2089" s="256" t="inlineStr">
        <is>
          <t>10.3</t>
        </is>
      </c>
      <c r="H2089" s="256" t="inlineStr">
        <is>
          <t>Ochratoxin A</t>
        </is>
      </c>
      <c r="I2089" s="256" t="inlineStr">
        <is>
          <t>Ph. Eur. 2.8.22 (HPLC-FLD)</t>
        </is>
      </c>
      <c r="J2089" s="256" t="inlineStr">
        <is>
          <t>≤ 20 µg/kg</t>
        </is>
      </c>
      <c r="K2089" s="256" t="inlineStr">
        <is>
          <t>ND</t>
        </is>
      </c>
      <c r="L2089" s="256" t="inlineStr">
        <is>
          <t>197-8-М/26</t>
        </is>
      </c>
      <c r="M2089" s="256" t="inlineStr">
        <is>
          <t>10.08.2026</t>
        </is>
      </c>
      <c r="N2089" s="256" t="inlineStr">
        <is>
          <t>Farmahem</t>
        </is>
      </c>
      <c r="O2089" s="256" t="inlineStr">
        <is>
          <t>29.07.2026</t>
        </is>
      </c>
      <c r="P2089" s="256" t="inlineStr">
        <is>
          <t>covered</t>
        </is>
      </c>
      <c r="Q2089" s="256" t="inlineStr"/>
      <c r="R2089" s="256" t="inlineStr"/>
    </row>
    <row r="2090">
      <c r="A2090" s="256" t="inlineStr">
        <is>
          <t>CoQ-PP_26-091</t>
        </is>
      </c>
      <c r="B2090" s="256" t="inlineStr">
        <is>
          <t>reissue — retest</t>
        </is>
      </c>
      <c r="C2090" s="256" t="inlineStr">
        <is>
          <t>GG012603</t>
        </is>
      </c>
      <c r="D2090" s="256" t="inlineStr">
        <is>
          <t>P060402</t>
        </is>
      </c>
      <c r="E2090" s="256" t="inlineStr">
        <is>
          <t>Gorilla Glue</t>
        </is>
      </c>
      <c r="F2090" s="256" t="inlineStr">
        <is>
          <t>17.08.2026</t>
        </is>
      </c>
      <c r="G2090" s="256" t="inlineStr">
        <is>
          <t>11.1</t>
        </is>
      </c>
      <c r="H2090" s="256" t="inlineStr">
        <is>
          <t>Lead (Pb)</t>
        </is>
      </c>
      <c r="I2090" s="256" t="inlineStr">
        <is>
          <t>Ph. Eur. 2.4.27 (ICP-MS)</t>
        </is>
      </c>
      <c r="J2090" s="256" t="inlineStr">
        <is>
          <t>≤ 0.5 mg/kg</t>
        </is>
      </c>
      <c r="K2090" s="256" t="inlineStr">
        <is>
          <t>0.059</t>
        </is>
      </c>
      <c r="L2090" s="256" t="inlineStr">
        <is>
          <t>3659/2026</t>
        </is>
      </c>
      <c r="M2090" s="256" t="inlineStr">
        <is>
          <t>22.06.2026</t>
        </is>
      </c>
      <c r="N2090" s="256" t="inlineStr">
        <is>
          <t>IPH — Institute of Public Health</t>
        </is>
      </c>
      <c r="O2090" s="256" t="inlineStr">
        <is>
          <t>—</t>
        </is>
      </c>
      <c r="P2090" s="256" t="inlineStr">
        <is>
          <t>covered</t>
        </is>
      </c>
      <c r="Q2090" s="256" t="inlineStr"/>
      <c r="R2090" s="256" t="inlineStr"/>
    </row>
    <row r="2091">
      <c r="A2091" s="256" t="inlineStr">
        <is>
          <t>CoQ-PP_26-091</t>
        </is>
      </c>
      <c r="B2091" s="256" t="inlineStr">
        <is>
          <t>reissue — retest</t>
        </is>
      </c>
      <c r="C2091" s="256" t="inlineStr">
        <is>
          <t>GG012603</t>
        </is>
      </c>
      <c r="D2091" s="256" t="inlineStr">
        <is>
          <t>P060402</t>
        </is>
      </c>
      <c r="E2091" s="256" t="inlineStr">
        <is>
          <t>Gorilla Glue</t>
        </is>
      </c>
      <c r="F2091" s="256" t="inlineStr">
        <is>
          <t>17.08.2026</t>
        </is>
      </c>
      <c r="G2091" s="256" t="inlineStr">
        <is>
          <t>11.2</t>
        </is>
      </c>
      <c r="H2091" s="256" t="inlineStr">
        <is>
          <t>Cadmium (Cd)</t>
        </is>
      </c>
      <c r="I2091" s="256" t="inlineStr">
        <is>
          <t>Ph. Eur. 2.4.27 (ICP-MS)</t>
        </is>
      </c>
      <c r="J2091" s="256" t="inlineStr">
        <is>
          <t>≤ 0.3 mg/kg</t>
        </is>
      </c>
      <c r="K2091" s="256" t="inlineStr">
        <is>
          <t>0.03</t>
        </is>
      </c>
      <c r="L2091" s="256" t="inlineStr">
        <is>
          <t>3659/2026</t>
        </is>
      </c>
      <c r="M2091" s="256" t="inlineStr">
        <is>
          <t>22.06.2026</t>
        </is>
      </c>
      <c r="N2091" s="256" t="inlineStr">
        <is>
          <t>IPH — Institute of Public Health</t>
        </is>
      </c>
      <c r="O2091" s="256" t="inlineStr">
        <is>
          <t>—</t>
        </is>
      </c>
      <c r="P2091" s="256" t="inlineStr">
        <is>
          <t>covered</t>
        </is>
      </c>
      <c r="Q2091" s="256" t="inlineStr"/>
      <c r="R2091" s="256" t="inlineStr"/>
    </row>
    <row r="2092">
      <c r="A2092" s="256" t="inlineStr">
        <is>
          <t>CoQ-PP_26-091</t>
        </is>
      </c>
      <c r="B2092" s="256" t="inlineStr">
        <is>
          <t>reissue — retest</t>
        </is>
      </c>
      <c r="C2092" s="256" t="inlineStr">
        <is>
          <t>GG012603</t>
        </is>
      </c>
      <c r="D2092" s="256" t="inlineStr">
        <is>
          <t>P060402</t>
        </is>
      </c>
      <c r="E2092" s="256" t="inlineStr">
        <is>
          <t>Gorilla Glue</t>
        </is>
      </c>
      <c r="F2092" s="256" t="inlineStr">
        <is>
          <t>17.08.2026</t>
        </is>
      </c>
      <c r="G2092" s="256" t="inlineStr">
        <is>
          <t>11.3</t>
        </is>
      </c>
      <c r="H2092" s="256" t="inlineStr">
        <is>
          <t>Arsenic (As)</t>
        </is>
      </c>
      <c r="I2092" s="256" t="inlineStr">
        <is>
          <t>Ph. Eur. 2.4.27 (ICP-MS)</t>
        </is>
      </c>
      <c r="J2092" s="256" t="inlineStr">
        <is>
          <t>≤ 0.2 mg/kg</t>
        </is>
      </c>
      <c r="K2092" s="256" t="inlineStr">
        <is>
          <t>0.05</t>
        </is>
      </c>
      <c r="L2092" s="256" t="inlineStr">
        <is>
          <t>3659/2026</t>
        </is>
      </c>
      <c r="M2092" s="256" t="inlineStr">
        <is>
          <t>22.06.2026</t>
        </is>
      </c>
      <c r="N2092" s="256" t="inlineStr">
        <is>
          <t>IPH — Institute of Public Health</t>
        </is>
      </c>
      <c r="O2092" s="256" t="inlineStr">
        <is>
          <t>—</t>
        </is>
      </c>
      <c r="P2092" s="256" t="inlineStr">
        <is>
          <t>covered</t>
        </is>
      </c>
      <c r="Q2092" s="256" t="inlineStr"/>
      <c r="R2092" s="256" t="inlineStr"/>
    </row>
    <row r="2093">
      <c r="A2093" s="256" t="inlineStr">
        <is>
          <t>CoQ-PP_26-091</t>
        </is>
      </c>
      <c r="B2093" s="256" t="inlineStr">
        <is>
          <t>reissue — retest</t>
        </is>
      </c>
      <c r="C2093" s="256" t="inlineStr">
        <is>
          <t>GG012603</t>
        </is>
      </c>
      <c r="D2093" s="256" t="inlineStr">
        <is>
          <t>P060402</t>
        </is>
      </c>
      <c r="E2093" s="256" t="inlineStr">
        <is>
          <t>Gorilla Glue</t>
        </is>
      </c>
      <c r="F2093" s="256" t="inlineStr">
        <is>
          <t>17.08.2026</t>
        </is>
      </c>
      <c r="G2093" s="256" t="inlineStr">
        <is>
          <t>11.4</t>
        </is>
      </c>
      <c r="H2093" s="256" t="inlineStr">
        <is>
          <t>Mercury (Hg)</t>
        </is>
      </c>
      <c r="I2093" s="256" t="inlineStr">
        <is>
          <t>Ph. Eur. 2.4.27 (ICP-MS)</t>
        </is>
      </c>
      <c r="J2093" s="256" t="inlineStr">
        <is>
          <t>≤ 0.1 mg/kg</t>
        </is>
      </c>
      <c r="K2093" s="256" t="inlineStr">
        <is>
          <t>0.015</t>
        </is>
      </c>
      <c r="L2093" s="256" t="inlineStr">
        <is>
          <t>3659/2026</t>
        </is>
      </c>
      <c r="M2093" s="256" t="inlineStr">
        <is>
          <t>22.06.2026</t>
        </is>
      </c>
      <c r="N2093" s="256" t="inlineStr">
        <is>
          <t>IPH — Institute of Public Health</t>
        </is>
      </c>
      <c r="O2093" s="256" t="inlineStr">
        <is>
          <t>—</t>
        </is>
      </c>
      <c r="P2093" s="256" t="inlineStr">
        <is>
          <t>covered</t>
        </is>
      </c>
      <c r="Q2093" s="256" t="inlineStr"/>
      <c r="R2093" s="256" t="inlineStr"/>
    </row>
    <row r="2094">
      <c r="A2094" s="256" t="inlineStr">
        <is>
          <t>CoQ-PP_26-091</t>
        </is>
      </c>
      <c r="B2094" s="256" t="inlineStr">
        <is>
          <t>reissue — retest</t>
        </is>
      </c>
      <c r="C2094" s="256" t="inlineStr">
        <is>
          <t>GG012603</t>
        </is>
      </c>
      <c r="D2094" s="256" t="inlineStr">
        <is>
          <t>P060402</t>
        </is>
      </c>
      <c r="E2094" s="256" t="inlineStr">
        <is>
          <t>Gorilla Glue</t>
        </is>
      </c>
      <c r="F2094" s="256" t="inlineStr">
        <is>
          <t>17.08.2026</t>
        </is>
      </c>
      <c r="G2094" s="256" t="inlineStr">
        <is>
          <t>12</t>
        </is>
      </c>
      <c r="H2094" s="256" t="inlineStr">
        <is>
          <t>Pesticide Residues</t>
        </is>
      </c>
      <c r="I2094" s="256" t="inlineStr">
        <is>
          <t>Ph. Eur. 2.8.13 (LC-MS/MS) · CUMCS Equivalency</t>
        </is>
      </c>
      <c r="J2094" s="256" t="inlineStr">
        <is>
          <t>≤ LOQ as per Ph. Eur. 2.8.13 · ≤ LOQ as per CUMCS Equivalency</t>
        </is>
      </c>
      <c r="K2094" s="256" t="inlineStr">
        <is>
          <t>&lt; 0,01 mg/kg — all 22 residues</t>
        </is>
      </c>
      <c r="L2094" s="256" t="inlineStr">
        <is>
          <t>3659/2026</t>
        </is>
      </c>
      <c r="M2094" s="256" t="inlineStr">
        <is>
          <t>22.06.2026</t>
        </is>
      </c>
      <c r="N2094" s="256" t="inlineStr">
        <is>
          <t>IJZ</t>
        </is>
      </c>
      <c r="O2094" s="256" t="inlineStr">
        <is>
          <t>—</t>
        </is>
      </c>
      <c r="P2094" s="256" t="inlineStr">
        <is>
          <t>carried from the initial testing (CoQ-PP-2026-0023) — covered</t>
        </is>
      </c>
      <c r="Q2094" s="256" t="inlineStr"/>
      <c r="R2094" s="256" t="inlineStr"/>
    </row>
    <row r="2095">
      <c r="A2095" s="256" t="inlineStr">
        <is>
          <t>CoQ-PP_26-092</t>
        </is>
      </c>
      <c r="B2095" s="256" t="inlineStr">
        <is>
          <t>reissue — retest</t>
        </is>
      </c>
      <c r="C2095" s="256" t="inlineStr">
        <is>
          <t>GG1024_01</t>
        </is>
      </c>
      <c r="D2095" s="256" t="inlineStr">
        <is>
          <t>P050092</t>
        </is>
      </c>
      <c r="E2095" s="256" t="inlineStr">
        <is>
          <t>Gorilla Glue</t>
        </is>
      </c>
      <c r="F2095" s="256" t="inlineStr">
        <is>
          <t>17.08.2026</t>
        </is>
      </c>
      <c r="G2095" s="256" t="inlineStr">
        <is>
          <t>1</t>
        </is>
      </c>
      <c r="H2095" s="256" t="inlineStr">
        <is>
          <t>Identification A, Appearance · Macroscopic</t>
        </is>
      </c>
      <c r="I2095" s="256" t="inlineStr">
        <is>
          <t>Ph. Eur. mon. 3028</t>
        </is>
      </c>
      <c r="J2095" s="256" t="inlineStr">
        <is>
          <t>Conforms to the monograph for Cannabis flos (07/2024:3028) in Ph. Eur. 11.0 | Согласно монографија за Cannabis flos (07/2024:3028) во Ph. Eur. 11.0</t>
        </is>
      </c>
      <c r="K2095" s="256" t="inlineStr">
        <is>
          <t>Conforms | Одговара</t>
        </is>
      </c>
      <c r="L2095" s="256" t="inlineStr">
        <is>
          <t>iCoA-PP_26-106</t>
        </is>
      </c>
      <c r="M2095" s="256" t="inlineStr">
        <is>
          <t>27.07.2026</t>
        </is>
      </c>
      <c r="N2095" s="256" t="inlineStr">
        <is>
          <t>Purely Plant GmbH (in-house)</t>
        </is>
      </c>
      <c r="O2095" s="256" t="inlineStr">
        <is>
          <t>—</t>
        </is>
      </c>
      <c r="P2095" s="256" t="inlineStr">
        <is>
          <t>covered</t>
        </is>
      </c>
      <c r="Q2095" s="256" t="inlineStr">
        <is>
          <t>Farmahem — Ident A + B + C with the Assay, at retest</t>
        </is>
      </c>
      <c r="R2095" s="256" t="inlineStr"/>
    </row>
    <row r="2096">
      <c r="A2096" s="256" t="inlineStr">
        <is>
          <t>CoQ-PP_26-092</t>
        </is>
      </c>
      <c r="B2096" s="256" t="inlineStr">
        <is>
          <t>reissue — retest</t>
        </is>
      </c>
      <c r="C2096" s="256" t="inlineStr">
        <is>
          <t>GG1024_01</t>
        </is>
      </c>
      <c r="D2096" s="256" t="inlineStr">
        <is>
          <t>P050092</t>
        </is>
      </c>
      <c r="E2096" s="256" t="inlineStr">
        <is>
          <t>Gorilla Glue</t>
        </is>
      </c>
      <c r="F2096" s="256" t="inlineStr">
        <is>
          <t>17.08.2026</t>
        </is>
      </c>
      <c r="G2096" s="256" t="inlineStr">
        <is>
          <t>2</t>
        </is>
      </c>
      <c r="H2096" s="256" t="inlineStr">
        <is>
          <t>Identification B · Microscopic</t>
        </is>
      </c>
      <c r="I2096" s="256" t="inlineStr">
        <is>
          <t>Ph. Eur. 2.8.23 (microscopy)</t>
        </is>
      </c>
      <c r="J2096" s="256" t="inlineStr">
        <is>
          <t>Conforms to the monograph for Cannabis flos (07/2024:3028) in Ph. Eur. 11.0 | Согласно монографија за Cannabis flos (07/2024:3028) во Ph. Eur. 11.0</t>
        </is>
      </c>
      <c r="K2096" s="256" t="inlineStr">
        <is>
          <t>Conforms | Одговара</t>
        </is>
      </c>
      <c r="L2096" s="256" t="inlineStr">
        <is>
          <t>iCoA-PP_26-106</t>
        </is>
      </c>
      <c r="M2096" s="256" t="inlineStr">
        <is>
          <t>27.07.2026</t>
        </is>
      </c>
      <c r="N2096" s="256" t="inlineStr">
        <is>
          <t>Purely Plant GmbH (in-house)</t>
        </is>
      </c>
      <c r="O2096" s="256" t="inlineStr">
        <is>
          <t>—</t>
        </is>
      </c>
      <c r="P2096" s="256" t="inlineStr">
        <is>
          <t>covered</t>
        </is>
      </c>
      <c r="Q2096" s="256" t="inlineStr">
        <is>
          <t>Farmahem — Ident A + B + C with the Assay, at retest</t>
        </is>
      </c>
      <c r="R2096" s="256" t="inlineStr"/>
    </row>
    <row r="2097">
      <c r="A2097" s="256" t="inlineStr">
        <is>
          <t>CoQ-PP_26-092</t>
        </is>
      </c>
      <c r="B2097" s="256" t="inlineStr">
        <is>
          <t>reissue — retest</t>
        </is>
      </c>
      <c r="C2097" s="256" t="inlineStr">
        <is>
          <t>GG1024_01</t>
        </is>
      </c>
      <c r="D2097" s="256" t="inlineStr">
        <is>
          <t>P050092</t>
        </is>
      </c>
      <c r="E2097" s="256" t="inlineStr">
        <is>
          <t>Gorilla Glue</t>
        </is>
      </c>
      <c r="F2097" s="256" t="inlineStr">
        <is>
          <t>17.08.2026</t>
        </is>
      </c>
      <c r="G2097" s="256" t="inlineStr">
        <is>
          <t>3</t>
        </is>
      </c>
      <c r="H2097" s="256" t="inlineStr">
        <is>
          <t>Identification C · HPLC/HPTLC</t>
        </is>
      </c>
      <c r="I2097" s="256" t="inlineStr">
        <is>
          <t>Ph. Eur. 2.2.29 (3028)</t>
        </is>
      </c>
      <c r="J2097" s="256" t="inlineStr">
        <is>
          <t>Conforms to the monograph for Cannabis flos (07/2024:3028) in Ph. Eur. 11.0 | Согласно монографија за Cannabis flos (07/2024:3028) во Ph. Eur. 11.0</t>
        </is>
      </c>
      <c r="K2097" s="256" t="inlineStr">
        <is>
          <t>Conforms | Одговара</t>
        </is>
      </c>
      <c r="L2097" s="256" t="inlineStr">
        <is>
          <t>197-9-К/26</t>
        </is>
      </c>
      <c r="M2097" s="256" t="inlineStr">
        <is>
          <t>07.08.2026</t>
        </is>
      </c>
      <c r="N2097" s="256" t="inlineStr">
        <is>
          <t>Farmahem</t>
        </is>
      </c>
      <c r="O2097" s="256" t="inlineStr">
        <is>
          <t>27.07.2026</t>
        </is>
      </c>
      <c r="P2097" s="256" t="inlineStr">
        <is>
          <t>covered</t>
        </is>
      </c>
      <c r="Q2097" s="256" t="inlineStr"/>
      <c r="R2097" s="256" t="inlineStr"/>
    </row>
    <row r="2098">
      <c r="A2098" s="256" t="inlineStr">
        <is>
          <t>CoQ-PP_26-092</t>
        </is>
      </c>
      <c r="B2098" s="256" t="inlineStr">
        <is>
          <t>reissue — retest</t>
        </is>
      </c>
      <c r="C2098" s="256" t="inlineStr">
        <is>
          <t>GG1024_01</t>
        </is>
      </c>
      <c r="D2098" s="256" t="inlineStr">
        <is>
          <t>P050092</t>
        </is>
      </c>
      <c r="E2098" s="256" t="inlineStr">
        <is>
          <t>Gorilla Glue</t>
        </is>
      </c>
      <c r="F2098" s="256" t="inlineStr">
        <is>
          <t>17.08.2026</t>
        </is>
      </c>
      <c r="G2098" s="256" t="inlineStr">
        <is>
          <t>4</t>
        </is>
      </c>
      <c r="H2098" s="256" t="inlineStr">
        <is>
          <t>Assay — Total Δ⁹-THC</t>
        </is>
      </c>
      <c r="I2098" s="256" t="inlineStr">
        <is>
          <t>Ph. Eur. 2.2.29 (HPLC)</t>
        </is>
      </c>
      <c r="J2098" s="256" t="inlineStr">
        <is>
          <t>16.23 – 19.76 %  (grade I, nominal 18.00 ± 1.77)</t>
        </is>
      </c>
      <c r="K2098" s="256" t="inlineStr">
        <is>
          <t>18.67</t>
        </is>
      </c>
      <c r="L2098" s="256" t="inlineStr">
        <is>
          <t>197-9-К/26</t>
        </is>
      </c>
      <c r="M2098" s="256" t="inlineStr">
        <is>
          <t>07.08.2026</t>
        </is>
      </c>
      <c r="N2098" s="256" t="inlineStr">
        <is>
          <t>Farmahem</t>
        </is>
      </c>
      <c r="O2098" s="256" t="inlineStr">
        <is>
          <t>27.07.2026</t>
        </is>
      </c>
      <c r="P2098" s="256" t="inlineStr">
        <is>
          <t>covered</t>
        </is>
      </c>
      <c r="Q2098" s="256" t="inlineStr"/>
      <c r="R2098" s="256" t="inlineStr"/>
    </row>
    <row r="2099">
      <c r="A2099" s="256" t="inlineStr">
        <is>
          <t>CoQ-PP_26-092</t>
        </is>
      </c>
      <c r="B2099" s="256" t="inlineStr">
        <is>
          <t>reissue — retest</t>
        </is>
      </c>
      <c r="C2099" s="256" t="inlineStr">
        <is>
          <t>GG1024_01</t>
        </is>
      </c>
      <c r="D2099" s="256" t="inlineStr">
        <is>
          <t>P050092</t>
        </is>
      </c>
      <c r="E2099" s="256" t="inlineStr">
        <is>
          <t>Gorilla Glue</t>
        </is>
      </c>
      <c r="F2099" s="256" t="inlineStr">
        <is>
          <t>17.08.2026</t>
        </is>
      </c>
      <c r="G2099" s="256" t="inlineStr">
        <is>
          <t>5</t>
        </is>
      </c>
      <c r="H2099" s="256" t="inlineStr">
        <is>
          <t>Assay — Total CBD</t>
        </is>
      </c>
      <c r="I2099" s="256" t="inlineStr">
        <is>
          <t>Ph. Eur. 2.2.29 (HPLC) · CBD + CBDA x 0.877</t>
        </is>
      </c>
      <c r="J2099" s="256" t="inlineStr">
        <is>
          <t>≤ 1.0%, w/w</t>
        </is>
      </c>
      <c r="K2099" s="256" t="inlineStr">
        <is>
          <t>&lt; LOQ</t>
        </is>
      </c>
      <c r="L2099" s="256" t="inlineStr">
        <is>
          <t>197-9-К/26</t>
        </is>
      </c>
      <c r="M2099" s="256" t="inlineStr">
        <is>
          <t>07.08.2026</t>
        </is>
      </c>
      <c r="N2099" s="256" t="inlineStr">
        <is>
          <t>Farmahem</t>
        </is>
      </c>
      <c r="O2099" s="256" t="inlineStr">
        <is>
          <t>27.07.2026</t>
        </is>
      </c>
      <c r="P2099" s="256" t="inlineStr">
        <is>
          <t>covered</t>
        </is>
      </c>
      <c r="Q2099" s="256" t="inlineStr"/>
      <c r="R2099" s="256" t="inlineStr"/>
    </row>
    <row r="2100">
      <c r="A2100" s="256" t="inlineStr">
        <is>
          <t>CoQ-PP_26-092</t>
        </is>
      </c>
      <c r="B2100" s="256" t="inlineStr">
        <is>
          <t>reissue — retest</t>
        </is>
      </c>
      <c r="C2100" s="256" t="inlineStr">
        <is>
          <t>GG1024_01</t>
        </is>
      </c>
      <c r="D2100" s="256" t="inlineStr">
        <is>
          <t>P050092</t>
        </is>
      </c>
      <c r="E2100" s="256" t="inlineStr">
        <is>
          <t>Gorilla Glue</t>
        </is>
      </c>
      <c r="F2100" s="256" t="inlineStr">
        <is>
          <t>17.08.2026</t>
        </is>
      </c>
      <c r="G2100" s="256" t="inlineStr">
        <is>
          <t>6</t>
        </is>
      </c>
      <c r="H2100" s="256" t="inlineStr">
        <is>
          <t>Total CBN</t>
        </is>
      </c>
      <c r="I2100" s="256" t="inlineStr">
        <is>
          <t>Ph. Eur. 2.2.29 (HPLC) · CBN + CBNA x 0.876</t>
        </is>
      </c>
      <c r="J2100" s="256" t="inlineStr">
        <is>
          <t>≤ 1.0%, w/w</t>
        </is>
      </c>
      <c r="K2100" s="256" t="inlineStr">
        <is>
          <t>0.20</t>
        </is>
      </c>
      <c r="L2100" s="256" t="inlineStr">
        <is>
          <t>197-9-К/26</t>
        </is>
      </c>
      <c r="M2100" s="256" t="inlineStr">
        <is>
          <t>07.08.2026</t>
        </is>
      </c>
      <c r="N2100" s="256" t="inlineStr">
        <is>
          <t>Farmahem</t>
        </is>
      </c>
      <c r="O2100" s="256" t="inlineStr">
        <is>
          <t>27.07.2026</t>
        </is>
      </c>
      <c r="P2100" s="256" t="inlineStr">
        <is>
          <t>covered</t>
        </is>
      </c>
      <c r="Q2100" s="256" t="inlineStr"/>
      <c r="R2100" s="256" t="inlineStr"/>
    </row>
    <row r="2101">
      <c r="A2101" s="256" t="inlineStr">
        <is>
          <t>CoQ-PP_26-092</t>
        </is>
      </c>
      <c r="B2101" s="256" t="inlineStr">
        <is>
          <t>reissue — retest</t>
        </is>
      </c>
      <c r="C2101" s="256" t="inlineStr">
        <is>
          <t>GG1024_01</t>
        </is>
      </c>
      <c r="D2101" s="256" t="inlineStr">
        <is>
          <t>P050092</t>
        </is>
      </c>
      <c r="E2101" s="256" t="inlineStr">
        <is>
          <t>Gorilla Glue</t>
        </is>
      </c>
      <c r="F2101" s="256" t="inlineStr">
        <is>
          <t>17.08.2026</t>
        </is>
      </c>
      <c r="G2101" s="256" t="inlineStr">
        <is>
          <t>7</t>
        </is>
      </c>
      <c r="H2101" s="256" t="inlineStr">
        <is>
          <t>Foreign Matter</t>
        </is>
      </c>
      <c r="I2101" s="256" t="inlineStr">
        <is>
          <t>Ph. Eur. 2.8.2 · In-house · интерна</t>
        </is>
      </c>
      <c r="J2101" s="256" t="inlineStr">
        <is>
          <t>≤ 2.0% / 25–50 g · &lt; 1 cm leaves | листови, no seeds | без семки</t>
        </is>
      </c>
      <c r="K2101" s="256" t="inlineStr">
        <is>
          <t>Conforms | Одговара</t>
        </is>
      </c>
      <c r="L2101" s="256" t="inlineStr">
        <is>
          <t>iCoA-PP_26-106</t>
        </is>
      </c>
      <c r="M2101" s="256" t="inlineStr">
        <is>
          <t>27.07.2026</t>
        </is>
      </c>
      <c r="N2101" s="256" t="inlineStr">
        <is>
          <t>Purely Plant GmbH (in-house)</t>
        </is>
      </c>
      <c r="O2101" s="256" t="inlineStr">
        <is>
          <t>—</t>
        </is>
      </c>
      <c r="P2101" s="256" t="inlineStr">
        <is>
          <t>covered</t>
        </is>
      </c>
      <c r="Q2101" s="256" t="inlineStr">
        <is>
          <t>Purely Plant laboratory — iCoA covering Foreign matter</t>
        </is>
      </c>
      <c r="R2101" s="256" t="inlineStr"/>
    </row>
    <row r="2102">
      <c r="A2102" s="256" t="inlineStr">
        <is>
          <t>CoQ-PP_26-092</t>
        </is>
      </c>
      <c r="B2102" s="256" t="inlineStr">
        <is>
          <t>reissue — retest</t>
        </is>
      </c>
      <c r="C2102" s="256" t="inlineStr">
        <is>
          <t>GG1024_01</t>
        </is>
      </c>
      <c r="D2102" s="256" t="inlineStr">
        <is>
          <t>P050092</t>
        </is>
      </c>
      <c r="E2102" s="256" t="inlineStr">
        <is>
          <t>Gorilla Glue</t>
        </is>
      </c>
      <c r="F2102" s="256" t="inlineStr">
        <is>
          <t>17.08.2026</t>
        </is>
      </c>
      <c r="G2102" s="256" t="inlineStr">
        <is>
          <t>8</t>
        </is>
      </c>
      <c r="H2102" s="256" t="inlineStr">
        <is>
          <t>Loss on Drying</t>
        </is>
      </c>
      <c r="I2102" s="256" t="inlineStr">
        <is>
          <t>DAB 2018 monograph Cannabis flos, 2.2.32 — loss on drying (CNP, before its Ph. Eur. 3028 accreditation)</t>
        </is>
      </c>
      <c r="J2102" s="256" t="inlineStr">
        <is>
          <t>≤ 12.0%</t>
        </is>
      </c>
      <c r="K2102" s="256" t="inlineStr">
        <is>
          <t>7.54</t>
        </is>
      </c>
      <c r="L2102" s="256" t="inlineStr">
        <is>
          <t>ППК25104</t>
        </is>
      </c>
      <c r="M2102" s="256" t="inlineStr">
        <is>
          <t>17.04.2025</t>
        </is>
      </c>
      <c r="N2102" s="256" t="inlineStr">
        <is>
          <t>UKIM Faculty of Pharmacy — Center for Natural Products</t>
        </is>
      </c>
      <c r="O2102" s="256" t="inlineStr">
        <is>
          <t>08.04.2025</t>
        </is>
      </c>
      <c r="P2102" s="256" t="inlineStr">
        <is>
          <t>carried from the initial testing (CoQ-PP-2025-0012) — covered</t>
        </is>
      </c>
      <c r="Q2102" s="256" t="inlineStr"/>
      <c r="R2102" s="256" t="inlineStr"/>
    </row>
    <row r="2103">
      <c r="A2103" s="256" t="inlineStr">
        <is>
          <t>CoQ-PP_26-092</t>
        </is>
      </c>
      <c r="B2103" s="256" t="inlineStr">
        <is>
          <t>reissue — retest</t>
        </is>
      </c>
      <c r="C2103" s="256" t="inlineStr">
        <is>
          <t>GG1024_01</t>
        </is>
      </c>
      <c r="D2103" s="256" t="inlineStr">
        <is>
          <t>P050092</t>
        </is>
      </c>
      <c r="E2103" s="256" t="inlineStr">
        <is>
          <t>Gorilla Glue</t>
        </is>
      </c>
      <c r="F2103" s="256" t="inlineStr">
        <is>
          <t>17.08.2026</t>
        </is>
      </c>
      <c r="G2103" s="256" t="inlineStr">
        <is>
          <t>9.1</t>
        </is>
      </c>
      <c r="H2103" s="256" t="inlineStr">
        <is>
          <t>TAMC</t>
        </is>
      </c>
      <c r="I2103" s="256" t="inlineStr">
        <is>
          <t>Ph. Eur. 2.6.12 cat. C</t>
        </is>
      </c>
      <c r="J2103" s="256" t="inlineStr">
        <is>
          <t>≤ 10⁵ CFU/g</t>
        </is>
      </c>
      <c r="K2103" s="256" t="inlineStr">
        <is>
          <t>5.1 × 10⁴</t>
        </is>
      </c>
      <c r="L2103" s="256" t="inlineStr">
        <is>
          <t>320/0587/25</t>
        </is>
      </c>
      <c r="M2103" s="256" t="inlineStr">
        <is>
          <t>14.04.2025</t>
        </is>
      </c>
      <c r="N2103" s="256" t="inlineStr">
        <is>
          <t>IPH — Institute of Public Health</t>
        </is>
      </c>
      <c r="O2103" s="256" t="inlineStr">
        <is>
          <t>08.04.2025</t>
        </is>
      </c>
      <c r="P2103" s="256" t="inlineStr">
        <is>
          <t>carried from the initial testing (CoQ-PP-2025-0012) — covered</t>
        </is>
      </c>
      <c r="Q2103" s="256" t="inlineStr"/>
      <c r="R2103" s="256" t="inlineStr"/>
    </row>
    <row r="2104">
      <c r="A2104" s="256" t="inlineStr">
        <is>
          <t>CoQ-PP_26-092</t>
        </is>
      </c>
      <c r="B2104" s="256" t="inlineStr">
        <is>
          <t>reissue — retest</t>
        </is>
      </c>
      <c r="C2104" s="256" t="inlineStr">
        <is>
          <t>GG1024_01</t>
        </is>
      </c>
      <c r="D2104" s="256" t="inlineStr">
        <is>
          <t>P050092</t>
        </is>
      </c>
      <c r="E2104" s="256" t="inlineStr">
        <is>
          <t>Gorilla Glue</t>
        </is>
      </c>
      <c r="F2104" s="256" t="inlineStr">
        <is>
          <t>17.08.2026</t>
        </is>
      </c>
      <c r="G2104" s="256" t="inlineStr">
        <is>
          <t>9.2</t>
        </is>
      </c>
      <c r="H2104" s="256" t="inlineStr">
        <is>
          <t>TYMC</t>
        </is>
      </c>
      <c r="I2104" s="256" t="inlineStr">
        <is>
          <t>Ph. Eur. 2.6.12 cat. C</t>
        </is>
      </c>
      <c r="J2104" s="256" t="inlineStr">
        <is>
          <t>≤ 10⁴ CFU/g</t>
        </is>
      </c>
      <c r="K2104" s="256" t="inlineStr">
        <is>
          <t>4.2 × 10⁴</t>
        </is>
      </c>
      <c r="L2104" s="256" t="inlineStr">
        <is>
          <t>320/0587/25</t>
        </is>
      </c>
      <c r="M2104" s="256" t="inlineStr">
        <is>
          <t>14.04.2025</t>
        </is>
      </c>
      <c r="N2104" s="256" t="inlineStr">
        <is>
          <t>IPH — Institute of Public Health</t>
        </is>
      </c>
      <c r="O2104" s="256" t="inlineStr">
        <is>
          <t>08.04.2025</t>
        </is>
      </c>
      <c r="P2104" s="256" t="inlineStr">
        <is>
          <t>carried from the initial testing (CoQ-PP-2025-0012) — OUT OF SPECIFICATION</t>
        </is>
      </c>
      <c r="Q2104" s="256" t="inlineStr"/>
      <c r="R2104" s="256" t="inlineStr"/>
    </row>
    <row r="2105">
      <c r="A2105" s="256" t="inlineStr">
        <is>
          <t>CoQ-PP_26-092</t>
        </is>
      </c>
      <c r="B2105" s="256" t="inlineStr">
        <is>
          <t>reissue — retest</t>
        </is>
      </c>
      <c r="C2105" s="256" t="inlineStr">
        <is>
          <t>GG1024_01</t>
        </is>
      </c>
      <c r="D2105" s="256" t="inlineStr">
        <is>
          <t>P050092</t>
        </is>
      </c>
      <c r="E2105" s="256" t="inlineStr">
        <is>
          <t>Gorilla Glue</t>
        </is>
      </c>
      <c r="F2105" s="256" t="inlineStr">
        <is>
          <t>17.08.2026</t>
        </is>
      </c>
      <c r="G2105" s="256" t="inlineStr">
        <is>
          <t>9.3</t>
        </is>
      </c>
      <c r="H2105" s="256" t="inlineStr">
        <is>
          <t>Bile-tolerant gram-neg.</t>
        </is>
      </c>
      <c r="I2105" s="256" t="inlineStr">
        <is>
          <t>Ph. Eur. 2.6.31 cat. C</t>
        </is>
      </c>
      <c r="J2105" s="256" t="inlineStr">
        <is>
          <t>≤ 10⁴ CFU/g</t>
        </is>
      </c>
      <c r="K2105" s="256" t="inlineStr">
        <is>
          <t>&lt; 10</t>
        </is>
      </c>
      <c r="L2105" s="256" t="inlineStr">
        <is>
          <t>320/0587/25</t>
        </is>
      </c>
      <c r="M2105" s="256" t="inlineStr">
        <is>
          <t>14.04.2025</t>
        </is>
      </c>
      <c r="N2105" s="256" t="inlineStr">
        <is>
          <t>IPH — Institute of Public Health</t>
        </is>
      </c>
      <c r="O2105" s="256" t="inlineStr">
        <is>
          <t>08.04.2025</t>
        </is>
      </c>
      <c r="P2105" s="256" t="inlineStr">
        <is>
          <t>carried from the initial testing (CoQ-PP-2025-0012) — covered</t>
        </is>
      </c>
      <c r="Q2105" s="256" t="inlineStr"/>
      <c r="R2105" s="256" t="inlineStr"/>
    </row>
    <row r="2106">
      <c r="A2106" s="256" t="inlineStr">
        <is>
          <t>CoQ-PP_26-092</t>
        </is>
      </c>
      <c r="B2106" s="256" t="inlineStr">
        <is>
          <t>reissue — retest</t>
        </is>
      </c>
      <c r="C2106" s="256" t="inlineStr">
        <is>
          <t>GG1024_01</t>
        </is>
      </c>
      <c r="D2106" s="256" t="inlineStr">
        <is>
          <t>P050092</t>
        </is>
      </c>
      <c r="E2106" s="256" t="inlineStr">
        <is>
          <t>Gorilla Glue</t>
        </is>
      </c>
      <c r="F2106" s="256" t="inlineStr">
        <is>
          <t>17.08.2026</t>
        </is>
      </c>
      <c r="G2106" s="256" t="inlineStr">
        <is>
          <t>9.4</t>
        </is>
      </c>
      <c r="H2106" s="256" t="inlineStr">
        <is>
          <t>Salmonella</t>
        </is>
      </c>
      <c r="I2106" s="256" t="inlineStr">
        <is>
          <t>Ph. Eur. 2.6.31 cat. C</t>
        </is>
      </c>
      <c r="J2106" s="256" t="inlineStr">
        <is>
          <t>Absence | Отсуство / 25 g</t>
        </is>
      </c>
      <c r="K2106" s="256" t="inlineStr">
        <is>
          <t>Absent | Отсутна</t>
        </is>
      </c>
      <c r="L2106" s="256" t="inlineStr">
        <is>
          <t>320/0587/25</t>
        </is>
      </c>
      <c r="M2106" s="256" t="inlineStr">
        <is>
          <t>14.04.2025</t>
        </is>
      </c>
      <c r="N2106" s="256" t="inlineStr">
        <is>
          <t>IPH — Institute of Public Health</t>
        </is>
      </c>
      <c r="O2106" s="256" t="inlineStr">
        <is>
          <t>08.04.2025</t>
        </is>
      </c>
      <c r="P2106" s="256" t="inlineStr">
        <is>
          <t>carried from the initial testing (CoQ-PP-2025-0012) — covered</t>
        </is>
      </c>
      <c r="Q2106" s="256" t="inlineStr"/>
      <c r="R2106" s="256" t="inlineStr"/>
    </row>
    <row r="2107">
      <c r="A2107" s="256" t="inlineStr">
        <is>
          <t>CoQ-PP_26-092</t>
        </is>
      </c>
      <c r="B2107" s="256" t="inlineStr">
        <is>
          <t>reissue — retest</t>
        </is>
      </c>
      <c r="C2107" s="256" t="inlineStr">
        <is>
          <t>GG1024_01</t>
        </is>
      </c>
      <c r="D2107" s="256" t="inlineStr">
        <is>
          <t>P050092</t>
        </is>
      </c>
      <c r="E2107" s="256" t="inlineStr">
        <is>
          <t>Gorilla Glue</t>
        </is>
      </c>
      <c r="F2107" s="256" t="inlineStr">
        <is>
          <t>17.08.2026</t>
        </is>
      </c>
      <c r="G2107" s="256" t="inlineStr">
        <is>
          <t>9.5</t>
        </is>
      </c>
      <c r="H2107" s="256" t="inlineStr">
        <is>
          <t>Escherichia coli</t>
        </is>
      </c>
      <c r="I2107" s="256" t="inlineStr">
        <is>
          <t>Ph. Eur. 2.6.13 cat. C</t>
        </is>
      </c>
      <c r="J2107" s="256" t="inlineStr">
        <is>
          <t>Absence | Отсуство / 1 g</t>
        </is>
      </c>
      <c r="K2107" s="256" t="inlineStr">
        <is>
          <t>Absent | Отсутна</t>
        </is>
      </c>
      <c r="L2107" s="256" t="inlineStr">
        <is>
          <t>320/0587/25</t>
        </is>
      </c>
      <c r="M2107" s="256" t="inlineStr">
        <is>
          <t>14.04.2025</t>
        </is>
      </c>
      <c r="N2107" s="256" t="inlineStr">
        <is>
          <t>IPH — Institute of Public Health</t>
        </is>
      </c>
      <c r="O2107" s="256" t="inlineStr">
        <is>
          <t>08.04.2025</t>
        </is>
      </c>
      <c r="P2107" s="256" t="inlineStr">
        <is>
          <t>carried from the initial testing (CoQ-PP-2025-0012) — covered</t>
        </is>
      </c>
      <c r="Q2107" s="256" t="inlineStr"/>
      <c r="R2107" s="256" t="inlineStr"/>
    </row>
    <row r="2108">
      <c r="A2108" s="256" t="inlineStr">
        <is>
          <t>CoQ-PP_26-092</t>
        </is>
      </c>
      <c r="B2108" s="256" t="inlineStr">
        <is>
          <t>reissue — retest</t>
        </is>
      </c>
      <c r="C2108" s="256" t="inlineStr">
        <is>
          <t>GG1024_01</t>
        </is>
      </c>
      <c r="D2108" s="256" t="inlineStr">
        <is>
          <t>P050092</t>
        </is>
      </c>
      <c r="E2108" s="256" t="inlineStr">
        <is>
          <t>Gorilla Glue</t>
        </is>
      </c>
      <c r="F2108" s="256" t="inlineStr">
        <is>
          <t>17.08.2026</t>
        </is>
      </c>
      <c r="G2108" s="256" t="inlineStr">
        <is>
          <t>9.6</t>
        </is>
      </c>
      <c r="H2108" s="256" t="inlineStr">
        <is>
          <t>Pseudomonas aeruginosa</t>
        </is>
      </c>
      <c r="I2108" s="256" t="inlineStr">
        <is>
          <t>Ph. Eur. 2.6.13 cat. C</t>
        </is>
      </c>
      <c r="J2108" s="256" t="inlineStr">
        <is>
          <t>Absence | Отсуство / 1 g</t>
        </is>
      </c>
      <c r="K2108" s="260" t="inlineStr">
        <is>
          <t>upon request — not required for release</t>
        </is>
      </c>
      <c r="L2108" s="256" t="inlineStr">
        <is>
          <t>—</t>
        </is>
      </c>
      <c r="M2108" s="256" t="inlineStr">
        <is>
          <t>—</t>
        </is>
      </c>
      <c r="N2108" s="256" t="inlineStr">
        <is>
          <t>—</t>
        </is>
      </c>
      <c r="O2108" s="256" t="inlineStr">
        <is>
          <t>—</t>
        </is>
      </c>
      <c r="P2108" s="256" t="inlineStr">
        <is>
          <t>upon request — not required for release</t>
        </is>
      </c>
      <c r="Q2108" s="256" t="inlineStr"/>
      <c r="R2108" s="256" t="inlineStr"/>
    </row>
    <row r="2109">
      <c r="A2109" s="256" t="inlineStr">
        <is>
          <t>CoQ-PP_26-092</t>
        </is>
      </c>
      <c r="B2109" s="256" t="inlineStr">
        <is>
          <t>reissue — retest</t>
        </is>
      </c>
      <c r="C2109" s="256" t="inlineStr">
        <is>
          <t>GG1024_01</t>
        </is>
      </c>
      <c r="D2109" s="256" t="inlineStr">
        <is>
          <t>P050092</t>
        </is>
      </c>
      <c r="E2109" s="256" t="inlineStr">
        <is>
          <t>Gorilla Glue</t>
        </is>
      </c>
      <c r="F2109" s="256" t="inlineStr">
        <is>
          <t>17.08.2026</t>
        </is>
      </c>
      <c r="G2109" s="256" t="inlineStr">
        <is>
          <t>9.7</t>
        </is>
      </c>
      <c r="H2109" s="256" t="inlineStr">
        <is>
          <t>Staphylococcus aureus</t>
        </is>
      </c>
      <c r="I2109" s="256" t="inlineStr">
        <is>
          <t>Ph. Eur. 2.6.13 cat. C</t>
        </is>
      </c>
      <c r="J2109" s="256" t="inlineStr">
        <is>
          <t>Absence | Отсуство / 1 g</t>
        </is>
      </c>
      <c r="K2109" s="260" t="inlineStr">
        <is>
          <t>upon request — not required for release</t>
        </is>
      </c>
      <c r="L2109" s="256" t="inlineStr">
        <is>
          <t>—</t>
        </is>
      </c>
      <c r="M2109" s="256" t="inlineStr">
        <is>
          <t>—</t>
        </is>
      </c>
      <c r="N2109" s="256" t="inlineStr">
        <is>
          <t>—</t>
        </is>
      </c>
      <c r="O2109" s="256" t="inlineStr">
        <is>
          <t>—</t>
        </is>
      </c>
      <c r="P2109" s="256" t="inlineStr">
        <is>
          <t>upon request — not required for release</t>
        </is>
      </c>
      <c r="Q2109" s="256" t="inlineStr"/>
      <c r="R2109" s="256" t="inlineStr"/>
    </row>
    <row r="2110">
      <c r="A2110" s="256" t="inlineStr">
        <is>
          <t>CoQ-PP_26-092</t>
        </is>
      </c>
      <c r="B2110" s="256" t="inlineStr">
        <is>
          <t>reissue — retest</t>
        </is>
      </c>
      <c r="C2110" s="256" t="inlineStr">
        <is>
          <t>GG1024_01</t>
        </is>
      </c>
      <c r="D2110" s="256" t="inlineStr">
        <is>
          <t>P050092</t>
        </is>
      </c>
      <c r="E2110" s="256" t="inlineStr">
        <is>
          <t>Gorilla Glue</t>
        </is>
      </c>
      <c r="F2110" s="256" t="inlineStr">
        <is>
          <t>17.08.2026</t>
        </is>
      </c>
      <c r="G2110" s="256" t="inlineStr">
        <is>
          <t>10.1</t>
        </is>
      </c>
      <c r="H2110" s="256" t="inlineStr">
        <is>
          <t>Aflatoxin B₁</t>
        </is>
      </c>
      <c r="I2110" s="256" t="inlineStr">
        <is>
          <t>Ph. Eur. 2.8.18 (HPLC-FLD)</t>
        </is>
      </c>
      <c r="J2110" s="256" t="inlineStr">
        <is>
          <t>≤ 2 µg/kg</t>
        </is>
      </c>
      <c r="K2110" s="256" t="inlineStr">
        <is>
          <t>ND</t>
        </is>
      </c>
      <c r="L2110" s="256" t="inlineStr">
        <is>
          <t>197-9-М/26</t>
        </is>
      </c>
      <c r="M2110" s="256" t="inlineStr">
        <is>
          <t>10.08.2026</t>
        </is>
      </c>
      <c r="N2110" s="256" t="inlineStr">
        <is>
          <t>Farmahem</t>
        </is>
      </c>
      <c r="O2110" s="256" t="inlineStr">
        <is>
          <t>29.07.2026</t>
        </is>
      </c>
      <c r="P2110" s="256" t="inlineStr">
        <is>
          <t>covered</t>
        </is>
      </c>
      <c r="Q2110" s="256" t="inlineStr"/>
      <c r="R2110" s="256" t="inlineStr"/>
    </row>
    <row r="2111">
      <c r="A2111" s="256" t="inlineStr">
        <is>
          <t>CoQ-PP_26-092</t>
        </is>
      </c>
      <c r="B2111" s="256" t="inlineStr">
        <is>
          <t>reissue — retest</t>
        </is>
      </c>
      <c r="C2111" s="256" t="inlineStr">
        <is>
          <t>GG1024_01</t>
        </is>
      </c>
      <c r="D2111" s="256" t="inlineStr">
        <is>
          <t>P050092</t>
        </is>
      </c>
      <c r="E2111" s="256" t="inlineStr">
        <is>
          <t>Gorilla Glue</t>
        </is>
      </c>
      <c r="F2111" s="256" t="inlineStr">
        <is>
          <t>17.08.2026</t>
        </is>
      </c>
      <c r="G2111" s="256" t="inlineStr">
        <is>
          <t>10.2</t>
        </is>
      </c>
      <c r="H2111" s="256" t="inlineStr">
        <is>
          <t>Aflatoxins ∑</t>
        </is>
      </c>
      <c r="I2111" s="256" t="inlineStr">
        <is>
          <t>Ph. Eur. 2.8.18 (HPLC-FLD)</t>
        </is>
      </c>
      <c r="J2111" s="256" t="inlineStr">
        <is>
          <t>≤ 4 µg/kg</t>
        </is>
      </c>
      <c r="K2111" s="256" t="inlineStr">
        <is>
          <t>ND</t>
        </is>
      </c>
      <c r="L2111" s="256" t="inlineStr">
        <is>
          <t>197-9-М/26</t>
        </is>
      </c>
      <c r="M2111" s="256" t="inlineStr">
        <is>
          <t>10.08.2026</t>
        </is>
      </c>
      <c r="N2111" s="256" t="inlineStr">
        <is>
          <t>Farmahem</t>
        </is>
      </c>
      <c r="O2111" s="256" t="inlineStr">
        <is>
          <t>29.07.2026</t>
        </is>
      </c>
      <c r="P2111" s="256" t="inlineStr">
        <is>
          <t>covered</t>
        </is>
      </c>
      <c r="Q2111" s="256" t="inlineStr"/>
      <c r="R2111" s="256" t="inlineStr"/>
    </row>
    <row r="2112">
      <c r="A2112" s="256" t="inlineStr">
        <is>
          <t>CoQ-PP_26-092</t>
        </is>
      </c>
      <c r="B2112" s="256" t="inlineStr">
        <is>
          <t>reissue — retest</t>
        </is>
      </c>
      <c r="C2112" s="256" t="inlineStr">
        <is>
          <t>GG1024_01</t>
        </is>
      </c>
      <c r="D2112" s="256" t="inlineStr">
        <is>
          <t>P050092</t>
        </is>
      </c>
      <c r="E2112" s="256" t="inlineStr">
        <is>
          <t>Gorilla Glue</t>
        </is>
      </c>
      <c r="F2112" s="256" t="inlineStr">
        <is>
          <t>17.08.2026</t>
        </is>
      </c>
      <c r="G2112" s="256" t="inlineStr">
        <is>
          <t>10.3</t>
        </is>
      </c>
      <c r="H2112" s="256" t="inlineStr">
        <is>
          <t>Ochratoxin A</t>
        </is>
      </c>
      <c r="I2112" s="256" t="inlineStr">
        <is>
          <t>Ph. Eur. 2.8.22 (HPLC-FLD)</t>
        </is>
      </c>
      <c r="J2112" s="256" t="inlineStr">
        <is>
          <t>≤ 20 µg/kg</t>
        </is>
      </c>
      <c r="K2112" s="256" t="inlineStr">
        <is>
          <t>ND</t>
        </is>
      </c>
      <c r="L2112" s="256" t="inlineStr">
        <is>
          <t>197-9-М/26</t>
        </is>
      </c>
      <c r="M2112" s="256" t="inlineStr">
        <is>
          <t>10.08.2026</t>
        </is>
      </c>
      <c r="N2112" s="256" t="inlineStr">
        <is>
          <t>Farmahem</t>
        </is>
      </c>
      <c r="O2112" s="256" t="inlineStr">
        <is>
          <t>29.07.2026</t>
        </is>
      </c>
      <c r="P2112" s="256" t="inlineStr">
        <is>
          <t>covered</t>
        </is>
      </c>
      <c r="Q2112" s="256" t="inlineStr"/>
      <c r="R2112" s="256" t="inlineStr"/>
    </row>
    <row r="2113">
      <c r="A2113" s="256" t="inlineStr">
        <is>
          <t>CoQ-PP_26-092</t>
        </is>
      </c>
      <c r="B2113" s="256" t="inlineStr">
        <is>
          <t>reissue — retest</t>
        </is>
      </c>
      <c r="C2113" s="256" t="inlineStr">
        <is>
          <t>GG1024_01</t>
        </is>
      </c>
      <c r="D2113" s="256" t="inlineStr">
        <is>
          <t>P050092</t>
        </is>
      </c>
      <c r="E2113" s="256" t="inlineStr">
        <is>
          <t>Gorilla Glue</t>
        </is>
      </c>
      <c r="F2113" s="256" t="inlineStr">
        <is>
          <t>17.08.2026</t>
        </is>
      </c>
      <c r="G2113" s="256" t="inlineStr">
        <is>
          <t>11.1</t>
        </is>
      </c>
      <c r="H2113" s="256" t="inlineStr">
        <is>
          <t>Lead (Pb)</t>
        </is>
      </c>
      <c r="I2113" s="256" t="inlineStr">
        <is>
          <t>Ph. Eur. 2.4.27 (ICP-MS)</t>
        </is>
      </c>
      <c r="J2113" s="256" t="inlineStr">
        <is>
          <t>≤ 0.5 mg/kg</t>
        </is>
      </c>
      <c r="K2113" s="256" t="inlineStr">
        <is>
          <t>0.02</t>
        </is>
      </c>
      <c r="L2113" s="256" t="inlineStr">
        <is>
          <t>1766/2025</t>
        </is>
      </c>
      <c r="M2113" s="256" t="inlineStr">
        <is>
          <t>11.04.2025</t>
        </is>
      </c>
      <c r="N2113" s="256" t="inlineStr">
        <is>
          <t>IPH — Institute of Public Health</t>
        </is>
      </c>
      <c r="O2113" s="256" t="inlineStr">
        <is>
          <t>08.04.2025</t>
        </is>
      </c>
      <c r="P2113" s="256" t="inlineStr">
        <is>
          <t>carried from the initial testing (CoQ-PP-2025-0012) — covered</t>
        </is>
      </c>
      <c r="Q2113" s="256" t="inlineStr"/>
      <c r="R2113" s="256" t="inlineStr"/>
    </row>
    <row r="2114">
      <c r="A2114" s="256" t="inlineStr">
        <is>
          <t>CoQ-PP_26-092</t>
        </is>
      </c>
      <c r="B2114" s="256" t="inlineStr">
        <is>
          <t>reissue — retest</t>
        </is>
      </c>
      <c r="C2114" s="256" t="inlineStr">
        <is>
          <t>GG1024_01</t>
        </is>
      </c>
      <c r="D2114" s="256" t="inlineStr">
        <is>
          <t>P050092</t>
        </is>
      </c>
      <c r="E2114" s="256" t="inlineStr">
        <is>
          <t>Gorilla Glue</t>
        </is>
      </c>
      <c r="F2114" s="256" t="inlineStr">
        <is>
          <t>17.08.2026</t>
        </is>
      </c>
      <c r="G2114" s="256" t="inlineStr">
        <is>
          <t>11.2</t>
        </is>
      </c>
      <c r="H2114" s="256" t="inlineStr">
        <is>
          <t>Cadmium (Cd)</t>
        </is>
      </c>
      <c r="I2114" s="256" t="inlineStr">
        <is>
          <t>Ph. Eur. 2.4.27 (ICP-MS)</t>
        </is>
      </c>
      <c r="J2114" s="256" t="inlineStr">
        <is>
          <t>≤ 0.3 mg/kg</t>
        </is>
      </c>
      <c r="K2114" s="256" t="inlineStr">
        <is>
          <t>0.007</t>
        </is>
      </c>
      <c r="L2114" s="256" t="inlineStr">
        <is>
          <t>1766/2025</t>
        </is>
      </c>
      <c r="M2114" s="256" t="inlineStr">
        <is>
          <t>11.04.2025</t>
        </is>
      </c>
      <c r="N2114" s="256" t="inlineStr">
        <is>
          <t>IPH — Institute of Public Health</t>
        </is>
      </c>
      <c r="O2114" s="256" t="inlineStr">
        <is>
          <t>08.04.2025</t>
        </is>
      </c>
      <c r="P2114" s="256" t="inlineStr">
        <is>
          <t>carried from the initial testing (CoQ-PP-2025-0012) — covered</t>
        </is>
      </c>
      <c r="Q2114" s="256" t="inlineStr"/>
      <c r="R2114" s="256" t="inlineStr"/>
    </row>
    <row r="2115">
      <c r="A2115" s="256" t="inlineStr">
        <is>
          <t>CoQ-PP_26-092</t>
        </is>
      </c>
      <c r="B2115" s="256" t="inlineStr">
        <is>
          <t>reissue — retest</t>
        </is>
      </c>
      <c r="C2115" s="256" t="inlineStr">
        <is>
          <t>GG1024_01</t>
        </is>
      </c>
      <c r="D2115" s="256" t="inlineStr">
        <is>
          <t>P050092</t>
        </is>
      </c>
      <c r="E2115" s="256" t="inlineStr">
        <is>
          <t>Gorilla Glue</t>
        </is>
      </c>
      <c r="F2115" s="256" t="inlineStr">
        <is>
          <t>17.08.2026</t>
        </is>
      </c>
      <c r="G2115" s="256" t="inlineStr">
        <is>
          <t>11.3</t>
        </is>
      </c>
      <c r="H2115" s="256" t="inlineStr">
        <is>
          <t>Arsenic (As)</t>
        </is>
      </c>
      <c r="I2115" s="256" t="inlineStr">
        <is>
          <t>Ph. Eur. 2.4.27 (ICP-MS)</t>
        </is>
      </c>
      <c r="J2115" s="256" t="inlineStr">
        <is>
          <t>≤ 0.2 mg/kg</t>
        </is>
      </c>
      <c r="K2115" s="256" t="inlineStr">
        <is>
          <t>0.015</t>
        </is>
      </c>
      <c r="L2115" s="256" t="inlineStr">
        <is>
          <t>1766/2025</t>
        </is>
      </c>
      <c r="M2115" s="256" t="inlineStr">
        <is>
          <t>11.04.2025</t>
        </is>
      </c>
      <c r="N2115" s="256" t="inlineStr">
        <is>
          <t>IPH — Institute of Public Health</t>
        </is>
      </c>
      <c r="O2115" s="256" t="inlineStr">
        <is>
          <t>08.04.2025</t>
        </is>
      </c>
      <c r="P2115" s="256" t="inlineStr">
        <is>
          <t>carried from the initial testing (CoQ-PP-2025-0012) — covered</t>
        </is>
      </c>
      <c r="Q2115" s="256" t="inlineStr"/>
      <c r="R2115" s="256" t="inlineStr"/>
    </row>
    <row r="2116">
      <c r="A2116" s="256" t="inlineStr">
        <is>
          <t>CoQ-PP_26-092</t>
        </is>
      </c>
      <c r="B2116" s="256" t="inlineStr">
        <is>
          <t>reissue — retest</t>
        </is>
      </c>
      <c r="C2116" s="256" t="inlineStr">
        <is>
          <t>GG1024_01</t>
        </is>
      </c>
      <c r="D2116" s="256" t="inlineStr">
        <is>
          <t>P050092</t>
        </is>
      </c>
      <c r="E2116" s="256" t="inlineStr">
        <is>
          <t>Gorilla Glue</t>
        </is>
      </c>
      <c r="F2116" s="256" t="inlineStr">
        <is>
          <t>17.08.2026</t>
        </is>
      </c>
      <c r="G2116" s="256" t="inlineStr">
        <is>
          <t>11.4</t>
        </is>
      </c>
      <c r="H2116" s="256" t="inlineStr">
        <is>
          <t>Mercury (Hg)</t>
        </is>
      </c>
      <c r="I2116" s="256" t="inlineStr">
        <is>
          <t>Ph. Eur. 2.4.27 (ICP-MS)</t>
        </is>
      </c>
      <c r="J2116" s="256" t="inlineStr">
        <is>
          <t>≤ 0.1 mg/kg</t>
        </is>
      </c>
      <c r="K2116" s="256" t="inlineStr">
        <is>
          <t>0.005</t>
        </is>
      </c>
      <c r="L2116" s="256" t="inlineStr">
        <is>
          <t>1766/2025</t>
        </is>
      </c>
      <c r="M2116" s="256" t="inlineStr">
        <is>
          <t>11.04.2025</t>
        </is>
      </c>
      <c r="N2116" s="256" t="inlineStr">
        <is>
          <t>IPH — Institute of Public Health</t>
        </is>
      </c>
      <c r="O2116" s="256" t="inlineStr">
        <is>
          <t>08.04.2025</t>
        </is>
      </c>
      <c r="P2116" s="256" t="inlineStr">
        <is>
          <t>carried from the initial testing (CoQ-PP-2025-0012) — covered</t>
        </is>
      </c>
      <c r="Q2116" s="256" t="inlineStr"/>
      <c r="R2116" s="256" t="inlineStr"/>
    </row>
    <row r="2117">
      <c r="A2117" s="256" t="inlineStr">
        <is>
          <t>CoQ-PP_26-092</t>
        </is>
      </c>
      <c r="B2117" s="256" t="inlineStr">
        <is>
          <t>reissue — retest</t>
        </is>
      </c>
      <c r="C2117" s="256" t="inlineStr">
        <is>
          <t>GG1024_01</t>
        </is>
      </c>
      <c r="D2117" s="256" t="inlineStr">
        <is>
          <t>P050092</t>
        </is>
      </c>
      <c r="E2117" s="256" t="inlineStr">
        <is>
          <t>Gorilla Glue</t>
        </is>
      </c>
      <c r="F2117" s="256" t="inlineStr">
        <is>
          <t>17.08.2026</t>
        </is>
      </c>
      <c r="G2117" s="256" t="inlineStr">
        <is>
          <t>12</t>
        </is>
      </c>
      <c r="H2117" s="256" t="inlineStr">
        <is>
          <t>Pesticide Residues</t>
        </is>
      </c>
      <c r="I2117" s="256" t="inlineStr">
        <is>
          <t>Ph. Eur. 2.8.13 (LC-MS/MS) · CUMCS Equivalency</t>
        </is>
      </c>
      <c r="J2117" s="256" t="inlineStr">
        <is>
          <t>≤ LOQ as per Ph. Eur. 2.8.13 · ≤ LOQ as per CUMCS Equivalency</t>
        </is>
      </c>
      <c r="K2117" s="256" t="inlineStr">
        <is>
          <t>ND</t>
        </is>
      </c>
      <c r="L2117" s="256" t="inlineStr">
        <is>
          <t>1766/2025</t>
        </is>
      </c>
      <c r="M2117" s="256" t="inlineStr">
        <is>
          <t>11.04.2025</t>
        </is>
      </c>
      <c r="N2117" s="256" t="inlineStr">
        <is>
          <t>IPH — Institute of Public Health</t>
        </is>
      </c>
      <c r="O2117" s="256" t="inlineStr">
        <is>
          <t>08.04.2025</t>
        </is>
      </c>
      <c r="P2117" s="256" t="inlineStr">
        <is>
          <t>carried from the initial testing (CoQ-PP-2025-0012) — covered</t>
        </is>
      </c>
      <c r="Q2117" s="256" t="inlineStr"/>
      <c r="R2117" s="256" t="inlineStr"/>
    </row>
    <row r="2118">
      <c r="A2118" s="256" t="inlineStr">
        <is>
          <t>CoQ-PP_26-093</t>
        </is>
      </c>
      <c r="B2118" s="256" t="inlineStr">
        <is>
          <t>reissue — retest</t>
        </is>
      </c>
      <c r="C2118" s="256" t="inlineStr">
        <is>
          <t>GP052501</t>
        </is>
      </c>
      <c r="D2118" s="256" t="inlineStr">
        <is>
          <t>P050152</t>
        </is>
      </c>
      <c r="E2118" s="256" t="inlineStr">
        <is>
          <t>Grape Pie</t>
        </is>
      </c>
      <c r="F2118" s="256" t="inlineStr">
        <is>
          <t>17.08.2026</t>
        </is>
      </c>
      <c r="G2118" s="256" t="inlineStr">
        <is>
          <t>1</t>
        </is>
      </c>
      <c r="H2118" s="256" t="inlineStr">
        <is>
          <t>Identification A, Appearance · Macroscopic</t>
        </is>
      </c>
      <c r="I2118" s="256" t="inlineStr">
        <is>
          <t>Ph. Eur. mon. 3028</t>
        </is>
      </c>
      <c r="J2118" s="256" t="inlineStr">
        <is>
          <t>Conforms to the monograph for Cannabis flos (07/2024:3028) in Ph. Eur. 11.0 | Согласно монографија за Cannabis flos (07/2024:3028) во Ph. Eur. 11.0</t>
        </is>
      </c>
      <c r="K2118" s="256" t="inlineStr">
        <is>
          <t>Conforms | Одговара</t>
        </is>
      </c>
      <c r="L2118" s="256" t="inlineStr">
        <is>
          <t>iCoA-PP_26-107</t>
        </is>
      </c>
      <c r="M2118" s="256" t="inlineStr">
        <is>
          <t>27.07.2026</t>
        </is>
      </c>
      <c r="N2118" s="256" t="inlineStr">
        <is>
          <t>Purely Plant GmbH (in-house)</t>
        </is>
      </c>
      <c r="O2118" s="256" t="inlineStr">
        <is>
          <t>—</t>
        </is>
      </c>
      <c r="P2118" s="256" t="inlineStr">
        <is>
          <t>covered</t>
        </is>
      </c>
      <c r="Q2118" s="256" t="inlineStr">
        <is>
          <t>Farmahem — Ident A + B + C with the Assay, at retest</t>
        </is>
      </c>
      <c r="R2118" s="256" t="inlineStr"/>
    </row>
    <row r="2119">
      <c r="A2119" s="256" t="inlineStr">
        <is>
          <t>CoQ-PP_26-093</t>
        </is>
      </c>
      <c r="B2119" s="256" t="inlineStr">
        <is>
          <t>reissue — retest</t>
        </is>
      </c>
      <c r="C2119" s="256" t="inlineStr">
        <is>
          <t>GP052501</t>
        </is>
      </c>
      <c r="D2119" s="256" t="inlineStr">
        <is>
          <t>P050152</t>
        </is>
      </c>
      <c r="E2119" s="256" t="inlineStr">
        <is>
          <t>Grape Pie</t>
        </is>
      </c>
      <c r="F2119" s="256" t="inlineStr">
        <is>
          <t>17.08.2026</t>
        </is>
      </c>
      <c r="G2119" s="256" t="inlineStr">
        <is>
          <t>2</t>
        </is>
      </c>
      <c r="H2119" s="256" t="inlineStr">
        <is>
          <t>Identification B · Microscopic</t>
        </is>
      </c>
      <c r="I2119" s="256" t="inlineStr">
        <is>
          <t>Ph. Eur. 2.8.23 (microscopy)</t>
        </is>
      </c>
      <c r="J2119" s="256" t="inlineStr">
        <is>
          <t>Conforms to the monograph for Cannabis flos (07/2024:3028) in Ph. Eur. 11.0 | Согласно монографија за Cannabis flos (07/2024:3028) во Ph. Eur. 11.0</t>
        </is>
      </c>
      <c r="K2119" s="256" t="inlineStr">
        <is>
          <t>Conforms | Одговара</t>
        </is>
      </c>
      <c r="L2119" s="256" t="inlineStr">
        <is>
          <t>iCoA-PP_26-107</t>
        </is>
      </c>
      <c r="M2119" s="256" t="inlineStr">
        <is>
          <t>27.07.2026</t>
        </is>
      </c>
      <c r="N2119" s="256" t="inlineStr">
        <is>
          <t>Purely Plant GmbH (in-house)</t>
        </is>
      </c>
      <c r="O2119" s="256" t="inlineStr">
        <is>
          <t>—</t>
        </is>
      </c>
      <c r="P2119" s="256" t="inlineStr">
        <is>
          <t>covered</t>
        </is>
      </c>
      <c r="Q2119" s="256" t="inlineStr">
        <is>
          <t>Farmahem — Ident A + B + C with the Assay, at retest</t>
        </is>
      </c>
      <c r="R2119" s="256" t="inlineStr"/>
    </row>
    <row r="2120">
      <c r="A2120" s="256" t="inlineStr">
        <is>
          <t>CoQ-PP_26-093</t>
        </is>
      </c>
      <c r="B2120" s="256" t="inlineStr">
        <is>
          <t>reissue — retest</t>
        </is>
      </c>
      <c r="C2120" s="256" t="inlineStr">
        <is>
          <t>GP052501</t>
        </is>
      </c>
      <c r="D2120" s="256" t="inlineStr">
        <is>
          <t>P050152</t>
        </is>
      </c>
      <c r="E2120" s="256" t="inlineStr">
        <is>
          <t>Grape Pie</t>
        </is>
      </c>
      <c r="F2120" s="256" t="inlineStr">
        <is>
          <t>17.08.2026</t>
        </is>
      </c>
      <c r="G2120" s="256" t="inlineStr">
        <is>
          <t>3</t>
        </is>
      </c>
      <c r="H2120" s="256" t="inlineStr">
        <is>
          <t>Identification C · HPLC/HPTLC</t>
        </is>
      </c>
      <c r="I2120" s="256" t="inlineStr">
        <is>
          <t>Ph. Eur. 2.2.29 (3028)</t>
        </is>
      </c>
      <c r="J2120" s="256" t="inlineStr">
        <is>
          <t>Conforms to the monograph for Cannabis flos (07/2024:3028) in Ph. Eur. 11.0 | Согласно монографија за Cannabis flos (07/2024:3028) во Ph. Eur. 11.0</t>
        </is>
      </c>
      <c r="K2120" s="256" t="inlineStr">
        <is>
          <t>Conforms | Одговара</t>
        </is>
      </c>
      <c r="L2120" s="256" t="inlineStr">
        <is>
          <t>197-10-К/26</t>
        </is>
      </c>
      <c r="M2120" s="256" t="inlineStr">
        <is>
          <t>07.08.2026</t>
        </is>
      </c>
      <c r="N2120" s="256" t="inlineStr">
        <is>
          <t>Farmahem</t>
        </is>
      </c>
      <c r="O2120" s="256" t="inlineStr">
        <is>
          <t>27.07.2026</t>
        </is>
      </c>
      <c r="P2120" s="256" t="inlineStr">
        <is>
          <t>covered</t>
        </is>
      </c>
      <c r="Q2120" s="256" t="inlineStr"/>
      <c r="R2120" s="256" t="inlineStr"/>
    </row>
    <row r="2121">
      <c r="A2121" s="256" t="inlineStr">
        <is>
          <t>CoQ-PP_26-093</t>
        </is>
      </c>
      <c r="B2121" s="256" t="inlineStr">
        <is>
          <t>reissue — retest</t>
        </is>
      </c>
      <c r="C2121" s="256" t="inlineStr">
        <is>
          <t>GP052501</t>
        </is>
      </c>
      <c r="D2121" s="256" t="inlineStr">
        <is>
          <t>P050152</t>
        </is>
      </c>
      <c r="E2121" s="256" t="inlineStr">
        <is>
          <t>Grape Pie</t>
        </is>
      </c>
      <c r="F2121" s="256" t="inlineStr">
        <is>
          <t>17.08.2026</t>
        </is>
      </c>
      <c r="G2121" s="256" t="inlineStr">
        <is>
          <t>4</t>
        </is>
      </c>
      <c r="H2121" s="256" t="inlineStr">
        <is>
          <t>Assay — Total Δ⁹-THC</t>
        </is>
      </c>
      <c r="I2121" s="256" t="inlineStr">
        <is>
          <t>Ph. Eur. 2.2.29 (HPLC)</t>
        </is>
      </c>
      <c r="J2121" s="256" t="inlineStr">
        <is>
          <t>18.00 – 21.99 %  (grade III, nominal 20.00 ± 2.00)</t>
        </is>
      </c>
      <c r="K2121" s="256" t="inlineStr">
        <is>
          <t>18.52</t>
        </is>
      </c>
      <c r="L2121" s="256" t="inlineStr">
        <is>
          <t>197-10-К/26</t>
        </is>
      </c>
      <c r="M2121" s="256" t="inlineStr">
        <is>
          <t>07.08.2026</t>
        </is>
      </c>
      <c r="N2121" s="256" t="inlineStr">
        <is>
          <t>Farmahem</t>
        </is>
      </c>
      <c r="O2121" s="256" t="inlineStr">
        <is>
          <t>27.07.2026</t>
        </is>
      </c>
      <c r="P2121" s="256" t="inlineStr">
        <is>
          <t>covered</t>
        </is>
      </c>
      <c r="Q2121" s="256" t="inlineStr"/>
      <c r="R2121" s="256" t="inlineStr"/>
    </row>
    <row r="2122">
      <c r="A2122" s="256" t="inlineStr">
        <is>
          <t>CoQ-PP_26-093</t>
        </is>
      </c>
      <c r="B2122" s="256" t="inlineStr">
        <is>
          <t>reissue — retest</t>
        </is>
      </c>
      <c r="C2122" s="256" t="inlineStr">
        <is>
          <t>GP052501</t>
        </is>
      </c>
      <c r="D2122" s="256" t="inlineStr">
        <is>
          <t>P050152</t>
        </is>
      </c>
      <c r="E2122" s="256" t="inlineStr">
        <is>
          <t>Grape Pie</t>
        </is>
      </c>
      <c r="F2122" s="256" t="inlineStr">
        <is>
          <t>17.08.2026</t>
        </is>
      </c>
      <c r="G2122" s="256" t="inlineStr">
        <is>
          <t>5</t>
        </is>
      </c>
      <c r="H2122" s="256" t="inlineStr">
        <is>
          <t>Assay — Total CBD</t>
        </is>
      </c>
      <c r="I2122" s="256" t="inlineStr">
        <is>
          <t>Ph. Eur. 2.2.29 (HPLC) · CBD + CBDA x 0.877</t>
        </is>
      </c>
      <c r="J2122" s="256" t="inlineStr">
        <is>
          <t>≤ 1.0%, w/w</t>
        </is>
      </c>
      <c r="K2122" s="256" t="inlineStr">
        <is>
          <t>&lt; LOQ</t>
        </is>
      </c>
      <c r="L2122" s="256" t="inlineStr">
        <is>
          <t>197-10-К/26</t>
        </is>
      </c>
      <c r="M2122" s="256" t="inlineStr">
        <is>
          <t>07.08.2026</t>
        </is>
      </c>
      <c r="N2122" s="256" t="inlineStr">
        <is>
          <t>Farmahem</t>
        </is>
      </c>
      <c r="O2122" s="256" t="inlineStr">
        <is>
          <t>27.07.2026</t>
        </is>
      </c>
      <c r="P2122" s="256" t="inlineStr">
        <is>
          <t>covered</t>
        </is>
      </c>
      <c r="Q2122" s="256" t="inlineStr"/>
      <c r="R2122" s="256" t="inlineStr"/>
    </row>
    <row r="2123">
      <c r="A2123" s="256" t="inlineStr">
        <is>
          <t>CoQ-PP_26-093</t>
        </is>
      </c>
      <c r="B2123" s="256" t="inlineStr">
        <is>
          <t>reissue — retest</t>
        </is>
      </c>
      <c r="C2123" s="256" t="inlineStr">
        <is>
          <t>GP052501</t>
        </is>
      </c>
      <c r="D2123" s="256" t="inlineStr">
        <is>
          <t>P050152</t>
        </is>
      </c>
      <c r="E2123" s="256" t="inlineStr">
        <is>
          <t>Grape Pie</t>
        </is>
      </c>
      <c r="F2123" s="256" t="inlineStr">
        <is>
          <t>17.08.2026</t>
        </is>
      </c>
      <c r="G2123" s="256" t="inlineStr">
        <is>
          <t>6</t>
        </is>
      </c>
      <c r="H2123" s="256" t="inlineStr">
        <is>
          <t>Total CBN</t>
        </is>
      </c>
      <c r="I2123" s="256" t="inlineStr">
        <is>
          <t>Ph. Eur. 2.2.29 (HPLC) · CBN + CBNA x 0.876</t>
        </is>
      </c>
      <c r="J2123" s="256" t="inlineStr">
        <is>
          <t>≤ 1.0%, w/w</t>
        </is>
      </c>
      <c r="K2123" s="256" t="inlineStr">
        <is>
          <t>&lt; LOQ</t>
        </is>
      </c>
      <c r="L2123" s="256" t="inlineStr">
        <is>
          <t>197-10-К/26</t>
        </is>
      </c>
      <c r="M2123" s="256" t="inlineStr">
        <is>
          <t>07.08.2026</t>
        </is>
      </c>
      <c r="N2123" s="256" t="inlineStr">
        <is>
          <t>Farmahem</t>
        </is>
      </c>
      <c r="O2123" s="256" t="inlineStr">
        <is>
          <t>27.07.2026</t>
        </is>
      </c>
      <c r="P2123" s="256" t="inlineStr">
        <is>
          <t>covered</t>
        </is>
      </c>
      <c r="Q2123" s="256" t="inlineStr"/>
      <c r="R2123" s="256" t="inlineStr"/>
    </row>
    <row r="2124">
      <c r="A2124" s="256" t="inlineStr">
        <is>
          <t>CoQ-PP_26-093</t>
        </is>
      </c>
      <c r="B2124" s="256" t="inlineStr">
        <is>
          <t>reissue — retest</t>
        </is>
      </c>
      <c r="C2124" s="256" t="inlineStr">
        <is>
          <t>GP052501</t>
        </is>
      </c>
      <c r="D2124" s="256" t="inlineStr">
        <is>
          <t>P050152</t>
        </is>
      </c>
      <c r="E2124" s="256" t="inlineStr">
        <is>
          <t>Grape Pie</t>
        </is>
      </c>
      <c r="F2124" s="256" t="inlineStr">
        <is>
          <t>17.08.2026</t>
        </is>
      </c>
      <c r="G2124" s="256" t="inlineStr">
        <is>
          <t>7</t>
        </is>
      </c>
      <c r="H2124" s="256" t="inlineStr">
        <is>
          <t>Foreign Matter</t>
        </is>
      </c>
      <c r="I2124" s="256" t="inlineStr">
        <is>
          <t>Ph. Eur. 2.8.2 · In-house · интерна</t>
        </is>
      </c>
      <c r="J2124" s="256" t="inlineStr">
        <is>
          <t>≤ 2.0% / 25–50 g · &lt; 1 cm leaves | листови, no seeds | без семки</t>
        </is>
      </c>
      <c r="K2124" s="256" t="inlineStr">
        <is>
          <t>Conforms | Одговара</t>
        </is>
      </c>
      <c r="L2124" s="256" t="inlineStr">
        <is>
          <t>iCoA-PP_26-107</t>
        </is>
      </c>
      <c r="M2124" s="256" t="inlineStr">
        <is>
          <t>27.07.2026</t>
        </is>
      </c>
      <c r="N2124" s="256" t="inlineStr">
        <is>
          <t>Purely Plant GmbH (in-house)</t>
        </is>
      </c>
      <c r="O2124" s="256" t="inlineStr">
        <is>
          <t>—</t>
        </is>
      </c>
      <c r="P2124" s="256" t="inlineStr">
        <is>
          <t>covered</t>
        </is>
      </c>
      <c r="Q2124" s="256" t="inlineStr">
        <is>
          <t>Purely Plant laboratory — iCoA covering Foreign matter</t>
        </is>
      </c>
      <c r="R2124" s="256" t="inlineStr"/>
    </row>
    <row r="2125">
      <c r="A2125" s="256" t="inlineStr">
        <is>
          <t>CoQ-PP_26-093</t>
        </is>
      </c>
      <c r="B2125" s="256" t="inlineStr">
        <is>
          <t>reissue — retest</t>
        </is>
      </c>
      <c r="C2125" s="256" t="inlineStr">
        <is>
          <t>GP052501</t>
        </is>
      </c>
      <c r="D2125" s="256" t="inlineStr">
        <is>
          <t>P050152</t>
        </is>
      </c>
      <c r="E2125" s="256" t="inlineStr">
        <is>
          <t>Grape Pie</t>
        </is>
      </c>
      <c r="F2125" s="256" t="inlineStr">
        <is>
          <t>17.08.2026</t>
        </is>
      </c>
      <c r="G2125" s="256" t="inlineStr">
        <is>
          <t>8</t>
        </is>
      </c>
      <c r="H2125" s="256" t="inlineStr">
        <is>
          <t>Loss on Drying</t>
        </is>
      </c>
      <c r="I2125" s="256" t="inlineStr">
        <is>
          <t>DAB 2018 monograph Cannabis flos, 2.2.32 — loss on drying (CNP, before its Ph. Eur. 3028 accreditation)</t>
        </is>
      </c>
      <c r="J2125" s="256" t="inlineStr">
        <is>
          <t>≤ 12.0%</t>
        </is>
      </c>
      <c r="K2125" s="256" t="inlineStr">
        <is>
          <t>7.30</t>
        </is>
      </c>
      <c r="L2125" s="256" t="inlineStr">
        <is>
          <t>ППК25279</t>
        </is>
      </c>
      <c r="M2125" s="256" t="inlineStr">
        <is>
          <t>19.09.2025</t>
        </is>
      </c>
      <c r="N2125" s="256" t="inlineStr">
        <is>
          <t>UKIM Faculty of Pharmacy — Center for Natural Products</t>
        </is>
      </c>
      <c r="O2125" s="256" t="inlineStr">
        <is>
          <t>05.09.2025</t>
        </is>
      </c>
      <c r="P2125" s="256" t="inlineStr">
        <is>
          <t>carried from the initial testing (CoQ-PP-2025-0014) — covered</t>
        </is>
      </c>
      <c r="Q2125" s="256" t="inlineStr"/>
      <c r="R2125" s="256" t="inlineStr"/>
    </row>
    <row r="2126">
      <c r="A2126" s="256" t="inlineStr">
        <is>
          <t>CoQ-PP_26-093</t>
        </is>
      </c>
      <c r="B2126" s="256" t="inlineStr">
        <is>
          <t>reissue — retest</t>
        </is>
      </c>
      <c r="C2126" s="256" t="inlineStr">
        <is>
          <t>GP052501</t>
        </is>
      </c>
      <c r="D2126" s="256" t="inlineStr">
        <is>
          <t>P050152</t>
        </is>
      </c>
      <c r="E2126" s="256" t="inlineStr">
        <is>
          <t>Grape Pie</t>
        </is>
      </c>
      <c r="F2126" s="256" t="inlineStr">
        <is>
          <t>17.08.2026</t>
        </is>
      </c>
      <c r="G2126" s="256" t="inlineStr">
        <is>
          <t>9.1</t>
        </is>
      </c>
      <c r="H2126" s="256" t="inlineStr">
        <is>
          <t>TAMC</t>
        </is>
      </c>
      <c r="I2126" s="256" t="inlineStr">
        <is>
          <t>Ph. Eur. 2.6.12 cat. C</t>
        </is>
      </c>
      <c r="J2126" s="256" t="inlineStr">
        <is>
          <t>≤ 10⁵ CFU/g</t>
        </is>
      </c>
      <c r="K2126" s="256" t="inlineStr">
        <is>
          <t>2.1 × 10⁴</t>
        </is>
      </c>
      <c r="L2126" s="256" t="inlineStr">
        <is>
          <t>946/1684/25</t>
        </is>
      </c>
      <c r="M2126" s="256" t="inlineStr">
        <is>
          <t>17.09.2025</t>
        </is>
      </c>
      <c r="N2126" s="256" t="inlineStr">
        <is>
          <t>IPH — Institute of Public Health</t>
        </is>
      </c>
      <c r="O2126" s="256" t="inlineStr">
        <is>
          <t>11.09.2025</t>
        </is>
      </c>
      <c r="P2126" s="256" t="inlineStr">
        <is>
          <t>carried from the initial testing (CoQ-PP-2025-0014) — covered</t>
        </is>
      </c>
      <c r="Q2126" s="256" t="inlineStr"/>
      <c r="R2126" s="256" t="inlineStr"/>
    </row>
    <row r="2127">
      <c r="A2127" s="256" t="inlineStr">
        <is>
          <t>CoQ-PP_26-093</t>
        </is>
      </c>
      <c r="B2127" s="256" t="inlineStr">
        <is>
          <t>reissue — retest</t>
        </is>
      </c>
      <c r="C2127" s="256" t="inlineStr">
        <is>
          <t>GP052501</t>
        </is>
      </c>
      <c r="D2127" s="256" t="inlineStr">
        <is>
          <t>P050152</t>
        </is>
      </c>
      <c r="E2127" s="256" t="inlineStr">
        <is>
          <t>Grape Pie</t>
        </is>
      </c>
      <c r="F2127" s="256" t="inlineStr">
        <is>
          <t>17.08.2026</t>
        </is>
      </c>
      <c r="G2127" s="256" t="inlineStr">
        <is>
          <t>9.2</t>
        </is>
      </c>
      <c r="H2127" s="256" t="inlineStr">
        <is>
          <t>TYMC</t>
        </is>
      </c>
      <c r="I2127" s="256" t="inlineStr">
        <is>
          <t>Ph. Eur. 2.6.12 cat. C</t>
        </is>
      </c>
      <c r="J2127" s="256" t="inlineStr">
        <is>
          <t>≤ 10⁴ CFU/g</t>
        </is>
      </c>
      <c r="K2127" s="256" t="inlineStr">
        <is>
          <t>3.6 × 10⁴</t>
        </is>
      </c>
      <c r="L2127" s="256" t="inlineStr">
        <is>
          <t>946/1684/25</t>
        </is>
      </c>
      <c r="M2127" s="256" t="inlineStr">
        <is>
          <t>17.09.2025</t>
        </is>
      </c>
      <c r="N2127" s="256" t="inlineStr">
        <is>
          <t>IPH — Institute of Public Health</t>
        </is>
      </c>
      <c r="O2127" s="256" t="inlineStr">
        <is>
          <t>11.09.2025</t>
        </is>
      </c>
      <c r="P2127" s="256" t="inlineStr">
        <is>
          <t>carried from the initial testing (CoQ-PP-2025-0014) — OUT OF SPECIFICATION</t>
        </is>
      </c>
      <c r="Q2127" s="256" t="inlineStr"/>
      <c r="R2127" s="256" t="inlineStr"/>
    </row>
    <row r="2128">
      <c r="A2128" s="256" t="inlineStr">
        <is>
          <t>CoQ-PP_26-093</t>
        </is>
      </c>
      <c r="B2128" s="256" t="inlineStr">
        <is>
          <t>reissue — retest</t>
        </is>
      </c>
      <c r="C2128" s="256" t="inlineStr">
        <is>
          <t>GP052501</t>
        </is>
      </c>
      <c r="D2128" s="256" t="inlineStr">
        <is>
          <t>P050152</t>
        </is>
      </c>
      <c r="E2128" s="256" t="inlineStr">
        <is>
          <t>Grape Pie</t>
        </is>
      </c>
      <c r="F2128" s="256" t="inlineStr">
        <is>
          <t>17.08.2026</t>
        </is>
      </c>
      <c r="G2128" s="256" t="inlineStr">
        <is>
          <t>9.3</t>
        </is>
      </c>
      <c r="H2128" s="256" t="inlineStr">
        <is>
          <t>Bile-tolerant gram-neg.</t>
        </is>
      </c>
      <c r="I2128" s="256" t="inlineStr">
        <is>
          <t>Ph. Eur. 2.6.31 cat. C</t>
        </is>
      </c>
      <c r="J2128" s="256" t="inlineStr">
        <is>
          <t>≤ 10⁴ CFU/g</t>
        </is>
      </c>
      <c r="K2128" s="256" t="inlineStr">
        <is>
          <t>&lt; 10² and &gt; 10¹</t>
        </is>
      </c>
      <c r="L2128" s="256" t="inlineStr">
        <is>
          <t>946/1684/25</t>
        </is>
      </c>
      <c r="M2128" s="256" t="inlineStr">
        <is>
          <t>17.09.2025</t>
        </is>
      </c>
      <c r="N2128" s="256" t="inlineStr">
        <is>
          <t>IPH — Institute of Public Health</t>
        </is>
      </c>
      <c r="O2128" s="256" t="inlineStr">
        <is>
          <t>11.09.2025</t>
        </is>
      </c>
      <c r="P2128" s="256" t="inlineStr">
        <is>
          <t>carried from the initial testing (CoQ-PP-2025-0014) — covered</t>
        </is>
      </c>
      <c r="Q2128" s="256" t="inlineStr"/>
      <c r="R2128" s="256" t="inlineStr"/>
    </row>
    <row r="2129">
      <c r="A2129" s="256" t="inlineStr">
        <is>
          <t>CoQ-PP_26-093</t>
        </is>
      </c>
      <c r="B2129" s="256" t="inlineStr">
        <is>
          <t>reissue — retest</t>
        </is>
      </c>
      <c r="C2129" s="256" t="inlineStr">
        <is>
          <t>GP052501</t>
        </is>
      </c>
      <c r="D2129" s="256" t="inlineStr">
        <is>
          <t>P050152</t>
        </is>
      </c>
      <c r="E2129" s="256" t="inlineStr">
        <is>
          <t>Grape Pie</t>
        </is>
      </c>
      <c r="F2129" s="256" t="inlineStr">
        <is>
          <t>17.08.2026</t>
        </is>
      </c>
      <c r="G2129" s="256" t="inlineStr">
        <is>
          <t>9.4</t>
        </is>
      </c>
      <c r="H2129" s="256" t="inlineStr">
        <is>
          <t>Salmonella</t>
        </is>
      </c>
      <c r="I2129" s="256" t="inlineStr">
        <is>
          <t>Ph. Eur. 2.6.31 cat. C</t>
        </is>
      </c>
      <c r="J2129" s="256" t="inlineStr">
        <is>
          <t>Absence | Отсуство / 25 g</t>
        </is>
      </c>
      <c r="K2129" s="256" t="inlineStr">
        <is>
          <t>Absent | Отсутна</t>
        </is>
      </c>
      <c r="L2129" s="256" t="inlineStr">
        <is>
          <t>946/1684/25</t>
        </is>
      </c>
      <c r="M2129" s="256" t="inlineStr">
        <is>
          <t>17.09.2025</t>
        </is>
      </c>
      <c r="N2129" s="256" t="inlineStr">
        <is>
          <t>IPH — Institute of Public Health</t>
        </is>
      </c>
      <c r="O2129" s="256" t="inlineStr">
        <is>
          <t>11.09.2025</t>
        </is>
      </c>
      <c r="P2129" s="256" t="inlineStr">
        <is>
          <t>carried from the initial testing (CoQ-PP-2025-0014) — covered</t>
        </is>
      </c>
      <c r="Q2129" s="256" t="inlineStr"/>
      <c r="R2129" s="256" t="inlineStr"/>
    </row>
    <row r="2130">
      <c r="A2130" s="256" t="inlineStr">
        <is>
          <t>CoQ-PP_26-093</t>
        </is>
      </c>
      <c r="B2130" s="256" t="inlineStr">
        <is>
          <t>reissue — retest</t>
        </is>
      </c>
      <c r="C2130" s="256" t="inlineStr">
        <is>
          <t>GP052501</t>
        </is>
      </c>
      <c r="D2130" s="256" t="inlineStr">
        <is>
          <t>P050152</t>
        </is>
      </c>
      <c r="E2130" s="256" t="inlineStr">
        <is>
          <t>Grape Pie</t>
        </is>
      </c>
      <c r="F2130" s="256" t="inlineStr">
        <is>
          <t>17.08.2026</t>
        </is>
      </c>
      <c r="G2130" s="256" t="inlineStr">
        <is>
          <t>9.5</t>
        </is>
      </c>
      <c r="H2130" s="256" t="inlineStr">
        <is>
          <t>Escherichia coli</t>
        </is>
      </c>
      <c r="I2130" s="256" t="inlineStr">
        <is>
          <t>Ph. Eur. 2.6.13 cat. C</t>
        </is>
      </c>
      <c r="J2130" s="256" t="inlineStr">
        <is>
          <t>Absence | Отсуство / 1 g</t>
        </is>
      </c>
      <c r="K2130" s="256" t="inlineStr">
        <is>
          <t>Absent | Отсутна</t>
        </is>
      </c>
      <c r="L2130" s="256" t="inlineStr">
        <is>
          <t>946/1684/25</t>
        </is>
      </c>
      <c r="M2130" s="256" t="inlineStr">
        <is>
          <t>17.09.2025</t>
        </is>
      </c>
      <c r="N2130" s="256" t="inlineStr">
        <is>
          <t>IPH — Institute of Public Health</t>
        </is>
      </c>
      <c r="O2130" s="256" t="inlineStr">
        <is>
          <t>11.09.2025</t>
        </is>
      </c>
      <c r="P2130" s="256" t="inlineStr">
        <is>
          <t>carried from the initial testing (CoQ-PP-2025-0014) — covered</t>
        </is>
      </c>
      <c r="Q2130" s="256" t="inlineStr"/>
      <c r="R2130" s="256" t="inlineStr"/>
    </row>
    <row r="2131">
      <c r="A2131" s="256" t="inlineStr">
        <is>
          <t>CoQ-PP_26-093</t>
        </is>
      </c>
      <c r="B2131" s="256" t="inlineStr">
        <is>
          <t>reissue — retest</t>
        </is>
      </c>
      <c r="C2131" s="256" t="inlineStr">
        <is>
          <t>GP052501</t>
        </is>
      </c>
      <c r="D2131" s="256" t="inlineStr">
        <is>
          <t>P050152</t>
        </is>
      </c>
      <c r="E2131" s="256" t="inlineStr">
        <is>
          <t>Grape Pie</t>
        </is>
      </c>
      <c r="F2131" s="256" t="inlineStr">
        <is>
          <t>17.08.2026</t>
        </is>
      </c>
      <c r="G2131" s="256" t="inlineStr">
        <is>
          <t>9.6</t>
        </is>
      </c>
      <c r="H2131" s="256" t="inlineStr">
        <is>
          <t>Pseudomonas aeruginosa</t>
        </is>
      </c>
      <c r="I2131" s="256" t="inlineStr">
        <is>
          <t>Ph. Eur. 2.6.13 cat. C</t>
        </is>
      </c>
      <c r="J2131" s="256" t="inlineStr">
        <is>
          <t>Absence | Отсуство / 1 g</t>
        </is>
      </c>
      <c r="K2131" s="260" t="inlineStr">
        <is>
          <t>upon request — not required for release</t>
        </is>
      </c>
      <c r="L2131" s="256" t="inlineStr">
        <is>
          <t>—</t>
        </is>
      </c>
      <c r="M2131" s="256" t="inlineStr">
        <is>
          <t>—</t>
        </is>
      </c>
      <c r="N2131" s="256" t="inlineStr">
        <is>
          <t>—</t>
        </is>
      </c>
      <c r="O2131" s="256" t="inlineStr">
        <is>
          <t>—</t>
        </is>
      </c>
      <c r="P2131" s="256" t="inlineStr">
        <is>
          <t>upon request — not required for release</t>
        </is>
      </c>
      <c r="Q2131" s="256" t="inlineStr"/>
      <c r="R2131" s="256" t="inlineStr"/>
    </row>
    <row r="2132">
      <c r="A2132" s="256" t="inlineStr">
        <is>
          <t>CoQ-PP_26-093</t>
        </is>
      </c>
      <c r="B2132" s="256" t="inlineStr">
        <is>
          <t>reissue — retest</t>
        </is>
      </c>
      <c r="C2132" s="256" t="inlineStr">
        <is>
          <t>GP052501</t>
        </is>
      </c>
      <c r="D2132" s="256" t="inlineStr">
        <is>
          <t>P050152</t>
        </is>
      </c>
      <c r="E2132" s="256" t="inlineStr">
        <is>
          <t>Grape Pie</t>
        </is>
      </c>
      <c r="F2132" s="256" t="inlineStr">
        <is>
          <t>17.08.2026</t>
        </is>
      </c>
      <c r="G2132" s="256" t="inlineStr">
        <is>
          <t>9.7</t>
        </is>
      </c>
      <c r="H2132" s="256" t="inlineStr">
        <is>
          <t>Staphylococcus aureus</t>
        </is>
      </c>
      <c r="I2132" s="256" t="inlineStr">
        <is>
          <t>Ph. Eur. 2.6.13 cat. C</t>
        </is>
      </c>
      <c r="J2132" s="256" t="inlineStr">
        <is>
          <t>Absence | Отсуство / 1 g</t>
        </is>
      </c>
      <c r="K2132" s="260" t="inlineStr">
        <is>
          <t>upon request — not required for release</t>
        </is>
      </c>
      <c r="L2132" s="256" t="inlineStr">
        <is>
          <t>—</t>
        </is>
      </c>
      <c r="M2132" s="256" t="inlineStr">
        <is>
          <t>—</t>
        </is>
      </c>
      <c r="N2132" s="256" t="inlineStr">
        <is>
          <t>—</t>
        </is>
      </c>
      <c r="O2132" s="256" t="inlineStr">
        <is>
          <t>—</t>
        </is>
      </c>
      <c r="P2132" s="256" t="inlineStr">
        <is>
          <t>upon request — not required for release</t>
        </is>
      </c>
      <c r="Q2132" s="256" t="inlineStr"/>
      <c r="R2132" s="256" t="inlineStr"/>
    </row>
    <row r="2133">
      <c r="A2133" s="256" t="inlineStr">
        <is>
          <t>CoQ-PP_26-093</t>
        </is>
      </c>
      <c r="B2133" s="256" t="inlineStr">
        <is>
          <t>reissue — retest</t>
        </is>
      </c>
      <c r="C2133" s="256" t="inlineStr">
        <is>
          <t>GP052501</t>
        </is>
      </c>
      <c r="D2133" s="256" t="inlineStr">
        <is>
          <t>P050152</t>
        </is>
      </c>
      <c r="E2133" s="256" t="inlineStr">
        <is>
          <t>Grape Pie</t>
        </is>
      </c>
      <c r="F2133" s="256" t="inlineStr">
        <is>
          <t>17.08.2026</t>
        </is>
      </c>
      <c r="G2133" s="256" t="inlineStr">
        <is>
          <t>10.1</t>
        </is>
      </c>
      <c r="H2133" s="256" t="inlineStr">
        <is>
          <t>Aflatoxin B₁</t>
        </is>
      </c>
      <c r="I2133" s="256" t="inlineStr">
        <is>
          <t>Ph. Eur. 2.8.18 (HPLC-FLD)</t>
        </is>
      </c>
      <c r="J2133" s="256" t="inlineStr">
        <is>
          <t>≤ 2 µg/kg</t>
        </is>
      </c>
      <c r="K2133" s="256" t="inlineStr">
        <is>
          <t>ND</t>
        </is>
      </c>
      <c r="L2133" s="256" t="inlineStr">
        <is>
          <t>197-10-М/26</t>
        </is>
      </c>
      <c r="M2133" s="256" t="inlineStr">
        <is>
          <t>10.08.2026</t>
        </is>
      </c>
      <c r="N2133" s="256" t="inlineStr">
        <is>
          <t>Farmahem</t>
        </is>
      </c>
      <c r="O2133" s="256" t="inlineStr">
        <is>
          <t>29.07.2026</t>
        </is>
      </c>
      <c r="P2133" s="256" t="inlineStr">
        <is>
          <t>covered</t>
        </is>
      </c>
      <c r="Q2133" s="256" t="inlineStr"/>
      <c r="R2133" s="256" t="inlineStr"/>
    </row>
    <row r="2134">
      <c r="A2134" s="256" t="inlineStr">
        <is>
          <t>CoQ-PP_26-093</t>
        </is>
      </c>
      <c r="B2134" s="256" t="inlineStr">
        <is>
          <t>reissue — retest</t>
        </is>
      </c>
      <c r="C2134" s="256" t="inlineStr">
        <is>
          <t>GP052501</t>
        </is>
      </c>
      <c r="D2134" s="256" t="inlineStr">
        <is>
          <t>P050152</t>
        </is>
      </c>
      <c r="E2134" s="256" t="inlineStr">
        <is>
          <t>Grape Pie</t>
        </is>
      </c>
      <c r="F2134" s="256" t="inlineStr">
        <is>
          <t>17.08.2026</t>
        </is>
      </c>
      <c r="G2134" s="256" t="inlineStr">
        <is>
          <t>10.2</t>
        </is>
      </c>
      <c r="H2134" s="256" t="inlineStr">
        <is>
          <t>Aflatoxins ∑</t>
        </is>
      </c>
      <c r="I2134" s="256" t="inlineStr">
        <is>
          <t>Ph. Eur. 2.8.18 (HPLC-FLD)</t>
        </is>
      </c>
      <c r="J2134" s="256" t="inlineStr">
        <is>
          <t>≤ 4 µg/kg</t>
        </is>
      </c>
      <c r="K2134" s="256" t="inlineStr">
        <is>
          <t>ND</t>
        </is>
      </c>
      <c r="L2134" s="256" t="inlineStr">
        <is>
          <t>197-10-М/26</t>
        </is>
      </c>
      <c r="M2134" s="256" t="inlineStr">
        <is>
          <t>10.08.2026</t>
        </is>
      </c>
      <c r="N2134" s="256" t="inlineStr">
        <is>
          <t>Farmahem</t>
        </is>
      </c>
      <c r="O2134" s="256" t="inlineStr">
        <is>
          <t>29.07.2026</t>
        </is>
      </c>
      <c r="P2134" s="256" t="inlineStr">
        <is>
          <t>covered</t>
        </is>
      </c>
      <c r="Q2134" s="256" t="inlineStr"/>
      <c r="R2134" s="256" t="inlineStr"/>
    </row>
    <row r="2135">
      <c r="A2135" s="256" t="inlineStr">
        <is>
          <t>CoQ-PP_26-093</t>
        </is>
      </c>
      <c r="B2135" s="256" t="inlineStr">
        <is>
          <t>reissue — retest</t>
        </is>
      </c>
      <c r="C2135" s="256" t="inlineStr">
        <is>
          <t>GP052501</t>
        </is>
      </c>
      <c r="D2135" s="256" t="inlineStr">
        <is>
          <t>P050152</t>
        </is>
      </c>
      <c r="E2135" s="256" t="inlineStr">
        <is>
          <t>Grape Pie</t>
        </is>
      </c>
      <c r="F2135" s="256" t="inlineStr">
        <is>
          <t>17.08.2026</t>
        </is>
      </c>
      <c r="G2135" s="256" t="inlineStr">
        <is>
          <t>10.3</t>
        </is>
      </c>
      <c r="H2135" s="256" t="inlineStr">
        <is>
          <t>Ochratoxin A</t>
        </is>
      </c>
      <c r="I2135" s="256" t="inlineStr">
        <is>
          <t>Ph. Eur. 2.8.22 (HPLC-FLD)</t>
        </is>
      </c>
      <c r="J2135" s="256" t="inlineStr">
        <is>
          <t>≤ 20 µg/kg</t>
        </is>
      </c>
      <c r="K2135" s="256" t="inlineStr">
        <is>
          <t>ND</t>
        </is>
      </c>
      <c r="L2135" s="256" t="inlineStr">
        <is>
          <t>197-10-М/26</t>
        </is>
      </c>
      <c r="M2135" s="256" t="inlineStr">
        <is>
          <t>10.08.2026</t>
        </is>
      </c>
      <c r="N2135" s="256" t="inlineStr">
        <is>
          <t>Farmahem</t>
        </is>
      </c>
      <c r="O2135" s="256" t="inlineStr">
        <is>
          <t>29.07.2026</t>
        </is>
      </c>
      <c r="P2135" s="256" t="inlineStr">
        <is>
          <t>covered</t>
        </is>
      </c>
      <c r="Q2135" s="256" t="inlineStr"/>
      <c r="R2135" s="256" t="inlineStr"/>
    </row>
    <row r="2136">
      <c r="A2136" s="256" t="inlineStr">
        <is>
          <t>CoQ-PP_26-093</t>
        </is>
      </c>
      <c r="B2136" s="256" t="inlineStr">
        <is>
          <t>reissue — retest</t>
        </is>
      </c>
      <c r="C2136" s="256" t="inlineStr">
        <is>
          <t>GP052501</t>
        </is>
      </c>
      <c r="D2136" s="256" t="inlineStr">
        <is>
          <t>P050152</t>
        </is>
      </c>
      <c r="E2136" s="256" t="inlineStr">
        <is>
          <t>Grape Pie</t>
        </is>
      </c>
      <c r="F2136" s="256" t="inlineStr">
        <is>
          <t>17.08.2026</t>
        </is>
      </c>
      <c r="G2136" s="256" t="inlineStr">
        <is>
          <t>11.1</t>
        </is>
      </c>
      <c r="H2136" s="256" t="inlineStr">
        <is>
          <t>Lead (Pb)</t>
        </is>
      </c>
      <c r="I2136" s="256" t="inlineStr">
        <is>
          <t>Ph. Eur. 2.4.27 (ICP-MS)</t>
        </is>
      </c>
      <c r="J2136" s="256" t="inlineStr">
        <is>
          <t>≤ 0.5 mg/kg</t>
        </is>
      </c>
      <c r="K2136" s="256" t="inlineStr">
        <is>
          <t>0.06</t>
        </is>
      </c>
      <c r="L2136" s="256" t="inlineStr">
        <is>
          <t>4348/2025</t>
        </is>
      </c>
      <c r="M2136" s="256" t="inlineStr">
        <is>
          <t>15.09.2025</t>
        </is>
      </c>
      <c r="N2136" s="256" t="inlineStr">
        <is>
          <t>IPH — Institute of Public Health</t>
        </is>
      </c>
      <c r="O2136" s="256" t="inlineStr">
        <is>
          <t>05.09.2025</t>
        </is>
      </c>
      <c r="P2136" s="256" t="inlineStr">
        <is>
          <t>carried from the initial testing (CoQ-PP-2025-0014) — covered</t>
        </is>
      </c>
      <c r="Q2136" s="256" t="inlineStr"/>
      <c r="R2136" s="256" t="inlineStr"/>
    </row>
    <row r="2137">
      <c r="A2137" s="256" t="inlineStr">
        <is>
          <t>CoQ-PP_26-093</t>
        </is>
      </c>
      <c r="B2137" s="256" t="inlineStr">
        <is>
          <t>reissue — retest</t>
        </is>
      </c>
      <c r="C2137" s="256" t="inlineStr">
        <is>
          <t>GP052501</t>
        </is>
      </c>
      <c r="D2137" s="256" t="inlineStr">
        <is>
          <t>P050152</t>
        </is>
      </c>
      <c r="E2137" s="256" t="inlineStr">
        <is>
          <t>Grape Pie</t>
        </is>
      </c>
      <c r="F2137" s="256" t="inlineStr">
        <is>
          <t>17.08.2026</t>
        </is>
      </c>
      <c r="G2137" s="256" t="inlineStr">
        <is>
          <t>11.2</t>
        </is>
      </c>
      <c r="H2137" s="256" t="inlineStr">
        <is>
          <t>Cadmium (Cd)</t>
        </is>
      </c>
      <c r="I2137" s="256" t="inlineStr">
        <is>
          <t>Ph. Eur. 2.4.27 (ICP-MS)</t>
        </is>
      </c>
      <c r="J2137" s="256" t="inlineStr">
        <is>
          <t>≤ 0.3 mg/kg</t>
        </is>
      </c>
      <c r="K2137" s="256" t="inlineStr">
        <is>
          <t>ND</t>
        </is>
      </c>
      <c r="L2137" s="256" t="inlineStr">
        <is>
          <t>4348/2025</t>
        </is>
      </c>
      <c r="M2137" s="256" t="inlineStr">
        <is>
          <t>15.09.2025</t>
        </is>
      </c>
      <c r="N2137" s="256" t="inlineStr">
        <is>
          <t>IPH — Institute of Public Health</t>
        </is>
      </c>
      <c r="O2137" s="256" t="inlineStr">
        <is>
          <t>05.09.2025</t>
        </is>
      </c>
      <c r="P2137" s="256" t="inlineStr">
        <is>
          <t>carried from the initial testing (CoQ-PP-2025-0014) — covered</t>
        </is>
      </c>
      <c r="Q2137" s="256" t="inlineStr"/>
      <c r="R2137" s="256" t="inlineStr"/>
    </row>
    <row r="2138">
      <c r="A2138" s="256" t="inlineStr">
        <is>
          <t>CoQ-PP_26-093</t>
        </is>
      </c>
      <c r="B2138" s="256" t="inlineStr">
        <is>
          <t>reissue — retest</t>
        </is>
      </c>
      <c r="C2138" s="256" t="inlineStr">
        <is>
          <t>GP052501</t>
        </is>
      </c>
      <c r="D2138" s="256" t="inlineStr">
        <is>
          <t>P050152</t>
        </is>
      </c>
      <c r="E2138" s="256" t="inlineStr">
        <is>
          <t>Grape Pie</t>
        </is>
      </c>
      <c r="F2138" s="256" t="inlineStr">
        <is>
          <t>17.08.2026</t>
        </is>
      </c>
      <c r="G2138" s="256" t="inlineStr">
        <is>
          <t>11.3</t>
        </is>
      </c>
      <c r="H2138" s="256" t="inlineStr">
        <is>
          <t>Arsenic (As)</t>
        </is>
      </c>
      <c r="I2138" s="256" t="inlineStr">
        <is>
          <t>Ph. Eur. 2.4.27 (ICP-MS)</t>
        </is>
      </c>
      <c r="J2138" s="256" t="inlineStr">
        <is>
          <t>≤ 0.2 mg/kg</t>
        </is>
      </c>
      <c r="K2138" s="256" t="inlineStr">
        <is>
          <t>ND</t>
        </is>
      </c>
      <c r="L2138" s="256" t="inlineStr">
        <is>
          <t>4348/2025</t>
        </is>
      </c>
      <c r="M2138" s="256" t="inlineStr">
        <is>
          <t>15.09.2025</t>
        </is>
      </c>
      <c r="N2138" s="256" t="inlineStr">
        <is>
          <t>IPH — Institute of Public Health</t>
        </is>
      </c>
      <c r="O2138" s="256" t="inlineStr">
        <is>
          <t>05.09.2025</t>
        </is>
      </c>
      <c r="P2138" s="256" t="inlineStr">
        <is>
          <t>carried from the initial testing (CoQ-PP-2025-0014) — covered</t>
        </is>
      </c>
      <c r="Q2138" s="256" t="inlineStr"/>
      <c r="R2138" s="256" t="inlineStr"/>
    </row>
    <row r="2139">
      <c r="A2139" s="256" t="inlineStr">
        <is>
          <t>CoQ-PP_26-093</t>
        </is>
      </c>
      <c r="B2139" s="256" t="inlineStr">
        <is>
          <t>reissue — retest</t>
        </is>
      </c>
      <c r="C2139" s="256" t="inlineStr">
        <is>
          <t>GP052501</t>
        </is>
      </c>
      <c r="D2139" s="256" t="inlineStr">
        <is>
          <t>P050152</t>
        </is>
      </c>
      <c r="E2139" s="256" t="inlineStr">
        <is>
          <t>Grape Pie</t>
        </is>
      </c>
      <c r="F2139" s="256" t="inlineStr">
        <is>
          <t>17.08.2026</t>
        </is>
      </c>
      <c r="G2139" s="256" t="inlineStr">
        <is>
          <t>11.4</t>
        </is>
      </c>
      <c r="H2139" s="256" t="inlineStr">
        <is>
          <t>Mercury (Hg)</t>
        </is>
      </c>
      <c r="I2139" s="256" t="inlineStr">
        <is>
          <t>Ph. Eur. 2.4.27 (ICP-MS)</t>
        </is>
      </c>
      <c r="J2139" s="256" t="inlineStr">
        <is>
          <t>≤ 0.1 mg/kg</t>
        </is>
      </c>
      <c r="K2139" s="256" t="inlineStr">
        <is>
          <t>ND</t>
        </is>
      </c>
      <c r="L2139" s="256" t="inlineStr">
        <is>
          <t>4348/2025</t>
        </is>
      </c>
      <c r="M2139" s="256" t="inlineStr">
        <is>
          <t>15.09.2025</t>
        </is>
      </c>
      <c r="N2139" s="256" t="inlineStr">
        <is>
          <t>IPH — Institute of Public Health</t>
        </is>
      </c>
      <c r="O2139" s="256" t="inlineStr">
        <is>
          <t>05.09.2025</t>
        </is>
      </c>
      <c r="P2139" s="256" t="inlineStr">
        <is>
          <t>carried from the initial testing (CoQ-PP-2025-0014) — covered</t>
        </is>
      </c>
      <c r="Q2139" s="256" t="inlineStr"/>
      <c r="R2139" s="256" t="inlineStr"/>
    </row>
    <row r="2140">
      <c r="A2140" s="256" t="inlineStr">
        <is>
          <t>CoQ-PP_26-093</t>
        </is>
      </c>
      <c r="B2140" s="256" t="inlineStr">
        <is>
          <t>reissue — retest</t>
        </is>
      </c>
      <c r="C2140" s="256" t="inlineStr">
        <is>
          <t>GP052501</t>
        </is>
      </c>
      <c r="D2140" s="256" t="inlineStr">
        <is>
          <t>P050152</t>
        </is>
      </c>
      <c r="E2140" s="256" t="inlineStr">
        <is>
          <t>Grape Pie</t>
        </is>
      </c>
      <c r="F2140" s="256" t="inlineStr">
        <is>
          <t>17.08.2026</t>
        </is>
      </c>
      <c r="G2140" s="256" t="inlineStr">
        <is>
          <t>12</t>
        </is>
      </c>
      <c r="H2140" s="256" t="inlineStr">
        <is>
          <t>Pesticide Residues</t>
        </is>
      </c>
      <c r="I2140" s="256" t="inlineStr">
        <is>
          <t>Ph. Eur. 2.8.13 (LC-MS/MS) · CUMCS Equivalency</t>
        </is>
      </c>
      <c r="J2140" s="256" t="inlineStr">
        <is>
          <t>≤ LOQ as per Ph. Eur. 2.8.13 · ≤ LOQ as per CUMCS Equivalency</t>
        </is>
      </c>
      <c r="K2140" s="256" t="inlineStr">
        <is>
          <t>ND</t>
        </is>
      </c>
      <c r="L2140" s="256" t="inlineStr">
        <is>
          <t>4348/2025</t>
        </is>
      </c>
      <c r="M2140" s="256" t="inlineStr">
        <is>
          <t>15.09.2025</t>
        </is>
      </c>
      <c r="N2140" s="256" t="inlineStr">
        <is>
          <t>IPH — Institute of Public Health</t>
        </is>
      </c>
      <c r="O2140" s="256" t="inlineStr">
        <is>
          <t>05.09.2025</t>
        </is>
      </c>
      <c r="P2140" s="256" t="inlineStr">
        <is>
          <t>carried from the initial testing (CoQ-PP-2025-0014) — covered</t>
        </is>
      </c>
      <c r="Q2140" s="256" t="inlineStr"/>
      <c r="R2140" s="256" t="inlineStr"/>
    </row>
    <row r="2141">
      <c r="A2141" s="256" t="inlineStr">
        <is>
          <t>CoQ-PP_26-094</t>
        </is>
      </c>
      <c r="B2141" s="256" t="inlineStr">
        <is>
          <t>reissue — retest</t>
        </is>
      </c>
      <c r="C2141" s="256" t="inlineStr">
        <is>
          <t>GP0824_02</t>
        </is>
      </c>
      <c r="D2141" s="256" t="inlineStr">
        <is>
          <t>P050022</t>
        </is>
      </c>
      <c r="E2141" s="256" t="inlineStr">
        <is>
          <t>Grape Pie</t>
        </is>
      </c>
      <c r="F2141" s="256" t="inlineStr">
        <is>
          <t>17.08.2026</t>
        </is>
      </c>
      <c r="G2141" s="256" t="inlineStr">
        <is>
          <t>1</t>
        </is>
      </c>
      <c r="H2141" s="256" t="inlineStr">
        <is>
          <t>Identification A, Appearance · Macroscopic</t>
        </is>
      </c>
      <c r="I2141" s="256" t="inlineStr">
        <is>
          <t>Ph. Eur. mon. 3028</t>
        </is>
      </c>
      <c r="J2141" s="256" t="inlineStr">
        <is>
          <t>Conforms to the monograph for Cannabis flos (07/2024:3028) in Ph. Eur. 11.0 | Согласно монографија за Cannabis flos (07/2024:3028) во Ph. Eur. 11.0</t>
        </is>
      </c>
      <c r="K2141" s="256" t="inlineStr">
        <is>
          <t>Conforms | Одговара</t>
        </is>
      </c>
      <c r="L2141" s="256" t="inlineStr">
        <is>
          <t>iCoA-PP_26-108</t>
        </is>
      </c>
      <c r="M2141" s="256" t="inlineStr">
        <is>
          <t>27.07.2026</t>
        </is>
      </c>
      <c r="N2141" s="256" t="inlineStr">
        <is>
          <t>Purely Plant GmbH (in-house)</t>
        </is>
      </c>
      <c r="O2141" s="256" t="inlineStr">
        <is>
          <t>—</t>
        </is>
      </c>
      <c r="P2141" s="256" t="inlineStr">
        <is>
          <t>covered</t>
        </is>
      </c>
      <c r="Q2141" s="256" t="inlineStr">
        <is>
          <t>Farmahem — Ident A + B + C with the Assay, at retest</t>
        </is>
      </c>
      <c r="R2141" s="256" t="inlineStr"/>
    </row>
    <row r="2142">
      <c r="A2142" s="256" t="inlineStr">
        <is>
          <t>CoQ-PP_26-094</t>
        </is>
      </c>
      <c r="B2142" s="256" t="inlineStr">
        <is>
          <t>reissue — retest</t>
        </is>
      </c>
      <c r="C2142" s="256" t="inlineStr">
        <is>
          <t>GP0824_02</t>
        </is>
      </c>
      <c r="D2142" s="256" t="inlineStr">
        <is>
          <t>P050022</t>
        </is>
      </c>
      <c r="E2142" s="256" t="inlineStr">
        <is>
          <t>Grape Pie</t>
        </is>
      </c>
      <c r="F2142" s="256" t="inlineStr">
        <is>
          <t>17.08.2026</t>
        </is>
      </c>
      <c r="G2142" s="256" t="inlineStr">
        <is>
          <t>2</t>
        </is>
      </c>
      <c r="H2142" s="256" t="inlineStr">
        <is>
          <t>Identification B · Microscopic</t>
        </is>
      </c>
      <c r="I2142" s="256" t="inlineStr">
        <is>
          <t>Ph. Eur. 2.8.23 (microscopy)</t>
        </is>
      </c>
      <c r="J2142" s="256" t="inlineStr">
        <is>
          <t>Conforms to the monograph for Cannabis flos (07/2024:3028) in Ph. Eur. 11.0 | Согласно монографија за Cannabis flos (07/2024:3028) во Ph. Eur. 11.0</t>
        </is>
      </c>
      <c r="K2142" s="256" t="inlineStr">
        <is>
          <t>Conforms | Одговара</t>
        </is>
      </c>
      <c r="L2142" s="256" t="inlineStr">
        <is>
          <t>iCoA-PP_26-108</t>
        </is>
      </c>
      <c r="M2142" s="256" t="inlineStr">
        <is>
          <t>27.07.2026</t>
        </is>
      </c>
      <c r="N2142" s="256" t="inlineStr">
        <is>
          <t>Purely Plant GmbH (in-house)</t>
        </is>
      </c>
      <c r="O2142" s="256" t="inlineStr">
        <is>
          <t>—</t>
        </is>
      </c>
      <c r="P2142" s="256" t="inlineStr">
        <is>
          <t>covered</t>
        </is>
      </c>
      <c r="Q2142" s="256" t="inlineStr">
        <is>
          <t>Farmahem — Ident A + B + C with the Assay, at retest</t>
        </is>
      </c>
      <c r="R2142" s="256" t="inlineStr"/>
    </row>
    <row r="2143">
      <c r="A2143" s="256" t="inlineStr">
        <is>
          <t>CoQ-PP_26-094</t>
        </is>
      </c>
      <c r="B2143" s="256" t="inlineStr">
        <is>
          <t>reissue — retest</t>
        </is>
      </c>
      <c r="C2143" s="256" t="inlineStr">
        <is>
          <t>GP0824_02</t>
        </is>
      </c>
      <c r="D2143" s="256" t="inlineStr">
        <is>
          <t>P050022</t>
        </is>
      </c>
      <c r="E2143" s="256" t="inlineStr">
        <is>
          <t>Grape Pie</t>
        </is>
      </c>
      <c r="F2143" s="256" t="inlineStr">
        <is>
          <t>17.08.2026</t>
        </is>
      </c>
      <c r="G2143" s="256" t="inlineStr">
        <is>
          <t>3</t>
        </is>
      </c>
      <c r="H2143" s="256" t="inlineStr">
        <is>
          <t>Identification C · HPLC/HPTLC</t>
        </is>
      </c>
      <c r="I2143" s="256" t="inlineStr">
        <is>
          <t>Ph. Eur. 2.2.29 (3028)</t>
        </is>
      </c>
      <c r="J2143" s="256" t="inlineStr">
        <is>
          <t>Conforms to the monograph for Cannabis flos (07/2024:3028) in Ph. Eur. 11.0 | Согласно монографија за Cannabis flos (07/2024:3028) во Ph. Eur. 11.0</t>
        </is>
      </c>
      <c r="K2143" s="256" t="inlineStr">
        <is>
          <t>Conforms | Одговара</t>
        </is>
      </c>
      <c r="L2143" s="256" t="inlineStr">
        <is>
          <t>197-11-К/26</t>
        </is>
      </c>
      <c r="M2143" s="256" t="inlineStr">
        <is>
          <t>07.08.2026</t>
        </is>
      </c>
      <c r="N2143" s="256" t="inlineStr">
        <is>
          <t>Farmahem</t>
        </is>
      </c>
      <c r="O2143" s="256" t="inlineStr">
        <is>
          <t>27.07.2026</t>
        </is>
      </c>
      <c r="P2143" s="256" t="inlineStr">
        <is>
          <t>covered</t>
        </is>
      </c>
      <c r="Q2143" s="256" t="inlineStr"/>
      <c r="R2143" s="256" t="inlineStr"/>
    </row>
    <row r="2144">
      <c r="A2144" s="256" t="inlineStr">
        <is>
          <t>CoQ-PP_26-094</t>
        </is>
      </c>
      <c r="B2144" s="256" t="inlineStr">
        <is>
          <t>reissue — retest</t>
        </is>
      </c>
      <c r="C2144" s="256" t="inlineStr">
        <is>
          <t>GP0824_02</t>
        </is>
      </c>
      <c r="D2144" s="256" t="inlineStr">
        <is>
          <t>P050022</t>
        </is>
      </c>
      <c r="E2144" s="256" t="inlineStr">
        <is>
          <t>Grape Pie</t>
        </is>
      </c>
      <c r="F2144" s="256" t="inlineStr">
        <is>
          <t>17.08.2026</t>
        </is>
      </c>
      <c r="G2144" s="256" t="inlineStr">
        <is>
          <t>4</t>
        </is>
      </c>
      <c r="H2144" s="256" t="inlineStr">
        <is>
          <t>Assay — Total Δ⁹-THC</t>
        </is>
      </c>
      <c r="I2144" s="256" t="inlineStr">
        <is>
          <t>Ph. Eur. 2.2.29 (HPLC)</t>
        </is>
      </c>
      <c r="J2144" s="256" t="inlineStr">
        <is>
          <t>22.00 – 25.99 %  (grade II, nominal 24.00 ± 2.00)</t>
        </is>
      </c>
      <c r="K2144" s="256" t="inlineStr">
        <is>
          <t>22.61</t>
        </is>
      </c>
      <c r="L2144" s="256" t="inlineStr">
        <is>
          <t>197-11-К/26</t>
        </is>
      </c>
      <c r="M2144" s="256" t="inlineStr">
        <is>
          <t>07.08.2026</t>
        </is>
      </c>
      <c r="N2144" s="256" t="inlineStr">
        <is>
          <t>Farmahem</t>
        </is>
      </c>
      <c r="O2144" s="256" t="inlineStr">
        <is>
          <t>27.07.2026</t>
        </is>
      </c>
      <c r="P2144" s="256" t="inlineStr">
        <is>
          <t>covered</t>
        </is>
      </c>
      <c r="Q2144" s="256" t="inlineStr"/>
      <c r="R2144" s="256" t="inlineStr"/>
    </row>
    <row r="2145">
      <c r="A2145" s="256" t="inlineStr">
        <is>
          <t>CoQ-PP_26-094</t>
        </is>
      </c>
      <c r="B2145" s="256" t="inlineStr">
        <is>
          <t>reissue — retest</t>
        </is>
      </c>
      <c r="C2145" s="256" t="inlineStr">
        <is>
          <t>GP0824_02</t>
        </is>
      </c>
      <c r="D2145" s="256" t="inlineStr">
        <is>
          <t>P050022</t>
        </is>
      </c>
      <c r="E2145" s="256" t="inlineStr">
        <is>
          <t>Grape Pie</t>
        </is>
      </c>
      <c r="F2145" s="256" t="inlineStr">
        <is>
          <t>17.08.2026</t>
        </is>
      </c>
      <c r="G2145" s="256" t="inlineStr">
        <is>
          <t>5</t>
        </is>
      </c>
      <c r="H2145" s="256" t="inlineStr">
        <is>
          <t>Assay — Total CBD</t>
        </is>
      </c>
      <c r="I2145" s="256" t="inlineStr">
        <is>
          <t>Ph. Eur. 2.2.29 (HPLC) · CBD + CBDA x 0.877</t>
        </is>
      </c>
      <c r="J2145" s="256" t="inlineStr">
        <is>
          <t>≤ 1.0%, w/w</t>
        </is>
      </c>
      <c r="K2145" s="256" t="inlineStr">
        <is>
          <t>&lt; LOQ</t>
        </is>
      </c>
      <c r="L2145" s="256" t="inlineStr">
        <is>
          <t>197-11-К/26</t>
        </is>
      </c>
      <c r="M2145" s="256" t="inlineStr">
        <is>
          <t>07.08.2026</t>
        </is>
      </c>
      <c r="N2145" s="256" t="inlineStr">
        <is>
          <t>Farmahem</t>
        </is>
      </c>
      <c r="O2145" s="256" t="inlineStr">
        <is>
          <t>27.07.2026</t>
        </is>
      </c>
      <c r="P2145" s="256" t="inlineStr">
        <is>
          <t>covered</t>
        </is>
      </c>
      <c r="Q2145" s="256" t="inlineStr"/>
      <c r="R2145" s="256" t="inlineStr"/>
    </row>
    <row r="2146">
      <c r="A2146" s="256" t="inlineStr">
        <is>
          <t>CoQ-PP_26-094</t>
        </is>
      </c>
      <c r="B2146" s="256" t="inlineStr">
        <is>
          <t>reissue — retest</t>
        </is>
      </c>
      <c r="C2146" s="256" t="inlineStr">
        <is>
          <t>GP0824_02</t>
        </is>
      </c>
      <c r="D2146" s="256" t="inlineStr">
        <is>
          <t>P050022</t>
        </is>
      </c>
      <c r="E2146" s="256" t="inlineStr">
        <is>
          <t>Grape Pie</t>
        </is>
      </c>
      <c r="F2146" s="256" t="inlineStr">
        <is>
          <t>17.08.2026</t>
        </is>
      </c>
      <c r="G2146" s="256" t="inlineStr">
        <is>
          <t>6</t>
        </is>
      </c>
      <c r="H2146" s="256" t="inlineStr">
        <is>
          <t>Total CBN</t>
        </is>
      </c>
      <c r="I2146" s="256" t="inlineStr">
        <is>
          <t>Ph. Eur. 2.2.29 (HPLC) · CBN + CBNA x 0.876</t>
        </is>
      </c>
      <c r="J2146" s="256" t="inlineStr">
        <is>
          <t>≤ 1.0%, w/w</t>
        </is>
      </c>
      <c r="K2146" s="256" t="inlineStr">
        <is>
          <t>0.23</t>
        </is>
      </c>
      <c r="L2146" s="256" t="inlineStr">
        <is>
          <t>197-11-К/26</t>
        </is>
      </c>
      <c r="M2146" s="256" t="inlineStr">
        <is>
          <t>07.08.2026</t>
        </is>
      </c>
      <c r="N2146" s="256" t="inlineStr">
        <is>
          <t>Farmahem</t>
        </is>
      </c>
      <c r="O2146" s="256" t="inlineStr">
        <is>
          <t>27.07.2026</t>
        </is>
      </c>
      <c r="P2146" s="256" t="inlineStr">
        <is>
          <t>covered</t>
        </is>
      </c>
      <c r="Q2146" s="256" t="inlineStr"/>
      <c r="R2146" s="256" t="inlineStr"/>
    </row>
    <row r="2147">
      <c r="A2147" s="256" t="inlineStr">
        <is>
          <t>CoQ-PP_26-094</t>
        </is>
      </c>
      <c r="B2147" s="256" t="inlineStr">
        <is>
          <t>reissue — retest</t>
        </is>
      </c>
      <c r="C2147" s="256" t="inlineStr">
        <is>
          <t>GP0824_02</t>
        </is>
      </c>
      <c r="D2147" s="256" t="inlineStr">
        <is>
          <t>P050022</t>
        </is>
      </c>
      <c r="E2147" s="256" t="inlineStr">
        <is>
          <t>Grape Pie</t>
        </is>
      </c>
      <c r="F2147" s="256" t="inlineStr">
        <is>
          <t>17.08.2026</t>
        </is>
      </c>
      <c r="G2147" s="256" t="inlineStr">
        <is>
          <t>7</t>
        </is>
      </c>
      <c r="H2147" s="256" t="inlineStr">
        <is>
          <t>Foreign Matter</t>
        </is>
      </c>
      <c r="I2147" s="256" t="inlineStr">
        <is>
          <t>Ph. Eur. 2.8.2 · In-house · интерна</t>
        </is>
      </c>
      <c r="J2147" s="256" t="inlineStr">
        <is>
          <t>≤ 2.0% / 25–50 g · &lt; 1 cm leaves | листови, no seeds | без семки</t>
        </is>
      </c>
      <c r="K2147" s="256" t="inlineStr">
        <is>
          <t>Conforms | Одговара</t>
        </is>
      </c>
      <c r="L2147" s="256" t="inlineStr">
        <is>
          <t>iCoA-PP_26-108</t>
        </is>
      </c>
      <c r="M2147" s="256" t="inlineStr">
        <is>
          <t>27.07.2026</t>
        </is>
      </c>
      <c r="N2147" s="256" t="inlineStr">
        <is>
          <t>Purely Plant GmbH (in-house)</t>
        </is>
      </c>
      <c r="O2147" s="256" t="inlineStr">
        <is>
          <t>—</t>
        </is>
      </c>
      <c r="P2147" s="256" t="inlineStr">
        <is>
          <t>covered</t>
        </is>
      </c>
      <c r="Q2147" s="256" t="inlineStr">
        <is>
          <t>Purely Plant laboratory — iCoA covering Foreign matter</t>
        </is>
      </c>
      <c r="R2147" s="256" t="inlineStr"/>
    </row>
    <row r="2148">
      <c r="A2148" s="256" t="inlineStr">
        <is>
          <t>CoQ-PP_26-094</t>
        </is>
      </c>
      <c r="B2148" s="256" t="inlineStr">
        <is>
          <t>reissue — retest</t>
        </is>
      </c>
      <c r="C2148" s="256" t="inlineStr">
        <is>
          <t>GP0824_02</t>
        </is>
      </c>
      <c r="D2148" s="256" t="inlineStr">
        <is>
          <t>P050022</t>
        </is>
      </c>
      <c r="E2148" s="256" t="inlineStr">
        <is>
          <t>Grape Pie</t>
        </is>
      </c>
      <c r="F2148" s="256" t="inlineStr">
        <is>
          <t>17.08.2026</t>
        </is>
      </c>
      <c r="G2148" s="256" t="inlineStr">
        <is>
          <t>8</t>
        </is>
      </c>
      <c r="H2148" s="256" t="inlineStr">
        <is>
          <t>Loss on Drying</t>
        </is>
      </c>
      <c r="I2148" s="256" t="inlineStr">
        <is>
          <t>DAB 2018 monograph Cannabis flos, 2.2.32 — loss on drying (CNP, before its Ph. Eur. 3028 accreditation)</t>
        </is>
      </c>
      <c r="J2148" s="256" t="inlineStr">
        <is>
          <t>≤ 12.0%</t>
        </is>
      </c>
      <c r="K2148" s="256" t="inlineStr">
        <is>
          <t>7.21</t>
        </is>
      </c>
      <c r="L2148" s="256" t="inlineStr">
        <is>
          <t>ППК25139</t>
        </is>
      </c>
      <c r="M2148" s="256" t="inlineStr">
        <is>
          <t>22.05.2025</t>
        </is>
      </c>
      <c r="N2148" s="256" t="inlineStr">
        <is>
          <t>UKIM Faculty of Pharmacy — Center for Natural Products</t>
        </is>
      </c>
      <c r="O2148" s="256" t="inlineStr">
        <is>
          <t>—</t>
        </is>
      </c>
      <c r="P2148" s="256" t="inlineStr">
        <is>
          <t>carried from the initial testing (CoQ-PP-2025-0006) — covered</t>
        </is>
      </c>
      <c r="Q2148" s="256" t="inlineStr"/>
      <c r="R2148" s="256" t="inlineStr">
        <is>
          <t>6.51 (ППК25174); 6.32 (ППК26032); 5.84 (ППК26033); 6.62 (ППК26059)</t>
        </is>
      </c>
    </row>
    <row r="2149">
      <c r="A2149" s="256" t="inlineStr">
        <is>
          <t>CoQ-PP_26-094</t>
        </is>
      </c>
      <c r="B2149" s="256" t="inlineStr">
        <is>
          <t>reissue — retest</t>
        </is>
      </c>
      <c r="C2149" s="256" t="inlineStr">
        <is>
          <t>GP0824_02</t>
        </is>
      </c>
      <c r="D2149" s="256" t="inlineStr">
        <is>
          <t>P050022</t>
        </is>
      </c>
      <c r="E2149" s="256" t="inlineStr">
        <is>
          <t>Grape Pie</t>
        </is>
      </c>
      <c r="F2149" s="256" t="inlineStr">
        <is>
          <t>17.08.2026</t>
        </is>
      </c>
      <c r="G2149" s="256" t="inlineStr">
        <is>
          <t>9.1</t>
        </is>
      </c>
      <c r="H2149" s="256" t="inlineStr">
        <is>
          <t>TAMC</t>
        </is>
      </c>
      <c r="I2149" s="256" t="inlineStr">
        <is>
          <t>Ph. Eur. 2.6.12 cat. C</t>
        </is>
      </c>
      <c r="J2149" s="256" t="inlineStr">
        <is>
          <t>≤ 10⁵ CFU/g</t>
        </is>
      </c>
      <c r="K2149" s="256" t="inlineStr">
        <is>
          <t>&lt; 10</t>
        </is>
      </c>
      <c r="L2149" s="256" t="inlineStr">
        <is>
          <t>627/1128/25</t>
        </is>
      </c>
      <c r="M2149" s="256" t="inlineStr">
        <is>
          <t>02.07.2025</t>
        </is>
      </c>
      <c r="N2149" s="256" t="inlineStr">
        <is>
          <t>IPH — Institute of Public Health</t>
        </is>
      </c>
      <c r="O2149" s="256" t="inlineStr">
        <is>
          <t>24.06.2025</t>
        </is>
      </c>
      <c r="P2149" s="256" t="inlineStr">
        <is>
          <t>carried from the initial testing (CoQ-PP-2025-0006) — covered</t>
        </is>
      </c>
      <c r="Q2149" s="256" t="inlineStr"/>
      <c r="R2149" s="256" t="inlineStr"/>
    </row>
    <row r="2150">
      <c r="A2150" s="256" t="inlineStr">
        <is>
          <t>CoQ-PP_26-094</t>
        </is>
      </c>
      <c r="B2150" s="256" t="inlineStr">
        <is>
          <t>reissue — retest</t>
        </is>
      </c>
      <c r="C2150" s="256" t="inlineStr">
        <is>
          <t>GP0824_02</t>
        </is>
      </c>
      <c r="D2150" s="256" t="inlineStr">
        <is>
          <t>P050022</t>
        </is>
      </c>
      <c r="E2150" s="256" t="inlineStr">
        <is>
          <t>Grape Pie</t>
        </is>
      </c>
      <c r="F2150" s="256" t="inlineStr">
        <is>
          <t>17.08.2026</t>
        </is>
      </c>
      <c r="G2150" s="256" t="inlineStr">
        <is>
          <t>9.2</t>
        </is>
      </c>
      <c r="H2150" s="256" t="inlineStr">
        <is>
          <t>TYMC</t>
        </is>
      </c>
      <c r="I2150" s="256" t="inlineStr">
        <is>
          <t>Ph. Eur. 2.6.12 cat. C</t>
        </is>
      </c>
      <c r="J2150" s="256" t="inlineStr">
        <is>
          <t>≤ 10⁴ CFU/g</t>
        </is>
      </c>
      <c r="K2150" s="256" t="inlineStr">
        <is>
          <t>&lt; 10</t>
        </is>
      </c>
      <c r="L2150" s="256" t="inlineStr">
        <is>
          <t>627/1128/25</t>
        </is>
      </c>
      <c r="M2150" s="256" t="inlineStr">
        <is>
          <t>02.07.2025</t>
        </is>
      </c>
      <c r="N2150" s="256" t="inlineStr">
        <is>
          <t>IPH — Institute of Public Health</t>
        </is>
      </c>
      <c r="O2150" s="256" t="inlineStr">
        <is>
          <t>24.06.2025</t>
        </is>
      </c>
      <c r="P2150" s="256" t="inlineStr">
        <is>
          <t>carried from the initial testing (CoQ-PP-2025-0006) — covered</t>
        </is>
      </c>
      <c r="Q2150" s="256" t="inlineStr"/>
      <c r="R2150" s="256" t="inlineStr"/>
    </row>
    <row r="2151">
      <c r="A2151" s="256" t="inlineStr">
        <is>
          <t>CoQ-PP_26-094</t>
        </is>
      </c>
      <c r="B2151" s="256" t="inlineStr">
        <is>
          <t>reissue — retest</t>
        </is>
      </c>
      <c r="C2151" s="256" t="inlineStr">
        <is>
          <t>GP0824_02</t>
        </is>
      </c>
      <c r="D2151" s="256" t="inlineStr">
        <is>
          <t>P050022</t>
        </is>
      </c>
      <c r="E2151" s="256" t="inlineStr">
        <is>
          <t>Grape Pie</t>
        </is>
      </c>
      <c r="F2151" s="256" t="inlineStr">
        <is>
          <t>17.08.2026</t>
        </is>
      </c>
      <c r="G2151" s="256" t="inlineStr">
        <is>
          <t>9.3</t>
        </is>
      </c>
      <c r="H2151" s="256" t="inlineStr">
        <is>
          <t>Bile-tolerant gram-neg.</t>
        </is>
      </c>
      <c r="I2151" s="256" t="inlineStr">
        <is>
          <t>Ph. Eur. 2.6.31 cat. C</t>
        </is>
      </c>
      <c r="J2151" s="256" t="inlineStr">
        <is>
          <t>≤ 10⁴ CFU/g</t>
        </is>
      </c>
      <c r="K2151" s="256" t="inlineStr">
        <is>
          <t>&lt; 10</t>
        </is>
      </c>
      <c r="L2151" s="256" t="inlineStr">
        <is>
          <t>627/1128/25</t>
        </is>
      </c>
      <c r="M2151" s="256" t="inlineStr">
        <is>
          <t>02.07.2025</t>
        </is>
      </c>
      <c r="N2151" s="256" t="inlineStr">
        <is>
          <t>IPH — Institute of Public Health</t>
        </is>
      </c>
      <c r="O2151" s="256" t="inlineStr">
        <is>
          <t>24.06.2025</t>
        </is>
      </c>
      <c r="P2151" s="256" t="inlineStr">
        <is>
          <t>carried from the initial testing (CoQ-PP-2025-0006) — covered</t>
        </is>
      </c>
      <c r="Q2151" s="256" t="inlineStr"/>
      <c r="R2151" s="256" t="inlineStr"/>
    </row>
    <row r="2152">
      <c r="A2152" s="256" t="inlineStr">
        <is>
          <t>CoQ-PP_26-094</t>
        </is>
      </c>
      <c r="B2152" s="256" t="inlineStr">
        <is>
          <t>reissue — retest</t>
        </is>
      </c>
      <c r="C2152" s="256" t="inlineStr">
        <is>
          <t>GP0824_02</t>
        </is>
      </c>
      <c r="D2152" s="256" t="inlineStr">
        <is>
          <t>P050022</t>
        </is>
      </c>
      <c r="E2152" s="256" t="inlineStr">
        <is>
          <t>Grape Pie</t>
        </is>
      </c>
      <c r="F2152" s="256" t="inlineStr">
        <is>
          <t>17.08.2026</t>
        </is>
      </c>
      <c r="G2152" s="256" t="inlineStr">
        <is>
          <t>9.4</t>
        </is>
      </c>
      <c r="H2152" s="256" t="inlineStr">
        <is>
          <t>Salmonella</t>
        </is>
      </c>
      <c r="I2152" s="256" t="inlineStr">
        <is>
          <t>Ph. Eur. 2.6.31 cat. C</t>
        </is>
      </c>
      <c r="J2152" s="256" t="inlineStr">
        <is>
          <t>Absence | Отсуство / 25 g</t>
        </is>
      </c>
      <c r="K2152" s="256" t="inlineStr">
        <is>
          <t>Absent | Отсутна</t>
        </is>
      </c>
      <c r="L2152" s="256" t="inlineStr">
        <is>
          <t>627/1128/25</t>
        </is>
      </c>
      <c r="M2152" s="256" t="inlineStr">
        <is>
          <t>02.07.2025</t>
        </is>
      </c>
      <c r="N2152" s="256" t="inlineStr">
        <is>
          <t>IPH — Institute of Public Health</t>
        </is>
      </c>
      <c r="O2152" s="256" t="inlineStr">
        <is>
          <t>24.06.2025</t>
        </is>
      </c>
      <c r="P2152" s="256" t="inlineStr">
        <is>
          <t>carried from the initial testing (CoQ-PP-2025-0006) — covered</t>
        </is>
      </c>
      <c r="Q2152" s="256" t="inlineStr"/>
      <c r="R2152" s="256" t="inlineStr"/>
    </row>
    <row r="2153">
      <c r="A2153" s="256" t="inlineStr">
        <is>
          <t>CoQ-PP_26-094</t>
        </is>
      </c>
      <c r="B2153" s="256" t="inlineStr">
        <is>
          <t>reissue — retest</t>
        </is>
      </c>
      <c r="C2153" s="256" t="inlineStr">
        <is>
          <t>GP0824_02</t>
        </is>
      </c>
      <c r="D2153" s="256" t="inlineStr">
        <is>
          <t>P050022</t>
        </is>
      </c>
      <c r="E2153" s="256" t="inlineStr">
        <is>
          <t>Grape Pie</t>
        </is>
      </c>
      <c r="F2153" s="256" t="inlineStr">
        <is>
          <t>17.08.2026</t>
        </is>
      </c>
      <c r="G2153" s="256" t="inlineStr">
        <is>
          <t>9.5</t>
        </is>
      </c>
      <c r="H2153" s="256" t="inlineStr">
        <is>
          <t>Escherichia coli</t>
        </is>
      </c>
      <c r="I2153" s="256" t="inlineStr">
        <is>
          <t>Ph. Eur. 2.6.13 cat. C</t>
        </is>
      </c>
      <c r="J2153" s="256" t="inlineStr">
        <is>
          <t>Absence | Отсуство / 1 g</t>
        </is>
      </c>
      <c r="K2153" s="256" t="inlineStr">
        <is>
          <t>Absent | Отсутна</t>
        </is>
      </c>
      <c r="L2153" s="256" t="inlineStr">
        <is>
          <t>627/1128/25</t>
        </is>
      </c>
      <c r="M2153" s="256" t="inlineStr">
        <is>
          <t>02.07.2025</t>
        </is>
      </c>
      <c r="N2153" s="256" t="inlineStr">
        <is>
          <t>IPH — Institute of Public Health</t>
        </is>
      </c>
      <c r="O2153" s="256" t="inlineStr">
        <is>
          <t>24.06.2025</t>
        </is>
      </c>
      <c r="P2153" s="256" t="inlineStr">
        <is>
          <t>carried from the initial testing (CoQ-PP-2025-0006) — covered</t>
        </is>
      </c>
      <c r="Q2153" s="256" t="inlineStr"/>
      <c r="R2153" s="256" t="inlineStr"/>
    </row>
    <row r="2154">
      <c r="A2154" s="256" t="inlineStr">
        <is>
          <t>CoQ-PP_26-094</t>
        </is>
      </c>
      <c r="B2154" s="256" t="inlineStr">
        <is>
          <t>reissue — retest</t>
        </is>
      </c>
      <c r="C2154" s="256" t="inlineStr">
        <is>
          <t>GP0824_02</t>
        </is>
      </c>
      <c r="D2154" s="256" t="inlineStr">
        <is>
          <t>P050022</t>
        </is>
      </c>
      <c r="E2154" s="256" t="inlineStr">
        <is>
          <t>Grape Pie</t>
        </is>
      </c>
      <c r="F2154" s="256" t="inlineStr">
        <is>
          <t>17.08.2026</t>
        </is>
      </c>
      <c r="G2154" s="256" t="inlineStr">
        <is>
          <t>9.6</t>
        </is>
      </c>
      <c r="H2154" s="256" t="inlineStr">
        <is>
          <t>Pseudomonas aeruginosa</t>
        </is>
      </c>
      <c r="I2154" s="256" t="inlineStr">
        <is>
          <t>Ph. Eur. 2.6.13 cat. C</t>
        </is>
      </c>
      <c r="J2154" s="256" t="inlineStr">
        <is>
          <t>Absence | Отсуство / 1 g</t>
        </is>
      </c>
      <c r="K2154" s="260" t="inlineStr">
        <is>
          <t>upon request — not required for release</t>
        </is>
      </c>
      <c r="L2154" s="256" t="inlineStr">
        <is>
          <t>—</t>
        </is>
      </c>
      <c r="M2154" s="256" t="inlineStr">
        <is>
          <t>—</t>
        </is>
      </c>
      <c r="N2154" s="256" t="inlineStr">
        <is>
          <t>—</t>
        </is>
      </c>
      <c r="O2154" s="256" t="inlineStr">
        <is>
          <t>—</t>
        </is>
      </c>
      <c r="P2154" s="256" t="inlineStr">
        <is>
          <t>upon request — not required for release</t>
        </is>
      </c>
      <c r="Q2154" s="256" t="inlineStr"/>
      <c r="R2154" s="256" t="inlineStr"/>
    </row>
    <row r="2155">
      <c r="A2155" s="256" t="inlineStr">
        <is>
          <t>CoQ-PP_26-094</t>
        </is>
      </c>
      <c r="B2155" s="256" t="inlineStr">
        <is>
          <t>reissue — retest</t>
        </is>
      </c>
      <c r="C2155" s="256" t="inlineStr">
        <is>
          <t>GP0824_02</t>
        </is>
      </c>
      <c r="D2155" s="256" t="inlineStr">
        <is>
          <t>P050022</t>
        </is>
      </c>
      <c r="E2155" s="256" t="inlineStr">
        <is>
          <t>Grape Pie</t>
        </is>
      </c>
      <c r="F2155" s="256" t="inlineStr">
        <is>
          <t>17.08.2026</t>
        </is>
      </c>
      <c r="G2155" s="256" t="inlineStr">
        <is>
          <t>9.7</t>
        </is>
      </c>
      <c r="H2155" s="256" t="inlineStr">
        <is>
          <t>Staphylococcus aureus</t>
        </is>
      </c>
      <c r="I2155" s="256" t="inlineStr">
        <is>
          <t>Ph. Eur. 2.6.13 cat. C</t>
        </is>
      </c>
      <c r="J2155" s="256" t="inlineStr">
        <is>
          <t>Absence | Отсуство / 1 g</t>
        </is>
      </c>
      <c r="K2155" s="260" t="inlineStr">
        <is>
          <t>upon request — not required for release</t>
        </is>
      </c>
      <c r="L2155" s="256" t="inlineStr">
        <is>
          <t>—</t>
        </is>
      </c>
      <c r="M2155" s="256" t="inlineStr">
        <is>
          <t>—</t>
        </is>
      </c>
      <c r="N2155" s="256" t="inlineStr">
        <is>
          <t>—</t>
        </is>
      </c>
      <c r="O2155" s="256" t="inlineStr">
        <is>
          <t>—</t>
        </is>
      </c>
      <c r="P2155" s="256" t="inlineStr">
        <is>
          <t>upon request — not required for release</t>
        </is>
      </c>
      <c r="Q2155" s="256" t="inlineStr"/>
      <c r="R2155" s="256" t="inlineStr"/>
    </row>
    <row r="2156">
      <c r="A2156" s="256" t="inlineStr">
        <is>
          <t>CoQ-PP_26-094</t>
        </is>
      </c>
      <c r="B2156" s="256" t="inlineStr">
        <is>
          <t>reissue — retest</t>
        </is>
      </c>
      <c r="C2156" s="256" t="inlineStr">
        <is>
          <t>GP0824_02</t>
        </is>
      </c>
      <c r="D2156" s="256" t="inlineStr">
        <is>
          <t>P050022</t>
        </is>
      </c>
      <c r="E2156" s="256" t="inlineStr">
        <is>
          <t>Grape Pie</t>
        </is>
      </c>
      <c r="F2156" s="256" t="inlineStr">
        <is>
          <t>17.08.2026</t>
        </is>
      </c>
      <c r="G2156" s="256" t="inlineStr">
        <is>
          <t>10.1</t>
        </is>
      </c>
      <c r="H2156" s="256" t="inlineStr">
        <is>
          <t>Aflatoxin B₁</t>
        </is>
      </c>
      <c r="I2156" s="256" t="inlineStr">
        <is>
          <t>Ph. Eur. 2.8.18 (HPLC-FLD)</t>
        </is>
      </c>
      <c r="J2156" s="256" t="inlineStr">
        <is>
          <t>≤ 2 µg/kg</t>
        </is>
      </c>
      <c r="K2156" s="256" t="inlineStr">
        <is>
          <t>ND</t>
        </is>
      </c>
      <c r="L2156" s="256" t="inlineStr">
        <is>
          <t>197-11-М/26</t>
        </is>
      </c>
      <c r="M2156" s="256" t="inlineStr">
        <is>
          <t>10.08.2026</t>
        </is>
      </c>
      <c r="N2156" s="256" t="inlineStr">
        <is>
          <t>Farmahem</t>
        </is>
      </c>
      <c r="O2156" s="256" t="inlineStr">
        <is>
          <t>29.07.2026</t>
        </is>
      </c>
      <c r="P2156" s="256" t="inlineStr">
        <is>
          <t>covered</t>
        </is>
      </c>
      <c r="Q2156" s="256" t="inlineStr"/>
      <c r="R2156" s="256" t="inlineStr"/>
    </row>
    <row r="2157">
      <c r="A2157" s="256" t="inlineStr">
        <is>
          <t>CoQ-PP_26-094</t>
        </is>
      </c>
      <c r="B2157" s="256" t="inlineStr">
        <is>
          <t>reissue — retest</t>
        </is>
      </c>
      <c r="C2157" s="256" t="inlineStr">
        <is>
          <t>GP0824_02</t>
        </is>
      </c>
      <c r="D2157" s="256" t="inlineStr">
        <is>
          <t>P050022</t>
        </is>
      </c>
      <c r="E2157" s="256" t="inlineStr">
        <is>
          <t>Grape Pie</t>
        </is>
      </c>
      <c r="F2157" s="256" t="inlineStr">
        <is>
          <t>17.08.2026</t>
        </is>
      </c>
      <c r="G2157" s="256" t="inlineStr">
        <is>
          <t>10.2</t>
        </is>
      </c>
      <c r="H2157" s="256" t="inlineStr">
        <is>
          <t>Aflatoxins ∑</t>
        </is>
      </c>
      <c r="I2157" s="256" t="inlineStr">
        <is>
          <t>Ph. Eur. 2.8.18 (HPLC-FLD)</t>
        </is>
      </c>
      <c r="J2157" s="256" t="inlineStr">
        <is>
          <t>≤ 4 µg/kg</t>
        </is>
      </c>
      <c r="K2157" s="256" t="inlineStr">
        <is>
          <t>ND</t>
        </is>
      </c>
      <c r="L2157" s="256" t="inlineStr">
        <is>
          <t>197-11-М/26</t>
        </is>
      </c>
      <c r="M2157" s="256" t="inlineStr">
        <is>
          <t>10.08.2026</t>
        </is>
      </c>
      <c r="N2157" s="256" t="inlineStr">
        <is>
          <t>Farmahem</t>
        </is>
      </c>
      <c r="O2157" s="256" t="inlineStr">
        <is>
          <t>29.07.2026</t>
        </is>
      </c>
      <c r="P2157" s="256" t="inlineStr">
        <is>
          <t>covered</t>
        </is>
      </c>
      <c r="Q2157" s="256" t="inlineStr"/>
      <c r="R2157" s="256" t="inlineStr"/>
    </row>
    <row r="2158">
      <c r="A2158" s="256" t="inlineStr">
        <is>
          <t>CoQ-PP_26-094</t>
        </is>
      </c>
      <c r="B2158" s="256" t="inlineStr">
        <is>
          <t>reissue — retest</t>
        </is>
      </c>
      <c r="C2158" s="256" t="inlineStr">
        <is>
          <t>GP0824_02</t>
        </is>
      </c>
      <c r="D2158" s="256" t="inlineStr">
        <is>
          <t>P050022</t>
        </is>
      </c>
      <c r="E2158" s="256" t="inlineStr">
        <is>
          <t>Grape Pie</t>
        </is>
      </c>
      <c r="F2158" s="256" t="inlineStr">
        <is>
          <t>17.08.2026</t>
        </is>
      </c>
      <c r="G2158" s="256" t="inlineStr">
        <is>
          <t>10.3</t>
        </is>
      </c>
      <c r="H2158" s="256" t="inlineStr">
        <is>
          <t>Ochratoxin A</t>
        </is>
      </c>
      <c r="I2158" s="256" t="inlineStr">
        <is>
          <t>Ph. Eur. 2.8.22 (HPLC-FLD)</t>
        </is>
      </c>
      <c r="J2158" s="256" t="inlineStr">
        <is>
          <t>≤ 20 µg/kg</t>
        </is>
      </c>
      <c r="K2158" s="256" t="inlineStr">
        <is>
          <t>ND</t>
        </is>
      </c>
      <c r="L2158" s="256" t="inlineStr">
        <is>
          <t>197-11-М/26</t>
        </is>
      </c>
      <c r="M2158" s="256" t="inlineStr">
        <is>
          <t>10.08.2026</t>
        </is>
      </c>
      <c r="N2158" s="256" t="inlineStr">
        <is>
          <t>Farmahem</t>
        </is>
      </c>
      <c r="O2158" s="256" t="inlineStr">
        <is>
          <t>29.07.2026</t>
        </is>
      </c>
      <c r="P2158" s="256" t="inlineStr">
        <is>
          <t>covered</t>
        </is>
      </c>
      <c r="Q2158" s="256" t="inlineStr"/>
      <c r="R2158" s="256" t="inlineStr"/>
    </row>
    <row r="2159">
      <c r="A2159" s="256" t="inlineStr">
        <is>
          <t>CoQ-PP_26-094</t>
        </is>
      </c>
      <c r="B2159" s="256" t="inlineStr">
        <is>
          <t>reissue — retest</t>
        </is>
      </c>
      <c r="C2159" s="256" t="inlineStr">
        <is>
          <t>GP0824_02</t>
        </is>
      </c>
      <c r="D2159" s="256" t="inlineStr">
        <is>
          <t>P050022</t>
        </is>
      </c>
      <c r="E2159" s="256" t="inlineStr">
        <is>
          <t>Grape Pie</t>
        </is>
      </c>
      <c r="F2159" s="256" t="inlineStr">
        <is>
          <t>17.08.2026</t>
        </is>
      </c>
      <c r="G2159" s="256" t="inlineStr">
        <is>
          <t>11.1</t>
        </is>
      </c>
      <c r="H2159" s="256" t="inlineStr">
        <is>
          <t>Lead (Pb)</t>
        </is>
      </c>
      <c r="I2159" s="256" t="inlineStr">
        <is>
          <t>Ph. Eur. 2.4.27 (ICP-MS)</t>
        </is>
      </c>
      <c r="J2159" s="256" t="inlineStr">
        <is>
          <t>≤ 0.5 mg/kg</t>
        </is>
      </c>
      <c r="K2159" s="256" t="inlineStr">
        <is>
          <t>ND</t>
        </is>
      </c>
      <c r="L2159" s="256" t="inlineStr">
        <is>
          <t>3176/2025</t>
        </is>
      </c>
      <c r="M2159" s="256" t="inlineStr">
        <is>
          <t>26.06.2025</t>
        </is>
      </c>
      <c r="N2159" s="256" t="inlineStr">
        <is>
          <t>IPH — Institute of Public Health</t>
        </is>
      </c>
      <c r="O2159" s="256" t="inlineStr">
        <is>
          <t>23.06.2025</t>
        </is>
      </c>
      <c r="P2159" s="256" t="inlineStr">
        <is>
          <t>carried from the initial testing (CoQ-PP-2025-0006) — covered</t>
        </is>
      </c>
      <c r="Q2159" s="256" t="inlineStr"/>
      <c r="R2159" s="256" t="inlineStr"/>
    </row>
    <row r="2160">
      <c r="A2160" s="256" t="inlineStr">
        <is>
          <t>CoQ-PP_26-094</t>
        </is>
      </c>
      <c r="B2160" s="256" t="inlineStr">
        <is>
          <t>reissue — retest</t>
        </is>
      </c>
      <c r="C2160" s="256" t="inlineStr">
        <is>
          <t>GP0824_02</t>
        </is>
      </c>
      <c r="D2160" s="256" t="inlineStr">
        <is>
          <t>P050022</t>
        </is>
      </c>
      <c r="E2160" s="256" t="inlineStr">
        <is>
          <t>Grape Pie</t>
        </is>
      </c>
      <c r="F2160" s="256" t="inlineStr">
        <is>
          <t>17.08.2026</t>
        </is>
      </c>
      <c r="G2160" s="256" t="inlineStr">
        <is>
          <t>11.2</t>
        </is>
      </c>
      <c r="H2160" s="256" t="inlineStr">
        <is>
          <t>Cadmium (Cd)</t>
        </is>
      </c>
      <c r="I2160" s="256" t="inlineStr">
        <is>
          <t>Ph. Eur. 2.4.27 (ICP-MS)</t>
        </is>
      </c>
      <c r="J2160" s="256" t="inlineStr">
        <is>
          <t>≤ 0.3 mg/kg</t>
        </is>
      </c>
      <c r="K2160" s="256" t="inlineStr">
        <is>
          <t>ND</t>
        </is>
      </c>
      <c r="L2160" s="256" t="inlineStr">
        <is>
          <t>3176/2025</t>
        </is>
      </c>
      <c r="M2160" s="256" t="inlineStr">
        <is>
          <t>26.06.2025</t>
        </is>
      </c>
      <c r="N2160" s="256" t="inlineStr">
        <is>
          <t>IPH — Institute of Public Health</t>
        </is>
      </c>
      <c r="O2160" s="256" t="inlineStr">
        <is>
          <t>23.06.2025</t>
        </is>
      </c>
      <c r="P2160" s="256" t="inlineStr">
        <is>
          <t>carried from the initial testing (CoQ-PP-2025-0006) — covered</t>
        </is>
      </c>
      <c r="Q2160" s="256" t="inlineStr"/>
      <c r="R2160" s="256" t="inlineStr"/>
    </row>
    <row r="2161">
      <c r="A2161" s="256" t="inlineStr">
        <is>
          <t>CoQ-PP_26-094</t>
        </is>
      </c>
      <c r="B2161" s="256" t="inlineStr">
        <is>
          <t>reissue — retest</t>
        </is>
      </c>
      <c r="C2161" s="256" t="inlineStr">
        <is>
          <t>GP0824_02</t>
        </is>
      </c>
      <c r="D2161" s="256" t="inlineStr">
        <is>
          <t>P050022</t>
        </is>
      </c>
      <c r="E2161" s="256" t="inlineStr">
        <is>
          <t>Grape Pie</t>
        </is>
      </c>
      <c r="F2161" s="256" t="inlineStr">
        <is>
          <t>17.08.2026</t>
        </is>
      </c>
      <c r="G2161" s="256" t="inlineStr">
        <is>
          <t>11.3</t>
        </is>
      </c>
      <c r="H2161" s="256" t="inlineStr">
        <is>
          <t>Arsenic (As)</t>
        </is>
      </c>
      <c r="I2161" s="256" t="inlineStr">
        <is>
          <t>Ph. Eur. 2.4.27 (ICP-MS)</t>
        </is>
      </c>
      <c r="J2161" s="256" t="inlineStr">
        <is>
          <t>≤ 0.2 mg/kg</t>
        </is>
      </c>
      <c r="K2161" s="256" t="inlineStr">
        <is>
          <t>0.047</t>
        </is>
      </c>
      <c r="L2161" s="256" t="inlineStr">
        <is>
          <t>3176/2025</t>
        </is>
      </c>
      <c r="M2161" s="256" t="inlineStr">
        <is>
          <t>26.06.2025</t>
        </is>
      </c>
      <c r="N2161" s="256" t="inlineStr">
        <is>
          <t>IPH — Institute of Public Health</t>
        </is>
      </c>
      <c r="O2161" s="256" t="inlineStr">
        <is>
          <t>23.06.2025</t>
        </is>
      </c>
      <c r="P2161" s="256" t="inlineStr">
        <is>
          <t>carried from the initial testing (CoQ-PP-2025-0006) — covered</t>
        </is>
      </c>
      <c r="Q2161" s="256" t="inlineStr"/>
      <c r="R2161" s="256" t="inlineStr"/>
    </row>
    <row r="2162">
      <c r="A2162" s="256" t="inlineStr">
        <is>
          <t>CoQ-PP_26-094</t>
        </is>
      </c>
      <c r="B2162" s="256" t="inlineStr">
        <is>
          <t>reissue — retest</t>
        </is>
      </c>
      <c r="C2162" s="256" t="inlineStr">
        <is>
          <t>GP0824_02</t>
        </is>
      </c>
      <c r="D2162" s="256" t="inlineStr">
        <is>
          <t>P050022</t>
        </is>
      </c>
      <c r="E2162" s="256" t="inlineStr">
        <is>
          <t>Grape Pie</t>
        </is>
      </c>
      <c r="F2162" s="256" t="inlineStr">
        <is>
          <t>17.08.2026</t>
        </is>
      </c>
      <c r="G2162" s="256" t="inlineStr">
        <is>
          <t>11.4</t>
        </is>
      </c>
      <c r="H2162" s="256" t="inlineStr">
        <is>
          <t>Mercury (Hg)</t>
        </is>
      </c>
      <c r="I2162" s="256" t="inlineStr">
        <is>
          <t>Ph. Eur. 2.4.27 (ICP-MS)</t>
        </is>
      </c>
      <c r="J2162" s="256" t="inlineStr">
        <is>
          <t>≤ 0.1 mg/kg</t>
        </is>
      </c>
      <c r="K2162" s="256" t="inlineStr">
        <is>
          <t>ND</t>
        </is>
      </c>
      <c r="L2162" s="256" t="inlineStr">
        <is>
          <t>3176/2025</t>
        </is>
      </c>
      <c r="M2162" s="256" t="inlineStr">
        <is>
          <t>26.06.2025</t>
        </is>
      </c>
      <c r="N2162" s="256" t="inlineStr">
        <is>
          <t>IPH — Institute of Public Health</t>
        </is>
      </c>
      <c r="O2162" s="256" t="inlineStr">
        <is>
          <t>23.06.2025</t>
        </is>
      </c>
      <c r="P2162" s="256" t="inlineStr">
        <is>
          <t>carried from the initial testing (CoQ-PP-2025-0006) — covered</t>
        </is>
      </c>
      <c r="Q2162" s="256" t="inlineStr"/>
      <c r="R2162" s="256" t="inlineStr"/>
    </row>
    <row r="2163">
      <c r="A2163" s="256" t="inlineStr">
        <is>
          <t>CoQ-PP_26-094</t>
        </is>
      </c>
      <c r="B2163" s="256" t="inlineStr">
        <is>
          <t>reissue — retest</t>
        </is>
      </c>
      <c r="C2163" s="256" t="inlineStr">
        <is>
          <t>GP0824_02</t>
        </is>
      </c>
      <c r="D2163" s="256" t="inlineStr">
        <is>
          <t>P050022</t>
        </is>
      </c>
      <c r="E2163" s="256" t="inlineStr">
        <is>
          <t>Grape Pie</t>
        </is>
      </c>
      <c r="F2163" s="256" t="inlineStr">
        <is>
          <t>17.08.2026</t>
        </is>
      </c>
      <c r="G2163" s="256" t="inlineStr">
        <is>
          <t>12</t>
        </is>
      </c>
      <c r="H2163" s="256" t="inlineStr">
        <is>
          <t>Pesticide Residues</t>
        </is>
      </c>
      <c r="I2163" s="256" t="inlineStr">
        <is>
          <t>Ph. Eur. 2.8.13 (LC-MS/MS) · CUMCS Equivalency</t>
        </is>
      </c>
      <c r="J2163" s="256" t="inlineStr">
        <is>
          <t>≤ LOQ as per Ph. Eur. 2.8.13 · ≤ LOQ as per CUMCS Equivalency</t>
        </is>
      </c>
      <c r="K2163" s="256" t="inlineStr">
        <is>
          <t>ND</t>
        </is>
      </c>
      <c r="L2163" s="256" t="inlineStr">
        <is>
          <t>3176/2025</t>
        </is>
      </c>
      <c r="M2163" s="256" t="inlineStr">
        <is>
          <t>26.06.2025</t>
        </is>
      </c>
      <c r="N2163" s="256" t="inlineStr">
        <is>
          <t>IPH — Institute of Public Health</t>
        </is>
      </c>
      <c r="O2163" s="256" t="inlineStr">
        <is>
          <t>23.06.2025</t>
        </is>
      </c>
      <c r="P2163" s="256" t="inlineStr">
        <is>
          <t>carried from the initial testing (CoQ-PP-2025-0006) — covered</t>
        </is>
      </c>
      <c r="Q2163" s="256" t="inlineStr"/>
      <c r="R2163" s="256" t="inlineStr"/>
    </row>
    <row r="2164">
      <c r="A2164" s="256" t="inlineStr">
        <is>
          <t>CoQ-PP_26-095</t>
        </is>
      </c>
      <c r="B2164" s="256" t="inlineStr">
        <is>
          <t>reissue — retest</t>
        </is>
      </c>
      <c r="C2164" s="256" t="inlineStr">
        <is>
          <t>GP082501/2</t>
        </is>
      </c>
      <c r="D2164" s="256" t="inlineStr">
        <is>
          <t>P050322</t>
        </is>
      </c>
      <c r="E2164" s="256" t="inlineStr">
        <is>
          <t>Grape Pie</t>
        </is>
      </c>
      <c r="F2164" s="256" t="inlineStr">
        <is>
          <t>17.08.2026</t>
        </is>
      </c>
      <c r="G2164" s="256" t="inlineStr">
        <is>
          <t>1</t>
        </is>
      </c>
      <c r="H2164" s="256" t="inlineStr">
        <is>
          <t>Identification A, Appearance · Macroscopic</t>
        </is>
      </c>
      <c r="I2164" s="256" t="inlineStr">
        <is>
          <t>Ph. Eur. mon. 3028</t>
        </is>
      </c>
      <c r="J2164" s="256" t="inlineStr">
        <is>
          <t>Conforms to the monograph for Cannabis flos (07/2024:3028) in Ph. Eur. 11.0 | Согласно монографија за Cannabis flos (07/2024:3028) во Ph. Eur. 11.0</t>
        </is>
      </c>
      <c r="K2164" s="256" t="inlineStr">
        <is>
          <t>Conforms | Одговара</t>
        </is>
      </c>
      <c r="L2164" s="256" t="inlineStr">
        <is>
          <t>iCoA-PP_26-111</t>
        </is>
      </c>
      <c r="M2164" s="256" t="inlineStr">
        <is>
          <t>27.07.2026</t>
        </is>
      </c>
      <c r="N2164" s="256" t="inlineStr">
        <is>
          <t>Purely Plant GmbH (in-house)</t>
        </is>
      </c>
      <c r="O2164" s="256" t="inlineStr">
        <is>
          <t>—</t>
        </is>
      </c>
      <c r="P2164" s="256" t="inlineStr">
        <is>
          <t>covered</t>
        </is>
      </c>
      <c r="Q2164" s="256" t="inlineStr">
        <is>
          <t>Farmahem — Ident A + B + C with the Assay, at retest</t>
        </is>
      </c>
      <c r="R2164" s="256" t="inlineStr"/>
    </row>
    <row r="2165">
      <c r="A2165" s="256" t="inlineStr">
        <is>
          <t>CoQ-PP_26-095</t>
        </is>
      </c>
      <c r="B2165" s="256" t="inlineStr">
        <is>
          <t>reissue — retest</t>
        </is>
      </c>
      <c r="C2165" s="256" t="inlineStr">
        <is>
          <t>GP082501/2</t>
        </is>
      </c>
      <c r="D2165" s="256" t="inlineStr">
        <is>
          <t>P050322</t>
        </is>
      </c>
      <c r="E2165" s="256" t="inlineStr">
        <is>
          <t>Grape Pie</t>
        </is>
      </c>
      <c r="F2165" s="256" t="inlineStr">
        <is>
          <t>17.08.2026</t>
        </is>
      </c>
      <c r="G2165" s="256" t="inlineStr">
        <is>
          <t>2</t>
        </is>
      </c>
      <c r="H2165" s="256" t="inlineStr">
        <is>
          <t>Identification B · Microscopic</t>
        </is>
      </c>
      <c r="I2165" s="256" t="inlineStr">
        <is>
          <t>Ph. Eur. 2.8.23 (microscopy)</t>
        </is>
      </c>
      <c r="J2165" s="256" t="inlineStr">
        <is>
          <t>Conforms to the monograph for Cannabis flos (07/2024:3028) in Ph. Eur. 11.0 | Согласно монографија за Cannabis flos (07/2024:3028) во Ph. Eur. 11.0</t>
        </is>
      </c>
      <c r="K2165" s="256" t="inlineStr">
        <is>
          <t>Conforms | Одговара</t>
        </is>
      </c>
      <c r="L2165" s="256" t="inlineStr">
        <is>
          <t>iCoA-PP_26-111</t>
        </is>
      </c>
      <c r="M2165" s="256" t="inlineStr">
        <is>
          <t>27.07.2026</t>
        </is>
      </c>
      <c r="N2165" s="256" t="inlineStr">
        <is>
          <t>Purely Plant GmbH (in-house)</t>
        </is>
      </c>
      <c r="O2165" s="256" t="inlineStr">
        <is>
          <t>—</t>
        </is>
      </c>
      <c r="P2165" s="256" t="inlineStr">
        <is>
          <t>covered</t>
        </is>
      </c>
      <c r="Q2165" s="256" t="inlineStr">
        <is>
          <t>Farmahem — Ident A + B + C with the Assay, at retest</t>
        </is>
      </c>
      <c r="R2165" s="256" t="inlineStr"/>
    </row>
    <row r="2166">
      <c r="A2166" s="256" t="inlineStr">
        <is>
          <t>CoQ-PP_26-095</t>
        </is>
      </c>
      <c r="B2166" s="256" t="inlineStr">
        <is>
          <t>reissue — retest</t>
        </is>
      </c>
      <c r="C2166" s="256" t="inlineStr">
        <is>
          <t>GP082501/2</t>
        </is>
      </c>
      <c r="D2166" s="256" t="inlineStr">
        <is>
          <t>P050322</t>
        </is>
      </c>
      <c r="E2166" s="256" t="inlineStr">
        <is>
          <t>Grape Pie</t>
        </is>
      </c>
      <c r="F2166" s="256" t="inlineStr">
        <is>
          <t>17.08.2026</t>
        </is>
      </c>
      <c r="G2166" s="256" t="inlineStr">
        <is>
          <t>3</t>
        </is>
      </c>
      <c r="H2166" s="256" t="inlineStr">
        <is>
          <t>Identification C · HPLC/HPTLC</t>
        </is>
      </c>
      <c r="I2166" s="256" t="inlineStr">
        <is>
          <t>Ph. Eur. 2.2.29 (3028)</t>
        </is>
      </c>
      <c r="J2166" s="256" t="inlineStr">
        <is>
          <t>Conforms to the monograph for Cannabis flos (07/2024:3028) in Ph. Eur. 11.0 | Согласно монографија за Cannabis flos (07/2024:3028) во Ph. Eur. 11.0</t>
        </is>
      </c>
      <c r="K2166" s="256" t="inlineStr">
        <is>
          <t>Conforms | Одговара</t>
        </is>
      </c>
      <c r="L2166" s="256" t="inlineStr">
        <is>
          <t>197-12-К/26</t>
        </is>
      </c>
      <c r="M2166" s="256" t="inlineStr">
        <is>
          <t>07.08.2026</t>
        </is>
      </c>
      <c r="N2166" s="256" t="inlineStr">
        <is>
          <t>Farmahem</t>
        </is>
      </c>
      <c r="O2166" s="256" t="inlineStr">
        <is>
          <t>27.07.2026</t>
        </is>
      </c>
      <c r="P2166" s="256" t="inlineStr">
        <is>
          <t>covered</t>
        </is>
      </c>
      <c r="Q2166" s="256" t="inlineStr"/>
      <c r="R2166" s="256" t="inlineStr"/>
    </row>
    <row r="2167">
      <c r="A2167" s="256" t="inlineStr">
        <is>
          <t>CoQ-PP_26-095</t>
        </is>
      </c>
      <c r="B2167" s="256" t="inlineStr">
        <is>
          <t>reissue — retest</t>
        </is>
      </c>
      <c r="C2167" s="256" t="inlineStr">
        <is>
          <t>GP082501/2</t>
        </is>
      </c>
      <c r="D2167" s="256" t="inlineStr">
        <is>
          <t>P050322</t>
        </is>
      </c>
      <c r="E2167" s="256" t="inlineStr">
        <is>
          <t>Grape Pie</t>
        </is>
      </c>
      <c r="F2167" s="256" t="inlineStr">
        <is>
          <t>17.08.2026</t>
        </is>
      </c>
      <c r="G2167" s="256" t="inlineStr">
        <is>
          <t>4</t>
        </is>
      </c>
      <c r="H2167" s="256" t="inlineStr">
        <is>
          <t>Assay — Total Δ⁹-THC</t>
        </is>
      </c>
      <c r="I2167" s="256" t="inlineStr">
        <is>
          <t>Ph. Eur. 2.2.29 (HPLC)</t>
        </is>
      </c>
      <c r="J2167" s="256" t="inlineStr">
        <is>
          <t>14.40 – 17.59 %  (grade IV, nominal 16.00 ± 1.60)</t>
        </is>
      </c>
      <c r="K2167" s="256" t="inlineStr">
        <is>
          <t>15.70</t>
        </is>
      </c>
      <c r="L2167" s="256" t="inlineStr">
        <is>
          <t>197-12-К/26</t>
        </is>
      </c>
      <c r="M2167" s="256" t="inlineStr">
        <is>
          <t>07.08.2026</t>
        </is>
      </c>
      <c r="N2167" s="256" t="inlineStr">
        <is>
          <t>Farmahem</t>
        </is>
      </c>
      <c r="O2167" s="256" t="inlineStr">
        <is>
          <t>27.07.2026</t>
        </is>
      </c>
      <c r="P2167" s="256" t="inlineStr">
        <is>
          <t>covered</t>
        </is>
      </c>
      <c r="Q2167" s="256" t="inlineStr"/>
      <c r="R2167" s="256" t="inlineStr"/>
    </row>
    <row r="2168">
      <c r="A2168" s="256" t="inlineStr">
        <is>
          <t>CoQ-PP_26-095</t>
        </is>
      </c>
      <c r="B2168" s="256" t="inlineStr">
        <is>
          <t>reissue — retest</t>
        </is>
      </c>
      <c r="C2168" s="256" t="inlineStr">
        <is>
          <t>GP082501/2</t>
        </is>
      </c>
      <c r="D2168" s="256" t="inlineStr">
        <is>
          <t>P050322</t>
        </is>
      </c>
      <c r="E2168" s="256" t="inlineStr">
        <is>
          <t>Grape Pie</t>
        </is>
      </c>
      <c r="F2168" s="256" t="inlineStr">
        <is>
          <t>17.08.2026</t>
        </is>
      </c>
      <c r="G2168" s="256" t="inlineStr">
        <is>
          <t>5</t>
        </is>
      </c>
      <c r="H2168" s="256" t="inlineStr">
        <is>
          <t>Assay — Total CBD</t>
        </is>
      </c>
      <c r="I2168" s="256" t="inlineStr">
        <is>
          <t>Ph. Eur. 2.2.29 (HPLC) · CBD + CBDA x 0.877</t>
        </is>
      </c>
      <c r="J2168" s="256" t="inlineStr">
        <is>
          <t>≤ 1.0%, w/w</t>
        </is>
      </c>
      <c r="K2168" s="256" t="inlineStr">
        <is>
          <t>&lt; LOQ</t>
        </is>
      </c>
      <c r="L2168" s="256" t="inlineStr">
        <is>
          <t>197-12-К/26</t>
        </is>
      </c>
      <c r="M2168" s="256" t="inlineStr">
        <is>
          <t>07.08.2026</t>
        </is>
      </c>
      <c r="N2168" s="256" t="inlineStr">
        <is>
          <t>Farmahem</t>
        </is>
      </c>
      <c r="O2168" s="256" t="inlineStr">
        <is>
          <t>27.07.2026</t>
        </is>
      </c>
      <c r="P2168" s="256" t="inlineStr">
        <is>
          <t>covered</t>
        </is>
      </c>
      <c r="Q2168" s="256" t="inlineStr"/>
      <c r="R2168" s="256" t="inlineStr"/>
    </row>
    <row r="2169">
      <c r="A2169" s="256" t="inlineStr">
        <is>
          <t>CoQ-PP_26-095</t>
        </is>
      </c>
      <c r="B2169" s="256" t="inlineStr">
        <is>
          <t>reissue — retest</t>
        </is>
      </c>
      <c r="C2169" s="256" t="inlineStr">
        <is>
          <t>GP082501/2</t>
        </is>
      </c>
      <c r="D2169" s="256" t="inlineStr">
        <is>
          <t>P050322</t>
        </is>
      </c>
      <c r="E2169" s="256" t="inlineStr">
        <is>
          <t>Grape Pie</t>
        </is>
      </c>
      <c r="F2169" s="256" t="inlineStr">
        <is>
          <t>17.08.2026</t>
        </is>
      </c>
      <c r="G2169" s="256" t="inlineStr">
        <is>
          <t>6</t>
        </is>
      </c>
      <c r="H2169" s="256" t="inlineStr">
        <is>
          <t>Total CBN</t>
        </is>
      </c>
      <c r="I2169" s="256" t="inlineStr">
        <is>
          <t>Ph. Eur. 2.2.29 (HPLC) · CBN + CBNA x 0.876</t>
        </is>
      </c>
      <c r="J2169" s="256" t="inlineStr">
        <is>
          <t>≤ 1.0%, w/w</t>
        </is>
      </c>
      <c r="K2169" s="256" t="inlineStr">
        <is>
          <t>&lt; LOQ</t>
        </is>
      </c>
      <c r="L2169" s="256" t="inlineStr">
        <is>
          <t>197-12-К/26</t>
        </is>
      </c>
      <c r="M2169" s="256" t="inlineStr">
        <is>
          <t>07.08.2026</t>
        </is>
      </c>
      <c r="N2169" s="256" t="inlineStr">
        <is>
          <t>Farmahem</t>
        </is>
      </c>
      <c r="O2169" s="256" t="inlineStr">
        <is>
          <t>27.07.2026</t>
        </is>
      </c>
      <c r="P2169" s="256" t="inlineStr">
        <is>
          <t>covered</t>
        </is>
      </c>
      <c r="Q2169" s="256" t="inlineStr"/>
      <c r="R2169" s="256" t="inlineStr"/>
    </row>
    <row r="2170">
      <c r="A2170" s="256" t="inlineStr">
        <is>
          <t>CoQ-PP_26-095</t>
        </is>
      </c>
      <c r="B2170" s="256" t="inlineStr">
        <is>
          <t>reissue — retest</t>
        </is>
      </c>
      <c r="C2170" s="256" t="inlineStr">
        <is>
          <t>GP082501/2</t>
        </is>
      </c>
      <c r="D2170" s="256" t="inlineStr">
        <is>
          <t>P050322</t>
        </is>
      </c>
      <c r="E2170" s="256" t="inlineStr">
        <is>
          <t>Grape Pie</t>
        </is>
      </c>
      <c r="F2170" s="256" t="inlineStr">
        <is>
          <t>17.08.2026</t>
        </is>
      </c>
      <c r="G2170" s="256" t="inlineStr">
        <is>
          <t>7</t>
        </is>
      </c>
      <c r="H2170" s="256" t="inlineStr">
        <is>
          <t>Foreign Matter</t>
        </is>
      </c>
      <c r="I2170" s="256" t="inlineStr">
        <is>
          <t>Ph. Eur. 2.8.2 · In-house · интерна</t>
        </is>
      </c>
      <c r="J2170" s="256" t="inlineStr">
        <is>
          <t>≤ 2.0% / 25–50 g · &lt; 1 cm leaves | листови, no seeds | без семки</t>
        </is>
      </c>
      <c r="K2170" s="256" t="inlineStr">
        <is>
          <t>Conforms | Одговара</t>
        </is>
      </c>
      <c r="L2170" s="256" t="inlineStr">
        <is>
          <t>iCoA-PP_26-111</t>
        </is>
      </c>
      <c r="M2170" s="256" t="inlineStr">
        <is>
          <t>27.07.2026</t>
        </is>
      </c>
      <c r="N2170" s="256" t="inlineStr">
        <is>
          <t>Purely Plant GmbH (in-house)</t>
        </is>
      </c>
      <c r="O2170" s="256" t="inlineStr">
        <is>
          <t>—</t>
        </is>
      </c>
      <c r="P2170" s="256" t="inlineStr">
        <is>
          <t>covered</t>
        </is>
      </c>
      <c r="Q2170" s="256" t="inlineStr">
        <is>
          <t>Purely Plant laboratory — iCoA covering Foreign matter</t>
        </is>
      </c>
      <c r="R2170" s="256" t="inlineStr"/>
    </row>
    <row r="2171">
      <c r="A2171" s="256" t="inlineStr">
        <is>
          <t>CoQ-PP_26-095</t>
        </is>
      </c>
      <c r="B2171" s="256" t="inlineStr">
        <is>
          <t>reissue — retest</t>
        </is>
      </c>
      <c r="C2171" s="256" t="inlineStr">
        <is>
          <t>GP082501/2</t>
        </is>
      </c>
      <c r="D2171" s="256" t="inlineStr">
        <is>
          <t>P050322</t>
        </is>
      </c>
      <c r="E2171" s="256" t="inlineStr">
        <is>
          <t>Grape Pie</t>
        </is>
      </c>
      <c r="F2171" s="256" t="inlineStr">
        <is>
          <t>17.08.2026</t>
        </is>
      </c>
      <c r="G2171" s="256" t="inlineStr">
        <is>
          <t>8</t>
        </is>
      </c>
      <c r="H2171" s="256" t="inlineStr">
        <is>
          <t>Loss on Drying</t>
        </is>
      </c>
      <c r="I2171" s="256" t="inlineStr">
        <is>
          <t>Ph. Eur. 2.2.32 (3028) · at 40 °C, 24 h, 15–25 mbar</t>
        </is>
      </c>
      <c r="J2171" s="256" t="inlineStr">
        <is>
          <t>≤ 12.0%</t>
        </is>
      </c>
      <c r="K2171" s="256" t="inlineStr">
        <is>
          <t>6.88</t>
        </is>
      </c>
      <c r="L2171" s="256" t="inlineStr">
        <is>
          <t>ППК25381</t>
        </is>
      </c>
      <c r="M2171" s="256" t="inlineStr">
        <is>
          <t>12.12.2025</t>
        </is>
      </c>
      <c r="N2171" s="256" t="inlineStr">
        <is>
          <t>CNP</t>
        </is>
      </c>
      <c r="O2171" s="256" t="inlineStr">
        <is>
          <t>01.12.2025</t>
        </is>
      </c>
      <c r="P2171" s="256" t="inlineStr">
        <is>
          <t>carried from the initial testing (CoQ-PP-2025-0022) — covered</t>
        </is>
      </c>
      <c r="Q2171" s="256" t="inlineStr"/>
      <c r="R2171" s="256" t="inlineStr"/>
    </row>
    <row r="2172">
      <c r="A2172" s="256" t="inlineStr">
        <is>
          <t>CoQ-PP_26-095</t>
        </is>
      </c>
      <c r="B2172" s="256" t="inlineStr">
        <is>
          <t>reissue — retest</t>
        </is>
      </c>
      <c r="C2172" s="256" t="inlineStr">
        <is>
          <t>GP082501/2</t>
        </is>
      </c>
      <c r="D2172" s="256" t="inlineStr">
        <is>
          <t>P050322</t>
        </is>
      </c>
      <c r="E2172" s="256" t="inlineStr">
        <is>
          <t>Grape Pie</t>
        </is>
      </c>
      <c r="F2172" s="256" t="inlineStr">
        <is>
          <t>17.08.2026</t>
        </is>
      </c>
      <c r="G2172" s="256" t="inlineStr">
        <is>
          <t>9.1</t>
        </is>
      </c>
      <c r="H2172" s="256" t="inlineStr">
        <is>
          <t>TAMC</t>
        </is>
      </c>
      <c r="I2172" s="256" t="inlineStr">
        <is>
          <t>Ph. Eur. 2.6.12 cat. C</t>
        </is>
      </c>
      <c r="J2172" s="256" t="inlineStr">
        <is>
          <t>≤ 10⁵ CFU/g</t>
        </is>
      </c>
      <c r="K2172" s="256" t="inlineStr">
        <is>
          <t>3.2 × 10³</t>
        </is>
      </c>
      <c r="L2172" s="256" t="inlineStr">
        <is>
          <t>1227/2193/25</t>
        </is>
      </c>
      <c r="M2172" s="256" t="inlineStr">
        <is>
          <t>05.12.2025</t>
        </is>
      </c>
      <c r="N2172" s="256" t="inlineStr">
        <is>
          <t>IPH — Institute of Public Health</t>
        </is>
      </c>
      <c r="O2172" s="256" t="inlineStr">
        <is>
          <t>—</t>
        </is>
      </c>
      <c r="P2172" s="256" t="inlineStr">
        <is>
          <t>carried from the initial testing (CoQ-PP-2025-0022) — covered</t>
        </is>
      </c>
      <c r="Q2172" s="256" t="inlineStr"/>
      <c r="R2172" s="256" t="inlineStr"/>
    </row>
    <row r="2173">
      <c r="A2173" s="256" t="inlineStr">
        <is>
          <t>CoQ-PP_26-095</t>
        </is>
      </c>
      <c r="B2173" s="256" t="inlineStr">
        <is>
          <t>reissue — retest</t>
        </is>
      </c>
      <c r="C2173" s="256" t="inlineStr">
        <is>
          <t>GP082501/2</t>
        </is>
      </c>
      <c r="D2173" s="256" t="inlineStr">
        <is>
          <t>P050322</t>
        </is>
      </c>
      <c r="E2173" s="256" t="inlineStr">
        <is>
          <t>Grape Pie</t>
        </is>
      </c>
      <c r="F2173" s="256" t="inlineStr">
        <is>
          <t>17.08.2026</t>
        </is>
      </c>
      <c r="G2173" s="256" t="inlineStr">
        <is>
          <t>9.2</t>
        </is>
      </c>
      <c r="H2173" s="256" t="inlineStr">
        <is>
          <t>TYMC</t>
        </is>
      </c>
      <c r="I2173" s="256" t="inlineStr">
        <is>
          <t>Ph. Eur. 2.6.12 cat. C</t>
        </is>
      </c>
      <c r="J2173" s="256" t="inlineStr">
        <is>
          <t>≤ 10⁴ CFU/g</t>
        </is>
      </c>
      <c r="K2173" s="256" t="inlineStr">
        <is>
          <t>5.8 × 10³</t>
        </is>
      </c>
      <c r="L2173" s="256" t="inlineStr">
        <is>
          <t>1227/2193/25</t>
        </is>
      </c>
      <c r="M2173" s="256" t="inlineStr">
        <is>
          <t>05.12.2025</t>
        </is>
      </c>
      <c r="N2173" s="256" t="inlineStr">
        <is>
          <t>IPH — Institute of Public Health</t>
        </is>
      </c>
      <c r="O2173" s="256" t="inlineStr">
        <is>
          <t>—</t>
        </is>
      </c>
      <c r="P2173" s="256" t="inlineStr">
        <is>
          <t>carried from the initial testing (CoQ-PP-2025-0022) — covered</t>
        </is>
      </c>
      <c r="Q2173" s="256" t="inlineStr"/>
      <c r="R2173" s="256" t="inlineStr"/>
    </row>
    <row r="2174">
      <c r="A2174" s="256" t="inlineStr">
        <is>
          <t>CoQ-PP_26-095</t>
        </is>
      </c>
      <c r="B2174" s="256" t="inlineStr">
        <is>
          <t>reissue — retest</t>
        </is>
      </c>
      <c r="C2174" s="256" t="inlineStr">
        <is>
          <t>GP082501/2</t>
        </is>
      </c>
      <c r="D2174" s="256" t="inlineStr">
        <is>
          <t>P050322</t>
        </is>
      </c>
      <c r="E2174" s="256" t="inlineStr">
        <is>
          <t>Grape Pie</t>
        </is>
      </c>
      <c r="F2174" s="256" t="inlineStr">
        <is>
          <t>17.08.2026</t>
        </is>
      </c>
      <c r="G2174" s="256" t="inlineStr">
        <is>
          <t>9.3</t>
        </is>
      </c>
      <c r="H2174" s="256" t="inlineStr">
        <is>
          <t>Bile-tolerant gram-neg.</t>
        </is>
      </c>
      <c r="I2174" s="256" t="inlineStr">
        <is>
          <t>Ph. Eur. 2.6.31 cat. C</t>
        </is>
      </c>
      <c r="J2174" s="256" t="inlineStr">
        <is>
          <t>≤ 10⁴ CFU/g</t>
        </is>
      </c>
      <c r="K2174" s="256" t="inlineStr">
        <is>
          <t>&lt; 10⁴ and &gt; 10³</t>
        </is>
      </c>
      <c r="L2174" s="256" t="inlineStr">
        <is>
          <t>1227/2193/25</t>
        </is>
      </c>
      <c r="M2174" s="256" t="inlineStr">
        <is>
          <t>05.12.2025</t>
        </is>
      </c>
      <c r="N2174" s="256" t="inlineStr">
        <is>
          <t>IPH — Institute of Public Health</t>
        </is>
      </c>
      <c r="O2174" s="256" t="inlineStr">
        <is>
          <t>—</t>
        </is>
      </c>
      <c r="P2174" s="256" t="inlineStr">
        <is>
          <t>carried from the initial testing (CoQ-PP-2025-0022) — covered</t>
        </is>
      </c>
      <c r="Q2174" s="256" t="inlineStr"/>
      <c r="R2174" s="256" t="inlineStr"/>
    </row>
    <row r="2175">
      <c r="A2175" s="256" t="inlineStr">
        <is>
          <t>CoQ-PP_26-095</t>
        </is>
      </c>
      <c r="B2175" s="256" t="inlineStr">
        <is>
          <t>reissue — retest</t>
        </is>
      </c>
      <c r="C2175" s="256" t="inlineStr">
        <is>
          <t>GP082501/2</t>
        </is>
      </c>
      <c r="D2175" s="256" t="inlineStr">
        <is>
          <t>P050322</t>
        </is>
      </c>
      <c r="E2175" s="256" t="inlineStr">
        <is>
          <t>Grape Pie</t>
        </is>
      </c>
      <c r="F2175" s="256" t="inlineStr">
        <is>
          <t>17.08.2026</t>
        </is>
      </c>
      <c r="G2175" s="256" t="inlineStr">
        <is>
          <t>9.4</t>
        </is>
      </c>
      <c r="H2175" s="256" t="inlineStr">
        <is>
          <t>Salmonella</t>
        </is>
      </c>
      <c r="I2175" s="256" t="inlineStr">
        <is>
          <t>Ph. Eur. 2.6.31 cat. C</t>
        </is>
      </c>
      <c r="J2175" s="256" t="inlineStr">
        <is>
          <t>Absence | Отсуство / 25 g</t>
        </is>
      </c>
      <c r="K2175" s="256" t="inlineStr">
        <is>
          <t>Absent | Отсутна</t>
        </is>
      </c>
      <c r="L2175" s="256" t="inlineStr">
        <is>
          <t>1227/2193/25</t>
        </is>
      </c>
      <c r="M2175" s="256" t="inlineStr">
        <is>
          <t>05.12.2025</t>
        </is>
      </c>
      <c r="N2175" s="256" t="inlineStr">
        <is>
          <t>IPH — Institute of Public Health</t>
        </is>
      </c>
      <c r="O2175" s="256" t="inlineStr">
        <is>
          <t>—</t>
        </is>
      </c>
      <c r="P2175" s="256" t="inlineStr">
        <is>
          <t>carried from the initial testing (CoQ-PP-2025-0022) — covered</t>
        </is>
      </c>
      <c r="Q2175" s="256" t="inlineStr"/>
      <c r="R2175" s="256" t="inlineStr"/>
    </row>
    <row r="2176">
      <c r="A2176" s="256" t="inlineStr">
        <is>
          <t>CoQ-PP_26-095</t>
        </is>
      </c>
      <c r="B2176" s="256" t="inlineStr">
        <is>
          <t>reissue — retest</t>
        </is>
      </c>
      <c r="C2176" s="256" t="inlineStr">
        <is>
          <t>GP082501/2</t>
        </is>
      </c>
      <c r="D2176" s="256" t="inlineStr">
        <is>
          <t>P050322</t>
        </is>
      </c>
      <c r="E2176" s="256" t="inlineStr">
        <is>
          <t>Grape Pie</t>
        </is>
      </c>
      <c r="F2176" s="256" t="inlineStr">
        <is>
          <t>17.08.2026</t>
        </is>
      </c>
      <c r="G2176" s="256" t="inlineStr">
        <is>
          <t>9.5</t>
        </is>
      </c>
      <c r="H2176" s="256" t="inlineStr">
        <is>
          <t>Escherichia coli</t>
        </is>
      </c>
      <c r="I2176" s="256" t="inlineStr">
        <is>
          <t>Ph. Eur. 2.6.13 cat. C</t>
        </is>
      </c>
      <c r="J2176" s="256" t="inlineStr">
        <is>
          <t>Absence | Отсуство / 1 g</t>
        </is>
      </c>
      <c r="K2176" s="256" t="inlineStr">
        <is>
          <t>Absent | Отсутна</t>
        </is>
      </c>
      <c r="L2176" s="256" t="inlineStr">
        <is>
          <t>1227/2193/25</t>
        </is>
      </c>
      <c r="M2176" s="256" t="inlineStr">
        <is>
          <t>05.12.2025</t>
        </is>
      </c>
      <c r="N2176" s="256" t="inlineStr">
        <is>
          <t>IPH — Institute of Public Health</t>
        </is>
      </c>
      <c r="O2176" s="256" t="inlineStr">
        <is>
          <t>—</t>
        </is>
      </c>
      <c r="P2176" s="256" t="inlineStr">
        <is>
          <t>carried from the initial testing (CoQ-PP-2025-0022) — covered</t>
        </is>
      </c>
      <c r="Q2176" s="256" t="inlineStr"/>
      <c r="R2176" s="256" t="inlineStr"/>
    </row>
    <row r="2177">
      <c r="A2177" s="256" t="inlineStr">
        <is>
          <t>CoQ-PP_26-095</t>
        </is>
      </c>
      <c r="B2177" s="256" t="inlineStr">
        <is>
          <t>reissue — retest</t>
        </is>
      </c>
      <c r="C2177" s="256" t="inlineStr">
        <is>
          <t>GP082501/2</t>
        </is>
      </c>
      <c r="D2177" s="256" t="inlineStr">
        <is>
          <t>P050322</t>
        </is>
      </c>
      <c r="E2177" s="256" t="inlineStr">
        <is>
          <t>Grape Pie</t>
        </is>
      </c>
      <c r="F2177" s="256" t="inlineStr">
        <is>
          <t>17.08.2026</t>
        </is>
      </c>
      <c r="G2177" s="256" t="inlineStr">
        <is>
          <t>9.6</t>
        </is>
      </c>
      <c r="H2177" s="256" t="inlineStr">
        <is>
          <t>Pseudomonas aeruginosa</t>
        </is>
      </c>
      <c r="I2177" s="256" t="inlineStr">
        <is>
          <t>Ph. Eur. 2.6.13 cat. C</t>
        </is>
      </c>
      <c r="J2177" s="256" t="inlineStr">
        <is>
          <t>Absence | Отсуство / 1 g</t>
        </is>
      </c>
      <c r="K2177" s="260" t="inlineStr">
        <is>
          <t>upon request — not required for release</t>
        </is>
      </c>
      <c r="L2177" s="256" t="inlineStr">
        <is>
          <t>—</t>
        </is>
      </c>
      <c r="M2177" s="256" t="inlineStr">
        <is>
          <t>—</t>
        </is>
      </c>
      <c r="N2177" s="256" t="inlineStr">
        <is>
          <t>—</t>
        </is>
      </c>
      <c r="O2177" s="256" t="inlineStr">
        <is>
          <t>—</t>
        </is>
      </c>
      <c r="P2177" s="256" t="inlineStr">
        <is>
          <t>upon request — not required for release</t>
        </is>
      </c>
      <c r="Q2177" s="256" t="inlineStr"/>
      <c r="R2177" s="256" t="inlineStr"/>
    </row>
    <row r="2178">
      <c r="A2178" s="256" t="inlineStr">
        <is>
          <t>CoQ-PP_26-095</t>
        </is>
      </c>
      <c r="B2178" s="256" t="inlineStr">
        <is>
          <t>reissue — retest</t>
        </is>
      </c>
      <c r="C2178" s="256" t="inlineStr">
        <is>
          <t>GP082501/2</t>
        </is>
      </c>
      <c r="D2178" s="256" t="inlineStr">
        <is>
          <t>P050322</t>
        </is>
      </c>
      <c r="E2178" s="256" t="inlineStr">
        <is>
          <t>Grape Pie</t>
        </is>
      </c>
      <c r="F2178" s="256" t="inlineStr">
        <is>
          <t>17.08.2026</t>
        </is>
      </c>
      <c r="G2178" s="256" t="inlineStr">
        <is>
          <t>9.7</t>
        </is>
      </c>
      <c r="H2178" s="256" t="inlineStr">
        <is>
          <t>Staphylococcus aureus</t>
        </is>
      </c>
      <c r="I2178" s="256" t="inlineStr">
        <is>
          <t>Ph. Eur. 2.6.13 cat. C</t>
        </is>
      </c>
      <c r="J2178" s="256" t="inlineStr">
        <is>
          <t>Absence | Отсуство / 1 g</t>
        </is>
      </c>
      <c r="K2178" s="260" t="inlineStr">
        <is>
          <t>upon request — not required for release</t>
        </is>
      </c>
      <c r="L2178" s="256" t="inlineStr">
        <is>
          <t>—</t>
        </is>
      </c>
      <c r="M2178" s="256" t="inlineStr">
        <is>
          <t>—</t>
        </is>
      </c>
      <c r="N2178" s="256" t="inlineStr">
        <is>
          <t>—</t>
        </is>
      </c>
      <c r="O2178" s="256" t="inlineStr">
        <is>
          <t>—</t>
        </is>
      </c>
      <c r="P2178" s="256" t="inlineStr">
        <is>
          <t>upon request — not required for release</t>
        </is>
      </c>
      <c r="Q2178" s="256" t="inlineStr"/>
      <c r="R2178" s="256" t="inlineStr"/>
    </row>
    <row r="2179">
      <c r="A2179" s="256" t="inlineStr">
        <is>
          <t>CoQ-PP_26-095</t>
        </is>
      </c>
      <c r="B2179" s="256" t="inlineStr">
        <is>
          <t>reissue — retest</t>
        </is>
      </c>
      <c r="C2179" s="256" t="inlineStr">
        <is>
          <t>GP082501/2</t>
        </is>
      </c>
      <c r="D2179" s="256" t="inlineStr">
        <is>
          <t>P050322</t>
        </is>
      </c>
      <c r="E2179" s="256" t="inlineStr">
        <is>
          <t>Grape Pie</t>
        </is>
      </c>
      <c r="F2179" s="256" t="inlineStr">
        <is>
          <t>17.08.2026</t>
        </is>
      </c>
      <c r="G2179" s="256" t="inlineStr">
        <is>
          <t>10.1</t>
        </is>
      </c>
      <c r="H2179" s="256" t="inlineStr">
        <is>
          <t>Aflatoxin B₁</t>
        </is>
      </c>
      <c r="I2179" s="256" t="inlineStr">
        <is>
          <t>Ph. Eur. 2.8.18 (HPLC-FLD)</t>
        </is>
      </c>
      <c r="J2179" s="256" t="inlineStr">
        <is>
          <t>≤ 2 µg/kg</t>
        </is>
      </c>
      <c r="K2179" s="256" t="inlineStr">
        <is>
          <t>ND</t>
        </is>
      </c>
      <c r="L2179" s="256" t="inlineStr">
        <is>
          <t>197-12-М/26</t>
        </is>
      </c>
      <c r="M2179" s="256" t="inlineStr">
        <is>
          <t>10.08.2026</t>
        </is>
      </c>
      <c r="N2179" s="256" t="inlineStr">
        <is>
          <t>Farmahem</t>
        </is>
      </c>
      <c r="O2179" s="256" t="inlineStr">
        <is>
          <t>29.07.2026</t>
        </is>
      </c>
      <c r="P2179" s="256" t="inlineStr">
        <is>
          <t>covered</t>
        </is>
      </c>
      <c r="Q2179" s="256" t="inlineStr"/>
      <c r="R2179" s="256" t="inlineStr"/>
    </row>
    <row r="2180">
      <c r="A2180" s="256" t="inlineStr">
        <is>
          <t>CoQ-PP_26-095</t>
        </is>
      </c>
      <c r="B2180" s="256" t="inlineStr">
        <is>
          <t>reissue — retest</t>
        </is>
      </c>
      <c r="C2180" s="256" t="inlineStr">
        <is>
          <t>GP082501/2</t>
        </is>
      </c>
      <c r="D2180" s="256" t="inlineStr">
        <is>
          <t>P050322</t>
        </is>
      </c>
      <c r="E2180" s="256" t="inlineStr">
        <is>
          <t>Grape Pie</t>
        </is>
      </c>
      <c r="F2180" s="256" t="inlineStr">
        <is>
          <t>17.08.2026</t>
        </is>
      </c>
      <c r="G2180" s="256" t="inlineStr">
        <is>
          <t>10.2</t>
        </is>
      </c>
      <c r="H2180" s="256" t="inlineStr">
        <is>
          <t>Aflatoxins ∑</t>
        </is>
      </c>
      <c r="I2180" s="256" t="inlineStr">
        <is>
          <t>Ph. Eur. 2.8.18 (HPLC-FLD)</t>
        </is>
      </c>
      <c r="J2180" s="256" t="inlineStr">
        <is>
          <t>≤ 4 µg/kg</t>
        </is>
      </c>
      <c r="K2180" s="256" t="inlineStr">
        <is>
          <t>ND</t>
        </is>
      </c>
      <c r="L2180" s="256" t="inlineStr">
        <is>
          <t>197-12-М/26</t>
        </is>
      </c>
      <c r="M2180" s="256" t="inlineStr">
        <is>
          <t>10.08.2026</t>
        </is>
      </c>
      <c r="N2180" s="256" t="inlineStr">
        <is>
          <t>Farmahem</t>
        </is>
      </c>
      <c r="O2180" s="256" t="inlineStr">
        <is>
          <t>29.07.2026</t>
        </is>
      </c>
      <c r="P2180" s="256" t="inlineStr">
        <is>
          <t>covered</t>
        </is>
      </c>
      <c r="Q2180" s="256" t="inlineStr"/>
      <c r="R2180" s="256" t="inlineStr"/>
    </row>
    <row r="2181">
      <c r="A2181" s="256" t="inlineStr">
        <is>
          <t>CoQ-PP_26-095</t>
        </is>
      </c>
      <c r="B2181" s="256" t="inlineStr">
        <is>
          <t>reissue — retest</t>
        </is>
      </c>
      <c r="C2181" s="256" t="inlineStr">
        <is>
          <t>GP082501/2</t>
        </is>
      </c>
      <c r="D2181" s="256" t="inlineStr">
        <is>
          <t>P050322</t>
        </is>
      </c>
      <c r="E2181" s="256" t="inlineStr">
        <is>
          <t>Grape Pie</t>
        </is>
      </c>
      <c r="F2181" s="256" t="inlineStr">
        <is>
          <t>17.08.2026</t>
        </is>
      </c>
      <c r="G2181" s="256" t="inlineStr">
        <is>
          <t>10.3</t>
        </is>
      </c>
      <c r="H2181" s="256" t="inlineStr">
        <is>
          <t>Ochratoxin A</t>
        </is>
      </c>
      <c r="I2181" s="256" t="inlineStr">
        <is>
          <t>Ph. Eur. 2.8.22 (HPLC-FLD)</t>
        </is>
      </c>
      <c r="J2181" s="256" t="inlineStr">
        <is>
          <t>≤ 20 µg/kg</t>
        </is>
      </c>
      <c r="K2181" s="256" t="inlineStr">
        <is>
          <t>ND</t>
        </is>
      </c>
      <c r="L2181" s="256" t="inlineStr">
        <is>
          <t>197-12-М/26</t>
        </is>
      </c>
      <c r="M2181" s="256" t="inlineStr">
        <is>
          <t>10.08.2026</t>
        </is>
      </c>
      <c r="N2181" s="256" t="inlineStr">
        <is>
          <t>Farmahem</t>
        </is>
      </c>
      <c r="O2181" s="256" t="inlineStr">
        <is>
          <t>29.07.2026</t>
        </is>
      </c>
      <c r="P2181" s="256" t="inlineStr">
        <is>
          <t>covered</t>
        </is>
      </c>
      <c r="Q2181" s="256" t="inlineStr"/>
      <c r="R2181" s="256" t="inlineStr"/>
    </row>
    <row r="2182">
      <c r="A2182" s="256" t="inlineStr">
        <is>
          <t>CoQ-PP_26-095</t>
        </is>
      </c>
      <c r="B2182" s="256" t="inlineStr">
        <is>
          <t>reissue — retest</t>
        </is>
      </c>
      <c r="C2182" s="256" t="inlineStr">
        <is>
          <t>GP082501/2</t>
        </is>
      </c>
      <c r="D2182" s="256" t="inlineStr">
        <is>
          <t>P050322</t>
        </is>
      </c>
      <c r="E2182" s="256" t="inlineStr">
        <is>
          <t>Grape Pie</t>
        </is>
      </c>
      <c r="F2182" s="256" t="inlineStr">
        <is>
          <t>17.08.2026</t>
        </is>
      </c>
      <c r="G2182" s="256" t="inlineStr">
        <is>
          <t>11.1</t>
        </is>
      </c>
      <c r="H2182" s="256" t="inlineStr">
        <is>
          <t>Lead (Pb)</t>
        </is>
      </c>
      <c r="I2182" s="256" t="inlineStr">
        <is>
          <t>Ph. Eur. 2.4.27 (ICP-MS)</t>
        </is>
      </c>
      <c r="J2182" s="256" t="inlineStr">
        <is>
          <t>≤ 0.5 mg/kg</t>
        </is>
      </c>
      <c r="K2182" s="256" t="inlineStr">
        <is>
          <t>0.013</t>
        </is>
      </c>
      <c r="L2182" s="256" t="inlineStr">
        <is>
          <t>5889/2025</t>
        </is>
      </c>
      <c r="M2182" s="256" t="inlineStr">
        <is>
          <t>12.12.2025</t>
        </is>
      </c>
      <c r="N2182" s="256" t="inlineStr">
        <is>
          <t>IPH — Institute of Public Health</t>
        </is>
      </c>
      <c r="O2182" s="256" t="inlineStr">
        <is>
          <t>01.12.2025</t>
        </is>
      </c>
      <c r="P2182" s="256" t="inlineStr">
        <is>
          <t>carried from the initial testing (CoQ-PP-2025-0022) — covered</t>
        </is>
      </c>
      <c r="Q2182" s="256" t="inlineStr"/>
      <c r="R2182" s="256" t="inlineStr"/>
    </row>
    <row r="2183">
      <c r="A2183" s="256" t="inlineStr">
        <is>
          <t>CoQ-PP_26-095</t>
        </is>
      </c>
      <c r="B2183" s="256" t="inlineStr">
        <is>
          <t>reissue — retest</t>
        </is>
      </c>
      <c r="C2183" s="256" t="inlineStr">
        <is>
          <t>GP082501/2</t>
        </is>
      </c>
      <c r="D2183" s="256" t="inlineStr">
        <is>
          <t>P050322</t>
        </is>
      </c>
      <c r="E2183" s="256" t="inlineStr">
        <is>
          <t>Grape Pie</t>
        </is>
      </c>
      <c r="F2183" s="256" t="inlineStr">
        <is>
          <t>17.08.2026</t>
        </is>
      </c>
      <c r="G2183" s="256" t="inlineStr">
        <is>
          <t>11.2</t>
        </is>
      </c>
      <c r="H2183" s="256" t="inlineStr">
        <is>
          <t>Cadmium (Cd)</t>
        </is>
      </c>
      <c r="I2183" s="256" t="inlineStr">
        <is>
          <t>Ph. Eur. 2.4.27 (ICP-MS)</t>
        </is>
      </c>
      <c r="J2183" s="256" t="inlineStr">
        <is>
          <t>≤ 0.3 mg/kg</t>
        </is>
      </c>
      <c r="K2183" s="256" t="inlineStr">
        <is>
          <t>0.003</t>
        </is>
      </c>
      <c r="L2183" s="256" t="inlineStr">
        <is>
          <t>5889/2025</t>
        </is>
      </c>
      <c r="M2183" s="256" t="inlineStr">
        <is>
          <t>12.12.2025</t>
        </is>
      </c>
      <c r="N2183" s="256" t="inlineStr">
        <is>
          <t>IPH — Institute of Public Health</t>
        </is>
      </c>
      <c r="O2183" s="256" t="inlineStr">
        <is>
          <t>01.12.2025</t>
        </is>
      </c>
      <c r="P2183" s="256" t="inlineStr">
        <is>
          <t>carried from the initial testing (CoQ-PP-2025-0022) — covered</t>
        </is>
      </c>
      <c r="Q2183" s="256" t="inlineStr"/>
      <c r="R2183" s="256" t="inlineStr"/>
    </row>
    <row r="2184">
      <c r="A2184" s="256" t="inlineStr">
        <is>
          <t>CoQ-PP_26-095</t>
        </is>
      </c>
      <c r="B2184" s="256" t="inlineStr">
        <is>
          <t>reissue — retest</t>
        </is>
      </c>
      <c r="C2184" s="256" t="inlineStr">
        <is>
          <t>GP082501/2</t>
        </is>
      </c>
      <c r="D2184" s="256" t="inlineStr">
        <is>
          <t>P050322</t>
        </is>
      </c>
      <c r="E2184" s="256" t="inlineStr">
        <is>
          <t>Grape Pie</t>
        </is>
      </c>
      <c r="F2184" s="256" t="inlineStr">
        <is>
          <t>17.08.2026</t>
        </is>
      </c>
      <c r="G2184" s="256" t="inlineStr">
        <is>
          <t>11.3</t>
        </is>
      </c>
      <c r="H2184" s="256" t="inlineStr">
        <is>
          <t>Arsenic (As)</t>
        </is>
      </c>
      <c r="I2184" s="256" t="inlineStr">
        <is>
          <t>Ph. Eur. 2.4.27 (ICP-MS)</t>
        </is>
      </c>
      <c r="J2184" s="256" t="inlineStr">
        <is>
          <t>≤ 0.2 mg/kg</t>
        </is>
      </c>
      <c r="K2184" s="256" t="inlineStr">
        <is>
          <t>0.02</t>
        </is>
      </c>
      <c r="L2184" s="256" t="inlineStr">
        <is>
          <t>5889/2025</t>
        </is>
      </c>
      <c r="M2184" s="256" t="inlineStr">
        <is>
          <t>12.12.2025</t>
        </is>
      </c>
      <c r="N2184" s="256" t="inlineStr">
        <is>
          <t>IPH — Institute of Public Health</t>
        </is>
      </c>
      <c r="O2184" s="256" t="inlineStr">
        <is>
          <t>01.12.2025</t>
        </is>
      </c>
      <c r="P2184" s="256" t="inlineStr">
        <is>
          <t>carried from the initial testing (CoQ-PP-2025-0022) — covered</t>
        </is>
      </c>
      <c r="Q2184" s="256" t="inlineStr"/>
      <c r="R2184" s="256" t="inlineStr"/>
    </row>
    <row r="2185">
      <c r="A2185" s="256" t="inlineStr">
        <is>
          <t>CoQ-PP_26-095</t>
        </is>
      </c>
      <c r="B2185" s="256" t="inlineStr">
        <is>
          <t>reissue — retest</t>
        </is>
      </c>
      <c r="C2185" s="256" t="inlineStr">
        <is>
          <t>GP082501/2</t>
        </is>
      </c>
      <c r="D2185" s="256" t="inlineStr">
        <is>
          <t>P050322</t>
        </is>
      </c>
      <c r="E2185" s="256" t="inlineStr">
        <is>
          <t>Grape Pie</t>
        </is>
      </c>
      <c r="F2185" s="256" t="inlineStr">
        <is>
          <t>17.08.2026</t>
        </is>
      </c>
      <c r="G2185" s="256" t="inlineStr">
        <is>
          <t>11.4</t>
        </is>
      </c>
      <c r="H2185" s="256" t="inlineStr">
        <is>
          <t>Mercury (Hg)</t>
        </is>
      </c>
      <c r="I2185" s="256" t="inlineStr">
        <is>
          <t>Ph. Eur. 2.4.27 (ICP-MS)</t>
        </is>
      </c>
      <c r="J2185" s="256" t="inlineStr">
        <is>
          <t>≤ 0.1 mg/kg</t>
        </is>
      </c>
      <c r="K2185" s="256" t="inlineStr">
        <is>
          <t>0.016</t>
        </is>
      </c>
      <c r="L2185" s="256" t="inlineStr">
        <is>
          <t>5889/2025</t>
        </is>
      </c>
      <c r="M2185" s="256" t="inlineStr">
        <is>
          <t>12.12.2025</t>
        </is>
      </c>
      <c r="N2185" s="256" t="inlineStr">
        <is>
          <t>IPH — Institute of Public Health</t>
        </is>
      </c>
      <c r="O2185" s="256" t="inlineStr">
        <is>
          <t>01.12.2025</t>
        </is>
      </c>
      <c r="P2185" s="256" t="inlineStr">
        <is>
          <t>carried from the initial testing (CoQ-PP-2025-0022) — covered</t>
        </is>
      </c>
      <c r="Q2185" s="256" t="inlineStr"/>
      <c r="R2185" s="256" t="inlineStr"/>
    </row>
    <row r="2186">
      <c r="A2186" s="256" t="inlineStr">
        <is>
          <t>CoQ-PP_26-095</t>
        </is>
      </c>
      <c r="B2186" s="256" t="inlineStr">
        <is>
          <t>reissue — retest</t>
        </is>
      </c>
      <c r="C2186" s="256" t="inlineStr">
        <is>
          <t>GP082501/2</t>
        </is>
      </c>
      <c r="D2186" s="256" t="inlineStr">
        <is>
          <t>P050322</t>
        </is>
      </c>
      <c r="E2186" s="256" t="inlineStr">
        <is>
          <t>Grape Pie</t>
        </is>
      </c>
      <c r="F2186" s="256" t="inlineStr">
        <is>
          <t>17.08.2026</t>
        </is>
      </c>
      <c r="G2186" s="256" t="inlineStr">
        <is>
          <t>12</t>
        </is>
      </c>
      <c r="H2186" s="256" t="inlineStr">
        <is>
          <t>Pesticide Residues</t>
        </is>
      </c>
      <c r="I2186" s="256" t="inlineStr">
        <is>
          <t>Ph. Eur. 2.8.13 (LC-MS/MS) · CUMCS Equivalency</t>
        </is>
      </c>
      <c r="J2186" s="256" t="inlineStr">
        <is>
          <t>≤ LOQ as per Ph. Eur. 2.8.13 · ≤ LOQ as per CUMCS Equivalency</t>
        </is>
      </c>
      <c r="K2186" s="256" t="inlineStr">
        <is>
          <t>ND</t>
        </is>
      </c>
      <c r="L2186" s="256" t="inlineStr">
        <is>
          <t>5889/2025</t>
        </is>
      </c>
      <c r="M2186" s="256" t="inlineStr">
        <is>
          <t>12.12.2025</t>
        </is>
      </c>
      <c r="N2186" s="256" t="inlineStr">
        <is>
          <t>IPH — Institute of Public Health</t>
        </is>
      </c>
      <c r="O2186" s="256" t="inlineStr">
        <is>
          <t>01.12.2025</t>
        </is>
      </c>
      <c r="P2186" s="256" t="inlineStr">
        <is>
          <t>carried from the initial testing (CoQ-PP-2025-0022) — covered</t>
        </is>
      </c>
      <c r="Q2186" s="256" t="inlineStr"/>
      <c r="R2186" s="256" t="inlineStr"/>
    </row>
    <row r="2187">
      <c r="A2187" s="256" t="inlineStr">
        <is>
          <t>CoQ-PP_26-096</t>
        </is>
      </c>
      <c r="B2187" s="256" t="inlineStr">
        <is>
          <t>reissue — retest</t>
        </is>
      </c>
      <c r="C2187" s="256" t="inlineStr">
        <is>
          <t>HPA1024</t>
        </is>
      </c>
      <c r="D2187" s="256" t="inlineStr">
        <is>
          <t>HPA1024</t>
        </is>
      </c>
      <c r="E2187" s="256" t="inlineStr">
        <is>
          <t>High Pro Amnesia</t>
        </is>
      </c>
      <c r="F2187" s="256" t="inlineStr">
        <is>
          <t>17.08.2026</t>
        </is>
      </c>
      <c r="G2187" s="256" t="inlineStr">
        <is>
          <t>1</t>
        </is>
      </c>
      <c r="H2187" s="256" t="inlineStr">
        <is>
          <t>Identification A, Appearance · Macroscopic</t>
        </is>
      </c>
      <c r="I2187" s="256" t="inlineStr">
        <is>
          <t>Ph. Eur. mon. 3028</t>
        </is>
      </c>
      <c r="J2187" s="256" t="inlineStr">
        <is>
          <t>Conforms to the monograph for Cannabis flos (07/2024:3028) in Ph. Eur. 11.0 | Согласно монографија за Cannabis flos (07/2024:3028) во Ph. Eur. 11.0</t>
        </is>
      </c>
      <c r="K2187" s="256" t="inlineStr">
        <is>
          <t>Conforms | Одговара</t>
        </is>
      </c>
      <c r="L2187" s="256" t="inlineStr">
        <is>
          <t>iCoA-PP_26-112</t>
        </is>
      </c>
      <c r="M2187" s="256" t="inlineStr">
        <is>
          <t>27.07.2026</t>
        </is>
      </c>
      <c r="N2187" s="256" t="inlineStr">
        <is>
          <t>Purely Plant GmbH (in-house)</t>
        </is>
      </c>
      <c r="O2187" s="256" t="inlineStr">
        <is>
          <t>—</t>
        </is>
      </c>
      <c r="P2187" s="256" t="inlineStr">
        <is>
          <t>covered</t>
        </is>
      </c>
      <c r="Q2187" s="256" t="inlineStr">
        <is>
          <t>Farmahem — Ident A + B + C with the Assay, at retest</t>
        </is>
      </c>
      <c r="R2187" s="256" t="inlineStr"/>
    </row>
    <row r="2188">
      <c r="A2188" s="256" t="inlineStr">
        <is>
          <t>CoQ-PP_26-096</t>
        </is>
      </c>
      <c r="B2188" s="256" t="inlineStr">
        <is>
          <t>reissue — retest</t>
        </is>
      </c>
      <c r="C2188" s="256" t="inlineStr">
        <is>
          <t>HPA1024</t>
        </is>
      </c>
      <c r="D2188" s="256" t="inlineStr">
        <is>
          <t>HPA1024</t>
        </is>
      </c>
      <c r="E2188" s="256" t="inlineStr">
        <is>
          <t>High Pro Amnesia</t>
        </is>
      </c>
      <c r="F2188" s="256" t="inlineStr">
        <is>
          <t>17.08.2026</t>
        </is>
      </c>
      <c r="G2188" s="256" t="inlineStr">
        <is>
          <t>2</t>
        </is>
      </c>
      <c r="H2188" s="256" t="inlineStr">
        <is>
          <t>Identification B · Microscopic</t>
        </is>
      </c>
      <c r="I2188" s="256" t="inlineStr">
        <is>
          <t>Ph. Eur. 2.8.23 (microscopy)</t>
        </is>
      </c>
      <c r="J2188" s="256" t="inlineStr">
        <is>
          <t>Conforms to the monograph for Cannabis flos (07/2024:3028) in Ph. Eur. 11.0 | Согласно монографија за Cannabis flos (07/2024:3028) во Ph. Eur. 11.0</t>
        </is>
      </c>
      <c r="K2188" s="256" t="inlineStr">
        <is>
          <t>Conforms | Одговара</t>
        </is>
      </c>
      <c r="L2188" s="256" t="inlineStr">
        <is>
          <t>iCoA-PP_26-112</t>
        </is>
      </c>
      <c r="M2188" s="256" t="inlineStr">
        <is>
          <t>27.07.2026</t>
        </is>
      </c>
      <c r="N2188" s="256" t="inlineStr">
        <is>
          <t>Purely Plant GmbH (in-house)</t>
        </is>
      </c>
      <c r="O2188" s="256" t="inlineStr">
        <is>
          <t>—</t>
        </is>
      </c>
      <c r="P2188" s="256" t="inlineStr">
        <is>
          <t>covered</t>
        </is>
      </c>
      <c r="Q2188" s="256" t="inlineStr">
        <is>
          <t>Farmahem — Ident A + B + C with the Assay, at retest</t>
        </is>
      </c>
      <c r="R2188" s="256" t="inlineStr"/>
    </row>
    <row r="2189">
      <c r="A2189" s="256" t="inlineStr">
        <is>
          <t>CoQ-PP_26-096</t>
        </is>
      </c>
      <c r="B2189" s="256" t="inlineStr">
        <is>
          <t>reissue — retest</t>
        </is>
      </c>
      <c r="C2189" s="256" t="inlineStr">
        <is>
          <t>HPA1024</t>
        </is>
      </c>
      <c r="D2189" s="256" t="inlineStr">
        <is>
          <t>HPA1024</t>
        </is>
      </c>
      <c r="E2189" s="256" t="inlineStr">
        <is>
          <t>High Pro Amnesia</t>
        </is>
      </c>
      <c r="F2189" s="256" t="inlineStr">
        <is>
          <t>17.08.2026</t>
        </is>
      </c>
      <c r="G2189" s="256" t="inlineStr">
        <is>
          <t>3</t>
        </is>
      </c>
      <c r="H2189" s="256" t="inlineStr">
        <is>
          <t>Identification C · HPLC/HPTLC</t>
        </is>
      </c>
      <c r="I2189" s="256" t="inlineStr">
        <is>
          <t>Ph. Eur. 2.2.29 (3028)</t>
        </is>
      </c>
      <c r="J2189" s="256" t="inlineStr">
        <is>
          <t>Conforms to the monograph for Cannabis flos (07/2024:3028) in Ph. Eur. 11.0 | Согласно монографија за Cannabis flos (07/2024:3028) во Ph. Eur. 11.0</t>
        </is>
      </c>
      <c r="K2189" s="256" t="inlineStr">
        <is>
          <t>Conforms | Одговара</t>
        </is>
      </c>
      <c r="L2189" s="256" t="inlineStr">
        <is>
          <t>197-13-К/26</t>
        </is>
      </c>
      <c r="M2189" s="256" t="inlineStr">
        <is>
          <t>07.08.2026</t>
        </is>
      </c>
      <c r="N2189" s="256" t="inlineStr">
        <is>
          <t>Farmahem</t>
        </is>
      </c>
      <c r="O2189" s="256" t="inlineStr">
        <is>
          <t>27.07.2026</t>
        </is>
      </c>
      <c r="P2189" s="256" t="inlineStr">
        <is>
          <t>covered</t>
        </is>
      </c>
      <c r="Q2189" s="256" t="inlineStr"/>
      <c r="R2189" s="256" t="inlineStr"/>
    </row>
    <row r="2190">
      <c r="A2190" s="256" t="inlineStr">
        <is>
          <t>CoQ-PP_26-096</t>
        </is>
      </c>
      <c r="B2190" s="256" t="inlineStr">
        <is>
          <t>reissue — retest</t>
        </is>
      </c>
      <c r="C2190" s="256" t="inlineStr">
        <is>
          <t>HPA1024</t>
        </is>
      </c>
      <c r="D2190" s="256" t="inlineStr">
        <is>
          <t>HPA1024</t>
        </is>
      </c>
      <c r="E2190" s="256" t="inlineStr">
        <is>
          <t>High Pro Amnesia</t>
        </is>
      </c>
      <c r="F2190" s="256" t="inlineStr">
        <is>
          <t>17.08.2026</t>
        </is>
      </c>
      <c r="G2190" s="256" t="inlineStr">
        <is>
          <t>4</t>
        </is>
      </c>
      <c r="H2190" s="256" t="inlineStr">
        <is>
          <t>Assay — Total Δ⁹-THC</t>
        </is>
      </c>
      <c r="I2190" s="256" t="inlineStr">
        <is>
          <t>Ph. Eur. 2.2.29 (HPLC)</t>
        </is>
      </c>
      <c r="J2190" s="256" t="inlineStr">
        <is>
          <t>16.20 – 19.79 %  (grade II, nominal 18.00 ± 1.80)</t>
        </is>
      </c>
      <c r="K2190" s="256" t="inlineStr">
        <is>
          <t>17.31</t>
        </is>
      </c>
      <c r="L2190" s="256" t="inlineStr">
        <is>
          <t>197-13-К/26</t>
        </is>
      </c>
      <c r="M2190" s="256" t="inlineStr">
        <is>
          <t>07.08.2026</t>
        </is>
      </c>
      <c r="N2190" s="256" t="inlineStr">
        <is>
          <t>Farmahem</t>
        </is>
      </c>
      <c r="O2190" s="256" t="inlineStr">
        <is>
          <t>27.07.2026</t>
        </is>
      </c>
      <c r="P2190" s="256" t="inlineStr">
        <is>
          <t>covered</t>
        </is>
      </c>
      <c r="Q2190" s="256" t="inlineStr"/>
      <c r="R2190" s="256" t="inlineStr"/>
    </row>
    <row r="2191">
      <c r="A2191" s="256" t="inlineStr">
        <is>
          <t>CoQ-PP_26-096</t>
        </is>
      </c>
      <c r="B2191" s="256" t="inlineStr">
        <is>
          <t>reissue — retest</t>
        </is>
      </c>
      <c r="C2191" s="256" t="inlineStr">
        <is>
          <t>HPA1024</t>
        </is>
      </c>
      <c r="D2191" s="256" t="inlineStr">
        <is>
          <t>HPA1024</t>
        </is>
      </c>
      <c r="E2191" s="256" t="inlineStr">
        <is>
          <t>High Pro Amnesia</t>
        </is>
      </c>
      <c r="F2191" s="256" t="inlineStr">
        <is>
          <t>17.08.2026</t>
        </is>
      </c>
      <c r="G2191" s="256" t="inlineStr">
        <is>
          <t>5</t>
        </is>
      </c>
      <c r="H2191" s="256" t="inlineStr">
        <is>
          <t>Assay — Total CBD</t>
        </is>
      </c>
      <c r="I2191" s="256" t="inlineStr">
        <is>
          <t>Ph. Eur. 2.2.29 (HPLC) · CBD + CBDA x 0.877</t>
        </is>
      </c>
      <c r="J2191" s="256" t="inlineStr">
        <is>
          <t>≤ 1.0%, w/w</t>
        </is>
      </c>
      <c r="K2191" s="256" t="inlineStr">
        <is>
          <t>&lt; LOQ</t>
        </is>
      </c>
      <c r="L2191" s="256" t="inlineStr">
        <is>
          <t>197-13-К/26</t>
        </is>
      </c>
      <c r="M2191" s="256" t="inlineStr">
        <is>
          <t>07.08.2026</t>
        </is>
      </c>
      <c r="N2191" s="256" t="inlineStr">
        <is>
          <t>Farmahem</t>
        </is>
      </c>
      <c r="O2191" s="256" t="inlineStr">
        <is>
          <t>27.07.2026</t>
        </is>
      </c>
      <c r="P2191" s="256" t="inlineStr">
        <is>
          <t>covered</t>
        </is>
      </c>
      <c r="Q2191" s="256" t="inlineStr"/>
      <c r="R2191" s="256" t="inlineStr"/>
    </row>
    <row r="2192">
      <c r="A2192" s="256" t="inlineStr">
        <is>
          <t>CoQ-PP_26-096</t>
        </is>
      </c>
      <c r="B2192" s="256" t="inlineStr">
        <is>
          <t>reissue — retest</t>
        </is>
      </c>
      <c r="C2192" s="256" t="inlineStr">
        <is>
          <t>HPA1024</t>
        </is>
      </c>
      <c r="D2192" s="256" t="inlineStr">
        <is>
          <t>HPA1024</t>
        </is>
      </c>
      <c r="E2192" s="256" t="inlineStr">
        <is>
          <t>High Pro Amnesia</t>
        </is>
      </c>
      <c r="F2192" s="256" t="inlineStr">
        <is>
          <t>17.08.2026</t>
        </is>
      </c>
      <c r="G2192" s="256" t="inlineStr">
        <is>
          <t>6</t>
        </is>
      </c>
      <c r="H2192" s="256" t="inlineStr">
        <is>
          <t>Total CBN</t>
        </is>
      </c>
      <c r="I2192" s="256" t="inlineStr">
        <is>
          <t>Ph. Eur. 2.2.29 (HPLC) · CBN + CBNA x 0.876</t>
        </is>
      </c>
      <c r="J2192" s="256" t="inlineStr">
        <is>
          <t>≤ 1.0%, w/w</t>
        </is>
      </c>
      <c r="K2192" s="256" t="inlineStr">
        <is>
          <t>0.36</t>
        </is>
      </c>
      <c r="L2192" s="256" t="inlineStr">
        <is>
          <t>197-13-К/26</t>
        </is>
      </c>
      <c r="M2192" s="256" t="inlineStr">
        <is>
          <t>07.08.2026</t>
        </is>
      </c>
      <c r="N2192" s="256" t="inlineStr">
        <is>
          <t>Farmahem</t>
        </is>
      </c>
      <c r="O2192" s="256" t="inlineStr">
        <is>
          <t>27.07.2026</t>
        </is>
      </c>
      <c r="P2192" s="256" t="inlineStr">
        <is>
          <t>covered</t>
        </is>
      </c>
      <c r="Q2192" s="256" t="inlineStr"/>
      <c r="R2192" s="256" t="inlineStr"/>
    </row>
    <row r="2193">
      <c r="A2193" s="256" t="inlineStr">
        <is>
          <t>CoQ-PP_26-096</t>
        </is>
      </c>
      <c r="B2193" s="256" t="inlineStr">
        <is>
          <t>reissue — retest</t>
        </is>
      </c>
      <c r="C2193" s="256" t="inlineStr">
        <is>
          <t>HPA1024</t>
        </is>
      </c>
      <c r="D2193" s="256" t="inlineStr">
        <is>
          <t>HPA1024</t>
        </is>
      </c>
      <c r="E2193" s="256" t="inlineStr">
        <is>
          <t>High Pro Amnesia</t>
        </is>
      </c>
      <c r="F2193" s="256" t="inlineStr">
        <is>
          <t>17.08.2026</t>
        </is>
      </c>
      <c r="G2193" s="256" t="inlineStr">
        <is>
          <t>7</t>
        </is>
      </c>
      <c r="H2193" s="256" t="inlineStr">
        <is>
          <t>Foreign Matter</t>
        </is>
      </c>
      <c r="I2193" s="256" t="inlineStr">
        <is>
          <t>Ph. Eur. 2.8.2 · In-house · интерна</t>
        </is>
      </c>
      <c r="J2193" s="256" t="inlineStr">
        <is>
          <t>≤ 2.0% / 25–50 g · &lt; 1 cm leaves | листови, no seeds | без семки</t>
        </is>
      </c>
      <c r="K2193" s="256" t="inlineStr">
        <is>
          <t>Conforms | Одговара</t>
        </is>
      </c>
      <c r="L2193" s="256" t="inlineStr">
        <is>
          <t>iCoA-PP_26-112</t>
        </is>
      </c>
      <c r="M2193" s="256" t="inlineStr">
        <is>
          <t>27.07.2026</t>
        </is>
      </c>
      <c r="N2193" s="256" t="inlineStr">
        <is>
          <t>Purely Plant GmbH (in-house)</t>
        </is>
      </c>
      <c r="O2193" s="256" t="inlineStr">
        <is>
          <t>—</t>
        </is>
      </c>
      <c r="P2193" s="256" t="inlineStr">
        <is>
          <t>covered</t>
        </is>
      </c>
      <c r="Q2193" s="256" t="inlineStr">
        <is>
          <t>Purely Plant laboratory — iCoA covering Foreign matter</t>
        </is>
      </c>
      <c r="R2193" s="256" t="inlineStr"/>
    </row>
    <row r="2194">
      <c r="A2194" s="256" t="inlineStr">
        <is>
          <t>CoQ-PP_26-096</t>
        </is>
      </c>
      <c r="B2194" s="256" t="inlineStr">
        <is>
          <t>reissue — retest</t>
        </is>
      </c>
      <c r="C2194" s="256" t="inlineStr">
        <is>
          <t>HPA1024</t>
        </is>
      </c>
      <c r="D2194" s="256" t="inlineStr">
        <is>
          <t>HPA1024</t>
        </is>
      </c>
      <c r="E2194" s="256" t="inlineStr">
        <is>
          <t>High Pro Amnesia</t>
        </is>
      </c>
      <c r="F2194" s="256" t="inlineStr">
        <is>
          <t>17.08.2026</t>
        </is>
      </c>
      <c r="G2194" s="256" t="inlineStr">
        <is>
          <t>8</t>
        </is>
      </c>
      <c r="H2194" s="256" t="inlineStr">
        <is>
          <t>Loss on Drying</t>
        </is>
      </c>
      <c r="I2194" s="256" t="inlineStr">
        <is>
          <t>Ph. Eur. 2.2.32 (3028) · at 40 °C, 24 h, 15–25 mbar</t>
        </is>
      </c>
      <c r="J2194" s="256" t="inlineStr">
        <is>
          <t>≤ 12.0%</t>
        </is>
      </c>
      <c r="K2194" s="256" t="inlineStr">
        <is>
          <t>carried from the initial testing — not tested</t>
        </is>
      </c>
      <c r="L2194" s="256" t="inlineStr">
        <is>
          <t>—</t>
        </is>
      </c>
      <c r="M2194" s="256" t="inlineStr">
        <is>
          <t>—</t>
        </is>
      </c>
      <c r="N2194" s="256" t="inlineStr">
        <is>
          <t>—</t>
        </is>
      </c>
      <c r="O2194" s="256" t="inlineStr">
        <is>
          <t>—</t>
        </is>
      </c>
      <c r="P2194" s="256" t="inlineStr">
        <is>
          <t>carried from the initial testing (CoQ-PP-2025-0004) — not tested — no certificate covers it</t>
        </is>
      </c>
      <c r="Q2194" s="256" t="inlineStr"/>
      <c r="R2194" s="256" t="inlineStr"/>
    </row>
    <row r="2195">
      <c r="A2195" s="256" t="inlineStr">
        <is>
          <t>CoQ-PP_26-096</t>
        </is>
      </c>
      <c r="B2195" s="256" t="inlineStr">
        <is>
          <t>reissue — retest</t>
        </is>
      </c>
      <c r="C2195" s="256" t="inlineStr">
        <is>
          <t>HPA1024</t>
        </is>
      </c>
      <c r="D2195" s="256" t="inlineStr">
        <is>
          <t>HPA1024</t>
        </is>
      </c>
      <c r="E2195" s="256" t="inlineStr">
        <is>
          <t>High Pro Amnesia</t>
        </is>
      </c>
      <c r="F2195" s="256" t="inlineStr">
        <is>
          <t>17.08.2026</t>
        </is>
      </c>
      <c r="G2195" s="256" t="inlineStr">
        <is>
          <t>9.1</t>
        </is>
      </c>
      <c r="H2195" s="256" t="inlineStr">
        <is>
          <t>TAMC</t>
        </is>
      </c>
      <c r="I2195" s="256" t="inlineStr">
        <is>
          <t>Ph. Eur. 2.6.12 cat. C</t>
        </is>
      </c>
      <c r="J2195" s="256" t="inlineStr">
        <is>
          <t>≤ 10⁵ CFU/g</t>
        </is>
      </c>
      <c r="K2195" s="256" t="inlineStr">
        <is>
          <t>5.2 × 10⁴</t>
        </is>
      </c>
      <c r="L2195" s="256" t="inlineStr">
        <is>
          <t>iCoA-PP_26-005</t>
        </is>
      </c>
      <c r="M2195" s="256" t="inlineStr">
        <is>
          <t>03.06.2026</t>
        </is>
      </c>
      <c r="N2195" s="256" t="inlineStr">
        <is>
          <t>Purely Plant GmbH (in-house)</t>
        </is>
      </c>
      <c r="O2195" s="256" t="inlineStr">
        <is>
          <t>—</t>
        </is>
      </c>
      <c r="P2195" s="256" t="inlineStr">
        <is>
          <t>carried from the initial testing (CoQ-PP-2025-0004) — in-house CoA only — not an eCoA or an iCoA: a value no certificate of analysis certifies cannot be on a release certificate (owner's rule, 02.09.2026)</t>
        </is>
      </c>
      <c r="Q2195" s="256" t="inlineStr"/>
      <c r="R2195" s="256" t="inlineStr"/>
    </row>
    <row r="2196">
      <c r="A2196" s="256" t="inlineStr">
        <is>
          <t>CoQ-PP_26-096</t>
        </is>
      </c>
      <c r="B2196" s="256" t="inlineStr">
        <is>
          <t>reissue — retest</t>
        </is>
      </c>
      <c r="C2196" s="256" t="inlineStr">
        <is>
          <t>HPA1024</t>
        </is>
      </c>
      <c r="D2196" s="256" t="inlineStr">
        <is>
          <t>HPA1024</t>
        </is>
      </c>
      <c r="E2196" s="256" t="inlineStr">
        <is>
          <t>High Pro Amnesia</t>
        </is>
      </c>
      <c r="F2196" s="256" t="inlineStr">
        <is>
          <t>17.08.2026</t>
        </is>
      </c>
      <c r="G2196" s="256" t="inlineStr">
        <is>
          <t>9.2</t>
        </is>
      </c>
      <c r="H2196" s="256" t="inlineStr">
        <is>
          <t>TYMC</t>
        </is>
      </c>
      <c r="I2196" s="256" t="inlineStr">
        <is>
          <t>Ph. Eur. 2.6.12 cat. C</t>
        </is>
      </c>
      <c r="J2196" s="256" t="inlineStr">
        <is>
          <t>≤ 10⁴ CFU/g</t>
        </is>
      </c>
      <c r="K2196" s="256" t="inlineStr">
        <is>
          <t>7 × 10²</t>
        </is>
      </c>
      <c r="L2196" s="256" t="inlineStr">
        <is>
          <t>iCoA-PP_26-005</t>
        </is>
      </c>
      <c r="M2196" s="256" t="inlineStr">
        <is>
          <t>03.06.2026</t>
        </is>
      </c>
      <c r="N2196" s="256" t="inlineStr">
        <is>
          <t>Purely Plant GmbH (in-house)</t>
        </is>
      </c>
      <c r="O2196" s="256" t="inlineStr">
        <is>
          <t>—</t>
        </is>
      </c>
      <c r="P2196" s="256" t="inlineStr">
        <is>
          <t>carried from the initial testing (CoQ-PP-2025-0004) — in-house CoA only — not an eCoA or an iCoA: a value no certificate of analysis certifies cannot be on a release certificate (owner's rule, 02.09.2026)</t>
        </is>
      </c>
      <c r="Q2196" s="256" t="inlineStr"/>
      <c r="R2196" s="256" t="inlineStr"/>
    </row>
    <row r="2197">
      <c r="A2197" s="256" t="inlineStr">
        <is>
          <t>CoQ-PP_26-096</t>
        </is>
      </c>
      <c r="B2197" s="256" t="inlineStr">
        <is>
          <t>reissue — retest</t>
        </is>
      </c>
      <c r="C2197" s="256" t="inlineStr">
        <is>
          <t>HPA1024</t>
        </is>
      </c>
      <c r="D2197" s="256" t="inlineStr">
        <is>
          <t>HPA1024</t>
        </is>
      </c>
      <c r="E2197" s="256" t="inlineStr">
        <is>
          <t>High Pro Amnesia</t>
        </is>
      </c>
      <c r="F2197" s="256" t="inlineStr">
        <is>
          <t>17.08.2026</t>
        </is>
      </c>
      <c r="G2197" s="256" t="inlineStr">
        <is>
          <t>9.3</t>
        </is>
      </c>
      <c r="H2197" s="256" t="inlineStr">
        <is>
          <t>Bile-tolerant gram-neg.</t>
        </is>
      </c>
      <c r="I2197" s="256" t="inlineStr">
        <is>
          <t>Ph. Eur. 2.6.31 cat. C</t>
        </is>
      </c>
      <c r="J2197" s="256" t="inlineStr">
        <is>
          <t>≤ 10⁴ CFU/g</t>
        </is>
      </c>
      <c r="K2197" s="256" t="inlineStr">
        <is>
          <t>&lt; 10</t>
        </is>
      </c>
      <c r="L2197" s="256" t="inlineStr">
        <is>
          <t>iCoA-PP_26-005</t>
        </is>
      </c>
      <c r="M2197" s="256" t="inlineStr">
        <is>
          <t>03.06.2026</t>
        </is>
      </c>
      <c r="N2197" s="256" t="inlineStr">
        <is>
          <t>Purely Plant GmbH (in-house)</t>
        </is>
      </c>
      <c r="O2197" s="256" t="inlineStr">
        <is>
          <t>—</t>
        </is>
      </c>
      <c r="P2197" s="256" t="inlineStr">
        <is>
          <t>carried from the initial testing (CoQ-PP-2025-0004) — in-house CoA only — not an eCoA or an iCoA: a value no certificate of analysis certifies cannot be on a release certificate (owner's rule, 02.09.2026)</t>
        </is>
      </c>
      <c r="Q2197" s="256" t="inlineStr"/>
      <c r="R2197" s="256" t="inlineStr"/>
    </row>
    <row r="2198">
      <c r="A2198" s="256" t="inlineStr">
        <is>
          <t>CoQ-PP_26-096</t>
        </is>
      </c>
      <c r="B2198" s="256" t="inlineStr">
        <is>
          <t>reissue — retest</t>
        </is>
      </c>
      <c r="C2198" s="256" t="inlineStr">
        <is>
          <t>HPA1024</t>
        </is>
      </c>
      <c r="D2198" s="256" t="inlineStr">
        <is>
          <t>HPA1024</t>
        </is>
      </c>
      <c r="E2198" s="256" t="inlineStr">
        <is>
          <t>High Pro Amnesia</t>
        </is>
      </c>
      <c r="F2198" s="256" t="inlineStr">
        <is>
          <t>17.08.2026</t>
        </is>
      </c>
      <c r="G2198" s="256" t="inlineStr">
        <is>
          <t>9.4</t>
        </is>
      </c>
      <c r="H2198" s="256" t="inlineStr">
        <is>
          <t>Salmonella</t>
        </is>
      </c>
      <c r="I2198" s="256" t="inlineStr">
        <is>
          <t>Ph. Eur. 2.6.31 cat. C</t>
        </is>
      </c>
      <c r="J2198" s="256" t="inlineStr">
        <is>
          <t>Absence | Отсуство / 25 g</t>
        </is>
      </c>
      <c r="K2198" s="256" t="inlineStr">
        <is>
          <t>Absent | Отсутна</t>
        </is>
      </c>
      <c r="L2198" s="256" t="inlineStr">
        <is>
          <t>iCoA-PP_26-005</t>
        </is>
      </c>
      <c r="M2198" s="256" t="inlineStr">
        <is>
          <t>03.06.2026</t>
        </is>
      </c>
      <c r="N2198" s="256" t="inlineStr">
        <is>
          <t>Purely Plant GmbH (in-house)</t>
        </is>
      </c>
      <c r="O2198" s="256" t="inlineStr">
        <is>
          <t>—</t>
        </is>
      </c>
      <c r="P2198" s="256" t="inlineStr">
        <is>
          <t>carried from the initial testing (CoQ-PP-2025-0004) — in-house CoA only — not an eCoA or an iCoA: a value no certificate of analysis certifies cannot be on a release certificate (owner's rule, 02.09.2026)</t>
        </is>
      </c>
      <c r="Q2198" s="256" t="inlineStr"/>
      <c r="R2198" s="256" t="inlineStr"/>
    </row>
    <row r="2199">
      <c r="A2199" s="256" t="inlineStr">
        <is>
          <t>CoQ-PP_26-096</t>
        </is>
      </c>
      <c r="B2199" s="256" t="inlineStr">
        <is>
          <t>reissue — retest</t>
        </is>
      </c>
      <c r="C2199" s="256" t="inlineStr">
        <is>
          <t>HPA1024</t>
        </is>
      </c>
      <c r="D2199" s="256" t="inlineStr">
        <is>
          <t>HPA1024</t>
        </is>
      </c>
      <c r="E2199" s="256" t="inlineStr">
        <is>
          <t>High Pro Amnesia</t>
        </is>
      </c>
      <c r="F2199" s="256" t="inlineStr">
        <is>
          <t>17.08.2026</t>
        </is>
      </c>
      <c r="G2199" s="256" t="inlineStr">
        <is>
          <t>9.5</t>
        </is>
      </c>
      <c r="H2199" s="256" t="inlineStr">
        <is>
          <t>Escherichia coli</t>
        </is>
      </c>
      <c r="I2199" s="256" t="inlineStr">
        <is>
          <t>Ph. Eur. 2.6.13 cat. C</t>
        </is>
      </c>
      <c r="J2199" s="256" t="inlineStr">
        <is>
          <t>Absence | Отсуство / 1 g</t>
        </is>
      </c>
      <c r="K2199" s="256" t="inlineStr">
        <is>
          <t>Absent | Отсутна</t>
        </is>
      </c>
      <c r="L2199" s="256" t="inlineStr">
        <is>
          <t>iCoA-PP_26-005</t>
        </is>
      </c>
      <c r="M2199" s="256" t="inlineStr">
        <is>
          <t>03.06.2026</t>
        </is>
      </c>
      <c r="N2199" s="256" t="inlineStr">
        <is>
          <t>Purely Plant GmbH (in-house)</t>
        </is>
      </c>
      <c r="O2199" s="256" t="inlineStr">
        <is>
          <t>—</t>
        </is>
      </c>
      <c r="P2199" s="256" t="inlineStr">
        <is>
          <t>carried from the initial testing (CoQ-PP-2025-0004) — in-house CoA only — not an eCoA or an iCoA: a value no certificate of analysis certifies cannot be on a release certificate (owner's rule, 02.09.2026)</t>
        </is>
      </c>
      <c r="Q2199" s="256" t="inlineStr"/>
      <c r="R2199" s="256" t="inlineStr"/>
    </row>
    <row r="2200">
      <c r="A2200" s="256" t="inlineStr">
        <is>
          <t>CoQ-PP_26-096</t>
        </is>
      </c>
      <c r="B2200" s="256" t="inlineStr">
        <is>
          <t>reissue — retest</t>
        </is>
      </c>
      <c r="C2200" s="256" t="inlineStr">
        <is>
          <t>HPA1024</t>
        </is>
      </c>
      <c r="D2200" s="256" t="inlineStr">
        <is>
          <t>HPA1024</t>
        </is>
      </c>
      <c r="E2200" s="256" t="inlineStr">
        <is>
          <t>High Pro Amnesia</t>
        </is>
      </c>
      <c r="F2200" s="256" t="inlineStr">
        <is>
          <t>17.08.2026</t>
        </is>
      </c>
      <c r="G2200" s="256" t="inlineStr">
        <is>
          <t>9.6</t>
        </is>
      </c>
      <c r="H2200" s="256" t="inlineStr">
        <is>
          <t>Pseudomonas aeruginosa</t>
        </is>
      </c>
      <c r="I2200" s="256" t="inlineStr">
        <is>
          <t>Ph. Eur. 2.6.13 cat. C</t>
        </is>
      </c>
      <c r="J2200" s="256" t="inlineStr">
        <is>
          <t>Absence | Отсуство / 1 g</t>
        </is>
      </c>
      <c r="K2200" s="260" t="inlineStr">
        <is>
          <t>upon request — not required for release</t>
        </is>
      </c>
      <c r="L2200" s="256" t="inlineStr">
        <is>
          <t>—</t>
        </is>
      </c>
      <c r="M2200" s="256" t="inlineStr">
        <is>
          <t>—</t>
        </is>
      </c>
      <c r="N2200" s="256" t="inlineStr">
        <is>
          <t>—</t>
        </is>
      </c>
      <c r="O2200" s="256" t="inlineStr">
        <is>
          <t>—</t>
        </is>
      </c>
      <c r="P2200" s="256" t="inlineStr">
        <is>
          <t>upon request — not required for release</t>
        </is>
      </c>
      <c r="Q2200" s="256" t="inlineStr"/>
      <c r="R2200" s="256" t="inlineStr"/>
    </row>
    <row r="2201">
      <c r="A2201" s="256" t="inlineStr">
        <is>
          <t>CoQ-PP_26-096</t>
        </is>
      </c>
      <c r="B2201" s="256" t="inlineStr">
        <is>
          <t>reissue — retest</t>
        </is>
      </c>
      <c r="C2201" s="256" t="inlineStr">
        <is>
          <t>HPA1024</t>
        </is>
      </c>
      <c r="D2201" s="256" t="inlineStr">
        <is>
          <t>HPA1024</t>
        </is>
      </c>
      <c r="E2201" s="256" t="inlineStr">
        <is>
          <t>High Pro Amnesia</t>
        </is>
      </c>
      <c r="F2201" s="256" t="inlineStr">
        <is>
          <t>17.08.2026</t>
        </is>
      </c>
      <c r="G2201" s="256" t="inlineStr">
        <is>
          <t>9.7</t>
        </is>
      </c>
      <c r="H2201" s="256" t="inlineStr">
        <is>
          <t>Staphylococcus aureus</t>
        </is>
      </c>
      <c r="I2201" s="256" t="inlineStr">
        <is>
          <t>Ph. Eur. 2.6.13 cat. C</t>
        </is>
      </c>
      <c r="J2201" s="256" t="inlineStr">
        <is>
          <t>Absence | Отсуство / 1 g</t>
        </is>
      </c>
      <c r="K2201" s="260" t="inlineStr">
        <is>
          <t>upon request — not required for release</t>
        </is>
      </c>
      <c r="L2201" s="256" t="inlineStr">
        <is>
          <t>—</t>
        </is>
      </c>
      <c r="M2201" s="256" t="inlineStr">
        <is>
          <t>—</t>
        </is>
      </c>
      <c r="N2201" s="256" t="inlineStr">
        <is>
          <t>—</t>
        </is>
      </c>
      <c r="O2201" s="256" t="inlineStr">
        <is>
          <t>—</t>
        </is>
      </c>
      <c r="P2201" s="256" t="inlineStr">
        <is>
          <t>upon request — not required for release</t>
        </is>
      </c>
      <c r="Q2201" s="256" t="inlineStr"/>
      <c r="R2201" s="256" t="inlineStr"/>
    </row>
    <row r="2202">
      <c r="A2202" s="256" t="inlineStr">
        <is>
          <t>CoQ-PP_26-096</t>
        </is>
      </c>
      <c r="B2202" s="256" t="inlineStr">
        <is>
          <t>reissue — retest</t>
        </is>
      </c>
      <c r="C2202" s="256" t="inlineStr">
        <is>
          <t>HPA1024</t>
        </is>
      </c>
      <c r="D2202" s="256" t="inlineStr">
        <is>
          <t>HPA1024</t>
        </is>
      </c>
      <c r="E2202" s="256" t="inlineStr">
        <is>
          <t>High Pro Amnesia</t>
        </is>
      </c>
      <c r="F2202" s="256" t="inlineStr">
        <is>
          <t>17.08.2026</t>
        </is>
      </c>
      <c r="G2202" s="256" t="inlineStr">
        <is>
          <t>10.1</t>
        </is>
      </c>
      <c r="H2202" s="256" t="inlineStr">
        <is>
          <t>Aflatoxin B₁</t>
        </is>
      </c>
      <c r="I2202" s="256" t="inlineStr">
        <is>
          <t>Ph. Eur. 2.8.18 (HPLC-FLD)</t>
        </is>
      </c>
      <c r="J2202" s="256" t="inlineStr">
        <is>
          <t>≤ 2 µg/kg</t>
        </is>
      </c>
      <c r="K2202" s="256" t="inlineStr">
        <is>
          <t>ND</t>
        </is>
      </c>
      <c r="L2202" s="256" t="inlineStr">
        <is>
          <t>197-13-М/26</t>
        </is>
      </c>
      <c r="M2202" s="256" t="inlineStr">
        <is>
          <t>10.08.2026</t>
        </is>
      </c>
      <c r="N2202" s="256" t="inlineStr">
        <is>
          <t>Farmahem</t>
        </is>
      </c>
      <c r="O2202" s="256" t="inlineStr">
        <is>
          <t>29.07.2026</t>
        </is>
      </c>
      <c r="P2202" s="256" t="inlineStr">
        <is>
          <t>covered</t>
        </is>
      </c>
      <c r="Q2202" s="256" t="inlineStr"/>
      <c r="R2202" s="256" t="inlineStr"/>
    </row>
    <row r="2203">
      <c r="A2203" s="256" t="inlineStr">
        <is>
          <t>CoQ-PP_26-096</t>
        </is>
      </c>
      <c r="B2203" s="256" t="inlineStr">
        <is>
          <t>reissue — retest</t>
        </is>
      </c>
      <c r="C2203" s="256" t="inlineStr">
        <is>
          <t>HPA1024</t>
        </is>
      </c>
      <c r="D2203" s="256" t="inlineStr">
        <is>
          <t>HPA1024</t>
        </is>
      </c>
      <c r="E2203" s="256" t="inlineStr">
        <is>
          <t>High Pro Amnesia</t>
        </is>
      </c>
      <c r="F2203" s="256" t="inlineStr">
        <is>
          <t>17.08.2026</t>
        </is>
      </c>
      <c r="G2203" s="256" t="inlineStr">
        <is>
          <t>10.2</t>
        </is>
      </c>
      <c r="H2203" s="256" t="inlineStr">
        <is>
          <t>Aflatoxins ∑</t>
        </is>
      </c>
      <c r="I2203" s="256" t="inlineStr">
        <is>
          <t>Ph. Eur. 2.8.18 (HPLC-FLD)</t>
        </is>
      </c>
      <c r="J2203" s="256" t="inlineStr">
        <is>
          <t>≤ 4 µg/kg</t>
        </is>
      </c>
      <c r="K2203" s="256" t="inlineStr">
        <is>
          <t>ND</t>
        </is>
      </c>
      <c r="L2203" s="256" t="inlineStr">
        <is>
          <t>197-13-М/26</t>
        </is>
      </c>
      <c r="M2203" s="256" t="inlineStr">
        <is>
          <t>10.08.2026</t>
        </is>
      </c>
      <c r="N2203" s="256" t="inlineStr">
        <is>
          <t>Farmahem</t>
        </is>
      </c>
      <c r="O2203" s="256" t="inlineStr">
        <is>
          <t>29.07.2026</t>
        </is>
      </c>
      <c r="P2203" s="256" t="inlineStr">
        <is>
          <t>covered</t>
        </is>
      </c>
      <c r="Q2203" s="256" t="inlineStr"/>
      <c r="R2203" s="256" t="inlineStr"/>
    </row>
    <row r="2204">
      <c r="A2204" s="256" t="inlineStr">
        <is>
          <t>CoQ-PP_26-096</t>
        </is>
      </c>
      <c r="B2204" s="256" t="inlineStr">
        <is>
          <t>reissue — retest</t>
        </is>
      </c>
      <c r="C2204" s="256" t="inlineStr">
        <is>
          <t>HPA1024</t>
        </is>
      </c>
      <c r="D2204" s="256" t="inlineStr">
        <is>
          <t>HPA1024</t>
        </is>
      </c>
      <c r="E2204" s="256" t="inlineStr">
        <is>
          <t>High Pro Amnesia</t>
        </is>
      </c>
      <c r="F2204" s="256" t="inlineStr">
        <is>
          <t>17.08.2026</t>
        </is>
      </c>
      <c r="G2204" s="256" t="inlineStr">
        <is>
          <t>10.3</t>
        </is>
      </c>
      <c r="H2204" s="256" t="inlineStr">
        <is>
          <t>Ochratoxin A</t>
        </is>
      </c>
      <c r="I2204" s="256" t="inlineStr">
        <is>
          <t>Ph. Eur. 2.8.22 (HPLC-FLD)</t>
        </is>
      </c>
      <c r="J2204" s="256" t="inlineStr">
        <is>
          <t>≤ 20 µg/kg</t>
        </is>
      </c>
      <c r="K2204" s="256" t="inlineStr">
        <is>
          <t>&lt; LOQ</t>
        </is>
      </c>
      <c r="L2204" s="256" t="inlineStr">
        <is>
          <t>197-13-М/26</t>
        </is>
      </c>
      <c r="M2204" s="256" t="inlineStr">
        <is>
          <t>10.08.2026</t>
        </is>
      </c>
      <c r="N2204" s="256" t="inlineStr">
        <is>
          <t>Farmahem</t>
        </is>
      </c>
      <c r="O2204" s="256" t="inlineStr">
        <is>
          <t>29.07.2026</t>
        </is>
      </c>
      <c r="P2204" s="256" t="inlineStr">
        <is>
          <t>covered</t>
        </is>
      </c>
      <c r="Q2204" s="256" t="inlineStr"/>
      <c r="R2204" s="256" t="inlineStr"/>
    </row>
    <row r="2205">
      <c r="A2205" s="256" t="inlineStr">
        <is>
          <t>CoQ-PP_26-096</t>
        </is>
      </c>
      <c r="B2205" s="256" t="inlineStr">
        <is>
          <t>reissue — retest</t>
        </is>
      </c>
      <c r="C2205" s="256" t="inlineStr">
        <is>
          <t>HPA1024</t>
        </is>
      </c>
      <c r="D2205" s="256" t="inlineStr">
        <is>
          <t>HPA1024</t>
        </is>
      </c>
      <c r="E2205" s="256" t="inlineStr">
        <is>
          <t>High Pro Amnesia</t>
        </is>
      </c>
      <c r="F2205" s="256" t="inlineStr">
        <is>
          <t>17.08.2026</t>
        </is>
      </c>
      <c r="G2205" s="256" t="inlineStr">
        <is>
          <t>11.1</t>
        </is>
      </c>
      <c r="H2205" s="256" t="inlineStr">
        <is>
          <t>Lead (Pb)</t>
        </is>
      </c>
      <c r="I2205" s="256" t="inlineStr">
        <is>
          <t>Ph. Eur. 2.4.27 (ICP-MS)</t>
        </is>
      </c>
      <c r="J2205" s="256" t="inlineStr">
        <is>
          <t>≤ 0.5 mg/kg</t>
        </is>
      </c>
      <c r="K2205" s="256" t="inlineStr">
        <is>
          <t>0.02</t>
        </is>
      </c>
      <c r="L2205" s="256" t="inlineStr">
        <is>
          <t>iCoA-PP_26-005</t>
        </is>
      </c>
      <c r="M2205" s="256" t="inlineStr">
        <is>
          <t>03.06.2026</t>
        </is>
      </c>
      <c r="N2205" s="256" t="inlineStr">
        <is>
          <t>Purely Plant GmbH (in-house)</t>
        </is>
      </c>
      <c r="O2205" s="256" t="inlineStr">
        <is>
          <t>—</t>
        </is>
      </c>
      <c r="P2205" s="256" t="inlineStr">
        <is>
          <t>carried from the initial testing (CoQ-PP-2025-0004) — in-house CoA only — not an eCoA or an iCoA: a value no certificate of analysis certifies cannot be on a release certificate (owner's rule, 02.09.2026)</t>
        </is>
      </c>
      <c r="Q2205" s="256" t="inlineStr"/>
      <c r="R2205" s="256" t="inlineStr"/>
    </row>
    <row r="2206">
      <c r="A2206" s="256" t="inlineStr">
        <is>
          <t>CoQ-PP_26-096</t>
        </is>
      </c>
      <c r="B2206" s="256" t="inlineStr">
        <is>
          <t>reissue — retest</t>
        </is>
      </c>
      <c r="C2206" s="256" t="inlineStr">
        <is>
          <t>HPA1024</t>
        </is>
      </c>
      <c r="D2206" s="256" t="inlineStr">
        <is>
          <t>HPA1024</t>
        </is>
      </c>
      <c r="E2206" s="256" t="inlineStr">
        <is>
          <t>High Pro Amnesia</t>
        </is>
      </c>
      <c r="F2206" s="256" t="inlineStr">
        <is>
          <t>17.08.2026</t>
        </is>
      </c>
      <c r="G2206" s="256" t="inlineStr">
        <is>
          <t>11.2</t>
        </is>
      </c>
      <c r="H2206" s="256" t="inlineStr">
        <is>
          <t>Cadmium (Cd)</t>
        </is>
      </c>
      <c r="I2206" s="256" t="inlineStr">
        <is>
          <t>Ph. Eur. 2.4.27 (ICP-MS)</t>
        </is>
      </c>
      <c r="J2206" s="256" t="inlineStr">
        <is>
          <t>≤ 0.3 mg/kg</t>
        </is>
      </c>
      <c r="K2206" s="256" t="inlineStr">
        <is>
          <t>0.013</t>
        </is>
      </c>
      <c r="L2206" s="256" t="inlineStr">
        <is>
          <t>iCoA-PP_26-005</t>
        </is>
      </c>
      <c r="M2206" s="256" t="inlineStr">
        <is>
          <t>03.06.2026</t>
        </is>
      </c>
      <c r="N2206" s="256" t="inlineStr">
        <is>
          <t>Purely Plant GmbH (in-house)</t>
        </is>
      </c>
      <c r="O2206" s="256" t="inlineStr">
        <is>
          <t>—</t>
        </is>
      </c>
      <c r="P2206" s="256" t="inlineStr">
        <is>
          <t>carried from the initial testing (CoQ-PP-2025-0004) — in-house CoA only — not an eCoA or an iCoA: a value no certificate of analysis certifies cannot be on a release certificate (owner's rule, 02.09.2026)</t>
        </is>
      </c>
      <c r="Q2206" s="256" t="inlineStr"/>
      <c r="R2206" s="256" t="inlineStr"/>
    </row>
    <row r="2207">
      <c r="A2207" s="256" t="inlineStr">
        <is>
          <t>CoQ-PP_26-096</t>
        </is>
      </c>
      <c r="B2207" s="256" t="inlineStr">
        <is>
          <t>reissue — retest</t>
        </is>
      </c>
      <c r="C2207" s="256" t="inlineStr">
        <is>
          <t>HPA1024</t>
        </is>
      </c>
      <c r="D2207" s="256" t="inlineStr">
        <is>
          <t>HPA1024</t>
        </is>
      </c>
      <c r="E2207" s="256" t="inlineStr">
        <is>
          <t>High Pro Amnesia</t>
        </is>
      </c>
      <c r="F2207" s="256" t="inlineStr">
        <is>
          <t>17.08.2026</t>
        </is>
      </c>
      <c r="G2207" s="256" t="inlineStr">
        <is>
          <t>11.3</t>
        </is>
      </c>
      <c r="H2207" s="256" t="inlineStr">
        <is>
          <t>Arsenic (As)</t>
        </is>
      </c>
      <c r="I2207" s="256" t="inlineStr">
        <is>
          <t>Ph. Eur. 2.4.27 (ICP-MS)</t>
        </is>
      </c>
      <c r="J2207" s="256" t="inlineStr">
        <is>
          <t>≤ 0.2 mg/kg</t>
        </is>
      </c>
      <c r="K2207" s="256" t="inlineStr">
        <is>
          <t>0.017</t>
        </is>
      </c>
      <c r="L2207" s="256" t="inlineStr">
        <is>
          <t>iCoA-PP_26-005</t>
        </is>
      </c>
      <c r="M2207" s="256" t="inlineStr">
        <is>
          <t>03.06.2026</t>
        </is>
      </c>
      <c r="N2207" s="256" t="inlineStr">
        <is>
          <t>Purely Plant GmbH (in-house)</t>
        </is>
      </c>
      <c r="O2207" s="256" t="inlineStr">
        <is>
          <t>—</t>
        </is>
      </c>
      <c r="P2207" s="256" t="inlineStr">
        <is>
          <t>carried from the initial testing (CoQ-PP-2025-0004) — in-house CoA only — not an eCoA or an iCoA: a value no certificate of analysis certifies cannot be on a release certificate (owner's rule, 02.09.2026)</t>
        </is>
      </c>
      <c r="Q2207" s="256" t="inlineStr"/>
      <c r="R2207" s="256" t="inlineStr"/>
    </row>
    <row r="2208">
      <c r="A2208" s="256" t="inlineStr">
        <is>
          <t>CoQ-PP_26-096</t>
        </is>
      </c>
      <c r="B2208" s="256" t="inlineStr">
        <is>
          <t>reissue — retest</t>
        </is>
      </c>
      <c r="C2208" s="256" t="inlineStr">
        <is>
          <t>HPA1024</t>
        </is>
      </c>
      <c r="D2208" s="256" t="inlineStr">
        <is>
          <t>HPA1024</t>
        </is>
      </c>
      <c r="E2208" s="256" t="inlineStr">
        <is>
          <t>High Pro Amnesia</t>
        </is>
      </c>
      <c r="F2208" s="256" t="inlineStr">
        <is>
          <t>17.08.2026</t>
        </is>
      </c>
      <c r="G2208" s="256" t="inlineStr">
        <is>
          <t>11.4</t>
        </is>
      </c>
      <c r="H2208" s="256" t="inlineStr">
        <is>
          <t>Mercury (Hg)</t>
        </is>
      </c>
      <c r="I2208" s="256" t="inlineStr">
        <is>
          <t>Ph. Eur. 2.4.27 (ICP-MS)</t>
        </is>
      </c>
      <c r="J2208" s="256" t="inlineStr">
        <is>
          <t>≤ 0.1 mg/kg</t>
        </is>
      </c>
      <c r="K2208" s="256" t="inlineStr">
        <is>
          <t>0.0026</t>
        </is>
      </c>
      <c r="L2208" s="256" t="inlineStr">
        <is>
          <t>iCoA-PP_26-005</t>
        </is>
      </c>
      <c r="M2208" s="256" t="inlineStr">
        <is>
          <t>03.06.2026</t>
        </is>
      </c>
      <c r="N2208" s="256" t="inlineStr">
        <is>
          <t>Purely Plant GmbH (in-house)</t>
        </is>
      </c>
      <c r="O2208" s="256" t="inlineStr">
        <is>
          <t>—</t>
        </is>
      </c>
      <c r="P2208" s="256" t="inlineStr">
        <is>
          <t>carried from the initial testing (CoQ-PP-2025-0004) — in-house CoA only — not an eCoA or an iCoA: a value no certificate of analysis certifies cannot be on a release certificate (owner's rule, 02.09.2026)</t>
        </is>
      </c>
      <c r="Q2208" s="256" t="inlineStr"/>
      <c r="R2208" s="256" t="inlineStr"/>
    </row>
    <row r="2209">
      <c r="A2209" s="256" t="inlineStr">
        <is>
          <t>CoQ-PP_26-096</t>
        </is>
      </c>
      <c r="B2209" s="256" t="inlineStr">
        <is>
          <t>reissue — retest</t>
        </is>
      </c>
      <c r="C2209" s="256" t="inlineStr">
        <is>
          <t>HPA1024</t>
        </is>
      </c>
      <c r="D2209" s="256" t="inlineStr">
        <is>
          <t>HPA1024</t>
        </is>
      </c>
      <c r="E2209" s="256" t="inlineStr">
        <is>
          <t>High Pro Amnesia</t>
        </is>
      </c>
      <c r="F2209" s="256" t="inlineStr">
        <is>
          <t>17.08.2026</t>
        </is>
      </c>
      <c r="G2209" s="256" t="inlineStr">
        <is>
          <t>12</t>
        </is>
      </c>
      <c r="H2209" s="256" t="inlineStr">
        <is>
          <t>Pesticide Residues</t>
        </is>
      </c>
      <c r="I2209" s="256" t="inlineStr">
        <is>
          <t>Ph. Eur. 2.8.13 (LC-MS/MS) · CUMCS Equivalency</t>
        </is>
      </c>
      <c r="J2209" s="256" t="inlineStr">
        <is>
          <t>≤ LOQ as per Ph. Eur. 2.8.13 · ≤ LOQ as per CUMCS Equivalency</t>
        </is>
      </c>
      <c r="K2209" s="256" t="inlineStr">
        <is>
          <t>ND</t>
        </is>
      </c>
      <c r="L2209" s="256" t="inlineStr">
        <is>
          <t>iCoA-PP_26-005</t>
        </is>
      </c>
      <c r="M2209" s="256" t="inlineStr">
        <is>
          <t>03.06.2026</t>
        </is>
      </c>
      <c r="N2209" s="256" t="inlineStr">
        <is>
          <t>Purely Plant GmbH (in-house)</t>
        </is>
      </c>
      <c r="O2209" s="256" t="inlineStr">
        <is>
          <t>—</t>
        </is>
      </c>
      <c r="P2209" s="256" t="inlineStr">
        <is>
          <t>carried from the initial testing (CoQ-PP-2025-0004) — in-house CoA only — not an eCoA or an iCoA: a value no certificate of analysis certifies cannot be on a release certificate (owner's rule, 02.09.2026)</t>
        </is>
      </c>
      <c r="Q2209" s="256" t="inlineStr"/>
      <c r="R2209" s="256" t="inlineStr"/>
    </row>
    <row r="2210">
      <c r="A2210" s="256" t="inlineStr">
        <is>
          <t>CoQ-PP_26-097</t>
        </is>
      </c>
      <c r="B2210" s="256" t="inlineStr">
        <is>
          <t>reissue — retest</t>
        </is>
      </c>
      <c r="C2210" s="256" t="inlineStr">
        <is>
          <t>HPA1024_01</t>
        </is>
      </c>
      <c r="D2210" s="256" t="inlineStr">
        <is>
          <t>P050052</t>
        </is>
      </c>
      <c r="E2210" s="256" t="inlineStr">
        <is>
          <t>High Pro Amnesia</t>
        </is>
      </c>
      <c r="F2210" s="256" t="inlineStr">
        <is>
          <t>17.08.2026</t>
        </is>
      </c>
      <c r="G2210" s="256" t="inlineStr">
        <is>
          <t>1</t>
        </is>
      </c>
      <c r="H2210" s="256" t="inlineStr">
        <is>
          <t>Identification A, Appearance · Macroscopic</t>
        </is>
      </c>
      <c r="I2210" s="256" t="inlineStr">
        <is>
          <t>Ph. Eur. mon. 3028</t>
        </is>
      </c>
      <c r="J2210" s="256" t="inlineStr">
        <is>
          <t>Conforms to the monograph for Cannabis flos (07/2024:3028) in Ph. Eur. 11.0 | Согласно монографија за Cannabis flos (07/2024:3028) во Ph. Eur. 11.0</t>
        </is>
      </c>
      <c r="K2210" s="256" t="inlineStr">
        <is>
          <t>Conforms | Одговара</t>
        </is>
      </c>
      <c r="L2210" s="256" t="inlineStr">
        <is>
          <t>iCoA-PP_26-113</t>
        </is>
      </c>
      <c r="M2210" s="256" t="inlineStr">
        <is>
          <t>27.07.2026</t>
        </is>
      </c>
      <c r="N2210" s="256" t="inlineStr">
        <is>
          <t>Purely Plant GmbH (in-house)</t>
        </is>
      </c>
      <c r="O2210" s="256" t="inlineStr">
        <is>
          <t>—</t>
        </is>
      </c>
      <c r="P2210" s="256" t="inlineStr">
        <is>
          <t>covered</t>
        </is>
      </c>
      <c r="Q2210" s="256" t="inlineStr">
        <is>
          <t>Farmahem — Ident A + B + C with the Assay, at retest</t>
        </is>
      </c>
      <c r="R2210" s="256" t="inlineStr"/>
    </row>
    <row r="2211">
      <c r="A2211" s="256" t="inlineStr">
        <is>
          <t>CoQ-PP_26-097</t>
        </is>
      </c>
      <c r="B2211" s="256" t="inlineStr">
        <is>
          <t>reissue — retest</t>
        </is>
      </c>
      <c r="C2211" s="256" t="inlineStr">
        <is>
          <t>HPA1024_01</t>
        </is>
      </c>
      <c r="D2211" s="256" t="inlineStr">
        <is>
          <t>P050052</t>
        </is>
      </c>
      <c r="E2211" s="256" t="inlineStr">
        <is>
          <t>High Pro Amnesia</t>
        </is>
      </c>
      <c r="F2211" s="256" t="inlineStr">
        <is>
          <t>17.08.2026</t>
        </is>
      </c>
      <c r="G2211" s="256" t="inlineStr">
        <is>
          <t>2</t>
        </is>
      </c>
      <c r="H2211" s="256" t="inlineStr">
        <is>
          <t>Identification B · Microscopic</t>
        </is>
      </c>
      <c r="I2211" s="256" t="inlineStr">
        <is>
          <t>Ph. Eur. 2.8.23 (microscopy)</t>
        </is>
      </c>
      <c r="J2211" s="256" t="inlineStr">
        <is>
          <t>Conforms to the monograph for Cannabis flos (07/2024:3028) in Ph. Eur. 11.0 | Согласно монографија за Cannabis flos (07/2024:3028) во Ph. Eur. 11.0</t>
        </is>
      </c>
      <c r="K2211" s="256" t="inlineStr">
        <is>
          <t>Conforms | Одговара</t>
        </is>
      </c>
      <c r="L2211" s="256" t="inlineStr">
        <is>
          <t>iCoA-PP_26-113</t>
        </is>
      </c>
      <c r="M2211" s="256" t="inlineStr">
        <is>
          <t>27.07.2026</t>
        </is>
      </c>
      <c r="N2211" s="256" t="inlineStr">
        <is>
          <t>Purely Plant GmbH (in-house)</t>
        </is>
      </c>
      <c r="O2211" s="256" t="inlineStr">
        <is>
          <t>—</t>
        </is>
      </c>
      <c r="P2211" s="256" t="inlineStr">
        <is>
          <t>covered</t>
        </is>
      </c>
      <c r="Q2211" s="256" t="inlineStr">
        <is>
          <t>Farmahem — Ident A + B + C with the Assay, at retest</t>
        </is>
      </c>
      <c r="R2211" s="256" t="inlineStr"/>
    </row>
    <row r="2212">
      <c r="A2212" s="256" t="inlineStr">
        <is>
          <t>CoQ-PP_26-097</t>
        </is>
      </c>
      <c r="B2212" s="256" t="inlineStr">
        <is>
          <t>reissue — retest</t>
        </is>
      </c>
      <c r="C2212" s="256" t="inlineStr">
        <is>
          <t>HPA1024_01</t>
        </is>
      </c>
      <c r="D2212" s="256" t="inlineStr">
        <is>
          <t>P050052</t>
        </is>
      </c>
      <c r="E2212" s="256" t="inlineStr">
        <is>
          <t>High Pro Amnesia</t>
        </is>
      </c>
      <c r="F2212" s="256" t="inlineStr">
        <is>
          <t>17.08.2026</t>
        </is>
      </c>
      <c r="G2212" s="256" t="inlineStr">
        <is>
          <t>3</t>
        </is>
      </c>
      <c r="H2212" s="256" t="inlineStr">
        <is>
          <t>Identification C · HPLC/HPTLC</t>
        </is>
      </c>
      <c r="I2212" s="256" t="inlineStr">
        <is>
          <t>Ph. Eur. 2.2.29 (3028)</t>
        </is>
      </c>
      <c r="J2212" s="256" t="inlineStr">
        <is>
          <t>Conforms to the monograph for Cannabis flos (07/2024:3028) in Ph. Eur. 11.0 | Согласно монографија за Cannabis flos (07/2024:3028) во Ph. Eur. 11.0</t>
        </is>
      </c>
      <c r="K2212" s="256" t="inlineStr">
        <is>
          <t>Conforms | Одговара</t>
        </is>
      </c>
      <c r="L2212" s="256" t="inlineStr">
        <is>
          <t>197-14-К/26</t>
        </is>
      </c>
      <c r="M2212" s="256" t="inlineStr">
        <is>
          <t>07.08.2026</t>
        </is>
      </c>
      <c r="N2212" s="256" t="inlineStr">
        <is>
          <t>Farmahem</t>
        </is>
      </c>
      <c r="O2212" s="256" t="inlineStr">
        <is>
          <t>27.07.2026</t>
        </is>
      </c>
      <c r="P2212" s="256" t="inlineStr">
        <is>
          <t>covered</t>
        </is>
      </c>
      <c r="Q2212" s="256" t="inlineStr"/>
      <c r="R2212" s="256" t="inlineStr"/>
    </row>
    <row r="2213">
      <c r="A2213" s="256" t="inlineStr">
        <is>
          <t>CoQ-PP_26-097</t>
        </is>
      </c>
      <c r="B2213" s="256" t="inlineStr">
        <is>
          <t>reissue — retest</t>
        </is>
      </c>
      <c r="C2213" s="256" t="inlineStr">
        <is>
          <t>HPA1024_01</t>
        </is>
      </c>
      <c r="D2213" s="256" t="inlineStr">
        <is>
          <t>P050052</t>
        </is>
      </c>
      <c r="E2213" s="256" t="inlineStr">
        <is>
          <t>High Pro Amnesia</t>
        </is>
      </c>
      <c r="F2213" s="256" t="inlineStr">
        <is>
          <t>17.08.2026</t>
        </is>
      </c>
      <c r="G2213" s="256" t="inlineStr">
        <is>
          <t>4</t>
        </is>
      </c>
      <c r="H2213" s="256" t="inlineStr">
        <is>
          <t>Assay — Total Δ⁹-THC</t>
        </is>
      </c>
      <c r="I2213" s="256" t="inlineStr">
        <is>
          <t>Ph. Eur. 2.2.29 (HPLC)</t>
        </is>
      </c>
      <c r="J2213" s="256" t="inlineStr">
        <is>
          <t>19.80 – 24.19 %  (grade I, nominal 22.00 ± 2.20)</t>
        </is>
      </c>
      <c r="K2213" s="256" t="inlineStr">
        <is>
          <t>21.61</t>
        </is>
      </c>
      <c r="L2213" s="256" t="inlineStr">
        <is>
          <t>197-14-К/26</t>
        </is>
      </c>
      <c r="M2213" s="256" t="inlineStr">
        <is>
          <t>07.08.2026</t>
        </is>
      </c>
      <c r="N2213" s="256" t="inlineStr">
        <is>
          <t>Farmahem</t>
        </is>
      </c>
      <c r="O2213" s="256" t="inlineStr">
        <is>
          <t>27.07.2026</t>
        </is>
      </c>
      <c r="P2213" s="256" t="inlineStr">
        <is>
          <t>covered</t>
        </is>
      </c>
      <c r="Q2213" s="256" t="inlineStr"/>
      <c r="R2213" s="256" t="inlineStr"/>
    </row>
    <row r="2214">
      <c r="A2214" s="256" t="inlineStr">
        <is>
          <t>CoQ-PP_26-097</t>
        </is>
      </c>
      <c r="B2214" s="256" t="inlineStr">
        <is>
          <t>reissue — retest</t>
        </is>
      </c>
      <c r="C2214" s="256" t="inlineStr">
        <is>
          <t>HPA1024_01</t>
        </is>
      </c>
      <c r="D2214" s="256" t="inlineStr">
        <is>
          <t>P050052</t>
        </is>
      </c>
      <c r="E2214" s="256" t="inlineStr">
        <is>
          <t>High Pro Amnesia</t>
        </is>
      </c>
      <c r="F2214" s="256" t="inlineStr">
        <is>
          <t>17.08.2026</t>
        </is>
      </c>
      <c r="G2214" s="256" t="inlineStr">
        <is>
          <t>5</t>
        </is>
      </c>
      <c r="H2214" s="256" t="inlineStr">
        <is>
          <t>Assay — Total CBD</t>
        </is>
      </c>
      <c r="I2214" s="256" t="inlineStr">
        <is>
          <t>Ph. Eur. 2.2.29 (HPLC) · CBD + CBDA x 0.877</t>
        </is>
      </c>
      <c r="J2214" s="256" t="inlineStr">
        <is>
          <t>≤ 1.0%, w/w</t>
        </is>
      </c>
      <c r="K2214" s="256" t="inlineStr">
        <is>
          <t>&lt; LOQ</t>
        </is>
      </c>
      <c r="L2214" s="256" t="inlineStr">
        <is>
          <t>197-14-К/26</t>
        </is>
      </c>
      <c r="M2214" s="256" t="inlineStr">
        <is>
          <t>07.08.2026</t>
        </is>
      </c>
      <c r="N2214" s="256" t="inlineStr">
        <is>
          <t>Farmahem</t>
        </is>
      </c>
      <c r="O2214" s="256" t="inlineStr">
        <is>
          <t>27.07.2026</t>
        </is>
      </c>
      <c r="P2214" s="256" t="inlineStr">
        <is>
          <t>covered</t>
        </is>
      </c>
      <c r="Q2214" s="256" t="inlineStr"/>
      <c r="R2214" s="256" t="inlineStr"/>
    </row>
    <row r="2215">
      <c r="A2215" s="256" t="inlineStr">
        <is>
          <t>CoQ-PP_26-097</t>
        </is>
      </c>
      <c r="B2215" s="256" t="inlineStr">
        <is>
          <t>reissue — retest</t>
        </is>
      </c>
      <c r="C2215" s="256" t="inlineStr">
        <is>
          <t>HPA1024_01</t>
        </is>
      </c>
      <c r="D2215" s="256" t="inlineStr">
        <is>
          <t>P050052</t>
        </is>
      </c>
      <c r="E2215" s="256" t="inlineStr">
        <is>
          <t>High Pro Amnesia</t>
        </is>
      </c>
      <c r="F2215" s="256" t="inlineStr">
        <is>
          <t>17.08.2026</t>
        </is>
      </c>
      <c r="G2215" s="256" t="inlineStr">
        <is>
          <t>6</t>
        </is>
      </c>
      <c r="H2215" s="256" t="inlineStr">
        <is>
          <t>Total CBN</t>
        </is>
      </c>
      <c r="I2215" s="256" t="inlineStr">
        <is>
          <t>Ph. Eur. 2.2.29 (HPLC) · CBN + CBNA x 0.876</t>
        </is>
      </c>
      <c r="J2215" s="256" t="inlineStr">
        <is>
          <t>≤ 1.0%, w/w</t>
        </is>
      </c>
      <c r="K2215" s="256" t="inlineStr">
        <is>
          <t>&lt; LOQ</t>
        </is>
      </c>
      <c r="L2215" s="256" t="inlineStr">
        <is>
          <t>197-14-К/26</t>
        </is>
      </c>
      <c r="M2215" s="256" t="inlineStr">
        <is>
          <t>07.08.2026</t>
        </is>
      </c>
      <c r="N2215" s="256" t="inlineStr">
        <is>
          <t>Farmahem</t>
        </is>
      </c>
      <c r="O2215" s="256" t="inlineStr">
        <is>
          <t>27.07.2026</t>
        </is>
      </c>
      <c r="P2215" s="256" t="inlineStr">
        <is>
          <t>covered</t>
        </is>
      </c>
      <c r="Q2215" s="256" t="inlineStr"/>
      <c r="R2215" s="256" t="inlineStr"/>
    </row>
    <row r="2216">
      <c r="A2216" s="256" t="inlineStr">
        <is>
          <t>CoQ-PP_26-097</t>
        </is>
      </c>
      <c r="B2216" s="256" t="inlineStr">
        <is>
          <t>reissue — retest</t>
        </is>
      </c>
      <c r="C2216" s="256" t="inlineStr">
        <is>
          <t>HPA1024_01</t>
        </is>
      </c>
      <c r="D2216" s="256" t="inlineStr">
        <is>
          <t>P050052</t>
        </is>
      </c>
      <c r="E2216" s="256" t="inlineStr">
        <is>
          <t>High Pro Amnesia</t>
        </is>
      </c>
      <c r="F2216" s="256" t="inlineStr">
        <is>
          <t>17.08.2026</t>
        </is>
      </c>
      <c r="G2216" s="256" t="inlineStr">
        <is>
          <t>7</t>
        </is>
      </c>
      <c r="H2216" s="256" t="inlineStr">
        <is>
          <t>Foreign Matter</t>
        </is>
      </c>
      <c r="I2216" s="256" t="inlineStr">
        <is>
          <t>Ph. Eur. 2.8.2 · In-house · интерна</t>
        </is>
      </c>
      <c r="J2216" s="256" t="inlineStr">
        <is>
          <t>≤ 2.0% / 25–50 g · &lt; 1 cm leaves | листови, no seeds | без семки</t>
        </is>
      </c>
      <c r="K2216" s="256" t="inlineStr">
        <is>
          <t>Conforms | Одговара</t>
        </is>
      </c>
      <c r="L2216" s="256" t="inlineStr">
        <is>
          <t>iCoA-PP_26-113</t>
        </is>
      </c>
      <c r="M2216" s="256" t="inlineStr">
        <is>
          <t>27.07.2026</t>
        </is>
      </c>
      <c r="N2216" s="256" t="inlineStr">
        <is>
          <t>Purely Plant GmbH (in-house)</t>
        </is>
      </c>
      <c r="O2216" s="256" t="inlineStr">
        <is>
          <t>—</t>
        </is>
      </c>
      <c r="P2216" s="256" t="inlineStr">
        <is>
          <t>covered</t>
        </is>
      </c>
      <c r="Q2216" s="256" t="inlineStr">
        <is>
          <t>Purely Plant laboratory — iCoA covering Foreign matter</t>
        </is>
      </c>
      <c r="R2216" s="256" t="inlineStr"/>
    </row>
    <row r="2217">
      <c r="A2217" s="256" t="inlineStr">
        <is>
          <t>CoQ-PP_26-097</t>
        </is>
      </c>
      <c r="B2217" s="256" t="inlineStr">
        <is>
          <t>reissue — retest</t>
        </is>
      </c>
      <c r="C2217" s="256" t="inlineStr">
        <is>
          <t>HPA1024_01</t>
        </is>
      </c>
      <c r="D2217" s="256" t="inlineStr">
        <is>
          <t>P050052</t>
        </is>
      </c>
      <c r="E2217" s="256" t="inlineStr">
        <is>
          <t>High Pro Amnesia</t>
        </is>
      </c>
      <c r="F2217" s="256" t="inlineStr">
        <is>
          <t>17.08.2026</t>
        </is>
      </c>
      <c r="G2217" s="256" t="inlineStr">
        <is>
          <t>8</t>
        </is>
      </c>
      <c r="H2217" s="256" t="inlineStr">
        <is>
          <t>Loss on Drying</t>
        </is>
      </c>
      <c r="I2217" s="256" t="inlineStr">
        <is>
          <t>DAB 2018 monograph Cannabis flos, 2.2.32 — loss on drying (CNP, before its Ph. Eur. 3028 accreditation)</t>
        </is>
      </c>
      <c r="J2217" s="256" t="inlineStr">
        <is>
          <t>≤ 12.0%</t>
        </is>
      </c>
      <c r="K2217" s="256" t="inlineStr">
        <is>
          <t>6.36</t>
        </is>
      </c>
      <c r="L2217" s="256" t="inlineStr">
        <is>
          <t>ППК25155</t>
        </is>
      </c>
      <c r="M2217" s="256" t="inlineStr">
        <is>
          <t>24.06.2025</t>
        </is>
      </c>
      <c r="N2217" s="256" t="inlineStr">
        <is>
          <t>UKIM Faculty of Pharmacy — Center for Natural Products</t>
        </is>
      </c>
      <c r="O2217" s="256" t="inlineStr">
        <is>
          <t>12.06.2025</t>
        </is>
      </c>
      <c r="P2217" s="256" t="inlineStr">
        <is>
          <t>carried from the initial testing (CoQ-PP-2025-0008) — covered</t>
        </is>
      </c>
      <c r="Q2217" s="256" t="inlineStr"/>
      <c r="R2217" s="256" t="inlineStr"/>
    </row>
    <row r="2218">
      <c r="A2218" s="256" t="inlineStr">
        <is>
          <t>CoQ-PP_26-097</t>
        </is>
      </c>
      <c r="B2218" s="256" t="inlineStr">
        <is>
          <t>reissue — retest</t>
        </is>
      </c>
      <c r="C2218" s="256" t="inlineStr">
        <is>
          <t>HPA1024_01</t>
        </is>
      </c>
      <c r="D2218" s="256" t="inlineStr">
        <is>
          <t>P050052</t>
        </is>
      </c>
      <c r="E2218" s="256" t="inlineStr">
        <is>
          <t>High Pro Amnesia</t>
        </is>
      </c>
      <c r="F2218" s="256" t="inlineStr">
        <is>
          <t>17.08.2026</t>
        </is>
      </c>
      <c r="G2218" s="256" t="inlineStr">
        <is>
          <t>9.1</t>
        </is>
      </c>
      <c r="H2218" s="256" t="inlineStr">
        <is>
          <t>TAMC</t>
        </is>
      </c>
      <c r="I2218" s="256" t="inlineStr">
        <is>
          <t>Ph. Eur. 2.6.12 cat. C</t>
        </is>
      </c>
      <c r="J2218" s="256" t="inlineStr">
        <is>
          <t>≤ 10⁵ CFU/g</t>
        </is>
      </c>
      <c r="K2218" s="256" t="inlineStr">
        <is>
          <t>9.6 × 10³</t>
        </is>
      </c>
      <c r="L2218" s="256" t="inlineStr">
        <is>
          <t>587/1066/25</t>
        </is>
      </c>
      <c r="M2218" s="256" t="inlineStr">
        <is>
          <t>18.06.2025</t>
        </is>
      </c>
      <c r="N2218" s="256" t="inlineStr">
        <is>
          <t>IPH — Institute of Public Health</t>
        </is>
      </c>
      <c r="O2218" s="256" t="inlineStr">
        <is>
          <t>13.06.2025</t>
        </is>
      </c>
      <c r="P2218" s="256" t="inlineStr">
        <is>
          <t>carried from the initial testing (CoQ-PP-2025-0008) — covered</t>
        </is>
      </c>
      <c r="Q2218" s="256" t="inlineStr"/>
      <c r="R2218" s="256" t="inlineStr"/>
    </row>
    <row r="2219">
      <c r="A2219" s="256" t="inlineStr">
        <is>
          <t>CoQ-PP_26-097</t>
        </is>
      </c>
      <c r="B2219" s="256" t="inlineStr">
        <is>
          <t>reissue — retest</t>
        </is>
      </c>
      <c r="C2219" s="256" t="inlineStr">
        <is>
          <t>HPA1024_01</t>
        </is>
      </c>
      <c r="D2219" s="256" t="inlineStr">
        <is>
          <t>P050052</t>
        </is>
      </c>
      <c r="E2219" s="256" t="inlineStr">
        <is>
          <t>High Pro Amnesia</t>
        </is>
      </c>
      <c r="F2219" s="256" t="inlineStr">
        <is>
          <t>17.08.2026</t>
        </is>
      </c>
      <c r="G2219" s="256" t="inlineStr">
        <is>
          <t>9.2</t>
        </is>
      </c>
      <c r="H2219" s="256" t="inlineStr">
        <is>
          <t>TYMC</t>
        </is>
      </c>
      <c r="I2219" s="256" t="inlineStr">
        <is>
          <t>Ph. Eur. 2.6.12 cat. C</t>
        </is>
      </c>
      <c r="J2219" s="256" t="inlineStr">
        <is>
          <t>≤ 10⁴ CFU/g</t>
        </is>
      </c>
      <c r="K2219" s="256" t="inlineStr">
        <is>
          <t>1.5 × 10⁴</t>
        </is>
      </c>
      <c r="L2219" s="256" t="inlineStr">
        <is>
          <t>587/1066/25</t>
        </is>
      </c>
      <c r="M2219" s="256" t="inlineStr">
        <is>
          <t>18.06.2025</t>
        </is>
      </c>
      <c r="N2219" s="256" t="inlineStr">
        <is>
          <t>IPH — Institute of Public Health</t>
        </is>
      </c>
      <c r="O2219" s="256" t="inlineStr">
        <is>
          <t>13.06.2025</t>
        </is>
      </c>
      <c r="P2219" s="256" t="inlineStr">
        <is>
          <t>carried from the initial testing (CoQ-PP-2025-0008) — UNDETERMINED — pending the QCSP 001 reading</t>
        </is>
      </c>
      <c r="Q2219" s="256" t="inlineStr"/>
      <c r="R2219" s="256" t="inlineStr"/>
    </row>
    <row r="2220">
      <c r="A2220" s="256" t="inlineStr">
        <is>
          <t>CoQ-PP_26-097</t>
        </is>
      </c>
      <c r="B2220" s="256" t="inlineStr">
        <is>
          <t>reissue — retest</t>
        </is>
      </c>
      <c r="C2220" s="256" t="inlineStr">
        <is>
          <t>HPA1024_01</t>
        </is>
      </c>
      <c r="D2220" s="256" t="inlineStr">
        <is>
          <t>P050052</t>
        </is>
      </c>
      <c r="E2220" s="256" t="inlineStr">
        <is>
          <t>High Pro Amnesia</t>
        </is>
      </c>
      <c r="F2220" s="256" t="inlineStr">
        <is>
          <t>17.08.2026</t>
        </is>
      </c>
      <c r="G2220" s="256" t="inlineStr">
        <is>
          <t>9.3</t>
        </is>
      </c>
      <c r="H2220" s="256" t="inlineStr">
        <is>
          <t>Bile-tolerant gram-neg.</t>
        </is>
      </c>
      <c r="I2220" s="256" t="inlineStr">
        <is>
          <t>Ph. Eur. 2.6.31 cat. C</t>
        </is>
      </c>
      <c r="J2220" s="256" t="inlineStr">
        <is>
          <t>≤ 10⁴ CFU/g</t>
        </is>
      </c>
      <c r="K2220" s="256" t="inlineStr">
        <is>
          <t>&lt; 10</t>
        </is>
      </c>
      <c r="L2220" s="256" t="inlineStr">
        <is>
          <t>587/1066/25</t>
        </is>
      </c>
      <c r="M2220" s="256" t="inlineStr">
        <is>
          <t>18.06.2025</t>
        </is>
      </c>
      <c r="N2220" s="256" t="inlineStr">
        <is>
          <t>IPH — Institute of Public Health</t>
        </is>
      </c>
      <c r="O2220" s="256" t="inlineStr">
        <is>
          <t>13.06.2025</t>
        </is>
      </c>
      <c r="P2220" s="256" t="inlineStr">
        <is>
          <t>carried from the initial testing (CoQ-PP-2025-0008) — covered</t>
        </is>
      </c>
      <c r="Q2220" s="256" t="inlineStr"/>
      <c r="R2220" s="256" t="inlineStr"/>
    </row>
    <row r="2221">
      <c r="A2221" s="256" t="inlineStr">
        <is>
          <t>CoQ-PP_26-097</t>
        </is>
      </c>
      <c r="B2221" s="256" t="inlineStr">
        <is>
          <t>reissue — retest</t>
        </is>
      </c>
      <c r="C2221" s="256" t="inlineStr">
        <is>
          <t>HPA1024_01</t>
        </is>
      </c>
      <c r="D2221" s="256" t="inlineStr">
        <is>
          <t>P050052</t>
        </is>
      </c>
      <c r="E2221" s="256" t="inlineStr">
        <is>
          <t>High Pro Amnesia</t>
        </is>
      </c>
      <c r="F2221" s="256" t="inlineStr">
        <is>
          <t>17.08.2026</t>
        </is>
      </c>
      <c r="G2221" s="256" t="inlineStr">
        <is>
          <t>9.4</t>
        </is>
      </c>
      <c r="H2221" s="256" t="inlineStr">
        <is>
          <t>Salmonella</t>
        </is>
      </c>
      <c r="I2221" s="256" t="inlineStr">
        <is>
          <t>Ph. Eur. 2.6.31 cat. C</t>
        </is>
      </c>
      <c r="J2221" s="256" t="inlineStr">
        <is>
          <t>Absence | Отсуство / 25 g</t>
        </is>
      </c>
      <c r="K2221" s="256" t="inlineStr">
        <is>
          <t>Absent | Отсутна</t>
        </is>
      </c>
      <c r="L2221" s="256" t="inlineStr">
        <is>
          <t>587/1066/25</t>
        </is>
      </c>
      <c r="M2221" s="256" t="inlineStr">
        <is>
          <t>18.06.2025</t>
        </is>
      </c>
      <c r="N2221" s="256" t="inlineStr">
        <is>
          <t>IPH — Institute of Public Health</t>
        </is>
      </c>
      <c r="O2221" s="256" t="inlineStr">
        <is>
          <t>13.06.2025</t>
        </is>
      </c>
      <c r="P2221" s="256" t="inlineStr">
        <is>
          <t>carried from the initial testing (CoQ-PP-2025-0008) — covered</t>
        </is>
      </c>
      <c r="Q2221" s="256" t="inlineStr"/>
      <c r="R2221" s="256" t="inlineStr"/>
    </row>
    <row r="2222">
      <c r="A2222" s="256" t="inlineStr">
        <is>
          <t>CoQ-PP_26-097</t>
        </is>
      </c>
      <c r="B2222" s="256" t="inlineStr">
        <is>
          <t>reissue — retest</t>
        </is>
      </c>
      <c r="C2222" s="256" t="inlineStr">
        <is>
          <t>HPA1024_01</t>
        </is>
      </c>
      <c r="D2222" s="256" t="inlineStr">
        <is>
          <t>P050052</t>
        </is>
      </c>
      <c r="E2222" s="256" t="inlineStr">
        <is>
          <t>High Pro Amnesia</t>
        </is>
      </c>
      <c r="F2222" s="256" t="inlineStr">
        <is>
          <t>17.08.2026</t>
        </is>
      </c>
      <c r="G2222" s="256" t="inlineStr">
        <is>
          <t>9.5</t>
        </is>
      </c>
      <c r="H2222" s="256" t="inlineStr">
        <is>
          <t>Escherichia coli</t>
        </is>
      </c>
      <c r="I2222" s="256" t="inlineStr">
        <is>
          <t>Ph. Eur. 2.6.13 cat. C</t>
        </is>
      </c>
      <c r="J2222" s="256" t="inlineStr">
        <is>
          <t>Absence | Отсуство / 1 g</t>
        </is>
      </c>
      <c r="K2222" s="256" t="inlineStr">
        <is>
          <t>Absent | Отсутна</t>
        </is>
      </c>
      <c r="L2222" s="256" t="inlineStr">
        <is>
          <t>587/1066/25</t>
        </is>
      </c>
      <c r="M2222" s="256" t="inlineStr">
        <is>
          <t>18.06.2025</t>
        </is>
      </c>
      <c r="N2222" s="256" t="inlineStr">
        <is>
          <t>IPH — Institute of Public Health</t>
        </is>
      </c>
      <c r="O2222" s="256" t="inlineStr">
        <is>
          <t>13.06.2025</t>
        </is>
      </c>
      <c r="P2222" s="256" t="inlineStr">
        <is>
          <t>carried from the initial testing (CoQ-PP-2025-0008) — covered</t>
        </is>
      </c>
      <c r="Q2222" s="256" t="inlineStr"/>
      <c r="R2222" s="256" t="inlineStr"/>
    </row>
    <row r="2223">
      <c r="A2223" s="256" t="inlineStr">
        <is>
          <t>CoQ-PP_26-097</t>
        </is>
      </c>
      <c r="B2223" s="256" t="inlineStr">
        <is>
          <t>reissue — retest</t>
        </is>
      </c>
      <c r="C2223" s="256" t="inlineStr">
        <is>
          <t>HPA1024_01</t>
        </is>
      </c>
      <c r="D2223" s="256" t="inlineStr">
        <is>
          <t>P050052</t>
        </is>
      </c>
      <c r="E2223" s="256" t="inlineStr">
        <is>
          <t>High Pro Amnesia</t>
        </is>
      </c>
      <c r="F2223" s="256" t="inlineStr">
        <is>
          <t>17.08.2026</t>
        </is>
      </c>
      <c r="G2223" s="256" t="inlineStr">
        <is>
          <t>9.6</t>
        </is>
      </c>
      <c r="H2223" s="256" t="inlineStr">
        <is>
          <t>Pseudomonas aeruginosa</t>
        </is>
      </c>
      <c r="I2223" s="256" t="inlineStr">
        <is>
          <t>Ph. Eur. 2.6.13 cat. C</t>
        </is>
      </c>
      <c r="J2223" s="256" t="inlineStr">
        <is>
          <t>Absence | Отсуство / 1 g</t>
        </is>
      </c>
      <c r="K2223" s="260" t="inlineStr">
        <is>
          <t>upon request — not required for release</t>
        </is>
      </c>
      <c r="L2223" s="256" t="inlineStr">
        <is>
          <t>—</t>
        </is>
      </c>
      <c r="M2223" s="256" t="inlineStr">
        <is>
          <t>—</t>
        </is>
      </c>
      <c r="N2223" s="256" t="inlineStr">
        <is>
          <t>—</t>
        </is>
      </c>
      <c r="O2223" s="256" t="inlineStr">
        <is>
          <t>—</t>
        </is>
      </c>
      <c r="P2223" s="256" t="inlineStr">
        <is>
          <t>upon request — not required for release</t>
        </is>
      </c>
      <c r="Q2223" s="256" t="inlineStr"/>
      <c r="R2223" s="256" t="inlineStr"/>
    </row>
    <row r="2224">
      <c r="A2224" s="256" t="inlineStr">
        <is>
          <t>CoQ-PP_26-097</t>
        </is>
      </c>
      <c r="B2224" s="256" t="inlineStr">
        <is>
          <t>reissue — retest</t>
        </is>
      </c>
      <c r="C2224" s="256" t="inlineStr">
        <is>
          <t>HPA1024_01</t>
        </is>
      </c>
      <c r="D2224" s="256" t="inlineStr">
        <is>
          <t>P050052</t>
        </is>
      </c>
      <c r="E2224" s="256" t="inlineStr">
        <is>
          <t>High Pro Amnesia</t>
        </is>
      </c>
      <c r="F2224" s="256" t="inlineStr">
        <is>
          <t>17.08.2026</t>
        </is>
      </c>
      <c r="G2224" s="256" t="inlineStr">
        <is>
          <t>9.7</t>
        </is>
      </c>
      <c r="H2224" s="256" t="inlineStr">
        <is>
          <t>Staphylococcus aureus</t>
        </is>
      </c>
      <c r="I2224" s="256" t="inlineStr">
        <is>
          <t>Ph. Eur. 2.6.13 cat. C</t>
        </is>
      </c>
      <c r="J2224" s="256" t="inlineStr">
        <is>
          <t>Absence | Отсуство / 1 g</t>
        </is>
      </c>
      <c r="K2224" s="260" t="inlineStr">
        <is>
          <t>upon request — not required for release</t>
        </is>
      </c>
      <c r="L2224" s="256" t="inlineStr">
        <is>
          <t>—</t>
        </is>
      </c>
      <c r="M2224" s="256" t="inlineStr">
        <is>
          <t>—</t>
        </is>
      </c>
      <c r="N2224" s="256" t="inlineStr">
        <is>
          <t>—</t>
        </is>
      </c>
      <c r="O2224" s="256" t="inlineStr">
        <is>
          <t>—</t>
        </is>
      </c>
      <c r="P2224" s="256" t="inlineStr">
        <is>
          <t>upon request — not required for release</t>
        </is>
      </c>
      <c r="Q2224" s="256" t="inlineStr"/>
      <c r="R2224" s="256" t="inlineStr"/>
    </row>
    <row r="2225">
      <c r="A2225" s="256" t="inlineStr">
        <is>
          <t>CoQ-PP_26-097</t>
        </is>
      </c>
      <c r="B2225" s="256" t="inlineStr">
        <is>
          <t>reissue — retest</t>
        </is>
      </c>
      <c r="C2225" s="256" t="inlineStr">
        <is>
          <t>HPA1024_01</t>
        </is>
      </c>
      <c r="D2225" s="256" t="inlineStr">
        <is>
          <t>P050052</t>
        </is>
      </c>
      <c r="E2225" s="256" t="inlineStr">
        <is>
          <t>High Pro Amnesia</t>
        </is>
      </c>
      <c r="F2225" s="256" t="inlineStr">
        <is>
          <t>17.08.2026</t>
        </is>
      </c>
      <c r="G2225" s="256" t="inlineStr">
        <is>
          <t>10.1</t>
        </is>
      </c>
      <c r="H2225" s="256" t="inlineStr">
        <is>
          <t>Aflatoxin B₁</t>
        </is>
      </c>
      <c r="I2225" s="256" t="inlineStr">
        <is>
          <t>Ph. Eur. 2.8.18 (HPLC-FLD)</t>
        </is>
      </c>
      <c r="J2225" s="256" t="inlineStr">
        <is>
          <t>≤ 2 µg/kg</t>
        </is>
      </c>
      <c r="K2225" s="256" t="inlineStr">
        <is>
          <t>ND</t>
        </is>
      </c>
      <c r="L2225" s="256" t="inlineStr">
        <is>
          <t>197-14-М/26</t>
        </is>
      </c>
      <c r="M2225" s="256" t="inlineStr">
        <is>
          <t>10.08.2026</t>
        </is>
      </c>
      <c r="N2225" s="256" t="inlineStr">
        <is>
          <t>Farmahem</t>
        </is>
      </c>
      <c r="O2225" s="256" t="inlineStr">
        <is>
          <t>29.07.2026</t>
        </is>
      </c>
      <c r="P2225" s="256" t="inlineStr">
        <is>
          <t>covered</t>
        </is>
      </c>
      <c r="Q2225" s="256" t="inlineStr"/>
      <c r="R2225" s="256" t="inlineStr"/>
    </row>
    <row r="2226">
      <c r="A2226" s="256" t="inlineStr">
        <is>
          <t>CoQ-PP_26-097</t>
        </is>
      </c>
      <c r="B2226" s="256" t="inlineStr">
        <is>
          <t>reissue — retest</t>
        </is>
      </c>
      <c r="C2226" s="256" t="inlineStr">
        <is>
          <t>HPA1024_01</t>
        </is>
      </c>
      <c r="D2226" s="256" t="inlineStr">
        <is>
          <t>P050052</t>
        </is>
      </c>
      <c r="E2226" s="256" t="inlineStr">
        <is>
          <t>High Pro Amnesia</t>
        </is>
      </c>
      <c r="F2226" s="256" t="inlineStr">
        <is>
          <t>17.08.2026</t>
        </is>
      </c>
      <c r="G2226" s="256" t="inlineStr">
        <is>
          <t>10.2</t>
        </is>
      </c>
      <c r="H2226" s="256" t="inlineStr">
        <is>
          <t>Aflatoxins ∑</t>
        </is>
      </c>
      <c r="I2226" s="256" t="inlineStr">
        <is>
          <t>Ph. Eur. 2.8.18 (HPLC-FLD)</t>
        </is>
      </c>
      <c r="J2226" s="256" t="inlineStr">
        <is>
          <t>≤ 4 µg/kg</t>
        </is>
      </c>
      <c r="K2226" s="256" t="inlineStr">
        <is>
          <t>ND</t>
        </is>
      </c>
      <c r="L2226" s="256" t="inlineStr">
        <is>
          <t>197-14-М/26</t>
        </is>
      </c>
      <c r="M2226" s="256" t="inlineStr">
        <is>
          <t>10.08.2026</t>
        </is>
      </c>
      <c r="N2226" s="256" t="inlineStr">
        <is>
          <t>Farmahem</t>
        </is>
      </c>
      <c r="O2226" s="256" t="inlineStr">
        <is>
          <t>29.07.2026</t>
        </is>
      </c>
      <c r="P2226" s="256" t="inlineStr">
        <is>
          <t>covered</t>
        </is>
      </c>
      <c r="Q2226" s="256" t="inlineStr"/>
      <c r="R2226" s="256" t="inlineStr"/>
    </row>
    <row r="2227">
      <c r="A2227" s="256" t="inlineStr">
        <is>
          <t>CoQ-PP_26-097</t>
        </is>
      </c>
      <c r="B2227" s="256" t="inlineStr">
        <is>
          <t>reissue — retest</t>
        </is>
      </c>
      <c r="C2227" s="256" t="inlineStr">
        <is>
          <t>HPA1024_01</t>
        </is>
      </c>
      <c r="D2227" s="256" t="inlineStr">
        <is>
          <t>P050052</t>
        </is>
      </c>
      <c r="E2227" s="256" t="inlineStr">
        <is>
          <t>High Pro Amnesia</t>
        </is>
      </c>
      <c r="F2227" s="256" t="inlineStr">
        <is>
          <t>17.08.2026</t>
        </is>
      </c>
      <c r="G2227" s="256" t="inlineStr">
        <is>
          <t>10.3</t>
        </is>
      </c>
      <c r="H2227" s="256" t="inlineStr">
        <is>
          <t>Ochratoxin A</t>
        </is>
      </c>
      <c r="I2227" s="256" t="inlineStr">
        <is>
          <t>Ph. Eur. 2.8.22 (HPLC-FLD)</t>
        </is>
      </c>
      <c r="J2227" s="256" t="inlineStr">
        <is>
          <t>≤ 20 µg/kg</t>
        </is>
      </c>
      <c r="K2227" s="256" t="inlineStr">
        <is>
          <t>2.06 — DETECTED, &gt;LOQ</t>
        </is>
      </c>
      <c r="L2227" s="256" t="inlineStr">
        <is>
          <t>197-14-М/26</t>
        </is>
      </c>
      <c r="M2227" s="256" t="inlineStr">
        <is>
          <t>10.08.2026</t>
        </is>
      </c>
      <c r="N2227" s="256" t="inlineStr">
        <is>
          <t>Farmahem</t>
        </is>
      </c>
      <c r="O2227" s="256" t="inlineStr">
        <is>
          <t>29.07.2026</t>
        </is>
      </c>
      <c r="P2227" s="256" t="inlineStr">
        <is>
          <t>covered — laboratory finding recorded</t>
        </is>
      </c>
      <c r="Q2227" s="256" t="inlineStr"/>
      <c r="R2227" s="256" t="inlineStr"/>
    </row>
    <row r="2228">
      <c r="A2228" s="256" t="inlineStr">
        <is>
          <t>CoQ-PP_26-097</t>
        </is>
      </c>
      <c r="B2228" s="256" t="inlineStr">
        <is>
          <t>reissue — retest</t>
        </is>
      </c>
      <c r="C2228" s="256" t="inlineStr">
        <is>
          <t>HPA1024_01</t>
        </is>
      </c>
      <c r="D2228" s="256" t="inlineStr">
        <is>
          <t>P050052</t>
        </is>
      </c>
      <c r="E2228" s="256" t="inlineStr">
        <is>
          <t>High Pro Amnesia</t>
        </is>
      </c>
      <c r="F2228" s="256" t="inlineStr">
        <is>
          <t>17.08.2026</t>
        </is>
      </c>
      <c r="G2228" s="256" t="inlineStr">
        <is>
          <t>11.1</t>
        </is>
      </c>
      <c r="H2228" s="256" t="inlineStr">
        <is>
          <t>Lead (Pb)</t>
        </is>
      </c>
      <c r="I2228" s="256" t="inlineStr">
        <is>
          <t>Ph. Eur. 2.4.27 (ICP-MS)</t>
        </is>
      </c>
      <c r="J2228" s="256" t="inlineStr">
        <is>
          <t>≤ 0.5 mg/kg</t>
        </is>
      </c>
      <c r="K2228" s="256" t="inlineStr">
        <is>
          <t>0.059</t>
        </is>
      </c>
      <c r="L2228" s="256" t="inlineStr">
        <is>
          <t>2995/2025</t>
        </is>
      </c>
      <c r="M2228" s="256" t="inlineStr">
        <is>
          <t>19.06.2025</t>
        </is>
      </c>
      <c r="N2228" s="256" t="inlineStr">
        <is>
          <t>IPH — Institute of Public Health</t>
        </is>
      </c>
      <c r="O2228" s="256" t="inlineStr">
        <is>
          <t>12.06.2025</t>
        </is>
      </c>
      <c r="P2228" s="256" t="inlineStr">
        <is>
          <t>carried from the initial testing (CoQ-PP-2025-0008) — covered</t>
        </is>
      </c>
      <c r="Q2228" s="256" t="inlineStr"/>
      <c r="R2228" s="256" t="inlineStr"/>
    </row>
    <row r="2229">
      <c r="A2229" s="256" t="inlineStr">
        <is>
          <t>CoQ-PP_26-097</t>
        </is>
      </c>
      <c r="B2229" s="256" t="inlineStr">
        <is>
          <t>reissue — retest</t>
        </is>
      </c>
      <c r="C2229" s="256" t="inlineStr">
        <is>
          <t>HPA1024_01</t>
        </is>
      </c>
      <c r="D2229" s="256" t="inlineStr">
        <is>
          <t>P050052</t>
        </is>
      </c>
      <c r="E2229" s="256" t="inlineStr">
        <is>
          <t>High Pro Amnesia</t>
        </is>
      </c>
      <c r="F2229" s="256" t="inlineStr">
        <is>
          <t>17.08.2026</t>
        </is>
      </c>
      <c r="G2229" s="256" t="inlineStr">
        <is>
          <t>11.2</t>
        </is>
      </c>
      <c r="H2229" s="256" t="inlineStr">
        <is>
          <t>Cadmium (Cd)</t>
        </is>
      </c>
      <c r="I2229" s="256" t="inlineStr">
        <is>
          <t>Ph. Eur. 2.4.27 (ICP-MS)</t>
        </is>
      </c>
      <c r="J2229" s="256" t="inlineStr">
        <is>
          <t>≤ 0.3 mg/kg</t>
        </is>
      </c>
      <c r="K2229" s="256" t="inlineStr">
        <is>
          <t>0.014</t>
        </is>
      </c>
      <c r="L2229" s="256" t="inlineStr">
        <is>
          <t>2995/2025</t>
        </is>
      </c>
      <c r="M2229" s="256" t="inlineStr">
        <is>
          <t>19.06.2025</t>
        </is>
      </c>
      <c r="N2229" s="256" t="inlineStr">
        <is>
          <t>IPH — Institute of Public Health</t>
        </is>
      </c>
      <c r="O2229" s="256" t="inlineStr">
        <is>
          <t>12.06.2025</t>
        </is>
      </c>
      <c r="P2229" s="256" t="inlineStr">
        <is>
          <t>carried from the initial testing (CoQ-PP-2025-0008) — covered</t>
        </is>
      </c>
      <c r="Q2229" s="256" t="inlineStr"/>
      <c r="R2229" s="256" t="inlineStr"/>
    </row>
    <row r="2230">
      <c r="A2230" s="256" t="inlineStr">
        <is>
          <t>CoQ-PP_26-097</t>
        </is>
      </c>
      <c r="B2230" s="256" t="inlineStr">
        <is>
          <t>reissue — retest</t>
        </is>
      </c>
      <c r="C2230" s="256" t="inlineStr">
        <is>
          <t>HPA1024_01</t>
        </is>
      </c>
      <c r="D2230" s="256" t="inlineStr">
        <is>
          <t>P050052</t>
        </is>
      </c>
      <c r="E2230" s="256" t="inlineStr">
        <is>
          <t>High Pro Amnesia</t>
        </is>
      </c>
      <c r="F2230" s="256" t="inlineStr">
        <is>
          <t>17.08.2026</t>
        </is>
      </c>
      <c r="G2230" s="256" t="inlineStr">
        <is>
          <t>11.3</t>
        </is>
      </c>
      <c r="H2230" s="256" t="inlineStr">
        <is>
          <t>Arsenic (As)</t>
        </is>
      </c>
      <c r="I2230" s="256" t="inlineStr">
        <is>
          <t>Ph. Eur. 2.4.27 (ICP-MS)</t>
        </is>
      </c>
      <c r="J2230" s="256" t="inlineStr">
        <is>
          <t>≤ 0.2 mg/kg</t>
        </is>
      </c>
      <c r="K2230" s="256" t="inlineStr">
        <is>
          <t>0.037</t>
        </is>
      </c>
      <c r="L2230" s="256" t="inlineStr">
        <is>
          <t>2995/2025</t>
        </is>
      </c>
      <c r="M2230" s="256" t="inlineStr">
        <is>
          <t>19.06.2025</t>
        </is>
      </c>
      <c r="N2230" s="256" t="inlineStr">
        <is>
          <t>IPH — Institute of Public Health</t>
        </is>
      </c>
      <c r="O2230" s="256" t="inlineStr">
        <is>
          <t>12.06.2025</t>
        </is>
      </c>
      <c r="P2230" s="256" t="inlineStr">
        <is>
          <t>carried from the initial testing (CoQ-PP-2025-0008) — covered</t>
        </is>
      </c>
      <c r="Q2230" s="256" t="inlineStr"/>
      <c r="R2230" s="256" t="inlineStr"/>
    </row>
    <row r="2231">
      <c r="A2231" s="256" t="inlineStr">
        <is>
          <t>CoQ-PP_26-097</t>
        </is>
      </c>
      <c r="B2231" s="256" t="inlineStr">
        <is>
          <t>reissue — retest</t>
        </is>
      </c>
      <c r="C2231" s="256" t="inlineStr">
        <is>
          <t>HPA1024_01</t>
        </is>
      </c>
      <c r="D2231" s="256" t="inlineStr">
        <is>
          <t>P050052</t>
        </is>
      </c>
      <c r="E2231" s="256" t="inlineStr">
        <is>
          <t>High Pro Amnesia</t>
        </is>
      </c>
      <c r="F2231" s="256" t="inlineStr">
        <is>
          <t>17.08.2026</t>
        </is>
      </c>
      <c r="G2231" s="256" t="inlineStr">
        <is>
          <t>11.4</t>
        </is>
      </c>
      <c r="H2231" s="256" t="inlineStr">
        <is>
          <t>Mercury (Hg)</t>
        </is>
      </c>
      <c r="I2231" s="256" t="inlineStr">
        <is>
          <t>Ph. Eur. 2.4.27 (ICP-MS)</t>
        </is>
      </c>
      <c r="J2231" s="256" t="inlineStr">
        <is>
          <t>≤ 0.1 mg/kg</t>
        </is>
      </c>
      <c r="K2231" s="256" t="inlineStr">
        <is>
          <t>0.008</t>
        </is>
      </c>
      <c r="L2231" s="256" t="inlineStr">
        <is>
          <t>2995/2025</t>
        </is>
      </c>
      <c r="M2231" s="256" t="inlineStr">
        <is>
          <t>19.06.2025</t>
        </is>
      </c>
      <c r="N2231" s="256" t="inlineStr">
        <is>
          <t>IPH — Institute of Public Health</t>
        </is>
      </c>
      <c r="O2231" s="256" t="inlineStr">
        <is>
          <t>12.06.2025</t>
        </is>
      </c>
      <c r="P2231" s="256" t="inlineStr">
        <is>
          <t>carried from the initial testing (CoQ-PP-2025-0008) — covered</t>
        </is>
      </c>
      <c r="Q2231" s="256" t="inlineStr"/>
      <c r="R2231" s="256" t="inlineStr"/>
    </row>
    <row r="2232">
      <c r="A2232" s="256" t="inlineStr">
        <is>
          <t>CoQ-PP_26-097</t>
        </is>
      </c>
      <c r="B2232" s="256" t="inlineStr">
        <is>
          <t>reissue — retest</t>
        </is>
      </c>
      <c r="C2232" s="256" t="inlineStr">
        <is>
          <t>HPA1024_01</t>
        </is>
      </c>
      <c r="D2232" s="256" t="inlineStr">
        <is>
          <t>P050052</t>
        </is>
      </c>
      <c r="E2232" s="256" t="inlineStr">
        <is>
          <t>High Pro Amnesia</t>
        </is>
      </c>
      <c r="F2232" s="256" t="inlineStr">
        <is>
          <t>17.08.2026</t>
        </is>
      </c>
      <c r="G2232" s="256" t="inlineStr">
        <is>
          <t>12</t>
        </is>
      </c>
      <c r="H2232" s="256" t="inlineStr">
        <is>
          <t>Pesticide Residues</t>
        </is>
      </c>
      <c r="I2232" s="256" t="inlineStr">
        <is>
          <t>Ph. Eur. 2.8.13 (LC-MS/MS) · CUMCS Equivalency</t>
        </is>
      </c>
      <c r="J2232" s="256" t="inlineStr">
        <is>
          <t>≤ LOQ as per Ph. Eur. 2.8.13 · ≤ LOQ as per CUMCS Equivalency</t>
        </is>
      </c>
      <c r="K2232" s="256" t="inlineStr">
        <is>
          <t>ND</t>
        </is>
      </c>
      <c r="L2232" s="256" t="inlineStr">
        <is>
          <t>2995/2025</t>
        </is>
      </c>
      <c r="M2232" s="256" t="inlineStr">
        <is>
          <t>19.06.2025</t>
        </is>
      </c>
      <c r="N2232" s="256" t="inlineStr">
        <is>
          <t>IPH — Institute of Public Health</t>
        </is>
      </c>
      <c r="O2232" s="256" t="inlineStr">
        <is>
          <t>12.06.2025</t>
        </is>
      </c>
      <c r="P2232" s="256" t="inlineStr">
        <is>
          <t>carried from the initial testing (CoQ-PP-2025-0008) — covered</t>
        </is>
      </c>
      <c r="Q2232" s="256" t="inlineStr"/>
      <c r="R2232" s="256" t="inlineStr"/>
    </row>
    <row r="2233">
      <c r="A2233" s="256" t="inlineStr">
        <is>
          <t>CoQ-PP_26-098</t>
        </is>
      </c>
      <c r="B2233" s="256" t="inlineStr">
        <is>
          <t>reissue — retest</t>
        </is>
      </c>
      <c r="C2233" s="256" t="inlineStr">
        <is>
          <t>J31102501</t>
        </is>
      </c>
      <c r="D2233" s="256" t="inlineStr">
        <is>
          <t>P060152</t>
        </is>
      </c>
      <c r="E2233" s="256" t="inlineStr">
        <is>
          <t>Jokerz 31</t>
        </is>
      </c>
      <c r="F2233" s="256" t="inlineStr">
        <is>
          <t>17.08.2026</t>
        </is>
      </c>
      <c r="G2233" s="256" t="inlineStr">
        <is>
          <t>1</t>
        </is>
      </c>
      <c r="H2233" s="256" t="inlineStr">
        <is>
          <t>Identification A, Appearance · Macroscopic</t>
        </is>
      </c>
      <c r="I2233" s="256" t="inlineStr">
        <is>
          <t>Ph. Eur. mon. 3028</t>
        </is>
      </c>
      <c r="J2233" s="256" t="inlineStr">
        <is>
          <t>Conforms to the monograph for Cannabis flos (07/2024:3028) in Ph. Eur. 11.0 | Согласно монографија за Cannabis flos (07/2024:3028) во Ph. Eur. 11.0</t>
        </is>
      </c>
      <c r="K2233" s="256" t="inlineStr">
        <is>
          <t>Conforms | Одговара</t>
        </is>
      </c>
      <c r="L2233" s="256" t="inlineStr">
        <is>
          <t>iCoA-PP_26-114</t>
        </is>
      </c>
      <c r="M2233" s="256" t="inlineStr">
        <is>
          <t>27.07.2026</t>
        </is>
      </c>
      <c r="N2233" s="256" t="inlineStr">
        <is>
          <t>Purely Plant GmbH (in-house)</t>
        </is>
      </c>
      <c r="O2233" s="256" t="inlineStr">
        <is>
          <t>—</t>
        </is>
      </c>
      <c r="P2233" s="256" t="inlineStr">
        <is>
          <t>covered</t>
        </is>
      </c>
      <c r="Q2233" s="256" t="inlineStr">
        <is>
          <t>Farmahem — Ident A + B + C with the Assay, at retest</t>
        </is>
      </c>
      <c r="R2233" s="256" t="inlineStr"/>
    </row>
    <row r="2234">
      <c r="A2234" s="256" t="inlineStr">
        <is>
          <t>CoQ-PP_26-098</t>
        </is>
      </c>
      <c r="B2234" s="256" t="inlineStr">
        <is>
          <t>reissue — retest</t>
        </is>
      </c>
      <c r="C2234" s="256" t="inlineStr">
        <is>
          <t>J31102501</t>
        </is>
      </c>
      <c r="D2234" s="256" t="inlineStr">
        <is>
          <t>P060152</t>
        </is>
      </c>
      <c r="E2234" s="256" t="inlineStr">
        <is>
          <t>Jokerz 31</t>
        </is>
      </c>
      <c r="F2234" s="256" t="inlineStr">
        <is>
          <t>17.08.2026</t>
        </is>
      </c>
      <c r="G2234" s="256" t="inlineStr">
        <is>
          <t>2</t>
        </is>
      </c>
      <c r="H2234" s="256" t="inlineStr">
        <is>
          <t>Identification B · Microscopic</t>
        </is>
      </c>
      <c r="I2234" s="256" t="inlineStr">
        <is>
          <t>Ph. Eur. 2.8.23 (microscopy)</t>
        </is>
      </c>
      <c r="J2234" s="256" t="inlineStr">
        <is>
          <t>Conforms to the monograph for Cannabis flos (07/2024:3028) in Ph. Eur. 11.0 | Согласно монографија за Cannabis flos (07/2024:3028) во Ph. Eur. 11.0</t>
        </is>
      </c>
      <c r="K2234" s="256" t="inlineStr">
        <is>
          <t>Conforms | Одговара</t>
        </is>
      </c>
      <c r="L2234" s="256" t="inlineStr">
        <is>
          <t>iCoA-PP_26-114</t>
        </is>
      </c>
      <c r="M2234" s="256" t="inlineStr">
        <is>
          <t>27.07.2026</t>
        </is>
      </c>
      <c r="N2234" s="256" t="inlineStr">
        <is>
          <t>Purely Plant GmbH (in-house)</t>
        </is>
      </c>
      <c r="O2234" s="256" t="inlineStr">
        <is>
          <t>—</t>
        </is>
      </c>
      <c r="P2234" s="256" t="inlineStr">
        <is>
          <t>covered</t>
        </is>
      </c>
      <c r="Q2234" s="256" t="inlineStr">
        <is>
          <t>Farmahem — Ident A + B + C with the Assay, at retest</t>
        </is>
      </c>
      <c r="R2234" s="256" t="inlineStr"/>
    </row>
    <row r="2235">
      <c r="A2235" s="256" t="inlineStr">
        <is>
          <t>CoQ-PP_26-098</t>
        </is>
      </c>
      <c r="B2235" s="256" t="inlineStr">
        <is>
          <t>reissue — retest</t>
        </is>
      </c>
      <c r="C2235" s="256" t="inlineStr">
        <is>
          <t>J31102501</t>
        </is>
      </c>
      <c r="D2235" s="256" t="inlineStr">
        <is>
          <t>P060152</t>
        </is>
      </c>
      <c r="E2235" s="256" t="inlineStr">
        <is>
          <t>Jokerz 31</t>
        </is>
      </c>
      <c r="F2235" s="256" t="inlineStr">
        <is>
          <t>17.08.2026</t>
        </is>
      </c>
      <c r="G2235" s="256" t="inlineStr">
        <is>
          <t>3</t>
        </is>
      </c>
      <c r="H2235" s="256" t="inlineStr">
        <is>
          <t>Identification C · HPLC/HPTLC</t>
        </is>
      </c>
      <c r="I2235" s="256" t="inlineStr">
        <is>
          <t>Ph. Eur. 2.2.29 (3028)</t>
        </is>
      </c>
      <c r="J2235" s="256" t="inlineStr">
        <is>
          <t>Conforms to the monograph for Cannabis flos (07/2024:3028) in Ph. Eur. 11.0 | Согласно монографија за Cannabis flos (07/2024:3028) во Ph. Eur. 11.0</t>
        </is>
      </c>
      <c r="K2235" s="256" t="inlineStr">
        <is>
          <t>Conforms | Одговара</t>
        </is>
      </c>
      <c r="L2235" s="256" t="inlineStr">
        <is>
          <t>197-16-К/26</t>
        </is>
      </c>
      <c r="M2235" s="256" t="inlineStr">
        <is>
          <t>07.08.2026</t>
        </is>
      </c>
      <c r="N2235" s="256" t="inlineStr">
        <is>
          <t>Farmahem</t>
        </is>
      </c>
      <c r="O2235" s="256" t="inlineStr">
        <is>
          <t>27.07.2026</t>
        </is>
      </c>
      <c r="P2235" s="256" t="inlineStr">
        <is>
          <t>covered</t>
        </is>
      </c>
      <c r="Q2235" s="256" t="inlineStr"/>
      <c r="R2235" s="256" t="inlineStr"/>
    </row>
    <row r="2236">
      <c r="A2236" s="256" t="inlineStr">
        <is>
          <t>CoQ-PP_26-098</t>
        </is>
      </c>
      <c r="B2236" s="256" t="inlineStr">
        <is>
          <t>reissue — retest</t>
        </is>
      </c>
      <c r="C2236" s="256" t="inlineStr">
        <is>
          <t>J31102501</t>
        </is>
      </c>
      <c r="D2236" s="256" t="inlineStr">
        <is>
          <t>P060152</t>
        </is>
      </c>
      <c r="E2236" s="256" t="inlineStr">
        <is>
          <t>Jokerz 31</t>
        </is>
      </c>
      <c r="F2236" s="256" t="inlineStr">
        <is>
          <t>17.08.2026</t>
        </is>
      </c>
      <c r="G2236" s="256" t="inlineStr">
        <is>
          <t>4</t>
        </is>
      </c>
      <c r="H2236" s="256" t="inlineStr">
        <is>
          <t>Assay — Total Δ⁹-THC</t>
        </is>
      </c>
      <c r="I2236" s="256" t="inlineStr">
        <is>
          <t>Ph. Eur. 2.2.29 (HPLC)</t>
        </is>
      </c>
      <c r="J2236" s="256" t="inlineStr">
        <is>
          <t>16.20 – 19.79 %  (grade III, nominal 18.00 ± 1.80)</t>
        </is>
      </c>
      <c r="K2236" s="256" t="inlineStr">
        <is>
          <t>17.32</t>
        </is>
      </c>
      <c r="L2236" s="256" t="inlineStr">
        <is>
          <t>197-16-К/26</t>
        </is>
      </c>
      <c r="M2236" s="256" t="inlineStr">
        <is>
          <t>07.08.2026</t>
        </is>
      </c>
      <c r="N2236" s="256" t="inlineStr">
        <is>
          <t>Farmahem</t>
        </is>
      </c>
      <c r="O2236" s="256" t="inlineStr">
        <is>
          <t>27.07.2026</t>
        </is>
      </c>
      <c r="P2236" s="256" t="inlineStr">
        <is>
          <t>covered</t>
        </is>
      </c>
      <c r="Q2236" s="256" t="inlineStr"/>
      <c r="R2236" s="256" t="inlineStr"/>
    </row>
    <row r="2237">
      <c r="A2237" s="256" t="inlineStr">
        <is>
          <t>CoQ-PP_26-098</t>
        </is>
      </c>
      <c r="B2237" s="256" t="inlineStr">
        <is>
          <t>reissue — retest</t>
        </is>
      </c>
      <c r="C2237" s="256" t="inlineStr">
        <is>
          <t>J31102501</t>
        </is>
      </c>
      <c r="D2237" s="256" t="inlineStr">
        <is>
          <t>P060152</t>
        </is>
      </c>
      <c r="E2237" s="256" t="inlineStr">
        <is>
          <t>Jokerz 31</t>
        </is>
      </c>
      <c r="F2237" s="256" t="inlineStr">
        <is>
          <t>17.08.2026</t>
        </is>
      </c>
      <c r="G2237" s="256" t="inlineStr">
        <is>
          <t>5</t>
        </is>
      </c>
      <c r="H2237" s="256" t="inlineStr">
        <is>
          <t>Assay — Total CBD</t>
        </is>
      </c>
      <c r="I2237" s="256" t="inlineStr">
        <is>
          <t>Ph. Eur. 2.2.29 (HPLC) · CBD + CBDA x 0.877</t>
        </is>
      </c>
      <c r="J2237" s="256" t="inlineStr">
        <is>
          <t>≤ 1.0%, w/w</t>
        </is>
      </c>
      <c r="K2237" s="256" t="inlineStr">
        <is>
          <t>&lt; LOQ</t>
        </is>
      </c>
      <c r="L2237" s="256" t="inlineStr">
        <is>
          <t>197-16-К/26</t>
        </is>
      </c>
      <c r="M2237" s="256" t="inlineStr">
        <is>
          <t>07.08.2026</t>
        </is>
      </c>
      <c r="N2237" s="256" t="inlineStr">
        <is>
          <t>Farmahem</t>
        </is>
      </c>
      <c r="O2237" s="256" t="inlineStr">
        <is>
          <t>27.07.2026</t>
        </is>
      </c>
      <c r="P2237" s="256" t="inlineStr">
        <is>
          <t>covered</t>
        </is>
      </c>
      <c r="Q2237" s="256" t="inlineStr"/>
      <c r="R2237" s="256" t="inlineStr"/>
    </row>
    <row r="2238">
      <c r="A2238" s="256" t="inlineStr">
        <is>
          <t>CoQ-PP_26-098</t>
        </is>
      </c>
      <c r="B2238" s="256" t="inlineStr">
        <is>
          <t>reissue — retest</t>
        </is>
      </c>
      <c r="C2238" s="256" t="inlineStr">
        <is>
          <t>J31102501</t>
        </is>
      </c>
      <c r="D2238" s="256" t="inlineStr">
        <is>
          <t>P060152</t>
        </is>
      </c>
      <c r="E2238" s="256" t="inlineStr">
        <is>
          <t>Jokerz 31</t>
        </is>
      </c>
      <c r="F2238" s="256" t="inlineStr">
        <is>
          <t>17.08.2026</t>
        </is>
      </c>
      <c r="G2238" s="256" t="inlineStr">
        <is>
          <t>6</t>
        </is>
      </c>
      <c r="H2238" s="256" t="inlineStr">
        <is>
          <t>Total CBN</t>
        </is>
      </c>
      <c r="I2238" s="256" t="inlineStr">
        <is>
          <t>Ph. Eur. 2.2.29 (HPLC) · CBN + CBNA x 0.876</t>
        </is>
      </c>
      <c r="J2238" s="256" t="inlineStr">
        <is>
          <t>≤ 1.0%, w/w</t>
        </is>
      </c>
      <c r="K2238" s="256" t="inlineStr">
        <is>
          <t>&lt; LOQ</t>
        </is>
      </c>
      <c r="L2238" s="256" t="inlineStr">
        <is>
          <t>197-16-К/26</t>
        </is>
      </c>
      <c r="M2238" s="256" t="inlineStr">
        <is>
          <t>07.08.2026</t>
        </is>
      </c>
      <c r="N2238" s="256" t="inlineStr">
        <is>
          <t>Farmahem</t>
        </is>
      </c>
      <c r="O2238" s="256" t="inlineStr">
        <is>
          <t>27.07.2026</t>
        </is>
      </c>
      <c r="P2238" s="256" t="inlineStr">
        <is>
          <t>covered</t>
        </is>
      </c>
      <c r="Q2238" s="256" t="inlineStr"/>
      <c r="R2238" s="256" t="inlineStr"/>
    </row>
    <row r="2239">
      <c r="A2239" s="256" t="inlineStr">
        <is>
          <t>CoQ-PP_26-098</t>
        </is>
      </c>
      <c r="B2239" s="256" t="inlineStr">
        <is>
          <t>reissue — retest</t>
        </is>
      </c>
      <c r="C2239" s="256" t="inlineStr">
        <is>
          <t>J31102501</t>
        </is>
      </c>
      <c r="D2239" s="256" t="inlineStr">
        <is>
          <t>P060152</t>
        </is>
      </c>
      <c r="E2239" s="256" t="inlineStr">
        <is>
          <t>Jokerz 31</t>
        </is>
      </c>
      <c r="F2239" s="256" t="inlineStr">
        <is>
          <t>17.08.2026</t>
        </is>
      </c>
      <c r="G2239" s="256" t="inlineStr">
        <is>
          <t>7</t>
        </is>
      </c>
      <c r="H2239" s="256" t="inlineStr">
        <is>
          <t>Foreign Matter</t>
        </is>
      </c>
      <c r="I2239" s="256" t="inlineStr">
        <is>
          <t>Ph. Eur. 2.8.2 · In-house · интерна</t>
        </is>
      </c>
      <c r="J2239" s="256" t="inlineStr">
        <is>
          <t>≤ 2.0% / 25–50 g · &lt; 1 cm leaves | листови, no seeds | без семки</t>
        </is>
      </c>
      <c r="K2239" s="256" t="inlineStr">
        <is>
          <t>Conforms | Одговара</t>
        </is>
      </c>
      <c r="L2239" s="256" t="inlineStr">
        <is>
          <t>iCoA-PP_26-114</t>
        </is>
      </c>
      <c r="M2239" s="256" t="inlineStr">
        <is>
          <t>27.07.2026</t>
        </is>
      </c>
      <c r="N2239" s="256" t="inlineStr">
        <is>
          <t>Purely Plant GmbH (in-house)</t>
        </is>
      </c>
      <c r="O2239" s="256" t="inlineStr">
        <is>
          <t>—</t>
        </is>
      </c>
      <c r="P2239" s="256" t="inlineStr">
        <is>
          <t>covered</t>
        </is>
      </c>
      <c r="Q2239" s="256" t="inlineStr">
        <is>
          <t>Purely Plant laboratory — iCoA covering Foreign matter</t>
        </is>
      </c>
      <c r="R2239" s="256" t="inlineStr"/>
    </row>
    <row r="2240">
      <c r="A2240" s="256" t="inlineStr">
        <is>
          <t>CoQ-PP_26-098</t>
        </is>
      </c>
      <c r="B2240" s="256" t="inlineStr">
        <is>
          <t>reissue — retest</t>
        </is>
      </c>
      <c r="C2240" s="256" t="inlineStr">
        <is>
          <t>J31102501</t>
        </is>
      </c>
      <c r="D2240" s="256" t="inlineStr">
        <is>
          <t>P060152</t>
        </is>
      </c>
      <c r="E2240" s="256" t="inlineStr">
        <is>
          <t>Jokerz 31</t>
        </is>
      </c>
      <c r="F2240" s="256" t="inlineStr">
        <is>
          <t>17.08.2026</t>
        </is>
      </c>
      <c r="G2240" s="256" t="inlineStr">
        <is>
          <t>8</t>
        </is>
      </c>
      <c r="H2240" s="256" t="inlineStr">
        <is>
          <t>Loss on Drying</t>
        </is>
      </c>
      <c r="I2240" s="256" t="inlineStr">
        <is>
          <t>Ph. Eur. 2.2.32 (3028) · at 40 °C, 24 h, 15–25 mbar</t>
        </is>
      </c>
      <c r="J2240" s="256" t="inlineStr">
        <is>
          <t>≤ 12.0%</t>
        </is>
      </c>
      <c r="K2240" s="256" t="inlineStr">
        <is>
          <t>6.3</t>
        </is>
      </c>
      <c r="L2240" s="256" t="inlineStr">
        <is>
          <t>051-1-ГС/26</t>
        </is>
      </c>
      <c r="M2240" s="256" t="inlineStr">
        <is>
          <t>02.03.2026</t>
        </is>
      </c>
      <c r="N2240" s="256" t="inlineStr">
        <is>
          <t>Farmahem</t>
        </is>
      </c>
      <c r="O2240" s="256" t="inlineStr">
        <is>
          <t>—</t>
        </is>
      </c>
      <c r="P2240" s="256" t="inlineStr">
        <is>
          <t>carried from the initial testing (CoQ-PP-2026-0012) — covered</t>
        </is>
      </c>
      <c r="Q2240" s="256" t="inlineStr"/>
      <c r="R2240" s="256" t="inlineStr"/>
    </row>
    <row r="2241">
      <c r="A2241" s="256" t="inlineStr">
        <is>
          <t>CoQ-PP_26-098</t>
        </is>
      </c>
      <c r="B2241" s="256" t="inlineStr">
        <is>
          <t>reissue — retest</t>
        </is>
      </c>
      <c r="C2241" s="256" t="inlineStr">
        <is>
          <t>J31102501</t>
        </is>
      </c>
      <c r="D2241" s="256" t="inlineStr">
        <is>
          <t>P060152</t>
        </is>
      </c>
      <c r="E2241" s="256" t="inlineStr">
        <is>
          <t>Jokerz 31</t>
        </is>
      </c>
      <c r="F2241" s="256" t="inlineStr">
        <is>
          <t>17.08.2026</t>
        </is>
      </c>
      <c r="G2241" s="256" t="inlineStr">
        <is>
          <t>9.1</t>
        </is>
      </c>
      <c r="H2241" s="256" t="inlineStr">
        <is>
          <t>TAMC</t>
        </is>
      </c>
      <c r="I2241" s="256" t="inlineStr">
        <is>
          <t>Ph. Eur. 2.6.12 cat. C</t>
        </is>
      </c>
      <c r="J2241" s="256" t="inlineStr">
        <is>
          <t>≤ 10⁵ CFU/g</t>
        </is>
      </c>
      <c r="K2241" s="256" t="inlineStr">
        <is>
          <t>1.6 × 10²</t>
        </is>
      </c>
      <c r="L2241" s="256" t="inlineStr">
        <is>
          <t>133/0230/26</t>
        </is>
      </c>
      <c r="M2241" s="256" t="inlineStr">
        <is>
          <t>06.03.2026</t>
        </is>
      </c>
      <c r="N2241" s="256" t="inlineStr">
        <is>
          <t>IPH — Institute of Public Health</t>
        </is>
      </c>
      <c r="O2241" s="256" t="inlineStr">
        <is>
          <t>—</t>
        </is>
      </c>
      <c r="P2241" s="256" t="inlineStr">
        <is>
          <t>covered</t>
        </is>
      </c>
      <c r="Q2241" s="256" t="inlineStr"/>
      <c r="R2241" s="256" t="inlineStr"/>
    </row>
    <row r="2242">
      <c r="A2242" s="256" t="inlineStr">
        <is>
          <t>CoQ-PP_26-098</t>
        </is>
      </c>
      <c r="B2242" s="256" t="inlineStr">
        <is>
          <t>reissue — retest</t>
        </is>
      </c>
      <c r="C2242" s="256" t="inlineStr">
        <is>
          <t>J31102501</t>
        </is>
      </c>
      <c r="D2242" s="256" t="inlineStr">
        <is>
          <t>P060152</t>
        </is>
      </c>
      <c r="E2242" s="256" t="inlineStr">
        <is>
          <t>Jokerz 31</t>
        </is>
      </c>
      <c r="F2242" s="256" t="inlineStr">
        <is>
          <t>17.08.2026</t>
        </is>
      </c>
      <c r="G2242" s="256" t="inlineStr">
        <is>
          <t>9.2</t>
        </is>
      </c>
      <c r="H2242" s="256" t="inlineStr">
        <is>
          <t>TYMC</t>
        </is>
      </c>
      <c r="I2242" s="256" t="inlineStr">
        <is>
          <t>Ph. Eur. 2.6.12 cat. C</t>
        </is>
      </c>
      <c r="J2242" s="256" t="inlineStr">
        <is>
          <t>≤ 10⁴ CFU/g</t>
        </is>
      </c>
      <c r="K2242" s="256" t="inlineStr">
        <is>
          <t>1.9 × 10²</t>
        </is>
      </c>
      <c r="L2242" s="256" t="inlineStr">
        <is>
          <t>133/0230/26</t>
        </is>
      </c>
      <c r="M2242" s="256" t="inlineStr">
        <is>
          <t>06.03.2026</t>
        </is>
      </c>
      <c r="N2242" s="256" t="inlineStr">
        <is>
          <t>IPH — Institute of Public Health</t>
        </is>
      </c>
      <c r="O2242" s="256" t="inlineStr">
        <is>
          <t>—</t>
        </is>
      </c>
      <c r="P2242" s="256" t="inlineStr">
        <is>
          <t>covered</t>
        </is>
      </c>
      <c r="Q2242" s="256" t="inlineStr"/>
      <c r="R2242" s="256" t="inlineStr"/>
    </row>
    <row r="2243">
      <c r="A2243" s="256" t="inlineStr">
        <is>
          <t>CoQ-PP_26-098</t>
        </is>
      </c>
      <c r="B2243" s="256" t="inlineStr">
        <is>
          <t>reissue — retest</t>
        </is>
      </c>
      <c r="C2243" s="256" t="inlineStr">
        <is>
          <t>J31102501</t>
        </is>
      </c>
      <c r="D2243" s="256" t="inlineStr">
        <is>
          <t>P060152</t>
        </is>
      </c>
      <c r="E2243" s="256" t="inlineStr">
        <is>
          <t>Jokerz 31</t>
        </is>
      </c>
      <c r="F2243" s="256" t="inlineStr">
        <is>
          <t>17.08.2026</t>
        </is>
      </c>
      <c r="G2243" s="256" t="inlineStr">
        <is>
          <t>9.3</t>
        </is>
      </c>
      <c r="H2243" s="256" t="inlineStr">
        <is>
          <t>Bile-tolerant gram-neg.</t>
        </is>
      </c>
      <c r="I2243" s="256" t="inlineStr">
        <is>
          <t>Ph. Eur. 2.6.31 cat. C</t>
        </is>
      </c>
      <c r="J2243" s="256" t="inlineStr">
        <is>
          <t>≤ 10⁴ CFU/g</t>
        </is>
      </c>
      <c r="K2243" s="256" t="inlineStr">
        <is>
          <t>&lt; 10</t>
        </is>
      </c>
      <c r="L2243" s="256" t="inlineStr">
        <is>
          <t>133/0230/26</t>
        </is>
      </c>
      <c r="M2243" s="256" t="inlineStr">
        <is>
          <t>06.03.2026</t>
        </is>
      </c>
      <c r="N2243" s="256" t="inlineStr">
        <is>
          <t>IPH — Institute of Public Health</t>
        </is>
      </c>
      <c r="O2243" s="256" t="inlineStr">
        <is>
          <t>—</t>
        </is>
      </c>
      <c r="P2243" s="256" t="inlineStr">
        <is>
          <t>covered</t>
        </is>
      </c>
      <c r="Q2243" s="256" t="inlineStr"/>
      <c r="R2243" s="256" t="inlineStr"/>
    </row>
    <row r="2244">
      <c r="A2244" s="256" t="inlineStr">
        <is>
          <t>CoQ-PP_26-098</t>
        </is>
      </c>
      <c r="B2244" s="256" t="inlineStr">
        <is>
          <t>reissue — retest</t>
        </is>
      </c>
      <c r="C2244" s="256" t="inlineStr">
        <is>
          <t>J31102501</t>
        </is>
      </c>
      <c r="D2244" s="256" t="inlineStr">
        <is>
          <t>P060152</t>
        </is>
      </c>
      <c r="E2244" s="256" t="inlineStr">
        <is>
          <t>Jokerz 31</t>
        </is>
      </c>
      <c r="F2244" s="256" t="inlineStr">
        <is>
          <t>17.08.2026</t>
        </is>
      </c>
      <c r="G2244" s="256" t="inlineStr">
        <is>
          <t>9.4</t>
        </is>
      </c>
      <c r="H2244" s="256" t="inlineStr">
        <is>
          <t>Salmonella</t>
        </is>
      </c>
      <c r="I2244" s="256" t="inlineStr">
        <is>
          <t>Ph. Eur. 2.6.31 cat. C</t>
        </is>
      </c>
      <c r="J2244" s="256" t="inlineStr">
        <is>
          <t>Absence | Отсуство / 25 g</t>
        </is>
      </c>
      <c r="K2244" s="256" t="inlineStr">
        <is>
          <t>Absent | Отсутна</t>
        </is>
      </c>
      <c r="L2244" s="256" t="inlineStr">
        <is>
          <t>133/0230/26</t>
        </is>
      </c>
      <c r="M2244" s="256" t="inlineStr">
        <is>
          <t>06.03.2026</t>
        </is>
      </c>
      <c r="N2244" s="256" t="inlineStr">
        <is>
          <t>IPH — Institute of Public Health</t>
        </is>
      </c>
      <c r="O2244" s="256" t="inlineStr">
        <is>
          <t>—</t>
        </is>
      </c>
      <c r="P2244" s="256" t="inlineStr">
        <is>
          <t>covered</t>
        </is>
      </c>
      <c r="Q2244" s="256" t="inlineStr"/>
      <c r="R2244" s="256" t="inlineStr"/>
    </row>
    <row r="2245">
      <c r="A2245" s="256" t="inlineStr">
        <is>
          <t>CoQ-PP_26-098</t>
        </is>
      </c>
      <c r="B2245" s="256" t="inlineStr">
        <is>
          <t>reissue — retest</t>
        </is>
      </c>
      <c r="C2245" s="256" t="inlineStr">
        <is>
          <t>J31102501</t>
        </is>
      </c>
      <c r="D2245" s="256" t="inlineStr">
        <is>
          <t>P060152</t>
        </is>
      </c>
      <c r="E2245" s="256" t="inlineStr">
        <is>
          <t>Jokerz 31</t>
        </is>
      </c>
      <c r="F2245" s="256" t="inlineStr">
        <is>
          <t>17.08.2026</t>
        </is>
      </c>
      <c r="G2245" s="256" t="inlineStr">
        <is>
          <t>9.5</t>
        </is>
      </c>
      <c r="H2245" s="256" t="inlineStr">
        <is>
          <t>Escherichia coli</t>
        </is>
      </c>
      <c r="I2245" s="256" t="inlineStr">
        <is>
          <t>Ph. Eur. 2.6.13 cat. C</t>
        </is>
      </c>
      <c r="J2245" s="256" t="inlineStr">
        <is>
          <t>Absence | Отсуство / 1 g</t>
        </is>
      </c>
      <c r="K2245" s="256" t="inlineStr">
        <is>
          <t>Absent | Отсутна</t>
        </is>
      </c>
      <c r="L2245" s="256" t="inlineStr">
        <is>
          <t>133/0230/26</t>
        </is>
      </c>
      <c r="M2245" s="256" t="inlineStr">
        <is>
          <t>06.03.2026</t>
        </is>
      </c>
      <c r="N2245" s="256" t="inlineStr">
        <is>
          <t>IPH — Institute of Public Health</t>
        </is>
      </c>
      <c r="O2245" s="256" t="inlineStr">
        <is>
          <t>—</t>
        </is>
      </c>
      <c r="P2245" s="256" t="inlineStr">
        <is>
          <t>covered</t>
        </is>
      </c>
      <c r="Q2245" s="256" t="inlineStr"/>
      <c r="R2245" s="256" t="inlineStr"/>
    </row>
    <row r="2246">
      <c r="A2246" s="256" t="inlineStr">
        <is>
          <t>CoQ-PP_26-098</t>
        </is>
      </c>
      <c r="B2246" s="256" t="inlineStr">
        <is>
          <t>reissue — retest</t>
        </is>
      </c>
      <c r="C2246" s="256" t="inlineStr">
        <is>
          <t>J31102501</t>
        </is>
      </c>
      <c r="D2246" s="256" t="inlineStr">
        <is>
          <t>P060152</t>
        </is>
      </c>
      <c r="E2246" s="256" t="inlineStr">
        <is>
          <t>Jokerz 31</t>
        </is>
      </c>
      <c r="F2246" s="256" t="inlineStr">
        <is>
          <t>17.08.2026</t>
        </is>
      </c>
      <c r="G2246" s="256" t="inlineStr">
        <is>
          <t>9.6</t>
        </is>
      </c>
      <c r="H2246" s="256" t="inlineStr">
        <is>
          <t>Pseudomonas aeruginosa</t>
        </is>
      </c>
      <c r="I2246" s="256" t="inlineStr">
        <is>
          <t>Ph. Eur. 2.6.13 cat. C</t>
        </is>
      </c>
      <c r="J2246" s="256" t="inlineStr">
        <is>
          <t>Absence | Отсуство / 1 g</t>
        </is>
      </c>
      <c r="K2246" s="260" t="inlineStr">
        <is>
          <t>upon request — not required for release</t>
        </is>
      </c>
      <c r="L2246" s="256" t="inlineStr">
        <is>
          <t>—</t>
        </is>
      </c>
      <c r="M2246" s="256" t="inlineStr">
        <is>
          <t>—</t>
        </is>
      </c>
      <c r="N2246" s="256" t="inlineStr">
        <is>
          <t>—</t>
        </is>
      </c>
      <c r="O2246" s="256" t="inlineStr">
        <is>
          <t>—</t>
        </is>
      </c>
      <c r="P2246" s="256" t="inlineStr">
        <is>
          <t>upon request — not required for release</t>
        </is>
      </c>
      <c r="Q2246" s="256" t="inlineStr"/>
      <c r="R2246" s="256" t="inlineStr"/>
    </row>
    <row r="2247">
      <c r="A2247" s="256" t="inlineStr">
        <is>
          <t>CoQ-PP_26-098</t>
        </is>
      </c>
      <c r="B2247" s="256" t="inlineStr">
        <is>
          <t>reissue — retest</t>
        </is>
      </c>
      <c r="C2247" s="256" t="inlineStr">
        <is>
          <t>J31102501</t>
        </is>
      </c>
      <c r="D2247" s="256" t="inlineStr">
        <is>
          <t>P060152</t>
        </is>
      </c>
      <c r="E2247" s="256" t="inlineStr">
        <is>
          <t>Jokerz 31</t>
        </is>
      </c>
      <c r="F2247" s="256" t="inlineStr">
        <is>
          <t>17.08.2026</t>
        </is>
      </c>
      <c r="G2247" s="256" t="inlineStr">
        <is>
          <t>9.7</t>
        </is>
      </c>
      <c r="H2247" s="256" t="inlineStr">
        <is>
          <t>Staphylococcus aureus</t>
        </is>
      </c>
      <c r="I2247" s="256" t="inlineStr">
        <is>
          <t>Ph. Eur. 2.6.13 cat. C</t>
        </is>
      </c>
      <c r="J2247" s="256" t="inlineStr">
        <is>
          <t>Absence | Отсуство / 1 g</t>
        </is>
      </c>
      <c r="K2247" s="260" t="inlineStr">
        <is>
          <t>upon request — not required for release</t>
        </is>
      </c>
      <c r="L2247" s="256" t="inlineStr">
        <is>
          <t>—</t>
        </is>
      </c>
      <c r="M2247" s="256" t="inlineStr">
        <is>
          <t>—</t>
        </is>
      </c>
      <c r="N2247" s="256" t="inlineStr">
        <is>
          <t>—</t>
        </is>
      </c>
      <c r="O2247" s="256" t="inlineStr">
        <is>
          <t>—</t>
        </is>
      </c>
      <c r="P2247" s="256" t="inlineStr">
        <is>
          <t>upon request — not required for release</t>
        </is>
      </c>
      <c r="Q2247" s="256" t="inlineStr"/>
      <c r="R2247" s="256" t="inlineStr"/>
    </row>
    <row r="2248">
      <c r="A2248" s="256" t="inlineStr">
        <is>
          <t>CoQ-PP_26-098</t>
        </is>
      </c>
      <c r="B2248" s="256" t="inlineStr">
        <is>
          <t>reissue — retest</t>
        </is>
      </c>
      <c r="C2248" s="256" t="inlineStr">
        <is>
          <t>J31102501</t>
        </is>
      </c>
      <c r="D2248" s="256" t="inlineStr">
        <is>
          <t>P060152</t>
        </is>
      </c>
      <c r="E2248" s="256" t="inlineStr">
        <is>
          <t>Jokerz 31</t>
        </is>
      </c>
      <c r="F2248" s="256" t="inlineStr">
        <is>
          <t>17.08.2026</t>
        </is>
      </c>
      <c r="G2248" s="256" t="inlineStr">
        <is>
          <t>10.1</t>
        </is>
      </c>
      <c r="H2248" s="256" t="inlineStr">
        <is>
          <t>Aflatoxin B₁</t>
        </is>
      </c>
      <c r="I2248" s="256" t="inlineStr">
        <is>
          <t>Ph. Eur. 2.8.18 (HPLC-FLD)</t>
        </is>
      </c>
      <c r="J2248" s="256" t="inlineStr">
        <is>
          <t>≤ 2 µg/kg</t>
        </is>
      </c>
      <c r="K2248" s="256" t="inlineStr">
        <is>
          <t>ND</t>
        </is>
      </c>
      <c r="L2248" s="256" t="inlineStr">
        <is>
          <t>197-16-М/26</t>
        </is>
      </c>
      <c r="M2248" s="256" t="inlineStr">
        <is>
          <t>10.08.2026</t>
        </is>
      </c>
      <c r="N2248" s="256" t="inlineStr">
        <is>
          <t>Farmahem</t>
        </is>
      </c>
      <c r="O2248" s="256" t="inlineStr">
        <is>
          <t>27.07.2026</t>
        </is>
      </c>
      <c r="P2248" s="256" t="inlineStr">
        <is>
          <t>covered</t>
        </is>
      </c>
      <c r="Q2248" s="256" t="inlineStr"/>
      <c r="R2248" s="256" t="inlineStr"/>
    </row>
    <row r="2249">
      <c r="A2249" s="256" t="inlineStr">
        <is>
          <t>CoQ-PP_26-098</t>
        </is>
      </c>
      <c r="B2249" s="256" t="inlineStr">
        <is>
          <t>reissue — retest</t>
        </is>
      </c>
      <c r="C2249" s="256" t="inlineStr">
        <is>
          <t>J31102501</t>
        </is>
      </c>
      <c r="D2249" s="256" t="inlineStr">
        <is>
          <t>P060152</t>
        </is>
      </c>
      <c r="E2249" s="256" t="inlineStr">
        <is>
          <t>Jokerz 31</t>
        </is>
      </c>
      <c r="F2249" s="256" t="inlineStr">
        <is>
          <t>17.08.2026</t>
        </is>
      </c>
      <c r="G2249" s="256" t="inlineStr">
        <is>
          <t>10.2</t>
        </is>
      </c>
      <c r="H2249" s="256" t="inlineStr">
        <is>
          <t>Aflatoxins ∑</t>
        </is>
      </c>
      <c r="I2249" s="256" t="inlineStr">
        <is>
          <t>Ph. Eur. 2.8.18 (HPLC-FLD)</t>
        </is>
      </c>
      <c r="J2249" s="256" t="inlineStr">
        <is>
          <t>≤ 4 µg/kg</t>
        </is>
      </c>
      <c r="K2249" s="256" t="inlineStr">
        <is>
          <t>ND</t>
        </is>
      </c>
      <c r="L2249" s="256" t="inlineStr">
        <is>
          <t>197-16-М/26</t>
        </is>
      </c>
      <c r="M2249" s="256" t="inlineStr">
        <is>
          <t>10.08.2026</t>
        </is>
      </c>
      <c r="N2249" s="256" t="inlineStr">
        <is>
          <t>Farmahem</t>
        </is>
      </c>
      <c r="O2249" s="256" t="inlineStr">
        <is>
          <t>27.07.2026</t>
        </is>
      </c>
      <c r="P2249" s="256" t="inlineStr">
        <is>
          <t>covered</t>
        </is>
      </c>
      <c r="Q2249" s="256" t="inlineStr"/>
      <c r="R2249" s="256" t="inlineStr"/>
    </row>
    <row r="2250">
      <c r="A2250" s="256" t="inlineStr">
        <is>
          <t>CoQ-PP_26-098</t>
        </is>
      </c>
      <c r="B2250" s="256" t="inlineStr">
        <is>
          <t>reissue — retest</t>
        </is>
      </c>
      <c r="C2250" s="256" t="inlineStr">
        <is>
          <t>J31102501</t>
        </is>
      </c>
      <c r="D2250" s="256" t="inlineStr">
        <is>
          <t>P060152</t>
        </is>
      </c>
      <c r="E2250" s="256" t="inlineStr">
        <is>
          <t>Jokerz 31</t>
        </is>
      </c>
      <c r="F2250" s="256" t="inlineStr">
        <is>
          <t>17.08.2026</t>
        </is>
      </c>
      <c r="G2250" s="256" t="inlineStr">
        <is>
          <t>10.3</t>
        </is>
      </c>
      <c r="H2250" s="256" t="inlineStr">
        <is>
          <t>Ochratoxin A</t>
        </is>
      </c>
      <c r="I2250" s="256" t="inlineStr">
        <is>
          <t>Ph. Eur. 2.8.22 (HPLC-FLD)</t>
        </is>
      </c>
      <c r="J2250" s="256" t="inlineStr">
        <is>
          <t>≤ 20 µg/kg</t>
        </is>
      </c>
      <c r="K2250" s="256" t="inlineStr">
        <is>
          <t>ND</t>
        </is>
      </c>
      <c r="L2250" s="256" t="inlineStr">
        <is>
          <t>197-16-М/26</t>
        </is>
      </c>
      <c r="M2250" s="256" t="inlineStr">
        <is>
          <t>10.08.2026</t>
        </is>
      </c>
      <c r="N2250" s="256" t="inlineStr">
        <is>
          <t>Farmahem</t>
        </is>
      </c>
      <c r="O2250" s="256" t="inlineStr">
        <is>
          <t>27.07.2026</t>
        </is>
      </c>
      <c r="P2250" s="256" t="inlineStr">
        <is>
          <t>covered</t>
        </is>
      </c>
      <c r="Q2250" s="256" t="inlineStr"/>
      <c r="R2250" s="256" t="inlineStr"/>
    </row>
    <row r="2251">
      <c r="A2251" s="256" t="inlineStr">
        <is>
          <t>CoQ-PP_26-098</t>
        </is>
      </c>
      <c r="B2251" s="256" t="inlineStr">
        <is>
          <t>reissue — retest</t>
        </is>
      </c>
      <c r="C2251" s="256" t="inlineStr">
        <is>
          <t>J31102501</t>
        </is>
      </c>
      <c r="D2251" s="256" t="inlineStr">
        <is>
          <t>P060152</t>
        </is>
      </c>
      <c r="E2251" s="256" t="inlineStr">
        <is>
          <t>Jokerz 31</t>
        </is>
      </c>
      <c r="F2251" s="256" t="inlineStr">
        <is>
          <t>17.08.2026</t>
        </is>
      </c>
      <c r="G2251" s="256" t="inlineStr">
        <is>
          <t>11.1</t>
        </is>
      </c>
      <c r="H2251" s="256" t="inlineStr">
        <is>
          <t>Lead (Pb)</t>
        </is>
      </c>
      <c r="I2251" s="256" t="inlineStr">
        <is>
          <t>Ph. Eur. 2.4.27 (ICP-MS)</t>
        </is>
      </c>
      <c r="J2251" s="256" t="inlineStr">
        <is>
          <t>≤ 0.5 mg/kg</t>
        </is>
      </c>
      <c r="K2251" s="256" t="inlineStr">
        <is>
          <t>0.061</t>
        </is>
      </c>
      <c r="L2251" s="256" t="inlineStr">
        <is>
          <t>1056/2026</t>
        </is>
      </c>
      <c r="M2251" s="256" t="inlineStr">
        <is>
          <t>09.03.2026</t>
        </is>
      </c>
      <c r="N2251" s="256" t="inlineStr">
        <is>
          <t>IPH — Institute of Public Health</t>
        </is>
      </c>
      <c r="O2251" s="256" t="inlineStr">
        <is>
          <t>—</t>
        </is>
      </c>
      <c r="P2251" s="256" t="inlineStr">
        <is>
          <t>covered</t>
        </is>
      </c>
      <c r="Q2251" s="256" t="inlineStr"/>
      <c r="R2251" s="256" t="inlineStr"/>
    </row>
    <row r="2252">
      <c r="A2252" s="256" t="inlineStr">
        <is>
          <t>CoQ-PP_26-098</t>
        </is>
      </c>
      <c r="B2252" s="256" t="inlineStr">
        <is>
          <t>reissue — retest</t>
        </is>
      </c>
      <c r="C2252" s="256" t="inlineStr">
        <is>
          <t>J31102501</t>
        </is>
      </c>
      <c r="D2252" s="256" t="inlineStr">
        <is>
          <t>P060152</t>
        </is>
      </c>
      <c r="E2252" s="256" t="inlineStr">
        <is>
          <t>Jokerz 31</t>
        </is>
      </c>
      <c r="F2252" s="256" t="inlineStr">
        <is>
          <t>17.08.2026</t>
        </is>
      </c>
      <c r="G2252" s="256" t="inlineStr">
        <is>
          <t>11.2</t>
        </is>
      </c>
      <c r="H2252" s="256" t="inlineStr">
        <is>
          <t>Cadmium (Cd)</t>
        </is>
      </c>
      <c r="I2252" s="256" t="inlineStr">
        <is>
          <t>Ph. Eur. 2.4.27 (ICP-MS)</t>
        </is>
      </c>
      <c r="J2252" s="256" t="inlineStr">
        <is>
          <t>≤ 0.3 mg/kg</t>
        </is>
      </c>
      <c r="K2252" s="256" t="inlineStr">
        <is>
          <t>ND</t>
        </is>
      </c>
      <c r="L2252" s="256" t="inlineStr">
        <is>
          <t>1056/2026</t>
        </is>
      </c>
      <c r="M2252" s="256" t="inlineStr">
        <is>
          <t>09.03.2026</t>
        </is>
      </c>
      <c r="N2252" s="256" t="inlineStr">
        <is>
          <t>IPH — Institute of Public Health</t>
        </is>
      </c>
      <c r="O2252" s="256" t="inlineStr">
        <is>
          <t>—</t>
        </is>
      </c>
      <c r="P2252" s="256" t="inlineStr">
        <is>
          <t>covered</t>
        </is>
      </c>
      <c r="Q2252" s="256" t="inlineStr"/>
      <c r="R2252" s="256" t="inlineStr"/>
    </row>
    <row r="2253">
      <c r="A2253" s="256" t="inlineStr">
        <is>
          <t>CoQ-PP_26-098</t>
        </is>
      </c>
      <c r="B2253" s="256" t="inlineStr">
        <is>
          <t>reissue — retest</t>
        </is>
      </c>
      <c r="C2253" s="256" t="inlineStr">
        <is>
          <t>J31102501</t>
        </is>
      </c>
      <c r="D2253" s="256" t="inlineStr">
        <is>
          <t>P060152</t>
        </is>
      </c>
      <c r="E2253" s="256" t="inlineStr">
        <is>
          <t>Jokerz 31</t>
        </is>
      </c>
      <c r="F2253" s="256" t="inlineStr">
        <is>
          <t>17.08.2026</t>
        </is>
      </c>
      <c r="G2253" s="256" t="inlineStr">
        <is>
          <t>11.3</t>
        </is>
      </c>
      <c r="H2253" s="256" t="inlineStr">
        <is>
          <t>Arsenic (As)</t>
        </is>
      </c>
      <c r="I2253" s="256" t="inlineStr">
        <is>
          <t>Ph. Eur. 2.4.27 (ICP-MS)</t>
        </is>
      </c>
      <c r="J2253" s="256" t="inlineStr">
        <is>
          <t>≤ 0.2 mg/kg</t>
        </is>
      </c>
      <c r="K2253" s="256" t="inlineStr">
        <is>
          <t>ND</t>
        </is>
      </c>
      <c r="L2253" s="256" t="inlineStr">
        <is>
          <t>1056/2026</t>
        </is>
      </c>
      <c r="M2253" s="256" t="inlineStr">
        <is>
          <t>09.03.2026</t>
        </is>
      </c>
      <c r="N2253" s="256" t="inlineStr">
        <is>
          <t>IPH — Institute of Public Health</t>
        </is>
      </c>
      <c r="O2253" s="256" t="inlineStr">
        <is>
          <t>—</t>
        </is>
      </c>
      <c r="P2253" s="256" t="inlineStr">
        <is>
          <t>covered</t>
        </is>
      </c>
      <c r="Q2253" s="256" t="inlineStr"/>
      <c r="R2253" s="256" t="inlineStr"/>
    </row>
    <row r="2254">
      <c r="A2254" s="256" t="inlineStr">
        <is>
          <t>CoQ-PP_26-098</t>
        </is>
      </c>
      <c r="B2254" s="256" t="inlineStr">
        <is>
          <t>reissue — retest</t>
        </is>
      </c>
      <c r="C2254" s="256" t="inlineStr">
        <is>
          <t>J31102501</t>
        </is>
      </c>
      <c r="D2254" s="256" t="inlineStr">
        <is>
          <t>P060152</t>
        </is>
      </c>
      <c r="E2254" s="256" t="inlineStr">
        <is>
          <t>Jokerz 31</t>
        </is>
      </c>
      <c r="F2254" s="256" t="inlineStr">
        <is>
          <t>17.08.2026</t>
        </is>
      </c>
      <c r="G2254" s="256" t="inlineStr">
        <is>
          <t>11.4</t>
        </is>
      </c>
      <c r="H2254" s="256" t="inlineStr">
        <is>
          <t>Mercury (Hg)</t>
        </is>
      </c>
      <c r="I2254" s="256" t="inlineStr">
        <is>
          <t>Ph. Eur. 2.4.27 (ICP-MS)</t>
        </is>
      </c>
      <c r="J2254" s="256" t="inlineStr">
        <is>
          <t>≤ 0.1 mg/kg</t>
        </is>
      </c>
      <c r="K2254" s="256" t="inlineStr">
        <is>
          <t>ND</t>
        </is>
      </c>
      <c r="L2254" s="256" t="inlineStr">
        <is>
          <t>1056/2026</t>
        </is>
      </c>
      <c r="M2254" s="256" t="inlineStr">
        <is>
          <t>09.03.2026</t>
        </is>
      </c>
      <c r="N2254" s="256" t="inlineStr">
        <is>
          <t>IPH — Institute of Public Health</t>
        </is>
      </c>
      <c r="O2254" s="256" t="inlineStr">
        <is>
          <t>—</t>
        </is>
      </c>
      <c r="P2254" s="256" t="inlineStr">
        <is>
          <t>covered</t>
        </is>
      </c>
      <c r="Q2254" s="256" t="inlineStr"/>
      <c r="R2254" s="256" t="inlineStr"/>
    </row>
    <row r="2255">
      <c r="A2255" s="256" t="inlineStr">
        <is>
          <t>CoQ-PP_26-098</t>
        </is>
      </c>
      <c r="B2255" s="256" t="inlineStr">
        <is>
          <t>reissue — retest</t>
        </is>
      </c>
      <c r="C2255" s="256" t="inlineStr">
        <is>
          <t>J31102501</t>
        </is>
      </c>
      <c r="D2255" s="256" t="inlineStr">
        <is>
          <t>P060152</t>
        </is>
      </c>
      <c r="E2255" s="256" t="inlineStr">
        <is>
          <t>Jokerz 31</t>
        </is>
      </c>
      <c r="F2255" s="256" t="inlineStr">
        <is>
          <t>17.08.2026</t>
        </is>
      </c>
      <c r="G2255" s="256" t="inlineStr">
        <is>
          <t>12</t>
        </is>
      </c>
      <c r="H2255" s="256" t="inlineStr">
        <is>
          <t>Pesticide Residues</t>
        </is>
      </c>
      <c r="I2255" s="256" t="inlineStr">
        <is>
          <t>Ph. Eur. 2.8.13 (LC-MS/MS) · CUMCS Equivalency</t>
        </is>
      </c>
      <c r="J2255" s="256" t="inlineStr">
        <is>
          <t>≤ LOQ as per Ph. Eur. 2.8.13 · ≤ LOQ as per CUMCS Equivalency</t>
        </is>
      </c>
      <c r="K2255" s="256" t="inlineStr">
        <is>
          <t>ND mg/kg — all 25 residues</t>
        </is>
      </c>
      <c r="L2255" s="256" t="inlineStr">
        <is>
          <t>1056/2026</t>
        </is>
      </c>
      <c r="M2255" s="256" t="inlineStr">
        <is>
          <t>09.03.2026</t>
        </is>
      </c>
      <c r="N2255" s="256" t="inlineStr">
        <is>
          <t>IJZ</t>
        </is>
      </c>
      <c r="O2255" s="256" t="inlineStr">
        <is>
          <t>—</t>
        </is>
      </c>
      <c r="P2255" s="256" t="inlineStr">
        <is>
          <t>carried from the initial testing (CoQ-PP-2026-0012) — covered</t>
        </is>
      </c>
      <c r="Q2255" s="256" t="inlineStr"/>
      <c r="R2255" s="256" t="inlineStr"/>
    </row>
    <row r="2256">
      <c r="A2256" s="256" t="inlineStr">
        <is>
          <t>CoQ-PP_26-099</t>
        </is>
      </c>
      <c r="B2256" s="256" t="inlineStr">
        <is>
          <t>reissue — retest</t>
        </is>
      </c>
      <c r="C2256" s="256" t="inlineStr">
        <is>
          <t>JD112501</t>
        </is>
      </c>
      <c r="D2256" s="256" t="inlineStr">
        <is>
          <t>P060212</t>
        </is>
      </c>
      <c r="E2256" s="256" t="inlineStr">
        <is>
          <t>Jelly Donuts</t>
        </is>
      </c>
      <c r="F2256" s="256" t="inlineStr">
        <is>
          <t>17.08.2026</t>
        </is>
      </c>
      <c r="G2256" s="256" t="inlineStr">
        <is>
          <t>1</t>
        </is>
      </c>
      <c r="H2256" s="256" t="inlineStr">
        <is>
          <t>Identification A, Appearance · Macroscopic</t>
        </is>
      </c>
      <c r="I2256" s="256" t="inlineStr">
        <is>
          <t>Ph. Eur. mon. 3028</t>
        </is>
      </c>
      <c r="J2256" s="256" t="inlineStr">
        <is>
          <t>Conforms to the monograph for Cannabis flos (07/2024:3028) in Ph. Eur. 11.0 | Согласно монографија за Cannabis flos (07/2024:3028) во Ph. Eur. 11.0</t>
        </is>
      </c>
      <c r="K2256" s="256" t="inlineStr">
        <is>
          <t>Conforms | Одговара</t>
        </is>
      </c>
      <c r="L2256" s="256" t="inlineStr">
        <is>
          <t>iCoA-PP_26-115</t>
        </is>
      </c>
      <c r="M2256" s="256" t="inlineStr">
        <is>
          <t>27.07.2026</t>
        </is>
      </c>
      <c r="N2256" s="256" t="inlineStr">
        <is>
          <t>Purely Plant GmbH (in-house)</t>
        </is>
      </c>
      <c r="O2256" s="256" t="inlineStr">
        <is>
          <t>—</t>
        </is>
      </c>
      <c r="P2256" s="256" t="inlineStr">
        <is>
          <t>covered</t>
        </is>
      </c>
      <c r="Q2256" s="256" t="inlineStr">
        <is>
          <t>Farmahem — Ident A + B + C with the Assay, at retest</t>
        </is>
      </c>
      <c r="R2256" s="256" t="inlineStr"/>
    </row>
    <row r="2257">
      <c r="A2257" s="256" t="inlineStr">
        <is>
          <t>CoQ-PP_26-099</t>
        </is>
      </c>
      <c r="B2257" s="256" t="inlineStr">
        <is>
          <t>reissue — retest</t>
        </is>
      </c>
      <c r="C2257" s="256" t="inlineStr">
        <is>
          <t>JD112501</t>
        </is>
      </c>
      <c r="D2257" s="256" t="inlineStr">
        <is>
          <t>P060212</t>
        </is>
      </c>
      <c r="E2257" s="256" t="inlineStr">
        <is>
          <t>Jelly Donuts</t>
        </is>
      </c>
      <c r="F2257" s="256" t="inlineStr">
        <is>
          <t>17.08.2026</t>
        </is>
      </c>
      <c r="G2257" s="256" t="inlineStr">
        <is>
          <t>2</t>
        </is>
      </c>
      <c r="H2257" s="256" t="inlineStr">
        <is>
          <t>Identification B · Microscopic</t>
        </is>
      </c>
      <c r="I2257" s="256" t="inlineStr">
        <is>
          <t>Ph. Eur. 2.8.23 (microscopy)</t>
        </is>
      </c>
      <c r="J2257" s="256" t="inlineStr">
        <is>
          <t>Conforms to the monograph for Cannabis flos (07/2024:3028) in Ph. Eur. 11.0 | Согласно монографија за Cannabis flos (07/2024:3028) во Ph. Eur. 11.0</t>
        </is>
      </c>
      <c r="K2257" s="256" t="inlineStr">
        <is>
          <t>Conforms | Одговара</t>
        </is>
      </c>
      <c r="L2257" s="256" t="inlineStr">
        <is>
          <t>iCoA-PP_26-115</t>
        </is>
      </c>
      <c r="M2257" s="256" t="inlineStr">
        <is>
          <t>27.07.2026</t>
        </is>
      </c>
      <c r="N2257" s="256" t="inlineStr">
        <is>
          <t>Purely Plant GmbH (in-house)</t>
        </is>
      </c>
      <c r="O2257" s="256" t="inlineStr">
        <is>
          <t>—</t>
        </is>
      </c>
      <c r="P2257" s="256" t="inlineStr">
        <is>
          <t>covered</t>
        </is>
      </c>
      <c r="Q2257" s="256" t="inlineStr">
        <is>
          <t>Farmahem — Ident A + B + C with the Assay, at retest</t>
        </is>
      </c>
      <c r="R2257" s="256" t="inlineStr"/>
    </row>
    <row r="2258">
      <c r="A2258" s="256" t="inlineStr">
        <is>
          <t>CoQ-PP_26-099</t>
        </is>
      </c>
      <c r="B2258" s="256" t="inlineStr">
        <is>
          <t>reissue — retest</t>
        </is>
      </c>
      <c r="C2258" s="256" t="inlineStr">
        <is>
          <t>JD112501</t>
        </is>
      </c>
      <c r="D2258" s="256" t="inlineStr">
        <is>
          <t>P060212</t>
        </is>
      </c>
      <c r="E2258" s="256" t="inlineStr">
        <is>
          <t>Jelly Donuts</t>
        </is>
      </c>
      <c r="F2258" s="256" t="inlineStr">
        <is>
          <t>17.08.2026</t>
        </is>
      </c>
      <c r="G2258" s="256" t="inlineStr">
        <is>
          <t>3</t>
        </is>
      </c>
      <c r="H2258" s="256" t="inlineStr">
        <is>
          <t>Identification C · HPLC/HPTLC</t>
        </is>
      </c>
      <c r="I2258" s="256" t="inlineStr">
        <is>
          <t>Ph. Eur. 2.2.29 (3028)</t>
        </is>
      </c>
      <c r="J2258" s="256" t="inlineStr">
        <is>
          <t>Conforms to the monograph for Cannabis flos (07/2024:3028) in Ph. Eur. 11.0 | Согласно монографија за Cannabis flos (07/2024:3028) во Ph. Eur. 11.0</t>
        </is>
      </c>
      <c r="K2258" s="256" t="inlineStr">
        <is>
          <t>Conforms | Одговара</t>
        </is>
      </c>
      <c r="L2258" s="256" t="inlineStr">
        <is>
          <t>197-15-К/26</t>
        </is>
      </c>
      <c r="M2258" s="256" t="inlineStr">
        <is>
          <t>07.08.2026</t>
        </is>
      </c>
      <c r="N2258" s="256" t="inlineStr">
        <is>
          <t>Farmahem</t>
        </is>
      </c>
      <c r="O2258" s="256" t="inlineStr">
        <is>
          <t>27.07.2026</t>
        </is>
      </c>
      <c r="P2258" s="256" t="inlineStr">
        <is>
          <t>covered</t>
        </is>
      </c>
      <c r="Q2258" s="256" t="inlineStr"/>
      <c r="R2258" s="256" t="inlineStr"/>
    </row>
    <row r="2259">
      <c r="A2259" s="256" t="inlineStr">
        <is>
          <t>CoQ-PP_26-099</t>
        </is>
      </c>
      <c r="B2259" s="256" t="inlineStr">
        <is>
          <t>reissue — retest</t>
        </is>
      </c>
      <c r="C2259" s="256" t="inlineStr">
        <is>
          <t>JD112501</t>
        </is>
      </c>
      <c r="D2259" s="256" t="inlineStr">
        <is>
          <t>P060212</t>
        </is>
      </c>
      <c r="E2259" s="256" t="inlineStr">
        <is>
          <t>Jelly Donuts</t>
        </is>
      </c>
      <c r="F2259" s="256" t="inlineStr">
        <is>
          <t>17.08.2026</t>
        </is>
      </c>
      <c r="G2259" s="256" t="inlineStr">
        <is>
          <t>4</t>
        </is>
      </c>
      <c r="H2259" s="256" t="inlineStr">
        <is>
          <t>Assay — Total Δ⁹-THC</t>
        </is>
      </c>
      <c r="I2259" s="256" t="inlineStr">
        <is>
          <t>Ph. Eur. 2.2.29 (HPLC)</t>
        </is>
      </c>
      <c r="J2259" s="256" t="inlineStr">
        <is>
          <t>19.80 – 24.19 %  (grade I, nominal 22.00 ± 2.20)</t>
        </is>
      </c>
      <c r="K2259" s="256" t="inlineStr">
        <is>
          <t>20.32</t>
        </is>
      </c>
      <c r="L2259" s="256" t="inlineStr">
        <is>
          <t>197-15-К/26</t>
        </is>
      </c>
      <c r="M2259" s="256" t="inlineStr">
        <is>
          <t>07.08.2026</t>
        </is>
      </c>
      <c r="N2259" s="256" t="inlineStr">
        <is>
          <t>Farmahem</t>
        </is>
      </c>
      <c r="O2259" s="256" t="inlineStr">
        <is>
          <t>27.07.2026</t>
        </is>
      </c>
      <c r="P2259" s="256" t="inlineStr">
        <is>
          <t>covered</t>
        </is>
      </c>
      <c r="Q2259" s="256" t="inlineStr"/>
      <c r="R2259" s="256" t="inlineStr"/>
    </row>
    <row r="2260">
      <c r="A2260" s="256" t="inlineStr">
        <is>
          <t>CoQ-PP_26-099</t>
        </is>
      </c>
      <c r="B2260" s="256" t="inlineStr">
        <is>
          <t>reissue — retest</t>
        </is>
      </c>
      <c r="C2260" s="256" t="inlineStr">
        <is>
          <t>JD112501</t>
        </is>
      </c>
      <c r="D2260" s="256" t="inlineStr">
        <is>
          <t>P060212</t>
        </is>
      </c>
      <c r="E2260" s="256" t="inlineStr">
        <is>
          <t>Jelly Donuts</t>
        </is>
      </c>
      <c r="F2260" s="256" t="inlineStr">
        <is>
          <t>17.08.2026</t>
        </is>
      </c>
      <c r="G2260" s="256" t="inlineStr">
        <is>
          <t>5</t>
        </is>
      </c>
      <c r="H2260" s="256" t="inlineStr">
        <is>
          <t>Assay — Total CBD</t>
        </is>
      </c>
      <c r="I2260" s="256" t="inlineStr">
        <is>
          <t>Ph. Eur. 2.2.29 (HPLC) · CBD + CBDA x 0.877</t>
        </is>
      </c>
      <c r="J2260" s="256" t="inlineStr">
        <is>
          <t>≤ 1.0%, w/w</t>
        </is>
      </c>
      <c r="K2260" s="256" t="inlineStr">
        <is>
          <t>&lt; LOQ</t>
        </is>
      </c>
      <c r="L2260" s="256" t="inlineStr">
        <is>
          <t>197-15-К/26</t>
        </is>
      </c>
      <c r="M2260" s="256" t="inlineStr">
        <is>
          <t>07.08.2026</t>
        </is>
      </c>
      <c r="N2260" s="256" t="inlineStr">
        <is>
          <t>Farmahem</t>
        </is>
      </c>
      <c r="O2260" s="256" t="inlineStr">
        <is>
          <t>27.07.2026</t>
        </is>
      </c>
      <c r="P2260" s="256" t="inlineStr">
        <is>
          <t>covered</t>
        </is>
      </c>
      <c r="Q2260" s="256" t="inlineStr"/>
      <c r="R2260" s="256" t="inlineStr"/>
    </row>
    <row r="2261">
      <c r="A2261" s="256" t="inlineStr">
        <is>
          <t>CoQ-PP_26-099</t>
        </is>
      </c>
      <c r="B2261" s="256" t="inlineStr">
        <is>
          <t>reissue — retest</t>
        </is>
      </c>
      <c r="C2261" s="256" t="inlineStr">
        <is>
          <t>JD112501</t>
        </is>
      </c>
      <c r="D2261" s="256" t="inlineStr">
        <is>
          <t>P060212</t>
        </is>
      </c>
      <c r="E2261" s="256" t="inlineStr">
        <is>
          <t>Jelly Donuts</t>
        </is>
      </c>
      <c r="F2261" s="256" t="inlineStr">
        <is>
          <t>17.08.2026</t>
        </is>
      </c>
      <c r="G2261" s="256" t="inlineStr">
        <is>
          <t>6</t>
        </is>
      </c>
      <c r="H2261" s="256" t="inlineStr">
        <is>
          <t>Total CBN</t>
        </is>
      </c>
      <c r="I2261" s="256" t="inlineStr">
        <is>
          <t>Ph. Eur. 2.2.29 (HPLC) · CBN + CBNA x 0.876</t>
        </is>
      </c>
      <c r="J2261" s="256" t="inlineStr">
        <is>
          <t>≤ 1.0%, w/w</t>
        </is>
      </c>
      <c r="K2261" s="256" t="inlineStr">
        <is>
          <t>&lt; LOQ</t>
        </is>
      </c>
      <c r="L2261" s="256" t="inlineStr">
        <is>
          <t>197-15-К/26</t>
        </is>
      </c>
      <c r="M2261" s="256" t="inlineStr">
        <is>
          <t>07.08.2026</t>
        </is>
      </c>
      <c r="N2261" s="256" t="inlineStr">
        <is>
          <t>Farmahem</t>
        </is>
      </c>
      <c r="O2261" s="256" t="inlineStr">
        <is>
          <t>27.07.2026</t>
        </is>
      </c>
      <c r="P2261" s="256" t="inlineStr">
        <is>
          <t>covered</t>
        </is>
      </c>
      <c r="Q2261" s="256" t="inlineStr"/>
      <c r="R2261" s="256" t="inlineStr"/>
    </row>
    <row r="2262">
      <c r="A2262" s="256" t="inlineStr">
        <is>
          <t>CoQ-PP_26-099</t>
        </is>
      </c>
      <c r="B2262" s="256" t="inlineStr">
        <is>
          <t>reissue — retest</t>
        </is>
      </c>
      <c r="C2262" s="256" t="inlineStr">
        <is>
          <t>JD112501</t>
        </is>
      </c>
      <c r="D2262" s="256" t="inlineStr">
        <is>
          <t>P060212</t>
        </is>
      </c>
      <c r="E2262" s="256" t="inlineStr">
        <is>
          <t>Jelly Donuts</t>
        </is>
      </c>
      <c r="F2262" s="256" t="inlineStr">
        <is>
          <t>17.08.2026</t>
        </is>
      </c>
      <c r="G2262" s="256" t="inlineStr">
        <is>
          <t>7</t>
        </is>
      </c>
      <c r="H2262" s="256" t="inlineStr">
        <is>
          <t>Foreign Matter</t>
        </is>
      </c>
      <c r="I2262" s="256" t="inlineStr">
        <is>
          <t>Ph. Eur. 2.8.2 · In-house · интерна</t>
        </is>
      </c>
      <c r="J2262" s="256" t="inlineStr">
        <is>
          <t>≤ 2.0% / 25–50 g · &lt; 1 cm leaves | листови, no seeds | без семки</t>
        </is>
      </c>
      <c r="K2262" s="256" t="inlineStr">
        <is>
          <t>Conforms | Одговара</t>
        </is>
      </c>
      <c r="L2262" s="256" t="inlineStr">
        <is>
          <t>iCoA-PP_26-115</t>
        </is>
      </c>
      <c r="M2262" s="256" t="inlineStr">
        <is>
          <t>27.07.2026</t>
        </is>
      </c>
      <c r="N2262" s="256" t="inlineStr">
        <is>
          <t>Purely Plant GmbH (in-house)</t>
        </is>
      </c>
      <c r="O2262" s="256" t="inlineStr">
        <is>
          <t>—</t>
        </is>
      </c>
      <c r="P2262" s="256" t="inlineStr">
        <is>
          <t>covered</t>
        </is>
      </c>
      <c r="Q2262" s="256" t="inlineStr">
        <is>
          <t>Purely Plant laboratory — iCoA covering Foreign matter</t>
        </is>
      </c>
      <c r="R2262" s="256" t="inlineStr"/>
    </row>
    <row r="2263">
      <c r="A2263" s="256" t="inlineStr">
        <is>
          <t>CoQ-PP_26-099</t>
        </is>
      </c>
      <c r="B2263" s="256" t="inlineStr">
        <is>
          <t>reissue — retest</t>
        </is>
      </c>
      <c r="C2263" s="256" t="inlineStr">
        <is>
          <t>JD112501</t>
        </is>
      </c>
      <c r="D2263" s="256" t="inlineStr">
        <is>
          <t>P060212</t>
        </is>
      </c>
      <c r="E2263" s="256" t="inlineStr">
        <is>
          <t>Jelly Donuts</t>
        </is>
      </c>
      <c r="F2263" s="256" t="inlineStr">
        <is>
          <t>17.08.2026</t>
        </is>
      </c>
      <c r="G2263" s="256" t="inlineStr">
        <is>
          <t>8</t>
        </is>
      </c>
      <c r="H2263" s="256" t="inlineStr">
        <is>
          <t>Loss on Drying</t>
        </is>
      </c>
      <c r="I2263" s="256" t="inlineStr">
        <is>
          <t>DAB 2018 monograph Cannabis flos, 2.2.32 — loss on drying (CNP, before its Ph. Eur. 3028 accreditation)</t>
        </is>
      </c>
      <c r="J2263" s="256" t="inlineStr">
        <is>
          <t>≤ 12.0%</t>
        </is>
      </c>
      <c r="K2263" s="256" t="inlineStr">
        <is>
          <t>6.69</t>
        </is>
      </c>
      <c r="L2263" s="256" t="inlineStr">
        <is>
          <t>ППК26063</t>
        </is>
      </c>
      <c r="M2263" s="256" t="inlineStr">
        <is>
          <t>11.05.2026</t>
        </is>
      </c>
      <c r="N2263" s="256" t="inlineStr">
        <is>
          <t>UKIM Faculty of Pharmacy — Center for Natural Products</t>
        </is>
      </c>
      <c r="O2263" s="256" t="inlineStr">
        <is>
          <t>21.04.2026</t>
        </is>
      </c>
      <c r="P2263" s="256" t="inlineStr">
        <is>
          <t>carried from the initial testing (CoQ-PP-2026-0015) — covered</t>
        </is>
      </c>
      <c r="Q2263" s="256" t="inlineStr"/>
      <c r="R2263" s="256" t="inlineStr"/>
    </row>
    <row r="2264">
      <c r="A2264" s="256" t="inlineStr">
        <is>
          <t>CoQ-PP_26-099</t>
        </is>
      </c>
      <c r="B2264" s="256" t="inlineStr">
        <is>
          <t>reissue — retest</t>
        </is>
      </c>
      <c r="C2264" s="256" t="inlineStr">
        <is>
          <t>JD112501</t>
        </is>
      </c>
      <c r="D2264" s="256" t="inlineStr">
        <is>
          <t>P060212</t>
        </is>
      </c>
      <c r="E2264" s="256" t="inlineStr">
        <is>
          <t>Jelly Donuts</t>
        </is>
      </c>
      <c r="F2264" s="256" t="inlineStr">
        <is>
          <t>17.08.2026</t>
        </is>
      </c>
      <c r="G2264" s="256" t="inlineStr">
        <is>
          <t>9.1</t>
        </is>
      </c>
      <c r="H2264" s="256" t="inlineStr">
        <is>
          <t>TAMC</t>
        </is>
      </c>
      <c r="I2264" s="256" t="inlineStr">
        <is>
          <t>Ph. Eur. 2.6.12 cat. C</t>
        </is>
      </c>
      <c r="J2264" s="256" t="inlineStr">
        <is>
          <t>≤ 10⁵ CFU/g</t>
        </is>
      </c>
      <c r="K2264" s="256" t="inlineStr">
        <is>
          <t>2,6 × 10³</t>
        </is>
      </c>
      <c r="L2264" s="256" t="inlineStr">
        <is>
          <t>307/0551/26</t>
        </is>
      </c>
      <c r="M2264" s="256" t="inlineStr">
        <is>
          <t>28.04.2026</t>
        </is>
      </c>
      <c r="N2264" s="256" t="inlineStr">
        <is>
          <t>IPH — Institute of Public Health</t>
        </is>
      </c>
      <c r="O2264" s="256" t="inlineStr">
        <is>
          <t>22.04.2026</t>
        </is>
      </c>
      <c r="P2264" s="256" t="inlineStr">
        <is>
          <t>carried from the initial testing (CoQ-PP-2026-0015) — covered</t>
        </is>
      </c>
      <c r="Q2264" s="256" t="inlineStr"/>
      <c r="R2264" s="256" t="inlineStr"/>
    </row>
    <row r="2265">
      <c r="A2265" s="256" t="inlineStr">
        <is>
          <t>CoQ-PP_26-099</t>
        </is>
      </c>
      <c r="B2265" s="256" t="inlineStr">
        <is>
          <t>reissue — retest</t>
        </is>
      </c>
      <c r="C2265" s="256" t="inlineStr">
        <is>
          <t>JD112501</t>
        </is>
      </c>
      <c r="D2265" s="256" t="inlineStr">
        <is>
          <t>P060212</t>
        </is>
      </c>
      <c r="E2265" s="256" t="inlineStr">
        <is>
          <t>Jelly Donuts</t>
        </is>
      </c>
      <c r="F2265" s="256" t="inlineStr">
        <is>
          <t>17.08.2026</t>
        </is>
      </c>
      <c r="G2265" s="256" t="inlineStr">
        <is>
          <t>9.2</t>
        </is>
      </c>
      <c r="H2265" s="256" t="inlineStr">
        <is>
          <t>TYMC</t>
        </is>
      </c>
      <c r="I2265" s="256" t="inlineStr">
        <is>
          <t>Ph. Eur. 2.6.12 cat. C</t>
        </is>
      </c>
      <c r="J2265" s="256" t="inlineStr">
        <is>
          <t>≤ 10⁴ CFU/g</t>
        </is>
      </c>
      <c r="K2265" s="256" t="inlineStr">
        <is>
          <t>3,3 × 10³</t>
        </is>
      </c>
      <c r="L2265" s="256" t="inlineStr">
        <is>
          <t>307/0551/26</t>
        </is>
      </c>
      <c r="M2265" s="256" t="inlineStr">
        <is>
          <t>28.04.2026</t>
        </is>
      </c>
      <c r="N2265" s="256" t="inlineStr">
        <is>
          <t>IPH — Institute of Public Health</t>
        </is>
      </c>
      <c r="O2265" s="256" t="inlineStr">
        <is>
          <t>22.04.2026</t>
        </is>
      </c>
      <c r="P2265" s="256" t="inlineStr">
        <is>
          <t>carried from the initial testing (CoQ-PP-2026-0015) — covered</t>
        </is>
      </c>
      <c r="Q2265" s="256" t="inlineStr"/>
      <c r="R2265" s="256" t="inlineStr"/>
    </row>
    <row r="2266">
      <c r="A2266" s="256" t="inlineStr">
        <is>
          <t>CoQ-PP_26-099</t>
        </is>
      </c>
      <c r="B2266" s="256" t="inlineStr">
        <is>
          <t>reissue — retest</t>
        </is>
      </c>
      <c r="C2266" s="256" t="inlineStr">
        <is>
          <t>JD112501</t>
        </is>
      </c>
      <c r="D2266" s="256" t="inlineStr">
        <is>
          <t>P060212</t>
        </is>
      </c>
      <c r="E2266" s="256" t="inlineStr">
        <is>
          <t>Jelly Donuts</t>
        </is>
      </c>
      <c r="F2266" s="256" t="inlineStr">
        <is>
          <t>17.08.2026</t>
        </is>
      </c>
      <c r="G2266" s="256" t="inlineStr">
        <is>
          <t>9.3</t>
        </is>
      </c>
      <c r="H2266" s="256" t="inlineStr">
        <is>
          <t>Bile-tolerant gram-neg.</t>
        </is>
      </c>
      <c r="I2266" s="256" t="inlineStr">
        <is>
          <t>Ph. Eur. 2.6.31 cat. C</t>
        </is>
      </c>
      <c r="J2266" s="256" t="inlineStr">
        <is>
          <t>≤ 10⁴ CFU/g</t>
        </is>
      </c>
      <c r="K2266" s="256" t="inlineStr">
        <is>
          <t>&lt; 10³ and &gt; 10²</t>
        </is>
      </c>
      <c r="L2266" s="256" t="inlineStr">
        <is>
          <t>307/0551/26</t>
        </is>
      </c>
      <c r="M2266" s="256" t="inlineStr">
        <is>
          <t>28.04.2026</t>
        </is>
      </c>
      <c r="N2266" s="256" t="inlineStr">
        <is>
          <t>IPH — Institute of Public Health</t>
        </is>
      </c>
      <c r="O2266" s="256" t="inlineStr">
        <is>
          <t>22.04.2026</t>
        </is>
      </c>
      <c r="P2266" s="256" t="inlineStr">
        <is>
          <t>carried from the initial testing (CoQ-PP-2026-0015) — covered</t>
        </is>
      </c>
      <c r="Q2266" s="256" t="inlineStr"/>
      <c r="R2266" s="256" t="inlineStr"/>
    </row>
    <row r="2267">
      <c r="A2267" s="256" t="inlineStr">
        <is>
          <t>CoQ-PP_26-099</t>
        </is>
      </c>
      <c r="B2267" s="256" t="inlineStr">
        <is>
          <t>reissue — retest</t>
        </is>
      </c>
      <c r="C2267" s="256" t="inlineStr">
        <is>
          <t>JD112501</t>
        </is>
      </c>
      <c r="D2267" s="256" t="inlineStr">
        <is>
          <t>P060212</t>
        </is>
      </c>
      <c r="E2267" s="256" t="inlineStr">
        <is>
          <t>Jelly Donuts</t>
        </is>
      </c>
      <c r="F2267" s="256" t="inlineStr">
        <is>
          <t>17.08.2026</t>
        </is>
      </c>
      <c r="G2267" s="256" t="inlineStr">
        <is>
          <t>9.4</t>
        </is>
      </c>
      <c r="H2267" s="256" t="inlineStr">
        <is>
          <t>Salmonella</t>
        </is>
      </c>
      <c r="I2267" s="256" t="inlineStr">
        <is>
          <t>Ph. Eur. 2.6.31 cat. C</t>
        </is>
      </c>
      <c r="J2267" s="256" t="inlineStr">
        <is>
          <t>Absence | Отсуство / 25 g</t>
        </is>
      </c>
      <c r="K2267" s="256" t="inlineStr">
        <is>
          <t>Absent | Отсутна</t>
        </is>
      </c>
      <c r="L2267" s="256" t="inlineStr">
        <is>
          <t>307/0551/26</t>
        </is>
      </c>
      <c r="M2267" s="256" t="inlineStr">
        <is>
          <t>28.04.2026</t>
        </is>
      </c>
      <c r="N2267" s="256" t="inlineStr">
        <is>
          <t>IPH — Institute of Public Health</t>
        </is>
      </c>
      <c r="O2267" s="256" t="inlineStr">
        <is>
          <t>22.04.2026</t>
        </is>
      </c>
      <c r="P2267" s="256" t="inlineStr">
        <is>
          <t>carried from the initial testing (CoQ-PP-2026-0015) — covered</t>
        </is>
      </c>
      <c r="Q2267" s="256" t="inlineStr"/>
      <c r="R2267" s="256" t="inlineStr"/>
    </row>
    <row r="2268">
      <c r="A2268" s="256" t="inlineStr">
        <is>
          <t>CoQ-PP_26-099</t>
        </is>
      </c>
      <c r="B2268" s="256" t="inlineStr">
        <is>
          <t>reissue — retest</t>
        </is>
      </c>
      <c r="C2268" s="256" t="inlineStr">
        <is>
          <t>JD112501</t>
        </is>
      </c>
      <c r="D2268" s="256" t="inlineStr">
        <is>
          <t>P060212</t>
        </is>
      </c>
      <c r="E2268" s="256" t="inlineStr">
        <is>
          <t>Jelly Donuts</t>
        </is>
      </c>
      <c r="F2268" s="256" t="inlineStr">
        <is>
          <t>17.08.2026</t>
        </is>
      </c>
      <c r="G2268" s="256" t="inlineStr">
        <is>
          <t>9.5</t>
        </is>
      </c>
      <c r="H2268" s="256" t="inlineStr">
        <is>
          <t>Escherichia coli</t>
        </is>
      </c>
      <c r="I2268" s="256" t="inlineStr">
        <is>
          <t>Ph. Eur. 2.6.13 cat. C</t>
        </is>
      </c>
      <c r="J2268" s="256" t="inlineStr">
        <is>
          <t>Absence | Отсуство / 1 g</t>
        </is>
      </c>
      <c r="K2268" s="256" t="inlineStr">
        <is>
          <t>Absent | Отсутна</t>
        </is>
      </c>
      <c r="L2268" s="256" t="inlineStr">
        <is>
          <t>307/0551/26</t>
        </is>
      </c>
      <c r="M2268" s="256" t="inlineStr">
        <is>
          <t>28.04.2026</t>
        </is>
      </c>
      <c r="N2268" s="256" t="inlineStr">
        <is>
          <t>IPH — Institute of Public Health</t>
        </is>
      </c>
      <c r="O2268" s="256" t="inlineStr">
        <is>
          <t>22.04.2026</t>
        </is>
      </c>
      <c r="P2268" s="256" t="inlineStr">
        <is>
          <t>carried from the initial testing (CoQ-PP-2026-0015) — covered</t>
        </is>
      </c>
      <c r="Q2268" s="256" t="inlineStr"/>
      <c r="R2268" s="256" t="inlineStr"/>
    </row>
    <row r="2269">
      <c r="A2269" s="256" t="inlineStr">
        <is>
          <t>CoQ-PP_26-099</t>
        </is>
      </c>
      <c r="B2269" s="256" t="inlineStr">
        <is>
          <t>reissue — retest</t>
        </is>
      </c>
      <c r="C2269" s="256" t="inlineStr">
        <is>
          <t>JD112501</t>
        </is>
      </c>
      <c r="D2269" s="256" t="inlineStr">
        <is>
          <t>P060212</t>
        </is>
      </c>
      <c r="E2269" s="256" t="inlineStr">
        <is>
          <t>Jelly Donuts</t>
        </is>
      </c>
      <c r="F2269" s="256" t="inlineStr">
        <is>
          <t>17.08.2026</t>
        </is>
      </c>
      <c r="G2269" s="256" t="inlineStr">
        <is>
          <t>9.6</t>
        </is>
      </c>
      <c r="H2269" s="256" t="inlineStr">
        <is>
          <t>Pseudomonas aeruginosa</t>
        </is>
      </c>
      <c r="I2269" s="256" t="inlineStr">
        <is>
          <t>Ph. Eur. 2.6.13 cat. C</t>
        </is>
      </c>
      <c r="J2269" s="256" t="inlineStr">
        <is>
          <t>Absence | Отсуство / 1 g</t>
        </is>
      </c>
      <c r="K2269" s="260" t="inlineStr">
        <is>
          <t>upon request — not required for release</t>
        </is>
      </c>
      <c r="L2269" s="256" t="inlineStr">
        <is>
          <t>—</t>
        </is>
      </c>
      <c r="M2269" s="256" t="inlineStr">
        <is>
          <t>—</t>
        </is>
      </c>
      <c r="N2269" s="256" t="inlineStr">
        <is>
          <t>—</t>
        </is>
      </c>
      <c r="O2269" s="256" t="inlineStr">
        <is>
          <t>—</t>
        </is>
      </c>
      <c r="P2269" s="256" t="inlineStr">
        <is>
          <t>upon request — not required for release</t>
        </is>
      </c>
      <c r="Q2269" s="256" t="inlineStr"/>
      <c r="R2269" s="256" t="inlineStr"/>
    </row>
    <row r="2270">
      <c r="A2270" s="256" t="inlineStr">
        <is>
          <t>CoQ-PP_26-099</t>
        </is>
      </c>
      <c r="B2270" s="256" t="inlineStr">
        <is>
          <t>reissue — retest</t>
        </is>
      </c>
      <c r="C2270" s="256" t="inlineStr">
        <is>
          <t>JD112501</t>
        </is>
      </c>
      <c r="D2270" s="256" t="inlineStr">
        <is>
          <t>P060212</t>
        </is>
      </c>
      <c r="E2270" s="256" t="inlineStr">
        <is>
          <t>Jelly Donuts</t>
        </is>
      </c>
      <c r="F2270" s="256" t="inlineStr">
        <is>
          <t>17.08.2026</t>
        </is>
      </c>
      <c r="G2270" s="256" t="inlineStr">
        <is>
          <t>9.7</t>
        </is>
      </c>
      <c r="H2270" s="256" t="inlineStr">
        <is>
          <t>Staphylococcus aureus</t>
        </is>
      </c>
      <c r="I2270" s="256" t="inlineStr">
        <is>
          <t>Ph. Eur. 2.6.13 cat. C</t>
        </is>
      </c>
      <c r="J2270" s="256" t="inlineStr">
        <is>
          <t>Absence | Отсуство / 1 g</t>
        </is>
      </c>
      <c r="K2270" s="260" t="inlineStr">
        <is>
          <t>upon request — not required for release</t>
        </is>
      </c>
      <c r="L2270" s="256" t="inlineStr">
        <is>
          <t>—</t>
        </is>
      </c>
      <c r="M2270" s="256" t="inlineStr">
        <is>
          <t>—</t>
        </is>
      </c>
      <c r="N2270" s="256" t="inlineStr">
        <is>
          <t>—</t>
        </is>
      </c>
      <c r="O2270" s="256" t="inlineStr">
        <is>
          <t>—</t>
        </is>
      </c>
      <c r="P2270" s="256" t="inlineStr">
        <is>
          <t>upon request — not required for release</t>
        </is>
      </c>
      <c r="Q2270" s="256" t="inlineStr"/>
      <c r="R2270" s="256" t="inlineStr"/>
    </row>
    <row r="2271">
      <c r="A2271" s="256" t="inlineStr">
        <is>
          <t>CoQ-PP_26-099</t>
        </is>
      </c>
      <c r="B2271" s="256" t="inlineStr">
        <is>
          <t>reissue — retest</t>
        </is>
      </c>
      <c r="C2271" s="256" t="inlineStr">
        <is>
          <t>JD112501</t>
        </is>
      </c>
      <c r="D2271" s="256" t="inlineStr">
        <is>
          <t>P060212</t>
        </is>
      </c>
      <c r="E2271" s="256" t="inlineStr">
        <is>
          <t>Jelly Donuts</t>
        </is>
      </c>
      <c r="F2271" s="256" t="inlineStr">
        <is>
          <t>17.08.2026</t>
        </is>
      </c>
      <c r="G2271" s="256" t="inlineStr">
        <is>
          <t>10.1</t>
        </is>
      </c>
      <c r="H2271" s="256" t="inlineStr">
        <is>
          <t>Aflatoxin B₁</t>
        </is>
      </c>
      <c r="I2271" s="256" t="inlineStr">
        <is>
          <t>Ph. Eur. 2.8.18 (HPLC-FLD)</t>
        </is>
      </c>
      <c r="J2271" s="256" t="inlineStr">
        <is>
          <t>≤ 2 µg/kg</t>
        </is>
      </c>
      <c r="K2271" s="256" t="inlineStr">
        <is>
          <t>ND</t>
        </is>
      </c>
      <c r="L2271" s="256" t="inlineStr">
        <is>
          <t>197-15-М/26</t>
        </is>
      </c>
      <c r="M2271" s="256" t="inlineStr">
        <is>
          <t>10.08.2026</t>
        </is>
      </c>
      <c r="N2271" s="256" t="inlineStr">
        <is>
          <t>Farmahem</t>
        </is>
      </c>
      <c r="O2271" s="256" t="inlineStr">
        <is>
          <t>29.07.2026</t>
        </is>
      </c>
      <c r="P2271" s="256" t="inlineStr">
        <is>
          <t>covered</t>
        </is>
      </c>
      <c r="Q2271" s="256" t="inlineStr"/>
      <c r="R2271" s="256" t="inlineStr"/>
    </row>
    <row r="2272">
      <c r="A2272" s="256" t="inlineStr">
        <is>
          <t>CoQ-PP_26-099</t>
        </is>
      </c>
      <c r="B2272" s="256" t="inlineStr">
        <is>
          <t>reissue — retest</t>
        </is>
      </c>
      <c r="C2272" s="256" t="inlineStr">
        <is>
          <t>JD112501</t>
        </is>
      </c>
      <c r="D2272" s="256" t="inlineStr">
        <is>
          <t>P060212</t>
        </is>
      </c>
      <c r="E2272" s="256" t="inlineStr">
        <is>
          <t>Jelly Donuts</t>
        </is>
      </c>
      <c r="F2272" s="256" t="inlineStr">
        <is>
          <t>17.08.2026</t>
        </is>
      </c>
      <c r="G2272" s="256" t="inlineStr">
        <is>
          <t>10.2</t>
        </is>
      </c>
      <c r="H2272" s="256" t="inlineStr">
        <is>
          <t>Aflatoxins ∑</t>
        </is>
      </c>
      <c r="I2272" s="256" t="inlineStr">
        <is>
          <t>Ph. Eur. 2.8.18 (HPLC-FLD)</t>
        </is>
      </c>
      <c r="J2272" s="256" t="inlineStr">
        <is>
          <t>≤ 4 µg/kg</t>
        </is>
      </c>
      <c r="K2272" s="256" t="inlineStr">
        <is>
          <t>ND</t>
        </is>
      </c>
      <c r="L2272" s="256" t="inlineStr">
        <is>
          <t>197-15-М/26</t>
        </is>
      </c>
      <c r="M2272" s="256" t="inlineStr">
        <is>
          <t>10.08.2026</t>
        </is>
      </c>
      <c r="N2272" s="256" t="inlineStr">
        <is>
          <t>Farmahem</t>
        </is>
      </c>
      <c r="O2272" s="256" t="inlineStr">
        <is>
          <t>29.07.2026</t>
        </is>
      </c>
      <c r="P2272" s="256" t="inlineStr">
        <is>
          <t>covered</t>
        </is>
      </c>
      <c r="Q2272" s="256" t="inlineStr"/>
      <c r="R2272" s="256" t="inlineStr"/>
    </row>
    <row r="2273">
      <c r="A2273" s="256" t="inlineStr">
        <is>
          <t>CoQ-PP_26-099</t>
        </is>
      </c>
      <c r="B2273" s="256" t="inlineStr">
        <is>
          <t>reissue — retest</t>
        </is>
      </c>
      <c r="C2273" s="256" t="inlineStr">
        <is>
          <t>JD112501</t>
        </is>
      </c>
      <c r="D2273" s="256" t="inlineStr">
        <is>
          <t>P060212</t>
        </is>
      </c>
      <c r="E2273" s="256" t="inlineStr">
        <is>
          <t>Jelly Donuts</t>
        </is>
      </c>
      <c r="F2273" s="256" t="inlineStr">
        <is>
          <t>17.08.2026</t>
        </is>
      </c>
      <c r="G2273" s="256" t="inlineStr">
        <is>
          <t>10.3</t>
        </is>
      </c>
      <c r="H2273" s="256" t="inlineStr">
        <is>
          <t>Ochratoxin A</t>
        </is>
      </c>
      <c r="I2273" s="256" t="inlineStr">
        <is>
          <t>Ph. Eur. 2.8.22 (HPLC-FLD)</t>
        </is>
      </c>
      <c r="J2273" s="256" t="inlineStr">
        <is>
          <t>≤ 20 µg/kg</t>
        </is>
      </c>
      <c r="K2273" s="256" t="inlineStr">
        <is>
          <t>ND</t>
        </is>
      </c>
      <c r="L2273" s="256" t="inlineStr">
        <is>
          <t>197-15-М/26</t>
        </is>
      </c>
      <c r="M2273" s="256" t="inlineStr">
        <is>
          <t>10.08.2026</t>
        </is>
      </c>
      <c r="N2273" s="256" t="inlineStr">
        <is>
          <t>Farmahem</t>
        </is>
      </c>
      <c r="O2273" s="256" t="inlineStr">
        <is>
          <t>29.07.2026</t>
        </is>
      </c>
      <c r="P2273" s="256" t="inlineStr">
        <is>
          <t>covered</t>
        </is>
      </c>
      <c r="Q2273" s="256" t="inlineStr"/>
      <c r="R2273" s="256" t="inlineStr"/>
    </row>
    <row r="2274">
      <c r="A2274" s="256" t="inlineStr">
        <is>
          <t>CoQ-PP_26-099</t>
        </is>
      </c>
      <c r="B2274" s="256" t="inlineStr">
        <is>
          <t>reissue — retest</t>
        </is>
      </c>
      <c r="C2274" s="256" t="inlineStr">
        <is>
          <t>JD112501</t>
        </is>
      </c>
      <c r="D2274" s="256" t="inlineStr">
        <is>
          <t>P060212</t>
        </is>
      </c>
      <c r="E2274" s="256" t="inlineStr">
        <is>
          <t>Jelly Donuts</t>
        </is>
      </c>
      <c r="F2274" s="256" t="inlineStr">
        <is>
          <t>17.08.2026</t>
        </is>
      </c>
      <c r="G2274" s="256" t="inlineStr">
        <is>
          <t>11.1</t>
        </is>
      </c>
      <c r="H2274" s="256" t="inlineStr">
        <is>
          <t>Lead (Pb)</t>
        </is>
      </c>
      <c r="I2274" s="256" t="inlineStr">
        <is>
          <t>Ph. Eur. 2.4.27 (ICP-MS)</t>
        </is>
      </c>
      <c r="J2274" s="256" t="inlineStr">
        <is>
          <t>≤ 0.5 mg/kg</t>
        </is>
      </c>
      <c r="K2274" s="256" t="inlineStr">
        <is>
          <t>0.022</t>
        </is>
      </c>
      <c r="L2274" s="256" t="inlineStr">
        <is>
          <t>2361/2026</t>
        </is>
      </c>
      <c r="M2274" s="256" t="inlineStr">
        <is>
          <t>30.04.2026</t>
        </is>
      </c>
      <c r="N2274" s="256" t="inlineStr">
        <is>
          <t>IPH — Institute of Public Health</t>
        </is>
      </c>
      <c r="O2274" s="256" t="inlineStr">
        <is>
          <t>21.04.2026</t>
        </is>
      </c>
      <c r="P2274" s="256" t="inlineStr">
        <is>
          <t>carried from the initial testing (CoQ-PP-2026-0015) — covered</t>
        </is>
      </c>
      <c r="Q2274" s="256" t="inlineStr"/>
      <c r="R2274" s="256" t="inlineStr"/>
    </row>
    <row r="2275">
      <c r="A2275" s="256" t="inlineStr">
        <is>
          <t>CoQ-PP_26-099</t>
        </is>
      </c>
      <c r="B2275" s="256" t="inlineStr">
        <is>
          <t>reissue — retest</t>
        </is>
      </c>
      <c r="C2275" s="256" t="inlineStr">
        <is>
          <t>JD112501</t>
        </is>
      </c>
      <c r="D2275" s="256" t="inlineStr">
        <is>
          <t>P060212</t>
        </is>
      </c>
      <c r="E2275" s="256" t="inlineStr">
        <is>
          <t>Jelly Donuts</t>
        </is>
      </c>
      <c r="F2275" s="256" t="inlineStr">
        <is>
          <t>17.08.2026</t>
        </is>
      </c>
      <c r="G2275" s="256" t="inlineStr">
        <is>
          <t>11.2</t>
        </is>
      </c>
      <c r="H2275" s="256" t="inlineStr">
        <is>
          <t>Cadmium (Cd)</t>
        </is>
      </c>
      <c r="I2275" s="256" t="inlineStr">
        <is>
          <t>Ph. Eur. 2.4.27 (ICP-MS)</t>
        </is>
      </c>
      <c r="J2275" s="256" t="inlineStr">
        <is>
          <t>≤ 0.3 mg/kg</t>
        </is>
      </c>
      <c r="K2275" s="256" t="inlineStr">
        <is>
          <t>0.0149</t>
        </is>
      </c>
      <c r="L2275" s="256" t="inlineStr">
        <is>
          <t>2361/2026</t>
        </is>
      </c>
      <c r="M2275" s="256" t="inlineStr">
        <is>
          <t>30.04.2026</t>
        </is>
      </c>
      <c r="N2275" s="256" t="inlineStr">
        <is>
          <t>IPH — Institute of Public Health</t>
        </is>
      </c>
      <c r="O2275" s="256" t="inlineStr">
        <is>
          <t>21.04.2026</t>
        </is>
      </c>
      <c r="P2275" s="256" t="inlineStr">
        <is>
          <t>carried from the initial testing (CoQ-PP-2026-0015) — covered</t>
        </is>
      </c>
      <c r="Q2275" s="256" t="inlineStr"/>
      <c r="R2275" s="256" t="inlineStr"/>
    </row>
    <row r="2276">
      <c r="A2276" s="256" t="inlineStr">
        <is>
          <t>CoQ-PP_26-099</t>
        </is>
      </c>
      <c r="B2276" s="256" t="inlineStr">
        <is>
          <t>reissue — retest</t>
        </is>
      </c>
      <c r="C2276" s="256" t="inlineStr">
        <is>
          <t>JD112501</t>
        </is>
      </c>
      <c r="D2276" s="256" t="inlineStr">
        <is>
          <t>P060212</t>
        </is>
      </c>
      <c r="E2276" s="256" t="inlineStr">
        <is>
          <t>Jelly Donuts</t>
        </is>
      </c>
      <c r="F2276" s="256" t="inlineStr">
        <is>
          <t>17.08.2026</t>
        </is>
      </c>
      <c r="G2276" s="256" t="inlineStr">
        <is>
          <t>11.3</t>
        </is>
      </c>
      <c r="H2276" s="256" t="inlineStr">
        <is>
          <t>Arsenic (As)</t>
        </is>
      </c>
      <c r="I2276" s="256" t="inlineStr">
        <is>
          <t>Ph. Eur. 2.4.27 (ICP-MS)</t>
        </is>
      </c>
      <c r="J2276" s="256" t="inlineStr">
        <is>
          <t>≤ 0.2 mg/kg</t>
        </is>
      </c>
      <c r="K2276" s="256" t="inlineStr">
        <is>
          <t>0.02</t>
        </is>
      </c>
      <c r="L2276" s="256" t="inlineStr">
        <is>
          <t>2361/2026</t>
        </is>
      </c>
      <c r="M2276" s="256" t="inlineStr">
        <is>
          <t>30.04.2026</t>
        </is>
      </c>
      <c r="N2276" s="256" t="inlineStr">
        <is>
          <t>IPH — Institute of Public Health</t>
        </is>
      </c>
      <c r="O2276" s="256" t="inlineStr">
        <is>
          <t>21.04.2026</t>
        </is>
      </c>
      <c r="P2276" s="256" t="inlineStr">
        <is>
          <t>carried from the initial testing (CoQ-PP-2026-0015) — covered</t>
        </is>
      </c>
      <c r="Q2276" s="256" t="inlineStr"/>
      <c r="R2276" s="256" t="inlineStr"/>
    </row>
    <row r="2277">
      <c r="A2277" s="256" t="inlineStr">
        <is>
          <t>CoQ-PP_26-099</t>
        </is>
      </c>
      <c r="B2277" s="256" t="inlineStr">
        <is>
          <t>reissue — retest</t>
        </is>
      </c>
      <c r="C2277" s="256" t="inlineStr">
        <is>
          <t>JD112501</t>
        </is>
      </c>
      <c r="D2277" s="256" t="inlineStr">
        <is>
          <t>P060212</t>
        </is>
      </c>
      <c r="E2277" s="256" t="inlineStr">
        <is>
          <t>Jelly Donuts</t>
        </is>
      </c>
      <c r="F2277" s="256" t="inlineStr">
        <is>
          <t>17.08.2026</t>
        </is>
      </c>
      <c r="G2277" s="256" t="inlineStr">
        <is>
          <t>11.4</t>
        </is>
      </c>
      <c r="H2277" s="256" t="inlineStr">
        <is>
          <t>Mercury (Hg)</t>
        </is>
      </c>
      <c r="I2277" s="256" t="inlineStr">
        <is>
          <t>Ph. Eur. 2.4.27 (ICP-MS)</t>
        </is>
      </c>
      <c r="J2277" s="256" t="inlineStr">
        <is>
          <t>≤ 0.1 mg/kg</t>
        </is>
      </c>
      <c r="K2277" s="256" t="inlineStr">
        <is>
          <t>0.0166</t>
        </is>
      </c>
      <c r="L2277" s="256" t="inlineStr">
        <is>
          <t>2361/2026</t>
        </is>
      </c>
      <c r="M2277" s="256" t="inlineStr">
        <is>
          <t>30.04.2026</t>
        </is>
      </c>
      <c r="N2277" s="256" t="inlineStr">
        <is>
          <t>IPH — Institute of Public Health</t>
        </is>
      </c>
      <c r="O2277" s="256" t="inlineStr">
        <is>
          <t>21.04.2026</t>
        </is>
      </c>
      <c r="P2277" s="256" t="inlineStr">
        <is>
          <t>carried from the initial testing (CoQ-PP-2026-0015) — covered</t>
        </is>
      </c>
      <c r="Q2277" s="256" t="inlineStr"/>
      <c r="R2277" s="256" t="inlineStr"/>
    </row>
    <row r="2278">
      <c r="A2278" s="256" t="inlineStr">
        <is>
          <t>CoQ-PP_26-099</t>
        </is>
      </c>
      <c r="B2278" s="256" t="inlineStr">
        <is>
          <t>reissue — retest</t>
        </is>
      </c>
      <c r="C2278" s="256" t="inlineStr">
        <is>
          <t>JD112501</t>
        </is>
      </c>
      <c r="D2278" s="256" t="inlineStr">
        <is>
          <t>P060212</t>
        </is>
      </c>
      <c r="E2278" s="256" t="inlineStr">
        <is>
          <t>Jelly Donuts</t>
        </is>
      </c>
      <c r="F2278" s="256" t="inlineStr">
        <is>
          <t>17.08.2026</t>
        </is>
      </c>
      <c r="G2278" s="256" t="inlineStr">
        <is>
          <t>12</t>
        </is>
      </c>
      <c r="H2278" s="256" t="inlineStr">
        <is>
          <t>Pesticide Residues</t>
        </is>
      </c>
      <c r="I2278" s="256" t="inlineStr">
        <is>
          <t>Ph. Eur. 2.8.13 (LC-MS/MS) · CUMCS Equivalency</t>
        </is>
      </c>
      <c r="J2278" s="256" t="inlineStr">
        <is>
          <t>≤ LOQ as per Ph. Eur. 2.8.13 · ≤ LOQ as per CUMCS Equivalency</t>
        </is>
      </c>
      <c r="K2278" s="256" t="inlineStr">
        <is>
          <t>ND</t>
        </is>
      </c>
      <c r="L2278" s="256" t="inlineStr">
        <is>
          <t>2361/2026</t>
        </is>
      </c>
      <c r="M2278" s="256" t="inlineStr">
        <is>
          <t>30.04.2026</t>
        </is>
      </c>
      <c r="N2278" s="256" t="inlineStr">
        <is>
          <t>IPH — Institute of Public Health</t>
        </is>
      </c>
      <c r="O2278" s="256" t="inlineStr">
        <is>
          <t>21.04.2026</t>
        </is>
      </c>
      <c r="P2278" s="256" t="inlineStr">
        <is>
          <t>carried from the initial testing (CoQ-PP-2026-0015) — covered</t>
        </is>
      </c>
      <c r="Q2278" s="256" t="inlineStr"/>
      <c r="R2278" s="256" t="inlineStr"/>
    </row>
    <row r="2279">
      <c r="A2279" s="256" t="inlineStr">
        <is>
          <t>CoQ-PP_26-100</t>
        </is>
      </c>
      <c r="B2279" s="256" t="inlineStr">
        <is>
          <t>reissue — retest</t>
        </is>
      </c>
      <c r="C2279" s="256" t="inlineStr">
        <is>
          <t>OPM1024</t>
        </is>
      </c>
      <c r="D2279" s="256" t="inlineStr">
        <is>
          <t>OPM1024</t>
        </is>
      </c>
      <c r="E2279" s="256" t="inlineStr">
        <is>
          <t>Orange Punch Mimosa</t>
        </is>
      </c>
      <c r="F2279" s="256" t="inlineStr">
        <is>
          <t>17.08.2026</t>
        </is>
      </c>
      <c r="G2279" s="256" t="inlineStr">
        <is>
          <t>1</t>
        </is>
      </c>
      <c r="H2279" s="256" t="inlineStr">
        <is>
          <t>Identification A, Appearance · Macroscopic</t>
        </is>
      </c>
      <c r="I2279" s="256" t="inlineStr">
        <is>
          <t>Ph. Eur. mon. 3028</t>
        </is>
      </c>
      <c r="J2279" s="256" t="inlineStr">
        <is>
          <t>Conforms to the monograph for Cannabis flos (07/2024:3028) in Ph. Eur. 11.0 | Согласно монографија за Cannabis flos (07/2024:3028) во Ph. Eur. 11.0</t>
        </is>
      </c>
      <c r="K2279" s="256" t="inlineStr">
        <is>
          <t>Conforms | Одговара</t>
        </is>
      </c>
      <c r="L2279" s="256" t="inlineStr">
        <is>
          <t>iCoA-PP_26-116</t>
        </is>
      </c>
      <c r="M2279" s="256" t="inlineStr">
        <is>
          <t>27.07.2026</t>
        </is>
      </c>
      <c r="N2279" s="256" t="inlineStr">
        <is>
          <t>Purely Plant GmbH (in-house)</t>
        </is>
      </c>
      <c r="O2279" s="256" t="inlineStr">
        <is>
          <t>—</t>
        </is>
      </c>
      <c r="P2279" s="256" t="inlineStr">
        <is>
          <t>covered</t>
        </is>
      </c>
      <c r="Q2279" s="256" t="inlineStr">
        <is>
          <t>Farmahem — Ident A + B + C with the Assay, at retest</t>
        </is>
      </c>
      <c r="R2279" s="256" t="inlineStr"/>
    </row>
    <row r="2280">
      <c r="A2280" s="256" t="inlineStr">
        <is>
          <t>CoQ-PP_26-100</t>
        </is>
      </c>
      <c r="B2280" s="256" t="inlineStr">
        <is>
          <t>reissue — retest</t>
        </is>
      </c>
      <c r="C2280" s="256" t="inlineStr">
        <is>
          <t>OPM1024</t>
        </is>
      </c>
      <c r="D2280" s="256" t="inlineStr">
        <is>
          <t>OPM1024</t>
        </is>
      </c>
      <c r="E2280" s="256" t="inlineStr">
        <is>
          <t>Orange Punch Mimosa</t>
        </is>
      </c>
      <c r="F2280" s="256" t="inlineStr">
        <is>
          <t>17.08.2026</t>
        </is>
      </c>
      <c r="G2280" s="256" t="inlineStr">
        <is>
          <t>2</t>
        </is>
      </c>
      <c r="H2280" s="256" t="inlineStr">
        <is>
          <t>Identification B · Microscopic</t>
        </is>
      </c>
      <c r="I2280" s="256" t="inlineStr">
        <is>
          <t>Ph. Eur. 2.8.23 (microscopy)</t>
        </is>
      </c>
      <c r="J2280" s="256" t="inlineStr">
        <is>
          <t>Conforms to the monograph for Cannabis flos (07/2024:3028) in Ph. Eur. 11.0 | Согласно монографија за Cannabis flos (07/2024:3028) во Ph. Eur. 11.0</t>
        </is>
      </c>
      <c r="K2280" s="256" t="inlineStr">
        <is>
          <t>Conforms | Одговара</t>
        </is>
      </c>
      <c r="L2280" s="256" t="inlineStr">
        <is>
          <t>iCoA-PP_26-116</t>
        </is>
      </c>
      <c r="M2280" s="256" t="inlineStr">
        <is>
          <t>27.07.2026</t>
        </is>
      </c>
      <c r="N2280" s="256" t="inlineStr">
        <is>
          <t>Purely Plant GmbH (in-house)</t>
        </is>
      </c>
      <c r="O2280" s="256" t="inlineStr">
        <is>
          <t>—</t>
        </is>
      </c>
      <c r="P2280" s="256" t="inlineStr">
        <is>
          <t>covered</t>
        </is>
      </c>
      <c r="Q2280" s="256" t="inlineStr">
        <is>
          <t>Farmahem — Ident A + B + C with the Assay, at retest</t>
        </is>
      </c>
      <c r="R2280" s="256" t="inlineStr"/>
    </row>
    <row r="2281">
      <c r="A2281" s="256" t="inlineStr">
        <is>
          <t>CoQ-PP_26-100</t>
        </is>
      </c>
      <c r="B2281" s="256" t="inlineStr">
        <is>
          <t>reissue — retest</t>
        </is>
      </c>
      <c r="C2281" s="256" t="inlineStr">
        <is>
          <t>OPM1024</t>
        </is>
      </c>
      <c r="D2281" s="256" t="inlineStr">
        <is>
          <t>OPM1024</t>
        </is>
      </c>
      <c r="E2281" s="256" t="inlineStr">
        <is>
          <t>Orange Punch Mimosa</t>
        </is>
      </c>
      <c r="F2281" s="256" t="inlineStr">
        <is>
          <t>17.08.2026</t>
        </is>
      </c>
      <c r="G2281" s="256" t="inlineStr">
        <is>
          <t>3</t>
        </is>
      </c>
      <c r="H2281" s="256" t="inlineStr">
        <is>
          <t>Identification C · HPLC/HPTLC</t>
        </is>
      </c>
      <c r="I2281" s="256" t="inlineStr">
        <is>
          <t>Ph. Eur. 2.2.29 (3028)</t>
        </is>
      </c>
      <c r="J2281" s="256" t="inlineStr">
        <is>
          <t>Conforms to the monograph for Cannabis flos (07/2024:3028) in Ph. Eur. 11.0 | Согласно монографија за Cannabis flos (07/2024:3028) во Ph. Eur. 11.0</t>
        </is>
      </c>
      <c r="K2281" s="256" t="inlineStr">
        <is>
          <t>Conforms | Одговара</t>
        </is>
      </c>
      <c r="L2281" s="256" t="inlineStr">
        <is>
          <t>197-17-К/26</t>
        </is>
      </c>
      <c r="M2281" s="256" t="inlineStr">
        <is>
          <t>07.08.2026</t>
        </is>
      </c>
      <c r="N2281" s="256" t="inlineStr">
        <is>
          <t>Farmahem</t>
        </is>
      </c>
      <c r="O2281" s="256" t="inlineStr">
        <is>
          <t>27.07.2026</t>
        </is>
      </c>
      <c r="P2281" s="256" t="inlineStr">
        <is>
          <t>covered</t>
        </is>
      </c>
      <c r="Q2281" s="256" t="inlineStr"/>
      <c r="R2281" s="256" t="inlineStr"/>
    </row>
    <row r="2282">
      <c r="A2282" s="256" t="inlineStr">
        <is>
          <t>CoQ-PP_26-100</t>
        </is>
      </c>
      <c r="B2282" s="256" t="inlineStr">
        <is>
          <t>reissue — retest</t>
        </is>
      </c>
      <c r="C2282" s="256" t="inlineStr">
        <is>
          <t>OPM1024</t>
        </is>
      </c>
      <c r="D2282" s="256" t="inlineStr">
        <is>
          <t>OPM1024</t>
        </is>
      </c>
      <c r="E2282" s="256" t="inlineStr">
        <is>
          <t>Orange Punch Mimosa</t>
        </is>
      </c>
      <c r="F2282" s="256" t="inlineStr">
        <is>
          <t>17.08.2026</t>
        </is>
      </c>
      <c r="G2282" s="256" t="inlineStr">
        <is>
          <t>4</t>
        </is>
      </c>
      <c r="H2282" s="256" t="inlineStr">
        <is>
          <t>Assay — Total Δ⁹-THC</t>
        </is>
      </c>
      <c r="I2282" s="256" t="inlineStr">
        <is>
          <t>Ph. Eur. 2.2.29 (HPLC)</t>
        </is>
      </c>
      <c r="J2282" s="256" t="inlineStr">
        <is>
          <t>18.60 – 21.39 %  (grade I, nominal 20.00 ± 1.40)</t>
        </is>
      </c>
      <c r="K2282" s="256" t="inlineStr">
        <is>
          <t>20.03</t>
        </is>
      </c>
      <c r="L2282" s="256" t="inlineStr">
        <is>
          <t>197-17-К/26</t>
        </is>
      </c>
      <c r="M2282" s="256" t="inlineStr">
        <is>
          <t>07.08.2026</t>
        </is>
      </c>
      <c r="N2282" s="256" t="inlineStr">
        <is>
          <t>Farmahem</t>
        </is>
      </c>
      <c r="O2282" s="256" t="inlineStr">
        <is>
          <t>27.07.2026</t>
        </is>
      </c>
      <c r="P2282" s="256" t="inlineStr">
        <is>
          <t>covered</t>
        </is>
      </c>
      <c r="Q2282" s="256" t="inlineStr"/>
      <c r="R2282" s="256" t="inlineStr"/>
    </row>
    <row r="2283">
      <c r="A2283" s="256" t="inlineStr">
        <is>
          <t>CoQ-PP_26-100</t>
        </is>
      </c>
      <c r="B2283" s="256" t="inlineStr">
        <is>
          <t>reissue — retest</t>
        </is>
      </c>
      <c r="C2283" s="256" t="inlineStr">
        <is>
          <t>OPM1024</t>
        </is>
      </c>
      <c r="D2283" s="256" t="inlineStr">
        <is>
          <t>OPM1024</t>
        </is>
      </c>
      <c r="E2283" s="256" t="inlineStr">
        <is>
          <t>Orange Punch Mimosa</t>
        </is>
      </c>
      <c r="F2283" s="256" t="inlineStr">
        <is>
          <t>17.08.2026</t>
        </is>
      </c>
      <c r="G2283" s="256" t="inlineStr">
        <is>
          <t>5</t>
        </is>
      </c>
      <c r="H2283" s="256" t="inlineStr">
        <is>
          <t>Assay — Total CBD</t>
        </is>
      </c>
      <c r="I2283" s="256" t="inlineStr">
        <is>
          <t>Ph. Eur. 2.2.29 (HPLC) · CBD + CBDA x 0.877</t>
        </is>
      </c>
      <c r="J2283" s="256" t="inlineStr">
        <is>
          <t>≤ 1.0%, w/w</t>
        </is>
      </c>
      <c r="K2283" s="256" t="inlineStr">
        <is>
          <t>&lt; LOQ</t>
        </is>
      </c>
      <c r="L2283" s="256" t="inlineStr">
        <is>
          <t>197-17-К/26</t>
        </is>
      </c>
      <c r="M2283" s="256" t="inlineStr">
        <is>
          <t>07.08.2026</t>
        </is>
      </c>
      <c r="N2283" s="256" t="inlineStr">
        <is>
          <t>Farmahem</t>
        </is>
      </c>
      <c r="O2283" s="256" t="inlineStr">
        <is>
          <t>27.07.2026</t>
        </is>
      </c>
      <c r="P2283" s="256" t="inlineStr">
        <is>
          <t>covered</t>
        </is>
      </c>
      <c r="Q2283" s="256" t="inlineStr"/>
      <c r="R2283" s="256" t="inlineStr"/>
    </row>
    <row r="2284">
      <c r="A2284" s="256" t="inlineStr">
        <is>
          <t>CoQ-PP_26-100</t>
        </is>
      </c>
      <c r="B2284" s="256" t="inlineStr">
        <is>
          <t>reissue — retest</t>
        </is>
      </c>
      <c r="C2284" s="256" t="inlineStr">
        <is>
          <t>OPM1024</t>
        </is>
      </c>
      <c r="D2284" s="256" t="inlineStr">
        <is>
          <t>OPM1024</t>
        </is>
      </c>
      <c r="E2284" s="256" t="inlineStr">
        <is>
          <t>Orange Punch Mimosa</t>
        </is>
      </c>
      <c r="F2284" s="256" t="inlineStr">
        <is>
          <t>17.08.2026</t>
        </is>
      </c>
      <c r="G2284" s="256" t="inlineStr">
        <is>
          <t>6</t>
        </is>
      </c>
      <c r="H2284" s="256" t="inlineStr">
        <is>
          <t>Total CBN</t>
        </is>
      </c>
      <c r="I2284" s="256" t="inlineStr">
        <is>
          <t>Ph. Eur. 2.2.29 (HPLC) · CBN + CBNA x 0.876</t>
        </is>
      </c>
      <c r="J2284" s="256" t="inlineStr">
        <is>
          <t>≤ 1.0%, w/w</t>
        </is>
      </c>
      <c r="K2284" s="256" t="inlineStr">
        <is>
          <t>&lt; LOQ</t>
        </is>
      </c>
      <c r="L2284" s="256" t="inlineStr">
        <is>
          <t>197-17-К/26</t>
        </is>
      </c>
      <c r="M2284" s="256" t="inlineStr">
        <is>
          <t>07.08.2026</t>
        </is>
      </c>
      <c r="N2284" s="256" t="inlineStr">
        <is>
          <t>Farmahem</t>
        </is>
      </c>
      <c r="O2284" s="256" t="inlineStr">
        <is>
          <t>27.07.2026</t>
        </is>
      </c>
      <c r="P2284" s="256" t="inlineStr">
        <is>
          <t>covered</t>
        </is>
      </c>
      <c r="Q2284" s="256" t="inlineStr"/>
      <c r="R2284" s="256" t="inlineStr"/>
    </row>
    <row r="2285">
      <c r="A2285" s="256" t="inlineStr">
        <is>
          <t>CoQ-PP_26-100</t>
        </is>
      </c>
      <c r="B2285" s="256" t="inlineStr">
        <is>
          <t>reissue — retest</t>
        </is>
      </c>
      <c r="C2285" s="256" t="inlineStr">
        <is>
          <t>OPM1024</t>
        </is>
      </c>
      <c r="D2285" s="256" t="inlineStr">
        <is>
          <t>OPM1024</t>
        </is>
      </c>
      <c r="E2285" s="256" t="inlineStr">
        <is>
          <t>Orange Punch Mimosa</t>
        </is>
      </c>
      <c r="F2285" s="256" t="inlineStr">
        <is>
          <t>17.08.2026</t>
        </is>
      </c>
      <c r="G2285" s="256" t="inlineStr">
        <is>
          <t>7</t>
        </is>
      </c>
      <c r="H2285" s="256" t="inlineStr">
        <is>
          <t>Foreign Matter</t>
        </is>
      </c>
      <c r="I2285" s="256" t="inlineStr">
        <is>
          <t>Ph. Eur. 2.8.2 · In-house · интерна</t>
        </is>
      </c>
      <c r="J2285" s="256" t="inlineStr">
        <is>
          <t>≤ 2.0% / 25–50 g · &lt; 1 cm leaves | листови, no seeds | без семки</t>
        </is>
      </c>
      <c r="K2285" s="256" t="inlineStr">
        <is>
          <t>Conforms | Одговара</t>
        </is>
      </c>
      <c r="L2285" s="256" t="inlineStr">
        <is>
          <t>iCoA-PP_26-116</t>
        </is>
      </c>
      <c r="M2285" s="256" t="inlineStr">
        <is>
          <t>27.07.2026</t>
        </is>
      </c>
      <c r="N2285" s="256" t="inlineStr">
        <is>
          <t>Purely Plant GmbH (in-house)</t>
        </is>
      </c>
      <c r="O2285" s="256" t="inlineStr">
        <is>
          <t>—</t>
        </is>
      </c>
      <c r="P2285" s="256" t="inlineStr">
        <is>
          <t>covered</t>
        </is>
      </c>
      <c r="Q2285" s="256" t="inlineStr">
        <is>
          <t>Purely Plant laboratory — iCoA covering Foreign matter</t>
        </is>
      </c>
      <c r="R2285" s="256" t="inlineStr"/>
    </row>
    <row r="2286">
      <c r="A2286" s="256" t="inlineStr">
        <is>
          <t>CoQ-PP_26-100</t>
        </is>
      </c>
      <c r="B2286" s="256" t="inlineStr">
        <is>
          <t>reissue — retest</t>
        </is>
      </c>
      <c r="C2286" s="256" t="inlineStr">
        <is>
          <t>OPM1024</t>
        </is>
      </c>
      <c r="D2286" s="256" t="inlineStr">
        <is>
          <t>OPM1024</t>
        </is>
      </c>
      <c r="E2286" s="256" t="inlineStr">
        <is>
          <t>Orange Punch Mimosa</t>
        </is>
      </c>
      <c r="F2286" s="256" t="inlineStr">
        <is>
          <t>17.08.2026</t>
        </is>
      </c>
      <c r="G2286" s="256" t="inlineStr">
        <is>
          <t>8</t>
        </is>
      </c>
      <c r="H2286" s="256" t="inlineStr">
        <is>
          <t>Loss on Drying</t>
        </is>
      </c>
      <c r="I2286" s="256" t="inlineStr">
        <is>
          <t>Ph. Eur. 2.2.32 (3028) · at 40 °C, 24 h, 15–25 mbar</t>
        </is>
      </c>
      <c r="J2286" s="256" t="inlineStr">
        <is>
          <t>≤ 12.0%</t>
        </is>
      </c>
      <c r="K2286" s="256" t="inlineStr">
        <is>
          <t>carried from the initial testing — not tested</t>
        </is>
      </c>
      <c r="L2286" s="256" t="inlineStr">
        <is>
          <t>—</t>
        </is>
      </c>
      <c r="M2286" s="256" t="inlineStr">
        <is>
          <t>—</t>
        </is>
      </c>
      <c r="N2286" s="256" t="inlineStr">
        <is>
          <t>—</t>
        </is>
      </c>
      <c r="O2286" s="256" t="inlineStr">
        <is>
          <t>—</t>
        </is>
      </c>
      <c r="P2286" s="256" t="inlineStr">
        <is>
          <t>carried from the initial testing (CoQ-PP-2025-0005) — not tested — no certificate covers it</t>
        </is>
      </c>
      <c r="Q2286" s="256" t="inlineStr"/>
      <c r="R2286" s="256" t="inlineStr"/>
    </row>
    <row r="2287">
      <c r="A2287" s="256" t="inlineStr">
        <is>
          <t>CoQ-PP_26-100</t>
        </is>
      </c>
      <c r="B2287" s="256" t="inlineStr">
        <is>
          <t>reissue — retest</t>
        </is>
      </c>
      <c r="C2287" s="256" t="inlineStr">
        <is>
          <t>OPM1024</t>
        </is>
      </c>
      <c r="D2287" s="256" t="inlineStr">
        <is>
          <t>OPM1024</t>
        </is>
      </c>
      <c r="E2287" s="256" t="inlineStr">
        <is>
          <t>Orange Punch Mimosa</t>
        </is>
      </c>
      <c r="F2287" s="256" t="inlineStr">
        <is>
          <t>17.08.2026</t>
        </is>
      </c>
      <c r="G2287" s="256" t="inlineStr">
        <is>
          <t>9.1</t>
        </is>
      </c>
      <c r="H2287" s="256" t="inlineStr">
        <is>
          <t>TAMC</t>
        </is>
      </c>
      <c r="I2287" s="256" t="inlineStr">
        <is>
          <t>Ph. Eur. 2.6.12 cat. C</t>
        </is>
      </c>
      <c r="J2287" s="256" t="inlineStr">
        <is>
          <t>≤ 10⁵ CFU/g</t>
        </is>
      </c>
      <c r="K2287" s="256" t="inlineStr">
        <is>
          <t>1.3 × 10⁴</t>
        </is>
      </c>
      <c r="L2287" s="256" t="inlineStr">
        <is>
          <t>iCoA-PP_26-006</t>
        </is>
      </c>
      <c r="M2287" s="256" t="inlineStr">
        <is>
          <t>03.06.2026</t>
        </is>
      </c>
      <c r="N2287" s="256" t="inlineStr">
        <is>
          <t>Purely Plant GmbH (in-house)</t>
        </is>
      </c>
      <c r="O2287" s="256" t="inlineStr">
        <is>
          <t>—</t>
        </is>
      </c>
      <c r="P2287" s="256" t="inlineStr">
        <is>
          <t>carried from the initial testing (CoQ-PP-2025-0005) — in-house CoA only — not an eCoA or an iCoA: a value no certificate of analysis certifies cannot be on a release certificate (owner's rule, 02.09.2026)</t>
        </is>
      </c>
      <c r="Q2287" s="256" t="inlineStr"/>
      <c r="R2287" s="256" t="inlineStr"/>
    </row>
    <row r="2288">
      <c r="A2288" s="256" t="inlineStr">
        <is>
          <t>CoQ-PP_26-100</t>
        </is>
      </c>
      <c r="B2288" s="256" t="inlineStr">
        <is>
          <t>reissue — retest</t>
        </is>
      </c>
      <c r="C2288" s="256" t="inlineStr">
        <is>
          <t>OPM1024</t>
        </is>
      </c>
      <c r="D2288" s="256" t="inlineStr">
        <is>
          <t>OPM1024</t>
        </is>
      </c>
      <c r="E2288" s="256" t="inlineStr">
        <is>
          <t>Orange Punch Mimosa</t>
        </is>
      </c>
      <c r="F2288" s="256" t="inlineStr">
        <is>
          <t>17.08.2026</t>
        </is>
      </c>
      <c r="G2288" s="256" t="inlineStr">
        <is>
          <t>9.2</t>
        </is>
      </c>
      <c r="H2288" s="256" t="inlineStr">
        <is>
          <t>TYMC</t>
        </is>
      </c>
      <c r="I2288" s="256" t="inlineStr">
        <is>
          <t>Ph. Eur. 2.6.12 cat. C</t>
        </is>
      </c>
      <c r="J2288" s="256" t="inlineStr">
        <is>
          <t>≤ 10⁴ CFU/g</t>
        </is>
      </c>
      <c r="K2288" s="256" t="inlineStr">
        <is>
          <t>7 × 10²</t>
        </is>
      </c>
      <c r="L2288" s="256" t="inlineStr">
        <is>
          <t>iCoA-PP_26-006</t>
        </is>
      </c>
      <c r="M2288" s="256" t="inlineStr">
        <is>
          <t>03.06.2026</t>
        </is>
      </c>
      <c r="N2288" s="256" t="inlineStr">
        <is>
          <t>Purely Plant GmbH (in-house)</t>
        </is>
      </c>
      <c r="O2288" s="256" t="inlineStr">
        <is>
          <t>—</t>
        </is>
      </c>
      <c r="P2288" s="256" t="inlineStr">
        <is>
          <t>carried from the initial testing (CoQ-PP-2025-0005) — in-house CoA only — not an eCoA or an iCoA: a value no certificate of analysis certifies cannot be on a release certificate (owner's rule, 02.09.2026)</t>
        </is>
      </c>
      <c r="Q2288" s="256" t="inlineStr"/>
      <c r="R2288" s="256" t="inlineStr"/>
    </row>
    <row r="2289">
      <c r="A2289" s="256" t="inlineStr">
        <is>
          <t>CoQ-PP_26-100</t>
        </is>
      </c>
      <c r="B2289" s="256" t="inlineStr">
        <is>
          <t>reissue — retest</t>
        </is>
      </c>
      <c r="C2289" s="256" t="inlineStr">
        <is>
          <t>OPM1024</t>
        </is>
      </c>
      <c r="D2289" s="256" t="inlineStr">
        <is>
          <t>OPM1024</t>
        </is>
      </c>
      <c r="E2289" s="256" t="inlineStr">
        <is>
          <t>Orange Punch Mimosa</t>
        </is>
      </c>
      <c r="F2289" s="256" t="inlineStr">
        <is>
          <t>17.08.2026</t>
        </is>
      </c>
      <c r="G2289" s="256" t="inlineStr">
        <is>
          <t>9.3</t>
        </is>
      </c>
      <c r="H2289" s="256" t="inlineStr">
        <is>
          <t>Bile-tolerant gram-neg.</t>
        </is>
      </c>
      <c r="I2289" s="256" t="inlineStr">
        <is>
          <t>Ph. Eur. 2.6.31 cat. C</t>
        </is>
      </c>
      <c r="J2289" s="256" t="inlineStr">
        <is>
          <t>≤ 10⁴ CFU/g</t>
        </is>
      </c>
      <c r="K2289" s="256" t="inlineStr">
        <is>
          <t>&lt; 10² &gt; 10³</t>
        </is>
      </c>
      <c r="L2289" s="256" t="inlineStr">
        <is>
          <t>iCoA-PP_26-006</t>
        </is>
      </c>
      <c r="M2289" s="256" t="inlineStr">
        <is>
          <t>03.06.2026</t>
        </is>
      </c>
      <c r="N2289" s="256" t="inlineStr">
        <is>
          <t>Purely Plant GmbH (in-house)</t>
        </is>
      </c>
      <c r="O2289" s="256" t="inlineStr">
        <is>
          <t>—</t>
        </is>
      </c>
      <c r="P2289" s="256" t="inlineStr">
        <is>
          <t>carried from the initial testing (CoQ-PP-2025-0005) — in-house CoA only — not an eCoA or an iCoA: a value no certificate of analysis certifies cannot be on a release certificate (owner's rule, 02.09.2026)</t>
        </is>
      </c>
      <c r="Q2289" s="256" t="inlineStr"/>
      <c r="R2289" s="256" t="inlineStr"/>
    </row>
    <row r="2290">
      <c r="A2290" s="256" t="inlineStr">
        <is>
          <t>CoQ-PP_26-100</t>
        </is>
      </c>
      <c r="B2290" s="256" t="inlineStr">
        <is>
          <t>reissue — retest</t>
        </is>
      </c>
      <c r="C2290" s="256" t="inlineStr">
        <is>
          <t>OPM1024</t>
        </is>
      </c>
      <c r="D2290" s="256" t="inlineStr">
        <is>
          <t>OPM1024</t>
        </is>
      </c>
      <c r="E2290" s="256" t="inlineStr">
        <is>
          <t>Orange Punch Mimosa</t>
        </is>
      </c>
      <c r="F2290" s="256" t="inlineStr">
        <is>
          <t>17.08.2026</t>
        </is>
      </c>
      <c r="G2290" s="256" t="inlineStr">
        <is>
          <t>9.4</t>
        </is>
      </c>
      <c r="H2290" s="256" t="inlineStr">
        <is>
          <t>Salmonella</t>
        </is>
      </c>
      <c r="I2290" s="256" t="inlineStr">
        <is>
          <t>Ph. Eur. 2.6.31 cat. C</t>
        </is>
      </c>
      <c r="J2290" s="256" t="inlineStr">
        <is>
          <t>Absence | Отсуство / 25 g</t>
        </is>
      </c>
      <c r="K2290" s="256" t="inlineStr">
        <is>
          <t>Absent | Отсутна</t>
        </is>
      </c>
      <c r="L2290" s="256" t="inlineStr">
        <is>
          <t>iCoA-PP_26-006</t>
        </is>
      </c>
      <c r="M2290" s="256" t="inlineStr">
        <is>
          <t>03.06.2026</t>
        </is>
      </c>
      <c r="N2290" s="256" t="inlineStr">
        <is>
          <t>Purely Plant GmbH (in-house)</t>
        </is>
      </c>
      <c r="O2290" s="256" t="inlineStr">
        <is>
          <t>—</t>
        </is>
      </c>
      <c r="P2290" s="256" t="inlineStr">
        <is>
          <t>carried from the initial testing (CoQ-PP-2025-0005) — in-house CoA only — not an eCoA or an iCoA: a value no certificate of analysis certifies cannot be on a release certificate (owner's rule, 02.09.2026)</t>
        </is>
      </c>
      <c r="Q2290" s="256" t="inlineStr"/>
      <c r="R2290" s="256" t="inlineStr"/>
    </row>
    <row r="2291">
      <c r="A2291" s="256" t="inlineStr">
        <is>
          <t>CoQ-PP_26-100</t>
        </is>
      </c>
      <c r="B2291" s="256" t="inlineStr">
        <is>
          <t>reissue — retest</t>
        </is>
      </c>
      <c r="C2291" s="256" t="inlineStr">
        <is>
          <t>OPM1024</t>
        </is>
      </c>
      <c r="D2291" s="256" t="inlineStr">
        <is>
          <t>OPM1024</t>
        </is>
      </c>
      <c r="E2291" s="256" t="inlineStr">
        <is>
          <t>Orange Punch Mimosa</t>
        </is>
      </c>
      <c r="F2291" s="256" t="inlineStr">
        <is>
          <t>17.08.2026</t>
        </is>
      </c>
      <c r="G2291" s="256" t="inlineStr">
        <is>
          <t>9.5</t>
        </is>
      </c>
      <c r="H2291" s="256" t="inlineStr">
        <is>
          <t>Escherichia coli</t>
        </is>
      </c>
      <c r="I2291" s="256" t="inlineStr">
        <is>
          <t>Ph. Eur. 2.6.13 cat. C</t>
        </is>
      </c>
      <c r="J2291" s="256" t="inlineStr">
        <is>
          <t>Absence | Отсуство / 1 g</t>
        </is>
      </c>
      <c r="K2291" s="256" t="inlineStr">
        <is>
          <t>Absent | Отсутна</t>
        </is>
      </c>
      <c r="L2291" s="256" t="inlineStr">
        <is>
          <t>iCoA-PP_26-006</t>
        </is>
      </c>
      <c r="M2291" s="256" t="inlineStr">
        <is>
          <t>03.06.2026</t>
        </is>
      </c>
      <c r="N2291" s="256" t="inlineStr">
        <is>
          <t>Purely Plant GmbH (in-house)</t>
        </is>
      </c>
      <c r="O2291" s="256" t="inlineStr">
        <is>
          <t>—</t>
        </is>
      </c>
      <c r="P2291" s="256" t="inlineStr">
        <is>
          <t>carried from the initial testing (CoQ-PP-2025-0005) — in-house CoA only — not an eCoA or an iCoA: a value no certificate of analysis certifies cannot be on a release certificate (owner's rule, 02.09.2026)</t>
        </is>
      </c>
      <c r="Q2291" s="256" t="inlineStr"/>
      <c r="R2291" s="256" t="inlineStr"/>
    </row>
    <row r="2292">
      <c r="A2292" s="256" t="inlineStr">
        <is>
          <t>CoQ-PP_26-100</t>
        </is>
      </c>
      <c r="B2292" s="256" t="inlineStr">
        <is>
          <t>reissue — retest</t>
        </is>
      </c>
      <c r="C2292" s="256" t="inlineStr">
        <is>
          <t>OPM1024</t>
        </is>
      </c>
      <c r="D2292" s="256" t="inlineStr">
        <is>
          <t>OPM1024</t>
        </is>
      </c>
      <c r="E2292" s="256" t="inlineStr">
        <is>
          <t>Orange Punch Mimosa</t>
        </is>
      </c>
      <c r="F2292" s="256" t="inlineStr">
        <is>
          <t>17.08.2026</t>
        </is>
      </c>
      <c r="G2292" s="256" t="inlineStr">
        <is>
          <t>9.6</t>
        </is>
      </c>
      <c r="H2292" s="256" t="inlineStr">
        <is>
          <t>Pseudomonas aeruginosa</t>
        </is>
      </c>
      <c r="I2292" s="256" t="inlineStr">
        <is>
          <t>Ph. Eur. 2.6.13 cat. C</t>
        </is>
      </c>
      <c r="J2292" s="256" t="inlineStr">
        <is>
          <t>Absence | Отсуство / 1 g</t>
        </is>
      </c>
      <c r="K2292" s="260" t="inlineStr">
        <is>
          <t>upon request — not required for release</t>
        </is>
      </c>
      <c r="L2292" s="256" t="inlineStr">
        <is>
          <t>—</t>
        </is>
      </c>
      <c r="M2292" s="256" t="inlineStr">
        <is>
          <t>—</t>
        </is>
      </c>
      <c r="N2292" s="256" t="inlineStr">
        <is>
          <t>—</t>
        </is>
      </c>
      <c r="O2292" s="256" t="inlineStr">
        <is>
          <t>—</t>
        </is>
      </c>
      <c r="P2292" s="256" t="inlineStr">
        <is>
          <t>upon request — not required for release</t>
        </is>
      </c>
      <c r="Q2292" s="256" t="inlineStr"/>
      <c r="R2292" s="256" t="inlineStr"/>
    </row>
    <row r="2293">
      <c r="A2293" s="256" t="inlineStr">
        <is>
          <t>CoQ-PP_26-100</t>
        </is>
      </c>
      <c r="B2293" s="256" t="inlineStr">
        <is>
          <t>reissue — retest</t>
        </is>
      </c>
      <c r="C2293" s="256" t="inlineStr">
        <is>
          <t>OPM1024</t>
        </is>
      </c>
      <c r="D2293" s="256" t="inlineStr">
        <is>
          <t>OPM1024</t>
        </is>
      </c>
      <c r="E2293" s="256" t="inlineStr">
        <is>
          <t>Orange Punch Mimosa</t>
        </is>
      </c>
      <c r="F2293" s="256" t="inlineStr">
        <is>
          <t>17.08.2026</t>
        </is>
      </c>
      <c r="G2293" s="256" t="inlineStr">
        <is>
          <t>9.7</t>
        </is>
      </c>
      <c r="H2293" s="256" t="inlineStr">
        <is>
          <t>Staphylococcus aureus</t>
        </is>
      </c>
      <c r="I2293" s="256" t="inlineStr">
        <is>
          <t>Ph. Eur. 2.6.13 cat. C</t>
        </is>
      </c>
      <c r="J2293" s="256" t="inlineStr">
        <is>
          <t>Absence | Отсуство / 1 g</t>
        </is>
      </c>
      <c r="K2293" s="260" t="inlineStr">
        <is>
          <t>upon request — not required for release</t>
        </is>
      </c>
      <c r="L2293" s="256" t="inlineStr">
        <is>
          <t>—</t>
        </is>
      </c>
      <c r="M2293" s="256" t="inlineStr">
        <is>
          <t>—</t>
        </is>
      </c>
      <c r="N2293" s="256" t="inlineStr">
        <is>
          <t>—</t>
        </is>
      </c>
      <c r="O2293" s="256" t="inlineStr">
        <is>
          <t>—</t>
        </is>
      </c>
      <c r="P2293" s="256" t="inlineStr">
        <is>
          <t>upon request — not required for release</t>
        </is>
      </c>
      <c r="Q2293" s="256" t="inlineStr"/>
      <c r="R2293" s="256" t="inlineStr"/>
    </row>
    <row r="2294">
      <c r="A2294" s="256" t="inlineStr">
        <is>
          <t>CoQ-PP_26-100</t>
        </is>
      </c>
      <c r="B2294" s="256" t="inlineStr">
        <is>
          <t>reissue — retest</t>
        </is>
      </c>
      <c r="C2294" s="256" t="inlineStr">
        <is>
          <t>OPM1024</t>
        </is>
      </c>
      <c r="D2294" s="256" t="inlineStr">
        <is>
          <t>OPM1024</t>
        </is>
      </c>
      <c r="E2294" s="256" t="inlineStr">
        <is>
          <t>Orange Punch Mimosa</t>
        </is>
      </c>
      <c r="F2294" s="256" t="inlineStr">
        <is>
          <t>17.08.2026</t>
        </is>
      </c>
      <c r="G2294" s="256" t="inlineStr">
        <is>
          <t>10.1</t>
        </is>
      </c>
      <c r="H2294" s="256" t="inlineStr">
        <is>
          <t>Aflatoxin B₁</t>
        </is>
      </c>
      <c r="I2294" s="256" t="inlineStr">
        <is>
          <t>Ph. Eur. 2.8.18 (HPLC-FLD)</t>
        </is>
      </c>
      <c r="J2294" s="256" t="inlineStr">
        <is>
          <t>≤ 2 µg/kg</t>
        </is>
      </c>
      <c r="K2294" s="256" t="inlineStr">
        <is>
          <t>ND</t>
        </is>
      </c>
      <c r="L2294" s="256" t="inlineStr">
        <is>
          <t>197-17-М/26</t>
        </is>
      </c>
      <c r="M2294" s="256" t="inlineStr">
        <is>
          <t>10.08.2026</t>
        </is>
      </c>
      <c r="N2294" s="256" t="inlineStr">
        <is>
          <t>Farmahem</t>
        </is>
      </c>
      <c r="O2294" s="256" t="inlineStr">
        <is>
          <t>29.07.2026</t>
        </is>
      </c>
      <c r="P2294" s="256" t="inlineStr">
        <is>
          <t>covered</t>
        </is>
      </c>
      <c r="Q2294" s="256" t="inlineStr"/>
      <c r="R2294" s="256" t="inlineStr"/>
    </row>
    <row r="2295">
      <c r="A2295" s="256" t="inlineStr">
        <is>
          <t>CoQ-PP_26-100</t>
        </is>
      </c>
      <c r="B2295" s="256" t="inlineStr">
        <is>
          <t>reissue — retest</t>
        </is>
      </c>
      <c r="C2295" s="256" t="inlineStr">
        <is>
          <t>OPM1024</t>
        </is>
      </c>
      <c r="D2295" s="256" t="inlineStr">
        <is>
          <t>OPM1024</t>
        </is>
      </c>
      <c r="E2295" s="256" t="inlineStr">
        <is>
          <t>Orange Punch Mimosa</t>
        </is>
      </c>
      <c r="F2295" s="256" t="inlineStr">
        <is>
          <t>17.08.2026</t>
        </is>
      </c>
      <c r="G2295" s="256" t="inlineStr">
        <is>
          <t>10.2</t>
        </is>
      </c>
      <c r="H2295" s="256" t="inlineStr">
        <is>
          <t>Aflatoxins ∑</t>
        </is>
      </c>
      <c r="I2295" s="256" t="inlineStr">
        <is>
          <t>Ph. Eur. 2.8.18 (HPLC-FLD)</t>
        </is>
      </c>
      <c r="J2295" s="256" t="inlineStr">
        <is>
          <t>≤ 4 µg/kg</t>
        </is>
      </c>
      <c r="K2295" s="256" t="inlineStr">
        <is>
          <t>ND</t>
        </is>
      </c>
      <c r="L2295" s="256" t="inlineStr">
        <is>
          <t>197-17-М/26</t>
        </is>
      </c>
      <c r="M2295" s="256" t="inlineStr">
        <is>
          <t>10.08.2026</t>
        </is>
      </c>
      <c r="N2295" s="256" t="inlineStr">
        <is>
          <t>Farmahem</t>
        </is>
      </c>
      <c r="O2295" s="256" t="inlineStr">
        <is>
          <t>29.07.2026</t>
        </is>
      </c>
      <c r="P2295" s="256" t="inlineStr">
        <is>
          <t>covered</t>
        </is>
      </c>
      <c r="Q2295" s="256" t="inlineStr"/>
      <c r="R2295" s="256" t="inlineStr"/>
    </row>
    <row r="2296">
      <c r="A2296" s="256" t="inlineStr">
        <is>
          <t>CoQ-PP_26-100</t>
        </is>
      </c>
      <c r="B2296" s="256" t="inlineStr">
        <is>
          <t>reissue — retest</t>
        </is>
      </c>
      <c r="C2296" s="256" t="inlineStr">
        <is>
          <t>OPM1024</t>
        </is>
      </c>
      <c r="D2296" s="256" t="inlineStr">
        <is>
          <t>OPM1024</t>
        </is>
      </c>
      <c r="E2296" s="256" t="inlineStr">
        <is>
          <t>Orange Punch Mimosa</t>
        </is>
      </c>
      <c r="F2296" s="256" t="inlineStr">
        <is>
          <t>17.08.2026</t>
        </is>
      </c>
      <c r="G2296" s="256" t="inlineStr">
        <is>
          <t>10.3</t>
        </is>
      </c>
      <c r="H2296" s="256" t="inlineStr">
        <is>
          <t>Ochratoxin A</t>
        </is>
      </c>
      <c r="I2296" s="256" t="inlineStr">
        <is>
          <t>Ph. Eur. 2.8.22 (HPLC-FLD)</t>
        </is>
      </c>
      <c r="J2296" s="256" t="inlineStr">
        <is>
          <t>≤ 20 µg/kg</t>
        </is>
      </c>
      <c r="K2296" s="256" t="inlineStr">
        <is>
          <t>ND</t>
        </is>
      </c>
      <c r="L2296" s="256" t="inlineStr">
        <is>
          <t>197-17-М/26</t>
        </is>
      </c>
      <c r="M2296" s="256" t="inlineStr">
        <is>
          <t>10.08.2026</t>
        </is>
      </c>
      <c r="N2296" s="256" t="inlineStr">
        <is>
          <t>Farmahem</t>
        </is>
      </c>
      <c r="O2296" s="256" t="inlineStr">
        <is>
          <t>29.07.2026</t>
        </is>
      </c>
      <c r="P2296" s="256" t="inlineStr">
        <is>
          <t>covered</t>
        </is>
      </c>
      <c r="Q2296" s="256" t="inlineStr"/>
      <c r="R2296" s="256" t="inlineStr"/>
    </row>
    <row r="2297">
      <c r="A2297" s="256" t="inlineStr">
        <is>
          <t>CoQ-PP_26-100</t>
        </is>
      </c>
      <c r="B2297" s="256" t="inlineStr">
        <is>
          <t>reissue — retest</t>
        </is>
      </c>
      <c r="C2297" s="256" t="inlineStr">
        <is>
          <t>OPM1024</t>
        </is>
      </c>
      <c r="D2297" s="256" t="inlineStr">
        <is>
          <t>OPM1024</t>
        </is>
      </c>
      <c r="E2297" s="256" t="inlineStr">
        <is>
          <t>Orange Punch Mimosa</t>
        </is>
      </c>
      <c r="F2297" s="256" t="inlineStr">
        <is>
          <t>17.08.2026</t>
        </is>
      </c>
      <c r="G2297" s="256" t="inlineStr">
        <is>
          <t>11.1</t>
        </is>
      </c>
      <c r="H2297" s="256" t="inlineStr">
        <is>
          <t>Lead (Pb)</t>
        </is>
      </c>
      <c r="I2297" s="256" t="inlineStr">
        <is>
          <t>Ph. Eur. 2.4.27 (ICP-MS)</t>
        </is>
      </c>
      <c r="J2297" s="256" t="inlineStr">
        <is>
          <t>≤ 0.5 mg/kg</t>
        </is>
      </c>
      <c r="K2297" s="256" t="inlineStr">
        <is>
          <t>0.031</t>
        </is>
      </c>
      <c r="L2297" s="256" t="inlineStr">
        <is>
          <t>iCoA-PP_26-006</t>
        </is>
      </c>
      <c r="M2297" s="256" t="inlineStr">
        <is>
          <t>03.06.2026</t>
        </is>
      </c>
      <c r="N2297" s="256" t="inlineStr">
        <is>
          <t>Purely Plant GmbH (in-house)</t>
        </is>
      </c>
      <c r="O2297" s="256" t="inlineStr">
        <is>
          <t>—</t>
        </is>
      </c>
      <c r="P2297" s="256" t="inlineStr">
        <is>
          <t>carried from the initial testing (CoQ-PP-2025-0005) — in-house CoA only — not an eCoA or an iCoA: a value no certificate of analysis certifies cannot be on a release certificate (owner's rule, 02.09.2026)</t>
        </is>
      </c>
      <c r="Q2297" s="256" t="inlineStr"/>
      <c r="R2297" s="256" t="inlineStr"/>
    </row>
    <row r="2298">
      <c r="A2298" s="256" t="inlineStr">
        <is>
          <t>CoQ-PP_26-100</t>
        </is>
      </c>
      <c r="B2298" s="256" t="inlineStr">
        <is>
          <t>reissue — retest</t>
        </is>
      </c>
      <c r="C2298" s="256" t="inlineStr">
        <is>
          <t>OPM1024</t>
        </is>
      </c>
      <c r="D2298" s="256" t="inlineStr">
        <is>
          <t>OPM1024</t>
        </is>
      </c>
      <c r="E2298" s="256" t="inlineStr">
        <is>
          <t>Orange Punch Mimosa</t>
        </is>
      </c>
      <c r="F2298" s="256" t="inlineStr">
        <is>
          <t>17.08.2026</t>
        </is>
      </c>
      <c r="G2298" s="256" t="inlineStr">
        <is>
          <t>11.2</t>
        </is>
      </c>
      <c r="H2298" s="256" t="inlineStr">
        <is>
          <t>Cadmium (Cd)</t>
        </is>
      </c>
      <c r="I2298" s="256" t="inlineStr">
        <is>
          <t>Ph. Eur. 2.4.27 (ICP-MS)</t>
        </is>
      </c>
      <c r="J2298" s="256" t="inlineStr">
        <is>
          <t>≤ 0.3 mg/kg</t>
        </is>
      </c>
      <c r="K2298" s="256" t="inlineStr">
        <is>
          <t>0.017</t>
        </is>
      </c>
      <c r="L2298" s="256" t="inlineStr">
        <is>
          <t>iCoA-PP_26-006</t>
        </is>
      </c>
      <c r="M2298" s="256" t="inlineStr">
        <is>
          <t>03.06.2026</t>
        </is>
      </c>
      <c r="N2298" s="256" t="inlineStr">
        <is>
          <t>Purely Plant GmbH (in-house)</t>
        </is>
      </c>
      <c r="O2298" s="256" t="inlineStr">
        <is>
          <t>—</t>
        </is>
      </c>
      <c r="P2298" s="256" t="inlineStr">
        <is>
          <t>carried from the initial testing (CoQ-PP-2025-0005) — in-house CoA only — not an eCoA or an iCoA: a value no certificate of analysis certifies cannot be on a release certificate (owner's rule, 02.09.2026)</t>
        </is>
      </c>
      <c r="Q2298" s="256" t="inlineStr"/>
      <c r="R2298" s="256" t="inlineStr"/>
    </row>
    <row r="2299">
      <c r="A2299" s="256" t="inlineStr">
        <is>
          <t>CoQ-PP_26-100</t>
        </is>
      </c>
      <c r="B2299" s="256" t="inlineStr">
        <is>
          <t>reissue — retest</t>
        </is>
      </c>
      <c r="C2299" s="256" t="inlineStr">
        <is>
          <t>OPM1024</t>
        </is>
      </c>
      <c r="D2299" s="256" t="inlineStr">
        <is>
          <t>OPM1024</t>
        </is>
      </c>
      <c r="E2299" s="256" t="inlineStr">
        <is>
          <t>Orange Punch Mimosa</t>
        </is>
      </c>
      <c r="F2299" s="256" t="inlineStr">
        <is>
          <t>17.08.2026</t>
        </is>
      </c>
      <c r="G2299" s="256" t="inlineStr">
        <is>
          <t>11.3</t>
        </is>
      </c>
      <c r="H2299" s="256" t="inlineStr">
        <is>
          <t>Arsenic (As)</t>
        </is>
      </c>
      <c r="I2299" s="256" t="inlineStr">
        <is>
          <t>Ph. Eur. 2.4.27 (ICP-MS)</t>
        </is>
      </c>
      <c r="J2299" s="256" t="inlineStr">
        <is>
          <t>≤ 0.2 mg/kg</t>
        </is>
      </c>
      <c r="K2299" s="256" t="inlineStr">
        <is>
          <t>0.045</t>
        </is>
      </c>
      <c r="L2299" s="256" t="inlineStr">
        <is>
          <t>iCoA-PP_26-006</t>
        </is>
      </c>
      <c r="M2299" s="256" t="inlineStr">
        <is>
          <t>03.06.2026</t>
        </is>
      </c>
      <c r="N2299" s="256" t="inlineStr">
        <is>
          <t>Purely Plant GmbH (in-house)</t>
        </is>
      </c>
      <c r="O2299" s="256" t="inlineStr">
        <is>
          <t>—</t>
        </is>
      </c>
      <c r="P2299" s="256" t="inlineStr">
        <is>
          <t>carried from the initial testing (CoQ-PP-2025-0005) — in-house CoA only — not an eCoA or an iCoA: a value no certificate of analysis certifies cannot be on a release certificate (owner's rule, 02.09.2026)</t>
        </is>
      </c>
      <c r="Q2299" s="256" t="inlineStr"/>
      <c r="R2299" s="256" t="inlineStr"/>
    </row>
    <row r="2300">
      <c r="A2300" s="256" t="inlineStr">
        <is>
          <t>CoQ-PP_26-100</t>
        </is>
      </c>
      <c r="B2300" s="256" t="inlineStr">
        <is>
          <t>reissue — retest</t>
        </is>
      </c>
      <c r="C2300" s="256" t="inlineStr">
        <is>
          <t>OPM1024</t>
        </is>
      </c>
      <c r="D2300" s="256" t="inlineStr">
        <is>
          <t>OPM1024</t>
        </is>
      </c>
      <c r="E2300" s="256" t="inlineStr">
        <is>
          <t>Orange Punch Mimosa</t>
        </is>
      </c>
      <c r="F2300" s="256" t="inlineStr">
        <is>
          <t>17.08.2026</t>
        </is>
      </c>
      <c r="G2300" s="256" t="inlineStr">
        <is>
          <t>11.4</t>
        </is>
      </c>
      <c r="H2300" s="256" t="inlineStr">
        <is>
          <t>Mercury (Hg)</t>
        </is>
      </c>
      <c r="I2300" s="256" t="inlineStr">
        <is>
          <t>Ph. Eur. 2.4.27 (ICP-MS)</t>
        </is>
      </c>
      <c r="J2300" s="256" t="inlineStr">
        <is>
          <t>≤ 0.1 mg/kg</t>
        </is>
      </c>
      <c r="K2300" s="256" t="inlineStr">
        <is>
          <t>0.005</t>
        </is>
      </c>
      <c r="L2300" s="256" t="inlineStr">
        <is>
          <t>iCoA-PP_26-006</t>
        </is>
      </c>
      <c r="M2300" s="256" t="inlineStr">
        <is>
          <t>03.06.2026</t>
        </is>
      </c>
      <c r="N2300" s="256" t="inlineStr">
        <is>
          <t>Purely Plant GmbH (in-house)</t>
        </is>
      </c>
      <c r="O2300" s="256" t="inlineStr">
        <is>
          <t>—</t>
        </is>
      </c>
      <c r="P2300" s="256" t="inlineStr">
        <is>
          <t>carried from the initial testing (CoQ-PP-2025-0005) — in-house CoA only — not an eCoA or an iCoA: a value no certificate of analysis certifies cannot be on a release certificate (owner's rule, 02.09.2026)</t>
        </is>
      </c>
      <c r="Q2300" s="256" t="inlineStr"/>
      <c r="R2300" s="256" t="inlineStr"/>
    </row>
    <row r="2301">
      <c r="A2301" s="256" t="inlineStr">
        <is>
          <t>CoQ-PP_26-100</t>
        </is>
      </c>
      <c r="B2301" s="256" t="inlineStr">
        <is>
          <t>reissue — retest</t>
        </is>
      </c>
      <c r="C2301" s="256" t="inlineStr">
        <is>
          <t>OPM1024</t>
        </is>
      </c>
      <c r="D2301" s="256" t="inlineStr">
        <is>
          <t>OPM1024</t>
        </is>
      </c>
      <c r="E2301" s="256" t="inlineStr">
        <is>
          <t>Orange Punch Mimosa</t>
        </is>
      </c>
      <c r="F2301" s="256" t="inlineStr">
        <is>
          <t>17.08.2026</t>
        </is>
      </c>
      <c r="G2301" s="256" t="inlineStr">
        <is>
          <t>12</t>
        </is>
      </c>
      <c r="H2301" s="256" t="inlineStr">
        <is>
          <t>Pesticide Residues</t>
        </is>
      </c>
      <c r="I2301" s="256" t="inlineStr">
        <is>
          <t>Ph. Eur. 2.8.13 (LC-MS/MS) · CUMCS Equivalency</t>
        </is>
      </c>
      <c r="J2301" s="256" t="inlineStr">
        <is>
          <t>≤ LOQ as per Ph. Eur. 2.8.13 · ≤ LOQ as per CUMCS Equivalency</t>
        </is>
      </c>
      <c r="K2301" s="256" t="inlineStr">
        <is>
          <t>ND</t>
        </is>
      </c>
      <c r="L2301" s="256" t="inlineStr">
        <is>
          <t>iCoA-PP_26-006</t>
        </is>
      </c>
      <c r="M2301" s="256" t="inlineStr">
        <is>
          <t>03.06.2026</t>
        </is>
      </c>
      <c r="N2301" s="256" t="inlineStr">
        <is>
          <t>Purely Plant GmbH (in-house)</t>
        </is>
      </c>
      <c r="O2301" s="256" t="inlineStr">
        <is>
          <t>—</t>
        </is>
      </c>
      <c r="P2301" s="256" t="inlineStr">
        <is>
          <t>carried from the initial testing (CoQ-PP-2025-0005) — in-house CoA only — not an eCoA or an iCoA: a value no certificate of analysis certifies cannot be on a release certificate (owner's rule, 02.09.2026)</t>
        </is>
      </c>
      <c r="Q2301" s="256" t="inlineStr"/>
      <c r="R2301" s="256" t="inlineStr"/>
    </row>
    <row r="2302">
      <c r="A2302" s="256" t="inlineStr">
        <is>
          <t>CoQ-PP_26-101</t>
        </is>
      </c>
      <c r="B2302" s="256" t="inlineStr">
        <is>
          <t>reissue — retest</t>
        </is>
      </c>
      <c r="C2302" s="256" t="inlineStr">
        <is>
          <t>OPM1024_02</t>
        </is>
      </c>
      <c r="D2302" s="256" t="inlineStr">
        <is>
          <t>P050062</t>
        </is>
      </c>
      <c r="E2302" s="256" t="inlineStr">
        <is>
          <t>Orange Punch Mimosa</t>
        </is>
      </c>
      <c r="F2302" s="256" t="inlineStr">
        <is>
          <t>17.08.2026</t>
        </is>
      </c>
      <c r="G2302" s="256" t="inlineStr">
        <is>
          <t>1</t>
        </is>
      </c>
      <c r="H2302" s="256" t="inlineStr">
        <is>
          <t>Identification A, Appearance · Macroscopic</t>
        </is>
      </c>
      <c r="I2302" s="256" t="inlineStr">
        <is>
          <t>Ph. Eur. mon. 3028</t>
        </is>
      </c>
      <c r="J2302" s="256" t="inlineStr">
        <is>
          <t>Conforms to the monograph for Cannabis flos (07/2024:3028) in Ph. Eur. 11.0 | Согласно монографија за Cannabis flos (07/2024:3028) во Ph. Eur. 11.0</t>
        </is>
      </c>
      <c r="K2302" s="256" t="inlineStr">
        <is>
          <t>Conforms | Одговара</t>
        </is>
      </c>
      <c r="L2302" s="256" t="inlineStr">
        <is>
          <t>iCoA-PP_26-117</t>
        </is>
      </c>
      <c r="M2302" s="256" t="inlineStr">
        <is>
          <t>27.07.2026</t>
        </is>
      </c>
      <c r="N2302" s="256" t="inlineStr">
        <is>
          <t>Purely Plant GmbH (in-house)</t>
        </is>
      </c>
      <c r="O2302" s="256" t="inlineStr">
        <is>
          <t>—</t>
        </is>
      </c>
      <c r="P2302" s="256" t="inlineStr">
        <is>
          <t>covered</t>
        </is>
      </c>
      <c r="Q2302" s="256" t="inlineStr">
        <is>
          <t>Farmahem — Ident A + B + C with the Assay, at retest</t>
        </is>
      </c>
      <c r="R2302" s="256" t="inlineStr"/>
    </row>
    <row r="2303">
      <c r="A2303" s="256" t="inlineStr">
        <is>
          <t>CoQ-PP_26-101</t>
        </is>
      </c>
      <c r="B2303" s="256" t="inlineStr">
        <is>
          <t>reissue — retest</t>
        </is>
      </c>
      <c r="C2303" s="256" t="inlineStr">
        <is>
          <t>OPM1024_02</t>
        </is>
      </c>
      <c r="D2303" s="256" t="inlineStr">
        <is>
          <t>P050062</t>
        </is>
      </c>
      <c r="E2303" s="256" t="inlineStr">
        <is>
          <t>Orange Punch Mimosa</t>
        </is>
      </c>
      <c r="F2303" s="256" t="inlineStr">
        <is>
          <t>17.08.2026</t>
        </is>
      </c>
      <c r="G2303" s="256" t="inlineStr">
        <is>
          <t>2</t>
        </is>
      </c>
      <c r="H2303" s="256" t="inlineStr">
        <is>
          <t>Identification B · Microscopic</t>
        </is>
      </c>
      <c r="I2303" s="256" t="inlineStr">
        <is>
          <t>Ph. Eur. 2.8.23 (microscopy)</t>
        </is>
      </c>
      <c r="J2303" s="256" t="inlineStr">
        <is>
          <t>Conforms to the monograph for Cannabis flos (07/2024:3028) in Ph. Eur. 11.0 | Согласно монографија за Cannabis flos (07/2024:3028) во Ph. Eur. 11.0</t>
        </is>
      </c>
      <c r="K2303" s="256" t="inlineStr">
        <is>
          <t>Conforms | Одговара</t>
        </is>
      </c>
      <c r="L2303" s="256" t="inlineStr">
        <is>
          <t>iCoA-PP_26-117</t>
        </is>
      </c>
      <c r="M2303" s="256" t="inlineStr">
        <is>
          <t>27.07.2026</t>
        </is>
      </c>
      <c r="N2303" s="256" t="inlineStr">
        <is>
          <t>Purely Plant GmbH (in-house)</t>
        </is>
      </c>
      <c r="O2303" s="256" t="inlineStr">
        <is>
          <t>—</t>
        </is>
      </c>
      <c r="P2303" s="256" t="inlineStr">
        <is>
          <t>covered</t>
        </is>
      </c>
      <c r="Q2303" s="256" t="inlineStr">
        <is>
          <t>Farmahem — Ident A + B + C with the Assay, at retest</t>
        </is>
      </c>
      <c r="R2303" s="256" t="inlineStr"/>
    </row>
    <row r="2304">
      <c r="A2304" s="256" t="inlineStr">
        <is>
          <t>CoQ-PP_26-101</t>
        </is>
      </c>
      <c r="B2304" s="256" t="inlineStr">
        <is>
          <t>reissue — retest</t>
        </is>
      </c>
      <c r="C2304" s="256" t="inlineStr">
        <is>
          <t>OPM1024_02</t>
        </is>
      </c>
      <c r="D2304" s="256" t="inlineStr">
        <is>
          <t>P050062</t>
        </is>
      </c>
      <c r="E2304" s="256" t="inlineStr">
        <is>
          <t>Orange Punch Mimosa</t>
        </is>
      </c>
      <c r="F2304" s="256" t="inlineStr">
        <is>
          <t>17.08.2026</t>
        </is>
      </c>
      <c r="G2304" s="256" t="inlineStr">
        <is>
          <t>3</t>
        </is>
      </c>
      <c r="H2304" s="256" t="inlineStr">
        <is>
          <t>Identification C · HPLC/HPTLC</t>
        </is>
      </c>
      <c r="I2304" s="256" t="inlineStr">
        <is>
          <t>Ph. Eur. 2.2.29 (3028)</t>
        </is>
      </c>
      <c r="J2304" s="256" t="inlineStr">
        <is>
          <t>Conforms to the monograph for Cannabis flos (07/2024:3028) in Ph. Eur. 11.0 | Согласно монографија за Cannabis flos (07/2024:3028) во Ph. Eur. 11.0</t>
        </is>
      </c>
      <c r="K2304" s="256" t="inlineStr">
        <is>
          <t>Conforms | Одговара</t>
        </is>
      </c>
      <c r="L2304" s="256" t="inlineStr">
        <is>
          <t>197-18-К/26</t>
        </is>
      </c>
      <c r="M2304" s="256" t="inlineStr">
        <is>
          <t>07.08.2026</t>
        </is>
      </c>
      <c r="N2304" s="256" t="inlineStr">
        <is>
          <t>Farmahem</t>
        </is>
      </c>
      <c r="O2304" s="256" t="inlineStr">
        <is>
          <t>27.07.2026</t>
        </is>
      </c>
      <c r="P2304" s="256" t="inlineStr">
        <is>
          <t>covered</t>
        </is>
      </c>
      <c r="Q2304" s="256" t="inlineStr"/>
      <c r="R2304" s="256" t="inlineStr"/>
    </row>
    <row r="2305">
      <c r="A2305" s="256" t="inlineStr">
        <is>
          <t>CoQ-PP_26-101</t>
        </is>
      </c>
      <c r="B2305" s="256" t="inlineStr">
        <is>
          <t>reissue — retest</t>
        </is>
      </c>
      <c r="C2305" s="256" t="inlineStr">
        <is>
          <t>OPM1024_02</t>
        </is>
      </c>
      <c r="D2305" s="256" t="inlineStr">
        <is>
          <t>P050062</t>
        </is>
      </c>
      <c r="E2305" s="256" t="inlineStr">
        <is>
          <t>Orange Punch Mimosa</t>
        </is>
      </c>
      <c r="F2305" s="256" t="inlineStr">
        <is>
          <t>17.08.2026</t>
        </is>
      </c>
      <c r="G2305" s="256" t="inlineStr">
        <is>
          <t>4</t>
        </is>
      </c>
      <c r="H2305" s="256" t="inlineStr">
        <is>
          <t>Assay — Total Δ⁹-THC</t>
        </is>
      </c>
      <c r="I2305" s="256" t="inlineStr">
        <is>
          <t>Ph. Eur. 2.2.29 (HPLC)</t>
        </is>
      </c>
      <c r="J2305" s="256" t="inlineStr">
        <is>
          <t>15.40 – 18.59 %  (grade II, nominal 17.00 ± 1.60)</t>
        </is>
      </c>
      <c r="K2305" s="256" t="inlineStr">
        <is>
          <t>18.04</t>
        </is>
      </c>
      <c r="L2305" s="256" t="inlineStr">
        <is>
          <t>197-18-К/26</t>
        </is>
      </c>
      <c r="M2305" s="256" t="inlineStr">
        <is>
          <t>07.08.2026</t>
        </is>
      </c>
      <c r="N2305" s="256" t="inlineStr">
        <is>
          <t>Farmahem</t>
        </is>
      </c>
      <c r="O2305" s="256" t="inlineStr">
        <is>
          <t>27.07.2026</t>
        </is>
      </c>
      <c r="P2305" s="256" t="inlineStr">
        <is>
          <t>covered</t>
        </is>
      </c>
      <c r="Q2305" s="256" t="inlineStr"/>
      <c r="R2305" s="256" t="inlineStr"/>
    </row>
    <row r="2306">
      <c r="A2306" s="256" t="inlineStr">
        <is>
          <t>CoQ-PP_26-101</t>
        </is>
      </c>
      <c r="B2306" s="256" t="inlineStr">
        <is>
          <t>reissue — retest</t>
        </is>
      </c>
      <c r="C2306" s="256" t="inlineStr">
        <is>
          <t>OPM1024_02</t>
        </is>
      </c>
      <c r="D2306" s="256" t="inlineStr">
        <is>
          <t>P050062</t>
        </is>
      </c>
      <c r="E2306" s="256" t="inlineStr">
        <is>
          <t>Orange Punch Mimosa</t>
        </is>
      </c>
      <c r="F2306" s="256" t="inlineStr">
        <is>
          <t>17.08.2026</t>
        </is>
      </c>
      <c r="G2306" s="256" t="inlineStr">
        <is>
          <t>5</t>
        </is>
      </c>
      <c r="H2306" s="256" t="inlineStr">
        <is>
          <t>Assay — Total CBD</t>
        </is>
      </c>
      <c r="I2306" s="256" t="inlineStr">
        <is>
          <t>Ph. Eur. 2.2.29 (HPLC) · CBD + CBDA x 0.877</t>
        </is>
      </c>
      <c r="J2306" s="256" t="inlineStr">
        <is>
          <t>≤ 1.0%, w/w</t>
        </is>
      </c>
      <c r="K2306" s="256" t="inlineStr">
        <is>
          <t>&lt; LOQ</t>
        </is>
      </c>
      <c r="L2306" s="256" t="inlineStr">
        <is>
          <t>197-18-К/26</t>
        </is>
      </c>
      <c r="M2306" s="256" t="inlineStr">
        <is>
          <t>07.08.2026</t>
        </is>
      </c>
      <c r="N2306" s="256" t="inlineStr">
        <is>
          <t>Farmahem</t>
        </is>
      </c>
      <c r="O2306" s="256" t="inlineStr">
        <is>
          <t>27.07.2026</t>
        </is>
      </c>
      <c r="P2306" s="256" t="inlineStr">
        <is>
          <t>covered</t>
        </is>
      </c>
      <c r="Q2306" s="256" t="inlineStr"/>
      <c r="R2306" s="256" t="inlineStr"/>
    </row>
    <row r="2307">
      <c r="A2307" s="256" t="inlineStr">
        <is>
          <t>CoQ-PP_26-101</t>
        </is>
      </c>
      <c r="B2307" s="256" t="inlineStr">
        <is>
          <t>reissue — retest</t>
        </is>
      </c>
      <c r="C2307" s="256" t="inlineStr">
        <is>
          <t>OPM1024_02</t>
        </is>
      </c>
      <c r="D2307" s="256" t="inlineStr">
        <is>
          <t>P050062</t>
        </is>
      </c>
      <c r="E2307" s="256" t="inlineStr">
        <is>
          <t>Orange Punch Mimosa</t>
        </is>
      </c>
      <c r="F2307" s="256" t="inlineStr">
        <is>
          <t>17.08.2026</t>
        </is>
      </c>
      <c r="G2307" s="256" t="inlineStr">
        <is>
          <t>6</t>
        </is>
      </c>
      <c r="H2307" s="256" t="inlineStr">
        <is>
          <t>Total CBN</t>
        </is>
      </c>
      <c r="I2307" s="256" t="inlineStr">
        <is>
          <t>Ph. Eur. 2.2.29 (HPLC) · CBN + CBNA x 0.876</t>
        </is>
      </c>
      <c r="J2307" s="256" t="inlineStr">
        <is>
          <t>≤ 1.0%, w/w</t>
        </is>
      </c>
      <c r="K2307" s="256" t="inlineStr">
        <is>
          <t>&lt; LOQ</t>
        </is>
      </c>
      <c r="L2307" s="256" t="inlineStr">
        <is>
          <t>197-18-К/26</t>
        </is>
      </c>
      <c r="M2307" s="256" t="inlineStr">
        <is>
          <t>07.08.2026</t>
        </is>
      </c>
      <c r="N2307" s="256" t="inlineStr">
        <is>
          <t>Farmahem</t>
        </is>
      </c>
      <c r="O2307" s="256" t="inlineStr">
        <is>
          <t>27.07.2026</t>
        </is>
      </c>
      <c r="P2307" s="256" t="inlineStr">
        <is>
          <t>covered</t>
        </is>
      </c>
      <c r="Q2307" s="256" t="inlineStr"/>
      <c r="R2307" s="256" t="inlineStr"/>
    </row>
    <row r="2308">
      <c r="A2308" s="256" t="inlineStr">
        <is>
          <t>CoQ-PP_26-101</t>
        </is>
      </c>
      <c r="B2308" s="256" t="inlineStr">
        <is>
          <t>reissue — retest</t>
        </is>
      </c>
      <c r="C2308" s="256" t="inlineStr">
        <is>
          <t>OPM1024_02</t>
        </is>
      </c>
      <c r="D2308" s="256" t="inlineStr">
        <is>
          <t>P050062</t>
        </is>
      </c>
      <c r="E2308" s="256" t="inlineStr">
        <is>
          <t>Orange Punch Mimosa</t>
        </is>
      </c>
      <c r="F2308" s="256" t="inlineStr">
        <is>
          <t>17.08.2026</t>
        </is>
      </c>
      <c r="G2308" s="256" t="inlineStr">
        <is>
          <t>7</t>
        </is>
      </c>
      <c r="H2308" s="256" t="inlineStr">
        <is>
          <t>Foreign Matter</t>
        </is>
      </c>
      <c r="I2308" s="256" t="inlineStr">
        <is>
          <t>Ph. Eur. 2.8.2 · In-house · интерна</t>
        </is>
      </c>
      <c r="J2308" s="256" t="inlineStr">
        <is>
          <t>≤ 2.0% / 25–50 g · &lt; 1 cm leaves | листови, no seeds | без семки</t>
        </is>
      </c>
      <c r="K2308" s="256" t="inlineStr">
        <is>
          <t>Conforms | Одговара</t>
        </is>
      </c>
      <c r="L2308" s="256" t="inlineStr">
        <is>
          <t>iCoA-PP_26-117</t>
        </is>
      </c>
      <c r="M2308" s="256" t="inlineStr">
        <is>
          <t>27.07.2026</t>
        </is>
      </c>
      <c r="N2308" s="256" t="inlineStr">
        <is>
          <t>Purely Plant GmbH (in-house)</t>
        </is>
      </c>
      <c r="O2308" s="256" t="inlineStr">
        <is>
          <t>—</t>
        </is>
      </c>
      <c r="P2308" s="256" t="inlineStr">
        <is>
          <t>covered</t>
        </is>
      </c>
      <c r="Q2308" s="256" t="inlineStr">
        <is>
          <t>Purely Plant laboratory — iCoA covering Foreign matter</t>
        </is>
      </c>
      <c r="R2308" s="256" t="inlineStr"/>
    </row>
    <row r="2309">
      <c r="A2309" s="256" t="inlineStr">
        <is>
          <t>CoQ-PP_26-101</t>
        </is>
      </c>
      <c r="B2309" s="256" t="inlineStr">
        <is>
          <t>reissue — retest</t>
        </is>
      </c>
      <c r="C2309" s="256" t="inlineStr">
        <is>
          <t>OPM1024_02</t>
        </is>
      </c>
      <c r="D2309" s="256" t="inlineStr">
        <is>
          <t>P050062</t>
        </is>
      </c>
      <c r="E2309" s="256" t="inlineStr">
        <is>
          <t>Orange Punch Mimosa</t>
        </is>
      </c>
      <c r="F2309" s="256" t="inlineStr">
        <is>
          <t>17.08.2026</t>
        </is>
      </c>
      <c r="G2309" s="256" t="inlineStr">
        <is>
          <t>8</t>
        </is>
      </c>
      <c r="H2309" s="256" t="inlineStr">
        <is>
          <t>Loss on Drying</t>
        </is>
      </c>
      <c r="I2309" s="256" t="inlineStr">
        <is>
          <t>DAB 2018 monograph Cannabis flos, 2.2.32 — loss on drying (CNP, before its Ph. Eur. 3028 accreditation)</t>
        </is>
      </c>
      <c r="J2309" s="256" t="inlineStr">
        <is>
          <t>≤ 12.0%</t>
        </is>
      </c>
      <c r="K2309" s="256" t="inlineStr">
        <is>
          <t>6.89</t>
        </is>
      </c>
      <c r="L2309" s="256" t="inlineStr">
        <is>
          <t>ППК25154</t>
        </is>
      </c>
      <c r="M2309" s="256" t="inlineStr">
        <is>
          <t>24.06.2025</t>
        </is>
      </c>
      <c r="N2309" s="256" t="inlineStr">
        <is>
          <t>UKIM Faculty of Pharmacy — Center for Natural Products</t>
        </is>
      </c>
      <c r="O2309" s="256" t="inlineStr">
        <is>
          <t>12.06.2025</t>
        </is>
      </c>
      <c r="P2309" s="256" t="inlineStr">
        <is>
          <t>carried from the initial testing (CoQ-PP-2025-0009) — covered</t>
        </is>
      </c>
      <c r="Q2309" s="256" t="inlineStr"/>
      <c r="R2309" s="256" t="inlineStr"/>
    </row>
    <row r="2310">
      <c r="A2310" s="256" t="inlineStr">
        <is>
          <t>CoQ-PP_26-101</t>
        </is>
      </c>
      <c r="B2310" s="256" t="inlineStr">
        <is>
          <t>reissue — retest</t>
        </is>
      </c>
      <c r="C2310" s="256" t="inlineStr">
        <is>
          <t>OPM1024_02</t>
        </is>
      </c>
      <c r="D2310" s="256" t="inlineStr">
        <is>
          <t>P050062</t>
        </is>
      </c>
      <c r="E2310" s="256" t="inlineStr">
        <is>
          <t>Orange Punch Mimosa</t>
        </is>
      </c>
      <c r="F2310" s="256" t="inlineStr">
        <is>
          <t>17.08.2026</t>
        </is>
      </c>
      <c r="G2310" s="256" t="inlineStr">
        <is>
          <t>9.1</t>
        </is>
      </c>
      <c r="H2310" s="256" t="inlineStr">
        <is>
          <t>TAMC</t>
        </is>
      </c>
      <c r="I2310" s="256" t="inlineStr">
        <is>
          <t>Ph. Eur. 2.6.12 cat. C</t>
        </is>
      </c>
      <c r="J2310" s="256" t="inlineStr">
        <is>
          <t>≤ 10⁵ CFU/g</t>
        </is>
      </c>
      <c r="K2310" s="256" t="inlineStr">
        <is>
          <t>3.4 × 10³</t>
        </is>
      </c>
      <c r="L2310" s="256" t="inlineStr">
        <is>
          <t>588/1067/25</t>
        </is>
      </c>
      <c r="M2310" s="256" t="inlineStr">
        <is>
          <t>18.06.2025</t>
        </is>
      </c>
      <c r="N2310" s="256" t="inlineStr">
        <is>
          <t>IPH — Institute of Public Health</t>
        </is>
      </c>
      <c r="O2310" s="256" t="inlineStr">
        <is>
          <t>13.06.2025</t>
        </is>
      </c>
      <c r="P2310" s="256" t="inlineStr">
        <is>
          <t>carried from the initial testing (CoQ-PP-2025-0009) — covered</t>
        </is>
      </c>
      <c r="Q2310" s="256" t="inlineStr"/>
      <c r="R2310" s="256" t="inlineStr"/>
    </row>
    <row r="2311">
      <c r="A2311" s="256" t="inlineStr">
        <is>
          <t>CoQ-PP_26-101</t>
        </is>
      </c>
      <c r="B2311" s="256" t="inlineStr">
        <is>
          <t>reissue — retest</t>
        </is>
      </c>
      <c r="C2311" s="256" t="inlineStr">
        <is>
          <t>OPM1024_02</t>
        </is>
      </c>
      <c r="D2311" s="256" t="inlineStr">
        <is>
          <t>P050062</t>
        </is>
      </c>
      <c r="E2311" s="256" t="inlineStr">
        <is>
          <t>Orange Punch Mimosa</t>
        </is>
      </c>
      <c r="F2311" s="256" t="inlineStr">
        <is>
          <t>17.08.2026</t>
        </is>
      </c>
      <c r="G2311" s="256" t="inlineStr">
        <is>
          <t>9.2</t>
        </is>
      </c>
      <c r="H2311" s="256" t="inlineStr">
        <is>
          <t>TYMC</t>
        </is>
      </c>
      <c r="I2311" s="256" t="inlineStr">
        <is>
          <t>Ph. Eur. 2.6.12 cat. C</t>
        </is>
      </c>
      <c r="J2311" s="256" t="inlineStr">
        <is>
          <t>≤ 10⁴ CFU/g</t>
        </is>
      </c>
      <c r="K2311" s="256" t="inlineStr">
        <is>
          <t>3.6 × 10³</t>
        </is>
      </c>
      <c r="L2311" s="256" t="inlineStr">
        <is>
          <t>588/1067/25</t>
        </is>
      </c>
      <c r="M2311" s="256" t="inlineStr">
        <is>
          <t>18.06.2025</t>
        </is>
      </c>
      <c r="N2311" s="256" t="inlineStr">
        <is>
          <t>IPH — Institute of Public Health</t>
        </is>
      </c>
      <c r="O2311" s="256" t="inlineStr">
        <is>
          <t>13.06.2025</t>
        </is>
      </c>
      <c r="P2311" s="256" t="inlineStr">
        <is>
          <t>carried from the initial testing (CoQ-PP-2025-0009) — covered</t>
        </is>
      </c>
      <c r="Q2311" s="256" t="inlineStr"/>
      <c r="R2311" s="256" t="inlineStr"/>
    </row>
    <row r="2312">
      <c r="A2312" s="256" t="inlineStr">
        <is>
          <t>CoQ-PP_26-101</t>
        </is>
      </c>
      <c r="B2312" s="256" t="inlineStr">
        <is>
          <t>reissue — retest</t>
        </is>
      </c>
      <c r="C2312" s="256" t="inlineStr">
        <is>
          <t>OPM1024_02</t>
        </is>
      </c>
      <c r="D2312" s="256" t="inlineStr">
        <is>
          <t>P050062</t>
        </is>
      </c>
      <c r="E2312" s="256" t="inlineStr">
        <is>
          <t>Orange Punch Mimosa</t>
        </is>
      </c>
      <c r="F2312" s="256" t="inlineStr">
        <is>
          <t>17.08.2026</t>
        </is>
      </c>
      <c r="G2312" s="256" t="inlineStr">
        <is>
          <t>9.3</t>
        </is>
      </c>
      <c r="H2312" s="256" t="inlineStr">
        <is>
          <t>Bile-tolerant gram-neg.</t>
        </is>
      </c>
      <c r="I2312" s="256" t="inlineStr">
        <is>
          <t>Ph. Eur. 2.6.31 cat. C</t>
        </is>
      </c>
      <c r="J2312" s="256" t="inlineStr">
        <is>
          <t>≤ 10⁴ CFU/g</t>
        </is>
      </c>
      <c r="K2312" s="256" t="inlineStr">
        <is>
          <t>&lt; 10</t>
        </is>
      </c>
      <c r="L2312" s="256" t="inlineStr">
        <is>
          <t>588/1067/25</t>
        </is>
      </c>
      <c r="M2312" s="256" t="inlineStr">
        <is>
          <t>18.06.2025</t>
        </is>
      </c>
      <c r="N2312" s="256" t="inlineStr">
        <is>
          <t>IPH — Institute of Public Health</t>
        </is>
      </c>
      <c r="O2312" s="256" t="inlineStr">
        <is>
          <t>13.06.2025</t>
        </is>
      </c>
      <c r="P2312" s="256" t="inlineStr">
        <is>
          <t>carried from the initial testing (CoQ-PP-2025-0009) — covered</t>
        </is>
      </c>
      <c r="Q2312" s="256" t="inlineStr"/>
      <c r="R2312" s="256" t="inlineStr"/>
    </row>
    <row r="2313">
      <c r="A2313" s="256" t="inlineStr">
        <is>
          <t>CoQ-PP_26-101</t>
        </is>
      </c>
      <c r="B2313" s="256" t="inlineStr">
        <is>
          <t>reissue — retest</t>
        </is>
      </c>
      <c r="C2313" s="256" t="inlineStr">
        <is>
          <t>OPM1024_02</t>
        </is>
      </c>
      <c r="D2313" s="256" t="inlineStr">
        <is>
          <t>P050062</t>
        </is>
      </c>
      <c r="E2313" s="256" t="inlineStr">
        <is>
          <t>Orange Punch Mimosa</t>
        </is>
      </c>
      <c r="F2313" s="256" t="inlineStr">
        <is>
          <t>17.08.2026</t>
        </is>
      </c>
      <c r="G2313" s="256" t="inlineStr">
        <is>
          <t>9.4</t>
        </is>
      </c>
      <c r="H2313" s="256" t="inlineStr">
        <is>
          <t>Salmonella</t>
        </is>
      </c>
      <c r="I2313" s="256" t="inlineStr">
        <is>
          <t>Ph. Eur. 2.6.31 cat. C</t>
        </is>
      </c>
      <c r="J2313" s="256" t="inlineStr">
        <is>
          <t>Absence | Отсуство / 25 g</t>
        </is>
      </c>
      <c r="K2313" s="256" t="inlineStr">
        <is>
          <t>Absent | Отсутна</t>
        </is>
      </c>
      <c r="L2313" s="256" t="inlineStr">
        <is>
          <t>588/1067/25</t>
        </is>
      </c>
      <c r="M2313" s="256" t="inlineStr">
        <is>
          <t>18.06.2025</t>
        </is>
      </c>
      <c r="N2313" s="256" t="inlineStr">
        <is>
          <t>IPH — Institute of Public Health</t>
        </is>
      </c>
      <c r="O2313" s="256" t="inlineStr">
        <is>
          <t>13.06.2025</t>
        </is>
      </c>
      <c r="P2313" s="256" t="inlineStr">
        <is>
          <t>carried from the initial testing (CoQ-PP-2025-0009) — covered</t>
        </is>
      </c>
      <c r="Q2313" s="256" t="inlineStr"/>
      <c r="R2313" s="256" t="inlineStr"/>
    </row>
    <row r="2314">
      <c r="A2314" s="256" t="inlineStr">
        <is>
          <t>CoQ-PP_26-101</t>
        </is>
      </c>
      <c r="B2314" s="256" t="inlineStr">
        <is>
          <t>reissue — retest</t>
        </is>
      </c>
      <c r="C2314" s="256" t="inlineStr">
        <is>
          <t>OPM1024_02</t>
        </is>
      </c>
      <c r="D2314" s="256" t="inlineStr">
        <is>
          <t>P050062</t>
        </is>
      </c>
      <c r="E2314" s="256" t="inlineStr">
        <is>
          <t>Orange Punch Mimosa</t>
        </is>
      </c>
      <c r="F2314" s="256" t="inlineStr">
        <is>
          <t>17.08.2026</t>
        </is>
      </c>
      <c r="G2314" s="256" t="inlineStr">
        <is>
          <t>9.5</t>
        </is>
      </c>
      <c r="H2314" s="256" t="inlineStr">
        <is>
          <t>Escherichia coli</t>
        </is>
      </c>
      <c r="I2314" s="256" t="inlineStr">
        <is>
          <t>Ph. Eur. 2.6.13 cat. C</t>
        </is>
      </c>
      <c r="J2314" s="256" t="inlineStr">
        <is>
          <t>Absence | Отсуство / 1 g</t>
        </is>
      </c>
      <c r="K2314" s="256" t="inlineStr">
        <is>
          <t>Absent | Отсутна</t>
        </is>
      </c>
      <c r="L2314" s="256" t="inlineStr">
        <is>
          <t>588/1067/25</t>
        </is>
      </c>
      <c r="M2314" s="256" t="inlineStr">
        <is>
          <t>18.06.2025</t>
        </is>
      </c>
      <c r="N2314" s="256" t="inlineStr">
        <is>
          <t>IPH — Institute of Public Health</t>
        </is>
      </c>
      <c r="O2314" s="256" t="inlineStr">
        <is>
          <t>13.06.2025</t>
        </is>
      </c>
      <c r="P2314" s="256" t="inlineStr">
        <is>
          <t>carried from the initial testing (CoQ-PP-2025-0009) — covered</t>
        </is>
      </c>
      <c r="Q2314" s="256" t="inlineStr"/>
      <c r="R2314" s="256" t="inlineStr"/>
    </row>
    <row r="2315">
      <c r="A2315" s="256" t="inlineStr">
        <is>
          <t>CoQ-PP_26-101</t>
        </is>
      </c>
      <c r="B2315" s="256" t="inlineStr">
        <is>
          <t>reissue — retest</t>
        </is>
      </c>
      <c r="C2315" s="256" t="inlineStr">
        <is>
          <t>OPM1024_02</t>
        </is>
      </c>
      <c r="D2315" s="256" t="inlineStr">
        <is>
          <t>P050062</t>
        </is>
      </c>
      <c r="E2315" s="256" t="inlineStr">
        <is>
          <t>Orange Punch Mimosa</t>
        </is>
      </c>
      <c r="F2315" s="256" t="inlineStr">
        <is>
          <t>17.08.2026</t>
        </is>
      </c>
      <c r="G2315" s="256" t="inlineStr">
        <is>
          <t>9.6</t>
        </is>
      </c>
      <c r="H2315" s="256" t="inlineStr">
        <is>
          <t>Pseudomonas aeruginosa</t>
        </is>
      </c>
      <c r="I2315" s="256" t="inlineStr">
        <is>
          <t>Ph. Eur. 2.6.13 cat. C</t>
        </is>
      </c>
      <c r="J2315" s="256" t="inlineStr">
        <is>
          <t>Absence | Отсуство / 1 g</t>
        </is>
      </c>
      <c r="K2315" s="260" t="inlineStr">
        <is>
          <t>upon request — not required for release</t>
        </is>
      </c>
      <c r="L2315" s="256" t="inlineStr">
        <is>
          <t>—</t>
        </is>
      </c>
      <c r="M2315" s="256" t="inlineStr">
        <is>
          <t>—</t>
        </is>
      </c>
      <c r="N2315" s="256" t="inlineStr">
        <is>
          <t>—</t>
        </is>
      </c>
      <c r="O2315" s="256" t="inlineStr">
        <is>
          <t>—</t>
        </is>
      </c>
      <c r="P2315" s="256" t="inlineStr">
        <is>
          <t>upon request — not required for release</t>
        </is>
      </c>
      <c r="Q2315" s="256" t="inlineStr"/>
      <c r="R2315" s="256" t="inlineStr"/>
    </row>
    <row r="2316">
      <c r="A2316" s="256" t="inlineStr">
        <is>
          <t>CoQ-PP_26-101</t>
        </is>
      </c>
      <c r="B2316" s="256" t="inlineStr">
        <is>
          <t>reissue — retest</t>
        </is>
      </c>
      <c r="C2316" s="256" t="inlineStr">
        <is>
          <t>OPM1024_02</t>
        </is>
      </c>
      <c r="D2316" s="256" t="inlineStr">
        <is>
          <t>P050062</t>
        </is>
      </c>
      <c r="E2316" s="256" t="inlineStr">
        <is>
          <t>Orange Punch Mimosa</t>
        </is>
      </c>
      <c r="F2316" s="256" t="inlineStr">
        <is>
          <t>17.08.2026</t>
        </is>
      </c>
      <c r="G2316" s="256" t="inlineStr">
        <is>
          <t>9.7</t>
        </is>
      </c>
      <c r="H2316" s="256" t="inlineStr">
        <is>
          <t>Staphylococcus aureus</t>
        </is>
      </c>
      <c r="I2316" s="256" t="inlineStr">
        <is>
          <t>Ph. Eur. 2.6.13 cat. C</t>
        </is>
      </c>
      <c r="J2316" s="256" t="inlineStr">
        <is>
          <t>Absence | Отсуство / 1 g</t>
        </is>
      </c>
      <c r="K2316" s="260" t="inlineStr">
        <is>
          <t>upon request — not required for release</t>
        </is>
      </c>
      <c r="L2316" s="256" t="inlineStr">
        <is>
          <t>—</t>
        </is>
      </c>
      <c r="M2316" s="256" t="inlineStr">
        <is>
          <t>—</t>
        </is>
      </c>
      <c r="N2316" s="256" t="inlineStr">
        <is>
          <t>—</t>
        </is>
      </c>
      <c r="O2316" s="256" t="inlineStr">
        <is>
          <t>—</t>
        </is>
      </c>
      <c r="P2316" s="256" t="inlineStr">
        <is>
          <t>upon request — not required for release</t>
        </is>
      </c>
      <c r="Q2316" s="256" t="inlineStr"/>
      <c r="R2316" s="256" t="inlineStr"/>
    </row>
    <row r="2317">
      <c r="A2317" s="256" t="inlineStr">
        <is>
          <t>CoQ-PP_26-101</t>
        </is>
      </c>
      <c r="B2317" s="256" t="inlineStr">
        <is>
          <t>reissue — retest</t>
        </is>
      </c>
      <c r="C2317" s="256" t="inlineStr">
        <is>
          <t>OPM1024_02</t>
        </is>
      </c>
      <c r="D2317" s="256" t="inlineStr">
        <is>
          <t>P050062</t>
        </is>
      </c>
      <c r="E2317" s="256" t="inlineStr">
        <is>
          <t>Orange Punch Mimosa</t>
        </is>
      </c>
      <c r="F2317" s="256" t="inlineStr">
        <is>
          <t>17.08.2026</t>
        </is>
      </c>
      <c r="G2317" s="256" t="inlineStr">
        <is>
          <t>10.1</t>
        </is>
      </c>
      <c r="H2317" s="256" t="inlineStr">
        <is>
          <t>Aflatoxin B₁</t>
        </is>
      </c>
      <c r="I2317" s="256" t="inlineStr">
        <is>
          <t>Ph. Eur. 2.8.18 (HPLC-FLD)</t>
        </is>
      </c>
      <c r="J2317" s="256" t="inlineStr">
        <is>
          <t>≤ 2 µg/kg</t>
        </is>
      </c>
      <c r="K2317" s="256" t="inlineStr">
        <is>
          <t>ND</t>
        </is>
      </c>
      <c r="L2317" s="256" t="inlineStr">
        <is>
          <t>197-18-М/26</t>
        </is>
      </c>
      <c r="M2317" s="256" t="inlineStr">
        <is>
          <t>10.08.2026</t>
        </is>
      </c>
      <c r="N2317" s="256" t="inlineStr">
        <is>
          <t>Farmahem</t>
        </is>
      </c>
      <c r="O2317" s="256" t="inlineStr">
        <is>
          <t>29.07.2026</t>
        </is>
      </c>
      <c r="P2317" s="256" t="inlineStr">
        <is>
          <t>covered</t>
        </is>
      </c>
      <c r="Q2317" s="256" t="inlineStr"/>
      <c r="R2317" s="256" t="inlineStr"/>
    </row>
    <row r="2318">
      <c r="A2318" s="256" t="inlineStr">
        <is>
          <t>CoQ-PP_26-101</t>
        </is>
      </c>
      <c r="B2318" s="256" t="inlineStr">
        <is>
          <t>reissue — retest</t>
        </is>
      </c>
      <c r="C2318" s="256" t="inlineStr">
        <is>
          <t>OPM1024_02</t>
        </is>
      </c>
      <c r="D2318" s="256" t="inlineStr">
        <is>
          <t>P050062</t>
        </is>
      </c>
      <c r="E2318" s="256" t="inlineStr">
        <is>
          <t>Orange Punch Mimosa</t>
        </is>
      </c>
      <c r="F2318" s="256" t="inlineStr">
        <is>
          <t>17.08.2026</t>
        </is>
      </c>
      <c r="G2318" s="256" t="inlineStr">
        <is>
          <t>10.2</t>
        </is>
      </c>
      <c r="H2318" s="256" t="inlineStr">
        <is>
          <t>Aflatoxins ∑</t>
        </is>
      </c>
      <c r="I2318" s="256" t="inlineStr">
        <is>
          <t>Ph. Eur. 2.8.18 (HPLC-FLD)</t>
        </is>
      </c>
      <c r="J2318" s="256" t="inlineStr">
        <is>
          <t>≤ 4 µg/kg</t>
        </is>
      </c>
      <c r="K2318" s="256" t="inlineStr">
        <is>
          <t>ND</t>
        </is>
      </c>
      <c r="L2318" s="256" t="inlineStr">
        <is>
          <t>197-18-М/26</t>
        </is>
      </c>
      <c r="M2318" s="256" t="inlineStr">
        <is>
          <t>10.08.2026</t>
        </is>
      </c>
      <c r="N2318" s="256" t="inlineStr">
        <is>
          <t>Farmahem</t>
        </is>
      </c>
      <c r="O2318" s="256" t="inlineStr">
        <is>
          <t>29.07.2026</t>
        </is>
      </c>
      <c r="P2318" s="256" t="inlineStr">
        <is>
          <t>covered</t>
        </is>
      </c>
      <c r="Q2318" s="256" t="inlineStr"/>
      <c r="R2318" s="256" t="inlineStr"/>
    </row>
    <row r="2319">
      <c r="A2319" s="256" t="inlineStr">
        <is>
          <t>CoQ-PP_26-101</t>
        </is>
      </c>
      <c r="B2319" s="256" t="inlineStr">
        <is>
          <t>reissue — retest</t>
        </is>
      </c>
      <c r="C2319" s="256" t="inlineStr">
        <is>
          <t>OPM1024_02</t>
        </is>
      </c>
      <c r="D2319" s="256" t="inlineStr">
        <is>
          <t>P050062</t>
        </is>
      </c>
      <c r="E2319" s="256" t="inlineStr">
        <is>
          <t>Orange Punch Mimosa</t>
        </is>
      </c>
      <c r="F2319" s="256" t="inlineStr">
        <is>
          <t>17.08.2026</t>
        </is>
      </c>
      <c r="G2319" s="256" t="inlineStr">
        <is>
          <t>10.3</t>
        </is>
      </c>
      <c r="H2319" s="256" t="inlineStr">
        <is>
          <t>Ochratoxin A</t>
        </is>
      </c>
      <c r="I2319" s="256" t="inlineStr">
        <is>
          <t>Ph. Eur. 2.8.22 (HPLC-FLD)</t>
        </is>
      </c>
      <c r="J2319" s="256" t="inlineStr">
        <is>
          <t>≤ 20 µg/kg</t>
        </is>
      </c>
      <c r="K2319" s="256" t="inlineStr">
        <is>
          <t>ND</t>
        </is>
      </c>
      <c r="L2319" s="256" t="inlineStr">
        <is>
          <t>197-18-М/26</t>
        </is>
      </c>
      <c r="M2319" s="256" t="inlineStr">
        <is>
          <t>10.08.2026</t>
        </is>
      </c>
      <c r="N2319" s="256" t="inlineStr">
        <is>
          <t>Farmahem</t>
        </is>
      </c>
      <c r="O2319" s="256" t="inlineStr">
        <is>
          <t>29.07.2026</t>
        </is>
      </c>
      <c r="P2319" s="256" t="inlineStr">
        <is>
          <t>covered</t>
        </is>
      </c>
      <c r="Q2319" s="256" t="inlineStr"/>
      <c r="R2319" s="256" t="inlineStr"/>
    </row>
    <row r="2320">
      <c r="A2320" s="256" t="inlineStr">
        <is>
          <t>CoQ-PP_26-101</t>
        </is>
      </c>
      <c r="B2320" s="256" t="inlineStr">
        <is>
          <t>reissue — retest</t>
        </is>
      </c>
      <c r="C2320" s="256" t="inlineStr">
        <is>
          <t>OPM1024_02</t>
        </is>
      </c>
      <c r="D2320" s="256" t="inlineStr">
        <is>
          <t>P050062</t>
        </is>
      </c>
      <c r="E2320" s="256" t="inlineStr">
        <is>
          <t>Orange Punch Mimosa</t>
        </is>
      </c>
      <c r="F2320" s="256" t="inlineStr">
        <is>
          <t>17.08.2026</t>
        </is>
      </c>
      <c r="G2320" s="256" t="inlineStr">
        <is>
          <t>11.1</t>
        </is>
      </c>
      <c r="H2320" s="256" t="inlineStr">
        <is>
          <t>Lead (Pb)</t>
        </is>
      </c>
      <c r="I2320" s="256" t="inlineStr">
        <is>
          <t>Ph. Eur. 2.4.27 (ICP-MS)</t>
        </is>
      </c>
      <c r="J2320" s="256" t="inlineStr">
        <is>
          <t>≤ 0.5 mg/kg</t>
        </is>
      </c>
      <c r="K2320" s="256" t="inlineStr">
        <is>
          <t>0.052</t>
        </is>
      </c>
      <c r="L2320" s="256" t="inlineStr">
        <is>
          <t>2994/2025</t>
        </is>
      </c>
      <c r="M2320" s="256" t="inlineStr">
        <is>
          <t>19.06.2025</t>
        </is>
      </c>
      <c r="N2320" s="256" t="inlineStr">
        <is>
          <t>IPH — Institute of Public Health</t>
        </is>
      </c>
      <c r="O2320" s="256" t="inlineStr">
        <is>
          <t>12.06.2025</t>
        </is>
      </c>
      <c r="P2320" s="256" t="inlineStr">
        <is>
          <t>carried from the initial testing (CoQ-PP-2025-0009) — covered</t>
        </is>
      </c>
      <c r="Q2320" s="256" t="inlineStr"/>
      <c r="R2320" s="256" t="inlineStr"/>
    </row>
    <row r="2321">
      <c r="A2321" s="256" t="inlineStr">
        <is>
          <t>CoQ-PP_26-101</t>
        </is>
      </c>
      <c r="B2321" s="256" t="inlineStr">
        <is>
          <t>reissue — retest</t>
        </is>
      </c>
      <c r="C2321" s="256" t="inlineStr">
        <is>
          <t>OPM1024_02</t>
        </is>
      </c>
      <c r="D2321" s="256" t="inlineStr">
        <is>
          <t>P050062</t>
        </is>
      </c>
      <c r="E2321" s="256" t="inlineStr">
        <is>
          <t>Orange Punch Mimosa</t>
        </is>
      </c>
      <c r="F2321" s="256" t="inlineStr">
        <is>
          <t>17.08.2026</t>
        </is>
      </c>
      <c r="G2321" s="256" t="inlineStr">
        <is>
          <t>11.2</t>
        </is>
      </c>
      <c r="H2321" s="256" t="inlineStr">
        <is>
          <t>Cadmium (Cd)</t>
        </is>
      </c>
      <c r="I2321" s="256" t="inlineStr">
        <is>
          <t>Ph. Eur. 2.4.27 (ICP-MS)</t>
        </is>
      </c>
      <c r="J2321" s="256" t="inlineStr">
        <is>
          <t>≤ 0.3 mg/kg</t>
        </is>
      </c>
      <c r="K2321" s="256" t="inlineStr">
        <is>
          <t>0.011</t>
        </is>
      </c>
      <c r="L2321" s="256" t="inlineStr">
        <is>
          <t>2994/2025</t>
        </is>
      </c>
      <c r="M2321" s="256" t="inlineStr">
        <is>
          <t>19.06.2025</t>
        </is>
      </c>
      <c r="N2321" s="256" t="inlineStr">
        <is>
          <t>IPH — Institute of Public Health</t>
        </is>
      </c>
      <c r="O2321" s="256" t="inlineStr">
        <is>
          <t>12.06.2025</t>
        </is>
      </c>
      <c r="P2321" s="256" t="inlineStr">
        <is>
          <t>carried from the initial testing (CoQ-PP-2025-0009) — covered</t>
        </is>
      </c>
      <c r="Q2321" s="256" t="inlineStr"/>
      <c r="R2321" s="256" t="inlineStr"/>
    </row>
    <row r="2322">
      <c r="A2322" s="256" t="inlineStr">
        <is>
          <t>CoQ-PP_26-101</t>
        </is>
      </c>
      <c r="B2322" s="256" t="inlineStr">
        <is>
          <t>reissue — retest</t>
        </is>
      </c>
      <c r="C2322" s="256" t="inlineStr">
        <is>
          <t>OPM1024_02</t>
        </is>
      </c>
      <c r="D2322" s="256" t="inlineStr">
        <is>
          <t>P050062</t>
        </is>
      </c>
      <c r="E2322" s="256" t="inlineStr">
        <is>
          <t>Orange Punch Mimosa</t>
        </is>
      </c>
      <c r="F2322" s="256" t="inlineStr">
        <is>
          <t>17.08.2026</t>
        </is>
      </c>
      <c r="G2322" s="256" t="inlineStr">
        <is>
          <t>11.3</t>
        </is>
      </c>
      <c r="H2322" s="256" t="inlineStr">
        <is>
          <t>Arsenic (As)</t>
        </is>
      </c>
      <c r="I2322" s="256" t="inlineStr">
        <is>
          <t>Ph. Eur. 2.4.27 (ICP-MS)</t>
        </is>
      </c>
      <c r="J2322" s="256" t="inlineStr">
        <is>
          <t>≤ 0.2 mg/kg</t>
        </is>
      </c>
      <c r="K2322" s="256" t="inlineStr">
        <is>
          <t>0.028</t>
        </is>
      </c>
      <c r="L2322" s="256" t="inlineStr">
        <is>
          <t>2994/2025</t>
        </is>
      </c>
      <c r="M2322" s="256" t="inlineStr">
        <is>
          <t>19.06.2025</t>
        </is>
      </c>
      <c r="N2322" s="256" t="inlineStr">
        <is>
          <t>IPH — Institute of Public Health</t>
        </is>
      </c>
      <c r="O2322" s="256" t="inlineStr">
        <is>
          <t>12.06.2025</t>
        </is>
      </c>
      <c r="P2322" s="256" t="inlineStr">
        <is>
          <t>carried from the initial testing (CoQ-PP-2025-0009) — covered</t>
        </is>
      </c>
      <c r="Q2322" s="256" t="inlineStr"/>
      <c r="R2322" s="256" t="inlineStr"/>
    </row>
    <row r="2323">
      <c r="A2323" s="256" t="inlineStr">
        <is>
          <t>CoQ-PP_26-101</t>
        </is>
      </c>
      <c r="B2323" s="256" t="inlineStr">
        <is>
          <t>reissue — retest</t>
        </is>
      </c>
      <c r="C2323" s="256" t="inlineStr">
        <is>
          <t>OPM1024_02</t>
        </is>
      </c>
      <c r="D2323" s="256" t="inlineStr">
        <is>
          <t>P050062</t>
        </is>
      </c>
      <c r="E2323" s="256" t="inlineStr">
        <is>
          <t>Orange Punch Mimosa</t>
        </is>
      </c>
      <c r="F2323" s="256" t="inlineStr">
        <is>
          <t>17.08.2026</t>
        </is>
      </c>
      <c r="G2323" s="256" t="inlineStr">
        <is>
          <t>11.4</t>
        </is>
      </c>
      <c r="H2323" s="256" t="inlineStr">
        <is>
          <t>Mercury (Hg)</t>
        </is>
      </c>
      <c r="I2323" s="256" t="inlineStr">
        <is>
          <t>Ph. Eur. 2.4.27 (ICP-MS)</t>
        </is>
      </c>
      <c r="J2323" s="256" t="inlineStr">
        <is>
          <t>≤ 0.1 mg/kg</t>
        </is>
      </c>
      <c r="K2323" s="256" t="inlineStr">
        <is>
          <t>0.061</t>
        </is>
      </c>
      <c r="L2323" s="256" t="inlineStr">
        <is>
          <t>2994/2025</t>
        </is>
      </c>
      <c r="M2323" s="256" t="inlineStr">
        <is>
          <t>19.06.2025</t>
        </is>
      </c>
      <c r="N2323" s="256" t="inlineStr">
        <is>
          <t>IPH — Institute of Public Health</t>
        </is>
      </c>
      <c r="O2323" s="256" t="inlineStr">
        <is>
          <t>12.06.2025</t>
        </is>
      </c>
      <c r="P2323" s="256" t="inlineStr">
        <is>
          <t>carried from the initial testing (CoQ-PP-2025-0009) — covered</t>
        </is>
      </c>
      <c r="Q2323" s="256" t="inlineStr"/>
      <c r="R2323" s="256" t="inlineStr"/>
    </row>
    <row r="2324">
      <c r="A2324" s="256" t="inlineStr">
        <is>
          <t>CoQ-PP_26-101</t>
        </is>
      </c>
      <c r="B2324" s="256" t="inlineStr">
        <is>
          <t>reissue — retest</t>
        </is>
      </c>
      <c r="C2324" s="256" t="inlineStr">
        <is>
          <t>OPM1024_02</t>
        </is>
      </c>
      <c r="D2324" s="256" t="inlineStr">
        <is>
          <t>P050062</t>
        </is>
      </c>
      <c r="E2324" s="256" t="inlineStr">
        <is>
          <t>Orange Punch Mimosa</t>
        </is>
      </c>
      <c r="F2324" s="256" t="inlineStr">
        <is>
          <t>17.08.2026</t>
        </is>
      </c>
      <c r="G2324" s="256" t="inlineStr">
        <is>
          <t>12</t>
        </is>
      </c>
      <c r="H2324" s="256" t="inlineStr">
        <is>
          <t>Pesticide Residues</t>
        </is>
      </c>
      <c r="I2324" s="256" t="inlineStr">
        <is>
          <t>Ph. Eur. 2.8.13 (LC-MS/MS) · CUMCS Equivalency</t>
        </is>
      </c>
      <c r="J2324" s="256" t="inlineStr">
        <is>
          <t>≤ LOQ as per Ph. Eur. 2.8.13 · ≤ LOQ as per CUMCS Equivalency</t>
        </is>
      </c>
      <c r="K2324" s="256" t="inlineStr">
        <is>
          <t>ND</t>
        </is>
      </c>
      <c r="L2324" s="256" t="inlineStr">
        <is>
          <t>2994/2025</t>
        </is>
      </c>
      <c r="M2324" s="256" t="inlineStr">
        <is>
          <t>19.06.2025</t>
        </is>
      </c>
      <c r="N2324" s="256" t="inlineStr">
        <is>
          <t>IPH — Institute of Public Health</t>
        </is>
      </c>
      <c r="O2324" s="256" t="inlineStr">
        <is>
          <t>12.06.2025</t>
        </is>
      </c>
      <c r="P2324" s="256" t="inlineStr">
        <is>
          <t>carried from the initial testing (CoQ-PP-2025-0009) — covered</t>
        </is>
      </c>
      <c r="Q2324" s="256" t="inlineStr"/>
      <c r="R2324" s="256" t="inlineStr"/>
    </row>
    <row r="2325">
      <c r="A2325" s="256" t="inlineStr">
        <is>
          <t>CoQ-PP_26-102</t>
        </is>
      </c>
      <c r="B2325" s="256" t="inlineStr">
        <is>
          <t>reissue — retest</t>
        </is>
      </c>
      <c r="C2325" s="256" t="inlineStr">
        <is>
          <t>OPM122501</t>
        </is>
      </c>
      <c r="D2325" s="256" t="inlineStr">
        <is>
          <t>P060242</t>
        </is>
      </c>
      <c r="E2325" s="256" t="inlineStr">
        <is>
          <t>Orange Punch Mimosa</t>
        </is>
      </c>
      <c r="F2325" s="256" t="inlineStr">
        <is>
          <t>17.08.2026</t>
        </is>
      </c>
      <c r="G2325" s="256" t="inlineStr">
        <is>
          <t>1</t>
        </is>
      </c>
      <c r="H2325" s="256" t="inlineStr">
        <is>
          <t>Identification A, Appearance · Macroscopic</t>
        </is>
      </c>
      <c r="I2325" s="256" t="inlineStr">
        <is>
          <t>Ph. Eur. mon. 3028</t>
        </is>
      </c>
      <c r="J2325" s="256" t="inlineStr">
        <is>
          <t>Conforms to the monograph for Cannabis flos (07/2024:3028) in Ph. Eur. 11.0 | Согласно монографија за Cannabis flos (07/2024:3028) во Ph. Eur. 11.0</t>
        </is>
      </c>
      <c r="K2325" s="256" t="inlineStr">
        <is>
          <t>Conforms | Одговара</t>
        </is>
      </c>
      <c r="L2325" s="256" t="inlineStr">
        <is>
          <t>iCoA-PP_26-118</t>
        </is>
      </c>
      <c r="M2325" s="256" t="inlineStr">
        <is>
          <t>27.07.2026</t>
        </is>
      </c>
      <c r="N2325" s="256" t="inlineStr">
        <is>
          <t>Purely Plant GmbH (in-house)</t>
        </is>
      </c>
      <c r="O2325" s="256" t="inlineStr">
        <is>
          <t>—</t>
        </is>
      </c>
      <c r="P2325" s="256" t="inlineStr">
        <is>
          <t>covered</t>
        </is>
      </c>
      <c r="Q2325" s="256" t="inlineStr">
        <is>
          <t>Farmahem — Ident A + B + C with the Assay, at retest</t>
        </is>
      </c>
      <c r="R2325" s="256" t="inlineStr"/>
    </row>
    <row r="2326">
      <c r="A2326" s="256" t="inlineStr">
        <is>
          <t>CoQ-PP_26-102</t>
        </is>
      </c>
      <c r="B2326" s="256" t="inlineStr">
        <is>
          <t>reissue — retest</t>
        </is>
      </c>
      <c r="C2326" s="256" t="inlineStr">
        <is>
          <t>OPM122501</t>
        </is>
      </c>
      <c r="D2326" s="256" t="inlineStr">
        <is>
          <t>P060242</t>
        </is>
      </c>
      <c r="E2326" s="256" t="inlineStr">
        <is>
          <t>Orange Punch Mimosa</t>
        </is>
      </c>
      <c r="F2326" s="256" t="inlineStr">
        <is>
          <t>17.08.2026</t>
        </is>
      </c>
      <c r="G2326" s="256" t="inlineStr">
        <is>
          <t>2</t>
        </is>
      </c>
      <c r="H2326" s="256" t="inlineStr">
        <is>
          <t>Identification B · Microscopic</t>
        </is>
      </c>
      <c r="I2326" s="256" t="inlineStr">
        <is>
          <t>Ph. Eur. 2.8.23 (microscopy)</t>
        </is>
      </c>
      <c r="J2326" s="256" t="inlineStr">
        <is>
          <t>Conforms to the monograph for Cannabis flos (07/2024:3028) in Ph. Eur. 11.0 | Согласно монографија за Cannabis flos (07/2024:3028) во Ph. Eur. 11.0</t>
        </is>
      </c>
      <c r="K2326" s="256" t="inlineStr">
        <is>
          <t>Conforms | Одговара</t>
        </is>
      </c>
      <c r="L2326" s="256" t="inlineStr">
        <is>
          <t>iCoA-PP_26-118</t>
        </is>
      </c>
      <c r="M2326" s="256" t="inlineStr">
        <is>
          <t>27.07.2026</t>
        </is>
      </c>
      <c r="N2326" s="256" t="inlineStr">
        <is>
          <t>Purely Plant GmbH (in-house)</t>
        </is>
      </c>
      <c r="O2326" s="256" t="inlineStr">
        <is>
          <t>—</t>
        </is>
      </c>
      <c r="P2326" s="256" t="inlineStr">
        <is>
          <t>covered</t>
        </is>
      </c>
      <c r="Q2326" s="256" t="inlineStr">
        <is>
          <t>Farmahem — Ident A + B + C with the Assay, at retest</t>
        </is>
      </c>
      <c r="R2326" s="256" t="inlineStr"/>
    </row>
    <row r="2327">
      <c r="A2327" s="256" t="inlineStr">
        <is>
          <t>CoQ-PP_26-102</t>
        </is>
      </c>
      <c r="B2327" s="256" t="inlineStr">
        <is>
          <t>reissue — retest</t>
        </is>
      </c>
      <c r="C2327" s="256" t="inlineStr">
        <is>
          <t>OPM122501</t>
        </is>
      </c>
      <c r="D2327" s="256" t="inlineStr">
        <is>
          <t>P060242</t>
        </is>
      </c>
      <c r="E2327" s="256" t="inlineStr">
        <is>
          <t>Orange Punch Mimosa</t>
        </is>
      </c>
      <c r="F2327" s="256" t="inlineStr">
        <is>
          <t>17.08.2026</t>
        </is>
      </c>
      <c r="G2327" s="256" t="inlineStr">
        <is>
          <t>3</t>
        </is>
      </c>
      <c r="H2327" s="256" t="inlineStr">
        <is>
          <t>Identification C · HPLC/HPTLC</t>
        </is>
      </c>
      <c r="I2327" s="256" t="inlineStr">
        <is>
          <t>Ph. Eur. 2.2.29 (3028)</t>
        </is>
      </c>
      <c r="J2327" s="256" t="inlineStr">
        <is>
          <t>Conforms to the monograph for Cannabis flos (07/2024:3028) in Ph. Eur. 11.0 | Согласно монографија за Cannabis flos (07/2024:3028) во Ph. Eur. 11.0</t>
        </is>
      </c>
      <c r="K2327" s="256" t="inlineStr">
        <is>
          <t>Conforms | Одговара</t>
        </is>
      </c>
      <c r="L2327" s="256" t="inlineStr">
        <is>
          <t>197-19-К/26</t>
        </is>
      </c>
      <c r="M2327" s="256" t="inlineStr">
        <is>
          <t>07.08.2026</t>
        </is>
      </c>
      <c r="N2327" s="256" t="inlineStr">
        <is>
          <t>Farmahem</t>
        </is>
      </c>
      <c r="O2327" s="256" t="inlineStr">
        <is>
          <t>27.07.2026</t>
        </is>
      </c>
      <c r="P2327" s="256" t="inlineStr">
        <is>
          <t>covered</t>
        </is>
      </c>
      <c r="Q2327" s="256" t="inlineStr"/>
      <c r="R2327" s="256" t="inlineStr"/>
    </row>
    <row r="2328">
      <c r="A2328" s="256" t="inlineStr">
        <is>
          <t>CoQ-PP_26-102</t>
        </is>
      </c>
      <c r="B2328" s="256" t="inlineStr">
        <is>
          <t>reissue — retest</t>
        </is>
      </c>
      <c r="C2328" s="256" t="inlineStr">
        <is>
          <t>OPM122501</t>
        </is>
      </c>
      <c r="D2328" s="256" t="inlineStr">
        <is>
          <t>P060242</t>
        </is>
      </c>
      <c r="E2328" s="256" t="inlineStr">
        <is>
          <t>Orange Punch Mimosa</t>
        </is>
      </c>
      <c r="F2328" s="256" t="inlineStr">
        <is>
          <t>17.08.2026</t>
        </is>
      </c>
      <c r="G2328" s="256" t="inlineStr">
        <is>
          <t>4</t>
        </is>
      </c>
      <c r="H2328" s="256" t="inlineStr">
        <is>
          <t>Assay — Total Δ⁹-THC</t>
        </is>
      </c>
      <c r="I2328" s="256" t="inlineStr">
        <is>
          <t>Ph. Eur. 2.2.29 (HPLC)</t>
        </is>
      </c>
      <c r="J2328" s="256" t="inlineStr">
        <is>
          <t>7.20 – 8.79 %  (grade V, nominal 8.00 ± 0.80)</t>
        </is>
      </c>
      <c r="K2328" s="256" t="inlineStr">
        <is>
          <t>7.91</t>
        </is>
      </c>
      <c r="L2328" s="256" t="inlineStr">
        <is>
          <t>197-19-К/26</t>
        </is>
      </c>
      <c r="M2328" s="256" t="inlineStr">
        <is>
          <t>07.08.2026</t>
        </is>
      </c>
      <c r="N2328" s="256" t="inlineStr">
        <is>
          <t>Farmahem</t>
        </is>
      </c>
      <c r="O2328" s="256" t="inlineStr">
        <is>
          <t>27.07.2026</t>
        </is>
      </c>
      <c r="P2328" s="256" t="inlineStr">
        <is>
          <t>covered</t>
        </is>
      </c>
      <c r="Q2328" s="256" t="inlineStr"/>
      <c r="R2328" s="256" t="inlineStr"/>
    </row>
    <row r="2329">
      <c r="A2329" s="256" t="inlineStr">
        <is>
          <t>CoQ-PP_26-102</t>
        </is>
      </c>
      <c r="B2329" s="256" t="inlineStr">
        <is>
          <t>reissue — retest</t>
        </is>
      </c>
      <c r="C2329" s="256" t="inlineStr">
        <is>
          <t>OPM122501</t>
        </is>
      </c>
      <c r="D2329" s="256" t="inlineStr">
        <is>
          <t>P060242</t>
        </is>
      </c>
      <c r="E2329" s="256" t="inlineStr">
        <is>
          <t>Orange Punch Mimosa</t>
        </is>
      </c>
      <c r="F2329" s="256" t="inlineStr">
        <is>
          <t>17.08.2026</t>
        </is>
      </c>
      <c r="G2329" s="256" t="inlineStr">
        <is>
          <t>5</t>
        </is>
      </c>
      <c r="H2329" s="256" t="inlineStr">
        <is>
          <t>Assay — Total CBD</t>
        </is>
      </c>
      <c r="I2329" s="256" t="inlineStr">
        <is>
          <t>Ph. Eur. 2.2.29 (HPLC) · CBD + CBDA x 0.877</t>
        </is>
      </c>
      <c r="J2329" s="256" t="inlineStr">
        <is>
          <t>≤ 1.0%, w/w</t>
        </is>
      </c>
      <c r="K2329" s="256" t="inlineStr">
        <is>
          <t>&lt; LOQ</t>
        </is>
      </c>
      <c r="L2329" s="256" t="inlineStr">
        <is>
          <t>197-19-К/26</t>
        </is>
      </c>
      <c r="M2329" s="256" t="inlineStr">
        <is>
          <t>07.08.2026</t>
        </is>
      </c>
      <c r="N2329" s="256" t="inlineStr">
        <is>
          <t>Farmahem</t>
        </is>
      </c>
      <c r="O2329" s="256" t="inlineStr">
        <is>
          <t>27.07.2026</t>
        </is>
      </c>
      <c r="P2329" s="256" t="inlineStr">
        <is>
          <t>covered</t>
        </is>
      </c>
      <c r="Q2329" s="256" t="inlineStr"/>
      <c r="R2329" s="256" t="inlineStr"/>
    </row>
    <row r="2330">
      <c r="A2330" s="256" t="inlineStr">
        <is>
          <t>CoQ-PP_26-102</t>
        </is>
      </c>
      <c r="B2330" s="256" t="inlineStr">
        <is>
          <t>reissue — retest</t>
        </is>
      </c>
      <c r="C2330" s="256" t="inlineStr">
        <is>
          <t>OPM122501</t>
        </is>
      </c>
      <c r="D2330" s="256" t="inlineStr">
        <is>
          <t>P060242</t>
        </is>
      </c>
      <c r="E2330" s="256" t="inlineStr">
        <is>
          <t>Orange Punch Mimosa</t>
        </is>
      </c>
      <c r="F2330" s="256" t="inlineStr">
        <is>
          <t>17.08.2026</t>
        </is>
      </c>
      <c r="G2330" s="256" t="inlineStr">
        <is>
          <t>6</t>
        </is>
      </c>
      <c r="H2330" s="256" t="inlineStr">
        <is>
          <t>Total CBN</t>
        </is>
      </c>
      <c r="I2330" s="256" t="inlineStr">
        <is>
          <t>Ph. Eur. 2.2.29 (HPLC) · CBN + CBNA x 0.876</t>
        </is>
      </c>
      <c r="J2330" s="256" t="inlineStr">
        <is>
          <t>≤ 1.0%, w/w</t>
        </is>
      </c>
      <c r="K2330" s="256" t="inlineStr">
        <is>
          <t>&lt; LOQ</t>
        </is>
      </c>
      <c r="L2330" s="256" t="inlineStr">
        <is>
          <t>197-19-К/26</t>
        </is>
      </c>
      <c r="M2330" s="256" t="inlineStr">
        <is>
          <t>07.08.2026</t>
        </is>
      </c>
      <c r="N2330" s="256" t="inlineStr">
        <is>
          <t>Farmahem</t>
        </is>
      </c>
      <c r="O2330" s="256" t="inlineStr">
        <is>
          <t>27.07.2026</t>
        </is>
      </c>
      <c r="P2330" s="256" t="inlineStr">
        <is>
          <t>covered</t>
        </is>
      </c>
      <c r="Q2330" s="256" t="inlineStr"/>
      <c r="R2330" s="256" t="inlineStr"/>
    </row>
    <row r="2331">
      <c r="A2331" s="256" t="inlineStr">
        <is>
          <t>CoQ-PP_26-102</t>
        </is>
      </c>
      <c r="B2331" s="256" t="inlineStr">
        <is>
          <t>reissue — retest</t>
        </is>
      </c>
      <c r="C2331" s="256" t="inlineStr">
        <is>
          <t>OPM122501</t>
        </is>
      </c>
      <c r="D2331" s="256" t="inlineStr">
        <is>
          <t>P060242</t>
        </is>
      </c>
      <c r="E2331" s="256" t="inlineStr">
        <is>
          <t>Orange Punch Mimosa</t>
        </is>
      </c>
      <c r="F2331" s="256" t="inlineStr">
        <is>
          <t>17.08.2026</t>
        </is>
      </c>
      <c r="G2331" s="256" t="inlineStr">
        <is>
          <t>7</t>
        </is>
      </c>
      <c r="H2331" s="256" t="inlineStr">
        <is>
          <t>Foreign Matter</t>
        </is>
      </c>
      <c r="I2331" s="256" t="inlineStr">
        <is>
          <t>Ph. Eur. 2.8.2 · In-house · интерна</t>
        </is>
      </c>
      <c r="J2331" s="256" t="inlineStr">
        <is>
          <t>≤ 2.0% / 25–50 g · &lt; 1 cm leaves | листови, no seeds | без семки</t>
        </is>
      </c>
      <c r="K2331" s="256" t="inlineStr">
        <is>
          <t>Conforms | Одговара</t>
        </is>
      </c>
      <c r="L2331" s="256" t="inlineStr">
        <is>
          <t>iCoA-PP_26-118</t>
        </is>
      </c>
      <c r="M2331" s="256" t="inlineStr">
        <is>
          <t>27.07.2026</t>
        </is>
      </c>
      <c r="N2331" s="256" t="inlineStr">
        <is>
          <t>Purely Plant GmbH (in-house)</t>
        </is>
      </c>
      <c r="O2331" s="256" t="inlineStr">
        <is>
          <t>—</t>
        </is>
      </c>
      <c r="P2331" s="256" t="inlineStr">
        <is>
          <t>covered</t>
        </is>
      </c>
      <c r="Q2331" s="256" t="inlineStr">
        <is>
          <t>Purely Plant laboratory — iCoA covering Foreign matter</t>
        </is>
      </c>
      <c r="R2331" s="256" t="inlineStr"/>
    </row>
    <row r="2332">
      <c r="A2332" s="256" t="inlineStr">
        <is>
          <t>CoQ-PP_26-102</t>
        </is>
      </c>
      <c r="B2332" s="256" t="inlineStr">
        <is>
          <t>reissue — retest</t>
        </is>
      </c>
      <c r="C2332" s="256" t="inlineStr">
        <is>
          <t>OPM122501</t>
        </is>
      </c>
      <c r="D2332" s="256" t="inlineStr">
        <is>
          <t>P060242</t>
        </is>
      </c>
      <c r="E2332" s="256" t="inlineStr">
        <is>
          <t>Orange Punch Mimosa</t>
        </is>
      </c>
      <c r="F2332" s="256" t="inlineStr">
        <is>
          <t>17.08.2026</t>
        </is>
      </c>
      <c r="G2332" s="256" t="inlineStr">
        <is>
          <t>8</t>
        </is>
      </c>
      <c r="H2332" s="256" t="inlineStr">
        <is>
          <t>Loss on Drying</t>
        </is>
      </c>
      <c r="I2332" s="256" t="inlineStr">
        <is>
          <t>Ph. Eur. 2.2.32 (3028) · at 40 °C, 24 h, 15–25 mbar</t>
        </is>
      </c>
      <c r="J2332" s="256" t="inlineStr">
        <is>
          <t>≤ 12.0%</t>
        </is>
      </c>
      <c r="K2332" s="256" t="inlineStr">
        <is>
          <t>6.6</t>
        </is>
      </c>
      <c r="L2332" s="256" t="inlineStr">
        <is>
          <t>100-4-ГС/26</t>
        </is>
      </c>
      <c r="M2332" s="256" t="inlineStr">
        <is>
          <t>09.04.2026</t>
        </is>
      </c>
      <c r="N2332" s="256" t="inlineStr">
        <is>
          <t>Farmahem</t>
        </is>
      </c>
      <c r="O2332" s="256" t="inlineStr">
        <is>
          <t>—</t>
        </is>
      </c>
      <c r="P2332" s="256" t="inlineStr">
        <is>
          <t>carried from the initial testing (CoQ-PP-2026-0017) — covered</t>
        </is>
      </c>
      <c r="Q2332" s="256" t="inlineStr"/>
      <c r="R2332" s="256" t="inlineStr"/>
    </row>
    <row r="2333">
      <c r="A2333" s="256" t="inlineStr">
        <is>
          <t>CoQ-PP_26-102</t>
        </is>
      </c>
      <c r="B2333" s="256" t="inlineStr">
        <is>
          <t>reissue — retest</t>
        </is>
      </c>
      <c r="C2333" s="256" t="inlineStr">
        <is>
          <t>OPM122501</t>
        </is>
      </c>
      <c r="D2333" s="256" t="inlineStr">
        <is>
          <t>P060242</t>
        </is>
      </c>
      <c r="E2333" s="256" t="inlineStr">
        <is>
          <t>Orange Punch Mimosa</t>
        </is>
      </c>
      <c r="F2333" s="256" t="inlineStr">
        <is>
          <t>17.08.2026</t>
        </is>
      </c>
      <c r="G2333" s="256" t="inlineStr">
        <is>
          <t>9.1</t>
        </is>
      </c>
      <c r="H2333" s="256" t="inlineStr">
        <is>
          <t>TAMC</t>
        </is>
      </c>
      <c r="I2333" s="256" t="inlineStr">
        <is>
          <t>Ph. Eur. 2.6.12 cat. C</t>
        </is>
      </c>
      <c r="J2333" s="256" t="inlineStr">
        <is>
          <t>≤ 10⁵ CFU/g</t>
        </is>
      </c>
      <c r="K2333" s="256" t="inlineStr">
        <is>
          <t>120</t>
        </is>
      </c>
      <c r="L2333" s="256" t="inlineStr">
        <is>
          <t>229/0392/26</t>
        </is>
      </c>
      <c r="M2333" s="256" t="inlineStr">
        <is>
          <t>07.04.2026</t>
        </is>
      </c>
      <c r="N2333" s="256" t="inlineStr">
        <is>
          <t>IPH — Institute of Public Health</t>
        </is>
      </c>
      <c r="O2333" s="256" t="inlineStr">
        <is>
          <t>01.04.2026</t>
        </is>
      </c>
      <c r="P2333" s="256" t="inlineStr">
        <is>
          <t>carried from the initial testing (CoQ-PP-2026-0017) — covered</t>
        </is>
      </c>
      <c r="Q2333" s="256" t="inlineStr"/>
      <c r="R2333" s="256" t="inlineStr"/>
    </row>
    <row r="2334">
      <c r="A2334" s="256" t="inlineStr">
        <is>
          <t>CoQ-PP_26-102</t>
        </is>
      </c>
      <c r="B2334" s="256" t="inlineStr">
        <is>
          <t>reissue — retest</t>
        </is>
      </c>
      <c r="C2334" s="256" t="inlineStr">
        <is>
          <t>OPM122501</t>
        </is>
      </c>
      <c r="D2334" s="256" t="inlineStr">
        <is>
          <t>P060242</t>
        </is>
      </c>
      <c r="E2334" s="256" t="inlineStr">
        <is>
          <t>Orange Punch Mimosa</t>
        </is>
      </c>
      <c r="F2334" s="256" t="inlineStr">
        <is>
          <t>17.08.2026</t>
        </is>
      </c>
      <c r="G2334" s="256" t="inlineStr">
        <is>
          <t>9.2</t>
        </is>
      </c>
      <c r="H2334" s="256" t="inlineStr">
        <is>
          <t>TYMC</t>
        </is>
      </c>
      <c r="I2334" s="256" t="inlineStr">
        <is>
          <t>Ph. Eur. 2.6.12 cat. C</t>
        </is>
      </c>
      <c r="J2334" s="256" t="inlineStr">
        <is>
          <t>≤ 10⁴ CFU/g</t>
        </is>
      </c>
      <c r="K2334" s="256" t="inlineStr">
        <is>
          <t>100</t>
        </is>
      </c>
      <c r="L2334" s="256" t="inlineStr">
        <is>
          <t>229/0392/26</t>
        </is>
      </c>
      <c r="M2334" s="256" t="inlineStr">
        <is>
          <t>07.04.2026</t>
        </is>
      </c>
      <c r="N2334" s="256" t="inlineStr">
        <is>
          <t>IPH — Institute of Public Health</t>
        </is>
      </c>
      <c r="O2334" s="256" t="inlineStr">
        <is>
          <t>01.04.2026</t>
        </is>
      </c>
      <c r="P2334" s="256" t="inlineStr">
        <is>
          <t>carried from the initial testing (CoQ-PP-2026-0017) — covered</t>
        </is>
      </c>
      <c r="Q2334" s="256" t="inlineStr"/>
      <c r="R2334" s="256" t="inlineStr"/>
    </row>
    <row r="2335">
      <c r="A2335" s="256" t="inlineStr">
        <is>
          <t>CoQ-PP_26-102</t>
        </is>
      </c>
      <c r="B2335" s="256" t="inlineStr">
        <is>
          <t>reissue — retest</t>
        </is>
      </c>
      <c r="C2335" s="256" t="inlineStr">
        <is>
          <t>OPM122501</t>
        </is>
      </c>
      <c r="D2335" s="256" t="inlineStr">
        <is>
          <t>P060242</t>
        </is>
      </c>
      <c r="E2335" s="256" t="inlineStr">
        <is>
          <t>Orange Punch Mimosa</t>
        </is>
      </c>
      <c r="F2335" s="256" t="inlineStr">
        <is>
          <t>17.08.2026</t>
        </is>
      </c>
      <c r="G2335" s="256" t="inlineStr">
        <is>
          <t>9.3</t>
        </is>
      </c>
      <c r="H2335" s="256" t="inlineStr">
        <is>
          <t>Bile-tolerant gram-neg.</t>
        </is>
      </c>
      <c r="I2335" s="256" t="inlineStr">
        <is>
          <t>Ph. Eur. 2.6.31 cat. C</t>
        </is>
      </c>
      <c r="J2335" s="256" t="inlineStr">
        <is>
          <t>≤ 10⁴ CFU/g</t>
        </is>
      </c>
      <c r="K2335" s="256" t="inlineStr">
        <is>
          <t>&lt; 10</t>
        </is>
      </c>
      <c r="L2335" s="256" t="inlineStr">
        <is>
          <t>229/0392/26</t>
        </is>
      </c>
      <c r="M2335" s="256" t="inlineStr">
        <is>
          <t>07.04.2026</t>
        </is>
      </c>
      <c r="N2335" s="256" t="inlineStr">
        <is>
          <t>IPH — Institute of Public Health</t>
        </is>
      </c>
      <c r="O2335" s="256" t="inlineStr">
        <is>
          <t>01.04.2026</t>
        </is>
      </c>
      <c r="P2335" s="256" t="inlineStr">
        <is>
          <t>carried from the initial testing (CoQ-PP-2026-0017) — covered</t>
        </is>
      </c>
      <c r="Q2335" s="256" t="inlineStr"/>
      <c r="R2335" s="256" t="inlineStr"/>
    </row>
    <row r="2336">
      <c r="A2336" s="256" t="inlineStr">
        <is>
          <t>CoQ-PP_26-102</t>
        </is>
      </c>
      <c r="B2336" s="256" t="inlineStr">
        <is>
          <t>reissue — retest</t>
        </is>
      </c>
      <c r="C2336" s="256" t="inlineStr">
        <is>
          <t>OPM122501</t>
        </is>
      </c>
      <c r="D2336" s="256" t="inlineStr">
        <is>
          <t>P060242</t>
        </is>
      </c>
      <c r="E2336" s="256" t="inlineStr">
        <is>
          <t>Orange Punch Mimosa</t>
        </is>
      </c>
      <c r="F2336" s="256" t="inlineStr">
        <is>
          <t>17.08.2026</t>
        </is>
      </c>
      <c r="G2336" s="256" t="inlineStr">
        <is>
          <t>9.4</t>
        </is>
      </c>
      <c r="H2336" s="256" t="inlineStr">
        <is>
          <t>Salmonella</t>
        </is>
      </c>
      <c r="I2336" s="256" t="inlineStr">
        <is>
          <t>Ph. Eur. 2.6.31 cat. C</t>
        </is>
      </c>
      <c r="J2336" s="256" t="inlineStr">
        <is>
          <t>Absence | Отсуство / 25 g</t>
        </is>
      </c>
      <c r="K2336" s="256" t="inlineStr">
        <is>
          <t>Absent | Отсутна</t>
        </is>
      </c>
      <c r="L2336" s="256" t="inlineStr">
        <is>
          <t>229/0392/26</t>
        </is>
      </c>
      <c r="M2336" s="256" t="inlineStr">
        <is>
          <t>07.04.2026</t>
        </is>
      </c>
      <c r="N2336" s="256" t="inlineStr">
        <is>
          <t>IPH — Institute of Public Health</t>
        </is>
      </c>
      <c r="O2336" s="256" t="inlineStr">
        <is>
          <t>01.04.2026</t>
        </is>
      </c>
      <c r="P2336" s="256" t="inlineStr">
        <is>
          <t>carried from the initial testing (CoQ-PP-2026-0017) — covered</t>
        </is>
      </c>
      <c r="Q2336" s="256" t="inlineStr"/>
      <c r="R2336" s="256" t="inlineStr"/>
    </row>
    <row r="2337">
      <c r="A2337" s="256" t="inlineStr">
        <is>
          <t>CoQ-PP_26-102</t>
        </is>
      </c>
      <c r="B2337" s="256" t="inlineStr">
        <is>
          <t>reissue — retest</t>
        </is>
      </c>
      <c r="C2337" s="256" t="inlineStr">
        <is>
          <t>OPM122501</t>
        </is>
      </c>
      <c r="D2337" s="256" t="inlineStr">
        <is>
          <t>P060242</t>
        </is>
      </c>
      <c r="E2337" s="256" t="inlineStr">
        <is>
          <t>Orange Punch Mimosa</t>
        </is>
      </c>
      <c r="F2337" s="256" t="inlineStr">
        <is>
          <t>17.08.2026</t>
        </is>
      </c>
      <c r="G2337" s="256" t="inlineStr">
        <is>
          <t>9.5</t>
        </is>
      </c>
      <c r="H2337" s="256" t="inlineStr">
        <is>
          <t>Escherichia coli</t>
        </is>
      </c>
      <c r="I2337" s="256" t="inlineStr">
        <is>
          <t>Ph. Eur. 2.6.13 cat. C</t>
        </is>
      </c>
      <c r="J2337" s="256" t="inlineStr">
        <is>
          <t>Absence | Отсуство / 1 g</t>
        </is>
      </c>
      <c r="K2337" s="256" t="inlineStr">
        <is>
          <t>Absent | Отсутна</t>
        </is>
      </c>
      <c r="L2337" s="256" t="inlineStr">
        <is>
          <t>229/0392/26</t>
        </is>
      </c>
      <c r="M2337" s="256" t="inlineStr">
        <is>
          <t>07.04.2026</t>
        </is>
      </c>
      <c r="N2337" s="256" t="inlineStr">
        <is>
          <t>IPH — Institute of Public Health</t>
        </is>
      </c>
      <c r="O2337" s="256" t="inlineStr">
        <is>
          <t>01.04.2026</t>
        </is>
      </c>
      <c r="P2337" s="256" t="inlineStr">
        <is>
          <t>carried from the initial testing (CoQ-PP-2026-0017) — covered</t>
        </is>
      </c>
      <c r="Q2337" s="256" t="inlineStr"/>
      <c r="R2337" s="256" t="inlineStr"/>
    </row>
    <row r="2338">
      <c r="A2338" s="256" t="inlineStr">
        <is>
          <t>CoQ-PP_26-102</t>
        </is>
      </c>
      <c r="B2338" s="256" t="inlineStr">
        <is>
          <t>reissue — retest</t>
        </is>
      </c>
      <c r="C2338" s="256" t="inlineStr">
        <is>
          <t>OPM122501</t>
        </is>
      </c>
      <c r="D2338" s="256" t="inlineStr">
        <is>
          <t>P060242</t>
        </is>
      </c>
      <c r="E2338" s="256" t="inlineStr">
        <is>
          <t>Orange Punch Mimosa</t>
        </is>
      </c>
      <c r="F2338" s="256" t="inlineStr">
        <is>
          <t>17.08.2026</t>
        </is>
      </c>
      <c r="G2338" s="256" t="inlineStr">
        <is>
          <t>9.6</t>
        </is>
      </c>
      <c r="H2338" s="256" t="inlineStr">
        <is>
          <t>Pseudomonas aeruginosa</t>
        </is>
      </c>
      <c r="I2338" s="256" t="inlineStr">
        <is>
          <t>Ph. Eur. 2.6.13 cat. C</t>
        </is>
      </c>
      <c r="J2338" s="256" t="inlineStr">
        <is>
          <t>Absence | Отсуство / 1 g</t>
        </is>
      </c>
      <c r="K2338" s="260" t="inlineStr">
        <is>
          <t>upon request — not required for release</t>
        </is>
      </c>
      <c r="L2338" s="256" t="inlineStr">
        <is>
          <t>—</t>
        </is>
      </c>
      <c r="M2338" s="256" t="inlineStr">
        <is>
          <t>—</t>
        </is>
      </c>
      <c r="N2338" s="256" t="inlineStr">
        <is>
          <t>—</t>
        </is>
      </c>
      <c r="O2338" s="256" t="inlineStr">
        <is>
          <t>—</t>
        </is>
      </c>
      <c r="P2338" s="256" t="inlineStr">
        <is>
          <t>upon request — not required for release</t>
        </is>
      </c>
      <c r="Q2338" s="256" t="inlineStr"/>
      <c r="R2338" s="256" t="inlineStr"/>
    </row>
    <row r="2339">
      <c r="A2339" s="256" t="inlineStr">
        <is>
          <t>CoQ-PP_26-102</t>
        </is>
      </c>
      <c r="B2339" s="256" t="inlineStr">
        <is>
          <t>reissue — retest</t>
        </is>
      </c>
      <c r="C2339" s="256" t="inlineStr">
        <is>
          <t>OPM122501</t>
        </is>
      </c>
      <c r="D2339" s="256" t="inlineStr">
        <is>
          <t>P060242</t>
        </is>
      </c>
      <c r="E2339" s="256" t="inlineStr">
        <is>
          <t>Orange Punch Mimosa</t>
        </is>
      </c>
      <c r="F2339" s="256" t="inlineStr">
        <is>
          <t>17.08.2026</t>
        </is>
      </c>
      <c r="G2339" s="256" t="inlineStr">
        <is>
          <t>9.7</t>
        </is>
      </c>
      <c r="H2339" s="256" t="inlineStr">
        <is>
          <t>Staphylococcus aureus</t>
        </is>
      </c>
      <c r="I2339" s="256" t="inlineStr">
        <is>
          <t>Ph. Eur. 2.6.13 cat. C</t>
        </is>
      </c>
      <c r="J2339" s="256" t="inlineStr">
        <is>
          <t>Absence | Отсуство / 1 g</t>
        </is>
      </c>
      <c r="K2339" s="260" t="inlineStr">
        <is>
          <t>upon request — not required for release</t>
        </is>
      </c>
      <c r="L2339" s="256" t="inlineStr">
        <is>
          <t>—</t>
        </is>
      </c>
      <c r="M2339" s="256" t="inlineStr">
        <is>
          <t>—</t>
        </is>
      </c>
      <c r="N2339" s="256" t="inlineStr">
        <is>
          <t>—</t>
        </is>
      </c>
      <c r="O2339" s="256" t="inlineStr">
        <is>
          <t>—</t>
        </is>
      </c>
      <c r="P2339" s="256" t="inlineStr">
        <is>
          <t>upon request — not required for release</t>
        </is>
      </c>
      <c r="Q2339" s="256" t="inlineStr"/>
      <c r="R2339" s="256" t="inlineStr"/>
    </row>
    <row r="2340">
      <c r="A2340" s="256" t="inlineStr">
        <is>
          <t>CoQ-PP_26-102</t>
        </is>
      </c>
      <c r="B2340" s="256" t="inlineStr">
        <is>
          <t>reissue — retest</t>
        </is>
      </c>
      <c r="C2340" s="256" t="inlineStr">
        <is>
          <t>OPM122501</t>
        </is>
      </c>
      <c r="D2340" s="256" t="inlineStr">
        <is>
          <t>P060242</t>
        </is>
      </c>
      <c r="E2340" s="256" t="inlineStr">
        <is>
          <t>Orange Punch Mimosa</t>
        </is>
      </c>
      <c r="F2340" s="256" t="inlineStr">
        <is>
          <t>17.08.2026</t>
        </is>
      </c>
      <c r="G2340" s="256" t="inlineStr">
        <is>
          <t>10.1</t>
        </is>
      </c>
      <c r="H2340" s="256" t="inlineStr">
        <is>
          <t>Aflatoxin B₁</t>
        </is>
      </c>
      <c r="I2340" s="256" t="inlineStr">
        <is>
          <t>Ph. Eur. 2.8.18 (HPLC-FLD)</t>
        </is>
      </c>
      <c r="J2340" s="256" t="inlineStr">
        <is>
          <t>≤ 2 µg/kg</t>
        </is>
      </c>
      <c r="K2340" s="256" t="inlineStr">
        <is>
          <t>ND</t>
        </is>
      </c>
      <c r="L2340" s="256" t="inlineStr">
        <is>
          <t>197-19-М/26</t>
        </is>
      </c>
      <c r="M2340" s="256" t="inlineStr">
        <is>
          <t>10.08.2026</t>
        </is>
      </c>
      <c r="N2340" s="256" t="inlineStr">
        <is>
          <t>Farmahem</t>
        </is>
      </c>
      <c r="O2340" s="256" t="inlineStr">
        <is>
          <t>29.07.2026</t>
        </is>
      </c>
      <c r="P2340" s="256" t="inlineStr">
        <is>
          <t>covered</t>
        </is>
      </c>
      <c r="Q2340" s="256" t="inlineStr"/>
      <c r="R2340" s="256" t="inlineStr"/>
    </row>
    <row r="2341">
      <c r="A2341" s="256" t="inlineStr">
        <is>
          <t>CoQ-PP_26-102</t>
        </is>
      </c>
      <c r="B2341" s="256" t="inlineStr">
        <is>
          <t>reissue — retest</t>
        </is>
      </c>
      <c r="C2341" s="256" t="inlineStr">
        <is>
          <t>OPM122501</t>
        </is>
      </c>
      <c r="D2341" s="256" t="inlineStr">
        <is>
          <t>P060242</t>
        </is>
      </c>
      <c r="E2341" s="256" t="inlineStr">
        <is>
          <t>Orange Punch Mimosa</t>
        </is>
      </c>
      <c r="F2341" s="256" t="inlineStr">
        <is>
          <t>17.08.2026</t>
        </is>
      </c>
      <c r="G2341" s="256" t="inlineStr">
        <is>
          <t>10.2</t>
        </is>
      </c>
      <c r="H2341" s="256" t="inlineStr">
        <is>
          <t>Aflatoxins ∑</t>
        </is>
      </c>
      <c r="I2341" s="256" t="inlineStr">
        <is>
          <t>Ph. Eur. 2.8.18 (HPLC-FLD)</t>
        </is>
      </c>
      <c r="J2341" s="256" t="inlineStr">
        <is>
          <t>≤ 4 µg/kg</t>
        </is>
      </c>
      <c r="K2341" s="256" t="inlineStr">
        <is>
          <t>ND</t>
        </is>
      </c>
      <c r="L2341" s="256" t="inlineStr">
        <is>
          <t>197-19-М/26</t>
        </is>
      </c>
      <c r="M2341" s="256" t="inlineStr">
        <is>
          <t>10.08.2026</t>
        </is>
      </c>
      <c r="N2341" s="256" t="inlineStr">
        <is>
          <t>Farmahem</t>
        </is>
      </c>
      <c r="O2341" s="256" t="inlineStr">
        <is>
          <t>29.07.2026</t>
        </is>
      </c>
      <c r="P2341" s="256" t="inlineStr">
        <is>
          <t>covered</t>
        </is>
      </c>
      <c r="Q2341" s="256" t="inlineStr"/>
      <c r="R2341" s="256" t="inlineStr"/>
    </row>
    <row r="2342">
      <c r="A2342" s="256" t="inlineStr">
        <is>
          <t>CoQ-PP_26-102</t>
        </is>
      </c>
      <c r="B2342" s="256" t="inlineStr">
        <is>
          <t>reissue — retest</t>
        </is>
      </c>
      <c r="C2342" s="256" t="inlineStr">
        <is>
          <t>OPM122501</t>
        </is>
      </c>
      <c r="D2342" s="256" t="inlineStr">
        <is>
          <t>P060242</t>
        </is>
      </c>
      <c r="E2342" s="256" t="inlineStr">
        <is>
          <t>Orange Punch Mimosa</t>
        </is>
      </c>
      <c r="F2342" s="256" t="inlineStr">
        <is>
          <t>17.08.2026</t>
        </is>
      </c>
      <c r="G2342" s="256" t="inlineStr">
        <is>
          <t>10.3</t>
        </is>
      </c>
      <c r="H2342" s="256" t="inlineStr">
        <is>
          <t>Ochratoxin A</t>
        </is>
      </c>
      <c r="I2342" s="256" t="inlineStr">
        <is>
          <t>Ph. Eur. 2.8.22 (HPLC-FLD)</t>
        </is>
      </c>
      <c r="J2342" s="256" t="inlineStr">
        <is>
          <t>≤ 20 µg/kg</t>
        </is>
      </c>
      <c r="K2342" s="256" t="inlineStr">
        <is>
          <t>ND</t>
        </is>
      </c>
      <c r="L2342" s="256" t="inlineStr">
        <is>
          <t>197-19-М/26</t>
        </is>
      </c>
      <c r="M2342" s="256" t="inlineStr">
        <is>
          <t>10.08.2026</t>
        </is>
      </c>
      <c r="N2342" s="256" t="inlineStr">
        <is>
          <t>Farmahem</t>
        </is>
      </c>
      <c r="O2342" s="256" t="inlineStr">
        <is>
          <t>29.07.2026</t>
        </is>
      </c>
      <c r="P2342" s="256" t="inlineStr">
        <is>
          <t>covered</t>
        </is>
      </c>
      <c r="Q2342" s="256" t="inlineStr"/>
      <c r="R2342" s="256" t="inlineStr"/>
    </row>
    <row r="2343">
      <c r="A2343" s="256" t="inlineStr">
        <is>
          <t>CoQ-PP_26-102</t>
        </is>
      </c>
      <c r="B2343" s="256" t="inlineStr">
        <is>
          <t>reissue — retest</t>
        </is>
      </c>
      <c r="C2343" s="256" t="inlineStr">
        <is>
          <t>OPM122501</t>
        </is>
      </c>
      <c r="D2343" s="256" t="inlineStr">
        <is>
          <t>P060242</t>
        </is>
      </c>
      <c r="E2343" s="256" t="inlineStr">
        <is>
          <t>Orange Punch Mimosa</t>
        </is>
      </c>
      <c r="F2343" s="256" t="inlineStr">
        <is>
          <t>17.08.2026</t>
        </is>
      </c>
      <c r="G2343" s="256" t="inlineStr">
        <is>
          <t>11.1</t>
        </is>
      </c>
      <c r="H2343" s="256" t="inlineStr">
        <is>
          <t>Lead (Pb)</t>
        </is>
      </c>
      <c r="I2343" s="256" t="inlineStr">
        <is>
          <t>Ph. Eur. 2.4.27 (ICP-MS)</t>
        </is>
      </c>
      <c r="J2343" s="256" t="inlineStr">
        <is>
          <t>≤ 0.5 mg/kg</t>
        </is>
      </c>
      <c r="K2343" s="256" t="inlineStr">
        <is>
          <t>0.049</t>
        </is>
      </c>
      <c r="L2343" s="256" t="inlineStr">
        <is>
          <t>1627/2026</t>
        </is>
      </c>
      <c r="M2343" s="256" t="inlineStr">
        <is>
          <t>23.04.2026</t>
        </is>
      </c>
      <c r="N2343" s="256" t="inlineStr">
        <is>
          <t>IPH — Institute of Public Health</t>
        </is>
      </c>
      <c r="O2343" s="256" t="inlineStr">
        <is>
          <t>27.03.2026</t>
        </is>
      </c>
      <c r="P2343" s="256" t="inlineStr">
        <is>
          <t>carried from the initial testing (CoQ-PP-2026-0017) — covered</t>
        </is>
      </c>
      <c r="Q2343" s="256" t="inlineStr"/>
      <c r="R2343" s="256" t="inlineStr"/>
    </row>
    <row r="2344">
      <c r="A2344" s="256" t="inlineStr">
        <is>
          <t>CoQ-PP_26-102</t>
        </is>
      </c>
      <c r="B2344" s="256" t="inlineStr">
        <is>
          <t>reissue — retest</t>
        </is>
      </c>
      <c r="C2344" s="256" t="inlineStr">
        <is>
          <t>OPM122501</t>
        </is>
      </c>
      <c r="D2344" s="256" t="inlineStr">
        <is>
          <t>P060242</t>
        </is>
      </c>
      <c r="E2344" s="256" t="inlineStr">
        <is>
          <t>Orange Punch Mimosa</t>
        </is>
      </c>
      <c r="F2344" s="256" t="inlineStr">
        <is>
          <t>17.08.2026</t>
        </is>
      </c>
      <c r="G2344" s="256" t="inlineStr">
        <is>
          <t>11.2</t>
        </is>
      </c>
      <c r="H2344" s="256" t="inlineStr">
        <is>
          <t>Cadmium (Cd)</t>
        </is>
      </c>
      <c r="I2344" s="256" t="inlineStr">
        <is>
          <t>Ph. Eur. 2.4.27 (ICP-MS)</t>
        </is>
      </c>
      <c r="J2344" s="256" t="inlineStr">
        <is>
          <t>≤ 0.3 mg/kg</t>
        </is>
      </c>
      <c r="K2344" s="256" t="inlineStr">
        <is>
          <t>0.165</t>
        </is>
      </c>
      <c r="L2344" s="256" t="inlineStr">
        <is>
          <t>1627/2026</t>
        </is>
      </c>
      <c r="M2344" s="256" t="inlineStr">
        <is>
          <t>23.04.2026</t>
        </is>
      </c>
      <c r="N2344" s="256" t="inlineStr">
        <is>
          <t>IPH — Institute of Public Health</t>
        </is>
      </c>
      <c r="O2344" s="256" t="inlineStr">
        <is>
          <t>27.03.2026</t>
        </is>
      </c>
      <c r="P2344" s="256" t="inlineStr">
        <is>
          <t>carried from the initial testing (CoQ-PP-2026-0017) — covered</t>
        </is>
      </c>
      <c r="Q2344" s="256" t="inlineStr"/>
      <c r="R2344" s="256" t="inlineStr"/>
    </row>
    <row r="2345">
      <c r="A2345" s="256" t="inlineStr">
        <is>
          <t>CoQ-PP_26-102</t>
        </is>
      </c>
      <c r="B2345" s="256" t="inlineStr">
        <is>
          <t>reissue — retest</t>
        </is>
      </c>
      <c r="C2345" s="256" t="inlineStr">
        <is>
          <t>OPM122501</t>
        </is>
      </c>
      <c r="D2345" s="256" t="inlineStr">
        <is>
          <t>P060242</t>
        </is>
      </c>
      <c r="E2345" s="256" t="inlineStr">
        <is>
          <t>Orange Punch Mimosa</t>
        </is>
      </c>
      <c r="F2345" s="256" t="inlineStr">
        <is>
          <t>17.08.2026</t>
        </is>
      </c>
      <c r="G2345" s="256" t="inlineStr">
        <is>
          <t>11.3</t>
        </is>
      </c>
      <c r="H2345" s="256" t="inlineStr">
        <is>
          <t>Arsenic (As)</t>
        </is>
      </c>
      <c r="I2345" s="256" t="inlineStr">
        <is>
          <t>Ph. Eur. 2.4.27 (ICP-MS)</t>
        </is>
      </c>
      <c r="J2345" s="256" t="inlineStr">
        <is>
          <t>≤ 0.2 mg/kg</t>
        </is>
      </c>
      <c r="K2345" s="256" t="inlineStr">
        <is>
          <t>ND</t>
        </is>
      </c>
      <c r="L2345" s="256" t="inlineStr">
        <is>
          <t>1627/2026</t>
        </is>
      </c>
      <c r="M2345" s="256" t="inlineStr">
        <is>
          <t>23.04.2026</t>
        </is>
      </c>
      <c r="N2345" s="256" t="inlineStr">
        <is>
          <t>IPH — Institute of Public Health</t>
        </is>
      </c>
      <c r="O2345" s="256" t="inlineStr">
        <is>
          <t>27.03.2026</t>
        </is>
      </c>
      <c r="P2345" s="256" t="inlineStr">
        <is>
          <t>carried from the initial testing (CoQ-PP-2026-0017) — covered</t>
        </is>
      </c>
      <c r="Q2345" s="256" t="inlineStr"/>
      <c r="R2345" s="256" t="inlineStr"/>
    </row>
    <row r="2346">
      <c r="A2346" s="256" t="inlineStr">
        <is>
          <t>CoQ-PP_26-102</t>
        </is>
      </c>
      <c r="B2346" s="256" t="inlineStr">
        <is>
          <t>reissue — retest</t>
        </is>
      </c>
      <c r="C2346" s="256" t="inlineStr">
        <is>
          <t>OPM122501</t>
        </is>
      </c>
      <c r="D2346" s="256" t="inlineStr">
        <is>
          <t>P060242</t>
        </is>
      </c>
      <c r="E2346" s="256" t="inlineStr">
        <is>
          <t>Orange Punch Mimosa</t>
        </is>
      </c>
      <c r="F2346" s="256" t="inlineStr">
        <is>
          <t>17.08.2026</t>
        </is>
      </c>
      <c r="G2346" s="256" t="inlineStr">
        <is>
          <t>11.4</t>
        </is>
      </c>
      <c r="H2346" s="256" t="inlineStr">
        <is>
          <t>Mercury (Hg)</t>
        </is>
      </c>
      <c r="I2346" s="256" t="inlineStr">
        <is>
          <t>Ph. Eur. 2.4.27 (ICP-MS)</t>
        </is>
      </c>
      <c r="J2346" s="256" t="inlineStr">
        <is>
          <t>≤ 0.1 mg/kg</t>
        </is>
      </c>
      <c r="K2346" s="256" t="inlineStr">
        <is>
          <t>ND</t>
        </is>
      </c>
      <c r="L2346" s="256" t="inlineStr">
        <is>
          <t>1627/2026</t>
        </is>
      </c>
      <c r="M2346" s="256" t="inlineStr">
        <is>
          <t>23.04.2026</t>
        </is>
      </c>
      <c r="N2346" s="256" t="inlineStr">
        <is>
          <t>IPH — Institute of Public Health</t>
        </is>
      </c>
      <c r="O2346" s="256" t="inlineStr">
        <is>
          <t>27.03.2026</t>
        </is>
      </c>
      <c r="P2346" s="256" t="inlineStr">
        <is>
          <t>carried from the initial testing (CoQ-PP-2026-0017) — covered</t>
        </is>
      </c>
      <c r="Q2346" s="256" t="inlineStr"/>
      <c r="R2346" s="256" t="inlineStr"/>
    </row>
    <row r="2347">
      <c r="A2347" s="256" t="inlineStr">
        <is>
          <t>CoQ-PP_26-102</t>
        </is>
      </c>
      <c r="B2347" s="256" t="inlineStr">
        <is>
          <t>reissue — retest</t>
        </is>
      </c>
      <c r="C2347" s="256" t="inlineStr">
        <is>
          <t>OPM122501</t>
        </is>
      </c>
      <c r="D2347" s="256" t="inlineStr">
        <is>
          <t>P060242</t>
        </is>
      </c>
      <c r="E2347" s="256" t="inlineStr">
        <is>
          <t>Orange Punch Mimosa</t>
        </is>
      </c>
      <c r="F2347" s="256" t="inlineStr">
        <is>
          <t>17.08.2026</t>
        </is>
      </c>
      <c r="G2347" s="256" t="inlineStr">
        <is>
          <t>12</t>
        </is>
      </c>
      <c r="H2347" s="256" t="inlineStr">
        <is>
          <t>Pesticide Residues</t>
        </is>
      </c>
      <c r="I2347" s="256" t="inlineStr">
        <is>
          <t>Ph. Eur. 2.8.13 (LC-MS/MS) · CUMCS Equivalency</t>
        </is>
      </c>
      <c r="J2347" s="256" t="inlineStr">
        <is>
          <t>≤ LOQ as per Ph. Eur. 2.8.13 · ≤ LOQ as per CUMCS Equivalency</t>
        </is>
      </c>
      <c r="K2347" s="256" t="inlineStr">
        <is>
          <t>ND</t>
        </is>
      </c>
      <c r="L2347" s="256" t="inlineStr">
        <is>
          <t>1627/2026</t>
        </is>
      </c>
      <c r="M2347" s="256" t="inlineStr">
        <is>
          <t>23.04.2026</t>
        </is>
      </c>
      <c r="N2347" s="256" t="inlineStr">
        <is>
          <t>IPH — Institute of Public Health</t>
        </is>
      </c>
      <c r="O2347" s="256" t="inlineStr">
        <is>
          <t>27.03.2026</t>
        </is>
      </c>
      <c r="P2347" s="256" t="inlineStr">
        <is>
          <t>carried from the initial testing (CoQ-PP-2026-0017) — covered</t>
        </is>
      </c>
      <c r="Q2347" s="256" t="inlineStr"/>
      <c r="R2347" s="256" t="inlineStr"/>
    </row>
    <row r="2348">
      <c r="A2348" s="256" t="inlineStr">
        <is>
          <t>CoQ-PP_26-103</t>
        </is>
      </c>
      <c r="B2348" s="256" t="inlineStr">
        <is>
          <t>reissue — retest</t>
        </is>
      </c>
      <c r="C2348" s="256" t="inlineStr">
        <is>
          <t>PM092501</t>
        </is>
      </c>
      <c r="D2348" s="256" t="inlineStr">
        <is>
          <t>P060062</t>
        </is>
      </c>
      <c r="E2348" s="256" t="inlineStr">
        <is>
          <t>Permanent Marker</t>
        </is>
      </c>
      <c r="F2348" s="256" t="inlineStr">
        <is>
          <t>17.08.2026</t>
        </is>
      </c>
      <c r="G2348" s="256" t="inlineStr">
        <is>
          <t>1</t>
        </is>
      </c>
      <c r="H2348" s="256" t="inlineStr">
        <is>
          <t>Identification A, Appearance · Macroscopic</t>
        </is>
      </c>
      <c r="I2348" s="256" t="inlineStr">
        <is>
          <t>Ph. Eur. mon. 3028</t>
        </is>
      </c>
      <c r="J2348" s="256" t="inlineStr">
        <is>
          <t>Conforms to the monograph for Cannabis flos (07/2024:3028) in Ph. Eur. 11.0 | Согласно монографија за Cannabis flos (07/2024:3028) во Ph. Eur. 11.0</t>
        </is>
      </c>
      <c r="K2348" s="256" t="inlineStr">
        <is>
          <t>Conforms | Одговара</t>
        </is>
      </c>
      <c r="L2348" s="256" t="inlineStr">
        <is>
          <t>iCoA-PP_26-120</t>
        </is>
      </c>
      <c r="M2348" s="256" t="inlineStr">
        <is>
          <t>27.07.2026</t>
        </is>
      </c>
      <c r="N2348" s="256" t="inlineStr">
        <is>
          <t>Purely Plant GmbH (in-house)</t>
        </is>
      </c>
      <c r="O2348" s="256" t="inlineStr">
        <is>
          <t>—</t>
        </is>
      </c>
      <c r="P2348" s="256" t="inlineStr">
        <is>
          <t>covered</t>
        </is>
      </c>
      <c r="Q2348" s="256" t="inlineStr">
        <is>
          <t>Farmahem — Ident A + B + C with the Assay, at retest</t>
        </is>
      </c>
      <c r="R2348" s="256" t="inlineStr"/>
    </row>
    <row r="2349">
      <c r="A2349" s="256" t="inlineStr">
        <is>
          <t>CoQ-PP_26-103</t>
        </is>
      </c>
      <c r="B2349" s="256" t="inlineStr">
        <is>
          <t>reissue — retest</t>
        </is>
      </c>
      <c r="C2349" s="256" t="inlineStr">
        <is>
          <t>PM092501</t>
        </is>
      </c>
      <c r="D2349" s="256" t="inlineStr">
        <is>
          <t>P060062</t>
        </is>
      </c>
      <c r="E2349" s="256" t="inlineStr">
        <is>
          <t>Permanent Marker</t>
        </is>
      </c>
      <c r="F2349" s="256" t="inlineStr">
        <is>
          <t>17.08.2026</t>
        </is>
      </c>
      <c r="G2349" s="256" t="inlineStr">
        <is>
          <t>2</t>
        </is>
      </c>
      <c r="H2349" s="256" t="inlineStr">
        <is>
          <t>Identification B · Microscopic</t>
        </is>
      </c>
      <c r="I2349" s="256" t="inlineStr">
        <is>
          <t>Ph. Eur. 2.8.23 (microscopy)</t>
        </is>
      </c>
      <c r="J2349" s="256" t="inlineStr">
        <is>
          <t>Conforms to the monograph for Cannabis flos (07/2024:3028) in Ph. Eur. 11.0 | Согласно монографија за Cannabis flos (07/2024:3028) во Ph. Eur. 11.0</t>
        </is>
      </c>
      <c r="K2349" s="256" t="inlineStr">
        <is>
          <t>Conforms | Одговара</t>
        </is>
      </c>
      <c r="L2349" s="256" t="inlineStr">
        <is>
          <t>iCoA-PP_26-120</t>
        </is>
      </c>
      <c r="M2349" s="256" t="inlineStr">
        <is>
          <t>27.07.2026</t>
        </is>
      </c>
      <c r="N2349" s="256" t="inlineStr">
        <is>
          <t>Purely Plant GmbH (in-house)</t>
        </is>
      </c>
      <c r="O2349" s="256" t="inlineStr">
        <is>
          <t>—</t>
        </is>
      </c>
      <c r="P2349" s="256" t="inlineStr">
        <is>
          <t>covered</t>
        </is>
      </c>
      <c r="Q2349" s="256" t="inlineStr">
        <is>
          <t>Farmahem — Ident A + B + C with the Assay, at retest</t>
        </is>
      </c>
      <c r="R2349" s="256" t="inlineStr"/>
    </row>
    <row r="2350">
      <c r="A2350" s="256" t="inlineStr">
        <is>
          <t>CoQ-PP_26-103</t>
        </is>
      </c>
      <c r="B2350" s="256" t="inlineStr">
        <is>
          <t>reissue — retest</t>
        </is>
      </c>
      <c r="C2350" s="256" t="inlineStr">
        <is>
          <t>PM092501</t>
        </is>
      </c>
      <c r="D2350" s="256" t="inlineStr">
        <is>
          <t>P060062</t>
        </is>
      </c>
      <c r="E2350" s="256" t="inlineStr">
        <is>
          <t>Permanent Marker</t>
        </is>
      </c>
      <c r="F2350" s="256" t="inlineStr">
        <is>
          <t>17.08.2026</t>
        </is>
      </c>
      <c r="G2350" s="256" t="inlineStr">
        <is>
          <t>3</t>
        </is>
      </c>
      <c r="H2350" s="256" t="inlineStr">
        <is>
          <t>Identification C · HPLC/HPTLC</t>
        </is>
      </c>
      <c r="I2350" s="256" t="inlineStr">
        <is>
          <t>Ph. Eur. 2.2.29 (3028)</t>
        </is>
      </c>
      <c r="J2350" s="256" t="inlineStr">
        <is>
          <t>Conforms to the monograph for Cannabis flos (07/2024:3028) in Ph. Eur. 11.0 | Согласно монографија за Cannabis flos (07/2024:3028) во Ph. Eur. 11.0</t>
        </is>
      </c>
      <c r="K2350" s="256" t="inlineStr">
        <is>
          <t>Conforms | Одговара</t>
        </is>
      </c>
      <c r="L2350" s="256" t="inlineStr">
        <is>
          <t>197-20-К/26</t>
        </is>
      </c>
      <c r="M2350" s="256" t="inlineStr">
        <is>
          <t>07.08.2026</t>
        </is>
      </c>
      <c r="N2350" s="256" t="inlineStr">
        <is>
          <t>Farmahem</t>
        </is>
      </c>
      <c r="O2350" s="256" t="inlineStr">
        <is>
          <t>27.07.2026</t>
        </is>
      </c>
      <c r="P2350" s="256" t="inlineStr">
        <is>
          <t>covered</t>
        </is>
      </c>
      <c r="Q2350" s="256" t="inlineStr"/>
      <c r="R2350" s="256" t="inlineStr"/>
    </row>
    <row r="2351">
      <c r="A2351" s="256" t="inlineStr">
        <is>
          <t>CoQ-PP_26-103</t>
        </is>
      </c>
      <c r="B2351" s="256" t="inlineStr">
        <is>
          <t>reissue — retest</t>
        </is>
      </c>
      <c r="C2351" s="256" t="inlineStr">
        <is>
          <t>PM092501</t>
        </is>
      </c>
      <c r="D2351" s="256" t="inlineStr">
        <is>
          <t>P060062</t>
        </is>
      </c>
      <c r="E2351" s="256" t="inlineStr">
        <is>
          <t>Permanent Marker</t>
        </is>
      </c>
      <c r="F2351" s="256" t="inlineStr">
        <is>
          <t>17.08.2026</t>
        </is>
      </c>
      <c r="G2351" s="256" t="inlineStr">
        <is>
          <t>4</t>
        </is>
      </c>
      <c r="H2351" s="256" t="inlineStr">
        <is>
          <t>Assay — Total Δ⁹-THC</t>
        </is>
      </c>
      <c r="I2351" s="256" t="inlineStr">
        <is>
          <t>Ph. Eur. 2.2.29 (HPLC)</t>
        </is>
      </c>
      <c r="J2351" s="256" t="inlineStr">
        <is>
          <t>11.00 – 12.99 %  (grade II, nominal 12.00 ± 1.00)</t>
        </is>
      </c>
      <c r="K2351" s="256" t="inlineStr">
        <is>
          <t>12.25</t>
        </is>
      </c>
      <c r="L2351" s="256" t="inlineStr">
        <is>
          <t>197-20-К/26</t>
        </is>
      </c>
      <c r="M2351" s="256" t="inlineStr">
        <is>
          <t>07.08.2026</t>
        </is>
      </c>
      <c r="N2351" s="256" t="inlineStr">
        <is>
          <t>Farmahem</t>
        </is>
      </c>
      <c r="O2351" s="256" t="inlineStr">
        <is>
          <t>27.07.2026</t>
        </is>
      </c>
      <c r="P2351" s="256" t="inlineStr">
        <is>
          <t>covered</t>
        </is>
      </c>
      <c r="Q2351" s="256" t="inlineStr"/>
      <c r="R2351" s="256" t="inlineStr"/>
    </row>
    <row r="2352">
      <c r="A2352" s="256" t="inlineStr">
        <is>
          <t>CoQ-PP_26-103</t>
        </is>
      </c>
      <c r="B2352" s="256" t="inlineStr">
        <is>
          <t>reissue — retest</t>
        </is>
      </c>
      <c r="C2352" s="256" t="inlineStr">
        <is>
          <t>PM092501</t>
        </is>
      </c>
      <c r="D2352" s="256" t="inlineStr">
        <is>
          <t>P060062</t>
        </is>
      </c>
      <c r="E2352" s="256" t="inlineStr">
        <is>
          <t>Permanent Marker</t>
        </is>
      </c>
      <c r="F2352" s="256" t="inlineStr">
        <is>
          <t>17.08.2026</t>
        </is>
      </c>
      <c r="G2352" s="256" t="inlineStr">
        <is>
          <t>5</t>
        </is>
      </c>
      <c r="H2352" s="256" t="inlineStr">
        <is>
          <t>Assay — Total CBD</t>
        </is>
      </c>
      <c r="I2352" s="256" t="inlineStr">
        <is>
          <t>Ph. Eur. 2.2.29 (HPLC) · CBD + CBDA x 0.877</t>
        </is>
      </c>
      <c r="J2352" s="256" t="inlineStr">
        <is>
          <t>≤ 1.0%, w/w</t>
        </is>
      </c>
      <c r="K2352" s="256" t="inlineStr">
        <is>
          <t>&lt; LOQ</t>
        </is>
      </c>
      <c r="L2352" s="256" t="inlineStr">
        <is>
          <t>197-20-К/26</t>
        </is>
      </c>
      <c r="M2352" s="256" t="inlineStr">
        <is>
          <t>07.08.2026</t>
        </is>
      </c>
      <c r="N2352" s="256" t="inlineStr">
        <is>
          <t>Farmahem</t>
        </is>
      </c>
      <c r="O2352" s="256" t="inlineStr">
        <is>
          <t>27.07.2026</t>
        </is>
      </c>
      <c r="P2352" s="256" t="inlineStr">
        <is>
          <t>covered</t>
        </is>
      </c>
      <c r="Q2352" s="256" t="inlineStr"/>
      <c r="R2352" s="256" t="inlineStr"/>
    </row>
    <row r="2353">
      <c r="A2353" s="256" t="inlineStr">
        <is>
          <t>CoQ-PP_26-103</t>
        </is>
      </c>
      <c r="B2353" s="256" t="inlineStr">
        <is>
          <t>reissue — retest</t>
        </is>
      </c>
      <c r="C2353" s="256" t="inlineStr">
        <is>
          <t>PM092501</t>
        </is>
      </c>
      <c r="D2353" s="256" t="inlineStr">
        <is>
          <t>P060062</t>
        </is>
      </c>
      <c r="E2353" s="256" t="inlineStr">
        <is>
          <t>Permanent Marker</t>
        </is>
      </c>
      <c r="F2353" s="256" t="inlineStr">
        <is>
          <t>17.08.2026</t>
        </is>
      </c>
      <c r="G2353" s="256" t="inlineStr">
        <is>
          <t>6</t>
        </is>
      </c>
      <c r="H2353" s="256" t="inlineStr">
        <is>
          <t>Total CBN</t>
        </is>
      </c>
      <c r="I2353" s="256" t="inlineStr">
        <is>
          <t>Ph. Eur. 2.2.29 (HPLC) · CBN + CBNA x 0.876</t>
        </is>
      </c>
      <c r="J2353" s="256" t="inlineStr">
        <is>
          <t>≤ 1.0%, w/w</t>
        </is>
      </c>
      <c r="K2353" s="256" t="inlineStr">
        <is>
          <t>&lt; LOQ</t>
        </is>
      </c>
      <c r="L2353" s="256" t="inlineStr">
        <is>
          <t>197-20-К/26</t>
        </is>
      </c>
      <c r="M2353" s="256" t="inlineStr">
        <is>
          <t>07.08.2026</t>
        </is>
      </c>
      <c r="N2353" s="256" t="inlineStr">
        <is>
          <t>Farmahem</t>
        </is>
      </c>
      <c r="O2353" s="256" t="inlineStr">
        <is>
          <t>27.07.2026</t>
        </is>
      </c>
      <c r="P2353" s="256" t="inlineStr">
        <is>
          <t>covered</t>
        </is>
      </c>
      <c r="Q2353" s="256" t="inlineStr"/>
      <c r="R2353" s="256" t="inlineStr"/>
    </row>
    <row r="2354">
      <c r="A2354" s="256" t="inlineStr">
        <is>
          <t>CoQ-PP_26-103</t>
        </is>
      </c>
      <c r="B2354" s="256" t="inlineStr">
        <is>
          <t>reissue — retest</t>
        </is>
      </c>
      <c r="C2354" s="256" t="inlineStr">
        <is>
          <t>PM092501</t>
        </is>
      </c>
      <c r="D2354" s="256" t="inlineStr">
        <is>
          <t>P060062</t>
        </is>
      </c>
      <c r="E2354" s="256" t="inlineStr">
        <is>
          <t>Permanent Marker</t>
        </is>
      </c>
      <c r="F2354" s="256" t="inlineStr">
        <is>
          <t>17.08.2026</t>
        </is>
      </c>
      <c r="G2354" s="256" t="inlineStr">
        <is>
          <t>7</t>
        </is>
      </c>
      <c r="H2354" s="256" t="inlineStr">
        <is>
          <t>Foreign Matter</t>
        </is>
      </c>
      <c r="I2354" s="256" t="inlineStr">
        <is>
          <t>Ph. Eur. 2.8.2 · In-house · интерна</t>
        </is>
      </c>
      <c r="J2354" s="256" t="inlineStr">
        <is>
          <t>≤ 2.0% / 25–50 g · &lt; 1 cm leaves | листови, no seeds | без семки</t>
        </is>
      </c>
      <c r="K2354" s="256" t="inlineStr">
        <is>
          <t>Conforms | Одговара</t>
        </is>
      </c>
      <c r="L2354" s="256" t="inlineStr">
        <is>
          <t>iCoA-PP_26-120</t>
        </is>
      </c>
      <c r="M2354" s="256" t="inlineStr">
        <is>
          <t>27.07.2026</t>
        </is>
      </c>
      <c r="N2354" s="256" t="inlineStr">
        <is>
          <t>Purely Plant GmbH (in-house)</t>
        </is>
      </c>
      <c r="O2354" s="256" t="inlineStr">
        <is>
          <t>—</t>
        </is>
      </c>
      <c r="P2354" s="256" t="inlineStr">
        <is>
          <t>covered</t>
        </is>
      </c>
      <c r="Q2354" s="256" t="inlineStr">
        <is>
          <t>Purely Plant laboratory — iCoA covering Foreign matter</t>
        </is>
      </c>
      <c r="R2354" s="256" t="inlineStr"/>
    </row>
    <row r="2355">
      <c r="A2355" s="256" t="inlineStr">
        <is>
          <t>CoQ-PP_26-103</t>
        </is>
      </c>
      <c r="B2355" s="256" t="inlineStr">
        <is>
          <t>reissue — retest</t>
        </is>
      </c>
      <c r="C2355" s="256" t="inlineStr">
        <is>
          <t>PM092501</t>
        </is>
      </c>
      <c r="D2355" s="256" t="inlineStr">
        <is>
          <t>P060062</t>
        </is>
      </c>
      <c r="E2355" s="256" t="inlineStr">
        <is>
          <t>Permanent Marker</t>
        </is>
      </c>
      <c r="F2355" s="256" t="inlineStr">
        <is>
          <t>17.08.2026</t>
        </is>
      </c>
      <c r="G2355" s="256" t="inlineStr">
        <is>
          <t>8</t>
        </is>
      </c>
      <c r="H2355" s="256" t="inlineStr">
        <is>
          <t>Loss on Drying</t>
        </is>
      </c>
      <c r="I2355" s="256" t="inlineStr">
        <is>
          <t>DAB 2018 monograph Cannabis flos, 2.2.32 — loss on drying (CNP, before its Ph. Eur. 3028 accreditation)</t>
        </is>
      </c>
      <c r="J2355" s="256" t="inlineStr">
        <is>
          <t>≤ 12.0%</t>
        </is>
      </c>
      <c r="K2355" s="256" t="inlineStr">
        <is>
          <t>7.97</t>
        </is>
      </c>
      <c r="L2355" s="256" t="inlineStr">
        <is>
          <t>ППК26004</t>
        </is>
      </c>
      <c r="M2355" s="256" t="inlineStr">
        <is>
          <t>21.01.2026</t>
        </is>
      </c>
      <c r="N2355" s="256" t="inlineStr">
        <is>
          <t>UKIM Faculty of Pharmacy — Center for Natural Products</t>
        </is>
      </c>
      <c r="O2355" s="256" t="inlineStr">
        <is>
          <t>08.01.2026</t>
        </is>
      </c>
      <c r="P2355" s="256" t="inlineStr">
        <is>
          <t>carried from the initial testing (CoQ-PP-2026-0005) — covered</t>
        </is>
      </c>
      <c r="Q2355" s="256" t="inlineStr"/>
      <c r="R2355" s="256" t="inlineStr"/>
    </row>
    <row r="2356">
      <c r="A2356" s="256" t="inlineStr">
        <is>
          <t>CoQ-PP_26-103</t>
        </is>
      </c>
      <c r="B2356" s="256" t="inlineStr">
        <is>
          <t>reissue — retest</t>
        </is>
      </c>
      <c r="C2356" s="256" t="inlineStr">
        <is>
          <t>PM092501</t>
        </is>
      </c>
      <c r="D2356" s="256" t="inlineStr">
        <is>
          <t>P060062</t>
        </is>
      </c>
      <c r="E2356" s="256" t="inlineStr">
        <is>
          <t>Permanent Marker</t>
        </is>
      </c>
      <c r="F2356" s="256" t="inlineStr">
        <is>
          <t>17.08.2026</t>
        </is>
      </c>
      <c r="G2356" s="256" t="inlineStr">
        <is>
          <t>9.1</t>
        </is>
      </c>
      <c r="H2356" s="256" t="inlineStr">
        <is>
          <t>TAMC</t>
        </is>
      </c>
      <c r="I2356" s="256" t="inlineStr">
        <is>
          <t>Ph. Eur. 2.6.12 cat. C</t>
        </is>
      </c>
      <c r="J2356" s="256" t="inlineStr">
        <is>
          <t>≤ 10⁵ CFU/g</t>
        </is>
      </c>
      <c r="K2356" s="256" t="inlineStr">
        <is>
          <t>2 × 10³</t>
        </is>
      </c>
      <c r="L2356" s="256" t="inlineStr">
        <is>
          <t>6/0009/26</t>
        </is>
      </c>
      <c r="M2356" s="256" t="inlineStr">
        <is>
          <t>20.01.2026</t>
        </is>
      </c>
      <c r="N2356" s="256" t="inlineStr">
        <is>
          <t>IPH — Institute of Public Health</t>
        </is>
      </c>
      <c r="O2356" s="256" t="inlineStr">
        <is>
          <t>12.01.2025</t>
        </is>
      </c>
      <c r="P2356" s="256" t="inlineStr">
        <is>
          <t>carried from the initial testing (CoQ-PP-2026-0005) — covered</t>
        </is>
      </c>
      <c r="Q2356" s="256" t="inlineStr"/>
      <c r="R2356" s="256" t="inlineStr"/>
    </row>
    <row r="2357">
      <c r="A2357" s="256" t="inlineStr">
        <is>
          <t>CoQ-PP_26-103</t>
        </is>
      </c>
      <c r="B2357" s="256" t="inlineStr">
        <is>
          <t>reissue — retest</t>
        </is>
      </c>
      <c r="C2357" s="256" t="inlineStr">
        <is>
          <t>PM092501</t>
        </is>
      </c>
      <c r="D2357" s="256" t="inlineStr">
        <is>
          <t>P060062</t>
        </is>
      </c>
      <c r="E2357" s="256" t="inlineStr">
        <is>
          <t>Permanent Marker</t>
        </is>
      </c>
      <c r="F2357" s="256" t="inlineStr">
        <is>
          <t>17.08.2026</t>
        </is>
      </c>
      <c r="G2357" s="256" t="inlineStr">
        <is>
          <t>9.2</t>
        </is>
      </c>
      <c r="H2357" s="256" t="inlineStr">
        <is>
          <t>TYMC</t>
        </is>
      </c>
      <c r="I2357" s="256" t="inlineStr">
        <is>
          <t>Ph. Eur. 2.6.12 cat. C</t>
        </is>
      </c>
      <c r="J2357" s="256" t="inlineStr">
        <is>
          <t>≤ 10⁴ CFU/g</t>
        </is>
      </c>
      <c r="K2357" s="256" t="inlineStr">
        <is>
          <t>2.2 × 10³</t>
        </is>
      </c>
      <c r="L2357" s="256" t="inlineStr">
        <is>
          <t>6/0009/26</t>
        </is>
      </c>
      <c r="M2357" s="256" t="inlineStr">
        <is>
          <t>20.01.2026</t>
        </is>
      </c>
      <c r="N2357" s="256" t="inlineStr">
        <is>
          <t>IPH — Institute of Public Health</t>
        </is>
      </c>
      <c r="O2357" s="256" t="inlineStr">
        <is>
          <t>12.01.2025</t>
        </is>
      </c>
      <c r="P2357" s="256" t="inlineStr">
        <is>
          <t>carried from the initial testing (CoQ-PP-2026-0005) — covered</t>
        </is>
      </c>
      <c r="Q2357" s="256" t="inlineStr"/>
      <c r="R2357" s="256" t="inlineStr"/>
    </row>
    <row r="2358">
      <c r="A2358" s="256" t="inlineStr">
        <is>
          <t>CoQ-PP_26-103</t>
        </is>
      </c>
      <c r="B2358" s="256" t="inlineStr">
        <is>
          <t>reissue — retest</t>
        </is>
      </c>
      <c r="C2358" s="256" t="inlineStr">
        <is>
          <t>PM092501</t>
        </is>
      </c>
      <c r="D2358" s="256" t="inlineStr">
        <is>
          <t>P060062</t>
        </is>
      </c>
      <c r="E2358" s="256" t="inlineStr">
        <is>
          <t>Permanent Marker</t>
        </is>
      </c>
      <c r="F2358" s="256" t="inlineStr">
        <is>
          <t>17.08.2026</t>
        </is>
      </c>
      <c r="G2358" s="256" t="inlineStr">
        <is>
          <t>9.3</t>
        </is>
      </c>
      <c r="H2358" s="256" t="inlineStr">
        <is>
          <t>Bile-tolerant gram-neg.</t>
        </is>
      </c>
      <c r="I2358" s="256" t="inlineStr">
        <is>
          <t>Ph. Eur. 2.6.31 cat. C</t>
        </is>
      </c>
      <c r="J2358" s="256" t="inlineStr">
        <is>
          <t>≤ 10⁴ CFU/g</t>
        </is>
      </c>
      <c r="K2358" s="256" t="inlineStr">
        <is>
          <t>&lt; 10</t>
        </is>
      </c>
      <c r="L2358" s="256" t="inlineStr">
        <is>
          <t>6/0009/26</t>
        </is>
      </c>
      <c r="M2358" s="256" t="inlineStr">
        <is>
          <t>20.01.2026</t>
        </is>
      </c>
      <c r="N2358" s="256" t="inlineStr">
        <is>
          <t>IPH — Institute of Public Health</t>
        </is>
      </c>
      <c r="O2358" s="256" t="inlineStr">
        <is>
          <t>12.01.2025</t>
        </is>
      </c>
      <c r="P2358" s="256" t="inlineStr">
        <is>
          <t>carried from the initial testing (CoQ-PP-2026-0005) — covered</t>
        </is>
      </c>
      <c r="Q2358" s="256" t="inlineStr"/>
      <c r="R2358" s="256" t="inlineStr"/>
    </row>
    <row r="2359">
      <c r="A2359" s="256" t="inlineStr">
        <is>
          <t>CoQ-PP_26-103</t>
        </is>
      </c>
      <c r="B2359" s="256" t="inlineStr">
        <is>
          <t>reissue — retest</t>
        </is>
      </c>
      <c r="C2359" s="256" t="inlineStr">
        <is>
          <t>PM092501</t>
        </is>
      </c>
      <c r="D2359" s="256" t="inlineStr">
        <is>
          <t>P060062</t>
        </is>
      </c>
      <c r="E2359" s="256" t="inlineStr">
        <is>
          <t>Permanent Marker</t>
        </is>
      </c>
      <c r="F2359" s="256" t="inlineStr">
        <is>
          <t>17.08.2026</t>
        </is>
      </c>
      <c r="G2359" s="256" t="inlineStr">
        <is>
          <t>9.4</t>
        </is>
      </c>
      <c r="H2359" s="256" t="inlineStr">
        <is>
          <t>Salmonella</t>
        </is>
      </c>
      <c r="I2359" s="256" t="inlineStr">
        <is>
          <t>Ph. Eur. 2.6.31 cat. C</t>
        </is>
      </c>
      <c r="J2359" s="256" t="inlineStr">
        <is>
          <t>Absence | Отсуство / 25 g</t>
        </is>
      </c>
      <c r="K2359" s="256" t="inlineStr">
        <is>
          <t>Absent | Отсутна</t>
        </is>
      </c>
      <c r="L2359" s="256" t="inlineStr">
        <is>
          <t>6/0009/26</t>
        </is>
      </c>
      <c r="M2359" s="256" t="inlineStr">
        <is>
          <t>20.01.2026</t>
        </is>
      </c>
      <c r="N2359" s="256" t="inlineStr">
        <is>
          <t>IPH — Institute of Public Health</t>
        </is>
      </c>
      <c r="O2359" s="256" t="inlineStr">
        <is>
          <t>12.01.2025</t>
        </is>
      </c>
      <c r="P2359" s="256" t="inlineStr">
        <is>
          <t>carried from the initial testing (CoQ-PP-2026-0005) — covered</t>
        </is>
      </c>
      <c r="Q2359" s="256" t="inlineStr"/>
      <c r="R2359" s="256" t="inlineStr"/>
    </row>
    <row r="2360">
      <c r="A2360" s="256" t="inlineStr">
        <is>
          <t>CoQ-PP_26-103</t>
        </is>
      </c>
      <c r="B2360" s="256" t="inlineStr">
        <is>
          <t>reissue — retest</t>
        </is>
      </c>
      <c r="C2360" s="256" t="inlineStr">
        <is>
          <t>PM092501</t>
        </is>
      </c>
      <c r="D2360" s="256" t="inlineStr">
        <is>
          <t>P060062</t>
        </is>
      </c>
      <c r="E2360" s="256" t="inlineStr">
        <is>
          <t>Permanent Marker</t>
        </is>
      </c>
      <c r="F2360" s="256" t="inlineStr">
        <is>
          <t>17.08.2026</t>
        </is>
      </c>
      <c r="G2360" s="256" t="inlineStr">
        <is>
          <t>9.5</t>
        </is>
      </c>
      <c r="H2360" s="256" t="inlineStr">
        <is>
          <t>Escherichia coli</t>
        </is>
      </c>
      <c r="I2360" s="256" t="inlineStr">
        <is>
          <t>Ph. Eur. 2.6.13 cat. C</t>
        </is>
      </c>
      <c r="J2360" s="256" t="inlineStr">
        <is>
          <t>Absence | Отсуство / 1 g</t>
        </is>
      </c>
      <c r="K2360" s="256" t="inlineStr">
        <is>
          <t>Absent | Отсутна</t>
        </is>
      </c>
      <c r="L2360" s="256" t="inlineStr">
        <is>
          <t>6/0009/26</t>
        </is>
      </c>
      <c r="M2360" s="256" t="inlineStr">
        <is>
          <t>20.01.2026</t>
        </is>
      </c>
      <c r="N2360" s="256" t="inlineStr">
        <is>
          <t>IPH — Institute of Public Health</t>
        </is>
      </c>
      <c r="O2360" s="256" t="inlineStr">
        <is>
          <t>12.01.2025</t>
        </is>
      </c>
      <c r="P2360" s="256" t="inlineStr">
        <is>
          <t>carried from the initial testing (CoQ-PP-2026-0005) — covered</t>
        </is>
      </c>
      <c r="Q2360" s="256" t="inlineStr"/>
      <c r="R2360" s="256" t="inlineStr"/>
    </row>
    <row r="2361">
      <c r="A2361" s="256" t="inlineStr">
        <is>
          <t>CoQ-PP_26-103</t>
        </is>
      </c>
      <c r="B2361" s="256" t="inlineStr">
        <is>
          <t>reissue — retest</t>
        </is>
      </c>
      <c r="C2361" s="256" t="inlineStr">
        <is>
          <t>PM092501</t>
        </is>
      </c>
      <c r="D2361" s="256" t="inlineStr">
        <is>
          <t>P060062</t>
        </is>
      </c>
      <c r="E2361" s="256" t="inlineStr">
        <is>
          <t>Permanent Marker</t>
        </is>
      </c>
      <c r="F2361" s="256" t="inlineStr">
        <is>
          <t>17.08.2026</t>
        </is>
      </c>
      <c r="G2361" s="256" t="inlineStr">
        <is>
          <t>9.6</t>
        </is>
      </c>
      <c r="H2361" s="256" t="inlineStr">
        <is>
          <t>Pseudomonas aeruginosa</t>
        </is>
      </c>
      <c r="I2361" s="256" t="inlineStr">
        <is>
          <t>Ph. Eur. 2.6.13 cat. C</t>
        </is>
      </c>
      <c r="J2361" s="256" t="inlineStr">
        <is>
          <t>Absence | Отсуство / 1 g</t>
        </is>
      </c>
      <c r="K2361" s="260" t="inlineStr">
        <is>
          <t>upon request — not required for release</t>
        </is>
      </c>
      <c r="L2361" s="256" t="inlineStr">
        <is>
          <t>—</t>
        </is>
      </c>
      <c r="M2361" s="256" t="inlineStr">
        <is>
          <t>—</t>
        </is>
      </c>
      <c r="N2361" s="256" t="inlineStr">
        <is>
          <t>—</t>
        </is>
      </c>
      <c r="O2361" s="256" t="inlineStr">
        <is>
          <t>—</t>
        </is>
      </c>
      <c r="P2361" s="256" t="inlineStr">
        <is>
          <t>upon request — not required for release</t>
        </is>
      </c>
      <c r="Q2361" s="256" t="inlineStr"/>
      <c r="R2361" s="256" t="inlineStr"/>
    </row>
    <row r="2362">
      <c r="A2362" s="256" t="inlineStr">
        <is>
          <t>CoQ-PP_26-103</t>
        </is>
      </c>
      <c r="B2362" s="256" t="inlineStr">
        <is>
          <t>reissue — retest</t>
        </is>
      </c>
      <c r="C2362" s="256" t="inlineStr">
        <is>
          <t>PM092501</t>
        </is>
      </c>
      <c r="D2362" s="256" t="inlineStr">
        <is>
          <t>P060062</t>
        </is>
      </c>
      <c r="E2362" s="256" t="inlineStr">
        <is>
          <t>Permanent Marker</t>
        </is>
      </c>
      <c r="F2362" s="256" t="inlineStr">
        <is>
          <t>17.08.2026</t>
        </is>
      </c>
      <c r="G2362" s="256" t="inlineStr">
        <is>
          <t>9.7</t>
        </is>
      </c>
      <c r="H2362" s="256" t="inlineStr">
        <is>
          <t>Staphylococcus aureus</t>
        </is>
      </c>
      <c r="I2362" s="256" t="inlineStr">
        <is>
          <t>Ph. Eur. 2.6.13 cat. C</t>
        </is>
      </c>
      <c r="J2362" s="256" t="inlineStr">
        <is>
          <t>Absence | Отсуство / 1 g</t>
        </is>
      </c>
      <c r="K2362" s="260" t="inlineStr">
        <is>
          <t>upon request — not required for release</t>
        </is>
      </c>
      <c r="L2362" s="256" t="inlineStr">
        <is>
          <t>—</t>
        </is>
      </c>
      <c r="M2362" s="256" t="inlineStr">
        <is>
          <t>—</t>
        </is>
      </c>
      <c r="N2362" s="256" t="inlineStr">
        <is>
          <t>—</t>
        </is>
      </c>
      <c r="O2362" s="256" t="inlineStr">
        <is>
          <t>—</t>
        </is>
      </c>
      <c r="P2362" s="256" t="inlineStr">
        <is>
          <t>upon request — not required for release</t>
        </is>
      </c>
      <c r="Q2362" s="256" t="inlineStr"/>
      <c r="R2362" s="256" t="inlineStr"/>
    </row>
    <row r="2363">
      <c r="A2363" s="256" t="inlineStr">
        <is>
          <t>CoQ-PP_26-103</t>
        </is>
      </c>
      <c r="B2363" s="256" t="inlineStr">
        <is>
          <t>reissue — retest</t>
        </is>
      </c>
      <c r="C2363" s="256" t="inlineStr">
        <is>
          <t>PM092501</t>
        </is>
      </c>
      <c r="D2363" s="256" t="inlineStr">
        <is>
          <t>P060062</t>
        </is>
      </c>
      <c r="E2363" s="256" t="inlineStr">
        <is>
          <t>Permanent Marker</t>
        </is>
      </c>
      <c r="F2363" s="256" t="inlineStr">
        <is>
          <t>17.08.2026</t>
        </is>
      </c>
      <c r="G2363" s="256" t="inlineStr">
        <is>
          <t>10.1</t>
        </is>
      </c>
      <c r="H2363" s="256" t="inlineStr">
        <is>
          <t>Aflatoxin B₁</t>
        </is>
      </c>
      <c r="I2363" s="256" t="inlineStr">
        <is>
          <t>Ph. Eur. 2.8.18 (HPLC-FLD)</t>
        </is>
      </c>
      <c r="J2363" s="256" t="inlineStr">
        <is>
          <t>≤ 2 µg/kg</t>
        </is>
      </c>
      <c r="K2363" s="256" t="inlineStr">
        <is>
          <t>ND</t>
        </is>
      </c>
      <c r="L2363" s="256" t="inlineStr">
        <is>
          <t>197-20-М/26</t>
        </is>
      </c>
      <c r="M2363" s="256" t="inlineStr">
        <is>
          <t>10.08.2026</t>
        </is>
      </c>
      <c r="N2363" s="256" t="inlineStr">
        <is>
          <t>Farmahem</t>
        </is>
      </c>
      <c r="O2363" s="256" t="inlineStr">
        <is>
          <t>29.07.2026</t>
        </is>
      </c>
      <c r="P2363" s="256" t="inlineStr">
        <is>
          <t>covered</t>
        </is>
      </c>
      <c r="Q2363" s="256" t="inlineStr"/>
      <c r="R2363" s="256" t="inlineStr"/>
    </row>
    <row r="2364">
      <c r="A2364" s="256" t="inlineStr">
        <is>
          <t>CoQ-PP_26-103</t>
        </is>
      </c>
      <c r="B2364" s="256" t="inlineStr">
        <is>
          <t>reissue — retest</t>
        </is>
      </c>
      <c r="C2364" s="256" t="inlineStr">
        <is>
          <t>PM092501</t>
        </is>
      </c>
      <c r="D2364" s="256" t="inlineStr">
        <is>
          <t>P060062</t>
        </is>
      </c>
      <c r="E2364" s="256" t="inlineStr">
        <is>
          <t>Permanent Marker</t>
        </is>
      </c>
      <c r="F2364" s="256" t="inlineStr">
        <is>
          <t>17.08.2026</t>
        </is>
      </c>
      <c r="G2364" s="256" t="inlineStr">
        <is>
          <t>10.2</t>
        </is>
      </c>
      <c r="H2364" s="256" t="inlineStr">
        <is>
          <t>Aflatoxins ∑</t>
        </is>
      </c>
      <c r="I2364" s="256" t="inlineStr">
        <is>
          <t>Ph. Eur. 2.8.18 (HPLC-FLD)</t>
        </is>
      </c>
      <c r="J2364" s="256" t="inlineStr">
        <is>
          <t>≤ 4 µg/kg</t>
        </is>
      </c>
      <c r="K2364" s="256" t="inlineStr">
        <is>
          <t>ND</t>
        </is>
      </c>
      <c r="L2364" s="256" t="inlineStr">
        <is>
          <t>197-20-М/26</t>
        </is>
      </c>
      <c r="M2364" s="256" t="inlineStr">
        <is>
          <t>10.08.2026</t>
        </is>
      </c>
      <c r="N2364" s="256" t="inlineStr">
        <is>
          <t>Farmahem</t>
        </is>
      </c>
      <c r="O2364" s="256" t="inlineStr">
        <is>
          <t>29.07.2026</t>
        </is>
      </c>
      <c r="P2364" s="256" t="inlineStr">
        <is>
          <t>covered</t>
        </is>
      </c>
      <c r="Q2364" s="256" t="inlineStr"/>
      <c r="R2364" s="256" t="inlineStr"/>
    </row>
    <row r="2365">
      <c r="A2365" s="256" t="inlineStr">
        <is>
          <t>CoQ-PP_26-103</t>
        </is>
      </c>
      <c r="B2365" s="256" t="inlineStr">
        <is>
          <t>reissue — retest</t>
        </is>
      </c>
      <c r="C2365" s="256" t="inlineStr">
        <is>
          <t>PM092501</t>
        </is>
      </c>
      <c r="D2365" s="256" t="inlineStr">
        <is>
          <t>P060062</t>
        </is>
      </c>
      <c r="E2365" s="256" t="inlineStr">
        <is>
          <t>Permanent Marker</t>
        </is>
      </c>
      <c r="F2365" s="256" t="inlineStr">
        <is>
          <t>17.08.2026</t>
        </is>
      </c>
      <c r="G2365" s="256" t="inlineStr">
        <is>
          <t>10.3</t>
        </is>
      </c>
      <c r="H2365" s="256" t="inlineStr">
        <is>
          <t>Ochratoxin A</t>
        </is>
      </c>
      <c r="I2365" s="256" t="inlineStr">
        <is>
          <t>Ph. Eur. 2.8.22 (HPLC-FLD)</t>
        </is>
      </c>
      <c r="J2365" s="256" t="inlineStr">
        <is>
          <t>≤ 20 µg/kg</t>
        </is>
      </c>
      <c r="K2365" s="256" t="inlineStr">
        <is>
          <t>ND</t>
        </is>
      </c>
      <c r="L2365" s="256" t="inlineStr">
        <is>
          <t>197-20-М/26</t>
        </is>
      </c>
      <c r="M2365" s="256" t="inlineStr">
        <is>
          <t>10.08.2026</t>
        </is>
      </c>
      <c r="N2365" s="256" t="inlineStr">
        <is>
          <t>Farmahem</t>
        </is>
      </c>
      <c r="O2365" s="256" t="inlineStr">
        <is>
          <t>29.07.2026</t>
        </is>
      </c>
      <c r="P2365" s="256" t="inlineStr">
        <is>
          <t>covered</t>
        </is>
      </c>
      <c r="Q2365" s="256" t="inlineStr"/>
      <c r="R2365" s="256" t="inlineStr"/>
    </row>
    <row r="2366">
      <c r="A2366" s="256" t="inlineStr">
        <is>
          <t>CoQ-PP_26-103</t>
        </is>
      </c>
      <c r="B2366" s="256" t="inlineStr">
        <is>
          <t>reissue — retest</t>
        </is>
      </c>
      <c r="C2366" s="256" t="inlineStr">
        <is>
          <t>PM092501</t>
        </is>
      </c>
      <c r="D2366" s="256" t="inlineStr">
        <is>
          <t>P060062</t>
        </is>
      </c>
      <c r="E2366" s="256" t="inlineStr">
        <is>
          <t>Permanent Marker</t>
        </is>
      </c>
      <c r="F2366" s="256" t="inlineStr">
        <is>
          <t>17.08.2026</t>
        </is>
      </c>
      <c r="G2366" s="256" t="inlineStr">
        <is>
          <t>11.1</t>
        </is>
      </c>
      <c r="H2366" s="256" t="inlineStr">
        <is>
          <t>Lead (Pb)</t>
        </is>
      </c>
      <c r="I2366" s="256" t="inlineStr">
        <is>
          <t>Ph. Eur. 2.4.27 (ICP-MS)</t>
        </is>
      </c>
      <c r="J2366" s="256" t="inlineStr">
        <is>
          <t>≤ 0.5 mg/kg</t>
        </is>
      </c>
      <c r="K2366" s="256" t="inlineStr">
        <is>
          <t>0.03</t>
        </is>
      </c>
      <c r="L2366" s="256" t="inlineStr">
        <is>
          <t>83/2026</t>
        </is>
      </c>
      <c r="M2366" s="256" t="inlineStr">
        <is>
          <t>02.02.2026</t>
        </is>
      </c>
      <c r="N2366" s="256" t="inlineStr">
        <is>
          <t>IPH — Institute of Public Health</t>
        </is>
      </c>
      <c r="O2366" s="256" t="inlineStr">
        <is>
          <t>08.01.2026</t>
        </is>
      </c>
      <c r="P2366" s="256" t="inlineStr">
        <is>
          <t>carried from the initial testing (CoQ-PP-2026-0005) — covered</t>
        </is>
      </c>
      <c r="Q2366" s="256" t="inlineStr"/>
      <c r="R2366" s="256" t="inlineStr"/>
    </row>
    <row r="2367">
      <c r="A2367" s="256" t="inlineStr">
        <is>
          <t>CoQ-PP_26-103</t>
        </is>
      </c>
      <c r="B2367" s="256" t="inlineStr">
        <is>
          <t>reissue — retest</t>
        </is>
      </c>
      <c r="C2367" s="256" t="inlineStr">
        <is>
          <t>PM092501</t>
        </is>
      </c>
      <c r="D2367" s="256" t="inlineStr">
        <is>
          <t>P060062</t>
        </is>
      </c>
      <c r="E2367" s="256" t="inlineStr">
        <is>
          <t>Permanent Marker</t>
        </is>
      </c>
      <c r="F2367" s="256" t="inlineStr">
        <is>
          <t>17.08.2026</t>
        </is>
      </c>
      <c r="G2367" s="256" t="inlineStr">
        <is>
          <t>11.2</t>
        </is>
      </c>
      <c r="H2367" s="256" t="inlineStr">
        <is>
          <t>Cadmium (Cd)</t>
        </is>
      </c>
      <c r="I2367" s="256" t="inlineStr">
        <is>
          <t>Ph. Eur. 2.4.27 (ICP-MS)</t>
        </is>
      </c>
      <c r="J2367" s="256" t="inlineStr">
        <is>
          <t>≤ 0.3 mg/kg</t>
        </is>
      </c>
      <c r="K2367" s="256" t="inlineStr">
        <is>
          <t>ND</t>
        </is>
      </c>
      <c r="L2367" s="256" t="inlineStr">
        <is>
          <t>83/2026</t>
        </is>
      </c>
      <c r="M2367" s="256" t="inlineStr">
        <is>
          <t>02.02.2026</t>
        </is>
      </c>
      <c r="N2367" s="256" t="inlineStr">
        <is>
          <t>IPH — Institute of Public Health</t>
        </is>
      </c>
      <c r="O2367" s="256" t="inlineStr">
        <is>
          <t>08.01.2026</t>
        </is>
      </c>
      <c r="P2367" s="256" t="inlineStr">
        <is>
          <t>carried from the initial testing (CoQ-PP-2026-0005) — covered</t>
        </is>
      </c>
      <c r="Q2367" s="256" t="inlineStr"/>
      <c r="R2367" s="256" t="inlineStr"/>
    </row>
    <row r="2368">
      <c r="A2368" s="256" t="inlineStr">
        <is>
          <t>CoQ-PP_26-103</t>
        </is>
      </c>
      <c r="B2368" s="256" t="inlineStr">
        <is>
          <t>reissue — retest</t>
        </is>
      </c>
      <c r="C2368" s="256" t="inlineStr">
        <is>
          <t>PM092501</t>
        </is>
      </c>
      <c r="D2368" s="256" t="inlineStr">
        <is>
          <t>P060062</t>
        </is>
      </c>
      <c r="E2368" s="256" t="inlineStr">
        <is>
          <t>Permanent Marker</t>
        </is>
      </c>
      <c r="F2368" s="256" t="inlineStr">
        <is>
          <t>17.08.2026</t>
        </is>
      </c>
      <c r="G2368" s="256" t="inlineStr">
        <is>
          <t>11.3</t>
        </is>
      </c>
      <c r="H2368" s="256" t="inlineStr">
        <is>
          <t>Arsenic (As)</t>
        </is>
      </c>
      <c r="I2368" s="256" t="inlineStr">
        <is>
          <t>Ph. Eur. 2.4.27 (ICP-MS)</t>
        </is>
      </c>
      <c r="J2368" s="256" t="inlineStr">
        <is>
          <t>≤ 0.2 mg/kg</t>
        </is>
      </c>
      <c r="K2368" s="256" t="inlineStr">
        <is>
          <t>ND</t>
        </is>
      </c>
      <c r="L2368" s="256" t="inlineStr">
        <is>
          <t>83/2026</t>
        </is>
      </c>
      <c r="M2368" s="256" t="inlineStr">
        <is>
          <t>02.02.2026</t>
        </is>
      </c>
      <c r="N2368" s="256" t="inlineStr">
        <is>
          <t>IPH — Institute of Public Health</t>
        </is>
      </c>
      <c r="O2368" s="256" t="inlineStr">
        <is>
          <t>08.01.2026</t>
        </is>
      </c>
      <c r="P2368" s="256" t="inlineStr">
        <is>
          <t>carried from the initial testing (CoQ-PP-2026-0005) — covered</t>
        </is>
      </c>
      <c r="Q2368" s="256" t="inlineStr"/>
      <c r="R2368" s="256" t="inlineStr"/>
    </row>
    <row r="2369">
      <c r="A2369" s="256" t="inlineStr">
        <is>
          <t>CoQ-PP_26-103</t>
        </is>
      </c>
      <c r="B2369" s="256" t="inlineStr">
        <is>
          <t>reissue — retest</t>
        </is>
      </c>
      <c r="C2369" s="256" t="inlineStr">
        <is>
          <t>PM092501</t>
        </is>
      </c>
      <c r="D2369" s="256" t="inlineStr">
        <is>
          <t>P060062</t>
        </is>
      </c>
      <c r="E2369" s="256" t="inlineStr">
        <is>
          <t>Permanent Marker</t>
        </is>
      </c>
      <c r="F2369" s="256" t="inlineStr">
        <is>
          <t>17.08.2026</t>
        </is>
      </c>
      <c r="G2369" s="256" t="inlineStr">
        <is>
          <t>11.4</t>
        </is>
      </c>
      <c r="H2369" s="256" t="inlineStr">
        <is>
          <t>Mercury (Hg)</t>
        </is>
      </c>
      <c r="I2369" s="256" t="inlineStr">
        <is>
          <t>Ph. Eur. 2.4.27 (ICP-MS)</t>
        </is>
      </c>
      <c r="J2369" s="256" t="inlineStr">
        <is>
          <t>≤ 0.1 mg/kg</t>
        </is>
      </c>
      <c r="K2369" s="256" t="inlineStr">
        <is>
          <t>ND</t>
        </is>
      </c>
      <c r="L2369" s="256" t="inlineStr">
        <is>
          <t>83/2026</t>
        </is>
      </c>
      <c r="M2369" s="256" t="inlineStr">
        <is>
          <t>02.02.2026</t>
        </is>
      </c>
      <c r="N2369" s="256" t="inlineStr">
        <is>
          <t>IPH — Institute of Public Health</t>
        </is>
      </c>
      <c r="O2369" s="256" t="inlineStr">
        <is>
          <t>08.01.2026</t>
        </is>
      </c>
      <c r="P2369" s="256" t="inlineStr">
        <is>
          <t>carried from the initial testing (CoQ-PP-2026-0005) — covered</t>
        </is>
      </c>
      <c r="Q2369" s="256" t="inlineStr"/>
      <c r="R2369" s="256" t="inlineStr"/>
    </row>
    <row r="2370">
      <c r="A2370" s="256" t="inlineStr">
        <is>
          <t>CoQ-PP_26-103</t>
        </is>
      </c>
      <c r="B2370" s="256" t="inlineStr">
        <is>
          <t>reissue — retest</t>
        </is>
      </c>
      <c r="C2370" s="256" t="inlineStr">
        <is>
          <t>PM092501</t>
        </is>
      </c>
      <c r="D2370" s="256" t="inlineStr">
        <is>
          <t>P060062</t>
        </is>
      </c>
      <c r="E2370" s="256" t="inlineStr">
        <is>
          <t>Permanent Marker</t>
        </is>
      </c>
      <c r="F2370" s="256" t="inlineStr">
        <is>
          <t>17.08.2026</t>
        </is>
      </c>
      <c r="G2370" s="256" t="inlineStr">
        <is>
          <t>12</t>
        </is>
      </c>
      <c r="H2370" s="256" t="inlineStr">
        <is>
          <t>Pesticide Residues</t>
        </is>
      </c>
      <c r="I2370" s="256" t="inlineStr">
        <is>
          <t>Ph. Eur. 2.8.13 (LC-MS/MS) · CUMCS Equivalency</t>
        </is>
      </c>
      <c r="J2370" s="256" t="inlineStr">
        <is>
          <t>≤ LOQ as per Ph. Eur. 2.8.13 · ≤ LOQ as per CUMCS Equivalency</t>
        </is>
      </c>
      <c r="K2370" s="256" t="inlineStr">
        <is>
          <t>ND</t>
        </is>
      </c>
      <c r="L2370" s="256" t="inlineStr">
        <is>
          <t>83/2026</t>
        </is>
      </c>
      <c r="M2370" s="256" t="inlineStr">
        <is>
          <t>02.02.2026</t>
        </is>
      </c>
      <c r="N2370" s="256" t="inlineStr">
        <is>
          <t>IPH — Institute of Public Health</t>
        </is>
      </c>
      <c r="O2370" s="256" t="inlineStr">
        <is>
          <t>08.01.2026</t>
        </is>
      </c>
      <c r="P2370" s="256" t="inlineStr">
        <is>
          <t>carried from the initial testing (CoQ-PP-2026-0005) — covered</t>
        </is>
      </c>
      <c r="Q2370" s="256" t="inlineStr"/>
      <c r="R2370" s="256" t="inlineStr"/>
    </row>
    <row r="2371">
      <c r="A2371" s="256" t="inlineStr">
        <is>
          <t>CoQ-PP_26-104</t>
        </is>
      </c>
      <c r="B2371" s="256" t="inlineStr">
        <is>
          <t>reissue — retest</t>
        </is>
      </c>
      <c r="C2371" s="256" t="inlineStr">
        <is>
          <t>SCR012603</t>
        </is>
      </c>
      <c r="D2371" s="256" t="inlineStr">
        <is>
          <t>P060382</t>
        </is>
      </c>
      <c r="E2371" s="256" t="inlineStr">
        <is>
          <t>Scrambler</t>
        </is>
      </c>
      <c r="F2371" s="256" t="inlineStr">
        <is>
          <t>17.08.2026</t>
        </is>
      </c>
      <c r="G2371" s="256" t="inlineStr">
        <is>
          <t>1</t>
        </is>
      </c>
      <c r="H2371" s="256" t="inlineStr">
        <is>
          <t>Identification A, Appearance · Macroscopic</t>
        </is>
      </c>
      <c r="I2371" s="256" t="inlineStr">
        <is>
          <t>Ph. Eur. mon. 3028</t>
        </is>
      </c>
      <c r="J2371" s="256" t="inlineStr">
        <is>
          <t>Conforms to the monograph for Cannabis flos (07/2024:3028) in Ph. Eur. 11.0 | Согласно монографија за Cannabis flos (07/2024:3028) во Ph. Eur. 11.0</t>
        </is>
      </c>
      <c r="K2371" s="256" t="inlineStr">
        <is>
          <t>Conforms | Одговара</t>
        </is>
      </c>
      <c r="L2371" s="256" t="inlineStr">
        <is>
          <t>iCoA-PP_26-119</t>
        </is>
      </c>
      <c r="M2371" s="256" t="inlineStr">
        <is>
          <t>27.07.2026</t>
        </is>
      </c>
      <c r="N2371" s="256" t="inlineStr">
        <is>
          <t>Purely Plant GmbH (in-house)</t>
        </is>
      </c>
      <c r="O2371" s="256" t="inlineStr">
        <is>
          <t>—</t>
        </is>
      </c>
      <c r="P2371" s="256" t="inlineStr">
        <is>
          <t>covered</t>
        </is>
      </c>
      <c r="Q2371" s="256" t="inlineStr">
        <is>
          <t>Farmahem — Ident A + B + C with the Assay, at retest</t>
        </is>
      </c>
      <c r="R2371" s="256" t="inlineStr"/>
    </row>
    <row r="2372">
      <c r="A2372" s="256" t="inlineStr">
        <is>
          <t>CoQ-PP_26-104</t>
        </is>
      </c>
      <c r="B2372" s="256" t="inlineStr">
        <is>
          <t>reissue — retest</t>
        </is>
      </c>
      <c r="C2372" s="256" t="inlineStr">
        <is>
          <t>SCR012603</t>
        </is>
      </c>
      <c r="D2372" s="256" t="inlineStr">
        <is>
          <t>P060382</t>
        </is>
      </c>
      <c r="E2372" s="256" t="inlineStr">
        <is>
          <t>Scrambler</t>
        </is>
      </c>
      <c r="F2372" s="256" t="inlineStr">
        <is>
          <t>17.08.2026</t>
        </is>
      </c>
      <c r="G2372" s="256" t="inlineStr">
        <is>
          <t>2</t>
        </is>
      </c>
      <c r="H2372" s="256" t="inlineStr">
        <is>
          <t>Identification B · Microscopic</t>
        </is>
      </c>
      <c r="I2372" s="256" t="inlineStr">
        <is>
          <t>Ph. Eur. 2.8.23 (microscopy)</t>
        </is>
      </c>
      <c r="J2372" s="256" t="inlineStr">
        <is>
          <t>Conforms to the monograph for Cannabis flos (07/2024:3028) in Ph. Eur. 11.0 | Согласно монографија за Cannabis flos (07/2024:3028) во Ph. Eur. 11.0</t>
        </is>
      </c>
      <c r="K2372" s="256" t="inlineStr">
        <is>
          <t>Conforms | Одговара</t>
        </is>
      </c>
      <c r="L2372" s="256" t="inlineStr">
        <is>
          <t>iCoA-PP_26-119</t>
        </is>
      </c>
      <c r="M2372" s="256" t="inlineStr">
        <is>
          <t>27.07.2026</t>
        </is>
      </c>
      <c r="N2372" s="256" t="inlineStr">
        <is>
          <t>Purely Plant GmbH (in-house)</t>
        </is>
      </c>
      <c r="O2372" s="256" t="inlineStr">
        <is>
          <t>—</t>
        </is>
      </c>
      <c r="P2372" s="256" t="inlineStr">
        <is>
          <t>covered</t>
        </is>
      </c>
      <c r="Q2372" s="256" t="inlineStr">
        <is>
          <t>Farmahem — Ident A + B + C with the Assay, at retest</t>
        </is>
      </c>
      <c r="R2372" s="256" t="inlineStr"/>
    </row>
    <row r="2373">
      <c r="A2373" s="256" t="inlineStr">
        <is>
          <t>CoQ-PP_26-104</t>
        </is>
      </c>
      <c r="B2373" s="256" t="inlineStr">
        <is>
          <t>reissue — retest</t>
        </is>
      </c>
      <c r="C2373" s="256" t="inlineStr">
        <is>
          <t>SCR012603</t>
        </is>
      </c>
      <c r="D2373" s="256" t="inlineStr">
        <is>
          <t>P060382</t>
        </is>
      </c>
      <c r="E2373" s="256" t="inlineStr">
        <is>
          <t>Scrambler</t>
        </is>
      </c>
      <c r="F2373" s="256" t="inlineStr">
        <is>
          <t>17.08.2026</t>
        </is>
      </c>
      <c r="G2373" s="256" t="inlineStr">
        <is>
          <t>3</t>
        </is>
      </c>
      <c r="H2373" s="256" t="inlineStr">
        <is>
          <t>Identification C · HPLC/HPTLC</t>
        </is>
      </c>
      <c r="I2373" s="256" t="inlineStr">
        <is>
          <t>Ph. Eur. 2.2.29 (3028)</t>
        </is>
      </c>
      <c r="J2373" s="256" t="inlineStr">
        <is>
          <t>Conforms to the monograph for Cannabis flos (07/2024:3028) in Ph. Eur. 11.0 | Согласно монографија за Cannabis flos (07/2024:3028) во Ph. Eur. 11.0</t>
        </is>
      </c>
      <c r="K2373" s="256" t="inlineStr">
        <is>
          <t>Conforms | Одговара</t>
        </is>
      </c>
      <c r="L2373" s="256" t="inlineStr">
        <is>
          <t>197-21-К/26</t>
        </is>
      </c>
      <c r="M2373" s="256" t="inlineStr">
        <is>
          <t>07.08.2026</t>
        </is>
      </c>
      <c r="N2373" s="256" t="inlineStr">
        <is>
          <t>Farmahem</t>
        </is>
      </c>
      <c r="O2373" s="256" t="inlineStr">
        <is>
          <t>27.07.2026</t>
        </is>
      </c>
      <c r="P2373" s="256" t="inlineStr">
        <is>
          <t>covered</t>
        </is>
      </c>
      <c r="Q2373" s="256" t="inlineStr"/>
      <c r="R2373" s="256" t="inlineStr"/>
    </row>
    <row r="2374">
      <c r="A2374" s="256" t="inlineStr">
        <is>
          <t>CoQ-PP_26-104</t>
        </is>
      </c>
      <c r="B2374" s="256" t="inlineStr">
        <is>
          <t>reissue — retest</t>
        </is>
      </c>
      <c r="C2374" s="256" t="inlineStr">
        <is>
          <t>SCR012603</t>
        </is>
      </c>
      <c r="D2374" s="256" t="inlineStr">
        <is>
          <t>P060382</t>
        </is>
      </c>
      <c r="E2374" s="256" t="inlineStr">
        <is>
          <t>Scrambler</t>
        </is>
      </c>
      <c r="F2374" s="256" t="inlineStr">
        <is>
          <t>17.08.2026</t>
        </is>
      </c>
      <c r="G2374" s="256" t="inlineStr">
        <is>
          <t>4</t>
        </is>
      </c>
      <c r="H2374" s="256" t="inlineStr">
        <is>
          <t>Assay — Total Δ⁹-THC</t>
        </is>
      </c>
      <c r="I2374" s="256" t="inlineStr">
        <is>
          <t>Ph. Eur. 2.2.29 (HPLC)</t>
        </is>
      </c>
      <c r="J2374" s="256" t="inlineStr">
        <is>
          <t>16.20 – 19.79 %  (grade II, nominal 18.00 ± 1.80)</t>
        </is>
      </c>
      <c r="K2374" s="256" t="inlineStr">
        <is>
          <t>17.84</t>
        </is>
      </c>
      <c r="L2374" s="256" t="inlineStr">
        <is>
          <t>197-21-К/26</t>
        </is>
      </c>
      <c r="M2374" s="256" t="inlineStr">
        <is>
          <t>07.08.2026</t>
        </is>
      </c>
      <c r="N2374" s="256" t="inlineStr">
        <is>
          <t>Farmahem</t>
        </is>
      </c>
      <c r="O2374" s="256" t="inlineStr">
        <is>
          <t>27.07.2026</t>
        </is>
      </c>
      <c r="P2374" s="256" t="inlineStr">
        <is>
          <t>covered</t>
        </is>
      </c>
      <c r="Q2374" s="256" t="inlineStr"/>
      <c r="R2374" s="256" t="inlineStr"/>
    </row>
    <row r="2375">
      <c r="A2375" s="256" t="inlineStr">
        <is>
          <t>CoQ-PP_26-104</t>
        </is>
      </c>
      <c r="B2375" s="256" t="inlineStr">
        <is>
          <t>reissue — retest</t>
        </is>
      </c>
      <c r="C2375" s="256" t="inlineStr">
        <is>
          <t>SCR012603</t>
        </is>
      </c>
      <c r="D2375" s="256" t="inlineStr">
        <is>
          <t>P060382</t>
        </is>
      </c>
      <c r="E2375" s="256" t="inlineStr">
        <is>
          <t>Scrambler</t>
        </is>
      </c>
      <c r="F2375" s="256" t="inlineStr">
        <is>
          <t>17.08.2026</t>
        </is>
      </c>
      <c r="G2375" s="256" t="inlineStr">
        <is>
          <t>5</t>
        </is>
      </c>
      <c r="H2375" s="256" t="inlineStr">
        <is>
          <t>Assay — Total CBD</t>
        </is>
      </c>
      <c r="I2375" s="256" t="inlineStr">
        <is>
          <t>Ph. Eur. 2.2.29 (HPLC) · CBD + CBDA x 0.877</t>
        </is>
      </c>
      <c r="J2375" s="256" t="inlineStr">
        <is>
          <t>≤ 1.0%, w/w</t>
        </is>
      </c>
      <c r="K2375" s="256" t="inlineStr">
        <is>
          <t>&lt; LOQ</t>
        </is>
      </c>
      <c r="L2375" s="256" t="inlineStr">
        <is>
          <t>197-21-К/26</t>
        </is>
      </c>
      <c r="M2375" s="256" t="inlineStr">
        <is>
          <t>07.08.2026</t>
        </is>
      </c>
      <c r="N2375" s="256" t="inlineStr">
        <is>
          <t>Farmahem</t>
        </is>
      </c>
      <c r="O2375" s="256" t="inlineStr">
        <is>
          <t>27.07.2026</t>
        </is>
      </c>
      <c r="P2375" s="256" t="inlineStr">
        <is>
          <t>covered</t>
        </is>
      </c>
      <c r="Q2375" s="256" t="inlineStr"/>
      <c r="R2375" s="256" t="inlineStr"/>
    </row>
    <row r="2376">
      <c r="A2376" s="256" t="inlineStr">
        <is>
          <t>CoQ-PP_26-104</t>
        </is>
      </c>
      <c r="B2376" s="256" t="inlineStr">
        <is>
          <t>reissue — retest</t>
        </is>
      </c>
      <c r="C2376" s="256" t="inlineStr">
        <is>
          <t>SCR012603</t>
        </is>
      </c>
      <c r="D2376" s="256" t="inlineStr">
        <is>
          <t>P060382</t>
        </is>
      </c>
      <c r="E2376" s="256" t="inlineStr">
        <is>
          <t>Scrambler</t>
        </is>
      </c>
      <c r="F2376" s="256" t="inlineStr">
        <is>
          <t>17.08.2026</t>
        </is>
      </c>
      <c r="G2376" s="256" t="inlineStr">
        <is>
          <t>6</t>
        </is>
      </c>
      <c r="H2376" s="256" t="inlineStr">
        <is>
          <t>Total CBN</t>
        </is>
      </c>
      <c r="I2376" s="256" t="inlineStr">
        <is>
          <t>Ph. Eur. 2.2.29 (HPLC) · CBN + CBNA x 0.876</t>
        </is>
      </c>
      <c r="J2376" s="256" t="inlineStr">
        <is>
          <t>≤ 1.0%, w/w</t>
        </is>
      </c>
      <c r="K2376" s="256" t="inlineStr">
        <is>
          <t>&lt; LOQ</t>
        </is>
      </c>
      <c r="L2376" s="256" t="inlineStr">
        <is>
          <t>197-21-К/26</t>
        </is>
      </c>
      <c r="M2376" s="256" t="inlineStr">
        <is>
          <t>07.08.2026</t>
        </is>
      </c>
      <c r="N2376" s="256" t="inlineStr">
        <is>
          <t>Farmahem</t>
        </is>
      </c>
      <c r="O2376" s="256" t="inlineStr">
        <is>
          <t>27.07.2026</t>
        </is>
      </c>
      <c r="P2376" s="256" t="inlineStr">
        <is>
          <t>covered</t>
        </is>
      </c>
      <c r="Q2376" s="256" t="inlineStr"/>
      <c r="R2376" s="256" t="inlineStr"/>
    </row>
    <row r="2377">
      <c r="A2377" s="256" t="inlineStr">
        <is>
          <t>CoQ-PP_26-104</t>
        </is>
      </c>
      <c r="B2377" s="256" t="inlineStr">
        <is>
          <t>reissue — retest</t>
        </is>
      </c>
      <c r="C2377" s="256" t="inlineStr">
        <is>
          <t>SCR012603</t>
        </is>
      </c>
      <c r="D2377" s="256" t="inlineStr">
        <is>
          <t>P060382</t>
        </is>
      </c>
      <c r="E2377" s="256" t="inlineStr">
        <is>
          <t>Scrambler</t>
        </is>
      </c>
      <c r="F2377" s="256" t="inlineStr">
        <is>
          <t>17.08.2026</t>
        </is>
      </c>
      <c r="G2377" s="256" t="inlineStr">
        <is>
          <t>7</t>
        </is>
      </c>
      <c r="H2377" s="256" t="inlineStr">
        <is>
          <t>Foreign Matter</t>
        </is>
      </c>
      <c r="I2377" s="256" t="inlineStr">
        <is>
          <t>Ph. Eur. 2.8.2 · In-house · интерна</t>
        </is>
      </c>
      <c r="J2377" s="256" t="inlineStr">
        <is>
          <t>≤ 2.0% / 25–50 g · &lt; 1 cm leaves | листови, no seeds | без семки</t>
        </is>
      </c>
      <c r="K2377" s="256" t="inlineStr">
        <is>
          <t>Conforms | Одговара</t>
        </is>
      </c>
      <c r="L2377" s="256" t="inlineStr">
        <is>
          <t>iCoA-PP_26-119</t>
        </is>
      </c>
      <c r="M2377" s="256" t="inlineStr">
        <is>
          <t>27.07.2026</t>
        </is>
      </c>
      <c r="N2377" s="256" t="inlineStr">
        <is>
          <t>Purely Plant GmbH (in-house)</t>
        </is>
      </c>
      <c r="O2377" s="256" t="inlineStr">
        <is>
          <t>—</t>
        </is>
      </c>
      <c r="P2377" s="256" t="inlineStr">
        <is>
          <t>covered</t>
        </is>
      </c>
      <c r="Q2377" s="256" t="inlineStr">
        <is>
          <t>Purely Plant laboratory — iCoA covering Foreign matter</t>
        </is>
      </c>
      <c r="R2377" s="256" t="inlineStr"/>
    </row>
    <row r="2378">
      <c r="A2378" s="256" t="inlineStr">
        <is>
          <t>CoQ-PP_26-104</t>
        </is>
      </c>
      <c r="B2378" s="256" t="inlineStr">
        <is>
          <t>reissue — retest</t>
        </is>
      </c>
      <c r="C2378" s="256" t="inlineStr">
        <is>
          <t>SCR012603</t>
        </is>
      </c>
      <c r="D2378" s="256" t="inlineStr">
        <is>
          <t>P060382</t>
        </is>
      </c>
      <c r="E2378" s="256" t="inlineStr">
        <is>
          <t>Scrambler</t>
        </is>
      </c>
      <c r="F2378" s="256" t="inlineStr">
        <is>
          <t>17.08.2026</t>
        </is>
      </c>
      <c r="G2378" s="256" t="inlineStr">
        <is>
          <t>8</t>
        </is>
      </c>
      <c r="H2378" s="256" t="inlineStr">
        <is>
          <t>Loss on Drying</t>
        </is>
      </c>
      <c r="I2378" s="256" t="inlineStr">
        <is>
          <t>Ph. Eur. 2.2.32 (3028) · at 40 °C, 24 h, 15–25 mbar</t>
        </is>
      </c>
      <c r="J2378" s="256" t="inlineStr">
        <is>
          <t>≤ 12.0%</t>
        </is>
      </c>
      <c r="K2378" s="256" t="inlineStr">
        <is>
          <t>carried from the initial testing — not tested</t>
        </is>
      </c>
      <c r="L2378" s="256" t="inlineStr">
        <is>
          <t>—</t>
        </is>
      </c>
      <c r="M2378" s="256" t="inlineStr">
        <is>
          <t>—</t>
        </is>
      </c>
      <c r="N2378" s="256" t="inlineStr">
        <is>
          <t>—</t>
        </is>
      </c>
      <c r="O2378" s="256" t="inlineStr">
        <is>
          <t>—</t>
        </is>
      </c>
      <c r="P2378" s="256" t="inlineStr">
        <is>
          <t>carried from the initial testing (CoQ-PP-2026-0026) — not tested — no certificate covers it</t>
        </is>
      </c>
      <c r="Q2378" s="256" t="inlineStr"/>
      <c r="R2378" s="256" t="inlineStr"/>
    </row>
    <row r="2379">
      <c r="A2379" s="256" t="inlineStr">
        <is>
          <t>CoQ-PP_26-104</t>
        </is>
      </c>
      <c r="B2379" s="256" t="inlineStr">
        <is>
          <t>reissue — retest</t>
        </is>
      </c>
      <c r="C2379" s="256" t="inlineStr">
        <is>
          <t>SCR012603</t>
        </is>
      </c>
      <c r="D2379" s="256" t="inlineStr">
        <is>
          <t>P060382</t>
        </is>
      </c>
      <c r="E2379" s="256" t="inlineStr">
        <is>
          <t>Scrambler</t>
        </is>
      </c>
      <c r="F2379" s="256" t="inlineStr">
        <is>
          <t>17.08.2026</t>
        </is>
      </c>
      <c r="G2379" s="256" t="inlineStr">
        <is>
          <t>9.1</t>
        </is>
      </c>
      <c r="H2379" s="256" t="inlineStr">
        <is>
          <t>TAMC</t>
        </is>
      </c>
      <c r="I2379" s="256" t="inlineStr">
        <is>
          <t>Ph. Eur. 2.6.12 cat. C</t>
        </is>
      </c>
      <c r="J2379" s="256" t="inlineStr">
        <is>
          <t>≤ 10⁵ CFU/g</t>
        </is>
      </c>
      <c r="K2379" s="256" t="inlineStr">
        <is>
          <t>5.4 × 10⁴</t>
        </is>
      </c>
      <c r="L2379" s="256" t="inlineStr">
        <is>
          <t>364/0694/26</t>
        </is>
      </c>
      <c r="M2379" s="256" t="inlineStr">
        <is>
          <t>01.06.2026</t>
        </is>
      </c>
      <c r="N2379" s="256" t="inlineStr">
        <is>
          <t>IPH — Institute of Public Health</t>
        </is>
      </c>
      <c r="O2379" s="256" t="inlineStr">
        <is>
          <t>—</t>
        </is>
      </c>
      <c r="P2379" s="256" t="inlineStr">
        <is>
          <t>covered</t>
        </is>
      </c>
      <c r="Q2379" s="256" t="inlineStr"/>
      <c r="R2379" s="256" t="inlineStr"/>
    </row>
    <row r="2380">
      <c r="A2380" s="256" t="inlineStr">
        <is>
          <t>CoQ-PP_26-104</t>
        </is>
      </c>
      <c r="B2380" s="256" t="inlineStr">
        <is>
          <t>reissue — retest</t>
        </is>
      </c>
      <c r="C2380" s="256" t="inlineStr">
        <is>
          <t>SCR012603</t>
        </is>
      </c>
      <c r="D2380" s="256" t="inlineStr">
        <is>
          <t>P060382</t>
        </is>
      </c>
      <c r="E2380" s="256" t="inlineStr">
        <is>
          <t>Scrambler</t>
        </is>
      </c>
      <c r="F2380" s="256" t="inlineStr">
        <is>
          <t>17.08.2026</t>
        </is>
      </c>
      <c r="G2380" s="256" t="inlineStr">
        <is>
          <t>9.2</t>
        </is>
      </c>
      <c r="H2380" s="256" t="inlineStr">
        <is>
          <t>TYMC</t>
        </is>
      </c>
      <c r="I2380" s="256" t="inlineStr">
        <is>
          <t>Ph. Eur. 2.6.12 cat. C</t>
        </is>
      </c>
      <c r="J2380" s="256" t="inlineStr">
        <is>
          <t>≤ 10⁴ CFU/g</t>
        </is>
      </c>
      <c r="K2380" s="256" t="inlineStr">
        <is>
          <t>1.8 × 10⁴</t>
        </is>
      </c>
      <c r="L2380" s="256" t="inlineStr">
        <is>
          <t>364/0694/26</t>
        </is>
      </c>
      <c r="M2380" s="256" t="inlineStr">
        <is>
          <t>01.06.2026</t>
        </is>
      </c>
      <c r="N2380" s="256" t="inlineStr">
        <is>
          <t>IPH — Institute of Public Health</t>
        </is>
      </c>
      <c r="O2380" s="256" t="inlineStr">
        <is>
          <t>—</t>
        </is>
      </c>
      <c r="P2380" s="256" t="inlineStr">
        <is>
          <t>UNDETERMINED (Ph. Eur. 5.1.4) — covered</t>
        </is>
      </c>
      <c r="Q2380" s="256" t="inlineStr"/>
      <c r="R2380" s="256" t="inlineStr"/>
    </row>
    <row r="2381">
      <c r="A2381" s="256" t="inlineStr">
        <is>
          <t>CoQ-PP_26-104</t>
        </is>
      </c>
      <c r="B2381" s="256" t="inlineStr">
        <is>
          <t>reissue — retest</t>
        </is>
      </c>
      <c r="C2381" s="256" t="inlineStr">
        <is>
          <t>SCR012603</t>
        </is>
      </c>
      <c r="D2381" s="256" t="inlineStr">
        <is>
          <t>P060382</t>
        </is>
      </c>
      <c r="E2381" s="256" t="inlineStr">
        <is>
          <t>Scrambler</t>
        </is>
      </c>
      <c r="F2381" s="256" t="inlineStr">
        <is>
          <t>17.08.2026</t>
        </is>
      </c>
      <c r="G2381" s="256" t="inlineStr">
        <is>
          <t>9.3</t>
        </is>
      </c>
      <c r="H2381" s="256" t="inlineStr">
        <is>
          <t>Bile-tolerant gram-neg.</t>
        </is>
      </c>
      <c r="I2381" s="256" t="inlineStr">
        <is>
          <t>Ph. Eur. 2.6.31 cat. C</t>
        </is>
      </c>
      <c r="J2381" s="256" t="inlineStr">
        <is>
          <t>≤ 10⁴ CFU/g</t>
        </is>
      </c>
      <c r="K2381" s="256" t="inlineStr">
        <is>
          <t>&lt; 10</t>
        </is>
      </c>
      <c r="L2381" s="256" t="inlineStr">
        <is>
          <t>364/0694/26</t>
        </is>
      </c>
      <c r="M2381" s="256" t="inlineStr">
        <is>
          <t>01.06.2026</t>
        </is>
      </c>
      <c r="N2381" s="256" t="inlineStr">
        <is>
          <t>IPH — Institute of Public Health</t>
        </is>
      </c>
      <c r="O2381" s="256" t="inlineStr">
        <is>
          <t>—</t>
        </is>
      </c>
      <c r="P2381" s="256" t="inlineStr">
        <is>
          <t>covered</t>
        </is>
      </c>
      <c r="Q2381" s="256" t="inlineStr"/>
      <c r="R2381" s="256" t="inlineStr"/>
    </row>
    <row r="2382">
      <c r="A2382" s="256" t="inlineStr">
        <is>
          <t>CoQ-PP_26-104</t>
        </is>
      </c>
      <c r="B2382" s="256" t="inlineStr">
        <is>
          <t>reissue — retest</t>
        </is>
      </c>
      <c r="C2382" s="256" t="inlineStr">
        <is>
          <t>SCR012603</t>
        </is>
      </c>
      <c r="D2382" s="256" t="inlineStr">
        <is>
          <t>P060382</t>
        </is>
      </c>
      <c r="E2382" s="256" t="inlineStr">
        <is>
          <t>Scrambler</t>
        </is>
      </c>
      <c r="F2382" s="256" t="inlineStr">
        <is>
          <t>17.08.2026</t>
        </is>
      </c>
      <c r="G2382" s="256" t="inlineStr">
        <is>
          <t>9.4</t>
        </is>
      </c>
      <c r="H2382" s="256" t="inlineStr">
        <is>
          <t>Salmonella</t>
        </is>
      </c>
      <c r="I2382" s="256" t="inlineStr">
        <is>
          <t>Ph. Eur. 2.6.31 cat. C</t>
        </is>
      </c>
      <c r="J2382" s="256" t="inlineStr">
        <is>
          <t>Absence | Отсуство / 25 g</t>
        </is>
      </c>
      <c r="K2382" s="256" t="inlineStr">
        <is>
          <t>Absent | Отсутна</t>
        </is>
      </c>
      <c r="L2382" s="256" t="inlineStr">
        <is>
          <t>364/0694/26</t>
        </is>
      </c>
      <c r="M2382" s="256" t="inlineStr">
        <is>
          <t>01.06.2026</t>
        </is>
      </c>
      <c r="N2382" s="256" t="inlineStr">
        <is>
          <t>IPH — Institute of Public Health</t>
        </is>
      </c>
      <c r="O2382" s="256" t="inlineStr">
        <is>
          <t>—</t>
        </is>
      </c>
      <c r="P2382" s="256" t="inlineStr">
        <is>
          <t>covered</t>
        </is>
      </c>
      <c r="Q2382" s="256" t="inlineStr"/>
      <c r="R2382" s="256" t="inlineStr"/>
    </row>
    <row r="2383">
      <c r="A2383" s="256" t="inlineStr">
        <is>
          <t>CoQ-PP_26-104</t>
        </is>
      </c>
      <c r="B2383" s="256" t="inlineStr">
        <is>
          <t>reissue — retest</t>
        </is>
      </c>
      <c r="C2383" s="256" t="inlineStr">
        <is>
          <t>SCR012603</t>
        </is>
      </c>
      <c r="D2383" s="256" t="inlineStr">
        <is>
          <t>P060382</t>
        </is>
      </c>
      <c r="E2383" s="256" t="inlineStr">
        <is>
          <t>Scrambler</t>
        </is>
      </c>
      <c r="F2383" s="256" t="inlineStr">
        <is>
          <t>17.08.2026</t>
        </is>
      </c>
      <c r="G2383" s="256" t="inlineStr">
        <is>
          <t>9.5</t>
        </is>
      </c>
      <c r="H2383" s="256" t="inlineStr">
        <is>
          <t>Escherichia coli</t>
        </is>
      </c>
      <c r="I2383" s="256" t="inlineStr">
        <is>
          <t>Ph. Eur. 2.6.13 cat. C</t>
        </is>
      </c>
      <c r="J2383" s="256" t="inlineStr">
        <is>
          <t>Absence | Отсуство / 1 g</t>
        </is>
      </c>
      <c r="K2383" s="256" t="inlineStr">
        <is>
          <t>Absent | Отсутна</t>
        </is>
      </c>
      <c r="L2383" s="256" t="inlineStr">
        <is>
          <t>364/0694/26</t>
        </is>
      </c>
      <c r="M2383" s="256" t="inlineStr">
        <is>
          <t>01.06.2026</t>
        </is>
      </c>
      <c r="N2383" s="256" t="inlineStr">
        <is>
          <t>IPH — Institute of Public Health</t>
        </is>
      </c>
      <c r="O2383" s="256" t="inlineStr">
        <is>
          <t>—</t>
        </is>
      </c>
      <c r="P2383" s="256" t="inlineStr">
        <is>
          <t>covered</t>
        </is>
      </c>
      <c r="Q2383" s="256" t="inlineStr"/>
      <c r="R2383" s="256" t="inlineStr"/>
    </row>
    <row r="2384">
      <c r="A2384" s="256" t="inlineStr">
        <is>
          <t>CoQ-PP_26-104</t>
        </is>
      </c>
      <c r="B2384" s="256" t="inlineStr">
        <is>
          <t>reissue — retest</t>
        </is>
      </c>
      <c r="C2384" s="256" t="inlineStr">
        <is>
          <t>SCR012603</t>
        </is>
      </c>
      <c r="D2384" s="256" t="inlineStr">
        <is>
          <t>P060382</t>
        </is>
      </c>
      <c r="E2384" s="256" t="inlineStr">
        <is>
          <t>Scrambler</t>
        </is>
      </c>
      <c r="F2384" s="256" t="inlineStr">
        <is>
          <t>17.08.2026</t>
        </is>
      </c>
      <c r="G2384" s="256" t="inlineStr">
        <is>
          <t>9.6</t>
        </is>
      </c>
      <c r="H2384" s="256" t="inlineStr">
        <is>
          <t>Pseudomonas aeruginosa</t>
        </is>
      </c>
      <c r="I2384" s="256" t="inlineStr">
        <is>
          <t>Ph. Eur. 2.6.13 cat. C</t>
        </is>
      </c>
      <c r="J2384" s="256" t="inlineStr">
        <is>
          <t>Absence | Отсуство / 1 g</t>
        </is>
      </c>
      <c r="K2384" s="260" t="inlineStr">
        <is>
          <t>upon request — not required for release</t>
        </is>
      </c>
      <c r="L2384" s="256" t="inlineStr">
        <is>
          <t>—</t>
        </is>
      </c>
      <c r="M2384" s="256" t="inlineStr">
        <is>
          <t>—</t>
        </is>
      </c>
      <c r="N2384" s="256" t="inlineStr">
        <is>
          <t>—</t>
        </is>
      </c>
      <c r="O2384" s="256" t="inlineStr">
        <is>
          <t>—</t>
        </is>
      </c>
      <c r="P2384" s="256" t="inlineStr">
        <is>
          <t>upon request — not required for release</t>
        </is>
      </c>
      <c r="Q2384" s="256" t="inlineStr"/>
      <c r="R2384" s="256" t="inlineStr"/>
    </row>
    <row r="2385">
      <c r="A2385" s="256" t="inlineStr">
        <is>
          <t>CoQ-PP_26-104</t>
        </is>
      </c>
      <c r="B2385" s="256" t="inlineStr">
        <is>
          <t>reissue — retest</t>
        </is>
      </c>
      <c r="C2385" s="256" t="inlineStr">
        <is>
          <t>SCR012603</t>
        </is>
      </c>
      <c r="D2385" s="256" t="inlineStr">
        <is>
          <t>P060382</t>
        </is>
      </c>
      <c r="E2385" s="256" t="inlineStr">
        <is>
          <t>Scrambler</t>
        </is>
      </c>
      <c r="F2385" s="256" t="inlineStr">
        <is>
          <t>17.08.2026</t>
        </is>
      </c>
      <c r="G2385" s="256" t="inlineStr">
        <is>
          <t>9.7</t>
        </is>
      </c>
      <c r="H2385" s="256" t="inlineStr">
        <is>
          <t>Staphylococcus aureus</t>
        </is>
      </c>
      <c r="I2385" s="256" t="inlineStr">
        <is>
          <t>Ph. Eur. 2.6.13 cat. C</t>
        </is>
      </c>
      <c r="J2385" s="256" t="inlineStr">
        <is>
          <t>Absence | Отсуство / 1 g</t>
        </is>
      </c>
      <c r="K2385" s="260" t="inlineStr">
        <is>
          <t>upon request — not required for release</t>
        </is>
      </c>
      <c r="L2385" s="256" t="inlineStr">
        <is>
          <t>—</t>
        </is>
      </c>
      <c r="M2385" s="256" t="inlineStr">
        <is>
          <t>—</t>
        </is>
      </c>
      <c r="N2385" s="256" t="inlineStr">
        <is>
          <t>—</t>
        </is>
      </c>
      <c r="O2385" s="256" t="inlineStr">
        <is>
          <t>—</t>
        </is>
      </c>
      <c r="P2385" s="256" t="inlineStr">
        <is>
          <t>upon request — not required for release</t>
        </is>
      </c>
      <c r="Q2385" s="256" t="inlineStr"/>
      <c r="R2385" s="256" t="inlineStr"/>
    </row>
    <row r="2386">
      <c r="A2386" s="256" t="inlineStr">
        <is>
          <t>CoQ-PP_26-104</t>
        </is>
      </c>
      <c r="B2386" s="256" t="inlineStr">
        <is>
          <t>reissue — retest</t>
        </is>
      </c>
      <c r="C2386" s="256" t="inlineStr">
        <is>
          <t>SCR012603</t>
        </is>
      </c>
      <c r="D2386" s="256" t="inlineStr">
        <is>
          <t>P060382</t>
        </is>
      </c>
      <c r="E2386" s="256" t="inlineStr">
        <is>
          <t>Scrambler</t>
        </is>
      </c>
      <c r="F2386" s="256" t="inlineStr">
        <is>
          <t>17.08.2026</t>
        </is>
      </c>
      <c r="G2386" s="256" t="inlineStr">
        <is>
          <t>10.1</t>
        </is>
      </c>
      <c r="H2386" s="256" t="inlineStr">
        <is>
          <t>Aflatoxin B₁</t>
        </is>
      </c>
      <c r="I2386" s="256" t="inlineStr">
        <is>
          <t>Ph. Eur. 2.8.18 (HPLC-FLD)</t>
        </is>
      </c>
      <c r="J2386" s="256" t="inlineStr">
        <is>
          <t>≤ 2 µg/kg</t>
        </is>
      </c>
      <c r="K2386" s="256" t="inlineStr">
        <is>
          <t>ND</t>
        </is>
      </c>
      <c r="L2386" s="256" t="inlineStr">
        <is>
          <t>197-21-М/26</t>
        </is>
      </c>
      <c r="M2386" s="256" t="inlineStr">
        <is>
          <t>10.08.2026</t>
        </is>
      </c>
      <c r="N2386" s="256" t="inlineStr">
        <is>
          <t>Farmahem</t>
        </is>
      </c>
      <c r="O2386" s="256" t="inlineStr">
        <is>
          <t>29.07.2026</t>
        </is>
      </c>
      <c r="P2386" s="256" t="inlineStr">
        <is>
          <t>covered</t>
        </is>
      </c>
      <c r="Q2386" s="256" t="inlineStr"/>
      <c r="R2386" s="256" t="inlineStr"/>
    </row>
    <row r="2387">
      <c r="A2387" s="256" t="inlineStr">
        <is>
          <t>CoQ-PP_26-104</t>
        </is>
      </c>
      <c r="B2387" s="256" t="inlineStr">
        <is>
          <t>reissue — retest</t>
        </is>
      </c>
      <c r="C2387" s="256" t="inlineStr">
        <is>
          <t>SCR012603</t>
        </is>
      </c>
      <c r="D2387" s="256" t="inlineStr">
        <is>
          <t>P060382</t>
        </is>
      </c>
      <c r="E2387" s="256" t="inlineStr">
        <is>
          <t>Scrambler</t>
        </is>
      </c>
      <c r="F2387" s="256" t="inlineStr">
        <is>
          <t>17.08.2026</t>
        </is>
      </c>
      <c r="G2387" s="256" t="inlineStr">
        <is>
          <t>10.2</t>
        </is>
      </c>
      <c r="H2387" s="256" t="inlineStr">
        <is>
          <t>Aflatoxins ∑</t>
        </is>
      </c>
      <c r="I2387" s="256" t="inlineStr">
        <is>
          <t>Ph. Eur. 2.8.18 (HPLC-FLD)</t>
        </is>
      </c>
      <c r="J2387" s="256" t="inlineStr">
        <is>
          <t>≤ 4 µg/kg</t>
        </is>
      </c>
      <c r="K2387" s="256" t="inlineStr">
        <is>
          <t>ND</t>
        </is>
      </c>
      <c r="L2387" s="256" t="inlineStr">
        <is>
          <t>197-21-М/26</t>
        </is>
      </c>
      <c r="M2387" s="256" t="inlineStr">
        <is>
          <t>10.08.2026</t>
        </is>
      </c>
      <c r="N2387" s="256" t="inlineStr">
        <is>
          <t>Farmahem</t>
        </is>
      </c>
      <c r="O2387" s="256" t="inlineStr">
        <is>
          <t>29.07.2026</t>
        </is>
      </c>
      <c r="P2387" s="256" t="inlineStr">
        <is>
          <t>covered</t>
        </is>
      </c>
      <c r="Q2387" s="256" t="inlineStr"/>
      <c r="R2387" s="256" t="inlineStr"/>
    </row>
    <row r="2388">
      <c r="A2388" s="256" t="inlineStr">
        <is>
          <t>CoQ-PP_26-104</t>
        </is>
      </c>
      <c r="B2388" s="256" t="inlineStr">
        <is>
          <t>reissue — retest</t>
        </is>
      </c>
      <c r="C2388" s="256" t="inlineStr">
        <is>
          <t>SCR012603</t>
        </is>
      </c>
      <c r="D2388" s="256" t="inlineStr">
        <is>
          <t>P060382</t>
        </is>
      </c>
      <c r="E2388" s="256" t="inlineStr">
        <is>
          <t>Scrambler</t>
        </is>
      </c>
      <c r="F2388" s="256" t="inlineStr">
        <is>
          <t>17.08.2026</t>
        </is>
      </c>
      <c r="G2388" s="256" t="inlineStr">
        <is>
          <t>10.3</t>
        </is>
      </c>
      <c r="H2388" s="256" t="inlineStr">
        <is>
          <t>Ochratoxin A</t>
        </is>
      </c>
      <c r="I2388" s="256" t="inlineStr">
        <is>
          <t>Ph. Eur. 2.8.22 (HPLC-FLD)</t>
        </is>
      </c>
      <c r="J2388" s="256" t="inlineStr">
        <is>
          <t>≤ 20 µg/kg</t>
        </is>
      </c>
      <c r="K2388" s="256" t="inlineStr">
        <is>
          <t>ND</t>
        </is>
      </c>
      <c r="L2388" s="256" t="inlineStr">
        <is>
          <t>197-21-М/26</t>
        </is>
      </c>
      <c r="M2388" s="256" t="inlineStr">
        <is>
          <t>10.08.2026</t>
        </is>
      </c>
      <c r="N2388" s="256" t="inlineStr">
        <is>
          <t>Farmahem</t>
        </is>
      </c>
      <c r="O2388" s="256" t="inlineStr">
        <is>
          <t>29.07.2026</t>
        </is>
      </c>
      <c r="P2388" s="256" t="inlineStr">
        <is>
          <t>covered</t>
        </is>
      </c>
      <c r="Q2388" s="256" t="inlineStr"/>
      <c r="R2388" s="256" t="inlineStr"/>
    </row>
    <row r="2389">
      <c r="A2389" s="256" t="inlineStr">
        <is>
          <t>CoQ-PP_26-104</t>
        </is>
      </c>
      <c r="B2389" s="256" t="inlineStr">
        <is>
          <t>reissue — retest</t>
        </is>
      </c>
      <c r="C2389" s="256" t="inlineStr">
        <is>
          <t>SCR012603</t>
        </is>
      </c>
      <c r="D2389" s="256" t="inlineStr">
        <is>
          <t>P060382</t>
        </is>
      </c>
      <c r="E2389" s="256" t="inlineStr">
        <is>
          <t>Scrambler</t>
        </is>
      </c>
      <c r="F2389" s="256" t="inlineStr">
        <is>
          <t>17.08.2026</t>
        </is>
      </c>
      <c r="G2389" s="256" t="inlineStr">
        <is>
          <t>11.1</t>
        </is>
      </c>
      <c r="H2389" s="256" t="inlineStr">
        <is>
          <t>Lead (Pb)</t>
        </is>
      </c>
      <c r="I2389" s="256" t="inlineStr">
        <is>
          <t>Ph. Eur. 2.4.27 (ICP-MS)</t>
        </is>
      </c>
      <c r="J2389" s="256" t="inlineStr">
        <is>
          <t>≤ 0.5 mg/kg</t>
        </is>
      </c>
      <c r="K2389" s="256" t="inlineStr">
        <is>
          <t>carried from the initial testing — not tested</t>
        </is>
      </c>
      <c r="L2389" s="256" t="inlineStr">
        <is>
          <t>—</t>
        </is>
      </c>
      <c r="M2389" s="256" t="inlineStr">
        <is>
          <t>—</t>
        </is>
      </c>
      <c r="N2389" s="256" t="inlineStr">
        <is>
          <t>—</t>
        </is>
      </c>
      <c r="O2389" s="256" t="inlineStr">
        <is>
          <t>—</t>
        </is>
      </c>
      <c r="P2389" s="256" t="inlineStr">
        <is>
          <t>carried from the initial testing (CoQ-PP-2026-0026) — not tested — no certificate covers it</t>
        </is>
      </c>
      <c r="Q2389" s="256" t="inlineStr"/>
      <c r="R2389" s="256" t="inlineStr"/>
    </row>
    <row r="2390">
      <c r="A2390" s="256" t="inlineStr">
        <is>
          <t>CoQ-PP_26-104</t>
        </is>
      </c>
      <c r="B2390" s="256" t="inlineStr">
        <is>
          <t>reissue — retest</t>
        </is>
      </c>
      <c r="C2390" s="256" t="inlineStr">
        <is>
          <t>SCR012603</t>
        </is>
      </c>
      <c r="D2390" s="256" t="inlineStr">
        <is>
          <t>P060382</t>
        </is>
      </c>
      <c r="E2390" s="256" t="inlineStr">
        <is>
          <t>Scrambler</t>
        </is>
      </c>
      <c r="F2390" s="256" t="inlineStr">
        <is>
          <t>17.08.2026</t>
        </is>
      </c>
      <c r="G2390" s="256" t="inlineStr">
        <is>
          <t>11.2</t>
        </is>
      </c>
      <c r="H2390" s="256" t="inlineStr">
        <is>
          <t>Cadmium (Cd)</t>
        </is>
      </c>
      <c r="I2390" s="256" t="inlineStr">
        <is>
          <t>Ph. Eur. 2.4.27 (ICP-MS)</t>
        </is>
      </c>
      <c r="J2390" s="256" t="inlineStr">
        <is>
          <t>≤ 0.3 mg/kg</t>
        </is>
      </c>
      <c r="K2390" s="256" t="inlineStr">
        <is>
          <t>carried from the initial testing — not tested</t>
        </is>
      </c>
      <c r="L2390" s="256" t="inlineStr">
        <is>
          <t>—</t>
        </is>
      </c>
      <c r="M2390" s="256" t="inlineStr">
        <is>
          <t>—</t>
        </is>
      </c>
      <c r="N2390" s="256" t="inlineStr">
        <is>
          <t>—</t>
        </is>
      </c>
      <c r="O2390" s="256" t="inlineStr">
        <is>
          <t>—</t>
        </is>
      </c>
      <c r="P2390" s="256" t="inlineStr">
        <is>
          <t>carried from the initial testing (CoQ-PP-2026-0026) — not tested — no certificate covers it</t>
        </is>
      </c>
      <c r="Q2390" s="256" t="inlineStr"/>
      <c r="R2390" s="256" t="inlineStr"/>
    </row>
    <row r="2391">
      <c r="A2391" s="256" t="inlineStr">
        <is>
          <t>CoQ-PP_26-104</t>
        </is>
      </c>
      <c r="B2391" s="256" t="inlineStr">
        <is>
          <t>reissue — retest</t>
        </is>
      </c>
      <c r="C2391" s="256" t="inlineStr">
        <is>
          <t>SCR012603</t>
        </is>
      </c>
      <c r="D2391" s="256" t="inlineStr">
        <is>
          <t>P060382</t>
        </is>
      </c>
      <c r="E2391" s="256" t="inlineStr">
        <is>
          <t>Scrambler</t>
        </is>
      </c>
      <c r="F2391" s="256" t="inlineStr">
        <is>
          <t>17.08.2026</t>
        </is>
      </c>
      <c r="G2391" s="256" t="inlineStr">
        <is>
          <t>11.3</t>
        </is>
      </c>
      <c r="H2391" s="256" t="inlineStr">
        <is>
          <t>Arsenic (As)</t>
        </is>
      </c>
      <c r="I2391" s="256" t="inlineStr">
        <is>
          <t>Ph. Eur. 2.4.27 (ICP-MS)</t>
        </is>
      </c>
      <c r="J2391" s="256" t="inlineStr">
        <is>
          <t>≤ 0.2 mg/kg</t>
        </is>
      </c>
      <c r="K2391" s="256" t="inlineStr">
        <is>
          <t>carried from the initial testing — not tested</t>
        </is>
      </c>
      <c r="L2391" s="256" t="inlineStr">
        <is>
          <t>—</t>
        </is>
      </c>
      <c r="M2391" s="256" t="inlineStr">
        <is>
          <t>—</t>
        </is>
      </c>
      <c r="N2391" s="256" t="inlineStr">
        <is>
          <t>—</t>
        </is>
      </c>
      <c r="O2391" s="256" t="inlineStr">
        <is>
          <t>—</t>
        </is>
      </c>
      <c r="P2391" s="256" t="inlineStr">
        <is>
          <t>carried from the initial testing (CoQ-PP-2026-0026) — not tested — no certificate covers it</t>
        </is>
      </c>
      <c r="Q2391" s="256" t="inlineStr"/>
      <c r="R2391" s="256" t="inlineStr"/>
    </row>
    <row r="2392">
      <c r="A2392" s="256" t="inlineStr">
        <is>
          <t>CoQ-PP_26-104</t>
        </is>
      </c>
      <c r="B2392" s="256" t="inlineStr">
        <is>
          <t>reissue — retest</t>
        </is>
      </c>
      <c r="C2392" s="256" t="inlineStr">
        <is>
          <t>SCR012603</t>
        </is>
      </c>
      <c r="D2392" s="256" t="inlineStr">
        <is>
          <t>P060382</t>
        </is>
      </c>
      <c r="E2392" s="256" t="inlineStr">
        <is>
          <t>Scrambler</t>
        </is>
      </c>
      <c r="F2392" s="256" t="inlineStr">
        <is>
          <t>17.08.2026</t>
        </is>
      </c>
      <c r="G2392" s="256" t="inlineStr">
        <is>
          <t>11.4</t>
        </is>
      </c>
      <c r="H2392" s="256" t="inlineStr">
        <is>
          <t>Mercury (Hg)</t>
        </is>
      </c>
      <c r="I2392" s="256" t="inlineStr">
        <is>
          <t>Ph. Eur. 2.4.27 (ICP-MS)</t>
        </is>
      </c>
      <c r="J2392" s="256" t="inlineStr">
        <is>
          <t>≤ 0.1 mg/kg</t>
        </is>
      </c>
      <c r="K2392" s="256" t="inlineStr">
        <is>
          <t>carried from the initial testing — not tested</t>
        </is>
      </c>
      <c r="L2392" s="256" t="inlineStr">
        <is>
          <t>—</t>
        </is>
      </c>
      <c r="M2392" s="256" t="inlineStr">
        <is>
          <t>—</t>
        </is>
      </c>
      <c r="N2392" s="256" t="inlineStr">
        <is>
          <t>—</t>
        </is>
      </c>
      <c r="O2392" s="256" t="inlineStr">
        <is>
          <t>—</t>
        </is>
      </c>
      <c r="P2392" s="256" t="inlineStr">
        <is>
          <t>carried from the initial testing (CoQ-PP-2026-0026) — not tested — no certificate covers it</t>
        </is>
      </c>
      <c r="Q2392" s="256" t="inlineStr"/>
      <c r="R2392" s="256" t="inlineStr"/>
    </row>
    <row r="2393">
      <c r="A2393" s="256" t="inlineStr">
        <is>
          <t>CoQ-PP_26-104</t>
        </is>
      </c>
      <c r="B2393" s="256" t="inlineStr">
        <is>
          <t>reissue — retest</t>
        </is>
      </c>
      <c r="C2393" s="256" t="inlineStr">
        <is>
          <t>SCR012603</t>
        </is>
      </c>
      <c r="D2393" s="256" t="inlineStr">
        <is>
          <t>P060382</t>
        </is>
      </c>
      <c r="E2393" s="256" t="inlineStr">
        <is>
          <t>Scrambler</t>
        </is>
      </c>
      <c r="F2393" s="256" t="inlineStr">
        <is>
          <t>17.08.2026</t>
        </is>
      </c>
      <c r="G2393" s="256" t="inlineStr">
        <is>
          <t>12</t>
        </is>
      </c>
      <c r="H2393" s="256" t="inlineStr">
        <is>
          <t>Pesticide Residues</t>
        </is>
      </c>
      <c r="I2393" s="256" t="inlineStr">
        <is>
          <t>Ph. Eur. 2.8.13 (LC-MS/MS) · CUMCS Equivalency</t>
        </is>
      </c>
      <c r="J2393" s="256" t="inlineStr">
        <is>
          <t>≤ LOQ as per Ph. Eur. 2.8.13 · ≤ LOQ as per CUMCS Equivalency</t>
        </is>
      </c>
      <c r="K2393" s="256" t="inlineStr">
        <is>
          <t>carried from the initial testing — not tested</t>
        </is>
      </c>
      <c r="L2393" s="256" t="inlineStr">
        <is>
          <t>—</t>
        </is>
      </c>
      <c r="M2393" s="256" t="inlineStr">
        <is>
          <t>—</t>
        </is>
      </c>
      <c r="N2393" s="256" t="inlineStr">
        <is>
          <t>—</t>
        </is>
      </c>
      <c r="O2393" s="256" t="inlineStr">
        <is>
          <t>—</t>
        </is>
      </c>
      <c r="P2393" s="256" t="inlineStr">
        <is>
          <t>carried from the initial testing (CoQ-PP-2026-0026) — not tested — no certificate covers it</t>
        </is>
      </c>
      <c r="Q2393" s="256" t="inlineStr"/>
      <c r="R2393" s="256" t="inlineStr"/>
    </row>
    <row r="2394">
      <c r="A2394" s="256" t="inlineStr">
        <is>
          <t>CoQ-PP_26-105</t>
        </is>
      </c>
      <c r="B2394" s="256" t="inlineStr">
        <is>
          <t>reissue — retest</t>
        </is>
      </c>
      <c r="C2394" s="256" t="inlineStr">
        <is>
          <t>CJ062501-2</t>
        </is>
      </c>
      <c r="D2394" s="256" t="inlineStr">
        <is>
          <t>P050212</t>
        </is>
      </c>
      <c r="E2394" s="256" t="inlineStr">
        <is>
          <t>Cap Junky</t>
        </is>
      </c>
      <c r="F2394" s="256" t="inlineStr">
        <is>
          <t>07.09.2026</t>
        </is>
      </c>
      <c r="G2394" s="256" t="inlineStr">
        <is>
          <t>1</t>
        </is>
      </c>
      <c r="H2394" s="256" t="inlineStr">
        <is>
          <t>Identification A, Appearance · Macroscopic</t>
        </is>
      </c>
      <c r="I2394" s="256" t="inlineStr">
        <is>
          <t>Ph. Eur. mon. 3028</t>
        </is>
      </c>
      <c r="J2394" s="256" t="inlineStr">
        <is>
          <t>Conforms to the monograph for Cannabis flos (07/2024:3028) in Ph. Eur. 11.0 | Согласно монографија за Cannabis flos (07/2024:3028) во Ph. Eur. 11.0</t>
        </is>
      </c>
      <c r="K2394" s="256" t="inlineStr">
        <is>
          <t>Conforms | Одговара</t>
        </is>
      </c>
      <c r="L2394" s="256" t="inlineStr">
        <is>
          <t>iCoA-PP_26-103</t>
        </is>
      </c>
      <c r="M2394" s="256" t="inlineStr">
        <is>
          <t>27.07.2026</t>
        </is>
      </c>
      <c r="N2394" s="256" t="inlineStr">
        <is>
          <t>Purely Plant GmbH (in-house)</t>
        </is>
      </c>
      <c r="O2394" s="256" t="inlineStr">
        <is>
          <t>—</t>
        </is>
      </c>
      <c r="P2394" s="256" t="inlineStr">
        <is>
          <t>covered</t>
        </is>
      </c>
      <c r="Q2394" s="256" t="inlineStr">
        <is>
          <t>Farmahem — Ident A + B + C with the Assay, at retest</t>
        </is>
      </c>
      <c r="R2394" s="256" t="inlineStr"/>
    </row>
    <row r="2395">
      <c r="A2395" s="256" t="inlineStr">
        <is>
          <t>CoQ-PP_26-105</t>
        </is>
      </c>
      <c r="B2395" s="256" t="inlineStr">
        <is>
          <t>reissue — retest</t>
        </is>
      </c>
      <c r="C2395" s="256" t="inlineStr">
        <is>
          <t>CJ062501-2</t>
        </is>
      </c>
      <c r="D2395" s="256" t="inlineStr">
        <is>
          <t>P050212</t>
        </is>
      </c>
      <c r="E2395" s="256" t="inlineStr">
        <is>
          <t>Cap Junky</t>
        </is>
      </c>
      <c r="F2395" s="256" t="inlineStr">
        <is>
          <t>07.09.2026</t>
        </is>
      </c>
      <c r="G2395" s="256" t="inlineStr">
        <is>
          <t>2</t>
        </is>
      </c>
      <c r="H2395" s="256" t="inlineStr">
        <is>
          <t>Identification B · Microscopic</t>
        </is>
      </c>
      <c r="I2395" s="256" t="inlineStr">
        <is>
          <t>Ph. Eur. 2.8.23 (microscopy)</t>
        </is>
      </c>
      <c r="J2395" s="256" t="inlineStr">
        <is>
          <t>Conforms to the monograph for Cannabis flos (07/2024:3028) in Ph. Eur. 11.0 | Согласно монографија за Cannabis flos (07/2024:3028) во Ph. Eur. 11.0</t>
        </is>
      </c>
      <c r="K2395" s="256" t="inlineStr">
        <is>
          <t>Conforms | Одговара</t>
        </is>
      </c>
      <c r="L2395" s="256" t="inlineStr">
        <is>
          <t>iCoA-PP_26-103</t>
        </is>
      </c>
      <c r="M2395" s="256" t="inlineStr">
        <is>
          <t>27.07.2026</t>
        </is>
      </c>
      <c r="N2395" s="256" t="inlineStr">
        <is>
          <t>Purely Plant GmbH (in-house)</t>
        </is>
      </c>
      <c r="O2395" s="256" t="inlineStr">
        <is>
          <t>—</t>
        </is>
      </c>
      <c r="P2395" s="256" t="inlineStr">
        <is>
          <t>covered</t>
        </is>
      </c>
      <c r="Q2395" s="256" t="inlineStr">
        <is>
          <t>Farmahem — Ident A + B + C with the Assay, at retest</t>
        </is>
      </c>
      <c r="R2395" s="256" t="inlineStr"/>
    </row>
    <row r="2396">
      <c r="A2396" s="256" t="inlineStr">
        <is>
          <t>CoQ-PP_26-105</t>
        </is>
      </c>
      <c r="B2396" s="256" t="inlineStr">
        <is>
          <t>reissue — retest</t>
        </is>
      </c>
      <c r="C2396" s="256" t="inlineStr">
        <is>
          <t>CJ062501-2</t>
        </is>
      </c>
      <c r="D2396" s="256" t="inlineStr">
        <is>
          <t>P050212</t>
        </is>
      </c>
      <c r="E2396" s="256" t="inlineStr">
        <is>
          <t>Cap Junky</t>
        </is>
      </c>
      <c r="F2396" s="256" t="inlineStr">
        <is>
          <t>07.09.2026</t>
        </is>
      </c>
      <c r="G2396" s="256" t="inlineStr">
        <is>
          <t>3</t>
        </is>
      </c>
      <c r="H2396" s="256" t="inlineStr">
        <is>
          <t>Identification C · HPLC/HPTLC</t>
        </is>
      </c>
      <c r="I2396" s="256" t="inlineStr">
        <is>
          <t>Ph. Eur. 2.2.29 (3028)</t>
        </is>
      </c>
      <c r="J2396" s="256" t="inlineStr">
        <is>
          <t>Conforms to the monograph for Cannabis flos (07/2024:3028) in Ph. Eur. 11.0 | Согласно монографија за Cannabis flos (07/2024:3028) во Ph. Eur. 11.0</t>
        </is>
      </c>
      <c r="K2396" s="256" t="inlineStr">
        <is>
          <t>Conforms | Одговара</t>
        </is>
      </c>
      <c r="L2396" s="256" t="inlineStr">
        <is>
          <t>197-4-К/26</t>
        </is>
      </c>
      <c r="M2396" s="256" t="inlineStr">
        <is>
          <t>07.08.2026</t>
        </is>
      </c>
      <c r="N2396" s="256" t="inlineStr">
        <is>
          <t>Farmahem</t>
        </is>
      </c>
      <c r="O2396" s="256" t="inlineStr">
        <is>
          <t>27.07.2026</t>
        </is>
      </c>
      <c r="P2396" s="256" t="inlineStr">
        <is>
          <t>covered</t>
        </is>
      </c>
      <c r="Q2396" s="256" t="inlineStr"/>
      <c r="R2396" s="256" t="inlineStr"/>
    </row>
    <row r="2397">
      <c r="A2397" s="256" t="inlineStr">
        <is>
          <t>CoQ-PP_26-105</t>
        </is>
      </c>
      <c r="B2397" s="256" t="inlineStr">
        <is>
          <t>reissue — retest</t>
        </is>
      </c>
      <c r="C2397" s="256" t="inlineStr">
        <is>
          <t>CJ062501-2</t>
        </is>
      </c>
      <c r="D2397" s="256" t="inlineStr">
        <is>
          <t>P050212</t>
        </is>
      </c>
      <c r="E2397" s="256" t="inlineStr">
        <is>
          <t>Cap Junky</t>
        </is>
      </c>
      <c r="F2397" s="256" t="inlineStr">
        <is>
          <t>07.09.2026</t>
        </is>
      </c>
      <c r="G2397" s="256" t="inlineStr">
        <is>
          <t>4</t>
        </is>
      </c>
      <c r="H2397" s="256" t="inlineStr">
        <is>
          <t>Assay — Total Δ⁹-THC</t>
        </is>
      </c>
      <c r="I2397" s="256" t="inlineStr">
        <is>
          <t>Ph. Eur. 2.2.29 (HPLC)</t>
        </is>
      </c>
      <c r="J2397" s="256" t="inlineStr">
        <is>
          <t>18.40 – 21.59 %  (grade III, nominal 20.00 ± 1.60)</t>
        </is>
      </c>
      <c r="K2397" s="256" t="inlineStr">
        <is>
          <t>18.91</t>
        </is>
      </c>
      <c r="L2397" s="256" t="inlineStr">
        <is>
          <t>197-4-К/26</t>
        </is>
      </c>
      <c r="M2397" s="256" t="inlineStr">
        <is>
          <t>07.08.2026</t>
        </is>
      </c>
      <c r="N2397" s="256" t="inlineStr">
        <is>
          <t>Farmahem</t>
        </is>
      </c>
      <c r="O2397" s="256" t="inlineStr">
        <is>
          <t>27.07.2026</t>
        </is>
      </c>
      <c r="P2397" s="256" t="inlineStr">
        <is>
          <t>covered</t>
        </is>
      </c>
      <c r="Q2397" s="256" t="inlineStr"/>
      <c r="R2397" s="256" t="inlineStr"/>
    </row>
    <row r="2398">
      <c r="A2398" s="256" t="inlineStr">
        <is>
          <t>CoQ-PP_26-105</t>
        </is>
      </c>
      <c r="B2398" s="256" t="inlineStr">
        <is>
          <t>reissue — retest</t>
        </is>
      </c>
      <c r="C2398" s="256" t="inlineStr">
        <is>
          <t>CJ062501-2</t>
        </is>
      </c>
      <c r="D2398" s="256" t="inlineStr">
        <is>
          <t>P050212</t>
        </is>
      </c>
      <c r="E2398" s="256" t="inlineStr">
        <is>
          <t>Cap Junky</t>
        </is>
      </c>
      <c r="F2398" s="256" t="inlineStr">
        <is>
          <t>07.09.2026</t>
        </is>
      </c>
      <c r="G2398" s="256" t="inlineStr">
        <is>
          <t>5</t>
        </is>
      </c>
      <c r="H2398" s="256" t="inlineStr">
        <is>
          <t>Assay — Total CBD</t>
        </is>
      </c>
      <c r="I2398" s="256" t="inlineStr">
        <is>
          <t>Ph. Eur. 2.2.29 (HPLC) · CBD + CBDA x 0.877</t>
        </is>
      </c>
      <c r="J2398" s="256" t="inlineStr">
        <is>
          <t>≤ 1.0%, w/w</t>
        </is>
      </c>
      <c r="K2398" s="256" t="inlineStr">
        <is>
          <t>&lt; LOQ</t>
        </is>
      </c>
      <c r="L2398" s="256" t="inlineStr">
        <is>
          <t>197-4-К/26</t>
        </is>
      </c>
      <c r="M2398" s="256" t="inlineStr">
        <is>
          <t>07.08.2026</t>
        </is>
      </c>
      <c r="N2398" s="256" t="inlineStr">
        <is>
          <t>Farmahem</t>
        </is>
      </c>
      <c r="O2398" s="256" t="inlineStr">
        <is>
          <t>27.07.2026</t>
        </is>
      </c>
      <c r="P2398" s="256" t="inlineStr">
        <is>
          <t>covered</t>
        </is>
      </c>
      <c r="Q2398" s="256" t="inlineStr"/>
      <c r="R2398" s="256" t="inlineStr"/>
    </row>
    <row r="2399">
      <c r="A2399" s="256" t="inlineStr">
        <is>
          <t>CoQ-PP_26-105</t>
        </is>
      </c>
      <c r="B2399" s="256" t="inlineStr">
        <is>
          <t>reissue — retest</t>
        </is>
      </c>
      <c r="C2399" s="256" t="inlineStr">
        <is>
          <t>CJ062501-2</t>
        </is>
      </c>
      <c r="D2399" s="256" t="inlineStr">
        <is>
          <t>P050212</t>
        </is>
      </c>
      <c r="E2399" s="256" t="inlineStr">
        <is>
          <t>Cap Junky</t>
        </is>
      </c>
      <c r="F2399" s="256" t="inlineStr">
        <is>
          <t>07.09.2026</t>
        </is>
      </c>
      <c r="G2399" s="256" t="inlineStr">
        <is>
          <t>6</t>
        </is>
      </c>
      <c r="H2399" s="256" t="inlineStr">
        <is>
          <t>Total CBN</t>
        </is>
      </c>
      <c r="I2399" s="256" t="inlineStr">
        <is>
          <t>Ph. Eur. 2.2.29 (HPLC) · CBN + CBNA x 0.876</t>
        </is>
      </c>
      <c r="J2399" s="256" t="inlineStr">
        <is>
          <t>≤ 1.0%, w/w</t>
        </is>
      </c>
      <c r="K2399" s="256" t="inlineStr">
        <is>
          <t>&lt; LOQ</t>
        </is>
      </c>
      <c r="L2399" s="256" t="inlineStr">
        <is>
          <t>197-4-К/26</t>
        </is>
      </c>
      <c r="M2399" s="256" t="inlineStr">
        <is>
          <t>07.08.2026</t>
        </is>
      </c>
      <c r="N2399" s="256" t="inlineStr">
        <is>
          <t>Farmahem</t>
        </is>
      </c>
      <c r="O2399" s="256" t="inlineStr">
        <is>
          <t>27.07.2026</t>
        </is>
      </c>
      <c r="P2399" s="256" t="inlineStr">
        <is>
          <t>covered</t>
        </is>
      </c>
      <c r="Q2399" s="256" t="inlineStr"/>
      <c r="R2399" s="256" t="inlineStr"/>
    </row>
    <row r="2400">
      <c r="A2400" s="256" t="inlineStr">
        <is>
          <t>CoQ-PP_26-105</t>
        </is>
      </c>
      <c r="B2400" s="256" t="inlineStr">
        <is>
          <t>reissue — retest</t>
        </is>
      </c>
      <c r="C2400" s="256" t="inlineStr">
        <is>
          <t>CJ062501-2</t>
        </is>
      </c>
      <c r="D2400" s="256" t="inlineStr">
        <is>
          <t>P050212</t>
        </is>
      </c>
      <c r="E2400" s="256" t="inlineStr">
        <is>
          <t>Cap Junky</t>
        </is>
      </c>
      <c r="F2400" s="256" t="inlineStr">
        <is>
          <t>07.09.2026</t>
        </is>
      </c>
      <c r="G2400" s="256" t="inlineStr">
        <is>
          <t>7</t>
        </is>
      </c>
      <c r="H2400" s="256" t="inlineStr">
        <is>
          <t>Foreign Matter</t>
        </is>
      </c>
      <c r="I2400" s="256" t="inlineStr">
        <is>
          <t>Ph. Eur. 2.8.2 · In-house · интерна</t>
        </is>
      </c>
      <c r="J2400" s="256" t="inlineStr">
        <is>
          <t>≤ 2.0% / 25–50 g · &lt; 1 cm leaves | листови, no seeds | без семки</t>
        </is>
      </c>
      <c r="K2400" s="256" t="inlineStr">
        <is>
          <t>Conforms | Одговара</t>
        </is>
      </c>
      <c r="L2400" s="256" t="inlineStr">
        <is>
          <t>iCoA-PP_26-103</t>
        </is>
      </c>
      <c r="M2400" s="256" t="inlineStr">
        <is>
          <t>27.07.2026</t>
        </is>
      </c>
      <c r="N2400" s="256" t="inlineStr">
        <is>
          <t>Purely Plant GmbH (in-house)</t>
        </is>
      </c>
      <c r="O2400" s="256" t="inlineStr">
        <is>
          <t>—</t>
        </is>
      </c>
      <c r="P2400" s="256" t="inlineStr">
        <is>
          <t>covered</t>
        </is>
      </c>
      <c r="Q2400" s="256" t="inlineStr">
        <is>
          <t>Purely Plant laboratory — iCoA covering Foreign matter</t>
        </is>
      </c>
      <c r="R2400" s="256" t="inlineStr"/>
    </row>
    <row r="2401">
      <c r="A2401" s="256" t="inlineStr">
        <is>
          <t>CoQ-PP_26-105</t>
        </is>
      </c>
      <c r="B2401" s="256" t="inlineStr">
        <is>
          <t>reissue — retest</t>
        </is>
      </c>
      <c r="C2401" s="256" t="inlineStr">
        <is>
          <t>CJ062501-2</t>
        </is>
      </c>
      <c r="D2401" s="256" t="inlineStr">
        <is>
          <t>P050212</t>
        </is>
      </c>
      <c r="E2401" s="256" t="inlineStr">
        <is>
          <t>Cap Junky</t>
        </is>
      </c>
      <c r="F2401" s="256" t="inlineStr">
        <is>
          <t>07.09.2026</t>
        </is>
      </c>
      <c r="G2401" s="256" t="inlineStr">
        <is>
          <t>8</t>
        </is>
      </c>
      <c r="H2401" s="256" t="inlineStr">
        <is>
          <t>Loss on Drying</t>
        </is>
      </c>
      <c r="I2401" s="256" t="inlineStr">
        <is>
          <t>DAB 2018 monograph Cannabis flos, 2.2.32 — loss on drying (CNP, before its Ph. Eur. 3028 accreditation)</t>
        </is>
      </c>
      <c r="J2401" s="256" t="inlineStr">
        <is>
          <t>≤ 12.0%</t>
        </is>
      </c>
      <c r="K2401" s="256" t="inlineStr">
        <is>
          <t>6.70</t>
        </is>
      </c>
      <c r="L2401" s="256" t="inlineStr">
        <is>
          <t>ППК25322</t>
        </is>
      </c>
      <c r="M2401" s="256" t="inlineStr">
        <is>
          <t>23.10.2025</t>
        </is>
      </c>
      <c r="N2401" s="256" t="inlineStr">
        <is>
          <t>UKIM Faculty of Pharmacy — Center for Natural Products</t>
        </is>
      </c>
      <c r="O2401" s="256" t="inlineStr">
        <is>
          <t>10.10.2025</t>
        </is>
      </c>
      <c r="P2401" s="256" t="inlineStr">
        <is>
          <t>carried from the initial testing (the batch's initial CoQ (number assigned on issue)) — covered</t>
        </is>
      </c>
      <c r="Q2401" s="256" t="inlineStr"/>
      <c r="R2401" s="256" t="inlineStr"/>
    </row>
    <row r="2402">
      <c r="A2402" s="256" t="inlineStr">
        <is>
          <t>CoQ-PP_26-105</t>
        </is>
      </c>
      <c r="B2402" s="256" t="inlineStr">
        <is>
          <t>reissue — retest</t>
        </is>
      </c>
      <c r="C2402" s="256" t="inlineStr">
        <is>
          <t>CJ062501-2</t>
        </is>
      </c>
      <c r="D2402" s="256" t="inlineStr">
        <is>
          <t>P050212</t>
        </is>
      </c>
      <c r="E2402" s="256" t="inlineStr">
        <is>
          <t>Cap Junky</t>
        </is>
      </c>
      <c r="F2402" s="256" t="inlineStr">
        <is>
          <t>07.09.2026</t>
        </is>
      </c>
      <c r="G2402" s="256" t="inlineStr">
        <is>
          <t>9.1</t>
        </is>
      </c>
      <c r="H2402" s="256" t="inlineStr">
        <is>
          <t>TAMC</t>
        </is>
      </c>
      <c r="I2402" s="256" t="inlineStr">
        <is>
          <t>Ph. Eur. 2.6.12 cat. C</t>
        </is>
      </c>
      <c r="J2402" s="256" t="inlineStr">
        <is>
          <t>≤ 10⁵ CFU/g</t>
        </is>
      </c>
      <c r="K2402" s="256" t="inlineStr">
        <is>
          <t>6,2 × 10³</t>
        </is>
      </c>
      <c r="L2402" s="256" t="inlineStr">
        <is>
          <t>534/1065/26</t>
        </is>
      </c>
      <c r="M2402" s="256" t="inlineStr">
        <is>
          <t>31.08.2026</t>
        </is>
      </c>
      <c r="N2402" s="256" t="inlineStr">
        <is>
          <t>IPH — Institute of Public Health</t>
        </is>
      </c>
      <c r="O2402" s="256" t="inlineStr">
        <is>
          <t>—</t>
        </is>
      </c>
      <c r="P2402" s="256" t="inlineStr">
        <is>
          <t>covered</t>
        </is>
      </c>
      <c r="Q2402" s="256" t="inlineStr"/>
      <c r="R2402" s="256" t="inlineStr"/>
    </row>
    <row r="2403">
      <c r="A2403" s="256" t="inlineStr">
        <is>
          <t>CoQ-PP_26-105</t>
        </is>
      </c>
      <c r="B2403" s="256" t="inlineStr">
        <is>
          <t>reissue — retest</t>
        </is>
      </c>
      <c r="C2403" s="256" t="inlineStr">
        <is>
          <t>CJ062501-2</t>
        </is>
      </c>
      <c r="D2403" s="256" t="inlineStr">
        <is>
          <t>P050212</t>
        </is>
      </c>
      <c r="E2403" s="256" t="inlineStr">
        <is>
          <t>Cap Junky</t>
        </is>
      </c>
      <c r="F2403" s="256" t="inlineStr">
        <is>
          <t>07.09.2026</t>
        </is>
      </c>
      <c r="G2403" s="256" t="inlineStr">
        <is>
          <t>9.2</t>
        </is>
      </c>
      <c r="H2403" s="256" t="inlineStr">
        <is>
          <t>TYMC</t>
        </is>
      </c>
      <c r="I2403" s="256" t="inlineStr">
        <is>
          <t>Ph. Eur. 2.6.12 cat. C</t>
        </is>
      </c>
      <c r="J2403" s="256" t="inlineStr">
        <is>
          <t>≤ 10⁴ CFU/g</t>
        </is>
      </c>
      <c r="K2403" s="256" t="inlineStr">
        <is>
          <t>2,3 × 10²</t>
        </is>
      </c>
      <c r="L2403" s="256" t="inlineStr">
        <is>
          <t>534/1065/26</t>
        </is>
      </c>
      <c r="M2403" s="256" t="inlineStr">
        <is>
          <t>31.08.2026</t>
        </is>
      </c>
      <c r="N2403" s="256" t="inlineStr">
        <is>
          <t>IPH — Institute of Public Health</t>
        </is>
      </c>
      <c r="O2403" s="256" t="inlineStr">
        <is>
          <t>—</t>
        </is>
      </c>
      <c r="P2403" s="256" t="inlineStr">
        <is>
          <t>covered</t>
        </is>
      </c>
      <c r="Q2403" s="256" t="inlineStr"/>
      <c r="R2403" s="256" t="inlineStr"/>
    </row>
    <row r="2404">
      <c r="A2404" s="256" t="inlineStr">
        <is>
          <t>CoQ-PP_26-105</t>
        </is>
      </c>
      <c r="B2404" s="256" t="inlineStr">
        <is>
          <t>reissue — retest</t>
        </is>
      </c>
      <c r="C2404" s="256" t="inlineStr">
        <is>
          <t>CJ062501-2</t>
        </is>
      </c>
      <c r="D2404" s="256" t="inlineStr">
        <is>
          <t>P050212</t>
        </is>
      </c>
      <c r="E2404" s="256" t="inlineStr">
        <is>
          <t>Cap Junky</t>
        </is>
      </c>
      <c r="F2404" s="256" t="inlineStr">
        <is>
          <t>07.09.2026</t>
        </is>
      </c>
      <c r="G2404" s="256" t="inlineStr">
        <is>
          <t>9.3</t>
        </is>
      </c>
      <c r="H2404" s="256" t="inlineStr">
        <is>
          <t>Bile-tolerant gram-neg.</t>
        </is>
      </c>
      <c r="I2404" s="256" t="inlineStr">
        <is>
          <t>Ph. Eur. 2.6.31 cat. C</t>
        </is>
      </c>
      <c r="J2404" s="256" t="inlineStr">
        <is>
          <t>≤ 10⁴ CFU/g</t>
        </is>
      </c>
      <c r="K2404" s="256" t="inlineStr">
        <is>
          <t>&lt; 10⁴ and &gt; 10³</t>
        </is>
      </c>
      <c r="L2404" s="256" t="inlineStr">
        <is>
          <t>534/1065/26</t>
        </is>
      </c>
      <c r="M2404" s="256" t="inlineStr">
        <is>
          <t>31.08.2026</t>
        </is>
      </c>
      <c r="N2404" s="256" t="inlineStr">
        <is>
          <t>IPH — Institute of Public Health</t>
        </is>
      </c>
      <c r="O2404" s="256" t="inlineStr">
        <is>
          <t>—</t>
        </is>
      </c>
      <c r="P2404" s="256" t="inlineStr">
        <is>
          <t>covered</t>
        </is>
      </c>
      <c r="Q2404" s="256" t="inlineStr"/>
      <c r="R2404" s="256" t="inlineStr"/>
    </row>
    <row r="2405">
      <c r="A2405" s="256" t="inlineStr">
        <is>
          <t>CoQ-PP_26-105</t>
        </is>
      </c>
      <c r="B2405" s="256" t="inlineStr">
        <is>
          <t>reissue — retest</t>
        </is>
      </c>
      <c r="C2405" s="256" t="inlineStr">
        <is>
          <t>CJ062501-2</t>
        </is>
      </c>
      <c r="D2405" s="256" t="inlineStr">
        <is>
          <t>P050212</t>
        </is>
      </c>
      <c r="E2405" s="256" t="inlineStr">
        <is>
          <t>Cap Junky</t>
        </is>
      </c>
      <c r="F2405" s="256" t="inlineStr">
        <is>
          <t>07.09.2026</t>
        </is>
      </c>
      <c r="G2405" s="256" t="inlineStr">
        <is>
          <t>9.4</t>
        </is>
      </c>
      <c r="H2405" s="256" t="inlineStr">
        <is>
          <t>Salmonella</t>
        </is>
      </c>
      <c r="I2405" s="256" t="inlineStr">
        <is>
          <t>Ph. Eur. 2.6.31 cat. C</t>
        </is>
      </c>
      <c r="J2405" s="256" t="inlineStr">
        <is>
          <t>Absence | Отсуство / 25 g</t>
        </is>
      </c>
      <c r="K2405" s="256" t="inlineStr">
        <is>
          <t>Absent | Отсутна</t>
        </is>
      </c>
      <c r="L2405" s="256" t="inlineStr">
        <is>
          <t>534/1065/26</t>
        </is>
      </c>
      <c r="M2405" s="256" t="inlineStr">
        <is>
          <t>31.08.2026</t>
        </is>
      </c>
      <c r="N2405" s="256" t="inlineStr">
        <is>
          <t>IPH — Institute of Public Health</t>
        </is>
      </c>
      <c r="O2405" s="256" t="inlineStr">
        <is>
          <t>—</t>
        </is>
      </c>
      <c r="P2405" s="256" t="inlineStr">
        <is>
          <t>covered</t>
        </is>
      </c>
      <c r="Q2405" s="256" t="inlineStr"/>
      <c r="R2405" s="256" t="inlineStr"/>
    </row>
    <row r="2406">
      <c r="A2406" s="256" t="inlineStr">
        <is>
          <t>CoQ-PP_26-105</t>
        </is>
      </c>
      <c r="B2406" s="256" t="inlineStr">
        <is>
          <t>reissue — retest</t>
        </is>
      </c>
      <c r="C2406" s="256" t="inlineStr">
        <is>
          <t>CJ062501-2</t>
        </is>
      </c>
      <c r="D2406" s="256" t="inlineStr">
        <is>
          <t>P050212</t>
        </is>
      </c>
      <c r="E2406" s="256" t="inlineStr">
        <is>
          <t>Cap Junky</t>
        </is>
      </c>
      <c r="F2406" s="256" t="inlineStr">
        <is>
          <t>07.09.2026</t>
        </is>
      </c>
      <c r="G2406" s="256" t="inlineStr">
        <is>
          <t>9.5</t>
        </is>
      </c>
      <c r="H2406" s="256" t="inlineStr">
        <is>
          <t>Escherichia coli</t>
        </is>
      </c>
      <c r="I2406" s="256" t="inlineStr">
        <is>
          <t>Ph. Eur. 2.6.13 cat. C</t>
        </is>
      </c>
      <c r="J2406" s="256" t="inlineStr">
        <is>
          <t>Absence | Отсуство / 1 g</t>
        </is>
      </c>
      <c r="K2406" s="256" t="inlineStr">
        <is>
          <t>Absent | Отсутна</t>
        </is>
      </c>
      <c r="L2406" s="256" t="inlineStr">
        <is>
          <t>534/1065/26</t>
        </is>
      </c>
      <c r="M2406" s="256" t="inlineStr">
        <is>
          <t>31.08.2026</t>
        </is>
      </c>
      <c r="N2406" s="256" t="inlineStr">
        <is>
          <t>IPH — Institute of Public Health</t>
        </is>
      </c>
      <c r="O2406" s="256" t="inlineStr">
        <is>
          <t>—</t>
        </is>
      </c>
      <c r="P2406" s="256" t="inlineStr">
        <is>
          <t>covered</t>
        </is>
      </c>
      <c r="Q2406" s="256" t="inlineStr"/>
      <c r="R2406" s="256" t="inlineStr"/>
    </row>
    <row r="2407">
      <c r="A2407" s="256" t="inlineStr">
        <is>
          <t>CoQ-PP_26-105</t>
        </is>
      </c>
      <c r="B2407" s="256" t="inlineStr">
        <is>
          <t>reissue — retest</t>
        </is>
      </c>
      <c r="C2407" s="256" t="inlineStr">
        <is>
          <t>CJ062501-2</t>
        </is>
      </c>
      <c r="D2407" s="256" t="inlineStr">
        <is>
          <t>P050212</t>
        </is>
      </c>
      <c r="E2407" s="256" t="inlineStr">
        <is>
          <t>Cap Junky</t>
        </is>
      </c>
      <c r="F2407" s="256" t="inlineStr">
        <is>
          <t>07.09.2026</t>
        </is>
      </c>
      <c r="G2407" s="256" t="inlineStr">
        <is>
          <t>9.6</t>
        </is>
      </c>
      <c r="H2407" s="256" t="inlineStr">
        <is>
          <t>Pseudomonas aeruginosa</t>
        </is>
      </c>
      <c r="I2407" s="256" t="inlineStr">
        <is>
          <t>Ph. Eur. 2.6.13 cat. C</t>
        </is>
      </c>
      <c r="J2407" s="256" t="inlineStr">
        <is>
          <t>Absence | Отсуство / 1 g</t>
        </is>
      </c>
      <c r="K2407" s="260" t="inlineStr">
        <is>
          <t>upon request — not required for release</t>
        </is>
      </c>
      <c r="L2407" s="256" t="inlineStr">
        <is>
          <t>—</t>
        </is>
      </c>
      <c r="M2407" s="256" t="inlineStr">
        <is>
          <t>—</t>
        </is>
      </c>
      <c r="N2407" s="256" t="inlineStr">
        <is>
          <t>—</t>
        </is>
      </c>
      <c r="O2407" s="256" t="inlineStr">
        <is>
          <t>—</t>
        </is>
      </c>
      <c r="P2407" s="256" t="inlineStr">
        <is>
          <t>upon request — not required for release</t>
        </is>
      </c>
      <c r="Q2407" s="256" t="inlineStr"/>
      <c r="R2407" s="256" t="inlineStr"/>
    </row>
    <row r="2408">
      <c r="A2408" s="256" t="inlineStr">
        <is>
          <t>CoQ-PP_26-105</t>
        </is>
      </c>
      <c r="B2408" s="256" t="inlineStr">
        <is>
          <t>reissue — retest</t>
        </is>
      </c>
      <c r="C2408" s="256" t="inlineStr">
        <is>
          <t>CJ062501-2</t>
        </is>
      </c>
      <c r="D2408" s="256" t="inlineStr">
        <is>
          <t>P050212</t>
        </is>
      </c>
      <c r="E2408" s="256" t="inlineStr">
        <is>
          <t>Cap Junky</t>
        </is>
      </c>
      <c r="F2408" s="256" t="inlineStr">
        <is>
          <t>07.09.2026</t>
        </is>
      </c>
      <c r="G2408" s="256" t="inlineStr">
        <is>
          <t>9.7</t>
        </is>
      </c>
      <c r="H2408" s="256" t="inlineStr">
        <is>
          <t>Staphylococcus aureus</t>
        </is>
      </c>
      <c r="I2408" s="256" t="inlineStr">
        <is>
          <t>Ph. Eur. 2.6.13 cat. C</t>
        </is>
      </c>
      <c r="J2408" s="256" t="inlineStr">
        <is>
          <t>Absence | Отсуство / 1 g</t>
        </is>
      </c>
      <c r="K2408" s="260" t="inlineStr">
        <is>
          <t>upon request — not required for release</t>
        </is>
      </c>
      <c r="L2408" s="256" t="inlineStr">
        <is>
          <t>—</t>
        </is>
      </c>
      <c r="M2408" s="256" t="inlineStr">
        <is>
          <t>—</t>
        </is>
      </c>
      <c r="N2408" s="256" t="inlineStr">
        <is>
          <t>—</t>
        </is>
      </c>
      <c r="O2408" s="256" t="inlineStr">
        <is>
          <t>—</t>
        </is>
      </c>
      <c r="P2408" s="256" t="inlineStr">
        <is>
          <t>upon request — not required for release</t>
        </is>
      </c>
      <c r="Q2408" s="256" t="inlineStr"/>
      <c r="R2408" s="256" t="inlineStr"/>
    </row>
    <row r="2409">
      <c r="A2409" s="256" t="inlineStr">
        <is>
          <t>CoQ-PP_26-105</t>
        </is>
      </c>
      <c r="B2409" s="256" t="inlineStr">
        <is>
          <t>reissue — retest</t>
        </is>
      </c>
      <c r="C2409" s="256" t="inlineStr">
        <is>
          <t>CJ062501-2</t>
        </is>
      </c>
      <c r="D2409" s="256" t="inlineStr">
        <is>
          <t>P050212</t>
        </is>
      </c>
      <c r="E2409" s="256" t="inlineStr">
        <is>
          <t>Cap Junky</t>
        </is>
      </c>
      <c r="F2409" s="256" t="inlineStr">
        <is>
          <t>07.09.2026</t>
        </is>
      </c>
      <c r="G2409" s="256" t="inlineStr">
        <is>
          <t>10.1</t>
        </is>
      </c>
      <c r="H2409" s="256" t="inlineStr">
        <is>
          <t>Aflatoxin B₁</t>
        </is>
      </c>
      <c r="I2409" s="256" t="inlineStr">
        <is>
          <t>Ph. Eur. 2.8.18 (HPLC-FLD)</t>
        </is>
      </c>
      <c r="J2409" s="256" t="inlineStr">
        <is>
          <t>≤ 2 µg/kg</t>
        </is>
      </c>
      <c r="K2409" s="256" t="inlineStr">
        <is>
          <t>ND</t>
        </is>
      </c>
      <c r="L2409" s="256" t="inlineStr">
        <is>
          <t>197-4-М/26</t>
        </is>
      </c>
      <c r="M2409" s="256" t="inlineStr">
        <is>
          <t>10.08.2026</t>
        </is>
      </c>
      <c r="N2409" s="256" t="inlineStr">
        <is>
          <t>Farmahem</t>
        </is>
      </c>
      <c r="O2409" s="256" t="inlineStr">
        <is>
          <t>29.07.2026</t>
        </is>
      </c>
      <c r="P2409" s="256" t="inlineStr">
        <is>
          <t>covered</t>
        </is>
      </c>
      <c r="Q2409" s="256" t="inlineStr"/>
      <c r="R2409" s="256" t="inlineStr"/>
    </row>
    <row r="2410">
      <c r="A2410" s="256" t="inlineStr">
        <is>
          <t>CoQ-PP_26-105</t>
        </is>
      </c>
      <c r="B2410" s="256" t="inlineStr">
        <is>
          <t>reissue — retest</t>
        </is>
      </c>
      <c r="C2410" s="256" t="inlineStr">
        <is>
          <t>CJ062501-2</t>
        </is>
      </c>
      <c r="D2410" s="256" t="inlineStr">
        <is>
          <t>P050212</t>
        </is>
      </c>
      <c r="E2410" s="256" t="inlineStr">
        <is>
          <t>Cap Junky</t>
        </is>
      </c>
      <c r="F2410" s="256" t="inlineStr">
        <is>
          <t>07.09.2026</t>
        </is>
      </c>
      <c r="G2410" s="256" t="inlineStr">
        <is>
          <t>10.2</t>
        </is>
      </c>
      <c r="H2410" s="256" t="inlineStr">
        <is>
          <t>Aflatoxins ∑</t>
        </is>
      </c>
      <c r="I2410" s="256" t="inlineStr">
        <is>
          <t>Ph. Eur. 2.8.18 (HPLC-FLD)</t>
        </is>
      </c>
      <c r="J2410" s="256" t="inlineStr">
        <is>
          <t>≤ 4 µg/kg</t>
        </is>
      </c>
      <c r="K2410" s="256" t="inlineStr">
        <is>
          <t>ND</t>
        </is>
      </c>
      <c r="L2410" s="256" t="inlineStr">
        <is>
          <t>197-4-М/26</t>
        </is>
      </c>
      <c r="M2410" s="256" t="inlineStr">
        <is>
          <t>10.08.2026</t>
        </is>
      </c>
      <c r="N2410" s="256" t="inlineStr">
        <is>
          <t>Farmahem</t>
        </is>
      </c>
      <c r="O2410" s="256" t="inlineStr">
        <is>
          <t>29.07.2026</t>
        </is>
      </c>
      <c r="P2410" s="256" t="inlineStr">
        <is>
          <t>covered</t>
        </is>
      </c>
      <c r="Q2410" s="256" t="inlineStr"/>
      <c r="R2410" s="256" t="inlineStr"/>
    </row>
    <row r="2411">
      <c r="A2411" s="256" t="inlineStr">
        <is>
          <t>CoQ-PP_26-105</t>
        </is>
      </c>
      <c r="B2411" s="256" t="inlineStr">
        <is>
          <t>reissue — retest</t>
        </is>
      </c>
      <c r="C2411" s="256" t="inlineStr">
        <is>
          <t>CJ062501-2</t>
        </is>
      </c>
      <c r="D2411" s="256" t="inlineStr">
        <is>
          <t>P050212</t>
        </is>
      </c>
      <c r="E2411" s="256" t="inlineStr">
        <is>
          <t>Cap Junky</t>
        </is>
      </c>
      <c r="F2411" s="256" t="inlineStr">
        <is>
          <t>07.09.2026</t>
        </is>
      </c>
      <c r="G2411" s="256" t="inlineStr">
        <is>
          <t>10.3</t>
        </is>
      </c>
      <c r="H2411" s="256" t="inlineStr">
        <is>
          <t>Ochratoxin A</t>
        </is>
      </c>
      <c r="I2411" s="256" t="inlineStr">
        <is>
          <t>Ph. Eur. 2.8.22 (HPLC-FLD)</t>
        </is>
      </c>
      <c r="J2411" s="256" t="inlineStr">
        <is>
          <t>≤ 20 µg/kg</t>
        </is>
      </c>
      <c r="K2411" s="256" t="inlineStr">
        <is>
          <t>ND</t>
        </is>
      </c>
      <c r="L2411" s="256" t="inlineStr">
        <is>
          <t>197-4-М/26</t>
        </is>
      </c>
      <c r="M2411" s="256" t="inlineStr">
        <is>
          <t>10.08.2026</t>
        </is>
      </c>
      <c r="N2411" s="256" t="inlineStr">
        <is>
          <t>Farmahem</t>
        </is>
      </c>
      <c r="O2411" s="256" t="inlineStr">
        <is>
          <t>29.07.2026</t>
        </is>
      </c>
      <c r="P2411" s="256" t="inlineStr">
        <is>
          <t>covered</t>
        </is>
      </c>
      <c r="Q2411" s="256" t="inlineStr"/>
      <c r="R2411" s="256" t="inlineStr"/>
    </row>
    <row r="2412">
      <c r="A2412" s="256" t="inlineStr">
        <is>
          <t>CoQ-PP_26-105</t>
        </is>
      </c>
      <c r="B2412" s="256" t="inlineStr">
        <is>
          <t>reissue — retest</t>
        </is>
      </c>
      <c r="C2412" s="256" t="inlineStr">
        <is>
          <t>CJ062501-2</t>
        </is>
      </c>
      <c r="D2412" s="256" t="inlineStr">
        <is>
          <t>P050212</t>
        </is>
      </c>
      <c r="E2412" s="256" t="inlineStr">
        <is>
          <t>Cap Junky</t>
        </is>
      </c>
      <c r="F2412" s="256" t="inlineStr">
        <is>
          <t>07.09.2026</t>
        </is>
      </c>
      <c r="G2412" s="256" t="inlineStr">
        <is>
          <t>11.1</t>
        </is>
      </c>
      <c r="H2412" s="256" t="inlineStr">
        <is>
          <t>Lead (Pb)</t>
        </is>
      </c>
      <c r="I2412" s="256" t="inlineStr">
        <is>
          <t>Ph. Eur. 2.4.27 (ICP-MS)</t>
        </is>
      </c>
      <c r="J2412" s="256" t="inlineStr">
        <is>
          <t>≤ 0.5 mg/kg</t>
        </is>
      </c>
      <c r="K2412" s="256" t="inlineStr">
        <is>
          <t>0.026</t>
        </is>
      </c>
      <c r="L2412" s="256" t="inlineStr">
        <is>
          <t>4908/2025</t>
        </is>
      </c>
      <c r="M2412" s="256" t="inlineStr">
        <is>
          <t>24.10.2025</t>
        </is>
      </c>
      <c r="N2412" s="256" t="inlineStr">
        <is>
          <t>IPH — Institute of Public Health</t>
        </is>
      </c>
      <c r="O2412" s="256" t="inlineStr">
        <is>
          <t>10.10.2025</t>
        </is>
      </c>
      <c r="P2412" s="256" t="inlineStr">
        <is>
          <t>carried from the initial testing (the batch's initial CoQ (number assigned on issue)) — covered</t>
        </is>
      </c>
      <c r="Q2412" s="256" t="inlineStr"/>
      <c r="R2412" s="256" t="inlineStr"/>
    </row>
    <row r="2413">
      <c r="A2413" s="256" t="inlineStr">
        <is>
          <t>CoQ-PP_26-105</t>
        </is>
      </c>
      <c r="B2413" s="256" t="inlineStr">
        <is>
          <t>reissue — retest</t>
        </is>
      </c>
      <c r="C2413" s="256" t="inlineStr">
        <is>
          <t>CJ062501-2</t>
        </is>
      </c>
      <c r="D2413" s="256" t="inlineStr">
        <is>
          <t>P050212</t>
        </is>
      </c>
      <c r="E2413" s="256" t="inlineStr">
        <is>
          <t>Cap Junky</t>
        </is>
      </c>
      <c r="F2413" s="256" t="inlineStr">
        <is>
          <t>07.09.2026</t>
        </is>
      </c>
      <c r="G2413" s="256" t="inlineStr">
        <is>
          <t>11.2</t>
        </is>
      </c>
      <c r="H2413" s="256" t="inlineStr">
        <is>
          <t>Cadmium (Cd)</t>
        </is>
      </c>
      <c r="I2413" s="256" t="inlineStr">
        <is>
          <t>Ph. Eur. 2.4.27 (ICP-MS)</t>
        </is>
      </c>
      <c r="J2413" s="256" t="inlineStr">
        <is>
          <t>≤ 0.3 mg/kg</t>
        </is>
      </c>
      <c r="K2413" s="256" t="inlineStr">
        <is>
          <t>0.002</t>
        </is>
      </c>
      <c r="L2413" s="256" t="inlineStr">
        <is>
          <t>4908/2025</t>
        </is>
      </c>
      <c r="M2413" s="256" t="inlineStr">
        <is>
          <t>24.10.2025</t>
        </is>
      </c>
      <c r="N2413" s="256" t="inlineStr">
        <is>
          <t>IPH — Institute of Public Health</t>
        </is>
      </c>
      <c r="O2413" s="256" t="inlineStr">
        <is>
          <t>10.10.2025</t>
        </is>
      </c>
      <c r="P2413" s="256" t="inlineStr">
        <is>
          <t>carried from the initial testing (the batch's initial CoQ (number assigned on issue)) — covered</t>
        </is>
      </c>
      <c r="Q2413" s="256" t="inlineStr"/>
      <c r="R2413" s="256" t="inlineStr"/>
    </row>
    <row r="2414">
      <c r="A2414" s="256" t="inlineStr">
        <is>
          <t>CoQ-PP_26-105</t>
        </is>
      </c>
      <c r="B2414" s="256" t="inlineStr">
        <is>
          <t>reissue — retest</t>
        </is>
      </c>
      <c r="C2414" s="256" t="inlineStr">
        <is>
          <t>CJ062501-2</t>
        </is>
      </c>
      <c r="D2414" s="256" t="inlineStr">
        <is>
          <t>P050212</t>
        </is>
      </c>
      <c r="E2414" s="256" t="inlineStr">
        <is>
          <t>Cap Junky</t>
        </is>
      </c>
      <c r="F2414" s="256" t="inlineStr">
        <is>
          <t>07.09.2026</t>
        </is>
      </c>
      <c r="G2414" s="256" t="inlineStr">
        <is>
          <t>11.3</t>
        </is>
      </c>
      <c r="H2414" s="256" t="inlineStr">
        <is>
          <t>Arsenic (As)</t>
        </is>
      </c>
      <c r="I2414" s="256" t="inlineStr">
        <is>
          <t>Ph. Eur. 2.4.27 (ICP-MS)</t>
        </is>
      </c>
      <c r="J2414" s="256" t="inlineStr">
        <is>
          <t>≤ 0.2 mg/kg</t>
        </is>
      </c>
      <c r="K2414" s="256" t="inlineStr">
        <is>
          <t>0.011</t>
        </is>
      </c>
      <c r="L2414" s="256" t="inlineStr">
        <is>
          <t>4908/2025</t>
        </is>
      </c>
      <c r="M2414" s="256" t="inlineStr">
        <is>
          <t>24.10.2025</t>
        </is>
      </c>
      <c r="N2414" s="256" t="inlineStr">
        <is>
          <t>IPH — Institute of Public Health</t>
        </is>
      </c>
      <c r="O2414" s="256" t="inlineStr">
        <is>
          <t>10.10.2025</t>
        </is>
      </c>
      <c r="P2414" s="256" t="inlineStr">
        <is>
          <t>carried from the initial testing (the batch's initial CoQ (number assigned on issue)) — covered</t>
        </is>
      </c>
      <c r="Q2414" s="256" t="inlineStr"/>
      <c r="R2414" s="256" t="inlineStr"/>
    </row>
    <row r="2415">
      <c r="A2415" s="256" t="inlineStr">
        <is>
          <t>CoQ-PP_26-105</t>
        </is>
      </c>
      <c r="B2415" s="256" t="inlineStr">
        <is>
          <t>reissue — retest</t>
        </is>
      </c>
      <c r="C2415" s="256" t="inlineStr">
        <is>
          <t>CJ062501-2</t>
        </is>
      </c>
      <c r="D2415" s="256" t="inlineStr">
        <is>
          <t>P050212</t>
        </is>
      </c>
      <c r="E2415" s="256" t="inlineStr">
        <is>
          <t>Cap Junky</t>
        </is>
      </c>
      <c r="F2415" s="256" t="inlineStr">
        <is>
          <t>07.09.2026</t>
        </is>
      </c>
      <c r="G2415" s="256" t="inlineStr">
        <is>
          <t>11.4</t>
        </is>
      </c>
      <c r="H2415" s="256" t="inlineStr">
        <is>
          <t>Mercury (Hg)</t>
        </is>
      </c>
      <c r="I2415" s="256" t="inlineStr">
        <is>
          <t>Ph. Eur. 2.4.27 (ICP-MS)</t>
        </is>
      </c>
      <c r="J2415" s="256" t="inlineStr">
        <is>
          <t>≤ 0.1 mg/kg</t>
        </is>
      </c>
      <c r="K2415" s="256" t="inlineStr">
        <is>
          <t>0.012</t>
        </is>
      </c>
      <c r="L2415" s="256" t="inlineStr">
        <is>
          <t>4908/2025</t>
        </is>
      </c>
      <c r="M2415" s="256" t="inlineStr">
        <is>
          <t>24.10.2025</t>
        </is>
      </c>
      <c r="N2415" s="256" t="inlineStr">
        <is>
          <t>IPH — Institute of Public Health</t>
        </is>
      </c>
      <c r="O2415" s="256" t="inlineStr">
        <is>
          <t>10.10.2025</t>
        </is>
      </c>
      <c r="P2415" s="256" t="inlineStr">
        <is>
          <t>carried from the initial testing (the batch's initial CoQ (number assigned on issue)) — covered</t>
        </is>
      </c>
      <c r="Q2415" s="256" t="inlineStr"/>
      <c r="R2415" s="256" t="inlineStr"/>
    </row>
    <row r="2416">
      <c r="A2416" s="256" t="inlineStr">
        <is>
          <t>CoQ-PP_26-105</t>
        </is>
      </c>
      <c r="B2416" s="256" t="inlineStr">
        <is>
          <t>reissue — retest</t>
        </is>
      </c>
      <c r="C2416" s="256" t="inlineStr">
        <is>
          <t>CJ062501-2</t>
        </is>
      </c>
      <c r="D2416" s="256" t="inlineStr">
        <is>
          <t>P050212</t>
        </is>
      </c>
      <c r="E2416" s="256" t="inlineStr">
        <is>
          <t>Cap Junky</t>
        </is>
      </c>
      <c r="F2416" s="256" t="inlineStr">
        <is>
          <t>07.09.2026</t>
        </is>
      </c>
      <c r="G2416" s="256" t="inlineStr">
        <is>
          <t>12</t>
        </is>
      </c>
      <c r="H2416" s="256" t="inlineStr">
        <is>
          <t>Pesticide Residues</t>
        </is>
      </c>
      <c r="I2416" s="256" t="inlineStr">
        <is>
          <t>Ph. Eur. 2.8.13 (LC-MS/MS) · CUMCS Equivalency</t>
        </is>
      </c>
      <c r="J2416" s="256" t="inlineStr">
        <is>
          <t>≤ LOQ as per Ph. Eur. 2.8.13 · ≤ LOQ as per CUMCS Equivalency</t>
        </is>
      </c>
      <c r="K2416" s="256" t="inlineStr">
        <is>
          <t>ND</t>
        </is>
      </c>
      <c r="L2416" s="256" t="inlineStr">
        <is>
          <t>4908/2025</t>
        </is>
      </c>
      <c r="M2416" s="256" t="inlineStr">
        <is>
          <t>24.10.2025</t>
        </is>
      </c>
      <c r="N2416" s="256" t="inlineStr">
        <is>
          <t>IPH — Institute of Public Health</t>
        </is>
      </c>
      <c r="O2416" s="256" t="inlineStr">
        <is>
          <t>10.10.2025</t>
        </is>
      </c>
      <c r="P2416" s="256" t="inlineStr">
        <is>
          <t>carried from the initial testing (the batch's initial CoQ (number assigned on issue)) — covered</t>
        </is>
      </c>
      <c r="Q2416" s="256" t="inlineStr"/>
      <c r="R2416" s="256" t="inlineStr"/>
    </row>
    <row r="2417">
      <c r="A2417" s="256" t="inlineStr">
        <is>
          <t>CoQ-PP_26-106</t>
        </is>
      </c>
      <c r="B2417" s="256" t="inlineStr">
        <is>
          <t>reissue — retest</t>
        </is>
      </c>
      <c r="C2417" s="256" t="inlineStr">
        <is>
          <t>ACC102501</t>
        </is>
      </c>
      <c r="D2417" s="256" t="inlineStr">
        <is>
          <t>P060122</t>
        </is>
      </c>
      <c r="E2417" s="256" t="inlineStr">
        <is>
          <t>Amnesia Core Cut</t>
        </is>
      </c>
      <c r="F2417" s="256" t="inlineStr">
        <is>
          <t>18.09.2026</t>
        </is>
      </c>
      <c r="G2417" s="256" t="inlineStr">
        <is>
          <t>1</t>
        </is>
      </c>
      <c r="H2417" s="256" t="inlineStr">
        <is>
          <t>Identification A, Appearance · Macroscopic</t>
        </is>
      </c>
      <c r="I2417" s="256" t="inlineStr">
        <is>
          <t>Ph. Eur. mon. 3028</t>
        </is>
      </c>
      <c r="J2417" s="256" t="inlineStr">
        <is>
          <t>Conforms to the monograph for Cannabis flos (07/2024:3028) in Ph. Eur. 11.0 | Согласно монографија за Cannabis flos (07/2024:3028) во Ph. Eur. 11.0</t>
        </is>
      </c>
      <c r="K2417" s="256" t="inlineStr">
        <is>
          <t>Conforms | Одговара</t>
        </is>
      </c>
      <c r="L2417" s="256" t="inlineStr">
        <is>
          <t>iCoA-PP_26-123</t>
        </is>
      </c>
      <c r="M2417" s="256" t="inlineStr">
        <is>
          <t>17.08.2026</t>
        </is>
      </c>
      <c r="N2417" s="256" t="inlineStr">
        <is>
          <t>Purely Plant GmbH (in-house)</t>
        </is>
      </c>
      <c r="O2417" s="256" t="inlineStr">
        <is>
          <t>—</t>
        </is>
      </c>
      <c r="P2417" s="256" t="inlineStr">
        <is>
          <t>to be performed — see route</t>
        </is>
      </c>
      <c r="Q2417" s="256" t="inlineStr">
        <is>
          <t>Farmahem — Ident A + B + C with the Assay, at retest</t>
        </is>
      </c>
      <c r="R2417" s="256" t="inlineStr"/>
    </row>
    <row r="2418">
      <c r="A2418" s="256" t="inlineStr">
        <is>
          <t>CoQ-PP_26-106</t>
        </is>
      </c>
      <c r="B2418" s="256" t="inlineStr">
        <is>
          <t>reissue — retest</t>
        </is>
      </c>
      <c r="C2418" s="256" t="inlineStr">
        <is>
          <t>ACC102501</t>
        </is>
      </c>
      <c r="D2418" s="256" t="inlineStr">
        <is>
          <t>P060122</t>
        </is>
      </c>
      <c r="E2418" s="256" t="inlineStr">
        <is>
          <t>Amnesia Core Cut</t>
        </is>
      </c>
      <c r="F2418" s="256" t="inlineStr">
        <is>
          <t>18.09.2026</t>
        </is>
      </c>
      <c r="G2418" s="256" t="inlineStr">
        <is>
          <t>2</t>
        </is>
      </c>
      <c r="H2418" s="256" t="inlineStr">
        <is>
          <t>Identification B · Microscopic</t>
        </is>
      </c>
      <c r="I2418" s="256" t="inlineStr">
        <is>
          <t>Ph. Eur. 2.8.23 (microscopy)</t>
        </is>
      </c>
      <c r="J2418" s="256" t="inlineStr">
        <is>
          <t>Conforms to the monograph for Cannabis flos (07/2024:3028) in Ph. Eur. 11.0 | Согласно монографија за Cannabis flos (07/2024:3028) во Ph. Eur. 11.0</t>
        </is>
      </c>
      <c r="K2418" s="256" t="inlineStr">
        <is>
          <t>Conforms | Одговара</t>
        </is>
      </c>
      <c r="L2418" s="256" t="inlineStr">
        <is>
          <t>iCoA-PP_26-123</t>
        </is>
      </c>
      <c r="M2418" s="256" t="inlineStr">
        <is>
          <t>17.08.2026</t>
        </is>
      </c>
      <c r="N2418" s="256" t="inlineStr">
        <is>
          <t>Purely Plant GmbH (in-house)</t>
        </is>
      </c>
      <c r="O2418" s="256" t="inlineStr">
        <is>
          <t>—</t>
        </is>
      </c>
      <c r="P2418" s="256" t="inlineStr">
        <is>
          <t>to be performed — see route</t>
        </is>
      </c>
      <c r="Q2418" s="256" t="inlineStr">
        <is>
          <t>Farmahem — Ident A + B + C with the Assay, at retest</t>
        </is>
      </c>
      <c r="R2418" s="256" t="inlineStr"/>
    </row>
    <row r="2419">
      <c r="A2419" s="256" t="inlineStr">
        <is>
          <t>CoQ-PP_26-106</t>
        </is>
      </c>
      <c r="B2419" s="256" t="inlineStr">
        <is>
          <t>reissue — retest</t>
        </is>
      </c>
      <c r="C2419" s="256" t="inlineStr">
        <is>
          <t>ACC102501</t>
        </is>
      </c>
      <c r="D2419" s="256" t="inlineStr">
        <is>
          <t>P060122</t>
        </is>
      </c>
      <c r="E2419" s="256" t="inlineStr">
        <is>
          <t>Amnesia Core Cut</t>
        </is>
      </c>
      <c r="F2419" s="256" t="inlineStr">
        <is>
          <t>18.09.2026</t>
        </is>
      </c>
      <c r="G2419" s="256" t="inlineStr">
        <is>
          <t>3</t>
        </is>
      </c>
      <c r="H2419" s="256" t="inlineStr">
        <is>
          <t>Identification C · HPLC/HPTLC</t>
        </is>
      </c>
      <c r="I2419" s="256" t="inlineStr">
        <is>
          <t>Ph. Eur. 2.2.29 (3028)</t>
        </is>
      </c>
      <c r="J2419" s="256" t="inlineStr">
        <is>
          <t>Conforms to the monograph for Cannabis flos (07/2024:3028) in Ph. Eur. 11.0 | Согласно монографија за Cannabis flos (07/2024:3028) во Ph. Eur. 11.0</t>
        </is>
      </c>
      <c r="K2419" s="256" t="inlineStr">
        <is>
          <t>Conforms | Одговара</t>
        </is>
      </c>
      <c r="L2419" s="256" t="inlineStr">
        <is>
          <t>220-1-К/26</t>
        </is>
      </c>
      <c r="M2419" s="256" t="inlineStr">
        <is>
          <t>25.08.2026</t>
        </is>
      </c>
      <c r="N2419" s="256" t="inlineStr">
        <is>
          <t>Farmahem</t>
        </is>
      </c>
      <c r="O2419" s="256" t="inlineStr">
        <is>
          <t>17.08.2026</t>
        </is>
      </c>
      <c r="P2419" s="256" t="inlineStr">
        <is>
          <t>covered</t>
        </is>
      </c>
      <c r="Q2419" s="256" t="inlineStr"/>
      <c r="R2419" s="256" t="inlineStr"/>
    </row>
    <row r="2420">
      <c r="A2420" s="256" t="inlineStr">
        <is>
          <t>CoQ-PP_26-106</t>
        </is>
      </c>
      <c r="B2420" s="256" t="inlineStr">
        <is>
          <t>reissue — retest</t>
        </is>
      </c>
      <c r="C2420" s="256" t="inlineStr">
        <is>
          <t>ACC102501</t>
        </is>
      </c>
      <c r="D2420" s="256" t="inlineStr">
        <is>
          <t>P060122</t>
        </is>
      </c>
      <c r="E2420" s="256" t="inlineStr">
        <is>
          <t>Amnesia Core Cut</t>
        </is>
      </c>
      <c r="F2420" s="256" t="inlineStr">
        <is>
          <t>18.09.2026</t>
        </is>
      </c>
      <c r="G2420" s="256" t="inlineStr">
        <is>
          <t>4</t>
        </is>
      </c>
      <c r="H2420" s="256" t="inlineStr">
        <is>
          <t>Assay — Total Δ⁹-THC</t>
        </is>
      </c>
      <c r="I2420" s="256" t="inlineStr">
        <is>
          <t>Ph. Eur. 2.2.29 (HPLC)</t>
        </is>
      </c>
      <c r="J2420" s="256" t="inlineStr">
        <is>
          <t>10.80 – 13.19 %  (grade I, nominal 12.00 ± 1.20)</t>
        </is>
      </c>
      <c r="K2420" s="256" t="inlineStr">
        <is>
          <t>12.09</t>
        </is>
      </c>
      <c r="L2420" s="256" t="inlineStr">
        <is>
          <t>220-1-К/26</t>
        </is>
      </c>
      <c r="M2420" s="256" t="inlineStr">
        <is>
          <t>25.08.2026</t>
        </is>
      </c>
      <c r="N2420" s="256" t="inlineStr">
        <is>
          <t>Farmahem</t>
        </is>
      </c>
      <c r="O2420" s="256" t="inlineStr">
        <is>
          <t>17.08.2026</t>
        </is>
      </c>
      <c r="P2420" s="256" t="inlineStr">
        <is>
          <t>covered</t>
        </is>
      </c>
      <c r="Q2420" s="256" t="inlineStr"/>
      <c r="R2420" s="256" t="inlineStr"/>
    </row>
    <row r="2421">
      <c r="A2421" s="256" t="inlineStr">
        <is>
          <t>CoQ-PP_26-106</t>
        </is>
      </c>
      <c r="B2421" s="256" t="inlineStr">
        <is>
          <t>reissue — retest</t>
        </is>
      </c>
      <c r="C2421" s="256" t="inlineStr">
        <is>
          <t>ACC102501</t>
        </is>
      </c>
      <c r="D2421" s="256" t="inlineStr">
        <is>
          <t>P060122</t>
        </is>
      </c>
      <c r="E2421" s="256" t="inlineStr">
        <is>
          <t>Amnesia Core Cut</t>
        </is>
      </c>
      <c r="F2421" s="256" t="inlineStr">
        <is>
          <t>18.09.2026</t>
        </is>
      </c>
      <c r="G2421" s="256" t="inlineStr">
        <is>
          <t>5</t>
        </is>
      </c>
      <c r="H2421" s="256" t="inlineStr">
        <is>
          <t>Assay — Total CBD</t>
        </is>
      </c>
      <c r="I2421" s="256" t="inlineStr">
        <is>
          <t>Ph. Eur. 2.2.29 (HPLC) · CBD + CBDA x 0.877</t>
        </is>
      </c>
      <c r="J2421" s="256" t="inlineStr">
        <is>
          <t>≤ 1.0%, w/w</t>
        </is>
      </c>
      <c r="K2421" s="256" t="inlineStr">
        <is>
          <t>&lt; LOQ</t>
        </is>
      </c>
      <c r="L2421" s="256" t="inlineStr">
        <is>
          <t>220-1-К/26</t>
        </is>
      </c>
      <c r="M2421" s="256" t="inlineStr">
        <is>
          <t>25.08.2026</t>
        </is>
      </c>
      <c r="N2421" s="256" t="inlineStr">
        <is>
          <t>Farmahem</t>
        </is>
      </c>
      <c r="O2421" s="256" t="inlineStr">
        <is>
          <t>17.08.2026</t>
        </is>
      </c>
      <c r="P2421" s="256" t="inlineStr">
        <is>
          <t>covered</t>
        </is>
      </c>
      <c r="Q2421" s="256" t="inlineStr"/>
      <c r="R2421" s="256" t="inlineStr"/>
    </row>
    <row r="2422">
      <c r="A2422" s="256" t="inlineStr">
        <is>
          <t>CoQ-PP_26-106</t>
        </is>
      </c>
      <c r="B2422" s="256" t="inlineStr">
        <is>
          <t>reissue — retest</t>
        </is>
      </c>
      <c r="C2422" s="256" t="inlineStr">
        <is>
          <t>ACC102501</t>
        </is>
      </c>
      <c r="D2422" s="256" t="inlineStr">
        <is>
          <t>P060122</t>
        </is>
      </c>
      <c r="E2422" s="256" t="inlineStr">
        <is>
          <t>Amnesia Core Cut</t>
        </is>
      </c>
      <c r="F2422" s="256" t="inlineStr">
        <is>
          <t>18.09.2026</t>
        </is>
      </c>
      <c r="G2422" s="256" t="inlineStr">
        <is>
          <t>6</t>
        </is>
      </c>
      <c r="H2422" s="256" t="inlineStr">
        <is>
          <t>Total CBN</t>
        </is>
      </c>
      <c r="I2422" s="256" t="inlineStr">
        <is>
          <t>Ph. Eur. 2.2.29 (HPLC) · CBN + CBNA x 0.876</t>
        </is>
      </c>
      <c r="J2422" s="256" t="inlineStr">
        <is>
          <t>≤ 1.0%, w/w</t>
        </is>
      </c>
      <c r="K2422" s="256" t="inlineStr">
        <is>
          <t>&lt; LOQ</t>
        </is>
      </c>
      <c r="L2422" s="256" t="inlineStr">
        <is>
          <t>220-1-К/26</t>
        </is>
      </c>
      <c r="M2422" s="256" t="inlineStr">
        <is>
          <t>25.08.2026</t>
        </is>
      </c>
      <c r="N2422" s="256" t="inlineStr">
        <is>
          <t>Farmahem</t>
        </is>
      </c>
      <c r="O2422" s="256" t="inlineStr">
        <is>
          <t>17.08.2026</t>
        </is>
      </c>
      <c r="P2422" s="256" t="inlineStr">
        <is>
          <t>covered</t>
        </is>
      </c>
      <c r="Q2422" s="256" t="inlineStr"/>
      <c r="R2422" s="256" t="inlineStr"/>
    </row>
    <row r="2423">
      <c r="A2423" s="256" t="inlineStr">
        <is>
          <t>CoQ-PP_26-106</t>
        </is>
      </c>
      <c r="B2423" s="256" t="inlineStr">
        <is>
          <t>reissue — retest</t>
        </is>
      </c>
      <c r="C2423" s="256" t="inlineStr">
        <is>
          <t>ACC102501</t>
        </is>
      </c>
      <c r="D2423" s="256" t="inlineStr">
        <is>
          <t>P060122</t>
        </is>
      </c>
      <c r="E2423" s="256" t="inlineStr">
        <is>
          <t>Amnesia Core Cut</t>
        </is>
      </c>
      <c r="F2423" s="256" t="inlineStr">
        <is>
          <t>18.09.2026</t>
        </is>
      </c>
      <c r="G2423" s="256" t="inlineStr">
        <is>
          <t>7</t>
        </is>
      </c>
      <c r="H2423" s="256" t="inlineStr">
        <is>
          <t>Foreign Matter</t>
        </is>
      </c>
      <c r="I2423" s="256" t="inlineStr">
        <is>
          <t>Ph. Eur. 2.8.2 · In-house · интерна</t>
        </is>
      </c>
      <c r="J2423" s="256" t="inlineStr">
        <is>
          <t>≤ 2.0% / 25–50 g · &lt; 1 cm leaves | листови, no seeds | без семки</t>
        </is>
      </c>
      <c r="K2423" s="256" t="inlineStr">
        <is>
          <t>Conforms | Одговара</t>
        </is>
      </c>
      <c r="L2423" s="256" t="inlineStr">
        <is>
          <t>iCoA-PP_26-123</t>
        </is>
      </c>
      <c r="M2423" s="256" t="inlineStr">
        <is>
          <t>17.08.2026</t>
        </is>
      </c>
      <c r="N2423" s="256" t="inlineStr">
        <is>
          <t>Purely Plant GmbH (in-house)</t>
        </is>
      </c>
      <c r="O2423" s="256" t="inlineStr">
        <is>
          <t>—</t>
        </is>
      </c>
      <c r="P2423" s="256" t="inlineStr">
        <is>
          <t>to be performed — see route</t>
        </is>
      </c>
      <c r="Q2423" s="256" t="inlineStr">
        <is>
          <t>Purely Plant laboratory — iCoA covering Foreign matter</t>
        </is>
      </c>
      <c r="R2423" s="256" t="inlineStr"/>
    </row>
    <row r="2424">
      <c r="A2424" s="256" t="inlineStr">
        <is>
          <t>CoQ-PP_26-106</t>
        </is>
      </c>
      <c r="B2424" s="256" t="inlineStr">
        <is>
          <t>reissue — retest</t>
        </is>
      </c>
      <c r="C2424" s="256" t="inlineStr">
        <is>
          <t>ACC102501</t>
        </is>
      </c>
      <c r="D2424" s="256" t="inlineStr">
        <is>
          <t>P060122</t>
        </is>
      </c>
      <c r="E2424" s="256" t="inlineStr">
        <is>
          <t>Amnesia Core Cut</t>
        </is>
      </c>
      <c r="F2424" s="256" t="inlineStr">
        <is>
          <t>18.09.2026</t>
        </is>
      </c>
      <c r="G2424" s="256" t="inlineStr">
        <is>
          <t>8</t>
        </is>
      </c>
      <c r="H2424" s="256" t="inlineStr">
        <is>
          <t>Loss on Drying</t>
        </is>
      </c>
      <c r="I2424" s="256" t="inlineStr">
        <is>
          <t>Ph. Eur. 2.2.32 (3028) · at 40 °C, 24 h, 15–25 mbar</t>
        </is>
      </c>
      <c r="J2424" s="256" t="inlineStr">
        <is>
          <t>≤ 12.0%</t>
        </is>
      </c>
      <c r="K2424" s="256" t="inlineStr">
        <is>
          <t>7,1 %</t>
        </is>
      </c>
      <c r="L2424" s="256" t="inlineStr">
        <is>
          <t>031-5-ГС/26</t>
        </is>
      </c>
      <c r="M2424" s="256" t="inlineStr">
        <is>
          <t>12.02.2026</t>
        </is>
      </c>
      <c r="N2424" s="256" t="inlineStr">
        <is>
          <t>FHM</t>
        </is>
      </c>
      <c r="O2424" s="256" t="inlineStr">
        <is>
          <t>—</t>
        </is>
      </c>
      <c r="P2424" s="256" t="inlineStr">
        <is>
          <t>carried from the initial testing (CoQ-PP-2026-0010) — covered</t>
        </is>
      </c>
      <c r="Q2424" s="256" t="inlineStr"/>
      <c r="R2424" s="256" t="inlineStr"/>
    </row>
    <row r="2425">
      <c r="A2425" s="256" t="inlineStr">
        <is>
          <t>CoQ-PP_26-106</t>
        </is>
      </c>
      <c r="B2425" s="256" t="inlineStr">
        <is>
          <t>reissue — retest</t>
        </is>
      </c>
      <c r="C2425" s="256" t="inlineStr">
        <is>
          <t>ACC102501</t>
        </is>
      </c>
      <c r="D2425" s="256" t="inlineStr">
        <is>
          <t>P060122</t>
        </is>
      </c>
      <c r="E2425" s="256" t="inlineStr">
        <is>
          <t>Amnesia Core Cut</t>
        </is>
      </c>
      <c r="F2425" s="256" t="inlineStr">
        <is>
          <t>18.09.2026</t>
        </is>
      </c>
      <c r="G2425" s="256" t="inlineStr">
        <is>
          <t>9.1</t>
        </is>
      </c>
      <c r="H2425" s="256" t="inlineStr">
        <is>
          <t>TAMC</t>
        </is>
      </c>
      <c r="I2425" s="256" t="inlineStr">
        <is>
          <t>Ph. Eur. 2.6.12 cat. C</t>
        </is>
      </c>
      <c r="J2425" s="256" t="inlineStr">
        <is>
          <t>≤ 10⁵ CFU/g</t>
        </is>
      </c>
      <c r="K2425" s="256" t="inlineStr">
        <is>
          <t>1 × 10³</t>
        </is>
      </c>
      <c r="L2425" s="256" t="inlineStr">
        <is>
          <t>77/0120/26</t>
        </is>
      </c>
      <c r="M2425" s="256" t="inlineStr">
        <is>
          <t>09.02.2026</t>
        </is>
      </c>
      <c r="N2425" s="256" t="inlineStr">
        <is>
          <t>IPH — Institute of Public Health</t>
        </is>
      </c>
      <c r="O2425" s="256" t="inlineStr">
        <is>
          <t>—</t>
        </is>
      </c>
      <c r="P2425" s="256" t="inlineStr">
        <is>
          <t>covered</t>
        </is>
      </c>
      <c r="Q2425" s="256" t="inlineStr"/>
      <c r="R2425" s="256" t="inlineStr"/>
    </row>
    <row r="2426">
      <c r="A2426" s="256" t="inlineStr">
        <is>
          <t>CoQ-PP_26-106</t>
        </is>
      </c>
      <c r="B2426" s="256" t="inlineStr">
        <is>
          <t>reissue — retest</t>
        </is>
      </c>
      <c r="C2426" s="256" t="inlineStr">
        <is>
          <t>ACC102501</t>
        </is>
      </c>
      <c r="D2426" s="256" t="inlineStr">
        <is>
          <t>P060122</t>
        </is>
      </c>
      <c r="E2426" s="256" t="inlineStr">
        <is>
          <t>Amnesia Core Cut</t>
        </is>
      </c>
      <c r="F2426" s="256" t="inlineStr">
        <is>
          <t>18.09.2026</t>
        </is>
      </c>
      <c r="G2426" s="256" t="inlineStr">
        <is>
          <t>9.2</t>
        </is>
      </c>
      <c r="H2426" s="256" t="inlineStr">
        <is>
          <t>TYMC</t>
        </is>
      </c>
      <c r="I2426" s="256" t="inlineStr">
        <is>
          <t>Ph. Eur. 2.6.12 cat. C</t>
        </is>
      </c>
      <c r="J2426" s="256" t="inlineStr">
        <is>
          <t>≤ 10⁴ CFU/g</t>
        </is>
      </c>
      <c r="K2426" s="256" t="inlineStr">
        <is>
          <t>1.6 × 10³</t>
        </is>
      </c>
      <c r="L2426" s="256" t="inlineStr">
        <is>
          <t>77/0120/26</t>
        </is>
      </c>
      <c r="M2426" s="256" t="inlineStr">
        <is>
          <t>09.02.2026</t>
        </is>
      </c>
      <c r="N2426" s="256" t="inlineStr">
        <is>
          <t>IPH — Institute of Public Health</t>
        </is>
      </c>
      <c r="O2426" s="256" t="inlineStr">
        <is>
          <t>—</t>
        </is>
      </c>
      <c r="P2426" s="256" t="inlineStr">
        <is>
          <t>covered</t>
        </is>
      </c>
      <c r="Q2426" s="256" t="inlineStr"/>
      <c r="R2426" s="256" t="inlineStr"/>
    </row>
    <row r="2427">
      <c r="A2427" s="256" t="inlineStr">
        <is>
          <t>CoQ-PP_26-106</t>
        </is>
      </c>
      <c r="B2427" s="256" t="inlineStr">
        <is>
          <t>reissue — retest</t>
        </is>
      </c>
      <c r="C2427" s="256" t="inlineStr">
        <is>
          <t>ACC102501</t>
        </is>
      </c>
      <c r="D2427" s="256" t="inlineStr">
        <is>
          <t>P060122</t>
        </is>
      </c>
      <c r="E2427" s="256" t="inlineStr">
        <is>
          <t>Amnesia Core Cut</t>
        </is>
      </c>
      <c r="F2427" s="256" t="inlineStr">
        <is>
          <t>18.09.2026</t>
        </is>
      </c>
      <c r="G2427" s="256" t="inlineStr">
        <is>
          <t>9.3</t>
        </is>
      </c>
      <c r="H2427" s="256" t="inlineStr">
        <is>
          <t>Bile-tolerant gram-neg.</t>
        </is>
      </c>
      <c r="I2427" s="256" t="inlineStr">
        <is>
          <t>Ph. Eur. 2.6.31 cat. C</t>
        </is>
      </c>
      <c r="J2427" s="256" t="inlineStr">
        <is>
          <t>≤ 10⁴ CFU/g</t>
        </is>
      </c>
      <c r="K2427" s="256" t="inlineStr">
        <is>
          <t>&lt; 10</t>
        </is>
      </c>
      <c r="L2427" s="256" t="inlineStr">
        <is>
          <t>77/0120/26</t>
        </is>
      </c>
      <c r="M2427" s="256" t="inlineStr">
        <is>
          <t>09.02.2026</t>
        </is>
      </c>
      <c r="N2427" s="256" t="inlineStr">
        <is>
          <t>IPH — Institute of Public Health</t>
        </is>
      </c>
      <c r="O2427" s="256" t="inlineStr">
        <is>
          <t>—</t>
        </is>
      </c>
      <c r="P2427" s="256" t="inlineStr">
        <is>
          <t>covered</t>
        </is>
      </c>
      <c r="Q2427" s="256" t="inlineStr"/>
      <c r="R2427" s="256" t="inlineStr"/>
    </row>
    <row r="2428">
      <c r="A2428" s="256" t="inlineStr">
        <is>
          <t>CoQ-PP_26-106</t>
        </is>
      </c>
      <c r="B2428" s="256" t="inlineStr">
        <is>
          <t>reissue — retest</t>
        </is>
      </c>
      <c r="C2428" s="256" t="inlineStr">
        <is>
          <t>ACC102501</t>
        </is>
      </c>
      <c r="D2428" s="256" t="inlineStr">
        <is>
          <t>P060122</t>
        </is>
      </c>
      <c r="E2428" s="256" t="inlineStr">
        <is>
          <t>Amnesia Core Cut</t>
        </is>
      </c>
      <c r="F2428" s="256" t="inlineStr">
        <is>
          <t>18.09.2026</t>
        </is>
      </c>
      <c r="G2428" s="256" t="inlineStr">
        <is>
          <t>9.4</t>
        </is>
      </c>
      <c r="H2428" s="256" t="inlineStr">
        <is>
          <t>Salmonella</t>
        </is>
      </c>
      <c r="I2428" s="256" t="inlineStr">
        <is>
          <t>Ph. Eur. 2.6.31 cat. C</t>
        </is>
      </c>
      <c r="J2428" s="256" t="inlineStr">
        <is>
          <t>Absence | Отсуство / 25 g</t>
        </is>
      </c>
      <c r="K2428" s="256" t="inlineStr">
        <is>
          <t>Absent | Отсутна</t>
        </is>
      </c>
      <c r="L2428" s="256" t="inlineStr">
        <is>
          <t>77/0120/26</t>
        </is>
      </c>
      <c r="M2428" s="256" t="inlineStr">
        <is>
          <t>09.02.2026</t>
        </is>
      </c>
      <c r="N2428" s="256" t="inlineStr">
        <is>
          <t>IPH — Institute of Public Health</t>
        </is>
      </c>
      <c r="O2428" s="256" t="inlineStr">
        <is>
          <t>—</t>
        </is>
      </c>
      <c r="P2428" s="256" t="inlineStr">
        <is>
          <t>covered</t>
        </is>
      </c>
      <c r="Q2428" s="256" t="inlineStr"/>
      <c r="R2428" s="256" t="inlineStr"/>
    </row>
    <row r="2429">
      <c r="A2429" s="256" t="inlineStr">
        <is>
          <t>CoQ-PP_26-106</t>
        </is>
      </c>
      <c r="B2429" s="256" t="inlineStr">
        <is>
          <t>reissue — retest</t>
        </is>
      </c>
      <c r="C2429" s="256" t="inlineStr">
        <is>
          <t>ACC102501</t>
        </is>
      </c>
      <c r="D2429" s="256" t="inlineStr">
        <is>
          <t>P060122</t>
        </is>
      </c>
      <c r="E2429" s="256" t="inlineStr">
        <is>
          <t>Amnesia Core Cut</t>
        </is>
      </c>
      <c r="F2429" s="256" t="inlineStr">
        <is>
          <t>18.09.2026</t>
        </is>
      </c>
      <c r="G2429" s="256" t="inlineStr">
        <is>
          <t>9.5</t>
        </is>
      </c>
      <c r="H2429" s="256" t="inlineStr">
        <is>
          <t>Escherichia coli</t>
        </is>
      </c>
      <c r="I2429" s="256" t="inlineStr">
        <is>
          <t>Ph. Eur. 2.6.13 cat. C</t>
        </is>
      </c>
      <c r="J2429" s="256" t="inlineStr">
        <is>
          <t>Absence | Отсуство / 1 g</t>
        </is>
      </c>
      <c r="K2429" s="256" t="inlineStr">
        <is>
          <t>Absent | Отсутна</t>
        </is>
      </c>
      <c r="L2429" s="256" t="inlineStr">
        <is>
          <t>77/0120/26</t>
        </is>
      </c>
      <c r="M2429" s="256" t="inlineStr">
        <is>
          <t>09.02.2026</t>
        </is>
      </c>
      <c r="N2429" s="256" t="inlineStr">
        <is>
          <t>IPH — Institute of Public Health</t>
        </is>
      </c>
      <c r="O2429" s="256" t="inlineStr">
        <is>
          <t>—</t>
        </is>
      </c>
      <c r="P2429" s="256" t="inlineStr">
        <is>
          <t>covered</t>
        </is>
      </c>
      <c r="Q2429" s="256" t="inlineStr"/>
      <c r="R2429" s="256" t="inlineStr"/>
    </row>
    <row r="2430">
      <c r="A2430" s="256" t="inlineStr">
        <is>
          <t>CoQ-PP_26-106</t>
        </is>
      </c>
      <c r="B2430" s="256" t="inlineStr">
        <is>
          <t>reissue — retest</t>
        </is>
      </c>
      <c r="C2430" s="256" t="inlineStr">
        <is>
          <t>ACC102501</t>
        </is>
      </c>
      <c r="D2430" s="256" t="inlineStr">
        <is>
          <t>P060122</t>
        </is>
      </c>
      <c r="E2430" s="256" t="inlineStr">
        <is>
          <t>Amnesia Core Cut</t>
        </is>
      </c>
      <c r="F2430" s="256" t="inlineStr">
        <is>
          <t>18.09.2026</t>
        </is>
      </c>
      <c r="G2430" s="256" t="inlineStr">
        <is>
          <t>9.6</t>
        </is>
      </c>
      <c r="H2430" s="256" t="inlineStr">
        <is>
          <t>Pseudomonas aeruginosa</t>
        </is>
      </c>
      <c r="I2430" s="256" t="inlineStr">
        <is>
          <t>Ph. Eur. 2.6.13 cat. C</t>
        </is>
      </c>
      <c r="J2430" s="256" t="inlineStr">
        <is>
          <t>Absence | Отсуство / 1 g</t>
        </is>
      </c>
      <c r="K2430" s="260" t="inlineStr">
        <is>
          <t>upon request — not required for release</t>
        </is>
      </c>
      <c r="L2430" s="256" t="inlineStr">
        <is>
          <t>—</t>
        </is>
      </c>
      <c r="M2430" s="256" t="inlineStr">
        <is>
          <t>—</t>
        </is>
      </c>
      <c r="N2430" s="256" t="inlineStr">
        <is>
          <t>—</t>
        </is>
      </c>
      <c r="O2430" s="256" t="inlineStr">
        <is>
          <t>—</t>
        </is>
      </c>
      <c r="P2430" s="256" t="inlineStr">
        <is>
          <t>upon request — not required for release</t>
        </is>
      </c>
      <c r="Q2430" s="256" t="inlineStr"/>
      <c r="R2430" s="256" t="inlineStr"/>
    </row>
    <row r="2431">
      <c r="A2431" s="256" t="inlineStr">
        <is>
          <t>CoQ-PP_26-106</t>
        </is>
      </c>
      <c r="B2431" s="256" t="inlineStr">
        <is>
          <t>reissue — retest</t>
        </is>
      </c>
      <c r="C2431" s="256" t="inlineStr">
        <is>
          <t>ACC102501</t>
        </is>
      </c>
      <c r="D2431" s="256" t="inlineStr">
        <is>
          <t>P060122</t>
        </is>
      </c>
      <c r="E2431" s="256" t="inlineStr">
        <is>
          <t>Amnesia Core Cut</t>
        </is>
      </c>
      <c r="F2431" s="256" t="inlineStr">
        <is>
          <t>18.09.2026</t>
        </is>
      </c>
      <c r="G2431" s="256" t="inlineStr">
        <is>
          <t>9.7</t>
        </is>
      </c>
      <c r="H2431" s="256" t="inlineStr">
        <is>
          <t>Staphylococcus aureus</t>
        </is>
      </c>
      <c r="I2431" s="256" t="inlineStr">
        <is>
          <t>Ph. Eur. 2.6.13 cat. C</t>
        </is>
      </c>
      <c r="J2431" s="256" t="inlineStr">
        <is>
          <t>Absence | Отсуство / 1 g</t>
        </is>
      </c>
      <c r="K2431" s="260" t="inlineStr">
        <is>
          <t>upon request — not required for release</t>
        </is>
      </c>
      <c r="L2431" s="256" t="inlineStr">
        <is>
          <t>—</t>
        </is>
      </c>
      <c r="M2431" s="256" t="inlineStr">
        <is>
          <t>—</t>
        </is>
      </c>
      <c r="N2431" s="256" t="inlineStr">
        <is>
          <t>—</t>
        </is>
      </c>
      <c r="O2431" s="256" t="inlineStr">
        <is>
          <t>—</t>
        </is>
      </c>
      <c r="P2431" s="256" t="inlineStr">
        <is>
          <t>upon request — not required for release</t>
        </is>
      </c>
      <c r="Q2431" s="256" t="inlineStr"/>
      <c r="R2431" s="256" t="inlineStr"/>
    </row>
    <row r="2432">
      <c r="A2432" s="256" t="inlineStr">
        <is>
          <t>CoQ-PP_26-106</t>
        </is>
      </c>
      <c r="B2432" s="256" t="inlineStr">
        <is>
          <t>reissue — retest</t>
        </is>
      </c>
      <c r="C2432" s="256" t="inlineStr">
        <is>
          <t>ACC102501</t>
        </is>
      </c>
      <c r="D2432" s="256" t="inlineStr">
        <is>
          <t>P060122</t>
        </is>
      </c>
      <c r="E2432" s="256" t="inlineStr">
        <is>
          <t>Amnesia Core Cut</t>
        </is>
      </c>
      <c r="F2432" s="256" t="inlineStr">
        <is>
          <t>18.09.2026</t>
        </is>
      </c>
      <c r="G2432" s="256" t="inlineStr">
        <is>
          <t>10.1</t>
        </is>
      </c>
      <c r="H2432" s="256" t="inlineStr">
        <is>
          <t>Aflatoxin B₁</t>
        </is>
      </c>
      <c r="I2432" s="256" t="inlineStr">
        <is>
          <t>Ph. Eur. 2.8.18 (HPLC-FLD)</t>
        </is>
      </c>
      <c r="J2432" s="256" t="inlineStr">
        <is>
          <t>≤ 2 µg/kg</t>
        </is>
      </c>
      <c r="K2432" s="256" t="inlineStr">
        <is>
          <t>ND</t>
        </is>
      </c>
      <c r="L2432" s="256" t="inlineStr">
        <is>
          <t>220-1-М/26</t>
        </is>
      </c>
      <c r="M2432" s="256" t="inlineStr">
        <is>
          <t>11.09.2026</t>
        </is>
      </c>
      <c r="N2432" s="256" t="inlineStr">
        <is>
          <t>Farmahem</t>
        </is>
      </c>
      <c r="O2432" s="256" t="inlineStr">
        <is>
          <t>17.08.2026</t>
        </is>
      </c>
      <c r="P2432" s="256" t="inlineStr">
        <is>
          <t>covered</t>
        </is>
      </c>
      <c r="Q2432" s="256" t="inlineStr"/>
      <c r="R2432" s="256" t="inlineStr"/>
    </row>
    <row r="2433">
      <c r="A2433" s="256" t="inlineStr">
        <is>
          <t>CoQ-PP_26-106</t>
        </is>
      </c>
      <c r="B2433" s="256" t="inlineStr">
        <is>
          <t>reissue — retest</t>
        </is>
      </c>
      <c r="C2433" s="256" t="inlineStr">
        <is>
          <t>ACC102501</t>
        </is>
      </c>
      <c r="D2433" s="256" t="inlineStr">
        <is>
          <t>P060122</t>
        </is>
      </c>
      <c r="E2433" s="256" t="inlineStr">
        <is>
          <t>Amnesia Core Cut</t>
        </is>
      </c>
      <c r="F2433" s="256" t="inlineStr">
        <is>
          <t>18.09.2026</t>
        </is>
      </c>
      <c r="G2433" s="256" t="inlineStr">
        <is>
          <t>10.2</t>
        </is>
      </c>
      <c r="H2433" s="256" t="inlineStr">
        <is>
          <t>Aflatoxins ∑</t>
        </is>
      </c>
      <c r="I2433" s="256" t="inlineStr">
        <is>
          <t>Ph. Eur. 2.8.18 (HPLC-FLD)</t>
        </is>
      </c>
      <c r="J2433" s="256" t="inlineStr">
        <is>
          <t>≤ 4 µg/kg</t>
        </is>
      </c>
      <c r="K2433" s="256" t="inlineStr">
        <is>
          <t>ND</t>
        </is>
      </c>
      <c r="L2433" s="256" t="inlineStr">
        <is>
          <t>220-1-М/26</t>
        </is>
      </c>
      <c r="M2433" s="256" t="inlineStr">
        <is>
          <t>11.09.2026</t>
        </is>
      </c>
      <c r="N2433" s="256" t="inlineStr">
        <is>
          <t>Farmahem</t>
        </is>
      </c>
      <c r="O2433" s="256" t="inlineStr">
        <is>
          <t>17.08.2026</t>
        </is>
      </c>
      <c r="P2433" s="256" t="inlineStr">
        <is>
          <t>covered</t>
        </is>
      </c>
      <c r="Q2433" s="256" t="inlineStr"/>
      <c r="R2433" s="256" t="inlineStr"/>
    </row>
    <row r="2434">
      <c r="A2434" s="256" t="inlineStr">
        <is>
          <t>CoQ-PP_26-106</t>
        </is>
      </c>
      <c r="B2434" s="256" t="inlineStr">
        <is>
          <t>reissue — retest</t>
        </is>
      </c>
      <c r="C2434" s="256" t="inlineStr">
        <is>
          <t>ACC102501</t>
        </is>
      </c>
      <c r="D2434" s="256" t="inlineStr">
        <is>
          <t>P060122</t>
        </is>
      </c>
      <c r="E2434" s="256" t="inlineStr">
        <is>
          <t>Amnesia Core Cut</t>
        </is>
      </c>
      <c r="F2434" s="256" t="inlineStr">
        <is>
          <t>18.09.2026</t>
        </is>
      </c>
      <c r="G2434" s="256" t="inlineStr">
        <is>
          <t>10.3</t>
        </is>
      </c>
      <c r="H2434" s="256" t="inlineStr">
        <is>
          <t>Ochratoxin A</t>
        </is>
      </c>
      <c r="I2434" s="256" t="inlineStr">
        <is>
          <t>Ph. Eur. 2.8.22 (HPLC-FLD)</t>
        </is>
      </c>
      <c r="J2434" s="256" t="inlineStr">
        <is>
          <t>≤ 20 µg/kg</t>
        </is>
      </c>
      <c r="K2434" s="256" t="inlineStr">
        <is>
          <t>ND</t>
        </is>
      </c>
      <c r="L2434" s="256" t="inlineStr">
        <is>
          <t>220-1-М/26</t>
        </is>
      </c>
      <c r="M2434" s="256" t="inlineStr">
        <is>
          <t>11.09.2026</t>
        </is>
      </c>
      <c r="N2434" s="256" t="inlineStr">
        <is>
          <t>Farmahem</t>
        </is>
      </c>
      <c r="O2434" s="256" t="inlineStr">
        <is>
          <t>17.08.2026</t>
        </is>
      </c>
      <c r="P2434" s="256" t="inlineStr">
        <is>
          <t>covered</t>
        </is>
      </c>
      <c r="Q2434" s="256" t="inlineStr"/>
      <c r="R2434" s="256" t="inlineStr"/>
    </row>
    <row r="2435">
      <c r="A2435" s="256" t="inlineStr">
        <is>
          <t>CoQ-PP_26-106</t>
        </is>
      </c>
      <c r="B2435" s="256" t="inlineStr">
        <is>
          <t>reissue — retest</t>
        </is>
      </c>
      <c r="C2435" s="256" t="inlineStr">
        <is>
          <t>ACC102501</t>
        </is>
      </c>
      <c r="D2435" s="256" t="inlineStr">
        <is>
          <t>P060122</t>
        </is>
      </c>
      <c r="E2435" s="256" t="inlineStr">
        <is>
          <t>Amnesia Core Cut</t>
        </is>
      </c>
      <c r="F2435" s="256" t="inlineStr">
        <is>
          <t>18.09.2026</t>
        </is>
      </c>
      <c r="G2435" s="256" t="inlineStr">
        <is>
          <t>11.1</t>
        </is>
      </c>
      <c r="H2435" s="256" t="inlineStr">
        <is>
          <t>Lead (Pb)</t>
        </is>
      </c>
      <c r="I2435" s="256" t="inlineStr">
        <is>
          <t>Ph. Eur. 2.4.27 (ICP-MS)</t>
        </is>
      </c>
      <c r="J2435" s="256" t="inlineStr">
        <is>
          <t>≤ 0.5 mg/kg</t>
        </is>
      </c>
      <c r="K2435" s="256" t="inlineStr">
        <is>
          <t>0.078</t>
        </is>
      </c>
      <c r="L2435" s="256" t="inlineStr">
        <is>
          <t>326/2026</t>
        </is>
      </c>
      <c r="M2435" s="256" t="inlineStr">
        <is>
          <t>11.02.2026</t>
        </is>
      </c>
      <c r="N2435" s="256" t="inlineStr">
        <is>
          <t>IPH — Institute of Public Health</t>
        </is>
      </c>
      <c r="O2435" s="256" t="inlineStr">
        <is>
          <t>—</t>
        </is>
      </c>
      <c r="P2435" s="256" t="inlineStr">
        <is>
          <t>covered</t>
        </is>
      </c>
      <c r="Q2435" s="256" t="inlineStr"/>
      <c r="R2435" s="256" t="inlineStr"/>
    </row>
    <row r="2436">
      <c r="A2436" s="256" t="inlineStr">
        <is>
          <t>CoQ-PP_26-106</t>
        </is>
      </c>
      <c r="B2436" s="256" t="inlineStr">
        <is>
          <t>reissue — retest</t>
        </is>
      </c>
      <c r="C2436" s="256" t="inlineStr">
        <is>
          <t>ACC102501</t>
        </is>
      </c>
      <c r="D2436" s="256" t="inlineStr">
        <is>
          <t>P060122</t>
        </is>
      </c>
      <c r="E2436" s="256" t="inlineStr">
        <is>
          <t>Amnesia Core Cut</t>
        </is>
      </c>
      <c r="F2436" s="256" t="inlineStr">
        <is>
          <t>18.09.2026</t>
        </is>
      </c>
      <c r="G2436" s="256" t="inlineStr">
        <is>
          <t>11.2</t>
        </is>
      </c>
      <c r="H2436" s="256" t="inlineStr">
        <is>
          <t>Cadmium (Cd)</t>
        </is>
      </c>
      <c r="I2436" s="256" t="inlineStr">
        <is>
          <t>Ph. Eur. 2.4.27 (ICP-MS)</t>
        </is>
      </c>
      <c r="J2436" s="256" t="inlineStr">
        <is>
          <t>≤ 0.3 mg/kg</t>
        </is>
      </c>
      <c r="K2436" s="256" t="inlineStr">
        <is>
          <t>ND</t>
        </is>
      </c>
      <c r="L2436" s="256" t="inlineStr">
        <is>
          <t>326/2026</t>
        </is>
      </c>
      <c r="M2436" s="256" t="inlineStr">
        <is>
          <t>11.02.2026</t>
        </is>
      </c>
      <c r="N2436" s="256" t="inlineStr">
        <is>
          <t>IPH — Institute of Public Health</t>
        </is>
      </c>
      <c r="O2436" s="256" t="inlineStr">
        <is>
          <t>—</t>
        </is>
      </c>
      <c r="P2436" s="256" t="inlineStr">
        <is>
          <t>covered</t>
        </is>
      </c>
      <c r="Q2436" s="256" t="inlineStr"/>
      <c r="R2436" s="256" t="inlineStr"/>
    </row>
    <row r="2437">
      <c r="A2437" s="256" t="inlineStr">
        <is>
          <t>CoQ-PP_26-106</t>
        </is>
      </c>
      <c r="B2437" s="256" t="inlineStr">
        <is>
          <t>reissue — retest</t>
        </is>
      </c>
      <c r="C2437" s="256" t="inlineStr">
        <is>
          <t>ACC102501</t>
        </is>
      </c>
      <c r="D2437" s="256" t="inlineStr">
        <is>
          <t>P060122</t>
        </is>
      </c>
      <c r="E2437" s="256" t="inlineStr">
        <is>
          <t>Amnesia Core Cut</t>
        </is>
      </c>
      <c r="F2437" s="256" t="inlineStr">
        <is>
          <t>18.09.2026</t>
        </is>
      </c>
      <c r="G2437" s="256" t="inlineStr">
        <is>
          <t>11.3</t>
        </is>
      </c>
      <c r="H2437" s="256" t="inlineStr">
        <is>
          <t>Arsenic (As)</t>
        </is>
      </c>
      <c r="I2437" s="256" t="inlineStr">
        <is>
          <t>Ph. Eur. 2.4.27 (ICP-MS)</t>
        </is>
      </c>
      <c r="J2437" s="256" t="inlineStr">
        <is>
          <t>≤ 0.2 mg/kg</t>
        </is>
      </c>
      <c r="K2437" s="256" t="inlineStr">
        <is>
          <t>0.022</t>
        </is>
      </c>
      <c r="L2437" s="256" t="inlineStr">
        <is>
          <t>326/2026</t>
        </is>
      </c>
      <c r="M2437" s="256" t="inlineStr">
        <is>
          <t>11.02.2026</t>
        </is>
      </c>
      <c r="N2437" s="256" t="inlineStr">
        <is>
          <t>IPH — Institute of Public Health</t>
        </is>
      </c>
      <c r="O2437" s="256" t="inlineStr">
        <is>
          <t>—</t>
        </is>
      </c>
      <c r="P2437" s="256" t="inlineStr">
        <is>
          <t>covered</t>
        </is>
      </c>
      <c r="Q2437" s="256" t="inlineStr"/>
      <c r="R2437" s="256" t="inlineStr"/>
    </row>
    <row r="2438">
      <c r="A2438" s="256" t="inlineStr">
        <is>
          <t>CoQ-PP_26-106</t>
        </is>
      </c>
      <c r="B2438" s="256" t="inlineStr">
        <is>
          <t>reissue — retest</t>
        </is>
      </c>
      <c r="C2438" s="256" t="inlineStr">
        <is>
          <t>ACC102501</t>
        </is>
      </c>
      <c r="D2438" s="256" t="inlineStr">
        <is>
          <t>P060122</t>
        </is>
      </c>
      <c r="E2438" s="256" t="inlineStr">
        <is>
          <t>Amnesia Core Cut</t>
        </is>
      </c>
      <c r="F2438" s="256" t="inlineStr">
        <is>
          <t>18.09.2026</t>
        </is>
      </c>
      <c r="G2438" s="256" t="inlineStr">
        <is>
          <t>11.4</t>
        </is>
      </c>
      <c r="H2438" s="256" t="inlineStr">
        <is>
          <t>Mercury (Hg)</t>
        </is>
      </c>
      <c r="I2438" s="256" t="inlineStr">
        <is>
          <t>Ph. Eur. 2.4.27 (ICP-MS)</t>
        </is>
      </c>
      <c r="J2438" s="256" t="inlineStr">
        <is>
          <t>≤ 0.1 mg/kg</t>
        </is>
      </c>
      <c r="K2438" s="256" t="inlineStr">
        <is>
          <t>ND</t>
        </is>
      </c>
      <c r="L2438" s="256" t="inlineStr">
        <is>
          <t>326/2026</t>
        </is>
      </c>
      <c r="M2438" s="256" t="inlineStr">
        <is>
          <t>11.02.2026</t>
        </is>
      </c>
      <c r="N2438" s="256" t="inlineStr">
        <is>
          <t>IPH — Institute of Public Health</t>
        </is>
      </c>
      <c r="O2438" s="256" t="inlineStr">
        <is>
          <t>—</t>
        </is>
      </c>
      <c r="P2438" s="256" t="inlineStr">
        <is>
          <t>covered</t>
        </is>
      </c>
      <c r="Q2438" s="256" t="inlineStr"/>
      <c r="R2438" s="256" t="inlineStr"/>
    </row>
    <row r="2439">
      <c r="A2439" s="256" t="inlineStr">
        <is>
          <t>CoQ-PP_26-106</t>
        </is>
      </c>
      <c r="B2439" s="256" t="inlineStr">
        <is>
          <t>reissue — retest</t>
        </is>
      </c>
      <c r="C2439" s="256" t="inlineStr">
        <is>
          <t>ACC102501</t>
        </is>
      </c>
      <c r="D2439" s="256" t="inlineStr">
        <is>
          <t>P060122</t>
        </is>
      </c>
      <c r="E2439" s="256" t="inlineStr">
        <is>
          <t>Amnesia Core Cut</t>
        </is>
      </c>
      <c r="F2439" s="256" t="inlineStr">
        <is>
          <t>18.09.2026</t>
        </is>
      </c>
      <c r="G2439" s="256" t="inlineStr">
        <is>
          <t>12</t>
        </is>
      </c>
      <c r="H2439" s="256" t="inlineStr">
        <is>
          <t>Pesticide Residues</t>
        </is>
      </c>
      <c r="I2439" s="256" t="inlineStr">
        <is>
          <t>Ph. Eur. 2.8.13 (LC-MS/MS) · CUMCS Equivalency</t>
        </is>
      </c>
      <c r="J2439" s="256" t="inlineStr">
        <is>
          <t>≤ LOQ as per Ph. Eur. 2.8.13 · ≤ LOQ as per CUMCS Equivalency</t>
        </is>
      </c>
      <c r="K2439" s="256" t="inlineStr">
        <is>
          <t>ND mg/kg — all 25 residues</t>
        </is>
      </c>
      <c r="L2439" s="256" t="inlineStr">
        <is>
          <t>326/2026</t>
        </is>
      </c>
      <c r="M2439" s="256" t="inlineStr">
        <is>
          <t>11.02.2026</t>
        </is>
      </c>
      <c r="N2439" s="256" t="inlineStr">
        <is>
          <t>IJZ</t>
        </is>
      </c>
      <c r="O2439" s="256" t="inlineStr">
        <is>
          <t>—</t>
        </is>
      </c>
      <c r="P2439" s="256" t="inlineStr">
        <is>
          <t>carried from the initial testing (CoQ-PP-2026-0010) — covered</t>
        </is>
      </c>
      <c r="Q2439" s="256" t="inlineStr"/>
      <c r="R2439" s="256" t="inlineStr"/>
    </row>
    <row r="2440">
      <c r="A2440" s="256" t="inlineStr">
        <is>
          <t>CoQ-PP_26-107</t>
        </is>
      </c>
      <c r="B2440" s="256" t="inlineStr">
        <is>
          <t>reissue — retest</t>
        </is>
      </c>
      <c r="C2440" s="256" t="inlineStr">
        <is>
          <t>BSS052501</t>
        </is>
      </c>
      <c r="D2440" s="256" t="inlineStr">
        <is>
          <t>P050192</t>
        </is>
      </c>
      <c r="E2440" s="256" t="inlineStr">
        <is>
          <t>Blue Sunset Sherbet</t>
        </is>
      </c>
      <c r="F2440" s="256" t="inlineStr">
        <is>
          <t>18.09.2026</t>
        </is>
      </c>
      <c r="G2440" s="256" t="inlineStr">
        <is>
          <t>1</t>
        </is>
      </c>
      <c r="H2440" s="256" t="inlineStr">
        <is>
          <t>Identification A, Appearance · Macroscopic</t>
        </is>
      </c>
      <c r="I2440" s="256" t="inlineStr">
        <is>
          <t>Ph. Eur. mon. 3028</t>
        </is>
      </c>
      <c r="J2440" s="256" t="inlineStr">
        <is>
          <t>Conforms to the monograph for Cannabis flos (07/2024:3028) in Ph. Eur. 11.0 | Согласно монографија за Cannabis flos (07/2024:3028) во Ph. Eur. 11.0</t>
        </is>
      </c>
      <c r="K2440" s="256" t="inlineStr">
        <is>
          <t>Conforms | Одговара</t>
        </is>
      </c>
      <c r="L2440" s="256" t="inlineStr">
        <is>
          <t>iCoA-PP_26-124</t>
        </is>
      </c>
      <c r="M2440" s="256" t="inlineStr">
        <is>
          <t>17.08.2026</t>
        </is>
      </c>
      <c r="N2440" s="256" t="inlineStr">
        <is>
          <t>Purely Plant GmbH (in-house)</t>
        </is>
      </c>
      <c r="O2440" s="256" t="inlineStr">
        <is>
          <t>—</t>
        </is>
      </c>
      <c r="P2440" s="256" t="inlineStr">
        <is>
          <t>covered</t>
        </is>
      </c>
      <c r="Q2440" s="256" t="inlineStr">
        <is>
          <t>Farmahem — Ident A + B + C with the Assay, at retest</t>
        </is>
      </c>
      <c r="R2440" s="256" t="inlineStr"/>
    </row>
    <row r="2441">
      <c r="A2441" s="256" t="inlineStr">
        <is>
          <t>CoQ-PP_26-107</t>
        </is>
      </c>
      <c r="B2441" s="256" t="inlineStr">
        <is>
          <t>reissue — retest</t>
        </is>
      </c>
      <c r="C2441" s="256" t="inlineStr">
        <is>
          <t>BSS052501</t>
        </is>
      </c>
      <c r="D2441" s="256" t="inlineStr">
        <is>
          <t>P050192</t>
        </is>
      </c>
      <c r="E2441" s="256" t="inlineStr">
        <is>
          <t>Blue Sunset Sherbet</t>
        </is>
      </c>
      <c r="F2441" s="256" t="inlineStr">
        <is>
          <t>18.09.2026</t>
        </is>
      </c>
      <c r="G2441" s="256" t="inlineStr">
        <is>
          <t>2</t>
        </is>
      </c>
      <c r="H2441" s="256" t="inlineStr">
        <is>
          <t>Identification B · Microscopic</t>
        </is>
      </c>
      <c r="I2441" s="256" t="inlineStr">
        <is>
          <t>Ph. Eur. 2.8.23 (microscopy)</t>
        </is>
      </c>
      <c r="J2441" s="256" t="inlineStr">
        <is>
          <t>Conforms to the monograph for Cannabis flos (07/2024:3028) in Ph. Eur. 11.0 | Согласно монографија за Cannabis flos (07/2024:3028) во Ph. Eur. 11.0</t>
        </is>
      </c>
      <c r="K2441" s="256" t="inlineStr">
        <is>
          <t>Conforms | Одговара</t>
        </is>
      </c>
      <c r="L2441" s="256" t="inlineStr">
        <is>
          <t>iCoA-PP_26-124</t>
        </is>
      </c>
      <c r="M2441" s="256" t="inlineStr">
        <is>
          <t>17.08.2026</t>
        </is>
      </c>
      <c r="N2441" s="256" t="inlineStr">
        <is>
          <t>Purely Plant GmbH (in-house)</t>
        </is>
      </c>
      <c r="O2441" s="256" t="inlineStr">
        <is>
          <t>—</t>
        </is>
      </c>
      <c r="P2441" s="256" t="inlineStr">
        <is>
          <t>covered</t>
        </is>
      </c>
      <c r="Q2441" s="256" t="inlineStr">
        <is>
          <t>Farmahem — Ident A + B + C with the Assay, at retest</t>
        </is>
      </c>
      <c r="R2441" s="256" t="inlineStr"/>
    </row>
    <row r="2442">
      <c r="A2442" s="256" t="inlineStr">
        <is>
          <t>CoQ-PP_26-107</t>
        </is>
      </c>
      <c r="B2442" s="256" t="inlineStr">
        <is>
          <t>reissue — retest</t>
        </is>
      </c>
      <c r="C2442" s="256" t="inlineStr">
        <is>
          <t>BSS052501</t>
        </is>
      </c>
      <c r="D2442" s="256" t="inlineStr">
        <is>
          <t>P050192</t>
        </is>
      </c>
      <c r="E2442" s="256" t="inlineStr">
        <is>
          <t>Blue Sunset Sherbet</t>
        </is>
      </c>
      <c r="F2442" s="256" t="inlineStr">
        <is>
          <t>18.09.2026</t>
        </is>
      </c>
      <c r="G2442" s="256" t="inlineStr">
        <is>
          <t>3</t>
        </is>
      </c>
      <c r="H2442" s="256" t="inlineStr">
        <is>
          <t>Identification C · HPLC/HPTLC</t>
        </is>
      </c>
      <c r="I2442" s="256" t="inlineStr">
        <is>
          <t>Ph. Eur. 2.2.29 (3028)</t>
        </is>
      </c>
      <c r="J2442" s="256" t="inlineStr">
        <is>
          <t>Conforms to the monograph for Cannabis flos (07/2024:3028) in Ph. Eur. 11.0 | Согласно монографија за Cannabis flos (07/2024:3028) во Ph. Eur. 11.0</t>
        </is>
      </c>
      <c r="K2442" s="256" t="inlineStr">
        <is>
          <t>Conforms | Одговара</t>
        </is>
      </c>
      <c r="L2442" s="256" t="inlineStr">
        <is>
          <t>220-2-К/26</t>
        </is>
      </c>
      <c r="M2442" s="256" t="inlineStr">
        <is>
          <t>25.08.2026</t>
        </is>
      </c>
      <c r="N2442" s="256" t="inlineStr">
        <is>
          <t>Farmahem</t>
        </is>
      </c>
      <c r="O2442" s="256" t="inlineStr">
        <is>
          <t>17.08.2026</t>
        </is>
      </c>
      <c r="P2442" s="256" t="inlineStr">
        <is>
          <t>covered</t>
        </is>
      </c>
      <c r="Q2442" s="256" t="inlineStr"/>
      <c r="R2442" s="256" t="inlineStr"/>
    </row>
    <row r="2443">
      <c r="A2443" s="256" t="inlineStr">
        <is>
          <t>CoQ-PP_26-107</t>
        </is>
      </c>
      <c r="B2443" s="256" t="inlineStr">
        <is>
          <t>reissue — retest</t>
        </is>
      </c>
      <c r="C2443" s="256" t="inlineStr">
        <is>
          <t>BSS052501</t>
        </is>
      </c>
      <c r="D2443" s="256" t="inlineStr">
        <is>
          <t>P050192</t>
        </is>
      </c>
      <c r="E2443" s="256" t="inlineStr">
        <is>
          <t>Blue Sunset Sherbet</t>
        </is>
      </c>
      <c r="F2443" s="256" t="inlineStr">
        <is>
          <t>18.09.2026</t>
        </is>
      </c>
      <c r="G2443" s="256" t="inlineStr">
        <is>
          <t>4</t>
        </is>
      </c>
      <c r="H2443" s="256" t="inlineStr">
        <is>
          <t>Assay — Total Δ⁹-THC</t>
        </is>
      </c>
      <c r="I2443" s="256" t="inlineStr">
        <is>
          <t>Ph. Eur. 2.2.29 (HPLC)</t>
        </is>
      </c>
      <c r="J2443" s="256" t="inlineStr">
        <is>
          <t>18.11 – 21.88 %  (grade III, nominal 20.00 ± 1.89)</t>
        </is>
      </c>
      <c r="K2443" s="256" t="inlineStr">
        <is>
          <t>20.52</t>
        </is>
      </c>
      <c r="L2443" s="256" t="inlineStr">
        <is>
          <t>220-2-К/26</t>
        </is>
      </c>
      <c r="M2443" s="256" t="inlineStr">
        <is>
          <t>25.08.2026</t>
        </is>
      </c>
      <c r="N2443" s="256" t="inlineStr">
        <is>
          <t>Farmahem</t>
        </is>
      </c>
      <c r="O2443" s="256" t="inlineStr">
        <is>
          <t>17.08.2026</t>
        </is>
      </c>
      <c r="P2443" s="256" t="inlineStr">
        <is>
          <t>covered</t>
        </is>
      </c>
      <c r="Q2443" s="256" t="inlineStr"/>
      <c r="R2443" s="256" t="inlineStr"/>
    </row>
    <row r="2444">
      <c r="A2444" s="256" t="inlineStr">
        <is>
          <t>CoQ-PP_26-107</t>
        </is>
      </c>
      <c r="B2444" s="256" t="inlineStr">
        <is>
          <t>reissue — retest</t>
        </is>
      </c>
      <c r="C2444" s="256" t="inlineStr">
        <is>
          <t>BSS052501</t>
        </is>
      </c>
      <c r="D2444" s="256" t="inlineStr">
        <is>
          <t>P050192</t>
        </is>
      </c>
      <c r="E2444" s="256" t="inlineStr">
        <is>
          <t>Blue Sunset Sherbet</t>
        </is>
      </c>
      <c r="F2444" s="256" t="inlineStr">
        <is>
          <t>18.09.2026</t>
        </is>
      </c>
      <c r="G2444" s="256" t="inlineStr">
        <is>
          <t>5</t>
        </is>
      </c>
      <c r="H2444" s="256" t="inlineStr">
        <is>
          <t>Assay — Total CBD</t>
        </is>
      </c>
      <c r="I2444" s="256" t="inlineStr">
        <is>
          <t>Ph. Eur. 2.2.29 (HPLC) · CBD + CBDA x 0.877</t>
        </is>
      </c>
      <c r="J2444" s="256" t="inlineStr">
        <is>
          <t>≤ 1.0%, w/w</t>
        </is>
      </c>
      <c r="K2444" s="256" t="inlineStr">
        <is>
          <t>&lt; LOQ</t>
        </is>
      </c>
      <c r="L2444" s="256" t="inlineStr">
        <is>
          <t>220-2-К/26</t>
        </is>
      </c>
      <c r="M2444" s="256" t="inlineStr">
        <is>
          <t>25.08.2026</t>
        </is>
      </c>
      <c r="N2444" s="256" t="inlineStr">
        <is>
          <t>Farmahem</t>
        </is>
      </c>
      <c r="O2444" s="256" t="inlineStr">
        <is>
          <t>17.08.2026</t>
        </is>
      </c>
      <c r="P2444" s="256" t="inlineStr">
        <is>
          <t>covered</t>
        </is>
      </c>
      <c r="Q2444" s="256" t="inlineStr"/>
      <c r="R2444" s="256" t="inlineStr"/>
    </row>
    <row r="2445">
      <c r="A2445" s="256" t="inlineStr">
        <is>
          <t>CoQ-PP_26-107</t>
        </is>
      </c>
      <c r="B2445" s="256" t="inlineStr">
        <is>
          <t>reissue — retest</t>
        </is>
      </c>
      <c r="C2445" s="256" t="inlineStr">
        <is>
          <t>BSS052501</t>
        </is>
      </c>
      <c r="D2445" s="256" t="inlineStr">
        <is>
          <t>P050192</t>
        </is>
      </c>
      <c r="E2445" s="256" t="inlineStr">
        <is>
          <t>Blue Sunset Sherbet</t>
        </is>
      </c>
      <c r="F2445" s="256" t="inlineStr">
        <is>
          <t>18.09.2026</t>
        </is>
      </c>
      <c r="G2445" s="256" t="inlineStr">
        <is>
          <t>6</t>
        </is>
      </c>
      <c r="H2445" s="256" t="inlineStr">
        <is>
          <t>Total CBN</t>
        </is>
      </c>
      <c r="I2445" s="256" t="inlineStr">
        <is>
          <t>Ph. Eur. 2.2.29 (HPLC) · CBN + CBNA x 0.876</t>
        </is>
      </c>
      <c r="J2445" s="256" t="inlineStr">
        <is>
          <t>≤ 1.0%, w/w</t>
        </is>
      </c>
      <c r="K2445" s="256" t="inlineStr">
        <is>
          <t>&lt; LOQ</t>
        </is>
      </c>
      <c r="L2445" s="256" t="inlineStr">
        <is>
          <t>220-2-К/26</t>
        </is>
      </c>
      <c r="M2445" s="256" t="inlineStr">
        <is>
          <t>25.08.2026</t>
        </is>
      </c>
      <c r="N2445" s="256" t="inlineStr">
        <is>
          <t>Farmahem</t>
        </is>
      </c>
      <c r="O2445" s="256" t="inlineStr">
        <is>
          <t>17.08.2026</t>
        </is>
      </c>
      <c r="P2445" s="256" t="inlineStr">
        <is>
          <t>covered</t>
        </is>
      </c>
      <c r="Q2445" s="256" t="inlineStr"/>
      <c r="R2445" s="256" t="inlineStr"/>
    </row>
    <row r="2446">
      <c r="A2446" s="256" t="inlineStr">
        <is>
          <t>CoQ-PP_26-107</t>
        </is>
      </c>
      <c r="B2446" s="256" t="inlineStr">
        <is>
          <t>reissue — retest</t>
        </is>
      </c>
      <c r="C2446" s="256" t="inlineStr">
        <is>
          <t>BSS052501</t>
        </is>
      </c>
      <c r="D2446" s="256" t="inlineStr">
        <is>
          <t>P050192</t>
        </is>
      </c>
      <c r="E2446" s="256" t="inlineStr">
        <is>
          <t>Blue Sunset Sherbet</t>
        </is>
      </c>
      <c r="F2446" s="256" t="inlineStr">
        <is>
          <t>18.09.2026</t>
        </is>
      </c>
      <c r="G2446" s="256" t="inlineStr">
        <is>
          <t>7</t>
        </is>
      </c>
      <c r="H2446" s="256" t="inlineStr">
        <is>
          <t>Foreign Matter</t>
        </is>
      </c>
      <c r="I2446" s="256" t="inlineStr">
        <is>
          <t>Ph. Eur. 2.8.2 · In-house · интерна</t>
        </is>
      </c>
      <c r="J2446" s="256" t="inlineStr">
        <is>
          <t>≤ 2.0% / 25–50 g · &lt; 1 cm leaves | листови, no seeds | без семки</t>
        </is>
      </c>
      <c r="K2446" s="256" t="inlineStr">
        <is>
          <t>Conforms | Одговара</t>
        </is>
      </c>
      <c r="L2446" s="256" t="inlineStr">
        <is>
          <t>iCoA-PP_26-124</t>
        </is>
      </c>
      <c r="M2446" s="256" t="inlineStr">
        <is>
          <t>17.08.2026</t>
        </is>
      </c>
      <c r="N2446" s="256" t="inlineStr">
        <is>
          <t>Purely Plant GmbH (in-house)</t>
        </is>
      </c>
      <c r="O2446" s="256" t="inlineStr">
        <is>
          <t>—</t>
        </is>
      </c>
      <c r="P2446" s="256" t="inlineStr">
        <is>
          <t>covered</t>
        </is>
      </c>
      <c r="Q2446" s="256" t="inlineStr">
        <is>
          <t>Purely Plant laboratory — iCoA covering Foreign matter</t>
        </is>
      </c>
      <c r="R2446" s="256" t="inlineStr"/>
    </row>
    <row r="2447">
      <c r="A2447" s="256" t="inlineStr">
        <is>
          <t>CoQ-PP_26-107</t>
        </is>
      </c>
      <c r="B2447" s="256" t="inlineStr">
        <is>
          <t>reissue — retest</t>
        </is>
      </c>
      <c r="C2447" s="256" t="inlineStr">
        <is>
          <t>BSS052501</t>
        </is>
      </c>
      <c r="D2447" s="256" t="inlineStr">
        <is>
          <t>P050192</t>
        </is>
      </c>
      <c r="E2447" s="256" t="inlineStr">
        <is>
          <t>Blue Sunset Sherbet</t>
        </is>
      </c>
      <c r="F2447" s="256" t="inlineStr">
        <is>
          <t>18.09.2026</t>
        </is>
      </c>
      <c r="G2447" s="256" t="inlineStr">
        <is>
          <t>8</t>
        </is>
      </c>
      <c r="H2447" s="256" t="inlineStr">
        <is>
          <t>Loss on Drying</t>
        </is>
      </c>
      <c r="I2447" s="256" t="inlineStr">
        <is>
          <t>Ph. Eur. 2.2.32 (3028) · at 40 °C, 24 h, 15–25 mbar</t>
        </is>
      </c>
      <c r="J2447" s="256" t="inlineStr">
        <is>
          <t>≤ 12.0%</t>
        </is>
      </c>
      <c r="K2447" s="256" t="inlineStr">
        <is>
          <t>8.60</t>
        </is>
      </c>
      <c r="L2447" s="256" t="inlineStr">
        <is>
          <t>iCoA-PP_26-024</t>
        </is>
      </c>
      <c r="M2447" s="256" t="inlineStr">
        <is>
          <t>03.06.2026</t>
        </is>
      </c>
      <c r="N2447" s="256" t="inlineStr">
        <is>
          <t>Purely Plant GmbH (in-house)</t>
        </is>
      </c>
      <c r="O2447" s="256" t="inlineStr">
        <is>
          <t>—</t>
        </is>
      </c>
      <c r="P2447" s="256" t="inlineStr">
        <is>
          <t>carried from the initial testing (CoQ-PP-2025-0017) — in-house CoA only — not an eCoA or an iCoA: a value no certificate of analysis certifies cannot be on a release certificate (owner's rule, 02.09.2026)</t>
        </is>
      </c>
      <c r="Q2447" s="256" t="inlineStr"/>
      <c r="R2447" s="256" t="inlineStr"/>
    </row>
    <row r="2448">
      <c r="A2448" s="256" t="inlineStr">
        <is>
          <t>CoQ-PP_26-107</t>
        </is>
      </c>
      <c r="B2448" s="256" t="inlineStr">
        <is>
          <t>reissue — retest</t>
        </is>
      </c>
      <c r="C2448" s="256" t="inlineStr">
        <is>
          <t>BSS052501</t>
        </is>
      </c>
      <c r="D2448" s="256" t="inlineStr">
        <is>
          <t>P050192</t>
        </is>
      </c>
      <c r="E2448" s="256" t="inlineStr">
        <is>
          <t>Blue Sunset Sherbet</t>
        </is>
      </c>
      <c r="F2448" s="256" t="inlineStr">
        <is>
          <t>18.09.2026</t>
        </is>
      </c>
      <c r="G2448" s="256" t="inlineStr">
        <is>
          <t>9.1</t>
        </is>
      </c>
      <c r="H2448" s="256" t="inlineStr">
        <is>
          <t>TAMC</t>
        </is>
      </c>
      <c r="I2448" s="256" t="inlineStr">
        <is>
          <t>Ph. Eur. 2.6.12 cat. C</t>
        </is>
      </c>
      <c r="J2448" s="256" t="inlineStr">
        <is>
          <t>≤ 10⁵ CFU/g</t>
        </is>
      </c>
      <c r="K2448" s="256" t="inlineStr">
        <is>
          <t>200</t>
        </is>
      </c>
      <c r="L2448" s="256" t="inlineStr">
        <is>
          <t>1157/2058/25</t>
        </is>
      </c>
      <c r="M2448" s="256" t="inlineStr">
        <is>
          <t>24.11.2025</t>
        </is>
      </c>
      <c r="N2448" s="256" t="inlineStr">
        <is>
          <t>IPH — Institute of Public Health</t>
        </is>
      </c>
      <c r="O2448" s="256" t="inlineStr">
        <is>
          <t>17.11.2025</t>
        </is>
      </c>
      <c r="P2448" s="256" t="inlineStr">
        <is>
          <t>carried from the initial testing (CoQ-PP-2025-0017) — covered</t>
        </is>
      </c>
      <c r="Q2448" s="256" t="inlineStr"/>
      <c r="R2448" s="256" t="inlineStr"/>
    </row>
    <row r="2449">
      <c r="A2449" s="256" t="inlineStr">
        <is>
          <t>CoQ-PP_26-107</t>
        </is>
      </c>
      <c r="B2449" s="256" t="inlineStr">
        <is>
          <t>reissue — retest</t>
        </is>
      </c>
      <c r="C2449" s="256" t="inlineStr">
        <is>
          <t>BSS052501</t>
        </is>
      </c>
      <c r="D2449" s="256" t="inlineStr">
        <is>
          <t>P050192</t>
        </is>
      </c>
      <c r="E2449" s="256" t="inlineStr">
        <is>
          <t>Blue Sunset Sherbet</t>
        </is>
      </c>
      <c r="F2449" s="256" t="inlineStr">
        <is>
          <t>18.09.2026</t>
        </is>
      </c>
      <c r="G2449" s="256" t="inlineStr">
        <is>
          <t>9.2</t>
        </is>
      </c>
      <c r="H2449" s="256" t="inlineStr">
        <is>
          <t>TYMC</t>
        </is>
      </c>
      <c r="I2449" s="256" t="inlineStr">
        <is>
          <t>Ph. Eur. 2.6.12 cat. C</t>
        </is>
      </c>
      <c r="J2449" s="256" t="inlineStr">
        <is>
          <t>≤ 10⁴ CFU/g</t>
        </is>
      </c>
      <c r="K2449" s="256" t="inlineStr">
        <is>
          <t>200</t>
        </is>
      </c>
      <c r="L2449" s="256" t="inlineStr">
        <is>
          <t>1157/2058/25</t>
        </is>
      </c>
      <c r="M2449" s="256" t="inlineStr">
        <is>
          <t>24.11.2025</t>
        </is>
      </c>
      <c r="N2449" s="256" t="inlineStr">
        <is>
          <t>IPH — Institute of Public Health</t>
        </is>
      </c>
      <c r="O2449" s="256" t="inlineStr">
        <is>
          <t>17.11.2025</t>
        </is>
      </c>
      <c r="P2449" s="256" t="inlineStr">
        <is>
          <t>carried from the initial testing (CoQ-PP-2025-0017) — covered</t>
        </is>
      </c>
      <c r="Q2449" s="256" t="inlineStr"/>
      <c r="R2449" s="256" t="inlineStr"/>
    </row>
    <row r="2450">
      <c r="A2450" s="256" t="inlineStr">
        <is>
          <t>CoQ-PP_26-107</t>
        </is>
      </c>
      <c r="B2450" s="256" t="inlineStr">
        <is>
          <t>reissue — retest</t>
        </is>
      </c>
      <c r="C2450" s="256" t="inlineStr">
        <is>
          <t>BSS052501</t>
        </is>
      </c>
      <c r="D2450" s="256" t="inlineStr">
        <is>
          <t>P050192</t>
        </is>
      </c>
      <c r="E2450" s="256" t="inlineStr">
        <is>
          <t>Blue Sunset Sherbet</t>
        </is>
      </c>
      <c r="F2450" s="256" t="inlineStr">
        <is>
          <t>18.09.2026</t>
        </is>
      </c>
      <c r="G2450" s="256" t="inlineStr">
        <is>
          <t>9.3</t>
        </is>
      </c>
      <c r="H2450" s="256" t="inlineStr">
        <is>
          <t>Bile-tolerant gram-neg.</t>
        </is>
      </c>
      <c r="I2450" s="256" t="inlineStr">
        <is>
          <t>Ph. Eur. 2.6.31 cat. C</t>
        </is>
      </c>
      <c r="J2450" s="256" t="inlineStr">
        <is>
          <t>≤ 10⁴ CFU/g</t>
        </is>
      </c>
      <c r="K2450" s="256" t="inlineStr">
        <is>
          <t>&lt; 10² and &gt; 10</t>
        </is>
      </c>
      <c r="L2450" s="256" t="inlineStr">
        <is>
          <t>1157/2058/25</t>
        </is>
      </c>
      <c r="M2450" s="256" t="inlineStr">
        <is>
          <t>24.11.2025</t>
        </is>
      </c>
      <c r="N2450" s="256" t="inlineStr">
        <is>
          <t>IPH — Institute of Public Health</t>
        </is>
      </c>
      <c r="O2450" s="256" t="inlineStr">
        <is>
          <t>17.11.2025</t>
        </is>
      </c>
      <c r="P2450" s="256" t="inlineStr">
        <is>
          <t>carried from the initial testing (CoQ-PP-2025-0017) — covered</t>
        </is>
      </c>
      <c r="Q2450" s="256" t="inlineStr"/>
      <c r="R2450" s="256" t="inlineStr"/>
    </row>
    <row r="2451">
      <c r="A2451" s="256" t="inlineStr">
        <is>
          <t>CoQ-PP_26-107</t>
        </is>
      </c>
      <c r="B2451" s="256" t="inlineStr">
        <is>
          <t>reissue — retest</t>
        </is>
      </c>
      <c r="C2451" s="256" t="inlineStr">
        <is>
          <t>BSS052501</t>
        </is>
      </c>
      <c r="D2451" s="256" t="inlineStr">
        <is>
          <t>P050192</t>
        </is>
      </c>
      <c r="E2451" s="256" t="inlineStr">
        <is>
          <t>Blue Sunset Sherbet</t>
        </is>
      </c>
      <c r="F2451" s="256" t="inlineStr">
        <is>
          <t>18.09.2026</t>
        </is>
      </c>
      <c r="G2451" s="256" t="inlineStr">
        <is>
          <t>9.4</t>
        </is>
      </c>
      <c r="H2451" s="256" t="inlineStr">
        <is>
          <t>Salmonella</t>
        </is>
      </c>
      <c r="I2451" s="256" t="inlineStr">
        <is>
          <t>Ph. Eur. 2.6.31 cat. C</t>
        </is>
      </c>
      <c r="J2451" s="256" t="inlineStr">
        <is>
          <t>Absence | Отсуство / 25 g</t>
        </is>
      </c>
      <c r="K2451" s="256" t="inlineStr">
        <is>
          <t>Absent | Отсутна</t>
        </is>
      </c>
      <c r="L2451" s="256" t="inlineStr">
        <is>
          <t>1157/2058/25</t>
        </is>
      </c>
      <c r="M2451" s="256" t="inlineStr">
        <is>
          <t>24.11.2025</t>
        </is>
      </c>
      <c r="N2451" s="256" t="inlineStr">
        <is>
          <t>IPH — Institute of Public Health</t>
        </is>
      </c>
      <c r="O2451" s="256" t="inlineStr">
        <is>
          <t>17.11.2025</t>
        </is>
      </c>
      <c r="P2451" s="256" t="inlineStr">
        <is>
          <t>carried from the initial testing (CoQ-PP-2025-0017) — covered</t>
        </is>
      </c>
      <c r="Q2451" s="256" t="inlineStr"/>
      <c r="R2451" s="256" t="inlineStr"/>
    </row>
    <row r="2452">
      <c r="A2452" s="256" t="inlineStr">
        <is>
          <t>CoQ-PP_26-107</t>
        </is>
      </c>
      <c r="B2452" s="256" t="inlineStr">
        <is>
          <t>reissue — retest</t>
        </is>
      </c>
      <c r="C2452" s="256" t="inlineStr">
        <is>
          <t>BSS052501</t>
        </is>
      </c>
      <c r="D2452" s="256" t="inlineStr">
        <is>
          <t>P050192</t>
        </is>
      </c>
      <c r="E2452" s="256" t="inlineStr">
        <is>
          <t>Blue Sunset Sherbet</t>
        </is>
      </c>
      <c r="F2452" s="256" t="inlineStr">
        <is>
          <t>18.09.2026</t>
        </is>
      </c>
      <c r="G2452" s="256" t="inlineStr">
        <is>
          <t>9.5</t>
        </is>
      </c>
      <c r="H2452" s="256" t="inlineStr">
        <is>
          <t>Escherichia coli</t>
        </is>
      </c>
      <c r="I2452" s="256" t="inlineStr">
        <is>
          <t>Ph. Eur. 2.6.13 cat. C</t>
        </is>
      </c>
      <c r="J2452" s="256" t="inlineStr">
        <is>
          <t>Absence | Отсуство / 1 g</t>
        </is>
      </c>
      <c r="K2452" s="256" t="inlineStr">
        <is>
          <t>Absent | Отсутна</t>
        </is>
      </c>
      <c r="L2452" s="256" t="inlineStr">
        <is>
          <t>1157/2058/25</t>
        </is>
      </c>
      <c r="M2452" s="256" t="inlineStr">
        <is>
          <t>24.11.2025</t>
        </is>
      </c>
      <c r="N2452" s="256" t="inlineStr">
        <is>
          <t>IPH — Institute of Public Health</t>
        </is>
      </c>
      <c r="O2452" s="256" t="inlineStr">
        <is>
          <t>17.11.2025</t>
        </is>
      </c>
      <c r="P2452" s="256" t="inlineStr">
        <is>
          <t>carried from the initial testing (CoQ-PP-2025-0017) — covered</t>
        </is>
      </c>
      <c r="Q2452" s="256" t="inlineStr"/>
      <c r="R2452" s="256" t="inlineStr"/>
    </row>
    <row r="2453">
      <c r="A2453" s="256" t="inlineStr">
        <is>
          <t>CoQ-PP_26-107</t>
        </is>
      </c>
      <c r="B2453" s="256" t="inlineStr">
        <is>
          <t>reissue — retest</t>
        </is>
      </c>
      <c r="C2453" s="256" t="inlineStr">
        <is>
          <t>BSS052501</t>
        </is>
      </c>
      <c r="D2453" s="256" t="inlineStr">
        <is>
          <t>P050192</t>
        </is>
      </c>
      <c r="E2453" s="256" t="inlineStr">
        <is>
          <t>Blue Sunset Sherbet</t>
        </is>
      </c>
      <c r="F2453" s="256" t="inlineStr">
        <is>
          <t>18.09.2026</t>
        </is>
      </c>
      <c r="G2453" s="256" t="inlineStr">
        <is>
          <t>9.6</t>
        </is>
      </c>
      <c r="H2453" s="256" t="inlineStr">
        <is>
          <t>Pseudomonas aeruginosa</t>
        </is>
      </c>
      <c r="I2453" s="256" t="inlineStr">
        <is>
          <t>Ph. Eur. 2.6.13 cat. C</t>
        </is>
      </c>
      <c r="J2453" s="256" t="inlineStr">
        <is>
          <t>Absence | Отсуство / 1 g</t>
        </is>
      </c>
      <c r="K2453" s="260" t="inlineStr">
        <is>
          <t>upon request — not required for release</t>
        </is>
      </c>
      <c r="L2453" s="256" t="inlineStr">
        <is>
          <t>—</t>
        </is>
      </c>
      <c r="M2453" s="256" t="inlineStr">
        <is>
          <t>—</t>
        </is>
      </c>
      <c r="N2453" s="256" t="inlineStr">
        <is>
          <t>—</t>
        </is>
      </c>
      <c r="O2453" s="256" t="inlineStr">
        <is>
          <t>—</t>
        </is>
      </c>
      <c r="P2453" s="256" t="inlineStr">
        <is>
          <t>upon request — not required for release</t>
        </is>
      </c>
      <c r="Q2453" s="256" t="inlineStr"/>
      <c r="R2453" s="256" t="inlineStr"/>
    </row>
    <row r="2454">
      <c r="A2454" s="256" t="inlineStr">
        <is>
          <t>CoQ-PP_26-107</t>
        </is>
      </c>
      <c r="B2454" s="256" t="inlineStr">
        <is>
          <t>reissue — retest</t>
        </is>
      </c>
      <c r="C2454" s="256" t="inlineStr">
        <is>
          <t>BSS052501</t>
        </is>
      </c>
      <c r="D2454" s="256" t="inlineStr">
        <is>
          <t>P050192</t>
        </is>
      </c>
      <c r="E2454" s="256" t="inlineStr">
        <is>
          <t>Blue Sunset Sherbet</t>
        </is>
      </c>
      <c r="F2454" s="256" t="inlineStr">
        <is>
          <t>18.09.2026</t>
        </is>
      </c>
      <c r="G2454" s="256" t="inlineStr">
        <is>
          <t>9.7</t>
        </is>
      </c>
      <c r="H2454" s="256" t="inlineStr">
        <is>
          <t>Staphylococcus aureus</t>
        </is>
      </c>
      <c r="I2454" s="256" t="inlineStr">
        <is>
          <t>Ph. Eur. 2.6.13 cat. C</t>
        </is>
      </c>
      <c r="J2454" s="256" t="inlineStr">
        <is>
          <t>Absence | Отсуство / 1 g</t>
        </is>
      </c>
      <c r="K2454" s="260" t="inlineStr">
        <is>
          <t>upon request — not required for release</t>
        </is>
      </c>
      <c r="L2454" s="256" t="inlineStr">
        <is>
          <t>—</t>
        </is>
      </c>
      <c r="M2454" s="256" t="inlineStr">
        <is>
          <t>—</t>
        </is>
      </c>
      <c r="N2454" s="256" t="inlineStr">
        <is>
          <t>—</t>
        </is>
      </c>
      <c r="O2454" s="256" t="inlineStr">
        <is>
          <t>—</t>
        </is>
      </c>
      <c r="P2454" s="256" t="inlineStr">
        <is>
          <t>upon request — not required for release</t>
        </is>
      </c>
      <c r="Q2454" s="256" t="inlineStr"/>
      <c r="R2454" s="256" t="inlineStr"/>
    </row>
    <row r="2455">
      <c r="A2455" s="256" t="inlineStr">
        <is>
          <t>CoQ-PP_26-107</t>
        </is>
      </c>
      <c r="B2455" s="256" t="inlineStr">
        <is>
          <t>reissue — retest</t>
        </is>
      </c>
      <c r="C2455" s="256" t="inlineStr">
        <is>
          <t>BSS052501</t>
        </is>
      </c>
      <c r="D2455" s="256" t="inlineStr">
        <is>
          <t>P050192</t>
        </is>
      </c>
      <c r="E2455" s="256" t="inlineStr">
        <is>
          <t>Blue Sunset Sherbet</t>
        </is>
      </c>
      <c r="F2455" s="256" t="inlineStr">
        <is>
          <t>18.09.2026</t>
        </is>
      </c>
      <c r="G2455" s="256" t="inlineStr">
        <is>
          <t>10.1</t>
        </is>
      </c>
      <c r="H2455" s="256" t="inlineStr">
        <is>
          <t>Aflatoxin B₁</t>
        </is>
      </c>
      <c r="I2455" s="256" t="inlineStr">
        <is>
          <t>Ph. Eur. 2.8.18 (HPLC-FLD)</t>
        </is>
      </c>
      <c r="J2455" s="256" t="inlineStr">
        <is>
          <t>≤ 2 µg/kg</t>
        </is>
      </c>
      <c r="K2455" s="256" t="inlineStr">
        <is>
          <t>ND</t>
        </is>
      </c>
      <c r="L2455" s="256" t="inlineStr">
        <is>
          <t>220-2-М/26</t>
        </is>
      </c>
      <c r="M2455" s="256" t="inlineStr">
        <is>
          <t>11.09.2026</t>
        </is>
      </c>
      <c r="N2455" s="256" t="inlineStr">
        <is>
          <t>Farmahem</t>
        </is>
      </c>
      <c r="O2455" s="256" t="inlineStr">
        <is>
          <t>17.08.2026</t>
        </is>
      </c>
      <c r="P2455" s="256" t="inlineStr">
        <is>
          <t>covered</t>
        </is>
      </c>
      <c r="Q2455" s="256" t="inlineStr"/>
      <c r="R2455" s="256" t="inlineStr"/>
    </row>
    <row r="2456">
      <c r="A2456" s="256" t="inlineStr">
        <is>
          <t>CoQ-PP_26-107</t>
        </is>
      </c>
      <c r="B2456" s="256" t="inlineStr">
        <is>
          <t>reissue — retest</t>
        </is>
      </c>
      <c r="C2456" s="256" t="inlineStr">
        <is>
          <t>BSS052501</t>
        </is>
      </c>
      <c r="D2456" s="256" t="inlineStr">
        <is>
          <t>P050192</t>
        </is>
      </c>
      <c r="E2456" s="256" t="inlineStr">
        <is>
          <t>Blue Sunset Sherbet</t>
        </is>
      </c>
      <c r="F2456" s="256" t="inlineStr">
        <is>
          <t>18.09.2026</t>
        </is>
      </c>
      <c r="G2456" s="256" t="inlineStr">
        <is>
          <t>10.2</t>
        </is>
      </c>
      <c r="H2456" s="256" t="inlineStr">
        <is>
          <t>Aflatoxins ∑</t>
        </is>
      </c>
      <c r="I2456" s="256" t="inlineStr">
        <is>
          <t>Ph. Eur. 2.8.18 (HPLC-FLD)</t>
        </is>
      </c>
      <c r="J2456" s="256" t="inlineStr">
        <is>
          <t>≤ 4 µg/kg</t>
        </is>
      </c>
      <c r="K2456" s="256" t="inlineStr">
        <is>
          <t>ND</t>
        </is>
      </c>
      <c r="L2456" s="256" t="inlineStr">
        <is>
          <t>220-2-М/26</t>
        </is>
      </c>
      <c r="M2456" s="256" t="inlineStr">
        <is>
          <t>11.09.2026</t>
        </is>
      </c>
      <c r="N2456" s="256" t="inlineStr">
        <is>
          <t>Farmahem</t>
        </is>
      </c>
      <c r="O2456" s="256" t="inlineStr">
        <is>
          <t>17.08.2026</t>
        </is>
      </c>
      <c r="P2456" s="256" t="inlineStr">
        <is>
          <t>covered</t>
        </is>
      </c>
      <c r="Q2456" s="256" t="inlineStr"/>
      <c r="R2456" s="256" t="inlineStr"/>
    </row>
    <row r="2457">
      <c r="A2457" s="256" t="inlineStr">
        <is>
          <t>CoQ-PP_26-107</t>
        </is>
      </c>
      <c r="B2457" s="256" t="inlineStr">
        <is>
          <t>reissue — retest</t>
        </is>
      </c>
      <c r="C2457" s="256" t="inlineStr">
        <is>
          <t>BSS052501</t>
        </is>
      </c>
      <c r="D2457" s="256" t="inlineStr">
        <is>
          <t>P050192</t>
        </is>
      </c>
      <c r="E2457" s="256" t="inlineStr">
        <is>
          <t>Blue Sunset Sherbet</t>
        </is>
      </c>
      <c r="F2457" s="256" t="inlineStr">
        <is>
          <t>18.09.2026</t>
        </is>
      </c>
      <c r="G2457" s="256" t="inlineStr">
        <is>
          <t>10.3</t>
        </is>
      </c>
      <c r="H2457" s="256" t="inlineStr">
        <is>
          <t>Ochratoxin A</t>
        </is>
      </c>
      <c r="I2457" s="256" t="inlineStr">
        <is>
          <t>Ph. Eur. 2.8.22 (HPLC-FLD)</t>
        </is>
      </c>
      <c r="J2457" s="256" t="inlineStr">
        <is>
          <t>≤ 20 µg/kg</t>
        </is>
      </c>
      <c r="K2457" s="256" t="inlineStr">
        <is>
          <t>ND</t>
        </is>
      </c>
      <c r="L2457" s="256" t="inlineStr">
        <is>
          <t>220-2-М/26</t>
        </is>
      </c>
      <c r="M2457" s="256" t="inlineStr">
        <is>
          <t>11.09.2026</t>
        </is>
      </c>
      <c r="N2457" s="256" t="inlineStr">
        <is>
          <t>Farmahem</t>
        </is>
      </c>
      <c r="O2457" s="256" t="inlineStr">
        <is>
          <t>17.08.2026</t>
        </is>
      </c>
      <c r="P2457" s="256" t="inlineStr">
        <is>
          <t>covered</t>
        </is>
      </c>
      <c r="Q2457" s="256" t="inlineStr"/>
      <c r="R2457" s="256" t="inlineStr"/>
    </row>
    <row r="2458">
      <c r="A2458" s="256" t="inlineStr">
        <is>
          <t>CoQ-PP_26-107</t>
        </is>
      </c>
      <c r="B2458" s="256" t="inlineStr">
        <is>
          <t>reissue — retest</t>
        </is>
      </c>
      <c r="C2458" s="256" t="inlineStr">
        <is>
          <t>BSS052501</t>
        </is>
      </c>
      <c r="D2458" s="256" t="inlineStr">
        <is>
          <t>P050192</t>
        </is>
      </c>
      <c r="E2458" s="256" t="inlineStr">
        <is>
          <t>Blue Sunset Sherbet</t>
        </is>
      </c>
      <c r="F2458" s="256" t="inlineStr">
        <is>
          <t>18.09.2026</t>
        </is>
      </c>
      <c r="G2458" s="256" t="inlineStr">
        <is>
          <t>11.1</t>
        </is>
      </c>
      <c r="H2458" s="256" t="inlineStr">
        <is>
          <t>Lead (Pb)</t>
        </is>
      </c>
      <c r="I2458" s="256" t="inlineStr">
        <is>
          <t>Ph. Eur. 2.4.27 (ICP-MS)</t>
        </is>
      </c>
      <c r="J2458" s="256" t="inlineStr">
        <is>
          <t>≤ 0.5 mg/kg</t>
        </is>
      </c>
      <c r="K2458" s="256" t="inlineStr">
        <is>
          <t>0.024</t>
        </is>
      </c>
      <c r="L2458" s="256" t="inlineStr">
        <is>
          <t>5661/2025</t>
        </is>
      </c>
      <c r="M2458" s="256" t="inlineStr">
        <is>
          <t>01.12.2025</t>
        </is>
      </c>
      <c r="N2458" s="256" t="inlineStr">
        <is>
          <t>IPH — Institute of Public Health</t>
        </is>
      </c>
      <c r="O2458" s="256" t="inlineStr">
        <is>
          <t>21.11.2025</t>
        </is>
      </c>
      <c r="P2458" s="256" t="inlineStr">
        <is>
          <t>carried from the initial testing (CoQ-PP-2025-0017) — covered</t>
        </is>
      </c>
      <c r="Q2458" s="256" t="inlineStr"/>
      <c r="R2458" s="256" t="inlineStr"/>
    </row>
    <row r="2459">
      <c r="A2459" s="256" t="inlineStr">
        <is>
          <t>CoQ-PP_26-107</t>
        </is>
      </c>
      <c r="B2459" s="256" t="inlineStr">
        <is>
          <t>reissue — retest</t>
        </is>
      </c>
      <c r="C2459" s="256" t="inlineStr">
        <is>
          <t>BSS052501</t>
        </is>
      </c>
      <c r="D2459" s="256" t="inlineStr">
        <is>
          <t>P050192</t>
        </is>
      </c>
      <c r="E2459" s="256" t="inlineStr">
        <is>
          <t>Blue Sunset Sherbet</t>
        </is>
      </c>
      <c r="F2459" s="256" t="inlineStr">
        <is>
          <t>18.09.2026</t>
        </is>
      </c>
      <c r="G2459" s="256" t="inlineStr">
        <is>
          <t>11.2</t>
        </is>
      </c>
      <c r="H2459" s="256" t="inlineStr">
        <is>
          <t>Cadmium (Cd)</t>
        </is>
      </c>
      <c r="I2459" s="256" t="inlineStr">
        <is>
          <t>Ph. Eur. 2.4.27 (ICP-MS)</t>
        </is>
      </c>
      <c r="J2459" s="256" t="inlineStr">
        <is>
          <t>≤ 0.3 mg/kg</t>
        </is>
      </c>
      <c r="K2459" s="256" t="inlineStr">
        <is>
          <t>0.004</t>
        </is>
      </c>
      <c r="L2459" s="256" t="inlineStr">
        <is>
          <t>5661/2025</t>
        </is>
      </c>
      <c r="M2459" s="256" t="inlineStr">
        <is>
          <t>01.12.2025</t>
        </is>
      </c>
      <c r="N2459" s="256" t="inlineStr">
        <is>
          <t>IPH — Institute of Public Health</t>
        </is>
      </c>
      <c r="O2459" s="256" t="inlineStr">
        <is>
          <t>21.11.2025</t>
        </is>
      </c>
      <c r="P2459" s="256" t="inlineStr">
        <is>
          <t>carried from the initial testing (CoQ-PP-2025-0017) — covered</t>
        </is>
      </c>
      <c r="Q2459" s="256" t="inlineStr"/>
      <c r="R2459" s="256" t="inlineStr"/>
    </row>
    <row r="2460">
      <c r="A2460" s="256" t="inlineStr">
        <is>
          <t>CoQ-PP_26-107</t>
        </is>
      </c>
      <c r="B2460" s="256" t="inlineStr">
        <is>
          <t>reissue — retest</t>
        </is>
      </c>
      <c r="C2460" s="256" t="inlineStr">
        <is>
          <t>BSS052501</t>
        </is>
      </c>
      <c r="D2460" s="256" t="inlineStr">
        <is>
          <t>P050192</t>
        </is>
      </c>
      <c r="E2460" s="256" t="inlineStr">
        <is>
          <t>Blue Sunset Sherbet</t>
        </is>
      </c>
      <c r="F2460" s="256" t="inlineStr">
        <is>
          <t>18.09.2026</t>
        </is>
      </c>
      <c r="G2460" s="256" t="inlineStr">
        <is>
          <t>11.3</t>
        </is>
      </c>
      <c r="H2460" s="256" t="inlineStr">
        <is>
          <t>Arsenic (As)</t>
        </is>
      </c>
      <c r="I2460" s="256" t="inlineStr">
        <is>
          <t>Ph. Eur. 2.4.27 (ICP-MS)</t>
        </is>
      </c>
      <c r="J2460" s="256" t="inlineStr">
        <is>
          <t>≤ 0.2 mg/kg</t>
        </is>
      </c>
      <c r="K2460" s="256" t="inlineStr">
        <is>
          <t>0.025</t>
        </is>
      </c>
      <c r="L2460" s="256" t="inlineStr">
        <is>
          <t>5661/2025</t>
        </is>
      </c>
      <c r="M2460" s="256" t="inlineStr">
        <is>
          <t>01.12.2025</t>
        </is>
      </c>
      <c r="N2460" s="256" t="inlineStr">
        <is>
          <t>IPH — Institute of Public Health</t>
        </is>
      </c>
      <c r="O2460" s="256" t="inlineStr">
        <is>
          <t>21.11.2025</t>
        </is>
      </c>
      <c r="P2460" s="256" t="inlineStr">
        <is>
          <t>carried from the initial testing (CoQ-PP-2025-0017) — covered</t>
        </is>
      </c>
      <c r="Q2460" s="256" t="inlineStr"/>
      <c r="R2460" s="256" t="inlineStr"/>
    </row>
    <row r="2461">
      <c r="A2461" s="256" t="inlineStr">
        <is>
          <t>CoQ-PP_26-107</t>
        </is>
      </c>
      <c r="B2461" s="256" t="inlineStr">
        <is>
          <t>reissue — retest</t>
        </is>
      </c>
      <c r="C2461" s="256" t="inlineStr">
        <is>
          <t>BSS052501</t>
        </is>
      </c>
      <c r="D2461" s="256" t="inlineStr">
        <is>
          <t>P050192</t>
        </is>
      </c>
      <c r="E2461" s="256" t="inlineStr">
        <is>
          <t>Blue Sunset Sherbet</t>
        </is>
      </c>
      <c r="F2461" s="256" t="inlineStr">
        <is>
          <t>18.09.2026</t>
        </is>
      </c>
      <c r="G2461" s="256" t="inlineStr">
        <is>
          <t>11.4</t>
        </is>
      </c>
      <c r="H2461" s="256" t="inlineStr">
        <is>
          <t>Mercury (Hg)</t>
        </is>
      </c>
      <c r="I2461" s="256" t="inlineStr">
        <is>
          <t>Ph. Eur. 2.4.27 (ICP-MS)</t>
        </is>
      </c>
      <c r="J2461" s="256" t="inlineStr">
        <is>
          <t>≤ 0.1 mg/kg</t>
        </is>
      </c>
      <c r="K2461" s="256" t="inlineStr">
        <is>
          <t>0.0036</t>
        </is>
      </c>
      <c r="L2461" s="256" t="inlineStr">
        <is>
          <t>5661/2025</t>
        </is>
      </c>
      <c r="M2461" s="256" t="inlineStr">
        <is>
          <t>01.12.2025</t>
        </is>
      </c>
      <c r="N2461" s="256" t="inlineStr">
        <is>
          <t>IPH — Institute of Public Health</t>
        </is>
      </c>
      <c r="O2461" s="256" t="inlineStr">
        <is>
          <t>21.11.2025</t>
        </is>
      </c>
      <c r="P2461" s="256" t="inlineStr">
        <is>
          <t>carried from the initial testing (CoQ-PP-2025-0017) — covered</t>
        </is>
      </c>
      <c r="Q2461" s="256" t="inlineStr"/>
      <c r="R2461" s="256" t="inlineStr"/>
    </row>
    <row r="2462">
      <c r="A2462" s="256" t="inlineStr">
        <is>
          <t>CoQ-PP_26-107</t>
        </is>
      </c>
      <c r="B2462" s="256" t="inlineStr">
        <is>
          <t>reissue — retest</t>
        </is>
      </c>
      <c r="C2462" s="256" t="inlineStr">
        <is>
          <t>BSS052501</t>
        </is>
      </c>
      <c r="D2462" s="256" t="inlineStr">
        <is>
          <t>P050192</t>
        </is>
      </c>
      <c r="E2462" s="256" t="inlineStr">
        <is>
          <t>Blue Sunset Sherbet</t>
        </is>
      </c>
      <c r="F2462" s="256" t="inlineStr">
        <is>
          <t>18.09.2026</t>
        </is>
      </c>
      <c r="G2462" s="256" t="inlineStr">
        <is>
          <t>12</t>
        </is>
      </c>
      <c r="H2462" s="256" t="inlineStr">
        <is>
          <t>Pesticide Residues</t>
        </is>
      </c>
      <c r="I2462" s="256" t="inlineStr">
        <is>
          <t>Ph. Eur. 2.8.13 (LC-MS/MS) · CUMCS Equivalency</t>
        </is>
      </c>
      <c r="J2462" s="256" t="inlineStr">
        <is>
          <t>≤ LOQ as per Ph. Eur. 2.8.13 · ≤ LOQ as per CUMCS Equivalency</t>
        </is>
      </c>
      <c r="K2462" s="256" t="inlineStr">
        <is>
          <t>Not found any pesticide above LOQ (≤LOQ) — COMPLIES with Ph. Eur.</t>
        </is>
      </c>
      <c r="L2462" s="256" t="inlineStr">
        <is>
          <t>10802_2845/2</t>
        </is>
      </c>
      <c r="M2462" s="256" t="inlineStr">
        <is>
          <t>17.11.2025</t>
        </is>
      </c>
      <c r="N2462" s="256" t="inlineStr">
        <is>
          <t>State Phytosanitary Laboratory</t>
        </is>
      </c>
      <c r="O2462" s="256" t="inlineStr">
        <is>
          <t>—</t>
        </is>
      </c>
      <c r="P2462" s="256" t="inlineStr">
        <is>
          <t>carried from the initial testing (CoQ-PP-2025-0017) — covered</t>
        </is>
      </c>
      <c r="Q2462" s="256" t="inlineStr"/>
      <c r="R2462" s="256" t="inlineStr"/>
    </row>
    <row r="2463">
      <c r="A2463" s="256" t="inlineStr">
        <is>
          <t>CoQ-PP_26-108</t>
        </is>
      </c>
      <c r="B2463" s="256" t="inlineStr">
        <is>
          <t>reissue — retest</t>
        </is>
      </c>
      <c r="C2463" s="256" t="inlineStr">
        <is>
          <t>CC012603</t>
        </is>
      </c>
      <c r="D2463" s="256" t="inlineStr">
        <is>
          <t>P060372</t>
        </is>
      </c>
      <c r="E2463" s="256" t="inlineStr">
        <is>
          <t>Cash Cow</t>
        </is>
      </c>
      <c r="F2463" s="256" t="inlineStr">
        <is>
          <t>18.09.2026</t>
        </is>
      </c>
      <c r="G2463" s="256" t="inlineStr">
        <is>
          <t>1</t>
        </is>
      </c>
      <c r="H2463" s="256" t="inlineStr">
        <is>
          <t>Identification A, Appearance · Macroscopic</t>
        </is>
      </c>
      <c r="I2463" s="256" t="inlineStr">
        <is>
          <t>Ph. Eur. mon. 3028</t>
        </is>
      </c>
      <c r="J2463" s="256" t="inlineStr">
        <is>
          <t>Conforms to the monograph for Cannabis flos (07/2024:3028) in Ph. Eur. 11.0 | Согласно монографија за Cannabis flos (07/2024:3028) во Ph. Eur. 11.0</t>
        </is>
      </c>
      <c r="K2463" s="256" t="inlineStr">
        <is>
          <t>Conforms | Одговара</t>
        </is>
      </c>
      <c r="L2463" s="256" t="inlineStr">
        <is>
          <t>iCoA-PP_26-145</t>
        </is>
      </c>
      <c r="M2463" s="256" t="inlineStr">
        <is>
          <t>17.08.2026</t>
        </is>
      </c>
      <c r="N2463" s="256" t="inlineStr">
        <is>
          <t>Purely Plant GmbH (in-house)</t>
        </is>
      </c>
      <c r="O2463" s="256" t="inlineStr">
        <is>
          <t>—</t>
        </is>
      </c>
      <c r="P2463" s="256" t="inlineStr">
        <is>
          <t>to be performed — see route</t>
        </is>
      </c>
      <c r="Q2463" s="256" t="inlineStr">
        <is>
          <t>Farmahem — Ident A + B + C with the Assay, at retest</t>
        </is>
      </c>
      <c r="R2463" s="256" t="inlineStr"/>
    </row>
    <row r="2464">
      <c r="A2464" s="256" t="inlineStr">
        <is>
          <t>CoQ-PP_26-108</t>
        </is>
      </c>
      <c r="B2464" s="256" t="inlineStr">
        <is>
          <t>reissue — retest</t>
        </is>
      </c>
      <c r="C2464" s="256" t="inlineStr">
        <is>
          <t>CC012603</t>
        </is>
      </c>
      <c r="D2464" s="256" t="inlineStr">
        <is>
          <t>P060372</t>
        </is>
      </c>
      <c r="E2464" s="256" t="inlineStr">
        <is>
          <t>Cash Cow</t>
        </is>
      </c>
      <c r="F2464" s="256" t="inlineStr">
        <is>
          <t>18.09.2026</t>
        </is>
      </c>
      <c r="G2464" s="256" t="inlineStr">
        <is>
          <t>2</t>
        </is>
      </c>
      <c r="H2464" s="256" t="inlineStr">
        <is>
          <t>Identification B · Microscopic</t>
        </is>
      </c>
      <c r="I2464" s="256" t="inlineStr">
        <is>
          <t>Ph. Eur. 2.8.23 (microscopy)</t>
        </is>
      </c>
      <c r="J2464" s="256" t="inlineStr">
        <is>
          <t>Conforms to the monograph for Cannabis flos (07/2024:3028) in Ph. Eur. 11.0 | Согласно монографија за Cannabis flos (07/2024:3028) во Ph. Eur. 11.0</t>
        </is>
      </c>
      <c r="K2464" s="256" t="inlineStr">
        <is>
          <t>Conforms | Одговара</t>
        </is>
      </c>
      <c r="L2464" s="256" t="inlineStr">
        <is>
          <t>iCoA-PP_26-145</t>
        </is>
      </c>
      <c r="M2464" s="256" t="inlineStr">
        <is>
          <t>17.08.2026</t>
        </is>
      </c>
      <c r="N2464" s="256" t="inlineStr">
        <is>
          <t>Purely Plant GmbH (in-house)</t>
        </is>
      </c>
      <c r="O2464" s="256" t="inlineStr">
        <is>
          <t>—</t>
        </is>
      </c>
      <c r="P2464" s="256" t="inlineStr">
        <is>
          <t>to be performed — see route</t>
        </is>
      </c>
      <c r="Q2464" s="256" t="inlineStr">
        <is>
          <t>Farmahem — Ident A + B + C with the Assay, at retest</t>
        </is>
      </c>
      <c r="R2464" s="256" t="inlineStr"/>
    </row>
    <row r="2465">
      <c r="A2465" s="256" t="inlineStr">
        <is>
          <t>CoQ-PP_26-108</t>
        </is>
      </c>
      <c r="B2465" s="256" t="inlineStr">
        <is>
          <t>reissue — retest</t>
        </is>
      </c>
      <c r="C2465" s="256" t="inlineStr">
        <is>
          <t>CC012603</t>
        </is>
      </c>
      <c r="D2465" s="256" t="inlineStr">
        <is>
          <t>P060372</t>
        </is>
      </c>
      <c r="E2465" s="256" t="inlineStr">
        <is>
          <t>Cash Cow</t>
        </is>
      </c>
      <c r="F2465" s="256" t="inlineStr">
        <is>
          <t>18.09.2026</t>
        </is>
      </c>
      <c r="G2465" s="256" t="inlineStr">
        <is>
          <t>3</t>
        </is>
      </c>
      <c r="H2465" s="256" t="inlineStr">
        <is>
          <t>Identification C · HPLC/HPTLC</t>
        </is>
      </c>
      <c r="I2465" s="256" t="inlineStr">
        <is>
          <t>Ph. Eur. 2.2.29 (3028)</t>
        </is>
      </c>
      <c r="J2465" s="256" t="inlineStr">
        <is>
          <t>Conforms to the monograph for Cannabis flos (07/2024:3028) in Ph. Eur. 11.0 | Согласно монографија за Cannabis flos (07/2024:3028) во Ph. Eur. 11.0</t>
        </is>
      </c>
      <c r="K2465" s="256" t="inlineStr">
        <is>
          <t>Conforms | Одговара</t>
        </is>
      </c>
      <c r="L2465" s="256" t="inlineStr">
        <is>
          <t>220-29-К/26</t>
        </is>
      </c>
      <c r="M2465" s="256" t="inlineStr">
        <is>
          <t>26.08.2026</t>
        </is>
      </c>
      <c r="N2465" s="256" t="inlineStr">
        <is>
          <t>Farmahem</t>
        </is>
      </c>
      <c r="O2465" s="256" t="inlineStr">
        <is>
          <t>17.08.2026</t>
        </is>
      </c>
      <c r="P2465" s="256" t="inlineStr">
        <is>
          <t>covered</t>
        </is>
      </c>
      <c r="Q2465" s="256" t="inlineStr"/>
      <c r="R2465" s="256" t="inlineStr"/>
    </row>
    <row r="2466">
      <c r="A2466" s="256" t="inlineStr">
        <is>
          <t>CoQ-PP_26-108</t>
        </is>
      </c>
      <c r="B2466" s="256" t="inlineStr">
        <is>
          <t>reissue — retest</t>
        </is>
      </c>
      <c r="C2466" s="256" t="inlineStr">
        <is>
          <t>CC012603</t>
        </is>
      </c>
      <c r="D2466" s="256" t="inlineStr">
        <is>
          <t>P060372</t>
        </is>
      </c>
      <c r="E2466" s="256" t="inlineStr">
        <is>
          <t>Cash Cow</t>
        </is>
      </c>
      <c r="F2466" s="256" t="inlineStr">
        <is>
          <t>18.09.2026</t>
        </is>
      </c>
      <c r="G2466" s="256" t="inlineStr">
        <is>
          <t>4</t>
        </is>
      </c>
      <c r="H2466" s="256" t="inlineStr">
        <is>
          <t>Assay — Total Δ⁹-THC</t>
        </is>
      </c>
      <c r="I2466" s="256" t="inlineStr">
        <is>
          <t>Ph. Eur. 2.2.29 (HPLC)</t>
        </is>
      </c>
      <c r="J2466" s="256" t="inlineStr">
        <is>
          <t>12.65 – 15.34 %  (grade II, nominal 14.00 ± 1.35)</t>
        </is>
      </c>
      <c r="K2466" s="256" t="inlineStr">
        <is>
          <t>14.76</t>
        </is>
      </c>
      <c r="L2466" s="256" t="inlineStr">
        <is>
          <t>220-29-К/26</t>
        </is>
      </c>
      <c r="M2466" s="256" t="inlineStr">
        <is>
          <t>26.08.2026</t>
        </is>
      </c>
      <c r="N2466" s="256" t="inlineStr">
        <is>
          <t>Farmahem</t>
        </is>
      </c>
      <c r="O2466" s="256" t="inlineStr">
        <is>
          <t>17.08.2026</t>
        </is>
      </c>
      <c r="P2466" s="256" t="inlineStr">
        <is>
          <t>covered</t>
        </is>
      </c>
      <c r="Q2466" s="256" t="inlineStr"/>
      <c r="R2466" s="256" t="inlineStr"/>
    </row>
    <row r="2467">
      <c r="A2467" s="256" t="inlineStr">
        <is>
          <t>CoQ-PP_26-108</t>
        </is>
      </c>
      <c r="B2467" s="256" t="inlineStr">
        <is>
          <t>reissue — retest</t>
        </is>
      </c>
      <c r="C2467" s="256" t="inlineStr">
        <is>
          <t>CC012603</t>
        </is>
      </c>
      <c r="D2467" s="256" t="inlineStr">
        <is>
          <t>P060372</t>
        </is>
      </c>
      <c r="E2467" s="256" t="inlineStr">
        <is>
          <t>Cash Cow</t>
        </is>
      </c>
      <c r="F2467" s="256" t="inlineStr">
        <is>
          <t>18.09.2026</t>
        </is>
      </c>
      <c r="G2467" s="256" t="inlineStr">
        <is>
          <t>5</t>
        </is>
      </c>
      <c r="H2467" s="256" t="inlineStr">
        <is>
          <t>Assay — Total CBD</t>
        </is>
      </c>
      <c r="I2467" s="256" t="inlineStr">
        <is>
          <t>Ph. Eur. 2.2.29 (HPLC) · CBD + CBDA x 0.877</t>
        </is>
      </c>
      <c r="J2467" s="256" t="inlineStr">
        <is>
          <t>≤ 1.0%, w/w</t>
        </is>
      </c>
      <c r="K2467" s="256" t="inlineStr">
        <is>
          <t>&lt; LOQ</t>
        </is>
      </c>
      <c r="L2467" s="256" t="inlineStr">
        <is>
          <t>220-29-К/26</t>
        </is>
      </c>
      <c r="M2467" s="256" t="inlineStr">
        <is>
          <t>26.08.2026</t>
        </is>
      </c>
      <c r="N2467" s="256" t="inlineStr">
        <is>
          <t>Farmahem</t>
        </is>
      </c>
      <c r="O2467" s="256" t="inlineStr">
        <is>
          <t>17.08.2026</t>
        </is>
      </c>
      <c r="P2467" s="256" t="inlineStr">
        <is>
          <t>covered</t>
        </is>
      </c>
      <c r="Q2467" s="256" t="inlineStr"/>
      <c r="R2467" s="256" t="inlineStr"/>
    </row>
    <row r="2468">
      <c r="A2468" s="256" t="inlineStr">
        <is>
          <t>CoQ-PP_26-108</t>
        </is>
      </c>
      <c r="B2468" s="256" t="inlineStr">
        <is>
          <t>reissue — retest</t>
        </is>
      </c>
      <c r="C2468" s="256" t="inlineStr">
        <is>
          <t>CC012603</t>
        </is>
      </c>
      <c r="D2468" s="256" t="inlineStr">
        <is>
          <t>P060372</t>
        </is>
      </c>
      <c r="E2468" s="256" t="inlineStr">
        <is>
          <t>Cash Cow</t>
        </is>
      </c>
      <c r="F2468" s="256" t="inlineStr">
        <is>
          <t>18.09.2026</t>
        </is>
      </c>
      <c r="G2468" s="256" t="inlineStr">
        <is>
          <t>6</t>
        </is>
      </c>
      <c r="H2468" s="256" t="inlineStr">
        <is>
          <t>Total CBN</t>
        </is>
      </c>
      <c r="I2468" s="256" t="inlineStr">
        <is>
          <t>Ph. Eur. 2.2.29 (HPLC) · CBN + CBNA x 0.876</t>
        </is>
      </c>
      <c r="J2468" s="256" t="inlineStr">
        <is>
          <t>≤ 1.0%, w/w</t>
        </is>
      </c>
      <c r="K2468" s="256" t="inlineStr">
        <is>
          <t>&lt; LOQ</t>
        </is>
      </c>
      <c r="L2468" s="256" t="inlineStr">
        <is>
          <t>220-29-К/26</t>
        </is>
      </c>
      <c r="M2468" s="256" t="inlineStr">
        <is>
          <t>26.08.2026</t>
        </is>
      </c>
      <c r="N2468" s="256" t="inlineStr">
        <is>
          <t>Farmahem</t>
        </is>
      </c>
      <c r="O2468" s="256" t="inlineStr">
        <is>
          <t>17.08.2026</t>
        </is>
      </c>
      <c r="P2468" s="256" t="inlineStr">
        <is>
          <t>covered</t>
        </is>
      </c>
      <c r="Q2468" s="256" t="inlineStr"/>
      <c r="R2468" s="256" t="inlineStr"/>
    </row>
    <row r="2469">
      <c r="A2469" s="256" t="inlineStr">
        <is>
          <t>CoQ-PP_26-108</t>
        </is>
      </c>
      <c r="B2469" s="256" t="inlineStr">
        <is>
          <t>reissue — retest</t>
        </is>
      </c>
      <c r="C2469" s="256" t="inlineStr">
        <is>
          <t>CC012603</t>
        </is>
      </c>
      <c r="D2469" s="256" t="inlineStr">
        <is>
          <t>P060372</t>
        </is>
      </c>
      <c r="E2469" s="256" t="inlineStr">
        <is>
          <t>Cash Cow</t>
        </is>
      </c>
      <c r="F2469" s="256" t="inlineStr">
        <is>
          <t>18.09.2026</t>
        </is>
      </c>
      <c r="G2469" s="256" t="inlineStr">
        <is>
          <t>7</t>
        </is>
      </c>
      <c r="H2469" s="256" t="inlineStr">
        <is>
          <t>Foreign Matter</t>
        </is>
      </c>
      <c r="I2469" s="256" t="inlineStr">
        <is>
          <t>Ph. Eur. 2.8.2 · In-house · интерна</t>
        </is>
      </c>
      <c r="J2469" s="256" t="inlineStr">
        <is>
          <t>≤ 2.0% / 25–50 g · &lt; 1 cm leaves | листови, no seeds | без семки</t>
        </is>
      </c>
      <c r="K2469" s="256" t="inlineStr">
        <is>
          <t>Conforms | Одговара</t>
        </is>
      </c>
      <c r="L2469" s="256" t="inlineStr">
        <is>
          <t>iCoA-PP_26-145</t>
        </is>
      </c>
      <c r="M2469" s="256" t="inlineStr">
        <is>
          <t>17.08.2026</t>
        </is>
      </c>
      <c r="N2469" s="256" t="inlineStr">
        <is>
          <t>Purely Plant GmbH (in-house)</t>
        </is>
      </c>
      <c r="O2469" s="256" t="inlineStr">
        <is>
          <t>—</t>
        </is>
      </c>
      <c r="P2469" s="256" t="inlineStr">
        <is>
          <t>to be performed — see route</t>
        </is>
      </c>
      <c r="Q2469" s="256" t="inlineStr">
        <is>
          <t>Purely Plant laboratory — iCoA covering Foreign matter</t>
        </is>
      </c>
      <c r="R2469" s="256" t="inlineStr"/>
    </row>
    <row r="2470">
      <c r="A2470" s="256" t="inlineStr">
        <is>
          <t>CoQ-PP_26-108</t>
        </is>
      </c>
      <c r="B2470" s="256" t="inlineStr">
        <is>
          <t>reissue — retest</t>
        </is>
      </c>
      <c r="C2470" s="256" t="inlineStr">
        <is>
          <t>CC012603</t>
        </is>
      </c>
      <c r="D2470" s="256" t="inlineStr">
        <is>
          <t>P060372</t>
        </is>
      </c>
      <c r="E2470" s="256" t="inlineStr">
        <is>
          <t>Cash Cow</t>
        </is>
      </c>
      <c r="F2470" s="256" t="inlineStr">
        <is>
          <t>18.09.2026</t>
        </is>
      </c>
      <c r="G2470" s="256" t="inlineStr">
        <is>
          <t>8</t>
        </is>
      </c>
      <c r="H2470" s="256" t="inlineStr">
        <is>
          <t>Loss on Drying</t>
        </is>
      </c>
      <c r="I2470" s="256" t="inlineStr">
        <is>
          <t>Ph. Eur. 2.2.32 (3028) · at 40 °C, 24 h, 15–25 mbar</t>
        </is>
      </c>
      <c r="J2470" s="256" t="inlineStr">
        <is>
          <t>≤ 12.0%</t>
        </is>
      </c>
      <c r="K2470" s="256" t="inlineStr">
        <is>
          <t>carried from the initial testing — not tested</t>
        </is>
      </c>
      <c r="L2470" s="256" t="inlineStr">
        <is>
          <t>—</t>
        </is>
      </c>
      <c r="M2470" s="256" t="inlineStr">
        <is>
          <t>—</t>
        </is>
      </c>
      <c r="N2470" s="256" t="inlineStr">
        <is>
          <t>—</t>
        </is>
      </c>
      <c r="O2470" s="256" t="inlineStr">
        <is>
          <t>—</t>
        </is>
      </c>
      <c r="P2470" s="256" t="inlineStr">
        <is>
          <t>carried from the initial testing (CoQ-PP-2026-0024) — not tested — no certificate covers it</t>
        </is>
      </c>
      <c r="Q2470" s="256" t="inlineStr"/>
      <c r="R2470" s="256" t="inlineStr"/>
    </row>
    <row r="2471">
      <c r="A2471" s="256" t="inlineStr">
        <is>
          <t>CoQ-PP_26-108</t>
        </is>
      </c>
      <c r="B2471" s="256" t="inlineStr">
        <is>
          <t>reissue — retest</t>
        </is>
      </c>
      <c r="C2471" s="256" t="inlineStr">
        <is>
          <t>CC012603</t>
        </is>
      </c>
      <c r="D2471" s="256" t="inlineStr">
        <is>
          <t>P060372</t>
        </is>
      </c>
      <c r="E2471" s="256" t="inlineStr">
        <is>
          <t>Cash Cow</t>
        </is>
      </c>
      <c r="F2471" s="256" t="inlineStr">
        <is>
          <t>18.09.2026</t>
        </is>
      </c>
      <c r="G2471" s="256" t="inlineStr">
        <is>
          <t>9.1</t>
        </is>
      </c>
      <c r="H2471" s="256" t="inlineStr">
        <is>
          <t>TAMC</t>
        </is>
      </c>
      <c r="I2471" s="256" t="inlineStr">
        <is>
          <t>Ph. Eur. 2.6.12 cat. C</t>
        </is>
      </c>
      <c r="J2471" s="256" t="inlineStr">
        <is>
          <t>≤ 10⁵ CFU/g</t>
        </is>
      </c>
      <c r="K2471" s="256" t="inlineStr">
        <is>
          <t>2.7 × 10³</t>
        </is>
      </c>
      <c r="L2471" s="256" t="inlineStr">
        <is>
          <t>363/0693/26</t>
        </is>
      </c>
      <c r="M2471" s="256" t="inlineStr">
        <is>
          <t>01.06.2026</t>
        </is>
      </c>
      <c r="N2471" s="256" t="inlineStr">
        <is>
          <t>IPH — Institute of Public Health</t>
        </is>
      </c>
      <c r="O2471" s="256" t="inlineStr">
        <is>
          <t>—</t>
        </is>
      </c>
      <c r="P2471" s="256" t="inlineStr">
        <is>
          <t>covered</t>
        </is>
      </c>
      <c r="Q2471" s="256" t="inlineStr"/>
      <c r="R2471" s="256" t="inlineStr"/>
    </row>
    <row r="2472">
      <c r="A2472" s="256" t="inlineStr">
        <is>
          <t>CoQ-PP_26-108</t>
        </is>
      </c>
      <c r="B2472" s="256" t="inlineStr">
        <is>
          <t>reissue — retest</t>
        </is>
      </c>
      <c r="C2472" s="256" t="inlineStr">
        <is>
          <t>CC012603</t>
        </is>
      </c>
      <c r="D2472" s="256" t="inlineStr">
        <is>
          <t>P060372</t>
        </is>
      </c>
      <c r="E2472" s="256" t="inlineStr">
        <is>
          <t>Cash Cow</t>
        </is>
      </c>
      <c r="F2472" s="256" t="inlineStr">
        <is>
          <t>18.09.2026</t>
        </is>
      </c>
      <c r="G2472" s="256" t="inlineStr">
        <is>
          <t>9.2</t>
        </is>
      </c>
      <c r="H2472" s="256" t="inlineStr">
        <is>
          <t>TYMC</t>
        </is>
      </c>
      <c r="I2472" s="256" t="inlineStr">
        <is>
          <t>Ph. Eur. 2.6.12 cat. C</t>
        </is>
      </c>
      <c r="J2472" s="256" t="inlineStr">
        <is>
          <t>≤ 10⁴ CFU/g</t>
        </is>
      </c>
      <c r="K2472" s="256" t="inlineStr">
        <is>
          <t>1.6 × 10¹</t>
        </is>
      </c>
      <c r="L2472" s="256" t="inlineStr">
        <is>
          <t>363/0693/26</t>
        </is>
      </c>
      <c r="M2472" s="256" t="inlineStr">
        <is>
          <t>01.06.2026</t>
        </is>
      </c>
      <c r="N2472" s="256" t="inlineStr">
        <is>
          <t>IPH — Institute of Public Health</t>
        </is>
      </c>
      <c r="O2472" s="256" t="inlineStr">
        <is>
          <t>—</t>
        </is>
      </c>
      <c r="P2472" s="256" t="inlineStr">
        <is>
          <t>covered</t>
        </is>
      </c>
      <c r="Q2472" s="256" t="inlineStr"/>
      <c r="R2472" s="256" t="inlineStr"/>
    </row>
    <row r="2473">
      <c r="A2473" s="256" t="inlineStr">
        <is>
          <t>CoQ-PP_26-108</t>
        </is>
      </c>
      <c r="B2473" s="256" t="inlineStr">
        <is>
          <t>reissue — retest</t>
        </is>
      </c>
      <c r="C2473" s="256" t="inlineStr">
        <is>
          <t>CC012603</t>
        </is>
      </c>
      <c r="D2473" s="256" t="inlineStr">
        <is>
          <t>P060372</t>
        </is>
      </c>
      <c r="E2473" s="256" t="inlineStr">
        <is>
          <t>Cash Cow</t>
        </is>
      </c>
      <c r="F2473" s="256" t="inlineStr">
        <is>
          <t>18.09.2026</t>
        </is>
      </c>
      <c r="G2473" s="256" t="inlineStr">
        <is>
          <t>9.3</t>
        </is>
      </c>
      <c r="H2473" s="256" t="inlineStr">
        <is>
          <t>Bile-tolerant gram-neg.</t>
        </is>
      </c>
      <c r="I2473" s="256" t="inlineStr">
        <is>
          <t>Ph. Eur. 2.6.31 cat. C</t>
        </is>
      </c>
      <c r="J2473" s="256" t="inlineStr">
        <is>
          <t>≤ 10⁴ CFU/g</t>
        </is>
      </c>
      <c r="K2473" s="256" t="inlineStr">
        <is>
          <t>&lt; 10</t>
        </is>
      </c>
      <c r="L2473" s="256" t="inlineStr">
        <is>
          <t>363/0693/26</t>
        </is>
      </c>
      <c r="M2473" s="256" t="inlineStr">
        <is>
          <t>01.06.2026</t>
        </is>
      </c>
      <c r="N2473" s="256" t="inlineStr">
        <is>
          <t>IPH — Institute of Public Health</t>
        </is>
      </c>
      <c r="O2473" s="256" t="inlineStr">
        <is>
          <t>—</t>
        </is>
      </c>
      <c r="P2473" s="256" t="inlineStr">
        <is>
          <t>covered</t>
        </is>
      </c>
      <c r="Q2473" s="256" t="inlineStr"/>
      <c r="R2473" s="256" t="inlineStr"/>
    </row>
    <row r="2474">
      <c r="A2474" s="256" t="inlineStr">
        <is>
          <t>CoQ-PP_26-108</t>
        </is>
      </c>
      <c r="B2474" s="256" t="inlineStr">
        <is>
          <t>reissue — retest</t>
        </is>
      </c>
      <c r="C2474" s="256" t="inlineStr">
        <is>
          <t>CC012603</t>
        </is>
      </c>
      <c r="D2474" s="256" t="inlineStr">
        <is>
          <t>P060372</t>
        </is>
      </c>
      <c r="E2474" s="256" t="inlineStr">
        <is>
          <t>Cash Cow</t>
        </is>
      </c>
      <c r="F2474" s="256" t="inlineStr">
        <is>
          <t>18.09.2026</t>
        </is>
      </c>
      <c r="G2474" s="256" t="inlineStr">
        <is>
          <t>9.4</t>
        </is>
      </c>
      <c r="H2474" s="256" t="inlineStr">
        <is>
          <t>Salmonella</t>
        </is>
      </c>
      <c r="I2474" s="256" t="inlineStr">
        <is>
          <t>Ph. Eur. 2.6.31 cat. C</t>
        </is>
      </c>
      <c r="J2474" s="256" t="inlineStr">
        <is>
          <t>Absence | Отсуство / 25 g</t>
        </is>
      </c>
      <c r="K2474" s="256" t="inlineStr">
        <is>
          <t>Absent | Отсутна</t>
        </is>
      </c>
      <c r="L2474" s="256" t="inlineStr">
        <is>
          <t>363/0693/26</t>
        </is>
      </c>
      <c r="M2474" s="256" t="inlineStr">
        <is>
          <t>01.06.2026</t>
        </is>
      </c>
      <c r="N2474" s="256" t="inlineStr">
        <is>
          <t>IPH — Institute of Public Health</t>
        </is>
      </c>
      <c r="O2474" s="256" t="inlineStr">
        <is>
          <t>—</t>
        </is>
      </c>
      <c r="P2474" s="256" t="inlineStr">
        <is>
          <t>covered</t>
        </is>
      </c>
      <c r="Q2474" s="256" t="inlineStr"/>
      <c r="R2474" s="256" t="inlineStr"/>
    </row>
    <row r="2475">
      <c r="A2475" s="256" t="inlineStr">
        <is>
          <t>CoQ-PP_26-108</t>
        </is>
      </c>
      <c r="B2475" s="256" t="inlineStr">
        <is>
          <t>reissue — retest</t>
        </is>
      </c>
      <c r="C2475" s="256" t="inlineStr">
        <is>
          <t>CC012603</t>
        </is>
      </c>
      <c r="D2475" s="256" t="inlineStr">
        <is>
          <t>P060372</t>
        </is>
      </c>
      <c r="E2475" s="256" t="inlineStr">
        <is>
          <t>Cash Cow</t>
        </is>
      </c>
      <c r="F2475" s="256" t="inlineStr">
        <is>
          <t>18.09.2026</t>
        </is>
      </c>
      <c r="G2475" s="256" t="inlineStr">
        <is>
          <t>9.5</t>
        </is>
      </c>
      <c r="H2475" s="256" t="inlineStr">
        <is>
          <t>Escherichia coli</t>
        </is>
      </c>
      <c r="I2475" s="256" t="inlineStr">
        <is>
          <t>Ph. Eur. 2.6.13 cat. C</t>
        </is>
      </c>
      <c r="J2475" s="256" t="inlineStr">
        <is>
          <t>Absence | Отсуство / 1 g</t>
        </is>
      </c>
      <c r="K2475" s="256" t="inlineStr">
        <is>
          <t>Absent | Отсутна</t>
        </is>
      </c>
      <c r="L2475" s="256" t="inlineStr">
        <is>
          <t>363/0693/26</t>
        </is>
      </c>
      <c r="M2475" s="256" t="inlineStr">
        <is>
          <t>01.06.2026</t>
        </is>
      </c>
      <c r="N2475" s="256" t="inlineStr">
        <is>
          <t>IPH — Institute of Public Health</t>
        </is>
      </c>
      <c r="O2475" s="256" t="inlineStr">
        <is>
          <t>—</t>
        </is>
      </c>
      <c r="P2475" s="256" t="inlineStr">
        <is>
          <t>covered</t>
        </is>
      </c>
      <c r="Q2475" s="256" t="inlineStr"/>
      <c r="R2475" s="256" t="inlineStr"/>
    </row>
    <row r="2476">
      <c r="A2476" s="256" t="inlineStr">
        <is>
          <t>CoQ-PP_26-108</t>
        </is>
      </c>
      <c r="B2476" s="256" t="inlineStr">
        <is>
          <t>reissue — retest</t>
        </is>
      </c>
      <c r="C2476" s="256" t="inlineStr">
        <is>
          <t>CC012603</t>
        </is>
      </c>
      <c r="D2476" s="256" t="inlineStr">
        <is>
          <t>P060372</t>
        </is>
      </c>
      <c r="E2476" s="256" t="inlineStr">
        <is>
          <t>Cash Cow</t>
        </is>
      </c>
      <c r="F2476" s="256" t="inlineStr">
        <is>
          <t>18.09.2026</t>
        </is>
      </c>
      <c r="G2476" s="256" t="inlineStr">
        <is>
          <t>9.6</t>
        </is>
      </c>
      <c r="H2476" s="256" t="inlineStr">
        <is>
          <t>Pseudomonas aeruginosa</t>
        </is>
      </c>
      <c r="I2476" s="256" t="inlineStr">
        <is>
          <t>Ph. Eur. 2.6.13 cat. C</t>
        </is>
      </c>
      <c r="J2476" s="256" t="inlineStr">
        <is>
          <t>Absence | Отсуство / 1 g</t>
        </is>
      </c>
      <c r="K2476" s="260" t="inlineStr">
        <is>
          <t>upon request — not required for release</t>
        </is>
      </c>
      <c r="L2476" s="256" t="inlineStr">
        <is>
          <t>—</t>
        </is>
      </c>
      <c r="M2476" s="256" t="inlineStr">
        <is>
          <t>—</t>
        </is>
      </c>
      <c r="N2476" s="256" t="inlineStr">
        <is>
          <t>—</t>
        </is>
      </c>
      <c r="O2476" s="256" t="inlineStr">
        <is>
          <t>—</t>
        </is>
      </c>
      <c r="P2476" s="256" t="inlineStr">
        <is>
          <t>upon request — not required for release</t>
        </is>
      </c>
      <c r="Q2476" s="256" t="inlineStr"/>
      <c r="R2476" s="256" t="inlineStr"/>
    </row>
    <row r="2477">
      <c r="A2477" s="256" t="inlineStr">
        <is>
          <t>CoQ-PP_26-108</t>
        </is>
      </c>
      <c r="B2477" s="256" t="inlineStr">
        <is>
          <t>reissue — retest</t>
        </is>
      </c>
      <c r="C2477" s="256" t="inlineStr">
        <is>
          <t>CC012603</t>
        </is>
      </c>
      <c r="D2477" s="256" t="inlineStr">
        <is>
          <t>P060372</t>
        </is>
      </c>
      <c r="E2477" s="256" t="inlineStr">
        <is>
          <t>Cash Cow</t>
        </is>
      </c>
      <c r="F2477" s="256" t="inlineStr">
        <is>
          <t>18.09.2026</t>
        </is>
      </c>
      <c r="G2477" s="256" t="inlineStr">
        <is>
          <t>9.7</t>
        </is>
      </c>
      <c r="H2477" s="256" t="inlineStr">
        <is>
          <t>Staphylococcus aureus</t>
        </is>
      </c>
      <c r="I2477" s="256" t="inlineStr">
        <is>
          <t>Ph. Eur. 2.6.13 cat. C</t>
        </is>
      </c>
      <c r="J2477" s="256" t="inlineStr">
        <is>
          <t>Absence | Отсуство / 1 g</t>
        </is>
      </c>
      <c r="K2477" s="260" t="inlineStr">
        <is>
          <t>upon request — not required for release</t>
        </is>
      </c>
      <c r="L2477" s="256" t="inlineStr">
        <is>
          <t>—</t>
        </is>
      </c>
      <c r="M2477" s="256" t="inlineStr">
        <is>
          <t>—</t>
        </is>
      </c>
      <c r="N2477" s="256" t="inlineStr">
        <is>
          <t>—</t>
        </is>
      </c>
      <c r="O2477" s="256" t="inlineStr">
        <is>
          <t>—</t>
        </is>
      </c>
      <c r="P2477" s="256" t="inlineStr">
        <is>
          <t>upon request — not required for release</t>
        </is>
      </c>
      <c r="Q2477" s="256" t="inlineStr"/>
      <c r="R2477" s="256" t="inlineStr"/>
    </row>
    <row r="2478">
      <c r="A2478" s="256" t="inlineStr">
        <is>
          <t>CoQ-PP_26-108</t>
        </is>
      </c>
      <c r="B2478" s="256" t="inlineStr">
        <is>
          <t>reissue — retest</t>
        </is>
      </c>
      <c r="C2478" s="256" t="inlineStr">
        <is>
          <t>CC012603</t>
        </is>
      </c>
      <c r="D2478" s="256" t="inlineStr">
        <is>
          <t>P060372</t>
        </is>
      </c>
      <c r="E2478" s="256" t="inlineStr">
        <is>
          <t>Cash Cow</t>
        </is>
      </c>
      <c r="F2478" s="256" t="inlineStr">
        <is>
          <t>18.09.2026</t>
        </is>
      </c>
      <c r="G2478" s="256" t="inlineStr">
        <is>
          <t>10.1</t>
        </is>
      </c>
      <c r="H2478" s="256" t="inlineStr">
        <is>
          <t>Aflatoxin B₁</t>
        </is>
      </c>
      <c r="I2478" s="256" t="inlineStr">
        <is>
          <t>Ph. Eur. 2.8.18 (HPLC-FLD)</t>
        </is>
      </c>
      <c r="J2478" s="256" t="inlineStr">
        <is>
          <t>≤ 2 µg/kg</t>
        </is>
      </c>
      <c r="K2478" s="256" t="inlineStr">
        <is>
          <t>ND</t>
        </is>
      </c>
      <c r="L2478" s="256" t="inlineStr">
        <is>
          <t>220-29-М/26</t>
        </is>
      </c>
      <c r="M2478" s="256" t="inlineStr">
        <is>
          <t>11.09.2026</t>
        </is>
      </c>
      <c r="N2478" s="256" t="inlineStr">
        <is>
          <t>Farmahem</t>
        </is>
      </c>
      <c r="O2478" s="256" t="inlineStr">
        <is>
          <t>17.08.2026</t>
        </is>
      </c>
      <c r="P2478" s="256" t="inlineStr">
        <is>
          <t>covered</t>
        </is>
      </c>
      <c r="Q2478" s="256" t="inlineStr"/>
      <c r="R2478" s="256" t="inlineStr"/>
    </row>
    <row r="2479">
      <c r="A2479" s="256" t="inlineStr">
        <is>
          <t>CoQ-PP_26-108</t>
        </is>
      </c>
      <c r="B2479" s="256" t="inlineStr">
        <is>
          <t>reissue — retest</t>
        </is>
      </c>
      <c r="C2479" s="256" t="inlineStr">
        <is>
          <t>CC012603</t>
        </is>
      </c>
      <c r="D2479" s="256" t="inlineStr">
        <is>
          <t>P060372</t>
        </is>
      </c>
      <c r="E2479" s="256" t="inlineStr">
        <is>
          <t>Cash Cow</t>
        </is>
      </c>
      <c r="F2479" s="256" t="inlineStr">
        <is>
          <t>18.09.2026</t>
        </is>
      </c>
      <c r="G2479" s="256" t="inlineStr">
        <is>
          <t>10.2</t>
        </is>
      </c>
      <c r="H2479" s="256" t="inlineStr">
        <is>
          <t>Aflatoxins ∑</t>
        </is>
      </c>
      <c r="I2479" s="256" t="inlineStr">
        <is>
          <t>Ph. Eur. 2.8.18 (HPLC-FLD)</t>
        </is>
      </c>
      <c r="J2479" s="256" t="inlineStr">
        <is>
          <t>≤ 4 µg/kg</t>
        </is>
      </c>
      <c r="K2479" s="256" t="inlineStr">
        <is>
          <t>ND</t>
        </is>
      </c>
      <c r="L2479" s="256" t="inlineStr">
        <is>
          <t>220-29-М/26</t>
        </is>
      </c>
      <c r="M2479" s="256" t="inlineStr">
        <is>
          <t>11.09.2026</t>
        </is>
      </c>
      <c r="N2479" s="256" t="inlineStr">
        <is>
          <t>Farmahem</t>
        </is>
      </c>
      <c r="O2479" s="256" t="inlineStr">
        <is>
          <t>17.08.2026</t>
        </is>
      </c>
      <c r="P2479" s="256" t="inlineStr">
        <is>
          <t>covered</t>
        </is>
      </c>
      <c r="Q2479" s="256" t="inlineStr"/>
      <c r="R2479" s="256" t="inlineStr"/>
    </row>
    <row r="2480">
      <c r="A2480" s="256" t="inlineStr">
        <is>
          <t>CoQ-PP_26-108</t>
        </is>
      </c>
      <c r="B2480" s="256" t="inlineStr">
        <is>
          <t>reissue — retest</t>
        </is>
      </c>
      <c r="C2480" s="256" t="inlineStr">
        <is>
          <t>CC012603</t>
        </is>
      </c>
      <c r="D2480" s="256" t="inlineStr">
        <is>
          <t>P060372</t>
        </is>
      </c>
      <c r="E2480" s="256" t="inlineStr">
        <is>
          <t>Cash Cow</t>
        </is>
      </c>
      <c r="F2480" s="256" t="inlineStr">
        <is>
          <t>18.09.2026</t>
        </is>
      </c>
      <c r="G2480" s="256" t="inlineStr">
        <is>
          <t>10.3</t>
        </is>
      </c>
      <c r="H2480" s="256" t="inlineStr">
        <is>
          <t>Ochratoxin A</t>
        </is>
      </c>
      <c r="I2480" s="256" t="inlineStr">
        <is>
          <t>Ph. Eur. 2.8.22 (HPLC-FLD)</t>
        </is>
      </c>
      <c r="J2480" s="256" t="inlineStr">
        <is>
          <t>≤ 20 µg/kg</t>
        </is>
      </c>
      <c r="K2480" s="256" t="inlineStr">
        <is>
          <t>ND</t>
        </is>
      </c>
      <c r="L2480" s="256" t="inlineStr">
        <is>
          <t>220-29-М/26</t>
        </is>
      </c>
      <c r="M2480" s="256" t="inlineStr">
        <is>
          <t>11.09.2026</t>
        </is>
      </c>
      <c r="N2480" s="256" t="inlineStr">
        <is>
          <t>Farmahem</t>
        </is>
      </c>
      <c r="O2480" s="256" t="inlineStr">
        <is>
          <t>17.08.2026</t>
        </is>
      </c>
      <c r="P2480" s="256" t="inlineStr">
        <is>
          <t>covered</t>
        </is>
      </c>
      <c r="Q2480" s="256" t="inlineStr"/>
      <c r="R2480" s="256" t="inlineStr"/>
    </row>
    <row r="2481">
      <c r="A2481" s="256" t="inlineStr">
        <is>
          <t>CoQ-PP_26-108</t>
        </is>
      </c>
      <c r="B2481" s="256" t="inlineStr">
        <is>
          <t>reissue — retest</t>
        </is>
      </c>
      <c r="C2481" s="256" t="inlineStr">
        <is>
          <t>CC012603</t>
        </is>
      </c>
      <c r="D2481" s="256" t="inlineStr">
        <is>
          <t>P060372</t>
        </is>
      </c>
      <c r="E2481" s="256" t="inlineStr">
        <is>
          <t>Cash Cow</t>
        </is>
      </c>
      <c r="F2481" s="256" t="inlineStr">
        <is>
          <t>18.09.2026</t>
        </is>
      </c>
      <c r="G2481" s="256" t="inlineStr">
        <is>
          <t>11.1</t>
        </is>
      </c>
      <c r="H2481" s="256" t="inlineStr">
        <is>
          <t>Lead (Pb)</t>
        </is>
      </c>
      <c r="I2481" s="256" t="inlineStr">
        <is>
          <t>Ph. Eur. 2.4.27 (ICP-MS)</t>
        </is>
      </c>
      <c r="J2481" s="256" t="inlineStr">
        <is>
          <t>≤ 0.5 mg/kg</t>
        </is>
      </c>
      <c r="K2481" s="256" t="inlineStr">
        <is>
          <t>carried from the initial testing — not tested</t>
        </is>
      </c>
      <c r="L2481" s="256" t="inlineStr">
        <is>
          <t>—</t>
        </is>
      </c>
      <c r="M2481" s="256" t="inlineStr">
        <is>
          <t>—</t>
        </is>
      </c>
      <c r="N2481" s="256" t="inlineStr">
        <is>
          <t>—</t>
        </is>
      </c>
      <c r="O2481" s="256" t="inlineStr">
        <is>
          <t>—</t>
        </is>
      </c>
      <c r="P2481" s="256" t="inlineStr">
        <is>
          <t>carried from the initial testing (CoQ-PP-2026-0024) — not tested — no certificate covers it</t>
        </is>
      </c>
      <c r="Q2481" s="256" t="inlineStr"/>
      <c r="R2481" s="256" t="inlineStr"/>
    </row>
    <row r="2482">
      <c r="A2482" s="256" t="inlineStr">
        <is>
          <t>CoQ-PP_26-108</t>
        </is>
      </c>
      <c r="B2482" s="256" t="inlineStr">
        <is>
          <t>reissue — retest</t>
        </is>
      </c>
      <c r="C2482" s="256" t="inlineStr">
        <is>
          <t>CC012603</t>
        </is>
      </c>
      <c r="D2482" s="256" t="inlineStr">
        <is>
          <t>P060372</t>
        </is>
      </c>
      <c r="E2482" s="256" t="inlineStr">
        <is>
          <t>Cash Cow</t>
        </is>
      </c>
      <c r="F2482" s="256" t="inlineStr">
        <is>
          <t>18.09.2026</t>
        </is>
      </c>
      <c r="G2482" s="256" t="inlineStr">
        <is>
          <t>11.2</t>
        </is>
      </c>
      <c r="H2482" s="256" t="inlineStr">
        <is>
          <t>Cadmium (Cd)</t>
        </is>
      </c>
      <c r="I2482" s="256" t="inlineStr">
        <is>
          <t>Ph. Eur. 2.4.27 (ICP-MS)</t>
        </is>
      </c>
      <c r="J2482" s="256" t="inlineStr">
        <is>
          <t>≤ 0.3 mg/kg</t>
        </is>
      </c>
      <c r="K2482" s="256" t="inlineStr">
        <is>
          <t>carried from the initial testing — not tested</t>
        </is>
      </c>
      <c r="L2482" s="256" t="inlineStr">
        <is>
          <t>—</t>
        </is>
      </c>
      <c r="M2482" s="256" t="inlineStr">
        <is>
          <t>—</t>
        </is>
      </c>
      <c r="N2482" s="256" t="inlineStr">
        <is>
          <t>—</t>
        </is>
      </c>
      <c r="O2482" s="256" t="inlineStr">
        <is>
          <t>—</t>
        </is>
      </c>
      <c r="P2482" s="256" t="inlineStr">
        <is>
          <t>carried from the initial testing (CoQ-PP-2026-0024) — not tested — no certificate covers it</t>
        </is>
      </c>
      <c r="Q2482" s="256" t="inlineStr"/>
      <c r="R2482" s="256" t="inlineStr"/>
    </row>
    <row r="2483">
      <c r="A2483" s="256" t="inlineStr">
        <is>
          <t>CoQ-PP_26-108</t>
        </is>
      </c>
      <c r="B2483" s="256" t="inlineStr">
        <is>
          <t>reissue — retest</t>
        </is>
      </c>
      <c r="C2483" s="256" t="inlineStr">
        <is>
          <t>CC012603</t>
        </is>
      </c>
      <c r="D2483" s="256" t="inlineStr">
        <is>
          <t>P060372</t>
        </is>
      </c>
      <c r="E2483" s="256" t="inlineStr">
        <is>
          <t>Cash Cow</t>
        </is>
      </c>
      <c r="F2483" s="256" t="inlineStr">
        <is>
          <t>18.09.2026</t>
        </is>
      </c>
      <c r="G2483" s="256" t="inlineStr">
        <is>
          <t>11.3</t>
        </is>
      </c>
      <c r="H2483" s="256" t="inlineStr">
        <is>
          <t>Arsenic (As)</t>
        </is>
      </c>
      <c r="I2483" s="256" t="inlineStr">
        <is>
          <t>Ph. Eur. 2.4.27 (ICP-MS)</t>
        </is>
      </c>
      <c r="J2483" s="256" t="inlineStr">
        <is>
          <t>≤ 0.2 mg/kg</t>
        </is>
      </c>
      <c r="K2483" s="256" t="inlineStr">
        <is>
          <t>carried from the initial testing — not tested</t>
        </is>
      </c>
      <c r="L2483" s="256" t="inlineStr">
        <is>
          <t>—</t>
        </is>
      </c>
      <c r="M2483" s="256" t="inlineStr">
        <is>
          <t>—</t>
        </is>
      </c>
      <c r="N2483" s="256" t="inlineStr">
        <is>
          <t>—</t>
        </is>
      </c>
      <c r="O2483" s="256" t="inlineStr">
        <is>
          <t>—</t>
        </is>
      </c>
      <c r="P2483" s="256" t="inlineStr">
        <is>
          <t>carried from the initial testing (CoQ-PP-2026-0024) — not tested — no certificate covers it</t>
        </is>
      </c>
      <c r="Q2483" s="256" t="inlineStr"/>
      <c r="R2483" s="256" t="inlineStr"/>
    </row>
    <row r="2484">
      <c r="A2484" s="256" t="inlineStr">
        <is>
          <t>CoQ-PP_26-108</t>
        </is>
      </c>
      <c r="B2484" s="256" t="inlineStr">
        <is>
          <t>reissue — retest</t>
        </is>
      </c>
      <c r="C2484" s="256" t="inlineStr">
        <is>
          <t>CC012603</t>
        </is>
      </c>
      <c r="D2484" s="256" t="inlineStr">
        <is>
          <t>P060372</t>
        </is>
      </c>
      <c r="E2484" s="256" t="inlineStr">
        <is>
          <t>Cash Cow</t>
        </is>
      </c>
      <c r="F2484" s="256" t="inlineStr">
        <is>
          <t>18.09.2026</t>
        </is>
      </c>
      <c r="G2484" s="256" t="inlineStr">
        <is>
          <t>11.4</t>
        </is>
      </c>
      <c r="H2484" s="256" t="inlineStr">
        <is>
          <t>Mercury (Hg)</t>
        </is>
      </c>
      <c r="I2484" s="256" t="inlineStr">
        <is>
          <t>Ph. Eur. 2.4.27 (ICP-MS)</t>
        </is>
      </c>
      <c r="J2484" s="256" t="inlineStr">
        <is>
          <t>≤ 0.1 mg/kg</t>
        </is>
      </c>
      <c r="K2484" s="256" t="inlineStr">
        <is>
          <t>carried from the initial testing — not tested</t>
        </is>
      </c>
      <c r="L2484" s="256" t="inlineStr">
        <is>
          <t>—</t>
        </is>
      </c>
      <c r="M2484" s="256" t="inlineStr">
        <is>
          <t>—</t>
        </is>
      </c>
      <c r="N2484" s="256" t="inlineStr">
        <is>
          <t>—</t>
        </is>
      </c>
      <c r="O2484" s="256" t="inlineStr">
        <is>
          <t>—</t>
        </is>
      </c>
      <c r="P2484" s="256" t="inlineStr">
        <is>
          <t>carried from the initial testing (CoQ-PP-2026-0024) — not tested — no certificate covers it</t>
        </is>
      </c>
      <c r="Q2484" s="256" t="inlineStr"/>
      <c r="R2484" s="256" t="inlineStr"/>
    </row>
    <row r="2485">
      <c r="A2485" s="256" t="inlineStr">
        <is>
          <t>CoQ-PP_26-108</t>
        </is>
      </c>
      <c r="B2485" s="256" t="inlineStr">
        <is>
          <t>reissue — retest</t>
        </is>
      </c>
      <c r="C2485" s="256" t="inlineStr">
        <is>
          <t>CC012603</t>
        </is>
      </c>
      <c r="D2485" s="256" t="inlineStr">
        <is>
          <t>P060372</t>
        </is>
      </c>
      <c r="E2485" s="256" t="inlineStr">
        <is>
          <t>Cash Cow</t>
        </is>
      </c>
      <c r="F2485" s="256" t="inlineStr">
        <is>
          <t>18.09.2026</t>
        </is>
      </c>
      <c r="G2485" s="256" t="inlineStr">
        <is>
          <t>12</t>
        </is>
      </c>
      <c r="H2485" s="256" t="inlineStr">
        <is>
          <t>Pesticide Residues</t>
        </is>
      </c>
      <c r="I2485" s="256" t="inlineStr">
        <is>
          <t>Ph. Eur. 2.8.13 (LC-MS/MS) · CUMCS Equivalency</t>
        </is>
      </c>
      <c r="J2485" s="256" t="inlineStr">
        <is>
          <t>≤ LOQ as per Ph. Eur. 2.8.13 · ≤ LOQ as per CUMCS Equivalency</t>
        </is>
      </c>
      <c r="K2485" s="256" t="inlineStr">
        <is>
          <t>carried from the initial testing — not tested</t>
        </is>
      </c>
      <c r="L2485" s="256" t="inlineStr">
        <is>
          <t>—</t>
        </is>
      </c>
      <c r="M2485" s="256" t="inlineStr">
        <is>
          <t>—</t>
        </is>
      </c>
      <c r="N2485" s="256" t="inlineStr">
        <is>
          <t>—</t>
        </is>
      </c>
      <c r="O2485" s="256" t="inlineStr">
        <is>
          <t>—</t>
        </is>
      </c>
      <c r="P2485" s="256" t="inlineStr">
        <is>
          <t>carried from the initial testing (CoQ-PP-2026-0024) — not tested — no certificate covers it</t>
        </is>
      </c>
      <c r="Q2485" s="256" t="inlineStr"/>
      <c r="R2485" s="256" t="inlineStr"/>
    </row>
    <row r="2486">
      <c r="A2486" s="256" t="inlineStr">
        <is>
          <t>CoQ-PP_26-109</t>
        </is>
      </c>
      <c r="B2486" s="256" t="inlineStr">
        <is>
          <t>reissue — retest</t>
        </is>
      </c>
      <c r="C2486" s="256" t="inlineStr">
        <is>
          <t>CF102501</t>
        </is>
      </c>
      <c r="D2486" s="256" t="inlineStr">
        <is>
          <t>P060132</t>
        </is>
      </c>
      <c r="E2486" s="256" t="inlineStr">
        <is>
          <t>Chem Flyer</t>
        </is>
      </c>
      <c r="F2486" s="256" t="inlineStr">
        <is>
          <t>18.09.2026</t>
        </is>
      </c>
      <c r="G2486" s="256" t="inlineStr">
        <is>
          <t>1</t>
        </is>
      </c>
      <c r="H2486" s="256" t="inlineStr">
        <is>
          <t>Identification A, Appearance · Macroscopic</t>
        </is>
      </c>
      <c r="I2486" s="256" t="inlineStr">
        <is>
          <t>Ph. Eur. mon. 3028</t>
        </is>
      </c>
      <c r="J2486" s="256" t="inlineStr">
        <is>
          <t>Conforms to the monograph for Cannabis flos (07/2024:3028) in Ph. Eur. 11.0 | Согласно монографија за Cannabis flos (07/2024:3028) во Ph. Eur. 11.0</t>
        </is>
      </c>
      <c r="K2486" s="256" t="inlineStr">
        <is>
          <t>Conforms | Одговара</t>
        </is>
      </c>
      <c r="L2486" s="256" t="inlineStr">
        <is>
          <t>iCoA-PP_26-125</t>
        </is>
      </c>
      <c r="M2486" s="256" t="inlineStr">
        <is>
          <t>17.08.2026</t>
        </is>
      </c>
      <c r="N2486" s="256" t="inlineStr">
        <is>
          <t>Purely Plant GmbH (in-house)</t>
        </is>
      </c>
      <c r="O2486" s="256" t="inlineStr">
        <is>
          <t>—</t>
        </is>
      </c>
      <c r="P2486" s="256" t="inlineStr">
        <is>
          <t>to be performed — see route</t>
        </is>
      </c>
      <c r="Q2486" s="256" t="inlineStr">
        <is>
          <t>Farmahem — Ident A + B + C with the Assay, at retest</t>
        </is>
      </c>
      <c r="R2486" s="256" t="inlineStr"/>
    </row>
    <row r="2487">
      <c r="A2487" s="256" t="inlineStr">
        <is>
          <t>CoQ-PP_26-109</t>
        </is>
      </c>
      <c r="B2487" s="256" t="inlineStr">
        <is>
          <t>reissue — retest</t>
        </is>
      </c>
      <c r="C2487" s="256" t="inlineStr">
        <is>
          <t>CF102501</t>
        </is>
      </c>
      <c r="D2487" s="256" t="inlineStr">
        <is>
          <t>P060132</t>
        </is>
      </c>
      <c r="E2487" s="256" t="inlineStr">
        <is>
          <t>Chem Flyer</t>
        </is>
      </c>
      <c r="F2487" s="256" t="inlineStr">
        <is>
          <t>18.09.2026</t>
        </is>
      </c>
      <c r="G2487" s="256" t="inlineStr">
        <is>
          <t>2</t>
        </is>
      </c>
      <c r="H2487" s="256" t="inlineStr">
        <is>
          <t>Identification B · Microscopic</t>
        </is>
      </c>
      <c r="I2487" s="256" t="inlineStr">
        <is>
          <t>Ph. Eur. 2.8.23 (microscopy)</t>
        </is>
      </c>
      <c r="J2487" s="256" t="inlineStr">
        <is>
          <t>Conforms to the monograph for Cannabis flos (07/2024:3028) in Ph. Eur. 11.0 | Согласно монографија за Cannabis flos (07/2024:3028) во Ph. Eur. 11.0</t>
        </is>
      </c>
      <c r="K2487" s="256" t="inlineStr">
        <is>
          <t>Conforms | Одговара</t>
        </is>
      </c>
      <c r="L2487" s="256" t="inlineStr">
        <is>
          <t>iCoA-PP_26-125</t>
        </is>
      </c>
      <c r="M2487" s="256" t="inlineStr">
        <is>
          <t>17.08.2026</t>
        </is>
      </c>
      <c r="N2487" s="256" t="inlineStr">
        <is>
          <t>Purely Plant GmbH (in-house)</t>
        </is>
      </c>
      <c r="O2487" s="256" t="inlineStr">
        <is>
          <t>—</t>
        </is>
      </c>
      <c r="P2487" s="256" t="inlineStr">
        <is>
          <t>to be performed — see route</t>
        </is>
      </c>
      <c r="Q2487" s="256" t="inlineStr">
        <is>
          <t>Farmahem — Ident A + B + C with the Assay, at retest</t>
        </is>
      </c>
      <c r="R2487" s="256" t="inlineStr"/>
    </row>
    <row r="2488">
      <c r="A2488" s="256" t="inlineStr">
        <is>
          <t>CoQ-PP_26-109</t>
        </is>
      </c>
      <c r="B2488" s="256" t="inlineStr">
        <is>
          <t>reissue — retest</t>
        </is>
      </c>
      <c r="C2488" s="256" t="inlineStr">
        <is>
          <t>CF102501</t>
        </is>
      </c>
      <c r="D2488" s="256" t="inlineStr">
        <is>
          <t>P060132</t>
        </is>
      </c>
      <c r="E2488" s="256" t="inlineStr">
        <is>
          <t>Chem Flyer</t>
        </is>
      </c>
      <c r="F2488" s="256" t="inlineStr">
        <is>
          <t>18.09.2026</t>
        </is>
      </c>
      <c r="G2488" s="256" t="inlineStr">
        <is>
          <t>3</t>
        </is>
      </c>
      <c r="H2488" s="256" t="inlineStr">
        <is>
          <t>Identification C · HPLC/HPTLC</t>
        </is>
      </c>
      <c r="I2488" s="256" t="inlineStr">
        <is>
          <t>Ph. Eur. 2.2.29 (3028)</t>
        </is>
      </c>
      <c r="J2488" s="256" t="inlineStr">
        <is>
          <t>Conforms to the monograph for Cannabis flos (07/2024:3028) in Ph. Eur. 11.0 | Согласно монографија за Cannabis flos (07/2024:3028) во Ph. Eur. 11.0</t>
        </is>
      </c>
      <c r="K2488" s="256" t="inlineStr">
        <is>
          <t>Conforms | Одговара</t>
        </is>
      </c>
      <c r="L2488" s="256" t="inlineStr">
        <is>
          <t>220-6-К/26</t>
        </is>
      </c>
      <c r="M2488" s="256" t="inlineStr">
        <is>
          <t>25.08.2026</t>
        </is>
      </c>
      <c r="N2488" s="256" t="inlineStr">
        <is>
          <t>Farmahem</t>
        </is>
      </c>
      <c r="O2488" s="256" t="inlineStr">
        <is>
          <t>17.08.2026</t>
        </is>
      </c>
      <c r="P2488" s="256" t="inlineStr">
        <is>
          <t>covered</t>
        </is>
      </c>
      <c r="Q2488" s="256" t="inlineStr"/>
      <c r="R2488" s="256" t="inlineStr"/>
    </row>
    <row r="2489">
      <c r="A2489" s="256" t="inlineStr">
        <is>
          <t>CoQ-PP_26-109</t>
        </is>
      </c>
      <c r="B2489" s="256" t="inlineStr">
        <is>
          <t>reissue — retest</t>
        </is>
      </c>
      <c r="C2489" s="256" t="inlineStr">
        <is>
          <t>CF102501</t>
        </is>
      </c>
      <c r="D2489" s="256" t="inlineStr">
        <is>
          <t>P060132</t>
        </is>
      </c>
      <c r="E2489" s="256" t="inlineStr">
        <is>
          <t>Chem Flyer</t>
        </is>
      </c>
      <c r="F2489" s="256" t="inlineStr">
        <is>
          <t>18.09.2026</t>
        </is>
      </c>
      <c r="G2489" s="256" t="inlineStr">
        <is>
          <t>4</t>
        </is>
      </c>
      <c r="H2489" s="256" t="inlineStr">
        <is>
          <t>Assay — Total Δ⁹-THC</t>
        </is>
      </c>
      <c r="I2489" s="256" t="inlineStr">
        <is>
          <t>Ph. Eur. 2.2.29 (HPLC)</t>
        </is>
      </c>
      <c r="J2489" s="256" t="inlineStr">
        <is>
          <t>9.00 – 10.99 %  (grade I, nominal 10.00 ± 1.00)</t>
        </is>
      </c>
      <c r="K2489" s="256" t="inlineStr">
        <is>
          <t>9.55</t>
        </is>
      </c>
      <c r="L2489" s="256" t="inlineStr">
        <is>
          <t>220-6-К/26</t>
        </is>
      </c>
      <c r="M2489" s="256" t="inlineStr">
        <is>
          <t>25.08.2026</t>
        </is>
      </c>
      <c r="N2489" s="256" t="inlineStr">
        <is>
          <t>Farmahem</t>
        </is>
      </c>
      <c r="O2489" s="256" t="inlineStr">
        <is>
          <t>17.08.2026</t>
        </is>
      </c>
      <c r="P2489" s="256" t="inlineStr">
        <is>
          <t>covered</t>
        </is>
      </c>
      <c r="Q2489" s="256" t="inlineStr"/>
      <c r="R2489" s="256" t="inlineStr"/>
    </row>
    <row r="2490">
      <c r="A2490" s="256" t="inlineStr">
        <is>
          <t>CoQ-PP_26-109</t>
        </is>
      </c>
      <c r="B2490" s="256" t="inlineStr">
        <is>
          <t>reissue — retest</t>
        </is>
      </c>
      <c r="C2490" s="256" t="inlineStr">
        <is>
          <t>CF102501</t>
        </is>
      </c>
      <c r="D2490" s="256" t="inlineStr">
        <is>
          <t>P060132</t>
        </is>
      </c>
      <c r="E2490" s="256" t="inlineStr">
        <is>
          <t>Chem Flyer</t>
        </is>
      </c>
      <c r="F2490" s="256" t="inlineStr">
        <is>
          <t>18.09.2026</t>
        </is>
      </c>
      <c r="G2490" s="256" t="inlineStr">
        <is>
          <t>5</t>
        </is>
      </c>
      <c r="H2490" s="256" t="inlineStr">
        <is>
          <t>Assay — Total CBD</t>
        </is>
      </c>
      <c r="I2490" s="256" t="inlineStr">
        <is>
          <t>Ph. Eur. 2.2.29 (HPLC) · CBD + CBDA x 0.877</t>
        </is>
      </c>
      <c r="J2490" s="256" t="inlineStr">
        <is>
          <t>≤ 1.0%, w/w</t>
        </is>
      </c>
      <c r="K2490" s="256" t="inlineStr">
        <is>
          <t>&lt; LOQ</t>
        </is>
      </c>
      <c r="L2490" s="256" t="inlineStr">
        <is>
          <t>220-6-К/26</t>
        </is>
      </c>
      <c r="M2490" s="256" t="inlineStr">
        <is>
          <t>25.08.2026</t>
        </is>
      </c>
      <c r="N2490" s="256" t="inlineStr">
        <is>
          <t>Farmahem</t>
        </is>
      </c>
      <c r="O2490" s="256" t="inlineStr">
        <is>
          <t>17.08.2026</t>
        </is>
      </c>
      <c r="P2490" s="256" t="inlineStr">
        <is>
          <t>covered</t>
        </is>
      </c>
      <c r="Q2490" s="256" t="inlineStr"/>
      <c r="R2490" s="256" t="inlineStr"/>
    </row>
    <row r="2491">
      <c r="A2491" s="256" t="inlineStr">
        <is>
          <t>CoQ-PP_26-109</t>
        </is>
      </c>
      <c r="B2491" s="256" t="inlineStr">
        <is>
          <t>reissue — retest</t>
        </is>
      </c>
      <c r="C2491" s="256" t="inlineStr">
        <is>
          <t>CF102501</t>
        </is>
      </c>
      <c r="D2491" s="256" t="inlineStr">
        <is>
          <t>P060132</t>
        </is>
      </c>
      <c r="E2491" s="256" t="inlineStr">
        <is>
          <t>Chem Flyer</t>
        </is>
      </c>
      <c r="F2491" s="256" t="inlineStr">
        <is>
          <t>18.09.2026</t>
        </is>
      </c>
      <c r="G2491" s="256" t="inlineStr">
        <is>
          <t>6</t>
        </is>
      </c>
      <c r="H2491" s="256" t="inlineStr">
        <is>
          <t>Total CBN</t>
        </is>
      </c>
      <c r="I2491" s="256" t="inlineStr">
        <is>
          <t>Ph. Eur. 2.2.29 (HPLC) · CBN + CBNA x 0.876</t>
        </is>
      </c>
      <c r="J2491" s="256" t="inlineStr">
        <is>
          <t>≤ 1.0%, w/w</t>
        </is>
      </c>
      <c r="K2491" s="256" t="inlineStr">
        <is>
          <t>&lt; LOQ</t>
        </is>
      </c>
      <c r="L2491" s="256" t="inlineStr">
        <is>
          <t>220-6-К/26</t>
        </is>
      </c>
      <c r="M2491" s="256" t="inlineStr">
        <is>
          <t>25.08.2026</t>
        </is>
      </c>
      <c r="N2491" s="256" t="inlineStr">
        <is>
          <t>Farmahem</t>
        </is>
      </c>
      <c r="O2491" s="256" t="inlineStr">
        <is>
          <t>17.08.2026</t>
        </is>
      </c>
      <c r="P2491" s="256" t="inlineStr">
        <is>
          <t>covered</t>
        </is>
      </c>
      <c r="Q2491" s="256" t="inlineStr"/>
      <c r="R2491" s="256" t="inlineStr"/>
    </row>
    <row r="2492">
      <c r="A2492" s="256" t="inlineStr">
        <is>
          <t>CoQ-PP_26-109</t>
        </is>
      </c>
      <c r="B2492" s="256" t="inlineStr">
        <is>
          <t>reissue — retest</t>
        </is>
      </c>
      <c r="C2492" s="256" t="inlineStr">
        <is>
          <t>CF102501</t>
        </is>
      </c>
      <c r="D2492" s="256" t="inlineStr">
        <is>
          <t>P060132</t>
        </is>
      </c>
      <c r="E2492" s="256" t="inlineStr">
        <is>
          <t>Chem Flyer</t>
        </is>
      </c>
      <c r="F2492" s="256" t="inlineStr">
        <is>
          <t>18.09.2026</t>
        </is>
      </c>
      <c r="G2492" s="256" t="inlineStr">
        <is>
          <t>7</t>
        </is>
      </c>
      <c r="H2492" s="256" t="inlineStr">
        <is>
          <t>Foreign Matter</t>
        </is>
      </c>
      <c r="I2492" s="256" t="inlineStr">
        <is>
          <t>Ph. Eur. 2.8.2 · In-house · интерна</t>
        </is>
      </c>
      <c r="J2492" s="256" t="inlineStr">
        <is>
          <t>≤ 2.0% / 25–50 g · &lt; 1 cm leaves | листови, no seeds | без семки</t>
        </is>
      </c>
      <c r="K2492" s="256" t="inlineStr">
        <is>
          <t>Conforms | Одговара</t>
        </is>
      </c>
      <c r="L2492" s="256" t="inlineStr">
        <is>
          <t>iCoA-PP_26-125</t>
        </is>
      </c>
      <c r="M2492" s="256" t="inlineStr">
        <is>
          <t>17.08.2026</t>
        </is>
      </c>
      <c r="N2492" s="256" t="inlineStr">
        <is>
          <t>Purely Plant GmbH (in-house)</t>
        </is>
      </c>
      <c r="O2492" s="256" t="inlineStr">
        <is>
          <t>—</t>
        </is>
      </c>
      <c r="P2492" s="256" t="inlineStr">
        <is>
          <t>to be performed — see route</t>
        </is>
      </c>
      <c r="Q2492" s="256" t="inlineStr">
        <is>
          <t>Purely Plant laboratory — iCoA covering Foreign matter</t>
        </is>
      </c>
      <c r="R2492" s="256" t="inlineStr"/>
    </row>
    <row r="2493">
      <c r="A2493" s="256" t="inlineStr">
        <is>
          <t>CoQ-PP_26-109</t>
        </is>
      </c>
      <c r="B2493" s="256" t="inlineStr">
        <is>
          <t>reissue — retest</t>
        </is>
      </c>
      <c r="C2493" s="256" t="inlineStr">
        <is>
          <t>CF102501</t>
        </is>
      </c>
      <c r="D2493" s="256" t="inlineStr">
        <is>
          <t>P060132</t>
        </is>
      </c>
      <c r="E2493" s="256" t="inlineStr">
        <is>
          <t>Chem Flyer</t>
        </is>
      </c>
      <c r="F2493" s="256" t="inlineStr">
        <is>
          <t>18.09.2026</t>
        </is>
      </c>
      <c r="G2493" s="256" t="inlineStr">
        <is>
          <t>8</t>
        </is>
      </c>
      <c r="H2493" s="256" t="inlineStr">
        <is>
          <t>Loss on Drying</t>
        </is>
      </c>
      <c r="I2493" s="256" t="inlineStr">
        <is>
          <t>Ph. Eur. 2.2.32 (3028) · at 40 °C, 24 h, 15–25 mbar</t>
        </is>
      </c>
      <c r="J2493" s="256" t="inlineStr">
        <is>
          <t>≤ 12.0%</t>
        </is>
      </c>
      <c r="K2493" s="256" t="inlineStr">
        <is>
          <t>5,6 %</t>
        </is>
      </c>
      <c r="L2493" s="256" t="inlineStr">
        <is>
          <t>031-4-ГС/26</t>
        </is>
      </c>
      <c r="M2493" s="256" t="inlineStr">
        <is>
          <t>12.02.2026</t>
        </is>
      </c>
      <c r="N2493" s="256" t="inlineStr">
        <is>
          <t>FHM</t>
        </is>
      </c>
      <c r="O2493" s="256" t="inlineStr">
        <is>
          <t>—</t>
        </is>
      </c>
      <c r="P2493" s="256" t="inlineStr">
        <is>
          <t>carried from the initial testing (CoQ-PP-2026-0011) — covered</t>
        </is>
      </c>
      <c r="Q2493" s="256" t="inlineStr"/>
      <c r="R2493" s="256" t="inlineStr"/>
    </row>
    <row r="2494">
      <c r="A2494" s="256" t="inlineStr">
        <is>
          <t>CoQ-PP_26-109</t>
        </is>
      </c>
      <c r="B2494" s="256" t="inlineStr">
        <is>
          <t>reissue — retest</t>
        </is>
      </c>
      <c r="C2494" s="256" t="inlineStr">
        <is>
          <t>CF102501</t>
        </is>
      </c>
      <c r="D2494" s="256" t="inlineStr">
        <is>
          <t>P060132</t>
        </is>
      </c>
      <c r="E2494" s="256" t="inlineStr">
        <is>
          <t>Chem Flyer</t>
        </is>
      </c>
      <c r="F2494" s="256" t="inlineStr">
        <is>
          <t>18.09.2026</t>
        </is>
      </c>
      <c r="G2494" s="256" t="inlineStr">
        <is>
          <t>9.1</t>
        </is>
      </c>
      <c r="H2494" s="256" t="inlineStr">
        <is>
          <t>TAMC</t>
        </is>
      </c>
      <c r="I2494" s="256" t="inlineStr">
        <is>
          <t>Ph. Eur. 2.6.12 cat. C</t>
        </is>
      </c>
      <c r="J2494" s="256" t="inlineStr">
        <is>
          <t>≤ 10⁵ CFU/g</t>
        </is>
      </c>
      <c r="K2494" s="256" t="inlineStr">
        <is>
          <t>3.1 × 10⁴</t>
        </is>
      </c>
      <c r="L2494" s="256" t="inlineStr">
        <is>
          <t>73/0116/26</t>
        </is>
      </c>
      <c r="M2494" s="256" t="inlineStr">
        <is>
          <t>09.02.2026</t>
        </is>
      </c>
      <c r="N2494" s="256" t="inlineStr">
        <is>
          <t>IPH — Institute of Public Health</t>
        </is>
      </c>
      <c r="O2494" s="256" t="inlineStr">
        <is>
          <t>—</t>
        </is>
      </c>
      <c r="P2494" s="256" t="inlineStr">
        <is>
          <t>covered</t>
        </is>
      </c>
      <c r="Q2494" s="256" t="inlineStr"/>
      <c r="R2494" s="256" t="inlineStr"/>
    </row>
    <row r="2495">
      <c r="A2495" s="256" t="inlineStr">
        <is>
          <t>CoQ-PP_26-109</t>
        </is>
      </c>
      <c r="B2495" s="256" t="inlineStr">
        <is>
          <t>reissue — retest</t>
        </is>
      </c>
      <c r="C2495" s="256" t="inlineStr">
        <is>
          <t>CF102501</t>
        </is>
      </c>
      <c r="D2495" s="256" t="inlineStr">
        <is>
          <t>P060132</t>
        </is>
      </c>
      <c r="E2495" s="256" t="inlineStr">
        <is>
          <t>Chem Flyer</t>
        </is>
      </c>
      <c r="F2495" s="256" t="inlineStr">
        <is>
          <t>18.09.2026</t>
        </is>
      </c>
      <c r="G2495" s="256" t="inlineStr">
        <is>
          <t>9.2</t>
        </is>
      </c>
      <c r="H2495" s="256" t="inlineStr">
        <is>
          <t>TYMC</t>
        </is>
      </c>
      <c r="I2495" s="256" t="inlineStr">
        <is>
          <t>Ph. Eur. 2.6.12 cat. C</t>
        </is>
      </c>
      <c r="J2495" s="256" t="inlineStr">
        <is>
          <t>≤ 10⁴ CFU/g</t>
        </is>
      </c>
      <c r="K2495" s="256" t="inlineStr">
        <is>
          <t>3.9 × 10⁴</t>
        </is>
      </c>
      <c r="L2495" s="256" t="inlineStr">
        <is>
          <t>73/0116/26</t>
        </is>
      </c>
      <c r="M2495" s="256" t="inlineStr">
        <is>
          <t>09.02.2026</t>
        </is>
      </c>
      <c r="N2495" s="256" t="inlineStr">
        <is>
          <t>IPH — Institute of Public Health</t>
        </is>
      </c>
      <c r="O2495" s="256" t="inlineStr">
        <is>
          <t>—</t>
        </is>
      </c>
      <c r="P2495" s="256" t="inlineStr">
        <is>
          <t>OUT OF SPECIFICATION — covered</t>
        </is>
      </c>
      <c r="Q2495" s="256" t="inlineStr"/>
      <c r="R2495" s="256" t="inlineStr"/>
    </row>
    <row r="2496">
      <c r="A2496" s="256" t="inlineStr">
        <is>
          <t>CoQ-PP_26-109</t>
        </is>
      </c>
      <c r="B2496" s="256" t="inlineStr">
        <is>
          <t>reissue — retest</t>
        </is>
      </c>
      <c r="C2496" s="256" t="inlineStr">
        <is>
          <t>CF102501</t>
        </is>
      </c>
      <c r="D2496" s="256" t="inlineStr">
        <is>
          <t>P060132</t>
        </is>
      </c>
      <c r="E2496" s="256" t="inlineStr">
        <is>
          <t>Chem Flyer</t>
        </is>
      </c>
      <c r="F2496" s="256" t="inlineStr">
        <is>
          <t>18.09.2026</t>
        </is>
      </c>
      <c r="G2496" s="256" t="inlineStr">
        <is>
          <t>9.3</t>
        </is>
      </c>
      <c r="H2496" s="256" t="inlineStr">
        <is>
          <t>Bile-tolerant gram-neg.</t>
        </is>
      </c>
      <c r="I2496" s="256" t="inlineStr">
        <is>
          <t>Ph. Eur. 2.6.31 cat. C</t>
        </is>
      </c>
      <c r="J2496" s="256" t="inlineStr">
        <is>
          <t>≤ 10⁴ CFU/g</t>
        </is>
      </c>
      <c r="K2496" s="256" t="inlineStr">
        <is>
          <t>&lt; 10³ and &gt; 10²</t>
        </is>
      </c>
      <c r="L2496" s="256" t="inlineStr">
        <is>
          <t>73/0116/26</t>
        </is>
      </c>
      <c r="M2496" s="256" t="inlineStr">
        <is>
          <t>09.02.2026</t>
        </is>
      </c>
      <c r="N2496" s="256" t="inlineStr">
        <is>
          <t>IPH — Institute of Public Health</t>
        </is>
      </c>
      <c r="O2496" s="256" t="inlineStr">
        <is>
          <t>—</t>
        </is>
      </c>
      <c r="P2496" s="256" t="inlineStr">
        <is>
          <t>covered</t>
        </is>
      </c>
      <c r="Q2496" s="256" t="inlineStr"/>
      <c r="R2496" s="256" t="inlineStr"/>
    </row>
    <row r="2497">
      <c r="A2497" s="256" t="inlineStr">
        <is>
          <t>CoQ-PP_26-109</t>
        </is>
      </c>
      <c r="B2497" s="256" t="inlineStr">
        <is>
          <t>reissue — retest</t>
        </is>
      </c>
      <c r="C2497" s="256" t="inlineStr">
        <is>
          <t>CF102501</t>
        </is>
      </c>
      <c r="D2497" s="256" t="inlineStr">
        <is>
          <t>P060132</t>
        </is>
      </c>
      <c r="E2497" s="256" t="inlineStr">
        <is>
          <t>Chem Flyer</t>
        </is>
      </c>
      <c r="F2497" s="256" t="inlineStr">
        <is>
          <t>18.09.2026</t>
        </is>
      </c>
      <c r="G2497" s="256" t="inlineStr">
        <is>
          <t>9.4</t>
        </is>
      </c>
      <c r="H2497" s="256" t="inlineStr">
        <is>
          <t>Salmonella</t>
        </is>
      </c>
      <c r="I2497" s="256" t="inlineStr">
        <is>
          <t>Ph. Eur. 2.6.31 cat. C</t>
        </is>
      </c>
      <c r="J2497" s="256" t="inlineStr">
        <is>
          <t>Absence | Отсуство / 25 g</t>
        </is>
      </c>
      <c r="K2497" s="256" t="inlineStr">
        <is>
          <t>Absent | Отсутна</t>
        </is>
      </c>
      <c r="L2497" s="256" t="inlineStr">
        <is>
          <t>73/0116/26</t>
        </is>
      </c>
      <c r="M2497" s="256" t="inlineStr">
        <is>
          <t>09.02.2026</t>
        </is>
      </c>
      <c r="N2497" s="256" t="inlineStr">
        <is>
          <t>IPH — Institute of Public Health</t>
        </is>
      </c>
      <c r="O2497" s="256" t="inlineStr">
        <is>
          <t>—</t>
        </is>
      </c>
      <c r="P2497" s="256" t="inlineStr">
        <is>
          <t>covered</t>
        </is>
      </c>
      <c r="Q2497" s="256" t="inlineStr"/>
      <c r="R2497" s="256" t="inlineStr"/>
    </row>
    <row r="2498">
      <c r="A2498" s="256" t="inlineStr">
        <is>
          <t>CoQ-PP_26-109</t>
        </is>
      </c>
      <c r="B2498" s="256" t="inlineStr">
        <is>
          <t>reissue — retest</t>
        </is>
      </c>
      <c r="C2498" s="256" t="inlineStr">
        <is>
          <t>CF102501</t>
        </is>
      </c>
      <c r="D2498" s="256" t="inlineStr">
        <is>
          <t>P060132</t>
        </is>
      </c>
      <c r="E2498" s="256" t="inlineStr">
        <is>
          <t>Chem Flyer</t>
        </is>
      </c>
      <c r="F2498" s="256" t="inlineStr">
        <is>
          <t>18.09.2026</t>
        </is>
      </c>
      <c r="G2498" s="256" t="inlineStr">
        <is>
          <t>9.5</t>
        </is>
      </c>
      <c r="H2498" s="256" t="inlineStr">
        <is>
          <t>Escherichia coli</t>
        </is>
      </c>
      <c r="I2498" s="256" t="inlineStr">
        <is>
          <t>Ph. Eur. 2.6.13 cat. C</t>
        </is>
      </c>
      <c r="J2498" s="256" t="inlineStr">
        <is>
          <t>Absence | Отсуство / 1 g</t>
        </is>
      </c>
      <c r="K2498" s="256" t="inlineStr">
        <is>
          <t>Absent | Отсутна</t>
        </is>
      </c>
      <c r="L2498" s="256" t="inlineStr">
        <is>
          <t>73/0116/26</t>
        </is>
      </c>
      <c r="M2498" s="256" t="inlineStr">
        <is>
          <t>09.02.2026</t>
        </is>
      </c>
      <c r="N2498" s="256" t="inlineStr">
        <is>
          <t>IPH — Institute of Public Health</t>
        </is>
      </c>
      <c r="O2498" s="256" t="inlineStr">
        <is>
          <t>—</t>
        </is>
      </c>
      <c r="P2498" s="256" t="inlineStr">
        <is>
          <t>covered</t>
        </is>
      </c>
      <c r="Q2498" s="256" t="inlineStr"/>
      <c r="R2498" s="256" t="inlineStr"/>
    </row>
    <row r="2499">
      <c r="A2499" s="256" t="inlineStr">
        <is>
          <t>CoQ-PP_26-109</t>
        </is>
      </c>
      <c r="B2499" s="256" t="inlineStr">
        <is>
          <t>reissue — retest</t>
        </is>
      </c>
      <c r="C2499" s="256" t="inlineStr">
        <is>
          <t>CF102501</t>
        </is>
      </c>
      <c r="D2499" s="256" t="inlineStr">
        <is>
          <t>P060132</t>
        </is>
      </c>
      <c r="E2499" s="256" t="inlineStr">
        <is>
          <t>Chem Flyer</t>
        </is>
      </c>
      <c r="F2499" s="256" t="inlineStr">
        <is>
          <t>18.09.2026</t>
        </is>
      </c>
      <c r="G2499" s="256" t="inlineStr">
        <is>
          <t>9.6</t>
        </is>
      </c>
      <c r="H2499" s="256" t="inlineStr">
        <is>
          <t>Pseudomonas aeruginosa</t>
        </is>
      </c>
      <c r="I2499" s="256" t="inlineStr">
        <is>
          <t>Ph. Eur. 2.6.13 cat. C</t>
        </is>
      </c>
      <c r="J2499" s="256" t="inlineStr">
        <is>
          <t>Absence | Отсуство / 1 g</t>
        </is>
      </c>
      <c r="K2499" s="260" t="inlineStr">
        <is>
          <t>upon request — not required for release</t>
        </is>
      </c>
      <c r="L2499" s="256" t="inlineStr">
        <is>
          <t>—</t>
        </is>
      </c>
      <c r="M2499" s="256" t="inlineStr">
        <is>
          <t>—</t>
        </is>
      </c>
      <c r="N2499" s="256" t="inlineStr">
        <is>
          <t>—</t>
        </is>
      </c>
      <c r="O2499" s="256" t="inlineStr">
        <is>
          <t>—</t>
        </is>
      </c>
      <c r="P2499" s="256" t="inlineStr">
        <is>
          <t>upon request — not required for release</t>
        </is>
      </c>
      <c r="Q2499" s="256" t="inlineStr"/>
      <c r="R2499" s="256" t="inlineStr"/>
    </row>
    <row r="2500">
      <c r="A2500" s="256" t="inlineStr">
        <is>
          <t>CoQ-PP_26-109</t>
        </is>
      </c>
      <c r="B2500" s="256" t="inlineStr">
        <is>
          <t>reissue — retest</t>
        </is>
      </c>
      <c r="C2500" s="256" t="inlineStr">
        <is>
          <t>CF102501</t>
        </is>
      </c>
      <c r="D2500" s="256" t="inlineStr">
        <is>
          <t>P060132</t>
        </is>
      </c>
      <c r="E2500" s="256" t="inlineStr">
        <is>
          <t>Chem Flyer</t>
        </is>
      </c>
      <c r="F2500" s="256" t="inlineStr">
        <is>
          <t>18.09.2026</t>
        </is>
      </c>
      <c r="G2500" s="256" t="inlineStr">
        <is>
          <t>9.7</t>
        </is>
      </c>
      <c r="H2500" s="256" t="inlineStr">
        <is>
          <t>Staphylococcus aureus</t>
        </is>
      </c>
      <c r="I2500" s="256" t="inlineStr">
        <is>
          <t>Ph. Eur. 2.6.13 cat. C</t>
        </is>
      </c>
      <c r="J2500" s="256" t="inlineStr">
        <is>
          <t>Absence | Отсуство / 1 g</t>
        </is>
      </c>
      <c r="K2500" s="260" t="inlineStr">
        <is>
          <t>upon request — not required for release</t>
        </is>
      </c>
      <c r="L2500" s="256" t="inlineStr">
        <is>
          <t>—</t>
        </is>
      </c>
      <c r="M2500" s="256" t="inlineStr">
        <is>
          <t>—</t>
        </is>
      </c>
      <c r="N2500" s="256" t="inlineStr">
        <is>
          <t>—</t>
        </is>
      </c>
      <c r="O2500" s="256" t="inlineStr">
        <is>
          <t>—</t>
        </is>
      </c>
      <c r="P2500" s="256" t="inlineStr">
        <is>
          <t>upon request — not required for release</t>
        </is>
      </c>
      <c r="Q2500" s="256" t="inlineStr"/>
      <c r="R2500" s="256" t="inlineStr"/>
    </row>
    <row r="2501">
      <c r="A2501" s="256" t="inlineStr">
        <is>
          <t>CoQ-PP_26-109</t>
        </is>
      </c>
      <c r="B2501" s="256" t="inlineStr">
        <is>
          <t>reissue — retest</t>
        </is>
      </c>
      <c r="C2501" s="256" t="inlineStr">
        <is>
          <t>CF102501</t>
        </is>
      </c>
      <c r="D2501" s="256" t="inlineStr">
        <is>
          <t>P060132</t>
        </is>
      </c>
      <c r="E2501" s="256" t="inlineStr">
        <is>
          <t>Chem Flyer</t>
        </is>
      </c>
      <c r="F2501" s="256" t="inlineStr">
        <is>
          <t>18.09.2026</t>
        </is>
      </c>
      <c r="G2501" s="256" t="inlineStr">
        <is>
          <t>10.1</t>
        </is>
      </c>
      <c r="H2501" s="256" t="inlineStr">
        <is>
          <t>Aflatoxin B₁</t>
        </is>
      </c>
      <c r="I2501" s="256" t="inlineStr">
        <is>
          <t>Ph. Eur. 2.8.18 (HPLC-FLD)</t>
        </is>
      </c>
      <c r="J2501" s="256" t="inlineStr">
        <is>
          <t>≤ 2 µg/kg</t>
        </is>
      </c>
      <c r="K2501" s="256" t="inlineStr">
        <is>
          <t>ND</t>
        </is>
      </c>
      <c r="L2501" s="256" t="inlineStr">
        <is>
          <t>220-6-М/26</t>
        </is>
      </c>
      <c r="M2501" s="256" t="inlineStr">
        <is>
          <t>11.09.2026</t>
        </is>
      </c>
      <c r="N2501" s="256" t="inlineStr">
        <is>
          <t>Farmahem</t>
        </is>
      </c>
      <c r="O2501" s="256" t="inlineStr">
        <is>
          <t>17.08.2026</t>
        </is>
      </c>
      <c r="P2501" s="256" t="inlineStr">
        <is>
          <t>covered</t>
        </is>
      </c>
      <c r="Q2501" s="256" t="inlineStr"/>
      <c r="R2501" s="256" t="inlineStr"/>
    </row>
    <row r="2502">
      <c r="A2502" s="256" t="inlineStr">
        <is>
          <t>CoQ-PP_26-109</t>
        </is>
      </c>
      <c r="B2502" s="256" t="inlineStr">
        <is>
          <t>reissue — retest</t>
        </is>
      </c>
      <c r="C2502" s="256" t="inlineStr">
        <is>
          <t>CF102501</t>
        </is>
      </c>
      <c r="D2502" s="256" t="inlineStr">
        <is>
          <t>P060132</t>
        </is>
      </c>
      <c r="E2502" s="256" t="inlineStr">
        <is>
          <t>Chem Flyer</t>
        </is>
      </c>
      <c r="F2502" s="256" t="inlineStr">
        <is>
          <t>18.09.2026</t>
        </is>
      </c>
      <c r="G2502" s="256" t="inlineStr">
        <is>
          <t>10.2</t>
        </is>
      </c>
      <c r="H2502" s="256" t="inlineStr">
        <is>
          <t>Aflatoxins ∑</t>
        </is>
      </c>
      <c r="I2502" s="256" t="inlineStr">
        <is>
          <t>Ph. Eur. 2.8.18 (HPLC-FLD)</t>
        </is>
      </c>
      <c r="J2502" s="256" t="inlineStr">
        <is>
          <t>≤ 4 µg/kg</t>
        </is>
      </c>
      <c r="K2502" s="256" t="inlineStr">
        <is>
          <t>ND</t>
        </is>
      </c>
      <c r="L2502" s="256" t="inlineStr">
        <is>
          <t>220-6-М/26</t>
        </is>
      </c>
      <c r="M2502" s="256" t="inlineStr">
        <is>
          <t>11.09.2026</t>
        </is>
      </c>
      <c r="N2502" s="256" t="inlineStr">
        <is>
          <t>Farmahem</t>
        </is>
      </c>
      <c r="O2502" s="256" t="inlineStr">
        <is>
          <t>17.08.2026</t>
        </is>
      </c>
      <c r="P2502" s="256" t="inlineStr">
        <is>
          <t>covered</t>
        </is>
      </c>
      <c r="Q2502" s="256" t="inlineStr"/>
      <c r="R2502" s="256" t="inlineStr"/>
    </row>
    <row r="2503">
      <c r="A2503" s="256" t="inlineStr">
        <is>
          <t>CoQ-PP_26-109</t>
        </is>
      </c>
      <c r="B2503" s="256" t="inlineStr">
        <is>
          <t>reissue — retest</t>
        </is>
      </c>
      <c r="C2503" s="256" t="inlineStr">
        <is>
          <t>CF102501</t>
        </is>
      </c>
      <c r="D2503" s="256" t="inlineStr">
        <is>
          <t>P060132</t>
        </is>
      </c>
      <c r="E2503" s="256" t="inlineStr">
        <is>
          <t>Chem Flyer</t>
        </is>
      </c>
      <c r="F2503" s="256" t="inlineStr">
        <is>
          <t>18.09.2026</t>
        </is>
      </c>
      <c r="G2503" s="256" t="inlineStr">
        <is>
          <t>10.3</t>
        </is>
      </c>
      <c r="H2503" s="256" t="inlineStr">
        <is>
          <t>Ochratoxin A</t>
        </is>
      </c>
      <c r="I2503" s="256" t="inlineStr">
        <is>
          <t>Ph. Eur. 2.8.22 (HPLC-FLD)</t>
        </is>
      </c>
      <c r="J2503" s="256" t="inlineStr">
        <is>
          <t>≤ 20 µg/kg</t>
        </is>
      </c>
      <c r="K2503" s="256" t="inlineStr">
        <is>
          <t>ND</t>
        </is>
      </c>
      <c r="L2503" s="256" t="inlineStr">
        <is>
          <t>220-6-М/26</t>
        </is>
      </c>
      <c r="M2503" s="256" t="inlineStr">
        <is>
          <t>11.09.2026</t>
        </is>
      </c>
      <c r="N2503" s="256" t="inlineStr">
        <is>
          <t>Farmahem</t>
        </is>
      </c>
      <c r="O2503" s="256" t="inlineStr">
        <is>
          <t>17.08.2026</t>
        </is>
      </c>
      <c r="P2503" s="256" t="inlineStr">
        <is>
          <t>covered</t>
        </is>
      </c>
      <c r="Q2503" s="256" t="inlineStr"/>
      <c r="R2503" s="256" t="inlineStr"/>
    </row>
    <row r="2504">
      <c r="A2504" s="256" t="inlineStr">
        <is>
          <t>CoQ-PP_26-109</t>
        </is>
      </c>
      <c r="B2504" s="256" t="inlineStr">
        <is>
          <t>reissue — retest</t>
        </is>
      </c>
      <c r="C2504" s="256" t="inlineStr">
        <is>
          <t>CF102501</t>
        </is>
      </c>
      <c r="D2504" s="256" t="inlineStr">
        <is>
          <t>P060132</t>
        </is>
      </c>
      <c r="E2504" s="256" t="inlineStr">
        <is>
          <t>Chem Flyer</t>
        </is>
      </c>
      <c r="F2504" s="256" t="inlineStr">
        <is>
          <t>18.09.2026</t>
        </is>
      </c>
      <c r="G2504" s="256" t="inlineStr">
        <is>
          <t>11.1</t>
        </is>
      </c>
      <c r="H2504" s="256" t="inlineStr">
        <is>
          <t>Lead (Pb)</t>
        </is>
      </c>
      <c r="I2504" s="256" t="inlineStr">
        <is>
          <t>Ph. Eur. 2.4.27 (ICP-MS)</t>
        </is>
      </c>
      <c r="J2504" s="256" t="inlineStr">
        <is>
          <t>≤ 0.5 mg/kg</t>
        </is>
      </c>
      <c r="K2504" s="256" t="inlineStr">
        <is>
          <t>0.07</t>
        </is>
      </c>
      <c r="L2504" s="256" t="inlineStr">
        <is>
          <t>330/2026</t>
        </is>
      </c>
      <c r="M2504" s="256" t="inlineStr">
        <is>
          <t>11.02.2026</t>
        </is>
      </c>
      <c r="N2504" s="256" t="inlineStr">
        <is>
          <t>IPH — Institute of Public Health</t>
        </is>
      </c>
      <c r="O2504" s="256" t="inlineStr">
        <is>
          <t>—</t>
        </is>
      </c>
      <c r="P2504" s="256" t="inlineStr">
        <is>
          <t>covered</t>
        </is>
      </c>
      <c r="Q2504" s="256" t="inlineStr"/>
      <c r="R2504" s="256" t="inlineStr"/>
    </row>
    <row r="2505">
      <c r="A2505" s="256" t="inlineStr">
        <is>
          <t>CoQ-PP_26-109</t>
        </is>
      </c>
      <c r="B2505" s="256" t="inlineStr">
        <is>
          <t>reissue — retest</t>
        </is>
      </c>
      <c r="C2505" s="256" t="inlineStr">
        <is>
          <t>CF102501</t>
        </is>
      </c>
      <c r="D2505" s="256" t="inlineStr">
        <is>
          <t>P060132</t>
        </is>
      </c>
      <c r="E2505" s="256" t="inlineStr">
        <is>
          <t>Chem Flyer</t>
        </is>
      </c>
      <c r="F2505" s="256" t="inlineStr">
        <is>
          <t>18.09.2026</t>
        </is>
      </c>
      <c r="G2505" s="256" t="inlineStr">
        <is>
          <t>11.2</t>
        </is>
      </c>
      <c r="H2505" s="256" t="inlineStr">
        <is>
          <t>Cadmium (Cd)</t>
        </is>
      </c>
      <c r="I2505" s="256" t="inlineStr">
        <is>
          <t>Ph. Eur. 2.4.27 (ICP-MS)</t>
        </is>
      </c>
      <c r="J2505" s="256" t="inlineStr">
        <is>
          <t>≤ 0.3 mg/kg</t>
        </is>
      </c>
      <c r="K2505" s="256" t="inlineStr">
        <is>
          <t>ND</t>
        </is>
      </c>
      <c r="L2505" s="256" t="inlineStr">
        <is>
          <t>330/2026</t>
        </is>
      </c>
      <c r="M2505" s="256" t="inlineStr">
        <is>
          <t>11.02.2026</t>
        </is>
      </c>
      <c r="N2505" s="256" t="inlineStr">
        <is>
          <t>IPH — Institute of Public Health</t>
        </is>
      </c>
      <c r="O2505" s="256" t="inlineStr">
        <is>
          <t>—</t>
        </is>
      </c>
      <c r="P2505" s="256" t="inlineStr">
        <is>
          <t>covered</t>
        </is>
      </c>
      <c r="Q2505" s="256" t="inlineStr"/>
      <c r="R2505" s="256" t="inlineStr"/>
    </row>
    <row r="2506">
      <c r="A2506" s="256" t="inlineStr">
        <is>
          <t>CoQ-PP_26-109</t>
        </is>
      </c>
      <c r="B2506" s="256" t="inlineStr">
        <is>
          <t>reissue — retest</t>
        </is>
      </c>
      <c r="C2506" s="256" t="inlineStr">
        <is>
          <t>CF102501</t>
        </is>
      </c>
      <c r="D2506" s="256" t="inlineStr">
        <is>
          <t>P060132</t>
        </is>
      </c>
      <c r="E2506" s="256" t="inlineStr">
        <is>
          <t>Chem Flyer</t>
        </is>
      </c>
      <c r="F2506" s="256" t="inlineStr">
        <is>
          <t>18.09.2026</t>
        </is>
      </c>
      <c r="G2506" s="256" t="inlineStr">
        <is>
          <t>11.3</t>
        </is>
      </c>
      <c r="H2506" s="256" t="inlineStr">
        <is>
          <t>Arsenic (As)</t>
        </is>
      </c>
      <c r="I2506" s="256" t="inlineStr">
        <is>
          <t>Ph. Eur. 2.4.27 (ICP-MS)</t>
        </is>
      </c>
      <c r="J2506" s="256" t="inlineStr">
        <is>
          <t>≤ 0.2 mg/kg</t>
        </is>
      </c>
      <c r="K2506" s="256" t="inlineStr">
        <is>
          <t>0.0942</t>
        </is>
      </c>
      <c r="L2506" s="256" t="inlineStr">
        <is>
          <t>330/2026</t>
        </is>
      </c>
      <c r="M2506" s="256" t="inlineStr">
        <is>
          <t>11.02.2026</t>
        </is>
      </c>
      <c r="N2506" s="256" t="inlineStr">
        <is>
          <t>IPH — Institute of Public Health</t>
        </is>
      </c>
      <c r="O2506" s="256" t="inlineStr">
        <is>
          <t>—</t>
        </is>
      </c>
      <c r="P2506" s="256" t="inlineStr">
        <is>
          <t>covered</t>
        </is>
      </c>
      <c r="Q2506" s="256" t="inlineStr"/>
      <c r="R2506" s="256" t="inlineStr"/>
    </row>
    <row r="2507">
      <c r="A2507" s="256" t="inlineStr">
        <is>
          <t>CoQ-PP_26-109</t>
        </is>
      </c>
      <c r="B2507" s="256" t="inlineStr">
        <is>
          <t>reissue — retest</t>
        </is>
      </c>
      <c r="C2507" s="256" t="inlineStr">
        <is>
          <t>CF102501</t>
        </is>
      </c>
      <c r="D2507" s="256" t="inlineStr">
        <is>
          <t>P060132</t>
        </is>
      </c>
      <c r="E2507" s="256" t="inlineStr">
        <is>
          <t>Chem Flyer</t>
        </is>
      </c>
      <c r="F2507" s="256" t="inlineStr">
        <is>
          <t>18.09.2026</t>
        </is>
      </c>
      <c r="G2507" s="256" t="inlineStr">
        <is>
          <t>11.4</t>
        </is>
      </c>
      <c r="H2507" s="256" t="inlineStr">
        <is>
          <t>Mercury (Hg)</t>
        </is>
      </c>
      <c r="I2507" s="256" t="inlineStr">
        <is>
          <t>Ph. Eur. 2.4.27 (ICP-MS)</t>
        </is>
      </c>
      <c r="J2507" s="256" t="inlineStr">
        <is>
          <t>≤ 0.1 mg/kg</t>
        </is>
      </c>
      <c r="K2507" s="256" t="inlineStr">
        <is>
          <t>ND</t>
        </is>
      </c>
      <c r="L2507" s="256" t="inlineStr">
        <is>
          <t>330/2026</t>
        </is>
      </c>
      <c r="M2507" s="256" t="inlineStr">
        <is>
          <t>11.02.2026</t>
        </is>
      </c>
      <c r="N2507" s="256" t="inlineStr">
        <is>
          <t>IPH — Institute of Public Health</t>
        </is>
      </c>
      <c r="O2507" s="256" t="inlineStr">
        <is>
          <t>—</t>
        </is>
      </c>
      <c r="P2507" s="256" t="inlineStr">
        <is>
          <t>covered</t>
        </is>
      </c>
      <c r="Q2507" s="256" t="inlineStr"/>
      <c r="R2507" s="256" t="inlineStr"/>
    </row>
    <row r="2508">
      <c r="A2508" s="256" t="inlineStr">
        <is>
          <t>CoQ-PP_26-109</t>
        </is>
      </c>
      <c r="B2508" s="256" t="inlineStr">
        <is>
          <t>reissue — retest</t>
        </is>
      </c>
      <c r="C2508" s="256" t="inlineStr">
        <is>
          <t>CF102501</t>
        </is>
      </c>
      <c r="D2508" s="256" t="inlineStr">
        <is>
          <t>P060132</t>
        </is>
      </c>
      <c r="E2508" s="256" t="inlineStr">
        <is>
          <t>Chem Flyer</t>
        </is>
      </c>
      <c r="F2508" s="256" t="inlineStr">
        <is>
          <t>18.09.2026</t>
        </is>
      </c>
      <c r="G2508" s="256" t="inlineStr">
        <is>
          <t>12</t>
        </is>
      </c>
      <c r="H2508" s="256" t="inlineStr">
        <is>
          <t>Pesticide Residues</t>
        </is>
      </c>
      <c r="I2508" s="256" t="inlineStr">
        <is>
          <t>Ph. Eur. 2.8.13 (LC-MS/MS) · CUMCS Equivalency</t>
        </is>
      </c>
      <c r="J2508" s="256" t="inlineStr">
        <is>
          <t>≤ LOQ as per Ph. Eur. 2.8.13 · ≤ LOQ as per CUMCS Equivalency</t>
        </is>
      </c>
      <c r="K2508" s="256" t="inlineStr">
        <is>
          <t>ND mg/kg — all 25 residues</t>
        </is>
      </c>
      <c r="L2508" s="256" t="inlineStr">
        <is>
          <t>330/2026</t>
        </is>
      </c>
      <c r="M2508" s="256" t="inlineStr">
        <is>
          <t>11.02.2026</t>
        </is>
      </c>
      <c r="N2508" s="256" t="inlineStr">
        <is>
          <t>IJZ</t>
        </is>
      </c>
      <c r="O2508" s="256" t="inlineStr">
        <is>
          <t>—</t>
        </is>
      </c>
      <c r="P2508" s="256" t="inlineStr">
        <is>
          <t>carried from the initial testing (CoQ-PP-2026-0011) — covered</t>
        </is>
      </c>
      <c r="Q2508" s="256" t="inlineStr"/>
      <c r="R2508" s="256" t="inlineStr"/>
    </row>
    <row r="2509">
      <c r="A2509" s="256" t="inlineStr">
        <is>
          <t>CoQ-PP_26-110</t>
        </is>
      </c>
      <c r="B2509" s="256" t="inlineStr">
        <is>
          <t>reissue — retest</t>
        </is>
      </c>
      <c r="C2509" s="256" t="inlineStr">
        <is>
          <t>CJ062501/1</t>
        </is>
      </c>
      <c r="D2509" s="256" t="inlineStr">
        <is>
          <t>P050222</t>
        </is>
      </c>
      <c r="E2509" s="256" t="inlineStr">
        <is>
          <t>Cap Junky</t>
        </is>
      </c>
      <c r="F2509" s="256" t="inlineStr">
        <is>
          <t>18.09.2026</t>
        </is>
      </c>
      <c r="G2509" s="256" t="inlineStr">
        <is>
          <t>1</t>
        </is>
      </c>
      <c r="H2509" s="256" t="inlineStr">
        <is>
          <t>Identification A, Appearance · Macroscopic</t>
        </is>
      </c>
      <c r="I2509" s="256" t="inlineStr">
        <is>
          <t>Ph. Eur. mon. 3028</t>
        </is>
      </c>
      <c r="J2509" s="256" t="inlineStr">
        <is>
          <t>Conforms to the monograph for Cannabis flos (07/2024:3028) in Ph. Eur. 11.0 | Согласно монографија за Cannabis flos (07/2024:3028) во Ph. Eur. 11.0</t>
        </is>
      </c>
      <c r="K2509" s="256" t="inlineStr">
        <is>
          <t>Conforms | Одговара</t>
        </is>
      </c>
      <c r="L2509" s="256" t="inlineStr">
        <is>
          <t>iCoA-PP_26-126</t>
        </is>
      </c>
      <c r="M2509" s="256" t="inlineStr">
        <is>
          <t>17.08.2026</t>
        </is>
      </c>
      <c r="N2509" s="256" t="inlineStr">
        <is>
          <t>Purely Plant GmbH (in-house)</t>
        </is>
      </c>
      <c r="O2509" s="256" t="inlineStr">
        <is>
          <t>—</t>
        </is>
      </c>
      <c r="P2509" s="256" t="inlineStr">
        <is>
          <t>covered</t>
        </is>
      </c>
      <c r="Q2509" s="256" t="inlineStr">
        <is>
          <t>Farmahem — Ident A + B + C with the Assay, at retest</t>
        </is>
      </c>
      <c r="R2509" s="256" t="inlineStr"/>
    </row>
    <row r="2510">
      <c r="A2510" s="256" t="inlineStr">
        <is>
          <t>CoQ-PP_26-110</t>
        </is>
      </c>
      <c r="B2510" s="256" t="inlineStr">
        <is>
          <t>reissue — retest</t>
        </is>
      </c>
      <c r="C2510" s="256" t="inlineStr">
        <is>
          <t>CJ062501/1</t>
        </is>
      </c>
      <c r="D2510" s="256" t="inlineStr">
        <is>
          <t>P050222</t>
        </is>
      </c>
      <c r="E2510" s="256" t="inlineStr">
        <is>
          <t>Cap Junky</t>
        </is>
      </c>
      <c r="F2510" s="256" t="inlineStr">
        <is>
          <t>18.09.2026</t>
        </is>
      </c>
      <c r="G2510" s="256" t="inlineStr">
        <is>
          <t>2</t>
        </is>
      </c>
      <c r="H2510" s="256" t="inlineStr">
        <is>
          <t>Identification B · Microscopic</t>
        </is>
      </c>
      <c r="I2510" s="256" t="inlineStr">
        <is>
          <t>Ph. Eur. 2.8.23 (microscopy)</t>
        </is>
      </c>
      <c r="J2510" s="256" t="inlineStr">
        <is>
          <t>Conforms to the monograph for Cannabis flos (07/2024:3028) in Ph. Eur. 11.0 | Согласно монографија за Cannabis flos (07/2024:3028) во Ph. Eur. 11.0</t>
        </is>
      </c>
      <c r="K2510" s="256" t="inlineStr">
        <is>
          <t>Conforms | Одговара</t>
        </is>
      </c>
      <c r="L2510" s="256" t="inlineStr">
        <is>
          <t>iCoA-PP_26-126</t>
        </is>
      </c>
      <c r="M2510" s="256" t="inlineStr">
        <is>
          <t>17.08.2026</t>
        </is>
      </c>
      <c r="N2510" s="256" t="inlineStr">
        <is>
          <t>Purely Plant GmbH (in-house)</t>
        </is>
      </c>
      <c r="O2510" s="256" t="inlineStr">
        <is>
          <t>—</t>
        </is>
      </c>
      <c r="P2510" s="256" t="inlineStr">
        <is>
          <t>covered</t>
        </is>
      </c>
      <c r="Q2510" s="256" t="inlineStr">
        <is>
          <t>Farmahem — Ident A + B + C with the Assay, at retest</t>
        </is>
      </c>
      <c r="R2510" s="256" t="inlineStr"/>
    </row>
    <row r="2511">
      <c r="A2511" s="256" t="inlineStr">
        <is>
          <t>CoQ-PP_26-110</t>
        </is>
      </c>
      <c r="B2511" s="256" t="inlineStr">
        <is>
          <t>reissue — retest</t>
        </is>
      </c>
      <c r="C2511" s="256" t="inlineStr">
        <is>
          <t>CJ062501/1</t>
        </is>
      </c>
      <c r="D2511" s="256" t="inlineStr">
        <is>
          <t>P050222</t>
        </is>
      </c>
      <c r="E2511" s="256" t="inlineStr">
        <is>
          <t>Cap Junky</t>
        </is>
      </c>
      <c r="F2511" s="256" t="inlineStr">
        <is>
          <t>18.09.2026</t>
        </is>
      </c>
      <c r="G2511" s="256" t="inlineStr">
        <is>
          <t>3</t>
        </is>
      </c>
      <c r="H2511" s="256" t="inlineStr">
        <is>
          <t>Identification C · HPLC/HPTLC</t>
        </is>
      </c>
      <c r="I2511" s="256" t="inlineStr">
        <is>
          <t>Ph. Eur. 2.2.29 (3028)</t>
        </is>
      </c>
      <c r="J2511" s="256" t="inlineStr">
        <is>
          <t>Conforms to the monograph for Cannabis flos (07/2024:3028) in Ph. Eur. 11.0 | Согласно монографија за Cannabis flos (07/2024:3028) во Ph. Eur. 11.0</t>
        </is>
      </c>
      <c r="K2511" s="256" t="inlineStr">
        <is>
          <t>Conforms | Одговара</t>
        </is>
      </c>
      <c r="L2511" s="256" t="inlineStr">
        <is>
          <t>220-3-К/26</t>
        </is>
      </c>
      <c r="M2511" s="256" t="inlineStr">
        <is>
          <t>25.08.2026</t>
        </is>
      </c>
      <c r="N2511" s="256" t="inlineStr">
        <is>
          <t>Farmahem</t>
        </is>
      </c>
      <c r="O2511" s="256" t="inlineStr">
        <is>
          <t>17.08.2026</t>
        </is>
      </c>
      <c r="P2511" s="256" t="inlineStr">
        <is>
          <t>covered</t>
        </is>
      </c>
      <c r="Q2511" s="256" t="inlineStr"/>
      <c r="R2511" s="256" t="inlineStr"/>
    </row>
    <row r="2512">
      <c r="A2512" s="256" t="inlineStr">
        <is>
          <t>CoQ-PP_26-110</t>
        </is>
      </c>
      <c r="B2512" s="256" t="inlineStr">
        <is>
          <t>reissue — retest</t>
        </is>
      </c>
      <c r="C2512" s="256" t="inlineStr">
        <is>
          <t>CJ062501/1</t>
        </is>
      </c>
      <c r="D2512" s="256" t="inlineStr">
        <is>
          <t>P050222</t>
        </is>
      </c>
      <c r="E2512" s="256" t="inlineStr">
        <is>
          <t>Cap Junky</t>
        </is>
      </c>
      <c r="F2512" s="256" t="inlineStr">
        <is>
          <t>18.09.2026</t>
        </is>
      </c>
      <c r="G2512" s="256" t="inlineStr">
        <is>
          <t>4</t>
        </is>
      </c>
      <c r="H2512" s="256" t="inlineStr">
        <is>
          <t>Assay — Total Δ⁹-THC</t>
        </is>
      </c>
      <c r="I2512" s="256" t="inlineStr">
        <is>
          <t>Ph. Eur. 2.2.29 (HPLC)</t>
        </is>
      </c>
      <c r="J2512" s="256" t="inlineStr">
        <is>
          <t>21.60 – 26.39 %  (grade II, nominal 24.00 ± 2.40)</t>
        </is>
      </c>
      <c r="K2512" s="256" t="inlineStr">
        <is>
          <t>24.80</t>
        </is>
      </c>
      <c r="L2512" s="256" t="inlineStr">
        <is>
          <t>220-3-К/26</t>
        </is>
      </c>
      <c r="M2512" s="256" t="inlineStr">
        <is>
          <t>25.08.2026</t>
        </is>
      </c>
      <c r="N2512" s="256" t="inlineStr">
        <is>
          <t>Farmahem</t>
        </is>
      </c>
      <c r="O2512" s="256" t="inlineStr">
        <is>
          <t>17.08.2026</t>
        </is>
      </c>
      <c r="P2512" s="256" t="inlineStr">
        <is>
          <t>covered</t>
        </is>
      </c>
      <c r="Q2512" s="256" t="inlineStr"/>
      <c r="R2512" s="256" t="inlineStr"/>
    </row>
    <row r="2513">
      <c r="A2513" s="256" t="inlineStr">
        <is>
          <t>CoQ-PP_26-110</t>
        </is>
      </c>
      <c r="B2513" s="256" t="inlineStr">
        <is>
          <t>reissue — retest</t>
        </is>
      </c>
      <c r="C2513" s="256" t="inlineStr">
        <is>
          <t>CJ062501/1</t>
        </is>
      </c>
      <c r="D2513" s="256" t="inlineStr">
        <is>
          <t>P050222</t>
        </is>
      </c>
      <c r="E2513" s="256" t="inlineStr">
        <is>
          <t>Cap Junky</t>
        </is>
      </c>
      <c r="F2513" s="256" t="inlineStr">
        <is>
          <t>18.09.2026</t>
        </is>
      </c>
      <c r="G2513" s="256" t="inlineStr">
        <is>
          <t>5</t>
        </is>
      </c>
      <c r="H2513" s="256" t="inlineStr">
        <is>
          <t>Assay — Total CBD</t>
        </is>
      </c>
      <c r="I2513" s="256" t="inlineStr">
        <is>
          <t>Ph. Eur. 2.2.29 (HPLC) · CBD + CBDA x 0.877</t>
        </is>
      </c>
      <c r="J2513" s="256" t="inlineStr">
        <is>
          <t>≤ 1.0%, w/w</t>
        </is>
      </c>
      <c r="K2513" s="256" t="inlineStr">
        <is>
          <t>&lt; LOQ</t>
        </is>
      </c>
      <c r="L2513" s="256" t="inlineStr">
        <is>
          <t>220-3-К/26</t>
        </is>
      </c>
      <c r="M2513" s="256" t="inlineStr">
        <is>
          <t>25.08.2026</t>
        </is>
      </c>
      <c r="N2513" s="256" t="inlineStr">
        <is>
          <t>Farmahem</t>
        </is>
      </c>
      <c r="O2513" s="256" t="inlineStr">
        <is>
          <t>17.08.2026</t>
        </is>
      </c>
      <c r="P2513" s="256" t="inlineStr">
        <is>
          <t>covered</t>
        </is>
      </c>
      <c r="Q2513" s="256" t="inlineStr"/>
      <c r="R2513" s="256" t="inlineStr"/>
    </row>
    <row r="2514">
      <c r="A2514" s="256" t="inlineStr">
        <is>
          <t>CoQ-PP_26-110</t>
        </is>
      </c>
      <c r="B2514" s="256" t="inlineStr">
        <is>
          <t>reissue — retest</t>
        </is>
      </c>
      <c r="C2514" s="256" t="inlineStr">
        <is>
          <t>CJ062501/1</t>
        </is>
      </c>
      <c r="D2514" s="256" t="inlineStr">
        <is>
          <t>P050222</t>
        </is>
      </c>
      <c r="E2514" s="256" t="inlineStr">
        <is>
          <t>Cap Junky</t>
        </is>
      </c>
      <c r="F2514" s="256" t="inlineStr">
        <is>
          <t>18.09.2026</t>
        </is>
      </c>
      <c r="G2514" s="256" t="inlineStr">
        <is>
          <t>6</t>
        </is>
      </c>
      <c r="H2514" s="256" t="inlineStr">
        <is>
          <t>Total CBN</t>
        </is>
      </c>
      <c r="I2514" s="256" t="inlineStr">
        <is>
          <t>Ph. Eur. 2.2.29 (HPLC) · CBN + CBNA x 0.876</t>
        </is>
      </c>
      <c r="J2514" s="256" t="inlineStr">
        <is>
          <t>≤ 1.0%, w/w</t>
        </is>
      </c>
      <c r="K2514" s="256" t="inlineStr">
        <is>
          <t>&lt; LOQ</t>
        </is>
      </c>
      <c r="L2514" s="256" t="inlineStr">
        <is>
          <t>220-3-К/26</t>
        </is>
      </c>
      <c r="M2514" s="256" t="inlineStr">
        <is>
          <t>25.08.2026</t>
        </is>
      </c>
      <c r="N2514" s="256" t="inlineStr">
        <is>
          <t>Farmahem</t>
        </is>
      </c>
      <c r="O2514" s="256" t="inlineStr">
        <is>
          <t>17.08.2026</t>
        </is>
      </c>
      <c r="P2514" s="256" t="inlineStr">
        <is>
          <t>covered</t>
        </is>
      </c>
      <c r="Q2514" s="256" t="inlineStr"/>
      <c r="R2514" s="256" t="inlineStr"/>
    </row>
    <row r="2515">
      <c r="A2515" s="256" t="inlineStr">
        <is>
          <t>CoQ-PP_26-110</t>
        </is>
      </c>
      <c r="B2515" s="256" t="inlineStr">
        <is>
          <t>reissue — retest</t>
        </is>
      </c>
      <c r="C2515" s="256" t="inlineStr">
        <is>
          <t>CJ062501/1</t>
        </is>
      </c>
      <c r="D2515" s="256" t="inlineStr">
        <is>
          <t>P050222</t>
        </is>
      </c>
      <c r="E2515" s="256" t="inlineStr">
        <is>
          <t>Cap Junky</t>
        </is>
      </c>
      <c r="F2515" s="256" t="inlineStr">
        <is>
          <t>18.09.2026</t>
        </is>
      </c>
      <c r="G2515" s="256" t="inlineStr">
        <is>
          <t>7</t>
        </is>
      </c>
      <c r="H2515" s="256" t="inlineStr">
        <is>
          <t>Foreign Matter</t>
        </is>
      </c>
      <c r="I2515" s="256" t="inlineStr">
        <is>
          <t>Ph. Eur. 2.8.2 · In-house · интерна</t>
        </is>
      </c>
      <c r="J2515" s="256" t="inlineStr">
        <is>
          <t>≤ 2.0% / 25–50 g · &lt; 1 cm leaves | листови, no seeds | без семки</t>
        </is>
      </c>
      <c r="K2515" s="256" t="inlineStr">
        <is>
          <t>Conforms | Одговара</t>
        </is>
      </c>
      <c r="L2515" s="256" t="inlineStr">
        <is>
          <t>iCoA-PP_26-126</t>
        </is>
      </c>
      <c r="M2515" s="256" t="inlineStr">
        <is>
          <t>17.08.2026</t>
        </is>
      </c>
      <c r="N2515" s="256" t="inlineStr">
        <is>
          <t>Purely Plant GmbH (in-house)</t>
        </is>
      </c>
      <c r="O2515" s="256" t="inlineStr">
        <is>
          <t>—</t>
        </is>
      </c>
      <c r="P2515" s="256" t="inlineStr">
        <is>
          <t>covered</t>
        </is>
      </c>
      <c r="Q2515" s="256" t="inlineStr">
        <is>
          <t>Purely Plant laboratory — iCoA covering Foreign matter</t>
        </is>
      </c>
      <c r="R2515" s="256" t="inlineStr"/>
    </row>
    <row r="2516">
      <c r="A2516" s="256" t="inlineStr">
        <is>
          <t>CoQ-PP_26-110</t>
        </is>
      </c>
      <c r="B2516" s="256" t="inlineStr">
        <is>
          <t>reissue — retest</t>
        </is>
      </c>
      <c r="C2516" s="256" t="inlineStr">
        <is>
          <t>CJ062501/1</t>
        </is>
      </c>
      <c r="D2516" s="256" t="inlineStr">
        <is>
          <t>P050222</t>
        </is>
      </c>
      <c r="E2516" s="256" t="inlineStr">
        <is>
          <t>Cap Junky</t>
        </is>
      </c>
      <c r="F2516" s="256" t="inlineStr">
        <is>
          <t>18.09.2026</t>
        </is>
      </c>
      <c r="G2516" s="256" t="inlineStr">
        <is>
          <t>8</t>
        </is>
      </c>
      <c r="H2516" s="256" t="inlineStr">
        <is>
          <t>Loss on Drying</t>
        </is>
      </c>
      <c r="I2516" s="256" t="inlineStr">
        <is>
          <t>DAB 2018 monograph Cannabis flos, 2.2.32 — loss on drying (CNP, before its Ph. Eur. 3028 accreditation)</t>
        </is>
      </c>
      <c r="J2516" s="256" t="inlineStr">
        <is>
          <t>≤ 12.0%</t>
        </is>
      </c>
      <c r="K2516" s="256" t="inlineStr">
        <is>
          <t>7.77</t>
        </is>
      </c>
      <c r="L2516" s="256" t="inlineStr">
        <is>
          <t>ППК25321</t>
        </is>
      </c>
      <c r="M2516" s="256" t="inlineStr">
        <is>
          <t>23.10.2025</t>
        </is>
      </c>
      <c r="N2516" s="256" t="inlineStr">
        <is>
          <t>UKIM Faculty of Pharmacy — Center for Natural Products</t>
        </is>
      </c>
      <c r="O2516" s="256" t="inlineStr">
        <is>
          <t>10.10.2025</t>
        </is>
      </c>
      <c r="P2516" s="256" t="inlineStr">
        <is>
          <t>carried from the initial testing (CoQ-PP-2025-0018) — covered</t>
        </is>
      </c>
      <c r="Q2516" s="256" t="inlineStr"/>
      <c r="R2516" s="256" t="inlineStr"/>
    </row>
    <row r="2517">
      <c r="A2517" s="256" t="inlineStr">
        <is>
          <t>CoQ-PP_26-110</t>
        </is>
      </c>
      <c r="B2517" s="256" t="inlineStr">
        <is>
          <t>reissue — retest</t>
        </is>
      </c>
      <c r="C2517" s="256" t="inlineStr">
        <is>
          <t>CJ062501/1</t>
        </is>
      </c>
      <c r="D2517" s="256" t="inlineStr">
        <is>
          <t>P050222</t>
        </is>
      </c>
      <c r="E2517" s="256" t="inlineStr">
        <is>
          <t>Cap Junky</t>
        </is>
      </c>
      <c r="F2517" s="256" t="inlineStr">
        <is>
          <t>18.09.2026</t>
        </is>
      </c>
      <c r="G2517" s="256" t="inlineStr">
        <is>
          <t>9.1</t>
        </is>
      </c>
      <c r="H2517" s="256" t="inlineStr">
        <is>
          <t>TAMC</t>
        </is>
      </c>
      <c r="I2517" s="256" t="inlineStr">
        <is>
          <t>Ph. Eur. 2.6.12 cat. C</t>
        </is>
      </c>
      <c r="J2517" s="256" t="inlineStr">
        <is>
          <t>≤ 10⁵ CFU/g</t>
        </is>
      </c>
      <c r="K2517" s="256" t="inlineStr">
        <is>
          <t>4,2 × 10³</t>
        </is>
      </c>
      <c r="L2517" s="256" t="inlineStr">
        <is>
          <t>535/1066/26</t>
        </is>
      </c>
      <c r="M2517" s="256" t="inlineStr">
        <is>
          <t>31.08.2026</t>
        </is>
      </c>
      <c r="N2517" s="256" t="inlineStr">
        <is>
          <t>IPH — Institute of Public Health</t>
        </is>
      </c>
      <c r="O2517" s="256" t="inlineStr">
        <is>
          <t>—</t>
        </is>
      </c>
      <c r="P2517" s="256" t="inlineStr">
        <is>
          <t>covered</t>
        </is>
      </c>
      <c r="Q2517" s="256" t="inlineStr"/>
      <c r="R2517" s="256" t="inlineStr"/>
    </row>
    <row r="2518">
      <c r="A2518" s="256" t="inlineStr">
        <is>
          <t>CoQ-PP_26-110</t>
        </is>
      </c>
      <c r="B2518" s="256" t="inlineStr">
        <is>
          <t>reissue — retest</t>
        </is>
      </c>
      <c r="C2518" s="256" t="inlineStr">
        <is>
          <t>CJ062501/1</t>
        </is>
      </c>
      <c r="D2518" s="256" t="inlineStr">
        <is>
          <t>P050222</t>
        </is>
      </c>
      <c r="E2518" s="256" t="inlineStr">
        <is>
          <t>Cap Junky</t>
        </is>
      </c>
      <c r="F2518" s="256" t="inlineStr">
        <is>
          <t>18.09.2026</t>
        </is>
      </c>
      <c r="G2518" s="256" t="inlineStr">
        <is>
          <t>9.2</t>
        </is>
      </c>
      <c r="H2518" s="256" t="inlineStr">
        <is>
          <t>TYMC</t>
        </is>
      </c>
      <c r="I2518" s="256" t="inlineStr">
        <is>
          <t>Ph. Eur. 2.6.12 cat. C</t>
        </is>
      </c>
      <c r="J2518" s="256" t="inlineStr">
        <is>
          <t>≤ 10⁴ CFU/g</t>
        </is>
      </c>
      <c r="K2518" s="256" t="inlineStr">
        <is>
          <t>&lt; 10</t>
        </is>
      </c>
      <c r="L2518" s="256" t="inlineStr">
        <is>
          <t>535/1066/26</t>
        </is>
      </c>
      <c r="M2518" s="256" t="inlineStr">
        <is>
          <t>31.08.2026</t>
        </is>
      </c>
      <c r="N2518" s="256" t="inlineStr">
        <is>
          <t>IPH — Institute of Public Health</t>
        </is>
      </c>
      <c r="O2518" s="256" t="inlineStr">
        <is>
          <t>—</t>
        </is>
      </c>
      <c r="P2518" s="256" t="inlineStr">
        <is>
          <t>covered</t>
        </is>
      </c>
      <c r="Q2518" s="256" t="inlineStr"/>
      <c r="R2518" s="256" t="inlineStr"/>
    </row>
    <row r="2519">
      <c r="A2519" s="256" t="inlineStr">
        <is>
          <t>CoQ-PP_26-110</t>
        </is>
      </c>
      <c r="B2519" s="256" t="inlineStr">
        <is>
          <t>reissue — retest</t>
        </is>
      </c>
      <c r="C2519" s="256" t="inlineStr">
        <is>
          <t>CJ062501/1</t>
        </is>
      </c>
      <c r="D2519" s="256" t="inlineStr">
        <is>
          <t>P050222</t>
        </is>
      </c>
      <c r="E2519" s="256" t="inlineStr">
        <is>
          <t>Cap Junky</t>
        </is>
      </c>
      <c r="F2519" s="256" t="inlineStr">
        <is>
          <t>18.09.2026</t>
        </is>
      </c>
      <c r="G2519" s="256" t="inlineStr">
        <is>
          <t>9.3</t>
        </is>
      </c>
      <c r="H2519" s="256" t="inlineStr">
        <is>
          <t>Bile-tolerant gram-neg.</t>
        </is>
      </c>
      <c r="I2519" s="256" t="inlineStr">
        <is>
          <t>Ph. Eur. 2.6.31 cat. C</t>
        </is>
      </c>
      <c r="J2519" s="256" t="inlineStr">
        <is>
          <t>≤ 10⁴ CFU/g</t>
        </is>
      </c>
      <c r="K2519" s="256" t="inlineStr">
        <is>
          <t>&lt; 10⁴ and &gt; 10³</t>
        </is>
      </c>
      <c r="L2519" s="256" t="inlineStr">
        <is>
          <t>535/1066/26</t>
        </is>
      </c>
      <c r="M2519" s="256" t="inlineStr">
        <is>
          <t>31.08.2026</t>
        </is>
      </c>
      <c r="N2519" s="256" t="inlineStr">
        <is>
          <t>IPH — Institute of Public Health</t>
        </is>
      </c>
      <c r="O2519" s="256" t="inlineStr">
        <is>
          <t>—</t>
        </is>
      </c>
      <c r="P2519" s="256" t="inlineStr">
        <is>
          <t>covered</t>
        </is>
      </c>
      <c r="Q2519" s="256" t="inlineStr"/>
      <c r="R2519" s="256" t="inlineStr"/>
    </row>
    <row r="2520">
      <c r="A2520" s="256" t="inlineStr">
        <is>
          <t>CoQ-PP_26-110</t>
        </is>
      </c>
      <c r="B2520" s="256" t="inlineStr">
        <is>
          <t>reissue — retest</t>
        </is>
      </c>
      <c r="C2520" s="256" t="inlineStr">
        <is>
          <t>CJ062501/1</t>
        </is>
      </c>
      <c r="D2520" s="256" t="inlineStr">
        <is>
          <t>P050222</t>
        </is>
      </c>
      <c r="E2520" s="256" t="inlineStr">
        <is>
          <t>Cap Junky</t>
        </is>
      </c>
      <c r="F2520" s="256" t="inlineStr">
        <is>
          <t>18.09.2026</t>
        </is>
      </c>
      <c r="G2520" s="256" t="inlineStr">
        <is>
          <t>9.4</t>
        </is>
      </c>
      <c r="H2520" s="256" t="inlineStr">
        <is>
          <t>Salmonella</t>
        </is>
      </c>
      <c r="I2520" s="256" t="inlineStr">
        <is>
          <t>Ph. Eur. 2.6.31 cat. C</t>
        </is>
      </c>
      <c r="J2520" s="256" t="inlineStr">
        <is>
          <t>Absence | Отсуство / 25 g</t>
        </is>
      </c>
      <c r="K2520" s="256" t="inlineStr">
        <is>
          <t>Absent | Отсутна</t>
        </is>
      </c>
      <c r="L2520" s="256" t="inlineStr">
        <is>
          <t>535/1066/26</t>
        </is>
      </c>
      <c r="M2520" s="256" t="inlineStr">
        <is>
          <t>31.08.2026</t>
        </is>
      </c>
      <c r="N2520" s="256" t="inlineStr">
        <is>
          <t>IPH — Institute of Public Health</t>
        </is>
      </c>
      <c r="O2520" s="256" t="inlineStr">
        <is>
          <t>—</t>
        </is>
      </c>
      <c r="P2520" s="256" t="inlineStr">
        <is>
          <t>covered</t>
        </is>
      </c>
      <c r="Q2520" s="256" t="inlineStr"/>
      <c r="R2520" s="256" t="inlineStr"/>
    </row>
    <row r="2521">
      <c r="A2521" s="256" t="inlineStr">
        <is>
          <t>CoQ-PP_26-110</t>
        </is>
      </c>
      <c r="B2521" s="256" t="inlineStr">
        <is>
          <t>reissue — retest</t>
        </is>
      </c>
      <c r="C2521" s="256" t="inlineStr">
        <is>
          <t>CJ062501/1</t>
        </is>
      </c>
      <c r="D2521" s="256" t="inlineStr">
        <is>
          <t>P050222</t>
        </is>
      </c>
      <c r="E2521" s="256" t="inlineStr">
        <is>
          <t>Cap Junky</t>
        </is>
      </c>
      <c r="F2521" s="256" t="inlineStr">
        <is>
          <t>18.09.2026</t>
        </is>
      </c>
      <c r="G2521" s="256" t="inlineStr">
        <is>
          <t>9.5</t>
        </is>
      </c>
      <c r="H2521" s="256" t="inlineStr">
        <is>
          <t>Escherichia coli</t>
        </is>
      </c>
      <c r="I2521" s="256" t="inlineStr">
        <is>
          <t>Ph. Eur. 2.6.13 cat. C</t>
        </is>
      </c>
      <c r="J2521" s="256" t="inlineStr">
        <is>
          <t>Absence | Отсуство / 1 g</t>
        </is>
      </c>
      <c r="K2521" s="256" t="inlineStr">
        <is>
          <t>Absent | Отсутна</t>
        </is>
      </c>
      <c r="L2521" s="256" t="inlineStr">
        <is>
          <t>535/1066/26</t>
        </is>
      </c>
      <c r="M2521" s="256" t="inlineStr">
        <is>
          <t>31.08.2026</t>
        </is>
      </c>
      <c r="N2521" s="256" t="inlineStr">
        <is>
          <t>IPH — Institute of Public Health</t>
        </is>
      </c>
      <c r="O2521" s="256" t="inlineStr">
        <is>
          <t>—</t>
        </is>
      </c>
      <c r="P2521" s="256" t="inlineStr">
        <is>
          <t>covered</t>
        </is>
      </c>
      <c r="Q2521" s="256" t="inlineStr"/>
      <c r="R2521" s="256" t="inlineStr"/>
    </row>
    <row r="2522">
      <c r="A2522" s="256" t="inlineStr">
        <is>
          <t>CoQ-PP_26-110</t>
        </is>
      </c>
      <c r="B2522" s="256" t="inlineStr">
        <is>
          <t>reissue — retest</t>
        </is>
      </c>
      <c r="C2522" s="256" t="inlineStr">
        <is>
          <t>CJ062501/1</t>
        </is>
      </c>
      <c r="D2522" s="256" t="inlineStr">
        <is>
          <t>P050222</t>
        </is>
      </c>
      <c r="E2522" s="256" t="inlineStr">
        <is>
          <t>Cap Junky</t>
        </is>
      </c>
      <c r="F2522" s="256" t="inlineStr">
        <is>
          <t>18.09.2026</t>
        </is>
      </c>
      <c r="G2522" s="256" t="inlineStr">
        <is>
          <t>9.6</t>
        </is>
      </c>
      <c r="H2522" s="256" t="inlineStr">
        <is>
          <t>Pseudomonas aeruginosa</t>
        </is>
      </c>
      <c r="I2522" s="256" t="inlineStr">
        <is>
          <t>Ph. Eur. 2.6.13 cat. C</t>
        </is>
      </c>
      <c r="J2522" s="256" t="inlineStr">
        <is>
          <t>Absence | Отсуство / 1 g</t>
        </is>
      </c>
      <c r="K2522" s="260" t="inlineStr">
        <is>
          <t>upon request — not required for release</t>
        </is>
      </c>
      <c r="L2522" s="256" t="inlineStr">
        <is>
          <t>—</t>
        </is>
      </c>
      <c r="M2522" s="256" t="inlineStr">
        <is>
          <t>—</t>
        </is>
      </c>
      <c r="N2522" s="256" t="inlineStr">
        <is>
          <t>—</t>
        </is>
      </c>
      <c r="O2522" s="256" t="inlineStr">
        <is>
          <t>—</t>
        </is>
      </c>
      <c r="P2522" s="256" t="inlineStr">
        <is>
          <t>upon request — not required for release</t>
        </is>
      </c>
      <c r="Q2522" s="256" t="inlineStr"/>
      <c r="R2522" s="256" t="inlineStr"/>
    </row>
    <row r="2523">
      <c r="A2523" s="256" t="inlineStr">
        <is>
          <t>CoQ-PP_26-110</t>
        </is>
      </c>
      <c r="B2523" s="256" t="inlineStr">
        <is>
          <t>reissue — retest</t>
        </is>
      </c>
      <c r="C2523" s="256" t="inlineStr">
        <is>
          <t>CJ062501/1</t>
        </is>
      </c>
      <c r="D2523" s="256" t="inlineStr">
        <is>
          <t>P050222</t>
        </is>
      </c>
      <c r="E2523" s="256" t="inlineStr">
        <is>
          <t>Cap Junky</t>
        </is>
      </c>
      <c r="F2523" s="256" t="inlineStr">
        <is>
          <t>18.09.2026</t>
        </is>
      </c>
      <c r="G2523" s="256" t="inlineStr">
        <is>
          <t>9.7</t>
        </is>
      </c>
      <c r="H2523" s="256" t="inlineStr">
        <is>
          <t>Staphylococcus aureus</t>
        </is>
      </c>
      <c r="I2523" s="256" t="inlineStr">
        <is>
          <t>Ph. Eur. 2.6.13 cat. C</t>
        </is>
      </c>
      <c r="J2523" s="256" t="inlineStr">
        <is>
          <t>Absence | Отсуство / 1 g</t>
        </is>
      </c>
      <c r="K2523" s="260" t="inlineStr">
        <is>
          <t>upon request — not required for release</t>
        </is>
      </c>
      <c r="L2523" s="256" t="inlineStr">
        <is>
          <t>—</t>
        </is>
      </c>
      <c r="M2523" s="256" t="inlineStr">
        <is>
          <t>—</t>
        </is>
      </c>
      <c r="N2523" s="256" t="inlineStr">
        <is>
          <t>—</t>
        </is>
      </c>
      <c r="O2523" s="256" t="inlineStr">
        <is>
          <t>—</t>
        </is>
      </c>
      <c r="P2523" s="256" t="inlineStr">
        <is>
          <t>upon request — not required for release</t>
        </is>
      </c>
      <c r="Q2523" s="256" t="inlineStr"/>
      <c r="R2523" s="256" t="inlineStr"/>
    </row>
    <row r="2524">
      <c r="A2524" s="256" t="inlineStr">
        <is>
          <t>CoQ-PP_26-110</t>
        </is>
      </c>
      <c r="B2524" s="256" t="inlineStr">
        <is>
          <t>reissue — retest</t>
        </is>
      </c>
      <c r="C2524" s="256" t="inlineStr">
        <is>
          <t>CJ062501/1</t>
        </is>
      </c>
      <c r="D2524" s="256" t="inlineStr">
        <is>
          <t>P050222</t>
        </is>
      </c>
      <c r="E2524" s="256" t="inlineStr">
        <is>
          <t>Cap Junky</t>
        </is>
      </c>
      <c r="F2524" s="256" t="inlineStr">
        <is>
          <t>18.09.2026</t>
        </is>
      </c>
      <c r="G2524" s="256" t="inlineStr">
        <is>
          <t>10.1</t>
        </is>
      </c>
      <c r="H2524" s="256" t="inlineStr">
        <is>
          <t>Aflatoxin B₁</t>
        </is>
      </c>
      <c r="I2524" s="256" t="inlineStr">
        <is>
          <t>Ph. Eur. 2.8.18 (HPLC-FLD)</t>
        </is>
      </c>
      <c r="J2524" s="256" t="inlineStr">
        <is>
          <t>≤ 2 µg/kg</t>
        </is>
      </c>
      <c r="K2524" s="256" t="inlineStr">
        <is>
          <t>ND</t>
        </is>
      </c>
      <c r="L2524" s="256" t="inlineStr">
        <is>
          <t>220-3-М/26</t>
        </is>
      </c>
      <c r="M2524" s="256" t="inlineStr">
        <is>
          <t>11.09.2026</t>
        </is>
      </c>
      <c r="N2524" s="256" t="inlineStr">
        <is>
          <t>Farmahem</t>
        </is>
      </c>
      <c r="O2524" s="256" t="inlineStr">
        <is>
          <t>17.08.2026</t>
        </is>
      </c>
      <c r="P2524" s="256" t="inlineStr">
        <is>
          <t>covered</t>
        </is>
      </c>
      <c r="Q2524" s="256" t="inlineStr"/>
      <c r="R2524" s="256" t="inlineStr"/>
    </row>
    <row r="2525">
      <c r="A2525" s="256" t="inlineStr">
        <is>
          <t>CoQ-PP_26-110</t>
        </is>
      </c>
      <c r="B2525" s="256" t="inlineStr">
        <is>
          <t>reissue — retest</t>
        </is>
      </c>
      <c r="C2525" s="256" t="inlineStr">
        <is>
          <t>CJ062501/1</t>
        </is>
      </c>
      <c r="D2525" s="256" t="inlineStr">
        <is>
          <t>P050222</t>
        </is>
      </c>
      <c r="E2525" s="256" t="inlineStr">
        <is>
          <t>Cap Junky</t>
        </is>
      </c>
      <c r="F2525" s="256" t="inlineStr">
        <is>
          <t>18.09.2026</t>
        </is>
      </c>
      <c r="G2525" s="256" t="inlineStr">
        <is>
          <t>10.2</t>
        </is>
      </c>
      <c r="H2525" s="256" t="inlineStr">
        <is>
          <t>Aflatoxins ∑</t>
        </is>
      </c>
      <c r="I2525" s="256" t="inlineStr">
        <is>
          <t>Ph. Eur. 2.8.18 (HPLC-FLD)</t>
        </is>
      </c>
      <c r="J2525" s="256" t="inlineStr">
        <is>
          <t>≤ 4 µg/kg</t>
        </is>
      </c>
      <c r="K2525" s="256" t="inlineStr">
        <is>
          <t>ND</t>
        </is>
      </c>
      <c r="L2525" s="256" t="inlineStr">
        <is>
          <t>220-3-М/26</t>
        </is>
      </c>
      <c r="M2525" s="256" t="inlineStr">
        <is>
          <t>11.09.2026</t>
        </is>
      </c>
      <c r="N2525" s="256" t="inlineStr">
        <is>
          <t>Farmahem</t>
        </is>
      </c>
      <c r="O2525" s="256" t="inlineStr">
        <is>
          <t>17.08.2026</t>
        </is>
      </c>
      <c r="P2525" s="256" t="inlineStr">
        <is>
          <t>covered</t>
        </is>
      </c>
      <c r="Q2525" s="256" t="inlineStr"/>
      <c r="R2525" s="256" t="inlineStr"/>
    </row>
    <row r="2526">
      <c r="A2526" s="256" t="inlineStr">
        <is>
          <t>CoQ-PP_26-110</t>
        </is>
      </c>
      <c r="B2526" s="256" t="inlineStr">
        <is>
          <t>reissue — retest</t>
        </is>
      </c>
      <c r="C2526" s="256" t="inlineStr">
        <is>
          <t>CJ062501/1</t>
        </is>
      </c>
      <c r="D2526" s="256" t="inlineStr">
        <is>
          <t>P050222</t>
        </is>
      </c>
      <c r="E2526" s="256" t="inlineStr">
        <is>
          <t>Cap Junky</t>
        </is>
      </c>
      <c r="F2526" s="256" t="inlineStr">
        <is>
          <t>18.09.2026</t>
        </is>
      </c>
      <c r="G2526" s="256" t="inlineStr">
        <is>
          <t>10.3</t>
        </is>
      </c>
      <c r="H2526" s="256" t="inlineStr">
        <is>
          <t>Ochratoxin A</t>
        </is>
      </c>
      <c r="I2526" s="256" t="inlineStr">
        <is>
          <t>Ph. Eur. 2.8.22 (HPLC-FLD)</t>
        </is>
      </c>
      <c r="J2526" s="256" t="inlineStr">
        <is>
          <t>≤ 20 µg/kg</t>
        </is>
      </c>
      <c r="K2526" s="256" t="inlineStr">
        <is>
          <t>ND</t>
        </is>
      </c>
      <c r="L2526" s="256" t="inlineStr">
        <is>
          <t>220-3-М/26</t>
        </is>
      </c>
      <c r="M2526" s="256" t="inlineStr">
        <is>
          <t>11.09.2026</t>
        </is>
      </c>
      <c r="N2526" s="256" t="inlineStr">
        <is>
          <t>Farmahem</t>
        </is>
      </c>
      <c r="O2526" s="256" t="inlineStr">
        <is>
          <t>17.08.2026</t>
        </is>
      </c>
      <c r="P2526" s="256" t="inlineStr">
        <is>
          <t>covered</t>
        </is>
      </c>
      <c r="Q2526" s="256" t="inlineStr"/>
      <c r="R2526" s="256" t="inlineStr"/>
    </row>
    <row r="2527">
      <c r="A2527" s="256" t="inlineStr">
        <is>
          <t>CoQ-PP_26-110</t>
        </is>
      </c>
      <c r="B2527" s="256" t="inlineStr">
        <is>
          <t>reissue — retest</t>
        </is>
      </c>
      <c r="C2527" s="256" t="inlineStr">
        <is>
          <t>CJ062501/1</t>
        </is>
      </c>
      <c r="D2527" s="256" t="inlineStr">
        <is>
          <t>P050222</t>
        </is>
      </c>
      <c r="E2527" s="256" t="inlineStr">
        <is>
          <t>Cap Junky</t>
        </is>
      </c>
      <c r="F2527" s="256" t="inlineStr">
        <is>
          <t>18.09.2026</t>
        </is>
      </c>
      <c r="G2527" s="256" t="inlineStr">
        <is>
          <t>11.1</t>
        </is>
      </c>
      <c r="H2527" s="256" t="inlineStr">
        <is>
          <t>Lead (Pb)</t>
        </is>
      </c>
      <c r="I2527" s="256" t="inlineStr">
        <is>
          <t>Ph. Eur. 2.4.27 (ICP-MS)</t>
        </is>
      </c>
      <c r="J2527" s="256" t="inlineStr">
        <is>
          <t>≤ 0.5 mg/kg</t>
        </is>
      </c>
      <c r="K2527" s="256" t="inlineStr">
        <is>
          <t>0.037</t>
        </is>
      </c>
      <c r="L2527" s="256" t="inlineStr">
        <is>
          <t>4907/2025</t>
        </is>
      </c>
      <c r="M2527" s="256" t="inlineStr">
        <is>
          <t>24.10.2025</t>
        </is>
      </c>
      <c r="N2527" s="256" t="inlineStr">
        <is>
          <t>IPH — Institute of Public Health</t>
        </is>
      </c>
      <c r="O2527" s="256" t="inlineStr">
        <is>
          <t>10.10.2025</t>
        </is>
      </c>
      <c r="P2527" s="256" t="inlineStr">
        <is>
          <t>carried from the initial testing (CoQ-PP-2025-0018) — covered</t>
        </is>
      </c>
      <c r="Q2527" s="256" t="inlineStr"/>
      <c r="R2527" s="256" t="inlineStr"/>
    </row>
    <row r="2528">
      <c r="A2528" s="256" t="inlineStr">
        <is>
          <t>CoQ-PP_26-110</t>
        </is>
      </c>
      <c r="B2528" s="256" t="inlineStr">
        <is>
          <t>reissue — retest</t>
        </is>
      </c>
      <c r="C2528" s="256" t="inlineStr">
        <is>
          <t>CJ062501/1</t>
        </is>
      </c>
      <c r="D2528" s="256" t="inlineStr">
        <is>
          <t>P050222</t>
        </is>
      </c>
      <c r="E2528" s="256" t="inlineStr">
        <is>
          <t>Cap Junky</t>
        </is>
      </c>
      <c r="F2528" s="256" t="inlineStr">
        <is>
          <t>18.09.2026</t>
        </is>
      </c>
      <c r="G2528" s="256" t="inlineStr">
        <is>
          <t>11.2</t>
        </is>
      </c>
      <c r="H2528" s="256" t="inlineStr">
        <is>
          <t>Cadmium (Cd)</t>
        </is>
      </c>
      <c r="I2528" s="256" t="inlineStr">
        <is>
          <t>Ph. Eur. 2.4.27 (ICP-MS)</t>
        </is>
      </c>
      <c r="J2528" s="256" t="inlineStr">
        <is>
          <t>≤ 0.3 mg/kg</t>
        </is>
      </c>
      <c r="K2528" s="256" t="inlineStr">
        <is>
          <t>0.002</t>
        </is>
      </c>
      <c r="L2528" s="256" t="inlineStr">
        <is>
          <t>4907/2025</t>
        </is>
      </c>
      <c r="M2528" s="256" t="inlineStr">
        <is>
          <t>24.10.2025</t>
        </is>
      </c>
      <c r="N2528" s="256" t="inlineStr">
        <is>
          <t>IPH — Institute of Public Health</t>
        </is>
      </c>
      <c r="O2528" s="256" t="inlineStr">
        <is>
          <t>10.10.2025</t>
        </is>
      </c>
      <c r="P2528" s="256" t="inlineStr">
        <is>
          <t>carried from the initial testing (CoQ-PP-2025-0018) — covered</t>
        </is>
      </c>
      <c r="Q2528" s="256" t="inlineStr"/>
      <c r="R2528" s="256" t="inlineStr"/>
    </row>
    <row r="2529">
      <c r="A2529" s="256" t="inlineStr">
        <is>
          <t>CoQ-PP_26-110</t>
        </is>
      </c>
      <c r="B2529" s="256" t="inlineStr">
        <is>
          <t>reissue — retest</t>
        </is>
      </c>
      <c r="C2529" s="256" t="inlineStr">
        <is>
          <t>CJ062501/1</t>
        </is>
      </c>
      <c r="D2529" s="256" t="inlineStr">
        <is>
          <t>P050222</t>
        </is>
      </c>
      <c r="E2529" s="256" t="inlineStr">
        <is>
          <t>Cap Junky</t>
        </is>
      </c>
      <c r="F2529" s="256" t="inlineStr">
        <is>
          <t>18.09.2026</t>
        </is>
      </c>
      <c r="G2529" s="256" t="inlineStr">
        <is>
          <t>11.3</t>
        </is>
      </c>
      <c r="H2529" s="256" t="inlineStr">
        <is>
          <t>Arsenic (As)</t>
        </is>
      </c>
      <c r="I2529" s="256" t="inlineStr">
        <is>
          <t>Ph. Eur. 2.4.27 (ICP-MS)</t>
        </is>
      </c>
      <c r="J2529" s="256" t="inlineStr">
        <is>
          <t>≤ 0.2 mg/kg</t>
        </is>
      </c>
      <c r="K2529" s="256" t="inlineStr">
        <is>
          <t>0.027</t>
        </is>
      </c>
      <c r="L2529" s="256" t="inlineStr">
        <is>
          <t>4907/2025</t>
        </is>
      </c>
      <c r="M2529" s="256" t="inlineStr">
        <is>
          <t>24.10.2025</t>
        </is>
      </c>
      <c r="N2529" s="256" t="inlineStr">
        <is>
          <t>IPH — Institute of Public Health</t>
        </is>
      </c>
      <c r="O2529" s="256" t="inlineStr">
        <is>
          <t>10.10.2025</t>
        </is>
      </c>
      <c r="P2529" s="256" t="inlineStr">
        <is>
          <t>carried from the initial testing (CoQ-PP-2025-0018) — covered</t>
        </is>
      </c>
      <c r="Q2529" s="256" t="inlineStr"/>
      <c r="R2529" s="256" t="inlineStr"/>
    </row>
    <row r="2530">
      <c r="A2530" s="256" t="inlineStr">
        <is>
          <t>CoQ-PP_26-110</t>
        </is>
      </c>
      <c r="B2530" s="256" t="inlineStr">
        <is>
          <t>reissue — retest</t>
        </is>
      </c>
      <c r="C2530" s="256" t="inlineStr">
        <is>
          <t>CJ062501/1</t>
        </is>
      </c>
      <c r="D2530" s="256" t="inlineStr">
        <is>
          <t>P050222</t>
        </is>
      </c>
      <c r="E2530" s="256" t="inlineStr">
        <is>
          <t>Cap Junky</t>
        </is>
      </c>
      <c r="F2530" s="256" t="inlineStr">
        <is>
          <t>18.09.2026</t>
        </is>
      </c>
      <c r="G2530" s="256" t="inlineStr">
        <is>
          <t>11.4</t>
        </is>
      </c>
      <c r="H2530" s="256" t="inlineStr">
        <is>
          <t>Mercury (Hg)</t>
        </is>
      </c>
      <c r="I2530" s="256" t="inlineStr">
        <is>
          <t>Ph. Eur. 2.4.27 (ICP-MS)</t>
        </is>
      </c>
      <c r="J2530" s="256" t="inlineStr">
        <is>
          <t>≤ 0.1 mg/kg</t>
        </is>
      </c>
      <c r="K2530" s="256" t="inlineStr">
        <is>
          <t>0.017</t>
        </is>
      </c>
      <c r="L2530" s="256" t="inlineStr">
        <is>
          <t>4907/2025</t>
        </is>
      </c>
      <c r="M2530" s="256" t="inlineStr">
        <is>
          <t>24.10.2025</t>
        </is>
      </c>
      <c r="N2530" s="256" t="inlineStr">
        <is>
          <t>IPH — Institute of Public Health</t>
        </is>
      </c>
      <c r="O2530" s="256" t="inlineStr">
        <is>
          <t>10.10.2025</t>
        </is>
      </c>
      <c r="P2530" s="256" t="inlineStr">
        <is>
          <t>carried from the initial testing (CoQ-PP-2025-0018) — covered</t>
        </is>
      </c>
      <c r="Q2530" s="256" t="inlineStr"/>
      <c r="R2530" s="256" t="inlineStr"/>
    </row>
    <row r="2531">
      <c r="A2531" s="256" t="inlineStr">
        <is>
          <t>CoQ-PP_26-110</t>
        </is>
      </c>
      <c r="B2531" s="256" t="inlineStr">
        <is>
          <t>reissue — retest</t>
        </is>
      </c>
      <c r="C2531" s="256" t="inlineStr">
        <is>
          <t>CJ062501/1</t>
        </is>
      </c>
      <c r="D2531" s="256" t="inlineStr">
        <is>
          <t>P050222</t>
        </is>
      </c>
      <c r="E2531" s="256" t="inlineStr">
        <is>
          <t>Cap Junky</t>
        </is>
      </c>
      <c r="F2531" s="256" t="inlineStr">
        <is>
          <t>18.09.2026</t>
        </is>
      </c>
      <c r="G2531" s="256" t="inlineStr">
        <is>
          <t>12</t>
        </is>
      </c>
      <c r="H2531" s="256" t="inlineStr">
        <is>
          <t>Pesticide Residues</t>
        </is>
      </c>
      <c r="I2531" s="256" t="inlineStr">
        <is>
          <t>Ph. Eur. 2.8.13 (LC-MS/MS) · CUMCS Equivalency</t>
        </is>
      </c>
      <c r="J2531" s="256" t="inlineStr">
        <is>
          <t>≤ LOQ as per Ph. Eur. 2.8.13 · ≤ LOQ as per CUMCS Equivalency</t>
        </is>
      </c>
      <c r="K2531" s="256" t="inlineStr">
        <is>
          <t>ND</t>
        </is>
      </c>
      <c r="L2531" s="256" t="inlineStr">
        <is>
          <t>4907/2025</t>
        </is>
      </c>
      <c r="M2531" s="256" t="inlineStr">
        <is>
          <t>24.10.2025</t>
        </is>
      </c>
      <c r="N2531" s="256" t="inlineStr">
        <is>
          <t>IPH — Institute of Public Health</t>
        </is>
      </c>
      <c r="O2531" s="256" t="inlineStr">
        <is>
          <t>10.10.2025</t>
        </is>
      </c>
      <c r="P2531" s="256" t="inlineStr">
        <is>
          <t>carried from the initial testing (CoQ-PP-2025-0018) — covered</t>
        </is>
      </c>
      <c r="Q2531" s="256" t="inlineStr"/>
      <c r="R2531" s="256" t="inlineStr"/>
    </row>
    <row r="2532">
      <c r="A2532" s="256" t="inlineStr">
        <is>
          <t>CoQ-PP_26-111</t>
        </is>
      </c>
      <c r="B2532" s="256" t="inlineStr">
        <is>
          <t>reissue — retest</t>
        </is>
      </c>
      <c r="C2532" s="256" t="inlineStr">
        <is>
          <t>CJ082501/1</t>
        </is>
      </c>
      <c r="D2532" s="256" t="inlineStr">
        <is>
          <t>P060022</t>
        </is>
      </c>
      <c r="E2532" s="256" t="inlineStr">
        <is>
          <t>Cap Junky</t>
        </is>
      </c>
      <c r="F2532" s="256" t="inlineStr">
        <is>
          <t>18.09.2026</t>
        </is>
      </c>
      <c r="G2532" s="256" t="inlineStr">
        <is>
          <t>1</t>
        </is>
      </c>
      <c r="H2532" s="256" t="inlineStr">
        <is>
          <t>Identification A, Appearance · Macroscopic</t>
        </is>
      </c>
      <c r="I2532" s="256" t="inlineStr">
        <is>
          <t>Ph. Eur. mon. 3028</t>
        </is>
      </c>
      <c r="J2532" s="256" t="inlineStr">
        <is>
          <t>Conforms to the monograph for Cannabis flos (07/2024:3028) in Ph. Eur. 11.0 | Согласно монографија за Cannabis flos (07/2024:3028) во Ph. Eur. 11.0</t>
        </is>
      </c>
      <c r="K2532" s="256" t="inlineStr">
        <is>
          <t>Conforms | Одговара</t>
        </is>
      </c>
      <c r="L2532" s="256" t="inlineStr">
        <is>
          <t>iCoA-PP_26-127</t>
        </is>
      </c>
      <c r="M2532" s="256" t="inlineStr">
        <is>
          <t>17.08.2026</t>
        </is>
      </c>
      <c r="N2532" s="256" t="inlineStr">
        <is>
          <t>Purely Plant GmbH (in-house)</t>
        </is>
      </c>
      <c r="O2532" s="256" t="inlineStr">
        <is>
          <t>—</t>
        </is>
      </c>
      <c r="P2532" s="256" t="inlineStr">
        <is>
          <t>covered</t>
        </is>
      </c>
      <c r="Q2532" s="256" t="inlineStr">
        <is>
          <t>Farmahem — Ident A + B + C with the Assay, at retest</t>
        </is>
      </c>
      <c r="R2532" s="256" t="inlineStr"/>
    </row>
    <row r="2533">
      <c r="A2533" s="256" t="inlineStr">
        <is>
          <t>CoQ-PP_26-111</t>
        </is>
      </c>
      <c r="B2533" s="256" t="inlineStr">
        <is>
          <t>reissue — retest</t>
        </is>
      </c>
      <c r="C2533" s="256" t="inlineStr">
        <is>
          <t>CJ082501/1</t>
        </is>
      </c>
      <c r="D2533" s="256" t="inlineStr">
        <is>
          <t>P060022</t>
        </is>
      </c>
      <c r="E2533" s="256" t="inlineStr">
        <is>
          <t>Cap Junky</t>
        </is>
      </c>
      <c r="F2533" s="256" t="inlineStr">
        <is>
          <t>18.09.2026</t>
        </is>
      </c>
      <c r="G2533" s="256" t="inlineStr">
        <is>
          <t>2</t>
        </is>
      </c>
      <c r="H2533" s="256" t="inlineStr">
        <is>
          <t>Identification B · Microscopic</t>
        </is>
      </c>
      <c r="I2533" s="256" t="inlineStr">
        <is>
          <t>Ph. Eur. 2.8.23 (microscopy)</t>
        </is>
      </c>
      <c r="J2533" s="256" t="inlineStr">
        <is>
          <t>Conforms to the monograph for Cannabis flos (07/2024:3028) in Ph. Eur. 11.0 | Согласно монографија за Cannabis flos (07/2024:3028) во Ph. Eur. 11.0</t>
        </is>
      </c>
      <c r="K2533" s="256" t="inlineStr">
        <is>
          <t>Conforms | Одговара</t>
        </is>
      </c>
      <c r="L2533" s="256" t="inlineStr">
        <is>
          <t>iCoA-PP_26-127</t>
        </is>
      </c>
      <c r="M2533" s="256" t="inlineStr">
        <is>
          <t>17.08.2026</t>
        </is>
      </c>
      <c r="N2533" s="256" t="inlineStr">
        <is>
          <t>Purely Plant GmbH (in-house)</t>
        </is>
      </c>
      <c r="O2533" s="256" t="inlineStr">
        <is>
          <t>—</t>
        </is>
      </c>
      <c r="P2533" s="256" t="inlineStr">
        <is>
          <t>covered</t>
        </is>
      </c>
      <c r="Q2533" s="256" t="inlineStr">
        <is>
          <t>Farmahem — Ident A + B + C with the Assay, at retest</t>
        </is>
      </c>
      <c r="R2533" s="256" t="inlineStr"/>
    </row>
    <row r="2534">
      <c r="A2534" s="256" t="inlineStr">
        <is>
          <t>CoQ-PP_26-111</t>
        </is>
      </c>
      <c r="B2534" s="256" t="inlineStr">
        <is>
          <t>reissue — retest</t>
        </is>
      </c>
      <c r="C2534" s="256" t="inlineStr">
        <is>
          <t>CJ082501/1</t>
        </is>
      </c>
      <c r="D2534" s="256" t="inlineStr">
        <is>
          <t>P060022</t>
        </is>
      </c>
      <c r="E2534" s="256" t="inlineStr">
        <is>
          <t>Cap Junky</t>
        </is>
      </c>
      <c r="F2534" s="256" t="inlineStr">
        <is>
          <t>18.09.2026</t>
        </is>
      </c>
      <c r="G2534" s="256" t="inlineStr">
        <is>
          <t>3</t>
        </is>
      </c>
      <c r="H2534" s="256" t="inlineStr">
        <is>
          <t>Identification C · HPLC/HPTLC</t>
        </is>
      </c>
      <c r="I2534" s="256" t="inlineStr">
        <is>
          <t>Ph. Eur. 2.2.29 (3028)</t>
        </is>
      </c>
      <c r="J2534" s="256" t="inlineStr">
        <is>
          <t>Conforms to the monograph for Cannabis flos (07/2024:3028) in Ph. Eur. 11.0 | Согласно монографија за Cannabis flos (07/2024:3028) во Ph. Eur. 11.0</t>
        </is>
      </c>
      <c r="K2534" s="256" t="inlineStr">
        <is>
          <t>Conforms | Одговара</t>
        </is>
      </c>
      <c r="L2534" s="256" t="inlineStr">
        <is>
          <t>220-4-К/26</t>
        </is>
      </c>
      <c r="M2534" s="256" t="inlineStr">
        <is>
          <t>25.08.2026</t>
        </is>
      </c>
      <c r="N2534" s="256" t="inlineStr">
        <is>
          <t>Farmahem</t>
        </is>
      </c>
      <c r="O2534" s="256" t="inlineStr">
        <is>
          <t>17.08.2026</t>
        </is>
      </c>
      <c r="P2534" s="256" t="inlineStr">
        <is>
          <t>covered</t>
        </is>
      </c>
      <c r="Q2534" s="256" t="inlineStr"/>
      <c r="R2534" s="256" t="inlineStr"/>
    </row>
    <row r="2535">
      <c r="A2535" s="256" t="inlineStr">
        <is>
          <t>CoQ-PP_26-111</t>
        </is>
      </c>
      <c r="B2535" s="256" t="inlineStr">
        <is>
          <t>reissue — retest</t>
        </is>
      </c>
      <c r="C2535" s="256" t="inlineStr">
        <is>
          <t>CJ082501/1</t>
        </is>
      </c>
      <c r="D2535" s="256" t="inlineStr">
        <is>
          <t>P060022</t>
        </is>
      </c>
      <c r="E2535" s="256" t="inlineStr">
        <is>
          <t>Cap Junky</t>
        </is>
      </c>
      <c r="F2535" s="256" t="inlineStr">
        <is>
          <t>18.09.2026</t>
        </is>
      </c>
      <c r="G2535" s="256" t="inlineStr">
        <is>
          <t>4</t>
        </is>
      </c>
      <c r="H2535" s="256" t="inlineStr">
        <is>
          <t>Assay — Total Δ⁹-THC</t>
        </is>
      </c>
      <c r="I2535" s="256" t="inlineStr">
        <is>
          <t>Ph. Eur. 2.2.29 (HPLC)</t>
        </is>
      </c>
      <c r="J2535" s="256" t="inlineStr">
        <is>
          <t>26.40 – 29.59 %  (grade I, nominal 28.00 ± 1.60)</t>
        </is>
      </c>
      <c r="K2535" s="256" t="inlineStr">
        <is>
          <t>28.34</t>
        </is>
      </c>
      <c r="L2535" s="256" t="inlineStr">
        <is>
          <t>220-4-К/26</t>
        </is>
      </c>
      <c r="M2535" s="256" t="inlineStr">
        <is>
          <t>25.08.2026</t>
        </is>
      </c>
      <c r="N2535" s="256" t="inlineStr">
        <is>
          <t>Farmahem</t>
        </is>
      </c>
      <c r="O2535" s="256" t="inlineStr">
        <is>
          <t>17.08.2026</t>
        </is>
      </c>
      <c r="P2535" s="256" t="inlineStr">
        <is>
          <t>covered</t>
        </is>
      </c>
      <c r="Q2535" s="256" t="inlineStr"/>
      <c r="R2535" s="256" t="inlineStr"/>
    </row>
    <row r="2536">
      <c r="A2536" s="256" t="inlineStr">
        <is>
          <t>CoQ-PP_26-111</t>
        </is>
      </c>
      <c r="B2536" s="256" t="inlineStr">
        <is>
          <t>reissue — retest</t>
        </is>
      </c>
      <c r="C2536" s="256" t="inlineStr">
        <is>
          <t>CJ082501/1</t>
        </is>
      </c>
      <c r="D2536" s="256" t="inlineStr">
        <is>
          <t>P060022</t>
        </is>
      </c>
      <c r="E2536" s="256" t="inlineStr">
        <is>
          <t>Cap Junky</t>
        </is>
      </c>
      <c r="F2536" s="256" t="inlineStr">
        <is>
          <t>18.09.2026</t>
        </is>
      </c>
      <c r="G2536" s="256" t="inlineStr">
        <is>
          <t>5</t>
        </is>
      </c>
      <c r="H2536" s="256" t="inlineStr">
        <is>
          <t>Assay — Total CBD</t>
        </is>
      </c>
      <c r="I2536" s="256" t="inlineStr">
        <is>
          <t>Ph. Eur. 2.2.29 (HPLC) · CBD + CBDA x 0.877</t>
        </is>
      </c>
      <c r="J2536" s="256" t="inlineStr">
        <is>
          <t>≤ 1.0%, w/w</t>
        </is>
      </c>
      <c r="K2536" s="256" t="inlineStr">
        <is>
          <t>&lt; LOQ</t>
        </is>
      </c>
      <c r="L2536" s="256" t="inlineStr">
        <is>
          <t>220-4-К/26</t>
        </is>
      </c>
      <c r="M2536" s="256" t="inlineStr">
        <is>
          <t>25.08.2026</t>
        </is>
      </c>
      <c r="N2536" s="256" t="inlineStr">
        <is>
          <t>Farmahem</t>
        </is>
      </c>
      <c r="O2536" s="256" t="inlineStr">
        <is>
          <t>17.08.2026</t>
        </is>
      </c>
      <c r="P2536" s="256" t="inlineStr">
        <is>
          <t>covered</t>
        </is>
      </c>
      <c r="Q2536" s="256" t="inlineStr"/>
      <c r="R2536" s="256" t="inlineStr"/>
    </row>
    <row r="2537">
      <c r="A2537" s="256" t="inlineStr">
        <is>
          <t>CoQ-PP_26-111</t>
        </is>
      </c>
      <c r="B2537" s="256" t="inlineStr">
        <is>
          <t>reissue — retest</t>
        </is>
      </c>
      <c r="C2537" s="256" t="inlineStr">
        <is>
          <t>CJ082501/1</t>
        </is>
      </c>
      <c r="D2537" s="256" t="inlineStr">
        <is>
          <t>P060022</t>
        </is>
      </c>
      <c r="E2537" s="256" t="inlineStr">
        <is>
          <t>Cap Junky</t>
        </is>
      </c>
      <c r="F2537" s="256" t="inlineStr">
        <is>
          <t>18.09.2026</t>
        </is>
      </c>
      <c r="G2537" s="256" t="inlineStr">
        <is>
          <t>6</t>
        </is>
      </c>
      <c r="H2537" s="256" t="inlineStr">
        <is>
          <t>Total CBN</t>
        </is>
      </c>
      <c r="I2537" s="256" t="inlineStr">
        <is>
          <t>Ph. Eur. 2.2.29 (HPLC) · CBN + CBNA x 0.876</t>
        </is>
      </c>
      <c r="J2537" s="256" t="inlineStr">
        <is>
          <t>≤ 1.0%, w/w</t>
        </is>
      </c>
      <c r="K2537" s="256" t="inlineStr">
        <is>
          <t>&lt; LOQ</t>
        </is>
      </c>
      <c r="L2537" s="256" t="inlineStr">
        <is>
          <t>220-4-К/26</t>
        </is>
      </c>
      <c r="M2537" s="256" t="inlineStr">
        <is>
          <t>25.08.2026</t>
        </is>
      </c>
      <c r="N2537" s="256" t="inlineStr">
        <is>
          <t>Farmahem</t>
        </is>
      </c>
      <c r="O2537" s="256" t="inlineStr">
        <is>
          <t>17.08.2026</t>
        </is>
      </c>
      <c r="P2537" s="256" t="inlineStr">
        <is>
          <t>covered</t>
        </is>
      </c>
      <c r="Q2537" s="256" t="inlineStr"/>
      <c r="R2537" s="256" t="inlineStr"/>
    </row>
    <row r="2538">
      <c r="A2538" s="256" t="inlineStr">
        <is>
          <t>CoQ-PP_26-111</t>
        </is>
      </c>
      <c r="B2538" s="256" t="inlineStr">
        <is>
          <t>reissue — retest</t>
        </is>
      </c>
      <c r="C2538" s="256" t="inlineStr">
        <is>
          <t>CJ082501/1</t>
        </is>
      </c>
      <c r="D2538" s="256" t="inlineStr">
        <is>
          <t>P060022</t>
        </is>
      </c>
      <c r="E2538" s="256" t="inlineStr">
        <is>
          <t>Cap Junky</t>
        </is>
      </c>
      <c r="F2538" s="256" t="inlineStr">
        <is>
          <t>18.09.2026</t>
        </is>
      </c>
      <c r="G2538" s="256" t="inlineStr">
        <is>
          <t>7</t>
        </is>
      </c>
      <c r="H2538" s="256" t="inlineStr">
        <is>
          <t>Foreign Matter</t>
        </is>
      </c>
      <c r="I2538" s="256" t="inlineStr">
        <is>
          <t>Ph. Eur. 2.8.2 · In-house · интерна</t>
        </is>
      </c>
      <c r="J2538" s="256" t="inlineStr">
        <is>
          <t>≤ 2.0% / 25–50 g · &lt; 1 cm leaves | листови, no seeds | без семки</t>
        </is>
      </c>
      <c r="K2538" s="256" t="inlineStr">
        <is>
          <t>Conforms | Одговара</t>
        </is>
      </c>
      <c r="L2538" s="256" t="inlineStr">
        <is>
          <t>iCoA-PP_26-127</t>
        </is>
      </c>
      <c r="M2538" s="256" t="inlineStr">
        <is>
          <t>17.08.2026</t>
        </is>
      </c>
      <c r="N2538" s="256" t="inlineStr">
        <is>
          <t>Purely Plant GmbH (in-house)</t>
        </is>
      </c>
      <c r="O2538" s="256" t="inlineStr">
        <is>
          <t>—</t>
        </is>
      </c>
      <c r="P2538" s="256" t="inlineStr">
        <is>
          <t>covered</t>
        </is>
      </c>
      <c r="Q2538" s="256" t="inlineStr">
        <is>
          <t>Purely Plant laboratory — iCoA covering Foreign matter</t>
        </is>
      </c>
      <c r="R2538" s="256" t="inlineStr"/>
    </row>
    <row r="2539">
      <c r="A2539" s="256" t="inlineStr">
        <is>
          <t>CoQ-PP_26-111</t>
        </is>
      </c>
      <c r="B2539" s="256" t="inlineStr">
        <is>
          <t>reissue — retest</t>
        </is>
      </c>
      <c r="C2539" s="256" t="inlineStr">
        <is>
          <t>CJ082501/1</t>
        </is>
      </c>
      <c r="D2539" s="256" t="inlineStr">
        <is>
          <t>P060022</t>
        </is>
      </c>
      <c r="E2539" s="256" t="inlineStr">
        <is>
          <t>Cap Junky</t>
        </is>
      </c>
      <c r="F2539" s="256" t="inlineStr">
        <is>
          <t>18.09.2026</t>
        </is>
      </c>
      <c r="G2539" s="256" t="inlineStr">
        <is>
          <t>8</t>
        </is>
      </c>
      <c r="H2539" s="256" t="inlineStr">
        <is>
          <t>Loss on Drying</t>
        </is>
      </c>
      <c r="I2539" s="256" t="inlineStr">
        <is>
          <t>DAB 2018 monograph Cannabis flos, 2.2.32 — loss on drying (CNP, before its Ph. Eur. 3028 accreditation)</t>
        </is>
      </c>
      <c r="J2539" s="256" t="inlineStr">
        <is>
          <t>≤ 12.0%</t>
        </is>
      </c>
      <c r="K2539" s="256" t="inlineStr">
        <is>
          <t>7.21</t>
        </is>
      </c>
      <c r="L2539" s="256" t="inlineStr">
        <is>
          <t>ППК26002</t>
        </is>
      </c>
      <c r="M2539" s="256" t="inlineStr">
        <is>
          <t>21.01.2026</t>
        </is>
      </c>
      <c r="N2539" s="256" t="inlineStr">
        <is>
          <t>UKIM Faculty of Pharmacy — Center for Natural Products</t>
        </is>
      </c>
      <c r="O2539" s="256" t="inlineStr">
        <is>
          <t>08.01.2026</t>
        </is>
      </c>
      <c r="P2539" s="256" t="inlineStr">
        <is>
          <t>carried from the initial testing (CoQ-PP-2026-0002) — covered</t>
        </is>
      </c>
      <c r="Q2539" s="256" t="inlineStr"/>
      <c r="R2539" s="256" t="inlineStr"/>
    </row>
    <row r="2540">
      <c r="A2540" s="256" t="inlineStr">
        <is>
          <t>CoQ-PP_26-111</t>
        </is>
      </c>
      <c r="B2540" s="256" t="inlineStr">
        <is>
          <t>reissue — retest</t>
        </is>
      </c>
      <c r="C2540" s="256" t="inlineStr">
        <is>
          <t>CJ082501/1</t>
        </is>
      </c>
      <c r="D2540" s="256" t="inlineStr">
        <is>
          <t>P060022</t>
        </is>
      </c>
      <c r="E2540" s="256" t="inlineStr">
        <is>
          <t>Cap Junky</t>
        </is>
      </c>
      <c r="F2540" s="256" t="inlineStr">
        <is>
          <t>18.09.2026</t>
        </is>
      </c>
      <c r="G2540" s="256" t="inlineStr">
        <is>
          <t>9.1</t>
        </is>
      </c>
      <c r="H2540" s="256" t="inlineStr">
        <is>
          <t>TAMC</t>
        </is>
      </c>
      <c r="I2540" s="256" t="inlineStr">
        <is>
          <t>Ph. Eur. 2.6.12 cat. C</t>
        </is>
      </c>
      <c r="J2540" s="256" t="inlineStr">
        <is>
          <t>≤ 10⁵ CFU/g</t>
        </is>
      </c>
      <c r="K2540" s="256" t="inlineStr">
        <is>
          <t>1.5 × 10²</t>
        </is>
      </c>
      <c r="L2540" s="256" t="inlineStr">
        <is>
          <t>8/0011/26</t>
        </is>
      </c>
      <c r="M2540" s="256" t="inlineStr">
        <is>
          <t>20.01.2026</t>
        </is>
      </c>
      <c r="N2540" s="256" t="inlineStr">
        <is>
          <t>IPH — Institute of Public Health</t>
        </is>
      </c>
      <c r="O2540" s="256" t="inlineStr">
        <is>
          <t>12.01.2025</t>
        </is>
      </c>
      <c r="P2540" s="256" t="inlineStr">
        <is>
          <t>carried from the initial testing (CoQ-PP-2026-0002) — covered</t>
        </is>
      </c>
      <c r="Q2540" s="256" t="inlineStr"/>
      <c r="R2540" s="256" t="inlineStr"/>
    </row>
    <row r="2541">
      <c r="A2541" s="256" t="inlineStr">
        <is>
          <t>CoQ-PP_26-111</t>
        </is>
      </c>
      <c r="B2541" s="256" t="inlineStr">
        <is>
          <t>reissue — retest</t>
        </is>
      </c>
      <c r="C2541" s="256" t="inlineStr">
        <is>
          <t>CJ082501/1</t>
        </is>
      </c>
      <c r="D2541" s="256" t="inlineStr">
        <is>
          <t>P060022</t>
        </is>
      </c>
      <c r="E2541" s="256" t="inlineStr">
        <is>
          <t>Cap Junky</t>
        </is>
      </c>
      <c r="F2541" s="256" t="inlineStr">
        <is>
          <t>18.09.2026</t>
        </is>
      </c>
      <c r="G2541" s="256" t="inlineStr">
        <is>
          <t>9.2</t>
        </is>
      </c>
      <c r="H2541" s="256" t="inlineStr">
        <is>
          <t>TYMC</t>
        </is>
      </c>
      <c r="I2541" s="256" t="inlineStr">
        <is>
          <t>Ph. Eur. 2.6.12 cat. C</t>
        </is>
      </c>
      <c r="J2541" s="256" t="inlineStr">
        <is>
          <t>≤ 10⁴ CFU/g</t>
        </is>
      </c>
      <c r="K2541" s="256" t="inlineStr">
        <is>
          <t>1.3 × 10²</t>
        </is>
      </c>
      <c r="L2541" s="256" t="inlineStr">
        <is>
          <t>8/0011/26</t>
        </is>
      </c>
      <c r="M2541" s="256" t="inlineStr">
        <is>
          <t>20.01.2026</t>
        </is>
      </c>
      <c r="N2541" s="256" t="inlineStr">
        <is>
          <t>IPH — Institute of Public Health</t>
        </is>
      </c>
      <c r="O2541" s="256" t="inlineStr">
        <is>
          <t>12.01.2025</t>
        </is>
      </c>
      <c r="P2541" s="256" t="inlineStr">
        <is>
          <t>carried from the initial testing (CoQ-PP-2026-0002) — covered</t>
        </is>
      </c>
      <c r="Q2541" s="256" t="inlineStr"/>
      <c r="R2541" s="256" t="inlineStr"/>
    </row>
    <row r="2542">
      <c r="A2542" s="256" t="inlineStr">
        <is>
          <t>CoQ-PP_26-111</t>
        </is>
      </c>
      <c r="B2542" s="256" t="inlineStr">
        <is>
          <t>reissue — retest</t>
        </is>
      </c>
      <c r="C2542" s="256" t="inlineStr">
        <is>
          <t>CJ082501/1</t>
        </is>
      </c>
      <c r="D2542" s="256" t="inlineStr">
        <is>
          <t>P060022</t>
        </is>
      </c>
      <c r="E2542" s="256" t="inlineStr">
        <is>
          <t>Cap Junky</t>
        </is>
      </c>
      <c r="F2542" s="256" t="inlineStr">
        <is>
          <t>18.09.2026</t>
        </is>
      </c>
      <c r="G2542" s="256" t="inlineStr">
        <is>
          <t>9.3</t>
        </is>
      </c>
      <c r="H2542" s="256" t="inlineStr">
        <is>
          <t>Bile-tolerant gram-neg.</t>
        </is>
      </c>
      <c r="I2542" s="256" t="inlineStr">
        <is>
          <t>Ph. Eur. 2.6.31 cat. C</t>
        </is>
      </c>
      <c r="J2542" s="256" t="inlineStr">
        <is>
          <t>≤ 10⁴ CFU/g</t>
        </is>
      </c>
      <c r="K2542" s="256" t="inlineStr">
        <is>
          <t>&lt; 10</t>
        </is>
      </c>
      <c r="L2542" s="256" t="inlineStr">
        <is>
          <t>8/0011/26</t>
        </is>
      </c>
      <c r="M2542" s="256" t="inlineStr">
        <is>
          <t>20.01.2026</t>
        </is>
      </c>
      <c r="N2542" s="256" t="inlineStr">
        <is>
          <t>IPH — Institute of Public Health</t>
        </is>
      </c>
      <c r="O2542" s="256" t="inlineStr">
        <is>
          <t>12.01.2025</t>
        </is>
      </c>
      <c r="P2542" s="256" t="inlineStr">
        <is>
          <t>carried from the initial testing (CoQ-PP-2026-0002) — covered</t>
        </is>
      </c>
      <c r="Q2542" s="256" t="inlineStr"/>
      <c r="R2542" s="256" t="inlineStr"/>
    </row>
    <row r="2543">
      <c r="A2543" s="256" t="inlineStr">
        <is>
          <t>CoQ-PP_26-111</t>
        </is>
      </c>
      <c r="B2543" s="256" t="inlineStr">
        <is>
          <t>reissue — retest</t>
        </is>
      </c>
      <c r="C2543" s="256" t="inlineStr">
        <is>
          <t>CJ082501/1</t>
        </is>
      </c>
      <c r="D2543" s="256" t="inlineStr">
        <is>
          <t>P060022</t>
        </is>
      </c>
      <c r="E2543" s="256" t="inlineStr">
        <is>
          <t>Cap Junky</t>
        </is>
      </c>
      <c r="F2543" s="256" t="inlineStr">
        <is>
          <t>18.09.2026</t>
        </is>
      </c>
      <c r="G2543" s="256" t="inlineStr">
        <is>
          <t>9.4</t>
        </is>
      </c>
      <c r="H2543" s="256" t="inlineStr">
        <is>
          <t>Salmonella</t>
        </is>
      </c>
      <c r="I2543" s="256" t="inlineStr">
        <is>
          <t>Ph. Eur. 2.6.31 cat. C</t>
        </is>
      </c>
      <c r="J2543" s="256" t="inlineStr">
        <is>
          <t>Absence | Отсуство / 25 g</t>
        </is>
      </c>
      <c r="K2543" s="256" t="inlineStr">
        <is>
          <t>Absent | Отсутна</t>
        </is>
      </c>
      <c r="L2543" s="256" t="inlineStr">
        <is>
          <t>8/0011/26</t>
        </is>
      </c>
      <c r="M2543" s="256" t="inlineStr">
        <is>
          <t>20.01.2026</t>
        </is>
      </c>
      <c r="N2543" s="256" t="inlineStr">
        <is>
          <t>IPH — Institute of Public Health</t>
        </is>
      </c>
      <c r="O2543" s="256" t="inlineStr">
        <is>
          <t>12.01.2025</t>
        </is>
      </c>
      <c r="P2543" s="256" t="inlineStr">
        <is>
          <t>carried from the initial testing (CoQ-PP-2026-0002) — covered</t>
        </is>
      </c>
      <c r="Q2543" s="256" t="inlineStr"/>
      <c r="R2543" s="256" t="inlineStr"/>
    </row>
    <row r="2544">
      <c r="A2544" s="256" t="inlineStr">
        <is>
          <t>CoQ-PP_26-111</t>
        </is>
      </c>
      <c r="B2544" s="256" t="inlineStr">
        <is>
          <t>reissue — retest</t>
        </is>
      </c>
      <c r="C2544" s="256" t="inlineStr">
        <is>
          <t>CJ082501/1</t>
        </is>
      </c>
      <c r="D2544" s="256" t="inlineStr">
        <is>
          <t>P060022</t>
        </is>
      </c>
      <c r="E2544" s="256" t="inlineStr">
        <is>
          <t>Cap Junky</t>
        </is>
      </c>
      <c r="F2544" s="256" t="inlineStr">
        <is>
          <t>18.09.2026</t>
        </is>
      </c>
      <c r="G2544" s="256" t="inlineStr">
        <is>
          <t>9.5</t>
        </is>
      </c>
      <c r="H2544" s="256" t="inlineStr">
        <is>
          <t>Escherichia coli</t>
        </is>
      </c>
      <c r="I2544" s="256" t="inlineStr">
        <is>
          <t>Ph. Eur. 2.6.13 cat. C</t>
        </is>
      </c>
      <c r="J2544" s="256" t="inlineStr">
        <is>
          <t>Absence | Отсуство / 1 g</t>
        </is>
      </c>
      <c r="K2544" s="256" t="inlineStr">
        <is>
          <t>Absent | Отсутна</t>
        </is>
      </c>
      <c r="L2544" s="256" t="inlineStr">
        <is>
          <t>8/0011/26</t>
        </is>
      </c>
      <c r="M2544" s="256" t="inlineStr">
        <is>
          <t>20.01.2026</t>
        </is>
      </c>
      <c r="N2544" s="256" t="inlineStr">
        <is>
          <t>IPH — Institute of Public Health</t>
        </is>
      </c>
      <c r="O2544" s="256" t="inlineStr">
        <is>
          <t>12.01.2025</t>
        </is>
      </c>
      <c r="P2544" s="256" t="inlineStr">
        <is>
          <t>carried from the initial testing (CoQ-PP-2026-0002) — covered</t>
        </is>
      </c>
      <c r="Q2544" s="256" t="inlineStr"/>
      <c r="R2544" s="256" t="inlineStr"/>
    </row>
    <row r="2545">
      <c r="A2545" s="256" t="inlineStr">
        <is>
          <t>CoQ-PP_26-111</t>
        </is>
      </c>
      <c r="B2545" s="256" t="inlineStr">
        <is>
          <t>reissue — retest</t>
        </is>
      </c>
      <c r="C2545" s="256" t="inlineStr">
        <is>
          <t>CJ082501/1</t>
        </is>
      </c>
      <c r="D2545" s="256" t="inlineStr">
        <is>
          <t>P060022</t>
        </is>
      </c>
      <c r="E2545" s="256" t="inlineStr">
        <is>
          <t>Cap Junky</t>
        </is>
      </c>
      <c r="F2545" s="256" t="inlineStr">
        <is>
          <t>18.09.2026</t>
        </is>
      </c>
      <c r="G2545" s="256" t="inlineStr">
        <is>
          <t>9.6</t>
        </is>
      </c>
      <c r="H2545" s="256" t="inlineStr">
        <is>
          <t>Pseudomonas aeruginosa</t>
        </is>
      </c>
      <c r="I2545" s="256" t="inlineStr">
        <is>
          <t>Ph. Eur. 2.6.13 cat. C</t>
        </is>
      </c>
      <c r="J2545" s="256" t="inlineStr">
        <is>
          <t>Absence | Отсуство / 1 g</t>
        </is>
      </c>
      <c r="K2545" s="260" t="inlineStr">
        <is>
          <t>upon request — not required for release</t>
        </is>
      </c>
      <c r="L2545" s="256" t="inlineStr">
        <is>
          <t>—</t>
        </is>
      </c>
      <c r="M2545" s="256" t="inlineStr">
        <is>
          <t>—</t>
        </is>
      </c>
      <c r="N2545" s="256" t="inlineStr">
        <is>
          <t>—</t>
        </is>
      </c>
      <c r="O2545" s="256" t="inlineStr">
        <is>
          <t>—</t>
        </is>
      </c>
      <c r="P2545" s="256" t="inlineStr">
        <is>
          <t>upon request — not required for release</t>
        </is>
      </c>
      <c r="Q2545" s="256" t="inlineStr"/>
      <c r="R2545" s="256" t="inlineStr"/>
    </row>
    <row r="2546">
      <c r="A2546" s="256" t="inlineStr">
        <is>
          <t>CoQ-PP_26-111</t>
        </is>
      </c>
      <c r="B2546" s="256" t="inlineStr">
        <is>
          <t>reissue — retest</t>
        </is>
      </c>
      <c r="C2546" s="256" t="inlineStr">
        <is>
          <t>CJ082501/1</t>
        </is>
      </c>
      <c r="D2546" s="256" t="inlineStr">
        <is>
          <t>P060022</t>
        </is>
      </c>
      <c r="E2546" s="256" t="inlineStr">
        <is>
          <t>Cap Junky</t>
        </is>
      </c>
      <c r="F2546" s="256" t="inlineStr">
        <is>
          <t>18.09.2026</t>
        </is>
      </c>
      <c r="G2546" s="256" t="inlineStr">
        <is>
          <t>9.7</t>
        </is>
      </c>
      <c r="H2546" s="256" t="inlineStr">
        <is>
          <t>Staphylococcus aureus</t>
        </is>
      </c>
      <c r="I2546" s="256" t="inlineStr">
        <is>
          <t>Ph. Eur. 2.6.13 cat. C</t>
        </is>
      </c>
      <c r="J2546" s="256" t="inlineStr">
        <is>
          <t>Absence | Отсуство / 1 g</t>
        </is>
      </c>
      <c r="K2546" s="260" t="inlineStr">
        <is>
          <t>upon request — not required for release</t>
        </is>
      </c>
      <c r="L2546" s="256" t="inlineStr">
        <is>
          <t>—</t>
        </is>
      </c>
      <c r="M2546" s="256" t="inlineStr">
        <is>
          <t>—</t>
        </is>
      </c>
      <c r="N2546" s="256" t="inlineStr">
        <is>
          <t>—</t>
        </is>
      </c>
      <c r="O2546" s="256" t="inlineStr">
        <is>
          <t>—</t>
        </is>
      </c>
      <c r="P2546" s="256" t="inlineStr">
        <is>
          <t>upon request — not required for release</t>
        </is>
      </c>
      <c r="Q2546" s="256" t="inlineStr"/>
      <c r="R2546" s="256" t="inlineStr"/>
    </row>
    <row r="2547">
      <c r="A2547" s="256" t="inlineStr">
        <is>
          <t>CoQ-PP_26-111</t>
        </is>
      </c>
      <c r="B2547" s="256" t="inlineStr">
        <is>
          <t>reissue — retest</t>
        </is>
      </c>
      <c r="C2547" s="256" t="inlineStr">
        <is>
          <t>CJ082501/1</t>
        </is>
      </c>
      <c r="D2547" s="256" t="inlineStr">
        <is>
          <t>P060022</t>
        </is>
      </c>
      <c r="E2547" s="256" t="inlineStr">
        <is>
          <t>Cap Junky</t>
        </is>
      </c>
      <c r="F2547" s="256" t="inlineStr">
        <is>
          <t>18.09.2026</t>
        </is>
      </c>
      <c r="G2547" s="256" t="inlineStr">
        <is>
          <t>10.1</t>
        </is>
      </c>
      <c r="H2547" s="256" t="inlineStr">
        <is>
          <t>Aflatoxin B₁</t>
        </is>
      </c>
      <c r="I2547" s="256" t="inlineStr">
        <is>
          <t>Ph. Eur. 2.8.18 (HPLC-FLD)</t>
        </is>
      </c>
      <c r="J2547" s="256" t="inlineStr">
        <is>
          <t>≤ 2 µg/kg</t>
        </is>
      </c>
      <c r="K2547" s="256" t="inlineStr">
        <is>
          <t>ND</t>
        </is>
      </c>
      <c r="L2547" s="256" t="inlineStr">
        <is>
          <t>220-4-М/26</t>
        </is>
      </c>
      <c r="M2547" s="256" t="inlineStr">
        <is>
          <t>11.09.2026</t>
        </is>
      </c>
      <c r="N2547" s="256" t="inlineStr">
        <is>
          <t>Farmahem</t>
        </is>
      </c>
      <c r="O2547" s="256" t="inlineStr">
        <is>
          <t>17.08.2026</t>
        </is>
      </c>
      <c r="P2547" s="256" t="inlineStr">
        <is>
          <t>covered</t>
        </is>
      </c>
      <c r="Q2547" s="256" t="inlineStr"/>
      <c r="R2547" s="256" t="inlineStr"/>
    </row>
    <row r="2548">
      <c r="A2548" s="256" t="inlineStr">
        <is>
          <t>CoQ-PP_26-111</t>
        </is>
      </c>
      <c r="B2548" s="256" t="inlineStr">
        <is>
          <t>reissue — retest</t>
        </is>
      </c>
      <c r="C2548" s="256" t="inlineStr">
        <is>
          <t>CJ082501/1</t>
        </is>
      </c>
      <c r="D2548" s="256" t="inlineStr">
        <is>
          <t>P060022</t>
        </is>
      </c>
      <c r="E2548" s="256" t="inlineStr">
        <is>
          <t>Cap Junky</t>
        </is>
      </c>
      <c r="F2548" s="256" t="inlineStr">
        <is>
          <t>18.09.2026</t>
        </is>
      </c>
      <c r="G2548" s="256" t="inlineStr">
        <is>
          <t>10.2</t>
        </is>
      </c>
      <c r="H2548" s="256" t="inlineStr">
        <is>
          <t>Aflatoxins ∑</t>
        </is>
      </c>
      <c r="I2548" s="256" t="inlineStr">
        <is>
          <t>Ph. Eur. 2.8.18 (HPLC-FLD)</t>
        </is>
      </c>
      <c r="J2548" s="256" t="inlineStr">
        <is>
          <t>≤ 4 µg/kg</t>
        </is>
      </c>
      <c r="K2548" s="256" t="inlineStr">
        <is>
          <t>ND</t>
        </is>
      </c>
      <c r="L2548" s="256" t="inlineStr">
        <is>
          <t>220-4-М/26</t>
        </is>
      </c>
      <c r="M2548" s="256" t="inlineStr">
        <is>
          <t>11.09.2026</t>
        </is>
      </c>
      <c r="N2548" s="256" t="inlineStr">
        <is>
          <t>Farmahem</t>
        </is>
      </c>
      <c r="O2548" s="256" t="inlineStr">
        <is>
          <t>17.08.2026</t>
        </is>
      </c>
      <c r="P2548" s="256" t="inlineStr">
        <is>
          <t>covered</t>
        </is>
      </c>
      <c r="Q2548" s="256" t="inlineStr"/>
      <c r="R2548" s="256" t="inlineStr"/>
    </row>
    <row r="2549">
      <c r="A2549" s="256" t="inlineStr">
        <is>
          <t>CoQ-PP_26-111</t>
        </is>
      </c>
      <c r="B2549" s="256" t="inlineStr">
        <is>
          <t>reissue — retest</t>
        </is>
      </c>
      <c r="C2549" s="256" t="inlineStr">
        <is>
          <t>CJ082501/1</t>
        </is>
      </c>
      <c r="D2549" s="256" t="inlineStr">
        <is>
          <t>P060022</t>
        </is>
      </c>
      <c r="E2549" s="256" t="inlineStr">
        <is>
          <t>Cap Junky</t>
        </is>
      </c>
      <c r="F2549" s="256" t="inlineStr">
        <is>
          <t>18.09.2026</t>
        </is>
      </c>
      <c r="G2549" s="256" t="inlineStr">
        <is>
          <t>10.3</t>
        </is>
      </c>
      <c r="H2549" s="256" t="inlineStr">
        <is>
          <t>Ochratoxin A</t>
        </is>
      </c>
      <c r="I2549" s="256" t="inlineStr">
        <is>
          <t>Ph. Eur. 2.8.22 (HPLC-FLD)</t>
        </is>
      </c>
      <c r="J2549" s="256" t="inlineStr">
        <is>
          <t>≤ 20 µg/kg</t>
        </is>
      </c>
      <c r="K2549" s="256" t="inlineStr">
        <is>
          <t>ND</t>
        </is>
      </c>
      <c r="L2549" s="256" t="inlineStr">
        <is>
          <t>220-4-М/26</t>
        </is>
      </c>
      <c r="M2549" s="256" t="inlineStr">
        <is>
          <t>11.09.2026</t>
        </is>
      </c>
      <c r="N2549" s="256" t="inlineStr">
        <is>
          <t>Farmahem</t>
        </is>
      </c>
      <c r="O2549" s="256" t="inlineStr">
        <is>
          <t>17.08.2026</t>
        </is>
      </c>
      <c r="P2549" s="256" t="inlineStr">
        <is>
          <t>covered</t>
        </is>
      </c>
      <c r="Q2549" s="256" t="inlineStr"/>
      <c r="R2549" s="256" t="inlineStr"/>
    </row>
    <row r="2550">
      <c r="A2550" s="256" t="inlineStr">
        <is>
          <t>CoQ-PP_26-111</t>
        </is>
      </c>
      <c r="B2550" s="256" t="inlineStr">
        <is>
          <t>reissue — retest</t>
        </is>
      </c>
      <c r="C2550" s="256" t="inlineStr">
        <is>
          <t>CJ082501/1</t>
        </is>
      </c>
      <c r="D2550" s="256" t="inlineStr">
        <is>
          <t>P060022</t>
        </is>
      </c>
      <c r="E2550" s="256" t="inlineStr">
        <is>
          <t>Cap Junky</t>
        </is>
      </c>
      <c r="F2550" s="256" t="inlineStr">
        <is>
          <t>18.09.2026</t>
        </is>
      </c>
      <c r="G2550" s="256" t="inlineStr">
        <is>
          <t>11.1</t>
        </is>
      </c>
      <c r="H2550" s="256" t="inlineStr">
        <is>
          <t>Lead (Pb)</t>
        </is>
      </c>
      <c r="I2550" s="256" t="inlineStr">
        <is>
          <t>Ph. Eur. 2.4.27 (ICP-MS)</t>
        </is>
      </c>
      <c r="J2550" s="256" t="inlineStr">
        <is>
          <t>≤ 0.5 mg/kg</t>
        </is>
      </c>
      <c r="K2550" s="256" t="inlineStr">
        <is>
          <t>0.075</t>
        </is>
      </c>
      <c r="L2550" s="256" t="inlineStr">
        <is>
          <t>81/2026</t>
        </is>
      </c>
      <c r="M2550" s="256" t="inlineStr">
        <is>
          <t>02.02.2026</t>
        </is>
      </c>
      <c r="N2550" s="256" t="inlineStr">
        <is>
          <t>IPH — Institute of Public Health</t>
        </is>
      </c>
      <c r="O2550" s="256" t="inlineStr">
        <is>
          <t>08.01.2026</t>
        </is>
      </c>
      <c r="P2550" s="256" t="inlineStr">
        <is>
          <t>carried from the initial testing (CoQ-PP-2026-0002) — covered</t>
        </is>
      </c>
      <c r="Q2550" s="256" t="inlineStr"/>
      <c r="R2550" s="256" t="inlineStr"/>
    </row>
    <row r="2551">
      <c r="A2551" s="256" t="inlineStr">
        <is>
          <t>CoQ-PP_26-111</t>
        </is>
      </c>
      <c r="B2551" s="256" t="inlineStr">
        <is>
          <t>reissue — retest</t>
        </is>
      </c>
      <c r="C2551" s="256" t="inlineStr">
        <is>
          <t>CJ082501/1</t>
        </is>
      </c>
      <c r="D2551" s="256" t="inlineStr">
        <is>
          <t>P060022</t>
        </is>
      </c>
      <c r="E2551" s="256" t="inlineStr">
        <is>
          <t>Cap Junky</t>
        </is>
      </c>
      <c r="F2551" s="256" t="inlineStr">
        <is>
          <t>18.09.2026</t>
        </is>
      </c>
      <c r="G2551" s="256" t="inlineStr">
        <is>
          <t>11.2</t>
        </is>
      </c>
      <c r="H2551" s="256" t="inlineStr">
        <is>
          <t>Cadmium (Cd)</t>
        </is>
      </c>
      <c r="I2551" s="256" t="inlineStr">
        <is>
          <t>Ph. Eur. 2.4.27 (ICP-MS)</t>
        </is>
      </c>
      <c r="J2551" s="256" t="inlineStr">
        <is>
          <t>≤ 0.3 mg/kg</t>
        </is>
      </c>
      <c r="K2551" s="256" t="inlineStr">
        <is>
          <t>ND</t>
        </is>
      </c>
      <c r="L2551" s="256" t="inlineStr">
        <is>
          <t>81/2026</t>
        </is>
      </c>
      <c r="M2551" s="256" t="inlineStr">
        <is>
          <t>02.02.2026</t>
        </is>
      </c>
      <c r="N2551" s="256" t="inlineStr">
        <is>
          <t>IPH — Institute of Public Health</t>
        </is>
      </c>
      <c r="O2551" s="256" t="inlineStr">
        <is>
          <t>08.01.2026</t>
        </is>
      </c>
      <c r="P2551" s="256" t="inlineStr">
        <is>
          <t>carried from the initial testing (CoQ-PP-2026-0002) — covered</t>
        </is>
      </c>
      <c r="Q2551" s="256" t="inlineStr"/>
      <c r="R2551" s="256" t="inlineStr"/>
    </row>
    <row r="2552">
      <c r="A2552" s="256" t="inlineStr">
        <is>
          <t>CoQ-PP_26-111</t>
        </is>
      </c>
      <c r="B2552" s="256" t="inlineStr">
        <is>
          <t>reissue — retest</t>
        </is>
      </c>
      <c r="C2552" s="256" t="inlineStr">
        <is>
          <t>CJ082501/1</t>
        </is>
      </c>
      <c r="D2552" s="256" t="inlineStr">
        <is>
          <t>P060022</t>
        </is>
      </c>
      <c r="E2552" s="256" t="inlineStr">
        <is>
          <t>Cap Junky</t>
        </is>
      </c>
      <c r="F2552" s="256" t="inlineStr">
        <is>
          <t>18.09.2026</t>
        </is>
      </c>
      <c r="G2552" s="256" t="inlineStr">
        <is>
          <t>11.3</t>
        </is>
      </c>
      <c r="H2552" s="256" t="inlineStr">
        <is>
          <t>Arsenic (As)</t>
        </is>
      </c>
      <c r="I2552" s="256" t="inlineStr">
        <is>
          <t>Ph. Eur. 2.4.27 (ICP-MS)</t>
        </is>
      </c>
      <c r="J2552" s="256" t="inlineStr">
        <is>
          <t>≤ 0.2 mg/kg</t>
        </is>
      </c>
      <c r="K2552" s="256" t="inlineStr">
        <is>
          <t>ND</t>
        </is>
      </c>
      <c r="L2552" s="256" t="inlineStr">
        <is>
          <t>81/2026</t>
        </is>
      </c>
      <c r="M2552" s="256" t="inlineStr">
        <is>
          <t>02.02.2026</t>
        </is>
      </c>
      <c r="N2552" s="256" t="inlineStr">
        <is>
          <t>IPH — Institute of Public Health</t>
        </is>
      </c>
      <c r="O2552" s="256" t="inlineStr">
        <is>
          <t>08.01.2026</t>
        </is>
      </c>
      <c r="P2552" s="256" t="inlineStr">
        <is>
          <t>carried from the initial testing (CoQ-PP-2026-0002) — covered</t>
        </is>
      </c>
      <c r="Q2552" s="256" t="inlineStr"/>
      <c r="R2552" s="256" t="inlineStr"/>
    </row>
    <row r="2553">
      <c r="A2553" s="256" t="inlineStr">
        <is>
          <t>CoQ-PP_26-111</t>
        </is>
      </c>
      <c r="B2553" s="256" t="inlineStr">
        <is>
          <t>reissue — retest</t>
        </is>
      </c>
      <c r="C2553" s="256" t="inlineStr">
        <is>
          <t>CJ082501/1</t>
        </is>
      </c>
      <c r="D2553" s="256" t="inlineStr">
        <is>
          <t>P060022</t>
        </is>
      </c>
      <c r="E2553" s="256" t="inlineStr">
        <is>
          <t>Cap Junky</t>
        </is>
      </c>
      <c r="F2553" s="256" t="inlineStr">
        <is>
          <t>18.09.2026</t>
        </is>
      </c>
      <c r="G2553" s="256" t="inlineStr">
        <is>
          <t>11.4</t>
        </is>
      </c>
      <c r="H2553" s="256" t="inlineStr">
        <is>
          <t>Mercury (Hg)</t>
        </is>
      </c>
      <c r="I2553" s="256" t="inlineStr">
        <is>
          <t>Ph. Eur. 2.4.27 (ICP-MS)</t>
        </is>
      </c>
      <c r="J2553" s="256" t="inlineStr">
        <is>
          <t>≤ 0.1 mg/kg</t>
        </is>
      </c>
      <c r="K2553" s="256" t="inlineStr">
        <is>
          <t>ND</t>
        </is>
      </c>
      <c r="L2553" s="256" t="inlineStr">
        <is>
          <t>81/2026</t>
        </is>
      </c>
      <c r="M2553" s="256" t="inlineStr">
        <is>
          <t>02.02.2026</t>
        </is>
      </c>
      <c r="N2553" s="256" t="inlineStr">
        <is>
          <t>IPH — Institute of Public Health</t>
        </is>
      </c>
      <c r="O2553" s="256" t="inlineStr">
        <is>
          <t>08.01.2026</t>
        </is>
      </c>
      <c r="P2553" s="256" t="inlineStr">
        <is>
          <t>carried from the initial testing (CoQ-PP-2026-0002) — covered</t>
        </is>
      </c>
      <c r="Q2553" s="256" t="inlineStr"/>
      <c r="R2553" s="256" t="inlineStr"/>
    </row>
    <row r="2554">
      <c r="A2554" s="256" t="inlineStr">
        <is>
          <t>CoQ-PP_26-111</t>
        </is>
      </c>
      <c r="B2554" s="256" t="inlineStr">
        <is>
          <t>reissue — retest</t>
        </is>
      </c>
      <c r="C2554" s="256" t="inlineStr">
        <is>
          <t>CJ082501/1</t>
        </is>
      </c>
      <c r="D2554" s="256" t="inlineStr">
        <is>
          <t>P060022</t>
        </is>
      </c>
      <c r="E2554" s="256" t="inlineStr">
        <is>
          <t>Cap Junky</t>
        </is>
      </c>
      <c r="F2554" s="256" t="inlineStr">
        <is>
          <t>18.09.2026</t>
        </is>
      </c>
      <c r="G2554" s="256" t="inlineStr">
        <is>
          <t>12</t>
        </is>
      </c>
      <c r="H2554" s="256" t="inlineStr">
        <is>
          <t>Pesticide Residues</t>
        </is>
      </c>
      <c r="I2554" s="256" t="inlineStr">
        <is>
          <t>Ph. Eur. 2.8.13 (LC-MS/MS) · CUMCS Equivalency</t>
        </is>
      </c>
      <c r="J2554" s="256" t="inlineStr">
        <is>
          <t>≤ LOQ as per Ph. Eur. 2.8.13 · ≤ LOQ as per CUMCS Equivalency</t>
        </is>
      </c>
      <c r="K2554" s="256" t="inlineStr">
        <is>
          <t>ND</t>
        </is>
      </c>
      <c r="L2554" s="256" t="inlineStr">
        <is>
          <t>81/2026</t>
        </is>
      </c>
      <c r="M2554" s="256" t="inlineStr">
        <is>
          <t>02.02.2026</t>
        </is>
      </c>
      <c r="N2554" s="256" t="inlineStr">
        <is>
          <t>IPH — Institute of Public Health</t>
        </is>
      </c>
      <c r="O2554" s="256" t="inlineStr">
        <is>
          <t>08.01.2026</t>
        </is>
      </c>
      <c r="P2554" s="256" t="inlineStr">
        <is>
          <t>carried from the initial testing (CoQ-PP-2026-0002) — covered</t>
        </is>
      </c>
      <c r="Q2554" s="256" t="inlineStr"/>
      <c r="R2554" s="256" t="inlineStr"/>
    </row>
    <row r="2555">
      <c r="A2555" s="256" t="inlineStr">
        <is>
          <t>CoQ-PP_26-112</t>
        </is>
      </c>
      <c r="B2555" s="256" t="inlineStr">
        <is>
          <t>reissue — retest</t>
        </is>
      </c>
      <c r="C2555" s="256" t="inlineStr">
        <is>
          <t>CJ092501</t>
        </is>
      </c>
      <c r="D2555" s="256" t="inlineStr">
        <is>
          <t>P060072</t>
        </is>
      </c>
      <c r="E2555" s="256" t="inlineStr">
        <is>
          <t>Cap Junky</t>
        </is>
      </c>
      <c r="F2555" s="256" t="inlineStr">
        <is>
          <t>18.09.2026</t>
        </is>
      </c>
      <c r="G2555" s="256" t="inlineStr">
        <is>
          <t>1</t>
        </is>
      </c>
      <c r="H2555" s="256" t="inlineStr">
        <is>
          <t>Identification A, Appearance · Macroscopic</t>
        </is>
      </c>
      <c r="I2555" s="256" t="inlineStr">
        <is>
          <t>Ph. Eur. mon. 3028</t>
        </is>
      </c>
      <c r="J2555" s="256" t="inlineStr">
        <is>
          <t>Conforms to the monograph for Cannabis flos (07/2024:3028) in Ph. Eur. 11.0 | Согласно монографија за Cannabis flos (07/2024:3028) во Ph. Eur. 11.0</t>
        </is>
      </c>
      <c r="K2555" s="256" t="inlineStr">
        <is>
          <t>Conforms | Одговара</t>
        </is>
      </c>
      <c r="L2555" s="256" t="inlineStr">
        <is>
          <t>iCoA-PP_26-128</t>
        </is>
      </c>
      <c r="M2555" s="256" t="inlineStr">
        <is>
          <t>17.08.2026</t>
        </is>
      </c>
      <c r="N2555" s="256" t="inlineStr">
        <is>
          <t>Purely Plant GmbH (in-house)</t>
        </is>
      </c>
      <c r="O2555" s="256" t="inlineStr">
        <is>
          <t>—</t>
        </is>
      </c>
      <c r="P2555" s="256" t="inlineStr">
        <is>
          <t>covered</t>
        </is>
      </c>
      <c r="Q2555" s="256" t="inlineStr">
        <is>
          <t>Farmahem — Ident A + B + C with the Assay, at retest</t>
        </is>
      </c>
      <c r="R2555" s="256" t="inlineStr"/>
    </row>
    <row r="2556">
      <c r="A2556" s="256" t="inlineStr">
        <is>
          <t>CoQ-PP_26-112</t>
        </is>
      </c>
      <c r="B2556" s="256" t="inlineStr">
        <is>
          <t>reissue — retest</t>
        </is>
      </c>
      <c r="C2556" s="256" t="inlineStr">
        <is>
          <t>CJ092501</t>
        </is>
      </c>
      <c r="D2556" s="256" t="inlineStr">
        <is>
          <t>P060072</t>
        </is>
      </c>
      <c r="E2556" s="256" t="inlineStr">
        <is>
          <t>Cap Junky</t>
        </is>
      </c>
      <c r="F2556" s="256" t="inlineStr">
        <is>
          <t>18.09.2026</t>
        </is>
      </c>
      <c r="G2556" s="256" t="inlineStr">
        <is>
          <t>2</t>
        </is>
      </c>
      <c r="H2556" s="256" t="inlineStr">
        <is>
          <t>Identification B · Microscopic</t>
        </is>
      </c>
      <c r="I2556" s="256" t="inlineStr">
        <is>
          <t>Ph. Eur. 2.8.23 (microscopy)</t>
        </is>
      </c>
      <c r="J2556" s="256" t="inlineStr">
        <is>
          <t>Conforms to the monograph for Cannabis flos (07/2024:3028) in Ph. Eur. 11.0 | Согласно монографија за Cannabis flos (07/2024:3028) во Ph. Eur. 11.0</t>
        </is>
      </c>
      <c r="K2556" s="256" t="inlineStr">
        <is>
          <t>Conforms | Одговара</t>
        </is>
      </c>
      <c r="L2556" s="256" t="inlineStr">
        <is>
          <t>iCoA-PP_26-128</t>
        </is>
      </c>
      <c r="M2556" s="256" t="inlineStr">
        <is>
          <t>17.08.2026</t>
        </is>
      </c>
      <c r="N2556" s="256" t="inlineStr">
        <is>
          <t>Purely Plant GmbH (in-house)</t>
        </is>
      </c>
      <c r="O2556" s="256" t="inlineStr">
        <is>
          <t>—</t>
        </is>
      </c>
      <c r="P2556" s="256" t="inlineStr">
        <is>
          <t>covered</t>
        </is>
      </c>
      <c r="Q2556" s="256" t="inlineStr">
        <is>
          <t>Farmahem — Ident A + B + C with the Assay, at retest</t>
        </is>
      </c>
      <c r="R2556" s="256" t="inlineStr"/>
    </row>
    <row r="2557">
      <c r="A2557" s="256" t="inlineStr">
        <is>
          <t>CoQ-PP_26-112</t>
        </is>
      </c>
      <c r="B2557" s="256" t="inlineStr">
        <is>
          <t>reissue — retest</t>
        </is>
      </c>
      <c r="C2557" s="256" t="inlineStr">
        <is>
          <t>CJ092501</t>
        </is>
      </c>
      <c r="D2557" s="256" t="inlineStr">
        <is>
          <t>P060072</t>
        </is>
      </c>
      <c r="E2557" s="256" t="inlineStr">
        <is>
          <t>Cap Junky</t>
        </is>
      </c>
      <c r="F2557" s="256" t="inlineStr">
        <is>
          <t>18.09.2026</t>
        </is>
      </c>
      <c r="G2557" s="256" t="inlineStr">
        <is>
          <t>3</t>
        </is>
      </c>
      <c r="H2557" s="256" t="inlineStr">
        <is>
          <t>Identification C · HPLC/HPTLC</t>
        </is>
      </c>
      <c r="I2557" s="256" t="inlineStr">
        <is>
          <t>Ph. Eur. 2.2.29 (3028)</t>
        </is>
      </c>
      <c r="J2557" s="256" t="inlineStr">
        <is>
          <t>Conforms to the monograph for Cannabis flos (07/2024:3028) in Ph. Eur. 11.0 | Согласно монографија за Cannabis flos (07/2024:3028) во Ph. Eur. 11.0</t>
        </is>
      </c>
      <c r="K2557" s="256" t="inlineStr">
        <is>
          <t>Conforms | Одговара</t>
        </is>
      </c>
      <c r="L2557" s="256" t="inlineStr">
        <is>
          <t>220-5-К/26</t>
        </is>
      </c>
      <c r="M2557" s="256" t="inlineStr">
        <is>
          <t>25.08.2026</t>
        </is>
      </c>
      <c r="N2557" s="256" t="inlineStr">
        <is>
          <t>Farmahem</t>
        </is>
      </c>
      <c r="O2557" s="256" t="inlineStr">
        <is>
          <t>17.08.2026</t>
        </is>
      </c>
      <c r="P2557" s="256" t="inlineStr">
        <is>
          <t>covered</t>
        </is>
      </c>
      <c r="Q2557" s="256" t="inlineStr"/>
      <c r="R2557" s="256" t="inlineStr"/>
    </row>
    <row r="2558">
      <c r="A2558" s="256" t="inlineStr">
        <is>
          <t>CoQ-PP_26-112</t>
        </is>
      </c>
      <c r="B2558" s="256" t="inlineStr">
        <is>
          <t>reissue — retest</t>
        </is>
      </c>
      <c r="C2558" s="256" t="inlineStr">
        <is>
          <t>CJ092501</t>
        </is>
      </c>
      <c r="D2558" s="256" t="inlineStr">
        <is>
          <t>P060072</t>
        </is>
      </c>
      <c r="E2558" s="256" t="inlineStr">
        <is>
          <t>Cap Junky</t>
        </is>
      </c>
      <c r="F2558" s="256" t="inlineStr">
        <is>
          <t>18.09.2026</t>
        </is>
      </c>
      <c r="G2558" s="256" t="inlineStr">
        <is>
          <t>4</t>
        </is>
      </c>
      <c r="H2558" s="256" t="inlineStr">
        <is>
          <t>Assay — Total Δ⁹-THC</t>
        </is>
      </c>
      <c r="I2558" s="256" t="inlineStr">
        <is>
          <t>Ph. Eur. 2.2.29 (HPLC)</t>
        </is>
      </c>
      <c r="J2558" s="256" t="inlineStr">
        <is>
          <t>21.60 – 26.39 %  (grade II, nominal 24.00 ± 2.40)</t>
        </is>
      </c>
      <c r="K2558" s="256" t="inlineStr">
        <is>
          <t>25.65</t>
        </is>
      </c>
      <c r="L2558" s="256" t="inlineStr">
        <is>
          <t>220-5-К/26</t>
        </is>
      </c>
      <c r="M2558" s="256" t="inlineStr">
        <is>
          <t>25.08.2026</t>
        </is>
      </c>
      <c r="N2558" s="256" t="inlineStr">
        <is>
          <t>Farmahem</t>
        </is>
      </c>
      <c r="O2558" s="256" t="inlineStr">
        <is>
          <t>17.08.2026</t>
        </is>
      </c>
      <c r="P2558" s="256" t="inlineStr">
        <is>
          <t>covered</t>
        </is>
      </c>
      <c r="Q2558" s="256" t="inlineStr"/>
      <c r="R2558" s="256" t="inlineStr"/>
    </row>
    <row r="2559">
      <c r="A2559" s="256" t="inlineStr">
        <is>
          <t>CoQ-PP_26-112</t>
        </is>
      </c>
      <c r="B2559" s="256" t="inlineStr">
        <is>
          <t>reissue — retest</t>
        </is>
      </c>
      <c r="C2559" s="256" t="inlineStr">
        <is>
          <t>CJ092501</t>
        </is>
      </c>
      <c r="D2559" s="256" t="inlineStr">
        <is>
          <t>P060072</t>
        </is>
      </c>
      <c r="E2559" s="256" t="inlineStr">
        <is>
          <t>Cap Junky</t>
        </is>
      </c>
      <c r="F2559" s="256" t="inlineStr">
        <is>
          <t>18.09.2026</t>
        </is>
      </c>
      <c r="G2559" s="256" t="inlineStr">
        <is>
          <t>5</t>
        </is>
      </c>
      <c r="H2559" s="256" t="inlineStr">
        <is>
          <t>Assay — Total CBD</t>
        </is>
      </c>
      <c r="I2559" s="256" t="inlineStr">
        <is>
          <t>Ph. Eur. 2.2.29 (HPLC) · CBD + CBDA x 0.877</t>
        </is>
      </c>
      <c r="J2559" s="256" t="inlineStr">
        <is>
          <t>≤ 1.0%, w/w</t>
        </is>
      </c>
      <c r="K2559" s="256" t="inlineStr">
        <is>
          <t>&lt; LOQ</t>
        </is>
      </c>
      <c r="L2559" s="256" t="inlineStr">
        <is>
          <t>220-5-К/26</t>
        </is>
      </c>
      <c r="M2559" s="256" t="inlineStr">
        <is>
          <t>25.08.2026</t>
        </is>
      </c>
      <c r="N2559" s="256" t="inlineStr">
        <is>
          <t>Farmahem</t>
        </is>
      </c>
      <c r="O2559" s="256" t="inlineStr">
        <is>
          <t>17.08.2026</t>
        </is>
      </c>
      <c r="P2559" s="256" t="inlineStr">
        <is>
          <t>covered</t>
        </is>
      </c>
      <c r="Q2559" s="256" t="inlineStr"/>
      <c r="R2559" s="256" t="inlineStr"/>
    </row>
    <row r="2560">
      <c r="A2560" s="256" t="inlineStr">
        <is>
          <t>CoQ-PP_26-112</t>
        </is>
      </c>
      <c r="B2560" s="256" t="inlineStr">
        <is>
          <t>reissue — retest</t>
        </is>
      </c>
      <c r="C2560" s="256" t="inlineStr">
        <is>
          <t>CJ092501</t>
        </is>
      </c>
      <c r="D2560" s="256" t="inlineStr">
        <is>
          <t>P060072</t>
        </is>
      </c>
      <c r="E2560" s="256" t="inlineStr">
        <is>
          <t>Cap Junky</t>
        </is>
      </c>
      <c r="F2560" s="256" t="inlineStr">
        <is>
          <t>18.09.2026</t>
        </is>
      </c>
      <c r="G2560" s="256" t="inlineStr">
        <is>
          <t>6</t>
        </is>
      </c>
      <c r="H2560" s="256" t="inlineStr">
        <is>
          <t>Total CBN</t>
        </is>
      </c>
      <c r="I2560" s="256" t="inlineStr">
        <is>
          <t>Ph. Eur. 2.2.29 (HPLC) · CBN + CBNA x 0.876</t>
        </is>
      </c>
      <c r="J2560" s="256" t="inlineStr">
        <is>
          <t>≤ 1.0%, w/w</t>
        </is>
      </c>
      <c r="K2560" s="256" t="inlineStr">
        <is>
          <t>&lt; LOQ</t>
        </is>
      </c>
      <c r="L2560" s="256" t="inlineStr">
        <is>
          <t>220-5-К/26</t>
        </is>
      </c>
      <c r="M2560" s="256" t="inlineStr">
        <is>
          <t>25.08.2026</t>
        </is>
      </c>
      <c r="N2560" s="256" t="inlineStr">
        <is>
          <t>Farmahem</t>
        </is>
      </c>
      <c r="O2560" s="256" t="inlineStr">
        <is>
          <t>17.08.2026</t>
        </is>
      </c>
      <c r="P2560" s="256" t="inlineStr">
        <is>
          <t>covered</t>
        </is>
      </c>
      <c r="Q2560" s="256" t="inlineStr"/>
      <c r="R2560" s="256" t="inlineStr"/>
    </row>
    <row r="2561">
      <c r="A2561" s="256" t="inlineStr">
        <is>
          <t>CoQ-PP_26-112</t>
        </is>
      </c>
      <c r="B2561" s="256" t="inlineStr">
        <is>
          <t>reissue — retest</t>
        </is>
      </c>
      <c r="C2561" s="256" t="inlineStr">
        <is>
          <t>CJ092501</t>
        </is>
      </c>
      <c r="D2561" s="256" t="inlineStr">
        <is>
          <t>P060072</t>
        </is>
      </c>
      <c r="E2561" s="256" t="inlineStr">
        <is>
          <t>Cap Junky</t>
        </is>
      </c>
      <c r="F2561" s="256" t="inlineStr">
        <is>
          <t>18.09.2026</t>
        </is>
      </c>
      <c r="G2561" s="256" t="inlineStr">
        <is>
          <t>7</t>
        </is>
      </c>
      <c r="H2561" s="256" t="inlineStr">
        <is>
          <t>Foreign Matter</t>
        </is>
      </c>
      <c r="I2561" s="256" t="inlineStr">
        <is>
          <t>Ph. Eur. 2.8.2 · In-house · интерна</t>
        </is>
      </c>
      <c r="J2561" s="256" t="inlineStr">
        <is>
          <t>≤ 2.0% / 25–50 g · &lt; 1 cm leaves | листови, no seeds | без семки</t>
        </is>
      </c>
      <c r="K2561" s="256" t="inlineStr">
        <is>
          <t>Conforms | Одговара</t>
        </is>
      </c>
      <c r="L2561" s="256" t="inlineStr">
        <is>
          <t>iCoA-PP_26-128</t>
        </is>
      </c>
      <c r="M2561" s="256" t="inlineStr">
        <is>
          <t>17.08.2026</t>
        </is>
      </c>
      <c r="N2561" s="256" t="inlineStr">
        <is>
          <t>Purely Plant GmbH (in-house)</t>
        </is>
      </c>
      <c r="O2561" s="256" t="inlineStr">
        <is>
          <t>—</t>
        </is>
      </c>
      <c r="P2561" s="256" t="inlineStr">
        <is>
          <t>covered</t>
        </is>
      </c>
      <c r="Q2561" s="256" t="inlineStr">
        <is>
          <t>Purely Plant laboratory — iCoA covering Foreign matter</t>
        </is>
      </c>
      <c r="R2561" s="256" t="inlineStr"/>
    </row>
    <row r="2562">
      <c r="A2562" s="256" t="inlineStr">
        <is>
          <t>CoQ-PP_26-112</t>
        </is>
      </c>
      <c r="B2562" s="256" t="inlineStr">
        <is>
          <t>reissue — retest</t>
        </is>
      </c>
      <c r="C2562" s="256" t="inlineStr">
        <is>
          <t>CJ092501</t>
        </is>
      </c>
      <c r="D2562" s="256" t="inlineStr">
        <is>
          <t>P060072</t>
        </is>
      </c>
      <c r="E2562" s="256" t="inlineStr">
        <is>
          <t>Cap Junky</t>
        </is>
      </c>
      <c r="F2562" s="256" t="inlineStr">
        <is>
          <t>18.09.2026</t>
        </is>
      </c>
      <c r="G2562" s="256" t="inlineStr">
        <is>
          <t>8</t>
        </is>
      </c>
      <c r="H2562" s="256" t="inlineStr">
        <is>
          <t>Loss on Drying</t>
        </is>
      </c>
      <c r="I2562" s="256" t="inlineStr">
        <is>
          <t>DAB 2018 monograph Cannabis flos, 2.2.32 — loss on drying (CNP, before its Ph. Eur. 3028 accreditation)</t>
        </is>
      </c>
      <c r="J2562" s="256" t="inlineStr">
        <is>
          <t>≤ 12.0%</t>
        </is>
      </c>
      <c r="K2562" s="256" t="inlineStr">
        <is>
          <t>7.64</t>
        </is>
      </c>
      <c r="L2562" s="256" t="inlineStr">
        <is>
          <t>ППК26007</t>
        </is>
      </c>
      <c r="M2562" s="256" t="inlineStr">
        <is>
          <t>21.01.2026</t>
        </is>
      </c>
      <c r="N2562" s="256" t="inlineStr">
        <is>
          <t>UKIM Faculty of Pharmacy — Center for Natural Products</t>
        </is>
      </c>
      <c r="O2562" s="256" t="inlineStr">
        <is>
          <t>08.01.2026</t>
        </is>
      </c>
      <c r="P2562" s="256" t="inlineStr">
        <is>
          <t>carried from the initial testing (CoQ-PP-2026-0006) — covered</t>
        </is>
      </c>
      <c r="Q2562" s="256" t="inlineStr"/>
      <c r="R2562" s="256" t="inlineStr"/>
    </row>
    <row r="2563">
      <c r="A2563" s="256" t="inlineStr">
        <is>
          <t>CoQ-PP_26-112</t>
        </is>
      </c>
      <c r="B2563" s="256" t="inlineStr">
        <is>
          <t>reissue — retest</t>
        </is>
      </c>
      <c r="C2563" s="256" t="inlineStr">
        <is>
          <t>CJ092501</t>
        </is>
      </c>
      <c r="D2563" s="256" t="inlineStr">
        <is>
          <t>P060072</t>
        </is>
      </c>
      <c r="E2563" s="256" t="inlineStr">
        <is>
          <t>Cap Junky</t>
        </is>
      </c>
      <c r="F2563" s="256" t="inlineStr">
        <is>
          <t>18.09.2026</t>
        </is>
      </c>
      <c r="G2563" s="256" t="inlineStr">
        <is>
          <t>9.1</t>
        </is>
      </c>
      <c r="H2563" s="256" t="inlineStr">
        <is>
          <t>TAMC</t>
        </is>
      </c>
      <c r="I2563" s="256" t="inlineStr">
        <is>
          <t>Ph. Eur. 2.6.12 cat. C</t>
        </is>
      </c>
      <c r="J2563" s="256" t="inlineStr">
        <is>
          <t>≤ 10⁵ CFU/g</t>
        </is>
      </c>
      <c r="K2563" s="256" t="inlineStr">
        <is>
          <t>&lt; 10</t>
        </is>
      </c>
      <c r="L2563" s="256" t="inlineStr">
        <is>
          <t>10/0013/26</t>
        </is>
      </c>
      <c r="M2563" s="256" t="inlineStr">
        <is>
          <t>20.01.2026</t>
        </is>
      </c>
      <c r="N2563" s="256" t="inlineStr">
        <is>
          <t>IPH — Institute of Public Health</t>
        </is>
      </c>
      <c r="O2563" s="256" t="inlineStr">
        <is>
          <t>12.01.2025</t>
        </is>
      </c>
      <c r="P2563" s="256" t="inlineStr">
        <is>
          <t>carried from the initial testing (CoQ-PP-2026-0006) — covered</t>
        </is>
      </c>
      <c r="Q2563" s="256" t="inlineStr"/>
      <c r="R2563" s="256" t="inlineStr"/>
    </row>
    <row r="2564">
      <c r="A2564" s="256" t="inlineStr">
        <is>
          <t>CoQ-PP_26-112</t>
        </is>
      </c>
      <c r="B2564" s="256" t="inlineStr">
        <is>
          <t>reissue — retest</t>
        </is>
      </c>
      <c r="C2564" s="256" t="inlineStr">
        <is>
          <t>CJ092501</t>
        </is>
      </c>
      <c r="D2564" s="256" t="inlineStr">
        <is>
          <t>P060072</t>
        </is>
      </c>
      <c r="E2564" s="256" t="inlineStr">
        <is>
          <t>Cap Junky</t>
        </is>
      </c>
      <c r="F2564" s="256" t="inlineStr">
        <is>
          <t>18.09.2026</t>
        </is>
      </c>
      <c r="G2564" s="256" t="inlineStr">
        <is>
          <t>9.2</t>
        </is>
      </c>
      <c r="H2564" s="256" t="inlineStr">
        <is>
          <t>TYMC</t>
        </is>
      </c>
      <c r="I2564" s="256" t="inlineStr">
        <is>
          <t>Ph. Eur. 2.6.12 cat. C</t>
        </is>
      </c>
      <c r="J2564" s="256" t="inlineStr">
        <is>
          <t>≤ 10⁴ CFU/g</t>
        </is>
      </c>
      <c r="K2564" s="256" t="inlineStr">
        <is>
          <t>&lt; 10</t>
        </is>
      </c>
      <c r="L2564" s="256" t="inlineStr">
        <is>
          <t>10/0013/26</t>
        </is>
      </c>
      <c r="M2564" s="256" t="inlineStr">
        <is>
          <t>20.01.2026</t>
        </is>
      </c>
      <c r="N2564" s="256" t="inlineStr">
        <is>
          <t>IPH — Institute of Public Health</t>
        </is>
      </c>
      <c r="O2564" s="256" t="inlineStr">
        <is>
          <t>12.01.2025</t>
        </is>
      </c>
      <c r="P2564" s="256" t="inlineStr">
        <is>
          <t>carried from the initial testing (CoQ-PP-2026-0006) — covered</t>
        </is>
      </c>
      <c r="Q2564" s="256" t="inlineStr"/>
      <c r="R2564" s="256" t="inlineStr"/>
    </row>
    <row r="2565">
      <c r="A2565" s="256" t="inlineStr">
        <is>
          <t>CoQ-PP_26-112</t>
        </is>
      </c>
      <c r="B2565" s="256" t="inlineStr">
        <is>
          <t>reissue — retest</t>
        </is>
      </c>
      <c r="C2565" s="256" t="inlineStr">
        <is>
          <t>CJ092501</t>
        </is>
      </c>
      <c r="D2565" s="256" t="inlineStr">
        <is>
          <t>P060072</t>
        </is>
      </c>
      <c r="E2565" s="256" t="inlineStr">
        <is>
          <t>Cap Junky</t>
        </is>
      </c>
      <c r="F2565" s="256" t="inlineStr">
        <is>
          <t>18.09.2026</t>
        </is>
      </c>
      <c r="G2565" s="256" t="inlineStr">
        <is>
          <t>9.3</t>
        </is>
      </c>
      <c r="H2565" s="256" t="inlineStr">
        <is>
          <t>Bile-tolerant gram-neg.</t>
        </is>
      </c>
      <c r="I2565" s="256" t="inlineStr">
        <is>
          <t>Ph. Eur. 2.6.31 cat. C</t>
        </is>
      </c>
      <c r="J2565" s="256" t="inlineStr">
        <is>
          <t>≤ 10⁴ CFU/g</t>
        </is>
      </c>
      <c r="K2565" s="256" t="inlineStr">
        <is>
          <t>&lt; 10</t>
        </is>
      </c>
      <c r="L2565" s="256" t="inlineStr">
        <is>
          <t>10/0013/26</t>
        </is>
      </c>
      <c r="M2565" s="256" t="inlineStr">
        <is>
          <t>20.01.2026</t>
        </is>
      </c>
      <c r="N2565" s="256" t="inlineStr">
        <is>
          <t>IPH — Institute of Public Health</t>
        </is>
      </c>
      <c r="O2565" s="256" t="inlineStr">
        <is>
          <t>12.01.2025</t>
        </is>
      </c>
      <c r="P2565" s="256" t="inlineStr">
        <is>
          <t>carried from the initial testing (CoQ-PP-2026-0006) — covered</t>
        </is>
      </c>
      <c r="Q2565" s="256" t="inlineStr"/>
      <c r="R2565" s="256" t="inlineStr"/>
    </row>
    <row r="2566">
      <c r="A2566" s="256" t="inlineStr">
        <is>
          <t>CoQ-PP_26-112</t>
        </is>
      </c>
      <c r="B2566" s="256" t="inlineStr">
        <is>
          <t>reissue — retest</t>
        </is>
      </c>
      <c r="C2566" s="256" t="inlineStr">
        <is>
          <t>CJ092501</t>
        </is>
      </c>
      <c r="D2566" s="256" t="inlineStr">
        <is>
          <t>P060072</t>
        </is>
      </c>
      <c r="E2566" s="256" t="inlineStr">
        <is>
          <t>Cap Junky</t>
        </is>
      </c>
      <c r="F2566" s="256" t="inlineStr">
        <is>
          <t>18.09.2026</t>
        </is>
      </c>
      <c r="G2566" s="256" t="inlineStr">
        <is>
          <t>9.4</t>
        </is>
      </c>
      <c r="H2566" s="256" t="inlineStr">
        <is>
          <t>Salmonella</t>
        </is>
      </c>
      <c r="I2566" s="256" t="inlineStr">
        <is>
          <t>Ph. Eur. 2.6.31 cat. C</t>
        </is>
      </c>
      <c r="J2566" s="256" t="inlineStr">
        <is>
          <t>Absence | Отсуство / 25 g</t>
        </is>
      </c>
      <c r="K2566" s="256" t="inlineStr">
        <is>
          <t>Absent | Отсутна</t>
        </is>
      </c>
      <c r="L2566" s="256" t="inlineStr">
        <is>
          <t>10/0013/26</t>
        </is>
      </c>
      <c r="M2566" s="256" t="inlineStr">
        <is>
          <t>20.01.2026</t>
        </is>
      </c>
      <c r="N2566" s="256" t="inlineStr">
        <is>
          <t>IPH — Institute of Public Health</t>
        </is>
      </c>
      <c r="O2566" s="256" t="inlineStr">
        <is>
          <t>12.01.2025</t>
        </is>
      </c>
      <c r="P2566" s="256" t="inlineStr">
        <is>
          <t>carried from the initial testing (CoQ-PP-2026-0006) — covered</t>
        </is>
      </c>
      <c r="Q2566" s="256" t="inlineStr"/>
      <c r="R2566" s="256" t="inlineStr"/>
    </row>
    <row r="2567">
      <c r="A2567" s="256" t="inlineStr">
        <is>
          <t>CoQ-PP_26-112</t>
        </is>
      </c>
      <c r="B2567" s="256" t="inlineStr">
        <is>
          <t>reissue — retest</t>
        </is>
      </c>
      <c r="C2567" s="256" t="inlineStr">
        <is>
          <t>CJ092501</t>
        </is>
      </c>
      <c r="D2567" s="256" t="inlineStr">
        <is>
          <t>P060072</t>
        </is>
      </c>
      <c r="E2567" s="256" t="inlineStr">
        <is>
          <t>Cap Junky</t>
        </is>
      </c>
      <c r="F2567" s="256" t="inlineStr">
        <is>
          <t>18.09.2026</t>
        </is>
      </c>
      <c r="G2567" s="256" t="inlineStr">
        <is>
          <t>9.5</t>
        </is>
      </c>
      <c r="H2567" s="256" t="inlineStr">
        <is>
          <t>Escherichia coli</t>
        </is>
      </c>
      <c r="I2567" s="256" t="inlineStr">
        <is>
          <t>Ph. Eur. 2.6.13 cat. C</t>
        </is>
      </c>
      <c r="J2567" s="256" t="inlineStr">
        <is>
          <t>Absence | Отсуство / 1 g</t>
        </is>
      </c>
      <c r="K2567" s="256" t="inlineStr">
        <is>
          <t>Absent | Отсутна</t>
        </is>
      </c>
      <c r="L2567" s="256" t="inlineStr">
        <is>
          <t>10/0013/26</t>
        </is>
      </c>
      <c r="M2567" s="256" t="inlineStr">
        <is>
          <t>20.01.2026</t>
        </is>
      </c>
      <c r="N2567" s="256" t="inlineStr">
        <is>
          <t>IPH — Institute of Public Health</t>
        </is>
      </c>
      <c r="O2567" s="256" t="inlineStr">
        <is>
          <t>12.01.2025</t>
        </is>
      </c>
      <c r="P2567" s="256" t="inlineStr">
        <is>
          <t>carried from the initial testing (CoQ-PP-2026-0006) — covered</t>
        </is>
      </c>
      <c r="Q2567" s="256" t="inlineStr"/>
      <c r="R2567" s="256" t="inlineStr"/>
    </row>
    <row r="2568">
      <c r="A2568" s="256" t="inlineStr">
        <is>
          <t>CoQ-PP_26-112</t>
        </is>
      </c>
      <c r="B2568" s="256" t="inlineStr">
        <is>
          <t>reissue — retest</t>
        </is>
      </c>
      <c r="C2568" s="256" t="inlineStr">
        <is>
          <t>CJ092501</t>
        </is>
      </c>
      <c r="D2568" s="256" t="inlineStr">
        <is>
          <t>P060072</t>
        </is>
      </c>
      <c r="E2568" s="256" t="inlineStr">
        <is>
          <t>Cap Junky</t>
        </is>
      </c>
      <c r="F2568" s="256" t="inlineStr">
        <is>
          <t>18.09.2026</t>
        </is>
      </c>
      <c r="G2568" s="256" t="inlineStr">
        <is>
          <t>9.6</t>
        </is>
      </c>
      <c r="H2568" s="256" t="inlineStr">
        <is>
          <t>Pseudomonas aeruginosa</t>
        </is>
      </c>
      <c r="I2568" s="256" t="inlineStr">
        <is>
          <t>Ph. Eur. 2.6.13 cat. C</t>
        </is>
      </c>
      <c r="J2568" s="256" t="inlineStr">
        <is>
          <t>Absence | Отсуство / 1 g</t>
        </is>
      </c>
      <c r="K2568" s="260" t="inlineStr">
        <is>
          <t>upon request — not required for release</t>
        </is>
      </c>
      <c r="L2568" s="256" t="inlineStr">
        <is>
          <t>—</t>
        </is>
      </c>
      <c r="M2568" s="256" t="inlineStr">
        <is>
          <t>—</t>
        </is>
      </c>
      <c r="N2568" s="256" t="inlineStr">
        <is>
          <t>—</t>
        </is>
      </c>
      <c r="O2568" s="256" t="inlineStr">
        <is>
          <t>—</t>
        </is>
      </c>
      <c r="P2568" s="256" t="inlineStr">
        <is>
          <t>upon request — not required for release</t>
        </is>
      </c>
      <c r="Q2568" s="256" t="inlineStr"/>
      <c r="R2568" s="256" t="inlineStr"/>
    </row>
    <row r="2569">
      <c r="A2569" s="256" t="inlineStr">
        <is>
          <t>CoQ-PP_26-112</t>
        </is>
      </c>
      <c r="B2569" s="256" t="inlineStr">
        <is>
          <t>reissue — retest</t>
        </is>
      </c>
      <c r="C2569" s="256" t="inlineStr">
        <is>
          <t>CJ092501</t>
        </is>
      </c>
      <c r="D2569" s="256" t="inlineStr">
        <is>
          <t>P060072</t>
        </is>
      </c>
      <c r="E2569" s="256" t="inlineStr">
        <is>
          <t>Cap Junky</t>
        </is>
      </c>
      <c r="F2569" s="256" t="inlineStr">
        <is>
          <t>18.09.2026</t>
        </is>
      </c>
      <c r="G2569" s="256" t="inlineStr">
        <is>
          <t>9.7</t>
        </is>
      </c>
      <c r="H2569" s="256" t="inlineStr">
        <is>
          <t>Staphylococcus aureus</t>
        </is>
      </c>
      <c r="I2569" s="256" t="inlineStr">
        <is>
          <t>Ph. Eur. 2.6.13 cat. C</t>
        </is>
      </c>
      <c r="J2569" s="256" t="inlineStr">
        <is>
          <t>Absence | Отсуство / 1 g</t>
        </is>
      </c>
      <c r="K2569" s="260" t="inlineStr">
        <is>
          <t>upon request — not required for release</t>
        </is>
      </c>
      <c r="L2569" s="256" t="inlineStr">
        <is>
          <t>—</t>
        </is>
      </c>
      <c r="M2569" s="256" t="inlineStr">
        <is>
          <t>—</t>
        </is>
      </c>
      <c r="N2569" s="256" t="inlineStr">
        <is>
          <t>—</t>
        </is>
      </c>
      <c r="O2569" s="256" t="inlineStr">
        <is>
          <t>—</t>
        </is>
      </c>
      <c r="P2569" s="256" t="inlineStr">
        <is>
          <t>upon request — not required for release</t>
        </is>
      </c>
      <c r="Q2569" s="256" t="inlineStr"/>
      <c r="R2569" s="256" t="inlineStr"/>
    </row>
    <row r="2570">
      <c r="A2570" s="256" t="inlineStr">
        <is>
          <t>CoQ-PP_26-112</t>
        </is>
      </c>
      <c r="B2570" s="256" t="inlineStr">
        <is>
          <t>reissue — retest</t>
        </is>
      </c>
      <c r="C2570" s="256" t="inlineStr">
        <is>
          <t>CJ092501</t>
        </is>
      </c>
      <c r="D2570" s="256" t="inlineStr">
        <is>
          <t>P060072</t>
        </is>
      </c>
      <c r="E2570" s="256" t="inlineStr">
        <is>
          <t>Cap Junky</t>
        </is>
      </c>
      <c r="F2570" s="256" t="inlineStr">
        <is>
          <t>18.09.2026</t>
        </is>
      </c>
      <c r="G2570" s="256" t="inlineStr">
        <is>
          <t>10.1</t>
        </is>
      </c>
      <c r="H2570" s="256" t="inlineStr">
        <is>
          <t>Aflatoxin B₁</t>
        </is>
      </c>
      <c r="I2570" s="256" t="inlineStr">
        <is>
          <t>Ph. Eur. 2.8.18 (HPLC-FLD)</t>
        </is>
      </c>
      <c r="J2570" s="256" t="inlineStr">
        <is>
          <t>≤ 2 µg/kg</t>
        </is>
      </c>
      <c r="K2570" s="256" t="inlineStr">
        <is>
          <t>ND</t>
        </is>
      </c>
      <c r="L2570" s="256" t="inlineStr">
        <is>
          <t>220-5-М/26</t>
        </is>
      </c>
      <c r="M2570" s="256" t="inlineStr">
        <is>
          <t>11.09.2026</t>
        </is>
      </c>
      <c r="N2570" s="256" t="inlineStr">
        <is>
          <t>Farmahem</t>
        </is>
      </c>
      <c r="O2570" s="256" t="inlineStr">
        <is>
          <t>17.08.2026</t>
        </is>
      </c>
      <c r="P2570" s="256" t="inlineStr">
        <is>
          <t>covered</t>
        </is>
      </c>
      <c r="Q2570" s="256" t="inlineStr"/>
      <c r="R2570" s="256" t="inlineStr"/>
    </row>
    <row r="2571">
      <c r="A2571" s="256" t="inlineStr">
        <is>
          <t>CoQ-PP_26-112</t>
        </is>
      </c>
      <c r="B2571" s="256" t="inlineStr">
        <is>
          <t>reissue — retest</t>
        </is>
      </c>
      <c r="C2571" s="256" t="inlineStr">
        <is>
          <t>CJ092501</t>
        </is>
      </c>
      <c r="D2571" s="256" t="inlineStr">
        <is>
          <t>P060072</t>
        </is>
      </c>
      <c r="E2571" s="256" t="inlineStr">
        <is>
          <t>Cap Junky</t>
        </is>
      </c>
      <c r="F2571" s="256" t="inlineStr">
        <is>
          <t>18.09.2026</t>
        </is>
      </c>
      <c r="G2571" s="256" t="inlineStr">
        <is>
          <t>10.2</t>
        </is>
      </c>
      <c r="H2571" s="256" t="inlineStr">
        <is>
          <t>Aflatoxins ∑</t>
        </is>
      </c>
      <c r="I2571" s="256" t="inlineStr">
        <is>
          <t>Ph. Eur. 2.8.18 (HPLC-FLD)</t>
        </is>
      </c>
      <c r="J2571" s="256" t="inlineStr">
        <is>
          <t>≤ 4 µg/kg</t>
        </is>
      </c>
      <c r="K2571" s="256" t="inlineStr">
        <is>
          <t>ND</t>
        </is>
      </c>
      <c r="L2571" s="256" t="inlineStr">
        <is>
          <t>220-5-М/26</t>
        </is>
      </c>
      <c r="M2571" s="256" t="inlineStr">
        <is>
          <t>11.09.2026</t>
        </is>
      </c>
      <c r="N2571" s="256" t="inlineStr">
        <is>
          <t>Farmahem</t>
        </is>
      </c>
      <c r="O2571" s="256" t="inlineStr">
        <is>
          <t>17.08.2026</t>
        </is>
      </c>
      <c r="P2571" s="256" t="inlineStr">
        <is>
          <t>covered</t>
        </is>
      </c>
      <c r="Q2571" s="256" t="inlineStr"/>
      <c r="R2571" s="256" t="inlineStr"/>
    </row>
    <row r="2572">
      <c r="A2572" s="256" t="inlineStr">
        <is>
          <t>CoQ-PP_26-112</t>
        </is>
      </c>
      <c r="B2572" s="256" t="inlineStr">
        <is>
          <t>reissue — retest</t>
        </is>
      </c>
      <c r="C2572" s="256" t="inlineStr">
        <is>
          <t>CJ092501</t>
        </is>
      </c>
      <c r="D2572" s="256" t="inlineStr">
        <is>
          <t>P060072</t>
        </is>
      </c>
      <c r="E2572" s="256" t="inlineStr">
        <is>
          <t>Cap Junky</t>
        </is>
      </c>
      <c r="F2572" s="256" t="inlineStr">
        <is>
          <t>18.09.2026</t>
        </is>
      </c>
      <c r="G2572" s="256" t="inlineStr">
        <is>
          <t>10.3</t>
        </is>
      </c>
      <c r="H2572" s="256" t="inlineStr">
        <is>
          <t>Ochratoxin A</t>
        </is>
      </c>
      <c r="I2572" s="256" t="inlineStr">
        <is>
          <t>Ph. Eur. 2.8.22 (HPLC-FLD)</t>
        </is>
      </c>
      <c r="J2572" s="256" t="inlineStr">
        <is>
          <t>≤ 20 µg/kg</t>
        </is>
      </c>
      <c r="K2572" s="256" t="inlineStr">
        <is>
          <t>ND</t>
        </is>
      </c>
      <c r="L2572" s="256" t="inlineStr">
        <is>
          <t>220-5-М/26</t>
        </is>
      </c>
      <c r="M2572" s="256" t="inlineStr">
        <is>
          <t>11.09.2026</t>
        </is>
      </c>
      <c r="N2572" s="256" t="inlineStr">
        <is>
          <t>Farmahem</t>
        </is>
      </c>
      <c r="O2572" s="256" t="inlineStr">
        <is>
          <t>17.08.2026</t>
        </is>
      </c>
      <c r="P2572" s="256" t="inlineStr">
        <is>
          <t>covered</t>
        </is>
      </c>
      <c r="Q2572" s="256" t="inlineStr"/>
      <c r="R2572" s="256" t="inlineStr"/>
    </row>
    <row r="2573">
      <c r="A2573" s="256" t="inlineStr">
        <is>
          <t>CoQ-PP_26-112</t>
        </is>
      </c>
      <c r="B2573" s="256" t="inlineStr">
        <is>
          <t>reissue — retest</t>
        </is>
      </c>
      <c r="C2573" s="256" t="inlineStr">
        <is>
          <t>CJ092501</t>
        </is>
      </c>
      <c r="D2573" s="256" t="inlineStr">
        <is>
          <t>P060072</t>
        </is>
      </c>
      <c r="E2573" s="256" t="inlineStr">
        <is>
          <t>Cap Junky</t>
        </is>
      </c>
      <c r="F2573" s="256" t="inlineStr">
        <is>
          <t>18.09.2026</t>
        </is>
      </c>
      <c r="G2573" s="256" t="inlineStr">
        <is>
          <t>11.1</t>
        </is>
      </c>
      <c r="H2573" s="256" t="inlineStr">
        <is>
          <t>Lead (Pb)</t>
        </is>
      </c>
      <c r="I2573" s="256" t="inlineStr">
        <is>
          <t>Ph. Eur. 2.4.27 (ICP-MS)</t>
        </is>
      </c>
      <c r="J2573" s="256" t="inlineStr">
        <is>
          <t>≤ 0.5 mg/kg</t>
        </is>
      </c>
      <c r="K2573" s="256" t="inlineStr">
        <is>
          <t>0.04</t>
        </is>
      </c>
      <c r="L2573" s="256" t="inlineStr">
        <is>
          <t>86/2026</t>
        </is>
      </c>
      <c r="M2573" s="256" t="inlineStr">
        <is>
          <t>02.02.2026</t>
        </is>
      </c>
      <c r="N2573" s="256" t="inlineStr">
        <is>
          <t>IPH — Institute of Public Health</t>
        </is>
      </c>
      <c r="O2573" s="256" t="inlineStr">
        <is>
          <t>08.01.2026</t>
        </is>
      </c>
      <c r="P2573" s="256" t="inlineStr">
        <is>
          <t>carried from the initial testing (CoQ-PP-2026-0006) — covered</t>
        </is>
      </c>
      <c r="Q2573" s="256" t="inlineStr"/>
      <c r="R2573" s="256" t="inlineStr"/>
    </row>
    <row r="2574">
      <c r="A2574" s="256" t="inlineStr">
        <is>
          <t>CoQ-PP_26-112</t>
        </is>
      </c>
      <c r="B2574" s="256" t="inlineStr">
        <is>
          <t>reissue — retest</t>
        </is>
      </c>
      <c r="C2574" s="256" t="inlineStr">
        <is>
          <t>CJ092501</t>
        </is>
      </c>
      <c r="D2574" s="256" t="inlineStr">
        <is>
          <t>P060072</t>
        </is>
      </c>
      <c r="E2574" s="256" t="inlineStr">
        <is>
          <t>Cap Junky</t>
        </is>
      </c>
      <c r="F2574" s="256" t="inlineStr">
        <is>
          <t>18.09.2026</t>
        </is>
      </c>
      <c r="G2574" s="256" t="inlineStr">
        <is>
          <t>11.2</t>
        </is>
      </c>
      <c r="H2574" s="256" t="inlineStr">
        <is>
          <t>Cadmium (Cd)</t>
        </is>
      </c>
      <c r="I2574" s="256" t="inlineStr">
        <is>
          <t>Ph. Eur. 2.4.27 (ICP-MS)</t>
        </is>
      </c>
      <c r="J2574" s="256" t="inlineStr">
        <is>
          <t>≤ 0.3 mg/kg</t>
        </is>
      </c>
      <c r="K2574" s="256" t="inlineStr">
        <is>
          <t>ND</t>
        </is>
      </c>
      <c r="L2574" s="256" t="inlineStr">
        <is>
          <t>86/2026</t>
        </is>
      </c>
      <c r="M2574" s="256" t="inlineStr">
        <is>
          <t>02.02.2026</t>
        </is>
      </c>
      <c r="N2574" s="256" t="inlineStr">
        <is>
          <t>IPH — Institute of Public Health</t>
        </is>
      </c>
      <c r="O2574" s="256" t="inlineStr">
        <is>
          <t>08.01.2026</t>
        </is>
      </c>
      <c r="P2574" s="256" t="inlineStr">
        <is>
          <t>carried from the initial testing (CoQ-PP-2026-0006) — covered</t>
        </is>
      </c>
      <c r="Q2574" s="256" t="inlineStr"/>
      <c r="R2574" s="256" t="inlineStr"/>
    </row>
    <row r="2575">
      <c r="A2575" s="256" t="inlineStr">
        <is>
          <t>CoQ-PP_26-112</t>
        </is>
      </c>
      <c r="B2575" s="256" t="inlineStr">
        <is>
          <t>reissue — retest</t>
        </is>
      </c>
      <c r="C2575" s="256" t="inlineStr">
        <is>
          <t>CJ092501</t>
        </is>
      </c>
      <c r="D2575" s="256" t="inlineStr">
        <is>
          <t>P060072</t>
        </is>
      </c>
      <c r="E2575" s="256" t="inlineStr">
        <is>
          <t>Cap Junky</t>
        </is>
      </c>
      <c r="F2575" s="256" t="inlineStr">
        <is>
          <t>18.09.2026</t>
        </is>
      </c>
      <c r="G2575" s="256" t="inlineStr">
        <is>
          <t>11.3</t>
        </is>
      </c>
      <c r="H2575" s="256" t="inlineStr">
        <is>
          <t>Arsenic (As)</t>
        </is>
      </c>
      <c r="I2575" s="256" t="inlineStr">
        <is>
          <t>Ph. Eur. 2.4.27 (ICP-MS)</t>
        </is>
      </c>
      <c r="J2575" s="256" t="inlineStr">
        <is>
          <t>≤ 0.2 mg/kg</t>
        </is>
      </c>
      <c r="K2575" s="256" t="inlineStr">
        <is>
          <t>ND</t>
        </is>
      </c>
      <c r="L2575" s="256" t="inlineStr">
        <is>
          <t>86/2026</t>
        </is>
      </c>
      <c r="M2575" s="256" t="inlineStr">
        <is>
          <t>02.02.2026</t>
        </is>
      </c>
      <c r="N2575" s="256" t="inlineStr">
        <is>
          <t>IPH — Institute of Public Health</t>
        </is>
      </c>
      <c r="O2575" s="256" t="inlineStr">
        <is>
          <t>08.01.2026</t>
        </is>
      </c>
      <c r="P2575" s="256" t="inlineStr">
        <is>
          <t>carried from the initial testing (CoQ-PP-2026-0006) — covered</t>
        </is>
      </c>
      <c r="Q2575" s="256" t="inlineStr"/>
      <c r="R2575" s="256" t="inlineStr"/>
    </row>
    <row r="2576">
      <c r="A2576" s="256" t="inlineStr">
        <is>
          <t>CoQ-PP_26-112</t>
        </is>
      </c>
      <c r="B2576" s="256" t="inlineStr">
        <is>
          <t>reissue — retest</t>
        </is>
      </c>
      <c r="C2576" s="256" t="inlineStr">
        <is>
          <t>CJ092501</t>
        </is>
      </c>
      <c r="D2576" s="256" t="inlineStr">
        <is>
          <t>P060072</t>
        </is>
      </c>
      <c r="E2576" s="256" t="inlineStr">
        <is>
          <t>Cap Junky</t>
        </is>
      </c>
      <c r="F2576" s="256" t="inlineStr">
        <is>
          <t>18.09.2026</t>
        </is>
      </c>
      <c r="G2576" s="256" t="inlineStr">
        <is>
          <t>11.4</t>
        </is>
      </c>
      <c r="H2576" s="256" t="inlineStr">
        <is>
          <t>Mercury (Hg)</t>
        </is>
      </c>
      <c r="I2576" s="256" t="inlineStr">
        <is>
          <t>Ph. Eur. 2.4.27 (ICP-MS)</t>
        </is>
      </c>
      <c r="J2576" s="256" t="inlineStr">
        <is>
          <t>≤ 0.1 mg/kg</t>
        </is>
      </c>
      <c r="K2576" s="256" t="inlineStr">
        <is>
          <t>0.004</t>
        </is>
      </c>
      <c r="L2576" s="256" t="inlineStr">
        <is>
          <t>86/2026</t>
        </is>
      </c>
      <c r="M2576" s="256" t="inlineStr">
        <is>
          <t>02.02.2026</t>
        </is>
      </c>
      <c r="N2576" s="256" t="inlineStr">
        <is>
          <t>IPH — Institute of Public Health</t>
        </is>
      </c>
      <c r="O2576" s="256" t="inlineStr">
        <is>
          <t>08.01.2026</t>
        </is>
      </c>
      <c r="P2576" s="256" t="inlineStr">
        <is>
          <t>carried from the initial testing (CoQ-PP-2026-0006) — covered</t>
        </is>
      </c>
      <c r="Q2576" s="256" t="inlineStr"/>
      <c r="R2576" s="256" t="inlineStr"/>
    </row>
    <row r="2577">
      <c r="A2577" s="256" t="inlineStr">
        <is>
          <t>CoQ-PP_26-112</t>
        </is>
      </c>
      <c r="B2577" s="256" t="inlineStr">
        <is>
          <t>reissue — retest</t>
        </is>
      </c>
      <c r="C2577" s="256" t="inlineStr">
        <is>
          <t>CJ092501</t>
        </is>
      </c>
      <c r="D2577" s="256" t="inlineStr">
        <is>
          <t>P060072</t>
        </is>
      </c>
      <c r="E2577" s="256" t="inlineStr">
        <is>
          <t>Cap Junky</t>
        </is>
      </c>
      <c r="F2577" s="256" t="inlineStr">
        <is>
          <t>18.09.2026</t>
        </is>
      </c>
      <c r="G2577" s="256" t="inlineStr">
        <is>
          <t>12</t>
        </is>
      </c>
      <c r="H2577" s="256" t="inlineStr">
        <is>
          <t>Pesticide Residues</t>
        </is>
      </c>
      <c r="I2577" s="256" t="inlineStr">
        <is>
          <t>Ph. Eur. 2.8.13 (LC-MS/MS) · CUMCS Equivalency</t>
        </is>
      </c>
      <c r="J2577" s="256" t="inlineStr">
        <is>
          <t>≤ LOQ as per Ph. Eur. 2.8.13 · ≤ LOQ as per CUMCS Equivalency</t>
        </is>
      </c>
      <c r="K2577" s="256" t="inlineStr">
        <is>
          <t>ND</t>
        </is>
      </c>
      <c r="L2577" s="256" t="inlineStr">
        <is>
          <t>86/2026</t>
        </is>
      </c>
      <c r="M2577" s="256" t="inlineStr">
        <is>
          <t>02.02.2026</t>
        </is>
      </c>
      <c r="N2577" s="256" t="inlineStr">
        <is>
          <t>IPH — Institute of Public Health</t>
        </is>
      </c>
      <c r="O2577" s="256" t="inlineStr">
        <is>
          <t>08.01.2026</t>
        </is>
      </c>
      <c r="P2577" s="256" t="inlineStr">
        <is>
          <t>carried from the initial testing (CoQ-PP-2026-0006) — covered</t>
        </is>
      </c>
      <c r="Q2577" s="256" t="inlineStr"/>
      <c r="R2577" s="256" t="inlineStr"/>
    </row>
    <row r="2578">
      <c r="A2578" s="256" t="inlineStr">
        <is>
          <t>CoQ-PP_26-113</t>
        </is>
      </c>
      <c r="B2578" s="256" t="inlineStr">
        <is>
          <t>reissue — retest</t>
        </is>
      </c>
      <c r="C2578" s="256" t="inlineStr">
        <is>
          <t>CLE072501</t>
        </is>
      </c>
      <c r="D2578" s="256" t="inlineStr">
        <is>
          <t>P050282</t>
        </is>
      </c>
      <c r="E2578" s="256" t="inlineStr">
        <is>
          <t>Clemosa A Bud</t>
        </is>
      </c>
      <c r="F2578" s="256" t="inlineStr">
        <is>
          <t>18.09.2026</t>
        </is>
      </c>
      <c r="G2578" s="256" t="inlineStr">
        <is>
          <t>1</t>
        </is>
      </c>
      <c r="H2578" s="256" t="inlineStr">
        <is>
          <t>Identification A, Appearance · Macroscopic</t>
        </is>
      </c>
      <c r="I2578" s="256" t="inlineStr">
        <is>
          <t>Ph. Eur. mon. 3028</t>
        </is>
      </c>
      <c r="J2578" s="256" t="inlineStr">
        <is>
          <t>Conforms to the monograph for Cannabis flos (07/2024:3028) in Ph. Eur. 11.0 | Согласно монографија за Cannabis flos (07/2024:3028) во Ph. Eur. 11.0</t>
        </is>
      </c>
      <c r="K2578" s="256" t="inlineStr">
        <is>
          <t>Conforms | Одговара</t>
        </is>
      </c>
      <c r="L2578" s="256" t="inlineStr">
        <is>
          <t>iCoA-PP_26-129</t>
        </is>
      </c>
      <c r="M2578" s="256" t="inlineStr">
        <is>
          <t>17.08.2026</t>
        </is>
      </c>
      <c r="N2578" s="256" t="inlineStr">
        <is>
          <t>Purely Plant GmbH (in-house)</t>
        </is>
      </c>
      <c r="O2578" s="256" t="inlineStr">
        <is>
          <t>—</t>
        </is>
      </c>
      <c r="P2578" s="256" t="inlineStr">
        <is>
          <t>covered</t>
        </is>
      </c>
      <c r="Q2578" s="256" t="inlineStr">
        <is>
          <t>Farmahem — Ident A + B + C with the Assay, at retest</t>
        </is>
      </c>
      <c r="R2578" s="256" t="inlineStr"/>
    </row>
    <row r="2579">
      <c r="A2579" s="256" t="inlineStr">
        <is>
          <t>CoQ-PP_26-113</t>
        </is>
      </c>
      <c r="B2579" s="256" t="inlineStr">
        <is>
          <t>reissue — retest</t>
        </is>
      </c>
      <c r="C2579" s="256" t="inlineStr">
        <is>
          <t>CLE072501</t>
        </is>
      </c>
      <c r="D2579" s="256" t="inlineStr">
        <is>
          <t>P050282</t>
        </is>
      </c>
      <c r="E2579" s="256" t="inlineStr">
        <is>
          <t>Clemosa A Bud</t>
        </is>
      </c>
      <c r="F2579" s="256" t="inlineStr">
        <is>
          <t>18.09.2026</t>
        </is>
      </c>
      <c r="G2579" s="256" t="inlineStr">
        <is>
          <t>2</t>
        </is>
      </c>
      <c r="H2579" s="256" t="inlineStr">
        <is>
          <t>Identification B · Microscopic</t>
        </is>
      </c>
      <c r="I2579" s="256" t="inlineStr">
        <is>
          <t>Ph. Eur. 2.8.23 (microscopy)</t>
        </is>
      </c>
      <c r="J2579" s="256" t="inlineStr">
        <is>
          <t>Conforms to the monograph for Cannabis flos (07/2024:3028) in Ph. Eur. 11.0 | Согласно монографија за Cannabis flos (07/2024:3028) во Ph. Eur. 11.0</t>
        </is>
      </c>
      <c r="K2579" s="256" t="inlineStr">
        <is>
          <t>Conforms | Одговара</t>
        </is>
      </c>
      <c r="L2579" s="256" t="inlineStr">
        <is>
          <t>iCoA-PP_26-129</t>
        </is>
      </c>
      <c r="M2579" s="256" t="inlineStr">
        <is>
          <t>17.08.2026</t>
        </is>
      </c>
      <c r="N2579" s="256" t="inlineStr">
        <is>
          <t>Purely Plant GmbH (in-house)</t>
        </is>
      </c>
      <c r="O2579" s="256" t="inlineStr">
        <is>
          <t>—</t>
        </is>
      </c>
      <c r="P2579" s="256" t="inlineStr">
        <is>
          <t>covered</t>
        </is>
      </c>
      <c r="Q2579" s="256" t="inlineStr">
        <is>
          <t>Farmahem — Ident A + B + C with the Assay, at retest</t>
        </is>
      </c>
      <c r="R2579" s="256" t="inlineStr"/>
    </row>
    <row r="2580">
      <c r="A2580" s="256" t="inlineStr">
        <is>
          <t>CoQ-PP_26-113</t>
        </is>
      </c>
      <c r="B2580" s="256" t="inlineStr">
        <is>
          <t>reissue — retest</t>
        </is>
      </c>
      <c r="C2580" s="256" t="inlineStr">
        <is>
          <t>CLE072501</t>
        </is>
      </c>
      <c r="D2580" s="256" t="inlineStr">
        <is>
          <t>P050282</t>
        </is>
      </c>
      <c r="E2580" s="256" t="inlineStr">
        <is>
          <t>Clemosa A Bud</t>
        </is>
      </c>
      <c r="F2580" s="256" t="inlineStr">
        <is>
          <t>18.09.2026</t>
        </is>
      </c>
      <c r="G2580" s="256" t="inlineStr">
        <is>
          <t>3</t>
        </is>
      </c>
      <c r="H2580" s="256" t="inlineStr">
        <is>
          <t>Identification C · HPLC/HPTLC</t>
        </is>
      </c>
      <c r="I2580" s="256" t="inlineStr">
        <is>
          <t>Ph. Eur. 2.2.29 (3028)</t>
        </is>
      </c>
      <c r="J2580" s="256" t="inlineStr">
        <is>
          <t>Conforms to the monograph for Cannabis flos (07/2024:3028) in Ph. Eur. 11.0 | Согласно монографија за Cannabis flos (07/2024:3028) во Ph. Eur. 11.0</t>
        </is>
      </c>
      <c r="K2580" s="256" t="inlineStr">
        <is>
          <t>Conforms | Одговара</t>
        </is>
      </c>
      <c r="L2580" s="256" t="inlineStr">
        <is>
          <t>220-7-К/26</t>
        </is>
      </c>
      <c r="M2580" s="256" t="inlineStr">
        <is>
          <t>25.08.2026</t>
        </is>
      </c>
      <c r="N2580" s="256" t="inlineStr">
        <is>
          <t>Farmahem</t>
        </is>
      </c>
      <c r="O2580" s="256" t="inlineStr">
        <is>
          <t>17.08.2026</t>
        </is>
      </c>
      <c r="P2580" s="256" t="inlineStr">
        <is>
          <t>covered</t>
        </is>
      </c>
      <c r="Q2580" s="256" t="inlineStr"/>
      <c r="R2580" s="256" t="inlineStr"/>
    </row>
    <row r="2581">
      <c r="A2581" s="256" t="inlineStr">
        <is>
          <t>CoQ-PP_26-113</t>
        </is>
      </c>
      <c r="B2581" s="256" t="inlineStr">
        <is>
          <t>reissue — retest</t>
        </is>
      </c>
      <c r="C2581" s="256" t="inlineStr">
        <is>
          <t>CLE072501</t>
        </is>
      </c>
      <c r="D2581" s="256" t="inlineStr">
        <is>
          <t>P050282</t>
        </is>
      </c>
      <c r="E2581" s="256" t="inlineStr">
        <is>
          <t>Clemosa A Bud</t>
        </is>
      </c>
      <c r="F2581" s="256" t="inlineStr">
        <is>
          <t>18.09.2026</t>
        </is>
      </c>
      <c r="G2581" s="256" t="inlineStr">
        <is>
          <t>4</t>
        </is>
      </c>
      <c r="H2581" s="256" t="inlineStr">
        <is>
          <t>Assay — Total Δ⁹-THC</t>
        </is>
      </c>
      <c r="I2581" s="256" t="inlineStr">
        <is>
          <t>Ph. Eur. 2.2.29 (HPLC)</t>
        </is>
      </c>
      <c r="J2581" s="256" t="inlineStr">
        <is>
          <t>7.20 – 8.79 %  (grade I, nominal 8.00 ± 0.80)</t>
        </is>
      </c>
      <c r="K2581" s="256" t="inlineStr">
        <is>
          <t>8.65</t>
        </is>
      </c>
      <c r="L2581" s="256" t="inlineStr">
        <is>
          <t>220-7-К/26</t>
        </is>
      </c>
      <c r="M2581" s="256" t="inlineStr">
        <is>
          <t>25.08.2026</t>
        </is>
      </c>
      <c r="N2581" s="256" t="inlineStr">
        <is>
          <t>Farmahem</t>
        </is>
      </c>
      <c r="O2581" s="256" t="inlineStr">
        <is>
          <t>17.08.2026</t>
        </is>
      </c>
      <c r="P2581" s="256" t="inlineStr">
        <is>
          <t>covered</t>
        </is>
      </c>
      <c r="Q2581" s="256" t="inlineStr"/>
      <c r="R2581" s="256" t="inlineStr"/>
    </row>
    <row r="2582">
      <c r="A2582" s="256" t="inlineStr">
        <is>
          <t>CoQ-PP_26-113</t>
        </is>
      </c>
      <c r="B2582" s="256" t="inlineStr">
        <is>
          <t>reissue — retest</t>
        </is>
      </c>
      <c r="C2582" s="256" t="inlineStr">
        <is>
          <t>CLE072501</t>
        </is>
      </c>
      <c r="D2582" s="256" t="inlineStr">
        <is>
          <t>P050282</t>
        </is>
      </c>
      <c r="E2582" s="256" t="inlineStr">
        <is>
          <t>Clemosa A Bud</t>
        </is>
      </c>
      <c r="F2582" s="256" t="inlineStr">
        <is>
          <t>18.09.2026</t>
        </is>
      </c>
      <c r="G2582" s="256" t="inlineStr">
        <is>
          <t>5</t>
        </is>
      </c>
      <c r="H2582" s="256" t="inlineStr">
        <is>
          <t>Assay — Total CBD</t>
        </is>
      </c>
      <c r="I2582" s="256" t="inlineStr">
        <is>
          <t>Ph. Eur. 2.2.29 (HPLC) · CBD + CBDA x 0.877</t>
        </is>
      </c>
      <c r="J2582" s="256" t="inlineStr">
        <is>
          <t>≤ 1.0%, w/w</t>
        </is>
      </c>
      <c r="K2582" s="256" t="inlineStr">
        <is>
          <t>&lt; LOQ</t>
        </is>
      </c>
      <c r="L2582" s="256" t="inlineStr">
        <is>
          <t>220-7-К/26</t>
        </is>
      </c>
      <c r="M2582" s="256" t="inlineStr">
        <is>
          <t>25.08.2026</t>
        </is>
      </c>
      <c r="N2582" s="256" t="inlineStr">
        <is>
          <t>Farmahem</t>
        </is>
      </c>
      <c r="O2582" s="256" t="inlineStr">
        <is>
          <t>17.08.2026</t>
        </is>
      </c>
      <c r="P2582" s="256" t="inlineStr">
        <is>
          <t>covered</t>
        </is>
      </c>
      <c r="Q2582" s="256" t="inlineStr"/>
      <c r="R2582" s="256" t="inlineStr"/>
    </row>
    <row r="2583">
      <c r="A2583" s="256" t="inlineStr">
        <is>
          <t>CoQ-PP_26-113</t>
        </is>
      </c>
      <c r="B2583" s="256" t="inlineStr">
        <is>
          <t>reissue — retest</t>
        </is>
      </c>
      <c r="C2583" s="256" t="inlineStr">
        <is>
          <t>CLE072501</t>
        </is>
      </c>
      <c r="D2583" s="256" t="inlineStr">
        <is>
          <t>P050282</t>
        </is>
      </c>
      <c r="E2583" s="256" t="inlineStr">
        <is>
          <t>Clemosa A Bud</t>
        </is>
      </c>
      <c r="F2583" s="256" t="inlineStr">
        <is>
          <t>18.09.2026</t>
        </is>
      </c>
      <c r="G2583" s="256" t="inlineStr">
        <is>
          <t>6</t>
        </is>
      </c>
      <c r="H2583" s="256" t="inlineStr">
        <is>
          <t>Total CBN</t>
        </is>
      </c>
      <c r="I2583" s="256" t="inlineStr">
        <is>
          <t>Ph. Eur. 2.2.29 (HPLC) · CBN + CBNA x 0.876</t>
        </is>
      </c>
      <c r="J2583" s="256" t="inlineStr">
        <is>
          <t>≤ 1.0%, w/w</t>
        </is>
      </c>
      <c r="K2583" s="256" t="inlineStr">
        <is>
          <t>&lt; LOQ</t>
        </is>
      </c>
      <c r="L2583" s="256" t="inlineStr">
        <is>
          <t>220-7-К/26</t>
        </is>
      </c>
      <c r="M2583" s="256" t="inlineStr">
        <is>
          <t>25.08.2026</t>
        </is>
      </c>
      <c r="N2583" s="256" t="inlineStr">
        <is>
          <t>Farmahem</t>
        </is>
      </c>
      <c r="O2583" s="256" t="inlineStr">
        <is>
          <t>17.08.2026</t>
        </is>
      </c>
      <c r="P2583" s="256" t="inlineStr">
        <is>
          <t>covered</t>
        </is>
      </c>
      <c r="Q2583" s="256" t="inlineStr"/>
      <c r="R2583" s="256" t="inlineStr"/>
    </row>
    <row r="2584">
      <c r="A2584" s="256" t="inlineStr">
        <is>
          <t>CoQ-PP_26-113</t>
        </is>
      </c>
      <c r="B2584" s="256" t="inlineStr">
        <is>
          <t>reissue — retest</t>
        </is>
      </c>
      <c r="C2584" s="256" t="inlineStr">
        <is>
          <t>CLE072501</t>
        </is>
      </c>
      <c r="D2584" s="256" t="inlineStr">
        <is>
          <t>P050282</t>
        </is>
      </c>
      <c r="E2584" s="256" t="inlineStr">
        <is>
          <t>Clemosa A Bud</t>
        </is>
      </c>
      <c r="F2584" s="256" t="inlineStr">
        <is>
          <t>18.09.2026</t>
        </is>
      </c>
      <c r="G2584" s="256" t="inlineStr">
        <is>
          <t>7</t>
        </is>
      </c>
      <c r="H2584" s="256" t="inlineStr">
        <is>
          <t>Foreign Matter</t>
        </is>
      </c>
      <c r="I2584" s="256" t="inlineStr">
        <is>
          <t>Ph. Eur. 2.8.2 · In-house · интерна</t>
        </is>
      </c>
      <c r="J2584" s="256" t="inlineStr">
        <is>
          <t>≤ 2.0% / 25–50 g · &lt; 1 cm leaves | листови, no seeds | без семки</t>
        </is>
      </c>
      <c r="K2584" s="256" t="inlineStr">
        <is>
          <t>Conforms | Одговара</t>
        </is>
      </c>
      <c r="L2584" s="256" t="inlineStr">
        <is>
          <t>iCoA-PP_26-129</t>
        </is>
      </c>
      <c r="M2584" s="256" t="inlineStr">
        <is>
          <t>17.08.2026</t>
        </is>
      </c>
      <c r="N2584" s="256" t="inlineStr">
        <is>
          <t>Purely Plant GmbH (in-house)</t>
        </is>
      </c>
      <c r="O2584" s="256" t="inlineStr">
        <is>
          <t>—</t>
        </is>
      </c>
      <c r="P2584" s="256" t="inlineStr">
        <is>
          <t>covered</t>
        </is>
      </c>
      <c r="Q2584" s="256" t="inlineStr">
        <is>
          <t>Purely Plant laboratory — iCoA covering Foreign matter</t>
        </is>
      </c>
      <c r="R2584" s="256" t="inlineStr"/>
    </row>
    <row r="2585">
      <c r="A2585" s="256" t="inlineStr">
        <is>
          <t>CoQ-PP_26-113</t>
        </is>
      </c>
      <c r="B2585" s="256" t="inlineStr">
        <is>
          <t>reissue — retest</t>
        </is>
      </c>
      <c r="C2585" s="256" t="inlineStr">
        <is>
          <t>CLE072501</t>
        </is>
      </c>
      <c r="D2585" s="256" t="inlineStr">
        <is>
          <t>P050282</t>
        </is>
      </c>
      <c r="E2585" s="256" t="inlineStr">
        <is>
          <t>Clemosa A Bud</t>
        </is>
      </c>
      <c r="F2585" s="256" t="inlineStr">
        <is>
          <t>18.09.2026</t>
        </is>
      </c>
      <c r="G2585" s="256" t="inlineStr">
        <is>
          <t>8</t>
        </is>
      </c>
      <c r="H2585" s="256" t="inlineStr">
        <is>
          <t>Loss on Drying</t>
        </is>
      </c>
      <c r="I2585" s="256" t="inlineStr">
        <is>
          <t>Ph. Eur. 2.2.32 (3028) · at 40 °C, 24 h, 15–25 mbar</t>
        </is>
      </c>
      <c r="J2585" s="256" t="inlineStr">
        <is>
          <t>≤ 12.0%</t>
        </is>
      </c>
      <c r="K2585" s="256" t="inlineStr">
        <is>
          <t>9.68</t>
        </is>
      </c>
      <c r="L2585" s="256" t="inlineStr">
        <is>
          <t>ППК25370</t>
        </is>
      </c>
      <c r="M2585" s="256" t="inlineStr">
        <is>
          <t>28.11.2025</t>
        </is>
      </c>
      <c r="N2585" s="256" t="inlineStr">
        <is>
          <t>CNP</t>
        </is>
      </c>
      <c r="O2585" s="256" t="inlineStr">
        <is>
          <t>24.11.2025</t>
        </is>
      </c>
      <c r="P2585" s="256" t="inlineStr">
        <is>
          <t>carried from the initial testing (CoQ-PP-2025-0019) — covered</t>
        </is>
      </c>
      <c r="Q2585" s="256" t="inlineStr"/>
      <c r="R2585" s="256" t="inlineStr"/>
    </row>
    <row r="2586">
      <c r="A2586" s="256" t="inlineStr">
        <is>
          <t>CoQ-PP_26-113</t>
        </is>
      </c>
      <c r="B2586" s="256" t="inlineStr">
        <is>
          <t>reissue — retest</t>
        </is>
      </c>
      <c r="C2586" s="256" t="inlineStr">
        <is>
          <t>CLE072501</t>
        </is>
      </c>
      <c r="D2586" s="256" t="inlineStr">
        <is>
          <t>P050282</t>
        </is>
      </c>
      <c r="E2586" s="256" t="inlineStr">
        <is>
          <t>Clemosa A Bud</t>
        </is>
      </c>
      <c r="F2586" s="256" t="inlineStr">
        <is>
          <t>18.09.2026</t>
        </is>
      </c>
      <c r="G2586" s="256" t="inlineStr">
        <is>
          <t>9.1</t>
        </is>
      </c>
      <c r="H2586" s="256" t="inlineStr">
        <is>
          <t>TAMC</t>
        </is>
      </c>
      <c r="I2586" s="256" t="inlineStr">
        <is>
          <t>Ph. Eur. 2.6.12 cat. C</t>
        </is>
      </c>
      <c r="J2586" s="256" t="inlineStr">
        <is>
          <t>≤ 10⁵ CFU/g</t>
        </is>
      </c>
      <c r="K2586" s="256" t="inlineStr">
        <is>
          <t>&lt; 10</t>
        </is>
      </c>
      <c r="L2586" s="256" t="inlineStr">
        <is>
          <t>1219/2170/25</t>
        </is>
      </c>
      <c r="M2586" s="256" t="inlineStr">
        <is>
          <t>01.12.2025</t>
        </is>
      </c>
      <c r="N2586" s="256" t="inlineStr">
        <is>
          <t>IPH — Institute of Public Health</t>
        </is>
      </c>
      <c r="O2586" s="256" t="inlineStr">
        <is>
          <t>26.11.2025</t>
        </is>
      </c>
      <c r="P2586" s="256" t="inlineStr">
        <is>
          <t>carried from the initial testing (CoQ-PP-2025-0019) — covered</t>
        </is>
      </c>
      <c r="Q2586" s="256" t="inlineStr"/>
      <c r="R2586" s="256" t="inlineStr"/>
    </row>
    <row r="2587">
      <c r="A2587" s="256" t="inlineStr">
        <is>
          <t>CoQ-PP_26-113</t>
        </is>
      </c>
      <c r="B2587" s="256" t="inlineStr">
        <is>
          <t>reissue — retest</t>
        </is>
      </c>
      <c r="C2587" s="256" t="inlineStr">
        <is>
          <t>CLE072501</t>
        </is>
      </c>
      <c r="D2587" s="256" t="inlineStr">
        <is>
          <t>P050282</t>
        </is>
      </c>
      <c r="E2587" s="256" t="inlineStr">
        <is>
          <t>Clemosa A Bud</t>
        </is>
      </c>
      <c r="F2587" s="256" t="inlineStr">
        <is>
          <t>18.09.2026</t>
        </is>
      </c>
      <c r="G2587" s="256" t="inlineStr">
        <is>
          <t>9.2</t>
        </is>
      </c>
      <c r="H2587" s="256" t="inlineStr">
        <is>
          <t>TYMC</t>
        </is>
      </c>
      <c r="I2587" s="256" t="inlineStr">
        <is>
          <t>Ph. Eur. 2.6.12 cat. C</t>
        </is>
      </c>
      <c r="J2587" s="256" t="inlineStr">
        <is>
          <t>≤ 10⁴ CFU/g</t>
        </is>
      </c>
      <c r="K2587" s="256" t="inlineStr">
        <is>
          <t>&lt; 10</t>
        </is>
      </c>
      <c r="L2587" s="256" t="inlineStr">
        <is>
          <t>1219/2170/25</t>
        </is>
      </c>
      <c r="M2587" s="256" t="inlineStr">
        <is>
          <t>01.12.2025</t>
        </is>
      </c>
      <c r="N2587" s="256" t="inlineStr">
        <is>
          <t>IPH — Institute of Public Health</t>
        </is>
      </c>
      <c r="O2587" s="256" t="inlineStr">
        <is>
          <t>26.11.2025</t>
        </is>
      </c>
      <c r="P2587" s="256" t="inlineStr">
        <is>
          <t>carried from the initial testing (CoQ-PP-2025-0019) — covered</t>
        </is>
      </c>
      <c r="Q2587" s="256" t="inlineStr"/>
      <c r="R2587" s="256" t="inlineStr"/>
    </row>
    <row r="2588">
      <c r="A2588" s="256" t="inlineStr">
        <is>
          <t>CoQ-PP_26-113</t>
        </is>
      </c>
      <c r="B2588" s="256" t="inlineStr">
        <is>
          <t>reissue — retest</t>
        </is>
      </c>
      <c r="C2588" s="256" t="inlineStr">
        <is>
          <t>CLE072501</t>
        </is>
      </c>
      <c r="D2588" s="256" t="inlineStr">
        <is>
          <t>P050282</t>
        </is>
      </c>
      <c r="E2588" s="256" t="inlineStr">
        <is>
          <t>Clemosa A Bud</t>
        </is>
      </c>
      <c r="F2588" s="256" t="inlineStr">
        <is>
          <t>18.09.2026</t>
        </is>
      </c>
      <c r="G2588" s="256" t="inlineStr">
        <is>
          <t>9.3</t>
        </is>
      </c>
      <c r="H2588" s="256" t="inlineStr">
        <is>
          <t>Bile-tolerant gram-neg.</t>
        </is>
      </c>
      <c r="I2588" s="256" t="inlineStr">
        <is>
          <t>Ph. Eur. 2.6.31 cat. C</t>
        </is>
      </c>
      <c r="J2588" s="256" t="inlineStr">
        <is>
          <t>≤ 10⁴ CFU/g</t>
        </is>
      </c>
      <c r="K2588" s="256" t="inlineStr">
        <is>
          <t>&lt; 10</t>
        </is>
      </c>
      <c r="L2588" s="256" t="inlineStr">
        <is>
          <t>1219/2170/25</t>
        </is>
      </c>
      <c r="M2588" s="256" t="inlineStr">
        <is>
          <t>01.12.2025</t>
        </is>
      </c>
      <c r="N2588" s="256" t="inlineStr">
        <is>
          <t>IPH — Institute of Public Health</t>
        </is>
      </c>
      <c r="O2588" s="256" t="inlineStr">
        <is>
          <t>26.11.2025</t>
        </is>
      </c>
      <c r="P2588" s="256" t="inlineStr">
        <is>
          <t>carried from the initial testing (CoQ-PP-2025-0019) — covered</t>
        </is>
      </c>
      <c r="Q2588" s="256" t="inlineStr"/>
      <c r="R2588" s="256" t="inlineStr"/>
    </row>
    <row r="2589">
      <c r="A2589" s="256" t="inlineStr">
        <is>
          <t>CoQ-PP_26-113</t>
        </is>
      </c>
      <c r="B2589" s="256" t="inlineStr">
        <is>
          <t>reissue — retest</t>
        </is>
      </c>
      <c r="C2589" s="256" t="inlineStr">
        <is>
          <t>CLE072501</t>
        </is>
      </c>
      <c r="D2589" s="256" t="inlineStr">
        <is>
          <t>P050282</t>
        </is>
      </c>
      <c r="E2589" s="256" t="inlineStr">
        <is>
          <t>Clemosa A Bud</t>
        </is>
      </c>
      <c r="F2589" s="256" t="inlineStr">
        <is>
          <t>18.09.2026</t>
        </is>
      </c>
      <c r="G2589" s="256" t="inlineStr">
        <is>
          <t>9.4</t>
        </is>
      </c>
      <c r="H2589" s="256" t="inlineStr">
        <is>
          <t>Salmonella</t>
        </is>
      </c>
      <c r="I2589" s="256" t="inlineStr">
        <is>
          <t>Ph. Eur. 2.6.31 cat. C</t>
        </is>
      </c>
      <c r="J2589" s="256" t="inlineStr">
        <is>
          <t>Absence | Отсуство / 25 g</t>
        </is>
      </c>
      <c r="K2589" s="256" t="inlineStr">
        <is>
          <t>Absent | Отсутна</t>
        </is>
      </c>
      <c r="L2589" s="256" t="inlineStr">
        <is>
          <t>1219/2170/25</t>
        </is>
      </c>
      <c r="M2589" s="256" t="inlineStr">
        <is>
          <t>01.12.2025</t>
        </is>
      </c>
      <c r="N2589" s="256" t="inlineStr">
        <is>
          <t>IPH — Institute of Public Health</t>
        </is>
      </c>
      <c r="O2589" s="256" t="inlineStr">
        <is>
          <t>26.11.2025</t>
        </is>
      </c>
      <c r="P2589" s="256" t="inlineStr">
        <is>
          <t>carried from the initial testing (CoQ-PP-2025-0019) — covered</t>
        </is>
      </c>
      <c r="Q2589" s="256" t="inlineStr"/>
      <c r="R2589" s="256" t="inlineStr"/>
    </row>
    <row r="2590">
      <c r="A2590" s="256" t="inlineStr">
        <is>
          <t>CoQ-PP_26-113</t>
        </is>
      </c>
      <c r="B2590" s="256" t="inlineStr">
        <is>
          <t>reissue — retest</t>
        </is>
      </c>
      <c r="C2590" s="256" t="inlineStr">
        <is>
          <t>CLE072501</t>
        </is>
      </c>
      <c r="D2590" s="256" t="inlineStr">
        <is>
          <t>P050282</t>
        </is>
      </c>
      <c r="E2590" s="256" t="inlineStr">
        <is>
          <t>Clemosa A Bud</t>
        </is>
      </c>
      <c r="F2590" s="256" t="inlineStr">
        <is>
          <t>18.09.2026</t>
        </is>
      </c>
      <c r="G2590" s="256" t="inlineStr">
        <is>
          <t>9.5</t>
        </is>
      </c>
      <c r="H2590" s="256" t="inlineStr">
        <is>
          <t>Escherichia coli</t>
        </is>
      </c>
      <c r="I2590" s="256" t="inlineStr">
        <is>
          <t>Ph. Eur. 2.6.13 cat. C</t>
        </is>
      </c>
      <c r="J2590" s="256" t="inlineStr">
        <is>
          <t>Absence | Отсуство / 1 g</t>
        </is>
      </c>
      <c r="K2590" s="256" t="inlineStr">
        <is>
          <t>Absent | Отсутна</t>
        </is>
      </c>
      <c r="L2590" s="256" t="inlineStr">
        <is>
          <t>1219/2170/25</t>
        </is>
      </c>
      <c r="M2590" s="256" t="inlineStr">
        <is>
          <t>01.12.2025</t>
        </is>
      </c>
      <c r="N2590" s="256" t="inlineStr">
        <is>
          <t>IPH — Institute of Public Health</t>
        </is>
      </c>
      <c r="O2590" s="256" t="inlineStr">
        <is>
          <t>26.11.2025</t>
        </is>
      </c>
      <c r="P2590" s="256" t="inlineStr">
        <is>
          <t>carried from the initial testing (CoQ-PP-2025-0019) — covered</t>
        </is>
      </c>
      <c r="Q2590" s="256" t="inlineStr"/>
      <c r="R2590" s="256" t="inlineStr"/>
    </row>
    <row r="2591">
      <c r="A2591" s="256" t="inlineStr">
        <is>
          <t>CoQ-PP_26-113</t>
        </is>
      </c>
      <c r="B2591" s="256" t="inlineStr">
        <is>
          <t>reissue — retest</t>
        </is>
      </c>
      <c r="C2591" s="256" t="inlineStr">
        <is>
          <t>CLE072501</t>
        </is>
      </c>
      <c r="D2591" s="256" t="inlineStr">
        <is>
          <t>P050282</t>
        </is>
      </c>
      <c r="E2591" s="256" t="inlineStr">
        <is>
          <t>Clemosa A Bud</t>
        </is>
      </c>
      <c r="F2591" s="256" t="inlineStr">
        <is>
          <t>18.09.2026</t>
        </is>
      </c>
      <c r="G2591" s="256" t="inlineStr">
        <is>
          <t>9.6</t>
        </is>
      </c>
      <c r="H2591" s="256" t="inlineStr">
        <is>
          <t>Pseudomonas aeruginosa</t>
        </is>
      </c>
      <c r="I2591" s="256" t="inlineStr">
        <is>
          <t>Ph. Eur. 2.6.13 cat. C</t>
        </is>
      </c>
      <c r="J2591" s="256" t="inlineStr">
        <is>
          <t>Absence | Отсуство / 1 g</t>
        </is>
      </c>
      <c r="K2591" s="260" t="inlineStr">
        <is>
          <t>upon request — not required for release</t>
        </is>
      </c>
      <c r="L2591" s="256" t="inlineStr">
        <is>
          <t>—</t>
        </is>
      </c>
      <c r="M2591" s="256" t="inlineStr">
        <is>
          <t>—</t>
        </is>
      </c>
      <c r="N2591" s="256" t="inlineStr">
        <is>
          <t>—</t>
        </is>
      </c>
      <c r="O2591" s="256" t="inlineStr">
        <is>
          <t>—</t>
        </is>
      </c>
      <c r="P2591" s="256" t="inlineStr">
        <is>
          <t>upon request — not required for release</t>
        </is>
      </c>
      <c r="Q2591" s="256" t="inlineStr"/>
      <c r="R2591" s="256" t="inlineStr"/>
    </row>
    <row r="2592">
      <c r="A2592" s="256" t="inlineStr">
        <is>
          <t>CoQ-PP_26-113</t>
        </is>
      </c>
      <c r="B2592" s="256" t="inlineStr">
        <is>
          <t>reissue — retest</t>
        </is>
      </c>
      <c r="C2592" s="256" t="inlineStr">
        <is>
          <t>CLE072501</t>
        </is>
      </c>
      <c r="D2592" s="256" t="inlineStr">
        <is>
          <t>P050282</t>
        </is>
      </c>
      <c r="E2592" s="256" t="inlineStr">
        <is>
          <t>Clemosa A Bud</t>
        </is>
      </c>
      <c r="F2592" s="256" t="inlineStr">
        <is>
          <t>18.09.2026</t>
        </is>
      </c>
      <c r="G2592" s="256" t="inlineStr">
        <is>
          <t>9.7</t>
        </is>
      </c>
      <c r="H2592" s="256" t="inlineStr">
        <is>
          <t>Staphylococcus aureus</t>
        </is>
      </c>
      <c r="I2592" s="256" t="inlineStr">
        <is>
          <t>Ph. Eur. 2.6.13 cat. C</t>
        </is>
      </c>
      <c r="J2592" s="256" t="inlineStr">
        <is>
          <t>Absence | Отсуство / 1 g</t>
        </is>
      </c>
      <c r="K2592" s="260" t="inlineStr">
        <is>
          <t>upon request — not required for release</t>
        </is>
      </c>
      <c r="L2592" s="256" t="inlineStr">
        <is>
          <t>—</t>
        </is>
      </c>
      <c r="M2592" s="256" t="inlineStr">
        <is>
          <t>—</t>
        </is>
      </c>
      <c r="N2592" s="256" t="inlineStr">
        <is>
          <t>—</t>
        </is>
      </c>
      <c r="O2592" s="256" t="inlineStr">
        <is>
          <t>—</t>
        </is>
      </c>
      <c r="P2592" s="256" t="inlineStr">
        <is>
          <t>upon request — not required for release</t>
        </is>
      </c>
      <c r="Q2592" s="256" t="inlineStr"/>
      <c r="R2592" s="256" t="inlineStr"/>
    </row>
    <row r="2593">
      <c r="A2593" s="256" t="inlineStr">
        <is>
          <t>CoQ-PP_26-113</t>
        </is>
      </c>
      <c r="B2593" s="256" t="inlineStr">
        <is>
          <t>reissue — retest</t>
        </is>
      </c>
      <c r="C2593" s="256" t="inlineStr">
        <is>
          <t>CLE072501</t>
        </is>
      </c>
      <c r="D2593" s="256" t="inlineStr">
        <is>
          <t>P050282</t>
        </is>
      </c>
      <c r="E2593" s="256" t="inlineStr">
        <is>
          <t>Clemosa A Bud</t>
        </is>
      </c>
      <c r="F2593" s="256" t="inlineStr">
        <is>
          <t>18.09.2026</t>
        </is>
      </c>
      <c r="G2593" s="256" t="inlineStr">
        <is>
          <t>10.1</t>
        </is>
      </c>
      <c r="H2593" s="256" t="inlineStr">
        <is>
          <t>Aflatoxin B₁</t>
        </is>
      </c>
      <c r="I2593" s="256" t="inlineStr">
        <is>
          <t>Ph. Eur. 2.8.18 (HPLC-FLD)</t>
        </is>
      </c>
      <c r="J2593" s="256" t="inlineStr">
        <is>
          <t>≤ 2 µg/kg</t>
        </is>
      </c>
      <c r="K2593" s="256" t="inlineStr">
        <is>
          <t>ND</t>
        </is>
      </c>
      <c r="L2593" s="256" t="inlineStr">
        <is>
          <t>220-7-М/26</t>
        </is>
      </c>
      <c r="M2593" s="256" t="inlineStr">
        <is>
          <t>11.09.2026</t>
        </is>
      </c>
      <c r="N2593" s="256" t="inlineStr">
        <is>
          <t>Farmahem</t>
        </is>
      </c>
      <c r="O2593" s="256" t="inlineStr">
        <is>
          <t>17.08.2026</t>
        </is>
      </c>
      <c r="P2593" s="256" t="inlineStr">
        <is>
          <t>covered</t>
        </is>
      </c>
      <c r="Q2593" s="256" t="inlineStr"/>
      <c r="R2593" s="256" t="inlineStr"/>
    </row>
    <row r="2594">
      <c r="A2594" s="256" t="inlineStr">
        <is>
          <t>CoQ-PP_26-113</t>
        </is>
      </c>
      <c r="B2594" s="256" t="inlineStr">
        <is>
          <t>reissue — retest</t>
        </is>
      </c>
      <c r="C2594" s="256" t="inlineStr">
        <is>
          <t>CLE072501</t>
        </is>
      </c>
      <c r="D2594" s="256" t="inlineStr">
        <is>
          <t>P050282</t>
        </is>
      </c>
      <c r="E2594" s="256" t="inlineStr">
        <is>
          <t>Clemosa A Bud</t>
        </is>
      </c>
      <c r="F2594" s="256" t="inlineStr">
        <is>
          <t>18.09.2026</t>
        </is>
      </c>
      <c r="G2594" s="256" t="inlineStr">
        <is>
          <t>10.2</t>
        </is>
      </c>
      <c r="H2594" s="256" t="inlineStr">
        <is>
          <t>Aflatoxins ∑</t>
        </is>
      </c>
      <c r="I2594" s="256" t="inlineStr">
        <is>
          <t>Ph. Eur. 2.8.18 (HPLC-FLD)</t>
        </is>
      </c>
      <c r="J2594" s="256" t="inlineStr">
        <is>
          <t>≤ 4 µg/kg</t>
        </is>
      </c>
      <c r="K2594" s="256" t="inlineStr">
        <is>
          <t>ND</t>
        </is>
      </c>
      <c r="L2594" s="256" t="inlineStr">
        <is>
          <t>220-7-М/26</t>
        </is>
      </c>
      <c r="M2594" s="256" t="inlineStr">
        <is>
          <t>11.09.2026</t>
        </is>
      </c>
      <c r="N2594" s="256" t="inlineStr">
        <is>
          <t>Farmahem</t>
        </is>
      </c>
      <c r="O2594" s="256" t="inlineStr">
        <is>
          <t>17.08.2026</t>
        </is>
      </c>
      <c r="P2594" s="256" t="inlineStr">
        <is>
          <t>covered</t>
        </is>
      </c>
      <c r="Q2594" s="256" t="inlineStr"/>
      <c r="R2594" s="256" t="inlineStr"/>
    </row>
    <row r="2595">
      <c r="A2595" s="256" t="inlineStr">
        <is>
          <t>CoQ-PP_26-113</t>
        </is>
      </c>
      <c r="B2595" s="256" t="inlineStr">
        <is>
          <t>reissue — retest</t>
        </is>
      </c>
      <c r="C2595" s="256" t="inlineStr">
        <is>
          <t>CLE072501</t>
        </is>
      </c>
      <c r="D2595" s="256" t="inlineStr">
        <is>
          <t>P050282</t>
        </is>
      </c>
      <c r="E2595" s="256" t="inlineStr">
        <is>
          <t>Clemosa A Bud</t>
        </is>
      </c>
      <c r="F2595" s="256" t="inlineStr">
        <is>
          <t>18.09.2026</t>
        </is>
      </c>
      <c r="G2595" s="256" t="inlineStr">
        <is>
          <t>10.3</t>
        </is>
      </c>
      <c r="H2595" s="256" t="inlineStr">
        <is>
          <t>Ochratoxin A</t>
        </is>
      </c>
      <c r="I2595" s="256" t="inlineStr">
        <is>
          <t>Ph. Eur. 2.8.22 (HPLC-FLD)</t>
        </is>
      </c>
      <c r="J2595" s="256" t="inlineStr">
        <is>
          <t>≤ 20 µg/kg</t>
        </is>
      </c>
      <c r="K2595" s="256" t="inlineStr">
        <is>
          <t>ND</t>
        </is>
      </c>
      <c r="L2595" s="256" t="inlineStr">
        <is>
          <t>220-7-М/26</t>
        </is>
      </c>
      <c r="M2595" s="256" t="inlineStr">
        <is>
          <t>11.09.2026</t>
        </is>
      </c>
      <c r="N2595" s="256" t="inlineStr">
        <is>
          <t>Farmahem</t>
        </is>
      </c>
      <c r="O2595" s="256" t="inlineStr">
        <is>
          <t>17.08.2026</t>
        </is>
      </c>
      <c r="P2595" s="256" t="inlineStr">
        <is>
          <t>covered</t>
        </is>
      </c>
      <c r="Q2595" s="256" t="inlineStr"/>
      <c r="R2595" s="256" t="inlineStr"/>
    </row>
    <row r="2596">
      <c r="A2596" s="256" t="inlineStr">
        <is>
          <t>CoQ-PP_26-113</t>
        </is>
      </c>
      <c r="B2596" s="256" t="inlineStr">
        <is>
          <t>reissue — retest</t>
        </is>
      </c>
      <c r="C2596" s="256" t="inlineStr">
        <is>
          <t>CLE072501</t>
        </is>
      </c>
      <c r="D2596" s="256" t="inlineStr">
        <is>
          <t>P050282</t>
        </is>
      </c>
      <c r="E2596" s="256" t="inlineStr">
        <is>
          <t>Clemosa A Bud</t>
        </is>
      </c>
      <c r="F2596" s="256" t="inlineStr">
        <is>
          <t>18.09.2026</t>
        </is>
      </c>
      <c r="G2596" s="256" t="inlineStr">
        <is>
          <t>11.1</t>
        </is>
      </c>
      <c r="H2596" s="256" t="inlineStr">
        <is>
          <t>Lead (Pb)</t>
        </is>
      </c>
      <c r="I2596" s="256" t="inlineStr">
        <is>
          <t>Ph. Eur. 2.4.27 (ICP-MS)</t>
        </is>
      </c>
      <c r="J2596" s="256" t="inlineStr">
        <is>
          <t>≤ 0.5 mg/kg</t>
        </is>
      </c>
      <c r="K2596" s="256" t="inlineStr">
        <is>
          <t>0.032</t>
        </is>
      </c>
      <c r="L2596" s="256" t="inlineStr">
        <is>
          <t>5700/2025</t>
        </is>
      </c>
      <c r="M2596" s="256" t="inlineStr">
        <is>
          <t>02.12.2025</t>
        </is>
      </c>
      <c r="N2596" s="256" t="inlineStr">
        <is>
          <t>IPH — Institute of Public Health</t>
        </is>
      </c>
      <c r="O2596" s="256" t="inlineStr">
        <is>
          <t>24.11.2025</t>
        </is>
      </c>
      <c r="P2596" s="256" t="inlineStr">
        <is>
          <t>carried from the initial testing (CoQ-PP-2025-0019) — covered</t>
        </is>
      </c>
      <c r="Q2596" s="256" t="inlineStr"/>
      <c r="R2596" s="256" t="inlineStr"/>
    </row>
    <row r="2597">
      <c r="A2597" s="256" t="inlineStr">
        <is>
          <t>CoQ-PP_26-113</t>
        </is>
      </c>
      <c r="B2597" s="256" t="inlineStr">
        <is>
          <t>reissue — retest</t>
        </is>
      </c>
      <c r="C2597" s="256" t="inlineStr">
        <is>
          <t>CLE072501</t>
        </is>
      </c>
      <c r="D2597" s="256" t="inlineStr">
        <is>
          <t>P050282</t>
        </is>
      </c>
      <c r="E2597" s="256" t="inlineStr">
        <is>
          <t>Clemosa A Bud</t>
        </is>
      </c>
      <c r="F2597" s="256" t="inlineStr">
        <is>
          <t>18.09.2026</t>
        </is>
      </c>
      <c r="G2597" s="256" t="inlineStr">
        <is>
          <t>11.2</t>
        </is>
      </c>
      <c r="H2597" s="256" t="inlineStr">
        <is>
          <t>Cadmium (Cd)</t>
        </is>
      </c>
      <c r="I2597" s="256" t="inlineStr">
        <is>
          <t>Ph. Eur. 2.4.27 (ICP-MS)</t>
        </is>
      </c>
      <c r="J2597" s="256" t="inlineStr">
        <is>
          <t>≤ 0.3 mg/kg</t>
        </is>
      </c>
      <c r="K2597" s="256" t="inlineStr">
        <is>
          <t>0.002</t>
        </is>
      </c>
      <c r="L2597" s="256" t="inlineStr">
        <is>
          <t>5700/2025</t>
        </is>
      </c>
      <c r="M2597" s="256" t="inlineStr">
        <is>
          <t>02.12.2025</t>
        </is>
      </c>
      <c r="N2597" s="256" t="inlineStr">
        <is>
          <t>IPH — Institute of Public Health</t>
        </is>
      </c>
      <c r="O2597" s="256" t="inlineStr">
        <is>
          <t>24.11.2025</t>
        </is>
      </c>
      <c r="P2597" s="256" t="inlineStr">
        <is>
          <t>carried from the initial testing (CoQ-PP-2025-0019) — covered</t>
        </is>
      </c>
      <c r="Q2597" s="256" t="inlineStr"/>
      <c r="R2597" s="256" t="inlineStr"/>
    </row>
    <row r="2598">
      <c r="A2598" s="256" t="inlineStr">
        <is>
          <t>CoQ-PP_26-113</t>
        </is>
      </c>
      <c r="B2598" s="256" t="inlineStr">
        <is>
          <t>reissue — retest</t>
        </is>
      </c>
      <c r="C2598" s="256" t="inlineStr">
        <is>
          <t>CLE072501</t>
        </is>
      </c>
      <c r="D2598" s="256" t="inlineStr">
        <is>
          <t>P050282</t>
        </is>
      </c>
      <c r="E2598" s="256" t="inlineStr">
        <is>
          <t>Clemosa A Bud</t>
        </is>
      </c>
      <c r="F2598" s="256" t="inlineStr">
        <is>
          <t>18.09.2026</t>
        </is>
      </c>
      <c r="G2598" s="256" t="inlineStr">
        <is>
          <t>11.3</t>
        </is>
      </c>
      <c r="H2598" s="256" t="inlineStr">
        <is>
          <t>Arsenic (As)</t>
        </is>
      </c>
      <c r="I2598" s="256" t="inlineStr">
        <is>
          <t>Ph. Eur. 2.4.27 (ICP-MS)</t>
        </is>
      </c>
      <c r="J2598" s="256" t="inlineStr">
        <is>
          <t>≤ 0.2 mg/kg</t>
        </is>
      </c>
      <c r="K2598" s="256" t="inlineStr">
        <is>
          <t>0.013</t>
        </is>
      </c>
      <c r="L2598" s="256" t="inlineStr">
        <is>
          <t>5700/2025</t>
        </is>
      </c>
      <c r="M2598" s="256" t="inlineStr">
        <is>
          <t>02.12.2025</t>
        </is>
      </c>
      <c r="N2598" s="256" t="inlineStr">
        <is>
          <t>IPH — Institute of Public Health</t>
        </is>
      </c>
      <c r="O2598" s="256" t="inlineStr">
        <is>
          <t>24.11.2025</t>
        </is>
      </c>
      <c r="P2598" s="256" t="inlineStr">
        <is>
          <t>carried from the initial testing (CoQ-PP-2025-0019) — covered</t>
        </is>
      </c>
      <c r="Q2598" s="256" t="inlineStr"/>
      <c r="R2598" s="256" t="inlineStr"/>
    </row>
    <row r="2599">
      <c r="A2599" s="256" t="inlineStr">
        <is>
          <t>CoQ-PP_26-113</t>
        </is>
      </c>
      <c r="B2599" s="256" t="inlineStr">
        <is>
          <t>reissue — retest</t>
        </is>
      </c>
      <c r="C2599" s="256" t="inlineStr">
        <is>
          <t>CLE072501</t>
        </is>
      </c>
      <c r="D2599" s="256" t="inlineStr">
        <is>
          <t>P050282</t>
        </is>
      </c>
      <c r="E2599" s="256" t="inlineStr">
        <is>
          <t>Clemosa A Bud</t>
        </is>
      </c>
      <c r="F2599" s="256" t="inlineStr">
        <is>
          <t>18.09.2026</t>
        </is>
      </c>
      <c r="G2599" s="256" t="inlineStr">
        <is>
          <t>11.4</t>
        </is>
      </c>
      <c r="H2599" s="256" t="inlineStr">
        <is>
          <t>Mercury (Hg)</t>
        </is>
      </c>
      <c r="I2599" s="256" t="inlineStr">
        <is>
          <t>Ph. Eur. 2.4.27 (ICP-MS)</t>
        </is>
      </c>
      <c r="J2599" s="256" t="inlineStr">
        <is>
          <t>≤ 0.1 mg/kg</t>
        </is>
      </c>
      <c r="K2599" s="256" t="inlineStr">
        <is>
          <t>0.021</t>
        </is>
      </c>
      <c r="L2599" s="256" t="inlineStr">
        <is>
          <t>5700/2025</t>
        </is>
      </c>
      <c r="M2599" s="256" t="inlineStr">
        <is>
          <t>02.12.2025</t>
        </is>
      </c>
      <c r="N2599" s="256" t="inlineStr">
        <is>
          <t>IPH — Institute of Public Health</t>
        </is>
      </c>
      <c r="O2599" s="256" t="inlineStr">
        <is>
          <t>24.11.2025</t>
        </is>
      </c>
      <c r="P2599" s="256" t="inlineStr">
        <is>
          <t>carried from the initial testing (CoQ-PP-2025-0019) — covered</t>
        </is>
      </c>
      <c r="Q2599" s="256" t="inlineStr"/>
      <c r="R2599" s="256" t="inlineStr"/>
    </row>
    <row r="2600">
      <c r="A2600" s="256" t="inlineStr">
        <is>
          <t>CoQ-PP_26-113</t>
        </is>
      </c>
      <c r="B2600" s="256" t="inlineStr">
        <is>
          <t>reissue — retest</t>
        </is>
      </c>
      <c r="C2600" s="256" t="inlineStr">
        <is>
          <t>CLE072501</t>
        </is>
      </c>
      <c r="D2600" s="256" t="inlineStr">
        <is>
          <t>P050282</t>
        </is>
      </c>
      <c r="E2600" s="256" t="inlineStr">
        <is>
          <t>Clemosa A Bud</t>
        </is>
      </c>
      <c r="F2600" s="256" t="inlineStr">
        <is>
          <t>18.09.2026</t>
        </is>
      </c>
      <c r="G2600" s="256" t="inlineStr">
        <is>
          <t>12</t>
        </is>
      </c>
      <c r="H2600" s="256" t="inlineStr">
        <is>
          <t>Pesticide Residues</t>
        </is>
      </c>
      <c r="I2600" s="256" t="inlineStr">
        <is>
          <t>Ph. Eur. 2.8.13 (LC-MS/MS) · CUMCS Equivalency</t>
        </is>
      </c>
      <c r="J2600" s="256" t="inlineStr">
        <is>
          <t>≤ LOQ as per Ph. Eur. 2.8.13 · ≤ LOQ as per CUMCS Equivalency</t>
        </is>
      </c>
      <c r="K2600" s="256" t="inlineStr">
        <is>
          <t>ND</t>
        </is>
      </c>
      <c r="L2600" s="256" t="inlineStr">
        <is>
          <t>5700/2025</t>
        </is>
      </c>
      <c r="M2600" s="256" t="inlineStr">
        <is>
          <t>02.12.2025</t>
        </is>
      </c>
      <c r="N2600" s="256" t="inlineStr">
        <is>
          <t>IPH — Institute of Public Health</t>
        </is>
      </c>
      <c r="O2600" s="256" t="inlineStr">
        <is>
          <t>24.11.2025</t>
        </is>
      </c>
      <c r="P2600" s="256" t="inlineStr">
        <is>
          <t>carried from the initial testing (CoQ-PP-2025-0019) — covered</t>
        </is>
      </c>
      <c r="Q2600" s="256" t="inlineStr"/>
      <c r="R2600" s="256" t="inlineStr"/>
    </row>
    <row r="2601">
      <c r="A2601" s="256" t="inlineStr">
        <is>
          <t>CoQ-PP_26-114</t>
        </is>
      </c>
      <c r="B2601" s="256" t="inlineStr">
        <is>
          <t>reissue — retest</t>
        </is>
      </c>
      <c r="C2601" s="256" t="inlineStr">
        <is>
          <t>FB012601/1</t>
        </is>
      </c>
      <c r="D2601" s="256" t="inlineStr">
        <is>
          <t>P060322</t>
        </is>
      </c>
      <c r="E2601" s="256" t="inlineStr">
        <is>
          <t>Fat Bastard</t>
        </is>
      </c>
      <c r="F2601" s="256" t="inlineStr">
        <is>
          <t>18.09.2026</t>
        </is>
      </c>
      <c r="G2601" s="256" t="inlineStr">
        <is>
          <t>1</t>
        </is>
      </c>
      <c r="H2601" s="256" t="inlineStr">
        <is>
          <t>Identification A, Appearance · Macroscopic</t>
        </is>
      </c>
      <c r="I2601" s="256" t="inlineStr">
        <is>
          <t>Ph. Eur. mon. 3028</t>
        </is>
      </c>
      <c r="J2601" s="256" t="inlineStr">
        <is>
          <t>Conforms to the monograph for Cannabis flos (07/2024:3028) in Ph. Eur. 11.0 | Согласно монографија за Cannabis flos (07/2024:3028) во Ph. Eur. 11.0</t>
        </is>
      </c>
      <c r="K2601" s="256" t="inlineStr">
        <is>
          <t>Conforms | Одговара</t>
        </is>
      </c>
      <c r="L2601" s="256" t="inlineStr">
        <is>
          <t>iCoA-PP_26-130</t>
        </is>
      </c>
      <c r="M2601" s="256" t="inlineStr">
        <is>
          <t>17.08.2026</t>
        </is>
      </c>
      <c r="N2601" s="256" t="inlineStr">
        <is>
          <t>Purely Plant GmbH (in-house)</t>
        </is>
      </c>
      <c r="O2601" s="256" t="inlineStr">
        <is>
          <t>—</t>
        </is>
      </c>
      <c r="P2601" s="256" t="inlineStr">
        <is>
          <t>covered</t>
        </is>
      </c>
      <c r="Q2601" s="256" t="inlineStr">
        <is>
          <t>Farmahem — Ident A + B + C with the Assay, at retest</t>
        </is>
      </c>
      <c r="R2601" s="256" t="inlineStr"/>
    </row>
    <row r="2602">
      <c r="A2602" s="256" t="inlineStr">
        <is>
          <t>CoQ-PP_26-114</t>
        </is>
      </c>
      <c r="B2602" s="256" t="inlineStr">
        <is>
          <t>reissue — retest</t>
        </is>
      </c>
      <c r="C2602" s="256" t="inlineStr">
        <is>
          <t>FB012601/1</t>
        </is>
      </c>
      <c r="D2602" s="256" t="inlineStr">
        <is>
          <t>P060322</t>
        </is>
      </c>
      <c r="E2602" s="256" t="inlineStr">
        <is>
          <t>Fat Bastard</t>
        </is>
      </c>
      <c r="F2602" s="256" t="inlineStr">
        <is>
          <t>18.09.2026</t>
        </is>
      </c>
      <c r="G2602" s="256" t="inlineStr">
        <is>
          <t>2</t>
        </is>
      </c>
      <c r="H2602" s="256" t="inlineStr">
        <is>
          <t>Identification B · Microscopic</t>
        </is>
      </c>
      <c r="I2602" s="256" t="inlineStr">
        <is>
          <t>Ph. Eur. 2.8.23 (microscopy)</t>
        </is>
      </c>
      <c r="J2602" s="256" t="inlineStr">
        <is>
          <t>Conforms to the monograph for Cannabis flos (07/2024:3028) in Ph. Eur. 11.0 | Согласно монографија за Cannabis flos (07/2024:3028) во Ph. Eur. 11.0</t>
        </is>
      </c>
      <c r="K2602" s="256" t="inlineStr">
        <is>
          <t>Conforms | Одговара</t>
        </is>
      </c>
      <c r="L2602" s="256" t="inlineStr">
        <is>
          <t>iCoA-PP_26-130</t>
        </is>
      </c>
      <c r="M2602" s="256" t="inlineStr">
        <is>
          <t>17.08.2026</t>
        </is>
      </c>
      <c r="N2602" s="256" t="inlineStr">
        <is>
          <t>Purely Plant GmbH (in-house)</t>
        </is>
      </c>
      <c r="O2602" s="256" t="inlineStr">
        <is>
          <t>—</t>
        </is>
      </c>
      <c r="P2602" s="256" t="inlineStr">
        <is>
          <t>covered</t>
        </is>
      </c>
      <c r="Q2602" s="256" t="inlineStr">
        <is>
          <t>Farmahem — Ident A + B + C with the Assay, at retest</t>
        </is>
      </c>
      <c r="R2602" s="256" t="inlineStr"/>
    </row>
    <row r="2603">
      <c r="A2603" s="256" t="inlineStr">
        <is>
          <t>CoQ-PP_26-114</t>
        </is>
      </c>
      <c r="B2603" s="256" t="inlineStr">
        <is>
          <t>reissue — retest</t>
        </is>
      </c>
      <c r="C2603" s="256" t="inlineStr">
        <is>
          <t>FB012601/1</t>
        </is>
      </c>
      <c r="D2603" s="256" t="inlineStr">
        <is>
          <t>P060322</t>
        </is>
      </c>
      <c r="E2603" s="256" t="inlineStr">
        <is>
          <t>Fat Bastard</t>
        </is>
      </c>
      <c r="F2603" s="256" t="inlineStr">
        <is>
          <t>18.09.2026</t>
        </is>
      </c>
      <c r="G2603" s="256" t="inlineStr">
        <is>
          <t>3</t>
        </is>
      </c>
      <c r="H2603" s="256" t="inlineStr">
        <is>
          <t>Identification C · HPLC/HPTLC</t>
        </is>
      </c>
      <c r="I2603" s="256" t="inlineStr">
        <is>
          <t>Ph. Eur. 2.2.29 (3028)</t>
        </is>
      </c>
      <c r="J2603" s="256" t="inlineStr">
        <is>
          <t>Conforms to the monograph for Cannabis flos (07/2024:3028) in Ph. Eur. 11.0 | Согласно монографија за Cannabis flos (07/2024:3028) во Ph. Eur. 11.0</t>
        </is>
      </c>
      <c r="K2603" s="256" t="inlineStr">
        <is>
          <t>Conforms | Одговара</t>
        </is>
      </c>
      <c r="L2603" s="256" t="inlineStr">
        <is>
          <t>220-8-К/26</t>
        </is>
      </c>
      <c r="M2603" s="256" t="inlineStr">
        <is>
          <t>25.08.2026</t>
        </is>
      </c>
      <c r="N2603" s="256" t="inlineStr">
        <is>
          <t>Farmahem</t>
        </is>
      </c>
      <c r="O2603" s="256" t="inlineStr">
        <is>
          <t>17.08.2026</t>
        </is>
      </c>
      <c r="P2603" s="256" t="inlineStr">
        <is>
          <t>covered</t>
        </is>
      </c>
      <c r="Q2603" s="256" t="inlineStr"/>
      <c r="R2603" s="256" t="inlineStr"/>
    </row>
    <row r="2604">
      <c r="A2604" s="256" t="inlineStr">
        <is>
          <t>CoQ-PP_26-114</t>
        </is>
      </c>
      <c r="B2604" s="256" t="inlineStr">
        <is>
          <t>reissue — retest</t>
        </is>
      </c>
      <c r="C2604" s="256" t="inlineStr">
        <is>
          <t>FB012601/1</t>
        </is>
      </c>
      <c r="D2604" s="256" t="inlineStr">
        <is>
          <t>P060322</t>
        </is>
      </c>
      <c r="E2604" s="256" t="inlineStr">
        <is>
          <t>Fat Bastard</t>
        </is>
      </c>
      <c r="F2604" s="256" t="inlineStr">
        <is>
          <t>18.09.2026</t>
        </is>
      </c>
      <c r="G2604" s="256" t="inlineStr">
        <is>
          <t>4</t>
        </is>
      </c>
      <c r="H2604" s="256" t="inlineStr">
        <is>
          <t>Assay — Total Δ⁹-THC</t>
        </is>
      </c>
      <c r="I2604" s="256" t="inlineStr">
        <is>
          <t>Ph. Eur. 2.2.29 (HPLC)</t>
        </is>
      </c>
      <c r="J2604" s="256" t="inlineStr">
        <is>
          <t>16.20 – 19.79 %  (grade II, nominal 18.00 ± 1.80)</t>
        </is>
      </c>
      <c r="K2604" s="256" t="inlineStr">
        <is>
          <t>17.99</t>
        </is>
      </c>
      <c r="L2604" s="256" t="inlineStr">
        <is>
          <t>220-8-К/26</t>
        </is>
      </c>
      <c r="M2604" s="256" t="inlineStr">
        <is>
          <t>25.08.2026</t>
        </is>
      </c>
      <c r="N2604" s="256" t="inlineStr">
        <is>
          <t>Farmahem</t>
        </is>
      </c>
      <c r="O2604" s="256" t="inlineStr">
        <is>
          <t>17.08.2026</t>
        </is>
      </c>
      <c r="P2604" s="256" t="inlineStr">
        <is>
          <t>covered</t>
        </is>
      </c>
      <c r="Q2604" s="256" t="inlineStr"/>
      <c r="R2604" s="256" t="inlineStr"/>
    </row>
    <row r="2605">
      <c r="A2605" s="256" t="inlineStr">
        <is>
          <t>CoQ-PP_26-114</t>
        </is>
      </c>
      <c r="B2605" s="256" t="inlineStr">
        <is>
          <t>reissue — retest</t>
        </is>
      </c>
      <c r="C2605" s="256" t="inlineStr">
        <is>
          <t>FB012601/1</t>
        </is>
      </c>
      <c r="D2605" s="256" t="inlineStr">
        <is>
          <t>P060322</t>
        </is>
      </c>
      <c r="E2605" s="256" t="inlineStr">
        <is>
          <t>Fat Bastard</t>
        </is>
      </c>
      <c r="F2605" s="256" t="inlineStr">
        <is>
          <t>18.09.2026</t>
        </is>
      </c>
      <c r="G2605" s="256" t="inlineStr">
        <is>
          <t>5</t>
        </is>
      </c>
      <c r="H2605" s="256" t="inlineStr">
        <is>
          <t>Assay — Total CBD</t>
        </is>
      </c>
      <c r="I2605" s="256" t="inlineStr">
        <is>
          <t>Ph. Eur. 2.2.29 (HPLC) · CBD + CBDA x 0.877</t>
        </is>
      </c>
      <c r="J2605" s="256" t="inlineStr">
        <is>
          <t>≤ 1.0%, w/w</t>
        </is>
      </c>
      <c r="K2605" s="256" t="inlineStr">
        <is>
          <t>&lt; LOQ</t>
        </is>
      </c>
      <c r="L2605" s="256" t="inlineStr">
        <is>
          <t>220-8-К/26</t>
        </is>
      </c>
      <c r="M2605" s="256" t="inlineStr">
        <is>
          <t>25.08.2026</t>
        </is>
      </c>
      <c r="N2605" s="256" t="inlineStr">
        <is>
          <t>Farmahem</t>
        </is>
      </c>
      <c r="O2605" s="256" t="inlineStr">
        <is>
          <t>17.08.2026</t>
        </is>
      </c>
      <c r="P2605" s="256" t="inlineStr">
        <is>
          <t>covered</t>
        </is>
      </c>
      <c r="Q2605" s="256" t="inlineStr"/>
      <c r="R2605" s="256" t="inlineStr"/>
    </row>
    <row r="2606">
      <c r="A2606" s="256" t="inlineStr">
        <is>
          <t>CoQ-PP_26-114</t>
        </is>
      </c>
      <c r="B2606" s="256" t="inlineStr">
        <is>
          <t>reissue — retest</t>
        </is>
      </c>
      <c r="C2606" s="256" t="inlineStr">
        <is>
          <t>FB012601/1</t>
        </is>
      </c>
      <c r="D2606" s="256" t="inlineStr">
        <is>
          <t>P060322</t>
        </is>
      </c>
      <c r="E2606" s="256" t="inlineStr">
        <is>
          <t>Fat Bastard</t>
        </is>
      </c>
      <c r="F2606" s="256" t="inlineStr">
        <is>
          <t>18.09.2026</t>
        </is>
      </c>
      <c r="G2606" s="256" t="inlineStr">
        <is>
          <t>6</t>
        </is>
      </c>
      <c r="H2606" s="256" t="inlineStr">
        <is>
          <t>Total CBN</t>
        </is>
      </c>
      <c r="I2606" s="256" t="inlineStr">
        <is>
          <t>Ph. Eur. 2.2.29 (HPLC) · CBN + CBNA x 0.876</t>
        </is>
      </c>
      <c r="J2606" s="256" t="inlineStr">
        <is>
          <t>≤ 1.0%, w/w</t>
        </is>
      </c>
      <c r="K2606" s="256" t="inlineStr">
        <is>
          <t>&lt; LOQ</t>
        </is>
      </c>
      <c r="L2606" s="256" t="inlineStr">
        <is>
          <t>220-8-К/26</t>
        </is>
      </c>
      <c r="M2606" s="256" t="inlineStr">
        <is>
          <t>25.08.2026</t>
        </is>
      </c>
      <c r="N2606" s="256" t="inlineStr">
        <is>
          <t>Farmahem</t>
        </is>
      </c>
      <c r="O2606" s="256" t="inlineStr">
        <is>
          <t>17.08.2026</t>
        </is>
      </c>
      <c r="P2606" s="256" t="inlineStr">
        <is>
          <t>covered</t>
        </is>
      </c>
      <c r="Q2606" s="256" t="inlineStr"/>
      <c r="R2606" s="256" t="inlineStr"/>
    </row>
    <row r="2607">
      <c r="A2607" s="256" t="inlineStr">
        <is>
          <t>CoQ-PP_26-114</t>
        </is>
      </c>
      <c r="B2607" s="256" t="inlineStr">
        <is>
          <t>reissue — retest</t>
        </is>
      </c>
      <c r="C2607" s="256" t="inlineStr">
        <is>
          <t>FB012601/1</t>
        </is>
      </c>
      <c r="D2607" s="256" t="inlineStr">
        <is>
          <t>P060322</t>
        </is>
      </c>
      <c r="E2607" s="256" t="inlineStr">
        <is>
          <t>Fat Bastard</t>
        </is>
      </c>
      <c r="F2607" s="256" t="inlineStr">
        <is>
          <t>18.09.2026</t>
        </is>
      </c>
      <c r="G2607" s="256" t="inlineStr">
        <is>
          <t>7</t>
        </is>
      </c>
      <c r="H2607" s="256" t="inlineStr">
        <is>
          <t>Foreign Matter</t>
        </is>
      </c>
      <c r="I2607" s="256" t="inlineStr">
        <is>
          <t>Ph. Eur. 2.8.2 · In-house · интерна</t>
        </is>
      </c>
      <c r="J2607" s="256" t="inlineStr">
        <is>
          <t>≤ 2.0% / 25–50 g · &lt; 1 cm leaves | листови, no seeds | без семки</t>
        </is>
      </c>
      <c r="K2607" s="256" t="inlineStr">
        <is>
          <t>Conforms | Одговара</t>
        </is>
      </c>
      <c r="L2607" s="256" t="inlineStr">
        <is>
          <t>iCoA-PP_26-130</t>
        </is>
      </c>
      <c r="M2607" s="256" t="inlineStr">
        <is>
          <t>17.08.2026</t>
        </is>
      </c>
      <c r="N2607" s="256" t="inlineStr">
        <is>
          <t>Purely Plant GmbH (in-house)</t>
        </is>
      </c>
      <c r="O2607" s="256" t="inlineStr">
        <is>
          <t>—</t>
        </is>
      </c>
      <c r="P2607" s="256" t="inlineStr">
        <is>
          <t>covered</t>
        </is>
      </c>
      <c r="Q2607" s="256" t="inlineStr">
        <is>
          <t>Purely Plant laboratory — iCoA covering Foreign matter</t>
        </is>
      </c>
      <c r="R2607" s="256" t="inlineStr"/>
    </row>
    <row r="2608">
      <c r="A2608" s="256" t="inlineStr">
        <is>
          <t>CoQ-PP_26-114</t>
        </is>
      </c>
      <c r="B2608" s="256" t="inlineStr">
        <is>
          <t>reissue — retest</t>
        </is>
      </c>
      <c r="C2608" s="256" t="inlineStr">
        <is>
          <t>FB012601/1</t>
        </is>
      </c>
      <c r="D2608" s="256" t="inlineStr">
        <is>
          <t>P060322</t>
        </is>
      </c>
      <c r="E2608" s="256" t="inlineStr">
        <is>
          <t>Fat Bastard</t>
        </is>
      </c>
      <c r="F2608" s="256" t="inlineStr">
        <is>
          <t>18.09.2026</t>
        </is>
      </c>
      <c r="G2608" s="256" t="inlineStr">
        <is>
          <t>8</t>
        </is>
      </c>
      <c r="H2608" s="256" t="inlineStr">
        <is>
          <t>Loss on Drying</t>
        </is>
      </c>
      <c r="I2608" s="256" t="inlineStr">
        <is>
          <t>DAB 2018 monograph Cannabis flos, 2.2.32 — loss on drying (CNP, before its Ph. Eur. 3028 accreditation)</t>
        </is>
      </c>
      <c r="J2608" s="256" t="inlineStr">
        <is>
          <t>≤ 12.0%</t>
        </is>
      </c>
      <c r="K2608" s="256" t="inlineStr">
        <is>
          <t>7.67</t>
        </is>
      </c>
      <c r="L2608" s="256" t="inlineStr">
        <is>
          <t>ППК26067</t>
        </is>
      </c>
      <c r="M2608" s="256" t="inlineStr">
        <is>
          <t>11.05.2026</t>
        </is>
      </c>
      <c r="N2608" s="256" t="inlineStr">
        <is>
          <t>UKIM Faculty of Pharmacy — Center for Natural Products</t>
        </is>
      </c>
      <c r="O2608" s="256" t="inlineStr">
        <is>
          <t>21.04.2026</t>
        </is>
      </c>
      <c r="P2608" s="256" t="inlineStr">
        <is>
          <t>carried from the initial testing (CoQ-PP-2026-0019) — covered</t>
        </is>
      </c>
      <c r="Q2608" s="256" t="inlineStr"/>
      <c r="R2608" s="256" t="inlineStr"/>
    </row>
    <row r="2609">
      <c r="A2609" s="256" t="inlineStr">
        <is>
          <t>CoQ-PP_26-114</t>
        </is>
      </c>
      <c r="B2609" s="256" t="inlineStr">
        <is>
          <t>reissue — retest</t>
        </is>
      </c>
      <c r="C2609" s="256" t="inlineStr">
        <is>
          <t>FB012601/1</t>
        </is>
      </c>
      <c r="D2609" s="256" t="inlineStr">
        <is>
          <t>P060322</t>
        </is>
      </c>
      <c r="E2609" s="256" t="inlineStr">
        <is>
          <t>Fat Bastard</t>
        </is>
      </c>
      <c r="F2609" s="256" t="inlineStr">
        <is>
          <t>18.09.2026</t>
        </is>
      </c>
      <c r="G2609" s="256" t="inlineStr">
        <is>
          <t>9.1</t>
        </is>
      </c>
      <c r="H2609" s="256" t="inlineStr">
        <is>
          <t>TAMC</t>
        </is>
      </c>
      <c r="I2609" s="256" t="inlineStr">
        <is>
          <t>Ph. Eur. 2.6.12 cat. C</t>
        </is>
      </c>
      <c r="J2609" s="256" t="inlineStr">
        <is>
          <t>≤ 10⁵ CFU/g</t>
        </is>
      </c>
      <c r="K2609" s="256" t="inlineStr">
        <is>
          <t>2 × 10³</t>
        </is>
      </c>
      <c r="L2609" s="256" t="inlineStr">
        <is>
          <t>308/0552/26</t>
        </is>
      </c>
      <c r="M2609" s="256" t="inlineStr">
        <is>
          <t>28.04.2026</t>
        </is>
      </c>
      <c r="N2609" s="256" t="inlineStr">
        <is>
          <t>IPH — Institute of Public Health</t>
        </is>
      </c>
      <c r="O2609" s="256" t="inlineStr">
        <is>
          <t>22.04.2026</t>
        </is>
      </c>
      <c r="P2609" s="256" t="inlineStr">
        <is>
          <t>carried from the initial testing (CoQ-PP-2026-0019) — covered</t>
        </is>
      </c>
      <c r="Q2609" s="256" t="inlineStr"/>
      <c r="R2609" s="256" t="inlineStr"/>
    </row>
    <row r="2610">
      <c r="A2610" s="256" t="inlineStr">
        <is>
          <t>CoQ-PP_26-114</t>
        </is>
      </c>
      <c r="B2610" s="256" t="inlineStr">
        <is>
          <t>reissue — retest</t>
        </is>
      </c>
      <c r="C2610" s="256" t="inlineStr">
        <is>
          <t>FB012601/1</t>
        </is>
      </c>
      <c r="D2610" s="256" t="inlineStr">
        <is>
          <t>P060322</t>
        </is>
      </c>
      <c r="E2610" s="256" t="inlineStr">
        <is>
          <t>Fat Bastard</t>
        </is>
      </c>
      <c r="F2610" s="256" t="inlineStr">
        <is>
          <t>18.09.2026</t>
        </is>
      </c>
      <c r="G2610" s="256" t="inlineStr">
        <is>
          <t>9.2</t>
        </is>
      </c>
      <c r="H2610" s="256" t="inlineStr">
        <is>
          <t>TYMC</t>
        </is>
      </c>
      <c r="I2610" s="256" t="inlineStr">
        <is>
          <t>Ph. Eur. 2.6.12 cat. C</t>
        </is>
      </c>
      <c r="J2610" s="256" t="inlineStr">
        <is>
          <t>≤ 10⁴ CFU/g</t>
        </is>
      </c>
      <c r="K2610" s="256" t="inlineStr">
        <is>
          <t>2,1 × 10³</t>
        </is>
      </c>
      <c r="L2610" s="256" t="inlineStr">
        <is>
          <t>308/0552/26</t>
        </is>
      </c>
      <c r="M2610" s="256" t="inlineStr">
        <is>
          <t>28.04.2026</t>
        </is>
      </c>
      <c r="N2610" s="256" t="inlineStr">
        <is>
          <t>IPH — Institute of Public Health</t>
        </is>
      </c>
      <c r="O2610" s="256" t="inlineStr">
        <is>
          <t>22.04.2026</t>
        </is>
      </c>
      <c r="P2610" s="256" t="inlineStr">
        <is>
          <t>carried from the initial testing (CoQ-PP-2026-0019) — covered</t>
        </is>
      </c>
      <c r="Q2610" s="256" t="inlineStr"/>
      <c r="R2610" s="256" t="inlineStr"/>
    </row>
    <row r="2611">
      <c r="A2611" s="256" t="inlineStr">
        <is>
          <t>CoQ-PP_26-114</t>
        </is>
      </c>
      <c r="B2611" s="256" t="inlineStr">
        <is>
          <t>reissue — retest</t>
        </is>
      </c>
      <c r="C2611" s="256" t="inlineStr">
        <is>
          <t>FB012601/1</t>
        </is>
      </c>
      <c r="D2611" s="256" t="inlineStr">
        <is>
          <t>P060322</t>
        </is>
      </c>
      <c r="E2611" s="256" t="inlineStr">
        <is>
          <t>Fat Bastard</t>
        </is>
      </c>
      <c r="F2611" s="256" t="inlineStr">
        <is>
          <t>18.09.2026</t>
        </is>
      </c>
      <c r="G2611" s="256" t="inlineStr">
        <is>
          <t>9.3</t>
        </is>
      </c>
      <c r="H2611" s="256" t="inlineStr">
        <is>
          <t>Bile-tolerant gram-neg.</t>
        </is>
      </c>
      <c r="I2611" s="256" t="inlineStr">
        <is>
          <t>Ph. Eur. 2.6.31 cat. C</t>
        </is>
      </c>
      <c r="J2611" s="256" t="inlineStr">
        <is>
          <t>≤ 10⁴ CFU/g</t>
        </is>
      </c>
      <c r="K2611" s="256" t="inlineStr">
        <is>
          <t>&lt; 10</t>
        </is>
      </c>
      <c r="L2611" s="256" t="inlineStr">
        <is>
          <t>308/0552/26</t>
        </is>
      </c>
      <c r="M2611" s="256" t="inlineStr">
        <is>
          <t>28.04.2026</t>
        </is>
      </c>
      <c r="N2611" s="256" t="inlineStr">
        <is>
          <t>IPH — Institute of Public Health</t>
        </is>
      </c>
      <c r="O2611" s="256" t="inlineStr">
        <is>
          <t>22.04.2026</t>
        </is>
      </c>
      <c r="P2611" s="256" t="inlineStr">
        <is>
          <t>carried from the initial testing (CoQ-PP-2026-0019) — covered</t>
        </is>
      </c>
      <c r="Q2611" s="256" t="inlineStr"/>
      <c r="R2611" s="256" t="inlineStr"/>
    </row>
    <row r="2612">
      <c r="A2612" s="256" t="inlineStr">
        <is>
          <t>CoQ-PP_26-114</t>
        </is>
      </c>
      <c r="B2612" s="256" t="inlineStr">
        <is>
          <t>reissue — retest</t>
        </is>
      </c>
      <c r="C2612" s="256" t="inlineStr">
        <is>
          <t>FB012601/1</t>
        </is>
      </c>
      <c r="D2612" s="256" t="inlineStr">
        <is>
          <t>P060322</t>
        </is>
      </c>
      <c r="E2612" s="256" t="inlineStr">
        <is>
          <t>Fat Bastard</t>
        </is>
      </c>
      <c r="F2612" s="256" t="inlineStr">
        <is>
          <t>18.09.2026</t>
        </is>
      </c>
      <c r="G2612" s="256" t="inlineStr">
        <is>
          <t>9.4</t>
        </is>
      </c>
      <c r="H2612" s="256" t="inlineStr">
        <is>
          <t>Salmonella</t>
        </is>
      </c>
      <c r="I2612" s="256" t="inlineStr">
        <is>
          <t>Ph. Eur. 2.6.31 cat. C</t>
        </is>
      </c>
      <c r="J2612" s="256" t="inlineStr">
        <is>
          <t>Absence | Отсуство / 25 g</t>
        </is>
      </c>
      <c r="K2612" s="256" t="inlineStr">
        <is>
          <t>Absent | Отсутна</t>
        </is>
      </c>
      <c r="L2612" s="256" t="inlineStr">
        <is>
          <t>308/0552/26</t>
        </is>
      </c>
      <c r="M2612" s="256" t="inlineStr">
        <is>
          <t>28.04.2026</t>
        </is>
      </c>
      <c r="N2612" s="256" t="inlineStr">
        <is>
          <t>IPH — Institute of Public Health</t>
        </is>
      </c>
      <c r="O2612" s="256" t="inlineStr">
        <is>
          <t>22.04.2026</t>
        </is>
      </c>
      <c r="P2612" s="256" t="inlineStr">
        <is>
          <t>carried from the initial testing (CoQ-PP-2026-0019) — covered</t>
        </is>
      </c>
      <c r="Q2612" s="256" t="inlineStr"/>
      <c r="R2612" s="256" t="inlineStr"/>
    </row>
    <row r="2613">
      <c r="A2613" s="256" t="inlineStr">
        <is>
          <t>CoQ-PP_26-114</t>
        </is>
      </c>
      <c r="B2613" s="256" t="inlineStr">
        <is>
          <t>reissue — retest</t>
        </is>
      </c>
      <c r="C2613" s="256" t="inlineStr">
        <is>
          <t>FB012601/1</t>
        </is>
      </c>
      <c r="D2613" s="256" t="inlineStr">
        <is>
          <t>P060322</t>
        </is>
      </c>
      <c r="E2613" s="256" t="inlineStr">
        <is>
          <t>Fat Bastard</t>
        </is>
      </c>
      <c r="F2613" s="256" t="inlineStr">
        <is>
          <t>18.09.2026</t>
        </is>
      </c>
      <c r="G2613" s="256" t="inlineStr">
        <is>
          <t>9.5</t>
        </is>
      </c>
      <c r="H2613" s="256" t="inlineStr">
        <is>
          <t>Escherichia coli</t>
        </is>
      </c>
      <c r="I2613" s="256" t="inlineStr">
        <is>
          <t>Ph. Eur. 2.6.13 cat. C</t>
        </is>
      </c>
      <c r="J2613" s="256" t="inlineStr">
        <is>
          <t>Absence | Отсуство / 1 g</t>
        </is>
      </c>
      <c r="K2613" s="256" t="inlineStr">
        <is>
          <t>Absent | Отсутна</t>
        </is>
      </c>
      <c r="L2613" s="256" t="inlineStr">
        <is>
          <t>308/0552/26</t>
        </is>
      </c>
      <c r="M2613" s="256" t="inlineStr">
        <is>
          <t>28.04.2026</t>
        </is>
      </c>
      <c r="N2613" s="256" t="inlineStr">
        <is>
          <t>IPH — Institute of Public Health</t>
        </is>
      </c>
      <c r="O2613" s="256" t="inlineStr">
        <is>
          <t>22.04.2026</t>
        </is>
      </c>
      <c r="P2613" s="256" t="inlineStr">
        <is>
          <t>carried from the initial testing (CoQ-PP-2026-0019) — covered</t>
        </is>
      </c>
      <c r="Q2613" s="256" t="inlineStr"/>
      <c r="R2613" s="256" t="inlineStr"/>
    </row>
    <row r="2614">
      <c r="A2614" s="256" t="inlineStr">
        <is>
          <t>CoQ-PP_26-114</t>
        </is>
      </c>
      <c r="B2614" s="256" t="inlineStr">
        <is>
          <t>reissue — retest</t>
        </is>
      </c>
      <c r="C2614" s="256" t="inlineStr">
        <is>
          <t>FB012601/1</t>
        </is>
      </c>
      <c r="D2614" s="256" t="inlineStr">
        <is>
          <t>P060322</t>
        </is>
      </c>
      <c r="E2614" s="256" t="inlineStr">
        <is>
          <t>Fat Bastard</t>
        </is>
      </c>
      <c r="F2614" s="256" t="inlineStr">
        <is>
          <t>18.09.2026</t>
        </is>
      </c>
      <c r="G2614" s="256" t="inlineStr">
        <is>
          <t>9.6</t>
        </is>
      </c>
      <c r="H2614" s="256" t="inlineStr">
        <is>
          <t>Pseudomonas aeruginosa</t>
        </is>
      </c>
      <c r="I2614" s="256" t="inlineStr">
        <is>
          <t>Ph. Eur. 2.6.13 cat. C</t>
        </is>
      </c>
      <c r="J2614" s="256" t="inlineStr">
        <is>
          <t>Absence | Отсуство / 1 g</t>
        </is>
      </c>
      <c r="K2614" s="260" t="inlineStr">
        <is>
          <t>upon request — not required for release</t>
        </is>
      </c>
      <c r="L2614" s="256" t="inlineStr">
        <is>
          <t>—</t>
        </is>
      </c>
      <c r="M2614" s="256" t="inlineStr">
        <is>
          <t>—</t>
        </is>
      </c>
      <c r="N2614" s="256" t="inlineStr">
        <is>
          <t>—</t>
        </is>
      </c>
      <c r="O2614" s="256" t="inlineStr">
        <is>
          <t>—</t>
        </is>
      </c>
      <c r="P2614" s="256" t="inlineStr">
        <is>
          <t>upon request — not required for release</t>
        </is>
      </c>
      <c r="Q2614" s="256" t="inlineStr"/>
      <c r="R2614" s="256" t="inlineStr"/>
    </row>
    <row r="2615">
      <c r="A2615" s="256" t="inlineStr">
        <is>
          <t>CoQ-PP_26-114</t>
        </is>
      </c>
      <c r="B2615" s="256" t="inlineStr">
        <is>
          <t>reissue — retest</t>
        </is>
      </c>
      <c r="C2615" s="256" t="inlineStr">
        <is>
          <t>FB012601/1</t>
        </is>
      </c>
      <c r="D2615" s="256" t="inlineStr">
        <is>
          <t>P060322</t>
        </is>
      </c>
      <c r="E2615" s="256" t="inlineStr">
        <is>
          <t>Fat Bastard</t>
        </is>
      </c>
      <c r="F2615" s="256" t="inlineStr">
        <is>
          <t>18.09.2026</t>
        </is>
      </c>
      <c r="G2615" s="256" t="inlineStr">
        <is>
          <t>9.7</t>
        </is>
      </c>
      <c r="H2615" s="256" t="inlineStr">
        <is>
          <t>Staphylococcus aureus</t>
        </is>
      </c>
      <c r="I2615" s="256" t="inlineStr">
        <is>
          <t>Ph. Eur. 2.6.13 cat. C</t>
        </is>
      </c>
      <c r="J2615" s="256" t="inlineStr">
        <is>
          <t>Absence | Отсуство / 1 g</t>
        </is>
      </c>
      <c r="K2615" s="260" t="inlineStr">
        <is>
          <t>upon request — not required for release</t>
        </is>
      </c>
      <c r="L2615" s="256" t="inlineStr">
        <is>
          <t>—</t>
        </is>
      </c>
      <c r="M2615" s="256" t="inlineStr">
        <is>
          <t>—</t>
        </is>
      </c>
      <c r="N2615" s="256" t="inlineStr">
        <is>
          <t>—</t>
        </is>
      </c>
      <c r="O2615" s="256" t="inlineStr">
        <is>
          <t>—</t>
        </is>
      </c>
      <c r="P2615" s="256" t="inlineStr">
        <is>
          <t>upon request — not required for release</t>
        </is>
      </c>
      <c r="Q2615" s="256" t="inlineStr"/>
      <c r="R2615" s="256" t="inlineStr"/>
    </row>
    <row r="2616">
      <c r="A2616" s="256" t="inlineStr">
        <is>
          <t>CoQ-PP_26-114</t>
        </is>
      </c>
      <c r="B2616" s="256" t="inlineStr">
        <is>
          <t>reissue — retest</t>
        </is>
      </c>
      <c r="C2616" s="256" t="inlineStr">
        <is>
          <t>FB012601/1</t>
        </is>
      </c>
      <c r="D2616" s="256" t="inlineStr">
        <is>
          <t>P060322</t>
        </is>
      </c>
      <c r="E2616" s="256" t="inlineStr">
        <is>
          <t>Fat Bastard</t>
        </is>
      </c>
      <c r="F2616" s="256" t="inlineStr">
        <is>
          <t>18.09.2026</t>
        </is>
      </c>
      <c r="G2616" s="256" t="inlineStr">
        <is>
          <t>10.1</t>
        </is>
      </c>
      <c r="H2616" s="256" t="inlineStr">
        <is>
          <t>Aflatoxin B₁</t>
        </is>
      </c>
      <c r="I2616" s="256" t="inlineStr">
        <is>
          <t>Ph. Eur. 2.8.18 (HPLC-FLD)</t>
        </is>
      </c>
      <c r="J2616" s="256" t="inlineStr">
        <is>
          <t>≤ 2 µg/kg</t>
        </is>
      </c>
      <c r="K2616" s="256" t="inlineStr">
        <is>
          <t>ND</t>
        </is>
      </c>
      <c r="L2616" s="256" t="inlineStr">
        <is>
          <t>220-8-М/26</t>
        </is>
      </c>
      <c r="M2616" s="256" t="inlineStr">
        <is>
          <t>11.09.2026</t>
        </is>
      </c>
      <c r="N2616" s="256" t="inlineStr">
        <is>
          <t>Farmahem</t>
        </is>
      </c>
      <c r="O2616" s="256" t="inlineStr">
        <is>
          <t>17.08.2026</t>
        </is>
      </c>
      <c r="P2616" s="256" t="inlineStr">
        <is>
          <t>covered</t>
        </is>
      </c>
      <c r="Q2616" s="256" t="inlineStr"/>
      <c r="R2616" s="256" t="inlineStr"/>
    </row>
    <row r="2617">
      <c r="A2617" s="256" t="inlineStr">
        <is>
          <t>CoQ-PP_26-114</t>
        </is>
      </c>
      <c r="B2617" s="256" t="inlineStr">
        <is>
          <t>reissue — retest</t>
        </is>
      </c>
      <c r="C2617" s="256" t="inlineStr">
        <is>
          <t>FB012601/1</t>
        </is>
      </c>
      <c r="D2617" s="256" t="inlineStr">
        <is>
          <t>P060322</t>
        </is>
      </c>
      <c r="E2617" s="256" t="inlineStr">
        <is>
          <t>Fat Bastard</t>
        </is>
      </c>
      <c r="F2617" s="256" t="inlineStr">
        <is>
          <t>18.09.2026</t>
        </is>
      </c>
      <c r="G2617" s="256" t="inlineStr">
        <is>
          <t>10.2</t>
        </is>
      </c>
      <c r="H2617" s="256" t="inlineStr">
        <is>
          <t>Aflatoxins ∑</t>
        </is>
      </c>
      <c r="I2617" s="256" t="inlineStr">
        <is>
          <t>Ph. Eur. 2.8.18 (HPLC-FLD)</t>
        </is>
      </c>
      <c r="J2617" s="256" t="inlineStr">
        <is>
          <t>≤ 4 µg/kg</t>
        </is>
      </c>
      <c r="K2617" s="256" t="inlineStr">
        <is>
          <t>ND</t>
        </is>
      </c>
      <c r="L2617" s="256" t="inlineStr">
        <is>
          <t>220-8-М/26</t>
        </is>
      </c>
      <c r="M2617" s="256" t="inlineStr">
        <is>
          <t>11.09.2026</t>
        </is>
      </c>
      <c r="N2617" s="256" t="inlineStr">
        <is>
          <t>Farmahem</t>
        </is>
      </c>
      <c r="O2617" s="256" t="inlineStr">
        <is>
          <t>17.08.2026</t>
        </is>
      </c>
      <c r="P2617" s="256" t="inlineStr">
        <is>
          <t>covered</t>
        </is>
      </c>
      <c r="Q2617" s="256" t="inlineStr"/>
      <c r="R2617" s="256" t="inlineStr"/>
    </row>
    <row r="2618">
      <c r="A2618" s="256" t="inlineStr">
        <is>
          <t>CoQ-PP_26-114</t>
        </is>
      </c>
      <c r="B2618" s="256" t="inlineStr">
        <is>
          <t>reissue — retest</t>
        </is>
      </c>
      <c r="C2618" s="256" t="inlineStr">
        <is>
          <t>FB012601/1</t>
        </is>
      </c>
      <c r="D2618" s="256" t="inlineStr">
        <is>
          <t>P060322</t>
        </is>
      </c>
      <c r="E2618" s="256" t="inlineStr">
        <is>
          <t>Fat Bastard</t>
        </is>
      </c>
      <c r="F2618" s="256" t="inlineStr">
        <is>
          <t>18.09.2026</t>
        </is>
      </c>
      <c r="G2618" s="256" t="inlineStr">
        <is>
          <t>10.3</t>
        </is>
      </c>
      <c r="H2618" s="256" t="inlineStr">
        <is>
          <t>Ochratoxin A</t>
        </is>
      </c>
      <c r="I2618" s="256" t="inlineStr">
        <is>
          <t>Ph. Eur. 2.8.22 (HPLC-FLD)</t>
        </is>
      </c>
      <c r="J2618" s="256" t="inlineStr">
        <is>
          <t>≤ 20 µg/kg</t>
        </is>
      </c>
      <c r="K2618" s="256" t="inlineStr">
        <is>
          <t>ND</t>
        </is>
      </c>
      <c r="L2618" s="256" t="inlineStr">
        <is>
          <t>220-8-М/26</t>
        </is>
      </c>
      <c r="M2618" s="256" t="inlineStr">
        <is>
          <t>11.09.2026</t>
        </is>
      </c>
      <c r="N2618" s="256" t="inlineStr">
        <is>
          <t>Farmahem</t>
        </is>
      </c>
      <c r="O2618" s="256" t="inlineStr">
        <is>
          <t>17.08.2026</t>
        </is>
      </c>
      <c r="P2618" s="256" t="inlineStr">
        <is>
          <t>covered</t>
        </is>
      </c>
      <c r="Q2618" s="256" t="inlineStr"/>
      <c r="R2618" s="256" t="inlineStr"/>
    </row>
    <row r="2619">
      <c r="A2619" s="256" t="inlineStr">
        <is>
          <t>CoQ-PP_26-114</t>
        </is>
      </c>
      <c r="B2619" s="256" t="inlineStr">
        <is>
          <t>reissue — retest</t>
        </is>
      </c>
      <c r="C2619" s="256" t="inlineStr">
        <is>
          <t>FB012601/1</t>
        </is>
      </c>
      <c r="D2619" s="256" t="inlineStr">
        <is>
          <t>P060322</t>
        </is>
      </c>
      <c r="E2619" s="256" t="inlineStr">
        <is>
          <t>Fat Bastard</t>
        </is>
      </c>
      <c r="F2619" s="256" t="inlineStr">
        <is>
          <t>18.09.2026</t>
        </is>
      </c>
      <c r="G2619" s="256" t="inlineStr">
        <is>
          <t>11.1</t>
        </is>
      </c>
      <c r="H2619" s="256" t="inlineStr">
        <is>
          <t>Lead (Pb)</t>
        </is>
      </c>
      <c r="I2619" s="256" t="inlineStr">
        <is>
          <t>Ph. Eur. 2.4.27 (ICP-MS)</t>
        </is>
      </c>
      <c r="J2619" s="256" t="inlineStr">
        <is>
          <t>≤ 0.5 mg/kg</t>
        </is>
      </c>
      <c r="K2619" s="256" t="inlineStr">
        <is>
          <t>0.0114</t>
        </is>
      </c>
      <c r="L2619" s="256" t="inlineStr">
        <is>
          <t>2362/2026</t>
        </is>
      </c>
      <c r="M2619" s="256" t="inlineStr">
        <is>
          <t>30.04.2026</t>
        </is>
      </c>
      <c r="N2619" s="256" t="inlineStr">
        <is>
          <t>IPH — Institute of Public Health</t>
        </is>
      </c>
      <c r="O2619" s="256" t="inlineStr">
        <is>
          <t>21.04.2026</t>
        </is>
      </c>
      <c r="P2619" s="256" t="inlineStr">
        <is>
          <t>carried from the initial testing (CoQ-PP-2026-0019) — covered</t>
        </is>
      </c>
      <c r="Q2619" s="256" t="inlineStr"/>
      <c r="R2619" s="256" t="inlineStr"/>
    </row>
    <row r="2620">
      <c r="A2620" s="256" t="inlineStr">
        <is>
          <t>CoQ-PP_26-114</t>
        </is>
      </c>
      <c r="B2620" s="256" t="inlineStr">
        <is>
          <t>reissue — retest</t>
        </is>
      </c>
      <c r="C2620" s="256" t="inlineStr">
        <is>
          <t>FB012601/1</t>
        </is>
      </c>
      <c r="D2620" s="256" t="inlineStr">
        <is>
          <t>P060322</t>
        </is>
      </c>
      <c r="E2620" s="256" t="inlineStr">
        <is>
          <t>Fat Bastard</t>
        </is>
      </c>
      <c r="F2620" s="256" t="inlineStr">
        <is>
          <t>18.09.2026</t>
        </is>
      </c>
      <c r="G2620" s="256" t="inlineStr">
        <is>
          <t>11.2</t>
        </is>
      </c>
      <c r="H2620" s="256" t="inlineStr">
        <is>
          <t>Cadmium (Cd)</t>
        </is>
      </c>
      <c r="I2620" s="256" t="inlineStr">
        <is>
          <t>Ph. Eur. 2.4.27 (ICP-MS)</t>
        </is>
      </c>
      <c r="J2620" s="256" t="inlineStr">
        <is>
          <t>≤ 0.3 mg/kg</t>
        </is>
      </c>
      <c r="K2620" s="256" t="inlineStr">
        <is>
          <t>0.017</t>
        </is>
      </c>
      <c r="L2620" s="256" t="inlineStr">
        <is>
          <t>2362/2026</t>
        </is>
      </c>
      <c r="M2620" s="256" t="inlineStr">
        <is>
          <t>30.04.2026</t>
        </is>
      </c>
      <c r="N2620" s="256" t="inlineStr">
        <is>
          <t>IPH — Institute of Public Health</t>
        </is>
      </c>
      <c r="O2620" s="256" t="inlineStr">
        <is>
          <t>21.04.2026</t>
        </is>
      </c>
      <c r="P2620" s="256" t="inlineStr">
        <is>
          <t>carried from the initial testing (CoQ-PP-2026-0019) — covered</t>
        </is>
      </c>
      <c r="Q2620" s="256" t="inlineStr"/>
      <c r="R2620" s="256" t="inlineStr"/>
    </row>
    <row r="2621">
      <c r="A2621" s="256" t="inlineStr">
        <is>
          <t>CoQ-PP_26-114</t>
        </is>
      </c>
      <c r="B2621" s="256" t="inlineStr">
        <is>
          <t>reissue — retest</t>
        </is>
      </c>
      <c r="C2621" s="256" t="inlineStr">
        <is>
          <t>FB012601/1</t>
        </is>
      </c>
      <c r="D2621" s="256" t="inlineStr">
        <is>
          <t>P060322</t>
        </is>
      </c>
      <c r="E2621" s="256" t="inlineStr">
        <is>
          <t>Fat Bastard</t>
        </is>
      </c>
      <c r="F2621" s="256" t="inlineStr">
        <is>
          <t>18.09.2026</t>
        </is>
      </c>
      <c r="G2621" s="256" t="inlineStr">
        <is>
          <t>11.3</t>
        </is>
      </c>
      <c r="H2621" s="256" t="inlineStr">
        <is>
          <t>Arsenic (As)</t>
        </is>
      </c>
      <c r="I2621" s="256" t="inlineStr">
        <is>
          <t>Ph. Eur. 2.4.27 (ICP-MS)</t>
        </is>
      </c>
      <c r="J2621" s="256" t="inlineStr">
        <is>
          <t>≤ 0.2 mg/kg</t>
        </is>
      </c>
      <c r="K2621" s="256" t="inlineStr">
        <is>
          <t>0.0144</t>
        </is>
      </c>
      <c r="L2621" s="256" t="inlineStr">
        <is>
          <t>2362/2026</t>
        </is>
      </c>
      <c r="M2621" s="256" t="inlineStr">
        <is>
          <t>30.04.2026</t>
        </is>
      </c>
      <c r="N2621" s="256" t="inlineStr">
        <is>
          <t>IPH — Institute of Public Health</t>
        </is>
      </c>
      <c r="O2621" s="256" t="inlineStr">
        <is>
          <t>21.04.2026</t>
        </is>
      </c>
      <c r="P2621" s="256" t="inlineStr">
        <is>
          <t>carried from the initial testing (CoQ-PP-2026-0019) — covered</t>
        </is>
      </c>
      <c r="Q2621" s="256" t="inlineStr"/>
      <c r="R2621" s="256" t="inlineStr"/>
    </row>
    <row r="2622">
      <c r="A2622" s="256" t="inlineStr">
        <is>
          <t>CoQ-PP_26-114</t>
        </is>
      </c>
      <c r="B2622" s="256" t="inlineStr">
        <is>
          <t>reissue — retest</t>
        </is>
      </c>
      <c r="C2622" s="256" t="inlineStr">
        <is>
          <t>FB012601/1</t>
        </is>
      </c>
      <c r="D2622" s="256" t="inlineStr">
        <is>
          <t>P060322</t>
        </is>
      </c>
      <c r="E2622" s="256" t="inlineStr">
        <is>
          <t>Fat Bastard</t>
        </is>
      </c>
      <c r="F2622" s="256" t="inlineStr">
        <is>
          <t>18.09.2026</t>
        </is>
      </c>
      <c r="G2622" s="256" t="inlineStr">
        <is>
          <t>11.4</t>
        </is>
      </c>
      <c r="H2622" s="256" t="inlineStr">
        <is>
          <t>Mercury (Hg)</t>
        </is>
      </c>
      <c r="I2622" s="256" t="inlineStr">
        <is>
          <t>Ph. Eur. 2.4.27 (ICP-MS)</t>
        </is>
      </c>
      <c r="J2622" s="256" t="inlineStr">
        <is>
          <t>≤ 0.1 mg/kg</t>
        </is>
      </c>
      <c r="K2622" s="256" t="inlineStr">
        <is>
          <t>0.0155</t>
        </is>
      </c>
      <c r="L2622" s="256" t="inlineStr">
        <is>
          <t>2362/2026</t>
        </is>
      </c>
      <c r="M2622" s="256" t="inlineStr">
        <is>
          <t>30.04.2026</t>
        </is>
      </c>
      <c r="N2622" s="256" t="inlineStr">
        <is>
          <t>IPH — Institute of Public Health</t>
        </is>
      </c>
      <c r="O2622" s="256" t="inlineStr">
        <is>
          <t>21.04.2026</t>
        </is>
      </c>
      <c r="P2622" s="256" t="inlineStr">
        <is>
          <t>carried from the initial testing (CoQ-PP-2026-0019) — covered</t>
        </is>
      </c>
      <c r="Q2622" s="256" t="inlineStr"/>
      <c r="R2622" s="256" t="inlineStr"/>
    </row>
    <row r="2623">
      <c r="A2623" s="256" t="inlineStr">
        <is>
          <t>CoQ-PP_26-114</t>
        </is>
      </c>
      <c r="B2623" s="256" t="inlineStr">
        <is>
          <t>reissue — retest</t>
        </is>
      </c>
      <c r="C2623" s="256" t="inlineStr">
        <is>
          <t>FB012601/1</t>
        </is>
      </c>
      <c r="D2623" s="256" t="inlineStr">
        <is>
          <t>P060322</t>
        </is>
      </c>
      <c r="E2623" s="256" t="inlineStr">
        <is>
          <t>Fat Bastard</t>
        </is>
      </c>
      <c r="F2623" s="256" t="inlineStr">
        <is>
          <t>18.09.2026</t>
        </is>
      </c>
      <c r="G2623" s="256" t="inlineStr">
        <is>
          <t>12</t>
        </is>
      </c>
      <c r="H2623" s="256" t="inlineStr">
        <is>
          <t>Pesticide Residues</t>
        </is>
      </c>
      <c r="I2623" s="256" t="inlineStr">
        <is>
          <t>Ph. Eur. 2.8.13 (LC-MS/MS) · CUMCS Equivalency</t>
        </is>
      </c>
      <c r="J2623" s="256" t="inlineStr">
        <is>
          <t>≤ LOQ as per Ph. Eur. 2.8.13 · ≤ LOQ as per CUMCS Equivalency</t>
        </is>
      </c>
      <c r="K2623" s="256" t="inlineStr">
        <is>
          <t>ND</t>
        </is>
      </c>
      <c r="L2623" s="256" t="inlineStr">
        <is>
          <t>2362/2026</t>
        </is>
      </c>
      <c r="M2623" s="256" t="inlineStr">
        <is>
          <t>30.04.2026</t>
        </is>
      </c>
      <c r="N2623" s="256" t="inlineStr">
        <is>
          <t>IPH — Institute of Public Health</t>
        </is>
      </c>
      <c r="O2623" s="256" t="inlineStr">
        <is>
          <t>21.04.2026</t>
        </is>
      </c>
      <c r="P2623" s="256" t="inlineStr">
        <is>
          <t>carried from the initial testing (CoQ-PP-2026-0019) — covered</t>
        </is>
      </c>
      <c r="Q2623" s="256" t="inlineStr"/>
      <c r="R2623" s="256" t="inlineStr"/>
    </row>
    <row r="2624">
      <c r="A2624" s="256" t="inlineStr">
        <is>
          <t>CoQ-PP_26-115</t>
        </is>
      </c>
      <c r="B2624" s="256" t="inlineStr">
        <is>
          <t>reissue — retest</t>
        </is>
      </c>
      <c r="C2624" s="256" t="inlineStr">
        <is>
          <t>GG1024</t>
        </is>
      </c>
      <c r="D2624" s="256" t="inlineStr">
        <is>
          <t>GG1024</t>
        </is>
      </c>
      <c r="E2624" s="256" t="inlineStr">
        <is>
          <t>Gorilla Glue</t>
        </is>
      </c>
      <c r="F2624" s="256" t="inlineStr">
        <is>
          <t>18.09.2026</t>
        </is>
      </c>
      <c r="G2624" s="256" t="inlineStr">
        <is>
          <t>1</t>
        </is>
      </c>
      <c r="H2624" s="256" t="inlineStr">
        <is>
          <t>Identification A, Appearance · Macroscopic</t>
        </is>
      </c>
      <c r="I2624" s="256" t="inlineStr">
        <is>
          <t>Ph. Eur. mon. 3028</t>
        </is>
      </c>
      <c r="J2624" s="256" t="inlineStr">
        <is>
          <t>Conforms to the monograph for Cannabis flos (07/2024:3028) in Ph. Eur. 11.0 | Согласно монографија за Cannabis flos (07/2024:3028) во Ph. Eur. 11.0</t>
        </is>
      </c>
      <c r="K2624" s="256" t="inlineStr">
        <is>
          <t>Conforms | Одговара</t>
        </is>
      </c>
      <c r="L2624" s="256" t="inlineStr">
        <is>
          <t>iCoA-PP_26-131</t>
        </is>
      </c>
      <c r="M2624" s="256" t="inlineStr">
        <is>
          <t>17.08.2026</t>
        </is>
      </c>
      <c r="N2624" s="256" t="inlineStr">
        <is>
          <t>Purely Plant GmbH (in-house)</t>
        </is>
      </c>
      <c r="O2624" s="256" t="inlineStr">
        <is>
          <t>—</t>
        </is>
      </c>
      <c r="P2624" s="256" t="inlineStr">
        <is>
          <t>covered</t>
        </is>
      </c>
      <c r="Q2624" s="256" t="inlineStr">
        <is>
          <t>Farmahem — Ident A + B + C with the Assay, at retest</t>
        </is>
      </c>
      <c r="R2624" s="256" t="inlineStr"/>
    </row>
    <row r="2625">
      <c r="A2625" s="256" t="inlineStr">
        <is>
          <t>CoQ-PP_26-115</t>
        </is>
      </c>
      <c r="B2625" s="256" t="inlineStr">
        <is>
          <t>reissue — retest</t>
        </is>
      </c>
      <c r="C2625" s="256" t="inlineStr">
        <is>
          <t>GG1024</t>
        </is>
      </c>
      <c r="D2625" s="256" t="inlineStr">
        <is>
          <t>GG1024</t>
        </is>
      </c>
      <c r="E2625" s="256" t="inlineStr">
        <is>
          <t>Gorilla Glue</t>
        </is>
      </c>
      <c r="F2625" s="256" t="inlineStr">
        <is>
          <t>18.09.2026</t>
        </is>
      </c>
      <c r="G2625" s="256" t="inlineStr">
        <is>
          <t>2</t>
        </is>
      </c>
      <c r="H2625" s="256" t="inlineStr">
        <is>
          <t>Identification B · Microscopic</t>
        </is>
      </c>
      <c r="I2625" s="256" t="inlineStr">
        <is>
          <t>Ph. Eur. 2.8.23 (microscopy)</t>
        </is>
      </c>
      <c r="J2625" s="256" t="inlineStr">
        <is>
          <t>Conforms to the monograph for Cannabis flos (07/2024:3028) in Ph. Eur. 11.0 | Согласно монографија за Cannabis flos (07/2024:3028) во Ph. Eur. 11.0</t>
        </is>
      </c>
      <c r="K2625" s="256" t="inlineStr">
        <is>
          <t>Conforms | Одговара</t>
        </is>
      </c>
      <c r="L2625" s="256" t="inlineStr">
        <is>
          <t>iCoA-PP_26-131</t>
        </is>
      </c>
      <c r="M2625" s="256" t="inlineStr">
        <is>
          <t>17.08.2026</t>
        </is>
      </c>
      <c r="N2625" s="256" t="inlineStr">
        <is>
          <t>Purely Plant GmbH (in-house)</t>
        </is>
      </c>
      <c r="O2625" s="256" t="inlineStr">
        <is>
          <t>—</t>
        </is>
      </c>
      <c r="P2625" s="256" t="inlineStr">
        <is>
          <t>covered</t>
        </is>
      </c>
      <c r="Q2625" s="256" t="inlineStr">
        <is>
          <t>Farmahem — Ident A + B + C with the Assay, at retest</t>
        </is>
      </c>
      <c r="R2625" s="256" t="inlineStr"/>
    </row>
    <row r="2626">
      <c r="A2626" s="256" t="inlineStr">
        <is>
          <t>CoQ-PP_26-115</t>
        </is>
      </c>
      <c r="B2626" s="256" t="inlineStr">
        <is>
          <t>reissue — retest</t>
        </is>
      </c>
      <c r="C2626" s="256" t="inlineStr">
        <is>
          <t>GG1024</t>
        </is>
      </c>
      <c r="D2626" s="256" t="inlineStr">
        <is>
          <t>GG1024</t>
        </is>
      </c>
      <c r="E2626" s="256" t="inlineStr">
        <is>
          <t>Gorilla Glue</t>
        </is>
      </c>
      <c r="F2626" s="256" t="inlineStr">
        <is>
          <t>18.09.2026</t>
        </is>
      </c>
      <c r="G2626" s="256" t="inlineStr">
        <is>
          <t>3</t>
        </is>
      </c>
      <c r="H2626" s="256" t="inlineStr">
        <is>
          <t>Identification C · HPLC/HPTLC</t>
        </is>
      </c>
      <c r="I2626" s="256" t="inlineStr">
        <is>
          <t>Ph. Eur. 2.2.29 (3028)</t>
        </is>
      </c>
      <c r="J2626" s="256" t="inlineStr">
        <is>
          <t>Conforms to the monograph for Cannabis flos (07/2024:3028) in Ph. Eur. 11.0 | Согласно монографија за Cannabis flos (07/2024:3028) во Ph. Eur. 11.0</t>
        </is>
      </c>
      <c r="K2626" s="256" t="inlineStr">
        <is>
          <t>Conforms | Одговара</t>
        </is>
      </c>
      <c r="L2626" s="256" t="inlineStr">
        <is>
          <t>220-9-К/26</t>
        </is>
      </c>
      <c r="M2626" s="256" t="inlineStr">
        <is>
          <t>25.08.2026</t>
        </is>
      </c>
      <c r="N2626" s="256" t="inlineStr">
        <is>
          <t>Farmahem</t>
        </is>
      </c>
      <c r="O2626" s="256" t="inlineStr">
        <is>
          <t>17.08.2026</t>
        </is>
      </c>
      <c r="P2626" s="256" t="inlineStr">
        <is>
          <t>covered</t>
        </is>
      </c>
      <c r="Q2626" s="256" t="inlineStr"/>
      <c r="R2626" s="256" t="inlineStr"/>
    </row>
    <row r="2627">
      <c r="A2627" s="256" t="inlineStr">
        <is>
          <t>CoQ-PP_26-115</t>
        </is>
      </c>
      <c r="B2627" s="256" t="inlineStr">
        <is>
          <t>reissue — retest</t>
        </is>
      </c>
      <c r="C2627" s="256" t="inlineStr">
        <is>
          <t>GG1024</t>
        </is>
      </c>
      <c r="D2627" s="256" t="inlineStr">
        <is>
          <t>GG1024</t>
        </is>
      </c>
      <c r="E2627" s="256" t="inlineStr">
        <is>
          <t>Gorilla Glue</t>
        </is>
      </c>
      <c r="F2627" s="256" t="inlineStr">
        <is>
          <t>18.09.2026</t>
        </is>
      </c>
      <c r="G2627" s="256" t="inlineStr">
        <is>
          <t>4</t>
        </is>
      </c>
      <c r="H2627" s="256" t="inlineStr">
        <is>
          <t>Assay — Total Δ⁹-THC</t>
        </is>
      </c>
      <c r="I2627" s="256" t="inlineStr">
        <is>
          <t>Ph. Eur. 2.2.29 (HPLC)</t>
        </is>
      </c>
      <c r="J2627" s="256" t="inlineStr">
        <is>
          <t>13.77 – 16.22 %  (grade II, nominal 15.00 ± 1.23)</t>
        </is>
      </c>
      <c r="K2627" s="256" t="inlineStr">
        <is>
          <t>15.51</t>
        </is>
      </c>
      <c r="L2627" s="256" t="inlineStr">
        <is>
          <t>220-9-К/26</t>
        </is>
      </c>
      <c r="M2627" s="256" t="inlineStr">
        <is>
          <t>25.08.2026</t>
        </is>
      </c>
      <c r="N2627" s="256" t="inlineStr">
        <is>
          <t>Farmahem</t>
        </is>
      </c>
      <c r="O2627" s="256" t="inlineStr">
        <is>
          <t>17.08.2026</t>
        </is>
      </c>
      <c r="P2627" s="256" t="inlineStr">
        <is>
          <t>covered</t>
        </is>
      </c>
      <c r="Q2627" s="256" t="inlineStr"/>
      <c r="R2627" s="256" t="inlineStr"/>
    </row>
    <row r="2628">
      <c r="A2628" s="256" t="inlineStr">
        <is>
          <t>CoQ-PP_26-115</t>
        </is>
      </c>
      <c r="B2628" s="256" t="inlineStr">
        <is>
          <t>reissue — retest</t>
        </is>
      </c>
      <c r="C2628" s="256" t="inlineStr">
        <is>
          <t>GG1024</t>
        </is>
      </c>
      <c r="D2628" s="256" t="inlineStr">
        <is>
          <t>GG1024</t>
        </is>
      </c>
      <c r="E2628" s="256" t="inlineStr">
        <is>
          <t>Gorilla Glue</t>
        </is>
      </c>
      <c r="F2628" s="256" t="inlineStr">
        <is>
          <t>18.09.2026</t>
        </is>
      </c>
      <c r="G2628" s="256" t="inlineStr">
        <is>
          <t>5</t>
        </is>
      </c>
      <c r="H2628" s="256" t="inlineStr">
        <is>
          <t>Assay — Total CBD</t>
        </is>
      </c>
      <c r="I2628" s="256" t="inlineStr">
        <is>
          <t>Ph. Eur. 2.2.29 (HPLC) · CBD + CBDA x 0.877</t>
        </is>
      </c>
      <c r="J2628" s="256" t="inlineStr">
        <is>
          <t>≤ 1.0%, w/w</t>
        </is>
      </c>
      <c r="K2628" s="256" t="inlineStr">
        <is>
          <t>&lt; LOQ</t>
        </is>
      </c>
      <c r="L2628" s="256" t="inlineStr">
        <is>
          <t>220-9-К/26</t>
        </is>
      </c>
      <c r="M2628" s="256" t="inlineStr">
        <is>
          <t>25.08.2026</t>
        </is>
      </c>
      <c r="N2628" s="256" t="inlineStr">
        <is>
          <t>Farmahem</t>
        </is>
      </c>
      <c r="O2628" s="256" t="inlineStr">
        <is>
          <t>17.08.2026</t>
        </is>
      </c>
      <c r="P2628" s="256" t="inlineStr">
        <is>
          <t>covered</t>
        </is>
      </c>
      <c r="Q2628" s="256" t="inlineStr"/>
      <c r="R2628" s="256" t="inlineStr"/>
    </row>
    <row r="2629">
      <c r="A2629" s="256" t="inlineStr">
        <is>
          <t>CoQ-PP_26-115</t>
        </is>
      </c>
      <c r="B2629" s="256" t="inlineStr">
        <is>
          <t>reissue — retest</t>
        </is>
      </c>
      <c r="C2629" s="256" t="inlineStr">
        <is>
          <t>GG1024</t>
        </is>
      </c>
      <c r="D2629" s="256" t="inlineStr">
        <is>
          <t>GG1024</t>
        </is>
      </c>
      <c r="E2629" s="256" t="inlineStr">
        <is>
          <t>Gorilla Glue</t>
        </is>
      </c>
      <c r="F2629" s="256" t="inlineStr">
        <is>
          <t>18.09.2026</t>
        </is>
      </c>
      <c r="G2629" s="256" t="inlineStr">
        <is>
          <t>6</t>
        </is>
      </c>
      <c r="H2629" s="256" t="inlineStr">
        <is>
          <t>Total CBN</t>
        </is>
      </c>
      <c r="I2629" s="256" t="inlineStr">
        <is>
          <t>Ph. Eur. 2.2.29 (HPLC) · CBN + CBNA x 0.876</t>
        </is>
      </c>
      <c r="J2629" s="256" t="inlineStr">
        <is>
          <t>≤ 1.0%, w/w</t>
        </is>
      </c>
      <c r="K2629" s="256" t="inlineStr">
        <is>
          <t>&lt; LOQ</t>
        </is>
      </c>
      <c r="L2629" s="256" t="inlineStr">
        <is>
          <t>220-9-К/26</t>
        </is>
      </c>
      <c r="M2629" s="256" t="inlineStr">
        <is>
          <t>25.08.2026</t>
        </is>
      </c>
      <c r="N2629" s="256" t="inlineStr">
        <is>
          <t>Farmahem</t>
        </is>
      </c>
      <c r="O2629" s="256" t="inlineStr">
        <is>
          <t>17.08.2026</t>
        </is>
      </c>
      <c r="P2629" s="256" t="inlineStr">
        <is>
          <t>covered</t>
        </is>
      </c>
      <c r="Q2629" s="256" t="inlineStr"/>
      <c r="R2629" s="256" t="inlineStr"/>
    </row>
    <row r="2630">
      <c r="A2630" s="256" t="inlineStr">
        <is>
          <t>CoQ-PP_26-115</t>
        </is>
      </c>
      <c r="B2630" s="256" t="inlineStr">
        <is>
          <t>reissue — retest</t>
        </is>
      </c>
      <c r="C2630" s="256" t="inlineStr">
        <is>
          <t>GG1024</t>
        </is>
      </c>
      <c r="D2630" s="256" t="inlineStr">
        <is>
          <t>GG1024</t>
        </is>
      </c>
      <c r="E2630" s="256" t="inlineStr">
        <is>
          <t>Gorilla Glue</t>
        </is>
      </c>
      <c r="F2630" s="256" t="inlineStr">
        <is>
          <t>18.09.2026</t>
        </is>
      </c>
      <c r="G2630" s="256" t="inlineStr">
        <is>
          <t>7</t>
        </is>
      </c>
      <c r="H2630" s="256" t="inlineStr">
        <is>
          <t>Foreign Matter</t>
        </is>
      </c>
      <c r="I2630" s="256" t="inlineStr">
        <is>
          <t>Ph. Eur. 2.8.2 · In-house · интерна</t>
        </is>
      </c>
      <c r="J2630" s="256" t="inlineStr">
        <is>
          <t>≤ 2.0% / 25–50 g · &lt; 1 cm leaves | листови, no seeds | без семки</t>
        </is>
      </c>
      <c r="K2630" s="256" t="inlineStr">
        <is>
          <t>Conforms | Одговара</t>
        </is>
      </c>
      <c r="L2630" s="256" t="inlineStr">
        <is>
          <t>iCoA-PP_26-131</t>
        </is>
      </c>
      <c r="M2630" s="256" t="inlineStr">
        <is>
          <t>17.08.2026</t>
        </is>
      </c>
      <c r="N2630" s="256" t="inlineStr">
        <is>
          <t>Purely Plant GmbH (in-house)</t>
        </is>
      </c>
      <c r="O2630" s="256" t="inlineStr">
        <is>
          <t>—</t>
        </is>
      </c>
      <c r="P2630" s="256" t="inlineStr">
        <is>
          <t>covered</t>
        </is>
      </c>
      <c r="Q2630" s="256" t="inlineStr">
        <is>
          <t>Purely Plant laboratory — iCoA covering Foreign matter</t>
        </is>
      </c>
      <c r="R2630" s="256" t="inlineStr"/>
    </row>
    <row r="2631">
      <c r="A2631" s="256" t="inlineStr">
        <is>
          <t>CoQ-PP_26-115</t>
        </is>
      </c>
      <c r="B2631" s="256" t="inlineStr">
        <is>
          <t>reissue — retest</t>
        </is>
      </c>
      <c r="C2631" s="256" t="inlineStr">
        <is>
          <t>GG1024</t>
        </is>
      </c>
      <c r="D2631" s="256" t="inlineStr">
        <is>
          <t>GG1024</t>
        </is>
      </c>
      <c r="E2631" s="256" t="inlineStr">
        <is>
          <t>Gorilla Glue</t>
        </is>
      </c>
      <c r="F2631" s="256" t="inlineStr">
        <is>
          <t>18.09.2026</t>
        </is>
      </c>
      <c r="G2631" s="256" t="inlineStr">
        <is>
          <t>8</t>
        </is>
      </c>
      <c r="H2631" s="256" t="inlineStr">
        <is>
          <t>Loss on Drying</t>
        </is>
      </c>
      <c r="I2631" s="256" t="inlineStr">
        <is>
          <t>Ph. Eur. 2.2.32 (3028) · at 40 °C, 24 h, 15–25 mbar</t>
        </is>
      </c>
      <c r="J2631" s="256" t="inlineStr">
        <is>
          <t>≤ 12.0%</t>
        </is>
      </c>
      <c r="K2631" s="256" t="inlineStr">
        <is>
          <t>7.8</t>
        </is>
      </c>
      <c r="L2631" s="256" t="inlineStr">
        <is>
          <t>ППК25008</t>
        </is>
      </c>
      <c r="M2631" s="256" t="inlineStr">
        <is>
          <t>29.01.2025</t>
        </is>
      </c>
      <c r="N2631" s="256" t="inlineStr">
        <is>
          <t>CNP</t>
        </is>
      </c>
      <c r="O2631" s="256" t="inlineStr">
        <is>
          <t>—</t>
        </is>
      </c>
      <c r="P2631" s="256" t="inlineStr">
        <is>
          <t>carried from the initial testing (CoQ-PP-2025-0003) — covered</t>
        </is>
      </c>
      <c r="Q2631" s="256" t="inlineStr"/>
      <c r="R2631" s="256" t="inlineStr"/>
    </row>
    <row r="2632">
      <c r="A2632" s="256" t="inlineStr">
        <is>
          <t>CoQ-PP_26-115</t>
        </is>
      </c>
      <c r="B2632" s="256" t="inlineStr">
        <is>
          <t>reissue — retest</t>
        </is>
      </c>
      <c r="C2632" s="256" t="inlineStr">
        <is>
          <t>GG1024</t>
        </is>
      </c>
      <c r="D2632" s="256" t="inlineStr">
        <is>
          <t>GG1024</t>
        </is>
      </c>
      <c r="E2632" s="256" t="inlineStr">
        <is>
          <t>Gorilla Glue</t>
        </is>
      </c>
      <c r="F2632" s="256" t="inlineStr">
        <is>
          <t>18.09.2026</t>
        </is>
      </c>
      <c r="G2632" s="256" t="inlineStr">
        <is>
          <t>9.1</t>
        </is>
      </c>
      <c r="H2632" s="256" t="inlineStr">
        <is>
          <t>TAMC</t>
        </is>
      </c>
      <c r="I2632" s="256" t="inlineStr">
        <is>
          <t>Ph. Eur. 2.6.12 cat. C</t>
        </is>
      </c>
      <c r="J2632" s="256" t="inlineStr">
        <is>
          <t>≤ 10⁵ CFU/g</t>
        </is>
      </c>
      <c r="K2632" s="256" t="inlineStr">
        <is>
          <t>1.1 × 10⁴ CFU/g</t>
        </is>
      </c>
      <c r="L2632" s="256" t="inlineStr">
        <is>
          <t>166/0274/25</t>
        </is>
      </c>
      <c r="M2632" s="256" t="inlineStr">
        <is>
          <t>24.02.2025</t>
        </is>
      </c>
      <c r="N2632" s="256" t="inlineStr">
        <is>
          <t>IPH — Institute of Public Health</t>
        </is>
      </c>
      <c r="O2632" s="256" t="inlineStr">
        <is>
          <t>—</t>
        </is>
      </c>
      <c r="P2632" s="256" t="inlineStr">
        <is>
          <t>covered</t>
        </is>
      </c>
      <c r="Q2632" s="256" t="inlineStr"/>
      <c r="R2632" s="256" t="inlineStr"/>
    </row>
    <row r="2633">
      <c r="A2633" s="256" t="inlineStr">
        <is>
          <t>CoQ-PP_26-115</t>
        </is>
      </c>
      <c r="B2633" s="256" t="inlineStr">
        <is>
          <t>reissue — retest</t>
        </is>
      </c>
      <c r="C2633" s="256" t="inlineStr">
        <is>
          <t>GG1024</t>
        </is>
      </c>
      <c r="D2633" s="256" t="inlineStr">
        <is>
          <t>GG1024</t>
        </is>
      </c>
      <c r="E2633" s="256" t="inlineStr">
        <is>
          <t>Gorilla Glue</t>
        </is>
      </c>
      <c r="F2633" s="256" t="inlineStr">
        <is>
          <t>18.09.2026</t>
        </is>
      </c>
      <c r="G2633" s="256" t="inlineStr">
        <is>
          <t>9.2</t>
        </is>
      </c>
      <c r="H2633" s="256" t="inlineStr">
        <is>
          <t>TYMC</t>
        </is>
      </c>
      <c r="I2633" s="256" t="inlineStr">
        <is>
          <t>Ph. Eur. 2.6.12 cat. C</t>
        </is>
      </c>
      <c r="J2633" s="256" t="inlineStr">
        <is>
          <t>≤ 10⁴ CFU/g</t>
        </is>
      </c>
      <c r="K2633" s="256" t="inlineStr">
        <is>
          <t>&lt; 10</t>
        </is>
      </c>
      <c r="L2633" s="256" t="inlineStr">
        <is>
          <t>166/0274/25</t>
        </is>
      </c>
      <c r="M2633" s="256" t="inlineStr">
        <is>
          <t>24.02.2025</t>
        </is>
      </c>
      <c r="N2633" s="256" t="inlineStr">
        <is>
          <t>IPH — Institute of Public Health</t>
        </is>
      </c>
      <c r="O2633" s="256" t="inlineStr">
        <is>
          <t>—</t>
        </is>
      </c>
      <c r="P2633" s="256" t="inlineStr">
        <is>
          <t>covered</t>
        </is>
      </c>
      <c r="Q2633" s="256" t="inlineStr"/>
      <c r="R2633" s="256" t="inlineStr"/>
    </row>
    <row r="2634">
      <c r="A2634" s="256" t="inlineStr">
        <is>
          <t>CoQ-PP_26-115</t>
        </is>
      </c>
      <c r="B2634" s="256" t="inlineStr">
        <is>
          <t>reissue — retest</t>
        </is>
      </c>
      <c r="C2634" s="256" t="inlineStr">
        <is>
          <t>GG1024</t>
        </is>
      </c>
      <c r="D2634" s="256" t="inlineStr">
        <is>
          <t>GG1024</t>
        </is>
      </c>
      <c r="E2634" s="256" t="inlineStr">
        <is>
          <t>Gorilla Glue</t>
        </is>
      </c>
      <c r="F2634" s="256" t="inlineStr">
        <is>
          <t>18.09.2026</t>
        </is>
      </c>
      <c r="G2634" s="256" t="inlineStr">
        <is>
          <t>9.3</t>
        </is>
      </c>
      <c r="H2634" s="256" t="inlineStr">
        <is>
          <t>Bile-tolerant gram-neg.</t>
        </is>
      </c>
      <c r="I2634" s="256" t="inlineStr">
        <is>
          <t>Ph. Eur. 2.6.31 cat. C</t>
        </is>
      </c>
      <c r="J2634" s="256" t="inlineStr">
        <is>
          <t>≤ 10⁴ CFU/g</t>
        </is>
      </c>
      <c r="K2634" s="256" t="inlineStr">
        <is>
          <t>&lt; 10² and &gt; 10 CFU/g</t>
        </is>
      </c>
      <c r="L2634" s="256" t="inlineStr">
        <is>
          <t>166/0274/25</t>
        </is>
      </c>
      <c r="M2634" s="256" t="inlineStr">
        <is>
          <t>24.02.2025</t>
        </is>
      </c>
      <c r="N2634" s="256" t="inlineStr">
        <is>
          <t>IPH — Institute of Public Health</t>
        </is>
      </c>
      <c r="O2634" s="256" t="inlineStr">
        <is>
          <t>—</t>
        </is>
      </c>
      <c r="P2634" s="256" t="inlineStr">
        <is>
          <t>covered</t>
        </is>
      </c>
      <c r="Q2634" s="256" t="inlineStr"/>
      <c r="R2634" s="256" t="inlineStr"/>
    </row>
    <row r="2635">
      <c r="A2635" s="256" t="inlineStr">
        <is>
          <t>CoQ-PP_26-115</t>
        </is>
      </c>
      <c r="B2635" s="256" t="inlineStr">
        <is>
          <t>reissue — retest</t>
        </is>
      </c>
      <c r="C2635" s="256" t="inlineStr">
        <is>
          <t>GG1024</t>
        </is>
      </c>
      <c r="D2635" s="256" t="inlineStr">
        <is>
          <t>GG1024</t>
        </is>
      </c>
      <c r="E2635" s="256" t="inlineStr">
        <is>
          <t>Gorilla Glue</t>
        </is>
      </c>
      <c r="F2635" s="256" t="inlineStr">
        <is>
          <t>18.09.2026</t>
        </is>
      </c>
      <c r="G2635" s="256" t="inlineStr">
        <is>
          <t>9.4</t>
        </is>
      </c>
      <c r="H2635" s="256" t="inlineStr">
        <is>
          <t>Salmonella</t>
        </is>
      </c>
      <c r="I2635" s="256" t="inlineStr">
        <is>
          <t>Ph. Eur. 2.6.31 cat. C</t>
        </is>
      </c>
      <c r="J2635" s="256" t="inlineStr">
        <is>
          <t>Absence | Отсуство / 25 g</t>
        </is>
      </c>
      <c r="K2635" s="256" t="inlineStr">
        <is>
          <t>Absent | Отсутна</t>
        </is>
      </c>
      <c r="L2635" s="256" t="inlineStr">
        <is>
          <t>166/0274/25</t>
        </is>
      </c>
      <c r="M2635" s="256" t="inlineStr">
        <is>
          <t>24.02.2025</t>
        </is>
      </c>
      <c r="N2635" s="256" t="inlineStr">
        <is>
          <t>IPH — Institute of Public Health</t>
        </is>
      </c>
      <c r="O2635" s="256" t="inlineStr">
        <is>
          <t>—</t>
        </is>
      </c>
      <c r="P2635" s="256" t="inlineStr">
        <is>
          <t>covered</t>
        </is>
      </c>
      <c r="Q2635" s="256" t="inlineStr"/>
      <c r="R2635" s="256" t="inlineStr"/>
    </row>
    <row r="2636">
      <c r="A2636" s="256" t="inlineStr">
        <is>
          <t>CoQ-PP_26-115</t>
        </is>
      </c>
      <c r="B2636" s="256" t="inlineStr">
        <is>
          <t>reissue — retest</t>
        </is>
      </c>
      <c r="C2636" s="256" t="inlineStr">
        <is>
          <t>GG1024</t>
        </is>
      </c>
      <c r="D2636" s="256" t="inlineStr">
        <is>
          <t>GG1024</t>
        </is>
      </c>
      <c r="E2636" s="256" t="inlineStr">
        <is>
          <t>Gorilla Glue</t>
        </is>
      </c>
      <c r="F2636" s="256" t="inlineStr">
        <is>
          <t>18.09.2026</t>
        </is>
      </c>
      <c r="G2636" s="256" t="inlineStr">
        <is>
          <t>9.5</t>
        </is>
      </c>
      <c r="H2636" s="256" t="inlineStr">
        <is>
          <t>Escherichia coli</t>
        </is>
      </c>
      <c r="I2636" s="256" t="inlineStr">
        <is>
          <t>Ph. Eur. 2.6.13 cat. C</t>
        </is>
      </c>
      <c r="J2636" s="256" t="inlineStr">
        <is>
          <t>Absence | Отсуство / 1 g</t>
        </is>
      </c>
      <c r="K2636" s="256" t="inlineStr">
        <is>
          <t>Absent | Отсутна</t>
        </is>
      </c>
      <c r="L2636" s="256" t="inlineStr">
        <is>
          <t>166/0274/25</t>
        </is>
      </c>
      <c r="M2636" s="256" t="inlineStr">
        <is>
          <t>24.02.2025</t>
        </is>
      </c>
      <c r="N2636" s="256" t="inlineStr">
        <is>
          <t>IPH — Institute of Public Health</t>
        </is>
      </c>
      <c r="O2636" s="256" t="inlineStr">
        <is>
          <t>—</t>
        </is>
      </c>
      <c r="P2636" s="256" t="inlineStr">
        <is>
          <t>covered</t>
        </is>
      </c>
      <c r="Q2636" s="256" t="inlineStr"/>
      <c r="R2636" s="256" t="inlineStr"/>
    </row>
    <row r="2637">
      <c r="A2637" s="256" t="inlineStr">
        <is>
          <t>CoQ-PP_26-115</t>
        </is>
      </c>
      <c r="B2637" s="256" t="inlineStr">
        <is>
          <t>reissue — retest</t>
        </is>
      </c>
      <c r="C2637" s="256" t="inlineStr">
        <is>
          <t>GG1024</t>
        </is>
      </c>
      <c r="D2637" s="256" t="inlineStr">
        <is>
          <t>GG1024</t>
        </is>
      </c>
      <c r="E2637" s="256" t="inlineStr">
        <is>
          <t>Gorilla Glue</t>
        </is>
      </c>
      <c r="F2637" s="256" t="inlineStr">
        <is>
          <t>18.09.2026</t>
        </is>
      </c>
      <c r="G2637" s="256" t="inlineStr">
        <is>
          <t>9.6</t>
        </is>
      </c>
      <c r="H2637" s="256" t="inlineStr">
        <is>
          <t>Pseudomonas aeruginosa</t>
        </is>
      </c>
      <c r="I2637" s="256" t="inlineStr">
        <is>
          <t>Ph. Eur. 2.6.13 cat. C</t>
        </is>
      </c>
      <c r="J2637" s="256" t="inlineStr">
        <is>
          <t>Absence | Отсуство / 1 g</t>
        </is>
      </c>
      <c r="K2637" s="260" t="inlineStr">
        <is>
          <t>upon request — not required for release</t>
        </is>
      </c>
      <c r="L2637" s="256" t="inlineStr">
        <is>
          <t>—</t>
        </is>
      </c>
      <c r="M2637" s="256" t="inlineStr">
        <is>
          <t>—</t>
        </is>
      </c>
      <c r="N2637" s="256" t="inlineStr">
        <is>
          <t>—</t>
        </is>
      </c>
      <c r="O2637" s="256" t="inlineStr">
        <is>
          <t>—</t>
        </is>
      </c>
      <c r="P2637" s="256" t="inlineStr">
        <is>
          <t>upon request — not required for release</t>
        </is>
      </c>
      <c r="Q2637" s="256" t="inlineStr"/>
      <c r="R2637" s="256" t="inlineStr"/>
    </row>
    <row r="2638">
      <c r="A2638" s="256" t="inlineStr">
        <is>
          <t>CoQ-PP_26-115</t>
        </is>
      </c>
      <c r="B2638" s="256" t="inlineStr">
        <is>
          <t>reissue — retest</t>
        </is>
      </c>
      <c r="C2638" s="256" t="inlineStr">
        <is>
          <t>GG1024</t>
        </is>
      </c>
      <c r="D2638" s="256" t="inlineStr">
        <is>
          <t>GG1024</t>
        </is>
      </c>
      <c r="E2638" s="256" t="inlineStr">
        <is>
          <t>Gorilla Glue</t>
        </is>
      </c>
      <c r="F2638" s="256" t="inlineStr">
        <is>
          <t>18.09.2026</t>
        </is>
      </c>
      <c r="G2638" s="256" t="inlineStr">
        <is>
          <t>9.7</t>
        </is>
      </c>
      <c r="H2638" s="256" t="inlineStr">
        <is>
          <t>Staphylococcus aureus</t>
        </is>
      </c>
      <c r="I2638" s="256" t="inlineStr">
        <is>
          <t>Ph. Eur. 2.6.13 cat. C</t>
        </is>
      </c>
      <c r="J2638" s="256" t="inlineStr">
        <is>
          <t>Absence | Отсуство / 1 g</t>
        </is>
      </c>
      <c r="K2638" s="260" t="inlineStr">
        <is>
          <t>upon request — not required for release</t>
        </is>
      </c>
      <c r="L2638" s="256" t="inlineStr">
        <is>
          <t>—</t>
        </is>
      </c>
      <c r="M2638" s="256" t="inlineStr">
        <is>
          <t>—</t>
        </is>
      </c>
      <c r="N2638" s="256" t="inlineStr">
        <is>
          <t>—</t>
        </is>
      </c>
      <c r="O2638" s="256" t="inlineStr">
        <is>
          <t>—</t>
        </is>
      </c>
      <c r="P2638" s="256" t="inlineStr">
        <is>
          <t>upon request — not required for release</t>
        </is>
      </c>
      <c r="Q2638" s="256" t="inlineStr"/>
      <c r="R2638" s="256" t="inlineStr"/>
    </row>
    <row r="2639">
      <c r="A2639" s="256" t="inlineStr">
        <is>
          <t>CoQ-PP_26-115</t>
        </is>
      </c>
      <c r="B2639" s="256" t="inlineStr">
        <is>
          <t>reissue — retest</t>
        </is>
      </c>
      <c r="C2639" s="256" t="inlineStr">
        <is>
          <t>GG1024</t>
        </is>
      </c>
      <c r="D2639" s="256" t="inlineStr">
        <is>
          <t>GG1024</t>
        </is>
      </c>
      <c r="E2639" s="256" t="inlineStr">
        <is>
          <t>Gorilla Glue</t>
        </is>
      </c>
      <c r="F2639" s="256" t="inlineStr">
        <is>
          <t>18.09.2026</t>
        </is>
      </c>
      <c r="G2639" s="256" t="inlineStr">
        <is>
          <t>10.1</t>
        </is>
      </c>
      <c r="H2639" s="256" t="inlineStr">
        <is>
          <t>Aflatoxin B₁</t>
        </is>
      </c>
      <c r="I2639" s="256" t="inlineStr">
        <is>
          <t>Ph. Eur. 2.8.18 (HPLC-FLD)</t>
        </is>
      </c>
      <c r="J2639" s="256" t="inlineStr">
        <is>
          <t>≤ 2 µg/kg</t>
        </is>
      </c>
      <c r="K2639" s="256" t="inlineStr">
        <is>
          <t>ND</t>
        </is>
      </c>
      <c r="L2639" s="256" t="inlineStr">
        <is>
          <t>220-9-М/26</t>
        </is>
      </c>
      <c r="M2639" s="256" t="inlineStr">
        <is>
          <t>11.09.2026</t>
        </is>
      </c>
      <c r="N2639" s="256" t="inlineStr">
        <is>
          <t>Farmahem</t>
        </is>
      </c>
      <c r="O2639" s="256" t="inlineStr">
        <is>
          <t>17.08.2026</t>
        </is>
      </c>
      <c r="P2639" s="256" t="inlineStr">
        <is>
          <t>covered</t>
        </is>
      </c>
      <c r="Q2639" s="256" t="inlineStr"/>
      <c r="R2639" s="256" t="inlineStr"/>
    </row>
    <row r="2640">
      <c r="A2640" s="256" t="inlineStr">
        <is>
          <t>CoQ-PP_26-115</t>
        </is>
      </c>
      <c r="B2640" s="256" t="inlineStr">
        <is>
          <t>reissue — retest</t>
        </is>
      </c>
      <c r="C2640" s="256" t="inlineStr">
        <is>
          <t>GG1024</t>
        </is>
      </c>
      <c r="D2640" s="256" t="inlineStr">
        <is>
          <t>GG1024</t>
        </is>
      </c>
      <c r="E2640" s="256" t="inlineStr">
        <is>
          <t>Gorilla Glue</t>
        </is>
      </c>
      <c r="F2640" s="256" t="inlineStr">
        <is>
          <t>18.09.2026</t>
        </is>
      </c>
      <c r="G2640" s="256" t="inlineStr">
        <is>
          <t>10.2</t>
        </is>
      </c>
      <c r="H2640" s="256" t="inlineStr">
        <is>
          <t>Aflatoxins ∑</t>
        </is>
      </c>
      <c r="I2640" s="256" t="inlineStr">
        <is>
          <t>Ph. Eur. 2.8.18 (HPLC-FLD)</t>
        </is>
      </c>
      <c r="J2640" s="256" t="inlineStr">
        <is>
          <t>≤ 4 µg/kg</t>
        </is>
      </c>
      <c r="K2640" s="256" t="inlineStr">
        <is>
          <t>ND</t>
        </is>
      </c>
      <c r="L2640" s="256" t="inlineStr">
        <is>
          <t>220-9-М/26</t>
        </is>
      </c>
      <c r="M2640" s="256" t="inlineStr">
        <is>
          <t>11.09.2026</t>
        </is>
      </c>
      <c r="N2640" s="256" t="inlineStr">
        <is>
          <t>Farmahem</t>
        </is>
      </c>
      <c r="O2640" s="256" t="inlineStr">
        <is>
          <t>17.08.2026</t>
        </is>
      </c>
      <c r="P2640" s="256" t="inlineStr">
        <is>
          <t>covered</t>
        </is>
      </c>
      <c r="Q2640" s="256" t="inlineStr"/>
      <c r="R2640" s="256" t="inlineStr"/>
    </row>
    <row r="2641">
      <c r="A2641" s="256" t="inlineStr">
        <is>
          <t>CoQ-PP_26-115</t>
        </is>
      </c>
      <c r="B2641" s="256" t="inlineStr">
        <is>
          <t>reissue — retest</t>
        </is>
      </c>
      <c r="C2641" s="256" t="inlineStr">
        <is>
          <t>GG1024</t>
        </is>
      </c>
      <c r="D2641" s="256" t="inlineStr">
        <is>
          <t>GG1024</t>
        </is>
      </c>
      <c r="E2641" s="256" t="inlineStr">
        <is>
          <t>Gorilla Glue</t>
        </is>
      </c>
      <c r="F2641" s="256" t="inlineStr">
        <is>
          <t>18.09.2026</t>
        </is>
      </c>
      <c r="G2641" s="256" t="inlineStr">
        <is>
          <t>10.3</t>
        </is>
      </c>
      <c r="H2641" s="256" t="inlineStr">
        <is>
          <t>Ochratoxin A</t>
        </is>
      </c>
      <c r="I2641" s="256" t="inlineStr">
        <is>
          <t>Ph. Eur. 2.8.22 (HPLC-FLD)</t>
        </is>
      </c>
      <c r="J2641" s="256" t="inlineStr">
        <is>
          <t>≤ 20 µg/kg</t>
        </is>
      </c>
      <c r="K2641" s="256" t="inlineStr">
        <is>
          <t>ND</t>
        </is>
      </c>
      <c r="L2641" s="256" t="inlineStr">
        <is>
          <t>220-9-М/26</t>
        </is>
      </c>
      <c r="M2641" s="256" t="inlineStr">
        <is>
          <t>11.09.2026</t>
        </is>
      </c>
      <c r="N2641" s="256" t="inlineStr">
        <is>
          <t>Farmahem</t>
        </is>
      </c>
      <c r="O2641" s="256" t="inlineStr">
        <is>
          <t>17.08.2026</t>
        </is>
      </c>
      <c r="P2641" s="256" t="inlineStr">
        <is>
          <t>covered</t>
        </is>
      </c>
      <c r="Q2641" s="256" t="inlineStr"/>
      <c r="R2641" s="256" t="inlineStr"/>
    </row>
    <row r="2642">
      <c r="A2642" s="256" t="inlineStr">
        <is>
          <t>CoQ-PP_26-115</t>
        </is>
      </c>
      <c r="B2642" s="256" t="inlineStr">
        <is>
          <t>reissue — retest</t>
        </is>
      </c>
      <c r="C2642" s="256" t="inlineStr">
        <is>
          <t>GG1024</t>
        </is>
      </c>
      <c r="D2642" s="256" t="inlineStr">
        <is>
          <t>GG1024</t>
        </is>
      </c>
      <c r="E2642" s="256" t="inlineStr">
        <is>
          <t>Gorilla Glue</t>
        </is>
      </c>
      <c r="F2642" s="256" t="inlineStr">
        <is>
          <t>18.09.2026</t>
        </is>
      </c>
      <c r="G2642" s="256" t="inlineStr">
        <is>
          <t>11.1</t>
        </is>
      </c>
      <c r="H2642" s="256" t="inlineStr">
        <is>
          <t>Lead (Pb)</t>
        </is>
      </c>
      <c r="I2642" s="256" t="inlineStr">
        <is>
          <t>Ph. Eur. 2.4.27 (ICP-MS)</t>
        </is>
      </c>
      <c r="J2642" s="256" t="inlineStr">
        <is>
          <t>≤ 0.5 mg/kg</t>
        </is>
      </c>
      <c r="K2642" s="256" t="inlineStr">
        <is>
          <t>0.052</t>
        </is>
      </c>
      <c r="L2642" s="256" t="inlineStr">
        <is>
          <t>748/2025</t>
        </is>
      </c>
      <c r="M2642" s="256" t="inlineStr">
        <is>
          <t>04.03.2025</t>
        </is>
      </c>
      <c r="N2642" s="256" t="inlineStr">
        <is>
          <t>IPH — Institute of Public Health</t>
        </is>
      </c>
      <c r="O2642" s="256" t="inlineStr">
        <is>
          <t>—</t>
        </is>
      </c>
      <c r="P2642" s="256" t="inlineStr">
        <is>
          <t>covered</t>
        </is>
      </c>
      <c r="Q2642" s="256" t="inlineStr"/>
      <c r="R2642" s="256" t="inlineStr"/>
    </row>
    <row r="2643">
      <c r="A2643" s="256" t="inlineStr">
        <is>
          <t>CoQ-PP_26-115</t>
        </is>
      </c>
      <c r="B2643" s="256" t="inlineStr">
        <is>
          <t>reissue — retest</t>
        </is>
      </c>
      <c r="C2643" s="256" t="inlineStr">
        <is>
          <t>GG1024</t>
        </is>
      </c>
      <c r="D2643" s="256" t="inlineStr">
        <is>
          <t>GG1024</t>
        </is>
      </c>
      <c r="E2643" s="256" t="inlineStr">
        <is>
          <t>Gorilla Glue</t>
        </is>
      </c>
      <c r="F2643" s="256" t="inlineStr">
        <is>
          <t>18.09.2026</t>
        </is>
      </c>
      <c r="G2643" s="256" t="inlineStr">
        <is>
          <t>11.2</t>
        </is>
      </c>
      <c r="H2643" s="256" t="inlineStr">
        <is>
          <t>Cadmium (Cd)</t>
        </is>
      </c>
      <c r="I2643" s="256" t="inlineStr">
        <is>
          <t>Ph. Eur. 2.4.27 (ICP-MS)</t>
        </is>
      </c>
      <c r="J2643" s="256" t="inlineStr">
        <is>
          <t>≤ 0.3 mg/kg</t>
        </is>
      </c>
      <c r="K2643" s="256" t="inlineStr">
        <is>
          <t>0.016</t>
        </is>
      </c>
      <c r="L2643" s="256" t="inlineStr">
        <is>
          <t>748/2025</t>
        </is>
      </c>
      <c r="M2643" s="256" t="inlineStr">
        <is>
          <t>04.03.2025</t>
        </is>
      </c>
      <c r="N2643" s="256" t="inlineStr">
        <is>
          <t>IPH — Institute of Public Health</t>
        </is>
      </c>
      <c r="O2643" s="256" t="inlineStr">
        <is>
          <t>—</t>
        </is>
      </c>
      <c r="P2643" s="256" t="inlineStr">
        <is>
          <t>covered</t>
        </is>
      </c>
      <c r="Q2643" s="256" t="inlineStr"/>
      <c r="R2643" s="256" t="inlineStr"/>
    </row>
    <row r="2644">
      <c r="A2644" s="256" t="inlineStr">
        <is>
          <t>CoQ-PP_26-115</t>
        </is>
      </c>
      <c r="B2644" s="256" t="inlineStr">
        <is>
          <t>reissue — retest</t>
        </is>
      </c>
      <c r="C2644" s="256" t="inlineStr">
        <is>
          <t>GG1024</t>
        </is>
      </c>
      <c r="D2644" s="256" t="inlineStr">
        <is>
          <t>GG1024</t>
        </is>
      </c>
      <c r="E2644" s="256" t="inlineStr">
        <is>
          <t>Gorilla Glue</t>
        </is>
      </c>
      <c r="F2644" s="256" t="inlineStr">
        <is>
          <t>18.09.2026</t>
        </is>
      </c>
      <c r="G2644" s="256" t="inlineStr">
        <is>
          <t>11.3</t>
        </is>
      </c>
      <c r="H2644" s="256" t="inlineStr">
        <is>
          <t>Arsenic (As)</t>
        </is>
      </c>
      <c r="I2644" s="256" t="inlineStr">
        <is>
          <t>Ph. Eur. 2.4.27 (ICP-MS)</t>
        </is>
      </c>
      <c r="J2644" s="256" t="inlineStr">
        <is>
          <t>≤ 0.2 mg/kg</t>
        </is>
      </c>
      <c r="K2644" s="256" t="inlineStr">
        <is>
          <t>0.04</t>
        </is>
      </c>
      <c r="L2644" s="256" t="inlineStr">
        <is>
          <t>748/2025</t>
        </is>
      </c>
      <c r="M2644" s="256" t="inlineStr">
        <is>
          <t>04.03.2025</t>
        </is>
      </c>
      <c r="N2644" s="256" t="inlineStr">
        <is>
          <t>IPH — Institute of Public Health</t>
        </is>
      </c>
      <c r="O2644" s="256" t="inlineStr">
        <is>
          <t>—</t>
        </is>
      </c>
      <c r="P2644" s="256" t="inlineStr">
        <is>
          <t>covered</t>
        </is>
      </c>
      <c r="Q2644" s="256" t="inlineStr"/>
      <c r="R2644" s="256" t="inlineStr"/>
    </row>
    <row r="2645">
      <c r="A2645" s="256" t="inlineStr">
        <is>
          <t>CoQ-PP_26-115</t>
        </is>
      </c>
      <c r="B2645" s="256" t="inlineStr">
        <is>
          <t>reissue — retest</t>
        </is>
      </c>
      <c r="C2645" s="256" t="inlineStr">
        <is>
          <t>GG1024</t>
        </is>
      </c>
      <c r="D2645" s="256" t="inlineStr">
        <is>
          <t>GG1024</t>
        </is>
      </c>
      <c r="E2645" s="256" t="inlineStr">
        <is>
          <t>Gorilla Glue</t>
        </is>
      </c>
      <c r="F2645" s="256" t="inlineStr">
        <is>
          <t>18.09.2026</t>
        </is>
      </c>
      <c r="G2645" s="256" t="inlineStr">
        <is>
          <t>11.4</t>
        </is>
      </c>
      <c r="H2645" s="256" t="inlineStr">
        <is>
          <t>Mercury (Hg)</t>
        </is>
      </c>
      <c r="I2645" s="256" t="inlineStr">
        <is>
          <t>Ph. Eur. 2.4.27 (ICP-MS)</t>
        </is>
      </c>
      <c r="J2645" s="256" t="inlineStr">
        <is>
          <t>≤ 0.1 mg/kg</t>
        </is>
      </c>
      <c r="K2645" s="256" t="inlineStr">
        <is>
          <t>0.004</t>
        </is>
      </c>
      <c r="L2645" s="256" t="inlineStr">
        <is>
          <t>748/2025</t>
        </is>
      </c>
      <c r="M2645" s="256" t="inlineStr">
        <is>
          <t>04.03.2025</t>
        </is>
      </c>
      <c r="N2645" s="256" t="inlineStr">
        <is>
          <t>IPH — Institute of Public Health</t>
        </is>
      </c>
      <c r="O2645" s="256" t="inlineStr">
        <is>
          <t>—</t>
        </is>
      </c>
      <c r="P2645" s="256" t="inlineStr">
        <is>
          <t>covered</t>
        </is>
      </c>
      <c r="Q2645" s="256" t="inlineStr"/>
      <c r="R2645" s="256" t="inlineStr"/>
    </row>
    <row r="2646">
      <c r="A2646" s="256" t="inlineStr">
        <is>
          <t>CoQ-PP_26-115</t>
        </is>
      </c>
      <c r="B2646" s="256" t="inlineStr">
        <is>
          <t>reissue — retest</t>
        </is>
      </c>
      <c r="C2646" s="256" t="inlineStr">
        <is>
          <t>GG1024</t>
        </is>
      </c>
      <c r="D2646" s="256" t="inlineStr">
        <is>
          <t>GG1024</t>
        </is>
      </c>
      <c r="E2646" s="256" t="inlineStr">
        <is>
          <t>Gorilla Glue</t>
        </is>
      </c>
      <c r="F2646" s="256" t="inlineStr">
        <is>
          <t>18.09.2026</t>
        </is>
      </c>
      <c r="G2646" s="256" t="inlineStr">
        <is>
          <t>12</t>
        </is>
      </c>
      <c r="H2646" s="256" t="inlineStr">
        <is>
          <t>Pesticide Residues</t>
        </is>
      </c>
      <c r="I2646" s="256" t="inlineStr">
        <is>
          <t>Ph. Eur. 2.8.13 (LC-MS/MS) · CUMCS Equivalency</t>
        </is>
      </c>
      <c r="J2646" s="256" t="inlineStr">
        <is>
          <t>≤ LOQ as per Ph. Eur. 2.8.13 · ≤ LOQ as per CUMCS Equivalency</t>
        </is>
      </c>
      <c r="K2646" s="256" t="inlineStr">
        <is>
          <t>ND mg/Kg — all 22 residues</t>
        </is>
      </c>
      <c r="L2646" s="256" t="inlineStr">
        <is>
          <t>748/2025</t>
        </is>
      </c>
      <c r="M2646" s="256" t="inlineStr">
        <is>
          <t>04.03.2025</t>
        </is>
      </c>
      <c r="N2646" s="256" t="inlineStr">
        <is>
          <t>IJZ</t>
        </is>
      </c>
      <c r="O2646" s="256" t="inlineStr">
        <is>
          <t>—</t>
        </is>
      </c>
      <c r="P2646" s="256" t="inlineStr">
        <is>
          <t>carried from the initial testing (CoQ-PP-2025-0003) — covered</t>
        </is>
      </c>
      <c r="Q2646" s="256" t="inlineStr"/>
      <c r="R2646" s="256" t="inlineStr"/>
    </row>
    <row r="2647">
      <c r="A2647" s="256" t="inlineStr">
        <is>
          <t>CoQ-PP_26-116</t>
        </is>
      </c>
      <c r="B2647" s="256" t="inlineStr">
        <is>
          <t>reissue — retest</t>
        </is>
      </c>
      <c r="C2647" s="256" t="inlineStr">
        <is>
          <t>GP072501/2</t>
        </is>
      </c>
      <c r="D2647" s="256" t="inlineStr">
        <is>
          <t>P050302</t>
        </is>
      </c>
      <c r="E2647" s="256" t="inlineStr">
        <is>
          <t>Grape Pie</t>
        </is>
      </c>
      <c r="F2647" s="256" t="inlineStr">
        <is>
          <t>18.09.2026</t>
        </is>
      </c>
      <c r="G2647" s="256" t="inlineStr">
        <is>
          <t>1</t>
        </is>
      </c>
      <c r="H2647" s="256" t="inlineStr">
        <is>
          <t>Identification A, Appearance · Macroscopic</t>
        </is>
      </c>
      <c r="I2647" s="256" t="inlineStr">
        <is>
          <t>Ph. Eur. mon. 3028</t>
        </is>
      </c>
      <c r="J2647" s="256" t="inlineStr">
        <is>
          <t>Conforms to the monograph for Cannabis flos (07/2024:3028) in Ph. Eur. 11.0 | Согласно монографија за Cannabis flos (07/2024:3028) во Ph. Eur. 11.0</t>
        </is>
      </c>
      <c r="K2647" s="256" t="inlineStr">
        <is>
          <t>Conforms | Одговара</t>
        </is>
      </c>
      <c r="L2647" s="256" t="inlineStr">
        <is>
          <t>iCoA-PP_26-132</t>
        </is>
      </c>
      <c r="M2647" s="256" t="inlineStr">
        <is>
          <t>17.08.2026</t>
        </is>
      </c>
      <c r="N2647" s="256" t="inlineStr">
        <is>
          <t>Purely Plant GmbH (in-house)</t>
        </is>
      </c>
      <c r="O2647" s="256" t="inlineStr">
        <is>
          <t>—</t>
        </is>
      </c>
      <c r="P2647" s="256" t="inlineStr">
        <is>
          <t>covered</t>
        </is>
      </c>
      <c r="Q2647" s="256" t="inlineStr">
        <is>
          <t>Farmahem — Ident A + B + C with the Assay, at retest</t>
        </is>
      </c>
      <c r="R2647" s="256" t="inlineStr"/>
    </row>
    <row r="2648">
      <c r="A2648" s="256" t="inlineStr">
        <is>
          <t>CoQ-PP_26-116</t>
        </is>
      </c>
      <c r="B2648" s="256" t="inlineStr">
        <is>
          <t>reissue — retest</t>
        </is>
      </c>
      <c r="C2648" s="256" t="inlineStr">
        <is>
          <t>GP072501/2</t>
        </is>
      </c>
      <c r="D2648" s="256" t="inlineStr">
        <is>
          <t>P050302</t>
        </is>
      </c>
      <c r="E2648" s="256" t="inlineStr">
        <is>
          <t>Grape Pie</t>
        </is>
      </c>
      <c r="F2648" s="256" t="inlineStr">
        <is>
          <t>18.09.2026</t>
        </is>
      </c>
      <c r="G2648" s="256" t="inlineStr">
        <is>
          <t>2</t>
        </is>
      </c>
      <c r="H2648" s="256" t="inlineStr">
        <is>
          <t>Identification B · Microscopic</t>
        </is>
      </c>
      <c r="I2648" s="256" t="inlineStr">
        <is>
          <t>Ph. Eur. 2.8.23 (microscopy)</t>
        </is>
      </c>
      <c r="J2648" s="256" t="inlineStr">
        <is>
          <t>Conforms to the monograph for Cannabis flos (07/2024:3028) in Ph. Eur. 11.0 | Согласно монографија за Cannabis flos (07/2024:3028) во Ph. Eur. 11.0</t>
        </is>
      </c>
      <c r="K2648" s="256" t="inlineStr">
        <is>
          <t>Conforms | Одговара</t>
        </is>
      </c>
      <c r="L2648" s="256" t="inlineStr">
        <is>
          <t>iCoA-PP_26-132</t>
        </is>
      </c>
      <c r="M2648" s="256" t="inlineStr">
        <is>
          <t>17.08.2026</t>
        </is>
      </c>
      <c r="N2648" s="256" t="inlineStr">
        <is>
          <t>Purely Plant GmbH (in-house)</t>
        </is>
      </c>
      <c r="O2648" s="256" t="inlineStr">
        <is>
          <t>—</t>
        </is>
      </c>
      <c r="P2648" s="256" t="inlineStr">
        <is>
          <t>covered</t>
        </is>
      </c>
      <c r="Q2648" s="256" t="inlineStr">
        <is>
          <t>Farmahem — Ident A + B + C with the Assay, at retest</t>
        </is>
      </c>
      <c r="R2648" s="256" t="inlineStr"/>
    </row>
    <row r="2649">
      <c r="A2649" s="256" t="inlineStr">
        <is>
          <t>CoQ-PP_26-116</t>
        </is>
      </c>
      <c r="B2649" s="256" t="inlineStr">
        <is>
          <t>reissue — retest</t>
        </is>
      </c>
      <c r="C2649" s="256" t="inlineStr">
        <is>
          <t>GP072501/2</t>
        </is>
      </c>
      <c r="D2649" s="256" t="inlineStr">
        <is>
          <t>P050302</t>
        </is>
      </c>
      <c r="E2649" s="256" t="inlineStr">
        <is>
          <t>Grape Pie</t>
        </is>
      </c>
      <c r="F2649" s="256" t="inlineStr">
        <is>
          <t>18.09.2026</t>
        </is>
      </c>
      <c r="G2649" s="256" t="inlineStr">
        <is>
          <t>3</t>
        </is>
      </c>
      <c r="H2649" s="256" t="inlineStr">
        <is>
          <t>Identification C · HPLC/HPTLC</t>
        </is>
      </c>
      <c r="I2649" s="256" t="inlineStr">
        <is>
          <t>Ph. Eur. 2.2.29 (3028)</t>
        </is>
      </c>
      <c r="J2649" s="256" t="inlineStr">
        <is>
          <t>Conforms to the monograph for Cannabis flos (07/2024:3028) in Ph. Eur. 11.0 | Согласно монографија за Cannabis flos (07/2024:3028) во Ph. Eur. 11.0</t>
        </is>
      </c>
      <c r="K2649" s="256" t="inlineStr">
        <is>
          <t>Conforms | Одговара</t>
        </is>
      </c>
      <c r="L2649" s="256" t="inlineStr">
        <is>
          <t>220-10-К/26</t>
        </is>
      </c>
      <c r="M2649" s="256" t="inlineStr">
        <is>
          <t>25.08.2026</t>
        </is>
      </c>
      <c r="N2649" s="256" t="inlineStr">
        <is>
          <t>Farmahem</t>
        </is>
      </c>
      <c r="O2649" s="256" t="inlineStr">
        <is>
          <t>17.08.2026</t>
        </is>
      </c>
      <c r="P2649" s="256" t="inlineStr">
        <is>
          <t>covered</t>
        </is>
      </c>
      <c r="Q2649" s="256" t="inlineStr"/>
      <c r="R2649" s="256" t="inlineStr"/>
    </row>
    <row r="2650">
      <c r="A2650" s="256" t="inlineStr">
        <is>
          <t>CoQ-PP_26-116</t>
        </is>
      </c>
      <c r="B2650" s="256" t="inlineStr">
        <is>
          <t>reissue — retest</t>
        </is>
      </c>
      <c r="C2650" s="256" t="inlineStr">
        <is>
          <t>GP072501/2</t>
        </is>
      </c>
      <c r="D2650" s="256" t="inlineStr">
        <is>
          <t>P050302</t>
        </is>
      </c>
      <c r="E2650" s="256" t="inlineStr">
        <is>
          <t>Grape Pie</t>
        </is>
      </c>
      <c r="F2650" s="256" t="inlineStr">
        <is>
          <t>18.09.2026</t>
        </is>
      </c>
      <c r="G2650" s="256" t="inlineStr">
        <is>
          <t>4</t>
        </is>
      </c>
      <c r="H2650" s="256" t="inlineStr">
        <is>
          <t>Assay — Total Δ⁹-THC</t>
        </is>
      </c>
      <c r="I2650" s="256" t="inlineStr">
        <is>
          <t>Ph. Eur. 2.2.29 (HPLC)</t>
        </is>
      </c>
      <c r="J2650" s="256" t="inlineStr">
        <is>
          <t>18.00 – 21.99 %  (grade III, nominal 20.00 ± 2.00)</t>
        </is>
      </c>
      <c r="K2650" s="256" t="inlineStr">
        <is>
          <t>18.29</t>
        </is>
      </c>
      <c r="L2650" s="256" t="inlineStr">
        <is>
          <t>220-10-К/26</t>
        </is>
      </c>
      <c r="M2650" s="256" t="inlineStr">
        <is>
          <t>25.08.2026</t>
        </is>
      </c>
      <c r="N2650" s="256" t="inlineStr">
        <is>
          <t>Farmahem</t>
        </is>
      </c>
      <c r="O2650" s="256" t="inlineStr">
        <is>
          <t>17.08.2026</t>
        </is>
      </c>
      <c r="P2650" s="256" t="inlineStr">
        <is>
          <t>covered</t>
        </is>
      </c>
      <c r="Q2650" s="256" t="inlineStr"/>
      <c r="R2650" s="256" t="inlineStr"/>
    </row>
    <row r="2651">
      <c r="A2651" s="256" t="inlineStr">
        <is>
          <t>CoQ-PP_26-116</t>
        </is>
      </c>
      <c r="B2651" s="256" t="inlineStr">
        <is>
          <t>reissue — retest</t>
        </is>
      </c>
      <c r="C2651" s="256" t="inlineStr">
        <is>
          <t>GP072501/2</t>
        </is>
      </c>
      <c r="D2651" s="256" t="inlineStr">
        <is>
          <t>P050302</t>
        </is>
      </c>
      <c r="E2651" s="256" t="inlineStr">
        <is>
          <t>Grape Pie</t>
        </is>
      </c>
      <c r="F2651" s="256" t="inlineStr">
        <is>
          <t>18.09.2026</t>
        </is>
      </c>
      <c r="G2651" s="256" t="inlineStr">
        <is>
          <t>5</t>
        </is>
      </c>
      <c r="H2651" s="256" t="inlineStr">
        <is>
          <t>Assay — Total CBD</t>
        </is>
      </c>
      <c r="I2651" s="256" t="inlineStr">
        <is>
          <t>Ph. Eur. 2.2.29 (HPLC) · CBD + CBDA x 0.877</t>
        </is>
      </c>
      <c r="J2651" s="256" t="inlineStr">
        <is>
          <t>≤ 1.0%, w/w</t>
        </is>
      </c>
      <c r="K2651" s="256" t="inlineStr">
        <is>
          <t>&lt; LOQ</t>
        </is>
      </c>
      <c r="L2651" s="256" t="inlineStr">
        <is>
          <t>220-10-К/26</t>
        </is>
      </c>
      <c r="M2651" s="256" t="inlineStr">
        <is>
          <t>25.08.2026</t>
        </is>
      </c>
      <c r="N2651" s="256" t="inlineStr">
        <is>
          <t>Farmahem</t>
        </is>
      </c>
      <c r="O2651" s="256" t="inlineStr">
        <is>
          <t>17.08.2026</t>
        </is>
      </c>
      <c r="P2651" s="256" t="inlineStr">
        <is>
          <t>covered</t>
        </is>
      </c>
      <c r="Q2651" s="256" t="inlineStr"/>
      <c r="R2651" s="256" t="inlineStr"/>
    </row>
    <row r="2652">
      <c r="A2652" s="256" t="inlineStr">
        <is>
          <t>CoQ-PP_26-116</t>
        </is>
      </c>
      <c r="B2652" s="256" t="inlineStr">
        <is>
          <t>reissue — retest</t>
        </is>
      </c>
      <c r="C2652" s="256" t="inlineStr">
        <is>
          <t>GP072501/2</t>
        </is>
      </c>
      <c r="D2652" s="256" t="inlineStr">
        <is>
          <t>P050302</t>
        </is>
      </c>
      <c r="E2652" s="256" t="inlineStr">
        <is>
          <t>Grape Pie</t>
        </is>
      </c>
      <c r="F2652" s="256" t="inlineStr">
        <is>
          <t>18.09.2026</t>
        </is>
      </c>
      <c r="G2652" s="256" t="inlineStr">
        <is>
          <t>6</t>
        </is>
      </c>
      <c r="H2652" s="256" t="inlineStr">
        <is>
          <t>Total CBN</t>
        </is>
      </c>
      <c r="I2652" s="256" t="inlineStr">
        <is>
          <t>Ph. Eur. 2.2.29 (HPLC) · CBN + CBNA x 0.876</t>
        </is>
      </c>
      <c r="J2652" s="256" t="inlineStr">
        <is>
          <t>≤ 1.0%, w/w</t>
        </is>
      </c>
      <c r="K2652" s="256" t="inlineStr">
        <is>
          <t>&lt; LOQ</t>
        </is>
      </c>
      <c r="L2652" s="256" t="inlineStr">
        <is>
          <t>220-10-К/26</t>
        </is>
      </c>
      <c r="M2652" s="256" t="inlineStr">
        <is>
          <t>25.08.2026</t>
        </is>
      </c>
      <c r="N2652" s="256" t="inlineStr">
        <is>
          <t>Farmahem</t>
        </is>
      </c>
      <c r="O2652" s="256" t="inlineStr">
        <is>
          <t>17.08.2026</t>
        </is>
      </c>
      <c r="P2652" s="256" t="inlineStr">
        <is>
          <t>covered</t>
        </is>
      </c>
      <c r="Q2652" s="256" t="inlineStr"/>
      <c r="R2652" s="256" t="inlineStr"/>
    </row>
    <row r="2653">
      <c r="A2653" s="256" t="inlineStr">
        <is>
          <t>CoQ-PP_26-116</t>
        </is>
      </c>
      <c r="B2653" s="256" t="inlineStr">
        <is>
          <t>reissue — retest</t>
        </is>
      </c>
      <c r="C2653" s="256" t="inlineStr">
        <is>
          <t>GP072501/2</t>
        </is>
      </c>
      <c r="D2653" s="256" t="inlineStr">
        <is>
          <t>P050302</t>
        </is>
      </c>
      <c r="E2653" s="256" t="inlineStr">
        <is>
          <t>Grape Pie</t>
        </is>
      </c>
      <c r="F2653" s="256" t="inlineStr">
        <is>
          <t>18.09.2026</t>
        </is>
      </c>
      <c r="G2653" s="256" t="inlineStr">
        <is>
          <t>7</t>
        </is>
      </c>
      <c r="H2653" s="256" t="inlineStr">
        <is>
          <t>Foreign Matter</t>
        </is>
      </c>
      <c r="I2653" s="256" t="inlineStr">
        <is>
          <t>Ph. Eur. 2.8.2 · In-house · интерна</t>
        </is>
      </c>
      <c r="J2653" s="256" t="inlineStr">
        <is>
          <t>≤ 2.0% / 25–50 g · &lt; 1 cm leaves | листови, no seeds | без семки</t>
        </is>
      </c>
      <c r="K2653" s="256" t="inlineStr">
        <is>
          <t>Conforms | Одговара</t>
        </is>
      </c>
      <c r="L2653" s="256" t="inlineStr">
        <is>
          <t>iCoA-PP_26-132</t>
        </is>
      </c>
      <c r="M2653" s="256" t="inlineStr">
        <is>
          <t>17.08.2026</t>
        </is>
      </c>
      <c r="N2653" s="256" t="inlineStr">
        <is>
          <t>Purely Plant GmbH (in-house)</t>
        </is>
      </c>
      <c r="O2653" s="256" t="inlineStr">
        <is>
          <t>—</t>
        </is>
      </c>
      <c r="P2653" s="256" t="inlineStr">
        <is>
          <t>covered</t>
        </is>
      </c>
      <c r="Q2653" s="256" t="inlineStr">
        <is>
          <t>Purely Plant laboratory — iCoA covering Foreign matter</t>
        </is>
      </c>
      <c r="R2653" s="256" t="inlineStr"/>
    </row>
    <row r="2654">
      <c r="A2654" s="256" t="inlineStr">
        <is>
          <t>CoQ-PP_26-116</t>
        </is>
      </c>
      <c r="B2654" s="256" t="inlineStr">
        <is>
          <t>reissue — retest</t>
        </is>
      </c>
      <c r="C2654" s="256" t="inlineStr">
        <is>
          <t>GP072501/2</t>
        </is>
      </c>
      <c r="D2654" s="256" t="inlineStr">
        <is>
          <t>P050302</t>
        </is>
      </c>
      <c r="E2654" s="256" t="inlineStr">
        <is>
          <t>Grape Pie</t>
        </is>
      </c>
      <c r="F2654" s="256" t="inlineStr">
        <is>
          <t>18.09.2026</t>
        </is>
      </c>
      <c r="G2654" s="256" t="inlineStr">
        <is>
          <t>8</t>
        </is>
      </c>
      <c r="H2654" s="256" t="inlineStr">
        <is>
          <t>Loss on Drying</t>
        </is>
      </c>
      <c r="I2654" s="256" t="inlineStr">
        <is>
          <t>Ph. Eur. 2.2.32 (3028) · at 40 °C, 24 h, 15–25 mbar</t>
        </is>
      </c>
      <c r="J2654" s="256" t="inlineStr">
        <is>
          <t>≤ 12.0%</t>
        </is>
      </c>
      <c r="K2654" s="256" t="inlineStr">
        <is>
          <t>7.41</t>
        </is>
      </c>
      <c r="L2654" s="256" t="inlineStr">
        <is>
          <t>ППК25379</t>
        </is>
      </c>
      <c r="M2654" s="256" t="inlineStr">
        <is>
          <t>12.12.2025</t>
        </is>
      </c>
      <c r="N2654" s="256" t="inlineStr">
        <is>
          <t>CNP</t>
        </is>
      </c>
      <c r="O2654" s="256" t="inlineStr">
        <is>
          <t>01.12.2025</t>
        </is>
      </c>
      <c r="P2654" s="256" t="inlineStr">
        <is>
          <t>carried from the initial testing (CoQ-PP-2025-0020) — covered</t>
        </is>
      </c>
      <c r="Q2654" s="256" t="inlineStr"/>
      <c r="R2654" s="256" t="inlineStr"/>
    </row>
    <row r="2655">
      <c r="A2655" s="256" t="inlineStr">
        <is>
          <t>CoQ-PP_26-116</t>
        </is>
      </c>
      <c r="B2655" s="256" t="inlineStr">
        <is>
          <t>reissue — retest</t>
        </is>
      </c>
      <c r="C2655" s="256" t="inlineStr">
        <is>
          <t>GP072501/2</t>
        </is>
      </c>
      <c r="D2655" s="256" t="inlineStr">
        <is>
          <t>P050302</t>
        </is>
      </c>
      <c r="E2655" s="256" t="inlineStr">
        <is>
          <t>Grape Pie</t>
        </is>
      </c>
      <c r="F2655" s="256" t="inlineStr">
        <is>
          <t>18.09.2026</t>
        </is>
      </c>
      <c r="G2655" s="256" t="inlineStr">
        <is>
          <t>9.1</t>
        </is>
      </c>
      <c r="H2655" s="256" t="inlineStr">
        <is>
          <t>TAMC</t>
        </is>
      </c>
      <c r="I2655" s="256" t="inlineStr">
        <is>
          <t>Ph. Eur. 2.6.12 cat. C</t>
        </is>
      </c>
      <c r="J2655" s="256" t="inlineStr">
        <is>
          <t>≤ 10⁵ CFU/g</t>
        </is>
      </c>
      <c r="K2655" s="256" t="inlineStr">
        <is>
          <t>2 × 10²</t>
        </is>
      </c>
      <c r="L2655" s="256" t="inlineStr">
        <is>
          <t>1229/2195/25</t>
        </is>
      </c>
      <c r="M2655" s="256" t="inlineStr">
        <is>
          <t>05.12.2025</t>
        </is>
      </c>
      <c r="N2655" s="256" t="inlineStr">
        <is>
          <t>IPH — Institute of Public Health</t>
        </is>
      </c>
      <c r="O2655" s="256" t="inlineStr">
        <is>
          <t>01.12.2025</t>
        </is>
      </c>
      <c r="P2655" s="256" t="inlineStr">
        <is>
          <t>carried from the initial testing (CoQ-PP-2025-0020) — covered</t>
        </is>
      </c>
      <c r="Q2655" s="256" t="inlineStr"/>
      <c r="R2655" s="256" t="inlineStr"/>
    </row>
    <row r="2656">
      <c r="A2656" s="256" t="inlineStr">
        <is>
          <t>CoQ-PP_26-116</t>
        </is>
      </c>
      <c r="B2656" s="256" t="inlineStr">
        <is>
          <t>reissue — retest</t>
        </is>
      </c>
      <c r="C2656" s="256" t="inlineStr">
        <is>
          <t>GP072501/2</t>
        </is>
      </c>
      <c r="D2656" s="256" t="inlineStr">
        <is>
          <t>P050302</t>
        </is>
      </c>
      <c r="E2656" s="256" t="inlineStr">
        <is>
          <t>Grape Pie</t>
        </is>
      </c>
      <c r="F2656" s="256" t="inlineStr">
        <is>
          <t>18.09.2026</t>
        </is>
      </c>
      <c r="G2656" s="256" t="inlineStr">
        <is>
          <t>9.2</t>
        </is>
      </c>
      <c r="H2656" s="256" t="inlineStr">
        <is>
          <t>TYMC</t>
        </is>
      </c>
      <c r="I2656" s="256" t="inlineStr">
        <is>
          <t>Ph. Eur. 2.6.12 cat. C</t>
        </is>
      </c>
      <c r="J2656" s="256" t="inlineStr">
        <is>
          <t>≤ 10⁴ CFU/g</t>
        </is>
      </c>
      <c r="K2656" s="256" t="inlineStr">
        <is>
          <t>3 × 10²</t>
        </is>
      </c>
      <c r="L2656" s="256" t="inlineStr">
        <is>
          <t>1229/2195/25</t>
        </is>
      </c>
      <c r="M2656" s="256" t="inlineStr">
        <is>
          <t>05.12.2025</t>
        </is>
      </c>
      <c r="N2656" s="256" t="inlineStr">
        <is>
          <t>IPH — Institute of Public Health</t>
        </is>
      </c>
      <c r="O2656" s="256" t="inlineStr">
        <is>
          <t>01.12.2025</t>
        </is>
      </c>
      <c r="P2656" s="256" t="inlineStr">
        <is>
          <t>carried from the initial testing (CoQ-PP-2025-0020) — covered</t>
        </is>
      </c>
      <c r="Q2656" s="256" t="inlineStr"/>
      <c r="R2656" s="256" t="inlineStr"/>
    </row>
    <row r="2657">
      <c r="A2657" s="256" t="inlineStr">
        <is>
          <t>CoQ-PP_26-116</t>
        </is>
      </c>
      <c r="B2657" s="256" t="inlineStr">
        <is>
          <t>reissue — retest</t>
        </is>
      </c>
      <c r="C2657" s="256" t="inlineStr">
        <is>
          <t>GP072501/2</t>
        </is>
      </c>
      <c r="D2657" s="256" t="inlineStr">
        <is>
          <t>P050302</t>
        </is>
      </c>
      <c r="E2657" s="256" t="inlineStr">
        <is>
          <t>Grape Pie</t>
        </is>
      </c>
      <c r="F2657" s="256" t="inlineStr">
        <is>
          <t>18.09.2026</t>
        </is>
      </c>
      <c r="G2657" s="256" t="inlineStr">
        <is>
          <t>9.3</t>
        </is>
      </c>
      <c r="H2657" s="256" t="inlineStr">
        <is>
          <t>Bile-tolerant gram-neg.</t>
        </is>
      </c>
      <c r="I2657" s="256" t="inlineStr">
        <is>
          <t>Ph. Eur. 2.6.31 cat. C</t>
        </is>
      </c>
      <c r="J2657" s="256" t="inlineStr">
        <is>
          <t>≤ 10⁴ CFU/g</t>
        </is>
      </c>
      <c r="K2657" s="256" t="inlineStr">
        <is>
          <t>&lt; 10</t>
        </is>
      </c>
      <c r="L2657" s="256" t="inlineStr">
        <is>
          <t>1229/2195/25</t>
        </is>
      </c>
      <c r="M2657" s="256" t="inlineStr">
        <is>
          <t>05.12.2025</t>
        </is>
      </c>
      <c r="N2657" s="256" t="inlineStr">
        <is>
          <t>IPH — Institute of Public Health</t>
        </is>
      </c>
      <c r="O2657" s="256" t="inlineStr">
        <is>
          <t>01.12.2025</t>
        </is>
      </c>
      <c r="P2657" s="256" t="inlineStr">
        <is>
          <t>carried from the initial testing (CoQ-PP-2025-0020) — covered</t>
        </is>
      </c>
      <c r="Q2657" s="256" t="inlineStr"/>
      <c r="R2657" s="256" t="inlineStr"/>
    </row>
    <row r="2658">
      <c r="A2658" s="256" t="inlineStr">
        <is>
          <t>CoQ-PP_26-116</t>
        </is>
      </c>
      <c r="B2658" s="256" t="inlineStr">
        <is>
          <t>reissue — retest</t>
        </is>
      </c>
      <c r="C2658" s="256" t="inlineStr">
        <is>
          <t>GP072501/2</t>
        </is>
      </c>
      <c r="D2658" s="256" t="inlineStr">
        <is>
          <t>P050302</t>
        </is>
      </c>
      <c r="E2658" s="256" t="inlineStr">
        <is>
          <t>Grape Pie</t>
        </is>
      </c>
      <c r="F2658" s="256" t="inlineStr">
        <is>
          <t>18.09.2026</t>
        </is>
      </c>
      <c r="G2658" s="256" t="inlineStr">
        <is>
          <t>9.4</t>
        </is>
      </c>
      <c r="H2658" s="256" t="inlineStr">
        <is>
          <t>Salmonella</t>
        </is>
      </c>
      <c r="I2658" s="256" t="inlineStr">
        <is>
          <t>Ph. Eur. 2.6.31 cat. C</t>
        </is>
      </c>
      <c r="J2658" s="256" t="inlineStr">
        <is>
          <t>Absence | Отсуство / 25 g</t>
        </is>
      </c>
      <c r="K2658" s="256" t="inlineStr">
        <is>
          <t>Absent | Отсутна</t>
        </is>
      </c>
      <c r="L2658" s="256" t="inlineStr">
        <is>
          <t>1229/2195/25</t>
        </is>
      </c>
      <c r="M2658" s="256" t="inlineStr">
        <is>
          <t>05.12.2025</t>
        </is>
      </c>
      <c r="N2658" s="256" t="inlineStr">
        <is>
          <t>IPH — Institute of Public Health</t>
        </is>
      </c>
      <c r="O2658" s="256" t="inlineStr">
        <is>
          <t>01.12.2025</t>
        </is>
      </c>
      <c r="P2658" s="256" t="inlineStr">
        <is>
          <t>carried from the initial testing (CoQ-PP-2025-0020) — covered</t>
        </is>
      </c>
      <c r="Q2658" s="256" t="inlineStr"/>
      <c r="R2658" s="256" t="inlineStr"/>
    </row>
    <row r="2659">
      <c r="A2659" s="256" t="inlineStr">
        <is>
          <t>CoQ-PP_26-116</t>
        </is>
      </c>
      <c r="B2659" s="256" t="inlineStr">
        <is>
          <t>reissue — retest</t>
        </is>
      </c>
      <c r="C2659" s="256" t="inlineStr">
        <is>
          <t>GP072501/2</t>
        </is>
      </c>
      <c r="D2659" s="256" t="inlineStr">
        <is>
          <t>P050302</t>
        </is>
      </c>
      <c r="E2659" s="256" t="inlineStr">
        <is>
          <t>Grape Pie</t>
        </is>
      </c>
      <c r="F2659" s="256" t="inlineStr">
        <is>
          <t>18.09.2026</t>
        </is>
      </c>
      <c r="G2659" s="256" t="inlineStr">
        <is>
          <t>9.5</t>
        </is>
      </c>
      <c r="H2659" s="256" t="inlineStr">
        <is>
          <t>Escherichia coli</t>
        </is>
      </c>
      <c r="I2659" s="256" t="inlineStr">
        <is>
          <t>Ph. Eur. 2.6.13 cat. C</t>
        </is>
      </c>
      <c r="J2659" s="256" t="inlineStr">
        <is>
          <t>Absence | Отсуство / 1 g</t>
        </is>
      </c>
      <c r="K2659" s="256" t="inlineStr">
        <is>
          <t>Absent | Отсутна</t>
        </is>
      </c>
      <c r="L2659" s="256" t="inlineStr">
        <is>
          <t>1229/2195/25</t>
        </is>
      </c>
      <c r="M2659" s="256" t="inlineStr">
        <is>
          <t>05.12.2025</t>
        </is>
      </c>
      <c r="N2659" s="256" t="inlineStr">
        <is>
          <t>IPH — Institute of Public Health</t>
        </is>
      </c>
      <c r="O2659" s="256" t="inlineStr">
        <is>
          <t>01.12.2025</t>
        </is>
      </c>
      <c r="P2659" s="256" t="inlineStr">
        <is>
          <t>carried from the initial testing (CoQ-PP-2025-0020) — covered</t>
        </is>
      </c>
      <c r="Q2659" s="256" t="inlineStr"/>
      <c r="R2659" s="256" t="inlineStr"/>
    </row>
    <row r="2660">
      <c r="A2660" s="256" t="inlineStr">
        <is>
          <t>CoQ-PP_26-116</t>
        </is>
      </c>
      <c r="B2660" s="256" t="inlineStr">
        <is>
          <t>reissue — retest</t>
        </is>
      </c>
      <c r="C2660" s="256" t="inlineStr">
        <is>
          <t>GP072501/2</t>
        </is>
      </c>
      <c r="D2660" s="256" t="inlineStr">
        <is>
          <t>P050302</t>
        </is>
      </c>
      <c r="E2660" s="256" t="inlineStr">
        <is>
          <t>Grape Pie</t>
        </is>
      </c>
      <c r="F2660" s="256" t="inlineStr">
        <is>
          <t>18.09.2026</t>
        </is>
      </c>
      <c r="G2660" s="256" t="inlineStr">
        <is>
          <t>9.6</t>
        </is>
      </c>
      <c r="H2660" s="256" t="inlineStr">
        <is>
          <t>Pseudomonas aeruginosa</t>
        </is>
      </c>
      <c r="I2660" s="256" t="inlineStr">
        <is>
          <t>Ph. Eur. 2.6.13 cat. C</t>
        </is>
      </c>
      <c r="J2660" s="256" t="inlineStr">
        <is>
          <t>Absence | Отсуство / 1 g</t>
        </is>
      </c>
      <c r="K2660" s="260" t="inlineStr">
        <is>
          <t>upon request — not required for release</t>
        </is>
      </c>
      <c r="L2660" s="256" t="inlineStr">
        <is>
          <t>—</t>
        </is>
      </c>
      <c r="M2660" s="256" t="inlineStr">
        <is>
          <t>—</t>
        </is>
      </c>
      <c r="N2660" s="256" t="inlineStr">
        <is>
          <t>—</t>
        </is>
      </c>
      <c r="O2660" s="256" t="inlineStr">
        <is>
          <t>—</t>
        </is>
      </c>
      <c r="P2660" s="256" t="inlineStr">
        <is>
          <t>upon request — not required for release</t>
        </is>
      </c>
      <c r="Q2660" s="256" t="inlineStr"/>
      <c r="R2660" s="256" t="inlineStr"/>
    </row>
    <row r="2661">
      <c r="A2661" s="256" t="inlineStr">
        <is>
          <t>CoQ-PP_26-116</t>
        </is>
      </c>
      <c r="B2661" s="256" t="inlineStr">
        <is>
          <t>reissue — retest</t>
        </is>
      </c>
      <c r="C2661" s="256" t="inlineStr">
        <is>
          <t>GP072501/2</t>
        </is>
      </c>
      <c r="D2661" s="256" t="inlineStr">
        <is>
          <t>P050302</t>
        </is>
      </c>
      <c r="E2661" s="256" t="inlineStr">
        <is>
          <t>Grape Pie</t>
        </is>
      </c>
      <c r="F2661" s="256" t="inlineStr">
        <is>
          <t>18.09.2026</t>
        </is>
      </c>
      <c r="G2661" s="256" t="inlineStr">
        <is>
          <t>9.7</t>
        </is>
      </c>
      <c r="H2661" s="256" t="inlineStr">
        <is>
          <t>Staphylococcus aureus</t>
        </is>
      </c>
      <c r="I2661" s="256" t="inlineStr">
        <is>
          <t>Ph. Eur. 2.6.13 cat. C</t>
        </is>
      </c>
      <c r="J2661" s="256" t="inlineStr">
        <is>
          <t>Absence | Отсуство / 1 g</t>
        </is>
      </c>
      <c r="K2661" s="260" t="inlineStr">
        <is>
          <t>upon request — not required for release</t>
        </is>
      </c>
      <c r="L2661" s="256" t="inlineStr">
        <is>
          <t>—</t>
        </is>
      </c>
      <c r="M2661" s="256" t="inlineStr">
        <is>
          <t>—</t>
        </is>
      </c>
      <c r="N2661" s="256" t="inlineStr">
        <is>
          <t>—</t>
        </is>
      </c>
      <c r="O2661" s="256" t="inlineStr">
        <is>
          <t>—</t>
        </is>
      </c>
      <c r="P2661" s="256" t="inlineStr">
        <is>
          <t>upon request — not required for release</t>
        </is>
      </c>
      <c r="Q2661" s="256" t="inlineStr"/>
      <c r="R2661" s="256" t="inlineStr"/>
    </row>
    <row r="2662">
      <c r="A2662" s="256" t="inlineStr">
        <is>
          <t>CoQ-PP_26-116</t>
        </is>
      </c>
      <c r="B2662" s="256" t="inlineStr">
        <is>
          <t>reissue — retest</t>
        </is>
      </c>
      <c r="C2662" s="256" t="inlineStr">
        <is>
          <t>GP072501/2</t>
        </is>
      </c>
      <c r="D2662" s="256" t="inlineStr">
        <is>
          <t>P050302</t>
        </is>
      </c>
      <c r="E2662" s="256" t="inlineStr">
        <is>
          <t>Grape Pie</t>
        </is>
      </c>
      <c r="F2662" s="256" t="inlineStr">
        <is>
          <t>18.09.2026</t>
        </is>
      </c>
      <c r="G2662" s="256" t="inlineStr">
        <is>
          <t>10.1</t>
        </is>
      </c>
      <c r="H2662" s="256" t="inlineStr">
        <is>
          <t>Aflatoxin B₁</t>
        </is>
      </c>
      <c r="I2662" s="256" t="inlineStr">
        <is>
          <t>Ph. Eur. 2.8.18 (HPLC-FLD)</t>
        </is>
      </c>
      <c r="J2662" s="256" t="inlineStr">
        <is>
          <t>≤ 2 µg/kg</t>
        </is>
      </c>
      <c r="K2662" s="256" t="inlineStr">
        <is>
          <t>ND</t>
        </is>
      </c>
      <c r="L2662" s="256" t="inlineStr">
        <is>
          <t>220-10-М/26</t>
        </is>
      </c>
      <c r="M2662" s="256" t="inlineStr">
        <is>
          <t>11.09.2026</t>
        </is>
      </c>
      <c r="N2662" s="256" t="inlineStr">
        <is>
          <t>Farmahem</t>
        </is>
      </c>
      <c r="O2662" s="256" t="inlineStr">
        <is>
          <t>17.08.2026</t>
        </is>
      </c>
      <c r="P2662" s="256" t="inlineStr">
        <is>
          <t>covered</t>
        </is>
      </c>
      <c r="Q2662" s="256" t="inlineStr"/>
      <c r="R2662" s="256" t="inlineStr"/>
    </row>
    <row r="2663">
      <c r="A2663" s="256" t="inlineStr">
        <is>
          <t>CoQ-PP_26-116</t>
        </is>
      </c>
      <c r="B2663" s="256" t="inlineStr">
        <is>
          <t>reissue — retest</t>
        </is>
      </c>
      <c r="C2663" s="256" t="inlineStr">
        <is>
          <t>GP072501/2</t>
        </is>
      </c>
      <c r="D2663" s="256" t="inlineStr">
        <is>
          <t>P050302</t>
        </is>
      </c>
      <c r="E2663" s="256" t="inlineStr">
        <is>
          <t>Grape Pie</t>
        </is>
      </c>
      <c r="F2663" s="256" t="inlineStr">
        <is>
          <t>18.09.2026</t>
        </is>
      </c>
      <c r="G2663" s="256" t="inlineStr">
        <is>
          <t>10.2</t>
        </is>
      </c>
      <c r="H2663" s="256" t="inlineStr">
        <is>
          <t>Aflatoxins ∑</t>
        </is>
      </c>
      <c r="I2663" s="256" t="inlineStr">
        <is>
          <t>Ph. Eur. 2.8.18 (HPLC-FLD)</t>
        </is>
      </c>
      <c r="J2663" s="256" t="inlineStr">
        <is>
          <t>≤ 4 µg/kg</t>
        </is>
      </c>
      <c r="K2663" s="256" t="inlineStr">
        <is>
          <t>ND</t>
        </is>
      </c>
      <c r="L2663" s="256" t="inlineStr">
        <is>
          <t>220-10-М/26</t>
        </is>
      </c>
      <c r="M2663" s="256" t="inlineStr">
        <is>
          <t>11.09.2026</t>
        </is>
      </c>
      <c r="N2663" s="256" t="inlineStr">
        <is>
          <t>Farmahem</t>
        </is>
      </c>
      <c r="O2663" s="256" t="inlineStr">
        <is>
          <t>17.08.2026</t>
        </is>
      </c>
      <c r="P2663" s="256" t="inlineStr">
        <is>
          <t>covered</t>
        </is>
      </c>
      <c r="Q2663" s="256" t="inlineStr"/>
      <c r="R2663" s="256" t="inlineStr"/>
    </row>
    <row r="2664">
      <c r="A2664" s="256" t="inlineStr">
        <is>
          <t>CoQ-PP_26-116</t>
        </is>
      </c>
      <c r="B2664" s="256" t="inlineStr">
        <is>
          <t>reissue — retest</t>
        </is>
      </c>
      <c r="C2664" s="256" t="inlineStr">
        <is>
          <t>GP072501/2</t>
        </is>
      </c>
      <c r="D2664" s="256" t="inlineStr">
        <is>
          <t>P050302</t>
        </is>
      </c>
      <c r="E2664" s="256" t="inlineStr">
        <is>
          <t>Grape Pie</t>
        </is>
      </c>
      <c r="F2664" s="256" t="inlineStr">
        <is>
          <t>18.09.2026</t>
        </is>
      </c>
      <c r="G2664" s="256" t="inlineStr">
        <is>
          <t>10.3</t>
        </is>
      </c>
      <c r="H2664" s="256" t="inlineStr">
        <is>
          <t>Ochratoxin A</t>
        </is>
      </c>
      <c r="I2664" s="256" t="inlineStr">
        <is>
          <t>Ph. Eur. 2.8.22 (HPLC-FLD)</t>
        </is>
      </c>
      <c r="J2664" s="256" t="inlineStr">
        <is>
          <t>≤ 20 µg/kg</t>
        </is>
      </c>
      <c r="K2664" s="256" t="inlineStr">
        <is>
          <t>ND</t>
        </is>
      </c>
      <c r="L2664" s="256" t="inlineStr">
        <is>
          <t>220-10-М/26</t>
        </is>
      </c>
      <c r="M2664" s="256" t="inlineStr">
        <is>
          <t>11.09.2026</t>
        </is>
      </c>
      <c r="N2664" s="256" t="inlineStr">
        <is>
          <t>Farmahem</t>
        </is>
      </c>
      <c r="O2664" s="256" t="inlineStr">
        <is>
          <t>17.08.2026</t>
        </is>
      </c>
      <c r="P2664" s="256" t="inlineStr">
        <is>
          <t>covered</t>
        </is>
      </c>
      <c r="Q2664" s="256" t="inlineStr"/>
      <c r="R2664" s="256" t="inlineStr"/>
    </row>
    <row r="2665">
      <c r="A2665" s="256" t="inlineStr">
        <is>
          <t>CoQ-PP_26-116</t>
        </is>
      </c>
      <c r="B2665" s="256" t="inlineStr">
        <is>
          <t>reissue — retest</t>
        </is>
      </c>
      <c r="C2665" s="256" t="inlineStr">
        <is>
          <t>GP072501/2</t>
        </is>
      </c>
      <c r="D2665" s="256" t="inlineStr">
        <is>
          <t>P050302</t>
        </is>
      </c>
      <c r="E2665" s="256" t="inlineStr">
        <is>
          <t>Grape Pie</t>
        </is>
      </c>
      <c r="F2665" s="256" t="inlineStr">
        <is>
          <t>18.09.2026</t>
        </is>
      </c>
      <c r="G2665" s="256" t="inlineStr">
        <is>
          <t>11.1</t>
        </is>
      </c>
      <c r="H2665" s="256" t="inlineStr">
        <is>
          <t>Lead (Pb)</t>
        </is>
      </c>
      <c r="I2665" s="256" t="inlineStr">
        <is>
          <t>Ph. Eur. 2.4.27 (ICP-MS)</t>
        </is>
      </c>
      <c r="J2665" s="256" t="inlineStr">
        <is>
          <t>≤ 0.5 mg/kg</t>
        </is>
      </c>
      <c r="K2665" s="256" t="inlineStr">
        <is>
          <t>0.017</t>
        </is>
      </c>
      <c r="L2665" s="256" t="inlineStr">
        <is>
          <t>5887/2025</t>
        </is>
      </c>
      <c r="M2665" s="256" t="inlineStr">
        <is>
          <t>12.12.2025</t>
        </is>
      </c>
      <c r="N2665" s="256" t="inlineStr">
        <is>
          <t>IPH — Institute of Public Health</t>
        </is>
      </c>
      <c r="O2665" s="256" t="inlineStr">
        <is>
          <t>01.12.2025</t>
        </is>
      </c>
      <c r="P2665" s="256" t="inlineStr">
        <is>
          <t>carried from the initial testing (CoQ-PP-2025-0020) — covered</t>
        </is>
      </c>
      <c r="Q2665" s="256" t="inlineStr"/>
      <c r="R2665" s="256" t="inlineStr"/>
    </row>
    <row r="2666">
      <c r="A2666" s="256" t="inlineStr">
        <is>
          <t>CoQ-PP_26-116</t>
        </is>
      </c>
      <c r="B2666" s="256" t="inlineStr">
        <is>
          <t>reissue — retest</t>
        </is>
      </c>
      <c r="C2666" s="256" t="inlineStr">
        <is>
          <t>GP072501/2</t>
        </is>
      </c>
      <c r="D2666" s="256" t="inlineStr">
        <is>
          <t>P050302</t>
        </is>
      </c>
      <c r="E2666" s="256" t="inlineStr">
        <is>
          <t>Grape Pie</t>
        </is>
      </c>
      <c r="F2666" s="256" t="inlineStr">
        <is>
          <t>18.09.2026</t>
        </is>
      </c>
      <c r="G2666" s="256" t="inlineStr">
        <is>
          <t>11.2</t>
        </is>
      </c>
      <c r="H2666" s="256" t="inlineStr">
        <is>
          <t>Cadmium (Cd)</t>
        </is>
      </c>
      <c r="I2666" s="256" t="inlineStr">
        <is>
          <t>Ph. Eur. 2.4.27 (ICP-MS)</t>
        </is>
      </c>
      <c r="J2666" s="256" t="inlineStr">
        <is>
          <t>≤ 0.3 mg/kg</t>
        </is>
      </c>
      <c r="K2666" s="256" t="inlineStr">
        <is>
          <t>0.0028</t>
        </is>
      </c>
      <c r="L2666" s="256" t="inlineStr">
        <is>
          <t>5887/2025</t>
        </is>
      </c>
      <c r="M2666" s="256" t="inlineStr">
        <is>
          <t>12.12.2025</t>
        </is>
      </c>
      <c r="N2666" s="256" t="inlineStr">
        <is>
          <t>IPH — Institute of Public Health</t>
        </is>
      </c>
      <c r="O2666" s="256" t="inlineStr">
        <is>
          <t>01.12.2025</t>
        </is>
      </c>
      <c r="P2666" s="256" t="inlineStr">
        <is>
          <t>carried from the initial testing (CoQ-PP-2025-0020) — covered</t>
        </is>
      </c>
      <c r="Q2666" s="256" t="inlineStr"/>
      <c r="R2666" s="256" t="inlineStr"/>
    </row>
    <row r="2667">
      <c r="A2667" s="256" t="inlineStr">
        <is>
          <t>CoQ-PP_26-116</t>
        </is>
      </c>
      <c r="B2667" s="256" t="inlineStr">
        <is>
          <t>reissue — retest</t>
        </is>
      </c>
      <c r="C2667" s="256" t="inlineStr">
        <is>
          <t>GP072501/2</t>
        </is>
      </c>
      <c r="D2667" s="256" t="inlineStr">
        <is>
          <t>P050302</t>
        </is>
      </c>
      <c r="E2667" s="256" t="inlineStr">
        <is>
          <t>Grape Pie</t>
        </is>
      </c>
      <c r="F2667" s="256" t="inlineStr">
        <is>
          <t>18.09.2026</t>
        </is>
      </c>
      <c r="G2667" s="256" t="inlineStr">
        <is>
          <t>11.3</t>
        </is>
      </c>
      <c r="H2667" s="256" t="inlineStr">
        <is>
          <t>Arsenic (As)</t>
        </is>
      </c>
      <c r="I2667" s="256" t="inlineStr">
        <is>
          <t>Ph. Eur. 2.4.27 (ICP-MS)</t>
        </is>
      </c>
      <c r="J2667" s="256" t="inlineStr">
        <is>
          <t>≤ 0.2 mg/kg</t>
        </is>
      </c>
      <c r="K2667" s="256" t="inlineStr">
        <is>
          <t>0.02</t>
        </is>
      </c>
      <c r="L2667" s="256" t="inlineStr">
        <is>
          <t>5887/2025</t>
        </is>
      </c>
      <c r="M2667" s="256" t="inlineStr">
        <is>
          <t>12.12.2025</t>
        </is>
      </c>
      <c r="N2667" s="256" t="inlineStr">
        <is>
          <t>IPH — Institute of Public Health</t>
        </is>
      </c>
      <c r="O2667" s="256" t="inlineStr">
        <is>
          <t>01.12.2025</t>
        </is>
      </c>
      <c r="P2667" s="256" t="inlineStr">
        <is>
          <t>carried from the initial testing (CoQ-PP-2025-0020) — covered</t>
        </is>
      </c>
      <c r="Q2667" s="256" t="inlineStr"/>
      <c r="R2667" s="256" t="inlineStr"/>
    </row>
    <row r="2668">
      <c r="A2668" s="256" t="inlineStr">
        <is>
          <t>CoQ-PP_26-116</t>
        </is>
      </c>
      <c r="B2668" s="256" t="inlineStr">
        <is>
          <t>reissue — retest</t>
        </is>
      </c>
      <c r="C2668" s="256" t="inlineStr">
        <is>
          <t>GP072501/2</t>
        </is>
      </c>
      <c r="D2668" s="256" t="inlineStr">
        <is>
          <t>P050302</t>
        </is>
      </c>
      <c r="E2668" s="256" t="inlineStr">
        <is>
          <t>Grape Pie</t>
        </is>
      </c>
      <c r="F2668" s="256" t="inlineStr">
        <is>
          <t>18.09.2026</t>
        </is>
      </c>
      <c r="G2668" s="256" t="inlineStr">
        <is>
          <t>11.4</t>
        </is>
      </c>
      <c r="H2668" s="256" t="inlineStr">
        <is>
          <t>Mercury (Hg)</t>
        </is>
      </c>
      <c r="I2668" s="256" t="inlineStr">
        <is>
          <t>Ph. Eur. 2.4.27 (ICP-MS)</t>
        </is>
      </c>
      <c r="J2668" s="256" t="inlineStr">
        <is>
          <t>≤ 0.1 mg/kg</t>
        </is>
      </c>
      <c r="K2668" s="256" t="inlineStr">
        <is>
          <t>0.019</t>
        </is>
      </c>
      <c r="L2668" s="256" t="inlineStr">
        <is>
          <t>5887/2025</t>
        </is>
      </c>
      <c r="M2668" s="256" t="inlineStr">
        <is>
          <t>12.12.2025</t>
        </is>
      </c>
      <c r="N2668" s="256" t="inlineStr">
        <is>
          <t>IPH — Institute of Public Health</t>
        </is>
      </c>
      <c r="O2668" s="256" t="inlineStr">
        <is>
          <t>01.12.2025</t>
        </is>
      </c>
      <c r="P2668" s="256" t="inlineStr">
        <is>
          <t>carried from the initial testing (CoQ-PP-2025-0020) — covered</t>
        </is>
      </c>
      <c r="Q2668" s="256" t="inlineStr"/>
      <c r="R2668" s="256" t="inlineStr"/>
    </row>
    <row r="2669">
      <c r="A2669" s="256" t="inlineStr">
        <is>
          <t>CoQ-PP_26-116</t>
        </is>
      </c>
      <c r="B2669" s="256" t="inlineStr">
        <is>
          <t>reissue — retest</t>
        </is>
      </c>
      <c r="C2669" s="256" t="inlineStr">
        <is>
          <t>GP072501/2</t>
        </is>
      </c>
      <c r="D2669" s="256" t="inlineStr">
        <is>
          <t>P050302</t>
        </is>
      </c>
      <c r="E2669" s="256" t="inlineStr">
        <is>
          <t>Grape Pie</t>
        </is>
      </c>
      <c r="F2669" s="256" t="inlineStr">
        <is>
          <t>18.09.2026</t>
        </is>
      </c>
      <c r="G2669" s="256" t="inlineStr">
        <is>
          <t>12</t>
        </is>
      </c>
      <c r="H2669" s="256" t="inlineStr">
        <is>
          <t>Pesticide Residues</t>
        </is>
      </c>
      <c r="I2669" s="256" t="inlineStr">
        <is>
          <t>Ph. Eur. 2.8.13 (LC-MS/MS) · CUMCS Equivalency</t>
        </is>
      </c>
      <c r="J2669" s="256" t="inlineStr">
        <is>
          <t>≤ LOQ as per Ph. Eur. 2.8.13 · ≤ LOQ as per CUMCS Equivalency</t>
        </is>
      </c>
      <c r="K2669" s="256" t="inlineStr">
        <is>
          <t>ND</t>
        </is>
      </c>
      <c r="L2669" s="256" t="inlineStr">
        <is>
          <t>5887/2025</t>
        </is>
      </c>
      <c r="M2669" s="256" t="inlineStr">
        <is>
          <t>12.12.2025</t>
        </is>
      </c>
      <c r="N2669" s="256" t="inlineStr">
        <is>
          <t>IPH — Institute of Public Health</t>
        </is>
      </c>
      <c r="O2669" s="256" t="inlineStr">
        <is>
          <t>01.12.2025</t>
        </is>
      </c>
      <c r="P2669" s="256" t="inlineStr">
        <is>
          <t>carried from the initial testing (CoQ-PP-2025-0020) — covered</t>
        </is>
      </c>
      <c r="Q2669" s="256" t="inlineStr"/>
      <c r="R2669" s="256" t="inlineStr"/>
    </row>
    <row r="2670">
      <c r="A2670" s="256" t="inlineStr">
        <is>
          <t>CoQ-PP_26-117</t>
        </is>
      </c>
      <c r="B2670" s="256" t="inlineStr">
        <is>
          <t>reissue — retest</t>
        </is>
      </c>
      <c r="C2670" s="256" t="inlineStr">
        <is>
          <t>GP0824_03</t>
        </is>
      </c>
      <c r="D2670" s="256" t="inlineStr">
        <is>
          <t>P050072</t>
        </is>
      </c>
      <c r="E2670" s="256" t="inlineStr">
        <is>
          <t>Grape Pie</t>
        </is>
      </c>
      <c r="F2670" s="256" t="inlineStr">
        <is>
          <t>18.09.2026</t>
        </is>
      </c>
      <c r="G2670" s="256" t="inlineStr">
        <is>
          <t>1</t>
        </is>
      </c>
      <c r="H2670" s="256" t="inlineStr">
        <is>
          <t>Identification A, Appearance · Macroscopic</t>
        </is>
      </c>
      <c r="I2670" s="256" t="inlineStr">
        <is>
          <t>Ph. Eur. mon. 3028</t>
        </is>
      </c>
      <c r="J2670" s="256" t="inlineStr">
        <is>
          <t>Conforms to the monograph for Cannabis flos (07/2024:3028) in Ph. Eur. 11.0 | Согласно монографија за Cannabis flos (07/2024:3028) во Ph. Eur. 11.0</t>
        </is>
      </c>
      <c r="K2670" s="256" t="inlineStr">
        <is>
          <t>Conforms | Одговара</t>
        </is>
      </c>
      <c r="L2670" s="256" t="inlineStr">
        <is>
          <t>iCoA-PP_26-133</t>
        </is>
      </c>
      <c r="M2670" s="256" t="inlineStr">
        <is>
          <t>17.08.2026</t>
        </is>
      </c>
      <c r="N2670" s="256" t="inlineStr">
        <is>
          <t>Purely Plant GmbH (in-house)</t>
        </is>
      </c>
      <c r="O2670" s="256" t="inlineStr">
        <is>
          <t>—</t>
        </is>
      </c>
      <c r="P2670" s="256" t="inlineStr">
        <is>
          <t>covered</t>
        </is>
      </c>
      <c r="Q2670" s="256" t="inlineStr">
        <is>
          <t>Farmahem — Ident A + B + C with the Assay, at retest</t>
        </is>
      </c>
      <c r="R2670" s="256" t="inlineStr"/>
    </row>
    <row r="2671">
      <c r="A2671" s="256" t="inlineStr">
        <is>
          <t>CoQ-PP_26-117</t>
        </is>
      </c>
      <c r="B2671" s="256" t="inlineStr">
        <is>
          <t>reissue — retest</t>
        </is>
      </c>
      <c r="C2671" s="256" t="inlineStr">
        <is>
          <t>GP0824_03</t>
        </is>
      </c>
      <c r="D2671" s="256" t="inlineStr">
        <is>
          <t>P050072</t>
        </is>
      </c>
      <c r="E2671" s="256" t="inlineStr">
        <is>
          <t>Grape Pie</t>
        </is>
      </c>
      <c r="F2671" s="256" t="inlineStr">
        <is>
          <t>18.09.2026</t>
        </is>
      </c>
      <c r="G2671" s="256" t="inlineStr">
        <is>
          <t>2</t>
        </is>
      </c>
      <c r="H2671" s="256" t="inlineStr">
        <is>
          <t>Identification B · Microscopic</t>
        </is>
      </c>
      <c r="I2671" s="256" t="inlineStr">
        <is>
          <t>Ph. Eur. 2.8.23 (microscopy)</t>
        </is>
      </c>
      <c r="J2671" s="256" t="inlineStr">
        <is>
          <t>Conforms to the monograph for Cannabis flos (07/2024:3028) in Ph. Eur. 11.0 | Согласно монографија за Cannabis flos (07/2024:3028) во Ph. Eur. 11.0</t>
        </is>
      </c>
      <c r="K2671" s="256" t="inlineStr">
        <is>
          <t>Conforms | Одговара</t>
        </is>
      </c>
      <c r="L2671" s="256" t="inlineStr">
        <is>
          <t>iCoA-PP_26-133</t>
        </is>
      </c>
      <c r="M2671" s="256" t="inlineStr">
        <is>
          <t>17.08.2026</t>
        </is>
      </c>
      <c r="N2671" s="256" t="inlineStr">
        <is>
          <t>Purely Plant GmbH (in-house)</t>
        </is>
      </c>
      <c r="O2671" s="256" t="inlineStr">
        <is>
          <t>—</t>
        </is>
      </c>
      <c r="P2671" s="256" t="inlineStr">
        <is>
          <t>covered</t>
        </is>
      </c>
      <c r="Q2671" s="256" t="inlineStr">
        <is>
          <t>Farmahem — Ident A + B + C with the Assay, at retest</t>
        </is>
      </c>
      <c r="R2671" s="256" t="inlineStr"/>
    </row>
    <row r="2672">
      <c r="A2672" s="256" t="inlineStr">
        <is>
          <t>CoQ-PP_26-117</t>
        </is>
      </c>
      <c r="B2672" s="256" t="inlineStr">
        <is>
          <t>reissue — retest</t>
        </is>
      </c>
      <c r="C2672" s="256" t="inlineStr">
        <is>
          <t>GP0824_03</t>
        </is>
      </c>
      <c r="D2672" s="256" t="inlineStr">
        <is>
          <t>P050072</t>
        </is>
      </c>
      <c r="E2672" s="256" t="inlineStr">
        <is>
          <t>Grape Pie</t>
        </is>
      </c>
      <c r="F2672" s="256" t="inlineStr">
        <is>
          <t>18.09.2026</t>
        </is>
      </c>
      <c r="G2672" s="256" t="inlineStr">
        <is>
          <t>3</t>
        </is>
      </c>
      <c r="H2672" s="256" t="inlineStr">
        <is>
          <t>Identification C · HPLC/HPTLC</t>
        </is>
      </c>
      <c r="I2672" s="256" t="inlineStr">
        <is>
          <t>Ph. Eur. 2.2.29 (3028)</t>
        </is>
      </c>
      <c r="J2672" s="256" t="inlineStr">
        <is>
          <t>Conforms to the monograph for Cannabis flos (07/2024:3028) in Ph. Eur. 11.0 | Согласно монографија за Cannabis flos (07/2024:3028) во Ph. Eur. 11.0</t>
        </is>
      </c>
      <c r="K2672" s="256" t="inlineStr">
        <is>
          <t>Conforms | Одговара</t>
        </is>
      </c>
      <c r="L2672" s="256" t="inlineStr">
        <is>
          <t>220-11-К/26</t>
        </is>
      </c>
      <c r="M2672" s="256" t="inlineStr">
        <is>
          <t>25.08.2026</t>
        </is>
      </c>
      <c r="N2672" s="256" t="inlineStr">
        <is>
          <t>Farmahem</t>
        </is>
      </c>
      <c r="O2672" s="256" t="inlineStr">
        <is>
          <t>17.08.2026</t>
        </is>
      </c>
      <c r="P2672" s="256" t="inlineStr">
        <is>
          <t>covered</t>
        </is>
      </c>
      <c r="Q2672" s="256" t="inlineStr"/>
      <c r="R2672" s="256" t="inlineStr"/>
    </row>
    <row r="2673">
      <c r="A2673" s="256" t="inlineStr">
        <is>
          <t>CoQ-PP_26-117</t>
        </is>
      </c>
      <c r="B2673" s="256" t="inlineStr">
        <is>
          <t>reissue — retest</t>
        </is>
      </c>
      <c r="C2673" s="256" t="inlineStr">
        <is>
          <t>GP0824_03</t>
        </is>
      </c>
      <c r="D2673" s="256" t="inlineStr">
        <is>
          <t>P050072</t>
        </is>
      </c>
      <c r="E2673" s="256" t="inlineStr">
        <is>
          <t>Grape Pie</t>
        </is>
      </c>
      <c r="F2673" s="256" t="inlineStr">
        <is>
          <t>18.09.2026</t>
        </is>
      </c>
      <c r="G2673" s="256" t="inlineStr">
        <is>
          <t>4</t>
        </is>
      </c>
      <c r="H2673" s="256" t="inlineStr">
        <is>
          <t>Assay — Total Δ⁹-THC</t>
        </is>
      </c>
      <c r="I2673" s="256" t="inlineStr">
        <is>
          <t>Ph. Eur. 2.2.29 (HPLC)</t>
        </is>
      </c>
      <c r="J2673" s="256" t="inlineStr">
        <is>
          <t>26.00 – 29.99 %  (grade I, nominal 28.00 ± 2.00)</t>
        </is>
      </c>
      <c r="K2673" s="256" t="inlineStr">
        <is>
          <t>28.30</t>
        </is>
      </c>
      <c r="L2673" s="256" t="inlineStr">
        <is>
          <t>220-11-К/26</t>
        </is>
      </c>
      <c r="M2673" s="256" t="inlineStr">
        <is>
          <t>25.08.2026</t>
        </is>
      </c>
      <c r="N2673" s="256" t="inlineStr">
        <is>
          <t>Farmahem</t>
        </is>
      </c>
      <c r="O2673" s="256" t="inlineStr">
        <is>
          <t>17.08.2026</t>
        </is>
      </c>
      <c r="P2673" s="256" t="inlineStr">
        <is>
          <t>covered</t>
        </is>
      </c>
      <c r="Q2673" s="256" t="inlineStr"/>
      <c r="R2673" s="256" t="inlineStr"/>
    </row>
    <row r="2674">
      <c r="A2674" s="256" t="inlineStr">
        <is>
          <t>CoQ-PP_26-117</t>
        </is>
      </c>
      <c r="B2674" s="256" t="inlineStr">
        <is>
          <t>reissue — retest</t>
        </is>
      </c>
      <c r="C2674" s="256" t="inlineStr">
        <is>
          <t>GP0824_03</t>
        </is>
      </c>
      <c r="D2674" s="256" t="inlineStr">
        <is>
          <t>P050072</t>
        </is>
      </c>
      <c r="E2674" s="256" t="inlineStr">
        <is>
          <t>Grape Pie</t>
        </is>
      </c>
      <c r="F2674" s="256" t="inlineStr">
        <is>
          <t>18.09.2026</t>
        </is>
      </c>
      <c r="G2674" s="256" t="inlineStr">
        <is>
          <t>5</t>
        </is>
      </c>
      <c r="H2674" s="256" t="inlineStr">
        <is>
          <t>Assay — Total CBD</t>
        </is>
      </c>
      <c r="I2674" s="256" t="inlineStr">
        <is>
          <t>Ph. Eur. 2.2.29 (HPLC) · CBD + CBDA x 0.877</t>
        </is>
      </c>
      <c r="J2674" s="256" t="inlineStr">
        <is>
          <t>≤ 1.0%, w/w</t>
        </is>
      </c>
      <c r="K2674" s="256" t="inlineStr">
        <is>
          <t>&lt; LOQ</t>
        </is>
      </c>
      <c r="L2674" s="256" t="inlineStr">
        <is>
          <t>220-11-К/26</t>
        </is>
      </c>
      <c r="M2674" s="256" t="inlineStr">
        <is>
          <t>25.08.2026</t>
        </is>
      </c>
      <c r="N2674" s="256" t="inlineStr">
        <is>
          <t>Farmahem</t>
        </is>
      </c>
      <c r="O2674" s="256" t="inlineStr">
        <is>
          <t>17.08.2026</t>
        </is>
      </c>
      <c r="P2674" s="256" t="inlineStr">
        <is>
          <t>covered</t>
        </is>
      </c>
      <c r="Q2674" s="256" t="inlineStr"/>
      <c r="R2674" s="256" t="inlineStr"/>
    </row>
    <row r="2675">
      <c r="A2675" s="256" t="inlineStr">
        <is>
          <t>CoQ-PP_26-117</t>
        </is>
      </c>
      <c r="B2675" s="256" t="inlineStr">
        <is>
          <t>reissue — retest</t>
        </is>
      </c>
      <c r="C2675" s="256" t="inlineStr">
        <is>
          <t>GP0824_03</t>
        </is>
      </c>
      <c r="D2675" s="256" t="inlineStr">
        <is>
          <t>P050072</t>
        </is>
      </c>
      <c r="E2675" s="256" t="inlineStr">
        <is>
          <t>Grape Pie</t>
        </is>
      </c>
      <c r="F2675" s="256" t="inlineStr">
        <is>
          <t>18.09.2026</t>
        </is>
      </c>
      <c r="G2675" s="256" t="inlineStr">
        <is>
          <t>6</t>
        </is>
      </c>
      <c r="H2675" s="256" t="inlineStr">
        <is>
          <t>Total CBN</t>
        </is>
      </c>
      <c r="I2675" s="256" t="inlineStr">
        <is>
          <t>Ph. Eur. 2.2.29 (HPLC) · CBN + CBNA x 0.876</t>
        </is>
      </c>
      <c r="J2675" s="256" t="inlineStr">
        <is>
          <t>≤ 1.0%, w/w</t>
        </is>
      </c>
      <c r="K2675" s="256" t="inlineStr">
        <is>
          <t>&lt; LOQ</t>
        </is>
      </c>
      <c r="L2675" s="256" t="inlineStr">
        <is>
          <t>220-11-К/26</t>
        </is>
      </c>
      <c r="M2675" s="256" t="inlineStr">
        <is>
          <t>25.08.2026</t>
        </is>
      </c>
      <c r="N2675" s="256" t="inlineStr">
        <is>
          <t>Farmahem</t>
        </is>
      </c>
      <c r="O2675" s="256" t="inlineStr">
        <is>
          <t>17.08.2026</t>
        </is>
      </c>
      <c r="P2675" s="256" t="inlineStr">
        <is>
          <t>covered</t>
        </is>
      </c>
      <c r="Q2675" s="256" t="inlineStr"/>
      <c r="R2675" s="256" t="inlineStr"/>
    </row>
    <row r="2676">
      <c r="A2676" s="256" t="inlineStr">
        <is>
          <t>CoQ-PP_26-117</t>
        </is>
      </c>
      <c r="B2676" s="256" t="inlineStr">
        <is>
          <t>reissue — retest</t>
        </is>
      </c>
      <c r="C2676" s="256" t="inlineStr">
        <is>
          <t>GP0824_03</t>
        </is>
      </c>
      <c r="D2676" s="256" t="inlineStr">
        <is>
          <t>P050072</t>
        </is>
      </c>
      <c r="E2676" s="256" t="inlineStr">
        <is>
          <t>Grape Pie</t>
        </is>
      </c>
      <c r="F2676" s="256" t="inlineStr">
        <is>
          <t>18.09.2026</t>
        </is>
      </c>
      <c r="G2676" s="256" t="inlineStr">
        <is>
          <t>7</t>
        </is>
      </c>
      <c r="H2676" s="256" t="inlineStr">
        <is>
          <t>Foreign Matter</t>
        </is>
      </c>
      <c r="I2676" s="256" t="inlineStr">
        <is>
          <t>Ph. Eur. 2.8.2 · In-house · интерна</t>
        </is>
      </c>
      <c r="J2676" s="256" t="inlineStr">
        <is>
          <t>≤ 2.0% / 25–50 g · &lt; 1 cm leaves | листови, no seeds | без семки</t>
        </is>
      </c>
      <c r="K2676" s="256" t="inlineStr">
        <is>
          <t>Conforms | Одговара</t>
        </is>
      </c>
      <c r="L2676" s="256" t="inlineStr">
        <is>
          <t>iCoA-PP_26-133</t>
        </is>
      </c>
      <c r="M2676" s="256" t="inlineStr">
        <is>
          <t>17.08.2026</t>
        </is>
      </c>
      <c r="N2676" s="256" t="inlineStr">
        <is>
          <t>Purely Plant GmbH (in-house)</t>
        </is>
      </c>
      <c r="O2676" s="256" t="inlineStr">
        <is>
          <t>—</t>
        </is>
      </c>
      <c r="P2676" s="256" t="inlineStr">
        <is>
          <t>covered</t>
        </is>
      </c>
      <c r="Q2676" s="256" t="inlineStr">
        <is>
          <t>Purely Plant laboratory — iCoA covering Foreign matter</t>
        </is>
      </c>
      <c r="R2676" s="256" t="inlineStr"/>
    </row>
    <row r="2677">
      <c r="A2677" s="256" t="inlineStr">
        <is>
          <t>CoQ-PP_26-117</t>
        </is>
      </c>
      <c r="B2677" s="256" t="inlineStr">
        <is>
          <t>reissue — retest</t>
        </is>
      </c>
      <c r="C2677" s="256" t="inlineStr">
        <is>
          <t>GP0824_03</t>
        </is>
      </c>
      <c r="D2677" s="256" t="inlineStr">
        <is>
          <t>P050072</t>
        </is>
      </c>
      <c r="E2677" s="256" t="inlineStr">
        <is>
          <t>Grape Pie</t>
        </is>
      </c>
      <c r="F2677" s="256" t="inlineStr">
        <is>
          <t>18.09.2026</t>
        </is>
      </c>
      <c r="G2677" s="256" t="inlineStr">
        <is>
          <t>8</t>
        </is>
      </c>
      <c r="H2677" s="256" t="inlineStr">
        <is>
          <t>Loss on Drying</t>
        </is>
      </c>
      <c r="I2677" s="256" t="inlineStr">
        <is>
          <t>DAB 2018 monograph Cannabis flos, 2.2.32 — loss on drying (CNP, before its Ph. Eur. 3028 accreditation)</t>
        </is>
      </c>
      <c r="J2677" s="256" t="inlineStr">
        <is>
          <t>≤ 12.0%</t>
        </is>
      </c>
      <c r="K2677" s="256" t="inlineStr">
        <is>
          <t>6.58</t>
        </is>
      </c>
      <c r="L2677" s="256" t="inlineStr">
        <is>
          <t>ППК25175</t>
        </is>
      </c>
      <c r="M2677" s="256" t="inlineStr">
        <is>
          <t>10.07.2025</t>
        </is>
      </c>
      <c r="N2677" s="256" t="inlineStr">
        <is>
          <t>UKIM Faculty of Pharmacy — Center for Natural Products</t>
        </is>
      </c>
      <c r="O2677" s="256" t="inlineStr">
        <is>
          <t>23.06.2025</t>
        </is>
      </c>
      <c r="P2677" s="256" t="inlineStr">
        <is>
          <t>carried from the initial testing (CoQ-PP-2025-0010) — covered</t>
        </is>
      </c>
      <c r="Q2677" s="256" t="inlineStr"/>
      <c r="R2677" s="256" t="inlineStr">
        <is>
          <t>5.92 (ППК26034); 5.52 (ППК26035); 7.07 (ППК26060)</t>
        </is>
      </c>
    </row>
    <row r="2678">
      <c r="A2678" s="256" t="inlineStr">
        <is>
          <t>CoQ-PP_26-117</t>
        </is>
      </c>
      <c r="B2678" s="256" t="inlineStr">
        <is>
          <t>reissue — retest</t>
        </is>
      </c>
      <c r="C2678" s="256" t="inlineStr">
        <is>
          <t>GP0824_03</t>
        </is>
      </c>
      <c r="D2678" s="256" t="inlineStr">
        <is>
          <t>P050072</t>
        </is>
      </c>
      <c r="E2678" s="256" t="inlineStr">
        <is>
          <t>Grape Pie</t>
        </is>
      </c>
      <c r="F2678" s="256" t="inlineStr">
        <is>
          <t>18.09.2026</t>
        </is>
      </c>
      <c r="G2678" s="256" t="inlineStr">
        <is>
          <t>9.1</t>
        </is>
      </c>
      <c r="H2678" s="256" t="inlineStr">
        <is>
          <t>TAMC</t>
        </is>
      </c>
      <c r="I2678" s="256" t="inlineStr">
        <is>
          <t>Ph. Eur. 2.6.12 cat. C</t>
        </is>
      </c>
      <c r="J2678" s="256" t="inlineStr">
        <is>
          <t>≤ 10⁵ CFU/g</t>
        </is>
      </c>
      <c r="K2678" s="256" t="inlineStr">
        <is>
          <t>1.1 × 10⁴</t>
        </is>
      </c>
      <c r="L2678" s="256" t="inlineStr">
        <is>
          <t>628/1129/25</t>
        </is>
      </c>
      <c r="M2678" s="256" t="inlineStr">
        <is>
          <t>02.07.2025</t>
        </is>
      </c>
      <c r="N2678" s="256" t="inlineStr">
        <is>
          <t>IPH — Institute of Public Health</t>
        </is>
      </c>
      <c r="O2678" s="256" t="inlineStr">
        <is>
          <t>24.06.2025</t>
        </is>
      </c>
      <c r="P2678" s="256" t="inlineStr">
        <is>
          <t>carried from the initial testing (CoQ-PP-2025-0010) — covered</t>
        </is>
      </c>
      <c r="Q2678" s="256" t="inlineStr"/>
      <c r="R2678" s="256" t="inlineStr"/>
    </row>
    <row r="2679">
      <c r="A2679" s="256" t="inlineStr">
        <is>
          <t>CoQ-PP_26-117</t>
        </is>
      </c>
      <c r="B2679" s="256" t="inlineStr">
        <is>
          <t>reissue — retest</t>
        </is>
      </c>
      <c r="C2679" s="256" t="inlineStr">
        <is>
          <t>GP0824_03</t>
        </is>
      </c>
      <c r="D2679" s="256" t="inlineStr">
        <is>
          <t>P050072</t>
        </is>
      </c>
      <c r="E2679" s="256" t="inlineStr">
        <is>
          <t>Grape Pie</t>
        </is>
      </c>
      <c r="F2679" s="256" t="inlineStr">
        <is>
          <t>18.09.2026</t>
        </is>
      </c>
      <c r="G2679" s="256" t="inlineStr">
        <is>
          <t>9.2</t>
        </is>
      </c>
      <c r="H2679" s="256" t="inlineStr">
        <is>
          <t>TYMC</t>
        </is>
      </c>
      <c r="I2679" s="256" t="inlineStr">
        <is>
          <t>Ph. Eur. 2.6.12 cat. C</t>
        </is>
      </c>
      <c r="J2679" s="256" t="inlineStr">
        <is>
          <t>≤ 10⁴ CFU/g</t>
        </is>
      </c>
      <c r="K2679" s="256" t="inlineStr">
        <is>
          <t>1.2 × 10⁴</t>
        </is>
      </c>
      <c r="L2679" s="256" t="inlineStr">
        <is>
          <t>628/1129/25</t>
        </is>
      </c>
      <c r="M2679" s="256" t="inlineStr">
        <is>
          <t>02.07.2025</t>
        </is>
      </c>
      <c r="N2679" s="256" t="inlineStr">
        <is>
          <t>IPH — Institute of Public Health</t>
        </is>
      </c>
      <c r="O2679" s="256" t="inlineStr">
        <is>
          <t>24.06.2025</t>
        </is>
      </c>
      <c r="P2679" s="256" t="inlineStr">
        <is>
          <t>carried from the initial testing (CoQ-PP-2025-0010) — UNDETERMINED — pending the QCSP 001 reading</t>
        </is>
      </c>
      <c r="Q2679" s="256" t="inlineStr"/>
      <c r="R2679" s="256" t="inlineStr"/>
    </row>
    <row r="2680">
      <c r="A2680" s="256" t="inlineStr">
        <is>
          <t>CoQ-PP_26-117</t>
        </is>
      </c>
      <c r="B2680" s="256" t="inlineStr">
        <is>
          <t>reissue — retest</t>
        </is>
      </c>
      <c r="C2680" s="256" t="inlineStr">
        <is>
          <t>GP0824_03</t>
        </is>
      </c>
      <c r="D2680" s="256" t="inlineStr">
        <is>
          <t>P050072</t>
        </is>
      </c>
      <c r="E2680" s="256" t="inlineStr">
        <is>
          <t>Grape Pie</t>
        </is>
      </c>
      <c r="F2680" s="256" t="inlineStr">
        <is>
          <t>18.09.2026</t>
        </is>
      </c>
      <c r="G2680" s="256" t="inlineStr">
        <is>
          <t>9.3</t>
        </is>
      </c>
      <c r="H2680" s="256" t="inlineStr">
        <is>
          <t>Bile-tolerant gram-neg.</t>
        </is>
      </c>
      <c r="I2680" s="256" t="inlineStr">
        <is>
          <t>Ph. Eur. 2.6.31 cat. C</t>
        </is>
      </c>
      <c r="J2680" s="256" t="inlineStr">
        <is>
          <t>≤ 10⁴ CFU/g</t>
        </is>
      </c>
      <c r="K2680" s="256" t="inlineStr">
        <is>
          <t>&lt; 10⁴ and &gt; 10³</t>
        </is>
      </c>
      <c r="L2680" s="256" t="inlineStr">
        <is>
          <t>628/1129/25</t>
        </is>
      </c>
      <c r="M2680" s="256" t="inlineStr">
        <is>
          <t>02.07.2025</t>
        </is>
      </c>
      <c r="N2680" s="256" t="inlineStr">
        <is>
          <t>IPH — Institute of Public Health</t>
        </is>
      </c>
      <c r="O2680" s="256" t="inlineStr">
        <is>
          <t>24.06.2025</t>
        </is>
      </c>
      <c r="P2680" s="256" t="inlineStr">
        <is>
          <t>carried from the initial testing (CoQ-PP-2025-0010) — covered</t>
        </is>
      </c>
      <c r="Q2680" s="256" t="inlineStr"/>
      <c r="R2680" s="256" t="inlineStr"/>
    </row>
    <row r="2681">
      <c r="A2681" s="256" t="inlineStr">
        <is>
          <t>CoQ-PP_26-117</t>
        </is>
      </c>
      <c r="B2681" s="256" t="inlineStr">
        <is>
          <t>reissue — retest</t>
        </is>
      </c>
      <c r="C2681" s="256" t="inlineStr">
        <is>
          <t>GP0824_03</t>
        </is>
      </c>
      <c r="D2681" s="256" t="inlineStr">
        <is>
          <t>P050072</t>
        </is>
      </c>
      <c r="E2681" s="256" t="inlineStr">
        <is>
          <t>Grape Pie</t>
        </is>
      </c>
      <c r="F2681" s="256" t="inlineStr">
        <is>
          <t>18.09.2026</t>
        </is>
      </c>
      <c r="G2681" s="256" t="inlineStr">
        <is>
          <t>9.4</t>
        </is>
      </c>
      <c r="H2681" s="256" t="inlineStr">
        <is>
          <t>Salmonella</t>
        </is>
      </c>
      <c r="I2681" s="256" t="inlineStr">
        <is>
          <t>Ph. Eur. 2.6.31 cat. C</t>
        </is>
      </c>
      <c r="J2681" s="256" t="inlineStr">
        <is>
          <t>Absence | Отсуство / 25 g</t>
        </is>
      </c>
      <c r="K2681" s="256" t="inlineStr">
        <is>
          <t>Absent | Отсутна</t>
        </is>
      </c>
      <c r="L2681" s="256" t="inlineStr">
        <is>
          <t>628/1129/25</t>
        </is>
      </c>
      <c r="M2681" s="256" t="inlineStr">
        <is>
          <t>02.07.2025</t>
        </is>
      </c>
      <c r="N2681" s="256" t="inlineStr">
        <is>
          <t>IPH — Institute of Public Health</t>
        </is>
      </c>
      <c r="O2681" s="256" t="inlineStr">
        <is>
          <t>24.06.2025</t>
        </is>
      </c>
      <c r="P2681" s="256" t="inlineStr">
        <is>
          <t>carried from the initial testing (CoQ-PP-2025-0010) — covered</t>
        </is>
      </c>
      <c r="Q2681" s="256" t="inlineStr"/>
      <c r="R2681" s="256" t="inlineStr"/>
    </row>
    <row r="2682">
      <c r="A2682" s="256" t="inlineStr">
        <is>
          <t>CoQ-PP_26-117</t>
        </is>
      </c>
      <c r="B2682" s="256" t="inlineStr">
        <is>
          <t>reissue — retest</t>
        </is>
      </c>
      <c r="C2682" s="256" t="inlineStr">
        <is>
          <t>GP0824_03</t>
        </is>
      </c>
      <c r="D2682" s="256" t="inlineStr">
        <is>
          <t>P050072</t>
        </is>
      </c>
      <c r="E2682" s="256" t="inlineStr">
        <is>
          <t>Grape Pie</t>
        </is>
      </c>
      <c r="F2682" s="256" t="inlineStr">
        <is>
          <t>18.09.2026</t>
        </is>
      </c>
      <c r="G2682" s="256" t="inlineStr">
        <is>
          <t>9.5</t>
        </is>
      </c>
      <c r="H2682" s="256" t="inlineStr">
        <is>
          <t>Escherichia coli</t>
        </is>
      </c>
      <c r="I2682" s="256" t="inlineStr">
        <is>
          <t>Ph. Eur. 2.6.13 cat. C</t>
        </is>
      </c>
      <c r="J2682" s="256" t="inlineStr">
        <is>
          <t>Absence | Отсуство / 1 g</t>
        </is>
      </c>
      <c r="K2682" s="256" t="inlineStr">
        <is>
          <t>Absent | Отсутна</t>
        </is>
      </c>
      <c r="L2682" s="256" t="inlineStr">
        <is>
          <t>628/1129/25</t>
        </is>
      </c>
      <c r="M2682" s="256" t="inlineStr">
        <is>
          <t>02.07.2025</t>
        </is>
      </c>
      <c r="N2682" s="256" t="inlineStr">
        <is>
          <t>IPH — Institute of Public Health</t>
        </is>
      </c>
      <c r="O2682" s="256" t="inlineStr">
        <is>
          <t>24.06.2025</t>
        </is>
      </c>
      <c r="P2682" s="256" t="inlineStr">
        <is>
          <t>carried from the initial testing (CoQ-PP-2025-0010) — covered</t>
        </is>
      </c>
      <c r="Q2682" s="256" t="inlineStr"/>
      <c r="R2682" s="256" t="inlineStr"/>
    </row>
    <row r="2683">
      <c r="A2683" s="256" t="inlineStr">
        <is>
          <t>CoQ-PP_26-117</t>
        </is>
      </c>
      <c r="B2683" s="256" t="inlineStr">
        <is>
          <t>reissue — retest</t>
        </is>
      </c>
      <c r="C2683" s="256" t="inlineStr">
        <is>
          <t>GP0824_03</t>
        </is>
      </c>
      <c r="D2683" s="256" t="inlineStr">
        <is>
          <t>P050072</t>
        </is>
      </c>
      <c r="E2683" s="256" t="inlineStr">
        <is>
          <t>Grape Pie</t>
        </is>
      </c>
      <c r="F2683" s="256" t="inlineStr">
        <is>
          <t>18.09.2026</t>
        </is>
      </c>
      <c r="G2683" s="256" t="inlineStr">
        <is>
          <t>9.6</t>
        </is>
      </c>
      <c r="H2683" s="256" t="inlineStr">
        <is>
          <t>Pseudomonas aeruginosa</t>
        </is>
      </c>
      <c r="I2683" s="256" t="inlineStr">
        <is>
          <t>Ph. Eur. 2.6.13 cat. C</t>
        </is>
      </c>
      <c r="J2683" s="256" t="inlineStr">
        <is>
          <t>Absence | Отсуство / 1 g</t>
        </is>
      </c>
      <c r="K2683" s="260" t="inlineStr">
        <is>
          <t>upon request — not required for release</t>
        </is>
      </c>
      <c r="L2683" s="256" t="inlineStr">
        <is>
          <t>—</t>
        </is>
      </c>
      <c r="M2683" s="256" t="inlineStr">
        <is>
          <t>—</t>
        </is>
      </c>
      <c r="N2683" s="256" t="inlineStr">
        <is>
          <t>—</t>
        </is>
      </c>
      <c r="O2683" s="256" t="inlineStr">
        <is>
          <t>—</t>
        </is>
      </c>
      <c r="P2683" s="256" t="inlineStr">
        <is>
          <t>upon request — not required for release</t>
        </is>
      </c>
      <c r="Q2683" s="256" t="inlineStr"/>
      <c r="R2683" s="256" t="inlineStr"/>
    </row>
    <row r="2684">
      <c r="A2684" s="256" t="inlineStr">
        <is>
          <t>CoQ-PP_26-117</t>
        </is>
      </c>
      <c r="B2684" s="256" t="inlineStr">
        <is>
          <t>reissue — retest</t>
        </is>
      </c>
      <c r="C2684" s="256" t="inlineStr">
        <is>
          <t>GP0824_03</t>
        </is>
      </c>
      <c r="D2684" s="256" t="inlineStr">
        <is>
          <t>P050072</t>
        </is>
      </c>
      <c r="E2684" s="256" t="inlineStr">
        <is>
          <t>Grape Pie</t>
        </is>
      </c>
      <c r="F2684" s="256" t="inlineStr">
        <is>
          <t>18.09.2026</t>
        </is>
      </c>
      <c r="G2684" s="256" t="inlineStr">
        <is>
          <t>9.7</t>
        </is>
      </c>
      <c r="H2684" s="256" t="inlineStr">
        <is>
          <t>Staphylococcus aureus</t>
        </is>
      </c>
      <c r="I2684" s="256" t="inlineStr">
        <is>
          <t>Ph. Eur. 2.6.13 cat. C</t>
        </is>
      </c>
      <c r="J2684" s="256" t="inlineStr">
        <is>
          <t>Absence | Отсуство / 1 g</t>
        </is>
      </c>
      <c r="K2684" s="260" t="inlineStr">
        <is>
          <t>upon request — not required for release</t>
        </is>
      </c>
      <c r="L2684" s="256" t="inlineStr">
        <is>
          <t>—</t>
        </is>
      </c>
      <c r="M2684" s="256" t="inlineStr">
        <is>
          <t>—</t>
        </is>
      </c>
      <c r="N2684" s="256" t="inlineStr">
        <is>
          <t>—</t>
        </is>
      </c>
      <c r="O2684" s="256" t="inlineStr">
        <is>
          <t>—</t>
        </is>
      </c>
      <c r="P2684" s="256" t="inlineStr">
        <is>
          <t>upon request — not required for release</t>
        </is>
      </c>
      <c r="Q2684" s="256" t="inlineStr"/>
      <c r="R2684" s="256" t="inlineStr"/>
    </row>
    <row r="2685">
      <c r="A2685" s="256" t="inlineStr">
        <is>
          <t>CoQ-PP_26-117</t>
        </is>
      </c>
      <c r="B2685" s="256" t="inlineStr">
        <is>
          <t>reissue — retest</t>
        </is>
      </c>
      <c r="C2685" s="256" t="inlineStr">
        <is>
          <t>GP0824_03</t>
        </is>
      </c>
      <c r="D2685" s="256" t="inlineStr">
        <is>
          <t>P050072</t>
        </is>
      </c>
      <c r="E2685" s="256" t="inlineStr">
        <is>
          <t>Grape Pie</t>
        </is>
      </c>
      <c r="F2685" s="256" t="inlineStr">
        <is>
          <t>18.09.2026</t>
        </is>
      </c>
      <c r="G2685" s="256" t="inlineStr">
        <is>
          <t>10.1</t>
        </is>
      </c>
      <c r="H2685" s="256" t="inlineStr">
        <is>
          <t>Aflatoxin B₁</t>
        </is>
      </c>
      <c r="I2685" s="256" t="inlineStr">
        <is>
          <t>Ph. Eur. 2.8.18 (HPLC-FLD)</t>
        </is>
      </c>
      <c r="J2685" s="256" t="inlineStr">
        <is>
          <t>≤ 2 µg/kg</t>
        </is>
      </c>
      <c r="K2685" s="256" t="inlineStr">
        <is>
          <t>ND</t>
        </is>
      </c>
      <c r="L2685" s="256" t="inlineStr">
        <is>
          <t>220-11-М/26</t>
        </is>
      </c>
      <c r="M2685" s="256" t="inlineStr">
        <is>
          <t>11.09.2026</t>
        </is>
      </c>
      <c r="N2685" s="256" t="inlineStr">
        <is>
          <t>Farmahem</t>
        </is>
      </c>
      <c r="O2685" s="256" t="inlineStr">
        <is>
          <t>17.08.2026</t>
        </is>
      </c>
      <c r="P2685" s="256" t="inlineStr">
        <is>
          <t>covered</t>
        </is>
      </c>
      <c r="Q2685" s="256" t="inlineStr"/>
      <c r="R2685" s="256" t="inlineStr"/>
    </row>
    <row r="2686">
      <c r="A2686" s="256" t="inlineStr">
        <is>
          <t>CoQ-PP_26-117</t>
        </is>
      </c>
      <c r="B2686" s="256" t="inlineStr">
        <is>
          <t>reissue — retest</t>
        </is>
      </c>
      <c r="C2686" s="256" t="inlineStr">
        <is>
          <t>GP0824_03</t>
        </is>
      </c>
      <c r="D2686" s="256" t="inlineStr">
        <is>
          <t>P050072</t>
        </is>
      </c>
      <c r="E2686" s="256" t="inlineStr">
        <is>
          <t>Grape Pie</t>
        </is>
      </c>
      <c r="F2686" s="256" t="inlineStr">
        <is>
          <t>18.09.2026</t>
        </is>
      </c>
      <c r="G2686" s="256" t="inlineStr">
        <is>
          <t>10.2</t>
        </is>
      </c>
      <c r="H2686" s="256" t="inlineStr">
        <is>
          <t>Aflatoxins ∑</t>
        </is>
      </c>
      <c r="I2686" s="256" t="inlineStr">
        <is>
          <t>Ph. Eur. 2.8.18 (HPLC-FLD)</t>
        </is>
      </c>
      <c r="J2686" s="256" t="inlineStr">
        <is>
          <t>≤ 4 µg/kg</t>
        </is>
      </c>
      <c r="K2686" s="256" t="inlineStr">
        <is>
          <t>ND</t>
        </is>
      </c>
      <c r="L2686" s="256" t="inlineStr">
        <is>
          <t>220-11-М/26</t>
        </is>
      </c>
      <c r="M2686" s="256" t="inlineStr">
        <is>
          <t>11.09.2026</t>
        </is>
      </c>
      <c r="N2686" s="256" t="inlineStr">
        <is>
          <t>Farmahem</t>
        </is>
      </c>
      <c r="O2686" s="256" t="inlineStr">
        <is>
          <t>17.08.2026</t>
        </is>
      </c>
      <c r="P2686" s="256" t="inlineStr">
        <is>
          <t>covered</t>
        </is>
      </c>
      <c r="Q2686" s="256" t="inlineStr"/>
      <c r="R2686" s="256" t="inlineStr"/>
    </row>
    <row r="2687">
      <c r="A2687" s="256" t="inlineStr">
        <is>
          <t>CoQ-PP_26-117</t>
        </is>
      </c>
      <c r="B2687" s="256" t="inlineStr">
        <is>
          <t>reissue — retest</t>
        </is>
      </c>
      <c r="C2687" s="256" t="inlineStr">
        <is>
          <t>GP0824_03</t>
        </is>
      </c>
      <c r="D2687" s="256" t="inlineStr">
        <is>
          <t>P050072</t>
        </is>
      </c>
      <c r="E2687" s="256" t="inlineStr">
        <is>
          <t>Grape Pie</t>
        </is>
      </c>
      <c r="F2687" s="256" t="inlineStr">
        <is>
          <t>18.09.2026</t>
        </is>
      </c>
      <c r="G2687" s="256" t="inlineStr">
        <is>
          <t>10.3</t>
        </is>
      </c>
      <c r="H2687" s="256" t="inlineStr">
        <is>
          <t>Ochratoxin A</t>
        </is>
      </c>
      <c r="I2687" s="256" t="inlineStr">
        <is>
          <t>Ph. Eur. 2.8.22 (HPLC-FLD)</t>
        </is>
      </c>
      <c r="J2687" s="256" t="inlineStr">
        <is>
          <t>≤ 20 µg/kg</t>
        </is>
      </c>
      <c r="K2687" s="256" t="inlineStr">
        <is>
          <t>ND</t>
        </is>
      </c>
      <c r="L2687" s="256" t="inlineStr">
        <is>
          <t>220-11-М/26</t>
        </is>
      </c>
      <c r="M2687" s="256" t="inlineStr">
        <is>
          <t>11.09.2026</t>
        </is>
      </c>
      <c r="N2687" s="256" t="inlineStr">
        <is>
          <t>Farmahem</t>
        </is>
      </c>
      <c r="O2687" s="256" t="inlineStr">
        <is>
          <t>17.08.2026</t>
        </is>
      </c>
      <c r="P2687" s="256" t="inlineStr">
        <is>
          <t>covered</t>
        </is>
      </c>
      <c r="Q2687" s="256" t="inlineStr"/>
      <c r="R2687" s="256" t="inlineStr"/>
    </row>
    <row r="2688">
      <c r="A2688" s="256" t="inlineStr">
        <is>
          <t>CoQ-PP_26-117</t>
        </is>
      </c>
      <c r="B2688" s="256" t="inlineStr">
        <is>
          <t>reissue — retest</t>
        </is>
      </c>
      <c r="C2688" s="256" t="inlineStr">
        <is>
          <t>GP0824_03</t>
        </is>
      </c>
      <c r="D2688" s="256" t="inlineStr">
        <is>
          <t>P050072</t>
        </is>
      </c>
      <c r="E2688" s="256" t="inlineStr">
        <is>
          <t>Grape Pie</t>
        </is>
      </c>
      <c r="F2688" s="256" t="inlineStr">
        <is>
          <t>18.09.2026</t>
        </is>
      </c>
      <c r="G2688" s="256" t="inlineStr">
        <is>
          <t>11.1</t>
        </is>
      </c>
      <c r="H2688" s="256" t="inlineStr">
        <is>
          <t>Lead (Pb)</t>
        </is>
      </c>
      <c r="I2688" s="256" t="inlineStr">
        <is>
          <t>Ph. Eur. 2.4.27 (ICP-MS)</t>
        </is>
      </c>
      <c r="J2688" s="256" t="inlineStr">
        <is>
          <t>≤ 0.5 mg/kg</t>
        </is>
      </c>
      <c r="K2688" s="256" t="inlineStr">
        <is>
          <t>ND</t>
        </is>
      </c>
      <c r="L2688" s="256" t="inlineStr">
        <is>
          <t>3178/2025</t>
        </is>
      </c>
      <c r="M2688" s="256" t="inlineStr">
        <is>
          <t>26.06.2025</t>
        </is>
      </c>
      <c r="N2688" s="256" t="inlineStr">
        <is>
          <t>IPH — Institute of Public Health</t>
        </is>
      </c>
      <c r="O2688" s="256" t="inlineStr">
        <is>
          <t>23.06.2025</t>
        </is>
      </c>
      <c r="P2688" s="256" t="inlineStr">
        <is>
          <t>carried from the initial testing (CoQ-PP-2025-0010) — covered</t>
        </is>
      </c>
      <c r="Q2688" s="256" t="inlineStr"/>
      <c r="R2688" s="256" t="inlineStr"/>
    </row>
    <row r="2689">
      <c r="A2689" s="256" t="inlineStr">
        <is>
          <t>CoQ-PP_26-117</t>
        </is>
      </c>
      <c r="B2689" s="256" t="inlineStr">
        <is>
          <t>reissue — retest</t>
        </is>
      </c>
      <c r="C2689" s="256" t="inlineStr">
        <is>
          <t>GP0824_03</t>
        </is>
      </c>
      <c r="D2689" s="256" t="inlineStr">
        <is>
          <t>P050072</t>
        </is>
      </c>
      <c r="E2689" s="256" t="inlineStr">
        <is>
          <t>Grape Pie</t>
        </is>
      </c>
      <c r="F2689" s="256" t="inlineStr">
        <is>
          <t>18.09.2026</t>
        </is>
      </c>
      <c r="G2689" s="256" t="inlineStr">
        <is>
          <t>11.2</t>
        </is>
      </c>
      <c r="H2689" s="256" t="inlineStr">
        <is>
          <t>Cadmium (Cd)</t>
        </is>
      </c>
      <c r="I2689" s="256" t="inlineStr">
        <is>
          <t>Ph. Eur. 2.4.27 (ICP-MS)</t>
        </is>
      </c>
      <c r="J2689" s="256" t="inlineStr">
        <is>
          <t>≤ 0.3 mg/kg</t>
        </is>
      </c>
      <c r="K2689" s="256" t="inlineStr">
        <is>
          <t>ND</t>
        </is>
      </c>
      <c r="L2689" s="256" t="inlineStr">
        <is>
          <t>3178/2025</t>
        </is>
      </c>
      <c r="M2689" s="256" t="inlineStr">
        <is>
          <t>26.06.2025</t>
        </is>
      </c>
      <c r="N2689" s="256" t="inlineStr">
        <is>
          <t>IPH — Institute of Public Health</t>
        </is>
      </c>
      <c r="O2689" s="256" t="inlineStr">
        <is>
          <t>23.06.2025</t>
        </is>
      </c>
      <c r="P2689" s="256" t="inlineStr">
        <is>
          <t>carried from the initial testing (CoQ-PP-2025-0010) — covered</t>
        </is>
      </c>
      <c r="Q2689" s="256" t="inlineStr"/>
      <c r="R2689" s="256" t="inlineStr"/>
    </row>
    <row r="2690">
      <c r="A2690" s="256" t="inlineStr">
        <is>
          <t>CoQ-PP_26-117</t>
        </is>
      </c>
      <c r="B2690" s="256" t="inlineStr">
        <is>
          <t>reissue — retest</t>
        </is>
      </c>
      <c r="C2690" s="256" t="inlineStr">
        <is>
          <t>GP0824_03</t>
        </is>
      </c>
      <c r="D2690" s="256" t="inlineStr">
        <is>
          <t>P050072</t>
        </is>
      </c>
      <c r="E2690" s="256" t="inlineStr">
        <is>
          <t>Grape Pie</t>
        </is>
      </c>
      <c r="F2690" s="256" t="inlineStr">
        <is>
          <t>18.09.2026</t>
        </is>
      </c>
      <c r="G2690" s="256" t="inlineStr">
        <is>
          <t>11.3</t>
        </is>
      </c>
      <c r="H2690" s="256" t="inlineStr">
        <is>
          <t>Arsenic (As)</t>
        </is>
      </c>
      <c r="I2690" s="256" t="inlineStr">
        <is>
          <t>Ph. Eur. 2.4.27 (ICP-MS)</t>
        </is>
      </c>
      <c r="J2690" s="256" t="inlineStr">
        <is>
          <t>≤ 0.2 mg/kg</t>
        </is>
      </c>
      <c r="K2690" s="256" t="inlineStr">
        <is>
          <t>0.119</t>
        </is>
      </c>
      <c r="L2690" s="256" t="inlineStr">
        <is>
          <t>3178/2025</t>
        </is>
      </c>
      <c r="M2690" s="256" t="inlineStr">
        <is>
          <t>26.06.2025</t>
        </is>
      </c>
      <c r="N2690" s="256" t="inlineStr">
        <is>
          <t>IPH — Institute of Public Health</t>
        </is>
      </c>
      <c r="O2690" s="256" t="inlineStr">
        <is>
          <t>23.06.2025</t>
        </is>
      </c>
      <c r="P2690" s="256" t="inlineStr">
        <is>
          <t>carried from the initial testing (CoQ-PP-2025-0010) — covered</t>
        </is>
      </c>
      <c r="Q2690" s="256" t="inlineStr"/>
      <c r="R2690" s="256" t="inlineStr"/>
    </row>
    <row r="2691">
      <c r="A2691" s="256" t="inlineStr">
        <is>
          <t>CoQ-PP_26-117</t>
        </is>
      </c>
      <c r="B2691" s="256" t="inlineStr">
        <is>
          <t>reissue — retest</t>
        </is>
      </c>
      <c r="C2691" s="256" t="inlineStr">
        <is>
          <t>GP0824_03</t>
        </is>
      </c>
      <c r="D2691" s="256" t="inlineStr">
        <is>
          <t>P050072</t>
        </is>
      </c>
      <c r="E2691" s="256" t="inlineStr">
        <is>
          <t>Grape Pie</t>
        </is>
      </c>
      <c r="F2691" s="256" t="inlineStr">
        <is>
          <t>18.09.2026</t>
        </is>
      </c>
      <c r="G2691" s="256" t="inlineStr">
        <is>
          <t>11.4</t>
        </is>
      </c>
      <c r="H2691" s="256" t="inlineStr">
        <is>
          <t>Mercury (Hg)</t>
        </is>
      </c>
      <c r="I2691" s="256" t="inlineStr">
        <is>
          <t>Ph. Eur. 2.4.27 (ICP-MS)</t>
        </is>
      </c>
      <c r="J2691" s="256" t="inlineStr">
        <is>
          <t>≤ 0.1 mg/kg</t>
        </is>
      </c>
      <c r="K2691" s="256" t="inlineStr">
        <is>
          <t>ND</t>
        </is>
      </c>
      <c r="L2691" s="256" t="inlineStr">
        <is>
          <t>3178/2025</t>
        </is>
      </c>
      <c r="M2691" s="256" t="inlineStr">
        <is>
          <t>26.06.2025</t>
        </is>
      </c>
      <c r="N2691" s="256" t="inlineStr">
        <is>
          <t>IPH — Institute of Public Health</t>
        </is>
      </c>
      <c r="O2691" s="256" t="inlineStr">
        <is>
          <t>23.06.2025</t>
        </is>
      </c>
      <c r="P2691" s="256" t="inlineStr">
        <is>
          <t>carried from the initial testing (CoQ-PP-2025-0010) — covered</t>
        </is>
      </c>
      <c r="Q2691" s="256" t="inlineStr"/>
      <c r="R2691" s="256" t="inlineStr"/>
    </row>
    <row r="2692">
      <c r="A2692" s="256" t="inlineStr">
        <is>
          <t>CoQ-PP_26-117</t>
        </is>
      </c>
      <c r="B2692" s="256" t="inlineStr">
        <is>
          <t>reissue — retest</t>
        </is>
      </c>
      <c r="C2692" s="256" t="inlineStr">
        <is>
          <t>GP0824_03</t>
        </is>
      </c>
      <c r="D2692" s="256" t="inlineStr">
        <is>
          <t>P050072</t>
        </is>
      </c>
      <c r="E2692" s="256" t="inlineStr">
        <is>
          <t>Grape Pie</t>
        </is>
      </c>
      <c r="F2692" s="256" t="inlineStr">
        <is>
          <t>18.09.2026</t>
        </is>
      </c>
      <c r="G2692" s="256" t="inlineStr">
        <is>
          <t>12</t>
        </is>
      </c>
      <c r="H2692" s="256" t="inlineStr">
        <is>
          <t>Pesticide Residues</t>
        </is>
      </c>
      <c r="I2692" s="256" t="inlineStr">
        <is>
          <t>Ph. Eur. 2.8.13 (LC-MS/MS) · CUMCS Equivalency</t>
        </is>
      </c>
      <c r="J2692" s="256" t="inlineStr">
        <is>
          <t>≤ LOQ as per Ph. Eur. 2.8.13 · ≤ LOQ as per CUMCS Equivalency</t>
        </is>
      </c>
      <c r="K2692" s="256" t="inlineStr">
        <is>
          <t>ND</t>
        </is>
      </c>
      <c r="L2692" s="256" t="inlineStr">
        <is>
          <t>3178/2025</t>
        </is>
      </c>
      <c r="M2692" s="256" t="inlineStr">
        <is>
          <t>26.06.2025</t>
        </is>
      </c>
      <c r="N2692" s="256" t="inlineStr">
        <is>
          <t>IPH — Institute of Public Health</t>
        </is>
      </c>
      <c r="O2692" s="256" t="inlineStr">
        <is>
          <t>23.06.2025</t>
        </is>
      </c>
      <c r="P2692" s="256" t="inlineStr">
        <is>
          <t>carried from the initial testing (CoQ-PP-2025-0010) — covered</t>
        </is>
      </c>
      <c r="Q2692" s="256" t="inlineStr"/>
      <c r="R2692" s="256" t="inlineStr"/>
    </row>
    <row r="2693">
      <c r="A2693" s="256" t="inlineStr">
        <is>
          <t>CoQ-PP_26-118</t>
        </is>
      </c>
      <c r="B2693" s="256" t="inlineStr">
        <is>
          <t>reissue — retest</t>
        </is>
      </c>
      <c r="C2693" s="256" t="inlineStr">
        <is>
          <t>GP082501/1</t>
        </is>
      </c>
      <c r="D2693" s="256" t="inlineStr">
        <is>
          <t>P050312</t>
        </is>
      </c>
      <c r="E2693" s="256" t="inlineStr">
        <is>
          <t>Grape Pie</t>
        </is>
      </c>
      <c r="F2693" s="256" t="inlineStr">
        <is>
          <t>18.09.2026</t>
        </is>
      </c>
      <c r="G2693" s="256" t="inlineStr">
        <is>
          <t>1</t>
        </is>
      </c>
      <c r="H2693" s="256" t="inlineStr">
        <is>
          <t>Identification A, Appearance · Macroscopic</t>
        </is>
      </c>
      <c r="I2693" s="256" t="inlineStr">
        <is>
          <t>Ph. Eur. mon. 3028</t>
        </is>
      </c>
      <c r="J2693" s="256" t="inlineStr">
        <is>
          <t>Conforms to the monograph for Cannabis flos (07/2024:3028) in Ph. Eur. 11.0 | Согласно монографија за Cannabis flos (07/2024:3028) во Ph. Eur. 11.0</t>
        </is>
      </c>
      <c r="K2693" s="256" t="inlineStr">
        <is>
          <t>Conforms | Одговара</t>
        </is>
      </c>
      <c r="L2693" s="256" t="inlineStr">
        <is>
          <t>iCoA-PP_26-134</t>
        </is>
      </c>
      <c r="M2693" s="256" t="inlineStr">
        <is>
          <t>17.08.2026</t>
        </is>
      </c>
      <c r="N2693" s="256" t="inlineStr">
        <is>
          <t>Purely Plant GmbH (in-house)</t>
        </is>
      </c>
      <c r="O2693" s="256" t="inlineStr">
        <is>
          <t>—</t>
        </is>
      </c>
      <c r="P2693" s="256" t="inlineStr">
        <is>
          <t>covered</t>
        </is>
      </c>
      <c r="Q2693" s="256" t="inlineStr">
        <is>
          <t>Farmahem — Ident A + B + C with the Assay, at retest</t>
        </is>
      </c>
      <c r="R2693" s="256" t="inlineStr"/>
    </row>
    <row r="2694">
      <c r="A2694" s="256" t="inlineStr">
        <is>
          <t>CoQ-PP_26-118</t>
        </is>
      </c>
      <c r="B2694" s="256" t="inlineStr">
        <is>
          <t>reissue — retest</t>
        </is>
      </c>
      <c r="C2694" s="256" t="inlineStr">
        <is>
          <t>GP082501/1</t>
        </is>
      </c>
      <c r="D2694" s="256" t="inlineStr">
        <is>
          <t>P050312</t>
        </is>
      </c>
      <c r="E2694" s="256" t="inlineStr">
        <is>
          <t>Grape Pie</t>
        </is>
      </c>
      <c r="F2694" s="256" t="inlineStr">
        <is>
          <t>18.09.2026</t>
        </is>
      </c>
      <c r="G2694" s="256" t="inlineStr">
        <is>
          <t>2</t>
        </is>
      </c>
      <c r="H2694" s="256" t="inlineStr">
        <is>
          <t>Identification B · Microscopic</t>
        </is>
      </c>
      <c r="I2694" s="256" t="inlineStr">
        <is>
          <t>Ph. Eur. 2.8.23 (microscopy)</t>
        </is>
      </c>
      <c r="J2694" s="256" t="inlineStr">
        <is>
          <t>Conforms to the monograph for Cannabis flos (07/2024:3028) in Ph. Eur. 11.0 | Согласно монографија за Cannabis flos (07/2024:3028) во Ph. Eur. 11.0</t>
        </is>
      </c>
      <c r="K2694" s="256" t="inlineStr">
        <is>
          <t>Conforms | Одговара</t>
        </is>
      </c>
      <c r="L2694" s="256" t="inlineStr">
        <is>
          <t>iCoA-PP_26-134</t>
        </is>
      </c>
      <c r="M2694" s="256" t="inlineStr">
        <is>
          <t>17.08.2026</t>
        </is>
      </c>
      <c r="N2694" s="256" t="inlineStr">
        <is>
          <t>Purely Plant GmbH (in-house)</t>
        </is>
      </c>
      <c r="O2694" s="256" t="inlineStr">
        <is>
          <t>—</t>
        </is>
      </c>
      <c r="P2694" s="256" t="inlineStr">
        <is>
          <t>covered</t>
        </is>
      </c>
      <c r="Q2694" s="256" t="inlineStr">
        <is>
          <t>Farmahem — Ident A + B + C with the Assay, at retest</t>
        </is>
      </c>
      <c r="R2694" s="256" t="inlineStr"/>
    </row>
    <row r="2695">
      <c r="A2695" s="256" t="inlineStr">
        <is>
          <t>CoQ-PP_26-118</t>
        </is>
      </c>
      <c r="B2695" s="256" t="inlineStr">
        <is>
          <t>reissue — retest</t>
        </is>
      </c>
      <c r="C2695" s="256" t="inlineStr">
        <is>
          <t>GP082501/1</t>
        </is>
      </c>
      <c r="D2695" s="256" t="inlineStr">
        <is>
          <t>P050312</t>
        </is>
      </c>
      <c r="E2695" s="256" t="inlineStr">
        <is>
          <t>Grape Pie</t>
        </is>
      </c>
      <c r="F2695" s="256" t="inlineStr">
        <is>
          <t>18.09.2026</t>
        </is>
      </c>
      <c r="G2695" s="256" t="inlineStr">
        <is>
          <t>3</t>
        </is>
      </c>
      <c r="H2695" s="256" t="inlineStr">
        <is>
          <t>Identification C · HPLC/HPTLC</t>
        </is>
      </c>
      <c r="I2695" s="256" t="inlineStr">
        <is>
          <t>Ph. Eur. 2.2.29 (3028)</t>
        </is>
      </c>
      <c r="J2695" s="256" t="inlineStr">
        <is>
          <t>Conforms to the monograph for Cannabis flos (07/2024:3028) in Ph. Eur. 11.0 | Согласно монографија за Cannabis flos (07/2024:3028) во Ph. Eur. 11.0</t>
        </is>
      </c>
      <c r="K2695" s="256" t="inlineStr">
        <is>
          <t>Conforms | Одговара</t>
        </is>
      </c>
      <c r="L2695" s="256" t="inlineStr">
        <is>
          <t>220-12-К/26</t>
        </is>
      </c>
      <c r="M2695" s="256" t="inlineStr">
        <is>
          <t>25.08.2026</t>
        </is>
      </c>
      <c r="N2695" s="256" t="inlineStr">
        <is>
          <t>Farmahem</t>
        </is>
      </c>
      <c r="O2695" s="256" t="inlineStr">
        <is>
          <t>17.08.2026</t>
        </is>
      </c>
      <c r="P2695" s="256" t="inlineStr">
        <is>
          <t>covered</t>
        </is>
      </c>
      <c r="Q2695" s="256" t="inlineStr"/>
      <c r="R2695" s="256" t="inlineStr"/>
    </row>
    <row r="2696">
      <c r="A2696" s="256" t="inlineStr">
        <is>
          <t>CoQ-PP_26-118</t>
        </is>
      </c>
      <c r="B2696" s="256" t="inlineStr">
        <is>
          <t>reissue — retest</t>
        </is>
      </c>
      <c r="C2696" s="256" t="inlineStr">
        <is>
          <t>GP082501/1</t>
        </is>
      </c>
      <c r="D2696" s="256" t="inlineStr">
        <is>
          <t>P050312</t>
        </is>
      </c>
      <c r="E2696" s="256" t="inlineStr">
        <is>
          <t>Grape Pie</t>
        </is>
      </c>
      <c r="F2696" s="256" t="inlineStr">
        <is>
          <t>18.09.2026</t>
        </is>
      </c>
      <c r="G2696" s="256" t="inlineStr">
        <is>
          <t>4</t>
        </is>
      </c>
      <c r="H2696" s="256" t="inlineStr">
        <is>
          <t>Assay — Total Δ⁹-THC</t>
        </is>
      </c>
      <c r="I2696" s="256" t="inlineStr">
        <is>
          <t>Ph. Eur. 2.2.29 (HPLC)</t>
        </is>
      </c>
      <c r="J2696" s="256" t="inlineStr">
        <is>
          <t>22.00 – 25.99 %  (grade II, nominal 24.00 ± 2.00)</t>
        </is>
      </c>
      <c r="K2696" s="256" t="inlineStr">
        <is>
          <t>25.13</t>
        </is>
      </c>
      <c r="L2696" s="256" t="inlineStr">
        <is>
          <t>220-12-К/26</t>
        </is>
      </c>
      <c r="M2696" s="256" t="inlineStr">
        <is>
          <t>25.08.2026</t>
        </is>
      </c>
      <c r="N2696" s="256" t="inlineStr">
        <is>
          <t>Farmahem</t>
        </is>
      </c>
      <c r="O2696" s="256" t="inlineStr">
        <is>
          <t>17.08.2026</t>
        </is>
      </c>
      <c r="P2696" s="256" t="inlineStr">
        <is>
          <t>covered</t>
        </is>
      </c>
      <c r="Q2696" s="256" t="inlineStr"/>
      <c r="R2696" s="256" t="inlineStr"/>
    </row>
    <row r="2697">
      <c r="A2697" s="256" t="inlineStr">
        <is>
          <t>CoQ-PP_26-118</t>
        </is>
      </c>
      <c r="B2697" s="256" t="inlineStr">
        <is>
          <t>reissue — retest</t>
        </is>
      </c>
      <c r="C2697" s="256" t="inlineStr">
        <is>
          <t>GP082501/1</t>
        </is>
      </c>
      <c r="D2697" s="256" t="inlineStr">
        <is>
          <t>P050312</t>
        </is>
      </c>
      <c r="E2697" s="256" t="inlineStr">
        <is>
          <t>Grape Pie</t>
        </is>
      </c>
      <c r="F2697" s="256" t="inlineStr">
        <is>
          <t>18.09.2026</t>
        </is>
      </c>
      <c r="G2697" s="256" t="inlineStr">
        <is>
          <t>5</t>
        </is>
      </c>
      <c r="H2697" s="256" t="inlineStr">
        <is>
          <t>Assay — Total CBD</t>
        </is>
      </c>
      <c r="I2697" s="256" t="inlineStr">
        <is>
          <t>Ph. Eur. 2.2.29 (HPLC) · CBD + CBDA x 0.877</t>
        </is>
      </c>
      <c r="J2697" s="256" t="inlineStr">
        <is>
          <t>≤ 1.0%, w/w</t>
        </is>
      </c>
      <c r="K2697" s="256" t="inlineStr">
        <is>
          <t>&lt; LOQ</t>
        </is>
      </c>
      <c r="L2697" s="256" t="inlineStr">
        <is>
          <t>220-12-К/26</t>
        </is>
      </c>
      <c r="M2697" s="256" t="inlineStr">
        <is>
          <t>25.08.2026</t>
        </is>
      </c>
      <c r="N2697" s="256" t="inlineStr">
        <is>
          <t>Farmahem</t>
        </is>
      </c>
      <c r="O2697" s="256" t="inlineStr">
        <is>
          <t>17.08.2026</t>
        </is>
      </c>
      <c r="P2697" s="256" t="inlineStr">
        <is>
          <t>covered — laboratory finding recorded</t>
        </is>
      </c>
      <c r="Q2697" s="256" t="inlineStr"/>
      <c r="R2697" s="256" t="inlineStr"/>
    </row>
    <row r="2698">
      <c r="A2698" s="256" t="inlineStr">
        <is>
          <t>CoQ-PP_26-118</t>
        </is>
      </c>
      <c r="B2698" s="256" t="inlineStr">
        <is>
          <t>reissue — retest</t>
        </is>
      </c>
      <c r="C2698" s="256" t="inlineStr">
        <is>
          <t>GP082501/1</t>
        </is>
      </c>
      <c r="D2698" s="256" t="inlineStr">
        <is>
          <t>P050312</t>
        </is>
      </c>
      <c r="E2698" s="256" t="inlineStr">
        <is>
          <t>Grape Pie</t>
        </is>
      </c>
      <c r="F2698" s="256" t="inlineStr">
        <is>
          <t>18.09.2026</t>
        </is>
      </c>
      <c r="G2698" s="256" t="inlineStr">
        <is>
          <t>6</t>
        </is>
      </c>
      <c r="H2698" s="256" t="inlineStr">
        <is>
          <t>Total CBN</t>
        </is>
      </c>
      <c r="I2698" s="256" t="inlineStr">
        <is>
          <t>Ph. Eur. 2.2.29 (HPLC) · CBN + CBNA x 0.876</t>
        </is>
      </c>
      <c r="J2698" s="256" t="inlineStr">
        <is>
          <t>≤ 1.0%, w/w</t>
        </is>
      </c>
      <c r="K2698" s="256" t="inlineStr">
        <is>
          <t>&lt; LOQ</t>
        </is>
      </c>
      <c r="L2698" s="256" t="inlineStr">
        <is>
          <t>220-12-К/26</t>
        </is>
      </c>
      <c r="M2698" s="256" t="inlineStr">
        <is>
          <t>25.08.2026</t>
        </is>
      </c>
      <c r="N2698" s="256" t="inlineStr">
        <is>
          <t>Farmahem</t>
        </is>
      </c>
      <c r="O2698" s="256" t="inlineStr">
        <is>
          <t>17.08.2026</t>
        </is>
      </c>
      <c r="P2698" s="256" t="inlineStr">
        <is>
          <t>covered — laboratory finding recorded</t>
        </is>
      </c>
      <c r="Q2698" s="256" t="inlineStr"/>
      <c r="R2698" s="256" t="inlineStr"/>
    </row>
    <row r="2699">
      <c r="A2699" s="256" t="inlineStr">
        <is>
          <t>CoQ-PP_26-118</t>
        </is>
      </c>
      <c r="B2699" s="256" t="inlineStr">
        <is>
          <t>reissue — retest</t>
        </is>
      </c>
      <c r="C2699" s="256" t="inlineStr">
        <is>
          <t>GP082501/1</t>
        </is>
      </c>
      <c r="D2699" s="256" t="inlineStr">
        <is>
          <t>P050312</t>
        </is>
      </c>
      <c r="E2699" s="256" t="inlineStr">
        <is>
          <t>Grape Pie</t>
        </is>
      </c>
      <c r="F2699" s="256" t="inlineStr">
        <is>
          <t>18.09.2026</t>
        </is>
      </c>
      <c r="G2699" s="256" t="inlineStr">
        <is>
          <t>7</t>
        </is>
      </c>
      <c r="H2699" s="256" t="inlineStr">
        <is>
          <t>Foreign Matter</t>
        </is>
      </c>
      <c r="I2699" s="256" t="inlineStr">
        <is>
          <t>Ph. Eur. 2.8.2 · In-house · интерна</t>
        </is>
      </c>
      <c r="J2699" s="256" t="inlineStr">
        <is>
          <t>≤ 2.0% / 25–50 g · &lt; 1 cm leaves | листови, no seeds | без семки</t>
        </is>
      </c>
      <c r="K2699" s="256" t="inlineStr">
        <is>
          <t>Conforms | Одговара</t>
        </is>
      </c>
      <c r="L2699" s="256" t="inlineStr">
        <is>
          <t>iCoA-PP_26-134</t>
        </is>
      </c>
      <c r="M2699" s="256" t="inlineStr">
        <is>
          <t>17.08.2026</t>
        </is>
      </c>
      <c r="N2699" s="256" t="inlineStr">
        <is>
          <t>Purely Plant GmbH (in-house)</t>
        </is>
      </c>
      <c r="O2699" s="256" t="inlineStr">
        <is>
          <t>—</t>
        </is>
      </c>
      <c r="P2699" s="256" t="inlineStr">
        <is>
          <t>covered</t>
        </is>
      </c>
      <c r="Q2699" s="256" t="inlineStr">
        <is>
          <t>Purely Plant laboratory — iCoA covering Foreign matter</t>
        </is>
      </c>
      <c r="R2699" s="256" t="inlineStr"/>
    </row>
    <row r="2700">
      <c r="A2700" s="256" t="inlineStr">
        <is>
          <t>CoQ-PP_26-118</t>
        </is>
      </c>
      <c r="B2700" s="256" t="inlineStr">
        <is>
          <t>reissue — retest</t>
        </is>
      </c>
      <c r="C2700" s="256" t="inlineStr">
        <is>
          <t>GP082501/1</t>
        </is>
      </c>
      <c r="D2700" s="256" t="inlineStr">
        <is>
          <t>P050312</t>
        </is>
      </c>
      <c r="E2700" s="256" t="inlineStr">
        <is>
          <t>Grape Pie</t>
        </is>
      </c>
      <c r="F2700" s="256" t="inlineStr">
        <is>
          <t>18.09.2026</t>
        </is>
      </c>
      <c r="G2700" s="256" t="inlineStr">
        <is>
          <t>8</t>
        </is>
      </c>
      <c r="H2700" s="256" t="inlineStr">
        <is>
          <t>Loss on Drying</t>
        </is>
      </c>
      <c r="I2700" s="256" t="inlineStr">
        <is>
          <t>Ph. Eur. 2.2.32 (3028) · at 40 °C, 24 h, 15–25 mbar</t>
        </is>
      </c>
      <c r="J2700" s="256" t="inlineStr">
        <is>
          <t>≤ 12.0%</t>
        </is>
      </c>
      <c r="K2700" s="256" t="inlineStr">
        <is>
          <t>6.29</t>
        </is>
      </c>
      <c r="L2700" s="256" t="inlineStr">
        <is>
          <t>ППК25380</t>
        </is>
      </c>
      <c r="M2700" s="256" t="inlineStr">
        <is>
          <t>12.12.2025</t>
        </is>
      </c>
      <c r="N2700" s="256" t="inlineStr">
        <is>
          <t>CNP</t>
        </is>
      </c>
      <c r="O2700" s="256" t="inlineStr">
        <is>
          <t>01.12.2025</t>
        </is>
      </c>
      <c r="P2700" s="256" t="inlineStr">
        <is>
          <t>carried from the initial testing (CoQ-PP-2025-0021) — covered</t>
        </is>
      </c>
      <c r="Q2700" s="256" t="inlineStr"/>
      <c r="R2700" s="256" t="inlineStr"/>
    </row>
    <row r="2701">
      <c r="A2701" s="256" t="inlineStr">
        <is>
          <t>CoQ-PP_26-118</t>
        </is>
      </c>
      <c r="B2701" s="256" t="inlineStr">
        <is>
          <t>reissue — retest</t>
        </is>
      </c>
      <c r="C2701" s="256" t="inlineStr">
        <is>
          <t>GP082501/1</t>
        </is>
      </c>
      <c r="D2701" s="256" t="inlineStr">
        <is>
          <t>P050312</t>
        </is>
      </c>
      <c r="E2701" s="256" t="inlineStr">
        <is>
          <t>Grape Pie</t>
        </is>
      </c>
      <c r="F2701" s="256" t="inlineStr">
        <is>
          <t>18.09.2026</t>
        </is>
      </c>
      <c r="G2701" s="256" t="inlineStr">
        <is>
          <t>9.1</t>
        </is>
      </c>
      <c r="H2701" s="256" t="inlineStr">
        <is>
          <t>TAMC</t>
        </is>
      </c>
      <c r="I2701" s="256" t="inlineStr">
        <is>
          <t>Ph. Eur. 2.6.12 cat. C</t>
        </is>
      </c>
      <c r="J2701" s="256" t="inlineStr">
        <is>
          <t>≤ 10⁵ CFU/g</t>
        </is>
      </c>
      <c r="K2701" s="256" t="inlineStr">
        <is>
          <t>4.3 × 10²</t>
        </is>
      </c>
      <c r="L2701" s="256" t="inlineStr">
        <is>
          <t>1226/2192/25</t>
        </is>
      </c>
      <c r="M2701" s="256" t="inlineStr">
        <is>
          <t>05.12.2025</t>
        </is>
      </c>
      <c r="N2701" s="256" t="inlineStr">
        <is>
          <t>IPH — Institute of Public Health</t>
        </is>
      </c>
      <c r="O2701" s="256" t="inlineStr">
        <is>
          <t>01.12.2025</t>
        </is>
      </c>
      <c r="P2701" s="256" t="inlineStr">
        <is>
          <t>carried from the initial testing (CoQ-PP-2025-0021) — covered</t>
        </is>
      </c>
      <c r="Q2701" s="256" t="inlineStr"/>
      <c r="R2701" s="256" t="inlineStr"/>
    </row>
    <row r="2702">
      <c r="A2702" s="256" t="inlineStr">
        <is>
          <t>CoQ-PP_26-118</t>
        </is>
      </c>
      <c r="B2702" s="256" t="inlineStr">
        <is>
          <t>reissue — retest</t>
        </is>
      </c>
      <c r="C2702" s="256" t="inlineStr">
        <is>
          <t>GP082501/1</t>
        </is>
      </c>
      <c r="D2702" s="256" t="inlineStr">
        <is>
          <t>P050312</t>
        </is>
      </c>
      <c r="E2702" s="256" t="inlineStr">
        <is>
          <t>Grape Pie</t>
        </is>
      </c>
      <c r="F2702" s="256" t="inlineStr">
        <is>
          <t>18.09.2026</t>
        </is>
      </c>
      <c r="G2702" s="256" t="inlineStr">
        <is>
          <t>9.2</t>
        </is>
      </c>
      <c r="H2702" s="256" t="inlineStr">
        <is>
          <t>TYMC</t>
        </is>
      </c>
      <c r="I2702" s="256" t="inlineStr">
        <is>
          <t>Ph. Eur. 2.6.12 cat. C</t>
        </is>
      </c>
      <c r="J2702" s="256" t="inlineStr">
        <is>
          <t>≤ 10⁴ CFU/g</t>
        </is>
      </c>
      <c r="K2702" s="256" t="inlineStr">
        <is>
          <t>1 × 10³</t>
        </is>
      </c>
      <c r="L2702" s="256" t="inlineStr">
        <is>
          <t>1226/2192/25</t>
        </is>
      </c>
      <c r="M2702" s="256" t="inlineStr">
        <is>
          <t>05.12.2025</t>
        </is>
      </c>
      <c r="N2702" s="256" t="inlineStr">
        <is>
          <t>IPH — Institute of Public Health</t>
        </is>
      </c>
      <c r="O2702" s="256" t="inlineStr">
        <is>
          <t>01.12.2025</t>
        </is>
      </c>
      <c r="P2702" s="256" t="inlineStr">
        <is>
          <t>carried from the initial testing (CoQ-PP-2025-0021) — covered</t>
        </is>
      </c>
      <c r="Q2702" s="256" t="inlineStr"/>
      <c r="R2702" s="256" t="inlineStr"/>
    </row>
    <row r="2703">
      <c r="A2703" s="256" t="inlineStr">
        <is>
          <t>CoQ-PP_26-118</t>
        </is>
      </c>
      <c r="B2703" s="256" t="inlineStr">
        <is>
          <t>reissue — retest</t>
        </is>
      </c>
      <c r="C2703" s="256" t="inlineStr">
        <is>
          <t>GP082501/1</t>
        </is>
      </c>
      <c r="D2703" s="256" t="inlineStr">
        <is>
          <t>P050312</t>
        </is>
      </c>
      <c r="E2703" s="256" t="inlineStr">
        <is>
          <t>Grape Pie</t>
        </is>
      </c>
      <c r="F2703" s="256" t="inlineStr">
        <is>
          <t>18.09.2026</t>
        </is>
      </c>
      <c r="G2703" s="256" t="inlineStr">
        <is>
          <t>9.3</t>
        </is>
      </c>
      <c r="H2703" s="256" t="inlineStr">
        <is>
          <t>Bile-tolerant gram-neg.</t>
        </is>
      </c>
      <c r="I2703" s="256" t="inlineStr">
        <is>
          <t>Ph. Eur. 2.6.31 cat. C</t>
        </is>
      </c>
      <c r="J2703" s="256" t="inlineStr">
        <is>
          <t>≤ 10⁴ CFU/g</t>
        </is>
      </c>
      <c r="K2703" s="256" t="inlineStr">
        <is>
          <t>&lt; 10³ and &gt; 10²</t>
        </is>
      </c>
      <c r="L2703" s="256" t="inlineStr">
        <is>
          <t>1226/2192/25</t>
        </is>
      </c>
      <c r="M2703" s="256" t="inlineStr">
        <is>
          <t>05.12.2025</t>
        </is>
      </c>
      <c r="N2703" s="256" t="inlineStr">
        <is>
          <t>IPH — Institute of Public Health</t>
        </is>
      </c>
      <c r="O2703" s="256" t="inlineStr">
        <is>
          <t>01.12.2025</t>
        </is>
      </c>
      <c r="P2703" s="256" t="inlineStr">
        <is>
          <t>carried from the initial testing (CoQ-PP-2025-0021) — covered</t>
        </is>
      </c>
      <c r="Q2703" s="256" t="inlineStr"/>
      <c r="R2703" s="256" t="inlineStr"/>
    </row>
    <row r="2704">
      <c r="A2704" s="256" t="inlineStr">
        <is>
          <t>CoQ-PP_26-118</t>
        </is>
      </c>
      <c r="B2704" s="256" t="inlineStr">
        <is>
          <t>reissue — retest</t>
        </is>
      </c>
      <c r="C2704" s="256" t="inlineStr">
        <is>
          <t>GP082501/1</t>
        </is>
      </c>
      <c r="D2704" s="256" t="inlineStr">
        <is>
          <t>P050312</t>
        </is>
      </c>
      <c r="E2704" s="256" t="inlineStr">
        <is>
          <t>Grape Pie</t>
        </is>
      </c>
      <c r="F2704" s="256" t="inlineStr">
        <is>
          <t>18.09.2026</t>
        </is>
      </c>
      <c r="G2704" s="256" t="inlineStr">
        <is>
          <t>9.4</t>
        </is>
      </c>
      <c r="H2704" s="256" t="inlineStr">
        <is>
          <t>Salmonella</t>
        </is>
      </c>
      <c r="I2704" s="256" t="inlineStr">
        <is>
          <t>Ph. Eur. 2.6.31 cat. C</t>
        </is>
      </c>
      <c r="J2704" s="256" t="inlineStr">
        <is>
          <t>Absence | Отсуство / 25 g</t>
        </is>
      </c>
      <c r="K2704" s="256" t="inlineStr">
        <is>
          <t>Absent | Отсутна</t>
        </is>
      </c>
      <c r="L2704" s="256" t="inlineStr">
        <is>
          <t>1226/2192/25</t>
        </is>
      </c>
      <c r="M2704" s="256" t="inlineStr">
        <is>
          <t>05.12.2025</t>
        </is>
      </c>
      <c r="N2704" s="256" t="inlineStr">
        <is>
          <t>IPH — Institute of Public Health</t>
        </is>
      </c>
      <c r="O2704" s="256" t="inlineStr">
        <is>
          <t>01.12.2025</t>
        </is>
      </c>
      <c r="P2704" s="256" t="inlineStr">
        <is>
          <t>carried from the initial testing (CoQ-PP-2025-0021) — covered</t>
        </is>
      </c>
      <c r="Q2704" s="256" t="inlineStr"/>
      <c r="R2704" s="256" t="inlineStr"/>
    </row>
    <row r="2705">
      <c r="A2705" s="256" t="inlineStr">
        <is>
          <t>CoQ-PP_26-118</t>
        </is>
      </c>
      <c r="B2705" s="256" t="inlineStr">
        <is>
          <t>reissue — retest</t>
        </is>
      </c>
      <c r="C2705" s="256" t="inlineStr">
        <is>
          <t>GP082501/1</t>
        </is>
      </c>
      <c r="D2705" s="256" t="inlineStr">
        <is>
          <t>P050312</t>
        </is>
      </c>
      <c r="E2705" s="256" t="inlineStr">
        <is>
          <t>Grape Pie</t>
        </is>
      </c>
      <c r="F2705" s="256" t="inlineStr">
        <is>
          <t>18.09.2026</t>
        </is>
      </c>
      <c r="G2705" s="256" t="inlineStr">
        <is>
          <t>9.5</t>
        </is>
      </c>
      <c r="H2705" s="256" t="inlineStr">
        <is>
          <t>Escherichia coli</t>
        </is>
      </c>
      <c r="I2705" s="256" t="inlineStr">
        <is>
          <t>Ph. Eur. 2.6.13 cat. C</t>
        </is>
      </c>
      <c r="J2705" s="256" t="inlineStr">
        <is>
          <t>Absence | Отсуство / 1 g</t>
        </is>
      </c>
      <c r="K2705" s="256" t="inlineStr">
        <is>
          <t>Absent | Отсутна</t>
        </is>
      </c>
      <c r="L2705" s="256" t="inlineStr">
        <is>
          <t>1226/2192/25</t>
        </is>
      </c>
      <c r="M2705" s="256" t="inlineStr">
        <is>
          <t>05.12.2025</t>
        </is>
      </c>
      <c r="N2705" s="256" t="inlineStr">
        <is>
          <t>IPH — Institute of Public Health</t>
        </is>
      </c>
      <c r="O2705" s="256" t="inlineStr">
        <is>
          <t>01.12.2025</t>
        </is>
      </c>
      <c r="P2705" s="256" t="inlineStr">
        <is>
          <t>carried from the initial testing (CoQ-PP-2025-0021) — covered</t>
        </is>
      </c>
      <c r="Q2705" s="256" t="inlineStr"/>
      <c r="R2705" s="256" t="inlineStr"/>
    </row>
    <row r="2706">
      <c r="A2706" s="256" t="inlineStr">
        <is>
          <t>CoQ-PP_26-118</t>
        </is>
      </c>
      <c r="B2706" s="256" t="inlineStr">
        <is>
          <t>reissue — retest</t>
        </is>
      </c>
      <c r="C2706" s="256" t="inlineStr">
        <is>
          <t>GP082501/1</t>
        </is>
      </c>
      <c r="D2706" s="256" t="inlineStr">
        <is>
          <t>P050312</t>
        </is>
      </c>
      <c r="E2706" s="256" t="inlineStr">
        <is>
          <t>Grape Pie</t>
        </is>
      </c>
      <c r="F2706" s="256" t="inlineStr">
        <is>
          <t>18.09.2026</t>
        </is>
      </c>
      <c r="G2706" s="256" t="inlineStr">
        <is>
          <t>9.6</t>
        </is>
      </c>
      <c r="H2706" s="256" t="inlineStr">
        <is>
          <t>Pseudomonas aeruginosa</t>
        </is>
      </c>
      <c r="I2706" s="256" t="inlineStr">
        <is>
          <t>Ph. Eur. 2.6.13 cat. C</t>
        </is>
      </c>
      <c r="J2706" s="256" t="inlineStr">
        <is>
          <t>Absence | Отсуство / 1 g</t>
        </is>
      </c>
      <c r="K2706" s="260" t="inlineStr">
        <is>
          <t>upon request — not required for release</t>
        </is>
      </c>
      <c r="L2706" s="256" t="inlineStr">
        <is>
          <t>—</t>
        </is>
      </c>
      <c r="M2706" s="256" t="inlineStr">
        <is>
          <t>—</t>
        </is>
      </c>
      <c r="N2706" s="256" t="inlineStr">
        <is>
          <t>—</t>
        </is>
      </c>
      <c r="O2706" s="256" t="inlineStr">
        <is>
          <t>—</t>
        </is>
      </c>
      <c r="P2706" s="256" t="inlineStr">
        <is>
          <t>upon request — not required for release</t>
        </is>
      </c>
      <c r="Q2706" s="256" t="inlineStr"/>
      <c r="R2706" s="256" t="inlineStr"/>
    </row>
    <row r="2707">
      <c r="A2707" s="256" t="inlineStr">
        <is>
          <t>CoQ-PP_26-118</t>
        </is>
      </c>
      <c r="B2707" s="256" t="inlineStr">
        <is>
          <t>reissue — retest</t>
        </is>
      </c>
      <c r="C2707" s="256" t="inlineStr">
        <is>
          <t>GP082501/1</t>
        </is>
      </c>
      <c r="D2707" s="256" t="inlineStr">
        <is>
          <t>P050312</t>
        </is>
      </c>
      <c r="E2707" s="256" t="inlineStr">
        <is>
          <t>Grape Pie</t>
        </is>
      </c>
      <c r="F2707" s="256" t="inlineStr">
        <is>
          <t>18.09.2026</t>
        </is>
      </c>
      <c r="G2707" s="256" t="inlineStr">
        <is>
          <t>9.7</t>
        </is>
      </c>
      <c r="H2707" s="256" t="inlineStr">
        <is>
          <t>Staphylococcus aureus</t>
        </is>
      </c>
      <c r="I2707" s="256" t="inlineStr">
        <is>
          <t>Ph. Eur. 2.6.13 cat. C</t>
        </is>
      </c>
      <c r="J2707" s="256" t="inlineStr">
        <is>
          <t>Absence | Отсуство / 1 g</t>
        </is>
      </c>
      <c r="K2707" s="260" t="inlineStr">
        <is>
          <t>upon request — not required for release</t>
        </is>
      </c>
      <c r="L2707" s="256" t="inlineStr">
        <is>
          <t>—</t>
        </is>
      </c>
      <c r="M2707" s="256" t="inlineStr">
        <is>
          <t>—</t>
        </is>
      </c>
      <c r="N2707" s="256" t="inlineStr">
        <is>
          <t>—</t>
        </is>
      </c>
      <c r="O2707" s="256" t="inlineStr">
        <is>
          <t>—</t>
        </is>
      </c>
      <c r="P2707" s="256" t="inlineStr">
        <is>
          <t>upon request — not required for release</t>
        </is>
      </c>
      <c r="Q2707" s="256" t="inlineStr"/>
      <c r="R2707" s="256" t="inlineStr"/>
    </row>
    <row r="2708">
      <c r="A2708" s="256" t="inlineStr">
        <is>
          <t>CoQ-PP_26-118</t>
        </is>
      </c>
      <c r="B2708" s="256" t="inlineStr">
        <is>
          <t>reissue — retest</t>
        </is>
      </c>
      <c r="C2708" s="256" t="inlineStr">
        <is>
          <t>GP082501/1</t>
        </is>
      </c>
      <c r="D2708" s="256" t="inlineStr">
        <is>
          <t>P050312</t>
        </is>
      </c>
      <c r="E2708" s="256" t="inlineStr">
        <is>
          <t>Grape Pie</t>
        </is>
      </c>
      <c r="F2708" s="256" t="inlineStr">
        <is>
          <t>18.09.2026</t>
        </is>
      </c>
      <c r="G2708" s="256" t="inlineStr">
        <is>
          <t>10.1</t>
        </is>
      </c>
      <c r="H2708" s="256" t="inlineStr">
        <is>
          <t>Aflatoxin B₁</t>
        </is>
      </c>
      <c r="I2708" s="256" t="inlineStr">
        <is>
          <t>Ph. Eur. 2.8.18 (HPLC-FLD)</t>
        </is>
      </c>
      <c r="J2708" s="256" t="inlineStr">
        <is>
          <t>≤ 2 µg/kg</t>
        </is>
      </c>
      <c r="K2708" s="256" t="inlineStr">
        <is>
          <t>ND</t>
        </is>
      </c>
      <c r="L2708" s="256" t="inlineStr">
        <is>
          <t>220-12-М/26</t>
        </is>
      </c>
      <c r="M2708" s="256" t="inlineStr">
        <is>
          <t>11.09.2026</t>
        </is>
      </c>
      <c r="N2708" s="256" t="inlineStr">
        <is>
          <t>Farmahem</t>
        </is>
      </c>
      <c r="O2708" s="256" t="inlineStr">
        <is>
          <t>17.08.2026</t>
        </is>
      </c>
      <c r="P2708" s="256" t="inlineStr">
        <is>
          <t>covered</t>
        </is>
      </c>
      <c r="Q2708" s="256" t="inlineStr"/>
      <c r="R2708" s="256" t="inlineStr"/>
    </row>
    <row r="2709">
      <c r="A2709" s="256" t="inlineStr">
        <is>
          <t>CoQ-PP_26-118</t>
        </is>
      </c>
      <c r="B2709" s="256" t="inlineStr">
        <is>
          <t>reissue — retest</t>
        </is>
      </c>
      <c r="C2709" s="256" t="inlineStr">
        <is>
          <t>GP082501/1</t>
        </is>
      </c>
      <c r="D2709" s="256" t="inlineStr">
        <is>
          <t>P050312</t>
        </is>
      </c>
      <c r="E2709" s="256" t="inlineStr">
        <is>
          <t>Grape Pie</t>
        </is>
      </c>
      <c r="F2709" s="256" t="inlineStr">
        <is>
          <t>18.09.2026</t>
        </is>
      </c>
      <c r="G2709" s="256" t="inlineStr">
        <is>
          <t>10.2</t>
        </is>
      </c>
      <c r="H2709" s="256" t="inlineStr">
        <is>
          <t>Aflatoxins ∑</t>
        </is>
      </c>
      <c r="I2709" s="256" t="inlineStr">
        <is>
          <t>Ph. Eur. 2.8.18 (HPLC-FLD)</t>
        </is>
      </c>
      <c r="J2709" s="256" t="inlineStr">
        <is>
          <t>≤ 4 µg/kg</t>
        </is>
      </c>
      <c r="K2709" s="256" t="inlineStr">
        <is>
          <t>ND</t>
        </is>
      </c>
      <c r="L2709" s="256" t="inlineStr">
        <is>
          <t>220-12-М/26</t>
        </is>
      </c>
      <c r="M2709" s="256" t="inlineStr">
        <is>
          <t>11.09.2026</t>
        </is>
      </c>
      <c r="N2709" s="256" t="inlineStr">
        <is>
          <t>Farmahem</t>
        </is>
      </c>
      <c r="O2709" s="256" t="inlineStr">
        <is>
          <t>17.08.2026</t>
        </is>
      </c>
      <c r="P2709" s="256" t="inlineStr">
        <is>
          <t>covered</t>
        </is>
      </c>
      <c r="Q2709" s="256" t="inlineStr"/>
      <c r="R2709" s="256" t="inlineStr"/>
    </row>
    <row r="2710">
      <c r="A2710" s="256" t="inlineStr">
        <is>
          <t>CoQ-PP_26-118</t>
        </is>
      </c>
      <c r="B2710" s="256" t="inlineStr">
        <is>
          <t>reissue — retest</t>
        </is>
      </c>
      <c r="C2710" s="256" t="inlineStr">
        <is>
          <t>GP082501/1</t>
        </is>
      </c>
      <c r="D2710" s="256" t="inlineStr">
        <is>
          <t>P050312</t>
        </is>
      </c>
      <c r="E2710" s="256" t="inlineStr">
        <is>
          <t>Grape Pie</t>
        </is>
      </c>
      <c r="F2710" s="256" t="inlineStr">
        <is>
          <t>18.09.2026</t>
        </is>
      </c>
      <c r="G2710" s="256" t="inlineStr">
        <is>
          <t>10.3</t>
        </is>
      </c>
      <c r="H2710" s="256" t="inlineStr">
        <is>
          <t>Ochratoxin A</t>
        </is>
      </c>
      <c r="I2710" s="256" t="inlineStr">
        <is>
          <t>Ph. Eur. 2.8.22 (HPLC-FLD)</t>
        </is>
      </c>
      <c r="J2710" s="256" t="inlineStr">
        <is>
          <t>≤ 20 µg/kg</t>
        </is>
      </c>
      <c r="K2710" s="256" t="inlineStr">
        <is>
          <t>ND</t>
        </is>
      </c>
      <c r="L2710" s="256" t="inlineStr">
        <is>
          <t>220-12-М/26</t>
        </is>
      </c>
      <c r="M2710" s="256" t="inlineStr">
        <is>
          <t>11.09.2026</t>
        </is>
      </c>
      <c r="N2710" s="256" t="inlineStr">
        <is>
          <t>Farmahem</t>
        </is>
      </c>
      <c r="O2710" s="256" t="inlineStr">
        <is>
          <t>17.08.2026</t>
        </is>
      </c>
      <c r="P2710" s="256" t="inlineStr">
        <is>
          <t>covered</t>
        </is>
      </c>
      <c r="Q2710" s="256" t="inlineStr"/>
      <c r="R2710" s="256" t="inlineStr"/>
    </row>
    <row r="2711">
      <c r="A2711" s="256" t="inlineStr">
        <is>
          <t>CoQ-PP_26-118</t>
        </is>
      </c>
      <c r="B2711" s="256" t="inlineStr">
        <is>
          <t>reissue — retest</t>
        </is>
      </c>
      <c r="C2711" s="256" t="inlineStr">
        <is>
          <t>GP082501/1</t>
        </is>
      </c>
      <c r="D2711" s="256" t="inlineStr">
        <is>
          <t>P050312</t>
        </is>
      </c>
      <c r="E2711" s="256" t="inlineStr">
        <is>
          <t>Grape Pie</t>
        </is>
      </c>
      <c r="F2711" s="256" t="inlineStr">
        <is>
          <t>18.09.2026</t>
        </is>
      </c>
      <c r="G2711" s="256" t="inlineStr">
        <is>
          <t>11.1</t>
        </is>
      </c>
      <c r="H2711" s="256" t="inlineStr">
        <is>
          <t>Lead (Pb)</t>
        </is>
      </c>
      <c r="I2711" s="256" t="inlineStr">
        <is>
          <t>Ph. Eur. 2.4.27 (ICP-MS)</t>
        </is>
      </c>
      <c r="J2711" s="256" t="inlineStr">
        <is>
          <t>≤ 0.5 mg/kg</t>
        </is>
      </c>
      <c r="K2711" s="256" t="inlineStr">
        <is>
          <t>0.014</t>
        </is>
      </c>
      <c r="L2711" s="256" t="inlineStr">
        <is>
          <t>5888/2025</t>
        </is>
      </c>
      <c r="M2711" s="256" t="inlineStr">
        <is>
          <t>12.12.2025</t>
        </is>
      </c>
      <c r="N2711" s="256" t="inlineStr">
        <is>
          <t>IPH — Institute of Public Health</t>
        </is>
      </c>
      <c r="O2711" s="256" t="inlineStr">
        <is>
          <t>01.12.2025</t>
        </is>
      </c>
      <c r="P2711" s="256" t="inlineStr">
        <is>
          <t>carried from the initial testing (CoQ-PP-2025-0021) — covered</t>
        </is>
      </c>
      <c r="Q2711" s="256" t="inlineStr"/>
      <c r="R2711" s="256" t="inlineStr"/>
    </row>
    <row r="2712">
      <c r="A2712" s="256" t="inlineStr">
        <is>
          <t>CoQ-PP_26-118</t>
        </is>
      </c>
      <c r="B2712" s="256" t="inlineStr">
        <is>
          <t>reissue — retest</t>
        </is>
      </c>
      <c r="C2712" s="256" t="inlineStr">
        <is>
          <t>GP082501/1</t>
        </is>
      </c>
      <c r="D2712" s="256" t="inlineStr">
        <is>
          <t>P050312</t>
        </is>
      </c>
      <c r="E2712" s="256" t="inlineStr">
        <is>
          <t>Grape Pie</t>
        </is>
      </c>
      <c r="F2712" s="256" t="inlineStr">
        <is>
          <t>18.09.2026</t>
        </is>
      </c>
      <c r="G2712" s="256" t="inlineStr">
        <is>
          <t>11.2</t>
        </is>
      </c>
      <c r="H2712" s="256" t="inlineStr">
        <is>
          <t>Cadmium (Cd)</t>
        </is>
      </c>
      <c r="I2712" s="256" t="inlineStr">
        <is>
          <t>Ph. Eur. 2.4.27 (ICP-MS)</t>
        </is>
      </c>
      <c r="J2712" s="256" t="inlineStr">
        <is>
          <t>≤ 0.3 mg/kg</t>
        </is>
      </c>
      <c r="K2712" s="256" t="inlineStr">
        <is>
          <t>0.003</t>
        </is>
      </c>
      <c r="L2712" s="256" t="inlineStr">
        <is>
          <t>5888/2025</t>
        </is>
      </c>
      <c r="M2712" s="256" t="inlineStr">
        <is>
          <t>12.12.2025</t>
        </is>
      </c>
      <c r="N2712" s="256" t="inlineStr">
        <is>
          <t>IPH — Institute of Public Health</t>
        </is>
      </c>
      <c r="O2712" s="256" t="inlineStr">
        <is>
          <t>01.12.2025</t>
        </is>
      </c>
      <c r="P2712" s="256" t="inlineStr">
        <is>
          <t>carried from the initial testing (CoQ-PP-2025-0021) — covered</t>
        </is>
      </c>
      <c r="Q2712" s="256" t="inlineStr"/>
      <c r="R2712" s="256" t="inlineStr"/>
    </row>
    <row r="2713">
      <c r="A2713" s="256" t="inlineStr">
        <is>
          <t>CoQ-PP_26-118</t>
        </is>
      </c>
      <c r="B2713" s="256" t="inlineStr">
        <is>
          <t>reissue — retest</t>
        </is>
      </c>
      <c r="C2713" s="256" t="inlineStr">
        <is>
          <t>GP082501/1</t>
        </is>
      </c>
      <c r="D2713" s="256" t="inlineStr">
        <is>
          <t>P050312</t>
        </is>
      </c>
      <c r="E2713" s="256" t="inlineStr">
        <is>
          <t>Grape Pie</t>
        </is>
      </c>
      <c r="F2713" s="256" t="inlineStr">
        <is>
          <t>18.09.2026</t>
        </is>
      </c>
      <c r="G2713" s="256" t="inlineStr">
        <is>
          <t>11.3</t>
        </is>
      </c>
      <c r="H2713" s="256" t="inlineStr">
        <is>
          <t>Arsenic (As)</t>
        </is>
      </c>
      <c r="I2713" s="256" t="inlineStr">
        <is>
          <t>Ph. Eur. 2.4.27 (ICP-MS)</t>
        </is>
      </c>
      <c r="J2713" s="256" t="inlineStr">
        <is>
          <t>≤ 0.2 mg/kg</t>
        </is>
      </c>
      <c r="K2713" s="256" t="inlineStr">
        <is>
          <t>0.02</t>
        </is>
      </c>
      <c r="L2713" s="256" t="inlineStr">
        <is>
          <t>5888/2025</t>
        </is>
      </c>
      <c r="M2713" s="256" t="inlineStr">
        <is>
          <t>12.12.2025</t>
        </is>
      </c>
      <c r="N2713" s="256" t="inlineStr">
        <is>
          <t>IPH — Institute of Public Health</t>
        </is>
      </c>
      <c r="O2713" s="256" t="inlineStr">
        <is>
          <t>01.12.2025</t>
        </is>
      </c>
      <c r="P2713" s="256" t="inlineStr">
        <is>
          <t>carried from the initial testing (CoQ-PP-2025-0021) — covered</t>
        </is>
      </c>
      <c r="Q2713" s="256" t="inlineStr"/>
      <c r="R2713" s="256" t="inlineStr"/>
    </row>
    <row r="2714">
      <c r="A2714" s="256" t="inlineStr">
        <is>
          <t>CoQ-PP_26-118</t>
        </is>
      </c>
      <c r="B2714" s="256" t="inlineStr">
        <is>
          <t>reissue — retest</t>
        </is>
      </c>
      <c r="C2714" s="256" t="inlineStr">
        <is>
          <t>GP082501/1</t>
        </is>
      </c>
      <c r="D2714" s="256" t="inlineStr">
        <is>
          <t>P050312</t>
        </is>
      </c>
      <c r="E2714" s="256" t="inlineStr">
        <is>
          <t>Grape Pie</t>
        </is>
      </c>
      <c r="F2714" s="256" t="inlineStr">
        <is>
          <t>18.09.2026</t>
        </is>
      </c>
      <c r="G2714" s="256" t="inlineStr">
        <is>
          <t>11.4</t>
        </is>
      </c>
      <c r="H2714" s="256" t="inlineStr">
        <is>
          <t>Mercury (Hg)</t>
        </is>
      </c>
      <c r="I2714" s="256" t="inlineStr">
        <is>
          <t>Ph. Eur. 2.4.27 (ICP-MS)</t>
        </is>
      </c>
      <c r="J2714" s="256" t="inlineStr">
        <is>
          <t>≤ 0.1 mg/kg</t>
        </is>
      </c>
      <c r="K2714" s="256" t="inlineStr">
        <is>
          <t>0.017</t>
        </is>
      </c>
      <c r="L2714" s="256" t="inlineStr">
        <is>
          <t>5888/2025</t>
        </is>
      </c>
      <c r="M2714" s="256" t="inlineStr">
        <is>
          <t>12.12.2025</t>
        </is>
      </c>
      <c r="N2714" s="256" t="inlineStr">
        <is>
          <t>IPH — Institute of Public Health</t>
        </is>
      </c>
      <c r="O2714" s="256" t="inlineStr">
        <is>
          <t>01.12.2025</t>
        </is>
      </c>
      <c r="P2714" s="256" t="inlineStr">
        <is>
          <t>carried from the initial testing (CoQ-PP-2025-0021) — covered</t>
        </is>
      </c>
      <c r="Q2714" s="256" t="inlineStr"/>
      <c r="R2714" s="256" t="inlineStr"/>
    </row>
    <row r="2715">
      <c r="A2715" s="256" t="inlineStr">
        <is>
          <t>CoQ-PP_26-118</t>
        </is>
      </c>
      <c r="B2715" s="256" t="inlineStr">
        <is>
          <t>reissue — retest</t>
        </is>
      </c>
      <c r="C2715" s="256" t="inlineStr">
        <is>
          <t>GP082501/1</t>
        </is>
      </c>
      <c r="D2715" s="256" t="inlineStr">
        <is>
          <t>P050312</t>
        </is>
      </c>
      <c r="E2715" s="256" t="inlineStr">
        <is>
          <t>Grape Pie</t>
        </is>
      </c>
      <c r="F2715" s="256" t="inlineStr">
        <is>
          <t>18.09.2026</t>
        </is>
      </c>
      <c r="G2715" s="256" t="inlineStr">
        <is>
          <t>12</t>
        </is>
      </c>
      <c r="H2715" s="256" t="inlineStr">
        <is>
          <t>Pesticide Residues</t>
        </is>
      </c>
      <c r="I2715" s="256" t="inlineStr">
        <is>
          <t>Ph. Eur. 2.8.13 (LC-MS/MS) · CUMCS Equivalency</t>
        </is>
      </c>
      <c r="J2715" s="256" t="inlineStr">
        <is>
          <t>≤ LOQ as per Ph. Eur. 2.8.13 · ≤ LOQ as per CUMCS Equivalency</t>
        </is>
      </c>
      <c r="K2715" s="256" t="inlineStr">
        <is>
          <t>ND</t>
        </is>
      </c>
      <c r="L2715" s="256" t="inlineStr">
        <is>
          <t>5888/2025</t>
        </is>
      </c>
      <c r="M2715" s="256" t="inlineStr">
        <is>
          <t>12.12.2025</t>
        </is>
      </c>
      <c r="N2715" s="256" t="inlineStr">
        <is>
          <t>IPH — Institute of Public Health</t>
        </is>
      </c>
      <c r="O2715" s="256" t="inlineStr">
        <is>
          <t>01.12.2025</t>
        </is>
      </c>
      <c r="P2715" s="256" t="inlineStr">
        <is>
          <t>carried from the initial testing (CoQ-PP-2025-0021) — covered</t>
        </is>
      </c>
      <c r="Q2715" s="256" t="inlineStr"/>
      <c r="R2715" s="256" t="inlineStr"/>
    </row>
    <row r="2716">
      <c r="A2716" s="256" t="inlineStr">
        <is>
          <t>CoQ-PP_26-119</t>
        </is>
      </c>
      <c r="B2716" s="256" t="inlineStr">
        <is>
          <t>reissue — retest</t>
        </is>
      </c>
      <c r="C2716" s="256" t="inlineStr">
        <is>
          <t>GP092501</t>
        </is>
      </c>
      <c r="D2716" s="256" t="inlineStr">
        <is>
          <t>P060092</t>
        </is>
      </c>
      <c r="E2716" s="256" t="inlineStr">
        <is>
          <t>Grape Pie</t>
        </is>
      </c>
      <c r="F2716" s="256" t="inlineStr">
        <is>
          <t>18.09.2026</t>
        </is>
      </c>
      <c r="G2716" s="256" t="inlineStr">
        <is>
          <t>1</t>
        </is>
      </c>
      <c r="H2716" s="256" t="inlineStr">
        <is>
          <t>Identification A, Appearance · Macroscopic</t>
        </is>
      </c>
      <c r="I2716" s="256" t="inlineStr">
        <is>
          <t>Ph. Eur. mon. 3028</t>
        </is>
      </c>
      <c r="J2716" s="256" t="inlineStr">
        <is>
          <t>Conforms to the monograph for Cannabis flos (07/2024:3028) in Ph. Eur. 11.0 | Согласно монографија за Cannabis flos (07/2024:3028) во Ph. Eur. 11.0</t>
        </is>
      </c>
      <c r="K2716" s="256" t="inlineStr">
        <is>
          <t>Conforms | Одговара</t>
        </is>
      </c>
      <c r="L2716" s="256" t="inlineStr">
        <is>
          <t>iCoA-PP_26-135</t>
        </is>
      </c>
      <c r="M2716" s="256" t="inlineStr">
        <is>
          <t>17.08.2026</t>
        </is>
      </c>
      <c r="N2716" s="256" t="inlineStr">
        <is>
          <t>Purely Plant GmbH (in-house)</t>
        </is>
      </c>
      <c r="O2716" s="256" t="inlineStr">
        <is>
          <t>—</t>
        </is>
      </c>
      <c r="P2716" s="256" t="inlineStr">
        <is>
          <t>covered</t>
        </is>
      </c>
      <c r="Q2716" s="256" t="inlineStr">
        <is>
          <t>Farmahem — Ident A + B + C with the Assay, at retest</t>
        </is>
      </c>
      <c r="R2716" s="256" t="inlineStr"/>
    </row>
    <row r="2717">
      <c r="A2717" s="256" t="inlineStr">
        <is>
          <t>CoQ-PP_26-119</t>
        </is>
      </c>
      <c r="B2717" s="256" t="inlineStr">
        <is>
          <t>reissue — retest</t>
        </is>
      </c>
      <c r="C2717" s="256" t="inlineStr">
        <is>
          <t>GP092501</t>
        </is>
      </c>
      <c r="D2717" s="256" t="inlineStr">
        <is>
          <t>P060092</t>
        </is>
      </c>
      <c r="E2717" s="256" t="inlineStr">
        <is>
          <t>Grape Pie</t>
        </is>
      </c>
      <c r="F2717" s="256" t="inlineStr">
        <is>
          <t>18.09.2026</t>
        </is>
      </c>
      <c r="G2717" s="256" t="inlineStr">
        <is>
          <t>2</t>
        </is>
      </c>
      <c r="H2717" s="256" t="inlineStr">
        <is>
          <t>Identification B · Microscopic</t>
        </is>
      </c>
      <c r="I2717" s="256" t="inlineStr">
        <is>
          <t>Ph. Eur. 2.8.23 (microscopy)</t>
        </is>
      </c>
      <c r="J2717" s="256" t="inlineStr">
        <is>
          <t>Conforms to the monograph for Cannabis flos (07/2024:3028) in Ph. Eur. 11.0 | Согласно монографија за Cannabis flos (07/2024:3028) во Ph. Eur. 11.0</t>
        </is>
      </c>
      <c r="K2717" s="256" t="inlineStr">
        <is>
          <t>Conforms | Одговара</t>
        </is>
      </c>
      <c r="L2717" s="256" t="inlineStr">
        <is>
          <t>iCoA-PP_26-135</t>
        </is>
      </c>
      <c r="M2717" s="256" t="inlineStr">
        <is>
          <t>17.08.2026</t>
        </is>
      </c>
      <c r="N2717" s="256" t="inlineStr">
        <is>
          <t>Purely Plant GmbH (in-house)</t>
        </is>
      </c>
      <c r="O2717" s="256" t="inlineStr">
        <is>
          <t>—</t>
        </is>
      </c>
      <c r="P2717" s="256" t="inlineStr">
        <is>
          <t>covered</t>
        </is>
      </c>
      <c r="Q2717" s="256" t="inlineStr">
        <is>
          <t>Farmahem — Ident A + B + C with the Assay, at retest</t>
        </is>
      </c>
      <c r="R2717" s="256" t="inlineStr"/>
    </row>
    <row r="2718">
      <c r="A2718" s="256" t="inlineStr">
        <is>
          <t>CoQ-PP_26-119</t>
        </is>
      </c>
      <c r="B2718" s="256" t="inlineStr">
        <is>
          <t>reissue — retest</t>
        </is>
      </c>
      <c r="C2718" s="256" t="inlineStr">
        <is>
          <t>GP092501</t>
        </is>
      </c>
      <c r="D2718" s="256" t="inlineStr">
        <is>
          <t>P060092</t>
        </is>
      </c>
      <c r="E2718" s="256" t="inlineStr">
        <is>
          <t>Grape Pie</t>
        </is>
      </c>
      <c r="F2718" s="256" t="inlineStr">
        <is>
          <t>18.09.2026</t>
        </is>
      </c>
      <c r="G2718" s="256" t="inlineStr">
        <is>
          <t>3</t>
        </is>
      </c>
      <c r="H2718" s="256" t="inlineStr">
        <is>
          <t>Identification C · HPLC/HPTLC</t>
        </is>
      </c>
      <c r="I2718" s="256" t="inlineStr">
        <is>
          <t>Ph. Eur. 2.2.29 (3028)</t>
        </is>
      </c>
      <c r="J2718" s="256" t="inlineStr">
        <is>
          <t>Conforms to the monograph for Cannabis flos (07/2024:3028) in Ph. Eur. 11.0 | Согласно монографија за Cannabis flos (07/2024:3028) во Ph. Eur. 11.0</t>
        </is>
      </c>
      <c r="K2718" s="256" t="inlineStr">
        <is>
          <t>Conforms | Одговара</t>
        </is>
      </c>
      <c r="L2718" s="256" t="inlineStr">
        <is>
          <t>220-13-К/26</t>
        </is>
      </c>
      <c r="M2718" s="256" t="inlineStr">
        <is>
          <t>25.08.2026</t>
        </is>
      </c>
      <c r="N2718" s="256" t="inlineStr">
        <is>
          <t>Farmahem</t>
        </is>
      </c>
      <c r="O2718" s="256" t="inlineStr">
        <is>
          <t>17.08.2026</t>
        </is>
      </c>
      <c r="P2718" s="256" t="inlineStr">
        <is>
          <t>covered</t>
        </is>
      </c>
      <c r="Q2718" s="256" t="inlineStr"/>
      <c r="R2718" s="256" t="inlineStr"/>
    </row>
    <row r="2719">
      <c r="A2719" s="256" t="inlineStr">
        <is>
          <t>CoQ-PP_26-119</t>
        </is>
      </c>
      <c r="B2719" s="256" t="inlineStr">
        <is>
          <t>reissue — retest</t>
        </is>
      </c>
      <c r="C2719" s="256" t="inlineStr">
        <is>
          <t>GP092501</t>
        </is>
      </c>
      <c r="D2719" s="256" t="inlineStr">
        <is>
          <t>P060092</t>
        </is>
      </c>
      <c r="E2719" s="256" t="inlineStr">
        <is>
          <t>Grape Pie</t>
        </is>
      </c>
      <c r="F2719" s="256" t="inlineStr">
        <is>
          <t>18.09.2026</t>
        </is>
      </c>
      <c r="G2719" s="256" t="inlineStr">
        <is>
          <t>4</t>
        </is>
      </c>
      <c r="H2719" s="256" t="inlineStr">
        <is>
          <t>Assay — Total Δ⁹-THC</t>
        </is>
      </c>
      <c r="I2719" s="256" t="inlineStr">
        <is>
          <t>Ph. Eur. 2.2.29 (HPLC)</t>
        </is>
      </c>
      <c r="J2719" s="256" t="inlineStr">
        <is>
          <t>22.00 – 25.99 %  (grade II, nominal 24.00 ± 2.00)</t>
        </is>
      </c>
      <c r="K2719" s="256" t="inlineStr">
        <is>
          <t>25.24</t>
        </is>
      </c>
      <c r="L2719" s="256" t="inlineStr">
        <is>
          <t>220-13-К/26</t>
        </is>
      </c>
      <c r="M2719" s="256" t="inlineStr">
        <is>
          <t>25.08.2026</t>
        </is>
      </c>
      <c r="N2719" s="256" t="inlineStr">
        <is>
          <t>Farmahem</t>
        </is>
      </c>
      <c r="O2719" s="256" t="inlineStr">
        <is>
          <t>17.08.2026</t>
        </is>
      </c>
      <c r="P2719" s="256" t="inlineStr">
        <is>
          <t>covered</t>
        </is>
      </c>
      <c r="Q2719" s="256" t="inlineStr"/>
      <c r="R2719" s="256" t="inlineStr"/>
    </row>
    <row r="2720">
      <c r="A2720" s="256" t="inlineStr">
        <is>
          <t>CoQ-PP_26-119</t>
        </is>
      </c>
      <c r="B2720" s="256" t="inlineStr">
        <is>
          <t>reissue — retest</t>
        </is>
      </c>
      <c r="C2720" s="256" t="inlineStr">
        <is>
          <t>GP092501</t>
        </is>
      </c>
      <c r="D2720" s="256" t="inlineStr">
        <is>
          <t>P060092</t>
        </is>
      </c>
      <c r="E2720" s="256" t="inlineStr">
        <is>
          <t>Grape Pie</t>
        </is>
      </c>
      <c r="F2720" s="256" t="inlineStr">
        <is>
          <t>18.09.2026</t>
        </is>
      </c>
      <c r="G2720" s="256" t="inlineStr">
        <is>
          <t>5</t>
        </is>
      </c>
      <c r="H2720" s="256" t="inlineStr">
        <is>
          <t>Assay — Total CBD</t>
        </is>
      </c>
      <c r="I2720" s="256" t="inlineStr">
        <is>
          <t>Ph. Eur. 2.2.29 (HPLC) · CBD + CBDA x 0.877</t>
        </is>
      </c>
      <c r="J2720" s="256" t="inlineStr">
        <is>
          <t>≤ 1.0%, w/w</t>
        </is>
      </c>
      <c r="K2720" s="256" t="inlineStr">
        <is>
          <t>&lt; LOQ</t>
        </is>
      </c>
      <c r="L2720" s="256" t="inlineStr">
        <is>
          <t>220-13-К/26</t>
        </is>
      </c>
      <c r="M2720" s="256" t="inlineStr">
        <is>
          <t>25.08.2026</t>
        </is>
      </c>
      <c r="N2720" s="256" t="inlineStr">
        <is>
          <t>Farmahem</t>
        </is>
      </c>
      <c r="O2720" s="256" t="inlineStr">
        <is>
          <t>17.08.2026</t>
        </is>
      </c>
      <c r="P2720" s="256" t="inlineStr">
        <is>
          <t>covered</t>
        </is>
      </c>
      <c r="Q2720" s="256" t="inlineStr"/>
      <c r="R2720" s="256" t="inlineStr"/>
    </row>
    <row r="2721">
      <c r="A2721" s="256" t="inlineStr">
        <is>
          <t>CoQ-PP_26-119</t>
        </is>
      </c>
      <c r="B2721" s="256" t="inlineStr">
        <is>
          <t>reissue — retest</t>
        </is>
      </c>
      <c r="C2721" s="256" t="inlineStr">
        <is>
          <t>GP092501</t>
        </is>
      </c>
      <c r="D2721" s="256" t="inlineStr">
        <is>
          <t>P060092</t>
        </is>
      </c>
      <c r="E2721" s="256" t="inlineStr">
        <is>
          <t>Grape Pie</t>
        </is>
      </c>
      <c r="F2721" s="256" t="inlineStr">
        <is>
          <t>18.09.2026</t>
        </is>
      </c>
      <c r="G2721" s="256" t="inlineStr">
        <is>
          <t>6</t>
        </is>
      </c>
      <c r="H2721" s="256" t="inlineStr">
        <is>
          <t>Total CBN</t>
        </is>
      </c>
      <c r="I2721" s="256" t="inlineStr">
        <is>
          <t>Ph. Eur. 2.2.29 (HPLC) · CBN + CBNA x 0.876</t>
        </is>
      </c>
      <c r="J2721" s="256" t="inlineStr">
        <is>
          <t>≤ 1.0%, w/w</t>
        </is>
      </c>
      <c r="K2721" s="256" t="inlineStr">
        <is>
          <t>&lt; LOQ</t>
        </is>
      </c>
      <c r="L2721" s="256" t="inlineStr">
        <is>
          <t>220-13-К/26</t>
        </is>
      </c>
      <c r="M2721" s="256" t="inlineStr">
        <is>
          <t>25.08.2026</t>
        </is>
      </c>
      <c r="N2721" s="256" t="inlineStr">
        <is>
          <t>Farmahem</t>
        </is>
      </c>
      <c r="O2721" s="256" t="inlineStr">
        <is>
          <t>17.08.2026</t>
        </is>
      </c>
      <c r="P2721" s="256" t="inlineStr">
        <is>
          <t>covered</t>
        </is>
      </c>
      <c r="Q2721" s="256" t="inlineStr"/>
      <c r="R2721" s="256" t="inlineStr"/>
    </row>
    <row r="2722">
      <c r="A2722" s="256" t="inlineStr">
        <is>
          <t>CoQ-PP_26-119</t>
        </is>
      </c>
      <c r="B2722" s="256" t="inlineStr">
        <is>
          <t>reissue — retest</t>
        </is>
      </c>
      <c r="C2722" s="256" t="inlineStr">
        <is>
          <t>GP092501</t>
        </is>
      </c>
      <c r="D2722" s="256" t="inlineStr">
        <is>
          <t>P060092</t>
        </is>
      </c>
      <c r="E2722" s="256" t="inlineStr">
        <is>
          <t>Grape Pie</t>
        </is>
      </c>
      <c r="F2722" s="256" t="inlineStr">
        <is>
          <t>18.09.2026</t>
        </is>
      </c>
      <c r="G2722" s="256" t="inlineStr">
        <is>
          <t>7</t>
        </is>
      </c>
      <c r="H2722" s="256" t="inlineStr">
        <is>
          <t>Foreign Matter</t>
        </is>
      </c>
      <c r="I2722" s="256" t="inlineStr">
        <is>
          <t>Ph. Eur. 2.8.2 · In-house · интерна</t>
        </is>
      </c>
      <c r="J2722" s="256" t="inlineStr">
        <is>
          <t>≤ 2.0% / 25–50 g · &lt; 1 cm leaves | листови, no seeds | без семки</t>
        </is>
      </c>
      <c r="K2722" s="256" t="inlineStr">
        <is>
          <t>Conforms | Одговара</t>
        </is>
      </c>
      <c r="L2722" s="256" t="inlineStr">
        <is>
          <t>iCoA-PP_26-135</t>
        </is>
      </c>
      <c r="M2722" s="256" t="inlineStr">
        <is>
          <t>17.08.2026</t>
        </is>
      </c>
      <c r="N2722" s="256" t="inlineStr">
        <is>
          <t>Purely Plant GmbH (in-house)</t>
        </is>
      </c>
      <c r="O2722" s="256" t="inlineStr">
        <is>
          <t>—</t>
        </is>
      </c>
      <c r="P2722" s="256" t="inlineStr">
        <is>
          <t>covered</t>
        </is>
      </c>
      <c r="Q2722" s="256" t="inlineStr">
        <is>
          <t>Purely Plant laboratory — iCoA covering Foreign matter</t>
        </is>
      </c>
      <c r="R2722" s="256" t="inlineStr"/>
    </row>
    <row r="2723">
      <c r="A2723" s="256" t="inlineStr">
        <is>
          <t>CoQ-PP_26-119</t>
        </is>
      </c>
      <c r="B2723" s="256" t="inlineStr">
        <is>
          <t>reissue — retest</t>
        </is>
      </c>
      <c r="C2723" s="256" t="inlineStr">
        <is>
          <t>GP092501</t>
        </is>
      </c>
      <c r="D2723" s="256" t="inlineStr">
        <is>
          <t>P060092</t>
        </is>
      </c>
      <c r="E2723" s="256" t="inlineStr">
        <is>
          <t>Grape Pie</t>
        </is>
      </c>
      <c r="F2723" s="256" t="inlineStr">
        <is>
          <t>18.09.2026</t>
        </is>
      </c>
      <c r="G2723" s="256" t="inlineStr">
        <is>
          <t>8</t>
        </is>
      </c>
      <c r="H2723" s="256" t="inlineStr">
        <is>
          <t>Loss on Drying</t>
        </is>
      </c>
      <c r="I2723" s="256" t="inlineStr">
        <is>
          <t>DAB 2018 monograph Cannabis flos, 2.2.32 — loss on drying (CNP, before its Ph. Eur. 3028 accreditation)</t>
        </is>
      </c>
      <c r="J2723" s="256" t="inlineStr">
        <is>
          <t>≤ 12.0%</t>
        </is>
      </c>
      <c r="K2723" s="256" t="inlineStr">
        <is>
          <t>6.91</t>
        </is>
      </c>
      <c r="L2723" s="256" t="inlineStr">
        <is>
          <t>ППК26009</t>
        </is>
      </c>
      <c r="M2723" s="256" t="inlineStr">
        <is>
          <t>21.01.2026</t>
        </is>
      </c>
      <c r="N2723" s="256" t="inlineStr">
        <is>
          <t>UKIM Faculty of Pharmacy — Center for Natural Products</t>
        </is>
      </c>
      <c r="O2723" s="256" t="inlineStr">
        <is>
          <t>08.01.2026</t>
        </is>
      </c>
      <c r="P2723" s="256" t="inlineStr">
        <is>
          <t>carried from the initial testing (CoQ-PP-2026-0008) — covered</t>
        </is>
      </c>
      <c r="Q2723" s="256" t="inlineStr"/>
      <c r="R2723" s="256" t="inlineStr"/>
    </row>
    <row r="2724">
      <c r="A2724" s="256" t="inlineStr">
        <is>
          <t>CoQ-PP_26-119</t>
        </is>
      </c>
      <c r="B2724" s="256" t="inlineStr">
        <is>
          <t>reissue — retest</t>
        </is>
      </c>
      <c r="C2724" s="256" t="inlineStr">
        <is>
          <t>GP092501</t>
        </is>
      </c>
      <c r="D2724" s="256" t="inlineStr">
        <is>
          <t>P060092</t>
        </is>
      </c>
      <c r="E2724" s="256" t="inlineStr">
        <is>
          <t>Grape Pie</t>
        </is>
      </c>
      <c r="F2724" s="256" t="inlineStr">
        <is>
          <t>18.09.2026</t>
        </is>
      </c>
      <c r="G2724" s="256" t="inlineStr">
        <is>
          <t>9.1</t>
        </is>
      </c>
      <c r="H2724" s="256" t="inlineStr">
        <is>
          <t>TAMC</t>
        </is>
      </c>
      <c r="I2724" s="256" t="inlineStr">
        <is>
          <t>Ph. Eur. 2.6.12 cat. C</t>
        </is>
      </c>
      <c r="J2724" s="256" t="inlineStr">
        <is>
          <t>≤ 10⁵ CFU/g</t>
        </is>
      </c>
      <c r="K2724" s="256" t="inlineStr">
        <is>
          <t>1 × 10²</t>
        </is>
      </c>
      <c r="L2724" s="256" t="inlineStr">
        <is>
          <t>5/0008/26</t>
        </is>
      </c>
      <c r="M2724" s="256" t="inlineStr">
        <is>
          <t>20.01.2026</t>
        </is>
      </c>
      <c r="N2724" s="256" t="inlineStr">
        <is>
          <t>IPH — Institute of Public Health</t>
        </is>
      </c>
      <c r="O2724" s="256" t="inlineStr">
        <is>
          <t>—</t>
        </is>
      </c>
      <c r="P2724" s="256" t="inlineStr">
        <is>
          <t>carried from the initial testing (CoQ-PP-2026-0008) — covered</t>
        </is>
      </c>
      <c r="Q2724" s="256" t="inlineStr"/>
      <c r="R2724" s="256" t="inlineStr"/>
    </row>
    <row r="2725">
      <c r="A2725" s="256" t="inlineStr">
        <is>
          <t>CoQ-PP_26-119</t>
        </is>
      </c>
      <c r="B2725" s="256" t="inlineStr">
        <is>
          <t>reissue — retest</t>
        </is>
      </c>
      <c r="C2725" s="256" t="inlineStr">
        <is>
          <t>GP092501</t>
        </is>
      </c>
      <c r="D2725" s="256" t="inlineStr">
        <is>
          <t>P060092</t>
        </is>
      </c>
      <c r="E2725" s="256" t="inlineStr">
        <is>
          <t>Grape Pie</t>
        </is>
      </c>
      <c r="F2725" s="256" t="inlineStr">
        <is>
          <t>18.09.2026</t>
        </is>
      </c>
      <c r="G2725" s="256" t="inlineStr">
        <is>
          <t>9.2</t>
        </is>
      </c>
      <c r="H2725" s="256" t="inlineStr">
        <is>
          <t>TYMC</t>
        </is>
      </c>
      <c r="I2725" s="256" t="inlineStr">
        <is>
          <t>Ph. Eur. 2.6.12 cat. C</t>
        </is>
      </c>
      <c r="J2725" s="256" t="inlineStr">
        <is>
          <t>≤ 10⁴ CFU/g</t>
        </is>
      </c>
      <c r="K2725" s="256" t="inlineStr">
        <is>
          <t>&lt; 10</t>
        </is>
      </c>
      <c r="L2725" s="256" t="inlineStr">
        <is>
          <t>5/0008/26</t>
        </is>
      </c>
      <c r="M2725" s="256" t="inlineStr">
        <is>
          <t>20.01.2026</t>
        </is>
      </c>
      <c r="N2725" s="256" t="inlineStr">
        <is>
          <t>IPH — Institute of Public Health</t>
        </is>
      </c>
      <c r="O2725" s="256" t="inlineStr">
        <is>
          <t>—</t>
        </is>
      </c>
      <c r="P2725" s="256" t="inlineStr">
        <is>
          <t>carried from the initial testing (CoQ-PP-2026-0008) — covered</t>
        </is>
      </c>
      <c r="Q2725" s="256" t="inlineStr"/>
      <c r="R2725" s="256" t="inlineStr"/>
    </row>
    <row r="2726">
      <c r="A2726" s="256" t="inlineStr">
        <is>
          <t>CoQ-PP_26-119</t>
        </is>
      </c>
      <c r="B2726" s="256" t="inlineStr">
        <is>
          <t>reissue — retest</t>
        </is>
      </c>
      <c r="C2726" s="256" t="inlineStr">
        <is>
          <t>GP092501</t>
        </is>
      </c>
      <c r="D2726" s="256" t="inlineStr">
        <is>
          <t>P060092</t>
        </is>
      </c>
      <c r="E2726" s="256" t="inlineStr">
        <is>
          <t>Grape Pie</t>
        </is>
      </c>
      <c r="F2726" s="256" t="inlineStr">
        <is>
          <t>18.09.2026</t>
        </is>
      </c>
      <c r="G2726" s="256" t="inlineStr">
        <is>
          <t>9.3</t>
        </is>
      </c>
      <c r="H2726" s="256" t="inlineStr">
        <is>
          <t>Bile-tolerant gram-neg.</t>
        </is>
      </c>
      <c r="I2726" s="256" t="inlineStr">
        <is>
          <t>Ph. Eur. 2.6.31 cat. C</t>
        </is>
      </c>
      <c r="J2726" s="256" t="inlineStr">
        <is>
          <t>≤ 10⁴ CFU/g</t>
        </is>
      </c>
      <c r="K2726" s="256" t="inlineStr">
        <is>
          <t>&lt; 10² and &gt; 10</t>
        </is>
      </c>
      <c r="L2726" s="256" t="inlineStr">
        <is>
          <t>5/0008/26</t>
        </is>
      </c>
      <c r="M2726" s="256" t="inlineStr">
        <is>
          <t>20.01.2026</t>
        </is>
      </c>
      <c r="N2726" s="256" t="inlineStr">
        <is>
          <t>IPH — Institute of Public Health</t>
        </is>
      </c>
      <c r="O2726" s="256" t="inlineStr">
        <is>
          <t>—</t>
        </is>
      </c>
      <c r="P2726" s="256" t="inlineStr">
        <is>
          <t>carried from the initial testing (CoQ-PP-2026-0008) — covered</t>
        </is>
      </c>
      <c r="Q2726" s="256" t="inlineStr"/>
      <c r="R2726" s="256" t="inlineStr"/>
    </row>
    <row r="2727">
      <c r="A2727" s="256" t="inlineStr">
        <is>
          <t>CoQ-PP_26-119</t>
        </is>
      </c>
      <c r="B2727" s="256" t="inlineStr">
        <is>
          <t>reissue — retest</t>
        </is>
      </c>
      <c r="C2727" s="256" t="inlineStr">
        <is>
          <t>GP092501</t>
        </is>
      </c>
      <c r="D2727" s="256" t="inlineStr">
        <is>
          <t>P060092</t>
        </is>
      </c>
      <c r="E2727" s="256" t="inlineStr">
        <is>
          <t>Grape Pie</t>
        </is>
      </c>
      <c r="F2727" s="256" t="inlineStr">
        <is>
          <t>18.09.2026</t>
        </is>
      </c>
      <c r="G2727" s="256" t="inlineStr">
        <is>
          <t>9.4</t>
        </is>
      </c>
      <c r="H2727" s="256" t="inlineStr">
        <is>
          <t>Salmonella</t>
        </is>
      </c>
      <c r="I2727" s="256" t="inlineStr">
        <is>
          <t>Ph. Eur. 2.6.31 cat. C</t>
        </is>
      </c>
      <c r="J2727" s="256" t="inlineStr">
        <is>
          <t>Absence | Отсуство / 25 g</t>
        </is>
      </c>
      <c r="K2727" s="256" t="inlineStr">
        <is>
          <t>Absent | Отсутна</t>
        </is>
      </c>
      <c r="L2727" s="256" t="inlineStr">
        <is>
          <t>5/0008/26</t>
        </is>
      </c>
      <c r="M2727" s="256" t="inlineStr">
        <is>
          <t>20.01.2026</t>
        </is>
      </c>
      <c r="N2727" s="256" t="inlineStr">
        <is>
          <t>IPH — Institute of Public Health</t>
        </is>
      </c>
      <c r="O2727" s="256" t="inlineStr">
        <is>
          <t>—</t>
        </is>
      </c>
      <c r="P2727" s="256" t="inlineStr">
        <is>
          <t>carried from the initial testing (CoQ-PP-2026-0008) — covered</t>
        </is>
      </c>
      <c r="Q2727" s="256" t="inlineStr"/>
      <c r="R2727" s="256" t="inlineStr"/>
    </row>
    <row r="2728">
      <c r="A2728" s="256" t="inlineStr">
        <is>
          <t>CoQ-PP_26-119</t>
        </is>
      </c>
      <c r="B2728" s="256" t="inlineStr">
        <is>
          <t>reissue — retest</t>
        </is>
      </c>
      <c r="C2728" s="256" t="inlineStr">
        <is>
          <t>GP092501</t>
        </is>
      </c>
      <c r="D2728" s="256" t="inlineStr">
        <is>
          <t>P060092</t>
        </is>
      </c>
      <c r="E2728" s="256" t="inlineStr">
        <is>
          <t>Grape Pie</t>
        </is>
      </c>
      <c r="F2728" s="256" t="inlineStr">
        <is>
          <t>18.09.2026</t>
        </is>
      </c>
      <c r="G2728" s="256" t="inlineStr">
        <is>
          <t>9.5</t>
        </is>
      </c>
      <c r="H2728" s="256" t="inlineStr">
        <is>
          <t>Escherichia coli</t>
        </is>
      </c>
      <c r="I2728" s="256" t="inlineStr">
        <is>
          <t>Ph. Eur. 2.6.13 cat. C</t>
        </is>
      </c>
      <c r="J2728" s="256" t="inlineStr">
        <is>
          <t>Absence | Отсуство / 1 g</t>
        </is>
      </c>
      <c r="K2728" s="256" t="inlineStr">
        <is>
          <t>Absent | Отсутна</t>
        </is>
      </c>
      <c r="L2728" s="256" t="inlineStr">
        <is>
          <t>5/0008/26</t>
        </is>
      </c>
      <c r="M2728" s="256" t="inlineStr">
        <is>
          <t>20.01.2026</t>
        </is>
      </c>
      <c r="N2728" s="256" t="inlineStr">
        <is>
          <t>IPH — Institute of Public Health</t>
        </is>
      </c>
      <c r="O2728" s="256" t="inlineStr">
        <is>
          <t>—</t>
        </is>
      </c>
      <c r="P2728" s="256" t="inlineStr">
        <is>
          <t>carried from the initial testing (CoQ-PP-2026-0008) — covered</t>
        </is>
      </c>
      <c r="Q2728" s="256" t="inlineStr"/>
      <c r="R2728" s="256" t="inlineStr"/>
    </row>
    <row r="2729">
      <c r="A2729" s="256" t="inlineStr">
        <is>
          <t>CoQ-PP_26-119</t>
        </is>
      </c>
      <c r="B2729" s="256" t="inlineStr">
        <is>
          <t>reissue — retest</t>
        </is>
      </c>
      <c r="C2729" s="256" t="inlineStr">
        <is>
          <t>GP092501</t>
        </is>
      </c>
      <c r="D2729" s="256" t="inlineStr">
        <is>
          <t>P060092</t>
        </is>
      </c>
      <c r="E2729" s="256" t="inlineStr">
        <is>
          <t>Grape Pie</t>
        </is>
      </c>
      <c r="F2729" s="256" t="inlineStr">
        <is>
          <t>18.09.2026</t>
        </is>
      </c>
      <c r="G2729" s="256" t="inlineStr">
        <is>
          <t>9.6</t>
        </is>
      </c>
      <c r="H2729" s="256" t="inlineStr">
        <is>
          <t>Pseudomonas aeruginosa</t>
        </is>
      </c>
      <c r="I2729" s="256" t="inlineStr">
        <is>
          <t>Ph. Eur. 2.6.13 cat. C</t>
        </is>
      </c>
      <c r="J2729" s="256" t="inlineStr">
        <is>
          <t>Absence | Отсуство / 1 g</t>
        </is>
      </c>
      <c r="K2729" s="260" t="inlineStr">
        <is>
          <t>upon request — not required for release</t>
        </is>
      </c>
      <c r="L2729" s="256" t="inlineStr">
        <is>
          <t>—</t>
        </is>
      </c>
      <c r="M2729" s="256" t="inlineStr">
        <is>
          <t>—</t>
        </is>
      </c>
      <c r="N2729" s="256" t="inlineStr">
        <is>
          <t>—</t>
        </is>
      </c>
      <c r="O2729" s="256" t="inlineStr">
        <is>
          <t>—</t>
        </is>
      </c>
      <c r="P2729" s="256" t="inlineStr">
        <is>
          <t>upon request — not required for release</t>
        </is>
      </c>
      <c r="Q2729" s="256" t="inlineStr"/>
      <c r="R2729" s="256" t="inlineStr"/>
    </row>
    <row r="2730">
      <c r="A2730" s="256" t="inlineStr">
        <is>
          <t>CoQ-PP_26-119</t>
        </is>
      </c>
      <c r="B2730" s="256" t="inlineStr">
        <is>
          <t>reissue — retest</t>
        </is>
      </c>
      <c r="C2730" s="256" t="inlineStr">
        <is>
          <t>GP092501</t>
        </is>
      </c>
      <c r="D2730" s="256" t="inlineStr">
        <is>
          <t>P060092</t>
        </is>
      </c>
      <c r="E2730" s="256" t="inlineStr">
        <is>
          <t>Grape Pie</t>
        </is>
      </c>
      <c r="F2730" s="256" t="inlineStr">
        <is>
          <t>18.09.2026</t>
        </is>
      </c>
      <c r="G2730" s="256" t="inlineStr">
        <is>
          <t>9.7</t>
        </is>
      </c>
      <c r="H2730" s="256" t="inlineStr">
        <is>
          <t>Staphylococcus aureus</t>
        </is>
      </c>
      <c r="I2730" s="256" t="inlineStr">
        <is>
          <t>Ph. Eur. 2.6.13 cat. C</t>
        </is>
      </c>
      <c r="J2730" s="256" t="inlineStr">
        <is>
          <t>Absence | Отсуство / 1 g</t>
        </is>
      </c>
      <c r="K2730" s="260" t="inlineStr">
        <is>
          <t>upon request — not required for release</t>
        </is>
      </c>
      <c r="L2730" s="256" t="inlineStr">
        <is>
          <t>—</t>
        </is>
      </c>
      <c r="M2730" s="256" t="inlineStr">
        <is>
          <t>—</t>
        </is>
      </c>
      <c r="N2730" s="256" t="inlineStr">
        <is>
          <t>—</t>
        </is>
      </c>
      <c r="O2730" s="256" t="inlineStr">
        <is>
          <t>—</t>
        </is>
      </c>
      <c r="P2730" s="256" t="inlineStr">
        <is>
          <t>upon request — not required for release</t>
        </is>
      </c>
      <c r="Q2730" s="256" t="inlineStr"/>
      <c r="R2730" s="256" t="inlineStr"/>
    </row>
    <row r="2731">
      <c r="A2731" s="256" t="inlineStr">
        <is>
          <t>CoQ-PP_26-119</t>
        </is>
      </c>
      <c r="B2731" s="256" t="inlineStr">
        <is>
          <t>reissue — retest</t>
        </is>
      </c>
      <c r="C2731" s="256" t="inlineStr">
        <is>
          <t>GP092501</t>
        </is>
      </c>
      <c r="D2731" s="256" t="inlineStr">
        <is>
          <t>P060092</t>
        </is>
      </c>
      <c r="E2731" s="256" t="inlineStr">
        <is>
          <t>Grape Pie</t>
        </is>
      </c>
      <c r="F2731" s="256" t="inlineStr">
        <is>
          <t>18.09.2026</t>
        </is>
      </c>
      <c r="G2731" s="256" t="inlineStr">
        <is>
          <t>10.1</t>
        </is>
      </c>
      <c r="H2731" s="256" t="inlineStr">
        <is>
          <t>Aflatoxin B₁</t>
        </is>
      </c>
      <c r="I2731" s="256" t="inlineStr">
        <is>
          <t>Ph. Eur. 2.8.18 (HPLC-FLD)</t>
        </is>
      </c>
      <c r="J2731" s="256" t="inlineStr">
        <is>
          <t>≤ 2 µg/kg</t>
        </is>
      </c>
      <c r="K2731" s="256" t="inlineStr">
        <is>
          <t>ND</t>
        </is>
      </c>
      <c r="L2731" s="256" t="inlineStr">
        <is>
          <t>220-13-М/26</t>
        </is>
      </c>
      <c r="M2731" s="256" t="inlineStr">
        <is>
          <t>11.09.2026</t>
        </is>
      </c>
      <c r="N2731" s="256" t="inlineStr">
        <is>
          <t>Farmahem</t>
        </is>
      </c>
      <c r="O2731" s="256" t="inlineStr">
        <is>
          <t>17.08.2026</t>
        </is>
      </c>
      <c r="P2731" s="256" t="inlineStr">
        <is>
          <t>covered</t>
        </is>
      </c>
      <c r="Q2731" s="256" t="inlineStr"/>
      <c r="R2731" s="256" t="inlineStr"/>
    </row>
    <row r="2732">
      <c r="A2732" s="256" t="inlineStr">
        <is>
          <t>CoQ-PP_26-119</t>
        </is>
      </c>
      <c r="B2732" s="256" t="inlineStr">
        <is>
          <t>reissue — retest</t>
        </is>
      </c>
      <c r="C2732" s="256" t="inlineStr">
        <is>
          <t>GP092501</t>
        </is>
      </c>
      <c r="D2732" s="256" t="inlineStr">
        <is>
          <t>P060092</t>
        </is>
      </c>
      <c r="E2732" s="256" t="inlineStr">
        <is>
          <t>Grape Pie</t>
        </is>
      </c>
      <c r="F2732" s="256" t="inlineStr">
        <is>
          <t>18.09.2026</t>
        </is>
      </c>
      <c r="G2732" s="256" t="inlineStr">
        <is>
          <t>10.2</t>
        </is>
      </c>
      <c r="H2732" s="256" t="inlineStr">
        <is>
          <t>Aflatoxins ∑</t>
        </is>
      </c>
      <c r="I2732" s="256" t="inlineStr">
        <is>
          <t>Ph. Eur. 2.8.18 (HPLC-FLD)</t>
        </is>
      </c>
      <c r="J2732" s="256" t="inlineStr">
        <is>
          <t>≤ 4 µg/kg</t>
        </is>
      </c>
      <c r="K2732" s="256" t="inlineStr">
        <is>
          <t>ND</t>
        </is>
      </c>
      <c r="L2732" s="256" t="inlineStr">
        <is>
          <t>220-13-М/26</t>
        </is>
      </c>
      <c r="M2732" s="256" t="inlineStr">
        <is>
          <t>11.09.2026</t>
        </is>
      </c>
      <c r="N2732" s="256" t="inlineStr">
        <is>
          <t>Farmahem</t>
        </is>
      </c>
      <c r="O2732" s="256" t="inlineStr">
        <is>
          <t>17.08.2026</t>
        </is>
      </c>
      <c r="P2732" s="256" t="inlineStr">
        <is>
          <t>covered</t>
        </is>
      </c>
      <c r="Q2732" s="256" t="inlineStr"/>
      <c r="R2732" s="256" t="inlineStr"/>
    </row>
    <row r="2733">
      <c r="A2733" s="256" t="inlineStr">
        <is>
          <t>CoQ-PP_26-119</t>
        </is>
      </c>
      <c r="B2733" s="256" t="inlineStr">
        <is>
          <t>reissue — retest</t>
        </is>
      </c>
      <c r="C2733" s="256" t="inlineStr">
        <is>
          <t>GP092501</t>
        </is>
      </c>
      <c r="D2733" s="256" t="inlineStr">
        <is>
          <t>P060092</t>
        </is>
      </c>
      <c r="E2733" s="256" t="inlineStr">
        <is>
          <t>Grape Pie</t>
        </is>
      </c>
      <c r="F2733" s="256" t="inlineStr">
        <is>
          <t>18.09.2026</t>
        </is>
      </c>
      <c r="G2733" s="256" t="inlineStr">
        <is>
          <t>10.3</t>
        </is>
      </c>
      <c r="H2733" s="256" t="inlineStr">
        <is>
          <t>Ochratoxin A</t>
        </is>
      </c>
      <c r="I2733" s="256" t="inlineStr">
        <is>
          <t>Ph. Eur. 2.8.22 (HPLC-FLD)</t>
        </is>
      </c>
      <c r="J2733" s="256" t="inlineStr">
        <is>
          <t>≤ 20 µg/kg</t>
        </is>
      </c>
      <c r="K2733" s="256" t="inlineStr">
        <is>
          <t>ND</t>
        </is>
      </c>
      <c r="L2733" s="256" t="inlineStr">
        <is>
          <t>220-13-М/26</t>
        </is>
      </c>
      <c r="M2733" s="256" t="inlineStr">
        <is>
          <t>11.09.2026</t>
        </is>
      </c>
      <c r="N2733" s="256" t="inlineStr">
        <is>
          <t>Farmahem</t>
        </is>
      </c>
      <c r="O2733" s="256" t="inlineStr">
        <is>
          <t>17.08.2026</t>
        </is>
      </c>
      <c r="P2733" s="256" t="inlineStr">
        <is>
          <t>covered</t>
        </is>
      </c>
      <c r="Q2733" s="256" t="inlineStr"/>
      <c r="R2733" s="256" t="inlineStr"/>
    </row>
    <row r="2734">
      <c r="A2734" s="256" t="inlineStr">
        <is>
          <t>CoQ-PP_26-119</t>
        </is>
      </c>
      <c r="B2734" s="256" t="inlineStr">
        <is>
          <t>reissue — retest</t>
        </is>
      </c>
      <c r="C2734" s="256" t="inlineStr">
        <is>
          <t>GP092501</t>
        </is>
      </c>
      <c r="D2734" s="256" t="inlineStr">
        <is>
          <t>P060092</t>
        </is>
      </c>
      <c r="E2734" s="256" t="inlineStr">
        <is>
          <t>Grape Pie</t>
        </is>
      </c>
      <c r="F2734" s="256" t="inlineStr">
        <is>
          <t>18.09.2026</t>
        </is>
      </c>
      <c r="G2734" s="256" t="inlineStr">
        <is>
          <t>11.1</t>
        </is>
      </c>
      <c r="H2734" s="256" t="inlineStr">
        <is>
          <t>Lead (Pb)</t>
        </is>
      </c>
      <c r="I2734" s="256" t="inlineStr">
        <is>
          <t>Ph. Eur. 2.4.27 (ICP-MS)</t>
        </is>
      </c>
      <c r="J2734" s="256" t="inlineStr">
        <is>
          <t>≤ 0.5 mg/kg</t>
        </is>
      </c>
      <c r="K2734" s="256" t="inlineStr">
        <is>
          <t>0.022</t>
        </is>
      </c>
      <c r="L2734" s="256" t="inlineStr">
        <is>
          <t>88/2026</t>
        </is>
      </c>
      <c r="M2734" s="256" t="inlineStr">
        <is>
          <t>03.02.2026</t>
        </is>
      </c>
      <c r="N2734" s="256" t="inlineStr">
        <is>
          <t>IPH — Institute of Public Health</t>
        </is>
      </c>
      <c r="O2734" s="256" t="inlineStr">
        <is>
          <t>08.01.2026</t>
        </is>
      </c>
      <c r="P2734" s="256" t="inlineStr">
        <is>
          <t>carried from the initial testing (CoQ-PP-2026-0008) — covered</t>
        </is>
      </c>
      <c r="Q2734" s="256" t="inlineStr"/>
      <c r="R2734" s="256" t="inlineStr"/>
    </row>
    <row r="2735">
      <c r="A2735" s="256" t="inlineStr">
        <is>
          <t>CoQ-PP_26-119</t>
        </is>
      </c>
      <c r="B2735" s="256" t="inlineStr">
        <is>
          <t>reissue — retest</t>
        </is>
      </c>
      <c r="C2735" s="256" t="inlineStr">
        <is>
          <t>GP092501</t>
        </is>
      </c>
      <c r="D2735" s="256" t="inlineStr">
        <is>
          <t>P060092</t>
        </is>
      </c>
      <c r="E2735" s="256" t="inlineStr">
        <is>
          <t>Grape Pie</t>
        </is>
      </c>
      <c r="F2735" s="256" t="inlineStr">
        <is>
          <t>18.09.2026</t>
        </is>
      </c>
      <c r="G2735" s="256" t="inlineStr">
        <is>
          <t>11.2</t>
        </is>
      </c>
      <c r="H2735" s="256" t="inlineStr">
        <is>
          <t>Cadmium (Cd)</t>
        </is>
      </c>
      <c r="I2735" s="256" t="inlineStr">
        <is>
          <t>Ph. Eur. 2.4.27 (ICP-MS)</t>
        </is>
      </c>
      <c r="J2735" s="256" t="inlineStr">
        <is>
          <t>≤ 0.3 mg/kg</t>
        </is>
      </c>
      <c r="K2735" s="256" t="inlineStr">
        <is>
          <t>ND</t>
        </is>
      </c>
      <c r="L2735" s="256" t="inlineStr">
        <is>
          <t>88/2026</t>
        </is>
      </c>
      <c r="M2735" s="256" t="inlineStr">
        <is>
          <t>03.02.2026</t>
        </is>
      </c>
      <c r="N2735" s="256" t="inlineStr">
        <is>
          <t>IPH — Institute of Public Health</t>
        </is>
      </c>
      <c r="O2735" s="256" t="inlineStr">
        <is>
          <t>08.01.2026</t>
        </is>
      </c>
      <c r="P2735" s="256" t="inlineStr">
        <is>
          <t>carried from the initial testing (CoQ-PP-2026-0008) — covered</t>
        </is>
      </c>
      <c r="Q2735" s="256" t="inlineStr"/>
      <c r="R2735" s="256" t="inlineStr"/>
    </row>
    <row r="2736">
      <c r="A2736" s="256" t="inlineStr">
        <is>
          <t>CoQ-PP_26-119</t>
        </is>
      </c>
      <c r="B2736" s="256" t="inlineStr">
        <is>
          <t>reissue — retest</t>
        </is>
      </c>
      <c r="C2736" s="256" t="inlineStr">
        <is>
          <t>GP092501</t>
        </is>
      </c>
      <c r="D2736" s="256" t="inlineStr">
        <is>
          <t>P060092</t>
        </is>
      </c>
      <c r="E2736" s="256" t="inlineStr">
        <is>
          <t>Grape Pie</t>
        </is>
      </c>
      <c r="F2736" s="256" t="inlineStr">
        <is>
          <t>18.09.2026</t>
        </is>
      </c>
      <c r="G2736" s="256" t="inlineStr">
        <is>
          <t>11.3</t>
        </is>
      </c>
      <c r="H2736" s="256" t="inlineStr">
        <is>
          <t>Arsenic (As)</t>
        </is>
      </c>
      <c r="I2736" s="256" t="inlineStr">
        <is>
          <t>Ph. Eur. 2.4.27 (ICP-MS)</t>
        </is>
      </c>
      <c r="J2736" s="256" t="inlineStr">
        <is>
          <t>≤ 0.2 mg/kg</t>
        </is>
      </c>
      <c r="K2736" s="256" t="inlineStr">
        <is>
          <t>ND</t>
        </is>
      </c>
      <c r="L2736" s="256" t="inlineStr">
        <is>
          <t>88/2026</t>
        </is>
      </c>
      <c r="M2736" s="256" t="inlineStr">
        <is>
          <t>03.02.2026</t>
        </is>
      </c>
      <c r="N2736" s="256" t="inlineStr">
        <is>
          <t>IPH — Institute of Public Health</t>
        </is>
      </c>
      <c r="O2736" s="256" t="inlineStr">
        <is>
          <t>08.01.2026</t>
        </is>
      </c>
      <c r="P2736" s="256" t="inlineStr">
        <is>
          <t>carried from the initial testing (CoQ-PP-2026-0008) — covered</t>
        </is>
      </c>
      <c r="Q2736" s="256" t="inlineStr"/>
      <c r="R2736" s="256" t="inlineStr"/>
    </row>
    <row r="2737">
      <c r="A2737" s="256" t="inlineStr">
        <is>
          <t>CoQ-PP_26-119</t>
        </is>
      </c>
      <c r="B2737" s="256" t="inlineStr">
        <is>
          <t>reissue — retest</t>
        </is>
      </c>
      <c r="C2737" s="256" t="inlineStr">
        <is>
          <t>GP092501</t>
        </is>
      </c>
      <c r="D2737" s="256" t="inlineStr">
        <is>
          <t>P060092</t>
        </is>
      </c>
      <c r="E2737" s="256" t="inlineStr">
        <is>
          <t>Grape Pie</t>
        </is>
      </c>
      <c r="F2737" s="256" t="inlineStr">
        <is>
          <t>18.09.2026</t>
        </is>
      </c>
      <c r="G2737" s="256" t="inlineStr">
        <is>
          <t>11.4</t>
        </is>
      </c>
      <c r="H2737" s="256" t="inlineStr">
        <is>
          <t>Mercury (Hg)</t>
        </is>
      </c>
      <c r="I2737" s="256" t="inlineStr">
        <is>
          <t>Ph. Eur. 2.4.27 (ICP-MS)</t>
        </is>
      </c>
      <c r="J2737" s="256" t="inlineStr">
        <is>
          <t>≤ 0.1 mg/kg</t>
        </is>
      </c>
      <c r="K2737" s="256" t="inlineStr">
        <is>
          <t>0.007</t>
        </is>
      </c>
      <c r="L2737" s="256" t="inlineStr">
        <is>
          <t>88/2026</t>
        </is>
      </c>
      <c r="M2737" s="256" t="inlineStr">
        <is>
          <t>03.02.2026</t>
        </is>
      </c>
      <c r="N2737" s="256" t="inlineStr">
        <is>
          <t>IPH — Institute of Public Health</t>
        </is>
      </c>
      <c r="O2737" s="256" t="inlineStr">
        <is>
          <t>08.01.2026</t>
        </is>
      </c>
      <c r="P2737" s="256" t="inlineStr">
        <is>
          <t>carried from the initial testing (CoQ-PP-2026-0008) — covered</t>
        </is>
      </c>
      <c r="Q2737" s="256" t="inlineStr"/>
      <c r="R2737" s="256" t="inlineStr"/>
    </row>
    <row r="2738">
      <c r="A2738" s="256" t="inlineStr">
        <is>
          <t>CoQ-PP_26-119</t>
        </is>
      </c>
      <c r="B2738" s="256" t="inlineStr">
        <is>
          <t>reissue — retest</t>
        </is>
      </c>
      <c r="C2738" s="256" t="inlineStr">
        <is>
          <t>GP092501</t>
        </is>
      </c>
      <c r="D2738" s="256" t="inlineStr">
        <is>
          <t>P060092</t>
        </is>
      </c>
      <c r="E2738" s="256" t="inlineStr">
        <is>
          <t>Grape Pie</t>
        </is>
      </c>
      <c r="F2738" s="256" t="inlineStr">
        <is>
          <t>18.09.2026</t>
        </is>
      </c>
      <c r="G2738" s="256" t="inlineStr">
        <is>
          <t>12</t>
        </is>
      </c>
      <c r="H2738" s="256" t="inlineStr">
        <is>
          <t>Pesticide Residues</t>
        </is>
      </c>
      <c r="I2738" s="256" t="inlineStr">
        <is>
          <t>Ph. Eur. 2.8.13 (LC-MS/MS) · CUMCS Equivalency</t>
        </is>
      </c>
      <c r="J2738" s="256" t="inlineStr">
        <is>
          <t>≤ LOQ as per Ph. Eur. 2.8.13 · ≤ LOQ as per CUMCS Equivalency</t>
        </is>
      </c>
      <c r="K2738" s="256" t="inlineStr">
        <is>
          <t>ND</t>
        </is>
      </c>
      <c r="L2738" s="256" t="inlineStr">
        <is>
          <t>88/2026</t>
        </is>
      </c>
      <c r="M2738" s="256" t="inlineStr">
        <is>
          <t>03.02.2026</t>
        </is>
      </c>
      <c r="N2738" s="256" t="inlineStr">
        <is>
          <t>IPH — Institute of Public Health</t>
        </is>
      </c>
      <c r="O2738" s="256" t="inlineStr">
        <is>
          <t>08.01.2026</t>
        </is>
      </c>
      <c r="P2738" s="256" t="inlineStr">
        <is>
          <t>carried from the initial testing (CoQ-PP-2026-0008) — covered</t>
        </is>
      </c>
      <c r="Q2738" s="256" t="inlineStr"/>
      <c r="R2738" s="256" t="inlineStr"/>
    </row>
    <row r="2739">
      <c r="A2739" s="256" t="inlineStr">
        <is>
          <t>CoQ-PP_26-120</t>
        </is>
      </c>
      <c r="B2739" s="256" t="inlineStr">
        <is>
          <t>reissue — retest</t>
        </is>
      </c>
      <c r="C2739" s="256" t="inlineStr">
        <is>
          <t>GRC102501/2</t>
        </is>
      </c>
      <c r="D2739" s="256" t="inlineStr">
        <is>
          <t>P060182</t>
        </is>
      </c>
      <c r="E2739" s="256" t="inlineStr">
        <is>
          <t>Grapes And Cream</t>
        </is>
      </c>
      <c r="F2739" s="256" t="inlineStr">
        <is>
          <t>18.09.2026</t>
        </is>
      </c>
      <c r="G2739" s="256" t="inlineStr">
        <is>
          <t>1</t>
        </is>
      </c>
      <c r="H2739" s="256" t="inlineStr">
        <is>
          <t>Identification A, Appearance · Macroscopic</t>
        </is>
      </c>
      <c r="I2739" s="256" t="inlineStr">
        <is>
          <t>Ph. Eur. mon. 3028</t>
        </is>
      </c>
      <c r="J2739" s="256" t="inlineStr">
        <is>
          <t>Conforms to the monograph for Cannabis flos (07/2024:3028) in Ph. Eur. 11.0 | Согласно монографија за Cannabis flos (07/2024:3028) во Ph. Eur. 11.0</t>
        </is>
      </c>
      <c r="K2739" s="256" t="inlineStr">
        <is>
          <t>Conforms | Одговара</t>
        </is>
      </c>
      <c r="L2739" s="256" t="inlineStr">
        <is>
          <t>iCoA-PP_26-136</t>
        </is>
      </c>
      <c r="M2739" s="256" t="inlineStr">
        <is>
          <t>17.08.2026</t>
        </is>
      </c>
      <c r="N2739" s="256" t="inlineStr">
        <is>
          <t>Purely Plant GmbH (in-house)</t>
        </is>
      </c>
      <c r="O2739" s="256" t="inlineStr">
        <is>
          <t>—</t>
        </is>
      </c>
      <c r="P2739" s="256" t="inlineStr">
        <is>
          <t>to be performed — see route</t>
        </is>
      </c>
      <c r="Q2739" s="256" t="inlineStr">
        <is>
          <t>Farmahem — Ident A + B + C with the Assay, at retest</t>
        </is>
      </c>
      <c r="R2739" s="256" t="inlineStr"/>
    </row>
    <row r="2740">
      <c r="A2740" s="256" t="inlineStr">
        <is>
          <t>CoQ-PP_26-120</t>
        </is>
      </c>
      <c r="B2740" s="256" t="inlineStr">
        <is>
          <t>reissue — retest</t>
        </is>
      </c>
      <c r="C2740" s="256" t="inlineStr">
        <is>
          <t>GRC102501/2</t>
        </is>
      </c>
      <c r="D2740" s="256" t="inlineStr">
        <is>
          <t>P060182</t>
        </is>
      </c>
      <c r="E2740" s="256" t="inlineStr">
        <is>
          <t>Grapes And Cream</t>
        </is>
      </c>
      <c r="F2740" s="256" t="inlineStr">
        <is>
          <t>18.09.2026</t>
        </is>
      </c>
      <c r="G2740" s="256" t="inlineStr">
        <is>
          <t>2</t>
        </is>
      </c>
      <c r="H2740" s="256" t="inlineStr">
        <is>
          <t>Identification B · Microscopic</t>
        </is>
      </c>
      <c r="I2740" s="256" t="inlineStr">
        <is>
          <t>Ph. Eur. 2.8.23 (microscopy)</t>
        </is>
      </c>
      <c r="J2740" s="256" t="inlineStr">
        <is>
          <t>Conforms to the monograph for Cannabis flos (07/2024:3028) in Ph. Eur. 11.0 | Согласно монографија за Cannabis flos (07/2024:3028) во Ph. Eur. 11.0</t>
        </is>
      </c>
      <c r="K2740" s="256" t="inlineStr">
        <is>
          <t>Conforms | Одговара</t>
        </is>
      </c>
      <c r="L2740" s="256" t="inlineStr">
        <is>
          <t>iCoA-PP_26-136</t>
        </is>
      </c>
      <c r="M2740" s="256" t="inlineStr">
        <is>
          <t>17.08.2026</t>
        </is>
      </c>
      <c r="N2740" s="256" t="inlineStr">
        <is>
          <t>Purely Plant GmbH (in-house)</t>
        </is>
      </c>
      <c r="O2740" s="256" t="inlineStr">
        <is>
          <t>—</t>
        </is>
      </c>
      <c r="P2740" s="256" t="inlineStr">
        <is>
          <t>to be performed — see route</t>
        </is>
      </c>
      <c r="Q2740" s="256" t="inlineStr">
        <is>
          <t>Farmahem — Ident A + B + C with the Assay, at retest</t>
        </is>
      </c>
      <c r="R2740" s="256" t="inlineStr"/>
    </row>
    <row r="2741">
      <c r="A2741" s="256" t="inlineStr">
        <is>
          <t>CoQ-PP_26-120</t>
        </is>
      </c>
      <c r="B2741" s="256" t="inlineStr">
        <is>
          <t>reissue — retest</t>
        </is>
      </c>
      <c r="C2741" s="256" t="inlineStr">
        <is>
          <t>GRC102501/2</t>
        </is>
      </c>
      <c r="D2741" s="256" t="inlineStr">
        <is>
          <t>P060182</t>
        </is>
      </c>
      <c r="E2741" s="256" t="inlineStr">
        <is>
          <t>Grapes And Cream</t>
        </is>
      </c>
      <c r="F2741" s="256" t="inlineStr">
        <is>
          <t>18.09.2026</t>
        </is>
      </c>
      <c r="G2741" s="256" t="inlineStr">
        <is>
          <t>3</t>
        </is>
      </c>
      <c r="H2741" s="256" t="inlineStr">
        <is>
          <t>Identification C · HPLC/HPTLC</t>
        </is>
      </c>
      <c r="I2741" s="256" t="inlineStr">
        <is>
          <t>Ph. Eur. 2.2.29 (3028)</t>
        </is>
      </c>
      <c r="J2741" s="256" t="inlineStr">
        <is>
          <t>Conforms to the monograph for Cannabis flos (07/2024:3028) in Ph. Eur. 11.0 | Согласно монографија за Cannabis flos (07/2024:3028) во Ph. Eur. 11.0</t>
        </is>
      </c>
      <c r="K2741" s="256" t="inlineStr">
        <is>
          <t>Conforms | Одговара</t>
        </is>
      </c>
      <c r="L2741" s="256" t="inlineStr">
        <is>
          <t>220-14-К/26</t>
        </is>
      </c>
      <c r="M2741" s="256" t="inlineStr">
        <is>
          <t>25.08.2026</t>
        </is>
      </c>
      <c r="N2741" s="256" t="inlineStr">
        <is>
          <t>Farmahem</t>
        </is>
      </c>
      <c r="O2741" s="256" t="inlineStr">
        <is>
          <t>17.08.2026</t>
        </is>
      </c>
      <c r="P2741" s="256" t="inlineStr">
        <is>
          <t>covered</t>
        </is>
      </c>
      <c r="Q2741" s="256" t="inlineStr"/>
      <c r="R2741" s="256" t="inlineStr"/>
    </row>
    <row r="2742">
      <c r="A2742" s="256" t="inlineStr">
        <is>
          <t>CoQ-PP_26-120</t>
        </is>
      </c>
      <c r="B2742" s="256" t="inlineStr">
        <is>
          <t>reissue — retest</t>
        </is>
      </c>
      <c r="C2742" s="256" t="inlineStr">
        <is>
          <t>GRC102501/2</t>
        </is>
      </c>
      <c r="D2742" s="256" t="inlineStr">
        <is>
          <t>P060182</t>
        </is>
      </c>
      <c r="E2742" s="256" t="inlineStr">
        <is>
          <t>Grapes And Cream</t>
        </is>
      </c>
      <c r="F2742" s="256" t="inlineStr">
        <is>
          <t>18.09.2026</t>
        </is>
      </c>
      <c r="G2742" s="256" t="inlineStr">
        <is>
          <t>4</t>
        </is>
      </c>
      <c r="H2742" s="256" t="inlineStr">
        <is>
          <t>Assay — Total Δ⁹-THC</t>
        </is>
      </c>
      <c r="I2742" s="256" t="inlineStr">
        <is>
          <t>Ph. Eur. 2.2.29 (HPLC)</t>
        </is>
      </c>
      <c r="J2742" s="256" t="inlineStr">
        <is>
          <t>9.00 – 10.99 %  (grade II, nominal 10.00 ± 1.00)</t>
        </is>
      </c>
      <c r="K2742" s="256" t="inlineStr">
        <is>
          <t>9.80</t>
        </is>
      </c>
      <c r="L2742" s="256" t="inlineStr">
        <is>
          <t>220-14-К/26</t>
        </is>
      </c>
      <c r="M2742" s="256" t="inlineStr">
        <is>
          <t>25.08.2026</t>
        </is>
      </c>
      <c r="N2742" s="256" t="inlineStr">
        <is>
          <t>Farmahem</t>
        </is>
      </c>
      <c r="O2742" s="256" t="inlineStr">
        <is>
          <t>17.08.2026</t>
        </is>
      </c>
      <c r="P2742" s="256" t="inlineStr">
        <is>
          <t>covered</t>
        </is>
      </c>
      <c r="Q2742" s="256" t="inlineStr"/>
      <c r="R2742" s="256" t="inlineStr"/>
    </row>
    <row r="2743">
      <c r="A2743" s="256" t="inlineStr">
        <is>
          <t>CoQ-PP_26-120</t>
        </is>
      </c>
      <c r="B2743" s="256" t="inlineStr">
        <is>
          <t>reissue — retest</t>
        </is>
      </c>
      <c r="C2743" s="256" t="inlineStr">
        <is>
          <t>GRC102501/2</t>
        </is>
      </c>
      <c r="D2743" s="256" t="inlineStr">
        <is>
          <t>P060182</t>
        </is>
      </c>
      <c r="E2743" s="256" t="inlineStr">
        <is>
          <t>Grapes And Cream</t>
        </is>
      </c>
      <c r="F2743" s="256" t="inlineStr">
        <is>
          <t>18.09.2026</t>
        </is>
      </c>
      <c r="G2743" s="256" t="inlineStr">
        <is>
          <t>5</t>
        </is>
      </c>
      <c r="H2743" s="256" t="inlineStr">
        <is>
          <t>Assay — Total CBD</t>
        </is>
      </c>
      <c r="I2743" s="256" t="inlineStr">
        <is>
          <t>Ph. Eur. 2.2.29 (HPLC) · CBD + CBDA x 0.877</t>
        </is>
      </c>
      <c r="J2743" s="256" t="inlineStr">
        <is>
          <t>≤ 1.0%, w/w</t>
        </is>
      </c>
      <c r="K2743" s="256" t="inlineStr">
        <is>
          <t>&lt; LOQ</t>
        </is>
      </c>
      <c r="L2743" s="256" t="inlineStr">
        <is>
          <t>220-14-К/26</t>
        </is>
      </c>
      <c r="M2743" s="256" t="inlineStr">
        <is>
          <t>25.08.2026</t>
        </is>
      </c>
      <c r="N2743" s="256" t="inlineStr">
        <is>
          <t>Farmahem</t>
        </is>
      </c>
      <c r="O2743" s="256" t="inlineStr">
        <is>
          <t>17.08.2026</t>
        </is>
      </c>
      <c r="P2743" s="256" t="inlineStr">
        <is>
          <t>covered</t>
        </is>
      </c>
      <c r="Q2743" s="256" t="inlineStr"/>
      <c r="R2743" s="256" t="inlineStr"/>
    </row>
    <row r="2744">
      <c r="A2744" s="256" t="inlineStr">
        <is>
          <t>CoQ-PP_26-120</t>
        </is>
      </c>
      <c r="B2744" s="256" t="inlineStr">
        <is>
          <t>reissue — retest</t>
        </is>
      </c>
      <c r="C2744" s="256" t="inlineStr">
        <is>
          <t>GRC102501/2</t>
        </is>
      </c>
      <c r="D2744" s="256" t="inlineStr">
        <is>
          <t>P060182</t>
        </is>
      </c>
      <c r="E2744" s="256" t="inlineStr">
        <is>
          <t>Grapes And Cream</t>
        </is>
      </c>
      <c r="F2744" s="256" t="inlineStr">
        <is>
          <t>18.09.2026</t>
        </is>
      </c>
      <c r="G2744" s="256" t="inlineStr">
        <is>
          <t>6</t>
        </is>
      </c>
      <c r="H2744" s="256" t="inlineStr">
        <is>
          <t>Total CBN</t>
        </is>
      </c>
      <c r="I2744" s="256" t="inlineStr">
        <is>
          <t>Ph. Eur. 2.2.29 (HPLC) · CBN + CBNA x 0.876</t>
        </is>
      </c>
      <c r="J2744" s="256" t="inlineStr">
        <is>
          <t>≤ 1.0%, w/w</t>
        </is>
      </c>
      <c r="K2744" s="256" t="inlineStr">
        <is>
          <t>&lt; LOQ</t>
        </is>
      </c>
      <c r="L2744" s="256" t="inlineStr">
        <is>
          <t>220-14-К/26</t>
        </is>
      </c>
      <c r="M2744" s="256" t="inlineStr">
        <is>
          <t>25.08.2026</t>
        </is>
      </c>
      <c r="N2744" s="256" t="inlineStr">
        <is>
          <t>Farmahem</t>
        </is>
      </c>
      <c r="O2744" s="256" t="inlineStr">
        <is>
          <t>17.08.2026</t>
        </is>
      </c>
      <c r="P2744" s="256" t="inlineStr">
        <is>
          <t>covered</t>
        </is>
      </c>
      <c r="Q2744" s="256" t="inlineStr"/>
      <c r="R2744" s="256" t="inlineStr"/>
    </row>
    <row r="2745">
      <c r="A2745" s="256" t="inlineStr">
        <is>
          <t>CoQ-PP_26-120</t>
        </is>
      </c>
      <c r="B2745" s="256" t="inlineStr">
        <is>
          <t>reissue — retest</t>
        </is>
      </c>
      <c r="C2745" s="256" t="inlineStr">
        <is>
          <t>GRC102501/2</t>
        </is>
      </c>
      <c r="D2745" s="256" t="inlineStr">
        <is>
          <t>P060182</t>
        </is>
      </c>
      <c r="E2745" s="256" t="inlineStr">
        <is>
          <t>Grapes And Cream</t>
        </is>
      </c>
      <c r="F2745" s="256" t="inlineStr">
        <is>
          <t>18.09.2026</t>
        </is>
      </c>
      <c r="G2745" s="256" t="inlineStr">
        <is>
          <t>7</t>
        </is>
      </c>
      <c r="H2745" s="256" t="inlineStr">
        <is>
          <t>Foreign Matter</t>
        </is>
      </c>
      <c r="I2745" s="256" t="inlineStr">
        <is>
          <t>Ph. Eur. 2.8.2 · In-house · интерна</t>
        </is>
      </c>
      <c r="J2745" s="256" t="inlineStr">
        <is>
          <t>≤ 2.0% / 25–50 g · &lt; 1 cm leaves | листови, no seeds | без семки</t>
        </is>
      </c>
      <c r="K2745" s="256" t="inlineStr">
        <is>
          <t>Conforms | Одговара</t>
        </is>
      </c>
      <c r="L2745" s="256" t="inlineStr">
        <is>
          <t>iCoA-PP_26-136</t>
        </is>
      </c>
      <c r="M2745" s="256" t="inlineStr">
        <is>
          <t>17.08.2026</t>
        </is>
      </c>
      <c r="N2745" s="256" t="inlineStr">
        <is>
          <t>Purely Plant GmbH (in-house)</t>
        </is>
      </c>
      <c r="O2745" s="256" t="inlineStr">
        <is>
          <t>—</t>
        </is>
      </c>
      <c r="P2745" s="256" t="inlineStr">
        <is>
          <t>to be performed — see route</t>
        </is>
      </c>
      <c r="Q2745" s="256" t="inlineStr">
        <is>
          <t>Purely Plant laboratory — iCoA covering Foreign matter</t>
        </is>
      </c>
      <c r="R2745" s="256" t="inlineStr"/>
    </row>
    <row r="2746">
      <c r="A2746" s="256" t="inlineStr">
        <is>
          <t>CoQ-PP_26-120</t>
        </is>
      </c>
      <c r="B2746" s="256" t="inlineStr">
        <is>
          <t>reissue — retest</t>
        </is>
      </c>
      <c r="C2746" s="256" t="inlineStr">
        <is>
          <t>GRC102501/2</t>
        </is>
      </c>
      <c r="D2746" s="256" t="inlineStr">
        <is>
          <t>P060182</t>
        </is>
      </c>
      <c r="E2746" s="256" t="inlineStr">
        <is>
          <t>Grapes And Cream</t>
        </is>
      </c>
      <c r="F2746" s="256" t="inlineStr">
        <is>
          <t>18.09.2026</t>
        </is>
      </c>
      <c r="G2746" s="256" t="inlineStr">
        <is>
          <t>8</t>
        </is>
      </c>
      <c r="H2746" s="256" t="inlineStr">
        <is>
          <t>Loss on Drying</t>
        </is>
      </c>
      <c r="I2746" s="256" t="inlineStr">
        <is>
          <t>Ph. Eur. 2.2.32 (3028) · at 40 °C, 24 h, 15–25 mbar</t>
        </is>
      </c>
      <c r="J2746" s="256" t="inlineStr">
        <is>
          <t>≤ 12.0%</t>
        </is>
      </c>
      <c r="K2746" s="256" t="inlineStr">
        <is>
          <t>7.7</t>
        </is>
      </c>
      <c r="L2746" s="256" t="inlineStr">
        <is>
          <t>051-6-ГС/26</t>
        </is>
      </c>
      <c r="M2746" s="256" t="inlineStr">
        <is>
          <t>02.03.2026</t>
        </is>
      </c>
      <c r="N2746" s="256" t="inlineStr">
        <is>
          <t>Farmahem</t>
        </is>
      </c>
      <c r="O2746" s="256" t="inlineStr">
        <is>
          <t>—</t>
        </is>
      </c>
      <c r="P2746" s="256" t="inlineStr">
        <is>
          <t>carried from the initial testing (CoQ-PP-2026-0014) — covered</t>
        </is>
      </c>
      <c r="Q2746" s="256" t="inlineStr"/>
      <c r="R2746" s="256" t="inlineStr"/>
    </row>
    <row r="2747">
      <c r="A2747" s="256" t="inlineStr">
        <is>
          <t>CoQ-PP_26-120</t>
        </is>
      </c>
      <c r="B2747" s="256" t="inlineStr">
        <is>
          <t>reissue — retest</t>
        </is>
      </c>
      <c r="C2747" s="256" t="inlineStr">
        <is>
          <t>GRC102501/2</t>
        </is>
      </c>
      <c r="D2747" s="256" t="inlineStr">
        <is>
          <t>P060182</t>
        </is>
      </c>
      <c r="E2747" s="256" t="inlineStr">
        <is>
          <t>Grapes And Cream</t>
        </is>
      </c>
      <c r="F2747" s="256" t="inlineStr">
        <is>
          <t>18.09.2026</t>
        </is>
      </c>
      <c r="G2747" s="256" t="inlineStr">
        <is>
          <t>9.1</t>
        </is>
      </c>
      <c r="H2747" s="256" t="inlineStr">
        <is>
          <t>TAMC</t>
        </is>
      </c>
      <c r="I2747" s="256" t="inlineStr">
        <is>
          <t>Ph. Eur. 2.6.12 cat. C</t>
        </is>
      </c>
      <c r="J2747" s="256" t="inlineStr">
        <is>
          <t>≤ 10⁵ CFU/g</t>
        </is>
      </c>
      <c r="K2747" s="256" t="inlineStr">
        <is>
          <t>2.3 × 10²</t>
        </is>
      </c>
      <c r="L2747" s="256" t="inlineStr">
        <is>
          <t>136/0233/26</t>
        </is>
      </c>
      <c r="M2747" s="256" t="inlineStr">
        <is>
          <t>06.03.2026</t>
        </is>
      </c>
      <c r="N2747" s="256" t="inlineStr">
        <is>
          <t>IPH — Institute of Public Health</t>
        </is>
      </c>
      <c r="O2747" s="256" t="inlineStr">
        <is>
          <t>—</t>
        </is>
      </c>
      <c r="P2747" s="256" t="inlineStr">
        <is>
          <t>covered</t>
        </is>
      </c>
      <c r="Q2747" s="256" t="inlineStr"/>
      <c r="R2747" s="256" t="inlineStr"/>
    </row>
    <row r="2748">
      <c r="A2748" s="256" t="inlineStr">
        <is>
          <t>CoQ-PP_26-120</t>
        </is>
      </c>
      <c r="B2748" s="256" t="inlineStr">
        <is>
          <t>reissue — retest</t>
        </is>
      </c>
      <c r="C2748" s="256" t="inlineStr">
        <is>
          <t>GRC102501/2</t>
        </is>
      </c>
      <c r="D2748" s="256" t="inlineStr">
        <is>
          <t>P060182</t>
        </is>
      </c>
      <c r="E2748" s="256" t="inlineStr">
        <is>
          <t>Grapes And Cream</t>
        </is>
      </c>
      <c r="F2748" s="256" t="inlineStr">
        <is>
          <t>18.09.2026</t>
        </is>
      </c>
      <c r="G2748" s="256" t="inlineStr">
        <is>
          <t>9.2</t>
        </is>
      </c>
      <c r="H2748" s="256" t="inlineStr">
        <is>
          <t>TYMC</t>
        </is>
      </c>
      <c r="I2748" s="256" t="inlineStr">
        <is>
          <t>Ph. Eur. 2.6.12 cat. C</t>
        </is>
      </c>
      <c r="J2748" s="256" t="inlineStr">
        <is>
          <t>≤ 10⁴ CFU/g</t>
        </is>
      </c>
      <c r="K2748" s="256" t="inlineStr">
        <is>
          <t>1.3 × 10²</t>
        </is>
      </c>
      <c r="L2748" s="256" t="inlineStr">
        <is>
          <t>136/0233/26</t>
        </is>
      </c>
      <c r="M2748" s="256" t="inlineStr">
        <is>
          <t>06.03.2026</t>
        </is>
      </c>
      <c r="N2748" s="256" t="inlineStr">
        <is>
          <t>IPH — Institute of Public Health</t>
        </is>
      </c>
      <c r="O2748" s="256" t="inlineStr">
        <is>
          <t>—</t>
        </is>
      </c>
      <c r="P2748" s="256" t="inlineStr">
        <is>
          <t>covered</t>
        </is>
      </c>
      <c r="Q2748" s="256" t="inlineStr"/>
      <c r="R2748" s="256" t="inlineStr"/>
    </row>
    <row r="2749">
      <c r="A2749" s="256" t="inlineStr">
        <is>
          <t>CoQ-PP_26-120</t>
        </is>
      </c>
      <c r="B2749" s="256" t="inlineStr">
        <is>
          <t>reissue — retest</t>
        </is>
      </c>
      <c r="C2749" s="256" t="inlineStr">
        <is>
          <t>GRC102501/2</t>
        </is>
      </c>
      <c r="D2749" s="256" t="inlineStr">
        <is>
          <t>P060182</t>
        </is>
      </c>
      <c r="E2749" s="256" t="inlineStr">
        <is>
          <t>Grapes And Cream</t>
        </is>
      </c>
      <c r="F2749" s="256" t="inlineStr">
        <is>
          <t>18.09.2026</t>
        </is>
      </c>
      <c r="G2749" s="256" t="inlineStr">
        <is>
          <t>9.3</t>
        </is>
      </c>
      <c r="H2749" s="256" t="inlineStr">
        <is>
          <t>Bile-tolerant gram-neg.</t>
        </is>
      </c>
      <c r="I2749" s="256" t="inlineStr">
        <is>
          <t>Ph. Eur. 2.6.31 cat. C</t>
        </is>
      </c>
      <c r="J2749" s="256" t="inlineStr">
        <is>
          <t>≤ 10⁴ CFU/g</t>
        </is>
      </c>
      <c r="K2749" s="256" t="inlineStr">
        <is>
          <t>&lt; 10</t>
        </is>
      </c>
      <c r="L2749" s="256" t="inlineStr">
        <is>
          <t>136/0233/26</t>
        </is>
      </c>
      <c r="M2749" s="256" t="inlineStr">
        <is>
          <t>06.03.2026</t>
        </is>
      </c>
      <c r="N2749" s="256" t="inlineStr">
        <is>
          <t>IPH — Institute of Public Health</t>
        </is>
      </c>
      <c r="O2749" s="256" t="inlineStr">
        <is>
          <t>—</t>
        </is>
      </c>
      <c r="P2749" s="256" t="inlineStr">
        <is>
          <t>covered</t>
        </is>
      </c>
      <c r="Q2749" s="256" t="inlineStr"/>
      <c r="R2749" s="256" t="inlineStr"/>
    </row>
    <row r="2750">
      <c r="A2750" s="256" t="inlineStr">
        <is>
          <t>CoQ-PP_26-120</t>
        </is>
      </c>
      <c r="B2750" s="256" t="inlineStr">
        <is>
          <t>reissue — retest</t>
        </is>
      </c>
      <c r="C2750" s="256" t="inlineStr">
        <is>
          <t>GRC102501/2</t>
        </is>
      </c>
      <c r="D2750" s="256" t="inlineStr">
        <is>
          <t>P060182</t>
        </is>
      </c>
      <c r="E2750" s="256" t="inlineStr">
        <is>
          <t>Grapes And Cream</t>
        </is>
      </c>
      <c r="F2750" s="256" t="inlineStr">
        <is>
          <t>18.09.2026</t>
        </is>
      </c>
      <c r="G2750" s="256" t="inlineStr">
        <is>
          <t>9.4</t>
        </is>
      </c>
      <c r="H2750" s="256" t="inlineStr">
        <is>
          <t>Salmonella</t>
        </is>
      </c>
      <c r="I2750" s="256" t="inlineStr">
        <is>
          <t>Ph. Eur. 2.6.31 cat. C</t>
        </is>
      </c>
      <c r="J2750" s="256" t="inlineStr">
        <is>
          <t>Absence | Отсуство / 25 g</t>
        </is>
      </c>
      <c r="K2750" s="256" t="inlineStr">
        <is>
          <t>Absent | Отсутна</t>
        </is>
      </c>
      <c r="L2750" s="256" t="inlineStr">
        <is>
          <t>136/0233/26</t>
        </is>
      </c>
      <c r="M2750" s="256" t="inlineStr">
        <is>
          <t>06.03.2026</t>
        </is>
      </c>
      <c r="N2750" s="256" t="inlineStr">
        <is>
          <t>IPH — Institute of Public Health</t>
        </is>
      </c>
      <c r="O2750" s="256" t="inlineStr">
        <is>
          <t>—</t>
        </is>
      </c>
      <c r="P2750" s="256" t="inlineStr">
        <is>
          <t>covered</t>
        </is>
      </c>
      <c r="Q2750" s="256" t="inlineStr"/>
      <c r="R2750" s="256" t="inlineStr"/>
    </row>
    <row r="2751">
      <c r="A2751" s="256" t="inlineStr">
        <is>
          <t>CoQ-PP_26-120</t>
        </is>
      </c>
      <c r="B2751" s="256" t="inlineStr">
        <is>
          <t>reissue — retest</t>
        </is>
      </c>
      <c r="C2751" s="256" t="inlineStr">
        <is>
          <t>GRC102501/2</t>
        </is>
      </c>
      <c r="D2751" s="256" t="inlineStr">
        <is>
          <t>P060182</t>
        </is>
      </c>
      <c r="E2751" s="256" t="inlineStr">
        <is>
          <t>Grapes And Cream</t>
        </is>
      </c>
      <c r="F2751" s="256" t="inlineStr">
        <is>
          <t>18.09.2026</t>
        </is>
      </c>
      <c r="G2751" s="256" t="inlineStr">
        <is>
          <t>9.5</t>
        </is>
      </c>
      <c r="H2751" s="256" t="inlineStr">
        <is>
          <t>Escherichia coli</t>
        </is>
      </c>
      <c r="I2751" s="256" t="inlineStr">
        <is>
          <t>Ph. Eur. 2.6.13 cat. C</t>
        </is>
      </c>
      <c r="J2751" s="256" t="inlineStr">
        <is>
          <t>Absence | Отсуство / 1 g</t>
        </is>
      </c>
      <c r="K2751" s="256" t="inlineStr">
        <is>
          <t>Absent | Отсутна</t>
        </is>
      </c>
      <c r="L2751" s="256" t="inlineStr">
        <is>
          <t>136/0233/26</t>
        </is>
      </c>
      <c r="M2751" s="256" t="inlineStr">
        <is>
          <t>06.03.2026</t>
        </is>
      </c>
      <c r="N2751" s="256" t="inlineStr">
        <is>
          <t>IPH — Institute of Public Health</t>
        </is>
      </c>
      <c r="O2751" s="256" t="inlineStr">
        <is>
          <t>—</t>
        </is>
      </c>
      <c r="P2751" s="256" t="inlineStr">
        <is>
          <t>covered</t>
        </is>
      </c>
      <c r="Q2751" s="256" t="inlineStr"/>
      <c r="R2751" s="256" t="inlineStr"/>
    </row>
    <row r="2752">
      <c r="A2752" s="256" t="inlineStr">
        <is>
          <t>CoQ-PP_26-120</t>
        </is>
      </c>
      <c r="B2752" s="256" t="inlineStr">
        <is>
          <t>reissue — retest</t>
        </is>
      </c>
      <c r="C2752" s="256" t="inlineStr">
        <is>
          <t>GRC102501/2</t>
        </is>
      </c>
      <c r="D2752" s="256" t="inlineStr">
        <is>
          <t>P060182</t>
        </is>
      </c>
      <c r="E2752" s="256" t="inlineStr">
        <is>
          <t>Grapes And Cream</t>
        </is>
      </c>
      <c r="F2752" s="256" t="inlineStr">
        <is>
          <t>18.09.2026</t>
        </is>
      </c>
      <c r="G2752" s="256" t="inlineStr">
        <is>
          <t>9.6</t>
        </is>
      </c>
      <c r="H2752" s="256" t="inlineStr">
        <is>
          <t>Pseudomonas aeruginosa</t>
        </is>
      </c>
      <c r="I2752" s="256" t="inlineStr">
        <is>
          <t>Ph. Eur. 2.6.13 cat. C</t>
        </is>
      </c>
      <c r="J2752" s="256" t="inlineStr">
        <is>
          <t>Absence | Отсуство / 1 g</t>
        </is>
      </c>
      <c r="K2752" s="260" t="inlineStr">
        <is>
          <t>upon request — not required for release</t>
        </is>
      </c>
      <c r="L2752" s="256" t="inlineStr">
        <is>
          <t>—</t>
        </is>
      </c>
      <c r="M2752" s="256" t="inlineStr">
        <is>
          <t>—</t>
        </is>
      </c>
      <c r="N2752" s="256" t="inlineStr">
        <is>
          <t>—</t>
        </is>
      </c>
      <c r="O2752" s="256" t="inlineStr">
        <is>
          <t>—</t>
        </is>
      </c>
      <c r="P2752" s="256" t="inlineStr">
        <is>
          <t>upon request — not required for release</t>
        </is>
      </c>
      <c r="Q2752" s="256" t="inlineStr"/>
      <c r="R2752" s="256" t="inlineStr"/>
    </row>
    <row r="2753">
      <c r="A2753" s="256" t="inlineStr">
        <is>
          <t>CoQ-PP_26-120</t>
        </is>
      </c>
      <c r="B2753" s="256" t="inlineStr">
        <is>
          <t>reissue — retest</t>
        </is>
      </c>
      <c r="C2753" s="256" t="inlineStr">
        <is>
          <t>GRC102501/2</t>
        </is>
      </c>
      <c r="D2753" s="256" t="inlineStr">
        <is>
          <t>P060182</t>
        </is>
      </c>
      <c r="E2753" s="256" t="inlineStr">
        <is>
          <t>Grapes And Cream</t>
        </is>
      </c>
      <c r="F2753" s="256" t="inlineStr">
        <is>
          <t>18.09.2026</t>
        </is>
      </c>
      <c r="G2753" s="256" t="inlineStr">
        <is>
          <t>9.7</t>
        </is>
      </c>
      <c r="H2753" s="256" t="inlineStr">
        <is>
          <t>Staphylococcus aureus</t>
        </is>
      </c>
      <c r="I2753" s="256" t="inlineStr">
        <is>
          <t>Ph. Eur. 2.6.13 cat. C</t>
        </is>
      </c>
      <c r="J2753" s="256" t="inlineStr">
        <is>
          <t>Absence | Отсуство / 1 g</t>
        </is>
      </c>
      <c r="K2753" s="260" t="inlineStr">
        <is>
          <t>upon request — not required for release</t>
        </is>
      </c>
      <c r="L2753" s="256" t="inlineStr">
        <is>
          <t>—</t>
        </is>
      </c>
      <c r="M2753" s="256" t="inlineStr">
        <is>
          <t>—</t>
        </is>
      </c>
      <c r="N2753" s="256" t="inlineStr">
        <is>
          <t>—</t>
        </is>
      </c>
      <c r="O2753" s="256" t="inlineStr">
        <is>
          <t>—</t>
        </is>
      </c>
      <c r="P2753" s="256" t="inlineStr">
        <is>
          <t>upon request — not required for release</t>
        </is>
      </c>
      <c r="Q2753" s="256" t="inlineStr"/>
      <c r="R2753" s="256" t="inlineStr"/>
    </row>
    <row r="2754">
      <c r="A2754" s="256" t="inlineStr">
        <is>
          <t>CoQ-PP_26-120</t>
        </is>
      </c>
      <c r="B2754" s="256" t="inlineStr">
        <is>
          <t>reissue — retest</t>
        </is>
      </c>
      <c r="C2754" s="256" t="inlineStr">
        <is>
          <t>GRC102501/2</t>
        </is>
      </c>
      <c r="D2754" s="256" t="inlineStr">
        <is>
          <t>P060182</t>
        </is>
      </c>
      <c r="E2754" s="256" t="inlineStr">
        <is>
          <t>Grapes And Cream</t>
        </is>
      </c>
      <c r="F2754" s="256" t="inlineStr">
        <is>
          <t>18.09.2026</t>
        </is>
      </c>
      <c r="G2754" s="256" t="inlineStr">
        <is>
          <t>10.1</t>
        </is>
      </c>
      <c r="H2754" s="256" t="inlineStr">
        <is>
          <t>Aflatoxin B₁</t>
        </is>
      </c>
      <c r="I2754" s="256" t="inlineStr">
        <is>
          <t>Ph. Eur. 2.8.18 (HPLC-FLD)</t>
        </is>
      </c>
      <c r="J2754" s="256" t="inlineStr">
        <is>
          <t>≤ 2 µg/kg</t>
        </is>
      </c>
      <c r="K2754" s="256" t="inlineStr">
        <is>
          <t>ND</t>
        </is>
      </c>
      <c r="L2754" s="256" t="inlineStr">
        <is>
          <t>220-14-М/26</t>
        </is>
      </c>
      <c r="M2754" s="256" t="inlineStr">
        <is>
          <t>11.09.2026</t>
        </is>
      </c>
      <c r="N2754" s="256" t="inlineStr">
        <is>
          <t>Farmahem</t>
        </is>
      </c>
      <c r="O2754" s="256" t="inlineStr">
        <is>
          <t>17.08.2026</t>
        </is>
      </c>
      <c r="P2754" s="256" t="inlineStr">
        <is>
          <t>covered</t>
        </is>
      </c>
      <c r="Q2754" s="256" t="inlineStr"/>
      <c r="R2754" s="256" t="inlineStr"/>
    </row>
    <row r="2755">
      <c r="A2755" s="256" t="inlineStr">
        <is>
          <t>CoQ-PP_26-120</t>
        </is>
      </c>
      <c r="B2755" s="256" t="inlineStr">
        <is>
          <t>reissue — retest</t>
        </is>
      </c>
      <c r="C2755" s="256" t="inlineStr">
        <is>
          <t>GRC102501/2</t>
        </is>
      </c>
      <c r="D2755" s="256" t="inlineStr">
        <is>
          <t>P060182</t>
        </is>
      </c>
      <c r="E2755" s="256" t="inlineStr">
        <is>
          <t>Grapes And Cream</t>
        </is>
      </c>
      <c r="F2755" s="256" t="inlineStr">
        <is>
          <t>18.09.2026</t>
        </is>
      </c>
      <c r="G2755" s="256" t="inlineStr">
        <is>
          <t>10.2</t>
        </is>
      </c>
      <c r="H2755" s="256" t="inlineStr">
        <is>
          <t>Aflatoxins ∑</t>
        </is>
      </c>
      <c r="I2755" s="256" t="inlineStr">
        <is>
          <t>Ph. Eur. 2.8.18 (HPLC-FLD)</t>
        </is>
      </c>
      <c r="J2755" s="256" t="inlineStr">
        <is>
          <t>≤ 4 µg/kg</t>
        </is>
      </c>
      <c r="K2755" s="256" t="inlineStr">
        <is>
          <t>ND</t>
        </is>
      </c>
      <c r="L2755" s="256" t="inlineStr">
        <is>
          <t>220-14-М/26</t>
        </is>
      </c>
      <c r="M2755" s="256" t="inlineStr">
        <is>
          <t>11.09.2026</t>
        </is>
      </c>
      <c r="N2755" s="256" t="inlineStr">
        <is>
          <t>Farmahem</t>
        </is>
      </c>
      <c r="O2755" s="256" t="inlineStr">
        <is>
          <t>17.08.2026</t>
        </is>
      </c>
      <c r="P2755" s="256" t="inlineStr">
        <is>
          <t>covered</t>
        </is>
      </c>
      <c r="Q2755" s="256" t="inlineStr"/>
      <c r="R2755" s="256" t="inlineStr"/>
    </row>
    <row r="2756">
      <c r="A2756" s="256" t="inlineStr">
        <is>
          <t>CoQ-PP_26-120</t>
        </is>
      </c>
      <c r="B2756" s="256" t="inlineStr">
        <is>
          <t>reissue — retest</t>
        </is>
      </c>
      <c r="C2756" s="256" t="inlineStr">
        <is>
          <t>GRC102501/2</t>
        </is>
      </c>
      <c r="D2756" s="256" t="inlineStr">
        <is>
          <t>P060182</t>
        </is>
      </c>
      <c r="E2756" s="256" t="inlineStr">
        <is>
          <t>Grapes And Cream</t>
        </is>
      </c>
      <c r="F2756" s="256" t="inlineStr">
        <is>
          <t>18.09.2026</t>
        </is>
      </c>
      <c r="G2756" s="256" t="inlineStr">
        <is>
          <t>10.3</t>
        </is>
      </c>
      <c r="H2756" s="256" t="inlineStr">
        <is>
          <t>Ochratoxin A</t>
        </is>
      </c>
      <c r="I2756" s="256" t="inlineStr">
        <is>
          <t>Ph. Eur. 2.8.22 (HPLC-FLD)</t>
        </is>
      </c>
      <c r="J2756" s="256" t="inlineStr">
        <is>
          <t>≤ 20 µg/kg</t>
        </is>
      </c>
      <c r="K2756" s="256" t="inlineStr">
        <is>
          <t>ND</t>
        </is>
      </c>
      <c r="L2756" s="256" t="inlineStr">
        <is>
          <t>220-14-М/26</t>
        </is>
      </c>
      <c r="M2756" s="256" t="inlineStr">
        <is>
          <t>11.09.2026</t>
        </is>
      </c>
      <c r="N2756" s="256" t="inlineStr">
        <is>
          <t>Farmahem</t>
        </is>
      </c>
      <c r="O2756" s="256" t="inlineStr">
        <is>
          <t>17.08.2026</t>
        </is>
      </c>
      <c r="P2756" s="256" t="inlineStr">
        <is>
          <t>covered</t>
        </is>
      </c>
      <c r="Q2756" s="256" t="inlineStr"/>
      <c r="R2756" s="256" t="inlineStr"/>
    </row>
    <row r="2757">
      <c r="A2757" s="256" t="inlineStr">
        <is>
          <t>CoQ-PP_26-120</t>
        </is>
      </c>
      <c r="B2757" s="256" t="inlineStr">
        <is>
          <t>reissue — retest</t>
        </is>
      </c>
      <c r="C2757" s="256" t="inlineStr">
        <is>
          <t>GRC102501/2</t>
        </is>
      </c>
      <c r="D2757" s="256" t="inlineStr">
        <is>
          <t>P060182</t>
        </is>
      </c>
      <c r="E2757" s="256" t="inlineStr">
        <is>
          <t>Grapes And Cream</t>
        </is>
      </c>
      <c r="F2757" s="256" t="inlineStr">
        <is>
          <t>18.09.2026</t>
        </is>
      </c>
      <c r="G2757" s="256" t="inlineStr">
        <is>
          <t>11.1</t>
        </is>
      </c>
      <c r="H2757" s="256" t="inlineStr">
        <is>
          <t>Lead (Pb)</t>
        </is>
      </c>
      <c r="I2757" s="256" t="inlineStr">
        <is>
          <t>Ph. Eur. 2.4.27 (ICP-MS)</t>
        </is>
      </c>
      <c r="J2757" s="256" t="inlineStr">
        <is>
          <t>≤ 0.5 mg/kg</t>
        </is>
      </c>
      <c r="K2757" s="256" t="inlineStr">
        <is>
          <t>ND</t>
        </is>
      </c>
      <c r="L2757" s="256" t="inlineStr">
        <is>
          <t>1060/2026</t>
        </is>
      </c>
      <c r="M2757" s="256" t="inlineStr">
        <is>
          <t>09.03.2026</t>
        </is>
      </c>
      <c r="N2757" s="256" t="inlineStr">
        <is>
          <t>IPH — Institute of Public Health</t>
        </is>
      </c>
      <c r="O2757" s="256" t="inlineStr">
        <is>
          <t>—</t>
        </is>
      </c>
      <c r="P2757" s="256" t="inlineStr">
        <is>
          <t>covered</t>
        </is>
      </c>
      <c r="Q2757" s="256" t="inlineStr"/>
      <c r="R2757" s="256" t="inlineStr"/>
    </row>
    <row r="2758">
      <c r="A2758" s="256" t="inlineStr">
        <is>
          <t>CoQ-PP_26-120</t>
        </is>
      </c>
      <c r="B2758" s="256" t="inlineStr">
        <is>
          <t>reissue — retest</t>
        </is>
      </c>
      <c r="C2758" s="256" t="inlineStr">
        <is>
          <t>GRC102501/2</t>
        </is>
      </c>
      <c r="D2758" s="256" t="inlineStr">
        <is>
          <t>P060182</t>
        </is>
      </c>
      <c r="E2758" s="256" t="inlineStr">
        <is>
          <t>Grapes And Cream</t>
        </is>
      </c>
      <c r="F2758" s="256" t="inlineStr">
        <is>
          <t>18.09.2026</t>
        </is>
      </c>
      <c r="G2758" s="256" t="inlineStr">
        <is>
          <t>11.2</t>
        </is>
      </c>
      <c r="H2758" s="256" t="inlineStr">
        <is>
          <t>Cadmium (Cd)</t>
        </is>
      </c>
      <c r="I2758" s="256" t="inlineStr">
        <is>
          <t>Ph. Eur. 2.4.27 (ICP-MS)</t>
        </is>
      </c>
      <c r="J2758" s="256" t="inlineStr">
        <is>
          <t>≤ 0.3 mg/kg</t>
        </is>
      </c>
      <c r="K2758" s="256" t="inlineStr">
        <is>
          <t>ND</t>
        </is>
      </c>
      <c r="L2758" s="256" t="inlineStr">
        <is>
          <t>1060/2026</t>
        </is>
      </c>
      <c r="M2758" s="256" t="inlineStr">
        <is>
          <t>09.03.2026</t>
        </is>
      </c>
      <c r="N2758" s="256" t="inlineStr">
        <is>
          <t>IPH — Institute of Public Health</t>
        </is>
      </c>
      <c r="O2758" s="256" t="inlineStr">
        <is>
          <t>—</t>
        </is>
      </c>
      <c r="P2758" s="256" t="inlineStr">
        <is>
          <t>covered</t>
        </is>
      </c>
      <c r="Q2758" s="256" t="inlineStr"/>
      <c r="R2758" s="256" t="inlineStr"/>
    </row>
    <row r="2759">
      <c r="A2759" s="256" t="inlineStr">
        <is>
          <t>CoQ-PP_26-120</t>
        </is>
      </c>
      <c r="B2759" s="256" t="inlineStr">
        <is>
          <t>reissue — retest</t>
        </is>
      </c>
      <c r="C2759" s="256" t="inlineStr">
        <is>
          <t>GRC102501/2</t>
        </is>
      </c>
      <c r="D2759" s="256" t="inlineStr">
        <is>
          <t>P060182</t>
        </is>
      </c>
      <c r="E2759" s="256" t="inlineStr">
        <is>
          <t>Grapes And Cream</t>
        </is>
      </c>
      <c r="F2759" s="256" t="inlineStr">
        <is>
          <t>18.09.2026</t>
        </is>
      </c>
      <c r="G2759" s="256" t="inlineStr">
        <is>
          <t>11.3</t>
        </is>
      </c>
      <c r="H2759" s="256" t="inlineStr">
        <is>
          <t>Arsenic (As)</t>
        </is>
      </c>
      <c r="I2759" s="256" t="inlineStr">
        <is>
          <t>Ph. Eur. 2.4.27 (ICP-MS)</t>
        </is>
      </c>
      <c r="J2759" s="256" t="inlineStr">
        <is>
          <t>≤ 0.2 mg/kg</t>
        </is>
      </c>
      <c r="K2759" s="256" t="inlineStr">
        <is>
          <t>0.0013</t>
        </is>
      </c>
      <c r="L2759" s="256" t="inlineStr">
        <is>
          <t>1060/2026</t>
        </is>
      </c>
      <c r="M2759" s="256" t="inlineStr">
        <is>
          <t>09.03.2026</t>
        </is>
      </c>
      <c r="N2759" s="256" t="inlineStr">
        <is>
          <t>IPH — Institute of Public Health</t>
        </is>
      </c>
      <c r="O2759" s="256" t="inlineStr">
        <is>
          <t>—</t>
        </is>
      </c>
      <c r="P2759" s="256" t="inlineStr">
        <is>
          <t>covered</t>
        </is>
      </c>
      <c r="Q2759" s="256" t="inlineStr"/>
      <c r="R2759" s="256" t="inlineStr"/>
    </row>
    <row r="2760">
      <c r="A2760" s="256" t="inlineStr">
        <is>
          <t>CoQ-PP_26-120</t>
        </is>
      </c>
      <c r="B2760" s="256" t="inlineStr">
        <is>
          <t>reissue — retest</t>
        </is>
      </c>
      <c r="C2760" s="256" t="inlineStr">
        <is>
          <t>GRC102501/2</t>
        </is>
      </c>
      <c r="D2760" s="256" t="inlineStr">
        <is>
          <t>P060182</t>
        </is>
      </c>
      <c r="E2760" s="256" t="inlineStr">
        <is>
          <t>Grapes And Cream</t>
        </is>
      </c>
      <c r="F2760" s="256" t="inlineStr">
        <is>
          <t>18.09.2026</t>
        </is>
      </c>
      <c r="G2760" s="256" t="inlineStr">
        <is>
          <t>11.4</t>
        </is>
      </c>
      <c r="H2760" s="256" t="inlineStr">
        <is>
          <t>Mercury (Hg)</t>
        </is>
      </c>
      <c r="I2760" s="256" t="inlineStr">
        <is>
          <t>Ph. Eur. 2.4.27 (ICP-MS)</t>
        </is>
      </c>
      <c r="J2760" s="256" t="inlineStr">
        <is>
          <t>≤ 0.1 mg/kg</t>
        </is>
      </c>
      <c r="K2760" s="256" t="inlineStr">
        <is>
          <t>ND</t>
        </is>
      </c>
      <c r="L2760" s="256" t="inlineStr">
        <is>
          <t>1060/2026</t>
        </is>
      </c>
      <c r="M2760" s="256" t="inlineStr">
        <is>
          <t>09.03.2026</t>
        </is>
      </c>
      <c r="N2760" s="256" t="inlineStr">
        <is>
          <t>IPH — Institute of Public Health</t>
        </is>
      </c>
      <c r="O2760" s="256" t="inlineStr">
        <is>
          <t>—</t>
        </is>
      </c>
      <c r="P2760" s="256" t="inlineStr">
        <is>
          <t>covered</t>
        </is>
      </c>
      <c r="Q2760" s="256" t="inlineStr"/>
      <c r="R2760" s="256" t="inlineStr"/>
    </row>
    <row r="2761">
      <c r="A2761" s="256" t="inlineStr">
        <is>
          <t>CoQ-PP_26-120</t>
        </is>
      </c>
      <c r="B2761" s="256" t="inlineStr">
        <is>
          <t>reissue — retest</t>
        </is>
      </c>
      <c r="C2761" s="256" t="inlineStr">
        <is>
          <t>GRC102501/2</t>
        </is>
      </c>
      <c r="D2761" s="256" t="inlineStr">
        <is>
          <t>P060182</t>
        </is>
      </c>
      <c r="E2761" s="256" t="inlineStr">
        <is>
          <t>Grapes And Cream</t>
        </is>
      </c>
      <c r="F2761" s="256" t="inlineStr">
        <is>
          <t>18.09.2026</t>
        </is>
      </c>
      <c r="G2761" s="256" t="inlineStr">
        <is>
          <t>12</t>
        </is>
      </c>
      <c r="H2761" s="256" t="inlineStr">
        <is>
          <t>Pesticide Residues</t>
        </is>
      </c>
      <c r="I2761" s="256" t="inlineStr">
        <is>
          <t>Ph. Eur. 2.8.13 (LC-MS/MS) · CUMCS Equivalency</t>
        </is>
      </c>
      <c r="J2761" s="256" t="inlineStr">
        <is>
          <t>≤ LOQ as per Ph. Eur. 2.8.13 · ≤ LOQ as per CUMCS Equivalency</t>
        </is>
      </c>
      <c r="K2761" s="256" t="inlineStr">
        <is>
          <t>ND mg/kg — all 25 residues</t>
        </is>
      </c>
      <c r="L2761" s="256" t="inlineStr">
        <is>
          <t>1060/2026</t>
        </is>
      </c>
      <c r="M2761" s="256" t="inlineStr">
        <is>
          <t>09.03.2026</t>
        </is>
      </c>
      <c r="N2761" s="256" t="inlineStr">
        <is>
          <t>IJZ</t>
        </is>
      </c>
      <c r="O2761" s="256" t="inlineStr">
        <is>
          <t>—</t>
        </is>
      </c>
      <c r="P2761" s="256" t="inlineStr">
        <is>
          <t>carried from the initial testing (CoQ-PP-2026-0014) — covered</t>
        </is>
      </c>
      <c r="Q2761" s="256" t="inlineStr"/>
      <c r="R2761" s="256" t="inlineStr"/>
    </row>
    <row r="2762">
      <c r="A2762" s="256" t="inlineStr">
        <is>
          <t>CoQ-PP_26-121</t>
        </is>
      </c>
      <c r="B2762" s="256" t="inlineStr">
        <is>
          <t>reissue — retest</t>
        </is>
      </c>
      <c r="C2762" s="256" t="inlineStr">
        <is>
          <t>HPA052501</t>
        </is>
      </c>
      <c r="D2762" s="256" t="inlineStr">
        <is>
          <t>P050182</t>
        </is>
      </c>
      <c r="E2762" s="256" t="inlineStr">
        <is>
          <t>High Pro Amnesia</t>
        </is>
      </c>
      <c r="F2762" s="256" t="inlineStr">
        <is>
          <t>18.09.2026</t>
        </is>
      </c>
      <c r="G2762" s="256" t="inlineStr">
        <is>
          <t>1</t>
        </is>
      </c>
      <c r="H2762" s="256" t="inlineStr">
        <is>
          <t>Identification A, Appearance · Macroscopic</t>
        </is>
      </c>
      <c r="I2762" s="256" t="inlineStr">
        <is>
          <t>Ph. Eur. mon. 3028</t>
        </is>
      </c>
      <c r="J2762" s="256" t="inlineStr">
        <is>
          <t>Conforms to the monograph for Cannabis flos (07/2024:3028) in Ph. Eur. 11.0 | Согласно монографија за Cannabis flos (07/2024:3028) во Ph. Eur. 11.0</t>
        </is>
      </c>
      <c r="K2762" s="256" t="inlineStr">
        <is>
          <t>Conforms | Одговара</t>
        </is>
      </c>
      <c r="L2762" s="256" t="inlineStr">
        <is>
          <t>iCoA-PP_26-137</t>
        </is>
      </c>
      <c r="M2762" s="256" t="inlineStr">
        <is>
          <t>17.08.2026</t>
        </is>
      </c>
      <c r="N2762" s="256" t="inlineStr">
        <is>
          <t>Purely Plant GmbH (in-house)</t>
        </is>
      </c>
      <c r="O2762" s="256" t="inlineStr">
        <is>
          <t>—</t>
        </is>
      </c>
      <c r="P2762" s="256" t="inlineStr">
        <is>
          <t>covered</t>
        </is>
      </c>
      <c r="Q2762" s="256" t="inlineStr">
        <is>
          <t>Farmahem — Ident A + B + C with the Assay, at retest</t>
        </is>
      </c>
      <c r="R2762" s="256" t="inlineStr"/>
    </row>
    <row r="2763">
      <c r="A2763" s="256" t="inlineStr">
        <is>
          <t>CoQ-PP_26-121</t>
        </is>
      </c>
      <c r="B2763" s="256" t="inlineStr">
        <is>
          <t>reissue — retest</t>
        </is>
      </c>
      <c r="C2763" s="256" t="inlineStr">
        <is>
          <t>HPA052501</t>
        </is>
      </c>
      <c r="D2763" s="256" t="inlineStr">
        <is>
          <t>P050182</t>
        </is>
      </c>
      <c r="E2763" s="256" t="inlineStr">
        <is>
          <t>High Pro Amnesia</t>
        </is>
      </c>
      <c r="F2763" s="256" t="inlineStr">
        <is>
          <t>18.09.2026</t>
        </is>
      </c>
      <c r="G2763" s="256" t="inlineStr">
        <is>
          <t>2</t>
        </is>
      </c>
      <c r="H2763" s="256" t="inlineStr">
        <is>
          <t>Identification B · Microscopic</t>
        </is>
      </c>
      <c r="I2763" s="256" t="inlineStr">
        <is>
          <t>Ph. Eur. 2.8.23 (microscopy)</t>
        </is>
      </c>
      <c r="J2763" s="256" t="inlineStr">
        <is>
          <t>Conforms to the monograph for Cannabis flos (07/2024:3028) in Ph. Eur. 11.0 | Согласно монографија за Cannabis flos (07/2024:3028) во Ph. Eur. 11.0</t>
        </is>
      </c>
      <c r="K2763" s="256" t="inlineStr">
        <is>
          <t>Conforms | Одговара</t>
        </is>
      </c>
      <c r="L2763" s="256" t="inlineStr">
        <is>
          <t>iCoA-PP_26-137</t>
        </is>
      </c>
      <c r="M2763" s="256" t="inlineStr">
        <is>
          <t>17.08.2026</t>
        </is>
      </c>
      <c r="N2763" s="256" t="inlineStr">
        <is>
          <t>Purely Plant GmbH (in-house)</t>
        </is>
      </c>
      <c r="O2763" s="256" t="inlineStr">
        <is>
          <t>—</t>
        </is>
      </c>
      <c r="P2763" s="256" t="inlineStr">
        <is>
          <t>covered</t>
        </is>
      </c>
      <c r="Q2763" s="256" t="inlineStr">
        <is>
          <t>Farmahem — Ident A + B + C with the Assay, at retest</t>
        </is>
      </c>
      <c r="R2763" s="256" t="inlineStr"/>
    </row>
    <row r="2764">
      <c r="A2764" s="256" t="inlineStr">
        <is>
          <t>CoQ-PP_26-121</t>
        </is>
      </c>
      <c r="B2764" s="256" t="inlineStr">
        <is>
          <t>reissue — retest</t>
        </is>
      </c>
      <c r="C2764" s="256" t="inlineStr">
        <is>
          <t>HPA052501</t>
        </is>
      </c>
      <c r="D2764" s="256" t="inlineStr">
        <is>
          <t>P050182</t>
        </is>
      </c>
      <c r="E2764" s="256" t="inlineStr">
        <is>
          <t>High Pro Amnesia</t>
        </is>
      </c>
      <c r="F2764" s="256" t="inlineStr">
        <is>
          <t>18.09.2026</t>
        </is>
      </c>
      <c r="G2764" s="256" t="inlineStr">
        <is>
          <t>3</t>
        </is>
      </c>
      <c r="H2764" s="256" t="inlineStr">
        <is>
          <t>Identification C · HPLC/HPTLC</t>
        </is>
      </c>
      <c r="I2764" s="256" t="inlineStr">
        <is>
          <t>Ph. Eur. 2.2.29 (3028)</t>
        </is>
      </c>
      <c r="J2764" s="256" t="inlineStr">
        <is>
          <t>Conforms to the monograph for Cannabis flos (07/2024:3028) in Ph. Eur. 11.0 | Согласно монографија за Cannabis flos (07/2024:3028) во Ph. Eur. 11.0</t>
        </is>
      </c>
      <c r="K2764" s="256" t="inlineStr">
        <is>
          <t>Conforms | Одговара</t>
        </is>
      </c>
      <c r="L2764" s="256" t="inlineStr">
        <is>
          <t>220-15-К/26</t>
        </is>
      </c>
      <c r="M2764" s="256" t="inlineStr">
        <is>
          <t>25.08.2026</t>
        </is>
      </c>
      <c r="N2764" s="256" t="inlineStr">
        <is>
          <t>Farmahem</t>
        </is>
      </c>
      <c r="O2764" s="256" t="inlineStr">
        <is>
          <t>17.08.2026</t>
        </is>
      </c>
      <c r="P2764" s="256" t="inlineStr">
        <is>
          <t>covered</t>
        </is>
      </c>
      <c r="Q2764" s="256" t="inlineStr"/>
      <c r="R2764" s="256" t="inlineStr"/>
    </row>
    <row r="2765">
      <c r="A2765" s="256" t="inlineStr">
        <is>
          <t>CoQ-PP_26-121</t>
        </is>
      </c>
      <c r="B2765" s="256" t="inlineStr">
        <is>
          <t>reissue — retest</t>
        </is>
      </c>
      <c r="C2765" s="256" t="inlineStr">
        <is>
          <t>HPA052501</t>
        </is>
      </c>
      <c r="D2765" s="256" t="inlineStr">
        <is>
          <t>P050182</t>
        </is>
      </c>
      <c r="E2765" s="256" t="inlineStr">
        <is>
          <t>High Pro Amnesia</t>
        </is>
      </c>
      <c r="F2765" s="256" t="inlineStr">
        <is>
          <t>18.09.2026</t>
        </is>
      </c>
      <c r="G2765" s="256" t="inlineStr">
        <is>
          <t>4</t>
        </is>
      </c>
      <c r="H2765" s="256" t="inlineStr">
        <is>
          <t>Assay — Total Δ⁹-THC</t>
        </is>
      </c>
      <c r="I2765" s="256" t="inlineStr">
        <is>
          <t>Ph. Eur. 2.2.29 (HPLC)</t>
        </is>
      </c>
      <c r="J2765" s="256" t="inlineStr">
        <is>
          <t>16.20 – 19.79 %  (grade II, nominal 18.00 ± 1.80)</t>
        </is>
      </c>
      <c r="K2765" s="256" t="inlineStr">
        <is>
          <t>19.69</t>
        </is>
      </c>
      <c r="L2765" s="256" t="inlineStr">
        <is>
          <t>220-15-К/26</t>
        </is>
      </c>
      <c r="M2765" s="256" t="inlineStr">
        <is>
          <t>25.08.2026</t>
        </is>
      </c>
      <c r="N2765" s="256" t="inlineStr">
        <is>
          <t>Farmahem</t>
        </is>
      </c>
      <c r="O2765" s="256" t="inlineStr">
        <is>
          <t>17.08.2026</t>
        </is>
      </c>
      <c r="P2765" s="256" t="inlineStr">
        <is>
          <t>covered</t>
        </is>
      </c>
      <c r="Q2765" s="256" t="inlineStr"/>
      <c r="R2765" s="256" t="inlineStr"/>
    </row>
    <row r="2766">
      <c r="A2766" s="256" t="inlineStr">
        <is>
          <t>CoQ-PP_26-121</t>
        </is>
      </c>
      <c r="B2766" s="256" t="inlineStr">
        <is>
          <t>reissue — retest</t>
        </is>
      </c>
      <c r="C2766" s="256" t="inlineStr">
        <is>
          <t>HPA052501</t>
        </is>
      </c>
      <c r="D2766" s="256" t="inlineStr">
        <is>
          <t>P050182</t>
        </is>
      </c>
      <c r="E2766" s="256" t="inlineStr">
        <is>
          <t>High Pro Amnesia</t>
        </is>
      </c>
      <c r="F2766" s="256" t="inlineStr">
        <is>
          <t>18.09.2026</t>
        </is>
      </c>
      <c r="G2766" s="256" t="inlineStr">
        <is>
          <t>5</t>
        </is>
      </c>
      <c r="H2766" s="256" t="inlineStr">
        <is>
          <t>Assay — Total CBD</t>
        </is>
      </c>
      <c r="I2766" s="256" t="inlineStr">
        <is>
          <t>Ph. Eur. 2.2.29 (HPLC) · CBD + CBDA x 0.877</t>
        </is>
      </c>
      <c r="J2766" s="256" t="inlineStr">
        <is>
          <t>≤ 1.0%, w/w</t>
        </is>
      </c>
      <c r="K2766" s="256" t="inlineStr">
        <is>
          <t>&lt; LOQ</t>
        </is>
      </c>
      <c r="L2766" s="256" t="inlineStr">
        <is>
          <t>220-15-К/26</t>
        </is>
      </c>
      <c r="M2766" s="256" t="inlineStr">
        <is>
          <t>25.08.2026</t>
        </is>
      </c>
      <c r="N2766" s="256" t="inlineStr">
        <is>
          <t>Farmahem</t>
        </is>
      </c>
      <c r="O2766" s="256" t="inlineStr">
        <is>
          <t>17.08.2026</t>
        </is>
      </c>
      <c r="P2766" s="256" t="inlineStr">
        <is>
          <t>covered</t>
        </is>
      </c>
      <c r="Q2766" s="256" t="inlineStr"/>
      <c r="R2766" s="256" t="inlineStr"/>
    </row>
    <row r="2767">
      <c r="A2767" s="256" t="inlineStr">
        <is>
          <t>CoQ-PP_26-121</t>
        </is>
      </c>
      <c r="B2767" s="256" t="inlineStr">
        <is>
          <t>reissue — retest</t>
        </is>
      </c>
      <c r="C2767" s="256" t="inlineStr">
        <is>
          <t>HPA052501</t>
        </is>
      </c>
      <c r="D2767" s="256" t="inlineStr">
        <is>
          <t>P050182</t>
        </is>
      </c>
      <c r="E2767" s="256" t="inlineStr">
        <is>
          <t>High Pro Amnesia</t>
        </is>
      </c>
      <c r="F2767" s="256" t="inlineStr">
        <is>
          <t>18.09.2026</t>
        </is>
      </c>
      <c r="G2767" s="256" t="inlineStr">
        <is>
          <t>6</t>
        </is>
      </c>
      <c r="H2767" s="256" t="inlineStr">
        <is>
          <t>Total CBN</t>
        </is>
      </c>
      <c r="I2767" s="256" t="inlineStr">
        <is>
          <t>Ph. Eur. 2.2.29 (HPLC) · CBN + CBNA x 0.876</t>
        </is>
      </c>
      <c r="J2767" s="256" t="inlineStr">
        <is>
          <t>≤ 1.0%, w/w</t>
        </is>
      </c>
      <c r="K2767" s="256" t="inlineStr">
        <is>
          <t>&lt; LOQ</t>
        </is>
      </c>
      <c r="L2767" s="256" t="inlineStr">
        <is>
          <t>220-15-К/26</t>
        </is>
      </c>
      <c r="M2767" s="256" t="inlineStr">
        <is>
          <t>25.08.2026</t>
        </is>
      </c>
      <c r="N2767" s="256" t="inlineStr">
        <is>
          <t>Farmahem</t>
        </is>
      </c>
      <c r="O2767" s="256" t="inlineStr">
        <is>
          <t>17.08.2026</t>
        </is>
      </c>
      <c r="P2767" s="256" t="inlineStr">
        <is>
          <t>covered</t>
        </is>
      </c>
      <c r="Q2767" s="256" t="inlineStr"/>
      <c r="R2767" s="256" t="inlineStr"/>
    </row>
    <row r="2768">
      <c r="A2768" s="256" t="inlineStr">
        <is>
          <t>CoQ-PP_26-121</t>
        </is>
      </c>
      <c r="B2768" s="256" t="inlineStr">
        <is>
          <t>reissue — retest</t>
        </is>
      </c>
      <c r="C2768" s="256" t="inlineStr">
        <is>
          <t>HPA052501</t>
        </is>
      </c>
      <c r="D2768" s="256" t="inlineStr">
        <is>
          <t>P050182</t>
        </is>
      </c>
      <c r="E2768" s="256" t="inlineStr">
        <is>
          <t>High Pro Amnesia</t>
        </is>
      </c>
      <c r="F2768" s="256" t="inlineStr">
        <is>
          <t>18.09.2026</t>
        </is>
      </c>
      <c r="G2768" s="256" t="inlineStr">
        <is>
          <t>7</t>
        </is>
      </c>
      <c r="H2768" s="256" t="inlineStr">
        <is>
          <t>Foreign Matter</t>
        </is>
      </c>
      <c r="I2768" s="256" t="inlineStr">
        <is>
          <t>Ph. Eur. 2.8.2 · In-house · интерна</t>
        </is>
      </c>
      <c r="J2768" s="256" t="inlineStr">
        <is>
          <t>≤ 2.0% / 25–50 g · &lt; 1 cm leaves | листови, no seeds | без семки</t>
        </is>
      </c>
      <c r="K2768" s="256" t="inlineStr">
        <is>
          <t>Conforms | Одговара</t>
        </is>
      </c>
      <c r="L2768" s="256" t="inlineStr">
        <is>
          <t>iCoA-PP_26-137</t>
        </is>
      </c>
      <c r="M2768" s="256" t="inlineStr">
        <is>
          <t>17.08.2026</t>
        </is>
      </c>
      <c r="N2768" s="256" t="inlineStr">
        <is>
          <t>Purely Plant GmbH (in-house)</t>
        </is>
      </c>
      <c r="O2768" s="256" t="inlineStr">
        <is>
          <t>—</t>
        </is>
      </c>
      <c r="P2768" s="256" t="inlineStr">
        <is>
          <t>covered</t>
        </is>
      </c>
      <c r="Q2768" s="256" t="inlineStr">
        <is>
          <t>Purely Plant laboratory — iCoA covering Foreign matter</t>
        </is>
      </c>
      <c r="R2768" s="256" t="inlineStr"/>
    </row>
    <row r="2769">
      <c r="A2769" s="256" t="inlineStr">
        <is>
          <t>CoQ-PP_26-121</t>
        </is>
      </c>
      <c r="B2769" s="256" t="inlineStr">
        <is>
          <t>reissue — retest</t>
        </is>
      </c>
      <c r="C2769" s="256" t="inlineStr">
        <is>
          <t>HPA052501</t>
        </is>
      </c>
      <c r="D2769" s="256" t="inlineStr">
        <is>
          <t>P050182</t>
        </is>
      </c>
      <c r="E2769" s="256" t="inlineStr">
        <is>
          <t>High Pro Amnesia</t>
        </is>
      </c>
      <c r="F2769" s="256" t="inlineStr">
        <is>
          <t>18.09.2026</t>
        </is>
      </c>
      <c r="G2769" s="256" t="inlineStr">
        <is>
          <t>8</t>
        </is>
      </c>
      <c r="H2769" s="256" t="inlineStr">
        <is>
          <t>Loss on Drying</t>
        </is>
      </c>
      <c r="I2769" s="256" t="inlineStr">
        <is>
          <t>DAB 2018 monograph Cannabis flos, 2.2.32 — loss on drying (CNP, before its Ph. Eur. 3028 accreditation)</t>
        </is>
      </c>
      <c r="J2769" s="256" t="inlineStr">
        <is>
          <t>≤ 12.0%</t>
        </is>
      </c>
      <c r="K2769" s="256" t="inlineStr">
        <is>
          <t>7.29</t>
        </is>
      </c>
      <c r="L2769" s="256" t="inlineStr">
        <is>
          <t>ППК25278</t>
        </is>
      </c>
      <c r="M2769" s="256" t="inlineStr">
        <is>
          <t>19.09.2025</t>
        </is>
      </c>
      <c r="N2769" s="256" t="inlineStr">
        <is>
          <t>UKIM Faculty of Pharmacy — Center for Natural Products</t>
        </is>
      </c>
      <c r="O2769" s="256" t="inlineStr">
        <is>
          <t>05.09.2025</t>
        </is>
      </c>
      <c r="P2769" s="256" t="inlineStr">
        <is>
          <t>carried from the initial testing (CoQ-PP-2025-0016) — covered</t>
        </is>
      </c>
      <c r="Q2769" s="256" t="inlineStr"/>
      <c r="R2769" s="256" t="inlineStr"/>
    </row>
    <row r="2770">
      <c r="A2770" s="256" t="inlineStr">
        <is>
          <t>CoQ-PP_26-121</t>
        </is>
      </c>
      <c r="B2770" s="256" t="inlineStr">
        <is>
          <t>reissue — retest</t>
        </is>
      </c>
      <c r="C2770" s="256" t="inlineStr">
        <is>
          <t>HPA052501</t>
        </is>
      </c>
      <c r="D2770" s="256" t="inlineStr">
        <is>
          <t>P050182</t>
        </is>
      </c>
      <c r="E2770" s="256" t="inlineStr">
        <is>
          <t>High Pro Amnesia</t>
        </is>
      </c>
      <c r="F2770" s="256" t="inlineStr">
        <is>
          <t>18.09.2026</t>
        </is>
      </c>
      <c r="G2770" s="256" t="inlineStr">
        <is>
          <t>9.1</t>
        </is>
      </c>
      <c r="H2770" s="256" t="inlineStr">
        <is>
          <t>TAMC</t>
        </is>
      </c>
      <c r="I2770" s="256" t="inlineStr">
        <is>
          <t>Ph. Eur. 2.6.12 cat. C</t>
        </is>
      </c>
      <c r="J2770" s="256" t="inlineStr">
        <is>
          <t>≤ 10⁵ CFU/g</t>
        </is>
      </c>
      <c r="K2770" s="256" t="inlineStr">
        <is>
          <t>2.7 × 10⁴</t>
        </is>
      </c>
      <c r="L2770" s="256" t="inlineStr">
        <is>
          <t>948/1686/25</t>
        </is>
      </c>
      <c r="M2770" s="256" t="inlineStr">
        <is>
          <t>17.09.2025</t>
        </is>
      </c>
      <c r="N2770" s="256" t="inlineStr">
        <is>
          <t>IPH — Institute of Public Health</t>
        </is>
      </c>
      <c r="O2770" s="256" t="inlineStr">
        <is>
          <t>11.09.2025</t>
        </is>
      </c>
      <c r="P2770" s="256" t="inlineStr">
        <is>
          <t>carried from the initial testing (CoQ-PP-2025-0016) — covered</t>
        </is>
      </c>
      <c r="Q2770" s="256" t="inlineStr"/>
      <c r="R2770" s="256" t="inlineStr"/>
    </row>
    <row r="2771">
      <c r="A2771" s="256" t="inlineStr">
        <is>
          <t>CoQ-PP_26-121</t>
        </is>
      </c>
      <c r="B2771" s="256" t="inlineStr">
        <is>
          <t>reissue — retest</t>
        </is>
      </c>
      <c r="C2771" s="256" t="inlineStr">
        <is>
          <t>HPA052501</t>
        </is>
      </c>
      <c r="D2771" s="256" t="inlineStr">
        <is>
          <t>P050182</t>
        </is>
      </c>
      <c r="E2771" s="256" t="inlineStr">
        <is>
          <t>High Pro Amnesia</t>
        </is>
      </c>
      <c r="F2771" s="256" t="inlineStr">
        <is>
          <t>18.09.2026</t>
        </is>
      </c>
      <c r="G2771" s="256" t="inlineStr">
        <is>
          <t>9.2</t>
        </is>
      </c>
      <c r="H2771" s="256" t="inlineStr">
        <is>
          <t>TYMC</t>
        </is>
      </c>
      <c r="I2771" s="256" t="inlineStr">
        <is>
          <t>Ph. Eur. 2.6.12 cat. C</t>
        </is>
      </c>
      <c r="J2771" s="256" t="inlineStr">
        <is>
          <t>≤ 10⁴ CFU/g</t>
        </is>
      </c>
      <c r="K2771" s="256" t="inlineStr">
        <is>
          <t>2.6 × 10⁴</t>
        </is>
      </c>
      <c r="L2771" s="256" t="inlineStr">
        <is>
          <t>948/1686/25</t>
        </is>
      </c>
      <c r="M2771" s="256" t="inlineStr">
        <is>
          <t>17.09.2025</t>
        </is>
      </c>
      <c r="N2771" s="256" t="inlineStr">
        <is>
          <t>IPH — Institute of Public Health</t>
        </is>
      </c>
      <c r="O2771" s="256" t="inlineStr">
        <is>
          <t>11.09.2025</t>
        </is>
      </c>
      <c r="P2771" s="256" t="inlineStr">
        <is>
          <t>carried from the initial testing (CoQ-PP-2025-0016) — OUT OF SPECIFICATION</t>
        </is>
      </c>
      <c r="Q2771" s="256" t="inlineStr"/>
      <c r="R2771" s="256" t="inlineStr"/>
    </row>
    <row r="2772">
      <c r="A2772" s="256" t="inlineStr">
        <is>
          <t>CoQ-PP_26-121</t>
        </is>
      </c>
      <c r="B2772" s="256" t="inlineStr">
        <is>
          <t>reissue — retest</t>
        </is>
      </c>
      <c r="C2772" s="256" t="inlineStr">
        <is>
          <t>HPA052501</t>
        </is>
      </c>
      <c r="D2772" s="256" t="inlineStr">
        <is>
          <t>P050182</t>
        </is>
      </c>
      <c r="E2772" s="256" t="inlineStr">
        <is>
          <t>High Pro Amnesia</t>
        </is>
      </c>
      <c r="F2772" s="256" t="inlineStr">
        <is>
          <t>18.09.2026</t>
        </is>
      </c>
      <c r="G2772" s="256" t="inlineStr">
        <is>
          <t>9.3</t>
        </is>
      </c>
      <c r="H2772" s="256" t="inlineStr">
        <is>
          <t>Bile-tolerant gram-neg.</t>
        </is>
      </c>
      <c r="I2772" s="256" t="inlineStr">
        <is>
          <t>Ph. Eur. 2.6.31 cat. C</t>
        </is>
      </c>
      <c r="J2772" s="256" t="inlineStr">
        <is>
          <t>≤ 10⁴ CFU/g</t>
        </is>
      </c>
      <c r="K2772" s="256" t="inlineStr">
        <is>
          <t>&lt; 10</t>
        </is>
      </c>
      <c r="L2772" s="256" t="inlineStr">
        <is>
          <t>948/1686/25</t>
        </is>
      </c>
      <c r="M2772" s="256" t="inlineStr">
        <is>
          <t>17.09.2025</t>
        </is>
      </c>
      <c r="N2772" s="256" t="inlineStr">
        <is>
          <t>IPH — Institute of Public Health</t>
        </is>
      </c>
      <c r="O2772" s="256" t="inlineStr">
        <is>
          <t>11.09.2025</t>
        </is>
      </c>
      <c r="P2772" s="256" t="inlineStr">
        <is>
          <t>carried from the initial testing (CoQ-PP-2025-0016) — covered</t>
        </is>
      </c>
      <c r="Q2772" s="256" t="inlineStr"/>
      <c r="R2772" s="256" t="inlineStr"/>
    </row>
    <row r="2773">
      <c r="A2773" s="256" t="inlineStr">
        <is>
          <t>CoQ-PP_26-121</t>
        </is>
      </c>
      <c r="B2773" s="256" t="inlineStr">
        <is>
          <t>reissue — retest</t>
        </is>
      </c>
      <c r="C2773" s="256" t="inlineStr">
        <is>
          <t>HPA052501</t>
        </is>
      </c>
      <c r="D2773" s="256" t="inlineStr">
        <is>
          <t>P050182</t>
        </is>
      </c>
      <c r="E2773" s="256" t="inlineStr">
        <is>
          <t>High Pro Amnesia</t>
        </is>
      </c>
      <c r="F2773" s="256" t="inlineStr">
        <is>
          <t>18.09.2026</t>
        </is>
      </c>
      <c r="G2773" s="256" t="inlineStr">
        <is>
          <t>9.4</t>
        </is>
      </c>
      <c r="H2773" s="256" t="inlineStr">
        <is>
          <t>Salmonella</t>
        </is>
      </c>
      <c r="I2773" s="256" t="inlineStr">
        <is>
          <t>Ph. Eur. 2.6.31 cat. C</t>
        </is>
      </c>
      <c r="J2773" s="256" t="inlineStr">
        <is>
          <t>Absence | Отсуство / 25 g</t>
        </is>
      </c>
      <c r="K2773" s="256" t="inlineStr">
        <is>
          <t>Absent | Отсутна</t>
        </is>
      </c>
      <c r="L2773" s="256" t="inlineStr">
        <is>
          <t>948/1686/25</t>
        </is>
      </c>
      <c r="M2773" s="256" t="inlineStr">
        <is>
          <t>17.09.2025</t>
        </is>
      </c>
      <c r="N2773" s="256" t="inlineStr">
        <is>
          <t>IPH — Institute of Public Health</t>
        </is>
      </c>
      <c r="O2773" s="256" t="inlineStr">
        <is>
          <t>11.09.2025</t>
        </is>
      </c>
      <c r="P2773" s="256" t="inlineStr">
        <is>
          <t>carried from the initial testing (CoQ-PP-2025-0016) — covered</t>
        </is>
      </c>
      <c r="Q2773" s="256" t="inlineStr"/>
      <c r="R2773" s="256" t="inlineStr"/>
    </row>
    <row r="2774">
      <c r="A2774" s="256" t="inlineStr">
        <is>
          <t>CoQ-PP_26-121</t>
        </is>
      </c>
      <c r="B2774" s="256" t="inlineStr">
        <is>
          <t>reissue — retest</t>
        </is>
      </c>
      <c r="C2774" s="256" t="inlineStr">
        <is>
          <t>HPA052501</t>
        </is>
      </c>
      <c r="D2774" s="256" t="inlineStr">
        <is>
          <t>P050182</t>
        </is>
      </c>
      <c r="E2774" s="256" t="inlineStr">
        <is>
          <t>High Pro Amnesia</t>
        </is>
      </c>
      <c r="F2774" s="256" t="inlineStr">
        <is>
          <t>18.09.2026</t>
        </is>
      </c>
      <c r="G2774" s="256" t="inlineStr">
        <is>
          <t>9.5</t>
        </is>
      </c>
      <c r="H2774" s="256" t="inlineStr">
        <is>
          <t>Escherichia coli</t>
        </is>
      </c>
      <c r="I2774" s="256" t="inlineStr">
        <is>
          <t>Ph. Eur. 2.6.13 cat. C</t>
        </is>
      </c>
      <c r="J2774" s="256" t="inlineStr">
        <is>
          <t>Absence | Отсуство / 1 g</t>
        </is>
      </c>
      <c r="K2774" s="256" t="inlineStr">
        <is>
          <t>Absent | Отсутна</t>
        </is>
      </c>
      <c r="L2774" s="256" t="inlineStr">
        <is>
          <t>948/1686/25</t>
        </is>
      </c>
      <c r="M2774" s="256" t="inlineStr">
        <is>
          <t>17.09.2025</t>
        </is>
      </c>
      <c r="N2774" s="256" t="inlineStr">
        <is>
          <t>IPH — Institute of Public Health</t>
        </is>
      </c>
      <c r="O2774" s="256" t="inlineStr">
        <is>
          <t>11.09.2025</t>
        </is>
      </c>
      <c r="P2774" s="256" t="inlineStr">
        <is>
          <t>carried from the initial testing (CoQ-PP-2025-0016) — covered</t>
        </is>
      </c>
      <c r="Q2774" s="256" t="inlineStr"/>
      <c r="R2774" s="256" t="inlineStr"/>
    </row>
    <row r="2775">
      <c r="A2775" s="256" t="inlineStr">
        <is>
          <t>CoQ-PP_26-121</t>
        </is>
      </c>
      <c r="B2775" s="256" t="inlineStr">
        <is>
          <t>reissue — retest</t>
        </is>
      </c>
      <c r="C2775" s="256" t="inlineStr">
        <is>
          <t>HPA052501</t>
        </is>
      </c>
      <c r="D2775" s="256" t="inlineStr">
        <is>
          <t>P050182</t>
        </is>
      </c>
      <c r="E2775" s="256" t="inlineStr">
        <is>
          <t>High Pro Amnesia</t>
        </is>
      </c>
      <c r="F2775" s="256" t="inlineStr">
        <is>
          <t>18.09.2026</t>
        </is>
      </c>
      <c r="G2775" s="256" t="inlineStr">
        <is>
          <t>9.6</t>
        </is>
      </c>
      <c r="H2775" s="256" t="inlineStr">
        <is>
          <t>Pseudomonas aeruginosa</t>
        </is>
      </c>
      <c r="I2775" s="256" t="inlineStr">
        <is>
          <t>Ph. Eur. 2.6.13 cat. C</t>
        </is>
      </c>
      <c r="J2775" s="256" t="inlineStr">
        <is>
          <t>Absence | Отсуство / 1 g</t>
        </is>
      </c>
      <c r="K2775" s="260" t="inlineStr">
        <is>
          <t>upon request — not required for release</t>
        </is>
      </c>
      <c r="L2775" s="256" t="inlineStr">
        <is>
          <t>—</t>
        </is>
      </c>
      <c r="M2775" s="256" t="inlineStr">
        <is>
          <t>—</t>
        </is>
      </c>
      <c r="N2775" s="256" t="inlineStr">
        <is>
          <t>—</t>
        </is>
      </c>
      <c r="O2775" s="256" t="inlineStr">
        <is>
          <t>—</t>
        </is>
      </c>
      <c r="P2775" s="256" t="inlineStr">
        <is>
          <t>upon request — not required for release</t>
        </is>
      </c>
      <c r="Q2775" s="256" t="inlineStr"/>
      <c r="R2775" s="256" t="inlineStr"/>
    </row>
    <row r="2776">
      <c r="A2776" s="256" t="inlineStr">
        <is>
          <t>CoQ-PP_26-121</t>
        </is>
      </c>
      <c r="B2776" s="256" t="inlineStr">
        <is>
          <t>reissue — retest</t>
        </is>
      </c>
      <c r="C2776" s="256" t="inlineStr">
        <is>
          <t>HPA052501</t>
        </is>
      </c>
      <c r="D2776" s="256" t="inlineStr">
        <is>
          <t>P050182</t>
        </is>
      </c>
      <c r="E2776" s="256" t="inlineStr">
        <is>
          <t>High Pro Amnesia</t>
        </is>
      </c>
      <c r="F2776" s="256" t="inlineStr">
        <is>
          <t>18.09.2026</t>
        </is>
      </c>
      <c r="G2776" s="256" t="inlineStr">
        <is>
          <t>9.7</t>
        </is>
      </c>
      <c r="H2776" s="256" t="inlineStr">
        <is>
          <t>Staphylococcus aureus</t>
        </is>
      </c>
      <c r="I2776" s="256" t="inlineStr">
        <is>
          <t>Ph. Eur. 2.6.13 cat. C</t>
        </is>
      </c>
      <c r="J2776" s="256" t="inlineStr">
        <is>
          <t>Absence | Отсуство / 1 g</t>
        </is>
      </c>
      <c r="K2776" s="260" t="inlineStr">
        <is>
          <t>upon request — not required for release</t>
        </is>
      </c>
      <c r="L2776" s="256" t="inlineStr">
        <is>
          <t>—</t>
        </is>
      </c>
      <c r="M2776" s="256" t="inlineStr">
        <is>
          <t>—</t>
        </is>
      </c>
      <c r="N2776" s="256" t="inlineStr">
        <is>
          <t>—</t>
        </is>
      </c>
      <c r="O2776" s="256" t="inlineStr">
        <is>
          <t>—</t>
        </is>
      </c>
      <c r="P2776" s="256" t="inlineStr">
        <is>
          <t>upon request — not required for release</t>
        </is>
      </c>
      <c r="Q2776" s="256" t="inlineStr"/>
      <c r="R2776" s="256" t="inlineStr"/>
    </row>
    <row r="2777">
      <c r="A2777" s="256" t="inlineStr">
        <is>
          <t>CoQ-PP_26-121</t>
        </is>
      </c>
      <c r="B2777" s="256" t="inlineStr">
        <is>
          <t>reissue — retest</t>
        </is>
      </c>
      <c r="C2777" s="256" t="inlineStr">
        <is>
          <t>HPA052501</t>
        </is>
      </c>
      <c r="D2777" s="256" t="inlineStr">
        <is>
          <t>P050182</t>
        </is>
      </c>
      <c r="E2777" s="256" t="inlineStr">
        <is>
          <t>High Pro Amnesia</t>
        </is>
      </c>
      <c r="F2777" s="256" t="inlineStr">
        <is>
          <t>18.09.2026</t>
        </is>
      </c>
      <c r="G2777" s="256" t="inlineStr">
        <is>
          <t>10.1</t>
        </is>
      </c>
      <c r="H2777" s="256" t="inlineStr">
        <is>
          <t>Aflatoxin B₁</t>
        </is>
      </c>
      <c r="I2777" s="256" t="inlineStr">
        <is>
          <t>Ph. Eur. 2.8.18 (HPLC-FLD)</t>
        </is>
      </c>
      <c r="J2777" s="256" t="inlineStr">
        <is>
          <t>≤ 2 µg/kg</t>
        </is>
      </c>
      <c r="K2777" s="256" t="inlineStr">
        <is>
          <t>ND</t>
        </is>
      </c>
      <c r="L2777" s="256" t="inlineStr">
        <is>
          <t>220-15-М/26</t>
        </is>
      </c>
      <c r="M2777" s="256" t="inlineStr">
        <is>
          <t>11.09.2026</t>
        </is>
      </c>
      <c r="N2777" s="256" t="inlineStr">
        <is>
          <t>Farmahem</t>
        </is>
      </c>
      <c r="O2777" s="256" t="inlineStr">
        <is>
          <t>17.08.2026</t>
        </is>
      </c>
      <c r="P2777" s="256" t="inlineStr">
        <is>
          <t>covered</t>
        </is>
      </c>
      <c r="Q2777" s="256" t="inlineStr"/>
      <c r="R2777" s="256" t="inlineStr"/>
    </row>
    <row r="2778">
      <c r="A2778" s="256" t="inlineStr">
        <is>
          <t>CoQ-PP_26-121</t>
        </is>
      </c>
      <c r="B2778" s="256" t="inlineStr">
        <is>
          <t>reissue — retest</t>
        </is>
      </c>
      <c r="C2778" s="256" t="inlineStr">
        <is>
          <t>HPA052501</t>
        </is>
      </c>
      <c r="D2778" s="256" t="inlineStr">
        <is>
          <t>P050182</t>
        </is>
      </c>
      <c r="E2778" s="256" t="inlineStr">
        <is>
          <t>High Pro Amnesia</t>
        </is>
      </c>
      <c r="F2778" s="256" t="inlineStr">
        <is>
          <t>18.09.2026</t>
        </is>
      </c>
      <c r="G2778" s="256" t="inlineStr">
        <is>
          <t>10.2</t>
        </is>
      </c>
      <c r="H2778" s="256" t="inlineStr">
        <is>
          <t>Aflatoxins ∑</t>
        </is>
      </c>
      <c r="I2778" s="256" t="inlineStr">
        <is>
          <t>Ph. Eur. 2.8.18 (HPLC-FLD)</t>
        </is>
      </c>
      <c r="J2778" s="256" t="inlineStr">
        <is>
          <t>≤ 4 µg/kg</t>
        </is>
      </c>
      <c r="K2778" s="256" t="inlineStr">
        <is>
          <t>ND</t>
        </is>
      </c>
      <c r="L2778" s="256" t="inlineStr">
        <is>
          <t>220-15-М/26</t>
        </is>
      </c>
      <c r="M2778" s="256" t="inlineStr">
        <is>
          <t>11.09.2026</t>
        </is>
      </c>
      <c r="N2778" s="256" t="inlineStr">
        <is>
          <t>Farmahem</t>
        </is>
      </c>
      <c r="O2778" s="256" t="inlineStr">
        <is>
          <t>17.08.2026</t>
        </is>
      </c>
      <c r="P2778" s="256" t="inlineStr">
        <is>
          <t>covered</t>
        </is>
      </c>
      <c r="Q2778" s="256" t="inlineStr"/>
      <c r="R2778" s="256" t="inlineStr"/>
    </row>
    <row r="2779">
      <c r="A2779" s="256" t="inlineStr">
        <is>
          <t>CoQ-PP_26-121</t>
        </is>
      </c>
      <c r="B2779" s="256" t="inlineStr">
        <is>
          <t>reissue — retest</t>
        </is>
      </c>
      <c r="C2779" s="256" t="inlineStr">
        <is>
          <t>HPA052501</t>
        </is>
      </c>
      <c r="D2779" s="256" t="inlineStr">
        <is>
          <t>P050182</t>
        </is>
      </c>
      <c r="E2779" s="256" t="inlineStr">
        <is>
          <t>High Pro Amnesia</t>
        </is>
      </c>
      <c r="F2779" s="256" t="inlineStr">
        <is>
          <t>18.09.2026</t>
        </is>
      </c>
      <c r="G2779" s="256" t="inlineStr">
        <is>
          <t>10.3</t>
        </is>
      </c>
      <c r="H2779" s="256" t="inlineStr">
        <is>
          <t>Ochratoxin A</t>
        </is>
      </c>
      <c r="I2779" s="256" t="inlineStr">
        <is>
          <t>Ph. Eur. 2.8.22 (HPLC-FLD)</t>
        </is>
      </c>
      <c r="J2779" s="256" t="inlineStr">
        <is>
          <t>≤ 20 µg/kg</t>
        </is>
      </c>
      <c r="K2779" s="256" t="inlineStr">
        <is>
          <t>ND</t>
        </is>
      </c>
      <c r="L2779" s="256" t="inlineStr">
        <is>
          <t>220-15-М/26</t>
        </is>
      </c>
      <c r="M2779" s="256" t="inlineStr">
        <is>
          <t>11.09.2026</t>
        </is>
      </c>
      <c r="N2779" s="256" t="inlineStr">
        <is>
          <t>Farmahem</t>
        </is>
      </c>
      <c r="O2779" s="256" t="inlineStr">
        <is>
          <t>17.08.2026</t>
        </is>
      </c>
      <c r="P2779" s="256" t="inlineStr">
        <is>
          <t>covered</t>
        </is>
      </c>
      <c r="Q2779" s="256" t="inlineStr"/>
      <c r="R2779" s="256" t="inlineStr"/>
    </row>
    <row r="2780">
      <c r="A2780" s="256" t="inlineStr">
        <is>
          <t>CoQ-PP_26-121</t>
        </is>
      </c>
      <c r="B2780" s="256" t="inlineStr">
        <is>
          <t>reissue — retest</t>
        </is>
      </c>
      <c r="C2780" s="256" t="inlineStr">
        <is>
          <t>HPA052501</t>
        </is>
      </c>
      <c r="D2780" s="256" t="inlineStr">
        <is>
          <t>P050182</t>
        </is>
      </c>
      <c r="E2780" s="256" t="inlineStr">
        <is>
          <t>High Pro Amnesia</t>
        </is>
      </c>
      <c r="F2780" s="256" t="inlineStr">
        <is>
          <t>18.09.2026</t>
        </is>
      </c>
      <c r="G2780" s="256" t="inlineStr">
        <is>
          <t>11.1</t>
        </is>
      </c>
      <c r="H2780" s="256" t="inlineStr">
        <is>
          <t>Lead (Pb)</t>
        </is>
      </c>
      <c r="I2780" s="256" t="inlineStr">
        <is>
          <t>Ph. Eur. 2.4.27 (ICP-MS)</t>
        </is>
      </c>
      <c r="J2780" s="256" t="inlineStr">
        <is>
          <t>≤ 0.5 mg/kg</t>
        </is>
      </c>
      <c r="K2780" s="256" t="inlineStr">
        <is>
          <t>0.034</t>
        </is>
      </c>
      <c r="L2780" s="256" t="inlineStr">
        <is>
          <t>4352/2025</t>
        </is>
      </c>
      <c r="M2780" s="256" t="inlineStr">
        <is>
          <t>15.09.2025</t>
        </is>
      </c>
      <c r="N2780" s="256" t="inlineStr">
        <is>
          <t>IPH — Institute of Public Health</t>
        </is>
      </c>
      <c r="O2780" s="256" t="inlineStr">
        <is>
          <t>05.09.2025</t>
        </is>
      </c>
      <c r="P2780" s="256" t="inlineStr">
        <is>
          <t>carried from the initial testing (CoQ-PP-2025-0016) — covered</t>
        </is>
      </c>
      <c r="Q2780" s="256" t="inlineStr"/>
      <c r="R2780" s="256" t="inlineStr"/>
    </row>
    <row r="2781">
      <c r="A2781" s="256" t="inlineStr">
        <is>
          <t>CoQ-PP_26-121</t>
        </is>
      </c>
      <c r="B2781" s="256" t="inlineStr">
        <is>
          <t>reissue — retest</t>
        </is>
      </c>
      <c r="C2781" s="256" t="inlineStr">
        <is>
          <t>HPA052501</t>
        </is>
      </c>
      <c r="D2781" s="256" t="inlineStr">
        <is>
          <t>P050182</t>
        </is>
      </c>
      <c r="E2781" s="256" t="inlineStr">
        <is>
          <t>High Pro Amnesia</t>
        </is>
      </c>
      <c r="F2781" s="256" t="inlineStr">
        <is>
          <t>18.09.2026</t>
        </is>
      </c>
      <c r="G2781" s="256" t="inlineStr">
        <is>
          <t>11.2</t>
        </is>
      </c>
      <c r="H2781" s="256" t="inlineStr">
        <is>
          <t>Cadmium (Cd)</t>
        </is>
      </c>
      <c r="I2781" s="256" t="inlineStr">
        <is>
          <t>Ph. Eur. 2.4.27 (ICP-MS)</t>
        </is>
      </c>
      <c r="J2781" s="256" t="inlineStr">
        <is>
          <t>≤ 0.3 mg/kg</t>
        </is>
      </c>
      <c r="K2781" s="256" t="inlineStr">
        <is>
          <t>ND</t>
        </is>
      </c>
      <c r="L2781" s="256" t="inlineStr">
        <is>
          <t>4352/2025</t>
        </is>
      </c>
      <c r="M2781" s="256" t="inlineStr">
        <is>
          <t>15.09.2025</t>
        </is>
      </c>
      <c r="N2781" s="256" t="inlineStr">
        <is>
          <t>IPH — Institute of Public Health</t>
        </is>
      </c>
      <c r="O2781" s="256" t="inlineStr">
        <is>
          <t>05.09.2025</t>
        </is>
      </c>
      <c r="P2781" s="256" t="inlineStr">
        <is>
          <t>carried from the initial testing (CoQ-PP-2025-0016) — covered</t>
        </is>
      </c>
      <c r="Q2781" s="256" t="inlineStr"/>
      <c r="R2781" s="256" t="inlineStr"/>
    </row>
    <row r="2782">
      <c r="A2782" s="256" t="inlineStr">
        <is>
          <t>CoQ-PP_26-121</t>
        </is>
      </c>
      <c r="B2782" s="256" t="inlineStr">
        <is>
          <t>reissue — retest</t>
        </is>
      </c>
      <c r="C2782" s="256" t="inlineStr">
        <is>
          <t>HPA052501</t>
        </is>
      </c>
      <c r="D2782" s="256" t="inlineStr">
        <is>
          <t>P050182</t>
        </is>
      </c>
      <c r="E2782" s="256" t="inlineStr">
        <is>
          <t>High Pro Amnesia</t>
        </is>
      </c>
      <c r="F2782" s="256" t="inlineStr">
        <is>
          <t>18.09.2026</t>
        </is>
      </c>
      <c r="G2782" s="256" t="inlineStr">
        <is>
          <t>11.3</t>
        </is>
      </c>
      <c r="H2782" s="256" t="inlineStr">
        <is>
          <t>Arsenic (As)</t>
        </is>
      </c>
      <c r="I2782" s="256" t="inlineStr">
        <is>
          <t>Ph. Eur. 2.4.27 (ICP-MS)</t>
        </is>
      </c>
      <c r="J2782" s="256" t="inlineStr">
        <is>
          <t>≤ 0.2 mg/kg</t>
        </is>
      </c>
      <c r="K2782" s="256" t="inlineStr">
        <is>
          <t>ND</t>
        </is>
      </c>
      <c r="L2782" s="256" t="inlineStr">
        <is>
          <t>4352/2025</t>
        </is>
      </c>
      <c r="M2782" s="256" t="inlineStr">
        <is>
          <t>15.09.2025</t>
        </is>
      </c>
      <c r="N2782" s="256" t="inlineStr">
        <is>
          <t>IPH — Institute of Public Health</t>
        </is>
      </c>
      <c r="O2782" s="256" t="inlineStr">
        <is>
          <t>05.09.2025</t>
        </is>
      </c>
      <c r="P2782" s="256" t="inlineStr">
        <is>
          <t>carried from the initial testing (CoQ-PP-2025-0016) — covered</t>
        </is>
      </c>
      <c r="Q2782" s="256" t="inlineStr"/>
      <c r="R2782" s="256" t="inlineStr"/>
    </row>
    <row r="2783">
      <c r="A2783" s="256" t="inlineStr">
        <is>
          <t>CoQ-PP_26-121</t>
        </is>
      </c>
      <c r="B2783" s="256" t="inlineStr">
        <is>
          <t>reissue — retest</t>
        </is>
      </c>
      <c r="C2783" s="256" t="inlineStr">
        <is>
          <t>HPA052501</t>
        </is>
      </c>
      <c r="D2783" s="256" t="inlineStr">
        <is>
          <t>P050182</t>
        </is>
      </c>
      <c r="E2783" s="256" t="inlineStr">
        <is>
          <t>High Pro Amnesia</t>
        </is>
      </c>
      <c r="F2783" s="256" t="inlineStr">
        <is>
          <t>18.09.2026</t>
        </is>
      </c>
      <c r="G2783" s="256" t="inlineStr">
        <is>
          <t>11.4</t>
        </is>
      </c>
      <c r="H2783" s="256" t="inlineStr">
        <is>
          <t>Mercury (Hg)</t>
        </is>
      </c>
      <c r="I2783" s="256" t="inlineStr">
        <is>
          <t>Ph. Eur. 2.4.27 (ICP-MS)</t>
        </is>
      </c>
      <c r="J2783" s="256" t="inlineStr">
        <is>
          <t>≤ 0.1 mg/kg</t>
        </is>
      </c>
      <c r="K2783" s="256" t="inlineStr">
        <is>
          <t>ND</t>
        </is>
      </c>
      <c r="L2783" s="256" t="inlineStr">
        <is>
          <t>4352/2025</t>
        </is>
      </c>
      <c r="M2783" s="256" t="inlineStr">
        <is>
          <t>15.09.2025</t>
        </is>
      </c>
      <c r="N2783" s="256" t="inlineStr">
        <is>
          <t>IPH — Institute of Public Health</t>
        </is>
      </c>
      <c r="O2783" s="256" t="inlineStr">
        <is>
          <t>05.09.2025</t>
        </is>
      </c>
      <c r="P2783" s="256" t="inlineStr">
        <is>
          <t>carried from the initial testing (CoQ-PP-2025-0016) — covered</t>
        </is>
      </c>
      <c r="Q2783" s="256" t="inlineStr"/>
      <c r="R2783" s="256" t="inlineStr"/>
    </row>
    <row r="2784">
      <c r="A2784" s="256" t="inlineStr">
        <is>
          <t>CoQ-PP_26-121</t>
        </is>
      </c>
      <c r="B2784" s="256" t="inlineStr">
        <is>
          <t>reissue — retest</t>
        </is>
      </c>
      <c r="C2784" s="256" t="inlineStr">
        <is>
          <t>HPA052501</t>
        </is>
      </c>
      <c r="D2784" s="256" t="inlineStr">
        <is>
          <t>P050182</t>
        </is>
      </c>
      <c r="E2784" s="256" t="inlineStr">
        <is>
          <t>High Pro Amnesia</t>
        </is>
      </c>
      <c r="F2784" s="256" t="inlineStr">
        <is>
          <t>18.09.2026</t>
        </is>
      </c>
      <c r="G2784" s="256" t="inlineStr">
        <is>
          <t>12</t>
        </is>
      </c>
      <c r="H2784" s="256" t="inlineStr">
        <is>
          <t>Pesticide Residues</t>
        </is>
      </c>
      <c r="I2784" s="256" t="inlineStr">
        <is>
          <t>Ph. Eur. 2.8.13 (LC-MS/MS) · CUMCS Equivalency</t>
        </is>
      </c>
      <c r="J2784" s="256" t="inlineStr">
        <is>
          <t>≤ LOQ as per Ph. Eur. 2.8.13 · ≤ LOQ as per CUMCS Equivalency</t>
        </is>
      </c>
      <c r="K2784" s="256" t="inlineStr">
        <is>
          <t>ND</t>
        </is>
      </c>
      <c r="L2784" s="256" t="inlineStr">
        <is>
          <t>4352/2025</t>
        </is>
      </c>
      <c r="M2784" s="256" t="inlineStr">
        <is>
          <t>15.09.2025</t>
        </is>
      </c>
      <c r="N2784" s="256" t="inlineStr">
        <is>
          <t>IPH — Institute of Public Health</t>
        </is>
      </c>
      <c r="O2784" s="256" t="inlineStr">
        <is>
          <t>05.09.2025</t>
        </is>
      </c>
      <c r="P2784" s="256" t="inlineStr">
        <is>
          <t>carried from the initial testing (CoQ-PP-2025-0016) — covered</t>
        </is>
      </c>
      <c r="Q2784" s="256" t="inlineStr"/>
      <c r="R2784" s="256" t="inlineStr"/>
    </row>
    <row r="2785">
      <c r="A2785" s="256" t="inlineStr">
        <is>
          <t>CoQ-PP_26-122</t>
        </is>
      </c>
      <c r="B2785" s="256" t="inlineStr">
        <is>
          <t>reissue — retest</t>
        </is>
      </c>
      <c r="C2785" s="256" t="inlineStr">
        <is>
          <t>JD012603/01</t>
        </is>
      </c>
      <c r="D2785" s="256" t="inlineStr">
        <is>
          <t>P060362</t>
        </is>
      </c>
      <c r="E2785" s="256" t="inlineStr">
        <is>
          <t>Jelly Donuts</t>
        </is>
      </c>
      <c r="F2785" s="256" t="inlineStr">
        <is>
          <t>18.09.2026</t>
        </is>
      </c>
      <c r="G2785" s="256" t="inlineStr">
        <is>
          <t>1</t>
        </is>
      </c>
      <c r="H2785" s="256" t="inlineStr">
        <is>
          <t>Identification A, Appearance · Macroscopic</t>
        </is>
      </c>
      <c r="I2785" s="256" t="inlineStr">
        <is>
          <t>Ph. Eur. mon. 3028</t>
        </is>
      </c>
      <c r="J2785" s="256" t="inlineStr">
        <is>
          <t>Conforms to the monograph for Cannabis flos (07/2024:3028) in Ph. Eur. 11.0 | Согласно монографија за Cannabis flos (07/2024:3028) во Ph. Eur. 11.0</t>
        </is>
      </c>
      <c r="K2785" s="256" t="inlineStr">
        <is>
          <t>Conforms | Одговара</t>
        </is>
      </c>
      <c r="L2785" s="256" t="inlineStr">
        <is>
          <t>ППК26111</t>
        </is>
      </c>
      <c r="M2785" s="256" t="inlineStr">
        <is>
          <t>30.06.2026</t>
        </is>
      </c>
      <c r="N2785" s="256" t="inlineStr">
        <is>
          <t>UKIM Faculty of Pharmacy — Center for Natural Products</t>
        </is>
      </c>
      <c r="O2785" s="256" t="inlineStr">
        <is>
          <t>17.06.2026</t>
        </is>
      </c>
      <c r="P2785" s="256" t="inlineStr">
        <is>
          <t>to be performed — see route</t>
        </is>
      </c>
      <c r="Q2785" s="256" t="inlineStr">
        <is>
          <t>Farmahem — Ident A + B + C with the Assay, at retest</t>
        </is>
      </c>
      <c r="R2785" s="256" t="inlineStr"/>
    </row>
    <row r="2786">
      <c r="A2786" s="256" t="inlineStr">
        <is>
          <t>CoQ-PP_26-122</t>
        </is>
      </c>
      <c r="B2786" s="256" t="inlineStr">
        <is>
          <t>reissue — retest</t>
        </is>
      </c>
      <c r="C2786" s="256" t="inlineStr">
        <is>
          <t>JD012603/01</t>
        </is>
      </c>
      <c r="D2786" s="256" t="inlineStr">
        <is>
          <t>P060362</t>
        </is>
      </c>
      <c r="E2786" s="256" t="inlineStr">
        <is>
          <t>Jelly Donuts</t>
        </is>
      </c>
      <c r="F2786" s="256" t="inlineStr">
        <is>
          <t>18.09.2026</t>
        </is>
      </c>
      <c r="G2786" s="256" t="inlineStr">
        <is>
          <t>2</t>
        </is>
      </c>
      <c r="H2786" s="256" t="inlineStr">
        <is>
          <t>Identification B · Microscopic</t>
        </is>
      </c>
      <c r="I2786" s="256" t="inlineStr">
        <is>
          <t>Ph. Eur. 2.8.23 (microscopy)</t>
        </is>
      </c>
      <c r="J2786" s="256" t="inlineStr">
        <is>
          <t>Conforms to the monograph for Cannabis flos (07/2024:3028) in Ph. Eur. 11.0 | Согласно монографија за Cannabis flos (07/2024:3028) во Ph. Eur. 11.0</t>
        </is>
      </c>
      <c r="K2786" s="256" t="inlineStr">
        <is>
          <t>Conforms | Одговара</t>
        </is>
      </c>
      <c r="L2786" s="256" t="inlineStr">
        <is>
          <t>ППК26111</t>
        </is>
      </c>
      <c r="M2786" s="256" t="inlineStr">
        <is>
          <t>30.06.2026</t>
        </is>
      </c>
      <c r="N2786" s="256" t="inlineStr">
        <is>
          <t>UKIM Faculty of Pharmacy — Center for Natural Products</t>
        </is>
      </c>
      <c r="O2786" s="256" t="inlineStr">
        <is>
          <t>17.06.2026</t>
        </is>
      </c>
      <c r="P2786" s="256" t="inlineStr">
        <is>
          <t>to be performed — see route</t>
        </is>
      </c>
      <c r="Q2786" s="256" t="inlineStr">
        <is>
          <t>Farmahem — Ident A + B + C with the Assay, at retest</t>
        </is>
      </c>
      <c r="R2786" s="256" t="inlineStr"/>
    </row>
    <row r="2787">
      <c r="A2787" s="256" t="inlineStr">
        <is>
          <t>CoQ-PP_26-122</t>
        </is>
      </c>
      <c r="B2787" s="256" t="inlineStr">
        <is>
          <t>reissue — retest</t>
        </is>
      </c>
      <c r="C2787" s="256" t="inlineStr">
        <is>
          <t>JD012603/01</t>
        </is>
      </c>
      <c r="D2787" s="256" t="inlineStr">
        <is>
          <t>P060362</t>
        </is>
      </c>
      <c r="E2787" s="256" t="inlineStr">
        <is>
          <t>Jelly Donuts</t>
        </is>
      </c>
      <c r="F2787" s="256" t="inlineStr">
        <is>
          <t>18.09.2026</t>
        </is>
      </c>
      <c r="G2787" s="256" t="inlineStr">
        <is>
          <t>3</t>
        </is>
      </c>
      <c r="H2787" s="256" t="inlineStr">
        <is>
          <t>Identification C · HPLC/HPTLC</t>
        </is>
      </c>
      <c r="I2787" s="256" t="inlineStr">
        <is>
          <t>Ph. Eur. 2.2.29 (3028)</t>
        </is>
      </c>
      <c r="J2787" s="256" t="inlineStr">
        <is>
          <t>Conforms to the monograph for Cannabis flos (07/2024:3028) in Ph. Eur. 11.0 | Согласно монографија за Cannabis flos (07/2024:3028) во Ph. Eur. 11.0</t>
        </is>
      </c>
      <c r="K2787" s="256" t="inlineStr">
        <is>
          <t>Conforms | Одговара</t>
        </is>
      </c>
      <c r="L2787" s="256" t="inlineStr">
        <is>
          <t>220-16-К/26</t>
        </is>
      </c>
      <c r="M2787" s="256" t="inlineStr">
        <is>
          <t>25.08.2026</t>
        </is>
      </c>
      <c r="N2787" s="256" t="inlineStr">
        <is>
          <t>Farmahem</t>
        </is>
      </c>
      <c r="O2787" s="256" t="inlineStr">
        <is>
          <t>17.08.2026</t>
        </is>
      </c>
      <c r="P2787" s="256" t="inlineStr">
        <is>
          <t>covered</t>
        </is>
      </c>
      <c r="Q2787" s="256" t="inlineStr"/>
      <c r="R2787" s="256" t="inlineStr"/>
    </row>
    <row r="2788">
      <c r="A2788" s="256" t="inlineStr">
        <is>
          <t>CoQ-PP_26-122</t>
        </is>
      </c>
      <c r="B2788" s="256" t="inlineStr">
        <is>
          <t>reissue — retest</t>
        </is>
      </c>
      <c r="C2788" s="256" t="inlineStr">
        <is>
          <t>JD012603/01</t>
        </is>
      </c>
      <c r="D2788" s="256" t="inlineStr">
        <is>
          <t>P060362</t>
        </is>
      </c>
      <c r="E2788" s="256" t="inlineStr">
        <is>
          <t>Jelly Donuts</t>
        </is>
      </c>
      <c r="F2788" s="256" t="inlineStr">
        <is>
          <t>18.09.2026</t>
        </is>
      </c>
      <c r="G2788" s="256" t="inlineStr">
        <is>
          <t>4</t>
        </is>
      </c>
      <c r="H2788" s="256" t="inlineStr">
        <is>
          <t>Assay — Total Δ⁹-THC</t>
        </is>
      </c>
      <c r="I2788" s="256" t="inlineStr">
        <is>
          <t>Ph. Eur. 2.2.29 (HPLC)</t>
        </is>
      </c>
      <c r="J2788" s="256" t="inlineStr">
        <is>
          <t>19.80 – 24.19 %  (grade I, nominal 22.00 ± 2.20)</t>
        </is>
      </c>
      <c r="K2788" s="256" t="inlineStr">
        <is>
          <t>21.01</t>
        </is>
      </c>
      <c r="L2788" s="256" t="inlineStr">
        <is>
          <t>220-16-К/26</t>
        </is>
      </c>
      <c r="M2788" s="256" t="inlineStr">
        <is>
          <t>25.08.2026</t>
        </is>
      </c>
      <c r="N2788" s="256" t="inlineStr">
        <is>
          <t>Farmahem</t>
        </is>
      </c>
      <c r="O2788" s="256" t="inlineStr">
        <is>
          <t>17.08.2026</t>
        </is>
      </c>
      <c r="P2788" s="256" t="inlineStr">
        <is>
          <t>covered</t>
        </is>
      </c>
      <c r="Q2788" s="256" t="inlineStr"/>
      <c r="R2788" s="256" t="inlineStr"/>
    </row>
    <row r="2789">
      <c r="A2789" s="256" t="inlineStr">
        <is>
          <t>CoQ-PP_26-122</t>
        </is>
      </c>
      <c r="B2789" s="256" t="inlineStr">
        <is>
          <t>reissue — retest</t>
        </is>
      </c>
      <c r="C2789" s="256" t="inlineStr">
        <is>
          <t>JD012603/01</t>
        </is>
      </c>
      <c r="D2789" s="256" t="inlineStr">
        <is>
          <t>P060362</t>
        </is>
      </c>
      <c r="E2789" s="256" t="inlineStr">
        <is>
          <t>Jelly Donuts</t>
        </is>
      </c>
      <c r="F2789" s="256" t="inlineStr">
        <is>
          <t>18.09.2026</t>
        </is>
      </c>
      <c r="G2789" s="256" t="inlineStr">
        <is>
          <t>5</t>
        </is>
      </c>
      <c r="H2789" s="256" t="inlineStr">
        <is>
          <t>Assay — Total CBD</t>
        </is>
      </c>
      <c r="I2789" s="256" t="inlineStr">
        <is>
          <t>Ph. Eur. 2.2.29 (HPLC) · CBD + CBDA x 0.877</t>
        </is>
      </c>
      <c r="J2789" s="256" t="inlineStr">
        <is>
          <t>≤ 1.0%, w/w</t>
        </is>
      </c>
      <c r="K2789" s="256" t="inlineStr">
        <is>
          <t>&lt; LOQ</t>
        </is>
      </c>
      <c r="L2789" s="256" t="inlineStr">
        <is>
          <t>220-16-К/26</t>
        </is>
      </c>
      <c r="M2789" s="256" t="inlineStr">
        <is>
          <t>25.08.2026</t>
        </is>
      </c>
      <c r="N2789" s="256" t="inlineStr">
        <is>
          <t>Farmahem</t>
        </is>
      </c>
      <c r="O2789" s="256" t="inlineStr">
        <is>
          <t>17.08.2026</t>
        </is>
      </c>
      <c r="P2789" s="256" t="inlineStr">
        <is>
          <t>covered</t>
        </is>
      </c>
      <c r="Q2789" s="256" t="inlineStr"/>
      <c r="R2789" s="256" t="inlineStr"/>
    </row>
    <row r="2790">
      <c r="A2790" s="256" t="inlineStr">
        <is>
          <t>CoQ-PP_26-122</t>
        </is>
      </c>
      <c r="B2790" s="256" t="inlineStr">
        <is>
          <t>reissue — retest</t>
        </is>
      </c>
      <c r="C2790" s="256" t="inlineStr">
        <is>
          <t>JD012603/01</t>
        </is>
      </c>
      <c r="D2790" s="256" t="inlineStr">
        <is>
          <t>P060362</t>
        </is>
      </c>
      <c r="E2790" s="256" t="inlineStr">
        <is>
          <t>Jelly Donuts</t>
        </is>
      </c>
      <c r="F2790" s="256" t="inlineStr">
        <is>
          <t>18.09.2026</t>
        </is>
      </c>
      <c r="G2790" s="256" t="inlineStr">
        <is>
          <t>6</t>
        </is>
      </c>
      <c r="H2790" s="256" t="inlineStr">
        <is>
          <t>Total CBN</t>
        </is>
      </c>
      <c r="I2790" s="256" t="inlineStr">
        <is>
          <t>Ph. Eur. 2.2.29 (HPLC) · CBN + CBNA x 0.876</t>
        </is>
      </c>
      <c r="J2790" s="256" t="inlineStr">
        <is>
          <t>≤ 1.0%, w/w</t>
        </is>
      </c>
      <c r="K2790" s="256" t="inlineStr">
        <is>
          <t>&lt; LOQ</t>
        </is>
      </c>
      <c r="L2790" s="256" t="inlineStr">
        <is>
          <t>220-16-К/26</t>
        </is>
      </c>
      <c r="M2790" s="256" t="inlineStr">
        <is>
          <t>25.08.2026</t>
        </is>
      </c>
      <c r="N2790" s="256" t="inlineStr">
        <is>
          <t>Farmahem</t>
        </is>
      </c>
      <c r="O2790" s="256" t="inlineStr">
        <is>
          <t>17.08.2026</t>
        </is>
      </c>
      <c r="P2790" s="256" t="inlineStr">
        <is>
          <t>covered</t>
        </is>
      </c>
      <c r="Q2790" s="256" t="inlineStr"/>
      <c r="R2790" s="256" t="inlineStr"/>
    </row>
    <row r="2791">
      <c r="A2791" s="256" t="inlineStr">
        <is>
          <t>CoQ-PP_26-122</t>
        </is>
      </c>
      <c r="B2791" s="256" t="inlineStr">
        <is>
          <t>reissue — retest</t>
        </is>
      </c>
      <c r="C2791" s="256" t="inlineStr">
        <is>
          <t>JD012603/01</t>
        </is>
      </c>
      <c r="D2791" s="256" t="inlineStr">
        <is>
          <t>P060362</t>
        </is>
      </c>
      <c r="E2791" s="256" t="inlineStr">
        <is>
          <t>Jelly Donuts</t>
        </is>
      </c>
      <c r="F2791" s="256" t="inlineStr">
        <is>
          <t>18.09.2026</t>
        </is>
      </c>
      <c r="G2791" s="256" t="inlineStr">
        <is>
          <t>7</t>
        </is>
      </c>
      <c r="H2791" s="256" t="inlineStr">
        <is>
          <t>Foreign Matter</t>
        </is>
      </c>
      <c r="I2791" s="256" t="inlineStr">
        <is>
          <t>Ph. Eur. 2.8.2 · In-house · интерна</t>
        </is>
      </c>
      <c r="J2791" s="256" t="inlineStr">
        <is>
          <t>≤ 2.0% / 25–50 g · &lt; 1 cm leaves | листови, no seeds | без семки</t>
        </is>
      </c>
      <c r="K2791" s="256" t="inlineStr">
        <is>
          <t>Conforms | Одговара</t>
        </is>
      </c>
      <c r="L2791" s="256" t="inlineStr">
        <is>
          <t>iCoA-PP_26-140</t>
        </is>
      </c>
      <c r="M2791" s="256" t="inlineStr">
        <is>
          <t>17.08.2026</t>
        </is>
      </c>
      <c r="N2791" s="256" t="inlineStr">
        <is>
          <t>Purely Plant GmbH (in-house)</t>
        </is>
      </c>
      <c r="O2791" s="256" t="inlineStr">
        <is>
          <t>—</t>
        </is>
      </c>
      <c r="P2791" s="256" t="inlineStr">
        <is>
          <t>to be performed — see route</t>
        </is>
      </c>
      <c r="Q2791" s="256" t="inlineStr">
        <is>
          <t>Purely Plant laboratory — iCoA covering Foreign matter</t>
        </is>
      </c>
      <c r="R2791" s="256" t="inlineStr"/>
    </row>
    <row r="2792">
      <c r="A2792" s="256" t="inlineStr">
        <is>
          <t>CoQ-PP_26-122</t>
        </is>
      </c>
      <c r="B2792" s="256" t="inlineStr">
        <is>
          <t>reissue — retest</t>
        </is>
      </c>
      <c r="C2792" s="256" t="inlineStr">
        <is>
          <t>JD012603/01</t>
        </is>
      </c>
      <c r="D2792" s="256" t="inlineStr">
        <is>
          <t>P060362</t>
        </is>
      </c>
      <c r="E2792" s="256" t="inlineStr">
        <is>
          <t>Jelly Donuts</t>
        </is>
      </c>
      <c r="F2792" s="256" t="inlineStr">
        <is>
          <t>18.09.2026</t>
        </is>
      </c>
      <c r="G2792" s="256" t="inlineStr">
        <is>
          <t>8</t>
        </is>
      </c>
      <c r="H2792" s="256" t="inlineStr">
        <is>
          <t>Loss on Drying</t>
        </is>
      </c>
      <c r="I2792" s="256" t="inlineStr">
        <is>
          <t>Ph. Eur. 2.2.32 (3028) · at 40 °C, 24 h, 15–25 mbar</t>
        </is>
      </c>
      <c r="J2792" s="256" t="inlineStr">
        <is>
          <t>≤ 12.0%</t>
        </is>
      </c>
      <c r="K2792" s="256" t="inlineStr">
        <is>
          <t>carried from the initial testing — not tested</t>
        </is>
      </c>
      <c r="L2792" s="256" t="inlineStr">
        <is>
          <t>—</t>
        </is>
      </c>
      <c r="M2792" s="256" t="inlineStr">
        <is>
          <t>—</t>
        </is>
      </c>
      <c r="N2792" s="256" t="inlineStr">
        <is>
          <t>—</t>
        </is>
      </c>
      <c r="O2792" s="256" t="inlineStr">
        <is>
          <t>—</t>
        </is>
      </c>
      <c r="P2792" s="256" t="inlineStr">
        <is>
          <t>carried from the initial testing (CoQ-PP-2026-0020) — not tested — no certificate covers it</t>
        </is>
      </c>
      <c r="Q2792" s="256" t="inlineStr"/>
      <c r="R2792" s="256" t="inlineStr"/>
    </row>
    <row r="2793">
      <c r="A2793" s="256" t="inlineStr">
        <is>
          <t>CoQ-PP_26-122</t>
        </is>
      </c>
      <c r="B2793" s="256" t="inlineStr">
        <is>
          <t>reissue — retest</t>
        </is>
      </c>
      <c r="C2793" s="256" t="inlineStr">
        <is>
          <t>JD012603/01</t>
        </is>
      </c>
      <c r="D2793" s="256" t="inlineStr">
        <is>
          <t>P060362</t>
        </is>
      </c>
      <c r="E2793" s="256" t="inlineStr">
        <is>
          <t>Jelly Donuts</t>
        </is>
      </c>
      <c r="F2793" s="256" t="inlineStr">
        <is>
          <t>18.09.2026</t>
        </is>
      </c>
      <c r="G2793" s="256" t="inlineStr">
        <is>
          <t>9.1</t>
        </is>
      </c>
      <c r="H2793" s="256" t="inlineStr">
        <is>
          <t>TAMC</t>
        </is>
      </c>
      <c r="I2793" s="256" t="inlineStr">
        <is>
          <t>Ph. Eur. 2.6.12 cat. C</t>
        </is>
      </c>
      <c r="J2793" s="256" t="inlineStr">
        <is>
          <t>≤ 10⁵ CFU/g</t>
        </is>
      </c>
      <c r="K2793" s="256" t="inlineStr">
        <is>
          <t>2 × 10²</t>
        </is>
      </c>
      <c r="L2793" s="256" t="inlineStr">
        <is>
          <t>365/0695/26</t>
        </is>
      </c>
      <c r="M2793" s="256" t="inlineStr">
        <is>
          <t>01.06.2026</t>
        </is>
      </c>
      <c r="N2793" s="256" t="inlineStr">
        <is>
          <t>IPH — Institute of Public Health</t>
        </is>
      </c>
      <c r="O2793" s="256" t="inlineStr">
        <is>
          <t>—</t>
        </is>
      </c>
      <c r="P2793" s="256" t="inlineStr">
        <is>
          <t>covered</t>
        </is>
      </c>
      <c r="Q2793" s="256" t="inlineStr"/>
      <c r="R2793" s="256" t="inlineStr"/>
    </row>
    <row r="2794">
      <c r="A2794" s="256" t="inlineStr">
        <is>
          <t>CoQ-PP_26-122</t>
        </is>
      </c>
      <c r="B2794" s="256" t="inlineStr">
        <is>
          <t>reissue — retest</t>
        </is>
      </c>
      <c r="C2794" s="256" t="inlineStr">
        <is>
          <t>JD012603/01</t>
        </is>
      </c>
      <c r="D2794" s="256" t="inlineStr">
        <is>
          <t>P060362</t>
        </is>
      </c>
      <c r="E2794" s="256" t="inlineStr">
        <is>
          <t>Jelly Donuts</t>
        </is>
      </c>
      <c r="F2794" s="256" t="inlineStr">
        <is>
          <t>18.09.2026</t>
        </is>
      </c>
      <c r="G2794" s="256" t="inlineStr">
        <is>
          <t>9.2</t>
        </is>
      </c>
      <c r="H2794" s="256" t="inlineStr">
        <is>
          <t>TYMC</t>
        </is>
      </c>
      <c r="I2794" s="256" t="inlineStr">
        <is>
          <t>Ph. Eur. 2.6.12 cat. C</t>
        </is>
      </c>
      <c r="J2794" s="256" t="inlineStr">
        <is>
          <t>≤ 10⁴ CFU/g</t>
        </is>
      </c>
      <c r="K2794" s="256" t="inlineStr">
        <is>
          <t>1 × 10²</t>
        </is>
      </c>
      <c r="L2794" s="256" t="inlineStr">
        <is>
          <t>365/0695/26</t>
        </is>
      </c>
      <c r="M2794" s="256" t="inlineStr">
        <is>
          <t>01.06.2026</t>
        </is>
      </c>
      <c r="N2794" s="256" t="inlineStr">
        <is>
          <t>IPH — Institute of Public Health</t>
        </is>
      </c>
      <c r="O2794" s="256" t="inlineStr">
        <is>
          <t>—</t>
        </is>
      </c>
      <c r="P2794" s="256" t="inlineStr">
        <is>
          <t>covered</t>
        </is>
      </c>
      <c r="Q2794" s="256" t="inlineStr"/>
      <c r="R2794" s="256" t="inlineStr"/>
    </row>
    <row r="2795">
      <c r="A2795" s="256" t="inlineStr">
        <is>
          <t>CoQ-PP_26-122</t>
        </is>
      </c>
      <c r="B2795" s="256" t="inlineStr">
        <is>
          <t>reissue — retest</t>
        </is>
      </c>
      <c r="C2795" s="256" t="inlineStr">
        <is>
          <t>JD012603/01</t>
        </is>
      </c>
      <c r="D2795" s="256" t="inlineStr">
        <is>
          <t>P060362</t>
        </is>
      </c>
      <c r="E2795" s="256" t="inlineStr">
        <is>
          <t>Jelly Donuts</t>
        </is>
      </c>
      <c r="F2795" s="256" t="inlineStr">
        <is>
          <t>18.09.2026</t>
        </is>
      </c>
      <c r="G2795" s="256" t="inlineStr">
        <is>
          <t>9.3</t>
        </is>
      </c>
      <c r="H2795" s="256" t="inlineStr">
        <is>
          <t>Bile-tolerant gram-neg.</t>
        </is>
      </c>
      <c r="I2795" s="256" t="inlineStr">
        <is>
          <t>Ph. Eur. 2.6.31 cat. C</t>
        </is>
      </c>
      <c r="J2795" s="256" t="inlineStr">
        <is>
          <t>≤ 10⁴ CFU/g</t>
        </is>
      </c>
      <c r="K2795" s="256" t="inlineStr">
        <is>
          <t>&lt; 10</t>
        </is>
      </c>
      <c r="L2795" s="256" t="inlineStr">
        <is>
          <t>365/0695/26</t>
        </is>
      </c>
      <c r="M2795" s="256" t="inlineStr">
        <is>
          <t>01.06.2026</t>
        </is>
      </c>
      <c r="N2795" s="256" t="inlineStr">
        <is>
          <t>IPH — Institute of Public Health</t>
        </is>
      </c>
      <c r="O2795" s="256" t="inlineStr">
        <is>
          <t>—</t>
        </is>
      </c>
      <c r="P2795" s="256" t="inlineStr">
        <is>
          <t>covered</t>
        </is>
      </c>
      <c r="Q2795" s="256" t="inlineStr"/>
      <c r="R2795" s="256" t="inlineStr"/>
    </row>
    <row r="2796">
      <c r="A2796" s="256" t="inlineStr">
        <is>
          <t>CoQ-PP_26-122</t>
        </is>
      </c>
      <c r="B2796" s="256" t="inlineStr">
        <is>
          <t>reissue — retest</t>
        </is>
      </c>
      <c r="C2796" s="256" t="inlineStr">
        <is>
          <t>JD012603/01</t>
        </is>
      </c>
      <c r="D2796" s="256" t="inlineStr">
        <is>
          <t>P060362</t>
        </is>
      </c>
      <c r="E2796" s="256" t="inlineStr">
        <is>
          <t>Jelly Donuts</t>
        </is>
      </c>
      <c r="F2796" s="256" t="inlineStr">
        <is>
          <t>18.09.2026</t>
        </is>
      </c>
      <c r="G2796" s="256" t="inlineStr">
        <is>
          <t>9.4</t>
        </is>
      </c>
      <c r="H2796" s="256" t="inlineStr">
        <is>
          <t>Salmonella</t>
        </is>
      </c>
      <c r="I2796" s="256" t="inlineStr">
        <is>
          <t>Ph. Eur. 2.6.31 cat. C</t>
        </is>
      </c>
      <c r="J2796" s="256" t="inlineStr">
        <is>
          <t>Absence | Отсуство / 25 g</t>
        </is>
      </c>
      <c r="K2796" s="256" t="inlineStr">
        <is>
          <t>Absent | Отсутна</t>
        </is>
      </c>
      <c r="L2796" s="256" t="inlineStr">
        <is>
          <t>365/0695/26</t>
        </is>
      </c>
      <c r="M2796" s="256" t="inlineStr">
        <is>
          <t>01.06.2026</t>
        </is>
      </c>
      <c r="N2796" s="256" t="inlineStr">
        <is>
          <t>IPH — Institute of Public Health</t>
        </is>
      </c>
      <c r="O2796" s="256" t="inlineStr">
        <is>
          <t>—</t>
        </is>
      </c>
      <c r="P2796" s="256" t="inlineStr">
        <is>
          <t>covered</t>
        </is>
      </c>
      <c r="Q2796" s="256" t="inlineStr"/>
      <c r="R2796" s="256" t="inlineStr"/>
    </row>
    <row r="2797">
      <c r="A2797" s="256" t="inlineStr">
        <is>
          <t>CoQ-PP_26-122</t>
        </is>
      </c>
      <c r="B2797" s="256" t="inlineStr">
        <is>
          <t>reissue — retest</t>
        </is>
      </c>
      <c r="C2797" s="256" t="inlineStr">
        <is>
          <t>JD012603/01</t>
        </is>
      </c>
      <c r="D2797" s="256" t="inlineStr">
        <is>
          <t>P060362</t>
        </is>
      </c>
      <c r="E2797" s="256" t="inlineStr">
        <is>
          <t>Jelly Donuts</t>
        </is>
      </c>
      <c r="F2797" s="256" t="inlineStr">
        <is>
          <t>18.09.2026</t>
        </is>
      </c>
      <c r="G2797" s="256" t="inlineStr">
        <is>
          <t>9.5</t>
        </is>
      </c>
      <c r="H2797" s="256" t="inlineStr">
        <is>
          <t>Escherichia coli</t>
        </is>
      </c>
      <c r="I2797" s="256" t="inlineStr">
        <is>
          <t>Ph. Eur. 2.6.13 cat. C</t>
        </is>
      </c>
      <c r="J2797" s="256" t="inlineStr">
        <is>
          <t>Absence | Отсуство / 1 g</t>
        </is>
      </c>
      <c r="K2797" s="256" t="inlineStr">
        <is>
          <t>Absent | Отсутна</t>
        </is>
      </c>
      <c r="L2797" s="256" t="inlineStr">
        <is>
          <t>365/0695/26</t>
        </is>
      </c>
      <c r="M2797" s="256" t="inlineStr">
        <is>
          <t>01.06.2026</t>
        </is>
      </c>
      <c r="N2797" s="256" t="inlineStr">
        <is>
          <t>IPH — Institute of Public Health</t>
        </is>
      </c>
      <c r="O2797" s="256" t="inlineStr">
        <is>
          <t>—</t>
        </is>
      </c>
      <c r="P2797" s="256" t="inlineStr">
        <is>
          <t>covered</t>
        </is>
      </c>
      <c r="Q2797" s="256" t="inlineStr"/>
      <c r="R2797" s="256" t="inlineStr"/>
    </row>
    <row r="2798">
      <c r="A2798" s="256" t="inlineStr">
        <is>
          <t>CoQ-PP_26-122</t>
        </is>
      </c>
      <c r="B2798" s="256" t="inlineStr">
        <is>
          <t>reissue — retest</t>
        </is>
      </c>
      <c r="C2798" s="256" t="inlineStr">
        <is>
          <t>JD012603/01</t>
        </is>
      </c>
      <c r="D2798" s="256" t="inlineStr">
        <is>
          <t>P060362</t>
        </is>
      </c>
      <c r="E2798" s="256" t="inlineStr">
        <is>
          <t>Jelly Donuts</t>
        </is>
      </c>
      <c r="F2798" s="256" t="inlineStr">
        <is>
          <t>18.09.2026</t>
        </is>
      </c>
      <c r="G2798" s="256" t="inlineStr">
        <is>
          <t>9.6</t>
        </is>
      </c>
      <c r="H2798" s="256" t="inlineStr">
        <is>
          <t>Pseudomonas aeruginosa</t>
        </is>
      </c>
      <c r="I2798" s="256" t="inlineStr">
        <is>
          <t>Ph. Eur. 2.6.13 cat. C</t>
        </is>
      </c>
      <c r="J2798" s="256" t="inlineStr">
        <is>
          <t>Absence | Отсуство / 1 g</t>
        </is>
      </c>
      <c r="K2798" s="260" t="inlineStr">
        <is>
          <t>upon request — not required for release</t>
        </is>
      </c>
      <c r="L2798" s="256" t="inlineStr">
        <is>
          <t>—</t>
        </is>
      </c>
      <c r="M2798" s="256" t="inlineStr">
        <is>
          <t>—</t>
        </is>
      </c>
      <c r="N2798" s="256" t="inlineStr">
        <is>
          <t>—</t>
        </is>
      </c>
      <c r="O2798" s="256" t="inlineStr">
        <is>
          <t>—</t>
        </is>
      </c>
      <c r="P2798" s="256" t="inlineStr">
        <is>
          <t>upon request — not required for release</t>
        </is>
      </c>
      <c r="Q2798" s="256" t="inlineStr"/>
      <c r="R2798" s="256" t="inlineStr"/>
    </row>
    <row r="2799">
      <c r="A2799" s="256" t="inlineStr">
        <is>
          <t>CoQ-PP_26-122</t>
        </is>
      </c>
      <c r="B2799" s="256" t="inlineStr">
        <is>
          <t>reissue — retest</t>
        </is>
      </c>
      <c r="C2799" s="256" t="inlineStr">
        <is>
          <t>JD012603/01</t>
        </is>
      </c>
      <c r="D2799" s="256" t="inlineStr">
        <is>
          <t>P060362</t>
        </is>
      </c>
      <c r="E2799" s="256" t="inlineStr">
        <is>
          <t>Jelly Donuts</t>
        </is>
      </c>
      <c r="F2799" s="256" t="inlineStr">
        <is>
          <t>18.09.2026</t>
        </is>
      </c>
      <c r="G2799" s="256" t="inlineStr">
        <is>
          <t>9.7</t>
        </is>
      </c>
      <c r="H2799" s="256" t="inlineStr">
        <is>
          <t>Staphylococcus aureus</t>
        </is>
      </c>
      <c r="I2799" s="256" t="inlineStr">
        <is>
          <t>Ph. Eur. 2.6.13 cat. C</t>
        </is>
      </c>
      <c r="J2799" s="256" t="inlineStr">
        <is>
          <t>Absence | Отсуство / 1 g</t>
        </is>
      </c>
      <c r="K2799" s="260" t="inlineStr">
        <is>
          <t>upon request — not required for release</t>
        </is>
      </c>
      <c r="L2799" s="256" t="inlineStr">
        <is>
          <t>—</t>
        </is>
      </c>
      <c r="M2799" s="256" t="inlineStr">
        <is>
          <t>—</t>
        </is>
      </c>
      <c r="N2799" s="256" t="inlineStr">
        <is>
          <t>—</t>
        </is>
      </c>
      <c r="O2799" s="256" t="inlineStr">
        <is>
          <t>—</t>
        </is>
      </c>
      <c r="P2799" s="256" t="inlineStr">
        <is>
          <t>upon request — not required for release</t>
        </is>
      </c>
      <c r="Q2799" s="256" t="inlineStr"/>
      <c r="R2799" s="256" t="inlineStr"/>
    </row>
    <row r="2800">
      <c r="A2800" s="256" t="inlineStr">
        <is>
          <t>CoQ-PP_26-122</t>
        </is>
      </c>
      <c r="B2800" s="256" t="inlineStr">
        <is>
          <t>reissue — retest</t>
        </is>
      </c>
      <c r="C2800" s="256" t="inlineStr">
        <is>
          <t>JD012603/01</t>
        </is>
      </c>
      <c r="D2800" s="256" t="inlineStr">
        <is>
          <t>P060362</t>
        </is>
      </c>
      <c r="E2800" s="256" t="inlineStr">
        <is>
          <t>Jelly Donuts</t>
        </is>
      </c>
      <c r="F2800" s="256" t="inlineStr">
        <is>
          <t>18.09.2026</t>
        </is>
      </c>
      <c r="G2800" s="256" t="inlineStr">
        <is>
          <t>10.1</t>
        </is>
      </c>
      <c r="H2800" s="256" t="inlineStr">
        <is>
          <t>Aflatoxin B₁</t>
        </is>
      </c>
      <c r="I2800" s="256" t="inlineStr">
        <is>
          <t>Ph. Eur. 2.8.18 (HPLC-FLD)</t>
        </is>
      </c>
      <c r="J2800" s="256" t="inlineStr">
        <is>
          <t>≤ 2 µg/kg</t>
        </is>
      </c>
      <c r="K2800" s="256" t="inlineStr">
        <is>
          <t>ND</t>
        </is>
      </c>
      <c r="L2800" s="256" t="inlineStr">
        <is>
          <t>220-16-М/26</t>
        </is>
      </c>
      <c r="M2800" s="256" t="inlineStr">
        <is>
          <t>11.09.2026</t>
        </is>
      </c>
      <c r="N2800" s="256" t="inlineStr">
        <is>
          <t>Farmahem</t>
        </is>
      </c>
      <c r="O2800" s="256" t="inlineStr">
        <is>
          <t>17.08.2026</t>
        </is>
      </c>
      <c r="P2800" s="256" t="inlineStr">
        <is>
          <t>covered</t>
        </is>
      </c>
      <c r="Q2800" s="256" t="inlineStr"/>
      <c r="R2800" s="256" t="inlineStr"/>
    </row>
    <row r="2801">
      <c r="A2801" s="256" t="inlineStr">
        <is>
          <t>CoQ-PP_26-122</t>
        </is>
      </c>
      <c r="B2801" s="256" t="inlineStr">
        <is>
          <t>reissue — retest</t>
        </is>
      </c>
      <c r="C2801" s="256" t="inlineStr">
        <is>
          <t>JD012603/01</t>
        </is>
      </c>
      <c r="D2801" s="256" t="inlineStr">
        <is>
          <t>P060362</t>
        </is>
      </c>
      <c r="E2801" s="256" t="inlineStr">
        <is>
          <t>Jelly Donuts</t>
        </is>
      </c>
      <c r="F2801" s="256" t="inlineStr">
        <is>
          <t>18.09.2026</t>
        </is>
      </c>
      <c r="G2801" s="256" t="inlineStr">
        <is>
          <t>10.2</t>
        </is>
      </c>
      <c r="H2801" s="256" t="inlineStr">
        <is>
          <t>Aflatoxins ∑</t>
        </is>
      </c>
      <c r="I2801" s="256" t="inlineStr">
        <is>
          <t>Ph. Eur. 2.8.18 (HPLC-FLD)</t>
        </is>
      </c>
      <c r="J2801" s="256" t="inlineStr">
        <is>
          <t>≤ 4 µg/kg</t>
        </is>
      </c>
      <c r="K2801" s="256" t="inlineStr">
        <is>
          <t>ND</t>
        </is>
      </c>
      <c r="L2801" s="256" t="inlineStr">
        <is>
          <t>220-16-М/26</t>
        </is>
      </c>
      <c r="M2801" s="256" t="inlineStr">
        <is>
          <t>11.09.2026</t>
        </is>
      </c>
      <c r="N2801" s="256" t="inlineStr">
        <is>
          <t>Farmahem</t>
        </is>
      </c>
      <c r="O2801" s="256" t="inlineStr">
        <is>
          <t>17.08.2026</t>
        </is>
      </c>
      <c r="P2801" s="256" t="inlineStr">
        <is>
          <t>covered</t>
        </is>
      </c>
      <c r="Q2801" s="256" t="inlineStr"/>
      <c r="R2801" s="256" t="inlineStr"/>
    </row>
    <row r="2802">
      <c r="A2802" s="256" t="inlineStr">
        <is>
          <t>CoQ-PP_26-122</t>
        </is>
      </c>
      <c r="B2802" s="256" t="inlineStr">
        <is>
          <t>reissue — retest</t>
        </is>
      </c>
      <c r="C2802" s="256" t="inlineStr">
        <is>
          <t>JD012603/01</t>
        </is>
      </c>
      <c r="D2802" s="256" t="inlineStr">
        <is>
          <t>P060362</t>
        </is>
      </c>
      <c r="E2802" s="256" t="inlineStr">
        <is>
          <t>Jelly Donuts</t>
        </is>
      </c>
      <c r="F2802" s="256" t="inlineStr">
        <is>
          <t>18.09.2026</t>
        </is>
      </c>
      <c r="G2802" s="256" t="inlineStr">
        <is>
          <t>10.3</t>
        </is>
      </c>
      <c r="H2802" s="256" t="inlineStr">
        <is>
          <t>Ochratoxin A</t>
        </is>
      </c>
      <c r="I2802" s="256" t="inlineStr">
        <is>
          <t>Ph. Eur. 2.8.22 (HPLC-FLD)</t>
        </is>
      </c>
      <c r="J2802" s="256" t="inlineStr">
        <is>
          <t>≤ 20 µg/kg</t>
        </is>
      </c>
      <c r="K2802" s="256" t="inlineStr">
        <is>
          <t>ND</t>
        </is>
      </c>
      <c r="L2802" s="256" t="inlineStr">
        <is>
          <t>220-16-М/26</t>
        </is>
      </c>
      <c r="M2802" s="256" t="inlineStr">
        <is>
          <t>11.09.2026</t>
        </is>
      </c>
      <c r="N2802" s="256" t="inlineStr">
        <is>
          <t>Farmahem</t>
        </is>
      </c>
      <c r="O2802" s="256" t="inlineStr">
        <is>
          <t>17.08.2026</t>
        </is>
      </c>
      <c r="P2802" s="256" t="inlineStr">
        <is>
          <t>covered</t>
        </is>
      </c>
      <c r="Q2802" s="256" t="inlineStr"/>
      <c r="R2802" s="256" t="inlineStr"/>
    </row>
    <row r="2803">
      <c r="A2803" s="256" t="inlineStr">
        <is>
          <t>CoQ-PP_26-122</t>
        </is>
      </c>
      <c r="B2803" s="256" t="inlineStr">
        <is>
          <t>reissue — retest</t>
        </is>
      </c>
      <c r="C2803" s="256" t="inlineStr">
        <is>
          <t>JD012603/01</t>
        </is>
      </c>
      <c r="D2803" s="256" t="inlineStr">
        <is>
          <t>P060362</t>
        </is>
      </c>
      <c r="E2803" s="256" t="inlineStr">
        <is>
          <t>Jelly Donuts</t>
        </is>
      </c>
      <c r="F2803" s="256" t="inlineStr">
        <is>
          <t>18.09.2026</t>
        </is>
      </c>
      <c r="G2803" s="256" t="inlineStr">
        <is>
          <t>11.1</t>
        </is>
      </c>
      <c r="H2803" s="256" t="inlineStr">
        <is>
          <t>Lead (Pb)</t>
        </is>
      </c>
      <c r="I2803" s="256" t="inlineStr">
        <is>
          <t>Ph. Eur. 2.4.27 (ICP-MS)</t>
        </is>
      </c>
      <c r="J2803" s="256" t="inlineStr">
        <is>
          <t>≤ 0.5 mg/kg</t>
        </is>
      </c>
      <c r="K2803" s="256" t="inlineStr">
        <is>
          <t>carried from the initial testing — not tested</t>
        </is>
      </c>
      <c r="L2803" s="256" t="inlineStr">
        <is>
          <t>—</t>
        </is>
      </c>
      <c r="M2803" s="256" t="inlineStr">
        <is>
          <t>—</t>
        </is>
      </c>
      <c r="N2803" s="256" t="inlineStr">
        <is>
          <t>—</t>
        </is>
      </c>
      <c r="O2803" s="256" t="inlineStr">
        <is>
          <t>—</t>
        </is>
      </c>
      <c r="P2803" s="256" t="inlineStr">
        <is>
          <t>carried from the initial testing (CoQ-PP-2026-0020) — not tested — no certificate covers it</t>
        </is>
      </c>
      <c r="Q2803" s="256" t="inlineStr"/>
      <c r="R2803" s="256" t="inlineStr"/>
    </row>
    <row r="2804">
      <c r="A2804" s="256" t="inlineStr">
        <is>
          <t>CoQ-PP_26-122</t>
        </is>
      </c>
      <c r="B2804" s="256" t="inlineStr">
        <is>
          <t>reissue — retest</t>
        </is>
      </c>
      <c r="C2804" s="256" t="inlineStr">
        <is>
          <t>JD012603/01</t>
        </is>
      </c>
      <c r="D2804" s="256" t="inlineStr">
        <is>
          <t>P060362</t>
        </is>
      </c>
      <c r="E2804" s="256" t="inlineStr">
        <is>
          <t>Jelly Donuts</t>
        </is>
      </c>
      <c r="F2804" s="256" t="inlineStr">
        <is>
          <t>18.09.2026</t>
        </is>
      </c>
      <c r="G2804" s="256" t="inlineStr">
        <is>
          <t>11.2</t>
        </is>
      </c>
      <c r="H2804" s="256" t="inlineStr">
        <is>
          <t>Cadmium (Cd)</t>
        </is>
      </c>
      <c r="I2804" s="256" t="inlineStr">
        <is>
          <t>Ph. Eur. 2.4.27 (ICP-MS)</t>
        </is>
      </c>
      <c r="J2804" s="256" t="inlineStr">
        <is>
          <t>≤ 0.3 mg/kg</t>
        </is>
      </c>
      <c r="K2804" s="256" t="inlineStr">
        <is>
          <t>carried from the initial testing — not tested</t>
        </is>
      </c>
      <c r="L2804" s="256" t="inlineStr">
        <is>
          <t>—</t>
        </is>
      </c>
      <c r="M2804" s="256" t="inlineStr">
        <is>
          <t>—</t>
        </is>
      </c>
      <c r="N2804" s="256" t="inlineStr">
        <is>
          <t>—</t>
        </is>
      </c>
      <c r="O2804" s="256" t="inlineStr">
        <is>
          <t>—</t>
        </is>
      </c>
      <c r="P2804" s="256" t="inlineStr">
        <is>
          <t>carried from the initial testing (CoQ-PP-2026-0020) — not tested — no certificate covers it</t>
        </is>
      </c>
      <c r="Q2804" s="256" t="inlineStr"/>
      <c r="R2804" s="256" t="inlineStr"/>
    </row>
    <row r="2805">
      <c r="A2805" s="256" t="inlineStr">
        <is>
          <t>CoQ-PP_26-122</t>
        </is>
      </c>
      <c r="B2805" s="256" t="inlineStr">
        <is>
          <t>reissue — retest</t>
        </is>
      </c>
      <c r="C2805" s="256" t="inlineStr">
        <is>
          <t>JD012603/01</t>
        </is>
      </c>
      <c r="D2805" s="256" t="inlineStr">
        <is>
          <t>P060362</t>
        </is>
      </c>
      <c r="E2805" s="256" t="inlineStr">
        <is>
          <t>Jelly Donuts</t>
        </is>
      </c>
      <c r="F2805" s="256" t="inlineStr">
        <is>
          <t>18.09.2026</t>
        </is>
      </c>
      <c r="G2805" s="256" t="inlineStr">
        <is>
          <t>11.3</t>
        </is>
      </c>
      <c r="H2805" s="256" t="inlineStr">
        <is>
          <t>Arsenic (As)</t>
        </is>
      </c>
      <c r="I2805" s="256" t="inlineStr">
        <is>
          <t>Ph. Eur. 2.4.27 (ICP-MS)</t>
        </is>
      </c>
      <c r="J2805" s="256" t="inlineStr">
        <is>
          <t>≤ 0.2 mg/kg</t>
        </is>
      </c>
      <c r="K2805" s="256" t="inlineStr">
        <is>
          <t>carried from the initial testing — not tested</t>
        </is>
      </c>
      <c r="L2805" s="256" t="inlineStr">
        <is>
          <t>—</t>
        </is>
      </c>
      <c r="M2805" s="256" t="inlineStr">
        <is>
          <t>—</t>
        </is>
      </c>
      <c r="N2805" s="256" t="inlineStr">
        <is>
          <t>—</t>
        </is>
      </c>
      <c r="O2805" s="256" t="inlineStr">
        <is>
          <t>—</t>
        </is>
      </c>
      <c r="P2805" s="256" t="inlineStr">
        <is>
          <t>carried from the initial testing (CoQ-PP-2026-0020) — not tested — no certificate covers it</t>
        </is>
      </c>
      <c r="Q2805" s="256" t="inlineStr"/>
      <c r="R2805" s="256" t="inlineStr"/>
    </row>
    <row r="2806">
      <c r="A2806" s="256" t="inlineStr">
        <is>
          <t>CoQ-PP_26-122</t>
        </is>
      </c>
      <c r="B2806" s="256" t="inlineStr">
        <is>
          <t>reissue — retest</t>
        </is>
      </c>
      <c r="C2806" s="256" t="inlineStr">
        <is>
          <t>JD012603/01</t>
        </is>
      </c>
      <c r="D2806" s="256" t="inlineStr">
        <is>
          <t>P060362</t>
        </is>
      </c>
      <c r="E2806" s="256" t="inlineStr">
        <is>
          <t>Jelly Donuts</t>
        </is>
      </c>
      <c r="F2806" s="256" t="inlineStr">
        <is>
          <t>18.09.2026</t>
        </is>
      </c>
      <c r="G2806" s="256" t="inlineStr">
        <is>
          <t>11.4</t>
        </is>
      </c>
      <c r="H2806" s="256" t="inlineStr">
        <is>
          <t>Mercury (Hg)</t>
        </is>
      </c>
      <c r="I2806" s="256" t="inlineStr">
        <is>
          <t>Ph. Eur. 2.4.27 (ICP-MS)</t>
        </is>
      </c>
      <c r="J2806" s="256" t="inlineStr">
        <is>
          <t>≤ 0.1 mg/kg</t>
        </is>
      </c>
      <c r="K2806" s="256" t="inlineStr">
        <is>
          <t>carried from the initial testing — not tested</t>
        </is>
      </c>
      <c r="L2806" s="256" t="inlineStr">
        <is>
          <t>—</t>
        </is>
      </c>
      <c r="M2806" s="256" t="inlineStr">
        <is>
          <t>—</t>
        </is>
      </c>
      <c r="N2806" s="256" t="inlineStr">
        <is>
          <t>—</t>
        </is>
      </c>
      <c r="O2806" s="256" t="inlineStr">
        <is>
          <t>—</t>
        </is>
      </c>
      <c r="P2806" s="256" t="inlineStr">
        <is>
          <t>carried from the initial testing (CoQ-PP-2026-0020) — not tested — no certificate covers it</t>
        </is>
      </c>
      <c r="Q2806" s="256" t="inlineStr"/>
      <c r="R2806" s="256" t="inlineStr"/>
    </row>
    <row r="2807">
      <c r="A2807" s="256" t="inlineStr">
        <is>
          <t>CoQ-PP_26-122</t>
        </is>
      </c>
      <c r="B2807" s="256" t="inlineStr">
        <is>
          <t>reissue — retest</t>
        </is>
      </c>
      <c r="C2807" s="256" t="inlineStr">
        <is>
          <t>JD012603/01</t>
        </is>
      </c>
      <c r="D2807" s="256" t="inlineStr">
        <is>
          <t>P060362</t>
        </is>
      </c>
      <c r="E2807" s="256" t="inlineStr">
        <is>
          <t>Jelly Donuts</t>
        </is>
      </c>
      <c r="F2807" s="256" t="inlineStr">
        <is>
          <t>18.09.2026</t>
        </is>
      </c>
      <c r="G2807" s="256" t="inlineStr">
        <is>
          <t>12</t>
        </is>
      </c>
      <c r="H2807" s="256" t="inlineStr">
        <is>
          <t>Pesticide Residues</t>
        </is>
      </c>
      <c r="I2807" s="256" t="inlineStr">
        <is>
          <t>Ph. Eur. 2.8.13 (LC-MS/MS) · CUMCS Equivalency</t>
        </is>
      </c>
      <c r="J2807" s="256" t="inlineStr">
        <is>
          <t>≤ LOQ as per Ph. Eur. 2.8.13 · ≤ LOQ as per CUMCS Equivalency</t>
        </is>
      </c>
      <c r="K2807" s="256" t="inlineStr">
        <is>
          <t>carried from the initial testing — not tested</t>
        </is>
      </c>
      <c r="L2807" s="256" t="inlineStr">
        <is>
          <t>—</t>
        </is>
      </c>
      <c r="M2807" s="256" t="inlineStr">
        <is>
          <t>—</t>
        </is>
      </c>
      <c r="N2807" s="256" t="inlineStr">
        <is>
          <t>—</t>
        </is>
      </c>
      <c r="O2807" s="256" t="inlineStr">
        <is>
          <t>—</t>
        </is>
      </c>
      <c r="P2807" s="256" t="inlineStr">
        <is>
          <t>carried from the initial testing (CoQ-PP-2026-0020) — not tested — no certificate covers it</t>
        </is>
      </c>
      <c r="Q2807" s="256" t="inlineStr"/>
      <c r="R2807" s="256" t="inlineStr"/>
    </row>
    <row r="2808">
      <c r="A2808" s="256" t="inlineStr">
        <is>
          <t>CoQ-PP_26-123</t>
        </is>
      </c>
      <c r="B2808" s="256" t="inlineStr">
        <is>
          <t>reissue — retest</t>
        </is>
      </c>
      <c r="C2808" s="256" t="inlineStr">
        <is>
          <t>JD012603/02</t>
        </is>
      </c>
      <c r="D2808" s="256" t="inlineStr">
        <is>
          <t>P060412</t>
        </is>
      </c>
      <c r="E2808" s="256" t="inlineStr">
        <is>
          <t>Jelly Donuts</t>
        </is>
      </c>
      <c r="F2808" s="256" t="inlineStr">
        <is>
          <t>18.09.2026</t>
        </is>
      </c>
      <c r="G2808" s="256" t="inlineStr">
        <is>
          <t>1</t>
        </is>
      </c>
      <c r="H2808" s="256" t="inlineStr">
        <is>
          <t>Identification A, Appearance · Macroscopic</t>
        </is>
      </c>
      <c r="I2808" s="256" t="inlineStr">
        <is>
          <t>Ph. Eur. mon. 3028</t>
        </is>
      </c>
      <c r="J2808" s="256" t="inlineStr">
        <is>
          <t>Conforms to the monograph for Cannabis flos (07/2024:3028) in Ph. Eur. 11.0 | Согласно монографија за Cannabis flos (07/2024:3028) во Ph. Eur. 11.0</t>
        </is>
      </c>
      <c r="K2808" s="256" t="inlineStr">
        <is>
          <t>Conforms | Одговара</t>
        </is>
      </c>
      <c r="L2808" s="256" t="inlineStr">
        <is>
          <t>ППК26113</t>
        </is>
      </c>
      <c r="M2808" s="256" t="inlineStr">
        <is>
          <t>30.06.2026</t>
        </is>
      </c>
      <c r="N2808" s="256" t="inlineStr">
        <is>
          <t>UKIM Faculty of Pharmacy — Center for Natural Products</t>
        </is>
      </c>
      <c r="O2808" s="256" t="inlineStr">
        <is>
          <t>17.06.2026</t>
        </is>
      </c>
      <c r="P2808" s="256" t="inlineStr">
        <is>
          <t>carried from the initial testing (CoQ-PP-2026-0025) — covered</t>
        </is>
      </c>
      <c r="Q2808" s="256" t="inlineStr"/>
      <c r="R2808" s="256" t="inlineStr"/>
    </row>
    <row r="2809">
      <c r="A2809" s="256" t="inlineStr">
        <is>
          <t>CoQ-PP_26-123</t>
        </is>
      </c>
      <c r="B2809" s="256" t="inlineStr">
        <is>
          <t>reissue — retest</t>
        </is>
      </c>
      <c r="C2809" s="256" t="inlineStr">
        <is>
          <t>JD012603/02</t>
        </is>
      </c>
      <c r="D2809" s="256" t="inlineStr">
        <is>
          <t>P060412</t>
        </is>
      </c>
      <c r="E2809" s="256" t="inlineStr">
        <is>
          <t>Jelly Donuts</t>
        </is>
      </c>
      <c r="F2809" s="256" t="inlineStr">
        <is>
          <t>18.09.2026</t>
        </is>
      </c>
      <c r="G2809" s="256" t="inlineStr">
        <is>
          <t>2</t>
        </is>
      </c>
      <c r="H2809" s="256" t="inlineStr">
        <is>
          <t>Identification B · Microscopic</t>
        </is>
      </c>
      <c r="I2809" s="256" t="inlineStr">
        <is>
          <t>Ph. Eur. 2.8.23 (microscopy)</t>
        </is>
      </c>
      <c r="J2809" s="256" t="inlineStr">
        <is>
          <t>Conforms to the monograph for Cannabis flos (07/2024:3028) in Ph. Eur. 11.0 | Согласно монографија за Cannabis flos (07/2024:3028) во Ph. Eur. 11.0</t>
        </is>
      </c>
      <c r="K2809" s="256" t="inlineStr">
        <is>
          <t>Conforms | Одговара</t>
        </is>
      </c>
      <c r="L2809" s="256" t="inlineStr">
        <is>
          <t>ППК26113</t>
        </is>
      </c>
      <c r="M2809" s="256" t="inlineStr">
        <is>
          <t>30.06.2026</t>
        </is>
      </c>
      <c r="N2809" s="256" t="inlineStr">
        <is>
          <t>UKIM Faculty of Pharmacy — Center for Natural Products</t>
        </is>
      </c>
      <c r="O2809" s="256" t="inlineStr">
        <is>
          <t>17.06.2026</t>
        </is>
      </c>
      <c r="P2809" s="256" t="inlineStr">
        <is>
          <t>carried from the initial testing (CoQ-PP-2026-0025) — covered</t>
        </is>
      </c>
      <c r="Q2809" s="256" t="inlineStr"/>
      <c r="R2809" s="256" t="inlineStr"/>
    </row>
    <row r="2810">
      <c r="A2810" s="256" t="inlineStr">
        <is>
          <t>CoQ-PP_26-123</t>
        </is>
      </c>
      <c r="B2810" s="256" t="inlineStr">
        <is>
          <t>reissue — retest</t>
        </is>
      </c>
      <c r="C2810" s="256" t="inlineStr">
        <is>
          <t>JD012603/02</t>
        </is>
      </c>
      <c r="D2810" s="256" t="inlineStr">
        <is>
          <t>P060412</t>
        </is>
      </c>
      <c r="E2810" s="256" t="inlineStr">
        <is>
          <t>Jelly Donuts</t>
        </is>
      </c>
      <c r="F2810" s="256" t="inlineStr">
        <is>
          <t>18.09.2026</t>
        </is>
      </c>
      <c r="G2810" s="256" t="inlineStr">
        <is>
          <t>3</t>
        </is>
      </c>
      <c r="H2810" s="256" t="inlineStr">
        <is>
          <t>Identification C · HPLC/HPTLC</t>
        </is>
      </c>
      <c r="I2810" s="256" t="inlineStr">
        <is>
          <t>Ph. Eur. 2.2.29 (3028)</t>
        </is>
      </c>
      <c r="J2810" s="256" t="inlineStr">
        <is>
          <t>Conforms to the monograph for Cannabis flos (07/2024:3028) in Ph. Eur. 11.0 | Согласно монографија за Cannabis flos (07/2024:3028) во Ph. Eur. 11.0</t>
        </is>
      </c>
      <c r="K2810" s="256" t="inlineStr">
        <is>
          <t>Conforms | Одговара</t>
        </is>
      </c>
      <c r="L2810" s="256" t="inlineStr">
        <is>
          <t>220-17-К/26</t>
        </is>
      </c>
      <c r="M2810" s="256" t="inlineStr">
        <is>
          <t>26.08.2026</t>
        </is>
      </c>
      <c r="N2810" s="256" t="inlineStr">
        <is>
          <t>Farmahem</t>
        </is>
      </c>
      <c r="O2810" s="256" t="inlineStr">
        <is>
          <t>17.08.2026</t>
        </is>
      </c>
      <c r="P2810" s="256" t="inlineStr">
        <is>
          <t>covered</t>
        </is>
      </c>
      <c r="Q2810" s="256" t="inlineStr"/>
      <c r="R2810" s="256" t="inlineStr"/>
    </row>
    <row r="2811">
      <c r="A2811" s="256" t="inlineStr">
        <is>
          <t>CoQ-PP_26-123</t>
        </is>
      </c>
      <c r="B2811" s="256" t="inlineStr">
        <is>
          <t>reissue — retest</t>
        </is>
      </c>
      <c r="C2811" s="256" t="inlineStr">
        <is>
          <t>JD012603/02</t>
        </is>
      </c>
      <c r="D2811" s="256" t="inlineStr">
        <is>
          <t>P060412</t>
        </is>
      </c>
      <c r="E2811" s="256" t="inlineStr">
        <is>
          <t>Jelly Donuts</t>
        </is>
      </c>
      <c r="F2811" s="256" t="inlineStr">
        <is>
          <t>18.09.2026</t>
        </is>
      </c>
      <c r="G2811" s="256" t="inlineStr">
        <is>
          <t>4</t>
        </is>
      </c>
      <c r="H2811" s="256" t="inlineStr">
        <is>
          <t>Assay — Total Δ⁹-THC</t>
        </is>
      </c>
      <c r="I2811" s="256" t="inlineStr">
        <is>
          <t>Ph. Eur. 2.2.29 (HPLC)</t>
        </is>
      </c>
      <c r="J2811" s="256" t="inlineStr">
        <is>
          <t>13.80 – 16.19 %  (grade III, nominal 15.00 ± 1.20)</t>
        </is>
      </c>
      <c r="K2811" s="256" t="inlineStr">
        <is>
          <t>14.43</t>
        </is>
      </c>
      <c r="L2811" s="256" t="inlineStr">
        <is>
          <t>220-17-К/26</t>
        </is>
      </c>
      <c r="M2811" s="256" t="inlineStr">
        <is>
          <t>26.08.2026</t>
        </is>
      </c>
      <c r="N2811" s="256" t="inlineStr">
        <is>
          <t>Farmahem</t>
        </is>
      </c>
      <c r="O2811" s="256" t="inlineStr">
        <is>
          <t>17.08.2026</t>
        </is>
      </c>
      <c r="P2811" s="256" t="inlineStr">
        <is>
          <t>covered</t>
        </is>
      </c>
      <c r="Q2811" s="256" t="inlineStr"/>
      <c r="R2811" s="256" t="inlineStr"/>
    </row>
    <row r="2812">
      <c r="A2812" s="256" t="inlineStr">
        <is>
          <t>CoQ-PP_26-123</t>
        </is>
      </c>
      <c r="B2812" s="256" t="inlineStr">
        <is>
          <t>reissue — retest</t>
        </is>
      </c>
      <c r="C2812" s="256" t="inlineStr">
        <is>
          <t>JD012603/02</t>
        </is>
      </c>
      <c r="D2812" s="256" t="inlineStr">
        <is>
          <t>P060412</t>
        </is>
      </c>
      <c r="E2812" s="256" t="inlineStr">
        <is>
          <t>Jelly Donuts</t>
        </is>
      </c>
      <c r="F2812" s="256" t="inlineStr">
        <is>
          <t>18.09.2026</t>
        </is>
      </c>
      <c r="G2812" s="256" t="inlineStr">
        <is>
          <t>5</t>
        </is>
      </c>
      <c r="H2812" s="256" t="inlineStr">
        <is>
          <t>Assay — Total CBD</t>
        </is>
      </c>
      <c r="I2812" s="256" t="inlineStr">
        <is>
          <t>Ph. Eur. 2.2.29 (HPLC) · CBD + CBDA x 0.877</t>
        </is>
      </c>
      <c r="J2812" s="256" t="inlineStr">
        <is>
          <t>≤ 1.0%, w/w</t>
        </is>
      </c>
      <c r="K2812" s="256" t="inlineStr">
        <is>
          <t>&lt; LOQ</t>
        </is>
      </c>
      <c r="L2812" s="256" t="inlineStr">
        <is>
          <t>220-17-К/26</t>
        </is>
      </c>
      <c r="M2812" s="256" t="inlineStr">
        <is>
          <t>26.08.2026</t>
        </is>
      </c>
      <c r="N2812" s="256" t="inlineStr">
        <is>
          <t>Farmahem</t>
        </is>
      </c>
      <c r="O2812" s="256" t="inlineStr">
        <is>
          <t>17.08.2026</t>
        </is>
      </c>
      <c r="P2812" s="256" t="inlineStr">
        <is>
          <t>covered</t>
        </is>
      </c>
      <c r="Q2812" s="256" t="inlineStr"/>
      <c r="R2812" s="256" t="inlineStr"/>
    </row>
    <row r="2813">
      <c r="A2813" s="256" t="inlineStr">
        <is>
          <t>CoQ-PP_26-123</t>
        </is>
      </c>
      <c r="B2813" s="256" t="inlineStr">
        <is>
          <t>reissue — retest</t>
        </is>
      </c>
      <c r="C2813" s="256" t="inlineStr">
        <is>
          <t>JD012603/02</t>
        </is>
      </c>
      <c r="D2813" s="256" t="inlineStr">
        <is>
          <t>P060412</t>
        </is>
      </c>
      <c r="E2813" s="256" t="inlineStr">
        <is>
          <t>Jelly Donuts</t>
        </is>
      </c>
      <c r="F2813" s="256" t="inlineStr">
        <is>
          <t>18.09.2026</t>
        </is>
      </c>
      <c r="G2813" s="256" t="inlineStr">
        <is>
          <t>6</t>
        </is>
      </c>
      <c r="H2813" s="256" t="inlineStr">
        <is>
          <t>Total CBN</t>
        </is>
      </c>
      <c r="I2813" s="256" t="inlineStr">
        <is>
          <t>Ph. Eur. 2.2.29 (HPLC) · CBN + CBNA x 0.876</t>
        </is>
      </c>
      <c r="J2813" s="256" t="inlineStr">
        <is>
          <t>≤ 1.0%, w/w</t>
        </is>
      </c>
      <c r="K2813" s="256" t="inlineStr">
        <is>
          <t>&lt; LOQ</t>
        </is>
      </c>
      <c r="L2813" s="256" t="inlineStr">
        <is>
          <t>220-17-К/26</t>
        </is>
      </c>
      <c r="M2813" s="256" t="inlineStr">
        <is>
          <t>26.08.2026</t>
        </is>
      </c>
      <c r="N2813" s="256" t="inlineStr">
        <is>
          <t>Farmahem</t>
        </is>
      </c>
      <c r="O2813" s="256" t="inlineStr">
        <is>
          <t>17.08.2026</t>
        </is>
      </c>
      <c r="P2813" s="256" t="inlineStr">
        <is>
          <t>covered</t>
        </is>
      </c>
      <c r="Q2813" s="256" t="inlineStr"/>
      <c r="R2813" s="256" t="inlineStr"/>
    </row>
    <row r="2814">
      <c r="A2814" s="256" t="inlineStr">
        <is>
          <t>CoQ-PP_26-123</t>
        </is>
      </c>
      <c r="B2814" s="256" t="inlineStr">
        <is>
          <t>reissue — retest</t>
        </is>
      </c>
      <c r="C2814" s="256" t="inlineStr">
        <is>
          <t>JD012603/02</t>
        </is>
      </c>
      <c r="D2814" s="256" t="inlineStr">
        <is>
          <t>P060412</t>
        </is>
      </c>
      <c r="E2814" s="256" t="inlineStr">
        <is>
          <t>Jelly Donuts</t>
        </is>
      </c>
      <c r="F2814" s="256" t="inlineStr">
        <is>
          <t>18.09.2026</t>
        </is>
      </c>
      <c r="G2814" s="256" t="inlineStr">
        <is>
          <t>7</t>
        </is>
      </c>
      <c r="H2814" s="256" t="inlineStr">
        <is>
          <t>Foreign Matter</t>
        </is>
      </c>
      <c r="I2814" s="256" t="inlineStr">
        <is>
          <t>Ph. Eur. 2.8.2 · In-house · интерна</t>
        </is>
      </c>
      <c r="J2814" s="256" t="inlineStr">
        <is>
          <t>≤ 2.0% / 25–50 g · &lt; 1 cm leaves | листови, no seeds | без семки</t>
        </is>
      </c>
      <c r="K2814" s="256" t="inlineStr">
        <is>
          <t>Conforms | Одговара</t>
        </is>
      </c>
      <c r="L2814" s="256" t="inlineStr">
        <is>
          <t>ППК26113</t>
        </is>
      </c>
      <c r="M2814" s="256" t="inlineStr">
        <is>
          <t>30.06.2026</t>
        </is>
      </c>
      <c r="N2814" s="256" t="inlineStr">
        <is>
          <t>UKIM Faculty of Pharmacy — Center for Natural Products</t>
        </is>
      </c>
      <c r="O2814" s="256" t="inlineStr">
        <is>
          <t>17.06.2026</t>
        </is>
      </c>
      <c r="P2814" s="256" t="inlineStr">
        <is>
          <t>carried from the initial testing (CoQ-PP-2026-0025) — covered</t>
        </is>
      </c>
      <c r="Q2814" s="256" t="inlineStr"/>
      <c r="R2814" s="256" t="inlineStr"/>
    </row>
    <row r="2815">
      <c r="A2815" s="256" t="inlineStr">
        <is>
          <t>CoQ-PP_26-123</t>
        </is>
      </c>
      <c r="B2815" s="256" t="inlineStr">
        <is>
          <t>reissue — retest</t>
        </is>
      </c>
      <c r="C2815" s="256" t="inlineStr">
        <is>
          <t>JD012603/02</t>
        </is>
      </c>
      <c r="D2815" s="256" t="inlineStr">
        <is>
          <t>P060412</t>
        </is>
      </c>
      <c r="E2815" s="256" t="inlineStr">
        <is>
          <t>Jelly Donuts</t>
        </is>
      </c>
      <c r="F2815" s="256" t="inlineStr">
        <is>
          <t>18.09.2026</t>
        </is>
      </c>
      <c r="G2815" s="256" t="inlineStr">
        <is>
          <t>8</t>
        </is>
      </c>
      <c r="H2815" s="256" t="inlineStr">
        <is>
          <t>Loss on Drying</t>
        </is>
      </c>
      <c r="I2815" s="256" t="inlineStr">
        <is>
          <t>Ph. Eur. 2.2.32 (3028) · at 40 °C, 24 h, 15–25 mbar</t>
        </is>
      </c>
      <c r="J2815" s="256" t="inlineStr">
        <is>
          <t>≤ 12.0%</t>
        </is>
      </c>
      <c r="K2815" s="256" t="inlineStr">
        <is>
          <t>7.52</t>
        </is>
      </c>
      <c r="L2815" s="256" t="inlineStr">
        <is>
          <t>ППК26113</t>
        </is>
      </c>
      <c r="M2815" s="256" t="inlineStr">
        <is>
          <t>30.06.2026</t>
        </is>
      </c>
      <c r="N2815" s="256" t="inlineStr">
        <is>
          <t>UKIM Faculty of Pharmacy — Center for Natural Products</t>
        </is>
      </c>
      <c r="O2815" s="256" t="inlineStr">
        <is>
          <t>17.06.2026</t>
        </is>
      </c>
      <c r="P2815" s="256" t="inlineStr">
        <is>
          <t>carried from the initial testing (CoQ-PP-2026-0025) — covered</t>
        </is>
      </c>
      <c r="Q2815" s="256" t="inlineStr"/>
      <c r="R2815" s="256" t="inlineStr"/>
    </row>
    <row r="2816">
      <c r="A2816" s="256" t="inlineStr">
        <is>
          <t>CoQ-PP_26-123</t>
        </is>
      </c>
      <c r="B2816" s="256" t="inlineStr">
        <is>
          <t>reissue — retest</t>
        </is>
      </c>
      <c r="C2816" s="256" t="inlineStr">
        <is>
          <t>JD012603/02</t>
        </is>
      </c>
      <c r="D2816" s="256" t="inlineStr">
        <is>
          <t>P060412</t>
        </is>
      </c>
      <c r="E2816" s="256" t="inlineStr">
        <is>
          <t>Jelly Donuts</t>
        </is>
      </c>
      <c r="F2816" s="256" t="inlineStr">
        <is>
          <t>18.09.2026</t>
        </is>
      </c>
      <c r="G2816" s="256" t="inlineStr">
        <is>
          <t>9.1</t>
        </is>
      </c>
      <c r="H2816" s="256" t="inlineStr">
        <is>
          <t>TAMC</t>
        </is>
      </c>
      <c r="I2816" s="256" t="inlineStr">
        <is>
          <t>Ph. Eur. 2.6.12 cat. C</t>
        </is>
      </c>
      <c r="J2816" s="256" t="inlineStr">
        <is>
          <t>≤ 10⁵ CFU/g</t>
        </is>
      </c>
      <c r="K2816" s="256" t="inlineStr">
        <is>
          <t>6.3 × 10³</t>
        </is>
      </c>
      <c r="L2816" s="256" t="inlineStr">
        <is>
          <t>405/0788/26</t>
        </is>
      </c>
      <c r="M2816" s="256" t="inlineStr">
        <is>
          <t>24.06.2026</t>
        </is>
      </c>
      <c r="N2816" s="256" t="inlineStr">
        <is>
          <t>IPH — Institute of Public Health</t>
        </is>
      </c>
      <c r="O2816" s="256" t="inlineStr">
        <is>
          <t>—</t>
        </is>
      </c>
      <c r="P2816" s="256" t="inlineStr">
        <is>
          <t>covered</t>
        </is>
      </c>
      <c r="Q2816" s="256" t="inlineStr"/>
      <c r="R2816" s="256" t="inlineStr"/>
    </row>
    <row r="2817">
      <c r="A2817" s="256" t="inlineStr">
        <is>
          <t>CoQ-PP_26-123</t>
        </is>
      </c>
      <c r="B2817" s="256" t="inlineStr">
        <is>
          <t>reissue — retest</t>
        </is>
      </c>
      <c r="C2817" s="256" t="inlineStr">
        <is>
          <t>JD012603/02</t>
        </is>
      </c>
      <c r="D2817" s="256" t="inlineStr">
        <is>
          <t>P060412</t>
        </is>
      </c>
      <c r="E2817" s="256" t="inlineStr">
        <is>
          <t>Jelly Donuts</t>
        </is>
      </c>
      <c r="F2817" s="256" t="inlineStr">
        <is>
          <t>18.09.2026</t>
        </is>
      </c>
      <c r="G2817" s="256" t="inlineStr">
        <is>
          <t>9.2</t>
        </is>
      </c>
      <c r="H2817" s="256" t="inlineStr">
        <is>
          <t>TYMC</t>
        </is>
      </c>
      <c r="I2817" s="256" t="inlineStr">
        <is>
          <t>Ph. Eur. 2.6.12 cat. C</t>
        </is>
      </c>
      <c r="J2817" s="256" t="inlineStr">
        <is>
          <t>≤ 10⁴ CFU/g</t>
        </is>
      </c>
      <c r="K2817" s="256" t="inlineStr">
        <is>
          <t>4.4 × 10³</t>
        </is>
      </c>
      <c r="L2817" s="256" t="inlineStr">
        <is>
          <t>405/0788/26</t>
        </is>
      </c>
      <c r="M2817" s="256" t="inlineStr">
        <is>
          <t>24.06.2026</t>
        </is>
      </c>
      <c r="N2817" s="256" t="inlineStr">
        <is>
          <t>IPH — Institute of Public Health</t>
        </is>
      </c>
      <c r="O2817" s="256" t="inlineStr">
        <is>
          <t>—</t>
        </is>
      </c>
      <c r="P2817" s="256" t="inlineStr">
        <is>
          <t>covered</t>
        </is>
      </c>
      <c r="Q2817" s="256" t="inlineStr"/>
      <c r="R2817" s="256" t="inlineStr"/>
    </row>
    <row r="2818">
      <c r="A2818" s="256" t="inlineStr">
        <is>
          <t>CoQ-PP_26-123</t>
        </is>
      </c>
      <c r="B2818" s="256" t="inlineStr">
        <is>
          <t>reissue — retest</t>
        </is>
      </c>
      <c r="C2818" s="256" t="inlineStr">
        <is>
          <t>JD012603/02</t>
        </is>
      </c>
      <c r="D2818" s="256" t="inlineStr">
        <is>
          <t>P060412</t>
        </is>
      </c>
      <c r="E2818" s="256" t="inlineStr">
        <is>
          <t>Jelly Donuts</t>
        </is>
      </c>
      <c r="F2818" s="256" t="inlineStr">
        <is>
          <t>18.09.2026</t>
        </is>
      </c>
      <c r="G2818" s="256" t="inlineStr">
        <is>
          <t>9.3</t>
        </is>
      </c>
      <c r="H2818" s="256" t="inlineStr">
        <is>
          <t>Bile-tolerant gram-neg.</t>
        </is>
      </c>
      <c r="I2818" s="256" t="inlineStr">
        <is>
          <t>Ph. Eur. 2.6.31 cat. C</t>
        </is>
      </c>
      <c r="J2818" s="256" t="inlineStr">
        <is>
          <t>≤ 10⁴ CFU/g</t>
        </is>
      </c>
      <c r="K2818" s="256" t="inlineStr">
        <is>
          <t>&lt; 10</t>
        </is>
      </c>
      <c r="L2818" s="256" t="inlineStr">
        <is>
          <t>405/0788/26</t>
        </is>
      </c>
      <c r="M2818" s="256" t="inlineStr">
        <is>
          <t>24.06.2026</t>
        </is>
      </c>
      <c r="N2818" s="256" t="inlineStr">
        <is>
          <t>IPH — Institute of Public Health</t>
        </is>
      </c>
      <c r="O2818" s="256" t="inlineStr">
        <is>
          <t>—</t>
        </is>
      </c>
      <c r="P2818" s="256" t="inlineStr">
        <is>
          <t>covered</t>
        </is>
      </c>
      <c r="Q2818" s="256" t="inlineStr"/>
      <c r="R2818" s="256" t="inlineStr"/>
    </row>
    <row r="2819">
      <c r="A2819" s="256" t="inlineStr">
        <is>
          <t>CoQ-PP_26-123</t>
        </is>
      </c>
      <c r="B2819" s="256" t="inlineStr">
        <is>
          <t>reissue — retest</t>
        </is>
      </c>
      <c r="C2819" s="256" t="inlineStr">
        <is>
          <t>JD012603/02</t>
        </is>
      </c>
      <c r="D2819" s="256" t="inlineStr">
        <is>
          <t>P060412</t>
        </is>
      </c>
      <c r="E2819" s="256" t="inlineStr">
        <is>
          <t>Jelly Donuts</t>
        </is>
      </c>
      <c r="F2819" s="256" t="inlineStr">
        <is>
          <t>18.09.2026</t>
        </is>
      </c>
      <c r="G2819" s="256" t="inlineStr">
        <is>
          <t>9.4</t>
        </is>
      </c>
      <c r="H2819" s="256" t="inlineStr">
        <is>
          <t>Salmonella</t>
        </is>
      </c>
      <c r="I2819" s="256" t="inlineStr">
        <is>
          <t>Ph. Eur. 2.6.31 cat. C</t>
        </is>
      </c>
      <c r="J2819" s="256" t="inlineStr">
        <is>
          <t>Absence | Отсуство / 25 g</t>
        </is>
      </c>
      <c r="K2819" s="256" t="inlineStr">
        <is>
          <t>Absent | Отсутна</t>
        </is>
      </c>
      <c r="L2819" s="256" t="inlineStr">
        <is>
          <t>405/0788/26</t>
        </is>
      </c>
      <c r="M2819" s="256" t="inlineStr">
        <is>
          <t>24.06.2026</t>
        </is>
      </c>
      <c r="N2819" s="256" t="inlineStr">
        <is>
          <t>IPH — Institute of Public Health</t>
        </is>
      </c>
      <c r="O2819" s="256" t="inlineStr">
        <is>
          <t>—</t>
        </is>
      </c>
      <c r="P2819" s="256" t="inlineStr">
        <is>
          <t>covered</t>
        </is>
      </c>
      <c r="Q2819" s="256" t="inlineStr"/>
      <c r="R2819" s="256" t="inlineStr"/>
    </row>
    <row r="2820">
      <c r="A2820" s="256" t="inlineStr">
        <is>
          <t>CoQ-PP_26-123</t>
        </is>
      </c>
      <c r="B2820" s="256" t="inlineStr">
        <is>
          <t>reissue — retest</t>
        </is>
      </c>
      <c r="C2820" s="256" t="inlineStr">
        <is>
          <t>JD012603/02</t>
        </is>
      </c>
      <c r="D2820" s="256" t="inlineStr">
        <is>
          <t>P060412</t>
        </is>
      </c>
      <c r="E2820" s="256" t="inlineStr">
        <is>
          <t>Jelly Donuts</t>
        </is>
      </c>
      <c r="F2820" s="256" t="inlineStr">
        <is>
          <t>18.09.2026</t>
        </is>
      </c>
      <c r="G2820" s="256" t="inlineStr">
        <is>
          <t>9.5</t>
        </is>
      </c>
      <c r="H2820" s="256" t="inlineStr">
        <is>
          <t>Escherichia coli</t>
        </is>
      </c>
      <c r="I2820" s="256" t="inlineStr">
        <is>
          <t>Ph. Eur. 2.6.13 cat. C</t>
        </is>
      </c>
      <c r="J2820" s="256" t="inlineStr">
        <is>
          <t>Absence | Отсуство / 1 g</t>
        </is>
      </c>
      <c r="K2820" s="256" t="inlineStr">
        <is>
          <t>Absent | Отсутна</t>
        </is>
      </c>
      <c r="L2820" s="256" t="inlineStr">
        <is>
          <t>405/0788/26</t>
        </is>
      </c>
      <c r="M2820" s="256" t="inlineStr">
        <is>
          <t>24.06.2026</t>
        </is>
      </c>
      <c r="N2820" s="256" t="inlineStr">
        <is>
          <t>IPH — Institute of Public Health</t>
        </is>
      </c>
      <c r="O2820" s="256" t="inlineStr">
        <is>
          <t>—</t>
        </is>
      </c>
      <c r="P2820" s="256" t="inlineStr">
        <is>
          <t>covered</t>
        </is>
      </c>
      <c r="Q2820" s="256" t="inlineStr"/>
      <c r="R2820" s="256" t="inlineStr"/>
    </row>
    <row r="2821">
      <c r="A2821" s="256" t="inlineStr">
        <is>
          <t>CoQ-PP_26-123</t>
        </is>
      </c>
      <c r="B2821" s="256" t="inlineStr">
        <is>
          <t>reissue — retest</t>
        </is>
      </c>
      <c r="C2821" s="256" t="inlineStr">
        <is>
          <t>JD012603/02</t>
        </is>
      </c>
      <c r="D2821" s="256" t="inlineStr">
        <is>
          <t>P060412</t>
        </is>
      </c>
      <c r="E2821" s="256" t="inlineStr">
        <is>
          <t>Jelly Donuts</t>
        </is>
      </c>
      <c r="F2821" s="256" t="inlineStr">
        <is>
          <t>18.09.2026</t>
        </is>
      </c>
      <c r="G2821" s="256" t="inlineStr">
        <is>
          <t>9.6</t>
        </is>
      </c>
      <c r="H2821" s="256" t="inlineStr">
        <is>
          <t>Pseudomonas aeruginosa</t>
        </is>
      </c>
      <c r="I2821" s="256" t="inlineStr">
        <is>
          <t>Ph. Eur. 2.6.13 cat. C</t>
        </is>
      </c>
      <c r="J2821" s="256" t="inlineStr">
        <is>
          <t>Absence | Отсуство / 1 g</t>
        </is>
      </c>
      <c r="K2821" s="260" t="inlineStr">
        <is>
          <t>upon request — not required for release</t>
        </is>
      </c>
      <c r="L2821" s="256" t="inlineStr">
        <is>
          <t>—</t>
        </is>
      </c>
      <c r="M2821" s="256" t="inlineStr">
        <is>
          <t>—</t>
        </is>
      </c>
      <c r="N2821" s="256" t="inlineStr">
        <is>
          <t>—</t>
        </is>
      </c>
      <c r="O2821" s="256" t="inlineStr">
        <is>
          <t>—</t>
        </is>
      </c>
      <c r="P2821" s="256" t="inlineStr">
        <is>
          <t>upon request — not required for release</t>
        </is>
      </c>
      <c r="Q2821" s="256" t="inlineStr"/>
      <c r="R2821" s="256" t="inlineStr"/>
    </row>
    <row r="2822">
      <c r="A2822" s="256" t="inlineStr">
        <is>
          <t>CoQ-PP_26-123</t>
        </is>
      </c>
      <c r="B2822" s="256" t="inlineStr">
        <is>
          <t>reissue — retest</t>
        </is>
      </c>
      <c r="C2822" s="256" t="inlineStr">
        <is>
          <t>JD012603/02</t>
        </is>
      </c>
      <c r="D2822" s="256" t="inlineStr">
        <is>
          <t>P060412</t>
        </is>
      </c>
      <c r="E2822" s="256" t="inlineStr">
        <is>
          <t>Jelly Donuts</t>
        </is>
      </c>
      <c r="F2822" s="256" t="inlineStr">
        <is>
          <t>18.09.2026</t>
        </is>
      </c>
      <c r="G2822" s="256" t="inlineStr">
        <is>
          <t>9.7</t>
        </is>
      </c>
      <c r="H2822" s="256" t="inlineStr">
        <is>
          <t>Staphylococcus aureus</t>
        </is>
      </c>
      <c r="I2822" s="256" t="inlineStr">
        <is>
          <t>Ph. Eur. 2.6.13 cat. C</t>
        </is>
      </c>
      <c r="J2822" s="256" t="inlineStr">
        <is>
          <t>Absence | Отсуство / 1 g</t>
        </is>
      </c>
      <c r="K2822" s="260" t="inlineStr">
        <is>
          <t>upon request — not required for release</t>
        </is>
      </c>
      <c r="L2822" s="256" t="inlineStr">
        <is>
          <t>—</t>
        </is>
      </c>
      <c r="M2822" s="256" t="inlineStr">
        <is>
          <t>—</t>
        </is>
      </c>
      <c r="N2822" s="256" t="inlineStr">
        <is>
          <t>—</t>
        </is>
      </c>
      <c r="O2822" s="256" t="inlineStr">
        <is>
          <t>—</t>
        </is>
      </c>
      <c r="P2822" s="256" t="inlineStr">
        <is>
          <t>upon request — not required for release</t>
        </is>
      </c>
      <c r="Q2822" s="256" t="inlineStr"/>
      <c r="R2822" s="256" t="inlineStr"/>
    </row>
    <row r="2823">
      <c r="A2823" s="256" t="inlineStr">
        <is>
          <t>CoQ-PP_26-123</t>
        </is>
      </c>
      <c r="B2823" s="256" t="inlineStr">
        <is>
          <t>reissue — retest</t>
        </is>
      </c>
      <c r="C2823" s="256" t="inlineStr">
        <is>
          <t>JD012603/02</t>
        </is>
      </c>
      <c r="D2823" s="256" t="inlineStr">
        <is>
          <t>P060412</t>
        </is>
      </c>
      <c r="E2823" s="256" t="inlineStr">
        <is>
          <t>Jelly Donuts</t>
        </is>
      </c>
      <c r="F2823" s="256" t="inlineStr">
        <is>
          <t>18.09.2026</t>
        </is>
      </c>
      <c r="G2823" s="256" t="inlineStr">
        <is>
          <t>10.1</t>
        </is>
      </c>
      <c r="H2823" s="256" t="inlineStr">
        <is>
          <t>Aflatoxin B₁</t>
        </is>
      </c>
      <c r="I2823" s="256" t="inlineStr">
        <is>
          <t>Ph. Eur. 2.8.18 (HPLC-FLD)</t>
        </is>
      </c>
      <c r="J2823" s="256" t="inlineStr">
        <is>
          <t>≤ 2 µg/kg</t>
        </is>
      </c>
      <c r="K2823" s="256" t="inlineStr">
        <is>
          <t>ND</t>
        </is>
      </c>
      <c r="L2823" s="256" t="inlineStr">
        <is>
          <t>220-17-М/26</t>
        </is>
      </c>
      <c r="M2823" s="256" t="inlineStr">
        <is>
          <t>11.09.2026</t>
        </is>
      </c>
      <c r="N2823" s="256" t="inlineStr">
        <is>
          <t>Farmahem</t>
        </is>
      </c>
      <c r="O2823" s="256" t="inlineStr">
        <is>
          <t>17.08.2026</t>
        </is>
      </c>
      <c r="P2823" s="256" t="inlineStr">
        <is>
          <t>covered</t>
        </is>
      </c>
      <c r="Q2823" s="256" t="inlineStr"/>
      <c r="R2823" s="256" t="inlineStr"/>
    </row>
    <row r="2824">
      <c r="A2824" s="256" t="inlineStr">
        <is>
          <t>CoQ-PP_26-123</t>
        </is>
      </c>
      <c r="B2824" s="256" t="inlineStr">
        <is>
          <t>reissue — retest</t>
        </is>
      </c>
      <c r="C2824" s="256" t="inlineStr">
        <is>
          <t>JD012603/02</t>
        </is>
      </c>
      <c r="D2824" s="256" t="inlineStr">
        <is>
          <t>P060412</t>
        </is>
      </c>
      <c r="E2824" s="256" t="inlineStr">
        <is>
          <t>Jelly Donuts</t>
        </is>
      </c>
      <c r="F2824" s="256" t="inlineStr">
        <is>
          <t>18.09.2026</t>
        </is>
      </c>
      <c r="G2824" s="256" t="inlineStr">
        <is>
          <t>10.2</t>
        </is>
      </c>
      <c r="H2824" s="256" t="inlineStr">
        <is>
          <t>Aflatoxins ∑</t>
        </is>
      </c>
      <c r="I2824" s="256" t="inlineStr">
        <is>
          <t>Ph. Eur. 2.8.18 (HPLC-FLD)</t>
        </is>
      </c>
      <c r="J2824" s="256" t="inlineStr">
        <is>
          <t>≤ 4 µg/kg</t>
        </is>
      </c>
      <c r="K2824" s="256" t="inlineStr">
        <is>
          <t>ND</t>
        </is>
      </c>
      <c r="L2824" s="256" t="inlineStr">
        <is>
          <t>220-17-М/26</t>
        </is>
      </c>
      <c r="M2824" s="256" t="inlineStr">
        <is>
          <t>11.09.2026</t>
        </is>
      </c>
      <c r="N2824" s="256" t="inlineStr">
        <is>
          <t>Farmahem</t>
        </is>
      </c>
      <c r="O2824" s="256" t="inlineStr">
        <is>
          <t>17.08.2026</t>
        </is>
      </c>
      <c r="P2824" s="256" t="inlineStr">
        <is>
          <t>covered</t>
        </is>
      </c>
      <c r="Q2824" s="256" t="inlineStr"/>
      <c r="R2824" s="256" t="inlineStr"/>
    </row>
    <row r="2825">
      <c r="A2825" s="256" t="inlineStr">
        <is>
          <t>CoQ-PP_26-123</t>
        </is>
      </c>
      <c r="B2825" s="256" t="inlineStr">
        <is>
          <t>reissue — retest</t>
        </is>
      </c>
      <c r="C2825" s="256" t="inlineStr">
        <is>
          <t>JD012603/02</t>
        </is>
      </c>
      <c r="D2825" s="256" t="inlineStr">
        <is>
          <t>P060412</t>
        </is>
      </c>
      <c r="E2825" s="256" t="inlineStr">
        <is>
          <t>Jelly Donuts</t>
        </is>
      </c>
      <c r="F2825" s="256" t="inlineStr">
        <is>
          <t>18.09.2026</t>
        </is>
      </c>
      <c r="G2825" s="256" t="inlineStr">
        <is>
          <t>10.3</t>
        </is>
      </c>
      <c r="H2825" s="256" t="inlineStr">
        <is>
          <t>Ochratoxin A</t>
        </is>
      </c>
      <c r="I2825" s="256" t="inlineStr">
        <is>
          <t>Ph. Eur. 2.8.22 (HPLC-FLD)</t>
        </is>
      </c>
      <c r="J2825" s="256" t="inlineStr">
        <is>
          <t>≤ 20 µg/kg</t>
        </is>
      </c>
      <c r="K2825" s="256" t="inlineStr">
        <is>
          <t>ND</t>
        </is>
      </c>
      <c r="L2825" s="256" t="inlineStr">
        <is>
          <t>220-17-М/26</t>
        </is>
      </c>
      <c r="M2825" s="256" t="inlineStr">
        <is>
          <t>11.09.2026</t>
        </is>
      </c>
      <c r="N2825" s="256" t="inlineStr">
        <is>
          <t>Farmahem</t>
        </is>
      </c>
      <c r="O2825" s="256" t="inlineStr">
        <is>
          <t>17.08.2026</t>
        </is>
      </c>
      <c r="P2825" s="256" t="inlineStr">
        <is>
          <t>covered</t>
        </is>
      </c>
      <c r="Q2825" s="256" t="inlineStr"/>
      <c r="R2825" s="256" t="inlineStr"/>
    </row>
    <row r="2826">
      <c r="A2826" s="256" t="inlineStr">
        <is>
          <t>CoQ-PP_26-123</t>
        </is>
      </c>
      <c r="B2826" s="256" t="inlineStr">
        <is>
          <t>reissue — retest</t>
        </is>
      </c>
      <c r="C2826" s="256" t="inlineStr">
        <is>
          <t>JD012603/02</t>
        </is>
      </c>
      <c r="D2826" s="256" t="inlineStr">
        <is>
          <t>P060412</t>
        </is>
      </c>
      <c r="E2826" s="256" t="inlineStr">
        <is>
          <t>Jelly Donuts</t>
        </is>
      </c>
      <c r="F2826" s="256" t="inlineStr">
        <is>
          <t>18.09.2026</t>
        </is>
      </c>
      <c r="G2826" s="256" t="inlineStr">
        <is>
          <t>11.1</t>
        </is>
      </c>
      <c r="H2826" s="256" t="inlineStr">
        <is>
          <t>Lead (Pb)</t>
        </is>
      </c>
      <c r="I2826" s="256" t="inlineStr">
        <is>
          <t>Ph. Eur. 2.4.27 (ICP-MS)</t>
        </is>
      </c>
      <c r="J2826" s="256" t="inlineStr">
        <is>
          <t>≤ 0.5 mg/kg</t>
        </is>
      </c>
      <c r="K2826" s="256" t="inlineStr">
        <is>
          <t>0.085</t>
        </is>
      </c>
      <c r="L2826" s="256" t="inlineStr">
        <is>
          <t>3660/2026</t>
        </is>
      </c>
      <c r="M2826" s="256" t="inlineStr">
        <is>
          <t>22.06.2026</t>
        </is>
      </c>
      <c r="N2826" s="256" t="inlineStr">
        <is>
          <t>IPH — Institute of Public Health</t>
        </is>
      </c>
      <c r="O2826" s="256" t="inlineStr">
        <is>
          <t>—</t>
        </is>
      </c>
      <c r="P2826" s="256" t="inlineStr">
        <is>
          <t>covered</t>
        </is>
      </c>
      <c r="Q2826" s="256" t="inlineStr"/>
      <c r="R2826" s="256" t="inlineStr"/>
    </row>
    <row r="2827">
      <c r="A2827" s="256" t="inlineStr">
        <is>
          <t>CoQ-PP_26-123</t>
        </is>
      </c>
      <c r="B2827" s="256" t="inlineStr">
        <is>
          <t>reissue — retest</t>
        </is>
      </c>
      <c r="C2827" s="256" t="inlineStr">
        <is>
          <t>JD012603/02</t>
        </is>
      </c>
      <c r="D2827" s="256" t="inlineStr">
        <is>
          <t>P060412</t>
        </is>
      </c>
      <c r="E2827" s="256" t="inlineStr">
        <is>
          <t>Jelly Donuts</t>
        </is>
      </c>
      <c r="F2827" s="256" t="inlineStr">
        <is>
          <t>18.09.2026</t>
        </is>
      </c>
      <c r="G2827" s="256" t="inlineStr">
        <is>
          <t>11.2</t>
        </is>
      </c>
      <c r="H2827" s="256" t="inlineStr">
        <is>
          <t>Cadmium (Cd)</t>
        </is>
      </c>
      <c r="I2827" s="256" t="inlineStr">
        <is>
          <t>Ph. Eur. 2.4.27 (ICP-MS)</t>
        </is>
      </c>
      <c r="J2827" s="256" t="inlineStr">
        <is>
          <t>≤ 0.3 mg/kg</t>
        </is>
      </c>
      <c r="K2827" s="256" t="inlineStr">
        <is>
          <t>0.044</t>
        </is>
      </c>
      <c r="L2827" s="256" t="inlineStr">
        <is>
          <t>3660/2026</t>
        </is>
      </c>
      <c r="M2827" s="256" t="inlineStr">
        <is>
          <t>22.06.2026</t>
        </is>
      </c>
      <c r="N2827" s="256" t="inlineStr">
        <is>
          <t>IPH — Institute of Public Health</t>
        </is>
      </c>
      <c r="O2827" s="256" t="inlineStr">
        <is>
          <t>—</t>
        </is>
      </c>
      <c r="P2827" s="256" t="inlineStr">
        <is>
          <t>covered</t>
        </is>
      </c>
      <c r="Q2827" s="256" t="inlineStr"/>
      <c r="R2827" s="256" t="inlineStr"/>
    </row>
    <row r="2828">
      <c r="A2828" s="256" t="inlineStr">
        <is>
          <t>CoQ-PP_26-123</t>
        </is>
      </c>
      <c r="B2828" s="256" t="inlineStr">
        <is>
          <t>reissue — retest</t>
        </is>
      </c>
      <c r="C2828" s="256" t="inlineStr">
        <is>
          <t>JD012603/02</t>
        </is>
      </c>
      <c r="D2828" s="256" t="inlineStr">
        <is>
          <t>P060412</t>
        </is>
      </c>
      <c r="E2828" s="256" t="inlineStr">
        <is>
          <t>Jelly Donuts</t>
        </is>
      </c>
      <c r="F2828" s="256" t="inlineStr">
        <is>
          <t>18.09.2026</t>
        </is>
      </c>
      <c r="G2828" s="256" t="inlineStr">
        <is>
          <t>11.3</t>
        </is>
      </c>
      <c r="H2828" s="256" t="inlineStr">
        <is>
          <t>Arsenic (As)</t>
        </is>
      </c>
      <c r="I2828" s="256" t="inlineStr">
        <is>
          <t>Ph. Eur. 2.4.27 (ICP-MS)</t>
        </is>
      </c>
      <c r="J2828" s="256" t="inlineStr">
        <is>
          <t>≤ 0.2 mg/kg</t>
        </is>
      </c>
      <c r="K2828" s="256" t="inlineStr">
        <is>
          <t>0.042</t>
        </is>
      </c>
      <c r="L2828" s="256" t="inlineStr">
        <is>
          <t>3660/2026</t>
        </is>
      </c>
      <c r="M2828" s="256" t="inlineStr">
        <is>
          <t>22.06.2026</t>
        </is>
      </c>
      <c r="N2828" s="256" t="inlineStr">
        <is>
          <t>IPH — Institute of Public Health</t>
        </is>
      </c>
      <c r="O2828" s="256" t="inlineStr">
        <is>
          <t>—</t>
        </is>
      </c>
      <c r="P2828" s="256" t="inlineStr">
        <is>
          <t>covered</t>
        </is>
      </c>
      <c r="Q2828" s="256" t="inlineStr"/>
      <c r="R2828" s="256" t="inlineStr"/>
    </row>
    <row r="2829">
      <c r="A2829" s="256" t="inlineStr">
        <is>
          <t>CoQ-PP_26-123</t>
        </is>
      </c>
      <c r="B2829" s="256" t="inlineStr">
        <is>
          <t>reissue — retest</t>
        </is>
      </c>
      <c r="C2829" s="256" t="inlineStr">
        <is>
          <t>JD012603/02</t>
        </is>
      </c>
      <c r="D2829" s="256" t="inlineStr">
        <is>
          <t>P060412</t>
        </is>
      </c>
      <c r="E2829" s="256" t="inlineStr">
        <is>
          <t>Jelly Donuts</t>
        </is>
      </c>
      <c r="F2829" s="256" t="inlineStr">
        <is>
          <t>18.09.2026</t>
        </is>
      </c>
      <c r="G2829" s="256" t="inlineStr">
        <is>
          <t>11.4</t>
        </is>
      </c>
      <c r="H2829" s="256" t="inlineStr">
        <is>
          <t>Mercury (Hg)</t>
        </is>
      </c>
      <c r="I2829" s="256" t="inlineStr">
        <is>
          <t>Ph. Eur. 2.4.27 (ICP-MS)</t>
        </is>
      </c>
      <c r="J2829" s="256" t="inlineStr">
        <is>
          <t>≤ 0.1 mg/kg</t>
        </is>
      </c>
      <c r="K2829" s="256" t="inlineStr">
        <is>
          <t>0.042</t>
        </is>
      </c>
      <c r="L2829" s="256" t="inlineStr">
        <is>
          <t>3660/2026</t>
        </is>
      </c>
      <c r="M2829" s="256" t="inlineStr">
        <is>
          <t>22.06.2026</t>
        </is>
      </c>
      <c r="N2829" s="256" t="inlineStr">
        <is>
          <t>IPH — Institute of Public Health</t>
        </is>
      </c>
      <c r="O2829" s="256" t="inlineStr">
        <is>
          <t>—</t>
        </is>
      </c>
      <c r="P2829" s="256" t="inlineStr">
        <is>
          <t>covered</t>
        </is>
      </c>
      <c r="Q2829" s="256" t="inlineStr"/>
      <c r="R2829" s="256" t="inlineStr"/>
    </row>
    <row r="2830">
      <c r="A2830" s="256" t="inlineStr">
        <is>
          <t>CoQ-PP_26-123</t>
        </is>
      </c>
      <c r="B2830" s="256" t="inlineStr">
        <is>
          <t>reissue — retest</t>
        </is>
      </c>
      <c r="C2830" s="256" t="inlineStr">
        <is>
          <t>JD012603/02</t>
        </is>
      </c>
      <c r="D2830" s="256" t="inlineStr">
        <is>
          <t>P060412</t>
        </is>
      </c>
      <c r="E2830" s="256" t="inlineStr">
        <is>
          <t>Jelly Donuts</t>
        </is>
      </c>
      <c r="F2830" s="256" t="inlineStr">
        <is>
          <t>18.09.2026</t>
        </is>
      </c>
      <c r="G2830" s="256" t="inlineStr">
        <is>
          <t>12</t>
        </is>
      </c>
      <c r="H2830" s="256" t="inlineStr">
        <is>
          <t>Pesticide Residues</t>
        </is>
      </c>
      <c r="I2830" s="256" t="inlineStr">
        <is>
          <t>Ph. Eur. 2.8.13 (LC-MS/MS) · CUMCS Equivalency</t>
        </is>
      </c>
      <c r="J2830" s="256" t="inlineStr">
        <is>
          <t>≤ LOQ as per Ph. Eur. 2.8.13 · ≤ LOQ as per CUMCS Equivalency</t>
        </is>
      </c>
      <c r="K2830" s="256" t="inlineStr">
        <is>
          <t>&lt; 0,01 mg/kg — all 22 residues</t>
        </is>
      </c>
      <c r="L2830" s="256" t="inlineStr">
        <is>
          <t>3660/2026</t>
        </is>
      </c>
      <c r="M2830" s="256" t="inlineStr">
        <is>
          <t>22.06.2026</t>
        </is>
      </c>
      <c r="N2830" s="256" t="inlineStr">
        <is>
          <t>IJZ</t>
        </is>
      </c>
      <c r="O2830" s="256" t="inlineStr">
        <is>
          <t>—</t>
        </is>
      </c>
      <c r="P2830" s="256" t="inlineStr">
        <is>
          <t>carried from the initial testing (CoQ-PP-2026-0025) — covered</t>
        </is>
      </c>
      <c r="Q2830" s="256" t="inlineStr"/>
      <c r="R2830" s="256" t="inlineStr"/>
    </row>
    <row r="2831">
      <c r="A2831" s="256" t="inlineStr">
        <is>
          <t>CoQ-PP_26-124</t>
        </is>
      </c>
      <c r="B2831" s="256" t="inlineStr">
        <is>
          <t>reissue — retest</t>
        </is>
      </c>
      <c r="C2831" s="256" t="inlineStr">
        <is>
          <t>JD012603/02V</t>
        </is>
      </c>
      <c r="D2831" s="256" t="inlineStr">
        <is>
          <t>P060422</t>
        </is>
      </c>
      <c r="E2831" s="256" t="inlineStr">
        <is>
          <t>Jelly Donuts</t>
        </is>
      </c>
      <c r="F2831" s="256" t="inlineStr">
        <is>
          <t>18.09.2026</t>
        </is>
      </c>
      <c r="G2831" s="256" t="inlineStr">
        <is>
          <t>1</t>
        </is>
      </c>
      <c r="H2831" s="256" t="inlineStr">
        <is>
          <t>Identification A, Appearance · Macroscopic</t>
        </is>
      </c>
      <c r="I2831" s="256" t="inlineStr">
        <is>
          <t>Ph. Eur. mon. 3028</t>
        </is>
      </c>
      <c r="J2831" s="256" t="inlineStr">
        <is>
          <t>Conforms to the monograph for Cannabis flos (07/2024:3028) in Ph. Eur. 11.0 | Согласно монографија за Cannabis flos (07/2024:3028) во Ph. Eur. 11.0</t>
        </is>
      </c>
      <c r="K2831" s="256" t="inlineStr">
        <is>
          <t>Conforms | Одговара</t>
        </is>
      </c>
      <c r="L2831" s="256" t="inlineStr">
        <is>
          <t>ППК26111</t>
        </is>
      </c>
      <c r="M2831" s="256" t="inlineStr">
        <is>
          <t>30.06.2026</t>
        </is>
      </c>
      <c r="N2831" s="256" t="inlineStr">
        <is>
          <t>UKIM Faculty of Pharmacy — Center for Natural Products</t>
        </is>
      </c>
      <c r="O2831" s="256" t="inlineStr">
        <is>
          <t>17.06.2026</t>
        </is>
      </c>
      <c r="P2831" s="256" t="inlineStr">
        <is>
          <t>carried from the initial testing (CoQ-PP-2026-0022) — covered</t>
        </is>
      </c>
      <c r="Q2831" s="256" t="inlineStr"/>
      <c r="R2831" s="256" t="inlineStr"/>
    </row>
    <row r="2832">
      <c r="A2832" s="256" t="inlineStr">
        <is>
          <t>CoQ-PP_26-124</t>
        </is>
      </c>
      <c r="B2832" s="256" t="inlineStr">
        <is>
          <t>reissue — retest</t>
        </is>
      </c>
      <c r="C2832" s="256" t="inlineStr">
        <is>
          <t>JD012603/02V</t>
        </is>
      </c>
      <c r="D2832" s="256" t="inlineStr">
        <is>
          <t>P060422</t>
        </is>
      </c>
      <c r="E2832" s="256" t="inlineStr">
        <is>
          <t>Jelly Donuts</t>
        </is>
      </c>
      <c r="F2832" s="256" t="inlineStr">
        <is>
          <t>18.09.2026</t>
        </is>
      </c>
      <c r="G2832" s="256" t="inlineStr">
        <is>
          <t>2</t>
        </is>
      </c>
      <c r="H2832" s="256" t="inlineStr">
        <is>
          <t>Identification B · Microscopic</t>
        </is>
      </c>
      <c r="I2832" s="256" t="inlineStr">
        <is>
          <t>Ph. Eur. 2.8.23 (microscopy)</t>
        </is>
      </c>
      <c r="J2832" s="256" t="inlineStr">
        <is>
          <t>Conforms to the monograph for Cannabis flos (07/2024:3028) in Ph. Eur. 11.0 | Согласно монографија за Cannabis flos (07/2024:3028) во Ph. Eur. 11.0</t>
        </is>
      </c>
      <c r="K2832" s="256" t="inlineStr">
        <is>
          <t>Conforms | Одговара</t>
        </is>
      </c>
      <c r="L2832" s="256" t="inlineStr">
        <is>
          <t>ППК26111</t>
        </is>
      </c>
      <c r="M2832" s="256" t="inlineStr">
        <is>
          <t>30.06.2026</t>
        </is>
      </c>
      <c r="N2832" s="256" t="inlineStr">
        <is>
          <t>UKIM Faculty of Pharmacy — Center for Natural Products</t>
        </is>
      </c>
      <c r="O2832" s="256" t="inlineStr">
        <is>
          <t>17.06.2026</t>
        </is>
      </c>
      <c r="P2832" s="256" t="inlineStr">
        <is>
          <t>carried from the initial testing (CoQ-PP-2026-0022) — covered</t>
        </is>
      </c>
      <c r="Q2832" s="256" t="inlineStr"/>
      <c r="R2832" s="256" t="inlineStr"/>
    </row>
    <row r="2833">
      <c r="A2833" s="256" t="inlineStr">
        <is>
          <t>CoQ-PP_26-124</t>
        </is>
      </c>
      <c r="B2833" s="256" t="inlineStr">
        <is>
          <t>reissue — retest</t>
        </is>
      </c>
      <c r="C2833" s="256" t="inlineStr">
        <is>
          <t>JD012603/02V</t>
        </is>
      </c>
      <c r="D2833" s="256" t="inlineStr">
        <is>
          <t>P060422</t>
        </is>
      </c>
      <c r="E2833" s="256" t="inlineStr">
        <is>
          <t>Jelly Donuts</t>
        </is>
      </c>
      <c r="F2833" s="256" t="inlineStr">
        <is>
          <t>18.09.2026</t>
        </is>
      </c>
      <c r="G2833" s="256" t="inlineStr">
        <is>
          <t>3</t>
        </is>
      </c>
      <c r="H2833" s="256" t="inlineStr">
        <is>
          <t>Identification C · HPLC/HPTLC</t>
        </is>
      </c>
      <c r="I2833" s="256" t="inlineStr">
        <is>
          <t>Ph. Eur. 2.2.29 (3028)</t>
        </is>
      </c>
      <c r="J2833" s="256" t="inlineStr">
        <is>
          <t>Conforms to the monograph for Cannabis flos (07/2024:3028) in Ph. Eur. 11.0 | Согласно монографија за Cannabis flos (07/2024:3028) во Ph. Eur. 11.0</t>
        </is>
      </c>
      <c r="K2833" s="256" t="inlineStr">
        <is>
          <t>Conforms | Одговара</t>
        </is>
      </c>
      <c r="L2833" s="256" t="inlineStr">
        <is>
          <t>220-18-К/26</t>
        </is>
      </c>
      <c r="M2833" s="256" t="inlineStr">
        <is>
          <t>26.08.2026</t>
        </is>
      </c>
      <c r="N2833" s="256" t="inlineStr">
        <is>
          <t>Farmahem</t>
        </is>
      </c>
      <c r="O2833" s="256" t="inlineStr">
        <is>
          <t>17.08.2026</t>
        </is>
      </c>
      <c r="P2833" s="256" t="inlineStr">
        <is>
          <t>covered</t>
        </is>
      </c>
      <c r="Q2833" s="256" t="inlineStr"/>
      <c r="R2833" s="256" t="inlineStr"/>
    </row>
    <row r="2834">
      <c r="A2834" s="256" t="inlineStr">
        <is>
          <t>CoQ-PP_26-124</t>
        </is>
      </c>
      <c r="B2834" s="256" t="inlineStr">
        <is>
          <t>reissue — retest</t>
        </is>
      </c>
      <c r="C2834" s="256" t="inlineStr">
        <is>
          <t>JD012603/02V</t>
        </is>
      </c>
      <c r="D2834" s="256" t="inlineStr">
        <is>
          <t>P060422</t>
        </is>
      </c>
      <c r="E2834" s="256" t="inlineStr">
        <is>
          <t>Jelly Donuts</t>
        </is>
      </c>
      <c r="F2834" s="256" t="inlineStr">
        <is>
          <t>18.09.2026</t>
        </is>
      </c>
      <c r="G2834" s="256" t="inlineStr">
        <is>
          <t>4</t>
        </is>
      </c>
      <c r="H2834" s="256" t="inlineStr">
        <is>
          <t>Assay — Total Δ⁹-THC</t>
        </is>
      </c>
      <c r="I2834" s="256" t="inlineStr">
        <is>
          <t>Ph. Eur. 2.2.29 (HPLC)</t>
        </is>
      </c>
      <c r="J2834" s="256" t="inlineStr">
        <is>
          <t>16.20 – 19.79 %  (grade II, nominal 18.00 ± 1.80)</t>
        </is>
      </c>
      <c r="K2834" s="256" t="inlineStr">
        <is>
          <t>17.09</t>
        </is>
      </c>
      <c r="L2834" s="256" t="inlineStr">
        <is>
          <t>220-18-К/26</t>
        </is>
      </c>
      <c r="M2834" s="256" t="inlineStr">
        <is>
          <t>26.08.2026</t>
        </is>
      </c>
      <c r="N2834" s="256" t="inlineStr">
        <is>
          <t>Farmahem</t>
        </is>
      </c>
      <c r="O2834" s="256" t="inlineStr">
        <is>
          <t>17.08.2026</t>
        </is>
      </c>
      <c r="P2834" s="256" t="inlineStr">
        <is>
          <t>covered</t>
        </is>
      </c>
      <c r="Q2834" s="256" t="inlineStr"/>
      <c r="R2834" s="256" t="inlineStr"/>
    </row>
    <row r="2835">
      <c r="A2835" s="256" t="inlineStr">
        <is>
          <t>CoQ-PP_26-124</t>
        </is>
      </c>
      <c r="B2835" s="256" t="inlineStr">
        <is>
          <t>reissue — retest</t>
        </is>
      </c>
      <c r="C2835" s="256" t="inlineStr">
        <is>
          <t>JD012603/02V</t>
        </is>
      </c>
      <c r="D2835" s="256" t="inlineStr">
        <is>
          <t>P060422</t>
        </is>
      </c>
      <c r="E2835" s="256" t="inlineStr">
        <is>
          <t>Jelly Donuts</t>
        </is>
      </c>
      <c r="F2835" s="256" t="inlineStr">
        <is>
          <t>18.09.2026</t>
        </is>
      </c>
      <c r="G2835" s="256" t="inlineStr">
        <is>
          <t>5</t>
        </is>
      </c>
      <c r="H2835" s="256" t="inlineStr">
        <is>
          <t>Assay — Total CBD</t>
        </is>
      </c>
      <c r="I2835" s="256" t="inlineStr">
        <is>
          <t>Ph. Eur. 2.2.29 (HPLC) · CBD + CBDA x 0.877</t>
        </is>
      </c>
      <c r="J2835" s="256" t="inlineStr">
        <is>
          <t>≤ 1.0%, w/w</t>
        </is>
      </c>
      <c r="K2835" s="256" t="inlineStr">
        <is>
          <t>&lt; LOQ</t>
        </is>
      </c>
      <c r="L2835" s="256" t="inlineStr">
        <is>
          <t>220-18-К/26</t>
        </is>
      </c>
      <c r="M2835" s="256" t="inlineStr">
        <is>
          <t>26.08.2026</t>
        </is>
      </c>
      <c r="N2835" s="256" t="inlineStr">
        <is>
          <t>Farmahem</t>
        </is>
      </c>
      <c r="O2835" s="256" t="inlineStr">
        <is>
          <t>17.08.2026</t>
        </is>
      </c>
      <c r="P2835" s="256" t="inlineStr">
        <is>
          <t>covered</t>
        </is>
      </c>
      <c r="Q2835" s="256" t="inlineStr"/>
      <c r="R2835" s="256" t="inlineStr"/>
    </row>
    <row r="2836">
      <c r="A2836" s="256" t="inlineStr">
        <is>
          <t>CoQ-PP_26-124</t>
        </is>
      </c>
      <c r="B2836" s="256" t="inlineStr">
        <is>
          <t>reissue — retest</t>
        </is>
      </c>
      <c r="C2836" s="256" t="inlineStr">
        <is>
          <t>JD012603/02V</t>
        </is>
      </c>
      <c r="D2836" s="256" t="inlineStr">
        <is>
          <t>P060422</t>
        </is>
      </c>
      <c r="E2836" s="256" t="inlineStr">
        <is>
          <t>Jelly Donuts</t>
        </is>
      </c>
      <c r="F2836" s="256" t="inlineStr">
        <is>
          <t>18.09.2026</t>
        </is>
      </c>
      <c r="G2836" s="256" t="inlineStr">
        <is>
          <t>6</t>
        </is>
      </c>
      <c r="H2836" s="256" t="inlineStr">
        <is>
          <t>Total CBN</t>
        </is>
      </c>
      <c r="I2836" s="256" t="inlineStr">
        <is>
          <t>Ph. Eur. 2.2.29 (HPLC) · CBN + CBNA x 0.876</t>
        </is>
      </c>
      <c r="J2836" s="256" t="inlineStr">
        <is>
          <t>≤ 1.0%, w/w</t>
        </is>
      </c>
      <c r="K2836" s="256" t="inlineStr">
        <is>
          <t>&lt; LOQ</t>
        </is>
      </c>
      <c r="L2836" s="256" t="inlineStr">
        <is>
          <t>220-18-К/26</t>
        </is>
      </c>
      <c r="M2836" s="256" t="inlineStr">
        <is>
          <t>26.08.2026</t>
        </is>
      </c>
      <c r="N2836" s="256" t="inlineStr">
        <is>
          <t>Farmahem</t>
        </is>
      </c>
      <c r="O2836" s="256" t="inlineStr">
        <is>
          <t>17.08.2026</t>
        </is>
      </c>
      <c r="P2836" s="256" t="inlineStr">
        <is>
          <t>covered</t>
        </is>
      </c>
      <c r="Q2836" s="256" t="inlineStr"/>
      <c r="R2836" s="256" t="inlineStr"/>
    </row>
    <row r="2837">
      <c r="A2837" s="256" t="inlineStr">
        <is>
          <t>CoQ-PP_26-124</t>
        </is>
      </c>
      <c r="B2837" s="256" t="inlineStr">
        <is>
          <t>reissue — retest</t>
        </is>
      </c>
      <c r="C2837" s="256" t="inlineStr">
        <is>
          <t>JD012603/02V</t>
        </is>
      </c>
      <c r="D2837" s="256" t="inlineStr">
        <is>
          <t>P060422</t>
        </is>
      </c>
      <c r="E2837" s="256" t="inlineStr">
        <is>
          <t>Jelly Donuts</t>
        </is>
      </c>
      <c r="F2837" s="256" t="inlineStr">
        <is>
          <t>18.09.2026</t>
        </is>
      </c>
      <c r="G2837" s="256" t="inlineStr">
        <is>
          <t>7</t>
        </is>
      </c>
      <c r="H2837" s="256" t="inlineStr">
        <is>
          <t>Foreign Matter</t>
        </is>
      </c>
      <c r="I2837" s="256" t="inlineStr">
        <is>
          <t>Ph. Eur. 2.8.2 · In-house · интерна</t>
        </is>
      </c>
      <c r="J2837" s="256" t="inlineStr">
        <is>
          <t>≤ 2.0% / 25–50 g · &lt; 1 cm leaves | листови, no seeds | без семки</t>
        </is>
      </c>
      <c r="K2837" s="256" t="inlineStr">
        <is>
          <t>Conforms | Одговара</t>
        </is>
      </c>
      <c r="L2837" s="256" t="inlineStr">
        <is>
          <t>ППК26111</t>
        </is>
      </c>
      <c r="M2837" s="256" t="inlineStr">
        <is>
          <t>30.06.2026</t>
        </is>
      </c>
      <c r="N2837" s="256" t="inlineStr">
        <is>
          <t>UKIM Faculty of Pharmacy — Center for Natural Products</t>
        </is>
      </c>
      <c r="O2837" s="256" t="inlineStr">
        <is>
          <t>17.06.2026</t>
        </is>
      </c>
      <c r="P2837" s="256" t="inlineStr">
        <is>
          <t>carried from the initial testing (CoQ-PP-2026-0022) — covered</t>
        </is>
      </c>
      <c r="Q2837" s="256" t="inlineStr"/>
      <c r="R2837" s="256" t="inlineStr"/>
    </row>
    <row r="2838">
      <c r="A2838" s="256" t="inlineStr">
        <is>
          <t>CoQ-PP_26-124</t>
        </is>
      </c>
      <c r="B2838" s="256" t="inlineStr">
        <is>
          <t>reissue — retest</t>
        </is>
      </c>
      <c r="C2838" s="256" t="inlineStr">
        <is>
          <t>JD012603/02V</t>
        </is>
      </c>
      <c r="D2838" s="256" t="inlineStr">
        <is>
          <t>P060422</t>
        </is>
      </c>
      <c r="E2838" s="256" t="inlineStr">
        <is>
          <t>Jelly Donuts</t>
        </is>
      </c>
      <c r="F2838" s="256" t="inlineStr">
        <is>
          <t>18.09.2026</t>
        </is>
      </c>
      <c r="G2838" s="256" t="inlineStr">
        <is>
          <t>8</t>
        </is>
      </c>
      <c r="H2838" s="256" t="inlineStr">
        <is>
          <t>Loss on Drying</t>
        </is>
      </c>
      <c r="I2838" s="256" t="inlineStr">
        <is>
          <t>Ph. Eur. 2.2.32 (3028) · at 40 °C, 24 h, 15–25 mbar</t>
        </is>
      </c>
      <c r="J2838" s="256" t="inlineStr">
        <is>
          <t>≤ 12.0%</t>
        </is>
      </c>
      <c r="K2838" s="256" t="inlineStr">
        <is>
          <t>7.04</t>
        </is>
      </c>
      <c r="L2838" s="256" t="inlineStr">
        <is>
          <t>ППК26111</t>
        </is>
      </c>
      <c r="M2838" s="256" t="inlineStr">
        <is>
          <t>30.06.2026</t>
        </is>
      </c>
      <c r="N2838" s="256" t="inlineStr">
        <is>
          <t>UKIM Faculty of Pharmacy — Center for Natural Products</t>
        </is>
      </c>
      <c r="O2838" s="256" t="inlineStr">
        <is>
          <t>17.06.2026</t>
        </is>
      </c>
      <c r="P2838" s="256" t="inlineStr">
        <is>
          <t>carried from the initial testing (CoQ-PP-2026-0022) — covered</t>
        </is>
      </c>
      <c r="Q2838" s="256" t="inlineStr"/>
      <c r="R2838" s="256" t="inlineStr"/>
    </row>
    <row r="2839">
      <c r="A2839" s="256" t="inlineStr">
        <is>
          <t>CoQ-PP_26-124</t>
        </is>
      </c>
      <c r="B2839" s="256" t="inlineStr">
        <is>
          <t>reissue — retest</t>
        </is>
      </c>
      <c r="C2839" s="256" t="inlineStr">
        <is>
          <t>JD012603/02V</t>
        </is>
      </c>
      <c r="D2839" s="256" t="inlineStr">
        <is>
          <t>P060422</t>
        </is>
      </c>
      <c r="E2839" s="256" t="inlineStr">
        <is>
          <t>Jelly Donuts</t>
        </is>
      </c>
      <c r="F2839" s="256" t="inlineStr">
        <is>
          <t>18.09.2026</t>
        </is>
      </c>
      <c r="G2839" s="256" t="inlineStr">
        <is>
          <t>9.1</t>
        </is>
      </c>
      <c r="H2839" s="256" t="inlineStr">
        <is>
          <t>TAMC</t>
        </is>
      </c>
      <c r="I2839" s="256" t="inlineStr">
        <is>
          <t>Ph. Eur. 2.6.12 cat. C</t>
        </is>
      </c>
      <c r="J2839" s="256" t="inlineStr">
        <is>
          <t>≤ 10⁵ CFU/g</t>
        </is>
      </c>
      <c r="K2839" s="256" t="inlineStr">
        <is>
          <t>5.1 × 10³</t>
        </is>
      </c>
      <c r="L2839" s="256" t="inlineStr">
        <is>
          <t>406/0789/26</t>
        </is>
      </c>
      <c r="M2839" s="256" t="inlineStr">
        <is>
          <t>24.06.2026</t>
        </is>
      </c>
      <c r="N2839" s="256" t="inlineStr">
        <is>
          <t>IPH — Institute of Public Health</t>
        </is>
      </c>
      <c r="O2839" s="256" t="inlineStr">
        <is>
          <t>—</t>
        </is>
      </c>
      <c r="P2839" s="256" t="inlineStr">
        <is>
          <t>covered</t>
        </is>
      </c>
      <c r="Q2839" s="256" t="inlineStr"/>
      <c r="R2839" s="256" t="inlineStr"/>
    </row>
    <row r="2840">
      <c r="A2840" s="256" t="inlineStr">
        <is>
          <t>CoQ-PP_26-124</t>
        </is>
      </c>
      <c r="B2840" s="256" t="inlineStr">
        <is>
          <t>reissue — retest</t>
        </is>
      </c>
      <c r="C2840" s="256" t="inlineStr">
        <is>
          <t>JD012603/02V</t>
        </is>
      </c>
      <c r="D2840" s="256" t="inlineStr">
        <is>
          <t>P060422</t>
        </is>
      </c>
      <c r="E2840" s="256" t="inlineStr">
        <is>
          <t>Jelly Donuts</t>
        </is>
      </c>
      <c r="F2840" s="256" t="inlineStr">
        <is>
          <t>18.09.2026</t>
        </is>
      </c>
      <c r="G2840" s="256" t="inlineStr">
        <is>
          <t>9.2</t>
        </is>
      </c>
      <c r="H2840" s="256" t="inlineStr">
        <is>
          <t>TYMC</t>
        </is>
      </c>
      <c r="I2840" s="256" t="inlineStr">
        <is>
          <t>Ph. Eur. 2.6.12 cat. C</t>
        </is>
      </c>
      <c r="J2840" s="256" t="inlineStr">
        <is>
          <t>≤ 10⁴ CFU/g</t>
        </is>
      </c>
      <c r="K2840" s="256" t="inlineStr">
        <is>
          <t>4.7 × 10³</t>
        </is>
      </c>
      <c r="L2840" s="256" t="inlineStr">
        <is>
          <t>406/0789/26</t>
        </is>
      </c>
      <c r="M2840" s="256" t="inlineStr">
        <is>
          <t>24.06.2026</t>
        </is>
      </c>
      <c r="N2840" s="256" t="inlineStr">
        <is>
          <t>IPH — Institute of Public Health</t>
        </is>
      </c>
      <c r="O2840" s="256" t="inlineStr">
        <is>
          <t>—</t>
        </is>
      </c>
      <c r="P2840" s="256" t="inlineStr">
        <is>
          <t>covered</t>
        </is>
      </c>
      <c r="Q2840" s="256" t="inlineStr"/>
      <c r="R2840" s="256" t="inlineStr"/>
    </row>
    <row r="2841">
      <c r="A2841" s="256" t="inlineStr">
        <is>
          <t>CoQ-PP_26-124</t>
        </is>
      </c>
      <c r="B2841" s="256" t="inlineStr">
        <is>
          <t>reissue — retest</t>
        </is>
      </c>
      <c r="C2841" s="256" t="inlineStr">
        <is>
          <t>JD012603/02V</t>
        </is>
      </c>
      <c r="D2841" s="256" t="inlineStr">
        <is>
          <t>P060422</t>
        </is>
      </c>
      <c r="E2841" s="256" t="inlineStr">
        <is>
          <t>Jelly Donuts</t>
        </is>
      </c>
      <c r="F2841" s="256" t="inlineStr">
        <is>
          <t>18.09.2026</t>
        </is>
      </c>
      <c r="G2841" s="256" t="inlineStr">
        <is>
          <t>9.3</t>
        </is>
      </c>
      <c r="H2841" s="256" t="inlineStr">
        <is>
          <t>Bile-tolerant gram-neg.</t>
        </is>
      </c>
      <c r="I2841" s="256" t="inlineStr">
        <is>
          <t>Ph. Eur. 2.6.31 cat. C</t>
        </is>
      </c>
      <c r="J2841" s="256" t="inlineStr">
        <is>
          <t>≤ 10⁴ CFU/g</t>
        </is>
      </c>
      <c r="K2841" s="256" t="inlineStr">
        <is>
          <t>&lt; 10</t>
        </is>
      </c>
      <c r="L2841" s="256" t="inlineStr">
        <is>
          <t>406/0789/26</t>
        </is>
      </c>
      <c r="M2841" s="256" t="inlineStr">
        <is>
          <t>24.06.2026</t>
        </is>
      </c>
      <c r="N2841" s="256" t="inlineStr">
        <is>
          <t>IPH — Institute of Public Health</t>
        </is>
      </c>
      <c r="O2841" s="256" t="inlineStr">
        <is>
          <t>—</t>
        </is>
      </c>
      <c r="P2841" s="256" t="inlineStr">
        <is>
          <t>covered</t>
        </is>
      </c>
      <c r="Q2841" s="256" t="inlineStr"/>
      <c r="R2841" s="256" t="inlineStr"/>
    </row>
    <row r="2842">
      <c r="A2842" s="256" t="inlineStr">
        <is>
          <t>CoQ-PP_26-124</t>
        </is>
      </c>
      <c r="B2842" s="256" t="inlineStr">
        <is>
          <t>reissue — retest</t>
        </is>
      </c>
      <c r="C2842" s="256" t="inlineStr">
        <is>
          <t>JD012603/02V</t>
        </is>
      </c>
      <c r="D2842" s="256" t="inlineStr">
        <is>
          <t>P060422</t>
        </is>
      </c>
      <c r="E2842" s="256" t="inlineStr">
        <is>
          <t>Jelly Donuts</t>
        </is>
      </c>
      <c r="F2842" s="256" t="inlineStr">
        <is>
          <t>18.09.2026</t>
        </is>
      </c>
      <c r="G2842" s="256" t="inlineStr">
        <is>
          <t>9.4</t>
        </is>
      </c>
      <c r="H2842" s="256" t="inlineStr">
        <is>
          <t>Salmonella</t>
        </is>
      </c>
      <c r="I2842" s="256" t="inlineStr">
        <is>
          <t>Ph. Eur. 2.6.31 cat. C</t>
        </is>
      </c>
      <c r="J2842" s="256" t="inlineStr">
        <is>
          <t>Absence | Отсуство / 25 g</t>
        </is>
      </c>
      <c r="K2842" s="256" t="inlineStr">
        <is>
          <t>Absent | Отсутна</t>
        </is>
      </c>
      <c r="L2842" s="256" t="inlineStr">
        <is>
          <t>406/0789/26</t>
        </is>
      </c>
      <c r="M2842" s="256" t="inlineStr">
        <is>
          <t>24.06.2026</t>
        </is>
      </c>
      <c r="N2842" s="256" t="inlineStr">
        <is>
          <t>IPH — Institute of Public Health</t>
        </is>
      </c>
      <c r="O2842" s="256" t="inlineStr">
        <is>
          <t>—</t>
        </is>
      </c>
      <c r="P2842" s="256" t="inlineStr">
        <is>
          <t>covered</t>
        </is>
      </c>
      <c r="Q2842" s="256" t="inlineStr"/>
      <c r="R2842" s="256" t="inlineStr"/>
    </row>
    <row r="2843">
      <c r="A2843" s="256" t="inlineStr">
        <is>
          <t>CoQ-PP_26-124</t>
        </is>
      </c>
      <c r="B2843" s="256" t="inlineStr">
        <is>
          <t>reissue — retest</t>
        </is>
      </c>
      <c r="C2843" s="256" t="inlineStr">
        <is>
          <t>JD012603/02V</t>
        </is>
      </c>
      <c r="D2843" s="256" t="inlineStr">
        <is>
          <t>P060422</t>
        </is>
      </c>
      <c r="E2843" s="256" t="inlineStr">
        <is>
          <t>Jelly Donuts</t>
        </is>
      </c>
      <c r="F2843" s="256" t="inlineStr">
        <is>
          <t>18.09.2026</t>
        </is>
      </c>
      <c r="G2843" s="256" t="inlineStr">
        <is>
          <t>9.5</t>
        </is>
      </c>
      <c r="H2843" s="256" t="inlineStr">
        <is>
          <t>Escherichia coli</t>
        </is>
      </c>
      <c r="I2843" s="256" t="inlineStr">
        <is>
          <t>Ph. Eur. 2.6.13 cat. C</t>
        </is>
      </c>
      <c r="J2843" s="256" t="inlineStr">
        <is>
          <t>Absence | Отсуство / 1 g</t>
        </is>
      </c>
      <c r="K2843" s="256" t="inlineStr">
        <is>
          <t>Absent | Отсутна</t>
        </is>
      </c>
      <c r="L2843" s="256" t="inlineStr">
        <is>
          <t>406/0789/26</t>
        </is>
      </c>
      <c r="M2843" s="256" t="inlineStr">
        <is>
          <t>24.06.2026</t>
        </is>
      </c>
      <c r="N2843" s="256" t="inlineStr">
        <is>
          <t>IPH — Institute of Public Health</t>
        </is>
      </c>
      <c r="O2843" s="256" t="inlineStr">
        <is>
          <t>—</t>
        </is>
      </c>
      <c r="P2843" s="256" t="inlineStr">
        <is>
          <t>covered</t>
        </is>
      </c>
      <c r="Q2843" s="256" t="inlineStr"/>
      <c r="R2843" s="256" t="inlineStr"/>
    </row>
    <row r="2844">
      <c r="A2844" s="256" t="inlineStr">
        <is>
          <t>CoQ-PP_26-124</t>
        </is>
      </c>
      <c r="B2844" s="256" t="inlineStr">
        <is>
          <t>reissue — retest</t>
        </is>
      </c>
      <c r="C2844" s="256" t="inlineStr">
        <is>
          <t>JD012603/02V</t>
        </is>
      </c>
      <c r="D2844" s="256" t="inlineStr">
        <is>
          <t>P060422</t>
        </is>
      </c>
      <c r="E2844" s="256" t="inlineStr">
        <is>
          <t>Jelly Donuts</t>
        </is>
      </c>
      <c r="F2844" s="256" t="inlineStr">
        <is>
          <t>18.09.2026</t>
        </is>
      </c>
      <c r="G2844" s="256" t="inlineStr">
        <is>
          <t>9.6</t>
        </is>
      </c>
      <c r="H2844" s="256" t="inlineStr">
        <is>
          <t>Pseudomonas aeruginosa</t>
        </is>
      </c>
      <c r="I2844" s="256" t="inlineStr">
        <is>
          <t>Ph. Eur. 2.6.13 cat. C</t>
        </is>
      </c>
      <c r="J2844" s="256" t="inlineStr">
        <is>
          <t>Absence | Отсуство / 1 g</t>
        </is>
      </c>
      <c r="K2844" s="260" t="inlineStr">
        <is>
          <t>upon request — not required for release</t>
        </is>
      </c>
      <c r="L2844" s="256" t="inlineStr">
        <is>
          <t>—</t>
        </is>
      </c>
      <c r="M2844" s="256" t="inlineStr">
        <is>
          <t>—</t>
        </is>
      </c>
      <c r="N2844" s="256" t="inlineStr">
        <is>
          <t>—</t>
        </is>
      </c>
      <c r="O2844" s="256" t="inlineStr">
        <is>
          <t>—</t>
        </is>
      </c>
      <c r="P2844" s="256" t="inlineStr">
        <is>
          <t>upon request — not required for release</t>
        </is>
      </c>
      <c r="Q2844" s="256" t="inlineStr"/>
      <c r="R2844" s="256" t="inlineStr"/>
    </row>
    <row r="2845">
      <c r="A2845" s="256" t="inlineStr">
        <is>
          <t>CoQ-PP_26-124</t>
        </is>
      </c>
      <c r="B2845" s="256" t="inlineStr">
        <is>
          <t>reissue — retest</t>
        </is>
      </c>
      <c r="C2845" s="256" t="inlineStr">
        <is>
          <t>JD012603/02V</t>
        </is>
      </c>
      <c r="D2845" s="256" t="inlineStr">
        <is>
          <t>P060422</t>
        </is>
      </c>
      <c r="E2845" s="256" t="inlineStr">
        <is>
          <t>Jelly Donuts</t>
        </is>
      </c>
      <c r="F2845" s="256" t="inlineStr">
        <is>
          <t>18.09.2026</t>
        </is>
      </c>
      <c r="G2845" s="256" t="inlineStr">
        <is>
          <t>9.7</t>
        </is>
      </c>
      <c r="H2845" s="256" t="inlineStr">
        <is>
          <t>Staphylococcus aureus</t>
        </is>
      </c>
      <c r="I2845" s="256" t="inlineStr">
        <is>
          <t>Ph. Eur. 2.6.13 cat. C</t>
        </is>
      </c>
      <c r="J2845" s="256" t="inlineStr">
        <is>
          <t>Absence | Отсуство / 1 g</t>
        </is>
      </c>
      <c r="K2845" s="260" t="inlineStr">
        <is>
          <t>upon request — not required for release</t>
        </is>
      </c>
      <c r="L2845" s="256" t="inlineStr">
        <is>
          <t>—</t>
        </is>
      </c>
      <c r="M2845" s="256" t="inlineStr">
        <is>
          <t>—</t>
        </is>
      </c>
      <c r="N2845" s="256" t="inlineStr">
        <is>
          <t>—</t>
        </is>
      </c>
      <c r="O2845" s="256" t="inlineStr">
        <is>
          <t>—</t>
        </is>
      </c>
      <c r="P2845" s="256" t="inlineStr">
        <is>
          <t>upon request — not required for release</t>
        </is>
      </c>
      <c r="Q2845" s="256" t="inlineStr"/>
      <c r="R2845" s="256" t="inlineStr"/>
    </row>
    <row r="2846">
      <c r="A2846" s="256" t="inlineStr">
        <is>
          <t>CoQ-PP_26-124</t>
        </is>
      </c>
      <c r="B2846" s="256" t="inlineStr">
        <is>
          <t>reissue — retest</t>
        </is>
      </c>
      <c r="C2846" s="256" t="inlineStr">
        <is>
          <t>JD012603/02V</t>
        </is>
      </c>
      <c r="D2846" s="256" t="inlineStr">
        <is>
          <t>P060422</t>
        </is>
      </c>
      <c r="E2846" s="256" t="inlineStr">
        <is>
          <t>Jelly Donuts</t>
        </is>
      </c>
      <c r="F2846" s="256" t="inlineStr">
        <is>
          <t>18.09.2026</t>
        </is>
      </c>
      <c r="G2846" s="256" t="inlineStr">
        <is>
          <t>10.1</t>
        </is>
      </c>
      <c r="H2846" s="256" t="inlineStr">
        <is>
          <t>Aflatoxin B₁</t>
        </is>
      </c>
      <c r="I2846" s="256" t="inlineStr">
        <is>
          <t>Ph. Eur. 2.8.18 (HPLC-FLD)</t>
        </is>
      </c>
      <c r="J2846" s="256" t="inlineStr">
        <is>
          <t>≤ 2 µg/kg</t>
        </is>
      </c>
      <c r="K2846" s="256" t="inlineStr">
        <is>
          <t>ND</t>
        </is>
      </c>
      <c r="L2846" s="256" t="inlineStr">
        <is>
          <t>220-18-М/26</t>
        </is>
      </c>
      <c r="M2846" s="256" t="inlineStr">
        <is>
          <t>11.09.2026</t>
        </is>
      </c>
      <c r="N2846" s="256" t="inlineStr">
        <is>
          <t>Farmahem</t>
        </is>
      </c>
      <c r="O2846" s="256" t="inlineStr">
        <is>
          <t>17.08.2026</t>
        </is>
      </c>
      <c r="P2846" s="256" t="inlineStr">
        <is>
          <t>covered</t>
        </is>
      </c>
      <c r="Q2846" s="256" t="inlineStr"/>
      <c r="R2846" s="256" t="inlineStr"/>
    </row>
    <row r="2847">
      <c r="A2847" s="256" t="inlineStr">
        <is>
          <t>CoQ-PP_26-124</t>
        </is>
      </c>
      <c r="B2847" s="256" t="inlineStr">
        <is>
          <t>reissue — retest</t>
        </is>
      </c>
      <c r="C2847" s="256" t="inlineStr">
        <is>
          <t>JD012603/02V</t>
        </is>
      </c>
      <c r="D2847" s="256" t="inlineStr">
        <is>
          <t>P060422</t>
        </is>
      </c>
      <c r="E2847" s="256" t="inlineStr">
        <is>
          <t>Jelly Donuts</t>
        </is>
      </c>
      <c r="F2847" s="256" t="inlineStr">
        <is>
          <t>18.09.2026</t>
        </is>
      </c>
      <c r="G2847" s="256" t="inlineStr">
        <is>
          <t>10.2</t>
        </is>
      </c>
      <c r="H2847" s="256" t="inlineStr">
        <is>
          <t>Aflatoxins ∑</t>
        </is>
      </c>
      <c r="I2847" s="256" t="inlineStr">
        <is>
          <t>Ph. Eur. 2.8.18 (HPLC-FLD)</t>
        </is>
      </c>
      <c r="J2847" s="256" t="inlineStr">
        <is>
          <t>≤ 4 µg/kg</t>
        </is>
      </c>
      <c r="K2847" s="256" t="inlineStr">
        <is>
          <t>ND</t>
        </is>
      </c>
      <c r="L2847" s="256" t="inlineStr">
        <is>
          <t>220-18-М/26</t>
        </is>
      </c>
      <c r="M2847" s="256" t="inlineStr">
        <is>
          <t>11.09.2026</t>
        </is>
      </c>
      <c r="N2847" s="256" t="inlineStr">
        <is>
          <t>Farmahem</t>
        </is>
      </c>
      <c r="O2847" s="256" t="inlineStr">
        <is>
          <t>17.08.2026</t>
        </is>
      </c>
      <c r="P2847" s="256" t="inlineStr">
        <is>
          <t>covered</t>
        </is>
      </c>
      <c r="Q2847" s="256" t="inlineStr"/>
      <c r="R2847" s="256" t="inlineStr"/>
    </row>
    <row r="2848">
      <c r="A2848" s="256" t="inlineStr">
        <is>
          <t>CoQ-PP_26-124</t>
        </is>
      </c>
      <c r="B2848" s="256" t="inlineStr">
        <is>
          <t>reissue — retest</t>
        </is>
      </c>
      <c r="C2848" s="256" t="inlineStr">
        <is>
          <t>JD012603/02V</t>
        </is>
      </c>
      <c r="D2848" s="256" t="inlineStr">
        <is>
          <t>P060422</t>
        </is>
      </c>
      <c r="E2848" s="256" t="inlineStr">
        <is>
          <t>Jelly Donuts</t>
        </is>
      </c>
      <c r="F2848" s="256" t="inlineStr">
        <is>
          <t>18.09.2026</t>
        </is>
      </c>
      <c r="G2848" s="256" t="inlineStr">
        <is>
          <t>10.3</t>
        </is>
      </c>
      <c r="H2848" s="256" t="inlineStr">
        <is>
          <t>Ochratoxin A</t>
        </is>
      </c>
      <c r="I2848" s="256" t="inlineStr">
        <is>
          <t>Ph. Eur. 2.8.22 (HPLC-FLD)</t>
        </is>
      </c>
      <c r="J2848" s="256" t="inlineStr">
        <is>
          <t>≤ 20 µg/kg</t>
        </is>
      </c>
      <c r="K2848" s="256" t="inlineStr">
        <is>
          <t>ND</t>
        </is>
      </c>
      <c r="L2848" s="256" t="inlineStr">
        <is>
          <t>220-18-М/26</t>
        </is>
      </c>
      <c r="M2848" s="256" t="inlineStr">
        <is>
          <t>11.09.2026</t>
        </is>
      </c>
      <c r="N2848" s="256" t="inlineStr">
        <is>
          <t>Farmahem</t>
        </is>
      </c>
      <c r="O2848" s="256" t="inlineStr">
        <is>
          <t>17.08.2026</t>
        </is>
      </c>
      <c r="P2848" s="256" t="inlineStr">
        <is>
          <t>covered</t>
        </is>
      </c>
      <c r="Q2848" s="256" t="inlineStr"/>
      <c r="R2848" s="256" t="inlineStr"/>
    </row>
    <row r="2849">
      <c r="A2849" s="256" t="inlineStr">
        <is>
          <t>CoQ-PP_26-124</t>
        </is>
      </c>
      <c r="B2849" s="256" t="inlineStr">
        <is>
          <t>reissue — retest</t>
        </is>
      </c>
      <c r="C2849" s="256" t="inlineStr">
        <is>
          <t>JD012603/02V</t>
        </is>
      </c>
      <c r="D2849" s="256" t="inlineStr">
        <is>
          <t>P060422</t>
        </is>
      </c>
      <c r="E2849" s="256" t="inlineStr">
        <is>
          <t>Jelly Donuts</t>
        </is>
      </c>
      <c r="F2849" s="256" t="inlineStr">
        <is>
          <t>18.09.2026</t>
        </is>
      </c>
      <c r="G2849" s="256" t="inlineStr">
        <is>
          <t>11.1</t>
        </is>
      </c>
      <c r="H2849" s="256" t="inlineStr">
        <is>
          <t>Lead (Pb)</t>
        </is>
      </c>
      <c r="I2849" s="256" t="inlineStr">
        <is>
          <t>Ph. Eur. 2.4.27 (ICP-MS)</t>
        </is>
      </c>
      <c r="J2849" s="256" t="inlineStr">
        <is>
          <t>≤ 0.5 mg/kg</t>
        </is>
      </c>
      <c r="K2849" s="256" t="inlineStr">
        <is>
          <t>0.06</t>
        </is>
      </c>
      <c r="L2849" s="256" t="inlineStr">
        <is>
          <t>3662/2026</t>
        </is>
      </c>
      <c r="M2849" s="256" t="inlineStr">
        <is>
          <t>22.06.2026</t>
        </is>
      </c>
      <c r="N2849" s="256" t="inlineStr">
        <is>
          <t>IPH — Institute of Public Health</t>
        </is>
      </c>
      <c r="O2849" s="256" t="inlineStr">
        <is>
          <t>—</t>
        </is>
      </c>
      <c r="P2849" s="256" t="inlineStr">
        <is>
          <t>covered</t>
        </is>
      </c>
      <c r="Q2849" s="256" t="inlineStr"/>
      <c r="R2849" s="256" t="inlineStr"/>
    </row>
    <row r="2850">
      <c r="A2850" s="256" t="inlineStr">
        <is>
          <t>CoQ-PP_26-124</t>
        </is>
      </c>
      <c r="B2850" s="256" t="inlineStr">
        <is>
          <t>reissue — retest</t>
        </is>
      </c>
      <c r="C2850" s="256" t="inlineStr">
        <is>
          <t>JD012603/02V</t>
        </is>
      </c>
      <c r="D2850" s="256" t="inlineStr">
        <is>
          <t>P060422</t>
        </is>
      </c>
      <c r="E2850" s="256" t="inlineStr">
        <is>
          <t>Jelly Donuts</t>
        </is>
      </c>
      <c r="F2850" s="256" t="inlineStr">
        <is>
          <t>18.09.2026</t>
        </is>
      </c>
      <c r="G2850" s="256" t="inlineStr">
        <is>
          <t>11.2</t>
        </is>
      </c>
      <c r="H2850" s="256" t="inlineStr">
        <is>
          <t>Cadmium (Cd)</t>
        </is>
      </c>
      <c r="I2850" s="256" t="inlineStr">
        <is>
          <t>Ph. Eur. 2.4.27 (ICP-MS)</t>
        </is>
      </c>
      <c r="J2850" s="256" t="inlineStr">
        <is>
          <t>≤ 0.3 mg/kg</t>
        </is>
      </c>
      <c r="K2850" s="256" t="inlineStr">
        <is>
          <t>0.03</t>
        </is>
      </c>
      <c r="L2850" s="256" t="inlineStr">
        <is>
          <t>3662/2026</t>
        </is>
      </c>
      <c r="M2850" s="256" t="inlineStr">
        <is>
          <t>22.06.2026</t>
        </is>
      </c>
      <c r="N2850" s="256" t="inlineStr">
        <is>
          <t>IPH — Institute of Public Health</t>
        </is>
      </c>
      <c r="O2850" s="256" t="inlineStr">
        <is>
          <t>—</t>
        </is>
      </c>
      <c r="P2850" s="256" t="inlineStr">
        <is>
          <t>covered</t>
        </is>
      </c>
      <c r="Q2850" s="256" t="inlineStr"/>
      <c r="R2850" s="256" t="inlineStr"/>
    </row>
    <row r="2851">
      <c r="A2851" s="256" t="inlineStr">
        <is>
          <t>CoQ-PP_26-124</t>
        </is>
      </c>
      <c r="B2851" s="256" t="inlineStr">
        <is>
          <t>reissue — retest</t>
        </is>
      </c>
      <c r="C2851" s="256" t="inlineStr">
        <is>
          <t>JD012603/02V</t>
        </is>
      </c>
      <c r="D2851" s="256" t="inlineStr">
        <is>
          <t>P060422</t>
        </is>
      </c>
      <c r="E2851" s="256" t="inlineStr">
        <is>
          <t>Jelly Donuts</t>
        </is>
      </c>
      <c r="F2851" s="256" t="inlineStr">
        <is>
          <t>18.09.2026</t>
        </is>
      </c>
      <c r="G2851" s="256" t="inlineStr">
        <is>
          <t>11.3</t>
        </is>
      </c>
      <c r="H2851" s="256" t="inlineStr">
        <is>
          <t>Arsenic (As)</t>
        </is>
      </c>
      <c r="I2851" s="256" t="inlineStr">
        <is>
          <t>Ph. Eur. 2.4.27 (ICP-MS)</t>
        </is>
      </c>
      <c r="J2851" s="256" t="inlineStr">
        <is>
          <t>≤ 0.2 mg/kg</t>
        </is>
      </c>
      <c r="K2851" s="256" t="inlineStr">
        <is>
          <t>0.045</t>
        </is>
      </c>
      <c r="L2851" s="256" t="inlineStr">
        <is>
          <t>3662/2026</t>
        </is>
      </c>
      <c r="M2851" s="256" t="inlineStr">
        <is>
          <t>22.06.2026</t>
        </is>
      </c>
      <c r="N2851" s="256" t="inlineStr">
        <is>
          <t>IPH — Institute of Public Health</t>
        </is>
      </c>
      <c r="O2851" s="256" t="inlineStr">
        <is>
          <t>—</t>
        </is>
      </c>
      <c r="P2851" s="256" t="inlineStr">
        <is>
          <t>covered</t>
        </is>
      </c>
      <c r="Q2851" s="256" t="inlineStr"/>
      <c r="R2851" s="256" t="inlineStr"/>
    </row>
    <row r="2852">
      <c r="A2852" s="256" t="inlineStr">
        <is>
          <t>CoQ-PP_26-124</t>
        </is>
      </c>
      <c r="B2852" s="256" t="inlineStr">
        <is>
          <t>reissue — retest</t>
        </is>
      </c>
      <c r="C2852" s="256" t="inlineStr">
        <is>
          <t>JD012603/02V</t>
        </is>
      </c>
      <c r="D2852" s="256" t="inlineStr">
        <is>
          <t>P060422</t>
        </is>
      </c>
      <c r="E2852" s="256" t="inlineStr">
        <is>
          <t>Jelly Donuts</t>
        </is>
      </c>
      <c r="F2852" s="256" t="inlineStr">
        <is>
          <t>18.09.2026</t>
        </is>
      </c>
      <c r="G2852" s="256" t="inlineStr">
        <is>
          <t>11.4</t>
        </is>
      </c>
      <c r="H2852" s="256" t="inlineStr">
        <is>
          <t>Mercury (Hg)</t>
        </is>
      </c>
      <c r="I2852" s="256" t="inlineStr">
        <is>
          <t>Ph. Eur. 2.4.27 (ICP-MS)</t>
        </is>
      </c>
      <c r="J2852" s="256" t="inlineStr">
        <is>
          <t>≤ 0.1 mg/kg</t>
        </is>
      </c>
      <c r="K2852" s="256" t="inlineStr">
        <is>
          <t>0.013</t>
        </is>
      </c>
      <c r="L2852" s="256" t="inlineStr">
        <is>
          <t>3662/2026</t>
        </is>
      </c>
      <c r="M2852" s="256" t="inlineStr">
        <is>
          <t>22.06.2026</t>
        </is>
      </c>
      <c r="N2852" s="256" t="inlineStr">
        <is>
          <t>IPH — Institute of Public Health</t>
        </is>
      </c>
      <c r="O2852" s="256" t="inlineStr">
        <is>
          <t>—</t>
        </is>
      </c>
      <c r="P2852" s="256" t="inlineStr">
        <is>
          <t>covered</t>
        </is>
      </c>
      <c r="Q2852" s="256" t="inlineStr"/>
      <c r="R2852" s="256" t="inlineStr"/>
    </row>
    <row r="2853">
      <c r="A2853" s="256" t="inlineStr">
        <is>
          <t>CoQ-PP_26-124</t>
        </is>
      </c>
      <c r="B2853" s="256" t="inlineStr">
        <is>
          <t>reissue — retest</t>
        </is>
      </c>
      <c r="C2853" s="256" t="inlineStr">
        <is>
          <t>JD012603/02V</t>
        </is>
      </c>
      <c r="D2853" s="256" t="inlineStr">
        <is>
          <t>P060422</t>
        </is>
      </c>
      <c r="E2853" s="256" t="inlineStr">
        <is>
          <t>Jelly Donuts</t>
        </is>
      </c>
      <c r="F2853" s="256" t="inlineStr">
        <is>
          <t>18.09.2026</t>
        </is>
      </c>
      <c r="G2853" s="256" t="inlineStr">
        <is>
          <t>12</t>
        </is>
      </c>
      <c r="H2853" s="256" t="inlineStr">
        <is>
          <t>Pesticide Residues</t>
        </is>
      </c>
      <c r="I2853" s="256" t="inlineStr">
        <is>
          <t>Ph. Eur. 2.8.13 (LC-MS/MS) · CUMCS Equivalency</t>
        </is>
      </c>
      <c r="J2853" s="256" t="inlineStr">
        <is>
          <t>≤ LOQ as per Ph. Eur. 2.8.13 · ≤ LOQ as per CUMCS Equivalency</t>
        </is>
      </c>
      <c r="K2853" s="256" t="inlineStr">
        <is>
          <t>&lt; 0,01 mg/kg — all 22 residues</t>
        </is>
      </c>
      <c r="L2853" s="256" t="inlineStr">
        <is>
          <t>3662/2026</t>
        </is>
      </c>
      <c r="M2853" s="256" t="inlineStr">
        <is>
          <t>22.06.2026</t>
        </is>
      </c>
      <c r="N2853" s="256" t="inlineStr">
        <is>
          <t>IJZ</t>
        </is>
      </c>
      <c r="O2853" s="256" t="inlineStr">
        <is>
          <t>—</t>
        </is>
      </c>
      <c r="P2853" s="256" t="inlineStr">
        <is>
          <t>carried from the initial testing (CoQ-PP-2026-0022) — covered</t>
        </is>
      </c>
      <c r="Q2853" s="256" t="inlineStr"/>
      <c r="R2853" s="256" t="inlineStr"/>
    </row>
    <row r="2854">
      <c r="A2854" s="256" t="inlineStr">
        <is>
          <t>CoQ-PP_26-125</t>
        </is>
      </c>
      <c r="B2854" s="256" t="inlineStr">
        <is>
          <t>reissue — retest</t>
        </is>
      </c>
      <c r="C2854" s="256" t="inlineStr">
        <is>
          <t>JD042601</t>
        </is>
      </c>
      <c r="D2854" s="256" t="inlineStr">
        <is>
          <t>P060492</t>
        </is>
      </c>
      <c r="E2854" s="256" t="inlineStr">
        <is>
          <t>Jelly Donuts</t>
        </is>
      </c>
      <c r="F2854" s="256" t="inlineStr">
        <is>
          <t>18.09.2026</t>
        </is>
      </c>
      <c r="G2854" s="256" t="inlineStr">
        <is>
          <t>1</t>
        </is>
      </c>
      <c r="H2854" s="256" t="inlineStr">
        <is>
          <t>Identification A, Appearance · Macroscopic</t>
        </is>
      </c>
      <c r="I2854" s="256" t="inlineStr">
        <is>
          <t>Ph. Eur. mon. 3028</t>
        </is>
      </c>
      <c r="J2854" s="256" t="inlineStr">
        <is>
          <t>Conforms to the monograph for Cannabis flos (07/2024:3028) in Ph. Eur. 11.0 | Согласно монографија за Cannabis flos (07/2024:3028) во Ph. Eur. 11.0</t>
        </is>
      </c>
      <c r="K2854" s="256" t="inlineStr">
        <is>
          <t>Conforms | Одговара</t>
        </is>
      </c>
      <c r="L2854" s="256" t="inlineStr">
        <is>
          <t>iCoA-PP_26-148</t>
        </is>
      </c>
      <c r="M2854" s="256" t="inlineStr">
        <is>
          <t>17.08.2026</t>
        </is>
      </c>
      <c r="N2854" s="256" t="inlineStr">
        <is>
          <t>Purely Plant GmbH (in-house)</t>
        </is>
      </c>
      <c r="O2854" s="256" t="inlineStr">
        <is>
          <t>—</t>
        </is>
      </c>
      <c r="P2854" s="256" t="inlineStr">
        <is>
          <t>to be performed — see route</t>
        </is>
      </c>
      <c r="Q2854" s="256" t="inlineStr">
        <is>
          <t>Farmahem — Ident A + B + C with the Assay, at retest</t>
        </is>
      </c>
      <c r="R2854" s="256" t="inlineStr"/>
    </row>
    <row r="2855">
      <c r="A2855" s="256" t="inlineStr">
        <is>
          <t>CoQ-PP_26-125</t>
        </is>
      </c>
      <c r="B2855" s="256" t="inlineStr">
        <is>
          <t>reissue — retest</t>
        </is>
      </c>
      <c r="C2855" s="256" t="inlineStr">
        <is>
          <t>JD042601</t>
        </is>
      </c>
      <c r="D2855" s="256" t="inlineStr">
        <is>
          <t>P060492</t>
        </is>
      </c>
      <c r="E2855" s="256" t="inlineStr">
        <is>
          <t>Jelly Donuts</t>
        </is>
      </c>
      <c r="F2855" s="256" t="inlineStr">
        <is>
          <t>18.09.2026</t>
        </is>
      </c>
      <c r="G2855" s="256" t="inlineStr">
        <is>
          <t>2</t>
        </is>
      </c>
      <c r="H2855" s="256" t="inlineStr">
        <is>
          <t>Identification B · Microscopic</t>
        </is>
      </c>
      <c r="I2855" s="256" t="inlineStr">
        <is>
          <t>Ph. Eur. 2.8.23 (microscopy)</t>
        </is>
      </c>
      <c r="J2855" s="256" t="inlineStr">
        <is>
          <t>Conforms to the monograph for Cannabis flos (07/2024:3028) in Ph. Eur. 11.0 | Согласно монографија за Cannabis flos (07/2024:3028) во Ph. Eur. 11.0</t>
        </is>
      </c>
      <c r="K2855" s="256" t="inlineStr">
        <is>
          <t>Conforms | Одговара</t>
        </is>
      </c>
      <c r="L2855" s="256" t="inlineStr">
        <is>
          <t>iCoA-PP_26-148</t>
        </is>
      </c>
      <c r="M2855" s="256" t="inlineStr">
        <is>
          <t>17.08.2026</t>
        </is>
      </c>
      <c r="N2855" s="256" t="inlineStr">
        <is>
          <t>Purely Plant GmbH (in-house)</t>
        </is>
      </c>
      <c r="O2855" s="256" t="inlineStr">
        <is>
          <t>—</t>
        </is>
      </c>
      <c r="P2855" s="256" t="inlineStr">
        <is>
          <t>to be performed — see route</t>
        </is>
      </c>
      <c r="Q2855" s="256" t="inlineStr">
        <is>
          <t>Farmahem — Ident A + B + C with the Assay, at retest</t>
        </is>
      </c>
      <c r="R2855" s="256" t="inlineStr"/>
    </row>
    <row r="2856">
      <c r="A2856" s="256" t="inlineStr">
        <is>
          <t>CoQ-PP_26-125</t>
        </is>
      </c>
      <c r="B2856" s="256" t="inlineStr">
        <is>
          <t>reissue — retest</t>
        </is>
      </c>
      <c r="C2856" s="256" t="inlineStr">
        <is>
          <t>JD042601</t>
        </is>
      </c>
      <c r="D2856" s="256" t="inlineStr">
        <is>
          <t>P060492</t>
        </is>
      </c>
      <c r="E2856" s="256" t="inlineStr">
        <is>
          <t>Jelly Donuts</t>
        </is>
      </c>
      <c r="F2856" s="256" t="inlineStr">
        <is>
          <t>18.09.2026</t>
        </is>
      </c>
      <c r="G2856" s="256" t="inlineStr">
        <is>
          <t>3</t>
        </is>
      </c>
      <c r="H2856" s="256" t="inlineStr">
        <is>
          <t>Identification C · HPLC/HPTLC</t>
        </is>
      </c>
      <c r="I2856" s="256" t="inlineStr">
        <is>
          <t>Ph. Eur. 2.2.29 (3028)</t>
        </is>
      </c>
      <c r="J2856" s="256" t="inlineStr">
        <is>
          <t>Conforms to the monograph for Cannabis flos (07/2024:3028) in Ph. Eur. 11.0 | Согласно монографија за Cannabis flos (07/2024:3028) во Ph. Eur. 11.0</t>
        </is>
      </c>
      <c r="K2856" s="256" t="inlineStr">
        <is>
          <t>Conforms | Одговара</t>
        </is>
      </c>
      <c r="L2856" s="256" t="inlineStr">
        <is>
          <t>220-30-К/26</t>
        </is>
      </c>
      <c r="M2856" s="256" t="inlineStr">
        <is>
          <t>26.08.2026</t>
        </is>
      </c>
      <c r="N2856" s="256" t="inlineStr">
        <is>
          <t>Farmahem</t>
        </is>
      </c>
      <c r="O2856" s="256" t="inlineStr">
        <is>
          <t>17.08.2026</t>
        </is>
      </c>
      <c r="P2856" s="256" t="inlineStr">
        <is>
          <t>covered</t>
        </is>
      </c>
      <c r="Q2856" s="256" t="inlineStr"/>
      <c r="R2856" s="256" t="inlineStr"/>
    </row>
    <row r="2857">
      <c r="A2857" s="256" t="inlineStr">
        <is>
          <t>CoQ-PP_26-125</t>
        </is>
      </c>
      <c r="B2857" s="256" t="inlineStr">
        <is>
          <t>reissue — retest</t>
        </is>
      </c>
      <c r="C2857" s="256" t="inlineStr">
        <is>
          <t>JD042601</t>
        </is>
      </c>
      <c r="D2857" s="256" t="inlineStr">
        <is>
          <t>P060492</t>
        </is>
      </c>
      <c r="E2857" s="256" t="inlineStr">
        <is>
          <t>Jelly Donuts</t>
        </is>
      </c>
      <c r="F2857" s="256" t="inlineStr">
        <is>
          <t>18.09.2026</t>
        </is>
      </c>
      <c r="G2857" s="256" t="inlineStr">
        <is>
          <t>4</t>
        </is>
      </c>
      <c r="H2857" s="256" t="inlineStr">
        <is>
          <t>Assay — Total Δ⁹-THC</t>
        </is>
      </c>
      <c r="I2857" s="256" t="inlineStr">
        <is>
          <t>Ph. Eur. 2.2.29 (HPLC)</t>
        </is>
      </c>
      <c r="J2857" s="256" t="inlineStr">
        <is>
          <t>13.80 – 16.19 %  (grade III, nominal 15.00 ± 1.20)</t>
        </is>
      </c>
      <c r="K2857" s="256" t="inlineStr">
        <is>
          <t>14.89</t>
        </is>
      </c>
      <c r="L2857" s="256" t="inlineStr">
        <is>
          <t>220-30-К/26</t>
        </is>
      </c>
      <c r="M2857" s="256" t="inlineStr">
        <is>
          <t>26.08.2026</t>
        </is>
      </c>
      <c r="N2857" s="256" t="inlineStr">
        <is>
          <t>Farmahem</t>
        </is>
      </c>
      <c r="O2857" s="256" t="inlineStr">
        <is>
          <t>17.08.2026</t>
        </is>
      </c>
      <c r="P2857" s="256" t="inlineStr">
        <is>
          <t>covered</t>
        </is>
      </c>
      <c r="Q2857" s="256" t="inlineStr"/>
      <c r="R2857" s="256" t="inlineStr"/>
    </row>
    <row r="2858">
      <c r="A2858" s="256" t="inlineStr">
        <is>
          <t>CoQ-PP_26-125</t>
        </is>
      </c>
      <c r="B2858" s="256" t="inlineStr">
        <is>
          <t>reissue — retest</t>
        </is>
      </c>
      <c r="C2858" s="256" t="inlineStr">
        <is>
          <t>JD042601</t>
        </is>
      </c>
      <c r="D2858" s="256" t="inlineStr">
        <is>
          <t>P060492</t>
        </is>
      </c>
      <c r="E2858" s="256" t="inlineStr">
        <is>
          <t>Jelly Donuts</t>
        </is>
      </c>
      <c r="F2858" s="256" t="inlineStr">
        <is>
          <t>18.09.2026</t>
        </is>
      </c>
      <c r="G2858" s="256" t="inlineStr">
        <is>
          <t>5</t>
        </is>
      </c>
      <c r="H2858" s="256" t="inlineStr">
        <is>
          <t>Assay — Total CBD</t>
        </is>
      </c>
      <c r="I2858" s="256" t="inlineStr">
        <is>
          <t>Ph. Eur. 2.2.29 (HPLC) · CBD + CBDA x 0.877</t>
        </is>
      </c>
      <c r="J2858" s="256" t="inlineStr">
        <is>
          <t>≤ 1.0%, w/w</t>
        </is>
      </c>
      <c r="K2858" s="256" t="inlineStr">
        <is>
          <t>&lt; LOQ</t>
        </is>
      </c>
      <c r="L2858" s="256" t="inlineStr">
        <is>
          <t>220-30-К/26</t>
        </is>
      </c>
      <c r="M2858" s="256" t="inlineStr">
        <is>
          <t>26.08.2026</t>
        </is>
      </c>
      <c r="N2858" s="256" t="inlineStr">
        <is>
          <t>Farmahem</t>
        </is>
      </c>
      <c r="O2858" s="256" t="inlineStr">
        <is>
          <t>17.08.2026</t>
        </is>
      </c>
      <c r="P2858" s="256" t="inlineStr">
        <is>
          <t>covered</t>
        </is>
      </c>
      <c r="Q2858" s="256" t="inlineStr"/>
      <c r="R2858" s="256" t="inlineStr"/>
    </row>
    <row r="2859">
      <c r="A2859" s="256" t="inlineStr">
        <is>
          <t>CoQ-PP_26-125</t>
        </is>
      </c>
      <c r="B2859" s="256" t="inlineStr">
        <is>
          <t>reissue — retest</t>
        </is>
      </c>
      <c r="C2859" s="256" t="inlineStr">
        <is>
          <t>JD042601</t>
        </is>
      </c>
      <c r="D2859" s="256" t="inlineStr">
        <is>
          <t>P060492</t>
        </is>
      </c>
      <c r="E2859" s="256" t="inlineStr">
        <is>
          <t>Jelly Donuts</t>
        </is>
      </c>
      <c r="F2859" s="256" t="inlineStr">
        <is>
          <t>18.09.2026</t>
        </is>
      </c>
      <c r="G2859" s="256" t="inlineStr">
        <is>
          <t>6</t>
        </is>
      </c>
      <c r="H2859" s="256" t="inlineStr">
        <is>
          <t>Total CBN</t>
        </is>
      </c>
      <c r="I2859" s="256" t="inlineStr">
        <is>
          <t>Ph. Eur. 2.2.29 (HPLC) · CBN + CBNA x 0.876</t>
        </is>
      </c>
      <c r="J2859" s="256" t="inlineStr">
        <is>
          <t>≤ 1.0%, w/w</t>
        </is>
      </c>
      <c r="K2859" s="256" t="inlineStr">
        <is>
          <t>&lt; LOQ</t>
        </is>
      </c>
      <c r="L2859" s="256" t="inlineStr">
        <is>
          <t>220-30-К/26</t>
        </is>
      </c>
      <c r="M2859" s="256" t="inlineStr">
        <is>
          <t>26.08.2026</t>
        </is>
      </c>
      <c r="N2859" s="256" t="inlineStr">
        <is>
          <t>Farmahem</t>
        </is>
      </c>
      <c r="O2859" s="256" t="inlineStr">
        <is>
          <t>17.08.2026</t>
        </is>
      </c>
      <c r="P2859" s="256" t="inlineStr">
        <is>
          <t>covered</t>
        </is>
      </c>
      <c r="Q2859" s="256" t="inlineStr"/>
      <c r="R2859" s="256" t="inlineStr"/>
    </row>
    <row r="2860">
      <c r="A2860" s="256" t="inlineStr">
        <is>
          <t>CoQ-PP_26-125</t>
        </is>
      </c>
      <c r="B2860" s="256" t="inlineStr">
        <is>
          <t>reissue — retest</t>
        </is>
      </c>
      <c r="C2860" s="256" t="inlineStr">
        <is>
          <t>JD042601</t>
        </is>
      </c>
      <c r="D2860" s="256" t="inlineStr">
        <is>
          <t>P060492</t>
        </is>
      </c>
      <c r="E2860" s="256" t="inlineStr">
        <is>
          <t>Jelly Donuts</t>
        </is>
      </c>
      <c r="F2860" s="256" t="inlineStr">
        <is>
          <t>18.09.2026</t>
        </is>
      </c>
      <c r="G2860" s="256" t="inlineStr">
        <is>
          <t>7</t>
        </is>
      </c>
      <c r="H2860" s="256" t="inlineStr">
        <is>
          <t>Foreign Matter</t>
        </is>
      </c>
      <c r="I2860" s="256" t="inlineStr">
        <is>
          <t>Ph. Eur. 2.8.2 · In-house · интерна</t>
        </is>
      </c>
      <c r="J2860" s="256" t="inlineStr">
        <is>
          <t>≤ 2.0% / 25–50 g · &lt; 1 cm leaves | листови, no seeds | без семки</t>
        </is>
      </c>
      <c r="K2860" s="256" t="inlineStr">
        <is>
          <t>Conforms | Одговара</t>
        </is>
      </c>
      <c r="L2860" s="256" t="inlineStr">
        <is>
          <t>iCoA-PP_26-148</t>
        </is>
      </c>
      <c r="M2860" s="256" t="inlineStr">
        <is>
          <t>17.08.2026</t>
        </is>
      </c>
      <c r="N2860" s="256" t="inlineStr">
        <is>
          <t>Purely Plant GmbH (in-house)</t>
        </is>
      </c>
      <c r="O2860" s="256" t="inlineStr">
        <is>
          <t>—</t>
        </is>
      </c>
      <c r="P2860" s="256" t="inlineStr">
        <is>
          <t>to be performed — see route</t>
        </is>
      </c>
      <c r="Q2860" s="256" t="inlineStr">
        <is>
          <t>Purely Plant laboratory — iCoA covering Foreign matter</t>
        </is>
      </c>
      <c r="R2860" s="256" t="inlineStr"/>
    </row>
    <row r="2861">
      <c r="A2861" s="256" t="inlineStr">
        <is>
          <t>CoQ-PP_26-125</t>
        </is>
      </c>
      <c r="B2861" s="256" t="inlineStr">
        <is>
          <t>reissue — retest</t>
        </is>
      </c>
      <c r="C2861" s="256" t="inlineStr">
        <is>
          <t>JD042601</t>
        </is>
      </c>
      <c r="D2861" s="256" t="inlineStr">
        <is>
          <t>P060492</t>
        </is>
      </c>
      <c r="E2861" s="256" t="inlineStr">
        <is>
          <t>Jelly Donuts</t>
        </is>
      </c>
      <c r="F2861" s="256" t="inlineStr">
        <is>
          <t>18.09.2026</t>
        </is>
      </c>
      <c r="G2861" s="256" t="inlineStr">
        <is>
          <t>8</t>
        </is>
      </c>
      <c r="H2861" s="256" t="inlineStr">
        <is>
          <t>Loss on Drying</t>
        </is>
      </c>
      <c r="I2861" s="256" t="inlineStr">
        <is>
          <t>Ph. Eur. 2.2.32 (3028) · at 40 °C, 24 h, 15–25 mbar</t>
        </is>
      </c>
      <c r="J2861" s="256" t="inlineStr">
        <is>
          <t>≤ 12.0%</t>
        </is>
      </c>
      <c r="K2861" s="256" t="inlineStr">
        <is>
          <t>carried from the initial testing — not tested</t>
        </is>
      </c>
      <c r="L2861" s="256" t="inlineStr">
        <is>
          <t>—</t>
        </is>
      </c>
      <c r="M2861" s="256" t="inlineStr">
        <is>
          <t>—</t>
        </is>
      </c>
      <c r="N2861" s="256" t="inlineStr">
        <is>
          <t>—</t>
        </is>
      </c>
      <c r="O2861" s="256" t="inlineStr">
        <is>
          <t>—</t>
        </is>
      </c>
      <c r="P2861" s="256" t="inlineStr">
        <is>
          <t>carried from the initial testing (the batch's initial CoQ (number assigned on issue)) — not tested — no certificate covers it</t>
        </is>
      </c>
      <c r="Q2861" s="256" t="inlineStr"/>
      <c r="R2861" s="256" t="inlineStr"/>
    </row>
    <row r="2862">
      <c r="A2862" s="256" t="inlineStr">
        <is>
          <t>CoQ-PP_26-125</t>
        </is>
      </c>
      <c r="B2862" s="256" t="inlineStr">
        <is>
          <t>reissue — retest</t>
        </is>
      </c>
      <c r="C2862" s="256" t="inlineStr">
        <is>
          <t>JD042601</t>
        </is>
      </c>
      <c r="D2862" s="256" t="inlineStr">
        <is>
          <t>P060492</t>
        </is>
      </c>
      <c r="E2862" s="256" t="inlineStr">
        <is>
          <t>Jelly Donuts</t>
        </is>
      </c>
      <c r="F2862" s="256" t="inlineStr">
        <is>
          <t>18.09.2026</t>
        </is>
      </c>
      <c r="G2862" s="256" t="inlineStr">
        <is>
          <t>9.1</t>
        </is>
      </c>
      <c r="H2862" s="256" t="inlineStr">
        <is>
          <t>TAMC</t>
        </is>
      </c>
      <c r="I2862" s="256" t="inlineStr">
        <is>
          <t>Ph. Eur. 2.6.12 cat. C</t>
        </is>
      </c>
      <c r="J2862" s="256" t="inlineStr">
        <is>
          <t>≤ 10⁵ CFU/g</t>
        </is>
      </c>
      <c r="K2862" s="256" t="inlineStr">
        <is>
          <t>carried from the initial testing — not tested</t>
        </is>
      </c>
      <c r="L2862" s="256" t="inlineStr">
        <is>
          <t>—</t>
        </is>
      </c>
      <c r="M2862" s="256" t="inlineStr">
        <is>
          <t>—</t>
        </is>
      </c>
      <c r="N2862" s="256" t="inlineStr">
        <is>
          <t>—</t>
        </is>
      </c>
      <c r="O2862" s="256" t="inlineStr">
        <is>
          <t>—</t>
        </is>
      </c>
      <c r="P2862" s="256" t="inlineStr">
        <is>
          <t>carried from the initial testing (the batch's initial CoQ (number assigned on issue)) — not tested — no certificate covers it</t>
        </is>
      </c>
      <c r="Q2862" s="256" t="inlineStr"/>
      <c r="R2862" s="256" t="inlineStr"/>
    </row>
    <row r="2863">
      <c r="A2863" s="256" t="inlineStr">
        <is>
          <t>CoQ-PP_26-125</t>
        </is>
      </c>
      <c r="B2863" s="256" t="inlineStr">
        <is>
          <t>reissue — retest</t>
        </is>
      </c>
      <c r="C2863" s="256" t="inlineStr">
        <is>
          <t>JD042601</t>
        </is>
      </c>
      <c r="D2863" s="256" t="inlineStr">
        <is>
          <t>P060492</t>
        </is>
      </c>
      <c r="E2863" s="256" t="inlineStr">
        <is>
          <t>Jelly Donuts</t>
        </is>
      </c>
      <c r="F2863" s="256" t="inlineStr">
        <is>
          <t>18.09.2026</t>
        </is>
      </c>
      <c r="G2863" s="256" t="inlineStr">
        <is>
          <t>9.2</t>
        </is>
      </c>
      <c r="H2863" s="256" t="inlineStr">
        <is>
          <t>TYMC</t>
        </is>
      </c>
      <c r="I2863" s="256" t="inlineStr">
        <is>
          <t>Ph. Eur. 2.6.12 cat. C</t>
        </is>
      </c>
      <c r="J2863" s="256" t="inlineStr">
        <is>
          <t>≤ 10⁴ CFU/g</t>
        </is>
      </c>
      <c r="K2863" s="256" t="inlineStr">
        <is>
          <t>carried from the initial testing — not tested</t>
        </is>
      </c>
      <c r="L2863" s="256" t="inlineStr">
        <is>
          <t>—</t>
        </is>
      </c>
      <c r="M2863" s="256" t="inlineStr">
        <is>
          <t>—</t>
        </is>
      </c>
      <c r="N2863" s="256" t="inlineStr">
        <is>
          <t>—</t>
        </is>
      </c>
      <c r="O2863" s="256" t="inlineStr">
        <is>
          <t>—</t>
        </is>
      </c>
      <c r="P2863" s="256" t="inlineStr">
        <is>
          <t>carried from the initial testing (the batch's initial CoQ (number assigned on issue)) — not tested — no certificate covers it</t>
        </is>
      </c>
      <c r="Q2863" s="256" t="inlineStr"/>
      <c r="R2863" s="256" t="inlineStr"/>
    </row>
    <row r="2864">
      <c r="A2864" s="256" t="inlineStr">
        <is>
          <t>CoQ-PP_26-125</t>
        </is>
      </c>
      <c r="B2864" s="256" t="inlineStr">
        <is>
          <t>reissue — retest</t>
        </is>
      </c>
      <c r="C2864" s="256" t="inlineStr">
        <is>
          <t>JD042601</t>
        </is>
      </c>
      <c r="D2864" s="256" t="inlineStr">
        <is>
          <t>P060492</t>
        </is>
      </c>
      <c r="E2864" s="256" t="inlineStr">
        <is>
          <t>Jelly Donuts</t>
        </is>
      </c>
      <c r="F2864" s="256" t="inlineStr">
        <is>
          <t>18.09.2026</t>
        </is>
      </c>
      <c r="G2864" s="256" t="inlineStr">
        <is>
          <t>9.3</t>
        </is>
      </c>
      <c r="H2864" s="256" t="inlineStr">
        <is>
          <t>Bile-tolerant gram-neg.</t>
        </is>
      </c>
      <c r="I2864" s="256" t="inlineStr">
        <is>
          <t>Ph. Eur. 2.6.31 cat. C</t>
        </is>
      </c>
      <c r="J2864" s="256" t="inlineStr">
        <is>
          <t>≤ 10⁴ CFU/g</t>
        </is>
      </c>
      <c r="K2864" s="256" t="inlineStr">
        <is>
          <t>carried from the initial testing — not tested</t>
        </is>
      </c>
      <c r="L2864" s="256" t="inlineStr">
        <is>
          <t>—</t>
        </is>
      </c>
      <c r="M2864" s="256" t="inlineStr">
        <is>
          <t>—</t>
        </is>
      </c>
      <c r="N2864" s="256" t="inlineStr">
        <is>
          <t>—</t>
        </is>
      </c>
      <c r="O2864" s="256" t="inlineStr">
        <is>
          <t>—</t>
        </is>
      </c>
      <c r="P2864" s="256" t="inlineStr">
        <is>
          <t>carried from the initial testing (the batch's initial CoQ (number assigned on issue)) — not tested — no certificate covers it</t>
        </is>
      </c>
      <c r="Q2864" s="256" t="inlineStr"/>
      <c r="R2864" s="256" t="inlineStr"/>
    </row>
    <row r="2865">
      <c r="A2865" s="256" t="inlineStr">
        <is>
          <t>CoQ-PP_26-125</t>
        </is>
      </c>
      <c r="B2865" s="256" t="inlineStr">
        <is>
          <t>reissue — retest</t>
        </is>
      </c>
      <c r="C2865" s="256" t="inlineStr">
        <is>
          <t>JD042601</t>
        </is>
      </c>
      <c r="D2865" s="256" t="inlineStr">
        <is>
          <t>P060492</t>
        </is>
      </c>
      <c r="E2865" s="256" t="inlineStr">
        <is>
          <t>Jelly Donuts</t>
        </is>
      </c>
      <c r="F2865" s="256" t="inlineStr">
        <is>
          <t>18.09.2026</t>
        </is>
      </c>
      <c r="G2865" s="256" t="inlineStr">
        <is>
          <t>9.4</t>
        </is>
      </c>
      <c r="H2865" s="256" t="inlineStr">
        <is>
          <t>Salmonella</t>
        </is>
      </c>
      <c r="I2865" s="256" t="inlineStr">
        <is>
          <t>Ph. Eur. 2.6.31 cat. C</t>
        </is>
      </c>
      <c r="J2865" s="256" t="inlineStr">
        <is>
          <t>Absence | Отсуство / 25 g</t>
        </is>
      </c>
      <c r="K2865" s="256" t="inlineStr">
        <is>
          <t>carried from the initial testing — not tested</t>
        </is>
      </c>
      <c r="L2865" s="256" t="inlineStr">
        <is>
          <t>—</t>
        </is>
      </c>
      <c r="M2865" s="256" t="inlineStr">
        <is>
          <t>—</t>
        </is>
      </c>
      <c r="N2865" s="256" t="inlineStr">
        <is>
          <t>—</t>
        </is>
      </c>
      <c r="O2865" s="256" t="inlineStr">
        <is>
          <t>—</t>
        </is>
      </c>
      <c r="P2865" s="256" t="inlineStr">
        <is>
          <t>carried from the initial testing (the batch's initial CoQ (number assigned on issue)) — not tested — no certificate covers it</t>
        </is>
      </c>
      <c r="Q2865" s="256" t="inlineStr"/>
      <c r="R2865" s="256" t="inlineStr"/>
    </row>
    <row r="2866">
      <c r="A2866" s="256" t="inlineStr">
        <is>
          <t>CoQ-PP_26-125</t>
        </is>
      </c>
      <c r="B2866" s="256" t="inlineStr">
        <is>
          <t>reissue — retest</t>
        </is>
      </c>
      <c r="C2866" s="256" t="inlineStr">
        <is>
          <t>JD042601</t>
        </is>
      </c>
      <c r="D2866" s="256" t="inlineStr">
        <is>
          <t>P060492</t>
        </is>
      </c>
      <c r="E2866" s="256" t="inlineStr">
        <is>
          <t>Jelly Donuts</t>
        </is>
      </c>
      <c r="F2866" s="256" t="inlineStr">
        <is>
          <t>18.09.2026</t>
        </is>
      </c>
      <c r="G2866" s="256" t="inlineStr">
        <is>
          <t>9.5</t>
        </is>
      </c>
      <c r="H2866" s="256" t="inlineStr">
        <is>
          <t>Escherichia coli</t>
        </is>
      </c>
      <c r="I2866" s="256" t="inlineStr">
        <is>
          <t>Ph. Eur. 2.6.13 cat. C</t>
        </is>
      </c>
      <c r="J2866" s="256" t="inlineStr">
        <is>
          <t>Absence | Отсуство / 1 g</t>
        </is>
      </c>
      <c r="K2866" s="256" t="inlineStr">
        <is>
          <t>carried from the initial testing — not tested</t>
        </is>
      </c>
      <c r="L2866" s="256" t="inlineStr">
        <is>
          <t>—</t>
        </is>
      </c>
      <c r="M2866" s="256" t="inlineStr">
        <is>
          <t>—</t>
        </is>
      </c>
      <c r="N2866" s="256" t="inlineStr">
        <is>
          <t>—</t>
        </is>
      </c>
      <c r="O2866" s="256" t="inlineStr">
        <is>
          <t>—</t>
        </is>
      </c>
      <c r="P2866" s="256" t="inlineStr">
        <is>
          <t>carried from the initial testing (the batch's initial CoQ (number assigned on issue)) — not tested — no certificate covers it</t>
        </is>
      </c>
      <c r="Q2866" s="256" t="inlineStr"/>
      <c r="R2866" s="256" t="inlineStr"/>
    </row>
    <row r="2867">
      <c r="A2867" s="256" t="inlineStr">
        <is>
          <t>CoQ-PP_26-125</t>
        </is>
      </c>
      <c r="B2867" s="256" t="inlineStr">
        <is>
          <t>reissue — retest</t>
        </is>
      </c>
      <c r="C2867" s="256" t="inlineStr">
        <is>
          <t>JD042601</t>
        </is>
      </c>
      <c r="D2867" s="256" t="inlineStr">
        <is>
          <t>P060492</t>
        </is>
      </c>
      <c r="E2867" s="256" t="inlineStr">
        <is>
          <t>Jelly Donuts</t>
        </is>
      </c>
      <c r="F2867" s="256" t="inlineStr">
        <is>
          <t>18.09.2026</t>
        </is>
      </c>
      <c r="G2867" s="256" t="inlineStr">
        <is>
          <t>9.6</t>
        </is>
      </c>
      <c r="H2867" s="256" t="inlineStr">
        <is>
          <t>Pseudomonas aeruginosa</t>
        </is>
      </c>
      <c r="I2867" s="256" t="inlineStr">
        <is>
          <t>Ph. Eur. 2.6.13 cat. C</t>
        </is>
      </c>
      <c r="J2867" s="256" t="inlineStr">
        <is>
          <t>Absence | Отсуство / 1 g</t>
        </is>
      </c>
      <c r="K2867" s="260" t="inlineStr">
        <is>
          <t>upon request — not required for release</t>
        </is>
      </c>
      <c r="L2867" s="256" t="inlineStr">
        <is>
          <t>—</t>
        </is>
      </c>
      <c r="M2867" s="256" t="inlineStr">
        <is>
          <t>—</t>
        </is>
      </c>
      <c r="N2867" s="256" t="inlineStr">
        <is>
          <t>—</t>
        </is>
      </c>
      <c r="O2867" s="256" t="inlineStr">
        <is>
          <t>—</t>
        </is>
      </c>
      <c r="P2867" s="256" t="inlineStr">
        <is>
          <t>upon request — not required for release</t>
        </is>
      </c>
      <c r="Q2867" s="256" t="inlineStr"/>
      <c r="R2867" s="256" t="inlineStr"/>
    </row>
    <row r="2868">
      <c r="A2868" s="256" t="inlineStr">
        <is>
          <t>CoQ-PP_26-125</t>
        </is>
      </c>
      <c r="B2868" s="256" t="inlineStr">
        <is>
          <t>reissue — retest</t>
        </is>
      </c>
      <c r="C2868" s="256" t="inlineStr">
        <is>
          <t>JD042601</t>
        </is>
      </c>
      <c r="D2868" s="256" t="inlineStr">
        <is>
          <t>P060492</t>
        </is>
      </c>
      <c r="E2868" s="256" t="inlineStr">
        <is>
          <t>Jelly Donuts</t>
        </is>
      </c>
      <c r="F2868" s="256" t="inlineStr">
        <is>
          <t>18.09.2026</t>
        </is>
      </c>
      <c r="G2868" s="256" t="inlineStr">
        <is>
          <t>9.7</t>
        </is>
      </c>
      <c r="H2868" s="256" t="inlineStr">
        <is>
          <t>Staphylococcus aureus</t>
        </is>
      </c>
      <c r="I2868" s="256" t="inlineStr">
        <is>
          <t>Ph. Eur. 2.6.13 cat. C</t>
        </is>
      </c>
      <c r="J2868" s="256" t="inlineStr">
        <is>
          <t>Absence | Отсуство / 1 g</t>
        </is>
      </c>
      <c r="K2868" s="260" t="inlineStr">
        <is>
          <t>upon request — not required for release</t>
        </is>
      </c>
      <c r="L2868" s="256" t="inlineStr">
        <is>
          <t>—</t>
        </is>
      </c>
      <c r="M2868" s="256" t="inlineStr">
        <is>
          <t>—</t>
        </is>
      </c>
      <c r="N2868" s="256" t="inlineStr">
        <is>
          <t>—</t>
        </is>
      </c>
      <c r="O2868" s="256" t="inlineStr">
        <is>
          <t>—</t>
        </is>
      </c>
      <c r="P2868" s="256" t="inlineStr">
        <is>
          <t>upon request — not required for release</t>
        </is>
      </c>
      <c r="Q2868" s="256" t="inlineStr"/>
      <c r="R2868" s="256" t="inlineStr"/>
    </row>
    <row r="2869">
      <c r="A2869" s="256" t="inlineStr">
        <is>
          <t>CoQ-PP_26-125</t>
        </is>
      </c>
      <c r="B2869" s="256" t="inlineStr">
        <is>
          <t>reissue — retest</t>
        </is>
      </c>
      <c r="C2869" s="256" t="inlineStr">
        <is>
          <t>JD042601</t>
        </is>
      </c>
      <c r="D2869" s="256" t="inlineStr">
        <is>
          <t>P060492</t>
        </is>
      </c>
      <c r="E2869" s="256" t="inlineStr">
        <is>
          <t>Jelly Donuts</t>
        </is>
      </c>
      <c r="F2869" s="256" t="inlineStr">
        <is>
          <t>18.09.2026</t>
        </is>
      </c>
      <c r="G2869" s="256" t="inlineStr">
        <is>
          <t>10.1</t>
        </is>
      </c>
      <c r="H2869" s="256" t="inlineStr">
        <is>
          <t>Aflatoxin B₁</t>
        </is>
      </c>
      <c r="I2869" s="256" t="inlineStr">
        <is>
          <t>Ph. Eur. 2.8.18 (HPLC-FLD)</t>
        </is>
      </c>
      <c r="J2869" s="256" t="inlineStr">
        <is>
          <t>≤ 2 µg/kg</t>
        </is>
      </c>
      <c r="K2869" s="256" t="inlineStr">
        <is>
          <t>ND</t>
        </is>
      </c>
      <c r="L2869" s="256" t="inlineStr">
        <is>
          <t>220-30-М/26</t>
        </is>
      </c>
      <c r="M2869" s="256" t="inlineStr">
        <is>
          <t>11.09.2026</t>
        </is>
      </c>
      <c r="N2869" s="256" t="inlineStr">
        <is>
          <t>Farmahem</t>
        </is>
      </c>
      <c r="O2869" s="256" t="inlineStr">
        <is>
          <t>17.08.2026</t>
        </is>
      </c>
      <c r="P2869" s="256" t="inlineStr">
        <is>
          <t>covered</t>
        </is>
      </c>
      <c r="Q2869" s="256" t="inlineStr"/>
      <c r="R2869" s="256" t="inlineStr"/>
    </row>
    <row r="2870">
      <c r="A2870" s="256" t="inlineStr">
        <is>
          <t>CoQ-PP_26-125</t>
        </is>
      </c>
      <c r="B2870" s="256" t="inlineStr">
        <is>
          <t>reissue — retest</t>
        </is>
      </c>
      <c r="C2870" s="256" t="inlineStr">
        <is>
          <t>JD042601</t>
        </is>
      </c>
      <c r="D2870" s="256" t="inlineStr">
        <is>
          <t>P060492</t>
        </is>
      </c>
      <c r="E2870" s="256" t="inlineStr">
        <is>
          <t>Jelly Donuts</t>
        </is>
      </c>
      <c r="F2870" s="256" t="inlineStr">
        <is>
          <t>18.09.2026</t>
        </is>
      </c>
      <c r="G2870" s="256" t="inlineStr">
        <is>
          <t>10.2</t>
        </is>
      </c>
      <c r="H2870" s="256" t="inlineStr">
        <is>
          <t>Aflatoxins ∑</t>
        </is>
      </c>
      <c r="I2870" s="256" t="inlineStr">
        <is>
          <t>Ph. Eur. 2.8.18 (HPLC-FLD)</t>
        </is>
      </c>
      <c r="J2870" s="256" t="inlineStr">
        <is>
          <t>≤ 4 µg/kg</t>
        </is>
      </c>
      <c r="K2870" s="256" t="inlineStr">
        <is>
          <t>ND</t>
        </is>
      </c>
      <c r="L2870" s="256" t="inlineStr">
        <is>
          <t>220-30-М/26</t>
        </is>
      </c>
      <c r="M2870" s="256" t="inlineStr">
        <is>
          <t>11.09.2026</t>
        </is>
      </c>
      <c r="N2870" s="256" t="inlineStr">
        <is>
          <t>Farmahem</t>
        </is>
      </c>
      <c r="O2870" s="256" t="inlineStr">
        <is>
          <t>17.08.2026</t>
        </is>
      </c>
      <c r="P2870" s="256" t="inlineStr">
        <is>
          <t>covered</t>
        </is>
      </c>
      <c r="Q2870" s="256" t="inlineStr"/>
      <c r="R2870" s="256" t="inlineStr"/>
    </row>
    <row r="2871">
      <c r="A2871" s="256" t="inlineStr">
        <is>
          <t>CoQ-PP_26-125</t>
        </is>
      </c>
      <c r="B2871" s="256" t="inlineStr">
        <is>
          <t>reissue — retest</t>
        </is>
      </c>
      <c r="C2871" s="256" t="inlineStr">
        <is>
          <t>JD042601</t>
        </is>
      </c>
      <c r="D2871" s="256" t="inlineStr">
        <is>
          <t>P060492</t>
        </is>
      </c>
      <c r="E2871" s="256" t="inlineStr">
        <is>
          <t>Jelly Donuts</t>
        </is>
      </c>
      <c r="F2871" s="256" t="inlineStr">
        <is>
          <t>18.09.2026</t>
        </is>
      </c>
      <c r="G2871" s="256" t="inlineStr">
        <is>
          <t>10.3</t>
        </is>
      </c>
      <c r="H2871" s="256" t="inlineStr">
        <is>
          <t>Ochratoxin A</t>
        </is>
      </c>
      <c r="I2871" s="256" t="inlineStr">
        <is>
          <t>Ph. Eur. 2.8.22 (HPLC-FLD)</t>
        </is>
      </c>
      <c r="J2871" s="256" t="inlineStr">
        <is>
          <t>≤ 20 µg/kg</t>
        </is>
      </c>
      <c r="K2871" s="256" t="inlineStr">
        <is>
          <t>ND</t>
        </is>
      </c>
      <c r="L2871" s="256" t="inlineStr">
        <is>
          <t>220-30-М/26</t>
        </is>
      </c>
      <c r="M2871" s="256" t="inlineStr">
        <is>
          <t>11.09.2026</t>
        </is>
      </c>
      <c r="N2871" s="256" t="inlineStr">
        <is>
          <t>Farmahem</t>
        </is>
      </c>
      <c r="O2871" s="256" t="inlineStr">
        <is>
          <t>17.08.2026</t>
        </is>
      </c>
      <c r="P2871" s="256" t="inlineStr">
        <is>
          <t>covered</t>
        </is>
      </c>
      <c r="Q2871" s="256" t="inlineStr"/>
      <c r="R2871" s="256" t="inlineStr"/>
    </row>
    <row r="2872">
      <c r="A2872" s="256" t="inlineStr">
        <is>
          <t>CoQ-PP_26-125</t>
        </is>
      </c>
      <c r="B2872" s="256" t="inlineStr">
        <is>
          <t>reissue — retest</t>
        </is>
      </c>
      <c r="C2872" s="256" t="inlineStr">
        <is>
          <t>JD042601</t>
        </is>
      </c>
      <c r="D2872" s="256" t="inlineStr">
        <is>
          <t>P060492</t>
        </is>
      </c>
      <c r="E2872" s="256" t="inlineStr">
        <is>
          <t>Jelly Donuts</t>
        </is>
      </c>
      <c r="F2872" s="256" t="inlineStr">
        <is>
          <t>18.09.2026</t>
        </is>
      </c>
      <c r="G2872" s="256" t="inlineStr">
        <is>
          <t>11.1</t>
        </is>
      </c>
      <c r="H2872" s="256" t="inlineStr">
        <is>
          <t>Lead (Pb)</t>
        </is>
      </c>
      <c r="I2872" s="256" t="inlineStr">
        <is>
          <t>Ph. Eur. 2.4.27 (ICP-MS)</t>
        </is>
      </c>
      <c r="J2872" s="256" t="inlineStr">
        <is>
          <t>≤ 0.5 mg/kg</t>
        </is>
      </c>
      <c r="K2872" s="256" t="inlineStr">
        <is>
          <t>carried from the initial testing — not tested</t>
        </is>
      </c>
      <c r="L2872" s="256" t="inlineStr">
        <is>
          <t>—</t>
        </is>
      </c>
      <c r="M2872" s="256" t="inlineStr">
        <is>
          <t>—</t>
        </is>
      </c>
      <c r="N2872" s="256" t="inlineStr">
        <is>
          <t>—</t>
        </is>
      </c>
      <c r="O2872" s="256" t="inlineStr">
        <is>
          <t>—</t>
        </is>
      </c>
      <c r="P2872" s="256" t="inlineStr">
        <is>
          <t>carried from the initial testing (the batch's initial CoQ (number assigned on issue)) — not tested — no certificate covers it</t>
        </is>
      </c>
      <c r="Q2872" s="256" t="inlineStr"/>
      <c r="R2872" s="256" t="inlineStr"/>
    </row>
    <row r="2873">
      <c r="A2873" s="256" t="inlineStr">
        <is>
          <t>CoQ-PP_26-125</t>
        </is>
      </c>
      <c r="B2873" s="256" t="inlineStr">
        <is>
          <t>reissue — retest</t>
        </is>
      </c>
      <c r="C2873" s="256" t="inlineStr">
        <is>
          <t>JD042601</t>
        </is>
      </c>
      <c r="D2873" s="256" t="inlineStr">
        <is>
          <t>P060492</t>
        </is>
      </c>
      <c r="E2873" s="256" t="inlineStr">
        <is>
          <t>Jelly Donuts</t>
        </is>
      </c>
      <c r="F2873" s="256" t="inlineStr">
        <is>
          <t>18.09.2026</t>
        </is>
      </c>
      <c r="G2873" s="256" t="inlineStr">
        <is>
          <t>11.2</t>
        </is>
      </c>
      <c r="H2873" s="256" t="inlineStr">
        <is>
          <t>Cadmium (Cd)</t>
        </is>
      </c>
      <c r="I2873" s="256" t="inlineStr">
        <is>
          <t>Ph. Eur. 2.4.27 (ICP-MS)</t>
        </is>
      </c>
      <c r="J2873" s="256" t="inlineStr">
        <is>
          <t>≤ 0.3 mg/kg</t>
        </is>
      </c>
      <c r="K2873" s="256" t="inlineStr">
        <is>
          <t>carried from the initial testing — not tested</t>
        </is>
      </c>
      <c r="L2873" s="256" t="inlineStr">
        <is>
          <t>—</t>
        </is>
      </c>
      <c r="M2873" s="256" t="inlineStr">
        <is>
          <t>—</t>
        </is>
      </c>
      <c r="N2873" s="256" t="inlineStr">
        <is>
          <t>—</t>
        </is>
      </c>
      <c r="O2873" s="256" t="inlineStr">
        <is>
          <t>—</t>
        </is>
      </c>
      <c r="P2873" s="256" t="inlineStr">
        <is>
          <t>carried from the initial testing (the batch's initial CoQ (number assigned on issue)) — not tested — no certificate covers it</t>
        </is>
      </c>
      <c r="Q2873" s="256" t="inlineStr"/>
      <c r="R2873" s="256" t="inlineStr"/>
    </row>
    <row r="2874">
      <c r="A2874" s="256" t="inlineStr">
        <is>
          <t>CoQ-PP_26-125</t>
        </is>
      </c>
      <c r="B2874" s="256" t="inlineStr">
        <is>
          <t>reissue — retest</t>
        </is>
      </c>
      <c r="C2874" s="256" t="inlineStr">
        <is>
          <t>JD042601</t>
        </is>
      </c>
      <c r="D2874" s="256" t="inlineStr">
        <is>
          <t>P060492</t>
        </is>
      </c>
      <c r="E2874" s="256" t="inlineStr">
        <is>
          <t>Jelly Donuts</t>
        </is>
      </c>
      <c r="F2874" s="256" t="inlineStr">
        <is>
          <t>18.09.2026</t>
        </is>
      </c>
      <c r="G2874" s="256" t="inlineStr">
        <is>
          <t>11.3</t>
        </is>
      </c>
      <c r="H2874" s="256" t="inlineStr">
        <is>
          <t>Arsenic (As)</t>
        </is>
      </c>
      <c r="I2874" s="256" t="inlineStr">
        <is>
          <t>Ph. Eur. 2.4.27 (ICP-MS)</t>
        </is>
      </c>
      <c r="J2874" s="256" t="inlineStr">
        <is>
          <t>≤ 0.2 mg/kg</t>
        </is>
      </c>
      <c r="K2874" s="256" t="inlineStr">
        <is>
          <t>carried from the initial testing — not tested</t>
        </is>
      </c>
      <c r="L2874" s="256" t="inlineStr">
        <is>
          <t>—</t>
        </is>
      </c>
      <c r="M2874" s="256" t="inlineStr">
        <is>
          <t>—</t>
        </is>
      </c>
      <c r="N2874" s="256" t="inlineStr">
        <is>
          <t>—</t>
        </is>
      </c>
      <c r="O2874" s="256" t="inlineStr">
        <is>
          <t>—</t>
        </is>
      </c>
      <c r="P2874" s="256" t="inlineStr">
        <is>
          <t>carried from the initial testing (the batch's initial CoQ (number assigned on issue)) — not tested — no certificate covers it</t>
        </is>
      </c>
      <c r="Q2874" s="256" t="inlineStr"/>
      <c r="R2874" s="256" t="inlineStr"/>
    </row>
    <row r="2875">
      <c r="A2875" s="256" t="inlineStr">
        <is>
          <t>CoQ-PP_26-125</t>
        </is>
      </c>
      <c r="B2875" s="256" t="inlineStr">
        <is>
          <t>reissue — retest</t>
        </is>
      </c>
      <c r="C2875" s="256" t="inlineStr">
        <is>
          <t>JD042601</t>
        </is>
      </c>
      <c r="D2875" s="256" t="inlineStr">
        <is>
          <t>P060492</t>
        </is>
      </c>
      <c r="E2875" s="256" t="inlineStr">
        <is>
          <t>Jelly Donuts</t>
        </is>
      </c>
      <c r="F2875" s="256" t="inlineStr">
        <is>
          <t>18.09.2026</t>
        </is>
      </c>
      <c r="G2875" s="256" t="inlineStr">
        <is>
          <t>11.4</t>
        </is>
      </c>
      <c r="H2875" s="256" t="inlineStr">
        <is>
          <t>Mercury (Hg)</t>
        </is>
      </c>
      <c r="I2875" s="256" t="inlineStr">
        <is>
          <t>Ph. Eur. 2.4.27 (ICP-MS)</t>
        </is>
      </c>
      <c r="J2875" s="256" t="inlineStr">
        <is>
          <t>≤ 0.1 mg/kg</t>
        </is>
      </c>
      <c r="K2875" s="256" t="inlineStr">
        <is>
          <t>carried from the initial testing — not tested</t>
        </is>
      </c>
      <c r="L2875" s="256" t="inlineStr">
        <is>
          <t>—</t>
        </is>
      </c>
      <c r="M2875" s="256" t="inlineStr">
        <is>
          <t>—</t>
        </is>
      </c>
      <c r="N2875" s="256" t="inlineStr">
        <is>
          <t>—</t>
        </is>
      </c>
      <c r="O2875" s="256" t="inlineStr">
        <is>
          <t>—</t>
        </is>
      </c>
      <c r="P2875" s="256" t="inlineStr">
        <is>
          <t>carried from the initial testing (the batch's initial CoQ (number assigned on issue)) — not tested — no certificate covers it</t>
        </is>
      </c>
      <c r="Q2875" s="256" t="inlineStr"/>
      <c r="R2875" s="256" t="inlineStr"/>
    </row>
    <row r="2876">
      <c r="A2876" s="256" t="inlineStr">
        <is>
          <t>CoQ-PP_26-125</t>
        </is>
      </c>
      <c r="B2876" s="256" t="inlineStr">
        <is>
          <t>reissue — retest</t>
        </is>
      </c>
      <c r="C2876" s="256" t="inlineStr">
        <is>
          <t>JD042601</t>
        </is>
      </c>
      <c r="D2876" s="256" t="inlineStr">
        <is>
          <t>P060492</t>
        </is>
      </c>
      <c r="E2876" s="256" t="inlineStr">
        <is>
          <t>Jelly Donuts</t>
        </is>
      </c>
      <c r="F2876" s="256" t="inlineStr">
        <is>
          <t>18.09.2026</t>
        </is>
      </c>
      <c r="G2876" s="256" t="inlineStr">
        <is>
          <t>12</t>
        </is>
      </c>
      <c r="H2876" s="256" t="inlineStr">
        <is>
          <t>Pesticide Residues</t>
        </is>
      </c>
      <c r="I2876" s="256" t="inlineStr">
        <is>
          <t>Ph. Eur. 2.8.13 (LC-MS/MS) · CUMCS Equivalency</t>
        </is>
      </c>
      <c r="J2876" s="256" t="inlineStr">
        <is>
          <t>≤ LOQ as per Ph. Eur. 2.8.13 · ≤ LOQ as per CUMCS Equivalency</t>
        </is>
      </c>
      <c r="K2876" s="256" t="inlineStr">
        <is>
          <t>carried from the initial testing — not tested</t>
        </is>
      </c>
      <c r="L2876" s="256" t="inlineStr">
        <is>
          <t>—</t>
        </is>
      </c>
      <c r="M2876" s="256" t="inlineStr">
        <is>
          <t>—</t>
        </is>
      </c>
      <c r="N2876" s="256" t="inlineStr">
        <is>
          <t>—</t>
        </is>
      </c>
      <c r="O2876" s="256" t="inlineStr">
        <is>
          <t>—</t>
        </is>
      </c>
      <c r="P2876" s="256" t="inlineStr">
        <is>
          <t>carried from the initial testing (the batch's initial CoQ (number assigned on issue)) — not tested — no certificate covers it</t>
        </is>
      </c>
      <c r="Q2876" s="256" t="inlineStr"/>
      <c r="R2876" s="256" t="inlineStr"/>
    </row>
    <row r="2877">
      <c r="A2877" s="256" t="inlineStr">
        <is>
          <t>CoQ-PP_26-126</t>
        </is>
      </c>
      <c r="B2877" s="256" t="inlineStr">
        <is>
          <t>reissue — retest</t>
        </is>
      </c>
      <c r="C2877" s="256" t="inlineStr">
        <is>
          <t>KC102501</t>
        </is>
      </c>
      <c r="D2877" s="256" t="inlineStr">
        <is>
          <t>P060172</t>
        </is>
      </c>
      <c r="E2877" s="256" t="inlineStr">
        <is>
          <t>Kush Crasher</t>
        </is>
      </c>
      <c r="F2877" s="256" t="inlineStr">
        <is>
          <t>18.09.2026</t>
        </is>
      </c>
      <c r="G2877" s="256" t="inlineStr">
        <is>
          <t>1</t>
        </is>
      </c>
      <c r="H2877" s="256" t="inlineStr">
        <is>
          <t>Identification A, Appearance · Macroscopic</t>
        </is>
      </c>
      <c r="I2877" s="256" t="inlineStr">
        <is>
          <t>Ph. Eur. mon. 3028</t>
        </is>
      </c>
      <c r="J2877" s="256" t="inlineStr">
        <is>
          <t>Conforms to the monograph for Cannabis flos (07/2024:3028) in Ph. Eur. 11.0 | Согласно монографија за Cannabis flos (07/2024:3028) во Ph. Eur. 11.0</t>
        </is>
      </c>
      <c r="K2877" s="256" t="inlineStr">
        <is>
          <t>Conforms | Одговара</t>
        </is>
      </c>
      <c r="L2877" s="256" t="inlineStr">
        <is>
          <t>iCoA-PP_26-141</t>
        </is>
      </c>
      <c r="M2877" s="256" t="inlineStr">
        <is>
          <t>17.08.2026</t>
        </is>
      </c>
      <c r="N2877" s="256" t="inlineStr">
        <is>
          <t>Purely Plant GmbH (in-house)</t>
        </is>
      </c>
      <c r="O2877" s="256" t="inlineStr">
        <is>
          <t>—</t>
        </is>
      </c>
      <c r="P2877" s="256" t="inlineStr">
        <is>
          <t>covered</t>
        </is>
      </c>
      <c r="Q2877" s="256" t="inlineStr">
        <is>
          <t>Farmahem — Ident A + B + C with the Assay, at retest</t>
        </is>
      </c>
      <c r="R2877" s="256" t="inlineStr"/>
    </row>
    <row r="2878">
      <c r="A2878" s="256" t="inlineStr">
        <is>
          <t>CoQ-PP_26-126</t>
        </is>
      </c>
      <c r="B2878" s="256" t="inlineStr">
        <is>
          <t>reissue — retest</t>
        </is>
      </c>
      <c r="C2878" s="256" t="inlineStr">
        <is>
          <t>KC102501</t>
        </is>
      </c>
      <c r="D2878" s="256" t="inlineStr">
        <is>
          <t>P060172</t>
        </is>
      </c>
      <c r="E2878" s="256" t="inlineStr">
        <is>
          <t>Kush Crasher</t>
        </is>
      </c>
      <c r="F2878" s="256" t="inlineStr">
        <is>
          <t>18.09.2026</t>
        </is>
      </c>
      <c r="G2878" s="256" t="inlineStr">
        <is>
          <t>2</t>
        </is>
      </c>
      <c r="H2878" s="256" t="inlineStr">
        <is>
          <t>Identification B · Microscopic</t>
        </is>
      </c>
      <c r="I2878" s="256" t="inlineStr">
        <is>
          <t>Ph. Eur. 2.8.23 (microscopy)</t>
        </is>
      </c>
      <c r="J2878" s="256" t="inlineStr">
        <is>
          <t>Conforms to the monograph for Cannabis flos (07/2024:3028) in Ph. Eur. 11.0 | Согласно монографија за Cannabis flos (07/2024:3028) во Ph. Eur. 11.0</t>
        </is>
      </c>
      <c r="K2878" s="256" t="inlineStr">
        <is>
          <t>Conforms | Одговара</t>
        </is>
      </c>
      <c r="L2878" s="256" t="inlineStr">
        <is>
          <t>iCoA-PP_26-141</t>
        </is>
      </c>
      <c r="M2878" s="256" t="inlineStr">
        <is>
          <t>17.08.2026</t>
        </is>
      </c>
      <c r="N2878" s="256" t="inlineStr">
        <is>
          <t>Purely Plant GmbH (in-house)</t>
        </is>
      </c>
      <c r="O2878" s="256" t="inlineStr">
        <is>
          <t>—</t>
        </is>
      </c>
      <c r="P2878" s="256" t="inlineStr">
        <is>
          <t>covered</t>
        </is>
      </c>
      <c r="Q2878" s="256" t="inlineStr">
        <is>
          <t>Farmahem — Ident A + B + C with the Assay, at retest</t>
        </is>
      </c>
      <c r="R2878" s="256" t="inlineStr"/>
    </row>
    <row r="2879">
      <c r="A2879" s="256" t="inlineStr">
        <is>
          <t>CoQ-PP_26-126</t>
        </is>
      </c>
      <c r="B2879" s="256" t="inlineStr">
        <is>
          <t>reissue — retest</t>
        </is>
      </c>
      <c r="C2879" s="256" t="inlineStr">
        <is>
          <t>KC102501</t>
        </is>
      </c>
      <c r="D2879" s="256" t="inlineStr">
        <is>
          <t>P060172</t>
        </is>
      </c>
      <c r="E2879" s="256" t="inlineStr">
        <is>
          <t>Kush Crasher</t>
        </is>
      </c>
      <c r="F2879" s="256" t="inlineStr">
        <is>
          <t>18.09.2026</t>
        </is>
      </c>
      <c r="G2879" s="256" t="inlineStr">
        <is>
          <t>3</t>
        </is>
      </c>
      <c r="H2879" s="256" t="inlineStr">
        <is>
          <t>Identification C · HPLC/HPTLC</t>
        </is>
      </c>
      <c r="I2879" s="256" t="inlineStr">
        <is>
          <t>Ph. Eur. 2.2.29 (3028)</t>
        </is>
      </c>
      <c r="J2879" s="256" t="inlineStr">
        <is>
          <t>Conforms to the monograph for Cannabis flos (07/2024:3028) in Ph. Eur. 11.0 | Согласно монографија за Cannabis flos (07/2024:3028) во Ph. Eur. 11.0</t>
        </is>
      </c>
      <c r="K2879" s="256" t="inlineStr">
        <is>
          <t>Conforms | Одговара</t>
        </is>
      </c>
      <c r="L2879" s="256" t="inlineStr">
        <is>
          <t>220-19-К/26</t>
        </is>
      </c>
      <c r="M2879" s="256" t="inlineStr">
        <is>
          <t>26.08.2026</t>
        </is>
      </c>
      <c r="N2879" s="256" t="inlineStr">
        <is>
          <t>Farmahem</t>
        </is>
      </c>
      <c r="O2879" s="256" t="inlineStr">
        <is>
          <t>17.08.2026</t>
        </is>
      </c>
      <c r="P2879" s="256" t="inlineStr">
        <is>
          <t>covered</t>
        </is>
      </c>
      <c r="Q2879" s="256" t="inlineStr"/>
      <c r="R2879" s="256" t="inlineStr"/>
    </row>
    <row r="2880">
      <c r="A2880" s="256" t="inlineStr">
        <is>
          <t>CoQ-PP_26-126</t>
        </is>
      </c>
      <c r="B2880" s="256" t="inlineStr">
        <is>
          <t>reissue — retest</t>
        </is>
      </c>
      <c r="C2880" s="256" t="inlineStr">
        <is>
          <t>KC102501</t>
        </is>
      </c>
      <c r="D2880" s="256" t="inlineStr">
        <is>
          <t>P060172</t>
        </is>
      </c>
      <c r="E2880" s="256" t="inlineStr">
        <is>
          <t>Kush Crasher</t>
        </is>
      </c>
      <c r="F2880" s="256" t="inlineStr">
        <is>
          <t>18.09.2026</t>
        </is>
      </c>
      <c r="G2880" s="256" t="inlineStr">
        <is>
          <t>4</t>
        </is>
      </c>
      <c r="H2880" s="256" t="inlineStr">
        <is>
          <t>Assay — Total Δ⁹-THC</t>
        </is>
      </c>
      <c r="I2880" s="256" t="inlineStr">
        <is>
          <t>Ph. Eur. 2.2.29 (HPLC)</t>
        </is>
      </c>
      <c r="J2880" s="256" t="inlineStr">
        <is>
          <t>16.20 – 19.79 %  (grade I, nominal 18.00 ± 1.80)</t>
        </is>
      </c>
      <c r="K2880" s="256" t="inlineStr">
        <is>
          <t>17.06</t>
        </is>
      </c>
      <c r="L2880" s="256" t="inlineStr">
        <is>
          <t>220-19-К/26</t>
        </is>
      </c>
      <c r="M2880" s="256" t="inlineStr">
        <is>
          <t>26.08.2026</t>
        </is>
      </c>
      <c r="N2880" s="256" t="inlineStr">
        <is>
          <t>Farmahem</t>
        </is>
      </c>
      <c r="O2880" s="256" t="inlineStr">
        <is>
          <t>17.08.2026</t>
        </is>
      </c>
      <c r="P2880" s="256" t="inlineStr">
        <is>
          <t>covered</t>
        </is>
      </c>
      <c r="Q2880" s="256" t="inlineStr"/>
      <c r="R2880" s="256" t="inlineStr"/>
    </row>
    <row r="2881">
      <c r="A2881" s="256" t="inlineStr">
        <is>
          <t>CoQ-PP_26-126</t>
        </is>
      </c>
      <c r="B2881" s="256" t="inlineStr">
        <is>
          <t>reissue — retest</t>
        </is>
      </c>
      <c r="C2881" s="256" t="inlineStr">
        <is>
          <t>KC102501</t>
        </is>
      </c>
      <c r="D2881" s="256" t="inlineStr">
        <is>
          <t>P060172</t>
        </is>
      </c>
      <c r="E2881" s="256" t="inlineStr">
        <is>
          <t>Kush Crasher</t>
        </is>
      </c>
      <c r="F2881" s="256" t="inlineStr">
        <is>
          <t>18.09.2026</t>
        </is>
      </c>
      <c r="G2881" s="256" t="inlineStr">
        <is>
          <t>5</t>
        </is>
      </c>
      <c r="H2881" s="256" t="inlineStr">
        <is>
          <t>Assay — Total CBD</t>
        </is>
      </c>
      <c r="I2881" s="256" t="inlineStr">
        <is>
          <t>Ph. Eur. 2.2.29 (HPLC) · CBD + CBDA x 0.877</t>
        </is>
      </c>
      <c r="J2881" s="256" t="inlineStr">
        <is>
          <t>≤ 1.0%, w/w</t>
        </is>
      </c>
      <c r="K2881" s="256" t="inlineStr">
        <is>
          <t>&lt; LOQ</t>
        </is>
      </c>
      <c r="L2881" s="256" t="inlineStr">
        <is>
          <t>220-19-К/26</t>
        </is>
      </c>
      <c r="M2881" s="256" t="inlineStr">
        <is>
          <t>26.08.2026</t>
        </is>
      </c>
      <c r="N2881" s="256" t="inlineStr">
        <is>
          <t>Farmahem</t>
        </is>
      </c>
      <c r="O2881" s="256" t="inlineStr">
        <is>
          <t>17.08.2026</t>
        </is>
      </c>
      <c r="P2881" s="256" t="inlineStr">
        <is>
          <t>covered</t>
        </is>
      </c>
      <c r="Q2881" s="256" t="inlineStr"/>
      <c r="R2881" s="256" t="inlineStr"/>
    </row>
    <row r="2882">
      <c r="A2882" s="256" t="inlineStr">
        <is>
          <t>CoQ-PP_26-126</t>
        </is>
      </c>
      <c r="B2882" s="256" t="inlineStr">
        <is>
          <t>reissue — retest</t>
        </is>
      </c>
      <c r="C2882" s="256" t="inlineStr">
        <is>
          <t>KC102501</t>
        </is>
      </c>
      <c r="D2882" s="256" t="inlineStr">
        <is>
          <t>P060172</t>
        </is>
      </c>
      <c r="E2882" s="256" t="inlineStr">
        <is>
          <t>Kush Crasher</t>
        </is>
      </c>
      <c r="F2882" s="256" t="inlineStr">
        <is>
          <t>18.09.2026</t>
        </is>
      </c>
      <c r="G2882" s="256" t="inlineStr">
        <is>
          <t>6</t>
        </is>
      </c>
      <c r="H2882" s="256" t="inlineStr">
        <is>
          <t>Total CBN</t>
        </is>
      </c>
      <c r="I2882" s="256" t="inlineStr">
        <is>
          <t>Ph. Eur. 2.2.29 (HPLC) · CBN + CBNA x 0.876</t>
        </is>
      </c>
      <c r="J2882" s="256" t="inlineStr">
        <is>
          <t>≤ 1.0%, w/w</t>
        </is>
      </c>
      <c r="K2882" s="256" t="inlineStr">
        <is>
          <t>&lt; LOQ</t>
        </is>
      </c>
      <c r="L2882" s="256" t="inlineStr">
        <is>
          <t>220-19-К/26</t>
        </is>
      </c>
      <c r="M2882" s="256" t="inlineStr">
        <is>
          <t>26.08.2026</t>
        </is>
      </c>
      <c r="N2882" s="256" t="inlineStr">
        <is>
          <t>Farmahem</t>
        </is>
      </c>
      <c r="O2882" s="256" t="inlineStr">
        <is>
          <t>17.08.2026</t>
        </is>
      </c>
      <c r="P2882" s="256" t="inlineStr">
        <is>
          <t>covered</t>
        </is>
      </c>
      <c r="Q2882" s="256" t="inlineStr"/>
      <c r="R2882" s="256" t="inlineStr"/>
    </row>
    <row r="2883">
      <c r="A2883" s="256" t="inlineStr">
        <is>
          <t>CoQ-PP_26-126</t>
        </is>
      </c>
      <c r="B2883" s="256" t="inlineStr">
        <is>
          <t>reissue — retest</t>
        </is>
      </c>
      <c r="C2883" s="256" t="inlineStr">
        <is>
          <t>KC102501</t>
        </is>
      </c>
      <c r="D2883" s="256" t="inlineStr">
        <is>
          <t>P060172</t>
        </is>
      </c>
      <c r="E2883" s="256" t="inlineStr">
        <is>
          <t>Kush Crasher</t>
        </is>
      </c>
      <c r="F2883" s="256" t="inlineStr">
        <is>
          <t>18.09.2026</t>
        </is>
      </c>
      <c r="G2883" s="256" t="inlineStr">
        <is>
          <t>7</t>
        </is>
      </c>
      <c r="H2883" s="256" t="inlineStr">
        <is>
          <t>Foreign Matter</t>
        </is>
      </c>
      <c r="I2883" s="256" t="inlineStr">
        <is>
          <t>Ph. Eur. 2.8.2 · In-house · интерна</t>
        </is>
      </c>
      <c r="J2883" s="256" t="inlineStr">
        <is>
          <t>≤ 2.0% / 25–50 g · &lt; 1 cm leaves | листови, no seeds | без семки</t>
        </is>
      </c>
      <c r="K2883" s="256" t="inlineStr">
        <is>
          <t>Conforms | Одговара</t>
        </is>
      </c>
      <c r="L2883" s="256" t="inlineStr">
        <is>
          <t>iCoA-PP_26-141</t>
        </is>
      </c>
      <c r="M2883" s="256" t="inlineStr">
        <is>
          <t>17.08.2026</t>
        </is>
      </c>
      <c r="N2883" s="256" t="inlineStr">
        <is>
          <t>Purely Plant GmbH (in-house)</t>
        </is>
      </c>
      <c r="O2883" s="256" t="inlineStr">
        <is>
          <t>—</t>
        </is>
      </c>
      <c r="P2883" s="256" t="inlineStr">
        <is>
          <t>covered</t>
        </is>
      </c>
      <c r="Q2883" s="256" t="inlineStr">
        <is>
          <t>Purely Plant laboratory — iCoA covering Foreign matter</t>
        </is>
      </c>
      <c r="R2883" s="256" t="inlineStr"/>
    </row>
    <row r="2884">
      <c r="A2884" s="256" t="inlineStr">
        <is>
          <t>CoQ-PP_26-126</t>
        </is>
      </c>
      <c r="B2884" s="256" t="inlineStr">
        <is>
          <t>reissue — retest</t>
        </is>
      </c>
      <c r="C2884" s="256" t="inlineStr">
        <is>
          <t>KC102501</t>
        </is>
      </c>
      <c r="D2884" s="256" t="inlineStr">
        <is>
          <t>P060172</t>
        </is>
      </c>
      <c r="E2884" s="256" t="inlineStr">
        <is>
          <t>Kush Crasher</t>
        </is>
      </c>
      <c r="F2884" s="256" t="inlineStr">
        <is>
          <t>18.09.2026</t>
        </is>
      </c>
      <c r="G2884" s="256" t="inlineStr">
        <is>
          <t>8</t>
        </is>
      </c>
      <c r="H2884" s="256" t="inlineStr">
        <is>
          <t>Loss on Drying</t>
        </is>
      </c>
      <c r="I2884" s="256" t="inlineStr">
        <is>
          <t>Ph. Eur. 2.2.32 (3028) · at 40 °C, 24 h, 15–25 mbar</t>
        </is>
      </c>
      <c r="J2884" s="256" t="inlineStr">
        <is>
          <t>≤ 12.0%</t>
        </is>
      </c>
      <c r="K2884" s="256" t="inlineStr">
        <is>
          <t>8.6</t>
        </is>
      </c>
      <c r="L2884" s="256" t="inlineStr">
        <is>
          <t>051-4-ГС/26</t>
        </is>
      </c>
      <c r="M2884" s="256" t="inlineStr">
        <is>
          <t>02.03.2026</t>
        </is>
      </c>
      <c r="N2884" s="256" t="inlineStr">
        <is>
          <t>Farmahem</t>
        </is>
      </c>
      <c r="O2884" s="256" t="inlineStr">
        <is>
          <t>—</t>
        </is>
      </c>
      <c r="P2884" s="256" t="inlineStr">
        <is>
          <t>carried from the initial testing (CoQ-PP-2026-0013) — covered</t>
        </is>
      </c>
      <c r="Q2884" s="256" t="inlineStr"/>
      <c r="R2884" s="256" t="inlineStr"/>
    </row>
    <row r="2885">
      <c r="A2885" s="256" t="inlineStr">
        <is>
          <t>CoQ-PP_26-126</t>
        </is>
      </c>
      <c r="B2885" s="256" t="inlineStr">
        <is>
          <t>reissue — retest</t>
        </is>
      </c>
      <c r="C2885" s="256" t="inlineStr">
        <is>
          <t>KC102501</t>
        </is>
      </c>
      <c r="D2885" s="256" t="inlineStr">
        <is>
          <t>P060172</t>
        </is>
      </c>
      <c r="E2885" s="256" t="inlineStr">
        <is>
          <t>Kush Crasher</t>
        </is>
      </c>
      <c r="F2885" s="256" t="inlineStr">
        <is>
          <t>18.09.2026</t>
        </is>
      </c>
      <c r="G2885" s="256" t="inlineStr">
        <is>
          <t>9.1</t>
        </is>
      </c>
      <c r="H2885" s="256" t="inlineStr">
        <is>
          <t>TAMC</t>
        </is>
      </c>
      <c r="I2885" s="256" t="inlineStr">
        <is>
          <t>Ph. Eur. 2.6.12 cat. C</t>
        </is>
      </c>
      <c r="J2885" s="256" t="inlineStr">
        <is>
          <t>≤ 10⁵ CFU/g</t>
        </is>
      </c>
      <c r="K2885" s="256" t="inlineStr">
        <is>
          <t>3.8 × 10³</t>
        </is>
      </c>
      <c r="L2885" s="256" t="inlineStr">
        <is>
          <t>129/0226/26</t>
        </is>
      </c>
      <c r="M2885" s="256" t="inlineStr">
        <is>
          <t>06.03.2026</t>
        </is>
      </c>
      <c r="N2885" s="256" t="inlineStr">
        <is>
          <t>IPH — Institute of Public Health</t>
        </is>
      </c>
      <c r="O2885" s="256" t="inlineStr">
        <is>
          <t>—</t>
        </is>
      </c>
      <c r="P2885" s="256" t="inlineStr">
        <is>
          <t>covered</t>
        </is>
      </c>
      <c r="Q2885" s="256" t="inlineStr"/>
      <c r="R2885" s="256" t="inlineStr"/>
    </row>
    <row r="2886">
      <c r="A2886" s="256" t="inlineStr">
        <is>
          <t>CoQ-PP_26-126</t>
        </is>
      </c>
      <c r="B2886" s="256" t="inlineStr">
        <is>
          <t>reissue — retest</t>
        </is>
      </c>
      <c r="C2886" s="256" t="inlineStr">
        <is>
          <t>KC102501</t>
        </is>
      </c>
      <c r="D2886" s="256" t="inlineStr">
        <is>
          <t>P060172</t>
        </is>
      </c>
      <c r="E2886" s="256" t="inlineStr">
        <is>
          <t>Kush Crasher</t>
        </is>
      </c>
      <c r="F2886" s="256" t="inlineStr">
        <is>
          <t>18.09.2026</t>
        </is>
      </c>
      <c r="G2886" s="256" t="inlineStr">
        <is>
          <t>9.2</t>
        </is>
      </c>
      <c r="H2886" s="256" t="inlineStr">
        <is>
          <t>TYMC</t>
        </is>
      </c>
      <c r="I2886" s="256" t="inlineStr">
        <is>
          <t>Ph. Eur. 2.6.12 cat. C</t>
        </is>
      </c>
      <c r="J2886" s="256" t="inlineStr">
        <is>
          <t>≤ 10⁴ CFU/g</t>
        </is>
      </c>
      <c r="K2886" s="256" t="inlineStr">
        <is>
          <t>6.8 × 10³</t>
        </is>
      </c>
      <c r="L2886" s="256" t="inlineStr">
        <is>
          <t>129/0226/26</t>
        </is>
      </c>
      <c r="M2886" s="256" t="inlineStr">
        <is>
          <t>06.03.2026</t>
        </is>
      </c>
      <c r="N2886" s="256" t="inlineStr">
        <is>
          <t>IPH — Institute of Public Health</t>
        </is>
      </c>
      <c r="O2886" s="256" t="inlineStr">
        <is>
          <t>—</t>
        </is>
      </c>
      <c r="P2886" s="256" t="inlineStr">
        <is>
          <t>covered</t>
        </is>
      </c>
      <c r="Q2886" s="256" t="inlineStr"/>
      <c r="R2886" s="256" t="inlineStr"/>
    </row>
    <row r="2887">
      <c r="A2887" s="256" t="inlineStr">
        <is>
          <t>CoQ-PP_26-126</t>
        </is>
      </c>
      <c r="B2887" s="256" t="inlineStr">
        <is>
          <t>reissue — retest</t>
        </is>
      </c>
      <c r="C2887" s="256" t="inlineStr">
        <is>
          <t>KC102501</t>
        </is>
      </c>
      <c r="D2887" s="256" t="inlineStr">
        <is>
          <t>P060172</t>
        </is>
      </c>
      <c r="E2887" s="256" t="inlineStr">
        <is>
          <t>Kush Crasher</t>
        </is>
      </c>
      <c r="F2887" s="256" t="inlineStr">
        <is>
          <t>18.09.2026</t>
        </is>
      </c>
      <c r="G2887" s="256" t="inlineStr">
        <is>
          <t>9.3</t>
        </is>
      </c>
      <c r="H2887" s="256" t="inlineStr">
        <is>
          <t>Bile-tolerant gram-neg.</t>
        </is>
      </c>
      <c r="I2887" s="256" t="inlineStr">
        <is>
          <t>Ph. Eur. 2.6.31 cat. C</t>
        </is>
      </c>
      <c r="J2887" s="256" t="inlineStr">
        <is>
          <t>≤ 10⁴ CFU/g</t>
        </is>
      </c>
      <c r="K2887" s="256" t="inlineStr">
        <is>
          <t>&lt; 10³ and &gt; 10²</t>
        </is>
      </c>
      <c r="L2887" s="256" t="inlineStr">
        <is>
          <t>129/0226/26</t>
        </is>
      </c>
      <c r="M2887" s="256" t="inlineStr">
        <is>
          <t>06.03.2026</t>
        </is>
      </c>
      <c r="N2887" s="256" t="inlineStr">
        <is>
          <t>IPH — Institute of Public Health</t>
        </is>
      </c>
      <c r="O2887" s="256" t="inlineStr">
        <is>
          <t>—</t>
        </is>
      </c>
      <c r="P2887" s="256" t="inlineStr">
        <is>
          <t>covered</t>
        </is>
      </c>
      <c r="Q2887" s="256" t="inlineStr"/>
      <c r="R2887" s="256" t="inlineStr"/>
    </row>
    <row r="2888">
      <c r="A2888" s="256" t="inlineStr">
        <is>
          <t>CoQ-PP_26-126</t>
        </is>
      </c>
      <c r="B2888" s="256" t="inlineStr">
        <is>
          <t>reissue — retest</t>
        </is>
      </c>
      <c r="C2888" s="256" t="inlineStr">
        <is>
          <t>KC102501</t>
        </is>
      </c>
      <c r="D2888" s="256" t="inlineStr">
        <is>
          <t>P060172</t>
        </is>
      </c>
      <c r="E2888" s="256" t="inlineStr">
        <is>
          <t>Kush Crasher</t>
        </is>
      </c>
      <c r="F2888" s="256" t="inlineStr">
        <is>
          <t>18.09.2026</t>
        </is>
      </c>
      <c r="G2888" s="256" t="inlineStr">
        <is>
          <t>9.4</t>
        </is>
      </c>
      <c r="H2888" s="256" t="inlineStr">
        <is>
          <t>Salmonella</t>
        </is>
      </c>
      <c r="I2888" s="256" t="inlineStr">
        <is>
          <t>Ph. Eur. 2.6.31 cat. C</t>
        </is>
      </c>
      <c r="J2888" s="256" t="inlineStr">
        <is>
          <t>Absence | Отсуство / 25 g</t>
        </is>
      </c>
      <c r="K2888" s="256" t="inlineStr">
        <is>
          <t>Absent | Отсутна</t>
        </is>
      </c>
      <c r="L2888" s="256" t="inlineStr">
        <is>
          <t>129/0226/26</t>
        </is>
      </c>
      <c r="M2888" s="256" t="inlineStr">
        <is>
          <t>06.03.2026</t>
        </is>
      </c>
      <c r="N2888" s="256" t="inlineStr">
        <is>
          <t>IPH — Institute of Public Health</t>
        </is>
      </c>
      <c r="O2888" s="256" t="inlineStr">
        <is>
          <t>—</t>
        </is>
      </c>
      <c r="P2888" s="256" t="inlineStr">
        <is>
          <t>covered</t>
        </is>
      </c>
      <c r="Q2888" s="256" t="inlineStr"/>
      <c r="R2888" s="256" t="inlineStr"/>
    </row>
    <row r="2889">
      <c r="A2889" s="256" t="inlineStr">
        <is>
          <t>CoQ-PP_26-126</t>
        </is>
      </c>
      <c r="B2889" s="256" t="inlineStr">
        <is>
          <t>reissue — retest</t>
        </is>
      </c>
      <c r="C2889" s="256" t="inlineStr">
        <is>
          <t>KC102501</t>
        </is>
      </c>
      <c r="D2889" s="256" t="inlineStr">
        <is>
          <t>P060172</t>
        </is>
      </c>
      <c r="E2889" s="256" t="inlineStr">
        <is>
          <t>Kush Crasher</t>
        </is>
      </c>
      <c r="F2889" s="256" t="inlineStr">
        <is>
          <t>18.09.2026</t>
        </is>
      </c>
      <c r="G2889" s="256" t="inlineStr">
        <is>
          <t>9.5</t>
        </is>
      </c>
      <c r="H2889" s="256" t="inlineStr">
        <is>
          <t>Escherichia coli</t>
        </is>
      </c>
      <c r="I2889" s="256" t="inlineStr">
        <is>
          <t>Ph. Eur. 2.6.13 cat. C</t>
        </is>
      </c>
      <c r="J2889" s="256" t="inlineStr">
        <is>
          <t>Absence | Отсуство / 1 g</t>
        </is>
      </c>
      <c r="K2889" s="256" t="inlineStr">
        <is>
          <t>Absent | Отсутна</t>
        </is>
      </c>
      <c r="L2889" s="256" t="inlineStr">
        <is>
          <t>129/0226/26</t>
        </is>
      </c>
      <c r="M2889" s="256" t="inlineStr">
        <is>
          <t>06.03.2026</t>
        </is>
      </c>
      <c r="N2889" s="256" t="inlineStr">
        <is>
          <t>IPH — Institute of Public Health</t>
        </is>
      </c>
      <c r="O2889" s="256" t="inlineStr">
        <is>
          <t>—</t>
        </is>
      </c>
      <c r="P2889" s="256" t="inlineStr">
        <is>
          <t>covered</t>
        </is>
      </c>
      <c r="Q2889" s="256" t="inlineStr"/>
      <c r="R2889" s="256" t="inlineStr"/>
    </row>
    <row r="2890">
      <c r="A2890" s="256" t="inlineStr">
        <is>
          <t>CoQ-PP_26-126</t>
        </is>
      </c>
      <c r="B2890" s="256" t="inlineStr">
        <is>
          <t>reissue — retest</t>
        </is>
      </c>
      <c r="C2890" s="256" t="inlineStr">
        <is>
          <t>KC102501</t>
        </is>
      </c>
      <c r="D2890" s="256" t="inlineStr">
        <is>
          <t>P060172</t>
        </is>
      </c>
      <c r="E2890" s="256" t="inlineStr">
        <is>
          <t>Kush Crasher</t>
        </is>
      </c>
      <c r="F2890" s="256" t="inlineStr">
        <is>
          <t>18.09.2026</t>
        </is>
      </c>
      <c r="G2890" s="256" t="inlineStr">
        <is>
          <t>9.6</t>
        </is>
      </c>
      <c r="H2890" s="256" t="inlineStr">
        <is>
          <t>Pseudomonas aeruginosa</t>
        </is>
      </c>
      <c r="I2890" s="256" t="inlineStr">
        <is>
          <t>Ph. Eur. 2.6.13 cat. C</t>
        </is>
      </c>
      <c r="J2890" s="256" t="inlineStr">
        <is>
          <t>Absence | Отсуство / 1 g</t>
        </is>
      </c>
      <c r="K2890" s="260" t="inlineStr">
        <is>
          <t>upon request — not required for release</t>
        </is>
      </c>
      <c r="L2890" s="256" t="inlineStr">
        <is>
          <t>—</t>
        </is>
      </c>
      <c r="M2890" s="256" t="inlineStr">
        <is>
          <t>—</t>
        </is>
      </c>
      <c r="N2890" s="256" t="inlineStr">
        <is>
          <t>—</t>
        </is>
      </c>
      <c r="O2890" s="256" t="inlineStr">
        <is>
          <t>—</t>
        </is>
      </c>
      <c r="P2890" s="256" t="inlineStr">
        <is>
          <t>upon request — not required for release</t>
        </is>
      </c>
      <c r="Q2890" s="256" t="inlineStr"/>
      <c r="R2890" s="256" t="inlineStr"/>
    </row>
    <row r="2891">
      <c r="A2891" s="256" t="inlineStr">
        <is>
          <t>CoQ-PP_26-126</t>
        </is>
      </c>
      <c r="B2891" s="256" t="inlineStr">
        <is>
          <t>reissue — retest</t>
        </is>
      </c>
      <c r="C2891" s="256" t="inlineStr">
        <is>
          <t>KC102501</t>
        </is>
      </c>
      <c r="D2891" s="256" t="inlineStr">
        <is>
          <t>P060172</t>
        </is>
      </c>
      <c r="E2891" s="256" t="inlineStr">
        <is>
          <t>Kush Crasher</t>
        </is>
      </c>
      <c r="F2891" s="256" t="inlineStr">
        <is>
          <t>18.09.2026</t>
        </is>
      </c>
      <c r="G2891" s="256" t="inlineStr">
        <is>
          <t>9.7</t>
        </is>
      </c>
      <c r="H2891" s="256" t="inlineStr">
        <is>
          <t>Staphylococcus aureus</t>
        </is>
      </c>
      <c r="I2891" s="256" t="inlineStr">
        <is>
          <t>Ph. Eur. 2.6.13 cat. C</t>
        </is>
      </c>
      <c r="J2891" s="256" t="inlineStr">
        <is>
          <t>Absence | Отсуство / 1 g</t>
        </is>
      </c>
      <c r="K2891" s="260" t="inlineStr">
        <is>
          <t>upon request — not required for release</t>
        </is>
      </c>
      <c r="L2891" s="256" t="inlineStr">
        <is>
          <t>—</t>
        </is>
      </c>
      <c r="M2891" s="256" t="inlineStr">
        <is>
          <t>—</t>
        </is>
      </c>
      <c r="N2891" s="256" t="inlineStr">
        <is>
          <t>—</t>
        </is>
      </c>
      <c r="O2891" s="256" t="inlineStr">
        <is>
          <t>—</t>
        </is>
      </c>
      <c r="P2891" s="256" t="inlineStr">
        <is>
          <t>upon request — not required for release</t>
        </is>
      </c>
      <c r="Q2891" s="256" t="inlineStr"/>
      <c r="R2891" s="256" t="inlineStr"/>
    </row>
    <row r="2892">
      <c r="A2892" s="256" t="inlineStr">
        <is>
          <t>CoQ-PP_26-126</t>
        </is>
      </c>
      <c r="B2892" s="256" t="inlineStr">
        <is>
          <t>reissue — retest</t>
        </is>
      </c>
      <c r="C2892" s="256" t="inlineStr">
        <is>
          <t>KC102501</t>
        </is>
      </c>
      <c r="D2892" s="256" t="inlineStr">
        <is>
          <t>P060172</t>
        </is>
      </c>
      <c r="E2892" s="256" t="inlineStr">
        <is>
          <t>Kush Crasher</t>
        </is>
      </c>
      <c r="F2892" s="256" t="inlineStr">
        <is>
          <t>18.09.2026</t>
        </is>
      </c>
      <c r="G2892" s="256" t="inlineStr">
        <is>
          <t>10.1</t>
        </is>
      </c>
      <c r="H2892" s="256" t="inlineStr">
        <is>
          <t>Aflatoxin B₁</t>
        </is>
      </c>
      <c r="I2892" s="256" t="inlineStr">
        <is>
          <t>Ph. Eur. 2.8.18 (HPLC-FLD)</t>
        </is>
      </c>
      <c r="J2892" s="256" t="inlineStr">
        <is>
          <t>≤ 2 µg/kg</t>
        </is>
      </c>
      <c r="K2892" s="256" t="inlineStr">
        <is>
          <t>ND</t>
        </is>
      </c>
      <c r="L2892" s="256" t="inlineStr">
        <is>
          <t>220-19-М/26</t>
        </is>
      </c>
      <c r="M2892" s="256" t="inlineStr">
        <is>
          <t>11.09.2026</t>
        </is>
      </c>
      <c r="N2892" s="256" t="inlineStr">
        <is>
          <t>Farmahem</t>
        </is>
      </c>
      <c r="O2892" s="256" t="inlineStr">
        <is>
          <t>17.08.2026</t>
        </is>
      </c>
      <c r="P2892" s="256" t="inlineStr">
        <is>
          <t>covered</t>
        </is>
      </c>
      <c r="Q2892" s="256" t="inlineStr"/>
      <c r="R2892" s="256" t="inlineStr"/>
    </row>
    <row r="2893">
      <c r="A2893" s="256" t="inlineStr">
        <is>
          <t>CoQ-PP_26-126</t>
        </is>
      </c>
      <c r="B2893" s="256" t="inlineStr">
        <is>
          <t>reissue — retest</t>
        </is>
      </c>
      <c r="C2893" s="256" t="inlineStr">
        <is>
          <t>KC102501</t>
        </is>
      </c>
      <c r="D2893" s="256" t="inlineStr">
        <is>
          <t>P060172</t>
        </is>
      </c>
      <c r="E2893" s="256" t="inlineStr">
        <is>
          <t>Kush Crasher</t>
        </is>
      </c>
      <c r="F2893" s="256" t="inlineStr">
        <is>
          <t>18.09.2026</t>
        </is>
      </c>
      <c r="G2893" s="256" t="inlineStr">
        <is>
          <t>10.2</t>
        </is>
      </c>
      <c r="H2893" s="256" t="inlineStr">
        <is>
          <t>Aflatoxins ∑</t>
        </is>
      </c>
      <c r="I2893" s="256" t="inlineStr">
        <is>
          <t>Ph. Eur. 2.8.18 (HPLC-FLD)</t>
        </is>
      </c>
      <c r="J2893" s="256" t="inlineStr">
        <is>
          <t>≤ 4 µg/kg</t>
        </is>
      </c>
      <c r="K2893" s="256" t="inlineStr">
        <is>
          <t>ND</t>
        </is>
      </c>
      <c r="L2893" s="256" t="inlineStr">
        <is>
          <t>220-19-М/26</t>
        </is>
      </c>
      <c r="M2893" s="256" t="inlineStr">
        <is>
          <t>11.09.2026</t>
        </is>
      </c>
      <c r="N2893" s="256" t="inlineStr">
        <is>
          <t>Farmahem</t>
        </is>
      </c>
      <c r="O2893" s="256" t="inlineStr">
        <is>
          <t>17.08.2026</t>
        </is>
      </c>
      <c r="P2893" s="256" t="inlineStr">
        <is>
          <t>covered</t>
        </is>
      </c>
      <c r="Q2893" s="256" t="inlineStr"/>
      <c r="R2893" s="256" t="inlineStr"/>
    </row>
    <row r="2894">
      <c r="A2894" s="256" t="inlineStr">
        <is>
          <t>CoQ-PP_26-126</t>
        </is>
      </c>
      <c r="B2894" s="256" t="inlineStr">
        <is>
          <t>reissue — retest</t>
        </is>
      </c>
      <c r="C2894" s="256" t="inlineStr">
        <is>
          <t>KC102501</t>
        </is>
      </c>
      <c r="D2894" s="256" t="inlineStr">
        <is>
          <t>P060172</t>
        </is>
      </c>
      <c r="E2894" s="256" t="inlineStr">
        <is>
          <t>Kush Crasher</t>
        </is>
      </c>
      <c r="F2894" s="256" t="inlineStr">
        <is>
          <t>18.09.2026</t>
        </is>
      </c>
      <c r="G2894" s="256" t="inlineStr">
        <is>
          <t>10.3</t>
        </is>
      </c>
      <c r="H2894" s="256" t="inlineStr">
        <is>
          <t>Ochratoxin A</t>
        </is>
      </c>
      <c r="I2894" s="256" t="inlineStr">
        <is>
          <t>Ph. Eur. 2.8.22 (HPLC-FLD)</t>
        </is>
      </c>
      <c r="J2894" s="256" t="inlineStr">
        <is>
          <t>≤ 20 µg/kg</t>
        </is>
      </c>
      <c r="K2894" s="256" t="inlineStr">
        <is>
          <t>ND</t>
        </is>
      </c>
      <c r="L2894" s="256" t="inlineStr">
        <is>
          <t>220-19-М/26</t>
        </is>
      </c>
      <c r="M2894" s="256" t="inlineStr">
        <is>
          <t>11.09.2026</t>
        </is>
      </c>
      <c r="N2894" s="256" t="inlineStr">
        <is>
          <t>Farmahem</t>
        </is>
      </c>
      <c r="O2894" s="256" t="inlineStr">
        <is>
          <t>17.08.2026</t>
        </is>
      </c>
      <c r="P2894" s="256" t="inlineStr">
        <is>
          <t>covered</t>
        </is>
      </c>
      <c r="Q2894" s="256" t="inlineStr"/>
      <c r="R2894" s="256" t="inlineStr"/>
    </row>
    <row r="2895">
      <c r="A2895" s="256" t="inlineStr">
        <is>
          <t>CoQ-PP_26-126</t>
        </is>
      </c>
      <c r="B2895" s="256" t="inlineStr">
        <is>
          <t>reissue — retest</t>
        </is>
      </c>
      <c r="C2895" s="256" t="inlineStr">
        <is>
          <t>KC102501</t>
        </is>
      </c>
      <c r="D2895" s="256" t="inlineStr">
        <is>
          <t>P060172</t>
        </is>
      </c>
      <c r="E2895" s="256" t="inlineStr">
        <is>
          <t>Kush Crasher</t>
        </is>
      </c>
      <c r="F2895" s="256" t="inlineStr">
        <is>
          <t>18.09.2026</t>
        </is>
      </c>
      <c r="G2895" s="256" t="inlineStr">
        <is>
          <t>11.1</t>
        </is>
      </c>
      <c r="H2895" s="256" t="inlineStr">
        <is>
          <t>Lead (Pb)</t>
        </is>
      </c>
      <c r="I2895" s="256" t="inlineStr">
        <is>
          <t>Ph. Eur. 2.4.27 (ICP-MS)</t>
        </is>
      </c>
      <c r="J2895" s="256" t="inlineStr">
        <is>
          <t>≤ 0.5 mg/kg</t>
        </is>
      </c>
      <c r="K2895" s="256" t="inlineStr">
        <is>
          <t>ND</t>
        </is>
      </c>
      <c r="L2895" s="256" t="inlineStr">
        <is>
          <t>1058/2026</t>
        </is>
      </c>
      <c r="M2895" s="256" t="inlineStr">
        <is>
          <t>09.03.2026</t>
        </is>
      </c>
      <c r="N2895" s="256" t="inlineStr">
        <is>
          <t>IPH — Institute of Public Health</t>
        </is>
      </c>
      <c r="O2895" s="256" t="inlineStr">
        <is>
          <t>—</t>
        </is>
      </c>
      <c r="P2895" s="256" t="inlineStr">
        <is>
          <t>covered</t>
        </is>
      </c>
      <c r="Q2895" s="256" t="inlineStr"/>
      <c r="R2895" s="256" t="inlineStr"/>
    </row>
    <row r="2896">
      <c r="A2896" s="256" t="inlineStr">
        <is>
          <t>CoQ-PP_26-126</t>
        </is>
      </c>
      <c r="B2896" s="256" t="inlineStr">
        <is>
          <t>reissue — retest</t>
        </is>
      </c>
      <c r="C2896" s="256" t="inlineStr">
        <is>
          <t>KC102501</t>
        </is>
      </c>
      <c r="D2896" s="256" t="inlineStr">
        <is>
          <t>P060172</t>
        </is>
      </c>
      <c r="E2896" s="256" t="inlineStr">
        <is>
          <t>Kush Crasher</t>
        </is>
      </c>
      <c r="F2896" s="256" t="inlineStr">
        <is>
          <t>18.09.2026</t>
        </is>
      </c>
      <c r="G2896" s="256" t="inlineStr">
        <is>
          <t>11.2</t>
        </is>
      </c>
      <c r="H2896" s="256" t="inlineStr">
        <is>
          <t>Cadmium (Cd)</t>
        </is>
      </c>
      <c r="I2896" s="256" t="inlineStr">
        <is>
          <t>Ph. Eur. 2.4.27 (ICP-MS)</t>
        </is>
      </c>
      <c r="J2896" s="256" t="inlineStr">
        <is>
          <t>≤ 0.3 mg/kg</t>
        </is>
      </c>
      <c r="K2896" s="256" t="inlineStr">
        <is>
          <t>ND</t>
        </is>
      </c>
      <c r="L2896" s="256" t="inlineStr">
        <is>
          <t>1058/2026</t>
        </is>
      </c>
      <c r="M2896" s="256" t="inlineStr">
        <is>
          <t>09.03.2026</t>
        </is>
      </c>
      <c r="N2896" s="256" t="inlineStr">
        <is>
          <t>IPH — Institute of Public Health</t>
        </is>
      </c>
      <c r="O2896" s="256" t="inlineStr">
        <is>
          <t>—</t>
        </is>
      </c>
      <c r="P2896" s="256" t="inlineStr">
        <is>
          <t>covered</t>
        </is>
      </c>
      <c r="Q2896" s="256" t="inlineStr"/>
      <c r="R2896" s="256" t="inlineStr"/>
    </row>
    <row r="2897">
      <c r="A2897" s="256" t="inlineStr">
        <is>
          <t>CoQ-PP_26-126</t>
        </is>
      </c>
      <c r="B2897" s="256" t="inlineStr">
        <is>
          <t>reissue — retest</t>
        </is>
      </c>
      <c r="C2897" s="256" t="inlineStr">
        <is>
          <t>KC102501</t>
        </is>
      </c>
      <c r="D2897" s="256" t="inlineStr">
        <is>
          <t>P060172</t>
        </is>
      </c>
      <c r="E2897" s="256" t="inlineStr">
        <is>
          <t>Kush Crasher</t>
        </is>
      </c>
      <c r="F2897" s="256" t="inlineStr">
        <is>
          <t>18.09.2026</t>
        </is>
      </c>
      <c r="G2897" s="256" t="inlineStr">
        <is>
          <t>11.3</t>
        </is>
      </c>
      <c r="H2897" s="256" t="inlineStr">
        <is>
          <t>Arsenic (As)</t>
        </is>
      </c>
      <c r="I2897" s="256" t="inlineStr">
        <is>
          <t>Ph. Eur. 2.4.27 (ICP-MS)</t>
        </is>
      </c>
      <c r="J2897" s="256" t="inlineStr">
        <is>
          <t>≤ 0.2 mg/kg</t>
        </is>
      </c>
      <c r="K2897" s="256" t="inlineStr">
        <is>
          <t>ND</t>
        </is>
      </c>
      <c r="L2897" s="256" t="inlineStr">
        <is>
          <t>1058/2026</t>
        </is>
      </c>
      <c r="M2897" s="256" t="inlineStr">
        <is>
          <t>09.03.2026</t>
        </is>
      </c>
      <c r="N2897" s="256" t="inlineStr">
        <is>
          <t>IPH — Institute of Public Health</t>
        </is>
      </c>
      <c r="O2897" s="256" t="inlineStr">
        <is>
          <t>—</t>
        </is>
      </c>
      <c r="P2897" s="256" t="inlineStr">
        <is>
          <t>covered</t>
        </is>
      </c>
      <c r="Q2897" s="256" t="inlineStr"/>
      <c r="R2897" s="256" t="inlineStr"/>
    </row>
    <row r="2898">
      <c r="A2898" s="256" t="inlineStr">
        <is>
          <t>CoQ-PP_26-126</t>
        </is>
      </c>
      <c r="B2898" s="256" t="inlineStr">
        <is>
          <t>reissue — retest</t>
        </is>
      </c>
      <c r="C2898" s="256" t="inlineStr">
        <is>
          <t>KC102501</t>
        </is>
      </c>
      <c r="D2898" s="256" t="inlineStr">
        <is>
          <t>P060172</t>
        </is>
      </c>
      <c r="E2898" s="256" t="inlineStr">
        <is>
          <t>Kush Crasher</t>
        </is>
      </c>
      <c r="F2898" s="256" t="inlineStr">
        <is>
          <t>18.09.2026</t>
        </is>
      </c>
      <c r="G2898" s="256" t="inlineStr">
        <is>
          <t>11.4</t>
        </is>
      </c>
      <c r="H2898" s="256" t="inlineStr">
        <is>
          <t>Mercury (Hg)</t>
        </is>
      </c>
      <c r="I2898" s="256" t="inlineStr">
        <is>
          <t>Ph. Eur. 2.4.27 (ICP-MS)</t>
        </is>
      </c>
      <c r="J2898" s="256" t="inlineStr">
        <is>
          <t>≤ 0.1 mg/kg</t>
        </is>
      </c>
      <c r="K2898" s="256" t="inlineStr">
        <is>
          <t>ND</t>
        </is>
      </c>
      <c r="L2898" s="256" t="inlineStr">
        <is>
          <t>1058/2026</t>
        </is>
      </c>
      <c r="M2898" s="256" t="inlineStr">
        <is>
          <t>09.03.2026</t>
        </is>
      </c>
      <c r="N2898" s="256" t="inlineStr">
        <is>
          <t>IPH — Institute of Public Health</t>
        </is>
      </c>
      <c r="O2898" s="256" t="inlineStr">
        <is>
          <t>—</t>
        </is>
      </c>
      <c r="P2898" s="256" t="inlineStr">
        <is>
          <t>covered</t>
        </is>
      </c>
      <c r="Q2898" s="256" t="inlineStr"/>
      <c r="R2898" s="256" t="inlineStr"/>
    </row>
    <row r="2899">
      <c r="A2899" s="256" t="inlineStr">
        <is>
          <t>CoQ-PP_26-126</t>
        </is>
      </c>
      <c r="B2899" s="256" t="inlineStr">
        <is>
          <t>reissue — retest</t>
        </is>
      </c>
      <c r="C2899" s="256" t="inlineStr">
        <is>
          <t>KC102501</t>
        </is>
      </c>
      <c r="D2899" s="256" t="inlineStr">
        <is>
          <t>P060172</t>
        </is>
      </c>
      <c r="E2899" s="256" t="inlineStr">
        <is>
          <t>Kush Crasher</t>
        </is>
      </c>
      <c r="F2899" s="256" t="inlineStr">
        <is>
          <t>18.09.2026</t>
        </is>
      </c>
      <c r="G2899" s="256" t="inlineStr">
        <is>
          <t>12</t>
        </is>
      </c>
      <c r="H2899" s="256" t="inlineStr">
        <is>
          <t>Pesticide Residues</t>
        </is>
      </c>
      <c r="I2899" s="256" t="inlineStr">
        <is>
          <t>Ph. Eur. 2.8.13 (LC-MS/MS) · CUMCS Equivalency</t>
        </is>
      </c>
      <c r="J2899" s="256" t="inlineStr">
        <is>
          <t>≤ LOQ as per Ph. Eur. 2.8.13 · ≤ LOQ as per CUMCS Equivalency</t>
        </is>
      </c>
      <c r="K2899" s="256" t="inlineStr">
        <is>
          <t>ND mg/kg — all 25 residues</t>
        </is>
      </c>
      <c r="L2899" s="256" t="inlineStr">
        <is>
          <t>1058/2026</t>
        </is>
      </c>
      <c r="M2899" s="256" t="inlineStr">
        <is>
          <t>09.03.2026</t>
        </is>
      </c>
      <c r="N2899" s="256" t="inlineStr">
        <is>
          <t>IJZ</t>
        </is>
      </c>
      <c r="O2899" s="256" t="inlineStr">
        <is>
          <t>—</t>
        </is>
      </c>
      <c r="P2899" s="256" t="inlineStr">
        <is>
          <t>carried from the initial testing (CoQ-PP-2026-0013) — covered</t>
        </is>
      </c>
      <c r="Q2899" s="256" t="inlineStr"/>
      <c r="R2899" s="256" t="inlineStr"/>
    </row>
    <row r="2900">
      <c r="A2900" s="256" t="inlineStr">
        <is>
          <t>CoQ-PP_26-127</t>
        </is>
      </c>
      <c r="B2900" s="256" t="inlineStr">
        <is>
          <t>reissue — retest</t>
        </is>
      </c>
      <c r="C2900" s="256" t="inlineStr">
        <is>
          <t>MB0824_05</t>
        </is>
      </c>
      <c r="D2900" s="256" t="inlineStr">
        <is>
          <t>P050112</t>
        </is>
      </c>
      <c r="E2900" s="256" t="inlineStr">
        <is>
          <t>Motor Breath</t>
        </is>
      </c>
      <c r="F2900" s="256" t="inlineStr">
        <is>
          <t>18.09.2026</t>
        </is>
      </c>
      <c r="G2900" s="256" t="inlineStr">
        <is>
          <t>1</t>
        </is>
      </c>
      <c r="H2900" s="256" t="inlineStr">
        <is>
          <t>Identification A, Appearance · Macroscopic</t>
        </is>
      </c>
      <c r="I2900" s="256" t="inlineStr">
        <is>
          <t>Ph. Eur. mon. 3028</t>
        </is>
      </c>
      <c r="J2900" s="256" t="inlineStr">
        <is>
          <t>Conforms to the monograph for Cannabis flos (07/2024:3028) in Ph. Eur. 11.0 | Согласно монографија за Cannabis flos (07/2024:3028) во Ph. Eur. 11.0</t>
        </is>
      </c>
      <c r="K2900" s="256" t="inlineStr">
        <is>
          <t>Conforms | Одговара</t>
        </is>
      </c>
      <c r="L2900" s="256" t="inlineStr">
        <is>
          <t>iCoA-PP_26-142</t>
        </is>
      </c>
      <c r="M2900" s="256" t="inlineStr">
        <is>
          <t>17.08.2026</t>
        </is>
      </c>
      <c r="N2900" s="256" t="inlineStr">
        <is>
          <t>Purely Plant GmbH (in-house)</t>
        </is>
      </c>
      <c r="O2900" s="256" t="inlineStr">
        <is>
          <t>—</t>
        </is>
      </c>
      <c r="P2900" s="256" t="inlineStr">
        <is>
          <t>covered</t>
        </is>
      </c>
      <c r="Q2900" s="256" t="inlineStr">
        <is>
          <t>Farmahem — Ident A + B + C with the Assay, at retest</t>
        </is>
      </c>
      <c r="R2900" s="256" t="inlineStr"/>
    </row>
    <row r="2901">
      <c r="A2901" s="256" t="inlineStr">
        <is>
          <t>CoQ-PP_26-127</t>
        </is>
      </c>
      <c r="B2901" s="256" t="inlineStr">
        <is>
          <t>reissue — retest</t>
        </is>
      </c>
      <c r="C2901" s="256" t="inlineStr">
        <is>
          <t>MB0824_05</t>
        </is>
      </c>
      <c r="D2901" s="256" t="inlineStr">
        <is>
          <t>P050112</t>
        </is>
      </c>
      <c r="E2901" s="256" t="inlineStr">
        <is>
          <t>Motor Breath</t>
        </is>
      </c>
      <c r="F2901" s="256" t="inlineStr">
        <is>
          <t>18.09.2026</t>
        </is>
      </c>
      <c r="G2901" s="256" t="inlineStr">
        <is>
          <t>2</t>
        </is>
      </c>
      <c r="H2901" s="256" t="inlineStr">
        <is>
          <t>Identification B · Microscopic</t>
        </is>
      </c>
      <c r="I2901" s="256" t="inlineStr">
        <is>
          <t>Ph. Eur. 2.8.23 (microscopy)</t>
        </is>
      </c>
      <c r="J2901" s="256" t="inlineStr">
        <is>
          <t>Conforms to the monograph for Cannabis flos (07/2024:3028) in Ph. Eur. 11.0 | Согласно монографија за Cannabis flos (07/2024:3028) во Ph. Eur. 11.0</t>
        </is>
      </c>
      <c r="K2901" s="256" t="inlineStr">
        <is>
          <t>Conforms | Одговара</t>
        </is>
      </c>
      <c r="L2901" s="256" t="inlineStr">
        <is>
          <t>iCoA-PP_26-142</t>
        </is>
      </c>
      <c r="M2901" s="256" t="inlineStr">
        <is>
          <t>17.08.2026</t>
        </is>
      </c>
      <c r="N2901" s="256" t="inlineStr">
        <is>
          <t>Purely Plant GmbH (in-house)</t>
        </is>
      </c>
      <c r="O2901" s="256" t="inlineStr">
        <is>
          <t>—</t>
        </is>
      </c>
      <c r="P2901" s="256" t="inlineStr">
        <is>
          <t>covered</t>
        </is>
      </c>
      <c r="Q2901" s="256" t="inlineStr">
        <is>
          <t>Farmahem — Ident A + B + C with the Assay, at retest</t>
        </is>
      </c>
      <c r="R2901" s="256" t="inlineStr"/>
    </row>
    <row r="2902">
      <c r="A2902" s="256" t="inlineStr">
        <is>
          <t>CoQ-PP_26-127</t>
        </is>
      </c>
      <c r="B2902" s="256" t="inlineStr">
        <is>
          <t>reissue — retest</t>
        </is>
      </c>
      <c r="C2902" s="256" t="inlineStr">
        <is>
          <t>MB0824_05</t>
        </is>
      </c>
      <c r="D2902" s="256" t="inlineStr">
        <is>
          <t>P050112</t>
        </is>
      </c>
      <c r="E2902" s="256" t="inlineStr">
        <is>
          <t>Motor Breath</t>
        </is>
      </c>
      <c r="F2902" s="256" t="inlineStr">
        <is>
          <t>18.09.2026</t>
        </is>
      </c>
      <c r="G2902" s="256" t="inlineStr">
        <is>
          <t>3</t>
        </is>
      </c>
      <c r="H2902" s="256" t="inlineStr">
        <is>
          <t>Identification C · HPLC/HPTLC</t>
        </is>
      </c>
      <c r="I2902" s="256" t="inlineStr">
        <is>
          <t>Ph. Eur. 2.2.29 (3028)</t>
        </is>
      </c>
      <c r="J2902" s="256" t="inlineStr">
        <is>
          <t>Conforms to the monograph for Cannabis flos (07/2024:3028) in Ph. Eur. 11.0 | Согласно монографија за Cannabis flos (07/2024:3028) во Ph. Eur. 11.0</t>
        </is>
      </c>
      <c r="K2902" s="256" t="inlineStr">
        <is>
          <t>Conforms | Одговара</t>
        </is>
      </c>
      <c r="L2902" s="256" t="inlineStr">
        <is>
          <t>220-20-К/26</t>
        </is>
      </c>
      <c r="M2902" s="256" t="inlineStr">
        <is>
          <t>26.08.2026</t>
        </is>
      </c>
      <c r="N2902" s="256" t="inlineStr">
        <is>
          <t>Farmahem</t>
        </is>
      </c>
      <c r="O2902" s="256" t="inlineStr">
        <is>
          <t>17.08.2026</t>
        </is>
      </c>
      <c r="P2902" s="256" t="inlineStr">
        <is>
          <t>covered</t>
        </is>
      </c>
      <c r="Q2902" s="256" t="inlineStr"/>
      <c r="R2902" s="256" t="inlineStr"/>
    </row>
    <row r="2903">
      <c r="A2903" s="256" t="inlineStr">
        <is>
          <t>CoQ-PP_26-127</t>
        </is>
      </c>
      <c r="B2903" s="256" t="inlineStr">
        <is>
          <t>reissue — retest</t>
        </is>
      </c>
      <c r="C2903" s="256" t="inlineStr">
        <is>
          <t>MB0824_05</t>
        </is>
      </c>
      <c r="D2903" s="256" t="inlineStr">
        <is>
          <t>P050112</t>
        </is>
      </c>
      <c r="E2903" s="256" t="inlineStr">
        <is>
          <t>Motor Breath</t>
        </is>
      </c>
      <c r="F2903" s="256" t="inlineStr">
        <is>
          <t>18.09.2026</t>
        </is>
      </c>
      <c r="G2903" s="256" t="inlineStr">
        <is>
          <t>4</t>
        </is>
      </c>
      <c r="H2903" s="256" t="inlineStr">
        <is>
          <t>Assay — Total Δ⁹-THC</t>
        </is>
      </c>
      <c r="I2903" s="256" t="inlineStr">
        <is>
          <t>Ph. Eur. 2.2.29 (HPLC)</t>
        </is>
      </c>
      <c r="J2903" s="256" t="inlineStr">
        <is>
          <t>16.20 – 19.79 %  (grade I, nominal 18.00 ± 1.80)</t>
        </is>
      </c>
      <c r="K2903" s="256" t="inlineStr">
        <is>
          <t>17.93</t>
        </is>
      </c>
      <c r="L2903" s="256" t="inlineStr">
        <is>
          <t>220-20-К/26</t>
        </is>
      </c>
      <c r="M2903" s="256" t="inlineStr">
        <is>
          <t>26.08.2026</t>
        </is>
      </c>
      <c r="N2903" s="256" t="inlineStr">
        <is>
          <t>Farmahem</t>
        </is>
      </c>
      <c r="O2903" s="256" t="inlineStr">
        <is>
          <t>17.08.2026</t>
        </is>
      </c>
      <c r="P2903" s="256" t="inlineStr">
        <is>
          <t>covered</t>
        </is>
      </c>
      <c r="Q2903" s="256" t="inlineStr"/>
      <c r="R2903" s="256" t="inlineStr"/>
    </row>
    <row r="2904">
      <c r="A2904" s="256" t="inlineStr">
        <is>
          <t>CoQ-PP_26-127</t>
        </is>
      </c>
      <c r="B2904" s="256" t="inlineStr">
        <is>
          <t>reissue — retest</t>
        </is>
      </c>
      <c r="C2904" s="256" t="inlineStr">
        <is>
          <t>MB0824_05</t>
        </is>
      </c>
      <c r="D2904" s="256" t="inlineStr">
        <is>
          <t>P050112</t>
        </is>
      </c>
      <c r="E2904" s="256" t="inlineStr">
        <is>
          <t>Motor Breath</t>
        </is>
      </c>
      <c r="F2904" s="256" t="inlineStr">
        <is>
          <t>18.09.2026</t>
        </is>
      </c>
      <c r="G2904" s="256" t="inlineStr">
        <is>
          <t>5</t>
        </is>
      </c>
      <c r="H2904" s="256" t="inlineStr">
        <is>
          <t>Assay — Total CBD</t>
        </is>
      </c>
      <c r="I2904" s="256" t="inlineStr">
        <is>
          <t>Ph. Eur. 2.2.29 (HPLC) · CBD + CBDA x 0.877</t>
        </is>
      </c>
      <c r="J2904" s="256" t="inlineStr">
        <is>
          <t>≤ 1.0%, w/w</t>
        </is>
      </c>
      <c r="K2904" s="256" t="inlineStr">
        <is>
          <t>&lt; LOQ</t>
        </is>
      </c>
      <c r="L2904" s="256" t="inlineStr">
        <is>
          <t>220-20-К/26</t>
        </is>
      </c>
      <c r="M2904" s="256" t="inlineStr">
        <is>
          <t>26.08.2026</t>
        </is>
      </c>
      <c r="N2904" s="256" t="inlineStr">
        <is>
          <t>Farmahem</t>
        </is>
      </c>
      <c r="O2904" s="256" t="inlineStr">
        <is>
          <t>17.08.2026</t>
        </is>
      </c>
      <c r="P2904" s="256" t="inlineStr">
        <is>
          <t>covered</t>
        </is>
      </c>
      <c r="Q2904" s="256" t="inlineStr"/>
      <c r="R2904" s="256" t="inlineStr"/>
    </row>
    <row r="2905">
      <c r="A2905" s="256" t="inlineStr">
        <is>
          <t>CoQ-PP_26-127</t>
        </is>
      </c>
      <c r="B2905" s="256" t="inlineStr">
        <is>
          <t>reissue — retest</t>
        </is>
      </c>
      <c r="C2905" s="256" t="inlineStr">
        <is>
          <t>MB0824_05</t>
        </is>
      </c>
      <c r="D2905" s="256" t="inlineStr">
        <is>
          <t>P050112</t>
        </is>
      </c>
      <c r="E2905" s="256" t="inlineStr">
        <is>
          <t>Motor Breath</t>
        </is>
      </c>
      <c r="F2905" s="256" t="inlineStr">
        <is>
          <t>18.09.2026</t>
        </is>
      </c>
      <c r="G2905" s="256" t="inlineStr">
        <is>
          <t>6</t>
        </is>
      </c>
      <c r="H2905" s="256" t="inlineStr">
        <is>
          <t>Total CBN</t>
        </is>
      </c>
      <c r="I2905" s="256" t="inlineStr">
        <is>
          <t>Ph. Eur. 2.2.29 (HPLC) · CBN + CBNA x 0.876</t>
        </is>
      </c>
      <c r="J2905" s="256" t="inlineStr">
        <is>
          <t>≤ 1.0%, w/w</t>
        </is>
      </c>
      <c r="K2905" s="256" t="inlineStr">
        <is>
          <t>&lt; LOQ</t>
        </is>
      </c>
      <c r="L2905" s="256" t="inlineStr">
        <is>
          <t>220-20-К/26</t>
        </is>
      </c>
      <c r="M2905" s="256" t="inlineStr">
        <is>
          <t>26.08.2026</t>
        </is>
      </c>
      <c r="N2905" s="256" t="inlineStr">
        <is>
          <t>Farmahem</t>
        </is>
      </c>
      <c r="O2905" s="256" t="inlineStr">
        <is>
          <t>17.08.2026</t>
        </is>
      </c>
      <c r="P2905" s="256" t="inlineStr">
        <is>
          <t>covered</t>
        </is>
      </c>
      <c r="Q2905" s="256" t="inlineStr"/>
      <c r="R2905" s="256" t="inlineStr"/>
    </row>
    <row r="2906">
      <c r="A2906" s="256" t="inlineStr">
        <is>
          <t>CoQ-PP_26-127</t>
        </is>
      </c>
      <c r="B2906" s="256" t="inlineStr">
        <is>
          <t>reissue — retest</t>
        </is>
      </c>
      <c r="C2906" s="256" t="inlineStr">
        <is>
          <t>MB0824_05</t>
        </is>
      </c>
      <c r="D2906" s="256" t="inlineStr">
        <is>
          <t>P050112</t>
        </is>
      </c>
      <c r="E2906" s="256" t="inlineStr">
        <is>
          <t>Motor Breath</t>
        </is>
      </c>
      <c r="F2906" s="256" t="inlineStr">
        <is>
          <t>18.09.2026</t>
        </is>
      </c>
      <c r="G2906" s="256" t="inlineStr">
        <is>
          <t>7</t>
        </is>
      </c>
      <c r="H2906" s="256" t="inlineStr">
        <is>
          <t>Foreign Matter</t>
        </is>
      </c>
      <c r="I2906" s="256" t="inlineStr">
        <is>
          <t>Ph. Eur. 2.8.2 · In-house · интерна</t>
        </is>
      </c>
      <c r="J2906" s="256" t="inlineStr">
        <is>
          <t>≤ 2.0% / 25–50 g · &lt; 1 cm leaves | листови, no seeds | без семки</t>
        </is>
      </c>
      <c r="K2906" s="256" t="inlineStr">
        <is>
          <t>Conforms | Одговара</t>
        </is>
      </c>
      <c r="L2906" s="256" t="inlineStr">
        <is>
          <t>iCoA-PP_26-142</t>
        </is>
      </c>
      <c r="M2906" s="256" t="inlineStr">
        <is>
          <t>17.08.2026</t>
        </is>
      </c>
      <c r="N2906" s="256" t="inlineStr">
        <is>
          <t>Purely Plant GmbH (in-house)</t>
        </is>
      </c>
      <c r="O2906" s="256" t="inlineStr">
        <is>
          <t>—</t>
        </is>
      </c>
      <c r="P2906" s="256" t="inlineStr">
        <is>
          <t>covered</t>
        </is>
      </c>
      <c r="Q2906" s="256" t="inlineStr">
        <is>
          <t>Purely Plant laboratory — iCoA covering Foreign matter</t>
        </is>
      </c>
      <c r="R2906" s="256" t="inlineStr"/>
    </row>
    <row r="2907">
      <c r="A2907" s="256" t="inlineStr">
        <is>
          <t>CoQ-PP_26-127</t>
        </is>
      </c>
      <c r="B2907" s="256" t="inlineStr">
        <is>
          <t>reissue — retest</t>
        </is>
      </c>
      <c r="C2907" s="256" t="inlineStr">
        <is>
          <t>MB0824_05</t>
        </is>
      </c>
      <c r="D2907" s="256" t="inlineStr">
        <is>
          <t>P050112</t>
        </is>
      </c>
      <c r="E2907" s="256" t="inlineStr">
        <is>
          <t>Motor Breath</t>
        </is>
      </c>
      <c r="F2907" s="256" t="inlineStr">
        <is>
          <t>18.09.2026</t>
        </is>
      </c>
      <c r="G2907" s="256" t="inlineStr">
        <is>
          <t>8</t>
        </is>
      </c>
      <c r="H2907" s="256" t="inlineStr">
        <is>
          <t>Loss on Drying</t>
        </is>
      </c>
      <c r="I2907" s="256" t="inlineStr">
        <is>
          <t>DAB 2018 monograph Cannabis flos, 2.2.32 — loss on drying (CNP, before its Ph. Eur. 3028 accreditation)</t>
        </is>
      </c>
      <c r="J2907" s="256" t="inlineStr">
        <is>
          <t>≤ 12.0%</t>
        </is>
      </c>
      <c r="K2907" s="256" t="inlineStr">
        <is>
          <t>6.56</t>
        </is>
      </c>
      <c r="L2907" s="256" t="inlineStr">
        <is>
          <t>ППК25211</t>
        </is>
      </c>
      <c r="M2907" s="256" t="inlineStr">
        <is>
          <t>28.07.2025</t>
        </is>
      </c>
      <c r="N2907" s="256" t="inlineStr">
        <is>
          <t>UKIM Faculty of Pharmacy — Center for Natural Products</t>
        </is>
      </c>
      <c r="O2907" s="256" t="inlineStr">
        <is>
          <t>21.07.2025</t>
        </is>
      </c>
      <c r="P2907" s="256" t="inlineStr">
        <is>
          <t>carried from the initial testing (CoQ-PP-2025-0013) — covered</t>
        </is>
      </c>
      <c r="Q2907" s="256" t="inlineStr"/>
      <c r="R2907" s="256" t="inlineStr"/>
    </row>
    <row r="2908">
      <c r="A2908" s="256" t="inlineStr">
        <is>
          <t>CoQ-PP_26-127</t>
        </is>
      </c>
      <c r="B2908" s="256" t="inlineStr">
        <is>
          <t>reissue — retest</t>
        </is>
      </c>
      <c r="C2908" s="256" t="inlineStr">
        <is>
          <t>MB0824_05</t>
        </is>
      </c>
      <c r="D2908" s="256" t="inlineStr">
        <is>
          <t>P050112</t>
        </is>
      </c>
      <c r="E2908" s="256" t="inlineStr">
        <is>
          <t>Motor Breath</t>
        </is>
      </c>
      <c r="F2908" s="256" t="inlineStr">
        <is>
          <t>18.09.2026</t>
        </is>
      </c>
      <c r="G2908" s="256" t="inlineStr">
        <is>
          <t>9.1</t>
        </is>
      </c>
      <c r="H2908" s="256" t="inlineStr">
        <is>
          <t>TAMC</t>
        </is>
      </c>
      <c r="I2908" s="256" t="inlineStr">
        <is>
          <t>Ph. Eur. 2.6.12 cat. C</t>
        </is>
      </c>
      <c r="J2908" s="256" t="inlineStr">
        <is>
          <t>≤ 10⁵ CFU/g</t>
        </is>
      </c>
      <c r="K2908" s="256" t="inlineStr">
        <is>
          <t>3.5 × 10³</t>
        </is>
      </c>
      <c r="L2908" s="256" t="inlineStr">
        <is>
          <t>767/1376/25</t>
        </is>
      </c>
      <c r="M2908" s="256" t="inlineStr">
        <is>
          <t>29.07.2025</t>
        </is>
      </c>
      <c r="N2908" s="256" t="inlineStr">
        <is>
          <t>IPH — Institute of Public Health</t>
        </is>
      </c>
      <c r="O2908" s="256" t="inlineStr">
        <is>
          <t>21.07.2025</t>
        </is>
      </c>
      <c r="P2908" s="256" t="inlineStr">
        <is>
          <t>carried from the initial testing (CoQ-PP-2025-0013) — covered</t>
        </is>
      </c>
      <c r="Q2908" s="256" t="inlineStr"/>
      <c r="R2908" s="256" t="inlineStr"/>
    </row>
    <row r="2909">
      <c r="A2909" s="256" t="inlineStr">
        <is>
          <t>CoQ-PP_26-127</t>
        </is>
      </c>
      <c r="B2909" s="256" t="inlineStr">
        <is>
          <t>reissue — retest</t>
        </is>
      </c>
      <c r="C2909" s="256" t="inlineStr">
        <is>
          <t>MB0824_05</t>
        </is>
      </c>
      <c r="D2909" s="256" t="inlineStr">
        <is>
          <t>P050112</t>
        </is>
      </c>
      <c r="E2909" s="256" t="inlineStr">
        <is>
          <t>Motor Breath</t>
        </is>
      </c>
      <c r="F2909" s="256" t="inlineStr">
        <is>
          <t>18.09.2026</t>
        </is>
      </c>
      <c r="G2909" s="256" t="inlineStr">
        <is>
          <t>9.2</t>
        </is>
      </c>
      <c r="H2909" s="256" t="inlineStr">
        <is>
          <t>TYMC</t>
        </is>
      </c>
      <c r="I2909" s="256" t="inlineStr">
        <is>
          <t>Ph. Eur. 2.6.12 cat. C</t>
        </is>
      </c>
      <c r="J2909" s="256" t="inlineStr">
        <is>
          <t>≤ 10⁴ CFU/g</t>
        </is>
      </c>
      <c r="K2909" s="256" t="inlineStr">
        <is>
          <t>1 × 10³</t>
        </is>
      </c>
      <c r="L2909" s="256" t="inlineStr">
        <is>
          <t>767/1376/25</t>
        </is>
      </c>
      <c r="M2909" s="256" t="inlineStr">
        <is>
          <t>29.07.2025</t>
        </is>
      </c>
      <c r="N2909" s="256" t="inlineStr">
        <is>
          <t>IPH — Institute of Public Health</t>
        </is>
      </c>
      <c r="O2909" s="256" t="inlineStr">
        <is>
          <t>21.07.2025</t>
        </is>
      </c>
      <c r="P2909" s="256" t="inlineStr">
        <is>
          <t>carried from the initial testing (CoQ-PP-2025-0013) — covered</t>
        </is>
      </c>
      <c r="Q2909" s="256" t="inlineStr"/>
      <c r="R2909" s="256" t="inlineStr"/>
    </row>
    <row r="2910">
      <c r="A2910" s="256" t="inlineStr">
        <is>
          <t>CoQ-PP_26-127</t>
        </is>
      </c>
      <c r="B2910" s="256" t="inlineStr">
        <is>
          <t>reissue — retest</t>
        </is>
      </c>
      <c r="C2910" s="256" t="inlineStr">
        <is>
          <t>MB0824_05</t>
        </is>
      </c>
      <c r="D2910" s="256" t="inlineStr">
        <is>
          <t>P050112</t>
        </is>
      </c>
      <c r="E2910" s="256" t="inlineStr">
        <is>
          <t>Motor Breath</t>
        </is>
      </c>
      <c r="F2910" s="256" t="inlineStr">
        <is>
          <t>18.09.2026</t>
        </is>
      </c>
      <c r="G2910" s="256" t="inlineStr">
        <is>
          <t>9.3</t>
        </is>
      </c>
      <c r="H2910" s="256" t="inlineStr">
        <is>
          <t>Bile-tolerant gram-neg.</t>
        </is>
      </c>
      <c r="I2910" s="256" t="inlineStr">
        <is>
          <t>Ph. Eur. 2.6.31 cat. C</t>
        </is>
      </c>
      <c r="J2910" s="256" t="inlineStr">
        <is>
          <t>≤ 10⁴ CFU/g</t>
        </is>
      </c>
      <c r="K2910" s="256" t="inlineStr">
        <is>
          <t>&lt; 10</t>
        </is>
      </c>
      <c r="L2910" s="256" t="inlineStr">
        <is>
          <t>767/1376/25</t>
        </is>
      </c>
      <c r="M2910" s="256" t="inlineStr">
        <is>
          <t>29.07.2025</t>
        </is>
      </c>
      <c r="N2910" s="256" t="inlineStr">
        <is>
          <t>IPH — Institute of Public Health</t>
        </is>
      </c>
      <c r="O2910" s="256" t="inlineStr">
        <is>
          <t>21.07.2025</t>
        </is>
      </c>
      <c r="P2910" s="256" t="inlineStr">
        <is>
          <t>carried from the initial testing (CoQ-PP-2025-0013) — covered</t>
        </is>
      </c>
      <c r="Q2910" s="256" t="inlineStr"/>
      <c r="R2910" s="256" t="inlineStr"/>
    </row>
    <row r="2911">
      <c r="A2911" s="256" t="inlineStr">
        <is>
          <t>CoQ-PP_26-127</t>
        </is>
      </c>
      <c r="B2911" s="256" t="inlineStr">
        <is>
          <t>reissue — retest</t>
        </is>
      </c>
      <c r="C2911" s="256" t="inlineStr">
        <is>
          <t>MB0824_05</t>
        </is>
      </c>
      <c r="D2911" s="256" t="inlineStr">
        <is>
          <t>P050112</t>
        </is>
      </c>
      <c r="E2911" s="256" t="inlineStr">
        <is>
          <t>Motor Breath</t>
        </is>
      </c>
      <c r="F2911" s="256" t="inlineStr">
        <is>
          <t>18.09.2026</t>
        </is>
      </c>
      <c r="G2911" s="256" t="inlineStr">
        <is>
          <t>9.4</t>
        </is>
      </c>
      <c r="H2911" s="256" t="inlineStr">
        <is>
          <t>Salmonella</t>
        </is>
      </c>
      <c r="I2911" s="256" t="inlineStr">
        <is>
          <t>Ph. Eur. 2.6.31 cat. C</t>
        </is>
      </c>
      <c r="J2911" s="256" t="inlineStr">
        <is>
          <t>Absence | Отсуство / 25 g</t>
        </is>
      </c>
      <c r="K2911" s="256" t="inlineStr">
        <is>
          <t>Absent | Отсутна</t>
        </is>
      </c>
      <c r="L2911" s="256" t="inlineStr">
        <is>
          <t>767/1376/25</t>
        </is>
      </c>
      <c r="M2911" s="256" t="inlineStr">
        <is>
          <t>29.07.2025</t>
        </is>
      </c>
      <c r="N2911" s="256" t="inlineStr">
        <is>
          <t>IPH — Institute of Public Health</t>
        </is>
      </c>
      <c r="O2911" s="256" t="inlineStr">
        <is>
          <t>21.07.2025</t>
        </is>
      </c>
      <c r="P2911" s="256" t="inlineStr">
        <is>
          <t>carried from the initial testing (CoQ-PP-2025-0013) — covered</t>
        </is>
      </c>
      <c r="Q2911" s="256" t="inlineStr"/>
      <c r="R2911" s="256" t="inlineStr"/>
    </row>
    <row r="2912">
      <c r="A2912" s="256" t="inlineStr">
        <is>
          <t>CoQ-PP_26-127</t>
        </is>
      </c>
      <c r="B2912" s="256" t="inlineStr">
        <is>
          <t>reissue — retest</t>
        </is>
      </c>
      <c r="C2912" s="256" t="inlineStr">
        <is>
          <t>MB0824_05</t>
        </is>
      </c>
      <c r="D2912" s="256" t="inlineStr">
        <is>
          <t>P050112</t>
        </is>
      </c>
      <c r="E2912" s="256" t="inlineStr">
        <is>
          <t>Motor Breath</t>
        </is>
      </c>
      <c r="F2912" s="256" t="inlineStr">
        <is>
          <t>18.09.2026</t>
        </is>
      </c>
      <c r="G2912" s="256" t="inlineStr">
        <is>
          <t>9.5</t>
        </is>
      </c>
      <c r="H2912" s="256" t="inlineStr">
        <is>
          <t>Escherichia coli</t>
        </is>
      </c>
      <c r="I2912" s="256" t="inlineStr">
        <is>
          <t>Ph. Eur. 2.6.13 cat. C</t>
        </is>
      </c>
      <c r="J2912" s="256" t="inlineStr">
        <is>
          <t>Absence | Отсуство / 1 g</t>
        </is>
      </c>
      <c r="K2912" s="256" t="inlineStr">
        <is>
          <t>Absent | Отсутна</t>
        </is>
      </c>
      <c r="L2912" s="256" t="inlineStr">
        <is>
          <t>767/1376/25</t>
        </is>
      </c>
      <c r="M2912" s="256" t="inlineStr">
        <is>
          <t>29.07.2025</t>
        </is>
      </c>
      <c r="N2912" s="256" t="inlineStr">
        <is>
          <t>IPH — Institute of Public Health</t>
        </is>
      </c>
      <c r="O2912" s="256" t="inlineStr">
        <is>
          <t>21.07.2025</t>
        </is>
      </c>
      <c r="P2912" s="256" t="inlineStr">
        <is>
          <t>carried from the initial testing (CoQ-PP-2025-0013) — covered</t>
        </is>
      </c>
      <c r="Q2912" s="256" t="inlineStr"/>
      <c r="R2912" s="256" t="inlineStr"/>
    </row>
    <row r="2913">
      <c r="A2913" s="256" t="inlineStr">
        <is>
          <t>CoQ-PP_26-127</t>
        </is>
      </c>
      <c r="B2913" s="256" t="inlineStr">
        <is>
          <t>reissue — retest</t>
        </is>
      </c>
      <c r="C2913" s="256" t="inlineStr">
        <is>
          <t>MB0824_05</t>
        </is>
      </c>
      <c r="D2913" s="256" t="inlineStr">
        <is>
          <t>P050112</t>
        </is>
      </c>
      <c r="E2913" s="256" t="inlineStr">
        <is>
          <t>Motor Breath</t>
        </is>
      </c>
      <c r="F2913" s="256" t="inlineStr">
        <is>
          <t>18.09.2026</t>
        </is>
      </c>
      <c r="G2913" s="256" t="inlineStr">
        <is>
          <t>9.6</t>
        </is>
      </c>
      <c r="H2913" s="256" t="inlineStr">
        <is>
          <t>Pseudomonas aeruginosa</t>
        </is>
      </c>
      <c r="I2913" s="256" t="inlineStr">
        <is>
          <t>Ph. Eur. 2.6.13 cat. C</t>
        </is>
      </c>
      <c r="J2913" s="256" t="inlineStr">
        <is>
          <t>Absence | Отсуство / 1 g</t>
        </is>
      </c>
      <c r="K2913" s="260" t="inlineStr">
        <is>
          <t>upon request — not required for release</t>
        </is>
      </c>
      <c r="L2913" s="256" t="inlineStr">
        <is>
          <t>—</t>
        </is>
      </c>
      <c r="M2913" s="256" t="inlineStr">
        <is>
          <t>—</t>
        </is>
      </c>
      <c r="N2913" s="256" t="inlineStr">
        <is>
          <t>—</t>
        </is>
      </c>
      <c r="O2913" s="256" t="inlineStr">
        <is>
          <t>—</t>
        </is>
      </c>
      <c r="P2913" s="256" t="inlineStr">
        <is>
          <t>upon request — not required for release</t>
        </is>
      </c>
      <c r="Q2913" s="256" t="inlineStr"/>
      <c r="R2913" s="256" t="inlineStr"/>
    </row>
    <row r="2914">
      <c r="A2914" s="256" t="inlineStr">
        <is>
          <t>CoQ-PP_26-127</t>
        </is>
      </c>
      <c r="B2914" s="256" t="inlineStr">
        <is>
          <t>reissue — retest</t>
        </is>
      </c>
      <c r="C2914" s="256" t="inlineStr">
        <is>
          <t>MB0824_05</t>
        </is>
      </c>
      <c r="D2914" s="256" t="inlineStr">
        <is>
          <t>P050112</t>
        </is>
      </c>
      <c r="E2914" s="256" t="inlineStr">
        <is>
          <t>Motor Breath</t>
        </is>
      </c>
      <c r="F2914" s="256" t="inlineStr">
        <is>
          <t>18.09.2026</t>
        </is>
      </c>
      <c r="G2914" s="256" t="inlineStr">
        <is>
          <t>9.7</t>
        </is>
      </c>
      <c r="H2914" s="256" t="inlineStr">
        <is>
          <t>Staphylococcus aureus</t>
        </is>
      </c>
      <c r="I2914" s="256" t="inlineStr">
        <is>
          <t>Ph. Eur. 2.6.13 cat. C</t>
        </is>
      </c>
      <c r="J2914" s="256" t="inlineStr">
        <is>
          <t>Absence | Отсуство / 1 g</t>
        </is>
      </c>
      <c r="K2914" s="260" t="inlineStr">
        <is>
          <t>upon request — not required for release</t>
        </is>
      </c>
      <c r="L2914" s="256" t="inlineStr">
        <is>
          <t>—</t>
        </is>
      </c>
      <c r="M2914" s="256" t="inlineStr">
        <is>
          <t>—</t>
        </is>
      </c>
      <c r="N2914" s="256" t="inlineStr">
        <is>
          <t>—</t>
        </is>
      </c>
      <c r="O2914" s="256" t="inlineStr">
        <is>
          <t>—</t>
        </is>
      </c>
      <c r="P2914" s="256" t="inlineStr">
        <is>
          <t>upon request — not required for release</t>
        </is>
      </c>
      <c r="Q2914" s="256" t="inlineStr"/>
      <c r="R2914" s="256" t="inlineStr"/>
    </row>
    <row r="2915">
      <c r="A2915" s="256" t="inlineStr">
        <is>
          <t>CoQ-PP_26-127</t>
        </is>
      </c>
      <c r="B2915" s="256" t="inlineStr">
        <is>
          <t>reissue — retest</t>
        </is>
      </c>
      <c r="C2915" s="256" t="inlineStr">
        <is>
          <t>MB0824_05</t>
        </is>
      </c>
      <c r="D2915" s="256" t="inlineStr">
        <is>
          <t>P050112</t>
        </is>
      </c>
      <c r="E2915" s="256" t="inlineStr">
        <is>
          <t>Motor Breath</t>
        </is>
      </c>
      <c r="F2915" s="256" t="inlineStr">
        <is>
          <t>18.09.2026</t>
        </is>
      </c>
      <c r="G2915" s="256" t="inlineStr">
        <is>
          <t>10.1</t>
        </is>
      </c>
      <c r="H2915" s="256" t="inlineStr">
        <is>
          <t>Aflatoxin B₁</t>
        </is>
      </c>
      <c r="I2915" s="256" t="inlineStr">
        <is>
          <t>Ph. Eur. 2.8.18 (HPLC-FLD)</t>
        </is>
      </c>
      <c r="J2915" s="256" t="inlineStr">
        <is>
          <t>≤ 2 µg/kg</t>
        </is>
      </c>
      <c r="K2915" s="256" t="inlineStr">
        <is>
          <t>ND</t>
        </is>
      </c>
      <c r="L2915" s="256" t="inlineStr">
        <is>
          <t>220-20-М/26</t>
        </is>
      </c>
      <c r="M2915" s="256" t="inlineStr">
        <is>
          <t>11.09.2026</t>
        </is>
      </c>
      <c r="N2915" s="256" t="inlineStr">
        <is>
          <t>Farmahem</t>
        </is>
      </c>
      <c r="O2915" s="256" t="inlineStr">
        <is>
          <t>17.08.2026</t>
        </is>
      </c>
      <c r="P2915" s="256" t="inlineStr">
        <is>
          <t>covered</t>
        </is>
      </c>
      <c r="Q2915" s="256" t="inlineStr"/>
      <c r="R2915" s="256" t="inlineStr"/>
    </row>
    <row r="2916">
      <c r="A2916" s="256" t="inlineStr">
        <is>
          <t>CoQ-PP_26-127</t>
        </is>
      </c>
      <c r="B2916" s="256" t="inlineStr">
        <is>
          <t>reissue — retest</t>
        </is>
      </c>
      <c r="C2916" s="256" t="inlineStr">
        <is>
          <t>MB0824_05</t>
        </is>
      </c>
      <c r="D2916" s="256" t="inlineStr">
        <is>
          <t>P050112</t>
        </is>
      </c>
      <c r="E2916" s="256" t="inlineStr">
        <is>
          <t>Motor Breath</t>
        </is>
      </c>
      <c r="F2916" s="256" t="inlineStr">
        <is>
          <t>18.09.2026</t>
        </is>
      </c>
      <c r="G2916" s="256" t="inlineStr">
        <is>
          <t>10.2</t>
        </is>
      </c>
      <c r="H2916" s="256" t="inlineStr">
        <is>
          <t>Aflatoxins ∑</t>
        </is>
      </c>
      <c r="I2916" s="256" t="inlineStr">
        <is>
          <t>Ph. Eur. 2.8.18 (HPLC-FLD)</t>
        </is>
      </c>
      <c r="J2916" s="256" t="inlineStr">
        <is>
          <t>≤ 4 µg/kg</t>
        </is>
      </c>
      <c r="K2916" s="256" t="inlineStr">
        <is>
          <t>ND</t>
        </is>
      </c>
      <c r="L2916" s="256" t="inlineStr">
        <is>
          <t>220-20-М/26</t>
        </is>
      </c>
      <c r="M2916" s="256" t="inlineStr">
        <is>
          <t>11.09.2026</t>
        </is>
      </c>
      <c r="N2916" s="256" t="inlineStr">
        <is>
          <t>Farmahem</t>
        </is>
      </c>
      <c r="O2916" s="256" t="inlineStr">
        <is>
          <t>17.08.2026</t>
        </is>
      </c>
      <c r="P2916" s="256" t="inlineStr">
        <is>
          <t>covered</t>
        </is>
      </c>
      <c r="Q2916" s="256" t="inlineStr"/>
      <c r="R2916" s="256" t="inlineStr"/>
    </row>
    <row r="2917">
      <c r="A2917" s="256" t="inlineStr">
        <is>
          <t>CoQ-PP_26-127</t>
        </is>
      </c>
      <c r="B2917" s="256" t="inlineStr">
        <is>
          <t>reissue — retest</t>
        </is>
      </c>
      <c r="C2917" s="256" t="inlineStr">
        <is>
          <t>MB0824_05</t>
        </is>
      </c>
      <c r="D2917" s="256" t="inlineStr">
        <is>
          <t>P050112</t>
        </is>
      </c>
      <c r="E2917" s="256" t="inlineStr">
        <is>
          <t>Motor Breath</t>
        </is>
      </c>
      <c r="F2917" s="256" t="inlineStr">
        <is>
          <t>18.09.2026</t>
        </is>
      </c>
      <c r="G2917" s="256" t="inlineStr">
        <is>
          <t>10.3</t>
        </is>
      </c>
      <c r="H2917" s="256" t="inlineStr">
        <is>
          <t>Ochratoxin A</t>
        </is>
      </c>
      <c r="I2917" s="256" t="inlineStr">
        <is>
          <t>Ph. Eur. 2.8.22 (HPLC-FLD)</t>
        </is>
      </c>
      <c r="J2917" s="256" t="inlineStr">
        <is>
          <t>≤ 20 µg/kg</t>
        </is>
      </c>
      <c r="K2917" s="256" t="inlineStr">
        <is>
          <t>ND</t>
        </is>
      </c>
      <c r="L2917" s="256" t="inlineStr">
        <is>
          <t>220-20-М/26</t>
        </is>
      </c>
      <c r="M2917" s="256" t="inlineStr">
        <is>
          <t>11.09.2026</t>
        </is>
      </c>
      <c r="N2917" s="256" t="inlineStr">
        <is>
          <t>Farmahem</t>
        </is>
      </c>
      <c r="O2917" s="256" t="inlineStr">
        <is>
          <t>17.08.2026</t>
        </is>
      </c>
      <c r="P2917" s="256" t="inlineStr">
        <is>
          <t>covered</t>
        </is>
      </c>
      <c r="Q2917" s="256" t="inlineStr"/>
      <c r="R2917" s="256" t="inlineStr"/>
    </row>
    <row r="2918">
      <c r="A2918" s="256" t="inlineStr">
        <is>
          <t>CoQ-PP_26-127</t>
        </is>
      </c>
      <c r="B2918" s="256" t="inlineStr">
        <is>
          <t>reissue — retest</t>
        </is>
      </c>
      <c r="C2918" s="256" t="inlineStr">
        <is>
          <t>MB0824_05</t>
        </is>
      </c>
      <c r="D2918" s="256" t="inlineStr">
        <is>
          <t>P050112</t>
        </is>
      </c>
      <c r="E2918" s="256" t="inlineStr">
        <is>
          <t>Motor Breath</t>
        </is>
      </c>
      <c r="F2918" s="256" t="inlineStr">
        <is>
          <t>18.09.2026</t>
        </is>
      </c>
      <c r="G2918" s="256" t="inlineStr">
        <is>
          <t>11.1</t>
        </is>
      </c>
      <c r="H2918" s="256" t="inlineStr">
        <is>
          <t>Lead (Pb)</t>
        </is>
      </c>
      <c r="I2918" s="256" t="inlineStr">
        <is>
          <t>Ph. Eur. 2.4.27 (ICP-MS)</t>
        </is>
      </c>
      <c r="J2918" s="256" t="inlineStr">
        <is>
          <t>≤ 0.5 mg/kg</t>
        </is>
      </c>
      <c r="K2918" s="256" t="inlineStr">
        <is>
          <t>ND</t>
        </is>
      </c>
      <c r="L2918" s="256" t="inlineStr">
        <is>
          <t>3638/2025</t>
        </is>
      </c>
      <c r="M2918" s="256" t="inlineStr">
        <is>
          <t>28.07.2025</t>
        </is>
      </c>
      <c r="N2918" s="256" t="inlineStr">
        <is>
          <t>IPH — Institute of Public Health</t>
        </is>
      </c>
      <c r="O2918" s="256" t="inlineStr">
        <is>
          <t>21.07.2025</t>
        </is>
      </c>
      <c r="P2918" s="256" t="inlineStr">
        <is>
          <t>carried from the initial testing (CoQ-PP-2025-0013) — covered</t>
        </is>
      </c>
      <c r="Q2918" s="256" t="inlineStr"/>
      <c r="R2918" s="256" t="inlineStr"/>
    </row>
    <row r="2919">
      <c r="A2919" s="256" t="inlineStr">
        <is>
          <t>CoQ-PP_26-127</t>
        </is>
      </c>
      <c r="B2919" s="256" t="inlineStr">
        <is>
          <t>reissue — retest</t>
        </is>
      </c>
      <c r="C2919" s="256" t="inlineStr">
        <is>
          <t>MB0824_05</t>
        </is>
      </c>
      <c r="D2919" s="256" t="inlineStr">
        <is>
          <t>P050112</t>
        </is>
      </c>
      <c r="E2919" s="256" t="inlineStr">
        <is>
          <t>Motor Breath</t>
        </is>
      </c>
      <c r="F2919" s="256" t="inlineStr">
        <is>
          <t>18.09.2026</t>
        </is>
      </c>
      <c r="G2919" s="256" t="inlineStr">
        <is>
          <t>11.2</t>
        </is>
      </c>
      <c r="H2919" s="256" t="inlineStr">
        <is>
          <t>Cadmium (Cd)</t>
        </is>
      </c>
      <c r="I2919" s="256" t="inlineStr">
        <is>
          <t>Ph. Eur. 2.4.27 (ICP-MS)</t>
        </is>
      </c>
      <c r="J2919" s="256" t="inlineStr">
        <is>
          <t>≤ 0.3 mg/kg</t>
        </is>
      </c>
      <c r="K2919" s="256" t="inlineStr">
        <is>
          <t>ND</t>
        </is>
      </c>
      <c r="L2919" s="256" t="inlineStr">
        <is>
          <t>3638/2025</t>
        </is>
      </c>
      <c r="M2919" s="256" t="inlineStr">
        <is>
          <t>28.07.2025</t>
        </is>
      </c>
      <c r="N2919" s="256" t="inlineStr">
        <is>
          <t>IPH — Institute of Public Health</t>
        </is>
      </c>
      <c r="O2919" s="256" t="inlineStr">
        <is>
          <t>21.07.2025</t>
        </is>
      </c>
      <c r="P2919" s="256" t="inlineStr">
        <is>
          <t>carried from the initial testing (CoQ-PP-2025-0013) — covered</t>
        </is>
      </c>
      <c r="Q2919" s="256" t="inlineStr"/>
      <c r="R2919" s="256" t="inlineStr"/>
    </row>
    <row r="2920">
      <c r="A2920" s="256" t="inlineStr">
        <is>
          <t>CoQ-PP_26-127</t>
        </is>
      </c>
      <c r="B2920" s="256" t="inlineStr">
        <is>
          <t>reissue — retest</t>
        </is>
      </c>
      <c r="C2920" s="256" t="inlineStr">
        <is>
          <t>MB0824_05</t>
        </is>
      </c>
      <c r="D2920" s="256" t="inlineStr">
        <is>
          <t>P050112</t>
        </is>
      </c>
      <c r="E2920" s="256" t="inlineStr">
        <is>
          <t>Motor Breath</t>
        </is>
      </c>
      <c r="F2920" s="256" t="inlineStr">
        <is>
          <t>18.09.2026</t>
        </is>
      </c>
      <c r="G2920" s="256" t="inlineStr">
        <is>
          <t>11.3</t>
        </is>
      </c>
      <c r="H2920" s="256" t="inlineStr">
        <is>
          <t>Arsenic (As)</t>
        </is>
      </c>
      <c r="I2920" s="256" t="inlineStr">
        <is>
          <t>Ph. Eur. 2.4.27 (ICP-MS)</t>
        </is>
      </c>
      <c r="J2920" s="256" t="inlineStr">
        <is>
          <t>≤ 0.2 mg/kg</t>
        </is>
      </c>
      <c r="K2920" s="256" t="inlineStr">
        <is>
          <t>0.086</t>
        </is>
      </c>
      <c r="L2920" s="256" t="inlineStr">
        <is>
          <t>3638/2025</t>
        </is>
      </c>
      <c r="M2920" s="256" t="inlineStr">
        <is>
          <t>28.07.2025</t>
        </is>
      </c>
      <c r="N2920" s="256" t="inlineStr">
        <is>
          <t>IPH — Institute of Public Health</t>
        </is>
      </c>
      <c r="O2920" s="256" t="inlineStr">
        <is>
          <t>21.07.2025</t>
        </is>
      </c>
      <c r="P2920" s="256" t="inlineStr">
        <is>
          <t>carried from the initial testing (CoQ-PP-2025-0013) — covered</t>
        </is>
      </c>
      <c r="Q2920" s="256" t="inlineStr"/>
      <c r="R2920" s="256" t="inlineStr"/>
    </row>
    <row r="2921">
      <c r="A2921" s="256" t="inlineStr">
        <is>
          <t>CoQ-PP_26-127</t>
        </is>
      </c>
      <c r="B2921" s="256" t="inlineStr">
        <is>
          <t>reissue — retest</t>
        </is>
      </c>
      <c r="C2921" s="256" t="inlineStr">
        <is>
          <t>MB0824_05</t>
        </is>
      </c>
      <c r="D2921" s="256" t="inlineStr">
        <is>
          <t>P050112</t>
        </is>
      </c>
      <c r="E2921" s="256" t="inlineStr">
        <is>
          <t>Motor Breath</t>
        </is>
      </c>
      <c r="F2921" s="256" t="inlineStr">
        <is>
          <t>18.09.2026</t>
        </is>
      </c>
      <c r="G2921" s="256" t="inlineStr">
        <is>
          <t>11.4</t>
        </is>
      </c>
      <c r="H2921" s="256" t="inlineStr">
        <is>
          <t>Mercury (Hg)</t>
        </is>
      </c>
      <c r="I2921" s="256" t="inlineStr">
        <is>
          <t>Ph. Eur. 2.4.27 (ICP-MS)</t>
        </is>
      </c>
      <c r="J2921" s="256" t="inlineStr">
        <is>
          <t>≤ 0.1 mg/kg</t>
        </is>
      </c>
      <c r="K2921" s="256" t="inlineStr">
        <is>
          <t>0.006</t>
        </is>
      </c>
      <c r="L2921" s="256" t="inlineStr">
        <is>
          <t>3638/2025</t>
        </is>
      </c>
      <c r="M2921" s="256" t="inlineStr">
        <is>
          <t>28.07.2025</t>
        </is>
      </c>
      <c r="N2921" s="256" t="inlineStr">
        <is>
          <t>IPH — Institute of Public Health</t>
        </is>
      </c>
      <c r="O2921" s="256" t="inlineStr">
        <is>
          <t>21.07.2025</t>
        </is>
      </c>
      <c r="P2921" s="256" t="inlineStr">
        <is>
          <t>carried from the initial testing (CoQ-PP-2025-0013) — covered</t>
        </is>
      </c>
      <c r="Q2921" s="256" t="inlineStr"/>
      <c r="R2921" s="256" t="inlineStr"/>
    </row>
    <row r="2922">
      <c r="A2922" s="256" t="inlineStr">
        <is>
          <t>CoQ-PP_26-127</t>
        </is>
      </c>
      <c r="B2922" s="256" t="inlineStr">
        <is>
          <t>reissue — retest</t>
        </is>
      </c>
      <c r="C2922" s="256" t="inlineStr">
        <is>
          <t>MB0824_05</t>
        </is>
      </c>
      <c r="D2922" s="256" t="inlineStr">
        <is>
          <t>P050112</t>
        </is>
      </c>
      <c r="E2922" s="256" t="inlineStr">
        <is>
          <t>Motor Breath</t>
        </is>
      </c>
      <c r="F2922" s="256" t="inlineStr">
        <is>
          <t>18.09.2026</t>
        </is>
      </c>
      <c r="G2922" s="256" t="inlineStr">
        <is>
          <t>12</t>
        </is>
      </c>
      <c r="H2922" s="256" t="inlineStr">
        <is>
          <t>Pesticide Residues</t>
        </is>
      </c>
      <c r="I2922" s="256" t="inlineStr">
        <is>
          <t>Ph. Eur. 2.8.13 (LC-MS/MS) · CUMCS Equivalency</t>
        </is>
      </c>
      <c r="J2922" s="256" t="inlineStr">
        <is>
          <t>≤ LOQ as per Ph. Eur. 2.8.13 · ≤ LOQ as per CUMCS Equivalency</t>
        </is>
      </c>
      <c r="K2922" s="256" t="inlineStr">
        <is>
          <t>ND</t>
        </is>
      </c>
      <c r="L2922" s="256" t="inlineStr">
        <is>
          <t>3638/2025</t>
        </is>
      </c>
      <c r="M2922" s="256" t="inlineStr">
        <is>
          <t>28.07.2025</t>
        </is>
      </c>
      <c r="N2922" s="256" t="inlineStr">
        <is>
          <t>IPH — Institute of Public Health</t>
        </is>
      </c>
      <c r="O2922" s="256" t="inlineStr">
        <is>
          <t>21.07.2025</t>
        </is>
      </c>
      <c r="P2922" s="256" t="inlineStr">
        <is>
          <t>carried from the initial testing (CoQ-PP-2025-0013) — covered</t>
        </is>
      </c>
      <c r="Q2922" s="256" t="inlineStr"/>
      <c r="R2922" s="256" t="inlineStr"/>
    </row>
    <row r="2923">
      <c r="A2923" s="256" t="inlineStr">
        <is>
          <t>CoQ-PP_26-128</t>
        </is>
      </c>
      <c r="B2923" s="256" t="inlineStr">
        <is>
          <t>reissue — retest</t>
        </is>
      </c>
      <c r="C2923" s="256" t="inlineStr">
        <is>
          <t>OMP1024_01</t>
        </is>
      </c>
      <c r="D2923" s="256" t="inlineStr">
        <is>
          <t>P050042</t>
        </is>
      </c>
      <c r="E2923" s="256" t="inlineStr">
        <is>
          <t>Orange Punch Mimosa</t>
        </is>
      </c>
      <c r="F2923" s="256" t="inlineStr">
        <is>
          <t>18.09.2026</t>
        </is>
      </c>
      <c r="G2923" s="256" t="inlineStr">
        <is>
          <t>1</t>
        </is>
      </c>
      <c r="H2923" s="256" t="inlineStr">
        <is>
          <t>Identification A, Appearance · Macroscopic</t>
        </is>
      </c>
      <c r="I2923" s="256" t="inlineStr">
        <is>
          <t>Ph. Eur. mon. 3028</t>
        </is>
      </c>
      <c r="J2923" s="256" t="inlineStr">
        <is>
          <t>Conforms to the monograph for Cannabis flos (07/2024:3028) in Ph. Eur. 11.0 | Согласно монографија за Cannabis flos (07/2024:3028) во Ph. Eur. 11.0</t>
        </is>
      </c>
      <c r="K2923" s="256" t="inlineStr">
        <is>
          <t>Conforms | Одговара</t>
        </is>
      </c>
      <c r="L2923" s="256" t="inlineStr">
        <is>
          <t>iCoA-PP_26-144</t>
        </is>
      </c>
      <c r="M2923" s="256" t="inlineStr">
        <is>
          <t>17.08.2026</t>
        </is>
      </c>
      <c r="N2923" s="256" t="inlineStr">
        <is>
          <t>Purely Plant GmbH (in-house)</t>
        </is>
      </c>
      <c r="O2923" s="256" t="inlineStr">
        <is>
          <t>—</t>
        </is>
      </c>
      <c r="P2923" s="256" t="inlineStr">
        <is>
          <t>covered</t>
        </is>
      </c>
      <c r="Q2923" s="256" t="inlineStr">
        <is>
          <t>Farmahem — Ident A + B + C with the Assay, at retest</t>
        </is>
      </c>
      <c r="R2923" s="256" t="inlineStr"/>
    </row>
    <row r="2924">
      <c r="A2924" s="256" t="inlineStr">
        <is>
          <t>CoQ-PP_26-128</t>
        </is>
      </c>
      <c r="B2924" s="256" t="inlineStr">
        <is>
          <t>reissue — retest</t>
        </is>
      </c>
      <c r="C2924" s="256" t="inlineStr">
        <is>
          <t>OMP1024_01</t>
        </is>
      </c>
      <c r="D2924" s="256" t="inlineStr">
        <is>
          <t>P050042</t>
        </is>
      </c>
      <c r="E2924" s="256" t="inlineStr">
        <is>
          <t>Orange Punch Mimosa</t>
        </is>
      </c>
      <c r="F2924" s="256" t="inlineStr">
        <is>
          <t>18.09.2026</t>
        </is>
      </c>
      <c r="G2924" s="256" t="inlineStr">
        <is>
          <t>2</t>
        </is>
      </c>
      <c r="H2924" s="256" t="inlineStr">
        <is>
          <t>Identification B · Microscopic</t>
        </is>
      </c>
      <c r="I2924" s="256" t="inlineStr">
        <is>
          <t>Ph. Eur. 2.8.23 (microscopy)</t>
        </is>
      </c>
      <c r="J2924" s="256" t="inlineStr">
        <is>
          <t>Conforms to the monograph for Cannabis flos (07/2024:3028) in Ph. Eur. 11.0 | Согласно монографија за Cannabis flos (07/2024:3028) во Ph. Eur. 11.0</t>
        </is>
      </c>
      <c r="K2924" s="256" t="inlineStr">
        <is>
          <t>Conforms | Одговара</t>
        </is>
      </c>
      <c r="L2924" s="256" t="inlineStr">
        <is>
          <t>iCoA-PP_26-144</t>
        </is>
      </c>
      <c r="M2924" s="256" t="inlineStr">
        <is>
          <t>17.08.2026</t>
        </is>
      </c>
      <c r="N2924" s="256" t="inlineStr">
        <is>
          <t>Purely Plant GmbH (in-house)</t>
        </is>
      </c>
      <c r="O2924" s="256" t="inlineStr">
        <is>
          <t>—</t>
        </is>
      </c>
      <c r="P2924" s="256" t="inlineStr">
        <is>
          <t>covered</t>
        </is>
      </c>
      <c r="Q2924" s="256" t="inlineStr">
        <is>
          <t>Farmahem — Ident A + B + C with the Assay, at retest</t>
        </is>
      </c>
      <c r="R2924" s="256" t="inlineStr"/>
    </row>
    <row r="2925">
      <c r="A2925" s="256" t="inlineStr">
        <is>
          <t>CoQ-PP_26-128</t>
        </is>
      </c>
      <c r="B2925" s="256" t="inlineStr">
        <is>
          <t>reissue — retest</t>
        </is>
      </c>
      <c r="C2925" s="256" t="inlineStr">
        <is>
          <t>OMP1024_01</t>
        </is>
      </c>
      <c r="D2925" s="256" t="inlineStr">
        <is>
          <t>P050042</t>
        </is>
      </c>
      <c r="E2925" s="256" t="inlineStr">
        <is>
          <t>Orange Punch Mimosa</t>
        </is>
      </c>
      <c r="F2925" s="256" t="inlineStr">
        <is>
          <t>18.09.2026</t>
        </is>
      </c>
      <c r="G2925" s="256" t="inlineStr">
        <is>
          <t>3</t>
        </is>
      </c>
      <c r="H2925" s="256" t="inlineStr">
        <is>
          <t>Identification C · HPLC/HPTLC</t>
        </is>
      </c>
      <c r="I2925" s="256" t="inlineStr">
        <is>
          <t>Ph. Eur. 2.2.29 (3028)</t>
        </is>
      </c>
      <c r="J2925" s="256" t="inlineStr">
        <is>
          <t>Conforms to the monograph for Cannabis flos (07/2024:3028) in Ph. Eur. 11.0 | Согласно монографија за Cannabis flos (07/2024:3028) во Ph. Eur. 11.0</t>
        </is>
      </c>
      <c r="K2925" s="256" t="inlineStr">
        <is>
          <t>Conforms | Одговара</t>
        </is>
      </c>
      <c r="L2925" s="256" t="inlineStr">
        <is>
          <t>220-21-К/26</t>
        </is>
      </c>
      <c r="M2925" s="256" t="inlineStr">
        <is>
          <t>26.08.2026</t>
        </is>
      </c>
      <c r="N2925" s="256" t="inlineStr">
        <is>
          <t>Farmahem</t>
        </is>
      </c>
      <c r="O2925" s="256" t="inlineStr">
        <is>
          <t>17.08.2026</t>
        </is>
      </c>
      <c r="P2925" s="256" t="inlineStr">
        <is>
          <t>covered</t>
        </is>
      </c>
      <c r="Q2925" s="256" t="inlineStr"/>
      <c r="R2925" s="256" t="inlineStr"/>
    </row>
    <row r="2926">
      <c r="A2926" s="256" t="inlineStr">
        <is>
          <t>CoQ-PP_26-128</t>
        </is>
      </c>
      <c r="B2926" s="256" t="inlineStr">
        <is>
          <t>reissue — retest</t>
        </is>
      </c>
      <c r="C2926" s="256" t="inlineStr">
        <is>
          <t>OMP1024_01</t>
        </is>
      </c>
      <c r="D2926" s="256" t="inlineStr">
        <is>
          <t>P050042</t>
        </is>
      </c>
      <c r="E2926" s="256" t="inlineStr">
        <is>
          <t>Orange Punch Mimosa</t>
        </is>
      </c>
      <c r="F2926" s="256" t="inlineStr">
        <is>
          <t>18.09.2026</t>
        </is>
      </c>
      <c r="G2926" s="256" t="inlineStr">
        <is>
          <t>4</t>
        </is>
      </c>
      <c r="H2926" s="256" t="inlineStr">
        <is>
          <t>Assay — Total Δ⁹-THC</t>
        </is>
      </c>
      <c r="I2926" s="256" t="inlineStr">
        <is>
          <t>Ph. Eur. 2.2.29 (HPLC)</t>
        </is>
      </c>
      <c r="J2926" s="256" t="inlineStr">
        <is>
          <t>15.40 – 18.59 %  (grade II, nominal 17.00 ± 1.60)</t>
        </is>
      </c>
      <c r="K2926" s="256" t="inlineStr">
        <is>
          <t>18.14</t>
        </is>
      </c>
      <c r="L2926" s="256" t="inlineStr">
        <is>
          <t>220-21-К/26</t>
        </is>
      </c>
      <c r="M2926" s="256" t="inlineStr">
        <is>
          <t>26.08.2026</t>
        </is>
      </c>
      <c r="N2926" s="256" t="inlineStr">
        <is>
          <t>Farmahem</t>
        </is>
      </c>
      <c r="O2926" s="256" t="inlineStr">
        <is>
          <t>17.08.2026</t>
        </is>
      </c>
      <c r="P2926" s="256" t="inlineStr">
        <is>
          <t>covered</t>
        </is>
      </c>
      <c r="Q2926" s="256" t="inlineStr"/>
      <c r="R2926" s="256" t="inlineStr"/>
    </row>
    <row r="2927">
      <c r="A2927" s="256" t="inlineStr">
        <is>
          <t>CoQ-PP_26-128</t>
        </is>
      </c>
      <c r="B2927" s="256" t="inlineStr">
        <is>
          <t>reissue — retest</t>
        </is>
      </c>
      <c r="C2927" s="256" t="inlineStr">
        <is>
          <t>OMP1024_01</t>
        </is>
      </c>
      <c r="D2927" s="256" t="inlineStr">
        <is>
          <t>P050042</t>
        </is>
      </c>
      <c r="E2927" s="256" t="inlineStr">
        <is>
          <t>Orange Punch Mimosa</t>
        </is>
      </c>
      <c r="F2927" s="256" t="inlineStr">
        <is>
          <t>18.09.2026</t>
        </is>
      </c>
      <c r="G2927" s="256" t="inlineStr">
        <is>
          <t>5</t>
        </is>
      </c>
      <c r="H2927" s="256" t="inlineStr">
        <is>
          <t>Assay — Total CBD</t>
        </is>
      </c>
      <c r="I2927" s="256" t="inlineStr">
        <is>
          <t>Ph. Eur. 2.2.29 (HPLC) · CBD + CBDA x 0.877</t>
        </is>
      </c>
      <c r="J2927" s="256" t="inlineStr">
        <is>
          <t>≤ 1.0%, w/w</t>
        </is>
      </c>
      <c r="K2927" s="256" t="inlineStr">
        <is>
          <t>&lt; LOQ</t>
        </is>
      </c>
      <c r="L2927" s="256" t="inlineStr">
        <is>
          <t>220-21-К/26</t>
        </is>
      </c>
      <c r="M2927" s="256" t="inlineStr">
        <is>
          <t>26.08.2026</t>
        </is>
      </c>
      <c r="N2927" s="256" t="inlineStr">
        <is>
          <t>Farmahem</t>
        </is>
      </c>
      <c r="O2927" s="256" t="inlineStr">
        <is>
          <t>17.08.2026</t>
        </is>
      </c>
      <c r="P2927" s="256" t="inlineStr">
        <is>
          <t>covered</t>
        </is>
      </c>
      <c r="Q2927" s="256" t="inlineStr"/>
      <c r="R2927" s="256" t="inlineStr"/>
    </row>
    <row r="2928">
      <c r="A2928" s="256" t="inlineStr">
        <is>
          <t>CoQ-PP_26-128</t>
        </is>
      </c>
      <c r="B2928" s="256" t="inlineStr">
        <is>
          <t>reissue — retest</t>
        </is>
      </c>
      <c r="C2928" s="256" t="inlineStr">
        <is>
          <t>OMP1024_01</t>
        </is>
      </c>
      <c r="D2928" s="256" t="inlineStr">
        <is>
          <t>P050042</t>
        </is>
      </c>
      <c r="E2928" s="256" t="inlineStr">
        <is>
          <t>Orange Punch Mimosa</t>
        </is>
      </c>
      <c r="F2928" s="256" t="inlineStr">
        <is>
          <t>18.09.2026</t>
        </is>
      </c>
      <c r="G2928" s="256" t="inlineStr">
        <is>
          <t>6</t>
        </is>
      </c>
      <c r="H2928" s="256" t="inlineStr">
        <is>
          <t>Total CBN</t>
        </is>
      </c>
      <c r="I2928" s="256" t="inlineStr">
        <is>
          <t>Ph. Eur. 2.2.29 (HPLC) · CBN + CBNA x 0.876</t>
        </is>
      </c>
      <c r="J2928" s="256" t="inlineStr">
        <is>
          <t>≤ 1.0%, w/w</t>
        </is>
      </c>
      <c r="K2928" s="256" t="inlineStr">
        <is>
          <t>&lt; LOQ</t>
        </is>
      </c>
      <c r="L2928" s="256" t="inlineStr">
        <is>
          <t>220-21-К/26</t>
        </is>
      </c>
      <c r="M2928" s="256" t="inlineStr">
        <is>
          <t>26.08.2026</t>
        </is>
      </c>
      <c r="N2928" s="256" t="inlineStr">
        <is>
          <t>Farmahem</t>
        </is>
      </c>
      <c r="O2928" s="256" t="inlineStr">
        <is>
          <t>17.08.2026</t>
        </is>
      </c>
      <c r="P2928" s="256" t="inlineStr">
        <is>
          <t>covered</t>
        </is>
      </c>
      <c r="Q2928" s="256" t="inlineStr"/>
      <c r="R2928" s="256" t="inlineStr"/>
    </row>
    <row r="2929">
      <c r="A2929" s="256" t="inlineStr">
        <is>
          <t>CoQ-PP_26-128</t>
        </is>
      </c>
      <c r="B2929" s="256" t="inlineStr">
        <is>
          <t>reissue — retest</t>
        </is>
      </c>
      <c r="C2929" s="256" t="inlineStr">
        <is>
          <t>OMP1024_01</t>
        </is>
      </c>
      <c r="D2929" s="256" t="inlineStr">
        <is>
          <t>P050042</t>
        </is>
      </c>
      <c r="E2929" s="256" t="inlineStr">
        <is>
          <t>Orange Punch Mimosa</t>
        </is>
      </c>
      <c r="F2929" s="256" t="inlineStr">
        <is>
          <t>18.09.2026</t>
        </is>
      </c>
      <c r="G2929" s="256" t="inlineStr">
        <is>
          <t>7</t>
        </is>
      </c>
      <c r="H2929" s="256" t="inlineStr">
        <is>
          <t>Foreign Matter</t>
        </is>
      </c>
      <c r="I2929" s="256" t="inlineStr">
        <is>
          <t>Ph. Eur. 2.8.2 · In-house · интерна</t>
        </is>
      </c>
      <c r="J2929" s="256" t="inlineStr">
        <is>
          <t>≤ 2.0% / 25–50 g · &lt; 1 cm leaves | листови, no seeds | без семки</t>
        </is>
      </c>
      <c r="K2929" s="256" t="inlineStr">
        <is>
          <t>Conforms | Одговара</t>
        </is>
      </c>
      <c r="L2929" s="256" t="inlineStr">
        <is>
          <t>iCoA-PP_26-144</t>
        </is>
      </c>
      <c r="M2929" s="256" t="inlineStr">
        <is>
          <t>17.08.2026</t>
        </is>
      </c>
      <c r="N2929" s="256" t="inlineStr">
        <is>
          <t>Purely Plant GmbH (in-house)</t>
        </is>
      </c>
      <c r="O2929" s="256" t="inlineStr">
        <is>
          <t>—</t>
        </is>
      </c>
      <c r="P2929" s="256" t="inlineStr">
        <is>
          <t>covered</t>
        </is>
      </c>
      <c r="Q2929" s="256" t="inlineStr">
        <is>
          <t>Purely Plant laboratory — iCoA covering Foreign matter</t>
        </is>
      </c>
      <c r="R2929" s="256" t="inlineStr"/>
    </row>
    <row r="2930">
      <c r="A2930" s="256" t="inlineStr">
        <is>
          <t>CoQ-PP_26-128</t>
        </is>
      </c>
      <c r="B2930" s="256" t="inlineStr">
        <is>
          <t>reissue — retest</t>
        </is>
      </c>
      <c r="C2930" s="256" t="inlineStr">
        <is>
          <t>OMP1024_01</t>
        </is>
      </c>
      <c r="D2930" s="256" t="inlineStr">
        <is>
          <t>P050042</t>
        </is>
      </c>
      <c r="E2930" s="256" t="inlineStr">
        <is>
          <t>Orange Punch Mimosa</t>
        </is>
      </c>
      <c r="F2930" s="256" t="inlineStr">
        <is>
          <t>18.09.2026</t>
        </is>
      </c>
      <c r="G2930" s="256" t="inlineStr">
        <is>
          <t>8</t>
        </is>
      </c>
      <c r="H2930" s="256" t="inlineStr">
        <is>
          <t>Loss on Drying</t>
        </is>
      </c>
      <c r="I2930" s="256" t="inlineStr">
        <is>
          <t>DAB 2018 monograph Cannabis flos, 2.2.32 — loss on drying (CNP, before its Ph. Eur. 3028 accreditation)</t>
        </is>
      </c>
      <c r="J2930" s="256" t="inlineStr">
        <is>
          <t>≤ 12.0%</t>
        </is>
      </c>
      <c r="K2930" s="256" t="inlineStr">
        <is>
          <t>5.86</t>
        </is>
      </c>
      <c r="L2930" s="256" t="inlineStr">
        <is>
          <t>ППК25117</t>
        </is>
      </c>
      <c r="M2930" s="256" t="inlineStr">
        <is>
          <t>06.05.2025</t>
        </is>
      </c>
      <c r="N2930" s="256" t="inlineStr">
        <is>
          <t>UKIM Faculty of Pharmacy — Center for Natural Products</t>
        </is>
      </c>
      <c r="O2930" s="256" t="inlineStr">
        <is>
          <t>28.04.2025</t>
        </is>
      </c>
      <c r="P2930" s="256" t="inlineStr">
        <is>
          <t>carried from the initial testing (CoQ-PP-2025-0007) — covered</t>
        </is>
      </c>
      <c r="Q2930" s="256" t="inlineStr"/>
      <c r="R2930" s="256" t="inlineStr"/>
    </row>
    <row r="2931">
      <c r="A2931" s="256" t="inlineStr">
        <is>
          <t>CoQ-PP_26-128</t>
        </is>
      </c>
      <c r="B2931" s="256" t="inlineStr">
        <is>
          <t>reissue — retest</t>
        </is>
      </c>
      <c r="C2931" s="256" t="inlineStr">
        <is>
          <t>OMP1024_01</t>
        </is>
      </c>
      <c r="D2931" s="256" t="inlineStr">
        <is>
          <t>P050042</t>
        </is>
      </c>
      <c r="E2931" s="256" t="inlineStr">
        <is>
          <t>Orange Punch Mimosa</t>
        </is>
      </c>
      <c r="F2931" s="256" t="inlineStr">
        <is>
          <t>18.09.2026</t>
        </is>
      </c>
      <c r="G2931" s="256" t="inlineStr">
        <is>
          <t>9.1</t>
        </is>
      </c>
      <c r="H2931" s="256" t="inlineStr">
        <is>
          <t>TAMC</t>
        </is>
      </c>
      <c r="I2931" s="256" t="inlineStr">
        <is>
          <t>Ph. Eur. 2.6.12 cat. C</t>
        </is>
      </c>
      <c r="J2931" s="256" t="inlineStr">
        <is>
          <t>≤ 10⁵ CFU/g</t>
        </is>
      </c>
      <c r="K2931" s="256" t="inlineStr">
        <is>
          <t>&lt; 10</t>
        </is>
      </c>
      <c r="L2931" s="256" t="inlineStr">
        <is>
          <t>2156/2025</t>
        </is>
      </c>
      <c r="M2931" s="256" t="inlineStr">
        <is>
          <t>07.05.2025</t>
        </is>
      </c>
      <c r="N2931" s="256" t="inlineStr">
        <is>
          <t>IPH — Institute of Public Health</t>
        </is>
      </c>
      <c r="O2931" s="256" t="inlineStr">
        <is>
          <t>28.04.2025</t>
        </is>
      </c>
      <c r="P2931" s="256" t="inlineStr">
        <is>
          <t>carried from the initial testing (CoQ-PP-2025-0007) — covered</t>
        </is>
      </c>
      <c r="Q2931" s="256" t="inlineStr"/>
      <c r="R2931" s="256" t="inlineStr"/>
    </row>
    <row r="2932">
      <c r="A2932" s="256" t="inlineStr">
        <is>
          <t>CoQ-PP_26-128</t>
        </is>
      </c>
      <c r="B2932" s="256" t="inlineStr">
        <is>
          <t>reissue — retest</t>
        </is>
      </c>
      <c r="C2932" s="256" t="inlineStr">
        <is>
          <t>OMP1024_01</t>
        </is>
      </c>
      <c r="D2932" s="256" t="inlineStr">
        <is>
          <t>P050042</t>
        </is>
      </c>
      <c r="E2932" s="256" t="inlineStr">
        <is>
          <t>Orange Punch Mimosa</t>
        </is>
      </c>
      <c r="F2932" s="256" t="inlineStr">
        <is>
          <t>18.09.2026</t>
        </is>
      </c>
      <c r="G2932" s="256" t="inlineStr">
        <is>
          <t>9.2</t>
        </is>
      </c>
      <c r="H2932" s="256" t="inlineStr">
        <is>
          <t>TYMC</t>
        </is>
      </c>
      <c r="I2932" s="256" t="inlineStr">
        <is>
          <t>Ph. Eur. 2.6.12 cat. C</t>
        </is>
      </c>
      <c r="J2932" s="256" t="inlineStr">
        <is>
          <t>≤ 10⁴ CFU/g</t>
        </is>
      </c>
      <c r="K2932" s="256" t="inlineStr">
        <is>
          <t>&lt; 10</t>
        </is>
      </c>
      <c r="L2932" s="256" t="inlineStr">
        <is>
          <t>2156/2025</t>
        </is>
      </c>
      <c r="M2932" s="256" t="inlineStr">
        <is>
          <t>07.05.2025</t>
        </is>
      </c>
      <c r="N2932" s="256" t="inlineStr">
        <is>
          <t>IPH — Institute of Public Health</t>
        </is>
      </c>
      <c r="O2932" s="256" t="inlineStr">
        <is>
          <t>28.04.2025</t>
        </is>
      </c>
      <c r="P2932" s="256" t="inlineStr">
        <is>
          <t>carried from the initial testing (CoQ-PP-2025-0007) — covered</t>
        </is>
      </c>
      <c r="Q2932" s="256" t="inlineStr"/>
      <c r="R2932" s="256" t="inlineStr"/>
    </row>
    <row r="2933">
      <c r="A2933" s="256" t="inlineStr">
        <is>
          <t>CoQ-PP_26-128</t>
        </is>
      </c>
      <c r="B2933" s="256" t="inlineStr">
        <is>
          <t>reissue — retest</t>
        </is>
      </c>
      <c r="C2933" s="256" t="inlineStr">
        <is>
          <t>OMP1024_01</t>
        </is>
      </c>
      <c r="D2933" s="256" t="inlineStr">
        <is>
          <t>P050042</t>
        </is>
      </c>
      <c r="E2933" s="256" t="inlineStr">
        <is>
          <t>Orange Punch Mimosa</t>
        </is>
      </c>
      <c r="F2933" s="256" t="inlineStr">
        <is>
          <t>18.09.2026</t>
        </is>
      </c>
      <c r="G2933" s="256" t="inlineStr">
        <is>
          <t>9.3</t>
        </is>
      </c>
      <c r="H2933" s="256" t="inlineStr">
        <is>
          <t>Bile-tolerant gram-neg.</t>
        </is>
      </c>
      <c r="I2933" s="256" t="inlineStr">
        <is>
          <t>Ph. Eur. 2.6.31 cat. C</t>
        </is>
      </c>
      <c r="J2933" s="256" t="inlineStr">
        <is>
          <t>≤ 10⁴ CFU/g</t>
        </is>
      </c>
      <c r="K2933" s="256" t="inlineStr">
        <is>
          <t>&lt; 10² and &gt; 10</t>
        </is>
      </c>
      <c r="L2933" s="256" t="inlineStr">
        <is>
          <t>2156/2025</t>
        </is>
      </c>
      <c r="M2933" s="256" t="inlineStr">
        <is>
          <t>07.05.2025</t>
        </is>
      </c>
      <c r="N2933" s="256" t="inlineStr">
        <is>
          <t>IPH — Institute of Public Health</t>
        </is>
      </c>
      <c r="O2933" s="256" t="inlineStr">
        <is>
          <t>28.04.2025</t>
        </is>
      </c>
      <c r="P2933" s="256" t="inlineStr">
        <is>
          <t>carried from the initial testing (CoQ-PP-2025-0007) — covered</t>
        </is>
      </c>
      <c r="Q2933" s="256" t="inlineStr"/>
      <c r="R2933" s="256" t="inlineStr"/>
    </row>
    <row r="2934">
      <c r="A2934" s="256" t="inlineStr">
        <is>
          <t>CoQ-PP_26-128</t>
        </is>
      </c>
      <c r="B2934" s="256" t="inlineStr">
        <is>
          <t>reissue — retest</t>
        </is>
      </c>
      <c r="C2934" s="256" t="inlineStr">
        <is>
          <t>OMP1024_01</t>
        </is>
      </c>
      <c r="D2934" s="256" t="inlineStr">
        <is>
          <t>P050042</t>
        </is>
      </c>
      <c r="E2934" s="256" t="inlineStr">
        <is>
          <t>Orange Punch Mimosa</t>
        </is>
      </c>
      <c r="F2934" s="256" t="inlineStr">
        <is>
          <t>18.09.2026</t>
        </is>
      </c>
      <c r="G2934" s="256" t="inlineStr">
        <is>
          <t>9.4</t>
        </is>
      </c>
      <c r="H2934" s="256" t="inlineStr">
        <is>
          <t>Salmonella</t>
        </is>
      </c>
      <c r="I2934" s="256" t="inlineStr">
        <is>
          <t>Ph. Eur. 2.6.31 cat. C</t>
        </is>
      </c>
      <c r="J2934" s="256" t="inlineStr">
        <is>
          <t>Absence | Отсуство / 25 g</t>
        </is>
      </c>
      <c r="K2934" s="256" t="inlineStr">
        <is>
          <t>Absent | Отсутна</t>
        </is>
      </c>
      <c r="L2934" s="256" t="inlineStr">
        <is>
          <t>2156/2025</t>
        </is>
      </c>
      <c r="M2934" s="256" t="inlineStr">
        <is>
          <t>07.05.2025</t>
        </is>
      </c>
      <c r="N2934" s="256" t="inlineStr">
        <is>
          <t>IPH — Institute of Public Health</t>
        </is>
      </c>
      <c r="O2934" s="256" t="inlineStr">
        <is>
          <t>28.04.2025</t>
        </is>
      </c>
      <c r="P2934" s="256" t="inlineStr">
        <is>
          <t>carried from the initial testing (CoQ-PP-2025-0007) — covered</t>
        </is>
      </c>
      <c r="Q2934" s="256" t="inlineStr"/>
      <c r="R2934" s="256" t="inlineStr"/>
    </row>
    <row r="2935">
      <c r="A2935" s="256" t="inlineStr">
        <is>
          <t>CoQ-PP_26-128</t>
        </is>
      </c>
      <c r="B2935" s="256" t="inlineStr">
        <is>
          <t>reissue — retest</t>
        </is>
      </c>
      <c r="C2935" s="256" t="inlineStr">
        <is>
          <t>OMP1024_01</t>
        </is>
      </c>
      <c r="D2935" s="256" t="inlineStr">
        <is>
          <t>P050042</t>
        </is>
      </c>
      <c r="E2935" s="256" t="inlineStr">
        <is>
          <t>Orange Punch Mimosa</t>
        </is>
      </c>
      <c r="F2935" s="256" t="inlineStr">
        <is>
          <t>18.09.2026</t>
        </is>
      </c>
      <c r="G2935" s="256" t="inlineStr">
        <is>
          <t>9.5</t>
        </is>
      </c>
      <c r="H2935" s="256" t="inlineStr">
        <is>
          <t>Escherichia coli</t>
        </is>
      </c>
      <c r="I2935" s="256" t="inlineStr">
        <is>
          <t>Ph. Eur. 2.6.13 cat. C</t>
        </is>
      </c>
      <c r="J2935" s="256" t="inlineStr">
        <is>
          <t>Absence | Отсуство / 1 g</t>
        </is>
      </c>
      <c r="K2935" s="256" t="inlineStr">
        <is>
          <t>Absent | Отсутна</t>
        </is>
      </c>
      <c r="L2935" s="256" t="inlineStr">
        <is>
          <t>2156/2025</t>
        </is>
      </c>
      <c r="M2935" s="256" t="inlineStr">
        <is>
          <t>07.05.2025</t>
        </is>
      </c>
      <c r="N2935" s="256" t="inlineStr">
        <is>
          <t>IPH — Institute of Public Health</t>
        </is>
      </c>
      <c r="O2935" s="256" t="inlineStr">
        <is>
          <t>28.04.2025</t>
        </is>
      </c>
      <c r="P2935" s="256" t="inlineStr">
        <is>
          <t>carried from the initial testing (CoQ-PP-2025-0007) — covered</t>
        </is>
      </c>
      <c r="Q2935" s="256" t="inlineStr"/>
      <c r="R2935" s="256" t="inlineStr"/>
    </row>
    <row r="2936">
      <c r="A2936" s="256" t="inlineStr">
        <is>
          <t>CoQ-PP_26-128</t>
        </is>
      </c>
      <c r="B2936" s="256" t="inlineStr">
        <is>
          <t>reissue — retest</t>
        </is>
      </c>
      <c r="C2936" s="256" t="inlineStr">
        <is>
          <t>OMP1024_01</t>
        </is>
      </c>
      <c r="D2936" s="256" t="inlineStr">
        <is>
          <t>P050042</t>
        </is>
      </c>
      <c r="E2936" s="256" t="inlineStr">
        <is>
          <t>Orange Punch Mimosa</t>
        </is>
      </c>
      <c r="F2936" s="256" t="inlineStr">
        <is>
          <t>18.09.2026</t>
        </is>
      </c>
      <c r="G2936" s="256" t="inlineStr">
        <is>
          <t>9.6</t>
        </is>
      </c>
      <c r="H2936" s="256" t="inlineStr">
        <is>
          <t>Pseudomonas aeruginosa</t>
        </is>
      </c>
      <c r="I2936" s="256" t="inlineStr">
        <is>
          <t>Ph. Eur. 2.6.13 cat. C</t>
        </is>
      </c>
      <c r="J2936" s="256" t="inlineStr">
        <is>
          <t>Absence | Отсуство / 1 g</t>
        </is>
      </c>
      <c r="K2936" s="260" t="inlineStr">
        <is>
          <t>upon request — not required for release</t>
        </is>
      </c>
      <c r="L2936" s="256" t="inlineStr">
        <is>
          <t>—</t>
        </is>
      </c>
      <c r="M2936" s="256" t="inlineStr">
        <is>
          <t>—</t>
        </is>
      </c>
      <c r="N2936" s="256" t="inlineStr">
        <is>
          <t>—</t>
        </is>
      </c>
      <c r="O2936" s="256" t="inlineStr">
        <is>
          <t>—</t>
        </is>
      </c>
      <c r="P2936" s="256" t="inlineStr">
        <is>
          <t>upon request — not required for release</t>
        </is>
      </c>
      <c r="Q2936" s="256" t="inlineStr"/>
      <c r="R2936" s="256" t="inlineStr"/>
    </row>
    <row r="2937">
      <c r="A2937" s="256" t="inlineStr">
        <is>
          <t>CoQ-PP_26-128</t>
        </is>
      </c>
      <c r="B2937" s="256" t="inlineStr">
        <is>
          <t>reissue — retest</t>
        </is>
      </c>
      <c r="C2937" s="256" t="inlineStr">
        <is>
          <t>OMP1024_01</t>
        </is>
      </c>
      <c r="D2937" s="256" t="inlineStr">
        <is>
          <t>P050042</t>
        </is>
      </c>
      <c r="E2937" s="256" t="inlineStr">
        <is>
          <t>Orange Punch Mimosa</t>
        </is>
      </c>
      <c r="F2937" s="256" t="inlineStr">
        <is>
          <t>18.09.2026</t>
        </is>
      </c>
      <c r="G2937" s="256" t="inlineStr">
        <is>
          <t>9.7</t>
        </is>
      </c>
      <c r="H2937" s="256" t="inlineStr">
        <is>
          <t>Staphylococcus aureus</t>
        </is>
      </c>
      <c r="I2937" s="256" t="inlineStr">
        <is>
          <t>Ph. Eur. 2.6.13 cat. C</t>
        </is>
      </c>
      <c r="J2937" s="256" t="inlineStr">
        <is>
          <t>Absence | Отсуство / 1 g</t>
        </is>
      </c>
      <c r="K2937" s="260" t="inlineStr">
        <is>
          <t>upon request — not required for release</t>
        </is>
      </c>
      <c r="L2937" s="256" t="inlineStr">
        <is>
          <t>—</t>
        </is>
      </c>
      <c r="M2937" s="256" t="inlineStr">
        <is>
          <t>—</t>
        </is>
      </c>
      <c r="N2937" s="256" t="inlineStr">
        <is>
          <t>—</t>
        </is>
      </c>
      <c r="O2937" s="256" t="inlineStr">
        <is>
          <t>—</t>
        </is>
      </c>
      <c r="P2937" s="256" t="inlineStr">
        <is>
          <t>upon request — not required for release</t>
        </is>
      </c>
      <c r="Q2937" s="256" t="inlineStr"/>
      <c r="R2937" s="256" t="inlineStr"/>
    </row>
    <row r="2938">
      <c r="A2938" s="256" t="inlineStr">
        <is>
          <t>CoQ-PP_26-128</t>
        </is>
      </c>
      <c r="B2938" s="256" t="inlineStr">
        <is>
          <t>reissue — retest</t>
        </is>
      </c>
      <c r="C2938" s="256" t="inlineStr">
        <is>
          <t>OMP1024_01</t>
        </is>
      </c>
      <c r="D2938" s="256" t="inlineStr">
        <is>
          <t>P050042</t>
        </is>
      </c>
      <c r="E2938" s="256" t="inlineStr">
        <is>
          <t>Orange Punch Mimosa</t>
        </is>
      </c>
      <c r="F2938" s="256" t="inlineStr">
        <is>
          <t>18.09.2026</t>
        </is>
      </c>
      <c r="G2938" s="256" t="inlineStr">
        <is>
          <t>10.1</t>
        </is>
      </c>
      <c r="H2938" s="256" t="inlineStr">
        <is>
          <t>Aflatoxin B₁</t>
        </is>
      </c>
      <c r="I2938" s="256" t="inlineStr">
        <is>
          <t>Ph. Eur. 2.8.18 (HPLC-FLD)</t>
        </is>
      </c>
      <c r="J2938" s="256" t="inlineStr">
        <is>
          <t>≤ 2 µg/kg</t>
        </is>
      </c>
      <c r="K2938" s="256" t="inlineStr">
        <is>
          <t>ND</t>
        </is>
      </c>
      <c r="L2938" s="256" t="inlineStr">
        <is>
          <t>220-21-М/26</t>
        </is>
      </c>
      <c r="M2938" s="256" t="inlineStr">
        <is>
          <t>11.09.2026</t>
        </is>
      </c>
      <c r="N2938" s="256" t="inlineStr">
        <is>
          <t>Farmahem</t>
        </is>
      </c>
      <c r="O2938" s="256" t="inlineStr">
        <is>
          <t>17.08.2026</t>
        </is>
      </c>
      <c r="P2938" s="256" t="inlineStr">
        <is>
          <t>covered</t>
        </is>
      </c>
      <c r="Q2938" s="256" t="inlineStr"/>
      <c r="R2938" s="256" t="inlineStr"/>
    </row>
    <row r="2939">
      <c r="A2939" s="256" t="inlineStr">
        <is>
          <t>CoQ-PP_26-128</t>
        </is>
      </c>
      <c r="B2939" s="256" t="inlineStr">
        <is>
          <t>reissue — retest</t>
        </is>
      </c>
      <c r="C2939" s="256" t="inlineStr">
        <is>
          <t>OMP1024_01</t>
        </is>
      </c>
      <c r="D2939" s="256" t="inlineStr">
        <is>
          <t>P050042</t>
        </is>
      </c>
      <c r="E2939" s="256" t="inlineStr">
        <is>
          <t>Orange Punch Mimosa</t>
        </is>
      </c>
      <c r="F2939" s="256" t="inlineStr">
        <is>
          <t>18.09.2026</t>
        </is>
      </c>
      <c r="G2939" s="256" t="inlineStr">
        <is>
          <t>10.2</t>
        </is>
      </c>
      <c r="H2939" s="256" t="inlineStr">
        <is>
          <t>Aflatoxins ∑</t>
        </is>
      </c>
      <c r="I2939" s="256" t="inlineStr">
        <is>
          <t>Ph. Eur. 2.8.18 (HPLC-FLD)</t>
        </is>
      </c>
      <c r="J2939" s="256" t="inlineStr">
        <is>
          <t>≤ 4 µg/kg</t>
        </is>
      </c>
      <c r="K2939" s="256" t="inlineStr">
        <is>
          <t>ND</t>
        </is>
      </c>
      <c r="L2939" s="256" t="inlineStr">
        <is>
          <t>220-21-М/26</t>
        </is>
      </c>
      <c r="M2939" s="256" t="inlineStr">
        <is>
          <t>11.09.2026</t>
        </is>
      </c>
      <c r="N2939" s="256" t="inlineStr">
        <is>
          <t>Farmahem</t>
        </is>
      </c>
      <c r="O2939" s="256" t="inlineStr">
        <is>
          <t>17.08.2026</t>
        </is>
      </c>
      <c r="P2939" s="256" t="inlineStr">
        <is>
          <t>covered</t>
        </is>
      </c>
      <c r="Q2939" s="256" t="inlineStr"/>
      <c r="R2939" s="256" t="inlineStr"/>
    </row>
    <row r="2940">
      <c r="A2940" s="256" t="inlineStr">
        <is>
          <t>CoQ-PP_26-128</t>
        </is>
      </c>
      <c r="B2940" s="256" t="inlineStr">
        <is>
          <t>reissue — retest</t>
        </is>
      </c>
      <c r="C2940" s="256" t="inlineStr">
        <is>
          <t>OMP1024_01</t>
        </is>
      </c>
      <c r="D2940" s="256" t="inlineStr">
        <is>
          <t>P050042</t>
        </is>
      </c>
      <c r="E2940" s="256" t="inlineStr">
        <is>
          <t>Orange Punch Mimosa</t>
        </is>
      </c>
      <c r="F2940" s="256" t="inlineStr">
        <is>
          <t>18.09.2026</t>
        </is>
      </c>
      <c r="G2940" s="256" t="inlineStr">
        <is>
          <t>10.3</t>
        </is>
      </c>
      <c r="H2940" s="256" t="inlineStr">
        <is>
          <t>Ochratoxin A</t>
        </is>
      </c>
      <c r="I2940" s="256" t="inlineStr">
        <is>
          <t>Ph. Eur. 2.8.22 (HPLC-FLD)</t>
        </is>
      </c>
      <c r="J2940" s="256" t="inlineStr">
        <is>
          <t>≤ 20 µg/kg</t>
        </is>
      </c>
      <c r="K2940" s="256" t="inlineStr">
        <is>
          <t>ND</t>
        </is>
      </c>
      <c r="L2940" s="256" t="inlineStr">
        <is>
          <t>220-21-М/26</t>
        </is>
      </c>
      <c r="M2940" s="256" t="inlineStr">
        <is>
          <t>11.09.2026</t>
        </is>
      </c>
      <c r="N2940" s="256" t="inlineStr">
        <is>
          <t>Farmahem</t>
        </is>
      </c>
      <c r="O2940" s="256" t="inlineStr">
        <is>
          <t>17.08.2026</t>
        </is>
      </c>
      <c r="P2940" s="256" t="inlineStr">
        <is>
          <t>covered</t>
        </is>
      </c>
      <c r="Q2940" s="256" t="inlineStr"/>
      <c r="R2940" s="256" t="inlineStr"/>
    </row>
    <row r="2941">
      <c r="A2941" s="256" t="inlineStr">
        <is>
          <t>CoQ-PP_26-128</t>
        </is>
      </c>
      <c r="B2941" s="256" t="inlineStr">
        <is>
          <t>reissue — retest</t>
        </is>
      </c>
      <c r="C2941" s="256" t="inlineStr">
        <is>
          <t>OMP1024_01</t>
        </is>
      </c>
      <c r="D2941" s="256" t="inlineStr">
        <is>
          <t>P050042</t>
        </is>
      </c>
      <c r="E2941" s="256" t="inlineStr">
        <is>
          <t>Orange Punch Mimosa</t>
        </is>
      </c>
      <c r="F2941" s="256" t="inlineStr">
        <is>
          <t>18.09.2026</t>
        </is>
      </c>
      <c r="G2941" s="256" t="inlineStr">
        <is>
          <t>11.1</t>
        </is>
      </c>
      <c r="H2941" s="256" t="inlineStr">
        <is>
          <t>Lead (Pb)</t>
        </is>
      </c>
      <c r="I2941" s="256" t="inlineStr">
        <is>
          <t>Ph. Eur. 2.4.27 (ICP-MS)</t>
        </is>
      </c>
      <c r="J2941" s="256" t="inlineStr">
        <is>
          <t>≤ 0.5 mg/kg</t>
        </is>
      </c>
      <c r="K2941" s="256" t="inlineStr">
        <is>
          <t>0.031</t>
        </is>
      </c>
      <c r="L2941" s="256" t="inlineStr">
        <is>
          <t>2156/2025</t>
        </is>
      </c>
      <c r="M2941" s="256" t="inlineStr">
        <is>
          <t>07.05.2025</t>
        </is>
      </c>
      <c r="N2941" s="256" t="inlineStr">
        <is>
          <t>IPH — Institute of Public Health</t>
        </is>
      </c>
      <c r="O2941" s="256" t="inlineStr">
        <is>
          <t>28.04.2025</t>
        </is>
      </c>
      <c r="P2941" s="256" t="inlineStr">
        <is>
          <t>carried from the initial testing (CoQ-PP-2025-0007) — covered</t>
        </is>
      </c>
      <c r="Q2941" s="256" t="inlineStr"/>
      <c r="R2941" s="256" t="inlineStr"/>
    </row>
    <row r="2942">
      <c r="A2942" s="256" t="inlineStr">
        <is>
          <t>CoQ-PP_26-128</t>
        </is>
      </c>
      <c r="B2942" s="256" t="inlineStr">
        <is>
          <t>reissue — retest</t>
        </is>
      </c>
      <c r="C2942" s="256" t="inlineStr">
        <is>
          <t>OMP1024_01</t>
        </is>
      </c>
      <c r="D2942" s="256" t="inlineStr">
        <is>
          <t>P050042</t>
        </is>
      </c>
      <c r="E2942" s="256" t="inlineStr">
        <is>
          <t>Orange Punch Mimosa</t>
        </is>
      </c>
      <c r="F2942" s="256" t="inlineStr">
        <is>
          <t>18.09.2026</t>
        </is>
      </c>
      <c r="G2942" s="256" t="inlineStr">
        <is>
          <t>11.2</t>
        </is>
      </c>
      <c r="H2942" s="256" t="inlineStr">
        <is>
          <t>Cadmium (Cd)</t>
        </is>
      </c>
      <c r="I2942" s="256" t="inlineStr">
        <is>
          <t>Ph. Eur. 2.4.27 (ICP-MS)</t>
        </is>
      </c>
      <c r="J2942" s="256" t="inlineStr">
        <is>
          <t>≤ 0.3 mg/kg</t>
        </is>
      </c>
      <c r="K2942" s="256" t="inlineStr">
        <is>
          <t>0.004</t>
        </is>
      </c>
      <c r="L2942" s="256" t="inlineStr">
        <is>
          <t>2156/2025</t>
        </is>
      </c>
      <c r="M2942" s="256" t="inlineStr">
        <is>
          <t>07.05.2025</t>
        </is>
      </c>
      <c r="N2942" s="256" t="inlineStr">
        <is>
          <t>IPH — Institute of Public Health</t>
        </is>
      </c>
      <c r="O2942" s="256" t="inlineStr">
        <is>
          <t>28.04.2025</t>
        </is>
      </c>
      <c r="P2942" s="256" t="inlineStr">
        <is>
          <t>carried from the initial testing (CoQ-PP-2025-0007) — covered</t>
        </is>
      </c>
      <c r="Q2942" s="256" t="inlineStr"/>
      <c r="R2942" s="256" t="inlineStr"/>
    </row>
    <row r="2943">
      <c r="A2943" s="256" t="inlineStr">
        <is>
          <t>CoQ-PP_26-128</t>
        </is>
      </c>
      <c r="B2943" s="256" t="inlineStr">
        <is>
          <t>reissue — retest</t>
        </is>
      </c>
      <c r="C2943" s="256" t="inlineStr">
        <is>
          <t>OMP1024_01</t>
        </is>
      </c>
      <c r="D2943" s="256" t="inlineStr">
        <is>
          <t>P050042</t>
        </is>
      </c>
      <c r="E2943" s="256" t="inlineStr">
        <is>
          <t>Orange Punch Mimosa</t>
        </is>
      </c>
      <c r="F2943" s="256" t="inlineStr">
        <is>
          <t>18.09.2026</t>
        </is>
      </c>
      <c r="G2943" s="256" t="inlineStr">
        <is>
          <t>11.3</t>
        </is>
      </c>
      <c r="H2943" s="256" t="inlineStr">
        <is>
          <t>Arsenic (As)</t>
        </is>
      </c>
      <c r="I2943" s="256" t="inlineStr">
        <is>
          <t>Ph. Eur. 2.4.27 (ICP-MS)</t>
        </is>
      </c>
      <c r="J2943" s="256" t="inlineStr">
        <is>
          <t>≤ 0.2 mg/kg</t>
        </is>
      </c>
      <c r="K2943" s="256" t="inlineStr">
        <is>
          <t>0.01</t>
        </is>
      </c>
      <c r="L2943" s="256" t="inlineStr">
        <is>
          <t>2156/2025</t>
        </is>
      </c>
      <c r="M2943" s="256" t="inlineStr">
        <is>
          <t>07.05.2025</t>
        </is>
      </c>
      <c r="N2943" s="256" t="inlineStr">
        <is>
          <t>IPH — Institute of Public Health</t>
        </is>
      </c>
      <c r="O2943" s="256" t="inlineStr">
        <is>
          <t>28.04.2025</t>
        </is>
      </c>
      <c r="P2943" s="256" t="inlineStr">
        <is>
          <t>carried from the initial testing (CoQ-PP-2025-0007) — covered</t>
        </is>
      </c>
      <c r="Q2943" s="256" t="inlineStr"/>
      <c r="R2943" s="256" t="inlineStr"/>
    </row>
    <row r="2944">
      <c r="A2944" s="256" t="inlineStr">
        <is>
          <t>CoQ-PP_26-128</t>
        </is>
      </c>
      <c r="B2944" s="256" t="inlineStr">
        <is>
          <t>reissue — retest</t>
        </is>
      </c>
      <c r="C2944" s="256" t="inlineStr">
        <is>
          <t>OMP1024_01</t>
        </is>
      </c>
      <c r="D2944" s="256" t="inlineStr">
        <is>
          <t>P050042</t>
        </is>
      </c>
      <c r="E2944" s="256" t="inlineStr">
        <is>
          <t>Orange Punch Mimosa</t>
        </is>
      </c>
      <c r="F2944" s="256" t="inlineStr">
        <is>
          <t>18.09.2026</t>
        </is>
      </c>
      <c r="G2944" s="256" t="inlineStr">
        <is>
          <t>11.4</t>
        </is>
      </c>
      <c r="H2944" s="256" t="inlineStr">
        <is>
          <t>Mercury (Hg)</t>
        </is>
      </c>
      <c r="I2944" s="256" t="inlineStr">
        <is>
          <t>Ph. Eur. 2.4.27 (ICP-MS)</t>
        </is>
      </c>
      <c r="J2944" s="256" t="inlineStr">
        <is>
          <t>≤ 0.1 mg/kg</t>
        </is>
      </c>
      <c r="K2944" s="256" t="inlineStr">
        <is>
          <t>0.001</t>
        </is>
      </c>
      <c r="L2944" s="256" t="inlineStr">
        <is>
          <t>2156/2025</t>
        </is>
      </c>
      <c r="M2944" s="256" t="inlineStr">
        <is>
          <t>07.05.2025</t>
        </is>
      </c>
      <c r="N2944" s="256" t="inlineStr">
        <is>
          <t>IPH — Institute of Public Health</t>
        </is>
      </c>
      <c r="O2944" s="256" t="inlineStr">
        <is>
          <t>28.04.2025</t>
        </is>
      </c>
      <c r="P2944" s="256" t="inlineStr">
        <is>
          <t>carried from the initial testing (CoQ-PP-2025-0007) — covered</t>
        </is>
      </c>
      <c r="Q2944" s="256" t="inlineStr"/>
      <c r="R2944" s="256" t="inlineStr"/>
    </row>
    <row r="2945">
      <c r="A2945" s="256" t="inlineStr">
        <is>
          <t>CoQ-PP_26-128</t>
        </is>
      </c>
      <c r="B2945" s="256" t="inlineStr">
        <is>
          <t>reissue — retest</t>
        </is>
      </c>
      <c r="C2945" s="256" t="inlineStr">
        <is>
          <t>OMP1024_01</t>
        </is>
      </c>
      <c r="D2945" s="256" t="inlineStr">
        <is>
          <t>P050042</t>
        </is>
      </c>
      <c r="E2945" s="256" t="inlineStr">
        <is>
          <t>Orange Punch Mimosa</t>
        </is>
      </c>
      <c r="F2945" s="256" t="inlineStr">
        <is>
          <t>18.09.2026</t>
        </is>
      </c>
      <c r="G2945" s="256" t="inlineStr">
        <is>
          <t>12</t>
        </is>
      </c>
      <c r="H2945" s="256" t="inlineStr">
        <is>
          <t>Pesticide Residues</t>
        </is>
      </c>
      <c r="I2945" s="256" t="inlineStr">
        <is>
          <t>Ph. Eur. 2.8.13 (LC-MS/MS) · CUMCS Equivalency</t>
        </is>
      </c>
      <c r="J2945" s="256" t="inlineStr">
        <is>
          <t>≤ LOQ as per Ph. Eur. 2.8.13 · ≤ LOQ as per CUMCS Equivalency</t>
        </is>
      </c>
      <c r="K2945" s="256" t="inlineStr">
        <is>
          <t>ND</t>
        </is>
      </c>
      <c r="L2945" s="256" t="inlineStr">
        <is>
          <t>2156/2025</t>
        </is>
      </c>
      <c r="M2945" s="256" t="inlineStr">
        <is>
          <t>07.05.2025</t>
        </is>
      </c>
      <c r="N2945" s="256" t="inlineStr">
        <is>
          <t>IPH — Institute of Public Health</t>
        </is>
      </c>
      <c r="O2945" s="256" t="inlineStr">
        <is>
          <t>28.04.2025</t>
        </is>
      </c>
      <c r="P2945" s="256" t="inlineStr">
        <is>
          <t>carried from the initial testing (CoQ-PP-2025-0007) — covered</t>
        </is>
      </c>
      <c r="Q2945" s="256" t="inlineStr"/>
      <c r="R2945" s="256" t="inlineStr"/>
    </row>
    <row r="2946">
      <c r="A2946" s="256" t="inlineStr">
        <is>
          <t>CoQ-PP_26-129</t>
        </is>
      </c>
      <c r="B2946" s="256" t="inlineStr">
        <is>
          <t>reissue — retest</t>
        </is>
      </c>
      <c r="C2946" s="256" t="inlineStr">
        <is>
          <t>OPM092501</t>
        </is>
      </c>
      <c r="D2946" s="256" t="inlineStr">
        <is>
          <t>P060042</t>
        </is>
      </c>
      <c r="E2946" s="256" t="inlineStr">
        <is>
          <t>Orange Punch Mimosa</t>
        </is>
      </c>
      <c r="F2946" s="256" t="inlineStr">
        <is>
          <t>18.09.2026</t>
        </is>
      </c>
      <c r="G2946" s="256" t="inlineStr">
        <is>
          <t>1</t>
        </is>
      </c>
      <c r="H2946" s="256" t="inlineStr">
        <is>
          <t>Identification A, Appearance · Macroscopic</t>
        </is>
      </c>
      <c r="I2946" s="256" t="inlineStr">
        <is>
          <t>Ph. Eur. mon. 3028</t>
        </is>
      </c>
      <c r="J2946" s="256" t="inlineStr">
        <is>
          <t>Conforms to the monograph for Cannabis flos (07/2024:3028) in Ph. Eur. 11.0 | Согласно монографија за Cannabis flos (07/2024:3028) во Ph. Eur. 11.0</t>
        </is>
      </c>
      <c r="K2946" s="256" t="inlineStr">
        <is>
          <t>Conforms | Одговара</t>
        </is>
      </c>
      <c r="L2946" s="256" t="inlineStr">
        <is>
          <t>iCoA-PP_26-143</t>
        </is>
      </c>
      <c r="M2946" s="256" t="inlineStr">
        <is>
          <t>17.08.2026</t>
        </is>
      </c>
      <c r="N2946" s="256" t="inlineStr">
        <is>
          <t>Purely Plant GmbH (in-house)</t>
        </is>
      </c>
      <c r="O2946" s="256" t="inlineStr">
        <is>
          <t>—</t>
        </is>
      </c>
      <c r="P2946" s="256" t="inlineStr">
        <is>
          <t>covered</t>
        </is>
      </c>
      <c r="Q2946" s="256" t="inlineStr">
        <is>
          <t>Farmahem — Ident A + B + C with the Assay, at retest</t>
        </is>
      </c>
      <c r="R2946" s="256" t="inlineStr"/>
    </row>
    <row r="2947">
      <c r="A2947" s="256" t="inlineStr">
        <is>
          <t>CoQ-PP_26-129</t>
        </is>
      </c>
      <c r="B2947" s="256" t="inlineStr">
        <is>
          <t>reissue — retest</t>
        </is>
      </c>
      <c r="C2947" s="256" t="inlineStr">
        <is>
          <t>OPM092501</t>
        </is>
      </c>
      <c r="D2947" s="256" t="inlineStr">
        <is>
          <t>P060042</t>
        </is>
      </c>
      <c r="E2947" s="256" t="inlineStr">
        <is>
          <t>Orange Punch Mimosa</t>
        </is>
      </c>
      <c r="F2947" s="256" t="inlineStr">
        <is>
          <t>18.09.2026</t>
        </is>
      </c>
      <c r="G2947" s="256" t="inlineStr">
        <is>
          <t>2</t>
        </is>
      </c>
      <c r="H2947" s="256" t="inlineStr">
        <is>
          <t>Identification B · Microscopic</t>
        </is>
      </c>
      <c r="I2947" s="256" t="inlineStr">
        <is>
          <t>Ph. Eur. 2.8.23 (microscopy)</t>
        </is>
      </c>
      <c r="J2947" s="256" t="inlineStr">
        <is>
          <t>Conforms to the monograph for Cannabis flos (07/2024:3028) in Ph. Eur. 11.0 | Согласно монографија за Cannabis flos (07/2024:3028) во Ph. Eur. 11.0</t>
        </is>
      </c>
      <c r="K2947" s="256" t="inlineStr">
        <is>
          <t>Conforms | Одговара</t>
        </is>
      </c>
      <c r="L2947" s="256" t="inlineStr">
        <is>
          <t>iCoA-PP_26-143</t>
        </is>
      </c>
      <c r="M2947" s="256" t="inlineStr">
        <is>
          <t>17.08.2026</t>
        </is>
      </c>
      <c r="N2947" s="256" t="inlineStr">
        <is>
          <t>Purely Plant GmbH (in-house)</t>
        </is>
      </c>
      <c r="O2947" s="256" t="inlineStr">
        <is>
          <t>—</t>
        </is>
      </c>
      <c r="P2947" s="256" t="inlineStr">
        <is>
          <t>covered</t>
        </is>
      </c>
      <c r="Q2947" s="256" t="inlineStr">
        <is>
          <t>Farmahem — Ident A + B + C with the Assay, at retest</t>
        </is>
      </c>
      <c r="R2947" s="256" t="inlineStr"/>
    </row>
    <row r="2948">
      <c r="A2948" s="256" t="inlineStr">
        <is>
          <t>CoQ-PP_26-129</t>
        </is>
      </c>
      <c r="B2948" s="256" t="inlineStr">
        <is>
          <t>reissue — retest</t>
        </is>
      </c>
      <c r="C2948" s="256" t="inlineStr">
        <is>
          <t>OPM092501</t>
        </is>
      </c>
      <c r="D2948" s="256" t="inlineStr">
        <is>
          <t>P060042</t>
        </is>
      </c>
      <c r="E2948" s="256" t="inlineStr">
        <is>
          <t>Orange Punch Mimosa</t>
        </is>
      </c>
      <c r="F2948" s="256" t="inlineStr">
        <is>
          <t>18.09.2026</t>
        </is>
      </c>
      <c r="G2948" s="256" t="inlineStr">
        <is>
          <t>3</t>
        </is>
      </c>
      <c r="H2948" s="256" t="inlineStr">
        <is>
          <t>Identification C · HPLC/HPTLC</t>
        </is>
      </c>
      <c r="I2948" s="256" t="inlineStr">
        <is>
          <t>Ph. Eur. 2.2.29 (3028)</t>
        </is>
      </c>
      <c r="J2948" s="256" t="inlineStr">
        <is>
          <t>Conforms to the monograph for Cannabis flos (07/2024:3028) in Ph. Eur. 11.0 | Согласно монографија за Cannabis flos (07/2024:3028) во Ph. Eur. 11.0</t>
        </is>
      </c>
      <c r="K2948" s="256" t="inlineStr">
        <is>
          <t>Conforms | Одговара</t>
        </is>
      </c>
      <c r="L2948" s="256" t="inlineStr">
        <is>
          <t>220-22-К/26</t>
        </is>
      </c>
      <c r="M2948" s="256" t="inlineStr">
        <is>
          <t>26.08.2026</t>
        </is>
      </c>
      <c r="N2948" s="256" t="inlineStr">
        <is>
          <t>Farmahem</t>
        </is>
      </c>
      <c r="O2948" s="256" t="inlineStr">
        <is>
          <t>17.08.2026</t>
        </is>
      </c>
      <c r="P2948" s="256" t="inlineStr">
        <is>
          <t>covered</t>
        </is>
      </c>
      <c r="Q2948" s="256" t="inlineStr"/>
      <c r="R2948" s="256" t="inlineStr"/>
    </row>
    <row r="2949">
      <c r="A2949" s="256" t="inlineStr">
        <is>
          <t>CoQ-PP_26-129</t>
        </is>
      </c>
      <c r="B2949" s="256" t="inlineStr">
        <is>
          <t>reissue — retest</t>
        </is>
      </c>
      <c r="C2949" s="256" t="inlineStr">
        <is>
          <t>OPM092501</t>
        </is>
      </c>
      <c r="D2949" s="256" t="inlineStr">
        <is>
          <t>P060042</t>
        </is>
      </c>
      <c r="E2949" s="256" t="inlineStr">
        <is>
          <t>Orange Punch Mimosa</t>
        </is>
      </c>
      <c r="F2949" s="256" t="inlineStr">
        <is>
          <t>18.09.2026</t>
        </is>
      </c>
      <c r="G2949" s="256" t="inlineStr">
        <is>
          <t>4</t>
        </is>
      </c>
      <c r="H2949" s="256" t="inlineStr">
        <is>
          <t>Assay — Total Δ⁹-THC</t>
        </is>
      </c>
      <c r="I2949" s="256" t="inlineStr">
        <is>
          <t>Ph. Eur. 2.2.29 (HPLC)</t>
        </is>
      </c>
      <c r="J2949" s="256" t="inlineStr">
        <is>
          <t>9.00 – 10.99 %  (grade IV, nominal 10.00 ± 1.00)</t>
        </is>
      </c>
      <c r="K2949" s="256" t="inlineStr">
        <is>
          <t>10.18</t>
        </is>
      </c>
      <c r="L2949" s="256" t="inlineStr">
        <is>
          <t>220-22-К/26</t>
        </is>
      </c>
      <c r="M2949" s="256" t="inlineStr">
        <is>
          <t>26.08.2026</t>
        </is>
      </c>
      <c r="N2949" s="256" t="inlineStr">
        <is>
          <t>Farmahem</t>
        </is>
      </c>
      <c r="O2949" s="256" t="inlineStr">
        <is>
          <t>17.08.2026</t>
        </is>
      </c>
      <c r="P2949" s="256" t="inlineStr">
        <is>
          <t>covered</t>
        </is>
      </c>
      <c r="Q2949" s="256" t="inlineStr"/>
      <c r="R2949" s="256" t="inlineStr"/>
    </row>
    <row r="2950">
      <c r="A2950" s="256" t="inlineStr">
        <is>
          <t>CoQ-PP_26-129</t>
        </is>
      </c>
      <c r="B2950" s="256" t="inlineStr">
        <is>
          <t>reissue — retest</t>
        </is>
      </c>
      <c r="C2950" s="256" t="inlineStr">
        <is>
          <t>OPM092501</t>
        </is>
      </c>
      <c r="D2950" s="256" t="inlineStr">
        <is>
          <t>P060042</t>
        </is>
      </c>
      <c r="E2950" s="256" t="inlineStr">
        <is>
          <t>Orange Punch Mimosa</t>
        </is>
      </c>
      <c r="F2950" s="256" t="inlineStr">
        <is>
          <t>18.09.2026</t>
        </is>
      </c>
      <c r="G2950" s="256" t="inlineStr">
        <is>
          <t>5</t>
        </is>
      </c>
      <c r="H2950" s="256" t="inlineStr">
        <is>
          <t>Assay — Total CBD</t>
        </is>
      </c>
      <c r="I2950" s="256" t="inlineStr">
        <is>
          <t>Ph. Eur. 2.2.29 (HPLC) · CBD + CBDA x 0.877</t>
        </is>
      </c>
      <c r="J2950" s="256" t="inlineStr">
        <is>
          <t>≤ 1.0%, w/w</t>
        </is>
      </c>
      <c r="K2950" s="256" t="inlineStr">
        <is>
          <t>&lt; LOQ</t>
        </is>
      </c>
      <c r="L2950" s="256" t="inlineStr">
        <is>
          <t>220-22-К/26</t>
        </is>
      </c>
      <c r="M2950" s="256" t="inlineStr">
        <is>
          <t>26.08.2026</t>
        </is>
      </c>
      <c r="N2950" s="256" t="inlineStr">
        <is>
          <t>Farmahem</t>
        </is>
      </c>
      <c r="O2950" s="256" t="inlineStr">
        <is>
          <t>17.08.2026</t>
        </is>
      </c>
      <c r="P2950" s="256" t="inlineStr">
        <is>
          <t>covered</t>
        </is>
      </c>
      <c r="Q2950" s="256" t="inlineStr"/>
      <c r="R2950" s="256" t="inlineStr"/>
    </row>
    <row r="2951">
      <c r="A2951" s="256" t="inlineStr">
        <is>
          <t>CoQ-PP_26-129</t>
        </is>
      </c>
      <c r="B2951" s="256" t="inlineStr">
        <is>
          <t>reissue — retest</t>
        </is>
      </c>
      <c r="C2951" s="256" t="inlineStr">
        <is>
          <t>OPM092501</t>
        </is>
      </c>
      <c r="D2951" s="256" t="inlineStr">
        <is>
          <t>P060042</t>
        </is>
      </c>
      <c r="E2951" s="256" t="inlineStr">
        <is>
          <t>Orange Punch Mimosa</t>
        </is>
      </c>
      <c r="F2951" s="256" t="inlineStr">
        <is>
          <t>18.09.2026</t>
        </is>
      </c>
      <c r="G2951" s="256" t="inlineStr">
        <is>
          <t>6</t>
        </is>
      </c>
      <c r="H2951" s="256" t="inlineStr">
        <is>
          <t>Total CBN</t>
        </is>
      </c>
      <c r="I2951" s="256" t="inlineStr">
        <is>
          <t>Ph. Eur. 2.2.29 (HPLC) · CBN + CBNA x 0.876</t>
        </is>
      </c>
      <c r="J2951" s="256" t="inlineStr">
        <is>
          <t>≤ 1.0%, w/w</t>
        </is>
      </c>
      <c r="K2951" s="256" t="inlineStr">
        <is>
          <t>&lt; LOQ</t>
        </is>
      </c>
      <c r="L2951" s="256" t="inlineStr">
        <is>
          <t>220-22-К/26</t>
        </is>
      </c>
      <c r="M2951" s="256" t="inlineStr">
        <is>
          <t>26.08.2026</t>
        </is>
      </c>
      <c r="N2951" s="256" t="inlineStr">
        <is>
          <t>Farmahem</t>
        </is>
      </c>
      <c r="O2951" s="256" t="inlineStr">
        <is>
          <t>17.08.2026</t>
        </is>
      </c>
      <c r="P2951" s="256" t="inlineStr">
        <is>
          <t>covered</t>
        </is>
      </c>
      <c r="Q2951" s="256" t="inlineStr"/>
      <c r="R2951" s="256" t="inlineStr"/>
    </row>
    <row r="2952">
      <c r="A2952" s="256" t="inlineStr">
        <is>
          <t>CoQ-PP_26-129</t>
        </is>
      </c>
      <c r="B2952" s="256" t="inlineStr">
        <is>
          <t>reissue — retest</t>
        </is>
      </c>
      <c r="C2952" s="256" t="inlineStr">
        <is>
          <t>OPM092501</t>
        </is>
      </c>
      <c r="D2952" s="256" t="inlineStr">
        <is>
          <t>P060042</t>
        </is>
      </c>
      <c r="E2952" s="256" t="inlineStr">
        <is>
          <t>Orange Punch Mimosa</t>
        </is>
      </c>
      <c r="F2952" s="256" t="inlineStr">
        <is>
          <t>18.09.2026</t>
        </is>
      </c>
      <c r="G2952" s="256" t="inlineStr">
        <is>
          <t>7</t>
        </is>
      </c>
      <c r="H2952" s="256" t="inlineStr">
        <is>
          <t>Foreign Matter</t>
        </is>
      </c>
      <c r="I2952" s="256" t="inlineStr">
        <is>
          <t>Ph. Eur. 2.8.2 · In-house · интерна</t>
        </is>
      </c>
      <c r="J2952" s="256" t="inlineStr">
        <is>
          <t>≤ 2.0% / 25–50 g · &lt; 1 cm leaves | листови, no seeds | без семки</t>
        </is>
      </c>
      <c r="K2952" s="256" t="inlineStr">
        <is>
          <t>Conforms | Одговара</t>
        </is>
      </c>
      <c r="L2952" s="256" t="inlineStr">
        <is>
          <t>iCoA-PP_26-143</t>
        </is>
      </c>
      <c r="M2952" s="256" t="inlineStr">
        <is>
          <t>17.08.2026</t>
        </is>
      </c>
      <c r="N2952" s="256" t="inlineStr">
        <is>
          <t>Purely Plant GmbH (in-house)</t>
        </is>
      </c>
      <c r="O2952" s="256" t="inlineStr">
        <is>
          <t>—</t>
        </is>
      </c>
      <c r="P2952" s="256" t="inlineStr">
        <is>
          <t>covered</t>
        </is>
      </c>
      <c r="Q2952" s="256" t="inlineStr">
        <is>
          <t>Purely Plant laboratory — iCoA covering Foreign matter</t>
        </is>
      </c>
      <c r="R2952" s="256" t="inlineStr"/>
    </row>
    <row r="2953">
      <c r="A2953" s="256" t="inlineStr">
        <is>
          <t>CoQ-PP_26-129</t>
        </is>
      </c>
      <c r="B2953" s="256" t="inlineStr">
        <is>
          <t>reissue — retest</t>
        </is>
      </c>
      <c r="C2953" s="256" t="inlineStr">
        <is>
          <t>OPM092501</t>
        </is>
      </c>
      <c r="D2953" s="256" t="inlineStr">
        <is>
          <t>P060042</t>
        </is>
      </c>
      <c r="E2953" s="256" t="inlineStr">
        <is>
          <t>Orange Punch Mimosa</t>
        </is>
      </c>
      <c r="F2953" s="256" t="inlineStr">
        <is>
          <t>18.09.2026</t>
        </is>
      </c>
      <c r="G2953" s="256" t="inlineStr">
        <is>
          <t>8</t>
        </is>
      </c>
      <c r="H2953" s="256" t="inlineStr">
        <is>
          <t>Loss on Drying</t>
        </is>
      </c>
      <c r="I2953" s="256" t="inlineStr">
        <is>
          <t>DAB 2018 monograph Cannabis flos, 2.2.32 — loss on drying (CNP, before its Ph. Eur. 3028 accreditation)</t>
        </is>
      </c>
      <c r="J2953" s="256" t="inlineStr">
        <is>
          <t>≤ 12.0%</t>
        </is>
      </c>
      <c r="K2953" s="256" t="inlineStr">
        <is>
          <t>7.85</t>
        </is>
      </c>
      <c r="L2953" s="256" t="inlineStr">
        <is>
          <t>ППК26008</t>
        </is>
      </c>
      <c r="M2953" s="256" t="inlineStr">
        <is>
          <t>21.01.2026</t>
        </is>
      </c>
      <c r="N2953" s="256" t="inlineStr">
        <is>
          <t>UKIM Faculty of Pharmacy — Center for Natural Products</t>
        </is>
      </c>
      <c r="O2953" s="256" t="inlineStr">
        <is>
          <t>08.01.2026</t>
        </is>
      </c>
      <c r="P2953" s="256" t="inlineStr">
        <is>
          <t>carried from the initial testing (CoQ-PP-2026-0004) — covered</t>
        </is>
      </c>
      <c r="Q2953" s="256" t="inlineStr"/>
      <c r="R2953" s="256" t="inlineStr"/>
    </row>
    <row r="2954">
      <c r="A2954" s="256" t="inlineStr">
        <is>
          <t>CoQ-PP_26-129</t>
        </is>
      </c>
      <c r="B2954" s="256" t="inlineStr">
        <is>
          <t>reissue — retest</t>
        </is>
      </c>
      <c r="C2954" s="256" t="inlineStr">
        <is>
          <t>OPM092501</t>
        </is>
      </c>
      <c r="D2954" s="256" t="inlineStr">
        <is>
          <t>P060042</t>
        </is>
      </c>
      <c r="E2954" s="256" t="inlineStr">
        <is>
          <t>Orange Punch Mimosa</t>
        </is>
      </c>
      <c r="F2954" s="256" t="inlineStr">
        <is>
          <t>18.09.2026</t>
        </is>
      </c>
      <c r="G2954" s="256" t="inlineStr">
        <is>
          <t>9.1</t>
        </is>
      </c>
      <c r="H2954" s="256" t="inlineStr">
        <is>
          <t>TAMC</t>
        </is>
      </c>
      <c r="I2954" s="256" t="inlineStr">
        <is>
          <t>Ph. Eur. 2.6.12 cat. C</t>
        </is>
      </c>
      <c r="J2954" s="256" t="inlineStr">
        <is>
          <t>≤ 10⁵ CFU/g</t>
        </is>
      </c>
      <c r="K2954" s="256" t="inlineStr">
        <is>
          <t>10</t>
        </is>
      </c>
      <c r="L2954" s="256" t="inlineStr">
        <is>
          <t>2/0005/26</t>
        </is>
      </c>
      <c r="M2954" s="256" t="inlineStr">
        <is>
          <t>20.01.2026</t>
        </is>
      </c>
      <c r="N2954" s="256" t="inlineStr">
        <is>
          <t>IPH — Institute of Public Health</t>
        </is>
      </c>
      <c r="O2954" s="256" t="inlineStr">
        <is>
          <t>12.01.2025</t>
        </is>
      </c>
      <c r="P2954" s="256" t="inlineStr">
        <is>
          <t>carried from the initial testing (CoQ-PP-2026-0004) — covered</t>
        </is>
      </c>
      <c r="Q2954" s="256" t="inlineStr"/>
      <c r="R2954" s="256" t="inlineStr"/>
    </row>
    <row r="2955">
      <c r="A2955" s="256" t="inlineStr">
        <is>
          <t>CoQ-PP_26-129</t>
        </is>
      </c>
      <c r="B2955" s="256" t="inlineStr">
        <is>
          <t>reissue — retest</t>
        </is>
      </c>
      <c r="C2955" s="256" t="inlineStr">
        <is>
          <t>OPM092501</t>
        </is>
      </c>
      <c r="D2955" s="256" t="inlineStr">
        <is>
          <t>P060042</t>
        </is>
      </c>
      <c r="E2955" s="256" t="inlineStr">
        <is>
          <t>Orange Punch Mimosa</t>
        </is>
      </c>
      <c r="F2955" s="256" t="inlineStr">
        <is>
          <t>18.09.2026</t>
        </is>
      </c>
      <c r="G2955" s="256" t="inlineStr">
        <is>
          <t>9.2</t>
        </is>
      </c>
      <c r="H2955" s="256" t="inlineStr">
        <is>
          <t>TYMC</t>
        </is>
      </c>
      <c r="I2955" s="256" t="inlineStr">
        <is>
          <t>Ph. Eur. 2.6.12 cat. C</t>
        </is>
      </c>
      <c r="J2955" s="256" t="inlineStr">
        <is>
          <t>≤ 10⁴ CFU/g</t>
        </is>
      </c>
      <c r="K2955" s="256" t="inlineStr">
        <is>
          <t>10</t>
        </is>
      </c>
      <c r="L2955" s="256" t="inlineStr">
        <is>
          <t>2/0005/26</t>
        </is>
      </c>
      <c r="M2955" s="256" t="inlineStr">
        <is>
          <t>20.01.2026</t>
        </is>
      </c>
      <c r="N2955" s="256" t="inlineStr">
        <is>
          <t>IPH — Institute of Public Health</t>
        </is>
      </c>
      <c r="O2955" s="256" t="inlineStr">
        <is>
          <t>12.01.2025</t>
        </is>
      </c>
      <c r="P2955" s="256" t="inlineStr">
        <is>
          <t>carried from the initial testing (CoQ-PP-2026-0004) — covered</t>
        </is>
      </c>
      <c r="Q2955" s="256" t="inlineStr"/>
      <c r="R2955" s="256" t="inlineStr"/>
    </row>
    <row r="2956">
      <c r="A2956" s="256" t="inlineStr">
        <is>
          <t>CoQ-PP_26-129</t>
        </is>
      </c>
      <c r="B2956" s="256" t="inlineStr">
        <is>
          <t>reissue — retest</t>
        </is>
      </c>
      <c r="C2956" s="256" t="inlineStr">
        <is>
          <t>OPM092501</t>
        </is>
      </c>
      <c r="D2956" s="256" t="inlineStr">
        <is>
          <t>P060042</t>
        </is>
      </c>
      <c r="E2956" s="256" t="inlineStr">
        <is>
          <t>Orange Punch Mimosa</t>
        </is>
      </c>
      <c r="F2956" s="256" t="inlineStr">
        <is>
          <t>18.09.2026</t>
        </is>
      </c>
      <c r="G2956" s="256" t="inlineStr">
        <is>
          <t>9.3</t>
        </is>
      </c>
      <c r="H2956" s="256" t="inlineStr">
        <is>
          <t>Bile-tolerant gram-neg.</t>
        </is>
      </c>
      <c r="I2956" s="256" t="inlineStr">
        <is>
          <t>Ph. Eur. 2.6.31 cat. C</t>
        </is>
      </c>
      <c r="J2956" s="256" t="inlineStr">
        <is>
          <t>≤ 10⁴ CFU/g</t>
        </is>
      </c>
      <c r="K2956" s="256" t="inlineStr">
        <is>
          <t>&lt; 10² and &gt; 10</t>
        </is>
      </c>
      <c r="L2956" s="256" t="inlineStr">
        <is>
          <t>2/0005/26</t>
        </is>
      </c>
      <c r="M2956" s="256" t="inlineStr">
        <is>
          <t>20.01.2026</t>
        </is>
      </c>
      <c r="N2956" s="256" t="inlineStr">
        <is>
          <t>IPH — Institute of Public Health</t>
        </is>
      </c>
      <c r="O2956" s="256" t="inlineStr">
        <is>
          <t>12.01.2025</t>
        </is>
      </c>
      <c r="P2956" s="256" t="inlineStr">
        <is>
          <t>carried from the initial testing (CoQ-PP-2026-0004) — covered</t>
        </is>
      </c>
      <c r="Q2956" s="256" t="inlineStr"/>
      <c r="R2956" s="256" t="inlineStr"/>
    </row>
    <row r="2957">
      <c r="A2957" s="256" t="inlineStr">
        <is>
          <t>CoQ-PP_26-129</t>
        </is>
      </c>
      <c r="B2957" s="256" t="inlineStr">
        <is>
          <t>reissue — retest</t>
        </is>
      </c>
      <c r="C2957" s="256" t="inlineStr">
        <is>
          <t>OPM092501</t>
        </is>
      </c>
      <c r="D2957" s="256" t="inlineStr">
        <is>
          <t>P060042</t>
        </is>
      </c>
      <c r="E2957" s="256" t="inlineStr">
        <is>
          <t>Orange Punch Mimosa</t>
        </is>
      </c>
      <c r="F2957" s="256" t="inlineStr">
        <is>
          <t>18.09.2026</t>
        </is>
      </c>
      <c r="G2957" s="256" t="inlineStr">
        <is>
          <t>9.4</t>
        </is>
      </c>
      <c r="H2957" s="256" t="inlineStr">
        <is>
          <t>Salmonella</t>
        </is>
      </c>
      <c r="I2957" s="256" t="inlineStr">
        <is>
          <t>Ph. Eur. 2.6.31 cat. C</t>
        </is>
      </c>
      <c r="J2957" s="256" t="inlineStr">
        <is>
          <t>Absence | Отсуство / 25 g</t>
        </is>
      </c>
      <c r="K2957" s="256" t="inlineStr">
        <is>
          <t>Absent | Отсутна</t>
        </is>
      </c>
      <c r="L2957" s="256" t="inlineStr">
        <is>
          <t>2/0005/26</t>
        </is>
      </c>
      <c r="M2957" s="256" t="inlineStr">
        <is>
          <t>20.01.2026</t>
        </is>
      </c>
      <c r="N2957" s="256" t="inlineStr">
        <is>
          <t>IPH — Institute of Public Health</t>
        </is>
      </c>
      <c r="O2957" s="256" t="inlineStr">
        <is>
          <t>12.01.2025</t>
        </is>
      </c>
      <c r="P2957" s="256" t="inlineStr">
        <is>
          <t>carried from the initial testing (CoQ-PP-2026-0004) — covered</t>
        </is>
      </c>
      <c r="Q2957" s="256" t="inlineStr"/>
      <c r="R2957" s="256" t="inlineStr"/>
    </row>
    <row r="2958">
      <c r="A2958" s="256" t="inlineStr">
        <is>
          <t>CoQ-PP_26-129</t>
        </is>
      </c>
      <c r="B2958" s="256" t="inlineStr">
        <is>
          <t>reissue — retest</t>
        </is>
      </c>
      <c r="C2958" s="256" t="inlineStr">
        <is>
          <t>OPM092501</t>
        </is>
      </c>
      <c r="D2958" s="256" t="inlineStr">
        <is>
          <t>P060042</t>
        </is>
      </c>
      <c r="E2958" s="256" t="inlineStr">
        <is>
          <t>Orange Punch Mimosa</t>
        </is>
      </c>
      <c r="F2958" s="256" t="inlineStr">
        <is>
          <t>18.09.2026</t>
        </is>
      </c>
      <c r="G2958" s="256" t="inlineStr">
        <is>
          <t>9.5</t>
        </is>
      </c>
      <c r="H2958" s="256" t="inlineStr">
        <is>
          <t>Escherichia coli</t>
        </is>
      </c>
      <c r="I2958" s="256" t="inlineStr">
        <is>
          <t>Ph. Eur. 2.6.13 cat. C</t>
        </is>
      </c>
      <c r="J2958" s="256" t="inlineStr">
        <is>
          <t>Absence | Отсуство / 1 g</t>
        </is>
      </c>
      <c r="K2958" s="256" t="inlineStr">
        <is>
          <t>Absent | Отсутна</t>
        </is>
      </c>
      <c r="L2958" s="256" t="inlineStr">
        <is>
          <t>2/0005/26</t>
        </is>
      </c>
      <c r="M2958" s="256" t="inlineStr">
        <is>
          <t>20.01.2026</t>
        </is>
      </c>
      <c r="N2958" s="256" t="inlineStr">
        <is>
          <t>IPH — Institute of Public Health</t>
        </is>
      </c>
      <c r="O2958" s="256" t="inlineStr">
        <is>
          <t>12.01.2025</t>
        </is>
      </c>
      <c r="P2958" s="256" t="inlineStr">
        <is>
          <t>carried from the initial testing (CoQ-PP-2026-0004) — covered</t>
        </is>
      </c>
      <c r="Q2958" s="256" t="inlineStr"/>
      <c r="R2958" s="256" t="inlineStr"/>
    </row>
    <row r="2959">
      <c r="A2959" s="256" t="inlineStr">
        <is>
          <t>CoQ-PP_26-129</t>
        </is>
      </c>
      <c r="B2959" s="256" t="inlineStr">
        <is>
          <t>reissue — retest</t>
        </is>
      </c>
      <c r="C2959" s="256" t="inlineStr">
        <is>
          <t>OPM092501</t>
        </is>
      </c>
      <c r="D2959" s="256" t="inlineStr">
        <is>
          <t>P060042</t>
        </is>
      </c>
      <c r="E2959" s="256" t="inlineStr">
        <is>
          <t>Orange Punch Mimosa</t>
        </is>
      </c>
      <c r="F2959" s="256" t="inlineStr">
        <is>
          <t>18.09.2026</t>
        </is>
      </c>
      <c r="G2959" s="256" t="inlineStr">
        <is>
          <t>9.6</t>
        </is>
      </c>
      <c r="H2959" s="256" t="inlineStr">
        <is>
          <t>Pseudomonas aeruginosa</t>
        </is>
      </c>
      <c r="I2959" s="256" t="inlineStr">
        <is>
          <t>Ph. Eur. 2.6.13 cat. C</t>
        </is>
      </c>
      <c r="J2959" s="256" t="inlineStr">
        <is>
          <t>Absence | Отсуство / 1 g</t>
        </is>
      </c>
      <c r="K2959" s="260" t="inlineStr">
        <is>
          <t>upon request — not required for release</t>
        </is>
      </c>
      <c r="L2959" s="256" t="inlineStr">
        <is>
          <t>—</t>
        </is>
      </c>
      <c r="M2959" s="256" t="inlineStr">
        <is>
          <t>—</t>
        </is>
      </c>
      <c r="N2959" s="256" t="inlineStr">
        <is>
          <t>—</t>
        </is>
      </c>
      <c r="O2959" s="256" t="inlineStr">
        <is>
          <t>—</t>
        </is>
      </c>
      <c r="P2959" s="256" t="inlineStr">
        <is>
          <t>upon request — not required for release</t>
        </is>
      </c>
      <c r="Q2959" s="256" t="inlineStr"/>
      <c r="R2959" s="256" t="inlineStr"/>
    </row>
    <row r="2960">
      <c r="A2960" s="256" t="inlineStr">
        <is>
          <t>CoQ-PP_26-129</t>
        </is>
      </c>
      <c r="B2960" s="256" t="inlineStr">
        <is>
          <t>reissue — retest</t>
        </is>
      </c>
      <c r="C2960" s="256" t="inlineStr">
        <is>
          <t>OPM092501</t>
        </is>
      </c>
      <c r="D2960" s="256" t="inlineStr">
        <is>
          <t>P060042</t>
        </is>
      </c>
      <c r="E2960" s="256" t="inlineStr">
        <is>
          <t>Orange Punch Mimosa</t>
        </is>
      </c>
      <c r="F2960" s="256" t="inlineStr">
        <is>
          <t>18.09.2026</t>
        </is>
      </c>
      <c r="G2960" s="256" t="inlineStr">
        <is>
          <t>9.7</t>
        </is>
      </c>
      <c r="H2960" s="256" t="inlineStr">
        <is>
          <t>Staphylococcus aureus</t>
        </is>
      </c>
      <c r="I2960" s="256" t="inlineStr">
        <is>
          <t>Ph. Eur. 2.6.13 cat. C</t>
        </is>
      </c>
      <c r="J2960" s="256" t="inlineStr">
        <is>
          <t>Absence | Отсуство / 1 g</t>
        </is>
      </c>
      <c r="K2960" s="260" t="inlineStr">
        <is>
          <t>upon request — not required for release</t>
        </is>
      </c>
      <c r="L2960" s="256" t="inlineStr">
        <is>
          <t>—</t>
        </is>
      </c>
      <c r="M2960" s="256" t="inlineStr">
        <is>
          <t>—</t>
        </is>
      </c>
      <c r="N2960" s="256" t="inlineStr">
        <is>
          <t>—</t>
        </is>
      </c>
      <c r="O2960" s="256" t="inlineStr">
        <is>
          <t>—</t>
        </is>
      </c>
      <c r="P2960" s="256" t="inlineStr">
        <is>
          <t>upon request — not required for release</t>
        </is>
      </c>
      <c r="Q2960" s="256" t="inlineStr"/>
      <c r="R2960" s="256" t="inlineStr"/>
    </row>
    <row r="2961">
      <c r="A2961" s="256" t="inlineStr">
        <is>
          <t>CoQ-PP_26-129</t>
        </is>
      </c>
      <c r="B2961" s="256" t="inlineStr">
        <is>
          <t>reissue — retest</t>
        </is>
      </c>
      <c r="C2961" s="256" t="inlineStr">
        <is>
          <t>OPM092501</t>
        </is>
      </c>
      <c r="D2961" s="256" t="inlineStr">
        <is>
          <t>P060042</t>
        </is>
      </c>
      <c r="E2961" s="256" t="inlineStr">
        <is>
          <t>Orange Punch Mimosa</t>
        </is>
      </c>
      <c r="F2961" s="256" t="inlineStr">
        <is>
          <t>18.09.2026</t>
        </is>
      </c>
      <c r="G2961" s="256" t="inlineStr">
        <is>
          <t>10.1</t>
        </is>
      </c>
      <c r="H2961" s="256" t="inlineStr">
        <is>
          <t>Aflatoxin B₁</t>
        </is>
      </c>
      <c r="I2961" s="256" t="inlineStr">
        <is>
          <t>Ph. Eur. 2.8.18 (HPLC-FLD)</t>
        </is>
      </c>
      <c r="J2961" s="256" t="inlineStr">
        <is>
          <t>≤ 2 µg/kg</t>
        </is>
      </c>
      <c r="K2961" s="256" t="inlineStr">
        <is>
          <t>ND</t>
        </is>
      </c>
      <c r="L2961" s="256" t="inlineStr">
        <is>
          <t>220-22-М/26</t>
        </is>
      </c>
      <c r="M2961" s="256" t="inlineStr">
        <is>
          <t>11.09.2026</t>
        </is>
      </c>
      <c r="N2961" s="256" t="inlineStr">
        <is>
          <t>Farmahem</t>
        </is>
      </c>
      <c r="O2961" s="256" t="inlineStr">
        <is>
          <t>17.08.2026</t>
        </is>
      </c>
      <c r="P2961" s="256" t="inlineStr">
        <is>
          <t>covered</t>
        </is>
      </c>
      <c r="Q2961" s="256" t="inlineStr"/>
      <c r="R2961" s="256" t="inlineStr"/>
    </row>
    <row r="2962">
      <c r="A2962" s="256" t="inlineStr">
        <is>
          <t>CoQ-PP_26-129</t>
        </is>
      </c>
      <c r="B2962" s="256" t="inlineStr">
        <is>
          <t>reissue — retest</t>
        </is>
      </c>
      <c r="C2962" s="256" t="inlineStr">
        <is>
          <t>OPM092501</t>
        </is>
      </c>
      <c r="D2962" s="256" t="inlineStr">
        <is>
          <t>P060042</t>
        </is>
      </c>
      <c r="E2962" s="256" t="inlineStr">
        <is>
          <t>Orange Punch Mimosa</t>
        </is>
      </c>
      <c r="F2962" s="256" t="inlineStr">
        <is>
          <t>18.09.2026</t>
        </is>
      </c>
      <c r="G2962" s="256" t="inlineStr">
        <is>
          <t>10.2</t>
        </is>
      </c>
      <c r="H2962" s="256" t="inlineStr">
        <is>
          <t>Aflatoxins ∑</t>
        </is>
      </c>
      <c r="I2962" s="256" t="inlineStr">
        <is>
          <t>Ph. Eur. 2.8.18 (HPLC-FLD)</t>
        </is>
      </c>
      <c r="J2962" s="256" t="inlineStr">
        <is>
          <t>≤ 4 µg/kg</t>
        </is>
      </c>
      <c r="K2962" s="256" t="inlineStr">
        <is>
          <t>ND</t>
        </is>
      </c>
      <c r="L2962" s="256" t="inlineStr">
        <is>
          <t>220-22-М/26</t>
        </is>
      </c>
      <c r="M2962" s="256" t="inlineStr">
        <is>
          <t>11.09.2026</t>
        </is>
      </c>
      <c r="N2962" s="256" t="inlineStr">
        <is>
          <t>Farmahem</t>
        </is>
      </c>
      <c r="O2962" s="256" t="inlineStr">
        <is>
          <t>17.08.2026</t>
        </is>
      </c>
      <c r="P2962" s="256" t="inlineStr">
        <is>
          <t>covered</t>
        </is>
      </c>
      <c r="Q2962" s="256" t="inlineStr"/>
      <c r="R2962" s="256" t="inlineStr"/>
    </row>
    <row r="2963">
      <c r="A2963" s="256" t="inlineStr">
        <is>
          <t>CoQ-PP_26-129</t>
        </is>
      </c>
      <c r="B2963" s="256" t="inlineStr">
        <is>
          <t>reissue — retest</t>
        </is>
      </c>
      <c r="C2963" s="256" t="inlineStr">
        <is>
          <t>OPM092501</t>
        </is>
      </c>
      <c r="D2963" s="256" t="inlineStr">
        <is>
          <t>P060042</t>
        </is>
      </c>
      <c r="E2963" s="256" t="inlineStr">
        <is>
          <t>Orange Punch Mimosa</t>
        </is>
      </c>
      <c r="F2963" s="256" t="inlineStr">
        <is>
          <t>18.09.2026</t>
        </is>
      </c>
      <c r="G2963" s="256" t="inlineStr">
        <is>
          <t>10.3</t>
        </is>
      </c>
      <c r="H2963" s="256" t="inlineStr">
        <is>
          <t>Ochratoxin A</t>
        </is>
      </c>
      <c r="I2963" s="256" t="inlineStr">
        <is>
          <t>Ph. Eur. 2.8.22 (HPLC-FLD)</t>
        </is>
      </c>
      <c r="J2963" s="256" t="inlineStr">
        <is>
          <t>≤ 20 µg/kg</t>
        </is>
      </c>
      <c r="K2963" s="256" t="inlineStr">
        <is>
          <t>ND</t>
        </is>
      </c>
      <c r="L2963" s="256" t="inlineStr">
        <is>
          <t>220-22-М/26</t>
        </is>
      </c>
      <c r="M2963" s="256" t="inlineStr">
        <is>
          <t>11.09.2026</t>
        </is>
      </c>
      <c r="N2963" s="256" t="inlineStr">
        <is>
          <t>Farmahem</t>
        </is>
      </c>
      <c r="O2963" s="256" t="inlineStr">
        <is>
          <t>17.08.2026</t>
        </is>
      </c>
      <c r="P2963" s="256" t="inlineStr">
        <is>
          <t>covered</t>
        </is>
      </c>
      <c r="Q2963" s="256" t="inlineStr"/>
      <c r="R2963" s="256" t="inlineStr"/>
    </row>
    <row r="2964">
      <c r="A2964" s="256" t="inlineStr">
        <is>
          <t>CoQ-PP_26-129</t>
        </is>
      </c>
      <c r="B2964" s="256" t="inlineStr">
        <is>
          <t>reissue — retest</t>
        </is>
      </c>
      <c r="C2964" s="256" t="inlineStr">
        <is>
          <t>OPM092501</t>
        </is>
      </c>
      <c r="D2964" s="256" t="inlineStr">
        <is>
          <t>P060042</t>
        </is>
      </c>
      <c r="E2964" s="256" t="inlineStr">
        <is>
          <t>Orange Punch Mimosa</t>
        </is>
      </c>
      <c r="F2964" s="256" t="inlineStr">
        <is>
          <t>18.09.2026</t>
        </is>
      </c>
      <c r="G2964" s="256" t="inlineStr">
        <is>
          <t>11.1</t>
        </is>
      </c>
      <c r="H2964" s="256" t="inlineStr">
        <is>
          <t>Lead (Pb)</t>
        </is>
      </c>
      <c r="I2964" s="256" t="inlineStr">
        <is>
          <t>Ph. Eur. 2.4.27 (ICP-MS)</t>
        </is>
      </c>
      <c r="J2964" s="256" t="inlineStr">
        <is>
          <t>≤ 0.5 mg/kg</t>
        </is>
      </c>
      <c r="K2964" s="256" t="inlineStr">
        <is>
          <t>0.022</t>
        </is>
      </c>
      <c r="L2964" s="256" t="inlineStr">
        <is>
          <t>87/2026</t>
        </is>
      </c>
      <c r="M2964" s="256" t="inlineStr">
        <is>
          <t>03.02.2026</t>
        </is>
      </c>
      <c r="N2964" s="256" t="inlineStr">
        <is>
          <t>IPH — Institute of Public Health</t>
        </is>
      </c>
      <c r="O2964" s="256" t="inlineStr">
        <is>
          <t>08.01.2026</t>
        </is>
      </c>
      <c r="P2964" s="256" t="inlineStr">
        <is>
          <t>carried from the initial testing (CoQ-PP-2026-0004) — covered</t>
        </is>
      </c>
      <c r="Q2964" s="256" t="inlineStr"/>
      <c r="R2964" s="256" t="inlineStr"/>
    </row>
    <row r="2965">
      <c r="A2965" s="256" t="inlineStr">
        <is>
          <t>CoQ-PP_26-129</t>
        </is>
      </c>
      <c r="B2965" s="256" t="inlineStr">
        <is>
          <t>reissue — retest</t>
        </is>
      </c>
      <c r="C2965" s="256" t="inlineStr">
        <is>
          <t>OPM092501</t>
        </is>
      </c>
      <c r="D2965" s="256" t="inlineStr">
        <is>
          <t>P060042</t>
        </is>
      </c>
      <c r="E2965" s="256" t="inlineStr">
        <is>
          <t>Orange Punch Mimosa</t>
        </is>
      </c>
      <c r="F2965" s="256" t="inlineStr">
        <is>
          <t>18.09.2026</t>
        </is>
      </c>
      <c r="G2965" s="256" t="inlineStr">
        <is>
          <t>11.2</t>
        </is>
      </c>
      <c r="H2965" s="256" t="inlineStr">
        <is>
          <t>Cadmium (Cd)</t>
        </is>
      </c>
      <c r="I2965" s="256" t="inlineStr">
        <is>
          <t>Ph. Eur. 2.4.27 (ICP-MS)</t>
        </is>
      </c>
      <c r="J2965" s="256" t="inlineStr">
        <is>
          <t>≤ 0.3 mg/kg</t>
        </is>
      </c>
      <c r="K2965" s="256" t="inlineStr">
        <is>
          <t>ND</t>
        </is>
      </c>
      <c r="L2965" s="256" t="inlineStr">
        <is>
          <t>87/2026</t>
        </is>
      </c>
      <c r="M2965" s="256" t="inlineStr">
        <is>
          <t>03.02.2026</t>
        </is>
      </c>
      <c r="N2965" s="256" t="inlineStr">
        <is>
          <t>IPH — Institute of Public Health</t>
        </is>
      </c>
      <c r="O2965" s="256" t="inlineStr">
        <is>
          <t>08.01.2026</t>
        </is>
      </c>
      <c r="P2965" s="256" t="inlineStr">
        <is>
          <t>carried from the initial testing (CoQ-PP-2026-0004) — covered</t>
        </is>
      </c>
      <c r="Q2965" s="256" t="inlineStr"/>
      <c r="R2965" s="256" t="inlineStr"/>
    </row>
    <row r="2966">
      <c r="A2966" s="256" t="inlineStr">
        <is>
          <t>CoQ-PP_26-129</t>
        </is>
      </c>
      <c r="B2966" s="256" t="inlineStr">
        <is>
          <t>reissue — retest</t>
        </is>
      </c>
      <c r="C2966" s="256" t="inlineStr">
        <is>
          <t>OPM092501</t>
        </is>
      </c>
      <c r="D2966" s="256" t="inlineStr">
        <is>
          <t>P060042</t>
        </is>
      </c>
      <c r="E2966" s="256" t="inlineStr">
        <is>
          <t>Orange Punch Mimosa</t>
        </is>
      </c>
      <c r="F2966" s="256" t="inlineStr">
        <is>
          <t>18.09.2026</t>
        </is>
      </c>
      <c r="G2966" s="256" t="inlineStr">
        <is>
          <t>11.3</t>
        </is>
      </c>
      <c r="H2966" s="256" t="inlineStr">
        <is>
          <t>Arsenic (As)</t>
        </is>
      </c>
      <c r="I2966" s="256" t="inlineStr">
        <is>
          <t>Ph. Eur. 2.4.27 (ICP-MS)</t>
        </is>
      </c>
      <c r="J2966" s="256" t="inlineStr">
        <is>
          <t>≤ 0.2 mg/kg</t>
        </is>
      </c>
      <c r="K2966" s="256" t="inlineStr">
        <is>
          <t>ND</t>
        </is>
      </c>
      <c r="L2966" s="256" t="inlineStr">
        <is>
          <t>87/2026</t>
        </is>
      </c>
      <c r="M2966" s="256" t="inlineStr">
        <is>
          <t>03.02.2026</t>
        </is>
      </c>
      <c r="N2966" s="256" t="inlineStr">
        <is>
          <t>IPH — Institute of Public Health</t>
        </is>
      </c>
      <c r="O2966" s="256" t="inlineStr">
        <is>
          <t>08.01.2026</t>
        </is>
      </c>
      <c r="P2966" s="256" t="inlineStr">
        <is>
          <t>carried from the initial testing (CoQ-PP-2026-0004) — covered</t>
        </is>
      </c>
      <c r="Q2966" s="256" t="inlineStr"/>
      <c r="R2966" s="256" t="inlineStr"/>
    </row>
    <row r="2967">
      <c r="A2967" s="256" t="inlineStr">
        <is>
          <t>CoQ-PP_26-129</t>
        </is>
      </c>
      <c r="B2967" s="256" t="inlineStr">
        <is>
          <t>reissue — retest</t>
        </is>
      </c>
      <c r="C2967" s="256" t="inlineStr">
        <is>
          <t>OPM092501</t>
        </is>
      </c>
      <c r="D2967" s="256" t="inlineStr">
        <is>
          <t>P060042</t>
        </is>
      </c>
      <c r="E2967" s="256" t="inlineStr">
        <is>
          <t>Orange Punch Mimosa</t>
        </is>
      </c>
      <c r="F2967" s="256" t="inlineStr">
        <is>
          <t>18.09.2026</t>
        </is>
      </c>
      <c r="G2967" s="256" t="inlineStr">
        <is>
          <t>11.4</t>
        </is>
      </c>
      <c r="H2967" s="256" t="inlineStr">
        <is>
          <t>Mercury (Hg)</t>
        </is>
      </c>
      <c r="I2967" s="256" t="inlineStr">
        <is>
          <t>Ph. Eur. 2.4.27 (ICP-MS)</t>
        </is>
      </c>
      <c r="J2967" s="256" t="inlineStr">
        <is>
          <t>≤ 0.1 mg/kg</t>
        </is>
      </c>
      <c r="K2967" s="256" t="inlineStr">
        <is>
          <t>ND</t>
        </is>
      </c>
      <c r="L2967" s="256" t="inlineStr">
        <is>
          <t>87/2026</t>
        </is>
      </c>
      <c r="M2967" s="256" t="inlineStr">
        <is>
          <t>03.02.2026</t>
        </is>
      </c>
      <c r="N2967" s="256" t="inlineStr">
        <is>
          <t>IPH — Institute of Public Health</t>
        </is>
      </c>
      <c r="O2967" s="256" t="inlineStr">
        <is>
          <t>08.01.2026</t>
        </is>
      </c>
      <c r="P2967" s="256" t="inlineStr">
        <is>
          <t>carried from the initial testing (CoQ-PP-2026-0004) — covered</t>
        </is>
      </c>
      <c r="Q2967" s="256" t="inlineStr"/>
      <c r="R2967" s="256" t="inlineStr"/>
    </row>
    <row r="2968">
      <c r="A2968" s="256" t="inlineStr">
        <is>
          <t>CoQ-PP_26-129</t>
        </is>
      </c>
      <c r="B2968" s="256" t="inlineStr">
        <is>
          <t>reissue — retest</t>
        </is>
      </c>
      <c r="C2968" s="256" t="inlineStr">
        <is>
          <t>OPM092501</t>
        </is>
      </c>
      <c r="D2968" s="256" t="inlineStr">
        <is>
          <t>P060042</t>
        </is>
      </c>
      <c r="E2968" s="256" t="inlineStr">
        <is>
          <t>Orange Punch Mimosa</t>
        </is>
      </c>
      <c r="F2968" s="256" t="inlineStr">
        <is>
          <t>18.09.2026</t>
        </is>
      </c>
      <c r="G2968" s="256" t="inlineStr">
        <is>
          <t>12</t>
        </is>
      </c>
      <c r="H2968" s="256" t="inlineStr">
        <is>
          <t>Pesticide Residues</t>
        </is>
      </c>
      <c r="I2968" s="256" t="inlineStr">
        <is>
          <t>Ph. Eur. 2.8.13 (LC-MS/MS) · CUMCS Equivalency</t>
        </is>
      </c>
      <c r="J2968" s="256" t="inlineStr">
        <is>
          <t>≤ LOQ as per Ph. Eur. 2.8.13 · ≤ LOQ as per CUMCS Equivalency</t>
        </is>
      </c>
      <c r="K2968" s="256" t="inlineStr">
        <is>
          <t>ND</t>
        </is>
      </c>
      <c r="L2968" s="256" t="inlineStr">
        <is>
          <t>87/2026</t>
        </is>
      </c>
      <c r="M2968" s="256" t="inlineStr">
        <is>
          <t>03.02.2026</t>
        </is>
      </c>
      <c r="N2968" s="256" t="inlineStr">
        <is>
          <t>IPH — Institute of Public Health</t>
        </is>
      </c>
      <c r="O2968" s="256" t="inlineStr">
        <is>
          <t>08.01.2026</t>
        </is>
      </c>
      <c r="P2968" s="256" t="inlineStr">
        <is>
          <t>carried from the initial testing (CoQ-PP-2026-0004) — covered</t>
        </is>
      </c>
      <c r="Q2968" s="256" t="inlineStr"/>
      <c r="R2968" s="256" t="inlineStr"/>
    </row>
    <row r="2969">
      <c r="A2969" s="256" t="inlineStr">
        <is>
          <t>CoQ-PP_26-130</t>
        </is>
      </c>
      <c r="B2969" s="256" t="inlineStr">
        <is>
          <t>reissue — retest</t>
        </is>
      </c>
      <c r="C2969" s="256" t="inlineStr">
        <is>
          <t>OPM1024_03</t>
        </is>
      </c>
      <c r="D2969" s="256" t="inlineStr">
        <is>
          <t>P050082</t>
        </is>
      </c>
      <c r="E2969" s="256" t="inlineStr">
        <is>
          <t>Orange Punch Mimosa</t>
        </is>
      </c>
      <c r="F2969" s="256" t="inlineStr">
        <is>
          <t>18.09.2026</t>
        </is>
      </c>
      <c r="G2969" s="256" t="inlineStr">
        <is>
          <t>1</t>
        </is>
      </c>
      <c r="H2969" s="256" t="inlineStr">
        <is>
          <t>Identification A, Appearance · Macroscopic</t>
        </is>
      </c>
      <c r="I2969" s="256" t="inlineStr">
        <is>
          <t>Ph. Eur. mon. 3028</t>
        </is>
      </c>
      <c r="J2969" s="256" t="inlineStr">
        <is>
          <t>Conforms to the monograph for Cannabis flos (07/2024:3028) in Ph. Eur. 11.0 | Согласно монографија за Cannabis flos (07/2024:3028) во Ph. Eur. 11.0</t>
        </is>
      </c>
      <c r="K2969" s="256" t="inlineStr">
        <is>
          <t>Conforms | Одговара</t>
        </is>
      </c>
      <c r="L2969" s="256" t="inlineStr">
        <is>
          <t>iCoA-PP_26-149</t>
        </is>
      </c>
      <c r="M2969" s="256" t="inlineStr">
        <is>
          <t>17.08.2026</t>
        </is>
      </c>
      <c r="N2969" s="256" t="inlineStr">
        <is>
          <t>Purely Plant GmbH (in-house)</t>
        </is>
      </c>
      <c r="O2969" s="256" t="inlineStr">
        <is>
          <t>—</t>
        </is>
      </c>
      <c r="P2969" s="256" t="inlineStr">
        <is>
          <t>covered</t>
        </is>
      </c>
      <c r="Q2969" s="256" t="inlineStr">
        <is>
          <t>Farmahem — Ident A + B + C with the Assay, at retest</t>
        </is>
      </c>
      <c r="R2969" s="256" t="inlineStr"/>
    </row>
    <row r="2970">
      <c r="A2970" s="256" t="inlineStr">
        <is>
          <t>CoQ-PP_26-130</t>
        </is>
      </c>
      <c r="B2970" s="256" t="inlineStr">
        <is>
          <t>reissue — retest</t>
        </is>
      </c>
      <c r="C2970" s="256" t="inlineStr">
        <is>
          <t>OPM1024_03</t>
        </is>
      </c>
      <c r="D2970" s="256" t="inlineStr">
        <is>
          <t>P050082</t>
        </is>
      </c>
      <c r="E2970" s="256" t="inlineStr">
        <is>
          <t>Orange Punch Mimosa</t>
        </is>
      </c>
      <c r="F2970" s="256" t="inlineStr">
        <is>
          <t>18.09.2026</t>
        </is>
      </c>
      <c r="G2970" s="256" t="inlineStr">
        <is>
          <t>2</t>
        </is>
      </c>
      <c r="H2970" s="256" t="inlineStr">
        <is>
          <t>Identification B · Microscopic</t>
        </is>
      </c>
      <c r="I2970" s="256" t="inlineStr">
        <is>
          <t>Ph. Eur. 2.8.23 (microscopy)</t>
        </is>
      </c>
      <c r="J2970" s="256" t="inlineStr">
        <is>
          <t>Conforms to the monograph for Cannabis flos (07/2024:3028) in Ph. Eur. 11.0 | Согласно монографија за Cannabis flos (07/2024:3028) во Ph. Eur. 11.0</t>
        </is>
      </c>
      <c r="K2970" s="256" t="inlineStr">
        <is>
          <t>Conforms | Одговара</t>
        </is>
      </c>
      <c r="L2970" s="256" t="inlineStr">
        <is>
          <t>iCoA-PP_26-149</t>
        </is>
      </c>
      <c r="M2970" s="256" t="inlineStr">
        <is>
          <t>17.08.2026</t>
        </is>
      </c>
      <c r="N2970" s="256" t="inlineStr">
        <is>
          <t>Purely Plant GmbH (in-house)</t>
        </is>
      </c>
      <c r="O2970" s="256" t="inlineStr">
        <is>
          <t>—</t>
        </is>
      </c>
      <c r="P2970" s="256" t="inlineStr">
        <is>
          <t>covered</t>
        </is>
      </c>
      <c r="Q2970" s="256" t="inlineStr">
        <is>
          <t>Farmahem — Ident A + B + C with the Assay, at retest</t>
        </is>
      </c>
      <c r="R2970" s="256" t="inlineStr"/>
    </row>
    <row r="2971">
      <c r="A2971" s="256" t="inlineStr">
        <is>
          <t>CoQ-PP_26-130</t>
        </is>
      </c>
      <c r="B2971" s="256" t="inlineStr">
        <is>
          <t>reissue — retest</t>
        </is>
      </c>
      <c r="C2971" s="256" t="inlineStr">
        <is>
          <t>OPM1024_03</t>
        </is>
      </c>
      <c r="D2971" s="256" t="inlineStr">
        <is>
          <t>P050082</t>
        </is>
      </c>
      <c r="E2971" s="256" t="inlineStr">
        <is>
          <t>Orange Punch Mimosa</t>
        </is>
      </c>
      <c r="F2971" s="256" t="inlineStr">
        <is>
          <t>18.09.2026</t>
        </is>
      </c>
      <c r="G2971" s="256" t="inlineStr">
        <is>
          <t>3</t>
        </is>
      </c>
      <c r="H2971" s="256" t="inlineStr">
        <is>
          <t>Identification C · HPLC/HPTLC</t>
        </is>
      </c>
      <c r="I2971" s="256" t="inlineStr">
        <is>
          <t>Ph. Eur. 2.2.29 (3028)</t>
        </is>
      </c>
      <c r="J2971" s="256" t="inlineStr">
        <is>
          <t>Conforms to the monograph for Cannabis flos (07/2024:3028) in Ph. Eur. 11.0 | Согласно монографија за Cannabis flos (07/2024:3028) во Ph. Eur. 11.0</t>
        </is>
      </c>
      <c r="K2971" s="256" t="inlineStr">
        <is>
          <t>Conforms | Одговара</t>
        </is>
      </c>
      <c r="L2971" s="256" t="inlineStr">
        <is>
          <t>220-23-К/26</t>
        </is>
      </c>
      <c r="M2971" s="256" t="inlineStr">
        <is>
          <t>26.08.2026</t>
        </is>
      </c>
      <c r="N2971" s="256" t="inlineStr">
        <is>
          <t>Farmahem</t>
        </is>
      </c>
      <c r="O2971" s="256" t="inlineStr">
        <is>
          <t>17.08.2026</t>
        </is>
      </c>
      <c r="P2971" s="256" t="inlineStr">
        <is>
          <t>covered</t>
        </is>
      </c>
      <c r="Q2971" s="256" t="inlineStr"/>
      <c r="R2971" s="256" t="inlineStr"/>
    </row>
    <row r="2972">
      <c r="A2972" s="256" t="inlineStr">
        <is>
          <t>CoQ-PP_26-130</t>
        </is>
      </c>
      <c r="B2972" s="256" t="inlineStr">
        <is>
          <t>reissue — retest</t>
        </is>
      </c>
      <c r="C2972" s="256" t="inlineStr">
        <is>
          <t>OPM1024_03</t>
        </is>
      </c>
      <c r="D2972" s="256" t="inlineStr">
        <is>
          <t>P050082</t>
        </is>
      </c>
      <c r="E2972" s="256" t="inlineStr">
        <is>
          <t>Orange Punch Mimosa</t>
        </is>
      </c>
      <c r="F2972" s="256" t="inlineStr">
        <is>
          <t>18.09.2026</t>
        </is>
      </c>
      <c r="G2972" s="256" t="inlineStr">
        <is>
          <t>4</t>
        </is>
      </c>
      <c r="H2972" s="256" t="inlineStr">
        <is>
          <t>Assay — Total Δ⁹-THC</t>
        </is>
      </c>
      <c r="I2972" s="256" t="inlineStr">
        <is>
          <t>Ph. Eur. 2.2.29 (HPLC)</t>
        </is>
      </c>
      <c r="J2972" s="256" t="inlineStr">
        <is>
          <t>18.60 – 21.39 %  (grade I, nominal 20.00 ± 1.40)</t>
        </is>
      </c>
      <c r="K2972" s="256" t="inlineStr">
        <is>
          <t>19.30</t>
        </is>
      </c>
      <c r="L2972" s="256" t="inlineStr">
        <is>
          <t>220-23-К/26</t>
        </is>
      </c>
      <c r="M2972" s="256" t="inlineStr">
        <is>
          <t>26.08.2026</t>
        </is>
      </c>
      <c r="N2972" s="256" t="inlineStr">
        <is>
          <t>Farmahem</t>
        </is>
      </c>
      <c r="O2972" s="256" t="inlineStr">
        <is>
          <t>17.08.2026</t>
        </is>
      </c>
      <c r="P2972" s="256" t="inlineStr">
        <is>
          <t>covered</t>
        </is>
      </c>
      <c r="Q2972" s="256" t="inlineStr"/>
      <c r="R2972" s="256" t="inlineStr"/>
    </row>
    <row r="2973">
      <c r="A2973" s="256" t="inlineStr">
        <is>
          <t>CoQ-PP_26-130</t>
        </is>
      </c>
      <c r="B2973" s="256" t="inlineStr">
        <is>
          <t>reissue — retest</t>
        </is>
      </c>
      <c r="C2973" s="256" t="inlineStr">
        <is>
          <t>OPM1024_03</t>
        </is>
      </c>
      <c r="D2973" s="256" t="inlineStr">
        <is>
          <t>P050082</t>
        </is>
      </c>
      <c r="E2973" s="256" t="inlineStr">
        <is>
          <t>Orange Punch Mimosa</t>
        </is>
      </c>
      <c r="F2973" s="256" t="inlineStr">
        <is>
          <t>18.09.2026</t>
        </is>
      </c>
      <c r="G2973" s="256" t="inlineStr">
        <is>
          <t>5</t>
        </is>
      </c>
      <c r="H2973" s="256" t="inlineStr">
        <is>
          <t>Assay — Total CBD</t>
        </is>
      </c>
      <c r="I2973" s="256" t="inlineStr">
        <is>
          <t>Ph. Eur. 2.2.29 (HPLC) · CBD + CBDA x 0.877</t>
        </is>
      </c>
      <c r="J2973" s="256" t="inlineStr">
        <is>
          <t>≤ 1.0%, w/w</t>
        </is>
      </c>
      <c r="K2973" s="256" t="inlineStr">
        <is>
          <t>&lt; LOQ</t>
        </is>
      </c>
      <c r="L2973" s="256" t="inlineStr">
        <is>
          <t>220-23-К/26</t>
        </is>
      </c>
      <c r="M2973" s="256" t="inlineStr">
        <is>
          <t>26.08.2026</t>
        </is>
      </c>
      <c r="N2973" s="256" t="inlineStr">
        <is>
          <t>Farmahem</t>
        </is>
      </c>
      <c r="O2973" s="256" t="inlineStr">
        <is>
          <t>17.08.2026</t>
        </is>
      </c>
      <c r="P2973" s="256" t="inlineStr">
        <is>
          <t>covered</t>
        </is>
      </c>
      <c r="Q2973" s="256" t="inlineStr"/>
      <c r="R2973" s="256" t="inlineStr"/>
    </row>
    <row r="2974">
      <c r="A2974" s="256" t="inlineStr">
        <is>
          <t>CoQ-PP_26-130</t>
        </is>
      </c>
      <c r="B2974" s="256" t="inlineStr">
        <is>
          <t>reissue — retest</t>
        </is>
      </c>
      <c r="C2974" s="256" t="inlineStr">
        <is>
          <t>OPM1024_03</t>
        </is>
      </c>
      <c r="D2974" s="256" t="inlineStr">
        <is>
          <t>P050082</t>
        </is>
      </c>
      <c r="E2974" s="256" t="inlineStr">
        <is>
          <t>Orange Punch Mimosa</t>
        </is>
      </c>
      <c r="F2974" s="256" t="inlineStr">
        <is>
          <t>18.09.2026</t>
        </is>
      </c>
      <c r="G2974" s="256" t="inlineStr">
        <is>
          <t>6</t>
        </is>
      </c>
      <c r="H2974" s="256" t="inlineStr">
        <is>
          <t>Total CBN</t>
        </is>
      </c>
      <c r="I2974" s="256" t="inlineStr">
        <is>
          <t>Ph. Eur. 2.2.29 (HPLC) · CBN + CBNA x 0.876</t>
        </is>
      </c>
      <c r="J2974" s="256" t="inlineStr">
        <is>
          <t>≤ 1.0%, w/w</t>
        </is>
      </c>
      <c r="K2974" s="256" t="inlineStr">
        <is>
          <t>&lt; LOQ</t>
        </is>
      </c>
      <c r="L2974" s="256" t="inlineStr">
        <is>
          <t>220-23-К/26</t>
        </is>
      </c>
      <c r="M2974" s="256" t="inlineStr">
        <is>
          <t>26.08.2026</t>
        </is>
      </c>
      <c r="N2974" s="256" t="inlineStr">
        <is>
          <t>Farmahem</t>
        </is>
      </c>
      <c r="O2974" s="256" t="inlineStr">
        <is>
          <t>17.08.2026</t>
        </is>
      </c>
      <c r="P2974" s="256" t="inlineStr">
        <is>
          <t>covered</t>
        </is>
      </c>
      <c r="Q2974" s="256" t="inlineStr"/>
      <c r="R2974" s="256" t="inlineStr"/>
    </row>
    <row r="2975">
      <c r="A2975" s="256" t="inlineStr">
        <is>
          <t>CoQ-PP_26-130</t>
        </is>
      </c>
      <c r="B2975" s="256" t="inlineStr">
        <is>
          <t>reissue — retest</t>
        </is>
      </c>
      <c r="C2975" s="256" t="inlineStr">
        <is>
          <t>OPM1024_03</t>
        </is>
      </c>
      <c r="D2975" s="256" t="inlineStr">
        <is>
          <t>P050082</t>
        </is>
      </c>
      <c r="E2975" s="256" t="inlineStr">
        <is>
          <t>Orange Punch Mimosa</t>
        </is>
      </c>
      <c r="F2975" s="256" t="inlineStr">
        <is>
          <t>18.09.2026</t>
        </is>
      </c>
      <c r="G2975" s="256" t="inlineStr">
        <is>
          <t>7</t>
        </is>
      </c>
      <c r="H2975" s="256" t="inlineStr">
        <is>
          <t>Foreign Matter</t>
        </is>
      </c>
      <c r="I2975" s="256" t="inlineStr">
        <is>
          <t>Ph. Eur. 2.8.2 · In-house · интерна</t>
        </is>
      </c>
      <c r="J2975" s="256" t="inlineStr">
        <is>
          <t>≤ 2.0% / 25–50 g · &lt; 1 cm leaves | листови, no seeds | без семки</t>
        </is>
      </c>
      <c r="K2975" s="256" t="inlineStr">
        <is>
          <t>Conforms | Одговара</t>
        </is>
      </c>
      <c r="L2975" s="256" t="inlineStr">
        <is>
          <t>iCoA-PP_26-149</t>
        </is>
      </c>
      <c r="M2975" s="256" t="inlineStr">
        <is>
          <t>17.08.2026</t>
        </is>
      </c>
      <c r="N2975" s="256" t="inlineStr">
        <is>
          <t>Purely Plant GmbH (in-house)</t>
        </is>
      </c>
      <c r="O2975" s="256" t="inlineStr">
        <is>
          <t>—</t>
        </is>
      </c>
      <c r="P2975" s="256" t="inlineStr">
        <is>
          <t>covered</t>
        </is>
      </c>
      <c r="Q2975" s="256" t="inlineStr">
        <is>
          <t>Purely Plant laboratory — iCoA covering Foreign matter</t>
        </is>
      </c>
      <c r="R2975" s="256" t="inlineStr"/>
    </row>
    <row r="2976">
      <c r="A2976" s="256" t="inlineStr">
        <is>
          <t>CoQ-PP_26-130</t>
        </is>
      </c>
      <c r="B2976" s="256" t="inlineStr">
        <is>
          <t>reissue — retest</t>
        </is>
      </c>
      <c r="C2976" s="256" t="inlineStr">
        <is>
          <t>OPM1024_03</t>
        </is>
      </c>
      <c r="D2976" s="256" t="inlineStr">
        <is>
          <t>P050082</t>
        </is>
      </c>
      <c r="E2976" s="256" t="inlineStr">
        <is>
          <t>Orange Punch Mimosa</t>
        </is>
      </c>
      <c r="F2976" s="256" t="inlineStr">
        <is>
          <t>18.09.2026</t>
        </is>
      </c>
      <c r="G2976" s="256" t="inlineStr">
        <is>
          <t>8</t>
        </is>
      </c>
      <c r="H2976" s="256" t="inlineStr">
        <is>
          <t>Loss on Drying</t>
        </is>
      </c>
      <c r="I2976" s="256" t="inlineStr">
        <is>
          <t>DAB 2018 monograph Cannabis flos, 2.2.32 — loss on drying (CNP, before its Ph. Eur. 3028 accreditation)</t>
        </is>
      </c>
      <c r="J2976" s="256" t="inlineStr">
        <is>
          <t>≤ 12.0%</t>
        </is>
      </c>
      <c r="K2976" s="256" t="inlineStr">
        <is>
          <t>6.38</t>
        </is>
      </c>
      <c r="L2976" s="256" t="inlineStr">
        <is>
          <t>ППК25210</t>
        </is>
      </c>
      <c r="M2976" s="256" t="inlineStr">
        <is>
          <t>28.07.2025</t>
        </is>
      </c>
      <c r="N2976" s="256" t="inlineStr">
        <is>
          <t>UKIM Faculty of Pharmacy — Center for Natural Products</t>
        </is>
      </c>
      <c r="O2976" s="256" t="inlineStr">
        <is>
          <t>21.07.2025</t>
        </is>
      </c>
      <c r="P2976" s="256" t="inlineStr">
        <is>
          <t>carried from the initial testing (CoQ-PP-2025-0011) — covered</t>
        </is>
      </c>
      <c r="Q2976" s="256" t="inlineStr"/>
      <c r="R2976" s="256" t="inlineStr"/>
    </row>
    <row r="2977">
      <c r="A2977" s="256" t="inlineStr">
        <is>
          <t>CoQ-PP_26-130</t>
        </is>
      </c>
      <c r="B2977" s="256" t="inlineStr">
        <is>
          <t>reissue — retest</t>
        </is>
      </c>
      <c r="C2977" s="256" t="inlineStr">
        <is>
          <t>OPM1024_03</t>
        </is>
      </c>
      <c r="D2977" s="256" t="inlineStr">
        <is>
          <t>P050082</t>
        </is>
      </c>
      <c r="E2977" s="256" t="inlineStr">
        <is>
          <t>Orange Punch Mimosa</t>
        </is>
      </c>
      <c r="F2977" s="256" t="inlineStr">
        <is>
          <t>18.09.2026</t>
        </is>
      </c>
      <c r="G2977" s="256" t="inlineStr">
        <is>
          <t>9.1</t>
        </is>
      </c>
      <c r="H2977" s="256" t="inlineStr">
        <is>
          <t>TAMC</t>
        </is>
      </c>
      <c r="I2977" s="256" t="inlineStr">
        <is>
          <t>Ph. Eur. 2.6.12 cat. C</t>
        </is>
      </c>
      <c r="J2977" s="256" t="inlineStr">
        <is>
          <t>≤ 10⁵ CFU/g</t>
        </is>
      </c>
      <c r="K2977" s="256" t="inlineStr">
        <is>
          <t>2 × 10²</t>
        </is>
      </c>
      <c r="L2977" s="256" t="inlineStr">
        <is>
          <t>766/1375/25</t>
        </is>
      </c>
      <c r="M2977" s="256" t="inlineStr">
        <is>
          <t>29.07.2025</t>
        </is>
      </c>
      <c r="N2977" s="256" t="inlineStr">
        <is>
          <t>IPH — Institute of Public Health</t>
        </is>
      </c>
      <c r="O2977" s="256" t="inlineStr">
        <is>
          <t>21.07.2025</t>
        </is>
      </c>
      <c r="P2977" s="256" t="inlineStr">
        <is>
          <t>carried from the initial testing (CoQ-PP-2025-0011) — covered</t>
        </is>
      </c>
      <c r="Q2977" s="256" t="inlineStr"/>
      <c r="R2977" s="256" t="inlineStr"/>
    </row>
    <row r="2978">
      <c r="A2978" s="256" t="inlineStr">
        <is>
          <t>CoQ-PP_26-130</t>
        </is>
      </c>
      <c r="B2978" s="256" t="inlineStr">
        <is>
          <t>reissue — retest</t>
        </is>
      </c>
      <c r="C2978" s="256" t="inlineStr">
        <is>
          <t>OPM1024_03</t>
        </is>
      </c>
      <c r="D2978" s="256" t="inlineStr">
        <is>
          <t>P050082</t>
        </is>
      </c>
      <c r="E2978" s="256" t="inlineStr">
        <is>
          <t>Orange Punch Mimosa</t>
        </is>
      </c>
      <c r="F2978" s="256" t="inlineStr">
        <is>
          <t>18.09.2026</t>
        </is>
      </c>
      <c r="G2978" s="256" t="inlineStr">
        <is>
          <t>9.2</t>
        </is>
      </c>
      <c r="H2978" s="256" t="inlineStr">
        <is>
          <t>TYMC</t>
        </is>
      </c>
      <c r="I2978" s="256" t="inlineStr">
        <is>
          <t>Ph. Eur. 2.6.12 cat. C</t>
        </is>
      </c>
      <c r="J2978" s="256" t="inlineStr">
        <is>
          <t>≤ 10⁴ CFU/g</t>
        </is>
      </c>
      <c r="K2978" s="256" t="inlineStr">
        <is>
          <t>3 × 10²</t>
        </is>
      </c>
      <c r="L2978" s="256" t="inlineStr">
        <is>
          <t>766/1375/25</t>
        </is>
      </c>
      <c r="M2978" s="256" t="inlineStr">
        <is>
          <t>29.07.2025</t>
        </is>
      </c>
      <c r="N2978" s="256" t="inlineStr">
        <is>
          <t>IPH — Institute of Public Health</t>
        </is>
      </c>
      <c r="O2978" s="256" t="inlineStr">
        <is>
          <t>21.07.2025</t>
        </is>
      </c>
      <c r="P2978" s="256" t="inlineStr">
        <is>
          <t>carried from the initial testing (CoQ-PP-2025-0011) — covered</t>
        </is>
      </c>
      <c r="Q2978" s="256" t="inlineStr"/>
      <c r="R2978" s="256" t="inlineStr"/>
    </row>
    <row r="2979">
      <c r="A2979" s="256" t="inlineStr">
        <is>
          <t>CoQ-PP_26-130</t>
        </is>
      </c>
      <c r="B2979" s="256" t="inlineStr">
        <is>
          <t>reissue — retest</t>
        </is>
      </c>
      <c r="C2979" s="256" t="inlineStr">
        <is>
          <t>OPM1024_03</t>
        </is>
      </c>
      <c r="D2979" s="256" t="inlineStr">
        <is>
          <t>P050082</t>
        </is>
      </c>
      <c r="E2979" s="256" t="inlineStr">
        <is>
          <t>Orange Punch Mimosa</t>
        </is>
      </c>
      <c r="F2979" s="256" t="inlineStr">
        <is>
          <t>18.09.2026</t>
        </is>
      </c>
      <c r="G2979" s="256" t="inlineStr">
        <is>
          <t>9.3</t>
        </is>
      </c>
      <c r="H2979" s="256" t="inlineStr">
        <is>
          <t>Bile-tolerant gram-neg.</t>
        </is>
      </c>
      <c r="I2979" s="256" t="inlineStr">
        <is>
          <t>Ph. Eur. 2.6.31 cat. C</t>
        </is>
      </c>
      <c r="J2979" s="256" t="inlineStr">
        <is>
          <t>≤ 10⁴ CFU/g</t>
        </is>
      </c>
      <c r="K2979" s="256" t="inlineStr">
        <is>
          <t>&lt; 10</t>
        </is>
      </c>
      <c r="L2979" s="256" t="inlineStr">
        <is>
          <t>766/1375/25</t>
        </is>
      </c>
      <c r="M2979" s="256" t="inlineStr">
        <is>
          <t>29.07.2025</t>
        </is>
      </c>
      <c r="N2979" s="256" t="inlineStr">
        <is>
          <t>IPH — Institute of Public Health</t>
        </is>
      </c>
      <c r="O2979" s="256" t="inlineStr">
        <is>
          <t>21.07.2025</t>
        </is>
      </c>
      <c r="P2979" s="256" t="inlineStr">
        <is>
          <t>carried from the initial testing (CoQ-PP-2025-0011) — covered</t>
        </is>
      </c>
      <c r="Q2979" s="256" t="inlineStr"/>
      <c r="R2979" s="256" t="inlineStr"/>
    </row>
    <row r="2980">
      <c r="A2980" s="256" t="inlineStr">
        <is>
          <t>CoQ-PP_26-130</t>
        </is>
      </c>
      <c r="B2980" s="256" t="inlineStr">
        <is>
          <t>reissue — retest</t>
        </is>
      </c>
      <c r="C2980" s="256" t="inlineStr">
        <is>
          <t>OPM1024_03</t>
        </is>
      </c>
      <c r="D2980" s="256" t="inlineStr">
        <is>
          <t>P050082</t>
        </is>
      </c>
      <c r="E2980" s="256" t="inlineStr">
        <is>
          <t>Orange Punch Mimosa</t>
        </is>
      </c>
      <c r="F2980" s="256" t="inlineStr">
        <is>
          <t>18.09.2026</t>
        </is>
      </c>
      <c r="G2980" s="256" t="inlineStr">
        <is>
          <t>9.4</t>
        </is>
      </c>
      <c r="H2980" s="256" t="inlineStr">
        <is>
          <t>Salmonella</t>
        </is>
      </c>
      <c r="I2980" s="256" t="inlineStr">
        <is>
          <t>Ph. Eur. 2.6.31 cat. C</t>
        </is>
      </c>
      <c r="J2980" s="256" t="inlineStr">
        <is>
          <t>Absence | Отсуство / 25 g</t>
        </is>
      </c>
      <c r="K2980" s="256" t="inlineStr">
        <is>
          <t>Absent | Отсутна</t>
        </is>
      </c>
      <c r="L2980" s="256" t="inlineStr">
        <is>
          <t>766/1375/25</t>
        </is>
      </c>
      <c r="M2980" s="256" t="inlineStr">
        <is>
          <t>29.07.2025</t>
        </is>
      </c>
      <c r="N2980" s="256" t="inlineStr">
        <is>
          <t>IPH — Institute of Public Health</t>
        </is>
      </c>
      <c r="O2980" s="256" t="inlineStr">
        <is>
          <t>21.07.2025</t>
        </is>
      </c>
      <c r="P2980" s="256" t="inlineStr">
        <is>
          <t>carried from the initial testing (CoQ-PP-2025-0011) — covered</t>
        </is>
      </c>
      <c r="Q2980" s="256" t="inlineStr"/>
      <c r="R2980" s="256" t="inlineStr"/>
    </row>
    <row r="2981">
      <c r="A2981" s="256" t="inlineStr">
        <is>
          <t>CoQ-PP_26-130</t>
        </is>
      </c>
      <c r="B2981" s="256" t="inlineStr">
        <is>
          <t>reissue — retest</t>
        </is>
      </c>
      <c r="C2981" s="256" t="inlineStr">
        <is>
          <t>OPM1024_03</t>
        </is>
      </c>
      <c r="D2981" s="256" t="inlineStr">
        <is>
          <t>P050082</t>
        </is>
      </c>
      <c r="E2981" s="256" t="inlineStr">
        <is>
          <t>Orange Punch Mimosa</t>
        </is>
      </c>
      <c r="F2981" s="256" t="inlineStr">
        <is>
          <t>18.09.2026</t>
        </is>
      </c>
      <c r="G2981" s="256" t="inlineStr">
        <is>
          <t>9.5</t>
        </is>
      </c>
      <c r="H2981" s="256" t="inlineStr">
        <is>
          <t>Escherichia coli</t>
        </is>
      </c>
      <c r="I2981" s="256" t="inlineStr">
        <is>
          <t>Ph. Eur. 2.6.13 cat. C</t>
        </is>
      </c>
      <c r="J2981" s="256" t="inlineStr">
        <is>
          <t>Absence | Отсуство / 1 g</t>
        </is>
      </c>
      <c r="K2981" s="256" t="inlineStr">
        <is>
          <t>Absent | Отсутна</t>
        </is>
      </c>
      <c r="L2981" s="256" t="inlineStr">
        <is>
          <t>766/1375/25</t>
        </is>
      </c>
      <c r="M2981" s="256" t="inlineStr">
        <is>
          <t>29.07.2025</t>
        </is>
      </c>
      <c r="N2981" s="256" t="inlineStr">
        <is>
          <t>IPH — Institute of Public Health</t>
        </is>
      </c>
      <c r="O2981" s="256" t="inlineStr">
        <is>
          <t>21.07.2025</t>
        </is>
      </c>
      <c r="P2981" s="256" t="inlineStr">
        <is>
          <t>carried from the initial testing (CoQ-PP-2025-0011) — covered</t>
        </is>
      </c>
      <c r="Q2981" s="256" t="inlineStr"/>
      <c r="R2981" s="256" t="inlineStr"/>
    </row>
    <row r="2982">
      <c r="A2982" s="256" t="inlineStr">
        <is>
          <t>CoQ-PP_26-130</t>
        </is>
      </c>
      <c r="B2982" s="256" t="inlineStr">
        <is>
          <t>reissue — retest</t>
        </is>
      </c>
      <c r="C2982" s="256" t="inlineStr">
        <is>
          <t>OPM1024_03</t>
        </is>
      </c>
      <c r="D2982" s="256" t="inlineStr">
        <is>
          <t>P050082</t>
        </is>
      </c>
      <c r="E2982" s="256" t="inlineStr">
        <is>
          <t>Orange Punch Mimosa</t>
        </is>
      </c>
      <c r="F2982" s="256" t="inlineStr">
        <is>
          <t>18.09.2026</t>
        </is>
      </c>
      <c r="G2982" s="256" t="inlineStr">
        <is>
          <t>9.6</t>
        </is>
      </c>
      <c r="H2982" s="256" t="inlineStr">
        <is>
          <t>Pseudomonas aeruginosa</t>
        </is>
      </c>
      <c r="I2982" s="256" t="inlineStr">
        <is>
          <t>Ph. Eur. 2.6.13 cat. C</t>
        </is>
      </c>
      <c r="J2982" s="256" t="inlineStr">
        <is>
          <t>Absence | Отсуство / 1 g</t>
        </is>
      </c>
      <c r="K2982" s="260" t="inlineStr">
        <is>
          <t>upon request — not required for release</t>
        </is>
      </c>
      <c r="L2982" s="256" t="inlineStr">
        <is>
          <t>—</t>
        </is>
      </c>
      <c r="M2982" s="256" t="inlineStr">
        <is>
          <t>—</t>
        </is>
      </c>
      <c r="N2982" s="256" t="inlineStr">
        <is>
          <t>—</t>
        </is>
      </c>
      <c r="O2982" s="256" t="inlineStr">
        <is>
          <t>—</t>
        </is>
      </c>
      <c r="P2982" s="256" t="inlineStr">
        <is>
          <t>upon request — not required for release</t>
        </is>
      </c>
      <c r="Q2982" s="256" t="inlineStr"/>
      <c r="R2982" s="256" t="inlineStr"/>
    </row>
    <row r="2983">
      <c r="A2983" s="256" t="inlineStr">
        <is>
          <t>CoQ-PP_26-130</t>
        </is>
      </c>
      <c r="B2983" s="256" t="inlineStr">
        <is>
          <t>reissue — retest</t>
        </is>
      </c>
      <c r="C2983" s="256" t="inlineStr">
        <is>
          <t>OPM1024_03</t>
        </is>
      </c>
      <c r="D2983" s="256" t="inlineStr">
        <is>
          <t>P050082</t>
        </is>
      </c>
      <c r="E2983" s="256" t="inlineStr">
        <is>
          <t>Orange Punch Mimosa</t>
        </is>
      </c>
      <c r="F2983" s="256" t="inlineStr">
        <is>
          <t>18.09.2026</t>
        </is>
      </c>
      <c r="G2983" s="256" t="inlineStr">
        <is>
          <t>9.7</t>
        </is>
      </c>
      <c r="H2983" s="256" t="inlineStr">
        <is>
          <t>Staphylococcus aureus</t>
        </is>
      </c>
      <c r="I2983" s="256" t="inlineStr">
        <is>
          <t>Ph. Eur. 2.6.13 cat. C</t>
        </is>
      </c>
      <c r="J2983" s="256" t="inlineStr">
        <is>
          <t>Absence | Отсуство / 1 g</t>
        </is>
      </c>
      <c r="K2983" s="260" t="inlineStr">
        <is>
          <t>upon request — not required for release</t>
        </is>
      </c>
      <c r="L2983" s="256" t="inlineStr">
        <is>
          <t>—</t>
        </is>
      </c>
      <c r="M2983" s="256" t="inlineStr">
        <is>
          <t>—</t>
        </is>
      </c>
      <c r="N2983" s="256" t="inlineStr">
        <is>
          <t>—</t>
        </is>
      </c>
      <c r="O2983" s="256" t="inlineStr">
        <is>
          <t>—</t>
        </is>
      </c>
      <c r="P2983" s="256" t="inlineStr">
        <is>
          <t>upon request — not required for release</t>
        </is>
      </c>
      <c r="Q2983" s="256" t="inlineStr"/>
      <c r="R2983" s="256" t="inlineStr"/>
    </row>
    <row r="2984">
      <c r="A2984" s="256" t="inlineStr">
        <is>
          <t>CoQ-PP_26-130</t>
        </is>
      </c>
      <c r="B2984" s="256" t="inlineStr">
        <is>
          <t>reissue — retest</t>
        </is>
      </c>
      <c r="C2984" s="256" t="inlineStr">
        <is>
          <t>OPM1024_03</t>
        </is>
      </c>
      <c r="D2984" s="256" t="inlineStr">
        <is>
          <t>P050082</t>
        </is>
      </c>
      <c r="E2984" s="256" t="inlineStr">
        <is>
          <t>Orange Punch Mimosa</t>
        </is>
      </c>
      <c r="F2984" s="256" t="inlineStr">
        <is>
          <t>18.09.2026</t>
        </is>
      </c>
      <c r="G2984" s="256" t="inlineStr">
        <is>
          <t>10.1</t>
        </is>
      </c>
      <c r="H2984" s="256" t="inlineStr">
        <is>
          <t>Aflatoxin B₁</t>
        </is>
      </c>
      <c r="I2984" s="256" t="inlineStr">
        <is>
          <t>Ph. Eur. 2.8.18 (HPLC-FLD)</t>
        </is>
      </c>
      <c r="J2984" s="256" t="inlineStr">
        <is>
          <t>≤ 2 µg/kg</t>
        </is>
      </c>
      <c r="K2984" s="256" t="inlineStr">
        <is>
          <t>ND</t>
        </is>
      </c>
      <c r="L2984" s="256" t="inlineStr">
        <is>
          <t>220-23-М/26</t>
        </is>
      </c>
      <c r="M2984" s="256" t="inlineStr">
        <is>
          <t>11.09.2026</t>
        </is>
      </c>
      <c r="N2984" s="256" t="inlineStr">
        <is>
          <t>Farmahem</t>
        </is>
      </c>
      <c r="O2984" s="256" t="inlineStr">
        <is>
          <t>17.08.2026</t>
        </is>
      </c>
      <c r="P2984" s="256" t="inlineStr">
        <is>
          <t>covered</t>
        </is>
      </c>
      <c r="Q2984" s="256" t="inlineStr"/>
      <c r="R2984" s="256" t="inlineStr"/>
    </row>
    <row r="2985">
      <c r="A2985" s="256" t="inlineStr">
        <is>
          <t>CoQ-PP_26-130</t>
        </is>
      </c>
      <c r="B2985" s="256" t="inlineStr">
        <is>
          <t>reissue — retest</t>
        </is>
      </c>
      <c r="C2985" s="256" t="inlineStr">
        <is>
          <t>OPM1024_03</t>
        </is>
      </c>
      <c r="D2985" s="256" t="inlineStr">
        <is>
          <t>P050082</t>
        </is>
      </c>
      <c r="E2985" s="256" t="inlineStr">
        <is>
          <t>Orange Punch Mimosa</t>
        </is>
      </c>
      <c r="F2985" s="256" t="inlineStr">
        <is>
          <t>18.09.2026</t>
        </is>
      </c>
      <c r="G2985" s="256" t="inlineStr">
        <is>
          <t>10.2</t>
        </is>
      </c>
      <c r="H2985" s="256" t="inlineStr">
        <is>
          <t>Aflatoxins ∑</t>
        </is>
      </c>
      <c r="I2985" s="256" t="inlineStr">
        <is>
          <t>Ph. Eur. 2.8.18 (HPLC-FLD)</t>
        </is>
      </c>
      <c r="J2985" s="256" t="inlineStr">
        <is>
          <t>≤ 4 µg/kg</t>
        </is>
      </c>
      <c r="K2985" s="256" t="inlineStr">
        <is>
          <t>ND</t>
        </is>
      </c>
      <c r="L2985" s="256" t="inlineStr">
        <is>
          <t>220-23-М/26</t>
        </is>
      </c>
      <c r="M2985" s="256" t="inlineStr">
        <is>
          <t>11.09.2026</t>
        </is>
      </c>
      <c r="N2985" s="256" t="inlineStr">
        <is>
          <t>Farmahem</t>
        </is>
      </c>
      <c r="O2985" s="256" t="inlineStr">
        <is>
          <t>17.08.2026</t>
        </is>
      </c>
      <c r="P2985" s="256" t="inlineStr">
        <is>
          <t>covered</t>
        </is>
      </c>
      <c r="Q2985" s="256" t="inlineStr"/>
      <c r="R2985" s="256" t="inlineStr"/>
    </row>
    <row r="2986">
      <c r="A2986" s="256" t="inlineStr">
        <is>
          <t>CoQ-PP_26-130</t>
        </is>
      </c>
      <c r="B2986" s="256" t="inlineStr">
        <is>
          <t>reissue — retest</t>
        </is>
      </c>
      <c r="C2986" s="256" t="inlineStr">
        <is>
          <t>OPM1024_03</t>
        </is>
      </c>
      <c r="D2986" s="256" t="inlineStr">
        <is>
          <t>P050082</t>
        </is>
      </c>
      <c r="E2986" s="256" t="inlineStr">
        <is>
          <t>Orange Punch Mimosa</t>
        </is>
      </c>
      <c r="F2986" s="256" t="inlineStr">
        <is>
          <t>18.09.2026</t>
        </is>
      </c>
      <c r="G2986" s="256" t="inlineStr">
        <is>
          <t>10.3</t>
        </is>
      </c>
      <c r="H2986" s="256" t="inlineStr">
        <is>
          <t>Ochratoxin A</t>
        </is>
      </c>
      <c r="I2986" s="256" t="inlineStr">
        <is>
          <t>Ph. Eur. 2.8.22 (HPLC-FLD)</t>
        </is>
      </c>
      <c r="J2986" s="256" t="inlineStr">
        <is>
          <t>≤ 20 µg/kg</t>
        </is>
      </c>
      <c r="K2986" s="256" t="inlineStr">
        <is>
          <t>ND</t>
        </is>
      </c>
      <c r="L2986" s="256" t="inlineStr">
        <is>
          <t>220-23-М/26</t>
        </is>
      </c>
      <c r="M2986" s="256" t="inlineStr">
        <is>
          <t>11.09.2026</t>
        </is>
      </c>
      <c r="N2986" s="256" t="inlineStr">
        <is>
          <t>Farmahem</t>
        </is>
      </c>
      <c r="O2986" s="256" t="inlineStr">
        <is>
          <t>17.08.2026</t>
        </is>
      </c>
      <c r="P2986" s="256" t="inlineStr">
        <is>
          <t>covered</t>
        </is>
      </c>
      <c r="Q2986" s="256" t="inlineStr"/>
      <c r="R2986" s="256" t="inlineStr"/>
    </row>
    <row r="2987">
      <c r="A2987" s="256" t="inlineStr">
        <is>
          <t>CoQ-PP_26-130</t>
        </is>
      </c>
      <c r="B2987" s="256" t="inlineStr">
        <is>
          <t>reissue — retest</t>
        </is>
      </c>
      <c r="C2987" s="256" t="inlineStr">
        <is>
          <t>OPM1024_03</t>
        </is>
      </c>
      <c r="D2987" s="256" t="inlineStr">
        <is>
          <t>P050082</t>
        </is>
      </c>
      <c r="E2987" s="256" t="inlineStr">
        <is>
          <t>Orange Punch Mimosa</t>
        </is>
      </c>
      <c r="F2987" s="256" t="inlineStr">
        <is>
          <t>18.09.2026</t>
        </is>
      </c>
      <c r="G2987" s="256" t="inlineStr">
        <is>
          <t>11.1</t>
        </is>
      </c>
      <c r="H2987" s="256" t="inlineStr">
        <is>
          <t>Lead (Pb)</t>
        </is>
      </c>
      <c r="I2987" s="256" t="inlineStr">
        <is>
          <t>Ph. Eur. 2.4.27 (ICP-MS)</t>
        </is>
      </c>
      <c r="J2987" s="256" t="inlineStr">
        <is>
          <t>≤ 0.5 mg/kg</t>
        </is>
      </c>
      <c r="K2987" s="256" t="inlineStr">
        <is>
          <t>ND</t>
        </is>
      </c>
      <c r="L2987" s="256" t="inlineStr">
        <is>
          <t>3636/2025</t>
        </is>
      </c>
      <c r="M2987" s="256" t="inlineStr">
        <is>
          <t>28.07.2025</t>
        </is>
      </c>
      <c r="N2987" s="256" t="inlineStr">
        <is>
          <t>IPH — Institute of Public Health</t>
        </is>
      </c>
      <c r="O2987" s="256" t="inlineStr">
        <is>
          <t>21.07.2025</t>
        </is>
      </c>
      <c r="P2987" s="256" t="inlineStr">
        <is>
          <t>carried from the initial testing (CoQ-PP-2025-0011) — covered</t>
        </is>
      </c>
      <c r="Q2987" s="256" t="inlineStr"/>
      <c r="R2987" s="256" t="inlineStr"/>
    </row>
    <row r="2988">
      <c r="A2988" s="256" t="inlineStr">
        <is>
          <t>CoQ-PP_26-130</t>
        </is>
      </c>
      <c r="B2988" s="256" t="inlineStr">
        <is>
          <t>reissue — retest</t>
        </is>
      </c>
      <c r="C2988" s="256" t="inlineStr">
        <is>
          <t>OPM1024_03</t>
        </is>
      </c>
      <c r="D2988" s="256" t="inlineStr">
        <is>
          <t>P050082</t>
        </is>
      </c>
      <c r="E2988" s="256" t="inlineStr">
        <is>
          <t>Orange Punch Mimosa</t>
        </is>
      </c>
      <c r="F2988" s="256" t="inlineStr">
        <is>
          <t>18.09.2026</t>
        </is>
      </c>
      <c r="G2988" s="256" t="inlineStr">
        <is>
          <t>11.2</t>
        </is>
      </c>
      <c r="H2988" s="256" t="inlineStr">
        <is>
          <t>Cadmium (Cd)</t>
        </is>
      </c>
      <c r="I2988" s="256" t="inlineStr">
        <is>
          <t>Ph. Eur. 2.4.27 (ICP-MS)</t>
        </is>
      </c>
      <c r="J2988" s="256" t="inlineStr">
        <is>
          <t>≤ 0.3 mg/kg</t>
        </is>
      </c>
      <c r="K2988" s="256" t="inlineStr">
        <is>
          <t>ND</t>
        </is>
      </c>
      <c r="L2988" s="256" t="inlineStr">
        <is>
          <t>3636/2025</t>
        </is>
      </c>
      <c r="M2988" s="256" t="inlineStr">
        <is>
          <t>28.07.2025</t>
        </is>
      </c>
      <c r="N2988" s="256" t="inlineStr">
        <is>
          <t>IPH — Institute of Public Health</t>
        </is>
      </c>
      <c r="O2988" s="256" t="inlineStr">
        <is>
          <t>21.07.2025</t>
        </is>
      </c>
      <c r="P2988" s="256" t="inlineStr">
        <is>
          <t>carried from the initial testing (CoQ-PP-2025-0011) — covered</t>
        </is>
      </c>
      <c r="Q2988" s="256" t="inlineStr"/>
      <c r="R2988" s="256" t="inlineStr"/>
    </row>
    <row r="2989">
      <c r="A2989" s="256" t="inlineStr">
        <is>
          <t>CoQ-PP_26-130</t>
        </is>
      </c>
      <c r="B2989" s="256" t="inlineStr">
        <is>
          <t>reissue — retest</t>
        </is>
      </c>
      <c r="C2989" s="256" t="inlineStr">
        <is>
          <t>OPM1024_03</t>
        </is>
      </c>
      <c r="D2989" s="256" t="inlineStr">
        <is>
          <t>P050082</t>
        </is>
      </c>
      <c r="E2989" s="256" t="inlineStr">
        <is>
          <t>Orange Punch Mimosa</t>
        </is>
      </c>
      <c r="F2989" s="256" t="inlineStr">
        <is>
          <t>18.09.2026</t>
        </is>
      </c>
      <c r="G2989" s="256" t="inlineStr">
        <is>
          <t>11.3</t>
        </is>
      </c>
      <c r="H2989" s="256" t="inlineStr">
        <is>
          <t>Arsenic (As)</t>
        </is>
      </c>
      <c r="I2989" s="256" t="inlineStr">
        <is>
          <t>Ph. Eur. 2.4.27 (ICP-MS)</t>
        </is>
      </c>
      <c r="J2989" s="256" t="inlineStr">
        <is>
          <t>≤ 0.2 mg/kg</t>
        </is>
      </c>
      <c r="K2989" s="256" t="inlineStr">
        <is>
          <t>0.135</t>
        </is>
      </c>
      <c r="L2989" s="256" t="inlineStr">
        <is>
          <t>3636/2025</t>
        </is>
      </c>
      <c r="M2989" s="256" t="inlineStr">
        <is>
          <t>28.07.2025</t>
        </is>
      </c>
      <c r="N2989" s="256" t="inlineStr">
        <is>
          <t>IPH — Institute of Public Health</t>
        </is>
      </c>
      <c r="O2989" s="256" t="inlineStr">
        <is>
          <t>21.07.2025</t>
        </is>
      </c>
      <c r="P2989" s="256" t="inlineStr">
        <is>
          <t>carried from the initial testing (CoQ-PP-2025-0011) — covered</t>
        </is>
      </c>
      <c r="Q2989" s="256" t="inlineStr"/>
      <c r="R2989" s="256" t="inlineStr"/>
    </row>
    <row r="2990">
      <c r="A2990" s="256" t="inlineStr">
        <is>
          <t>CoQ-PP_26-130</t>
        </is>
      </c>
      <c r="B2990" s="256" t="inlineStr">
        <is>
          <t>reissue — retest</t>
        </is>
      </c>
      <c r="C2990" s="256" t="inlineStr">
        <is>
          <t>OPM1024_03</t>
        </is>
      </c>
      <c r="D2990" s="256" t="inlineStr">
        <is>
          <t>P050082</t>
        </is>
      </c>
      <c r="E2990" s="256" t="inlineStr">
        <is>
          <t>Orange Punch Mimosa</t>
        </is>
      </c>
      <c r="F2990" s="256" t="inlineStr">
        <is>
          <t>18.09.2026</t>
        </is>
      </c>
      <c r="G2990" s="256" t="inlineStr">
        <is>
          <t>11.4</t>
        </is>
      </c>
      <c r="H2990" s="256" t="inlineStr">
        <is>
          <t>Mercury (Hg)</t>
        </is>
      </c>
      <c r="I2990" s="256" t="inlineStr">
        <is>
          <t>Ph. Eur. 2.4.27 (ICP-MS)</t>
        </is>
      </c>
      <c r="J2990" s="256" t="inlineStr">
        <is>
          <t>≤ 0.1 mg/kg</t>
        </is>
      </c>
      <c r="K2990" s="256" t="inlineStr">
        <is>
          <t>0.03</t>
        </is>
      </c>
      <c r="L2990" s="256" t="inlineStr">
        <is>
          <t>3636/2025</t>
        </is>
      </c>
      <c r="M2990" s="256" t="inlineStr">
        <is>
          <t>28.07.2025</t>
        </is>
      </c>
      <c r="N2990" s="256" t="inlineStr">
        <is>
          <t>IPH — Institute of Public Health</t>
        </is>
      </c>
      <c r="O2990" s="256" t="inlineStr">
        <is>
          <t>21.07.2025</t>
        </is>
      </c>
      <c r="P2990" s="256" t="inlineStr">
        <is>
          <t>carried from the initial testing (CoQ-PP-2025-0011) — covered</t>
        </is>
      </c>
      <c r="Q2990" s="256" t="inlineStr"/>
      <c r="R2990" s="256" t="inlineStr"/>
    </row>
    <row r="2991">
      <c r="A2991" s="256" t="inlineStr">
        <is>
          <t>CoQ-PP_26-130</t>
        </is>
      </c>
      <c r="B2991" s="256" t="inlineStr">
        <is>
          <t>reissue — retest</t>
        </is>
      </c>
      <c r="C2991" s="256" t="inlineStr">
        <is>
          <t>OPM1024_03</t>
        </is>
      </c>
      <c r="D2991" s="256" t="inlineStr">
        <is>
          <t>P050082</t>
        </is>
      </c>
      <c r="E2991" s="256" t="inlineStr">
        <is>
          <t>Orange Punch Mimosa</t>
        </is>
      </c>
      <c r="F2991" s="256" t="inlineStr">
        <is>
          <t>18.09.2026</t>
        </is>
      </c>
      <c r="G2991" s="256" t="inlineStr">
        <is>
          <t>12</t>
        </is>
      </c>
      <c r="H2991" s="256" t="inlineStr">
        <is>
          <t>Pesticide Residues</t>
        </is>
      </c>
      <c r="I2991" s="256" t="inlineStr">
        <is>
          <t>Ph. Eur. 2.8.13 (LC-MS/MS) · CUMCS Equivalency</t>
        </is>
      </c>
      <c r="J2991" s="256" t="inlineStr">
        <is>
          <t>≤ LOQ as per Ph. Eur. 2.8.13 · ≤ LOQ as per CUMCS Equivalency</t>
        </is>
      </c>
      <c r="K2991" s="256" t="inlineStr">
        <is>
          <t>ND</t>
        </is>
      </c>
      <c r="L2991" s="256" t="inlineStr">
        <is>
          <t>3636/2025</t>
        </is>
      </c>
      <c r="M2991" s="256" t="inlineStr">
        <is>
          <t>28.07.2025</t>
        </is>
      </c>
      <c r="N2991" s="256" t="inlineStr">
        <is>
          <t>IPH — Institute of Public Health</t>
        </is>
      </c>
      <c r="O2991" s="256" t="inlineStr">
        <is>
          <t>21.07.2025</t>
        </is>
      </c>
      <c r="P2991" s="256" t="inlineStr">
        <is>
          <t>carried from the initial testing (CoQ-PP-2025-0011) — covered</t>
        </is>
      </c>
      <c r="Q2991" s="256" t="inlineStr"/>
      <c r="R2991" s="256" t="inlineStr"/>
    </row>
    <row r="2992">
      <c r="A2992" s="256" t="inlineStr">
        <is>
          <t>CoQ-PP_26-131</t>
        </is>
      </c>
      <c r="B2992" s="256" t="inlineStr">
        <is>
          <t>reissue — retest</t>
        </is>
      </c>
      <c r="C2992" s="256" t="inlineStr">
        <is>
          <t>PM112501</t>
        </is>
      </c>
      <c r="D2992" s="256" t="inlineStr">
        <is>
          <t>P060232</t>
        </is>
      </c>
      <c r="E2992" s="256" t="inlineStr">
        <is>
          <t>Permanent Marker</t>
        </is>
      </c>
      <c r="F2992" s="256" t="inlineStr">
        <is>
          <t>18.09.2026</t>
        </is>
      </c>
      <c r="G2992" s="256" t="inlineStr">
        <is>
          <t>1</t>
        </is>
      </c>
      <c r="H2992" s="256" t="inlineStr">
        <is>
          <t>Identification A, Appearance · Macroscopic</t>
        </is>
      </c>
      <c r="I2992" s="256" t="inlineStr">
        <is>
          <t>Ph. Eur. mon. 3028</t>
        </is>
      </c>
      <c r="J2992" s="256" t="inlineStr">
        <is>
          <t>Conforms to the monograph for Cannabis flos (07/2024:3028) in Ph. Eur. 11.0 | Согласно монографија за Cannabis flos (07/2024:3028) во Ph. Eur. 11.0</t>
        </is>
      </c>
      <c r="K2992" s="256" t="inlineStr">
        <is>
          <t>Conforms | Одговара</t>
        </is>
      </c>
      <c r="L2992" s="256" t="inlineStr">
        <is>
          <t>iCoA-PP_26-150</t>
        </is>
      </c>
      <c r="M2992" s="256" t="inlineStr">
        <is>
          <t>17.08.2026</t>
        </is>
      </c>
      <c r="N2992" s="256" t="inlineStr">
        <is>
          <t>Purely Plant GmbH (in-house)</t>
        </is>
      </c>
      <c r="O2992" s="256" t="inlineStr">
        <is>
          <t>—</t>
        </is>
      </c>
      <c r="P2992" s="256" t="inlineStr">
        <is>
          <t>covered</t>
        </is>
      </c>
      <c r="Q2992" s="256" t="inlineStr">
        <is>
          <t>Farmahem — Ident A + B + C with the Assay, at retest</t>
        </is>
      </c>
      <c r="R2992" s="256" t="inlineStr"/>
    </row>
    <row r="2993">
      <c r="A2993" s="256" t="inlineStr">
        <is>
          <t>CoQ-PP_26-131</t>
        </is>
      </c>
      <c r="B2993" s="256" t="inlineStr">
        <is>
          <t>reissue — retest</t>
        </is>
      </c>
      <c r="C2993" s="256" t="inlineStr">
        <is>
          <t>PM112501</t>
        </is>
      </c>
      <c r="D2993" s="256" t="inlineStr">
        <is>
          <t>P060232</t>
        </is>
      </c>
      <c r="E2993" s="256" t="inlineStr">
        <is>
          <t>Permanent Marker</t>
        </is>
      </c>
      <c r="F2993" s="256" t="inlineStr">
        <is>
          <t>18.09.2026</t>
        </is>
      </c>
      <c r="G2993" s="256" t="inlineStr">
        <is>
          <t>2</t>
        </is>
      </c>
      <c r="H2993" s="256" t="inlineStr">
        <is>
          <t>Identification B · Microscopic</t>
        </is>
      </c>
      <c r="I2993" s="256" t="inlineStr">
        <is>
          <t>Ph. Eur. 2.8.23 (microscopy)</t>
        </is>
      </c>
      <c r="J2993" s="256" t="inlineStr">
        <is>
          <t>Conforms to the monograph for Cannabis flos (07/2024:3028) in Ph. Eur. 11.0 | Согласно монографија за Cannabis flos (07/2024:3028) во Ph. Eur. 11.0</t>
        </is>
      </c>
      <c r="K2993" s="256" t="inlineStr">
        <is>
          <t>Conforms | Одговара</t>
        </is>
      </c>
      <c r="L2993" s="256" t="inlineStr">
        <is>
          <t>iCoA-PP_26-150</t>
        </is>
      </c>
      <c r="M2993" s="256" t="inlineStr">
        <is>
          <t>17.08.2026</t>
        </is>
      </c>
      <c r="N2993" s="256" t="inlineStr">
        <is>
          <t>Purely Plant GmbH (in-house)</t>
        </is>
      </c>
      <c r="O2993" s="256" t="inlineStr">
        <is>
          <t>—</t>
        </is>
      </c>
      <c r="P2993" s="256" t="inlineStr">
        <is>
          <t>covered</t>
        </is>
      </c>
      <c r="Q2993" s="256" t="inlineStr">
        <is>
          <t>Farmahem — Ident A + B + C with the Assay, at retest</t>
        </is>
      </c>
      <c r="R2993" s="256" t="inlineStr"/>
    </row>
    <row r="2994">
      <c r="A2994" s="256" t="inlineStr">
        <is>
          <t>CoQ-PP_26-131</t>
        </is>
      </c>
      <c r="B2994" s="256" t="inlineStr">
        <is>
          <t>reissue — retest</t>
        </is>
      </c>
      <c r="C2994" s="256" t="inlineStr">
        <is>
          <t>PM112501</t>
        </is>
      </c>
      <c r="D2994" s="256" t="inlineStr">
        <is>
          <t>P060232</t>
        </is>
      </c>
      <c r="E2994" s="256" t="inlineStr">
        <is>
          <t>Permanent Marker</t>
        </is>
      </c>
      <c r="F2994" s="256" t="inlineStr">
        <is>
          <t>18.09.2026</t>
        </is>
      </c>
      <c r="G2994" s="256" t="inlineStr">
        <is>
          <t>3</t>
        </is>
      </c>
      <c r="H2994" s="256" t="inlineStr">
        <is>
          <t>Identification C · HPLC/HPTLC</t>
        </is>
      </c>
      <c r="I2994" s="256" t="inlineStr">
        <is>
          <t>Ph. Eur. 2.2.29 (3028)</t>
        </is>
      </c>
      <c r="J2994" s="256" t="inlineStr">
        <is>
          <t>Conforms to the monograph for Cannabis flos (07/2024:3028) in Ph. Eur. 11.0 | Согласно монографија за Cannabis flos (07/2024:3028) во Ph. Eur. 11.0</t>
        </is>
      </c>
      <c r="K2994" s="256" t="inlineStr">
        <is>
          <t>Conforms | Одговара</t>
        </is>
      </c>
      <c r="L2994" s="256" t="inlineStr">
        <is>
          <t>220-24-К/26</t>
        </is>
      </c>
      <c r="M2994" s="256" t="inlineStr">
        <is>
          <t>26.08.2026</t>
        </is>
      </c>
      <c r="N2994" s="256" t="inlineStr">
        <is>
          <t>Farmahem</t>
        </is>
      </c>
      <c r="O2994" s="256" t="inlineStr">
        <is>
          <t>17.08.2026</t>
        </is>
      </c>
      <c r="P2994" s="256" t="inlineStr">
        <is>
          <t>covered</t>
        </is>
      </c>
      <c r="Q2994" s="256" t="inlineStr"/>
      <c r="R2994" s="256" t="inlineStr"/>
    </row>
    <row r="2995">
      <c r="A2995" s="256" t="inlineStr">
        <is>
          <t>CoQ-PP_26-131</t>
        </is>
      </c>
      <c r="B2995" s="256" t="inlineStr">
        <is>
          <t>reissue — retest</t>
        </is>
      </c>
      <c r="C2995" s="256" t="inlineStr">
        <is>
          <t>PM112501</t>
        </is>
      </c>
      <c r="D2995" s="256" t="inlineStr">
        <is>
          <t>P060232</t>
        </is>
      </c>
      <c r="E2995" s="256" t="inlineStr">
        <is>
          <t>Permanent Marker</t>
        </is>
      </c>
      <c r="F2995" s="256" t="inlineStr">
        <is>
          <t>18.09.2026</t>
        </is>
      </c>
      <c r="G2995" s="256" t="inlineStr">
        <is>
          <t>4</t>
        </is>
      </c>
      <c r="H2995" s="256" t="inlineStr">
        <is>
          <t>Assay — Total Δ⁹-THC</t>
        </is>
      </c>
      <c r="I2995" s="256" t="inlineStr">
        <is>
          <t>Ph. Eur. 2.2.29 (HPLC)</t>
        </is>
      </c>
      <c r="J2995" s="256" t="inlineStr">
        <is>
          <t>9.00 – 10.99 %  (grade III, nominal 10.00 ± 1.00)</t>
        </is>
      </c>
      <c r="K2995" s="256" t="inlineStr">
        <is>
          <t>10.80</t>
        </is>
      </c>
      <c r="L2995" s="256" t="inlineStr">
        <is>
          <t>220-24-К/26</t>
        </is>
      </c>
      <c r="M2995" s="256" t="inlineStr">
        <is>
          <t>26.08.2026</t>
        </is>
      </c>
      <c r="N2995" s="256" t="inlineStr">
        <is>
          <t>Farmahem</t>
        </is>
      </c>
      <c r="O2995" s="256" t="inlineStr">
        <is>
          <t>17.08.2026</t>
        </is>
      </c>
      <c r="P2995" s="256" t="inlineStr">
        <is>
          <t>covered</t>
        </is>
      </c>
      <c r="Q2995" s="256" t="inlineStr"/>
      <c r="R2995" s="256" t="inlineStr"/>
    </row>
    <row r="2996">
      <c r="A2996" s="256" t="inlineStr">
        <is>
          <t>CoQ-PP_26-131</t>
        </is>
      </c>
      <c r="B2996" s="256" t="inlineStr">
        <is>
          <t>reissue — retest</t>
        </is>
      </c>
      <c r="C2996" s="256" t="inlineStr">
        <is>
          <t>PM112501</t>
        </is>
      </c>
      <c r="D2996" s="256" t="inlineStr">
        <is>
          <t>P060232</t>
        </is>
      </c>
      <c r="E2996" s="256" t="inlineStr">
        <is>
          <t>Permanent Marker</t>
        </is>
      </c>
      <c r="F2996" s="256" t="inlineStr">
        <is>
          <t>18.09.2026</t>
        </is>
      </c>
      <c r="G2996" s="256" t="inlineStr">
        <is>
          <t>5</t>
        </is>
      </c>
      <c r="H2996" s="256" t="inlineStr">
        <is>
          <t>Assay — Total CBD</t>
        </is>
      </c>
      <c r="I2996" s="256" t="inlineStr">
        <is>
          <t>Ph. Eur. 2.2.29 (HPLC) · CBD + CBDA x 0.877</t>
        </is>
      </c>
      <c r="J2996" s="256" t="inlineStr">
        <is>
          <t>≤ 1.0%, w/w</t>
        </is>
      </c>
      <c r="K2996" s="256" t="inlineStr">
        <is>
          <t>&lt; LOQ</t>
        </is>
      </c>
      <c r="L2996" s="256" t="inlineStr">
        <is>
          <t>220-24-К/26</t>
        </is>
      </c>
      <c r="M2996" s="256" t="inlineStr">
        <is>
          <t>26.08.2026</t>
        </is>
      </c>
      <c r="N2996" s="256" t="inlineStr">
        <is>
          <t>Farmahem</t>
        </is>
      </c>
      <c r="O2996" s="256" t="inlineStr">
        <is>
          <t>17.08.2026</t>
        </is>
      </c>
      <c r="P2996" s="256" t="inlineStr">
        <is>
          <t>covered</t>
        </is>
      </c>
      <c r="Q2996" s="256" t="inlineStr"/>
      <c r="R2996" s="256" t="inlineStr"/>
    </row>
    <row r="2997">
      <c r="A2997" s="256" t="inlineStr">
        <is>
          <t>CoQ-PP_26-131</t>
        </is>
      </c>
      <c r="B2997" s="256" t="inlineStr">
        <is>
          <t>reissue — retest</t>
        </is>
      </c>
      <c r="C2997" s="256" t="inlineStr">
        <is>
          <t>PM112501</t>
        </is>
      </c>
      <c r="D2997" s="256" t="inlineStr">
        <is>
          <t>P060232</t>
        </is>
      </c>
      <c r="E2997" s="256" t="inlineStr">
        <is>
          <t>Permanent Marker</t>
        </is>
      </c>
      <c r="F2997" s="256" t="inlineStr">
        <is>
          <t>18.09.2026</t>
        </is>
      </c>
      <c r="G2997" s="256" t="inlineStr">
        <is>
          <t>6</t>
        </is>
      </c>
      <c r="H2997" s="256" t="inlineStr">
        <is>
          <t>Total CBN</t>
        </is>
      </c>
      <c r="I2997" s="256" t="inlineStr">
        <is>
          <t>Ph. Eur. 2.2.29 (HPLC) · CBN + CBNA x 0.876</t>
        </is>
      </c>
      <c r="J2997" s="256" t="inlineStr">
        <is>
          <t>≤ 1.0%, w/w</t>
        </is>
      </c>
      <c r="K2997" s="256" t="inlineStr">
        <is>
          <t>&lt; LOQ</t>
        </is>
      </c>
      <c r="L2997" s="256" t="inlineStr">
        <is>
          <t>220-24-К/26</t>
        </is>
      </c>
      <c r="M2997" s="256" t="inlineStr">
        <is>
          <t>26.08.2026</t>
        </is>
      </c>
      <c r="N2997" s="256" t="inlineStr">
        <is>
          <t>Farmahem</t>
        </is>
      </c>
      <c r="O2997" s="256" t="inlineStr">
        <is>
          <t>17.08.2026</t>
        </is>
      </c>
      <c r="P2997" s="256" t="inlineStr">
        <is>
          <t>covered</t>
        </is>
      </c>
      <c r="Q2997" s="256" t="inlineStr"/>
      <c r="R2997" s="256" t="inlineStr"/>
    </row>
    <row r="2998">
      <c r="A2998" s="256" t="inlineStr">
        <is>
          <t>CoQ-PP_26-131</t>
        </is>
      </c>
      <c r="B2998" s="256" t="inlineStr">
        <is>
          <t>reissue — retest</t>
        </is>
      </c>
      <c r="C2998" s="256" t="inlineStr">
        <is>
          <t>PM112501</t>
        </is>
      </c>
      <c r="D2998" s="256" t="inlineStr">
        <is>
          <t>P060232</t>
        </is>
      </c>
      <c r="E2998" s="256" t="inlineStr">
        <is>
          <t>Permanent Marker</t>
        </is>
      </c>
      <c r="F2998" s="256" t="inlineStr">
        <is>
          <t>18.09.2026</t>
        </is>
      </c>
      <c r="G2998" s="256" t="inlineStr">
        <is>
          <t>7</t>
        </is>
      </c>
      <c r="H2998" s="256" t="inlineStr">
        <is>
          <t>Foreign Matter</t>
        </is>
      </c>
      <c r="I2998" s="256" t="inlineStr">
        <is>
          <t>Ph. Eur. 2.8.2 · In-house · интерна</t>
        </is>
      </c>
      <c r="J2998" s="256" t="inlineStr">
        <is>
          <t>≤ 2.0% / 25–50 g · &lt; 1 cm leaves | листови, no seeds | без семки</t>
        </is>
      </c>
      <c r="K2998" s="256" t="inlineStr">
        <is>
          <t>Conforms | Одговара</t>
        </is>
      </c>
      <c r="L2998" s="256" t="inlineStr">
        <is>
          <t>iCoA-PP_26-150</t>
        </is>
      </c>
      <c r="M2998" s="256" t="inlineStr">
        <is>
          <t>17.08.2026</t>
        </is>
      </c>
      <c r="N2998" s="256" t="inlineStr">
        <is>
          <t>Purely Plant GmbH (in-house)</t>
        </is>
      </c>
      <c r="O2998" s="256" t="inlineStr">
        <is>
          <t>—</t>
        </is>
      </c>
      <c r="P2998" s="256" t="inlineStr">
        <is>
          <t>covered</t>
        </is>
      </c>
      <c r="Q2998" s="256" t="inlineStr">
        <is>
          <t>Purely Plant laboratory — iCoA covering Foreign matter</t>
        </is>
      </c>
      <c r="R2998" s="256" t="inlineStr"/>
    </row>
    <row r="2999">
      <c r="A2999" s="256" t="inlineStr">
        <is>
          <t>CoQ-PP_26-131</t>
        </is>
      </c>
      <c r="B2999" s="256" t="inlineStr">
        <is>
          <t>reissue — retest</t>
        </is>
      </c>
      <c r="C2999" s="256" t="inlineStr">
        <is>
          <t>PM112501</t>
        </is>
      </c>
      <c r="D2999" s="256" t="inlineStr">
        <is>
          <t>P060232</t>
        </is>
      </c>
      <c r="E2999" s="256" t="inlineStr">
        <is>
          <t>Permanent Marker</t>
        </is>
      </c>
      <c r="F2999" s="256" t="inlineStr">
        <is>
          <t>18.09.2026</t>
        </is>
      </c>
      <c r="G2999" s="256" t="inlineStr">
        <is>
          <t>8</t>
        </is>
      </c>
      <c r="H2999" s="256" t="inlineStr">
        <is>
          <t>Loss on Drying</t>
        </is>
      </c>
      <c r="I2999" s="256" t="inlineStr">
        <is>
          <t>DAB 2018 monograph Cannabis flos, 2.2.32 — loss on drying (CNP, before its Ph. Eur. 3028 accreditation)</t>
        </is>
      </c>
      <c r="J2999" s="256" t="inlineStr">
        <is>
          <t>≤ 12.0%</t>
        </is>
      </c>
      <c r="K2999" s="256" t="inlineStr">
        <is>
          <t>8.61</t>
        </is>
      </c>
      <c r="L2999" s="256" t="inlineStr">
        <is>
          <t>ППК26030</t>
        </is>
      </c>
      <c r="M2999" s="256" t="inlineStr">
        <is>
          <t>05.03.2026</t>
        </is>
      </c>
      <c r="N2999" s="256" t="inlineStr">
        <is>
          <t>UKIM Faculty of Pharmacy — Center for Natural Products</t>
        </is>
      </c>
      <c r="O2999" s="256" t="inlineStr">
        <is>
          <t>23.02.2026</t>
        </is>
      </c>
      <c r="P2999" s="256" t="inlineStr">
        <is>
          <t>carried from the initial testing (CoQ-PP-2026-0016) — covered</t>
        </is>
      </c>
      <c r="Q2999" s="256" t="inlineStr"/>
      <c r="R2999" s="256" t="inlineStr"/>
    </row>
    <row r="3000">
      <c r="A3000" s="256" t="inlineStr">
        <is>
          <t>CoQ-PP_26-131</t>
        </is>
      </c>
      <c r="B3000" s="256" t="inlineStr">
        <is>
          <t>reissue — retest</t>
        </is>
      </c>
      <c r="C3000" s="256" t="inlineStr">
        <is>
          <t>PM112501</t>
        </is>
      </c>
      <c r="D3000" s="256" t="inlineStr">
        <is>
          <t>P060232</t>
        </is>
      </c>
      <c r="E3000" s="256" t="inlineStr">
        <is>
          <t>Permanent Marker</t>
        </is>
      </c>
      <c r="F3000" s="256" t="inlineStr">
        <is>
          <t>18.09.2026</t>
        </is>
      </c>
      <c r="G3000" s="256" t="inlineStr">
        <is>
          <t>9.1</t>
        </is>
      </c>
      <c r="H3000" s="256" t="inlineStr">
        <is>
          <t>TAMC</t>
        </is>
      </c>
      <c r="I3000" s="256" t="inlineStr">
        <is>
          <t>Ph. Eur. 2.6.12 cat. C</t>
        </is>
      </c>
      <c r="J3000" s="256" t="inlineStr">
        <is>
          <t>≤ 10⁵ CFU/g</t>
        </is>
      </c>
      <c r="K3000" s="256" t="inlineStr">
        <is>
          <t>10</t>
        </is>
      </c>
      <c r="L3000" s="256" t="inlineStr">
        <is>
          <t>135/0232/26</t>
        </is>
      </c>
      <c r="M3000" s="256" t="inlineStr">
        <is>
          <t>06.03.2026</t>
        </is>
      </c>
      <c r="N3000" s="256" t="inlineStr">
        <is>
          <t>IPH — Institute of Public Health</t>
        </is>
      </c>
      <c r="O3000" s="256" t="inlineStr">
        <is>
          <t>—</t>
        </is>
      </c>
      <c r="P3000" s="256" t="inlineStr">
        <is>
          <t>covered</t>
        </is>
      </c>
      <c r="Q3000" s="256" t="inlineStr"/>
      <c r="R3000" s="256" t="inlineStr"/>
    </row>
    <row r="3001">
      <c r="A3001" s="256" t="inlineStr">
        <is>
          <t>CoQ-PP_26-131</t>
        </is>
      </c>
      <c r="B3001" s="256" t="inlineStr">
        <is>
          <t>reissue — retest</t>
        </is>
      </c>
      <c r="C3001" s="256" t="inlineStr">
        <is>
          <t>PM112501</t>
        </is>
      </c>
      <c r="D3001" s="256" t="inlineStr">
        <is>
          <t>P060232</t>
        </is>
      </c>
      <c r="E3001" s="256" t="inlineStr">
        <is>
          <t>Permanent Marker</t>
        </is>
      </c>
      <c r="F3001" s="256" t="inlineStr">
        <is>
          <t>18.09.2026</t>
        </is>
      </c>
      <c r="G3001" s="256" t="inlineStr">
        <is>
          <t>9.2</t>
        </is>
      </c>
      <c r="H3001" s="256" t="inlineStr">
        <is>
          <t>TYMC</t>
        </is>
      </c>
      <c r="I3001" s="256" t="inlineStr">
        <is>
          <t>Ph. Eur. 2.6.12 cat. C</t>
        </is>
      </c>
      <c r="J3001" s="256" t="inlineStr">
        <is>
          <t>≤ 10⁴ CFU/g</t>
        </is>
      </c>
      <c r="K3001" s="256" t="inlineStr">
        <is>
          <t>&lt; 10</t>
        </is>
      </c>
      <c r="L3001" s="256" t="inlineStr">
        <is>
          <t>135/0232/26</t>
        </is>
      </c>
      <c r="M3001" s="256" t="inlineStr">
        <is>
          <t>06.03.2026</t>
        </is>
      </c>
      <c r="N3001" s="256" t="inlineStr">
        <is>
          <t>IPH — Institute of Public Health</t>
        </is>
      </c>
      <c r="O3001" s="256" t="inlineStr">
        <is>
          <t>—</t>
        </is>
      </c>
      <c r="P3001" s="256" t="inlineStr">
        <is>
          <t>covered</t>
        </is>
      </c>
      <c r="Q3001" s="256" t="inlineStr"/>
      <c r="R3001" s="256" t="inlineStr"/>
    </row>
    <row r="3002">
      <c r="A3002" s="256" t="inlineStr">
        <is>
          <t>CoQ-PP_26-131</t>
        </is>
      </c>
      <c r="B3002" s="256" t="inlineStr">
        <is>
          <t>reissue — retest</t>
        </is>
      </c>
      <c r="C3002" s="256" t="inlineStr">
        <is>
          <t>PM112501</t>
        </is>
      </c>
      <c r="D3002" s="256" t="inlineStr">
        <is>
          <t>P060232</t>
        </is>
      </c>
      <c r="E3002" s="256" t="inlineStr">
        <is>
          <t>Permanent Marker</t>
        </is>
      </c>
      <c r="F3002" s="256" t="inlineStr">
        <is>
          <t>18.09.2026</t>
        </is>
      </c>
      <c r="G3002" s="256" t="inlineStr">
        <is>
          <t>9.3</t>
        </is>
      </c>
      <c r="H3002" s="256" t="inlineStr">
        <is>
          <t>Bile-tolerant gram-neg.</t>
        </is>
      </c>
      <c r="I3002" s="256" t="inlineStr">
        <is>
          <t>Ph. Eur. 2.6.31 cat. C</t>
        </is>
      </c>
      <c r="J3002" s="256" t="inlineStr">
        <is>
          <t>≤ 10⁴ CFU/g</t>
        </is>
      </c>
      <c r="K3002" s="256" t="inlineStr">
        <is>
          <t>&lt; 10</t>
        </is>
      </c>
      <c r="L3002" s="256" t="inlineStr">
        <is>
          <t>135/0232/26</t>
        </is>
      </c>
      <c r="M3002" s="256" t="inlineStr">
        <is>
          <t>06.03.2026</t>
        </is>
      </c>
      <c r="N3002" s="256" t="inlineStr">
        <is>
          <t>IPH — Institute of Public Health</t>
        </is>
      </c>
      <c r="O3002" s="256" t="inlineStr">
        <is>
          <t>—</t>
        </is>
      </c>
      <c r="P3002" s="256" t="inlineStr">
        <is>
          <t>covered</t>
        </is>
      </c>
      <c r="Q3002" s="256" t="inlineStr"/>
      <c r="R3002" s="256" t="inlineStr"/>
    </row>
    <row r="3003">
      <c r="A3003" s="256" t="inlineStr">
        <is>
          <t>CoQ-PP_26-131</t>
        </is>
      </c>
      <c r="B3003" s="256" t="inlineStr">
        <is>
          <t>reissue — retest</t>
        </is>
      </c>
      <c r="C3003" s="256" t="inlineStr">
        <is>
          <t>PM112501</t>
        </is>
      </c>
      <c r="D3003" s="256" t="inlineStr">
        <is>
          <t>P060232</t>
        </is>
      </c>
      <c r="E3003" s="256" t="inlineStr">
        <is>
          <t>Permanent Marker</t>
        </is>
      </c>
      <c r="F3003" s="256" t="inlineStr">
        <is>
          <t>18.09.2026</t>
        </is>
      </c>
      <c r="G3003" s="256" t="inlineStr">
        <is>
          <t>9.4</t>
        </is>
      </c>
      <c r="H3003" s="256" t="inlineStr">
        <is>
          <t>Salmonella</t>
        </is>
      </c>
      <c r="I3003" s="256" t="inlineStr">
        <is>
          <t>Ph. Eur. 2.6.31 cat. C</t>
        </is>
      </c>
      <c r="J3003" s="256" t="inlineStr">
        <is>
          <t>Absence | Отсуство / 25 g</t>
        </is>
      </c>
      <c r="K3003" s="256" t="inlineStr">
        <is>
          <t>Absent | Отсутна</t>
        </is>
      </c>
      <c r="L3003" s="256" t="inlineStr">
        <is>
          <t>135/0232/26</t>
        </is>
      </c>
      <c r="M3003" s="256" t="inlineStr">
        <is>
          <t>06.03.2026</t>
        </is>
      </c>
      <c r="N3003" s="256" t="inlineStr">
        <is>
          <t>IPH — Institute of Public Health</t>
        </is>
      </c>
      <c r="O3003" s="256" t="inlineStr">
        <is>
          <t>—</t>
        </is>
      </c>
      <c r="P3003" s="256" t="inlineStr">
        <is>
          <t>covered</t>
        </is>
      </c>
      <c r="Q3003" s="256" t="inlineStr"/>
      <c r="R3003" s="256" t="inlineStr"/>
    </row>
    <row r="3004">
      <c r="A3004" s="256" t="inlineStr">
        <is>
          <t>CoQ-PP_26-131</t>
        </is>
      </c>
      <c r="B3004" s="256" t="inlineStr">
        <is>
          <t>reissue — retest</t>
        </is>
      </c>
      <c r="C3004" s="256" t="inlineStr">
        <is>
          <t>PM112501</t>
        </is>
      </c>
      <c r="D3004" s="256" t="inlineStr">
        <is>
          <t>P060232</t>
        </is>
      </c>
      <c r="E3004" s="256" t="inlineStr">
        <is>
          <t>Permanent Marker</t>
        </is>
      </c>
      <c r="F3004" s="256" t="inlineStr">
        <is>
          <t>18.09.2026</t>
        </is>
      </c>
      <c r="G3004" s="256" t="inlineStr">
        <is>
          <t>9.5</t>
        </is>
      </c>
      <c r="H3004" s="256" t="inlineStr">
        <is>
          <t>Escherichia coli</t>
        </is>
      </c>
      <c r="I3004" s="256" t="inlineStr">
        <is>
          <t>Ph. Eur. 2.6.13 cat. C</t>
        </is>
      </c>
      <c r="J3004" s="256" t="inlineStr">
        <is>
          <t>Absence | Отсуство / 1 g</t>
        </is>
      </c>
      <c r="K3004" s="256" t="inlineStr">
        <is>
          <t>Absent | Отсутна</t>
        </is>
      </c>
      <c r="L3004" s="256" t="inlineStr">
        <is>
          <t>135/0232/26</t>
        </is>
      </c>
      <c r="M3004" s="256" t="inlineStr">
        <is>
          <t>06.03.2026</t>
        </is>
      </c>
      <c r="N3004" s="256" t="inlineStr">
        <is>
          <t>IPH — Institute of Public Health</t>
        </is>
      </c>
      <c r="O3004" s="256" t="inlineStr">
        <is>
          <t>—</t>
        </is>
      </c>
      <c r="P3004" s="256" t="inlineStr">
        <is>
          <t>covered</t>
        </is>
      </c>
      <c r="Q3004" s="256" t="inlineStr"/>
      <c r="R3004" s="256" t="inlineStr"/>
    </row>
    <row r="3005">
      <c r="A3005" s="256" t="inlineStr">
        <is>
          <t>CoQ-PP_26-131</t>
        </is>
      </c>
      <c r="B3005" s="256" t="inlineStr">
        <is>
          <t>reissue — retest</t>
        </is>
      </c>
      <c r="C3005" s="256" t="inlineStr">
        <is>
          <t>PM112501</t>
        </is>
      </c>
      <c r="D3005" s="256" t="inlineStr">
        <is>
          <t>P060232</t>
        </is>
      </c>
      <c r="E3005" s="256" t="inlineStr">
        <is>
          <t>Permanent Marker</t>
        </is>
      </c>
      <c r="F3005" s="256" t="inlineStr">
        <is>
          <t>18.09.2026</t>
        </is>
      </c>
      <c r="G3005" s="256" t="inlineStr">
        <is>
          <t>9.6</t>
        </is>
      </c>
      <c r="H3005" s="256" t="inlineStr">
        <is>
          <t>Pseudomonas aeruginosa</t>
        </is>
      </c>
      <c r="I3005" s="256" t="inlineStr">
        <is>
          <t>Ph. Eur. 2.6.13 cat. C</t>
        </is>
      </c>
      <c r="J3005" s="256" t="inlineStr">
        <is>
          <t>Absence | Отсуство / 1 g</t>
        </is>
      </c>
      <c r="K3005" s="260" t="inlineStr">
        <is>
          <t>upon request — not required for release</t>
        </is>
      </c>
      <c r="L3005" s="256" t="inlineStr">
        <is>
          <t>—</t>
        </is>
      </c>
      <c r="M3005" s="256" t="inlineStr">
        <is>
          <t>—</t>
        </is>
      </c>
      <c r="N3005" s="256" t="inlineStr">
        <is>
          <t>—</t>
        </is>
      </c>
      <c r="O3005" s="256" t="inlineStr">
        <is>
          <t>—</t>
        </is>
      </c>
      <c r="P3005" s="256" t="inlineStr">
        <is>
          <t>upon request — not required for release</t>
        </is>
      </c>
      <c r="Q3005" s="256" t="inlineStr"/>
      <c r="R3005" s="256" t="inlineStr"/>
    </row>
    <row r="3006">
      <c r="A3006" s="256" t="inlineStr">
        <is>
          <t>CoQ-PP_26-131</t>
        </is>
      </c>
      <c r="B3006" s="256" t="inlineStr">
        <is>
          <t>reissue — retest</t>
        </is>
      </c>
      <c r="C3006" s="256" t="inlineStr">
        <is>
          <t>PM112501</t>
        </is>
      </c>
      <c r="D3006" s="256" t="inlineStr">
        <is>
          <t>P060232</t>
        </is>
      </c>
      <c r="E3006" s="256" t="inlineStr">
        <is>
          <t>Permanent Marker</t>
        </is>
      </c>
      <c r="F3006" s="256" t="inlineStr">
        <is>
          <t>18.09.2026</t>
        </is>
      </c>
      <c r="G3006" s="256" t="inlineStr">
        <is>
          <t>9.7</t>
        </is>
      </c>
      <c r="H3006" s="256" t="inlineStr">
        <is>
          <t>Staphylococcus aureus</t>
        </is>
      </c>
      <c r="I3006" s="256" t="inlineStr">
        <is>
          <t>Ph. Eur. 2.6.13 cat. C</t>
        </is>
      </c>
      <c r="J3006" s="256" t="inlineStr">
        <is>
          <t>Absence | Отсуство / 1 g</t>
        </is>
      </c>
      <c r="K3006" s="260" t="inlineStr">
        <is>
          <t>upon request — not required for release</t>
        </is>
      </c>
      <c r="L3006" s="256" t="inlineStr">
        <is>
          <t>—</t>
        </is>
      </c>
      <c r="M3006" s="256" t="inlineStr">
        <is>
          <t>—</t>
        </is>
      </c>
      <c r="N3006" s="256" t="inlineStr">
        <is>
          <t>—</t>
        </is>
      </c>
      <c r="O3006" s="256" t="inlineStr">
        <is>
          <t>—</t>
        </is>
      </c>
      <c r="P3006" s="256" t="inlineStr">
        <is>
          <t>upon request — not required for release</t>
        </is>
      </c>
      <c r="Q3006" s="256" t="inlineStr"/>
      <c r="R3006" s="256" t="inlineStr"/>
    </row>
    <row r="3007">
      <c r="A3007" s="256" t="inlineStr">
        <is>
          <t>CoQ-PP_26-131</t>
        </is>
      </c>
      <c r="B3007" s="256" t="inlineStr">
        <is>
          <t>reissue — retest</t>
        </is>
      </c>
      <c r="C3007" s="256" t="inlineStr">
        <is>
          <t>PM112501</t>
        </is>
      </c>
      <c r="D3007" s="256" t="inlineStr">
        <is>
          <t>P060232</t>
        </is>
      </c>
      <c r="E3007" s="256" t="inlineStr">
        <is>
          <t>Permanent Marker</t>
        </is>
      </c>
      <c r="F3007" s="256" t="inlineStr">
        <is>
          <t>18.09.2026</t>
        </is>
      </c>
      <c r="G3007" s="256" t="inlineStr">
        <is>
          <t>10.1</t>
        </is>
      </c>
      <c r="H3007" s="256" t="inlineStr">
        <is>
          <t>Aflatoxin B₁</t>
        </is>
      </c>
      <c r="I3007" s="256" t="inlineStr">
        <is>
          <t>Ph. Eur. 2.8.18 (HPLC-FLD)</t>
        </is>
      </c>
      <c r="J3007" s="256" t="inlineStr">
        <is>
          <t>≤ 2 µg/kg</t>
        </is>
      </c>
      <c r="K3007" s="256" t="inlineStr">
        <is>
          <t>ND</t>
        </is>
      </c>
      <c r="L3007" s="256" t="inlineStr">
        <is>
          <t>220-24-М/26</t>
        </is>
      </c>
      <c r="M3007" s="256" t="inlineStr">
        <is>
          <t>11.09.2026</t>
        </is>
      </c>
      <c r="N3007" s="256" t="inlineStr">
        <is>
          <t>Farmahem</t>
        </is>
      </c>
      <c r="O3007" s="256" t="inlineStr">
        <is>
          <t>17.08.2026</t>
        </is>
      </c>
      <c r="P3007" s="256" t="inlineStr">
        <is>
          <t>covered</t>
        </is>
      </c>
      <c r="Q3007" s="256" t="inlineStr"/>
      <c r="R3007" s="256" t="inlineStr"/>
    </row>
    <row r="3008">
      <c r="A3008" s="256" t="inlineStr">
        <is>
          <t>CoQ-PP_26-131</t>
        </is>
      </c>
      <c r="B3008" s="256" t="inlineStr">
        <is>
          <t>reissue — retest</t>
        </is>
      </c>
      <c r="C3008" s="256" t="inlineStr">
        <is>
          <t>PM112501</t>
        </is>
      </c>
      <c r="D3008" s="256" t="inlineStr">
        <is>
          <t>P060232</t>
        </is>
      </c>
      <c r="E3008" s="256" t="inlineStr">
        <is>
          <t>Permanent Marker</t>
        </is>
      </c>
      <c r="F3008" s="256" t="inlineStr">
        <is>
          <t>18.09.2026</t>
        </is>
      </c>
      <c r="G3008" s="256" t="inlineStr">
        <is>
          <t>10.2</t>
        </is>
      </c>
      <c r="H3008" s="256" t="inlineStr">
        <is>
          <t>Aflatoxins ∑</t>
        </is>
      </c>
      <c r="I3008" s="256" t="inlineStr">
        <is>
          <t>Ph. Eur. 2.8.18 (HPLC-FLD)</t>
        </is>
      </c>
      <c r="J3008" s="256" t="inlineStr">
        <is>
          <t>≤ 4 µg/kg</t>
        </is>
      </c>
      <c r="K3008" s="256" t="inlineStr">
        <is>
          <t>ND</t>
        </is>
      </c>
      <c r="L3008" s="256" t="inlineStr">
        <is>
          <t>220-24-М/26</t>
        </is>
      </c>
      <c r="M3008" s="256" t="inlineStr">
        <is>
          <t>11.09.2026</t>
        </is>
      </c>
      <c r="N3008" s="256" t="inlineStr">
        <is>
          <t>Farmahem</t>
        </is>
      </c>
      <c r="O3008" s="256" t="inlineStr">
        <is>
          <t>17.08.2026</t>
        </is>
      </c>
      <c r="P3008" s="256" t="inlineStr">
        <is>
          <t>covered</t>
        </is>
      </c>
      <c r="Q3008" s="256" t="inlineStr"/>
      <c r="R3008" s="256" t="inlineStr"/>
    </row>
    <row r="3009">
      <c r="A3009" s="256" t="inlineStr">
        <is>
          <t>CoQ-PP_26-131</t>
        </is>
      </c>
      <c r="B3009" s="256" t="inlineStr">
        <is>
          <t>reissue — retest</t>
        </is>
      </c>
      <c r="C3009" s="256" t="inlineStr">
        <is>
          <t>PM112501</t>
        </is>
      </c>
      <c r="D3009" s="256" t="inlineStr">
        <is>
          <t>P060232</t>
        </is>
      </c>
      <c r="E3009" s="256" t="inlineStr">
        <is>
          <t>Permanent Marker</t>
        </is>
      </c>
      <c r="F3009" s="256" t="inlineStr">
        <is>
          <t>18.09.2026</t>
        </is>
      </c>
      <c r="G3009" s="256" t="inlineStr">
        <is>
          <t>10.3</t>
        </is>
      </c>
      <c r="H3009" s="256" t="inlineStr">
        <is>
          <t>Ochratoxin A</t>
        </is>
      </c>
      <c r="I3009" s="256" t="inlineStr">
        <is>
          <t>Ph. Eur. 2.8.22 (HPLC-FLD)</t>
        </is>
      </c>
      <c r="J3009" s="256" t="inlineStr">
        <is>
          <t>≤ 20 µg/kg</t>
        </is>
      </c>
      <c r="K3009" s="256" t="inlineStr">
        <is>
          <t>ND</t>
        </is>
      </c>
      <c r="L3009" s="256" t="inlineStr">
        <is>
          <t>220-24-М/26</t>
        </is>
      </c>
      <c r="M3009" s="256" t="inlineStr">
        <is>
          <t>11.09.2026</t>
        </is>
      </c>
      <c r="N3009" s="256" t="inlineStr">
        <is>
          <t>Farmahem</t>
        </is>
      </c>
      <c r="O3009" s="256" t="inlineStr">
        <is>
          <t>17.08.2026</t>
        </is>
      </c>
      <c r="P3009" s="256" t="inlineStr">
        <is>
          <t>covered</t>
        </is>
      </c>
      <c r="Q3009" s="256" t="inlineStr"/>
      <c r="R3009" s="256" t="inlineStr"/>
    </row>
    <row r="3010">
      <c r="A3010" s="256" t="inlineStr">
        <is>
          <t>CoQ-PP_26-131</t>
        </is>
      </c>
      <c r="B3010" s="256" t="inlineStr">
        <is>
          <t>reissue — retest</t>
        </is>
      </c>
      <c r="C3010" s="256" t="inlineStr">
        <is>
          <t>PM112501</t>
        </is>
      </c>
      <c r="D3010" s="256" t="inlineStr">
        <is>
          <t>P060232</t>
        </is>
      </c>
      <c r="E3010" s="256" t="inlineStr">
        <is>
          <t>Permanent Marker</t>
        </is>
      </c>
      <c r="F3010" s="256" t="inlineStr">
        <is>
          <t>18.09.2026</t>
        </is>
      </c>
      <c r="G3010" s="256" t="inlineStr">
        <is>
          <t>11.1</t>
        </is>
      </c>
      <c r="H3010" s="256" t="inlineStr">
        <is>
          <t>Lead (Pb)</t>
        </is>
      </c>
      <c r="I3010" s="256" t="inlineStr">
        <is>
          <t>Ph. Eur. 2.4.27 (ICP-MS)</t>
        </is>
      </c>
      <c r="J3010" s="256" t="inlineStr">
        <is>
          <t>≤ 0.5 mg/kg</t>
        </is>
      </c>
      <c r="K3010" s="256" t="inlineStr">
        <is>
          <t>ND</t>
        </is>
      </c>
      <c r="L3010" s="256" t="inlineStr">
        <is>
          <t>1059/2026</t>
        </is>
      </c>
      <c r="M3010" s="256" t="inlineStr">
        <is>
          <t>09.03.2026</t>
        </is>
      </c>
      <c r="N3010" s="256" t="inlineStr">
        <is>
          <t>IPH — Institute of Public Health</t>
        </is>
      </c>
      <c r="O3010" s="256" t="inlineStr">
        <is>
          <t>—</t>
        </is>
      </c>
      <c r="P3010" s="256" t="inlineStr">
        <is>
          <t>covered</t>
        </is>
      </c>
      <c r="Q3010" s="256" t="inlineStr"/>
      <c r="R3010" s="256" t="inlineStr"/>
    </row>
    <row r="3011">
      <c r="A3011" s="256" t="inlineStr">
        <is>
          <t>CoQ-PP_26-131</t>
        </is>
      </c>
      <c r="B3011" s="256" t="inlineStr">
        <is>
          <t>reissue — retest</t>
        </is>
      </c>
      <c r="C3011" s="256" t="inlineStr">
        <is>
          <t>PM112501</t>
        </is>
      </c>
      <c r="D3011" s="256" t="inlineStr">
        <is>
          <t>P060232</t>
        </is>
      </c>
      <c r="E3011" s="256" t="inlineStr">
        <is>
          <t>Permanent Marker</t>
        </is>
      </c>
      <c r="F3011" s="256" t="inlineStr">
        <is>
          <t>18.09.2026</t>
        </is>
      </c>
      <c r="G3011" s="256" t="inlineStr">
        <is>
          <t>11.2</t>
        </is>
      </c>
      <c r="H3011" s="256" t="inlineStr">
        <is>
          <t>Cadmium (Cd)</t>
        </is>
      </c>
      <c r="I3011" s="256" t="inlineStr">
        <is>
          <t>Ph. Eur. 2.4.27 (ICP-MS)</t>
        </is>
      </c>
      <c r="J3011" s="256" t="inlineStr">
        <is>
          <t>≤ 0.3 mg/kg</t>
        </is>
      </c>
      <c r="K3011" s="256" t="inlineStr">
        <is>
          <t>ND</t>
        </is>
      </c>
      <c r="L3011" s="256" t="inlineStr">
        <is>
          <t>1059/2026</t>
        </is>
      </c>
      <c r="M3011" s="256" t="inlineStr">
        <is>
          <t>09.03.2026</t>
        </is>
      </c>
      <c r="N3011" s="256" t="inlineStr">
        <is>
          <t>IPH — Institute of Public Health</t>
        </is>
      </c>
      <c r="O3011" s="256" t="inlineStr">
        <is>
          <t>—</t>
        </is>
      </c>
      <c r="P3011" s="256" t="inlineStr">
        <is>
          <t>covered</t>
        </is>
      </c>
      <c r="Q3011" s="256" t="inlineStr"/>
      <c r="R3011" s="256" t="inlineStr"/>
    </row>
    <row r="3012">
      <c r="A3012" s="256" t="inlineStr">
        <is>
          <t>CoQ-PP_26-131</t>
        </is>
      </c>
      <c r="B3012" s="256" t="inlineStr">
        <is>
          <t>reissue — retest</t>
        </is>
      </c>
      <c r="C3012" s="256" t="inlineStr">
        <is>
          <t>PM112501</t>
        </is>
      </c>
      <c r="D3012" s="256" t="inlineStr">
        <is>
          <t>P060232</t>
        </is>
      </c>
      <c r="E3012" s="256" t="inlineStr">
        <is>
          <t>Permanent Marker</t>
        </is>
      </c>
      <c r="F3012" s="256" t="inlineStr">
        <is>
          <t>18.09.2026</t>
        </is>
      </c>
      <c r="G3012" s="256" t="inlineStr">
        <is>
          <t>11.3</t>
        </is>
      </c>
      <c r="H3012" s="256" t="inlineStr">
        <is>
          <t>Arsenic (As)</t>
        </is>
      </c>
      <c r="I3012" s="256" t="inlineStr">
        <is>
          <t>Ph. Eur. 2.4.27 (ICP-MS)</t>
        </is>
      </c>
      <c r="J3012" s="256" t="inlineStr">
        <is>
          <t>≤ 0.2 mg/kg</t>
        </is>
      </c>
      <c r="K3012" s="256" t="inlineStr">
        <is>
          <t>ND</t>
        </is>
      </c>
      <c r="L3012" s="256" t="inlineStr">
        <is>
          <t>1059/2026</t>
        </is>
      </c>
      <c r="M3012" s="256" t="inlineStr">
        <is>
          <t>09.03.2026</t>
        </is>
      </c>
      <c r="N3012" s="256" t="inlineStr">
        <is>
          <t>IPH — Institute of Public Health</t>
        </is>
      </c>
      <c r="O3012" s="256" t="inlineStr">
        <is>
          <t>—</t>
        </is>
      </c>
      <c r="P3012" s="256" t="inlineStr">
        <is>
          <t>covered</t>
        </is>
      </c>
      <c r="Q3012" s="256" t="inlineStr"/>
      <c r="R3012" s="256" t="inlineStr"/>
    </row>
    <row r="3013">
      <c r="A3013" s="256" t="inlineStr">
        <is>
          <t>CoQ-PP_26-131</t>
        </is>
      </c>
      <c r="B3013" s="256" t="inlineStr">
        <is>
          <t>reissue — retest</t>
        </is>
      </c>
      <c r="C3013" s="256" t="inlineStr">
        <is>
          <t>PM112501</t>
        </is>
      </c>
      <c r="D3013" s="256" t="inlineStr">
        <is>
          <t>P060232</t>
        </is>
      </c>
      <c r="E3013" s="256" t="inlineStr">
        <is>
          <t>Permanent Marker</t>
        </is>
      </c>
      <c r="F3013" s="256" t="inlineStr">
        <is>
          <t>18.09.2026</t>
        </is>
      </c>
      <c r="G3013" s="256" t="inlineStr">
        <is>
          <t>11.4</t>
        </is>
      </c>
      <c r="H3013" s="256" t="inlineStr">
        <is>
          <t>Mercury (Hg)</t>
        </is>
      </c>
      <c r="I3013" s="256" t="inlineStr">
        <is>
          <t>Ph. Eur. 2.4.27 (ICP-MS)</t>
        </is>
      </c>
      <c r="J3013" s="256" t="inlineStr">
        <is>
          <t>≤ 0.1 mg/kg</t>
        </is>
      </c>
      <c r="K3013" s="256" t="inlineStr">
        <is>
          <t>ND</t>
        </is>
      </c>
      <c r="L3013" s="256" t="inlineStr">
        <is>
          <t>1059/2026</t>
        </is>
      </c>
      <c r="M3013" s="256" t="inlineStr">
        <is>
          <t>09.03.2026</t>
        </is>
      </c>
      <c r="N3013" s="256" t="inlineStr">
        <is>
          <t>IPH — Institute of Public Health</t>
        </is>
      </c>
      <c r="O3013" s="256" t="inlineStr">
        <is>
          <t>—</t>
        </is>
      </c>
      <c r="P3013" s="256" t="inlineStr">
        <is>
          <t>covered</t>
        </is>
      </c>
      <c r="Q3013" s="256" t="inlineStr"/>
      <c r="R3013" s="256" t="inlineStr"/>
    </row>
    <row r="3014">
      <c r="A3014" s="256" t="inlineStr">
        <is>
          <t>CoQ-PP_26-131</t>
        </is>
      </c>
      <c r="B3014" s="256" t="inlineStr">
        <is>
          <t>reissue — retest</t>
        </is>
      </c>
      <c r="C3014" s="256" t="inlineStr">
        <is>
          <t>PM112501</t>
        </is>
      </c>
      <c r="D3014" s="256" t="inlineStr">
        <is>
          <t>P060232</t>
        </is>
      </c>
      <c r="E3014" s="256" t="inlineStr">
        <is>
          <t>Permanent Marker</t>
        </is>
      </c>
      <c r="F3014" s="256" t="inlineStr">
        <is>
          <t>18.09.2026</t>
        </is>
      </c>
      <c r="G3014" s="256" t="inlineStr">
        <is>
          <t>12</t>
        </is>
      </c>
      <c r="H3014" s="256" t="inlineStr">
        <is>
          <t>Pesticide Residues</t>
        </is>
      </c>
      <c r="I3014" s="256" t="inlineStr">
        <is>
          <t>Ph. Eur. 2.8.13 (LC-MS/MS) · CUMCS Equivalency</t>
        </is>
      </c>
      <c r="J3014" s="256" t="inlineStr">
        <is>
          <t>≤ LOQ as per Ph. Eur. 2.8.13 · ≤ LOQ as per CUMCS Equivalency</t>
        </is>
      </c>
      <c r="K3014" s="256" t="inlineStr">
        <is>
          <t>ND mg/kg — all 25 residues</t>
        </is>
      </c>
      <c r="L3014" s="256" t="inlineStr">
        <is>
          <t>1059/2026</t>
        </is>
      </c>
      <c r="M3014" s="256" t="inlineStr">
        <is>
          <t>09.03.2026</t>
        </is>
      </c>
      <c r="N3014" s="256" t="inlineStr">
        <is>
          <t>IJZ</t>
        </is>
      </c>
      <c r="O3014" s="256" t="inlineStr">
        <is>
          <t>—</t>
        </is>
      </c>
      <c r="P3014" s="256" t="inlineStr">
        <is>
          <t>carried from the initial testing (CoQ-PP-2026-0016) — covered</t>
        </is>
      </c>
      <c r="Q3014" s="256" t="inlineStr"/>
      <c r="R3014" s="256" t="inlineStr"/>
    </row>
    <row r="3015">
      <c r="A3015" s="256" t="inlineStr">
        <is>
          <t>CoQ-PP_26-132</t>
        </is>
      </c>
      <c r="B3015" s="256" t="inlineStr">
        <is>
          <t>reissue — retest</t>
        </is>
      </c>
      <c r="C3015" s="256" t="inlineStr">
        <is>
          <t>PUM102501</t>
        </is>
      </c>
      <c r="D3015" s="256" t="inlineStr">
        <is>
          <t>P060112</t>
        </is>
      </c>
      <c r="E3015" s="256" t="inlineStr">
        <is>
          <t>Pure Michigen</t>
        </is>
      </c>
      <c r="F3015" s="256" t="inlineStr">
        <is>
          <t>18.09.2026</t>
        </is>
      </c>
      <c r="G3015" s="256" t="inlineStr">
        <is>
          <t>1</t>
        </is>
      </c>
      <c r="H3015" s="256" t="inlineStr">
        <is>
          <t>Identification A, Appearance · Macroscopic</t>
        </is>
      </c>
      <c r="I3015" s="256" t="inlineStr">
        <is>
          <t>Ph. Eur. mon. 3028</t>
        </is>
      </c>
      <c r="J3015" s="256" t="inlineStr">
        <is>
          <t>Conforms to the monograph for Cannabis flos (07/2024:3028) in Ph. Eur. 11.0 | Согласно монографија за Cannabis flos (07/2024:3028) во Ph. Eur. 11.0</t>
        </is>
      </c>
      <c r="K3015" s="256" t="inlineStr">
        <is>
          <t>Conforms | Одговара</t>
        </is>
      </c>
      <c r="L3015" s="256" t="inlineStr">
        <is>
          <t>iCoA-PP_26-151</t>
        </is>
      </c>
      <c r="M3015" s="256" t="inlineStr">
        <is>
          <t>17.08.2026</t>
        </is>
      </c>
      <c r="N3015" s="256" t="inlineStr">
        <is>
          <t>Purely Plant GmbH (in-house)</t>
        </is>
      </c>
      <c r="O3015" s="256" t="inlineStr">
        <is>
          <t>—</t>
        </is>
      </c>
      <c r="P3015" s="256" t="inlineStr">
        <is>
          <t>to be performed — see route</t>
        </is>
      </c>
      <c r="Q3015" s="256" t="inlineStr">
        <is>
          <t>Farmahem — Ident A + B + C with the Assay, at retest</t>
        </is>
      </c>
      <c r="R3015" s="256" t="inlineStr"/>
    </row>
    <row r="3016">
      <c r="A3016" s="256" t="inlineStr">
        <is>
          <t>CoQ-PP_26-132</t>
        </is>
      </c>
      <c r="B3016" s="256" t="inlineStr">
        <is>
          <t>reissue — retest</t>
        </is>
      </c>
      <c r="C3016" s="256" t="inlineStr">
        <is>
          <t>PUM102501</t>
        </is>
      </c>
      <c r="D3016" s="256" t="inlineStr">
        <is>
          <t>P060112</t>
        </is>
      </c>
      <c r="E3016" s="256" t="inlineStr">
        <is>
          <t>Pure Michigen</t>
        </is>
      </c>
      <c r="F3016" s="256" t="inlineStr">
        <is>
          <t>18.09.2026</t>
        </is>
      </c>
      <c r="G3016" s="256" t="inlineStr">
        <is>
          <t>2</t>
        </is>
      </c>
      <c r="H3016" s="256" t="inlineStr">
        <is>
          <t>Identification B · Microscopic</t>
        </is>
      </c>
      <c r="I3016" s="256" t="inlineStr">
        <is>
          <t>Ph. Eur. 2.8.23 (microscopy)</t>
        </is>
      </c>
      <c r="J3016" s="256" t="inlineStr">
        <is>
          <t>Conforms to the monograph for Cannabis flos (07/2024:3028) in Ph. Eur. 11.0 | Согласно монографија за Cannabis flos (07/2024:3028) во Ph. Eur. 11.0</t>
        </is>
      </c>
      <c r="K3016" s="256" t="inlineStr">
        <is>
          <t>Conforms | Одговара</t>
        </is>
      </c>
      <c r="L3016" s="256" t="inlineStr">
        <is>
          <t>iCoA-PP_26-151</t>
        </is>
      </c>
      <c r="M3016" s="256" t="inlineStr">
        <is>
          <t>17.08.2026</t>
        </is>
      </c>
      <c r="N3016" s="256" t="inlineStr">
        <is>
          <t>Purely Plant GmbH (in-house)</t>
        </is>
      </c>
      <c r="O3016" s="256" t="inlineStr">
        <is>
          <t>—</t>
        </is>
      </c>
      <c r="P3016" s="256" t="inlineStr">
        <is>
          <t>to be performed — see route</t>
        </is>
      </c>
      <c r="Q3016" s="256" t="inlineStr">
        <is>
          <t>Farmahem — Ident A + B + C with the Assay, at retest</t>
        </is>
      </c>
      <c r="R3016" s="256" t="inlineStr"/>
    </row>
    <row r="3017">
      <c r="A3017" s="256" t="inlineStr">
        <is>
          <t>CoQ-PP_26-132</t>
        </is>
      </c>
      <c r="B3017" s="256" t="inlineStr">
        <is>
          <t>reissue — retest</t>
        </is>
      </c>
      <c r="C3017" s="256" t="inlineStr">
        <is>
          <t>PUM102501</t>
        </is>
      </c>
      <c r="D3017" s="256" t="inlineStr">
        <is>
          <t>P060112</t>
        </is>
      </c>
      <c r="E3017" s="256" t="inlineStr">
        <is>
          <t>Pure Michigen</t>
        </is>
      </c>
      <c r="F3017" s="256" t="inlineStr">
        <is>
          <t>18.09.2026</t>
        </is>
      </c>
      <c r="G3017" s="256" t="inlineStr">
        <is>
          <t>3</t>
        </is>
      </c>
      <c r="H3017" s="256" t="inlineStr">
        <is>
          <t>Identification C · HPLC/HPTLC</t>
        </is>
      </c>
      <c r="I3017" s="256" t="inlineStr">
        <is>
          <t>Ph. Eur. 2.2.29 (3028)</t>
        </is>
      </c>
      <c r="J3017" s="256" t="inlineStr">
        <is>
          <t>Conforms to the monograph for Cannabis flos (07/2024:3028) in Ph. Eur. 11.0 | Согласно монографија за Cannabis flos (07/2024:3028) во Ph. Eur. 11.0</t>
        </is>
      </c>
      <c r="K3017" s="256" t="inlineStr">
        <is>
          <t>Conforms | Одговара</t>
        </is>
      </c>
      <c r="L3017" s="256" t="inlineStr">
        <is>
          <t>220-25-К/26</t>
        </is>
      </c>
      <c r="M3017" s="256" t="inlineStr">
        <is>
          <t>26.08.2026</t>
        </is>
      </c>
      <c r="N3017" s="256" t="inlineStr">
        <is>
          <t>Farmahem</t>
        </is>
      </c>
      <c r="O3017" s="256" t="inlineStr">
        <is>
          <t>17.08.2026</t>
        </is>
      </c>
      <c r="P3017" s="256" t="inlineStr">
        <is>
          <t>covered</t>
        </is>
      </c>
      <c r="Q3017" s="256" t="inlineStr"/>
      <c r="R3017" s="256" t="inlineStr"/>
    </row>
    <row r="3018">
      <c r="A3018" s="256" t="inlineStr">
        <is>
          <t>CoQ-PP_26-132</t>
        </is>
      </c>
      <c r="B3018" s="256" t="inlineStr">
        <is>
          <t>reissue — retest</t>
        </is>
      </c>
      <c r="C3018" s="256" t="inlineStr">
        <is>
          <t>PUM102501</t>
        </is>
      </c>
      <c r="D3018" s="256" t="inlineStr">
        <is>
          <t>P060112</t>
        </is>
      </c>
      <c r="E3018" s="256" t="inlineStr">
        <is>
          <t>Pure Michigen</t>
        </is>
      </c>
      <c r="F3018" s="256" t="inlineStr">
        <is>
          <t>18.09.2026</t>
        </is>
      </c>
      <c r="G3018" s="256" t="inlineStr">
        <is>
          <t>4</t>
        </is>
      </c>
      <c r="H3018" s="256" t="inlineStr">
        <is>
          <t>Assay — Total Δ⁹-THC</t>
        </is>
      </c>
      <c r="I3018" s="256" t="inlineStr">
        <is>
          <t>Ph. Eur. 2.2.29 (HPLC)</t>
        </is>
      </c>
      <c r="J3018" s="256" t="inlineStr">
        <is>
          <t>12.60 – 15.39 %  (grade I, nominal 14.00 ± 1.40)</t>
        </is>
      </c>
      <c r="K3018" s="256" t="inlineStr">
        <is>
          <t>13.95</t>
        </is>
      </c>
      <c r="L3018" s="256" t="inlineStr">
        <is>
          <t>220-25-К/26</t>
        </is>
      </c>
      <c r="M3018" s="256" t="inlineStr">
        <is>
          <t>26.08.2026</t>
        </is>
      </c>
      <c r="N3018" s="256" t="inlineStr">
        <is>
          <t>Farmahem</t>
        </is>
      </c>
      <c r="O3018" s="256" t="inlineStr">
        <is>
          <t>17.08.2026</t>
        </is>
      </c>
      <c r="P3018" s="256" t="inlineStr">
        <is>
          <t>covered</t>
        </is>
      </c>
      <c r="Q3018" s="256" t="inlineStr"/>
      <c r="R3018" s="256" t="inlineStr"/>
    </row>
    <row r="3019">
      <c r="A3019" s="256" t="inlineStr">
        <is>
          <t>CoQ-PP_26-132</t>
        </is>
      </c>
      <c r="B3019" s="256" t="inlineStr">
        <is>
          <t>reissue — retest</t>
        </is>
      </c>
      <c r="C3019" s="256" t="inlineStr">
        <is>
          <t>PUM102501</t>
        </is>
      </c>
      <c r="D3019" s="256" t="inlineStr">
        <is>
          <t>P060112</t>
        </is>
      </c>
      <c r="E3019" s="256" t="inlineStr">
        <is>
          <t>Pure Michigen</t>
        </is>
      </c>
      <c r="F3019" s="256" t="inlineStr">
        <is>
          <t>18.09.2026</t>
        </is>
      </c>
      <c r="G3019" s="256" t="inlineStr">
        <is>
          <t>5</t>
        </is>
      </c>
      <c r="H3019" s="256" t="inlineStr">
        <is>
          <t>Assay — Total CBD</t>
        </is>
      </c>
      <c r="I3019" s="256" t="inlineStr">
        <is>
          <t>Ph. Eur. 2.2.29 (HPLC) · CBD + CBDA x 0.877</t>
        </is>
      </c>
      <c r="J3019" s="256" t="inlineStr">
        <is>
          <t>≤ 1.0%, w/w</t>
        </is>
      </c>
      <c r="K3019" s="256" t="inlineStr">
        <is>
          <t>&lt; LOQ</t>
        </is>
      </c>
      <c r="L3019" s="256" t="inlineStr">
        <is>
          <t>220-25-К/26</t>
        </is>
      </c>
      <c r="M3019" s="256" t="inlineStr">
        <is>
          <t>26.08.2026</t>
        </is>
      </c>
      <c r="N3019" s="256" t="inlineStr">
        <is>
          <t>Farmahem</t>
        </is>
      </c>
      <c r="O3019" s="256" t="inlineStr">
        <is>
          <t>17.08.2026</t>
        </is>
      </c>
      <c r="P3019" s="256" t="inlineStr">
        <is>
          <t>covered</t>
        </is>
      </c>
      <c r="Q3019" s="256" t="inlineStr"/>
      <c r="R3019" s="256" t="inlineStr"/>
    </row>
    <row r="3020">
      <c r="A3020" s="256" t="inlineStr">
        <is>
          <t>CoQ-PP_26-132</t>
        </is>
      </c>
      <c r="B3020" s="256" t="inlineStr">
        <is>
          <t>reissue — retest</t>
        </is>
      </c>
      <c r="C3020" s="256" t="inlineStr">
        <is>
          <t>PUM102501</t>
        </is>
      </c>
      <c r="D3020" s="256" t="inlineStr">
        <is>
          <t>P060112</t>
        </is>
      </c>
      <c r="E3020" s="256" t="inlineStr">
        <is>
          <t>Pure Michigen</t>
        </is>
      </c>
      <c r="F3020" s="256" t="inlineStr">
        <is>
          <t>18.09.2026</t>
        </is>
      </c>
      <c r="G3020" s="256" t="inlineStr">
        <is>
          <t>6</t>
        </is>
      </c>
      <c r="H3020" s="256" t="inlineStr">
        <is>
          <t>Total CBN</t>
        </is>
      </c>
      <c r="I3020" s="256" t="inlineStr">
        <is>
          <t>Ph. Eur. 2.2.29 (HPLC) · CBN + CBNA x 0.876</t>
        </is>
      </c>
      <c r="J3020" s="256" t="inlineStr">
        <is>
          <t>≤ 1.0%, w/w</t>
        </is>
      </c>
      <c r="K3020" s="256" t="inlineStr">
        <is>
          <t>&lt; LOQ</t>
        </is>
      </c>
      <c r="L3020" s="256" t="inlineStr">
        <is>
          <t>220-25-К/26</t>
        </is>
      </c>
      <c r="M3020" s="256" t="inlineStr">
        <is>
          <t>26.08.2026</t>
        </is>
      </c>
      <c r="N3020" s="256" t="inlineStr">
        <is>
          <t>Farmahem</t>
        </is>
      </c>
      <c r="O3020" s="256" t="inlineStr">
        <is>
          <t>17.08.2026</t>
        </is>
      </c>
      <c r="P3020" s="256" t="inlineStr">
        <is>
          <t>covered</t>
        </is>
      </c>
      <c r="Q3020" s="256" t="inlineStr"/>
      <c r="R3020" s="256" t="inlineStr"/>
    </row>
    <row r="3021">
      <c r="A3021" s="256" t="inlineStr">
        <is>
          <t>CoQ-PP_26-132</t>
        </is>
      </c>
      <c r="B3021" s="256" t="inlineStr">
        <is>
          <t>reissue — retest</t>
        </is>
      </c>
      <c r="C3021" s="256" t="inlineStr">
        <is>
          <t>PUM102501</t>
        </is>
      </c>
      <c r="D3021" s="256" t="inlineStr">
        <is>
          <t>P060112</t>
        </is>
      </c>
      <c r="E3021" s="256" t="inlineStr">
        <is>
          <t>Pure Michigen</t>
        </is>
      </c>
      <c r="F3021" s="256" t="inlineStr">
        <is>
          <t>18.09.2026</t>
        </is>
      </c>
      <c r="G3021" s="256" t="inlineStr">
        <is>
          <t>7</t>
        </is>
      </c>
      <c r="H3021" s="256" t="inlineStr">
        <is>
          <t>Foreign Matter</t>
        </is>
      </c>
      <c r="I3021" s="256" t="inlineStr">
        <is>
          <t>Ph. Eur. 2.8.2 · In-house · интерна</t>
        </is>
      </c>
      <c r="J3021" s="256" t="inlineStr">
        <is>
          <t>≤ 2.0% / 25–50 g · &lt; 1 cm leaves | листови, no seeds | без семки</t>
        </is>
      </c>
      <c r="K3021" s="256" t="inlineStr">
        <is>
          <t>Conforms | Одговара</t>
        </is>
      </c>
      <c r="L3021" s="256" t="inlineStr">
        <is>
          <t>iCoA-PP_26-151</t>
        </is>
      </c>
      <c r="M3021" s="256" t="inlineStr">
        <is>
          <t>17.08.2026</t>
        </is>
      </c>
      <c r="N3021" s="256" t="inlineStr">
        <is>
          <t>Purely Plant GmbH (in-house)</t>
        </is>
      </c>
      <c r="O3021" s="256" t="inlineStr">
        <is>
          <t>—</t>
        </is>
      </c>
      <c r="P3021" s="256" t="inlineStr">
        <is>
          <t>to be performed — see route</t>
        </is>
      </c>
      <c r="Q3021" s="256" t="inlineStr">
        <is>
          <t>Purely Plant laboratory — iCoA covering Foreign matter</t>
        </is>
      </c>
      <c r="R3021" s="256" t="inlineStr"/>
    </row>
    <row r="3022">
      <c r="A3022" s="256" t="inlineStr">
        <is>
          <t>CoQ-PP_26-132</t>
        </is>
      </c>
      <c r="B3022" s="256" t="inlineStr">
        <is>
          <t>reissue — retest</t>
        </is>
      </c>
      <c r="C3022" s="256" t="inlineStr">
        <is>
          <t>PUM102501</t>
        </is>
      </c>
      <c r="D3022" s="256" t="inlineStr">
        <is>
          <t>P060112</t>
        </is>
      </c>
      <c r="E3022" s="256" t="inlineStr">
        <is>
          <t>Pure Michigen</t>
        </is>
      </c>
      <c r="F3022" s="256" t="inlineStr">
        <is>
          <t>18.09.2026</t>
        </is>
      </c>
      <c r="G3022" s="256" t="inlineStr">
        <is>
          <t>8</t>
        </is>
      </c>
      <c r="H3022" s="256" t="inlineStr">
        <is>
          <t>Loss on Drying</t>
        </is>
      </c>
      <c r="I3022" s="256" t="inlineStr">
        <is>
          <t>Ph. Eur. 2.2.32 (3028) · at 40 °C, 24 h, 15–25 mbar</t>
        </is>
      </c>
      <c r="J3022" s="256" t="inlineStr">
        <is>
          <t>≤ 12.0%</t>
        </is>
      </c>
      <c r="K3022" s="256" t="inlineStr">
        <is>
          <t>6,4 %</t>
        </is>
      </c>
      <c r="L3022" s="256" t="inlineStr">
        <is>
          <t>031-2-ГС/26</t>
        </is>
      </c>
      <c r="M3022" s="256" t="inlineStr">
        <is>
          <t>11.02.2026</t>
        </is>
      </c>
      <c r="N3022" s="256" t="inlineStr">
        <is>
          <t>FHM</t>
        </is>
      </c>
      <c r="O3022" s="256" t="inlineStr">
        <is>
          <t>—</t>
        </is>
      </c>
      <c r="P3022" s="256" t="inlineStr">
        <is>
          <t>carried from the initial testing (CoQ-PP-2026-0009) — covered</t>
        </is>
      </c>
      <c r="Q3022" s="256" t="inlineStr"/>
      <c r="R3022" s="256" t="inlineStr"/>
    </row>
    <row r="3023">
      <c r="A3023" s="256" t="inlineStr">
        <is>
          <t>CoQ-PP_26-132</t>
        </is>
      </c>
      <c r="B3023" s="256" t="inlineStr">
        <is>
          <t>reissue — retest</t>
        </is>
      </c>
      <c r="C3023" s="256" t="inlineStr">
        <is>
          <t>PUM102501</t>
        </is>
      </c>
      <c r="D3023" s="256" t="inlineStr">
        <is>
          <t>P060112</t>
        </is>
      </c>
      <c r="E3023" s="256" t="inlineStr">
        <is>
          <t>Pure Michigen</t>
        </is>
      </c>
      <c r="F3023" s="256" t="inlineStr">
        <is>
          <t>18.09.2026</t>
        </is>
      </c>
      <c r="G3023" s="256" t="inlineStr">
        <is>
          <t>9.1</t>
        </is>
      </c>
      <c r="H3023" s="256" t="inlineStr">
        <is>
          <t>TAMC</t>
        </is>
      </c>
      <c r="I3023" s="256" t="inlineStr">
        <is>
          <t>Ph. Eur. 2.6.12 cat. C</t>
        </is>
      </c>
      <c r="J3023" s="256" t="inlineStr">
        <is>
          <t>≤ 10⁵ CFU/g</t>
        </is>
      </c>
      <c r="K3023" s="256" t="inlineStr">
        <is>
          <t>5 × 10¹</t>
        </is>
      </c>
      <c r="L3023" s="256" t="inlineStr">
        <is>
          <t>74/0117/26</t>
        </is>
      </c>
      <c r="M3023" s="256" t="inlineStr">
        <is>
          <t>09.02.2026</t>
        </is>
      </c>
      <c r="N3023" s="256" t="inlineStr">
        <is>
          <t>IPH — Institute of Public Health</t>
        </is>
      </c>
      <c r="O3023" s="256" t="inlineStr">
        <is>
          <t>—</t>
        </is>
      </c>
      <c r="P3023" s="256" t="inlineStr">
        <is>
          <t>covered</t>
        </is>
      </c>
      <c r="Q3023" s="256" t="inlineStr"/>
      <c r="R3023" s="256" t="inlineStr"/>
    </row>
    <row r="3024">
      <c r="A3024" s="256" t="inlineStr">
        <is>
          <t>CoQ-PP_26-132</t>
        </is>
      </c>
      <c r="B3024" s="256" t="inlineStr">
        <is>
          <t>reissue — retest</t>
        </is>
      </c>
      <c r="C3024" s="256" t="inlineStr">
        <is>
          <t>PUM102501</t>
        </is>
      </c>
      <c r="D3024" s="256" t="inlineStr">
        <is>
          <t>P060112</t>
        </is>
      </c>
      <c r="E3024" s="256" t="inlineStr">
        <is>
          <t>Pure Michigen</t>
        </is>
      </c>
      <c r="F3024" s="256" t="inlineStr">
        <is>
          <t>18.09.2026</t>
        </is>
      </c>
      <c r="G3024" s="256" t="inlineStr">
        <is>
          <t>9.2</t>
        </is>
      </c>
      <c r="H3024" s="256" t="inlineStr">
        <is>
          <t>TYMC</t>
        </is>
      </c>
      <c r="I3024" s="256" t="inlineStr">
        <is>
          <t>Ph. Eur. 2.6.12 cat. C</t>
        </is>
      </c>
      <c r="J3024" s="256" t="inlineStr">
        <is>
          <t>≤ 10⁴ CFU/g</t>
        </is>
      </c>
      <c r="K3024" s="256" t="inlineStr">
        <is>
          <t>5 × 10¹</t>
        </is>
      </c>
      <c r="L3024" s="256" t="inlineStr">
        <is>
          <t>74/0117/26</t>
        </is>
      </c>
      <c r="M3024" s="256" t="inlineStr">
        <is>
          <t>09.02.2026</t>
        </is>
      </c>
      <c r="N3024" s="256" t="inlineStr">
        <is>
          <t>IPH — Institute of Public Health</t>
        </is>
      </c>
      <c r="O3024" s="256" t="inlineStr">
        <is>
          <t>—</t>
        </is>
      </c>
      <c r="P3024" s="256" t="inlineStr">
        <is>
          <t>covered</t>
        </is>
      </c>
      <c r="Q3024" s="256" t="inlineStr"/>
      <c r="R3024" s="256" t="inlineStr"/>
    </row>
    <row r="3025">
      <c r="A3025" s="256" t="inlineStr">
        <is>
          <t>CoQ-PP_26-132</t>
        </is>
      </c>
      <c r="B3025" s="256" t="inlineStr">
        <is>
          <t>reissue — retest</t>
        </is>
      </c>
      <c r="C3025" s="256" t="inlineStr">
        <is>
          <t>PUM102501</t>
        </is>
      </c>
      <c r="D3025" s="256" t="inlineStr">
        <is>
          <t>P060112</t>
        </is>
      </c>
      <c r="E3025" s="256" t="inlineStr">
        <is>
          <t>Pure Michigen</t>
        </is>
      </c>
      <c r="F3025" s="256" t="inlineStr">
        <is>
          <t>18.09.2026</t>
        </is>
      </c>
      <c r="G3025" s="256" t="inlineStr">
        <is>
          <t>9.3</t>
        </is>
      </c>
      <c r="H3025" s="256" t="inlineStr">
        <is>
          <t>Bile-tolerant gram-neg.</t>
        </is>
      </c>
      <c r="I3025" s="256" t="inlineStr">
        <is>
          <t>Ph. Eur. 2.6.31 cat. C</t>
        </is>
      </c>
      <c r="J3025" s="256" t="inlineStr">
        <is>
          <t>≤ 10⁴ CFU/g</t>
        </is>
      </c>
      <c r="K3025" s="256" t="inlineStr">
        <is>
          <t>&lt; 10</t>
        </is>
      </c>
      <c r="L3025" s="256" t="inlineStr">
        <is>
          <t>74/0117/26</t>
        </is>
      </c>
      <c r="M3025" s="256" t="inlineStr">
        <is>
          <t>09.02.2026</t>
        </is>
      </c>
      <c r="N3025" s="256" t="inlineStr">
        <is>
          <t>IPH — Institute of Public Health</t>
        </is>
      </c>
      <c r="O3025" s="256" t="inlineStr">
        <is>
          <t>—</t>
        </is>
      </c>
      <c r="P3025" s="256" t="inlineStr">
        <is>
          <t>covered</t>
        </is>
      </c>
      <c r="Q3025" s="256" t="inlineStr"/>
      <c r="R3025" s="256" t="inlineStr"/>
    </row>
    <row r="3026">
      <c r="A3026" s="256" t="inlineStr">
        <is>
          <t>CoQ-PP_26-132</t>
        </is>
      </c>
      <c r="B3026" s="256" t="inlineStr">
        <is>
          <t>reissue — retest</t>
        </is>
      </c>
      <c r="C3026" s="256" t="inlineStr">
        <is>
          <t>PUM102501</t>
        </is>
      </c>
      <c r="D3026" s="256" t="inlineStr">
        <is>
          <t>P060112</t>
        </is>
      </c>
      <c r="E3026" s="256" t="inlineStr">
        <is>
          <t>Pure Michigen</t>
        </is>
      </c>
      <c r="F3026" s="256" t="inlineStr">
        <is>
          <t>18.09.2026</t>
        </is>
      </c>
      <c r="G3026" s="256" t="inlineStr">
        <is>
          <t>9.4</t>
        </is>
      </c>
      <c r="H3026" s="256" t="inlineStr">
        <is>
          <t>Salmonella</t>
        </is>
      </c>
      <c r="I3026" s="256" t="inlineStr">
        <is>
          <t>Ph. Eur. 2.6.31 cat. C</t>
        </is>
      </c>
      <c r="J3026" s="256" t="inlineStr">
        <is>
          <t>Absence | Отсуство / 25 g</t>
        </is>
      </c>
      <c r="K3026" s="256" t="inlineStr">
        <is>
          <t>Absent | Отсутна</t>
        </is>
      </c>
      <c r="L3026" s="256" t="inlineStr">
        <is>
          <t>74/0117/26</t>
        </is>
      </c>
      <c r="M3026" s="256" t="inlineStr">
        <is>
          <t>09.02.2026</t>
        </is>
      </c>
      <c r="N3026" s="256" t="inlineStr">
        <is>
          <t>IPH — Institute of Public Health</t>
        </is>
      </c>
      <c r="O3026" s="256" t="inlineStr">
        <is>
          <t>—</t>
        </is>
      </c>
      <c r="P3026" s="256" t="inlineStr">
        <is>
          <t>covered</t>
        </is>
      </c>
      <c r="Q3026" s="256" t="inlineStr"/>
      <c r="R3026" s="256" t="inlineStr"/>
    </row>
    <row r="3027">
      <c r="A3027" s="256" t="inlineStr">
        <is>
          <t>CoQ-PP_26-132</t>
        </is>
      </c>
      <c r="B3027" s="256" t="inlineStr">
        <is>
          <t>reissue — retest</t>
        </is>
      </c>
      <c r="C3027" s="256" t="inlineStr">
        <is>
          <t>PUM102501</t>
        </is>
      </c>
      <c r="D3027" s="256" t="inlineStr">
        <is>
          <t>P060112</t>
        </is>
      </c>
      <c r="E3027" s="256" t="inlineStr">
        <is>
          <t>Pure Michigen</t>
        </is>
      </c>
      <c r="F3027" s="256" t="inlineStr">
        <is>
          <t>18.09.2026</t>
        </is>
      </c>
      <c r="G3027" s="256" t="inlineStr">
        <is>
          <t>9.5</t>
        </is>
      </c>
      <c r="H3027" s="256" t="inlineStr">
        <is>
          <t>Escherichia coli</t>
        </is>
      </c>
      <c r="I3027" s="256" t="inlineStr">
        <is>
          <t>Ph. Eur. 2.6.13 cat. C</t>
        </is>
      </c>
      <c r="J3027" s="256" t="inlineStr">
        <is>
          <t>Absence | Отсуство / 1 g</t>
        </is>
      </c>
      <c r="K3027" s="256" t="inlineStr">
        <is>
          <t>Absent | Отсутна</t>
        </is>
      </c>
      <c r="L3027" s="256" t="inlineStr">
        <is>
          <t>74/0117/26</t>
        </is>
      </c>
      <c r="M3027" s="256" t="inlineStr">
        <is>
          <t>09.02.2026</t>
        </is>
      </c>
      <c r="N3027" s="256" t="inlineStr">
        <is>
          <t>IPH — Institute of Public Health</t>
        </is>
      </c>
      <c r="O3027" s="256" t="inlineStr">
        <is>
          <t>—</t>
        </is>
      </c>
      <c r="P3027" s="256" t="inlineStr">
        <is>
          <t>covered</t>
        </is>
      </c>
      <c r="Q3027" s="256" t="inlineStr"/>
      <c r="R3027" s="256" t="inlineStr"/>
    </row>
    <row r="3028">
      <c r="A3028" s="256" t="inlineStr">
        <is>
          <t>CoQ-PP_26-132</t>
        </is>
      </c>
      <c r="B3028" s="256" t="inlineStr">
        <is>
          <t>reissue — retest</t>
        </is>
      </c>
      <c r="C3028" s="256" t="inlineStr">
        <is>
          <t>PUM102501</t>
        </is>
      </c>
      <c r="D3028" s="256" t="inlineStr">
        <is>
          <t>P060112</t>
        </is>
      </c>
      <c r="E3028" s="256" t="inlineStr">
        <is>
          <t>Pure Michigen</t>
        </is>
      </c>
      <c r="F3028" s="256" t="inlineStr">
        <is>
          <t>18.09.2026</t>
        </is>
      </c>
      <c r="G3028" s="256" t="inlineStr">
        <is>
          <t>9.6</t>
        </is>
      </c>
      <c r="H3028" s="256" t="inlineStr">
        <is>
          <t>Pseudomonas aeruginosa</t>
        </is>
      </c>
      <c r="I3028" s="256" t="inlineStr">
        <is>
          <t>Ph. Eur. 2.6.13 cat. C</t>
        </is>
      </c>
      <c r="J3028" s="256" t="inlineStr">
        <is>
          <t>Absence | Отсуство / 1 g</t>
        </is>
      </c>
      <c r="K3028" s="260" t="inlineStr">
        <is>
          <t>upon request — not required for release</t>
        </is>
      </c>
      <c r="L3028" s="256" t="inlineStr">
        <is>
          <t>—</t>
        </is>
      </c>
      <c r="M3028" s="256" t="inlineStr">
        <is>
          <t>—</t>
        </is>
      </c>
      <c r="N3028" s="256" t="inlineStr">
        <is>
          <t>—</t>
        </is>
      </c>
      <c r="O3028" s="256" t="inlineStr">
        <is>
          <t>—</t>
        </is>
      </c>
      <c r="P3028" s="256" t="inlineStr">
        <is>
          <t>upon request — not required for release</t>
        </is>
      </c>
      <c r="Q3028" s="256" t="inlineStr"/>
      <c r="R3028" s="256" t="inlineStr"/>
    </row>
    <row r="3029">
      <c r="A3029" s="256" t="inlineStr">
        <is>
          <t>CoQ-PP_26-132</t>
        </is>
      </c>
      <c r="B3029" s="256" t="inlineStr">
        <is>
          <t>reissue — retest</t>
        </is>
      </c>
      <c r="C3029" s="256" t="inlineStr">
        <is>
          <t>PUM102501</t>
        </is>
      </c>
      <c r="D3029" s="256" t="inlineStr">
        <is>
          <t>P060112</t>
        </is>
      </c>
      <c r="E3029" s="256" t="inlineStr">
        <is>
          <t>Pure Michigen</t>
        </is>
      </c>
      <c r="F3029" s="256" t="inlineStr">
        <is>
          <t>18.09.2026</t>
        </is>
      </c>
      <c r="G3029" s="256" t="inlineStr">
        <is>
          <t>9.7</t>
        </is>
      </c>
      <c r="H3029" s="256" t="inlineStr">
        <is>
          <t>Staphylococcus aureus</t>
        </is>
      </c>
      <c r="I3029" s="256" t="inlineStr">
        <is>
          <t>Ph. Eur. 2.6.13 cat. C</t>
        </is>
      </c>
      <c r="J3029" s="256" t="inlineStr">
        <is>
          <t>Absence | Отсуство / 1 g</t>
        </is>
      </c>
      <c r="K3029" s="260" t="inlineStr">
        <is>
          <t>upon request — not required for release</t>
        </is>
      </c>
      <c r="L3029" s="256" t="inlineStr">
        <is>
          <t>—</t>
        </is>
      </c>
      <c r="M3029" s="256" t="inlineStr">
        <is>
          <t>—</t>
        </is>
      </c>
      <c r="N3029" s="256" t="inlineStr">
        <is>
          <t>—</t>
        </is>
      </c>
      <c r="O3029" s="256" t="inlineStr">
        <is>
          <t>—</t>
        </is>
      </c>
      <c r="P3029" s="256" t="inlineStr">
        <is>
          <t>upon request — not required for release</t>
        </is>
      </c>
      <c r="Q3029" s="256" t="inlineStr"/>
      <c r="R3029" s="256" t="inlineStr"/>
    </row>
    <row r="3030">
      <c r="A3030" s="256" t="inlineStr">
        <is>
          <t>CoQ-PP_26-132</t>
        </is>
      </c>
      <c r="B3030" s="256" t="inlineStr">
        <is>
          <t>reissue — retest</t>
        </is>
      </c>
      <c r="C3030" s="256" t="inlineStr">
        <is>
          <t>PUM102501</t>
        </is>
      </c>
      <c r="D3030" s="256" t="inlineStr">
        <is>
          <t>P060112</t>
        </is>
      </c>
      <c r="E3030" s="256" t="inlineStr">
        <is>
          <t>Pure Michigen</t>
        </is>
      </c>
      <c r="F3030" s="256" t="inlineStr">
        <is>
          <t>18.09.2026</t>
        </is>
      </c>
      <c r="G3030" s="256" t="inlineStr">
        <is>
          <t>10.1</t>
        </is>
      </c>
      <c r="H3030" s="256" t="inlineStr">
        <is>
          <t>Aflatoxin B₁</t>
        </is>
      </c>
      <c r="I3030" s="256" t="inlineStr">
        <is>
          <t>Ph. Eur. 2.8.18 (HPLC-FLD)</t>
        </is>
      </c>
      <c r="J3030" s="256" t="inlineStr">
        <is>
          <t>≤ 2 µg/kg</t>
        </is>
      </c>
      <c r="K3030" s="256" t="inlineStr">
        <is>
          <t>ND</t>
        </is>
      </c>
      <c r="L3030" s="256" t="inlineStr">
        <is>
          <t>220-25-М/26</t>
        </is>
      </c>
      <c r="M3030" s="256" t="inlineStr">
        <is>
          <t>11.09.2026</t>
        </is>
      </c>
      <c r="N3030" s="256" t="inlineStr">
        <is>
          <t>Farmahem</t>
        </is>
      </c>
      <c r="O3030" s="256" t="inlineStr">
        <is>
          <t>17.08.2026</t>
        </is>
      </c>
      <c r="P3030" s="256" t="inlineStr">
        <is>
          <t>covered</t>
        </is>
      </c>
      <c r="Q3030" s="256" t="inlineStr"/>
      <c r="R3030" s="256" t="inlineStr"/>
    </row>
    <row r="3031">
      <c r="A3031" s="256" t="inlineStr">
        <is>
          <t>CoQ-PP_26-132</t>
        </is>
      </c>
      <c r="B3031" s="256" t="inlineStr">
        <is>
          <t>reissue — retest</t>
        </is>
      </c>
      <c r="C3031" s="256" t="inlineStr">
        <is>
          <t>PUM102501</t>
        </is>
      </c>
      <c r="D3031" s="256" t="inlineStr">
        <is>
          <t>P060112</t>
        </is>
      </c>
      <c r="E3031" s="256" t="inlineStr">
        <is>
          <t>Pure Michigen</t>
        </is>
      </c>
      <c r="F3031" s="256" t="inlineStr">
        <is>
          <t>18.09.2026</t>
        </is>
      </c>
      <c r="G3031" s="256" t="inlineStr">
        <is>
          <t>10.2</t>
        </is>
      </c>
      <c r="H3031" s="256" t="inlineStr">
        <is>
          <t>Aflatoxins ∑</t>
        </is>
      </c>
      <c r="I3031" s="256" t="inlineStr">
        <is>
          <t>Ph. Eur. 2.8.18 (HPLC-FLD)</t>
        </is>
      </c>
      <c r="J3031" s="256" t="inlineStr">
        <is>
          <t>≤ 4 µg/kg</t>
        </is>
      </c>
      <c r="K3031" s="256" t="inlineStr">
        <is>
          <t>ND</t>
        </is>
      </c>
      <c r="L3031" s="256" t="inlineStr">
        <is>
          <t>220-25-М/26</t>
        </is>
      </c>
      <c r="M3031" s="256" t="inlineStr">
        <is>
          <t>11.09.2026</t>
        </is>
      </c>
      <c r="N3031" s="256" t="inlineStr">
        <is>
          <t>Farmahem</t>
        </is>
      </c>
      <c r="O3031" s="256" t="inlineStr">
        <is>
          <t>17.08.2026</t>
        </is>
      </c>
      <c r="P3031" s="256" t="inlineStr">
        <is>
          <t>covered</t>
        </is>
      </c>
      <c r="Q3031" s="256" t="inlineStr"/>
      <c r="R3031" s="256" t="inlineStr"/>
    </row>
    <row r="3032">
      <c r="A3032" s="256" t="inlineStr">
        <is>
          <t>CoQ-PP_26-132</t>
        </is>
      </c>
      <c r="B3032" s="256" t="inlineStr">
        <is>
          <t>reissue — retest</t>
        </is>
      </c>
      <c r="C3032" s="256" t="inlineStr">
        <is>
          <t>PUM102501</t>
        </is>
      </c>
      <c r="D3032" s="256" t="inlineStr">
        <is>
          <t>P060112</t>
        </is>
      </c>
      <c r="E3032" s="256" t="inlineStr">
        <is>
          <t>Pure Michigen</t>
        </is>
      </c>
      <c r="F3032" s="256" t="inlineStr">
        <is>
          <t>18.09.2026</t>
        </is>
      </c>
      <c r="G3032" s="256" t="inlineStr">
        <is>
          <t>10.3</t>
        </is>
      </c>
      <c r="H3032" s="256" t="inlineStr">
        <is>
          <t>Ochratoxin A</t>
        </is>
      </c>
      <c r="I3032" s="256" t="inlineStr">
        <is>
          <t>Ph. Eur. 2.8.22 (HPLC-FLD)</t>
        </is>
      </c>
      <c r="J3032" s="256" t="inlineStr">
        <is>
          <t>≤ 20 µg/kg</t>
        </is>
      </c>
      <c r="K3032" s="256" t="inlineStr">
        <is>
          <t>ND</t>
        </is>
      </c>
      <c r="L3032" s="256" t="inlineStr">
        <is>
          <t>220-25-М/26</t>
        </is>
      </c>
      <c r="M3032" s="256" t="inlineStr">
        <is>
          <t>11.09.2026</t>
        </is>
      </c>
      <c r="N3032" s="256" t="inlineStr">
        <is>
          <t>Farmahem</t>
        </is>
      </c>
      <c r="O3032" s="256" t="inlineStr">
        <is>
          <t>17.08.2026</t>
        </is>
      </c>
      <c r="P3032" s="256" t="inlineStr">
        <is>
          <t>covered</t>
        </is>
      </c>
      <c r="Q3032" s="256" t="inlineStr"/>
      <c r="R3032" s="256" t="inlineStr"/>
    </row>
    <row r="3033">
      <c r="A3033" s="256" t="inlineStr">
        <is>
          <t>CoQ-PP_26-132</t>
        </is>
      </c>
      <c r="B3033" s="256" t="inlineStr">
        <is>
          <t>reissue — retest</t>
        </is>
      </c>
      <c r="C3033" s="256" t="inlineStr">
        <is>
          <t>PUM102501</t>
        </is>
      </c>
      <c r="D3033" s="256" t="inlineStr">
        <is>
          <t>P060112</t>
        </is>
      </c>
      <c r="E3033" s="256" t="inlineStr">
        <is>
          <t>Pure Michigen</t>
        </is>
      </c>
      <c r="F3033" s="256" t="inlineStr">
        <is>
          <t>18.09.2026</t>
        </is>
      </c>
      <c r="G3033" s="256" t="inlineStr">
        <is>
          <t>11.1</t>
        </is>
      </c>
      <c r="H3033" s="256" t="inlineStr">
        <is>
          <t>Lead (Pb)</t>
        </is>
      </c>
      <c r="I3033" s="256" t="inlineStr">
        <is>
          <t>Ph. Eur. 2.4.27 (ICP-MS)</t>
        </is>
      </c>
      <c r="J3033" s="256" t="inlineStr">
        <is>
          <t>≤ 0.5 mg/kg</t>
        </is>
      </c>
      <c r="K3033" s="256" t="inlineStr">
        <is>
          <t>0.078</t>
        </is>
      </c>
      <c r="L3033" s="256" t="inlineStr">
        <is>
          <t>327/2026</t>
        </is>
      </c>
      <c r="M3033" s="256" t="inlineStr">
        <is>
          <t>11.02.2026</t>
        </is>
      </c>
      <c r="N3033" s="256" t="inlineStr">
        <is>
          <t>IPH — Institute of Public Health</t>
        </is>
      </c>
      <c r="O3033" s="256" t="inlineStr">
        <is>
          <t>—</t>
        </is>
      </c>
      <c r="P3033" s="256" t="inlineStr">
        <is>
          <t>covered</t>
        </is>
      </c>
      <c r="Q3033" s="256" t="inlineStr"/>
      <c r="R3033" s="256" t="inlineStr"/>
    </row>
    <row r="3034">
      <c r="A3034" s="256" t="inlineStr">
        <is>
          <t>CoQ-PP_26-132</t>
        </is>
      </c>
      <c r="B3034" s="256" t="inlineStr">
        <is>
          <t>reissue — retest</t>
        </is>
      </c>
      <c r="C3034" s="256" t="inlineStr">
        <is>
          <t>PUM102501</t>
        </is>
      </c>
      <c r="D3034" s="256" t="inlineStr">
        <is>
          <t>P060112</t>
        </is>
      </c>
      <c r="E3034" s="256" t="inlineStr">
        <is>
          <t>Pure Michigen</t>
        </is>
      </c>
      <c r="F3034" s="256" t="inlineStr">
        <is>
          <t>18.09.2026</t>
        </is>
      </c>
      <c r="G3034" s="256" t="inlineStr">
        <is>
          <t>11.2</t>
        </is>
      </c>
      <c r="H3034" s="256" t="inlineStr">
        <is>
          <t>Cadmium (Cd)</t>
        </is>
      </c>
      <c r="I3034" s="256" t="inlineStr">
        <is>
          <t>Ph. Eur. 2.4.27 (ICP-MS)</t>
        </is>
      </c>
      <c r="J3034" s="256" t="inlineStr">
        <is>
          <t>≤ 0.3 mg/kg</t>
        </is>
      </c>
      <c r="K3034" s="256" t="inlineStr">
        <is>
          <t>ND</t>
        </is>
      </c>
      <c r="L3034" s="256" t="inlineStr">
        <is>
          <t>327/2026</t>
        </is>
      </c>
      <c r="M3034" s="256" t="inlineStr">
        <is>
          <t>11.02.2026</t>
        </is>
      </c>
      <c r="N3034" s="256" t="inlineStr">
        <is>
          <t>IPH — Institute of Public Health</t>
        </is>
      </c>
      <c r="O3034" s="256" t="inlineStr">
        <is>
          <t>—</t>
        </is>
      </c>
      <c r="P3034" s="256" t="inlineStr">
        <is>
          <t>covered</t>
        </is>
      </c>
      <c r="Q3034" s="256" t="inlineStr"/>
      <c r="R3034" s="256" t="inlineStr"/>
    </row>
    <row r="3035">
      <c r="A3035" s="256" t="inlineStr">
        <is>
          <t>CoQ-PP_26-132</t>
        </is>
      </c>
      <c r="B3035" s="256" t="inlineStr">
        <is>
          <t>reissue — retest</t>
        </is>
      </c>
      <c r="C3035" s="256" t="inlineStr">
        <is>
          <t>PUM102501</t>
        </is>
      </c>
      <c r="D3035" s="256" t="inlineStr">
        <is>
          <t>P060112</t>
        </is>
      </c>
      <c r="E3035" s="256" t="inlineStr">
        <is>
          <t>Pure Michigen</t>
        </is>
      </c>
      <c r="F3035" s="256" t="inlineStr">
        <is>
          <t>18.09.2026</t>
        </is>
      </c>
      <c r="G3035" s="256" t="inlineStr">
        <is>
          <t>11.3</t>
        </is>
      </c>
      <c r="H3035" s="256" t="inlineStr">
        <is>
          <t>Arsenic (As)</t>
        </is>
      </c>
      <c r="I3035" s="256" t="inlineStr">
        <is>
          <t>Ph. Eur. 2.4.27 (ICP-MS)</t>
        </is>
      </c>
      <c r="J3035" s="256" t="inlineStr">
        <is>
          <t>≤ 0.2 mg/kg</t>
        </is>
      </c>
      <c r="K3035" s="256" t="inlineStr">
        <is>
          <t>0.0187</t>
        </is>
      </c>
      <c r="L3035" s="256" t="inlineStr">
        <is>
          <t>327/2026</t>
        </is>
      </c>
      <c r="M3035" s="256" t="inlineStr">
        <is>
          <t>11.02.2026</t>
        </is>
      </c>
      <c r="N3035" s="256" t="inlineStr">
        <is>
          <t>IPH — Institute of Public Health</t>
        </is>
      </c>
      <c r="O3035" s="256" t="inlineStr">
        <is>
          <t>—</t>
        </is>
      </c>
      <c r="P3035" s="256" t="inlineStr">
        <is>
          <t>covered</t>
        </is>
      </c>
      <c r="Q3035" s="256" t="inlineStr"/>
      <c r="R3035" s="256" t="inlineStr"/>
    </row>
    <row r="3036">
      <c r="A3036" s="256" t="inlineStr">
        <is>
          <t>CoQ-PP_26-132</t>
        </is>
      </c>
      <c r="B3036" s="256" t="inlineStr">
        <is>
          <t>reissue — retest</t>
        </is>
      </c>
      <c r="C3036" s="256" t="inlineStr">
        <is>
          <t>PUM102501</t>
        </is>
      </c>
      <c r="D3036" s="256" t="inlineStr">
        <is>
          <t>P060112</t>
        </is>
      </c>
      <c r="E3036" s="256" t="inlineStr">
        <is>
          <t>Pure Michigen</t>
        </is>
      </c>
      <c r="F3036" s="256" t="inlineStr">
        <is>
          <t>18.09.2026</t>
        </is>
      </c>
      <c r="G3036" s="256" t="inlineStr">
        <is>
          <t>11.4</t>
        </is>
      </c>
      <c r="H3036" s="256" t="inlineStr">
        <is>
          <t>Mercury (Hg)</t>
        </is>
      </c>
      <c r="I3036" s="256" t="inlineStr">
        <is>
          <t>Ph. Eur. 2.4.27 (ICP-MS)</t>
        </is>
      </c>
      <c r="J3036" s="256" t="inlineStr">
        <is>
          <t>≤ 0.1 mg/kg</t>
        </is>
      </c>
      <c r="K3036" s="256" t="inlineStr">
        <is>
          <t>ND</t>
        </is>
      </c>
      <c r="L3036" s="256" t="inlineStr">
        <is>
          <t>327/2026</t>
        </is>
      </c>
      <c r="M3036" s="256" t="inlineStr">
        <is>
          <t>11.02.2026</t>
        </is>
      </c>
      <c r="N3036" s="256" t="inlineStr">
        <is>
          <t>IPH — Institute of Public Health</t>
        </is>
      </c>
      <c r="O3036" s="256" t="inlineStr">
        <is>
          <t>—</t>
        </is>
      </c>
      <c r="P3036" s="256" t="inlineStr">
        <is>
          <t>covered</t>
        </is>
      </c>
      <c r="Q3036" s="256" t="inlineStr"/>
      <c r="R3036" s="256" t="inlineStr"/>
    </row>
    <row r="3037">
      <c r="A3037" s="256" t="inlineStr">
        <is>
          <t>CoQ-PP_26-132</t>
        </is>
      </c>
      <c r="B3037" s="256" t="inlineStr">
        <is>
          <t>reissue — retest</t>
        </is>
      </c>
      <c r="C3037" s="256" t="inlineStr">
        <is>
          <t>PUM102501</t>
        </is>
      </c>
      <c r="D3037" s="256" t="inlineStr">
        <is>
          <t>P060112</t>
        </is>
      </c>
      <c r="E3037" s="256" t="inlineStr">
        <is>
          <t>Pure Michigen</t>
        </is>
      </c>
      <c r="F3037" s="256" t="inlineStr">
        <is>
          <t>18.09.2026</t>
        </is>
      </c>
      <c r="G3037" s="256" t="inlineStr">
        <is>
          <t>12</t>
        </is>
      </c>
      <c r="H3037" s="256" t="inlineStr">
        <is>
          <t>Pesticide Residues</t>
        </is>
      </c>
      <c r="I3037" s="256" t="inlineStr">
        <is>
          <t>Ph. Eur. 2.8.13 (LC-MS/MS) · CUMCS Equivalency</t>
        </is>
      </c>
      <c r="J3037" s="256" t="inlineStr">
        <is>
          <t>≤ LOQ as per Ph. Eur. 2.8.13 · ≤ LOQ as per CUMCS Equivalency</t>
        </is>
      </c>
      <c r="K3037" s="256" t="inlineStr">
        <is>
          <t>ND mg/kg — all 25 residues</t>
        </is>
      </c>
      <c r="L3037" s="256" t="inlineStr">
        <is>
          <t>327/2026</t>
        </is>
      </c>
      <c r="M3037" s="256" t="inlineStr">
        <is>
          <t>11.02.2026</t>
        </is>
      </c>
      <c r="N3037" s="256" t="inlineStr">
        <is>
          <t>IJZ</t>
        </is>
      </c>
      <c r="O3037" s="256" t="inlineStr">
        <is>
          <t>—</t>
        </is>
      </c>
      <c r="P3037" s="256" t="inlineStr">
        <is>
          <t>carried from the initial testing (CoQ-PP-2026-0009) — covered</t>
        </is>
      </c>
      <c r="Q3037" s="256" t="inlineStr"/>
      <c r="R3037" s="256" t="inlineStr"/>
    </row>
    <row r="3038">
      <c r="A3038" s="256" t="inlineStr">
        <is>
          <t>CoQ-PP_26-133</t>
        </is>
      </c>
      <c r="B3038" s="256" t="inlineStr">
        <is>
          <t>reissue — retest</t>
        </is>
      </c>
      <c r="C3038" s="256" t="inlineStr">
        <is>
          <t>SCR112501</t>
        </is>
      </c>
      <c r="D3038" s="256" t="inlineStr">
        <is>
          <t>P060282</t>
        </is>
      </c>
      <c r="E3038" s="256" t="inlineStr">
        <is>
          <t>Scrambler</t>
        </is>
      </c>
      <c r="F3038" s="256" t="inlineStr">
        <is>
          <t>18.09.2026</t>
        </is>
      </c>
      <c r="G3038" s="256" t="inlineStr">
        <is>
          <t>1</t>
        </is>
      </c>
      <c r="H3038" s="256" t="inlineStr">
        <is>
          <t>Identification A, Appearance · Macroscopic</t>
        </is>
      </c>
      <c r="I3038" s="256" t="inlineStr">
        <is>
          <t>Ph. Eur. mon. 3028</t>
        </is>
      </c>
      <c r="J3038" s="256" t="inlineStr">
        <is>
          <t>Conforms to the monograph for Cannabis flos (07/2024:3028) in Ph. Eur. 11.0 | Согласно монографија за Cannabis flos (07/2024:3028) во Ph. Eur. 11.0</t>
        </is>
      </c>
      <c r="K3038" s="256" t="inlineStr">
        <is>
          <t>Conforms | Одговара</t>
        </is>
      </c>
      <c r="L3038" s="256" t="inlineStr">
        <is>
          <t>iCoA-PP_26-152</t>
        </is>
      </c>
      <c r="M3038" s="256" t="inlineStr">
        <is>
          <t>17.08.2026</t>
        </is>
      </c>
      <c r="N3038" s="256" t="inlineStr">
        <is>
          <t>Purely Plant GmbH (in-house)</t>
        </is>
      </c>
      <c r="O3038" s="256" t="inlineStr">
        <is>
          <t>—</t>
        </is>
      </c>
      <c r="P3038" s="256" t="inlineStr">
        <is>
          <t>covered</t>
        </is>
      </c>
      <c r="Q3038" s="256" t="inlineStr">
        <is>
          <t>Farmahem — Ident A + B + C with the Assay, at retest</t>
        </is>
      </c>
      <c r="R3038" s="256" t="inlineStr"/>
    </row>
    <row r="3039">
      <c r="A3039" s="256" t="inlineStr">
        <is>
          <t>CoQ-PP_26-133</t>
        </is>
      </c>
      <c r="B3039" s="256" t="inlineStr">
        <is>
          <t>reissue — retest</t>
        </is>
      </c>
      <c r="C3039" s="256" t="inlineStr">
        <is>
          <t>SCR112501</t>
        </is>
      </c>
      <c r="D3039" s="256" t="inlineStr">
        <is>
          <t>P060282</t>
        </is>
      </c>
      <c r="E3039" s="256" t="inlineStr">
        <is>
          <t>Scrambler</t>
        </is>
      </c>
      <c r="F3039" s="256" t="inlineStr">
        <is>
          <t>18.09.2026</t>
        </is>
      </c>
      <c r="G3039" s="256" t="inlineStr">
        <is>
          <t>2</t>
        </is>
      </c>
      <c r="H3039" s="256" t="inlineStr">
        <is>
          <t>Identification B · Microscopic</t>
        </is>
      </c>
      <c r="I3039" s="256" t="inlineStr">
        <is>
          <t>Ph. Eur. 2.8.23 (microscopy)</t>
        </is>
      </c>
      <c r="J3039" s="256" t="inlineStr">
        <is>
          <t>Conforms to the monograph for Cannabis flos (07/2024:3028) in Ph. Eur. 11.0 | Согласно монографија за Cannabis flos (07/2024:3028) во Ph. Eur. 11.0</t>
        </is>
      </c>
      <c r="K3039" s="256" t="inlineStr">
        <is>
          <t>Conforms | Одговара</t>
        </is>
      </c>
      <c r="L3039" s="256" t="inlineStr">
        <is>
          <t>iCoA-PP_26-152</t>
        </is>
      </c>
      <c r="M3039" s="256" t="inlineStr">
        <is>
          <t>17.08.2026</t>
        </is>
      </c>
      <c r="N3039" s="256" t="inlineStr">
        <is>
          <t>Purely Plant GmbH (in-house)</t>
        </is>
      </c>
      <c r="O3039" s="256" t="inlineStr">
        <is>
          <t>—</t>
        </is>
      </c>
      <c r="P3039" s="256" t="inlineStr">
        <is>
          <t>covered</t>
        </is>
      </c>
      <c r="Q3039" s="256" t="inlineStr">
        <is>
          <t>Farmahem — Ident A + B + C with the Assay, at retest</t>
        </is>
      </c>
      <c r="R3039" s="256" t="inlineStr"/>
    </row>
    <row r="3040">
      <c r="A3040" s="256" t="inlineStr">
        <is>
          <t>CoQ-PP_26-133</t>
        </is>
      </c>
      <c r="B3040" s="256" t="inlineStr">
        <is>
          <t>reissue — retest</t>
        </is>
      </c>
      <c r="C3040" s="256" t="inlineStr">
        <is>
          <t>SCR112501</t>
        </is>
      </c>
      <c r="D3040" s="256" t="inlineStr">
        <is>
          <t>P060282</t>
        </is>
      </c>
      <c r="E3040" s="256" t="inlineStr">
        <is>
          <t>Scrambler</t>
        </is>
      </c>
      <c r="F3040" s="256" t="inlineStr">
        <is>
          <t>18.09.2026</t>
        </is>
      </c>
      <c r="G3040" s="256" t="inlineStr">
        <is>
          <t>3</t>
        </is>
      </c>
      <c r="H3040" s="256" t="inlineStr">
        <is>
          <t>Identification C · HPLC/HPTLC</t>
        </is>
      </c>
      <c r="I3040" s="256" t="inlineStr">
        <is>
          <t>Ph. Eur. 2.2.29 (3028)</t>
        </is>
      </c>
      <c r="J3040" s="256" t="inlineStr">
        <is>
          <t>Conforms to the monograph for Cannabis flos (07/2024:3028) in Ph. Eur. 11.0 | Согласно монографија за Cannabis flos (07/2024:3028) во Ph. Eur. 11.0</t>
        </is>
      </c>
      <c r="K3040" s="256" t="inlineStr">
        <is>
          <t>Conforms | Одговара</t>
        </is>
      </c>
      <c r="L3040" s="256" t="inlineStr">
        <is>
          <t>220-26-К/26</t>
        </is>
      </c>
      <c r="M3040" s="256" t="inlineStr">
        <is>
          <t>26.08.2026</t>
        </is>
      </c>
      <c r="N3040" s="256" t="inlineStr">
        <is>
          <t>Farmahem</t>
        </is>
      </c>
      <c r="O3040" s="256" t="inlineStr">
        <is>
          <t>17.08.2026</t>
        </is>
      </c>
      <c r="P3040" s="256" t="inlineStr">
        <is>
          <t>covered</t>
        </is>
      </c>
      <c r="Q3040" s="256" t="inlineStr"/>
      <c r="R3040" s="256" t="inlineStr"/>
    </row>
    <row r="3041">
      <c r="A3041" s="256" t="inlineStr">
        <is>
          <t>CoQ-PP_26-133</t>
        </is>
      </c>
      <c r="B3041" s="256" t="inlineStr">
        <is>
          <t>reissue — retest</t>
        </is>
      </c>
      <c r="C3041" s="256" t="inlineStr">
        <is>
          <t>SCR112501</t>
        </is>
      </c>
      <c r="D3041" s="256" t="inlineStr">
        <is>
          <t>P060282</t>
        </is>
      </c>
      <c r="E3041" s="256" t="inlineStr">
        <is>
          <t>Scrambler</t>
        </is>
      </c>
      <c r="F3041" s="256" t="inlineStr">
        <is>
          <t>18.09.2026</t>
        </is>
      </c>
      <c r="G3041" s="256" t="inlineStr">
        <is>
          <t>4</t>
        </is>
      </c>
      <c r="H3041" s="256" t="inlineStr">
        <is>
          <t>Assay — Total Δ⁹-THC</t>
        </is>
      </c>
      <c r="I3041" s="256" t="inlineStr">
        <is>
          <t>Ph. Eur. 2.2.29 (HPLC)</t>
        </is>
      </c>
      <c r="J3041" s="256" t="inlineStr">
        <is>
          <t>16.20 – 19.79 %  (grade II, nominal 18.00 ± 1.80)</t>
        </is>
      </c>
      <c r="K3041" s="256" t="inlineStr">
        <is>
          <t>19.73</t>
        </is>
      </c>
      <c r="L3041" s="256" t="inlineStr">
        <is>
          <t>220-26-К/26</t>
        </is>
      </c>
      <c r="M3041" s="256" t="inlineStr">
        <is>
          <t>26.08.2026</t>
        </is>
      </c>
      <c r="N3041" s="256" t="inlineStr">
        <is>
          <t>Farmahem</t>
        </is>
      </c>
      <c r="O3041" s="256" t="inlineStr">
        <is>
          <t>17.08.2026</t>
        </is>
      </c>
      <c r="P3041" s="256" t="inlineStr">
        <is>
          <t>covered</t>
        </is>
      </c>
      <c r="Q3041" s="256" t="inlineStr"/>
      <c r="R3041" s="256" t="inlineStr"/>
    </row>
    <row r="3042">
      <c r="A3042" s="256" t="inlineStr">
        <is>
          <t>CoQ-PP_26-133</t>
        </is>
      </c>
      <c r="B3042" s="256" t="inlineStr">
        <is>
          <t>reissue — retest</t>
        </is>
      </c>
      <c r="C3042" s="256" t="inlineStr">
        <is>
          <t>SCR112501</t>
        </is>
      </c>
      <c r="D3042" s="256" t="inlineStr">
        <is>
          <t>P060282</t>
        </is>
      </c>
      <c r="E3042" s="256" t="inlineStr">
        <is>
          <t>Scrambler</t>
        </is>
      </c>
      <c r="F3042" s="256" t="inlineStr">
        <is>
          <t>18.09.2026</t>
        </is>
      </c>
      <c r="G3042" s="256" t="inlineStr">
        <is>
          <t>5</t>
        </is>
      </c>
      <c r="H3042" s="256" t="inlineStr">
        <is>
          <t>Assay — Total CBD</t>
        </is>
      </c>
      <c r="I3042" s="256" t="inlineStr">
        <is>
          <t>Ph. Eur. 2.2.29 (HPLC) · CBD + CBDA x 0.877</t>
        </is>
      </c>
      <c r="J3042" s="256" t="inlineStr">
        <is>
          <t>≤ 1.0%, w/w</t>
        </is>
      </c>
      <c r="K3042" s="256" t="inlineStr">
        <is>
          <t>&lt; LOQ</t>
        </is>
      </c>
      <c r="L3042" s="256" t="inlineStr">
        <is>
          <t>220-26-К/26</t>
        </is>
      </c>
      <c r="M3042" s="256" t="inlineStr">
        <is>
          <t>26.08.2026</t>
        </is>
      </c>
      <c r="N3042" s="256" t="inlineStr">
        <is>
          <t>Farmahem</t>
        </is>
      </c>
      <c r="O3042" s="256" t="inlineStr">
        <is>
          <t>17.08.2026</t>
        </is>
      </c>
      <c r="P3042" s="256" t="inlineStr">
        <is>
          <t>covered</t>
        </is>
      </c>
      <c r="Q3042" s="256" t="inlineStr"/>
      <c r="R3042" s="256" t="inlineStr"/>
    </row>
    <row r="3043">
      <c r="A3043" s="256" t="inlineStr">
        <is>
          <t>CoQ-PP_26-133</t>
        </is>
      </c>
      <c r="B3043" s="256" t="inlineStr">
        <is>
          <t>reissue — retest</t>
        </is>
      </c>
      <c r="C3043" s="256" t="inlineStr">
        <is>
          <t>SCR112501</t>
        </is>
      </c>
      <c r="D3043" s="256" t="inlineStr">
        <is>
          <t>P060282</t>
        </is>
      </c>
      <c r="E3043" s="256" t="inlineStr">
        <is>
          <t>Scrambler</t>
        </is>
      </c>
      <c r="F3043" s="256" t="inlineStr">
        <is>
          <t>18.09.2026</t>
        </is>
      </c>
      <c r="G3043" s="256" t="inlineStr">
        <is>
          <t>6</t>
        </is>
      </c>
      <c r="H3043" s="256" t="inlineStr">
        <is>
          <t>Total CBN</t>
        </is>
      </c>
      <c r="I3043" s="256" t="inlineStr">
        <is>
          <t>Ph. Eur. 2.2.29 (HPLC) · CBN + CBNA x 0.876</t>
        </is>
      </c>
      <c r="J3043" s="256" t="inlineStr">
        <is>
          <t>≤ 1.0%, w/w</t>
        </is>
      </c>
      <c r="K3043" s="256" t="inlineStr">
        <is>
          <t>&lt; LOQ</t>
        </is>
      </c>
      <c r="L3043" s="256" t="inlineStr">
        <is>
          <t>220-26-К/26</t>
        </is>
      </c>
      <c r="M3043" s="256" t="inlineStr">
        <is>
          <t>26.08.2026</t>
        </is>
      </c>
      <c r="N3043" s="256" t="inlineStr">
        <is>
          <t>Farmahem</t>
        </is>
      </c>
      <c r="O3043" s="256" t="inlineStr">
        <is>
          <t>17.08.2026</t>
        </is>
      </c>
      <c r="P3043" s="256" t="inlineStr">
        <is>
          <t>covered</t>
        </is>
      </c>
      <c r="Q3043" s="256" t="inlineStr"/>
      <c r="R3043" s="256" t="inlineStr"/>
    </row>
    <row r="3044">
      <c r="A3044" s="256" t="inlineStr">
        <is>
          <t>CoQ-PP_26-133</t>
        </is>
      </c>
      <c r="B3044" s="256" t="inlineStr">
        <is>
          <t>reissue — retest</t>
        </is>
      </c>
      <c r="C3044" s="256" t="inlineStr">
        <is>
          <t>SCR112501</t>
        </is>
      </c>
      <c r="D3044" s="256" t="inlineStr">
        <is>
          <t>P060282</t>
        </is>
      </c>
      <c r="E3044" s="256" t="inlineStr">
        <is>
          <t>Scrambler</t>
        </is>
      </c>
      <c r="F3044" s="256" t="inlineStr">
        <is>
          <t>18.09.2026</t>
        </is>
      </c>
      <c r="G3044" s="256" t="inlineStr">
        <is>
          <t>7</t>
        </is>
      </c>
      <c r="H3044" s="256" t="inlineStr">
        <is>
          <t>Foreign Matter</t>
        </is>
      </c>
      <c r="I3044" s="256" t="inlineStr">
        <is>
          <t>Ph. Eur. 2.8.2 · In-house · интерна</t>
        </is>
      </c>
      <c r="J3044" s="256" t="inlineStr">
        <is>
          <t>≤ 2.0% / 25–50 g · &lt; 1 cm leaves | листови, no seeds | без семки</t>
        </is>
      </c>
      <c r="K3044" s="256" t="inlineStr">
        <is>
          <t>Conforms | Одговара</t>
        </is>
      </c>
      <c r="L3044" s="256" t="inlineStr">
        <is>
          <t>iCoA-PP_26-152</t>
        </is>
      </c>
      <c r="M3044" s="256" t="inlineStr">
        <is>
          <t>17.08.2026</t>
        </is>
      </c>
      <c r="N3044" s="256" t="inlineStr">
        <is>
          <t>Purely Plant GmbH (in-house)</t>
        </is>
      </c>
      <c r="O3044" s="256" t="inlineStr">
        <is>
          <t>—</t>
        </is>
      </c>
      <c r="P3044" s="256" t="inlineStr">
        <is>
          <t>covered</t>
        </is>
      </c>
      <c r="Q3044" s="256" t="inlineStr">
        <is>
          <t>Purely Plant laboratory — iCoA covering Foreign matter</t>
        </is>
      </c>
      <c r="R3044" s="256" t="inlineStr"/>
    </row>
    <row r="3045">
      <c r="A3045" s="256" t="inlineStr">
        <is>
          <t>CoQ-PP_26-133</t>
        </is>
      </c>
      <c r="B3045" s="256" t="inlineStr">
        <is>
          <t>reissue — retest</t>
        </is>
      </c>
      <c r="C3045" s="256" t="inlineStr">
        <is>
          <t>SCR112501</t>
        </is>
      </c>
      <c r="D3045" s="256" t="inlineStr">
        <is>
          <t>P060282</t>
        </is>
      </c>
      <c r="E3045" s="256" t="inlineStr">
        <is>
          <t>Scrambler</t>
        </is>
      </c>
      <c r="F3045" s="256" t="inlineStr">
        <is>
          <t>18.09.2026</t>
        </is>
      </c>
      <c r="G3045" s="256" t="inlineStr">
        <is>
          <t>8</t>
        </is>
      </c>
      <c r="H3045" s="256" t="inlineStr">
        <is>
          <t>Loss on Drying</t>
        </is>
      </c>
      <c r="I3045" s="256" t="inlineStr">
        <is>
          <t>DAB 2018 monograph Cannabis flos, 2.2.32 — loss on drying (CNP, before its Ph. Eur. 3028 accreditation)</t>
        </is>
      </c>
      <c r="J3045" s="256" t="inlineStr">
        <is>
          <t>≤ 12.0%</t>
        </is>
      </c>
      <c r="K3045" s="256" t="inlineStr">
        <is>
          <t>6.84</t>
        </is>
      </c>
      <c r="L3045" s="256" t="inlineStr">
        <is>
          <t>ППК26069</t>
        </is>
      </c>
      <c r="M3045" s="256" t="inlineStr">
        <is>
          <t>11.05.2026</t>
        </is>
      </c>
      <c r="N3045" s="256" t="inlineStr">
        <is>
          <t>UKIM Faculty of Pharmacy — Center for Natural Products</t>
        </is>
      </c>
      <c r="O3045" s="256" t="inlineStr">
        <is>
          <t>21.04.2026</t>
        </is>
      </c>
      <c r="P3045" s="256" t="inlineStr">
        <is>
          <t>carried from the initial testing (CoQ-PP-2026-0018) — covered</t>
        </is>
      </c>
      <c r="Q3045" s="256" t="inlineStr"/>
      <c r="R3045" s="256" t="inlineStr"/>
    </row>
    <row r="3046">
      <c r="A3046" s="256" t="inlineStr">
        <is>
          <t>CoQ-PP_26-133</t>
        </is>
      </c>
      <c r="B3046" s="256" t="inlineStr">
        <is>
          <t>reissue — retest</t>
        </is>
      </c>
      <c r="C3046" s="256" t="inlineStr">
        <is>
          <t>SCR112501</t>
        </is>
      </c>
      <c r="D3046" s="256" t="inlineStr">
        <is>
          <t>P060282</t>
        </is>
      </c>
      <c r="E3046" s="256" t="inlineStr">
        <is>
          <t>Scrambler</t>
        </is>
      </c>
      <c r="F3046" s="256" t="inlineStr">
        <is>
          <t>18.09.2026</t>
        </is>
      </c>
      <c r="G3046" s="256" t="inlineStr">
        <is>
          <t>9.1</t>
        </is>
      </c>
      <c r="H3046" s="256" t="inlineStr">
        <is>
          <t>TAMC</t>
        </is>
      </c>
      <c r="I3046" s="256" t="inlineStr">
        <is>
          <t>Ph. Eur. 2.6.12 cat. C</t>
        </is>
      </c>
      <c r="J3046" s="256" t="inlineStr">
        <is>
          <t>≤ 10⁵ CFU/g</t>
        </is>
      </c>
      <c r="K3046" s="256" t="inlineStr">
        <is>
          <t>2,3 × 10³</t>
        </is>
      </c>
      <c r="L3046" s="256" t="inlineStr">
        <is>
          <t>305/0549/26</t>
        </is>
      </c>
      <c r="M3046" s="256" t="inlineStr">
        <is>
          <t>28.04.2026</t>
        </is>
      </c>
      <c r="N3046" s="256" t="inlineStr">
        <is>
          <t>IPH — Institute of Public Health</t>
        </is>
      </c>
      <c r="O3046" s="256" t="inlineStr">
        <is>
          <t>22.04.2026</t>
        </is>
      </c>
      <c r="P3046" s="256" t="inlineStr">
        <is>
          <t>carried from the initial testing (CoQ-PP-2026-0018) — covered</t>
        </is>
      </c>
      <c r="Q3046" s="256" t="inlineStr"/>
      <c r="R3046" s="256" t="inlineStr"/>
    </row>
    <row r="3047">
      <c r="A3047" s="256" t="inlineStr">
        <is>
          <t>CoQ-PP_26-133</t>
        </is>
      </c>
      <c r="B3047" s="256" t="inlineStr">
        <is>
          <t>reissue — retest</t>
        </is>
      </c>
      <c r="C3047" s="256" t="inlineStr">
        <is>
          <t>SCR112501</t>
        </is>
      </c>
      <c r="D3047" s="256" t="inlineStr">
        <is>
          <t>P060282</t>
        </is>
      </c>
      <c r="E3047" s="256" t="inlineStr">
        <is>
          <t>Scrambler</t>
        </is>
      </c>
      <c r="F3047" s="256" t="inlineStr">
        <is>
          <t>18.09.2026</t>
        </is>
      </c>
      <c r="G3047" s="256" t="inlineStr">
        <is>
          <t>9.2</t>
        </is>
      </c>
      <c r="H3047" s="256" t="inlineStr">
        <is>
          <t>TYMC</t>
        </is>
      </c>
      <c r="I3047" s="256" t="inlineStr">
        <is>
          <t>Ph. Eur. 2.6.12 cat. C</t>
        </is>
      </c>
      <c r="J3047" s="256" t="inlineStr">
        <is>
          <t>≤ 10⁴ CFU/g</t>
        </is>
      </c>
      <c r="K3047" s="256" t="inlineStr">
        <is>
          <t>4,3 × 10³</t>
        </is>
      </c>
      <c r="L3047" s="256" t="inlineStr">
        <is>
          <t>305/0549/26</t>
        </is>
      </c>
      <c r="M3047" s="256" t="inlineStr">
        <is>
          <t>28.04.2026</t>
        </is>
      </c>
      <c r="N3047" s="256" t="inlineStr">
        <is>
          <t>IPH — Institute of Public Health</t>
        </is>
      </c>
      <c r="O3047" s="256" t="inlineStr">
        <is>
          <t>22.04.2026</t>
        </is>
      </c>
      <c r="P3047" s="256" t="inlineStr">
        <is>
          <t>carried from the initial testing (CoQ-PP-2026-0018) — covered</t>
        </is>
      </c>
      <c r="Q3047" s="256" t="inlineStr"/>
      <c r="R3047" s="256" t="inlineStr"/>
    </row>
    <row r="3048">
      <c r="A3048" s="256" t="inlineStr">
        <is>
          <t>CoQ-PP_26-133</t>
        </is>
      </c>
      <c r="B3048" s="256" t="inlineStr">
        <is>
          <t>reissue — retest</t>
        </is>
      </c>
      <c r="C3048" s="256" t="inlineStr">
        <is>
          <t>SCR112501</t>
        </is>
      </c>
      <c r="D3048" s="256" t="inlineStr">
        <is>
          <t>P060282</t>
        </is>
      </c>
      <c r="E3048" s="256" t="inlineStr">
        <is>
          <t>Scrambler</t>
        </is>
      </c>
      <c r="F3048" s="256" t="inlineStr">
        <is>
          <t>18.09.2026</t>
        </is>
      </c>
      <c r="G3048" s="256" t="inlineStr">
        <is>
          <t>9.3</t>
        </is>
      </c>
      <c r="H3048" s="256" t="inlineStr">
        <is>
          <t>Bile-tolerant gram-neg.</t>
        </is>
      </c>
      <c r="I3048" s="256" t="inlineStr">
        <is>
          <t>Ph. Eur. 2.6.31 cat. C</t>
        </is>
      </c>
      <c r="J3048" s="256" t="inlineStr">
        <is>
          <t>≤ 10⁴ CFU/g</t>
        </is>
      </c>
      <c r="K3048" s="256" t="inlineStr">
        <is>
          <t>&lt; 10³ and &gt; 10²</t>
        </is>
      </c>
      <c r="L3048" s="256" t="inlineStr">
        <is>
          <t>305/0549/26</t>
        </is>
      </c>
      <c r="M3048" s="256" t="inlineStr">
        <is>
          <t>28.04.2026</t>
        </is>
      </c>
      <c r="N3048" s="256" t="inlineStr">
        <is>
          <t>IPH — Institute of Public Health</t>
        </is>
      </c>
      <c r="O3048" s="256" t="inlineStr">
        <is>
          <t>22.04.2026</t>
        </is>
      </c>
      <c r="P3048" s="256" t="inlineStr">
        <is>
          <t>carried from the initial testing (CoQ-PP-2026-0018) — covered</t>
        </is>
      </c>
      <c r="Q3048" s="256" t="inlineStr"/>
      <c r="R3048" s="256" t="inlineStr"/>
    </row>
    <row r="3049">
      <c r="A3049" s="256" t="inlineStr">
        <is>
          <t>CoQ-PP_26-133</t>
        </is>
      </c>
      <c r="B3049" s="256" t="inlineStr">
        <is>
          <t>reissue — retest</t>
        </is>
      </c>
      <c r="C3049" s="256" t="inlineStr">
        <is>
          <t>SCR112501</t>
        </is>
      </c>
      <c r="D3049" s="256" t="inlineStr">
        <is>
          <t>P060282</t>
        </is>
      </c>
      <c r="E3049" s="256" t="inlineStr">
        <is>
          <t>Scrambler</t>
        </is>
      </c>
      <c r="F3049" s="256" t="inlineStr">
        <is>
          <t>18.09.2026</t>
        </is>
      </c>
      <c r="G3049" s="256" t="inlineStr">
        <is>
          <t>9.4</t>
        </is>
      </c>
      <c r="H3049" s="256" t="inlineStr">
        <is>
          <t>Salmonella</t>
        </is>
      </c>
      <c r="I3049" s="256" t="inlineStr">
        <is>
          <t>Ph. Eur. 2.6.31 cat. C</t>
        </is>
      </c>
      <c r="J3049" s="256" t="inlineStr">
        <is>
          <t>Absence | Отсуство / 25 g</t>
        </is>
      </c>
      <c r="K3049" s="256" t="inlineStr">
        <is>
          <t>Absent | Отсутна</t>
        </is>
      </c>
      <c r="L3049" s="256" t="inlineStr">
        <is>
          <t>305/0549/26</t>
        </is>
      </c>
      <c r="M3049" s="256" t="inlineStr">
        <is>
          <t>28.04.2026</t>
        </is>
      </c>
      <c r="N3049" s="256" t="inlineStr">
        <is>
          <t>IPH — Institute of Public Health</t>
        </is>
      </c>
      <c r="O3049" s="256" t="inlineStr">
        <is>
          <t>22.04.2026</t>
        </is>
      </c>
      <c r="P3049" s="256" t="inlineStr">
        <is>
          <t>carried from the initial testing (CoQ-PP-2026-0018) — covered</t>
        </is>
      </c>
      <c r="Q3049" s="256" t="inlineStr"/>
      <c r="R3049" s="256" t="inlineStr"/>
    </row>
    <row r="3050">
      <c r="A3050" s="256" t="inlineStr">
        <is>
          <t>CoQ-PP_26-133</t>
        </is>
      </c>
      <c r="B3050" s="256" t="inlineStr">
        <is>
          <t>reissue — retest</t>
        </is>
      </c>
      <c r="C3050" s="256" t="inlineStr">
        <is>
          <t>SCR112501</t>
        </is>
      </c>
      <c r="D3050" s="256" t="inlineStr">
        <is>
          <t>P060282</t>
        </is>
      </c>
      <c r="E3050" s="256" t="inlineStr">
        <is>
          <t>Scrambler</t>
        </is>
      </c>
      <c r="F3050" s="256" t="inlineStr">
        <is>
          <t>18.09.2026</t>
        </is>
      </c>
      <c r="G3050" s="256" t="inlineStr">
        <is>
          <t>9.5</t>
        </is>
      </c>
      <c r="H3050" s="256" t="inlineStr">
        <is>
          <t>Escherichia coli</t>
        </is>
      </c>
      <c r="I3050" s="256" t="inlineStr">
        <is>
          <t>Ph. Eur. 2.6.13 cat. C</t>
        </is>
      </c>
      <c r="J3050" s="256" t="inlineStr">
        <is>
          <t>Absence | Отсуство / 1 g</t>
        </is>
      </c>
      <c r="K3050" s="256" t="inlineStr">
        <is>
          <t>Absent | Отсутна</t>
        </is>
      </c>
      <c r="L3050" s="256" t="inlineStr">
        <is>
          <t>305/0549/26</t>
        </is>
      </c>
      <c r="M3050" s="256" t="inlineStr">
        <is>
          <t>28.04.2026</t>
        </is>
      </c>
      <c r="N3050" s="256" t="inlineStr">
        <is>
          <t>IPH — Institute of Public Health</t>
        </is>
      </c>
      <c r="O3050" s="256" t="inlineStr">
        <is>
          <t>22.04.2026</t>
        </is>
      </c>
      <c r="P3050" s="256" t="inlineStr">
        <is>
          <t>carried from the initial testing (CoQ-PP-2026-0018) — covered</t>
        </is>
      </c>
      <c r="Q3050" s="256" t="inlineStr"/>
      <c r="R3050" s="256" t="inlineStr"/>
    </row>
    <row r="3051">
      <c r="A3051" s="256" t="inlineStr">
        <is>
          <t>CoQ-PP_26-133</t>
        </is>
      </c>
      <c r="B3051" s="256" t="inlineStr">
        <is>
          <t>reissue — retest</t>
        </is>
      </c>
      <c r="C3051" s="256" t="inlineStr">
        <is>
          <t>SCR112501</t>
        </is>
      </c>
      <c r="D3051" s="256" t="inlineStr">
        <is>
          <t>P060282</t>
        </is>
      </c>
      <c r="E3051" s="256" t="inlineStr">
        <is>
          <t>Scrambler</t>
        </is>
      </c>
      <c r="F3051" s="256" t="inlineStr">
        <is>
          <t>18.09.2026</t>
        </is>
      </c>
      <c r="G3051" s="256" t="inlineStr">
        <is>
          <t>9.6</t>
        </is>
      </c>
      <c r="H3051" s="256" t="inlineStr">
        <is>
          <t>Pseudomonas aeruginosa</t>
        </is>
      </c>
      <c r="I3051" s="256" t="inlineStr">
        <is>
          <t>Ph. Eur. 2.6.13 cat. C</t>
        </is>
      </c>
      <c r="J3051" s="256" t="inlineStr">
        <is>
          <t>Absence | Отсуство / 1 g</t>
        </is>
      </c>
      <c r="K3051" s="260" t="inlineStr">
        <is>
          <t>upon request — not required for release</t>
        </is>
      </c>
      <c r="L3051" s="256" t="inlineStr">
        <is>
          <t>—</t>
        </is>
      </c>
      <c r="M3051" s="256" t="inlineStr">
        <is>
          <t>—</t>
        </is>
      </c>
      <c r="N3051" s="256" t="inlineStr">
        <is>
          <t>—</t>
        </is>
      </c>
      <c r="O3051" s="256" t="inlineStr">
        <is>
          <t>—</t>
        </is>
      </c>
      <c r="P3051" s="256" t="inlineStr">
        <is>
          <t>upon request — not required for release</t>
        </is>
      </c>
      <c r="Q3051" s="256" t="inlineStr"/>
      <c r="R3051" s="256" t="inlineStr"/>
    </row>
    <row r="3052">
      <c r="A3052" s="256" t="inlineStr">
        <is>
          <t>CoQ-PP_26-133</t>
        </is>
      </c>
      <c r="B3052" s="256" t="inlineStr">
        <is>
          <t>reissue — retest</t>
        </is>
      </c>
      <c r="C3052" s="256" t="inlineStr">
        <is>
          <t>SCR112501</t>
        </is>
      </c>
      <c r="D3052" s="256" t="inlineStr">
        <is>
          <t>P060282</t>
        </is>
      </c>
      <c r="E3052" s="256" t="inlineStr">
        <is>
          <t>Scrambler</t>
        </is>
      </c>
      <c r="F3052" s="256" t="inlineStr">
        <is>
          <t>18.09.2026</t>
        </is>
      </c>
      <c r="G3052" s="256" t="inlineStr">
        <is>
          <t>9.7</t>
        </is>
      </c>
      <c r="H3052" s="256" t="inlineStr">
        <is>
          <t>Staphylococcus aureus</t>
        </is>
      </c>
      <c r="I3052" s="256" t="inlineStr">
        <is>
          <t>Ph. Eur. 2.6.13 cat. C</t>
        </is>
      </c>
      <c r="J3052" s="256" t="inlineStr">
        <is>
          <t>Absence | Отсуство / 1 g</t>
        </is>
      </c>
      <c r="K3052" s="260" t="inlineStr">
        <is>
          <t>upon request — not required for release</t>
        </is>
      </c>
      <c r="L3052" s="256" t="inlineStr">
        <is>
          <t>—</t>
        </is>
      </c>
      <c r="M3052" s="256" t="inlineStr">
        <is>
          <t>—</t>
        </is>
      </c>
      <c r="N3052" s="256" t="inlineStr">
        <is>
          <t>—</t>
        </is>
      </c>
      <c r="O3052" s="256" t="inlineStr">
        <is>
          <t>—</t>
        </is>
      </c>
      <c r="P3052" s="256" t="inlineStr">
        <is>
          <t>upon request — not required for release</t>
        </is>
      </c>
      <c r="Q3052" s="256" t="inlineStr"/>
      <c r="R3052" s="256" t="inlineStr"/>
    </row>
    <row r="3053">
      <c r="A3053" s="256" t="inlineStr">
        <is>
          <t>CoQ-PP_26-133</t>
        </is>
      </c>
      <c r="B3053" s="256" t="inlineStr">
        <is>
          <t>reissue — retest</t>
        </is>
      </c>
      <c r="C3053" s="256" t="inlineStr">
        <is>
          <t>SCR112501</t>
        </is>
      </c>
      <c r="D3053" s="256" t="inlineStr">
        <is>
          <t>P060282</t>
        </is>
      </c>
      <c r="E3053" s="256" t="inlineStr">
        <is>
          <t>Scrambler</t>
        </is>
      </c>
      <c r="F3053" s="256" t="inlineStr">
        <is>
          <t>18.09.2026</t>
        </is>
      </c>
      <c r="G3053" s="256" t="inlineStr">
        <is>
          <t>10.1</t>
        </is>
      </c>
      <c r="H3053" s="256" t="inlineStr">
        <is>
          <t>Aflatoxin B₁</t>
        </is>
      </c>
      <c r="I3053" s="256" t="inlineStr">
        <is>
          <t>Ph. Eur. 2.8.18 (HPLC-FLD)</t>
        </is>
      </c>
      <c r="J3053" s="256" t="inlineStr">
        <is>
          <t>≤ 2 µg/kg</t>
        </is>
      </c>
      <c r="K3053" s="256" t="inlineStr">
        <is>
          <t>ND</t>
        </is>
      </c>
      <c r="L3053" s="256" t="inlineStr">
        <is>
          <t>220-26-М/26</t>
        </is>
      </c>
      <c r="M3053" s="256" t="inlineStr">
        <is>
          <t>11.09.2026</t>
        </is>
      </c>
      <c r="N3053" s="256" t="inlineStr">
        <is>
          <t>Farmahem</t>
        </is>
      </c>
      <c r="O3053" s="256" t="inlineStr">
        <is>
          <t>17.08.2026</t>
        </is>
      </c>
      <c r="P3053" s="256" t="inlineStr">
        <is>
          <t>covered</t>
        </is>
      </c>
      <c r="Q3053" s="256" t="inlineStr"/>
      <c r="R3053" s="256" t="inlineStr"/>
    </row>
    <row r="3054">
      <c r="A3054" s="256" t="inlineStr">
        <is>
          <t>CoQ-PP_26-133</t>
        </is>
      </c>
      <c r="B3054" s="256" t="inlineStr">
        <is>
          <t>reissue — retest</t>
        </is>
      </c>
      <c r="C3054" s="256" t="inlineStr">
        <is>
          <t>SCR112501</t>
        </is>
      </c>
      <c r="D3054" s="256" t="inlineStr">
        <is>
          <t>P060282</t>
        </is>
      </c>
      <c r="E3054" s="256" t="inlineStr">
        <is>
          <t>Scrambler</t>
        </is>
      </c>
      <c r="F3054" s="256" t="inlineStr">
        <is>
          <t>18.09.2026</t>
        </is>
      </c>
      <c r="G3054" s="256" t="inlineStr">
        <is>
          <t>10.2</t>
        </is>
      </c>
      <c r="H3054" s="256" t="inlineStr">
        <is>
          <t>Aflatoxins ∑</t>
        </is>
      </c>
      <c r="I3054" s="256" t="inlineStr">
        <is>
          <t>Ph. Eur. 2.8.18 (HPLC-FLD)</t>
        </is>
      </c>
      <c r="J3054" s="256" t="inlineStr">
        <is>
          <t>≤ 4 µg/kg</t>
        </is>
      </c>
      <c r="K3054" s="256" t="inlineStr">
        <is>
          <t>ND</t>
        </is>
      </c>
      <c r="L3054" s="256" t="inlineStr">
        <is>
          <t>220-26-М/26</t>
        </is>
      </c>
      <c r="M3054" s="256" t="inlineStr">
        <is>
          <t>11.09.2026</t>
        </is>
      </c>
      <c r="N3054" s="256" t="inlineStr">
        <is>
          <t>Farmahem</t>
        </is>
      </c>
      <c r="O3054" s="256" t="inlineStr">
        <is>
          <t>17.08.2026</t>
        </is>
      </c>
      <c r="P3054" s="256" t="inlineStr">
        <is>
          <t>covered</t>
        </is>
      </c>
      <c r="Q3054" s="256" t="inlineStr"/>
      <c r="R3054" s="256" t="inlineStr"/>
    </row>
    <row r="3055">
      <c r="A3055" s="256" t="inlineStr">
        <is>
          <t>CoQ-PP_26-133</t>
        </is>
      </c>
      <c r="B3055" s="256" t="inlineStr">
        <is>
          <t>reissue — retest</t>
        </is>
      </c>
      <c r="C3055" s="256" t="inlineStr">
        <is>
          <t>SCR112501</t>
        </is>
      </c>
      <c r="D3055" s="256" t="inlineStr">
        <is>
          <t>P060282</t>
        </is>
      </c>
      <c r="E3055" s="256" t="inlineStr">
        <is>
          <t>Scrambler</t>
        </is>
      </c>
      <c r="F3055" s="256" t="inlineStr">
        <is>
          <t>18.09.2026</t>
        </is>
      </c>
      <c r="G3055" s="256" t="inlineStr">
        <is>
          <t>10.3</t>
        </is>
      </c>
      <c r="H3055" s="256" t="inlineStr">
        <is>
          <t>Ochratoxin A</t>
        </is>
      </c>
      <c r="I3055" s="256" t="inlineStr">
        <is>
          <t>Ph. Eur. 2.8.22 (HPLC-FLD)</t>
        </is>
      </c>
      <c r="J3055" s="256" t="inlineStr">
        <is>
          <t>≤ 20 µg/kg</t>
        </is>
      </c>
      <c r="K3055" s="256" t="inlineStr">
        <is>
          <t>ND</t>
        </is>
      </c>
      <c r="L3055" s="256" t="inlineStr">
        <is>
          <t>220-26-М/26</t>
        </is>
      </c>
      <c r="M3055" s="256" t="inlineStr">
        <is>
          <t>11.09.2026</t>
        </is>
      </c>
      <c r="N3055" s="256" t="inlineStr">
        <is>
          <t>Farmahem</t>
        </is>
      </c>
      <c r="O3055" s="256" t="inlineStr">
        <is>
          <t>17.08.2026</t>
        </is>
      </c>
      <c r="P3055" s="256" t="inlineStr">
        <is>
          <t>covered</t>
        </is>
      </c>
      <c r="Q3055" s="256" t="inlineStr"/>
      <c r="R3055" s="256" t="inlineStr"/>
    </row>
    <row r="3056">
      <c r="A3056" s="256" t="inlineStr">
        <is>
          <t>CoQ-PP_26-133</t>
        </is>
      </c>
      <c r="B3056" s="256" t="inlineStr">
        <is>
          <t>reissue — retest</t>
        </is>
      </c>
      <c r="C3056" s="256" t="inlineStr">
        <is>
          <t>SCR112501</t>
        </is>
      </c>
      <c r="D3056" s="256" t="inlineStr">
        <is>
          <t>P060282</t>
        </is>
      </c>
      <c r="E3056" s="256" t="inlineStr">
        <is>
          <t>Scrambler</t>
        </is>
      </c>
      <c r="F3056" s="256" t="inlineStr">
        <is>
          <t>18.09.2026</t>
        </is>
      </c>
      <c r="G3056" s="256" t="inlineStr">
        <is>
          <t>11.1</t>
        </is>
      </c>
      <c r="H3056" s="256" t="inlineStr">
        <is>
          <t>Lead (Pb)</t>
        </is>
      </c>
      <c r="I3056" s="256" t="inlineStr">
        <is>
          <t>Ph. Eur. 2.4.27 (ICP-MS)</t>
        </is>
      </c>
      <c r="J3056" s="256" t="inlineStr">
        <is>
          <t>≤ 0.5 mg/kg</t>
        </is>
      </c>
      <c r="K3056" s="256" t="inlineStr">
        <is>
          <t>0.0299</t>
        </is>
      </c>
      <c r="L3056" s="256" t="inlineStr">
        <is>
          <t>2360/2026</t>
        </is>
      </c>
      <c r="M3056" s="256" t="inlineStr">
        <is>
          <t>29.04.2026</t>
        </is>
      </c>
      <c r="N3056" s="256" t="inlineStr">
        <is>
          <t>IPH — Institute of Public Health</t>
        </is>
      </c>
      <c r="O3056" s="256" t="inlineStr">
        <is>
          <t>21.04.2026</t>
        </is>
      </c>
      <c r="P3056" s="256" t="inlineStr">
        <is>
          <t>carried from the initial testing (CoQ-PP-2026-0018) — covered</t>
        </is>
      </c>
      <c r="Q3056" s="256" t="inlineStr"/>
      <c r="R3056" s="256" t="inlineStr"/>
    </row>
    <row r="3057">
      <c r="A3057" s="256" t="inlineStr">
        <is>
          <t>CoQ-PP_26-133</t>
        </is>
      </c>
      <c r="B3057" s="256" t="inlineStr">
        <is>
          <t>reissue — retest</t>
        </is>
      </c>
      <c r="C3057" s="256" t="inlineStr">
        <is>
          <t>SCR112501</t>
        </is>
      </c>
      <c r="D3057" s="256" t="inlineStr">
        <is>
          <t>P060282</t>
        </is>
      </c>
      <c r="E3057" s="256" t="inlineStr">
        <is>
          <t>Scrambler</t>
        </is>
      </c>
      <c r="F3057" s="256" t="inlineStr">
        <is>
          <t>18.09.2026</t>
        </is>
      </c>
      <c r="G3057" s="256" t="inlineStr">
        <is>
          <t>11.2</t>
        </is>
      </c>
      <c r="H3057" s="256" t="inlineStr">
        <is>
          <t>Cadmium (Cd)</t>
        </is>
      </c>
      <c r="I3057" s="256" t="inlineStr">
        <is>
          <t>Ph. Eur. 2.4.27 (ICP-MS)</t>
        </is>
      </c>
      <c r="J3057" s="256" t="inlineStr">
        <is>
          <t>≤ 0.3 mg/kg</t>
        </is>
      </c>
      <c r="K3057" s="256" t="inlineStr">
        <is>
          <t>0.0136</t>
        </is>
      </c>
      <c r="L3057" s="256" t="inlineStr">
        <is>
          <t>2360/2026</t>
        </is>
      </c>
      <c r="M3057" s="256" t="inlineStr">
        <is>
          <t>29.04.2026</t>
        </is>
      </c>
      <c r="N3057" s="256" t="inlineStr">
        <is>
          <t>IPH — Institute of Public Health</t>
        </is>
      </c>
      <c r="O3057" s="256" t="inlineStr">
        <is>
          <t>21.04.2026</t>
        </is>
      </c>
      <c r="P3057" s="256" t="inlineStr">
        <is>
          <t>carried from the initial testing (CoQ-PP-2026-0018) — covered</t>
        </is>
      </c>
      <c r="Q3057" s="256" t="inlineStr"/>
      <c r="R3057" s="256" t="inlineStr"/>
    </row>
    <row r="3058">
      <c r="A3058" s="256" t="inlineStr">
        <is>
          <t>CoQ-PP_26-133</t>
        </is>
      </c>
      <c r="B3058" s="256" t="inlineStr">
        <is>
          <t>reissue — retest</t>
        </is>
      </c>
      <c r="C3058" s="256" t="inlineStr">
        <is>
          <t>SCR112501</t>
        </is>
      </c>
      <c r="D3058" s="256" t="inlineStr">
        <is>
          <t>P060282</t>
        </is>
      </c>
      <c r="E3058" s="256" t="inlineStr">
        <is>
          <t>Scrambler</t>
        </is>
      </c>
      <c r="F3058" s="256" t="inlineStr">
        <is>
          <t>18.09.2026</t>
        </is>
      </c>
      <c r="G3058" s="256" t="inlineStr">
        <is>
          <t>11.3</t>
        </is>
      </c>
      <c r="H3058" s="256" t="inlineStr">
        <is>
          <t>Arsenic (As)</t>
        </is>
      </c>
      <c r="I3058" s="256" t="inlineStr">
        <is>
          <t>Ph. Eur. 2.4.27 (ICP-MS)</t>
        </is>
      </c>
      <c r="J3058" s="256" t="inlineStr">
        <is>
          <t>≤ 0.2 mg/kg</t>
        </is>
      </c>
      <c r="K3058" s="256" t="inlineStr">
        <is>
          <t>0.0154</t>
        </is>
      </c>
      <c r="L3058" s="256" t="inlineStr">
        <is>
          <t>2360/2026</t>
        </is>
      </c>
      <c r="M3058" s="256" t="inlineStr">
        <is>
          <t>29.04.2026</t>
        </is>
      </c>
      <c r="N3058" s="256" t="inlineStr">
        <is>
          <t>IPH — Institute of Public Health</t>
        </is>
      </c>
      <c r="O3058" s="256" t="inlineStr">
        <is>
          <t>21.04.2026</t>
        </is>
      </c>
      <c r="P3058" s="256" t="inlineStr">
        <is>
          <t>carried from the initial testing (CoQ-PP-2026-0018) — covered</t>
        </is>
      </c>
      <c r="Q3058" s="256" t="inlineStr"/>
      <c r="R3058" s="256" t="inlineStr"/>
    </row>
    <row r="3059">
      <c r="A3059" s="256" t="inlineStr">
        <is>
          <t>CoQ-PP_26-133</t>
        </is>
      </c>
      <c r="B3059" s="256" t="inlineStr">
        <is>
          <t>reissue — retest</t>
        </is>
      </c>
      <c r="C3059" s="256" t="inlineStr">
        <is>
          <t>SCR112501</t>
        </is>
      </c>
      <c r="D3059" s="256" t="inlineStr">
        <is>
          <t>P060282</t>
        </is>
      </c>
      <c r="E3059" s="256" t="inlineStr">
        <is>
          <t>Scrambler</t>
        </is>
      </c>
      <c r="F3059" s="256" t="inlineStr">
        <is>
          <t>18.09.2026</t>
        </is>
      </c>
      <c r="G3059" s="256" t="inlineStr">
        <is>
          <t>11.4</t>
        </is>
      </c>
      <c r="H3059" s="256" t="inlineStr">
        <is>
          <t>Mercury (Hg)</t>
        </is>
      </c>
      <c r="I3059" s="256" t="inlineStr">
        <is>
          <t>Ph. Eur. 2.4.27 (ICP-MS)</t>
        </is>
      </c>
      <c r="J3059" s="256" t="inlineStr">
        <is>
          <t>≤ 0.1 mg/kg</t>
        </is>
      </c>
      <c r="K3059" s="256" t="inlineStr">
        <is>
          <t>0.017</t>
        </is>
      </c>
      <c r="L3059" s="256" t="inlineStr">
        <is>
          <t>2360/2026</t>
        </is>
      </c>
      <c r="M3059" s="256" t="inlineStr">
        <is>
          <t>29.04.2026</t>
        </is>
      </c>
      <c r="N3059" s="256" t="inlineStr">
        <is>
          <t>IPH — Institute of Public Health</t>
        </is>
      </c>
      <c r="O3059" s="256" t="inlineStr">
        <is>
          <t>21.04.2026</t>
        </is>
      </c>
      <c r="P3059" s="256" t="inlineStr">
        <is>
          <t>carried from the initial testing (CoQ-PP-2026-0018) — covered</t>
        </is>
      </c>
      <c r="Q3059" s="256" t="inlineStr"/>
      <c r="R3059" s="256" t="inlineStr"/>
    </row>
    <row r="3060">
      <c r="A3060" s="256" t="inlineStr">
        <is>
          <t>CoQ-PP_26-133</t>
        </is>
      </c>
      <c r="B3060" s="256" t="inlineStr">
        <is>
          <t>reissue — retest</t>
        </is>
      </c>
      <c r="C3060" s="256" t="inlineStr">
        <is>
          <t>SCR112501</t>
        </is>
      </c>
      <c r="D3060" s="256" t="inlineStr">
        <is>
          <t>P060282</t>
        </is>
      </c>
      <c r="E3060" s="256" t="inlineStr">
        <is>
          <t>Scrambler</t>
        </is>
      </c>
      <c r="F3060" s="256" t="inlineStr">
        <is>
          <t>18.09.2026</t>
        </is>
      </c>
      <c r="G3060" s="256" t="inlineStr">
        <is>
          <t>12</t>
        </is>
      </c>
      <c r="H3060" s="256" t="inlineStr">
        <is>
          <t>Pesticide Residues</t>
        </is>
      </c>
      <c r="I3060" s="256" t="inlineStr">
        <is>
          <t>Ph. Eur. 2.8.13 (LC-MS/MS) · CUMCS Equivalency</t>
        </is>
      </c>
      <c r="J3060" s="256" t="inlineStr">
        <is>
          <t>≤ LOQ as per Ph. Eur. 2.8.13 · ≤ LOQ as per CUMCS Equivalency</t>
        </is>
      </c>
      <c r="K3060" s="256" t="inlineStr">
        <is>
          <t>ND</t>
        </is>
      </c>
      <c r="L3060" s="256" t="inlineStr">
        <is>
          <t>2360/2026</t>
        </is>
      </c>
      <c r="M3060" s="256" t="inlineStr">
        <is>
          <t>29.04.2026</t>
        </is>
      </c>
      <c r="N3060" s="256" t="inlineStr">
        <is>
          <t>IPH — Institute of Public Health</t>
        </is>
      </c>
      <c r="O3060" s="256" t="inlineStr">
        <is>
          <t>21.04.2026</t>
        </is>
      </c>
      <c r="P3060" s="256" t="inlineStr">
        <is>
          <t>carried from the initial testing (CoQ-PP-2026-0018) — covered</t>
        </is>
      </c>
      <c r="Q3060" s="256" t="inlineStr"/>
      <c r="R3060" s="256" t="inlineStr"/>
    </row>
    <row r="3061">
      <c r="A3061" s="256" t="inlineStr">
        <is>
          <t>CoQ-PP_26-134</t>
        </is>
      </c>
      <c r="B3061" s="256" t="inlineStr">
        <is>
          <t>reissue — retest</t>
        </is>
      </c>
      <c r="C3061" s="256" t="inlineStr">
        <is>
          <t>SJ092501</t>
        </is>
      </c>
      <c r="D3061" s="256" t="inlineStr">
        <is>
          <t>P060082</t>
        </is>
      </c>
      <c r="E3061" s="256" t="inlineStr">
        <is>
          <t>Sleepy Joe</t>
        </is>
      </c>
      <c r="F3061" s="256" t="inlineStr">
        <is>
          <t>18.09.2026</t>
        </is>
      </c>
      <c r="G3061" s="256" t="inlineStr">
        <is>
          <t>1</t>
        </is>
      </c>
      <c r="H3061" s="256" t="inlineStr">
        <is>
          <t>Identification A, Appearance · Macroscopic</t>
        </is>
      </c>
      <c r="I3061" s="256" t="inlineStr">
        <is>
          <t>Ph. Eur. mon. 3028</t>
        </is>
      </c>
      <c r="J3061" s="256" t="inlineStr">
        <is>
          <t>Conforms to the monograph for Cannabis flos (07/2024:3028) in Ph. Eur. 11.0 | Согласно монографија за Cannabis flos (07/2024:3028) во Ph. Eur. 11.0</t>
        </is>
      </c>
      <c r="K3061" s="256" t="inlineStr">
        <is>
          <t>Conforms | Одговара</t>
        </is>
      </c>
      <c r="L3061" s="256" t="inlineStr">
        <is>
          <t>iCoA-PP_26-153</t>
        </is>
      </c>
      <c r="M3061" s="256" t="inlineStr">
        <is>
          <t>17.08.2026</t>
        </is>
      </c>
      <c r="N3061" s="256" t="inlineStr">
        <is>
          <t>Purely Plant GmbH (in-house)</t>
        </is>
      </c>
      <c r="O3061" s="256" t="inlineStr">
        <is>
          <t>—</t>
        </is>
      </c>
      <c r="P3061" s="256" t="inlineStr">
        <is>
          <t>covered</t>
        </is>
      </c>
      <c r="Q3061" s="256" t="inlineStr">
        <is>
          <t>Farmahem — Ident A + B + C with the Assay, at retest</t>
        </is>
      </c>
      <c r="R3061" s="256" t="inlineStr"/>
    </row>
    <row r="3062">
      <c r="A3062" s="256" t="inlineStr">
        <is>
          <t>CoQ-PP_26-134</t>
        </is>
      </c>
      <c r="B3062" s="256" t="inlineStr">
        <is>
          <t>reissue — retest</t>
        </is>
      </c>
      <c r="C3062" s="256" t="inlineStr">
        <is>
          <t>SJ092501</t>
        </is>
      </c>
      <c r="D3062" s="256" t="inlineStr">
        <is>
          <t>P060082</t>
        </is>
      </c>
      <c r="E3062" s="256" t="inlineStr">
        <is>
          <t>Sleepy Joe</t>
        </is>
      </c>
      <c r="F3062" s="256" t="inlineStr">
        <is>
          <t>18.09.2026</t>
        </is>
      </c>
      <c r="G3062" s="256" t="inlineStr">
        <is>
          <t>2</t>
        </is>
      </c>
      <c r="H3062" s="256" t="inlineStr">
        <is>
          <t>Identification B · Microscopic</t>
        </is>
      </c>
      <c r="I3062" s="256" t="inlineStr">
        <is>
          <t>Ph. Eur. 2.8.23 (microscopy)</t>
        </is>
      </c>
      <c r="J3062" s="256" t="inlineStr">
        <is>
          <t>Conforms to the monograph for Cannabis flos (07/2024:3028) in Ph. Eur. 11.0 | Согласно монографија за Cannabis flos (07/2024:3028) во Ph. Eur. 11.0</t>
        </is>
      </c>
      <c r="K3062" s="256" t="inlineStr">
        <is>
          <t>Conforms | Одговара</t>
        </is>
      </c>
      <c r="L3062" s="256" t="inlineStr">
        <is>
          <t>iCoA-PP_26-153</t>
        </is>
      </c>
      <c r="M3062" s="256" t="inlineStr">
        <is>
          <t>17.08.2026</t>
        </is>
      </c>
      <c r="N3062" s="256" t="inlineStr">
        <is>
          <t>Purely Plant GmbH (in-house)</t>
        </is>
      </c>
      <c r="O3062" s="256" t="inlineStr">
        <is>
          <t>—</t>
        </is>
      </c>
      <c r="P3062" s="256" t="inlineStr">
        <is>
          <t>to be performed — see route</t>
        </is>
      </c>
      <c r="Q3062" s="256" t="inlineStr">
        <is>
          <t>Farmahem — Ident A + B + C with the Assay, at retest</t>
        </is>
      </c>
      <c r="R3062" s="256" t="inlineStr"/>
    </row>
    <row r="3063">
      <c r="A3063" s="256" t="inlineStr">
        <is>
          <t>CoQ-PP_26-134</t>
        </is>
      </c>
      <c r="B3063" s="256" t="inlineStr">
        <is>
          <t>reissue — retest</t>
        </is>
      </c>
      <c r="C3063" s="256" t="inlineStr">
        <is>
          <t>SJ092501</t>
        </is>
      </c>
      <c r="D3063" s="256" t="inlineStr">
        <is>
          <t>P060082</t>
        </is>
      </c>
      <c r="E3063" s="256" t="inlineStr">
        <is>
          <t>Sleepy Joe</t>
        </is>
      </c>
      <c r="F3063" s="256" t="inlineStr">
        <is>
          <t>18.09.2026</t>
        </is>
      </c>
      <c r="G3063" s="256" t="inlineStr">
        <is>
          <t>3</t>
        </is>
      </c>
      <c r="H3063" s="256" t="inlineStr">
        <is>
          <t>Identification C · HPLC/HPTLC</t>
        </is>
      </c>
      <c r="I3063" s="256" t="inlineStr">
        <is>
          <t>Ph. Eur. 2.2.29 (3028)</t>
        </is>
      </c>
      <c r="J3063" s="256" t="inlineStr">
        <is>
          <t>Conforms to the monograph for Cannabis flos (07/2024:3028) in Ph. Eur. 11.0 | Согласно монографија за Cannabis flos (07/2024:3028) во Ph. Eur. 11.0</t>
        </is>
      </c>
      <c r="K3063" s="256" t="inlineStr">
        <is>
          <t>Conforms | Одговара</t>
        </is>
      </c>
      <c r="L3063" s="256" t="inlineStr">
        <is>
          <t>220-27-К/26</t>
        </is>
      </c>
      <c r="M3063" s="256" t="inlineStr">
        <is>
          <t>26.08.2026</t>
        </is>
      </c>
      <c r="N3063" s="256" t="inlineStr">
        <is>
          <t>Farmahem</t>
        </is>
      </c>
      <c r="O3063" s="256" t="inlineStr">
        <is>
          <t>17.08.2026</t>
        </is>
      </c>
      <c r="P3063" s="256" t="inlineStr">
        <is>
          <t>covered</t>
        </is>
      </c>
      <c r="Q3063" s="256" t="inlineStr"/>
      <c r="R3063" s="256" t="inlineStr"/>
    </row>
    <row r="3064">
      <c r="A3064" s="256" t="inlineStr">
        <is>
          <t>CoQ-PP_26-134</t>
        </is>
      </c>
      <c r="B3064" s="256" t="inlineStr">
        <is>
          <t>reissue — retest</t>
        </is>
      </c>
      <c r="C3064" s="256" t="inlineStr">
        <is>
          <t>SJ092501</t>
        </is>
      </c>
      <c r="D3064" s="256" t="inlineStr">
        <is>
          <t>P060082</t>
        </is>
      </c>
      <c r="E3064" s="256" t="inlineStr">
        <is>
          <t>Sleepy Joe</t>
        </is>
      </c>
      <c r="F3064" s="256" t="inlineStr">
        <is>
          <t>18.09.2026</t>
        </is>
      </c>
      <c r="G3064" s="256" t="inlineStr">
        <is>
          <t>4</t>
        </is>
      </c>
      <c r="H3064" s="256" t="inlineStr">
        <is>
          <t>Assay — Total Δ⁹-THC</t>
        </is>
      </c>
      <c r="I3064" s="256" t="inlineStr">
        <is>
          <t>Ph. Eur. 2.2.29 (HPLC)</t>
        </is>
      </c>
      <c r="J3064" s="256" t="inlineStr">
        <is>
          <t>9.00 – 10.99 %  (grade II, nominal 10.00 ± 1.00)</t>
        </is>
      </c>
      <c r="K3064" s="256" t="inlineStr">
        <is>
          <t>10.39</t>
        </is>
      </c>
      <c r="L3064" s="256" t="inlineStr">
        <is>
          <t>220-27-К/26</t>
        </is>
      </c>
      <c r="M3064" s="256" t="inlineStr">
        <is>
          <t>26.08.2026</t>
        </is>
      </c>
      <c r="N3064" s="256" t="inlineStr">
        <is>
          <t>Farmahem</t>
        </is>
      </c>
      <c r="O3064" s="256" t="inlineStr">
        <is>
          <t>17.08.2026</t>
        </is>
      </c>
      <c r="P3064" s="256" t="inlineStr">
        <is>
          <t>covered</t>
        </is>
      </c>
      <c r="Q3064" s="256" t="inlineStr"/>
      <c r="R3064" s="256" t="inlineStr"/>
    </row>
    <row r="3065">
      <c r="A3065" s="256" t="inlineStr">
        <is>
          <t>CoQ-PP_26-134</t>
        </is>
      </c>
      <c r="B3065" s="256" t="inlineStr">
        <is>
          <t>reissue — retest</t>
        </is>
      </c>
      <c r="C3065" s="256" t="inlineStr">
        <is>
          <t>SJ092501</t>
        </is>
      </c>
      <c r="D3065" s="256" t="inlineStr">
        <is>
          <t>P060082</t>
        </is>
      </c>
      <c r="E3065" s="256" t="inlineStr">
        <is>
          <t>Sleepy Joe</t>
        </is>
      </c>
      <c r="F3065" s="256" t="inlineStr">
        <is>
          <t>18.09.2026</t>
        </is>
      </c>
      <c r="G3065" s="256" t="inlineStr">
        <is>
          <t>5</t>
        </is>
      </c>
      <c r="H3065" s="256" t="inlineStr">
        <is>
          <t>Assay — Total CBD</t>
        </is>
      </c>
      <c r="I3065" s="256" t="inlineStr">
        <is>
          <t>Ph. Eur. 2.2.29 (HPLC) · CBD + CBDA x 0.877</t>
        </is>
      </c>
      <c r="J3065" s="256" t="inlineStr">
        <is>
          <t>≤ 1.0%, w/w</t>
        </is>
      </c>
      <c r="K3065" s="256" t="inlineStr">
        <is>
          <t>&lt; LOQ</t>
        </is>
      </c>
      <c r="L3065" s="256" t="inlineStr">
        <is>
          <t>220-27-К/26</t>
        </is>
      </c>
      <c r="M3065" s="256" t="inlineStr">
        <is>
          <t>26.08.2026</t>
        </is>
      </c>
      <c r="N3065" s="256" t="inlineStr">
        <is>
          <t>Farmahem</t>
        </is>
      </c>
      <c r="O3065" s="256" t="inlineStr">
        <is>
          <t>17.08.2026</t>
        </is>
      </c>
      <c r="P3065" s="256" t="inlineStr">
        <is>
          <t>covered</t>
        </is>
      </c>
      <c r="Q3065" s="256" t="inlineStr"/>
      <c r="R3065" s="256" t="inlineStr"/>
    </row>
    <row r="3066">
      <c r="A3066" s="256" t="inlineStr">
        <is>
          <t>CoQ-PP_26-134</t>
        </is>
      </c>
      <c r="B3066" s="256" t="inlineStr">
        <is>
          <t>reissue — retest</t>
        </is>
      </c>
      <c r="C3066" s="256" t="inlineStr">
        <is>
          <t>SJ092501</t>
        </is>
      </c>
      <c r="D3066" s="256" t="inlineStr">
        <is>
          <t>P060082</t>
        </is>
      </c>
      <c r="E3066" s="256" t="inlineStr">
        <is>
          <t>Sleepy Joe</t>
        </is>
      </c>
      <c r="F3066" s="256" t="inlineStr">
        <is>
          <t>18.09.2026</t>
        </is>
      </c>
      <c r="G3066" s="256" t="inlineStr">
        <is>
          <t>6</t>
        </is>
      </c>
      <c r="H3066" s="256" t="inlineStr">
        <is>
          <t>Total CBN</t>
        </is>
      </c>
      <c r="I3066" s="256" t="inlineStr">
        <is>
          <t>Ph. Eur. 2.2.29 (HPLC) · CBN + CBNA x 0.876</t>
        </is>
      </c>
      <c r="J3066" s="256" t="inlineStr">
        <is>
          <t>≤ 1.0%, w/w</t>
        </is>
      </c>
      <c r="K3066" s="256" t="inlineStr">
        <is>
          <t>&lt; LOQ</t>
        </is>
      </c>
      <c r="L3066" s="256" t="inlineStr">
        <is>
          <t>220-27-К/26</t>
        </is>
      </c>
      <c r="M3066" s="256" t="inlineStr">
        <is>
          <t>26.08.2026</t>
        </is>
      </c>
      <c r="N3066" s="256" t="inlineStr">
        <is>
          <t>Farmahem</t>
        </is>
      </c>
      <c r="O3066" s="256" t="inlineStr">
        <is>
          <t>17.08.2026</t>
        </is>
      </c>
      <c r="P3066" s="256" t="inlineStr">
        <is>
          <t>covered</t>
        </is>
      </c>
      <c r="Q3066" s="256" t="inlineStr"/>
      <c r="R3066" s="256" t="inlineStr"/>
    </row>
    <row r="3067">
      <c r="A3067" s="256" t="inlineStr">
        <is>
          <t>CoQ-PP_26-134</t>
        </is>
      </c>
      <c r="B3067" s="256" t="inlineStr">
        <is>
          <t>reissue — retest</t>
        </is>
      </c>
      <c r="C3067" s="256" t="inlineStr">
        <is>
          <t>SJ092501</t>
        </is>
      </c>
      <c r="D3067" s="256" t="inlineStr">
        <is>
          <t>P060082</t>
        </is>
      </c>
      <c r="E3067" s="256" t="inlineStr">
        <is>
          <t>Sleepy Joe</t>
        </is>
      </c>
      <c r="F3067" s="256" t="inlineStr">
        <is>
          <t>18.09.2026</t>
        </is>
      </c>
      <c r="G3067" s="256" t="inlineStr">
        <is>
          <t>7</t>
        </is>
      </c>
      <c r="H3067" s="256" t="inlineStr">
        <is>
          <t>Foreign Matter</t>
        </is>
      </c>
      <c r="I3067" s="256" t="inlineStr">
        <is>
          <t>Ph. Eur. 2.8.2 · In-house · интерна</t>
        </is>
      </c>
      <c r="J3067" s="256" t="inlineStr">
        <is>
          <t>≤ 2.0% / 25–50 g · &lt; 1 cm leaves | листови, no seeds | без семки</t>
        </is>
      </c>
      <c r="K3067" s="256" t="inlineStr">
        <is>
          <t>Conforms | Одговара</t>
        </is>
      </c>
      <c r="L3067" s="256" t="inlineStr">
        <is>
          <t>iCoA-PP_26-153</t>
        </is>
      </c>
      <c r="M3067" s="256" t="inlineStr">
        <is>
          <t>17.08.2026</t>
        </is>
      </c>
      <c r="N3067" s="256" t="inlineStr">
        <is>
          <t>Purely Plant GmbH (in-house)</t>
        </is>
      </c>
      <c r="O3067" s="256" t="inlineStr">
        <is>
          <t>—</t>
        </is>
      </c>
      <c r="P3067" s="256" t="inlineStr">
        <is>
          <t>covered</t>
        </is>
      </c>
      <c r="Q3067" s="256" t="inlineStr">
        <is>
          <t>Purely Plant laboratory — iCoA covering Foreign matter</t>
        </is>
      </c>
      <c r="R3067" s="256" t="inlineStr"/>
    </row>
    <row r="3068">
      <c r="A3068" s="256" t="inlineStr">
        <is>
          <t>CoQ-PP_26-134</t>
        </is>
      </c>
      <c r="B3068" s="256" t="inlineStr">
        <is>
          <t>reissue — retest</t>
        </is>
      </c>
      <c r="C3068" s="256" t="inlineStr">
        <is>
          <t>SJ092501</t>
        </is>
      </c>
      <c r="D3068" s="256" t="inlineStr">
        <is>
          <t>P060082</t>
        </is>
      </c>
      <c r="E3068" s="256" t="inlineStr">
        <is>
          <t>Sleepy Joe</t>
        </is>
      </c>
      <c r="F3068" s="256" t="inlineStr">
        <is>
          <t>18.09.2026</t>
        </is>
      </c>
      <c r="G3068" s="256" t="inlineStr">
        <is>
          <t>8</t>
        </is>
      </c>
      <c r="H3068" s="256" t="inlineStr">
        <is>
          <t>Loss on Drying</t>
        </is>
      </c>
      <c r="I3068" s="256" t="inlineStr">
        <is>
          <t>DAB 2018 monograph Cannabis flos, 2.2.32 — loss on drying (CNP, before its Ph. Eur. 3028 accreditation)</t>
        </is>
      </c>
      <c r="J3068" s="256" t="inlineStr">
        <is>
          <t>≤ 12.0%</t>
        </is>
      </c>
      <c r="K3068" s="256" t="inlineStr">
        <is>
          <t>8.68</t>
        </is>
      </c>
      <c r="L3068" s="256" t="inlineStr">
        <is>
          <t>ППК26006</t>
        </is>
      </c>
      <c r="M3068" s="256" t="inlineStr">
        <is>
          <t>21.01.2026</t>
        </is>
      </c>
      <c r="N3068" s="256" t="inlineStr">
        <is>
          <t>UKIM Faculty of Pharmacy — Center for Natural Products</t>
        </is>
      </c>
      <c r="O3068" s="256" t="inlineStr">
        <is>
          <t>08.01.2026</t>
        </is>
      </c>
      <c r="P3068" s="256" t="inlineStr">
        <is>
          <t>carried from the initial testing (CoQ-PP-2026-0007) — covered</t>
        </is>
      </c>
      <c r="Q3068" s="256" t="inlineStr"/>
      <c r="R3068" s="256" t="inlineStr"/>
    </row>
    <row r="3069">
      <c r="A3069" s="256" t="inlineStr">
        <is>
          <t>CoQ-PP_26-134</t>
        </is>
      </c>
      <c r="B3069" s="256" t="inlineStr">
        <is>
          <t>reissue — retest</t>
        </is>
      </c>
      <c r="C3069" s="256" t="inlineStr">
        <is>
          <t>SJ092501</t>
        </is>
      </c>
      <c r="D3069" s="256" t="inlineStr">
        <is>
          <t>P060082</t>
        </is>
      </c>
      <c r="E3069" s="256" t="inlineStr">
        <is>
          <t>Sleepy Joe</t>
        </is>
      </c>
      <c r="F3069" s="256" t="inlineStr">
        <is>
          <t>18.09.2026</t>
        </is>
      </c>
      <c r="G3069" s="256" t="inlineStr">
        <is>
          <t>9.1</t>
        </is>
      </c>
      <c r="H3069" s="256" t="inlineStr">
        <is>
          <t>TAMC</t>
        </is>
      </c>
      <c r="I3069" s="256" t="inlineStr">
        <is>
          <t>Ph. Eur. 2.6.12 cat. C</t>
        </is>
      </c>
      <c r="J3069" s="256" t="inlineStr">
        <is>
          <t>≤ 10⁵ CFU/g</t>
        </is>
      </c>
      <c r="K3069" s="256" t="inlineStr">
        <is>
          <t>&lt; 10</t>
        </is>
      </c>
      <c r="L3069" s="256" t="inlineStr">
        <is>
          <t>9/0012/26</t>
        </is>
      </c>
      <c r="M3069" s="256" t="inlineStr">
        <is>
          <t>20.01.2026</t>
        </is>
      </c>
      <c r="N3069" s="256" t="inlineStr">
        <is>
          <t>IPH — Institute of Public Health</t>
        </is>
      </c>
      <c r="O3069" s="256" t="inlineStr">
        <is>
          <t>12.01.2025</t>
        </is>
      </c>
      <c r="P3069" s="256" t="inlineStr">
        <is>
          <t>carried from the initial testing (CoQ-PP-2026-0007) — covered</t>
        </is>
      </c>
      <c r="Q3069" s="256" t="inlineStr"/>
      <c r="R3069" s="256" t="inlineStr"/>
    </row>
    <row r="3070">
      <c r="A3070" s="256" t="inlineStr">
        <is>
          <t>CoQ-PP_26-134</t>
        </is>
      </c>
      <c r="B3070" s="256" t="inlineStr">
        <is>
          <t>reissue — retest</t>
        </is>
      </c>
      <c r="C3070" s="256" t="inlineStr">
        <is>
          <t>SJ092501</t>
        </is>
      </c>
      <c r="D3070" s="256" t="inlineStr">
        <is>
          <t>P060082</t>
        </is>
      </c>
      <c r="E3070" s="256" t="inlineStr">
        <is>
          <t>Sleepy Joe</t>
        </is>
      </c>
      <c r="F3070" s="256" t="inlineStr">
        <is>
          <t>18.09.2026</t>
        </is>
      </c>
      <c r="G3070" s="256" t="inlineStr">
        <is>
          <t>9.2</t>
        </is>
      </c>
      <c r="H3070" s="256" t="inlineStr">
        <is>
          <t>TYMC</t>
        </is>
      </c>
      <c r="I3070" s="256" t="inlineStr">
        <is>
          <t>Ph. Eur. 2.6.12 cat. C</t>
        </is>
      </c>
      <c r="J3070" s="256" t="inlineStr">
        <is>
          <t>≤ 10⁴ CFU/g</t>
        </is>
      </c>
      <c r="K3070" s="256" t="inlineStr">
        <is>
          <t>&lt; 10</t>
        </is>
      </c>
      <c r="L3070" s="256" t="inlineStr">
        <is>
          <t>9/0012/26</t>
        </is>
      </c>
      <c r="M3070" s="256" t="inlineStr">
        <is>
          <t>20.01.2026</t>
        </is>
      </c>
      <c r="N3070" s="256" t="inlineStr">
        <is>
          <t>IPH — Institute of Public Health</t>
        </is>
      </c>
      <c r="O3070" s="256" t="inlineStr">
        <is>
          <t>12.01.2025</t>
        </is>
      </c>
      <c r="P3070" s="256" t="inlineStr">
        <is>
          <t>carried from the initial testing (CoQ-PP-2026-0007) — covered</t>
        </is>
      </c>
      <c r="Q3070" s="256" t="inlineStr"/>
      <c r="R3070" s="256" t="inlineStr"/>
    </row>
    <row r="3071">
      <c r="A3071" s="256" t="inlineStr">
        <is>
          <t>CoQ-PP_26-134</t>
        </is>
      </c>
      <c r="B3071" s="256" t="inlineStr">
        <is>
          <t>reissue — retest</t>
        </is>
      </c>
      <c r="C3071" s="256" t="inlineStr">
        <is>
          <t>SJ092501</t>
        </is>
      </c>
      <c r="D3071" s="256" t="inlineStr">
        <is>
          <t>P060082</t>
        </is>
      </c>
      <c r="E3071" s="256" t="inlineStr">
        <is>
          <t>Sleepy Joe</t>
        </is>
      </c>
      <c r="F3071" s="256" t="inlineStr">
        <is>
          <t>18.09.2026</t>
        </is>
      </c>
      <c r="G3071" s="256" t="inlineStr">
        <is>
          <t>9.3</t>
        </is>
      </c>
      <c r="H3071" s="256" t="inlineStr">
        <is>
          <t>Bile-tolerant gram-neg.</t>
        </is>
      </c>
      <c r="I3071" s="256" t="inlineStr">
        <is>
          <t>Ph. Eur. 2.6.31 cat. C</t>
        </is>
      </c>
      <c r="J3071" s="256" t="inlineStr">
        <is>
          <t>≤ 10⁴ CFU/g</t>
        </is>
      </c>
      <c r="K3071" s="256" t="inlineStr">
        <is>
          <t>&lt; 10</t>
        </is>
      </c>
      <c r="L3071" s="256" t="inlineStr">
        <is>
          <t>9/0012/26</t>
        </is>
      </c>
      <c r="M3071" s="256" t="inlineStr">
        <is>
          <t>20.01.2026</t>
        </is>
      </c>
      <c r="N3071" s="256" t="inlineStr">
        <is>
          <t>IPH — Institute of Public Health</t>
        </is>
      </c>
      <c r="O3071" s="256" t="inlineStr">
        <is>
          <t>12.01.2025</t>
        </is>
      </c>
      <c r="P3071" s="256" t="inlineStr">
        <is>
          <t>carried from the initial testing (CoQ-PP-2026-0007) — covered</t>
        </is>
      </c>
      <c r="Q3071" s="256" t="inlineStr"/>
      <c r="R3071" s="256" t="inlineStr"/>
    </row>
    <row r="3072">
      <c r="A3072" s="256" t="inlineStr">
        <is>
          <t>CoQ-PP_26-134</t>
        </is>
      </c>
      <c r="B3072" s="256" t="inlineStr">
        <is>
          <t>reissue — retest</t>
        </is>
      </c>
      <c r="C3072" s="256" t="inlineStr">
        <is>
          <t>SJ092501</t>
        </is>
      </c>
      <c r="D3072" s="256" t="inlineStr">
        <is>
          <t>P060082</t>
        </is>
      </c>
      <c r="E3072" s="256" t="inlineStr">
        <is>
          <t>Sleepy Joe</t>
        </is>
      </c>
      <c r="F3072" s="256" t="inlineStr">
        <is>
          <t>18.09.2026</t>
        </is>
      </c>
      <c r="G3072" s="256" t="inlineStr">
        <is>
          <t>9.4</t>
        </is>
      </c>
      <c r="H3072" s="256" t="inlineStr">
        <is>
          <t>Salmonella</t>
        </is>
      </c>
      <c r="I3072" s="256" t="inlineStr">
        <is>
          <t>Ph. Eur. 2.6.31 cat. C</t>
        </is>
      </c>
      <c r="J3072" s="256" t="inlineStr">
        <is>
          <t>Absence | Отсуство / 25 g</t>
        </is>
      </c>
      <c r="K3072" s="256" t="inlineStr">
        <is>
          <t>Absent | Отсутна</t>
        </is>
      </c>
      <c r="L3072" s="256" t="inlineStr">
        <is>
          <t>9/0012/26</t>
        </is>
      </c>
      <c r="M3072" s="256" t="inlineStr">
        <is>
          <t>20.01.2026</t>
        </is>
      </c>
      <c r="N3072" s="256" t="inlineStr">
        <is>
          <t>IPH — Institute of Public Health</t>
        </is>
      </c>
      <c r="O3072" s="256" t="inlineStr">
        <is>
          <t>12.01.2025</t>
        </is>
      </c>
      <c r="P3072" s="256" t="inlineStr">
        <is>
          <t>carried from the initial testing (CoQ-PP-2026-0007) — covered</t>
        </is>
      </c>
      <c r="Q3072" s="256" t="inlineStr"/>
      <c r="R3072" s="256" t="inlineStr"/>
    </row>
    <row r="3073">
      <c r="A3073" s="256" t="inlineStr">
        <is>
          <t>CoQ-PP_26-134</t>
        </is>
      </c>
      <c r="B3073" s="256" t="inlineStr">
        <is>
          <t>reissue — retest</t>
        </is>
      </c>
      <c r="C3073" s="256" t="inlineStr">
        <is>
          <t>SJ092501</t>
        </is>
      </c>
      <c r="D3073" s="256" t="inlineStr">
        <is>
          <t>P060082</t>
        </is>
      </c>
      <c r="E3073" s="256" t="inlineStr">
        <is>
          <t>Sleepy Joe</t>
        </is>
      </c>
      <c r="F3073" s="256" t="inlineStr">
        <is>
          <t>18.09.2026</t>
        </is>
      </c>
      <c r="G3073" s="256" t="inlineStr">
        <is>
          <t>9.5</t>
        </is>
      </c>
      <c r="H3073" s="256" t="inlineStr">
        <is>
          <t>Escherichia coli</t>
        </is>
      </c>
      <c r="I3073" s="256" t="inlineStr">
        <is>
          <t>Ph. Eur. 2.6.13 cat. C</t>
        </is>
      </c>
      <c r="J3073" s="256" t="inlineStr">
        <is>
          <t>Absence | Отсуство / 1 g</t>
        </is>
      </c>
      <c r="K3073" s="256" t="inlineStr">
        <is>
          <t>Absent | Отсутна</t>
        </is>
      </c>
      <c r="L3073" s="256" t="inlineStr">
        <is>
          <t>9/0012/26</t>
        </is>
      </c>
      <c r="M3073" s="256" t="inlineStr">
        <is>
          <t>20.01.2026</t>
        </is>
      </c>
      <c r="N3073" s="256" t="inlineStr">
        <is>
          <t>IPH — Institute of Public Health</t>
        </is>
      </c>
      <c r="O3073" s="256" t="inlineStr">
        <is>
          <t>12.01.2025</t>
        </is>
      </c>
      <c r="P3073" s="256" t="inlineStr">
        <is>
          <t>carried from the initial testing (CoQ-PP-2026-0007) — covered</t>
        </is>
      </c>
      <c r="Q3073" s="256" t="inlineStr"/>
      <c r="R3073" s="256" t="inlineStr"/>
    </row>
    <row r="3074">
      <c r="A3074" s="256" t="inlineStr">
        <is>
          <t>CoQ-PP_26-134</t>
        </is>
      </c>
      <c r="B3074" s="256" t="inlineStr">
        <is>
          <t>reissue — retest</t>
        </is>
      </c>
      <c r="C3074" s="256" t="inlineStr">
        <is>
          <t>SJ092501</t>
        </is>
      </c>
      <c r="D3074" s="256" t="inlineStr">
        <is>
          <t>P060082</t>
        </is>
      </c>
      <c r="E3074" s="256" t="inlineStr">
        <is>
          <t>Sleepy Joe</t>
        </is>
      </c>
      <c r="F3074" s="256" t="inlineStr">
        <is>
          <t>18.09.2026</t>
        </is>
      </c>
      <c r="G3074" s="256" t="inlineStr">
        <is>
          <t>9.6</t>
        </is>
      </c>
      <c r="H3074" s="256" t="inlineStr">
        <is>
          <t>Pseudomonas aeruginosa</t>
        </is>
      </c>
      <c r="I3074" s="256" t="inlineStr">
        <is>
          <t>Ph. Eur. 2.6.13 cat. C</t>
        </is>
      </c>
      <c r="J3074" s="256" t="inlineStr">
        <is>
          <t>Absence | Отсуство / 1 g</t>
        </is>
      </c>
      <c r="K3074" s="260" t="inlineStr">
        <is>
          <t>upon request — not required for release</t>
        </is>
      </c>
      <c r="L3074" s="256" t="inlineStr">
        <is>
          <t>—</t>
        </is>
      </c>
      <c r="M3074" s="256" t="inlineStr">
        <is>
          <t>—</t>
        </is>
      </c>
      <c r="N3074" s="256" t="inlineStr">
        <is>
          <t>—</t>
        </is>
      </c>
      <c r="O3074" s="256" t="inlineStr">
        <is>
          <t>—</t>
        </is>
      </c>
      <c r="P3074" s="256" t="inlineStr">
        <is>
          <t>upon request — not required for release</t>
        </is>
      </c>
      <c r="Q3074" s="256" t="inlineStr"/>
      <c r="R3074" s="256" t="inlineStr"/>
    </row>
    <row r="3075">
      <c r="A3075" s="256" t="inlineStr">
        <is>
          <t>CoQ-PP_26-134</t>
        </is>
      </c>
      <c r="B3075" s="256" t="inlineStr">
        <is>
          <t>reissue — retest</t>
        </is>
      </c>
      <c r="C3075" s="256" t="inlineStr">
        <is>
          <t>SJ092501</t>
        </is>
      </c>
      <c r="D3075" s="256" t="inlineStr">
        <is>
          <t>P060082</t>
        </is>
      </c>
      <c r="E3075" s="256" t="inlineStr">
        <is>
          <t>Sleepy Joe</t>
        </is>
      </c>
      <c r="F3075" s="256" t="inlineStr">
        <is>
          <t>18.09.2026</t>
        </is>
      </c>
      <c r="G3075" s="256" t="inlineStr">
        <is>
          <t>9.7</t>
        </is>
      </c>
      <c r="H3075" s="256" t="inlineStr">
        <is>
          <t>Staphylococcus aureus</t>
        </is>
      </c>
      <c r="I3075" s="256" t="inlineStr">
        <is>
          <t>Ph. Eur. 2.6.13 cat. C</t>
        </is>
      </c>
      <c r="J3075" s="256" t="inlineStr">
        <is>
          <t>Absence | Отсуство / 1 g</t>
        </is>
      </c>
      <c r="K3075" s="260" t="inlineStr">
        <is>
          <t>upon request — not required for release</t>
        </is>
      </c>
      <c r="L3075" s="256" t="inlineStr">
        <is>
          <t>—</t>
        </is>
      </c>
      <c r="M3075" s="256" t="inlineStr">
        <is>
          <t>—</t>
        </is>
      </c>
      <c r="N3075" s="256" t="inlineStr">
        <is>
          <t>—</t>
        </is>
      </c>
      <c r="O3075" s="256" t="inlineStr">
        <is>
          <t>—</t>
        </is>
      </c>
      <c r="P3075" s="256" t="inlineStr">
        <is>
          <t>upon request — not required for release</t>
        </is>
      </c>
      <c r="Q3075" s="256" t="inlineStr"/>
      <c r="R3075" s="256" t="inlineStr"/>
    </row>
    <row r="3076">
      <c r="A3076" s="256" t="inlineStr">
        <is>
          <t>CoQ-PP_26-134</t>
        </is>
      </c>
      <c r="B3076" s="256" t="inlineStr">
        <is>
          <t>reissue — retest</t>
        </is>
      </c>
      <c r="C3076" s="256" t="inlineStr">
        <is>
          <t>SJ092501</t>
        </is>
      </c>
      <c r="D3076" s="256" t="inlineStr">
        <is>
          <t>P060082</t>
        </is>
      </c>
      <c r="E3076" s="256" t="inlineStr">
        <is>
          <t>Sleepy Joe</t>
        </is>
      </c>
      <c r="F3076" s="256" t="inlineStr">
        <is>
          <t>18.09.2026</t>
        </is>
      </c>
      <c r="G3076" s="256" t="inlineStr">
        <is>
          <t>10.1</t>
        </is>
      </c>
      <c r="H3076" s="256" t="inlineStr">
        <is>
          <t>Aflatoxin B₁</t>
        </is>
      </c>
      <c r="I3076" s="256" t="inlineStr">
        <is>
          <t>Ph. Eur. 2.8.18 (HPLC-FLD)</t>
        </is>
      </c>
      <c r="J3076" s="256" t="inlineStr">
        <is>
          <t>≤ 2 µg/kg</t>
        </is>
      </c>
      <c r="K3076" s="256" t="inlineStr">
        <is>
          <t>ND</t>
        </is>
      </c>
      <c r="L3076" s="256" t="inlineStr">
        <is>
          <t>220-27-М/26</t>
        </is>
      </c>
      <c r="M3076" s="256" t="inlineStr">
        <is>
          <t>11.09.2026</t>
        </is>
      </c>
      <c r="N3076" s="256" t="inlineStr">
        <is>
          <t>Farmahem</t>
        </is>
      </c>
      <c r="O3076" s="256" t="inlineStr">
        <is>
          <t>17.08.2026</t>
        </is>
      </c>
      <c r="P3076" s="256" t="inlineStr">
        <is>
          <t>covered</t>
        </is>
      </c>
      <c r="Q3076" s="256" t="inlineStr"/>
      <c r="R3076" s="256" t="inlineStr"/>
    </row>
    <row r="3077">
      <c r="A3077" s="256" t="inlineStr">
        <is>
          <t>CoQ-PP_26-134</t>
        </is>
      </c>
      <c r="B3077" s="256" t="inlineStr">
        <is>
          <t>reissue — retest</t>
        </is>
      </c>
      <c r="C3077" s="256" t="inlineStr">
        <is>
          <t>SJ092501</t>
        </is>
      </c>
      <c r="D3077" s="256" t="inlineStr">
        <is>
          <t>P060082</t>
        </is>
      </c>
      <c r="E3077" s="256" t="inlineStr">
        <is>
          <t>Sleepy Joe</t>
        </is>
      </c>
      <c r="F3077" s="256" t="inlineStr">
        <is>
          <t>18.09.2026</t>
        </is>
      </c>
      <c r="G3077" s="256" t="inlineStr">
        <is>
          <t>10.2</t>
        </is>
      </c>
      <c r="H3077" s="256" t="inlineStr">
        <is>
          <t>Aflatoxins ∑</t>
        </is>
      </c>
      <c r="I3077" s="256" t="inlineStr">
        <is>
          <t>Ph. Eur. 2.8.18 (HPLC-FLD)</t>
        </is>
      </c>
      <c r="J3077" s="256" t="inlineStr">
        <is>
          <t>≤ 4 µg/kg</t>
        </is>
      </c>
      <c r="K3077" s="256" t="inlineStr">
        <is>
          <t>ND</t>
        </is>
      </c>
      <c r="L3077" s="256" t="inlineStr">
        <is>
          <t>220-27-М/26</t>
        </is>
      </c>
      <c r="M3077" s="256" t="inlineStr">
        <is>
          <t>11.09.2026</t>
        </is>
      </c>
      <c r="N3077" s="256" t="inlineStr">
        <is>
          <t>Farmahem</t>
        </is>
      </c>
      <c r="O3077" s="256" t="inlineStr">
        <is>
          <t>17.08.2026</t>
        </is>
      </c>
      <c r="P3077" s="256" t="inlineStr">
        <is>
          <t>covered</t>
        </is>
      </c>
      <c r="Q3077" s="256" t="inlineStr"/>
      <c r="R3077" s="256" t="inlineStr"/>
    </row>
    <row r="3078">
      <c r="A3078" s="256" t="inlineStr">
        <is>
          <t>CoQ-PP_26-134</t>
        </is>
      </c>
      <c r="B3078" s="256" t="inlineStr">
        <is>
          <t>reissue — retest</t>
        </is>
      </c>
      <c r="C3078" s="256" t="inlineStr">
        <is>
          <t>SJ092501</t>
        </is>
      </c>
      <c r="D3078" s="256" t="inlineStr">
        <is>
          <t>P060082</t>
        </is>
      </c>
      <c r="E3078" s="256" t="inlineStr">
        <is>
          <t>Sleepy Joe</t>
        </is>
      </c>
      <c r="F3078" s="256" t="inlineStr">
        <is>
          <t>18.09.2026</t>
        </is>
      </c>
      <c r="G3078" s="256" t="inlineStr">
        <is>
          <t>10.3</t>
        </is>
      </c>
      <c r="H3078" s="256" t="inlineStr">
        <is>
          <t>Ochratoxin A</t>
        </is>
      </c>
      <c r="I3078" s="256" t="inlineStr">
        <is>
          <t>Ph. Eur. 2.8.22 (HPLC-FLD)</t>
        </is>
      </c>
      <c r="J3078" s="256" t="inlineStr">
        <is>
          <t>≤ 20 µg/kg</t>
        </is>
      </c>
      <c r="K3078" s="256" t="inlineStr">
        <is>
          <t>ND</t>
        </is>
      </c>
      <c r="L3078" s="256" t="inlineStr">
        <is>
          <t>220-27-М/26</t>
        </is>
      </c>
      <c r="M3078" s="256" t="inlineStr">
        <is>
          <t>11.09.2026</t>
        </is>
      </c>
      <c r="N3078" s="256" t="inlineStr">
        <is>
          <t>Farmahem</t>
        </is>
      </c>
      <c r="O3078" s="256" t="inlineStr">
        <is>
          <t>17.08.2026</t>
        </is>
      </c>
      <c r="P3078" s="256" t="inlineStr">
        <is>
          <t>covered</t>
        </is>
      </c>
      <c r="Q3078" s="256" t="inlineStr"/>
      <c r="R3078" s="256" t="inlineStr"/>
    </row>
    <row r="3079">
      <c r="A3079" s="256" t="inlineStr">
        <is>
          <t>CoQ-PP_26-134</t>
        </is>
      </c>
      <c r="B3079" s="256" t="inlineStr">
        <is>
          <t>reissue — retest</t>
        </is>
      </c>
      <c r="C3079" s="256" t="inlineStr">
        <is>
          <t>SJ092501</t>
        </is>
      </c>
      <c r="D3079" s="256" t="inlineStr">
        <is>
          <t>P060082</t>
        </is>
      </c>
      <c r="E3079" s="256" t="inlineStr">
        <is>
          <t>Sleepy Joe</t>
        </is>
      </c>
      <c r="F3079" s="256" t="inlineStr">
        <is>
          <t>18.09.2026</t>
        </is>
      </c>
      <c r="G3079" s="256" t="inlineStr">
        <is>
          <t>11.1</t>
        </is>
      </c>
      <c r="H3079" s="256" t="inlineStr">
        <is>
          <t>Lead (Pb)</t>
        </is>
      </c>
      <c r="I3079" s="256" t="inlineStr">
        <is>
          <t>Ph. Eur. 2.4.27 (ICP-MS)</t>
        </is>
      </c>
      <c r="J3079" s="256" t="inlineStr">
        <is>
          <t>≤ 0.5 mg/kg</t>
        </is>
      </c>
      <c r="K3079" s="256" t="inlineStr">
        <is>
          <t>0.08</t>
        </is>
      </c>
      <c r="L3079" s="256" t="inlineStr">
        <is>
          <t>85/2026</t>
        </is>
      </c>
      <c r="M3079" s="256" t="inlineStr">
        <is>
          <t>02.02.2026</t>
        </is>
      </c>
      <c r="N3079" s="256" t="inlineStr">
        <is>
          <t>IPH — Institute of Public Health</t>
        </is>
      </c>
      <c r="O3079" s="256" t="inlineStr">
        <is>
          <t>08.01.2026</t>
        </is>
      </c>
      <c r="P3079" s="256" t="inlineStr">
        <is>
          <t>carried from the initial testing (CoQ-PP-2026-0007) — covered</t>
        </is>
      </c>
      <c r="Q3079" s="256" t="inlineStr"/>
      <c r="R3079" s="256" t="inlineStr"/>
    </row>
    <row r="3080">
      <c r="A3080" s="256" t="inlineStr">
        <is>
          <t>CoQ-PP_26-134</t>
        </is>
      </c>
      <c r="B3080" s="256" t="inlineStr">
        <is>
          <t>reissue — retest</t>
        </is>
      </c>
      <c r="C3080" s="256" t="inlineStr">
        <is>
          <t>SJ092501</t>
        </is>
      </c>
      <c r="D3080" s="256" t="inlineStr">
        <is>
          <t>P060082</t>
        </is>
      </c>
      <c r="E3080" s="256" t="inlineStr">
        <is>
          <t>Sleepy Joe</t>
        </is>
      </c>
      <c r="F3080" s="256" t="inlineStr">
        <is>
          <t>18.09.2026</t>
        </is>
      </c>
      <c r="G3080" s="256" t="inlineStr">
        <is>
          <t>11.2</t>
        </is>
      </c>
      <c r="H3080" s="256" t="inlineStr">
        <is>
          <t>Cadmium (Cd)</t>
        </is>
      </c>
      <c r="I3080" s="256" t="inlineStr">
        <is>
          <t>Ph. Eur. 2.4.27 (ICP-MS)</t>
        </is>
      </c>
      <c r="J3080" s="256" t="inlineStr">
        <is>
          <t>≤ 0.3 mg/kg</t>
        </is>
      </c>
      <c r="K3080" s="256" t="inlineStr">
        <is>
          <t>ND</t>
        </is>
      </c>
      <c r="L3080" s="256" t="inlineStr">
        <is>
          <t>85/2026</t>
        </is>
      </c>
      <c r="M3080" s="256" t="inlineStr">
        <is>
          <t>02.02.2026</t>
        </is>
      </c>
      <c r="N3080" s="256" t="inlineStr">
        <is>
          <t>IPH — Institute of Public Health</t>
        </is>
      </c>
      <c r="O3080" s="256" t="inlineStr">
        <is>
          <t>08.01.2026</t>
        </is>
      </c>
      <c r="P3080" s="256" t="inlineStr">
        <is>
          <t>carried from the initial testing (CoQ-PP-2026-0007) — covered</t>
        </is>
      </c>
      <c r="Q3080" s="256" t="inlineStr"/>
      <c r="R3080" s="256" t="inlineStr"/>
    </row>
    <row r="3081">
      <c r="A3081" s="256" t="inlineStr">
        <is>
          <t>CoQ-PP_26-134</t>
        </is>
      </c>
      <c r="B3081" s="256" t="inlineStr">
        <is>
          <t>reissue — retest</t>
        </is>
      </c>
      <c r="C3081" s="256" t="inlineStr">
        <is>
          <t>SJ092501</t>
        </is>
      </c>
      <c r="D3081" s="256" t="inlineStr">
        <is>
          <t>P060082</t>
        </is>
      </c>
      <c r="E3081" s="256" t="inlineStr">
        <is>
          <t>Sleepy Joe</t>
        </is>
      </c>
      <c r="F3081" s="256" t="inlineStr">
        <is>
          <t>18.09.2026</t>
        </is>
      </c>
      <c r="G3081" s="256" t="inlineStr">
        <is>
          <t>11.3</t>
        </is>
      </c>
      <c r="H3081" s="256" t="inlineStr">
        <is>
          <t>Arsenic (As)</t>
        </is>
      </c>
      <c r="I3081" s="256" t="inlineStr">
        <is>
          <t>Ph. Eur. 2.4.27 (ICP-MS)</t>
        </is>
      </c>
      <c r="J3081" s="256" t="inlineStr">
        <is>
          <t>≤ 0.2 mg/kg</t>
        </is>
      </c>
      <c r="K3081" s="256" t="inlineStr">
        <is>
          <t>ND</t>
        </is>
      </c>
      <c r="L3081" s="256" t="inlineStr">
        <is>
          <t>85/2026</t>
        </is>
      </c>
      <c r="M3081" s="256" t="inlineStr">
        <is>
          <t>02.02.2026</t>
        </is>
      </c>
      <c r="N3081" s="256" t="inlineStr">
        <is>
          <t>IPH — Institute of Public Health</t>
        </is>
      </c>
      <c r="O3081" s="256" t="inlineStr">
        <is>
          <t>08.01.2026</t>
        </is>
      </c>
      <c r="P3081" s="256" t="inlineStr">
        <is>
          <t>carried from the initial testing (CoQ-PP-2026-0007) — covered</t>
        </is>
      </c>
      <c r="Q3081" s="256" t="inlineStr"/>
      <c r="R3081" s="256" t="inlineStr"/>
    </row>
    <row r="3082">
      <c r="A3082" s="256" t="inlineStr">
        <is>
          <t>CoQ-PP_26-134</t>
        </is>
      </c>
      <c r="B3082" s="256" t="inlineStr">
        <is>
          <t>reissue — retest</t>
        </is>
      </c>
      <c r="C3082" s="256" t="inlineStr">
        <is>
          <t>SJ092501</t>
        </is>
      </c>
      <c r="D3082" s="256" t="inlineStr">
        <is>
          <t>P060082</t>
        </is>
      </c>
      <c r="E3082" s="256" t="inlineStr">
        <is>
          <t>Sleepy Joe</t>
        </is>
      </c>
      <c r="F3082" s="256" t="inlineStr">
        <is>
          <t>18.09.2026</t>
        </is>
      </c>
      <c r="G3082" s="256" t="inlineStr">
        <is>
          <t>11.4</t>
        </is>
      </c>
      <c r="H3082" s="256" t="inlineStr">
        <is>
          <t>Mercury (Hg)</t>
        </is>
      </c>
      <c r="I3082" s="256" t="inlineStr">
        <is>
          <t>Ph. Eur. 2.4.27 (ICP-MS)</t>
        </is>
      </c>
      <c r="J3082" s="256" t="inlineStr">
        <is>
          <t>≤ 0.1 mg/kg</t>
        </is>
      </c>
      <c r="K3082" s="256" t="inlineStr">
        <is>
          <t>0.003</t>
        </is>
      </c>
      <c r="L3082" s="256" t="inlineStr">
        <is>
          <t>85/2026</t>
        </is>
      </c>
      <c r="M3082" s="256" t="inlineStr">
        <is>
          <t>02.02.2026</t>
        </is>
      </c>
      <c r="N3082" s="256" t="inlineStr">
        <is>
          <t>IPH — Institute of Public Health</t>
        </is>
      </c>
      <c r="O3082" s="256" t="inlineStr">
        <is>
          <t>08.01.2026</t>
        </is>
      </c>
      <c r="P3082" s="256" t="inlineStr">
        <is>
          <t>carried from the initial testing (CoQ-PP-2026-0007) — covered</t>
        </is>
      </c>
      <c r="Q3082" s="256" t="inlineStr"/>
      <c r="R3082" s="256" t="inlineStr"/>
    </row>
    <row r="3083">
      <c r="A3083" s="256" t="inlineStr">
        <is>
          <t>CoQ-PP_26-134</t>
        </is>
      </c>
      <c r="B3083" s="256" t="inlineStr">
        <is>
          <t>reissue — retest</t>
        </is>
      </c>
      <c r="C3083" s="256" t="inlineStr">
        <is>
          <t>SJ092501</t>
        </is>
      </c>
      <c r="D3083" s="256" t="inlineStr">
        <is>
          <t>P060082</t>
        </is>
      </c>
      <c r="E3083" s="256" t="inlineStr">
        <is>
          <t>Sleepy Joe</t>
        </is>
      </c>
      <c r="F3083" s="256" t="inlineStr">
        <is>
          <t>18.09.2026</t>
        </is>
      </c>
      <c r="G3083" s="256" t="inlineStr">
        <is>
          <t>12</t>
        </is>
      </c>
      <c r="H3083" s="256" t="inlineStr">
        <is>
          <t>Pesticide Residues</t>
        </is>
      </c>
      <c r="I3083" s="256" t="inlineStr">
        <is>
          <t>Ph. Eur. 2.8.13 (LC-MS/MS) · CUMCS Equivalency</t>
        </is>
      </c>
      <c r="J3083" s="256" t="inlineStr">
        <is>
          <t>≤ LOQ as per Ph. Eur. 2.8.13 · ≤ LOQ as per CUMCS Equivalency</t>
        </is>
      </c>
      <c r="K3083" s="256" t="inlineStr">
        <is>
          <t>ND</t>
        </is>
      </c>
      <c r="L3083" s="256" t="inlineStr">
        <is>
          <t>85/2026</t>
        </is>
      </c>
      <c r="M3083" s="256" t="inlineStr">
        <is>
          <t>02.02.2026</t>
        </is>
      </c>
      <c r="N3083" s="256" t="inlineStr">
        <is>
          <t>IPH — Institute of Public Health</t>
        </is>
      </c>
      <c r="O3083" s="256" t="inlineStr">
        <is>
          <t>08.01.2026</t>
        </is>
      </c>
      <c r="P3083" s="256" t="inlineStr">
        <is>
          <t>carried from the initial testing (CoQ-PP-2026-0007) — covered</t>
        </is>
      </c>
      <c r="Q3083" s="256" t="inlineStr"/>
      <c r="R3083" s="256" t="inlineStr"/>
    </row>
    <row r="3084">
      <c r="A3084" s="256" t="inlineStr">
        <is>
          <t>CoQ-PP_26-135</t>
        </is>
      </c>
      <c r="B3084" s="256" t="inlineStr">
        <is>
          <t>reissue — retest</t>
        </is>
      </c>
      <c r="C3084" s="256" t="inlineStr">
        <is>
          <t>WC082501</t>
        </is>
      </c>
      <c r="D3084" s="256" t="inlineStr">
        <is>
          <t>P060012</t>
        </is>
      </c>
      <c r="E3084" s="256" t="inlineStr">
        <is>
          <t>Wedding Crusher</t>
        </is>
      </c>
      <c r="F3084" s="256" t="inlineStr">
        <is>
          <t>18.09.2026</t>
        </is>
      </c>
      <c r="G3084" s="256" t="inlineStr">
        <is>
          <t>1</t>
        </is>
      </c>
      <c r="H3084" s="256" t="inlineStr">
        <is>
          <t>Identification A, Appearance · Macroscopic</t>
        </is>
      </c>
      <c r="I3084" s="256" t="inlineStr">
        <is>
          <t>Ph. Eur. mon. 3028</t>
        </is>
      </c>
      <c r="J3084" s="256" t="inlineStr">
        <is>
          <t>Conforms to the monograph for Cannabis flos (07/2024:3028) in Ph. Eur. 11.0 | Согласно монографија за Cannabis flos (07/2024:3028) во Ph. Eur. 11.0</t>
        </is>
      </c>
      <c r="K3084" s="256" t="inlineStr">
        <is>
          <t>Conforms | Одговара</t>
        </is>
      </c>
      <c r="L3084" s="256" t="inlineStr">
        <is>
          <t>iCoA-PP_26-154</t>
        </is>
      </c>
      <c r="M3084" s="256" t="inlineStr">
        <is>
          <t>17.08.2026</t>
        </is>
      </c>
      <c r="N3084" s="256" t="inlineStr">
        <is>
          <t>Purely Plant GmbH (in-house)</t>
        </is>
      </c>
      <c r="O3084" s="256" t="inlineStr">
        <is>
          <t>—</t>
        </is>
      </c>
      <c r="P3084" s="256" t="inlineStr">
        <is>
          <t>covered</t>
        </is>
      </c>
      <c r="Q3084" s="256" t="inlineStr">
        <is>
          <t>Farmahem — Ident A + B + C with the Assay, at retest</t>
        </is>
      </c>
      <c r="R3084" s="256" t="inlineStr"/>
    </row>
    <row r="3085">
      <c r="A3085" s="256" t="inlineStr">
        <is>
          <t>CoQ-PP_26-135</t>
        </is>
      </c>
      <c r="B3085" s="256" t="inlineStr">
        <is>
          <t>reissue — retest</t>
        </is>
      </c>
      <c r="C3085" s="256" t="inlineStr">
        <is>
          <t>WC082501</t>
        </is>
      </c>
      <c r="D3085" s="256" t="inlineStr">
        <is>
          <t>P060012</t>
        </is>
      </c>
      <c r="E3085" s="256" t="inlineStr">
        <is>
          <t>Wedding Crusher</t>
        </is>
      </c>
      <c r="F3085" s="256" t="inlineStr">
        <is>
          <t>18.09.2026</t>
        </is>
      </c>
      <c r="G3085" s="256" t="inlineStr">
        <is>
          <t>2</t>
        </is>
      </c>
      <c r="H3085" s="256" t="inlineStr">
        <is>
          <t>Identification B · Microscopic</t>
        </is>
      </c>
      <c r="I3085" s="256" t="inlineStr">
        <is>
          <t>Ph. Eur. 2.8.23 (microscopy)</t>
        </is>
      </c>
      <c r="J3085" s="256" t="inlineStr">
        <is>
          <t>Conforms to the monograph for Cannabis flos (07/2024:3028) in Ph. Eur. 11.0 | Согласно монографија за Cannabis flos (07/2024:3028) во Ph. Eur. 11.0</t>
        </is>
      </c>
      <c r="K3085" s="256" t="inlineStr">
        <is>
          <t>Conforms | Одговара</t>
        </is>
      </c>
      <c r="L3085" s="256" t="inlineStr">
        <is>
          <t>iCoA-PP_26-154</t>
        </is>
      </c>
      <c r="M3085" s="256" t="inlineStr">
        <is>
          <t>17.08.2026</t>
        </is>
      </c>
      <c r="N3085" s="256" t="inlineStr">
        <is>
          <t>Purely Plant GmbH (in-house)</t>
        </is>
      </c>
      <c r="O3085" s="256" t="inlineStr">
        <is>
          <t>—</t>
        </is>
      </c>
      <c r="P3085" s="256" t="inlineStr">
        <is>
          <t>covered</t>
        </is>
      </c>
      <c r="Q3085" s="256" t="inlineStr">
        <is>
          <t>Farmahem — Ident A + B + C with the Assay, at retest</t>
        </is>
      </c>
      <c r="R3085" s="256" t="inlineStr"/>
    </row>
    <row r="3086">
      <c r="A3086" s="256" t="inlineStr">
        <is>
          <t>CoQ-PP_26-135</t>
        </is>
      </c>
      <c r="B3086" s="256" t="inlineStr">
        <is>
          <t>reissue — retest</t>
        </is>
      </c>
      <c r="C3086" s="256" t="inlineStr">
        <is>
          <t>WC082501</t>
        </is>
      </c>
      <c r="D3086" s="256" t="inlineStr">
        <is>
          <t>P060012</t>
        </is>
      </c>
      <c r="E3086" s="256" t="inlineStr">
        <is>
          <t>Wedding Crusher</t>
        </is>
      </c>
      <c r="F3086" s="256" t="inlineStr">
        <is>
          <t>18.09.2026</t>
        </is>
      </c>
      <c r="G3086" s="256" t="inlineStr">
        <is>
          <t>3</t>
        </is>
      </c>
      <c r="H3086" s="256" t="inlineStr">
        <is>
          <t>Identification C · HPLC/HPTLC</t>
        </is>
      </c>
      <c r="I3086" s="256" t="inlineStr">
        <is>
          <t>Ph. Eur. 2.2.29 (3028)</t>
        </is>
      </c>
      <c r="J3086" s="256" t="inlineStr">
        <is>
          <t>Conforms to the monograph for Cannabis flos (07/2024:3028) in Ph. Eur. 11.0 | Согласно монографија за Cannabis flos (07/2024:3028) во Ph. Eur. 11.0</t>
        </is>
      </c>
      <c r="K3086" s="256" t="inlineStr">
        <is>
          <t>Conforms | Одговара</t>
        </is>
      </c>
      <c r="L3086" s="256" t="inlineStr">
        <is>
          <t>220-28-К/26</t>
        </is>
      </c>
      <c r="M3086" s="256" t="inlineStr">
        <is>
          <t>26.08.2026</t>
        </is>
      </c>
      <c r="N3086" s="256" t="inlineStr">
        <is>
          <t>Farmahem</t>
        </is>
      </c>
      <c r="O3086" s="256" t="inlineStr">
        <is>
          <t>17.08.2026</t>
        </is>
      </c>
      <c r="P3086" s="256" t="inlineStr">
        <is>
          <t>covered</t>
        </is>
      </c>
      <c r="Q3086" s="256" t="inlineStr"/>
      <c r="R3086" s="256" t="inlineStr"/>
    </row>
    <row r="3087">
      <c r="A3087" s="256" t="inlineStr">
        <is>
          <t>CoQ-PP_26-135</t>
        </is>
      </c>
      <c r="B3087" s="256" t="inlineStr">
        <is>
          <t>reissue — retest</t>
        </is>
      </c>
      <c r="C3087" s="256" t="inlineStr">
        <is>
          <t>WC082501</t>
        </is>
      </c>
      <c r="D3087" s="256" t="inlineStr">
        <is>
          <t>P060012</t>
        </is>
      </c>
      <c r="E3087" s="256" t="inlineStr">
        <is>
          <t>Wedding Crusher</t>
        </is>
      </c>
      <c r="F3087" s="256" t="inlineStr">
        <is>
          <t>18.09.2026</t>
        </is>
      </c>
      <c r="G3087" s="256" t="inlineStr">
        <is>
          <t>4</t>
        </is>
      </c>
      <c r="H3087" s="256" t="inlineStr">
        <is>
          <t>Assay — Total Δ⁹-THC</t>
        </is>
      </c>
      <c r="I3087" s="256" t="inlineStr">
        <is>
          <t>Ph. Eur. 2.2.29 (HPLC)</t>
        </is>
      </c>
      <c r="J3087" s="256" t="inlineStr">
        <is>
          <t>23.40 – 28.59 %  (grade I, nominal 26.00 ± 2.60)</t>
        </is>
      </c>
      <c r="K3087" s="256" t="inlineStr">
        <is>
          <t>23.48</t>
        </is>
      </c>
      <c r="L3087" s="256" t="inlineStr">
        <is>
          <t>220-28-К/26</t>
        </is>
      </c>
      <c r="M3087" s="256" t="inlineStr">
        <is>
          <t>26.08.2026</t>
        </is>
      </c>
      <c r="N3087" s="256" t="inlineStr">
        <is>
          <t>Farmahem</t>
        </is>
      </c>
      <c r="O3087" s="256" t="inlineStr">
        <is>
          <t>17.08.2026</t>
        </is>
      </c>
      <c r="P3087" s="256" t="inlineStr">
        <is>
          <t>covered</t>
        </is>
      </c>
      <c r="Q3087" s="256" t="inlineStr"/>
      <c r="R3087" s="256" t="inlineStr"/>
    </row>
    <row r="3088">
      <c r="A3088" s="256" t="inlineStr">
        <is>
          <t>CoQ-PP_26-135</t>
        </is>
      </c>
      <c r="B3088" s="256" t="inlineStr">
        <is>
          <t>reissue — retest</t>
        </is>
      </c>
      <c r="C3088" s="256" t="inlineStr">
        <is>
          <t>WC082501</t>
        </is>
      </c>
      <c r="D3088" s="256" t="inlineStr">
        <is>
          <t>P060012</t>
        </is>
      </c>
      <c r="E3088" s="256" t="inlineStr">
        <is>
          <t>Wedding Crusher</t>
        </is>
      </c>
      <c r="F3088" s="256" t="inlineStr">
        <is>
          <t>18.09.2026</t>
        </is>
      </c>
      <c r="G3088" s="256" t="inlineStr">
        <is>
          <t>5</t>
        </is>
      </c>
      <c r="H3088" s="256" t="inlineStr">
        <is>
          <t>Assay — Total CBD</t>
        </is>
      </c>
      <c r="I3088" s="256" t="inlineStr">
        <is>
          <t>Ph. Eur. 2.2.29 (HPLC) · CBD + CBDA x 0.877</t>
        </is>
      </c>
      <c r="J3088" s="256" t="inlineStr">
        <is>
          <t>≤ 1.0%, w/w</t>
        </is>
      </c>
      <c r="K3088" s="256" t="inlineStr">
        <is>
          <t>&lt; LOQ</t>
        </is>
      </c>
      <c r="L3088" s="256" t="inlineStr">
        <is>
          <t>220-28-К/26</t>
        </is>
      </c>
      <c r="M3088" s="256" t="inlineStr">
        <is>
          <t>26.08.2026</t>
        </is>
      </c>
      <c r="N3088" s="256" t="inlineStr">
        <is>
          <t>Farmahem</t>
        </is>
      </c>
      <c r="O3088" s="256" t="inlineStr">
        <is>
          <t>17.08.2026</t>
        </is>
      </c>
      <c r="P3088" s="256" t="inlineStr">
        <is>
          <t>covered</t>
        </is>
      </c>
      <c r="Q3088" s="256" t="inlineStr"/>
      <c r="R3088" s="256" t="inlineStr"/>
    </row>
    <row r="3089">
      <c r="A3089" s="256" t="inlineStr">
        <is>
          <t>CoQ-PP_26-135</t>
        </is>
      </c>
      <c r="B3089" s="256" t="inlineStr">
        <is>
          <t>reissue — retest</t>
        </is>
      </c>
      <c r="C3089" s="256" t="inlineStr">
        <is>
          <t>WC082501</t>
        </is>
      </c>
      <c r="D3089" s="256" t="inlineStr">
        <is>
          <t>P060012</t>
        </is>
      </c>
      <c r="E3089" s="256" t="inlineStr">
        <is>
          <t>Wedding Crusher</t>
        </is>
      </c>
      <c r="F3089" s="256" t="inlineStr">
        <is>
          <t>18.09.2026</t>
        </is>
      </c>
      <c r="G3089" s="256" t="inlineStr">
        <is>
          <t>6</t>
        </is>
      </c>
      <c r="H3089" s="256" t="inlineStr">
        <is>
          <t>Total CBN</t>
        </is>
      </c>
      <c r="I3089" s="256" t="inlineStr">
        <is>
          <t>Ph. Eur. 2.2.29 (HPLC) · CBN + CBNA x 0.876</t>
        </is>
      </c>
      <c r="J3089" s="256" t="inlineStr">
        <is>
          <t>≤ 1.0%, w/w</t>
        </is>
      </c>
      <c r="K3089" s="256" t="inlineStr">
        <is>
          <t>&lt; LOQ</t>
        </is>
      </c>
      <c r="L3089" s="256" t="inlineStr">
        <is>
          <t>220-28-К/26</t>
        </is>
      </c>
      <c r="M3089" s="256" t="inlineStr">
        <is>
          <t>26.08.2026</t>
        </is>
      </c>
      <c r="N3089" s="256" t="inlineStr">
        <is>
          <t>Farmahem</t>
        </is>
      </c>
      <c r="O3089" s="256" t="inlineStr">
        <is>
          <t>17.08.2026</t>
        </is>
      </c>
      <c r="P3089" s="256" t="inlineStr">
        <is>
          <t>covered</t>
        </is>
      </c>
      <c r="Q3089" s="256" t="inlineStr"/>
      <c r="R3089" s="256" t="inlineStr"/>
    </row>
    <row r="3090">
      <c r="A3090" s="256" t="inlineStr">
        <is>
          <t>CoQ-PP_26-135</t>
        </is>
      </c>
      <c r="B3090" s="256" t="inlineStr">
        <is>
          <t>reissue — retest</t>
        </is>
      </c>
      <c r="C3090" s="256" t="inlineStr">
        <is>
          <t>WC082501</t>
        </is>
      </c>
      <c r="D3090" s="256" t="inlineStr">
        <is>
          <t>P060012</t>
        </is>
      </c>
      <c r="E3090" s="256" t="inlineStr">
        <is>
          <t>Wedding Crusher</t>
        </is>
      </c>
      <c r="F3090" s="256" t="inlineStr">
        <is>
          <t>18.09.2026</t>
        </is>
      </c>
      <c r="G3090" s="256" t="inlineStr">
        <is>
          <t>7</t>
        </is>
      </c>
      <c r="H3090" s="256" t="inlineStr">
        <is>
          <t>Foreign Matter</t>
        </is>
      </c>
      <c r="I3090" s="256" t="inlineStr">
        <is>
          <t>Ph. Eur. 2.8.2 · In-house · интерна</t>
        </is>
      </c>
      <c r="J3090" s="256" t="inlineStr">
        <is>
          <t>≤ 2.0% / 25–50 g · &lt; 1 cm leaves | листови, no seeds | без семки</t>
        </is>
      </c>
      <c r="K3090" s="256" t="inlineStr">
        <is>
          <t>Conforms | Одговара</t>
        </is>
      </c>
      <c r="L3090" s="256" t="inlineStr">
        <is>
          <t>iCoA-PP_26-154</t>
        </is>
      </c>
      <c r="M3090" s="256" t="inlineStr">
        <is>
          <t>17.08.2026</t>
        </is>
      </c>
      <c r="N3090" s="256" t="inlineStr">
        <is>
          <t>Purely Plant GmbH (in-house)</t>
        </is>
      </c>
      <c r="O3090" s="256" t="inlineStr">
        <is>
          <t>—</t>
        </is>
      </c>
      <c r="P3090" s="256" t="inlineStr">
        <is>
          <t>covered</t>
        </is>
      </c>
      <c r="Q3090" s="256" t="inlineStr">
        <is>
          <t>Purely Plant laboratory — iCoA covering Foreign matter</t>
        </is>
      </c>
      <c r="R3090" s="256" t="inlineStr"/>
    </row>
    <row r="3091">
      <c r="A3091" s="256" t="inlineStr">
        <is>
          <t>CoQ-PP_26-135</t>
        </is>
      </c>
      <c r="B3091" s="256" t="inlineStr">
        <is>
          <t>reissue — retest</t>
        </is>
      </c>
      <c r="C3091" s="256" t="inlineStr">
        <is>
          <t>WC082501</t>
        </is>
      </c>
      <c r="D3091" s="256" t="inlineStr">
        <is>
          <t>P060012</t>
        </is>
      </c>
      <c r="E3091" s="256" t="inlineStr">
        <is>
          <t>Wedding Crusher</t>
        </is>
      </c>
      <c r="F3091" s="256" t="inlineStr">
        <is>
          <t>18.09.2026</t>
        </is>
      </c>
      <c r="G3091" s="256" t="inlineStr">
        <is>
          <t>8</t>
        </is>
      </c>
      <c r="H3091" s="256" t="inlineStr">
        <is>
          <t>Loss on Drying</t>
        </is>
      </c>
      <c r="I3091" s="256" t="inlineStr">
        <is>
          <t>DAB 2018 monograph Cannabis flos, 2.2.32 — loss on drying (CNP, before its Ph. Eur. 3028 accreditation)</t>
        </is>
      </c>
      <c r="J3091" s="256" t="inlineStr">
        <is>
          <t>≤ 12.0%</t>
        </is>
      </c>
      <c r="K3091" s="256" t="inlineStr">
        <is>
          <t>7.50</t>
        </is>
      </c>
      <c r="L3091" s="256" t="inlineStr">
        <is>
          <t>ППК26001</t>
        </is>
      </c>
      <c r="M3091" s="256" t="inlineStr">
        <is>
          <t>21.01.2026</t>
        </is>
      </c>
      <c r="N3091" s="256" t="inlineStr">
        <is>
          <t>UKIM Faculty of Pharmacy — Center for Natural Products</t>
        </is>
      </c>
      <c r="O3091" s="256" t="inlineStr">
        <is>
          <t>08.01.2026</t>
        </is>
      </c>
      <c r="P3091" s="256" t="inlineStr">
        <is>
          <t>carried from the initial testing (CoQ-PP-2026-0001) — covered</t>
        </is>
      </c>
      <c r="Q3091" s="256" t="inlineStr"/>
      <c r="R3091" s="256" t="inlineStr"/>
    </row>
    <row r="3092">
      <c r="A3092" s="256" t="inlineStr">
        <is>
          <t>CoQ-PP_26-135</t>
        </is>
      </c>
      <c r="B3092" s="256" t="inlineStr">
        <is>
          <t>reissue — retest</t>
        </is>
      </c>
      <c r="C3092" s="256" t="inlineStr">
        <is>
          <t>WC082501</t>
        </is>
      </c>
      <c r="D3092" s="256" t="inlineStr">
        <is>
          <t>P060012</t>
        </is>
      </c>
      <c r="E3092" s="256" t="inlineStr">
        <is>
          <t>Wedding Crusher</t>
        </is>
      </c>
      <c r="F3092" s="256" t="inlineStr">
        <is>
          <t>18.09.2026</t>
        </is>
      </c>
      <c r="G3092" s="256" t="inlineStr">
        <is>
          <t>9.1</t>
        </is>
      </c>
      <c r="H3092" s="256" t="inlineStr">
        <is>
          <t>TAMC</t>
        </is>
      </c>
      <c r="I3092" s="256" t="inlineStr">
        <is>
          <t>Ph. Eur. 2.6.12 cat. C</t>
        </is>
      </c>
      <c r="J3092" s="256" t="inlineStr">
        <is>
          <t>≤ 10⁵ CFU/g</t>
        </is>
      </c>
      <c r="K3092" s="256" t="inlineStr">
        <is>
          <t>10</t>
        </is>
      </c>
      <c r="L3092" s="256" t="inlineStr">
        <is>
          <t>3/0006/26</t>
        </is>
      </c>
      <c r="M3092" s="256" t="inlineStr">
        <is>
          <t>20.01.2026</t>
        </is>
      </c>
      <c r="N3092" s="256" t="inlineStr">
        <is>
          <t>IPH — Institute of Public Health</t>
        </is>
      </c>
      <c r="O3092" s="256" t="inlineStr">
        <is>
          <t>12.01.2025</t>
        </is>
      </c>
      <c r="P3092" s="256" t="inlineStr">
        <is>
          <t>carried from the initial testing (CoQ-PP-2026-0001) — covered</t>
        </is>
      </c>
      <c r="Q3092" s="256" t="inlineStr"/>
      <c r="R3092" s="256" t="inlineStr"/>
    </row>
    <row r="3093">
      <c r="A3093" s="256" t="inlineStr">
        <is>
          <t>CoQ-PP_26-135</t>
        </is>
      </c>
      <c r="B3093" s="256" t="inlineStr">
        <is>
          <t>reissue — retest</t>
        </is>
      </c>
      <c r="C3093" s="256" t="inlineStr">
        <is>
          <t>WC082501</t>
        </is>
      </c>
      <c r="D3093" s="256" t="inlineStr">
        <is>
          <t>P060012</t>
        </is>
      </c>
      <c r="E3093" s="256" t="inlineStr">
        <is>
          <t>Wedding Crusher</t>
        </is>
      </c>
      <c r="F3093" s="256" t="inlineStr">
        <is>
          <t>18.09.2026</t>
        </is>
      </c>
      <c r="G3093" s="256" t="inlineStr">
        <is>
          <t>9.2</t>
        </is>
      </c>
      <c r="H3093" s="256" t="inlineStr">
        <is>
          <t>TYMC</t>
        </is>
      </c>
      <c r="I3093" s="256" t="inlineStr">
        <is>
          <t>Ph. Eur. 2.6.12 cat. C</t>
        </is>
      </c>
      <c r="J3093" s="256" t="inlineStr">
        <is>
          <t>≤ 10⁴ CFU/g</t>
        </is>
      </c>
      <c r="K3093" s="256" t="inlineStr">
        <is>
          <t>30</t>
        </is>
      </c>
      <c r="L3093" s="256" t="inlineStr">
        <is>
          <t>3/0006/26</t>
        </is>
      </c>
      <c r="M3093" s="256" t="inlineStr">
        <is>
          <t>20.01.2026</t>
        </is>
      </c>
      <c r="N3093" s="256" t="inlineStr">
        <is>
          <t>IPH — Institute of Public Health</t>
        </is>
      </c>
      <c r="O3093" s="256" t="inlineStr">
        <is>
          <t>12.01.2025</t>
        </is>
      </c>
      <c r="P3093" s="256" t="inlineStr">
        <is>
          <t>carried from the initial testing (CoQ-PP-2026-0001) — covered</t>
        </is>
      </c>
      <c r="Q3093" s="256" t="inlineStr"/>
      <c r="R3093" s="256" t="inlineStr"/>
    </row>
    <row r="3094">
      <c r="A3094" s="256" t="inlineStr">
        <is>
          <t>CoQ-PP_26-135</t>
        </is>
      </c>
      <c r="B3094" s="256" t="inlineStr">
        <is>
          <t>reissue — retest</t>
        </is>
      </c>
      <c r="C3094" s="256" t="inlineStr">
        <is>
          <t>WC082501</t>
        </is>
      </c>
      <c r="D3094" s="256" t="inlineStr">
        <is>
          <t>P060012</t>
        </is>
      </c>
      <c r="E3094" s="256" t="inlineStr">
        <is>
          <t>Wedding Crusher</t>
        </is>
      </c>
      <c r="F3094" s="256" t="inlineStr">
        <is>
          <t>18.09.2026</t>
        </is>
      </c>
      <c r="G3094" s="256" t="inlineStr">
        <is>
          <t>9.3</t>
        </is>
      </c>
      <c r="H3094" s="256" t="inlineStr">
        <is>
          <t>Bile-tolerant gram-neg.</t>
        </is>
      </c>
      <c r="I3094" s="256" t="inlineStr">
        <is>
          <t>Ph. Eur. 2.6.31 cat. C</t>
        </is>
      </c>
      <c r="J3094" s="256" t="inlineStr">
        <is>
          <t>≤ 10⁴ CFU/g</t>
        </is>
      </c>
      <c r="K3094" s="256" t="inlineStr">
        <is>
          <t>&lt; 10</t>
        </is>
      </c>
      <c r="L3094" s="256" t="inlineStr">
        <is>
          <t>3/0006/26</t>
        </is>
      </c>
      <c r="M3094" s="256" t="inlineStr">
        <is>
          <t>20.01.2026</t>
        </is>
      </c>
      <c r="N3094" s="256" t="inlineStr">
        <is>
          <t>IPH — Institute of Public Health</t>
        </is>
      </c>
      <c r="O3094" s="256" t="inlineStr">
        <is>
          <t>12.01.2025</t>
        </is>
      </c>
      <c r="P3094" s="256" t="inlineStr">
        <is>
          <t>carried from the initial testing (CoQ-PP-2026-0001) — covered</t>
        </is>
      </c>
      <c r="Q3094" s="256" t="inlineStr"/>
      <c r="R3094" s="256" t="inlineStr"/>
    </row>
    <row r="3095">
      <c r="A3095" s="256" t="inlineStr">
        <is>
          <t>CoQ-PP_26-135</t>
        </is>
      </c>
      <c r="B3095" s="256" t="inlineStr">
        <is>
          <t>reissue — retest</t>
        </is>
      </c>
      <c r="C3095" s="256" t="inlineStr">
        <is>
          <t>WC082501</t>
        </is>
      </c>
      <c r="D3095" s="256" t="inlineStr">
        <is>
          <t>P060012</t>
        </is>
      </c>
      <c r="E3095" s="256" t="inlineStr">
        <is>
          <t>Wedding Crusher</t>
        </is>
      </c>
      <c r="F3095" s="256" t="inlineStr">
        <is>
          <t>18.09.2026</t>
        </is>
      </c>
      <c r="G3095" s="256" t="inlineStr">
        <is>
          <t>9.4</t>
        </is>
      </c>
      <c r="H3095" s="256" t="inlineStr">
        <is>
          <t>Salmonella</t>
        </is>
      </c>
      <c r="I3095" s="256" t="inlineStr">
        <is>
          <t>Ph. Eur. 2.6.31 cat. C</t>
        </is>
      </c>
      <c r="J3095" s="256" t="inlineStr">
        <is>
          <t>Absence | Отсуство / 25 g</t>
        </is>
      </c>
      <c r="K3095" s="256" t="inlineStr">
        <is>
          <t>Absent | Отсутна</t>
        </is>
      </c>
      <c r="L3095" s="256" t="inlineStr">
        <is>
          <t>3/0006/26</t>
        </is>
      </c>
      <c r="M3095" s="256" t="inlineStr">
        <is>
          <t>20.01.2026</t>
        </is>
      </c>
      <c r="N3095" s="256" t="inlineStr">
        <is>
          <t>IPH — Institute of Public Health</t>
        </is>
      </c>
      <c r="O3095" s="256" t="inlineStr">
        <is>
          <t>12.01.2025</t>
        </is>
      </c>
      <c r="P3095" s="256" t="inlineStr">
        <is>
          <t>carried from the initial testing (CoQ-PP-2026-0001) — covered</t>
        </is>
      </c>
      <c r="Q3095" s="256" t="inlineStr"/>
      <c r="R3095" s="256" t="inlineStr"/>
    </row>
    <row r="3096">
      <c r="A3096" s="256" t="inlineStr">
        <is>
          <t>CoQ-PP_26-135</t>
        </is>
      </c>
      <c r="B3096" s="256" t="inlineStr">
        <is>
          <t>reissue — retest</t>
        </is>
      </c>
      <c r="C3096" s="256" t="inlineStr">
        <is>
          <t>WC082501</t>
        </is>
      </c>
      <c r="D3096" s="256" t="inlineStr">
        <is>
          <t>P060012</t>
        </is>
      </c>
      <c r="E3096" s="256" t="inlineStr">
        <is>
          <t>Wedding Crusher</t>
        </is>
      </c>
      <c r="F3096" s="256" t="inlineStr">
        <is>
          <t>18.09.2026</t>
        </is>
      </c>
      <c r="G3096" s="256" t="inlineStr">
        <is>
          <t>9.5</t>
        </is>
      </c>
      <c r="H3096" s="256" t="inlineStr">
        <is>
          <t>Escherichia coli</t>
        </is>
      </c>
      <c r="I3096" s="256" t="inlineStr">
        <is>
          <t>Ph. Eur. 2.6.13 cat. C</t>
        </is>
      </c>
      <c r="J3096" s="256" t="inlineStr">
        <is>
          <t>Absence | Отсуство / 1 g</t>
        </is>
      </c>
      <c r="K3096" s="256" t="inlineStr">
        <is>
          <t>Absent | Отсутна</t>
        </is>
      </c>
      <c r="L3096" s="256" t="inlineStr">
        <is>
          <t>3/0006/26</t>
        </is>
      </c>
      <c r="M3096" s="256" t="inlineStr">
        <is>
          <t>20.01.2026</t>
        </is>
      </c>
      <c r="N3096" s="256" t="inlineStr">
        <is>
          <t>IPH — Institute of Public Health</t>
        </is>
      </c>
      <c r="O3096" s="256" t="inlineStr">
        <is>
          <t>12.01.2025</t>
        </is>
      </c>
      <c r="P3096" s="256" t="inlineStr">
        <is>
          <t>carried from the initial testing (CoQ-PP-2026-0001) — covered</t>
        </is>
      </c>
      <c r="Q3096" s="256" t="inlineStr"/>
      <c r="R3096" s="256" t="inlineStr"/>
    </row>
    <row r="3097">
      <c r="A3097" s="256" t="inlineStr">
        <is>
          <t>CoQ-PP_26-135</t>
        </is>
      </c>
      <c r="B3097" s="256" t="inlineStr">
        <is>
          <t>reissue — retest</t>
        </is>
      </c>
      <c r="C3097" s="256" t="inlineStr">
        <is>
          <t>WC082501</t>
        </is>
      </c>
      <c r="D3097" s="256" t="inlineStr">
        <is>
          <t>P060012</t>
        </is>
      </c>
      <c r="E3097" s="256" t="inlineStr">
        <is>
          <t>Wedding Crusher</t>
        </is>
      </c>
      <c r="F3097" s="256" t="inlineStr">
        <is>
          <t>18.09.2026</t>
        </is>
      </c>
      <c r="G3097" s="256" t="inlineStr">
        <is>
          <t>9.6</t>
        </is>
      </c>
      <c r="H3097" s="256" t="inlineStr">
        <is>
          <t>Pseudomonas aeruginosa</t>
        </is>
      </c>
      <c r="I3097" s="256" t="inlineStr">
        <is>
          <t>Ph. Eur. 2.6.13 cat. C</t>
        </is>
      </c>
      <c r="J3097" s="256" t="inlineStr">
        <is>
          <t>Absence | Отсуство / 1 g</t>
        </is>
      </c>
      <c r="K3097" s="260" t="inlineStr">
        <is>
          <t>upon request — not required for release</t>
        </is>
      </c>
      <c r="L3097" s="256" t="inlineStr">
        <is>
          <t>—</t>
        </is>
      </c>
      <c r="M3097" s="256" t="inlineStr">
        <is>
          <t>—</t>
        </is>
      </c>
      <c r="N3097" s="256" t="inlineStr">
        <is>
          <t>—</t>
        </is>
      </c>
      <c r="O3097" s="256" t="inlineStr">
        <is>
          <t>—</t>
        </is>
      </c>
      <c r="P3097" s="256" t="inlineStr">
        <is>
          <t>upon request — not required for release</t>
        </is>
      </c>
      <c r="Q3097" s="256" t="inlineStr"/>
      <c r="R3097" s="256" t="inlineStr"/>
    </row>
    <row r="3098">
      <c r="A3098" s="256" t="inlineStr">
        <is>
          <t>CoQ-PP_26-135</t>
        </is>
      </c>
      <c r="B3098" s="256" t="inlineStr">
        <is>
          <t>reissue — retest</t>
        </is>
      </c>
      <c r="C3098" s="256" t="inlineStr">
        <is>
          <t>WC082501</t>
        </is>
      </c>
      <c r="D3098" s="256" t="inlineStr">
        <is>
          <t>P060012</t>
        </is>
      </c>
      <c r="E3098" s="256" t="inlineStr">
        <is>
          <t>Wedding Crusher</t>
        </is>
      </c>
      <c r="F3098" s="256" t="inlineStr">
        <is>
          <t>18.09.2026</t>
        </is>
      </c>
      <c r="G3098" s="256" t="inlineStr">
        <is>
          <t>9.7</t>
        </is>
      </c>
      <c r="H3098" s="256" t="inlineStr">
        <is>
          <t>Staphylococcus aureus</t>
        </is>
      </c>
      <c r="I3098" s="256" t="inlineStr">
        <is>
          <t>Ph. Eur. 2.6.13 cat. C</t>
        </is>
      </c>
      <c r="J3098" s="256" t="inlineStr">
        <is>
          <t>Absence | Отсуство / 1 g</t>
        </is>
      </c>
      <c r="K3098" s="260" t="inlineStr">
        <is>
          <t>upon request — not required for release</t>
        </is>
      </c>
      <c r="L3098" s="256" t="inlineStr">
        <is>
          <t>—</t>
        </is>
      </c>
      <c r="M3098" s="256" t="inlineStr">
        <is>
          <t>—</t>
        </is>
      </c>
      <c r="N3098" s="256" t="inlineStr">
        <is>
          <t>—</t>
        </is>
      </c>
      <c r="O3098" s="256" t="inlineStr">
        <is>
          <t>—</t>
        </is>
      </c>
      <c r="P3098" s="256" t="inlineStr">
        <is>
          <t>upon request — not required for release</t>
        </is>
      </c>
      <c r="Q3098" s="256" t="inlineStr"/>
      <c r="R3098" s="256" t="inlineStr"/>
    </row>
    <row r="3099">
      <c r="A3099" s="256" t="inlineStr">
        <is>
          <t>CoQ-PP_26-135</t>
        </is>
      </c>
      <c r="B3099" s="256" t="inlineStr">
        <is>
          <t>reissue — retest</t>
        </is>
      </c>
      <c r="C3099" s="256" t="inlineStr">
        <is>
          <t>WC082501</t>
        </is>
      </c>
      <c r="D3099" s="256" t="inlineStr">
        <is>
          <t>P060012</t>
        </is>
      </c>
      <c r="E3099" s="256" t="inlineStr">
        <is>
          <t>Wedding Crusher</t>
        </is>
      </c>
      <c r="F3099" s="256" t="inlineStr">
        <is>
          <t>18.09.2026</t>
        </is>
      </c>
      <c r="G3099" s="256" t="inlineStr">
        <is>
          <t>10.1</t>
        </is>
      </c>
      <c r="H3099" s="256" t="inlineStr">
        <is>
          <t>Aflatoxin B₁</t>
        </is>
      </c>
      <c r="I3099" s="256" t="inlineStr">
        <is>
          <t>Ph. Eur. 2.8.18 (HPLC-FLD)</t>
        </is>
      </c>
      <c r="J3099" s="256" t="inlineStr">
        <is>
          <t>≤ 2 µg/kg</t>
        </is>
      </c>
      <c r="K3099" s="256" t="inlineStr">
        <is>
          <t>ND</t>
        </is>
      </c>
      <c r="L3099" s="256" t="inlineStr">
        <is>
          <t>220-28-М/26</t>
        </is>
      </c>
      <c r="M3099" s="256" t="inlineStr">
        <is>
          <t>11.09.2026</t>
        </is>
      </c>
      <c r="N3099" s="256" t="inlineStr">
        <is>
          <t>Farmahem</t>
        </is>
      </c>
      <c r="O3099" s="256" t="inlineStr">
        <is>
          <t>17.08.2026</t>
        </is>
      </c>
      <c r="P3099" s="256" t="inlineStr">
        <is>
          <t>covered</t>
        </is>
      </c>
      <c r="Q3099" s="256" t="inlineStr"/>
      <c r="R3099" s="256" t="inlineStr"/>
    </row>
    <row r="3100">
      <c r="A3100" s="256" t="inlineStr">
        <is>
          <t>CoQ-PP_26-135</t>
        </is>
      </c>
      <c r="B3100" s="256" t="inlineStr">
        <is>
          <t>reissue — retest</t>
        </is>
      </c>
      <c r="C3100" s="256" t="inlineStr">
        <is>
          <t>WC082501</t>
        </is>
      </c>
      <c r="D3100" s="256" t="inlineStr">
        <is>
          <t>P060012</t>
        </is>
      </c>
      <c r="E3100" s="256" t="inlineStr">
        <is>
          <t>Wedding Crusher</t>
        </is>
      </c>
      <c r="F3100" s="256" t="inlineStr">
        <is>
          <t>18.09.2026</t>
        </is>
      </c>
      <c r="G3100" s="256" t="inlineStr">
        <is>
          <t>10.2</t>
        </is>
      </c>
      <c r="H3100" s="256" t="inlineStr">
        <is>
          <t>Aflatoxins ∑</t>
        </is>
      </c>
      <c r="I3100" s="256" t="inlineStr">
        <is>
          <t>Ph. Eur. 2.8.18 (HPLC-FLD)</t>
        </is>
      </c>
      <c r="J3100" s="256" t="inlineStr">
        <is>
          <t>≤ 4 µg/kg</t>
        </is>
      </c>
      <c r="K3100" s="256" t="inlineStr">
        <is>
          <t>ND</t>
        </is>
      </c>
      <c r="L3100" s="256" t="inlineStr">
        <is>
          <t>220-28-М/26</t>
        </is>
      </c>
      <c r="M3100" s="256" t="inlineStr">
        <is>
          <t>11.09.2026</t>
        </is>
      </c>
      <c r="N3100" s="256" t="inlineStr">
        <is>
          <t>Farmahem</t>
        </is>
      </c>
      <c r="O3100" s="256" t="inlineStr">
        <is>
          <t>17.08.2026</t>
        </is>
      </c>
      <c r="P3100" s="256" t="inlineStr">
        <is>
          <t>covered</t>
        </is>
      </c>
      <c r="Q3100" s="256" t="inlineStr"/>
      <c r="R3100" s="256" t="inlineStr"/>
    </row>
    <row r="3101">
      <c r="A3101" s="256" t="inlineStr">
        <is>
          <t>CoQ-PP_26-135</t>
        </is>
      </c>
      <c r="B3101" s="256" t="inlineStr">
        <is>
          <t>reissue — retest</t>
        </is>
      </c>
      <c r="C3101" s="256" t="inlineStr">
        <is>
          <t>WC082501</t>
        </is>
      </c>
      <c r="D3101" s="256" t="inlineStr">
        <is>
          <t>P060012</t>
        </is>
      </c>
      <c r="E3101" s="256" t="inlineStr">
        <is>
          <t>Wedding Crusher</t>
        </is>
      </c>
      <c r="F3101" s="256" t="inlineStr">
        <is>
          <t>18.09.2026</t>
        </is>
      </c>
      <c r="G3101" s="256" t="inlineStr">
        <is>
          <t>10.3</t>
        </is>
      </c>
      <c r="H3101" s="256" t="inlineStr">
        <is>
          <t>Ochratoxin A</t>
        </is>
      </c>
      <c r="I3101" s="256" t="inlineStr">
        <is>
          <t>Ph. Eur. 2.8.22 (HPLC-FLD)</t>
        </is>
      </c>
      <c r="J3101" s="256" t="inlineStr">
        <is>
          <t>≤ 20 µg/kg</t>
        </is>
      </c>
      <c r="K3101" s="256" t="inlineStr">
        <is>
          <t>ND</t>
        </is>
      </c>
      <c r="L3101" s="256" t="inlineStr">
        <is>
          <t>220-28-М/26</t>
        </is>
      </c>
      <c r="M3101" s="256" t="inlineStr">
        <is>
          <t>11.09.2026</t>
        </is>
      </c>
      <c r="N3101" s="256" t="inlineStr">
        <is>
          <t>Farmahem</t>
        </is>
      </c>
      <c r="O3101" s="256" t="inlineStr">
        <is>
          <t>17.08.2026</t>
        </is>
      </c>
      <c r="P3101" s="256" t="inlineStr">
        <is>
          <t>covered</t>
        </is>
      </c>
      <c r="Q3101" s="256" t="inlineStr"/>
      <c r="R3101" s="256" t="inlineStr"/>
    </row>
    <row r="3102">
      <c r="A3102" s="256" t="inlineStr">
        <is>
          <t>CoQ-PP_26-135</t>
        </is>
      </c>
      <c r="B3102" s="256" t="inlineStr">
        <is>
          <t>reissue — retest</t>
        </is>
      </c>
      <c r="C3102" s="256" t="inlineStr">
        <is>
          <t>WC082501</t>
        </is>
      </c>
      <c r="D3102" s="256" t="inlineStr">
        <is>
          <t>P060012</t>
        </is>
      </c>
      <c r="E3102" s="256" t="inlineStr">
        <is>
          <t>Wedding Crusher</t>
        </is>
      </c>
      <c r="F3102" s="256" t="inlineStr">
        <is>
          <t>18.09.2026</t>
        </is>
      </c>
      <c r="G3102" s="256" t="inlineStr">
        <is>
          <t>11.1</t>
        </is>
      </c>
      <c r="H3102" s="256" t="inlineStr">
        <is>
          <t>Lead (Pb)</t>
        </is>
      </c>
      <c r="I3102" s="256" t="inlineStr">
        <is>
          <t>Ph. Eur. 2.4.27 (ICP-MS)</t>
        </is>
      </c>
      <c r="J3102" s="256" t="inlineStr">
        <is>
          <t>≤ 0.5 mg/kg</t>
        </is>
      </c>
      <c r="K3102" s="256" t="inlineStr">
        <is>
          <t>ND</t>
        </is>
      </c>
      <c r="L3102" s="256" t="inlineStr">
        <is>
          <t>80/2026</t>
        </is>
      </c>
      <c r="M3102" s="256" t="inlineStr">
        <is>
          <t>02.02.2026</t>
        </is>
      </c>
      <c r="N3102" s="256" t="inlineStr">
        <is>
          <t>IPH — Institute of Public Health</t>
        </is>
      </c>
      <c r="O3102" s="256" t="inlineStr">
        <is>
          <t>08.01.2026</t>
        </is>
      </c>
      <c r="P3102" s="256" t="inlineStr">
        <is>
          <t>carried from the initial testing (CoQ-PP-2026-0001) — covered</t>
        </is>
      </c>
      <c r="Q3102" s="256" t="inlineStr"/>
      <c r="R3102" s="256" t="inlineStr"/>
    </row>
    <row r="3103">
      <c r="A3103" s="256" t="inlineStr">
        <is>
          <t>CoQ-PP_26-135</t>
        </is>
      </c>
      <c r="B3103" s="256" t="inlineStr">
        <is>
          <t>reissue — retest</t>
        </is>
      </c>
      <c r="C3103" s="256" t="inlineStr">
        <is>
          <t>WC082501</t>
        </is>
      </c>
      <c r="D3103" s="256" t="inlineStr">
        <is>
          <t>P060012</t>
        </is>
      </c>
      <c r="E3103" s="256" t="inlineStr">
        <is>
          <t>Wedding Crusher</t>
        </is>
      </c>
      <c r="F3103" s="256" t="inlineStr">
        <is>
          <t>18.09.2026</t>
        </is>
      </c>
      <c r="G3103" s="256" t="inlineStr">
        <is>
          <t>11.2</t>
        </is>
      </c>
      <c r="H3103" s="256" t="inlineStr">
        <is>
          <t>Cadmium (Cd)</t>
        </is>
      </c>
      <c r="I3103" s="256" t="inlineStr">
        <is>
          <t>Ph. Eur. 2.4.27 (ICP-MS)</t>
        </is>
      </c>
      <c r="J3103" s="256" t="inlineStr">
        <is>
          <t>≤ 0.3 mg/kg</t>
        </is>
      </c>
      <c r="K3103" s="256" t="inlineStr">
        <is>
          <t>ND</t>
        </is>
      </c>
      <c r="L3103" s="256" t="inlineStr">
        <is>
          <t>80/2026</t>
        </is>
      </c>
      <c r="M3103" s="256" t="inlineStr">
        <is>
          <t>02.02.2026</t>
        </is>
      </c>
      <c r="N3103" s="256" t="inlineStr">
        <is>
          <t>IPH — Institute of Public Health</t>
        </is>
      </c>
      <c r="O3103" s="256" t="inlineStr">
        <is>
          <t>08.01.2026</t>
        </is>
      </c>
      <c r="P3103" s="256" t="inlineStr">
        <is>
          <t>carried from the initial testing (CoQ-PP-2026-0001) — covered</t>
        </is>
      </c>
      <c r="Q3103" s="256" t="inlineStr"/>
      <c r="R3103" s="256" t="inlineStr"/>
    </row>
    <row r="3104">
      <c r="A3104" s="256" t="inlineStr">
        <is>
          <t>CoQ-PP_26-135</t>
        </is>
      </c>
      <c r="B3104" s="256" t="inlineStr">
        <is>
          <t>reissue — retest</t>
        </is>
      </c>
      <c r="C3104" s="256" t="inlineStr">
        <is>
          <t>WC082501</t>
        </is>
      </c>
      <c r="D3104" s="256" t="inlineStr">
        <is>
          <t>P060012</t>
        </is>
      </c>
      <c r="E3104" s="256" t="inlineStr">
        <is>
          <t>Wedding Crusher</t>
        </is>
      </c>
      <c r="F3104" s="256" t="inlineStr">
        <is>
          <t>18.09.2026</t>
        </is>
      </c>
      <c r="G3104" s="256" t="inlineStr">
        <is>
          <t>11.3</t>
        </is>
      </c>
      <c r="H3104" s="256" t="inlineStr">
        <is>
          <t>Arsenic (As)</t>
        </is>
      </c>
      <c r="I3104" s="256" t="inlineStr">
        <is>
          <t>Ph. Eur. 2.4.27 (ICP-MS)</t>
        </is>
      </c>
      <c r="J3104" s="256" t="inlineStr">
        <is>
          <t>≤ 0.2 mg/kg</t>
        </is>
      </c>
      <c r="K3104" s="256" t="inlineStr">
        <is>
          <t>ND</t>
        </is>
      </c>
      <c r="L3104" s="256" t="inlineStr">
        <is>
          <t>80/2026</t>
        </is>
      </c>
      <c r="M3104" s="256" t="inlineStr">
        <is>
          <t>02.02.2026</t>
        </is>
      </c>
      <c r="N3104" s="256" t="inlineStr">
        <is>
          <t>IPH — Institute of Public Health</t>
        </is>
      </c>
      <c r="O3104" s="256" t="inlineStr">
        <is>
          <t>08.01.2026</t>
        </is>
      </c>
      <c r="P3104" s="256" t="inlineStr">
        <is>
          <t>carried from the initial testing (CoQ-PP-2026-0001) — covered</t>
        </is>
      </c>
      <c r="Q3104" s="256" t="inlineStr"/>
      <c r="R3104" s="256" t="inlineStr"/>
    </row>
    <row r="3105">
      <c r="A3105" s="256" t="inlineStr">
        <is>
          <t>CoQ-PP_26-135</t>
        </is>
      </c>
      <c r="B3105" s="256" t="inlineStr">
        <is>
          <t>reissue — retest</t>
        </is>
      </c>
      <c r="C3105" s="256" t="inlineStr">
        <is>
          <t>WC082501</t>
        </is>
      </c>
      <c r="D3105" s="256" t="inlineStr">
        <is>
          <t>P060012</t>
        </is>
      </c>
      <c r="E3105" s="256" t="inlineStr">
        <is>
          <t>Wedding Crusher</t>
        </is>
      </c>
      <c r="F3105" s="256" t="inlineStr">
        <is>
          <t>18.09.2026</t>
        </is>
      </c>
      <c r="G3105" s="256" t="inlineStr">
        <is>
          <t>11.4</t>
        </is>
      </c>
      <c r="H3105" s="256" t="inlineStr">
        <is>
          <t>Mercury (Hg)</t>
        </is>
      </c>
      <c r="I3105" s="256" t="inlineStr">
        <is>
          <t>Ph. Eur. 2.4.27 (ICP-MS)</t>
        </is>
      </c>
      <c r="J3105" s="256" t="inlineStr">
        <is>
          <t>≤ 0.1 mg/kg</t>
        </is>
      </c>
      <c r="K3105" s="256" t="inlineStr">
        <is>
          <t>ND</t>
        </is>
      </c>
      <c r="L3105" s="256" t="inlineStr">
        <is>
          <t>80/2026</t>
        </is>
      </c>
      <c r="M3105" s="256" t="inlineStr">
        <is>
          <t>02.02.2026</t>
        </is>
      </c>
      <c r="N3105" s="256" t="inlineStr">
        <is>
          <t>IPH — Institute of Public Health</t>
        </is>
      </c>
      <c r="O3105" s="256" t="inlineStr">
        <is>
          <t>08.01.2026</t>
        </is>
      </c>
      <c r="P3105" s="256" t="inlineStr">
        <is>
          <t>carried from the initial testing (CoQ-PP-2026-0001) — covered</t>
        </is>
      </c>
      <c r="Q3105" s="256" t="inlineStr"/>
      <c r="R3105" s="256" t="inlineStr"/>
    </row>
    <row r="3106">
      <c r="A3106" s="256" t="inlineStr">
        <is>
          <t>CoQ-PP_26-135</t>
        </is>
      </c>
      <c r="B3106" s="256" t="inlineStr">
        <is>
          <t>reissue — retest</t>
        </is>
      </c>
      <c r="C3106" s="256" t="inlineStr">
        <is>
          <t>WC082501</t>
        </is>
      </c>
      <c r="D3106" s="256" t="inlineStr">
        <is>
          <t>P060012</t>
        </is>
      </c>
      <c r="E3106" s="256" t="inlineStr">
        <is>
          <t>Wedding Crusher</t>
        </is>
      </c>
      <c r="F3106" s="256" t="inlineStr">
        <is>
          <t>18.09.2026</t>
        </is>
      </c>
      <c r="G3106" s="256" t="inlineStr">
        <is>
          <t>12</t>
        </is>
      </c>
      <c r="H3106" s="256" t="inlineStr">
        <is>
          <t>Pesticide Residues</t>
        </is>
      </c>
      <c r="I3106" s="256" t="inlineStr">
        <is>
          <t>Ph. Eur. 2.8.13 (LC-MS/MS) · CUMCS Equivalency</t>
        </is>
      </c>
      <c r="J3106" s="256" t="inlineStr">
        <is>
          <t>≤ LOQ as per Ph. Eur. 2.8.13 · ≤ LOQ as per CUMCS Equivalency</t>
        </is>
      </c>
      <c r="K3106" s="256" t="inlineStr">
        <is>
          <t>ND</t>
        </is>
      </c>
      <c r="L3106" s="256" t="inlineStr">
        <is>
          <t>80/2026</t>
        </is>
      </c>
      <c r="M3106" s="256" t="inlineStr">
        <is>
          <t>02.02.2026</t>
        </is>
      </c>
      <c r="N3106" s="256" t="inlineStr">
        <is>
          <t>IPH — Institute of Public Health</t>
        </is>
      </c>
      <c r="O3106" s="256" t="inlineStr">
        <is>
          <t>08.01.2026</t>
        </is>
      </c>
      <c r="P3106" s="256" t="inlineStr">
        <is>
          <t>carried from the initial testing (CoQ-PP-2026-0001) — covered</t>
        </is>
      </c>
      <c r="Q3106" s="256" t="inlineStr"/>
      <c r="R3106" s="256" t="inlineStr"/>
    </row>
    <row r="3107">
      <c r="A3107" s="256" t="inlineStr">
        <is>
          <t>CoQ-PP_26-136</t>
        </is>
      </c>
      <c r="B3107" s="256" t="inlineStr">
        <is>
          <t>reissue — retest</t>
        </is>
      </c>
      <c r="C3107" s="256" t="inlineStr">
        <is>
          <t>AB092501</t>
        </is>
      </c>
      <c r="D3107" s="256" t="inlineStr">
        <is>
          <t>P060052</t>
        </is>
      </c>
      <c r="E3107" s="256" t="inlineStr">
        <is>
          <t>Apple and Banana</t>
        </is>
      </c>
      <c r="F3107" s="256" t="inlineStr">
        <is>
          <t>21.09.2026</t>
        </is>
      </c>
      <c r="G3107" s="256" t="inlineStr">
        <is>
          <t>1</t>
        </is>
      </c>
      <c r="H3107" s="256" t="inlineStr">
        <is>
          <t>Identification A, Appearance · Macroscopic</t>
        </is>
      </c>
      <c r="I3107" s="256" t="inlineStr">
        <is>
          <t>Ph. Eur. mon. 3028</t>
        </is>
      </c>
      <c r="J3107" s="256" t="inlineStr">
        <is>
          <t>Conforms to the monograph for Cannabis flos (07/2024:3028) in Ph. Eur. 11.0 | Согласно монографија за Cannabis flos (07/2024:3028) во Ph. Eur. 11.0</t>
        </is>
      </c>
      <c r="K3107" s="256" t="inlineStr">
        <is>
          <t>Conforms | Одговара</t>
        </is>
      </c>
      <c r="L3107" s="256" t="inlineStr">
        <is>
          <t>iCoA-PP_26-175</t>
        </is>
      </c>
      <c r="M3107" s="256" t="inlineStr">
        <is>
          <t>24.08.2026</t>
        </is>
      </c>
      <c r="N3107" s="256" t="inlineStr">
        <is>
          <t>Purely Plant GmbH (in-house)</t>
        </is>
      </c>
      <c r="O3107" s="256" t="inlineStr">
        <is>
          <t>—</t>
        </is>
      </c>
      <c r="P3107" s="256" t="inlineStr">
        <is>
          <t>covered</t>
        </is>
      </c>
      <c r="Q3107" s="256" t="inlineStr">
        <is>
          <t>Farmahem — Ident A + B + C with the Assay, at retest</t>
        </is>
      </c>
      <c r="R3107" s="256" t="inlineStr"/>
    </row>
    <row r="3108">
      <c r="A3108" s="256" t="inlineStr">
        <is>
          <t>CoQ-PP_26-136</t>
        </is>
      </c>
      <c r="B3108" s="256" t="inlineStr">
        <is>
          <t>reissue — retest</t>
        </is>
      </c>
      <c r="C3108" s="256" t="inlineStr">
        <is>
          <t>AB092501</t>
        </is>
      </c>
      <c r="D3108" s="256" t="inlineStr">
        <is>
          <t>P060052</t>
        </is>
      </c>
      <c r="E3108" s="256" t="inlineStr">
        <is>
          <t>Apple and Banana</t>
        </is>
      </c>
      <c r="F3108" s="256" t="inlineStr">
        <is>
          <t>21.09.2026</t>
        </is>
      </c>
      <c r="G3108" s="256" t="inlineStr">
        <is>
          <t>2</t>
        </is>
      </c>
      <c r="H3108" s="256" t="inlineStr">
        <is>
          <t>Identification B · Microscopic</t>
        </is>
      </c>
      <c r="I3108" s="256" t="inlineStr">
        <is>
          <t>Ph. Eur. 2.8.23 (microscopy)</t>
        </is>
      </c>
      <c r="J3108" s="256" t="inlineStr">
        <is>
          <t>Conforms to the monograph for Cannabis flos (07/2024:3028) in Ph. Eur. 11.0 | Согласно монографија за Cannabis flos (07/2024:3028) во Ph. Eur. 11.0</t>
        </is>
      </c>
      <c r="K3108" s="256" t="inlineStr">
        <is>
          <t>Conforms | Одговара</t>
        </is>
      </c>
      <c r="L3108" s="256" t="inlineStr">
        <is>
          <t>iCoA-PP_26-175</t>
        </is>
      </c>
      <c r="M3108" s="256" t="inlineStr">
        <is>
          <t>24.08.2026</t>
        </is>
      </c>
      <c r="N3108" s="256" t="inlineStr">
        <is>
          <t>Purely Plant GmbH (in-house)</t>
        </is>
      </c>
      <c r="O3108" s="256" t="inlineStr">
        <is>
          <t>—</t>
        </is>
      </c>
      <c r="P3108" s="256" t="inlineStr">
        <is>
          <t>to be performed — see route</t>
        </is>
      </c>
      <c r="Q3108" s="256" t="inlineStr">
        <is>
          <t>Farmahem — Ident A + B + C with the Assay, at retest</t>
        </is>
      </c>
      <c r="R3108" s="256" t="inlineStr"/>
    </row>
    <row r="3109">
      <c r="A3109" s="256" t="inlineStr">
        <is>
          <t>CoQ-PP_26-136</t>
        </is>
      </c>
      <c r="B3109" s="256" t="inlineStr">
        <is>
          <t>reissue — retest</t>
        </is>
      </c>
      <c r="C3109" s="256" t="inlineStr">
        <is>
          <t>AB092501</t>
        </is>
      </c>
      <c r="D3109" s="256" t="inlineStr">
        <is>
          <t>P060052</t>
        </is>
      </c>
      <c r="E3109" s="256" t="inlineStr">
        <is>
          <t>Apple and Banana</t>
        </is>
      </c>
      <c r="F3109" s="256" t="inlineStr">
        <is>
          <t>21.09.2026</t>
        </is>
      </c>
      <c r="G3109" s="256" t="inlineStr">
        <is>
          <t>3</t>
        </is>
      </c>
      <c r="H3109" s="256" t="inlineStr">
        <is>
          <t>Identification C · HPLC/HPTLC</t>
        </is>
      </c>
      <c r="I3109" s="256" t="inlineStr">
        <is>
          <t>Ph. Eur. 2.2.29 (3028)</t>
        </is>
      </c>
      <c r="J3109" s="256" t="inlineStr">
        <is>
          <t>Conforms to the monograph for Cannabis flos (07/2024:3028) in Ph. Eur. 11.0 | Согласно монографија за Cannabis flos (07/2024:3028) во Ph. Eur. 11.0</t>
        </is>
      </c>
      <c r="K3109" s="256" t="inlineStr">
        <is>
          <t>Conforms | Одговара</t>
        </is>
      </c>
      <c r="L3109" s="256" t="inlineStr">
        <is>
          <t>227-30-К/26</t>
        </is>
      </c>
      <c r="M3109" s="256" t="inlineStr">
        <is>
          <t>11.09.2026</t>
        </is>
      </c>
      <c r="N3109" s="256" t="inlineStr">
        <is>
          <t>Farmahem</t>
        </is>
      </c>
      <c r="O3109" s="256" t="inlineStr">
        <is>
          <t>24.08.2026</t>
        </is>
      </c>
      <c r="P3109" s="256" t="inlineStr">
        <is>
          <t>covered</t>
        </is>
      </c>
      <c r="Q3109" s="256" t="inlineStr"/>
      <c r="R3109" s="256" t="inlineStr"/>
    </row>
    <row r="3110">
      <c r="A3110" s="256" t="inlineStr">
        <is>
          <t>CoQ-PP_26-136</t>
        </is>
      </c>
      <c r="B3110" s="256" t="inlineStr">
        <is>
          <t>reissue — retest</t>
        </is>
      </c>
      <c r="C3110" s="256" t="inlineStr">
        <is>
          <t>AB092501</t>
        </is>
      </c>
      <c r="D3110" s="256" t="inlineStr">
        <is>
          <t>P060052</t>
        </is>
      </c>
      <c r="E3110" s="256" t="inlineStr">
        <is>
          <t>Apple and Banana</t>
        </is>
      </c>
      <c r="F3110" s="256" t="inlineStr">
        <is>
          <t>21.09.2026</t>
        </is>
      </c>
      <c r="G3110" s="256" t="inlineStr">
        <is>
          <t>4</t>
        </is>
      </c>
      <c r="H3110" s="256" t="inlineStr">
        <is>
          <t>Assay — Total Δ⁹-THC</t>
        </is>
      </c>
      <c r="I3110" s="256" t="inlineStr">
        <is>
          <t>Ph. Eur. 2.2.29 (HPLC)</t>
        </is>
      </c>
      <c r="J3110" s="256" t="inlineStr">
        <is>
          <t>19.80 – 24.19 %  (grade I, nominal 22.00 ± 2.20)</t>
        </is>
      </c>
      <c r="K3110" s="256" t="inlineStr">
        <is>
          <t>22.97</t>
        </is>
      </c>
      <c r="L3110" s="256" t="inlineStr">
        <is>
          <t>227-30-К/26</t>
        </is>
      </c>
      <c r="M3110" s="256" t="inlineStr">
        <is>
          <t>11.09.2026</t>
        </is>
      </c>
      <c r="N3110" s="256" t="inlineStr">
        <is>
          <t>Farmahem</t>
        </is>
      </c>
      <c r="O3110" s="256" t="inlineStr">
        <is>
          <t>24.08.2026</t>
        </is>
      </c>
      <c r="P3110" s="256" t="inlineStr">
        <is>
          <t>covered</t>
        </is>
      </c>
      <c r="Q3110" s="256" t="inlineStr"/>
      <c r="R3110" s="256" t="inlineStr"/>
    </row>
    <row r="3111">
      <c r="A3111" s="256" t="inlineStr">
        <is>
          <t>CoQ-PP_26-136</t>
        </is>
      </c>
      <c r="B3111" s="256" t="inlineStr">
        <is>
          <t>reissue — retest</t>
        </is>
      </c>
      <c r="C3111" s="256" t="inlineStr">
        <is>
          <t>AB092501</t>
        </is>
      </c>
      <c r="D3111" s="256" t="inlineStr">
        <is>
          <t>P060052</t>
        </is>
      </c>
      <c r="E3111" s="256" t="inlineStr">
        <is>
          <t>Apple and Banana</t>
        </is>
      </c>
      <c r="F3111" s="256" t="inlineStr">
        <is>
          <t>21.09.2026</t>
        </is>
      </c>
      <c r="G3111" s="256" t="inlineStr">
        <is>
          <t>5</t>
        </is>
      </c>
      <c r="H3111" s="256" t="inlineStr">
        <is>
          <t>Assay — Total CBD</t>
        </is>
      </c>
      <c r="I3111" s="256" t="inlineStr">
        <is>
          <t>Ph. Eur. 2.2.29 (HPLC) · CBD + CBDA x 0.877</t>
        </is>
      </c>
      <c r="J3111" s="256" t="inlineStr">
        <is>
          <t>≤ 1.0%, w/w</t>
        </is>
      </c>
      <c r="K3111" s="256" t="inlineStr">
        <is>
          <t>&lt; LOQ</t>
        </is>
      </c>
      <c r="L3111" s="256" t="inlineStr">
        <is>
          <t>227-30-К/26</t>
        </is>
      </c>
      <c r="M3111" s="256" t="inlineStr">
        <is>
          <t>11.09.2026</t>
        </is>
      </c>
      <c r="N3111" s="256" t="inlineStr">
        <is>
          <t>Farmahem</t>
        </is>
      </c>
      <c r="O3111" s="256" t="inlineStr">
        <is>
          <t>24.08.2026</t>
        </is>
      </c>
      <c r="P3111" s="256" t="inlineStr">
        <is>
          <t>covered — laboratory finding recorded</t>
        </is>
      </c>
      <c r="Q3111" s="256" t="inlineStr"/>
      <c r="R3111" s="256" t="inlineStr"/>
    </row>
    <row r="3112">
      <c r="A3112" s="256" t="inlineStr">
        <is>
          <t>CoQ-PP_26-136</t>
        </is>
      </c>
      <c r="B3112" s="256" t="inlineStr">
        <is>
          <t>reissue — retest</t>
        </is>
      </c>
      <c r="C3112" s="256" t="inlineStr">
        <is>
          <t>AB092501</t>
        </is>
      </c>
      <c r="D3112" s="256" t="inlineStr">
        <is>
          <t>P060052</t>
        </is>
      </c>
      <c r="E3112" s="256" t="inlineStr">
        <is>
          <t>Apple and Banana</t>
        </is>
      </c>
      <c r="F3112" s="256" t="inlineStr">
        <is>
          <t>21.09.2026</t>
        </is>
      </c>
      <c r="G3112" s="256" t="inlineStr">
        <is>
          <t>6</t>
        </is>
      </c>
      <c r="H3112" s="256" t="inlineStr">
        <is>
          <t>Total CBN</t>
        </is>
      </c>
      <c r="I3112" s="256" t="inlineStr">
        <is>
          <t>Ph. Eur. 2.2.29 (HPLC) · CBN + CBNA x 0.876</t>
        </is>
      </c>
      <c r="J3112" s="256" t="inlineStr">
        <is>
          <t>≤ 1.0%, w/w</t>
        </is>
      </c>
      <c r="K3112" s="256" t="inlineStr">
        <is>
          <t>&lt; LOQ</t>
        </is>
      </c>
      <c r="L3112" s="256" t="inlineStr">
        <is>
          <t>227-30-К/26</t>
        </is>
      </c>
      <c r="M3112" s="256" t="inlineStr">
        <is>
          <t>11.09.2026</t>
        </is>
      </c>
      <c r="N3112" s="256" t="inlineStr">
        <is>
          <t>Farmahem</t>
        </is>
      </c>
      <c r="O3112" s="256" t="inlineStr">
        <is>
          <t>24.08.2026</t>
        </is>
      </c>
      <c r="P3112" s="256" t="inlineStr">
        <is>
          <t>covered — laboratory finding recorded</t>
        </is>
      </c>
      <c r="Q3112" s="256" t="inlineStr"/>
      <c r="R3112" s="256" t="inlineStr"/>
    </row>
    <row r="3113">
      <c r="A3113" s="256" t="inlineStr">
        <is>
          <t>CoQ-PP_26-136</t>
        </is>
      </c>
      <c r="B3113" s="256" t="inlineStr">
        <is>
          <t>reissue — retest</t>
        </is>
      </c>
      <c r="C3113" s="256" t="inlineStr">
        <is>
          <t>AB092501</t>
        </is>
      </c>
      <c r="D3113" s="256" t="inlineStr">
        <is>
          <t>P060052</t>
        </is>
      </c>
      <c r="E3113" s="256" t="inlineStr">
        <is>
          <t>Apple and Banana</t>
        </is>
      </c>
      <c r="F3113" s="256" t="inlineStr">
        <is>
          <t>21.09.2026</t>
        </is>
      </c>
      <c r="G3113" s="256" t="inlineStr">
        <is>
          <t>7</t>
        </is>
      </c>
      <c r="H3113" s="256" t="inlineStr">
        <is>
          <t>Foreign Matter</t>
        </is>
      </c>
      <c r="I3113" s="256" t="inlineStr">
        <is>
          <t>Ph. Eur. 2.8.2 · In-house · интерна</t>
        </is>
      </c>
      <c r="J3113" s="256" t="inlineStr">
        <is>
          <t>≤ 2.0% / 25–50 g · &lt; 1 cm leaves | листови, no seeds | без семки</t>
        </is>
      </c>
      <c r="K3113" s="256" t="inlineStr">
        <is>
          <t>Conforms | Одговара</t>
        </is>
      </c>
      <c r="L3113" s="256" t="inlineStr">
        <is>
          <t>iCoA-PP_26-175</t>
        </is>
      </c>
      <c r="M3113" s="256" t="inlineStr">
        <is>
          <t>24.08.2026</t>
        </is>
      </c>
      <c r="N3113" s="256" t="inlineStr">
        <is>
          <t>Purely Plant GmbH (in-house)</t>
        </is>
      </c>
      <c r="O3113" s="256" t="inlineStr">
        <is>
          <t>—</t>
        </is>
      </c>
      <c r="P3113" s="256" t="inlineStr">
        <is>
          <t>covered</t>
        </is>
      </c>
      <c r="Q3113" s="256" t="inlineStr">
        <is>
          <t>Purely Plant laboratory — iCoA covering Foreign matter</t>
        </is>
      </c>
      <c r="R3113" s="256" t="inlineStr"/>
    </row>
    <row r="3114">
      <c r="A3114" s="256" t="inlineStr">
        <is>
          <t>CoQ-PP_26-136</t>
        </is>
      </c>
      <c r="B3114" s="256" t="inlineStr">
        <is>
          <t>reissue — retest</t>
        </is>
      </c>
      <c r="C3114" s="256" t="inlineStr">
        <is>
          <t>AB092501</t>
        </is>
      </c>
      <c r="D3114" s="256" t="inlineStr">
        <is>
          <t>P060052</t>
        </is>
      </c>
      <c r="E3114" s="256" t="inlineStr">
        <is>
          <t>Apple and Banana</t>
        </is>
      </c>
      <c r="F3114" s="256" t="inlineStr">
        <is>
          <t>21.09.2026</t>
        </is>
      </c>
      <c r="G3114" s="256" t="inlineStr">
        <is>
          <t>8</t>
        </is>
      </c>
      <c r="H3114" s="256" t="inlineStr">
        <is>
          <t>Loss on Drying</t>
        </is>
      </c>
      <c r="I3114" s="256" t="inlineStr">
        <is>
          <t>Ph. Eur. 2.2.32 (3028) · at 40 °C, 24 h, 15–25 mbar</t>
        </is>
      </c>
      <c r="J3114" s="256" t="inlineStr">
        <is>
          <t>≤ 12.0%</t>
        </is>
      </c>
      <c r="K3114" s="256" t="inlineStr">
        <is>
          <t>6.77</t>
        </is>
      </c>
      <c r="L3114" s="256" t="inlineStr">
        <is>
          <t>ППК26005</t>
        </is>
      </c>
      <c r="M3114" s="256" t="inlineStr">
        <is>
          <t>21.01.2026</t>
        </is>
      </c>
      <c r="N3114" s="256" t="inlineStr">
        <is>
          <t>UKIM Faculty of Pharmacy — Center for Natural Products</t>
        </is>
      </c>
      <c r="O3114" s="256" t="inlineStr">
        <is>
          <t>08.01.2026</t>
        </is>
      </c>
      <c r="P3114" s="256" t="inlineStr">
        <is>
          <t>carried from the initial testing (the batch's initial CoQ (number assigned on issue)) — covered</t>
        </is>
      </c>
      <c r="Q3114" s="256" t="inlineStr"/>
      <c r="R3114" s="256" t="inlineStr"/>
    </row>
    <row r="3115">
      <c r="A3115" s="256" t="inlineStr">
        <is>
          <t>CoQ-PP_26-136</t>
        </is>
      </c>
      <c r="B3115" s="256" t="inlineStr">
        <is>
          <t>reissue — retest</t>
        </is>
      </c>
      <c r="C3115" s="256" t="inlineStr">
        <is>
          <t>AB092501</t>
        </is>
      </c>
      <c r="D3115" s="256" t="inlineStr">
        <is>
          <t>P060052</t>
        </is>
      </c>
      <c r="E3115" s="256" t="inlineStr">
        <is>
          <t>Apple and Banana</t>
        </is>
      </c>
      <c r="F3115" s="256" t="inlineStr">
        <is>
          <t>21.09.2026</t>
        </is>
      </c>
      <c r="G3115" s="256" t="inlineStr">
        <is>
          <t>9.1</t>
        </is>
      </c>
      <c r="H3115" s="256" t="inlineStr">
        <is>
          <t>TAMC</t>
        </is>
      </c>
      <c r="I3115" s="256" t="inlineStr">
        <is>
          <t>Ph. Eur. 2.6.12 cat. C</t>
        </is>
      </c>
      <c r="J3115" s="256" t="inlineStr">
        <is>
          <t>≤ 10⁵ CFU/g</t>
        </is>
      </c>
      <c r="K3115" s="256" t="inlineStr">
        <is>
          <t>&lt; 10</t>
        </is>
      </c>
      <c r="L3115" s="256" t="inlineStr">
        <is>
          <t>552/1083/26</t>
        </is>
      </c>
      <c r="M3115" s="256" t="inlineStr">
        <is>
          <t>01.09.2026</t>
        </is>
      </c>
      <c r="N3115" s="256" t="inlineStr">
        <is>
          <t>IPH — Institute of Public Health</t>
        </is>
      </c>
      <c r="O3115" s="256" t="inlineStr">
        <is>
          <t>26.08.2026</t>
        </is>
      </c>
      <c r="P3115" s="256" t="inlineStr">
        <is>
          <t>covered</t>
        </is>
      </c>
      <c r="Q3115" s="256" t="inlineStr"/>
      <c r="R3115" s="256" t="inlineStr"/>
    </row>
    <row r="3116">
      <c r="A3116" s="256" t="inlineStr">
        <is>
          <t>CoQ-PP_26-136</t>
        </is>
      </c>
      <c r="B3116" s="256" t="inlineStr">
        <is>
          <t>reissue — retest</t>
        </is>
      </c>
      <c r="C3116" s="256" t="inlineStr">
        <is>
          <t>AB092501</t>
        </is>
      </c>
      <c r="D3116" s="256" t="inlineStr">
        <is>
          <t>P060052</t>
        </is>
      </c>
      <c r="E3116" s="256" t="inlineStr">
        <is>
          <t>Apple and Banana</t>
        </is>
      </c>
      <c r="F3116" s="256" t="inlineStr">
        <is>
          <t>21.09.2026</t>
        </is>
      </c>
      <c r="G3116" s="256" t="inlineStr">
        <is>
          <t>9.2</t>
        </is>
      </c>
      <c r="H3116" s="256" t="inlineStr">
        <is>
          <t>TYMC</t>
        </is>
      </c>
      <c r="I3116" s="256" t="inlineStr">
        <is>
          <t>Ph. Eur. 2.6.12 cat. C</t>
        </is>
      </c>
      <c r="J3116" s="256" t="inlineStr">
        <is>
          <t>≤ 10⁴ CFU/g</t>
        </is>
      </c>
      <c r="K3116" s="256" t="inlineStr">
        <is>
          <t>&lt; 10</t>
        </is>
      </c>
      <c r="L3116" s="256" t="inlineStr">
        <is>
          <t>552/1083/26</t>
        </is>
      </c>
      <c r="M3116" s="256" t="inlineStr">
        <is>
          <t>01.09.2026</t>
        </is>
      </c>
      <c r="N3116" s="256" t="inlineStr">
        <is>
          <t>IPH — Institute of Public Health</t>
        </is>
      </c>
      <c r="O3116" s="256" t="inlineStr">
        <is>
          <t>26.08.2026</t>
        </is>
      </c>
      <c r="P3116" s="256" t="inlineStr">
        <is>
          <t>covered</t>
        </is>
      </c>
      <c r="Q3116" s="256" t="inlineStr"/>
      <c r="R3116" s="256" t="inlineStr"/>
    </row>
    <row r="3117">
      <c r="A3117" s="256" t="inlineStr">
        <is>
          <t>CoQ-PP_26-136</t>
        </is>
      </c>
      <c r="B3117" s="256" t="inlineStr">
        <is>
          <t>reissue — retest</t>
        </is>
      </c>
      <c r="C3117" s="256" t="inlineStr">
        <is>
          <t>AB092501</t>
        </is>
      </c>
      <c r="D3117" s="256" t="inlineStr">
        <is>
          <t>P060052</t>
        </is>
      </c>
      <c r="E3117" s="256" t="inlineStr">
        <is>
          <t>Apple and Banana</t>
        </is>
      </c>
      <c r="F3117" s="256" t="inlineStr">
        <is>
          <t>21.09.2026</t>
        </is>
      </c>
      <c r="G3117" s="256" t="inlineStr">
        <is>
          <t>9.3</t>
        </is>
      </c>
      <c r="H3117" s="256" t="inlineStr">
        <is>
          <t>Bile-tolerant gram-neg.</t>
        </is>
      </c>
      <c r="I3117" s="256" t="inlineStr">
        <is>
          <t>Ph. Eur. 2.6.31 cat. C</t>
        </is>
      </c>
      <c r="J3117" s="256" t="inlineStr">
        <is>
          <t>≤ 10⁴ CFU/g</t>
        </is>
      </c>
      <c r="K3117" s="256" t="inlineStr">
        <is>
          <t>&lt; 10</t>
        </is>
      </c>
      <c r="L3117" s="256" t="inlineStr">
        <is>
          <t>552/1083/26</t>
        </is>
      </c>
      <c r="M3117" s="256" t="inlineStr">
        <is>
          <t>01.09.2026</t>
        </is>
      </c>
      <c r="N3117" s="256" t="inlineStr">
        <is>
          <t>IPH — Institute of Public Health</t>
        </is>
      </c>
      <c r="O3117" s="256" t="inlineStr">
        <is>
          <t>26.08.2026</t>
        </is>
      </c>
      <c r="P3117" s="256" t="inlineStr">
        <is>
          <t>covered</t>
        </is>
      </c>
      <c r="Q3117" s="256" t="inlineStr"/>
      <c r="R3117" s="256" t="inlineStr"/>
    </row>
    <row r="3118">
      <c r="A3118" s="256" t="inlineStr">
        <is>
          <t>CoQ-PP_26-136</t>
        </is>
      </c>
      <c r="B3118" s="256" t="inlineStr">
        <is>
          <t>reissue — retest</t>
        </is>
      </c>
      <c r="C3118" s="256" t="inlineStr">
        <is>
          <t>AB092501</t>
        </is>
      </c>
      <c r="D3118" s="256" t="inlineStr">
        <is>
          <t>P060052</t>
        </is>
      </c>
      <c r="E3118" s="256" t="inlineStr">
        <is>
          <t>Apple and Banana</t>
        </is>
      </c>
      <c r="F3118" s="256" t="inlineStr">
        <is>
          <t>21.09.2026</t>
        </is>
      </c>
      <c r="G3118" s="256" t="inlineStr">
        <is>
          <t>9.4</t>
        </is>
      </c>
      <c r="H3118" s="256" t="inlineStr">
        <is>
          <t>Salmonella</t>
        </is>
      </c>
      <c r="I3118" s="256" t="inlineStr">
        <is>
          <t>Ph. Eur. 2.6.31 cat. C</t>
        </is>
      </c>
      <c r="J3118" s="256" t="inlineStr">
        <is>
          <t>Absence | Отсуство / 25 g</t>
        </is>
      </c>
      <c r="K3118" s="256" t="inlineStr">
        <is>
          <t>Absent | Отсутна</t>
        </is>
      </c>
      <c r="L3118" s="256" t="inlineStr">
        <is>
          <t>552/1083/26</t>
        </is>
      </c>
      <c r="M3118" s="256" t="inlineStr">
        <is>
          <t>01.09.2026</t>
        </is>
      </c>
      <c r="N3118" s="256" t="inlineStr">
        <is>
          <t>IPH — Institute of Public Health</t>
        </is>
      </c>
      <c r="O3118" s="256" t="inlineStr">
        <is>
          <t>26.08.2026</t>
        </is>
      </c>
      <c r="P3118" s="256" t="inlineStr">
        <is>
          <t>covered</t>
        </is>
      </c>
      <c r="Q3118" s="256" t="inlineStr"/>
      <c r="R3118" s="256" t="inlineStr"/>
    </row>
    <row r="3119">
      <c r="A3119" s="256" t="inlineStr">
        <is>
          <t>CoQ-PP_26-136</t>
        </is>
      </c>
      <c r="B3119" s="256" t="inlineStr">
        <is>
          <t>reissue — retest</t>
        </is>
      </c>
      <c r="C3119" s="256" t="inlineStr">
        <is>
          <t>AB092501</t>
        </is>
      </c>
      <c r="D3119" s="256" t="inlineStr">
        <is>
          <t>P060052</t>
        </is>
      </c>
      <c r="E3119" s="256" t="inlineStr">
        <is>
          <t>Apple and Banana</t>
        </is>
      </c>
      <c r="F3119" s="256" t="inlineStr">
        <is>
          <t>21.09.2026</t>
        </is>
      </c>
      <c r="G3119" s="256" t="inlineStr">
        <is>
          <t>9.5</t>
        </is>
      </c>
      <c r="H3119" s="256" t="inlineStr">
        <is>
          <t>Escherichia coli</t>
        </is>
      </c>
      <c r="I3119" s="256" t="inlineStr">
        <is>
          <t>Ph. Eur. 2.6.13 cat. C</t>
        </is>
      </c>
      <c r="J3119" s="256" t="inlineStr">
        <is>
          <t>Absence | Отсуство / 1 g</t>
        </is>
      </c>
      <c r="K3119" s="256" t="inlineStr">
        <is>
          <t>Absent | Отсутна</t>
        </is>
      </c>
      <c r="L3119" s="256" t="inlineStr">
        <is>
          <t>552/1083/26</t>
        </is>
      </c>
      <c r="M3119" s="256" t="inlineStr">
        <is>
          <t>01.09.2026</t>
        </is>
      </c>
      <c r="N3119" s="256" t="inlineStr">
        <is>
          <t>IPH — Institute of Public Health</t>
        </is>
      </c>
      <c r="O3119" s="256" t="inlineStr">
        <is>
          <t>26.08.2026</t>
        </is>
      </c>
      <c r="P3119" s="256" t="inlineStr">
        <is>
          <t>covered</t>
        </is>
      </c>
      <c r="Q3119" s="256" t="inlineStr"/>
      <c r="R3119" s="256" t="inlineStr"/>
    </row>
    <row r="3120">
      <c r="A3120" s="256" t="inlineStr">
        <is>
          <t>CoQ-PP_26-136</t>
        </is>
      </c>
      <c r="B3120" s="256" t="inlineStr">
        <is>
          <t>reissue — retest</t>
        </is>
      </c>
      <c r="C3120" s="256" t="inlineStr">
        <is>
          <t>AB092501</t>
        </is>
      </c>
      <c r="D3120" s="256" t="inlineStr">
        <is>
          <t>P060052</t>
        </is>
      </c>
      <c r="E3120" s="256" t="inlineStr">
        <is>
          <t>Apple and Banana</t>
        </is>
      </c>
      <c r="F3120" s="256" t="inlineStr">
        <is>
          <t>21.09.2026</t>
        </is>
      </c>
      <c r="G3120" s="256" t="inlineStr">
        <is>
          <t>9.6</t>
        </is>
      </c>
      <c r="H3120" s="256" t="inlineStr">
        <is>
          <t>Pseudomonas aeruginosa</t>
        </is>
      </c>
      <c r="I3120" s="256" t="inlineStr">
        <is>
          <t>Ph. Eur. 2.6.13 cat. C</t>
        </is>
      </c>
      <c r="J3120" s="256" t="inlineStr">
        <is>
          <t>Absence | Отсуство / 1 g</t>
        </is>
      </c>
      <c r="K3120" s="260" t="inlineStr">
        <is>
          <t>upon request — not required for release</t>
        </is>
      </c>
      <c r="L3120" s="256" t="inlineStr">
        <is>
          <t>—</t>
        </is>
      </c>
      <c r="M3120" s="256" t="inlineStr">
        <is>
          <t>—</t>
        </is>
      </c>
      <c r="N3120" s="256" t="inlineStr">
        <is>
          <t>—</t>
        </is>
      </c>
      <c r="O3120" s="256" t="inlineStr">
        <is>
          <t>—</t>
        </is>
      </c>
      <c r="P3120" s="256" t="inlineStr">
        <is>
          <t>upon request — not required for release</t>
        </is>
      </c>
      <c r="Q3120" s="256" t="inlineStr"/>
      <c r="R3120" s="256" t="inlineStr"/>
    </row>
    <row r="3121">
      <c r="A3121" s="256" t="inlineStr">
        <is>
          <t>CoQ-PP_26-136</t>
        </is>
      </c>
      <c r="B3121" s="256" t="inlineStr">
        <is>
          <t>reissue — retest</t>
        </is>
      </c>
      <c r="C3121" s="256" t="inlineStr">
        <is>
          <t>AB092501</t>
        </is>
      </c>
      <c r="D3121" s="256" t="inlineStr">
        <is>
          <t>P060052</t>
        </is>
      </c>
      <c r="E3121" s="256" t="inlineStr">
        <is>
          <t>Apple and Banana</t>
        </is>
      </c>
      <c r="F3121" s="256" t="inlineStr">
        <is>
          <t>21.09.2026</t>
        </is>
      </c>
      <c r="G3121" s="256" t="inlineStr">
        <is>
          <t>9.7</t>
        </is>
      </c>
      <c r="H3121" s="256" t="inlineStr">
        <is>
          <t>Staphylococcus aureus</t>
        </is>
      </c>
      <c r="I3121" s="256" t="inlineStr">
        <is>
          <t>Ph. Eur. 2.6.13 cat. C</t>
        </is>
      </c>
      <c r="J3121" s="256" t="inlineStr">
        <is>
          <t>Absence | Отсуство / 1 g</t>
        </is>
      </c>
      <c r="K3121" s="260" t="inlineStr">
        <is>
          <t>upon request — not required for release</t>
        </is>
      </c>
      <c r="L3121" s="256" t="inlineStr">
        <is>
          <t>—</t>
        </is>
      </c>
      <c r="M3121" s="256" t="inlineStr">
        <is>
          <t>—</t>
        </is>
      </c>
      <c r="N3121" s="256" t="inlineStr">
        <is>
          <t>—</t>
        </is>
      </c>
      <c r="O3121" s="256" t="inlineStr">
        <is>
          <t>—</t>
        </is>
      </c>
      <c r="P3121" s="256" t="inlineStr">
        <is>
          <t>upon request — not required for release</t>
        </is>
      </c>
      <c r="Q3121" s="256" t="inlineStr"/>
      <c r="R3121" s="256" t="inlineStr"/>
    </row>
    <row r="3122">
      <c r="A3122" s="256" t="inlineStr">
        <is>
          <t>CoQ-PP_26-136</t>
        </is>
      </c>
      <c r="B3122" s="256" t="inlineStr">
        <is>
          <t>reissue — retest</t>
        </is>
      </c>
      <c r="C3122" s="256" t="inlineStr">
        <is>
          <t>AB092501</t>
        </is>
      </c>
      <c r="D3122" s="256" t="inlineStr">
        <is>
          <t>P060052</t>
        </is>
      </c>
      <c r="E3122" s="256" t="inlineStr">
        <is>
          <t>Apple and Banana</t>
        </is>
      </c>
      <c r="F3122" s="256" t="inlineStr">
        <is>
          <t>21.09.2026</t>
        </is>
      </c>
      <c r="G3122" s="256" t="inlineStr">
        <is>
          <t>10.1</t>
        </is>
      </c>
      <c r="H3122" s="256" t="inlineStr">
        <is>
          <t>Aflatoxin B₁</t>
        </is>
      </c>
      <c r="I3122" s="256" t="inlineStr">
        <is>
          <t>Ph. Eur. 2.8.18 (HPLC-FLD)</t>
        </is>
      </c>
      <c r="J3122" s="256" t="inlineStr">
        <is>
          <t>≤ 2 µg/kg</t>
        </is>
      </c>
      <c r="K3122" s="256" t="inlineStr">
        <is>
          <t>ND</t>
        </is>
      </c>
      <c r="L3122" s="256" t="inlineStr">
        <is>
          <t>227-30-М/26</t>
        </is>
      </c>
      <c r="M3122" s="256" t="inlineStr">
        <is>
          <t>16.09.2026</t>
        </is>
      </c>
      <c r="N3122" s="256" t="inlineStr">
        <is>
          <t>Farmahem</t>
        </is>
      </c>
      <c r="O3122" s="256" t="inlineStr">
        <is>
          <t>—</t>
        </is>
      </c>
      <c r="P3122" s="256" t="inlineStr">
        <is>
          <t>covered</t>
        </is>
      </c>
      <c r="Q3122" s="256" t="inlineStr"/>
      <c r="R3122" s="256" t="inlineStr"/>
    </row>
    <row r="3123">
      <c r="A3123" s="256" t="inlineStr">
        <is>
          <t>CoQ-PP_26-136</t>
        </is>
      </c>
      <c r="B3123" s="256" t="inlineStr">
        <is>
          <t>reissue — retest</t>
        </is>
      </c>
      <c r="C3123" s="256" t="inlineStr">
        <is>
          <t>AB092501</t>
        </is>
      </c>
      <c r="D3123" s="256" t="inlineStr">
        <is>
          <t>P060052</t>
        </is>
      </c>
      <c r="E3123" s="256" t="inlineStr">
        <is>
          <t>Apple and Banana</t>
        </is>
      </c>
      <c r="F3123" s="256" t="inlineStr">
        <is>
          <t>21.09.2026</t>
        </is>
      </c>
      <c r="G3123" s="256" t="inlineStr">
        <is>
          <t>10.2</t>
        </is>
      </c>
      <c r="H3123" s="256" t="inlineStr">
        <is>
          <t>Aflatoxins ∑</t>
        </is>
      </c>
      <c r="I3123" s="256" t="inlineStr">
        <is>
          <t>Ph. Eur. 2.8.18 (HPLC-FLD)</t>
        </is>
      </c>
      <c r="J3123" s="256" t="inlineStr">
        <is>
          <t>≤ 4 µg/kg</t>
        </is>
      </c>
      <c r="K3123" s="256" t="inlineStr">
        <is>
          <t>ND</t>
        </is>
      </c>
      <c r="L3123" s="256" t="inlineStr">
        <is>
          <t>227-30-М/26</t>
        </is>
      </c>
      <c r="M3123" s="256" t="inlineStr">
        <is>
          <t>16.09.2026</t>
        </is>
      </c>
      <c r="N3123" s="256" t="inlineStr">
        <is>
          <t>Farmahem</t>
        </is>
      </c>
      <c r="O3123" s="256" t="inlineStr">
        <is>
          <t>—</t>
        </is>
      </c>
      <c r="P3123" s="256" t="inlineStr">
        <is>
          <t>carried from the initial testing (the batch's initial CoQ (number assigned on issue)) — covered</t>
        </is>
      </c>
      <c r="Q3123" s="256" t="inlineStr"/>
      <c r="R3123" s="256" t="inlineStr"/>
    </row>
    <row r="3124">
      <c r="A3124" s="256" t="inlineStr">
        <is>
          <t>CoQ-PP_26-136</t>
        </is>
      </c>
      <c r="B3124" s="256" t="inlineStr">
        <is>
          <t>reissue — retest</t>
        </is>
      </c>
      <c r="C3124" s="256" t="inlineStr">
        <is>
          <t>AB092501</t>
        </is>
      </c>
      <c r="D3124" s="256" t="inlineStr">
        <is>
          <t>P060052</t>
        </is>
      </c>
      <c r="E3124" s="256" t="inlineStr">
        <is>
          <t>Apple and Banana</t>
        </is>
      </c>
      <c r="F3124" s="256" t="inlineStr">
        <is>
          <t>21.09.2026</t>
        </is>
      </c>
      <c r="G3124" s="256" t="inlineStr">
        <is>
          <t>10.3</t>
        </is>
      </c>
      <c r="H3124" s="256" t="inlineStr">
        <is>
          <t>Ochratoxin A</t>
        </is>
      </c>
      <c r="I3124" s="256" t="inlineStr">
        <is>
          <t>Ph. Eur. 2.8.22 (HPLC-FLD)</t>
        </is>
      </c>
      <c r="J3124" s="256" t="inlineStr">
        <is>
          <t>≤ 20 µg/kg</t>
        </is>
      </c>
      <c r="K3124" s="256" t="inlineStr">
        <is>
          <t>ND</t>
        </is>
      </c>
      <c r="L3124" s="256" t="inlineStr">
        <is>
          <t>227-30-М/26</t>
        </is>
      </c>
      <c r="M3124" s="256" t="inlineStr">
        <is>
          <t>16.09.2026</t>
        </is>
      </c>
      <c r="N3124" s="256" t="inlineStr">
        <is>
          <t>Farmahem</t>
        </is>
      </c>
      <c r="O3124" s="256" t="inlineStr">
        <is>
          <t>—</t>
        </is>
      </c>
      <c r="P3124" s="256" t="inlineStr">
        <is>
          <t>covered</t>
        </is>
      </c>
      <c r="Q3124" s="256" t="inlineStr"/>
      <c r="R3124" s="256" t="inlineStr"/>
    </row>
    <row r="3125">
      <c r="A3125" s="256" t="inlineStr">
        <is>
          <t>CoQ-PP_26-136</t>
        </is>
      </c>
      <c r="B3125" s="256" t="inlineStr">
        <is>
          <t>reissue — retest</t>
        </is>
      </c>
      <c r="C3125" s="256" t="inlineStr">
        <is>
          <t>AB092501</t>
        </is>
      </c>
      <c r="D3125" s="256" t="inlineStr">
        <is>
          <t>P060052</t>
        </is>
      </c>
      <c r="E3125" s="256" t="inlineStr">
        <is>
          <t>Apple and Banana</t>
        </is>
      </c>
      <c r="F3125" s="256" t="inlineStr">
        <is>
          <t>21.09.2026</t>
        </is>
      </c>
      <c r="G3125" s="256" t="inlineStr">
        <is>
          <t>11.1</t>
        </is>
      </c>
      <c r="H3125" s="256" t="inlineStr">
        <is>
          <t>Lead (Pb)</t>
        </is>
      </c>
      <c r="I3125" s="256" t="inlineStr">
        <is>
          <t>Ph. Eur. 2.4.27 (ICP-MS)</t>
        </is>
      </c>
      <c r="J3125" s="256" t="inlineStr">
        <is>
          <t>≤ 0.5 mg/kg</t>
        </is>
      </c>
      <c r="K3125" s="256" t="inlineStr">
        <is>
          <t>0.05</t>
        </is>
      </c>
      <c r="L3125" s="256" t="inlineStr">
        <is>
          <t>84/2026</t>
        </is>
      </c>
      <c r="M3125" s="256" t="inlineStr">
        <is>
          <t>02.02.2026</t>
        </is>
      </c>
      <c r="N3125" s="256" t="inlineStr">
        <is>
          <t>IPH — Institute of Public Health</t>
        </is>
      </c>
      <c r="O3125" s="256" t="inlineStr">
        <is>
          <t>08.01.2026</t>
        </is>
      </c>
      <c r="P3125" s="256" t="inlineStr">
        <is>
          <t>carried from the initial testing (the batch's initial CoQ (number assigned on issue)) — covered</t>
        </is>
      </c>
      <c r="Q3125" s="256" t="inlineStr"/>
      <c r="R3125" s="256" t="inlineStr"/>
    </row>
    <row r="3126">
      <c r="A3126" s="256" t="inlineStr">
        <is>
          <t>CoQ-PP_26-136</t>
        </is>
      </c>
      <c r="B3126" s="256" t="inlineStr">
        <is>
          <t>reissue — retest</t>
        </is>
      </c>
      <c r="C3126" s="256" t="inlineStr">
        <is>
          <t>AB092501</t>
        </is>
      </c>
      <c r="D3126" s="256" t="inlineStr">
        <is>
          <t>P060052</t>
        </is>
      </c>
      <c r="E3126" s="256" t="inlineStr">
        <is>
          <t>Apple and Banana</t>
        </is>
      </c>
      <c r="F3126" s="256" t="inlineStr">
        <is>
          <t>21.09.2026</t>
        </is>
      </c>
      <c r="G3126" s="256" t="inlineStr">
        <is>
          <t>11.2</t>
        </is>
      </c>
      <c r="H3126" s="256" t="inlineStr">
        <is>
          <t>Cadmium (Cd)</t>
        </is>
      </c>
      <c r="I3126" s="256" t="inlineStr">
        <is>
          <t>Ph. Eur. 2.4.27 (ICP-MS)</t>
        </is>
      </c>
      <c r="J3126" s="256" t="inlineStr">
        <is>
          <t>≤ 0.3 mg/kg</t>
        </is>
      </c>
      <c r="K3126" s="256" t="inlineStr">
        <is>
          <t>ND</t>
        </is>
      </c>
      <c r="L3126" s="256" t="inlineStr">
        <is>
          <t>84/2026</t>
        </is>
      </c>
      <c r="M3126" s="256" t="inlineStr">
        <is>
          <t>02.02.2026</t>
        </is>
      </c>
      <c r="N3126" s="256" t="inlineStr">
        <is>
          <t>IPH — Institute of Public Health</t>
        </is>
      </c>
      <c r="O3126" s="256" t="inlineStr">
        <is>
          <t>08.01.2026</t>
        </is>
      </c>
      <c r="P3126" s="256" t="inlineStr">
        <is>
          <t>carried from the initial testing (the batch's initial CoQ (number assigned on issue)) — covered</t>
        </is>
      </c>
      <c r="Q3126" s="256" t="inlineStr"/>
      <c r="R3126" s="256" t="inlineStr"/>
    </row>
    <row r="3127">
      <c r="A3127" s="256" t="inlineStr">
        <is>
          <t>CoQ-PP_26-136</t>
        </is>
      </c>
      <c r="B3127" s="256" t="inlineStr">
        <is>
          <t>reissue — retest</t>
        </is>
      </c>
      <c r="C3127" s="256" t="inlineStr">
        <is>
          <t>AB092501</t>
        </is>
      </c>
      <c r="D3127" s="256" t="inlineStr">
        <is>
          <t>P060052</t>
        </is>
      </c>
      <c r="E3127" s="256" t="inlineStr">
        <is>
          <t>Apple and Banana</t>
        </is>
      </c>
      <c r="F3127" s="256" t="inlineStr">
        <is>
          <t>21.09.2026</t>
        </is>
      </c>
      <c r="G3127" s="256" t="inlineStr">
        <is>
          <t>11.3</t>
        </is>
      </c>
      <c r="H3127" s="256" t="inlineStr">
        <is>
          <t>Arsenic (As)</t>
        </is>
      </c>
      <c r="I3127" s="256" t="inlineStr">
        <is>
          <t>Ph. Eur. 2.4.27 (ICP-MS)</t>
        </is>
      </c>
      <c r="J3127" s="256" t="inlineStr">
        <is>
          <t>≤ 0.2 mg/kg</t>
        </is>
      </c>
      <c r="K3127" s="256" t="inlineStr">
        <is>
          <t>ND</t>
        </is>
      </c>
      <c r="L3127" s="256" t="inlineStr">
        <is>
          <t>84/2026</t>
        </is>
      </c>
      <c r="M3127" s="256" t="inlineStr">
        <is>
          <t>02.02.2026</t>
        </is>
      </c>
      <c r="N3127" s="256" t="inlineStr">
        <is>
          <t>IPH — Institute of Public Health</t>
        </is>
      </c>
      <c r="O3127" s="256" t="inlineStr">
        <is>
          <t>08.01.2026</t>
        </is>
      </c>
      <c r="P3127" s="256" t="inlineStr">
        <is>
          <t>carried from the initial testing (the batch's initial CoQ (number assigned on issue)) — covered</t>
        </is>
      </c>
      <c r="Q3127" s="256" t="inlineStr"/>
      <c r="R3127" s="256" t="inlineStr"/>
    </row>
    <row r="3128">
      <c r="A3128" s="256" t="inlineStr">
        <is>
          <t>CoQ-PP_26-136</t>
        </is>
      </c>
      <c r="B3128" s="256" t="inlineStr">
        <is>
          <t>reissue — retest</t>
        </is>
      </c>
      <c r="C3128" s="256" t="inlineStr">
        <is>
          <t>AB092501</t>
        </is>
      </c>
      <c r="D3128" s="256" t="inlineStr">
        <is>
          <t>P060052</t>
        </is>
      </c>
      <c r="E3128" s="256" t="inlineStr">
        <is>
          <t>Apple and Banana</t>
        </is>
      </c>
      <c r="F3128" s="256" t="inlineStr">
        <is>
          <t>21.09.2026</t>
        </is>
      </c>
      <c r="G3128" s="256" t="inlineStr">
        <is>
          <t>11.4</t>
        </is>
      </c>
      <c r="H3128" s="256" t="inlineStr">
        <is>
          <t>Mercury (Hg)</t>
        </is>
      </c>
      <c r="I3128" s="256" t="inlineStr">
        <is>
          <t>Ph. Eur. 2.4.27 (ICP-MS)</t>
        </is>
      </c>
      <c r="J3128" s="256" t="inlineStr">
        <is>
          <t>≤ 0.1 mg/kg</t>
        </is>
      </c>
      <c r="K3128" s="256" t="inlineStr">
        <is>
          <t>0.003</t>
        </is>
      </c>
      <c r="L3128" s="256" t="inlineStr">
        <is>
          <t>84/2026</t>
        </is>
      </c>
      <c r="M3128" s="256" t="inlineStr">
        <is>
          <t>02.02.2026</t>
        </is>
      </c>
      <c r="N3128" s="256" t="inlineStr">
        <is>
          <t>IPH — Institute of Public Health</t>
        </is>
      </c>
      <c r="O3128" s="256" t="inlineStr">
        <is>
          <t>08.01.2026</t>
        </is>
      </c>
      <c r="P3128" s="256" t="inlineStr">
        <is>
          <t>carried from the initial testing (the batch's initial CoQ (number assigned on issue)) — covered</t>
        </is>
      </c>
      <c r="Q3128" s="256" t="inlineStr"/>
      <c r="R3128" s="256" t="inlineStr"/>
    </row>
    <row r="3129">
      <c r="A3129" s="256" t="inlineStr">
        <is>
          <t>CoQ-PP_26-136</t>
        </is>
      </c>
      <c r="B3129" s="256" t="inlineStr">
        <is>
          <t>reissue — retest</t>
        </is>
      </c>
      <c r="C3129" s="256" t="inlineStr">
        <is>
          <t>AB092501</t>
        </is>
      </c>
      <c r="D3129" s="256" t="inlineStr">
        <is>
          <t>P060052</t>
        </is>
      </c>
      <c r="E3129" s="256" t="inlineStr">
        <is>
          <t>Apple and Banana</t>
        </is>
      </c>
      <c r="F3129" s="256" t="inlineStr">
        <is>
          <t>21.09.2026</t>
        </is>
      </c>
      <c r="G3129" s="256" t="inlineStr">
        <is>
          <t>12</t>
        </is>
      </c>
      <c r="H3129" s="256" t="inlineStr">
        <is>
          <t>Pesticide Residues</t>
        </is>
      </c>
      <c r="I3129" s="256" t="inlineStr">
        <is>
          <t>Ph. Eur. 2.8.13 (LC-MS/MS) · CUMCS Equivalency</t>
        </is>
      </c>
      <c r="J3129" s="256" t="inlineStr">
        <is>
          <t>≤ LOQ as per Ph. Eur. 2.8.13 · ≤ LOQ as per CUMCS Equivalency</t>
        </is>
      </c>
      <c r="K3129" s="256" t="inlineStr">
        <is>
          <t>ND</t>
        </is>
      </c>
      <c r="L3129" s="256" t="inlineStr">
        <is>
          <t>84/2026</t>
        </is>
      </c>
      <c r="M3129" s="256" t="inlineStr">
        <is>
          <t>02.02.2026</t>
        </is>
      </c>
      <c r="N3129" s="256" t="inlineStr">
        <is>
          <t>IPH — Institute of Public Health</t>
        </is>
      </c>
      <c r="O3129" s="256" t="inlineStr">
        <is>
          <t>08.01.2026</t>
        </is>
      </c>
      <c r="P3129" s="256" t="inlineStr">
        <is>
          <t>carried from the initial testing (the batch's initial CoQ (number assigned on issue)) — covered</t>
        </is>
      </c>
      <c r="Q3129" s="256" t="inlineStr"/>
      <c r="R3129" s="256" t="inlineStr"/>
    </row>
    <row r="3130">
      <c r="A3130" s="256" t="inlineStr">
        <is>
          <t>CoQ-PP_26-137</t>
        </is>
      </c>
      <c r="B3130" s="256" t="inlineStr">
        <is>
          <t>reissue — retest</t>
        </is>
      </c>
      <c r="C3130" s="256" t="inlineStr">
        <is>
          <t>BSS1024_01</t>
        </is>
      </c>
      <c r="D3130" s="256" t="inlineStr">
        <is>
          <t>P050122</t>
        </is>
      </c>
      <c r="E3130" s="256" t="inlineStr">
        <is>
          <t>Blue Sunset Sherbet</t>
        </is>
      </c>
      <c r="F3130" s="256" t="inlineStr">
        <is>
          <t>21.09.2026</t>
        </is>
      </c>
      <c r="G3130" s="256" t="inlineStr">
        <is>
          <t>1</t>
        </is>
      </c>
      <c r="H3130" s="256" t="inlineStr">
        <is>
          <t>Identification A, Appearance · Macroscopic</t>
        </is>
      </c>
      <c r="I3130" s="256" t="inlineStr">
        <is>
          <t>Ph. Eur. mon. 3028</t>
        </is>
      </c>
      <c r="J3130" s="256" t="inlineStr">
        <is>
          <t>Conforms to the monograph for Cannabis flos (07/2024:3028) in Ph. Eur. 11.0 | Согласно монографија за Cannabis flos (07/2024:3028) во Ph. Eur. 11.0</t>
        </is>
      </c>
      <c r="K3130" s="256" t="inlineStr">
        <is>
          <t>Conforms | Одговара</t>
        </is>
      </c>
      <c r="L3130" s="256" t="inlineStr">
        <is>
          <t>iCoA-PP_26-176</t>
        </is>
      </c>
      <c r="M3130" s="256" t="inlineStr">
        <is>
          <t>24.08.2026</t>
        </is>
      </c>
      <c r="N3130" s="256" t="inlineStr">
        <is>
          <t>Purely Plant GmbH (in-house)</t>
        </is>
      </c>
      <c r="O3130" s="256" t="inlineStr">
        <is>
          <t>—</t>
        </is>
      </c>
      <c r="P3130" s="256" t="inlineStr">
        <is>
          <t>covered</t>
        </is>
      </c>
      <c r="Q3130" s="256" t="inlineStr">
        <is>
          <t>Farmahem — Ident A + B + C with the Assay, at retest</t>
        </is>
      </c>
      <c r="R3130" s="256" t="inlineStr"/>
    </row>
    <row r="3131">
      <c r="A3131" s="256" t="inlineStr">
        <is>
          <t>CoQ-PP_26-137</t>
        </is>
      </c>
      <c r="B3131" s="256" t="inlineStr">
        <is>
          <t>reissue — retest</t>
        </is>
      </c>
      <c r="C3131" s="256" t="inlineStr">
        <is>
          <t>BSS1024_01</t>
        </is>
      </c>
      <c r="D3131" s="256" t="inlineStr">
        <is>
          <t>P050122</t>
        </is>
      </c>
      <c r="E3131" s="256" t="inlineStr">
        <is>
          <t>Blue Sunset Sherbet</t>
        </is>
      </c>
      <c r="F3131" s="256" t="inlineStr">
        <is>
          <t>21.09.2026</t>
        </is>
      </c>
      <c r="G3131" s="256" t="inlineStr">
        <is>
          <t>2</t>
        </is>
      </c>
      <c r="H3131" s="256" t="inlineStr">
        <is>
          <t>Identification B · Microscopic</t>
        </is>
      </c>
      <c r="I3131" s="256" t="inlineStr">
        <is>
          <t>Ph. Eur. 2.8.23 (microscopy)</t>
        </is>
      </c>
      <c r="J3131" s="256" t="inlineStr">
        <is>
          <t>Conforms to the monograph for Cannabis flos (07/2024:3028) in Ph. Eur. 11.0 | Согласно монографија за Cannabis flos (07/2024:3028) во Ph. Eur. 11.0</t>
        </is>
      </c>
      <c r="K3131" s="256" t="inlineStr">
        <is>
          <t>Conforms | Одговара</t>
        </is>
      </c>
      <c r="L3131" s="256" t="inlineStr">
        <is>
          <t>iCoA-PP_26-176</t>
        </is>
      </c>
      <c r="M3131" s="256" t="inlineStr">
        <is>
          <t>24.08.2026</t>
        </is>
      </c>
      <c r="N3131" s="256" t="inlineStr">
        <is>
          <t>Purely Plant GmbH (in-house)</t>
        </is>
      </c>
      <c r="O3131" s="256" t="inlineStr">
        <is>
          <t>—</t>
        </is>
      </c>
      <c r="P3131" s="256" t="inlineStr">
        <is>
          <t>to be performed — see route</t>
        </is>
      </c>
      <c r="Q3131" s="256" t="inlineStr">
        <is>
          <t>Farmahem — Ident A + B + C with the Assay, at retest</t>
        </is>
      </c>
      <c r="R3131" s="256" t="inlineStr"/>
    </row>
    <row r="3132">
      <c r="A3132" s="256" t="inlineStr">
        <is>
          <t>CoQ-PP_26-137</t>
        </is>
      </c>
      <c r="B3132" s="256" t="inlineStr">
        <is>
          <t>reissue — retest</t>
        </is>
      </c>
      <c r="C3132" s="256" t="inlineStr">
        <is>
          <t>BSS1024_01</t>
        </is>
      </c>
      <c r="D3132" s="256" t="inlineStr">
        <is>
          <t>P050122</t>
        </is>
      </c>
      <c r="E3132" s="256" t="inlineStr">
        <is>
          <t>Blue Sunset Sherbet</t>
        </is>
      </c>
      <c r="F3132" s="256" t="inlineStr">
        <is>
          <t>21.09.2026</t>
        </is>
      </c>
      <c r="G3132" s="256" t="inlineStr">
        <is>
          <t>3</t>
        </is>
      </c>
      <c r="H3132" s="256" t="inlineStr">
        <is>
          <t>Identification C · HPLC/HPTLC</t>
        </is>
      </c>
      <c r="I3132" s="256" t="inlineStr">
        <is>
          <t>Ph. Eur. 2.2.29 (3028)</t>
        </is>
      </c>
      <c r="J3132" s="256" t="inlineStr">
        <is>
          <t>Conforms to the monograph for Cannabis flos (07/2024:3028) in Ph. Eur. 11.0 | Согласно монографија за Cannabis flos (07/2024:3028) во Ph. Eur. 11.0</t>
        </is>
      </c>
      <c r="K3132" s="256" t="inlineStr">
        <is>
          <t>Conforms | Одговара</t>
        </is>
      </c>
      <c r="L3132" s="256" t="inlineStr">
        <is>
          <t>227-29-К/26</t>
        </is>
      </c>
      <c r="M3132" s="256" t="inlineStr">
        <is>
          <t>11.09.2026</t>
        </is>
      </c>
      <c r="N3132" s="256" t="inlineStr">
        <is>
          <t>Farmahem</t>
        </is>
      </c>
      <c r="O3132" s="256" t="inlineStr">
        <is>
          <t>24.08.2026</t>
        </is>
      </c>
      <c r="P3132" s="256" t="inlineStr">
        <is>
          <t>covered</t>
        </is>
      </c>
      <c r="Q3132" s="256" t="inlineStr"/>
      <c r="R3132" s="256" t="inlineStr"/>
    </row>
    <row r="3133">
      <c r="A3133" s="256" t="inlineStr">
        <is>
          <t>CoQ-PP_26-137</t>
        </is>
      </c>
      <c r="B3133" s="256" t="inlineStr">
        <is>
          <t>reissue — retest</t>
        </is>
      </c>
      <c r="C3133" s="256" t="inlineStr">
        <is>
          <t>BSS1024_01</t>
        </is>
      </c>
      <c r="D3133" s="256" t="inlineStr">
        <is>
          <t>P050122</t>
        </is>
      </c>
      <c r="E3133" s="256" t="inlineStr">
        <is>
          <t>Blue Sunset Sherbet</t>
        </is>
      </c>
      <c r="F3133" s="256" t="inlineStr">
        <is>
          <t>21.09.2026</t>
        </is>
      </c>
      <c r="G3133" s="256" t="inlineStr">
        <is>
          <t>4</t>
        </is>
      </c>
      <c r="H3133" s="256" t="inlineStr">
        <is>
          <t>Assay — Total Δ⁹-THC</t>
        </is>
      </c>
      <c r="I3133" s="256" t="inlineStr">
        <is>
          <t>Ph. Eur. 2.2.29 (HPLC)</t>
        </is>
      </c>
      <c r="J3133" s="256" t="inlineStr">
        <is>
          <t>26.07 – 29.92 %  (grade I, nominal 28.00 ± 1.93)</t>
        </is>
      </c>
      <c r="K3133" s="256" t="inlineStr">
        <is>
          <t>26.10</t>
        </is>
      </c>
      <c r="L3133" s="256" t="inlineStr">
        <is>
          <t>227-29-К/26</t>
        </is>
      </c>
      <c r="M3133" s="256" t="inlineStr">
        <is>
          <t>11.09.2026</t>
        </is>
      </c>
      <c r="N3133" s="256" t="inlineStr">
        <is>
          <t>Farmahem</t>
        </is>
      </c>
      <c r="O3133" s="256" t="inlineStr">
        <is>
          <t>24.08.2026</t>
        </is>
      </c>
      <c r="P3133" s="256" t="inlineStr">
        <is>
          <t>covered</t>
        </is>
      </c>
      <c r="Q3133" s="256" t="inlineStr"/>
      <c r="R3133" s="256" t="inlineStr"/>
    </row>
    <row r="3134">
      <c r="A3134" s="256" t="inlineStr">
        <is>
          <t>CoQ-PP_26-137</t>
        </is>
      </c>
      <c r="B3134" s="256" t="inlineStr">
        <is>
          <t>reissue — retest</t>
        </is>
      </c>
      <c r="C3134" s="256" t="inlineStr">
        <is>
          <t>BSS1024_01</t>
        </is>
      </c>
      <c r="D3134" s="256" t="inlineStr">
        <is>
          <t>P050122</t>
        </is>
      </c>
      <c r="E3134" s="256" t="inlineStr">
        <is>
          <t>Blue Sunset Sherbet</t>
        </is>
      </c>
      <c r="F3134" s="256" t="inlineStr">
        <is>
          <t>21.09.2026</t>
        </is>
      </c>
      <c r="G3134" s="256" t="inlineStr">
        <is>
          <t>5</t>
        </is>
      </c>
      <c r="H3134" s="256" t="inlineStr">
        <is>
          <t>Assay — Total CBD</t>
        </is>
      </c>
      <c r="I3134" s="256" t="inlineStr">
        <is>
          <t>Ph. Eur. 2.2.29 (HPLC) · CBD + CBDA x 0.877</t>
        </is>
      </c>
      <c r="J3134" s="256" t="inlineStr">
        <is>
          <t>≤ 1.0%, w/w</t>
        </is>
      </c>
      <c r="K3134" s="256" t="inlineStr">
        <is>
          <t>&lt; LOQ</t>
        </is>
      </c>
      <c r="L3134" s="256" t="inlineStr">
        <is>
          <t>227-29-К/26</t>
        </is>
      </c>
      <c r="M3134" s="256" t="inlineStr">
        <is>
          <t>11.09.2026</t>
        </is>
      </c>
      <c r="N3134" s="256" t="inlineStr">
        <is>
          <t>Farmahem</t>
        </is>
      </c>
      <c r="O3134" s="256" t="inlineStr">
        <is>
          <t>24.08.2026</t>
        </is>
      </c>
      <c r="P3134" s="256" t="inlineStr">
        <is>
          <t>covered</t>
        </is>
      </c>
      <c r="Q3134" s="256" t="inlineStr"/>
      <c r="R3134" s="256" t="inlineStr"/>
    </row>
    <row r="3135">
      <c r="A3135" s="256" t="inlineStr">
        <is>
          <t>CoQ-PP_26-137</t>
        </is>
      </c>
      <c r="B3135" s="256" t="inlineStr">
        <is>
          <t>reissue — retest</t>
        </is>
      </c>
      <c r="C3135" s="256" t="inlineStr">
        <is>
          <t>BSS1024_01</t>
        </is>
      </c>
      <c r="D3135" s="256" t="inlineStr">
        <is>
          <t>P050122</t>
        </is>
      </c>
      <c r="E3135" s="256" t="inlineStr">
        <is>
          <t>Blue Sunset Sherbet</t>
        </is>
      </c>
      <c r="F3135" s="256" t="inlineStr">
        <is>
          <t>21.09.2026</t>
        </is>
      </c>
      <c r="G3135" s="256" t="inlineStr">
        <is>
          <t>6</t>
        </is>
      </c>
      <c r="H3135" s="256" t="inlineStr">
        <is>
          <t>Total CBN</t>
        </is>
      </c>
      <c r="I3135" s="256" t="inlineStr">
        <is>
          <t>Ph. Eur. 2.2.29 (HPLC) · CBN + CBNA x 0.876</t>
        </is>
      </c>
      <c r="J3135" s="256" t="inlineStr">
        <is>
          <t>≤ 1.0%, w/w</t>
        </is>
      </c>
      <c r="K3135" s="256" t="inlineStr">
        <is>
          <t>0.20</t>
        </is>
      </c>
      <c r="L3135" s="256" t="inlineStr">
        <is>
          <t>227-29-К/26</t>
        </is>
      </c>
      <c r="M3135" s="256" t="inlineStr">
        <is>
          <t>11.09.2026</t>
        </is>
      </c>
      <c r="N3135" s="256" t="inlineStr">
        <is>
          <t>Farmahem</t>
        </is>
      </c>
      <c r="O3135" s="256" t="inlineStr">
        <is>
          <t>24.08.2026</t>
        </is>
      </c>
      <c r="P3135" s="256" t="inlineStr">
        <is>
          <t>covered</t>
        </is>
      </c>
      <c r="Q3135" s="256" t="inlineStr"/>
      <c r="R3135" s="256" t="inlineStr"/>
    </row>
    <row r="3136">
      <c r="A3136" s="256" t="inlineStr">
        <is>
          <t>CoQ-PP_26-137</t>
        </is>
      </c>
      <c r="B3136" s="256" t="inlineStr">
        <is>
          <t>reissue — retest</t>
        </is>
      </c>
      <c r="C3136" s="256" t="inlineStr">
        <is>
          <t>BSS1024_01</t>
        </is>
      </c>
      <c r="D3136" s="256" t="inlineStr">
        <is>
          <t>P050122</t>
        </is>
      </c>
      <c r="E3136" s="256" t="inlineStr">
        <is>
          <t>Blue Sunset Sherbet</t>
        </is>
      </c>
      <c r="F3136" s="256" t="inlineStr">
        <is>
          <t>21.09.2026</t>
        </is>
      </c>
      <c r="G3136" s="256" t="inlineStr">
        <is>
          <t>7</t>
        </is>
      </c>
      <c r="H3136" s="256" t="inlineStr">
        <is>
          <t>Foreign Matter</t>
        </is>
      </c>
      <c r="I3136" s="256" t="inlineStr">
        <is>
          <t>Ph. Eur. 2.8.2 · In-house · интерна</t>
        </is>
      </c>
      <c r="J3136" s="256" t="inlineStr">
        <is>
          <t>≤ 2.0% / 25–50 g · &lt; 1 cm leaves | листови, no seeds | без семки</t>
        </is>
      </c>
      <c r="K3136" s="256" t="inlineStr">
        <is>
          <t>Conforms | Одговара</t>
        </is>
      </c>
      <c r="L3136" s="256" t="inlineStr">
        <is>
          <t>iCoA-PP_26-176</t>
        </is>
      </c>
      <c r="M3136" s="256" t="inlineStr">
        <is>
          <t>24.08.2026</t>
        </is>
      </c>
      <c r="N3136" s="256" t="inlineStr">
        <is>
          <t>Purely Plant GmbH (in-house)</t>
        </is>
      </c>
      <c r="O3136" s="256" t="inlineStr">
        <is>
          <t>—</t>
        </is>
      </c>
      <c r="P3136" s="256" t="inlineStr">
        <is>
          <t>covered</t>
        </is>
      </c>
      <c r="Q3136" s="256" t="inlineStr">
        <is>
          <t>Purely Plant laboratory — iCoA covering Foreign matter</t>
        </is>
      </c>
      <c r="R3136" s="256" t="inlineStr"/>
    </row>
    <row r="3137">
      <c r="A3137" s="256" t="inlineStr">
        <is>
          <t>CoQ-PP_26-137</t>
        </is>
      </c>
      <c r="B3137" s="256" t="inlineStr">
        <is>
          <t>reissue — retest</t>
        </is>
      </c>
      <c r="C3137" s="256" t="inlineStr">
        <is>
          <t>BSS1024_01</t>
        </is>
      </c>
      <c r="D3137" s="256" t="inlineStr">
        <is>
          <t>P050122</t>
        </is>
      </c>
      <c r="E3137" s="256" t="inlineStr">
        <is>
          <t>Blue Sunset Sherbet</t>
        </is>
      </c>
      <c r="F3137" s="256" t="inlineStr">
        <is>
          <t>21.09.2026</t>
        </is>
      </c>
      <c r="G3137" s="256" t="inlineStr">
        <is>
          <t>8</t>
        </is>
      </c>
      <c r="H3137" s="256" t="inlineStr">
        <is>
          <t>Loss on Drying</t>
        </is>
      </c>
      <c r="I3137" s="256" t="inlineStr">
        <is>
          <t>DAB 2018 monograph Cannabis flos, 2.2.32 — loss on drying (CNP, before its Ph. Eur. 3028 accreditation)</t>
        </is>
      </c>
      <c r="J3137" s="256" t="inlineStr">
        <is>
          <t>≤ 12.0%</t>
        </is>
      </c>
      <c r="K3137" s="256" t="inlineStr">
        <is>
          <t>6.38</t>
        </is>
      </c>
      <c r="L3137" s="256" t="inlineStr">
        <is>
          <t>ППК25176</t>
        </is>
      </c>
      <c r="M3137" s="256" t="inlineStr">
        <is>
          <t>10.07.2025</t>
        </is>
      </c>
      <c r="N3137" s="256" t="inlineStr">
        <is>
          <t>UKIM Faculty of Pharmacy — Center for Natural Products</t>
        </is>
      </c>
      <c r="O3137" s="256" t="inlineStr">
        <is>
          <t>23.06.2025</t>
        </is>
      </c>
      <c r="P3137" s="256" t="inlineStr">
        <is>
          <t>carried from the initial testing (the batch's initial CoQ (number assigned on issue)) — covered</t>
        </is>
      </c>
      <c r="Q3137" s="256" t="inlineStr"/>
      <c r="R3137" s="256" t="inlineStr"/>
    </row>
    <row r="3138">
      <c r="A3138" s="256" t="inlineStr">
        <is>
          <t>CoQ-PP_26-137</t>
        </is>
      </c>
      <c r="B3138" s="256" t="inlineStr">
        <is>
          <t>reissue — retest</t>
        </is>
      </c>
      <c r="C3138" s="256" t="inlineStr">
        <is>
          <t>BSS1024_01</t>
        </is>
      </c>
      <c r="D3138" s="256" t="inlineStr">
        <is>
          <t>P050122</t>
        </is>
      </c>
      <c r="E3138" s="256" t="inlineStr">
        <is>
          <t>Blue Sunset Sherbet</t>
        </is>
      </c>
      <c r="F3138" s="256" t="inlineStr">
        <is>
          <t>21.09.2026</t>
        </is>
      </c>
      <c r="G3138" s="256" t="inlineStr">
        <is>
          <t>9.1</t>
        </is>
      </c>
      <c r="H3138" s="256" t="inlineStr">
        <is>
          <t>TAMC</t>
        </is>
      </c>
      <c r="I3138" s="256" t="inlineStr">
        <is>
          <t>Ph. Eur. 2.6.12 cat. C</t>
        </is>
      </c>
      <c r="J3138" s="256" t="inlineStr">
        <is>
          <t>≤ 10⁵ CFU/g</t>
        </is>
      </c>
      <c r="K3138" s="256" t="inlineStr">
        <is>
          <t>10</t>
        </is>
      </c>
      <c r="L3138" s="256" t="inlineStr">
        <is>
          <t>561/1092/26</t>
        </is>
      </c>
      <c r="M3138" s="256" t="inlineStr">
        <is>
          <t>01.09.2026</t>
        </is>
      </c>
      <c r="N3138" s="256" t="inlineStr">
        <is>
          <t>IPH — Institute of Public Health</t>
        </is>
      </c>
      <c r="O3138" s="256" t="inlineStr">
        <is>
          <t>26.08.2026</t>
        </is>
      </c>
      <c r="P3138" s="256" t="inlineStr">
        <is>
          <t>covered</t>
        </is>
      </c>
      <c r="Q3138" s="256" t="inlineStr"/>
      <c r="R3138" s="256" t="inlineStr"/>
    </row>
    <row r="3139">
      <c r="A3139" s="256" t="inlineStr">
        <is>
          <t>CoQ-PP_26-137</t>
        </is>
      </c>
      <c r="B3139" s="256" t="inlineStr">
        <is>
          <t>reissue — retest</t>
        </is>
      </c>
      <c r="C3139" s="256" t="inlineStr">
        <is>
          <t>BSS1024_01</t>
        </is>
      </c>
      <c r="D3139" s="256" t="inlineStr">
        <is>
          <t>P050122</t>
        </is>
      </c>
      <c r="E3139" s="256" t="inlineStr">
        <is>
          <t>Blue Sunset Sherbet</t>
        </is>
      </c>
      <c r="F3139" s="256" t="inlineStr">
        <is>
          <t>21.09.2026</t>
        </is>
      </c>
      <c r="G3139" s="256" t="inlineStr">
        <is>
          <t>9.2</t>
        </is>
      </c>
      <c r="H3139" s="256" t="inlineStr">
        <is>
          <t>TYMC</t>
        </is>
      </c>
      <c r="I3139" s="256" t="inlineStr">
        <is>
          <t>Ph. Eur. 2.6.12 cat. C</t>
        </is>
      </c>
      <c r="J3139" s="256" t="inlineStr">
        <is>
          <t>≤ 10⁴ CFU/g</t>
        </is>
      </c>
      <c r="K3139" s="256" t="inlineStr">
        <is>
          <t>20</t>
        </is>
      </c>
      <c r="L3139" s="256" t="inlineStr">
        <is>
          <t>561/1092/26</t>
        </is>
      </c>
      <c r="M3139" s="256" t="inlineStr">
        <is>
          <t>01.09.2026</t>
        </is>
      </c>
      <c r="N3139" s="256" t="inlineStr">
        <is>
          <t>IPH — Institute of Public Health</t>
        </is>
      </c>
      <c r="O3139" s="256" t="inlineStr">
        <is>
          <t>26.08.2026</t>
        </is>
      </c>
      <c r="P3139" s="256" t="inlineStr">
        <is>
          <t>covered</t>
        </is>
      </c>
      <c r="Q3139" s="256" t="inlineStr"/>
      <c r="R3139" s="256" t="inlineStr"/>
    </row>
    <row r="3140">
      <c r="A3140" s="256" t="inlineStr">
        <is>
          <t>CoQ-PP_26-137</t>
        </is>
      </c>
      <c r="B3140" s="256" t="inlineStr">
        <is>
          <t>reissue — retest</t>
        </is>
      </c>
      <c r="C3140" s="256" t="inlineStr">
        <is>
          <t>BSS1024_01</t>
        </is>
      </c>
      <c r="D3140" s="256" t="inlineStr">
        <is>
          <t>P050122</t>
        </is>
      </c>
      <c r="E3140" s="256" t="inlineStr">
        <is>
          <t>Blue Sunset Sherbet</t>
        </is>
      </c>
      <c r="F3140" s="256" t="inlineStr">
        <is>
          <t>21.09.2026</t>
        </is>
      </c>
      <c r="G3140" s="256" t="inlineStr">
        <is>
          <t>9.3</t>
        </is>
      </c>
      <c r="H3140" s="256" t="inlineStr">
        <is>
          <t>Bile-tolerant gram-neg.</t>
        </is>
      </c>
      <c r="I3140" s="256" t="inlineStr">
        <is>
          <t>Ph. Eur. 2.6.31 cat. C</t>
        </is>
      </c>
      <c r="J3140" s="256" t="inlineStr">
        <is>
          <t>≤ 10⁴ CFU/g</t>
        </is>
      </c>
      <c r="K3140" s="256" t="inlineStr">
        <is>
          <t>&lt; 10</t>
        </is>
      </c>
      <c r="L3140" s="256" t="inlineStr">
        <is>
          <t>561/1092/26</t>
        </is>
      </c>
      <c r="M3140" s="256" t="inlineStr">
        <is>
          <t>01.09.2026</t>
        </is>
      </c>
      <c r="N3140" s="256" t="inlineStr">
        <is>
          <t>IPH — Institute of Public Health</t>
        </is>
      </c>
      <c r="O3140" s="256" t="inlineStr">
        <is>
          <t>26.08.2026</t>
        </is>
      </c>
      <c r="P3140" s="256" t="inlineStr">
        <is>
          <t>covered</t>
        </is>
      </c>
      <c r="Q3140" s="256" t="inlineStr"/>
      <c r="R3140" s="256" t="inlineStr"/>
    </row>
    <row r="3141">
      <c r="A3141" s="256" t="inlineStr">
        <is>
          <t>CoQ-PP_26-137</t>
        </is>
      </c>
      <c r="B3141" s="256" t="inlineStr">
        <is>
          <t>reissue — retest</t>
        </is>
      </c>
      <c r="C3141" s="256" t="inlineStr">
        <is>
          <t>BSS1024_01</t>
        </is>
      </c>
      <c r="D3141" s="256" t="inlineStr">
        <is>
          <t>P050122</t>
        </is>
      </c>
      <c r="E3141" s="256" t="inlineStr">
        <is>
          <t>Blue Sunset Sherbet</t>
        </is>
      </c>
      <c r="F3141" s="256" t="inlineStr">
        <is>
          <t>21.09.2026</t>
        </is>
      </c>
      <c r="G3141" s="256" t="inlineStr">
        <is>
          <t>9.4</t>
        </is>
      </c>
      <c r="H3141" s="256" t="inlineStr">
        <is>
          <t>Salmonella</t>
        </is>
      </c>
      <c r="I3141" s="256" t="inlineStr">
        <is>
          <t>Ph. Eur. 2.6.31 cat. C</t>
        </is>
      </c>
      <c r="J3141" s="256" t="inlineStr">
        <is>
          <t>Absence | Отсуство / 25 g</t>
        </is>
      </c>
      <c r="K3141" s="256" t="inlineStr">
        <is>
          <t>Absent | Отсутна</t>
        </is>
      </c>
      <c r="L3141" s="256" t="inlineStr">
        <is>
          <t>561/1092/26</t>
        </is>
      </c>
      <c r="M3141" s="256" t="inlineStr">
        <is>
          <t>01.09.2026</t>
        </is>
      </c>
      <c r="N3141" s="256" t="inlineStr">
        <is>
          <t>IPH — Institute of Public Health</t>
        </is>
      </c>
      <c r="O3141" s="256" t="inlineStr">
        <is>
          <t>26.08.2026</t>
        </is>
      </c>
      <c r="P3141" s="256" t="inlineStr">
        <is>
          <t>covered</t>
        </is>
      </c>
      <c r="Q3141" s="256" t="inlineStr"/>
      <c r="R3141" s="256" t="inlineStr"/>
    </row>
    <row r="3142">
      <c r="A3142" s="256" t="inlineStr">
        <is>
          <t>CoQ-PP_26-137</t>
        </is>
      </c>
      <c r="B3142" s="256" t="inlineStr">
        <is>
          <t>reissue — retest</t>
        </is>
      </c>
      <c r="C3142" s="256" t="inlineStr">
        <is>
          <t>BSS1024_01</t>
        </is>
      </c>
      <c r="D3142" s="256" t="inlineStr">
        <is>
          <t>P050122</t>
        </is>
      </c>
      <c r="E3142" s="256" t="inlineStr">
        <is>
          <t>Blue Sunset Sherbet</t>
        </is>
      </c>
      <c r="F3142" s="256" t="inlineStr">
        <is>
          <t>21.09.2026</t>
        </is>
      </c>
      <c r="G3142" s="256" t="inlineStr">
        <is>
          <t>9.5</t>
        </is>
      </c>
      <c r="H3142" s="256" t="inlineStr">
        <is>
          <t>Escherichia coli</t>
        </is>
      </c>
      <c r="I3142" s="256" t="inlineStr">
        <is>
          <t>Ph. Eur. 2.6.13 cat. C</t>
        </is>
      </c>
      <c r="J3142" s="256" t="inlineStr">
        <is>
          <t>Absence | Отсуство / 1 g</t>
        </is>
      </c>
      <c r="K3142" s="256" t="inlineStr">
        <is>
          <t>Absent | Отсутна</t>
        </is>
      </c>
      <c r="L3142" s="256" t="inlineStr">
        <is>
          <t>561/1092/26</t>
        </is>
      </c>
      <c r="M3142" s="256" t="inlineStr">
        <is>
          <t>01.09.2026</t>
        </is>
      </c>
      <c r="N3142" s="256" t="inlineStr">
        <is>
          <t>IPH — Institute of Public Health</t>
        </is>
      </c>
      <c r="O3142" s="256" t="inlineStr">
        <is>
          <t>26.08.2026</t>
        </is>
      </c>
      <c r="P3142" s="256" t="inlineStr">
        <is>
          <t>covered</t>
        </is>
      </c>
      <c r="Q3142" s="256" t="inlineStr"/>
      <c r="R3142" s="256" t="inlineStr"/>
    </row>
    <row r="3143">
      <c r="A3143" s="256" t="inlineStr">
        <is>
          <t>CoQ-PP_26-137</t>
        </is>
      </c>
      <c r="B3143" s="256" t="inlineStr">
        <is>
          <t>reissue — retest</t>
        </is>
      </c>
      <c r="C3143" s="256" t="inlineStr">
        <is>
          <t>BSS1024_01</t>
        </is>
      </c>
      <c r="D3143" s="256" t="inlineStr">
        <is>
          <t>P050122</t>
        </is>
      </c>
      <c r="E3143" s="256" t="inlineStr">
        <is>
          <t>Blue Sunset Sherbet</t>
        </is>
      </c>
      <c r="F3143" s="256" t="inlineStr">
        <is>
          <t>21.09.2026</t>
        </is>
      </c>
      <c r="G3143" s="256" t="inlineStr">
        <is>
          <t>9.6</t>
        </is>
      </c>
      <c r="H3143" s="256" t="inlineStr">
        <is>
          <t>Pseudomonas aeruginosa</t>
        </is>
      </c>
      <c r="I3143" s="256" t="inlineStr">
        <is>
          <t>Ph. Eur. 2.6.13 cat. C</t>
        </is>
      </c>
      <c r="J3143" s="256" t="inlineStr">
        <is>
          <t>Absence | Отсуство / 1 g</t>
        </is>
      </c>
      <c r="K3143" s="260" t="inlineStr">
        <is>
          <t>upon request — not required for release</t>
        </is>
      </c>
      <c r="L3143" s="256" t="inlineStr">
        <is>
          <t>—</t>
        </is>
      </c>
      <c r="M3143" s="256" t="inlineStr">
        <is>
          <t>—</t>
        </is>
      </c>
      <c r="N3143" s="256" t="inlineStr">
        <is>
          <t>—</t>
        </is>
      </c>
      <c r="O3143" s="256" t="inlineStr">
        <is>
          <t>—</t>
        </is>
      </c>
      <c r="P3143" s="256" t="inlineStr">
        <is>
          <t>upon request — not required for release</t>
        </is>
      </c>
      <c r="Q3143" s="256" t="inlineStr"/>
      <c r="R3143" s="256" t="inlineStr"/>
    </row>
    <row r="3144">
      <c r="A3144" s="256" t="inlineStr">
        <is>
          <t>CoQ-PP_26-137</t>
        </is>
      </c>
      <c r="B3144" s="256" t="inlineStr">
        <is>
          <t>reissue — retest</t>
        </is>
      </c>
      <c r="C3144" s="256" t="inlineStr">
        <is>
          <t>BSS1024_01</t>
        </is>
      </c>
      <c r="D3144" s="256" t="inlineStr">
        <is>
          <t>P050122</t>
        </is>
      </c>
      <c r="E3144" s="256" t="inlineStr">
        <is>
          <t>Blue Sunset Sherbet</t>
        </is>
      </c>
      <c r="F3144" s="256" t="inlineStr">
        <is>
          <t>21.09.2026</t>
        </is>
      </c>
      <c r="G3144" s="256" t="inlineStr">
        <is>
          <t>9.7</t>
        </is>
      </c>
      <c r="H3144" s="256" t="inlineStr">
        <is>
          <t>Staphylococcus aureus</t>
        </is>
      </c>
      <c r="I3144" s="256" t="inlineStr">
        <is>
          <t>Ph. Eur. 2.6.13 cat. C</t>
        </is>
      </c>
      <c r="J3144" s="256" t="inlineStr">
        <is>
          <t>Absence | Отсуство / 1 g</t>
        </is>
      </c>
      <c r="K3144" s="260" t="inlineStr">
        <is>
          <t>upon request — not required for release</t>
        </is>
      </c>
      <c r="L3144" s="256" t="inlineStr">
        <is>
          <t>—</t>
        </is>
      </c>
      <c r="M3144" s="256" t="inlineStr">
        <is>
          <t>—</t>
        </is>
      </c>
      <c r="N3144" s="256" t="inlineStr">
        <is>
          <t>—</t>
        </is>
      </c>
      <c r="O3144" s="256" t="inlineStr">
        <is>
          <t>—</t>
        </is>
      </c>
      <c r="P3144" s="256" t="inlineStr">
        <is>
          <t>upon request — not required for release</t>
        </is>
      </c>
      <c r="Q3144" s="256" t="inlineStr"/>
      <c r="R3144" s="256" t="inlineStr"/>
    </row>
    <row r="3145">
      <c r="A3145" s="256" t="inlineStr">
        <is>
          <t>CoQ-PP_26-137</t>
        </is>
      </c>
      <c r="B3145" s="256" t="inlineStr">
        <is>
          <t>reissue — retest</t>
        </is>
      </c>
      <c r="C3145" s="256" t="inlineStr">
        <is>
          <t>BSS1024_01</t>
        </is>
      </c>
      <c r="D3145" s="256" t="inlineStr">
        <is>
          <t>P050122</t>
        </is>
      </c>
      <c r="E3145" s="256" t="inlineStr">
        <is>
          <t>Blue Sunset Sherbet</t>
        </is>
      </c>
      <c r="F3145" s="256" t="inlineStr">
        <is>
          <t>21.09.2026</t>
        </is>
      </c>
      <c r="G3145" s="256" t="inlineStr">
        <is>
          <t>10.1</t>
        </is>
      </c>
      <c r="H3145" s="256" t="inlineStr">
        <is>
          <t>Aflatoxin B₁</t>
        </is>
      </c>
      <c r="I3145" s="256" t="inlineStr">
        <is>
          <t>Ph. Eur. 2.8.18 (HPLC-FLD)</t>
        </is>
      </c>
      <c r="J3145" s="256" t="inlineStr">
        <is>
          <t>≤ 2 µg/kg</t>
        </is>
      </c>
      <c r="K3145" s="256" t="inlineStr">
        <is>
          <t>ND</t>
        </is>
      </c>
      <c r="L3145" s="256" t="inlineStr">
        <is>
          <t>227-29-М/26</t>
        </is>
      </c>
      <c r="M3145" s="256" t="inlineStr">
        <is>
          <t>16.09.2026</t>
        </is>
      </c>
      <c r="N3145" s="256" t="inlineStr">
        <is>
          <t>Farmahem</t>
        </is>
      </c>
      <c r="O3145" s="256" t="inlineStr">
        <is>
          <t>—</t>
        </is>
      </c>
      <c r="P3145" s="256" t="inlineStr">
        <is>
          <t>covered</t>
        </is>
      </c>
      <c r="Q3145" s="256" t="inlineStr"/>
      <c r="R3145" s="256" t="inlineStr"/>
    </row>
    <row r="3146">
      <c r="A3146" s="256" t="inlineStr">
        <is>
          <t>CoQ-PP_26-137</t>
        </is>
      </c>
      <c r="B3146" s="256" t="inlineStr">
        <is>
          <t>reissue — retest</t>
        </is>
      </c>
      <c r="C3146" s="256" t="inlineStr">
        <is>
          <t>BSS1024_01</t>
        </is>
      </c>
      <c r="D3146" s="256" t="inlineStr">
        <is>
          <t>P050122</t>
        </is>
      </c>
      <c r="E3146" s="256" t="inlineStr">
        <is>
          <t>Blue Sunset Sherbet</t>
        </is>
      </c>
      <c r="F3146" s="256" t="inlineStr">
        <is>
          <t>21.09.2026</t>
        </is>
      </c>
      <c r="G3146" s="256" t="inlineStr">
        <is>
          <t>10.2</t>
        </is>
      </c>
      <c r="H3146" s="256" t="inlineStr">
        <is>
          <t>Aflatoxins ∑</t>
        </is>
      </c>
      <c r="I3146" s="256" t="inlineStr">
        <is>
          <t>Ph. Eur. 2.8.18 (HPLC-FLD)</t>
        </is>
      </c>
      <c r="J3146" s="256" t="inlineStr">
        <is>
          <t>≤ 4 µg/kg</t>
        </is>
      </c>
      <c r="K3146" s="256" t="inlineStr">
        <is>
          <t>ND</t>
        </is>
      </c>
      <c r="L3146" s="256" t="inlineStr">
        <is>
          <t>227-29-М/26</t>
        </is>
      </c>
      <c r="M3146" s="256" t="inlineStr">
        <is>
          <t>16.09.2026</t>
        </is>
      </c>
      <c r="N3146" s="256" t="inlineStr">
        <is>
          <t>Farmahem</t>
        </is>
      </c>
      <c r="O3146" s="256" t="inlineStr">
        <is>
          <t>—</t>
        </is>
      </c>
      <c r="P3146" s="256" t="inlineStr">
        <is>
          <t>carried from the initial testing (the batch's initial CoQ (number assigned on issue)) — covered</t>
        </is>
      </c>
      <c r="Q3146" s="256" t="inlineStr"/>
      <c r="R3146" s="256" t="inlineStr"/>
    </row>
    <row r="3147">
      <c r="A3147" s="256" t="inlineStr">
        <is>
          <t>CoQ-PP_26-137</t>
        </is>
      </c>
      <c r="B3147" s="256" t="inlineStr">
        <is>
          <t>reissue — retest</t>
        </is>
      </c>
      <c r="C3147" s="256" t="inlineStr">
        <is>
          <t>BSS1024_01</t>
        </is>
      </c>
      <c r="D3147" s="256" t="inlineStr">
        <is>
          <t>P050122</t>
        </is>
      </c>
      <c r="E3147" s="256" t="inlineStr">
        <is>
          <t>Blue Sunset Sherbet</t>
        </is>
      </c>
      <c r="F3147" s="256" t="inlineStr">
        <is>
          <t>21.09.2026</t>
        </is>
      </c>
      <c r="G3147" s="256" t="inlineStr">
        <is>
          <t>10.3</t>
        </is>
      </c>
      <c r="H3147" s="256" t="inlineStr">
        <is>
          <t>Ochratoxin A</t>
        </is>
      </c>
      <c r="I3147" s="256" t="inlineStr">
        <is>
          <t>Ph. Eur. 2.8.22 (HPLC-FLD)</t>
        </is>
      </c>
      <c r="J3147" s="256" t="inlineStr">
        <is>
          <t>≤ 20 µg/kg</t>
        </is>
      </c>
      <c r="K3147" s="256" t="inlineStr">
        <is>
          <t>ND</t>
        </is>
      </c>
      <c r="L3147" s="256" t="inlineStr">
        <is>
          <t>227-29-М/26</t>
        </is>
      </c>
      <c r="M3147" s="256" t="inlineStr">
        <is>
          <t>16.09.2026</t>
        </is>
      </c>
      <c r="N3147" s="256" t="inlineStr">
        <is>
          <t>Farmahem</t>
        </is>
      </c>
      <c r="O3147" s="256" t="inlineStr">
        <is>
          <t>—</t>
        </is>
      </c>
      <c r="P3147" s="256" t="inlineStr">
        <is>
          <t>covered</t>
        </is>
      </c>
      <c r="Q3147" s="256" t="inlineStr"/>
      <c r="R3147" s="256" t="inlineStr"/>
    </row>
    <row r="3148">
      <c r="A3148" s="256" t="inlineStr">
        <is>
          <t>CoQ-PP_26-137</t>
        </is>
      </c>
      <c r="B3148" s="256" t="inlineStr">
        <is>
          <t>reissue — retest</t>
        </is>
      </c>
      <c r="C3148" s="256" t="inlineStr">
        <is>
          <t>BSS1024_01</t>
        </is>
      </c>
      <c r="D3148" s="256" t="inlineStr">
        <is>
          <t>P050122</t>
        </is>
      </c>
      <c r="E3148" s="256" t="inlineStr">
        <is>
          <t>Blue Sunset Sherbet</t>
        </is>
      </c>
      <c r="F3148" s="256" t="inlineStr">
        <is>
          <t>21.09.2026</t>
        </is>
      </c>
      <c r="G3148" s="256" t="inlineStr">
        <is>
          <t>11.1</t>
        </is>
      </c>
      <c r="H3148" s="256" t="inlineStr">
        <is>
          <t>Lead (Pb)</t>
        </is>
      </c>
      <c r="I3148" s="256" t="inlineStr">
        <is>
          <t>Ph. Eur. 2.4.27 (ICP-MS)</t>
        </is>
      </c>
      <c r="J3148" s="256" t="inlineStr">
        <is>
          <t>≤ 0.5 mg/kg</t>
        </is>
      </c>
      <c r="K3148" s="256" t="inlineStr">
        <is>
          <t>ND</t>
        </is>
      </c>
      <c r="L3148" s="256" t="inlineStr">
        <is>
          <t>3177/2025</t>
        </is>
      </c>
      <c r="M3148" s="256" t="inlineStr">
        <is>
          <t>26.06.2025</t>
        </is>
      </c>
      <c r="N3148" s="256" t="inlineStr">
        <is>
          <t>IPH — Institute of Public Health</t>
        </is>
      </c>
      <c r="O3148" s="256" t="inlineStr">
        <is>
          <t>23.06.2025</t>
        </is>
      </c>
      <c r="P3148" s="256" t="inlineStr">
        <is>
          <t>carried from the initial testing (the batch's initial CoQ (number assigned on issue)) — covered</t>
        </is>
      </c>
      <c r="Q3148" s="256" t="inlineStr"/>
      <c r="R3148" s="256" t="inlineStr"/>
    </row>
    <row r="3149">
      <c r="A3149" s="256" t="inlineStr">
        <is>
          <t>CoQ-PP_26-137</t>
        </is>
      </c>
      <c r="B3149" s="256" t="inlineStr">
        <is>
          <t>reissue — retest</t>
        </is>
      </c>
      <c r="C3149" s="256" t="inlineStr">
        <is>
          <t>BSS1024_01</t>
        </is>
      </c>
      <c r="D3149" s="256" t="inlineStr">
        <is>
          <t>P050122</t>
        </is>
      </c>
      <c r="E3149" s="256" t="inlineStr">
        <is>
          <t>Blue Sunset Sherbet</t>
        </is>
      </c>
      <c r="F3149" s="256" t="inlineStr">
        <is>
          <t>21.09.2026</t>
        </is>
      </c>
      <c r="G3149" s="256" t="inlineStr">
        <is>
          <t>11.2</t>
        </is>
      </c>
      <c r="H3149" s="256" t="inlineStr">
        <is>
          <t>Cadmium (Cd)</t>
        </is>
      </c>
      <c r="I3149" s="256" t="inlineStr">
        <is>
          <t>Ph. Eur. 2.4.27 (ICP-MS)</t>
        </is>
      </c>
      <c r="J3149" s="256" t="inlineStr">
        <is>
          <t>≤ 0.3 mg/kg</t>
        </is>
      </c>
      <c r="K3149" s="256" t="inlineStr">
        <is>
          <t>ND</t>
        </is>
      </c>
      <c r="L3149" s="256" t="inlineStr">
        <is>
          <t>3177/2025</t>
        </is>
      </c>
      <c r="M3149" s="256" t="inlineStr">
        <is>
          <t>26.06.2025</t>
        </is>
      </c>
      <c r="N3149" s="256" t="inlineStr">
        <is>
          <t>IPH — Institute of Public Health</t>
        </is>
      </c>
      <c r="O3149" s="256" t="inlineStr">
        <is>
          <t>23.06.2025</t>
        </is>
      </c>
      <c r="P3149" s="256" t="inlineStr">
        <is>
          <t>carried from the initial testing (the batch's initial CoQ (number assigned on issue)) — covered</t>
        </is>
      </c>
      <c r="Q3149" s="256" t="inlineStr"/>
      <c r="R3149" s="256" t="inlineStr"/>
    </row>
    <row r="3150">
      <c r="A3150" s="256" t="inlineStr">
        <is>
          <t>CoQ-PP_26-137</t>
        </is>
      </c>
      <c r="B3150" s="256" t="inlineStr">
        <is>
          <t>reissue — retest</t>
        </is>
      </c>
      <c r="C3150" s="256" t="inlineStr">
        <is>
          <t>BSS1024_01</t>
        </is>
      </c>
      <c r="D3150" s="256" t="inlineStr">
        <is>
          <t>P050122</t>
        </is>
      </c>
      <c r="E3150" s="256" t="inlineStr">
        <is>
          <t>Blue Sunset Sherbet</t>
        </is>
      </c>
      <c r="F3150" s="256" t="inlineStr">
        <is>
          <t>21.09.2026</t>
        </is>
      </c>
      <c r="G3150" s="256" t="inlineStr">
        <is>
          <t>11.3</t>
        </is>
      </c>
      <c r="H3150" s="256" t="inlineStr">
        <is>
          <t>Arsenic (As)</t>
        </is>
      </c>
      <c r="I3150" s="256" t="inlineStr">
        <is>
          <t>Ph. Eur. 2.4.27 (ICP-MS)</t>
        </is>
      </c>
      <c r="J3150" s="256" t="inlineStr">
        <is>
          <t>≤ 0.2 mg/kg</t>
        </is>
      </c>
      <c r="K3150" s="256" t="inlineStr">
        <is>
          <t>0.112</t>
        </is>
      </c>
      <c r="L3150" s="256" t="inlineStr">
        <is>
          <t>3177/2025</t>
        </is>
      </c>
      <c r="M3150" s="256" t="inlineStr">
        <is>
          <t>26.06.2025</t>
        </is>
      </c>
      <c r="N3150" s="256" t="inlineStr">
        <is>
          <t>IPH — Institute of Public Health</t>
        </is>
      </c>
      <c r="O3150" s="256" t="inlineStr">
        <is>
          <t>23.06.2025</t>
        </is>
      </c>
      <c r="P3150" s="256" t="inlineStr">
        <is>
          <t>carried from the initial testing (the batch's initial CoQ (number assigned on issue)) — covered</t>
        </is>
      </c>
      <c r="Q3150" s="256" t="inlineStr"/>
      <c r="R3150" s="256" t="inlineStr"/>
    </row>
    <row r="3151">
      <c r="A3151" s="256" t="inlineStr">
        <is>
          <t>CoQ-PP_26-137</t>
        </is>
      </c>
      <c r="B3151" s="256" t="inlineStr">
        <is>
          <t>reissue — retest</t>
        </is>
      </c>
      <c r="C3151" s="256" t="inlineStr">
        <is>
          <t>BSS1024_01</t>
        </is>
      </c>
      <c r="D3151" s="256" t="inlineStr">
        <is>
          <t>P050122</t>
        </is>
      </c>
      <c r="E3151" s="256" t="inlineStr">
        <is>
          <t>Blue Sunset Sherbet</t>
        </is>
      </c>
      <c r="F3151" s="256" t="inlineStr">
        <is>
          <t>21.09.2026</t>
        </is>
      </c>
      <c r="G3151" s="256" t="inlineStr">
        <is>
          <t>11.4</t>
        </is>
      </c>
      <c r="H3151" s="256" t="inlineStr">
        <is>
          <t>Mercury (Hg)</t>
        </is>
      </c>
      <c r="I3151" s="256" t="inlineStr">
        <is>
          <t>Ph. Eur. 2.4.27 (ICP-MS)</t>
        </is>
      </c>
      <c r="J3151" s="256" t="inlineStr">
        <is>
          <t>≤ 0.1 mg/kg</t>
        </is>
      </c>
      <c r="K3151" s="256" t="inlineStr">
        <is>
          <t>ND</t>
        </is>
      </c>
      <c r="L3151" s="256" t="inlineStr">
        <is>
          <t>3177/2025</t>
        </is>
      </c>
      <c r="M3151" s="256" t="inlineStr">
        <is>
          <t>26.06.2025</t>
        </is>
      </c>
      <c r="N3151" s="256" t="inlineStr">
        <is>
          <t>IPH — Institute of Public Health</t>
        </is>
      </c>
      <c r="O3151" s="256" t="inlineStr">
        <is>
          <t>23.06.2025</t>
        </is>
      </c>
      <c r="P3151" s="256" t="inlineStr">
        <is>
          <t>carried from the initial testing (the batch's initial CoQ (number assigned on issue)) — covered</t>
        </is>
      </c>
      <c r="Q3151" s="256" t="inlineStr"/>
      <c r="R3151" s="256" t="inlineStr"/>
    </row>
    <row r="3152">
      <c r="A3152" s="256" t="inlineStr">
        <is>
          <t>CoQ-PP_26-137</t>
        </is>
      </c>
      <c r="B3152" s="256" t="inlineStr">
        <is>
          <t>reissue — retest</t>
        </is>
      </c>
      <c r="C3152" s="256" t="inlineStr">
        <is>
          <t>BSS1024_01</t>
        </is>
      </c>
      <c r="D3152" s="256" t="inlineStr">
        <is>
          <t>P050122</t>
        </is>
      </c>
      <c r="E3152" s="256" t="inlineStr">
        <is>
          <t>Blue Sunset Sherbet</t>
        </is>
      </c>
      <c r="F3152" s="256" t="inlineStr">
        <is>
          <t>21.09.2026</t>
        </is>
      </c>
      <c r="G3152" s="256" t="inlineStr">
        <is>
          <t>12</t>
        </is>
      </c>
      <c r="H3152" s="256" t="inlineStr">
        <is>
          <t>Pesticide Residues</t>
        </is>
      </c>
      <c r="I3152" s="256" t="inlineStr">
        <is>
          <t>Ph. Eur. 2.8.13 (LC-MS/MS) · CUMCS Equivalency</t>
        </is>
      </c>
      <c r="J3152" s="256" t="inlineStr">
        <is>
          <t>≤ LOQ as per Ph. Eur. 2.8.13 · ≤ LOQ as per CUMCS Equivalency</t>
        </is>
      </c>
      <c r="K3152" s="256" t="inlineStr">
        <is>
          <t>ND</t>
        </is>
      </c>
      <c r="L3152" s="256" t="inlineStr">
        <is>
          <t>3177/2025</t>
        </is>
      </c>
      <c r="M3152" s="256" t="inlineStr">
        <is>
          <t>26.06.2025</t>
        </is>
      </c>
      <c r="N3152" s="256" t="inlineStr">
        <is>
          <t>IPH — Institute of Public Health</t>
        </is>
      </c>
      <c r="O3152" s="256" t="inlineStr">
        <is>
          <t>23.06.2025</t>
        </is>
      </c>
      <c r="P3152" s="256" t="inlineStr">
        <is>
          <t>carried from the initial testing (the batch's initial CoQ (number assigned on issue)) — covered</t>
        </is>
      </c>
      <c r="Q3152" s="256" t="inlineStr"/>
      <c r="R3152" s="256" t="inlineStr"/>
    </row>
    <row r="3153">
      <c r="A3153" s="256" t="inlineStr">
        <is>
          <t>CoQ-PP_26-138</t>
        </is>
      </c>
      <c r="B3153" s="256" t="inlineStr">
        <is>
          <t>reissue — retest</t>
        </is>
      </c>
      <c r="C3153" s="256" t="inlineStr">
        <is>
          <t>BSS1024_01/2</t>
        </is>
      </c>
      <c r="D3153" s="256" t="inlineStr">
        <is>
          <t>P050142</t>
        </is>
      </c>
      <c r="E3153" s="256" t="inlineStr">
        <is>
          <t>Blue Sunset Sherbet</t>
        </is>
      </c>
      <c r="F3153" s="256" t="inlineStr">
        <is>
          <t>21.09.2026</t>
        </is>
      </c>
      <c r="G3153" s="256" t="inlineStr">
        <is>
          <t>1</t>
        </is>
      </c>
      <c r="H3153" s="256" t="inlineStr">
        <is>
          <t>Identification A, Appearance · Macroscopic</t>
        </is>
      </c>
      <c r="I3153" s="256" t="inlineStr">
        <is>
          <t>Ph. Eur. mon. 3028</t>
        </is>
      </c>
      <c r="J3153" s="256" t="inlineStr">
        <is>
          <t>Conforms to the monograph for Cannabis flos (07/2024:3028) in Ph. Eur. 11.0 | Согласно монографија за Cannabis flos (07/2024:3028) во Ph. Eur. 11.0</t>
        </is>
      </c>
      <c r="K3153" s="256" t="inlineStr">
        <is>
          <t>Conforms | Одговара</t>
        </is>
      </c>
      <c r="L3153" s="256" t="inlineStr">
        <is>
          <t>iCoA-PP_26-155</t>
        </is>
      </c>
      <c r="M3153" s="256" t="inlineStr">
        <is>
          <t>24.08.2026</t>
        </is>
      </c>
      <c r="N3153" s="256" t="inlineStr">
        <is>
          <t>Purely Plant GmbH (in-house)</t>
        </is>
      </c>
      <c r="O3153" s="256" t="inlineStr">
        <is>
          <t>—</t>
        </is>
      </c>
      <c r="P3153" s="256" t="inlineStr">
        <is>
          <t>to be performed — see route</t>
        </is>
      </c>
      <c r="Q3153" s="256" t="inlineStr">
        <is>
          <t>Farmahem — Ident A + B + C with the Assay, at retest</t>
        </is>
      </c>
      <c r="R3153" s="256" t="inlineStr"/>
    </row>
    <row r="3154">
      <c r="A3154" s="256" t="inlineStr">
        <is>
          <t>CoQ-PP_26-138</t>
        </is>
      </c>
      <c r="B3154" s="256" t="inlineStr">
        <is>
          <t>reissue — retest</t>
        </is>
      </c>
      <c r="C3154" s="256" t="inlineStr">
        <is>
          <t>BSS1024_01/2</t>
        </is>
      </c>
      <c r="D3154" s="256" t="inlineStr">
        <is>
          <t>P050142</t>
        </is>
      </c>
      <c r="E3154" s="256" t="inlineStr">
        <is>
          <t>Blue Sunset Sherbet</t>
        </is>
      </c>
      <c r="F3154" s="256" t="inlineStr">
        <is>
          <t>21.09.2026</t>
        </is>
      </c>
      <c r="G3154" s="256" t="inlineStr">
        <is>
          <t>2</t>
        </is>
      </c>
      <c r="H3154" s="256" t="inlineStr">
        <is>
          <t>Identification B · Microscopic</t>
        </is>
      </c>
      <c r="I3154" s="256" t="inlineStr">
        <is>
          <t>Ph. Eur. 2.8.23 (microscopy)</t>
        </is>
      </c>
      <c r="J3154" s="256" t="inlineStr">
        <is>
          <t>Conforms to the monograph for Cannabis flos (07/2024:3028) in Ph. Eur. 11.0 | Согласно монографија за Cannabis flos (07/2024:3028) во Ph. Eur. 11.0</t>
        </is>
      </c>
      <c r="K3154" s="256" t="inlineStr">
        <is>
          <t>Conforms | Одговара</t>
        </is>
      </c>
      <c r="L3154" s="256" t="inlineStr">
        <is>
          <t>iCoA-PP_26-155</t>
        </is>
      </c>
      <c r="M3154" s="256" t="inlineStr">
        <is>
          <t>24.08.2026</t>
        </is>
      </c>
      <c r="N3154" s="256" t="inlineStr">
        <is>
          <t>Purely Plant GmbH (in-house)</t>
        </is>
      </c>
      <c r="O3154" s="256" t="inlineStr">
        <is>
          <t>—</t>
        </is>
      </c>
      <c r="P3154" s="256" t="inlineStr">
        <is>
          <t>to be performed — see route</t>
        </is>
      </c>
      <c r="Q3154" s="256" t="inlineStr">
        <is>
          <t>Farmahem — Ident A + B + C with the Assay, at retest</t>
        </is>
      </c>
      <c r="R3154" s="256" t="inlineStr"/>
    </row>
    <row r="3155">
      <c r="A3155" s="256" t="inlineStr">
        <is>
          <t>CoQ-PP_26-138</t>
        </is>
      </c>
      <c r="B3155" s="256" t="inlineStr">
        <is>
          <t>reissue — retest</t>
        </is>
      </c>
      <c r="C3155" s="256" t="inlineStr">
        <is>
          <t>BSS1024_01/2</t>
        </is>
      </c>
      <c r="D3155" s="256" t="inlineStr">
        <is>
          <t>P050142</t>
        </is>
      </c>
      <c r="E3155" s="256" t="inlineStr">
        <is>
          <t>Blue Sunset Sherbet</t>
        </is>
      </c>
      <c r="F3155" s="256" t="inlineStr">
        <is>
          <t>21.09.2026</t>
        </is>
      </c>
      <c r="G3155" s="256" t="inlineStr">
        <is>
          <t>3</t>
        </is>
      </c>
      <c r="H3155" s="256" t="inlineStr">
        <is>
          <t>Identification C · HPLC/HPTLC</t>
        </is>
      </c>
      <c r="I3155" s="256" t="inlineStr">
        <is>
          <t>Ph. Eur. 2.2.29 (3028)</t>
        </is>
      </c>
      <c r="J3155" s="256" t="inlineStr">
        <is>
          <t>Conforms to the monograph for Cannabis flos (07/2024:3028) in Ph. Eur. 11.0 | Согласно монографија за Cannabis flos (07/2024:3028) во Ph. Eur. 11.0</t>
        </is>
      </c>
      <c r="K3155" s="256" t="inlineStr">
        <is>
          <t>Conforms | Одговара</t>
        </is>
      </c>
      <c r="L3155" s="256" t="inlineStr">
        <is>
          <t>227-1-К/26</t>
        </is>
      </c>
      <c r="M3155" s="256" t="inlineStr">
        <is>
          <t>11.09.2026</t>
        </is>
      </c>
      <c r="N3155" s="256" t="inlineStr">
        <is>
          <t>Farmahem</t>
        </is>
      </c>
      <c r="O3155" s="256" t="inlineStr">
        <is>
          <t>24.08.2026</t>
        </is>
      </c>
      <c r="P3155" s="256" t="inlineStr">
        <is>
          <t>covered</t>
        </is>
      </c>
      <c r="Q3155" s="256" t="inlineStr"/>
      <c r="R3155" s="256" t="inlineStr"/>
    </row>
    <row r="3156">
      <c r="A3156" s="256" t="inlineStr">
        <is>
          <t>CoQ-PP_26-138</t>
        </is>
      </c>
      <c r="B3156" s="256" t="inlineStr">
        <is>
          <t>reissue — retest</t>
        </is>
      </c>
      <c r="C3156" s="256" t="inlineStr">
        <is>
          <t>BSS1024_01/2</t>
        </is>
      </c>
      <c r="D3156" s="256" t="inlineStr">
        <is>
          <t>P050142</t>
        </is>
      </c>
      <c r="E3156" s="256" t="inlineStr">
        <is>
          <t>Blue Sunset Sherbet</t>
        </is>
      </c>
      <c r="F3156" s="256" t="inlineStr">
        <is>
          <t>21.09.2026</t>
        </is>
      </c>
      <c r="G3156" s="256" t="inlineStr">
        <is>
          <t>4</t>
        </is>
      </c>
      <c r="H3156" s="256" t="inlineStr">
        <is>
          <t>Assay — Total Δ⁹-THC</t>
        </is>
      </c>
      <c r="I3156" s="256" t="inlineStr">
        <is>
          <t>Ph. Eur. 2.2.29 (HPLC)</t>
        </is>
      </c>
      <c r="J3156" s="256" t="inlineStr">
        <is>
          <t>26.07 – 29.92 %  (grade I, nominal 28.00 ± 1.93)</t>
        </is>
      </c>
      <c r="K3156" s="256" t="inlineStr">
        <is>
          <t>26.69</t>
        </is>
      </c>
      <c r="L3156" s="256" t="inlineStr">
        <is>
          <t>227-1-К/26</t>
        </is>
      </c>
      <c r="M3156" s="256" t="inlineStr">
        <is>
          <t>11.09.2026</t>
        </is>
      </c>
      <c r="N3156" s="256" t="inlineStr">
        <is>
          <t>Farmahem</t>
        </is>
      </c>
      <c r="O3156" s="256" t="inlineStr">
        <is>
          <t>24.08.2026</t>
        </is>
      </c>
      <c r="P3156" s="256" t="inlineStr">
        <is>
          <t>covered</t>
        </is>
      </c>
      <c r="Q3156" s="256" t="inlineStr"/>
      <c r="R3156" s="256" t="inlineStr"/>
    </row>
    <row r="3157">
      <c r="A3157" s="256" t="inlineStr">
        <is>
          <t>CoQ-PP_26-138</t>
        </is>
      </c>
      <c r="B3157" s="256" t="inlineStr">
        <is>
          <t>reissue — retest</t>
        </is>
      </c>
      <c r="C3157" s="256" t="inlineStr">
        <is>
          <t>BSS1024_01/2</t>
        </is>
      </c>
      <c r="D3157" s="256" t="inlineStr">
        <is>
          <t>P050142</t>
        </is>
      </c>
      <c r="E3157" s="256" t="inlineStr">
        <is>
          <t>Blue Sunset Sherbet</t>
        </is>
      </c>
      <c r="F3157" s="256" t="inlineStr">
        <is>
          <t>21.09.2026</t>
        </is>
      </c>
      <c r="G3157" s="256" t="inlineStr">
        <is>
          <t>5</t>
        </is>
      </c>
      <c r="H3157" s="256" t="inlineStr">
        <is>
          <t>Assay — Total CBD</t>
        </is>
      </c>
      <c r="I3157" s="256" t="inlineStr">
        <is>
          <t>Ph. Eur. 2.2.29 (HPLC) · CBD + CBDA x 0.877</t>
        </is>
      </c>
      <c r="J3157" s="256" t="inlineStr">
        <is>
          <t>≤ 1.0%, w/w</t>
        </is>
      </c>
      <c r="K3157" s="256" t="inlineStr">
        <is>
          <t>&lt; LOQ</t>
        </is>
      </c>
      <c r="L3157" s="256" t="inlineStr">
        <is>
          <t>227-1-К/26</t>
        </is>
      </c>
      <c r="M3157" s="256" t="inlineStr">
        <is>
          <t>11.09.2026</t>
        </is>
      </c>
      <c r="N3157" s="256" t="inlineStr">
        <is>
          <t>Farmahem</t>
        </is>
      </c>
      <c r="O3157" s="256" t="inlineStr">
        <is>
          <t>24.08.2026</t>
        </is>
      </c>
      <c r="P3157" s="256" t="inlineStr">
        <is>
          <t>covered</t>
        </is>
      </c>
      <c r="Q3157" s="256" t="inlineStr"/>
      <c r="R3157" s="256" t="inlineStr"/>
    </row>
    <row r="3158">
      <c r="A3158" s="256" t="inlineStr">
        <is>
          <t>CoQ-PP_26-138</t>
        </is>
      </c>
      <c r="B3158" s="256" t="inlineStr">
        <is>
          <t>reissue — retest</t>
        </is>
      </c>
      <c r="C3158" s="256" t="inlineStr">
        <is>
          <t>BSS1024_01/2</t>
        </is>
      </c>
      <c r="D3158" s="256" t="inlineStr">
        <is>
          <t>P050142</t>
        </is>
      </c>
      <c r="E3158" s="256" t="inlineStr">
        <is>
          <t>Blue Sunset Sherbet</t>
        </is>
      </c>
      <c r="F3158" s="256" t="inlineStr">
        <is>
          <t>21.09.2026</t>
        </is>
      </c>
      <c r="G3158" s="256" t="inlineStr">
        <is>
          <t>6</t>
        </is>
      </c>
      <c r="H3158" s="256" t="inlineStr">
        <is>
          <t>Total CBN</t>
        </is>
      </c>
      <c r="I3158" s="256" t="inlineStr">
        <is>
          <t>Ph. Eur. 2.2.29 (HPLC) · CBN + CBNA x 0.876</t>
        </is>
      </c>
      <c r="J3158" s="256" t="inlineStr">
        <is>
          <t>≤ 1.0%, w/w</t>
        </is>
      </c>
      <c r="K3158" s="256" t="inlineStr">
        <is>
          <t>&lt; LOQ</t>
        </is>
      </c>
      <c r="L3158" s="256" t="inlineStr">
        <is>
          <t>227-1-К/26</t>
        </is>
      </c>
      <c r="M3158" s="256" t="inlineStr">
        <is>
          <t>11.09.2026</t>
        </is>
      </c>
      <c r="N3158" s="256" t="inlineStr">
        <is>
          <t>Farmahem</t>
        </is>
      </c>
      <c r="O3158" s="256" t="inlineStr">
        <is>
          <t>24.08.2026</t>
        </is>
      </c>
      <c r="P3158" s="256" t="inlineStr">
        <is>
          <t>covered</t>
        </is>
      </c>
      <c r="Q3158" s="256" t="inlineStr"/>
      <c r="R3158" s="256" t="inlineStr"/>
    </row>
    <row r="3159">
      <c r="A3159" s="256" t="inlineStr">
        <is>
          <t>CoQ-PP_26-138</t>
        </is>
      </c>
      <c r="B3159" s="256" t="inlineStr">
        <is>
          <t>reissue — retest</t>
        </is>
      </c>
      <c r="C3159" s="256" t="inlineStr">
        <is>
          <t>BSS1024_01/2</t>
        </is>
      </c>
      <c r="D3159" s="256" t="inlineStr">
        <is>
          <t>P050142</t>
        </is>
      </c>
      <c r="E3159" s="256" t="inlineStr">
        <is>
          <t>Blue Sunset Sherbet</t>
        </is>
      </c>
      <c r="F3159" s="256" t="inlineStr">
        <is>
          <t>21.09.2026</t>
        </is>
      </c>
      <c r="G3159" s="256" t="inlineStr">
        <is>
          <t>7</t>
        </is>
      </c>
      <c r="H3159" s="256" t="inlineStr">
        <is>
          <t>Foreign Matter</t>
        </is>
      </c>
      <c r="I3159" s="256" t="inlineStr">
        <is>
          <t>Ph. Eur. 2.8.2 · In-house · интерна</t>
        </is>
      </c>
      <c r="J3159" s="256" t="inlineStr">
        <is>
          <t>≤ 2.0% / 25–50 g · &lt; 1 cm leaves | листови, no seeds | без семки</t>
        </is>
      </c>
      <c r="K3159" s="256" t="inlineStr">
        <is>
          <t>Conforms | Одговара</t>
        </is>
      </c>
      <c r="L3159" s="256" t="inlineStr">
        <is>
          <t>iCoA-PP_26-155</t>
        </is>
      </c>
      <c r="M3159" s="256" t="inlineStr">
        <is>
          <t>24.08.2026</t>
        </is>
      </c>
      <c r="N3159" s="256" t="inlineStr">
        <is>
          <t>Purely Plant GmbH (in-house)</t>
        </is>
      </c>
      <c r="O3159" s="256" t="inlineStr">
        <is>
          <t>—</t>
        </is>
      </c>
      <c r="P3159" s="256" t="inlineStr">
        <is>
          <t>to be performed — see route</t>
        </is>
      </c>
      <c r="Q3159" s="256" t="inlineStr">
        <is>
          <t>Purely Plant laboratory — iCoA covering Foreign matter</t>
        </is>
      </c>
      <c r="R3159" s="256" t="inlineStr"/>
    </row>
    <row r="3160">
      <c r="A3160" s="256" t="inlineStr">
        <is>
          <t>CoQ-PP_26-138</t>
        </is>
      </c>
      <c r="B3160" s="256" t="inlineStr">
        <is>
          <t>reissue — retest</t>
        </is>
      </c>
      <c r="C3160" s="256" t="inlineStr">
        <is>
          <t>BSS1024_01/2</t>
        </is>
      </c>
      <c r="D3160" s="256" t="inlineStr">
        <is>
          <t>P050142</t>
        </is>
      </c>
      <c r="E3160" s="256" t="inlineStr">
        <is>
          <t>Blue Sunset Sherbet</t>
        </is>
      </c>
      <c r="F3160" s="256" t="inlineStr">
        <is>
          <t>21.09.2026</t>
        </is>
      </c>
      <c r="G3160" s="256" t="inlineStr">
        <is>
          <t>8</t>
        </is>
      </c>
      <c r="H3160" s="256" t="inlineStr">
        <is>
          <t>Loss on Drying</t>
        </is>
      </c>
      <c r="I3160" s="256" t="inlineStr">
        <is>
          <t>Ph. Eur. 2.2.32 (3028) · at 40 °C, 24 h, 15–25 mbar</t>
        </is>
      </c>
      <c r="J3160" s="256" t="inlineStr">
        <is>
          <t>≤ 12.0%</t>
        </is>
      </c>
      <c r="K3160" s="256" t="inlineStr">
        <is>
          <t>carried from the initial testing — not tested</t>
        </is>
      </c>
      <c r="L3160" s="256" t="inlineStr">
        <is>
          <t>—</t>
        </is>
      </c>
      <c r="M3160" s="256" t="inlineStr">
        <is>
          <t>—</t>
        </is>
      </c>
      <c r="N3160" s="256" t="inlineStr">
        <is>
          <t>—</t>
        </is>
      </c>
      <c r="O3160" s="256" t="inlineStr">
        <is>
          <t>—</t>
        </is>
      </c>
      <c r="P3160" s="256" t="inlineStr">
        <is>
          <t>carried from the initial testing (the batch's initial CoQ (number assigned on issue)) — not tested — no certificate covers it</t>
        </is>
      </c>
      <c r="Q3160" s="256" t="inlineStr"/>
      <c r="R3160" s="256" t="inlineStr"/>
    </row>
    <row r="3161">
      <c r="A3161" s="256" t="inlineStr">
        <is>
          <t>CoQ-PP_26-138</t>
        </is>
      </c>
      <c r="B3161" s="256" t="inlineStr">
        <is>
          <t>reissue — retest</t>
        </is>
      </c>
      <c r="C3161" s="256" t="inlineStr">
        <is>
          <t>BSS1024_01/2</t>
        </is>
      </c>
      <c r="D3161" s="256" t="inlineStr">
        <is>
          <t>P050142</t>
        </is>
      </c>
      <c r="E3161" s="256" t="inlineStr">
        <is>
          <t>Blue Sunset Sherbet</t>
        </is>
      </c>
      <c r="F3161" s="256" t="inlineStr">
        <is>
          <t>21.09.2026</t>
        </is>
      </c>
      <c r="G3161" s="256" t="inlineStr">
        <is>
          <t>9.1</t>
        </is>
      </c>
      <c r="H3161" s="256" t="inlineStr">
        <is>
          <t>TAMC</t>
        </is>
      </c>
      <c r="I3161" s="256" t="inlineStr">
        <is>
          <t>Ph. Eur. 2.6.12 cat. C</t>
        </is>
      </c>
      <c r="J3161" s="256" t="inlineStr">
        <is>
          <t>≤ 10⁵ CFU/g</t>
        </is>
      </c>
      <c r="K3161" s="256" t="inlineStr">
        <is>
          <t>&lt; 10</t>
        </is>
      </c>
      <c r="L3161" s="256" t="inlineStr">
        <is>
          <t>559/1090/26</t>
        </is>
      </c>
      <c r="M3161" s="256" t="inlineStr">
        <is>
          <t>01.09.2026</t>
        </is>
      </c>
      <c r="N3161" s="256" t="inlineStr">
        <is>
          <t>IPH — Institute of Public Health</t>
        </is>
      </c>
      <c r="O3161" s="256" t="inlineStr">
        <is>
          <t>26.08.2026</t>
        </is>
      </c>
      <c r="P3161" s="256" t="inlineStr">
        <is>
          <t>covered</t>
        </is>
      </c>
      <c r="Q3161" s="256" t="inlineStr"/>
      <c r="R3161" s="256" t="inlineStr"/>
    </row>
    <row r="3162">
      <c r="A3162" s="256" t="inlineStr">
        <is>
          <t>CoQ-PP_26-138</t>
        </is>
      </c>
      <c r="B3162" s="256" t="inlineStr">
        <is>
          <t>reissue — retest</t>
        </is>
      </c>
      <c r="C3162" s="256" t="inlineStr">
        <is>
          <t>BSS1024_01/2</t>
        </is>
      </c>
      <c r="D3162" s="256" t="inlineStr">
        <is>
          <t>P050142</t>
        </is>
      </c>
      <c r="E3162" s="256" t="inlineStr">
        <is>
          <t>Blue Sunset Sherbet</t>
        </is>
      </c>
      <c r="F3162" s="256" t="inlineStr">
        <is>
          <t>21.09.2026</t>
        </is>
      </c>
      <c r="G3162" s="256" t="inlineStr">
        <is>
          <t>9.2</t>
        </is>
      </c>
      <c r="H3162" s="256" t="inlineStr">
        <is>
          <t>TYMC</t>
        </is>
      </c>
      <c r="I3162" s="256" t="inlineStr">
        <is>
          <t>Ph. Eur. 2.6.12 cat. C</t>
        </is>
      </c>
      <c r="J3162" s="256" t="inlineStr">
        <is>
          <t>≤ 10⁴ CFU/g</t>
        </is>
      </c>
      <c r="K3162" s="256" t="inlineStr">
        <is>
          <t>&lt; 10</t>
        </is>
      </c>
      <c r="L3162" s="256" t="inlineStr">
        <is>
          <t>559/1090/26</t>
        </is>
      </c>
      <c r="M3162" s="256" t="inlineStr">
        <is>
          <t>01.09.2026</t>
        </is>
      </c>
      <c r="N3162" s="256" t="inlineStr">
        <is>
          <t>IPH — Institute of Public Health</t>
        </is>
      </c>
      <c r="O3162" s="256" t="inlineStr">
        <is>
          <t>26.08.2026</t>
        </is>
      </c>
      <c r="P3162" s="256" t="inlineStr">
        <is>
          <t>covered</t>
        </is>
      </c>
      <c r="Q3162" s="256" t="inlineStr"/>
      <c r="R3162" s="256" t="inlineStr"/>
    </row>
    <row r="3163">
      <c r="A3163" s="256" t="inlineStr">
        <is>
          <t>CoQ-PP_26-138</t>
        </is>
      </c>
      <c r="B3163" s="256" t="inlineStr">
        <is>
          <t>reissue — retest</t>
        </is>
      </c>
      <c r="C3163" s="256" t="inlineStr">
        <is>
          <t>BSS1024_01/2</t>
        </is>
      </c>
      <c r="D3163" s="256" t="inlineStr">
        <is>
          <t>P050142</t>
        </is>
      </c>
      <c r="E3163" s="256" t="inlineStr">
        <is>
          <t>Blue Sunset Sherbet</t>
        </is>
      </c>
      <c r="F3163" s="256" t="inlineStr">
        <is>
          <t>21.09.2026</t>
        </is>
      </c>
      <c r="G3163" s="256" t="inlineStr">
        <is>
          <t>9.3</t>
        </is>
      </c>
      <c r="H3163" s="256" t="inlineStr">
        <is>
          <t>Bile-tolerant gram-neg.</t>
        </is>
      </c>
      <c r="I3163" s="256" t="inlineStr">
        <is>
          <t>Ph. Eur. 2.6.31 cat. C</t>
        </is>
      </c>
      <c r="J3163" s="256" t="inlineStr">
        <is>
          <t>≤ 10⁴ CFU/g</t>
        </is>
      </c>
      <c r="K3163" s="256" t="inlineStr">
        <is>
          <t>&lt; 10</t>
        </is>
      </c>
      <c r="L3163" s="256" t="inlineStr">
        <is>
          <t>559/1090/26</t>
        </is>
      </c>
      <c r="M3163" s="256" t="inlineStr">
        <is>
          <t>01.09.2026</t>
        </is>
      </c>
      <c r="N3163" s="256" t="inlineStr">
        <is>
          <t>IPH — Institute of Public Health</t>
        </is>
      </c>
      <c r="O3163" s="256" t="inlineStr">
        <is>
          <t>26.08.2026</t>
        </is>
      </c>
      <c r="P3163" s="256" t="inlineStr">
        <is>
          <t>covered</t>
        </is>
      </c>
      <c r="Q3163" s="256" t="inlineStr"/>
      <c r="R3163" s="256" t="inlineStr"/>
    </row>
    <row r="3164">
      <c r="A3164" s="256" t="inlineStr">
        <is>
          <t>CoQ-PP_26-138</t>
        </is>
      </c>
      <c r="B3164" s="256" t="inlineStr">
        <is>
          <t>reissue — retest</t>
        </is>
      </c>
      <c r="C3164" s="256" t="inlineStr">
        <is>
          <t>BSS1024_01/2</t>
        </is>
      </c>
      <c r="D3164" s="256" t="inlineStr">
        <is>
          <t>P050142</t>
        </is>
      </c>
      <c r="E3164" s="256" t="inlineStr">
        <is>
          <t>Blue Sunset Sherbet</t>
        </is>
      </c>
      <c r="F3164" s="256" t="inlineStr">
        <is>
          <t>21.09.2026</t>
        </is>
      </c>
      <c r="G3164" s="256" t="inlineStr">
        <is>
          <t>9.4</t>
        </is>
      </c>
      <c r="H3164" s="256" t="inlineStr">
        <is>
          <t>Salmonella</t>
        </is>
      </c>
      <c r="I3164" s="256" t="inlineStr">
        <is>
          <t>Ph. Eur. 2.6.31 cat. C</t>
        </is>
      </c>
      <c r="J3164" s="256" t="inlineStr">
        <is>
          <t>Absence | Отсуство / 25 g</t>
        </is>
      </c>
      <c r="K3164" s="256" t="inlineStr">
        <is>
          <t>Absent | Отсутна</t>
        </is>
      </c>
      <c r="L3164" s="256" t="inlineStr">
        <is>
          <t>559/1090/26</t>
        </is>
      </c>
      <c r="M3164" s="256" t="inlineStr">
        <is>
          <t>01.09.2026</t>
        </is>
      </c>
      <c r="N3164" s="256" t="inlineStr">
        <is>
          <t>IPH — Institute of Public Health</t>
        </is>
      </c>
      <c r="O3164" s="256" t="inlineStr">
        <is>
          <t>26.08.2026</t>
        </is>
      </c>
      <c r="P3164" s="256" t="inlineStr">
        <is>
          <t>covered</t>
        </is>
      </c>
      <c r="Q3164" s="256" t="inlineStr"/>
      <c r="R3164" s="256" t="inlineStr"/>
    </row>
    <row r="3165">
      <c r="A3165" s="256" t="inlineStr">
        <is>
          <t>CoQ-PP_26-138</t>
        </is>
      </c>
      <c r="B3165" s="256" t="inlineStr">
        <is>
          <t>reissue — retest</t>
        </is>
      </c>
      <c r="C3165" s="256" t="inlineStr">
        <is>
          <t>BSS1024_01/2</t>
        </is>
      </c>
      <c r="D3165" s="256" t="inlineStr">
        <is>
          <t>P050142</t>
        </is>
      </c>
      <c r="E3165" s="256" t="inlineStr">
        <is>
          <t>Blue Sunset Sherbet</t>
        </is>
      </c>
      <c r="F3165" s="256" t="inlineStr">
        <is>
          <t>21.09.2026</t>
        </is>
      </c>
      <c r="G3165" s="256" t="inlineStr">
        <is>
          <t>9.5</t>
        </is>
      </c>
      <c r="H3165" s="256" t="inlineStr">
        <is>
          <t>Escherichia coli</t>
        </is>
      </c>
      <c r="I3165" s="256" t="inlineStr">
        <is>
          <t>Ph. Eur. 2.6.13 cat. C</t>
        </is>
      </c>
      <c r="J3165" s="256" t="inlineStr">
        <is>
          <t>Absence | Отсуство / 1 g</t>
        </is>
      </c>
      <c r="K3165" s="256" t="inlineStr">
        <is>
          <t>Absent | Отсутна</t>
        </is>
      </c>
      <c r="L3165" s="256" t="inlineStr">
        <is>
          <t>559/1090/26</t>
        </is>
      </c>
      <c r="M3165" s="256" t="inlineStr">
        <is>
          <t>01.09.2026</t>
        </is>
      </c>
      <c r="N3165" s="256" t="inlineStr">
        <is>
          <t>IPH — Institute of Public Health</t>
        </is>
      </c>
      <c r="O3165" s="256" t="inlineStr">
        <is>
          <t>26.08.2026</t>
        </is>
      </c>
      <c r="P3165" s="256" t="inlineStr">
        <is>
          <t>covered</t>
        </is>
      </c>
      <c r="Q3165" s="256" t="inlineStr"/>
      <c r="R3165" s="256" t="inlineStr"/>
    </row>
    <row r="3166">
      <c r="A3166" s="256" t="inlineStr">
        <is>
          <t>CoQ-PP_26-138</t>
        </is>
      </c>
      <c r="B3166" s="256" t="inlineStr">
        <is>
          <t>reissue — retest</t>
        </is>
      </c>
      <c r="C3166" s="256" t="inlineStr">
        <is>
          <t>BSS1024_01/2</t>
        </is>
      </c>
      <c r="D3166" s="256" t="inlineStr">
        <is>
          <t>P050142</t>
        </is>
      </c>
      <c r="E3166" s="256" t="inlineStr">
        <is>
          <t>Blue Sunset Sherbet</t>
        </is>
      </c>
      <c r="F3166" s="256" t="inlineStr">
        <is>
          <t>21.09.2026</t>
        </is>
      </c>
      <c r="G3166" s="256" t="inlineStr">
        <is>
          <t>9.6</t>
        </is>
      </c>
      <c r="H3166" s="256" t="inlineStr">
        <is>
          <t>Pseudomonas aeruginosa</t>
        </is>
      </c>
      <c r="I3166" s="256" t="inlineStr">
        <is>
          <t>Ph. Eur. 2.6.13 cat. C</t>
        </is>
      </c>
      <c r="J3166" s="256" t="inlineStr">
        <is>
          <t>Absence | Отсуство / 1 g</t>
        </is>
      </c>
      <c r="K3166" s="260" t="inlineStr">
        <is>
          <t>upon request — not required for release</t>
        </is>
      </c>
      <c r="L3166" s="256" t="inlineStr">
        <is>
          <t>—</t>
        </is>
      </c>
      <c r="M3166" s="256" t="inlineStr">
        <is>
          <t>—</t>
        </is>
      </c>
      <c r="N3166" s="256" t="inlineStr">
        <is>
          <t>—</t>
        </is>
      </c>
      <c r="O3166" s="256" t="inlineStr">
        <is>
          <t>—</t>
        </is>
      </c>
      <c r="P3166" s="256" t="inlineStr">
        <is>
          <t>upon request — not required for release</t>
        </is>
      </c>
      <c r="Q3166" s="256" t="inlineStr"/>
      <c r="R3166" s="256" t="inlineStr"/>
    </row>
    <row r="3167">
      <c r="A3167" s="256" t="inlineStr">
        <is>
          <t>CoQ-PP_26-138</t>
        </is>
      </c>
      <c r="B3167" s="256" t="inlineStr">
        <is>
          <t>reissue — retest</t>
        </is>
      </c>
      <c r="C3167" s="256" t="inlineStr">
        <is>
          <t>BSS1024_01/2</t>
        </is>
      </c>
      <c r="D3167" s="256" t="inlineStr">
        <is>
          <t>P050142</t>
        </is>
      </c>
      <c r="E3167" s="256" t="inlineStr">
        <is>
          <t>Blue Sunset Sherbet</t>
        </is>
      </c>
      <c r="F3167" s="256" t="inlineStr">
        <is>
          <t>21.09.2026</t>
        </is>
      </c>
      <c r="G3167" s="256" t="inlineStr">
        <is>
          <t>9.7</t>
        </is>
      </c>
      <c r="H3167" s="256" t="inlineStr">
        <is>
          <t>Staphylococcus aureus</t>
        </is>
      </c>
      <c r="I3167" s="256" t="inlineStr">
        <is>
          <t>Ph. Eur. 2.6.13 cat. C</t>
        </is>
      </c>
      <c r="J3167" s="256" t="inlineStr">
        <is>
          <t>Absence | Отсуство / 1 g</t>
        </is>
      </c>
      <c r="K3167" s="260" t="inlineStr">
        <is>
          <t>upon request — not required for release</t>
        </is>
      </c>
      <c r="L3167" s="256" t="inlineStr">
        <is>
          <t>—</t>
        </is>
      </c>
      <c r="M3167" s="256" t="inlineStr">
        <is>
          <t>—</t>
        </is>
      </c>
      <c r="N3167" s="256" t="inlineStr">
        <is>
          <t>—</t>
        </is>
      </c>
      <c r="O3167" s="256" t="inlineStr">
        <is>
          <t>—</t>
        </is>
      </c>
      <c r="P3167" s="256" t="inlineStr">
        <is>
          <t>upon request — not required for release</t>
        </is>
      </c>
      <c r="Q3167" s="256" t="inlineStr"/>
      <c r="R3167" s="256" t="inlineStr"/>
    </row>
    <row r="3168">
      <c r="A3168" s="256" t="inlineStr">
        <is>
          <t>CoQ-PP_26-138</t>
        </is>
      </c>
      <c r="B3168" s="256" t="inlineStr">
        <is>
          <t>reissue — retest</t>
        </is>
      </c>
      <c r="C3168" s="256" t="inlineStr">
        <is>
          <t>BSS1024_01/2</t>
        </is>
      </c>
      <c r="D3168" s="256" t="inlineStr">
        <is>
          <t>P050142</t>
        </is>
      </c>
      <c r="E3168" s="256" t="inlineStr">
        <is>
          <t>Blue Sunset Sherbet</t>
        </is>
      </c>
      <c r="F3168" s="256" t="inlineStr">
        <is>
          <t>21.09.2026</t>
        </is>
      </c>
      <c r="G3168" s="256" t="inlineStr">
        <is>
          <t>10.1</t>
        </is>
      </c>
      <c r="H3168" s="256" t="inlineStr">
        <is>
          <t>Aflatoxin B₁</t>
        </is>
      </c>
      <c r="I3168" s="256" t="inlineStr">
        <is>
          <t>Ph. Eur. 2.8.18 (HPLC-FLD)</t>
        </is>
      </c>
      <c r="J3168" s="256" t="inlineStr">
        <is>
          <t>≤ 2 µg/kg</t>
        </is>
      </c>
      <c r="K3168" s="256" t="inlineStr">
        <is>
          <t>ND</t>
        </is>
      </c>
      <c r="L3168" s="256" t="inlineStr">
        <is>
          <t>227-1-М/26</t>
        </is>
      </c>
      <c r="M3168" s="256" t="inlineStr">
        <is>
          <t>16.09.2026</t>
        </is>
      </c>
      <c r="N3168" s="256" t="inlineStr">
        <is>
          <t>Farmahem</t>
        </is>
      </c>
      <c r="O3168" s="256" t="inlineStr">
        <is>
          <t>—</t>
        </is>
      </c>
      <c r="P3168" s="256" t="inlineStr">
        <is>
          <t>covered</t>
        </is>
      </c>
      <c r="Q3168" s="256" t="inlineStr"/>
      <c r="R3168" s="256" t="inlineStr"/>
    </row>
    <row r="3169">
      <c r="A3169" s="256" t="inlineStr">
        <is>
          <t>CoQ-PP_26-138</t>
        </is>
      </c>
      <c r="B3169" s="256" t="inlineStr">
        <is>
          <t>reissue — retest</t>
        </is>
      </c>
      <c r="C3169" s="256" t="inlineStr">
        <is>
          <t>BSS1024_01/2</t>
        </is>
      </c>
      <c r="D3169" s="256" t="inlineStr">
        <is>
          <t>P050142</t>
        </is>
      </c>
      <c r="E3169" s="256" t="inlineStr">
        <is>
          <t>Blue Sunset Sherbet</t>
        </is>
      </c>
      <c r="F3169" s="256" t="inlineStr">
        <is>
          <t>21.09.2026</t>
        </is>
      </c>
      <c r="G3169" s="256" t="inlineStr">
        <is>
          <t>10.2</t>
        </is>
      </c>
      <c r="H3169" s="256" t="inlineStr">
        <is>
          <t>Aflatoxins ∑</t>
        </is>
      </c>
      <c r="I3169" s="256" t="inlineStr">
        <is>
          <t>Ph. Eur. 2.8.18 (HPLC-FLD)</t>
        </is>
      </c>
      <c r="J3169" s="256" t="inlineStr">
        <is>
          <t>≤ 4 µg/kg</t>
        </is>
      </c>
      <c r="K3169" s="256" t="inlineStr">
        <is>
          <t>ND</t>
        </is>
      </c>
      <c r="L3169" s="256" t="inlineStr">
        <is>
          <t>227-1-М/26</t>
        </is>
      </c>
      <c r="M3169" s="256" t="inlineStr">
        <is>
          <t>16.09.2026</t>
        </is>
      </c>
      <c r="N3169" s="256" t="inlineStr">
        <is>
          <t>Farmahem</t>
        </is>
      </c>
      <c r="O3169" s="256" t="inlineStr">
        <is>
          <t>—</t>
        </is>
      </c>
      <c r="P3169" s="256" t="inlineStr">
        <is>
          <t>covered</t>
        </is>
      </c>
      <c r="Q3169" s="256" t="inlineStr"/>
      <c r="R3169" s="256" t="inlineStr"/>
    </row>
    <row r="3170">
      <c r="A3170" s="256" t="inlineStr">
        <is>
          <t>CoQ-PP_26-138</t>
        </is>
      </c>
      <c r="B3170" s="256" t="inlineStr">
        <is>
          <t>reissue — retest</t>
        </is>
      </c>
      <c r="C3170" s="256" t="inlineStr">
        <is>
          <t>BSS1024_01/2</t>
        </is>
      </c>
      <c r="D3170" s="256" t="inlineStr">
        <is>
          <t>P050142</t>
        </is>
      </c>
      <c r="E3170" s="256" t="inlineStr">
        <is>
          <t>Blue Sunset Sherbet</t>
        </is>
      </c>
      <c r="F3170" s="256" t="inlineStr">
        <is>
          <t>21.09.2026</t>
        </is>
      </c>
      <c r="G3170" s="256" t="inlineStr">
        <is>
          <t>10.3</t>
        </is>
      </c>
      <c r="H3170" s="256" t="inlineStr">
        <is>
          <t>Ochratoxin A</t>
        </is>
      </c>
      <c r="I3170" s="256" t="inlineStr">
        <is>
          <t>Ph. Eur. 2.8.22 (HPLC-FLD)</t>
        </is>
      </c>
      <c r="J3170" s="256" t="inlineStr">
        <is>
          <t>≤ 20 µg/kg</t>
        </is>
      </c>
      <c r="K3170" s="256" t="inlineStr">
        <is>
          <t>ND</t>
        </is>
      </c>
      <c r="L3170" s="256" t="inlineStr">
        <is>
          <t>227-1-М/26</t>
        </is>
      </c>
      <c r="M3170" s="256" t="inlineStr">
        <is>
          <t>16.09.2026</t>
        </is>
      </c>
      <c r="N3170" s="256" t="inlineStr">
        <is>
          <t>Farmahem</t>
        </is>
      </c>
      <c r="O3170" s="256" t="inlineStr">
        <is>
          <t>—</t>
        </is>
      </c>
      <c r="P3170" s="256" t="inlineStr">
        <is>
          <t>covered</t>
        </is>
      </c>
      <c r="Q3170" s="256" t="inlineStr"/>
      <c r="R3170" s="256" t="inlineStr"/>
    </row>
    <row r="3171">
      <c r="A3171" s="256" t="inlineStr">
        <is>
          <t>CoQ-PP_26-138</t>
        </is>
      </c>
      <c r="B3171" s="256" t="inlineStr">
        <is>
          <t>reissue — retest</t>
        </is>
      </c>
      <c r="C3171" s="256" t="inlineStr">
        <is>
          <t>BSS1024_01/2</t>
        </is>
      </c>
      <c r="D3171" s="256" t="inlineStr">
        <is>
          <t>P050142</t>
        </is>
      </c>
      <c r="E3171" s="256" t="inlineStr">
        <is>
          <t>Blue Sunset Sherbet</t>
        </is>
      </c>
      <c r="F3171" s="256" t="inlineStr">
        <is>
          <t>21.09.2026</t>
        </is>
      </c>
      <c r="G3171" s="256" t="inlineStr">
        <is>
          <t>11.1</t>
        </is>
      </c>
      <c r="H3171" s="256" t="inlineStr">
        <is>
          <t>Lead (Pb)</t>
        </is>
      </c>
      <c r="I3171" s="256" t="inlineStr">
        <is>
          <t>Ph. Eur. 2.4.27 (ICP-MS)</t>
        </is>
      </c>
      <c r="J3171" s="256" t="inlineStr">
        <is>
          <t>≤ 0.5 mg/kg</t>
        </is>
      </c>
      <c r="K3171" s="256" t="inlineStr">
        <is>
          <t>carried from the initial testing — not tested</t>
        </is>
      </c>
      <c r="L3171" s="256" t="inlineStr">
        <is>
          <t>—</t>
        </is>
      </c>
      <c r="M3171" s="256" t="inlineStr">
        <is>
          <t>—</t>
        </is>
      </c>
      <c r="N3171" s="256" t="inlineStr">
        <is>
          <t>—</t>
        </is>
      </c>
      <c r="O3171" s="256" t="inlineStr">
        <is>
          <t>—</t>
        </is>
      </c>
      <c r="P3171" s="256" t="inlineStr">
        <is>
          <t>carried from the initial testing (the batch's initial CoQ (number assigned on issue)) — not tested — no certificate covers it</t>
        </is>
      </c>
      <c r="Q3171" s="256" t="inlineStr"/>
      <c r="R3171" s="256" t="inlineStr"/>
    </row>
    <row r="3172">
      <c r="A3172" s="256" t="inlineStr">
        <is>
          <t>CoQ-PP_26-138</t>
        </is>
      </c>
      <c r="B3172" s="256" t="inlineStr">
        <is>
          <t>reissue — retest</t>
        </is>
      </c>
      <c r="C3172" s="256" t="inlineStr">
        <is>
          <t>BSS1024_01/2</t>
        </is>
      </c>
      <c r="D3172" s="256" t="inlineStr">
        <is>
          <t>P050142</t>
        </is>
      </c>
      <c r="E3172" s="256" t="inlineStr">
        <is>
          <t>Blue Sunset Sherbet</t>
        </is>
      </c>
      <c r="F3172" s="256" t="inlineStr">
        <is>
          <t>21.09.2026</t>
        </is>
      </c>
      <c r="G3172" s="256" t="inlineStr">
        <is>
          <t>11.2</t>
        </is>
      </c>
      <c r="H3172" s="256" t="inlineStr">
        <is>
          <t>Cadmium (Cd)</t>
        </is>
      </c>
      <c r="I3172" s="256" t="inlineStr">
        <is>
          <t>Ph. Eur. 2.4.27 (ICP-MS)</t>
        </is>
      </c>
      <c r="J3172" s="256" t="inlineStr">
        <is>
          <t>≤ 0.3 mg/kg</t>
        </is>
      </c>
      <c r="K3172" s="256" t="inlineStr">
        <is>
          <t>carried from the initial testing — not tested</t>
        </is>
      </c>
      <c r="L3172" s="256" t="inlineStr">
        <is>
          <t>—</t>
        </is>
      </c>
      <c r="M3172" s="256" t="inlineStr">
        <is>
          <t>—</t>
        </is>
      </c>
      <c r="N3172" s="256" t="inlineStr">
        <is>
          <t>—</t>
        </is>
      </c>
      <c r="O3172" s="256" t="inlineStr">
        <is>
          <t>—</t>
        </is>
      </c>
      <c r="P3172" s="256" t="inlineStr">
        <is>
          <t>carried from the initial testing (the batch's initial CoQ (number assigned on issue)) — not tested — no certificate covers it</t>
        </is>
      </c>
      <c r="Q3172" s="256" t="inlineStr"/>
      <c r="R3172" s="256" t="inlineStr"/>
    </row>
    <row r="3173">
      <c r="A3173" s="256" t="inlineStr">
        <is>
          <t>CoQ-PP_26-138</t>
        </is>
      </c>
      <c r="B3173" s="256" t="inlineStr">
        <is>
          <t>reissue — retest</t>
        </is>
      </c>
      <c r="C3173" s="256" t="inlineStr">
        <is>
          <t>BSS1024_01/2</t>
        </is>
      </c>
      <c r="D3173" s="256" t="inlineStr">
        <is>
          <t>P050142</t>
        </is>
      </c>
      <c r="E3173" s="256" t="inlineStr">
        <is>
          <t>Blue Sunset Sherbet</t>
        </is>
      </c>
      <c r="F3173" s="256" t="inlineStr">
        <is>
          <t>21.09.2026</t>
        </is>
      </c>
      <c r="G3173" s="256" t="inlineStr">
        <is>
          <t>11.3</t>
        </is>
      </c>
      <c r="H3173" s="256" t="inlineStr">
        <is>
          <t>Arsenic (As)</t>
        </is>
      </c>
      <c r="I3173" s="256" t="inlineStr">
        <is>
          <t>Ph. Eur. 2.4.27 (ICP-MS)</t>
        </is>
      </c>
      <c r="J3173" s="256" t="inlineStr">
        <is>
          <t>≤ 0.2 mg/kg</t>
        </is>
      </c>
      <c r="K3173" s="256" t="inlineStr">
        <is>
          <t>carried from the initial testing — not tested</t>
        </is>
      </c>
      <c r="L3173" s="256" t="inlineStr">
        <is>
          <t>—</t>
        </is>
      </c>
      <c r="M3173" s="256" t="inlineStr">
        <is>
          <t>—</t>
        </is>
      </c>
      <c r="N3173" s="256" t="inlineStr">
        <is>
          <t>—</t>
        </is>
      </c>
      <c r="O3173" s="256" t="inlineStr">
        <is>
          <t>—</t>
        </is>
      </c>
      <c r="P3173" s="256" t="inlineStr">
        <is>
          <t>carried from the initial testing (the batch's initial CoQ (number assigned on issue)) — not tested — no certificate covers it</t>
        </is>
      </c>
      <c r="Q3173" s="256" t="inlineStr"/>
      <c r="R3173" s="256" t="inlineStr"/>
    </row>
    <row r="3174">
      <c r="A3174" s="256" t="inlineStr">
        <is>
          <t>CoQ-PP_26-138</t>
        </is>
      </c>
      <c r="B3174" s="256" t="inlineStr">
        <is>
          <t>reissue — retest</t>
        </is>
      </c>
      <c r="C3174" s="256" t="inlineStr">
        <is>
          <t>BSS1024_01/2</t>
        </is>
      </c>
      <c r="D3174" s="256" t="inlineStr">
        <is>
          <t>P050142</t>
        </is>
      </c>
      <c r="E3174" s="256" t="inlineStr">
        <is>
          <t>Blue Sunset Sherbet</t>
        </is>
      </c>
      <c r="F3174" s="256" t="inlineStr">
        <is>
          <t>21.09.2026</t>
        </is>
      </c>
      <c r="G3174" s="256" t="inlineStr">
        <is>
          <t>11.4</t>
        </is>
      </c>
      <c r="H3174" s="256" t="inlineStr">
        <is>
          <t>Mercury (Hg)</t>
        </is>
      </c>
      <c r="I3174" s="256" t="inlineStr">
        <is>
          <t>Ph. Eur. 2.4.27 (ICP-MS)</t>
        </is>
      </c>
      <c r="J3174" s="256" t="inlineStr">
        <is>
          <t>≤ 0.1 mg/kg</t>
        </is>
      </c>
      <c r="K3174" s="256" t="inlineStr">
        <is>
          <t>carried from the initial testing — not tested</t>
        </is>
      </c>
      <c r="L3174" s="256" t="inlineStr">
        <is>
          <t>—</t>
        </is>
      </c>
      <c r="M3174" s="256" t="inlineStr">
        <is>
          <t>—</t>
        </is>
      </c>
      <c r="N3174" s="256" t="inlineStr">
        <is>
          <t>—</t>
        </is>
      </c>
      <c r="O3174" s="256" t="inlineStr">
        <is>
          <t>—</t>
        </is>
      </c>
      <c r="P3174" s="256" t="inlineStr">
        <is>
          <t>carried from the initial testing (the batch's initial CoQ (number assigned on issue)) — not tested — no certificate covers it</t>
        </is>
      </c>
      <c r="Q3174" s="256" t="inlineStr"/>
      <c r="R3174" s="256" t="inlineStr"/>
    </row>
    <row r="3175">
      <c r="A3175" s="256" t="inlineStr">
        <is>
          <t>CoQ-PP_26-138</t>
        </is>
      </c>
      <c r="B3175" s="256" t="inlineStr">
        <is>
          <t>reissue — retest</t>
        </is>
      </c>
      <c r="C3175" s="256" t="inlineStr">
        <is>
          <t>BSS1024_01/2</t>
        </is>
      </c>
      <c r="D3175" s="256" t="inlineStr">
        <is>
          <t>P050142</t>
        </is>
      </c>
      <c r="E3175" s="256" t="inlineStr">
        <is>
          <t>Blue Sunset Sherbet</t>
        </is>
      </c>
      <c r="F3175" s="256" t="inlineStr">
        <is>
          <t>21.09.2026</t>
        </is>
      </c>
      <c r="G3175" s="256" t="inlineStr">
        <is>
          <t>12</t>
        </is>
      </c>
      <c r="H3175" s="256" t="inlineStr">
        <is>
          <t>Pesticide Residues</t>
        </is>
      </c>
      <c r="I3175" s="256" t="inlineStr">
        <is>
          <t>Ph. Eur. 2.8.13 (LC-MS/MS) · CUMCS Equivalency</t>
        </is>
      </c>
      <c r="J3175" s="256" t="inlineStr">
        <is>
          <t>≤ LOQ as per Ph. Eur. 2.8.13 · ≤ LOQ as per CUMCS Equivalency</t>
        </is>
      </c>
      <c r="K3175" s="256" t="inlineStr">
        <is>
          <t>carried from the initial testing — not tested</t>
        </is>
      </c>
      <c r="L3175" s="256" t="inlineStr">
        <is>
          <t>—</t>
        </is>
      </c>
      <c r="M3175" s="256" t="inlineStr">
        <is>
          <t>—</t>
        </is>
      </c>
      <c r="N3175" s="256" t="inlineStr">
        <is>
          <t>—</t>
        </is>
      </c>
      <c r="O3175" s="256" t="inlineStr">
        <is>
          <t>—</t>
        </is>
      </c>
      <c r="P3175" s="256" t="inlineStr">
        <is>
          <t>carried from the initial testing (the batch's initial CoQ (number assigned on issue)) — not tested — no certificate covers it</t>
        </is>
      </c>
      <c r="Q3175" s="256" t="inlineStr"/>
      <c r="R3175" s="256" t="inlineStr"/>
    </row>
    <row r="3176">
      <c r="A3176" s="256" t="inlineStr">
        <is>
          <t>CoQ-PP_26-139</t>
        </is>
      </c>
      <c r="B3176" s="256" t="inlineStr">
        <is>
          <t>reissue — retest</t>
        </is>
      </c>
      <c r="C3176" s="256" t="inlineStr">
        <is>
          <t>CC112501</t>
        </is>
      </c>
      <c r="D3176" s="256" t="inlineStr">
        <is>
          <t>— no P lot assigned —</t>
        </is>
      </c>
      <c r="E3176" s="256" t="inlineStr">
        <is>
          <t>Cash Cow</t>
        </is>
      </c>
      <c r="F3176" s="256" t="inlineStr">
        <is>
          <t>21.09.2026</t>
        </is>
      </c>
      <c r="G3176" s="256" t="inlineStr">
        <is>
          <t>1</t>
        </is>
      </c>
      <c r="H3176" s="256" t="inlineStr">
        <is>
          <t>Identification A, Appearance · Macroscopic</t>
        </is>
      </c>
      <c r="I3176" s="256" t="inlineStr">
        <is>
          <t>Ph. Eur. mon. 3028</t>
        </is>
      </c>
      <c r="J3176" s="256" t="inlineStr">
        <is>
          <t>Conforms to the monograph for Cannabis flos (07/2024:3028) in Ph. Eur. 11.0 | Согласно монографија за Cannabis flos (07/2024:3028) во Ph. Eur. 11.0</t>
        </is>
      </c>
      <c r="K3176" s="256" t="inlineStr">
        <is>
          <t>Conforms | Одговара</t>
        </is>
      </c>
      <c r="L3176" s="256" t="inlineStr">
        <is>
          <t>iCoA-PP_26-177</t>
        </is>
      </c>
      <c r="M3176" s="256" t="inlineStr">
        <is>
          <t>24.08.2026</t>
        </is>
      </c>
      <c r="N3176" s="256" t="inlineStr">
        <is>
          <t>Purely Plant GmbH (in-house)</t>
        </is>
      </c>
      <c r="O3176" s="256" t="inlineStr">
        <is>
          <t>—</t>
        </is>
      </c>
      <c r="P3176" s="256" t="inlineStr">
        <is>
          <t>to be performed — see route</t>
        </is>
      </c>
      <c r="Q3176" s="256" t="inlineStr">
        <is>
          <t>Farmahem — Ident A + B + C with the Assay, at retest</t>
        </is>
      </c>
      <c r="R3176" s="256" t="inlineStr"/>
    </row>
    <row r="3177">
      <c r="A3177" s="256" t="inlineStr">
        <is>
          <t>CoQ-PP_26-139</t>
        </is>
      </c>
      <c r="B3177" s="256" t="inlineStr">
        <is>
          <t>reissue — retest</t>
        </is>
      </c>
      <c r="C3177" s="256" t="inlineStr">
        <is>
          <t>CC112501</t>
        </is>
      </c>
      <c r="D3177" s="256" t="inlineStr">
        <is>
          <t>— no P lot assigned —</t>
        </is>
      </c>
      <c r="E3177" s="256" t="inlineStr">
        <is>
          <t>Cash Cow</t>
        </is>
      </c>
      <c r="F3177" s="256" t="inlineStr">
        <is>
          <t>21.09.2026</t>
        </is>
      </c>
      <c r="G3177" s="256" t="inlineStr">
        <is>
          <t>2</t>
        </is>
      </c>
      <c r="H3177" s="256" t="inlineStr">
        <is>
          <t>Identification B · Microscopic</t>
        </is>
      </c>
      <c r="I3177" s="256" t="inlineStr">
        <is>
          <t>Ph. Eur. 2.8.23 (microscopy)</t>
        </is>
      </c>
      <c r="J3177" s="256" t="inlineStr">
        <is>
          <t>Conforms to the monograph for Cannabis flos (07/2024:3028) in Ph. Eur. 11.0 | Согласно монографија за Cannabis flos (07/2024:3028) во Ph. Eur. 11.0</t>
        </is>
      </c>
      <c r="K3177" s="256" t="inlineStr">
        <is>
          <t>Conforms | Одговара</t>
        </is>
      </c>
      <c r="L3177" s="256" t="inlineStr">
        <is>
          <t>iCoA-PP_26-177</t>
        </is>
      </c>
      <c r="M3177" s="256" t="inlineStr">
        <is>
          <t>24.08.2026</t>
        </is>
      </c>
      <c r="N3177" s="256" t="inlineStr">
        <is>
          <t>Purely Plant GmbH (in-house)</t>
        </is>
      </c>
      <c r="O3177" s="256" t="inlineStr">
        <is>
          <t>—</t>
        </is>
      </c>
      <c r="P3177" s="256" t="inlineStr">
        <is>
          <t>to be performed — see route</t>
        </is>
      </c>
      <c r="Q3177" s="256" t="inlineStr">
        <is>
          <t>Farmahem — Ident A + B + C with the Assay, at retest</t>
        </is>
      </c>
      <c r="R3177" s="256" t="inlineStr"/>
    </row>
    <row r="3178">
      <c r="A3178" s="256" t="inlineStr">
        <is>
          <t>CoQ-PP_26-139</t>
        </is>
      </c>
      <c r="B3178" s="256" t="inlineStr">
        <is>
          <t>reissue — retest</t>
        </is>
      </c>
      <c r="C3178" s="256" t="inlineStr">
        <is>
          <t>CC112501</t>
        </is>
      </c>
      <c r="D3178" s="256" t="inlineStr">
        <is>
          <t>— no P lot assigned —</t>
        </is>
      </c>
      <c r="E3178" s="256" t="inlineStr">
        <is>
          <t>Cash Cow</t>
        </is>
      </c>
      <c r="F3178" s="256" t="inlineStr">
        <is>
          <t>21.09.2026</t>
        </is>
      </c>
      <c r="G3178" s="256" t="inlineStr">
        <is>
          <t>3</t>
        </is>
      </c>
      <c r="H3178" s="256" t="inlineStr">
        <is>
          <t>Identification C · HPLC/HPTLC</t>
        </is>
      </c>
      <c r="I3178" s="256" t="inlineStr">
        <is>
          <t>Ph. Eur. 2.2.29 (3028)</t>
        </is>
      </c>
      <c r="J3178" s="256" t="inlineStr">
        <is>
          <t>Conforms to the monograph for Cannabis flos (07/2024:3028) in Ph. Eur. 11.0 | Согласно монографија за Cannabis flos (07/2024:3028) во Ph. Eur. 11.0</t>
        </is>
      </c>
      <c r="K3178" s="256" t="inlineStr">
        <is>
          <t>Conforms | Одговара</t>
        </is>
      </c>
      <c r="L3178" s="256" t="inlineStr">
        <is>
          <t>227-25-К/26</t>
        </is>
      </c>
      <c r="M3178" s="256" t="inlineStr">
        <is>
          <t>11.09.2026</t>
        </is>
      </c>
      <c r="N3178" s="256" t="inlineStr">
        <is>
          <t>Farmahem</t>
        </is>
      </c>
      <c r="O3178" s="256" t="inlineStr">
        <is>
          <t>24.08.2026</t>
        </is>
      </c>
      <c r="P3178" s="256" t="inlineStr">
        <is>
          <t>covered</t>
        </is>
      </c>
      <c r="Q3178" s="256" t="inlineStr"/>
      <c r="R3178" s="256" t="inlineStr"/>
    </row>
    <row r="3179">
      <c r="A3179" s="256" t="inlineStr">
        <is>
          <t>CoQ-PP_26-139</t>
        </is>
      </c>
      <c r="B3179" s="256" t="inlineStr">
        <is>
          <t>reissue — retest</t>
        </is>
      </c>
      <c r="C3179" s="256" t="inlineStr">
        <is>
          <t>CC112501</t>
        </is>
      </c>
      <c r="D3179" s="256" t="inlineStr">
        <is>
          <t>— no P lot assigned —</t>
        </is>
      </c>
      <c r="E3179" s="256" t="inlineStr">
        <is>
          <t>Cash Cow</t>
        </is>
      </c>
      <c r="F3179" s="256" t="inlineStr">
        <is>
          <t>21.09.2026</t>
        </is>
      </c>
      <c r="G3179" s="256" t="inlineStr">
        <is>
          <t>4</t>
        </is>
      </c>
      <c r="H3179" s="256" t="inlineStr">
        <is>
          <t>Assay — Total Δ⁹-THC</t>
        </is>
      </c>
      <c r="I3179" s="256" t="inlineStr">
        <is>
          <t>Ph. Eur. 2.2.29 (HPLC)</t>
        </is>
      </c>
      <c r="J3179" s="256" t="inlineStr">
        <is>
          <t>15.35 – 18.64 %  (grade I, nominal 17.00 ± 1.65)</t>
        </is>
      </c>
      <c r="K3179" s="256" t="inlineStr">
        <is>
          <t>16.36</t>
        </is>
      </c>
      <c r="L3179" s="256" t="inlineStr">
        <is>
          <t>227-25-К/26</t>
        </is>
      </c>
      <c r="M3179" s="256" t="inlineStr">
        <is>
          <t>11.09.2026</t>
        </is>
      </c>
      <c r="N3179" s="256" t="inlineStr">
        <is>
          <t>Farmahem</t>
        </is>
      </c>
      <c r="O3179" s="256" t="inlineStr">
        <is>
          <t>24.08.2026</t>
        </is>
      </c>
      <c r="P3179" s="256" t="inlineStr">
        <is>
          <t>covered</t>
        </is>
      </c>
      <c r="Q3179" s="256" t="inlineStr"/>
      <c r="R3179" s="256" t="inlineStr"/>
    </row>
    <row r="3180">
      <c r="A3180" s="256" t="inlineStr">
        <is>
          <t>CoQ-PP_26-139</t>
        </is>
      </c>
      <c r="B3180" s="256" t="inlineStr">
        <is>
          <t>reissue — retest</t>
        </is>
      </c>
      <c r="C3180" s="256" t="inlineStr">
        <is>
          <t>CC112501</t>
        </is>
      </c>
      <c r="D3180" s="256" t="inlineStr">
        <is>
          <t>— no P lot assigned —</t>
        </is>
      </c>
      <c r="E3180" s="256" t="inlineStr">
        <is>
          <t>Cash Cow</t>
        </is>
      </c>
      <c r="F3180" s="256" t="inlineStr">
        <is>
          <t>21.09.2026</t>
        </is>
      </c>
      <c r="G3180" s="256" t="inlineStr">
        <is>
          <t>5</t>
        </is>
      </c>
      <c r="H3180" s="256" t="inlineStr">
        <is>
          <t>Assay — Total CBD</t>
        </is>
      </c>
      <c r="I3180" s="256" t="inlineStr">
        <is>
          <t>Ph. Eur. 2.2.29 (HPLC) · CBD + CBDA x 0.877</t>
        </is>
      </c>
      <c r="J3180" s="256" t="inlineStr">
        <is>
          <t>≤ 1.0%, w/w</t>
        </is>
      </c>
      <c r="K3180" s="256" t="inlineStr">
        <is>
          <t>&lt; LOQ</t>
        </is>
      </c>
      <c r="L3180" s="256" t="inlineStr">
        <is>
          <t>227-25-К/26</t>
        </is>
      </c>
      <c r="M3180" s="256" t="inlineStr">
        <is>
          <t>11.09.2026</t>
        </is>
      </c>
      <c r="N3180" s="256" t="inlineStr">
        <is>
          <t>Farmahem</t>
        </is>
      </c>
      <c r="O3180" s="256" t="inlineStr">
        <is>
          <t>24.08.2026</t>
        </is>
      </c>
      <c r="P3180" s="256" t="inlineStr">
        <is>
          <t>covered</t>
        </is>
      </c>
      <c r="Q3180" s="256" t="inlineStr"/>
      <c r="R3180" s="256" t="inlineStr"/>
    </row>
    <row r="3181">
      <c r="A3181" s="256" t="inlineStr">
        <is>
          <t>CoQ-PP_26-139</t>
        </is>
      </c>
      <c r="B3181" s="256" t="inlineStr">
        <is>
          <t>reissue — retest</t>
        </is>
      </c>
      <c r="C3181" s="256" t="inlineStr">
        <is>
          <t>CC112501</t>
        </is>
      </c>
      <c r="D3181" s="256" t="inlineStr">
        <is>
          <t>— no P lot assigned —</t>
        </is>
      </c>
      <c r="E3181" s="256" t="inlineStr">
        <is>
          <t>Cash Cow</t>
        </is>
      </c>
      <c r="F3181" s="256" t="inlineStr">
        <is>
          <t>21.09.2026</t>
        </is>
      </c>
      <c r="G3181" s="256" t="inlineStr">
        <is>
          <t>6</t>
        </is>
      </c>
      <c r="H3181" s="256" t="inlineStr">
        <is>
          <t>Total CBN</t>
        </is>
      </c>
      <c r="I3181" s="256" t="inlineStr">
        <is>
          <t>Ph. Eur. 2.2.29 (HPLC) · CBN + CBNA x 0.876</t>
        </is>
      </c>
      <c r="J3181" s="256" t="inlineStr">
        <is>
          <t>≤ 1.0%, w/w</t>
        </is>
      </c>
      <c r="K3181" s="256" t="inlineStr">
        <is>
          <t>&lt; LOQ</t>
        </is>
      </c>
      <c r="L3181" s="256" t="inlineStr">
        <is>
          <t>227-25-К/26</t>
        </is>
      </c>
      <c r="M3181" s="256" t="inlineStr">
        <is>
          <t>11.09.2026</t>
        </is>
      </c>
      <c r="N3181" s="256" t="inlineStr">
        <is>
          <t>Farmahem</t>
        </is>
      </c>
      <c r="O3181" s="256" t="inlineStr">
        <is>
          <t>24.08.2026</t>
        </is>
      </c>
      <c r="P3181" s="256" t="inlineStr">
        <is>
          <t>covered</t>
        </is>
      </c>
      <c r="Q3181" s="256" t="inlineStr"/>
      <c r="R3181" s="256" t="inlineStr"/>
    </row>
    <row r="3182">
      <c r="A3182" s="256" t="inlineStr">
        <is>
          <t>CoQ-PP_26-139</t>
        </is>
      </c>
      <c r="B3182" s="256" t="inlineStr">
        <is>
          <t>reissue — retest</t>
        </is>
      </c>
      <c r="C3182" s="256" t="inlineStr">
        <is>
          <t>CC112501</t>
        </is>
      </c>
      <c r="D3182" s="256" t="inlineStr">
        <is>
          <t>— no P lot assigned —</t>
        </is>
      </c>
      <c r="E3182" s="256" t="inlineStr">
        <is>
          <t>Cash Cow</t>
        </is>
      </c>
      <c r="F3182" s="256" t="inlineStr">
        <is>
          <t>21.09.2026</t>
        </is>
      </c>
      <c r="G3182" s="256" t="inlineStr">
        <is>
          <t>7</t>
        </is>
      </c>
      <c r="H3182" s="256" t="inlineStr">
        <is>
          <t>Foreign Matter</t>
        </is>
      </c>
      <c r="I3182" s="256" t="inlineStr">
        <is>
          <t>Ph. Eur. 2.8.2 · In-house · интерна</t>
        </is>
      </c>
      <c r="J3182" s="256" t="inlineStr">
        <is>
          <t>≤ 2.0% / 25–50 g · &lt; 1 cm leaves | листови, no seeds | без семки</t>
        </is>
      </c>
      <c r="K3182" s="256" t="inlineStr">
        <is>
          <t>Conforms | Одговара</t>
        </is>
      </c>
      <c r="L3182" s="256" t="inlineStr">
        <is>
          <t>iCoA-PP_26-177</t>
        </is>
      </c>
      <c r="M3182" s="256" t="inlineStr">
        <is>
          <t>24.08.2026</t>
        </is>
      </c>
      <c r="N3182" s="256" t="inlineStr">
        <is>
          <t>Purely Plant GmbH (in-house)</t>
        </is>
      </c>
      <c r="O3182" s="256" t="inlineStr">
        <is>
          <t>—</t>
        </is>
      </c>
      <c r="P3182" s="256" t="inlineStr">
        <is>
          <t>to be performed — see route</t>
        </is>
      </c>
      <c r="Q3182" s="256" t="inlineStr">
        <is>
          <t>Purely Plant laboratory — iCoA covering Foreign matter</t>
        </is>
      </c>
      <c r="R3182" s="256" t="inlineStr"/>
    </row>
    <row r="3183">
      <c r="A3183" s="256" t="inlineStr">
        <is>
          <t>CoQ-PP_26-139</t>
        </is>
      </c>
      <c r="B3183" s="256" t="inlineStr">
        <is>
          <t>reissue — retest</t>
        </is>
      </c>
      <c r="C3183" s="256" t="inlineStr">
        <is>
          <t>CC112501</t>
        </is>
      </c>
      <c r="D3183" s="256" t="inlineStr">
        <is>
          <t>— no P lot assigned —</t>
        </is>
      </c>
      <c r="E3183" s="256" t="inlineStr">
        <is>
          <t>Cash Cow</t>
        </is>
      </c>
      <c r="F3183" s="256" t="inlineStr">
        <is>
          <t>21.09.2026</t>
        </is>
      </c>
      <c r="G3183" s="256" t="inlineStr">
        <is>
          <t>8</t>
        </is>
      </c>
      <c r="H3183" s="256" t="inlineStr">
        <is>
          <t>Loss on Drying</t>
        </is>
      </c>
      <c r="I3183" s="256" t="inlineStr">
        <is>
          <t>DAB 2018 monograph Cannabis flos, 2.2.32 — loss on drying (CNP, before its Ph. Eur. 3028 accreditation)</t>
        </is>
      </c>
      <c r="J3183" s="256" t="inlineStr">
        <is>
          <t>≤ 12.0%</t>
        </is>
      </c>
      <c r="K3183" s="256" t="inlineStr">
        <is>
          <t>7.39</t>
        </is>
      </c>
      <c r="L3183" s="256" t="inlineStr">
        <is>
          <t>ППК26068</t>
        </is>
      </c>
      <c r="M3183" s="256" t="inlineStr">
        <is>
          <t>11.05.2026</t>
        </is>
      </c>
      <c r="N3183" s="256" t="inlineStr">
        <is>
          <t>UKIM Faculty of Pharmacy — Center for Natural Products</t>
        </is>
      </c>
      <c r="O3183" s="256" t="inlineStr">
        <is>
          <t>21.04.2026</t>
        </is>
      </c>
      <c r="P3183" s="256" t="inlineStr">
        <is>
          <t>carried from the initial testing (the batch's initial CoQ (number assigned on issue)) — covered</t>
        </is>
      </c>
      <c r="Q3183" s="256" t="inlineStr"/>
      <c r="R3183" s="256" t="inlineStr"/>
    </row>
    <row r="3184">
      <c r="A3184" s="256" t="inlineStr">
        <is>
          <t>CoQ-PP_26-139</t>
        </is>
      </c>
      <c r="B3184" s="256" t="inlineStr">
        <is>
          <t>reissue — retest</t>
        </is>
      </c>
      <c r="C3184" s="256" t="inlineStr">
        <is>
          <t>CC112501</t>
        </is>
      </c>
      <c r="D3184" s="256" t="inlineStr">
        <is>
          <t>— no P lot assigned —</t>
        </is>
      </c>
      <c r="E3184" s="256" t="inlineStr">
        <is>
          <t>Cash Cow</t>
        </is>
      </c>
      <c r="F3184" s="256" t="inlineStr">
        <is>
          <t>21.09.2026</t>
        </is>
      </c>
      <c r="G3184" s="256" t="inlineStr">
        <is>
          <t>9.1</t>
        </is>
      </c>
      <c r="H3184" s="256" t="inlineStr">
        <is>
          <t>TAMC</t>
        </is>
      </c>
      <c r="I3184" s="256" t="inlineStr">
        <is>
          <t>Ph. Eur. 2.6.12 cat. C</t>
        </is>
      </c>
      <c r="J3184" s="256" t="inlineStr">
        <is>
          <t>≤ 10⁵ CFU/g</t>
        </is>
      </c>
      <c r="K3184" s="256" t="inlineStr">
        <is>
          <t>1,6 × 10³</t>
        </is>
      </c>
      <c r="L3184" s="256" t="inlineStr">
        <is>
          <t>543/1074/26</t>
        </is>
      </c>
      <c r="M3184" s="256" t="inlineStr">
        <is>
          <t>31.08.2026</t>
        </is>
      </c>
      <c r="N3184" s="256" t="inlineStr">
        <is>
          <t>IPH — Institute of Public Health</t>
        </is>
      </c>
      <c r="O3184" s="256" t="inlineStr">
        <is>
          <t>25.08.2026</t>
        </is>
      </c>
      <c r="P3184" s="256" t="inlineStr">
        <is>
          <t>covered</t>
        </is>
      </c>
      <c r="Q3184" s="256" t="inlineStr"/>
      <c r="R3184" s="256" t="inlineStr"/>
    </row>
    <row r="3185">
      <c r="A3185" s="256" t="inlineStr">
        <is>
          <t>CoQ-PP_26-139</t>
        </is>
      </c>
      <c r="B3185" s="256" t="inlineStr">
        <is>
          <t>reissue — retest</t>
        </is>
      </c>
      <c r="C3185" s="256" t="inlineStr">
        <is>
          <t>CC112501</t>
        </is>
      </c>
      <c r="D3185" s="256" t="inlineStr">
        <is>
          <t>— no P lot assigned —</t>
        </is>
      </c>
      <c r="E3185" s="256" t="inlineStr">
        <is>
          <t>Cash Cow</t>
        </is>
      </c>
      <c r="F3185" s="256" t="inlineStr">
        <is>
          <t>21.09.2026</t>
        </is>
      </c>
      <c r="G3185" s="256" t="inlineStr">
        <is>
          <t>9.2</t>
        </is>
      </c>
      <c r="H3185" s="256" t="inlineStr">
        <is>
          <t>TYMC</t>
        </is>
      </c>
      <c r="I3185" s="256" t="inlineStr">
        <is>
          <t>Ph. Eur. 2.6.12 cat. C</t>
        </is>
      </c>
      <c r="J3185" s="256" t="inlineStr">
        <is>
          <t>≤ 10⁴ CFU/g</t>
        </is>
      </c>
      <c r="K3185" s="256" t="inlineStr">
        <is>
          <t>1 × 10³</t>
        </is>
      </c>
      <c r="L3185" s="256" t="inlineStr">
        <is>
          <t>543/1074/26</t>
        </is>
      </c>
      <c r="M3185" s="256" t="inlineStr">
        <is>
          <t>31.08.2026</t>
        </is>
      </c>
      <c r="N3185" s="256" t="inlineStr">
        <is>
          <t>IPH — Institute of Public Health</t>
        </is>
      </c>
      <c r="O3185" s="256" t="inlineStr">
        <is>
          <t>25.08.2026</t>
        </is>
      </c>
      <c r="P3185" s="256" t="inlineStr">
        <is>
          <t>covered</t>
        </is>
      </c>
      <c r="Q3185" s="256" t="inlineStr"/>
      <c r="R3185" s="256" t="inlineStr"/>
    </row>
    <row r="3186">
      <c r="A3186" s="256" t="inlineStr">
        <is>
          <t>CoQ-PP_26-139</t>
        </is>
      </c>
      <c r="B3186" s="256" t="inlineStr">
        <is>
          <t>reissue — retest</t>
        </is>
      </c>
      <c r="C3186" s="256" t="inlineStr">
        <is>
          <t>CC112501</t>
        </is>
      </c>
      <c r="D3186" s="256" t="inlineStr">
        <is>
          <t>— no P lot assigned —</t>
        </is>
      </c>
      <c r="E3186" s="256" t="inlineStr">
        <is>
          <t>Cash Cow</t>
        </is>
      </c>
      <c r="F3186" s="256" t="inlineStr">
        <is>
          <t>21.09.2026</t>
        </is>
      </c>
      <c r="G3186" s="256" t="inlineStr">
        <is>
          <t>9.3</t>
        </is>
      </c>
      <c r="H3186" s="256" t="inlineStr">
        <is>
          <t>Bile-tolerant gram-neg.</t>
        </is>
      </c>
      <c r="I3186" s="256" t="inlineStr">
        <is>
          <t>Ph. Eur. 2.6.31 cat. C</t>
        </is>
      </c>
      <c r="J3186" s="256" t="inlineStr">
        <is>
          <t>≤ 10⁴ CFU/g</t>
        </is>
      </c>
      <c r="K3186" s="256" t="inlineStr">
        <is>
          <t>&lt; 10³ and &gt; 10²</t>
        </is>
      </c>
      <c r="L3186" s="256" t="inlineStr">
        <is>
          <t>543/1074/26</t>
        </is>
      </c>
      <c r="M3186" s="256" t="inlineStr">
        <is>
          <t>31.08.2026</t>
        </is>
      </c>
      <c r="N3186" s="256" t="inlineStr">
        <is>
          <t>IPH — Institute of Public Health</t>
        </is>
      </c>
      <c r="O3186" s="256" t="inlineStr">
        <is>
          <t>25.08.2026</t>
        </is>
      </c>
      <c r="P3186" s="256" t="inlineStr">
        <is>
          <t>covered</t>
        </is>
      </c>
      <c r="Q3186" s="256" t="inlineStr"/>
      <c r="R3186" s="256" t="inlineStr"/>
    </row>
    <row r="3187">
      <c r="A3187" s="256" t="inlineStr">
        <is>
          <t>CoQ-PP_26-139</t>
        </is>
      </c>
      <c r="B3187" s="256" t="inlineStr">
        <is>
          <t>reissue — retest</t>
        </is>
      </c>
      <c r="C3187" s="256" t="inlineStr">
        <is>
          <t>CC112501</t>
        </is>
      </c>
      <c r="D3187" s="256" t="inlineStr">
        <is>
          <t>— no P lot assigned —</t>
        </is>
      </c>
      <c r="E3187" s="256" t="inlineStr">
        <is>
          <t>Cash Cow</t>
        </is>
      </c>
      <c r="F3187" s="256" t="inlineStr">
        <is>
          <t>21.09.2026</t>
        </is>
      </c>
      <c r="G3187" s="256" t="inlineStr">
        <is>
          <t>9.4</t>
        </is>
      </c>
      <c r="H3187" s="256" t="inlineStr">
        <is>
          <t>Salmonella</t>
        </is>
      </c>
      <c r="I3187" s="256" t="inlineStr">
        <is>
          <t>Ph. Eur. 2.6.31 cat. C</t>
        </is>
      </c>
      <c r="J3187" s="256" t="inlineStr">
        <is>
          <t>Absence | Отсуство / 25 g</t>
        </is>
      </c>
      <c r="K3187" s="256" t="inlineStr">
        <is>
          <t>Absent | Отсутна</t>
        </is>
      </c>
      <c r="L3187" s="256" t="inlineStr">
        <is>
          <t>543/1074/26</t>
        </is>
      </c>
      <c r="M3187" s="256" t="inlineStr">
        <is>
          <t>31.08.2026</t>
        </is>
      </c>
      <c r="N3187" s="256" t="inlineStr">
        <is>
          <t>IPH — Institute of Public Health</t>
        </is>
      </c>
      <c r="O3187" s="256" t="inlineStr">
        <is>
          <t>25.08.2026</t>
        </is>
      </c>
      <c r="P3187" s="256" t="inlineStr">
        <is>
          <t>covered</t>
        </is>
      </c>
      <c r="Q3187" s="256" t="inlineStr"/>
      <c r="R3187" s="256" t="inlineStr"/>
    </row>
    <row r="3188">
      <c r="A3188" s="256" t="inlineStr">
        <is>
          <t>CoQ-PP_26-139</t>
        </is>
      </c>
      <c r="B3188" s="256" t="inlineStr">
        <is>
          <t>reissue — retest</t>
        </is>
      </c>
      <c r="C3188" s="256" t="inlineStr">
        <is>
          <t>CC112501</t>
        </is>
      </c>
      <c r="D3188" s="256" t="inlineStr">
        <is>
          <t>— no P lot assigned —</t>
        </is>
      </c>
      <c r="E3188" s="256" t="inlineStr">
        <is>
          <t>Cash Cow</t>
        </is>
      </c>
      <c r="F3188" s="256" t="inlineStr">
        <is>
          <t>21.09.2026</t>
        </is>
      </c>
      <c r="G3188" s="256" t="inlineStr">
        <is>
          <t>9.5</t>
        </is>
      </c>
      <c r="H3188" s="256" t="inlineStr">
        <is>
          <t>Escherichia coli</t>
        </is>
      </c>
      <c r="I3188" s="256" t="inlineStr">
        <is>
          <t>Ph. Eur. 2.6.13 cat. C</t>
        </is>
      </c>
      <c r="J3188" s="256" t="inlineStr">
        <is>
          <t>Absence | Отсуство / 1 g</t>
        </is>
      </c>
      <c r="K3188" s="256" t="inlineStr">
        <is>
          <t>Absent | Отсутна</t>
        </is>
      </c>
      <c r="L3188" s="256" t="inlineStr">
        <is>
          <t>543/1074/26</t>
        </is>
      </c>
      <c r="M3188" s="256" t="inlineStr">
        <is>
          <t>31.08.2026</t>
        </is>
      </c>
      <c r="N3188" s="256" t="inlineStr">
        <is>
          <t>IPH — Institute of Public Health</t>
        </is>
      </c>
      <c r="O3188" s="256" t="inlineStr">
        <is>
          <t>25.08.2026</t>
        </is>
      </c>
      <c r="P3188" s="256" t="inlineStr">
        <is>
          <t>covered</t>
        </is>
      </c>
      <c r="Q3188" s="256" t="inlineStr"/>
      <c r="R3188" s="256" t="inlineStr"/>
    </row>
    <row r="3189">
      <c r="A3189" s="256" t="inlineStr">
        <is>
          <t>CoQ-PP_26-139</t>
        </is>
      </c>
      <c r="B3189" s="256" t="inlineStr">
        <is>
          <t>reissue — retest</t>
        </is>
      </c>
      <c r="C3189" s="256" t="inlineStr">
        <is>
          <t>CC112501</t>
        </is>
      </c>
      <c r="D3189" s="256" t="inlineStr">
        <is>
          <t>— no P lot assigned —</t>
        </is>
      </c>
      <c r="E3189" s="256" t="inlineStr">
        <is>
          <t>Cash Cow</t>
        </is>
      </c>
      <c r="F3189" s="256" t="inlineStr">
        <is>
          <t>21.09.2026</t>
        </is>
      </c>
      <c r="G3189" s="256" t="inlineStr">
        <is>
          <t>9.6</t>
        </is>
      </c>
      <c r="H3189" s="256" t="inlineStr">
        <is>
          <t>Pseudomonas aeruginosa</t>
        </is>
      </c>
      <c r="I3189" s="256" t="inlineStr">
        <is>
          <t>Ph. Eur. 2.6.13 cat. C</t>
        </is>
      </c>
      <c r="J3189" s="256" t="inlineStr">
        <is>
          <t>Absence | Отсуство / 1 g</t>
        </is>
      </c>
      <c r="K3189" s="260" t="inlineStr">
        <is>
          <t>upon request — not required for release</t>
        </is>
      </c>
      <c r="L3189" s="256" t="inlineStr">
        <is>
          <t>—</t>
        </is>
      </c>
      <c r="M3189" s="256" t="inlineStr">
        <is>
          <t>—</t>
        </is>
      </c>
      <c r="N3189" s="256" t="inlineStr">
        <is>
          <t>—</t>
        </is>
      </c>
      <c r="O3189" s="256" t="inlineStr">
        <is>
          <t>—</t>
        </is>
      </c>
      <c r="P3189" s="256" t="inlineStr">
        <is>
          <t>upon request — not required for release</t>
        </is>
      </c>
      <c r="Q3189" s="256" t="inlineStr"/>
      <c r="R3189" s="256" t="inlineStr"/>
    </row>
    <row r="3190">
      <c r="A3190" s="256" t="inlineStr">
        <is>
          <t>CoQ-PP_26-139</t>
        </is>
      </c>
      <c r="B3190" s="256" t="inlineStr">
        <is>
          <t>reissue — retest</t>
        </is>
      </c>
      <c r="C3190" s="256" t="inlineStr">
        <is>
          <t>CC112501</t>
        </is>
      </c>
      <c r="D3190" s="256" t="inlineStr">
        <is>
          <t>— no P lot assigned —</t>
        </is>
      </c>
      <c r="E3190" s="256" t="inlineStr">
        <is>
          <t>Cash Cow</t>
        </is>
      </c>
      <c r="F3190" s="256" t="inlineStr">
        <is>
          <t>21.09.2026</t>
        </is>
      </c>
      <c r="G3190" s="256" t="inlineStr">
        <is>
          <t>9.7</t>
        </is>
      </c>
      <c r="H3190" s="256" t="inlineStr">
        <is>
          <t>Staphylococcus aureus</t>
        </is>
      </c>
      <c r="I3190" s="256" t="inlineStr">
        <is>
          <t>Ph. Eur. 2.6.13 cat. C</t>
        </is>
      </c>
      <c r="J3190" s="256" t="inlineStr">
        <is>
          <t>Absence | Отсуство / 1 g</t>
        </is>
      </c>
      <c r="K3190" s="260" t="inlineStr">
        <is>
          <t>upon request — not required for release</t>
        </is>
      </c>
      <c r="L3190" s="256" t="inlineStr">
        <is>
          <t>—</t>
        </is>
      </c>
      <c r="M3190" s="256" t="inlineStr">
        <is>
          <t>—</t>
        </is>
      </c>
      <c r="N3190" s="256" t="inlineStr">
        <is>
          <t>—</t>
        </is>
      </c>
      <c r="O3190" s="256" t="inlineStr">
        <is>
          <t>—</t>
        </is>
      </c>
      <c r="P3190" s="256" t="inlineStr">
        <is>
          <t>upon request — not required for release</t>
        </is>
      </c>
      <c r="Q3190" s="256" t="inlineStr"/>
      <c r="R3190" s="256" t="inlineStr"/>
    </row>
    <row r="3191">
      <c r="A3191" s="256" t="inlineStr">
        <is>
          <t>CoQ-PP_26-139</t>
        </is>
      </c>
      <c r="B3191" s="256" t="inlineStr">
        <is>
          <t>reissue — retest</t>
        </is>
      </c>
      <c r="C3191" s="256" t="inlineStr">
        <is>
          <t>CC112501</t>
        </is>
      </c>
      <c r="D3191" s="256" t="inlineStr">
        <is>
          <t>— no P lot assigned —</t>
        </is>
      </c>
      <c r="E3191" s="256" t="inlineStr">
        <is>
          <t>Cash Cow</t>
        </is>
      </c>
      <c r="F3191" s="256" t="inlineStr">
        <is>
          <t>21.09.2026</t>
        </is>
      </c>
      <c r="G3191" s="256" t="inlineStr">
        <is>
          <t>10.1</t>
        </is>
      </c>
      <c r="H3191" s="256" t="inlineStr">
        <is>
          <t>Aflatoxin B₁</t>
        </is>
      </c>
      <c r="I3191" s="256" t="inlineStr">
        <is>
          <t>Ph. Eur. 2.8.18 (HPLC-FLD)</t>
        </is>
      </c>
      <c r="J3191" s="256" t="inlineStr">
        <is>
          <t>≤ 2 µg/kg</t>
        </is>
      </c>
      <c r="K3191" s="256" t="inlineStr">
        <is>
          <t>ND</t>
        </is>
      </c>
      <c r="L3191" s="256" t="inlineStr">
        <is>
          <t>227-25-М/26</t>
        </is>
      </c>
      <c r="M3191" s="256" t="inlineStr">
        <is>
          <t>16.09.2026</t>
        </is>
      </c>
      <c r="N3191" s="256" t="inlineStr">
        <is>
          <t>Farmahem</t>
        </is>
      </c>
      <c r="O3191" s="256" t="inlineStr">
        <is>
          <t>—</t>
        </is>
      </c>
      <c r="P3191" s="256" t="inlineStr">
        <is>
          <t>covered</t>
        </is>
      </c>
      <c r="Q3191" s="256" t="inlineStr"/>
      <c r="R3191" s="256" t="inlineStr"/>
    </row>
    <row r="3192">
      <c r="A3192" s="256" t="inlineStr">
        <is>
          <t>CoQ-PP_26-139</t>
        </is>
      </c>
      <c r="B3192" s="256" t="inlineStr">
        <is>
          <t>reissue — retest</t>
        </is>
      </c>
      <c r="C3192" s="256" t="inlineStr">
        <is>
          <t>CC112501</t>
        </is>
      </c>
      <c r="D3192" s="256" t="inlineStr">
        <is>
          <t>— no P lot assigned —</t>
        </is>
      </c>
      <c r="E3192" s="256" t="inlineStr">
        <is>
          <t>Cash Cow</t>
        </is>
      </c>
      <c r="F3192" s="256" t="inlineStr">
        <is>
          <t>21.09.2026</t>
        </is>
      </c>
      <c r="G3192" s="256" t="inlineStr">
        <is>
          <t>10.2</t>
        </is>
      </c>
      <c r="H3192" s="256" t="inlineStr">
        <is>
          <t>Aflatoxins ∑</t>
        </is>
      </c>
      <c r="I3192" s="256" t="inlineStr">
        <is>
          <t>Ph. Eur. 2.8.18 (HPLC-FLD)</t>
        </is>
      </c>
      <c r="J3192" s="256" t="inlineStr">
        <is>
          <t>≤ 4 µg/kg</t>
        </is>
      </c>
      <c r="K3192" s="256" t="inlineStr">
        <is>
          <t>ND</t>
        </is>
      </c>
      <c r="L3192" s="256" t="inlineStr">
        <is>
          <t>227-25-М/26</t>
        </is>
      </c>
      <c r="M3192" s="256" t="inlineStr">
        <is>
          <t>16.09.2026</t>
        </is>
      </c>
      <c r="N3192" s="256" t="inlineStr">
        <is>
          <t>Farmahem</t>
        </is>
      </c>
      <c r="O3192" s="256" t="inlineStr">
        <is>
          <t>—</t>
        </is>
      </c>
      <c r="P3192" s="256" t="inlineStr">
        <is>
          <t>carried from the initial testing (the batch's initial CoQ (number assigned on issue)) — covered</t>
        </is>
      </c>
      <c r="Q3192" s="256" t="inlineStr"/>
      <c r="R3192" s="256" t="inlineStr"/>
    </row>
    <row r="3193">
      <c r="A3193" s="256" t="inlineStr">
        <is>
          <t>CoQ-PP_26-139</t>
        </is>
      </c>
      <c r="B3193" s="256" t="inlineStr">
        <is>
          <t>reissue — retest</t>
        </is>
      </c>
      <c r="C3193" s="256" t="inlineStr">
        <is>
          <t>CC112501</t>
        </is>
      </c>
      <c r="D3193" s="256" t="inlineStr">
        <is>
          <t>— no P lot assigned —</t>
        </is>
      </c>
      <c r="E3193" s="256" t="inlineStr">
        <is>
          <t>Cash Cow</t>
        </is>
      </c>
      <c r="F3193" s="256" t="inlineStr">
        <is>
          <t>21.09.2026</t>
        </is>
      </c>
      <c r="G3193" s="256" t="inlineStr">
        <is>
          <t>10.3</t>
        </is>
      </c>
      <c r="H3193" s="256" t="inlineStr">
        <is>
          <t>Ochratoxin A</t>
        </is>
      </c>
      <c r="I3193" s="256" t="inlineStr">
        <is>
          <t>Ph. Eur. 2.8.22 (HPLC-FLD)</t>
        </is>
      </c>
      <c r="J3193" s="256" t="inlineStr">
        <is>
          <t>≤ 20 µg/kg</t>
        </is>
      </c>
      <c r="K3193" s="256" t="inlineStr">
        <is>
          <t>ND</t>
        </is>
      </c>
      <c r="L3193" s="256" t="inlineStr">
        <is>
          <t>227-25-М/26</t>
        </is>
      </c>
      <c r="M3193" s="256" t="inlineStr">
        <is>
          <t>16.09.2026</t>
        </is>
      </c>
      <c r="N3193" s="256" t="inlineStr">
        <is>
          <t>Farmahem</t>
        </is>
      </c>
      <c r="O3193" s="256" t="inlineStr">
        <is>
          <t>—</t>
        </is>
      </c>
      <c r="P3193" s="256" t="inlineStr">
        <is>
          <t>covered</t>
        </is>
      </c>
      <c r="Q3193" s="256" t="inlineStr"/>
      <c r="R3193" s="256" t="inlineStr"/>
    </row>
    <row r="3194">
      <c r="A3194" s="256" t="inlineStr">
        <is>
          <t>CoQ-PP_26-139</t>
        </is>
      </c>
      <c r="B3194" s="256" t="inlineStr">
        <is>
          <t>reissue — retest</t>
        </is>
      </c>
      <c r="C3194" s="256" t="inlineStr">
        <is>
          <t>CC112501</t>
        </is>
      </c>
      <c r="D3194" s="256" t="inlineStr">
        <is>
          <t>— no P lot assigned —</t>
        </is>
      </c>
      <c r="E3194" s="256" t="inlineStr">
        <is>
          <t>Cash Cow</t>
        </is>
      </c>
      <c r="F3194" s="256" t="inlineStr">
        <is>
          <t>21.09.2026</t>
        </is>
      </c>
      <c r="G3194" s="256" t="inlineStr">
        <is>
          <t>11.1</t>
        </is>
      </c>
      <c r="H3194" s="256" t="inlineStr">
        <is>
          <t>Lead (Pb)</t>
        </is>
      </c>
      <c r="I3194" s="256" t="inlineStr">
        <is>
          <t>Ph. Eur. 2.4.27 (ICP-MS)</t>
        </is>
      </c>
      <c r="J3194" s="256" t="inlineStr">
        <is>
          <t>≤ 0.5 mg/kg</t>
        </is>
      </c>
      <c r="K3194" s="256" t="inlineStr">
        <is>
          <t>0.0289</t>
        </is>
      </c>
      <c r="L3194" s="256" t="inlineStr">
        <is>
          <t>2359/2026</t>
        </is>
      </c>
      <c r="M3194" s="256" t="inlineStr">
        <is>
          <t>29.04.2026</t>
        </is>
      </c>
      <c r="N3194" s="256" t="inlineStr">
        <is>
          <t>IPH — Institute of Public Health</t>
        </is>
      </c>
      <c r="O3194" s="256" t="inlineStr">
        <is>
          <t>21.04.2026</t>
        </is>
      </c>
      <c r="P3194" s="256" t="inlineStr">
        <is>
          <t>carried from the initial testing (the batch's initial CoQ (number assigned on issue)) — covered</t>
        </is>
      </c>
      <c r="Q3194" s="256" t="inlineStr"/>
      <c r="R3194" s="256" t="inlineStr"/>
    </row>
    <row r="3195">
      <c r="A3195" s="256" t="inlineStr">
        <is>
          <t>CoQ-PP_26-139</t>
        </is>
      </c>
      <c r="B3195" s="256" t="inlineStr">
        <is>
          <t>reissue — retest</t>
        </is>
      </c>
      <c r="C3195" s="256" t="inlineStr">
        <is>
          <t>CC112501</t>
        </is>
      </c>
      <c r="D3195" s="256" t="inlineStr">
        <is>
          <t>— no P lot assigned —</t>
        </is>
      </c>
      <c r="E3195" s="256" t="inlineStr">
        <is>
          <t>Cash Cow</t>
        </is>
      </c>
      <c r="F3195" s="256" t="inlineStr">
        <is>
          <t>21.09.2026</t>
        </is>
      </c>
      <c r="G3195" s="256" t="inlineStr">
        <is>
          <t>11.2</t>
        </is>
      </c>
      <c r="H3195" s="256" t="inlineStr">
        <is>
          <t>Cadmium (Cd)</t>
        </is>
      </c>
      <c r="I3195" s="256" t="inlineStr">
        <is>
          <t>Ph. Eur. 2.4.27 (ICP-MS)</t>
        </is>
      </c>
      <c r="J3195" s="256" t="inlineStr">
        <is>
          <t>≤ 0.3 mg/kg</t>
        </is>
      </c>
      <c r="K3195" s="256" t="inlineStr">
        <is>
          <t>0.0119</t>
        </is>
      </c>
      <c r="L3195" s="256" t="inlineStr">
        <is>
          <t>2359/2026</t>
        </is>
      </c>
      <c r="M3195" s="256" t="inlineStr">
        <is>
          <t>29.04.2026</t>
        </is>
      </c>
      <c r="N3195" s="256" t="inlineStr">
        <is>
          <t>IPH — Institute of Public Health</t>
        </is>
      </c>
      <c r="O3195" s="256" t="inlineStr">
        <is>
          <t>21.04.2026</t>
        </is>
      </c>
      <c r="P3195" s="256" t="inlineStr">
        <is>
          <t>carried from the initial testing (the batch's initial CoQ (number assigned on issue)) — covered</t>
        </is>
      </c>
      <c r="Q3195" s="256" t="inlineStr"/>
      <c r="R3195" s="256" t="inlineStr"/>
    </row>
    <row r="3196">
      <c r="A3196" s="256" t="inlineStr">
        <is>
          <t>CoQ-PP_26-139</t>
        </is>
      </c>
      <c r="B3196" s="256" t="inlineStr">
        <is>
          <t>reissue — retest</t>
        </is>
      </c>
      <c r="C3196" s="256" t="inlineStr">
        <is>
          <t>CC112501</t>
        </is>
      </c>
      <c r="D3196" s="256" t="inlineStr">
        <is>
          <t>— no P lot assigned —</t>
        </is>
      </c>
      <c r="E3196" s="256" t="inlineStr">
        <is>
          <t>Cash Cow</t>
        </is>
      </c>
      <c r="F3196" s="256" t="inlineStr">
        <is>
          <t>21.09.2026</t>
        </is>
      </c>
      <c r="G3196" s="256" t="inlineStr">
        <is>
          <t>11.3</t>
        </is>
      </c>
      <c r="H3196" s="256" t="inlineStr">
        <is>
          <t>Arsenic (As)</t>
        </is>
      </c>
      <c r="I3196" s="256" t="inlineStr">
        <is>
          <t>Ph. Eur. 2.4.27 (ICP-MS)</t>
        </is>
      </c>
      <c r="J3196" s="256" t="inlineStr">
        <is>
          <t>≤ 0.2 mg/kg</t>
        </is>
      </c>
      <c r="K3196" s="256" t="inlineStr">
        <is>
          <t>0.016</t>
        </is>
      </c>
      <c r="L3196" s="256" t="inlineStr">
        <is>
          <t>2359/2026</t>
        </is>
      </c>
      <c r="M3196" s="256" t="inlineStr">
        <is>
          <t>29.04.2026</t>
        </is>
      </c>
      <c r="N3196" s="256" t="inlineStr">
        <is>
          <t>IPH — Institute of Public Health</t>
        </is>
      </c>
      <c r="O3196" s="256" t="inlineStr">
        <is>
          <t>21.04.2026</t>
        </is>
      </c>
      <c r="P3196" s="256" t="inlineStr">
        <is>
          <t>carried from the initial testing (the batch's initial CoQ (number assigned on issue)) — covered</t>
        </is>
      </c>
      <c r="Q3196" s="256" t="inlineStr"/>
      <c r="R3196" s="256" t="inlineStr"/>
    </row>
    <row r="3197">
      <c r="A3197" s="256" t="inlineStr">
        <is>
          <t>CoQ-PP_26-139</t>
        </is>
      </c>
      <c r="B3197" s="256" t="inlineStr">
        <is>
          <t>reissue — retest</t>
        </is>
      </c>
      <c r="C3197" s="256" t="inlineStr">
        <is>
          <t>CC112501</t>
        </is>
      </c>
      <c r="D3197" s="256" t="inlineStr">
        <is>
          <t>— no P lot assigned —</t>
        </is>
      </c>
      <c r="E3197" s="256" t="inlineStr">
        <is>
          <t>Cash Cow</t>
        </is>
      </c>
      <c r="F3197" s="256" t="inlineStr">
        <is>
          <t>21.09.2026</t>
        </is>
      </c>
      <c r="G3197" s="256" t="inlineStr">
        <is>
          <t>11.4</t>
        </is>
      </c>
      <c r="H3197" s="256" t="inlineStr">
        <is>
          <t>Mercury (Hg)</t>
        </is>
      </c>
      <c r="I3197" s="256" t="inlineStr">
        <is>
          <t>Ph. Eur. 2.4.27 (ICP-MS)</t>
        </is>
      </c>
      <c r="J3197" s="256" t="inlineStr">
        <is>
          <t>≤ 0.1 mg/kg</t>
        </is>
      </c>
      <c r="K3197" s="256" t="inlineStr">
        <is>
          <t>0.0102</t>
        </is>
      </c>
      <c r="L3197" s="256" t="inlineStr">
        <is>
          <t>2359/2026</t>
        </is>
      </c>
      <c r="M3197" s="256" t="inlineStr">
        <is>
          <t>29.04.2026</t>
        </is>
      </c>
      <c r="N3197" s="256" t="inlineStr">
        <is>
          <t>IPH — Institute of Public Health</t>
        </is>
      </c>
      <c r="O3197" s="256" t="inlineStr">
        <is>
          <t>21.04.2026</t>
        </is>
      </c>
      <c r="P3197" s="256" t="inlineStr">
        <is>
          <t>carried from the initial testing (the batch's initial CoQ (number assigned on issue)) — covered</t>
        </is>
      </c>
      <c r="Q3197" s="256" t="inlineStr"/>
      <c r="R3197" s="256" t="inlineStr"/>
    </row>
    <row r="3198">
      <c r="A3198" s="256" t="inlineStr">
        <is>
          <t>CoQ-PP_26-139</t>
        </is>
      </c>
      <c r="B3198" s="256" t="inlineStr">
        <is>
          <t>reissue — retest</t>
        </is>
      </c>
      <c r="C3198" s="256" t="inlineStr">
        <is>
          <t>CC112501</t>
        </is>
      </c>
      <c r="D3198" s="256" t="inlineStr">
        <is>
          <t>— no P lot assigned —</t>
        </is>
      </c>
      <c r="E3198" s="256" t="inlineStr">
        <is>
          <t>Cash Cow</t>
        </is>
      </c>
      <c r="F3198" s="256" t="inlineStr">
        <is>
          <t>21.09.2026</t>
        </is>
      </c>
      <c r="G3198" s="256" t="inlineStr">
        <is>
          <t>12</t>
        </is>
      </c>
      <c r="H3198" s="256" t="inlineStr">
        <is>
          <t>Pesticide Residues</t>
        </is>
      </c>
      <c r="I3198" s="256" t="inlineStr">
        <is>
          <t>Ph. Eur. 2.8.13 (LC-MS/MS) · CUMCS Equivalency</t>
        </is>
      </c>
      <c r="J3198" s="256" t="inlineStr">
        <is>
          <t>≤ LOQ as per Ph. Eur. 2.8.13 · ≤ LOQ as per CUMCS Equivalency</t>
        </is>
      </c>
      <c r="K3198" s="256" t="inlineStr">
        <is>
          <t>ND</t>
        </is>
      </c>
      <c r="L3198" s="256" t="inlineStr">
        <is>
          <t>2359/2026</t>
        </is>
      </c>
      <c r="M3198" s="256" t="inlineStr">
        <is>
          <t>29.04.2026</t>
        </is>
      </c>
      <c r="N3198" s="256" t="inlineStr">
        <is>
          <t>IPH — Institute of Public Health</t>
        </is>
      </c>
      <c r="O3198" s="256" t="inlineStr">
        <is>
          <t>21.04.2026</t>
        </is>
      </c>
      <c r="P3198" s="256" t="inlineStr">
        <is>
          <t>carried from the initial testing (the batch's initial CoQ (number assigned on issue)) — covered</t>
        </is>
      </c>
      <c r="Q3198" s="256" t="inlineStr"/>
      <c r="R3198" s="256" t="inlineStr"/>
    </row>
    <row r="3199">
      <c r="A3199" s="256" t="inlineStr">
        <is>
          <t>CoQ-PP_26-140</t>
        </is>
      </c>
      <c r="B3199" s="256" t="inlineStr">
        <is>
          <t>reissue — retest</t>
        </is>
      </c>
      <c r="C3199" s="256" t="inlineStr">
        <is>
          <t>CJ052501-2</t>
        </is>
      </c>
      <c r="D3199" s="256" t="inlineStr">
        <is>
          <t>P050172</t>
        </is>
      </c>
      <c r="E3199" s="256" t="inlineStr">
        <is>
          <t>Cap Junky</t>
        </is>
      </c>
      <c r="F3199" s="256" t="inlineStr">
        <is>
          <t>21.09.2026</t>
        </is>
      </c>
      <c r="G3199" s="256" t="inlineStr">
        <is>
          <t>1</t>
        </is>
      </c>
      <c r="H3199" s="256" t="inlineStr">
        <is>
          <t>Identification A, Appearance · Macroscopic</t>
        </is>
      </c>
      <c r="I3199" s="256" t="inlineStr">
        <is>
          <t>Ph. Eur. mon. 3028</t>
        </is>
      </c>
      <c r="J3199" s="256" t="inlineStr">
        <is>
          <t>Conforms to the monograph for Cannabis flos (07/2024:3028) in Ph. Eur. 11.0 | Согласно монографија за Cannabis flos (07/2024:3028) во Ph. Eur. 11.0</t>
        </is>
      </c>
      <c r="K3199" s="256" t="inlineStr">
        <is>
          <t>Conforms | Одговара</t>
        </is>
      </c>
      <c r="L3199" s="256" t="inlineStr">
        <is>
          <t>iCoA-PP_26-178</t>
        </is>
      </c>
      <c r="M3199" s="256" t="inlineStr">
        <is>
          <t>24.08.2026</t>
        </is>
      </c>
      <c r="N3199" s="256" t="inlineStr">
        <is>
          <t>Purely Plant GmbH (in-house)</t>
        </is>
      </c>
      <c r="O3199" s="256" t="inlineStr">
        <is>
          <t>—</t>
        </is>
      </c>
      <c r="P3199" s="256" t="inlineStr">
        <is>
          <t>covered</t>
        </is>
      </c>
      <c r="Q3199" s="256" t="inlineStr">
        <is>
          <t>Farmahem — Ident A + B + C with the Assay, at retest</t>
        </is>
      </c>
      <c r="R3199" s="256" t="inlineStr"/>
    </row>
    <row r="3200">
      <c r="A3200" s="256" t="inlineStr">
        <is>
          <t>CoQ-PP_26-140</t>
        </is>
      </c>
      <c r="B3200" s="256" t="inlineStr">
        <is>
          <t>reissue — retest</t>
        </is>
      </c>
      <c r="C3200" s="256" t="inlineStr">
        <is>
          <t>CJ052501-2</t>
        </is>
      </c>
      <c r="D3200" s="256" t="inlineStr">
        <is>
          <t>P050172</t>
        </is>
      </c>
      <c r="E3200" s="256" t="inlineStr">
        <is>
          <t>Cap Junky</t>
        </is>
      </c>
      <c r="F3200" s="256" t="inlineStr">
        <is>
          <t>21.09.2026</t>
        </is>
      </c>
      <c r="G3200" s="256" t="inlineStr">
        <is>
          <t>2</t>
        </is>
      </c>
      <c r="H3200" s="256" t="inlineStr">
        <is>
          <t>Identification B · Microscopic</t>
        </is>
      </c>
      <c r="I3200" s="256" t="inlineStr">
        <is>
          <t>Ph. Eur. 2.8.23 (microscopy)</t>
        </is>
      </c>
      <c r="J3200" s="256" t="inlineStr">
        <is>
          <t>Conforms to the monograph for Cannabis flos (07/2024:3028) in Ph. Eur. 11.0 | Согласно монографија за Cannabis flos (07/2024:3028) во Ph. Eur. 11.0</t>
        </is>
      </c>
      <c r="K3200" s="256" t="inlineStr">
        <is>
          <t>Conforms | Одговара</t>
        </is>
      </c>
      <c r="L3200" s="256" t="inlineStr">
        <is>
          <t>iCoA-PP_26-178</t>
        </is>
      </c>
      <c r="M3200" s="256" t="inlineStr">
        <is>
          <t>24.08.2026</t>
        </is>
      </c>
      <c r="N3200" s="256" t="inlineStr">
        <is>
          <t>Purely Plant GmbH (in-house)</t>
        </is>
      </c>
      <c r="O3200" s="256" t="inlineStr">
        <is>
          <t>—</t>
        </is>
      </c>
      <c r="P3200" s="256" t="inlineStr">
        <is>
          <t>to be performed — see route</t>
        </is>
      </c>
      <c r="Q3200" s="256" t="inlineStr">
        <is>
          <t>Farmahem — Ident A + B + C with the Assay, at retest</t>
        </is>
      </c>
      <c r="R3200" s="256" t="inlineStr"/>
    </row>
    <row r="3201">
      <c r="A3201" s="256" t="inlineStr">
        <is>
          <t>CoQ-PP_26-140</t>
        </is>
      </c>
      <c r="B3201" s="256" t="inlineStr">
        <is>
          <t>reissue — retest</t>
        </is>
      </c>
      <c r="C3201" s="256" t="inlineStr">
        <is>
          <t>CJ052501-2</t>
        </is>
      </c>
      <c r="D3201" s="256" t="inlineStr">
        <is>
          <t>P050172</t>
        </is>
      </c>
      <c r="E3201" s="256" t="inlineStr">
        <is>
          <t>Cap Junky</t>
        </is>
      </c>
      <c r="F3201" s="256" t="inlineStr">
        <is>
          <t>21.09.2026</t>
        </is>
      </c>
      <c r="G3201" s="256" t="inlineStr">
        <is>
          <t>3</t>
        </is>
      </c>
      <c r="H3201" s="256" t="inlineStr">
        <is>
          <t>Identification C · HPLC/HPTLC</t>
        </is>
      </c>
      <c r="I3201" s="256" t="inlineStr">
        <is>
          <t>Ph. Eur. 2.2.29 (3028)</t>
        </is>
      </c>
      <c r="J3201" s="256" t="inlineStr">
        <is>
          <t>Conforms to the monograph for Cannabis flos (07/2024:3028) in Ph. Eur. 11.0 | Согласно монографија за Cannabis flos (07/2024:3028) во Ph. Eur. 11.0</t>
        </is>
      </c>
      <c r="K3201" s="256" t="inlineStr">
        <is>
          <t>Conforms | Одговара</t>
        </is>
      </c>
      <c r="L3201" s="256" t="inlineStr">
        <is>
          <t>227-28-К/26</t>
        </is>
      </c>
      <c r="M3201" s="256" t="inlineStr">
        <is>
          <t>11.09.2026</t>
        </is>
      </c>
      <c r="N3201" s="256" t="inlineStr">
        <is>
          <t>Farmahem</t>
        </is>
      </c>
      <c r="O3201" s="256" t="inlineStr">
        <is>
          <t>24.08.2026</t>
        </is>
      </c>
      <c r="P3201" s="256" t="inlineStr">
        <is>
          <t>covered</t>
        </is>
      </c>
      <c r="Q3201" s="256" t="inlineStr"/>
      <c r="R3201" s="256" t="inlineStr"/>
    </row>
    <row r="3202">
      <c r="A3202" s="256" t="inlineStr">
        <is>
          <t>CoQ-PP_26-140</t>
        </is>
      </c>
      <c r="B3202" s="256" t="inlineStr">
        <is>
          <t>reissue — retest</t>
        </is>
      </c>
      <c r="C3202" s="256" t="inlineStr">
        <is>
          <t>CJ052501-2</t>
        </is>
      </c>
      <c r="D3202" s="256" t="inlineStr">
        <is>
          <t>P050172</t>
        </is>
      </c>
      <c r="E3202" s="256" t="inlineStr">
        <is>
          <t>Cap Junky</t>
        </is>
      </c>
      <c r="F3202" s="256" t="inlineStr">
        <is>
          <t>21.09.2026</t>
        </is>
      </c>
      <c r="G3202" s="256" t="inlineStr">
        <is>
          <t>4</t>
        </is>
      </c>
      <c r="H3202" s="256" t="inlineStr">
        <is>
          <t>Assay — Total Δ⁹-THC</t>
        </is>
      </c>
      <c r="I3202" s="256" t="inlineStr">
        <is>
          <t>Ph. Eur. 2.2.29 (HPLC)</t>
        </is>
      </c>
      <c r="J3202" s="256" t="inlineStr">
        <is>
          <t>18.40 – 21.59 %  (grade III, nominal 20.00 ± 1.60)</t>
        </is>
      </c>
      <c r="K3202" s="256" t="inlineStr">
        <is>
          <t>21.30</t>
        </is>
      </c>
      <c r="L3202" s="256" t="inlineStr">
        <is>
          <t>227-28-К/26</t>
        </is>
      </c>
      <c r="M3202" s="256" t="inlineStr">
        <is>
          <t>11.09.2026</t>
        </is>
      </c>
      <c r="N3202" s="256" t="inlineStr">
        <is>
          <t>Farmahem</t>
        </is>
      </c>
      <c r="O3202" s="256" t="inlineStr">
        <is>
          <t>24.08.2026</t>
        </is>
      </c>
      <c r="P3202" s="256" t="inlineStr">
        <is>
          <t>covered</t>
        </is>
      </c>
      <c r="Q3202" s="256" t="inlineStr"/>
      <c r="R3202" s="256" t="inlineStr"/>
    </row>
    <row r="3203">
      <c r="A3203" s="256" t="inlineStr">
        <is>
          <t>CoQ-PP_26-140</t>
        </is>
      </c>
      <c r="B3203" s="256" t="inlineStr">
        <is>
          <t>reissue — retest</t>
        </is>
      </c>
      <c r="C3203" s="256" t="inlineStr">
        <is>
          <t>CJ052501-2</t>
        </is>
      </c>
      <c r="D3203" s="256" t="inlineStr">
        <is>
          <t>P050172</t>
        </is>
      </c>
      <c r="E3203" s="256" t="inlineStr">
        <is>
          <t>Cap Junky</t>
        </is>
      </c>
      <c r="F3203" s="256" t="inlineStr">
        <is>
          <t>21.09.2026</t>
        </is>
      </c>
      <c r="G3203" s="256" t="inlineStr">
        <is>
          <t>5</t>
        </is>
      </c>
      <c r="H3203" s="256" t="inlineStr">
        <is>
          <t>Assay — Total CBD</t>
        </is>
      </c>
      <c r="I3203" s="256" t="inlineStr">
        <is>
          <t>Ph. Eur. 2.2.29 (HPLC) · CBD + CBDA x 0.877</t>
        </is>
      </c>
      <c r="J3203" s="256" t="inlineStr">
        <is>
          <t>≤ 1.0%, w/w</t>
        </is>
      </c>
      <c r="K3203" s="256" t="inlineStr">
        <is>
          <t>&lt; LOQ</t>
        </is>
      </c>
      <c r="L3203" s="256" t="inlineStr">
        <is>
          <t>227-28-К/26</t>
        </is>
      </c>
      <c r="M3203" s="256" t="inlineStr">
        <is>
          <t>11.09.2026</t>
        </is>
      </c>
      <c r="N3203" s="256" t="inlineStr">
        <is>
          <t>Farmahem</t>
        </is>
      </c>
      <c r="O3203" s="256" t="inlineStr">
        <is>
          <t>24.08.2026</t>
        </is>
      </c>
      <c r="P3203" s="256" t="inlineStr">
        <is>
          <t>covered</t>
        </is>
      </c>
      <c r="Q3203" s="256" t="inlineStr"/>
      <c r="R3203" s="256" t="inlineStr"/>
    </row>
    <row r="3204">
      <c r="A3204" s="256" t="inlineStr">
        <is>
          <t>CoQ-PP_26-140</t>
        </is>
      </c>
      <c r="B3204" s="256" t="inlineStr">
        <is>
          <t>reissue — retest</t>
        </is>
      </c>
      <c r="C3204" s="256" t="inlineStr">
        <is>
          <t>CJ052501-2</t>
        </is>
      </c>
      <c r="D3204" s="256" t="inlineStr">
        <is>
          <t>P050172</t>
        </is>
      </c>
      <c r="E3204" s="256" t="inlineStr">
        <is>
          <t>Cap Junky</t>
        </is>
      </c>
      <c r="F3204" s="256" t="inlineStr">
        <is>
          <t>21.09.2026</t>
        </is>
      </c>
      <c r="G3204" s="256" t="inlineStr">
        <is>
          <t>6</t>
        </is>
      </c>
      <c r="H3204" s="256" t="inlineStr">
        <is>
          <t>Total CBN</t>
        </is>
      </c>
      <c r="I3204" s="256" t="inlineStr">
        <is>
          <t>Ph. Eur. 2.2.29 (HPLC) · CBN + CBNA x 0.876</t>
        </is>
      </c>
      <c r="J3204" s="256" t="inlineStr">
        <is>
          <t>≤ 1.0%, w/w</t>
        </is>
      </c>
      <c r="K3204" s="256" t="inlineStr">
        <is>
          <t>&lt; LOQ</t>
        </is>
      </c>
      <c r="L3204" s="256" t="inlineStr">
        <is>
          <t>227-28-К/26</t>
        </is>
      </c>
      <c r="M3204" s="256" t="inlineStr">
        <is>
          <t>11.09.2026</t>
        </is>
      </c>
      <c r="N3204" s="256" t="inlineStr">
        <is>
          <t>Farmahem</t>
        </is>
      </c>
      <c r="O3204" s="256" t="inlineStr">
        <is>
          <t>24.08.2026</t>
        </is>
      </c>
      <c r="P3204" s="256" t="inlineStr">
        <is>
          <t>covered</t>
        </is>
      </c>
      <c r="Q3204" s="256" t="inlineStr"/>
      <c r="R3204" s="256" t="inlineStr"/>
    </row>
    <row r="3205">
      <c r="A3205" s="256" t="inlineStr">
        <is>
          <t>CoQ-PP_26-140</t>
        </is>
      </c>
      <c r="B3205" s="256" t="inlineStr">
        <is>
          <t>reissue — retest</t>
        </is>
      </c>
      <c r="C3205" s="256" t="inlineStr">
        <is>
          <t>CJ052501-2</t>
        </is>
      </c>
      <c r="D3205" s="256" t="inlineStr">
        <is>
          <t>P050172</t>
        </is>
      </c>
      <c r="E3205" s="256" t="inlineStr">
        <is>
          <t>Cap Junky</t>
        </is>
      </c>
      <c r="F3205" s="256" t="inlineStr">
        <is>
          <t>21.09.2026</t>
        </is>
      </c>
      <c r="G3205" s="256" t="inlineStr">
        <is>
          <t>7</t>
        </is>
      </c>
      <c r="H3205" s="256" t="inlineStr">
        <is>
          <t>Foreign Matter</t>
        </is>
      </c>
      <c r="I3205" s="256" t="inlineStr">
        <is>
          <t>Ph. Eur. 2.8.2 · In-house · интерна</t>
        </is>
      </c>
      <c r="J3205" s="256" t="inlineStr">
        <is>
          <t>≤ 2.0% / 25–50 g · &lt; 1 cm leaves | листови, no seeds | без семки</t>
        </is>
      </c>
      <c r="K3205" s="256" t="inlineStr">
        <is>
          <t>Conforms | Одговара</t>
        </is>
      </c>
      <c r="L3205" s="256" t="inlineStr">
        <is>
          <t>iCoA-PP_26-178</t>
        </is>
      </c>
      <c r="M3205" s="256" t="inlineStr">
        <is>
          <t>24.08.2026</t>
        </is>
      </c>
      <c r="N3205" s="256" t="inlineStr">
        <is>
          <t>Purely Plant GmbH (in-house)</t>
        </is>
      </c>
      <c r="O3205" s="256" t="inlineStr">
        <is>
          <t>—</t>
        </is>
      </c>
      <c r="P3205" s="256" t="inlineStr">
        <is>
          <t>covered</t>
        </is>
      </c>
      <c r="Q3205" s="256" t="inlineStr">
        <is>
          <t>Purely Plant laboratory — iCoA covering Foreign matter</t>
        </is>
      </c>
      <c r="R3205" s="256" t="inlineStr"/>
    </row>
    <row r="3206">
      <c r="A3206" s="256" t="inlineStr">
        <is>
          <t>CoQ-PP_26-140</t>
        </is>
      </c>
      <c r="B3206" s="256" t="inlineStr">
        <is>
          <t>reissue — retest</t>
        </is>
      </c>
      <c r="C3206" s="256" t="inlineStr">
        <is>
          <t>CJ052501-2</t>
        </is>
      </c>
      <c r="D3206" s="256" t="inlineStr">
        <is>
          <t>P050172</t>
        </is>
      </c>
      <c r="E3206" s="256" t="inlineStr">
        <is>
          <t>Cap Junky</t>
        </is>
      </c>
      <c r="F3206" s="256" t="inlineStr">
        <is>
          <t>21.09.2026</t>
        </is>
      </c>
      <c r="G3206" s="256" t="inlineStr">
        <is>
          <t>8</t>
        </is>
      </c>
      <c r="H3206" s="256" t="inlineStr">
        <is>
          <t>Loss on Drying</t>
        </is>
      </c>
      <c r="I3206" s="256" t="inlineStr">
        <is>
          <t>DAB 2018 monograph Cannabis flos, 2.2.32 — loss on drying (CNP, before its Ph. Eur. 3028 accreditation)</t>
        </is>
      </c>
      <c r="J3206" s="256" t="inlineStr">
        <is>
          <t>≤ 12.0%</t>
        </is>
      </c>
      <c r="K3206" s="256" t="inlineStr">
        <is>
          <t>6.63</t>
        </is>
      </c>
      <c r="L3206" s="256" t="inlineStr">
        <is>
          <t>ППК25281</t>
        </is>
      </c>
      <c r="M3206" s="256" t="inlineStr">
        <is>
          <t>17.09.2025</t>
        </is>
      </c>
      <c r="N3206" s="256" t="inlineStr">
        <is>
          <t>UKIM Faculty of Pharmacy — Center for Natural Products</t>
        </is>
      </c>
      <c r="O3206" s="256" t="inlineStr">
        <is>
          <t>05.09.2025</t>
        </is>
      </c>
      <c r="P3206" s="256" t="inlineStr">
        <is>
          <t>carried from the initial testing (the batch's initial CoQ (number assigned on issue)) — covered</t>
        </is>
      </c>
      <c r="Q3206" s="256" t="inlineStr"/>
      <c r="R3206" s="256" t="inlineStr"/>
    </row>
    <row r="3207">
      <c r="A3207" s="256" t="inlineStr">
        <is>
          <t>CoQ-PP_26-140</t>
        </is>
      </c>
      <c r="B3207" s="256" t="inlineStr">
        <is>
          <t>reissue — retest</t>
        </is>
      </c>
      <c r="C3207" s="256" t="inlineStr">
        <is>
          <t>CJ052501-2</t>
        </is>
      </c>
      <c r="D3207" s="256" t="inlineStr">
        <is>
          <t>P050172</t>
        </is>
      </c>
      <c r="E3207" s="256" t="inlineStr">
        <is>
          <t>Cap Junky</t>
        </is>
      </c>
      <c r="F3207" s="256" t="inlineStr">
        <is>
          <t>21.09.2026</t>
        </is>
      </c>
      <c r="G3207" s="256" t="inlineStr">
        <is>
          <t>9.1</t>
        </is>
      </c>
      <c r="H3207" s="256" t="inlineStr">
        <is>
          <t>TAMC</t>
        </is>
      </c>
      <c r="I3207" s="256" t="inlineStr">
        <is>
          <t>Ph. Eur. 2.6.12 cat. C</t>
        </is>
      </c>
      <c r="J3207" s="256" t="inlineStr">
        <is>
          <t>≤ 10⁵ CFU/g</t>
        </is>
      </c>
      <c r="K3207" s="256" t="inlineStr">
        <is>
          <t>&lt; 10</t>
        </is>
      </c>
      <c r="L3207" s="256" t="inlineStr">
        <is>
          <t>558/1089/26</t>
        </is>
      </c>
      <c r="M3207" s="256" t="inlineStr">
        <is>
          <t>01.09.2026</t>
        </is>
      </c>
      <c r="N3207" s="256" t="inlineStr">
        <is>
          <t>IPH — Institute of Public Health</t>
        </is>
      </c>
      <c r="O3207" s="256" t="inlineStr">
        <is>
          <t>26.08.2026</t>
        </is>
      </c>
      <c r="P3207" s="256" t="inlineStr">
        <is>
          <t>covered</t>
        </is>
      </c>
      <c r="Q3207" s="256" t="inlineStr"/>
      <c r="R3207" s="256" t="inlineStr"/>
    </row>
    <row r="3208">
      <c r="A3208" s="256" t="inlineStr">
        <is>
          <t>CoQ-PP_26-140</t>
        </is>
      </c>
      <c r="B3208" s="256" t="inlineStr">
        <is>
          <t>reissue — retest</t>
        </is>
      </c>
      <c r="C3208" s="256" t="inlineStr">
        <is>
          <t>CJ052501-2</t>
        </is>
      </c>
      <c r="D3208" s="256" t="inlineStr">
        <is>
          <t>P050172</t>
        </is>
      </c>
      <c r="E3208" s="256" t="inlineStr">
        <is>
          <t>Cap Junky</t>
        </is>
      </c>
      <c r="F3208" s="256" t="inlineStr">
        <is>
          <t>21.09.2026</t>
        </is>
      </c>
      <c r="G3208" s="256" t="inlineStr">
        <is>
          <t>9.2</t>
        </is>
      </c>
      <c r="H3208" s="256" t="inlineStr">
        <is>
          <t>TYMC</t>
        </is>
      </c>
      <c r="I3208" s="256" t="inlineStr">
        <is>
          <t>Ph. Eur. 2.6.12 cat. C</t>
        </is>
      </c>
      <c r="J3208" s="256" t="inlineStr">
        <is>
          <t>≤ 10⁴ CFU/g</t>
        </is>
      </c>
      <c r="K3208" s="256" t="inlineStr">
        <is>
          <t>&lt; 10</t>
        </is>
      </c>
      <c r="L3208" s="256" t="inlineStr">
        <is>
          <t>558/1089/26</t>
        </is>
      </c>
      <c r="M3208" s="256" t="inlineStr">
        <is>
          <t>01.09.2026</t>
        </is>
      </c>
      <c r="N3208" s="256" t="inlineStr">
        <is>
          <t>IPH — Institute of Public Health</t>
        </is>
      </c>
      <c r="O3208" s="256" t="inlineStr">
        <is>
          <t>26.08.2026</t>
        </is>
      </c>
      <c r="P3208" s="256" t="inlineStr">
        <is>
          <t>covered</t>
        </is>
      </c>
      <c r="Q3208" s="256" t="inlineStr"/>
      <c r="R3208" s="256" t="inlineStr"/>
    </row>
    <row r="3209">
      <c r="A3209" s="256" t="inlineStr">
        <is>
          <t>CoQ-PP_26-140</t>
        </is>
      </c>
      <c r="B3209" s="256" t="inlineStr">
        <is>
          <t>reissue — retest</t>
        </is>
      </c>
      <c r="C3209" s="256" t="inlineStr">
        <is>
          <t>CJ052501-2</t>
        </is>
      </c>
      <c r="D3209" s="256" t="inlineStr">
        <is>
          <t>P050172</t>
        </is>
      </c>
      <c r="E3209" s="256" t="inlineStr">
        <is>
          <t>Cap Junky</t>
        </is>
      </c>
      <c r="F3209" s="256" t="inlineStr">
        <is>
          <t>21.09.2026</t>
        </is>
      </c>
      <c r="G3209" s="256" t="inlineStr">
        <is>
          <t>9.3</t>
        </is>
      </c>
      <c r="H3209" s="256" t="inlineStr">
        <is>
          <t>Bile-tolerant gram-neg.</t>
        </is>
      </c>
      <c r="I3209" s="256" t="inlineStr">
        <is>
          <t>Ph. Eur. 2.6.31 cat. C</t>
        </is>
      </c>
      <c r="J3209" s="256" t="inlineStr">
        <is>
          <t>≤ 10⁴ CFU/g</t>
        </is>
      </c>
      <c r="K3209" s="256" t="inlineStr">
        <is>
          <t>&lt; 10</t>
        </is>
      </c>
      <c r="L3209" s="256" t="inlineStr">
        <is>
          <t>558/1089/26</t>
        </is>
      </c>
      <c r="M3209" s="256" t="inlineStr">
        <is>
          <t>01.09.2026</t>
        </is>
      </c>
      <c r="N3209" s="256" t="inlineStr">
        <is>
          <t>IPH — Institute of Public Health</t>
        </is>
      </c>
      <c r="O3209" s="256" t="inlineStr">
        <is>
          <t>26.08.2026</t>
        </is>
      </c>
      <c r="P3209" s="256" t="inlineStr">
        <is>
          <t>covered</t>
        </is>
      </c>
      <c r="Q3209" s="256" t="inlineStr"/>
      <c r="R3209" s="256" t="inlineStr"/>
    </row>
    <row r="3210">
      <c r="A3210" s="256" t="inlineStr">
        <is>
          <t>CoQ-PP_26-140</t>
        </is>
      </c>
      <c r="B3210" s="256" t="inlineStr">
        <is>
          <t>reissue — retest</t>
        </is>
      </c>
      <c r="C3210" s="256" t="inlineStr">
        <is>
          <t>CJ052501-2</t>
        </is>
      </c>
      <c r="D3210" s="256" t="inlineStr">
        <is>
          <t>P050172</t>
        </is>
      </c>
      <c r="E3210" s="256" t="inlineStr">
        <is>
          <t>Cap Junky</t>
        </is>
      </c>
      <c r="F3210" s="256" t="inlineStr">
        <is>
          <t>21.09.2026</t>
        </is>
      </c>
      <c r="G3210" s="256" t="inlineStr">
        <is>
          <t>9.4</t>
        </is>
      </c>
      <c r="H3210" s="256" t="inlineStr">
        <is>
          <t>Salmonella</t>
        </is>
      </c>
      <c r="I3210" s="256" t="inlineStr">
        <is>
          <t>Ph. Eur. 2.6.31 cat. C</t>
        </is>
      </c>
      <c r="J3210" s="256" t="inlineStr">
        <is>
          <t>Absence | Отсуство / 25 g</t>
        </is>
      </c>
      <c r="K3210" s="256" t="inlineStr">
        <is>
          <t>Absent | Отсутна</t>
        </is>
      </c>
      <c r="L3210" s="256" t="inlineStr">
        <is>
          <t>558/1089/26</t>
        </is>
      </c>
      <c r="M3210" s="256" t="inlineStr">
        <is>
          <t>01.09.2026</t>
        </is>
      </c>
      <c r="N3210" s="256" t="inlineStr">
        <is>
          <t>IPH — Institute of Public Health</t>
        </is>
      </c>
      <c r="O3210" s="256" t="inlineStr">
        <is>
          <t>26.08.2026</t>
        </is>
      </c>
      <c r="P3210" s="256" t="inlineStr">
        <is>
          <t>covered</t>
        </is>
      </c>
      <c r="Q3210" s="256" t="inlineStr"/>
      <c r="R3210" s="256" t="inlineStr"/>
    </row>
    <row r="3211">
      <c r="A3211" s="256" t="inlineStr">
        <is>
          <t>CoQ-PP_26-140</t>
        </is>
      </c>
      <c r="B3211" s="256" t="inlineStr">
        <is>
          <t>reissue — retest</t>
        </is>
      </c>
      <c r="C3211" s="256" t="inlineStr">
        <is>
          <t>CJ052501-2</t>
        </is>
      </c>
      <c r="D3211" s="256" t="inlineStr">
        <is>
          <t>P050172</t>
        </is>
      </c>
      <c r="E3211" s="256" t="inlineStr">
        <is>
          <t>Cap Junky</t>
        </is>
      </c>
      <c r="F3211" s="256" t="inlineStr">
        <is>
          <t>21.09.2026</t>
        </is>
      </c>
      <c r="G3211" s="256" t="inlineStr">
        <is>
          <t>9.5</t>
        </is>
      </c>
      <c r="H3211" s="256" t="inlineStr">
        <is>
          <t>Escherichia coli</t>
        </is>
      </c>
      <c r="I3211" s="256" t="inlineStr">
        <is>
          <t>Ph. Eur. 2.6.13 cat. C</t>
        </is>
      </c>
      <c r="J3211" s="256" t="inlineStr">
        <is>
          <t>Absence | Отсуство / 1 g</t>
        </is>
      </c>
      <c r="K3211" s="256" t="inlineStr">
        <is>
          <t>Absent | Отсутна</t>
        </is>
      </c>
      <c r="L3211" s="256" t="inlineStr">
        <is>
          <t>558/1089/26</t>
        </is>
      </c>
      <c r="M3211" s="256" t="inlineStr">
        <is>
          <t>01.09.2026</t>
        </is>
      </c>
      <c r="N3211" s="256" t="inlineStr">
        <is>
          <t>IPH — Institute of Public Health</t>
        </is>
      </c>
      <c r="O3211" s="256" t="inlineStr">
        <is>
          <t>26.08.2026</t>
        </is>
      </c>
      <c r="P3211" s="256" t="inlineStr">
        <is>
          <t>covered</t>
        </is>
      </c>
      <c r="Q3211" s="256" t="inlineStr"/>
      <c r="R3211" s="256" t="inlineStr"/>
    </row>
    <row r="3212">
      <c r="A3212" s="256" t="inlineStr">
        <is>
          <t>CoQ-PP_26-140</t>
        </is>
      </c>
      <c r="B3212" s="256" t="inlineStr">
        <is>
          <t>reissue — retest</t>
        </is>
      </c>
      <c r="C3212" s="256" t="inlineStr">
        <is>
          <t>CJ052501-2</t>
        </is>
      </c>
      <c r="D3212" s="256" t="inlineStr">
        <is>
          <t>P050172</t>
        </is>
      </c>
      <c r="E3212" s="256" t="inlineStr">
        <is>
          <t>Cap Junky</t>
        </is>
      </c>
      <c r="F3212" s="256" t="inlineStr">
        <is>
          <t>21.09.2026</t>
        </is>
      </c>
      <c r="G3212" s="256" t="inlineStr">
        <is>
          <t>9.6</t>
        </is>
      </c>
      <c r="H3212" s="256" t="inlineStr">
        <is>
          <t>Pseudomonas aeruginosa</t>
        </is>
      </c>
      <c r="I3212" s="256" t="inlineStr">
        <is>
          <t>Ph. Eur. 2.6.13 cat. C</t>
        </is>
      </c>
      <c r="J3212" s="256" t="inlineStr">
        <is>
          <t>Absence | Отсуство / 1 g</t>
        </is>
      </c>
      <c r="K3212" s="260" t="inlineStr">
        <is>
          <t>upon request — not required for release</t>
        </is>
      </c>
      <c r="L3212" s="256" t="inlineStr">
        <is>
          <t>—</t>
        </is>
      </c>
      <c r="M3212" s="256" t="inlineStr">
        <is>
          <t>—</t>
        </is>
      </c>
      <c r="N3212" s="256" t="inlineStr">
        <is>
          <t>—</t>
        </is>
      </c>
      <c r="O3212" s="256" t="inlineStr">
        <is>
          <t>—</t>
        </is>
      </c>
      <c r="P3212" s="256" t="inlineStr">
        <is>
          <t>upon request — not required for release</t>
        </is>
      </c>
      <c r="Q3212" s="256" t="inlineStr"/>
      <c r="R3212" s="256" t="inlineStr"/>
    </row>
    <row r="3213">
      <c r="A3213" s="256" t="inlineStr">
        <is>
          <t>CoQ-PP_26-140</t>
        </is>
      </c>
      <c r="B3213" s="256" t="inlineStr">
        <is>
          <t>reissue — retest</t>
        </is>
      </c>
      <c r="C3213" s="256" t="inlineStr">
        <is>
          <t>CJ052501-2</t>
        </is>
      </c>
      <c r="D3213" s="256" t="inlineStr">
        <is>
          <t>P050172</t>
        </is>
      </c>
      <c r="E3213" s="256" t="inlineStr">
        <is>
          <t>Cap Junky</t>
        </is>
      </c>
      <c r="F3213" s="256" t="inlineStr">
        <is>
          <t>21.09.2026</t>
        </is>
      </c>
      <c r="G3213" s="256" t="inlineStr">
        <is>
          <t>9.7</t>
        </is>
      </c>
      <c r="H3213" s="256" t="inlineStr">
        <is>
          <t>Staphylococcus aureus</t>
        </is>
      </c>
      <c r="I3213" s="256" t="inlineStr">
        <is>
          <t>Ph. Eur. 2.6.13 cat. C</t>
        </is>
      </c>
      <c r="J3213" s="256" t="inlineStr">
        <is>
          <t>Absence | Отсуство / 1 g</t>
        </is>
      </c>
      <c r="K3213" s="260" t="inlineStr">
        <is>
          <t>upon request — not required for release</t>
        </is>
      </c>
      <c r="L3213" s="256" t="inlineStr">
        <is>
          <t>—</t>
        </is>
      </c>
      <c r="M3213" s="256" t="inlineStr">
        <is>
          <t>—</t>
        </is>
      </c>
      <c r="N3213" s="256" t="inlineStr">
        <is>
          <t>—</t>
        </is>
      </c>
      <c r="O3213" s="256" t="inlineStr">
        <is>
          <t>—</t>
        </is>
      </c>
      <c r="P3213" s="256" t="inlineStr">
        <is>
          <t>upon request — not required for release</t>
        </is>
      </c>
      <c r="Q3213" s="256" t="inlineStr"/>
      <c r="R3213" s="256" t="inlineStr"/>
    </row>
    <row r="3214">
      <c r="A3214" s="256" t="inlineStr">
        <is>
          <t>CoQ-PP_26-140</t>
        </is>
      </c>
      <c r="B3214" s="256" t="inlineStr">
        <is>
          <t>reissue — retest</t>
        </is>
      </c>
      <c r="C3214" s="256" t="inlineStr">
        <is>
          <t>CJ052501-2</t>
        </is>
      </c>
      <c r="D3214" s="256" t="inlineStr">
        <is>
          <t>P050172</t>
        </is>
      </c>
      <c r="E3214" s="256" t="inlineStr">
        <is>
          <t>Cap Junky</t>
        </is>
      </c>
      <c r="F3214" s="256" t="inlineStr">
        <is>
          <t>21.09.2026</t>
        </is>
      </c>
      <c r="G3214" s="256" t="inlineStr">
        <is>
          <t>10.1</t>
        </is>
      </c>
      <c r="H3214" s="256" t="inlineStr">
        <is>
          <t>Aflatoxin B₁</t>
        </is>
      </c>
      <c r="I3214" s="256" t="inlineStr">
        <is>
          <t>Ph. Eur. 2.8.18 (HPLC-FLD)</t>
        </is>
      </c>
      <c r="J3214" s="256" t="inlineStr">
        <is>
          <t>≤ 2 µg/kg</t>
        </is>
      </c>
      <c r="K3214" s="256" t="inlineStr">
        <is>
          <t>ND</t>
        </is>
      </c>
      <c r="L3214" s="256" t="inlineStr">
        <is>
          <t>227-28-М/26</t>
        </is>
      </c>
      <c r="M3214" s="256" t="inlineStr">
        <is>
          <t>16.09.2026</t>
        </is>
      </c>
      <c r="N3214" s="256" t="inlineStr">
        <is>
          <t>Farmahem</t>
        </is>
      </c>
      <c r="O3214" s="256" t="inlineStr">
        <is>
          <t>—</t>
        </is>
      </c>
      <c r="P3214" s="256" t="inlineStr">
        <is>
          <t>covered</t>
        </is>
      </c>
      <c r="Q3214" s="256" t="inlineStr"/>
      <c r="R3214" s="256" t="inlineStr"/>
    </row>
    <row r="3215">
      <c r="A3215" s="256" t="inlineStr">
        <is>
          <t>CoQ-PP_26-140</t>
        </is>
      </c>
      <c r="B3215" s="256" t="inlineStr">
        <is>
          <t>reissue — retest</t>
        </is>
      </c>
      <c r="C3215" s="256" t="inlineStr">
        <is>
          <t>CJ052501-2</t>
        </is>
      </c>
      <c r="D3215" s="256" t="inlineStr">
        <is>
          <t>P050172</t>
        </is>
      </c>
      <c r="E3215" s="256" t="inlineStr">
        <is>
          <t>Cap Junky</t>
        </is>
      </c>
      <c r="F3215" s="256" t="inlineStr">
        <is>
          <t>21.09.2026</t>
        </is>
      </c>
      <c r="G3215" s="256" t="inlineStr">
        <is>
          <t>10.2</t>
        </is>
      </c>
      <c r="H3215" s="256" t="inlineStr">
        <is>
          <t>Aflatoxins ∑</t>
        </is>
      </c>
      <c r="I3215" s="256" t="inlineStr">
        <is>
          <t>Ph. Eur. 2.8.18 (HPLC-FLD)</t>
        </is>
      </c>
      <c r="J3215" s="256" t="inlineStr">
        <is>
          <t>≤ 4 µg/kg</t>
        </is>
      </c>
      <c r="K3215" s="256" t="inlineStr">
        <is>
          <t>ND</t>
        </is>
      </c>
      <c r="L3215" s="256" t="inlineStr">
        <is>
          <t>227-28-М/26</t>
        </is>
      </c>
      <c r="M3215" s="256" t="inlineStr">
        <is>
          <t>16.09.2026</t>
        </is>
      </c>
      <c r="N3215" s="256" t="inlineStr">
        <is>
          <t>Farmahem</t>
        </is>
      </c>
      <c r="O3215" s="256" t="inlineStr">
        <is>
          <t>—</t>
        </is>
      </c>
      <c r="P3215" s="256" t="inlineStr">
        <is>
          <t>carried from the initial testing (the batch's initial CoQ (number assigned on issue)) — covered</t>
        </is>
      </c>
      <c r="Q3215" s="256" t="inlineStr"/>
      <c r="R3215" s="256" t="inlineStr"/>
    </row>
    <row r="3216">
      <c r="A3216" s="256" t="inlineStr">
        <is>
          <t>CoQ-PP_26-140</t>
        </is>
      </c>
      <c r="B3216" s="256" t="inlineStr">
        <is>
          <t>reissue — retest</t>
        </is>
      </c>
      <c r="C3216" s="256" t="inlineStr">
        <is>
          <t>CJ052501-2</t>
        </is>
      </c>
      <c r="D3216" s="256" t="inlineStr">
        <is>
          <t>P050172</t>
        </is>
      </c>
      <c r="E3216" s="256" t="inlineStr">
        <is>
          <t>Cap Junky</t>
        </is>
      </c>
      <c r="F3216" s="256" t="inlineStr">
        <is>
          <t>21.09.2026</t>
        </is>
      </c>
      <c r="G3216" s="256" t="inlineStr">
        <is>
          <t>10.3</t>
        </is>
      </c>
      <c r="H3216" s="256" t="inlineStr">
        <is>
          <t>Ochratoxin A</t>
        </is>
      </c>
      <c r="I3216" s="256" t="inlineStr">
        <is>
          <t>Ph. Eur. 2.8.22 (HPLC-FLD)</t>
        </is>
      </c>
      <c r="J3216" s="256" t="inlineStr">
        <is>
          <t>≤ 20 µg/kg</t>
        </is>
      </c>
      <c r="K3216" s="256" t="inlineStr">
        <is>
          <t>ND</t>
        </is>
      </c>
      <c r="L3216" s="256" t="inlineStr">
        <is>
          <t>227-28-М/26</t>
        </is>
      </c>
      <c r="M3216" s="256" t="inlineStr">
        <is>
          <t>16.09.2026</t>
        </is>
      </c>
      <c r="N3216" s="256" t="inlineStr">
        <is>
          <t>Farmahem</t>
        </is>
      </c>
      <c r="O3216" s="256" t="inlineStr">
        <is>
          <t>—</t>
        </is>
      </c>
      <c r="P3216" s="256" t="inlineStr">
        <is>
          <t>covered</t>
        </is>
      </c>
      <c r="Q3216" s="256" t="inlineStr"/>
      <c r="R3216" s="256" t="inlineStr"/>
    </row>
    <row r="3217">
      <c r="A3217" s="256" t="inlineStr">
        <is>
          <t>CoQ-PP_26-140</t>
        </is>
      </c>
      <c r="B3217" s="256" t="inlineStr">
        <is>
          <t>reissue — retest</t>
        </is>
      </c>
      <c r="C3217" s="256" t="inlineStr">
        <is>
          <t>CJ052501-2</t>
        </is>
      </c>
      <c r="D3217" s="256" t="inlineStr">
        <is>
          <t>P050172</t>
        </is>
      </c>
      <c r="E3217" s="256" t="inlineStr">
        <is>
          <t>Cap Junky</t>
        </is>
      </c>
      <c r="F3217" s="256" t="inlineStr">
        <is>
          <t>21.09.2026</t>
        </is>
      </c>
      <c r="G3217" s="256" t="inlineStr">
        <is>
          <t>11.1</t>
        </is>
      </c>
      <c r="H3217" s="256" t="inlineStr">
        <is>
          <t>Lead (Pb)</t>
        </is>
      </c>
      <c r="I3217" s="256" t="inlineStr">
        <is>
          <t>Ph. Eur. 2.4.27 (ICP-MS)</t>
        </is>
      </c>
      <c r="J3217" s="256" t="inlineStr">
        <is>
          <t>≤ 0.5 mg/kg</t>
        </is>
      </c>
      <c r="K3217" s="256" t="inlineStr">
        <is>
          <t>0.02</t>
        </is>
      </c>
      <c r="L3217" s="256" t="inlineStr">
        <is>
          <t>4349/2025</t>
        </is>
      </c>
      <c r="M3217" s="256" t="inlineStr">
        <is>
          <t>15.09.2025</t>
        </is>
      </c>
      <c r="N3217" s="256" t="inlineStr">
        <is>
          <t>IPH — Institute of Public Health</t>
        </is>
      </c>
      <c r="O3217" s="256" t="inlineStr">
        <is>
          <t>05.09.2025</t>
        </is>
      </c>
      <c r="P3217" s="256" t="inlineStr">
        <is>
          <t>carried from the initial testing (the batch's initial CoQ (number assigned on issue)) — covered</t>
        </is>
      </c>
      <c r="Q3217" s="256" t="inlineStr"/>
      <c r="R3217" s="256" t="inlineStr"/>
    </row>
    <row r="3218">
      <c r="A3218" s="256" t="inlineStr">
        <is>
          <t>CoQ-PP_26-140</t>
        </is>
      </c>
      <c r="B3218" s="256" t="inlineStr">
        <is>
          <t>reissue — retest</t>
        </is>
      </c>
      <c r="C3218" s="256" t="inlineStr">
        <is>
          <t>CJ052501-2</t>
        </is>
      </c>
      <c r="D3218" s="256" t="inlineStr">
        <is>
          <t>P050172</t>
        </is>
      </c>
      <c r="E3218" s="256" t="inlineStr">
        <is>
          <t>Cap Junky</t>
        </is>
      </c>
      <c r="F3218" s="256" t="inlineStr">
        <is>
          <t>21.09.2026</t>
        </is>
      </c>
      <c r="G3218" s="256" t="inlineStr">
        <is>
          <t>11.2</t>
        </is>
      </c>
      <c r="H3218" s="256" t="inlineStr">
        <is>
          <t>Cadmium (Cd)</t>
        </is>
      </c>
      <c r="I3218" s="256" t="inlineStr">
        <is>
          <t>Ph. Eur. 2.4.27 (ICP-MS)</t>
        </is>
      </c>
      <c r="J3218" s="256" t="inlineStr">
        <is>
          <t>≤ 0.3 mg/kg</t>
        </is>
      </c>
      <c r="K3218" s="256" t="inlineStr">
        <is>
          <t>ND</t>
        </is>
      </c>
      <c r="L3218" s="256" t="inlineStr">
        <is>
          <t>4349/2025</t>
        </is>
      </c>
      <c r="M3218" s="256" t="inlineStr">
        <is>
          <t>15.09.2025</t>
        </is>
      </c>
      <c r="N3218" s="256" t="inlineStr">
        <is>
          <t>IPH — Institute of Public Health</t>
        </is>
      </c>
      <c r="O3218" s="256" t="inlineStr">
        <is>
          <t>05.09.2025</t>
        </is>
      </c>
      <c r="P3218" s="256" t="inlineStr">
        <is>
          <t>carried from the initial testing (the batch's initial CoQ (number assigned on issue)) — covered</t>
        </is>
      </c>
      <c r="Q3218" s="256" t="inlineStr"/>
      <c r="R3218" s="256" t="inlineStr"/>
    </row>
    <row r="3219">
      <c r="A3219" s="256" t="inlineStr">
        <is>
          <t>CoQ-PP_26-140</t>
        </is>
      </c>
      <c r="B3219" s="256" t="inlineStr">
        <is>
          <t>reissue — retest</t>
        </is>
      </c>
      <c r="C3219" s="256" t="inlineStr">
        <is>
          <t>CJ052501-2</t>
        </is>
      </c>
      <c r="D3219" s="256" t="inlineStr">
        <is>
          <t>P050172</t>
        </is>
      </c>
      <c r="E3219" s="256" t="inlineStr">
        <is>
          <t>Cap Junky</t>
        </is>
      </c>
      <c r="F3219" s="256" t="inlineStr">
        <is>
          <t>21.09.2026</t>
        </is>
      </c>
      <c r="G3219" s="256" t="inlineStr">
        <is>
          <t>11.3</t>
        </is>
      </c>
      <c r="H3219" s="256" t="inlineStr">
        <is>
          <t>Arsenic (As)</t>
        </is>
      </c>
      <c r="I3219" s="256" t="inlineStr">
        <is>
          <t>Ph. Eur. 2.4.27 (ICP-MS)</t>
        </is>
      </c>
      <c r="J3219" s="256" t="inlineStr">
        <is>
          <t>≤ 0.2 mg/kg</t>
        </is>
      </c>
      <c r="K3219" s="256" t="inlineStr">
        <is>
          <t>0.042</t>
        </is>
      </c>
      <c r="L3219" s="256" t="inlineStr">
        <is>
          <t>4349/2025</t>
        </is>
      </c>
      <c r="M3219" s="256" t="inlineStr">
        <is>
          <t>15.09.2025</t>
        </is>
      </c>
      <c r="N3219" s="256" t="inlineStr">
        <is>
          <t>IPH — Institute of Public Health</t>
        </is>
      </c>
      <c r="O3219" s="256" t="inlineStr">
        <is>
          <t>05.09.2025</t>
        </is>
      </c>
      <c r="P3219" s="256" t="inlineStr">
        <is>
          <t>carried from the initial testing (the batch's initial CoQ (number assigned on issue)) — covered</t>
        </is>
      </c>
      <c r="Q3219" s="256" t="inlineStr"/>
      <c r="R3219" s="256" t="inlineStr"/>
    </row>
    <row r="3220">
      <c r="A3220" s="256" t="inlineStr">
        <is>
          <t>CoQ-PP_26-140</t>
        </is>
      </c>
      <c r="B3220" s="256" t="inlineStr">
        <is>
          <t>reissue — retest</t>
        </is>
      </c>
      <c r="C3220" s="256" t="inlineStr">
        <is>
          <t>CJ052501-2</t>
        </is>
      </c>
      <c r="D3220" s="256" t="inlineStr">
        <is>
          <t>P050172</t>
        </is>
      </c>
      <c r="E3220" s="256" t="inlineStr">
        <is>
          <t>Cap Junky</t>
        </is>
      </c>
      <c r="F3220" s="256" t="inlineStr">
        <is>
          <t>21.09.2026</t>
        </is>
      </c>
      <c r="G3220" s="256" t="inlineStr">
        <is>
          <t>11.4</t>
        </is>
      </c>
      <c r="H3220" s="256" t="inlineStr">
        <is>
          <t>Mercury (Hg)</t>
        </is>
      </c>
      <c r="I3220" s="256" t="inlineStr">
        <is>
          <t>Ph. Eur. 2.4.27 (ICP-MS)</t>
        </is>
      </c>
      <c r="J3220" s="256" t="inlineStr">
        <is>
          <t>≤ 0.1 mg/kg</t>
        </is>
      </c>
      <c r="K3220" s="256" t="inlineStr">
        <is>
          <t>ND</t>
        </is>
      </c>
      <c r="L3220" s="256" t="inlineStr">
        <is>
          <t>4349/2025</t>
        </is>
      </c>
      <c r="M3220" s="256" t="inlineStr">
        <is>
          <t>15.09.2025</t>
        </is>
      </c>
      <c r="N3220" s="256" t="inlineStr">
        <is>
          <t>IPH — Institute of Public Health</t>
        </is>
      </c>
      <c r="O3220" s="256" t="inlineStr">
        <is>
          <t>05.09.2025</t>
        </is>
      </c>
      <c r="P3220" s="256" t="inlineStr">
        <is>
          <t>carried from the initial testing (the batch's initial CoQ (number assigned on issue)) — covered</t>
        </is>
      </c>
      <c r="Q3220" s="256" t="inlineStr"/>
      <c r="R3220" s="256" t="inlineStr"/>
    </row>
    <row r="3221">
      <c r="A3221" s="256" t="inlineStr">
        <is>
          <t>CoQ-PP_26-140</t>
        </is>
      </c>
      <c r="B3221" s="256" t="inlineStr">
        <is>
          <t>reissue — retest</t>
        </is>
      </c>
      <c r="C3221" s="256" t="inlineStr">
        <is>
          <t>CJ052501-2</t>
        </is>
      </c>
      <c r="D3221" s="256" t="inlineStr">
        <is>
          <t>P050172</t>
        </is>
      </c>
      <c r="E3221" s="256" t="inlineStr">
        <is>
          <t>Cap Junky</t>
        </is>
      </c>
      <c r="F3221" s="256" t="inlineStr">
        <is>
          <t>21.09.2026</t>
        </is>
      </c>
      <c r="G3221" s="256" t="inlineStr">
        <is>
          <t>12</t>
        </is>
      </c>
      <c r="H3221" s="256" t="inlineStr">
        <is>
          <t>Pesticide Residues</t>
        </is>
      </c>
      <c r="I3221" s="256" t="inlineStr">
        <is>
          <t>Ph. Eur. 2.8.13 (LC-MS/MS) · CUMCS Equivalency</t>
        </is>
      </c>
      <c r="J3221" s="256" t="inlineStr">
        <is>
          <t>≤ LOQ as per Ph. Eur. 2.8.13 · ≤ LOQ as per CUMCS Equivalency</t>
        </is>
      </c>
      <c r="K3221" s="256" t="inlineStr">
        <is>
          <t>ND</t>
        </is>
      </c>
      <c r="L3221" s="256" t="inlineStr">
        <is>
          <t>4349/2025</t>
        </is>
      </c>
      <c r="M3221" s="256" t="inlineStr">
        <is>
          <t>15.09.2025</t>
        </is>
      </c>
      <c r="N3221" s="256" t="inlineStr">
        <is>
          <t>IPH — Institute of Public Health</t>
        </is>
      </c>
      <c r="O3221" s="256" t="inlineStr">
        <is>
          <t>05.09.2025</t>
        </is>
      </c>
      <c r="P3221" s="256" t="inlineStr">
        <is>
          <t>carried from the initial testing (the batch's initial CoQ (number assigned on issue)) — covered</t>
        </is>
      </c>
      <c r="Q3221" s="256" t="inlineStr"/>
      <c r="R3221" s="256" t="inlineStr"/>
    </row>
    <row r="3222">
      <c r="A3222" s="256" t="inlineStr">
        <is>
          <t>CoQ-PP_26-141</t>
        </is>
      </c>
      <c r="B3222" s="256" t="inlineStr">
        <is>
          <t>reissue — retest</t>
        </is>
      </c>
      <c r="C3222" s="256" t="inlineStr">
        <is>
          <t>CJ072501</t>
        </is>
      </c>
      <c r="D3222" s="256" t="inlineStr">
        <is>
          <t>P050252</t>
        </is>
      </c>
      <c r="E3222" s="256" t="inlineStr">
        <is>
          <t>Cap Junky</t>
        </is>
      </c>
      <c r="F3222" s="256" t="inlineStr">
        <is>
          <t>21.09.2026</t>
        </is>
      </c>
      <c r="G3222" s="256" t="inlineStr">
        <is>
          <t>1</t>
        </is>
      </c>
      <c r="H3222" s="256" t="inlineStr">
        <is>
          <t>Identification A, Appearance · Macroscopic</t>
        </is>
      </c>
      <c r="I3222" s="256" t="inlineStr">
        <is>
          <t>Ph. Eur. mon. 3028</t>
        </is>
      </c>
      <c r="J3222" s="256" t="inlineStr">
        <is>
          <t>Conforms to the monograph for Cannabis flos (07/2024:3028) in Ph. Eur. 11.0 | Согласно монографија за Cannabis flos (07/2024:3028) во Ph. Eur. 11.0</t>
        </is>
      </c>
      <c r="K3222" s="256" t="inlineStr">
        <is>
          <t>Conforms | Одговара</t>
        </is>
      </c>
      <c r="L3222" s="256" t="inlineStr">
        <is>
          <t>iCoA-PP_26-179</t>
        </is>
      </c>
      <c r="M3222" s="256" t="inlineStr">
        <is>
          <t>24.08.2026</t>
        </is>
      </c>
      <c r="N3222" s="256" t="inlineStr">
        <is>
          <t>Purely Plant GmbH (in-house)</t>
        </is>
      </c>
      <c r="O3222" s="256" t="inlineStr">
        <is>
          <t>—</t>
        </is>
      </c>
      <c r="P3222" s="256" t="inlineStr">
        <is>
          <t>to be performed — see route</t>
        </is>
      </c>
      <c r="Q3222" s="256" t="inlineStr">
        <is>
          <t>Farmahem — Ident A + B + C with the Assay, at retest</t>
        </is>
      </c>
      <c r="R3222" s="256" t="inlineStr"/>
    </row>
    <row r="3223">
      <c r="A3223" s="256" t="inlineStr">
        <is>
          <t>CoQ-PP_26-141</t>
        </is>
      </c>
      <c r="B3223" s="256" t="inlineStr">
        <is>
          <t>reissue — retest</t>
        </is>
      </c>
      <c r="C3223" s="256" t="inlineStr">
        <is>
          <t>CJ072501</t>
        </is>
      </c>
      <c r="D3223" s="256" t="inlineStr">
        <is>
          <t>P050252</t>
        </is>
      </c>
      <c r="E3223" s="256" t="inlineStr">
        <is>
          <t>Cap Junky</t>
        </is>
      </c>
      <c r="F3223" s="256" t="inlineStr">
        <is>
          <t>21.09.2026</t>
        </is>
      </c>
      <c r="G3223" s="256" t="inlineStr">
        <is>
          <t>2</t>
        </is>
      </c>
      <c r="H3223" s="256" t="inlineStr">
        <is>
          <t>Identification B · Microscopic</t>
        </is>
      </c>
      <c r="I3223" s="256" t="inlineStr">
        <is>
          <t>Ph. Eur. 2.8.23 (microscopy)</t>
        </is>
      </c>
      <c r="J3223" s="256" t="inlineStr">
        <is>
          <t>Conforms to the monograph for Cannabis flos (07/2024:3028) in Ph. Eur. 11.0 | Согласно монографија за Cannabis flos (07/2024:3028) во Ph. Eur. 11.0</t>
        </is>
      </c>
      <c r="K3223" s="256" t="inlineStr">
        <is>
          <t>Conforms | Одговара</t>
        </is>
      </c>
      <c r="L3223" s="256" t="inlineStr">
        <is>
          <t>iCoA-PP_26-179</t>
        </is>
      </c>
      <c r="M3223" s="256" t="inlineStr">
        <is>
          <t>24.08.2026</t>
        </is>
      </c>
      <c r="N3223" s="256" t="inlineStr">
        <is>
          <t>Purely Plant GmbH (in-house)</t>
        </is>
      </c>
      <c r="O3223" s="256" t="inlineStr">
        <is>
          <t>—</t>
        </is>
      </c>
      <c r="P3223" s="256" t="inlineStr">
        <is>
          <t>to be performed — see route</t>
        </is>
      </c>
      <c r="Q3223" s="256" t="inlineStr">
        <is>
          <t>Farmahem — Ident A + B + C with the Assay, at retest</t>
        </is>
      </c>
      <c r="R3223" s="256" t="inlineStr"/>
    </row>
    <row r="3224">
      <c r="A3224" s="256" t="inlineStr">
        <is>
          <t>CoQ-PP_26-141</t>
        </is>
      </c>
      <c r="B3224" s="256" t="inlineStr">
        <is>
          <t>reissue — retest</t>
        </is>
      </c>
      <c r="C3224" s="256" t="inlineStr">
        <is>
          <t>CJ072501</t>
        </is>
      </c>
      <c r="D3224" s="256" t="inlineStr">
        <is>
          <t>P050252</t>
        </is>
      </c>
      <c r="E3224" s="256" t="inlineStr">
        <is>
          <t>Cap Junky</t>
        </is>
      </c>
      <c r="F3224" s="256" t="inlineStr">
        <is>
          <t>21.09.2026</t>
        </is>
      </c>
      <c r="G3224" s="256" t="inlineStr">
        <is>
          <t>3</t>
        </is>
      </c>
      <c r="H3224" s="256" t="inlineStr">
        <is>
          <t>Identification C · HPLC/HPTLC</t>
        </is>
      </c>
      <c r="I3224" s="256" t="inlineStr">
        <is>
          <t>Ph. Eur. 2.2.29 (3028)</t>
        </is>
      </c>
      <c r="J3224" s="256" t="inlineStr">
        <is>
          <t>Conforms to the monograph for Cannabis flos (07/2024:3028) in Ph. Eur. 11.0 | Согласно монографија за Cannabis flos (07/2024:3028) во Ph. Eur. 11.0</t>
        </is>
      </c>
      <c r="K3224" s="256" t="inlineStr">
        <is>
          <t>Conforms | Одговара</t>
        </is>
      </c>
      <c r="L3224" s="256" t="inlineStr">
        <is>
          <t>227-27-К/26</t>
        </is>
      </c>
      <c r="M3224" s="256" t="inlineStr">
        <is>
          <t>11.09.2026</t>
        </is>
      </c>
      <c r="N3224" s="256" t="inlineStr">
        <is>
          <t>Farmahem</t>
        </is>
      </c>
      <c r="O3224" s="256" t="inlineStr">
        <is>
          <t>24.08.2026</t>
        </is>
      </c>
      <c r="P3224" s="256" t="inlineStr">
        <is>
          <t>covered</t>
        </is>
      </c>
      <c r="Q3224" s="256" t="inlineStr"/>
      <c r="R3224" s="256" t="inlineStr"/>
    </row>
    <row r="3225">
      <c r="A3225" s="256" t="inlineStr">
        <is>
          <t>CoQ-PP_26-141</t>
        </is>
      </c>
      <c r="B3225" s="256" t="inlineStr">
        <is>
          <t>reissue — retest</t>
        </is>
      </c>
      <c r="C3225" s="256" t="inlineStr">
        <is>
          <t>CJ072501</t>
        </is>
      </c>
      <c r="D3225" s="256" t="inlineStr">
        <is>
          <t>P050252</t>
        </is>
      </c>
      <c r="E3225" s="256" t="inlineStr">
        <is>
          <t>Cap Junky</t>
        </is>
      </c>
      <c r="F3225" s="256" t="inlineStr">
        <is>
          <t>21.09.2026</t>
        </is>
      </c>
      <c r="G3225" s="256" t="inlineStr">
        <is>
          <t>4</t>
        </is>
      </c>
      <c r="H3225" s="256" t="inlineStr">
        <is>
          <t>Assay — Total Δ⁹-THC</t>
        </is>
      </c>
      <c r="I3225" s="256" t="inlineStr">
        <is>
          <t>Ph. Eur. 2.2.29 (HPLC)</t>
        </is>
      </c>
      <c r="J3225" s="256" t="inlineStr">
        <is>
          <t>26.40 – 29.59 %  (grade I, nominal 28.00 ± 1.60)</t>
        </is>
      </c>
      <c r="K3225" s="256" t="inlineStr">
        <is>
          <t>28.18</t>
        </is>
      </c>
      <c r="L3225" s="256" t="inlineStr">
        <is>
          <t>227-27-К/26</t>
        </is>
      </c>
      <c r="M3225" s="256" t="inlineStr">
        <is>
          <t>11.09.2026</t>
        </is>
      </c>
      <c r="N3225" s="256" t="inlineStr">
        <is>
          <t>Farmahem</t>
        </is>
      </c>
      <c r="O3225" s="256" t="inlineStr">
        <is>
          <t>24.08.2026</t>
        </is>
      </c>
      <c r="P3225" s="256" t="inlineStr">
        <is>
          <t>covered</t>
        </is>
      </c>
      <c r="Q3225" s="256" t="inlineStr"/>
      <c r="R3225" s="256" t="inlineStr"/>
    </row>
    <row r="3226">
      <c r="A3226" s="256" t="inlineStr">
        <is>
          <t>CoQ-PP_26-141</t>
        </is>
      </c>
      <c r="B3226" s="256" t="inlineStr">
        <is>
          <t>reissue — retest</t>
        </is>
      </c>
      <c r="C3226" s="256" t="inlineStr">
        <is>
          <t>CJ072501</t>
        </is>
      </c>
      <c r="D3226" s="256" t="inlineStr">
        <is>
          <t>P050252</t>
        </is>
      </c>
      <c r="E3226" s="256" t="inlineStr">
        <is>
          <t>Cap Junky</t>
        </is>
      </c>
      <c r="F3226" s="256" t="inlineStr">
        <is>
          <t>21.09.2026</t>
        </is>
      </c>
      <c r="G3226" s="256" t="inlineStr">
        <is>
          <t>5</t>
        </is>
      </c>
      <c r="H3226" s="256" t="inlineStr">
        <is>
          <t>Assay — Total CBD</t>
        </is>
      </c>
      <c r="I3226" s="256" t="inlineStr">
        <is>
          <t>Ph. Eur. 2.2.29 (HPLC) · CBD + CBDA x 0.877</t>
        </is>
      </c>
      <c r="J3226" s="256" t="inlineStr">
        <is>
          <t>≤ 1.0%, w/w</t>
        </is>
      </c>
      <c r="K3226" s="256" t="inlineStr">
        <is>
          <t>&lt; LOQ</t>
        </is>
      </c>
      <c r="L3226" s="256" t="inlineStr">
        <is>
          <t>227-27-К/26</t>
        </is>
      </c>
      <c r="M3226" s="256" t="inlineStr">
        <is>
          <t>11.09.2026</t>
        </is>
      </c>
      <c r="N3226" s="256" t="inlineStr">
        <is>
          <t>Farmahem</t>
        </is>
      </c>
      <c r="O3226" s="256" t="inlineStr">
        <is>
          <t>24.08.2026</t>
        </is>
      </c>
      <c r="P3226" s="256" t="inlineStr">
        <is>
          <t>covered</t>
        </is>
      </c>
      <c r="Q3226" s="256" t="inlineStr"/>
      <c r="R3226" s="256" t="inlineStr"/>
    </row>
    <row r="3227">
      <c r="A3227" s="256" t="inlineStr">
        <is>
          <t>CoQ-PP_26-141</t>
        </is>
      </c>
      <c r="B3227" s="256" t="inlineStr">
        <is>
          <t>reissue — retest</t>
        </is>
      </c>
      <c r="C3227" s="256" t="inlineStr">
        <is>
          <t>CJ072501</t>
        </is>
      </c>
      <c r="D3227" s="256" t="inlineStr">
        <is>
          <t>P050252</t>
        </is>
      </c>
      <c r="E3227" s="256" t="inlineStr">
        <is>
          <t>Cap Junky</t>
        </is>
      </c>
      <c r="F3227" s="256" t="inlineStr">
        <is>
          <t>21.09.2026</t>
        </is>
      </c>
      <c r="G3227" s="256" t="inlineStr">
        <is>
          <t>6</t>
        </is>
      </c>
      <c r="H3227" s="256" t="inlineStr">
        <is>
          <t>Total CBN</t>
        </is>
      </c>
      <c r="I3227" s="256" t="inlineStr">
        <is>
          <t>Ph. Eur. 2.2.29 (HPLC) · CBN + CBNA x 0.876</t>
        </is>
      </c>
      <c r="J3227" s="256" t="inlineStr">
        <is>
          <t>≤ 1.0%, w/w</t>
        </is>
      </c>
      <c r="K3227" s="256" t="inlineStr">
        <is>
          <t>&lt; LOQ</t>
        </is>
      </c>
      <c r="L3227" s="256" t="inlineStr">
        <is>
          <t>227-27-К/26</t>
        </is>
      </c>
      <c r="M3227" s="256" t="inlineStr">
        <is>
          <t>11.09.2026</t>
        </is>
      </c>
      <c r="N3227" s="256" t="inlineStr">
        <is>
          <t>Farmahem</t>
        </is>
      </c>
      <c r="O3227" s="256" t="inlineStr">
        <is>
          <t>24.08.2026</t>
        </is>
      </c>
      <c r="P3227" s="256" t="inlineStr">
        <is>
          <t>covered</t>
        </is>
      </c>
      <c r="Q3227" s="256" t="inlineStr"/>
      <c r="R3227" s="256" t="inlineStr"/>
    </row>
    <row r="3228">
      <c r="A3228" s="256" t="inlineStr">
        <is>
          <t>CoQ-PP_26-141</t>
        </is>
      </c>
      <c r="B3228" s="256" t="inlineStr">
        <is>
          <t>reissue — retest</t>
        </is>
      </c>
      <c r="C3228" s="256" t="inlineStr">
        <is>
          <t>CJ072501</t>
        </is>
      </c>
      <c r="D3228" s="256" t="inlineStr">
        <is>
          <t>P050252</t>
        </is>
      </c>
      <c r="E3228" s="256" t="inlineStr">
        <is>
          <t>Cap Junky</t>
        </is>
      </c>
      <c r="F3228" s="256" t="inlineStr">
        <is>
          <t>21.09.2026</t>
        </is>
      </c>
      <c r="G3228" s="256" t="inlineStr">
        <is>
          <t>7</t>
        </is>
      </c>
      <c r="H3228" s="256" t="inlineStr">
        <is>
          <t>Foreign Matter</t>
        </is>
      </c>
      <c r="I3228" s="256" t="inlineStr">
        <is>
          <t>Ph. Eur. 2.8.2 · In-house · интерна</t>
        </is>
      </c>
      <c r="J3228" s="256" t="inlineStr">
        <is>
          <t>≤ 2.0% / 25–50 g · &lt; 1 cm leaves | листови, no seeds | без семки</t>
        </is>
      </c>
      <c r="K3228" s="256" t="inlineStr">
        <is>
          <t>Conforms | Одговара</t>
        </is>
      </c>
      <c r="L3228" s="256" t="inlineStr">
        <is>
          <t>iCoA-PP_26-179</t>
        </is>
      </c>
      <c r="M3228" s="256" t="inlineStr">
        <is>
          <t>24.08.2026</t>
        </is>
      </c>
      <c r="N3228" s="256" t="inlineStr">
        <is>
          <t>Purely Plant GmbH (in-house)</t>
        </is>
      </c>
      <c r="O3228" s="256" t="inlineStr">
        <is>
          <t>—</t>
        </is>
      </c>
      <c r="P3228" s="256" t="inlineStr">
        <is>
          <t>to be performed — see route</t>
        </is>
      </c>
      <c r="Q3228" s="256" t="inlineStr">
        <is>
          <t>Purely Plant laboratory — iCoA covering Foreign matter</t>
        </is>
      </c>
      <c r="R3228" s="256" t="inlineStr"/>
    </row>
    <row r="3229">
      <c r="A3229" s="256" t="inlineStr">
        <is>
          <t>CoQ-PP_26-141</t>
        </is>
      </c>
      <c r="B3229" s="256" t="inlineStr">
        <is>
          <t>reissue — retest</t>
        </is>
      </c>
      <c r="C3229" s="256" t="inlineStr">
        <is>
          <t>CJ072501</t>
        </is>
      </c>
      <c r="D3229" s="256" t="inlineStr">
        <is>
          <t>P050252</t>
        </is>
      </c>
      <c r="E3229" s="256" t="inlineStr">
        <is>
          <t>Cap Junky</t>
        </is>
      </c>
      <c r="F3229" s="256" t="inlineStr">
        <is>
          <t>21.09.2026</t>
        </is>
      </c>
      <c r="G3229" s="256" t="inlineStr">
        <is>
          <t>8</t>
        </is>
      </c>
      <c r="H3229" s="256" t="inlineStr">
        <is>
          <t>Loss on Drying</t>
        </is>
      </c>
      <c r="I3229" s="256" t="inlineStr">
        <is>
          <t>DAB 2018 monograph Cannabis flos, 2.2.32 — loss on drying (CNP, before its Ph. Eur. 3028 accreditation)</t>
        </is>
      </c>
      <c r="J3229" s="256" t="inlineStr">
        <is>
          <t>≤ 12.0%</t>
        </is>
      </c>
      <c r="K3229" s="256" t="inlineStr">
        <is>
          <t>8.22</t>
        </is>
      </c>
      <c r="L3229" s="256" t="inlineStr">
        <is>
          <t>ППК25367</t>
        </is>
      </c>
      <c r="M3229" s="256" t="inlineStr">
        <is>
          <t>28.11.2025</t>
        </is>
      </c>
      <c r="N3229" s="256" t="inlineStr">
        <is>
          <t>UKIM Faculty of Pharmacy — Center for Natural Products</t>
        </is>
      </c>
      <c r="O3229" s="256" t="inlineStr">
        <is>
          <t>24.11.2025</t>
        </is>
      </c>
      <c r="P3229" s="256" t="inlineStr">
        <is>
          <t>carried from the initial testing (the batch's initial CoQ (number assigned on issue)) — covered</t>
        </is>
      </c>
      <c r="Q3229" s="256" t="inlineStr"/>
      <c r="R3229" s="256" t="inlineStr"/>
    </row>
    <row r="3230">
      <c r="A3230" s="256" t="inlineStr">
        <is>
          <t>CoQ-PP_26-141</t>
        </is>
      </c>
      <c r="B3230" s="256" t="inlineStr">
        <is>
          <t>reissue — retest</t>
        </is>
      </c>
      <c r="C3230" s="256" t="inlineStr">
        <is>
          <t>CJ072501</t>
        </is>
      </c>
      <c r="D3230" s="256" t="inlineStr">
        <is>
          <t>P050252</t>
        </is>
      </c>
      <c r="E3230" s="256" t="inlineStr">
        <is>
          <t>Cap Junky</t>
        </is>
      </c>
      <c r="F3230" s="256" t="inlineStr">
        <is>
          <t>21.09.2026</t>
        </is>
      </c>
      <c r="G3230" s="256" t="inlineStr">
        <is>
          <t>9.1</t>
        </is>
      </c>
      <c r="H3230" s="256" t="inlineStr">
        <is>
          <t>TAMC</t>
        </is>
      </c>
      <c r="I3230" s="256" t="inlineStr">
        <is>
          <t>Ph. Eur. 2.6.12 cat. C</t>
        </is>
      </c>
      <c r="J3230" s="256" t="inlineStr">
        <is>
          <t>≤ 10⁵ CFU/g</t>
        </is>
      </c>
      <c r="K3230" s="256" t="inlineStr">
        <is>
          <t>&lt; 10</t>
        </is>
      </c>
      <c r="L3230" s="256" t="inlineStr">
        <is>
          <t>556/1087/26</t>
        </is>
      </c>
      <c r="M3230" s="256" t="inlineStr">
        <is>
          <t>01.09.2026</t>
        </is>
      </c>
      <c r="N3230" s="256" t="inlineStr">
        <is>
          <t>IPH — Institute of Public Health</t>
        </is>
      </c>
      <c r="O3230" s="256" t="inlineStr">
        <is>
          <t>26.08.2026</t>
        </is>
      </c>
      <c r="P3230" s="256" t="inlineStr">
        <is>
          <t>covered</t>
        </is>
      </c>
      <c r="Q3230" s="256" t="inlineStr"/>
      <c r="R3230" s="256" t="inlineStr"/>
    </row>
    <row r="3231">
      <c r="A3231" s="256" t="inlineStr">
        <is>
          <t>CoQ-PP_26-141</t>
        </is>
      </c>
      <c r="B3231" s="256" t="inlineStr">
        <is>
          <t>reissue — retest</t>
        </is>
      </c>
      <c r="C3231" s="256" t="inlineStr">
        <is>
          <t>CJ072501</t>
        </is>
      </c>
      <c r="D3231" s="256" t="inlineStr">
        <is>
          <t>P050252</t>
        </is>
      </c>
      <c r="E3231" s="256" t="inlineStr">
        <is>
          <t>Cap Junky</t>
        </is>
      </c>
      <c r="F3231" s="256" t="inlineStr">
        <is>
          <t>21.09.2026</t>
        </is>
      </c>
      <c r="G3231" s="256" t="inlineStr">
        <is>
          <t>9.2</t>
        </is>
      </c>
      <c r="H3231" s="256" t="inlineStr">
        <is>
          <t>TYMC</t>
        </is>
      </c>
      <c r="I3231" s="256" t="inlineStr">
        <is>
          <t>Ph. Eur. 2.6.12 cat. C</t>
        </is>
      </c>
      <c r="J3231" s="256" t="inlineStr">
        <is>
          <t>≤ 10⁴ CFU/g</t>
        </is>
      </c>
      <c r="K3231" s="256" t="inlineStr">
        <is>
          <t>&lt; 10</t>
        </is>
      </c>
      <c r="L3231" s="256" t="inlineStr">
        <is>
          <t>556/1087/26</t>
        </is>
      </c>
      <c r="M3231" s="256" t="inlineStr">
        <is>
          <t>01.09.2026</t>
        </is>
      </c>
      <c r="N3231" s="256" t="inlineStr">
        <is>
          <t>IPH — Institute of Public Health</t>
        </is>
      </c>
      <c r="O3231" s="256" t="inlineStr">
        <is>
          <t>26.08.2026</t>
        </is>
      </c>
      <c r="P3231" s="256" t="inlineStr">
        <is>
          <t>covered</t>
        </is>
      </c>
      <c r="Q3231" s="256" t="inlineStr"/>
      <c r="R3231" s="256" t="inlineStr"/>
    </row>
    <row r="3232">
      <c r="A3232" s="256" t="inlineStr">
        <is>
          <t>CoQ-PP_26-141</t>
        </is>
      </c>
      <c r="B3232" s="256" t="inlineStr">
        <is>
          <t>reissue — retest</t>
        </is>
      </c>
      <c r="C3232" s="256" t="inlineStr">
        <is>
          <t>CJ072501</t>
        </is>
      </c>
      <c r="D3232" s="256" t="inlineStr">
        <is>
          <t>P050252</t>
        </is>
      </c>
      <c r="E3232" s="256" t="inlineStr">
        <is>
          <t>Cap Junky</t>
        </is>
      </c>
      <c r="F3232" s="256" t="inlineStr">
        <is>
          <t>21.09.2026</t>
        </is>
      </c>
      <c r="G3232" s="256" t="inlineStr">
        <is>
          <t>9.3</t>
        </is>
      </c>
      <c r="H3232" s="256" t="inlineStr">
        <is>
          <t>Bile-tolerant gram-neg.</t>
        </is>
      </c>
      <c r="I3232" s="256" t="inlineStr">
        <is>
          <t>Ph. Eur. 2.6.31 cat. C</t>
        </is>
      </c>
      <c r="J3232" s="256" t="inlineStr">
        <is>
          <t>≤ 10⁴ CFU/g</t>
        </is>
      </c>
      <c r="K3232" s="256" t="inlineStr">
        <is>
          <t>&lt; 10</t>
        </is>
      </c>
      <c r="L3232" s="256" t="inlineStr">
        <is>
          <t>556/1087/26</t>
        </is>
      </c>
      <c r="M3232" s="256" t="inlineStr">
        <is>
          <t>01.09.2026</t>
        </is>
      </c>
      <c r="N3232" s="256" t="inlineStr">
        <is>
          <t>IPH — Institute of Public Health</t>
        </is>
      </c>
      <c r="O3232" s="256" t="inlineStr">
        <is>
          <t>26.08.2026</t>
        </is>
      </c>
      <c r="P3232" s="256" t="inlineStr">
        <is>
          <t>covered</t>
        </is>
      </c>
      <c r="Q3232" s="256" t="inlineStr"/>
      <c r="R3232" s="256" t="inlineStr"/>
    </row>
    <row r="3233">
      <c r="A3233" s="256" t="inlineStr">
        <is>
          <t>CoQ-PP_26-141</t>
        </is>
      </c>
      <c r="B3233" s="256" t="inlineStr">
        <is>
          <t>reissue — retest</t>
        </is>
      </c>
      <c r="C3233" s="256" t="inlineStr">
        <is>
          <t>CJ072501</t>
        </is>
      </c>
      <c r="D3233" s="256" t="inlineStr">
        <is>
          <t>P050252</t>
        </is>
      </c>
      <c r="E3233" s="256" t="inlineStr">
        <is>
          <t>Cap Junky</t>
        </is>
      </c>
      <c r="F3233" s="256" t="inlineStr">
        <is>
          <t>21.09.2026</t>
        </is>
      </c>
      <c r="G3233" s="256" t="inlineStr">
        <is>
          <t>9.4</t>
        </is>
      </c>
      <c r="H3233" s="256" t="inlineStr">
        <is>
          <t>Salmonella</t>
        </is>
      </c>
      <c r="I3233" s="256" t="inlineStr">
        <is>
          <t>Ph. Eur. 2.6.31 cat. C</t>
        </is>
      </c>
      <c r="J3233" s="256" t="inlineStr">
        <is>
          <t>Absence | Отсуство / 25 g</t>
        </is>
      </c>
      <c r="K3233" s="256" t="inlineStr">
        <is>
          <t>Absent | Отсутна</t>
        </is>
      </c>
      <c r="L3233" s="256" t="inlineStr">
        <is>
          <t>556/1087/26</t>
        </is>
      </c>
      <c r="M3233" s="256" t="inlineStr">
        <is>
          <t>01.09.2026</t>
        </is>
      </c>
      <c r="N3233" s="256" t="inlineStr">
        <is>
          <t>IPH — Institute of Public Health</t>
        </is>
      </c>
      <c r="O3233" s="256" t="inlineStr">
        <is>
          <t>26.08.2026</t>
        </is>
      </c>
      <c r="P3233" s="256" t="inlineStr">
        <is>
          <t>covered</t>
        </is>
      </c>
      <c r="Q3233" s="256" t="inlineStr"/>
      <c r="R3233" s="256" t="inlineStr"/>
    </row>
    <row r="3234">
      <c r="A3234" s="256" t="inlineStr">
        <is>
          <t>CoQ-PP_26-141</t>
        </is>
      </c>
      <c r="B3234" s="256" t="inlineStr">
        <is>
          <t>reissue — retest</t>
        </is>
      </c>
      <c r="C3234" s="256" t="inlineStr">
        <is>
          <t>CJ072501</t>
        </is>
      </c>
      <c r="D3234" s="256" t="inlineStr">
        <is>
          <t>P050252</t>
        </is>
      </c>
      <c r="E3234" s="256" t="inlineStr">
        <is>
          <t>Cap Junky</t>
        </is>
      </c>
      <c r="F3234" s="256" t="inlineStr">
        <is>
          <t>21.09.2026</t>
        </is>
      </c>
      <c r="G3234" s="256" t="inlineStr">
        <is>
          <t>9.5</t>
        </is>
      </c>
      <c r="H3234" s="256" t="inlineStr">
        <is>
          <t>Escherichia coli</t>
        </is>
      </c>
      <c r="I3234" s="256" t="inlineStr">
        <is>
          <t>Ph. Eur. 2.6.13 cat. C</t>
        </is>
      </c>
      <c r="J3234" s="256" t="inlineStr">
        <is>
          <t>Absence | Отсуство / 1 g</t>
        </is>
      </c>
      <c r="K3234" s="256" t="inlineStr">
        <is>
          <t>Absent | Отсутна</t>
        </is>
      </c>
      <c r="L3234" s="256" t="inlineStr">
        <is>
          <t>556/1087/26</t>
        </is>
      </c>
      <c r="M3234" s="256" t="inlineStr">
        <is>
          <t>01.09.2026</t>
        </is>
      </c>
      <c r="N3234" s="256" t="inlineStr">
        <is>
          <t>IPH — Institute of Public Health</t>
        </is>
      </c>
      <c r="O3234" s="256" t="inlineStr">
        <is>
          <t>26.08.2026</t>
        </is>
      </c>
      <c r="P3234" s="256" t="inlineStr">
        <is>
          <t>covered</t>
        </is>
      </c>
      <c r="Q3234" s="256" t="inlineStr"/>
      <c r="R3234" s="256" t="inlineStr"/>
    </row>
    <row r="3235">
      <c r="A3235" s="256" t="inlineStr">
        <is>
          <t>CoQ-PP_26-141</t>
        </is>
      </c>
      <c r="B3235" s="256" t="inlineStr">
        <is>
          <t>reissue — retest</t>
        </is>
      </c>
      <c r="C3235" s="256" t="inlineStr">
        <is>
          <t>CJ072501</t>
        </is>
      </c>
      <c r="D3235" s="256" t="inlineStr">
        <is>
          <t>P050252</t>
        </is>
      </c>
      <c r="E3235" s="256" t="inlineStr">
        <is>
          <t>Cap Junky</t>
        </is>
      </c>
      <c r="F3235" s="256" t="inlineStr">
        <is>
          <t>21.09.2026</t>
        </is>
      </c>
      <c r="G3235" s="256" t="inlineStr">
        <is>
          <t>9.6</t>
        </is>
      </c>
      <c r="H3235" s="256" t="inlineStr">
        <is>
          <t>Pseudomonas aeruginosa</t>
        </is>
      </c>
      <c r="I3235" s="256" t="inlineStr">
        <is>
          <t>Ph. Eur. 2.6.13 cat. C</t>
        </is>
      </c>
      <c r="J3235" s="256" t="inlineStr">
        <is>
          <t>Absence | Отсуство / 1 g</t>
        </is>
      </c>
      <c r="K3235" s="260" t="inlineStr">
        <is>
          <t>upon request — not required for release</t>
        </is>
      </c>
      <c r="L3235" s="256" t="inlineStr">
        <is>
          <t>—</t>
        </is>
      </c>
      <c r="M3235" s="256" t="inlineStr">
        <is>
          <t>—</t>
        </is>
      </c>
      <c r="N3235" s="256" t="inlineStr">
        <is>
          <t>—</t>
        </is>
      </c>
      <c r="O3235" s="256" t="inlineStr">
        <is>
          <t>—</t>
        </is>
      </c>
      <c r="P3235" s="256" t="inlineStr">
        <is>
          <t>upon request — not required for release</t>
        </is>
      </c>
      <c r="Q3235" s="256" t="inlineStr"/>
      <c r="R3235" s="256" t="inlineStr"/>
    </row>
    <row r="3236">
      <c r="A3236" s="256" t="inlineStr">
        <is>
          <t>CoQ-PP_26-141</t>
        </is>
      </c>
      <c r="B3236" s="256" t="inlineStr">
        <is>
          <t>reissue — retest</t>
        </is>
      </c>
      <c r="C3236" s="256" t="inlineStr">
        <is>
          <t>CJ072501</t>
        </is>
      </c>
      <c r="D3236" s="256" t="inlineStr">
        <is>
          <t>P050252</t>
        </is>
      </c>
      <c r="E3236" s="256" t="inlineStr">
        <is>
          <t>Cap Junky</t>
        </is>
      </c>
      <c r="F3236" s="256" t="inlineStr">
        <is>
          <t>21.09.2026</t>
        </is>
      </c>
      <c r="G3236" s="256" t="inlineStr">
        <is>
          <t>9.7</t>
        </is>
      </c>
      <c r="H3236" s="256" t="inlineStr">
        <is>
          <t>Staphylococcus aureus</t>
        </is>
      </c>
      <c r="I3236" s="256" t="inlineStr">
        <is>
          <t>Ph. Eur. 2.6.13 cat. C</t>
        </is>
      </c>
      <c r="J3236" s="256" t="inlineStr">
        <is>
          <t>Absence | Отсуство / 1 g</t>
        </is>
      </c>
      <c r="K3236" s="260" t="inlineStr">
        <is>
          <t>upon request — not required for release</t>
        </is>
      </c>
      <c r="L3236" s="256" t="inlineStr">
        <is>
          <t>—</t>
        </is>
      </c>
      <c r="M3236" s="256" t="inlineStr">
        <is>
          <t>—</t>
        </is>
      </c>
      <c r="N3236" s="256" t="inlineStr">
        <is>
          <t>—</t>
        </is>
      </c>
      <c r="O3236" s="256" t="inlineStr">
        <is>
          <t>—</t>
        </is>
      </c>
      <c r="P3236" s="256" t="inlineStr">
        <is>
          <t>upon request — not required for release</t>
        </is>
      </c>
      <c r="Q3236" s="256" t="inlineStr"/>
      <c r="R3236" s="256" t="inlineStr"/>
    </row>
    <row r="3237">
      <c r="A3237" s="256" t="inlineStr">
        <is>
          <t>CoQ-PP_26-141</t>
        </is>
      </c>
      <c r="B3237" s="256" t="inlineStr">
        <is>
          <t>reissue — retest</t>
        </is>
      </c>
      <c r="C3237" s="256" t="inlineStr">
        <is>
          <t>CJ072501</t>
        </is>
      </c>
      <c r="D3237" s="256" t="inlineStr">
        <is>
          <t>P050252</t>
        </is>
      </c>
      <c r="E3237" s="256" t="inlineStr">
        <is>
          <t>Cap Junky</t>
        </is>
      </c>
      <c r="F3237" s="256" t="inlineStr">
        <is>
          <t>21.09.2026</t>
        </is>
      </c>
      <c r="G3237" s="256" t="inlineStr">
        <is>
          <t>10.1</t>
        </is>
      </c>
      <c r="H3237" s="256" t="inlineStr">
        <is>
          <t>Aflatoxin B₁</t>
        </is>
      </c>
      <c r="I3237" s="256" t="inlineStr">
        <is>
          <t>Ph. Eur. 2.8.18 (HPLC-FLD)</t>
        </is>
      </c>
      <c r="J3237" s="256" t="inlineStr">
        <is>
          <t>≤ 2 µg/kg</t>
        </is>
      </c>
      <c r="K3237" s="256" t="inlineStr">
        <is>
          <t>ND</t>
        </is>
      </c>
      <c r="L3237" s="256" t="inlineStr">
        <is>
          <t>227-27-М/26</t>
        </is>
      </c>
      <c r="M3237" s="256" t="inlineStr">
        <is>
          <t>16.09.2026</t>
        </is>
      </c>
      <c r="N3237" s="256" t="inlineStr">
        <is>
          <t>Farmahem</t>
        </is>
      </c>
      <c r="O3237" s="256" t="inlineStr">
        <is>
          <t>—</t>
        </is>
      </c>
      <c r="P3237" s="256" t="inlineStr">
        <is>
          <t>covered</t>
        </is>
      </c>
      <c r="Q3237" s="256" t="inlineStr"/>
      <c r="R3237" s="256" t="inlineStr"/>
    </row>
    <row r="3238">
      <c r="A3238" s="256" t="inlineStr">
        <is>
          <t>CoQ-PP_26-141</t>
        </is>
      </c>
      <c r="B3238" s="256" t="inlineStr">
        <is>
          <t>reissue — retest</t>
        </is>
      </c>
      <c r="C3238" s="256" t="inlineStr">
        <is>
          <t>CJ072501</t>
        </is>
      </c>
      <c r="D3238" s="256" t="inlineStr">
        <is>
          <t>P050252</t>
        </is>
      </c>
      <c r="E3238" s="256" t="inlineStr">
        <is>
          <t>Cap Junky</t>
        </is>
      </c>
      <c r="F3238" s="256" t="inlineStr">
        <is>
          <t>21.09.2026</t>
        </is>
      </c>
      <c r="G3238" s="256" t="inlineStr">
        <is>
          <t>10.2</t>
        </is>
      </c>
      <c r="H3238" s="256" t="inlineStr">
        <is>
          <t>Aflatoxins ∑</t>
        </is>
      </c>
      <c r="I3238" s="256" t="inlineStr">
        <is>
          <t>Ph. Eur. 2.8.18 (HPLC-FLD)</t>
        </is>
      </c>
      <c r="J3238" s="256" t="inlineStr">
        <is>
          <t>≤ 4 µg/kg</t>
        </is>
      </c>
      <c r="K3238" s="256" t="inlineStr">
        <is>
          <t>ND</t>
        </is>
      </c>
      <c r="L3238" s="256" t="inlineStr">
        <is>
          <t>227-27-М/26</t>
        </is>
      </c>
      <c r="M3238" s="256" t="inlineStr">
        <is>
          <t>16.09.2026</t>
        </is>
      </c>
      <c r="N3238" s="256" t="inlineStr">
        <is>
          <t>Farmahem</t>
        </is>
      </c>
      <c r="O3238" s="256" t="inlineStr">
        <is>
          <t>—</t>
        </is>
      </c>
      <c r="P3238" s="256" t="inlineStr">
        <is>
          <t>carried from the initial testing (the batch's initial CoQ (number assigned on issue)) — covered</t>
        </is>
      </c>
      <c r="Q3238" s="256" t="inlineStr"/>
      <c r="R3238" s="256" t="inlineStr"/>
    </row>
    <row r="3239">
      <c r="A3239" s="256" t="inlineStr">
        <is>
          <t>CoQ-PP_26-141</t>
        </is>
      </c>
      <c r="B3239" s="256" t="inlineStr">
        <is>
          <t>reissue — retest</t>
        </is>
      </c>
      <c r="C3239" s="256" t="inlineStr">
        <is>
          <t>CJ072501</t>
        </is>
      </c>
      <c r="D3239" s="256" t="inlineStr">
        <is>
          <t>P050252</t>
        </is>
      </c>
      <c r="E3239" s="256" t="inlineStr">
        <is>
          <t>Cap Junky</t>
        </is>
      </c>
      <c r="F3239" s="256" t="inlineStr">
        <is>
          <t>21.09.2026</t>
        </is>
      </c>
      <c r="G3239" s="256" t="inlineStr">
        <is>
          <t>10.3</t>
        </is>
      </c>
      <c r="H3239" s="256" t="inlineStr">
        <is>
          <t>Ochratoxin A</t>
        </is>
      </c>
      <c r="I3239" s="256" t="inlineStr">
        <is>
          <t>Ph. Eur. 2.8.22 (HPLC-FLD)</t>
        </is>
      </c>
      <c r="J3239" s="256" t="inlineStr">
        <is>
          <t>≤ 20 µg/kg</t>
        </is>
      </c>
      <c r="K3239" s="256" t="inlineStr">
        <is>
          <t>ND</t>
        </is>
      </c>
      <c r="L3239" s="256" t="inlineStr">
        <is>
          <t>227-27-М/26</t>
        </is>
      </c>
      <c r="M3239" s="256" t="inlineStr">
        <is>
          <t>16.09.2026</t>
        </is>
      </c>
      <c r="N3239" s="256" t="inlineStr">
        <is>
          <t>Farmahem</t>
        </is>
      </c>
      <c r="O3239" s="256" t="inlineStr">
        <is>
          <t>—</t>
        </is>
      </c>
      <c r="P3239" s="256" t="inlineStr">
        <is>
          <t>covered</t>
        </is>
      </c>
      <c r="Q3239" s="256" t="inlineStr"/>
      <c r="R3239" s="256" t="inlineStr"/>
    </row>
    <row r="3240">
      <c r="A3240" s="256" t="inlineStr">
        <is>
          <t>CoQ-PP_26-141</t>
        </is>
      </c>
      <c r="B3240" s="256" t="inlineStr">
        <is>
          <t>reissue — retest</t>
        </is>
      </c>
      <c r="C3240" s="256" t="inlineStr">
        <is>
          <t>CJ072501</t>
        </is>
      </c>
      <c r="D3240" s="256" t="inlineStr">
        <is>
          <t>P050252</t>
        </is>
      </c>
      <c r="E3240" s="256" t="inlineStr">
        <is>
          <t>Cap Junky</t>
        </is>
      </c>
      <c r="F3240" s="256" t="inlineStr">
        <is>
          <t>21.09.2026</t>
        </is>
      </c>
      <c r="G3240" s="256" t="inlineStr">
        <is>
          <t>11.1</t>
        </is>
      </c>
      <c r="H3240" s="256" t="inlineStr">
        <is>
          <t>Lead (Pb)</t>
        </is>
      </c>
      <c r="I3240" s="256" t="inlineStr">
        <is>
          <t>Ph. Eur. 2.4.27 (ICP-MS)</t>
        </is>
      </c>
      <c r="J3240" s="256" t="inlineStr">
        <is>
          <t>≤ 0.5 mg/kg</t>
        </is>
      </c>
      <c r="K3240" s="256" t="inlineStr">
        <is>
          <t>0.013</t>
        </is>
      </c>
      <c r="L3240" s="256" t="inlineStr">
        <is>
          <t>5697/2025</t>
        </is>
      </c>
      <c r="M3240" s="256" t="inlineStr">
        <is>
          <t>02.12.2025</t>
        </is>
      </c>
      <c r="N3240" s="256" t="inlineStr">
        <is>
          <t>IPH — Institute of Public Health</t>
        </is>
      </c>
      <c r="O3240" s="256" t="inlineStr">
        <is>
          <t>24.11.2025</t>
        </is>
      </c>
      <c r="P3240" s="256" t="inlineStr">
        <is>
          <t>carried from the initial testing (the batch's initial CoQ (number assigned on issue)) — covered</t>
        </is>
      </c>
      <c r="Q3240" s="256" t="inlineStr"/>
      <c r="R3240" s="256" t="inlineStr"/>
    </row>
    <row r="3241">
      <c r="A3241" s="256" t="inlineStr">
        <is>
          <t>CoQ-PP_26-141</t>
        </is>
      </c>
      <c r="B3241" s="256" t="inlineStr">
        <is>
          <t>reissue — retest</t>
        </is>
      </c>
      <c r="C3241" s="256" t="inlineStr">
        <is>
          <t>CJ072501</t>
        </is>
      </c>
      <c r="D3241" s="256" t="inlineStr">
        <is>
          <t>P050252</t>
        </is>
      </c>
      <c r="E3241" s="256" t="inlineStr">
        <is>
          <t>Cap Junky</t>
        </is>
      </c>
      <c r="F3241" s="256" t="inlineStr">
        <is>
          <t>21.09.2026</t>
        </is>
      </c>
      <c r="G3241" s="256" t="inlineStr">
        <is>
          <t>11.2</t>
        </is>
      </c>
      <c r="H3241" s="256" t="inlineStr">
        <is>
          <t>Cadmium (Cd)</t>
        </is>
      </c>
      <c r="I3241" s="256" t="inlineStr">
        <is>
          <t>Ph. Eur. 2.4.27 (ICP-MS)</t>
        </is>
      </c>
      <c r="J3241" s="256" t="inlineStr">
        <is>
          <t>≤ 0.3 mg/kg</t>
        </is>
      </c>
      <c r="K3241" s="256" t="inlineStr">
        <is>
          <t>0.004</t>
        </is>
      </c>
      <c r="L3241" s="256" t="inlineStr">
        <is>
          <t>5697/2025</t>
        </is>
      </c>
      <c r="M3241" s="256" t="inlineStr">
        <is>
          <t>02.12.2025</t>
        </is>
      </c>
      <c r="N3241" s="256" t="inlineStr">
        <is>
          <t>IPH — Institute of Public Health</t>
        </is>
      </c>
      <c r="O3241" s="256" t="inlineStr">
        <is>
          <t>24.11.2025</t>
        </is>
      </c>
      <c r="P3241" s="256" t="inlineStr">
        <is>
          <t>carried from the initial testing (the batch's initial CoQ (number assigned on issue)) — covered</t>
        </is>
      </c>
      <c r="Q3241" s="256" t="inlineStr"/>
      <c r="R3241" s="256" t="inlineStr"/>
    </row>
    <row r="3242">
      <c r="A3242" s="256" t="inlineStr">
        <is>
          <t>CoQ-PP_26-141</t>
        </is>
      </c>
      <c r="B3242" s="256" t="inlineStr">
        <is>
          <t>reissue — retest</t>
        </is>
      </c>
      <c r="C3242" s="256" t="inlineStr">
        <is>
          <t>CJ072501</t>
        </is>
      </c>
      <c r="D3242" s="256" t="inlineStr">
        <is>
          <t>P050252</t>
        </is>
      </c>
      <c r="E3242" s="256" t="inlineStr">
        <is>
          <t>Cap Junky</t>
        </is>
      </c>
      <c r="F3242" s="256" t="inlineStr">
        <is>
          <t>21.09.2026</t>
        </is>
      </c>
      <c r="G3242" s="256" t="inlineStr">
        <is>
          <t>11.3</t>
        </is>
      </c>
      <c r="H3242" s="256" t="inlineStr">
        <is>
          <t>Arsenic (As)</t>
        </is>
      </c>
      <c r="I3242" s="256" t="inlineStr">
        <is>
          <t>Ph. Eur. 2.4.27 (ICP-MS)</t>
        </is>
      </c>
      <c r="J3242" s="256" t="inlineStr">
        <is>
          <t>≤ 0.2 mg/kg</t>
        </is>
      </c>
      <c r="K3242" s="256" t="inlineStr">
        <is>
          <t>0.011</t>
        </is>
      </c>
      <c r="L3242" s="256" t="inlineStr">
        <is>
          <t>5697/2025</t>
        </is>
      </c>
      <c r="M3242" s="256" t="inlineStr">
        <is>
          <t>02.12.2025</t>
        </is>
      </c>
      <c r="N3242" s="256" t="inlineStr">
        <is>
          <t>IPH — Institute of Public Health</t>
        </is>
      </c>
      <c r="O3242" s="256" t="inlineStr">
        <is>
          <t>24.11.2025</t>
        </is>
      </c>
      <c r="P3242" s="256" t="inlineStr">
        <is>
          <t>carried from the initial testing (the batch's initial CoQ (number assigned on issue)) — covered</t>
        </is>
      </c>
      <c r="Q3242" s="256" t="inlineStr"/>
      <c r="R3242" s="256" t="inlineStr"/>
    </row>
    <row r="3243">
      <c r="A3243" s="256" t="inlineStr">
        <is>
          <t>CoQ-PP_26-141</t>
        </is>
      </c>
      <c r="B3243" s="256" t="inlineStr">
        <is>
          <t>reissue — retest</t>
        </is>
      </c>
      <c r="C3243" s="256" t="inlineStr">
        <is>
          <t>CJ072501</t>
        </is>
      </c>
      <c r="D3243" s="256" t="inlineStr">
        <is>
          <t>P050252</t>
        </is>
      </c>
      <c r="E3243" s="256" t="inlineStr">
        <is>
          <t>Cap Junky</t>
        </is>
      </c>
      <c r="F3243" s="256" t="inlineStr">
        <is>
          <t>21.09.2026</t>
        </is>
      </c>
      <c r="G3243" s="256" t="inlineStr">
        <is>
          <t>11.4</t>
        </is>
      </c>
      <c r="H3243" s="256" t="inlineStr">
        <is>
          <t>Mercury (Hg)</t>
        </is>
      </c>
      <c r="I3243" s="256" t="inlineStr">
        <is>
          <t>Ph. Eur. 2.4.27 (ICP-MS)</t>
        </is>
      </c>
      <c r="J3243" s="256" t="inlineStr">
        <is>
          <t>≤ 0.1 mg/kg</t>
        </is>
      </c>
      <c r="K3243" s="256" t="inlineStr">
        <is>
          <t>0.002</t>
        </is>
      </c>
      <c r="L3243" s="256" t="inlineStr">
        <is>
          <t>5697/2025</t>
        </is>
      </c>
      <c r="M3243" s="256" t="inlineStr">
        <is>
          <t>02.12.2025</t>
        </is>
      </c>
      <c r="N3243" s="256" t="inlineStr">
        <is>
          <t>IPH — Institute of Public Health</t>
        </is>
      </c>
      <c r="O3243" s="256" t="inlineStr">
        <is>
          <t>24.11.2025</t>
        </is>
      </c>
      <c r="P3243" s="256" t="inlineStr">
        <is>
          <t>carried from the initial testing (the batch's initial CoQ (number assigned on issue)) — covered</t>
        </is>
      </c>
      <c r="Q3243" s="256" t="inlineStr"/>
      <c r="R3243" s="256" t="inlineStr"/>
    </row>
    <row r="3244">
      <c r="A3244" s="256" t="inlineStr">
        <is>
          <t>CoQ-PP_26-141</t>
        </is>
      </c>
      <c r="B3244" s="256" t="inlineStr">
        <is>
          <t>reissue — retest</t>
        </is>
      </c>
      <c r="C3244" s="256" t="inlineStr">
        <is>
          <t>CJ072501</t>
        </is>
      </c>
      <c r="D3244" s="256" t="inlineStr">
        <is>
          <t>P050252</t>
        </is>
      </c>
      <c r="E3244" s="256" t="inlineStr">
        <is>
          <t>Cap Junky</t>
        </is>
      </c>
      <c r="F3244" s="256" t="inlineStr">
        <is>
          <t>21.09.2026</t>
        </is>
      </c>
      <c r="G3244" s="256" t="inlineStr">
        <is>
          <t>12</t>
        </is>
      </c>
      <c r="H3244" s="256" t="inlineStr">
        <is>
          <t>Pesticide Residues</t>
        </is>
      </c>
      <c r="I3244" s="256" t="inlineStr">
        <is>
          <t>Ph. Eur. 2.8.13 (LC-MS/MS) · CUMCS Equivalency</t>
        </is>
      </c>
      <c r="J3244" s="256" t="inlineStr">
        <is>
          <t>≤ LOQ as per Ph. Eur. 2.8.13 · ≤ LOQ as per CUMCS Equivalency</t>
        </is>
      </c>
      <c r="K3244" s="256" t="inlineStr">
        <is>
          <t>ND</t>
        </is>
      </c>
      <c r="L3244" s="256" t="inlineStr">
        <is>
          <t>5697/2025</t>
        </is>
      </c>
      <c r="M3244" s="256" t="inlineStr">
        <is>
          <t>02.12.2025</t>
        </is>
      </c>
      <c r="N3244" s="256" t="inlineStr">
        <is>
          <t>IPH — Institute of Public Health</t>
        </is>
      </c>
      <c r="O3244" s="256" t="inlineStr">
        <is>
          <t>24.11.2025</t>
        </is>
      </c>
      <c r="P3244" s="256" t="inlineStr">
        <is>
          <t>carried from the initial testing (the batch's initial CoQ (number assigned on issue)) — covered</t>
        </is>
      </c>
      <c r="Q3244" s="256" t="inlineStr"/>
      <c r="R3244" s="256" t="inlineStr"/>
    </row>
    <row r="3245">
      <c r="A3245" s="256" t="inlineStr">
        <is>
          <t>CoQ-PP_26-142</t>
        </is>
      </c>
      <c r="B3245" s="256" t="inlineStr">
        <is>
          <t>reissue — retest</t>
        </is>
      </c>
      <c r="C3245" s="256" t="inlineStr">
        <is>
          <t>CJ1024</t>
        </is>
      </c>
      <c r="D3245" s="256" t="inlineStr">
        <is>
          <t>— no P lot assigned —</t>
        </is>
      </c>
      <c r="E3245" s="256" t="inlineStr">
        <is>
          <t>Cap Junky</t>
        </is>
      </c>
      <c r="F3245" s="256" t="inlineStr">
        <is>
          <t>21.09.2026</t>
        </is>
      </c>
      <c r="G3245" s="256" t="inlineStr">
        <is>
          <t>1</t>
        </is>
      </c>
      <c r="H3245" s="256" t="inlineStr">
        <is>
          <t>Identification A, Appearance · Macroscopic</t>
        </is>
      </c>
      <c r="I3245" s="256" t="inlineStr">
        <is>
          <t>Ph. Eur. mon. 3028</t>
        </is>
      </c>
      <c r="J3245" s="256" t="inlineStr">
        <is>
          <t>Conforms to the monograph for Cannabis flos (07/2024:3028) in Ph. Eur. 11.0 | Согласно монографија за Cannabis flos (07/2024:3028) во Ph. Eur. 11.0</t>
        </is>
      </c>
      <c r="K3245" s="256" t="inlineStr">
        <is>
          <t>Conforms | Одговара</t>
        </is>
      </c>
      <c r="L3245" s="256" t="inlineStr">
        <is>
          <t>iCoA-PP_26-180</t>
        </is>
      </c>
      <c r="M3245" s="256" t="inlineStr">
        <is>
          <t>24.08.2026</t>
        </is>
      </c>
      <c r="N3245" s="256" t="inlineStr">
        <is>
          <t>Purely Plant GmbH (in-house)</t>
        </is>
      </c>
      <c r="O3245" s="256" t="inlineStr">
        <is>
          <t>—</t>
        </is>
      </c>
      <c r="P3245" s="256" t="inlineStr">
        <is>
          <t>covered</t>
        </is>
      </c>
      <c r="Q3245" s="256" t="inlineStr">
        <is>
          <t>Farmahem — Ident A + B + C with the Assay, at retest</t>
        </is>
      </c>
      <c r="R3245" s="256" t="inlineStr"/>
    </row>
    <row r="3246">
      <c r="A3246" s="256" t="inlineStr">
        <is>
          <t>CoQ-PP_26-142</t>
        </is>
      </c>
      <c r="B3246" s="256" t="inlineStr">
        <is>
          <t>reissue — retest</t>
        </is>
      </c>
      <c r="C3246" s="256" t="inlineStr">
        <is>
          <t>CJ1024</t>
        </is>
      </c>
      <c r="D3246" s="256" t="inlineStr">
        <is>
          <t>— no P lot assigned —</t>
        </is>
      </c>
      <c r="E3246" s="256" t="inlineStr">
        <is>
          <t>Cap Junky</t>
        </is>
      </c>
      <c r="F3246" s="256" t="inlineStr">
        <is>
          <t>21.09.2026</t>
        </is>
      </c>
      <c r="G3246" s="256" t="inlineStr">
        <is>
          <t>2</t>
        </is>
      </c>
      <c r="H3246" s="256" t="inlineStr">
        <is>
          <t>Identification B · Microscopic</t>
        </is>
      </c>
      <c r="I3246" s="256" t="inlineStr">
        <is>
          <t>Ph. Eur. 2.8.23 (microscopy)</t>
        </is>
      </c>
      <c r="J3246" s="256" t="inlineStr">
        <is>
          <t>Conforms to the monograph for Cannabis flos (07/2024:3028) in Ph. Eur. 11.0 | Согласно монографија за Cannabis flos (07/2024:3028) во Ph. Eur. 11.0</t>
        </is>
      </c>
      <c r="K3246" s="256" t="inlineStr">
        <is>
          <t>Conforms | Одговара</t>
        </is>
      </c>
      <c r="L3246" s="256" t="inlineStr">
        <is>
          <t>iCoA-PP_26-180</t>
        </is>
      </c>
      <c r="M3246" s="256" t="inlineStr">
        <is>
          <t>24.08.2026</t>
        </is>
      </c>
      <c r="N3246" s="256" t="inlineStr">
        <is>
          <t>Purely Plant GmbH (in-house)</t>
        </is>
      </c>
      <c r="O3246" s="256" t="inlineStr">
        <is>
          <t>—</t>
        </is>
      </c>
      <c r="P3246" s="256" t="inlineStr">
        <is>
          <t>to be performed — see route</t>
        </is>
      </c>
      <c r="Q3246" s="256" t="inlineStr">
        <is>
          <t>Farmahem — Ident A + B + C with the Assay, at retest</t>
        </is>
      </c>
      <c r="R3246" s="256" t="inlineStr"/>
    </row>
    <row r="3247">
      <c r="A3247" s="256" t="inlineStr">
        <is>
          <t>CoQ-PP_26-142</t>
        </is>
      </c>
      <c r="B3247" s="256" t="inlineStr">
        <is>
          <t>reissue — retest</t>
        </is>
      </c>
      <c r="C3247" s="256" t="inlineStr">
        <is>
          <t>CJ1024</t>
        </is>
      </c>
      <c r="D3247" s="256" t="inlineStr">
        <is>
          <t>— no P lot assigned —</t>
        </is>
      </c>
      <c r="E3247" s="256" t="inlineStr">
        <is>
          <t>Cap Junky</t>
        </is>
      </c>
      <c r="F3247" s="256" t="inlineStr">
        <is>
          <t>21.09.2026</t>
        </is>
      </c>
      <c r="G3247" s="256" t="inlineStr">
        <is>
          <t>3</t>
        </is>
      </c>
      <c r="H3247" s="256" t="inlineStr">
        <is>
          <t>Identification C · HPLC/HPTLC</t>
        </is>
      </c>
      <c r="I3247" s="256" t="inlineStr">
        <is>
          <t>Ph. Eur. 2.2.29 (3028)</t>
        </is>
      </c>
      <c r="J3247" s="256" t="inlineStr">
        <is>
          <t>Conforms to the monograph for Cannabis flos (07/2024:3028) in Ph. Eur. 11.0 | Согласно монографија за Cannabis flos (07/2024:3028) во Ph. Eur. 11.0</t>
        </is>
      </c>
      <c r="K3247" s="256" t="inlineStr">
        <is>
          <t>Conforms | Одговара</t>
        </is>
      </c>
      <c r="L3247" s="256" t="inlineStr">
        <is>
          <t>227-26-К/26</t>
        </is>
      </c>
      <c r="M3247" s="256" t="inlineStr">
        <is>
          <t>11.09.2026</t>
        </is>
      </c>
      <c r="N3247" s="256" t="inlineStr">
        <is>
          <t>Farmahem</t>
        </is>
      </c>
      <c r="O3247" s="256" t="inlineStr">
        <is>
          <t>24.08.2026</t>
        </is>
      </c>
      <c r="P3247" s="256" t="inlineStr">
        <is>
          <t>covered</t>
        </is>
      </c>
      <c r="Q3247" s="256" t="inlineStr"/>
      <c r="R3247" s="256" t="inlineStr"/>
    </row>
    <row r="3248">
      <c r="A3248" s="256" t="inlineStr">
        <is>
          <t>CoQ-PP_26-142</t>
        </is>
      </c>
      <c r="B3248" s="256" t="inlineStr">
        <is>
          <t>reissue — retest</t>
        </is>
      </c>
      <c r="C3248" s="256" t="inlineStr">
        <is>
          <t>CJ1024</t>
        </is>
      </c>
      <c r="D3248" s="256" t="inlineStr">
        <is>
          <t>— no P lot assigned —</t>
        </is>
      </c>
      <c r="E3248" s="256" t="inlineStr">
        <is>
          <t>Cap Junky</t>
        </is>
      </c>
      <c r="F3248" s="256" t="inlineStr">
        <is>
          <t>21.09.2026</t>
        </is>
      </c>
      <c r="G3248" s="256" t="inlineStr">
        <is>
          <t>4</t>
        </is>
      </c>
      <c r="H3248" s="256" t="inlineStr">
        <is>
          <t>Assay — Total Δ⁹-THC</t>
        </is>
      </c>
      <c r="I3248" s="256" t="inlineStr">
        <is>
          <t>Ph. Eur. 2.2.29 (HPLC)</t>
        </is>
      </c>
      <c r="J3248" s="256" t="inlineStr">
        <is>
          <t>26.40 – 29.59 %  (grade I, nominal 28.00 ± 1.60)</t>
        </is>
      </c>
      <c r="K3248" s="256" t="inlineStr">
        <is>
          <t>28.12</t>
        </is>
      </c>
      <c r="L3248" s="256" t="inlineStr">
        <is>
          <t>227-26-К/26</t>
        </is>
      </c>
      <c r="M3248" s="256" t="inlineStr">
        <is>
          <t>11.09.2026</t>
        </is>
      </c>
      <c r="N3248" s="256" t="inlineStr">
        <is>
          <t>Farmahem</t>
        </is>
      </c>
      <c r="O3248" s="256" t="inlineStr">
        <is>
          <t>24.08.2026</t>
        </is>
      </c>
      <c r="P3248" s="256" t="inlineStr">
        <is>
          <t>covered</t>
        </is>
      </c>
      <c r="Q3248" s="256" t="inlineStr"/>
      <c r="R3248" s="256" t="inlineStr"/>
    </row>
    <row r="3249">
      <c r="A3249" s="256" t="inlineStr">
        <is>
          <t>CoQ-PP_26-142</t>
        </is>
      </c>
      <c r="B3249" s="256" t="inlineStr">
        <is>
          <t>reissue — retest</t>
        </is>
      </c>
      <c r="C3249" s="256" t="inlineStr">
        <is>
          <t>CJ1024</t>
        </is>
      </c>
      <c r="D3249" s="256" t="inlineStr">
        <is>
          <t>— no P lot assigned —</t>
        </is>
      </c>
      <c r="E3249" s="256" t="inlineStr">
        <is>
          <t>Cap Junky</t>
        </is>
      </c>
      <c r="F3249" s="256" t="inlineStr">
        <is>
          <t>21.09.2026</t>
        </is>
      </c>
      <c r="G3249" s="256" t="inlineStr">
        <is>
          <t>5</t>
        </is>
      </c>
      <c r="H3249" s="256" t="inlineStr">
        <is>
          <t>Assay — Total CBD</t>
        </is>
      </c>
      <c r="I3249" s="256" t="inlineStr">
        <is>
          <t>Ph. Eur. 2.2.29 (HPLC) · CBD + CBDA x 0.877</t>
        </is>
      </c>
      <c r="J3249" s="256" t="inlineStr">
        <is>
          <t>≤ 1.0%, w/w</t>
        </is>
      </c>
      <c r="K3249" s="256" t="inlineStr">
        <is>
          <t>&lt; LOQ</t>
        </is>
      </c>
      <c r="L3249" s="256" t="inlineStr">
        <is>
          <t>227-26-К/26</t>
        </is>
      </c>
      <c r="M3249" s="256" t="inlineStr">
        <is>
          <t>11.09.2026</t>
        </is>
      </c>
      <c r="N3249" s="256" t="inlineStr">
        <is>
          <t>Farmahem</t>
        </is>
      </c>
      <c r="O3249" s="256" t="inlineStr">
        <is>
          <t>24.08.2026</t>
        </is>
      </c>
      <c r="P3249" s="256" t="inlineStr">
        <is>
          <t>covered</t>
        </is>
      </c>
      <c r="Q3249" s="256" t="inlineStr"/>
      <c r="R3249" s="256" t="inlineStr"/>
    </row>
    <row r="3250">
      <c r="A3250" s="256" t="inlineStr">
        <is>
          <t>CoQ-PP_26-142</t>
        </is>
      </c>
      <c r="B3250" s="256" t="inlineStr">
        <is>
          <t>reissue — retest</t>
        </is>
      </c>
      <c r="C3250" s="256" t="inlineStr">
        <is>
          <t>CJ1024</t>
        </is>
      </c>
      <c r="D3250" s="256" t="inlineStr">
        <is>
          <t>— no P lot assigned —</t>
        </is>
      </c>
      <c r="E3250" s="256" t="inlineStr">
        <is>
          <t>Cap Junky</t>
        </is>
      </c>
      <c r="F3250" s="256" t="inlineStr">
        <is>
          <t>21.09.2026</t>
        </is>
      </c>
      <c r="G3250" s="256" t="inlineStr">
        <is>
          <t>6</t>
        </is>
      </c>
      <c r="H3250" s="256" t="inlineStr">
        <is>
          <t>Total CBN</t>
        </is>
      </c>
      <c r="I3250" s="256" t="inlineStr">
        <is>
          <t>Ph. Eur. 2.2.29 (HPLC) · CBN + CBNA x 0.876</t>
        </is>
      </c>
      <c r="J3250" s="256" t="inlineStr">
        <is>
          <t>≤ 1.0%, w/w</t>
        </is>
      </c>
      <c r="K3250" s="256" t="inlineStr">
        <is>
          <t>0.20</t>
        </is>
      </c>
      <c r="L3250" s="256" t="inlineStr">
        <is>
          <t>227-26-К/26</t>
        </is>
      </c>
      <c r="M3250" s="256" t="inlineStr">
        <is>
          <t>11.09.2026</t>
        </is>
      </c>
      <c r="N3250" s="256" t="inlineStr">
        <is>
          <t>Farmahem</t>
        </is>
      </c>
      <c r="O3250" s="256" t="inlineStr">
        <is>
          <t>24.08.2026</t>
        </is>
      </c>
      <c r="P3250" s="256" t="inlineStr">
        <is>
          <t>covered</t>
        </is>
      </c>
      <c r="Q3250" s="256" t="inlineStr"/>
      <c r="R3250" s="256" t="inlineStr"/>
    </row>
    <row r="3251">
      <c r="A3251" s="256" t="inlineStr">
        <is>
          <t>CoQ-PP_26-142</t>
        </is>
      </c>
      <c r="B3251" s="256" t="inlineStr">
        <is>
          <t>reissue — retest</t>
        </is>
      </c>
      <c r="C3251" s="256" t="inlineStr">
        <is>
          <t>CJ1024</t>
        </is>
      </c>
      <c r="D3251" s="256" t="inlineStr">
        <is>
          <t>— no P lot assigned —</t>
        </is>
      </c>
      <c r="E3251" s="256" t="inlineStr">
        <is>
          <t>Cap Junky</t>
        </is>
      </c>
      <c r="F3251" s="256" t="inlineStr">
        <is>
          <t>21.09.2026</t>
        </is>
      </c>
      <c r="G3251" s="256" t="inlineStr">
        <is>
          <t>7</t>
        </is>
      </c>
      <c r="H3251" s="256" t="inlineStr">
        <is>
          <t>Foreign Matter</t>
        </is>
      </c>
      <c r="I3251" s="256" t="inlineStr">
        <is>
          <t>Ph. Eur. 2.8.2 · In-house · интерна</t>
        </is>
      </c>
      <c r="J3251" s="256" t="inlineStr">
        <is>
          <t>≤ 2.0% / 25–50 g · &lt; 1 cm leaves | листови, no seeds | без семки</t>
        </is>
      </c>
      <c r="K3251" s="256" t="inlineStr">
        <is>
          <t>Conforms | Одговара</t>
        </is>
      </c>
      <c r="L3251" s="256" t="inlineStr">
        <is>
          <t>iCoA-PP_26-180</t>
        </is>
      </c>
      <c r="M3251" s="256" t="inlineStr">
        <is>
          <t>24.08.2026</t>
        </is>
      </c>
      <c r="N3251" s="256" t="inlineStr">
        <is>
          <t>Purely Plant GmbH (in-house)</t>
        </is>
      </c>
      <c r="O3251" s="256" t="inlineStr">
        <is>
          <t>—</t>
        </is>
      </c>
      <c r="P3251" s="256" t="inlineStr">
        <is>
          <t>covered</t>
        </is>
      </c>
      <c r="Q3251" s="256" t="inlineStr">
        <is>
          <t>Purely Plant laboratory — iCoA covering Foreign matter</t>
        </is>
      </c>
      <c r="R3251" s="256" t="inlineStr"/>
    </row>
    <row r="3252">
      <c r="A3252" s="256" t="inlineStr">
        <is>
          <t>CoQ-PP_26-142</t>
        </is>
      </c>
      <c r="B3252" s="256" t="inlineStr">
        <is>
          <t>reissue — retest</t>
        </is>
      </c>
      <c r="C3252" s="256" t="inlineStr">
        <is>
          <t>CJ1024</t>
        </is>
      </c>
      <c r="D3252" s="256" t="inlineStr">
        <is>
          <t>— no P lot assigned —</t>
        </is>
      </c>
      <c r="E3252" s="256" t="inlineStr">
        <is>
          <t>Cap Junky</t>
        </is>
      </c>
      <c r="F3252" s="256" t="inlineStr">
        <is>
          <t>21.09.2026</t>
        </is>
      </c>
      <c r="G3252" s="256" t="inlineStr">
        <is>
          <t>8</t>
        </is>
      </c>
      <c r="H3252" s="256" t="inlineStr">
        <is>
          <t>Loss on Drying</t>
        </is>
      </c>
      <c r="I3252" s="256" t="inlineStr">
        <is>
          <t>DAB 2018 monograph Cannabis flos, 2.2.32 — loss on drying (CNP, before its Ph. Eur. 3028 accreditation)</t>
        </is>
      </c>
      <c r="J3252" s="256" t="inlineStr">
        <is>
          <t>≤ 12.0%</t>
        </is>
      </c>
      <c r="K3252" s="256" t="inlineStr">
        <is>
          <t>5.91</t>
        </is>
      </c>
      <c r="L3252" s="256" t="inlineStr">
        <is>
          <t>ППК25052</t>
        </is>
      </c>
      <c r="M3252" s="256" t="inlineStr">
        <is>
          <t>26.02.2025</t>
        </is>
      </c>
      <c r="N3252" s="256" t="inlineStr">
        <is>
          <t>UKIM Faculty of Pharmacy — Center for Natural Products</t>
        </is>
      </c>
      <c r="O3252" s="256" t="inlineStr">
        <is>
          <t>13.02.2025</t>
        </is>
      </c>
      <c r="P3252" s="256" t="inlineStr">
        <is>
          <t>carried from the initial testing (the batch's initial CoQ (number assigned on issue)) — covered</t>
        </is>
      </c>
      <c r="Q3252" s="256" t="inlineStr"/>
      <c r="R3252" s="256" t="inlineStr"/>
    </row>
    <row r="3253">
      <c r="A3253" s="256" t="inlineStr">
        <is>
          <t>CoQ-PP_26-142</t>
        </is>
      </c>
      <c r="B3253" s="256" t="inlineStr">
        <is>
          <t>reissue — retest</t>
        </is>
      </c>
      <c r="C3253" s="256" t="inlineStr">
        <is>
          <t>CJ1024</t>
        </is>
      </c>
      <c r="D3253" s="256" t="inlineStr">
        <is>
          <t>— no P lot assigned —</t>
        </is>
      </c>
      <c r="E3253" s="256" t="inlineStr">
        <is>
          <t>Cap Junky</t>
        </is>
      </c>
      <c r="F3253" s="256" t="inlineStr">
        <is>
          <t>21.09.2026</t>
        </is>
      </c>
      <c r="G3253" s="256" t="inlineStr">
        <is>
          <t>9.1</t>
        </is>
      </c>
      <c r="H3253" s="256" t="inlineStr">
        <is>
          <t>TAMC</t>
        </is>
      </c>
      <c r="I3253" s="256" t="inlineStr">
        <is>
          <t>Ph. Eur. 2.6.12 cat. C</t>
        </is>
      </c>
      <c r="J3253" s="256" t="inlineStr">
        <is>
          <t>≤ 10⁵ CFU/g</t>
        </is>
      </c>
      <c r="K3253" s="256" t="inlineStr">
        <is>
          <t>&lt; 10</t>
        </is>
      </c>
      <c r="L3253" s="256" t="inlineStr">
        <is>
          <t>565/1096/26</t>
        </is>
      </c>
      <c r="M3253" s="256" t="inlineStr">
        <is>
          <t>01.09.2026</t>
        </is>
      </c>
      <c r="N3253" s="256" t="inlineStr">
        <is>
          <t>IPH — Institute of Public Health</t>
        </is>
      </c>
      <c r="O3253" s="256" t="inlineStr">
        <is>
          <t>26.08.2026</t>
        </is>
      </c>
      <c r="P3253" s="256" t="inlineStr">
        <is>
          <t>covered</t>
        </is>
      </c>
      <c r="Q3253" s="256" t="inlineStr"/>
      <c r="R3253" s="256" t="inlineStr"/>
    </row>
    <row r="3254">
      <c r="A3254" s="256" t="inlineStr">
        <is>
          <t>CoQ-PP_26-142</t>
        </is>
      </c>
      <c r="B3254" s="256" t="inlineStr">
        <is>
          <t>reissue — retest</t>
        </is>
      </c>
      <c r="C3254" s="256" t="inlineStr">
        <is>
          <t>CJ1024</t>
        </is>
      </c>
      <c r="D3254" s="256" t="inlineStr">
        <is>
          <t>— no P lot assigned —</t>
        </is>
      </c>
      <c r="E3254" s="256" t="inlineStr">
        <is>
          <t>Cap Junky</t>
        </is>
      </c>
      <c r="F3254" s="256" t="inlineStr">
        <is>
          <t>21.09.2026</t>
        </is>
      </c>
      <c r="G3254" s="256" t="inlineStr">
        <is>
          <t>9.2</t>
        </is>
      </c>
      <c r="H3254" s="256" t="inlineStr">
        <is>
          <t>TYMC</t>
        </is>
      </c>
      <c r="I3254" s="256" t="inlineStr">
        <is>
          <t>Ph. Eur. 2.6.12 cat. C</t>
        </is>
      </c>
      <c r="J3254" s="256" t="inlineStr">
        <is>
          <t>≤ 10⁴ CFU/g</t>
        </is>
      </c>
      <c r="K3254" s="256" t="inlineStr">
        <is>
          <t>10</t>
        </is>
      </c>
      <c r="L3254" s="256" t="inlineStr">
        <is>
          <t>565/1096/26</t>
        </is>
      </c>
      <c r="M3254" s="256" t="inlineStr">
        <is>
          <t>01.09.2026</t>
        </is>
      </c>
      <c r="N3254" s="256" t="inlineStr">
        <is>
          <t>IPH — Institute of Public Health</t>
        </is>
      </c>
      <c r="O3254" s="256" t="inlineStr">
        <is>
          <t>26.08.2026</t>
        </is>
      </c>
      <c r="P3254" s="256" t="inlineStr">
        <is>
          <t>covered</t>
        </is>
      </c>
      <c r="Q3254" s="256" t="inlineStr"/>
      <c r="R3254" s="256" t="inlineStr"/>
    </row>
    <row r="3255">
      <c r="A3255" s="256" t="inlineStr">
        <is>
          <t>CoQ-PP_26-142</t>
        </is>
      </c>
      <c r="B3255" s="256" t="inlineStr">
        <is>
          <t>reissue — retest</t>
        </is>
      </c>
      <c r="C3255" s="256" t="inlineStr">
        <is>
          <t>CJ1024</t>
        </is>
      </c>
      <c r="D3255" s="256" t="inlineStr">
        <is>
          <t>— no P lot assigned —</t>
        </is>
      </c>
      <c r="E3255" s="256" t="inlineStr">
        <is>
          <t>Cap Junky</t>
        </is>
      </c>
      <c r="F3255" s="256" t="inlineStr">
        <is>
          <t>21.09.2026</t>
        </is>
      </c>
      <c r="G3255" s="256" t="inlineStr">
        <is>
          <t>9.3</t>
        </is>
      </c>
      <c r="H3255" s="256" t="inlineStr">
        <is>
          <t>Bile-tolerant gram-neg.</t>
        </is>
      </c>
      <c r="I3255" s="256" t="inlineStr">
        <is>
          <t>Ph. Eur. 2.6.31 cat. C</t>
        </is>
      </c>
      <c r="J3255" s="256" t="inlineStr">
        <is>
          <t>≤ 10⁴ CFU/g</t>
        </is>
      </c>
      <c r="K3255" s="256" t="inlineStr">
        <is>
          <t>&lt; 10</t>
        </is>
      </c>
      <c r="L3255" s="256" t="inlineStr">
        <is>
          <t>565/1096/26</t>
        </is>
      </c>
      <c r="M3255" s="256" t="inlineStr">
        <is>
          <t>01.09.2026</t>
        </is>
      </c>
      <c r="N3255" s="256" t="inlineStr">
        <is>
          <t>IPH — Institute of Public Health</t>
        </is>
      </c>
      <c r="O3255" s="256" t="inlineStr">
        <is>
          <t>26.08.2026</t>
        </is>
      </c>
      <c r="P3255" s="256" t="inlineStr">
        <is>
          <t>covered</t>
        </is>
      </c>
      <c r="Q3255" s="256" t="inlineStr"/>
      <c r="R3255" s="256" t="inlineStr"/>
    </row>
    <row r="3256">
      <c r="A3256" s="256" t="inlineStr">
        <is>
          <t>CoQ-PP_26-142</t>
        </is>
      </c>
      <c r="B3256" s="256" t="inlineStr">
        <is>
          <t>reissue — retest</t>
        </is>
      </c>
      <c r="C3256" s="256" t="inlineStr">
        <is>
          <t>CJ1024</t>
        </is>
      </c>
      <c r="D3256" s="256" t="inlineStr">
        <is>
          <t>— no P lot assigned —</t>
        </is>
      </c>
      <c r="E3256" s="256" t="inlineStr">
        <is>
          <t>Cap Junky</t>
        </is>
      </c>
      <c r="F3256" s="256" t="inlineStr">
        <is>
          <t>21.09.2026</t>
        </is>
      </c>
      <c r="G3256" s="256" t="inlineStr">
        <is>
          <t>9.4</t>
        </is>
      </c>
      <c r="H3256" s="256" t="inlineStr">
        <is>
          <t>Salmonella</t>
        </is>
      </c>
      <c r="I3256" s="256" t="inlineStr">
        <is>
          <t>Ph. Eur. 2.6.31 cat. C</t>
        </is>
      </c>
      <c r="J3256" s="256" t="inlineStr">
        <is>
          <t>Absence | Отсуство / 25 g</t>
        </is>
      </c>
      <c r="K3256" s="256" t="inlineStr">
        <is>
          <t>Absent | Отсутна</t>
        </is>
      </c>
      <c r="L3256" s="256" t="inlineStr">
        <is>
          <t>565/1096/26</t>
        </is>
      </c>
      <c r="M3256" s="256" t="inlineStr">
        <is>
          <t>01.09.2026</t>
        </is>
      </c>
      <c r="N3256" s="256" t="inlineStr">
        <is>
          <t>IPH — Institute of Public Health</t>
        </is>
      </c>
      <c r="O3256" s="256" t="inlineStr">
        <is>
          <t>26.08.2026</t>
        </is>
      </c>
      <c r="P3256" s="256" t="inlineStr">
        <is>
          <t>covered</t>
        </is>
      </c>
      <c r="Q3256" s="256" t="inlineStr"/>
      <c r="R3256" s="256" t="inlineStr"/>
    </row>
    <row r="3257">
      <c r="A3257" s="256" t="inlineStr">
        <is>
          <t>CoQ-PP_26-142</t>
        </is>
      </c>
      <c r="B3257" s="256" t="inlineStr">
        <is>
          <t>reissue — retest</t>
        </is>
      </c>
      <c r="C3257" s="256" t="inlineStr">
        <is>
          <t>CJ1024</t>
        </is>
      </c>
      <c r="D3257" s="256" t="inlineStr">
        <is>
          <t>— no P lot assigned —</t>
        </is>
      </c>
      <c r="E3257" s="256" t="inlineStr">
        <is>
          <t>Cap Junky</t>
        </is>
      </c>
      <c r="F3257" s="256" t="inlineStr">
        <is>
          <t>21.09.2026</t>
        </is>
      </c>
      <c r="G3257" s="256" t="inlineStr">
        <is>
          <t>9.5</t>
        </is>
      </c>
      <c r="H3257" s="256" t="inlineStr">
        <is>
          <t>Escherichia coli</t>
        </is>
      </c>
      <c r="I3257" s="256" t="inlineStr">
        <is>
          <t>Ph. Eur. 2.6.13 cat. C</t>
        </is>
      </c>
      <c r="J3257" s="256" t="inlineStr">
        <is>
          <t>Absence | Отсуство / 1 g</t>
        </is>
      </c>
      <c r="K3257" s="256" t="inlineStr">
        <is>
          <t>Absent | Отсутна</t>
        </is>
      </c>
      <c r="L3257" s="256" t="inlineStr">
        <is>
          <t>565/1096/26</t>
        </is>
      </c>
      <c r="M3257" s="256" t="inlineStr">
        <is>
          <t>01.09.2026</t>
        </is>
      </c>
      <c r="N3257" s="256" t="inlineStr">
        <is>
          <t>IPH — Institute of Public Health</t>
        </is>
      </c>
      <c r="O3257" s="256" t="inlineStr">
        <is>
          <t>26.08.2026</t>
        </is>
      </c>
      <c r="P3257" s="256" t="inlineStr">
        <is>
          <t>covered</t>
        </is>
      </c>
      <c r="Q3257" s="256" t="inlineStr"/>
      <c r="R3257" s="256" t="inlineStr"/>
    </row>
    <row r="3258">
      <c r="A3258" s="256" t="inlineStr">
        <is>
          <t>CoQ-PP_26-142</t>
        </is>
      </c>
      <c r="B3258" s="256" t="inlineStr">
        <is>
          <t>reissue — retest</t>
        </is>
      </c>
      <c r="C3258" s="256" t="inlineStr">
        <is>
          <t>CJ1024</t>
        </is>
      </c>
      <c r="D3258" s="256" t="inlineStr">
        <is>
          <t>— no P lot assigned —</t>
        </is>
      </c>
      <c r="E3258" s="256" t="inlineStr">
        <is>
          <t>Cap Junky</t>
        </is>
      </c>
      <c r="F3258" s="256" t="inlineStr">
        <is>
          <t>21.09.2026</t>
        </is>
      </c>
      <c r="G3258" s="256" t="inlineStr">
        <is>
          <t>9.6</t>
        </is>
      </c>
      <c r="H3258" s="256" t="inlineStr">
        <is>
          <t>Pseudomonas aeruginosa</t>
        </is>
      </c>
      <c r="I3258" s="256" t="inlineStr">
        <is>
          <t>Ph. Eur. 2.6.13 cat. C</t>
        </is>
      </c>
      <c r="J3258" s="256" t="inlineStr">
        <is>
          <t>Absence | Отсуство / 1 g</t>
        </is>
      </c>
      <c r="K3258" s="260" t="inlineStr">
        <is>
          <t>upon request — not required for release</t>
        </is>
      </c>
      <c r="L3258" s="256" t="inlineStr">
        <is>
          <t>—</t>
        </is>
      </c>
      <c r="M3258" s="256" t="inlineStr">
        <is>
          <t>—</t>
        </is>
      </c>
      <c r="N3258" s="256" t="inlineStr">
        <is>
          <t>—</t>
        </is>
      </c>
      <c r="O3258" s="256" t="inlineStr">
        <is>
          <t>—</t>
        </is>
      </c>
      <c r="P3258" s="256" t="inlineStr">
        <is>
          <t>upon request — not required for release</t>
        </is>
      </c>
      <c r="Q3258" s="256" t="inlineStr"/>
      <c r="R3258" s="256" t="inlineStr"/>
    </row>
    <row r="3259">
      <c r="A3259" s="256" t="inlineStr">
        <is>
          <t>CoQ-PP_26-142</t>
        </is>
      </c>
      <c r="B3259" s="256" t="inlineStr">
        <is>
          <t>reissue — retest</t>
        </is>
      </c>
      <c r="C3259" s="256" t="inlineStr">
        <is>
          <t>CJ1024</t>
        </is>
      </c>
      <c r="D3259" s="256" t="inlineStr">
        <is>
          <t>— no P lot assigned —</t>
        </is>
      </c>
      <c r="E3259" s="256" t="inlineStr">
        <is>
          <t>Cap Junky</t>
        </is>
      </c>
      <c r="F3259" s="256" t="inlineStr">
        <is>
          <t>21.09.2026</t>
        </is>
      </c>
      <c r="G3259" s="256" t="inlineStr">
        <is>
          <t>9.7</t>
        </is>
      </c>
      <c r="H3259" s="256" t="inlineStr">
        <is>
          <t>Staphylococcus aureus</t>
        </is>
      </c>
      <c r="I3259" s="256" t="inlineStr">
        <is>
          <t>Ph. Eur. 2.6.13 cat. C</t>
        </is>
      </c>
      <c r="J3259" s="256" t="inlineStr">
        <is>
          <t>Absence | Отсуство / 1 g</t>
        </is>
      </c>
      <c r="K3259" s="260" t="inlineStr">
        <is>
          <t>upon request — not required for release</t>
        </is>
      </c>
      <c r="L3259" s="256" t="inlineStr">
        <is>
          <t>—</t>
        </is>
      </c>
      <c r="M3259" s="256" t="inlineStr">
        <is>
          <t>—</t>
        </is>
      </c>
      <c r="N3259" s="256" t="inlineStr">
        <is>
          <t>—</t>
        </is>
      </c>
      <c r="O3259" s="256" t="inlineStr">
        <is>
          <t>—</t>
        </is>
      </c>
      <c r="P3259" s="256" t="inlineStr">
        <is>
          <t>upon request — not required for release</t>
        </is>
      </c>
      <c r="Q3259" s="256" t="inlineStr"/>
      <c r="R3259" s="256" t="inlineStr"/>
    </row>
    <row r="3260">
      <c r="A3260" s="256" t="inlineStr">
        <is>
          <t>CoQ-PP_26-142</t>
        </is>
      </c>
      <c r="B3260" s="256" t="inlineStr">
        <is>
          <t>reissue — retest</t>
        </is>
      </c>
      <c r="C3260" s="256" t="inlineStr">
        <is>
          <t>CJ1024</t>
        </is>
      </c>
      <c r="D3260" s="256" t="inlineStr">
        <is>
          <t>— no P lot assigned —</t>
        </is>
      </c>
      <c r="E3260" s="256" t="inlineStr">
        <is>
          <t>Cap Junky</t>
        </is>
      </c>
      <c r="F3260" s="256" t="inlineStr">
        <is>
          <t>21.09.2026</t>
        </is>
      </c>
      <c r="G3260" s="256" t="inlineStr">
        <is>
          <t>10.1</t>
        </is>
      </c>
      <c r="H3260" s="256" t="inlineStr">
        <is>
          <t>Aflatoxin B₁</t>
        </is>
      </c>
      <c r="I3260" s="256" t="inlineStr">
        <is>
          <t>Ph. Eur. 2.8.18 (HPLC-FLD)</t>
        </is>
      </c>
      <c r="J3260" s="256" t="inlineStr">
        <is>
          <t>≤ 2 µg/kg</t>
        </is>
      </c>
      <c r="K3260" s="256" t="inlineStr">
        <is>
          <t>ND</t>
        </is>
      </c>
      <c r="L3260" s="256" t="inlineStr">
        <is>
          <t>227-26-М/26</t>
        </is>
      </c>
      <c r="M3260" s="256" t="inlineStr">
        <is>
          <t>16.09.2026</t>
        </is>
      </c>
      <c r="N3260" s="256" t="inlineStr">
        <is>
          <t>Farmahem</t>
        </is>
      </c>
      <c r="O3260" s="256" t="inlineStr">
        <is>
          <t>—</t>
        </is>
      </c>
      <c r="P3260" s="256" t="inlineStr">
        <is>
          <t>covered</t>
        </is>
      </c>
      <c r="Q3260" s="256" t="inlineStr"/>
      <c r="R3260" s="256" t="inlineStr"/>
    </row>
    <row r="3261">
      <c r="A3261" s="256" t="inlineStr">
        <is>
          <t>CoQ-PP_26-142</t>
        </is>
      </c>
      <c r="B3261" s="256" t="inlineStr">
        <is>
          <t>reissue — retest</t>
        </is>
      </c>
      <c r="C3261" s="256" t="inlineStr">
        <is>
          <t>CJ1024</t>
        </is>
      </c>
      <c r="D3261" s="256" t="inlineStr">
        <is>
          <t>— no P lot assigned —</t>
        </is>
      </c>
      <c r="E3261" s="256" t="inlineStr">
        <is>
          <t>Cap Junky</t>
        </is>
      </c>
      <c r="F3261" s="256" t="inlineStr">
        <is>
          <t>21.09.2026</t>
        </is>
      </c>
      <c r="G3261" s="256" t="inlineStr">
        <is>
          <t>10.2</t>
        </is>
      </c>
      <c r="H3261" s="256" t="inlineStr">
        <is>
          <t>Aflatoxins ∑</t>
        </is>
      </c>
      <c r="I3261" s="256" t="inlineStr">
        <is>
          <t>Ph. Eur. 2.8.18 (HPLC-FLD)</t>
        </is>
      </c>
      <c r="J3261" s="256" t="inlineStr">
        <is>
          <t>≤ 4 µg/kg</t>
        </is>
      </c>
      <c r="K3261" s="256" t="inlineStr">
        <is>
          <t>ND</t>
        </is>
      </c>
      <c r="L3261" s="256" t="inlineStr">
        <is>
          <t>227-26-М/26</t>
        </is>
      </c>
      <c r="M3261" s="256" t="inlineStr">
        <is>
          <t>16.09.2026</t>
        </is>
      </c>
      <c r="N3261" s="256" t="inlineStr">
        <is>
          <t>Farmahem</t>
        </is>
      </c>
      <c r="O3261" s="256" t="inlineStr">
        <is>
          <t>—</t>
        </is>
      </c>
      <c r="P3261" s="256" t="inlineStr">
        <is>
          <t>carried from the initial testing (the batch's initial CoQ (number assigned on issue)) — covered</t>
        </is>
      </c>
      <c r="Q3261" s="256" t="inlineStr"/>
      <c r="R3261" s="256" t="inlineStr"/>
    </row>
    <row r="3262">
      <c r="A3262" s="256" t="inlineStr">
        <is>
          <t>CoQ-PP_26-142</t>
        </is>
      </c>
      <c r="B3262" s="256" t="inlineStr">
        <is>
          <t>reissue — retest</t>
        </is>
      </c>
      <c r="C3262" s="256" t="inlineStr">
        <is>
          <t>CJ1024</t>
        </is>
      </c>
      <c r="D3262" s="256" t="inlineStr">
        <is>
          <t>— no P lot assigned —</t>
        </is>
      </c>
      <c r="E3262" s="256" t="inlineStr">
        <is>
          <t>Cap Junky</t>
        </is>
      </c>
      <c r="F3262" s="256" t="inlineStr">
        <is>
          <t>21.09.2026</t>
        </is>
      </c>
      <c r="G3262" s="256" t="inlineStr">
        <is>
          <t>10.3</t>
        </is>
      </c>
      <c r="H3262" s="256" t="inlineStr">
        <is>
          <t>Ochratoxin A</t>
        </is>
      </c>
      <c r="I3262" s="256" t="inlineStr">
        <is>
          <t>Ph. Eur. 2.8.22 (HPLC-FLD)</t>
        </is>
      </c>
      <c r="J3262" s="256" t="inlineStr">
        <is>
          <t>≤ 20 µg/kg</t>
        </is>
      </c>
      <c r="K3262" s="256" t="inlineStr">
        <is>
          <t>ND</t>
        </is>
      </c>
      <c r="L3262" s="256" t="inlineStr">
        <is>
          <t>227-26-М/26</t>
        </is>
      </c>
      <c r="M3262" s="256" t="inlineStr">
        <is>
          <t>16.09.2026</t>
        </is>
      </c>
      <c r="N3262" s="256" t="inlineStr">
        <is>
          <t>Farmahem</t>
        </is>
      </c>
      <c r="O3262" s="256" t="inlineStr">
        <is>
          <t>—</t>
        </is>
      </c>
      <c r="P3262" s="256" t="inlineStr">
        <is>
          <t>covered</t>
        </is>
      </c>
      <c r="Q3262" s="256" t="inlineStr"/>
      <c r="R3262" s="256" t="inlineStr"/>
    </row>
    <row r="3263">
      <c r="A3263" s="256" t="inlineStr">
        <is>
          <t>CoQ-PP_26-142</t>
        </is>
      </c>
      <c r="B3263" s="256" t="inlineStr">
        <is>
          <t>reissue — retest</t>
        </is>
      </c>
      <c r="C3263" s="256" t="inlineStr">
        <is>
          <t>CJ1024</t>
        </is>
      </c>
      <c r="D3263" s="256" t="inlineStr">
        <is>
          <t>— no P lot assigned —</t>
        </is>
      </c>
      <c r="E3263" s="256" t="inlineStr">
        <is>
          <t>Cap Junky</t>
        </is>
      </c>
      <c r="F3263" s="256" t="inlineStr">
        <is>
          <t>21.09.2026</t>
        </is>
      </c>
      <c r="G3263" s="256" t="inlineStr">
        <is>
          <t>11.1</t>
        </is>
      </c>
      <c r="H3263" s="256" t="inlineStr">
        <is>
          <t>Lead (Pb)</t>
        </is>
      </c>
      <c r="I3263" s="256" t="inlineStr">
        <is>
          <t>Ph. Eur. 2.4.27 (ICP-MS)</t>
        </is>
      </c>
      <c r="J3263" s="256" t="inlineStr">
        <is>
          <t>≤ 0.5 mg/kg</t>
        </is>
      </c>
      <c r="K3263" s="256" t="inlineStr">
        <is>
          <t>0.036</t>
        </is>
      </c>
      <c r="L3263" s="256" t="inlineStr">
        <is>
          <t>750/2025</t>
        </is>
      </c>
      <c r="M3263" s="256" t="inlineStr">
        <is>
          <t>27.02.2025</t>
        </is>
      </c>
      <c r="N3263" s="256" t="inlineStr">
        <is>
          <t>IPH — Institute of Public Health</t>
        </is>
      </c>
      <c r="O3263" s="256" t="inlineStr">
        <is>
          <t>13.02.2025</t>
        </is>
      </c>
      <c r="P3263" s="256" t="inlineStr">
        <is>
          <t>carried from the initial testing (the batch's initial CoQ (number assigned on issue)) — covered</t>
        </is>
      </c>
      <c r="Q3263" s="256" t="inlineStr"/>
      <c r="R3263" s="256" t="inlineStr"/>
    </row>
    <row r="3264">
      <c r="A3264" s="256" t="inlineStr">
        <is>
          <t>CoQ-PP_26-142</t>
        </is>
      </c>
      <c r="B3264" s="256" t="inlineStr">
        <is>
          <t>reissue — retest</t>
        </is>
      </c>
      <c r="C3264" s="256" t="inlineStr">
        <is>
          <t>CJ1024</t>
        </is>
      </c>
      <c r="D3264" s="256" t="inlineStr">
        <is>
          <t>— no P lot assigned —</t>
        </is>
      </c>
      <c r="E3264" s="256" t="inlineStr">
        <is>
          <t>Cap Junky</t>
        </is>
      </c>
      <c r="F3264" s="256" t="inlineStr">
        <is>
          <t>21.09.2026</t>
        </is>
      </c>
      <c r="G3264" s="256" t="inlineStr">
        <is>
          <t>11.2</t>
        </is>
      </c>
      <c r="H3264" s="256" t="inlineStr">
        <is>
          <t>Cadmium (Cd)</t>
        </is>
      </c>
      <c r="I3264" s="256" t="inlineStr">
        <is>
          <t>Ph. Eur. 2.4.27 (ICP-MS)</t>
        </is>
      </c>
      <c r="J3264" s="256" t="inlineStr">
        <is>
          <t>≤ 0.3 mg/kg</t>
        </is>
      </c>
      <c r="K3264" s="256" t="inlineStr">
        <is>
          <t>0.013</t>
        </is>
      </c>
      <c r="L3264" s="256" t="inlineStr">
        <is>
          <t>750/2025</t>
        </is>
      </c>
      <c r="M3264" s="256" t="inlineStr">
        <is>
          <t>27.02.2025</t>
        </is>
      </c>
      <c r="N3264" s="256" t="inlineStr">
        <is>
          <t>IPH — Institute of Public Health</t>
        </is>
      </c>
      <c r="O3264" s="256" t="inlineStr">
        <is>
          <t>13.02.2025</t>
        </is>
      </c>
      <c r="P3264" s="256" t="inlineStr">
        <is>
          <t>carried from the initial testing (the batch's initial CoQ (number assigned on issue)) — covered</t>
        </is>
      </c>
      <c r="Q3264" s="256" t="inlineStr"/>
      <c r="R3264" s="256" t="inlineStr"/>
    </row>
    <row r="3265">
      <c r="A3265" s="256" t="inlineStr">
        <is>
          <t>CoQ-PP_26-142</t>
        </is>
      </c>
      <c r="B3265" s="256" t="inlineStr">
        <is>
          <t>reissue — retest</t>
        </is>
      </c>
      <c r="C3265" s="256" t="inlineStr">
        <is>
          <t>CJ1024</t>
        </is>
      </c>
      <c r="D3265" s="256" t="inlineStr">
        <is>
          <t>— no P lot assigned —</t>
        </is>
      </c>
      <c r="E3265" s="256" t="inlineStr">
        <is>
          <t>Cap Junky</t>
        </is>
      </c>
      <c r="F3265" s="256" t="inlineStr">
        <is>
          <t>21.09.2026</t>
        </is>
      </c>
      <c r="G3265" s="256" t="inlineStr">
        <is>
          <t>11.3</t>
        </is>
      </c>
      <c r="H3265" s="256" t="inlineStr">
        <is>
          <t>Arsenic (As)</t>
        </is>
      </c>
      <c r="I3265" s="256" t="inlineStr">
        <is>
          <t>Ph. Eur. 2.4.27 (ICP-MS)</t>
        </is>
      </c>
      <c r="J3265" s="256" t="inlineStr">
        <is>
          <t>≤ 0.2 mg/kg</t>
        </is>
      </c>
      <c r="K3265" s="256" t="inlineStr">
        <is>
          <t>0.063</t>
        </is>
      </c>
      <c r="L3265" s="256" t="inlineStr">
        <is>
          <t>750/2025</t>
        </is>
      </c>
      <c r="M3265" s="256" t="inlineStr">
        <is>
          <t>27.02.2025</t>
        </is>
      </c>
      <c r="N3265" s="256" t="inlineStr">
        <is>
          <t>IPH — Institute of Public Health</t>
        </is>
      </c>
      <c r="O3265" s="256" t="inlineStr">
        <is>
          <t>13.02.2025</t>
        </is>
      </c>
      <c r="P3265" s="256" t="inlineStr">
        <is>
          <t>carried from the initial testing (the batch's initial CoQ (number assigned on issue)) — covered</t>
        </is>
      </c>
      <c r="Q3265" s="256" t="inlineStr"/>
      <c r="R3265" s="256" t="inlineStr"/>
    </row>
    <row r="3266">
      <c r="A3266" s="256" t="inlineStr">
        <is>
          <t>CoQ-PP_26-142</t>
        </is>
      </c>
      <c r="B3266" s="256" t="inlineStr">
        <is>
          <t>reissue — retest</t>
        </is>
      </c>
      <c r="C3266" s="256" t="inlineStr">
        <is>
          <t>CJ1024</t>
        </is>
      </c>
      <c r="D3266" s="256" t="inlineStr">
        <is>
          <t>— no P lot assigned —</t>
        </is>
      </c>
      <c r="E3266" s="256" t="inlineStr">
        <is>
          <t>Cap Junky</t>
        </is>
      </c>
      <c r="F3266" s="256" t="inlineStr">
        <is>
          <t>21.09.2026</t>
        </is>
      </c>
      <c r="G3266" s="256" t="inlineStr">
        <is>
          <t>11.4</t>
        </is>
      </c>
      <c r="H3266" s="256" t="inlineStr">
        <is>
          <t>Mercury (Hg)</t>
        </is>
      </c>
      <c r="I3266" s="256" t="inlineStr">
        <is>
          <t>Ph. Eur. 2.4.27 (ICP-MS)</t>
        </is>
      </c>
      <c r="J3266" s="256" t="inlineStr">
        <is>
          <t>≤ 0.1 mg/kg</t>
        </is>
      </c>
      <c r="K3266" s="256" t="inlineStr">
        <is>
          <t>0.006</t>
        </is>
      </c>
      <c r="L3266" s="256" t="inlineStr">
        <is>
          <t>750/2025</t>
        </is>
      </c>
      <c r="M3266" s="256" t="inlineStr">
        <is>
          <t>27.02.2025</t>
        </is>
      </c>
      <c r="N3266" s="256" t="inlineStr">
        <is>
          <t>IPH — Institute of Public Health</t>
        </is>
      </c>
      <c r="O3266" s="256" t="inlineStr">
        <is>
          <t>13.02.2025</t>
        </is>
      </c>
      <c r="P3266" s="256" t="inlineStr">
        <is>
          <t>carried from the initial testing (the batch's initial CoQ (number assigned on issue)) — covered</t>
        </is>
      </c>
      <c r="Q3266" s="256" t="inlineStr"/>
      <c r="R3266" s="256" t="inlineStr"/>
    </row>
    <row r="3267">
      <c r="A3267" s="256" t="inlineStr">
        <is>
          <t>CoQ-PP_26-142</t>
        </is>
      </c>
      <c r="B3267" s="256" t="inlineStr">
        <is>
          <t>reissue — retest</t>
        </is>
      </c>
      <c r="C3267" s="256" t="inlineStr">
        <is>
          <t>CJ1024</t>
        </is>
      </c>
      <c r="D3267" s="256" t="inlineStr">
        <is>
          <t>— no P lot assigned —</t>
        </is>
      </c>
      <c r="E3267" s="256" t="inlineStr">
        <is>
          <t>Cap Junky</t>
        </is>
      </c>
      <c r="F3267" s="256" t="inlineStr">
        <is>
          <t>21.09.2026</t>
        </is>
      </c>
      <c r="G3267" s="256" t="inlineStr">
        <is>
          <t>12</t>
        </is>
      </c>
      <c r="H3267" s="256" t="inlineStr">
        <is>
          <t>Pesticide Residues</t>
        </is>
      </c>
      <c r="I3267" s="256" t="inlineStr">
        <is>
          <t>Ph. Eur. 2.8.13 (LC-MS/MS) · CUMCS Equivalency</t>
        </is>
      </c>
      <c r="J3267" s="256" t="inlineStr">
        <is>
          <t>≤ LOQ as per Ph. Eur. 2.8.13 · ≤ LOQ as per CUMCS Equivalency</t>
        </is>
      </c>
      <c r="K3267" s="256" t="inlineStr">
        <is>
          <t>ND</t>
        </is>
      </c>
      <c r="L3267" s="256" t="inlineStr">
        <is>
          <t>750/2025</t>
        </is>
      </c>
      <c r="M3267" s="256" t="inlineStr">
        <is>
          <t>27.02.2025</t>
        </is>
      </c>
      <c r="N3267" s="256" t="inlineStr">
        <is>
          <t>IPH — Institute of Public Health</t>
        </is>
      </c>
      <c r="O3267" s="256" t="inlineStr">
        <is>
          <t>13.02.2025</t>
        </is>
      </c>
      <c r="P3267" s="256" t="inlineStr">
        <is>
          <t>carried from the initial testing (the batch's initial CoQ (number assigned on issue)) — covered</t>
        </is>
      </c>
      <c r="Q3267" s="256" t="inlineStr"/>
      <c r="R3267" s="256" t="inlineStr"/>
    </row>
    <row r="3268">
      <c r="A3268" s="256" t="inlineStr">
        <is>
          <t>CoQ-PP_26-143</t>
        </is>
      </c>
      <c r="B3268" s="256" t="inlineStr">
        <is>
          <t>reissue — retest</t>
        </is>
      </c>
      <c r="C3268" s="256" t="inlineStr">
        <is>
          <t>FB012603</t>
        </is>
      </c>
      <c r="D3268" s="256" t="inlineStr">
        <is>
          <t>— no P lot assigned —</t>
        </is>
      </c>
      <c r="E3268" s="256" t="inlineStr">
        <is>
          <t>Fat Bastard</t>
        </is>
      </c>
      <c r="F3268" s="256" t="inlineStr">
        <is>
          <t>21.09.2026</t>
        </is>
      </c>
      <c r="G3268" s="256" t="inlineStr">
        <is>
          <t>1</t>
        </is>
      </c>
      <c r="H3268" s="256" t="inlineStr">
        <is>
          <t>Identification A, Appearance · Macroscopic</t>
        </is>
      </c>
      <c r="I3268" s="256" t="inlineStr">
        <is>
          <t>Ph. Eur. mon. 3028</t>
        </is>
      </c>
      <c r="J3268" s="256" t="inlineStr">
        <is>
          <t>Conforms to the monograph for Cannabis flos (07/2024:3028) in Ph. Eur. 11.0 | Согласно монографија за Cannabis flos (07/2024:3028) во Ph. Eur. 11.0</t>
        </is>
      </c>
      <c r="K3268" s="256" t="inlineStr">
        <is>
          <t>Conforms | Одговара</t>
        </is>
      </c>
      <c r="L3268" s="256" t="inlineStr">
        <is>
          <t>ППК26112</t>
        </is>
      </c>
      <c r="M3268" s="256" t="inlineStr">
        <is>
          <t>30.06.2026</t>
        </is>
      </c>
      <c r="N3268" s="256" t="inlineStr">
        <is>
          <t>UKIM Faculty of Pharmacy — Center for Natural Products</t>
        </is>
      </c>
      <c r="O3268" s="256" t="inlineStr">
        <is>
          <t>17.06.2026</t>
        </is>
      </c>
      <c r="P3268" s="256" t="inlineStr">
        <is>
          <t>carried from the initial testing (the batch's initial CoQ (number assigned on issue)) — covered</t>
        </is>
      </c>
      <c r="Q3268" s="256" t="inlineStr"/>
      <c r="R3268" s="256" t="inlineStr"/>
    </row>
    <row r="3269">
      <c r="A3269" s="256" t="inlineStr">
        <is>
          <t>CoQ-PP_26-143</t>
        </is>
      </c>
      <c r="B3269" s="256" t="inlineStr">
        <is>
          <t>reissue — retest</t>
        </is>
      </c>
      <c r="C3269" s="256" t="inlineStr">
        <is>
          <t>FB012603</t>
        </is>
      </c>
      <c r="D3269" s="256" t="inlineStr">
        <is>
          <t>— no P lot assigned —</t>
        </is>
      </c>
      <c r="E3269" s="256" t="inlineStr">
        <is>
          <t>Fat Bastard</t>
        </is>
      </c>
      <c r="F3269" s="256" t="inlineStr">
        <is>
          <t>21.09.2026</t>
        </is>
      </c>
      <c r="G3269" s="256" t="inlineStr">
        <is>
          <t>2</t>
        </is>
      </c>
      <c r="H3269" s="256" t="inlineStr">
        <is>
          <t>Identification B · Microscopic</t>
        </is>
      </c>
      <c r="I3269" s="256" t="inlineStr">
        <is>
          <t>Ph. Eur. 2.8.23 (microscopy)</t>
        </is>
      </c>
      <c r="J3269" s="256" t="inlineStr">
        <is>
          <t>Conforms to the monograph for Cannabis flos (07/2024:3028) in Ph. Eur. 11.0 | Согласно монографија за Cannabis flos (07/2024:3028) во Ph. Eur. 11.0</t>
        </is>
      </c>
      <c r="K3269" s="256" t="inlineStr">
        <is>
          <t>Conforms | Одговара</t>
        </is>
      </c>
      <c r="L3269" s="256" t="inlineStr">
        <is>
          <t>ППК26112</t>
        </is>
      </c>
      <c r="M3269" s="256" t="inlineStr">
        <is>
          <t>30.06.2026</t>
        </is>
      </c>
      <c r="N3269" s="256" t="inlineStr">
        <is>
          <t>UKIM Faculty of Pharmacy — Center for Natural Products</t>
        </is>
      </c>
      <c r="O3269" s="256" t="inlineStr">
        <is>
          <t>17.06.2026</t>
        </is>
      </c>
      <c r="P3269" s="256" t="inlineStr">
        <is>
          <t>carried from the initial testing (the batch's initial CoQ (number assigned on issue)) — covered</t>
        </is>
      </c>
      <c r="Q3269" s="256" t="inlineStr"/>
      <c r="R3269" s="256" t="inlineStr"/>
    </row>
    <row r="3270">
      <c r="A3270" s="256" t="inlineStr">
        <is>
          <t>CoQ-PP_26-143</t>
        </is>
      </c>
      <c r="B3270" s="256" t="inlineStr">
        <is>
          <t>reissue — retest</t>
        </is>
      </c>
      <c r="C3270" s="256" t="inlineStr">
        <is>
          <t>FB012603</t>
        </is>
      </c>
      <c r="D3270" s="256" t="inlineStr">
        <is>
          <t>— no P lot assigned —</t>
        </is>
      </c>
      <c r="E3270" s="256" t="inlineStr">
        <is>
          <t>Fat Bastard</t>
        </is>
      </c>
      <c r="F3270" s="256" t="inlineStr">
        <is>
          <t>21.09.2026</t>
        </is>
      </c>
      <c r="G3270" s="256" t="inlineStr">
        <is>
          <t>3</t>
        </is>
      </c>
      <c r="H3270" s="256" t="inlineStr">
        <is>
          <t>Identification C · HPLC/HPTLC</t>
        </is>
      </c>
      <c r="I3270" s="256" t="inlineStr">
        <is>
          <t>Ph. Eur. 2.2.29 (3028)</t>
        </is>
      </c>
      <c r="J3270" s="256" t="inlineStr">
        <is>
          <t>Conforms to the monograph for Cannabis flos (07/2024:3028) in Ph. Eur. 11.0 | Согласно монографија за Cannabis flos (07/2024:3028) во Ph. Eur. 11.0</t>
        </is>
      </c>
      <c r="K3270" s="256" t="inlineStr">
        <is>
          <t>Conforms | Одговара</t>
        </is>
      </c>
      <c r="L3270" s="256" t="inlineStr">
        <is>
          <t>227-24-К/26</t>
        </is>
      </c>
      <c r="M3270" s="256" t="inlineStr">
        <is>
          <t>11.09.2026</t>
        </is>
      </c>
      <c r="N3270" s="256" t="inlineStr">
        <is>
          <t>Farmahem</t>
        </is>
      </c>
      <c r="O3270" s="256" t="inlineStr">
        <is>
          <t>24.08.2026</t>
        </is>
      </c>
      <c r="P3270" s="256" t="inlineStr">
        <is>
          <t>covered</t>
        </is>
      </c>
      <c r="Q3270" s="256" t="inlineStr"/>
      <c r="R3270" s="256" t="inlineStr"/>
    </row>
    <row r="3271">
      <c r="A3271" s="256" t="inlineStr">
        <is>
          <t>CoQ-PP_26-143</t>
        </is>
      </c>
      <c r="B3271" s="256" t="inlineStr">
        <is>
          <t>reissue — retest</t>
        </is>
      </c>
      <c r="C3271" s="256" t="inlineStr">
        <is>
          <t>FB012603</t>
        </is>
      </c>
      <c r="D3271" s="256" t="inlineStr">
        <is>
          <t>— no P lot assigned —</t>
        </is>
      </c>
      <c r="E3271" s="256" t="inlineStr">
        <is>
          <t>Fat Bastard</t>
        </is>
      </c>
      <c r="F3271" s="256" t="inlineStr">
        <is>
          <t>21.09.2026</t>
        </is>
      </c>
      <c r="G3271" s="256" t="inlineStr">
        <is>
          <t>4</t>
        </is>
      </c>
      <c r="H3271" s="256" t="inlineStr">
        <is>
          <t>Assay — Total Δ⁹-THC</t>
        </is>
      </c>
      <c r="I3271" s="256" t="inlineStr">
        <is>
          <t>Ph. Eur. 2.2.29 (HPLC)</t>
        </is>
      </c>
      <c r="J3271" s="256" t="inlineStr">
        <is>
          <t>19.80 – 24.19 %  (grade I, nominal 22.00 ± 2.20)</t>
        </is>
      </c>
      <c r="K3271" s="256" t="inlineStr">
        <is>
          <t>20.00</t>
        </is>
      </c>
      <c r="L3271" s="256" t="inlineStr">
        <is>
          <t>227-24-К/26</t>
        </is>
      </c>
      <c r="M3271" s="256" t="inlineStr">
        <is>
          <t>11.09.2026</t>
        </is>
      </c>
      <c r="N3271" s="256" t="inlineStr">
        <is>
          <t>Farmahem</t>
        </is>
      </c>
      <c r="O3271" s="256" t="inlineStr">
        <is>
          <t>24.08.2026</t>
        </is>
      </c>
      <c r="P3271" s="256" t="inlineStr">
        <is>
          <t>covered</t>
        </is>
      </c>
      <c r="Q3271" s="256" t="inlineStr"/>
      <c r="R3271" s="256" t="inlineStr"/>
    </row>
    <row r="3272">
      <c r="A3272" s="256" t="inlineStr">
        <is>
          <t>CoQ-PP_26-143</t>
        </is>
      </c>
      <c r="B3272" s="256" t="inlineStr">
        <is>
          <t>reissue — retest</t>
        </is>
      </c>
      <c r="C3272" s="256" t="inlineStr">
        <is>
          <t>FB012603</t>
        </is>
      </c>
      <c r="D3272" s="256" t="inlineStr">
        <is>
          <t>— no P lot assigned —</t>
        </is>
      </c>
      <c r="E3272" s="256" t="inlineStr">
        <is>
          <t>Fat Bastard</t>
        </is>
      </c>
      <c r="F3272" s="256" t="inlineStr">
        <is>
          <t>21.09.2026</t>
        </is>
      </c>
      <c r="G3272" s="256" t="inlineStr">
        <is>
          <t>5</t>
        </is>
      </c>
      <c r="H3272" s="256" t="inlineStr">
        <is>
          <t>Assay — Total CBD</t>
        </is>
      </c>
      <c r="I3272" s="256" t="inlineStr">
        <is>
          <t>Ph. Eur. 2.2.29 (HPLC) · CBD + CBDA x 0.877</t>
        </is>
      </c>
      <c r="J3272" s="256" t="inlineStr">
        <is>
          <t>≤ 1.0%, w/w</t>
        </is>
      </c>
      <c r="K3272" s="256" t="inlineStr">
        <is>
          <t>0.21</t>
        </is>
      </c>
      <c r="L3272" s="256" t="inlineStr">
        <is>
          <t>227-24-К/26</t>
        </is>
      </c>
      <c r="M3272" s="256" t="inlineStr">
        <is>
          <t>11.09.2026</t>
        </is>
      </c>
      <c r="N3272" s="256" t="inlineStr">
        <is>
          <t>Farmahem</t>
        </is>
      </c>
      <c r="O3272" s="256" t="inlineStr">
        <is>
          <t>24.08.2026</t>
        </is>
      </c>
      <c r="P3272" s="256" t="inlineStr">
        <is>
          <t>covered</t>
        </is>
      </c>
      <c r="Q3272" s="256" t="inlineStr"/>
      <c r="R3272" s="256" t="inlineStr"/>
    </row>
    <row r="3273">
      <c r="A3273" s="256" t="inlineStr">
        <is>
          <t>CoQ-PP_26-143</t>
        </is>
      </c>
      <c r="B3273" s="256" t="inlineStr">
        <is>
          <t>reissue — retest</t>
        </is>
      </c>
      <c r="C3273" s="256" t="inlineStr">
        <is>
          <t>FB012603</t>
        </is>
      </c>
      <c r="D3273" s="256" t="inlineStr">
        <is>
          <t>— no P lot assigned —</t>
        </is>
      </c>
      <c r="E3273" s="256" t="inlineStr">
        <is>
          <t>Fat Bastard</t>
        </is>
      </c>
      <c r="F3273" s="256" t="inlineStr">
        <is>
          <t>21.09.2026</t>
        </is>
      </c>
      <c r="G3273" s="256" t="inlineStr">
        <is>
          <t>6</t>
        </is>
      </c>
      <c r="H3273" s="256" t="inlineStr">
        <is>
          <t>Total CBN</t>
        </is>
      </c>
      <c r="I3273" s="256" t="inlineStr">
        <is>
          <t>Ph. Eur. 2.2.29 (HPLC) · CBN + CBNA x 0.876</t>
        </is>
      </c>
      <c r="J3273" s="256" t="inlineStr">
        <is>
          <t>≤ 1.0%, w/w</t>
        </is>
      </c>
      <c r="K3273" s="256" t="inlineStr">
        <is>
          <t>&lt; LOQ</t>
        </is>
      </c>
      <c r="L3273" s="256" t="inlineStr">
        <is>
          <t>227-24-К/26</t>
        </is>
      </c>
      <c r="M3273" s="256" t="inlineStr">
        <is>
          <t>11.09.2026</t>
        </is>
      </c>
      <c r="N3273" s="256" t="inlineStr">
        <is>
          <t>Farmahem</t>
        </is>
      </c>
      <c r="O3273" s="256" t="inlineStr">
        <is>
          <t>24.08.2026</t>
        </is>
      </c>
      <c r="P3273" s="256" t="inlineStr">
        <is>
          <t>covered</t>
        </is>
      </c>
      <c r="Q3273" s="256" t="inlineStr"/>
      <c r="R3273" s="256" t="inlineStr"/>
    </row>
    <row r="3274">
      <c r="A3274" s="256" t="inlineStr">
        <is>
          <t>CoQ-PP_26-143</t>
        </is>
      </c>
      <c r="B3274" s="256" t="inlineStr">
        <is>
          <t>reissue — retest</t>
        </is>
      </c>
      <c r="C3274" s="256" t="inlineStr">
        <is>
          <t>FB012603</t>
        </is>
      </c>
      <c r="D3274" s="256" t="inlineStr">
        <is>
          <t>— no P lot assigned —</t>
        </is>
      </c>
      <c r="E3274" s="256" t="inlineStr">
        <is>
          <t>Fat Bastard</t>
        </is>
      </c>
      <c r="F3274" s="256" t="inlineStr">
        <is>
          <t>21.09.2026</t>
        </is>
      </c>
      <c r="G3274" s="256" t="inlineStr">
        <is>
          <t>7</t>
        </is>
      </c>
      <c r="H3274" s="256" t="inlineStr">
        <is>
          <t>Foreign Matter</t>
        </is>
      </c>
      <c r="I3274" s="256" t="inlineStr">
        <is>
          <t>Ph. Eur. 2.8.2 · In-house · интерна</t>
        </is>
      </c>
      <c r="J3274" s="256" t="inlineStr">
        <is>
          <t>≤ 2.0% / 25–50 g · &lt; 1 cm leaves | листови, no seeds | без семки</t>
        </is>
      </c>
      <c r="K3274" s="256" t="inlineStr">
        <is>
          <t>Conforms | Одговара</t>
        </is>
      </c>
      <c r="L3274" s="256" t="inlineStr">
        <is>
          <t>ППК26112</t>
        </is>
      </c>
      <c r="M3274" s="256" t="inlineStr">
        <is>
          <t>30.06.2026</t>
        </is>
      </c>
      <c r="N3274" s="256" t="inlineStr">
        <is>
          <t>UKIM Faculty of Pharmacy — Center for Natural Products</t>
        </is>
      </c>
      <c r="O3274" s="256" t="inlineStr">
        <is>
          <t>17.06.2026</t>
        </is>
      </c>
      <c r="P3274" s="256" t="inlineStr">
        <is>
          <t>carried from the initial testing (the batch's initial CoQ (number assigned on issue)) — covered</t>
        </is>
      </c>
      <c r="Q3274" s="256" t="inlineStr"/>
      <c r="R3274" s="256" t="inlineStr"/>
    </row>
    <row r="3275">
      <c r="A3275" s="256" t="inlineStr">
        <is>
          <t>CoQ-PP_26-143</t>
        </is>
      </c>
      <c r="B3275" s="256" t="inlineStr">
        <is>
          <t>reissue — retest</t>
        </is>
      </c>
      <c r="C3275" s="256" t="inlineStr">
        <is>
          <t>FB012603</t>
        </is>
      </c>
      <c r="D3275" s="256" t="inlineStr">
        <is>
          <t>— no P lot assigned —</t>
        </is>
      </c>
      <c r="E3275" s="256" t="inlineStr">
        <is>
          <t>Fat Bastard</t>
        </is>
      </c>
      <c r="F3275" s="256" t="inlineStr">
        <is>
          <t>21.09.2026</t>
        </is>
      </c>
      <c r="G3275" s="256" t="inlineStr">
        <is>
          <t>8</t>
        </is>
      </c>
      <c r="H3275" s="256" t="inlineStr">
        <is>
          <t>Loss on Drying</t>
        </is>
      </c>
      <c r="I3275" s="256" t="inlineStr">
        <is>
          <t>Ph. Eur. 2.2.32 (3028) · at 40 °C, 24 h, 15–25 mbar</t>
        </is>
      </c>
      <c r="J3275" s="256" t="inlineStr">
        <is>
          <t>≤ 12.0%</t>
        </is>
      </c>
      <c r="K3275" s="256" t="inlineStr">
        <is>
          <t>7.04</t>
        </is>
      </c>
      <c r="L3275" s="256" t="inlineStr">
        <is>
          <t>ППК26112</t>
        </is>
      </c>
      <c r="M3275" s="256" t="inlineStr">
        <is>
          <t>30.06.2026</t>
        </is>
      </c>
      <c r="N3275" s="256" t="inlineStr">
        <is>
          <t>UKIM Faculty of Pharmacy — Center for Natural Products</t>
        </is>
      </c>
      <c r="O3275" s="256" t="inlineStr">
        <is>
          <t>17.06.2026</t>
        </is>
      </c>
      <c r="P3275" s="256" t="inlineStr">
        <is>
          <t>carried from the initial testing (the batch's initial CoQ (number assigned on issue)) — covered</t>
        </is>
      </c>
      <c r="Q3275" s="256" t="inlineStr"/>
      <c r="R3275" s="256" t="inlineStr"/>
    </row>
    <row r="3276">
      <c r="A3276" s="256" t="inlineStr">
        <is>
          <t>CoQ-PP_26-143</t>
        </is>
      </c>
      <c r="B3276" s="256" t="inlineStr">
        <is>
          <t>reissue — retest</t>
        </is>
      </c>
      <c r="C3276" s="256" t="inlineStr">
        <is>
          <t>FB012603</t>
        </is>
      </c>
      <c r="D3276" s="256" t="inlineStr">
        <is>
          <t>— no P lot assigned —</t>
        </is>
      </c>
      <c r="E3276" s="256" t="inlineStr">
        <is>
          <t>Fat Bastard</t>
        </is>
      </c>
      <c r="F3276" s="256" t="inlineStr">
        <is>
          <t>21.09.2026</t>
        </is>
      </c>
      <c r="G3276" s="256" t="inlineStr">
        <is>
          <t>9.1</t>
        </is>
      </c>
      <c r="H3276" s="256" t="inlineStr">
        <is>
          <t>TAMC</t>
        </is>
      </c>
      <c r="I3276" s="256" t="inlineStr">
        <is>
          <t>Ph. Eur. 2.6.12 cat. C</t>
        </is>
      </c>
      <c r="J3276" s="256" t="inlineStr">
        <is>
          <t>≤ 10⁵ CFU/g</t>
        </is>
      </c>
      <c r="K3276" s="256" t="inlineStr">
        <is>
          <t>9,8 × 10³</t>
        </is>
      </c>
      <c r="L3276" s="256" t="inlineStr">
        <is>
          <t>537/1068/26</t>
        </is>
      </c>
      <c r="M3276" s="256" t="inlineStr">
        <is>
          <t>31.08.2026</t>
        </is>
      </c>
      <c r="N3276" s="256" t="inlineStr">
        <is>
          <t>IPH — Institute of Public Health</t>
        </is>
      </c>
      <c r="O3276" s="256" t="inlineStr">
        <is>
          <t>25.08.2026</t>
        </is>
      </c>
      <c r="P3276" s="256" t="inlineStr">
        <is>
          <t>covered</t>
        </is>
      </c>
      <c r="Q3276" s="256" t="inlineStr"/>
      <c r="R3276" s="256" t="inlineStr"/>
    </row>
    <row r="3277">
      <c r="A3277" s="256" t="inlineStr">
        <is>
          <t>CoQ-PP_26-143</t>
        </is>
      </c>
      <c r="B3277" s="256" t="inlineStr">
        <is>
          <t>reissue — retest</t>
        </is>
      </c>
      <c r="C3277" s="256" t="inlineStr">
        <is>
          <t>FB012603</t>
        </is>
      </c>
      <c r="D3277" s="256" t="inlineStr">
        <is>
          <t>— no P lot assigned —</t>
        </is>
      </c>
      <c r="E3277" s="256" t="inlineStr">
        <is>
          <t>Fat Bastard</t>
        </is>
      </c>
      <c r="F3277" s="256" t="inlineStr">
        <is>
          <t>21.09.2026</t>
        </is>
      </c>
      <c r="G3277" s="256" t="inlineStr">
        <is>
          <t>9.2</t>
        </is>
      </c>
      <c r="H3277" s="256" t="inlineStr">
        <is>
          <t>TYMC</t>
        </is>
      </c>
      <c r="I3277" s="256" t="inlineStr">
        <is>
          <t>Ph. Eur. 2.6.12 cat. C</t>
        </is>
      </c>
      <c r="J3277" s="256" t="inlineStr">
        <is>
          <t>≤ 10⁴ CFU/g</t>
        </is>
      </c>
      <c r="K3277" s="256" t="inlineStr">
        <is>
          <t>2,5 × 10³</t>
        </is>
      </c>
      <c r="L3277" s="256" t="inlineStr">
        <is>
          <t>537/1068/26</t>
        </is>
      </c>
      <c r="M3277" s="256" t="inlineStr">
        <is>
          <t>31.08.2026</t>
        </is>
      </c>
      <c r="N3277" s="256" t="inlineStr">
        <is>
          <t>IPH — Institute of Public Health</t>
        </is>
      </c>
      <c r="O3277" s="256" t="inlineStr">
        <is>
          <t>25.08.2026</t>
        </is>
      </c>
      <c r="P3277" s="256" t="inlineStr">
        <is>
          <t>covered</t>
        </is>
      </c>
      <c r="Q3277" s="256" t="inlineStr"/>
      <c r="R3277" s="256" t="inlineStr"/>
    </row>
    <row r="3278">
      <c r="A3278" s="256" t="inlineStr">
        <is>
          <t>CoQ-PP_26-143</t>
        </is>
      </c>
      <c r="B3278" s="256" t="inlineStr">
        <is>
          <t>reissue — retest</t>
        </is>
      </c>
      <c r="C3278" s="256" t="inlineStr">
        <is>
          <t>FB012603</t>
        </is>
      </c>
      <c r="D3278" s="256" t="inlineStr">
        <is>
          <t>— no P lot assigned —</t>
        </is>
      </c>
      <c r="E3278" s="256" t="inlineStr">
        <is>
          <t>Fat Bastard</t>
        </is>
      </c>
      <c r="F3278" s="256" t="inlineStr">
        <is>
          <t>21.09.2026</t>
        </is>
      </c>
      <c r="G3278" s="256" t="inlineStr">
        <is>
          <t>9.3</t>
        </is>
      </c>
      <c r="H3278" s="256" t="inlineStr">
        <is>
          <t>Bile-tolerant gram-neg.</t>
        </is>
      </c>
      <c r="I3278" s="256" t="inlineStr">
        <is>
          <t>Ph. Eur. 2.6.31 cat. C</t>
        </is>
      </c>
      <c r="J3278" s="256" t="inlineStr">
        <is>
          <t>≤ 10⁴ CFU/g</t>
        </is>
      </c>
      <c r="K3278" s="256" t="inlineStr">
        <is>
          <t>&lt; 10² and &gt; 10</t>
        </is>
      </c>
      <c r="L3278" s="256" t="inlineStr">
        <is>
          <t>537/1068/26</t>
        </is>
      </c>
      <c r="M3278" s="256" t="inlineStr">
        <is>
          <t>31.08.2026</t>
        </is>
      </c>
      <c r="N3278" s="256" t="inlineStr">
        <is>
          <t>IPH — Institute of Public Health</t>
        </is>
      </c>
      <c r="O3278" s="256" t="inlineStr">
        <is>
          <t>25.08.2026</t>
        </is>
      </c>
      <c r="P3278" s="256" t="inlineStr">
        <is>
          <t>covered</t>
        </is>
      </c>
      <c r="Q3278" s="256" t="inlineStr"/>
      <c r="R3278" s="256" t="inlineStr"/>
    </row>
    <row r="3279">
      <c r="A3279" s="256" t="inlineStr">
        <is>
          <t>CoQ-PP_26-143</t>
        </is>
      </c>
      <c r="B3279" s="256" t="inlineStr">
        <is>
          <t>reissue — retest</t>
        </is>
      </c>
      <c r="C3279" s="256" t="inlineStr">
        <is>
          <t>FB012603</t>
        </is>
      </c>
      <c r="D3279" s="256" t="inlineStr">
        <is>
          <t>— no P lot assigned —</t>
        </is>
      </c>
      <c r="E3279" s="256" t="inlineStr">
        <is>
          <t>Fat Bastard</t>
        </is>
      </c>
      <c r="F3279" s="256" t="inlineStr">
        <is>
          <t>21.09.2026</t>
        </is>
      </c>
      <c r="G3279" s="256" t="inlineStr">
        <is>
          <t>9.4</t>
        </is>
      </c>
      <c r="H3279" s="256" t="inlineStr">
        <is>
          <t>Salmonella</t>
        </is>
      </c>
      <c r="I3279" s="256" t="inlineStr">
        <is>
          <t>Ph. Eur. 2.6.31 cat. C</t>
        </is>
      </c>
      <c r="J3279" s="256" t="inlineStr">
        <is>
          <t>Absence | Отсуство / 25 g</t>
        </is>
      </c>
      <c r="K3279" s="256" t="inlineStr">
        <is>
          <t>Absent | Отсутна</t>
        </is>
      </c>
      <c r="L3279" s="256" t="inlineStr">
        <is>
          <t>537/1068/26</t>
        </is>
      </c>
      <c r="M3279" s="256" t="inlineStr">
        <is>
          <t>31.08.2026</t>
        </is>
      </c>
      <c r="N3279" s="256" t="inlineStr">
        <is>
          <t>IPH — Institute of Public Health</t>
        </is>
      </c>
      <c r="O3279" s="256" t="inlineStr">
        <is>
          <t>25.08.2026</t>
        </is>
      </c>
      <c r="P3279" s="256" t="inlineStr">
        <is>
          <t>covered</t>
        </is>
      </c>
      <c r="Q3279" s="256" t="inlineStr"/>
      <c r="R3279" s="256" t="inlineStr"/>
    </row>
    <row r="3280">
      <c r="A3280" s="256" t="inlineStr">
        <is>
          <t>CoQ-PP_26-143</t>
        </is>
      </c>
      <c r="B3280" s="256" t="inlineStr">
        <is>
          <t>reissue — retest</t>
        </is>
      </c>
      <c r="C3280" s="256" t="inlineStr">
        <is>
          <t>FB012603</t>
        </is>
      </c>
      <c r="D3280" s="256" t="inlineStr">
        <is>
          <t>— no P lot assigned —</t>
        </is>
      </c>
      <c r="E3280" s="256" t="inlineStr">
        <is>
          <t>Fat Bastard</t>
        </is>
      </c>
      <c r="F3280" s="256" t="inlineStr">
        <is>
          <t>21.09.2026</t>
        </is>
      </c>
      <c r="G3280" s="256" t="inlineStr">
        <is>
          <t>9.5</t>
        </is>
      </c>
      <c r="H3280" s="256" t="inlineStr">
        <is>
          <t>Escherichia coli</t>
        </is>
      </c>
      <c r="I3280" s="256" t="inlineStr">
        <is>
          <t>Ph. Eur. 2.6.13 cat. C</t>
        </is>
      </c>
      <c r="J3280" s="256" t="inlineStr">
        <is>
          <t>Absence | Отсуство / 1 g</t>
        </is>
      </c>
      <c r="K3280" s="256" t="inlineStr">
        <is>
          <t>Absent | Отсутна</t>
        </is>
      </c>
      <c r="L3280" s="256" t="inlineStr">
        <is>
          <t>537/1068/26</t>
        </is>
      </c>
      <c r="M3280" s="256" t="inlineStr">
        <is>
          <t>31.08.2026</t>
        </is>
      </c>
      <c r="N3280" s="256" t="inlineStr">
        <is>
          <t>IPH — Institute of Public Health</t>
        </is>
      </c>
      <c r="O3280" s="256" t="inlineStr">
        <is>
          <t>25.08.2026</t>
        </is>
      </c>
      <c r="P3280" s="256" t="inlineStr">
        <is>
          <t>covered</t>
        </is>
      </c>
      <c r="Q3280" s="256" t="inlineStr"/>
      <c r="R3280" s="256" t="inlineStr"/>
    </row>
    <row r="3281">
      <c r="A3281" s="256" t="inlineStr">
        <is>
          <t>CoQ-PP_26-143</t>
        </is>
      </c>
      <c r="B3281" s="256" t="inlineStr">
        <is>
          <t>reissue — retest</t>
        </is>
      </c>
      <c r="C3281" s="256" t="inlineStr">
        <is>
          <t>FB012603</t>
        </is>
      </c>
      <c r="D3281" s="256" t="inlineStr">
        <is>
          <t>— no P lot assigned —</t>
        </is>
      </c>
      <c r="E3281" s="256" t="inlineStr">
        <is>
          <t>Fat Bastard</t>
        </is>
      </c>
      <c r="F3281" s="256" t="inlineStr">
        <is>
          <t>21.09.2026</t>
        </is>
      </c>
      <c r="G3281" s="256" t="inlineStr">
        <is>
          <t>9.6</t>
        </is>
      </c>
      <c r="H3281" s="256" t="inlineStr">
        <is>
          <t>Pseudomonas aeruginosa</t>
        </is>
      </c>
      <c r="I3281" s="256" t="inlineStr">
        <is>
          <t>Ph. Eur. 2.6.13 cat. C</t>
        </is>
      </c>
      <c r="J3281" s="256" t="inlineStr">
        <is>
          <t>Absence | Отсуство / 1 g</t>
        </is>
      </c>
      <c r="K3281" s="260" t="inlineStr">
        <is>
          <t>upon request — not required for release</t>
        </is>
      </c>
      <c r="L3281" s="256" t="inlineStr">
        <is>
          <t>—</t>
        </is>
      </c>
      <c r="M3281" s="256" t="inlineStr">
        <is>
          <t>—</t>
        </is>
      </c>
      <c r="N3281" s="256" t="inlineStr">
        <is>
          <t>—</t>
        </is>
      </c>
      <c r="O3281" s="256" t="inlineStr">
        <is>
          <t>—</t>
        </is>
      </c>
      <c r="P3281" s="256" t="inlineStr">
        <is>
          <t>upon request — not required for release</t>
        </is>
      </c>
      <c r="Q3281" s="256" t="inlineStr"/>
      <c r="R3281" s="256" t="inlineStr"/>
    </row>
    <row r="3282">
      <c r="A3282" s="256" t="inlineStr">
        <is>
          <t>CoQ-PP_26-143</t>
        </is>
      </c>
      <c r="B3282" s="256" t="inlineStr">
        <is>
          <t>reissue — retest</t>
        </is>
      </c>
      <c r="C3282" s="256" t="inlineStr">
        <is>
          <t>FB012603</t>
        </is>
      </c>
      <c r="D3282" s="256" t="inlineStr">
        <is>
          <t>— no P lot assigned —</t>
        </is>
      </c>
      <c r="E3282" s="256" t="inlineStr">
        <is>
          <t>Fat Bastard</t>
        </is>
      </c>
      <c r="F3282" s="256" t="inlineStr">
        <is>
          <t>21.09.2026</t>
        </is>
      </c>
      <c r="G3282" s="256" t="inlineStr">
        <is>
          <t>9.7</t>
        </is>
      </c>
      <c r="H3282" s="256" t="inlineStr">
        <is>
          <t>Staphylococcus aureus</t>
        </is>
      </c>
      <c r="I3282" s="256" t="inlineStr">
        <is>
          <t>Ph. Eur. 2.6.13 cat. C</t>
        </is>
      </c>
      <c r="J3282" s="256" t="inlineStr">
        <is>
          <t>Absence | Отсуство / 1 g</t>
        </is>
      </c>
      <c r="K3282" s="260" t="inlineStr">
        <is>
          <t>upon request — not required for release</t>
        </is>
      </c>
      <c r="L3282" s="256" t="inlineStr">
        <is>
          <t>—</t>
        </is>
      </c>
      <c r="M3282" s="256" t="inlineStr">
        <is>
          <t>—</t>
        </is>
      </c>
      <c r="N3282" s="256" t="inlineStr">
        <is>
          <t>—</t>
        </is>
      </c>
      <c r="O3282" s="256" t="inlineStr">
        <is>
          <t>—</t>
        </is>
      </c>
      <c r="P3282" s="256" t="inlineStr">
        <is>
          <t>upon request — not required for release</t>
        </is>
      </c>
      <c r="Q3282" s="256" t="inlineStr"/>
      <c r="R3282" s="256" t="inlineStr"/>
    </row>
    <row r="3283">
      <c r="A3283" s="256" t="inlineStr">
        <is>
          <t>CoQ-PP_26-143</t>
        </is>
      </c>
      <c r="B3283" s="256" t="inlineStr">
        <is>
          <t>reissue — retest</t>
        </is>
      </c>
      <c r="C3283" s="256" t="inlineStr">
        <is>
          <t>FB012603</t>
        </is>
      </c>
      <c r="D3283" s="256" t="inlineStr">
        <is>
          <t>— no P lot assigned —</t>
        </is>
      </c>
      <c r="E3283" s="256" t="inlineStr">
        <is>
          <t>Fat Bastard</t>
        </is>
      </c>
      <c r="F3283" s="256" t="inlineStr">
        <is>
          <t>21.09.2026</t>
        </is>
      </c>
      <c r="G3283" s="256" t="inlineStr">
        <is>
          <t>10.1</t>
        </is>
      </c>
      <c r="H3283" s="256" t="inlineStr">
        <is>
          <t>Aflatoxin B₁</t>
        </is>
      </c>
      <c r="I3283" s="256" t="inlineStr">
        <is>
          <t>Ph. Eur. 2.8.18 (HPLC-FLD)</t>
        </is>
      </c>
      <c r="J3283" s="256" t="inlineStr">
        <is>
          <t>≤ 2 µg/kg</t>
        </is>
      </c>
      <c r="K3283" s="256" t="inlineStr">
        <is>
          <t>ND</t>
        </is>
      </c>
      <c r="L3283" s="256" t="inlineStr">
        <is>
          <t>227-24-М/26</t>
        </is>
      </c>
      <c r="M3283" s="256" t="inlineStr">
        <is>
          <t>16.09.2026</t>
        </is>
      </c>
      <c r="N3283" s="256" t="inlineStr">
        <is>
          <t>Farmahem</t>
        </is>
      </c>
      <c r="O3283" s="256" t="inlineStr">
        <is>
          <t>—</t>
        </is>
      </c>
      <c r="P3283" s="256" t="inlineStr">
        <is>
          <t>covered</t>
        </is>
      </c>
      <c r="Q3283" s="256" t="inlineStr"/>
      <c r="R3283" s="256" t="inlineStr"/>
    </row>
    <row r="3284">
      <c r="A3284" s="256" t="inlineStr">
        <is>
          <t>CoQ-PP_26-143</t>
        </is>
      </c>
      <c r="B3284" s="256" t="inlineStr">
        <is>
          <t>reissue — retest</t>
        </is>
      </c>
      <c r="C3284" s="256" t="inlineStr">
        <is>
          <t>FB012603</t>
        </is>
      </c>
      <c r="D3284" s="256" t="inlineStr">
        <is>
          <t>— no P lot assigned —</t>
        </is>
      </c>
      <c r="E3284" s="256" t="inlineStr">
        <is>
          <t>Fat Bastard</t>
        </is>
      </c>
      <c r="F3284" s="256" t="inlineStr">
        <is>
          <t>21.09.2026</t>
        </is>
      </c>
      <c r="G3284" s="256" t="inlineStr">
        <is>
          <t>10.2</t>
        </is>
      </c>
      <c r="H3284" s="256" t="inlineStr">
        <is>
          <t>Aflatoxins ∑</t>
        </is>
      </c>
      <c r="I3284" s="256" t="inlineStr">
        <is>
          <t>Ph. Eur. 2.8.18 (HPLC-FLD)</t>
        </is>
      </c>
      <c r="J3284" s="256" t="inlineStr">
        <is>
          <t>≤ 4 µg/kg</t>
        </is>
      </c>
      <c r="K3284" s="256" t="inlineStr">
        <is>
          <t>ND</t>
        </is>
      </c>
      <c r="L3284" s="256" t="inlineStr">
        <is>
          <t>227-24-М/26</t>
        </is>
      </c>
      <c r="M3284" s="256" t="inlineStr">
        <is>
          <t>16.09.2026</t>
        </is>
      </c>
      <c r="N3284" s="256" t="inlineStr">
        <is>
          <t>Farmahem</t>
        </is>
      </c>
      <c r="O3284" s="256" t="inlineStr">
        <is>
          <t>—</t>
        </is>
      </c>
      <c r="P3284" s="256" t="inlineStr">
        <is>
          <t>covered</t>
        </is>
      </c>
      <c r="Q3284" s="256" t="inlineStr"/>
      <c r="R3284" s="256" t="inlineStr"/>
    </row>
    <row r="3285">
      <c r="A3285" s="256" t="inlineStr">
        <is>
          <t>CoQ-PP_26-143</t>
        </is>
      </c>
      <c r="B3285" s="256" t="inlineStr">
        <is>
          <t>reissue — retest</t>
        </is>
      </c>
      <c r="C3285" s="256" t="inlineStr">
        <is>
          <t>FB012603</t>
        </is>
      </c>
      <c r="D3285" s="256" t="inlineStr">
        <is>
          <t>— no P lot assigned —</t>
        </is>
      </c>
      <c r="E3285" s="256" t="inlineStr">
        <is>
          <t>Fat Bastard</t>
        </is>
      </c>
      <c r="F3285" s="256" t="inlineStr">
        <is>
          <t>21.09.2026</t>
        </is>
      </c>
      <c r="G3285" s="256" t="inlineStr">
        <is>
          <t>10.3</t>
        </is>
      </c>
      <c r="H3285" s="256" t="inlineStr">
        <is>
          <t>Ochratoxin A</t>
        </is>
      </c>
      <c r="I3285" s="256" t="inlineStr">
        <is>
          <t>Ph. Eur. 2.8.22 (HPLC-FLD)</t>
        </is>
      </c>
      <c r="J3285" s="256" t="inlineStr">
        <is>
          <t>≤ 20 µg/kg</t>
        </is>
      </c>
      <c r="K3285" s="256" t="inlineStr">
        <is>
          <t>ND</t>
        </is>
      </c>
      <c r="L3285" s="256" t="inlineStr">
        <is>
          <t>227-24-М/26</t>
        </is>
      </c>
      <c r="M3285" s="256" t="inlineStr">
        <is>
          <t>16.09.2026</t>
        </is>
      </c>
      <c r="N3285" s="256" t="inlineStr">
        <is>
          <t>Farmahem</t>
        </is>
      </c>
      <c r="O3285" s="256" t="inlineStr">
        <is>
          <t>—</t>
        </is>
      </c>
      <c r="P3285" s="256" t="inlineStr">
        <is>
          <t>covered</t>
        </is>
      </c>
      <c r="Q3285" s="256" t="inlineStr"/>
      <c r="R3285" s="256" t="inlineStr"/>
    </row>
    <row r="3286">
      <c r="A3286" s="256" t="inlineStr">
        <is>
          <t>CoQ-PP_26-143</t>
        </is>
      </c>
      <c r="B3286" s="256" t="inlineStr">
        <is>
          <t>reissue — retest</t>
        </is>
      </c>
      <c r="C3286" s="256" t="inlineStr">
        <is>
          <t>FB012603</t>
        </is>
      </c>
      <c r="D3286" s="256" t="inlineStr">
        <is>
          <t>— no P lot assigned —</t>
        </is>
      </c>
      <c r="E3286" s="256" t="inlineStr">
        <is>
          <t>Fat Bastard</t>
        </is>
      </c>
      <c r="F3286" s="256" t="inlineStr">
        <is>
          <t>21.09.2026</t>
        </is>
      </c>
      <c r="G3286" s="256" t="inlineStr">
        <is>
          <t>11.1</t>
        </is>
      </c>
      <c r="H3286" s="256" t="inlineStr">
        <is>
          <t>Lead (Pb)</t>
        </is>
      </c>
      <c r="I3286" s="256" t="inlineStr">
        <is>
          <t>Ph. Eur. 2.4.27 (ICP-MS)</t>
        </is>
      </c>
      <c r="J3286" s="256" t="inlineStr">
        <is>
          <t>≤ 0.5 mg/kg</t>
        </is>
      </c>
      <c r="K3286" s="256" t="inlineStr">
        <is>
          <t>carried from the initial testing — not tested</t>
        </is>
      </c>
      <c r="L3286" s="256" t="inlineStr">
        <is>
          <t>—</t>
        </is>
      </c>
      <c r="M3286" s="256" t="inlineStr">
        <is>
          <t>—</t>
        </is>
      </c>
      <c r="N3286" s="256" t="inlineStr">
        <is>
          <t>—</t>
        </is>
      </c>
      <c r="O3286" s="256" t="inlineStr">
        <is>
          <t>—</t>
        </is>
      </c>
      <c r="P3286" s="256" t="inlineStr">
        <is>
          <t>carried from the initial testing (the batch's initial CoQ (number assigned on issue)) — not tested — no certificate covers it</t>
        </is>
      </c>
      <c r="Q3286" s="256" t="inlineStr"/>
      <c r="R3286" s="256" t="inlineStr"/>
    </row>
    <row r="3287">
      <c r="A3287" s="256" t="inlineStr">
        <is>
          <t>CoQ-PP_26-143</t>
        </is>
      </c>
      <c r="B3287" s="256" t="inlineStr">
        <is>
          <t>reissue — retest</t>
        </is>
      </c>
      <c r="C3287" s="256" t="inlineStr">
        <is>
          <t>FB012603</t>
        </is>
      </c>
      <c r="D3287" s="256" t="inlineStr">
        <is>
          <t>— no P lot assigned —</t>
        </is>
      </c>
      <c r="E3287" s="256" t="inlineStr">
        <is>
          <t>Fat Bastard</t>
        </is>
      </c>
      <c r="F3287" s="256" t="inlineStr">
        <is>
          <t>21.09.2026</t>
        </is>
      </c>
      <c r="G3287" s="256" t="inlineStr">
        <is>
          <t>11.2</t>
        </is>
      </c>
      <c r="H3287" s="256" t="inlineStr">
        <is>
          <t>Cadmium (Cd)</t>
        </is>
      </c>
      <c r="I3287" s="256" t="inlineStr">
        <is>
          <t>Ph. Eur. 2.4.27 (ICP-MS)</t>
        </is>
      </c>
      <c r="J3287" s="256" t="inlineStr">
        <is>
          <t>≤ 0.3 mg/kg</t>
        </is>
      </c>
      <c r="K3287" s="256" t="inlineStr">
        <is>
          <t>carried from the initial testing — not tested</t>
        </is>
      </c>
      <c r="L3287" s="256" t="inlineStr">
        <is>
          <t>—</t>
        </is>
      </c>
      <c r="M3287" s="256" t="inlineStr">
        <is>
          <t>—</t>
        </is>
      </c>
      <c r="N3287" s="256" t="inlineStr">
        <is>
          <t>—</t>
        </is>
      </c>
      <c r="O3287" s="256" t="inlineStr">
        <is>
          <t>—</t>
        </is>
      </c>
      <c r="P3287" s="256" t="inlineStr">
        <is>
          <t>carried from the initial testing (the batch's initial CoQ (number assigned on issue)) — not tested — no certificate covers it</t>
        </is>
      </c>
      <c r="Q3287" s="256" t="inlineStr"/>
      <c r="R3287" s="256" t="inlineStr"/>
    </row>
    <row r="3288">
      <c r="A3288" s="256" t="inlineStr">
        <is>
          <t>CoQ-PP_26-143</t>
        </is>
      </c>
      <c r="B3288" s="256" t="inlineStr">
        <is>
          <t>reissue — retest</t>
        </is>
      </c>
      <c r="C3288" s="256" t="inlineStr">
        <is>
          <t>FB012603</t>
        </is>
      </c>
      <c r="D3288" s="256" t="inlineStr">
        <is>
          <t>— no P lot assigned —</t>
        </is>
      </c>
      <c r="E3288" s="256" t="inlineStr">
        <is>
          <t>Fat Bastard</t>
        </is>
      </c>
      <c r="F3288" s="256" t="inlineStr">
        <is>
          <t>21.09.2026</t>
        </is>
      </c>
      <c r="G3288" s="256" t="inlineStr">
        <is>
          <t>11.3</t>
        </is>
      </c>
      <c r="H3288" s="256" t="inlineStr">
        <is>
          <t>Arsenic (As)</t>
        </is>
      </c>
      <c r="I3288" s="256" t="inlineStr">
        <is>
          <t>Ph. Eur. 2.4.27 (ICP-MS)</t>
        </is>
      </c>
      <c r="J3288" s="256" t="inlineStr">
        <is>
          <t>≤ 0.2 mg/kg</t>
        </is>
      </c>
      <c r="K3288" s="256" t="inlineStr">
        <is>
          <t>carried from the initial testing — not tested</t>
        </is>
      </c>
      <c r="L3288" s="256" t="inlineStr">
        <is>
          <t>—</t>
        </is>
      </c>
      <c r="M3288" s="256" t="inlineStr">
        <is>
          <t>—</t>
        </is>
      </c>
      <c r="N3288" s="256" t="inlineStr">
        <is>
          <t>—</t>
        </is>
      </c>
      <c r="O3288" s="256" t="inlineStr">
        <is>
          <t>—</t>
        </is>
      </c>
      <c r="P3288" s="256" t="inlineStr">
        <is>
          <t>carried from the initial testing (the batch's initial CoQ (number assigned on issue)) — not tested — no certificate covers it</t>
        </is>
      </c>
      <c r="Q3288" s="256" t="inlineStr"/>
      <c r="R3288" s="256" t="inlineStr"/>
    </row>
    <row r="3289">
      <c r="A3289" s="256" t="inlineStr">
        <is>
          <t>CoQ-PP_26-143</t>
        </is>
      </c>
      <c r="B3289" s="256" t="inlineStr">
        <is>
          <t>reissue — retest</t>
        </is>
      </c>
      <c r="C3289" s="256" t="inlineStr">
        <is>
          <t>FB012603</t>
        </is>
      </c>
      <c r="D3289" s="256" t="inlineStr">
        <is>
          <t>— no P lot assigned —</t>
        </is>
      </c>
      <c r="E3289" s="256" t="inlineStr">
        <is>
          <t>Fat Bastard</t>
        </is>
      </c>
      <c r="F3289" s="256" t="inlineStr">
        <is>
          <t>21.09.2026</t>
        </is>
      </c>
      <c r="G3289" s="256" t="inlineStr">
        <is>
          <t>11.4</t>
        </is>
      </c>
      <c r="H3289" s="256" t="inlineStr">
        <is>
          <t>Mercury (Hg)</t>
        </is>
      </c>
      <c r="I3289" s="256" t="inlineStr">
        <is>
          <t>Ph. Eur. 2.4.27 (ICP-MS)</t>
        </is>
      </c>
      <c r="J3289" s="256" t="inlineStr">
        <is>
          <t>≤ 0.1 mg/kg</t>
        </is>
      </c>
      <c r="K3289" s="256" t="inlineStr">
        <is>
          <t>carried from the initial testing — not tested</t>
        </is>
      </c>
      <c r="L3289" s="256" t="inlineStr">
        <is>
          <t>—</t>
        </is>
      </c>
      <c r="M3289" s="256" t="inlineStr">
        <is>
          <t>—</t>
        </is>
      </c>
      <c r="N3289" s="256" t="inlineStr">
        <is>
          <t>—</t>
        </is>
      </c>
      <c r="O3289" s="256" t="inlineStr">
        <is>
          <t>—</t>
        </is>
      </c>
      <c r="P3289" s="256" t="inlineStr">
        <is>
          <t>carried from the initial testing (the batch's initial CoQ (number assigned on issue)) — not tested — no certificate covers it</t>
        </is>
      </c>
      <c r="Q3289" s="256" t="inlineStr"/>
      <c r="R3289" s="256" t="inlineStr"/>
    </row>
    <row r="3290">
      <c r="A3290" s="256" t="inlineStr">
        <is>
          <t>CoQ-PP_26-143</t>
        </is>
      </c>
      <c r="B3290" s="256" t="inlineStr">
        <is>
          <t>reissue — retest</t>
        </is>
      </c>
      <c r="C3290" s="256" t="inlineStr">
        <is>
          <t>FB012603</t>
        </is>
      </c>
      <c r="D3290" s="256" t="inlineStr">
        <is>
          <t>— no P lot assigned —</t>
        </is>
      </c>
      <c r="E3290" s="256" t="inlineStr">
        <is>
          <t>Fat Bastard</t>
        </is>
      </c>
      <c r="F3290" s="256" t="inlineStr">
        <is>
          <t>21.09.2026</t>
        </is>
      </c>
      <c r="G3290" s="256" t="inlineStr">
        <is>
          <t>12</t>
        </is>
      </c>
      <c r="H3290" s="256" t="inlineStr">
        <is>
          <t>Pesticide Residues</t>
        </is>
      </c>
      <c r="I3290" s="256" t="inlineStr">
        <is>
          <t>Ph. Eur. 2.8.13 (LC-MS/MS) · CUMCS Equivalency</t>
        </is>
      </c>
      <c r="J3290" s="256" t="inlineStr">
        <is>
          <t>≤ LOQ as per Ph. Eur. 2.8.13 · ≤ LOQ as per CUMCS Equivalency</t>
        </is>
      </c>
      <c r="K3290" s="256" t="inlineStr">
        <is>
          <t>carried from the initial testing — not tested</t>
        </is>
      </c>
      <c r="L3290" s="256" t="inlineStr">
        <is>
          <t>—</t>
        </is>
      </c>
      <c r="M3290" s="256" t="inlineStr">
        <is>
          <t>—</t>
        </is>
      </c>
      <c r="N3290" s="256" t="inlineStr">
        <is>
          <t>—</t>
        </is>
      </c>
      <c r="O3290" s="256" t="inlineStr">
        <is>
          <t>—</t>
        </is>
      </c>
      <c r="P3290" s="256" t="inlineStr">
        <is>
          <t>carried from the initial testing (the batch's initial CoQ (number assigned on issue)) — not tested — no certificate covers it</t>
        </is>
      </c>
      <c r="Q3290" s="256" t="inlineStr"/>
      <c r="R3290" s="256" t="inlineStr"/>
    </row>
    <row r="3291">
      <c r="A3291" s="256" t="inlineStr">
        <is>
          <t>CoQ-PP_26-144</t>
        </is>
      </c>
      <c r="B3291" s="256" t="inlineStr">
        <is>
          <t>reissue — retest</t>
        </is>
      </c>
      <c r="C3291" s="256" t="inlineStr">
        <is>
          <t>FB012603V</t>
        </is>
      </c>
      <c r="D3291" s="256" t="inlineStr">
        <is>
          <t>— no P lot assigned —</t>
        </is>
      </c>
      <c r="E3291" s="256" t="inlineStr">
        <is>
          <t>Fat Bastard</t>
        </is>
      </c>
      <c r="F3291" s="256" t="inlineStr">
        <is>
          <t>21.09.2026</t>
        </is>
      </c>
      <c r="G3291" s="256" t="inlineStr">
        <is>
          <t>1</t>
        </is>
      </c>
      <c r="H3291" s="256" t="inlineStr">
        <is>
          <t>Identification A, Appearance · Macroscopic</t>
        </is>
      </c>
      <c r="I3291" s="256" t="inlineStr">
        <is>
          <t>Ph. Eur. mon. 3028</t>
        </is>
      </c>
      <c r="J3291" s="256" t="inlineStr">
        <is>
          <t>Conforms to the monograph for Cannabis flos (07/2024:3028) in Ph. Eur. 11.0 | Согласно монографија за Cannabis flos (07/2024:3028) во Ph. Eur. 11.0</t>
        </is>
      </c>
      <c r="K3291" s="256" t="inlineStr">
        <is>
          <t>Conforms | Одговара</t>
        </is>
      </c>
      <c r="L3291" s="256" t="inlineStr">
        <is>
          <t>ППК26110</t>
        </is>
      </c>
      <c r="M3291" s="256" t="inlineStr">
        <is>
          <t>30.06.2026</t>
        </is>
      </c>
      <c r="N3291" s="256" t="inlineStr">
        <is>
          <t>UKIM Faculty of Pharmacy — Center for Natural Products</t>
        </is>
      </c>
      <c r="O3291" s="256" t="inlineStr">
        <is>
          <t>17.06.2026</t>
        </is>
      </c>
      <c r="P3291" s="256" t="inlineStr">
        <is>
          <t>carried from the initial testing (the batch's initial CoQ (number assigned on issue)) — covered</t>
        </is>
      </c>
      <c r="Q3291" s="256" t="inlineStr"/>
      <c r="R3291" s="256" t="inlineStr"/>
    </row>
    <row r="3292">
      <c r="A3292" s="256" t="inlineStr">
        <is>
          <t>CoQ-PP_26-144</t>
        </is>
      </c>
      <c r="B3292" s="256" t="inlineStr">
        <is>
          <t>reissue — retest</t>
        </is>
      </c>
      <c r="C3292" s="256" t="inlineStr">
        <is>
          <t>FB012603V</t>
        </is>
      </c>
      <c r="D3292" s="256" t="inlineStr">
        <is>
          <t>— no P lot assigned —</t>
        </is>
      </c>
      <c r="E3292" s="256" t="inlineStr">
        <is>
          <t>Fat Bastard</t>
        </is>
      </c>
      <c r="F3292" s="256" t="inlineStr">
        <is>
          <t>21.09.2026</t>
        </is>
      </c>
      <c r="G3292" s="256" t="inlineStr">
        <is>
          <t>2</t>
        </is>
      </c>
      <c r="H3292" s="256" t="inlineStr">
        <is>
          <t>Identification B · Microscopic</t>
        </is>
      </c>
      <c r="I3292" s="256" t="inlineStr">
        <is>
          <t>Ph. Eur. 2.8.23 (microscopy)</t>
        </is>
      </c>
      <c r="J3292" s="256" t="inlineStr">
        <is>
          <t>Conforms to the monograph for Cannabis flos (07/2024:3028) in Ph. Eur. 11.0 | Согласно монографија за Cannabis flos (07/2024:3028) во Ph. Eur. 11.0</t>
        </is>
      </c>
      <c r="K3292" s="256" t="inlineStr">
        <is>
          <t>Conforms | Одговара</t>
        </is>
      </c>
      <c r="L3292" s="256" t="inlineStr">
        <is>
          <t>ППК26110</t>
        </is>
      </c>
      <c r="M3292" s="256" t="inlineStr">
        <is>
          <t>30.06.2026</t>
        </is>
      </c>
      <c r="N3292" s="256" t="inlineStr">
        <is>
          <t>UKIM Faculty of Pharmacy — Center for Natural Products</t>
        </is>
      </c>
      <c r="O3292" s="256" t="inlineStr">
        <is>
          <t>17.06.2026</t>
        </is>
      </c>
      <c r="P3292" s="256" t="inlineStr">
        <is>
          <t>carried from the initial testing (the batch's initial CoQ (number assigned on issue)) — covered</t>
        </is>
      </c>
      <c r="Q3292" s="256" t="inlineStr"/>
      <c r="R3292" s="256" t="inlineStr"/>
    </row>
    <row r="3293">
      <c r="A3293" s="256" t="inlineStr">
        <is>
          <t>CoQ-PP_26-144</t>
        </is>
      </c>
      <c r="B3293" s="256" t="inlineStr">
        <is>
          <t>reissue — retest</t>
        </is>
      </c>
      <c r="C3293" s="256" t="inlineStr">
        <is>
          <t>FB012603V</t>
        </is>
      </c>
      <c r="D3293" s="256" t="inlineStr">
        <is>
          <t>— no P lot assigned —</t>
        </is>
      </c>
      <c r="E3293" s="256" t="inlineStr">
        <is>
          <t>Fat Bastard</t>
        </is>
      </c>
      <c r="F3293" s="256" t="inlineStr">
        <is>
          <t>21.09.2026</t>
        </is>
      </c>
      <c r="G3293" s="256" t="inlineStr">
        <is>
          <t>3</t>
        </is>
      </c>
      <c r="H3293" s="256" t="inlineStr">
        <is>
          <t>Identification C · HPLC/HPTLC</t>
        </is>
      </c>
      <c r="I3293" s="256" t="inlineStr">
        <is>
          <t>Ph. Eur. 2.2.29 (3028)</t>
        </is>
      </c>
      <c r="J3293" s="256" t="inlineStr">
        <is>
          <t>Conforms to the monograph for Cannabis flos (07/2024:3028) in Ph. Eur. 11.0 | Согласно монографија за Cannabis flos (07/2024:3028) во Ph. Eur. 11.0</t>
        </is>
      </c>
      <c r="K3293" s="256" t="inlineStr">
        <is>
          <t>Conforms | Одговара</t>
        </is>
      </c>
      <c r="L3293" s="256" t="inlineStr">
        <is>
          <t>227-23-К/26</t>
        </is>
      </c>
      <c r="M3293" s="256" t="inlineStr">
        <is>
          <t>11.09.2026</t>
        </is>
      </c>
      <c r="N3293" s="256" t="inlineStr">
        <is>
          <t>Farmahem</t>
        </is>
      </c>
      <c r="O3293" s="256" t="inlineStr">
        <is>
          <t>24.08.2026</t>
        </is>
      </c>
      <c r="P3293" s="256" t="inlineStr">
        <is>
          <t>covered</t>
        </is>
      </c>
      <c r="Q3293" s="256" t="inlineStr"/>
      <c r="R3293" s="256" t="inlineStr"/>
    </row>
    <row r="3294">
      <c r="A3294" s="256" t="inlineStr">
        <is>
          <t>CoQ-PP_26-144</t>
        </is>
      </c>
      <c r="B3294" s="256" t="inlineStr">
        <is>
          <t>reissue — retest</t>
        </is>
      </c>
      <c r="C3294" s="256" t="inlineStr">
        <is>
          <t>FB012603V</t>
        </is>
      </c>
      <c r="D3294" s="256" t="inlineStr">
        <is>
          <t>— no P lot assigned —</t>
        </is>
      </c>
      <c r="E3294" s="256" t="inlineStr">
        <is>
          <t>Fat Bastard</t>
        </is>
      </c>
      <c r="F3294" s="256" t="inlineStr">
        <is>
          <t>21.09.2026</t>
        </is>
      </c>
      <c r="G3294" s="256" t="inlineStr">
        <is>
          <t>4</t>
        </is>
      </c>
      <c r="H3294" s="256" t="inlineStr">
        <is>
          <t>Assay — Total Δ⁹-THC</t>
        </is>
      </c>
      <c r="I3294" s="256" t="inlineStr">
        <is>
          <t>Ph. Eur. 2.2.29 (HPLC)</t>
        </is>
      </c>
      <c r="J3294" s="256" t="inlineStr">
        <is>
          <t>16.20 – 19.79 %  (grade II, nominal 18.00 ± 1.80)</t>
        </is>
      </c>
      <c r="K3294" s="256" t="inlineStr">
        <is>
          <t>19.31</t>
        </is>
      </c>
      <c r="L3294" s="256" t="inlineStr">
        <is>
          <t>227-23-К/26</t>
        </is>
      </c>
      <c r="M3294" s="256" t="inlineStr">
        <is>
          <t>11.09.2026</t>
        </is>
      </c>
      <c r="N3294" s="256" t="inlineStr">
        <is>
          <t>Farmahem</t>
        </is>
      </c>
      <c r="O3294" s="256" t="inlineStr">
        <is>
          <t>24.08.2026</t>
        </is>
      </c>
      <c r="P3294" s="256" t="inlineStr">
        <is>
          <t>covered</t>
        </is>
      </c>
      <c r="Q3294" s="256" t="inlineStr"/>
      <c r="R3294" s="256" t="inlineStr"/>
    </row>
    <row r="3295">
      <c r="A3295" s="256" t="inlineStr">
        <is>
          <t>CoQ-PP_26-144</t>
        </is>
      </c>
      <c r="B3295" s="256" t="inlineStr">
        <is>
          <t>reissue — retest</t>
        </is>
      </c>
      <c r="C3295" s="256" t="inlineStr">
        <is>
          <t>FB012603V</t>
        </is>
      </c>
      <c r="D3295" s="256" t="inlineStr">
        <is>
          <t>— no P lot assigned —</t>
        </is>
      </c>
      <c r="E3295" s="256" t="inlineStr">
        <is>
          <t>Fat Bastard</t>
        </is>
      </c>
      <c r="F3295" s="256" t="inlineStr">
        <is>
          <t>21.09.2026</t>
        </is>
      </c>
      <c r="G3295" s="256" t="inlineStr">
        <is>
          <t>5</t>
        </is>
      </c>
      <c r="H3295" s="256" t="inlineStr">
        <is>
          <t>Assay — Total CBD</t>
        </is>
      </c>
      <c r="I3295" s="256" t="inlineStr">
        <is>
          <t>Ph. Eur. 2.2.29 (HPLC) · CBD + CBDA x 0.877</t>
        </is>
      </c>
      <c r="J3295" s="256" t="inlineStr">
        <is>
          <t>≤ 1.0%, w/w</t>
        </is>
      </c>
      <c r="K3295" s="256" t="inlineStr">
        <is>
          <t>&lt; LOQ</t>
        </is>
      </c>
      <c r="L3295" s="256" t="inlineStr">
        <is>
          <t>227-23-К/26</t>
        </is>
      </c>
      <c r="M3295" s="256" t="inlineStr">
        <is>
          <t>11.09.2026</t>
        </is>
      </c>
      <c r="N3295" s="256" t="inlineStr">
        <is>
          <t>Farmahem</t>
        </is>
      </c>
      <c r="O3295" s="256" t="inlineStr">
        <is>
          <t>24.08.2026</t>
        </is>
      </c>
      <c r="P3295" s="256" t="inlineStr">
        <is>
          <t>covered</t>
        </is>
      </c>
      <c r="Q3295" s="256" t="inlineStr"/>
      <c r="R3295" s="256" t="inlineStr"/>
    </row>
    <row r="3296">
      <c r="A3296" s="256" t="inlineStr">
        <is>
          <t>CoQ-PP_26-144</t>
        </is>
      </c>
      <c r="B3296" s="256" t="inlineStr">
        <is>
          <t>reissue — retest</t>
        </is>
      </c>
      <c r="C3296" s="256" t="inlineStr">
        <is>
          <t>FB012603V</t>
        </is>
      </c>
      <c r="D3296" s="256" t="inlineStr">
        <is>
          <t>— no P lot assigned —</t>
        </is>
      </c>
      <c r="E3296" s="256" t="inlineStr">
        <is>
          <t>Fat Bastard</t>
        </is>
      </c>
      <c r="F3296" s="256" t="inlineStr">
        <is>
          <t>21.09.2026</t>
        </is>
      </c>
      <c r="G3296" s="256" t="inlineStr">
        <is>
          <t>6</t>
        </is>
      </c>
      <c r="H3296" s="256" t="inlineStr">
        <is>
          <t>Total CBN</t>
        </is>
      </c>
      <c r="I3296" s="256" t="inlineStr">
        <is>
          <t>Ph. Eur. 2.2.29 (HPLC) · CBN + CBNA x 0.876</t>
        </is>
      </c>
      <c r="J3296" s="256" t="inlineStr">
        <is>
          <t>≤ 1.0%, w/w</t>
        </is>
      </c>
      <c r="K3296" s="256" t="inlineStr">
        <is>
          <t>&lt; LOQ</t>
        </is>
      </c>
      <c r="L3296" s="256" t="inlineStr">
        <is>
          <t>227-23-К/26</t>
        </is>
      </c>
      <c r="M3296" s="256" t="inlineStr">
        <is>
          <t>11.09.2026</t>
        </is>
      </c>
      <c r="N3296" s="256" t="inlineStr">
        <is>
          <t>Farmahem</t>
        </is>
      </c>
      <c r="O3296" s="256" t="inlineStr">
        <is>
          <t>24.08.2026</t>
        </is>
      </c>
      <c r="P3296" s="256" t="inlineStr">
        <is>
          <t>covered</t>
        </is>
      </c>
      <c r="Q3296" s="256" t="inlineStr"/>
      <c r="R3296" s="256" t="inlineStr"/>
    </row>
    <row r="3297">
      <c r="A3297" s="256" t="inlineStr">
        <is>
          <t>CoQ-PP_26-144</t>
        </is>
      </c>
      <c r="B3297" s="256" t="inlineStr">
        <is>
          <t>reissue — retest</t>
        </is>
      </c>
      <c r="C3297" s="256" t="inlineStr">
        <is>
          <t>FB012603V</t>
        </is>
      </c>
      <c r="D3297" s="256" t="inlineStr">
        <is>
          <t>— no P lot assigned —</t>
        </is>
      </c>
      <c r="E3297" s="256" t="inlineStr">
        <is>
          <t>Fat Bastard</t>
        </is>
      </c>
      <c r="F3297" s="256" t="inlineStr">
        <is>
          <t>21.09.2026</t>
        </is>
      </c>
      <c r="G3297" s="256" t="inlineStr">
        <is>
          <t>7</t>
        </is>
      </c>
      <c r="H3297" s="256" t="inlineStr">
        <is>
          <t>Foreign Matter</t>
        </is>
      </c>
      <c r="I3297" s="256" t="inlineStr">
        <is>
          <t>Ph. Eur. 2.8.2 · In-house · интерна</t>
        </is>
      </c>
      <c r="J3297" s="256" t="inlineStr">
        <is>
          <t>≤ 2.0% / 25–50 g · &lt; 1 cm leaves | листови, no seeds | без семки</t>
        </is>
      </c>
      <c r="K3297" s="256" t="inlineStr">
        <is>
          <t>Conforms | Одговара</t>
        </is>
      </c>
      <c r="L3297" s="256" t="inlineStr">
        <is>
          <t>ППК26110</t>
        </is>
      </c>
      <c r="M3297" s="256" t="inlineStr">
        <is>
          <t>30.06.2026</t>
        </is>
      </c>
      <c r="N3297" s="256" t="inlineStr">
        <is>
          <t>UKIM Faculty of Pharmacy — Center for Natural Products</t>
        </is>
      </c>
      <c r="O3297" s="256" t="inlineStr">
        <is>
          <t>17.06.2026</t>
        </is>
      </c>
      <c r="P3297" s="256" t="inlineStr">
        <is>
          <t>carried from the initial testing (the batch's initial CoQ (number assigned on issue)) — covered</t>
        </is>
      </c>
      <c r="Q3297" s="256" t="inlineStr"/>
      <c r="R3297" s="256" t="inlineStr"/>
    </row>
    <row r="3298">
      <c r="A3298" s="256" t="inlineStr">
        <is>
          <t>CoQ-PP_26-144</t>
        </is>
      </c>
      <c r="B3298" s="256" t="inlineStr">
        <is>
          <t>reissue — retest</t>
        </is>
      </c>
      <c r="C3298" s="256" t="inlineStr">
        <is>
          <t>FB012603V</t>
        </is>
      </c>
      <c r="D3298" s="256" t="inlineStr">
        <is>
          <t>— no P lot assigned —</t>
        </is>
      </c>
      <c r="E3298" s="256" t="inlineStr">
        <is>
          <t>Fat Bastard</t>
        </is>
      </c>
      <c r="F3298" s="256" t="inlineStr">
        <is>
          <t>21.09.2026</t>
        </is>
      </c>
      <c r="G3298" s="256" t="inlineStr">
        <is>
          <t>8</t>
        </is>
      </c>
      <c r="H3298" s="256" t="inlineStr">
        <is>
          <t>Loss on Drying</t>
        </is>
      </c>
      <c r="I3298" s="256" t="inlineStr">
        <is>
          <t>Ph. Eur. 2.2.32 (3028) · at 40 °C, 24 h, 15–25 mbar</t>
        </is>
      </c>
      <c r="J3298" s="256" t="inlineStr">
        <is>
          <t>≤ 12.0%</t>
        </is>
      </c>
      <c r="K3298" s="256" t="inlineStr">
        <is>
          <t>6.36</t>
        </is>
      </c>
      <c r="L3298" s="256" t="inlineStr">
        <is>
          <t>ППК26110</t>
        </is>
      </c>
      <c r="M3298" s="256" t="inlineStr">
        <is>
          <t>30.06.2026</t>
        </is>
      </c>
      <c r="N3298" s="256" t="inlineStr">
        <is>
          <t>UKIM Faculty of Pharmacy — Center for Natural Products</t>
        </is>
      </c>
      <c r="O3298" s="256" t="inlineStr">
        <is>
          <t>17.06.2026</t>
        </is>
      </c>
      <c r="P3298" s="256" t="inlineStr">
        <is>
          <t>carried from the initial testing (the batch's initial CoQ (number assigned on issue)) — covered</t>
        </is>
      </c>
      <c r="Q3298" s="256" t="inlineStr"/>
      <c r="R3298" s="256" t="inlineStr"/>
    </row>
    <row r="3299">
      <c r="A3299" s="256" t="inlineStr">
        <is>
          <t>CoQ-PP_26-144</t>
        </is>
      </c>
      <c r="B3299" s="256" t="inlineStr">
        <is>
          <t>reissue — retest</t>
        </is>
      </c>
      <c r="C3299" s="256" t="inlineStr">
        <is>
          <t>FB012603V</t>
        </is>
      </c>
      <c r="D3299" s="256" t="inlineStr">
        <is>
          <t>— no P lot assigned —</t>
        </is>
      </c>
      <c r="E3299" s="256" t="inlineStr">
        <is>
          <t>Fat Bastard</t>
        </is>
      </c>
      <c r="F3299" s="256" t="inlineStr">
        <is>
          <t>21.09.2026</t>
        </is>
      </c>
      <c r="G3299" s="256" t="inlineStr">
        <is>
          <t>9.1</t>
        </is>
      </c>
      <c r="H3299" s="256" t="inlineStr">
        <is>
          <t>TAMC</t>
        </is>
      </c>
      <c r="I3299" s="256" t="inlineStr">
        <is>
          <t>Ph. Eur. 2.6.12 cat. C</t>
        </is>
      </c>
      <c r="J3299" s="256" t="inlineStr">
        <is>
          <t>≤ 10⁵ CFU/g</t>
        </is>
      </c>
      <c r="K3299" s="256" t="inlineStr">
        <is>
          <t>2,9 × 10³</t>
        </is>
      </c>
      <c r="L3299" s="256" t="inlineStr">
        <is>
          <t>538/1069/26</t>
        </is>
      </c>
      <c r="M3299" s="256" t="inlineStr">
        <is>
          <t>31.08.2026</t>
        </is>
      </c>
      <c r="N3299" s="256" t="inlineStr">
        <is>
          <t>IPH — Institute of Public Health</t>
        </is>
      </c>
      <c r="O3299" s="256" t="inlineStr">
        <is>
          <t>25.08.2026</t>
        </is>
      </c>
      <c r="P3299" s="256" t="inlineStr">
        <is>
          <t>covered</t>
        </is>
      </c>
      <c r="Q3299" s="256" t="inlineStr"/>
      <c r="R3299" s="256" t="inlineStr"/>
    </row>
    <row r="3300">
      <c r="A3300" s="256" t="inlineStr">
        <is>
          <t>CoQ-PP_26-144</t>
        </is>
      </c>
      <c r="B3300" s="256" t="inlineStr">
        <is>
          <t>reissue — retest</t>
        </is>
      </c>
      <c r="C3300" s="256" t="inlineStr">
        <is>
          <t>FB012603V</t>
        </is>
      </c>
      <c r="D3300" s="256" t="inlineStr">
        <is>
          <t>— no P lot assigned —</t>
        </is>
      </c>
      <c r="E3300" s="256" t="inlineStr">
        <is>
          <t>Fat Bastard</t>
        </is>
      </c>
      <c r="F3300" s="256" t="inlineStr">
        <is>
          <t>21.09.2026</t>
        </is>
      </c>
      <c r="G3300" s="256" t="inlineStr">
        <is>
          <t>9.2</t>
        </is>
      </c>
      <c r="H3300" s="256" t="inlineStr">
        <is>
          <t>TYMC</t>
        </is>
      </c>
      <c r="I3300" s="256" t="inlineStr">
        <is>
          <t>Ph. Eur. 2.6.12 cat. C</t>
        </is>
      </c>
      <c r="J3300" s="256" t="inlineStr">
        <is>
          <t>≤ 10⁴ CFU/g</t>
        </is>
      </c>
      <c r="K3300" s="256" t="inlineStr">
        <is>
          <t>2,5 × 10³</t>
        </is>
      </c>
      <c r="L3300" s="256" t="inlineStr">
        <is>
          <t>538/1069/26</t>
        </is>
      </c>
      <c r="M3300" s="256" t="inlineStr">
        <is>
          <t>31.08.2026</t>
        </is>
      </c>
      <c r="N3300" s="256" t="inlineStr">
        <is>
          <t>IPH — Institute of Public Health</t>
        </is>
      </c>
      <c r="O3300" s="256" t="inlineStr">
        <is>
          <t>25.08.2026</t>
        </is>
      </c>
      <c r="P3300" s="256" t="inlineStr">
        <is>
          <t>covered</t>
        </is>
      </c>
      <c r="Q3300" s="256" t="inlineStr"/>
      <c r="R3300" s="256" t="inlineStr"/>
    </row>
    <row r="3301">
      <c r="A3301" s="256" t="inlineStr">
        <is>
          <t>CoQ-PP_26-144</t>
        </is>
      </c>
      <c r="B3301" s="256" t="inlineStr">
        <is>
          <t>reissue — retest</t>
        </is>
      </c>
      <c r="C3301" s="256" t="inlineStr">
        <is>
          <t>FB012603V</t>
        </is>
      </c>
      <c r="D3301" s="256" t="inlineStr">
        <is>
          <t>— no P lot assigned —</t>
        </is>
      </c>
      <c r="E3301" s="256" t="inlineStr">
        <is>
          <t>Fat Bastard</t>
        </is>
      </c>
      <c r="F3301" s="256" t="inlineStr">
        <is>
          <t>21.09.2026</t>
        </is>
      </c>
      <c r="G3301" s="256" t="inlineStr">
        <is>
          <t>9.3</t>
        </is>
      </c>
      <c r="H3301" s="256" t="inlineStr">
        <is>
          <t>Bile-tolerant gram-neg.</t>
        </is>
      </c>
      <c r="I3301" s="256" t="inlineStr">
        <is>
          <t>Ph. Eur. 2.6.31 cat. C</t>
        </is>
      </c>
      <c r="J3301" s="256" t="inlineStr">
        <is>
          <t>≤ 10⁴ CFU/g</t>
        </is>
      </c>
      <c r="K3301" s="256" t="inlineStr">
        <is>
          <t>&lt; 10</t>
        </is>
      </c>
      <c r="L3301" s="256" t="inlineStr">
        <is>
          <t>538/1069/26</t>
        </is>
      </c>
      <c r="M3301" s="256" t="inlineStr">
        <is>
          <t>31.08.2026</t>
        </is>
      </c>
      <c r="N3301" s="256" t="inlineStr">
        <is>
          <t>IPH — Institute of Public Health</t>
        </is>
      </c>
      <c r="O3301" s="256" t="inlineStr">
        <is>
          <t>25.08.2026</t>
        </is>
      </c>
      <c r="P3301" s="256" t="inlineStr">
        <is>
          <t>covered</t>
        </is>
      </c>
      <c r="Q3301" s="256" t="inlineStr"/>
      <c r="R3301" s="256" t="inlineStr"/>
    </row>
    <row r="3302">
      <c r="A3302" s="256" t="inlineStr">
        <is>
          <t>CoQ-PP_26-144</t>
        </is>
      </c>
      <c r="B3302" s="256" t="inlineStr">
        <is>
          <t>reissue — retest</t>
        </is>
      </c>
      <c r="C3302" s="256" t="inlineStr">
        <is>
          <t>FB012603V</t>
        </is>
      </c>
      <c r="D3302" s="256" t="inlineStr">
        <is>
          <t>— no P lot assigned —</t>
        </is>
      </c>
      <c r="E3302" s="256" t="inlineStr">
        <is>
          <t>Fat Bastard</t>
        </is>
      </c>
      <c r="F3302" s="256" t="inlineStr">
        <is>
          <t>21.09.2026</t>
        </is>
      </c>
      <c r="G3302" s="256" t="inlineStr">
        <is>
          <t>9.4</t>
        </is>
      </c>
      <c r="H3302" s="256" t="inlineStr">
        <is>
          <t>Salmonella</t>
        </is>
      </c>
      <c r="I3302" s="256" t="inlineStr">
        <is>
          <t>Ph. Eur. 2.6.31 cat. C</t>
        </is>
      </c>
      <c r="J3302" s="256" t="inlineStr">
        <is>
          <t>Absence | Отсуство / 25 g</t>
        </is>
      </c>
      <c r="K3302" s="256" t="inlineStr">
        <is>
          <t>Absent | Отсутна</t>
        </is>
      </c>
      <c r="L3302" s="256" t="inlineStr">
        <is>
          <t>538/1069/26</t>
        </is>
      </c>
      <c r="M3302" s="256" t="inlineStr">
        <is>
          <t>31.08.2026</t>
        </is>
      </c>
      <c r="N3302" s="256" t="inlineStr">
        <is>
          <t>IPH — Institute of Public Health</t>
        </is>
      </c>
      <c r="O3302" s="256" t="inlineStr">
        <is>
          <t>25.08.2026</t>
        </is>
      </c>
      <c r="P3302" s="256" t="inlineStr">
        <is>
          <t>covered</t>
        </is>
      </c>
      <c r="Q3302" s="256" t="inlineStr"/>
      <c r="R3302" s="256" t="inlineStr"/>
    </row>
    <row r="3303">
      <c r="A3303" s="256" t="inlineStr">
        <is>
          <t>CoQ-PP_26-144</t>
        </is>
      </c>
      <c r="B3303" s="256" t="inlineStr">
        <is>
          <t>reissue — retest</t>
        </is>
      </c>
      <c r="C3303" s="256" t="inlineStr">
        <is>
          <t>FB012603V</t>
        </is>
      </c>
      <c r="D3303" s="256" t="inlineStr">
        <is>
          <t>— no P lot assigned —</t>
        </is>
      </c>
      <c r="E3303" s="256" t="inlineStr">
        <is>
          <t>Fat Bastard</t>
        </is>
      </c>
      <c r="F3303" s="256" t="inlineStr">
        <is>
          <t>21.09.2026</t>
        </is>
      </c>
      <c r="G3303" s="256" t="inlineStr">
        <is>
          <t>9.5</t>
        </is>
      </c>
      <c r="H3303" s="256" t="inlineStr">
        <is>
          <t>Escherichia coli</t>
        </is>
      </c>
      <c r="I3303" s="256" t="inlineStr">
        <is>
          <t>Ph. Eur. 2.6.13 cat. C</t>
        </is>
      </c>
      <c r="J3303" s="256" t="inlineStr">
        <is>
          <t>Absence | Отсуство / 1 g</t>
        </is>
      </c>
      <c r="K3303" s="256" t="inlineStr">
        <is>
          <t>Absent | Отсутна</t>
        </is>
      </c>
      <c r="L3303" s="256" t="inlineStr">
        <is>
          <t>538/1069/26</t>
        </is>
      </c>
      <c r="M3303" s="256" t="inlineStr">
        <is>
          <t>31.08.2026</t>
        </is>
      </c>
      <c r="N3303" s="256" t="inlineStr">
        <is>
          <t>IPH — Institute of Public Health</t>
        </is>
      </c>
      <c r="O3303" s="256" t="inlineStr">
        <is>
          <t>25.08.2026</t>
        </is>
      </c>
      <c r="P3303" s="256" t="inlineStr">
        <is>
          <t>covered</t>
        </is>
      </c>
      <c r="Q3303" s="256" t="inlineStr"/>
      <c r="R3303" s="256" t="inlineStr"/>
    </row>
    <row r="3304">
      <c r="A3304" s="256" t="inlineStr">
        <is>
          <t>CoQ-PP_26-144</t>
        </is>
      </c>
      <c r="B3304" s="256" t="inlineStr">
        <is>
          <t>reissue — retest</t>
        </is>
      </c>
      <c r="C3304" s="256" t="inlineStr">
        <is>
          <t>FB012603V</t>
        </is>
      </c>
      <c r="D3304" s="256" t="inlineStr">
        <is>
          <t>— no P lot assigned —</t>
        </is>
      </c>
      <c r="E3304" s="256" t="inlineStr">
        <is>
          <t>Fat Bastard</t>
        </is>
      </c>
      <c r="F3304" s="256" t="inlineStr">
        <is>
          <t>21.09.2026</t>
        </is>
      </c>
      <c r="G3304" s="256" t="inlineStr">
        <is>
          <t>9.6</t>
        </is>
      </c>
      <c r="H3304" s="256" t="inlineStr">
        <is>
          <t>Pseudomonas aeruginosa</t>
        </is>
      </c>
      <c r="I3304" s="256" t="inlineStr">
        <is>
          <t>Ph. Eur. 2.6.13 cat. C</t>
        </is>
      </c>
      <c r="J3304" s="256" t="inlineStr">
        <is>
          <t>Absence | Отсуство / 1 g</t>
        </is>
      </c>
      <c r="K3304" s="260" t="inlineStr">
        <is>
          <t>upon request — not required for release</t>
        </is>
      </c>
      <c r="L3304" s="256" t="inlineStr">
        <is>
          <t>—</t>
        </is>
      </c>
      <c r="M3304" s="256" t="inlineStr">
        <is>
          <t>—</t>
        </is>
      </c>
      <c r="N3304" s="256" t="inlineStr">
        <is>
          <t>—</t>
        </is>
      </c>
      <c r="O3304" s="256" t="inlineStr">
        <is>
          <t>—</t>
        </is>
      </c>
      <c r="P3304" s="256" t="inlineStr">
        <is>
          <t>upon request — not required for release</t>
        </is>
      </c>
      <c r="Q3304" s="256" t="inlineStr"/>
      <c r="R3304" s="256" t="inlineStr"/>
    </row>
    <row r="3305">
      <c r="A3305" s="256" t="inlineStr">
        <is>
          <t>CoQ-PP_26-144</t>
        </is>
      </c>
      <c r="B3305" s="256" t="inlineStr">
        <is>
          <t>reissue — retest</t>
        </is>
      </c>
      <c r="C3305" s="256" t="inlineStr">
        <is>
          <t>FB012603V</t>
        </is>
      </c>
      <c r="D3305" s="256" t="inlineStr">
        <is>
          <t>— no P lot assigned —</t>
        </is>
      </c>
      <c r="E3305" s="256" t="inlineStr">
        <is>
          <t>Fat Bastard</t>
        </is>
      </c>
      <c r="F3305" s="256" t="inlineStr">
        <is>
          <t>21.09.2026</t>
        </is>
      </c>
      <c r="G3305" s="256" t="inlineStr">
        <is>
          <t>9.7</t>
        </is>
      </c>
      <c r="H3305" s="256" t="inlineStr">
        <is>
          <t>Staphylococcus aureus</t>
        </is>
      </c>
      <c r="I3305" s="256" t="inlineStr">
        <is>
          <t>Ph. Eur. 2.6.13 cat. C</t>
        </is>
      </c>
      <c r="J3305" s="256" t="inlineStr">
        <is>
          <t>Absence | Отсуство / 1 g</t>
        </is>
      </c>
      <c r="K3305" s="260" t="inlineStr">
        <is>
          <t>upon request — not required for release</t>
        </is>
      </c>
      <c r="L3305" s="256" t="inlineStr">
        <is>
          <t>—</t>
        </is>
      </c>
      <c r="M3305" s="256" t="inlineStr">
        <is>
          <t>—</t>
        </is>
      </c>
      <c r="N3305" s="256" t="inlineStr">
        <is>
          <t>—</t>
        </is>
      </c>
      <c r="O3305" s="256" t="inlineStr">
        <is>
          <t>—</t>
        </is>
      </c>
      <c r="P3305" s="256" t="inlineStr">
        <is>
          <t>upon request — not required for release</t>
        </is>
      </c>
      <c r="Q3305" s="256" t="inlineStr"/>
      <c r="R3305" s="256" t="inlineStr"/>
    </row>
    <row r="3306">
      <c r="A3306" s="256" t="inlineStr">
        <is>
          <t>CoQ-PP_26-144</t>
        </is>
      </c>
      <c r="B3306" s="256" t="inlineStr">
        <is>
          <t>reissue — retest</t>
        </is>
      </c>
      <c r="C3306" s="256" t="inlineStr">
        <is>
          <t>FB012603V</t>
        </is>
      </c>
      <c r="D3306" s="256" t="inlineStr">
        <is>
          <t>— no P lot assigned —</t>
        </is>
      </c>
      <c r="E3306" s="256" t="inlineStr">
        <is>
          <t>Fat Bastard</t>
        </is>
      </c>
      <c r="F3306" s="256" t="inlineStr">
        <is>
          <t>21.09.2026</t>
        </is>
      </c>
      <c r="G3306" s="256" t="inlineStr">
        <is>
          <t>10.1</t>
        </is>
      </c>
      <c r="H3306" s="256" t="inlineStr">
        <is>
          <t>Aflatoxin B₁</t>
        </is>
      </c>
      <c r="I3306" s="256" t="inlineStr">
        <is>
          <t>Ph. Eur. 2.8.18 (HPLC-FLD)</t>
        </is>
      </c>
      <c r="J3306" s="256" t="inlineStr">
        <is>
          <t>≤ 2 µg/kg</t>
        </is>
      </c>
      <c r="K3306" s="256" t="inlineStr">
        <is>
          <t>ND</t>
        </is>
      </c>
      <c r="L3306" s="256" t="inlineStr">
        <is>
          <t>227-23-М/26</t>
        </is>
      </c>
      <c r="M3306" s="256" t="inlineStr">
        <is>
          <t>16.09.2026</t>
        </is>
      </c>
      <c r="N3306" s="256" t="inlineStr">
        <is>
          <t>Farmahem</t>
        </is>
      </c>
      <c r="O3306" s="256" t="inlineStr">
        <is>
          <t>—</t>
        </is>
      </c>
      <c r="P3306" s="256" t="inlineStr">
        <is>
          <t>covered</t>
        </is>
      </c>
      <c r="Q3306" s="256" t="inlineStr"/>
      <c r="R3306" s="256" t="inlineStr"/>
    </row>
    <row r="3307">
      <c r="A3307" s="256" t="inlineStr">
        <is>
          <t>CoQ-PP_26-144</t>
        </is>
      </c>
      <c r="B3307" s="256" t="inlineStr">
        <is>
          <t>reissue — retest</t>
        </is>
      </c>
      <c r="C3307" s="256" t="inlineStr">
        <is>
          <t>FB012603V</t>
        </is>
      </c>
      <c r="D3307" s="256" t="inlineStr">
        <is>
          <t>— no P lot assigned —</t>
        </is>
      </c>
      <c r="E3307" s="256" t="inlineStr">
        <is>
          <t>Fat Bastard</t>
        </is>
      </c>
      <c r="F3307" s="256" t="inlineStr">
        <is>
          <t>21.09.2026</t>
        </is>
      </c>
      <c r="G3307" s="256" t="inlineStr">
        <is>
          <t>10.2</t>
        </is>
      </c>
      <c r="H3307" s="256" t="inlineStr">
        <is>
          <t>Aflatoxins ∑</t>
        </is>
      </c>
      <c r="I3307" s="256" t="inlineStr">
        <is>
          <t>Ph. Eur. 2.8.18 (HPLC-FLD)</t>
        </is>
      </c>
      <c r="J3307" s="256" t="inlineStr">
        <is>
          <t>≤ 4 µg/kg</t>
        </is>
      </c>
      <c r="K3307" s="256" t="inlineStr">
        <is>
          <t>ND</t>
        </is>
      </c>
      <c r="L3307" s="256" t="inlineStr">
        <is>
          <t>227-23-М/26</t>
        </is>
      </c>
      <c r="M3307" s="256" t="inlineStr">
        <is>
          <t>16.09.2026</t>
        </is>
      </c>
      <c r="N3307" s="256" t="inlineStr">
        <is>
          <t>Farmahem</t>
        </is>
      </c>
      <c r="O3307" s="256" t="inlineStr">
        <is>
          <t>—</t>
        </is>
      </c>
      <c r="P3307" s="256" t="inlineStr">
        <is>
          <t>covered</t>
        </is>
      </c>
      <c r="Q3307" s="256" t="inlineStr"/>
      <c r="R3307" s="256" t="inlineStr"/>
    </row>
    <row r="3308">
      <c r="A3308" s="256" t="inlineStr">
        <is>
          <t>CoQ-PP_26-144</t>
        </is>
      </c>
      <c r="B3308" s="256" t="inlineStr">
        <is>
          <t>reissue — retest</t>
        </is>
      </c>
      <c r="C3308" s="256" t="inlineStr">
        <is>
          <t>FB012603V</t>
        </is>
      </c>
      <c r="D3308" s="256" t="inlineStr">
        <is>
          <t>— no P lot assigned —</t>
        </is>
      </c>
      <c r="E3308" s="256" t="inlineStr">
        <is>
          <t>Fat Bastard</t>
        </is>
      </c>
      <c r="F3308" s="256" t="inlineStr">
        <is>
          <t>21.09.2026</t>
        </is>
      </c>
      <c r="G3308" s="256" t="inlineStr">
        <is>
          <t>10.3</t>
        </is>
      </c>
      <c r="H3308" s="256" t="inlineStr">
        <is>
          <t>Ochratoxin A</t>
        </is>
      </c>
      <c r="I3308" s="256" t="inlineStr">
        <is>
          <t>Ph. Eur. 2.8.22 (HPLC-FLD)</t>
        </is>
      </c>
      <c r="J3308" s="256" t="inlineStr">
        <is>
          <t>≤ 20 µg/kg</t>
        </is>
      </c>
      <c r="K3308" s="256" t="inlineStr">
        <is>
          <t>ND</t>
        </is>
      </c>
      <c r="L3308" s="256" t="inlineStr">
        <is>
          <t>227-23-М/26</t>
        </is>
      </c>
      <c r="M3308" s="256" t="inlineStr">
        <is>
          <t>16.09.2026</t>
        </is>
      </c>
      <c r="N3308" s="256" t="inlineStr">
        <is>
          <t>Farmahem</t>
        </is>
      </c>
      <c r="O3308" s="256" t="inlineStr">
        <is>
          <t>—</t>
        </is>
      </c>
      <c r="P3308" s="256" t="inlineStr">
        <is>
          <t>covered</t>
        </is>
      </c>
      <c r="Q3308" s="256" t="inlineStr"/>
      <c r="R3308" s="256" t="inlineStr"/>
    </row>
    <row r="3309">
      <c r="A3309" s="256" t="inlineStr">
        <is>
          <t>CoQ-PP_26-144</t>
        </is>
      </c>
      <c r="B3309" s="256" t="inlineStr">
        <is>
          <t>reissue — retest</t>
        </is>
      </c>
      <c r="C3309" s="256" t="inlineStr">
        <is>
          <t>FB012603V</t>
        </is>
      </c>
      <c r="D3309" s="256" t="inlineStr">
        <is>
          <t>— no P lot assigned —</t>
        </is>
      </c>
      <c r="E3309" s="256" t="inlineStr">
        <is>
          <t>Fat Bastard</t>
        </is>
      </c>
      <c r="F3309" s="256" t="inlineStr">
        <is>
          <t>21.09.2026</t>
        </is>
      </c>
      <c r="G3309" s="256" t="inlineStr">
        <is>
          <t>11.1</t>
        </is>
      </c>
      <c r="H3309" s="256" t="inlineStr">
        <is>
          <t>Lead (Pb)</t>
        </is>
      </c>
      <c r="I3309" s="256" t="inlineStr">
        <is>
          <t>Ph. Eur. 2.4.27 (ICP-MS)</t>
        </is>
      </c>
      <c r="J3309" s="256" t="inlineStr">
        <is>
          <t>≤ 0.5 mg/kg</t>
        </is>
      </c>
      <c r="K3309" s="256" t="inlineStr">
        <is>
          <t>carried from the initial testing — not tested</t>
        </is>
      </c>
      <c r="L3309" s="256" t="inlineStr">
        <is>
          <t>—</t>
        </is>
      </c>
      <c r="M3309" s="256" t="inlineStr">
        <is>
          <t>—</t>
        </is>
      </c>
      <c r="N3309" s="256" t="inlineStr">
        <is>
          <t>—</t>
        </is>
      </c>
      <c r="O3309" s="256" t="inlineStr">
        <is>
          <t>—</t>
        </is>
      </c>
      <c r="P3309" s="256" t="inlineStr">
        <is>
          <t>carried from the initial testing (the batch's initial CoQ (number assigned on issue)) — not tested — no certificate covers it</t>
        </is>
      </c>
      <c r="Q3309" s="256" t="inlineStr"/>
      <c r="R3309" s="256" t="inlineStr"/>
    </row>
    <row r="3310">
      <c r="A3310" s="256" t="inlineStr">
        <is>
          <t>CoQ-PP_26-144</t>
        </is>
      </c>
      <c r="B3310" s="256" t="inlineStr">
        <is>
          <t>reissue — retest</t>
        </is>
      </c>
      <c r="C3310" s="256" t="inlineStr">
        <is>
          <t>FB012603V</t>
        </is>
      </c>
      <c r="D3310" s="256" t="inlineStr">
        <is>
          <t>— no P lot assigned —</t>
        </is>
      </c>
      <c r="E3310" s="256" t="inlineStr">
        <is>
          <t>Fat Bastard</t>
        </is>
      </c>
      <c r="F3310" s="256" t="inlineStr">
        <is>
          <t>21.09.2026</t>
        </is>
      </c>
      <c r="G3310" s="256" t="inlineStr">
        <is>
          <t>11.2</t>
        </is>
      </c>
      <c r="H3310" s="256" t="inlineStr">
        <is>
          <t>Cadmium (Cd)</t>
        </is>
      </c>
      <c r="I3310" s="256" t="inlineStr">
        <is>
          <t>Ph. Eur. 2.4.27 (ICP-MS)</t>
        </is>
      </c>
      <c r="J3310" s="256" t="inlineStr">
        <is>
          <t>≤ 0.3 mg/kg</t>
        </is>
      </c>
      <c r="K3310" s="256" t="inlineStr">
        <is>
          <t>carried from the initial testing — not tested</t>
        </is>
      </c>
      <c r="L3310" s="256" t="inlineStr">
        <is>
          <t>—</t>
        </is>
      </c>
      <c r="M3310" s="256" t="inlineStr">
        <is>
          <t>—</t>
        </is>
      </c>
      <c r="N3310" s="256" t="inlineStr">
        <is>
          <t>—</t>
        </is>
      </c>
      <c r="O3310" s="256" t="inlineStr">
        <is>
          <t>—</t>
        </is>
      </c>
      <c r="P3310" s="256" t="inlineStr">
        <is>
          <t>carried from the initial testing (the batch's initial CoQ (number assigned on issue)) — not tested — no certificate covers it</t>
        </is>
      </c>
      <c r="Q3310" s="256" t="inlineStr"/>
      <c r="R3310" s="256" t="inlineStr"/>
    </row>
    <row r="3311">
      <c r="A3311" s="256" t="inlineStr">
        <is>
          <t>CoQ-PP_26-144</t>
        </is>
      </c>
      <c r="B3311" s="256" t="inlineStr">
        <is>
          <t>reissue — retest</t>
        </is>
      </c>
      <c r="C3311" s="256" t="inlineStr">
        <is>
          <t>FB012603V</t>
        </is>
      </c>
      <c r="D3311" s="256" t="inlineStr">
        <is>
          <t>— no P lot assigned —</t>
        </is>
      </c>
      <c r="E3311" s="256" t="inlineStr">
        <is>
          <t>Fat Bastard</t>
        </is>
      </c>
      <c r="F3311" s="256" t="inlineStr">
        <is>
          <t>21.09.2026</t>
        </is>
      </c>
      <c r="G3311" s="256" t="inlineStr">
        <is>
          <t>11.3</t>
        </is>
      </c>
      <c r="H3311" s="256" t="inlineStr">
        <is>
          <t>Arsenic (As)</t>
        </is>
      </c>
      <c r="I3311" s="256" t="inlineStr">
        <is>
          <t>Ph. Eur. 2.4.27 (ICP-MS)</t>
        </is>
      </c>
      <c r="J3311" s="256" t="inlineStr">
        <is>
          <t>≤ 0.2 mg/kg</t>
        </is>
      </c>
      <c r="K3311" s="256" t="inlineStr">
        <is>
          <t>carried from the initial testing — not tested</t>
        </is>
      </c>
      <c r="L3311" s="256" t="inlineStr">
        <is>
          <t>—</t>
        </is>
      </c>
      <c r="M3311" s="256" t="inlineStr">
        <is>
          <t>—</t>
        </is>
      </c>
      <c r="N3311" s="256" t="inlineStr">
        <is>
          <t>—</t>
        </is>
      </c>
      <c r="O3311" s="256" t="inlineStr">
        <is>
          <t>—</t>
        </is>
      </c>
      <c r="P3311" s="256" t="inlineStr">
        <is>
          <t>carried from the initial testing (the batch's initial CoQ (number assigned on issue)) — not tested — no certificate covers it</t>
        </is>
      </c>
      <c r="Q3311" s="256" t="inlineStr"/>
      <c r="R3311" s="256" t="inlineStr"/>
    </row>
    <row r="3312">
      <c r="A3312" s="256" t="inlineStr">
        <is>
          <t>CoQ-PP_26-144</t>
        </is>
      </c>
      <c r="B3312" s="256" t="inlineStr">
        <is>
          <t>reissue — retest</t>
        </is>
      </c>
      <c r="C3312" s="256" t="inlineStr">
        <is>
          <t>FB012603V</t>
        </is>
      </c>
      <c r="D3312" s="256" t="inlineStr">
        <is>
          <t>— no P lot assigned —</t>
        </is>
      </c>
      <c r="E3312" s="256" t="inlineStr">
        <is>
          <t>Fat Bastard</t>
        </is>
      </c>
      <c r="F3312" s="256" t="inlineStr">
        <is>
          <t>21.09.2026</t>
        </is>
      </c>
      <c r="G3312" s="256" t="inlineStr">
        <is>
          <t>11.4</t>
        </is>
      </c>
      <c r="H3312" s="256" t="inlineStr">
        <is>
          <t>Mercury (Hg)</t>
        </is>
      </c>
      <c r="I3312" s="256" t="inlineStr">
        <is>
          <t>Ph. Eur. 2.4.27 (ICP-MS)</t>
        </is>
      </c>
      <c r="J3312" s="256" t="inlineStr">
        <is>
          <t>≤ 0.1 mg/kg</t>
        </is>
      </c>
      <c r="K3312" s="256" t="inlineStr">
        <is>
          <t>carried from the initial testing — not tested</t>
        </is>
      </c>
      <c r="L3312" s="256" t="inlineStr">
        <is>
          <t>—</t>
        </is>
      </c>
      <c r="M3312" s="256" t="inlineStr">
        <is>
          <t>—</t>
        </is>
      </c>
      <c r="N3312" s="256" t="inlineStr">
        <is>
          <t>—</t>
        </is>
      </c>
      <c r="O3312" s="256" t="inlineStr">
        <is>
          <t>—</t>
        </is>
      </c>
      <c r="P3312" s="256" t="inlineStr">
        <is>
          <t>carried from the initial testing (the batch's initial CoQ (number assigned on issue)) — not tested — no certificate covers it</t>
        </is>
      </c>
      <c r="Q3312" s="256" t="inlineStr"/>
      <c r="R3312" s="256" t="inlineStr"/>
    </row>
    <row r="3313">
      <c r="A3313" s="256" t="inlineStr">
        <is>
          <t>CoQ-PP_26-144</t>
        </is>
      </c>
      <c r="B3313" s="256" t="inlineStr">
        <is>
          <t>reissue — retest</t>
        </is>
      </c>
      <c r="C3313" s="256" t="inlineStr">
        <is>
          <t>FB012603V</t>
        </is>
      </c>
      <c r="D3313" s="256" t="inlineStr">
        <is>
          <t>— no P lot assigned —</t>
        </is>
      </c>
      <c r="E3313" s="256" t="inlineStr">
        <is>
          <t>Fat Bastard</t>
        </is>
      </c>
      <c r="F3313" s="256" t="inlineStr">
        <is>
          <t>21.09.2026</t>
        </is>
      </c>
      <c r="G3313" s="256" t="inlineStr">
        <is>
          <t>12</t>
        </is>
      </c>
      <c r="H3313" s="256" t="inlineStr">
        <is>
          <t>Pesticide Residues</t>
        </is>
      </c>
      <c r="I3313" s="256" t="inlineStr">
        <is>
          <t>Ph. Eur. 2.8.13 (LC-MS/MS) · CUMCS Equivalency</t>
        </is>
      </c>
      <c r="J3313" s="256" t="inlineStr">
        <is>
          <t>≤ LOQ as per Ph. Eur. 2.8.13 · ≤ LOQ as per CUMCS Equivalency</t>
        </is>
      </c>
      <c r="K3313" s="256" t="inlineStr">
        <is>
          <t>carried from the initial testing — not tested</t>
        </is>
      </c>
      <c r="L3313" s="256" t="inlineStr">
        <is>
          <t>—</t>
        </is>
      </c>
      <c r="M3313" s="256" t="inlineStr">
        <is>
          <t>—</t>
        </is>
      </c>
      <c r="N3313" s="256" t="inlineStr">
        <is>
          <t>—</t>
        </is>
      </c>
      <c r="O3313" s="256" t="inlineStr">
        <is>
          <t>—</t>
        </is>
      </c>
      <c r="P3313" s="256" t="inlineStr">
        <is>
          <t>carried from the initial testing (the batch's initial CoQ (number assigned on issue)) — not tested — no certificate covers it</t>
        </is>
      </c>
      <c r="Q3313" s="256" t="inlineStr"/>
      <c r="R3313" s="256" t="inlineStr"/>
    </row>
    <row r="3314">
      <c r="A3314" s="256" t="inlineStr">
        <is>
          <t>CoQ-PP_26-145</t>
        </is>
      </c>
      <c r="B3314" s="256" t="inlineStr">
        <is>
          <t>reissue — retest</t>
        </is>
      </c>
      <c r="C3314" s="256" t="inlineStr">
        <is>
          <t>FB112501</t>
        </is>
      </c>
      <c r="D3314" s="256" t="inlineStr">
        <is>
          <t>— no P lot assigned —</t>
        </is>
      </c>
      <c r="E3314" s="256" t="inlineStr">
        <is>
          <t>Fat Bastard</t>
        </is>
      </c>
      <c r="F3314" s="256" t="inlineStr">
        <is>
          <t>21.09.2026</t>
        </is>
      </c>
      <c r="G3314" s="256" t="inlineStr">
        <is>
          <t>1</t>
        </is>
      </c>
      <c r="H3314" s="256" t="inlineStr">
        <is>
          <t>Identification A, Appearance · Macroscopic</t>
        </is>
      </c>
      <c r="I3314" s="256" t="inlineStr">
        <is>
          <t>Ph. Eur. mon. 3028</t>
        </is>
      </c>
      <c r="J3314" s="256" t="inlineStr">
        <is>
          <t>Conforms to the monograph for Cannabis flos (07/2024:3028) in Ph. Eur. 11.0 | Согласно монографија за Cannabis flos (07/2024:3028) во Ph. Eur. 11.0</t>
        </is>
      </c>
      <c r="K3314" s="256" t="inlineStr">
        <is>
          <t>Conforms | Одговара</t>
        </is>
      </c>
      <c r="L3314" s="256" t="inlineStr">
        <is>
          <t>iCoA-PP_26-183</t>
        </is>
      </c>
      <c r="M3314" s="256" t="inlineStr">
        <is>
          <t>24.08.2026</t>
        </is>
      </c>
      <c r="N3314" s="256" t="inlineStr">
        <is>
          <t>Purely Plant GmbH (in-house)</t>
        </is>
      </c>
      <c r="O3314" s="256" t="inlineStr">
        <is>
          <t>—</t>
        </is>
      </c>
      <c r="P3314" s="256" t="inlineStr">
        <is>
          <t>to be performed — see route</t>
        </is>
      </c>
      <c r="Q3314" s="256" t="inlineStr">
        <is>
          <t>Farmahem — Ident A + B + C with the Assay, at retest</t>
        </is>
      </c>
      <c r="R3314" s="256" t="inlineStr"/>
    </row>
    <row r="3315">
      <c r="A3315" s="256" t="inlineStr">
        <is>
          <t>CoQ-PP_26-145</t>
        </is>
      </c>
      <c r="B3315" s="256" t="inlineStr">
        <is>
          <t>reissue — retest</t>
        </is>
      </c>
      <c r="C3315" s="256" t="inlineStr">
        <is>
          <t>FB112501</t>
        </is>
      </c>
      <c r="D3315" s="256" t="inlineStr">
        <is>
          <t>— no P lot assigned —</t>
        </is>
      </c>
      <c r="E3315" s="256" t="inlineStr">
        <is>
          <t>Fat Bastard</t>
        </is>
      </c>
      <c r="F3315" s="256" t="inlineStr">
        <is>
          <t>21.09.2026</t>
        </is>
      </c>
      <c r="G3315" s="256" t="inlineStr">
        <is>
          <t>2</t>
        </is>
      </c>
      <c r="H3315" s="256" t="inlineStr">
        <is>
          <t>Identification B · Microscopic</t>
        </is>
      </c>
      <c r="I3315" s="256" t="inlineStr">
        <is>
          <t>Ph. Eur. 2.8.23 (microscopy)</t>
        </is>
      </c>
      <c r="J3315" s="256" t="inlineStr">
        <is>
          <t>Conforms to the monograph for Cannabis flos (07/2024:3028) in Ph. Eur. 11.0 | Согласно монографија за Cannabis flos (07/2024:3028) во Ph. Eur. 11.0</t>
        </is>
      </c>
      <c r="K3315" s="256" t="inlineStr">
        <is>
          <t>Conforms | Одговара</t>
        </is>
      </c>
      <c r="L3315" s="256" t="inlineStr">
        <is>
          <t>iCoA-PP_26-183</t>
        </is>
      </c>
      <c r="M3315" s="256" t="inlineStr">
        <is>
          <t>24.08.2026</t>
        </is>
      </c>
      <c r="N3315" s="256" t="inlineStr">
        <is>
          <t>Purely Plant GmbH (in-house)</t>
        </is>
      </c>
      <c r="O3315" s="256" t="inlineStr">
        <is>
          <t>—</t>
        </is>
      </c>
      <c r="P3315" s="256" t="inlineStr">
        <is>
          <t>to be performed — see route</t>
        </is>
      </c>
      <c r="Q3315" s="256" t="inlineStr">
        <is>
          <t>Farmahem — Ident A + B + C with the Assay, at retest</t>
        </is>
      </c>
      <c r="R3315" s="256" t="inlineStr"/>
    </row>
    <row r="3316">
      <c r="A3316" s="256" t="inlineStr">
        <is>
          <t>CoQ-PP_26-145</t>
        </is>
      </c>
      <c r="B3316" s="256" t="inlineStr">
        <is>
          <t>reissue — retest</t>
        </is>
      </c>
      <c r="C3316" s="256" t="inlineStr">
        <is>
          <t>FB112501</t>
        </is>
      </c>
      <c r="D3316" s="256" t="inlineStr">
        <is>
          <t>— no P lot assigned —</t>
        </is>
      </c>
      <c r="E3316" s="256" t="inlineStr">
        <is>
          <t>Fat Bastard</t>
        </is>
      </c>
      <c r="F3316" s="256" t="inlineStr">
        <is>
          <t>21.09.2026</t>
        </is>
      </c>
      <c r="G3316" s="256" t="inlineStr">
        <is>
          <t>3</t>
        </is>
      </c>
      <c r="H3316" s="256" t="inlineStr">
        <is>
          <t>Identification C · HPLC/HPTLC</t>
        </is>
      </c>
      <c r="I3316" s="256" t="inlineStr">
        <is>
          <t>Ph. Eur. 2.2.29 (3028)</t>
        </is>
      </c>
      <c r="J3316" s="256" t="inlineStr">
        <is>
          <t>Conforms to the monograph for Cannabis flos (07/2024:3028) in Ph. Eur. 11.0 | Согласно монографија за Cannabis flos (07/2024:3028) во Ph. Eur. 11.0</t>
        </is>
      </c>
      <c r="K3316" s="256" t="inlineStr">
        <is>
          <t>Conforms | Одговара</t>
        </is>
      </c>
      <c r="L3316" s="256" t="inlineStr">
        <is>
          <t>227-22-К/26</t>
        </is>
      </c>
      <c r="M3316" s="256" t="inlineStr">
        <is>
          <t>11.09.2026</t>
        </is>
      </c>
      <c r="N3316" s="256" t="inlineStr">
        <is>
          <t>Farmahem</t>
        </is>
      </c>
      <c r="O3316" s="256" t="inlineStr">
        <is>
          <t>24.08.2026</t>
        </is>
      </c>
      <c r="P3316" s="256" t="inlineStr">
        <is>
          <t>covered</t>
        </is>
      </c>
      <c r="Q3316" s="256" t="inlineStr"/>
      <c r="R3316" s="256" t="inlineStr"/>
    </row>
    <row r="3317">
      <c r="A3317" s="256" t="inlineStr">
        <is>
          <t>CoQ-PP_26-145</t>
        </is>
      </c>
      <c r="B3317" s="256" t="inlineStr">
        <is>
          <t>reissue — retest</t>
        </is>
      </c>
      <c r="C3317" s="256" t="inlineStr">
        <is>
          <t>FB112501</t>
        </is>
      </c>
      <c r="D3317" s="256" t="inlineStr">
        <is>
          <t>— no P lot assigned —</t>
        </is>
      </c>
      <c r="E3317" s="256" t="inlineStr">
        <is>
          <t>Fat Bastard</t>
        </is>
      </c>
      <c r="F3317" s="256" t="inlineStr">
        <is>
          <t>21.09.2026</t>
        </is>
      </c>
      <c r="G3317" s="256" t="inlineStr">
        <is>
          <t>4</t>
        </is>
      </c>
      <c r="H3317" s="256" t="inlineStr">
        <is>
          <t>Assay — Total Δ⁹-THC</t>
        </is>
      </c>
      <c r="I3317" s="256" t="inlineStr">
        <is>
          <t>Ph. Eur. 2.2.29 (HPLC)</t>
        </is>
      </c>
      <c r="J3317" s="256" t="inlineStr">
        <is>
          <t>16.20 – 19.79 %  (grade II, nominal 18.00 ± 1.80)</t>
        </is>
      </c>
      <c r="K3317" s="256" t="inlineStr">
        <is>
          <t>18.75</t>
        </is>
      </c>
      <c r="L3317" s="256" t="inlineStr">
        <is>
          <t>227-22-К/26</t>
        </is>
      </c>
      <c r="M3317" s="256" t="inlineStr">
        <is>
          <t>11.09.2026</t>
        </is>
      </c>
      <c r="N3317" s="256" t="inlineStr">
        <is>
          <t>Farmahem</t>
        </is>
      </c>
      <c r="O3317" s="256" t="inlineStr">
        <is>
          <t>24.08.2026</t>
        </is>
      </c>
      <c r="P3317" s="256" t="inlineStr">
        <is>
          <t>covered</t>
        </is>
      </c>
      <c r="Q3317" s="256" t="inlineStr"/>
      <c r="R3317" s="256" t="inlineStr"/>
    </row>
    <row r="3318">
      <c r="A3318" s="256" t="inlineStr">
        <is>
          <t>CoQ-PP_26-145</t>
        </is>
      </c>
      <c r="B3318" s="256" t="inlineStr">
        <is>
          <t>reissue — retest</t>
        </is>
      </c>
      <c r="C3318" s="256" t="inlineStr">
        <is>
          <t>FB112501</t>
        </is>
      </c>
      <c r="D3318" s="256" t="inlineStr">
        <is>
          <t>— no P lot assigned —</t>
        </is>
      </c>
      <c r="E3318" s="256" t="inlineStr">
        <is>
          <t>Fat Bastard</t>
        </is>
      </c>
      <c r="F3318" s="256" t="inlineStr">
        <is>
          <t>21.09.2026</t>
        </is>
      </c>
      <c r="G3318" s="256" t="inlineStr">
        <is>
          <t>5</t>
        </is>
      </c>
      <c r="H3318" s="256" t="inlineStr">
        <is>
          <t>Assay — Total CBD</t>
        </is>
      </c>
      <c r="I3318" s="256" t="inlineStr">
        <is>
          <t>Ph. Eur. 2.2.29 (HPLC) · CBD + CBDA x 0.877</t>
        </is>
      </c>
      <c r="J3318" s="256" t="inlineStr">
        <is>
          <t>≤ 1.0%, w/w</t>
        </is>
      </c>
      <c r="K3318" s="256" t="inlineStr">
        <is>
          <t>&lt; LOQ</t>
        </is>
      </c>
      <c r="L3318" s="256" t="inlineStr">
        <is>
          <t>227-22-К/26</t>
        </is>
      </c>
      <c r="M3318" s="256" t="inlineStr">
        <is>
          <t>11.09.2026</t>
        </is>
      </c>
      <c r="N3318" s="256" t="inlineStr">
        <is>
          <t>Farmahem</t>
        </is>
      </c>
      <c r="O3318" s="256" t="inlineStr">
        <is>
          <t>24.08.2026</t>
        </is>
      </c>
      <c r="P3318" s="256" t="inlineStr">
        <is>
          <t>covered</t>
        </is>
      </c>
      <c r="Q3318" s="256" t="inlineStr"/>
      <c r="R3318" s="256" t="inlineStr"/>
    </row>
    <row r="3319">
      <c r="A3319" s="256" t="inlineStr">
        <is>
          <t>CoQ-PP_26-145</t>
        </is>
      </c>
      <c r="B3319" s="256" t="inlineStr">
        <is>
          <t>reissue — retest</t>
        </is>
      </c>
      <c r="C3319" s="256" t="inlineStr">
        <is>
          <t>FB112501</t>
        </is>
      </c>
      <c r="D3319" s="256" t="inlineStr">
        <is>
          <t>— no P lot assigned —</t>
        </is>
      </c>
      <c r="E3319" s="256" t="inlineStr">
        <is>
          <t>Fat Bastard</t>
        </is>
      </c>
      <c r="F3319" s="256" t="inlineStr">
        <is>
          <t>21.09.2026</t>
        </is>
      </c>
      <c r="G3319" s="256" t="inlineStr">
        <is>
          <t>6</t>
        </is>
      </c>
      <c r="H3319" s="256" t="inlineStr">
        <is>
          <t>Total CBN</t>
        </is>
      </c>
      <c r="I3319" s="256" t="inlineStr">
        <is>
          <t>Ph. Eur. 2.2.29 (HPLC) · CBN + CBNA x 0.876</t>
        </is>
      </c>
      <c r="J3319" s="256" t="inlineStr">
        <is>
          <t>≤ 1.0%, w/w</t>
        </is>
      </c>
      <c r="K3319" s="256" t="inlineStr">
        <is>
          <t>&lt; LOQ</t>
        </is>
      </c>
      <c r="L3319" s="256" t="inlineStr">
        <is>
          <t>227-22-К/26</t>
        </is>
      </c>
      <c r="M3319" s="256" t="inlineStr">
        <is>
          <t>11.09.2026</t>
        </is>
      </c>
      <c r="N3319" s="256" t="inlineStr">
        <is>
          <t>Farmahem</t>
        </is>
      </c>
      <c r="O3319" s="256" t="inlineStr">
        <is>
          <t>24.08.2026</t>
        </is>
      </c>
      <c r="P3319" s="256" t="inlineStr">
        <is>
          <t>covered</t>
        </is>
      </c>
      <c r="Q3319" s="256" t="inlineStr"/>
      <c r="R3319" s="256" t="inlineStr"/>
    </row>
    <row r="3320">
      <c r="A3320" s="256" t="inlineStr">
        <is>
          <t>CoQ-PP_26-145</t>
        </is>
      </c>
      <c r="B3320" s="256" t="inlineStr">
        <is>
          <t>reissue — retest</t>
        </is>
      </c>
      <c r="C3320" s="256" t="inlineStr">
        <is>
          <t>FB112501</t>
        </is>
      </c>
      <c r="D3320" s="256" t="inlineStr">
        <is>
          <t>— no P lot assigned —</t>
        </is>
      </c>
      <c r="E3320" s="256" t="inlineStr">
        <is>
          <t>Fat Bastard</t>
        </is>
      </c>
      <c r="F3320" s="256" t="inlineStr">
        <is>
          <t>21.09.2026</t>
        </is>
      </c>
      <c r="G3320" s="256" t="inlineStr">
        <is>
          <t>7</t>
        </is>
      </c>
      <c r="H3320" s="256" t="inlineStr">
        <is>
          <t>Foreign Matter</t>
        </is>
      </c>
      <c r="I3320" s="256" t="inlineStr">
        <is>
          <t>Ph. Eur. 2.8.2 · In-house · интерна</t>
        </is>
      </c>
      <c r="J3320" s="256" t="inlineStr">
        <is>
          <t>≤ 2.0% / 25–50 g · &lt; 1 cm leaves | листови, no seeds | без семки</t>
        </is>
      </c>
      <c r="K3320" s="256" t="inlineStr">
        <is>
          <t>Conforms | Одговара</t>
        </is>
      </c>
      <c r="L3320" s="256" t="inlineStr">
        <is>
          <t>iCoA-PP_26-183</t>
        </is>
      </c>
      <c r="M3320" s="256" t="inlineStr">
        <is>
          <t>24.08.2026</t>
        </is>
      </c>
      <c r="N3320" s="256" t="inlineStr">
        <is>
          <t>Purely Plant GmbH (in-house)</t>
        </is>
      </c>
      <c r="O3320" s="256" t="inlineStr">
        <is>
          <t>—</t>
        </is>
      </c>
      <c r="P3320" s="256" t="inlineStr">
        <is>
          <t>to be performed — see route</t>
        </is>
      </c>
      <c r="Q3320" s="256" t="inlineStr">
        <is>
          <t>Purely Plant laboratory — iCoA covering Foreign matter</t>
        </is>
      </c>
      <c r="R3320" s="256" t="inlineStr"/>
    </row>
    <row r="3321">
      <c r="A3321" s="256" t="inlineStr">
        <is>
          <t>CoQ-PP_26-145</t>
        </is>
      </c>
      <c r="B3321" s="256" t="inlineStr">
        <is>
          <t>reissue — retest</t>
        </is>
      </c>
      <c r="C3321" s="256" t="inlineStr">
        <is>
          <t>FB112501</t>
        </is>
      </c>
      <c r="D3321" s="256" t="inlineStr">
        <is>
          <t>— no P lot assigned —</t>
        </is>
      </c>
      <c r="E3321" s="256" t="inlineStr">
        <is>
          <t>Fat Bastard</t>
        </is>
      </c>
      <c r="F3321" s="256" t="inlineStr">
        <is>
          <t>21.09.2026</t>
        </is>
      </c>
      <c r="G3321" s="256" t="inlineStr">
        <is>
          <t>8</t>
        </is>
      </c>
      <c r="H3321" s="256" t="inlineStr">
        <is>
          <t>Loss on Drying</t>
        </is>
      </c>
      <c r="I3321" s="256" t="inlineStr">
        <is>
          <t>DAB 2018 monograph Cannabis flos, 2.2.32 — loss on drying (CNP, before its Ph. Eur. 3028 accreditation)</t>
        </is>
      </c>
      <c r="J3321" s="256" t="inlineStr">
        <is>
          <t>≤ 12.0%</t>
        </is>
      </c>
      <c r="K3321" s="256" t="inlineStr">
        <is>
          <t>6.09</t>
        </is>
      </c>
      <c r="L3321" s="256" t="inlineStr">
        <is>
          <t>ППК26066</t>
        </is>
      </c>
      <c r="M3321" s="256" t="inlineStr">
        <is>
          <t>11.05.2026</t>
        </is>
      </c>
      <c r="N3321" s="256" t="inlineStr">
        <is>
          <t>UKIM Faculty of Pharmacy — Center for Natural Products</t>
        </is>
      </c>
      <c r="O3321" s="256" t="inlineStr">
        <is>
          <t>21.04.2026</t>
        </is>
      </c>
      <c r="P3321" s="256" t="inlineStr">
        <is>
          <t>carried from the initial testing (the batch's initial CoQ (number assigned on issue)) — covered</t>
        </is>
      </c>
      <c r="Q3321" s="256" t="inlineStr"/>
      <c r="R3321" s="256" t="inlineStr"/>
    </row>
    <row r="3322">
      <c r="A3322" s="256" t="inlineStr">
        <is>
          <t>CoQ-PP_26-145</t>
        </is>
      </c>
      <c r="B3322" s="256" t="inlineStr">
        <is>
          <t>reissue — retest</t>
        </is>
      </c>
      <c r="C3322" s="256" t="inlineStr">
        <is>
          <t>FB112501</t>
        </is>
      </c>
      <c r="D3322" s="256" t="inlineStr">
        <is>
          <t>— no P lot assigned —</t>
        </is>
      </c>
      <c r="E3322" s="256" t="inlineStr">
        <is>
          <t>Fat Bastard</t>
        </is>
      </c>
      <c r="F3322" s="256" t="inlineStr">
        <is>
          <t>21.09.2026</t>
        </is>
      </c>
      <c r="G3322" s="256" t="inlineStr">
        <is>
          <t>9.1</t>
        </is>
      </c>
      <c r="H3322" s="256" t="inlineStr">
        <is>
          <t>TAMC</t>
        </is>
      </c>
      <c r="I3322" s="256" t="inlineStr">
        <is>
          <t>Ph. Eur. 2.6.12 cat. C</t>
        </is>
      </c>
      <c r="J3322" s="256" t="inlineStr">
        <is>
          <t>≤ 10⁵ CFU/g</t>
        </is>
      </c>
      <c r="K3322" s="256" t="inlineStr">
        <is>
          <t>3 × 10³</t>
        </is>
      </c>
      <c r="L3322" s="256" t="inlineStr">
        <is>
          <t>542/1073/26</t>
        </is>
      </c>
      <c r="M3322" s="256" t="inlineStr">
        <is>
          <t>31.08.2026</t>
        </is>
      </c>
      <c r="N3322" s="256" t="inlineStr">
        <is>
          <t>IPH — Institute of Public Health</t>
        </is>
      </c>
      <c r="O3322" s="256" t="inlineStr">
        <is>
          <t>25.08.2026</t>
        </is>
      </c>
      <c r="P3322" s="256" t="inlineStr">
        <is>
          <t>covered</t>
        </is>
      </c>
      <c r="Q3322" s="256" t="inlineStr"/>
      <c r="R3322" s="256" t="inlineStr"/>
    </row>
    <row r="3323">
      <c r="A3323" s="256" t="inlineStr">
        <is>
          <t>CoQ-PP_26-145</t>
        </is>
      </c>
      <c r="B3323" s="256" t="inlineStr">
        <is>
          <t>reissue — retest</t>
        </is>
      </c>
      <c r="C3323" s="256" t="inlineStr">
        <is>
          <t>FB112501</t>
        </is>
      </c>
      <c r="D3323" s="256" t="inlineStr">
        <is>
          <t>— no P lot assigned —</t>
        </is>
      </c>
      <c r="E3323" s="256" t="inlineStr">
        <is>
          <t>Fat Bastard</t>
        </is>
      </c>
      <c r="F3323" s="256" t="inlineStr">
        <is>
          <t>21.09.2026</t>
        </is>
      </c>
      <c r="G3323" s="256" t="inlineStr">
        <is>
          <t>9.2</t>
        </is>
      </c>
      <c r="H3323" s="256" t="inlineStr">
        <is>
          <t>TYMC</t>
        </is>
      </c>
      <c r="I3323" s="256" t="inlineStr">
        <is>
          <t>Ph. Eur. 2.6.12 cat. C</t>
        </is>
      </c>
      <c r="J3323" s="256" t="inlineStr">
        <is>
          <t>≤ 10⁴ CFU/g</t>
        </is>
      </c>
      <c r="K3323" s="256" t="inlineStr">
        <is>
          <t>5,2 × 10²</t>
        </is>
      </c>
      <c r="L3323" s="256" t="inlineStr">
        <is>
          <t>542/1073/26</t>
        </is>
      </c>
      <c r="M3323" s="256" t="inlineStr">
        <is>
          <t>31.08.2026</t>
        </is>
      </c>
      <c r="N3323" s="256" t="inlineStr">
        <is>
          <t>IPH — Institute of Public Health</t>
        </is>
      </c>
      <c r="O3323" s="256" t="inlineStr">
        <is>
          <t>25.08.2026</t>
        </is>
      </c>
      <c r="P3323" s="256" t="inlineStr">
        <is>
          <t>covered</t>
        </is>
      </c>
      <c r="Q3323" s="256" t="inlineStr"/>
      <c r="R3323" s="256" t="inlineStr"/>
    </row>
    <row r="3324">
      <c r="A3324" s="256" t="inlineStr">
        <is>
          <t>CoQ-PP_26-145</t>
        </is>
      </c>
      <c r="B3324" s="256" t="inlineStr">
        <is>
          <t>reissue — retest</t>
        </is>
      </c>
      <c r="C3324" s="256" t="inlineStr">
        <is>
          <t>FB112501</t>
        </is>
      </c>
      <c r="D3324" s="256" t="inlineStr">
        <is>
          <t>— no P lot assigned —</t>
        </is>
      </c>
      <c r="E3324" s="256" t="inlineStr">
        <is>
          <t>Fat Bastard</t>
        </is>
      </c>
      <c r="F3324" s="256" t="inlineStr">
        <is>
          <t>21.09.2026</t>
        </is>
      </c>
      <c r="G3324" s="256" t="inlineStr">
        <is>
          <t>9.3</t>
        </is>
      </c>
      <c r="H3324" s="256" t="inlineStr">
        <is>
          <t>Bile-tolerant gram-neg.</t>
        </is>
      </c>
      <c r="I3324" s="256" t="inlineStr">
        <is>
          <t>Ph. Eur. 2.6.31 cat. C</t>
        </is>
      </c>
      <c r="J3324" s="256" t="inlineStr">
        <is>
          <t>≤ 10⁴ CFU/g</t>
        </is>
      </c>
      <c r="K3324" s="256" t="inlineStr">
        <is>
          <t>&lt; 10² and &gt; 10</t>
        </is>
      </c>
      <c r="L3324" s="256" t="inlineStr">
        <is>
          <t>542/1073/26</t>
        </is>
      </c>
      <c r="M3324" s="256" t="inlineStr">
        <is>
          <t>31.08.2026</t>
        </is>
      </c>
      <c r="N3324" s="256" t="inlineStr">
        <is>
          <t>IPH — Institute of Public Health</t>
        </is>
      </c>
      <c r="O3324" s="256" t="inlineStr">
        <is>
          <t>25.08.2026</t>
        </is>
      </c>
      <c r="P3324" s="256" t="inlineStr">
        <is>
          <t>covered</t>
        </is>
      </c>
      <c r="Q3324" s="256" t="inlineStr"/>
      <c r="R3324" s="256" t="inlineStr"/>
    </row>
    <row r="3325">
      <c r="A3325" s="256" t="inlineStr">
        <is>
          <t>CoQ-PP_26-145</t>
        </is>
      </c>
      <c r="B3325" s="256" t="inlineStr">
        <is>
          <t>reissue — retest</t>
        </is>
      </c>
      <c r="C3325" s="256" t="inlineStr">
        <is>
          <t>FB112501</t>
        </is>
      </c>
      <c r="D3325" s="256" t="inlineStr">
        <is>
          <t>— no P lot assigned —</t>
        </is>
      </c>
      <c r="E3325" s="256" t="inlineStr">
        <is>
          <t>Fat Bastard</t>
        </is>
      </c>
      <c r="F3325" s="256" t="inlineStr">
        <is>
          <t>21.09.2026</t>
        </is>
      </c>
      <c r="G3325" s="256" t="inlineStr">
        <is>
          <t>9.4</t>
        </is>
      </c>
      <c r="H3325" s="256" t="inlineStr">
        <is>
          <t>Salmonella</t>
        </is>
      </c>
      <c r="I3325" s="256" t="inlineStr">
        <is>
          <t>Ph. Eur. 2.6.31 cat. C</t>
        </is>
      </c>
      <c r="J3325" s="256" t="inlineStr">
        <is>
          <t>Absence | Отсуство / 25 g</t>
        </is>
      </c>
      <c r="K3325" s="256" t="inlineStr">
        <is>
          <t>Absent | Отсутна</t>
        </is>
      </c>
      <c r="L3325" s="256" t="inlineStr">
        <is>
          <t>542/1073/26</t>
        </is>
      </c>
      <c r="M3325" s="256" t="inlineStr">
        <is>
          <t>31.08.2026</t>
        </is>
      </c>
      <c r="N3325" s="256" t="inlineStr">
        <is>
          <t>IPH — Institute of Public Health</t>
        </is>
      </c>
      <c r="O3325" s="256" t="inlineStr">
        <is>
          <t>25.08.2026</t>
        </is>
      </c>
      <c r="P3325" s="256" t="inlineStr">
        <is>
          <t>covered</t>
        </is>
      </c>
      <c r="Q3325" s="256" t="inlineStr"/>
      <c r="R3325" s="256" t="inlineStr"/>
    </row>
    <row r="3326">
      <c r="A3326" s="256" t="inlineStr">
        <is>
          <t>CoQ-PP_26-145</t>
        </is>
      </c>
      <c r="B3326" s="256" t="inlineStr">
        <is>
          <t>reissue — retest</t>
        </is>
      </c>
      <c r="C3326" s="256" t="inlineStr">
        <is>
          <t>FB112501</t>
        </is>
      </c>
      <c r="D3326" s="256" t="inlineStr">
        <is>
          <t>— no P lot assigned —</t>
        </is>
      </c>
      <c r="E3326" s="256" t="inlineStr">
        <is>
          <t>Fat Bastard</t>
        </is>
      </c>
      <c r="F3326" s="256" t="inlineStr">
        <is>
          <t>21.09.2026</t>
        </is>
      </c>
      <c r="G3326" s="256" t="inlineStr">
        <is>
          <t>9.5</t>
        </is>
      </c>
      <c r="H3326" s="256" t="inlineStr">
        <is>
          <t>Escherichia coli</t>
        </is>
      </c>
      <c r="I3326" s="256" t="inlineStr">
        <is>
          <t>Ph. Eur. 2.6.13 cat. C</t>
        </is>
      </c>
      <c r="J3326" s="256" t="inlineStr">
        <is>
          <t>Absence | Отсуство / 1 g</t>
        </is>
      </c>
      <c r="K3326" s="256" t="inlineStr">
        <is>
          <t>Absent | Отсутна</t>
        </is>
      </c>
      <c r="L3326" s="256" t="inlineStr">
        <is>
          <t>542/1073/26</t>
        </is>
      </c>
      <c r="M3326" s="256" t="inlineStr">
        <is>
          <t>31.08.2026</t>
        </is>
      </c>
      <c r="N3326" s="256" t="inlineStr">
        <is>
          <t>IPH — Institute of Public Health</t>
        </is>
      </c>
      <c r="O3326" s="256" t="inlineStr">
        <is>
          <t>25.08.2026</t>
        </is>
      </c>
      <c r="P3326" s="256" t="inlineStr">
        <is>
          <t>covered</t>
        </is>
      </c>
      <c r="Q3326" s="256" t="inlineStr"/>
      <c r="R3326" s="256" t="inlineStr"/>
    </row>
    <row r="3327">
      <c r="A3327" s="256" t="inlineStr">
        <is>
          <t>CoQ-PP_26-145</t>
        </is>
      </c>
      <c r="B3327" s="256" t="inlineStr">
        <is>
          <t>reissue — retest</t>
        </is>
      </c>
      <c r="C3327" s="256" t="inlineStr">
        <is>
          <t>FB112501</t>
        </is>
      </c>
      <c r="D3327" s="256" t="inlineStr">
        <is>
          <t>— no P lot assigned —</t>
        </is>
      </c>
      <c r="E3327" s="256" t="inlineStr">
        <is>
          <t>Fat Bastard</t>
        </is>
      </c>
      <c r="F3327" s="256" t="inlineStr">
        <is>
          <t>21.09.2026</t>
        </is>
      </c>
      <c r="G3327" s="256" t="inlineStr">
        <is>
          <t>9.6</t>
        </is>
      </c>
      <c r="H3327" s="256" t="inlineStr">
        <is>
          <t>Pseudomonas aeruginosa</t>
        </is>
      </c>
      <c r="I3327" s="256" t="inlineStr">
        <is>
          <t>Ph. Eur. 2.6.13 cat. C</t>
        </is>
      </c>
      <c r="J3327" s="256" t="inlineStr">
        <is>
          <t>Absence | Отсуство / 1 g</t>
        </is>
      </c>
      <c r="K3327" s="260" t="inlineStr">
        <is>
          <t>upon request — not required for release</t>
        </is>
      </c>
      <c r="L3327" s="256" t="inlineStr">
        <is>
          <t>—</t>
        </is>
      </c>
      <c r="M3327" s="256" t="inlineStr">
        <is>
          <t>—</t>
        </is>
      </c>
      <c r="N3327" s="256" t="inlineStr">
        <is>
          <t>—</t>
        </is>
      </c>
      <c r="O3327" s="256" t="inlineStr">
        <is>
          <t>—</t>
        </is>
      </c>
      <c r="P3327" s="256" t="inlineStr">
        <is>
          <t>upon request — not required for release</t>
        </is>
      </c>
      <c r="Q3327" s="256" t="inlineStr"/>
      <c r="R3327" s="256" t="inlineStr"/>
    </row>
    <row r="3328">
      <c r="A3328" s="256" t="inlineStr">
        <is>
          <t>CoQ-PP_26-145</t>
        </is>
      </c>
      <c r="B3328" s="256" t="inlineStr">
        <is>
          <t>reissue — retest</t>
        </is>
      </c>
      <c r="C3328" s="256" t="inlineStr">
        <is>
          <t>FB112501</t>
        </is>
      </c>
      <c r="D3328" s="256" t="inlineStr">
        <is>
          <t>— no P lot assigned —</t>
        </is>
      </c>
      <c r="E3328" s="256" t="inlineStr">
        <is>
          <t>Fat Bastard</t>
        </is>
      </c>
      <c r="F3328" s="256" t="inlineStr">
        <is>
          <t>21.09.2026</t>
        </is>
      </c>
      <c r="G3328" s="256" t="inlineStr">
        <is>
          <t>9.7</t>
        </is>
      </c>
      <c r="H3328" s="256" t="inlineStr">
        <is>
          <t>Staphylococcus aureus</t>
        </is>
      </c>
      <c r="I3328" s="256" t="inlineStr">
        <is>
          <t>Ph. Eur. 2.6.13 cat. C</t>
        </is>
      </c>
      <c r="J3328" s="256" t="inlineStr">
        <is>
          <t>Absence | Отсуство / 1 g</t>
        </is>
      </c>
      <c r="K3328" s="260" t="inlineStr">
        <is>
          <t>upon request — not required for release</t>
        </is>
      </c>
      <c r="L3328" s="256" t="inlineStr">
        <is>
          <t>—</t>
        </is>
      </c>
      <c r="M3328" s="256" t="inlineStr">
        <is>
          <t>—</t>
        </is>
      </c>
      <c r="N3328" s="256" t="inlineStr">
        <is>
          <t>—</t>
        </is>
      </c>
      <c r="O3328" s="256" t="inlineStr">
        <is>
          <t>—</t>
        </is>
      </c>
      <c r="P3328" s="256" t="inlineStr">
        <is>
          <t>upon request — not required for release</t>
        </is>
      </c>
      <c r="Q3328" s="256" t="inlineStr"/>
      <c r="R3328" s="256" t="inlineStr"/>
    </row>
    <row r="3329">
      <c r="A3329" s="256" t="inlineStr">
        <is>
          <t>CoQ-PP_26-145</t>
        </is>
      </c>
      <c r="B3329" s="256" t="inlineStr">
        <is>
          <t>reissue — retest</t>
        </is>
      </c>
      <c r="C3329" s="256" t="inlineStr">
        <is>
          <t>FB112501</t>
        </is>
      </c>
      <c r="D3329" s="256" t="inlineStr">
        <is>
          <t>— no P lot assigned —</t>
        </is>
      </c>
      <c r="E3329" s="256" t="inlineStr">
        <is>
          <t>Fat Bastard</t>
        </is>
      </c>
      <c r="F3329" s="256" t="inlineStr">
        <is>
          <t>21.09.2026</t>
        </is>
      </c>
      <c r="G3329" s="256" t="inlineStr">
        <is>
          <t>10.1</t>
        </is>
      </c>
      <c r="H3329" s="256" t="inlineStr">
        <is>
          <t>Aflatoxin B₁</t>
        </is>
      </c>
      <c r="I3329" s="256" t="inlineStr">
        <is>
          <t>Ph. Eur. 2.8.18 (HPLC-FLD)</t>
        </is>
      </c>
      <c r="J3329" s="256" t="inlineStr">
        <is>
          <t>≤ 2 µg/kg</t>
        </is>
      </c>
      <c r="K3329" s="256" t="inlineStr">
        <is>
          <t>ND</t>
        </is>
      </c>
      <c r="L3329" s="256" t="inlineStr">
        <is>
          <t>227-22-М/26</t>
        </is>
      </c>
      <c r="M3329" s="256" t="inlineStr">
        <is>
          <t>16.09.2026</t>
        </is>
      </c>
      <c r="N3329" s="256" t="inlineStr">
        <is>
          <t>Farmahem</t>
        </is>
      </c>
      <c r="O3329" s="256" t="inlineStr">
        <is>
          <t>—</t>
        </is>
      </c>
      <c r="P3329" s="256" t="inlineStr">
        <is>
          <t>covered</t>
        </is>
      </c>
      <c r="Q3329" s="256" t="inlineStr"/>
      <c r="R3329" s="256" t="inlineStr"/>
    </row>
    <row r="3330">
      <c r="A3330" s="256" t="inlineStr">
        <is>
          <t>CoQ-PP_26-145</t>
        </is>
      </c>
      <c r="B3330" s="256" t="inlineStr">
        <is>
          <t>reissue — retest</t>
        </is>
      </c>
      <c r="C3330" s="256" t="inlineStr">
        <is>
          <t>FB112501</t>
        </is>
      </c>
      <c r="D3330" s="256" t="inlineStr">
        <is>
          <t>— no P lot assigned —</t>
        </is>
      </c>
      <c r="E3330" s="256" t="inlineStr">
        <is>
          <t>Fat Bastard</t>
        </is>
      </c>
      <c r="F3330" s="256" t="inlineStr">
        <is>
          <t>21.09.2026</t>
        </is>
      </c>
      <c r="G3330" s="256" t="inlineStr">
        <is>
          <t>10.2</t>
        </is>
      </c>
      <c r="H3330" s="256" t="inlineStr">
        <is>
          <t>Aflatoxins ∑</t>
        </is>
      </c>
      <c r="I3330" s="256" t="inlineStr">
        <is>
          <t>Ph. Eur. 2.8.18 (HPLC-FLD)</t>
        </is>
      </c>
      <c r="J3330" s="256" t="inlineStr">
        <is>
          <t>≤ 4 µg/kg</t>
        </is>
      </c>
      <c r="K3330" s="256" t="inlineStr">
        <is>
          <t>ND</t>
        </is>
      </c>
      <c r="L3330" s="256" t="inlineStr">
        <is>
          <t>227-22-М/26</t>
        </is>
      </c>
      <c r="M3330" s="256" t="inlineStr">
        <is>
          <t>16.09.2026</t>
        </is>
      </c>
      <c r="N3330" s="256" t="inlineStr">
        <is>
          <t>Farmahem</t>
        </is>
      </c>
      <c r="O3330" s="256" t="inlineStr">
        <is>
          <t>—</t>
        </is>
      </c>
      <c r="P3330" s="256" t="inlineStr">
        <is>
          <t>carried from the initial testing (the batch's initial CoQ (number assigned on issue)) — covered</t>
        </is>
      </c>
      <c r="Q3330" s="256" t="inlineStr"/>
      <c r="R3330" s="256" t="inlineStr"/>
    </row>
    <row r="3331">
      <c r="A3331" s="256" t="inlineStr">
        <is>
          <t>CoQ-PP_26-145</t>
        </is>
      </c>
      <c r="B3331" s="256" t="inlineStr">
        <is>
          <t>reissue — retest</t>
        </is>
      </c>
      <c r="C3331" s="256" t="inlineStr">
        <is>
          <t>FB112501</t>
        </is>
      </c>
      <c r="D3331" s="256" t="inlineStr">
        <is>
          <t>— no P lot assigned —</t>
        </is>
      </c>
      <c r="E3331" s="256" t="inlineStr">
        <is>
          <t>Fat Bastard</t>
        </is>
      </c>
      <c r="F3331" s="256" t="inlineStr">
        <is>
          <t>21.09.2026</t>
        </is>
      </c>
      <c r="G3331" s="256" t="inlineStr">
        <is>
          <t>10.3</t>
        </is>
      </c>
      <c r="H3331" s="256" t="inlineStr">
        <is>
          <t>Ochratoxin A</t>
        </is>
      </c>
      <c r="I3331" s="256" t="inlineStr">
        <is>
          <t>Ph. Eur. 2.8.22 (HPLC-FLD)</t>
        </is>
      </c>
      <c r="J3331" s="256" t="inlineStr">
        <is>
          <t>≤ 20 µg/kg</t>
        </is>
      </c>
      <c r="K3331" s="256" t="inlineStr">
        <is>
          <t>ND</t>
        </is>
      </c>
      <c r="L3331" s="256" t="inlineStr">
        <is>
          <t>227-22-М/26</t>
        </is>
      </c>
      <c r="M3331" s="256" t="inlineStr">
        <is>
          <t>16.09.2026</t>
        </is>
      </c>
      <c r="N3331" s="256" t="inlineStr">
        <is>
          <t>Farmahem</t>
        </is>
      </c>
      <c r="O3331" s="256" t="inlineStr">
        <is>
          <t>—</t>
        </is>
      </c>
      <c r="P3331" s="256" t="inlineStr">
        <is>
          <t>covered</t>
        </is>
      </c>
      <c r="Q3331" s="256" t="inlineStr"/>
      <c r="R3331" s="256" t="inlineStr"/>
    </row>
    <row r="3332">
      <c r="A3332" s="256" t="inlineStr">
        <is>
          <t>CoQ-PP_26-145</t>
        </is>
      </c>
      <c r="B3332" s="256" t="inlineStr">
        <is>
          <t>reissue — retest</t>
        </is>
      </c>
      <c r="C3332" s="256" t="inlineStr">
        <is>
          <t>FB112501</t>
        </is>
      </c>
      <c r="D3332" s="256" t="inlineStr">
        <is>
          <t>— no P lot assigned —</t>
        </is>
      </c>
      <c r="E3332" s="256" t="inlineStr">
        <is>
          <t>Fat Bastard</t>
        </is>
      </c>
      <c r="F3332" s="256" t="inlineStr">
        <is>
          <t>21.09.2026</t>
        </is>
      </c>
      <c r="G3332" s="256" t="inlineStr">
        <is>
          <t>11.1</t>
        </is>
      </c>
      <c r="H3332" s="256" t="inlineStr">
        <is>
          <t>Lead (Pb)</t>
        </is>
      </c>
      <c r="I3332" s="256" t="inlineStr">
        <is>
          <t>Ph. Eur. 2.4.27 (ICP-MS)</t>
        </is>
      </c>
      <c r="J3332" s="256" t="inlineStr">
        <is>
          <t>≤ 0.5 mg/kg</t>
        </is>
      </c>
      <c r="K3332" s="256" t="inlineStr">
        <is>
          <t>0.0215</t>
        </is>
      </c>
      <c r="L3332" s="256" t="inlineStr">
        <is>
          <t>2357/2026</t>
        </is>
      </c>
      <c r="M3332" s="256" t="inlineStr">
        <is>
          <t>29.04.2026</t>
        </is>
      </c>
      <c r="N3332" s="256" t="inlineStr">
        <is>
          <t>IPH — Institute of Public Health</t>
        </is>
      </c>
      <c r="O3332" s="256" t="inlineStr">
        <is>
          <t>21.04.2026</t>
        </is>
      </c>
      <c r="P3332" s="256" t="inlineStr">
        <is>
          <t>carried from the initial testing (the batch's initial CoQ (number assigned on issue)) — covered</t>
        </is>
      </c>
      <c r="Q3332" s="256" t="inlineStr"/>
      <c r="R3332" s="256" t="inlineStr"/>
    </row>
    <row r="3333">
      <c r="A3333" s="256" t="inlineStr">
        <is>
          <t>CoQ-PP_26-145</t>
        </is>
      </c>
      <c r="B3333" s="256" t="inlineStr">
        <is>
          <t>reissue — retest</t>
        </is>
      </c>
      <c r="C3333" s="256" t="inlineStr">
        <is>
          <t>FB112501</t>
        </is>
      </c>
      <c r="D3333" s="256" t="inlineStr">
        <is>
          <t>— no P lot assigned —</t>
        </is>
      </c>
      <c r="E3333" s="256" t="inlineStr">
        <is>
          <t>Fat Bastard</t>
        </is>
      </c>
      <c r="F3333" s="256" t="inlineStr">
        <is>
          <t>21.09.2026</t>
        </is>
      </c>
      <c r="G3333" s="256" t="inlineStr">
        <is>
          <t>11.2</t>
        </is>
      </c>
      <c r="H3333" s="256" t="inlineStr">
        <is>
          <t>Cadmium (Cd)</t>
        </is>
      </c>
      <c r="I3333" s="256" t="inlineStr">
        <is>
          <t>Ph. Eur. 2.4.27 (ICP-MS)</t>
        </is>
      </c>
      <c r="J3333" s="256" t="inlineStr">
        <is>
          <t>≤ 0.3 mg/kg</t>
        </is>
      </c>
      <c r="K3333" s="256" t="inlineStr">
        <is>
          <t>0.0108</t>
        </is>
      </c>
      <c r="L3333" s="256" t="inlineStr">
        <is>
          <t>2357/2026</t>
        </is>
      </c>
      <c r="M3333" s="256" t="inlineStr">
        <is>
          <t>29.04.2026</t>
        </is>
      </c>
      <c r="N3333" s="256" t="inlineStr">
        <is>
          <t>IPH — Institute of Public Health</t>
        </is>
      </c>
      <c r="O3333" s="256" t="inlineStr">
        <is>
          <t>21.04.2026</t>
        </is>
      </c>
      <c r="P3333" s="256" t="inlineStr">
        <is>
          <t>carried from the initial testing (the batch's initial CoQ (number assigned on issue)) — covered</t>
        </is>
      </c>
      <c r="Q3333" s="256" t="inlineStr"/>
      <c r="R3333" s="256" t="inlineStr"/>
    </row>
    <row r="3334">
      <c r="A3334" s="256" t="inlineStr">
        <is>
          <t>CoQ-PP_26-145</t>
        </is>
      </c>
      <c r="B3334" s="256" t="inlineStr">
        <is>
          <t>reissue — retest</t>
        </is>
      </c>
      <c r="C3334" s="256" t="inlineStr">
        <is>
          <t>FB112501</t>
        </is>
      </c>
      <c r="D3334" s="256" t="inlineStr">
        <is>
          <t>— no P lot assigned —</t>
        </is>
      </c>
      <c r="E3334" s="256" t="inlineStr">
        <is>
          <t>Fat Bastard</t>
        </is>
      </c>
      <c r="F3334" s="256" t="inlineStr">
        <is>
          <t>21.09.2026</t>
        </is>
      </c>
      <c r="G3334" s="256" t="inlineStr">
        <is>
          <t>11.3</t>
        </is>
      </c>
      <c r="H3334" s="256" t="inlineStr">
        <is>
          <t>Arsenic (As)</t>
        </is>
      </c>
      <c r="I3334" s="256" t="inlineStr">
        <is>
          <t>Ph. Eur. 2.4.27 (ICP-MS)</t>
        </is>
      </c>
      <c r="J3334" s="256" t="inlineStr">
        <is>
          <t>≤ 0.2 mg/kg</t>
        </is>
      </c>
      <c r="K3334" s="256" t="inlineStr">
        <is>
          <t>0.0199</t>
        </is>
      </c>
      <c r="L3334" s="256" t="inlineStr">
        <is>
          <t>2357/2026</t>
        </is>
      </c>
      <c r="M3334" s="256" t="inlineStr">
        <is>
          <t>29.04.2026</t>
        </is>
      </c>
      <c r="N3334" s="256" t="inlineStr">
        <is>
          <t>IPH — Institute of Public Health</t>
        </is>
      </c>
      <c r="O3334" s="256" t="inlineStr">
        <is>
          <t>21.04.2026</t>
        </is>
      </c>
      <c r="P3334" s="256" t="inlineStr">
        <is>
          <t>carried from the initial testing (the batch's initial CoQ (number assigned on issue)) — covered</t>
        </is>
      </c>
      <c r="Q3334" s="256" t="inlineStr"/>
      <c r="R3334" s="256" t="inlineStr"/>
    </row>
    <row r="3335">
      <c r="A3335" s="256" t="inlineStr">
        <is>
          <t>CoQ-PP_26-145</t>
        </is>
      </c>
      <c r="B3335" s="256" t="inlineStr">
        <is>
          <t>reissue — retest</t>
        </is>
      </c>
      <c r="C3335" s="256" t="inlineStr">
        <is>
          <t>FB112501</t>
        </is>
      </c>
      <c r="D3335" s="256" t="inlineStr">
        <is>
          <t>— no P lot assigned —</t>
        </is>
      </c>
      <c r="E3335" s="256" t="inlineStr">
        <is>
          <t>Fat Bastard</t>
        </is>
      </c>
      <c r="F3335" s="256" t="inlineStr">
        <is>
          <t>21.09.2026</t>
        </is>
      </c>
      <c r="G3335" s="256" t="inlineStr">
        <is>
          <t>11.4</t>
        </is>
      </c>
      <c r="H3335" s="256" t="inlineStr">
        <is>
          <t>Mercury (Hg)</t>
        </is>
      </c>
      <c r="I3335" s="256" t="inlineStr">
        <is>
          <t>Ph. Eur. 2.4.27 (ICP-MS)</t>
        </is>
      </c>
      <c r="J3335" s="256" t="inlineStr">
        <is>
          <t>≤ 0.1 mg/kg</t>
        </is>
      </c>
      <c r="K3335" s="256" t="inlineStr">
        <is>
          <t>0.0078</t>
        </is>
      </c>
      <c r="L3335" s="256" t="inlineStr">
        <is>
          <t>2357/2026</t>
        </is>
      </c>
      <c r="M3335" s="256" t="inlineStr">
        <is>
          <t>29.04.2026</t>
        </is>
      </c>
      <c r="N3335" s="256" t="inlineStr">
        <is>
          <t>IPH — Institute of Public Health</t>
        </is>
      </c>
      <c r="O3335" s="256" t="inlineStr">
        <is>
          <t>21.04.2026</t>
        </is>
      </c>
      <c r="P3335" s="256" t="inlineStr">
        <is>
          <t>carried from the initial testing (the batch's initial CoQ (number assigned on issue)) — covered</t>
        </is>
      </c>
      <c r="Q3335" s="256" t="inlineStr"/>
      <c r="R3335" s="256" t="inlineStr"/>
    </row>
    <row r="3336">
      <c r="A3336" s="256" t="inlineStr">
        <is>
          <t>CoQ-PP_26-145</t>
        </is>
      </c>
      <c r="B3336" s="256" t="inlineStr">
        <is>
          <t>reissue — retest</t>
        </is>
      </c>
      <c r="C3336" s="256" t="inlineStr">
        <is>
          <t>FB112501</t>
        </is>
      </c>
      <c r="D3336" s="256" t="inlineStr">
        <is>
          <t>— no P lot assigned —</t>
        </is>
      </c>
      <c r="E3336" s="256" t="inlineStr">
        <is>
          <t>Fat Bastard</t>
        </is>
      </c>
      <c r="F3336" s="256" t="inlineStr">
        <is>
          <t>21.09.2026</t>
        </is>
      </c>
      <c r="G3336" s="256" t="inlineStr">
        <is>
          <t>12</t>
        </is>
      </c>
      <c r="H3336" s="256" t="inlineStr">
        <is>
          <t>Pesticide Residues</t>
        </is>
      </c>
      <c r="I3336" s="256" t="inlineStr">
        <is>
          <t>Ph. Eur. 2.8.13 (LC-MS/MS) · CUMCS Equivalency</t>
        </is>
      </c>
      <c r="J3336" s="256" t="inlineStr">
        <is>
          <t>≤ LOQ as per Ph. Eur. 2.8.13 · ≤ LOQ as per CUMCS Equivalency</t>
        </is>
      </c>
      <c r="K3336" s="256" t="inlineStr">
        <is>
          <t>ND</t>
        </is>
      </c>
      <c r="L3336" s="256" t="inlineStr">
        <is>
          <t>2357/2026</t>
        </is>
      </c>
      <c r="M3336" s="256" t="inlineStr">
        <is>
          <t>29.04.2026</t>
        </is>
      </c>
      <c r="N3336" s="256" t="inlineStr">
        <is>
          <t>IPH — Institute of Public Health</t>
        </is>
      </c>
      <c r="O3336" s="256" t="inlineStr">
        <is>
          <t>21.04.2026</t>
        </is>
      </c>
      <c r="P3336" s="256" t="inlineStr">
        <is>
          <t>carried from the initial testing (the batch's initial CoQ (number assigned on issue)) — covered</t>
        </is>
      </c>
      <c r="Q3336" s="256" t="inlineStr"/>
      <c r="R3336" s="256" t="inlineStr"/>
    </row>
    <row r="3337">
      <c r="A3337" s="256" t="inlineStr">
        <is>
          <t>CoQ-PP_26-146</t>
        </is>
      </c>
      <c r="B3337" s="256" t="inlineStr">
        <is>
          <t>reissue — retest</t>
        </is>
      </c>
      <c r="C3337" s="256" t="inlineStr">
        <is>
          <t>GG012601</t>
        </is>
      </c>
      <c r="D3337" s="256" t="inlineStr">
        <is>
          <t>— no P lot assigned —</t>
        </is>
      </c>
      <c r="E3337" s="256" t="inlineStr">
        <is>
          <t>Gorilla Glue</t>
        </is>
      </c>
      <c r="F3337" s="256" t="inlineStr">
        <is>
          <t>21.09.2026</t>
        </is>
      </c>
      <c r="G3337" s="256" t="inlineStr">
        <is>
          <t>1</t>
        </is>
      </c>
      <c r="H3337" s="256" t="inlineStr">
        <is>
          <t>Identification A, Appearance · Macroscopic</t>
        </is>
      </c>
      <c r="I3337" s="256" t="inlineStr">
        <is>
          <t>Ph. Eur. mon. 3028</t>
        </is>
      </c>
      <c r="J3337" s="256" t="inlineStr">
        <is>
          <t>Conforms to the monograph for Cannabis flos (07/2024:3028) in Ph. Eur. 11.0 | Согласно монографија за Cannabis flos (07/2024:3028) во Ph. Eur. 11.0</t>
        </is>
      </c>
      <c r="K3337" s="256" t="inlineStr">
        <is>
          <t>Conforms | Одговара</t>
        </is>
      </c>
      <c r="L3337" s="256" t="inlineStr">
        <is>
          <t>iCoA-PP_26-184</t>
        </is>
      </c>
      <c r="M3337" s="256" t="inlineStr">
        <is>
          <t>24.08.2026</t>
        </is>
      </c>
      <c r="N3337" s="256" t="inlineStr">
        <is>
          <t>Purely Plant GmbH (in-house)</t>
        </is>
      </c>
      <c r="O3337" s="256" t="inlineStr">
        <is>
          <t>—</t>
        </is>
      </c>
      <c r="P3337" s="256" t="inlineStr">
        <is>
          <t>to be performed — see route</t>
        </is>
      </c>
      <c r="Q3337" s="256" t="inlineStr">
        <is>
          <t>Farmahem — Ident A + B + C with the Assay, at retest</t>
        </is>
      </c>
      <c r="R3337" s="256" t="inlineStr"/>
    </row>
    <row r="3338">
      <c r="A3338" s="256" t="inlineStr">
        <is>
          <t>CoQ-PP_26-146</t>
        </is>
      </c>
      <c r="B3338" s="256" t="inlineStr">
        <is>
          <t>reissue — retest</t>
        </is>
      </c>
      <c r="C3338" s="256" t="inlineStr">
        <is>
          <t>GG012601</t>
        </is>
      </c>
      <c r="D3338" s="256" t="inlineStr">
        <is>
          <t>— no P lot assigned —</t>
        </is>
      </c>
      <c r="E3338" s="256" t="inlineStr">
        <is>
          <t>Gorilla Glue</t>
        </is>
      </c>
      <c r="F3338" s="256" t="inlineStr">
        <is>
          <t>21.09.2026</t>
        </is>
      </c>
      <c r="G3338" s="256" t="inlineStr">
        <is>
          <t>2</t>
        </is>
      </c>
      <c r="H3338" s="256" t="inlineStr">
        <is>
          <t>Identification B · Microscopic</t>
        </is>
      </c>
      <c r="I3338" s="256" t="inlineStr">
        <is>
          <t>Ph. Eur. 2.8.23 (microscopy)</t>
        </is>
      </c>
      <c r="J3338" s="256" t="inlineStr">
        <is>
          <t>Conforms to the monograph for Cannabis flos (07/2024:3028) in Ph. Eur. 11.0 | Согласно монографија за Cannabis flos (07/2024:3028) во Ph. Eur. 11.0</t>
        </is>
      </c>
      <c r="K3338" s="256" t="inlineStr">
        <is>
          <t>Conforms | Одговара</t>
        </is>
      </c>
      <c r="L3338" s="256" t="inlineStr">
        <is>
          <t>iCoA-PP_26-184</t>
        </is>
      </c>
      <c r="M3338" s="256" t="inlineStr">
        <is>
          <t>24.08.2026</t>
        </is>
      </c>
      <c r="N3338" s="256" t="inlineStr">
        <is>
          <t>Purely Plant GmbH (in-house)</t>
        </is>
      </c>
      <c r="O3338" s="256" t="inlineStr">
        <is>
          <t>—</t>
        </is>
      </c>
      <c r="P3338" s="256" t="inlineStr">
        <is>
          <t>to be performed — see route</t>
        </is>
      </c>
      <c r="Q3338" s="256" t="inlineStr">
        <is>
          <t>Farmahem — Ident A + B + C with the Assay, at retest</t>
        </is>
      </c>
      <c r="R3338" s="256" t="inlineStr"/>
    </row>
    <row r="3339">
      <c r="A3339" s="256" t="inlineStr">
        <is>
          <t>CoQ-PP_26-146</t>
        </is>
      </c>
      <c r="B3339" s="256" t="inlineStr">
        <is>
          <t>reissue — retest</t>
        </is>
      </c>
      <c r="C3339" s="256" t="inlineStr">
        <is>
          <t>GG012601</t>
        </is>
      </c>
      <c r="D3339" s="256" t="inlineStr">
        <is>
          <t>— no P lot assigned —</t>
        </is>
      </c>
      <c r="E3339" s="256" t="inlineStr">
        <is>
          <t>Gorilla Glue</t>
        </is>
      </c>
      <c r="F3339" s="256" t="inlineStr">
        <is>
          <t>21.09.2026</t>
        </is>
      </c>
      <c r="G3339" s="256" t="inlineStr">
        <is>
          <t>3</t>
        </is>
      </c>
      <c r="H3339" s="256" t="inlineStr">
        <is>
          <t>Identification C · HPLC/HPTLC</t>
        </is>
      </c>
      <c r="I3339" s="256" t="inlineStr">
        <is>
          <t>Ph. Eur. 2.2.29 (3028)</t>
        </is>
      </c>
      <c r="J3339" s="256" t="inlineStr">
        <is>
          <t>Conforms to the monograph for Cannabis flos (07/2024:3028) in Ph. Eur. 11.0 | Согласно монографија за Cannabis flos (07/2024:3028) во Ph. Eur. 11.0</t>
        </is>
      </c>
      <c r="K3339" s="256" t="inlineStr">
        <is>
          <t>Conforms | Одговара</t>
        </is>
      </c>
      <c r="L3339" s="256" t="inlineStr">
        <is>
          <t>227-21-К/26</t>
        </is>
      </c>
      <c r="M3339" s="256" t="inlineStr">
        <is>
          <t>11.09.2026</t>
        </is>
      </c>
      <c r="N3339" s="256" t="inlineStr">
        <is>
          <t>Farmahem</t>
        </is>
      </c>
      <c r="O3339" s="256" t="inlineStr">
        <is>
          <t>24.08.2026</t>
        </is>
      </c>
      <c r="P3339" s="256" t="inlineStr">
        <is>
          <t>covered</t>
        </is>
      </c>
      <c r="Q3339" s="256" t="inlineStr"/>
      <c r="R3339" s="256" t="inlineStr"/>
    </row>
    <row r="3340">
      <c r="A3340" s="256" t="inlineStr">
        <is>
          <t>CoQ-PP_26-146</t>
        </is>
      </c>
      <c r="B3340" s="256" t="inlineStr">
        <is>
          <t>reissue — retest</t>
        </is>
      </c>
      <c r="C3340" s="256" t="inlineStr">
        <is>
          <t>GG012601</t>
        </is>
      </c>
      <c r="D3340" s="256" t="inlineStr">
        <is>
          <t>— no P lot assigned —</t>
        </is>
      </c>
      <c r="E3340" s="256" t="inlineStr">
        <is>
          <t>Gorilla Glue</t>
        </is>
      </c>
      <c r="F3340" s="256" t="inlineStr">
        <is>
          <t>21.09.2026</t>
        </is>
      </c>
      <c r="G3340" s="256" t="inlineStr">
        <is>
          <t>4</t>
        </is>
      </c>
      <c r="H3340" s="256" t="inlineStr">
        <is>
          <t>Assay — Total Δ⁹-THC</t>
        </is>
      </c>
      <c r="I3340" s="256" t="inlineStr">
        <is>
          <t>Ph. Eur. 2.2.29 (HPLC)</t>
        </is>
      </c>
      <c r="J3340" s="256" t="inlineStr">
        <is>
          <t>16.23 – 19.76 %  (grade I, nominal 18.00 ± 1.77)</t>
        </is>
      </c>
      <c r="K3340" s="256" t="inlineStr">
        <is>
          <t>19.16</t>
        </is>
      </c>
      <c r="L3340" s="256" t="inlineStr">
        <is>
          <t>227-21-К/26</t>
        </is>
      </c>
      <c r="M3340" s="256" t="inlineStr">
        <is>
          <t>11.09.2026</t>
        </is>
      </c>
      <c r="N3340" s="256" t="inlineStr">
        <is>
          <t>Farmahem</t>
        </is>
      </c>
      <c r="O3340" s="256" t="inlineStr">
        <is>
          <t>24.08.2026</t>
        </is>
      </c>
      <c r="P3340" s="256" t="inlineStr">
        <is>
          <t>covered</t>
        </is>
      </c>
      <c r="Q3340" s="256" t="inlineStr"/>
      <c r="R3340" s="256" t="inlineStr"/>
    </row>
    <row r="3341">
      <c r="A3341" s="256" t="inlineStr">
        <is>
          <t>CoQ-PP_26-146</t>
        </is>
      </c>
      <c r="B3341" s="256" t="inlineStr">
        <is>
          <t>reissue — retest</t>
        </is>
      </c>
      <c r="C3341" s="256" t="inlineStr">
        <is>
          <t>GG012601</t>
        </is>
      </c>
      <c r="D3341" s="256" t="inlineStr">
        <is>
          <t>— no P lot assigned —</t>
        </is>
      </c>
      <c r="E3341" s="256" t="inlineStr">
        <is>
          <t>Gorilla Glue</t>
        </is>
      </c>
      <c r="F3341" s="256" t="inlineStr">
        <is>
          <t>21.09.2026</t>
        </is>
      </c>
      <c r="G3341" s="256" t="inlineStr">
        <is>
          <t>5</t>
        </is>
      </c>
      <c r="H3341" s="256" t="inlineStr">
        <is>
          <t>Assay — Total CBD</t>
        </is>
      </c>
      <c r="I3341" s="256" t="inlineStr">
        <is>
          <t>Ph. Eur. 2.2.29 (HPLC) · CBD + CBDA x 0.877</t>
        </is>
      </c>
      <c r="J3341" s="256" t="inlineStr">
        <is>
          <t>≤ 1.0%, w/w</t>
        </is>
      </c>
      <c r="K3341" s="256" t="inlineStr">
        <is>
          <t>&lt; LOQ</t>
        </is>
      </c>
      <c r="L3341" s="256" t="inlineStr">
        <is>
          <t>227-21-К/26</t>
        </is>
      </c>
      <c r="M3341" s="256" t="inlineStr">
        <is>
          <t>11.09.2026</t>
        </is>
      </c>
      <c r="N3341" s="256" t="inlineStr">
        <is>
          <t>Farmahem</t>
        </is>
      </c>
      <c r="O3341" s="256" t="inlineStr">
        <is>
          <t>24.08.2026</t>
        </is>
      </c>
      <c r="P3341" s="256" t="inlineStr">
        <is>
          <t>covered</t>
        </is>
      </c>
      <c r="Q3341" s="256" t="inlineStr"/>
      <c r="R3341" s="256" t="inlineStr"/>
    </row>
    <row r="3342">
      <c r="A3342" s="256" t="inlineStr">
        <is>
          <t>CoQ-PP_26-146</t>
        </is>
      </c>
      <c r="B3342" s="256" t="inlineStr">
        <is>
          <t>reissue — retest</t>
        </is>
      </c>
      <c r="C3342" s="256" t="inlineStr">
        <is>
          <t>GG012601</t>
        </is>
      </c>
      <c r="D3342" s="256" t="inlineStr">
        <is>
          <t>— no P lot assigned —</t>
        </is>
      </c>
      <c r="E3342" s="256" t="inlineStr">
        <is>
          <t>Gorilla Glue</t>
        </is>
      </c>
      <c r="F3342" s="256" t="inlineStr">
        <is>
          <t>21.09.2026</t>
        </is>
      </c>
      <c r="G3342" s="256" t="inlineStr">
        <is>
          <t>6</t>
        </is>
      </c>
      <c r="H3342" s="256" t="inlineStr">
        <is>
          <t>Total CBN</t>
        </is>
      </c>
      <c r="I3342" s="256" t="inlineStr">
        <is>
          <t>Ph. Eur. 2.2.29 (HPLC) · CBN + CBNA x 0.876</t>
        </is>
      </c>
      <c r="J3342" s="256" t="inlineStr">
        <is>
          <t>≤ 1.0%, w/w</t>
        </is>
      </c>
      <c r="K3342" s="256" t="inlineStr">
        <is>
          <t>&lt; LOQ</t>
        </is>
      </c>
      <c r="L3342" s="256" t="inlineStr">
        <is>
          <t>227-21-К/26</t>
        </is>
      </c>
      <c r="M3342" s="256" t="inlineStr">
        <is>
          <t>11.09.2026</t>
        </is>
      </c>
      <c r="N3342" s="256" t="inlineStr">
        <is>
          <t>Farmahem</t>
        </is>
      </c>
      <c r="O3342" s="256" t="inlineStr">
        <is>
          <t>24.08.2026</t>
        </is>
      </c>
      <c r="P3342" s="256" t="inlineStr">
        <is>
          <t>covered</t>
        </is>
      </c>
      <c r="Q3342" s="256" t="inlineStr"/>
      <c r="R3342" s="256" t="inlineStr"/>
    </row>
    <row r="3343">
      <c r="A3343" s="256" t="inlineStr">
        <is>
          <t>CoQ-PP_26-146</t>
        </is>
      </c>
      <c r="B3343" s="256" t="inlineStr">
        <is>
          <t>reissue — retest</t>
        </is>
      </c>
      <c r="C3343" s="256" t="inlineStr">
        <is>
          <t>GG012601</t>
        </is>
      </c>
      <c r="D3343" s="256" t="inlineStr">
        <is>
          <t>— no P lot assigned —</t>
        </is>
      </c>
      <c r="E3343" s="256" t="inlineStr">
        <is>
          <t>Gorilla Glue</t>
        </is>
      </c>
      <c r="F3343" s="256" t="inlineStr">
        <is>
          <t>21.09.2026</t>
        </is>
      </c>
      <c r="G3343" s="256" t="inlineStr">
        <is>
          <t>7</t>
        </is>
      </c>
      <c r="H3343" s="256" t="inlineStr">
        <is>
          <t>Foreign Matter</t>
        </is>
      </c>
      <c r="I3343" s="256" t="inlineStr">
        <is>
          <t>Ph. Eur. 2.8.2 · In-house · интерна</t>
        </is>
      </c>
      <c r="J3343" s="256" t="inlineStr">
        <is>
          <t>≤ 2.0% / 25–50 g · &lt; 1 cm leaves | листови, no seeds | без семки</t>
        </is>
      </c>
      <c r="K3343" s="256" t="inlineStr">
        <is>
          <t>Conforms | Одговара</t>
        </is>
      </c>
      <c r="L3343" s="256" t="inlineStr">
        <is>
          <t>iCoA-PP_26-184</t>
        </is>
      </c>
      <c r="M3343" s="256" t="inlineStr">
        <is>
          <t>24.08.2026</t>
        </is>
      </c>
      <c r="N3343" s="256" t="inlineStr">
        <is>
          <t>Purely Plant GmbH (in-house)</t>
        </is>
      </c>
      <c r="O3343" s="256" t="inlineStr">
        <is>
          <t>—</t>
        </is>
      </c>
      <c r="P3343" s="256" t="inlineStr">
        <is>
          <t>to be performed — see route</t>
        </is>
      </c>
      <c r="Q3343" s="256" t="inlineStr">
        <is>
          <t>Purely Plant laboratory — iCoA covering Foreign matter</t>
        </is>
      </c>
      <c r="R3343" s="256" t="inlineStr"/>
    </row>
    <row r="3344">
      <c r="A3344" s="256" t="inlineStr">
        <is>
          <t>CoQ-PP_26-146</t>
        </is>
      </c>
      <c r="B3344" s="256" t="inlineStr">
        <is>
          <t>reissue — retest</t>
        </is>
      </c>
      <c r="C3344" s="256" t="inlineStr">
        <is>
          <t>GG012601</t>
        </is>
      </c>
      <c r="D3344" s="256" t="inlineStr">
        <is>
          <t>— no P lot assigned —</t>
        </is>
      </c>
      <c r="E3344" s="256" t="inlineStr">
        <is>
          <t>Gorilla Glue</t>
        </is>
      </c>
      <c r="F3344" s="256" t="inlineStr">
        <is>
          <t>21.09.2026</t>
        </is>
      </c>
      <c r="G3344" s="256" t="inlineStr">
        <is>
          <t>8</t>
        </is>
      </c>
      <c r="H3344" s="256" t="inlineStr">
        <is>
          <t>Loss on Drying</t>
        </is>
      </c>
      <c r="I3344" s="256" t="inlineStr">
        <is>
          <t>DAB 2018 monograph Cannabis flos, 2.2.32 — loss on drying (CNP, before its Ph. Eur. 3028 accreditation)</t>
        </is>
      </c>
      <c r="J3344" s="256" t="inlineStr">
        <is>
          <t>≤ 12.0%</t>
        </is>
      </c>
      <c r="K3344" s="256" t="inlineStr">
        <is>
          <t>6.13</t>
        </is>
      </c>
      <c r="L3344" s="256" t="inlineStr">
        <is>
          <t>ППК26062</t>
        </is>
      </c>
      <c r="M3344" s="256" t="inlineStr">
        <is>
          <t>11.05.2026</t>
        </is>
      </c>
      <c r="N3344" s="256" t="inlineStr">
        <is>
          <t>UKIM Faculty of Pharmacy — Center for Natural Products</t>
        </is>
      </c>
      <c r="O3344" s="256" t="inlineStr">
        <is>
          <t>21.04.2026</t>
        </is>
      </c>
      <c r="P3344" s="256" t="inlineStr">
        <is>
          <t>carried from the initial testing (the batch's initial CoQ (number assigned on issue)) — covered</t>
        </is>
      </c>
      <c r="Q3344" s="256" t="inlineStr"/>
      <c r="R3344" s="256" t="inlineStr"/>
    </row>
    <row r="3345">
      <c r="A3345" s="256" t="inlineStr">
        <is>
          <t>CoQ-PP_26-146</t>
        </is>
      </c>
      <c r="B3345" s="256" t="inlineStr">
        <is>
          <t>reissue — retest</t>
        </is>
      </c>
      <c r="C3345" s="256" t="inlineStr">
        <is>
          <t>GG012601</t>
        </is>
      </c>
      <c r="D3345" s="256" t="inlineStr">
        <is>
          <t>— no P lot assigned —</t>
        </is>
      </c>
      <c r="E3345" s="256" t="inlineStr">
        <is>
          <t>Gorilla Glue</t>
        </is>
      </c>
      <c r="F3345" s="256" t="inlineStr">
        <is>
          <t>21.09.2026</t>
        </is>
      </c>
      <c r="G3345" s="256" t="inlineStr">
        <is>
          <t>9.1</t>
        </is>
      </c>
      <c r="H3345" s="256" t="inlineStr">
        <is>
          <t>TAMC</t>
        </is>
      </c>
      <c r="I3345" s="256" t="inlineStr">
        <is>
          <t>Ph. Eur. 2.6.12 cat. C</t>
        </is>
      </c>
      <c r="J3345" s="256" t="inlineStr">
        <is>
          <t>≤ 10⁵ CFU/g</t>
        </is>
      </c>
      <c r="K3345" s="256" t="inlineStr">
        <is>
          <t>2,2 × 10³</t>
        </is>
      </c>
      <c r="L3345" s="256" t="inlineStr">
        <is>
          <t>541/1072/26</t>
        </is>
      </c>
      <c r="M3345" s="256" t="inlineStr">
        <is>
          <t>31.08.2026</t>
        </is>
      </c>
      <c r="N3345" s="256" t="inlineStr">
        <is>
          <t>IPH — Institute of Public Health</t>
        </is>
      </c>
      <c r="O3345" s="256" t="inlineStr">
        <is>
          <t>25.08.2026</t>
        </is>
      </c>
      <c r="P3345" s="256" t="inlineStr">
        <is>
          <t>covered</t>
        </is>
      </c>
      <c r="Q3345" s="256" t="inlineStr"/>
      <c r="R3345" s="256" t="inlineStr"/>
    </row>
    <row r="3346">
      <c r="A3346" s="256" t="inlineStr">
        <is>
          <t>CoQ-PP_26-146</t>
        </is>
      </c>
      <c r="B3346" s="256" t="inlineStr">
        <is>
          <t>reissue — retest</t>
        </is>
      </c>
      <c r="C3346" s="256" t="inlineStr">
        <is>
          <t>GG012601</t>
        </is>
      </c>
      <c r="D3346" s="256" t="inlineStr">
        <is>
          <t>— no P lot assigned —</t>
        </is>
      </c>
      <c r="E3346" s="256" t="inlineStr">
        <is>
          <t>Gorilla Glue</t>
        </is>
      </c>
      <c r="F3346" s="256" t="inlineStr">
        <is>
          <t>21.09.2026</t>
        </is>
      </c>
      <c r="G3346" s="256" t="inlineStr">
        <is>
          <t>9.2</t>
        </is>
      </c>
      <c r="H3346" s="256" t="inlineStr">
        <is>
          <t>TYMC</t>
        </is>
      </c>
      <c r="I3346" s="256" t="inlineStr">
        <is>
          <t>Ph. Eur. 2.6.12 cat. C</t>
        </is>
      </c>
      <c r="J3346" s="256" t="inlineStr">
        <is>
          <t>≤ 10⁴ CFU/g</t>
        </is>
      </c>
      <c r="K3346" s="256" t="inlineStr">
        <is>
          <t>2,1 × 10³</t>
        </is>
      </c>
      <c r="L3346" s="256" t="inlineStr">
        <is>
          <t>541/1072/26</t>
        </is>
      </c>
      <c r="M3346" s="256" t="inlineStr">
        <is>
          <t>31.08.2026</t>
        </is>
      </c>
      <c r="N3346" s="256" t="inlineStr">
        <is>
          <t>IPH — Institute of Public Health</t>
        </is>
      </c>
      <c r="O3346" s="256" t="inlineStr">
        <is>
          <t>25.08.2026</t>
        </is>
      </c>
      <c r="P3346" s="256" t="inlineStr">
        <is>
          <t>covered</t>
        </is>
      </c>
      <c r="Q3346" s="256" t="inlineStr"/>
      <c r="R3346" s="256" t="inlineStr"/>
    </row>
    <row r="3347">
      <c r="A3347" s="256" t="inlineStr">
        <is>
          <t>CoQ-PP_26-146</t>
        </is>
      </c>
      <c r="B3347" s="256" t="inlineStr">
        <is>
          <t>reissue — retest</t>
        </is>
      </c>
      <c r="C3347" s="256" t="inlineStr">
        <is>
          <t>GG012601</t>
        </is>
      </c>
      <c r="D3347" s="256" t="inlineStr">
        <is>
          <t>— no P lot assigned —</t>
        </is>
      </c>
      <c r="E3347" s="256" t="inlineStr">
        <is>
          <t>Gorilla Glue</t>
        </is>
      </c>
      <c r="F3347" s="256" t="inlineStr">
        <is>
          <t>21.09.2026</t>
        </is>
      </c>
      <c r="G3347" s="256" t="inlineStr">
        <is>
          <t>9.3</t>
        </is>
      </c>
      <c r="H3347" s="256" t="inlineStr">
        <is>
          <t>Bile-tolerant gram-neg.</t>
        </is>
      </c>
      <c r="I3347" s="256" t="inlineStr">
        <is>
          <t>Ph. Eur. 2.6.31 cat. C</t>
        </is>
      </c>
      <c r="J3347" s="256" t="inlineStr">
        <is>
          <t>≤ 10⁴ CFU/g</t>
        </is>
      </c>
      <c r="K3347" s="256" t="inlineStr">
        <is>
          <t>&lt; 10</t>
        </is>
      </c>
      <c r="L3347" s="256" t="inlineStr">
        <is>
          <t>541/1072/26</t>
        </is>
      </c>
      <c r="M3347" s="256" t="inlineStr">
        <is>
          <t>31.08.2026</t>
        </is>
      </c>
      <c r="N3347" s="256" t="inlineStr">
        <is>
          <t>IPH — Institute of Public Health</t>
        </is>
      </c>
      <c r="O3347" s="256" t="inlineStr">
        <is>
          <t>25.08.2026</t>
        </is>
      </c>
      <c r="P3347" s="256" t="inlineStr">
        <is>
          <t>covered</t>
        </is>
      </c>
      <c r="Q3347" s="256" t="inlineStr"/>
      <c r="R3347" s="256" t="inlineStr"/>
    </row>
    <row r="3348">
      <c r="A3348" s="256" t="inlineStr">
        <is>
          <t>CoQ-PP_26-146</t>
        </is>
      </c>
      <c r="B3348" s="256" t="inlineStr">
        <is>
          <t>reissue — retest</t>
        </is>
      </c>
      <c r="C3348" s="256" t="inlineStr">
        <is>
          <t>GG012601</t>
        </is>
      </c>
      <c r="D3348" s="256" t="inlineStr">
        <is>
          <t>— no P lot assigned —</t>
        </is>
      </c>
      <c r="E3348" s="256" t="inlineStr">
        <is>
          <t>Gorilla Glue</t>
        </is>
      </c>
      <c r="F3348" s="256" t="inlineStr">
        <is>
          <t>21.09.2026</t>
        </is>
      </c>
      <c r="G3348" s="256" t="inlineStr">
        <is>
          <t>9.4</t>
        </is>
      </c>
      <c r="H3348" s="256" t="inlineStr">
        <is>
          <t>Salmonella</t>
        </is>
      </c>
      <c r="I3348" s="256" t="inlineStr">
        <is>
          <t>Ph. Eur. 2.6.31 cat. C</t>
        </is>
      </c>
      <c r="J3348" s="256" t="inlineStr">
        <is>
          <t>Absence | Отсуство / 25 g</t>
        </is>
      </c>
      <c r="K3348" s="256" t="inlineStr">
        <is>
          <t>Absent | Отсутна</t>
        </is>
      </c>
      <c r="L3348" s="256" t="inlineStr">
        <is>
          <t>541/1072/26</t>
        </is>
      </c>
      <c r="M3348" s="256" t="inlineStr">
        <is>
          <t>31.08.2026</t>
        </is>
      </c>
      <c r="N3348" s="256" t="inlineStr">
        <is>
          <t>IPH — Institute of Public Health</t>
        </is>
      </c>
      <c r="O3348" s="256" t="inlineStr">
        <is>
          <t>25.08.2026</t>
        </is>
      </c>
      <c r="P3348" s="256" t="inlineStr">
        <is>
          <t>covered</t>
        </is>
      </c>
      <c r="Q3348" s="256" t="inlineStr"/>
      <c r="R3348" s="256" t="inlineStr"/>
    </row>
    <row r="3349">
      <c r="A3349" s="256" t="inlineStr">
        <is>
          <t>CoQ-PP_26-146</t>
        </is>
      </c>
      <c r="B3349" s="256" t="inlineStr">
        <is>
          <t>reissue — retest</t>
        </is>
      </c>
      <c r="C3349" s="256" t="inlineStr">
        <is>
          <t>GG012601</t>
        </is>
      </c>
      <c r="D3349" s="256" t="inlineStr">
        <is>
          <t>— no P lot assigned —</t>
        </is>
      </c>
      <c r="E3349" s="256" t="inlineStr">
        <is>
          <t>Gorilla Glue</t>
        </is>
      </c>
      <c r="F3349" s="256" t="inlineStr">
        <is>
          <t>21.09.2026</t>
        </is>
      </c>
      <c r="G3349" s="256" t="inlineStr">
        <is>
          <t>9.5</t>
        </is>
      </c>
      <c r="H3349" s="256" t="inlineStr">
        <is>
          <t>Escherichia coli</t>
        </is>
      </c>
      <c r="I3349" s="256" t="inlineStr">
        <is>
          <t>Ph. Eur. 2.6.13 cat. C</t>
        </is>
      </c>
      <c r="J3349" s="256" t="inlineStr">
        <is>
          <t>Absence | Отсуство / 1 g</t>
        </is>
      </c>
      <c r="K3349" s="256" t="inlineStr">
        <is>
          <t>Absent | Отсутна</t>
        </is>
      </c>
      <c r="L3349" s="256" t="inlineStr">
        <is>
          <t>541/1072/26</t>
        </is>
      </c>
      <c r="M3349" s="256" t="inlineStr">
        <is>
          <t>31.08.2026</t>
        </is>
      </c>
      <c r="N3349" s="256" t="inlineStr">
        <is>
          <t>IPH — Institute of Public Health</t>
        </is>
      </c>
      <c r="O3349" s="256" t="inlineStr">
        <is>
          <t>25.08.2026</t>
        </is>
      </c>
      <c r="P3349" s="256" t="inlineStr">
        <is>
          <t>covered</t>
        </is>
      </c>
      <c r="Q3349" s="256" t="inlineStr"/>
      <c r="R3349" s="256" t="inlineStr"/>
    </row>
    <row r="3350">
      <c r="A3350" s="256" t="inlineStr">
        <is>
          <t>CoQ-PP_26-146</t>
        </is>
      </c>
      <c r="B3350" s="256" t="inlineStr">
        <is>
          <t>reissue — retest</t>
        </is>
      </c>
      <c r="C3350" s="256" t="inlineStr">
        <is>
          <t>GG012601</t>
        </is>
      </c>
      <c r="D3350" s="256" t="inlineStr">
        <is>
          <t>— no P lot assigned —</t>
        </is>
      </c>
      <c r="E3350" s="256" t="inlineStr">
        <is>
          <t>Gorilla Glue</t>
        </is>
      </c>
      <c r="F3350" s="256" t="inlineStr">
        <is>
          <t>21.09.2026</t>
        </is>
      </c>
      <c r="G3350" s="256" t="inlineStr">
        <is>
          <t>9.6</t>
        </is>
      </c>
      <c r="H3350" s="256" t="inlineStr">
        <is>
          <t>Pseudomonas aeruginosa</t>
        </is>
      </c>
      <c r="I3350" s="256" t="inlineStr">
        <is>
          <t>Ph. Eur. 2.6.13 cat. C</t>
        </is>
      </c>
      <c r="J3350" s="256" t="inlineStr">
        <is>
          <t>Absence | Отсуство / 1 g</t>
        </is>
      </c>
      <c r="K3350" s="260" t="inlineStr">
        <is>
          <t>upon request — not required for release</t>
        </is>
      </c>
      <c r="L3350" s="256" t="inlineStr">
        <is>
          <t>—</t>
        </is>
      </c>
      <c r="M3350" s="256" t="inlineStr">
        <is>
          <t>—</t>
        </is>
      </c>
      <c r="N3350" s="256" t="inlineStr">
        <is>
          <t>—</t>
        </is>
      </c>
      <c r="O3350" s="256" t="inlineStr">
        <is>
          <t>—</t>
        </is>
      </c>
      <c r="P3350" s="256" t="inlineStr">
        <is>
          <t>upon request — not required for release</t>
        </is>
      </c>
      <c r="Q3350" s="256" t="inlineStr"/>
      <c r="R3350" s="256" t="inlineStr"/>
    </row>
    <row r="3351">
      <c r="A3351" s="256" t="inlineStr">
        <is>
          <t>CoQ-PP_26-146</t>
        </is>
      </c>
      <c r="B3351" s="256" t="inlineStr">
        <is>
          <t>reissue — retest</t>
        </is>
      </c>
      <c r="C3351" s="256" t="inlineStr">
        <is>
          <t>GG012601</t>
        </is>
      </c>
      <c r="D3351" s="256" t="inlineStr">
        <is>
          <t>— no P lot assigned —</t>
        </is>
      </c>
      <c r="E3351" s="256" t="inlineStr">
        <is>
          <t>Gorilla Glue</t>
        </is>
      </c>
      <c r="F3351" s="256" t="inlineStr">
        <is>
          <t>21.09.2026</t>
        </is>
      </c>
      <c r="G3351" s="256" t="inlineStr">
        <is>
          <t>9.7</t>
        </is>
      </c>
      <c r="H3351" s="256" t="inlineStr">
        <is>
          <t>Staphylococcus aureus</t>
        </is>
      </c>
      <c r="I3351" s="256" t="inlineStr">
        <is>
          <t>Ph. Eur. 2.6.13 cat. C</t>
        </is>
      </c>
      <c r="J3351" s="256" t="inlineStr">
        <is>
          <t>Absence | Отсуство / 1 g</t>
        </is>
      </c>
      <c r="K3351" s="260" t="inlineStr">
        <is>
          <t>upon request — not required for release</t>
        </is>
      </c>
      <c r="L3351" s="256" t="inlineStr">
        <is>
          <t>—</t>
        </is>
      </c>
      <c r="M3351" s="256" t="inlineStr">
        <is>
          <t>—</t>
        </is>
      </c>
      <c r="N3351" s="256" t="inlineStr">
        <is>
          <t>—</t>
        </is>
      </c>
      <c r="O3351" s="256" t="inlineStr">
        <is>
          <t>—</t>
        </is>
      </c>
      <c r="P3351" s="256" t="inlineStr">
        <is>
          <t>upon request — not required for release</t>
        </is>
      </c>
      <c r="Q3351" s="256" t="inlineStr"/>
      <c r="R3351" s="256" t="inlineStr"/>
    </row>
    <row r="3352">
      <c r="A3352" s="256" t="inlineStr">
        <is>
          <t>CoQ-PP_26-146</t>
        </is>
      </c>
      <c r="B3352" s="256" t="inlineStr">
        <is>
          <t>reissue — retest</t>
        </is>
      </c>
      <c r="C3352" s="256" t="inlineStr">
        <is>
          <t>GG012601</t>
        </is>
      </c>
      <c r="D3352" s="256" t="inlineStr">
        <is>
          <t>— no P lot assigned —</t>
        </is>
      </c>
      <c r="E3352" s="256" t="inlineStr">
        <is>
          <t>Gorilla Glue</t>
        </is>
      </c>
      <c r="F3352" s="256" t="inlineStr">
        <is>
          <t>21.09.2026</t>
        </is>
      </c>
      <c r="G3352" s="256" t="inlineStr">
        <is>
          <t>10.1</t>
        </is>
      </c>
      <c r="H3352" s="256" t="inlineStr">
        <is>
          <t>Aflatoxin B₁</t>
        </is>
      </c>
      <c r="I3352" s="256" t="inlineStr">
        <is>
          <t>Ph. Eur. 2.8.18 (HPLC-FLD)</t>
        </is>
      </c>
      <c r="J3352" s="256" t="inlineStr">
        <is>
          <t>≤ 2 µg/kg</t>
        </is>
      </c>
      <c r="K3352" s="256" t="inlineStr">
        <is>
          <t>ND</t>
        </is>
      </c>
      <c r="L3352" s="256" t="inlineStr">
        <is>
          <t>227-21-М/26</t>
        </is>
      </c>
      <c r="M3352" s="256" t="inlineStr">
        <is>
          <t>16.09.2026</t>
        </is>
      </c>
      <c r="N3352" s="256" t="inlineStr">
        <is>
          <t>Farmahem</t>
        </is>
      </c>
      <c r="O3352" s="256" t="inlineStr">
        <is>
          <t>—</t>
        </is>
      </c>
      <c r="P3352" s="256" t="inlineStr">
        <is>
          <t>covered</t>
        </is>
      </c>
      <c r="Q3352" s="256" t="inlineStr"/>
      <c r="R3352" s="256" t="inlineStr"/>
    </row>
    <row r="3353">
      <c r="A3353" s="256" t="inlineStr">
        <is>
          <t>CoQ-PP_26-146</t>
        </is>
      </c>
      <c r="B3353" s="256" t="inlineStr">
        <is>
          <t>reissue — retest</t>
        </is>
      </c>
      <c r="C3353" s="256" t="inlineStr">
        <is>
          <t>GG012601</t>
        </is>
      </c>
      <c r="D3353" s="256" t="inlineStr">
        <is>
          <t>— no P lot assigned —</t>
        </is>
      </c>
      <c r="E3353" s="256" t="inlineStr">
        <is>
          <t>Gorilla Glue</t>
        </is>
      </c>
      <c r="F3353" s="256" t="inlineStr">
        <is>
          <t>21.09.2026</t>
        </is>
      </c>
      <c r="G3353" s="256" t="inlineStr">
        <is>
          <t>10.2</t>
        </is>
      </c>
      <c r="H3353" s="256" t="inlineStr">
        <is>
          <t>Aflatoxins ∑</t>
        </is>
      </c>
      <c r="I3353" s="256" t="inlineStr">
        <is>
          <t>Ph. Eur. 2.8.18 (HPLC-FLD)</t>
        </is>
      </c>
      <c r="J3353" s="256" t="inlineStr">
        <is>
          <t>≤ 4 µg/kg</t>
        </is>
      </c>
      <c r="K3353" s="256" t="inlineStr">
        <is>
          <t>ND</t>
        </is>
      </c>
      <c r="L3353" s="256" t="inlineStr">
        <is>
          <t>227-21-М/26</t>
        </is>
      </c>
      <c r="M3353" s="256" t="inlineStr">
        <is>
          <t>16.09.2026</t>
        </is>
      </c>
      <c r="N3353" s="256" t="inlineStr">
        <is>
          <t>Farmahem</t>
        </is>
      </c>
      <c r="O3353" s="256" t="inlineStr">
        <is>
          <t>—</t>
        </is>
      </c>
      <c r="P3353" s="256" t="inlineStr">
        <is>
          <t>carried from the initial testing (the batch's initial CoQ (number assigned on issue)) — covered</t>
        </is>
      </c>
      <c r="Q3353" s="256" t="inlineStr"/>
      <c r="R3353" s="256" t="inlineStr"/>
    </row>
    <row r="3354">
      <c r="A3354" s="256" t="inlineStr">
        <is>
          <t>CoQ-PP_26-146</t>
        </is>
      </c>
      <c r="B3354" s="256" t="inlineStr">
        <is>
          <t>reissue — retest</t>
        </is>
      </c>
      <c r="C3354" s="256" t="inlineStr">
        <is>
          <t>GG012601</t>
        </is>
      </c>
      <c r="D3354" s="256" t="inlineStr">
        <is>
          <t>— no P lot assigned —</t>
        </is>
      </c>
      <c r="E3354" s="256" t="inlineStr">
        <is>
          <t>Gorilla Glue</t>
        </is>
      </c>
      <c r="F3354" s="256" t="inlineStr">
        <is>
          <t>21.09.2026</t>
        </is>
      </c>
      <c r="G3354" s="256" t="inlineStr">
        <is>
          <t>10.3</t>
        </is>
      </c>
      <c r="H3354" s="256" t="inlineStr">
        <is>
          <t>Ochratoxin A</t>
        </is>
      </c>
      <c r="I3354" s="256" t="inlineStr">
        <is>
          <t>Ph. Eur. 2.8.22 (HPLC-FLD)</t>
        </is>
      </c>
      <c r="J3354" s="256" t="inlineStr">
        <is>
          <t>≤ 20 µg/kg</t>
        </is>
      </c>
      <c r="K3354" s="256" t="inlineStr">
        <is>
          <t>ND</t>
        </is>
      </c>
      <c r="L3354" s="256" t="inlineStr">
        <is>
          <t>227-21-М/26</t>
        </is>
      </c>
      <c r="M3354" s="256" t="inlineStr">
        <is>
          <t>16.09.2026</t>
        </is>
      </c>
      <c r="N3354" s="256" t="inlineStr">
        <is>
          <t>Farmahem</t>
        </is>
      </c>
      <c r="O3354" s="256" t="inlineStr">
        <is>
          <t>—</t>
        </is>
      </c>
      <c r="P3354" s="256" t="inlineStr">
        <is>
          <t>covered</t>
        </is>
      </c>
      <c r="Q3354" s="256" t="inlineStr"/>
      <c r="R3354" s="256" t="inlineStr"/>
    </row>
    <row r="3355">
      <c r="A3355" s="256" t="inlineStr">
        <is>
          <t>CoQ-PP_26-146</t>
        </is>
      </c>
      <c r="B3355" s="256" t="inlineStr">
        <is>
          <t>reissue — retest</t>
        </is>
      </c>
      <c r="C3355" s="256" t="inlineStr">
        <is>
          <t>GG012601</t>
        </is>
      </c>
      <c r="D3355" s="256" t="inlineStr">
        <is>
          <t>— no P lot assigned —</t>
        </is>
      </c>
      <c r="E3355" s="256" t="inlineStr">
        <is>
          <t>Gorilla Glue</t>
        </is>
      </c>
      <c r="F3355" s="256" t="inlineStr">
        <is>
          <t>21.09.2026</t>
        </is>
      </c>
      <c r="G3355" s="256" t="inlineStr">
        <is>
          <t>11.1</t>
        </is>
      </c>
      <c r="H3355" s="256" t="inlineStr">
        <is>
          <t>Lead (Pb)</t>
        </is>
      </c>
      <c r="I3355" s="256" t="inlineStr">
        <is>
          <t>Ph. Eur. 2.4.27 (ICP-MS)</t>
        </is>
      </c>
      <c r="J3355" s="256" t="inlineStr">
        <is>
          <t>≤ 0.5 mg/kg</t>
        </is>
      </c>
      <c r="K3355" s="256" t="inlineStr">
        <is>
          <t>0.0227</t>
        </is>
      </c>
      <c r="L3355" s="256" t="inlineStr">
        <is>
          <t>2364/2026</t>
        </is>
      </c>
      <c r="M3355" s="256" t="inlineStr">
        <is>
          <t>30.04.2026</t>
        </is>
      </c>
      <c r="N3355" s="256" t="inlineStr">
        <is>
          <t>IPH — Institute of Public Health</t>
        </is>
      </c>
      <c r="O3355" s="256" t="inlineStr">
        <is>
          <t>21.04.2026</t>
        </is>
      </c>
      <c r="P3355" s="256" t="inlineStr">
        <is>
          <t>carried from the initial testing (the batch's initial CoQ (number assigned on issue)) — covered</t>
        </is>
      </c>
      <c r="Q3355" s="256" t="inlineStr"/>
      <c r="R3355" s="256" t="inlineStr"/>
    </row>
    <row r="3356">
      <c r="A3356" s="256" t="inlineStr">
        <is>
          <t>CoQ-PP_26-146</t>
        </is>
      </c>
      <c r="B3356" s="256" t="inlineStr">
        <is>
          <t>reissue — retest</t>
        </is>
      </c>
      <c r="C3356" s="256" t="inlineStr">
        <is>
          <t>GG012601</t>
        </is>
      </c>
      <c r="D3356" s="256" t="inlineStr">
        <is>
          <t>— no P lot assigned —</t>
        </is>
      </c>
      <c r="E3356" s="256" t="inlineStr">
        <is>
          <t>Gorilla Glue</t>
        </is>
      </c>
      <c r="F3356" s="256" t="inlineStr">
        <is>
          <t>21.09.2026</t>
        </is>
      </c>
      <c r="G3356" s="256" t="inlineStr">
        <is>
          <t>11.2</t>
        </is>
      </c>
      <c r="H3356" s="256" t="inlineStr">
        <is>
          <t>Cadmium (Cd)</t>
        </is>
      </c>
      <c r="I3356" s="256" t="inlineStr">
        <is>
          <t>Ph. Eur. 2.4.27 (ICP-MS)</t>
        </is>
      </c>
      <c r="J3356" s="256" t="inlineStr">
        <is>
          <t>≤ 0.3 mg/kg</t>
        </is>
      </c>
      <c r="K3356" s="256" t="inlineStr">
        <is>
          <t>0.0179</t>
        </is>
      </c>
      <c r="L3356" s="256" t="inlineStr">
        <is>
          <t>2364/2026</t>
        </is>
      </c>
      <c r="M3356" s="256" t="inlineStr">
        <is>
          <t>30.04.2026</t>
        </is>
      </c>
      <c r="N3356" s="256" t="inlineStr">
        <is>
          <t>IPH — Institute of Public Health</t>
        </is>
      </c>
      <c r="O3356" s="256" t="inlineStr">
        <is>
          <t>21.04.2026</t>
        </is>
      </c>
      <c r="P3356" s="256" t="inlineStr">
        <is>
          <t>carried from the initial testing (the batch's initial CoQ (number assigned on issue)) — covered</t>
        </is>
      </c>
      <c r="Q3356" s="256" t="inlineStr"/>
      <c r="R3356" s="256" t="inlineStr"/>
    </row>
    <row r="3357">
      <c r="A3357" s="256" t="inlineStr">
        <is>
          <t>CoQ-PP_26-146</t>
        </is>
      </c>
      <c r="B3357" s="256" t="inlineStr">
        <is>
          <t>reissue — retest</t>
        </is>
      </c>
      <c r="C3357" s="256" t="inlineStr">
        <is>
          <t>GG012601</t>
        </is>
      </c>
      <c r="D3357" s="256" t="inlineStr">
        <is>
          <t>— no P lot assigned —</t>
        </is>
      </c>
      <c r="E3357" s="256" t="inlineStr">
        <is>
          <t>Gorilla Glue</t>
        </is>
      </c>
      <c r="F3357" s="256" t="inlineStr">
        <is>
          <t>21.09.2026</t>
        </is>
      </c>
      <c r="G3357" s="256" t="inlineStr">
        <is>
          <t>11.3</t>
        </is>
      </c>
      <c r="H3357" s="256" t="inlineStr">
        <is>
          <t>Arsenic (As)</t>
        </is>
      </c>
      <c r="I3357" s="256" t="inlineStr">
        <is>
          <t>Ph. Eur. 2.4.27 (ICP-MS)</t>
        </is>
      </c>
      <c r="J3357" s="256" t="inlineStr">
        <is>
          <t>≤ 0.2 mg/kg</t>
        </is>
      </c>
      <c r="K3357" s="256" t="inlineStr">
        <is>
          <t>0.0163</t>
        </is>
      </c>
      <c r="L3357" s="256" t="inlineStr">
        <is>
          <t>2364/2026</t>
        </is>
      </c>
      <c r="M3357" s="256" t="inlineStr">
        <is>
          <t>30.04.2026</t>
        </is>
      </c>
      <c r="N3357" s="256" t="inlineStr">
        <is>
          <t>IPH — Institute of Public Health</t>
        </is>
      </c>
      <c r="O3357" s="256" t="inlineStr">
        <is>
          <t>21.04.2026</t>
        </is>
      </c>
      <c r="P3357" s="256" t="inlineStr">
        <is>
          <t>carried from the initial testing (the batch's initial CoQ (number assigned on issue)) — covered</t>
        </is>
      </c>
      <c r="Q3357" s="256" t="inlineStr"/>
      <c r="R3357" s="256" t="inlineStr"/>
    </row>
    <row r="3358">
      <c r="A3358" s="256" t="inlineStr">
        <is>
          <t>CoQ-PP_26-146</t>
        </is>
      </c>
      <c r="B3358" s="256" t="inlineStr">
        <is>
          <t>reissue — retest</t>
        </is>
      </c>
      <c r="C3358" s="256" t="inlineStr">
        <is>
          <t>GG012601</t>
        </is>
      </c>
      <c r="D3358" s="256" t="inlineStr">
        <is>
          <t>— no P lot assigned —</t>
        </is>
      </c>
      <c r="E3358" s="256" t="inlineStr">
        <is>
          <t>Gorilla Glue</t>
        </is>
      </c>
      <c r="F3358" s="256" t="inlineStr">
        <is>
          <t>21.09.2026</t>
        </is>
      </c>
      <c r="G3358" s="256" t="inlineStr">
        <is>
          <t>11.4</t>
        </is>
      </c>
      <c r="H3358" s="256" t="inlineStr">
        <is>
          <t>Mercury (Hg)</t>
        </is>
      </c>
      <c r="I3358" s="256" t="inlineStr">
        <is>
          <t>Ph. Eur. 2.4.27 (ICP-MS)</t>
        </is>
      </c>
      <c r="J3358" s="256" t="inlineStr">
        <is>
          <t>≤ 0.1 mg/kg</t>
        </is>
      </c>
      <c r="K3358" s="256" t="inlineStr">
        <is>
          <t>0.031</t>
        </is>
      </c>
      <c r="L3358" s="256" t="inlineStr">
        <is>
          <t>2364/2026</t>
        </is>
      </c>
      <c r="M3358" s="256" t="inlineStr">
        <is>
          <t>30.04.2026</t>
        </is>
      </c>
      <c r="N3358" s="256" t="inlineStr">
        <is>
          <t>IPH — Institute of Public Health</t>
        </is>
      </c>
      <c r="O3358" s="256" t="inlineStr">
        <is>
          <t>21.04.2026</t>
        </is>
      </c>
      <c r="P3358" s="256" t="inlineStr">
        <is>
          <t>carried from the initial testing (the batch's initial CoQ (number assigned on issue)) — covered</t>
        </is>
      </c>
      <c r="Q3358" s="256" t="inlineStr"/>
      <c r="R3358" s="256" t="inlineStr"/>
    </row>
    <row r="3359">
      <c r="A3359" s="256" t="inlineStr">
        <is>
          <t>CoQ-PP_26-146</t>
        </is>
      </c>
      <c r="B3359" s="256" t="inlineStr">
        <is>
          <t>reissue — retest</t>
        </is>
      </c>
      <c r="C3359" s="256" t="inlineStr">
        <is>
          <t>GG012601</t>
        </is>
      </c>
      <c r="D3359" s="256" t="inlineStr">
        <is>
          <t>— no P lot assigned —</t>
        </is>
      </c>
      <c r="E3359" s="256" t="inlineStr">
        <is>
          <t>Gorilla Glue</t>
        </is>
      </c>
      <c r="F3359" s="256" t="inlineStr">
        <is>
          <t>21.09.2026</t>
        </is>
      </c>
      <c r="G3359" s="256" t="inlineStr">
        <is>
          <t>12</t>
        </is>
      </c>
      <c r="H3359" s="256" t="inlineStr">
        <is>
          <t>Pesticide Residues</t>
        </is>
      </c>
      <c r="I3359" s="256" t="inlineStr">
        <is>
          <t>Ph. Eur. 2.8.13 (LC-MS/MS) · CUMCS Equivalency</t>
        </is>
      </c>
      <c r="J3359" s="256" t="inlineStr">
        <is>
          <t>≤ LOQ as per Ph. Eur. 2.8.13 · ≤ LOQ as per CUMCS Equivalency</t>
        </is>
      </c>
      <c r="K3359" s="256" t="inlineStr">
        <is>
          <t>ND</t>
        </is>
      </c>
      <c r="L3359" s="256" t="inlineStr">
        <is>
          <t>2364/2026</t>
        </is>
      </c>
      <c r="M3359" s="256" t="inlineStr">
        <is>
          <t>30.04.2026</t>
        </is>
      </c>
      <c r="N3359" s="256" t="inlineStr">
        <is>
          <t>IPH — Institute of Public Health</t>
        </is>
      </c>
      <c r="O3359" s="256" t="inlineStr">
        <is>
          <t>21.04.2026</t>
        </is>
      </c>
      <c r="P3359" s="256" t="inlineStr">
        <is>
          <t>carried from the initial testing (the batch's initial CoQ (number assigned on issue)) — covered</t>
        </is>
      </c>
      <c r="Q3359" s="256" t="inlineStr"/>
      <c r="R3359" s="256" t="inlineStr"/>
    </row>
    <row r="3360">
      <c r="A3360" s="256" t="inlineStr">
        <is>
          <t>CoQ-PP_26-147</t>
        </is>
      </c>
      <c r="B3360" s="256" t="inlineStr">
        <is>
          <t>reissue — retest</t>
        </is>
      </c>
      <c r="C3360" s="256" t="inlineStr">
        <is>
          <t>GG1024_02</t>
        </is>
      </c>
      <c r="D3360" s="256" t="inlineStr">
        <is>
          <t>P050012</t>
        </is>
      </c>
      <c r="E3360" s="256" t="inlineStr">
        <is>
          <t>Gorilla Glue</t>
        </is>
      </c>
      <c r="F3360" s="256" t="inlineStr">
        <is>
          <t>21.09.2026</t>
        </is>
      </c>
      <c r="G3360" s="256" t="inlineStr">
        <is>
          <t>1</t>
        </is>
      </c>
      <c r="H3360" s="256" t="inlineStr">
        <is>
          <t>Identification A, Appearance · Macroscopic</t>
        </is>
      </c>
      <c r="I3360" s="256" t="inlineStr">
        <is>
          <t>Ph. Eur. mon. 3028</t>
        </is>
      </c>
      <c r="J3360" s="256" t="inlineStr">
        <is>
          <t>Conforms to the monograph for Cannabis flos (07/2024:3028) in Ph. Eur. 11.0 | Согласно монографија за Cannabis flos (07/2024:3028) во Ph. Eur. 11.0</t>
        </is>
      </c>
      <c r="K3360" s="256" t="inlineStr">
        <is>
          <t>Conforms | Одговара</t>
        </is>
      </c>
      <c r="L3360" s="256" t="inlineStr">
        <is>
          <t>iCoA-PP_26-165</t>
        </is>
      </c>
      <c r="M3360" s="256" t="inlineStr">
        <is>
          <t>24.08.2026</t>
        </is>
      </c>
      <c r="N3360" s="256" t="inlineStr">
        <is>
          <t>Purely Plant GmbH (in-house)</t>
        </is>
      </c>
      <c r="O3360" s="256" t="inlineStr">
        <is>
          <t>—</t>
        </is>
      </c>
      <c r="P3360" s="256" t="inlineStr">
        <is>
          <t>covered</t>
        </is>
      </c>
      <c r="Q3360" s="256" t="inlineStr">
        <is>
          <t>Farmahem — Ident A + B + C with the Assay, at retest</t>
        </is>
      </c>
      <c r="R3360" s="256" t="inlineStr"/>
    </row>
    <row r="3361">
      <c r="A3361" s="256" t="inlineStr">
        <is>
          <t>CoQ-PP_26-147</t>
        </is>
      </c>
      <c r="B3361" s="256" t="inlineStr">
        <is>
          <t>reissue — retest</t>
        </is>
      </c>
      <c r="C3361" s="256" t="inlineStr">
        <is>
          <t>GG1024_02</t>
        </is>
      </c>
      <c r="D3361" s="256" t="inlineStr">
        <is>
          <t>P050012</t>
        </is>
      </c>
      <c r="E3361" s="256" t="inlineStr">
        <is>
          <t>Gorilla Glue</t>
        </is>
      </c>
      <c r="F3361" s="256" t="inlineStr">
        <is>
          <t>21.09.2026</t>
        </is>
      </c>
      <c r="G3361" s="256" t="inlineStr">
        <is>
          <t>2</t>
        </is>
      </c>
      <c r="H3361" s="256" t="inlineStr">
        <is>
          <t>Identification B · Microscopic</t>
        </is>
      </c>
      <c r="I3361" s="256" t="inlineStr">
        <is>
          <t>Ph. Eur. 2.8.23 (microscopy)</t>
        </is>
      </c>
      <c r="J3361" s="256" t="inlineStr">
        <is>
          <t>Conforms to the monograph for Cannabis flos (07/2024:3028) in Ph. Eur. 11.0 | Согласно монографија за Cannabis flos (07/2024:3028) во Ph. Eur. 11.0</t>
        </is>
      </c>
      <c r="K3361" s="256" t="inlineStr">
        <is>
          <t>Conforms | Одговара</t>
        </is>
      </c>
      <c r="L3361" s="256" t="inlineStr">
        <is>
          <t>iCoA-PP_26-165</t>
        </is>
      </c>
      <c r="M3361" s="256" t="inlineStr">
        <is>
          <t>24.08.2026</t>
        </is>
      </c>
      <c r="N3361" s="256" t="inlineStr">
        <is>
          <t>Purely Plant GmbH (in-house)</t>
        </is>
      </c>
      <c r="O3361" s="256" t="inlineStr">
        <is>
          <t>—</t>
        </is>
      </c>
      <c r="P3361" s="256" t="inlineStr">
        <is>
          <t>to be performed — see route</t>
        </is>
      </c>
      <c r="Q3361" s="256" t="inlineStr">
        <is>
          <t>Farmahem — Ident A + B + C with the Assay, at retest</t>
        </is>
      </c>
      <c r="R3361" s="256" t="inlineStr"/>
    </row>
    <row r="3362">
      <c r="A3362" s="256" t="inlineStr">
        <is>
          <t>CoQ-PP_26-147</t>
        </is>
      </c>
      <c r="B3362" s="256" t="inlineStr">
        <is>
          <t>reissue — retest</t>
        </is>
      </c>
      <c r="C3362" s="256" t="inlineStr">
        <is>
          <t>GG1024_02</t>
        </is>
      </c>
      <c r="D3362" s="256" t="inlineStr">
        <is>
          <t>P050012</t>
        </is>
      </c>
      <c r="E3362" s="256" t="inlineStr">
        <is>
          <t>Gorilla Glue</t>
        </is>
      </c>
      <c r="F3362" s="256" t="inlineStr">
        <is>
          <t>21.09.2026</t>
        </is>
      </c>
      <c r="G3362" s="256" t="inlineStr">
        <is>
          <t>3</t>
        </is>
      </c>
      <c r="H3362" s="256" t="inlineStr">
        <is>
          <t>Identification C · HPLC/HPTLC</t>
        </is>
      </c>
      <c r="I3362" s="256" t="inlineStr">
        <is>
          <t>Ph. Eur. 2.2.29 (3028)</t>
        </is>
      </c>
      <c r="J3362" s="256" t="inlineStr">
        <is>
          <t>Conforms to the monograph for Cannabis flos (07/2024:3028) in Ph. Eur. 11.0 | Согласно монографија за Cannabis flos (07/2024:3028) во Ph. Eur. 11.0</t>
        </is>
      </c>
      <c r="K3362" s="256" t="inlineStr">
        <is>
          <t>Conforms | Одговара</t>
        </is>
      </c>
      <c r="L3362" s="256" t="inlineStr">
        <is>
          <t>227-19-К/26</t>
        </is>
      </c>
      <c r="M3362" s="256" t="inlineStr">
        <is>
          <t>11.09.2026</t>
        </is>
      </c>
      <c r="N3362" s="256" t="inlineStr">
        <is>
          <t>Farmahem</t>
        </is>
      </c>
      <c r="O3362" s="256" t="inlineStr">
        <is>
          <t>24.08.2026</t>
        </is>
      </c>
      <c r="P3362" s="256" t="inlineStr">
        <is>
          <t>covered</t>
        </is>
      </c>
      <c r="Q3362" s="256" t="inlineStr"/>
      <c r="R3362" s="256" t="inlineStr"/>
    </row>
    <row r="3363">
      <c r="A3363" s="256" t="inlineStr">
        <is>
          <t>CoQ-PP_26-147</t>
        </is>
      </c>
      <c r="B3363" s="256" t="inlineStr">
        <is>
          <t>reissue — retest</t>
        </is>
      </c>
      <c r="C3363" s="256" t="inlineStr">
        <is>
          <t>GG1024_02</t>
        </is>
      </c>
      <c r="D3363" s="256" t="inlineStr">
        <is>
          <t>P050012</t>
        </is>
      </c>
      <c r="E3363" s="256" t="inlineStr">
        <is>
          <t>Gorilla Glue</t>
        </is>
      </c>
      <c r="F3363" s="256" t="inlineStr">
        <is>
          <t>21.09.2026</t>
        </is>
      </c>
      <c r="G3363" s="256" t="inlineStr">
        <is>
          <t>4</t>
        </is>
      </c>
      <c r="H3363" s="256" t="inlineStr">
        <is>
          <t>Assay — Total Δ⁹-THC</t>
        </is>
      </c>
      <c r="I3363" s="256" t="inlineStr">
        <is>
          <t>Ph. Eur. 2.2.29 (HPLC)</t>
        </is>
      </c>
      <c r="J3363" s="256" t="inlineStr">
        <is>
          <t>16.23 – 19.76 %  (grade I, nominal 18.00 ± 1.77)</t>
        </is>
      </c>
      <c r="K3363" s="256" t="inlineStr">
        <is>
          <t>17.76</t>
        </is>
      </c>
      <c r="L3363" s="256" t="inlineStr">
        <is>
          <t>227-19-К/26</t>
        </is>
      </c>
      <c r="M3363" s="256" t="inlineStr">
        <is>
          <t>11.09.2026</t>
        </is>
      </c>
      <c r="N3363" s="256" t="inlineStr">
        <is>
          <t>Farmahem</t>
        </is>
      </c>
      <c r="O3363" s="256" t="inlineStr">
        <is>
          <t>24.08.2026</t>
        </is>
      </c>
      <c r="P3363" s="256" t="inlineStr">
        <is>
          <t>covered</t>
        </is>
      </c>
      <c r="Q3363" s="256" t="inlineStr"/>
      <c r="R3363" s="256" t="inlineStr"/>
    </row>
    <row r="3364">
      <c r="A3364" s="256" t="inlineStr">
        <is>
          <t>CoQ-PP_26-147</t>
        </is>
      </c>
      <c r="B3364" s="256" t="inlineStr">
        <is>
          <t>reissue — retest</t>
        </is>
      </c>
      <c r="C3364" s="256" t="inlineStr">
        <is>
          <t>GG1024_02</t>
        </is>
      </c>
      <c r="D3364" s="256" t="inlineStr">
        <is>
          <t>P050012</t>
        </is>
      </c>
      <c r="E3364" s="256" t="inlineStr">
        <is>
          <t>Gorilla Glue</t>
        </is>
      </c>
      <c r="F3364" s="256" t="inlineStr">
        <is>
          <t>21.09.2026</t>
        </is>
      </c>
      <c r="G3364" s="256" t="inlineStr">
        <is>
          <t>5</t>
        </is>
      </c>
      <c r="H3364" s="256" t="inlineStr">
        <is>
          <t>Assay — Total CBD</t>
        </is>
      </c>
      <c r="I3364" s="256" t="inlineStr">
        <is>
          <t>Ph. Eur. 2.2.29 (HPLC) · CBD + CBDA x 0.877</t>
        </is>
      </c>
      <c r="J3364" s="256" t="inlineStr">
        <is>
          <t>≤ 1.0%, w/w</t>
        </is>
      </c>
      <c r="K3364" s="256" t="inlineStr">
        <is>
          <t>&lt; LOQ</t>
        </is>
      </c>
      <c r="L3364" s="256" t="inlineStr">
        <is>
          <t>227-19-К/26</t>
        </is>
      </c>
      <c r="M3364" s="256" t="inlineStr">
        <is>
          <t>11.09.2026</t>
        </is>
      </c>
      <c r="N3364" s="256" t="inlineStr">
        <is>
          <t>Farmahem</t>
        </is>
      </c>
      <c r="O3364" s="256" t="inlineStr">
        <is>
          <t>24.08.2026</t>
        </is>
      </c>
      <c r="P3364" s="256" t="inlineStr">
        <is>
          <t>covered</t>
        </is>
      </c>
      <c r="Q3364" s="256" t="inlineStr"/>
      <c r="R3364" s="256" t="inlineStr"/>
    </row>
    <row r="3365">
      <c r="A3365" s="256" t="inlineStr">
        <is>
          <t>CoQ-PP_26-147</t>
        </is>
      </c>
      <c r="B3365" s="256" t="inlineStr">
        <is>
          <t>reissue — retest</t>
        </is>
      </c>
      <c r="C3365" s="256" t="inlineStr">
        <is>
          <t>GG1024_02</t>
        </is>
      </c>
      <c r="D3365" s="256" t="inlineStr">
        <is>
          <t>P050012</t>
        </is>
      </c>
      <c r="E3365" s="256" t="inlineStr">
        <is>
          <t>Gorilla Glue</t>
        </is>
      </c>
      <c r="F3365" s="256" t="inlineStr">
        <is>
          <t>21.09.2026</t>
        </is>
      </c>
      <c r="G3365" s="256" t="inlineStr">
        <is>
          <t>6</t>
        </is>
      </c>
      <c r="H3365" s="256" t="inlineStr">
        <is>
          <t>Total CBN</t>
        </is>
      </c>
      <c r="I3365" s="256" t="inlineStr">
        <is>
          <t>Ph. Eur. 2.2.29 (HPLC) · CBN + CBNA x 0.876</t>
        </is>
      </c>
      <c r="J3365" s="256" t="inlineStr">
        <is>
          <t>≤ 1.0%, w/w</t>
        </is>
      </c>
      <c r="K3365" s="256" t="inlineStr">
        <is>
          <t>0.26</t>
        </is>
      </c>
      <c r="L3365" s="256" t="inlineStr">
        <is>
          <t>227-19-К/26</t>
        </is>
      </c>
      <c r="M3365" s="256" t="inlineStr">
        <is>
          <t>11.09.2026</t>
        </is>
      </c>
      <c r="N3365" s="256" t="inlineStr">
        <is>
          <t>Farmahem</t>
        </is>
      </c>
      <c r="O3365" s="256" t="inlineStr">
        <is>
          <t>24.08.2026</t>
        </is>
      </c>
      <c r="P3365" s="256" t="inlineStr">
        <is>
          <t>covered</t>
        </is>
      </c>
      <c r="Q3365" s="256" t="inlineStr"/>
      <c r="R3365" s="256" t="inlineStr"/>
    </row>
    <row r="3366">
      <c r="A3366" s="256" t="inlineStr">
        <is>
          <t>CoQ-PP_26-147</t>
        </is>
      </c>
      <c r="B3366" s="256" t="inlineStr">
        <is>
          <t>reissue — retest</t>
        </is>
      </c>
      <c r="C3366" s="256" t="inlineStr">
        <is>
          <t>GG1024_02</t>
        </is>
      </c>
      <c r="D3366" s="256" t="inlineStr">
        <is>
          <t>P050012</t>
        </is>
      </c>
      <c r="E3366" s="256" t="inlineStr">
        <is>
          <t>Gorilla Glue</t>
        </is>
      </c>
      <c r="F3366" s="256" t="inlineStr">
        <is>
          <t>21.09.2026</t>
        </is>
      </c>
      <c r="G3366" s="256" t="inlineStr">
        <is>
          <t>7</t>
        </is>
      </c>
      <c r="H3366" s="256" t="inlineStr">
        <is>
          <t>Foreign Matter</t>
        </is>
      </c>
      <c r="I3366" s="256" t="inlineStr">
        <is>
          <t>Ph. Eur. 2.8.2 · In-house · интерна</t>
        </is>
      </c>
      <c r="J3366" s="256" t="inlineStr">
        <is>
          <t>≤ 2.0% / 25–50 g · &lt; 1 cm leaves | листови, no seeds | без семки</t>
        </is>
      </c>
      <c r="K3366" s="256" t="inlineStr">
        <is>
          <t>Conforms | Одговара</t>
        </is>
      </c>
      <c r="L3366" s="256" t="inlineStr">
        <is>
          <t>iCoA-PP_26-165</t>
        </is>
      </c>
      <c r="M3366" s="256" t="inlineStr">
        <is>
          <t>24.08.2026</t>
        </is>
      </c>
      <c r="N3366" s="256" t="inlineStr">
        <is>
          <t>Purely Plant GmbH (in-house)</t>
        </is>
      </c>
      <c r="O3366" s="256" t="inlineStr">
        <is>
          <t>—</t>
        </is>
      </c>
      <c r="P3366" s="256" t="inlineStr">
        <is>
          <t>covered</t>
        </is>
      </c>
      <c r="Q3366" s="256" t="inlineStr">
        <is>
          <t>Purely Plant laboratory — iCoA covering Foreign matter</t>
        </is>
      </c>
      <c r="R3366" s="256" t="inlineStr"/>
    </row>
    <row r="3367">
      <c r="A3367" s="256" t="inlineStr">
        <is>
          <t>CoQ-PP_26-147</t>
        </is>
      </c>
      <c r="B3367" s="256" t="inlineStr">
        <is>
          <t>reissue — retest</t>
        </is>
      </c>
      <c r="C3367" s="256" t="inlineStr">
        <is>
          <t>GG1024_02</t>
        </is>
      </c>
      <c r="D3367" s="256" t="inlineStr">
        <is>
          <t>P050012</t>
        </is>
      </c>
      <c r="E3367" s="256" t="inlineStr">
        <is>
          <t>Gorilla Glue</t>
        </is>
      </c>
      <c r="F3367" s="256" t="inlineStr">
        <is>
          <t>21.09.2026</t>
        </is>
      </c>
      <c r="G3367" s="256" t="inlineStr">
        <is>
          <t>8</t>
        </is>
      </c>
      <c r="H3367" s="256" t="inlineStr">
        <is>
          <t>Loss on Drying</t>
        </is>
      </c>
      <c r="I3367" s="256" t="inlineStr">
        <is>
          <t>DAB 2018 monograph Cannabis flos, 2.2.32 — loss on drying (CNP, before its Ph. Eur. 3028 accreditation)</t>
        </is>
      </c>
      <c r="J3367" s="256" t="inlineStr">
        <is>
          <t>≤ 12.0%</t>
        </is>
      </c>
      <c r="K3367" s="256" t="inlineStr">
        <is>
          <t>6.88</t>
        </is>
      </c>
      <c r="L3367" s="256" t="inlineStr">
        <is>
          <t>ППК25140</t>
        </is>
      </c>
      <c r="M3367" s="256" t="inlineStr">
        <is>
          <t>22.05.2025</t>
        </is>
      </c>
      <c r="N3367" s="256" t="inlineStr">
        <is>
          <t>UKIM Faculty of Pharmacy — Center for Natural Products</t>
        </is>
      </c>
      <c r="O3367" s="256" t="inlineStr">
        <is>
          <t>15.05.2025</t>
        </is>
      </c>
      <c r="P3367" s="256" t="inlineStr">
        <is>
          <t>carried from the initial testing (the batch's initial CoQ (number assigned on issue)) — covered</t>
        </is>
      </c>
      <c r="Q3367" s="256" t="inlineStr"/>
      <c r="R3367" s="256" t="inlineStr"/>
    </row>
    <row r="3368">
      <c r="A3368" s="256" t="inlineStr">
        <is>
          <t>CoQ-PP_26-147</t>
        </is>
      </c>
      <c r="B3368" s="256" t="inlineStr">
        <is>
          <t>reissue — retest</t>
        </is>
      </c>
      <c r="C3368" s="256" t="inlineStr">
        <is>
          <t>GG1024_02</t>
        </is>
      </c>
      <c r="D3368" s="256" t="inlineStr">
        <is>
          <t>P050012</t>
        </is>
      </c>
      <c r="E3368" s="256" t="inlineStr">
        <is>
          <t>Gorilla Glue</t>
        </is>
      </c>
      <c r="F3368" s="256" t="inlineStr">
        <is>
          <t>21.09.2026</t>
        </is>
      </c>
      <c r="G3368" s="256" t="inlineStr">
        <is>
          <t>9.1</t>
        </is>
      </c>
      <c r="H3368" s="256" t="inlineStr">
        <is>
          <t>TAMC</t>
        </is>
      </c>
      <c r="I3368" s="256" t="inlineStr">
        <is>
          <t>Ph. Eur. 2.6.12 cat. C</t>
        </is>
      </c>
      <c r="J3368" s="256" t="inlineStr">
        <is>
          <t>≤ 10⁵ CFU/g</t>
        </is>
      </c>
      <c r="K3368" s="256" t="inlineStr">
        <is>
          <t>&lt; 10</t>
        </is>
      </c>
      <c r="L3368" s="256" t="inlineStr">
        <is>
          <t>564/1095/26</t>
        </is>
      </c>
      <c r="M3368" s="256" t="inlineStr">
        <is>
          <t>01.09.2026</t>
        </is>
      </c>
      <c r="N3368" s="256" t="inlineStr">
        <is>
          <t>IPH — Institute of Public Health</t>
        </is>
      </c>
      <c r="O3368" s="256" t="inlineStr">
        <is>
          <t>26.08.2026</t>
        </is>
      </c>
      <c r="P3368" s="256" t="inlineStr">
        <is>
          <t>covered</t>
        </is>
      </c>
      <c r="Q3368" s="256" t="inlineStr"/>
      <c r="R3368" s="256" t="inlineStr"/>
    </row>
    <row r="3369">
      <c r="A3369" s="256" t="inlineStr">
        <is>
          <t>CoQ-PP_26-147</t>
        </is>
      </c>
      <c r="B3369" s="256" t="inlineStr">
        <is>
          <t>reissue — retest</t>
        </is>
      </c>
      <c r="C3369" s="256" t="inlineStr">
        <is>
          <t>GG1024_02</t>
        </is>
      </c>
      <c r="D3369" s="256" t="inlineStr">
        <is>
          <t>P050012</t>
        </is>
      </c>
      <c r="E3369" s="256" t="inlineStr">
        <is>
          <t>Gorilla Glue</t>
        </is>
      </c>
      <c r="F3369" s="256" t="inlineStr">
        <is>
          <t>21.09.2026</t>
        </is>
      </c>
      <c r="G3369" s="256" t="inlineStr">
        <is>
          <t>9.2</t>
        </is>
      </c>
      <c r="H3369" s="256" t="inlineStr">
        <is>
          <t>TYMC</t>
        </is>
      </c>
      <c r="I3369" s="256" t="inlineStr">
        <is>
          <t>Ph. Eur. 2.6.12 cat. C</t>
        </is>
      </c>
      <c r="J3369" s="256" t="inlineStr">
        <is>
          <t>≤ 10⁴ CFU/g</t>
        </is>
      </c>
      <c r="K3369" s="256" t="inlineStr">
        <is>
          <t>&lt; 10</t>
        </is>
      </c>
      <c r="L3369" s="256" t="inlineStr">
        <is>
          <t>564/1095/26</t>
        </is>
      </c>
      <c r="M3369" s="256" t="inlineStr">
        <is>
          <t>01.09.2026</t>
        </is>
      </c>
      <c r="N3369" s="256" t="inlineStr">
        <is>
          <t>IPH — Institute of Public Health</t>
        </is>
      </c>
      <c r="O3369" s="256" t="inlineStr">
        <is>
          <t>26.08.2026</t>
        </is>
      </c>
      <c r="P3369" s="256" t="inlineStr">
        <is>
          <t>covered</t>
        </is>
      </c>
      <c r="Q3369" s="256" t="inlineStr"/>
      <c r="R3369" s="256" t="inlineStr"/>
    </row>
    <row r="3370">
      <c r="A3370" s="256" t="inlineStr">
        <is>
          <t>CoQ-PP_26-147</t>
        </is>
      </c>
      <c r="B3370" s="256" t="inlineStr">
        <is>
          <t>reissue — retest</t>
        </is>
      </c>
      <c r="C3370" s="256" t="inlineStr">
        <is>
          <t>GG1024_02</t>
        </is>
      </c>
      <c r="D3370" s="256" t="inlineStr">
        <is>
          <t>P050012</t>
        </is>
      </c>
      <c r="E3370" s="256" t="inlineStr">
        <is>
          <t>Gorilla Glue</t>
        </is>
      </c>
      <c r="F3370" s="256" t="inlineStr">
        <is>
          <t>21.09.2026</t>
        </is>
      </c>
      <c r="G3370" s="256" t="inlineStr">
        <is>
          <t>9.3</t>
        </is>
      </c>
      <c r="H3370" s="256" t="inlineStr">
        <is>
          <t>Bile-tolerant gram-neg.</t>
        </is>
      </c>
      <c r="I3370" s="256" t="inlineStr">
        <is>
          <t>Ph. Eur. 2.6.31 cat. C</t>
        </is>
      </c>
      <c r="J3370" s="256" t="inlineStr">
        <is>
          <t>≤ 10⁴ CFU/g</t>
        </is>
      </c>
      <c r="K3370" s="256" t="inlineStr">
        <is>
          <t>&lt; 10</t>
        </is>
      </c>
      <c r="L3370" s="256" t="inlineStr">
        <is>
          <t>564/1095/26</t>
        </is>
      </c>
      <c r="M3370" s="256" t="inlineStr">
        <is>
          <t>01.09.2026</t>
        </is>
      </c>
      <c r="N3370" s="256" t="inlineStr">
        <is>
          <t>IPH — Institute of Public Health</t>
        </is>
      </c>
      <c r="O3370" s="256" t="inlineStr">
        <is>
          <t>26.08.2026</t>
        </is>
      </c>
      <c r="P3370" s="256" t="inlineStr">
        <is>
          <t>covered</t>
        </is>
      </c>
      <c r="Q3370" s="256" t="inlineStr"/>
      <c r="R3370" s="256" t="inlineStr"/>
    </row>
    <row r="3371">
      <c r="A3371" s="256" t="inlineStr">
        <is>
          <t>CoQ-PP_26-147</t>
        </is>
      </c>
      <c r="B3371" s="256" t="inlineStr">
        <is>
          <t>reissue — retest</t>
        </is>
      </c>
      <c r="C3371" s="256" t="inlineStr">
        <is>
          <t>GG1024_02</t>
        </is>
      </c>
      <c r="D3371" s="256" t="inlineStr">
        <is>
          <t>P050012</t>
        </is>
      </c>
      <c r="E3371" s="256" t="inlineStr">
        <is>
          <t>Gorilla Glue</t>
        </is>
      </c>
      <c r="F3371" s="256" t="inlineStr">
        <is>
          <t>21.09.2026</t>
        </is>
      </c>
      <c r="G3371" s="256" t="inlineStr">
        <is>
          <t>9.4</t>
        </is>
      </c>
      <c r="H3371" s="256" t="inlineStr">
        <is>
          <t>Salmonella</t>
        </is>
      </c>
      <c r="I3371" s="256" t="inlineStr">
        <is>
          <t>Ph. Eur. 2.6.31 cat. C</t>
        </is>
      </c>
      <c r="J3371" s="256" t="inlineStr">
        <is>
          <t>Absence | Отсуство / 25 g</t>
        </is>
      </c>
      <c r="K3371" s="256" t="inlineStr">
        <is>
          <t>Absent | Отсутна</t>
        </is>
      </c>
      <c r="L3371" s="256" t="inlineStr">
        <is>
          <t>564/1095/26</t>
        </is>
      </c>
      <c r="M3371" s="256" t="inlineStr">
        <is>
          <t>01.09.2026</t>
        </is>
      </c>
      <c r="N3371" s="256" t="inlineStr">
        <is>
          <t>IPH — Institute of Public Health</t>
        </is>
      </c>
      <c r="O3371" s="256" t="inlineStr">
        <is>
          <t>26.08.2026</t>
        </is>
      </c>
      <c r="P3371" s="256" t="inlineStr">
        <is>
          <t>covered</t>
        </is>
      </c>
      <c r="Q3371" s="256" t="inlineStr"/>
      <c r="R3371" s="256" t="inlineStr"/>
    </row>
    <row r="3372">
      <c r="A3372" s="256" t="inlineStr">
        <is>
          <t>CoQ-PP_26-147</t>
        </is>
      </c>
      <c r="B3372" s="256" t="inlineStr">
        <is>
          <t>reissue — retest</t>
        </is>
      </c>
      <c r="C3372" s="256" t="inlineStr">
        <is>
          <t>GG1024_02</t>
        </is>
      </c>
      <c r="D3372" s="256" t="inlineStr">
        <is>
          <t>P050012</t>
        </is>
      </c>
      <c r="E3372" s="256" t="inlineStr">
        <is>
          <t>Gorilla Glue</t>
        </is>
      </c>
      <c r="F3372" s="256" t="inlineStr">
        <is>
          <t>21.09.2026</t>
        </is>
      </c>
      <c r="G3372" s="256" t="inlineStr">
        <is>
          <t>9.5</t>
        </is>
      </c>
      <c r="H3372" s="256" t="inlineStr">
        <is>
          <t>Escherichia coli</t>
        </is>
      </c>
      <c r="I3372" s="256" t="inlineStr">
        <is>
          <t>Ph. Eur. 2.6.13 cat. C</t>
        </is>
      </c>
      <c r="J3372" s="256" t="inlineStr">
        <is>
          <t>Absence | Отсуство / 1 g</t>
        </is>
      </c>
      <c r="K3372" s="256" t="inlineStr">
        <is>
          <t>Absent | Отсутна</t>
        </is>
      </c>
      <c r="L3372" s="256" t="inlineStr">
        <is>
          <t>564/1095/26</t>
        </is>
      </c>
      <c r="M3372" s="256" t="inlineStr">
        <is>
          <t>01.09.2026</t>
        </is>
      </c>
      <c r="N3372" s="256" t="inlineStr">
        <is>
          <t>IPH — Institute of Public Health</t>
        </is>
      </c>
      <c r="O3372" s="256" t="inlineStr">
        <is>
          <t>26.08.2026</t>
        </is>
      </c>
      <c r="P3372" s="256" t="inlineStr">
        <is>
          <t>covered</t>
        </is>
      </c>
      <c r="Q3372" s="256" t="inlineStr"/>
      <c r="R3372" s="256" t="inlineStr"/>
    </row>
    <row r="3373">
      <c r="A3373" s="256" t="inlineStr">
        <is>
          <t>CoQ-PP_26-147</t>
        </is>
      </c>
      <c r="B3373" s="256" t="inlineStr">
        <is>
          <t>reissue — retest</t>
        </is>
      </c>
      <c r="C3373" s="256" t="inlineStr">
        <is>
          <t>GG1024_02</t>
        </is>
      </c>
      <c r="D3373" s="256" t="inlineStr">
        <is>
          <t>P050012</t>
        </is>
      </c>
      <c r="E3373" s="256" t="inlineStr">
        <is>
          <t>Gorilla Glue</t>
        </is>
      </c>
      <c r="F3373" s="256" t="inlineStr">
        <is>
          <t>21.09.2026</t>
        </is>
      </c>
      <c r="G3373" s="256" t="inlineStr">
        <is>
          <t>9.6</t>
        </is>
      </c>
      <c r="H3373" s="256" t="inlineStr">
        <is>
          <t>Pseudomonas aeruginosa</t>
        </is>
      </c>
      <c r="I3373" s="256" t="inlineStr">
        <is>
          <t>Ph. Eur. 2.6.13 cat. C</t>
        </is>
      </c>
      <c r="J3373" s="256" t="inlineStr">
        <is>
          <t>Absence | Отсуство / 1 g</t>
        </is>
      </c>
      <c r="K3373" s="260" t="inlineStr">
        <is>
          <t>upon request — not required for release</t>
        </is>
      </c>
      <c r="L3373" s="256" t="inlineStr">
        <is>
          <t>—</t>
        </is>
      </c>
      <c r="M3373" s="256" t="inlineStr">
        <is>
          <t>—</t>
        </is>
      </c>
      <c r="N3373" s="256" t="inlineStr">
        <is>
          <t>—</t>
        </is>
      </c>
      <c r="O3373" s="256" t="inlineStr">
        <is>
          <t>—</t>
        </is>
      </c>
      <c r="P3373" s="256" t="inlineStr">
        <is>
          <t>upon request — not required for release</t>
        </is>
      </c>
      <c r="Q3373" s="256" t="inlineStr"/>
      <c r="R3373" s="256" t="inlineStr"/>
    </row>
    <row r="3374">
      <c r="A3374" s="256" t="inlineStr">
        <is>
          <t>CoQ-PP_26-147</t>
        </is>
      </c>
      <c r="B3374" s="256" t="inlineStr">
        <is>
          <t>reissue — retest</t>
        </is>
      </c>
      <c r="C3374" s="256" t="inlineStr">
        <is>
          <t>GG1024_02</t>
        </is>
      </c>
      <c r="D3374" s="256" t="inlineStr">
        <is>
          <t>P050012</t>
        </is>
      </c>
      <c r="E3374" s="256" t="inlineStr">
        <is>
          <t>Gorilla Glue</t>
        </is>
      </c>
      <c r="F3374" s="256" t="inlineStr">
        <is>
          <t>21.09.2026</t>
        </is>
      </c>
      <c r="G3374" s="256" t="inlineStr">
        <is>
          <t>9.7</t>
        </is>
      </c>
      <c r="H3374" s="256" t="inlineStr">
        <is>
          <t>Staphylococcus aureus</t>
        </is>
      </c>
      <c r="I3374" s="256" t="inlineStr">
        <is>
          <t>Ph. Eur. 2.6.13 cat. C</t>
        </is>
      </c>
      <c r="J3374" s="256" t="inlineStr">
        <is>
          <t>Absence | Отсуство / 1 g</t>
        </is>
      </c>
      <c r="K3374" s="260" t="inlineStr">
        <is>
          <t>upon request — not required for release</t>
        </is>
      </c>
      <c r="L3374" s="256" t="inlineStr">
        <is>
          <t>—</t>
        </is>
      </c>
      <c r="M3374" s="256" t="inlineStr">
        <is>
          <t>—</t>
        </is>
      </c>
      <c r="N3374" s="256" t="inlineStr">
        <is>
          <t>—</t>
        </is>
      </c>
      <c r="O3374" s="256" t="inlineStr">
        <is>
          <t>—</t>
        </is>
      </c>
      <c r="P3374" s="256" t="inlineStr">
        <is>
          <t>upon request — not required for release</t>
        </is>
      </c>
      <c r="Q3374" s="256" t="inlineStr"/>
      <c r="R3374" s="256" t="inlineStr"/>
    </row>
    <row r="3375">
      <c r="A3375" s="256" t="inlineStr">
        <is>
          <t>CoQ-PP_26-147</t>
        </is>
      </c>
      <c r="B3375" s="256" t="inlineStr">
        <is>
          <t>reissue — retest</t>
        </is>
      </c>
      <c r="C3375" s="256" t="inlineStr">
        <is>
          <t>GG1024_02</t>
        </is>
      </c>
      <c r="D3375" s="256" t="inlineStr">
        <is>
          <t>P050012</t>
        </is>
      </c>
      <c r="E3375" s="256" t="inlineStr">
        <is>
          <t>Gorilla Glue</t>
        </is>
      </c>
      <c r="F3375" s="256" t="inlineStr">
        <is>
          <t>21.09.2026</t>
        </is>
      </c>
      <c r="G3375" s="256" t="inlineStr">
        <is>
          <t>10.1</t>
        </is>
      </c>
      <c r="H3375" s="256" t="inlineStr">
        <is>
          <t>Aflatoxin B₁</t>
        </is>
      </c>
      <c r="I3375" s="256" t="inlineStr">
        <is>
          <t>Ph. Eur. 2.8.18 (HPLC-FLD)</t>
        </is>
      </c>
      <c r="J3375" s="256" t="inlineStr">
        <is>
          <t>≤ 2 µg/kg</t>
        </is>
      </c>
      <c r="K3375" s="256" t="inlineStr">
        <is>
          <t>ND</t>
        </is>
      </c>
      <c r="L3375" s="256" t="inlineStr">
        <is>
          <t>227-19-М/26</t>
        </is>
      </c>
      <c r="M3375" s="256" t="inlineStr">
        <is>
          <t>16.09.2026</t>
        </is>
      </c>
      <c r="N3375" s="256" t="inlineStr">
        <is>
          <t>Farmahem</t>
        </is>
      </c>
      <c r="O3375" s="256" t="inlineStr">
        <is>
          <t>—</t>
        </is>
      </c>
      <c r="P3375" s="256" t="inlineStr">
        <is>
          <t>covered</t>
        </is>
      </c>
      <c r="Q3375" s="256" t="inlineStr"/>
      <c r="R3375" s="256" t="inlineStr"/>
    </row>
    <row r="3376">
      <c r="A3376" s="256" t="inlineStr">
        <is>
          <t>CoQ-PP_26-147</t>
        </is>
      </c>
      <c r="B3376" s="256" t="inlineStr">
        <is>
          <t>reissue — retest</t>
        </is>
      </c>
      <c r="C3376" s="256" t="inlineStr">
        <is>
          <t>GG1024_02</t>
        </is>
      </c>
      <c r="D3376" s="256" t="inlineStr">
        <is>
          <t>P050012</t>
        </is>
      </c>
      <c r="E3376" s="256" t="inlineStr">
        <is>
          <t>Gorilla Glue</t>
        </is>
      </c>
      <c r="F3376" s="256" t="inlineStr">
        <is>
          <t>21.09.2026</t>
        </is>
      </c>
      <c r="G3376" s="256" t="inlineStr">
        <is>
          <t>10.2</t>
        </is>
      </c>
      <c r="H3376" s="256" t="inlineStr">
        <is>
          <t>Aflatoxins ∑</t>
        </is>
      </c>
      <c r="I3376" s="256" t="inlineStr">
        <is>
          <t>Ph. Eur. 2.8.18 (HPLC-FLD)</t>
        </is>
      </c>
      <c r="J3376" s="256" t="inlineStr">
        <is>
          <t>≤ 4 µg/kg</t>
        </is>
      </c>
      <c r="K3376" s="256" t="inlineStr">
        <is>
          <t>ND</t>
        </is>
      </c>
      <c r="L3376" s="256" t="inlineStr">
        <is>
          <t>227-19-М/26</t>
        </is>
      </c>
      <c r="M3376" s="256" t="inlineStr">
        <is>
          <t>16.09.2026</t>
        </is>
      </c>
      <c r="N3376" s="256" t="inlineStr">
        <is>
          <t>Farmahem</t>
        </is>
      </c>
      <c r="O3376" s="256" t="inlineStr">
        <is>
          <t>—</t>
        </is>
      </c>
      <c r="P3376" s="256" t="inlineStr">
        <is>
          <t>carried from the initial testing (the batch's initial CoQ (number assigned on issue)) — covered</t>
        </is>
      </c>
      <c r="Q3376" s="256" t="inlineStr"/>
      <c r="R3376" s="256" t="inlineStr"/>
    </row>
    <row r="3377">
      <c r="A3377" s="256" t="inlineStr">
        <is>
          <t>CoQ-PP_26-147</t>
        </is>
      </c>
      <c r="B3377" s="256" t="inlineStr">
        <is>
          <t>reissue — retest</t>
        </is>
      </c>
      <c r="C3377" s="256" t="inlineStr">
        <is>
          <t>GG1024_02</t>
        </is>
      </c>
      <c r="D3377" s="256" t="inlineStr">
        <is>
          <t>P050012</t>
        </is>
      </c>
      <c r="E3377" s="256" t="inlineStr">
        <is>
          <t>Gorilla Glue</t>
        </is>
      </c>
      <c r="F3377" s="256" t="inlineStr">
        <is>
          <t>21.09.2026</t>
        </is>
      </c>
      <c r="G3377" s="256" t="inlineStr">
        <is>
          <t>10.3</t>
        </is>
      </c>
      <c r="H3377" s="256" t="inlineStr">
        <is>
          <t>Ochratoxin A</t>
        </is>
      </c>
      <c r="I3377" s="256" t="inlineStr">
        <is>
          <t>Ph. Eur. 2.8.22 (HPLC-FLD)</t>
        </is>
      </c>
      <c r="J3377" s="256" t="inlineStr">
        <is>
          <t>≤ 20 µg/kg</t>
        </is>
      </c>
      <c r="K3377" s="256" t="inlineStr">
        <is>
          <t>ND</t>
        </is>
      </c>
      <c r="L3377" s="256" t="inlineStr">
        <is>
          <t>227-19-М/26</t>
        </is>
      </c>
      <c r="M3377" s="256" t="inlineStr">
        <is>
          <t>16.09.2026</t>
        </is>
      </c>
      <c r="N3377" s="256" t="inlineStr">
        <is>
          <t>Farmahem</t>
        </is>
      </c>
      <c r="O3377" s="256" t="inlineStr">
        <is>
          <t>—</t>
        </is>
      </c>
      <c r="P3377" s="256" t="inlineStr">
        <is>
          <t>covered</t>
        </is>
      </c>
      <c r="Q3377" s="256" t="inlineStr"/>
      <c r="R3377" s="256" t="inlineStr"/>
    </row>
    <row r="3378">
      <c r="A3378" s="256" t="inlineStr">
        <is>
          <t>CoQ-PP_26-147</t>
        </is>
      </c>
      <c r="B3378" s="256" t="inlineStr">
        <is>
          <t>reissue — retest</t>
        </is>
      </c>
      <c r="C3378" s="256" t="inlineStr">
        <is>
          <t>GG1024_02</t>
        </is>
      </c>
      <c r="D3378" s="256" t="inlineStr">
        <is>
          <t>P050012</t>
        </is>
      </c>
      <c r="E3378" s="256" t="inlineStr">
        <is>
          <t>Gorilla Glue</t>
        </is>
      </c>
      <c r="F3378" s="256" t="inlineStr">
        <is>
          <t>21.09.2026</t>
        </is>
      </c>
      <c r="G3378" s="256" t="inlineStr">
        <is>
          <t>11.1</t>
        </is>
      </c>
      <c r="H3378" s="256" t="inlineStr">
        <is>
          <t>Lead (Pb)</t>
        </is>
      </c>
      <c r="I3378" s="256" t="inlineStr">
        <is>
          <t>Ph. Eur. 2.4.27 (ICP-MS)</t>
        </is>
      </c>
      <c r="J3378" s="256" t="inlineStr">
        <is>
          <t>≤ 0.5 mg/kg</t>
        </is>
      </c>
      <c r="K3378" s="256" t="inlineStr">
        <is>
          <t>ND</t>
        </is>
      </c>
      <c r="L3378" s="256" t="inlineStr">
        <is>
          <t>2472/2025</t>
        </is>
      </c>
      <c r="M3378" s="256" t="inlineStr">
        <is>
          <t>30.05.2025</t>
        </is>
      </c>
      <c r="N3378" s="256" t="inlineStr">
        <is>
          <t>IPH — Institute of Public Health</t>
        </is>
      </c>
      <c r="O3378" s="256" t="inlineStr">
        <is>
          <t>15.05.2025</t>
        </is>
      </c>
      <c r="P3378" s="256" t="inlineStr">
        <is>
          <t>carried from the initial testing (the batch's initial CoQ (number assigned on issue)) — covered</t>
        </is>
      </c>
      <c r="Q3378" s="256" t="inlineStr"/>
      <c r="R3378" s="256" t="inlineStr"/>
    </row>
    <row r="3379">
      <c r="A3379" s="256" t="inlineStr">
        <is>
          <t>CoQ-PP_26-147</t>
        </is>
      </c>
      <c r="B3379" s="256" t="inlineStr">
        <is>
          <t>reissue — retest</t>
        </is>
      </c>
      <c r="C3379" s="256" t="inlineStr">
        <is>
          <t>GG1024_02</t>
        </is>
      </c>
      <c r="D3379" s="256" t="inlineStr">
        <is>
          <t>P050012</t>
        </is>
      </c>
      <c r="E3379" s="256" t="inlineStr">
        <is>
          <t>Gorilla Glue</t>
        </is>
      </c>
      <c r="F3379" s="256" t="inlineStr">
        <is>
          <t>21.09.2026</t>
        </is>
      </c>
      <c r="G3379" s="256" t="inlineStr">
        <is>
          <t>11.2</t>
        </is>
      </c>
      <c r="H3379" s="256" t="inlineStr">
        <is>
          <t>Cadmium (Cd)</t>
        </is>
      </c>
      <c r="I3379" s="256" t="inlineStr">
        <is>
          <t>Ph. Eur. 2.4.27 (ICP-MS)</t>
        </is>
      </c>
      <c r="J3379" s="256" t="inlineStr">
        <is>
          <t>≤ 0.3 mg/kg</t>
        </is>
      </c>
      <c r="K3379" s="256" t="inlineStr">
        <is>
          <t>ND</t>
        </is>
      </c>
      <c r="L3379" s="256" t="inlineStr">
        <is>
          <t>2472/2025</t>
        </is>
      </c>
      <c r="M3379" s="256" t="inlineStr">
        <is>
          <t>30.05.2025</t>
        </is>
      </c>
      <c r="N3379" s="256" t="inlineStr">
        <is>
          <t>IPH — Institute of Public Health</t>
        </is>
      </c>
      <c r="O3379" s="256" t="inlineStr">
        <is>
          <t>15.05.2025</t>
        </is>
      </c>
      <c r="P3379" s="256" t="inlineStr">
        <is>
          <t>carried from the initial testing (the batch's initial CoQ (number assigned on issue)) — covered</t>
        </is>
      </c>
      <c r="Q3379" s="256" t="inlineStr"/>
      <c r="R3379" s="256" t="inlineStr"/>
    </row>
    <row r="3380">
      <c r="A3380" s="256" t="inlineStr">
        <is>
          <t>CoQ-PP_26-147</t>
        </is>
      </c>
      <c r="B3380" s="256" t="inlineStr">
        <is>
          <t>reissue — retest</t>
        </is>
      </c>
      <c r="C3380" s="256" t="inlineStr">
        <is>
          <t>GG1024_02</t>
        </is>
      </c>
      <c r="D3380" s="256" t="inlineStr">
        <is>
          <t>P050012</t>
        </is>
      </c>
      <c r="E3380" s="256" t="inlineStr">
        <is>
          <t>Gorilla Glue</t>
        </is>
      </c>
      <c r="F3380" s="256" t="inlineStr">
        <is>
          <t>21.09.2026</t>
        </is>
      </c>
      <c r="G3380" s="256" t="inlineStr">
        <is>
          <t>11.3</t>
        </is>
      </c>
      <c r="H3380" s="256" t="inlineStr">
        <is>
          <t>Arsenic (As)</t>
        </is>
      </c>
      <c r="I3380" s="256" t="inlineStr">
        <is>
          <t>Ph. Eur. 2.4.27 (ICP-MS)</t>
        </is>
      </c>
      <c r="J3380" s="256" t="inlineStr">
        <is>
          <t>≤ 0.2 mg/kg</t>
        </is>
      </c>
      <c r="K3380" s="256" t="inlineStr">
        <is>
          <t>ND</t>
        </is>
      </c>
      <c r="L3380" s="256" t="inlineStr">
        <is>
          <t>2472/2025</t>
        </is>
      </c>
      <c r="M3380" s="256" t="inlineStr">
        <is>
          <t>30.05.2025</t>
        </is>
      </c>
      <c r="N3380" s="256" t="inlineStr">
        <is>
          <t>IPH — Institute of Public Health</t>
        </is>
      </c>
      <c r="O3380" s="256" t="inlineStr">
        <is>
          <t>15.05.2025</t>
        </is>
      </c>
      <c r="P3380" s="256" t="inlineStr">
        <is>
          <t>carried from the initial testing (the batch's initial CoQ (number assigned on issue)) — covered</t>
        </is>
      </c>
      <c r="Q3380" s="256" t="inlineStr"/>
      <c r="R3380" s="256" t="inlineStr"/>
    </row>
    <row r="3381">
      <c r="A3381" s="256" t="inlineStr">
        <is>
          <t>CoQ-PP_26-147</t>
        </is>
      </c>
      <c r="B3381" s="256" t="inlineStr">
        <is>
          <t>reissue — retest</t>
        </is>
      </c>
      <c r="C3381" s="256" t="inlineStr">
        <is>
          <t>GG1024_02</t>
        </is>
      </c>
      <c r="D3381" s="256" t="inlineStr">
        <is>
          <t>P050012</t>
        </is>
      </c>
      <c r="E3381" s="256" t="inlineStr">
        <is>
          <t>Gorilla Glue</t>
        </is>
      </c>
      <c r="F3381" s="256" t="inlineStr">
        <is>
          <t>21.09.2026</t>
        </is>
      </c>
      <c r="G3381" s="256" t="inlineStr">
        <is>
          <t>11.4</t>
        </is>
      </c>
      <c r="H3381" s="256" t="inlineStr">
        <is>
          <t>Mercury (Hg)</t>
        </is>
      </c>
      <c r="I3381" s="256" t="inlineStr">
        <is>
          <t>Ph. Eur. 2.4.27 (ICP-MS)</t>
        </is>
      </c>
      <c r="J3381" s="256" t="inlineStr">
        <is>
          <t>≤ 0.1 mg/kg</t>
        </is>
      </c>
      <c r="K3381" s="256" t="inlineStr">
        <is>
          <t>ND</t>
        </is>
      </c>
      <c r="L3381" s="256" t="inlineStr">
        <is>
          <t>2472/2025</t>
        </is>
      </c>
      <c r="M3381" s="256" t="inlineStr">
        <is>
          <t>30.05.2025</t>
        </is>
      </c>
      <c r="N3381" s="256" t="inlineStr">
        <is>
          <t>IPH — Institute of Public Health</t>
        </is>
      </c>
      <c r="O3381" s="256" t="inlineStr">
        <is>
          <t>15.05.2025</t>
        </is>
      </c>
      <c r="P3381" s="256" t="inlineStr">
        <is>
          <t>carried from the initial testing (the batch's initial CoQ (number assigned on issue)) — covered</t>
        </is>
      </c>
      <c r="Q3381" s="256" t="inlineStr"/>
      <c r="R3381" s="256" t="inlineStr"/>
    </row>
    <row r="3382">
      <c r="A3382" s="256" t="inlineStr">
        <is>
          <t>CoQ-PP_26-147</t>
        </is>
      </c>
      <c r="B3382" s="256" t="inlineStr">
        <is>
          <t>reissue — retest</t>
        </is>
      </c>
      <c r="C3382" s="256" t="inlineStr">
        <is>
          <t>GG1024_02</t>
        </is>
      </c>
      <c r="D3382" s="256" t="inlineStr">
        <is>
          <t>P050012</t>
        </is>
      </c>
      <c r="E3382" s="256" t="inlineStr">
        <is>
          <t>Gorilla Glue</t>
        </is>
      </c>
      <c r="F3382" s="256" t="inlineStr">
        <is>
          <t>21.09.2026</t>
        </is>
      </c>
      <c r="G3382" s="256" t="inlineStr">
        <is>
          <t>12</t>
        </is>
      </c>
      <c r="H3382" s="256" t="inlineStr">
        <is>
          <t>Pesticide Residues</t>
        </is>
      </c>
      <c r="I3382" s="256" t="inlineStr">
        <is>
          <t>Ph. Eur. 2.8.13 (LC-MS/MS) · CUMCS Equivalency</t>
        </is>
      </c>
      <c r="J3382" s="256" t="inlineStr">
        <is>
          <t>≤ LOQ as per Ph. Eur. 2.8.13 · ≤ LOQ as per CUMCS Equivalency</t>
        </is>
      </c>
      <c r="K3382" s="256" t="inlineStr">
        <is>
          <t>ND</t>
        </is>
      </c>
      <c r="L3382" s="256" t="inlineStr">
        <is>
          <t>2472/2025</t>
        </is>
      </c>
      <c r="M3382" s="256" t="inlineStr">
        <is>
          <t>30.05.2025</t>
        </is>
      </c>
      <c r="N3382" s="256" t="inlineStr">
        <is>
          <t>IPH — Institute of Public Health</t>
        </is>
      </c>
      <c r="O3382" s="256" t="inlineStr">
        <is>
          <t>15.05.2025</t>
        </is>
      </c>
      <c r="P3382" s="256" t="inlineStr">
        <is>
          <t>carried from the initial testing (the batch's initial CoQ (number assigned on issue)) — covered</t>
        </is>
      </c>
      <c r="Q3382" s="256" t="inlineStr"/>
      <c r="R3382" s="256" t="inlineStr"/>
    </row>
    <row r="3383">
      <c r="A3383" s="256" t="inlineStr">
        <is>
          <t>CoQ-PP_26-148</t>
        </is>
      </c>
      <c r="B3383" s="256" t="inlineStr">
        <is>
          <t>reissue — retest</t>
        </is>
      </c>
      <c r="C3383" s="256" t="inlineStr">
        <is>
          <t>GG112501</t>
        </is>
      </c>
      <c r="D3383" s="256" t="inlineStr">
        <is>
          <t>— no P lot assigned —</t>
        </is>
      </c>
      <c r="E3383" s="256" t="inlineStr">
        <is>
          <t>Gorilla Glue</t>
        </is>
      </c>
      <c r="F3383" s="256" t="inlineStr">
        <is>
          <t>21.09.2026</t>
        </is>
      </c>
      <c r="G3383" s="256" t="inlineStr">
        <is>
          <t>1</t>
        </is>
      </c>
      <c r="H3383" s="256" t="inlineStr">
        <is>
          <t>Identification A, Appearance · Macroscopic</t>
        </is>
      </c>
      <c r="I3383" s="256" t="inlineStr">
        <is>
          <t>Ph. Eur. mon. 3028</t>
        </is>
      </c>
      <c r="J3383" s="256" t="inlineStr">
        <is>
          <t>Conforms to the monograph for Cannabis flos (07/2024:3028) in Ph. Eur. 11.0 | Согласно монографија за Cannabis flos (07/2024:3028) во Ph. Eur. 11.0</t>
        </is>
      </c>
      <c r="K3383" s="256" t="inlineStr">
        <is>
          <t>Conforms | Одговара</t>
        </is>
      </c>
      <c r="L3383" s="256" t="inlineStr">
        <is>
          <t>iCoA-PP_26-166</t>
        </is>
      </c>
      <c r="M3383" s="256" t="inlineStr">
        <is>
          <t>24.08.2026</t>
        </is>
      </c>
      <c r="N3383" s="256" t="inlineStr">
        <is>
          <t>Purely Plant GmbH (in-house)</t>
        </is>
      </c>
      <c r="O3383" s="256" t="inlineStr">
        <is>
          <t>—</t>
        </is>
      </c>
      <c r="P3383" s="256" t="inlineStr">
        <is>
          <t>to be performed — see route</t>
        </is>
      </c>
      <c r="Q3383" s="256" t="inlineStr">
        <is>
          <t>Farmahem — Ident A + B + C with the Assay, at retest</t>
        </is>
      </c>
      <c r="R3383" s="256" t="inlineStr"/>
    </row>
    <row r="3384">
      <c r="A3384" s="256" t="inlineStr">
        <is>
          <t>CoQ-PP_26-148</t>
        </is>
      </c>
      <c r="B3384" s="256" t="inlineStr">
        <is>
          <t>reissue — retest</t>
        </is>
      </c>
      <c r="C3384" s="256" t="inlineStr">
        <is>
          <t>GG112501</t>
        </is>
      </c>
      <c r="D3384" s="256" t="inlineStr">
        <is>
          <t>— no P lot assigned —</t>
        </is>
      </c>
      <c r="E3384" s="256" t="inlineStr">
        <is>
          <t>Gorilla Glue</t>
        </is>
      </c>
      <c r="F3384" s="256" t="inlineStr">
        <is>
          <t>21.09.2026</t>
        </is>
      </c>
      <c r="G3384" s="256" t="inlineStr">
        <is>
          <t>2</t>
        </is>
      </c>
      <c r="H3384" s="256" t="inlineStr">
        <is>
          <t>Identification B · Microscopic</t>
        </is>
      </c>
      <c r="I3384" s="256" t="inlineStr">
        <is>
          <t>Ph. Eur. 2.8.23 (microscopy)</t>
        </is>
      </c>
      <c r="J3384" s="256" t="inlineStr">
        <is>
          <t>Conforms to the monograph for Cannabis flos (07/2024:3028) in Ph. Eur. 11.0 | Согласно монографија за Cannabis flos (07/2024:3028) во Ph. Eur. 11.0</t>
        </is>
      </c>
      <c r="K3384" s="256" t="inlineStr">
        <is>
          <t>Conforms | Одговара</t>
        </is>
      </c>
      <c r="L3384" s="256" t="inlineStr">
        <is>
          <t>iCoA-PP_26-166</t>
        </is>
      </c>
      <c r="M3384" s="256" t="inlineStr">
        <is>
          <t>24.08.2026</t>
        </is>
      </c>
      <c r="N3384" s="256" t="inlineStr">
        <is>
          <t>Purely Plant GmbH (in-house)</t>
        </is>
      </c>
      <c r="O3384" s="256" t="inlineStr">
        <is>
          <t>—</t>
        </is>
      </c>
      <c r="P3384" s="256" t="inlineStr">
        <is>
          <t>to be performed — see route</t>
        </is>
      </c>
      <c r="Q3384" s="256" t="inlineStr">
        <is>
          <t>Farmahem — Ident A + B + C with the Assay, at retest</t>
        </is>
      </c>
      <c r="R3384" s="256" t="inlineStr"/>
    </row>
    <row r="3385">
      <c r="A3385" s="256" t="inlineStr">
        <is>
          <t>CoQ-PP_26-148</t>
        </is>
      </c>
      <c r="B3385" s="256" t="inlineStr">
        <is>
          <t>reissue — retest</t>
        </is>
      </c>
      <c r="C3385" s="256" t="inlineStr">
        <is>
          <t>GG112501</t>
        </is>
      </c>
      <c r="D3385" s="256" t="inlineStr">
        <is>
          <t>— no P lot assigned —</t>
        </is>
      </c>
      <c r="E3385" s="256" t="inlineStr">
        <is>
          <t>Gorilla Glue</t>
        </is>
      </c>
      <c r="F3385" s="256" t="inlineStr">
        <is>
          <t>21.09.2026</t>
        </is>
      </c>
      <c r="G3385" s="256" t="inlineStr">
        <is>
          <t>3</t>
        </is>
      </c>
      <c r="H3385" s="256" t="inlineStr">
        <is>
          <t>Identification C · HPLC/HPTLC</t>
        </is>
      </c>
      <c r="I3385" s="256" t="inlineStr">
        <is>
          <t>Ph. Eur. 2.2.29 (3028)</t>
        </is>
      </c>
      <c r="J3385" s="256" t="inlineStr">
        <is>
          <t>Conforms to the monograph for Cannabis flos (07/2024:3028) in Ph. Eur. 11.0 | Согласно монографија за Cannabis flos (07/2024:3028) во Ph. Eur. 11.0</t>
        </is>
      </c>
      <c r="K3385" s="256" t="inlineStr">
        <is>
          <t>Conforms | Одговара</t>
        </is>
      </c>
      <c r="L3385" s="256" t="inlineStr">
        <is>
          <t>227-20-К/26</t>
        </is>
      </c>
      <c r="M3385" s="256" t="inlineStr">
        <is>
          <t>11.09.2026</t>
        </is>
      </c>
      <c r="N3385" s="256" t="inlineStr">
        <is>
          <t>Farmahem</t>
        </is>
      </c>
      <c r="O3385" s="256" t="inlineStr">
        <is>
          <t>24.08.2026</t>
        </is>
      </c>
      <c r="P3385" s="256" t="inlineStr">
        <is>
          <t>covered</t>
        </is>
      </c>
      <c r="Q3385" s="256" t="inlineStr"/>
      <c r="R3385" s="256" t="inlineStr"/>
    </row>
    <row r="3386">
      <c r="A3386" s="256" t="inlineStr">
        <is>
          <t>CoQ-PP_26-148</t>
        </is>
      </c>
      <c r="B3386" s="256" t="inlineStr">
        <is>
          <t>reissue — retest</t>
        </is>
      </c>
      <c r="C3386" s="256" t="inlineStr">
        <is>
          <t>GG112501</t>
        </is>
      </c>
      <c r="D3386" s="256" t="inlineStr">
        <is>
          <t>— no P lot assigned —</t>
        </is>
      </c>
      <c r="E3386" s="256" t="inlineStr">
        <is>
          <t>Gorilla Glue</t>
        </is>
      </c>
      <c r="F3386" s="256" t="inlineStr">
        <is>
          <t>21.09.2026</t>
        </is>
      </c>
      <c r="G3386" s="256" t="inlineStr">
        <is>
          <t>4</t>
        </is>
      </c>
      <c r="H3386" s="256" t="inlineStr">
        <is>
          <t>Assay — Total Δ⁹-THC</t>
        </is>
      </c>
      <c r="I3386" s="256" t="inlineStr">
        <is>
          <t>Ph. Eur. 2.2.29 (HPLC)</t>
        </is>
      </c>
      <c r="J3386" s="256" t="inlineStr">
        <is>
          <t>16.23 – 19.76 %  (grade I, nominal 18.00 ± 1.77)</t>
        </is>
      </c>
      <c r="K3386" s="256" t="inlineStr">
        <is>
          <t>18.64</t>
        </is>
      </c>
      <c r="L3386" s="256" t="inlineStr">
        <is>
          <t>227-20-К/26</t>
        </is>
      </c>
      <c r="M3386" s="256" t="inlineStr">
        <is>
          <t>11.09.2026</t>
        </is>
      </c>
      <c r="N3386" s="256" t="inlineStr">
        <is>
          <t>Farmahem</t>
        </is>
      </c>
      <c r="O3386" s="256" t="inlineStr">
        <is>
          <t>24.08.2026</t>
        </is>
      </c>
      <c r="P3386" s="256" t="inlineStr">
        <is>
          <t>covered</t>
        </is>
      </c>
      <c r="Q3386" s="256" t="inlineStr"/>
      <c r="R3386" s="256" t="inlineStr"/>
    </row>
    <row r="3387">
      <c r="A3387" s="256" t="inlineStr">
        <is>
          <t>CoQ-PP_26-148</t>
        </is>
      </c>
      <c r="B3387" s="256" t="inlineStr">
        <is>
          <t>reissue — retest</t>
        </is>
      </c>
      <c r="C3387" s="256" t="inlineStr">
        <is>
          <t>GG112501</t>
        </is>
      </c>
      <c r="D3387" s="256" t="inlineStr">
        <is>
          <t>— no P lot assigned —</t>
        </is>
      </c>
      <c r="E3387" s="256" t="inlineStr">
        <is>
          <t>Gorilla Glue</t>
        </is>
      </c>
      <c r="F3387" s="256" t="inlineStr">
        <is>
          <t>21.09.2026</t>
        </is>
      </c>
      <c r="G3387" s="256" t="inlineStr">
        <is>
          <t>5</t>
        </is>
      </c>
      <c r="H3387" s="256" t="inlineStr">
        <is>
          <t>Assay — Total CBD</t>
        </is>
      </c>
      <c r="I3387" s="256" t="inlineStr">
        <is>
          <t>Ph. Eur. 2.2.29 (HPLC) · CBD + CBDA x 0.877</t>
        </is>
      </c>
      <c r="J3387" s="256" t="inlineStr">
        <is>
          <t>≤ 1.0%, w/w</t>
        </is>
      </c>
      <c r="K3387" s="256" t="inlineStr">
        <is>
          <t>&lt; LOQ</t>
        </is>
      </c>
      <c r="L3387" s="256" t="inlineStr">
        <is>
          <t>227-20-К/26</t>
        </is>
      </c>
      <c r="M3387" s="256" t="inlineStr">
        <is>
          <t>11.09.2026</t>
        </is>
      </c>
      <c r="N3387" s="256" t="inlineStr">
        <is>
          <t>Farmahem</t>
        </is>
      </c>
      <c r="O3387" s="256" t="inlineStr">
        <is>
          <t>24.08.2026</t>
        </is>
      </c>
      <c r="P3387" s="256" t="inlineStr">
        <is>
          <t>covered</t>
        </is>
      </c>
      <c r="Q3387" s="256" t="inlineStr"/>
      <c r="R3387" s="256" t="inlineStr"/>
    </row>
    <row r="3388">
      <c r="A3388" s="256" t="inlineStr">
        <is>
          <t>CoQ-PP_26-148</t>
        </is>
      </c>
      <c r="B3388" s="256" t="inlineStr">
        <is>
          <t>reissue — retest</t>
        </is>
      </c>
      <c r="C3388" s="256" t="inlineStr">
        <is>
          <t>GG112501</t>
        </is>
      </c>
      <c r="D3388" s="256" t="inlineStr">
        <is>
          <t>— no P lot assigned —</t>
        </is>
      </c>
      <c r="E3388" s="256" t="inlineStr">
        <is>
          <t>Gorilla Glue</t>
        </is>
      </c>
      <c r="F3388" s="256" t="inlineStr">
        <is>
          <t>21.09.2026</t>
        </is>
      </c>
      <c r="G3388" s="256" t="inlineStr">
        <is>
          <t>6</t>
        </is>
      </c>
      <c r="H3388" s="256" t="inlineStr">
        <is>
          <t>Total CBN</t>
        </is>
      </c>
      <c r="I3388" s="256" t="inlineStr">
        <is>
          <t>Ph. Eur. 2.2.29 (HPLC) · CBN + CBNA x 0.876</t>
        </is>
      </c>
      <c r="J3388" s="256" t="inlineStr">
        <is>
          <t>≤ 1.0%, w/w</t>
        </is>
      </c>
      <c r="K3388" s="256" t="inlineStr">
        <is>
          <t>&lt; LOQ</t>
        </is>
      </c>
      <c r="L3388" s="256" t="inlineStr">
        <is>
          <t>227-20-К/26</t>
        </is>
      </c>
      <c r="M3388" s="256" t="inlineStr">
        <is>
          <t>11.09.2026</t>
        </is>
      </c>
      <c r="N3388" s="256" t="inlineStr">
        <is>
          <t>Farmahem</t>
        </is>
      </c>
      <c r="O3388" s="256" t="inlineStr">
        <is>
          <t>24.08.2026</t>
        </is>
      </c>
      <c r="P3388" s="256" t="inlineStr">
        <is>
          <t>covered</t>
        </is>
      </c>
      <c r="Q3388" s="256" t="inlineStr"/>
      <c r="R3388" s="256" t="inlineStr"/>
    </row>
    <row r="3389">
      <c r="A3389" s="256" t="inlineStr">
        <is>
          <t>CoQ-PP_26-148</t>
        </is>
      </c>
      <c r="B3389" s="256" t="inlineStr">
        <is>
          <t>reissue — retest</t>
        </is>
      </c>
      <c r="C3389" s="256" t="inlineStr">
        <is>
          <t>GG112501</t>
        </is>
      </c>
      <c r="D3389" s="256" t="inlineStr">
        <is>
          <t>— no P lot assigned —</t>
        </is>
      </c>
      <c r="E3389" s="256" t="inlineStr">
        <is>
          <t>Gorilla Glue</t>
        </is>
      </c>
      <c r="F3389" s="256" t="inlineStr">
        <is>
          <t>21.09.2026</t>
        </is>
      </c>
      <c r="G3389" s="256" t="inlineStr">
        <is>
          <t>7</t>
        </is>
      </c>
      <c r="H3389" s="256" t="inlineStr">
        <is>
          <t>Foreign Matter</t>
        </is>
      </c>
      <c r="I3389" s="256" t="inlineStr">
        <is>
          <t>Ph. Eur. 2.8.2 · In-house · интерна</t>
        </is>
      </c>
      <c r="J3389" s="256" t="inlineStr">
        <is>
          <t>≤ 2.0% / 25–50 g · &lt; 1 cm leaves | листови, no seeds | без семки</t>
        </is>
      </c>
      <c r="K3389" s="256" t="inlineStr">
        <is>
          <t>Conforms | Одговара</t>
        </is>
      </c>
      <c r="L3389" s="256" t="inlineStr">
        <is>
          <t>iCoA-PP_26-166</t>
        </is>
      </c>
      <c r="M3389" s="256" t="inlineStr">
        <is>
          <t>24.08.2026</t>
        </is>
      </c>
      <c r="N3389" s="256" t="inlineStr">
        <is>
          <t>Purely Plant GmbH (in-house)</t>
        </is>
      </c>
      <c r="O3389" s="256" t="inlineStr">
        <is>
          <t>—</t>
        </is>
      </c>
      <c r="P3389" s="256" t="inlineStr">
        <is>
          <t>to be performed — see route</t>
        </is>
      </c>
      <c r="Q3389" s="256" t="inlineStr">
        <is>
          <t>Purely Plant laboratory — iCoA covering Foreign matter</t>
        </is>
      </c>
      <c r="R3389" s="256" t="inlineStr"/>
    </row>
    <row r="3390">
      <c r="A3390" s="256" t="inlineStr">
        <is>
          <t>CoQ-PP_26-148</t>
        </is>
      </c>
      <c r="B3390" s="256" t="inlineStr">
        <is>
          <t>reissue — retest</t>
        </is>
      </c>
      <c r="C3390" s="256" t="inlineStr">
        <is>
          <t>GG112501</t>
        </is>
      </c>
      <c r="D3390" s="256" t="inlineStr">
        <is>
          <t>— no P lot assigned —</t>
        </is>
      </c>
      <c r="E3390" s="256" t="inlineStr">
        <is>
          <t>Gorilla Glue</t>
        </is>
      </c>
      <c r="F3390" s="256" t="inlineStr">
        <is>
          <t>21.09.2026</t>
        </is>
      </c>
      <c r="G3390" s="256" t="inlineStr">
        <is>
          <t>8</t>
        </is>
      </c>
      <c r="H3390" s="256" t="inlineStr">
        <is>
          <t>Loss on Drying</t>
        </is>
      </c>
      <c r="I3390" s="256" t="inlineStr">
        <is>
          <t>DAB 2018 monograph Cannabis flos, 2.2.32 — loss on drying (CNP, before its Ph. Eur. 3028 accreditation)</t>
        </is>
      </c>
      <c r="J3390" s="256" t="inlineStr">
        <is>
          <t>≤ 12.0%</t>
        </is>
      </c>
      <c r="K3390" s="256" t="inlineStr">
        <is>
          <t>6.31</t>
        </is>
      </c>
      <c r="L3390" s="256" t="inlineStr">
        <is>
          <t>ППК26061</t>
        </is>
      </c>
      <c r="M3390" s="256" t="inlineStr">
        <is>
          <t>11.05.2026</t>
        </is>
      </c>
      <c r="N3390" s="256" t="inlineStr">
        <is>
          <t>UKIM Faculty of Pharmacy — Center for Natural Products</t>
        </is>
      </c>
      <c r="O3390" s="256" t="inlineStr">
        <is>
          <t>21.04.2026</t>
        </is>
      </c>
      <c r="P3390" s="256" t="inlineStr">
        <is>
          <t>carried from the initial testing (the batch's initial CoQ (number assigned on issue)) — covered</t>
        </is>
      </c>
      <c r="Q3390" s="256" t="inlineStr"/>
      <c r="R3390" s="256" t="inlineStr"/>
    </row>
    <row r="3391">
      <c r="A3391" s="256" t="inlineStr">
        <is>
          <t>CoQ-PP_26-148</t>
        </is>
      </c>
      <c r="B3391" s="256" t="inlineStr">
        <is>
          <t>reissue — retest</t>
        </is>
      </c>
      <c r="C3391" s="256" t="inlineStr">
        <is>
          <t>GG112501</t>
        </is>
      </c>
      <c r="D3391" s="256" t="inlineStr">
        <is>
          <t>— no P lot assigned —</t>
        </is>
      </c>
      <c r="E3391" s="256" t="inlineStr">
        <is>
          <t>Gorilla Glue</t>
        </is>
      </c>
      <c r="F3391" s="256" t="inlineStr">
        <is>
          <t>21.09.2026</t>
        </is>
      </c>
      <c r="G3391" s="256" t="inlineStr">
        <is>
          <t>9.1</t>
        </is>
      </c>
      <c r="H3391" s="256" t="inlineStr">
        <is>
          <t>TAMC</t>
        </is>
      </c>
      <c r="I3391" s="256" t="inlineStr">
        <is>
          <t>Ph. Eur. 2.6.12 cat. C</t>
        </is>
      </c>
      <c r="J3391" s="256" t="inlineStr">
        <is>
          <t>≤ 10⁵ CFU/g</t>
        </is>
      </c>
      <c r="K3391" s="256" t="inlineStr">
        <is>
          <t>5 × 10³</t>
        </is>
      </c>
      <c r="L3391" s="256" t="inlineStr">
        <is>
          <t>545/1076/26</t>
        </is>
      </c>
      <c r="M3391" s="256" t="inlineStr">
        <is>
          <t>31.08.2026</t>
        </is>
      </c>
      <c r="N3391" s="256" t="inlineStr">
        <is>
          <t>IPH — Institute of Public Health</t>
        </is>
      </c>
      <c r="O3391" s="256" t="inlineStr">
        <is>
          <t>25.08.2026</t>
        </is>
      </c>
      <c r="P3391" s="256" t="inlineStr">
        <is>
          <t>covered</t>
        </is>
      </c>
      <c r="Q3391" s="256" t="inlineStr"/>
      <c r="R3391" s="256" t="inlineStr"/>
    </row>
    <row r="3392">
      <c r="A3392" s="256" t="inlineStr">
        <is>
          <t>CoQ-PP_26-148</t>
        </is>
      </c>
      <c r="B3392" s="256" t="inlineStr">
        <is>
          <t>reissue — retest</t>
        </is>
      </c>
      <c r="C3392" s="256" t="inlineStr">
        <is>
          <t>GG112501</t>
        </is>
      </c>
      <c r="D3392" s="256" t="inlineStr">
        <is>
          <t>— no P lot assigned —</t>
        </is>
      </c>
      <c r="E3392" s="256" t="inlineStr">
        <is>
          <t>Gorilla Glue</t>
        </is>
      </c>
      <c r="F3392" s="256" t="inlineStr">
        <is>
          <t>21.09.2026</t>
        </is>
      </c>
      <c r="G3392" s="256" t="inlineStr">
        <is>
          <t>9.2</t>
        </is>
      </c>
      <c r="H3392" s="256" t="inlineStr">
        <is>
          <t>TYMC</t>
        </is>
      </c>
      <c r="I3392" s="256" t="inlineStr">
        <is>
          <t>Ph. Eur. 2.6.12 cat. C</t>
        </is>
      </c>
      <c r="J3392" s="256" t="inlineStr">
        <is>
          <t>≤ 10⁴ CFU/g</t>
        </is>
      </c>
      <c r="K3392" s="256" t="inlineStr">
        <is>
          <t>1,1 × 10³</t>
        </is>
      </c>
      <c r="L3392" s="256" t="inlineStr">
        <is>
          <t>545/1076/26</t>
        </is>
      </c>
      <c r="M3392" s="256" t="inlineStr">
        <is>
          <t>31.08.2026</t>
        </is>
      </c>
      <c r="N3392" s="256" t="inlineStr">
        <is>
          <t>IPH — Institute of Public Health</t>
        </is>
      </c>
      <c r="O3392" s="256" t="inlineStr">
        <is>
          <t>25.08.2026</t>
        </is>
      </c>
      <c r="P3392" s="256" t="inlineStr">
        <is>
          <t>covered</t>
        </is>
      </c>
      <c r="Q3392" s="256" t="inlineStr"/>
      <c r="R3392" s="256" t="inlineStr"/>
    </row>
    <row r="3393">
      <c r="A3393" s="256" t="inlineStr">
        <is>
          <t>CoQ-PP_26-148</t>
        </is>
      </c>
      <c r="B3393" s="256" t="inlineStr">
        <is>
          <t>reissue — retest</t>
        </is>
      </c>
      <c r="C3393" s="256" t="inlineStr">
        <is>
          <t>GG112501</t>
        </is>
      </c>
      <c r="D3393" s="256" t="inlineStr">
        <is>
          <t>— no P lot assigned —</t>
        </is>
      </c>
      <c r="E3393" s="256" t="inlineStr">
        <is>
          <t>Gorilla Glue</t>
        </is>
      </c>
      <c r="F3393" s="256" t="inlineStr">
        <is>
          <t>21.09.2026</t>
        </is>
      </c>
      <c r="G3393" s="256" t="inlineStr">
        <is>
          <t>9.3</t>
        </is>
      </c>
      <c r="H3393" s="256" t="inlineStr">
        <is>
          <t>Bile-tolerant gram-neg.</t>
        </is>
      </c>
      <c r="I3393" s="256" t="inlineStr">
        <is>
          <t>Ph. Eur. 2.6.31 cat. C</t>
        </is>
      </c>
      <c r="J3393" s="256" t="inlineStr">
        <is>
          <t>≤ 10⁴ CFU/g</t>
        </is>
      </c>
      <c r="K3393" s="256" t="inlineStr">
        <is>
          <t>&lt; 10³ and &gt; 10²</t>
        </is>
      </c>
      <c r="L3393" s="256" t="inlineStr">
        <is>
          <t>545/1076/26</t>
        </is>
      </c>
      <c r="M3393" s="256" t="inlineStr">
        <is>
          <t>31.08.2026</t>
        </is>
      </c>
      <c r="N3393" s="256" t="inlineStr">
        <is>
          <t>IPH — Institute of Public Health</t>
        </is>
      </c>
      <c r="O3393" s="256" t="inlineStr">
        <is>
          <t>25.08.2026</t>
        </is>
      </c>
      <c r="P3393" s="256" t="inlineStr">
        <is>
          <t>covered</t>
        </is>
      </c>
      <c r="Q3393" s="256" t="inlineStr"/>
      <c r="R3393" s="256" t="inlineStr"/>
    </row>
    <row r="3394">
      <c r="A3394" s="256" t="inlineStr">
        <is>
          <t>CoQ-PP_26-148</t>
        </is>
      </c>
      <c r="B3394" s="256" t="inlineStr">
        <is>
          <t>reissue — retest</t>
        </is>
      </c>
      <c r="C3394" s="256" t="inlineStr">
        <is>
          <t>GG112501</t>
        </is>
      </c>
      <c r="D3394" s="256" t="inlineStr">
        <is>
          <t>— no P lot assigned —</t>
        </is>
      </c>
      <c r="E3394" s="256" t="inlineStr">
        <is>
          <t>Gorilla Glue</t>
        </is>
      </c>
      <c r="F3394" s="256" t="inlineStr">
        <is>
          <t>21.09.2026</t>
        </is>
      </c>
      <c r="G3394" s="256" t="inlineStr">
        <is>
          <t>9.4</t>
        </is>
      </c>
      <c r="H3394" s="256" t="inlineStr">
        <is>
          <t>Salmonella</t>
        </is>
      </c>
      <c r="I3394" s="256" t="inlineStr">
        <is>
          <t>Ph. Eur. 2.6.31 cat. C</t>
        </is>
      </c>
      <c r="J3394" s="256" t="inlineStr">
        <is>
          <t>Absence | Отсуство / 25 g</t>
        </is>
      </c>
      <c r="K3394" s="256" t="inlineStr">
        <is>
          <t>Absent | Отсутна</t>
        </is>
      </c>
      <c r="L3394" s="256" t="inlineStr">
        <is>
          <t>545/1076/26</t>
        </is>
      </c>
      <c r="M3394" s="256" t="inlineStr">
        <is>
          <t>31.08.2026</t>
        </is>
      </c>
      <c r="N3394" s="256" t="inlineStr">
        <is>
          <t>IPH — Institute of Public Health</t>
        </is>
      </c>
      <c r="O3394" s="256" t="inlineStr">
        <is>
          <t>25.08.2026</t>
        </is>
      </c>
      <c r="P3394" s="256" t="inlineStr">
        <is>
          <t>covered</t>
        </is>
      </c>
      <c r="Q3394" s="256" t="inlineStr"/>
      <c r="R3394" s="256" t="inlineStr"/>
    </row>
    <row r="3395">
      <c r="A3395" s="256" t="inlineStr">
        <is>
          <t>CoQ-PP_26-148</t>
        </is>
      </c>
      <c r="B3395" s="256" t="inlineStr">
        <is>
          <t>reissue — retest</t>
        </is>
      </c>
      <c r="C3395" s="256" t="inlineStr">
        <is>
          <t>GG112501</t>
        </is>
      </c>
      <c r="D3395" s="256" t="inlineStr">
        <is>
          <t>— no P lot assigned —</t>
        </is>
      </c>
      <c r="E3395" s="256" t="inlineStr">
        <is>
          <t>Gorilla Glue</t>
        </is>
      </c>
      <c r="F3395" s="256" t="inlineStr">
        <is>
          <t>21.09.2026</t>
        </is>
      </c>
      <c r="G3395" s="256" t="inlineStr">
        <is>
          <t>9.5</t>
        </is>
      </c>
      <c r="H3395" s="256" t="inlineStr">
        <is>
          <t>Escherichia coli</t>
        </is>
      </c>
      <c r="I3395" s="256" t="inlineStr">
        <is>
          <t>Ph. Eur. 2.6.13 cat. C</t>
        </is>
      </c>
      <c r="J3395" s="256" t="inlineStr">
        <is>
          <t>Absence | Отсуство / 1 g</t>
        </is>
      </c>
      <c r="K3395" s="256" t="inlineStr">
        <is>
          <t>Absent | Отсутна</t>
        </is>
      </c>
      <c r="L3395" s="256" t="inlineStr">
        <is>
          <t>545/1076/26</t>
        </is>
      </c>
      <c r="M3395" s="256" t="inlineStr">
        <is>
          <t>31.08.2026</t>
        </is>
      </c>
      <c r="N3395" s="256" t="inlineStr">
        <is>
          <t>IPH — Institute of Public Health</t>
        </is>
      </c>
      <c r="O3395" s="256" t="inlineStr">
        <is>
          <t>25.08.2026</t>
        </is>
      </c>
      <c r="P3395" s="256" t="inlineStr">
        <is>
          <t>covered</t>
        </is>
      </c>
      <c r="Q3395" s="256" t="inlineStr"/>
      <c r="R3395" s="256" t="inlineStr"/>
    </row>
    <row r="3396">
      <c r="A3396" s="256" t="inlineStr">
        <is>
          <t>CoQ-PP_26-148</t>
        </is>
      </c>
      <c r="B3396" s="256" t="inlineStr">
        <is>
          <t>reissue — retest</t>
        </is>
      </c>
      <c r="C3396" s="256" t="inlineStr">
        <is>
          <t>GG112501</t>
        </is>
      </c>
      <c r="D3396" s="256" t="inlineStr">
        <is>
          <t>— no P lot assigned —</t>
        </is>
      </c>
      <c r="E3396" s="256" t="inlineStr">
        <is>
          <t>Gorilla Glue</t>
        </is>
      </c>
      <c r="F3396" s="256" t="inlineStr">
        <is>
          <t>21.09.2026</t>
        </is>
      </c>
      <c r="G3396" s="256" t="inlineStr">
        <is>
          <t>9.6</t>
        </is>
      </c>
      <c r="H3396" s="256" t="inlineStr">
        <is>
          <t>Pseudomonas aeruginosa</t>
        </is>
      </c>
      <c r="I3396" s="256" t="inlineStr">
        <is>
          <t>Ph. Eur. 2.6.13 cat. C</t>
        </is>
      </c>
      <c r="J3396" s="256" t="inlineStr">
        <is>
          <t>Absence | Отсуство / 1 g</t>
        </is>
      </c>
      <c r="K3396" s="260" t="inlineStr">
        <is>
          <t>upon request — not required for release</t>
        </is>
      </c>
      <c r="L3396" s="256" t="inlineStr">
        <is>
          <t>—</t>
        </is>
      </c>
      <c r="M3396" s="256" t="inlineStr">
        <is>
          <t>—</t>
        </is>
      </c>
      <c r="N3396" s="256" t="inlineStr">
        <is>
          <t>—</t>
        </is>
      </c>
      <c r="O3396" s="256" t="inlineStr">
        <is>
          <t>—</t>
        </is>
      </c>
      <c r="P3396" s="256" t="inlineStr">
        <is>
          <t>upon request — not required for release</t>
        </is>
      </c>
      <c r="Q3396" s="256" t="inlineStr"/>
      <c r="R3396" s="256" t="inlineStr"/>
    </row>
    <row r="3397">
      <c r="A3397" s="256" t="inlineStr">
        <is>
          <t>CoQ-PP_26-148</t>
        </is>
      </c>
      <c r="B3397" s="256" t="inlineStr">
        <is>
          <t>reissue — retest</t>
        </is>
      </c>
      <c r="C3397" s="256" t="inlineStr">
        <is>
          <t>GG112501</t>
        </is>
      </c>
      <c r="D3397" s="256" t="inlineStr">
        <is>
          <t>— no P lot assigned —</t>
        </is>
      </c>
      <c r="E3397" s="256" t="inlineStr">
        <is>
          <t>Gorilla Glue</t>
        </is>
      </c>
      <c r="F3397" s="256" t="inlineStr">
        <is>
          <t>21.09.2026</t>
        </is>
      </c>
      <c r="G3397" s="256" t="inlineStr">
        <is>
          <t>9.7</t>
        </is>
      </c>
      <c r="H3397" s="256" t="inlineStr">
        <is>
          <t>Staphylococcus aureus</t>
        </is>
      </c>
      <c r="I3397" s="256" t="inlineStr">
        <is>
          <t>Ph. Eur. 2.6.13 cat. C</t>
        </is>
      </c>
      <c r="J3397" s="256" t="inlineStr">
        <is>
          <t>Absence | Отсуство / 1 g</t>
        </is>
      </c>
      <c r="K3397" s="260" t="inlineStr">
        <is>
          <t>upon request — not required for release</t>
        </is>
      </c>
      <c r="L3397" s="256" t="inlineStr">
        <is>
          <t>—</t>
        </is>
      </c>
      <c r="M3397" s="256" t="inlineStr">
        <is>
          <t>—</t>
        </is>
      </c>
      <c r="N3397" s="256" t="inlineStr">
        <is>
          <t>—</t>
        </is>
      </c>
      <c r="O3397" s="256" t="inlineStr">
        <is>
          <t>—</t>
        </is>
      </c>
      <c r="P3397" s="256" t="inlineStr">
        <is>
          <t>upon request — not required for release</t>
        </is>
      </c>
      <c r="Q3397" s="256" t="inlineStr"/>
      <c r="R3397" s="256" t="inlineStr"/>
    </row>
    <row r="3398">
      <c r="A3398" s="256" t="inlineStr">
        <is>
          <t>CoQ-PP_26-148</t>
        </is>
      </c>
      <c r="B3398" s="256" t="inlineStr">
        <is>
          <t>reissue — retest</t>
        </is>
      </c>
      <c r="C3398" s="256" t="inlineStr">
        <is>
          <t>GG112501</t>
        </is>
      </c>
      <c r="D3398" s="256" t="inlineStr">
        <is>
          <t>— no P lot assigned —</t>
        </is>
      </c>
      <c r="E3398" s="256" t="inlineStr">
        <is>
          <t>Gorilla Glue</t>
        </is>
      </c>
      <c r="F3398" s="256" t="inlineStr">
        <is>
          <t>21.09.2026</t>
        </is>
      </c>
      <c r="G3398" s="256" t="inlineStr">
        <is>
          <t>10.1</t>
        </is>
      </c>
      <c r="H3398" s="256" t="inlineStr">
        <is>
          <t>Aflatoxin B₁</t>
        </is>
      </c>
      <c r="I3398" s="256" t="inlineStr">
        <is>
          <t>Ph. Eur. 2.8.18 (HPLC-FLD)</t>
        </is>
      </c>
      <c r="J3398" s="256" t="inlineStr">
        <is>
          <t>≤ 2 µg/kg</t>
        </is>
      </c>
      <c r="K3398" s="256" t="inlineStr">
        <is>
          <t>ND</t>
        </is>
      </c>
      <c r="L3398" s="256" t="inlineStr">
        <is>
          <t>227-20-М/26</t>
        </is>
      </c>
      <c r="M3398" s="256" t="inlineStr">
        <is>
          <t>16.09.2026</t>
        </is>
      </c>
      <c r="N3398" s="256" t="inlineStr">
        <is>
          <t>Farmahem</t>
        </is>
      </c>
      <c r="O3398" s="256" t="inlineStr">
        <is>
          <t>—</t>
        </is>
      </c>
      <c r="P3398" s="256" t="inlineStr">
        <is>
          <t>covered</t>
        </is>
      </c>
      <c r="Q3398" s="256" t="inlineStr"/>
      <c r="R3398" s="256" t="inlineStr"/>
    </row>
    <row r="3399">
      <c r="A3399" s="256" t="inlineStr">
        <is>
          <t>CoQ-PP_26-148</t>
        </is>
      </c>
      <c r="B3399" s="256" t="inlineStr">
        <is>
          <t>reissue — retest</t>
        </is>
      </c>
      <c r="C3399" s="256" t="inlineStr">
        <is>
          <t>GG112501</t>
        </is>
      </c>
      <c r="D3399" s="256" t="inlineStr">
        <is>
          <t>— no P lot assigned —</t>
        </is>
      </c>
      <c r="E3399" s="256" t="inlineStr">
        <is>
          <t>Gorilla Glue</t>
        </is>
      </c>
      <c r="F3399" s="256" t="inlineStr">
        <is>
          <t>21.09.2026</t>
        </is>
      </c>
      <c r="G3399" s="256" t="inlineStr">
        <is>
          <t>10.2</t>
        </is>
      </c>
      <c r="H3399" s="256" t="inlineStr">
        <is>
          <t>Aflatoxins ∑</t>
        </is>
      </c>
      <c r="I3399" s="256" t="inlineStr">
        <is>
          <t>Ph. Eur. 2.8.18 (HPLC-FLD)</t>
        </is>
      </c>
      <c r="J3399" s="256" t="inlineStr">
        <is>
          <t>≤ 4 µg/kg</t>
        </is>
      </c>
      <c r="K3399" s="256" t="inlineStr">
        <is>
          <t>ND</t>
        </is>
      </c>
      <c r="L3399" s="256" t="inlineStr">
        <is>
          <t>227-20-М/26</t>
        </is>
      </c>
      <c r="M3399" s="256" t="inlineStr">
        <is>
          <t>16.09.2026</t>
        </is>
      </c>
      <c r="N3399" s="256" t="inlineStr">
        <is>
          <t>Farmahem</t>
        </is>
      </c>
      <c r="O3399" s="256" t="inlineStr">
        <is>
          <t>—</t>
        </is>
      </c>
      <c r="P3399" s="256" t="inlineStr">
        <is>
          <t>carried from the initial testing (the batch's initial CoQ (number assigned on issue)) — covered</t>
        </is>
      </c>
      <c r="Q3399" s="256" t="inlineStr"/>
      <c r="R3399" s="256" t="inlineStr"/>
    </row>
    <row r="3400">
      <c r="A3400" s="256" t="inlineStr">
        <is>
          <t>CoQ-PP_26-148</t>
        </is>
      </c>
      <c r="B3400" s="256" t="inlineStr">
        <is>
          <t>reissue — retest</t>
        </is>
      </c>
      <c r="C3400" s="256" t="inlineStr">
        <is>
          <t>GG112501</t>
        </is>
      </c>
      <c r="D3400" s="256" t="inlineStr">
        <is>
          <t>— no P lot assigned —</t>
        </is>
      </c>
      <c r="E3400" s="256" t="inlineStr">
        <is>
          <t>Gorilla Glue</t>
        </is>
      </c>
      <c r="F3400" s="256" t="inlineStr">
        <is>
          <t>21.09.2026</t>
        </is>
      </c>
      <c r="G3400" s="256" t="inlineStr">
        <is>
          <t>10.3</t>
        </is>
      </c>
      <c r="H3400" s="256" t="inlineStr">
        <is>
          <t>Ochratoxin A</t>
        </is>
      </c>
      <c r="I3400" s="256" t="inlineStr">
        <is>
          <t>Ph. Eur. 2.8.22 (HPLC-FLD)</t>
        </is>
      </c>
      <c r="J3400" s="256" t="inlineStr">
        <is>
          <t>≤ 20 µg/kg</t>
        </is>
      </c>
      <c r="K3400" s="256" t="inlineStr">
        <is>
          <t>ND</t>
        </is>
      </c>
      <c r="L3400" s="256" t="inlineStr">
        <is>
          <t>227-20-М/26</t>
        </is>
      </c>
      <c r="M3400" s="256" t="inlineStr">
        <is>
          <t>16.09.2026</t>
        </is>
      </c>
      <c r="N3400" s="256" t="inlineStr">
        <is>
          <t>Farmahem</t>
        </is>
      </c>
      <c r="O3400" s="256" t="inlineStr">
        <is>
          <t>—</t>
        </is>
      </c>
      <c r="P3400" s="256" t="inlineStr">
        <is>
          <t>covered</t>
        </is>
      </c>
      <c r="Q3400" s="256" t="inlineStr"/>
      <c r="R3400" s="256" t="inlineStr"/>
    </row>
    <row r="3401">
      <c r="A3401" s="256" t="inlineStr">
        <is>
          <t>CoQ-PP_26-148</t>
        </is>
      </c>
      <c r="B3401" s="256" t="inlineStr">
        <is>
          <t>reissue — retest</t>
        </is>
      </c>
      <c r="C3401" s="256" t="inlineStr">
        <is>
          <t>GG112501</t>
        </is>
      </c>
      <c r="D3401" s="256" t="inlineStr">
        <is>
          <t>— no P lot assigned —</t>
        </is>
      </c>
      <c r="E3401" s="256" t="inlineStr">
        <is>
          <t>Gorilla Glue</t>
        </is>
      </c>
      <c r="F3401" s="256" t="inlineStr">
        <is>
          <t>21.09.2026</t>
        </is>
      </c>
      <c r="G3401" s="256" t="inlineStr">
        <is>
          <t>11.1</t>
        </is>
      </c>
      <c r="H3401" s="256" t="inlineStr">
        <is>
          <t>Lead (Pb)</t>
        </is>
      </c>
      <c r="I3401" s="256" t="inlineStr">
        <is>
          <t>Ph. Eur. 2.4.27 (ICP-MS)</t>
        </is>
      </c>
      <c r="J3401" s="256" t="inlineStr">
        <is>
          <t>≤ 0.5 mg/kg</t>
        </is>
      </c>
      <c r="K3401" s="256" t="inlineStr">
        <is>
          <t>0.033</t>
        </is>
      </c>
      <c r="L3401" s="256" t="inlineStr">
        <is>
          <t>2358/2026</t>
        </is>
      </c>
      <c r="M3401" s="256" t="inlineStr">
        <is>
          <t>29.04.2026</t>
        </is>
      </c>
      <c r="N3401" s="256" t="inlineStr">
        <is>
          <t>IPH — Institute of Public Health</t>
        </is>
      </c>
      <c r="O3401" s="256" t="inlineStr">
        <is>
          <t>21.04.2026</t>
        </is>
      </c>
      <c r="P3401" s="256" t="inlineStr">
        <is>
          <t>carried from the initial testing (the batch's initial CoQ (number assigned on issue)) — covered</t>
        </is>
      </c>
      <c r="Q3401" s="256" t="inlineStr"/>
      <c r="R3401" s="256" t="inlineStr"/>
    </row>
    <row r="3402">
      <c r="A3402" s="256" t="inlineStr">
        <is>
          <t>CoQ-PP_26-148</t>
        </is>
      </c>
      <c r="B3402" s="256" t="inlineStr">
        <is>
          <t>reissue — retest</t>
        </is>
      </c>
      <c r="C3402" s="256" t="inlineStr">
        <is>
          <t>GG112501</t>
        </is>
      </c>
      <c r="D3402" s="256" t="inlineStr">
        <is>
          <t>— no P lot assigned —</t>
        </is>
      </c>
      <c r="E3402" s="256" t="inlineStr">
        <is>
          <t>Gorilla Glue</t>
        </is>
      </c>
      <c r="F3402" s="256" t="inlineStr">
        <is>
          <t>21.09.2026</t>
        </is>
      </c>
      <c r="G3402" s="256" t="inlineStr">
        <is>
          <t>11.2</t>
        </is>
      </c>
      <c r="H3402" s="256" t="inlineStr">
        <is>
          <t>Cadmium (Cd)</t>
        </is>
      </c>
      <c r="I3402" s="256" t="inlineStr">
        <is>
          <t>Ph. Eur. 2.4.27 (ICP-MS)</t>
        </is>
      </c>
      <c r="J3402" s="256" t="inlineStr">
        <is>
          <t>≤ 0.3 mg/kg</t>
        </is>
      </c>
      <c r="K3402" s="256" t="inlineStr">
        <is>
          <t>0.0154</t>
        </is>
      </c>
      <c r="L3402" s="256" t="inlineStr">
        <is>
          <t>2358/2026</t>
        </is>
      </c>
      <c r="M3402" s="256" t="inlineStr">
        <is>
          <t>29.04.2026</t>
        </is>
      </c>
      <c r="N3402" s="256" t="inlineStr">
        <is>
          <t>IPH — Institute of Public Health</t>
        </is>
      </c>
      <c r="O3402" s="256" t="inlineStr">
        <is>
          <t>21.04.2026</t>
        </is>
      </c>
      <c r="P3402" s="256" t="inlineStr">
        <is>
          <t>carried from the initial testing (the batch's initial CoQ (number assigned on issue)) — covered</t>
        </is>
      </c>
      <c r="Q3402" s="256" t="inlineStr"/>
      <c r="R3402" s="256" t="inlineStr"/>
    </row>
    <row r="3403">
      <c r="A3403" s="256" t="inlineStr">
        <is>
          <t>CoQ-PP_26-148</t>
        </is>
      </c>
      <c r="B3403" s="256" t="inlineStr">
        <is>
          <t>reissue — retest</t>
        </is>
      </c>
      <c r="C3403" s="256" t="inlineStr">
        <is>
          <t>GG112501</t>
        </is>
      </c>
      <c r="D3403" s="256" t="inlineStr">
        <is>
          <t>— no P lot assigned —</t>
        </is>
      </c>
      <c r="E3403" s="256" t="inlineStr">
        <is>
          <t>Gorilla Glue</t>
        </is>
      </c>
      <c r="F3403" s="256" t="inlineStr">
        <is>
          <t>21.09.2026</t>
        </is>
      </c>
      <c r="G3403" s="256" t="inlineStr">
        <is>
          <t>11.3</t>
        </is>
      </c>
      <c r="H3403" s="256" t="inlineStr">
        <is>
          <t>Arsenic (As)</t>
        </is>
      </c>
      <c r="I3403" s="256" t="inlineStr">
        <is>
          <t>Ph. Eur. 2.4.27 (ICP-MS)</t>
        </is>
      </c>
      <c r="J3403" s="256" t="inlineStr">
        <is>
          <t>≤ 0.2 mg/kg</t>
        </is>
      </c>
      <c r="K3403" s="256" t="inlineStr">
        <is>
          <t>0.0272</t>
        </is>
      </c>
      <c r="L3403" s="256" t="inlineStr">
        <is>
          <t>2358/2026</t>
        </is>
      </c>
      <c r="M3403" s="256" t="inlineStr">
        <is>
          <t>29.04.2026</t>
        </is>
      </c>
      <c r="N3403" s="256" t="inlineStr">
        <is>
          <t>IPH — Institute of Public Health</t>
        </is>
      </c>
      <c r="O3403" s="256" t="inlineStr">
        <is>
          <t>21.04.2026</t>
        </is>
      </c>
      <c r="P3403" s="256" t="inlineStr">
        <is>
          <t>carried from the initial testing (the batch's initial CoQ (number assigned on issue)) — covered</t>
        </is>
      </c>
      <c r="Q3403" s="256" t="inlineStr"/>
      <c r="R3403" s="256" t="inlineStr"/>
    </row>
    <row r="3404">
      <c r="A3404" s="256" t="inlineStr">
        <is>
          <t>CoQ-PP_26-148</t>
        </is>
      </c>
      <c r="B3404" s="256" t="inlineStr">
        <is>
          <t>reissue — retest</t>
        </is>
      </c>
      <c r="C3404" s="256" t="inlineStr">
        <is>
          <t>GG112501</t>
        </is>
      </c>
      <c r="D3404" s="256" t="inlineStr">
        <is>
          <t>— no P lot assigned —</t>
        </is>
      </c>
      <c r="E3404" s="256" t="inlineStr">
        <is>
          <t>Gorilla Glue</t>
        </is>
      </c>
      <c r="F3404" s="256" t="inlineStr">
        <is>
          <t>21.09.2026</t>
        </is>
      </c>
      <c r="G3404" s="256" t="inlineStr">
        <is>
          <t>11.4</t>
        </is>
      </c>
      <c r="H3404" s="256" t="inlineStr">
        <is>
          <t>Mercury (Hg)</t>
        </is>
      </c>
      <c r="I3404" s="256" t="inlineStr">
        <is>
          <t>Ph. Eur. 2.4.27 (ICP-MS)</t>
        </is>
      </c>
      <c r="J3404" s="256" t="inlineStr">
        <is>
          <t>≤ 0.1 mg/kg</t>
        </is>
      </c>
      <c r="K3404" s="256" t="inlineStr">
        <is>
          <t>0.0146</t>
        </is>
      </c>
      <c r="L3404" s="256" t="inlineStr">
        <is>
          <t>2358/2026</t>
        </is>
      </c>
      <c r="M3404" s="256" t="inlineStr">
        <is>
          <t>29.04.2026</t>
        </is>
      </c>
      <c r="N3404" s="256" t="inlineStr">
        <is>
          <t>IPH — Institute of Public Health</t>
        </is>
      </c>
      <c r="O3404" s="256" t="inlineStr">
        <is>
          <t>21.04.2026</t>
        </is>
      </c>
      <c r="P3404" s="256" t="inlineStr">
        <is>
          <t>carried from the initial testing (the batch's initial CoQ (number assigned on issue)) — covered</t>
        </is>
      </c>
      <c r="Q3404" s="256" t="inlineStr"/>
      <c r="R3404" s="256" t="inlineStr"/>
    </row>
    <row r="3405">
      <c r="A3405" s="256" t="inlineStr">
        <is>
          <t>CoQ-PP_26-148</t>
        </is>
      </c>
      <c r="B3405" s="256" t="inlineStr">
        <is>
          <t>reissue — retest</t>
        </is>
      </c>
      <c r="C3405" s="256" t="inlineStr">
        <is>
          <t>GG112501</t>
        </is>
      </c>
      <c r="D3405" s="256" t="inlineStr">
        <is>
          <t>— no P lot assigned —</t>
        </is>
      </c>
      <c r="E3405" s="256" t="inlineStr">
        <is>
          <t>Gorilla Glue</t>
        </is>
      </c>
      <c r="F3405" s="256" t="inlineStr">
        <is>
          <t>21.09.2026</t>
        </is>
      </c>
      <c r="G3405" s="256" t="inlineStr">
        <is>
          <t>12</t>
        </is>
      </c>
      <c r="H3405" s="256" t="inlineStr">
        <is>
          <t>Pesticide Residues</t>
        </is>
      </c>
      <c r="I3405" s="256" t="inlineStr">
        <is>
          <t>Ph. Eur. 2.8.13 (LC-MS/MS) · CUMCS Equivalency</t>
        </is>
      </c>
      <c r="J3405" s="256" t="inlineStr">
        <is>
          <t>≤ LOQ as per Ph. Eur. 2.8.13 · ≤ LOQ as per CUMCS Equivalency</t>
        </is>
      </c>
      <c r="K3405" s="256" t="inlineStr">
        <is>
          <t>ND</t>
        </is>
      </c>
      <c r="L3405" s="256" t="inlineStr">
        <is>
          <t>2358/2026</t>
        </is>
      </c>
      <c r="M3405" s="256" t="inlineStr">
        <is>
          <t>29.04.2026</t>
        </is>
      </c>
      <c r="N3405" s="256" t="inlineStr">
        <is>
          <t>IPH — Institute of Public Health</t>
        </is>
      </c>
      <c r="O3405" s="256" t="inlineStr">
        <is>
          <t>21.04.2026</t>
        </is>
      </c>
      <c r="P3405" s="256" t="inlineStr">
        <is>
          <t>carried from the initial testing (the batch's initial CoQ (number assigned on issue)) — covered</t>
        </is>
      </c>
      <c r="Q3405" s="256" t="inlineStr"/>
      <c r="R3405" s="256" t="inlineStr"/>
    </row>
    <row r="3406">
      <c r="A3406" s="256" t="inlineStr">
        <is>
          <t>CoQ-PP_26-149</t>
        </is>
      </c>
      <c r="B3406" s="256" t="inlineStr">
        <is>
          <t>reissue — retest</t>
        </is>
      </c>
      <c r="C3406" s="256" t="inlineStr">
        <is>
          <t>GP062501</t>
        </is>
      </c>
      <c r="D3406" s="256" t="inlineStr">
        <is>
          <t>P050202</t>
        </is>
      </c>
      <c r="E3406" s="256" t="inlineStr">
        <is>
          <t>Grape Pie</t>
        </is>
      </c>
      <c r="F3406" s="256" t="inlineStr">
        <is>
          <t>21.09.2026</t>
        </is>
      </c>
      <c r="G3406" s="256" t="inlineStr">
        <is>
          <t>1</t>
        </is>
      </c>
      <c r="H3406" s="256" t="inlineStr">
        <is>
          <t>Identification A, Appearance · Macroscopic</t>
        </is>
      </c>
      <c r="I3406" s="256" t="inlineStr">
        <is>
          <t>Ph. Eur. mon. 3028</t>
        </is>
      </c>
      <c r="J3406" s="256" t="inlineStr">
        <is>
          <t>Conforms to the monograph for Cannabis flos (07/2024:3028) in Ph. Eur. 11.0 | Согласно монографија за Cannabis flos (07/2024:3028) во Ph. Eur. 11.0</t>
        </is>
      </c>
      <c r="K3406" s="256" t="inlineStr">
        <is>
          <t>Conforms | Одговара</t>
        </is>
      </c>
      <c r="L3406" s="256" t="inlineStr">
        <is>
          <t>iCoA-PP_26-167</t>
        </is>
      </c>
      <c r="M3406" s="256" t="inlineStr">
        <is>
          <t>24.08.2026</t>
        </is>
      </c>
      <c r="N3406" s="256" t="inlineStr">
        <is>
          <t>Purely Plant GmbH (in-house)</t>
        </is>
      </c>
      <c r="O3406" s="256" t="inlineStr">
        <is>
          <t>—</t>
        </is>
      </c>
      <c r="P3406" s="256" t="inlineStr">
        <is>
          <t>covered</t>
        </is>
      </c>
      <c r="Q3406" s="256" t="inlineStr">
        <is>
          <t>Farmahem — Ident A + B + C with the Assay, at retest</t>
        </is>
      </c>
      <c r="R3406" s="256" t="inlineStr"/>
    </row>
    <row r="3407">
      <c r="A3407" s="256" t="inlineStr">
        <is>
          <t>CoQ-PP_26-149</t>
        </is>
      </c>
      <c r="B3407" s="256" t="inlineStr">
        <is>
          <t>reissue — retest</t>
        </is>
      </c>
      <c r="C3407" s="256" t="inlineStr">
        <is>
          <t>GP062501</t>
        </is>
      </c>
      <c r="D3407" s="256" t="inlineStr">
        <is>
          <t>P050202</t>
        </is>
      </c>
      <c r="E3407" s="256" t="inlineStr">
        <is>
          <t>Grape Pie</t>
        </is>
      </c>
      <c r="F3407" s="256" t="inlineStr">
        <is>
          <t>21.09.2026</t>
        </is>
      </c>
      <c r="G3407" s="256" t="inlineStr">
        <is>
          <t>2</t>
        </is>
      </c>
      <c r="H3407" s="256" t="inlineStr">
        <is>
          <t>Identification B · Microscopic</t>
        </is>
      </c>
      <c r="I3407" s="256" t="inlineStr">
        <is>
          <t>Ph. Eur. 2.8.23 (microscopy)</t>
        </is>
      </c>
      <c r="J3407" s="256" t="inlineStr">
        <is>
          <t>Conforms to the monograph for Cannabis flos (07/2024:3028) in Ph. Eur. 11.0 | Согласно монографија за Cannabis flos (07/2024:3028) во Ph. Eur. 11.0</t>
        </is>
      </c>
      <c r="K3407" s="256" t="inlineStr">
        <is>
          <t>Conforms | Одговара</t>
        </is>
      </c>
      <c r="L3407" s="256" t="inlineStr">
        <is>
          <t>iCoA-PP_26-167</t>
        </is>
      </c>
      <c r="M3407" s="256" t="inlineStr">
        <is>
          <t>24.08.2026</t>
        </is>
      </c>
      <c r="N3407" s="256" t="inlineStr">
        <is>
          <t>Purely Plant GmbH (in-house)</t>
        </is>
      </c>
      <c r="O3407" s="256" t="inlineStr">
        <is>
          <t>—</t>
        </is>
      </c>
      <c r="P3407" s="256" t="inlineStr">
        <is>
          <t>to be performed — see route</t>
        </is>
      </c>
      <c r="Q3407" s="256" t="inlineStr">
        <is>
          <t>Farmahem — Ident A + B + C with the Assay, at retest</t>
        </is>
      </c>
      <c r="R3407" s="256" t="inlineStr"/>
    </row>
    <row r="3408">
      <c r="A3408" s="256" t="inlineStr">
        <is>
          <t>CoQ-PP_26-149</t>
        </is>
      </c>
      <c r="B3408" s="256" t="inlineStr">
        <is>
          <t>reissue — retest</t>
        </is>
      </c>
      <c r="C3408" s="256" t="inlineStr">
        <is>
          <t>GP062501</t>
        </is>
      </c>
      <c r="D3408" s="256" t="inlineStr">
        <is>
          <t>P050202</t>
        </is>
      </c>
      <c r="E3408" s="256" t="inlineStr">
        <is>
          <t>Grape Pie</t>
        </is>
      </c>
      <c r="F3408" s="256" t="inlineStr">
        <is>
          <t>21.09.2026</t>
        </is>
      </c>
      <c r="G3408" s="256" t="inlineStr">
        <is>
          <t>3</t>
        </is>
      </c>
      <c r="H3408" s="256" t="inlineStr">
        <is>
          <t>Identification C · HPLC/HPTLC</t>
        </is>
      </c>
      <c r="I3408" s="256" t="inlineStr">
        <is>
          <t>Ph. Eur. 2.2.29 (3028)</t>
        </is>
      </c>
      <c r="J3408" s="256" t="inlineStr">
        <is>
          <t>Conforms to the monograph for Cannabis flos (07/2024:3028) in Ph. Eur. 11.0 | Согласно монографија за Cannabis flos (07/2024:3028) во Ph. Eur. 11.0</t>
        </is>
      </c>
      <c r="K3408" s="256" t="inlineStr">
        <is>
          <t>Conforms | Одговара</t>
        </is>
      </c>
      <c r="L3408" s="256" t="inlineStr">
        <is>
          <t>227-18-К/26</t>
        </is>
      </c>
      <c r="M3408" s="256" t="inlineStr">
        <is>
          <t>11.09.2026</t>
        </is>
      </c>
      <c r="N3408" s="256" t="inlineStr">
        <is>
          <t>Farmahem</t>
        </is>
      </c>
      <c r="O3408" s="256" t="inlineStr">
        <is>
          <t>24.08.2026</t>
        </is>
      </c>
      <c r="P3408" s="256" t="inlineStr">
        <is>
          <t>covered</t>
        </is>
      </c>
      <c r="Q3408" s="256" t="inlineStr"/>
      <c r="R3408" s="256" t="inlineStr"/>
    </row>
    <row r="3409">
      <c r="A3409" s="256" t="inlineStr">
        <is>
          <t>CoQ-PP_26-149</t>
        </is>
      </c>
      <c r="B3409" s="256" t="inlineStr">
        <is>
          <t>reissue — retest</t>
        </is>
      </c>
      <c r="C3409" s="256" t="inlineStr">
        <is>
          <t>GP062501</t>
        </is>
      </c>
      <c r="D3409" s="256" t="inlineStr">
        <is>
          <t>P050202</t>
        </is>
      </c>
      <c r="E3409" s="256" t="inlineStr">
        <is>
          <t>Grape Pie</t>
        </is>
      </c>
      <c r="F3409" s="256" t="inlineStr">
        <is>
          <t>21.09.2026</t>
        </is>
      </c>
      <c r="G3409" s="256" t="inlineStr">
        <is>
          <t>4</t>
        </is>
      </c>
      <c r="H3409" s="256" t="inlineStr">
        <is>
          <t>Assay — Total Δ⁹-THC</t>
        </is>
      </c>
      <c r="I3409" s="256" t="inlineStr">
        <is>
          <t>Ph. Eur. 2.2.29 (HPLC)</t>
        </is>
      </c>
      <c r="J3409" s="256" t="inlineStr">
        <is>
          <t>22.00 – 25.99 %  (grade II, nominal 24.00 ± 2.00)</t>
        </is>
      </c>
      <c r="K3409" s="256" t="inlineStr">
        <is>
          <t>25.97</t>
        </is>
      </c>
      <c r="L3409" s="256" t="inlineStr">
        <is>
          <t>227-18-К/26</t>
        </is>
      </c>
      <c r="M3409" s="256" t="inlineStr">
        <is>
          <t>11.09.2026</t>
        </is>
      </c>
      <c r="N3409" s="256" t="inlineStr">
        <is>
          <t>Farmahem</t>
        </is>
      </c>
      <c r="O3409" s="256" t="inlineStr">
        <is>
          <t>24.08.2026</t>
        </is>
      </c>
      <c r="P3409" s="256" t="inlineStr">
        <is>
          <t>covered</t>
        </is>
      </c>
      <c r="Q3409" s="256" t="inlineStr"/>
      <c r="R3409" s="256" t="inlineStr"/>
    </row>
    <row r="3410">
      <c r="A3410" s="256" t="inlineStr">
        <is>
          <t>CoQ-PP_26-149</t>
        </is>
      </c>
      <c r="B3410" s="256" t="inlineStr">
        <is>
          <t>reissue — retest</t>
        </is>
      </c>
      <c r="C3410" s="256" t="inlineStr">
        <is>
          <t>GP062501</t>
        </is>
      </c>
      <c r="D3410" s="256" t="inlineStr">
        <is>
          <t>P050202</t>
        </is>
      </c>
      <c r="E3410" s="256" t="inlineStr">
        <is>
          <t>Grape Pie</t>
        </is>
      </c>
      <c r="F3410" s="256" t="inlineStr">
        <is>
          <t>21.09.2026</t>
        </is>
      </c>
      <c r="G3410" s="256" t="inlineStr">
        <is>
          <t>5</t>
        </is>
      </c>
      <c r="H3410" s="256" t="inlineStr">
        <is>
          <t>Assay — Total CBD</t>
        </is>
      </c>
      <c r="I3410" s="256" t="inlineStr">
        <is>
          <t>Ph. Eur. 2.2.29 (HPLC) · CBD + CBDA x 0.877</t>
        </is>
      </c>
      <c r="J3410" s="256" t="inlineStr">
        <is>
          <t>≤ 1.0%, w/w</t>
        </is>
      </c>
      <c r="K3410" s="256" t="inlineStr">
        <is>
          <t>&lt; LOQ</t>
        </is>
      </c>
      <c r="L3410" s="256" t="inlineStr">
        <is>
          <t>227-18-К/26</t>
        </is>
      </c>
      <c r="M3410" s="256" t="inlineStr">
        <is>
          <t>11.09.2026</t>
        </is>
      </c>
      <c r="N3410" s="256" t="inlineStr">
        <is>
          <t>Farmahem</t>
        </is>
      </c>
      <c r="O3410" s="256" t="inlineStr">
        <is>
          <t>24.08.2026</t>
        </is>
      </c>
      <c r="P3410" s="256" t="inlineStr">
        <is>
          <t>covered</t>
        </is>
      </c>
      <c r="Q3410" s="256" t="inlineStr"/>
      <c r="R3410" s="256" t="inlineStr"/>
    </row>
    <row r="3411">
      <c r="A3411" s="256" t="inlineStr">
        <is>
          <t>CoQ-PP_26-149</t>
        </is>
      </c>
      <c r="B3411" s="256" t="inlineStr">
        <is>
          <t>reissue — retest</t>
        </is>
      </c>
      <c r="C3411" s="256" t="inlineStr">
        <is>
          <t>GP062501</t>
        </is>
      </c>
      <c r="D3411" s="256" t="inlineStr">
        <is>
          <t>P050202</t>
        </is>
      </c>
      <c r="E3411" s="256" t="inlineStr">
        <is>
          <t>Grape Pie</t>
        </is>
      </c>
      <c r="F3411" s="256" t="inlineStr">
        <is>
          <t>21.09.2026</t>
        </is>
      </c>
      <c r="G3411" s="256" t="inlineStr">
        <is>
          <t>6</t>
        </is>
      </c>
      <c r="H3411" s="256" t="inlineStr">
        <is>
          <t>Total CBN</t>
        </is>
      </c>
      <c r="I3411" s="256" t="inlineStr">
        <is>
          <t>Ph. Eur. 2.2.29 (HPLC) · CBN + CBNA x 0.876</t>
        </is>
      </c>
      <c r="J3411" s="256" t="inlineStr">
        <is>
          <t>≤ 1.0%, w/w</t>
        </is>
      </c>
      <c r="K3411" s="256" t="inlineStr">
        <is>
          <t>&lt; LOQ</t>
        </is>
      </c>
      <c r="L3411" s="256" t="inlineStr">
        <is>
          <t>227-18-К/26</t>
        </is>
      </c>
      <c r="M3411" s="256" t="inlineStr">
        <is>
          <t>11.09.2026</t>
        </is>
      </c>
      <c r="N3411" s="256" t="inlineStr">
        <is>
          <t>Farmahem</t>
        </is>
      </c>
      <c r="O3411" s="256" t="inlineStr">
        <is>
          <t>24.08.2026</t>
        </is>
      </c>
      <c r="P3411" s="256" t="inlineStr">
        <is>
          <t>covered</t>
        </is>
      </c>
      <c r="Q3411" s="256" t="inlineStr"/>
      <c r="R3411" s="256" t="inlineStr"/>
    </row>
    <row r="3412">
      <c r="A3412" s="256" t="inlineStr">
        <is>
          <t>CoQ-PP_26-149</t>
        </is>
      </c>
      <c r="B3412" s="256" t="inlineStr">
        <is>
          <t>reissue — retest</t>
        </is>
      </c>
      <c r="C3412" s="256" t="inlineStr">
        <is>
          <t>GP062501</t>
        </is>
      </c>
      <c r="D3412" s="256" t="inlineStr">
        <is>
          <t>P050202</t>
        </is>
      </c>
      <c r="E3412" s="256" t="inlineStr">
        <is>
          <t>Grape Pie</t>
        </is>
      </c>
      <c r="F3412" s="256" t="inlineStr">
        <is>
          <t>21.09.2026</t>
        </is>
      </c>
      <c r="G3412" s="256" t="inlineStr">
        <is>
          <t>7</t>
        </is>
      </c>
      <c r="H3412" s="256" t="inlineStr">
        <is>
          <t>Foreign Matter</t>
        </is>
      </c>
      <c r="I3412" s="256" t="inlineStr">
        <is>
          <t>Ph. Eur. 2.8.2 · In-house · интерна</t>
        </is>
      </c>
      <c r="J3412" s="256" t="inlineStr">
        <is>
          <t>≤ 2.0% / 25–50 g · &lt; 1 cm leaves | листови, no seeds | без семки</t>
        </is>
      </c>
      <c r="K3412" s="256" t="inlineStr">
        <is>
          <t>Conforms | Одговара</t>
        </is>
      </c>
      <c r="L3412" s="256" t="inlineStr">
        <is>
          <t>iCoA-PP_26-167</t>
        </is>
      </c>
      <c r="M3412" s="256" t="inlineStr">
        <is>
          <t>24.08.2026</t>
        </is>
      </c>
      <c r="N3412" s="256" t="inlineStr">
        <is>
          <t>Purely Plant GmbH (in-house)</t>
        </is>
      </c>
      <c r="O3412" s="256" t="inlineStr">
        <is>
          <t>—</t>
        </is>
      </c>
      <c r="P3412" s="256" t="inlineStr">
        <is>
          <t>covered</t>
        </is>
      </c>
      <c r="Q3412" s="256" t="inlineStr">
        <is>
          <t>Purely Plant laboratory — iCoA covering Foreign matter</t>
        </is>
      </c>
      <c r="R3412" s="256" t="inlineStr"/>
    </row>
    <row r="3413">
      <c r="A3413" s="256" t="inlineStr">
        <is>
          <t>CoQ-PP_26-149</t>
        </is>
      </c>
      <c r="B3413" s="256" t="inlineStr">
        <is>
          <t>reissue — retest</t>
        </is>
      </c>
      <c r="C3413" s="256" t="inlineStr">
        <is>
          <t>GP062501</t>
        </is>
      </c>
      <c r="D3413" s="256" t="inlineStr">
        <is>
          <t>P050202</t>
        </is>
      </c>
      <c r="E3413" s="256" t="inlineStr">
        <is>
          <t>Grape Pie</t>
        </is>
      </c>
      <c r="F3413" s="256" t="inlineStr">
        <is>
          <t>21.09.2026</t>
        </is>
      </c>
      <c r="G3413" s="256" t="inlineStr">
        <is>
          <t>8</t>
        </is>
      </c>
      <c r="H3413" s="256" t="inlineStr">
        <is>
          <t>Loss on Drying</t>
        </is>
      </c>
      <c r="I3413" s="256" t="inlineStr">
        <is>
          <t>Ph. Eur. 2.2.32 (3028) · at 40 °C, 24 h, 15–25 mbar</t>
        </is>
      </c>
      <c r="J3413" s="256" t="inlineStr">
        <is>
          <t>≤ 12.0%</t>
        </is>
      </c>
      <c r="K3413" s="256" t="inlineStr">
        <is>
          <t>8.19 (avg of 4 weighings 51-1,51-2,52-1,52-2)</t>
        </is>
      </c>
      <c r="L3413" s="256" t="inlineStr">
        <is>
          <t>iCoA-PP_26-025</t>
        </is>
      </c>
      <c r="M3413" s="256" t="inlineStr">
        <is>
          <t>03.06.2026</t>
        </is>
      </c>
      <c r="N3413" s="256" t="inlineStr">
        <is>
          <t>Purely Plant GmbH (in-house)</t>
        </is>
      </c>
      <c r="O3413" s="256" t="inlineStr">
        <is>
          <t>—</t>
        </is>
      </c>
      <c r="P3413" s="256" t="inlineStr">
        <is>
          <t>carried from the initial testing (the batch's initial CoQ (number assigned on issue)) — in-house CoA only — not an eCoA or an iCoA: a value no certificate of analysis certifies cannot be on a release certificate (owner's rule, 02.09.2026)</t>
        </is>
      </c>
      <c r="Q3413" s="256" t="inlineStr"/>
      <c r="R3413" s="256" t="inlineStr">
        <is>
          <t>5.83 (ППК26036); 5.38 (ППК26037); 6.85 (ППК26057); 6.60 (ППК26058)</t>
        </is>
      </c>
    </row>
    <row r="3414">
      <c r="A3414" s="256" t="inlineStr">
        <is>
          <t>CoQ-PP_26-149</t>
        </is>
      </c>
      <c r="B3414" s="256" t="inlineStr">
        <is>
          <t>reissue — retest</t>
        </is>
      </c>
      <c r="C3414" s="256" t="inlineStr">
        <is>
          <t>GP062501</t>
        </is>
      </c>
      <c r="D3414" s="256" t="inlineStr">
        <is>
          <t>P050202</t>
        </is>
      </c>
      <c r="E3414" s="256" t="inlineStr">
        <is>
          <t>Grape Pie</t>
        </is>
      </c>
      <c r="F3414" s="256" t="inlineStr">
        <is>
          <t>21.09.2026</t>
        </is>
      </c>
      <c r="G3414" s="256" t="inlineStr">
        <is>
          <t>9.1</t>
        </is>
      </c>
      <c r="H3414" s="256" t="inlineStr">
        <is>
          <t>TAMC</t>
        </is>
      </c>
      <c r="I3414" s="256" t="inlineStr">
        <is>
          <t>Ph. Eur. 2.6.12 cat. C</t>
        </is>
      </c>
      <c r="J3414" s="256" t="inlineStr">
        <is>
          <t>≤ 10⁵ CFU/g</t>
        </is>
      </c>
      <c r="K3414" s="256" t="inlineStr">
        <is>
          <t>&lt; 10</t>
        </is>
      </c>
      <c r="L3414" s="256" t="inlineStr">
        <is>
          <t>557/1088/26</t>
        </is>
      </c>
      <c r="M3414" s="256" t="inlineStr">
        <is>
          <t>01.09.2026</t>
        </is>
      </c>
      <c r="N3414" s="256" t="inlineStr">
        <is>
          <t>IPH — Institute of Public Health</t>
        </is>
      </c>
      <c r="O3414" s="256" t="inlineStr">
        <is>
          <t>26.08.2026</t>
        </is>
      </c>
      <c r="P3414" s="256" t="inlineStr">
        <is>
          <t>covered</t>
        </is>
      </c>
      <c r="Q3414" s="256" t="inlineStr"/>
      <c r="R3414" s="256" t="inlineStr">
        <is>
          <t>600 (1155/2056/25)</t>
        </is>
      </c>
    </row>
    <row r="3415">
      <c r="A3415" s="256" t="inlineStr">
        <is>
          <t>CoQ-PP_26-149</t>
        </is>
      </c>
      <c r="B3415" s="256" t="inlineStr">
        <is>
          <t>reissue — retest</t>
        </is>
      </c>
      <c r="C3415" s="256" t="inlineStr">
        <is>
          <t>GP062501</t>
        </is>
      </c>
      <c r="D3415" s="256" t="inlineStr">
        <is>
          <t>P050202</t>
        </is>
      </c>
      <c r="E3415" s="256" t="inlineStr">
        <is>
          <t>Grape Pie</t>
        </is>
      </c>
      <c r="F3415" s="256" t="inlineStr">
        <is>
          <t>21.09.2026</t>
        </is>
      </c>
      <c r="G3415" s="256" t="inlineStr">
        <is>
          <t>9.2</t>
        </is>
      </c>
      <c r="H3415" s="256" t="inlineStr">
        <is>
          <t>TYMC</t>
        </is>
      </c>
      <c r="I3415" s="256" t="inlineStr">
        <is>
          <t>Ph. Eur. 2.6.12 cat. C</t>
        </is>
      </c>
      <c r="J3415" s="256" t="inlineStr">
        <is>
          <t>≤ 10⁴ CFU/g</t>
        </is>
      </c>
      <c r="K3415" s="256" t="inlineStr">
        <is>
          <t>&lt; 10</t>
        </is>
      </c>
      <c r="L3415" s="256" t="inlineStr">
        <is>
          <t>557/1088/26</t>
        </is>
      </c>
      <c r="M3415" s="256" t="inlineStr">
        <is>
          <t>01.09.2026</t>
        </is>
      </c>
      <c r="N3415" s="256" t="inlineStr">
        <is>
          <t>IPH — Institute of Public Health</t>
        </is>
      </c>
      <c r="O3415" s="256" t="inlineStr">
        <is>
          <t>26.08.2026</t>
        </is>
      </c>
      <c r="P3415" s="256" t="inlineStr">
        <is>
          <t>covered</t>
        </is>
      </c>
      <c r="Q3415" s="256" t="inlineStr"/>
      <c r="R3415" s="256" t="inlineStr">
        <is>
          <t>400 (1155/2056/25)</t>
        </is>
      </c>
    </row>
    <row r="3416">
      <c r="A3416" s="256" t="inlineStr">
        <is>
          <t>CoQ-PP_26-149</t>
        </is>
      </c>
      <c r="B3416" s="256" t="inlineStr">
        <is>
          <t>reissue — retest</t>
        </is>
      </c>
      <c r="C3416" s="256" t="inlineStr">
        <is>
          <t>GP062501</t>
        </is>
      </c>
      <c r="D3416" s="256" t="inlineStr">
        <is>
          <t>P050202</t>
        </is>
      </c>
      <c r="E3416" s="256" t="inlineStr">
        <is>
          <t>Grape Pie</t>
        </is>
      </c>
      <c r="F3416" s="256" t="inlineStr">
        <is>
          <t>21.09.2026</t>
        </is>
      </c>
      <c r="G3416" s="256" t="inlineStr">
        <is>
          <t>9.3</t>
        </is>
      </c>
      <c r="H3416" s="256" t="inlineStr">
        <is>
          <t>Bile-tolerant gram-neg.</t>
        </is>
      </c>
      <c r="I3416" s="256" t="inlineStr">
        <is>
          <t>Ph. Eur. 2.6.31 cat. C</t>
        </is>
      </c>
      <c r="J3416" s="256" t="inlineStr">
        <is>
          <t>≤ 10⁴ CFU/g</t>
        </is>
      </c>
      <c r="K3416" s="256" t="inlineStr">
        <is>
          <t>&lt; 10</t>
        </is>
      </c>
      <c r="L3416" s="256" t="inlineStr">
        <is>
          <t>557/1088/26</t>
        </is>
      </c>
      <c r="M3416" s="256" t="inlineStr">
        <is>
          <t>01.09.2026</t>
        </is>
      </c>
      <c r="N3416" s="256" t="inlineStr">
        <is>
          <t>IPH — Institute of Public Health</t>
        </is>
      </c>
      <c r="O3416" s="256" t="inlineStr">
        <is>
          <t>26.08.2026</t>
        </is>
      </c>
      <c r="P3416" s="256" t="inlineStr">
        <is>
          <t>covered</t>
        </is>
      </c>
      <c r="Q3416" s="256" t="inlineStr"/>
      <c r="R3416" s="256" t="inlineStr">
        <is>
          <t>&lt; 10 (1155/2056/25)</t>
        </is>
      </c>
    </row>
    <row r="3417">
      <c r="A3417" s="256" t="inlineStr">
        <is>
          <t>CoQ-PP_26-149</t>
        </is>
      </c>
      <c r="B3417" s="256" t="inlineStr">
        <is>
          <t>reissue — retest</t>
        </is>
      </c>
      <c r="C3417" s="256" t="inlineStr">
        <is>
          <t>GP062501</t>
        </is>
      </c>
      <c r="D3417" s="256" t="inlineStr">
        <is>
          <t>P050202</t>
        </is>
      </c>
      <c r="E3417" s="256" t="inlineStr">
        <is>
          <t>Grape Pie</t>
        </is>
      </c>
      <c r="F3417" s="256" t="inlineStr">
        <is>
          <t>21.09.2026</t>
        </is>
      </c>
      <c r="G3417" s="256" t="inlineStr">
        <is>
          <t>9.4</t>
        </is>
      </c>
      <c r="H3417" s="256" t="inlineStr">
        <is>
          <t>Salmonella</t>
        </is>
      </c>
      <c r="I3417" s="256" t="inlineStr">
        <is>
          <t>Ph. Eur. 2.6.31 cat. C</t>
        </is>
      </c>
      <c r="J3417" s="256" t="inlineStr">
        <is>
          <t>Absence | Отсуство / 25 g</t>
        </is>
      </c>
      <c r="K3417" s="256" t="inlineStr">
        <is>
          <t>Absent | Отсутна</t>
        </is>
      </c>
      <c r="L3417" s="256" t="inlineStr">
        <is>
          <t>557/1088/26</t>
        </is>
      </c>
      <c r="M3417" s="256" t="inlineStr">
        <is>
          <t>01.09.2026</t>
        </is>
      </c>
      <c r="N3417" s="256" t="inlineStr">
        <is>
          <t>IPH — Institute of Public Health</t>
        </is>
      </c>
      <c r="O3417" s="256" t="inlineStr">
        <is>
          <t>26.08.2026</t>
        </is>
      </c>
      <c r="P3417" s="256" t="inlineStr">
        <is>
          <t>covered</t>
        </is>
      </c>
      <c r="Q3417" s="256" t="inlineStr"/>
      <c r="R3417" s="256" t="inlineStr">
        <is>
          <t>Odgovara (Absent) (1155/2056/25)</t>
        </is>
      </c>
    </row>
    <row r="3418">
      <c r="A3418" s="256" t="inlineStr">
        <is>
          <t>CoQ-PP_26-149</t>
        </is>
      </c>
      <c r="B3418" s="256" t="inlineStr">
        <is>
          <t>reissue — retest</t>
        </is>
      </c>
      <c r="C3418" s="256" t="inlineStr">
        <is>
          <t>GP062501</t>
        </is>
      </c>
      <c r="D3418" s="256" t="inlineStr">
        <is>
          <t>P050202</t>
        </is>
      </c>
      <c r="E3418" s="256" t="inlineStr">
        <is>
          <t>Grape Pie</t>
        </is>
      </c>
      <c r="F3418" s="256" t="inlineStr">
        <is>
          <t>21.09.2026</t>
        </is>
      </c>
      <c r="G3418" s="256" t="inlineStr">
        <is>
          <t>9.5</t>
        </is>
      </c>
      <c r="H3418" s="256" t="inlineStr">
        <is>
          <t>Escherichia coli</t>
        </is>
      </c>
      <c r="I3418" s="256" t="inlineStr">
        <is>
          <t>Ph. Eur. 2.6.13 cat. C</t>
        </is>
      </c>
      <c r="J3418" s="256" t="inlineStr">
        <is>
          <t>Absence | Отсуство / 1 g</t>
        </is>
      </c>
      <c r="K3418" s="256" t="inlineStr">
        <is>
          <t>Absent | Отсутна</t>
        </is>
      </c>
      <c r="L3418" s="256" t="inlineStr">
        <is>
          <t>557/1088/26</t>
        </is>
      </c>
      <c r="M3418" s="256" t="inlineStr">
        <is>
          <t>01.09.2026</t>
        </is>
      </c>
      <c r="N3418" s="256" t="inlineStr">
        <is>
          <t>IPH — Institute of Public Health</t>
        </is>
      </c>
      <c r="O3418" s="256" t="inlineStr">
        <is>
          <t>26.08.2026</t>
        </is>
      </c>
      <c r="P3418" s="256" t="inlineStr">
        <is>
          <t>covered</t>
        </is>
      </c>
      <c r="Q3418" s="256" t="inlineStr"/>
      <c r="R3418" s="256" t="inlineStr">
        <is>
          <t>Odgovara (Absent) (1155/2056/25)</t>
        </is>
      </c>
    </row>
    <row r="3419">
      <c r="A3419" s="256" t="inlineStr">
        <is>
          <t>CoQ-PP_26-149</t>
        </is>
      </c>
      <c r="B3419" s="256" t="inlineStr">
        <is>
          <t>reissue — retest</t>
        </is>
      </c>
      <c r="C3419" s="256" t="inlineStr">
        <is>
          <t>GP062501</t>
        </is>
      </c>
      <c r="D3419" s="256" t="inlineStr">
        <is>
          <t>P050202</t>
        </is>
      </c>
      <c r="E3419" s="256" t="inlineStr">
        <is>
          <t>Grape Pie</t>
        </is>
      </c>
      <c r="F3419" s="256" t="inlineStr">
        <is>
          <t>21.09.2026</t>
        </is>
      </c>
      <c r="G3419" s="256" t="inlineStr">
        <is>
          <t>9.6</t>
        </is>
      </c>
      <c r="H3419" s="256" t="inlineStr">
        <is>
          <t>Pseudomonas aeruginosa</t>
        </is>
      </c>
      <c r="I3419" s="256" t="inlineStr">
        <is>
          <t>Ph. Eur. 2.6.13 cat. C</t>
        </is>
      </c>
      <c r="J3419" s="256" t="inlineStr">
        <is>
          <t>Absence | Отсуство / 1 g</t>
        </is>
      </c>
      <c r="K3419" s="260" t="inlineStr">
        <is>
          <t>upon request — not required for release</t>
        </is>
      </c>
      <c r="L3419" s="256" t="inlineStr">
        <is>
          <t>—</t>
        </is>
      </c>
      <c r="M3419" s="256" t="inlineStr">
        <is>
          <t>—</t>
        </is>
      </c>
      <c r="N3419" s="256" t="inlineStr">
        <is>
          <t>—</t>
        </is>
      </c>
      <c r="O3419" s="256" t="inlineStr">
        <is>
          <t>—</t>
        </is>
      </c>
      <c r="P3419" s="256" t="inlineStr">
        <is>
          <t>upon request — not required for release</t>
        </is>
      </c>
      <c r="Q3419" s="256" t="inlineStr"/>
      <c r="R3419" s="256" t="inlineStr"/>
    </row>
    <row r="3420">
      <c r="A3420" s="256" t="inlineStr">
        <is>
          <t>CoQ-PP_26-149</t>
        </is>
      </c>
      <c r="B3420" s="256" t="inlineStr">
        <is>
          <t>reissue — retest</t>
        </is>
      </c>
      <c r="C3420" s="256" t="inlineStr">
        <is>
          <t>GP062501</t>
        </is>
      </c>
      <c r="D3420" s="256" t="inlineStr">
        <is>
          <t>P050202</t>
        </is>
      </c>
      <c r="E3420" s="256" t="inlineStr">
        <is>
          <t>Grape Pie</t>
        </is>
      </c>
      <c r="F3420" s="256" t="inlineStr">
        <is>
          <t>21.09.2026</t>
        </is>
      </c>
      <c r="G3420" s="256" t="inlineStr">
        <is>
          <t>9.7</t>
        </is>
      </c>
      <c r="H3420" s="256" t="inlineStr">
        <is>
          <t>Staphylococcus aureus</t>
        </is>
      </c>
      <c r="I3420" s="256" t="inlineStr">
        <is>
          <t>Ph. Eur. 2.6.13 cat. C</t>
        </is>
      </c>
      <c r="J3420" s="256" t="inlineStr">
        <is>
          <t>Absence | Отсуство / 1 g</t>
        </is>
      </c>
      <c r="K3420" s="260" t="inlineStr">
        <is>
          <t>upon request — not required for release</t>
        </is>
      </c>
      <c r="L3420" s="256" t="inlineStr">
        <is>
          <t>—</t>
        </is>
      </c>
      <c r="M3420" s="256" t="inlineStr">
        <is>
          <t>—</t>
        </is>
      </c>
      <c r="N3420" s="256" t="inlineStr">
        <is>
          <t>—</t>
        </is>
      </c>
      <c r="O3420" s="256" t="inlineStr">
        <is>
          <t>—</t>
        </is>
      </c>
      <c r="P3420" s="256" t="inlineStr">
        <is>
          <t>upon request — not required for release</t>
        </is>
      </c>
      <c r="Q3420" s="256" t="inlineStr"/>
      <c r="R3420" s="256" t="inlineStr"/>
    </row>
    <row r="3421">
      <c r="A3421" s="256" t="inlineStr">
        <is>
          <t>CoQ-PP_26-149</t>
        </is>
      </c>
      <c r="B3421" s="256" t="inlineStr">
        <is>
          <t>reissue — retest</t>
        </is>
      </c>
      <c r="C3421" s="256" t="inlineStr">
        <is>
          <t>GP062501</t>
        </is>
      </c>
      <c r="D3421" s="256" t="inlineStr">
        <is>
          <t>P050202</t>
        </is>
      </c>
      <c r="E3421" s="256" t="inlineStr">
        <is>
          <t>Grape Pie</t>
        </is>
      </c>
      <c r="F3421" s="256" t="inlineStr">
        <is>
          <t>21.09.2026</t>
        </is>
      </c>
      <c r="G3421" s="256" t="inlineStr">
        <is>
          <t>10.1</t>
        </is>
      </c>
      <c r="H3421" s="256" t="inlineStr">
        <is>
          <t>Aflatoxin B₁</t>
        </is>
      </c>
      <c r="I3421" s="256" t="inlineStr">
        <is>
          <t>Ph. Eur. 2.8.18 (HPLC-FLD)</t>
        </is>
      </c>
      <c r="J3421" s="256" t="inlineStr">
        <is>
          <t>≤ 2 µg/kg</t>
        </is>
      </c>
      <c r="K3421" s="259" t="inlineStr">
        <is>
          <t>awaiting the Farmahem mycotoxin certificate</t>
        </is>
      </c>
      <c r="L3421" s="256" t="inlineStr">
        <is>
          <t>—</t>
        </is>
      </c>
      <c r="M3421" s="256" t="inlineStr">
        <is>
          <t>—</t>
        </is>
      </c>
      <c r="N3421" s="256" t="inlineStr">
        <is>
          <t>—</t>
        </is>
      </c>
      <c r="O3421" s="256" t="inlineStr">
        <is>
          <t>—</t>
        </is>
      </c>
      <c r="P3421" s="256" t="inlineStr">
        <is>
          <t>awaiting the mycotoxin re-analysis — Farmahem</t>
        </is>
      </c>
      <c r="Q3421" s="256" t="inlineStr"/>
      <c r="R3421" s="256" t="inlineStr"/>
    </row>
    <row r="3422">
      <c r="A3422" s="256" t="inlineStr">
        <is>
          <t>CoQ-PP_26-149</t>
        </is>
      </c>
      <c r="B3422" s="256" t="inlineStr">
        <is>
          <t>reissue — retest</t>
        </is>
      </c>
      <c r="C3422" s="256" t="inlineStr">
        <is>
          <t>GP062501</t>
        </is>
      </c>
      <c r="D3422" s="256" t="inlineStr">
        <is>
          <t>P050202</t>
        </is>
      </c>
      <c r="E3422" s="256" t="inlineStr">
        <is>
          <t>Grape Pie</t>
        </is>
      </c>
      <c r="F3422" s="256" t="inlineStr">
        <is>
          <t>21.09.2026</t>
        </is>
      </c>
      <c r="G3422" s="256" t="inlineStr">
        <is>
          <t>10.2</t>
        </is>
      </c>
      <c r="H3422" s="256" t="inlineStr">
        <is>
          <t>Aflatoxins ∑</t>
        </is>
      </c>
      <c r="I3422" s="256" t="inlineStr">
        <is>
          <t>Ph. Eur. 2.8.18 (HPLC-FLD)</t>
        </is>
      </c>
      <c r="J3422" s="256" t="inlineStr">
        <is>
          <t>≤ 4 µg/kg</t>
        </is>
      </c>
      <c r="K3422" s="256" t="inlineStr">
        <is>
          <t>&lt; 2</t>
        </is>
      </c>
      <c r="L3422" s="256" t="inlineStr">
        <is>
          <t>4762/2025</t>
        </is>
      </c>
      <c r="M3422" s="256" t="inlineStr">
        <is>
          <t>08.10.2025</t>
        </is>
      </c>
      <c r="N3422" s="256" t="inlineStr">
        <is>
          <t>IPH — Institute of Public Health</t>
        </is>
      </c>
      <c r="O3422" s="256" t="inlineStr">
        <is>
          <t>01.10.2025</t>
        </is>
      </c>
      <c r="P3422" s="256" t="inlineStr">
        <is>
          <t>carried from the initial testing (the batch's initial CoQ (number assigned on issue)) — covered</t>
        </is>
      </c>
      <c r="Q3422" s="256" t="inlineStr"/>
      <c r="R3422" s="256" t="inlineStr"/>
    </row>
    <row r="3423">
      <c r="A3423" s="256" t="inlineStr">
        <is>
          <t>CoQ-PP_26-149</t>
        </is>
      </c>
      <c r="B3423" s="256" t="inlineStr">
        <is>
          <t>reissue — retest</t>
        </is>
      </c>
      <c r="C3423" s="256" t="inlineStr">
        <is>
          <t>GP062501</t>
        </is>
      </c>
      <c r="D3423" s="256" t="inlineStr">
        <is>
          <t>P050202</t>
        </is>
      </c>
      <c r="E3423" s="256" t="inlineStr">
        <is>
          <t>Grape Pie</t>
        </is>
      </c>
      <c r="F3423" s="256" t="inlineStr">
        <is>
          <t>21.09.2026</t>
        </is>
      </c>
      <c r="G3423" s="256" t="inlineStr">
        <is>
          <t>10.3</t>
        </is>
      </c>
      <c r="H3423" s="256" t="inlineStr">
        <is>
          <t>Ochratoxin A</t>
        </is>
      </c>
      <c r="I3423" s="256" t="inlineStr">
        <is>
          <t>Ph. Eur. 2.8.22 (HPLC-FLD)</t>
        </is>
      </c>
      <c r="J3423" s="256" t="inlineStr">
        <is>
          <t>≤ 20 µg/kg</t>
        </is>
      </c>
      <c r="K3423" s="259" t="inlineStr">
        <is>
          <t>awaiting the Farmahem mycotoxin certificate</t>
        </is>
      </c>
      <c r="L3423" s="256" t="inlineStr">
        <is>
          <t>—</t>
        </is>
      </c>
      <c r="M3423" s="256" t="inlineStr">
        <is>
          <t>—</t>
        </is>
      </c>
      <c r="N3423" s="256" t="inlineStr">
        <is>
          <t>—</t>
        </is>
      </c>
      <c r="O3423" s="256" t="inlineStr">
        <is>
          <t>—</t>
        </is>
      </c>
      <c r="P3423" s="256" t="inlineStr">
        <is>
          <t>awaiting the mycotoxin re-analysis — Farmahem</t>
        </is>
      </c>
      <c r="Q3423" s="256" t="inlineStr"/>
      <c r="R3423" s="256" t="inlineStr"/>
    </row>
    <row r="3424">
      <c r="A3424" s="256" t="inlineStr">
        <is>
          <t>CoQ-PP_26-149</t>
        </is>
      </c>
      <c r="B3424" s="256" t="inlineStr">
        <is>
          <t>reissue — retest</t>
        </is>
      </c>
      <c r="C3424" s="256" t="inlineStr">
        <is>
          <t>GP062501</t>
        </is>
      </c>
      <c r="D3424" s="256" t="inlineStr">
        <is>
          <t>P050202</t>
        </is>
      </c>
      <c r="E3424" s="256" t="inlineStr">
        <is>
          <t>Grape Pie</t>
        </is>
      </c>
      <c r="F3424" s="256" t="inlineStr">
        <is>
          <t>21.09.2026</t>
        </is>
      </c>
      <c r="G3424" s="256" t="inlineStr">
        <is>
          <t>11.1</t>
        </is>
      </c>
      <c r="H3424" s="256" t="inlineStr">
        <is>
          <t>Lead (Pb)</t>
        </is>
      </c>
      <c r="I3424" s="256" t="inlineStr">
        <is>
          <t>Ph. Eur. 2.4.27 (ICP-MS)</t>
        </is>
      </c>
      <c r="J3424" s="256" t="inlineStr">
        <is>
          <t>≤ 0.5 mg/kg</t>
        </is>
      </c>
      <c r="K3424" s="256" t="inlineStr">
        <is>
          <t>0.077</t>
        </is>
      </c>
      <c r="L3424" s="256" t="inlineStr">
        <is>
          <t>4762/2025</t>
        </is>
      </c>
      <c r="M3424" s="256" t="inlineStr">
        <is>
          <t>08.10.2025</t>
        </is>
      </c>
      <c r="N3424" s="256" t="inlineStr">
        <is>
          <t>IPH — Institute of Public Health</t>
        </is>
      </c>
      <c r="O3424" s="256" t="inlineStr">
        <is>
          <t>01.10.2025</t>
        </is>
      </c>
      <c r="P3424" s="256" t="inlineStr">
        <is>
          <t>carried from the initial testing (the batch's initial CoQ (number assigned on issue)) — covered</t>
        </is>
      </c>
      <c r="Q3424" s="256" t="inlineStr"/>
      <c r="R3424" s="256" t="inlineStr"/>
    </row>
    <row r="3425">
      <c r="A3425" s="256" t="inlineStr">
        <is>
          <t>CoQ-PP_26-149</t>
        </is>
      </c>
      <c r="B3425" s="256" t="inlineStr">
        <is>
          <t>reissue — retest</t>
        </is>
      </c>
      <c r="C3425" s="256" t="inlineStr">
        <is>
          <t>GP062501</t>
        </is>
      </c>
      <c r="D3425" s="256" t="inlineStr">
        <is>
          <t>P050202</t>
        </is>
      </c>
      <c r="E3425" s="256" t="inlineStr">
        <is>
          <t>Grape Pie</t>
        </is>
      </c>
      <c r="F3425" s="256" t="inlineStr">
        <is>
          <t>21.09.2026</t>
        </is>
      </c>
      <c r="G3425" s="256" t="inlineStr">
        <is>
          <t>11.2</t>
        </is>
      </c>
      <c r="H3425" s="256" t="inlineStr">
        <is>
          <t>Cadmium (Cd)</t>
        </is>
      </c>
      <c r="I3425" s="256" t="inlineStr">
        <is>
          <t>Ph. Eur. 2.4.27 (ICP-MS)</t>
        </is>
      </c>
      <c r="J3425" s="256" t="inlineStr">
        <is>
          <t>≤ 0.3 mg/kg</t>
        </is>
      </c>
      <c r="K3425" s="256" t="inlineStr">
        <is>
          <t>0.014</t>
        </is>
      </c>
      <c r="L3425" s="256" t="inlineStr">
        <is>
          <t>4762/2025</t>
        </is>
      </c>
      <c r="M3425" s="256" t="inlineStr">
        <is>
          <t>08.10.2025</t>
        </is>
      </c>
      <c r="N3425" s="256" t="inlineStr">
        <is>
          <t>IPH — Institute of Public Health</t>
        </is>
      </c>
      <c r="O3425" s="256" t="inlineStr">
        <is>
          <t>01.10.2025</t>
        </is>
      </c>
      <c r="P3425" s="256" t="inlineStr">
        <is>
          <t>carried from the initial testing (the batch's initial CoQ (number assigned on issue)) — covered</t>
        </is>
      </c>
      <c r="Q3425" s="256" t="inlineStr"/>
      <c r="R3425" s="256" t="inlineStr"/>
    </row>
    <row r="3426">
      <c r="A3426" s="256" t="inlineStr">
        <is>
          <t>CoQ-PP_26-149</t>
        </is>
      </c>
      <c r="B3426" s="256" t="inlineStr">
        <is>
          <t>reissue — retest</t>
        </is>
      </c>
      <c r="C3426" s="256" t="inlineStr">
        <is>
          <t>GP062501</t>
        </is>
      </c>
      <c r="D3426" s="256" t="inlineStr">
        <is>
          <t>P050202</t>
        </is>
      </c>
      <c r="E3426" s="256" t="inlineStr">
        <is>
          <t>Grape Pie</t>
        </is>
      </c>
      <c r="F3426" s="256" t="inlineStr">
        <is>
          <t>21.09.2026</t>
        </is>
      </c>
      <c r="G3426" s="256" t="inlineStr">
        <is>
          <t>11.3</t>
        </is>
      </c>
      <c r="H3426" s="256" t="inlineStr">
        <is>
          <t>Arsenic (As)</t>
        </is>
      </c>
      <c r="I3426" s="256" t="inlineStr">
        <is>
          <t>Ph. Eur. 2.4.27 (ICP-MS)</t>
        </is>
      </c>
      <c r="J3426" s="256" t="inlineStr">
        <is>
          <t>≤ 0.2 mg/kg</t>
        </is>
      </c>
      <c r="K3426" s="256" t="inlineStr">
        <is>
          <t>0.024</t>
        </is>
      </c>
      <c r="L3426" s="256" t="inlineStr">
        <is>
          <t>4762/2025</t>
        </is>
      </c>
      <c r="M3426" s="256" t="inlineStr">
        <is>
          <t>08.10.2025</t>
        </is>
      </c>
      <c r="N3426" s="256" t="inlineStr">
        <is>
          <t>IPH — Institute of Public Health</t>
        </is>
      </c>
      <c r="O3426" s="256" t="inlineStr">
        <is>
          <t>01.10.2025</t>
        </is>
      </c>
      <c r="P3426" s="256" t="inlineStr">
        <is>
          <t>carried from the initial testing (the batch's initial CoQ (number assigned on issue)) — covered</t>
        </is>
      </c>
      <c r="Q3426" s="256" t="inlineStr"/>
      <c r="R3426" s="256" t="inlineStr"/>
    </row>
    <row r="3427">
      <c r="A3427" s="256" t="inlineStr">
        <is>
          <t>CoQ-PP_26-149</t>
        </is>
      </c>
      <c r="B3427" s="256" t="inlineStr">
        <is>
          <t>reissue — retest</t>
        </is>
      </c>
      <c r="C3427" s="256" t="inlineStr">
        <is>
          <t>GP062501</t>
        </is>
      </c>
      <c r="D3427" s="256" t="inlineStr">
        <is>
          <t>P050202</t>
        </is>
      </c>
      <c r="E3427" s="256" t="inlineStr">
        <is>
          <t>Grape Pie</t>
        </is>
      </c>
      <c r="F3427" s="256" t="inlineStr">
        <is>
          <t>21.09.2026</t>
        </is>
      </c>
      <c r="G3427" s="256" t="inlineStr">
        <is>
          <t>11.4</t>
        </is>
      </c>
      <c r="H3427" s="256" t="inlineStr">
        <is>
          <t>Mercury (Hg)</t>
        </is>
      </c>
      <c r="I3427" s="256" t="inlineStr">
        <is>
          <t>Ph. Eur. 2.4.27 (ICP-MS)</t>
        </is>
      </c>
      <c r="J3427" s="256" t="inlineStr">
        <is>
          <t>≤ 0.1 mg/kg</t>
        </is>
      </c>
      <c r="K3427" s="256" t="inlineStr">
        <is>
          <t>0.011</t>
        </is>
      </c>
      <c r="L3427" s="256" t="inlineStr">
        <is>
          <t>4762/2025</t>
        </is>
      </c>
      <c r="M3427" s="256" t="inlineStr">
        <is>
          <t>08.10.2025</t>
        </is>
      </c>
      <c r="N3427" s="256" t="inlineStr">
        <is>
          <t>IPH — Institute of Public Health</t>
        </is>
      </c>
      <c r="O3427" s="256" t="inlineStr">
        <is>
          <t>01.10.2025</t>
        </is>
      </c>
      <c r="P3427" s="256" t="inlineStr">
        <is>
          <t>carried from the initial testing (the batch's initial CoQ (number assigned on issue)) — covered</t>
        </is>
      </c>
      <c r="Q3427" s="256" t="inlineStr"/>
      <c r="R3427" s="256" t="inlineStr"/>
    </row>
    <row r="3428">
      <c r="A3428" s="256" t="inlineStr">
        <is>
          <t>CoQ-PP_26-149</t>
        </is>
      </c>
      <c r="B3428" s="256" t="inlineStr">
        <is>
          <t>reissue — retest</t>
        </is>
      </c>
      <c r="C3428" s="256" t="inlineStr">
        <is>
          <t>GP062501</t>
        </is>
      </c>
      <c r="D3428" s="256" t="inlineStr">
        <is>
          <t>P050202</t>
        </is>
      </c>
      <c r="E3428" s="256" t="inlineStr">
        <is>
          <t>Grape Pie</t>
        </is>
      </c>
      <c r="F3428" s="256" t="inlineStr">
        <is>
          <t>21.09.2026</t>
        </is>
      </c>
      <c r="G3428" s="256" t="inlineStr">
        <is>
          <t>12</t>
        </is>
      </c>
      <c r="H3428" s="256" t="inlineStr">
        <is>
          <t>Pesticide Residues</t>
        </is>
      </c>
      <c r="I3428" s="256" t="inlineStr">
        <is>
          <t>Ph. Eur. 2.8.13 (LC-MS/MS) · CUMCS Equivalency</t>
        </is>
      </c>
      <c r="J3428" s="256" t="inlineStr">
        <is>
          <t>≤ LOQ as per Ph. Eur. 2.8.13 · ≤ LOQ as per CUMCS Equivalency</t>
        </is>
      </c>
      <c r="K3428" s="256" t="inlineStr">
        <is>
          <t>ND</t>
        </is>
      </c>
      <c r="L3428" s="256" t="inlineStr">
        <is>
          <t>4762/2025</t>
        </is>
      </c>
      <c r="M3428" s="256" t="inlineStr">
        <is>
          <t>08.10.2025</t>
        </is>
      </c>
      <c r="N3428" s="256" t="inlineStr">
        <is>
          <t>IPH — Institute of Public Health</t>
        </is>
      </c>
      <c r="O3428" s="256" t="inlineStr">
        <is>
          <t>01.10.2025</t>
        </is>
      </c>
      <c r="P3428" s="256" t="inlineStr">
        <is>
          <t>carried from the initial testing (the batch's initial CoQ (number assigned on issue)) — covered</t>
        </is>
      </c>
      <c r="Q3428" s="256" t="inlineStr"/>
      <c r="R3428" s="256" t="inlineStr"/>
    </row>
    <row r="3429">
      <c r="A3429" s="256" t="inlineStr">
        <is>
          <t>CoQ-PP_26-150</t>
        </is>
      </c>
      <c r="B3429" s="256" t="inlineStr">
        <is>
          <t>reissue — retest</t>
        </is>
      </c>
      <c r="C3429" s="256" t="inlineStr">
        <is>
          <t>GP072501-1</t>
        </is>
      </c>
      <c r="D3429" s="256" t="inlineStr">
        <is>
          <t>P050292</t>
        </is>
      </c>
      <c r="E3429" s="256" t="inlineStr">
        <is>
          <t>Grape Pie</t>
        </is>
      </c>
      <c r="F3429" s="256" t="inlineStr">
        <is>
          <t>21.09.2026</t>
        </is>
      </c>
      <c r="G3429" s="256" t="inlineStr">
        <is>
          <t>1</t>
        </is>
      </c>
      <c r="H3429" s="256" t="inlineStr">
        <is>
          <t>Identification A, Appearance · Macroscopic</t>
        </is>
      </c>
      <c r="I3429" s="256" t="inlineStr">
        <is>
          <t>Ph. Eur. mon. 3028</t>
        </is>
      </c>
      <c r="J3429" s="256" t="inlineStr">
        <is>
          <t>Conforms to the monograph for Cannabis flos (07/2024:3028) in Ph. Eur. 11.0 | Согласно монографија за Cannabis flos (07/2024:3028) во Ph. Eur. 11.0</t>
        </is>
      </c>
      <c r="K3429" s="256" t="inlineStr">
        <is>
          <t>Conforms | Одговара</t>
        </is>
      </c>
      <c r="L3429" s="256" t="inlineStr">
        <is>
          <t>iCoA-PP_26-168</t>
        </is>
      </c>
      <c r="M3429" s="256" t="inlineStr">
        <is>
          <t>24.08.2026</t>
        </is>
      </c>
      <c r="N3429" s="256" t="inlineStr">
        <is>
          <t>Purely Plant GmbH (in-house)</t>
        </is>
      </c>
      <c r="O3429" s="256" t="inlineStr">
        <is>
          <t>—</t>
        </is>
      </c>
      <c r="P3429" s="256" t="inlineStr">
        <is>
          <t>covered</t>
        </is>
      </c>
      <c r="Q3429" s="256" t="inlineStr">
        <is>
          <t>Farmahem — Ident A + B + C with the Assay, at retest</t>
        </is>
      </c>
      <c r="R3429" s="256" t="inlineStr"/>
    </row>
    <row r="3430">
      <c r="A3430" s="256" t="inlineStr">
        <is>
          <t>CoQ-PP_26-150</t>
        </is>
      </c>
      <c r="B3430" s="256" t="inlineStr">
        <is>
          <t>reissue — retest</t>
        </is>
      </c>
      <c r="C3430" s="256" t="inlineStr">
        <is>
          <t>GP072501-1</t>
        </is>
      </c>
      <c r="D3430" s="256" t="inlineStr">
        <is>
          <t>P050292</t>
        </is>
      </c>
      <c r="E3430" s="256" t="inlineStr">
        <is>
          <t>Grape Pie</t>
        </is>
      </c>
      <c r="F3430" s="256" t="inlineStr">
        <is>
          <t>21.09.2026</t>
        </is>
      </c>
      <c r="G3430" s="256" t="inlineStr">
        <is>
          <t>2</t>
        </is>
      </c>
      <c r="H3430" s="256" t="inlineStr">
        <is>
          <t>Identification B · Microscopic</t>
        </is>
      </c>
      <c r="I3430" s="256" t="inlineStr">
        <is>
          <t>Ph. Eur. 2.8.23 (microscopy)</t>
        </is>
      </c>
      <c r="J3430" s="256" t="inlineStr">
        <is>
          <t>Conforms to the monograph for Cannabis flos (07/2024:3028) in Ph. Eur. 11.0 | Согласно монографија за Cannabis flos (07/2024:3028) во Ph. Eur. 11.0</t>
        </is>
      </c>
      <c r="K3430" s="256" t="inlineStr">
        <is>
          <t>Conforms | Одговара</t>
        </is>
      </c>
      <c r="L3430" s="256" t="inlineStr">
        <is>
          <t>iCoA-PP_26-168</t>
        </is>
      </c>
      <c r="M3430" s="256" t="inlineStr">
        <is>
          <t>24.08.2026</t>
        </is>
      </c>
      <c r="N3430" s="256" t="inlineStr">
        <is>
          <t>Purely Plant GmbH (in-house)</t>
        </is>
      </c>
      <c r="O3430" s="256" t="inlineStr">
        <is>
          <t>—</t>
        </is>
      </c>
      <c r="P3430" s="256" t="inlineStr">
        <is>
          <t>to be performed — see route</t>
        </is>
      </c>
      <c r="Q3430" s="256" t="inlineStr">
        <is>
          <t>Farmahem — Ident A + B + C with the Assay, at retest</t>
        </is>
      </c>
      <c r="R3430" s="256" t="inlineStr"/>
    </row>
    <row r="3431">
      <c r="A3431" s="256" t="inlineStr">
        <is>
          <t>CoQ-PP_26-150</t>
        </is>
      </c>
      <c r="B3431" s="256" t="inlineStr">
        <is>
          <t>reissue — retest</t>
        </is>
      </c>
      <c r="C3431" s="256" t="inlineStr">
        <is>
          <t>GP072501-1</t>
        </is>
      </c>
      <c r="D3431" s="256" t="inlineStr">
        <is>
          <t>P050292</t>
        </is>
      </c>
      <c r="E3431" s="256" t="inlineStr">
        <is>
          <t>Grape Pie</t>
        </is>
      </c>
      <c r="F3431" s="256" t="inlineStr">
        <is>
          <t>21.09.2026</t>
        </is>
      </c>
      <c r="G3431" s="256" t="inlineStr">
        <is>
          <t>3</t>
        </is>
      </c>
      <c r="H3431" s="256" t="inlineStr">
        <is>
          <t>Identification C · HPLC/HPTLC</t>
        </is>
      </c>
      <c r="I3431" s="256" t="inlineStr">
        <is>
          <t>Ph. Eur. 2.2.29 (3028)</t>
        </is>
      </c>
      <c r="J3431" s="256" t="inlineStr">
        <is>
          <t>Conforms to the monograph for Cannabis flos (07/2024:3028) in Ph. Eur. 11.0 | Согласно монографија за Cannabis flos (07/2024:3028) во Ph. Eur. 11.0</t>
        </is>
      </c>
      <c r="K3431" s="256" t="inlineStr">
        <is>
          <t>Conforms | Одговара</t>
        </is>
      </c>
      <c r="L3431" s="256" t="inlineStr">
        <is>
          <t>227-17-К/26</t>
        </is>
      </c>
      <c r="M3431" s="256" t="inlineStr">
        <is>
          <t>11.09.2026</t>
        </is>
      </c>
      <c r="N3431" s="256" t="inlineStr">
        <is>
          <t>Farmahem</t>
        </is>
      </c>
      <c r="O3431" s="256" t="inlineStr">
        <is>
          <t>24.08.2026</t>
        </is>
      </c>
      <c r="P3431" s="256" t="inlineStr">
        <is>
          <t>covered</t>
        </is>
      </c>
      <c r="Q3431" s="256" t="inlineStr"/>
      <c r="R3431" s="256" t="inlineStr"/>
    </row>
    <row r="3432">
      <c r="A3432" s="256" t="inlineStr">
        <is>
          <t>CoQ-PP_26-150</t>
        </is>
      </c>
      <c r="B3432" s="256" t="inlineStr">
        <is>
          <t>reissue — retest</t>
        </is>
      </c>
      <c r="C3432" s="256" t="inlineStr">
        <is>
          <t>GP072501-1</t>
        </is>
      </c>
      <c r="D3432" s="256" t="inlineStr">
        <is>
          <t>P050292</t>
        </is>
      </c>
      <c r="E3432" s="256" t="inlineStr">
        <is>
          <t>Grape Pie</t>
        </is>
      </c>
      <c r="F3432" s="256" t="inlineStr">
        <is>
          <t>21.09.2026</t>
        </is>
      </c>
      <c r="G3432" s="256" t="inlineStr">
        <is>
          <t>4</t>
        </is>
      </c>
      <c r="H3432" s="256" t="inlineStr">
        <is>
          <t>Assay — Total Δ⁹-THC</t>
        </is>
      </c>
      <c r="I3432" s="256" t="inlineStr">
        <is>
          <t>Ph. Eur. 2.2.29 (HPLC)</t>
        </is>
      </c>
      <c r="J3432" s="256" t="inlineStr">
        <is>
          <t>26.00 – 29.99 %  (grade I, nominal 28.00 ± 2.00)</t>
        </is>
      </c>
      <c r="K3432" s="256" t="inlineStr">
        <is>
          <t>26.54</t>
        </is>
      </c>
      <c r="L3432" s="256" t="inlineStr">
        <is>
          <t>227-17-К/26</t>
        </is>
      </c>
      <c r="M3432" s="256" t="inlineStr">
        <is>
          <t>11.09.2026</t>
        </is>
      </c>
      <c r="N3432" s="256" t="inlineStr">
        <is>
          <t>Farmahem</t>
        </is>
      </c>
      <c r="O3432" s="256" t="inlineStr">
        <is>
          <t>24.08.2026</t>
        </is>
      </c>
      <c r="P3432" s="256" t="inlineStr">
        <is>
          <t>covered</t>
        </is>
      </c>
      <c r="Q3432" s="256" t="inlineStr"/>
      <c r="R3432" s="256" t="inlineStr"/>
    </row>
    <row r="3433">
      <c r="A3433" s="256" t="inlineStr">
        <is>
          <t>CoQ-PP_26-150</t>
        </is>
      </c>
      <c r="B3433" s="256" t="inlineStr">
        <is>
          <t>reissue — retest</t>
        </is>
      </c>
      <c r="C3433" s="256" t="inlineStr">
        <is>
          <t>GP072501-1</t>
        </is>
      </c>
      <c r="D3433" s="256" t="inlineStr">
        <is>
          <t>P050292</t>
        </is>
      </c>
      <c r="E3433" s="256" t="inlineStr">
        <is>
          <t>Grape Pie</t>
        </is>
      </c>
      <c r="F3433" s="256" t="inlineStr">
        <is>
          <t>21.09.2026</t>
        </is>
      </c>
      <c r="G3433" s="256" t="inlineStr">
        <is>
          <t>5</t>
        </is>
      </c>
      <c r="H3433" s="256" t="inlineStr">
        <is>
          <t>Assay — Total CBD</t>
        </is>
      </c>
      <c r="I3433" s="256" t="inlineStr">
        <is>
          <t>Ph. Eur. 2.2.29 (HPLC) · CBD + CBDA x 0.877</t>
        </is>
      </c>
      <c r="J3433" s="256" t="inlineStr">
        <is>
          <t>≤ 1.0%, w/w</t>
        </is>
      </c>
      <c r="K3433" s="256" t="inlineStr">
        <is>
          <t>&lt; LOQ</t>
        </is>
      </c>
      <c r="L3433" s="256" t="inlineStr">
        <is>
          <t>227-17-К/26</t>
        </is>
      </c>
      <c r="M3433" s="256" t="inlineStr">
        <is>
          <t>11.09.2026</t>
        </is>
      </c>
      <c r="N3433" s="256" t="inlineStr">
        <is>
          <t>Farmahem</t>
        </is>
      </c>
      <c r="O3433" s="256" t="inlineStr">
        <is>
          <t>24.08.2026</t>
        </is>
      </c>
      <c r="P3433" s="256" t="inlineStr">
        <is>
          <t>covered</t>
        </is>
      </c>
      <c r="Q3433" s="256" t="inlineStr"/>
      <c r="R3433" s="256" t="inlineStr"/>
    </row>
    <row r="3434">
      <c r="A3434" s="256" t="inlineStr">
        <is>
          <t>CoQ-PP_26-150</t>
        </is>
      </c>
      <c r="B3434" s="256" t="inlineStr">
        <is>
          <t>reissue — retest</t>
        </is>
      </c>
      <c r="C3434" s="256" t="inlineStr">
        <is>
          <t>GP072501-1</t>
        </is>
      </c>
      <c r="D3434" s="256" t="inlineStr">
        <is>
          <t>P050292</t>
        </is>
      </c>
      <c r="E3434" s="256" t="inlineStr">
        <is>
          <t>Grape Pie</t>
        </is>
      </c>
      <c r="F3434" s="256" t="inlineStr">
        <is>
          <t>21.09.2026</t>
        </is>
      </c>
      <c r="G3434" s="256" t="inlineStr">
        <is>
          <t>6</t>
        </is>
      </c>
      <c r="H3434" s="256" t="inlineStr">
        <is>
          <t>Total CBN</t>
        </is>
      </c>
      <c r="I3434" s="256" t="inlineStr">
        <is>
          <t>Ph. Eur. 2.2.29 (HPLC) · CBN + CBNA x 0.876</t>
        </is>
      </c>
      <c r="J3434" s="256" t="inlineStr">
        <is>
          <t>≤ 1.0%, w/w</t>
        </is>
      </c>
      <c r="K3434" s="256" t="inlineStr">
        <is>
          <t>&lt; LOQ</t>
        </is>
      </c>
      <c r="L3434" s="256" t="inlineStr">
        <is>
          <t>227-17-К/26</t>
        </is>
      </c>
      <c r="M3434" s="256" t="inlineStr">
        <is>
          <t>11.09.2026</t>
        </is>
      </c>
      <c r="N3434" s="256" t="inlineStr">
        <is>
          <t>Farmahem</t>
        </is>
      </c>
      <c r="O3434" s="256" t="inlineStr">
        <is>
          <t>24.08.2026</t>
        </is>
      </c>
      <c r="P3434" s="256" t="inlineStr">
        <is>
          <t>covered</t>
        </is>
      </c>
      <c r="Q3434" s="256" t="inlineStr"/>
      <c r="R3434" s="256" t="inlineStr"/>
    </row>
    <row r="3435">
      <c r="A3435" s="256" t="inlineStr">
        <is>
          <t>CoQ-PP_26-150</t>
        </is>
      </c>
      <c r="B3435" s="256" t="inlineStr">
        <is>
          <t>reissue — retest</t>
        </is>
      </c>
      <c r="C3435" s="256" t="inlineStr">
        <is>
          <t>GP072501-1</t>
        </is>
      </c>
      <c r="D3435" s="256" t="inlineStr">
        <is>
          <t>P050292</t>
        </is>
      </c>
      <c r="E3435" s="256" t="inlineStr">
        <is>
          <t>Grape Pie</t>
        </is>
      </c>
      <c r="F3435" s="256" t="inlineStr">
        <is>
          <t>21.09.2026</t>
        </is>
      </c>
      <c r="G3435" s="256" t="inlineStr">
        <is>
          <t>7</t>
        </is>
      </c>
      <c r="H3435" s="256" t="inlineStr">
        <is>
          <t>Foreign Matter</t>
        </is>
      </c>
      <c r="I3435" s="256" t="inlineStr">
        <is>
          <t>Ph. Eur. 2.8.2 · In-house · интерна</t>
        </is>
      </c>
      <c r="J3435" s="256" t="inlineStr">
        <is>
          <t>≤ 2.0% / 25–50 g · &lt; 1 cm leaves | листови, no seeds | без семки</t>
        </is>
      </c>
      <c r="K3435" s="256" t="inlineStr">
        <is>
          <t>Conforms | Одговара</t>
        </is>
      </c>
      <c r="L3435" s="256" t="inlineStr">
        <is>
          <t>iCoA-PP_26-168</t>
        </is>
      </c>
      <c r="M3435" s="256" t="inlineStr">
        <is>
          <t>24.08.2026</t>
        </is>
      </c>
      <c r="N3435" s="256" t="inlineStr">
        <is>
          <t>Purely Plant GmbH (in-house)</t>
        </is>
      </c>
      <c r="O3435" s="256" t="inlineStr">
        <is>
          <t>—</t>
        </is>
      </c>
      <c r="P3435" s="256" t="inlineStr">
        <is>
          <t>covered</t>
        </is>
      </c>
      <c r="Q3435" s="256" t="inlineStr">
        <is>
          <t>Purely Plant laboratory — iCoA covering Foreign matter</t>
        </is>
      </c>
      <c r="R3435" s="256" t="inlineStr"/>
    </row>
    <row r="3436">
      <c r="A3436" s="256" t="inlineStr">
        <is>
          <t>CoQ-PP_26-150</t>
        </is>
      </c>
      <c r="B3436" s="256" t="inlineStr">
        <is>
          <t>reissue — retest</t>
        </is>
      </c>
      <c r="C3436" s="256" t="inlineStr">
        <is>
          <t>GP072501-1</t>
        </is>
      </c>
      <c r="D3436" s="256" t="inlineStr">
        <is>
          <t>P050292</t>
        </is>
      </c>
      <c r="E3436" s="256" t="inlineStr">
        <is>
          <t>Grape Pie</t>
        </is>
      </c>
      <c r="F3436" s="256" t="inlineStr">
        <is>
          <t>21.09.2026</t>
        </is>
      </c>
      <c r="G3436" s="256" t="inlineStr">
        <is>
          <t>8</t>
        </is>
      </c>
      <c r="H3436" s="256" t="inlineStr">
        <is>
          <t>Loss on Drying</t>
        </is>
      </c>
      <c r="I3436" s="256" t="inlineStr">
        <is>
          <t>Ph. Eur. 2.2.32 (3028) · at 40 °C, 24 h, 15–25 mbar</t>
        </is>
      </c>
      <c r="J3436" s="256" t="inlineStr">
        <is>
          <t>≤ 12.0%</t>
        </is>
      </c>
      <c r="K3436" s="256" t="inlineStr">
        <is>
          <t>6.62</t>
        </is>
      </c>
      <c r="L3436" s="256" t="inlineStr">
        <is>
          <t>ППК25378</t>
        </is>
      </c>
      <c r="M3436" s="256" t="inlineStr">
        <is>
          <t>12.12.2025</t>
        </is>
      </c>
      <c r="N3436" s="256" t="inlineStr">
        <is>
          <t>UKIM Faculty of Pharmacy — Center for Natural Products</t>
        </is>
      </c>
      <c r="O3436" s="256" t="inlineStr">
        <is>
          <t>01.12.2025</t>
        </is>
      </c>
      <c r="P3436" s="256" t="inlineStr">
        <is>
          <t>carried from the initial testing (the batch's initial CoQ (number assigned on issue)) — covered</t>
        </is>
      </c>
      <c r="Q3436" s="256" t="inlineStr"/>
      <c r="R3436" s="256" t="inlineStr"/>
    </row>
    <row r="3437">
      <c r="A3437" s="256" t="inlineStr">
        <is>
          <t>CoQ-PP_26-150</t>
        </is>
      </c>
      <c r="B3437" s="256" t="inlineStr">
        <is>
          <t>reissue — retest</t>
        </is>
      </c>
      <c r="C3437" s="256" t="inlineStr">
        <is>
          <t>GP072501-1</t>
        </is>
      </c>
      <c r="D3437" s="256" t="inlineStr">
        <is>
          <t>P050292</t>
        </is>
      </c>
      <c r="E3437" s="256" t="inlineStr">
        <is>
          <t>Grape Pie</t>
        </is>
      </c>
      <c r="F3437" s="256" t="inlineStr">
        <is>
          <t>21.09.2026</t>
        </is>
      </c>
      <c r="G3437" s="256" t="inlineStr">
        <is>
          <t>9.1</t>
        </is>
      </c>
      <c r="H3437" s="256" t="inlineStr">
        <is>
          <t>TAMC</t>
        </is>
      </c>
      <c r="I3437" s="256" t="inlineStr">
        <is>
          <t>Ph. Eur. 2.6.12 cat. C</t>
        </is>
      </c>
      <c r="J3437" s="256" t="inlineStr">
        <is>
          <t>≤ 10⁵ CFU/g</t>
        </is>
      </c>
      <c r="K3437" s="256" t="inlineStr">
        <is>
          <t>&lt; 10</t>
        </is>
      </c>
      <c r="L3437" s="256" t="inlineStr">
        <is>
          <t>553/1084/26</t>
        </is>
      </c>
      <c r="M3437" s="256" t="inlineStr">
        <is>
          <t>01.09.2026</t>
        </is>
      </c>
      <c r="N3437" s="256" t="inlineStr">
        <is>
          <t>IPH — Institute of Public Health</t>
        </is>
      </c>
      <c r="O3437" s="256" t="inlineStr">
        <is>
          <t>26.08.2026</t>
        </is>
      </c>
      <c r="P3437" s="256" t="inlineStr">
        <is>
          <t>covered</t>
        </is>
      </c>
      <c r="Q3437" s="256" t="inlineStr"/>
      <c r="R3437" s="256" t="inlineStr"/>
    </row>
    <row r="3438">
      <c r="A3438" s="256" t="inlineStr">
        <is>
          <t>CoQ-PP_26-150</t>
        </is>
      </c>
      <c r="B3438" s="256" t="inlineStr">
        <is>
          <t>reissue — retest</t>
        </is>
      </c>
      <c r="C3438" s="256" t="inlineStr">
        <is>
          <t>GP072501-1</t>
        </is>
      </c>
      <c r="D3438" s="256" t="inlineStr">
        <is>
          <t>P050292</t>
        </is>
      </c>
      <c r="E3438" s="256" t="inlineStr">
        <is>
          <t>Grape Pie</t>
        </is>
      </c>
      <c r="F3438" s="256" t="inlineStr">
        <is>
          <t>21.09.2026</t>
        </is>
      </c>
      <c r="G3438" s="256" t="inlineStr">
        <is>
          <t>9.2</t>
        </is>
      </c>
      <c r="H3438" s="256" t="inlineStr">
        <is>
          <t>TYMC</t>
        </is>
      </c>
      <c r="I3438" s="256" t="inlineStr">
        <is>
          <t>Ph. Eur. 2.6.12 cat. C</t>
        </is>
      </c>
      <c r="J3438" s="256" t="inlineStr">
        <is>
          <t>≤ 10⁴ CFU/g</t>
        </is>
      </c>
      <c r="K3438" s="256" t="inlineStr">
        <is>
          <t>&lt; 10</t>
        </is>
      </c>
      <c r="L3438" s="256" t="inlineStr">
        <is>
          <t>553/1084/26</t>
        </is>
      </c>
      <c r="M3438" s="256" t="inlineStr">
        <is>
          <t>01.09.2026</t>
        </is>
      </c>
      <c r="N3438" s="256" t="inlineStr">
        <is>
          <t>IPH — Institute of Public Health</t>
        </is>
      </c>
      <c r="O3438" s="256" t="inlineStr">
        <is>
          <t>26.08.2026</t>
        </is>
      </c>
      <c r="P3438" s="256" t="inlineStr">
        <is>
          <t>covered</t>
        </is>
      </c>
      <c r="Q3438" s="256" t="inlineStr"/>
      <c r="R3438" s="256" t="inlineStr"/>
    </row>
    <row r="3439">
      <c r="A3439" s="256" t="inlineStr">
        <is>
          <t>CoQ-PP_26-150</t>
        </is>
      </c>
      <c r="B3439" s="256" t="inlineStr">
        <is>
          <t>reissue — retest</t>
        </is>
      </c>
      <c r="C3439" s="256" t="inlineStr">
        <is>
          <t>GP072501-1</t>
        </is>
      </c>
      <c r="D3439" s="256" t="inlineStr">
        <is>
          <t>P050292</t>
        </is>
      </c>
      <c r="E3439" s="256" t="inlineStr">
        <is>
          <t>Grape Pie</t>
        </is>
      </c>
      <c r="F3439" s="256" t="inlineStr">
        <is>
          <t>21.09.2026</t>
        </is>
      </c>
      <c r="G3439" s="256" t="inlineStr">
        <is>
          <t>9.3</t>
        </is>
      </c>
      <c r="H3439" s="256" t="inlineStr">
        <is>
          <t>Bile-tolerant gram-neg.</t>
        </is>
      </c>
      <c r="I3439" s="256" t="inlineStr">
        <is>
          <t>Ph. Eur. 2.6.31 cat. C</t>
        </is>
      </c>
      <c r="J3439" s="256" t="inlineStr">
        <is>
          <t>≤ 10⁴ CFU/g</t>
        </is>
      </c>
      <c r="K3439" s="256" t="inlineStr">
        <is>
          <t>&lt; 10</t>
        </is>
      </c>
      <c r="L3439" s="256" t="inlineStr">
        <is>
          <t>553/1084/26</t>
        </is>
      </c>
      <c r="M3439" s="256" t="inlineStr">
        <is>
          <t>01.09.2026</t>
        </is>
      </c>
      <c r="N3439" s="256" t="inlineStr">
        <is>
          <t>IPH — Institute of Public Health</t>
        </is>
      </c>
      <c r="O3439" s="256" t="inlineStr">
        <is>
          <t>26.08.2026</t>
        </is>
      </c>
      <c r="P3439" s="256" t="inlineStr">
        <is>
          <t>covered</t>
        </is>
      </c>
      <c r="Q3439" s="256" t="inlineStr"/>
      <c r="R3439" s="256" t="inlineStr"/>
    </row>
    <row r="3440">
      <c r="A3440" s="256" t="inlineStr">
        <is>
          <t>CoQ-PP_26-150</t>
        </is>
      </c>
      <c r="B3440" s="256" t="inlineStr">
        <is>
          <t>reissue — retest</t>
        </is>
      </c>
      <c r="C3440" s="256" t="inlineStr">
        <is>
          <t>GP072501-1</t>
        </is>
      </c>
      <c r="D3440" s="256" t="inlineStr">
        <is>
          <t>P050292</t>
        </is>
      </c>
      <c r="E3440" s="256" t="inlineStr">
        <is>
          <t>Grape Pie</t>
        </is>
      </c>
      <c r="F3440" s="256" t="inlineStr">
        <is>
          <t>21.09.2026</t>
        </is>
      </c>
      <c r="G3440" s="256" t="inlineStr">
        <is>
          <t>9.4</t>
        </is>
      </c>
      <c r="H3440" s="256" t="inlineStr">
        <is>
          <t>Salmonella</t>
        </is>
      </c>
      <c r="I3440" s="256" t="inlineStr">
        <is>
          <t>Ph. Eur. 2.6.31 cat. C</t>
        </is>
      </c>
      <c r="J3440" s="256" t="inlineStr">
        <is>
          <t>Absence | Отсуство / 25 g</t>
        </is>
      </c>
      <c r="K3440" s="256" t="inlineStr">
        <is>
          <t>Absent | Отсутна</t>
        </is>
      </c>
      <c r="L3440" s="256" t="inlineStr">
        <is>
          <t>553/1084/26</t>
        </is>
      </c>
      <c r="M3440" s="256" t="inlineStr">
        <is>
          <t>01.09.2026</t>
        </is>
      </c>
      <c r="N3440" s="256" t="inlineStr">
        <is>
          <t>IPH — Institute of Public Health</t>
        </is>
      </c>
      <c r="O3440" s="256" t="inlineStr">
        <is>
          <t>26.08.2026</t>
        </is>
      </c>
      <c r="P3440" s="256" t="inlineStr">
        <is>
          <t>covered</t>
        </is>
      </c>
      <c r="Q3440" s="256" t="inlineStr"/>
      <c r="R3440" s="256" t="inlineStr"/>
    </row>
    <row r="3441">
      <c r="A3441" s="256" t="inlineStr">
        <is>
          <t>CoQ-PP_26-150</t>
        </is>
      </c>
      <c r="B3441" s="256" t="inlineStr">
        <is>
          <t>reissue — retest</t>
        </is>
      </c>
      <c r="C3441" s="256" t="inlineStr">
        <is>
          <t>GP072501-1</t>
        </is>
      </c>
      <c r="D3441" s="256" t="inlineStr">
        <is>
          <t>P050292</t>
        </is>
      </c>
      <c r="E3441" s="256" t="inlineStr">
        <is>
          <t>Grape Pie</t>
        </is>
      </c>
      <c r="F3441" s="256" t="inlineStr">
        <is>
          <t>21.09.2026</t>
        </is>
      </c>
      <c r="G3441" s="256" t="inlineStr">
        <is>
          <t>9.5</t>
        </is>
      </c>
      <c r="H3441" s="256" t="inlineStr">
        <is>
          <t>Escherichia coli</t>
        </is>
      </c>
      <c r="I3441" s="256" t="inlineStr">
        <is>
          <t>Ph. Eur. 2.6.13 cat. C</t>
        </is>
      </c>
      <c r="J3441" s="256" t="inlineStr">
        <is>
          <t>Absence | Отсуство / 1 g</t>
        </is>
      </c>
      <c r="K3441" s="256" t="inlineStr">
        <is>
          <t>Absent | Отсутна</t>
        </is>
      </c>
      <c r="L3441" s="256" t="inlineStr">
        <is>
          <t>553/1084/26</t>
        </is>
      </c>
      <c r="M3441" s="256" t="inlineStr">
        <is>
          <t>01.09.2026</t>
        </is>
      </c>
      <c r="N3441" s="256" t="inlineStr">
        <is>
          <t>IPH — Institute of Public Health</t>
        </is>
      </c>
      <c r="O3441" s="256" t="inlineStr">
        <is>
          <t>26.08.2026</t>
        </is>
      </c>
      <c r="P3441" s="256" t="inlineStr">
        <is>
          <t>covered</t>
        </is>
      </c>
      <c r="Q3441" s="256" t="inlineStr"/>
      <c r="R3441" s="256" t="inlineStr"/>
    </row>
    <row r="3442">
      <c r="A3442" s="256" t="inlineStr">
        <is>
          <t>CoQ-PP_26-150</t>
        </is>
      </c>
      <c r="B3442" s="256" t="inlineStr">
        <is>
          <t>reissue — retest</t>
        </is>
      </c>
      <c r="C3442" s="256" t="inlineStr">
        <is>
          <t>GP072501-1</t>
        </is>
      </c>
      <c r="D3442" s="256" t="inlineStr">
        <is>
          <t>P050292</t>
        </is>
      </c>
      <c r="E3442" s="256" t="inlineStr">
        <is>
          <t>Grape Pie</t>
        </is>
      </c>
      <c r="F3442" s="256" t="inlineStr">
        <is>
          <t>21.09.2026</t>
        </is>
      </c>
      <c r="G3442" s="256" t="inlineStr">
        <is>
          <t>9.6</t>
        </is>
      </c>
      <c r="H3442" s="256" t="inlineStr">
        <is>
          <t>Pseudomonas aeruginosa</t>
        </is>
      </c>
      <c r="I3442" s="256" t="inlineStr">
        <is>
          <t>Ph. Eur. 2.6.13 cat. C</t>
        </is>
      </c>
      <c r="J3442" s="256" t="inlineStr">
        <is>
          <t>Absence | Отсуство / 1 g</t>
        </is>
      </c>
      <c r="K3442" s="260" t="inlineStr">
        <is>
          <t>upon request — not required for release</t>
        </is>
      </c>
      <c r="L3442" s="256" t="inlineStr">
        <is>
          <t>—</t>
        </is>
      </c>
      <c r="M3442" s="256" t="inlineStr">
        <is>
          <t>—</t>
        </is>
      </c>
      <c r="N3442" s="256" t="inlineStr">
        <is>
          <t>—</t>
        </is>
      </c>
      <c r="O3442" s="256" t="inlineStr">
        <is>
          <t>—</t>
        </is>
      </c>
      <c r="P3442" s="256" t="inlineStr">
        <is>
          <t>upon request — not required for release</t>
        </is>
      </c>
      <c r="Q3442" s="256" t="inlineStr"/>
      <c r="R3442" s="256" t="inlineStr"/>
    </row>
    <row r="3443">
      <c r="A3443" s="256" t="inlineStr">
        <is>
          <t>CoQ-PP_26-150</t>
        </is>
      </c>
      <c r="B3443" s="256" t="inlineStr">
        <is>
          <t>reissue — retest</t>
        </is>
      </c>
      <c r="C3443" s="256" t="inlineStr">
        <is>
          <t>GP072501-1</t>
        </is>
      </c>
      <c r="D3443" s="256" t="inlineStr">
        <is>
          <t>P050292</t>
        </is>
      </c>
      <c r="E3443" s="256" t="inlineStr">
        <is>
          <t>Grape Pie</t>
        </is>
      </c>
      <c r="F3443" s="256" t="inlineStr">
        <is>
          <t>21.09.2026</t>
        </is>
      </c>
      <c r="G3443" s="256" t="inlineStr">
        <is>
          <t>9.7</t>
        </is>
      </c>
      <c r="H3443" s="256" t="inlineStr">
        <is>
          <t>Staphylococcus aureus</t>
        </is>
      </c>
      <c r="I3443" s="256" t="inlineStr">
        <is>
          <t>Ph. Eur. 2.6.13 cat. C</t>
        </is>
      </c>
      <c r="J3443" s="256" t="inlineStr">
        <is>
          <t>Absence | Отсуство / 1 g</t>
        </is>
      </c>
      <c r="K3443" s="260" t="inlineStr">
        <is>
          <t>upon request — not required for release</t>
        </is>
      </c>
      <c r="L3443" s="256" t="inlineStr">
        <is>
          <t>—</t>
        </is>
      </c>
      <c r="M3443" s="256" t="inlineStr">
        <is>
          <t>—</t>
        </is>
      </c>
      <c r="N3443" s="256" t="inlineStr">
        <is>
          <t>—</t>
        </is>
      </c>
      <c r="O3443" s="256" t="inlineStr">
        <is>
          <t>—</t>
        </is>
      </c>
      <c r="P3443" s="256" t="inlineStr">
        <is>
          <t>upon request — not required for release</t>
        </is>
      </c>
      <c r="Q3443" s="256" t="inlineStr"/>
      <c r="R3443" s="256" t="inlineStr"/>
    </row>
    <row r="3444">
      <c r="A3444" s="256" t="inlineStr">
        <is>
          <t>CoQ-PP_26-150</t>
        </is>
      </c>
      <c r="B3444" s="256" t="inlineStr">
        <is>
          <t>reissue — retest</t>
        </is>
      </c>
      <c r="C3444" s="256" t="inlineStr">
        <is>
          <t>GP072501-1</t>
        </is>
      </c>
      <c r="D3444" s="256" t="inlineStr">
        <is>
          <t>P050292</t>
        </is>
      </c>
      <c r="E3444" s="256" t="inlineStr">
        <is>
          <t>Grape Pie</t>
        </is>
      </c>
      <c r="F3444" s="256" t="inlineStr">
        <is>
          <t>21.09.2026</t>
        </is>
      </c>
      <c r="G3444" s="256" t="inlineStr">
        <is>
          <t>10.1</t>
        </is>
      </c>
      <c r="H3444" s="256" t="inlineStr">
        <is>
          <t>Aflatoxin B₁</t>
        </is>
      </c>
      <c r="I3444" s="256" t="inlineStr">
        <is>
          <t>Ph. Eur. 2.8.18 (HPLC-FLD)</t>
        </is>
      </c>
      <c r="J3444" s="256" t="inlineStr">
        <is>
          <t>≤ 2 µg/kg</t>
        </is>
      </c>
      <c r="K3444" s="256" t="inlineStr">
        <is>
          <t>ND</t>
        </is>
      </c>
      <c r="L3444" s="256" t="inlineStr">
        <is>
          <t>227-17-М/26</t>
        </is>
      </c>
      <c r="M3444" s="256" t="inlineStr">
        <is>
          <t>16.09.2026</t>
        </is>
      </c>
      <c r="N3444" s="256" t="inlineStr">
        <is>
          <t>Farmahem</t>
        </is>
      </c>
      <c r="O3444" s="256" t="inlineStr">
        <is>
          <t>—</t>
        </is>
      </c>
      <c r="P3444" s="256" t="inlineStr">
        <is>
          <t>covered</t>
        </is>
      </c>
      <c r="Q3444" s="256" t="inlineStr"/>
      <c r="R3444" s="256" t="inlineStr"/>
    </row>
    <row r="3445">
      <c r="A3445" s="256" t="inlineStr">
        <is>
          <t>CoQ-PP_26-150</t>
        </is>
      </c>
      <c r="B3445" s="256" t="inlineStr">
        <is>
          <t>reissue — retest</t>
        </is>
      </c>
      <c r="C3445" s="256" t="inlineStr">
        <is>
          <t>GP072501-1</t>
        </is>
      </c>
      <c r="D3445" s="256" t="inlineStr">
        <is>
          <t>P050292</t>
        </is>
      </c>
      <c r="E3445" s="256" t="inlineStr">
        <is>
          <t>Grape Pie</t>
        </is>
      </c>
      <c r="F3445" s="256" t="inlineStr">
        <is>
          <t>21.09.2026</t>
        </is>
      </c>
      <c r="G3445" s="256" t="inlineStr">
        <is>
          <t>10.2</t>
        </is>
      </c>
      <c r="H3445" s="256" t="inlineStr">
        <is>
          <t>Aflatoxins ∑</t>
        </is>
      </c>
      <c r="I3445" s="256" t="inlineStr">
        <is>
          <t>Ph. Eur. 2.8.18 (HPLC-FLD)</t>
        </is>
      </c>
      <c r="J3445" s="256" t="inlineStr">
        <is>
          <t>≤ 4 µg/kg</t>
        </is>
      </c>
      <c r="K3445" s="256" t="inlineStr">
        <is>
          <t>ND</t>
        </is>
      </c>
      <c r="L3445" s="256" t="inlineStr">
        <is>
          <t>227-17-М/26</t>
        </is>
      </c>
      <c r="M3445" s="256" t="inlineStr">
        <is>
          <t>16.09.2026</t>
        </is>
      </c>
      <c r="N3445" s="256" t="inlineStr">
        <is>
          <t>Farmahem</t>
        </is>
      </c>
      <c r="O3445" s="256" t="inlineStr">
        <is>
          <t>—</t>
        </is>
      </c>
      <c r="P3445" s="256" t="inlineStr">
        <is>
          <t>carried from the initial testing (the batch's initial CoQ (number assigned on issue)) — covered</t>
        </is>
      </c>
      <c r="Q3445" s="256" t="inlineStr"/>
      <c r="R3445" s="256" t="inlineStr"/>
    </row>
    <row r="3446">
      <c r="A3446" s="256" t="inlineStr">
        <is>
          <t>CoQ-PP_26-150</t>
        </is>
      </c>
      <c r="B3446" s="256" t="inlineStr">
        <is>
          <t>reissue — retest</t>
        </is>
      </c>
      <c r="C3446" s="256" t="inlineStr">
        <is>
          <t>GP072501-1</t>
        </is>
      </c>
      <c r="D3446" s="256" t="inlineStr">
        <is>
          <t>P050292</t>
        </is>
      </c>
      <c r="E3446" s="256" t="inlineStr">
        <is>
          <t>Grape Pie</t>
        </is>
      </c>
      <c r="F3446" s="256" t="inlineStr">
        <is>
          <t>21.09.2026</t>
        </is>
      </c>
      <c r="G3446" s="256" t="inlineStr">
        <is>
          <t>10.3</t>
        </is>
      </c>
      <c r="H3446" s="256" t="inlineStr">
        <is>
          <t>Ochratoxin A</t>
        </is>
      </c>
      <c r="I3446" s="256" t="inlineStr">
        <is>
          <t>Ph. Eur. 2.8.22 (HPLC-FLD)</t>
        </is>
      </c>
      <c r="J3446" s="256" t="inlineStr">
        <is>
          <t>≤ 20 µg/kg</t>
        </is>
      </c>
      <c r="K3446" s="256" t="inlineStr">
        <is>
          <t>ND</t>
        </is>
      </c>
      <c r="L3446" s="256" t="inlineStr">
        <is>
          <t>227-17-М/26</t>
        </is>
      </c>
      <c r="M3446" s="256" t="inlineStr">
        <is>
          <t>16.09.2026</t>
        </is>
      </c>
      <c r="N3446" s="256" t="inlineStr">
        <is>
          <t>Farmahem</t>
        </is>
      </c>
      <c r="O3446" s="256" t="inlineStr">
        <is>
          <t>—</t>
        </is>
      </c>
      <c r="P3446" s="256" t="inlineStr">
        <is>
          <t>covered</t>
        </is>
      </c>
      <c r="Q3446" s="256" t="inlineStr"/>
      <c r="R3446" s="256" t="inlineStr"/>
    </row>
    <row r="3447">
      <c r="A3447" s="256" t="inlineStr">
        <is>
          <t>CoQ-PP_26-150</t>
        </is>
      </c>
      <c r="B3447" s="256" t="inlineStr">
        <is>
          <t>reissue — retest</t>
        </is>
      </c>
      <c r="C3447" s="256" t="inlineStr">
        <is>
          <t>GP072501-1</t>
        </is>
      </c>
      <c r="D3447" s="256" t="inlineStr">
        <is>
          <t>P050292</t>
        </is>
      </c>
      <c r="E3447" s="256" t="inlineStr">
        <is>
          <t>Grape Pie</t>
        </is>
      </c>
      <c r="F3447" s="256" t="inlineStr">
        <is>
          <t>21.09.2026</t>
        </is>
      </c>
      <c r="G3447" s="256" t="inlineStr">
        <is>
          <t>11.1</t>
        </is>
      </c>
      <c r="H3447" s="256" t="inlineStr">
        <is>
          <t>Lead (Pb)</t>
        </is>
      </c>
      <c r="I3447" s="256" t="inlineStr">
        <is>
          <t>Ph. Eur. 2.4.27 (ICP-MS)</t>
        </is>
      </c>
      <c r="J3447" s="256" t="inlineStr">
        <is>
          <t>≤ 0.5 mg/kg</t>
        </is>
      </c>
      <c r="K3447" s="256" t="inlineStr">
        <is>
          <t>0.028</t>
        </is>
      </c>
      <c r="L3447" s="256" t="inlineStr">
        <is>
          <t>5886/2025</t>
        </is>
      </c>
      <c r="M3447" s="256" t="inlineStr">
        <is>
          <t>12.12.2025</t>
        </is>
      </c>
      <c r="N3447" s="256" t="inlineStr">
        <is>
          <t>IPH — Institute of Public Health</t>
        </is>
      </c>
      <c r="O3447" s="256" t="inlineStr">
        <is>
          <t>01.12.2025</t>
        </is>
      </c>
      <c r="P3447" s="256" t="inlineStr">
        <is>
          <t>carried from the initial testing (the batch's initial CoQ (number assigned on issue)) — covered</t>
        </is>
      </c>
      <c r="Q3447" s="256" t="inlineStr"/>
      <c r="R3447" s="256" t="inlineStr"/>
    </row>
    <row r="3448">
      <c r="A3448" s="256" t="inlineStr">
        <is>
          <t>CoQ-PP_26-150</t>
        </is>
      </c>
      <c r="B3448" s="256" t="inlineStr">
        <is>
          <t>reissue — retest</t>
        </is>
      </c>
      <c r="C3448" s="256" t="inlineStr">
        <is>
          <t>GP072501-1</t>
        </is>
      </c>
      <c r="D3448" s="256" t="inlineStr">
        <is>
          <t>P050292</t>
        </is>
      </c>
      <c r="E3448" s="256" t="inlineStr">
        <is>
          <t>Grape Pie</t>
        </is>
      </c>
      <c r="F3448" s="256" t="inlineStr">
        <is>
          <t>21.09.2026</t>
        </is>
      </c>
      <c r="G3448" s="256" t="inlineStr">
        <is>
          <t>11.2</t>
        </is>
      </c>
      <c r="H3448" s="256" t="inlineStr">
        <is>
          <t>Cadmium (Cd)</t>
        </is>
      </c>
      <c r="I3448" s="256" t="inlineStr">
        <is>
          <t>Ph. Eur. 2.4.27 (ICP-MS)</t>
        </is>
      </c>
      <c r="J3448" s="256" t="inlineStr">
        <is>
          <t>≤ 0.3 mg/kg</t>
        </is>
      </c>
      <c r="K3448" s="256" t="inlineStr">
        <is>
          <t>0.003</t>
        </is>
      </c>
      <c r="L3448" s="256" t="inlineStr">
        <is>
          <t>5886/2025</t>
        </is>
      </c>
      <c r="M3448" s="256" t="inlineStr">
        <is>
          <t>12.12.2025</t>
        </is>
      </c>
      <c r="N3448" s="256" t="inlineStr">
        <is>
          <t>IPH — Institute of Public Health</t>
        </is>
      </c>
      <c r="O3448" s="256" t="inlineStr">
        <is>
          <t>01.12.2025</t>
        </is>
      </c>
      <c r="P3448" s="256" t="inlineStr">
        <is>
          <t>carried from the initial testing (the batch's initial CoQ (number assigned on issue)) — covered</t>
        </is>
      </c>
      <c r="Q3448" s="256" t="inlineStr"/>
      <c r="R3448" s="256" t="inlineStr"/>
    </row>
    <row r="3449">
      <c r="A3449" s="256" t="inlineStr">
        <is>
          <t>CoQ-PP_26-150</t>
        </is>
      </c>
      <c r="B3449" s="256" t="inlineStr">
        <is>
          <t>reissue — retest</t>
        </is>
      </c>
      <c r="C3449" s="256" t="inlineStr">
        <is>
          <t>GP072501-1</t>
        </is>
      </c>
      <c r="D3449" s="256" t="inlineStr">
        <is>
          <t>P050292</t>
        </is>
      </c>
      <c r="E3449" s="256" t="inlineStr">
        <is>
          <t>Grape Pie</t>
        </is>
      </c>
      <c r="F3449" s="256" t="inlineStr">
        <is>
          <t>21.09.2026</t>
        </is>
      </c>
      <c r="G3449" s="256" t="inlineStr">
        <is>
          <t>11.3</t>
        </is>
      </c>
      <c r="H3449" s="256" t="inlineStr">
        <is>
          <t>Arsenic (As)</t>
        </is>
      </c>
      <c r="I3449" s="256" t="inlineStr">
        <is>
          <t>Ph. Eur. 2.4.27 (ICP-MS)</t>
        </is>
      </c>
      <c r="J3449" s="256" t="inlineStr">
        <is>
          <t>≤ 0.2 mg/kg</t>
        </is>
      </c>
      <c r="K3449" s="256" t="inlineStr">
        <is>
          <t>0.03</t>
        </is>
      </c>
      <c r="L3449" s="256" t="inlineStr">
        <is>
          <t>5886/2025</t>
        </is>
      </c>
      <c r="M3449" s="256" t="inlineStr">
        <is>
          <t>12.12.2025</t>
        </is>
      </c>
      <c r="N3449" s="256" t="inlineStr">
        <is>
          <t>IPH — Institute of Public Health</t>
        </is>
      </c>
      <c r="O3449" s="256" t="inlineStr">
        <is>
          <t>01.12.2025</t>
        </is>
      </c>
      <c r="P3449" s="256" t="inlineStr">
        <is>
          <t>carried from the initial testing (the batch's initial CoQ (number assigned on issue)) — covered</t>
        </is>
      </c>
      <c r="Q3449" s="256" t="inlineStr"/>
      <c r="R3449" s="256" t="inlineStr"/>
    </row>
    <row r="3450">
      <c r="A3450" s="256" t="inlineStr">
        <is>
          <t>CoQ-PP_26-150</t>
        </is>
      </c>
      <c r="B3450" s="256" t="inlineStr">
        <is>
          <t>reissue — retest</t>
        </is>
      </c>
      <c r="C3450" s="256" t="inlineStr">
        <is>
          <t>GP072501-1</t>
        </is>
      </c>
      <c r="D3450" s="256" t="inlineStr">
        <is>
          <t>P050292</t>
        </is>
      </c>
      <c r="E3450" s="256" t="inlineStr">
        <is>
          <t>Grape Pie</t>
        </is>
      </c>
      <c r="F3450" s="256" t="inlineStr">
        <is>
          <t>21.09.2026</t>
        </is>
      </c>
      <c r="G3450" s="256" t="inlineStr">
        <is>
          <t>11.4</t>
        </is>
      </c>
      <c r="H3450" s="256" t="inlineStr">
        <is>
          <t>Mercury (Hg)</t>
        </is>
      </c>
      <c r="I3450" s="256" t="inlineStr">
        <is>
          <t>Ph. Eur. 2.4.27 (ICP-MS)</t>
        </is>
      </c>
      <c r="J3450" s="256" t="inlineStr">
        <is>
          <t>≤ 0.1 mg/kg</t>
        </is>
      </c>
      <c r="K3450" s="256" t="inlineStr">
        <is>
          <t>0.025</t>
        </is>
      </c>
      <c r="L3450" s="256" t="inlineStr">
        <is>
          <t>5886/2025</t>
        </is>
      </c>
      <c r="M3450" s="256" t="inlineStr">
        <is>
          <t>12.12.2025</t>
        </is>
      </c>
      <c r="N3450" s="256" t="inlineStr">
        <is>
          <t>IPH — Institute of Public Health</t>
        </is>
      </c>
      <c r="O3450" s="256" t="inlineStr">
        <is>
          <t>01.12.2025</t>
        </is>
      </c>
      <c r="P3450" s="256" t="inlineStr">
        <is>
          <t>carried from the initial testing (the batch's initial CoQ (number assigned on issue)) — covered</t>
        </is>
      </c>
      <c r="Q3450" s="256" t="inlineStr"/>
      <c r="R3450" s="256" t="inlineStr"/>
    </row>
    <row r="3451">
      <c r="A3451" s="256" t="inlineStr">
        <is>
          <t>CoQ-PP_26-150</t>
        </is>
      </c>
      <c r="B3451" s="256" t="inlineStr">
        <is>
          <t>reissue — retest</t>
        </is>
      </c>
      <c r="C3451" s="256" t="inlineStr">
        <is>
          <t>GP072501-1</t>
        </is>
      </c>
      <c r="D3451" s="256" t="inlineStr">
        <is>
          <t>P050292</t>
        </is>
      </c>
      <c r="E3451" s="256" t="inlineStr">
        <is>
          <t>Grape Pie</t>
        </is>
      </c>
      <c r="F3451" s="256" t="inlineStr">
        <is>
          <t>21.09.2026</t>
        </is>
      </c>
      <c r="G3451" s="256" t="inlineStr">
        <is>
          <t>12</t>
        </is>
      </c>
      <c r="H3451" s="256" t="inlineStr">
        <is>
          <t>Pesticide Residues</t>
        </is>
      </c>
      <c r="I3451" s="256" t="inlineStr">
        <is>
          <t>Ph. Eur. 2.8.13 (LC-MS/MS) · CUMCS Equivalency</t>
        </is>
      </c>
      <c r="J3451" s="256" t="inlineStr">
        <is>
          <t>≤ LOQ as per Ph. Eur. 2.8.13 · ≤ LOQ as per CUMCS Equivalency</t>
        </is>
      </c>
      <c r="K3451" s="256" t="inlineStr">
        <is>
          <t>ND</t>
        </is>
      </c>
      <c r="L3451" s="256" t="inlineStr">
        <is>
          <t>5886/2025</t>
        </is>
      </c>
      <c r="M3451" s="256" t="inlineStr">
        <is>
          <t>12.12.2025</t>
        </is>
      </c>
      <c r="N3451" s="256" t="inlineStr">
        <is>
          <t>IPH — Institute of Public Health</t>
        </is>
      </c>
      <c r="O3451" s="256" t="inlineStr">
        <is>
          <t>01.12.2025</t>
        </is>
      </c>
      <c r="P3451" s="256" t="inlineStr">
        <is>
          <t>carried from the initial testing (the batch's initial CoQ (number assigned on issue)) — covered</t>
        </is>
      </c>
      <c r="Q3451" s="256" t="inlineStr"/>
      <c r="R3451" s="256" t="inlineStr"/>
    </row>
    <row r="3452">
      <c r="A3452" s="256" t="inlineStr">
        <is>
          <t>CoQ-PP_26-151</t>
        </is>
      </c>
      <c r="B3452" s="256" t="inlineStr">
        <is>
          <t>reissue — retest</t>
        </is>
      </c>
      <c r="C3452" s="256" t="inlineStr">
        <is>
          <t>GP0824_01</t>
        </is>
      </c>
      <c r="D3452" s="256" t="inlineStr">
        <is>
          <t>P050102</t>
        </is>
      </c>
      <c r="E3452" s="256" t="inlineStr">
        <is>
          <t>Grape Pie</t>
        </is>
      </c>
      <c r="F3452" s="256" t="inlineStr">
        <is>
          <t>21.09.2026</t>
        </is>
      </c>
      <c r="G3452" s="256" t="inlineStr">
        <is>
          <t>1</t>
        </is>
      </c>
      <c r="H3452" s="256" t="inlineStr">
        <is>
          <t>Identification A, Appearance · Macroscopic</t>
        </is>
      </c>
      <c r="I3452" s="256" t="inlineStr">
        <is>
          <t>Ph. Eur. mon. 3028</t>
        </is>
      </c>
      <c r="J3452" s="256" t="inlineStr">
        <is>
          <t>Conforms to the monograph for Cannabis flos (07/2024:3028) in Ph. Eur. 11.0 | Согласно монографија за Cannabis flos (07/2024:3028) во Ph. Eur. 11.0</t>
        </is>
      </c>
      <c r="K3452" s="256" t="inlineStr">
        <is>
          <t>Conforms | Одговара</t>
        </is>
      </c>
      <c r="L3452" s="256" t="inlineStr">
        <is>
          <t>iCoA-PP_26-156</t>
        </is>
      </c>
      <c r="M3452" s="256" t="inlineStr">
        <is>
          <t>24.08.2026</t>
        </is>
      </c>
      <c r="N3452" s="256" t="inlineStr">
        <is>
          <t>Purely Plant GmbH (in-house)</t>
        </is>
      </c>
      <c r="O3452" s="256" t="inlineStr">
        <is>
          <t>—</t>
        </is>
      </c>
      <c r="P3452" s="256" t="inlineStr">
        <is>
          <t>covered</t>
        </is>
      </c>
      <c r="Q3452" s="256" t="inlineStr">
        <is>
          <t>Farmahem — Ident A + B + C with the Assay, at retest</t>
        </is>
      </c>
      <c r="R3452" s="256" t="inlineStr"/>
    </row>
    <row r="3453">
      <c r="A3453" s="256" t="inlineStr">
        <is>
          <t>CoQ-PP_26-151</t>
        </is>
      </c>
      <c r="B3453" s="256" t="inlineStr">
        <is>
          <t>reissue — retest</t>
        </is>
      </c>
      <c r="C3453" s="256" t="inlineStr">
        <is>
          <t>GP0824_01</t>
        </is>
      </c>
      <c r="D3453" s="256" t="inlineStr">
        <is>
          <t>P050102</t>
        </is>
      </c>
      <c r="E3453" s="256" t="inlineStr">
        <is>
          <t>Grape Pie</t>
        </is>
      </c>
      <c r="F3453" s="256" t="inlineStr">
        <is>
          <t>21.09.2026</t>
        </is>
      </c>
      <c r="G3453" s="256" t="inlineStr">
        <is>
          <t>2</t>
        </is>
      </c>
      <c r="H3453" s="256" t="inlineStr">
        <is>
          <t>Identification B · Microscopic</t>
        </is>
      </c>
      <c r="I3453" s="256" t="inlineStr">
        <is>
          <t>Ph. Eur. 2.8.23 (microscopy)</t>
        </is>
      </c>
      <c r="J3453" s="256" t="inlineStr">
        <is>
          <t>Conforms to the monograph for Cannabis flos (07/2024:3028) in Ph. Eur. 11.0 | Согласно монографија за Cannabis flos (07/2024:3028) во Ph. Eur. 11.0</t>
        </is>
      </c>
      <c r="K3453" s="256" t="inlineStr">
        <is>
          <t>Conforms | Одговара</t>
        </is>
      </c>
      <c r="L3453" s="256" t="inlineStr">
        <is>
          <t>iCoA-PP_26-156</t>
        </is>
      </c>
      <c r="M3453" s="256" t="inlineStr">
        <is>
          <t>24.08.2026</t>
        </is>
      </c>
      <c r="N3453" s="256" t="inlineStr">
        <is>
          <t>Purely Plant GmbH (in-house)</t>
        </is>
      </c>
      <c r="O3453" s="256" t="inlineStr">
        <is>
          <t>—</t>
        </is>
      </c>
      <c r="P3453" s="256" t="inlineStr">
        <is>
          <t>to be performed — see route</t>
        </is>
      </c>
      <c r="Q3453" s="256" t="inlineStr">
        <is>
          <t>Farmahem — Ident A + B + C with the Assay, at retest</t>
        </is>
      </c>
      <c r="R3453" s="256" t="inlineStr"/>
    </row>
    <row r="3454">
      <c r="A3454" s="256" t="inlineStr">
        <is>
          <t>CoQ-PP_26-151</t>
        </is>
      </c>
      <c r="B3454" s="256" t="inlineStr">
        <is>
          <t>reissue — retest</t>
        </is>
      </c>
      <c r="C3454" s="256" t="inlineStr">
        <is>
          <t>GP0824_01</t>
        </is>
      </c>
      <c r="D3454" s="256" t="inlineStr">
        <is>
          <t>P050102</t>
        </is>
      </c>
      <c r="E3454" s="256" t="inlineStr">
        <is>
          <t>Grape Pie</t>
        </is>
      </c>
      <c r="F3454" s="256" t="inlineStr">
        <is>
          <t>21.09.2026</t>
        </is>
      </c>
      <c r="G3454" s="256" t="inlineStr">
        <is>
          <t>3</t>
        </is>
      </c>
      <c r="H3454" s="256" t="inlineStr">
        <is>
          <t>Identification C · HPLC/HPTLC</t>
        </is>
      </c>
      <c r="I3454" s="256" t="inlineStr">
        <is>
          <t>Ph. Eur. 2.2.29 (3028)</t>
        </is>
      </c>
      <c r="J3454" s="256" t="inlineStr">
        <is>
          <t>Conforms to the monograph for Cannabis flos (07/2024:3028) in Ph. Eur. 11.0 | Согласно монографија за Cannabis flos (07/2024:3028) во Ph. Eur. 11.0</t>
        </is>
      </c>
      <c r="K3454" s="256" t="inlineStr">
        <is>
          <t>Conforms | Одговара</t>
        </is>
      </c>
      <c r="L3454" s="256" t="inlineStr">
        <is>
          <t>227-2-К/26</t>
        </is>
      </c>
      <c r="M3454" s="256" t="inlineStr">
        <is>
          <t>11.09.2026</t>
        </is>
      </c>
      <c r="N3454" s="256" t="inlineStr">
        <is>
          <t>Farmahem</t>
        </is>
      </c>
      <c r="O3454" s="256" t="inlineStr">
        <is>
          <t>24.08.2026</t>
        </is>
      </c>
      <c r="P3454" s="256" t="inlineStr">
        <is>
          <t>covered</t>
        </is>
      </c>
      <c r="Q3454" s="256" t="inlineStr"/>
      <c r="R3454" s="256" t="inlineStr"/>
    </row>
    <row r="3455">
      <c r="A3455" s="256" t="inlineStr">
        <is>
          <t>CoQ-PP_26-151</t>
        </is>
      </c>
      <c r="B3455" s="256" t="inlineStr">
        <is>
          <t>reissue — retest</t>
        </is>
      </c>
      <c r="C3455" s="256" t="inlineStr">
        <is>
          <t>GP0824_01</t>
        </is>
      </c>
      <c r="D3455" s="256" t="inlineStr">
        <is>
          <t>P050102</t>
        </is>
      </c>
      <c r="E3455" s="256" t="inlineStr">
        <is>
          <t>Grape Pie</t>
        </is>
      </c>
      <c r="F3455" s="256" t="inlineStr">
        <is>
          <t>21.09.2026</t>
        </is>
      </c>
      <c r="G3455" s="256" t="inlineStr">
        <is>
          <t>4</t>
        </is>
      </c>
      <c r="H3455" s="256" t="inlineStr">
        <is>
          <t>Assay — Total Δ⁹-THC</t>
        </is>
      </c>
      <c r="I3455" s="256" t="inlineStr">
        <is>
          <t>Ph. Eur. 2.2.29 (HPLC)</t>
        </is>
      </c>
      <c r="J3455" s="256" t="inlineStr">
        <is>
          <t>26.00 – 29.99 %  (grade I, nominal 28.00 ± 2.00)</t>
        </is>
      </c>
      <c r="K3455" s="256" t="inlineStr">
        <is>
          <t>28.68</t>
        </is>
      </c>
      <c r="L3455" s="256" t="inlineStr">
        <is>
          <t>227-2-К/26</t>
        </is>
      </c>
      <c r="M3455" s="256" t="inlineStr">
        <is>
          <t>11.09.2026</t>
        </is>
      </c>
      <c r="N3455" s="256" t="inlineStr">
        <is>
          <t>Farmahem</t>
        </is>
      </c>
      <c r="O3455" s="256" t="inlineStr">
        <is>
          <t>24.08.2026</t>
        </is>
      </c>
      <c r="P3455" s="256" t="inlineStr">
        <is>
          <t>covered</t>
        </is>
      </c>
      <c r="Q3455" s="256" t="inlineStr"/>
      <c r="R3455" s="256" t="inlineStr"/>
    </row>
    <row r="3456">
      <c r="A3456" s="256" t="inlineStr">
        <is>
          <t>CoQ-PP_26-151</t>
        </is>
      </c>
      <c r="B3456" s="256" t="inlineStr">
        <is>
          <t>reissue — retest</t>
        </is>
      </c>
      <c r="C3456" s="256" t="inlineStr">
        <is>
          <t>GP0824_01</t>
        </is>
      </c>
      <c r="D3456" s="256" t="inlineStr">
        <is>
          <t>P050102</t>
        </is>
      </c>
      <c r="E3456" s="256" t="inlineStr">
        <is>
          <t>Grape Pie</t>
        </is>
      </c>
      <c r="F3456" s="256" t="inlineStr">
        <is>
          <t>21.09.2026</t>
        </is>
      </c>
      <c r="G3456" s="256" t="inlineStr">
        <is>
          <t>5</t>
        </is>
      </c>
      <c r="H3456" s="256" t="inlineStr">
        <is>
          <t>Assay — Total CBD</t>
        </is>
      </c>
      <c r="I3456" s="256" t="inlineStr">
        <is>
          <t>Ph. Eur. 2.2.29 (HPLC) · CBD + CBDA x 0.877</t>
        </is>
      </c>
      <c r="J3456" s="256" t="inlineStr">
        <is>
          <t>≤ 1.0%, w/w</t>
        </is>
      </c>
      <c r="K3456" s="256" t="inlineStr">
        <is>
          <t>&lt; LOQ</t>
        </is>
      </c>
      <c r="L3456" s="256" t="inlineStr">
        <is>
          <t>227-2-К/26</t>
        </is>
      </c>
      <c r="M3456" s="256" t="inlineStr">
        <is>
          <t>11.09.2026</t>
        </is>
      </c>
      <c r="N3456" s="256" t="inlineStr">
        <is>
          <t>Farmahem</t>
        </is>
      </c>
      <c r="O3456" s="256" t="inlineStr">
        <is>
          <t>24.08.2026</t>
        </is>
      </c>
      <c r="P3456" s="256" t="inlineStr">
        <is>
          <t>covered</t>
        </is>
      </c>
      <c r="Q3456" s="256" t="inlineStr"/>
      <c r="R3456" s="256" t="inlineStr"/>
    </row>
    <row r="3457">
      <c r="A3457" s="256" t="inlineStr">
        <is>
          <t>CoQ-PP_26-151</t>
        </is>
      </c>
      <c r="B3457" s="256" t="inlineStr">
        <is>
          <t>reissue — retest</t>
        </is>
      </c>
      <c r="C3457" s="256" t="inlineStr">
        <is>
          <t>GP0824_01</t>
        </is>
      </c>
      <c r="D3457" s="256" t="inlineStr">
        <is>
          <t>P050102</t>
        </is>
      </c>
      <c r="E3457" s="256" t="inlineStr">
        <is>
          <t>Grape Pie</t>
        </is>
      </c>
      <c r="F3457" s="256" t="inlineStr">
        <is>
          <t>21.09.2026</t>
        </is>
      </c>
      <c r="G3457" s="256" t="inlineStr">
        <is>
          <t>6</t>
        </is>
      </c>
      <c r="H3457" s="256" t="inlineStr">
        <is>
          <t>Total CBN</t>
        </is>
      </c>
      <c r="I3457" s="256" t="inlineStr">
        <is>
          <t>Ph. Eur. 2.2.29 (HPLC) · CBN + CBNA x 0.876</t>
        </is>
      </c>
      <c r="J3457" s="256" t="inlineStr">
        <is>
          <t>≤ 1.0%, w/w</t>
        </is>
      </c>
      <c r="K3457" s="256" t="inlineStr">
        <is>
          <t>0.25</t>
        </is>
      </c>
      <c r="L3457" s="256" t="inlineStr">
        <is>
          <t>227-2-К/26</t>
        </is>
      </c>
      <c r="M3457" s="256" t="inlineStr">
        <is>
          <t>11.09.2026</t>
        </is>
      </c>
      <c r="N3457" s="256" t="inlineStr">
        <is>
          <t>Farmahem</t>
        </is>
      </c>
      <c r="O3457" s="256" t="inlineStr">
        <is>
          <t>24.08.2026</t>
        </is>
      </c>
      <c r="P3457" s="256" t="inlineStr">
        <is>
          <t>covered</t>
        </is>
      </c>
      <c r="Q3457" s="256" t="inlineStr"/>
      <c r="R3457" s="256" t="inlineStr"/>
    </row>
    <row r="3458">
      <c r="A3458" s="256" t="inlineStr">
        <is>
          <t>CoQ-PP_26-151</t>
        </is>
      </c>
      <c r="B3458" s="256" t="inlineStr">
        <is>
          <t>reissue — retest</t>
        </is>
      </c>
      <c r="C3458" s="256" t="inlineStr">
        <is>
          <t>GP0824_01</t>
        </is>
      </c>
      <c r="D3458" s="256" t="inlineStr">
        <is>
          <t>P050102</t>
        </is>
      </c>
      <c r="E3458" s="256" t="inlineStr">
        <is>
          <t>Grape Pie</t>
        </is>
      </c>
      <c r="F3458" s="256" t="inlineStr">
        <is>
          <t>21.09.2026</t>
        </is>
      </c>
      <c r="G3458" s="256" t="inlineStr">
        <is>
          <t>7</t>
        </is>
      </c>
      <c r="H3458" s="256" t="inlineStr">
        <is>
          <t>Foreign Matter</t>
        </is>
      </c>
      <c r="I3458" s="256" t="inlineStr">
        <is>
          <t>Ph. Eur. 2.8.2 · In-house · интерна</t>
        </is>
      </c>
      <c r="J3458" s="256" t="inlineStr">
        <is>
          <t>≤ 2.0% / 25–50 g · &lt; 1 cm leaves | листови, no seeds | без семки</t>
        </is>
      </c>
      <c r="K3458" s="256" t="inlineStr">
        <is>
          <t>Conforms | Одговара</t>
        </is>
      </c>
      <c r="L3458" s="256" t="inlineStr">
        <is>
          <t>iCoA-PP_26-156</t>
        </is>
      </c>
      <c r="M3458" s="256" t="inlineStr">
        <is>
          <t>24.08.2026</t>
        </is>
      </c>
      <c r="N3458" s="256" t="inlineStr">
        <is>
          <t>Purely Plant GmbH (in-house)</t>
        </is>
      </c>
      <c r="O3458" s="256" t="inlineStr">
        <is>
          <t>—</t>
        </is>
      </c>
      <c r="P3458" s="256" t="inlineStr">
        <is>
          <t>covered</t>
        </is>
      </c>
      <c r="Q3458" s="256" t="inlineStr">
        <is>
          <t>Purely Plant laboratory — iCoA covering Foreign matter</t>
        </is>
      </c>
      <c r="R3458" s="256" t="inlineStr"/>
    </row>
    <row r="3459">
      <c r="A3459" s="256" t="inlineStr">
        <is>
          <t>CoQ-PP_26-151</t>
        </is>
      </c>
      <c r="B3459" s="256" t="inlineStr">
        <is>
          <t>reissue — retest</t>
        </is>
      </c>
      <c r="C3459" s="256" t="inlineStr">
        <is>
          <t>GP0824_01</t>
        </is>
      </c>
      <c r="D3459" s="256" t="inlineStr">
        <is>
          <t>P050102</t>
        </is>
      </c>
      <c r="E3459" s="256" t="inlineStr">
        <is>
          <t>Grape Pie</t>
        </is>
      </c>
      <c r="F3459" s="256" t="inlineStr">
        <is>
          <t>21.09.2026</t>
        </is>
      </c>
      <c r="G3459" s="256" t="inlineStr">
        <is>
          <t>8</t>
        </is>
      </c>
      <c r="H3459" s="256" t="inlineStr">
        <is>
          <t>Loss on Drying</t>
        </is>
      </c>
      <c r="I3459" s="256" t="inlineStr">
        <is>
          <t>DAB 2018 monograph Cannabis flos, 2.2.32 — loss on drying (CNP, before its Ph. Eur. 3028 accreditation)</t>
        </is>
      </c>
      <c r="J3459" s="256" t="inlineStr">
        <is>
          <t>≤ 12.0%</t>
        </is>
      </c>
      <c r="K3459" s="256" t="inlineStr">
        <is>
          <t>6.73</t>
        </is>
      </c>
      <c r="L3459" s="256" t="inlineStr">
        <is>
          <t>ППК25105</t>
        </is>
      </c>
      <c r="M3459" s="256" t="inlineStr">
        <is>
          <t>17.04.2025</t>
        </is>
      </c>
      <c r="N3459" s="256" t="inlineStr">
        <is>
          <t>UKIM Faculty of Pharmacy — Center for Natural Products</t>
        </is>
      </c>
      <c r="O3459" s="256" t="inlineStr">
        <is>
          <t>08.04.2025</t>
        </is>
      </c>
      <c r="P3459" s="256" t="inlineStr">
        <is>
          <t>carried from the initial testing (the batch's initial CoQ (number assigned on issue)) — covered</t>
        </is>
      </c>
      <c r="Q3459" s="256" t="inlineStr"/>
      <c r="R3459" s="256" t="inlineStr"/>
    </row>
    <row r="3460">
      <c r="A3460" s="256" t="inlineStr">
        <is>
          <t>CoQ-PP_26-151</t>
        </is>
      </c>
      <c r="B3460" s="256" t="inlineStr">
        <is>
          <t>reissue — retest</t>
        </is>
      </c>
      <c r="C3460" s="256" t="inlineStr">
        <is>
          <t>GP0824_01</t>
        </is>
      </c>
      <c r="D3460" s="256" t="inlineStr">
        <is>
          <t>P050102</t>
        </is>
      </c>
      <c r="E3460" s="256" t="inlineStr">
        <is>
          <t>Grape Pie</t>
        </is>
      </c>
      <c r="F3460" s="256" t="inlineStr">
        <is>
          <t>21.09.2026</t>
        </is>
      </c>
      <c r="G3460" s="256" t="inlineStr">
        <is>
          <t>9.1</t>
        </is>
      </c>
      <c r="H3460" s="256" t="inlineStr">
        <is>
          <t>TAMC</t>
        </is>
      </c>
      <c r="I3460" s="256" t="inlineStr">
        <is>
          <t>Ph. Eur. 2.6.12 cat. C</t>
        </is>
      </c>
      <c r="J3460" s="256" t="inlineStr">
        <is>
          <t>≤ 10⁵ CFU/g</t>
        </is>
      </c>
      <c r="K3460" s="256" t="inlineStr">
        <is>
          <t>&lt; 10</t>
        </is>
      </c>
      <c r="L3460" s="256" t="inlineStr">
        <is>
          <t>562/1093/26</t>
        </is>
      </c>
      <c r="M3460" s="256" t="inlineStr">
        <is>
          <t>01.09.2026</t>
        </is>
      </c>
      <c r="N3460" s="256" t="inlineStr">
        <is>
          <t>IPH — Institute of Public Health</t>
        </is>
      </c>
      <c r="O3460" s="256" t="inlineStr">
        <is>
          <t>26.08.2026</t>
        </is>
      </c>
      <c r="P3460" s="256" t="inlineStr">
        <is>
          <t>covered</t>
        </is>
      </c>
      <c r="Q3460" s="256" t="inlineStr"/>
      <c r="R3460" s="256" t="inlineStr"/>
    </row>
    <row r="3461">
      <c r="A3461" s="256" t="inlineStr">
        <is>
          <t>CoQ-PP_26-151</t>
        </is>
      </c>
      <c r="B3461" s="256" t="inlineStr">
        <is>
          <t>reissue — retest</t>
        </is>
      </c>
      <c r="C3461" s="256" t="inlineStr">
        <is>
          <t>GP0824_01</t>
        </is>
      </c>
      <c r="D3461" s="256" t="inlineStr">
        <is>
          <t>P050102</t>
        </is>
      </c>
      <c r="E3461" s="256" t="inlineStr">
        <is>
          <t>Grape Pie</t>
        </is>
      </c>
      <c r="F3461" s="256" t="inlineStr">
        <is>
          <t>21.09.2026</t>
        </is>
      </c>
      <c r="G3461" s="256" t="inlineStr">
        <is>
          <t>9.2</t>
        </is>
      </c>
      <c r="H3461" s="256" t="inlineStr">
        <is>
          <t>TYMC</t>
        </is>
      </c>
      <c r="I3461" s="256" t="inlineStr">
        <is>
          <t>Ph. Eur. 2.6.12 cat. C</t>
        </is>
      </c>
      <c r="J3461" s="256" t="inlineStr">
        <is>
          <t>≤ 10⁴ CFU/g</t>
        </is>
      </c>
      <c r="K3461" s="256" t="inlineStr">
        <is>
          <t>50</t>
        </is>
      </c>
      <c r="L3461" s="256" t="inlineStr">
        <is>
          <t>562/1093/26</t>
        </is>
      </c>
      <c r="M3461" s="256" t="inlineStr">
        <is>
          <t>01.09.2026</t>
        </is>
      </c>
      <c r="N3461" s="256" t="inlineStr">
        <is>
          <t>IPH — Institute of Public Health</t>
        </is>
      </c>
      <c r="O3461" s="256" t="inlineStr">
        <is>
          <t>26.08.2026</t>
        </is>
      </c>
      <c r="P3461" s="256" t="inlineStr">
        <is>
          <t>covered</t>
        </is>
      </c>
      <c r="Q3461" s="256" t="inlineStr"/>
      <c r="R3461" s="256" t="inlineStr"/>
    </row>
    <row r="3462">
      <c r="A3462" s="256" t="inlineStr">
        <is>
          <t>CoQ-PP_26-151</t>
        </is>
      </c>
      <c r="B3462" s="256" t="inlineStr">
        <is>
          <t>reissue — retest</t>
        </is>
      </c>
      <c r="C3462" s="256" t="inlineStr">
        <is>
          <t>GP0824_01</t>
        </is>
      </c>
      <c r="D3462" s="256" t="inlineStr">
        <is>
          <t>P050102</t>
        </is>
      </c>
      <c r="E3462" s="256" t="inlineStr">
        <is>
          <t>Grape Pie</t>
        </is>
      </c>
      <c r="F3462" s="256" t="inlineStr">
        <is>
          <t>21.09.2026</t>
        </is>
      </c>
      <c r="G3462" s="256" t="inlineStr">
        <is>
          <t>9.3</t>
        </is>
      </c>
      <c r="H3462" s="256" t="inlineStr">
        <is>
          <t>Bile-tolerant gram-neg.</t>
        </is>
      </c>
      <c r="I3462" s="256" t="inlineStr">
        <is>
          <t>Ph. Eur. 2.6.31 cat. C</t>
        </is>
      </c>
      <c r="J3462" s="256" t="inlineStr">
        <is>
          <t>≤ 10⁴ CFU/g</t>
        </is>
      </c>
      <c r="K3462" s="256" t="inlineStr">
        <is>
          <t>&lt; 10</t>
        </is>
      </c>
      <c r="L3462" s="256" t="inlineStr">
        <is>
          <t>562/1093/26</t>
        </is>
      </c>
      <c r="M3462" s="256" t="inlineStr">
        <is>
          <t>01.09.2026</t>
        </is>
      </c>
      <c r="N3462" s="256" t="inlineStr">
        <is>
          <t>IPH — Institute of Public Health</t>
        </is>
      </c>
      <c r="O3462" s="256" t="inlineStr">
        <is>
          <t>26.08.2026</t>
        </is>
      </c>
      <c r="P3462" s="256" t="inlineStr">
        <is>
          <t>covered</t>
        </is>
      </c>
      <c r="Q3462" s="256" t="inlineStr"/>
      <c r="R3462" s="256" t="inlineStr"/>
    </row>
    <row r="3463">
      <c r="A3463" s="256" t="inlineStr">
        <is>
          <t>CoQ-PP_26-151</t>
        </is>
      </c>
      <c r="B3463" s="256" t="inlineStr">
        <is>
          <t>reissue — retest</t>
        </is>
      </c>
      <c r="C3463" s="256" t="inlineStr">
        <is>
          <t>GP0824_01</t>
        </is>
      </c>
      <c r="D3463" s="256" t="inlineStr">
        <is>
          <t>P050102</t>
        </is>
      </c>
      <c r="E3463" s="256" t="inlineStr">
        <is>
          <t>Grape Pie</t>
        </is>
      </c>
      <c r="F3463" s="256" t="inlineStr">
        <is>
          <t>21.09.2026</t>
        </is>
      </c>
      <c r="G3463" s="256" t="inlineStr">
        <is>
          <t>9.4</t>
        </is>
      </c>
      <c r="H3463" s="256" t="inlineStr">
        <is>
          <t>Salmonella</t>
        </is>
      </c>
      <c r="I3463" s="256" t="inlineStr">
        <is>
          <t>Ph. Eur. 2.6.31 cat. C</t>
        </is>
      </c>
      <c r="J3463" s="256" t="inlineStr">
        <is>
          <t>Absence | Отсуство / 25 g</t>
        </is>
      </c>
      <c r="K3463" s="256" t="inlineStr">
        <is>
          <t>Absent | Отсутна</t>
        </is>
      </c>
      <c r="L3463" s="256" t="inlineStr">
        <is>
          <t>562/1093/26</t>
        </is>
      </c>
      <c r="M3463" s="256" t="inlineStr">
        <is>
          <t>01.09.2026</t>
        </is>
      </c>
      <c r="N3463" s="256" t="inlineStr">
        <is>
          <t>IPH — Institute of Public Health</t>
        </is>
      </c>
      <c r="O3463" s="256" t="inlineStr">
        <is>
          <t>26.08.2026</t>
        </is>
      </c>
      <c r="P3463" s="256" t="inlineStr">
        <is>
          <t>covered</t>
        </is>
      </c>
      <c r="Q3463" s="256" t="inlineStr"/>
      <c r="R3463" s="256" t="inlineStr"/>
    </row>
    <row r="3464">
      <c r="A3464" s="256" t="inlineStr">
        <is>
          <t>CoQ-PP_26-151</t>
        </is>
      </c>
      <c r="B3464" s="256" t="inlineStr">
        <is>
          <t>reissue — retest</t>
        </is>
      </c>
      <c r="C3464" s="256" t="inlineStr">
        <is>
          <t>GP0824_01</t>
        </is>
      </c>
      <c r="D3464" s="256" t="inlineStr">
        <is>
          <t>P050102</t>
        </is>
      </c>
      <c r="E3464" s="256" t="inlineStr">
        <is>
          <t>Grape Pie</t>
        </is>
      </c>
      <c r="F3464" s="256" t="inlineStr">
        <is>
          <t>21.09.2026</t>
        </is>
      </c>
      <c r="G3464" s="256" t="inlineStr">
        <is>
          <t>9.5</t>
        </is>
      </c>
      <c r="H3464" s="256" t="inlineStr">
        <is>
          <t>Escherichia coli</t>
        </is>
      </c>
      <c r="I3464" s="256" t="inlineStr">
        <is>
          <t>Ph. Eur. 2.6.13 cat. C</t>
        </is>
      </c>
      <c r="J3464" s="256" t="inlineStr">
        <is>
          <t>Absence | Отсуство / 1 g</t>
        </is>
      </c>
      <c r="K3464" s="256" t="inlineStr">
        <is>
          <t>Absent | Отсутна</t>
        </is>
      </c>
      <c r="L3464" s="256" t="inlineStr">
        <is>
          <t>562/1093/26</t>
        </is>
      </c>
      <c r="M3464" s="256" t="inlineStr">
        <is>
          <t>01.09.2026</t>
        </is>
      </c>
      <c r="N3464" s="256" t="inlineStr">
        <is>
          <t>IPH — Institute of Public Health</t>
        </is>
      </c>
      <c r="O3464" s="256" t="inlineStr">
        <is>
          <t>26.08.2026</t>
        </is>
      </c>
      <c r="P3464" s="256" t="inlineStr">
        <is>
          <t>covered</t>
        </is>
      </c>
      <c r="Q3464" s="256" t="inlineStr"/>
      <c r="R3464" s="256" t="inlineStr"/>
    </row>
    <row r="3465">
      <c r="A3465" s="256" t="inlineStr">
        <is>
          <t>CoQ-PP_26-151</t>
        </is>
      </c>
      <c r="B3465" s="256" t="inlineStr">
        <is>
          <t>reissue — retest</t>
        </is>
      </c>
      <c r="C3465" s="256" t="inlineStr">
        <is>
          <t>GP0824_01</t>
        </is>
      </c>
      <c r="D3465" s="256" t="inlineStr">
        <is>
          <t>P050102</t>
        </is>
      </c>
      <c r="E3465" s="256" t="inlineStr">
        <is>
          <t>Grape Pie</t>
        </is>
      </c>
      <c r="F3465" s="256" t="inlineStr">
        <is>
          <t>21.09.2026</t>
        </is>
      </c>
      <c r="G3465" s="256" t="inlineStr">
        <is>
          <t>9.6</t>
        </is>
      </c>
      <c r="H3465" s="256" t="inlineStr">
        <is>
          <t>Pseudomonas aeruginosa</t>
        </is>
      </c>
      <c r="I3465" s="256" t="inlineStr">
        <is>
          <t>Ph. Eur. 2.6.13 cat. C</t>
        </is>
      </c>
      <c r="J3465" s="256" t="inlineStr">
        <is>
          <t>Absence | Отсуство / 1 g</t>
        </is>
      </c>
      <c r="K3465" s="260" t="inlineStr">
        <is>
          <t>upon request — not required for release</t>
        </is>
      </c>
      <c r="L3465" s="256" t="inlineStr">
        <is>
          <t>—</t>
        </is>
      </c>
      <c r="M3465" s="256" t="inlineStr">
        <is>
          <t>—</t>
        </is>
      </c>
      <c r="N3465" s="256" t="inlineStr">
        <is>
          <t>—</t>
        </is>
      </c>
      <c r="O3465" s="256" t="inlineStr">
        <is>
          <t>—</t>
        </is>
      </c>
      <c r="P3465" s="256" t="inlineStr">
        <is>
          <t>upon request — not required for release</t>
        </is>
      </c>
      <c r="Q3465" s="256" t="inlineStr"/>
      <c r="R3465" s="256" t="inlineStr"/>
    </row>
    <row r="3466">
      <c r="A3466" s="256" t="inlineStr">
        <is>
          <t>CoQ-PP_26-151</t>
        </is>
      </c>
      <c r="B3466" s="256" t="inlineStr">
        <is>
          <t>reissue — retest</t>
        </is>
      </c>
      <c r="C3466" s="256" t="inlineStr">
        <is>
          <t>GP0824_01</t>
        </is>
      </c>
      <c r="D3466" s="256" t="inlineStr">
        <is>
          <t>P050102</t>
        </is>
      </c>
      <c r="E3466" s="256" t="inlineStr">
        <is>
          <t>Grape Pie</t>
        </is>
      </c>
      <c r="F3466" s="256" t="inlineStr">
        <is>
          <t>21.09.2026</t>
        </is>
      </c>
      <c r="G3466" s="256" t="inlineStr">
        <is>
          <t>9.7</t>
        </is>
      </c>
      <c r="H3466" s="256" t="inlineStr">
        <is>
          <t>Staphylococcus aureus</t>
        </is>
      </c>
      <c r="I3466" s="256" t="inlineStr">
        <is>
          <t>Ph. Eur. 2.6.13 cat. C</t>
        </is>
      </c>
      <c r="J3466" s="256" t="inlineStr">
        <is>
          <t>Absence | Отсуство / 1 g</t>
        </is>
      </c>
      <c r="K3466" s="260" t="inlineStr">
        <is>
          <t>upon request — not required for release</t>
        </is>
      </c>
      <c r="L3466" s="256" t="inlineStr">
        <is>
          <t>—</t>
        </is>
      </c>
      <c r="M3466" s="256" t="inlineStr">
        <is>
          <t>—</t>
        </is>
      </c>
      <c r="N3466" s="256" t="inlineStr">
        <is>
          <t>—</t>
        </is>
      </c>
      <c r="O3466" s="256" t="inlineStr">
        <is>
          <t>—</t>
        </is>
      </c>
      <c r="P3466" s="256" t="inlineStr">
        <is>
          <t>upon request — not required for release</t>
        </is>
      </c>
      <c r="Q3466" s="256" t="inlineStr"/>
      <c r="R3466" s="256" t="inlineStr"/>
    </row>
    <row r="3467">
      <c r="A3467" s="256" t="inlineStr">
        <is>
          <t>CoQ-PP_26-151</t>
        </is>
      </c>
      <c r="B3467" s="256" t="inlineStr">
        <is>
          <t>reissue — retest</t>
        </is>
      </c>
      <c r="C3467" s="256" t="inlineStr">
        <is>
          <t>GP0824_01</t>
        </is>
      </c>
      <c r="D3467" s="256" t="inlineStr">
        <is>
          <t>P050102</t>
        </is>
      </c>
      <c r="E3467" s="256" t="inlineStr">
        <is>
          <t>Grape Pie</t>
        </is>
      </c>
      <c r="F3467" s="256" t="inlineStr">
        <is>
          <t>21.09.2026</t>
        </is>
      </c>
      <c r="G3467" s="256" t="inlineStr">
        <is>
          <t>10.1</t>
        </is>
      </c>
      <c r="H3467" s="256" t="inlineStr">
        <is>
          <t>Aflatoxin B₁</t>
        </is>
      </c>
      <c r="I3467" s="256" t="inlineStr">
        <is>
          <t>Ph. Eur. 2.8.18 (HPLC-FLD)</t>
        </is>
      </c>
      <c r="J3467" s="256" t="inlineStr">
        <is>
          <t>≤ 2 µg/kg</t>
        </is>
      </c>
      <c r="K3467" s="256" t="inlineStr">
        <is>
          <t>ND</t>
        </is>
      </c>
      <c r="L3467" s="256" t="inlineStr">
        <is>
          <t>227-2-М/26</t>
        </is>
      </c>
      <c r="M3467" s="256" t="inlineStr">
        <is>
          <t>16.09.2026</t>
        </is>
      </c>
      <c r="N3467" s="256" t="inlineStr">
        <is>
          <t>Farmahem</t>
        </is>
      </c>
      <c r="O3467" s="256" t="inlineStr">
        <is>
          <t>—</t>
        </is>
      </c>
      <c r="P3467" s="256" t="inlineStr">
        <is>
          <t>covered</t>
        </is>
      </c>
      <c r="Q3467" s="256" t="inlineStr"/>
      <c r="R3467" s="256" t="inlineStr"/>
    </row>
    <row r="3468">
      <c r="A3468" s="256" t="inlineStr">
        <is>
          <t>CoQ-PP_26-151</t>
        </is>
      </c>
      <c r="B3468" s="256" t="inlineStr">
        <is>
          <t>reissue — retest</t>
        </is>
      </c>
      <c r="C3468" s="256" t="inlineStr">
        <is>
          <t>GP0824_01</t>
        </is>
      </c>
      <c r="D3468" s="256" t="inlineStr">
        <is>
          <t>P050102</t>
        </is>
      </c>
      <c r="E3468" s="256" t="inlineStr">
        <is>
          <t>Grape Pie</t>
        </is>
      </c>
      <c r="F3468" s="256" t="inlineStr">
        <is>
          <t>21.09.2026</t>
        </is>
      </c>
      <c r="G3468" s="256" t="inlineStr">
        <is>
          <t>10.2</t>
        </is>
      </c>
      <c r="H3468" s="256" t="inlineStr">
        <is>
          <t>Aflatoxins ∑</t>
        </is>
      </c>
      <c r="I3468" s="256" t="inlineStr">
        <is>
          <t>Ph. Eur. 2.8.18 (HPLC-FLD)</t>
        </is>
      </c>
      <c r="J3468" s="256" t="inlineStr">
        <is>
          <t>≤ 4 µg/kg</t>
        </is>
      </c>
      <c r="K3468" s="256" t="inlineStr">
        <is>
          <t>ND</t>
        </is>
      </c>
      <c r="L3468" s="256" t="inlineStr">
        <is>
          <t>227-2-М/26</t>
        </is>
      </c>
      <c r="M3468" s="256" t="inlineStr">
        <is>
          <t>16.09.2026</t>
        </is>
      </c>
      <c r="N3468" s="256" t="inlineStr">
        <is>
          <t>Farmahem</t>
        </is>
      </c>
      <c r="O3468" s="256" t="inlineStr">
        <is>
          <t>—</t>
        </is>
      </c>
      <c r="P3468" s="256" t="inlineStr">
        <is>
          <t>carried from the initial testing (the batch's initial CoQ (number assigned on issue)) — covered</t>
        </is>
      </c>
      <c r="Q3468" s="256" t="inlineStr"/>
      <c r="R3468" s="256" t="inlineStr"/>
    </row>
    <row r="3469">
      <c r="A3469" s="256" t="inlineStr">
        <is>
          <t>CoQ-PP_26-151</t>
        </is>
      </c>
      <c r="B3469" s="256" t="inlineStr">
        <is>
          <t>reissue — retest</t>
        </is>
      </c>
      <c r="C3469" s="256" t="inlineStr">
        <is>
          <t>GP0824_01</t>
        </is>
      </c>
      <c r="D3469" s="256" t="inlineStr">
        <is>
          <t>P050102</t>
        </is>
      </c>
      <c r="E3469" s="256" t="inlineStr">
        <is>
          <t>Grape Pie</t>
        </is>
      </c>
      <c r="F3469" s="256" t="inlineStr">
        <is>
          <t>21.09.2026</t>
        </is>
      </c>
      <c r="G3469" s="256" t="inlineStr">
        <is>
          <t>10.3</t>
        </is>
      </c>
      <c r="H3469" s="256" t="inlineStr">
        <is>
          <t>Ochratoxin A</t>
        </is>
      </c>
      <c r="I3469" s="256" t="inlineStr">
        <is>
          <t>Ph. Eur. 2.8.22 (HPLC-FLD)</t>
        </is>
      </c>
      <c r="J3469" s="256" t="inlineStr">
        <is>
          <t>≤ 20 µg/kg</t>
        </is>
      </c>
      <c r="K3469" s="256" t="inlineStr">
        <is>
          <t>ND</t>
        </is>
      </c>
      <c r="L3469" s="256" t="inlineStr">
        <is>
          <t>227-2-М/26</t>
        </is>
      </c>
      <c r="M3469" s="256" t="inlineStr">
        <is>
          <t>16.09.2026</t>
        </is>
      </c>
      <c r="N3469" s="256" t="inlineStr">
        <is>
          <t>Farmahem</t>
        </is>
      </c>
      <c r="O3469" s="256" t="inlineStr">
        <is>
          <t>—</t>
        </is>
      </c>
      <c r="P3469" s="256" t="inlineStr">
        <is>
          <t>covered</t>
        </is>
      </c>
      <c r="Q3469" s="256" t="inlineStr"/>
      <c r="R3469" s="256" t="inlineStr"/>
    </row>
    <row r="3470">
      <c r="A3470" s="256" t="inlineStr">
        <is>
          <t>CoQ-PP_26-151</t>
        </is>
      </c>
      <c r="B3470" s="256" t="inlineStr">
        <is>
          <t>reissue — retest</t>
        </is>
      </c>
      <c r="C3470" s="256" t="inlineStr">
        <is>
          <t>GP0824_01</t>
        </is>
      </c>
      <c r="D3470" s="256" t="inlineStr">
        <is>
          <t>P050102</t>
        </is>
      </c>
      <c r="E3470" s="256" t="inlineStr">
        <is>
          <t>Grape Pie</t>
        </is>
      </c>
      <c r="F3470" s="256" t="inlineStr">
        <is>
          <t>21.09.2026</t>
        </is>
      </c>
      <c r="G3470" s="256" t="inlineStr">
        <is>
          <t>11.1</t>
        </is>
      </c>
      <c r="H3470" s="256" t="inlineStr">
        <is>
          <t>Lead (Pb)</t>
        </is>
      </c>
      <c r="I3470" s="256" t="inlineStr">
        <is>
          <t>Ph. Eur. 2.4.27 (ICP-MS)</t>
        </is>
      </c>
      <c r="J3470" s="256" t="inlineStr">
        <is>
          <t>≤ 0.5 mg/kg</t>
        </is>
      </c>
      <c r="K3470" s="256" t="inlineStr">
        <is>
          <t>0.026</t>
        </is>
      </c>
      <c r="L3470" s="256" t="inlineStr">
        <is>
          <t>1767/2025</t>
        </is>
      </c>
      <c r="M3470" s="256" t="inlineStr">
        <is>
          <t>11.04.2025</t>
        </is>
      </c>
      <c r="N3470" s="256" t="inlineStr">
        <is>
          <t>IPH — Institute of Public Health</t>
        </is>
      </c>
      <c r="O3470" s="256" t="inlineStr">
        <is>
          <t>08.04.2025</t>
        </is>
      </c>
      <c r="P3470" s="256" t="inlineStr">
        <is>
          <t>carried from the initial testing (the batch's initial CoQ (number assigned on issue)) — covered</t>
        </is>
      </c>
      <c r="Q3470" s="256" t="inlineStr"/>
      <c r="R3470" s="256" t="inlineStr"/>
    </row>
    <row r="3471">
      <c r="A3471" s="256" t="inlineStr">
        <is>
          <t>CoQ-PP_26-151</t>
        </is>
      </c>
      <c r="B3471" s="256" t="inlineStr">
        <is>
          <t>reissue — retest</t>
        </is>
      </c>
      <c r="C3471" s="256" t="inlineStr">
        <is>
          <t>GP0824_01</t>
        </is>
      </c>
      <c r="D3471" s="256" t="inlineStr">
        <is>
          <t>P050102</t>
        </is>
      </c>
      <c r="E3471" s="256" t="inlineStr">
        <is>
          <t>Grape Pie</t>
        </is>
      </c>
      <c r="F3471" s="256" t="inlineStr">
        <is>
          <t>21.09.2026</t>
        </is>
      </c>
      <c r="G3471" s="256" t="inlineStr">
        <is>
          <t>11.2</t>
        </is>
      </c>
      <c r="H3471" s="256" t="inlineStr">
        <is>
          <t>Cadmium (Cd)</t>
        </is>
      </c>
      <c r="I3471" s="256" t="inlineStr">
        <is>
          <t>Ph. Eur. 2.4.27 (ICP-MS)</t>
        </is>
      </c>
      <c r="J3471" s="256" t="inlineStr">
        <is>
          <t>≤ 0.3 mg/kg</t>
        </is>
      </c>
      <c r="K3471" s="256" t="inlineStr">
        <is>
          <t>0.005</t>
        </is>
      </c>
      <c r="L3471" s="256" t="inlineStr">
        <is>
          <t>1767/2025</t>
        </is>
      </c>
      <c r="M3471" s="256" t="inlineStr">
        <is>
          <t>11.04.2025</t>
        </is>
      </c>
      <c r="N3471" s="256" t="inlineStr">
        <is>
          <t>IPH — Institute of Public Health</t>
        </is>
      </c>
      <c r="O3471" s="256" t="inlineStr">
        <is>
          <t>08.04.2025</t>
        </is>
      </c>
      <c r="P3471" s="256" t="inlineStr">
        <is>
          <t>carried from the initial testing (the batch's initial CoQ (number assigned on issue)) — covered</t>
        </is>
      </c>
      <c r="Q3471" s="256" t="inlineStr"/>
      <c r="R3471" s="256" t="inlineStr"/>
    </row>
    <row r="3472">
      <c r="A3472" s="256" t="inlineStr">
        <is>
          <t>CoQ-PP_26-151</t>
        </is>
      </c>
      <c r="B3472" s="256" t="inlineStr">
        <is>
          <t>reissue — retest</t>
        </is>
      </c>
      <c r="C3472" s="256" t="inlineStr">
        <is>
          <t>GP0824_01</t>
        </is>
      </c>
      <c r="D3472" s="256" t="inlineStr">
        <is>
          <t>P050102</t>
        </is>
      </c>
      <c r="E3472" s="256" t="inlineStr">
        <is>
          <t>Grape Pie</t>
        </is>
      </c>
      <c r="F3472" s="256" t="inlineStr">
        <is>
          <t>21.09.2026</t>
        </is>
      </c>
      <c r="G3472" s="256" t="inlineStr">
        <is>
          <t>11.3</t>
        </is>
      </c>
      <c r="H3472" s="256" t="inlineStr">
        <is>
          <t>Arsenic (As)</t>
        </is>
      </c>
      <c r="I3472" s="256" t="inlineStr">
        <is>
          <t>Ph. Eur. 2.4.27 (ICP-MS)</t>
        </is>
      </c>
      <c r="J3472" s="256" t="inlineStr">
        <is>
          <t>≤ 0.2 mg/kg</t>
        </is>
      </c>
      <c r="K3472" s="256" t="inlineStr">
        <is>
          <t>0.015</t>
        </is>
      </c>
      <c r="L3472" s="256" t="inlineStr">
        <is>
          <t>1767/2025</t>
        </is>
      </c>
      <c r="M3472" s="256" t="inlineStr">
        <is>
          <t>11.04.2025</t>
        </is>
      </c>
      <c r="N3472" s="256" t="inlineStr">
        <is>
          <t>IPH — Institute of Public Health</t>
        </is>
      </c>
      <c r="O3472" s="256" t="inlineStr">
        <is>
          <t>08.04.2025</t>
        </is>
      </c>
      <c r="P3472" s="256" t="inlineStr">
        <is>
          <t>carried from the initial testing (the batch's initial CoQ (number assigned on issue)) — covered</t>
        </is>
      </c>
      <c r="Q3472" s="256" t="inlineStr"/>
      <c r="R3472" s="256" t="inlineStr"/>
    </row>
    <row r="3473">
      <c r="A3473" s="256" t="inlineStr">
        <is>
          <t>CoQ-PP_26-151</t>
        </is>
      </c>
      <c r="B3473" s="256" t="inlineStr">
        <is>
          <t>reissue — retest</t>
        </is>
      </c>
      <c r="C3473" s="256" t="inlineStr">
        <is>
          <t>GP0824_01</t>
        </is>
      </c>
      <c r="D3473" s="256" t="inlineStr">
        <is>
          <t>P050102</t>
        </is>
      </c>
      <c r="E3473" s="256" t="inlineStr">
        <is>
          <t>Grape Pie</t>
        </is>
      </c>
      <c r="F3473" s="256" t="inlineStr">
        <is>
          <t>21.09.2026</t>
        </is>
      </c>
      <c r="G3473" s="256" t="inlineStr">
        <is>
          <t>11.4</t>
        </is>
      </c>
      <c r="H3473" s="256" t="inlineStr">
        <is>
          <t>Mercury (Hg)</t>
        </is>
      </c>
      <c r="I3473" s="256" t="inlineStr">
        <is>
          <t>Ph. Eur. 2.4.27 (ICP-MS)</t>
        </is>
      </c>
      <c r="J3473" s="256" t="inlineStr">
        <is>
          <t>≤ 0.1 mg/kg</t>
        </is>
      </c>
      <c r="K3473" s="256" t="inlineStr">
        <is>
          <t>0.005</t>
        </is>
      </c>
      <c r="L3473" s="256" t="inlineStr">
        <is>
          <t>1767/2025</t>
        </is>
      </c>
      <c r="M3473" s="256" t="inlineStr">
        <is>
          <t>11.04.2025</t>
        </is>
      </c>
      <c r="N3473" s="256" t="inlineStr">
        <is>
          <t>IPH — Institute of Public Health</t>
        </is>
      </c>
      <c r="O3473" s="256" t="inlineStr">
        <is>
          <t>08.04.2025</t>
        </is>
      </c>
      <c r="P3473" s="256" t="inlineStr">
        <is>
          <t>carried from the initial testing (the batch's initial CoQ (number assigned on issue)) — covered</t>
        </is>
      </c>
      <c r="Q3473" s="256" t="inlineStr"/>
      <c r="R3473" s="256" t="inlineStr"/>
    </row>
    <row r="3474">
      <c r="A3474" s="256" t="inlineStr">
        <is>
          <t>CoQ-PP_26-151</t>
        </is>
      </c>
      <c r="B3474" s="256" t="inlineStr">
        <is>
          <t>reissue — retest</t>
        </is>
      </c>
      <c r="C3474" s="256" t="inlineStr">
        <is>
          <t>GP0824_01</t>
        </is>
      </c>
      <c r="D3474" s="256" t="inlineStr">
        <is>
          <t>P050102</t>
        </is>
      </c>
      <c r="E3474" s="256" t="inlineStr">
        <is>
          <t>Grape Pie</t>
        </is>
      </c>
      <c r="F3474" s="256" t="inlineStr">
        <is>
          <t>21.09.2026</t>
        </is>
      </c>
      <c r="G3474" s="256" t="inlineStr">
        <is>
          <t>12</t>
        </is>
      </c>
      <c r="H3474" s="256" t="inlineStr">
        <is>
          <t>Pesticide Residues</t>
        </is>
      </c>
      <c r="I3474" s="256" t="inlineStr">
        <is>
          <t>Ph. Eur. 2.8.13 (LC-MS/MS) · CUMCS Equivalency</t>
        </is>
      </c>
      <c r="J3474" s="256" t="inlineStr">
        <is>
          <t>≤ LOQ as per Ph. Eur. 2.8.13 · ≤ LOQ as per CUMCS Equivalency</t>
        </is>
      </c>
      <c r="K3474" s="256" t="inlineStr">
        <is>
          <t>ND</t>
        </is>
      </c>
      <c r="L3474" s="256" t="inlineStr">
        <is>
          <t>1767/2025</t>
        </is>
      </c>
      <c r="M3474" s="256" t="inlineStr">
        <is>
          <t>11.04.2025</t>
        </is>
      </c>
      <c r="N3474" s="256" t="inlineStr">
        <is>
          <t>IPH — Institute of Public Health</t>
        </is>
      </c>
      <c r="O3474" s="256" t="inlineStr">
        <is>
          <t>08.04.2025</t>
        </is>
      </c>
      <c r="P3474" s="256" t="inlineStr">
        <is>
          <t>carried from the initial testing (the batch's initial CoQ (number assigned on issue)) — covered</t>
        </is>
      </c>
      <c r="Q3474" s="256" t="inlineStr"/>
      <c r="R3474" s="256" t="inlineStr"/>
    </row>
    <row r="3475">
      <c r="A3475" s="256" t="inlineStr">
        <is>
          <t>CoQ-PP_26-152</t>
        </is>
      </c>
      <c r="B3475" s="256" t="inlineStr">
        <is>
          <t>reissue — retest</t>
        </is>
      </c>
      <c r="C3475" s="256" t="inlineStr">
        <is>
          <t>GRC102501/1</t>
        </is>
      </c>
      <c r="D3475" s="256" t="inlineStr">
        <is>
          <t>P060142</t>
        </is>
      </c>
      <c r="E3475" s="256" t="inlineStr">
        <is>
          <t>Grapes And Cream</t>
        </is>
      </c>
      <c r="F3475" s="256" t="inlineStr">
        <is>
          <t>21.09.2026</t>
        </is>
      </c>
      <c r="G3475" s="256" t="inlineStr">
        <is>
          <t>1</t>
        </is>
      </c>
      <c r="H3475" s="256" t="inlineStr">
        <is>
          <t>Identification A, Appearance · Macroscopic</t>
        </is>
      </c>
      <c r="I3475" s="256" t="inlineStr">
        <is>
          <t>Ph. Eur. mon. 3028</t>
        </is>
      </c>
      <c r="J3475" s="256" t="inlineStr">
        <is>
          <t>Conforms to the monograph for Cannabis flos (07/2024:3028) in Ph. Eur. 11.0 | Согласно монографија за Cannabis flos (07/2024:3028) во Ph. Eur. 11.0</t>
        </is>
      </c>
      <c r="K3475" s="256" t="inlineStr">
        <is>
          <t>Conforms | Одговара</t>
        </is>
      </c>
      <c r="L3475" s="256" t="inlineStr">
        <is>
          <t>iCoA-PP_26-169</t>
        </is>
      </c>
      <c r="M3475" s="256" t="inlineStr">
        <is>
          <t>24.08.2026</t>
        </is>
      </c>
      <c r="N3475" s="256" t="inlineStr">
        <is>
          <t>Purely Plant GmbH (in-house)</t>
        </is>
      </c>
      <c r="O3475" s="256" t="inlineStr">
        <is>
          <t>—</t>
        </is>
      </c>
      <c r="P3475" s="256" t="inlineStr">
        <is>
          <t>to be performed — see route</t>
        </is>
      </c>
      <c r="Q3475" s="256" t="inlineStr">
        <is>
          <t>Farmahem — Ident A + B + C with the Assay, at retest</t>
        </is>
      </c>
      <c r="R3475" s="256" t="inlineStr"/>
    </row>
    <row r="3476">
      <c r="A3476" s="256" t="inlineStr">
        <is>
          <t>CoQ-PP_26-152</t>
        </is>
      </c>
      <c r="B3476" s="256" t="inlineStr">
        <is>
          <t>reissue — retest</t>
        </is>
      </c>
      <c r="C3476" s="256" t="inlineStr">
        <is>
          <t>GRC102501/1</t>
        </is>
      </c>
      <c r="D3476" s="256" t="inlineStr">
        <is>
          <t>P060142</t>
        </is>
      </c>
      <c r="E3476" s="256" t="inlineStr">
        <is>
          <t>Grapes And Cream</t>
        </is>
      </c>
      <c r="F3476" s="256" t="inlineStr">
        <is>
          <t>21.09.2026</t>
        </is>
      </c>
      <c r="G3476" s="256" t="inlineStr">
        <is>
          <t>2</t>
        </is>
      </c>
      <c r="H3476" s="256" t="inlineStr">
        <is>
          <t>Identification B · Microscopic</t>
        </is>
      </c>
      <c r="I3476" s="256" t="inlineStr">
        <is>
          <t>Ph. Eur. 2.8.23 (microscopy)</t>
        </is>
      </c>
      <c r="J3476" s="256" t="inlineStr">
        <is>
          <t>Conforms to the monograph for Cannabis flos (07/2024:3028) in Ph. Eur. 11.0 | Согласно монографија за Cannabis flos (07/2024:3028) во Ph. Eur. 11.0</t>
        </is>
      </c>
      <c r="K3476" s="256" t="inlineStr">
        <is>
          <t>Conforms | Одговара</t>
        </is>
      </c>
      <c r="L3476" s="256" t="inlineStr">
        <is>
          <t>iCoA-PP_26-169</t>
        </is>
      </c>
      <c r="M3476" s="256" t="inlineStr">
        <is>
          <t>24.08.2026</t>
        </is>
      </c>
      <c r="N3476" s="256" t="inlineStr">
        <is>
          <t>Purely Plant GmbH (in-house)</t>
        </is>
      </c>
      <c r="O3476" s="256" t="inlineStr">
        <is>
          <t>—</t>
        </is>
      </c>
      <c r="P3476" s="256" t="inlineStr">
        <is>
          <t>to be performed — see route</t>
        </is>
      </c>
      <c r="Q3476" s="256" t="inlineStr">
        <is>
          <t>Farmahem — Ident A + B + C with the Assay, at retest</t>
        </is>
      </c>
      <c r="R3476" s="256" t="inlineStr"/>
    </row>
    <row r="3477">
      <c r="A3477" s="256" t="inlineStr">
        <is>
          <t>CoQ-PP_26-152</t>
        </is>
      </c>
      <c r="B3477" s="256" t="inlineStr">
        <is>
          <t>reissue — retest</t>
        </is>
      </c>
      <c r="C3477" s="256" t="inlineStr">
        <is>
          <t>GRC102501/1</t>
        </is>
      </c>
      <c r="D3477" s="256" t="inlineStr">
        <is>
          <t>P060142</t>
        </is>
      </c>
      <c r="E3477" s="256" t="inlineStr">
        <is>
          <t>Grapes And Cream</t>
        </is>
      </c>
      <c r="F3477" s="256" t="inlineStr">
        <is>
          <t>21.09.2026</t>
        </is>
      </c>
      <c r="G3477" s="256" t="inlineStr">
        <is>
          <t>3</t>
        </is>
      </c>
      <c r="H3477" s="256" t="inlineStr">
        <is>
          <t>Identification C · HPLC/HPTLC</t>
        </is>
      </c>
      <c r="I3477" s="256" t="inlineStr">
        <is>
          <t>Ph. Eur. 2.2.29 (3028)</t>
        </is>
      </c>
      <c r="J3477" s="256" t="inlineStr">
        <is>
          <t>Conforms to the monograph for Cannabis flos (07/2024:3028) in Ph. Eur. 11.0 | Согласно монографија за Cannabis flos (07/2024:3028) во Ph. Eur. 11.0</t>
        </is>
      </c>
      <c r="K3477" s="256" t="inlineStr">
        <is>
          <t>Conforms | Одговара</t>
        </is>
      </c>
      <c r="L3477" s="256" t="inlineStr">
        <is>
          <t>227-16-К/26</t>
        </is>
      </c>
      <c r="M3477" s="256" t="inlineStr">
        <is>
          <t>11.09.2026</t>
        </is>
      </c>
      <c r="N3477" s="256" t="inlineStr">
        <is>
          <t>Farmahem</t>
        </is>
      </c>
      <c r="O3477" s="256" t="inlineStr">
        <is>
          <t>24.08.2026</t>
        </is>
      </c>
      <c r="P3477" s="256" t="inlineStr">
        <is>
          <t>covered</t>
        </is>
      </c>
      <c r="Q3477" s="256" t="inlineStr"/>
      <c r="R3477" s="256" t="inlineStr"/>
    </row>
    <row r="3478">
      <c r="A3478" s="256" t="inlineStr">
        <is>
          <t>CoQ-PP_26-152</t>
        </is>
      </c>
      <c r="B3478" s="256" t="inlineStr">
        <is>
          <t>reissue — retest</t>
        </is>
      </c>
      <c r="C3478" s="256" t="inlineStr">
        <is>
          <t>GRC102501/1</t>
        </is>
      </c>
      <c r="D3478" s="256" t="inlineStr">
        <is>
          <t>P060142</t>
        </is>
      </c>
      <c r="E3478" s="256" t="inlineStr">
        <is>
          <t>Grapes And Cream</t>
        </is>
      </c>
      <c r="F3478" s="256" t="inlineStr">
        <is>
          <t>21.09.2026</t>
        </is>
      </c>
      <c r="G3478" s="256" t="inlineStr">
        <is>
          <t>4</t>
        </is>
      </c>
      <c r="H3478" s="256" t="inlineStr">
        <is>
          <t>Assay — Total Δ⁹-THC</t>
        </is>
      </c>
      <c r="I3478" s="256" t="inlineStr">
        <is>
          <t>Ph. Eur. 2.2.29 (HPLC)</t>
        </is>
      </c>
      <c r="J3478" s="256" t="inlineStr">
        <is>
          <t>7.20 – 8.79 %  (grade III, nominal 8.00 ± 0.80)</t>
        </is>
      </c>
      <c r="K3478" s="256" t="inlineStr">
        <is>
          <t>7.50</t>
        </is>
      </c>
      <c r="L3478" s="256" t="inlineStr">
        <is>
          <t>227-16-К/26</t>
        </is>
      </c>
      <c r="M3478" s="256" t="inlineStr">
        <is>
          <t>11.09.2026</t>
        </is>
      </c>
      <c r="N3478" s="256" t="inlineStr">
        <is>
          <t>Farmahem</t>
        </is>
      </c>
      <c r="O3478" s="256" t="inlineStr">
        <is>
          <t>24.08.2026</t>
        </is>
      </c>
      <c r="P3478" s="256" t="inlineStr">
        <is>
          <t>covered</t>
        </is>
      </c>
      <c r="Q3478" s="256" t="inlineStr"/>
      <c r="R3478" s="256" t="inlineStr"/>
    </row>
    <row r="3479">
      <c r="A3479" s="256" t="inlineStr">
        <is>
          <t>CoQ-PP_26-152</t>
        </is>
      </c>
      <c r="B3479" s="256" t="inlineStr">
        <is>
          <t>reissue — retest</t>
        </is>
      </c>
      <c r="C3479" s="256" t="inlineStr">
        <is>
          <t>GRC102501/1</t>
        </is>
      </c>
      <c r="D3479" s="256" t="inlineStr">
        <is>
          <t>P060142</t>
        </is>
      </c>
      <c r="E3479" s="256" t="inlineStr">
        <is>
          <t>Grapes And Cream</t>
        </is>
      </c>
      <c r="F3479" s="256" t="inlineStr">
        <is>
          <t>21.09.2026</t>
        </is>
      </c>
      <c r="G3479" s="256" t="inlineStr">
        <is>
          <t>5</t>
        </is>
      </c>
      <c r="H3479" s="256" t="inlineStr">
        <is>
          <t>Assay — Total CBD</t>
        </is>
      </c>
      <c r="I3479" s="256" t="inlineStr">
        <is>
          <t>Ph. Eur. 2.2.29 (HPLC) · CBD + CBDA x 0.877</t>
        </is>
      </c>
      <c r="J3479" s="256" t="inlineStr">
        <is>
          <t>≤ 1.0%, w/w</t>
        </is>
      </c>
      <c r="K3479" s="256" t="inlineStr">
        <is>
          <t>&lt; LOQ</t>
        </is>
      </c>
      <c r="L3479" s="256" t="inlineStr">
        <is>
          <t>227-16-К/26</t>
        </is>
      </c>
      <c r="M3479" s="256" t="inlineStr">
        <is>
          <t>11.09.2026</t>
        </is>
      </c>
      <c r="N3479" s="256" t="inlineStr">
        <is>
          <t>Farmahem</t>
        </is>
      </c>
      <c r="O3479" s="256" t="inlineStr">
        <is>
          <t>24.08.2026</t>
        </is>
      </c>
      <c r="P3479" s="256" t="inlineStr">
        <is>
          <t>covered</t>
        </is>
      </c>
      <c r="Q3479" s="256" t="inlineStr"/>
      <c r="R3479" s="256" t="inlineStr"/>
    </row>
    <row r="3480">
      <c r="A3480" s="256" t="inlineStr">
        <is>
          <t>CoQ-PP_26-152</t>
        </is>
      </c>
      <c r="B3480" s="256" t="inlineStr">
        <is>
          <t>reissue — retest</t>
        </is>
      </c>
      <c r="C3480" s="256" t="inlineStr">
        <is>
          <t>GRC102501/1</t>
        </is>
      </c>
      <c r="D3480" s="256" t="inlineStr">
        <is>
          <t>P060142</t>
        </is>
      </c>
      <c r="E3480" s="256" t="inlineStr">
        <is>
          <t>Grapes And Cream</t>
        </is>
      </c>
      <c r="F3480" s="256" t="inlineStr">
        <is>
          <t>21.09.2026</t>
        </is>
      </c>
      <c r="G3480" s="256" t="inlineStr">
        <is>
          <t>6</t>
        </is>
      </c>
      <c r="H3480" s="256" t="inlineStr">
        <is>
          <t>Total CBN</t>
        </is>
      </c>
      <c r="I3480" s="256" t="inlineStr">
        <is>
          <t>Ph. Eur. 2.2.29 (HPLC) · CBN + CBNA x 0.876</t>
        </is>
      </c>
      <c r="J3480" s="256" t="inlineStr">
        <is>
          <t>≤ 1.0%, w/w</t>
        </is>
      </c>
      <c r="K3480" s="256" t="inlineStr">
        <is>
          <t>&lt; LOQ</t>
        </is>
      </c>
      <c r="L3480" s="256" t="inlineStr">
        <is>
          <t>227-16-К/26</t>
        </is>
      </c>
      <c r="M3480" s="256" t="inlineStr">
        <is>
          <t>11.09.2026</t>
        </is>
      </c>
      <c r="N3480" s="256" t="inlineStr">
        <is>
          <t>Farmahem</t>
        </is>
      </c>
      <c r="O3480" s="256" t="inlineStr">
        <is>
          <t>24.08.2026</t>
        </is>
      </c>
      <c r="P3480" s="256" t="inlineStr">
        <is>
          <t>covered</t>
        </is>
      </c>
      <c r="Q3480" s="256" t="inlineStr"/>
      <c r="R3480" s="256" t="inlineStr"/>
    </row>
    <row r="3481">
      <c r="A3481" s="256" t="inlineStr">
        <is>
          <t>CoQ-PP_26-152</t>
        </is>
      </c>
      <c r="B3481" s="256" t="inlineStr">
        <is>
          <t>reissue — retest</t>
        </is>
      </c>
      <c r="C3481" s="256" t="inlineStr">
        <is>
          <t>GRC102501/1</t>
        </is>
      </c>
      <c r="D3481" s="256" t="inlineStr">
        <is>
          <t>P060142</t>
        </is>
      </c>
      <c r="E3481" s="256" t="inlineStr">
        <is>
          <t>Grapes And Cream</t>
        </is>
      </c>
      <c r="F3481" s="256" t="inlineStr">
        <is>
          <t>21.09.2026</t>
        </is>
      </c>
      <c r="G3481" s="256" t="inlineStr">
        <is>
          <t>7</t>
        </is>
      </c>
      <c r="H3481" s="256" t="inlineStr">
        <is>
          <t>Foreign Matter</t>
        </is>
      </c>
      <c r="I3481" s="256" t="inlineStr">
        <is>
          <t>Ph. Eur. 2.8.2 · In-house · интерна</t>
        </is>
      </c>
      <c r="J3481" s="256" t="inlineStr">
        <is>
          <t>≤ 2.0% / 25–50 g · &lt; 1 cm leaves | листови, no seeds | без семки</t>
        </is>
      </c>
      <c r="K3481" s="256" t="inlineStr">
        <is>
          <t>Conforms | Одговара</t>
        </is>
      </c>
      <c r="L3481" s="256" t="inlineStr">
        <is>
          <t>iCoA-PP_26-169</t>
        </is>
      </c>
      <c r="M3481" s="256" t="inlineStr">
        <is>
          <t>24.08.2026</t>
        </is>
      </c>
      <c r="N3481" s="256" t="inlineStr">
        <is>
          <t>Purely Plant GmbH (in-house)</t>
        </is>
      </c>
      <c r="O3481" s="256" t="inlineStr">
        <is>
          <t>—</t>
        </is>
      </c>
      <c r="P3481" s="256" t="inlineStr">
        <is>
          <t>to be performed — see route</t>
        </is>
      </c>
      <c r="Q3481" s="256" t="inlineStr">
        <is>
          <t>Purely Plant laboratory — iCoA covering Foreign matter</t>
        </is>
      </c>
      <c r="R3481" s="256" t="inlineStr"/>
    </row>
    <row r="3482">
      <c r="A3482" s="256" t="inlineStr">
        <is>
          <t>CoQ-PP_26-152</t>
        </is>
      </c>
      <c r="B3482" s="256" t="inlineStr">
        <is>
          <t>reissue — retest</t>
        </is>
      </c>
      <c r="C3482" s="256" t="inlineStr">
        <is>
          <t>GRC102501/1</t>
        </is>
      </c>
      <c r="D3482" s="256" t="inlineStr">
        <is>
          <t>P060142</t>
        </is>
      </c>
      <c r="E3482" s="256" t="inlineStr">
        <is>
          <t>Grapes And Cream</t>
        </is>
      </c>
      <c r="F3482" s="256" t="inlineStr">
        <is>
          <t>21.09.2026</t>
        </is>
      </c>
      <c r="G3482" s="256" t="inlineStr">
        <is>
          <t>8</t>
        </is>
      </c>
      <c r="H3482" s="256" t="inlineStr">
        <is>
          <t>Loss on Drying</t>
        </is>
      </c>
      <c r="I3482" s="256" t="inlineStr">
        <is>
          <t>Ph. Eur. 2.2.32 (3028) · at 40 °C, 24 h, 15–25 mbar</t>
        </is>
      </c>
      <c r="J3482" s="256" t="inlineStr">
        <is>
          <t>≤ 12.0%</t>
        </is>
      </c>
      <c r="K3482" s="256" t="inlineStr">
        <is>
          <t>carried from the initial testing — not tested</t>
        </is>
      </c>
      <c r="L3482" s="256" t="inlineStr">
        <is>
          <t>—</t>
        </is>
      </c>
      <c r="M3482" s="256" t="inlineStr">
        <is>
          <t>—</t>
        </is>
      </c>
      <c r="N3482" s="256" t="inlineStr">
        <is>
          <t>—</t>
        </is>
      </c>
      <c r="O3482" s="256" t="inlineStr">
        <is>
          <t>—</t>
        </is>
      </c>
      <c r="P3482" s="256" t="inlineStr">
        <is>
          <t>carried from the initial testing (the batch's initial CoQ (number assigned on issue)) — not tested — no certificate covers it</t>
        </is>
      </c>
      <c r="Q3482" s="256" t="inlineStr"/>
      <c r="R3482" s="256" t="inlineStr"/>
    </row>
    <row r="3483">
      <c r="A3483" s="256" t="inlineStr">
        <is>
          <t>CoQ-PP_26-152</t>
        </is>
      </c>
      <c r="B3483" s="256" t="inlineStr">
        <is>
          <t>reissue — retest</t>
        </is>
      </c>
      <c r="C3483" s="256" t="inlineStr">
        <is>
          <t>GRC102501/1</t>
        </is>
      </c>
      <c r="D3483" s="256" t="inlineStr">
        <is>
          <t>P060142</t>
        </is>
      </c>
      <c r="E3483" s="256" t="inlineStr">
        <is>
          <t>Grapes And Cream</t>
        </is>
      </c>
      <c r="F3483" s="256" t="inlineStr">
        <is>
          <t>21.09.2026</t>
        </is>
      </c>
      <c r="G3483" s="256" t="inlineStr">
        <is>
          <t>9.1</t>
        </is>
      </c>
      <c r="H3483" s="256" t="inlineStr">
        <is>
          <t>TAMC</t>
        </is>
      </c>
      <c r="I3483" s="256" t="inlineStr">
        <is>
          <t>Ph. Eur. 2.6.12 cat. C</t>
        </is>
      </c>
      <c r="J3483" s="256" t="inlineStr">
        <is>
          <t>≤ 10⁵ CFU/g</t>
        </is>
      </c>
      <c r="K3483" s="256" t="inlineStr">
        <is>
          <t>10</t>
        </is>
      </c>
      <c r="L3483" s="256" t="inlineStr">
        <is>
          <t>550/1081/26</t>
        </is>
      </c>
      <c r="M3483" s="256" t="inlineStr">
        <is>
          <t>01.09.2026</t>
        </is>
      </c>
      <c r="N3483" s="256" t="inlineStr">
        <is>
          <t>IPH — Institute of Public Health</t>
        </is>
      </c>
      <c r="O3483" s="256" t="inlineStr">
        <is>
          <t>26.08.2026</t>
        </is>
      </c>
      <c r="P3483" s="256" t="inlineStr">
        <is>
          <t>covered</t>
        </is>
      </c>
      <c r="Q3483" s="256" t="inlineStr"/>
      <c r="R3483" s="256" t="inlineStr"/>
    </row>
    <row r="3484">
      <c r="A3484" s="256" t="inlineStr">
        <is>
          <t>CoQ-PP_26-152</t>
        </is>
      </c>
      <c r="B3484" s="256" t="inlineStr">
        <is>
          <t>reissue — retest</t>
        </is>
      </c>
      <c r="C3484" s="256" t="inlineStr">
        <is>
          <t>GRC102501/1</t>
        </is>
      </c>
      <c r="D3484" s="256" t="inlineStr">
        <is>
          <t>P060142</t>
        </is>
      </c>
      <c r="E3484" s="256" t="inlineStr">
        <is>
          <t>Grapes And Cream</t>
        </is>
      </c>
      <c r="F3484" s="256" t="inlineStr">
        <is>
          <t>21.09.2026</t>
        </is>
      </c>
      <c r="G3484" s="256" t="inlineStr">
        <is>
          <t>9.2</t>
        </is>
      </c>
      <c r="H3484" s="256" t="inlineStr">
        <is>
          <t>TYMC</t>
        </is>
      </c>
      <c r="I3484" s="256" t="inlineStr">
        <is>
          <t>Ph. Eur. 2.6.12 cat. C</t>
        </is>
      </c>
      <c r="J3484" s="256" t="inlineStr">
        <is>
          <t>≤ 10⁴ CFU/g</t>
        </is>
      </c>
      <c r="K3484" s="256" t="inlineStr">
        <is>
          <t>&lt; 10</t>
        </is>
      </c>
      <c r="L3484" s="256" t="inlineStr">
        <is>
          <t>550/1081/26</t>
        </is>
      </c>
      <c r="M3484" s="256" t="inlineStr">
        <is>
          <t>01.09.2026</t>
        </is>
      </c>
      <c r="N3484" s="256" t="inlineStr">
        <is>
          <t>IPH — Institute of Public Health</t>
        </is>
      </c>
      <c r="O3484" s="256" t="inlineStr">
        <is>
          <t>26.08.2026</t>
        </is>
      </c>
      <c r="P3484" s="256" t="inlineStr">
        <is>
          <t>covered</t>
        </is>
      </c>
      <c r="Q3484" s="256" t="inlineStr"/>
      <c r="R3484" s="256" t="inlineStr"/>
    </row>
    <row r="3485">
      <c r="A3485" s="256" t="inlineStr">
        <is>
          <t>CoQ-PP_26-152</t>
        </is>
      </c>
      <c r="B3485" s="256" t="inlineStr">
        <is>
          <t>reissue — retest</t>
        </is>
      </c>
      <c r="C3485" s="256" t="inlineStr">
        <is>
          <t>GRC102501/1</t>
        </is>
      </c>
      <c r="D3485" s="256" t="inlineStr">
        <is>
          <t>P060142</t>
        </is>
      </c>
      <c r="E3485" s="256" t="inlineStr">
        <is>
          <t>Grapes And Cream</t>
        </is>
      </c>
      <c r="F3485" s="256" t="inlineStr">
        <is>
          <t>21.09.2026</t>
        </is>
      </c>
      <c r="G3485" s="256" t="inlineStr">
        <is>
          <t>9.3</t>
        </is>
      </c>
      <c r="H3485" s="256" t="inlineStr">
        <is>
          <t>Bile-tolerant gram-neg.</t>
        </is>
      </c>
      <c r="I3485" s="256" t="inlineStr">
        <is>
          <t>Ph. Eur. 2.6.31 cat. C</t>
        </is>
      </c>
      <c r="J3485" s="256" t="inlineStr">
        <is>
          <t>≤ 10⁴ CFU/g</t>
        </is>
      </c>
      <c r="K3485" s="256" t="inlineStr">
        <is>
          <t>&lt; 10</t>
        </is>
      </c>
      <c r="L3485" s="256" t="inlineStr">
        <is>
          <t>550/1081/26</t>
        </is>
      </c>
      <c r="M3485" s="256" t="inlineStr">
        <is>
          <t>01.09.2026</t>
        </is>
      </c>
      <c r="N3485" s="256" t="inlineStr">
        <is>
          <t>IPH — Institute of Public Health</t>
        </is>
      </c>
      <c r="O3485" s="256" t="inlineStr">
        <is>
          <t>26.08.2026</t>
        </is>
      </c>
      <c r="P3485" s="256" t="inlineStr">
        <is>
          <t>covered</t>
        </is>
      </c>
      <c r="Q3485" s="256" t="inlineStr"/>
      <c r="R3485" s="256" t="inlineStr"/>
    </row>
    <row r="3486">
      <c r="A3486" s="256" t="inlineStr">
        <is>
          <t>CoQ-PP_26-152</t>
        </is>
      </c>
      <c r="B3486" s="256" t="inlineStr">
        <is>
          <t>reissue — retest</t>
        </is>
      </c>
      <c r="C3486" s="256" t="inlineStr">
        <is>
          <t>GRC102501/1</t>
        </is>
      </c>
      <c r="D3486" s="256" t="inlineStr">
        <is>
          <t>P060142</t>
        </is>
      </c>
      <c r="E3486" s="256" t="inlineStr">
        <is>
          <t>Grapes And Cream</t>
        </is>
      </c>
      <c r="F3486" s="256" t="inlineStr">
        <is>
          <t>21.09.2026</t>
        </is>
      </c>
      <c r="G3486" s="256" t="inlineStr">
        <is>
          <t>9.4</t>
        </is>
      </c>
      <c r="H3486" s="256" t="inlineStr">
        <is>
          <t>Salmonella</t>
        </is>
      </c>
      <c r="I3486" s="256" t="inlineStr">
        <is>
          <t>Ph. Eur. 2.6.31 cat. C</t>
        </is>
      </c>
      <c r="J3486" s="256" t="inlineStr">
        <is>
          <t>Absence | Отсуство / 25 g</t>
        </is>
      </c>
      <c r="K3486" s="256" t="inlineStr">
        <is>
          <t>Absent | Отсутна</t>
        </is>
      </c>
      <c r="L3486" s="256" t="inlineStr">
        <is>
          <t>550/1081/26</t>
        </is>
      </c>
      <c r="M3486" s="256" t="inlineStr">
        <is>
          <t>01.09.2026</t>
        </is>
      </c>
      <c r="N3486" s="256" t="inlineStr">
        <is>
          <t>IPH — Institute of Public Health</t>
        </is>
      </c>
      <c r="O3486" s="256" t="inlineStr">
        <is>
          <t>26.08.2026</t>
        </is>
      </c>
      <c r="P3486" s="256" t="inlineStr">
        <is>
          <t>covered</t>
        </is>
      </c>
      <c r="Q3486" s="256" t="inlineStr"/>
      <c r="R3486" s="256" t="inlineStr"/>
    </row>
    <row r="3487">
      <c r="A3487" s="256" t="inlineStr">
        <is>
          <t>CoQ-PP_26-152</t>
        </is>
      </c>
      <c r="B3487" s="256" t="inlineStr">
        <is>
          <t>reissue — retest</t>
        </is>
      </c>
      <c r="C3487" s="256" t="inlineStr">
        <is>
          <t>GRC102501/1</t>
        </is>
      </c>
      <c r="D3487" s="256" t="inlineStr">
        <is>
          <t>P060142</t>
        </is>
      </c>
      <c r="E3487" s="256" t="inlineStr">
        <is>
          <t>Grapes And Cream</t>
        </is>
      </c>
      <c r="F3487" s="256" t="inlineStr">
        <is>
          <t>21.09.2026</t>
        </is>
      </c>
      <c r="G3487" s="256" t="inlineStr">
        <is>
          <t>9.5</t>
        </is>
      </c>
      <c r="H3487" s="256" t="inlineStr">
        <is>
          <t>Escherichia coli</t>
        </is>
      </c>
      <c r="I3487" s="256" t="inlineStr">
        <is>
          <t>Ph. Eur. 2.6.13 cat. C</t>
        </is>
      </c>
      <c r="J3487" s="256" t="inlineStr">
        <is>
          <t>Absence | Отсуство / 1 g</t>
        </is>
      </c>
      <c r="K3487" s="256" t="inlineStr">
        <is>
          <t>Absent | Отсутна</t>
        </is>
      </c>
      <c r="L3487" s="256" t="inlineStr">
        <is>
          <t>550/1081/26</t>
        </is>
      </c>
      <c r="M3487" s="256" t="inlineStr">
        <is>
          <t>01.09.2026</t>
        </is>
      </c>
      <c r="N3487" s="256" t="inlineStr">
        <is>
          <t>IPH — Institute of Public Health</t>
        </is>
      </c>
      <c r="O3487" s="256" t="inlineStr">
        <is>
          <t>26.08.2026</t>
        </is>
      </c>
      <c r="P3487" s="256" t="inlineStr">
        <is>
          <t>covered</t>
        </is>
      </c>
      <c r="Q3487" s="256" t="inlineStr"/>
      <c r="R3487" s="256" t="inlineStr"/>
    </row>
    <row r="3488">
      <c r="A3488" s="256" t="inlineStr">
        <is>
          <t>CoQ-PP_26-152</t>
        </is>
      </c>
      <c r="B3488" s="256" t="inlineStr">
        <is>
          <t>reissue — retest</t>
        </is>
      </c>
      <c r="C3488" s="256" t="inlineStr">
        <is>
          <t>GRC102501/1</t>
        </is>
      </c>
      <c r="D3488" s="256" t="inlineStr">
        <is>
          <t>P060142</t>
        </is>
      </c>
      <c r="E3488" s="256" t="inlineStr">
        <is>
          <t>Grapes And Cream</t>
        </is>
      </c>
      <c r="F3488" s="256" t="inlineStr">
        <is>
          <t>21.09.2026</t>
        </is>
      </c>
      <c r="G3488" s="256" t="inlineStr">
        <is>
          <t>9.6</t>
        </is>
      </c>
      <c r="H3488" s="256" t="inlineStr">
        <is>
          <t>Pseudomonas aeruginosa</t>
        </is>
      </c>
      <c r="I3488" s="256" t="inlineStr">
        <is>
          <t>Ph. Eur. 2.6.13 cat. C</t>
        </is>
      </c>
      <c r="J3488" s="256" t="inlineStr">
        <is>
          <t>Absence | Отсуство / 1 g</t>
        </is>
      </c>
      <c r="K3488" s="260" t="inlineStr">
        <is>
          <t>upon request — not required for release</t>
        </is>
      </c>
      <c r="L3488" s="256" t="inlineStr">
        <is>
          <t>—</t>
        </is>
      </c>
      <c r="M3488" s="256" t="inlineStr">
        <is>
          <t>—</t>
        </is>
      </c>
      <c r="N3488" s="256" t="inlineStr">
        <is>
          <t>—</t>
        </is>
      </c>
      <c r="O3488" s="256" t="inlineStr">
        <is>
          <t>—</t>
        </is>
      </c>
      <c r="P3488" s="256" t="inlineStr">
        <is>
          <t>upon request — not required for release</t>
        </is>
      </c>
      <c r="Q3488" s="256" t="inlineStr"/>
      <c r="R3488" s="256" t="inlineStr"/>
    </row>
    <row r="3489">
      <c r="A3489" s="256" t="inlineStr">
        <is>
          <t>CoQ-PP_26-152</t>
        </is>
      </c>
      <c r="B3489" s="256" t="inlineStr">
        <is>
          <t>reissue — retest</t>
        </is>
      </c>
      <c r="C3489" s="256" t="inlineStr">
        <is>
          <t>GRC102501/1</t>
        </is>
      </c>
      <c r="D3489" s="256" t="inlineStr">
        <is>
          <t>P060142</t>
        </is>
      </c>
      <c r="E3489" s="256" t="inlineStr">
        <is>
          <t>Grapes And Cream</t>
        </is>
      </c>
      <c r="F3489" s="256" t="inlineStr">
        <is>
          <t>21.09.2026</t>
        </is>
      </c>
      <c r="G3489" s="256" t="inlineStr">
        <is>
          <t>9.7</t>
        </is>
      </c>
      <c r="H3489" s="256" t="inlineStr">
        <is>
          <t>Staphylococcus aureus</t>
        </is>
      </c>
      <c r="I3489" s="256" t="inlineStr">
        <is>
          <t>Ph. Eur. 2.6.13 cat. C</t>
        </is>
      </c>
      <c r="J3489" s="256" t="inlineStr">
        <is>
          <t>Absence | Отсуство / 1 g</t>
        </is>
      </c>
      <c r="K3489" s="260" t="inlineStr">
        <is>
          <t>upon request — not required for release</t>
        </is>
      </c>
      <c r="L3489" s="256" t="inlineStr">
        <is>
          <t>—</t>
        </is>
      </c>
      <c r="M3489" s="256" t="inlineStr">
        <is>
          <t>—</t>
        </is>
      </c>
      <c r="N3489" s="256" t="inlineStr">
        <is>
          <t>—</t>
        </is>
      </c>
      <c r="O3489" s="256" t="inlineStr">
        <is>
          <t>—</t>
        </is>
      </c>
      <c r="P3489" s="256" t="inlineStr">
        <is>
          <t>upon request — not required for release</t>
        </is>
      </c>
      <c r="Q3489" s="256" t="inlineStr"/>
      <c r="R3489" s="256" t="inlineStr"/>
    </row>
    <row r="3490">
      <c r="A3490" s="256" t="inlineStr">
        <is>
          <t>CoQ-PP_26-152</t>
        </is>
      </c>
      <c r="B3490" s="256" t="inlineStr">
        <is>
          <t>reissue — retest</t>
        </is>
      </c>
      <c r="C3490" s="256" t="inlineStr">
        <is>
          <t>GRC102501/1</t>
        </is>
      </c>
      <c r="D3490" s="256" t="inlineStr">
        <is>
          <t>P060142</t>
        </is>
      </c>
      <c r="E3490" s="256" t="inlineStr">
        <is>
          <t>Grapes And Cream</t>
        </is>
      </c>
      <c r="F3490" s="256" t="inlineStr">
        <is>
          <t>21.09.2026</t>
        </is>
      </c>
      <c r="G3490" s="256" t="inlineStr">
        <is>
          <t>10.1</t>
        </is>
      </c>
      <c r="H3490" s="256" t="inlineStr">
        <is>
          <t>Aflatoxin B₁</t>
        </is>
      </c>
      <c r="I3490" s="256" t="inlineStr">
        <is>
          <t>Ph. Eur. 2.8.18 (HPLC-FLD)</t>
        </is>
      </c>
      <c r="J3490" s="256" t="inlineStr">
        <is>
          <t>≤ 2 µg/kg</t>
        </is>
      </c>
      <c r="K3490" s="256" t="inlineStr">
        <is>
          <t>ND</t>
        </is>
      </c>
      <c r="L3490" s="256" t="inlineStr">
        <is>
          <t>227-16-М/26</t>
        </is>
      </c>
      <c r="M3490" s="256" t="inlineStr">
        <is>
          <t>16.09.2026</t>
        </is>
      </c>
      <c r="N3490" s="256" t="inlineStr">
        <is>
          <t>Farmahem</t>
        </is>
      </c>
      <c r="O3490" s="256" t="inlineStr">
        <is>
          <t>—</t>
        </is>
      </c>
      <c r="P3490" s="256" t="inlineStr">
        <is>
          <t>covered</t>
        </is>
      </c>
      <c r="Q3490" s="256" t="inlineStr"/>
      <c r="R3490" s="256" t="inlineStr"/>
    </row>
    <row r="3491">
      <c r="A3491" s="256" t="inlineStr">
        <is>
          <t>CoQ-PP_26-152</t>
        </is>
      </c>
      <c r="B3491" s="256" t="inlineStr">
        <is>
          <t>reissue — retest</t>
        </is>
      </c>
      <c r="C3491" s="256" t="inlineStr">
        <is>
          <t>GRC102501/1</t>
        </is>
      </c>
      <c r="D3491" s="256" t="inlineStr">
        <is>
          <t>P060142</t>
        </is>
      </c>
      <c r="E3491" s="256" t="inlineStr">
        <is>
          <t>Grapes And Cream</t>
        </is>
      </c>
      <c r="F3491" s="256" t="inlineStr">
        <is>
          <t>21.09.2026</t>
        </is>
      </c>
      <c r="G3491" s="256" t="inlineStr">
        <is>
          <t>10.2</t>
        </is>
      </c>
      <c r="H3491" s="256" t="inlineStr">
        <is>
          <t>Aflatoxins ∑</t>
        </is>
      </c>
      <c r="I3491" s="256" t="inlineStr">
        <is>
          <t>Ph. Eur. 2.8.18 (HPLC-FLD)</t>
        </is>
      </c>
      <c r="J3491" s="256" t="inlineStr">
        <is>
          <t>≤ 4 µg/kg</t>
        </is>
      </c>
      <c r="K3491" s="256" t="inlineStr">
        <is>
          <t>ND</t>
        </is>
      </c>
      <c r="L3491" s="256" t="inlineStr">
        <is>
          <t>227-16-М/26</t>
        </is>
      </c>
      <c r="M3491" s="256" t="inlineStr">
        <is>
          <t>16.09.2026</t>
        </is>
      </c>
      <c r="N3491" s="256" t="inlineStr">
        <is>
          <t>Farmahem</t>
        </is>
      </c>
      <c r="O3491" s="256" t="inlineStr">
        <is>
          <t>—</t>
        </is>
      </c>
      <c r="P3491" s="256" t="inlineStr">
        <is>
          <t>covered</t>
        </is>
      </c>
      <c r="Q3491" s="256" t="inlineStr"/>
      <c r="R3491" s="256" t="inlineStr"/>
    </row>
    <row r="3492">
      <c r="A3492" s="256" t="inlineStr">
        <is>
          <t>CoQ-PP_26-152</t>
        </is>
      </c>
      <c r="B3492" s="256" t="inlineStr">
        <is>
          <t>reissue — retest</t>
        </is>
      </c>
      <c r="C3492" s="256" t="inlineStr">
        <is>
          <t>GRC102501/1</t>
        </is>
      </c>
      <c r="D3492" s="256" t="inlineStr">
        <is>
          <t>P060142</t>
        </is>
      </c>
      <c r="E3492" s="256" t="inlineStr">
        <is>
          <t>Grapes And Cream</t>
        </is>
      </c>
      <c r="F3492" s="256" t="inlineStr">
        <is>
          <t>21.09.2026</t>
        </is>
      </c>
      <c r="G3492" s="256" t="inlineStr">
        <is>
          <t>10.3</t>
        </is>
      </c>
      <c r="H3492" s="256" t="inlineStr">
        <is>
          <t>Ochratoxin A</t>
        </is>
      </c>
      <c r="I3492" s="256" t="inlineStr">
        <is>
          <t>Ph. Eur. 2.8.22 (HPLC-FLD)</t>
        </is>
      </c>
      <c r="J3492" s="256" t="inlineStr">
        <is>
          <t>≤ 20 µg/kg</t>
        </is>
      </c>
      <c r="K3492" s="256" t="inlineStr">
        <is>
          <t>ND</t>
        </is>
      </c>
      <c r="L3492" s="256" t="inlineStr">
        <is>
          <t>227-16-М/26</t>
        </is>
      </c>
      <c r="M3492" s="256" t="inlineStr">
        <is>
          <t>16.09.2026</t>
        </is>
      </c>
      <c r="N3492" s="256" t="inlineStr">
        <is>
          <t>Farmahem</t>
        </is>
      </c>
      <c r="O3492" s="256" t="inlineStr">
        <is>
          <t>—</t>
        </is>
      </c>
      <c r="P3492" s="256" t="inlineStr">
        <is>
          <t>covered</t>
        </is>
      </c>
      <c r="Q3492" s="256" t="inlineStr"/>
      <c r="R3492" s="256" t="inlineStr"/>
    </row>
    <row r="3493">
      <c r="A3493" s="256" t="inlineStr">
        <is>
          <t>CoQ-PP_26-152</t>
        </is>
      </c>
      <c r="B3493" s="256" t="inlineStr">
        <is>
          <t>reissue — retest</t>
        </is>
      </c>
      <c r="C3493" s="256" t="inlineStr">
        <is>
          <t>GRC102501/1</t>
        </is>
      </c>
      <c r="D3493" s="256" t="inlineStr">
        <is>
          <t>P060142</t>
        </is>
      </c>
      <c r="E3493" s="256" t="inlineStr">
        <is>
          <t>Grapes And Cream</t>
        </is>
      </c>
      <c r="F3493" s="256" t="inlineStr">
        <is>
          <t>21.09.2026</t>
        </is>
      </c>
      <c r="G3493" s="256" t="inlineStr">
        <is>
          <t>11.1</t>
        </is>
      </c>
      <c r="H3493" s="256" t="inlineStr">
        <is>
          <t>Lead (Pb)</t>
        </is>
      </c>
      <c r="I3493" s="256" t="inlineStr">
        <is>
          <t>Ph. Eur. 2.4.27 (ICP-MS)</t>
        </is>
      </c>
      <c r="J3493" s="256" t="inlineStr">
        <is>
          <t>≤ 0.5 mg/kg</t>
        </is>
      </c>
      <c r="K3493" s="256" t="inlineStr">
        <is>
          <t>carried from the initial testing — not tested</t>
        </is>
      </c>
      <c r="L3493" s="256" t="inlineStr">
        <is>
          <t>—</t>
        </is>
      </c>
      <c r="M3493" s="256" t="inlineStr">
        <is>
          <t>—</t>
        </is>
      </c>
      <c r="N3493" s="256" t="inlineStr">
        <is>
          <t>—</t>
        </is>
      </c>
      <c r="O3493" s="256" t="inlineStr">
        <is>
          <t>—</t>
        </is>
      </c>
      <c r="P3493" s="256" t="inlineStr">
        <is>
          <t>carried from the initial testing (the batch's initial CoQ (number assigned on issue)) — not tested — no certificate covers it</t>
        </is>
      </c>
      <c r="Q3493" s="256" t="inlineStr"/>
      <c r="R3493" s="256" t="inlineStr"/>
    </row>
    <row r="3494">
      <c r="A3494" s="256" t="inlineStr">
        <is>
          <t>CoQ-PP_26-152</t>
        </is>
      </c>
      <c r="B3494" s="256" t="inlineStr">
        <is>
          <t>reissue — retest</t>
        </is>
      </c>
      <c r="C3494" s="256" t="inlineStr">
        <is>
          <t>GRC102501/1</t>
        </is>
      </c>
      <c r="D3494" s="256" t="inlineStr">
        <is>
          <t>P060142</t>
        </is>
      </c>
      <c r="E3494" s="256" t="inlineStr">
        <is>
          <t>Grapes And Cream</t>
        </is>
      </c>
      <c r="F3494" s="256" t="inlineStr">
        <is>
          <t>21.09.2026</t>
        </is>
      </c>
      <c r="G3494" s="256" t="inlineStr">
        <is>
          <t>11.2</t>
        </is>
      </c>
      <c r="H3494" s="256" t="inlineStr">
        <is>
          <t>Cadmium (Cd)</t>
        </is>
      </c>
      <c r="I3494" s="256" t="inlineStr">
        <is>
          <t>Ph. Eur. 2.4.27 (ICP-MS)</t>
        </is>
      </c>
      <c r="J3494" s="256" t="inlineStr">
        <is>
          <t>≤ 0.3 mg/kg</t>
        </is>
      </c>
      <c r="K3494" s="256" t="inlineStr">
        <is>
          <t>carried from the initial testing — not tested</t>
        </is>
      </c>
      <c r="L3494" s="256" t="inlineStr">
        <is>
          <t>—</t>
        </is>
      </c>
      <c r="M3494" s="256" t="inlineStr">
        <is>
          <t>—</t>
        </is>
      </c>
      <c r="N3494" s="256" t="inlineStr">
        <is>
          <t>—</t>
        </is>
      </c>
      <c r="O3494" s="256" t="inlineStr">
        <is>
          <t>—</t>
        </is>
      </c>
      <c r="P3494" s="256" t="inlineStr">
        <is>
          <t>carried from the initial testing (the batch's initial CoQ (number assigned on issue)) — not tested — no certificate covers it</t>
        </is>
      </c>
      <c r="Q3494" s="256" t="inlineStr"/>
      <c r="R3494" s="256" t="inlineStr"/>
    </row>
    <row r="3495">
      <c r="A3495" s="256" t="inlineStr">
        <is>
          <t>CoQ-PP_26-152</t>
        </is>
      </c>
      <c r="B3495" s="256" t="inlineStr">
        <is>
          <t>reissue — retest</t>
        </is>
      </c>
      <c r="C3495" s="256" t="inlineStr">
        <is>
          <t>GRC102501/1</t>
        </is>
      </c>
      <c r="D3495" s="256" t="inlineStr">
        <is>
          <t>P060142</t>
        </is>
      </c>
      <c r="E3495" s="256" t="inlineStr">
        <is>
          <t>Grapes And Cream</t>
        </is>
      </c>
      <c r="F3495" s="256" t="inlineStr">
        <is>
          <t>21.09.2026</t>
        </is>
      </c>
      <c r="G3495" s="256" t="inlineStr">
        <is>
          <t>11.3</t>
        </is>
      </c>
      <c r="H3495" s="256" t="inlineStr">
        <is>
          <t>Arsenic (As)</t>
        </is>
      </c>
      <c r="I3495" s="256" t="inlineStr">
        <is>
          <t>Ph. Eur. 2.4.27 (ICP-MS)</t>
        </is>
      </c>
      <c r="J3495" s="256" t="inlineStr">
        <is>
          <t>≤ 0.2 mg/kg</t>
        </is>
      </c>
      <c r="K3495" s="256" t="inlineStr">
        <is>
          <t>carried from the initial testing — not tested</t>
        </is>
      </c>
      <c r="L3495" s="256" t="inlineStr">
        <is>
          <t>—</t>
        </is>
      </c>
      <c r="M3495" s="256" t="inlineStr">
        <is>
          <t>—</t>
        </is>
      </c>
      <c r="N3495" s="256" t="inlineStr">
        <is>
          <t>—</t>
        </is>
      </c>
      <c r="O3495" s="256" t="inlineStr">
        <is>
          <t>—</t>
        </is>
      </c>
      <c r="P3495" s="256" t="inlineStr">
        <is>
          <t>carried from the initial testing (the batch's initial CoQ (number assigned on issue)) — not tested — no certificate covers it</t>
        </is>
      </c>
      <c r="Q3495" s="256" t="inlineStr"/>
      <c r="R3495" s="256" t="inlineStr"/>
    </row>
    <row r="3496">
      <c r="A3496" s="256" t="inlineStr">
        <is>
          <t>CoQ-PP_26-152</t>
        </is>
      </c>
      <c r="B3496" s="256" t="inlineStr">
        <is>
          <t>reissue — retest</t>
        </is>
      </c>
      <c r="C3496" s="256" t="inlineStr">
        <is>
          <t>GRC102501/1</t>
        </is>
      </c>
      <c r="D3496" s="256" t="inlineStr">
        <is>
          <t>P060142</t>
        </is>
      </c>
      <c r="E3496" s="256" t="inlineStr">
        <is>
          <t>Grapes And Cream</t>
        </is>
      </c>
      <c r="F3496" s="256" t="inlineStr">
        <is>
          <t>21.09.2026</t>
        </is>
      </c>
      <c r="G3496" s="256" t="inlineStr">
        <is>
          <t>11.4</t>
        </is>
      </c>
      <c r="H3496" s="256" t="inlineStr">
        <is>
          <t>Mercury (Hg)</t>
        </is>
      </c>
      <c r="I3496" s="256" t="inlineStr">
        <is>
          <t>Ph. Eur. 2.4.27 (ICP-MS)</t>
        </is>
      </c>
      <c r="J3496" s="256" t="inlineStr">
        <is>
          <t>≤ 0.1 mg/kg</t>
        </is>
      </c>
      <c r="K3496" s="256" t="inlineStr">
        <is>
          <t>carried from the initial testing — not tested</t>
        </is>
      </c>
      <c r="L3496" s="256" t="inlineStr">
        <is>
          <t>—</t>
        </is>
      </c>
      <c r="M3496" s="256" t="inlineStr">
        <is>
          <t>—</t>
        </is>
      </c>
      <c r="N3496" s="256" t="inlineStr">
        <is>
          <t>—</t>
        </is>
      </c>
      <c r="O3496" s="256" t="inlineStr">
        <is>
          <t>—</t>
        </is>
      </c>
      <c r="P3496" s="256" t="inlineStr">
        <is>
          <t>carried from the initial testing (the batch's initial CoQ (number assigned on issue)) — not tested — no certificate covers it</t>
        </is>
      </c>
      <c r="Q3496" s="256" t="inlineStr"/>
      <c r="R3496" s="256" t="inlineStr"/>
    </row>
    <row r="3497">
      <c r="A3497" s="256" t="inlineStr">
        <is>
          <t>CoQ-PP_26-152</t>
        </is>
      </c>
      <c r="B3497" s="256" t="inlineStr">
        <is>
          <t>reissue — retest</t>
        </is>
      </c>
      <c r="C3497" s="256" t="inlineStr">
        <is>
          <t>GRC102501/1</t>
        </is>
      </c>
      <c r="D3497" s="256" t="inlineStr">
        <is>
          <t>P060142</t>
        </is>
      </c>
      <c r="E3497" s="256" t="inlineStr">
        <is>
          <t>Grapes And Cream</t>
        </is>
      </c>
      <c r="F3497" s="256" t="inlineStr">
        <is>
          <t>21.09.2026</t>
        </is>
      </c>
      <c r="G3497" s="256" t="inlineStr">
        <is>
          <t>12</t>
        </is>
      </c>
      <c r="H3497" s="256" t="inlineStr">
        <is>
          <t>Pesticide Residues</t>
        </is>
      </c>
      <c r="I3497" s="256" t="inlineStr">
        <is>
          <t>Ph. Eur. 2.8.13 (LC-MS/MS) · CUMCS Equivalency</t>
        </is>
      </c>
      <c r="J3497" s="256" t="inlineStr">
        <is>
          <t>≤ LOQ as per Ph. Eur. 2.8.13 · ≤ LOQ as per CUMCS Equivalency</t>
        </is>
      </c>
      <c r="K3497" s="256" t="inlineStr">
        <is>
          <t>carried from the initial testing — not tested</t>
        </is>
      </c>
      <c r="L3497" s="256" t="inlineStr">
        <is>
          <t>—</t>
        </is>
      </c>
      <c r="M3497" s="256" t="inlineStr">
        <is>
          <t>—</t>
        </is>
      </c>
      <c r="N3497" s="256" t="inlineStr">
        <is>
          <t>—</t>
        </is>
      </c>
      <c r="O3497" s="256" t="inlineStr">
        <is>
          <t>—</t>
        </is>
      </c>
      <c r="P3497" s="256" t="inlineStr">
        <is>
          <t>carried from the initial testing (the batch's initial CoQ (number assigned on issue)) — not tested — no certificate covers it</t>
        </is>
      </c>
      <c r="Q3497" s="256" t="inlineStr"/>
      <c r="R3497" s="256" t="inlineStr"/>
    </row>
    <row r="3498">
      <c r="A3498" s="256" t="inlineStr">
        <is>
          <t>CoQ-PP_26-153</t>
        </is>
      </c>
      <c r="B3498" s="256" t="inlineStr">
        <is>
          <t>reissue — retest</t>
        </is>
      </c>
      <c r="C3498" s="256" t="inlineStr">
        <is>
          <t>J31112501</t>
        </is>
      </c>
      <c r="D3498" s="256" t="inlineStr">
        <is>
          <t>— no P lot assigned —</t>
        </is>
      </c>
      <c r="E3498" s="256" t="inlineStr">
        <is>
          <t>Jokerz 31</t>
        </is>
      </c>
      <c r="F3498" s="256" t="inlineStr">
        <is>
          <t>21.09.2026</t>
        </is>
      </c>
      <c r="G3498" s="256" t="inlineStr">
        <is>
          <t>1</t>
        </is>
      </c>
      <c r="H3498" s="256" t="inlineStr">
        <is>
          <t>Identification A, Appearance · Macroscopic</t>
        </is>
      </c>
      <c r="I3498" s="256" t="inlineStr">
        <is>
          <t>Ph. Eur. mon. 3028</t>
        </is>
      </c>
      <c r="J3498" s="256" t="inlineStr">
        <is>
          <t>Conforms to the monograph for Cannabis flos (07/2024:3028) in Ph. Eur. 11.0 | Согласно монографија за Cannabis flos (07/2024:3028) во Ph. Eur. 11.0</t>
        </is>
      </c>
      <c r="K3498" s="256" t="inlineStr">
        <is>
          <t>Conforms | Одговара</t>
        </is>
      </c>
      <c r="L3498" s="256" t="inlineStr">
        <is>
          <t>iCoA-PP_26-170</t>
        </is>
      </c>
      <c r="M3498" s="256" t="inlineStr">
        <is>
          <t>24.08.2026</t>
        </is>
      </c>
      <c r="N3498" s="256" t="inlineStr">
        <is>
          <t>Purely Plant GmbH (in-house)</t>
        </is>
      </c>
      <c r="O3498" s="256" t="inlineStr">
        <is>
          <t>—</t>
        </is>
      </c>
      <c r="P3498" s="256" t="inlineStr">
        <is>
          <t>to be performed — see route</t>
        </is>
      </c>
      <c r="Q3498" s="256" t="inlineStr">
        <is>
          <t>Farmahem — Ident A + B + C with the Assay, at retest</t>
        </is>
      </c>
      <c r="R3498" s="256" t="inlineStr"/>
    </row>
    <row r="3499">
      <c r="A3499" s="256" t="inlineStr">
        <is>
          <t>CoQ-PP_26-153</t>
        </is>
      </c>
      <c r="B3499" s="256" t="inlineStr">
        <is>
          <t>reissue — retest</t>
        </is>
      </c>
      <c r="C3499" s="256" t="inlineStr">
        <is>
          <t>J31112501</t>
        </is>
      </c>
      <c r="D3499" s="256" t="inlineStr">
        <is>
          <t>— no P lot assigned —</t>
        </is>
      </c>
      <c r="E3499" s="256" t="inlineStr">
        <is>
          <t>Jokerz 31</t>
        </is>
      </c>
      <c r="F3499" s="256" t="inlineStr">
        <is>
          <t>21.09.2026</t>
        </is>
      </c>
      <c r="G3499" s="256" t="inlineStr">
        <is>
          <t>2</t>
        </is>
      </c>
      <c r="H3499" s="256" t="inlineStr">
        <is>
          <t>Identification B · Microscopic</t>
        </is>
      </c>
      <c r="I3499" s="256" t="inlineStr">
        <is>
          <t>Ph. Eur. 2.8.23 (microscopy)</t>
        </is>
      </c>
      <c r="J3499" s="256" t="inlineStr">
        <is>
          <t>Conforms to the monograph for Cannabis flos (07/2024:3028) in Ph. Eur. 11.0 | Согласно монографија за Cannabis flos (07/2024:3028) во Ph. Eur. 11.0</t>
        </is>
      </c>
      <c r="K3499" s="256" t="inlineStr">
        <is>
          <t>Conforms | Одговара</t>
        </is>
      </c>
      <c r="L3499" s="256" t="inlineStr">
        <is>
          <t>iCoA-PP_26-170</t>
        </is>
      </c>
      <c r="M3499" s="256" t="inlineStr">
        <is>
          <t>24.08.2026</t>
        </is>
      </c>
      <c r="N3499" s="256" t="inlineStr">
        <is>
          <t>Purely Plant GmbH (in-house)</t>
        </is>
      </c>
      <c r="O3499" s="256" t="inlineStr">
        <is>
          <t>—</t>
        </is>
      </c>
      <c r="P3499" s="256" t="inlineStr">
        <is>
          <t>to be performed — see route</t>
        </is>
      </c>
      <c r="Q3499" s="256" t="inlineStr">
        <is>
          <t>Farmahem — Ident A + B + C with the Assay, at retest</t>
        </is>
      </c>
      <c r="R3499" s="256" t="inlineStr"/>
    </row>
    <row r="3500">
      <c r="A3500" s="256" t="inlineStr">
        <is>
          <t>CoQ-PP_26-153</t>
        </is>
      </c>
      <c r="B3500" s="256" t="inlineStr">
        <is>
          <t>reissue — retest</t>
        </is>
      </c>
      <c r="C3500" s="256" t="inlineStr">
        <is>
          <t>J31112501</t>
        </is>
      </c>
      <c r="D3500" s="256" t="inlineStr">
        <is>
          <t>— no P lot assigned —</t>
        </is>
      </c>
      <c r="E3500" s="256" t="inlineStr">
        <is>
          <t>Jokerz 31</t>
        </is>
      </c>
      <c r="F3500" s="256" t="inlineStr">
        <is>
          <t>21.09.2026</t>
        </is>
      </c>
      <c r="G3500" s="256" t="inlineStr">
        <is>
          <t>3</t>
        </is>
      </c>
      <c r="H3500" s="256" t="inlineStr">
        <is>
          <t>Identification C · HPLC/HPTLC</t>
        </is>
      </c>
      <c r="I3500" s="256" t="inlineStr">
        <is>
          <t>Ph. Eur. 2.2.29 (3028)</t>
        </is>
      </c>
      <c r="J3500" s="256" t="inlineStr">
        <is>
          <t>Conforms to the monograph for Cannabis flos (07/2024:3028) in Ph. Eur. 11.0 | Согласно монографија за Cannabis flos (07/2024:3028) во Ph. Eur. 11.0</t>
        </is>
      </c>
      <c r="K3500" s="256" t="inlineStr">
        <is>
          <t>Conforms | Одговара</t>
        </is>
      </c>
      <c r="L3500" s="256" t="inlineStr">
        <is>
          <t>227-14-К/26</t>
        </is>
      </c>
      <c r="M3500" s="256" t="inlineStr">
        <is>
          <t>11.09.2026</t>
        </is>
      </c>
      <c r="N3500" s="256" t="inlineStr">
        <is>
          <t>Farmahem</t>
        </is>
      </c>
      <c r="O3500" s="256" t="inlineStr">
        <is>
          <t>24.08.2026</t>
        </is>
      </c>
      <c r="P3500" s="256" t="inlineStr">
        <is>
          <t>covered</t>
        </is>
      </c>
      <c r="Q3500" s="256" t="inlineStr"/>
      <c r="R3500" s="256" t="inlineStr"/>
    </row>
    <row r="3501">
      <c r="A3501" s="256" t="inlineStr">
        <is>
          <t>CoQ-PP_26-153</t>
        </is>
      </c>
      <c r="B3501" s="256" t="inlineStr">
        <is>
          <t>reissue — retest</t>
        </is>
      </c>
      <c r="C3501" s="256" t="inlineStr">
        <is>
          <t>J31112501</t>
        </is>
      </c>
      <c r="D3501" s="256" t="inlineStr">
        <is>
          <t>— no P lot assigned —</t>
        </is>
      </c>
      <c r="E3501" s="256" t="inlineStr">
        <is>
          <t>Jokerz 31</t>
        </is>
      </c>
      <c r="F3501" s="256" t="inlineStr">
        <is>
          <t>21.09.2026</t>
        </is>
      </c>
      <c r="G3501" s="256" t="inlineStr">
        <is>
          <t>4</t>
        </is>
      </c>
      <c r="H3501" s="256" t="inlineStr">
        <is>
          <t>Assay — Total Δ⁹-THC</t>
        </is>
      </c>
      <c r="I3501" s="256" t="inlineStr">
        <is>
          <t>Ph. Eur. 2.2.29 (HPLC)</t>
        </is>
      </c>
      <c r="J3501" s="256" t="inlineStr">
        <is>
          <t>19.80 – 24.19 %  (grade II, nominal 22.00 ± 2.20)</t>
        </is>
      </c>
      <c r="K3501" s="256" t="inlineStr">
        <is>
          <t>23.85</t>
        </is>
      </c>
      <c r="L3501" s="256" t="inlineStr">
        <is>
          <t>227-14-К/26</t>
        </is>
      </c>
      <c r="M3501" s="256" t="inlineStr">
        <is>
          <t>11.09.2026</t>
        </is>
      </c>
      <c r="N3501" s="256" t="inlineStr">
        <is>
          <t>Farmahem</t>
        </is>
      </c>
      <c r="O3501" s="256" t="inlineStr">
        <is>
          <t>24.08.2026</t>
        </is>
      </c>
      <c r="P3501" s="256" t="inlineStr">
        <is>
          <t>covered</t>
        </is>
      </c>
      <c r="Q3501" s="256" t="inlineStr"/>
      <c r="R3501" s="256" t="inlineStr"/>
    </row>
    <row r="3502">
      <c r="A3502" s="256" t="inlineStr">
        <is>
          <t>CoQ-PP_26-153</t>
        </is>
      </c>
      <c r="B3502" s="256" t="inlineStr">
        <is>
          <t>reissue — retest</t>
        </is>
      </c>
      <c r="C3502" s="256" t="inlineStr">
        <is>
          <t>J31112501</t>
        </is>
      </c>
      <c r="D3502" s="256" t="inlineStr">
        <is>
          <t>— no P lot assigned —</t>
        </is>
      </c>
      <c r="E3502" s="256" t="inlineStr">
        <is>
          <t>Jokerz 31</t>
        </is>
      </c>
      <c r="F3502" s="256" t="inlineStr">
        <is>
          <t>21.09.2026</t>
        </is>
      </c>
      <c r="G3502" s="256" t="inlineStr">
        <is>
          <t>5</t>
        </is>
      </c>
      <c r="H3502" s="256" t="inlineStr">
        <is>
          <t>Assay — Total CBD</t>
        </is>
      </c>
      <c r="I3502" s="256" t="inlineStr">
        <is>
          <t>Ph. Eur. 2.2.29 (HPLC) · CBD + CBDA x 0.877</t>
        </is>
      </c>
      <c r="J3502" s="256" t="inlineStr">
        <is>
          <t>≤ 1.0%, w/w</t>
        </is>
      </c>
      <c r="K3502" s="256" t="inlineStr">
        <is>
          <t>&lt; LOQ</t>
        </is>
      </c>
      <c r="L3502" s="256" t="inlineStr">
        <is>
          <t>227-14-К/26</t>
        </is>
      </c>
      <c r="M3502" s="256" t="inlineStr">
        <is>
          <t>11.09.2026</t>
        </is>
      </c>
      <c r="N3502" s="256" t="inlineStr">
        <is>
          <t>Farmahem</t>
        </is>
      </c>
      <c r="O3502" s="256" t="inlineStr">
        <is>
          <t>24.08.2026</t>
        </is>
      </c>
      <c r="P3502" s="256" t="inlineStr">
        <is>
          <t>covered</t>
        </is>
      </c>
      <c r="Q3502" s="256" t="inlineStr"/>
      <c r="R3502" s="256" t="inlineStr"/>
    </row>
    <row r="3503">
      <c r="A3503" s="256" t="inlineStr">
        <is>
          <t>CoQ-PP_26-153</t>
        </is>
      </c>
      <c r="B3503" s="256" t="inlineStr">
        <is>
          <t>reissue — retest</t>
        </is>
      </c>
      <c r="C3503" s="256" t="inlineStr">
        <is>
          <t>J31112501</t>
        </is>
      </c>
      <c r="D3503" s="256" t="inlineStr">
        <is>
          <t>— no P lot assigned —</t>
        </is>
      </c>
      <c r="E3503" s="256" t="inlineStr">
        <is>
          <t>Jokerz 31</t>
        </is>
      </c>
      <c r="F3503" s="256" t="inlineStr">
        <is>
          <t>21.09.2026</t>
        </is>
      </c>
      <c r="G3503" s="256" t="inlineStr">
        <is>
          <t>6</t>
        </is>
      </c>
      <c r="H3503" s="256" t="inlineStr">
        <is>
          <t>Total CBN</t>
        </is>
      </c>
      <c r="I3503" s="256" t="inlineStr">
        <is>
          <t>Ph. Eur. 2.2.29 (HPLC) · CBN + CBNA x 0.876</t>
        </is>
      </c>
      <c r="J3503" s="256" t="inlineStr">
        <is>
          <t>≤ 1.0%, w/w</t>
        </is>
      </c>
      <c r="K3503" s="256" t="inlineStr">
        <is>
          <t>&lt; LOQ</t>
        </is>
      </c>
      <c r="L3503" s="256" t="inlineStr">
        <is>
          <t>227-14-К/26</t>
        </is>
      </c>
      <c r="M3503" s="256" t="inlineStr">
        <is>
          <t>11.09.2026</t>
        </is>
      </c>
      <c r="N3503" s="256" t="inlineStr">
        <is>
          <t>Farmahem</t>
        </is>
      </c>
      <c r="O3503" s="256" t="inlineStr">
        <is>
          <t>24.08.2026</t>
        </is>
      </c>
      <c r="P3503" s="256" t="inlineStr">
        <is>
          <t>covered</t>
        </is>
      </c>
      <c r="Q3503" s="256" t="inlineStr"/>
      <c r="R3503" s="256" t="inlineStr"/>
    </row>
    <row r="3504">
      <c r="A3504" s="256" t="inlineStr">
        <is>
          <t>CoQ-PP_26-153</t>
        </is>
      </c>
      <c r="B3504" s="256" t="inlineStr">
        <is>
          <t>reissue — retest</t>
        </is>
      </c>
      <c r="C3504" s="256" t="inlineStr">
        <is>
          <t>J31112501</t>
        </is>
      </c>
      <c r="D3504" s="256" t="inlineStr">
        <is>
          <t>— no P lot assigned —</t>
        </is>
      </c>
      <c r="E3504" s="256" t="inlineStr">
        <is>
          <t>Jokerz 31</t>
        </is>
      </c>
      <c r="F3504" s="256" t="inlineStr">
        <is>
          <t>21.09.2026</t>
        </is>
      </c>
      <c r="G3504" s="256" t="inlineStr">
        <is>
          <t>7</t>
        </is>
      </c>
      <c r="H3504" s="256" t="inlineStr">
        <is>
          <t>Foreign Matter</t>
        </is>
      </c>
      <c r="I3504" s="256" t="inlineStr">
        <is>
          <t>Ph. Eur. 2.8.2 · In-house · интерна</t>
        </is>
      </c>
      <c r="J3504" s="256" t="inlineStr">
        <is>
          <t>≤ 2.0% / 25–50 g · &lt; 1 cm leaves | листови, no seeds | без семки</t>
        </is>
      </c>
      <c r="K3504" s="256" t="inlineStr">
        <is>
          <t>Conforms | Одговара</t>
        </is>
      </c>
      <c r="L3504" s="256" t="inlineStr">
        <is>
          <t>iCoA-PP_26-170</t>
        </is>
      </c>
      <c r="M3504" s="256" t="inlineStr">
        <is>
          <t>24.08.2026</t>
        </is>
      </c>
      <c r="N3504" s="256" t="inlineStr">
        <is>
          <t>Purely Plant GmbH (in-house)</t>
        </is>
      </c>
      <c r="O3504" s="256" t="inlineStr">
        <is>
          <t>—</t>
        </is>
      </c>
      <c r="P3504" s="256" t="inlineStr">
        <is>
          <t>to be performed — see route</t>
        </is>
      </c>
      <c r="Q3504" s="256" t="inlineStr">
        <is>
          <t>Purely Plant laboratory — iCoA covering Foreign matter</t>
        </is>
      </c>
      <c r="R3504" s="256" t="inlineStr"/>
    </row>
    <row r="3505">
      <c r="A3505" s="256" t="inlineStr">
        <is>
          <t>CoQ-PP_26-153</t>
        </is>
      </c>
      <c r="B3505" s="256" t="inlineStr">
        <is>
          <t>reissue — retest</t>
        </is>
      </c>
      <c r="C3505" s="256" t="inlineStr">
        <is>
          <t>J31112501</t>
        </is>
      </c>
      <c r="D3505" s="256" t="inlineStr">
        <is>
          <t>— no P lot assigned —</t>
        </is>
      </c>
      <c r="E3505" s="256" t="inlineStr">
        <is>
          <t>Jokerz 31</t>
        </is>
      </c>
      <c r="F3505" s="256" t="inlineStr">
        <is>
          <t>21.09.2026</t>
        </is>
      </c>
      <c r="G3505" s="256" t="inlineStr">
        <is>
          <t>8</t>
        </is>
      </c>
      <c r="H3505" s="256" t="inlineStr">
        <is>
          <t>Loss on Drying</t>
        </is>
      </c>
      <c r="I3505" s="256" t="inlineStr">
        <is>
          <t>Ph. Eur. 2.2.32 (3028) · at 40 °C, 24 h, 15–25 mbar</t>
        </is>
      </c>
      <c r="J3505" s="256" t="inlineStr">
        <is>
          <t>≤ 12.0%</t>
        </is>
      </c>
      <c r="K3505" s="256" t="inlineStr">
        <is>
          <t>8.4</t>
        </is>
      </c>
      <c r="L3505" s="256" t="inlineStr">
        <is>
          <t>051-5-ГС/26</t>
        </is>
      </c>
      <c r="M3505" s="256" t="inlineStr">
        <is>
          <t>02.03.2026</t>
        </is>
      </c>
      <c r="N3505" s="256" t="inlineStr">
        <is>
          <t>Farmahem</t>
        </is>
      </c>
      <c r="O3505" s="256" t="inlineStr">
        <is>
          <t>—</t>
        </is>
      </c>
      <c r="P3505" s="256" t="inlineStr">
        <is>
          <t>carried from the initial testing (the batch's initial CoQ (number assigned on issue)) — covered</t>
        </is>
      </c>
      <c r="Q3505" s="256" t="inlineStr"/>
      <c r="R3505" s="256" t="inlineStr">
        <is>
          <t>7.6 (100-1-GS/26)</t>
        </is>
      </c>
    </row>
    <row r="3506">
      <c r="A3506" s="256" t="inlineStr">
        <is>
          <t>CoQ-PP_26-153</t>
        </is>
      </c>
      <c r="B3506" s="256" t="inlineStr">
        <is>
          <t>reissue — retest</t>
        </is>
      </c>
      <c r="C3506" s="256" t="inlineStr">
        <is>
          <t>J31112501</t>
        </is>
      </c>
      <c r="D3506" s="256" t="inlineStr">
        <is>
          <t>— no P lot assigned —</t>
        </is>
      </c>
      <c r="E3506" s="256" t="inlineStr">
        <is>
          <t>Jokerz 31</t>
        </is>
      </c>
      <c r="F3506" s="256" t="inlineStr">
        <is>
          <t>21.09.2026</t>
        </is>
      </c>
      <c r="G3506" s="256" t="inlineStr">
        <is>
          <t>9.1</t>
        </is>
      </c>
      <c r="H3506" s="256" t="inlineStr">
        <is>
          <t>TAMC</t>
        </is>
      </c>
      <c r="I3506" s="256" t="inlineStr">
        <is>
          <t>Ph. Eur. 2.6.12 cat. C</t>
        </is>
      </c>
      <c r="J3506" s="256" t="inlineStr">
        <is>
          <t>≤ 10⁵ CFU/g</t>
        </is>
      </c>
      <c r="K3506" s="256" t="inlineStr">
        <is>
          <t>4,4 × 10²</t>
        </is>
      </c>
      <c r="L3506" s="256" t="inlineStr">
        <is>
          <t>547/1078/26</t>
        </is>
      </c>
      <c r="M3506" s="256" t="inlineStr">
        <is>
          <t>31.08.2026</t>
        </is>
      </c>
      <c r="N3506" s="256" t="inlineStr">
        <is>
          <t>IPH — Institute of Public Health</t>
        </is>
      </c>
      <c r="O3506" s="256" t="inlineStr">
        <is>
          <t>25.08.2026</t>
        </is>
      </c>
      <c r="P3506" s="256" t="inlineStr">
        <is>
          <t>covered</t>
        </is>
      </c>
      <c r="Q3506" s="256" t="inlineStr"/>
      <c r="R3506" s="256" t="inlineStr"/>
    </row>
    <row r="3507">
      <c r="A3507" s="256" t="inlineStr">
        <is>
          <t>CoQ-PP_26-153</t>
        </is>
      </c>
      <c r="B3507" s="256" t="inlineStr">
        <is>
          <t>reissue — retest</t>
        </is>
      </c>
      <c r="C3507" s="256" t="inlineStr">
        <is>
          <t>J31112501</t>
        </is>
      </c>
      <c r="D3507" s="256" t="inlineStr">
        <is>
          <t>— no P lot assigned —</t>
        </is>
      </c>
      <c r="E3507" s="256" t="inlineStr">
        <is>
          <t>Jokerz 31</t>
        </is>
      </c>
      <c r="F3507" s="256" t="inlineStr">
        <is>
          <t>21.09.2026</t>
        </is>
      </c>
      <c r="G3507" s="256" t="inlineStr">
        <is>
          <t>9.2</t>
        </is>
      </c>
      <c r="H3507" s="256" t="inlineStr">
        <is>
          <t>TYMC</t>
        </is>
      </c>
      <c r="I3507" s="256" t="inlineStr">
        <is>
          <t>Ph. Eur. 2.6.12 cat. C</t>
        </is>
      </c>
      <c r="J3507" s="256" t="inlineStr">
        <is>
          <t>≤ 10⁴ CFU/g</t>
        </is>
      </c>
      <c r="K3507" s="256" t="inlineStr">
        <is>
          <t>8,6 × 10²</t>
        </is>
      </c>
      <c r="L3507" s="256" t="inlineStr">
        <is>
          <t>547/1078/26</t>
        </is>
      </c>
      <c r="M3507" s="256" t="inlineStr">
        <is>
          <t>31.08.2026</t>
        </is>
      </c>
      <c r="N3507" s="256" t="inlineStr">
        <is>
          <t>IPH — Institute of Public Health</t>
        </is>
      </c>
      <c r="O3507" s="256" t="inlineStr">
        <is>
          <t>25.08.2026</t>
        </is>
      </c>
      <c r="P3507" s="256" t="inlineStr">
        <is>
          <t>covered</t>
        </is>
      </c>
      <c r="Q3507" s="256" t="inlineStr"/>
      <c r="R3507" s="256" t="inlineStr"/>
    </row>
    <row r="3508">
      <c r="A3508" s="256" t="inlineStr">
        <is>
          <t>CoQ-PP_26-153</t>
        </is>
      </c>
      <c r="B3508" s="256" t="inlineStr">
        <is>
          <t>reissue — retest</t>
        </is>
      </c>
      <c r="C3508" s="256" t="inlineStr">
        <is>
          <t>J31112501</t>
        </is>
      </c>
      <c r="D3508" s="256" t="inlineStr">
        <is>
          <t>— no P lot assigned —</t>
        </is>
      </c>
      <c r="E3508" s="256" t="inlineStr">
        <is>
          <t>Jokerz 31</t>
        </is>
      </c>
      <c r="F3508" s="256" t="inlineStr">
        <is>
          <t>21.09.2026</t>
        </is>
      </c>
      <c r="G3508" s="256" t="inlineStr">
        <is>
          <t>9.3</t>
        </is>
      </c>
      <c r="H3508" s="256" t="inlineStr">
        <is>
          <t>Bile-tolerant gram-neg.</t>
        </is>
      </c>
      <c r="I3508" s="256" t="inlineStr">
        <is>
          <t>Ph. Eur. 2.6.31 cat. C</t>
        </is>
      </c>
      <c r="J3508" s="256" t="inlineStr">
        <is>
          <t>≤ 10⁴ CFU/g</t>
        </is>
      </c>
      <c r="K3508" s="256" t="inlineStr">
        <is>
          <t>&lt; 10² and &gt; 10</t>
        </is>
      </c>
      <c r="L3508" s="256" t="inlineStr">
        <is>
          <t>547/1078/26</t>
        </is>
      </c>
      <c r="M3508" s="256" t="inlineStr">
        <is>
          <t>31.08.2026</t>
        </is>
      </c>
      <c r="N3508" s="256" t="inlineStr">
        <is>
          <t>IPH — Institute of Public Health</t>
        </is>
      </c>
      <c r="O3508" s="256" t="inlineStr">
        <is>
          <t>25.08.2026</t>
        </is>
      </c>
      <c r="P3508" s="256" t="inlineStr">
        <is>
          <t>covered</t>
        </is>
      </c>
      <c r="Q3508" s="256" t="inlineStr"/>
      <c r="R3508" s="256" t="inlineStr"/>
    </row>
    <row r="3509">
      <c r="A3509" s="256" t="inlineStr">
        <is>
          <t>CoQ-PP_26-153</t>
        </is>
      </c>
      <c r="B3509" s="256" t="inlineStr">
        <is>
          <t>reissue — retest</t>
        </is>
      </c>
      <c r="C3509" s="256" t="inlineStr">
        <is>
          <t>J31112501</t>
        </is>
      </c>
      <c r="D3509" s="256" t="inlineStr">
        <is>
          <t>— no P lot assigned —</t>
        </is>
      </c>
      <c r="E3509" s="256" t="inlineStr">
        <is>
          <t>Jokerz 31</t>
        </is>
      </c>
      <c r="F3509" s="256" t="inlineStr">
        <is>
          <t>21.09.2026</t>
        </is>
      </c>
      <c r="G3509" s="256" t="inlineStr">
        <is>
          <t>9.4</t>
        </is>
      </c>
      <c r="H3509" s="256" t="inlineStr">
        <is>
          <t>Salmonella</t>
        </is>
      </c>
      <c r="I3509" s="256" t="inlineStr">
        <is>
          <t>Ph. Eur. 2.6.31 cat. C</t>
        </is>
      </c>
      <c r="J3509" s="256" t="inlineStr">
        <is>
          <t>Absence | Отсуство / 25 g</t>
        </is>
      </c>
      <c r="K3509" s="256" t="inlineStr">
        <is>
          <t>Absent | Отсутна</t>
        </is>
      </c>
      <c r="L3509" s="256" t="inlineStr">
        <is>
          <t>547/1078/26</t>
        </is>
      </c>
      <c r="M3509" s="256" t="inlineStr">
        <is>
          <t>31.08.2026</t>
        </is>
      </c>
      <c r="N3509" s="256" t="inlineStr">
        <is>
          <t>IPH — Institute of Public Health</t>
        </is>
      </c>
      <c r="O3509" s="256" t="inlineStr">
        <is>
          <t>25.08.2026</t>
        </is>
      </c>
      <c r="P3509" s="256" t="inlineStr">
        <is>
          <t>covered</t>
        </is>
      </c>
      <c r="Q3509" s="256" t="inlineStr"/>
      <c r="R3509" s="256" t="inlineStr"/>
    </row>
    <row r="3510">
      <c r="A3510" s="256" t="inlineStr">
        <is>
          <t>CoQ-PP_26-153</t>
        </is>
      </c>
      <c r="B3510" s="256" t="inlineStr">
        <is>
          <t>reissue — retest</t>
        </is>
      </c>
      <c r="C3510" s="256" t="inlineStr">
        <is>
          <t>J31112501</t>
        </is>
      </c>
      <c r="D3510" s="256" t="inlineStr">
        <is>
          <t>— no P lot assigned —</t>
        </is>
      </c>
      <c r="E3510" s="256" t="inlineStr">
        <is>
          <t>Jokerz 31</t>
        </is>
      </c>
      <c r="F3510" s="256" t="inlineStr">
        <is>
          <t>21.09.2026</t>
        </is>
      </c>
      <c r="G3510" s="256" t="inlineStr">
        <is>
          <t>9.5</t>
        </is>
      </c>
      <c r="H3510" s="256" t="inlineStr">
        <is>
          <t>Escherichia coli</t>
        </is>
      </c>
      <c r="I3510" s="256" t="inlineStr">
        <is>
          <t>Ph. Eur. 2.6.13 cat. C</t>
        </is>
      </c>
      <c r="J3510" s="256" t="inlineStr">
        <is>
          <t>Absence | Отсуство / 1 g</t>
        </is>
      </c>
      <c r="K3510" s="256" t="inlineStr">
        <is>
          <t>Absent | Отсутна</t>
        </is>
      </c>
      <c r="L3510" s="256" t="inlineStr">
        <is>
          <t>547/1078/26</t>
        </is>
      </c>
      <c r="M3510" s="256" t="inlineStr">
        <is>
          <t>31.08.2026</t>
        </is>
      </c>
      <c r="N3510" s="256" t="inlineStr">
        <is>
          <t>IPH — Institute of Public Health</t>
        </is>
      </c>
      <c r="O3510" s="256" t="inlineStr">
        <is>
          <t>25.08.2026</t>
        </is>
      </c>
      <c r="P3510" s="256" t="inlineStr">
        <is>
          <t>covered</t>
        </is>
      </c>
      <c r="Q3510" s="256" t="inlineStr"/>
      <c r="R3510" s="256" t="inlineStr"/>
    </row>
    <row r="3511">
      <c r="A3511" s="256" t="inlineStr">
        <is>
          <t>CoQ-PP_26-153</t>
        </is>
      </c>
      <c r="B3511" s="256" t="inlineStr">
        <is>
          <t>reissue — retest</t>
        </is>
      </c>
      <c r="C3511" s="256" t="inlineStr">
        <is>
          <t>J31112501</t>
        </is>
      </c>
      <c r="D3511" s="256" t="inlineStr">
        <is>
          <t>— no P lot assigned —</t>
        </is>
      </c>
      <c r="E3511" s="256" t="inlineStr">
        <is>
          <t>Jokerz 31</t>
        </is>
      </c>
      <c r="F3511" s="256" t="inlineStr">
        <is>
          <t>21.09.2026</t>
        </is>
      </c>
      <c r="G3511" s="256" t="inlineStr">
        <is>
          <t>9.6</t>
        </is>
      </c>
      <c r="H3511" s="256" t="inlineStr">
        <is>
          <t>Pseudomonas aeruginosa</t>
        </is>
      </c>
      <c r="I3511" s="256" t="inlineStr">
        <is>
          <t>Ph. Eur. 2.6.13 cat. C</t>
        </is>
      </c>
      <c r="J3511" s="256" t="inlineStr">
        <is>
          <t>Absence | Отсуство / 1 g</t>
        </is>
      </c>
      <c r="K3511" s="260" t="inlineStr">
        <is>
          <t>upon request — not required for release</t>
        </is>
      </c>
      <c r="L3511" s="256" t="inlineStr">
        <is>
          <t>—</t>
        </is>
      </c>
      <c r="M3511" s="256" t="inlineStr">
        <is>
          <t>—</t>
        </is>
      </c>
      <c r="N3511" s="256" t="inlineStr">
        <is>
          <t>—</t>
        </is>
      </c>
      <c r="O3511" s="256" t="inlineStr">
        <is>
          <t>—</t>
        </is>
      </c>
      <c r="P3511" s="256" t="inlineStr">
        <is>
          <t>upon request — not required for release</t>
        </is>
      </c>
      <c r="Q3511" s="256" t="inlineStr"/>
      <c r="R3511" s="256" t="inlineStr"/>
    </row>
    <row r="3512">
      <c r="A3512" s="256" t="inlineStr">
        <is>
          <t>CoQ-PP_26-153</t>
        </is>
      </c>
      <c r="B3512" s="256" t="inlineStr">
        <is>
          <t>reissue — retest</t>
        </is>
      </c>
      <c r="C3512" s="256" t="inlineStr">
        <is>
          <t>J31112501</t>
        </is>
      </c>
      <c r="D3512" s="256" t="inlineStr">
        <is>
          <t>— no P lot assigned —</t>
        </is>
      </c>
      <c r="E3512" s="256" t="inlineStr">
        <is>
          <t>Jokerz 31</t>
        </is>
      </c>
      <c r="F3512" s="256" t="inlineStr">
        <is>
          <t>21.09.2026</t>
        </is>
      </c>
      <c r="G3512" s="256" t="inlineStr">
        <is>
          <t>9.7</t>
        </is>
      </c>
      <c r="H3512" s="256" t="inlineStr">
        <is>
          <t>Staphylococcus aureus</t>
        </is>
      </c>
      <c r="I3512" s="256" t="inlineStr">
        <is>
          <t>Ph. Eur. 2.6.13 cat. C</t>
        </is>
      </c>
      <c r="J3512" s="256" t="inlineStr">
        <is>
          <t>Absence | Отсуство / 1 g</t>
        </is>
      </c>
      <c r="K3512" s="260" t="inlineStr">
        <is>
          <t>upon request — not required for release</t>
        </is>
      </c>
      <c r="L3512" s="256" t="inlineStr">
        <is>
          <t>—</t>
        </is>
      </c>
      <c r="M3512" s="256" t="inlineStr">
        <is>
          <t>—</t>
        </is>
      </c>
      <c r="N3512" s="256" t="inlineStr">
        <is>
          <t>—</t>
        </is>
      </c>
      <c r="O3512" s="256" t="inlineStr">
        <is>
          <t>—</t>
        </is>
      </c>
      <c r="P3512" s="256" t="inlineStr">
        <is>
          <t>upon request — not required for release</t>
        </is>
      </c>
      <c r="Q3512" s="256" t="inlineStr"/>
      <c r="R3512" s="256" t="inlineStr"/>
    </row>
    <row r="3513">
      <c r="A3513" s="256" t="inlineStr">
        <is>
          <t>CoQ-PP_26-153</t>
        </is>
      </c>
      <c r="B3513" s="256" t="inlineStr">
        <is>
          <t>reissue — retest</t>
        </is>
      </c>
      <c r="C3513" s="256" t="inlineStr">
        <is>
          <t>J31112501</t>
        </is>
      </c>
      <c r="D3513" s="256" t="inlineStr">
        <is>
          <t>— no P lot assigned —</t>
        </is>
      </c>
      <c r="E3513" s="256" t="inlineStr">
        <is>
          <t>Jokerz 31</t>
        </is>
      </c>
      <c r="F3513" s="256" t="inlineStr">
        <is>
          <t>21.09.2026</t>
        </is>
      </c>
      <c r="G3513" s="256" t="inlineStr">
        <is>
          <t>10.1</t>
        </is>
      </c>
      <c r="H3513" s="256" t="inlineStr">
        <is>
          <t>Aflatoxin B₁</t>
        </is>
      </c>
      <c r="I3513" s="256" t="inlineStr">
        <is>
          <t>Ph. Eur. 2.8.18 (HPLC-FLD)</t>
        </is>
      </c>
      <c r="J3513" s="256" t="inlineStr">
        <is>
          <t>≤ 2 µg/kg</t>
        </is>
      </c>
      <c r="K3513" s="256" t="inlineStr">
        <is>
          <t>ND</t>
        </is>
      </c>
      <c r="L3513" s="256" t="inlineStr">
        <is>
          <t>227-14-М/26</t>
        </is>
      </c>
      <c r="M3513" s="256" t="inlineStr">
        <is>
          <t>16.09.2026</t>
        </is>
      </c>
      <c r="N3513" s="256" t="inlineStr">
        <is>
          <t>Farmahem</t>
        </is>
      </c>
      <c r="O3513" s="256" t="inlineStr">
        <is>
          <t>—</t>
        </is>
      </c>
      <c r="P3513" s="256" t="inlineStr">
        <is>
          <t>covered</t>
        </is>
      </c>
      <c r="Q3513" s="256" t="inlineStr"/>
      <c r="R3513" s="256" t="inlineStr"/>
    </row>
    <row r="3514">
      <c r="A3514" s="256" t="inlineStr">
        <is>
          <t>CoQ-PP_26-153</t>
        </is>
      </c>
      <c r="B3514" s="256" t="inlineStr">
        <is>
          <t>reissue — retest</t>
        </is>
      </c>
      <c r="C3514" s="256" t="inlineStr">
        <is>
          <t>J31112501</t>
        </is>
      </c>
      <c r="D3514" s="256" t="inlineStr">
        <is>
          <t>— no P lot assigned —</t>
        </is>
      </c>
      <c r="E3514" s="256" t="inlineStr">
        <is>
          <t>Jokerz 31</t>
        </is>
      </c>
      <c r="F3514" s="256" t="inlineStr">
        <is>
          <t>21.09.2026</t>
        </is>
      </c>
      <c r="G3514" s="256" t="inlineStr">
        <is>
          <t>10.2</t>
        </is>
      </c>
      <c r="H3514" s="256" t="inlineStr">
        <is>
          <t>Aflatoxins ∑</t>
        </is>
      </c>
      <c r="I3514" s="256" t="inlineStr">
        <is>
          <t>Ph. Eur. 2.8.18 (HPLC-FLD)</t>
        </is>
      </c>
      <c r="J3514" s="256" t="inlineStr">
        <is>
          <t>≤ 4 µg/kg</t>
        </is>
      </c>
      <c r="K3514" s="256" t="inlineStr">
        <is>
          <t>ND</t>
        </is>
      </c>
      <c r="L3514" s="256" t="inlineStr">
        <is>
          <t>227-14-М/26</t>
        </is>
      </c>
      <c r="M3514" s="256" t="inlineStr">
        <is>
          <t>16.09.2026</t>
        </is>
      </c>
      <c r="N3514" s="256" t="inlineStr">
        <is>
          <t>Farmahem</t>
        </is>
      </c>
      <c r="O3514" s="256" t="inlineStr">
        <is>
          <t>—</t>
        </is>
      </c>
      <c r="P3514" s="256" t="inlineStr">
        <is>
          <t>covered</t>
        </is>
      </c>
      <c r="Q3514" s="256" t="inlineStr"/>
      <c r="R3514" s="256" t="inlineStr"/>
    </row>
    <row r="3515">
      <c r="A3515" s="256" t="inlineStr">
        <is>
          <t>CoQ-PP_26-153</t>
        </is>
      </c>
      <c r="B3515" s="256" t="inlineStr">
        <is>
          <t>reissue — retest</t>
        </is>
      </c>
      <c r="C3515" s="256" t="inlineStr">
        <is>
          <t>J31112501</t>
        </is>
      </c>
      <c r="D3515" s="256" t="inlineStr">
        <is>
          <t>— no P lot assigned —</t>
        </is>
      </c>
      <c r="E3515" s="256" t="inlineStr">
        <is>
          <t>Jokerz 31</t>
        </is>
      </c>
      <c r="F3515" s="256" t="inlineStr">
        <is>
          <t>21.09.2026</t>
        </is>
      </c>
      <c r="G3515" s="256" t="inlineStr">
        <is>
          <t>10.3</t>
        </is>
      </c>
      <c r="H3515" s="256" t="inlineStr">
        <is>
          <t>Ochratoxin A</t>
        </is>
      </c>
      <c r="I3515" s="256" t="inlineStr">
        <is>
          <t>Ph. Eur. 2.8.22 (HPLC-FLD)</t>
        </is>
      </c>
      <c r="J3515" s="256" t="inlineStr">
        <is>
          <t>≤ 20 µg/kg</t>
        </is>
      </c>
      <c r="K3515" s="256" t="inlineStr">
        <is>
          <t>ND</t>
        </is>
      </c>
      <c r="L3515" s="256" t="inlineStr">
        <is>
          <t>227-14-М/26</t>
        </is>
      </c>
      <c r="M3515" s="256" t="inlineStr">
        <is>
          <t>16.09.2026</t>
        </is>
      </c>
      <c r="N3515" s="256" t="inlineStr">
        <is>
          <t>Farmahem</t>
        </is>
      </c>
      <c r="O3515" s="256" t="inlineStr">
        <is>
          <t>—</t>
        </is>
      </c>
      <c r="P3515" s="256" t="inlineStr">
        <is>
          <t>covered</t>
        </is>
      </c>
      <c r="Q3515" s="256" t="inlineStr"/>
      <c r="R3515" s="256" t="inlineStr"/>
    </row>
    <row r="3516">
      <c r="A3516" s="256" t="inlineStr">
        <is>
          <t>CoQ-PP_26-153</t>
        </is>
      </c>
      <c r="B3516" s="256" t="inlineStr">
        <is>
          <t>reissue — retest</t>
        </is>
      </c>
      <c r="C3516" s="256" t="inlineStr">
        <is>
          <t>J31112501</t>
        </is>
      </c>
      <c r="D3516" s="256" t="inlineStr">
        <is>
          <t>— no P lot assigned —</t>
        </is>
      </c>
      <c r="E3516" s="256" t="inlineStr">
        <is>
          <t>Jokerz 31</t>
        </is>
      </c>
      <c r="F3516" s="256" t="inlineStr">
        <is>
          <t>21.09.2026</t>
        </is>
      </c>
      <c r="G3516" s="256" t="inlineStr">
        <is>
          <t>11.1</t>
        </is>
      </c>
      <c r="H3516" s="256" t="inlineStr">
        <is>
          <t>Lead (Pb)</t>
        </is>
      </c>
      <c r="I3516" s="256" t="inlineStr">
        <is>
          <t>Ph. Eur. 2.4.27 (ICP-MS)</t>
        </is>
      </c>
      <c r="J3516" s="256" t="inlineStr">
        <is>
          <t>≤ 0.5 mg/kg</t>
        </is>
      </c>
      <c r="K3516" s="256" t="inlineStr">
        <is>
          <t>carried from the initial testing — not tested</t>
        </is>
      </c>
      <c r="L3516" s="256" t="inlineStr">
        <is>
          <t>—</t>
        </is>
      </c>
      <c r="M3516" s="256" t="inlineStr">
        <is>
          <t>—</t>
        </is>
      </c>
      <c r="N3516" s="256" t="inlineStr">
        <is>
          <t>—</t>
        </is>
      </c>
      <c r="O3516" s="256" t="inlineStr">
        <is>
          <t>—</t>
        </is>
      </c>
      <c r="P3516" s="256" t="inlineStr">
        <is>
          <t>carried from the initial testing (the batch's initial CoQ (number assigned on issue)) — not tested — no certificate covers it</t>
        </is>
      </c>
      <c r="Q3516" s="256" t="inlineStr"/>
      <c r="R3516" s="256" t="inlineStr"/>
    </row>
    <row r="3517">
      <c r="A3517" s="256" t="inlineStr">
        <is>
          <t>CoQ-PP_26-153</t>
        </is>
      </c>
      <c r="B3517" s="256" t="inlineStr">
        <is>
          <t>reissue — retest</t>
        </is>
      </c>
      <c r="C3517" s="256" t="inlineStr">
        <is>
          <t>J31112501</t>
        </is>
      </c>
      <c r="D3517" s="256" t="inlineStr">
        <is>
          <t>— no P lot assigned —</t>
        </is>
      </c>
      <c r="E3517" s="256" t="inlineStr">
        <is>
          <t>Jokerz 31</t>
        </is>
      </c>
      <c r="F3517" s="256" t="inlineStr">
        <is>
          <t>21.09.2026</t>
        </is>
      </c>
      <c r="G3517" s="256" t="inlineStr">
        <is>
          <t>11.2</t>
        </is>
      </c>
      <c r="H3517" s="256" t="inlineStr">
        <is>
          <t>Cadmium (Cd)</t>
        </is>
      </c>
      <c r="I3517" s="256" t="inlineStr">
        <is>
          <t>Ph. Eur. 2.4.27 (ICP-MS)</t>
        </is>
      </c>
      <c r="J3517" s="256" t="inlineStr">
        <is>
          <t>≤ 0.3 mg/kg</t>
        </is>
      </c>
      <c r="K3517" s="256" t="inlineStr">
        <is>
          <t>carried from the initial testing — not tested</t>
        </is>
      </c>
      <c r="L3517" s="256" t="inlineStr">
        <is>
          <t>—</t>
        </is>
      </c>
      <c r="M3517" s="256" t="inlineStr">
        <is>
          <t>—</t>
        </is>
      </c>
      <c r="N3517" s="256" t="inlineStr">
        <is>
          <t>—</t>
        </is>
      </c>
      <c r="O3517" s="256" t="inlineStr">
        <is>
          <t>—</t>
        </is>
      </c>
      <c r="P3517" s="256" t="inlineStr">
        <is>
          <t>carried from the initial testing (the batch's initial CoQ (number assigned on issue)) — not tested — no certificate covers it</t>
        </is>
      </c>
      <c r="Q3517" s="256" t="inlineStr"/>
      <c r="R3517" s="256" t="inlineStr"/>
    </row>
    <row r="3518">
      <c r="A3518" s="256" t="inlineStr">
        <is>
          <t>CoQ-PP_26-153</t>
        </is>
      </c>
      <c r="B3518" s="256" t="inlineStr">
        <is>
          <t>reissue — retest</t>
        </is>
      </c>
      <c r="C3518" s="256" t="inlineStr">
        <is>
          <t>J31112501</t>
        </is>
      </c>
      <c r="D3518" s="256" t="inlineStr">
        <is>
          <t>— no P lot assigned —</t>
        </is>
      </c>
      <c r="E3518" s="256" t="inlineStr">
        <is>
          <t>Jokerz 31</t>
        </is>
      </c>
      <c r="F3518" s="256" t="inlineStr">
        <is>
          <t>21.09.2026</t>
        </is>
      </c>
      <c r="G3518" s="256" t="inlineStr">
        <is>
          <t>11.3</t>
        </is>
      </c>
      <c r="H3518" s="256" t="inlineStr">
        <is>
          <t>Arsenic (As)</t>
        </is>
      </c>
      <c r="I3518" s="256" t="inlineStr">
        <is>
          <t>Ph. Eur. 2.4.27 (ICP-MS)</t>
        </is>
      </c>
      <c r="J3518" s="256" t="inlineStr">
        <is>
          <t>≤ 0.2 mg/kg</t>
        </is>
      </c>
      <c r="K3518" s="256" t="inlineStr">
        <is>
          <t>carried from the initial testing — not tested</t>
        </is>
      </c>
      <c r="L3518" s="256" t="inlineStr">
        <is>
          <t>—</t>
        </is>
      </c>
      <c r="M3518" s="256" t="inlineStr">
        <is>
          <t>—</t>
        </is>
      </c>
      <c r="N3518" s="256" t="inlineStr">
        <is>
          <t>—</t>
        </is>
      </c>
      <c r="O3518" s="256" t="inlineStr">
        <is>
          <t>—</t>
        </is>
      </c>
      <c r="P3518" s="256" t="inlineStr">
        <is>
          <t>carried from the initial testing (the batch's initial CoQ (number assigned on issue)) — not tested — no certificate covers it</t>
        </is>
      </c>
      <c r="Q3518" s="256" t="inlineStr"/>
      <c r="R3518" s="256" t="inlineStr"/>
    </row>
    <row r="3519">
      <c r="A3519" s="256" t="inlineStr">
        <is>
          <t>CoQ-PP_26-153</t>
        </is>
      </c>
      <c r="B3519" s="256" t="inlineStr">
        <is>
          <t>reissue — retest</t>
        </is>
      </c>
      <c r="C3519" s="256" t="inlineStr">
        <is>
          <t>J31112501</t>
        </is>
      </c>
      <c r="D3519" s="256" t="inlineStr">
        <is>
          <t>— no P lot assigned —</t>
        </is>
      </c>
      <c r="E3519" s="256" t="inlineStr">
        <is>
          <t>Jokerz 31</t>
        </is>
      </c>
      <c r="F3519" s="256" t="inlineStr">
        <is>
          <t>21.09.2026</t>
        </is>
      </c>
      <c r="G3519" s="256" t="inlineStr">
        <is>
          <t>11.4</t>
        </is>
      </c>
      <c r="H3519" s="256" t="inlineStr">
        <is>
          <t>Mercury (Hg)</t>
        </is>
      </c>
      <c r="I3519" s="256" t="inlineStr">
        <is>
          <t>Ph. Eur. 2.4.27 (ICP-MS)</t>
        </is>
      </c>
      <c r="J3519" s="256" t="inlineStr">
        <is>
          <t>≤ 0.1 mg/kg</t>
        </is>
      </c>
      <c r="K3519" s="256" t="inlineStr">
        <is>
          <t>carried from the initial testing — not tested</t>
        </is>
      </c>
      <c r="L3519" s="256" t="inlineStr">
        <is>
          <t>—</t>
        </is>
      </c>
      <c r="M3519" s="256" t="inlineStr">
        <is>
          <t>—</t>
        </is>
      </c>
      <c r="N3519" s="256" t="inlineStr">
        <is>
          <t>—</t>
        </is>
      </c>
      <c r="O3519" s="256" t="inlineStr">
        <is>
          <t>—</t>
        </is>
      </c>
      <c r="P3519" s="256" t="inlineStr">
        <is>
          <t>carried from the initial testing (the batch's initial CoQ (number assigned on issue)) — not tested — no certificate covers it</t>
        </is>
      </c>
      <c r="Q3519" s="256" t="inlineStr"/>
      <c r="R3519" s="256" t="inlineStr"/>
    </row>
    <row r="3520">
      <c r="A3520" s="256" t="inlineStr">
        <is>
          <t>CoQ-PP_26-153</t>
        </is>
      </c>
      <c r="B3520" s="256" t="inlineStr">
        <is>
          <t>reissue — retest</t>
        </is>
      </c>
      <c r="C3520" s="256" t="inlineStr">
        <is>
          <t>J31112501</t>
        </is>
      </c>
      <c r="D3520" s="256" t="inlineStr">
        <is>
          <t>— no P lot assigned —</t>
        </is>
      </c>
      <c r="E3520" s="256" t="inlineStr">
        <is>
          <t>Jokerz 31</t>
        </is>
      </c>
      <c r="F3520" s="256" t="inlineStr">
        <is>
          <t>21.09.2026</t>
        </is>
      </c>
      <c r="G3520" s="256" t="inlineStr">
        <is>
          <t>12</t>
        </is>
      </c>
      <c r="H3520" s="256" t="inlineStr">
        <is>
          <t>Pesticide Residues</t>
        </is>
      </c>
      <c r="I3520" s="256" t="inlineStr">
        <is>
          <t>Ph. Eur. 2.8.13 (LC-MS/MS) · CUMCS Equivalency</t>
        </is>
      </c>
      <c r="J3520" s="256" t="inlineStr">
        <is>
          <t>≤ LOQ as per Ph. Eur. 2.8.13 · ≤ LOQ as per CUMCS Equivalency</t>
        </is>
      </c>
      <c r="K3520" s="256" t="inlineStr">
        <is>
          <t>carried from the initial testing — not tested</t>
        </is>
      </c>
      <c r="L3520" s="256" t="inlineStr">
        <is>
          <t>—</t>
        </is>
      </c>
      <c r="M3520" s="256" t="inlineStr">
        <is>
          <t>—</t>
        </is>
      </c>
      <c r="N3520" s="256" t="inlineStr">
        <is>
          <t>—</t>
        </is>
      </c>
      <c r="O3520" s="256" t="inlineStr">
        <is>
          <t>—</t>
        </is>
      </c>
      <c r="P3520" s="256" t="inlineStr">
        <is>
          <t>carried from the initial testing (the batch's initial CoQ (number assigned on issue)) — not tested — no certificate covers it</t>
        </is>
      </c>
      <c r="Q3520" s="256" t="inlineStr"/>
      <c r="R3520" s="256" t="inlineStr"/>
    </row>
    <row r="3521">
      <c r="A3521" s="256" t="inlineStr">
        <is>
          <t>CoQ-PP_26-154</t>
        </is>
      </c>
      <c r="B3521" s="256" t="inlineStr">
        <is>
          <t>reissue — retest</t>
        </is>
      </c>
      <c r="C3521" s="256" t="inlineStr">
        <is>
          <t>J31122501</t>
        </is>
      </c>
      <c r="D3521" s="256" t="inlineStr">
        <is>
          <t>— no P lot assigned —</t>
        </is>
      </c>
      <c r="E3521" s="256" t="inlineStr">
        <is>
          <t>Jokerz 31</t>
        </is>
      </c>
      <c r="F3521" s="256" t="inlineStr">
        <is>
          <t>21.09.2026</t>
        </is>
      </c>
      <c r="G3521" s="256" t="inlineStr">
        <is>
          <t>1</t>
        </is>
      </c>
      <c r="H3521" s="256" t="inlineStr">
        <is>
          <t>Identification A, Appearance · Macroscopic</t>
        </is>
      </c>
      <c r="I3521" s="256" t="inlineStr">
        <is>
          <t>Ph. Eur. mon. 3028</t>
        </is>
      </c>
      <c r="J3521" s="256" t="inlineStr">
        <is>
          <t>Conforms to the monograph for Cannabis flos (07/2024:3028) in Ph. Eur. 11.0 | Согласно монографија за Cannabis flos (07/2024:3028) во Ph. Eur. 11.0</t>
        </is>
      </c>
      <c r="K3521" s="256" t="inlineStr">
        <is>
          <t>Conforms | Одговара</t>
        </is>
      </c>
      <c r="L3521" s="256" t="inlineStr">
        <is>
          <t>iCoA-PP_26-171</t>
        </is>
      </c>
      <c r="M3521" s="256" t="inlineStr">
        <is>
          <t>24.08.2026</t>
        </is>
      </c>
      <c r="N3521" s="256" t="inlineStr">
        <is>
          <t>Purely Plant GmbH (in-house)</t>
        </is>
      </c>
      <c r="O3521" s="256" t="inlineStr">
        <is>
          <t>—</t>
        </is>
      </c>
      <c r="P3521" s="256" t="inlineStr">
        <is>
          <t>to be performed — see route</t>
        </is>
      </c>
      <c r="Q3521" s="256" t="inlineStr">
        <is>
          <t>Farmahem — Ident A + B + C with the Assay, at retest</t>
        </is>
      </c>
      <c r="R3521" s="256" t="inlineStr"/>
    </row>
    <row r="3522">
      <c r="A3522" s="256" t="inlineStr">
        <is>
          <t>CoQ-PP_26-154</t>
        </is>
      </c>
      <c r="B3522" s="256" t="inlineStr">
        <is>
          <t>reissue — retest</t>
        </is>
      </c>
      <c r="C3522" s="256" t="inlineStr">
        <is>
          <t>J31122501</t>
        </is>
      </c>
      <c r="D3522" s="256" t="inlineStr">
        <is>
          <t>— no P lot assigned —</t>
        </is>
      </c>
      <c r="E3522" s="256" t="inlineStr">
        <is>
          <t>Jokerz 31</t>
        </is>
      </c>
      <c r="F3522" s="256" t="inlineStr">
        <is>
          <t>21.09.2026</t>
        </is>
      </c>
      <c r="G3522" s="256" t="inlineStr">
        <is>
          <t>2</t>
        </is>
      </c>
      <c r="H3522" s="256" t="inlineStr">
        <is>
          <t>Identification B · Microscopic</t>
        </is>
      </c>
      <c r="I3522" s="256" t="inlineStr">
        <is>
          <t>Ph. Eur. 2.8.23 (microscopy)</t>
        </is>
      </c>
      <c r="J3522" s="256" t="inlineStr">
        <is>
          <t>Conforms to the monograph for Cannabis flos (07/2024:3028) in Ph. Eur. 11.0 | Согласно монографија за Cannabis flos (07/2024:3028) во Ph. Eur. 11.0</t>
        </is>
      </c>
      <c r="K3522" s="256" t="inlineStr">
        <is>
          <t>Conforms | Одговара</t>
        </is>
      </c>
      <c r="L3522" s="256" t="inlineStr">
        <is>
          <t>iCoA-PP_26-171</t>
        </is>
      </c>
      <c r="M3522" s="256" t="inlineStr">
        <is>
          <t>24.08.2026</t>
        </is>
      </c>
      <c r="N3522" s="256" t="inlineStr">
        <is>
          <t>Purely Plant GmbH (in-house)</t>
        </is>
      </c>
      <c r="O3522" s="256" t="inlineStr">
        <is>
          <t>—</t>
        </is>
      </c>
      <c r="P3522" s="256" t="inlineStr">
        <is>
          <t>to be performed — see route</t>
        </is>
      </c>
      <c r="Q3522" s="256" t="inlineStr">
        <is>
          <t>Farmahem — Ident A + B + C with the Assay, at retest</t>
        </is>
      </c>
      <c r="R3522" s="256" t="inlineStr"/>
    </row>
    <row r="3523">
      <c r="A3523" s="256" t="inlineStr">
        <is>
          <t>CoQ-PP_26-154</t>
        </is>
      </c>
      <c r="B3523" s="256" t="inlineStr">
        <is>
          <t>reissue — retest</t>
        </is>
      </c>
      <c r="C3523" s="256" t="inlineStr">
        <is>
          <t>J31122501</t>
        </is>
      </c>
      <c r="D3523" s="256" t="inlineStr">
        <is>
          <t>— no P lot assigned —</t>
        </is>
      </c>
      <c r="E3523" s="256" t="inlineStr">
        <is>
          <t>Jokerz 31</t>
        </is>
      </c>
      <c r="F3523" s="256" t="inlineStr">
        <is>
          <t>21.09.2026</t>
        </is>
      </c>
      <c r="G3523" s="256" t="inlineStr">
        <is>
          <t>3</t>
        </is>
      </c>
      <c r="H3523" s="256" t="inlineStr">
        <is>
          <t>Identification C · HPLC/HPTLC</t>
        </is>
      </c>
      <c r="I3523" s="256" t="inlineStr">
        <is>
          <t>Ph. Eur. 2.2.29 (3028)</t>
        </is>
      </c>
      <c r="J3523" s="256" t="inlineStr">
        <is>
          <t>Conforms to the monograph for Cannabis flos (07/2024:3028) in Ph. Eur. 11.0 | Согласно монографија за Cannabis flos (07/2024:3028) во Ph. Eur. 11.0</t>
        </is>
      </c>
      <c r="K3523" s="256" t="inlineStr">
        <is>
          <t>Conforms | Одговара</t>
        </is>
      </c>
      <c r="L3523" s="256" t="inlineStr">
        <is>
          <t>227-13-К/26</t>
        </is>
      </c>
      <c r="M3523" s="256" t="inlineStr">
        <is>
          <t>11.09.2026</t>
        </is>
      </c>
      <c r="N3523" s="256" t="inlineStr">
        <is>
          <t>Farmahem</t>
        </is>
      </c>
      <c r="O3523" s="256" t="inlineStr">
        <is>
          <t>24.08.2026</t>
        </is>
      </c>
      <c r="P3523" s="256" t="inlineStr">
        <is>
          <t>covered</t>
        </is>
      </c>
      <c r="Q3523" s="256" t="inlineStr"/>
      <c r="R3523" s="256" t="inlineStr"/>
    </row>
    <row r="3524">
      <c r="A3524" s="256" t="inlineStr">
        <is>
          <t>CoQ-PP_26-154</t>
        </is>
      </c>
      <c r="B3524" s="256" t="inlineStr">
        <is>
          <t>reissue — retest</t>
        </is>
      </c>
      <c r="C3524" s="256" t="inlineStr">
        <is>
          <t>J31122501</t>
        </is>
      </c>
      <c r="D3524" s="256" t="inlineStr">
        <is>
          <t>— no P lot assigned —</t>
        </is>
      </c>
      <c r="E3524" s="256" t="inlineStr">
        <is>
          <t>Jokerz 31</t>
        </is>
      </c>
      <c r="F3524" s="256" t="inlineStr">
        <is>
          <t>21.09.2026</t>
        </is>
      </c>
      <c r="G3524" s="256" t="inlineStr">
        <is>
          <t>4</t>
        </is>
      </c>
      <c r="H3524" s="256" t="inlineStr">
        <is>
          <t>Assay — Total Δ⁹-THC</t>
        </is>
      </c>
      <c r="I3524" s="256" t="inlineStr">
        <is>
          <t>Ph. Eur. 2.2.29 (HPLC)</t>
        </is>
      </c>
      <c r="J3524" s="256" t="inlineStr">
        <is>
          <t>24.20 – 27.79 %  (grade I, nominal 26.00 ± 1.80)</t>
        </is>
      </c>
      <c r="K3524" s="256" t="inlineStr">
        <is>
          <t>24.48</t>
        </is>
      </c>
      <c r="L3524" s="256" t="inlineStr">
        <is>
          <t>227-13-К/26</t>
        </is>
      </c>
      <c r="M3524" s="256" t="inlineStr">
        <is>
          <t>11.09.2026</t>
        </is>
      </c>
      <c r="N3524" s="256" t="inlineStr">
        <is>
          <t>Farmahem</t>
        </is>
      </c>
      <c r="O3524" s="256" t="inlineStr">
        <is>
          <t>24.08.2026</t>
        </is>
      </c>
      <c r="P3524" s="256" t="inlineStr">
        <is>
          <t>covered</t>
        </is>
      </c>
      <c r="Q3524" s="256" t="inlineStr"/>
      <c r="R3524" s="256" t="inlineStr"/>
    </row>
    <row r="3525">
      <c r="A3525" s="256" t="inlineStr">
        <is>
          <t>CoQ-PP_26-154</t>
        </is>
      </c>
      <c r="B3525" s="256" t="inlineStr">
        <is>
          <t>reissue — retest</t>
        </is>
      </c>
      <c r="C3525" s="256" t="inlineStr">
        <is>
          <t>J31122501</t>
        </is>
      </c>
      <c r="D3525" s="256" t="inlineStr">
        <is>
          <t>— no P lot assigned —</t>
        </is>
      </c>
      <c r="E3525" s="256" t="inlineStr">
        <is>
          <t>Jokerz 31</t>
        </is>
      </c>
      <c r="F3525" s="256" t="inlineStr">
        <is>
          <t>21.09.2026</t>
        </is>
      </c>
      <c r="G3525" s="256" t="inlineStr">
        <is>
          <t>5</t>
        </is>
      </c>
      <c r="H3525" s="256" t="inlineStr">
        <is>
          <t>Assay — Total CBD</t>
        </is>
      </c>
      <c r="I3525" s="256" t="inlineStr">
        <is>
          <t>Ph. Eur. 2.2.29 (HPLC) · CBD + CBDA x 0.877</t>
        </is>
      </c>
      <c r="J3525" s="256" t="inlineStr">
        <is>
          <t>≤ 1.0%, w/w</t>
        </is>
      </c>
      <c r="K3525" s="256" t="inlineStr">
        <is>
          <t>&lt; LOQ</t>
        </is>
      </c>
      <c r="L3525" s="256" t="inlineStr">
        <is>
          <t>227-13-К/26</t>
        </is>
      </c>
      <c r="M3525" s="256" t="inlineStr">
        <is>
          <t>11.09.2026</t>
        </is>
      </c>
      <c r="N3525" s="256" t="inlineStr">
        <is>
          <t>Farmahem</t>
        </is>
      </c>
      <c r="O3525" s="256" t="inlineStr">
        <is>
          <t>24.08.2026</t>
        </is>
      </c>
      <c r="P3525" s="256" t="inlineStr">
        <is>
          <t>covered</t>
        </is>
      </c>
      <c r="Q3525" s="256" t="inlineStr"/>
      <c r="R3525" s="256" t="inlineStr"/>
    </row>
    <row r="3526">
      <c r="A3526" s="256" t="inlineStr">
        <is>
          <t>CoQ-PP_26-154</t>
        </is>
      </c>
      <c r="B3526" s="256" t="inlineStr">
        <is>
          <t>reissue — retest</t>
        </is>
      </c>
      <c r="C3526" s="256" t="inlineStr">
        <is>
          <t>J31122501</t>
        </is>
      </c>
      <c r="D3526" s="256" t="inlineStr">
        <is>
          <t>— no P lot assigned —</t>
        </is>
      </c>
      <c r="E3526" s="256" t="inlineStr">
        <is>
          <t>Jokerz 31</t>
        </is>
      </c>
      <c r="F3526" s="256" t="inlineStr">
        <is>
          <t>21.09.2026</t>
        </is>
      </c>
      <c r="G3526" s="256" t="inlineStr">
        <is>
          <t>6</t>
        </is>
      </c>
      <c r="H3526" s="256" t="inlineStr">
        <is>
          <t>Total CBN</t>
        </is>
      </c>
      <c r="I3526" s="256" t="inlineStr">
        <is>
          <t>Ph. Eur. 2.2.29 (HPLC) · CBN + CBNA x 0.876</t>
        </is>
      </c>
      <c r="J3526" s="256" t="inlineStr">
        <is>
          <t>≤ 1.0%, w/w</t>
        </is>
      </c>
      <c r="K3526" s="256" t="inlineStr">
        <is>
          <t>&lt; LOQ</t>
        </is>
      </c>
      <c r="L3526" s="256" t="inlineStr">
        <is>
          <t>227-13-К/26</t>
        </is>
      </c>
      <c r="M3526" s="256" t="inlineStr">
        <is>
          <t>11.09.2026</t>
        </is>
      </c>
      <c r="N3526" s="256" t="inlineStr">
        <is>
          <t>Farmahem</t>
        </is>
      </c>
      <c r="O3526" s="256" t="inlineStr">
        <is>
          <t>24.08.2026</t>
        </is>
      </c>
      <c r="P3526" s="256" t="inlineStr">
        <is>
          <t>covered</t>
        </is>
      </c>
      <c r="Q3526" s="256" t="inlineStr"/>
      <c r="R3526" s="256" t="inlineStr"/>
    </row>
    <row r="3527">
      <c r="A3527" s="256" t="inlineStr">
        <is>
          <t>CoQ-PP_26-154</t>
        </is>
      </c>
      <c r="B3527" s="256" t="inlineStr">
        <is>
          <t>reissue — retest</t>
        </is>
      </c>
      <c r="C3527" s="256" t="inlineStr">
        <is>
          <t>J31122501</t>
        </is>
      </c>
      <c r="D3527" s="256" t="inlineStr">
        <is>
          <t>— no P lot assigned —</t>
        </is>
      </c>
      <c r="E3527" s="256" t="inlineStr">
        <is>
          <t>Jokerz 31</t>
        </is>
      </c>
      <c r="F3527" s="256" t="inlineStr">
        <is>
          <t>21.09.2026</t>
        </is>
      </c>
      <c r="G3527" s="256" t="inlineStr">
        <is>
          <t>7</t>
        </is>
      </c>
      <c r="H3527" s="256" t="inlineStr">
        <is>
          <t>Foreign Matter</t>
        </is>
      </c>
      <c r="I3527" s="256" t="inlineStr">
        <is>
          <t>Ph. Eur. 2.8.2 · In-house · интерна</t>
        </is>
      </c>
      <c r="J3527" s="256" t="inlineStr">
        <is>
          <t>≤ 2.0% / 25–50 g · &lt; 1 cm leaves | листови, no seeds | без семки</t>
        </is>
      </c>
      <c r="K3527" s="256" t="inlineStr">
        <is>
          <t>Conforms | Одговара</t>
        </is>
      </c>
      <c r="L3527" s="256" t="inlineStr">
        <is>
          <t>iCoA-PP_26-171</t>
        </is>
      </c>
      <c r="M3527" s="256" t="inlineStr">
        <is>
          <t>24.08.2026</t>
        </is>
      </c>
      <c r="N3527" s="256" t="inlineStr">
        <is>
          <t>Purely Plant GmbH (in-house)</t>
        </is>
      </c>
      <c r="O3527" s="256" t="inlineStr">
        <is>
          <t>—</t>
        </is>
      </c>
      <c r="P3527" s="256" t="inlineStr">
        <is>
          <t>to be performed — see route</t>
        </is>
      </c>
      <c r="Q3527" s="256" t="inlineStr">
        <is>
          <t>Purely Plant laboratory — iCoA covering Foreign matter</t>
        </is>
      </c>
      <c r="R3527" s="256" t="inlineStr"/>
    </row>
    <row r="3528">
      <c r="A3528" s="256" t="inlineStr">
        <is>
          <t>CoQ-PP_26-154</t>
        </is>
      </c>
      <c r="B3528" s="256" t="inlineStr">
        <is>
          <t>reissue — retest</t>
        </is>
      </c>
      <c r="C3528" s="256" t="inlineStr">
        <is>
          <t>J31122501</t>
        </is>
      </c>
      <c r="D3528" s="256" t="inlineStr">
        <is>
          <t>— no P lot assigned —</t>
        </is>
      </c>
      <c r="E3528" s="256" t="inlineStr">
        <is>
          <t>Jokerz 31</t>
        </is>
      </c>
      <c r="F3528" s="256" t="inlineStr">
        <is>
          <t>21.09.2026</t>
        </is>
      </c>
      <c r="G3528" s="256" t="inlineStr">
        <is>
          <t>8</t>
        </is>
      </c>
      <c r="H3528" s="256" t="inlineStr">
        <is>
          <t>Loss on Drying</t>
        </is>
      </c>
      <c r="I3528" s="256" t="inlineStr">
        <is>
          <t>Ph. Eur. 2.2.32 (3028) · at 40 °C, 24 h, 15–25 mbar</t>
        </is>
      </c>
      <c r="J3528" s="256" t="inlineStr">
        <is>
          <t>≤ 12.0%</t>
        </is>
      </c>
      <c r="K3528" s="256" t="inlineStr">
        <is>
          <t>10.3</t>
        </is>
      </c>
      <c r="L3528" s="256" t="inlineStr">
        <is>
          <t>100-2-ГС/26</t>
        </is>
      </c>
      <c r="M3528" s="256" t="inlineStr">
        <is>
          <t>09.04.2026</t>
        </is>
      </c>
      <c r="N3528" s="256" t="inlineStr">
        <is>
          <t>Farmahem</t>
        </is>
      </c>
      <c r="O3528" s="256" t="inlineStr">
        <is>
          <t>—</t>
        </is>
      </c>
      <c r="P3528" s="256" t="inlineStr">
        <is>
          <t>carried from the initial testing (the batch's initial CoQ (number assigned on issue)) — covered — laboratory finding recorded</t>
        </is>
      </c>
      <c r="Q3528" s="256" t="inlineStr"/>
      <c r="R3528" s="256" t="inlineStr">
        <is>
          <t>10.3 (100-3-ГС/26)</t>
        </is>
      </c>
    </row>
    <row r="3529">
      <c r="A3529" s="256" t="inlineStr">
        <is>
          <t>CoQ-PP_26-154</t>
        </is>
      </c>
      <c r="B3529" s="256" t="inlineStr">
        <is>
          <t>reissue — retest</t>
        </is>
      </c>
      <c r="C3529" s="256" t="inlineStr">
        <is>
          <t>J31122501</t>
        </is>
      </c>
      <c r="D3529" s="256" t="inlineStr">
        <is>
          <t>— no P lot assigned —</t>
        </is>
      </c>
      <c r="E3529" s="256" t="inlineStr">
        <is>
          <t>Jokerz 31</t>
        </is>
      </c>
      <c r="F3529" s="256" t="inlineStr">
        <is>
          <t>21.09.2026</t>
        </is>
      </c>
      <c r="G3529" s="256" t="inlineStr">
        <is>
          <t>9.1</t>
        </is>
      </c>
      <c r="H3529" s="256" t="inlineStr">
        <is>
          <t>TAMC</t>
        </is>
      </c>
      <c r="I3529" s="256" t="inlineStr">
        <is>
          <t>Ph. Eur. 2.6.12 cat. C</t>
        </is>
      </c>
      <c r="J3529" s="256" t="inlineStr">
        <is>
          <t>≤ 10⁵ CFU/g</t>
        </is>
      </c>
      <c r="K3529" s="256" t="inlineStr">
        <is>
          <t>1 × 10³</t>
        </is>
      </c>
      <c r="L3529" s="256" t="inlineStr">
        <is>
          <t>544/1075/26</t>
        </is>
      </c>
      <c r="M3529" s="256" t="inlineStr">
        <is>
          <t>31.08.2026</t>
        </is>
      </c>
      <c r="N3529" s="256" t="inlineStr">
        <is>
          <t>IPH — Institute of Public Health</t>
        </is>
      </c>
      <c r="O3529" s="256" t="inlineStr">
        <is>
          <t>25.08.2026</t>
        </is>
      </c>
      <c r="P3529" s="256" t="inlineStr">
        <is>
          <t>covered</t>
        </is>
      </c>
      <c r="Q3529" s="256" t="inlineStr"/>
      <c r="R3529" s="256" t="inlineStr">
        <is>
          <t>1900 (230/0393/26 (Trimiran cvet))</t>
        </is>
      </c>
    </row>
    <row r="3530">
      <c r="A3530" s="256" t="inlineStr">
        <is>
          <t>CoQ-PP_26-154</t>
        </is>
      </c>
      <c r="B3530" s="256" t="inlineStr">
        <is>
          <t>reissue — retest</t>
        </is>
      </c>
      <c r="C3530" s="256" t="inlineStr">
        <is>
          <t>J31122501</t>
        </is>
      </c>
      <c r="D3530" s="256" t="inlineStr">
        <is>
          <t>— no P lot assigned —</t>
        </is>
      </c>
      <c r="E3530" s="256" t="inlineStr">
        <is>
          <t>Jokerz 31</t>
        </is>
      </c>
      <c r="F3530" s="256" t="inlineStr">
        <is>
          <t>21.09.2026</t>
        </is>
      </c>
      <c r="G3530" s="256" t="inlineStr">
        <is>
          <t>9.2</t>
        </is>
      </c>
      <c r="H3530" s="256" t="inlineStr">
        <is>
          <t>TYMC</t>
        </is>
      </c>
      <c r="I3530" s="256" t="inlineStr">
        <is>
          <t>Ph. Eur. 2.6.12 cat. C</t>
        </is>
      </c>
      <c r="J3530" s="256" t="inlineStr">
        <is>
          <t>≤ 10⁴ CFU/g</t>
        </is>
      </c>
      <c r="K3530" s="256" t="inlineStr">
        <is>
          <t>1,7 × 10²</t>
        </is>
      </c>
      <c r="L3530" s="256" t="inlineStr">
        <is>
          <t>544/1075/26</t>
        </is>
      </c>
      <c r="M3530" s="256" t="inlineStr">
        <is>
          <t>31.08.2026</t>
        </is>
      </c>
      <c r="N3530" s="256" t="inlineStr">
        <is>
          <t>IPH — Institute of Public Health</t>
        </is>
      </c>
      <c r="O3530" s="256" t="inlineStr">
        <is>
          <t>25.08.2026</t>
        </is>
      </c>
      <c r="P3530" s="256" t="inlineStr">
        <is>
          <t>covered</t>
        </is>
      </c>
      <c r="Q3530" s="256" t="inlineStr"/>
      <c r="R3530" s="256" t="inlineStr">
        <is>
          <t>840 (230/0393/26 (Trimiran cvet))</t>
        </is>
      </c>
    </row>
    <row r="3531">
      <c r="A3531" s="256" t="inlineStr">
        <is>
          <t>CoQ-PP_26-154</t>
        </is>
      </c>
      <c r="B3531" s="256" t="inlineStr">
        <is>
          <t>reissue — retest</t>
        </is>
      </c>
      <c r="C3531" s="256" t="inlineStr">
        <is>
          <t>J31122501</t>
        </is>
      </c>
      <c r="D3531" s="256" t="inlineStr">
        <is>
          <t>— no P lot assigned —</t>
        </is>
      </c>
      <c r="E3531" s="256" t="inlineStr">
        <is>
          <t>Jokerz 31</t>
        </is>
      </c>
      <c r="F3531" s="256" t="inlineStr">
        <is>
          <t>21.09.2026</t>
        </is>
      </c>
      <c r="G3531" s="256" t="inlineStr">
        <is>
          <t>9.3</t>
        </is>
      </c>
      <c r="H3531" s="256" t="inlineStr">
        <is>
          <t>Bile-tolerant gram-neg.</t>
        </is>
      </c>
      <c r="I3531" s="256" t="inlineStr">
        <is>
          <t>Ph. Eur. 2.6.31 cat. C</t>
        </is>
      </c>
      <c r="J3531" s="256" t="inlineStr">
        <is>
          <t>≤ 10⁴ CFU/g</t>
        </is>
      </c>
      <c r="K3531" s="256" t="inlineStr">
        <is>
          <t>&lt; 10³ and &gt; 10²</t>
        </is>
      </c>
      <c r="L3531" s="256" t="inlineStr">
        <is>
          <t>544/1075/26</t>
        </is>
      </c>
      <c r="M3531" s="256" t="inlineStr">
        <is>
          <t>31.08.2026</t>
        </is>
      </c>
      <c r="N3531" s="256" t="inlineStr">
        <is>
          <t>IPH — Institute of Public Health</t>
        </is>
      </c>
      <c r="O3531" s="256" t="inlineStr">
        <is>
          <t>25.08.2026</t>
        </is>
      </c>
      <c r="P3531" s="256" t="inlineStr">
        <is>
          <t>covered</t>
        </is>
      </c>
      <c r="Q3531" s="256" t="inlineStr"/>
      <c r="R3531" s="256" t="inlineStr">
        <is>
          <t>&lt; 10^3 and &gt; 10^2 (230/0393/26 (Trimiran cvet))</t>
        </is>
      </c>
    </row>
    <row r="3532">
      <c r="A3532" s="256" t="inlineStr">
        <is>
          <t>CoQ-PP_26-154</t>
        </is>
      </c>
      <c r="B3532" s="256" t="inlineStr">
        <is>
          <t>reissue — retest</t>
        </is>
      </c>
      <c r="C3532" s="256" t="inlineStr">
        <is>
          <t>J31122501</t>
        </is>
      </c>
      <c r="D3532" s="256" t="inlineStr">
        <is>
          <t>— no P lot assigned —</t>
        </is>
      </c>
      <c r="E3532" s="256" t="inlineStr">
        <is>
          <t>Jokerz 31</t>
        </is>
      </c>
      <c r="F3532" s="256" t="inlineStr">
        <is>
          <t>21.09.2026</t>
        </is>
      </c>
      <c r="G3532" s="256" t="inlineStr">
        <is>
          <t>9.4</t>
        </is>
      </c>
      <c r="H3532" s="256" t="inlineStr">
        <is>
          <t>Salmonella</t>
        </is>
      </c>
      <c r="I3532" s="256" t="inlineStr">
        <is>
          <t>Ph. Eur. 2.6.31 cat. C</t>
        </is>
      </c>
      <c r="J3532" s="256" t="inlineStr">
        <is>
          <t>Absence | Отсуство / 25 g</t>
        </is>
      </c>
      <c r="K3532" s="256" t="inlineStr">
        <is>
          <t>Absent | Отсутна</t>
        </is>
      </c>
      <c r="L3532" s="256" t="inlineStr">
        <is>
          <t>544/1075/26</t>
        </is>
      </c>
      <c r="M3532" s="256" t="inlineStr">
        <is>
          <t>31.08.2026</t>
        </is>
      </c>
      <c r="N3532" s="256" t="inlineStr">
        <is>
          <t>IPH — Institute of Public Health</t>
        </is>
      </c>
      <c r="O3532" s="256" t="inlineStr">
        <is>
          <t>25.08.2026</t>
        </is>
      </c>
      <c r="P3532" s="256" t="inlineStr">
        <is>
          <t>covered</t>
        </is>
      </c>
      <c r="Q3532" s="256" t="inlineStr"/>
      <c r="R3532" s="256" t="inlineStr">
        <is>
          <t>Одговара (Complies/Absent) (230/0393/26 (Trimiran cvet))</t>
        </is>
      </c>
    </row>
    <row r="3533">
      <c r="A3533" s="256" t="inlineStr">
        <is>
          <t>CoQ-PP_26-154</t>
        </is>
      </c>
      <c r="B3533" s="256" t="inlineStr">
        <is>
          <t>reissue — retest</t>
        </is>
      </c>
      <c r="C3533" s="256" t="inlineStr">
        <is>
          <t>J31122501</t>
        </is>
      </c>
      <c r="D3533" s="256" t="inlineStr">
        <is>
          <t>— no P lot assigned —</t>
        </is>
      </c>
      <c r="E3533" s="256" t="inlineStr">
        <is>
          <t>Jokerz 31</t>
        </is>
      </c>
      <c r="F3533" s="256" t="inlineStr">
        <is>
          <t>21.09.2026</t>
        </is>
      </c>
      <c r="G3533" s="256" t="inlineStr">
        <is>
          <t>9.5</t>
        </is>
      </c>
      <c r="H3533" s="256" t="inlineStr">
        <is>
          <t>Escherichia coli</t>
        </is>
      </c>
      <c r="I3533" s="256" t="inlineStr">
        <is>
          <t>Ph. Eur. 2.6.13 cat. C</t>
        </is>
      </c>
      <c r="J3533" s="256" t="inlineStr">
        <is>
          <t>Absence | Отсуство / 1 g</t>
        </is>
      </c>
      <c r="K3533" s="256" t="inlineStr">
        <is>
          <t>Absent | Отсутна</t>
        </is>
      </c>
      <c r="L3533" s="256" t="inlineStr">
        <is>
          <t>544/1075/26</t>
        </is>
      </c>
      <c r="M3533" s="256" t="inlineStr">
        <is>
          <t>31.08.2026</t>
        </is>
      </c>
      <c r="N3533" s="256" t="inlineStr">
        <is>
          <t>IPH — Institute of Public Health</t>
        </is>
      </c>
      <c r="O3533" s="256" t="inlineStr">
        <is>
          <t>25.08.2026</t>
        </is>
      </c>
      <c r="P3533" s="256" t="inlineStr">
        <is>
          <t>covered</t>
        </is>
      </c>
      <c r="Q3533" s="256" t="inlineStr"/>
      <c r="R3533" s="256" t="inlineStr">
        <is>
          <t>Одговара (Complies/Absent) (230/0393/26 (Trimiran cvet))</t>
        </is>
      </c>
    </row>
    <row r="3534">
      <c r="A3534" s="256" t="inlineStr">
        <is>
          <t>CoQ-PP_26-154</t>
        </is>
      </c>
      <c r="B3534" s="256" t="inlineStr">
        <is>
          <t>reissue — retest</t>
        </is>
      </c>
      <c r="C3534" s="256" t="inlineStr">
        <is>
          <t>J31122501</t>
        </is>
      </c>
      <c r="D3534" s="256" t="inlineStr">
        <is>
          <t>— no P lot assigned —</t>
        </is>
      </c>
      <c r="E3534" s="256" t="inlineStr">
        <is>
          <t>Jokerz 31</t>
        </is>
      </c>
      <c r="F3534" s="256" t="inlineStr">
        <is>
          <t>21.09.2026</t>
        </is>
      </c>
      <c r="G3534" s="256" t="inlineStr">
        <is>
          <t>9.6</t>
        </is>
      </c>
      <c r="H3534" s="256" t="inlineStr">
        <is>
          <t>Pseudomonas aeruginosa</t>
        </is>
      </c>
      <c r="I3534" s="256" t="inlineStr">
        <is>
          <t>Ph. Eur. 2.6.13 cat. C</t>
        </is>
      </c>
      <c r="J3534" s="256" t="inlineStr">
        <is>
          <t>Absence | Отсуство / 1 g</t>
        </is>
      </c>
      <c r="K3534" s="260" t="inlineStr">
        <is>
          <t>upon request — not required for release</t>
        </is>
      </c>
      <c r="L3534" s="256" t="inlineStr">
        <is>
          <t>—</t>
        </is>
      </c>
      <c r="M3534" s="256" t="inlineStr">
        <is>
          <t>—</t>
        </is>
      </c>
      <c r="N3534" s="256" t="inlineStr">
        <is>
          <t>—</t>
        </is>
      </c>
      <c r="O3534" s="256" t="inlineStr">
        <is>
          <t>—</t>
        </is>
      </c>
      <c r="P3534" s="256" t="inlineStr">
        <is>
          <t>upon request — not required for release</t>
        </is>
      </c>
      <c r="Q3534" s="256" t="inlineStr"/>
      <c r="R3534" s="256" t="inlineStr"/>
    </row>
    <row r="3535">
      <c r="A3535" s="256" t="inlineStr">
        <is>
          <t>CoQ-PP_26-154</t>
        </is>
      </c>
      <c r="B3535" s="256" t="inlineStr">
        <is>
          <t>reissue — retest</t>
        </is>
      </c>
      <c r="C3535" s="256" t="inlineStr">
        <is>
          <t>J31122501</t>
        </is>
      </c>
      <c r="D3535" s="256" t="inlineStr">
        <is>
          <t>— no P lot assigned —</t>
        </is>
      </c>
      <c r="E3535" s="256" t="inlineStr">
        <is>
          <t>Jokerz 31</t>
        </is>
      </c>
      <c r="F3535" s="256" t="inlineStr">
        <is>
          <t>21.09.2026</t>
        </is>
      </c>
      <c r="G3535" s="256" t="inlineStr">
        <is>
          <t>9.7</t>
        </is>
      </c>
      <c r="H3535" s="256" t="inlineStr">
        <is>
          <t>Staphylococcus aureus</t>
        </is>
      </c>
      <c r="I3535" s="256" t="inlineStr">
        <is>
          <t>Ph. Eur. 2.6.13 cat. C</t>
        </is>
      </c>
      <c r="J3535" s="256" t="inlineStr">
        <is>
          <t>Absence | Отсуство / 1 g</t>
        </is>
      </c>
      <c r="K3535" s="260" t="inlineStr">
        <is>
          <t>upon request — not required for release</t>
        </is>
      </c>
      <c r="L3535" s="256" t="inlineStr">
        <is>
          <t>—</t>
        </is>
      </c>
      <c r="M3535" s="256" t="inlineStr">
        <is>
          <t>—</t>
        </is>
      </c>
      <c r="N3535" s="256" t="inlineStr">
        <is>
          <t>—</t>
        </is>
      </c>
      <c r="O3535" s="256" t="inlineStr">
        <is>
          <t>—</t>
        </is>
      </c>
      <c r="P3535" s="256" t="inlineStr">
        <is>
          <t>upon request — not required for release</t>
        </is>
      </c>
      <c r="Q3535" s="256" t="inlineStr"/>
      <c r="R3535" s="256" t="inlineStr"/>
    </row>
    <row r="3536">
      <c r="A3536" s="256" t="inlineStr">
        <is>
          <t>CoQ-PP_26-154</t>
        </is>
      </c>
      <c r="B3536" s="256" t="inlineStr">
        <is>
          <t>reissue — retest</t>
        </is>
      </c>
      <c r="C3536" s="256" t="inlineStr">
        <is>
          <t>J31122501</t>
        </is>
      </c>
      <c r="D3536" s="256" t="inlineStr">
        <is>
          <t>— no P lot assigned —</t>
        </is>
      </c>
      <c r="E3536" s="256" t="inlineStr">
        <is>
          <t>Jokerz 31</t>
        </is>
      </c>
      <c r="F3536" s="256" t="inlineStr">
        <is>
          <t>21.09.2026</t>
        </is>
      </c>
      <c r="G3536" s="256" t="inlineStr">
        <is>
          <t>10.1</t>
        </is>
      </c>
      <c r="H3536" s="256" t="inlineStr">
        <is>
          <t>Aflatoxin B₁</t>
        </is>
      </c>
      <c r="I3536" s="256" t="inlineStr">
        <is>
          <t>Ph. Eur. 2.8.18 (HPLC-FLD)</t>
        </is>
      </c>
      <c r="J3536" s="256" t="inlineStr">
        <is>
          <t>≤ 2 µg/kg</t>
        </is>
      </c>
      <c r="K3536" s="256" t="inlineStr">
        <is>
          <t>ND</t>
        </is>
      </c>
      <c r="L3536" s="256" t="inlineStr">
        <is>
          <t>227-13-М/26</t>
        </is>
      </c>
      <c r="M3536" s="256" t="inlineStr">
        <is>
          <t>16.09.2026</t>
        </is>
      </c>
      <c r="N3536" s="256" t="inlineStr">
        <is>
          <t>Farmahem</t>
        </is>
      </c>
      <c r="O3536" s="256" t="inlineStr">
        <is>
          <t>—</t>
        </is>
      </c>
      <c r="P3536" s="256" t="inlineStr">
        <is>
          <t>covered</t>
        </is>
      </c>
      <c r="Q3536" s="256" t="inlineStr"/>
      <c r="R3536" s="256" t="inlineStr"/>
    </row>
    <row r="3537">
      <c r="A3537" s="256" t="inlineStr">
        <is>
          <t>CoQ-PP_26-154</t>
        </is>
      </c>
      <c r="B3537" s="256" t="inlineStr">
        <is>
          <t>reissue — retest</t>
        </is>
      </c>
      <c r="C3537" s="256" t="inlineStr">
        <is>
          <t>J31122501</t>
        </is>
      </c>
      <c r="D3537" s="256" t="inlineStr">
        <is>
          <t>— no P lot assigned —</t>
        </is>
      </c>
      <c r="E3537" s="256" t="inlineStr">
        <is>
          <t>Jokerz 31</t>
        </is>
      </c>
      <c r="F3537" s="256" t="inlineStr">
        <is>
          <t>21.09.2026</t>
        </is>
      </c>
      <c r="G3537" s="256" t="inlineStr">
        <is>
          <t>10.2</t>
        </is>
      </c>
      <c r="H3537" s="256" t="inlineStr">
        <is>
          <t>Aflatoxins ∑</t>
        </is>
      </c>
      <c r="I3537" s="256" t="inlineStr">
        <is>
          <t>Ph. Eur. 2.8.18 (HPLC-FLD)</t>
        </is>
      </c>
      <c r="J3537" s="256" t="inlineStr">
        <is>
          <t>≤ 4 µg/kg</t>
        </is>
      </c>
      <c r="K3537" s="256" t="inlineStr">
        <is>
          <t>ND</t>
        </is>
      </c>
      <c r="L3537" s="256" t="inlineStr">
        <is>
          <t>227-13-М/26</t>
        </is>
      </c>
      <c r="M3537" s="256" t="inlineStr">
        <is>
          <t>16.09.2026</t>
        </is>
      </c>
      <c r="N3537" s="256" t="inlineStr">
        <is>
          <t>Farmahem</t>
        </is>
      </c>
      <c r="O3537" s="256" t="inlineStr">
        <is>
          <t>—</t>
        </is>
      </c>
      <c r="P3537" s="256" t="inlineStr">
        <is>
          <t>carried from the initial testing (the batch's initial CoQ (number assigned on issue)) — covered</t>
        </is>
      </c>
      <c r="Q3537" s="256" t="inlineStr"/>
      <c r="R3537" s="256" t="inlineStr">
        <is>
          <t>COMPLIES (numeric value not present in captured source excerpt for report 1625/2026 — see Bundle cross-reference) (1625/2026)</t>
        </is>
      </c>
    </row>
    <row r="3538">
      <c r="A3538" s="256" t="inlineStr">
        <is>
          <t>CoQ-PP_26-154</t>
        </is>
      </c>
      <c r="B3538" s="256" t="inlineStr">
        <is>
          <t>reissue — retest</t>
        </is>
      </c>
      <c r="C3538" s="256" t="inlineStr">
        <is>
          <t>J31122501</t>
        </is>
      </c>
      <c r="D3538" s="256" t="inlineStr">
        <is>
          <t>— no P lot assigned —</t>
        </is>
      </c>
      <c r="E3538" s="256" t="inlineStr">
        <is>
          <t>Jokerz 31</t>
        </is>
      </c>
      <c r="F3538" s="256" t="inlineStr">
        <is>
          <t>21.09.2026</t>
        </is>
      </c>
      <c r="G3538" s="256" t="inlineStr">
        <is>
          <t>10.3</t>
        </is>
      </c>
      <c r="H3538" s="256" t="inlineStr">
        <is>
          <t>Ochratoxin A</t>
        </is>
      </c>
      <c r="I3538" s="256" t="inlineStr">
        <is>
          <t>Ph. Eur. 2.8.22 (HPLC-FLD)</t>
        </is>
      </c>
      <c r="J3538" s="256" t="inlineStr">
        <is>
          <t>≤ 20 µg/kg</t>
        </is>
      </c>
      <c r="K3538" s="256" t="inlineStr">
        <is>
          <t>ND</t>
        </is>
      </c>
      <c r="L3538" s="256" t="inlineStr">
        <is>
          <t>227-13-М/26</t>
        </is>
      </c>
      <c r="M3538" s="256" t="inlineStr">
        <is>
          <t>16.09.2026</t>
        </is>
      </c>
      <c r="N3538" s="256" t="inlineStr">
        <is>
          <t>Farmahem</t>
        </is>
      </c>
      <c r="O3538" s="256" t="inlineStr">
        <is>
          <t>—</t>
        </is>
      </c>
      <c r="P3538" s="256" t="inlineStr">
        <is>
          <t>covered</t>
        </is>
      </c>
      <c r="Q3538" s="256" t="inlineStr"/>
      <c r="R3538" s="256" t="inlineStr"/>
    </row>
    <row r="3539">
      <c r="A3539" s="256" t="inlineStr">
        <is>
          <t>CoQ-PP_26-154</t>
        </is>
      </c>
      <c r="B3539" s="256" t="inlineStr">
        <is>
          <t>reissue — retest</t>
        </is>
      </c>
      <c r="C3539" s="256" t="inlineStr">
        <is>
          <t>J31122501</t>
        </is>
      </c>
      <c r="D3539" s="256" t="inlineStr">
        <is>
          <t>— no P lot assigned —</t>
        </is>
      </c>
      <c r="E3539" s="256" t="inlineStr">
        <is>
          <t>Jokerz 31</t>
        </is>
      </c>
      <c r="F3539" s="256" t="inlineStr">
        <is>
          <t>21.09.2026</t>
        </is>
      </c>
      <c r="G3539" s="256" t="inlineStr">
        <is>
          <t>11.1</t>
        </is>
      </c>
      <c r="H3539" s="256" t="inlineStr">
        <is>
          <t>Lead (Pb)</t>
        </is>
      </c>
      <c r="I3539" s="256" t="inlineStr">
        <is>
          <t>Ph. Eur. 2.4.27 (ICP-MS)</t>
        </is>
      </c>
      <c r="J3539" s="256" t="inlineStr">
        <is>
          <t>≤ 0.5 mg/kg</t>
        </is>
      </c>
      <c r="K3539" s="256" t="inlineStr">
        <is>
          <t>ND</t>
        </is>
      </c>
      <c r="L3539" s="256" t="inlineStr">
        <is>
          <t>1628/2026</t>
        </is>
      </c>
      <c r="M3539" s="256" t="inlineStr">
        <is>
          <t>23.04.2026</t>
        </is>
      </c>
      <c r="N3539" s="256" t="inlineStr">
        <is>
          <t>IPH — Institute of Public Health</t>
        </is>
      </c>
      <c r="O3539" s="256" t="inlineStr">
        <is>
          <t>27.03.2026</t>
        </is>
      </c>
      <c r="P3539" s="256" t="inlineStr">
        <is>
          <t>carried from the initial testing (the batch's initial CoQ (number assigned on issue)) — covered</t>
        </is>
      </c>
      <c r="Q3539" s="256" t="inlineStr"/>
      <c r="R3539" s="256" t="inlineStr"/>
    </row>
    <row r="3540">
      <c r="A3540" s="256" t="inlineStr">
        <is>
          <t>CoQ-PP_26-154</t>
        </is>
      </c>
      <c r="B3540" s="256" t="inlineStr">
        <is>
          <t>reissue — retest</t>
        </is>
      </c>
      <c r="C3540" s="256" t="inlineStr">
        <is>
          <t>J31122501</t>
        </is>
      </c>
      <c r="D3540" s="256" t="inlineStr">
        <is>
          <t>— no P lot assigned —</t>
        </is>
      </c>
      <c r="E3540" s="256" t="inlineStr">
        <is>
          <t>Jokerz 31</t>
        </is>
      </c>
      <c r="F3540" s="256" t="inlineStr">
        <is>
          <t>21.09.2026</t>
        </is>
      </c>
      <c r="G3540" s="256" t="inlineStr">
        <is>
          <t>11.2</t>
        </is>
      </c>
      <c r="H3540" s="256" t="inlineStr">
        <is>
          <t>Cadmium (Cd)</t>
        </is>
      </c>
      <c r="I3540" s="256" t="inlineStr">
        <is>
          <t>Ph. Eur. 2.4.27 (ICP-MS)</t>
        </is>
      </c>
      <c r="J3540" s="256" t="inlineStr">
        <is>
          <t>≤ 0.3 mg/kg</t>
        </is>
      </c>
      <c r="K3540" s="256" t="inlineStr">
        <is>
          <t>ND</t>
        </is>
      </c>
      <c r="L3540" s="256" t="inlineStr">
        <is>
          <t>1628/2026</t>
        </is>
      </c>
      <c r="M3540" s="256" t="inlineStr">
        <is>
          <t>23.04.2026</t>
        </is>
      </c>
      <c r="N3540" s="256" t="inlineStr">
        <is>
          <t>IPH — Institute of Public Health</t>
        </is>
      </c>
      <c r="O3540" s="256" t="inlineStr">
        <is>
          <t>27.03.2026</t>
        </is>
      </c>
      <c r="P3540" s="256" t="inlineStr">
        <is>
          <t>carried from the initial testing (the batch's initial CoQ (number assigned on issue)) — covered</t>
        </is>
      </c>
      <c r="Q3540" s="256" t="inlineStr"/>
      <c r="R3540" s="256" t="inlineStr"/>
    </row>
    <row r="3541">
      <c r="A3541" s="256" t="inlineStr">
        <is>
          <t>CoQ-PP_26-154</t>
        </is>
      </c>
      <c r="B3541" s="256" t="inlineStr">
        <is>
          <t>reissue — retest</t>
        </is>
      </c>
      <c r="C3541" s="256" t="inlineStr">
        <is>
          <t>J31122501</t>
        </is>
      </c>
      <c r="D3541" s="256" t="inlineStr">
        <is>
          <t>— no P lot assigned —</t>
        </is>
      </c>
      <c r="E3541" s="256" t="inlineStr">
        <is>
          <t>Jokerz 31</t>
        </is>
      </c>
      <c r="F3541" s="256" t="inlineStr">
        <is>
          <t>21.09.2026</t>
        </is>
      </c>
      <c r="G3541" s="256" t="inlineStr">
        <is>
          <t>11.3</t>
        </is>
      </c>
      <c r="H3541" s="256" t="inlineStr">
        <is>
          <t>Arsenic (As)</t>
        </is>
      </c>
      <c r="I3541" s="256" t="inlineStr">
        <is>
          <t>Ph. Eur. 2.4.27 (ICP-MS)</t>
        </is>
      </c>
      <c r="J3541" s="256" t="inlineStr">
        <is>
          <t>≤ 0.2 mg/kg</t>
        </is>
      </c>
      <c r="K3541" s="256" t="inlineStr">
        <is>
          <t>ND</t>
        </is>
      </c>
      <c r="L3541" s="256" t="inlineStr">
        <is>
          <t>1628/2026</t>
        </is>
      </c>
      <c r="M3541" s="256" t="inlineStr">
        <is>
          <t>23.04.2026</t>
        </is>
      </c>
      <c r="N3541" s="256" t="inlineStr">
        <is>
          <t>IPH — Institute of Public Health</t>
        </is>
      </c>
      <c r="O3541" s="256" t="inlineStr">
        <is>
          <t>27.03.2026</t>
        </is>
      </c>
      <c r="P3541" s="256" t="inlineStr">
        <is>
          <t>carried from the initial testing (the batch's initial CoQ (number assigned on issue)) — covered</t>
        </is>
      </c>
      <c r="Q3541" s="256" t="inlineStr"/>
      <c r="R3541" s="256" t="inlineStr"/>
    </row>
    <row r="3542">
      <c r="A3542" s="256" t="inlineStr">
        <is>
          <t>CoQ-PP_26-154</t>
        </is>
      </c>
      <c r="B3542" s="256" t="inlineStr">
        <is>
          <t>reissue — retest</t>
        </is>
      </c>
      <c r="C3542" s="256" t="inlineStr">
        <is>
          <t>J31122501</t>
        </is>
      </c>
      <c r="D3542" s="256" t="inlineStr">
        <is>
          <t>— no P lot assigned —</t>
        </is>
      </c>
      <c r="E3542" s="256" t="inlineStr">
        <is>
          <t>Jokerz 31</t>
        </is>
      </c>
      <c r="F3542" s="256" t="inlineStr">
        <is>
          <t>21.09.2026</t>
        </is>
      </c>
      <c r="G3542" s="256" t="inlineStr">
        <is>
          <t>11.4</t>
        </is>
      </c>
      <c r="H3542" s="256" t="inlineStr">
        <is>
          <t>Mercury (Hg)</t>
        </is>
      </c>
      <c r="I3542" s="256" t="inlineStr">
        <is>
          <t>Ph. Eur. 2.4.27 (ICP-MS)</t>
        </is>
      </c>
      <c r="J3542" s="256" t="inlineStr">
        <is>
          <t>≤ 0.1 mg/kg</t>
        </is>
      </c>
      <c r="K3542" s="256" t="inlineStr">
        <is>
          <t>ND</t>
        </is>
      </c>
      <c r="L3542" s="256" t="inlineStr">
        <is>
          <t>1628/2026</t>
        </is>
      </c>
      <c r="M3542" s="256" t="inlineStr">
        <is>
          <t>23.04.2026</t>
        </is>
      </c>
      <c r="N3542" s="256" t="inlineStr">
        <is>
          <t>IPH — Institute of Public Health</t>
        </is>
      </c>
      <c r="O3542" s="256" t="inlineStr">
        <is>
          <t>27.03.2026</t>
        </is>
      </c>
      <c r="P3542" s="256" t="inlineStr">
        <is>
          <t>carried from the initial testing (the batch's initial CoQ (number assigned on issue)) — covered</t>
        </is>
      </c>
      <c r="Q3542" s="256" t="inlineStr"/>
      <c r="R3542" s="256" t="inlineStr"/>
    </row>
    <row r="3543">
      <c r="A3543" s="256" t="inlineStr">
        <is>
          <t>CoQ-PP_26-154</t>
        </is>
      </c>
      <c r="B3543" s="256" t="inlineStr">
        <is>
          <t>reissue — retest</t>
        </is>
      </c>
      <c r="C3543" s="256" t="inlineStr">
        <is>
          <t>J31122501</t>
        </is>
      </c>
      <c r="D3543" s="256" t="inlineStr">
        <is>
          <t>— no P lot assigned —</t>
        </is>
      </c>
      <c r="E3543" s="256" t="inlineStr">
        <is>
          <t>Jokerz 31</t>
        </is>
      </c>
      <c r="F3543" s="256" t="inlineStr">
        <is>
          <t>21.09.2026</t>
        </is>
      </c>
      <c r="G3543" s="256" t="inlineStr">
        <is>
          <t>12</t>
        </is>
      </c>
      <c r="H3543" s="256" t="inlineStr">
        <is>
          <t>Pesticide Residues</t>
        </is>
      </c>
      <c r="I3543" s="256" t="inlineStr">
        <is>
          <t>Ph. Eur. 2.8.13 (LC-MS/MS) · CUMCS Equivalency</t>
        </is>
      </c>
      <c r="J3543" s="256" t="inlineStr">
        <is>
          <t>≤ LOQ as per Ph. Eur. 2.8.13 · ≤ LOQ as per CUMCS Equivalency</t>
        </is>
      </c>
      <c r="K3543" s="256" t="inlineStr">
        <is>
          <t>ND</t>
        </is>
      </c>
      <c r="L3543" s="256" t="inlineStr">
        <is>
          <t>1628/2026</t>
        </is>
      </c>
      <c r="M3543" s="256" t="inlineStr">
        <is>
          <t>23.04.2026</t>
        </is>
      </c>
      <c r="N3543" s="256" t="inlineStr">
        <is>
          <t>IPH — Institute of Public Health</t>
        </is>
      </c>
      <c r="O3543" s="256" t="inlineStr">
        <is>
          <t>27.03.2026</t>
        </is>
      </c>
      <c r="P3543" s="256" t="inlineStr">
        <is>
          <t>carried from the initial testing (the batch's initial CoQ (number assigned on issue)) — covered</t>
        </is>
      </c>
      <c r="Q3543" s="256" t="inlineStr"/>
      <c r="R3543" s="256" t="inlineStr">
        <is>
          <t>н.д. (1625/2026)</t>
        </is>
      </c>
    </row>
    <row r="3544">
      <c r="A3544" s="256" t="inlineStr">
        <is>
          <t>CoQ-PP_26-155</t>
        </is>
      </c>
      <c r="B3544" s="256" t="inlineStr">
        <is>
          <t>reissue — retest</t>
        </is>
      </c>
      <c r="C3544" s="256" t="inlineStr">
        <is>
          <t>JD012601</t>
        </is>
      </c>
      <c r="D3544" s="256" t="inlineStr">
        <is>
          <t>— no P lot assigned —</t>
        </is>
      </c>
      <c r="E3544" s="256" t="inlineStr">
        <is>
          <t>Jelly Donuts</t>
        </is>
      </c>
      <c r="F3544" s="256" t="inlineStr">
        <is>
          <t>21.09.2026</t>
        </is>
      </c>
      <c r="G3544" s="256" t="inlineStr">
        <is>
          <t>1</t>
        </is>
      </c>
      <c r="H3544" s="256" t="inlineStr">
        <is>
          <t>Identification A, Appearance · Macroscopic</t>
        </is>
      </c>
      <c r="I3544" s="256" t="inlineStr">
        <is>
          <t>Ph. Eur. mon. 3028</t>
        </is>
      </c>
      <c r="J3544" s="256" t="inlineStr">
        <is>
          <t>Conforms to the monograph for Cannabis flos (07/2024:3028) in Ph. Eur. 11.0 | Согласно монографија за Cannabis flos (07/2024:3028) во Ph. Eur. 11.0</t>
        </is>
      </c>
      <c r="K3544" s="256" t="inlineStr">
        <is>
          <t>Conforms | Одговара</t>
        </is>
      </c>
      <c r="L3544" s="256" t="inlineStr">
        <is>
          <t>iCoA-PP_26-172</t>
        </is>
      </c>
      <c r="M3544" s="256" t="inlineStr">
        <is>
          <t>24.08.2026</t>
        </is>
      </c>
      <c r="N3544" s="256" t="inlineStr">
        <is>
          <t>Purely Plant GmbH (in-house)</t>
        </is>
      </c>
      <c r="O3544" s="256" t="inlineStr">
        <is>
          <t>—</t>
        </is>
      </c>
      <c r="P3544" s="256" t="inlineStr">
        <is>
          <t>to be performed — see route</t>
        </is>
      </c>
      <c r="Q3544" s="256" t="inlineStr">
        <is>
          <t>Farmahem — Ident A + B + C with the Assay, at retest</t>
        </is>
      </c>
      <c r="R3544" s="256" t="inlineStr"/>
    </row>
    <row r="3545">
      <c r="A3545" s="256" t="inlineStr">
        <is>
          <t>CoQ-PP_26-155</t>
        </is>
      </c>
      <c r="B3545" s="256" t="inlineStr">
        <is>
          <t>reissue — retest</t>
        </is>
      </c>
      <c r="C3545" s="256" t="inlineStr">
        <is>
          <t>JD012601</t>
        </is>
      </c>
      <c r="D3545" s="256" t="inlineStr">
        <is>
          <t>— no P lot assigned —</t>
        </is>
      </c>
      <c r="E3545" s="256" t="inlineStr">
        <is>
          <t>Jelly Donuts</t>
        </is>
      </c>
      <c r="F3545" s="256" t="inlineStr">
        <is>
          <t>21.09.2026</t>
        </is>
      </c>
      <c r="G3545" s="256" t="inlineStr">
        <is>
          <t>2</t>
        </is>
      </c>
      <c r="H3545" s="256" t="inlineStr">
        <is>
          <t>Identification B · Microscopic</t>
        </is>
      </c>
      <c r="I3545" s="256" t="inlineStr">
        <is>
          <t>Ph. Eur. 2.8.23 (microscopy)</t>
        </is>
      </c>
      <c r="J3545" s="256" t="inlineStr">
        <is>
          <t>Conforms to the monograph for Cannabis flos (07/2024:3028) in Ph. Eur. 11.0 | Согласно монографија за Cannabis flos (07/2024:3028) во Ph. Eur. 11.0</t>
        </is>
      </c>
      <c r="K3545" s="256" t="inlineStr">
        <is>
          <t>Conforms | Одговара</t>
        </is>
      </c>
      <c r="L3545" s="256" t="inlineStr">
        <is>
          <t>iCoA-PP_26-172</t>
        </is>
      </c>
      <c r="M3545" s="256" t="inlineStr">
        <is>
          <t>24.08.2026</t>
        </is>
      </c>
      <c r="N3545" s="256" t="inlineStr">
        <is>
          <t>Purely Plant GmbH (in-house)</t>
        </is>
      </c>
      <c r="O3545" s="256" t="inlineStr">
        <is>
          <t>—</t>
        </is>
      </c>
      <c r="P3545" s="256" t="inlineStr">
        <is>
          <t>to be performed — see route</t>
        </is>
      </c>
      <c r="Q3545" s="256" t="inlineStr">
        <is>
          <t>Farmahem — Ident A + B + C with the Assay, at retest</t>
        </is>
      </c>
      <c r="R3545" s="256" t="inlineStr"/>
    </row>
    <row r="3546">
      <c r="A3546" s="256" t="inlineStr">
        <is>
          <t>CoQ-PP_26-155</t>
        </is>
      </c>
      <c r="B3546" s="256" t="inlineStr">
        <is>
          <t>reissue — retest</t>
        </is>
      </c>
      <c r="C3546" s="256" t="inlineStr">
        <is>
          <t>JD012601</t>
        </is>
      </c>
      <c r="D3546" s="256" t="inlineStr">
        <is>
          <t>— no P lot assigned —</t>
        </is>
      </c>
      <c r="E3546" s="256" t="inlineStr">
        <is>
          <t>Jelly Donuts</t>
        </is>
      </c>
      <c r="F3546" s="256" t="inlineStr">
        <is>
          <t>21.09.2026</t>
        </is>
      </c>
      <c r="G3546" s="256" t="inlineStr">
        <is>
          <t>3</t>
        </is>
      </c>
      <c r="H3546" s="256" t="inlineStr">
        <is>
          <t>Identification C · HPLC/HPTLC</t>
        </is>
      </c>
      <c r="I3546" s="256" t="inlineStr">
        <is>
          <t>Ph. Eur. 2.2.29 (3028)</t>
        </is>
      </c>
      <c r="J3546" s="256" t="inlineStr">
        <is>
          <t>Conforms to the monograph for Cannabis flos (07/2024:3028) in Ph. Eur. 11.0 | Согласно монографија за Cannabis flos (07/2024:3028) во Ph. Eur. 11.0</t>
        </is>
      </c>
      <c r="K3546" s="256" t="inlineStr">
        <is>
          <t>Conforms | Одговара</t>
        </is>
      </c>
      <c r="L3546" s="256" t="inlineStr">
        <is>
          <t>227-15-К/26</t>
        </is>
      </c>
      <c r="M3546" s="256" t="inlineStr">
        <is>
          <t>11.09.2026</t>
        </is>
      </c>
      <c r="N3546" s="256" t="inlineStr">
        <is>
          <t>Farmahem</t>
        </is>
      </c>
      <c r="O3546" s="256" t="inlineStr">
        <is>
          <t>24.08.2026</t>
        </is>
      </c>
      <c r="P3546" s="256" t="inlineStr">
        <is>
          <t>covered</t>
        </is>
      </c>
      <c r="Q3546" s="256" t="inlineStr"/>
      <c r="R3546" s="256" t="inlineStr"/>
    </row>
    <row r="3547">
      <c r="A3547" s="256" t="inlineStr">
        <is>
          <t>CoQ-PP_26-155</t>
        </is>
      </c>
      <c r="B3547" s="256" t="inlineStr">
        <is>
          <t>reissue — retest</t>
        </is>
      </c>
      <c r="C3547" s="256" t="inlineStr">
        <is>
          <t>JD012601</t>
        </is>
      </c>
      <c r="D3547" s="256" t="inlineStr">
        <is>
          <t>— no P lot assigned —</t>
        </is>
      </c>
      <c r="E3547" s="256" t="inlineStr">
        <is>
          <t>Jelly Donuts</t>
        </is>
      </c>
      <c r="F3547" s="256" t="inlineStr">
        <is>
          <t>21.09.2026</t>
        </is>
      </c>
      <c r="G3547" s="256" t="inlineStr">
        <is>
          <t>4</t>
        </is>
      </c>
      <c r="H3547" s="256" t="inlineStr">
        <is>
          <t>Assay — Total Δ⁹-THC</t>
        </is>
      </c>
      <c r="I3547" s="256" t="inlineStr">
        <is>
          <t>Ph. Eur. 2.2.29 (HPLC)</t>
        </is>
      </c>
      <c r="J3547" s="256" t="inlineStr">
        <is>
          <t>19.80 – 24.19 %  (grade I, nominal 22.00 ± 2.20)</t>
        </is>
      </c>
      <c r="K3547" s="256" t="inlineStr">
        <is>
          <t>19.99</t>
        </is>
      </c>
      <c r="L3547" s="256" t="inlineStr">
        <is>
          <t>227-15-К/26</t>
        </is>
      </c>
      <c r="M3547" s="256" t="inlineStr">
        <is>
          <t>11.09.2026</t>
        </is>
      </c>
      <c r="N3547" s="256" t="inlineStr">
        <is>
          <t>Farmahem</t>
        </is>
      </c>
      <c r="O3547" s="256" t="inlineStr">
        <is>
          <t>24.08.2026</t>
        </is>
      </c>
      <c r="P3547" s="256" t="inlineStr">
        <is>
          <t>covered</t>
        </is>
      </c>
      <c r="Q3547" s="256" t="inlineStr"/>
      <c r="R3547" s="256" t="inlineStr"/>
    </row>
    <row r="3548">
      <c r="A3548" s="256" t="inlineStr">
        <is>
          <t>CoQ-PP_26-155</t>
        </is>
      </c>
      <c r="B3548" s="256" t="inlineStr">
        <is>
          <t>reissue — retest</t>
        </is>
      </c>
      <c r="C3548" s="256" t="inlineStr">
        <is>
          <t>JD012601</t>
        </is>
      </c>
      <c r="D3548" s="256" t="inlineStr">
        <is>
          <t>— no P lot assigned —</t>
        </is>
      </c>
      <c r="E3548" s="256" t="inlineStr">
        <is>
          <t>Jelly Donuts</t>
        </is>
      </c>
      <c r="F3548" s="256" t="inlineStr">
        <is>
          <t>21.09.2026</t>
        </is>
      </c>
      <c r="G3548" s="256" t="inlineStr">
        <is>
          <t>5</t>
        </is>
      </c>
      <c r="H3548" s="256" t="inlineStr">
        <is>
          <t>Assay — Total CBD</t>
        </is>
      </c>
      <c r="I3548" s="256" t="inlineStr">
        <is>
          <t>Ph. Eur. 2.2.29 (HPLC) · CBD + CBDA x 0.877</t>
        </is>
      </c>
      <c r="J3548" s="256" t="inlineStr">
        <is>
          <t>≤ 1.0%, w/w</t>
        </is>
      </c>
      <c r="K3548" s="256" t="inlineStr">
        <is>
          <t>&lt; LOQ</t>
        </is>
      </c>
      <c r="L3548" s="256" t="inlineStr">
        <is>
          <t>227-15-К/26</t>
        </is>
      </c>
      <c r="M3548" s="256" t="inlineStr">
        <is>
          <t>11.09.2026</t>
        </is>
      </c>
      <c r="N3548" s="256" t="inlineStr">
        <is>
          <t>Farmahem</t>
        </is>
      </c>
      <c r="O3548" s="256" t="inlineStr">
        <is>
          <t>24.08.2026</t>
        </is>
      </c>
      <c r="P3548" s="256" t="inlineStr">
        <is>
          <t>covered</t>
        </is>
      </c>
      <c r="Q3548" s="256" t="inlineStr"/>
      <c r="R3548" s="256" t="inlineStr"/>
    </row>
    <row r="3549">
      <c r="A3549" s="256" t="inlineStr">
        <is>
          <t>CoQ-PP_26-155</t>
        </is>
      </c>
      <c r="B3549" s="256" t="inlineStr">
        <is>
          <t>reissue — retest</t>
        </is>
      </c>
      <c r="C3549" s="256" t="inlineStr">
        <is>
          <t>JD012601</t>
        </is>
      </c>
      <c r="D3549" s="256" t="inlineStr">
        <is>
          <t>— no P lot assigned —</t>
        </is>
      </c>
      <c r="E3549" s="256" t="inlineStr">
        <is>
          <t>Jelly Donuts</t>
        </is>
      </c>
      <c r="F3549" s="256" t="inlineStr">
        <is>
          <t>21.09.2026</t>
        </is>
      </c>
      <c r="G3549" s="256" t="inlineStr">
        <is>
          <t>6</t>
        </is>
      </c>
      <c r="H3549" s="256" t="inlineStr">
        <is>
          <t>Total CBN</t>
        </is>
      </c>
      <c r="I3549" s="256" t="inlineStr">
        <is>
          <t>Ph. Eur. 2.2.29 (HPLC) · CBN + CBNA x 0.876</t>
        </is>
      </c>
      <c r="J3549" s="256" t="inlineStr">
        <is>
          <t>≤ 1.0%, w/w</t>
        </is>
      </c>
      <c r="K3549" s="256" t="inlineStr">
        <is>
          <t>&lt; LOQ</t>
        </is>
      </c>
      <c r="L3549" s="256" t="inlineStr">
        <is>
          <t>227-15-К/26</t>
        </is>
      </c>
      <c r="M3549" s="256" t="inlineStr">
        <is>
          <t>11.09.2026</t>
        </is>
      </c>
      <c r="N3549" s="256" t="inlineStr">
        <is>
          <t>Farmahem</t>
        </is>
      </c>
      <c r="O3549" s="256" t="inlineStr">
        <is>
          <t>24.08.2026</t>
        </is>
      </c>
      <c r="P3549" s="256" t="inlineStr">
        <is>
          <t>covered</t>
        </is>
      </c>
      <c r="Q3549" s="256" t="inlineStr"/>
      <c r="R3549" s="256" t="inlineStr"/>
    </row>
    <row r="3550">
      <c r="A3550" s="256" t="inlineStr">
        <is>
          <t>CoQ-PP_26-155</t>
        </is>
      </c>
      <c r="B3550" s="256" t="inlineStr">
        <is>
          <t>reissue — retest</t>
        </is>
      </c>
      <c r="C3550" s="256" t="inlineStr">
        <is>
          <t>JD012601</t>
        </is>
      </c>
      <c r="D3550" s="256" t="inlineStr">
        <is>
          <t>— no P lot assigned —</t>
        </is>
      </c>
      <c r="E3550" s="256" t="inlineStr">
        <is>
          <t>Jelly Donuts</t>
        </is>
      </c>
      <c r="F3550" s="256" t="inlineStr">
        <is>
          <t>21.09.2026</t>
        </is>
      </c>
      <c r="G3550" s="256" t="inlineStr">
        <is>
          <t>7</t>
        </is>
      </c>
      <c r="H3550" s="256" t="inlineStr">
        <is>
          <t>Foreign Matter</t>
        </is>
      </c>
      <c r="I3550" s="256" t="inlineStr">
        <is>
          <t>Ph. Eur. 2.8.2 · In-house · интерна</t>
        </is>
      </c>
      <c r="J3550" s="256" t="inlineStr">
        <is>
          <t>≤ 2.0% / 25–50 g · &lt; 1 cm leaves | листови, no seeds | без семки</t>
        </is>
      </c>
      <c r="K3550" s="256" t="inlineStr">
        <is>
          <t>Conforms | Одговара</t>
        </is>
      </c>
      <c r="L3550" s="256" t="inlineStr">
        <is>
          <t>iCoA-PP_26-172</t>
        </is>
      </c>
      <c r="M3550" s="256" t="inlineStr">
        <is>
          <t>24.08.2026</t>
        </is>
      </c>
      <c r="N3550" s="256" t="inlineStr">
        <is>
          <t>Purely Plant GmbH (in-house)</t>
        </is>
      </c>
      <c r="O3550" s="256" t="inlineStr">
        <is>
          <t>—</t>
        </is>
      </c>
      <c r="P3550" s="256" t="inlineStr">
        <is>
          <t>to be performed — see route</t>
        </is>
      </c>
      <c r="Q3550" s="256" t="inlineStr">
        <is>
          <t>Purely Plant laboratory — iCoA covering Foreign matter</t>
        </is>
      </c>
      <c r="R3550" s="256" t="inlineStr"/>
    </row>
    <row r="3551">
      <c r="A3551" s="256" t="inlineStr">
        <is>
          <t>CoQ-PP_26-155</t>
        </is>
      </c>
      <c r="B3551" s="256" t="inlineStr">
        <is>
          <t>reissue — retest</t>
        </is>
      </c>
      <c r="C3551" s="256" t="inlineStr">
        <is>
          <t>JD012601</t>
        </is>
      </c>
      <c r="D3551" s="256" t="inlineStr">
        <is>
          <t>— no P lot assigned —</t>
        </is>
      </c>
      <c r="E3551" s="256" t="inlineStr">
        <is>
          <t>Jelly Donuts</t>
        </is>
      </c>
      <c r="F3551" s="256" t="inlineStr">
        <is>
          <t>21.09.2026</t>
        </is>
      </c>
      <c r="G3551" s="256" t="inlineStr">
        <is>
          <t>8</t>
        </is>
      </c>
      <c r="H3551" s="256" t="inlineStr">
        <is>
          <t>Loss on Drying</t>
        </is>
      </c>
      <c r="I3551" s="256" t="inlineStr">
        <is>
          <t>DAB 2018 monograph Cannabis flos, 2.2.32 — loss on drying (CNP, before its Ph. Eur. 3028 accreditation)</t>
        </is>
      </c>
      <c r="J3551" s="256" t="inlineStr">
        <is>
          <t>≤ 12.0%</t>
        </is>
      </c>
      <c r="K3551" s="256" t="inlineStr">
        <is>
          <t>6.68</t>
        </is>
      </c>
      <c r="L3551" s="256" t="inlineStr">
        <is>
          <t>ППК26064</t>
        </is>
      </c>
      <c r="M3551" s="256" t="inlineStr">
        <is>
          <t>11.05.2026</t>
        </is>
      </c>
      <c r="N3551" s="256" t="inlineStr">
        <is>
          <t>UKIM Faculty of Pharmacy — Center for Natural Products</t>
        </is>
      </c>
      <c r="O3551" s="256" t="inlineStr">
        <is>
          <t>21.04.2026</t>
        </is>
      </c>
      <c r="P3551" s="256" t="inlineStr">
        <is>
          <t>carried from the initial testing (the batch's initial CoQ (number assigned on issue)) — covered</t>
        </is>
      </c>
      <c r="Q3551" s="256" t="inlineStr"/>
      <c r="R3551" s="256" t="inlineStr"/>
    </row>
    <row r="3552">
      <c r="A3552" s="256" t="inlineStr">
        <is>
          <t>CoQ-PP_26-155</t>
        </is>
      </c>
      <c r="B3552" s="256" t="inlineStr">
        <is>
          <t>reissue — retest</t>
        </is>
      </c>
      <c r="C3552" s="256" t="inlineStr">
        <is>
          <t>JD012601</t>
        </is>
      </c>
      <c r="D3552" s="256" t="inlineStr">
        <is>
          <t>— no P lot assigned —</t>
        </is>
      </c>
      <c r="E3552" s="256" t="inlineStr">
        <is>
          <t>Jelly Donuts</t>
        </is>
      </c>
      <c r="F3552" s="256" t="inlineStr">
        <is>
          <t>21.09.2026</t>
        </is>
      </c>
      <c r="G3552" s="256" t="inlineStr">
        <is>
          <t>9.1</t>
        </is>
      </c>
      <c r="H3552" s="256" t="inlineStr">
        <is>
          <t>TAMC</t>
        </is>
      </c>
      <c r="I3552" s="256" t="inlineStr">
        <is>
          <t>Ph. Eur. 2.6.12 cat. C</t>
        </is>
      </c>
      <c r="J3552" s="256" t="inlineStr">
        <is>
          <t>≤ 10⁵ CFU/g</t>
        </is>
      </c>
      <c r="K3552" s="256" t="inlineStr">
        <is>
          <t>2,2 × 10³</t>
        </is>
      </c>
      <c r="L3552" s="256" t="inlineStr">
        <is>
          <t>540/1071/26</t>
        </is>
      </c>
      <c r="M3552" s="256" t="inlineStr">
        <is>
          <t>31.08.2026</t>
        </is>
      </c>
      <c r="N3552" s="256" t="inlineStr">
        <is>
          <t>IPH — Institute of Public Health</t>
        </is>
      </c>
      <c r="O3552" s="256" t="inlineStr">
        <is>
          <t>25.08.2026</t>
        </is>
      </c>
      <c r="P3552" s="256" t="inlineStr">
        <is>
          <t>covered</t>
        </is>
      </c>
      <c r="Q3552" s="256" t="inlineStr"/>
      <c r="R3552" s="256" t="inlineStr"/>
    </row>
    <row r="3553">
      <c r="A3553" s="256" t="inlineStr">
        <is>
          <t>CoQ-PP_26-155</t>
        </is>
      </c>
      <c r="B3553" s="256" t="inlineStr">
        <is>
          <t>reissue — retest</t>
        </is>
      </c>
      <c r="C3553" s="256" t="inlineStr">
        <is>
          <t>JD012601</t>
        </is>
      </c>
      <c r="D3553" s="256" t="inlineStr">
        <is>
          <t>— no P lot assigned —</t>
        </is>
      </c>
      <c r="E3553" s="256" t="inlineStr">
        <is>
          <t>Jelly Donuts</t>
        </is>
      </c>
      <c r="F3553" s="256" t="inlineStr">
        <is>
          <t>21.09.2026</t>
        </is>
      </c>
      <c r="G3553" s="256" t="inlineStr">
        <is>
          <t>9.2</t>
        </is>
      </c>
      <c r="H3553" s="256" t="inlineStr">
        <is>
          <t>TYMC</t>
        </is>
      </c>
      <c r="I3553" s="256" t="inlineStr">
        <is>
          <t>Ph. Eur. 2.6.12 cat. C</t>
        </is>
      </c>
      <c r="J3553" s="256" t="inlineStr">
        <is>
          <t>≤ 10⁴ CFU/g</t>
        </is>
      </c>
      <c r="K3553" s="256" t="inlineStr">
        <is>
          <t>1,7 × 10³</t>
        </is>
      </c>
      <c r="L3553" s="256" t="inlineStr">
        <is>
          <t>540/1071/26</t>
        </is>
      </c>
      <c r="M3553" s="256" t="inlineStr">
        <is>
          <t>31.08.2026</t>
        </is>
      </c>
      <c r="N3553" s="256" t="inlineStr">
        <is>
          <t>IPH — Institute of Public Health</t>
        </is>
      </c>
      <c r="O3553" s="256" t="inlineStr">
        <is>
          <t>25.08.2026</t>
        </is>
      </c>
      <c r="P3553" s="256" t="inlineStr">
        <is>
          <t>covered</t>
        </is>
      </c>
      <c r="Q3553" s="256" t="inlineStr"/>
      <c r="R3553" s="256" t="inlineStr"/>
    </row>
    <row r="3554">
      <c r="A3554" s="256" t="inlineStr">
        <is>
          <t>CoQ-PP_26-155</t>
        </is>
      </c>
      <c r="B3554" s="256" t="inlineStr">
        <is>
          <t>reissue — retest</t>
        </is>
      </c>
      <c r="C3554" s="256" t="inlineStr">
        <is>
          <t>JD012601</t>
        </is>
      </c>
      <c r="D3554" s="256" t="inlineStr">
        <is>
          <t>— no P lot assigned —</t>
        </is>
      </c>
      <c r="E3554" s="256" t="inlineStr">
        <is>
          <t>Jelly Donuts</t>
        </is>
      </c>
      <c r="F3554" s="256" t="inlineStr">
        <is>
          <t>21.09.2026</t>
        </is>
      </c>
      <c r="G3554" s="256" t="inlineStr">
        <is>
          <t>9.3</t>
        </is>
      </c>
      <c r="H3554" s="256" t="inlineStr">
        <is>
          <t>Bile-tolerant gram-neg.</t>
        </is>
      </c>
      <c r="I3554" s="256" t="inlineStr">
        <is>
          <t>Ph. Eur. 2.6.31 cat. C</t>
        </is>
      </c>
      <c r="J3554" s="256" t="inlineStr">
        <is>
          <t>≤ 10⁴ CFU/g</t>
        </is>
      </c>
      <c r="K3554" s="256" t="inlineStr">
        <is>
          <t>&lt; 10</t>
        </is>
      </c>
      <c r="L3554" s="256" t="inlineStr">
        <is>
          <t>540/1071/26</t>
        </is>
      </c>
      <c r="M3554" s="256" t="inlineStr">
        <is>
          <t>31.08.2026</t>
        </is>
      </c>
      <c r="N3554" s="256" t="inlineStr">
        <is>
          <t>IPH — Institute of Public Health</t>
        </is>
      </c>
      <c r="O3554" s="256" t="inlineStr">
        <is>
          <t>25.08.2026</t>
        </is>
      </c>
      <c r="P3554" s="256" t="inlineStr">
        <is>
          <t>covered</t>
        </is>
      </c>
      <c r="Q3554" s="256" t="inlineStr"/>
      <c r="R3554" s="256" t="inlineStr"/>
    </row>
    <row r="3555">
      <c r="A3555" s="256" t="inlineStr">
        <is>
          <t>CoQ-PP_26-155</t>
        </is>
      </c>
      <c r="B3555" s="256" t="inlineStr">
        <is>
          <t>reissue — retest</t>
        </is>
      </c>
      <c r="C3555" s="256" t="inlineStr">
        <is>
          <t>JD012601</t>
        </is>
      </c>
      <c r="D3555" s="256" t="inlineStr">
        <is>
          <t>— no P lot assigned —</t>
        </is>
      </c>
      <c r="E3555" s="256" t="inlineStr">
        <is>
          <t>Jelly Donuts</t>
        </is>
      </c>
      <c r="F3555" s="256" t="inlineStr">
        <is>
          <t>21.09.2026</t>
        </is>
      </c>
      <c r="G3555" s="256" t="inlineStr">
        <is>
          <t>9.4</t>
        </is>
      </c>
      <c r="H3555" s="256" t="inlineStr">
        <is>
          <t>Salmonella</t>
        </is>
      </c>
      <c r="I3555" s="256" t="inlineStr">
        <is>
          <t>Ph. Eur. 2.6.31 cat. C</t>
        </is>
      </c>
      <c r="J3555" s="256" t="inlineStr">
        <is>
          <t>Absence | Отсуство / 25 g</t>
        </is>
      </c>
      <c r="K3555" s="256" t="inlineStr">
        <is>
          <t>Absent | Отсутна</t>
        </is>
      </c>
      <c r="L3555" s="256" t="inlineStr">
        <is>
          <t>540/1071/26</t>
        </is>
      </c>
      <c r="M3555" s="256" t="inlineStr">
        <is>
          <t>31.08.2026</t>
        </is>
      </c>
      <c r="N3555" s="256" t="inlineStr">
        <is>
          <t>IPH — Institute of Public Health</t>
        </is>
      </c>
      <c r="O3555" s="256" t="inlineStr">
        <is>
          <t>25.08.2026</t>
        </is>
      </c>
      <c r="P3555" s="256" t="inlineStr">
        <is>
          <t>covered</t>
        </is>
      </c>
      <c r="Q3555" s="256" t="inlineStr"/>
      <c r="R3555" s="256" t="inlineStr"/>
    </row>
    <row r="3556">
      <c r="A3556" s="256" t="inlineStr">
        <is>
          <t>CoQ-PP_26-155</t>
        </is>
      </c>
      <c r="B3556" s="256" t="inlineStr">
        <is>
          <t>reissue — retest</t>
        </is>
      </c>
      <c r="C3556" s="256" t="inlineStr">
        <is>
          <t>JD012601</t>
        </is>
      </c>
      <c r="D3556" s="256" t="inlineStr">
        <is>
          <t>— no P lot assigned —</t>
        </is>
      </c>
      <c r="E3556" s="256" t="inlineStr">
        <is>
          <t>Jelly Donuts</t>
        </is>
      </c>
      <c r="F3556" s="256" t="inlineStr">
        <is>
          <t>21.09.2026</t>
        </is>
      </c>
      <c r="G3556" s="256" t="inlineStr">
        <is>
          <t>9.5</t>
        </is>
      </c>
      <c r="H3556" s="256" t="inlineStr">
        <is>
          <t>Escherichia coli</t>
        </is>
      </c>
      <c r="I3556" s="256" t="inlineStr">
        <is>
          <t>Ph. Eur. 2.6.13 cat. C</t>
        </is>
      </c>
      <c r="J3556" s="256" t="inlineStr">
        <is>
          <t>Absence | Отсуство / 1 g</t>
        </is>
      </c>
      <c r="K3556" s="256" t="inlineStr">
        <is>
          <t>Absent | Отсутна</t>
        </is>
      </c>
      <c r="L3556" s="256" t="inlineStr">
        <is>
          <t>540/1071/26</t>
        </is>
      </c>
      <c r="M3556" s="256" t="inlineStr">
        <is>
          <t>31.08.2026</t>
        </is>
      </c>
      <c r="N3556" s="256" t="inlineStr">
        <is>
          <t>IPH — Institute of Public Health</t>
        </is>
      </c>
      <c r="O3556" s="256" t="inlineStr">
        <is>
          <t>25.08.2026</t>
        </is>
      </c>
      <c r="P3556" s="256" t="inlineStr">
        <is>
          <t>covered</t>
        </is>
      </c>
      <c r="Q3556" s="256" t="inlineStr"/>
      <c r="R3556" s="256" t="inlineStr"/>
    </row>
    <row r="3557">
      <c r="A3557" s="256" t="inlineStr">
        <is>
          <t>CoQ-PP_26-155</t>
        </is>
      </c>
      <c r="B3557" s="256" t="inlineStr">
        <is>
          <t>reissue — retest</t>
        </is>
      </c>
      <c r="C3557" s="256" t="inlineStr">
        <is>
          <t>JD012601</t>
        </is>
      </c>
      <c r="D3557" s="256" t="inlineStr">
        <is>
          <t>— no P lot assigned —</t>
        </is>
      </c>
      <c r="E3557" s="256" t="inlineStr">
        <is>
          <t>Jelly Donuts</t>
        </is>
      </c>
      <c r="F3557" s="256" t="inlineStr">
        <is>
          <t>21.09.2026</t>
        </is>
      </c>
      <c r="G3557" s="256" t="inlineStr">
        <is>
          <t>9.6</t>
        </is>
      </c>
      <c r="H3557" s="256" t="inlineStr">
        <is>
          <t>Pseudomonas aeruginosa</t>
        </is>
      </c>
      <c r="I3557" s="256" t="inlineStr">
        <is>
          <t>Ph. Eur. 2.6.13 cat. C</t>
        </is>
      </c>
      <c r="J3557" s="256" t="inlineStr">
        <is>
          <t>Absence | Отсуство / 1 g</t>
        </is>
      </c>
      <c r="K3557" s="260" t="inlineStr">
        <is>
          <t>upon request — not required for release</t>
        </is>
      </c>
      <c r="L3557" s="256" t="inlineStr">
        <is>
          <t>—</t>
        </is>
      </c>
      <c r="M3557" s="256" t="inlineStr">
        <is>
          <t>—</t>
        </is>
      </c>
      <c r="N3557" s="256" t="inlineStr">
        <is>
          <t>—</t>
        </is>
      </c>
      <c r="O3557" s="256" t="inlineStr">
        <is>
          <t>—</t>
        </is>
      </c>
      <c r="P3557" s="256" t="inlineStr">
        <is>
          <t>upon request — not required for release</t>
        </is>
      </c>
      <c r="Q3557" s="256" t="inlineStr"/>
      <c r="R3557" s="256" t="inlineStr"/>
    </row>
    <row r="3558">
      <c r="A3558" s="256" t="inlineStr">
        <is>
          <t>CoQ-PP_26-155</t>
        </is>
      </c>
      <c r="B3558" s="256" t="inlineStr">
        <is>
          <t>reissue — retest</t>
        </is>
      </c>
      <c r="C3558" s="256" t="inlineStr">
        <is>
          <t>JD012601</t>
        </is>
      </c>
      <c r="D3558" s="256" t="inlineStr">
        <is>
          <t>— no P lot assigned —</t>
        </is>
      </c>
      <c r="E3558" s="256" t="inlineStr">
        <is>
          <t>Jelly Donuts</t>
        </is>
      </c>
      <c r="F3558" s="256" t="inlineStr">
        <is>
          <t>21.09.2026</t>
        </is>
      </c>
      <c r="G3558" s="256" t="inlineStr">
        <is>
          <t>9.7</t>
        </is>
      </c>
      <c r="H3558" s="256" t="inlineStr">
        <is>
          <t>Staphylococcus aureus</t>
        </is>
      </c>
      <c r="I3558" s="256" t="inlineStr">
        <is>
          <t>Ph. Eur. 2.6.13 cat. C</t>
        </is>
      </c>
      <c r="J3558" s="256" t="inlineStr">
        <is>
          <t>Absence | Отсуство / 1 g</t>
        </is>
      </c>
      <c r="K3558" s="260" t="inlineStr">
        <is>
          <t>upon request — not required for release</t>
        </is>
      </c>
      <c r="L3558" s="256" t="inlineStr">
        <is>
          <t>—</t>
        </is>
      </c>
      <c r="M3558" s="256" t="inlineStr">
        <is>
          <t>—</t>
        </is>
      </c>
      <c r="N3558" s="256" t="inlineStr">
        <is>
          <t>—</t>
        </is>
      </c>
      <c r="O3558" s="256" t="inlineStr">
        <is>
          <t>—</t>
        </is>
      </c>
      <c r="P3558" s="256" t="inlineStr">
        <is>
          <t>upon request — not required for release</t>
        </is>
      </c>
      <c r="Q3558" s="256" t="inlineStr"/>
      <c r="R3558" s="256" t="inlineStr"/>
    </row>
    <row r="3559">
      <c r="A3559" s="256" t="inlineStr">
        <is>
          <t>CoQ-PP_26-155</t>
        </is>
      </c>
      <c r="B3559" s="256" t="inlineStr">
        <is>
          <t>reissue — retest</t>
        </is>
      </c>
      <c r="C3559" s="256" t="inlineStr">
        <is>
          <t>JD012601</t>
        </is>
      </c>
      <c r="D3559" s="256" t="inlineStr">
        <is>
          <t>— no P lot assigned —</t>
        </is>
      </c>
      <c r="E3559" s="256" t="inlineStr">
        <is>
          <t>Jelly Donuts</t>
        </is>
      </c>
      <c r="F3559" s="256" t="inlineStr">
        <is>
          <t>21.09.2026</t>
        </is>
      </c>
      <c r="G3559" s="256" t="inlineStr">
        <is>
          <t>10.1</t>
        </is>
      </c>
      <c r="H3559" s="256" t="inlineStr">
        <is>
          <t>Aflatoxin B₁</t>
        </is>
      </c>
      <c r="I3559" s="256" t="inlineStr">
        <is>
          <t>Ph. Eur. 2.8.18 (HPLC-FLD)</t>
        </is>
      </c>
      <c r="J3559" s="256" t="inlineStr">
        <is>
          <t>≤ 2 µg/kg</t>
        </is>
      </c>
      <c r="K3559" s="256" t="inlineStr">
        <is>
          <t>ND</t>
        </is>
      </c>
      <c r="L3559" s="256" t="inlineStr">
        <is>
          <t>227-15-М/26</t>
        </is>
      </c>
      <c r="M3559" s="256" t="inlineStr">
        <is>
          <t>16.09.2026</t>
        </is>
      </c>
      <c r="N3559" s="256" t="inlineStr">
        <is>
          <t>Farmahem</t>
        </is>
      </c>
      <c r="O3559" s="256" t="inlineStr">
        <is>
          <t>—</t>
        </is>
      </c>
      <c r="P3559" s="256" t="inlineStr">
        <is>
          <t>covered</t>
        </is>
      </c>
      <c r="Q3559" s="256" t="inlineStr"/>
      <c r="R3559" s="256" t="inlineStr"/>
    </row>
    <row r="3560">
      <c r="A3560" s="256" t="inlineStr">
        <is>
          <t>CoQ-PP_26-155</t>
        </is>
      </c>
      <c r="B3560" s="256" t="inlineStr">
        <is>
          <t>reissue — retest</t>
        </is>
      </c>
      <c r="C3560" s="256" t="inlineStr">
        <is>
          <t>JD012601</t>
        </is>
      </c>
      <c r="D3560" s="256" t="inlineStr">
        <is>
          <t>— no P lot assigned —</t>
        </is>
      </c>
      <c r="E3560" s="256" t="inlineStr">
        <is>
          <t>Jelly Donuts</t>
        </is>
      </c>
      <c r="F3560" s="256" t="inlineStr">
        <is>
          <t>21.09.2026</t>
        </is>
      </c>
      <c r="G3560" s="256" t="inlineStr">
        <is>
          <t>10.2</t>
        </is>
      </c>
      <c r="H3560" s="256" t="inlineStr">
        <is>
          <t>Aflatoxins ∑</t>
        </is>
      </c>
      <c r="I3560" s="256" t="inlineStr">
        <is>
          <t>Ph. Eur. 2.8.18 (HPLC-FLD)</t>
        </is>
      </c>
      <c r="J3560" s="256" t="inlineStr">
        <is>
          <t>≤ 4 µg/kg</t>
        </is>
      </c>
      <c r="K3560" s="256" t="inlineStr">
        <is>
          <t>ND</t>
        </is>
      </c>
      <c r="L3560" s="256" t="inlineStr">
        <is>
          <t>227-15-М/26</t>
        </is>
      </c>
      <c r="M3560" s="256" t="inlineStr">
        <is>
          <t>16.09.2026</t>
        </is>
      </c>
      <c r="N3560" s="256" t="inlineStr">
        <is>
          <t>Farmahem</t>
        </is>
      </c>
      <c r="O3560" s="256" t="inlineStr">
        <is>
          <t>—</t>
        </is>
      </c>
      <c r="P3560" s="256" t="inlineStr">
        <is>
          <t>carried from the initial testing (the batch's initial CoQ (number assigned on issue)) — covered</t>
        </is>
      </c>
      <c r="Q3560" s="256" t="inlineStr"/>
      <c r="R3560" s="256" t="inlineStr"/>
    </row>
    <row r="3561">
      <c r="A3561" s="256" t="inlineStr">
        <is>
          <t>CoQ-PP_26-155</t>
        </is>
      </c>
      <c r="B3561" s="256" t="inlineStr">
        <is>
          <t>reissue — retest</t>
        </is>
      </c>
      <c r="C3561" s="256" t="inlineStr">
        <is>
          <t>JD012601</t>
        </is>
      </c>
      <c r="D3561" s="256" t="inlineStr">
        <is>
          <t>— no P lot assigned —</t>
        </is>
      </c>
      <c r="E3561" s="256" t="inlineStr">
        <is>
          <t>Jelly Donuts</t>
        </is>
      </c>
      <c r="F3561" s="256" t="inlineStr">
        <is>
          <t>21.09.2026</t>
        </is>
      </c>
      <c r="G3561" s="256" t="inlineStr">
        <is>
          <t>10.3</t>
        </is>
      </c>
      <c r="H3561" s="256" t="inlineStr">
        <is>
          <t>Ochratoxin A</t>
        </is>
      </c>
      <c r="I3561" s="256" t="inlineStr">
        <is>
          <t>Ph. Eur. 2.8.22 (HPLC-FLD)</t>
        </is>
      </c>
      <c r="J3561" s="256" t="inlineStr">
        <is>
          <t>≤ 20 µg/kg</t>
        </is>
      </c>
      <c r="K3561" s="256" t="inlineStr">
        <is>
          <t>ND</t>
        </is>
      </c>
      <c r="L3561" s="256" t="inlineStr">
        <is>
          <t>227-15-М/26</t>
        </is>
      </c>
      <c r="M3561" s="256" t="inlineStr">
        <is>
          <t>16.09.2026</t>
        </is>
      </c>
      <c r="N3561" s="256" t="inlineStr">
        <is>
          <t>Farmahem</t>
        </is>
      </c>
      <c r="O3561" s="256" t="inlineStr">
        <is>
          <t>—</t>
        </is>
      </c>
      <c r="P3561" s="256" t="inlineStr">
        <is>
          <t>covered</t>
        </is>
      </c>
      <c r="Q3561" s="256" t="inlineStr"/>
      <c r="R3561" s="256" t="inlineStr"/>
    </row>
    <row r="3562">
      <c r="A3562" s="256" t="inlineStr">
        <is>
          <t>CoQ-PP_26-155</t>
        </is>
      </c>
      <c r="B3562" s="256" t="inlineStr">
        <is>
          <t>reissue — retest</t>
        </is>
      </c>
      <c r="C3562" s="256" t="inlineStr">
        <is>
          <t>JD012601</t>
        </is>
      </c>
      <c r="D3562" s="256" t="inlineStr">
        <is>
          <t>— no P lot assigned —</t>
        </is>
      </c>
      <c r="E3562" s="256" t="inlineStr">
        <is>
          <t>Jelly Donuts</t>
        </is>
      </c>
      <c r="F3562" s="256" t="inlineStr">
        <is>
          <t>21.09.2026</t>
        </is>
      </c>
      <c r="G3562" s="256" t="inlineStr">
        <is>
          <t>11.1</t>
        </is>
      </c>
      <c r="H3562" s="256" t="inlineStr">
        <is>
          <t>Lead (Pb)</t>
        </is>
      </c>
      <c r="I3562" s="256" t="inlineStr">
        <is>
          <t>Ph. Eur. 2.4.27 (ICP-MS)</t>
        </is>
      </c>
      <c r="J3562" s="256" t="inlineStr">
        <is>
          <t>≤ 0.5 mg/kg</t>
        </is>
      </c>
      <c r="K3562" s="256" t="inlineStr">
        <is>
          <t>0.0739</t>
        </is>
      </c>
      <c r="L3562" s="256" t="inlineStr">
        <is>
          <t>2363/2026</t>
        </is>
      </c>
      <c r="M3562" s="256" t="inlineStr">
        <is>
          <t>30.04.2026</t>
        </is>
      </c>
      <c r="N3562" s="256" t="inlineStr">
        <is>
          <t>IPH — Institute of Public Health</t>
        </is>
      </c>
      <c r="O3562" s="256" t="inlineStr">
        <is>
          <t>21.04.2026</t>
        </is>
      </c>
      <c r="P3562" s="256" t="inlineStr">
        <is>
          <t>carried from the initial testing (the batch's initial CoQ (number assigned on issue)) — covered</t>
        </is>
      </c>
      <c r="Q3562" s="256" t="inlineStr"/>
      <c r="R3562" s="256" t="inlineStr"/>
    </row>
    <row r="3563">
      <c r="A3563" s="256" t="inlineStr">
        <is>
          <t>CoQ-PP_26-155</t>
        </is>
      </c>
      <c r="B3563" s="256" t="inlineStr">
        <is>
          <t>reissue — retest</t>
        </is>
      </c>
      <c r="C3563" s="256" t="inlineStr">
        <is>
          <t>JD012601</t>
        </is>
      </c>
      <c r="D3563" s="256" t="inlineStr">
        <is>
          <t>— no P lot assigned —</t>
        </is>
      </c>
      <c r="E3563" s="256" t="inlineStr">
        <is>
          <t>Jelly Donuts</t>
        </is>
      </c>
      <c r="F3563" s="256" t="inlineStr">
        <is>
          <t>21.09.2026</t>
        </is>
      </c>
      <c r="G3563" s="256" t="inlineStr">
        <is>
          <t>11.2</t>
        </is>
      </c>
      <c r="H3563" s="256" t="inlineStr">
        <is>
          <t>Cadmium (Cd)</t>
        </is>
      </c>
      <c r="I3563" s="256" t="inlineStr">
        <is>
          <t>Ph. Eur. 2.4.27 (ICP-MS)</t>
        </is>
      </c>
      <c r="J3563" s="256" t="inlineStr">
        <is>
          <t>≤ 0.3 mg/kg</t>
        </is>
      </c>
      <c r="K3563" s="256" t="inlineStr">
        <is>
          <t>0.0166</t>
        </is>
      </c>
      <c r="L3563" s="256" t="inlineStr">
        <is>
          <t>2363/2026</t>
        </is>
      </c>
      <c r="M3563" s="256" t="inlineStr">
        <is>
          <t>30.04.2026</t>
        </is>
      </c>
      <c r="N3563" s="256" t="inlineStr">
        <is>
          <t>IPH — Institute of Public Health</t>
        </is>
      </c>
      <c r="O3563" s="256" t="inlineStr">
        <is>
          <t>21.04.2026</t>
        </is>
      </c>
      <c r="P3563" s="256" t="inlineStr">
        <is>
          <t>carried from the initial testing (the batch's initial CoQ (number assigned on issue)) — covered</t>
        </is>
      </c>
      <c r="Q3563" s="256" t="inlineStr"/>
      <c r="R3563" s="256" t="inlineStr"/>
    </row>
    <row r="3564">
      <c r="A3564" s="256" t="inlineStr">
        <is>
          <t>CoQ-PP_26-155</t>
        </is>
      </c>
      <c r="B3564" s="256" t="inlineStr">
        <is>
          <t>reissue — retest</t>
        </is>
      </c>
      <c r="C3564" s="256" t="inlineStr">
        <is>
          <t>JD012601</t>
        </is>
      </c>
      <c r="D3564" s="256" t="inlineStr">
        <is>
          <t>— no P lot assigned —</t>
        </is>
      </c>
      <c r="E3564" s="256" t="inlineStr">
        <is>
          <t>Jelly Donuts</t>
        </is>
      </c>
      <c r="F3564" s="256" t="inlineStr">
        <is>
          <t>21.09.2026</t>
        </is>
      </c>
      <c r="G3564" s="256" t="inlineStr">
        <is>
          <t>11.3</t>
        </is>
      </c>
      <c r="H3564" s="256" t="inlineStr">
        <is>
          <t>Arsenic (As)</t>
        </is>
      </c>
      <c r="I3564" s="256" t="inlineStr">
        <is>
          <t>Ph. Eur. 2.4.27 (ICP-MS)</t>
        </is>
      </c>
      <c r="J3564" s="256" t="inlineStr">
        <is>
          <t>≤ 0.2 mg/kg</t>
        </is>
      </c>
      <c r="K3564" s="256" t="inlineStr">
        <is>
          <t>0.0136</t>
        </is>
      </c>
      <c r="L3564" s="256" t="inlineStr">
        <is>
          <t>2363/2026</t>
        </is>
      </c>
      <c r="M3564" s="256" t="inlineStr">
        <is>
          <t>30.04.2026</t>
        </is>
      </c>
      <c r="N3564" s="256" t="inlineStr">
        <is>
          <t>IPH — Institute of Public Health</t>
        </is>
      </c>
      <c r="O3564" s="256" t="inlineStr">
        <is>
          <t>21.04.2026</t>
        </is>
      </c>
      <c r="P3564" s="256" t="inlineStr">
        <is>
          <t>carried from the initial testing (the batch's initial CoQ (number assigned on issue)) — covered</t>
        </is>
      </c>
      <c r="Q3564" s="256" t="inlineStr"/>
      <c r="R3564" s="256" t="inlineStr"/>
    </row>
    <row r="3565">
      <c r="A3565" s="256" t="inlineStr">
        <is>
          <t>CoQ-PP_26-155</t>
        </is>
      </c>
      <c r="B3565" s="256" t="inlineStr">
        <is>
          <t>reissue — retest</t>
        </is>
      </c>
      <c r="C3565" s="256" t="inlineStr">
        <is>
          <t>JD012601</t>
        </is>
      </c>
      <c r="D3565" s="256" t="inlineStr">
        <is>
          <t>— no P lot assigned —</t>
        </is>
      </c>
      <c r="E3565" s="256" t="inlineStr">
        <is>
          <t>Jelly Donuts</t>
        </is>
      </c>
      <c r="F3565" s="256" t="inlineStr">
        <is>
          <t>21.09.2026</t>
        </is>
      </c>
      <c r="G3565" s="256" t="inlineStr">
        <is>
          <t>11.4</t>
        </is>
      </c>
      <c r="H3565" s="256" t="inlineStr">
        <is>
          <t>Mercury (Hg)</t>
        </is>
      </c>
      <c r="I3565" s="256" t="inlineStr">
        <is>
          <t>Ph. Eur. 2.4.27 (ICP-MS)</t>
        </is>
      </c>
      <c r="J3565" s="256" t="inlineStr">
        <is>
          <t>≤ 0.1 mg/kg</t>
        </is>
      </c>
      <c r="K3565" s="256" t="inlineStr">
        <is>
          <t>0.0322</t>
        </is>
      </c>
      <c r="L3565" s="256" t="inlineStr">
        <is>
          <t>2363/2026</t>
        </is>
      </c>
      <c r="M3565" s="256" t="inlineStr">
        <is>
          <t>30.04.2026</t>
        </is>
      </c>
      <c r="N3565" s="256" t="inlineStr">
        <is>
          <t>IPH — Institute of Public Health</t>
        </is>
      </c>
      <c r="O3565" s="256" t="inlineStr">
        <is>
          <t>21.04.2026</t>
        </is>
      </c>
      <c r="P3565" s="256" t="inlineStr">
        <is>
          <t>carried from the initial testing (the batch's initial CoQ (number assigned on issue)) — covered</t>
        </is>
      </c>
      <c r="Q3565" s="256" t="inlineStr"/>
      <c r="R3565" s="256" t="inlineStr"/>
    </row>
    <row r="3566">
      <c r="A3566" s="256" t="inlineStr">
        <is>
          <t>CoQ-PP_26-155</t>
        </is>
      </c>
      <c r="B3566" s="256" t="inlineStr">
        <is>
          <t>reissue — retest</t>
        </is>
      </c>
      <c r="C3566" s="256" t="inlineStr">
        <is>
          <t>JD012601</t>
        </is>
      </c>
      <c r="D3566" s="256" t="inlineStr">
        <is>
          <t>— no P lot assigned —</t>
        </is>
      </c>
      <c r="E3566" s="256" t="inlineStr">
        <is>
          <t>Jelly Donuts</t>
        </is>
      </c>
      <c r="F3566" s="256" t="inlineStr">
        <is>
          <t>21.09.2026</t>
        </is>
      </c>
      <c r="G3566" s="256" t="inlineStr">
        <is>
          <t>12</t>
        </is>
      </c>
      <c r="H3566" s="256" t="inlineStr">
        <is>
          <t>Pesticide Residues</t>
        </is>
      </c>
      <c r="I3566" s="256" t="inlineStr">
        <is>
          <t>Ph. Eur. 2.8.13 (LC-MS/MS) · CUMCS Equivalency</t>
        </is>
      </c>
      <c r="J3566" s="256" t="inlineStr">
        <is>
          <t>≤ LOQ as per Ph. Eur. 2.8.13 · ≤ LOQ as per CUMCS Equivalency</t>
        </is>
      </c>
      <c r="K3566" s="256" t="inlineStr">
        <is>
          <t>ND</t>
        </is>
      </c>
      <c r="L3566" s="256" t="inlineStr">
        <is>
          <t>2363/2026</t>
        </is>
      </c>
      <c r="M3566" s="256" t="inlineStr">
        <is>
          <t>30.04.2026</t>
        </is>
      </c>
      <c r="N3566" s="256" t="inlineStr">
        <is>
          <t>IPH — Institute of Public Health</t>
        </is>
      </c>
      <c r="O3566" s="256" t="inlineStr">
        <is>
          <t>21.04.2026</t>
        </is>
      </c>
      <c r="P3566" s="256" t="inlineStr">
        <is>
          <t>carried from the initial testing (the batch's initial CoQ (number assigned on issue)) — covered</t>
        </is>
      </c>
      <c r="Q3566" s="256" t="inlineStr"/>
      <c r="R3566" s="256" t="inlineStr"/>
    </row>
    <row r="3567">
      <c r="A3567" s="256" t="inlineStr">
        <is>
          <t>CoQ-PP_26-156</t>
        </is>
      </c>
      <c r="B3567" s="256" t="inlineStr">
        <is>
          <t>reissue — retest</t>
        </is>
      </c>
      <c r="C3567" s="256" t="inlineStr">
        <is>
          <t>MB0824_04</t>
        </is>
      </c>
      <c r="D3567" s="256" t="inlineStr">
        <is>
          <t>P050032</t>
        </is>
      </c>
      <c r="E3567" s="256" t="inlineStr">
        <is>
          <t>Motor Breath</t>
        </is>
      </c>
      <c r="F3567" s="256" t="inlineStr">
        <is>
          <t>21.09.2026</t>
        </is>
      </c>
      <c r="G3567" s="256" t="inlineStr">
        <is>
          <t>1</t>
        </is>
      </c>
      <c r="H3567" s="256" t="inlineStr">
        <is>
          <t>Identification A, Appearance · Macroscopic</t>
        </is>
      </c>
      <c r="I3567" s="256" t="inlineStr">
        <is>
          <t>Ph. Eur. mon. 3028</t>
        </is>
      </c>
      <c r="J3567" s="256" t="inlineStr">
        <is>
          <t>Conforms to the monograph for Cannabis flos (07/2024:3028) in Ph. Eur. 11.0 | Согласно монографија за Cannabis flos (07/2024:3028) во Ph. Eur. 11.0</t>
        </is>
      </c>
      <c r="K3567" s="256" t="inlineStr">
        <is>
          <t>Conforms | Одговара</t>
        </is>
      </c>
      <c r="L3567" s="256" t="inlineStr">
        <is>
          <t>iCoA-PP_26-173</t>
        </is>
      </c>
      <c r="M3567" s="256" t="inlineStr">
        <is>
          <t>24.08.2026</t>
        </is>
      </c>
      <c r="N3567" s="256" t="inlineStr">
        <is>
          <t>Purely Plant GmbH (in-house)</t>
        </is>
      </c>
      <c r="O3567" s="256" t="inlineStr">
        <is>
          <t>—</t>
        </is>
      </c>
      <c r="P3567" s="256" t="inlineStr">
        <is>
          <t>covered</t>
        </is>
      </c>
      <c r="Q3567" s="256" t="inlineStr">
        <is>
          <t>Farmahem — Ident A + B + C with the Assay, at retest</t>
        </is>
      </c>
      <c r="R3567" s="256" t="inlineStr"/>
    </row>
    <row r="3568">
      <c r="A3568" s="256" t="inlineStr">
        <is>
          <t>CoQ-PP_26-156</t>
        </is>
      </c>
      <c r="B3568" s="256" t="inlineStr">
        <is>
          <t>reissue — retest</t>
        </is>
      </c>
      <c r="C3568" s="256" t="inlineStr">
        <is>
          <t>MB0824_04</t>
        </is>
      </c>
      <c r="D3568" s="256" t="inlineStr">
        <is>
          <t>P050032</t>
        </is>
      </c>
      <c r="E3568" s="256" t="inlineStr">
        <is>
          <t>Motor Breath</t>
        </is>
      </c>
      <c r="F3568" s="256" t="inlineStr">
        <is>
          <t>21.09.2026</t>
        </is>
      </c>
      <c r="G3568" s="256" t="inlineStr">
        <is>
          <t>2</t>
        </is>
      </c>
      <c r="H3568" s="256" t="inlineStr">
        <is>
          <t>Identification B · Microscopic</t>
        </is>
      </c>
      <c r="I3568" s="256" t="inlineStr">
        <is>
          <t>Ph. Eur. 2.8.23 (microscopy)</t>
        </is>
      </c>
      <c r="J3568" s="256" t="inlineStr">
        <is>
          <t>Conforms to the monograph for Cannabis flos (07/2024:3028) in Ph. Eur. 11.0 | Согласно монографија за Cannabis flos (07/2024:3028) во Ph. Eur. 11.0</t>
        </is>
      </c>
      <c r="K3568" s="256" t="inlineStr">
        <is>
          <t>Conforms | Одговара</t>
        </is>
      </c>
      <c r="L3568" s="256" t="inlineStr">
        <is>
          <t>iCoA-PP_26-173</t>
        </is>
      </c>
      <c r="M3568" s="256" t="inlineStr">
        <is>
          <t>24.08.2026</t>
        </is>
      </c>
      <c r="N3568" s="256" t="inlineStr">
        <is>
          <t>Purely Plant GmbH (in-house)</t>
        </is>
      </c>
      <c r="O3568" s="256" t="inlineStr">
        <is>
          <t>—</t>
        </is>
      </c>
      <c r="P3568" s="256" t="inlineStr">
        <is>
          <t>to be performed — see route</t>
        </is>
      </c>
      <c r="Q3568" s="256" t="inlineStr">
        <is>
          <t>Farmahem — Ident A + B + C with the Assay, at retest</t>
        </is>
      </c>
      <c r="R3568" s="256" t="inlineStr"/>
    </row>
    <row r="3569">
      <c r="A3569" s="256" t="inlineStr">
        <is>
          <t>CoQ-PP_26-156</t>
        </is>
      </c>
      <c r="B3569" s="256" t="inlineStr">
        <is>
          <t>reissue — retest</t>
        </is>
      </c>
      <c r="C3569" s="256" t="inlineStr">
        <is>
          <t>MB0824_04</t>
        </is>
      </c>
      <c r="D3569" s="256" t="inlineStr">
        <is>
          <t>P050032</t>
        </is>
      </c>
      <c r="E3569" s="256" t="inlineStr">
        <is>
          <t>Motor Breath</t>
        </is>
      </c>
      <c r="F3569" s="256" t="inlineStr">
        <is>
          <t>21.09.2026</t>
        </is>
      </c>
      <c r="G3569" s="256" t="inlineStr">
        <is>
          <t>3</t>
        </is>
      </c>
      <c r="H3569" s="256" t="inlineStr">
        <is>
          <t>Identification C · HPLC/HPTLC</t>
        </is>
      </c>
      <c r="I3569" s="256" t="inlineStr">
        <is>
          <t>Ph. Eur. 2.2.29 (3028)</t>
        </is>
      </c>
      <c r="J3569" s="256" t="inlineStr">
        <is>
          <t>Conforms to the monograph for Cannabis flos (07/2024:3028) in Ph. Eur. 11.0 | Согласно монографија за Cannabis flos (07/2024:3028) во Ph. Eur. 11.0</t>
        </is>
      </c>
      <c r="K3569" s="256" t="inlineStr">
        <is>
          <t>Conforms | Одговара</t>
        </is>
      </c>
      <c r="L3569" s="256" t="inlineStr">
        <is>
          <t>227-12-К/26</t>
        </is>
      </c>
      <c r="M3569" s="256" t="inlineStr">
        <is>
          <t>11.09.2026</t>
        </is>
      </c>
      <c r="N3569" s="256" t="inlineStr">
        <is>
          <t>Farmahem</t>
        </is>
      </c>
      <c r="O3569" s="256" t="inlineStr">
        <is>
          <t>24.08.2026</t>
        </is>
      </c>
      <c r="P3569" s="256" t="inlineStr">
        <is>
          <t>covered</t>
        </is>
      </c>
      <c r="Q3569" s="256" t="inlineStr"/>
      <c r="R3569" s="256" t="inlineStr"/>
    </row>
    <row r="3570">
      <c r="A3570" s="256" t="inlineStr">
        <is>
          <t>CoQ-PP_26-156</t>
        </is>
      </c>
      <c r="B3570" s="256" t="inlineStr">
        <is>
          <t>reissue — retest</t>
        </is>
      </c>
      <c r="C3570" s="256" t="inlineStr">
        <is>
          <t>MB0824_04</t>
        </is>
      </c>
      <c r="D3570" s="256" t="inlineStr">
        <is>
          <t>P050032</t>
        </is>
      </c>
      <c r="E3570" s="256" t="inlineStr">
        <is>
          <t>Motor Breath</t>
        </is>
      </c>
      <c r="F3570" s="256" t="inlineStr">
        <is>
          <t>21.09.2026</t>
        </is>
      </c>
      <c r="G3570" s="256" t="inlineStr">
        <is>
          <t>4</t>
        </is>
      </c>
      <c r="H3570" s="256" t="inlineStr">
        <is>
          <t>Assay — Total Δ⁹-THC</t>
        </is>
      </c>
      <c r="I3570" s="256" t="inlineStr">
        <is>
          <t>Ph. Eur. 2.2.29 (HPLC)</t>
        </is>
      </c>
      <c r="J3570" s="256" t="inlineStr">
        <is>
          <t>16.20 – 19.79 %  (grade I, nominal 18.00 ± 1.80)</t>
        </is>
      </c>
      <c r="K3570" s="256" t="inlineStr">
        <is>
          <t>17.57</t>
        </is>
      </c>
      <c r="L3570" s="256" t="inlineStr">
        <is>
          <t>227-12-К/26</t>
        </is>
      </c>
      <c r="M3570" s="256" t="inlineStr">
        <is>
          <t>11.09.2026</t>
        </is>
      </c>
      <c r="N3570" s="256" t="inlineStr">
        <is>
          <t>Farmahem</t>
        </is>
      </c>
      <c r="O3570" s="256" t="inlineStr">
        <is>
          <t>24.08.2026</t>
        </is>
      </c>
      <c r="P3570" s="256" t="inlineStr">
        <is>
          <t>covered</t>
        </is>
      </c>
      <c r="Q3570" s="256" t="inlineStr"/>
      <c r="R3570" s="256" t="inlineStr"/>
    </row>
    <row r="3571">
      <c r="A3571" s="256" t="inlineStr">
        <is>
          <t>CoQ-PP_26-156</t>
        </is>
      </c>
      <c r="B3571" s="256" t="inlineStr">
        <is>
          <t>reissue — retest</t>
        </is>
      </c>
      <c r="C3571" s="256" t="inlineStr">
        <is>
          <t>MB0824_04</t>
        </is>
      </c>
      <c r="D3571" s="256" t="inlineStr">
        <is>
          <t>P050032</t>
        </is>
      </c>
      <c r="E3571" s="256" t="inlineStr">
        <is>
          <t>Motor Breath</t>
        </is>
      </c>
      <c r="F3571" s="256" t="inlineStr">
        <is>
          <t>21.09.2026</t>
        </is>
      </c>
      <c r="G3571" s="256" t="inlineStr">
        <is>
          <t>5</t>
        </is>
      </c>
      <c r="H3571" s="256" t="inlineStr">
        <is>
          <t>Assay — Total CBD</t>
        </is>
      </c>
      <c r="I3571" s="256" t="inlineStr">
        <is>
          <t>Ph. Eur. 2.2.29 (HPLC) · CBD + CBDA x 0.877</t>
        </is>
      </c>
      <c r="J3571" s="256" t="inlineStr">
        <is>
          <t>≤ 1.0%, w/w</t>
        </is>
      </c>
      <c r="K3571" s="256" t="inlineStr">
        <is>
          <t>&lt; LOQ</t>
        </is>
      </c>
      <c r="L3571" s="256" t="inlineStr">
        <is>
          <t>227-12-К/26</t>
        </is>
      </c>
      <c r="M3571" s="256" t="inlineStr">
        <is>
          <t>11.09.2026</t>
        </is>
      </c>
      <c r="N3571" s="256" t="inlineStr">
        <is>
          <t>Farmahem</t>
        </is>
      </c>
      <c r="O3571" s="256" t="inlineStr">
        <is>
          <t>24.08.2026</t>
        </is>
      </c>
      <c r="P3571" s="256" t="inlineStr">
        <is>
          <t>covered</t>
        </is>
      </c>
      <c r="Q3571" s="256" t="inlineStr"/>
      <c r="R3571" s="256" t="inlineStr"/>
    </row>
    <row r="3572">
      <c r="A3572" s="256" t="inlineStr">
        <is>
          <t>CoQ-PP_26-156</t>
        </is>
      </c>
      <c r="B3572" s="256" t="inlineStr">
        <is>
          <t>reissue — retest</t>
        </is>
      </c>
      <c r="C3572" s="256" t="inlineStr">
        <is>
          <t>MB0824_04</t>
        </is>
      </c>
      <c r="D3572" s="256" t="inlineStr">
        <is>
          <t>P050032</t>
        </is>
      </c>
      <c r="E3572" s="256" t="inlineStr">
        <is>
          <t>Motor Breath</t>
        </is>
      </c>
      <c r="F3572" s="256" t="inlineStr">
        <is>
          <t>21.09.2026</t>
        </is>
      </c>
      <c r="G3572" s="256" t="inlineStr">
        <is>
          <t>6</t>
        </is>
      </c>
      <c r="H3572" s="256" t="inlineStr">
        <is>
          <t>Total CBN</t>
        </is>
      </c>
      <c r="I3572" s="256" t="inlineStr">
        <is>
          <t>Ph. Eur. 2.2.29 (HPLC) · CBN + CBNA x 0.876</t>
        </is>
      </c>
      <c r="J3572" s="256" t="inlineStr">
        <is>
          <t>≤ 1.0%, w/w</t>
        </is>
      </c>
      <c r="K3572" s="256" t="inlineStr">
        <is>
          <t>&lt; LOQ</t>
        </is>
      </c>
      <c r="L3572" s="256" t="inlineStr">
        <is>
          <t>227-12-К/26</t>
        </is>
      </c>
      <c r="M3572" s="256" t="inlineStr">
        <is>
          <t>11.09.2026</t>
        </is>
      </c>
      <c r="N3572" s="256" t="inlineStr">
        <is>
          <t>Farmahem</t>
        </is>
      </c>
      <c r="O3572" s="256" t="inlineStr">
        <is>
          <t>24.08.2026</t>
        </is>
      </c>
      <c r="P3572" s="256" t="inlineStr">
        <is>
          <t>covered</t>
        </is>
      </c>
      <c r="Q3572" s="256" t="inlineStr"/>
      <c r="R3572" s="256" t="inlineStr"/>
    </row>
    <row r="3573">
      <c r="A3573" s="256" t="inlineStr">
        <is>
          <t>CoQ-PP_26-156</t>
        </is>
      </c>
      <c r="B3573" s="256" t="inlineStr">
        <is>
          <t>reissue — retest</t>
        </is>
      </c>
      <c r="C3573" s="256" t="inlineStr">
        <is>
          <t>MB0824_04</t>
        </is>
      </c>
      <c r="D3573" s="256" t="inlineStr">
        <is>
          <t>P050032</t>
        </is>
      </c>
      <c r="E3573" s="256" t="inlineStr">
        <is>
          <t>Motor Breath</t>
        </is>
      </c>
      <c r="F3573" s="256" t="inlineStr">
        <is>
          <t>21.09.2026</t>
        </is>
      </c>
      <c r="G3573" s="256" t="inlineStr">
        <is>
          <t>7</t>
        </is>
      </c>
      <c r="H3573" s="256" t="inlineStr">
        <is>
          <t>Foreign Matter</t>
        </is>
      </c>
      <c r="I3573" s="256" t="inlineStr">
        <is>
          <t>Ph. Eur. 2.8.2 · In-house · интерна</t>
        </is>
      </c>
      <c r="J3573" s="256" t="inlineStr">
        <is>
          <t>≤ 2.0% / 25–50 g · &lt; 1 cm leaves | листови, no seeds | без семки</t>
        </is>
      </c>
      <c r="K3573" s="256" t="inlineStr">
        <is>
          <t>Conforms | Одговара</t>
        </is>
      </c>
      <c r="L3573" s="256" t="inlineStr">
        <is>
          <t>iCoA-PP_26-173</t>
        </is>
      </c>
      <c r="M3573" s="256" t="inlineStr">
        <is>
          <t>24.08.2026</t>
        </is>
      </c>
      <c r="N3573" s="256" t="inlineStr">
        <is>
          <t>Purely Plant GmbH (in-house)</t>
        </is>
      </c>
      <c r="O3573" s="256" t="inlineStr">
        <is>
          <t>—</t>
        </is>
      </c>
      <c r="P3573" s="256" t="inlineStr">
        <is>
          <t>covered</t>
        </is>
      </c>
      <c r="Q3573" s="256" t="inlineStr">
        <is>
          <t>Purely Plant laboratory — iCoA covering Foreign matter</t>
        </is>
      </c>
      <c r="R3573" s="256" t="inlineStr"/>
    </row>
    <row r="3574">
      <c r="A3574" s="256" t="inlineStr">
        <is>
          <t>CoQ-PP_26-156</t>
        </is>
      </c>
      <c r="B3574" s="256" t="inlineStr">
        <is>
          <t>reissue — retest</t>
        </is>
      </c>
      <c r="C3574" s="256" t="inlineStr">
        <is>
          <t>MB0824_04</t>
        </is>
      </c>
      <c r="D3574" s="256" t="inlineStr">
        <is>
          <t>P050032</t>
        </is>
      </c>
      <c r="E3574" s="256" t="inlineStr">
        <is>
          <t>Motor Breath</t>
        </is>
      </c>
      <c r="F3574" s="256" t="inlineStr">
        <is>
          <t>21.09.2026</t>
        </is>
      </c>
      <c r="G3574" s="256" t="inlineStr">
        <is>
          <t>8</t>
        </is>
      </c>
      <c r="H3574" s="256" t="inlineStr">
        <is>
          <t>Loss on Drying</t>
        </is>
      </c>
      <c r="I3574" s="256" t="inlineStr">
        <is>
          <t>DAB 2018 monograph Cannabis flos, 2.2.32 — loss on drying (CNP, before its Ph. Eur. 3028 accreditation)</t>
        </is>
      </c>
      <c r="J3574" s="256" t="inlineStr">
        <is>
          <t>≤ 12.0%</t>
        </is>
      </c>
      <c r="K3574" s="256" t="inlineStr">
        <is>
          <t>6.01</t>
        </is>
      </c>
      <c r="L3574" s="256" t="inlineStr">
        <is>
          <t>ППК25118</t>
        </is>
      </c>
      <c r="M3574" s="256" t="inlineStr">
        <is>
          <t>06.05.2025</t>
        </is>
      </c>
      <c r="N3574" s="256" t="inlineStr">
        <is>
          <t>UKIM Faculty of Pharmacy — Center for Natural Products</t>
        </is>
      </c>
      <c r="O3574" s="256" t="inlineStr">
        <is>
          <t>28.04.2025</t>
        </is>
      </c>
      <c r="P3574" s="256" t="inlineStr">
        <is>
          <t>carried from the initial testing (the batch's initial CoQ (number assigned on issue)) — covered</t>
        </is>
      </c>
      <c r="Q3574" s="256" t="inlineStr"/>
      <c r="R3574" s="256" t="inlineStr"/>
    </row>
    <row r="3575">
      <c r="A3575" s="256" t="inlineStr">
        <is>
          <t>CoQ-PP_26-156</t>
        </is>
      </c>
      <c r="B3575" s="256" t="inlineStr">
        <is>
          <t>reissue — retest</t>
        </is>
      </c>
      <c r="C3575" s="256" t="inlineStr">
        <is>
          <t>MB0824_04</t>
        </is>
      </c>
      <c r="D3575" s="256" t="inlineStr">
        <is>
          <t>P050032</t>
        </is>
      </c>
      <c r="E3575" s="256" t="inlineStr">
        <is>
          <t>Motor Breath</t>
        </is>
      </c>
      <c r="F3575" s="256" t="inlineStr">
        <is>
          <t>21.09.2026</t>
        </is>
      </c>
      <c r="G3575" s="256" t="inlineStr">
        <is>
          <t>9.1</t>
        </is>
      </c>
      <c r="H3575" s="256" t="inlineStr">
        <is>
          <t>TAMC</t>
        </is>
      </c>
      <c r="I3575" s="256" t="inlineStr">
        <is>
          <t>Ph. Eur. 2.6.12 cat. C</t>
        </is>
      </c>
      <c r="J3575" s="256" t="inlineStr">
        <is>
          <t>≤ 10⁵ CFU/g</t>
        </is>
      </c>
      <c r="K3575" s="256" t="inlineStr">
        <is>
          <t>&lt; 10</t>
        </is>
      </c>
      <c r="L3575" s="256" t="inlineStr">
        <is>
          <t>563/1094/26</t>
        </is>
      </c>
      <c r="M3575" s="256" t="inlineStr">
        <is>
          <t>01.09.2026</t>
        </is>
      </c>
      <c r="N3575" s="256" t="inlineStr">
        <is>
          <t>IPH — Institute of Public Health</t>
        </is>
      </c>
      <c r="O3575" s="256" t="inlineStr">
        <is>
          <t>26.08.2026</t>
        </is>
      </c>
      <c r="P3575" s="256" t="inlineStr">
        <is>
          <t>covered</t>
        </is>
      </c>
      <c r="Q3575" s="256" t="inlineStr"/>
      <c r="R3575" s="256" t="inlineStr"/>
    </row>
    <row r="3576">
      <c r="A3576" s="256" t="inlineStr">
        <is>
          <t>CoQ-PP_26-156</t>
        </is>
      </c>
      <c r="B3576" s="256" t="inlineStr">
        <is>
          <t>reissue — retest</t>
        </is>
      </c>
      <c r="C3576" s="256" t="inlineStr">
        <is>
          <t>MB0824_04</t>
        </is>
      </c>
      <c r="D3576" s="256" t="inlineStr">
        <is>
          <t>P050032</t>
        </is>
      </c>
      <c r="E3576" s="256" t="inlineStr">
        <is>
          <t>Motor Breath</t>
        </is>
      </c>
      <c r="F3576" s="256" t="inlineStr">
        <is>
          <t>21.09.2026</t>
        </is>
      </c>
      <c r="G3576" s="256" t="inlineStr">
        <is>
          <t>9.2</t>
        </is>
      </c>
      <c r="H3576" s="256" t="inlineStr">
        <is>
          <t>TYMC</t>
        </is>
      </c>
      <c r="I3576" s="256" t="inlineStr">
        <is>
          <t>Ph. Eur. 2.6.12 cat. C</t>
        </is>
      </c>
      <c r="J3576" s="256" t="inlineStr">
        <is>
          <t>≤ 10⁴ CFU/g</t>
        </is>
      </c>
      <c r="K3576" s="256" t="inlineStr">
        <is>
          <t>&lt; 10</t>
        </is>
      </c>
      <c r="L3576" s="256" t="inlineStr">
        <is>
          <t>563/1094/26</t>
        </is>
      </c>
      <c r="M3576" s="256" t="inlineStr">
        <is>
          <t>01.09.2026</t>
        </is>
      </c>
      <c r="N3576" s="256" t="inlineStr">
        <is>
          <t>IPH — Institute of Public Health</t>
        </is>
      </c>
      <c r="O3576" s="256" t="inlineStr">
        <is>
          <t>26.08.2026</t>
        </is>
      </c>
      <c r="P3576" s="256" t="inlineStr">
        <is>
          <t>covered</t>
        </is>
      </c>
      <c r="Q3576" s="256" t="inlineStr"/>
      <c r="R3576" s="256" t="inlineStr"/>
    </row>
    <row r="3577">
      <c r="A3577" s="256" t="inlineStr">
        <is>
          <t>CoQ-PP_26-156</t>
        </is>
      </c>
      <c r="B3577" s="256" t="inlineStr">
        <is>
          <t>reissue — retest</t>
        </is>
      </c>
      <c r="C3577" s="256" t="inlineStr">
        <is>
          <t>MB0824_04</t>
        </is>
      </c>
      <c r="D3577" s="256" t="inlineStr">
        <is>
          <t>P050032</t>
        </is>
      </c>
      <c r="E3577" s="256" t="inlineStr">
        <is>
          <t>Motor Breath</t>
        </is>
      </c>
      <c r="F3577" s="256" t="inlineStr">
        <is>
          <t>21.09.2026</t>
        </is>
      </c>
      <c r="G3577" s="256" t="inlineStr">
        <is>
          <t>9.3</t>
        </is>
      </c>
      <c r="H3577" s="256" t="inlineStr">
        <is>
          <t>Bile-tolerant gram-neg.</t>
        </is>
      </c>
      <c r="I3577" s="256" t="inlineStr">
        <is>
          <t>Ph. Eur. 2.6.31 cat. C</t>
        </is>
      </c>
      <c r="J3577" s="256" t="inlineStr">
        <is>
          <t>≤ 10⁴ CFU/g</t>
        </is>
      </c>
      <c r="K3577" s="256" t="inlineStr">
        <is>
          <t>&lt; 10</t>
        </is>
      </c>
      <c r="L3577" s="256" t="inlineStr">
        <is>
          <t>563/1094/26</t>
        </is>
      </c>
      <c r="M3577" s="256" t="inlineStr">
        <is>
          <t>01.09.2026</t>
        </is>
      </c>
      <c r="N3577" s="256" t="inlineStr">
        <is>
          <t>IPH — Institute of Public Health</t>
        </is>
      </c>
      <c r="O3577" s="256" t="inlineStr">
        <is>
          <t>26.08.2026</t>
        </is>
      </c>
      <c r="P3577" s="256" t="inlineStr">
        <is>
          <t>covered</t>
        </is>
      </c>
      <c r="Q3577" s="256" t="inlineStr"/>
      <c r="R3577" s="256" t="inlineStr"/>
    </row>
    <row r="3578">
      <c r="A3578" s="256" t="inlineStr">
        <is>
          <t>CoQ-PP_26-156</t>
        </is>
      </c>
      <c r="B3578" s="256" t="inlineStr">
        <is>
          <t>reissue — retest</t>
        </is>
      </c>
      <c r="C3578" s="256" t="inlineStr">
        <is>
          <t>MB0824_04</t>
        </is>
      </c>
      <c r="D3578" s="256" t="inlineStr">
        <is>
          <t>P050032</t>
        </is>
      </c>
      <c r="E3578" s="256" t="inlineStr">
        <is>
          <t>Motor Breath</t>
        </is>
      </c>
      <c r="F3578" s="256" t="inlineStr">
        <is>
          <t>21.09.2026</t>
        </is>
      </c>
      <c r="G3578" s="256" t="inlineStr">
        <is>
          <t>9.4</t>
        </is>
      </c>
      <c r="H3578" s="256" t="inlineStr">
        <is>
          <t>Salmonella</t>
        </is>
      </c>
      <c r="I3578" s="256" t="inlineStr">
        <is>
          <t>Ph. Eur. 2.6.31 cat. C</t>
        </is>
      </c>
      <c r="J3578" s="256" t="inlineStr">
        <is>
          <t>Absence | Отсуство / 25 g</t>
        </is>
      </c>
      <c r="K3578" s="256" t="inlineStr">
        <is>
          <t>Absent | Отсутна</t>
        </is>
      </c>
      <c r="L3578" s="256" t="inlineStr">
        <is>
          <t>563/1094/26</t>
        </is>
      </c>
      <c r="M3578" s="256" t="inlineStr">
        <is>
          <t>01.09.2026</t>
        </is>
      </c>
      <c r="N3578" s="256" t="inlineStr">
        <is>
          <t>IPH — Institute of Public Health</t>
        </is>
      </c>
      <c r="O3578" s="256" t="inlineStr">
        <is>
          <t>26.08.2026</t>
        </is>
      </c>
      <c r="P3578" s="256" t="inlineStr">
        <is>
          <t>covered</t>
        </is>
      </c>
      <c r="Q3578" s="256" t="inlineStr"/>
      <c r="R3578" s="256" t="inlineStr"/>
    </row>
    <row r="3579">
      <c r="A3579" s="256" t="inlineStr">
        <is>
          <t>CoQ-PP_26-156</t>
        </is>
      </c>
      <c r="B3579" s="256" t="inlineStr">
        <is>
          <t>reissue — retest</t>
        </is>
      </c>
      <c r="C3579" s="256" t="inlineStr">
        <is>
          <t>MB0824_04</t>
        </is>
      </c>
      <c r="D3579" s="256" t="inlineStr">
        <is>
          <t>P050032</t>
        </is>
      </c>
      <c r="E3579" s="256" t="inlineStr">
        <is>
          <t>Motor Breath</t>
        </is>
      </c>
      <c r="F3579" s="256" t="inlineStr">
        <is>
          <t>21.09.2026</t>
        </is>
      </c>
      <c r="G3579" s="256" t="inlineStr">
        <is>
          <t>9.5</t>
        </is>
      </c>
      <c r="H3579" s="256" t="inlineStr">
        <is>
          <t>Escherichia coli</t>
        </is>
      </c>
      <c r="I3579" s="256" t="inlineStr">
        <is>
          <t>Ph. Eur. 2.6.13 cat. C</t>
        </is>
      </c>
      <c r="J3579" s="256" t="inlineStr">
        <is>
          <t>Absence | Отсуство / 1 g</t>
        </is>
      </c>
      <c r="K3579" s="256" t="inlineStr">
        <is>
          <t>Absent | Отсутна</t>
        </is>
      </c>
      <c r="L3579" s="256" t="inlineStr">
        <is>
          <t>563/1094/26</t>
        </is>
      </c>
      <c r="M3579" s="256" t="inlineStr">
        <is>
          <t>01.09.2026</t>
        </is>
      </c>
      <c r="N3579" s="256" t="inlineStr">
        <is>
          <t>IPH — Institute of Public Health</t>
        </is>
      </c>
      <c r="O3579" s="256" t="inlineStr">
        <is>
          <t>26.08.2026</t>
        </is>
      </c>
      <c r="P3579" s="256" t="inlineStr">
        <is>
          <t>covered</t>
        </is>
      </c>
      <c r="Q3579" s="256" t="inlineStr"/>
      <c r="R3579" s="256" t="inlineStr"/>
    </row>
    <row r="3580">
      <c r="A3580" s="256" t="inlineStr">
        <is>
          <t>CoQ-PP_26-156</t>
        </is>
      </c>
      <c r="B3580" s="256" t="inlineStr">
        <is>
          <t>reissue — retest</t>
        </is>
      </c>
      <c r="C3580" s="256" t="inlineStr">
        <is>
          <t>MB0824_04</t>
        </is>
      </c>
      <c r="D3580" s="256" t="inlineStr">
        <is>
          <t>P050032</t>
        </is>
      </c>
      <c r="E3580" s="256" t="inlineStr">
        <is>
          <t>Motor Breath</t>
        </is>
      </c>
      <c r="F3580" s="256" t="inlineStr">
        <is>
          <t>21.09.2026</t>
        </is>
      </c>
      <c r="G3580" s="256" t="inlineStr">
        <is>
          <t>9.6</t>
        </is>
      </c>
      <c r="H3580" s="256" t="inlineStr">
        <is>
          <t>Pseudomonas aeruginosa</t>
        </is>
      </c>
      <c r="I3580" s="256" t="inlineStr">
        <is>
          <t>Ph. Eur. 2.6.13 cat. C</t>
        </is>
      </c>
      <c r="J3580" s="256" t="inlineStr">
        <is>
          <t>Absence | Отсуство / 1 g</t>
        </is>
      </c>
      <c r="K3580" s="260" t="inlineStr">
        <is>
          <t>upon request — not required for release</t>
        </is>
      </c>
      <c r="L3580" s="256" t="inlineStr">
        <is>
          <t>—</t>
        </is>
      </c>
      <c r="M3580" s="256" t="inlineStr">
        <is>
          <t>—</t>
        </is>
      </c>
      <c r="N3580" s="256" t="inlineStr">
        <is>
          <t>—</t>
        </is>
      </c>
      <c r="O3580" s="256" t="inlineStr">
        <is>
          <t>—</t>
        </is>
      </c>
      <c r="P3580" s="256" t="inlineStr">
        <is>
          <t>upon request — not required for release</t>
        </is>
      </c>
      <c r="Q3580" s="256" t="inlineStr"/>
      <c r="R3580" s="256" t="inlineStr"/>
    </row>
    <row r="3581">
      <c r="A3581" s="256" t="inlineStr">
        <is>
          <t>CoQ-PP_26-156</t>
        </is>
      </c>
      <c r="B3581" s="256" t="inlineStr">
        <is>
          <t>reissue — retest</t>
        </is>
      </c>
      <c r="C3581" s="256" t="inlineStr">
        <is>
          <t>MB0824_04</t>
        </is>
      </c>
      <c r="D3581" s="256" t="inlineStr">
        <is>
          <t>P050032</t>
        </is>
      </c>
      <c r="E3581" s="256" t="inlineStr">
        <is>
          <t>Motor Breath</t>
        </is>
      </c>
      <c r="F3581" s="256" t="inlineStr">
        <is>
          <t>21.09.2026</t>
        </is>
      </c>
      <c r="G3581" s="256" t="inlineStr">
        <is>
          <t>9.7</t>
        </is>
      </c>
      <c r="H3581" s="256" t="inlineStr">
        <is>
          <t>Staphylococcus aureus</t>
        </is>
      </c>
      <c r="I3581" s="256" t="inlineStr">
        <is>
          <t>Ph. Eur. 2.6.13 cat. C</t>
        </is>
      </c>
      <c r="J3581" s="256" t="inlineStr">
        <is>
          <t>Absence | Отсуство / 1 g</t>
        </is>
      </c>
      <c r="K3581" s="260" t="inlineStr">
        <is>
          <t>upon request — not required for release</t>
        </is>
      </c>
      <c r="L3581" s="256" t="inlineStr">
        <is>
          <t>—</t>
        </is>
      </c>
      <c r="M3581" s="256" t="inlineStr">
        <is>
          <t>—</t>
        </is>
      </c>
      <c r="N3581" s="256" t="inlineStr">
        <is>
          <t>—</t>
        </is>
      </c>
      <c r="O3581" s="256" t="inlineStr">
        <is>
          <t>—</t>
        </is>
      </c>
      <c r="P3581" s="256" t="inlineStr">
        <is>
          <t>upon request — not required for release</t>
        </is>
      </c>
      <c r="Q3581" s="256" t="inlineStr"/>
      <c r="R3581" s="256" t="inlineStr"/>
    </row>
    <row r="3582">
      <c r="A3582" s="256" t="inlineStr">
        <is>
          <t>CoQ-PP_26-156</t>
        </is>
      </c>
      <c r="B3582" s="256" t="inlineStr">
        <is>
          <t>reissue — retest</t>
        </is>
      </c>
      <c r="C3582" s="256" t="inlineStr">
        <is>
          <t>MB0824_04</t>
        </is>
      </c>
      <c r="D3582" s="256" t="inlineStr">
        <is>
          <t>P050032</t>
        </is>
      </c>
      <c r="E3582" s="256" t="inlineStr">
        <is>
          <t>Motor Breath</t>
        </is>
      </c>
      <c r="F3582" s="256" t="inlineStr">
        <is>
          <t>21.09.2026</t>
        </is>
      </c>
      <c r="G3582" s="256" t="inlineStr">
        <is>
          <t>10.1</t>
        </is>
      </c>
      <c r="H3582" s="256" t="inlineStr">
        <is>
          <t>Aflatoxin B₁</t>
        </is>
      </c>
      <c r="I3582" s="256" t="inlineStr">
        <is>
          <t>Ph. Eur. 2.8.18 (HPLC-FLD)</t>
        </is>
      </c>
      <c r="J3582" s="256" t="inlineStr">
        <is>
          <t>≤ 2 µg/kg</t>
        </is>
      </c>
      <c r="K3582" s="256" t="inlineStr">
        <is>
          <t>ND</t>
        </is>
      </c>
      <c r="L3582" s="256" t="inlineStr">
        <is>
          <t>227-12-М/26</t>
        </is>
      </c>
      <c r="M3582" s="256" t="inlineStr">
        <is>
          <t>16.09.2026</t>
        </is>
      </c>
      <c r="N3582" s="256" t="inlineStr">
        <is>
          <t>Farmahem</t>
        </is>
      </c>
      <c r="O3582" s="256" t="inlineStr">
        <is>
          <t>—</t>
        </is>
      </c>
      <c r="P3582" s="256" t="inlineStr">
        <is>
          <t>covered</t>
        </is>
      </c>
      <c r="Q3582" s="256" t="inlineStr"/>
      <c r="R3582" s="256" t="inlineStr"/>
    </row>
    <row r="3583">
      <c r="A3583" s="256" t="inlineStr">
        <is>
          <t>CoQ-PP_26-156</t>
        </is>
      </c>
      <c r="B3583" s="256" t="inlineStr">
        <is>
          <t>reissue — retest</t>
        </is>
      </c>
      <c r="C3583" s="256" t="inlineStr">
        <is>
          <t>MB0824_04</t>
        </is>
      </c>
      <c r="D3583" s="256" t="inlineStr">
        <is>
          <t>P050032</t>
        </is>
      </c>
      <c r="E3583" s="256" t="inlineStr">
        <is>
          <t>Motor Breath</t>
        </is>
      </c>
      <c r="F3583" s="256" t="inlineStr">
        <is>
          <t>21.09.2026</t>
        </is>
      </c>
      <c r="G3583" s="256" t="inlineStr">
        <is>
          <t>10.2</t>
        </is>
      </c>
      <c r="H3583" s="256" t="inlineStr">
        <is>
          <t>Aflatoxins ∑</t>
        </is>
      </c>
      <c r="I3583" s="256" t="inlineStr">
        <is>
          <t>Ph. Eur. 2.8.18 (HPLC-FLD)</t>
        </is>
      </c>
      <c r="J3583" s="256" t="inlineStr">
        <is>
          <t>≤ 4 µg/kg</t>
        </is>
      </c>
      <c r="K3583" s="256" t="inlineStr">
        <is>
          <t>ND</t>
        </is>
      </c>
      <c r="L3583" s="256" t="inlineStr">
        <is>
          <t>227-12-М/26</t>
        </is>
      </c>
      <c r="M3583" s="256" t="inlineStr">
        <is>
          <t>16.09.2026</t>
        </is>
      </c>
      <c r="N3583" s="256" t="inlineStr">
        <is>
          <t>Farmahem</t>
        </is>
      </c>
      <c r="O3583" s="256" t="inlineStr">
        <is>
          <t>—</t>
        </is>
      </c>
      <c r="P3583" s="256" t="inlineStr">
        <is>
          <t>carried from the initial testing (the batch's initial CoQ (number assigned on issue)) — covered</t>
        </is>
      </c>
      <c r="Q3583" s="256" t="inlineStr"/>
      <c r="R3583" s="256" t="inlineStr"/>
    </row>
    <row r="3584">
      <c r="A3584" s="256" t="inlineStr">
        <is>
          <t>CoQ-PP_26-156</t>
        </is>
      </c>
      <c r="B3584" s="256" t="inlineStr">
        <is>
          <t>reissue — retest</t>
        </is>
      </c>
      <c r="C3584" s="256" t="inlineStr">
        <is>
          <t>MB0824_04</t>
        </is>
      </c>
      <c r="D3584" s="256" t="inlineStr">
        <is>
          <t>P050032</t>
        </is>
      </c>
      <c r="E3584" s="256" t="inlineStr">
        <is>
          <t>Motor Breath</t>
        </is>
      </c>
      <c r="F3584" s="256" t="inlineStr">
        <is>
          <t>21.09.2026</t>
        </is>
      </c>
      <c r="G3584" s="256" t="inlineStr">
        <is>
          <t>10.3</t>
        </is>
      </c>
      <c r="H3584" s="256" t="inlineStr">
        <is>
          <t>Ochratoxin A</t>
        </is>
      </c>
      <c r="I3584" s="256" t="inlineStr">
        <is>
          <t>Ph. Eur. 2.8.22 (HPLC-FLD)</t>
        </is>
      </c>
      <c r="J3584" s="256" t="inlineStr">
        <is>
          <t>≤ 20 µg/kg</t>
        </is>
      </c>
      <c r="K3584" s="256" t="inlineStr">
        <is>
          <t>ND</t>
        </is>
      </c>
      <c r="L3584" s="256" t="inlineStr">
        <is>
          <t>227-12-М/26</t>
        </is>
      </c>
      <c r="M3584" s="256" t="inlineStr">
        <is>
          <t>16.09.2026</t>
        </is>
      </c>
      <c r="N3584" s="256" t="inlineStr">
        <is>
          <t>Farmahem</t>
        </is>
      </c>
      <c r="O3584" s="256" t="inlineStr">
        <is>
          <t>—</t>
        </is>
      </c>
      <c r="P3584" s="256" t="inlineStr">
        <is>
          <t>covered</t>
        </is>
      </c>
      <c r="Q3584" s="256" t="inlineStr"/>
      <c r="R3584" s="256" t="inlineStr"/>
    </row>
    <row r="3585">
      <c r="A3585" s="256" t="inlineStr">
        <is>
          <t>CoQ-PP_26-156</t>
        </is>
      </c>
      <c r="B3585" s="256" t="inlineStr">
        <is>
          <t>reissue — retest</t>
        </is>
      </c>
      <c r="C3585" s="256" t="inlineStr">
        <is>
          <t>MB0824_04</t>
        </is>
      </c>
      <c r="D3585" s="256" t="inlineStr">
        <is>
          <t>P050032</t>
        </is>
      </c>
      <c r="E3585" s="256" t="inlineStr">
        <is>
          <t>Motor Breath</t>
        </is>
      </c>
      <c r="F3585" s="256" t="inlineStr">
        <is>
          <t>21.09.2026</t>
        </is>
      </c>
      <c r="G3585" s="256" t="inlineStr">
        <is>
          <t>11.1</t>
        </is>
      </c>
      <c r="H3585" s="256" t="inlineStr">
        <is>
          <t>Lead (Pb)</t>
        </is>
      </c>
      <c r="I3585" s="256" t="inlineStr">
        <is>
          <t>Ph. Eur. 2.4.27 (ICP-MS)</t>
        </is>
      </c>
      <c r="J3585" s="256" t="inlineStr">
        <is>
          <t>≤ 0.5 mg/kg</t>
        </is>
      </c>
      <c r="K3585" s="256" t="inlineStr">
        <is>
          <t>0.031</t>
        </is>
      </c>
      <c r="L3585" s="256" t="inlineStr">
        <is>
          <t>2157/2025</t>
        </is>
      </c>
      <c r="M3585" s="256" t="inlineStr">
        <is>
          <t>07.05.2025</t>
        </is>
      </c>
      <c r="N3585" s="256" t="inlineStr">
        <is>
          <t>IPH — Institute of Public Health</t>
        </is>
      </c>
      <c r="O3585" s="256" t="inlineStr">
        <is>
          <t>28.04.2025</t>
        </is>
      </c>
      <c r="P3585" s="256" t="inlineStr">
        <is>
          <t>carried from the initial testing (the batch's initial CoQ (number assigned on issue)) — covered</t>
        </is>
      </c>
      <c r="Q3585" s="256" t="inlineStr"/>
      <c r="R3585" s="256" t="inlineStr"/>
    </row>
    <row r="3586">
      <c r="A3586" s="256" t="inlineStr">
        <is>
          <t>CoQ-PP_26-156</t>
        </is>
      </c>
      <c r="B3586" s="256" t="inlineStr">
        <is>
          <t>reissue — retest</t>
        </is>
      </c>
      <c r="C3586" s="256" t="inlineStr">
        <is>
          <t>MB0824_04</t>
        </is>
      </c>
      <c r="D3586" s="256" t="inlineStr">
        <is>
          <t>P050032</t>
        </is>
      </c>
      <c r="E3586" s="256" t="inlineStr">
        <is>
          <t>Motor Breath</t>
        </is>
      </c>
      <c r="F3586" s="256" t="inlineStr">
        <is>
          <t>21.09.2026</t>
        </is>
      </c>
      <c r="G3586" s="256" t="inlineStr">
        <is>
          <t>11.2</t>
        </is>
      </c>
      <c r="H3586" s="256" t="inlineStr">
        <is>
          <t>Cadmium (Cd)</t>
        </is>
      </c>
      <c r="I3586" s="256" t="inlineStr">
        <is>
          <t>Ph. Eur. 2.4.27 (ICP-MS)</t>
        </is>
      </c>
      <c r="J3586" s="256" t="inlineStr">
        <is>
          <t>≤ 0.3 mg/kg</t>
        </is>
      </c>
      <c r="K3586" s="256" t="inlineStr">
        <is>
          <t>0.005</t>
        </is>
      </c>
      <c r="L3586" s="256" t="inlineStr">
        <is>
          <t>2157/2025</t>
        </is>
      </c>
      <c r="M3586" s="256" t="inlineStr">
        <is>
          <t>07.05.2025</t>
        </is>
      </c>
      <c r="N3586" s="256" t="inlineStr">
        <is>
          <t>IPH — Institute of Public Health</t>
        </is>
      </c>
      <c r="O3586" s="256" t="inlineStr">
        <is>
          <t>28.04.2025</t>
        </is>
      </c>
      <c r="P3586" s="256" t="inlineStr">
        <is>
          <t>carried from the initial testing (the batch's initial CoQ (number assigned on issue)) — covered</t>
        </is>
      </c>
      <c r="Q3586" s="256" t="inlineStr"/>
      <c r="R3586" s="256" t="inlineStr"/>
    </row>
    <row r="3587">
      <c r="A3587" s="256" t="inlineStr">
        <is>
          <t>CoQ-PP_26-156</t>
        </is>
      </c>
      <c r="B3587" s="256" t="inlineStr">
        <is>
          <t>reissue — retest</t>
        </is>
      </c>
      <c r="C3587" s="256" t="inlineStr">
        <is>
          <t>MB0824_04</t>
        </is>
      </c>
      <c r="D3587" s="256" t="inlineStr">
        <is>
          <t>P050032</t>
        </is>
      </c>
      <c r="E3587" s="256" t="inlineStr">
        <is>
          <t>Motor Breath</t>
        </is>
      </c>
      <c r="F3587" s="256" t="inlineStr">
        <is>
          <t>21.09.2026</t>
        </is>
      </c>
      <c r="G3587" s="256" t="inlineStr">
        <is>
          <t>11.3</t>
        </is>
      </c>
      <c r="H3587" s="256" t="inlineStr">
        <is>
          <t>Arsenic (As)</t>
        </is>
      </c>
      <c r="I3587" s="256" t="inlineStr">
        <is>
          <t>Ph. Eur. 2.4.27 (ICP-MS)</t>
        </is>
      </c>
      <c r="J3587" s="256" t="inlineStr">
        <is>
          <t>≤ 0.2 mg/kg</t>
        </is>
      </c>
      <c r="K3587" s="256" t="inlineStr">
        <is>
          <t>0.011</t>
        </is>
      </c>
      <c r="L3587" s="256" t="inlineStr">
        <is>
          <t>2157/2025</t>
        </is>
      </c>
      <c r="M3587" s="256" t="inlineStr">
        <is>
          <t>07.05.2025</t>
        </is>
      </c>
      <c r="N3587" s="256" t="inlineStr">
        <is>
          <t>IPH — Institute of Public Health</t>
        </is>
      </c>
      <c r="O3587" s="256" t="inlineStr">
        <is>
          <t>28.04.2025</t>
        </is>
      </c>
      <c r="P3587" s="256" t="inlineStr">
        <is>
          <t>carried from the initial testing (the batch's initial CoQ (number assigned on issue)) — covered</t>
        </is>
      </c>
      <c r="Q3587" s="256" t="inlineStr"/>
      <c r="R3587" s="256" t="inlineStr"/>
    </row>
    <row r="3588">
      <c r="A3588" s="256" t="inlineStr">
        <is>
          <t>CoQ-PP_26-156</t>
        </is>
      </c>
      <c r="B3588" s="256" t="inlineStr">
        <is>
          <t>reissue — retest</t>
        </is>
      </c>
      <c r="C3588" s="256" t="inlineStr">
        <is>
          <t>MB0824_04</t>
        </is>
      </c>
      <c r="D3588" s="256" t="inlineStr">
        <is>
          <t>P050032</t>
        </is>
      </c>
      <c r="E3588" s="256" t="inlineStr">
        <is>
          <t>Motor Breath</t>
        </is>
      </c>
      <c r="F3588" s="256" t="inlineStr">
        <is>
          <t>21.09.2026</t>
        </is>
      </c>
      <c r="G3588" s="256" t="inlineStr">
        <is>
          <t>11.4</t>
        </is>
      </c>
      <c r="H3588" s="256" t="inlineStr">
        <is>
          <t>Mercury (Hg)</t>
        </is>
      </c>
      <c r="I3588" s="256" t="inlineStr">
        <is>
          <t>Ph. Eur. 2.4.27 (ICP-MS)</t>
        </is>
      </c>
      <c r="J3588" s="256" t="inlineStr">
        <is>
          <t>≤ 0.1 mg/kg</t>
        </is>
      </c>
      <c r="K3588" s="256" t="inlineStr">
        <is>
          <t>ND</t>
        </is>
      </c>
      <c r="L3588" s="256" t="inlineStr">
        <is>
          <t>2157/2025</t>
        </is>
      </c>
      <c r="M3588" s="256" t="inlineStr">
        <is>
          <t>07.05.2025</t>
        </is>
      </c>
      <c r="N3588" s="256" t="inlineStr">
        <is>
          <t>IPH — Institute of Public Health</t>
        </is>
      </c>
      <c r="O3588" s="256" t="inlineStr">
        <is>
          <t>28.04.2025</t>
        </is>
      </c>
      <c r="P3588" s="256" t="inlineStr">
        <is>
          <t>carried from the initial testing (the batch's initial CoQ (number assigned on issue)) — covered</t>
        </is>
      </c>
      <c r="Q3588" s="256" t="inlineStr"/>
      <c r="R3588" s="256" t="inlineStr"/>
    </row>
    <row r="3589">
      <c r="A3589" s="256" t="inlineStr">
        <is>
          <t>CoQ-PP_26-156</t>
        </is>
      </c>
      <c r="B3589" s="256" t="inlineStr">
        <is>
          <t>reissue — retest</t>
        </is>
      </c>
      <c r="C3589" s="256" t="inlineStr">
        <is>
          <t>MB0824_04</t>
        </is>
      </c>
      <c r="D3589" s="256" t="inlineStr">
        <is>
          <t>P050032</t>
        </is>
      </c>
      <c r="E3589" s="256" t="inlineStr">
        <is>
          <t>Motor Breath</t>
        </is>
      </c>
      <c r="F3589" s="256" t="inlineStr">
        <is>
          <t>21.09.2026</t>
        </is>
      </c>
      <c r="G3589" s="256" t="inlineStr">
        <is>
          <t>12</t>
        </is>
      </c>
      <c r="H3589" s="256" t="inlineStr">
        <is>
          <t>Pesticide Residues</t>
        </is>
      </c>
      <c r="I3589" s="256" t="inlineStr">
        <is>
          <t>Ph. Eur. 2.8.13 (LC-MS/MS) · CUMCS Equivalency</t>
        </is>
      </c>
      <c r="J3589" s="256" t="inlineStr">
        <is>
          <t>≤ LOQ as per Ph. Eur. 2.8.13 · ≤ LOQ as per CUMCS Equivalency</t>
        </is>
      </c>
      <c r="K3589" s="256" t="inlineStr">
        <is>
          <t>ND</t>
        </is>
      </c>
      <c r="L3589" s="256" t="inlineStr">
        <is>
          <t>2157/2025</t>
        </is>
      </c>
      <c r="M3589" s="256" t="inlineStr">
        <is>
          <t>07.05.2025</t>
        </is>
      </c>
      <c r="N3589" s="256" t="inlineStr">
        <is>
          <t>IPH — Institute of Public Health</t>
        </is>
      </c>
      <c r="O3589" s="256" t="inlineStr">
        <is>
          <t>28.04.2025</t>
        </is>
      </c>
      <c r="P3589" s="256" t="inlineStr">
        <is>
          <t>carried from the initial testing (the batch's initial CoQ (number assigned on issue)) — covered</t>
        </is>
      </c>
      <c r="Q3589" s="256" t="inlineStr"/>
      <c r="R3589" s="256" t="inlineStr"/>
    </row>
    <row r="3590">
      <c r="A3590" s="256" t="inlineStr">
        <is>
          <t>CoQ-PP_26-157</t>
        </is>
      </c>
      <c r="B3590" s="256" t="inlineStr">
        <is>
          <t>reissue — retest</t>
        </is>
      </c>
      <c r="C3590" s="256" t="inlineStr">
        <is>
          <t>OPM052501</t>
        </is>
      </c>
      <c r="D3590" s="256" t="inlineStr">
        <is>
          <t>P050132</t>
        </is>
      </c>
      <c r="E3590" s="256" t="inlineStr">
        <is>
          <t>Orange Punch Mimosa</t>
        </is>
      </c>
      <c r="F3590" s="256" t="inlineStr">
        <is>
          <t>21.09.2026</t>
        </is>
      </c>
      <c r="G3590" s="256" t="inlineStr">
        <is>
          <t>1</t>
        </is>
      </c>
      <c r="H3590" s="256" t="inlineStr">
        <is>
          <t>Identification A, Appearance · Macroscopic</t>
        </is>
      </c>
      <c r="I3590" s="256" t="inlineStr">
        <is>
          <t>Ph. Eur. mon. 3028</t>
        </is>
      </c>
      <c r="J3590" s="256" t="inlineStr">
        <is>
          <t>Conforms to the monograph for Cannabis flos (07/2024:3028) in Ph. Eur. 11.0 | Согласно монографија за Cannabis flos (07/2024:3028) во Ph. Eur. 11.0</t>
        </is>
      </c>
      <c r="K3590" s="256" t="inlineStr">
        <is>
          <t>Conforms | Одговара</t>
        </is>
      </c>
      <c r="L3590" s="256" t="inlineStr">
        <is>
          <t>iCoA-PP_26-174</t>
        </is>
      </c>
      <c r="M3590" s="256" t="inlineStr">
        <is>
          <t>24.08.2026</t>
        </is>
      </c>
      <c r="N3590" s="256" t="inlineStr">
        <is>
          <t>Purely Plant GmbH (in-house)</t>
        </is>
      </c>
      <c r="O3590" s="256" t="inlineStr">
        <is>
          <t>—</t>
        </is>
      </c>
      <c r="P3590" s="256" t="inlineStr">
        <is>
          <t>covered</t>
        </is>
      </c>
      <c r="Q3590" s="256" t="inlineStr">
        <is>
          <t>Farmahem — Ident A + B + C with the Assay, at retest</t>
        </is>
      </c>
      <c r="R3590" s="256" t="inlineStr"/>
    </row>
    <row r="3591">
      <c r="A3591" s="256" t="inlineStr">
        <is>
          <t>CoQ-PP_26-157</t>
        </is>
      </c>
      <c r="B3591" s="256" t="inlineStr">
        <is>
          <t>reissue — retest</t>
        </is>
      </c>
      <c r="C3591" s="256" t="inlineStr">
        <is>
          <t>OPM052501</t>
        </is>
      </c>
      <c r="D3591" s="256" t="inlineStr">
        <is>
          <t>P050132</t>
        </is>
      </c>
      <c r="E3591" s="256" t="inlineStr">
        <is>
          <t>Orange Punch Mimosa</t>
        </is>
      </c>
      <c r="F3591" s="256" t="inlineStr">
        <is>
          <t>21.09.2026</t>
        </is>
      </c>
      <c r="G3591" s="256" t="inlineStr">
        <is>
          <t>2</t>
        </is>
      </c>
      <c r="H3591" s="256" t="inlineStr">
        <is>
          <t>Identification B · Microscopic</t>
        </is>
      </c>
      <c r="I3591" s="256" t="inlineStr">
        <is>
          <t>Ph. Eur. 2.8.23 (microscopy)</t>
        </is>
      </c>
      <c r="J3591" s="256" t="inlineStr">
        <is>
          <t>Conforms to the monograph for Cannabis flos (07/2024:3028) in Ph. Eur. 11.0 | Согласно монографија за Cannabis flos (07/2024:3028) во Ph. Eur. 11.0</t>
        </is>
      </c>
      <c r="K3591" s="256" t="inlineStr">
        <is>
          <t>Conforms | Одговара</t>
        </is>
      </c>
      <c r="L3591" s="256" t="inlineStr">
        <is>
          <t>iCoA-PP_26-174</t>
        </is>
      </c>
      <c r="M3591" s="256" t="inlineStr">
        <is>
          <t>24.08.2026</t>
        </is>
      </c>
      <c r="N3591" s="256" t="inlineStr">
        <is>
          <t>Purely Plant GmbH (in-house)</t>
        </is>
      </c>
      <c r="O3591" s="256" t="inlineStr">
        <is>
          <t>—</t>
        </is>
      </c>
      <c r="P3591" s="256" t="inlineStr">
        <is>
          <t>to be performed — see route</t>
        </is>
      </c>
      <c r="Q3591" s="256" t="inlineStr">
        <is>
          <t>Farmahem — Ident A + B + C with the Assay, at retest</t>
        </is>
      </c>
      <c r="R3591" s="256" t="inlineStr"/>
    </row>
    <row r="3592">
      <c r="A3592" s="256" t="inlineStr">
        <is>
          <t>CoQ-PP_26-157</t>
        </is>
      </c>
      <c r="B3592" s="256" t="inlineStr">
        <is>
          <t>reissue — retest</t>
        </is>
      </c>
      <c r="C3592" s="256" t="inlineStr">
        <is>
          <t>OPM052501</t>
        </is>
      </c>
      <c r="D3592" s="256" t="inlineStr">
        <is>
          <t>P050132</t>
        </is>
      </c>
      <c r="E3592" s="256" t="inlineStr">
        <is>
          <t>Orange Punch Mimosa</t>
        </is>
      </c>
      <c r="F3592" s="256" t="inlineStr">
        <is>
          <t>21.09.2026</t>
        </is>
      </c>
      <c r="G3592" s="256" t="inlineStr">
        <is>
          <t>3</t>
        </is>
      </c>
      <c r="H3592" s="256" t="inlineStr">
        <is>
          <t>Identification C · HPLC/HPTLC</t>
        </is>
      </c>
      <c r="I3592" s="256" t="inlineStr">
        <is>
          <t>Ph. Eur. 2.2.29 (3028)</t>
        </is>
      </c>
      <c r="J3592" s="256" t="inlineStr">
        <is>
          <t>Conforms to the monograph for Cannabis flos (07/2024:3028) in Ph. Eur. 11.0 | Согласно монографија за Cannabis flos (07/2024:3028) во Ph. Eur. 11.0</t>
        </is>
      </c>
      <c r="K3592" s="256" t="inlineStr">
        <is>
          <t>Conforms | Одговара</t>
        </is>
      </c>
      <c r="L3592" s="256" t="inlineStr">
        <is>
          <t>227-11-К/26</t>
        </is>
      </c>
      <c r="M3592" s="256" t="inlineStr">
        <is>
          <t>11.09.2026</t>
        </is>
      </c>
      <c r="N3592" s="256" t="inlineStr">
        <is>
          <t>Farmahem</t>
        </is>
      </c>
      <c r="O3592" s="256" t="inlineStr">
        <is>
          <t>24.08.2026</t>
        </is>
      </c>
      <c r="P3592" s="256" t="inlineStr">
        <is>
          <t>covered</t>
        </is>
      </c>
      <c r="Q3592" s="256" t="inlineStr"/>
      <c r="R3592" s="256" t="inlineStr"/>
    </row>
    <row r="3593">
      <c r="A3593" s="256" t="inlineStr">
        <is>
          <t>CoQ-PP_26-157</t>
        </is>
      </c>
      <c r="B3593" s="256" t="inlineStr">
        <is>
          <t>reissue — retest</t>
        </is>
      </c>
      <c r="C3593" s="256" t="inlineStr">
        <is>
          <t>OPM052501</t>
        </is>
      </c>
      <c r="D3593" s="256" t="inlineStr">
        <is>
          <t>P050132</t>
        </is>
      </c>
      <c r="E3593" s="256" t="inlineStr">
        <is>
          <t>Orange Punch Mimosa</t>
        </is>
      </c>
      <c r="F3593" s="256" t="inlineStr">
        <is>
          <t>21.09.2026</t>
        </is>
      </c>
      <c r="G3593" s="256" t="inlineStr">
        <is>
          <t>4</t>
        </is>
      </c>
      <c r="H3593" s="256" t="inlineStr">
        <is>
          <t>Assay — Total Δ⁹-THC</t>
        </is>
      </c>
      <c r="I3593" s="256" t="inlineStr">
        <is>
          <t>Ph. Eur. 2.2.29 (HPLC)</t>
        </is>
      </c>
      <c r="J3593" s="256" t="inlineStr">
        <is>
          <t>15.40 – 18.59 %  (grade II, nominal 17.00 ± 1.60)</t>
        </is>
      </c>
      <c r="K3593" s="256" t="inlineStr">
        <is>
          <t>17.83</t>
        </is>
      </c>
      <c r="L3593" s="256" t="inlineStr">
        <is>
          <t>227-11-К/26</t>
        </is>
      </c>
      <c r="M3593" s="256" t="inlineStr">
        <is>
          <t>11.09.2026</t>
        </is>
      </c>
      <c r="N3593" s="256" t="inlineStr">
        <is>
          <t>Farmahem</t>
        </is>
      </c>
      <c r="O3593" s="256" t="inlineStr">
        <is>
          <t>24.08.2026</t>
        </is>
      </c>
      <c r="P3593" s="256" t="inlineStr">
        <is>
          <t>covered</t>
        </is>
      </c>
      <c r="Q3593" s="256" t="inlineStr"/>
      <c r="R3593" s="256" t="inlineStr"/>
    </row>
    <row r="3594">
      <c r="A3594" s="256" t="inlineStr">
        <is>
          <t>CoQ-PP_26-157</t>
        </is>
      </c>
      <c r="B3594" s="256" t="inlineStr">
        <is>
          <t>reissue — retest</t>
        </is>
      </c>
      <c r="C3594" s="256" t="inlineStr">
        <is>
          <t>OPM052501</t>
        </is>
      </c>
      <c r="D3594" s="256" t="inlineStr">
        <is>
          <t>P050132</t>
        </is>
      </c>
      <c r="E3594" s="256" t="inlineStr">
        <is>
          <t>Orange Punch Mimosa</t>
        </is>
      </c>
      <c r="F3594" s="256" t="inlineStr">
        <is>
          <t>21.09.2026</t>
        </is>
      </c>
      <c r="G3594" s="256" t="inlineStr">
        <is>
          <t>5</t>
        </is>
      </c>
      <c r="H3594" s="256" t="inlineStr">
        <is>
          <t>Assay — Total CBD</t>
        </is>
      </c>
      <c r="I3594" s="256" t="inlineStr">
        <is>
          <t>Ph. Eur. 2.2.29 (HPLC) · CBD + CBDA x 0.877</t>
        </is>
      </c>
      <c r="J3594" s="256" t="inlineStr">
        <is>
          <t>≤ 1.0%, w/w</t>
        </is>
      </c>
      <c r="K3594" s="256" t="inlineStr">
        <is>
          <t>&lt; LOQ</t>
        </is>
      </c>
      <c r="L3594" s="256" t="inlineStr">
        <is>
          <t>227-11-К/26</t>
        </is>
      </c>
      <c r="M3594" s="256" t="inlineStr">
        <is>
          <t>11.09.2026</t>
        </is>
      </c>
      <c r="N3594" s="256" t="inlineStr">
        <is>
          <t>Farmahem</t>
        </is>
      </c>
      <c r="O3594" s="256" t="inlineStr">
        <is>
          <t>24.08.2026</t>
        </is>
      </c>
      <c r="P3594" s="256" t="inlineStr">
        <is>
          <t>covered</t>
        </is>
      </c>
      <c r="Q3594" s="256" t="inlineStr"/>
      <c r="R3594" s="256" t="inlineStr"/>
    </row>
    <row r="3595">
      <c r="A3595" s="256" t="inlineStr">
        <is>
          <t>CoQ-PP_26-157</t>
        </is>
      </c>
      <c r="B3595" s="256" t="inlineStr">
        <is>
          <t>reissue — retest</t>
        </is>
      </c>
      <c r="C3595" s="256" t="inlineStr">
        <is>
          <t>OPM052501</t>
        </is>
      </c>
      <c r="D3595" s="256" t="inlineStr">
        <is>
          <t>P050132</t>
        </is>
      </c>
      <c r="E3595" s="256" t="inlineStr">
        <is>
          <t>Orange Punch Mimosa</t>
        </is>
      </c>
      <c r="F3595" s="256" t="inlineStr">
        <is>
          <t>21.09.2026</t>
        </is>
      </c>
      <c r="G3595" s="256" t="inlineStr">
        <is>
          <t>6</t>
        </is>
      </c>
      <c r="H3595" s="256" t="inlineStr">
        <is>
          <t>Total CBN</t>
        </is>
      </c>
      <c r="I3595" s="256" t="inlineStr">
        <is>
          <t>Ph. Eur. 2.2.29 (HPLC) · CBN + CBNA x 0.876</t>
        </is>
      </c>
      <c r="J3595" s="256" t="inlineStr">
        <is>
          <t>≤ 1.0%, w/w</t>
        </is>
      </c>
      <c r="K3595" s="256" t="inlineStr">
        <is>
          <t>&lt; LOQ</t>
        </is>
      </c>
      <c r="L3595" s="256" t="inlineStr">
        <is>
          <t>227-11-К/26</t>
        </is>
      </c>
      <c r="M3595" s="256" t="inlineStr">
        <is>
          <t>11.09.2026</t>
        </is>
      </c>
      <c r="N3595" s="256" t="inlineStr">
        <is>
          <t>Farmahem</t>
        </is>
      </c>
      <c r="O3595" s="256" t="inlineStr">
        <is>
          <t>24.08.2026</t>
        </is>
      </c>
      <c r="P3595" s="256" t="inlineStr">
        <is>
          <t>covered</t>
        </is>
      </c>
      <c r="Q3595" s="256" t="inlineStr"/>
      <c r="R3595" s="256" t="inlineStr"/>
    </row>
    <row r="3596">
      <c r="A3596" s="256" t="inlineStr">
        <is>
          <t>CoQ-PP_26-157</t>
        </is>
      </c>
      <c r="B3596" s="256" t="inlineStr">
        <is>
          <t>reissue — retest</t>
        </is>
      </c>
      <c r="C3596" s="256" t="inlineStr">
        <is>
          <t>OPM052501</t>
        </is>
      </c>
      <c r="D3596" s="256" t="inlineStr">
        <is>
          <t>P050132</t>
        </is>
      </c>
      <c r="E3596" s="256" t="inlineStr">
        <is>
          <t>Orange Punch Mimosa</t>
        </is>
      </c>
      <c r="F3596" s="256" t="inlineStr">
        <is>
          <t>21.09.2026</t>
        </is>
      </c>
      <c r="G3596" s="256" t="inlineStr">
        <is>
          <t>7</t>
        </is>
      </c>
      <c r="H3596" s="256" t="inlineStr">
        <is>
          <t>Foreign Matter</t>
        </is>
      </c>
      <c r="I3596" s="256" t="inlineStr">
        <is>
          <t>Ph. Eur. 2.8.2 · In-house · интерна</t>
        </is>
      </c>
      <c r="J3596" s="256" t="inlineStr">
        <is>
          <t>≤ 2.0% / 25–50 g · &lt; 1 cm leaves | листови, no seeds | без семки</t>
        </is>
      </c>
      <c r="K3596" s="256" t="inlineStr">
        <is>
          <t>Conforms | Одговара</t>
        </is>
      </c>
      <c r="L3596" s="256" t="inlineStr">
        <is>
          <t>iCoA-PP_26-174</t>
        </is>
      </c>
      <c r="M3596" s="256" t="inlineStr">
        <is>
          <t>24.08.2026</t>
        </is>
      </c>
      <c r="N3596" s="256" t="inlineStr">
        <is>
          <t>Purely Plant GmbH (in-house)</t>
        </is>
      </c>
      <c r="O3596" s="256" t="inlineStr">
        <is>
          <t>—</t>
        </is>
      </c>
      <c r="P3596" s="256" t="inlineStr">
        <is>
          <t>covered</t>
        </is>
      </c>
      <c r="Q3596" s="256" t="inlineStr">
        <is>
          <t>Purely Plant laboratory — iCoA covering Foreign matter</t>
        </is>
      </c>
      <c r="R3596" s="256" t="inlineStr"/>
    </row>
    <row r="3597">
      <c r="A3597" s="256" t="inlineStr">
        <is>
          <t>CoQ-PP_26-157</t>
        </is>
      </c>
      <c r="B3597" s="256" t="inlineStr">
        <is>
          <t>reissue — retest</t>
        </is>
      </c>
      <c r="C3597" s="256" t="inlineStr">
        <is>
          <t>OPM052501</t>
        </is>
      </c>
      <c r="D3597" s="256" t="inlineStr">
        <is>
          <t>P050132</t>
        </is>
      </c>
      <c r="E3597" s="256" t="inlineStr">
        <is>
          <t>Orange Punch Mimosa</t>
        </is>
      </c>
      <c r="F3597" s="256" t="inlineStr">
        <is>
          <t>21.09.2026</t>
        </is>
      </c>
      <c r="G3597" s="256" t="inlineStr">
        <is>
          <t>8</t>
        </is>
      </c>
      <c r="H3597" s="256" t="inlineStr">
        <is>
          <t>Loss on Drying</t>
        </is>
      </c>
      <c r="I3597" s="256" t="inlineStr">
        <is>
          <t>DAB 2018 monograph Cannabis flos, 2.2.32 — loss on drying (CNP, before its Ph. Eur. 3028 accreditation)</t>
        </is>
      </c>
      <c r="J3597" s="256" t="inlineStr">
        <is>
          <t>≤ 12.0%</t>
        </is>
      </c>
      <c r="K3597" s="256" t="inlineStr">
        <is>
          <t>8.28</t>
        </is>
      </c>
      <c r="L3597" s="256" t="inlineStr">
        <is>
          <t>ППК25257</t>
        </is>
      </c>
      <c r="M3597" s="256" t="inlineStr">
        <is>
          <t>05.09.2025</t>
        </is>
      </c>
      <c r="N3597" s="256" t="inlineStr">
        <is>
          <t>UKIM Faculty of Pharmacy — Center for Natural Products</t>
        </is>
      </c>
      <c r="O3597" s="256" t="inlineStr">
        <is>
          <t>25.08.2025</t>
        </is>
      </c>
      <c r="P3597" s="256" t="inlineStr">
        <is>
          <t>carried from the initial testing (the batch's initial CoQ (number assigned on issue)) — covered</t>
        </is>
      </c>
      <c r="Q3597" s="256" t="inlineStr"/>
      <c r="R3597" s="256" t="inlineStr"/>
    </row>
    <row r="3598">
      <c r="A3598" s="256" t="inlineStr">
        <is>
          <t>CoQ-PP_26-157</t>
        </is>
      </c>
      <c r="B3598" s="256" t="inlineStr">
        <is>
          <t>reissue — retest</t>
        </is>
      </c>
      <c r="C3598" s="256" t="inlineStr">
        <is>
          <t>OPM052501</t>
        </is>
      </c>
      <c r="D3598" s="256" t="inlineStr">
        <is>
          <t>P050132</t>
        </is>
      </c>
      <c r="E3598" s="256" t="inlineStr">
        <is>
          <t>Orange Punch Mimosa</t>
        </is>
      </c>
      <c r="F3598" s="256" t="inlineStr">
        <is>
          <t>21.09.2026</t>
        </is>
      </c>
      <c r="G3598" s="256" t="inlineStr">
        <is>
          <t>9.1</t>
        </is>
      </c>
      <c r="H3598" s="256" t="inlineStr">
        <is>
          <t>TAMC</t>
        </is>
      </c>
      <c r="I3598" s="256" t="inlineStr">
        <is>
          <t>Ph. Eur. 2.6.12 cat. C</t>
        </is>
      </c>
      <c r="J3598" s="256" t="inlineStr">
        <is>
          <t>≤ 10⁵ CFU/g</t>
        </is>
      </c>
      <c r="K3598" s="256" t="inlineStr">
        <is>
          <t>&lt; 10</t>
        </is>
      </c>
      <c r="L3598" s="256" t="inlineStr">
        <is>
          <t>560/1091/26</t>
        </is>
      </c>
      <c r="M3598" s="256" t="inlineStr">
        <is>
          <t>01.09.2026</t>
        </is>
      </c>
      <c r="N3598" s="256" t="inlineStr">
        <is>
          <t>IPH — Institute of Public Health</t>
        </is>
      </c>
      <c r="O3598" s="256" t="inlineStr">
        <is>
          <t>25.08.2026</t>
        </is>
      </c>
      <c r="P3598" s="256" t="inlineStr">
        <is>
          <t>covered</t>
        </is>
      </c>
      <c r="Q3598" s="256" t="inlineStr"/>
      <c r="R3598" s="256" t="inlineStr"/>
    </row>
    <row r="3599">
      <c r="A3599" s="256" t="inlineStr">
        <is>
          <t>CoQ-PP_26-157</t>
        </is>
      </c>
      <c r="B3599" s="256" t="inlineStr">
        <is>
          <t>reissue — retest</t>
        </is>
      </c>
      <c r="C3599" s="256" t="inlineStr">
        <is>
          <t>OPM052501</t>
        </is>
      </c>
      <c r="D3599" s="256" t="inlineStr">
        <is>
          <t>P050132</t>
        </is>
      </c>
      <c r="E3599" s="256" t="inlineStr">
        <is>
          <t>Orange Punch Mimosa</t>
        </is>
      </c>
      <c r="F3599" s="256" t="inlineStr">
        <is>
          <t>21.09.2026</t>
        </is>
      </c>
      <c r="G3599" s="256" t="inlineStr">
        <is>
          <t>9.2</t>
        </is>
      </c>
      <c r="H3599" s="256" t="inlineStr">
        <is>
          <t>TYMC</t>
        </is>
      </c>
      <c r="I3599" s="256" t="inlineStr">
        <is>
          <t>Ph. Eur. 2.6.12 cat. C</t>
        </is>
      </c>
      <c r="J3599" s="256" t="inlineStr">
        <is>
          <t>≤ 10⁴ CFU/g</t>
        </is>
      </c>
      <c r="K3599" s="256" t="inlineStr">
        <is>
          <t>&lt; 10</t>
        </is>
      </c>
      <c r="L3599" s="256" t="inlineStr">
        <is>
          <t>560/1091/26</t>
        </is>
      </c>
      <c r="M3599" s="256" t="inlineStr">
        <is>
          <t>01.09.2026</t>
        </is>
      </c>
      <c r="N3599" s="256" t="inlineStr">
        <is>
          <t>IPH — Institute of Public Health</t>
        </is>
      </c>
      <c r="O3599" s="256" t="inlineStr">
        <is>
          <t>25.08.2026</t>
        </is>
      </c>
      <c r="P3599" s="256" t="inlineStr">
        <is>
          <t>covered</t>
        </is>
      </c>
      <c r="Q3599" s="256" t="inlineStr"/>
      <c r="R3599" s="256" t="inlineStr"/>
    </row>
    <row r="3600">
      <c r="A3600" s="256" t="inlineStr">
        <is>
          <t>CoQ-PP_26-157</t>
        </is>
      </c>
      <c r="B3600" s="256" t="inlineStr">
        <is>
          <t>reissue — retest</t>
        </is>
      </c>
      <c r="C3600" s="256" t="inlineStr">
        <is>
          <t>OPM052501</t>
        </is>
      </c>
      <c r="D3600" s="256" t="inlineStr">
        <is>
          <t>P050132</t>
        </is>
      </c>
      <c r="E3600" s="256" t="inlineStr">
        <is>
          <t>Orange Punch Mimosa</t>
        </is>
      </c>
      <c r="F3600" s="256" t="inlineStr">
        <is>
          <t>21.09.2026</t>
        </is>
      </c>
      <c r="G3600" s="256" t="inlineStr">
        <is>
          <t>9.3</t>
        </is>
      </c>
      <c r="H3600" s="256" t="inlineStr">
        <is>
          <t>Bile-tolerant gram-neg.</t>
        </is>
      </c>
      <c r="I3600" s="256" t="inlineStr">
        <is>
          <t>Ph. Eur. 2.6.31 cat. C</t>
        </is>
      </c>
      <c r="J3600" s="256" t="inlineStr">
        <is>
          <t>≤ 10⁴ CFU/g</t>
        </is>
      </c>
      <c r="K3600" s="256" t="inlineStr">
        <is>
          <t>&lt; 10</t>
        </is>
      </c>
      <c r="L3600" s="256" t="inlineStr">
        <is>
          <t>560/1091/26</t>
        </is>
      </c>
      <c r="M3600" s="256" t="inlineStr">
        <is>
          <t>01.09.2026</t>
        </is>
      </c>
      <c r="N3600" s="256" t="inlineStr">
        <is>
          <t>IPH — Institute of Public Health</t>
        </is>
      </c>
      <c r="O3600" s="256" t="inlineStr">
        <is>
          <t>25.08.2026</t>
        </is>
      </c>
      <c r="P3600" s="256" t="inlineStr">
        <is>
          <t>covered</t>
        </is>
      </c>
      <c r="Q3600" s="256" t="inlineStr"/>
      <c r="R3600" s="256" t="inlineStr"/>
    </row>
    <row r="3601">
      <c r="A3601" s="256" t="inlineStr">
        <is>
          <t>CoQ-PP_26-157</t>
        </is>
      </c>
      <c r="B3601" s="256" t="inlineStr">
        <is>
          <t>reissue — retest</t>
        </is>
      </c>
      <c r="C3601" s="256" t="inlineStr">
        <is>
          <t>OPM052501</t>
        </is>
      </c>
      <c r="D3601" s="256" t="inlineStr">
        <is>
          <t>P050132</t>
        </is>
      </c>
      <c r="E3601" s="256" t="inlineStr">
        <is>
          <t>Orange Punch Mimosa</t>
        </is>
      </c>
      <c r="F3601" s="256" t="inlineStr">
        <is>
          <t>21.09.2026</t>
        </is>
      </c>
      <c r="G3601" s="256" t="inlineStr">
        <is>
          <t>9.4</t>
        </is>
      </c>
      <c r="H3601" s="256" t="inlineStr">
        <is>
          <t>Salmonella</t>
        </is>
      </c>
      <c r="I3601" s="256" t="inlineStr">
        <is>
          <t>Ph. Eur. 2.6.31 cat. C</t>
        </is>
      </c>
      <c r="J3601" s="256" t="inlineStr">
        <is>
          <t>Absence | Отсуство / 25 g</t>
        </is>
      </c>
      <c r="K3601" s="256" t="inlineStr">
        <is>
          <t>Absent | Отсутна</t>
        </is>
      </c>
      <c r="L3601" s="256" t="inlineStr">
        <is>
          <t>560/1091/26</t>
        </is>
      </c>
      <c r="M3601" s="256" t="inlineStr">
        <is>
          <t>01.09.2026</t>
        </is>
      </c>
      <c r="N3601" s="256" t="inlineStr">
        <is>
          <t>IPH — Institute of Public Health</t>
        </is>
      </c>
      <c r="O3601" s="256" t="inlineStr">
        <is>
          <t>25.08.2026</t>
        </is>
      </c>
      <c r="P3601" s="256" t="inlineStr">
        <is>
          <t>covered</t>
        </is>
      </c>
      <c r="Q3601" s="256" t="inlineStr"/>
      <c r="R3601" s="256" t="inlineStr"/>
    </row>
    <row r="3602">
      <c r="A3602" s="256" t="inlineStr">
        <is>
          <t>CoQ-PP_26-157</t>
        </is>
      </c>
      <c r="B3602" s="256" t="inlineStr">
        <is>
          <t>reissue — retest</t>
        </is>
      </c>
      <c r="C3602" s="256" t="inlineStr">
        <is>
          <t>OPM052501</t>
        </is>
      </c>
      <c r="D3602" s="256" t="inlineStr">
        <is>
          <t>P050132</t>
        </is>
      </c>
      <c r="E3602" s="256" t="inlineStr">
        <is>
          <t>Orange Punch Mimosa</t>
        </is>
      </c>
      <c r="F3602" s="256" t="inlineStr">
        <is>
          <t>21.09.2026</t>
        </is>
      </c>
      <c r="G3602" s="256" t="inlineStr">
        <is>
          <t>9.5</t>
        </is>
      </c>
      <c r="H3602" s="256" t="inlineStr">
        <is>
          <t>Escherichia coli</t>
        </is>
      </c>
      <c r="I3602" s="256" t="inlineStr">
        <is>
          <t>Ph. Eur. 2.6.13 cat. C</t>
        </is>
      </c>
      <c r="J3602" s="256" t="inlineStr">
        <is>
          <t>Absence | Отсуство / 1 g</t>
        </is>
      </c>
      <c r="K3602" s="256" t="inlineStr">
        <is>
          <t>Absent | Отсутна</t>
        </is>
      </c>
      <c r="L3602" s="256" t="inlineStr">
        <is>
          <t>560/1091/26</t>
        </is>
      </c>
      <c r="M3602" s="256" t="inlineStr">
        <is>
          <t>01.09.2026</t>
        </is>
      </c>
      <c r="N3602" s="256" t="inlineStr">
        <is>
          <t>IPH — Institute of Public Health</t>
        </is>
      </c>
      <c r="O3602" s="256" t="inlineStr">
        <is>
          <t>25.08.2026</t>
        </is>
      </c>
      <c r="P3602" s="256" t="inlineStr">
        <is>
          <t>covered</t>
        </is>
      </c>
      <c r="Q3602" s="256" t="inlineStr"/>
      <c r="R3602" s="256" t="inlineStr"/>
    </row>
    <row r="3603">
      <c r="A3603" s="256" t="inlineStr">
        <is>
          <t>CoQ-PP_26-157</t>
        </is>
      </c>
      <c r="B3603" s="256" t="inlineStr">
        <is>
          <t>reissue — retest</t>
        </is>
      </c>
      <c r="C3603" s="256" t="inlineStr">
        <is>
          <t>OPM052501</t>
        </is>
      </c>
      <c r="D3603" s="256" t="inlineStr">
        <is>
          <t>P050132</t>
        </is>
      </c>
      <c r="E3603" s="256" t="inlineStr">
        <is>
          <t>Orange Punch Mimosa</t>
        </is>
      </c>
      <c r="F3603" s="256" t="inlineStr">
        <is>
          <t>21.09.2026</t>
        </is>
      </c>
      <c r="G3603" s="256" t="inlineStr">
        <is>
          <t>9.6</t>
        </is>
      </c>
      <c r="H3603" s="256" t="inlineStr">
        <is>
          <t>Pseudomonas aeruginosa</t>
        </is>
      </c>
      <c r="I3603" s="256" t="inlineStr">
        <is>
          <t>Ph. Eur. 2.6.13 cat. C</t>
        </is>
      </c>
      <c r="J3603" s="256" t="inlineStr">
        <is>
          <t>Absence | Отсуство / 1 g</t>
        </is>
      </c>
      <c r="K3603" s="260" t="inlineStr">
        <is>
          <t>upon request — not required for release</t>
        </is>
      </c>
      <c r="L3603" s="256" t="inlineStr">
        <is>
          <t>—</t>
        </is>
      </c>
      <c r="M3603" s="256" t="inlineStr">
        <is>
          <t>—</t>
        </is>
      </c>
      <c r="N3603" s="256" t="inlineStr">
        <is>
          <t>—</t>
        </is>
      </c>
      <c r="O3603" s="256" t="inlineStr">
        <is>
          <t>—</t>
        </is>
      </c>
      <c r="P3603" s="256" t="inlineStr">
        <is>
          <t>upon request — not required for release</t>
        </is>
      </c>
      <c r="Q3603" s="256" t="inlineStr"/>
      <c r="R3603" s="256" t="inlineStr"/>
    </row>
    <row r="3604">
      <c r="A3604" s="256" t="inlineStr">
        <is>
          <t>CoQ-PP_26-157</t>
        </is>
      </c>
      <c r="B3604" s="256" t="inlineStr">
        <is>
          <t>reissue — retest</t>
        </is>
      </c>
      <c r="C3604" s="256" t="inlineStr">
        <is>
          <t>OPM052501</t>
        </is>
      </c>
      <c r="D3604" s="256" t="inlineStr">
        <is>
          <t>P050132</t>
        </is>
      </c>
      <c r="E3604" s="256" t="inlineStr">
        <is>
          <t>Orange Punch Mimosa</t>
        </is>
      </c>
      <c r="F3604" s="256" t="inlineStr">
        <is>
          <t>21.09.2026</t>
        </is>
      </c>
      <c r="G3604" s="256" t="inlineStr">
        <is>
          <t>9.7</t>
        </is>
      </c>
      <c r="H3604" s="256" t="inlineStr">
        <is>
          <t>Staphylococcus aureus</t>
        </is>
      </c>
      <c r="I3604" s="256" t="inlineStr">
        <is>
          <t>Ph. Eur. 2.6.13 cat. C</t>
        </is>
      </c>
      <c r="J3604" s="256" t="inlineStr">
        <is>
          <t>Absence | Отсуство / 1 g</t>
        </is>
      </c>
      <c r="K3604" s="260" t="inlineStr">
        <is>
          <t>upon request — not required for release</t>
        </is>
      </c>
      <c r="L3604" s="256" t="inlineStr">
        <is>
          <t>—</t>
        </is>
      </c>
      <c r="M3604" s="256" t="inlineStr">
        <is>
          <t>—</t>
        </is>
      </c>
      <c r="N3604" s="256" t="inlineStr">
        <is>
          <t>—</t>
        </is>
      </c>
      <c r="O3604" s="256" t="inlineStr">
        <is>
          <t>—</t>
        </is>
      </c>
      <c r="P3604" s="256" t="inlineStr">
        <is>
          <t>upon request — not required for release</t>
        </is>
      </c>
      <c r="Q3604" s="256" t="inlineStr"/>
      <c r="R3604" s="256" t="inlineStr"/>
    </row>
    <row r="3605">
      <c r="A3605" s="256" t="inlineStr">
        <is>
          <t>CoQ-PP_26-157</t>
        </is>
      </c>
      <c r="B3605" s="256" t="inlineStr">
        <is>
          <t>reissue — retest</t>
        </is>
      </c>
      <c r="C3605" s="256" t="inlineStr">
        <is>
          <t>OPM052501</t>
        </is>
      </c>
      <c r="D3605" s="256" t="inlineStr">
        <is>
          <t>P050132</t>
        </is>
      </c>
      <c r="E3605" s="256" t="inlineStr">
        <is>
          <t>Orange Punch Mimosa</t>
        </is>
      </c>
      <c r="F3605" s="256" t="inlineStr">
        <is>
          <t>21.09.2026</t>
        </is>
      </c>
      <c r="G3605" s="256" t="inlineStr">
        <is>
          <t>10.1</t>
        </is>
      </c>
      <c r="H3605" s="256" t="inlineStr">
        <is>
          <t>Aflatoxin B₁</t>
        </is>
      </c>
      <c r="I3605" s="256" t="inlineStr">
        <is>
          <t>Ph. Eur. 2.8.18 (HPLC-FLD)</t>
        </is>
      </c>
      <c r="J3605" s="256" t="inlineStr">
        <is>
          <t>≤ 2 µg/kg</t>
        </is>
      </c>
      <c r="K3605" s="256" t="inlineStr">
        <is>
          <t>ND</t>
        </is>
      </c>
      <c r="L3605" s="256" t="inlineStr">
        <is>
          <t>227-11-М/26</t>
        </is>
      </c>
      <c r="M3605" s="256" t="inlineStr">
        <is>
          <t>16.09.2026</t>
        </is>
      </c>
      <c r="N3605" s="256" t="inlineStr">
        <is>
          <t>Farmahem</t>
        </is>
      </c>
      <c r="O3605" s="256" t="inlineStr">
        <is>
          <t>—</t>
        </is>
      </c>
      <c r="P3605" s="256" t="inlineStr">
        <is>
          <t>covered</t>
        </is>
      </c>
      <c r="Q3605" s="256" t="inlineStr"/>
      <c r="R3605" s="256" t="inlineStr"/>
    </row>
    <row r="3606">
      <c r="A3606" s="256" t="inlineStr">
        <is>
          <t>CoQ-PP_26-157</t>
        </is>
      </c>
      <c r="B3606" s="256" t="inlineStr">
        <is>
          <t>reissue — retest</t>
        </is>
      </c>
      <c r="C3606" s="256" t="inlineStr">
        <is>
          <t>OPM052501</t>
        </is>
      </c>
      <c r="D3606" s="256" t="inlineStr">
        <is>
          <t>P050132</t>
        </is>
      </c>
      <c r="E3606" s="256" t="inlineStr">
        <is>
          <t>Orange Punch Mimosa</t>
        </is>
      </c>
      <c r="F3606" s="256" t="inlineStr">
        <is>
          <t>21.09.2026</t>
        </is>
      </c>
      <c r="G3606" s="256" t="inlineStr">
        <is>
          <t>10.2</t>
        </is>
      </c>
      <c r="H3606" s="256" t="inlineStr">
        <is>
          <t>Aflatoxins ∑</t>
        </is>
      </c>
      <c r="I3606" s="256" t="inlineStr">
        <is>
          <t>Ph. Eur. 2.8.18 (HPLC-FLD)</t>
        </is>
      </c>
      <c r="J3606" s="256" t="inlineStr">
        <is>
          <t>≤ 4 µg/kg</t>
        </is>
      </c>
      <c r="K3606" s="256" t="inlineStr">
        <is>
          <t>ND</t>
        </is>
      </c>
      <c r="L3606" s="256" t="inlineStr">
        <is>
          <t>227-11-М/26</t>
        </is>
      </c>
      <c r="M3606" s="256" t="inlineStr">
        <is>
          <t>16.09.2026</t>
        </is>
      </c>
      <c r="N3606" s="256" t="inlineStr">
        <is>
          <t>Farmahem</t>
        </is>
      </c>
      <c r="O3606" s="256" t="inlineStr">
        <is>
          <t>—</t>
        </is>
      </c>
      <c r="P3606" s="256" t="inlineStr">
        <is>
          <t>carried from the initial testing (the batch's initial CoQ (number assigned on issue)) — covered</t>
        </is>
      </c>
      <c r="Q3606" s="256" t="inlineStr"/>
      <c r="R3606" s="256" t="inlineStr"/>
    </row>
    <row r="3607">
      <c r="A3607" s="256" t="inlineStr">
        <is>
          <t>CoQ-PP_26-157</t>
        </is>
      </c>
      <c r="B3607" s="256" t="inlineStr">
        <is>
          <t>reissue — retest</t>
        </is>
      </c>
      <c r="C3607" s="256" t="inlineStr">
        <is>
          <t>OPM052501</t>
        </is>
      </c>
      <c r="D3607" s="256" t="inlineStr">
        <is>
          <t>P050132</t>
        </is>
      </c>
      <c r="E3607" s="256" t="inlineStr">
        <is>
          <t>Orange Punch Mimosa</t>
        </is>
      </c>
      <c r="F3607" s="256" t="inlineStr">
        <is>
          <t>21.09.2026</t>
        </is>
      </c>
      <c r="G3607" s="256" t="inlineStr">
        <is>
          <t>10.3</t>
        </is>
      </c>
      <c r="H3607" s="256" t="inlineStr">
        <is>
          <t>Ochratoxin A</t>
        </is>
      </c>
      <c r="I3607" s="256" t="inlineStr">
        <is>
          <t>Ph. Eur. 2.8.22 (HPLC-FLD)</t>
        </is>
      </c>
      <c r="J3607" s="256" t="inlineStr">
        <is>
          <t>≤ 20 µg/kg</t>
        </is>
      </c>
      <c r="K3607" s="256" t="inlineStr">
        <is>
          <t>ND</t>
        </is>
      </c>
      <c r="L3607" s="256" t="inlineStr">
        <is>
          <t>227-11-М/26</t>
        </is>
      </c>
      <c r="M3607" s="256" t="inlineStr">
        <is>
          <t>16.09.2026</t>
        </is>
      </c>
      <c r="N3607" s="256" t="inlineStr">
        <is>
          <t>Farmahem</t>
        </is>
      </c>
      <c r="O3607" s="256" t="inlineStr">
        <is>
          <t>—</t>
        </is>
      </c>
      <c r="P3607" s="256" t="inlineStr">
        <is>
          <t>covered</t>
        </is>
      </c>
      <c r="Q3607" s="256" t="inlineStr"/>
      <c r="R3607" s="256" t="inlineStr"/>
    </row>
    <row r="3608">
      <c r="A3608" s="256" t="inlineStr">
        <is>
          <t>CoQ-PP_26-157</t>
        </is>
      </c>
      <c r="B3608" s="256" t="inlineStr">
        <is>
          <t>reissue — retest</t>
        </is>
      </c>
      <c r="C3608" s="256" t="inlineStr">
        <is>
          <t>OPM052501</t>
        </is>
      </c>
      <c r="D3608" s="256" t="inlineStr">
        <is>
          <t>P050132</t>
        </is>
      </c>
      <c r="E3608" s="256" t="inlineStr">
        <is>
          <t>Orange Punch Mimosa</t>
        </is>
      </c>
      <c r="F3608" s="256" t="inlineStr">
        <is>
          <t>21.09.2026</t>
        </is>
      </c>
      <c r="G3608" s="256" t="inlineStr">
        <is>
          <t>11.1</t>
        </is>
      </c>
      <c r="H3608" s="256" t="inlineStr">
        <is>
          <t>Lead (Pb)</t>
        </is>
      </c>
      <c r="I3608" s="256" t="inlineStr">
        <is>
          <t>Ph. Eur. 2.4.27 (ICP-MS)</t>
        </is>
      </c>
      <c r="J3608" s="256" t="inlineStr">
        <is>
          <t>≤ 0.5 mg/kg</t>
        </is>
      </c>
      <c r="K3608" s="256" t="inlineStr">
        <is>
          <t>ND</t>
        </is>
      </c>
      <c r="L3608" s="256" t="inlineStr">
        <is>
          <t>4157/2025</t>
        </is>
      </c>
      <c r="M3608" s="256" t="inlineStr">
        <is>
          <t>29.08.2025</t>
        </is>
      </c>
      <c r="N3608" s="256" t="inlineStr">
        <is>
          <t>IPH — Institute of Public Health</t>
        </is>
      </c>
      <c r="O3608" s="256" t="inlineStr">
        <is>
          <t>25.08.2025</t>
        </is>
      </c>
      <c r="P3608" s="256" t="inlineStr">
        <is>
          <t>carried from the initial testing (the batch's initial CoQ (number assigned on issue)) — covered</t>
        </is>
      </c>
      <c r="Q3608" s="256" t="inlineStr"/>
      <c r="R3608" s="256" t="inlineStr"/>
    </row>
    <row r="3609">
      <c r="A3609" s="256" t="inlineStr">
        <is>
          <t>CoQ-PP_26-157</t>
        </is>
      </c>
      <c r="B3609" s="256" t="inlineStr">
        <is>
          <t>reissue — retest</t>
        </is>
      </c>
      <c r="C3609" s="256" t="inlineStr">
        <is>
          <t>OPM052501</t>
        </is>
      </c>
      <c r="D3609" s="256" t="inlineStr">
        <is>
          <t>P050132</t>
        </is>
      </c>
      <c r="E3609" s="256" t="inlineStr">
        <is>
          <t>Orange Punch Mimosa</t>
        </is>
      </c>
      <c r="F3609" s="256" t="inlineStr">
        <is>
          <t>21.09.2026</t>
        </is>
      </c>
      <c r="G3609" s="256" t="inlineStr">
        <is>
          <t>11.2</t>
        </is>
      </c>
      <c r="H3609" s="256" t="inlineStr">
        <is>
          <t>Cadmium (Cd)</t>
        </is>
      </c>
      <c r="I3609" s="256" t="inlineStr">
        <is>
          <t>Ph. Eur. 2.4.27 (ICP-MS)</t>
        </is>
      </c>
      <c r="J3609" s="256" t="inlineStr">
        <is>
          <t>≤ 0.3 mg/kg</t>
        </is>
      </c>
      <c r="K3609" s="256" t="inlineStr">
        <is>
          <t>ND</t>
        </is>
      </c>
      <c r="L3609" s="256" t="inlineStr">
        <is>
          <t>4157/2025</t>
        </is>
      </c>
      <c r="M3609" s="256" t="inlineStr">
        <is>
          <t>29.08.2025</t>
        </is>
      </c>
      <c r="N3609" s="256" t="inlineStr">
        <is>
          <t>IPH — Institute of Public Health</t>
        </is>
      </c>
      <c r="O3609" s="256" t="inlineStr">
        <is>
          <t>25.08.2025</t>
        </is>
      </c>
      <c r="P3609" s="256" t="inlineStr">
        <is>
          <t>carried from the initial testing (the batch's initial CoQ (number assigned on issue)) — covered</t>
        </is>
      </c>
      <c r="Q3609" s="256" t="inlineStr"/>
      <c r="R3609" s="256" t="inlineStr"/>
    </row>
    <row r="3610">
      <c r="A3610" s="256" t="inlineStr">
        <is>
          <t>CoQ-PP_26-157</t>
        </is>
      </c>
      <c r="B3610" s="256" t="inlineStr">
        <is>
          <t>reissue — retest</t>
        </is>
      </c>
      <c r="C3610" s="256" t="inlineStr">
        <is>
          <t>OPM052501</t>
        </is>
      </c>
      <c r="D3610" s="256" t="inlineStr">
        <is>
          <t>P050132</t>
        </is>
      </c>
      <c r="E3610" s="256" t="inlineStr">
        <is>
          <t>Orange Punch Mimosa</t>
        </is>
      </c>
      <c r="F3610" s="256" t="inlineStr">
        <is>
          <t>21.09.2026</t>
        </is>
      </c>
      <c r="G3610" s="256" t="inlineStr">
        <is>
          <t>11.3</t>
        </is>
      </c>
      <c r="H3610" s="256" t="inlineStr">
        <is>
          <t>Arsenic (As)</t>
        </is>
      </c>
      <c r="I3610" s="256" t="inlineStr">
        <is>
          <t>Ph. Eur. 2.4.27 (ICP-MS)</t>
        </is>
      </c>
      <c r="J3610" s="256" t="inlineStr">
        <is>
          <t>≤ 0.2 mg/kg</t>
        </is>
      </c>
      <c r="K3610" s="256" t="inlineStr">
        <is>
          <t>ND</t>
        </is>
      </c>
      <c r="L3610" s="256" t="inlineStr">
        <is>
          <t>4157/2025</t>
        </is>
      </c>
      <c r="M3610" s="256" t="inlineStr">
        <is>
          <t>29.08.2025</t>
        </is>
      </c>
      <c r="N3610" s="256" t="inlineStr">
        <is>
          <t>IPH — Institute of Public Health</t>
        </is>
      </c>
      <c r="O3610" s="256" t="inlineStr">
        <is>
          <t>25.08.2025</t>
        </is>
      </c>
      <c r="P3610" s="256" t="inlineStr">
        <is>
          <t>carried from the initial testing (the batch's initial CoQ (number assigned on issue)) — covered</t>
        </is>
      </c>
      <c r="Q3610" s="256" t="inlineStr"/>
      <c r="R3610" s="256" t="inlineStr"/>
    </row>
    <row r="3611">
      <c r="A3611" s="256" t="inlineStr">
        <is>
          <t>CoQ-PP_26-157</t>
        </is>
      </c>
      <c r="B3611" s="256" t="inlineStr">
        <is>
          <t>reissue — retest</t>
        </is>
      </c>
      <c r="C3611" s="256" t="inlineStr">
        <is>
          <t>OPM052501</t>
        </is>
      </c>
      <c r="D3611" s="256" t="inlineStr">
        <is>
          <t>P050132</t>
        </is>
      </c>
      <c r="E3611" s="256" t="inlineStr">
        <is>
          <t>Orange Punch Mimosa</t>
        </is>
      </c>
      <c r="F3611" s="256" t="inlineStr">
        <is>
          <t>21.09.2026</t>
        </is>
      </c>
      <c r="G3611" s="256" t="inlineStr">
        <is>
          <t>11.4</t>
        </is>
      </c>
      <c r="H3611" s="256" t="inlineStr">
        <is>
          <t>Mercury (Hg)</t>
        </is>
      </c>
      <c r="I3611" s="256" t="inlineStr">
        <is>
          <t>Ph. Eur. 2.4.27 (ICP-MS)</t>
        </is>
      </c>
      <c r="J3611" s="256" t="inlineStr">
        <is>
          <t>≤ 0.1 mg/kg</t>
        </is>
      </c>
      <c r="K3611" s="256" t="inlineStr">
        <is>
          <t>ND</t>
        </is>
      </c>
      <c r="L3611" s="256" t="inlineStr">
        <is>
          <t>4157/2025</t>
        </is>
      </c>
      <c r="M3611" s="256" t="inlineStr">
        <is>
          <t>29.08.2025</t>
        </is>
      </c>
      <c r="N3611" s="256" t="inlineStr">
        <is>
          <t>IPH — Institute of Public Health</t>
        </is>
      </c>
      <c r="O3611" s="256" t="inlineStr">
        <is>
          <t>25.08.2025</t>
        </is>
      </c>
      <c r="P3611" s="256" t="inlineStr">
        <is>
          <t>carried from the initial testing (the batch's initial CoQ (number assigned on issue)) — covered</t>
        </is>
      </c>
      <c r="Q3611" s="256" t="inlineStr"/>
      <c r="R3611" s="256" t="inlineStr"/>
    </row>
    <row r="3612">
      <c r="A3612" s="256" t="inlineStr">
        <is>
          <t>CoQ-PP_26-157</t>
        </is>
      </c>
      <c r="B3612" s="256" t="inlineStr">
        <is>
          <t>reissue — retest</t>
        </is>
      </c>
      <c r="C3612" s="256" t="inlineStr">
        <is>
          <t>OPM052501</t>
        </is>
      </c>
      <c r="D3612" s="256" t="inlineStr">
        <is>
          <t>P050132</t>
        </is>
      </c>
      <c r="E3612" s="256" t="inlineStr">
        <is>
          <t>Orange Punch Mimosa</t>
        </is>
      </c>
      <c r="F3612" s="256" t="inlineStr">
        <is>
          <t>21.09.2026</t>
        </is>
      </c>
      <c r="G3612" s="256" t="inlineStr">
        <is>
          <t>12</t>
        </is>
      </c>
      <c r="H3612" s="256" t="inlineStr">
        <is>
          <t>Pesticide Residues</t>
        </is>
      </c>
      <c r="I3612" s="256" t="inlineStr">
        <is>
          <t>Ph. Eur. 2.8.13 (LC-MS/MS) · CUMCS Equivalency</t>
        </is>
      </c>
      <c r="J3612" s="256" t="inlineStr">
        <is>
          <t>≤ LOQ as per Ph. Eur. 2.8.13 · ≤ LOQ as per CUMCS Equivalency</t>
        </is>
      </c>
      <c r="K3612" s="256" t="inlineStr">
        <is>
          <t>ND</t>
        </is>
      </c>
      <c r="L3612" s="256" t="inlineStr">
        <is>
          <t>4157/2025</t>
        </is>
      </c>
      <c r="M3612" s="256" t="inlineStr">
        <is>
          <t>29.08.2025</t>
        </is>
      </c>
      <c r="N3612" s="256" t="inlineStr">
        <is>
          <t>IPH — Institute of Public Health</t>
        </is>
      </c>
      <c r="O3612" s="256" t="inlineStr">
        <is>
          <t>25.08.2025</t>
        </is>
      </c>
      <c r="P3612" s="256" t="inlineStr">
        <is>
          <t>carried from the initial testing (the batch's initial CoQ (number assigned on issue)) — covered</t>
        </is>
      </c>
      <c r="Q3612" s="256" t="inlineStr"/>
      <c r="R3612" s="256" t="inlineStr"/>
    </row>
    <row r="3613">
      <c r="A3613" s="256" t="inlineStr">
        <is>
          <t>CoQ-PP_26-158</t>
        </is>
      </c>
      <c r="B3613" s="256" t="inlineStr">
        <is>
          <t>reissue — retest</t>
        </is>
      </c>
      <c r="C3613" s="256" t="inlineStr">
        <is>
          <t>OPM112501</t>
        </is>
      </c>
      <c r="D3613" s="256" t="inlineStr">
        <is>
          <t>— no P lot assigned —</t>
        </is>
      </c>
      <c r="E3613" s="256" t="inlineStr">
        <is>
          <t>Orange Punch Mimosa</t>
        </is>
      </c>
      <c r="F3613" s="256" t="inlineStr">
        <is>
          <t>21.09.2026</t>
        </is>
      </c>
      <c r="G3613" s="256" t="inlineStr">
        <is>
          <t>1</t>
        </is>
      </c>
      <c r="H3613" s="256" t="inlineStr">
        <is>
          <t>Identification A, Appearance · Macroscopic</t>
        </is>
      </c>
      <c r="I3613" s="256" t="inlineStr">
        <is>
          <t>Ph. Eur. mon. 3028</t>
        </is>
      </c>
      <c r="J3613" s="256" t="inlineStr">
        <is>
          <t>Conforms to the monograph for Cannabis flos (07/2024:3028) in Ph. Eur. 11.0 | Согласно монографија за Cannabis flos (07/2024:3028) во Ph. Eur. 11.0</t>
        </is>
      </c>
      <c r="K3613" s="256" t="inlineStr">
        <is>
          <t>Conforms | Одговара</t>
        </is>
      </c>
      <c r="L3613" s="256" t="inlineStr">
        <is>
          <t>iCoA-PP_26-157</t>
        </is>
      </c>
      <c r="M3613" s="256" t="inlineStr">
        <is>
          <t>24.08.2026</t>
        </is>
      </c>
      <c r="N3613" s="256" t="inlineStr">
        <is>
          <t>Purely Plant GmbH (in-house)</t>
        </is>
      </c>
      <c r="O3613" s="256" t="inlineStr">
        <is>
          <t>—</t>
        </is>
      </c>
      <c r="P3613" s="256" t="inlineStr">
        <is>
          <t>to be performed — see route</t>
        </is>
      </c>
      <c r="Q3613" s="256" t="inlineStr">
        <is>
          <t>Farmahem — Ident A + B + C with the Assay, at retest</t>
        </is>
      </c>
      <c r="R3613" s="256" t="inlineStr"/>
    </row>
    <row r="3614">
      <c r="A3614" s="256" t="inlineStr">
        <is>
          <t>CoQ-PP_26-158</t>
        </is>
      </c>
      <c r="B3614" s="256" t="inlineStr">
        <is>
          <t>reissue — retest</t>
        </is>
      </c>
      <c r="C3614" s="256" t="inlineStr">
        <is>
          <t>OPM112501</t>
        </is>
      </c>
      <c r="D3614" s="256" t="inlineStr">
        <is>
          <t>— no P lot assigned —</t>
        </is>
      </c>
      <c r="E3614" s="256" t="inlineStr">
        <is>
          <t>Orange Punch Mimosa</t>
        </is>
      </c>
      <c r="F3614" s="256" t="inlineStr">
        <is>
          <t>21.09.2026</t>
        </is>
      </c>
      <c r="G3614" s="256" t="inlineStr">
        <is>
          <t>2</t>
        </is>
      </c>
      <c r="H3614" s="256" t="inlineStr">
        <is>
          <t>Identification B · Microscopic</t>
        </is>
      </c>
      <c r="I3614" s="256" t="inlineStr">
        <is>
          <t>Ph. Eur. 2.8.23 (microscopy)</t>
        </is>
      </c>
      <c r="J3614" s="256" t="inlineStr">
        <is>
          <t>Conforms to the monograph for Cannabis flos (07/2024:3028) in Ph. Eur. 11.0 | Согласно монографија за Cannabis flos (07/2024:3028) во Ph. Eur. 11.0</t>
        </is>
      </c>
      <c r="K3614" s="256" t="inlineStr">
        <is>
          <t>Conforms | Одговара</t>
        </is>
      </c>
      <c r="L3614" s="256" t="inlineStr">
        <is>
          <t>iCoA-PP_26-157</t>
        </is>
      </c>
      <c r="M3614" s="256" t="inlineStr">
        <is>
          <t>24.08.2026</t>
        </is>
      </c>
      <c r="N3614" s="256" t="inlineStr">
        <is>
          <t>Purely Plant GmbH (in-house)</t>
        </is>
      </c>
      <c r="O3614" s="256" t="inlineStr">
        <is>
          <t>—</t>
        </is>
      </c>
      <c r="P3614" s="256" t="inlineStr">
        <is>
          <t>to be performed — see route</t>
        </is>
      </c>
      <c r="Q3614" s="256" t="inlineStr">
        <is>
          <t>Farmahem — Ident A + B + C with the Assay, at retest</t>
        </is>
      </c>
      <c r="R3614" s="256" t="inlineStr"/>
    </row>
    <row r="3615">
      <c r="A3615" s="256" t="inlineStr">
        <is>
          <t>CoQ-PP_26-158</t>
        </is>
      </c>
      <c r="B3615" s="256" t="inlineStr">
        <is>
          <t>reissue — retest</t>
        </is>
      </c>
      <c r="C3615" s="256" t="inlineStr">
        <is>
          <t>OPM112501</t>
        </is>
      </c>
      <c r="D3615" s="256" t="inlineStr">
        <is>
          <t>— no P lot assigned —</t>
        </is>
      </c>
      <c r="E3615" s="256" t="inlineStr">
        <is>
          <t>Orange Punch Mimosa</t>
        </is>
      </c>
      <c r="F3615" s="256" t="inlineStr">
        <is>
          <t>21.09.2026</t>
        </is>
      </c>
      <c r="G3615" s="256" t="inlineStr">
        <is>
          <t>3</t>
        </is>
      </c>
      <c r="H3615" s="256" t="inlineStr">
        <is>
          <t>Identification C · HPLC/HPTLC</t>
        </is>
      </c>
      <c r="I3615" s="256" t="inlineStr">
        <is>
          <t>Ph. Eur. 2.2.29 (3028)</t>
        </is>
      </c>
      <c r="J3615" s="256" t="inlineStr">
        <is>
          <t>Conforms to the monograph for Cannabis flos (07/2024:3028) in Ph. Eur. 11.0 | Согласно монографија за Cannabis flos (07/2024:3028) во Ph. Eur. 11.0</t>
        </is>
      </c>
      <c r="K3615" s="256" t="inlineStr">
        <is>
          <t>Conforms | Одговара</t>
        </is>
      </c>
      <c r="L3615" s="256" t="inlineStr">
        <is>
          <t>227-10-К/26</t>
        </is>
      </c>
      <c r="M3615" s="256" t="inlineStr">
        <is>
          <t>11.09.2026</t>
        </is>
      </c>
      <c r="N3615" s="256" t="inlineStr">
        <is>
          <t>Farmahem</t>
        </is>
      </c>
      <c r="O3615" s="256" t="inlineStr">
        <is>
          <t>24.08.2026</t>
        </is>
      </c>
      <c r="P3615" s="256" t="inlineStr">
        <is>
          <t>covered</t>
        </is>
      </c>
      <c r="Q3615" s="256" t="inlineStr"/>
      <c r="R3615" s="256" t="inlineStr"/>
    </row>
    <row r="3616">
      <c r="A3616" s="256" t="inlineStr">
        <is>
          <t>CoQ-PP_26-158</t>
        </is>
      </c>
      <c r="B3616" s="256" t="inlineStr">
        <is>
          <t>reissue — retest</t>
        </is>
      </c>
      <c r="C3616" s="256" t="inlineStr">
        <is>
          <t>OPM112501</t>
        </is>
      </c>
      <c r="D3616" s="256" t="inlineStr">
        <is>
          <t>— no P lot assigned —</t>
        </is>
      </c>
      <c r="E3616" s="256" t="inlineStr">
        <is>
          <t>Orange Punch Mimosa</t>
        </is>
      </c>
      <c r="F3616" s="256" t="inlineStr">
        <is>
          <t>21.09.2026</t>
        </is>
      </c>
      <c r="G3616" s="256" t="inlineStr">
        <is>
          <t>4</t>
        </is>
      </c>
      <c r="H3616" s="256" t="inlineStr">
        <is>
          <t>Assay — Total Δ⁹-THC</t>
        </is>
      </c>
      <c r="I3616" s="256" t="inlineStr">
        <is>
          <t>Ph. Eur. 2.2.29 (HPLC)</t>
        </is>
      </c>
      <c r="J3616" s="256" t="inlineStr">
        <is>
          <t>9.00 – 10.99 %  (grade IV, nominal 10.00 ± 1.00)</t>
        </is>
      </c>
      <c r="K3616" s="256" t="inlineStr">
        <is>
          <t>9.73</t>
        </is>
      </c>
      <c r="L3616" s="256" t="inlineStr">
        <is>
          <t>227-10-К/26</t>
        </is>
      </c>
      <c r="M3616" s="256" t="inlineStr">
        <is>
          <t>11.09.2026</t>
        </is>
      </c>
      <c r="N3616" s="256" t="inlineStr">
        <is>
          <t>Farmahem</t>
        </is>
      </c>
      <c r="O3616" s="256" t="inlineStr">
        <is>
          <t>24.08.2026</t>
        </is>
      </c>
      <c r="P3616" s="256" t="inlineStr">
        <is>
          <t>covered</t>
        </is>
      </c>
      <c r="Q3616" s="256" t="inlineStr"/>
      <c r="R3616" s="256" t="inlineStr"/>
    </row>
    <row r="3617">
      <c r="A3617" s="256" t="inlineStr">
        <is>
          <t>CoQ-PP_26-158</t>
        </is>
      </c>
      <c r="B3617" s="256" t="inlineStr">
        <is>
          <t>reissue — retest</t>
        </is>
      </c>
      <c r="C3617" s="256" t="inlineStr">
        <is>
          <t>OPM112501</t>
        </is>
      </c>
      <c r="D3617" s="256" t="inlineStr">
        <is>
          <t>— no P lot assigned —</t>
        </is>
      </c>
      <c r="E3617" s="256" t="inlineStr">
        <is>
          <t>Orange Punch Mimosa</t>
        </is>
      </c>
      <c r="F3617" s="256" t="inlineStr">
        <is>
          <t>21.09.2026</t>
        </is>
      </c>
      <c r="G3617" s="256" t="inlineStr">
        <is>
          <t>5</t>
        </is>
      </c>
      <c r="H3617" s="256" t="inlineStr">
        <is>
          <t>Assay — Total CBD</t>
        </is>
      </c>
      <c r="I3617" s="256" t="inlineStr">
        <is>
          <t>Ph. Eur. 2.2.29 (HPLC) · CBD + CBDA x 0.877</t>
        </is>
      </c>
      <c r="J3617" s="256" t="inlineStr">
        <is>
          <t>≤ 1.0%, w/w</t>
        </is>
      </c>
      <c r="K3617" s="256" t="inlineStr">
        <is>
          <t>&lt; LOQ</t>
        </is>
      </c>
      <c r="L3617" s="256" t="inlineStr">
        <is>
          <t>227-10-К/26</t>
        </is>
      </c>
      <c r="M3617" s="256" t="inlineStr">
        <is>
          <t>11.09.2026</t>
        </is>
      </c>
      <c r="N3617" s="256" t="inlineStr">
        <is>
          <t>Farmahem</t>
        </is>
      </c>
      <c r="O3617" s="256" t="inlineStr">
        <is>
          <t>24.08.2026</t>
        </is>
      </c>
      <c r="P3617" s="256" t="inlineStr">
        <is>
          <t>covered</t>
        </is>
      </c>
      <c r="Q3617" s="256" t="inlineStr"/>
      <c r="R3617" s="256" t="inlineStr"/>
    </row>
    <row r="3618">
      <c r="A3618" s="256" t="inlineStr">
        <is>
          <t>CoQ-PP_26-158</t>
        </is>
      </c>
      <c r="B3618" s="256" t="inlineStr">
        <is>
          <t>reissue — retest</t>
        </is>
      </c>
      <c r="C3618" s="256" t="inlineStr">
        <is>
          <t>OPM112501</t>
        </is>
      </c>
      <c r="D3618" s="256" t="inlineStr">
        <is>
          <t>— no P lot assigned —</t>
        </is>
      </c>
      <c r="E3618" s="256" t="inlineStr">
        <is>
          <t>Orange Punch Mimosa</t>
        </is>
      </c>
      <c r="F3618" s="256" t="inlineStr">
        <is>
          <t>21.09.2026</t>
        </is>
      </c>
      <c r="G3618" s="256" t="inlineStr">
        <is>
          <t>6</t>
        </is>
      </c>
      <c r="H3618" s="256" t="inlineStr">
        <is>
          <t>Total CBN</t>
        </is>
      </c>
      <c r="I3618" s="256" t="inlineStr">
        <is>
          <t>Ph. Eur. 2.2.29 (HPLC) · CBN + CBNA x 0.876</t>
        </is>
      </c>
      <c r="J3618" s="256" t="inlineStr">
        <is>
          <t>≤ 1.0%, w/w</t>
        </is>
      </c>
      <c r="K3618" s="256" t="inlineStr">
        <is>
          <t>&lt; LOQ</t>
        </is>
      </c>
      <c r="L3618" s="256" t="inlineStr">
        <is>
          <t>227-10-К/26</t>
        </is>
      </c>
      <c r="M3618" s="256" t="inlineStr">
        <is>
          <t>11.09.2026</t>
        </is>
      </c>
      <c r="N3618" s="256" t="inlineStr">
        <is>
          <t>Farmahem</t>
        </is>
      </c>
      <c r="O3618" s="256" t="inlineStr">
        <is>
          <t>24.08.2026</t>
        </is>
      </c>
      <c r="P3618" s="256" t="inlineStr">
        <is>
          <t>covered</t>
        </is>
      </c>
      <c r="Q3618" s="256" t="inlineStr"/>
      <c r="R3618" s="256" t="inlineStr"/>
    </row>
    <row r="3619">
      <c r="A3619" s="256" t="inlineStr">
        <is>
          <t>CoQ-PP_26-158</t>
        </is>
      </c>
      <c r="B3619" s="256" t="inlineStr">
        <is>
          <t>reissue — retest</t>
        </is>
      </c>
      <c r="C3619" s="256" t="inlineStr">
        <is>
          <t>OPM112501</t>
        </is>
      </c>
      <c r="D3619" s="256" t="inlineStr">
        <is>
          <t>— no P lot assigned —</t>
        </is>
      </c>
      <c r="E3619" s="256" t="inlineStr">
        <is>
          <t>Orange Punch Mimosa</t>
        </is>
      </c>
      <c r="F3619" s="256" t="inlineStr">
        <is>
          <t>21.09.2026</t>
        </is>
      </c>
      <c r="G3619" s="256" t="inlineStr">
        <is>
          <t>7</t>
        </is>
      </c>
      <c r="H3619" s="256" t="inlineStr">
        <is>
          <t>Foreign Matter</t>
        </is>
      </c>
      <c r="I3619" s="256" t="inlineStr">
        <is>
          <t>Ph. Eur. 2.8.2 · In-house · интерна</t>
        </is>
      </c>
      <c r="J3619" s="256" t="inlineStr">
        <is>
          <t>≤ 2.0% / 25–50 g · &lt; 1 cm leaves | листови, no seeds | без семки</t>
        </is>
      </c>
      <c r="K3619" s="256" t="inlineStr">
        <is>
          <t>Conforms | Одговара</t>
        </is>
      </c>
      <c r="L3619" s="256" t="inlineStr">
        <is>
          <t>iCoA-PP_26-157</t>
        </is>
      </c>
      <c r="M3619" s="256" t="inlineStr">
        <is>
          <t>24.08.2026</t>
        </is>
      </c>
      <c r="N3619" s="256" t="inlineStr">
        <is>
          <t>Purely Plant GmbH (in-house)</t>
        </is>
      </c>
      <c r="O3619" s="256" t="inlineStr">
        <is>
          <t>—</t>
        </is>
      </c>
      <c r="P3619" s="256" t="inlineStr">
        <is>
          <t>to be performed — see route</t>
        </is>
      </c>
      <c r="Q3619" s="256" t="inlineStr">
        <is>
          <t>Purely Plant laboratory — iCoA covering Foreign matter</t>
        </is>
      </c>
      <c r="R3619" s="256" t="inlineStr"/>
    </row>
    <row r="3620">
      <c r="A3620" s="256" t="inlineStr">
        <is>
          <t>CoQ-PP_26-158</t>
        </is>
      </c>
      <c r="B3620" s="256" t="inlineStr">
        <is>
          <t>reissue — retest</t>
        </is>
      </c>
      <c r="C3620" s="256" t="inlineStr">
        <is>
          <t>OPM112501</t>
        </is>
      </c>
      <c r="D3620" s="256" t="inlineStr">
        <is>
          <t>— no P lot assigned —</t>
        </is>
      </c>
      <c r="E3620" s="256" t="inlineStr">
        <is>
          <t>Orange Punch Mimosa</t>
        </is>
      </c>
      <c r="F3620" s="256" t="inlineStr">
        <is>
          <t>21.09.2026</t>
        </is>
      </c>
      <c r="G3620" s="256" t="inlineStr">
        <is>
          <t>8</t>
        </is>
      </c>
      <c r="H3620" s="256" t="inlineStr">
        <is>
          <t>Loss on Drying</t>
        </is>
      </c>
      <c r="I3620" s="256" t="inlineStr">
        <is>
          <t>DAB 2018 monograph Cannabis flos, 2.2.32 — loss on drying (CNP, before its Ph. Eur. 3028 accreditation)</t>
        </is>
      </c>
      <c r="J3620" s="256" t="inlineStr">
        <is>
          <t>≤ 12.0%</t>
        </is>
      </c>
      <c r="K3620" s="256" t="inlineStr">
        <is>
          <t>8.06</t>
        </is>
      </c>
      <c r="L3620" s="256" t="inlineStr">
        <is>
          <t>ППК26031</t>
        </is>
      </c>
      <c r="M3620" s="256" t="inlineStr">
        <is>
          <t>05.03.2026</t>
        </is>
      </c>
      <c r="N3620" s="256" t="inlineStr">
        <is>
          <t>UKIM Faculty of Pharmacy — Center for Natural Products</t>
        </is>
      </c>
      <c r="O3620" s="256" t="inlineStr">
        <is>
          <t>23.02.2026</t>
        </is>
      </c>
      <c r="P3620" s="256" t="inlineStr">
        <is>
          <t>carried from the initial testing (the batch's initial CoQ (number assigned on issue)) — covered</t>
        </is>
      </c>
      <c r="Q3620" s="256" t="inlineStr"/>
      <c r="R3620" s="256" t="inlineStr"/>
    </row>
    <row r="3621">
      <c r="A3621" s="256" t="inlineStr">
        <is>
          <t>CoQ-PP_26-158</t>
        </is>
      </c>
      <c r="B3621" s="256" t="inlineStr">
        <is>
          <t>reissue — retest</t>
        </is>
      </c>
      <c r="C3621" s="256" t="inlineStr">
        <is>
          <t>OPM112501</t>
        </is>
      </c>
      <c r="D3621" s="256" t="inlineStr">
        <is>
          <t>— no P lot assigned —</t>
        </is>
      </c>
      <c r="E3621" s="256" t="inlineStr">
        <is>
          <t>Orange Punch Mimosa</t>
        </is>
      </c>
      <c r="F3621" s="256" t="inlineStr">
        <is>
          <t>21.09.2026</t>
        </is>
      </c>
      <c r="G3621" s="256" t="inlineStr">
        <is>
          <t>9.1</t>
        </is>
      </c>
      <c r="H3621" s="256" t="inlineStr">
        <is>
          <t>TAMC</t>
        </is>
      </c>
      <c r="I3621" s="256" t="inlineStr">
        <is>
          <t>Ph. Eur. 2.6.12 cat. C</t>
        </is>
      </c>
      <c r="J3621" s="256" t="inlineStr">
        <is>
          <t>≤ 10⁵ CFU/g</t>
        </is>
      </c>
      <c r="K3621" s="256" t="inlineStr">
        <is>
          <t>&lt; 10</t>
        </is>
      </c>
      <c r="L3621" s="256" t="inlineStr">
        <is>
          <t>546/1077/26</t>
        </is>
      </c>
      <c r="M3621" s="256" t="inlineStr">
        <is>
          <t>31.08.2026</t>
        </is>
      </c>
      <c r="N3621" s="256" t="inlineStr">
        <is>
          <t>IPH — Institute of Public Health</t>
        </is>
      </c>
      <c r="O3621" s="256" t="inlineStr">
        <is>
          <t>25.08.2026</t>
        </is>
      </c>
      <c r="P3621" s="256" t="inlineStr">
        <is>
          <t>covered</t>
        </is>
      </c>
      <c r="Q3621" s="256" t="inlineStr"/>
      <c r="R3621" s="256" t="inlineStr"/>
    </row>
    <row r="3622">
      <c r="A3622" s="256" t="inlineStr">
        <is>
          <t>CoQ-PP_26-158</t>
        </is>
      </c>
      <c r="B3622" s="256" t="inlineStr">
        <is>
          <t>reissue — retest</t>
        </is>
      </c>
      <c r="C3622" s="256" t="inlineStr">
        <is>
          <t>OPM112501</t>
        </is>
      </c>
      <c r="D3622" s="256" t="inlineStr">
        <is>
          <t>— no P lot assigned —</t>
        </is>
      </c>
      <c r="E3622" s="256" t="inlineStr">
        <is>
          <t>Orange Punch Mimosa</t>
        </is>
      </c>
      <c r="F3622" s="256" t="inlineStr">
        <is>
          <t>21.09.2026</t>
        </is>
      </c>
      <c r="G3622" s="256" t="inlineStr">
        <is>
          <t>9.2</t>
        </is>
      </c>
      <c r="H3622" s="256" t="inlineStr">
        <is>
          <t>TYMC</t>
        </is>
      </c>
      <c r="I3622" s="256" t="inlineStr">
        <is>
          <t>Ph. Eur. 2.6.12 cat. C</t>
        </is>
      </c>
      <c r="J3622" s="256" t="inlineStr">
        <is>
          <t>≤ 10⁴ CFU/g</t>
        </is>
      </c>
      <c r="K3622" s="256" t="inlineStr">
        <is>
          <t>10</t>
        </is>
      </c>
      <c r="L3622" s="256" t="inlineStr">
        <is>
          <t>546/1077/26</t>
        </is>
      </c>
      <c r="M3622" s="256" t="inlineStr">
        <is>
          <t>31.08.2026</t>
        </is>
      </c>
      <c r="N3622" s="256" t="inlineStr">
        <is>
          <t>IPH — Institute of Public Health</t>
        </is>
      </c>
      <c r="O3622" s="256" t="inlineStr">
        <is>
          <t>25.08.2026</t>
        </is>
      </c>
      <c r="P3622" s="256" t="inlineStr">
        <is>
          <t>covered</t>
        </is>
      </c>
      <c r="Q3622" s="256" t="inlineStr"/>
      <c r="R3622" s="256" t="inlineStr"/>
    </row>
    <row r="3623">
      <c r="A3623" s="256" t="inlineStr">
        <is>
          <t>CoQ-PP_26-158</t>
        </is>
      </c>
      <c r="B3623" s="256" t="inlineStr">
        <is>
          <t>reissue — retest</t>
        </is>
      </c>
      <c r="C3623" s="256" t="inlineStr">
        <is>
          <t>OPM112501</t>
        </is>
      </c>
      <c r="D3623" s="256" t="inlineStr">
        <is>
          <t>— no P lot assigned —</t>
        </is>
      </c>
      <c r="E3623" s="256" t="inlineStr">
        <is>
          <t>Orange Punch Mimosa</t>
        </is>
      </c>
      <c r="F3623" s="256" t="inlineStr">
        <is>
          <t>21.09.2026</t>
        </is>
      </c>
      <c r="G3623" s="256" t="inlineStr">
        <is>
          <t>9.3</t>
        </is>
      </c>
      <c r="H3623" s="256" t="inlineStr">
        <is>
          <t>Bile-tolerant gram-neg.</t>
        </is>
      </c>
      <c r="I3623" s="256" t="inlineStr">
        <is>
          <t>Ph. Eur. 2.6.31 cat. C</t>
        </is>
      </c>
      <c r="J3623" s="256" t="inlineStr">
        <is>
          <t>≤ 10⁴ CFU/g</t>
        </is>
      </c>
      <c r="K3623" s="256" t="inlineStr">
        <is>
          <t>&lt; 10</t>
        </is>
      </c>
      <c r="L3623" s="256" t="inlineStr">
        <is>
          <t>546/1077/26</t>
        </is>
      </c>
      <c r="M3623" s="256" t="inlineStr">
        <is>
          <t>31.08.2026</t>
        </is>
      </c>
      <c r="N3623" s="256" t="inlineStr">
        <is>
          <t>IPH — Institute of Public Health</t>
        </is>
      </c>
      <c r="O3623" s="256" t="inlineStr">
        <is>
          <t>25.08.2026</t>
        </is>
      </c>
      <c r="P3623" s="256" t="inlineStr">
        <is>
          <t>covered</t>
        </is>
      </c>
      <c r="Q3623" s="256" t="inlineStr"/>
      <c r="R3623" s="256" t="inlineStr"/>
    </row>
    <row r="3624">
      <c r="A3624" s="256" t="inlineStr">
        <is>
          <t>CoQ-PP_26-158</t>
        </is>
      </c>
      <c r="B3624" s="256" t="inlineStr">
        <is>
          <t>reissue — retest</t>
        </is>
      </c>
      <c r="C3624" s="256" t="inlineStr">
        <is>
          <t>OPM112501</t>
        </is>
      </c>
      <c r="D3624" s="256" t="inlineStr">
        <is>
          <t>— no P lot assigned —</t>
        </is>
      </c>
      <c r="E3624" s="256" t="inlineStr">
        <is>
          <t>Orange Punch Mimosa</t>
        </is>
      </c>
      <c r="F3624" s="256" t="inlineStr">
        <is>
          <t>21.09.2026</t>
        </is>
      </c>
      <c r="G3624" s="256" t="inlineStr">
        <is>
          <t>9.4</t>
        </is>
      </c>
      <c r="H3624" s="256" t="inlineStr">
        <is>
          <t>Salmonella</t>
        </is>
      </c>
      <c r="I3624" s="256" t="inlineStr">
        <is>
          <t>Ph. Eur. 2.6.31 cat. C</t>
        </is>
      </c>
      <c r="J3624" s="256" t="inlineStr">
        <is>
          <t>Absence | Отсуство / 25 g</t>
        </is>
      </c>
      <c r="K3624" s="256" t="inlineStr">
        <is>
          <t>Absent | Отсутна</t>
        </is>
      </c>
      <c r="L3624" s="256" t="inlineStr">
        <is>
          <t>546/1077/26</t>
        </is>
      </c>
      <c r="M3624" s="256" t="inlineStr">
        <is>
          <t>31.08.2026</t>
        </is>
      </c>
      <c r="N3624" s="256" t="inlineStr">
        <is>
          <t>IPH — Institute of Public Health</t>
        </is>
      </c>
      <c r="O3624" s="256" t="inlineStr">
        <is>
          <t>25.08.2026</t>
        </is>
      </c>
      <c r="P3624" s="256" t="inlineStr">
        <is>
          <t>covered</t>
        </is>
      </c>
      <c r="Q3624" s="256" t="inlineStr"/>
      <c r="R3624" s="256" t="inlineStr"/>
    </row>
    <row r="3625">
      <c r="A3625" s="256" t="inlineStr">
        <is>
          <t>CoQ-PP_26-158</t>
        </is>
      </c>
      <c r="B3625" s="256" t="inlineStr">
        <is>
          <t>reissue — retest</t>
        </is>
      </c>
      <c r="C3625" s="256" t="inlineStr">
        <is>
          <t>OPM112501</t>
        </is>
      </c>
      <c r="D3625" s="256" t="inlineStr">
        <is>
          <t>— no P lot assigned —</t>
        </is>
      </c>
      <c r="E3625" s="256" t="inlineStr">
        <is>
          <t>Orange Punch Mimosa</t>
        </is>
      </c>
      <c r="F3625" s="256" t="inlineStr">
        <is>
          <t>21.09.2026</t>
        </is>
      </c>
      <c r="G3625" s="256" t="inlineStr">
        <is>
          <t>9.5</t>
        </is>
      </c>
      <c r="H3625" s="256" t="inlineStr">
        <is>
          <t>Escherichia coli</t>
        </is>
      </c>
      <c r="I3625" s="256" t="inlineStr">
        <is>
          <t>Ph. Eur. 2.6.13 cat. C</t>
        </is>
      </c>
      <c r="J3625" s="256" t="inlineStr">
        <is>
          <t>Absence | Отсуство / 1 g</t>
        </is>
      </c>
      <c r="K3625" s="256" t="inlineStr">
        <is>
          <t>Absent | Отсутна</t>
        </is>
      </c>
      <c r="L3625" s="256" t="inlineStr">
        <is>
          <t>546/1077/26</t>
        </is>
      </c>
      <c r="M3625" s="256" t="inlineStr">
        <is>
          <t>31.08.2026</t>
        </is>
      </c>
      <c r="N3625" s="256" t="inlineStr">
        <is>
          <t>IPH — Institute of Public Health</t>
        </is>
      </c>
      <c r="O3625" s="256" t="inlineStr">
        <is>
          <t>25.08.2026</t>
        </is>
      </c>
      <c r="P3625" s="256" t="inlineStr">
        <is>
          <t>covered</t>
        </is>
      </c>
      <c r="Q3625" s="256" t="inlineStr"/>
      <c r="R3625" s="256" t="inlineStr"/>
    </row>
    <row r="3626">
      <c r="A3626" s="256" t="inlineStr">
        <is>
          <t>CoQ-PP_26-158</t>
        </is>
      </c>
      <c r="B3626" s="256" t="inlineStr">
        <is>
          <t>reissue — retest</t>
        </is>
      </c>
      <c r="C3626" s="256" t="inlineStr">
        <is>
          <t>OPM112501</t>
        </is>
      </c>
      <c r="D3626" s="256" t="inlineStr">
        <is>
          <t>— no P lot assigned —</t>
        </is>
      </c>
      <c r="E3626" s="256" t="inlineStr">
        <is>
          <t>Orange Punch Mimosa</t>
        </is>
      </c>
      <c r="F3626" s="256" t="inlineStr">
        <is>
          <t>21.09.2026</t>
        </is>
      </c>
      <c r="G3626" s="256" t="inlineStr">
        <is>
          <t>9.6</t>
        </is>
      </c>
      <c r="H3626" s="256" t="inlineStr">
        <is>
          <t>Pseudomonas aeruginosa</t>
        </is>
      </c>
      <c r="I3626" s="256" t="inlineStr">
        <is>
          <t>Ph. Eur. 2.6.13 cat. C</t>
        </is>
      </c>
      <c r="J3626" s="256" t="inlineStr">
        <is>
          <t>Absence | Отсуство / 1 g</t>
        </is>
      </c>
      <c r="K3626" s="260" t="inlineStr">
        <is>
          <t>upon request — not required for release</t>
        </is>
      </c>
      <c r="L3626" s="256" t="inlineStr">
        <is>
          <t>—</t>
        </is>
      </c>
      <c r="M3626" s="256" t="inlineStr">
        <is>
          <t>—</t>
        </is>
      </c>
      <c r="N3626" s="256" t="inlineStr">
        <is>
          <t>—</t>
        </is>
      </c>
      <c r="O3626" s="256" t="inlineStr">
        <is>
          <t>—</t>
        </is>
      </c>
      <c r="P3626" s="256" t="inlineStr">
        <is>
          <t>upon request — not required for release</t>
        </is>
      </c>
      <c r="Q3626" s="256" t="inlineStr"/>
      <c r="R3626" s="256" t="inlineStr"/>
    </row>
    <row r="3627">
      <c r="A3627" s="256" t="inlineStr">
        <is>
          <t>CoQ-PP_26-158</t>
        </is>
      </c>
      <c r="B3627" s="256" t="inlineStr">
        <is>
          <t>reissue — retest</t>
        </is>
      </c>
      <c r="C3627" s="256" t="inlineStr">
        <is>
          <t>OPM112501</t>
        </is>
      </c>
      <c r="D3627" s="256" t="inlineStr">
        <is>
          <t>— no P lot assigned —</t>
        </is>
      </c>
      <c r="E3627" s="256" t="inlineStr">
        <is>
          <t>Orange Punch Mimosa</t>
        </is>
      </c>
      <c r="F3627" s="256" t="inlineStr">
        <is>
          <t>21.09.2026</t>
        </is>
      </c>
      <c r="G3627" s="256" t="inlineStr">
        <is>
          <t>9.7</t>
        </is>
      </c>
      <c r="H3627" s="256" t="inlineStr">
        <is>
          <t>Staphylococcus aureus</t>
        </is>
      </c>
      <c r="I3627" s="256" t="inlineStr">
        <is>
          <t>Ph. Eur. 2.6.13 cat. C</t>
        </is>
      </c>
      <c r="J3627" s="256" t="inlineStr">
        <is>
          <t>Absence | Отсуство / 1 g</t>
        </is>
      </c>
      <c r="K3627" s="260" t="inlineStr">
        <is>
          <t>upon request — not required for release</t>
        </is>
      </c>
      <c r="L3627" s="256" t="inlineStr">
        <is>
          <t>—</t>
        </is>
      </c>
      <c r="M3627" s="256" t="inlineStr">
        <is>
          <t>—</t>
        </is>
      </c>
      <c r="N3627" s="256" t="inlineStr">
        <is>
          <t>—</t>
        </is>
      </c>
      <c r="O3627" s="256" t="inlineStr">
        <is>
          <t>—</t>
        </is>
      </c>
      <c r="P3627" s="256" t="inlineStr">
        <is>
          <t>upon request — not required for release</t>
        </is>
      </c>
      <c r="Q3627" s="256" t="inlineStr"/>
      <c r="R3627" s="256" t="inlineStr"/>
    </row>
    <row r="3628">
      <c r="A3628" s="256" t="inlineStr">
        <is>
          <t>CoQ-PP_26-158</t>
        </is>
      </c>
      <c r="B3628" s="256" t="inlineStr">
        <is>
          <t>reissue — retest</t>
        </is>
      </c>
      <c r="C3628" s="256" t="inlineStr">
        <is>
          <t>OPM112501</t>
        </is>
      </c>
      <c r="D3628" s="256" t="inlineStr">
        <is>
          <t>— no P lot assigned —</t>
        </is>
      </c>
      <c r="E3628" s="256" t="inlineStr">
        <is>
          <t>Orange Punch Mimosa</t>
        </is>
      </c>
      <c r="F3628" s="256" t="inlineStr">
        <is>
          <t>21.09.2026</t>
        </is>
      </c>
      <c r="G3628" s="256" t="inlineStr">
        <is>
          <t>10.1</t>
        </is>
      </c>
      <c r="H3628" s="256" t="inlineStr">
        <is>
          <t>Aflatoxin B₁</t>
        </is>
      </c>
      <c r="I3628" s="256" t="inlineStr">
        <is>
          <t>Ph. Eur. 2.8.18 (HPLC-FLD)</t>
        </is>
      </c>
      <c r="J3628" s="256" t="inlineStr">
        <is>
          <t>≤ 2 µg/kg</t>
        </is>
      </c>
      <c r="K3628" s="256" t="inlineStr">
        <is>
          <t>ND</t>
        </is>
      </c>
      <c r="L3628" s="256" t="inlineStr">
        <is>
          <t>227-10-М/26</t>
        </is>
      </c>
      <c r="M3628" s="256" t="inlineStr">
        <is>
          <t>16.09.2026</t>
        </is>
      </c>
      <c r="N3628" s="256" t="inlineStr">
        <is>
          <t>Farmahem</t>
        </is>
      </c>
      <c r="O3628" s="256" t="inlineStr">
        <is>
          <t>—</t>
        </is>
      </c>
      <c r="P3628" s="256" t="inlineStr">
        <is>
          <t>covered</t>
        </is>
      </c>
      <c r="Q3628" s="256" t="inlineStr"/>
      <c r="R3628" s="256" t="inlineStr"/>
    </row>
    <row r="3629">
      <c r="A3629" s="256" t="inlineStr">
        <is>
          <t>CoQ-PP_26-158</t>
        </is>
      </c>
      <c r="B3629" s="256" t="inlineStr">
        <is>
          <t>reissue — retest</t>
        </is>
      </c>
      <c r="C3629" s="256" t="inlineStr">
        <is>
          <t>OPM112501</t>
        </is>
      </c>
      <c r="D3629" s="256" t="inlineStr">
        <is>
          <t>— no P lot assigned —</t>
        </is>
      </c>
      <c r="E3629" s="256" t="inlineStr">
        <is>
          <t>Orange Punch Mimosa</t>
        </is>
      </c>
      <c r="F3629" s="256" t="inlineStr">
        <is>
          <t>21.09.2026</t>
        </is>
      </c>
      <c r="G3629" s="256" t="inlineStr">
        <is>
          <t>10.2</t>
        </is>
      </c>
      <c r="H3629" s="256" t="inlineStr">
        <is>
          <t>Aflatoxins ∑</t>
        </is>
      </c>
      <c r="I3629" s="256" t="inlineStr">
        <is>
          <t>Ph. Eur. 2.8.18 (HPLC-FLD)</t>
        </is>
      </c>
      <c r="J3629" s="256" t="inlineStr">
        <is>
          <t>≤ 4 µg/kg</t>
        </is>
      </c>
      <c r="K3629" s="256" t="inlineStr">
        <is>
          <t>ND</t>
        </is>
      </c>
      <c r="L3629" s="256" t="inlineStr">
        <is>
          <t>227-10-М/26</t>
        </is>
      </c>
      <c r="M3629" s="256" t="inlineStr">
        <is>
          <t>16.09.2026</t>
        </is>
      </c>
      <c r="N3629" s="256" t="inlineStr">
        <is>
          <t>Farmahem</t>
        </is>
      </c>
      <c r="O3629" s="256" t="inlineStr">
        <is>
          <t>—</t>
        </is>
      </c>
      <c r="P3629" s="256" t="inlineStr">
        <is>
          <t>covered</t>
        </is>
      </c>
      <c r="Q3629" s="256" t="inlineStr"/>
      <c r="R3629" s="256" t="inlineStr"/>
    </row>
    <row r="3630">
      <c r="A3630" s="256" t="inlineStr">
        <is>
          <t>CoQ-PP_26-158</t>
        </is>
      </c>
      <c r="B3630" s="256" t="inlineStr">
        <is>
          <t>reissue — retest</t>
        </is>
      </c>
      <c r="C3630" s="256" t="inlineStr">
        <is>
          <t>OPM112501</t>
        </is>
      </c>
      <c r="D3630" s="256" t="inlineStr">
        <is>
          <t>— no P lot assigned —</t>
        </is>
      </c>
      <c r="E3630" s="256" t="inlineStr">
        <is>
          <t>Orange Punch Mimosa</t>
        </is>
      </c>
      <c r="F3630" s="256" t="inlineStr">
        <is>
          <t>21.09.2026</t>
        </is>
      </c>
      <c r="G3630" s="256" t="inlineStr">
        <is>
          <t>10.3</t>
        </is>
      </c>
      <c r="H3630" s="256" t="inlineStr">
        <is>
          <t>Ochratoxin A</t>
        </is>
      </c>
      <c r="I3630" s="256" t="inlineStr">
        <is>
          <t>Ph. Eur. 2.8.22 (HPLC-FLD)</t>
        </is>
      </c>
      <c r="J3630" s="256" t="inlineStr">
        <is>
          <t>≤ 20 µg/kg</t>
        </is>
      </c>
      <c r="K3630" s="256" t="inlineStr">
        <is>
          <t>ND</t>
        </is>
      </c>
      <c r="L3630" s="256" t="inlineStr">
        <is>
          <t>227-10-М/26</t>
        </is>
      </c>
      <c r="M3630" s="256" t="inlineStr">
        <is>
          <t>16.09.2026</t>
        </is>
      </c>
      <c r="N3630" s="256" t="inlineStr">
        <is>
          <t>Farmahem</t>
        </is>
      </c>
      <c r="O3630" s="256" t="inlineStr">
        <is>
          <t>—</t>
        </is>
      </c>
      <c r="P3630" s="256" t="inlineStr">
        <is>
          <t>covered</t>
        </is>
      </c>
      <c r="Q3630" s="256" t="inlineStr"/>
      <c r="R3630" s="256" t="inlineStr"/>
    </row>
    <row r="3631">
      <c r="A3631" s="256" t="inlineStr">
        <is>
          <t>CoQ-PP_26-158</t>
        </is>
      </c>
      <c r="B3631" s="256" t="inlineStr">
        <is>
          <t>reissue — retest</t>
        </is>
      </c>
      <c r="C3631" s="256" t="inlineStr">
        <is>
          <t>OPM112501</t>
        </is>
      </c>
      <c r="D3631" s="256" t="inlineStr">
        <is>
          <t>— no P lot assigned —</t>
        </is>
      </c>
      <c r="E3631" s="256" t="inlineStr">
        <is>
          <t>Orange Punch Mimosa</t>
        </is>
      </c>
      <c r="F3631" s="256" t="inlineStr">
        <is>
          <t>21.09.2026</t>
        </is>
      </c>
      <c r="G3631" s="256" t="inlineStr">
        <is>
          <t>11.1</t>
        </is>
      </c>
      <c r="H3631" s="256" t="inlineStr">
        <is>
          <t>Lead (Pb)</t>
        </is>
      </c>
      <c r="I3631" s="256" t="inlineStr">
        <is>
          <t>Ph. Eur. 2.4.27 (ICP-MS)</t>
        </is>
      </c>
      <c r="J3631" s="256" t="inlineStr">
        <is>
          <t>≤ 0.5 mg/kg</t>
        </is>
      </c>
      <c r="K3631" s="256" t="inlineStr">
        <is>
          <t>carried from the initial testing — not tested</t>
        </is>
      </c>
      <c r="L3631" s="256" t="inlineStr">
        <is>
          <t>—</t>
        </is>
      </c>
      <c r="M3631" s="256" t="inlineStr">
        <is>
          <t>—</t>
        </is>
      </c>
      <c r="N3631" s="256" t="inlineStr">
        <is>
          <t>—</t>
        </is>
      </c>
      <c r="O3631" s="256" t="inlineStr">
        <is>
          <t>—</t>
        </is>
      </c>
      <c r="P3631" s="256" t="inlineStr">
        <is>
          <t>carried from the initial testing (the batch's initial CoQ (number assigned on issue)) — not tested — no certificate covers it</t>
        </is>
      </c>
      <c r="Q3631" s="256" t="inlineStr"/>
      <c r="R3631" s="256" t="inlineStr"/>
    </row>
    <row r="3632">
      <c r="A3632" s="256" t="inlineStr">
        <is>
          <t>CoQ-PP_26-158</t>
        </is>
      </c>
      <c r="B3632" s="256" t="inlineStr">
        <is>
          <t>reissue — retest</t>
        </is>
      </c>
      <c r="C3632" s="256" t="inlineStr">
        <is>
          <t>OPM112501</t>
        </is>
      </c>
      <c r="D3632" s="256" t="inlineStr">
        <is>
          <t>— no P lot assigned —</t>
        </is>
      </c>
      <c r="E3632" s="256" t="inlineStr">
        <is>
          <t>Orange Punch Mimosa</t>
        </is>
      </c>
      <c r="F3632" s="256" t="inlineStr">
        <is>
          <t>21.09.2026</t>
        </is>
      </c>
      <c r="G3632" s="256" t="inlineStr">
        <is>
          <t>11.2</t>
        </is>
      </c>
      <c r="H3632" s="256" t="inlineStr">
        <is>
          <t>Cadmium (Cd)</t>
        </is>
      </c>
      <c r="I3632" s="256" t="inlineStr">
        <is>
          <t>Ph. Eur. 2.4.27 (ICP-MS)</t>
        </is>
      </c>
      <c r="J3632" s="256" t="inlineStr">
        <is>
          <t>≤ 0.3 mg/kg</t>
        </is>
      </c>
      <c r="K3632" s="256" t="inlineStr">
        <is>
          <t>carried from the initial testing — not tested</t>
        </is>
      </c>
      <c r="L3632" s="256" t="inlineStr">
        <is>
          <t>—</t>
        </is>
      </c>
      <c r="M3632" s="256" t="inlineStr">
        <is>
          <t>—</t>
        </is>
      </c>
      <c r="N3632" s="256" t="inlineStr">
        <is>
          <t>—</t>
        </is>
      </c>
      <c r="O3632" s="256" t="inlineStr">
        <is>
          <t>—</t>
        </is>
      </c>
      <c r="P3632" s="256" t="inlineStr">
        <is>
          <t>carried from the initial testing (the batch's initial CoQ (number assigned on issue)) — not tested — no certificate covers it</t>
        </is>
      </c>
      <c r="Q3632" s="256" t="inlineStr"/>
      <c r="R3632" s="256" t="inlineStr"/>
    </row>
    <row r="3633">
      <c r="A3633" s="256" t="inlineStr">
        <is>
          <t>CoQ-PP_26-158</t>
        </is>
      </c>
      <c r="B3633" s="256" t="inlineStr">
        <is>
          <t>reissue — retest</t>
        </is>
      </c>
      <c r="C3633" s="256" t="inlineStr">
        <is>
          <t>OPM112501</t>
        </is>
      </c>
      <c r="D3633" s="256" t="inlineStr">
        <is>
          <t>— no P lot assigned —</t>
        </is>
      </c>
      <c r="E3633" s="256" t="inlineStr">
        <is>
          <t>Orange Punch Mimosa</t>
        </is>
      </c>
      <c r="F3633" s="256" t="inlineStr">
        <is>
          <t>21.09.2026</t>
        </is>
      </c>
      <c r="G3633" s="256" t="inlineStr">
        <is>
          <t>11.3</t>
        </is>
      </c>
      <c r="H3633" s="256" t="inlineStr">
        <is>
          <t>Arsenic (As)</t>
        </is>
      </c>
      <c r="I3633" s="256" t="inlineStr">
        <is>
          <t>Ph. Eur. 2.4.27 (ICP-MS)</t>
        </is>
      </c>
      <c r="J3633" s="256" t="inlineStr">
        <is>
          <t>≤ 0.2 mg/kg</t>
        </is>
      </c>
      <c r="K3633" s="256" t="inlineStr">
        <is>
          <t>carried from the initial testing — not tested</t>
        </is>
      </c>
      <c r="L3633" s="256" t="inlineStr">
        <is>
          <t>—</t>
        </is>
      </c>
      <c r="M3633" s="256" t="inlineStr">
        <is>
          <t>—</t>
        </is>
      </c>
      <c r="N3633" s="256" t="inlineStr">
        <is>
          <t>—</t>
        </is>
      </c>
      <c r="O3633" s="256" t="inlineStr">
        <is>
          <t>—</t>
        </is>
      </c>
      <c r="P3633" s="256" t="inlineStr">
        <is>
          <t>carried from the initial testing (the batch's initial CoQ (number assigned on issue)) — not tested — no certificate covers it</t>
        </is>
      </c>
      <c r="Q3633" s="256" t="inlineStr"/>
      <c r="R3633" s="256" t="inlineStr"/>
    </row>
    <row r="3634">
      <c r="A3634" s="256" t="inlineStr">
        <is>
          <t>CoQ-PP_26-158</t>
        </is>
      </c>
      <c r="B3634" s="256" t="inlineStr">
        <is>
          <t>reissue — retest</t>
        </is>
      </c>
      <c r="C3634" s="256" t="inlineStr">
        <is>
          <t>OPM112501</t>
        </is>
      </c>
      <c r="D3634" s="256" t="inlineStr">
        <is>
          <t>— no P lot assigned —</t>
        </is>
      </c>
      <c r="E3634" s="256" t="inlineStr">
        <is>
          <t>Orange Punch Mimosa</t>
        </is>
      </c>
      <c r="F3634" s="256" t="inlineStr">
        <is>
          <t>21.09.2026</t>
        </is>
      </c>
      <c r="G3634" s="256" t="inlineStr">
        <is>
          <t>11.4</t>
        </is>
      </c>
      <c r="H3634" s="256" t="inlineStr">
        <is>
          <t>Mercury (Hg)</t>
        </is>
      </c>
      <c r="I3634" s="256" t="inlineStr">
        <is>
          <t>Ph. Eur. 2.4.27 (ICP-MS)</t>
        </is>
      </c>
      <c r="J3634" s="256" t="inlineStr">
        <is>
          <t>≤ 0.1 mg/kg</t>
        </is>
      </c>
      <c r="K3634" s="256" t="inlineStr">
        <is>
          <t>carried from the initial testing — not tested</t>
        </is>
      </c>
      <c r="L3634" s="256" t="inlineStr">
        <is>
          <t>—</t>
        </is>
      </c>
      <c r="M3634" s="256" t="inlineStr">
        <is>
          <t>—</t>
        </is>
      </c>
      <c r="N3634" s="256" t="inlineStr">
        <is>
          <t>—</t>
        </is>
      </c>
      <c r="O3634" s="256" t="inlineStr">
        <is>
          <t>—</t>
        </is>
      </c>
      <c r="P3634" s="256" t="inlineStr">
        <is>
          <t>carried from the initial testing (the batch's initial CoQ (number assigned on issue)) — not tested — no certificate covers it</t>
        </is>
      </c>
      <c r="Q3634" s="256" t="inlineStr"/>
      <c r="R3634" s="256" t="inlineStr"/>
    </row>
    <row r="3635">
      <c r="A3635" s="256" t="inlineStr">
        <is>
          <t>CoQ-PP_26-158</t>
        </is>
      </c>
      <c r="B3635" s="256" t="inlineStr">
        <is>
          <t>reissue — retest</t>
        </is>
      </c>
      <c r="C3635" s="256" t="inlineStr">
        <is>
          <t>OPM112501</t>
        </is>
      </c>
      <c r="D3635" s="256" t="inlineStr">
        <is>
          <t>— no P lot assigned —</t>
        </is>
      </c>
      <c r="E3635" s="256" t="inlineStr">
        <is>
          <t>Orange Punch Mimosa</t>
        </is>
      </c>
      <c r="F3635" s="256" t="inlineStr">
        <is>
          <t>21.09.2026</t>
        </is>
      </c>
      <c r="G3635" s="256" t="inlineStr">
        <is>
          <t>12</t>
        </is>
      </c>
      <c r="H3635" s="256" t="inlineStr">
        <is>
          <t>Pesticide Residues</t>
        </is>
      </c>
      <c r="I3635" s="256" t="inlineStr">
        <is>
          <t>Ph. Eur. 2.8.13 (LC-MS/MS) · CUMCS Equivalency</t>
        </is>
      </c>
      <c r="J3635" s="256" t="inlineStr">
        <is>
          <t>≤ LOQ as per Ph. Eur. 2.8.13 · ≤ LOQ as per CUMCS Equivalency</t>
        </is>
      </c>
      <c r="K3635" s="256" t="inlineStr">
        <is>
          <t>carried from the initial testing — not tested</t>
        </is>
      </c>
      <c r="L3635" s="256" t="inlineStr">
        <is>
          <t>—</t>
        </is>
      </c>
      <c r="M3635" s="256" t="inlineStr">
        <is>
          <t>—</t>
        </is>
      </c>
      <c r="N3635" s="256" t="inlineStr">
        <is>
          <t>—</t>
        </is>
      </c>
      <c r="O3635" s="256" t="inlineStr">
        <is>
          <t>—</t>
        </is>
      </c>
      <c r="P3635" s="256" t="inlineStr">
        <is>
          <t>carried from the initial testing (the batch's initial CoQ (number assigned on issue)) — not tested — no certificate covers it</t>
        </is>
      </c>
      <c r="Q3635" s="256" t="inlineStr"/>
      <c r="R3635" s="256" t="inlineStr"/>
    </row>
    <row r="3636">
      <c r="A3636" s="256" t="inlineStr">
        <is>
          <t>CoQ-PP_26-159</t>
        </is>
      </c>
      <c r="B3636" s="256" t="inlineStr">
        <is>
          <t>reissue — retest</t>
        </is>
      </c>
      <c r="C3636" s="256" t="inlineStr">
        <is>
          <t>PM072501</t>
        </is>
      </c>
      <c r="D3636" s="256" t="inlineStr">
        <is>
          <t>P050272</t>
        </is>
      </c>
      <c r="E3636" s="256" t="inlineStr">
        <is>
          <t>Permanent Marker</t>
        </is>
      </c>
      <c r="F3636" s="256" t="inlineStr">
        <is>
          <t>21.09.2026</t>
        </is>
      </c>
      <c r="G3636" s="256" t="inlineStr">
        <is>
          <t>1</t>
        </is>
      </c>
      <c r="H3636" s="256" t="inlineStr">
        <is>
          <t>Identification A, Appearance · Macroscopic</t>
        </is>
      </c>
      <c r="I3636" s="256" t="inlineStr">
        <is>
          <t>Ph. Eur. mon. 3028</t>
        </is>
      </c>
      <c r="J3636" s="256" t="inlineStr">
        <is>
          <t>Conforms to the monograph for Cannabis flos (07/2024:3028) in Ph. Eur. 11.0 | Согласно монографија за Cannabis flos (07/2024:3028) во Ph. Eur. 11.0</t>
        </is>
      </c>
      <c r="K3636" s="256" t="inlineStr">
        <is>
          <t>Conforms | Одговара</t>
        </is>
      </c>
      <c r="L3636" s="256" t="inlineStr">
        <is>
          <t>iCoA-PP_26-158</t>
        </is>
      </c>
      <c r="M3636" s="256" t="inlineStr">
        <is>
          <t>24.08.2026</t>
        </is>
      </c>
      <c r="N3636" s="256" t="inlineStr">
        <is>
          <t>Purely Plant GmbH (in-house)</t>
        </is>
      </c>
      <c r="O3636" s="256" t="inlineStr">
        <is>
          <t>—</t>
        </is>
      </c>
      <c r="P3636" s="256" t="inlineStr">
        <is>
          <t>covered</t>
        </is>
      </c>
      <c r="Q3636" s="256" t="inlineStr">
        <is>
          <t>Farmahem — Ident A + B + C with the Assay, at retest</t>
        </is>
      </c>
      <c r="R3636" s="256" t="inlineStr"/>
    </row>
    <row r="3637">
      <c r="A3637" s="256" t="inlineStr">
        <is>
          <t>CoQ-PP_26-159</t>
        </is>
      </c>
      <c r="B3637" s="256" t="inlineStr">
        <is>
          <t>reissue — retest</t>
        </is>
      </c>
      <c r="C3637" s="256" t="inlineStr">
        <is>
          <t>PM072501</t>
        </is>
      </c>
      <c r="D3637" s="256" t="inlineStr">
        <is>
          <t>P050272</t>
        </is>
      </c>
      <c r="E3637" s="256" t="inlineStr">
        <is>
          <t>Permanent Marker</t>
        </is>
      </c>
      <c r="F3637" s="256" t="inlineStr">
        <is>
          <t>21.09.2026</t>
        </is>
      </c>
      <c r="G3637" s="256" t="inlineStr">
        <is>
          <t>2</t>
        </is>
      </c>
      <c r="H3637" s="256" t="inlineStr">
        <is>
          <t>Identification B · Microscopic</t>
        </is>
      </c>
      <c r="I3637" s="256" t="inlineStr">
        <is>
          <t>Ph. Eur. 2.8.23 (microscopy)</t>
        </is>
      </c>
      <c r="J3637" s="256" t="inlineStr">
        <is>
          <t>Conforms to the monograph for Cannabis flos (07/2024:3028) in Ph. Eur. 11.0 | Согласно монографија за Cannabis flos (07/2024:3028) во Ph. Eur. 11.0</t>
        </is>
      </c>
      <c r="K3637" s="256" t="inlineStr">
        <is>
          <t>Conforms | Одговара</t>
        </is>
      </c>
      <c r="L3637" s="256" t="inlineStr">
        <is>
          <t>iCoA-PP_26-158</t>
        </is>
      </c>
      <c r="M3637" s="256" t="inlineStr">
        <is>
          <t>24.08.2026</t>
        </is>
      </c>
      <c r="N3637" s="256" t="inlineStr">
        <is>
          <t>Purely Plant GmbH (in-house)</t>
        </is>
      </c>
      <c r="O3637" s="256" t="inlineStr">
        <is>
          <t>—</t>
        </is>
      </c>
      <c r="P3637" s="256" t="inlineStr">
        <is>
          <t>to be performed — see route</t>
        </is>
      </c>
      <c r="Q3637" s="256" t="inlineStr">
        <is>
          <t>Farmahem — Ident A + B + C with the Assay, at retest</t>
        </is>
      </c>
      <c r="R3637" s="256" t="inlineStr"/>
    </row>
    <row r="3638">
      <c r="A3638" s="256" t="inlineStr">
        <is>
          <t>CoQ-PP_26-159</t>
        </is>
      </c>
      <c r="B3638" s="256" t="inlineStr">
        <is>
          <t>reissue — retest</t>
        </is>
      </c>
      <c r="C3638" s="256" t="inlineStr">
        <is>
          <t>PM072501</t>
        </is>
      </c>
      <c r="D3638" s="256" t="inlineStr">
        <is>
          <t>P050272</t>
        </is>
      </c>
      <c r="E3638" s="256" t="inlineStr">
        <is>
          <t>Permanent Marker</t>
        </is>
      </c>
      <c r="F3638" s="256" t="inlineStr">
        <is>
          <t>21.09.2026</t>
        </is>
      </c>
      <c r="G3638" s="256" t="inlineStr">
        <is>
          <t>3</t>
        </is>
      </c>
      <c r="H3638" s="256" t="inlineStr">
        <is>
          <t>Identification C · HPLC/HPTLC</t>
        </is>
      </c>
      <c r="I3638" s="256" t="inlineStr">
        <is>
          <t>Ph. Eur. 2.2.29 (3028)</t>
        </is>
      </c>
      <c r="J3638" s="256" t="inlineStr">
        <is>
          <t>Conforms to the monograph for Cannabis flos (07/2024:3028) in Ph. Eur. 11.0 | Согласно монографија за Cannabis flos (07/2024:3028) во Ph. Eur. 11.0</t>
        </is>
      </c>
      <c r="K3638" s="256" t="inlineStr">
        <is>
          <t>Conforms | Одговара</t>
        </is>
      </c>
      <c r="L3638" s="256" t="inlineStr">
        <is>
          <t>227-9-К/26</t>
        </is>
      </c>
      <c r="M3638" s="256" t="inlineStr">
        <is>
          <t>11.09.2026</t>
        </is>
      </c>
      <c r="N3638" s="256" t="inlineStr">
        <is>
          <t>Farmahem</t>
        </is>
      </c>
      <c r="O3638" s="256" t="inlineStr">
        <is>
          <t>24.08.2026</t>
        </is>
      </c>
      <c r="P3638" s="256" t="inlineStr">
        <is>
          <t>covered</t>
        </is>
      </c>
      <c r="Q3638" s="256" t="inlineStr"/>
      <c r="R3638" s="256" t="inlineStr"/>
    </row>
    <row r="3639">
      <c r="A3639" s="256" t="inlineStr">
        <is>
          <t>CoQ-PP_26-159</t>
        </is>
      </c>
      <c r="B3639" s="256" t="inlineStr">
        <is>
          <t>reissue — retest</t>
        </is>
      </c>
      <c r="C3639" s="256" t="inlineStr">
        <is>
          <t>PM072501</t>
        </is>
      </c>
      <c r="D3639" s="256" t="inlineStr">
        <is>
          <t>P050272</t>
        </is>
      </c>
      <c r="E3639" s="256" t="inlineStr">
        <is>
          <t>Permanent Marker</t>
        </is>
      </c>
      <c r="F3639" s="256" t="inlineStr">
        <is>
          <t>21.09.2026</t>
        </is>
      </c>
      <c r="G3639" s="256" t="inlineStr">
        <is>
          <t>4</t>
        </is>
      </c>
      <c r="H3639" s="256" t="inlineStr">
        <is>
          <t>Assay — Total Δ⁹-THC</t>
        </is>
      </c>
      <c r="I3639" s="256" t="inlineStr">
        <is>
          <t>Ph. Eur. 2.2.29 (HPLC)</t>
        </is>
      </c>
      <c r="J3639" s="256" t="inlineStr">
        <is>
          <t>11.00 – 12.99 %  (grade II, nominal 12.00 ± 1.00)</t>
        </is>
      </c>
      <c r="K3639" s="256" t="inlineStr">
        <is>
          <t>12.77</t>
        </is>
      </c>
      <c r="L3639" s="256" t="inlineStr">
        <is>
          <t>227-9-К/26</t>
        </is>
      </c>
      <c r="M3639" s="256" t="inlineStr">
        <is>
          <t>11.09.2026</t>
        </is>
      </c>
      <c r="N3639" s="256" t="inlineStr">
        <is>
          <t>Farmahem</t>
        </is>
      </c>
      <c r="O3639" s="256" t="inlineStr">
        <is>
          <t>24.08.2026</t>
        </is>
      </c>
      <c r="P3639" s="256" t="inlineStr">
        <is>
          <t>covered</t>
        </is>
      </c>
      <c r="Q3639" s="256" t="inlineStr"/>
      <c r="R3639" s="256" t="inlineStr"/>
    </row>
    <row r="3640">
      <c r="A3640" s="256" t="inlineStr">
        <is>
          <t>CoQ-PP_26-159</t>
        </is>
      </c>
      <c r="B3640" s="256" t="inlineStr">
        <is>
          <t>reissue — retest</t>
        </is>
      </c>
      <c r="C3640" s="256" t="inlineStr">
        <is>
          <t>PM072501</t>
        </is>
      </c>
      <c r="D3640" s="256" t="inlineStr">
        <is>
          <t>P050272</t>
        </is>
      </c>
      <c r="E3640" s="256" t="inlineStr">
        <is>
          <t>Permanent Marker</t>
        </is>
      </c>
      <c r="F3640" s="256" t="inlineStr">
        <is>
          <t>21.09.2026</t>
        </is>
      </c>
      <c r="G3640" s="256" t="inlineStr">
        <is>
          <t>5</t>
        </is>
      </c>
      <c r="H3640" s="256" t="inlineStr">
        <is>
          <t>Assay — Total CBD</t>
        </is>
      </c>
      <c r="I3640" s="256" t="inlineStr">
        <is>
          <t>Ph. Eur. 2.2.29 (HPLC) · CBD + CBDA x 0.877</t>
        </is>
      </c>
      <c r="J3640" s="256" t="inlineStr">
        <is>
          <t>≤ 1.0%, w/w</t>
        </is>
      </c>
      <c r="K3640" s="256" t="inlineStr">
        <is>
          <t>&lt; LOQ</t>
        </is>
      </c>
      <c r="L3640" s="256" t="inlineStr">
        <is>
          <t>227-9-К/26</t>
        </is>
      </c>
      <c r="M3640" s="256" t="inlineStr">
        <is>
          <t>11.09.2026</t>
        </is>
      </c>
      <c r="N3640" s="256" t="inlineStr">
        <is>
          <t>Farmahem</t>
        </is>
      </c>
      <c r="O3640" s="256" t="inlineStr">
        <is>
          <t>24.08.2026</t>
        </is>
      </c>
      <c r="P3640" s="256" t="inlineStr">
        <is>
          <t>covered</t>
        </is>
      </c>
      <c r="Q3640" s="256" t="inlineStr"/>
      <c r="R3640" s="256" t="inlineStr"/>
    </row>
    <row r="3641">
      <c r="A3641" s="256" t="inlineStr">
        <is>
          <t>CoQ-PP_26-159</t>
        </is>
      </c>
      <c r="B3641" s="256" t="inlineStr">
        <is>
          <t>reissue — retest</t>
        </is>
      </c>
      <c r="C3641" s="256" t="inlineStr">
        <is>
          <t>PM072501</t>
        </is>
      </c>
      <c r="D3641" s="256" t="inlineStr">
        <is>
          <t>P050272</t>
        </is>
      </c>
      <c r="E3641" s="256" t="inlineStr">
        <is>
          <t>Permanent Marker</t>
        </is>
      </c>
      <c r="F3641" s="256" t="inlineStr">
        <is>
          <t>21.09.2026</t>
        </is>
      </c>
      <c r="G3641" s="256" t="inlineStr">
        <is>
          <t>6</t>
        </is>
      </c>
      <c r="H3641" s="256" t="inlineStr">
        <is>
          <t>Total CBN</t>
        </is>
      </c>
      <c r="I3641" s="256" t="inlineStr">
        <is>
          <t>Ph. Eur. 2.2.29 (HPLC) · CBN + CBNA x 0.876</t>
        </is>
      </c>
      <c r="J3641" s="256" t="inlineStr">
        <is>
          <t>≤ 1.0%, w/w</t>
        </is>
      </c>
      <c r="K3641" s="256" t="inlineStr">
        <is>
          <t>&lt; LOQ</t>
        </is>
      </c>
      <c r="L3641" s="256" t="inlineStr">
        <is>
          <t>227-9-К/26</t>
        </is>
      </c>
      <c r="M3641" s="256" t="inlineStr">
        <is>
          <t>11.09.2026</t>
        </is>
      </c>
      <c r="N3641" s="256" t="inlineStr">
        <is>
          <t>Farmahem</t>
        </is>
      </c>
      <c r="O3641" s="256" t="inlineStr">
        <is>
          <t>24.08.2026</t>
        </is>
      </c>
      <c r="P3641" s="256" t="inlineStr">
        <is>
          <t>covered</t>
        </is>
      </c>
      <c r="Q3641" s="256" t="inlineStr"/>
      <c r="R3641" s="256" t="inlineStr"/>
    </row>
    <row r="3642">
      <c r="A3642" s="256" t="inlineStr">
        <is>
          <t>CoQ-PP_26-159</t>
        </is>
      </c>
      <c r="B3642" s="256" t="inlineStr">
        <is>
          <t>reissue — retest</t>
        </is>
      </c>
      <c r="C3642" s="256" t="inlineStr">
        <is>
          <t>PM072501</t>
        </is>
      </c>
      <c r="D3642" s="256" t="inlineStr">
        <is>
          <t>P050272</t>
        </is>
      </c>
      <c r="E3642" s="256" t="inlineStr">
        <is>
          <t>Permanent Marker</t>
        </is>
      </c>
      <c r="F3642" s="256" t="inlineStr">
        <is>
          <t>21.09.2026</t>
        </is>
      </c>
      <c r="G3642" s="256" t="inlineStr">
        <is>
          <t>7</t>
        </is>
      </c>
      <c r="H3642" s="256" t="inlineStr">
        <is>
          <t>Foreign Matter</t>
        </is>
      </c>
      <c r="I3642" s="256" t="inlineStr">
        <is>
          <t>Ph. Eur. 2.8.2 · In-house · интерна</t>
        </is>
      </c>
      <c r="J3642" s="256" t="inlineStr">
        <is>
          <t>≤ 2.0% / 25–50 g · &lt; 1 cm leaves | листови, no seeds | без семки</t>
        </is>
      </c>
      <c r="K3642" s="256" t="inlineStr">
        <is>
          <t>Conforms | Одговара</t>
        </is>
      </c>
      <c r="L3642" s="256" t="inlineStr">
        <is>
          <t>iCoA-PP_26-158</t>
        </is>
      </c>
      <c r="M3642" s="256" t="inlineStr">
        <is>
          <t>24.08.2026</t>
        </is>
      </c>
      <c r="N3642" s="256" t="inlineStr">
        <is>
          <t>Purely Plant GmbH (in-house)</t>
        </is>
      </c>
      <c r="O3642" s="256" t="inlineStr">
        <is>
          <t>—</t>
        </is>
      </c>
      <c r="P3642" s="256" t="inlineStr">
        <is>
          <t>covered</t>
        </is>
      </c>
      <c r="Q3642" s="256" t="inlineStr">
        <is>
          <t>Purely Plant laboratory — iCoA covering Foreign matter</t>
        </is>
      </c>
      <c r="R3642" s="256" t="inlineStr"/>
    </row>
    <row r="3643">
      <c r="A3643" s="256" t="inlineStr">
        <is>
          <t>CoQ-PP_26-159</t>
        </is>
      </c>
      <c r="B3643" s="256" t="inlineStr">
        <is>
          <t>reissue — retest</t>
        </is>
      </c>
      <c r="C3643" s="256" t="inlineStr">
        <is>
          <t>PM072501</t>
        </is>
      </c>
      <c r="D3643" s="256" t="inlineStr">
        <is>
          <t>P050272</t>
        </is>
      </c>
      <c r="E3643" s="256" t="inlineStr">
        <is>
          <t>Permanent Marker</t>
        </is>
      </c>
      <c r="F3643" s="256" t="inlineStr">
        <is>
          <t>21.09.2026</t>
        </is>
      </c>
      <c r="G3643" s="256" t="inlineStr">
        <is>
          <t>8</t>
        </is>
      </c>
      <c r="H3643" s="256" t="inlineStr">
        <is>
          <t>Loss on Drying</t>
        </is>
      </c>
      <c r="I3643" s="256" t="inlineStr">
        <is>
          <t>DAB 2018 monograph Cannabis flos, 2.2.32 — loss on drying (CNP, before its Ph. Eur. 3028 accreditation)</t>
        </is>
      </c>
      <c r="J3643" s="256" t="inlineStr">
        <is>
          <t>≤ 12.0%</t>
        </is>
      </c>
      <c r="K3643" s="256" t="inlineStr">
        <is>
          <t>9.52</t>
        </is>
      </c>
      <c r="L3643" s="256" t="inlineStr">
        <is>
          <t>ППК25368</t>
        </is>
      </c>
      <c r="M3643" s="256" t="inlineStr">
        <is>
          <t>28.11.2025</t>
        </is>
      </c>
      <c r="N3643" s="256" t="inlineStr">
        <is>
          <t>UKIM Faculty of Pharmacy — Center for Natural Products</t>
        </is>
      </c>
      <c r="O3643" s="256" t="inlineStr">
        <is>
          <t>24.11.2025</t>
        </is>
      </c>
      <c r="P3643" s="256" t="inlineStr">
        <is>
          <t>carried from the initial testing (the batch's initial CoQ (number assigned on issue)) — covered</t>
        </is>
      </c>
      <c r="Q3643" s="256" t="inlineStr"/>
      <c r="R3643" s="256" t="inlineStr"/>
    </row>
    <row r="3644">
      <c r="A3644" s="256" t="inlineStr">
        <is>
          <t>CoQ-PP_26-159</t>
        </is>
      </c>
      <c r="B3644" s="256" t="inlineStr">
        <is>
          <t>reissue — retest</t>
        </is>
      </c>
      <c r="C3644" s="256" t="inlineStr">
        <is>
          <t>PM072501</t>
        </is>
      </c>
      <c r="D3644" s="256" t="inlineStr">
        <is>
          <t>P050272</t>
        </is>
      </c>
      <c r="E3644" s="256" t="inlineStr">
        <is>
          <t>Permanent Marker</t>
        </is>
      </c>
      <c r="F3644" s="256" t="inlineStr">
        <is>
          <t>21.09.2026</t>
        </is>
      </c>
      <c r="G3644" s="256" t="inlineStr">
        <is>
          <t>9.1</t>
        </is>
      </c>
      <c r="H3644" s="256" t="inlineStr">
        <is>
          <t>TAMC</t>
        </is>
      </c>
      <c r="I3644" s="256" t="inlineStr">
        <is>
          <t>Ph. Eur. 2.6.12 cat. C</t>
        </is>
      </c>
      <c r="J3644" s="256" t="inlineStr">
        <is>
          <t>≤ 10⁵ CFU/g</t>
        </is>
      </c>
      <c r="K3644" s="256" t="inlineStr">
        <is>
          <t>&lt; 10</t>
        </is>
      </c>
      <c r="L3644" s="256" t="inlineStr">
        <is>
          <t>554/1085/26</t>
        </is>
      </c>
      <c r="M3644" s="256" t="inlineStr">
        <is>
          <t>01.09.2026</t>
        </is>
      </c>
      <c r="N3644" s="256" t="inlineStr">
        <is>
          <t>IPH — Institute of Public Health</t>
        </is>
      </c>
      <c r="O3644" s="256" t="inlineStr">
        <is>
          <t>26.08.2026</t>
        </is>
      </c>
      <c r="P3644" s="256" t="inlineStr">
        <is>
          <t>covered</t>
        </is>
      </c>
      <c r="Q3644" s="256" t="inlineStr"/>
      <c r="R3644" s="256" t="inlineStr"/>
    </row>
    <row r="3645">
      <c r="A3645" s="256" t="inlineStr">
        <is>
          <t>CoQ-PP_26-159</t>
        </is>
      </c>
      <c r="B3645" s="256" t="inlineStr">
        <is>
          <t>reissue — retest</t>
        </is>
      </c>
      <c r="C3645" s="256" t="inlineStr">
        <is>
          <t>PM072501</t>
        </is>
      </c>
      <c r="D3645" s="256" t="inlineStr">
        <is>
          <t>P050272</t>
        </is>
      </c>
      <c r="E3645" s="256" t="inlineStr">
        <is>
          <t>Permanent Marker</t>
        </is>
      </c>
      <c r="F3645" s="256" t="inlineStr">
        <is>
          <t>21.09.2026</t>
        </is>
      </c>
      <c r="G3645" s="256" t="inlineStr">
        <is>
          <t>9.2</t>
        </is>
      </c>
      <c r="H3645" s="256" t="inlineStr">
        <is>
          <t>TYMC</t>
        </is>
      </c>
      <c r="I3645" s="256" t="inlineStr">
        <is>
          <t>Ph. Eur. 2.6.12 cat. C</t>
        </is>
      </c>
      <c r="J3645" s="256" t="inlineStr">
        <is>
          <t>≤ 10⁴ CFU/g</t>
        </is>
      </c>
      <c r="K3645" s="256" t="inlineStr">
        <is>
          <t>&lt; 10</t>
        </is>
      </c>
      <c r="L3645" s="256" t="inlineStr">
        <is>
          <t>554/1085/26</t>
        </is>
      </c>
      <c r="M3645" s="256" t="inlineStr">
        <is>
          <t>01.09.2026</t>
        </is>
      </c>
      <c r="N3645" s="256" t="inlineStr">
        <is>
          <t>IPH — Institute of Public Health</t>
        </is>
      </c>
      <c r="O3645" s="256" t="inlineStr">
        <is>
          <t>26.08.2026</t>
        </is>
      </c>
      <c r="P3645" s="256" t="inlineStr">
        <is>
          <t>covered</t>
        </is>
      </c>
      <c r="Q3645" s="256" t="inlineStr"/>
      <c r="R3645" s="256" t="inlineStr"/>
    </row>
    <row r="3646">
      <c r="A3646" s="256" t="inlineStr">
        <is>
          <t>CoQ-PP_26-159</t>
        </is>
      </c>
      <c r="B3646" s="256" t="inlineStr">
        <is>
          <t>reissue — retest</t>
        </is>
      </c>
      <c r="C3646" s="256" t="inlineStr">
        <is>
          <t>PM072501</t>
        </is>
      </c>
      <c r="D3646" s="256" t="inlineStr">
        <is>
          <t>P050272</t>
        </is>
      </c>
      <c r="E3646" s="256" t="inlineStr">
        <is>
          <t>Permanent Marker</t>
        </is>
      </c>
      <c r="F3646" s="256" t="inlineStr">
        <is>
          <t>21.09.2026</t>
        </is>
      </c>
      <c r="G3646" s="256" t="inlineStr">
        <is>
          <t>9.3</t>
        </is>
      </c>
      <c r="H3646" s="256" t="inlineStr">
        <is>
          <t>Bile-tolerant gram-neg.</t>
        </is>
      </c>
      <c r="I3646" s="256" t="inlineStr">
        <is>
          <t>Ph. Eur. 2.6.31 cat. C</t>
        </is>
      </c>
      <c r="J3646" s="256" t="inlineStr">
        <is>
          <t>≤ 10⁴ CFU/g</t>
        </is>
      </c>
      <c r="K3646" s="256" t="inlineStr">
        <is>
          <t>&lt; 10</t>
        </is>
      </c>
      <c r="L3646" s="256" t="inlineStr">
        <is>
          <t>554/1085/26</t>
        </is>
      </c>
      <c r="M3646" s="256" t="inlineStr">
        <is>
          <t>01.09.2026</t>
        </is>
      </c>
      <c r="N3646" s="256" t="inlineStr">
        <is>
          <t>IPH — Institute of Public Health</t>
        </is>
      </c>
      <c r="O3646" s="256" t="inlineStr">
        <is>
          <t>26.08.2026</t>
        </is>
      </c>
      <c r="P3646" s="256" t="inlineStr">
        <is>
          <t>covered</t>
        </is>
      </c>
      <c r="Q3646" s="256" t="inlineStr"/>
      <c r="R3646" s="256" t="inlineStr"/>
    </row>
    <row r="3647">
      <c r="A3647" s="256" t="inlineStr">
        <is>
          <t>CoQ-PP_26-159</t>
        </is>
      </c>
      <c r="B3647" s="256" t="inlineStr">
        <is>
          <t>reissue — retest</t>
        </is>
      </c>
      <c r="C3647" s="256" t="inlineStr">
        <is>
          <t>PM072501</t>
        </is>
      </c>
      <c r="D3647" s="256" t="inlineStr">
        <is>
          <t>P050272</t>
        </is>
      </c>
      <c r="E3647" s="256" t="inlineStr">
        <is>
          <t>Permanent Marker</t>
        </is>
      </c>
      <c r="F3647" s="256" t="inlineStr">
        <is>
          <t>21.09.2026</t>
        </is>
      </c>
      <c r="G3647" s="256" t="inlineStr">
        <is>
          <t>9.4</t>
        </is>
      </c>
      <c r="H3647" s="256" t="inlineStr">
        <is>
          <t>Salmonella</t>
        </is>
      </c>
      <c r="I3647" s="256" t="inlineStr">
        <is>
          <t>Ph. Eur. 2.6.31 cat. C</t>
        </is>
      </c>
      <c r="J3647" s="256" t="inlineStr">
        <is>
          <t>Absence | Отсуство / 25 g</t>
        </is>
      </c>
      <c r="K3647" s="256" t="inlineStr">
        <is>
          <t>Absent | Отсутна</t>
        </is>
      </c>
      <c r="L3647" s="256" t="inlineStr">
        <is>
          <t>554/1085/26</t>
        </is>
      </c>
      <c r="M3647" s="256" t="inlineStr">
        <is>
          <t>01.09.2026</t>
        </is>
      </c>
      <c r="N3647" s="256" t="inlineStr">
        <is>
          <t>IPH — Institute of Public Health</t>
        </is>
      </c>
      <c r="O3647" s="256" t="inlineStr">
        <is>
          <t>26.08.2026</t>
        </is>
      </c>
      <c r="P3647" s="256" t="inlineStr">
        <is>
          <t>covered</t>
        </is>
      </c>
      <c r="Q3647" s="256" t="inlineStr"/>
      <c r="R3647" s="256" t="inlineStr"/>
    </row>
    <row r="3648">
      <c r="A3648" s="256" t="inlineStr">
        <is>
          <t>CoQ-PP_26-159</t>
        </is>
      </c>
      <c r="B3648" s="256" t="inlineStr">
        <is>
          <t>reissue — retest</t>
        </is>
      </c>
      <c r="C3648" s="256" t="inlineStr">
        <is>
          <t>PM072501</t>
        </is>
      </c>
      <c r="D3648" s="256" t="inlineStr">
        <is>
          <t>P050272</t>
        </is>
      </c>
      <c r="E3648" s="256" t="inlineStr">
        <is>
          <t>Permanent Marker</t>
        </is>
      </c>
      <c r="F3648" s="256" t="inlineStr">
        <is>
          <t>21.09.2026</t>
        </is>
      </c>
      <c r="G3648" s="256" t="inlineStr">
        <is>
          <t>9.5</t>
        </is>
      </c>
      <c r="H3648" s="256" t="inlineStr">
        <is>
          <t>Escherichia coli</t>
        </is>
      </c>
      <c r="I3648" s="256" t="inlineStr">
        <is>
          <t>Ph. Eur. 2.6.13 cat. C</t>
        </is>
      </c>
      <c r="J3648" s="256" t="inlineStr">
        <is>
          <t>Absence | Отсуство / 1 g</t>
        </is>
      </c>
      <c r="K3648" s="256" t="inlineStr">
        <is>
          <t>Absent | Отсутна</t>
        </is>
      </c>
      <c r="L3648" s="256" t="inlineStr">
        <is>
          <t>554/1085/26</t>
        </is>
      </c>
      <c r="M3648" s="256" t="inlineStr">
        <is>
          <t>01.09.2026</t>
        </is>
      </c>
      <c r="N3648" s="256" t="inlineStr">
        <is>
          <t>IPH — Institute of Public Health</t>
        </is>
      </c>
      <c r="O3648" s="256" t="inlineStr">
        <is>
          <t>26.08.2026</t>
        </is>
      </c>
      <c r="P3648" s="256" t="inlineStr">
        <is>
          <t>covered</t>
        </is>
      </c>
      <c r="Q3648" s="256" t="inlineStr"/>
      <c r="R3648" s="256" t="inlineStr"/>
    </row>
    <row r="3649">
      <c r="A3649" s="256" t="inlineStr">
        <is>
          <t>CoQ-PP_26-159</t>
        </is>
      </c>
      <c r="B3649" s="256" t="inlineStr">
        <is>
          <t>reissue — retest</t>
        </is>
      </c>
      <c r="C3649" s="256" t="inlineStr">
        <is>
          <t>PM072501</t>
        </is>
      </c>
      <c r="D3649" s="256" t="inlineStr">
        <is>
          <t>P050272</t>
        </is>
      </c>
      <c r="E3649" s="256" t="inlineStr">
        <is>
          <t>Permanent Marker</t>
        </is>
      </c>
      <c r="F3649" s="256" t="inlineStr">
        <is>
          <t>21.09.2026</t>
        </is>
      </c>
      <c r="G3649" s="256" t="inlineStr">
        <is>
          <t>9.6</t>
        </is>
      </c>
      <c r="H3649" s="256" t="inlineStr">
        <is>
          <t>Pseudomonas aeruginosa</t>
        </is>
      </c>
      <c r="I3649" s="256" t="inlineStr">
        <is>
          <t>Ph. Eur. 2.6.13 cat. C</t>
        </is>
      </c>
      <c r="J3649" s="256" t="inlineStr">
        <is>
          <t>Absence | Отсуство / 1 g</t>
        </is>
      </c>
      <c r="K3649" s="260" t="inlineStr">
        <is>
          <t>upon request — not required for release</t>
        </is>
      </c>
      <c r="L3649" s="256" t="inlineStr">
        <is>
          <t>—</t>
        </is>
      </c>
      <c r="M3649" s="256" t="inlineStr">
        <is>
          <t>—</t>
        </is>
      </c>
      <c r="N3649" s="256" t="inlineStr">
        <is>
          <t>—</t>
        </is>
      </c>
      <c r="O3649" s="256" t="inlineStr">
        <is>
          <t>—</t>
        </is>
      </c>
      <c r="P3649" s="256" t="inlineStr">
        <is>
          <t>upon request — not required for release</t>
        </is>
      </c>
      <c r="Q3649" s="256" t="inlineStr"/>
      <c r="R3649" s="256" t="inlineStr"/>
    </row>
    <row r="3650">
      <c r="A3650" s="256" t="inlineStr">
        <is>
          <t>CoQ-PP_26-159</t>
        </is>
      </c>
      <c r="B3650" s="256" t="inlineStr">
        <is>
          <t>reissue — retest</t>
        </is>
      </c>
      <c r="C3650" s="256" t="inlineStr">
        <is>
          <t>PM072501</t>
        </is>
      </c>
      <c r="D3650" s="256" t="inlineStr">
        <is>
          <t>P050272</t>
        </is>
      </c>
      <c r="E3650" s="256" t="inlineStr">
        <is>
          <t>Permanent Marker</t>
        </is>
      </c>
      <c r="F3650" s="256" t="inlineStr">
        <is>
          <t>21.09.2026</t>
        </is>
      </c>
      <c r="G3650" s="256" t="inlineStr">
        <is>
          <t>9.7</t>
        </is>
      </c>
      <c r="H3650" s="256" t="inlineStr">
        <is>
          <t>Staphylococcus aureus</t>
        </is>
      </c>
      <c r="I3650" s="256" t="inlineStr">
        <is>
          <t>Ph. Eur. 2.6.13 cat. C</t>
        </is>
      </c>
      <c r="J3650" s="256" t="inlineStr">
        <is>
          <t>Absence | Отсуство / 1 g</t>
        </is>
      </c>
      <c r="K3650" s="260" t="inlineStr">
        <is>
          <t>upon request — not required for release</t>
        </is>
      </c>
      <c r="L3650" s="256" t="inlineStr">
        <is>
          <t>—</t>
        </is>
      </c>
      <c r="M3650" s="256" t="inlineStr">
        <is>
          <t>—</t>
        </is>
      </c>
      <c r="N3650" s="256" t="inlineStr">
        <is>
          <t>—</t>
        </is>
      </c>
      <c r="O3650" s="256" t="inlineStr">
        <is>
          <t>—</t>
        </is>
      </c>
      <c r="P3650" s="256" t="inlineStr">
        <is>
          <t>upon request — not required for release</t>
        </is>
      </c>
      <c r="Q3650" s="256" t="inlineStr"/>
      <c r="R3650" s="256" t="inlineStr"/>
    </row>
    <row r="3651">
      <c r="A3651" s="256" t="inlineStr">
        <is>
          <t>CoQ-PP_26-159</t>
        </is>
      </c>
      <c r="B3651" s="256" t="inlineStr">
        <is>
          <t>reissue — retest</t>
        </is>
      </c>
      <c r="C3651" s="256" t="inlineStr">
        <is>
          <t>PM072501</t>
        </is>
      </c>
      <c r="D3651" s="256" t="inlineStr">
        <is>
          <t>P050272</t>
        </is>
      </c>
      <c r="E3651" s="256" t="inlineStr">
        <is>
          <t>Permanent Marker</t>
        </is>
      </c>
      <c r="F3651" s="256" t="inlineStr">
        <is>
          <t>21.09.2026</t>
        </is>
      </c>
      <c r="G3651" s="256" t="inlineStr">
        <is>
          <t>10.1</t>
        </is>
      </c>
      <c r="H3651" s="256" t="inlineStr">
        <is>
          <t>Aflatoxin B₁</t>
        </is>
      </c>
      <c r="I3651" s="256" t="inlineStr">
        <is>
          <t>Ph. Eur. 2.8.18 (HPLC-FLD)</t>
        </is>
      </c>
      <c r="J3651" s="256" t="inlineStr">
        <is>
          <t>≤ 2 µg/kg</t>
        </is>
      </c>
      <c r="K3651" s="256" t="inlineStr">
        <is>
          <t>ND</t>
        </is>
      </c>
      <c r="L3651" s="256" t="inlineStr">
        <is>
          <t>227-9-М/26</t>
        </is>
      </c>
      <c r="M3651" s="256" t="inlineStr">
        <is>
          <t>16.09.2026</t>
        </is>
      </c>
      <c r="N3651" s="256" t="inlineStr">
        <is>
          <t>Farmahem</t>
        </is>
      </c>
      <c r="O3651" s="256" t="inlineStr">
        <is>
          <t>—</t>
        </is>
      </c>
      <c r="P3651" s="256" t="inlineStr">
        <is>
          <t>covered</t>
        </is>
      </c>
      <c r="Q3651" s="256" t="inlineStr"/>
      <c r="R3651" s="256" t="inlineStr"/>
    </row>
    <row r="3652">
      <c r="A3652" s="256" t="inlineStr">
        <is>
          <t>CoQ-PP_26-159</t>
        </is>
      </c>
      <c r="B3652" s="256" t="inlineStr">
        <is>
          <t>reissue — retest</t>
        </is>
      </c>
      <c r="C3652" s="256" t="inlineStr">
        <is>
          <t>PM072501</t>
        </is>
      </c>
      <c r="D3652" s="256" t="inlineStr">
        <is>
          <t>P050272</t>
        </is>
      </c>
      <c r="E3652" s="256" t="inlineStr">
        <is>
          <t>Permanent Marker</t>
        </is>
      </c>
      <c r="F3652" s="256" t="inlineStr">
        <is>
          <t>21.09.2026</t>
        </is>
      </c>
      <c r="G3652" s="256" t="inlineStr">
        <is>
          <t>10.2</t>
        </is>
      </c>
      <c r="H3652" s="256" t="inlineStr">
        <is>
          <t>Aflatoxins ∑</t>
        </is>
      </c>
      <c r="I3652" s="256" t="inlineStr">
        <is>
          <t>Ph. Eur. 2.8.18 (HPLC-FLD)</t>
        </is>
      </c>
      <c r="J3652" s="256" t="inlineStr">
        <is>
          <t>≤ 4 µg/kg</t>
        </is>
      </c>
      <c r="K3652" s="256" t="inlineStr">
        <is>
          <t>ND</t>
        </is>
      </c>
      <c r="L3652" s="256" t="inlineStr">
        <is>
          <t>227-9-М/26</t>
        </is>
      </c>
      <c r="M3652" s="256" t="inlineStr">
        <is>
          <t>16.09.2026</t>
        </is>
      </c>
      <c r="N3652" s="256" t="inlineStr">
        <is>
          <t>Farmahem</t>
        </is>
      </c>
      <c r="O3652" s="256" t="inlineStr">
        <is>
          <t>—</t>
        </is>
      </c>
      <c r="P3652" s="256" t="inlineStr">
        <is>
          <t>carried from the initial testing (the batch's initial CoQ (number assigned on issue)) — covered</t>
        </is>
      </c>
      <c r="Q3652" s="256" t="inlineStr"/>
      <c r="R3652" s="256" t="inlineStr"/>
    </row>
    <row r="3653">
      <c r="A3653" s="256" t="inlineStr">
        <is>
          <t>CoQ-PP_26-159</t>
        </is>
      </c>
      <c r="B3653" s="256" t="inlineStr">
        <is>
          <t>reissue — retest</t>
        </is>
      </c>
      <c r="C3653" s="256" t="inlineStr">
        <is>
          <t>PM072501</t>
        </is>
      </c>
      <c r="D3653" s="256" t="inlineStr">
        <is>
          <t>P050272</t>
        </is>
      </c>
      <c r="E3653" s="256" t="inlineStr">
        <is>
          <t>Permanent Marker</t>
        </is>
      </c>
      <c r="F3653" s="256" t="inlineStr">
        <is>
          <t>21.09.2026</t>
        </is>
      </c>
      <c r="G3653" s="256" t="inlineStr">
        <is>
          <t>10.3</t>
        </is>
      </c>
      <c r="H3653" s="256" t="inlineStr">
        <is>
          <t>Ochratoxin A</t>
        </is>
      </c>
      <c r="I3653" s="256" t="inlineStr">
        <is>
          <t>Ph. Eur. 2.8.22 (HPLC-FLD)</t>
        </is>
      </c>
      <c r="J3653" s="256" t="inlineStr">
        <is>
          <t>≤ 20 µg/kg</t>
        </is>
      </c>
      <c r="K3653" s="256" t="inlineStr">
        <is>
          <t>ND</t>
        </is>
      </c>
      <c r="L3653" s="256" t="inlineStr">
        <is>
          <t>227-9-М/26</t>
        </is>
      </c>
      <c r="M3653" s="256" t="inlineStr">
        <is>
          <t>16.09.2026</t>
        </is>
      </c>
      <c r="N3653" s="256" t="inlineStr">
        <is>
          <t>Farmahem</t>
        </is>
      </c>
      <c r="O3653" s="256" t="inlineStr">
        <is>
          <t>—</t>
        </is>
      </c>
      <c r="P3653" s="256" t="inlineStr">
        <is>
          <t>covered</t>
        </is>
      </c>
      <c r="Q3653" s="256" t="inlineStr"/>
      <c r="R3653" s="256" t="inlineStr"/>
    </row>
    <row r="3654">
      <c r="A3654" s="256" t="inlineStr">
        <is>
          <t>CoQ-PP_26-159</t>
        </is>
      </c>
      <c r="B3654" s="256" t="inlineStr">
        <is>
          <t>reissue — retest</t>
        </is>
      </c>
      <c r="C3654" s="256" t="inlineStr">
        <is>
          <t>PM072501</t>
        </is>
      </c>
      <c r="D3654" s="256" t="inlineStr">
        <is>
          <t>P050272</t>
        </is>
      </c>
      <c r="E3654" s="256" t="inlineStr">
        <is>
          <t>Permanent Marker</t>
        </is>
      </c>
      <c r="F3654" s="256" t="inlineStr">
        <is>
          <t>21.09.2026</t>
        </is>
      </c>
      <c r="G3654" s="256" t="inlineStr">
        <is>
          <t>11.1</t>
        </is>
      </c>
      <c r="H3654" s="256" t="inlineStr">
        <is>
          <t>Lead (Pb)</t>
        </is>
      </c>
      <c r="I3654" s="256" t="inlineStr">
        <is>
          <t>Ph. Eur. 2.4.27 (ICP-MS)</t>
        </is>
      </c>
      <c r="J3654" s="256" t="inlineStr">
        <is>
          <t>≤ 0.5 mg/kg</t>
        </is>
      </c>
      <c r="K3654" s="256" t="inlineStr">
        <is>
          <t>0.021</t>
        </is>
      </c>
      <c r="L3654" s="256" t="inlineStr">
        <is>
          <t>5698/2025</t>
        </is>
      </c>
      <c r="M3654" s="256" t="inlineStr">
        <is>
          <t>02.12.2025</t>
        </is>
      </c>
      <c r="N3654" s="256" t="inlineStr">
        <is>
          <t>IPH — Institute of Public Health</t>
        </is>
      </c>
      <c r="O3654" s="256" t="inlineStr">
        <is>
          <t>24.11.2025</t>
        </is>
      </c>
      <c r="P3654" s="256" t="inlineStr">
        <is>
          <t>carried from the initial testing (the batch's initial CoQ (number assigned on issue)) — covered</t>
        </is>
      </c>
      <c r="Q3654" s="256" t="inlineStr"/>
      <c r="R3654" s="256" t="inlineStr"/>
    </row>
    <row r="3655">
      <c r="A3655" s="256" t="inlineStr">
        <is>
          <t>CoQ-PP_26-159</t>
        </is>
      </c>
      <c r="B3655" s="256" t="inlineStr">
        <is>
          <t>reissue — retest</t>
        </is>
      </c>
      <c r="C3655" s="256" t="inlineStr">
        <is>
          <t>PM072501</t>
        </is>
      </c>
      <c r="D3655" s="256" t="inlineStr">
        <is>
          <t>P050272</t>
        </is>
      </c>
      <c r="E3655" s="256" t="inlineStr">
        <is>
          <t>Permanent Marker</t>
        </is>
      </c>
      <c r="F3655" s="256" t="inlineStr">
        <is>
          <t>21.09.2026</t>
        </is>
      </c>
      <c r="G3655" s="256" t="inlineStr">
        <is>
          <t>11.2</t>
        </is>
      </c>
      <c r="H3655" s="256" t="inlineStr">
        <is>
          <t>Cadmium (Cd)</t>
        </is>
      </c>
      <c r="I3655" s="256" t="inlineStr">
        <is>
          <t>Ph. Eur. 2.4.27 (ICP-MS)</t>
        </is>
      </c>
      <c r="J3655" s="256" t="inlineStr">
        <is>
          <t>≤ 0.3 mg/kg</t>
        </is>
      </c>
      <c r="K3655" s="256" t="inlineStr">
        <is>
          <t>0.001</t>
        </is>
      </c>
      <c r="L3655" s="256" t="inlineStr">
        <is>
          <t>5698/2025</t>
        </is>
      </c>
      <c r="M3655" s="256" t="inlineStr">
        <is>
          <t>02.12.2025</t>
        </is>
      </c>
      <c r="N3655" s="256" t="inlineStr">
        <is>
          <t>IPH — Institute of Public Health</t>
        </is>
      </c>
      <c r="O3655" s="256" t="inlineStr">
        <is>
          <t>24.11.2025</t>
        </is>
      </c>
      <c r="P3655" s="256" t="inlineStr">
        <is>
          <t>carried from the initial testing (the batch's initial CoQ (number assigned on issue)) — covered</t>
        </is>
      </c>
      <c r="Q3655" s="256" t="inlineStr"/>
      <c r="R3655" s="256" t="inlineStr"/>
    </row>
    <row r="3656">
      <c r="A3656" s="256" t="inlineStr">
        <is>
          <t>CoQ-PP_26-159</t>
        </is>
      </c>
      <c r="B3656" s="256" t="inlineStr">
        <is>
          <t>reissue — retest</t>
        </is>
      </c>
      <c r="C3656" s="256" t="inlineStr">
        <is>
          <t>PM072501</t>
        </is>
      </c>
      <c r="D3656" s="256" t="inlineStr">
        <is>
          <t>P050272</t>
        </is>
      </c>
      <c r="E3656" s="256" t="inlineStr">
        <is>
          <t>Permanent Marker</t>
        </is>
      </c>
      <c r="F3656" s="256" t="inlineStr">
        <is>
          <t>21.09.2026</t>
        </is>
      </c>
      <c r="G3656" s="256" t="inlineStr">
        <is>
          <t>11.3</t>
        </is>
      </c>
      <c r="H3656" s="256" t="inlineStr">
        <is>
          <t>Arsenic (As)</t>
        </is>
      </c>
      <c r="I3656" s="256" t="inlineStr">
        <is>
          <t>Ph. Eur. 2.4.27 (ICP-MS)</t>
        </is>
      </c>
      <c r="J3656" s="256" t="inlineStr">
        <is>
          <t>≤ 0.2 mg/kg</t>
        </is>
      </c>
      <c r="K3656" s="256" t="inlineStr">
        <is>
          <t>0.012</t>
        </is>
      </c>
      <c r="L3656" s="256" t="inlineStr">
        <is>
          <t>5698/2025</t>
        </is>
      </c>
      <c r="M3656" s="256" t="inlineStr">
        <is>
          <t>02.12.2025</t>
        </is>
      </c>
      <c r="N3656" s="256" t="inlineStr">
        <is>
          <t>IPH — Institute of Public Health</t>
        </is>
      </c>
      <c r="O3656" s="256" t="inlineStr">
        <is>
          <t>24.11.2025</t>
        </is>
      </c>
      <c r="P3656" s="256" t="inlineStr">
        <is>
          <t>carried from the initial testing (the batch's initial CoQ (number assigned on issue)) — covered</t>
        </is>
      </c>
      <c r="Q3656" s="256" t="inlineStr"/>
      <c r="R3656" s="256" t="inlineStr"/>
    </row>
    <row r="3657">
      <c r="A3657" s="256" t="inlineStr">
        <is>
          <t>CoQ-PP_26-159</t>
        </is>
      </c>
      <c r="B3657" s="256" t="inlineStr">
        <is>
          <t>reissue — retest</t>
        </is>
      </c>
      <c r="C3657" s="256" t="inlineStr">
        <is>
          <t>PM072501</t>
        </is>
      </c>
      <c r="D3657" s="256" t="inlineStr">
        <is>
          <t>P050272</t>
        </is>
      </c>
      <c r="E3657" s="256" t="inlineStr">
        <is>
          <t>Permanent Marker</t>
        </is>
      </c>
      <c r="F3657" s="256" t="inlineStr">
        <is>
          <t>21.09.2026</t>
        </is>
      </c>
      <c r="G3657" s="256" t="inlineStr">
        <is>
          <t>11.4</t>
        </is>
      </c>
      <c r="H3657" s="256" t="inlineStr">
        <is>
          <t>Mercury (Hg)</t>
        </is>
      </c>
      <c r="I3657" s="256" t="inlineStr">
        <is>
          <t>Ph. Eur. 2.4.27 (ICP-MS)</t>
        </is>
      </c>
      <c r="J3657" s="256" t="inlineStr">
        <is>
          <t>≤ 0.1 mg/kg</t>
        </is>
      </c>
      <c r="K3657" s="256" t="inlineStr">
        <is>
          <t>0.003</t>
        </is>
      </c>
      <c r="L3657" s="256" t="inlineStr">
        <is>
          <t>5698/2025</t>
        </is>
      </c>
      <c r="M3657" s="256" t="inlineStr">
        <is>
          <t>02.12.2025</t>
        </is>
      </c>
      <c r="N3657" s="256" t="inlineStr">
        <is>
          <t>IPH — Institute of Public Health</t>
        </is>
      </c>
      <c r="O3657" s="256" t="inlineStr">
        <is>
          <t>24.11.2025</t>
        </is>
      </c>
      <c r="P3657" s="256" t="inlineStr">
        <is>
          <t>carried from the initial testing (the batch's initial CoQ (number assigned on issue)) — covered</t>
        </is>
      </c>
      <c r="Q3657" s="256" t="inlineStr"/>
      <c r="R3657" s="256" t="inlineStr"/>
    </row>
    <row r="3658">
      <c r="A3658" s="256" t="inlineStr">
        <is>
          <t>CoQ-PP_26-159</t>
        </is>
      </c>
      <c r="B3658" s="256" t="inlineStr">
        <is>
          <t>reissue — retest</t>
        </is>
      </c>
      <c r="C3658" s="256" t="inlineStr">
        <is>
          <t>PM072501</t>
        </is>
      </c>
      <c r="D3658" s="256" t="inlineStr">
        <is>
          <t>P050272</t>
        </is>
      </c>
      <c r="E3658" s="256" t="inlineStr">
        <is>
          <t>Permanent Marker</t>
        </is>
      </c>
      <c r="F3658" s="256" t="inlineStr">
        <is>
          <t>21.09.2026</t>
        </is>
      </c>
      <c r="G3658" s="256" t="inlineStr">
        <is>
          <t>12</t>
        </is>
      </c>
      <c r="H3658" s="256" t="inlineStr">
        <is>
          <t>Pesticide Residues</t>
        </is>
      </c>
      <c r="I3658" s="256" t="inlineStr">
        <is>
          <t>Ph. Eur. 2.8.13 (LC-MS/MS) · CUMCS Equivalency</t>
        </is>
      </c>
      <c r="J3658" s="256" t="inlineStr">
        <is>
          <t>≤ LOQ as per Ph. Eur. 2.8.13 · ≤ LOQ as per CUMCS Equivalency</t>
        </is>
      </c>
      <c r="K3658" s="256" t="inlineStr">
        <is>
          <t>ND</t>
        </is>
      </c>
      <c r="L3658" s="256" t="inlineStr">
        <is>
          <t>5698/2025</t>
        </is>
      </c>
      <c r="M3658" s="256" t="inlineStr">
        <is>
          <t>02.12.2025</t>
        </is>
      </c>
      <c r="N3658" s="256" t="inlineStr">
        <is>
          <t>IPH — Institute of Public Health</t>
        </is>
      </c>
      <c r="O3658" s="256" t="inlineStr">
        <is>
          <t>24.11.2025</t>
        </is>
      </c>
      <c r="P3658" s="256" t="inlineStr">
        <is>
          <t>carried from the initial testing (the batch's initial CoQ (number assigned on issue)) — covered</t>
        </is>
      </c>
      <c r="Q3658" s="256" t="inlineStr"/>
      <c r="R3658" s="256" t="inlineStr"/>
    </row>
    <row r="3659">
      <c r="A3659" s="256" t="inlineStr">
        <is>
          <t>CoQ-PP_26-160</t>
        </is>
      </c>
      <c r="B3659" s="256" t="inlineStr">
        <is>
          <t>reissue — retest</t>
        </is>
      </c>
      <c r="C3659" s="256" t="inlineStr">
        <is>
          <t>SCR012601</t>
        </is>
      </c>
      <c r="D3659" s="256" t="inlineStr">
        <is>
          <t>P060342</t>
        </is>
      </c>
      <c r="E3659" s="256" t="inlineStr">
        <is>
          <t>Scrambler</t>
        </is>
      </c>
      <c r="F3659" s="256" t="inlineStr">
        <is>
          <t>21.09.2026</t>
        </is>
      </c>
      <c r="G3659" s="256" t="inlineStr">
        <is>
          <t>1</t>
        </is>
      </c>
      <c r="H3659" s="256" t="inlineStr">
        <is>
          <t>Identification A, Appearance · Macroscopic</t>
        </is>
      </c>
      <c r="I3659" s="256" t="inlineStr">
        <is>
          <t>Ph. Eur. mon. 3028</t>
        </is>
      </c>
      <c r="J3659" s="256" t="inlineStr">
        <is>
          <t>Conforms to the monograph for Cannabis flos (07/2024:3028) in Ph. Eur. 11.0 | Согласно монографија за Cannabis flos (07/2024:3028) во Ph. Eur. 11.0</t>
        </is>
      </c>
      <c r="K3659" s="256" t="inlineStr">
        <is>
          <t>Conforms | Одговара</t>
        </is>
      </c>
      <c r="L3659" s="256" t="inlineStr">
        <is>
          <t>iCoA-PP_26-159</t>
        </is>
      </c>
      <c r="M3659" s="256" t="inlineStr">
        <is>
          <t>24.08.2026</t>
        </is>
      </c>
      <c r="N3659" s="256" t="inlineStr">
        <is>
          <t>Purely Plant GmbH (in-house)</t>
        </is>
      </c>
      <c r="O3659" s="256" t="inlineStr">
        <is>
          <t>—</t>
        </is>
      </c>
      <c r="P3659" s="256" t="inlineStr">
        <is>
          <t>to be performed — see route</t>
        </is>
      </c>
      <c r="Q3659" s="256" t="inlineStr">
        <is>
          <t>Farmahem — Ident A + B + C with the Assay, at retest</t>
        </is>
      </c>
      <c r="R3659" s="256" t="inlineStr"/>
    </row>
    <row r="3660">
      <c r="A3660" s="256" t="inlineStr">
        <is>
          <t>CoQ-PP_26-160</t>
        </is>
      </c>
      <c r="B3660" s="256" t="inlineStr">
        <is>
          <t>reissue — retest</t>
        </is>
      </c>
      <c r="C3660" s="256" t="inlineStr">
        <is>
          <t>SCR012601</t>
        </is>
      </c>
      <c r="D3660" s="256" t="inlineStr">
        <is>
          <t>P060342</t>
        </is>
      </c>
      <c r="E3660" s="256" t="inlineStr">
        <is>
          <t>Scrambler</t>
        </is>
      </c>
      <c r="F3660" s="256" t="inlineStr">
        <is>
          <t>21.09.2026</t>
        </is>
      </c>
      <c r="G3660" s="256" t="inlineStr">
        <is>
          <t>2</t>
        </is>
      </c>
      <c r="H3660" s="256" t="inlineStr">
        <is>
          <t>Identification B · Microscopic</t>
        </is>
      </c>
      <c r="I3660" s="256" t="inlineStr">
        <is>
          <t>Ph. Eur. 2.8.23 (microscopy)</t>
        </is>
      </c>
      <c r="J3660" s="256" t="inlineStr">
        <is>
          <t>Conforms to the monograph for Cannabis flos (07/2024:3028) in Ph. Eur. 11.0 | Согласно монографија за Cannabis flos (07/2024:3028) во Ph. Eur. 11.0</t>
        </is>
      </c>
      <c r="K3660" s="256" t="inlineStr">
        <is>
          <t>Conforms | Одговара</t>
        </is>
      </c>
      <c r="L3660" s="256" t="inlineStr">
        <is>
          <t>iCoA-PP_26-159</t>
        </is>
      </c>
      <c r="M3660" s="256" t="inlineStr">
        <is>
          <t>24.08.2026</t>
        </is>
      </c>
      <c r="N3660" s="256" t="inlineStr">
        <is>
          <t>Purely Plant GmbH (in-house)</t>
        </is>
      </c>
      <c r="O3660" s="256" t="inlineStr">
        <is>
          <t>—</t>
        </is>
      </c>
      <c r="P3660" s="256" t="inlineStr">
        <is>
          <t>to be performed — see route</t>
        </is>
      </c>
      <c r="Q3660" s="256" t="inlineStr">
        <is>
          <t>Farmahem — Ident A + B + C with the Assay, at retest</t>
        </is>
      </c>
      <c r="R3660" s="256" t="inlineStr"/>
    </row>
    <row r="3661">
      <c r="A3661" s="256" t="inlineStr">
        <is>
          <t>CoQ-PP_26-160</t>
        </is>
      </c>
      <c r="B3661" s="256" t="inlineStr">
        <is>
          <t>reissue — retest</t>
        </is>
      </c>
      <c r="C3661" s="256" t="inlineStr">
        <is>
          <t>SCR012601</t>
        </is>
      </c>
      <c r="D3661" s="256" t="inlineStr">
        <is>
          <t>P060342</t>
        </is>
      </c>
      <c r="E3661" s="256" t="inlineStr">
        <is>
          <t>Scrambler</t>
        </is>
      </c>
      <c r="F3661" s="256" t="inlineStr">
        <is>
          <t>21.09.2026</t>
        </is>
      </c>
      <c r="G3661" s="256" t="inlineStr">
        <is>
          <t>3</t>
        </is>
      </c>
      <c r="H3661" s="256" t="inlineStr">
        <is>
          <t>Identification C · HPLC/HPTLC</t>
        </is>
      </c>
      <c r="I3661" s="256" t="inlineStr">
        <is>
          <t>Ph. Eur. 2.2.29 (3028)</t>
        </is>
      </c>
      <c r="J3661" s="256" t="inlineStr">
        <is>
          <t>Conforms to the monograph for Cannabis flos (07/2024:3028) in Ph. Eur. 11.0 | Согласно монографија за Cannabis flos (07/2024:3028) во Ph. Eur. 11.0</t>
        </is>
      </c>
      <c r="K3661" s="256" t="inlineStr">
        <is>
          <t>Conforms | Одговара</t>
        </is>
      </c>
      <c r="L3661" s="256" t="inlineStr">
        <is>
          <t>227-8-К/26</t>
        </is>
      </c>
      <c r="M3661" s="256" t="inlineStr">
        <is>
          <t>11.09.2026</t>
        </is>
      </c>
      <c r="N3661" s="256" t="inlineStr">
        <is>
          <t>Farmahem</t>
        </is>
      </c>
      <c r="O3661" s="256" t="inlineStr">
        <is>
          <t>24.08.2026</t>
        </is>
      </c>
      <c r="P3661" s="256" t="inlineStr">
        <is>
          <t>covered</t>
        </is>
      </c>
      <c r="Q3661" s="256" t="inlineStr"/>
      <c r="R3661" s="256" t="inlineStr"/>
    </row>
    <row r="3662">
      <c r="A3662" s="256" t="inlineStr">
        <is>
          <t>CoQ-PP_26-160</t>
        </is>
      </c>
      <c r="B3662" s="256" t="inlineStr">
        <is>
          <t>reissue — retest</t>
        </is>
      </c>
      <c r="C3662" s="256" t="inlineStr">
        <is>
          <t>SCR012601</t>
        </is>
      </c>
      <c r="D3662" s="256" t="inlineStr">
        <is>
          <t>P060342</t>
        </is>
      </c>
      <c r="E3662" s="256" t="inlineStr">
        <is>
          <t>Scrambler</t>
        </is>
      </c>
      <c r="F3662" s="256" t="inlineStr">
        <is>
          <t>21.09.2026</t>
        </is>
      </c>
      <c r="G3662" s="256" t="inlineStr">
        <is>
          <t>4</t>
        </is>
      </c>
      <c r="H3662" s="256" t="inlineStr">
        <is>
          <t>Assay — Total Δ⁹-THC</t>
        </is>
      </c>
      <c r="I3662" s="256" t="inlineStr">
        <is>
          <t>Ph. Eur. 2.2.29 (HPLC)</t>
        </is>
      </c>
      <c r="J3662" s="256" t="inlineStr">
        <is>
          <t>19.80 – 24.19 %  (grade I, nominal 22.00 ± 2.20)</t>
        </is>
      </c>
      <c r="K3662" s="256" t="inlineStr">
        <is>
          <t>22.40</t>
        </is>
      </c>
      <c r="L3662" s="256" t="inlineStr">
        <is>
          <t>227-8-К/26</t>
        </is>
      </c>
      <c r="M3662" s="256" t="inlineStr">
        <is>
          <t>11.09.2026</t>
        </is>
      </c>
      <c r="N3662" s="256" t="inlineStr">
        <is>
          <t>Farmahem</t>
        </is>
      </c>
      <c r="O3662" s="256" t="inlineStr">
        <is>
          <t>24.08.2026</t>
        </is>
      </c>
      <c r="P3662" s="256" t="inlineStr">
        <is>
          <t>covered</t>
        </is>
      </c>
      <c r="Q3662" s="256" t="inlineStr"/>
      <c r="R3662" s="256" t="inlineStr"/>
    </row>
    <row r="3663">
      <c r="A3663" s="256" t="inlineStr">
        <is>
          <t>CoQ-PP_26-160</t>
        </is>
      </c>
      <c r="B3663" s="256" t="inlineStr">
        <is>
          <t>reissue — retest</t>
        </is>
      </c>
      <c r="C3663" s="256" t="inlineStr">
        <is>
          <t>SCR012601</t>
        </is>
      </c>
      <c r="D3663" s="256" t="inlineStr">
        <is>
          <t>P060342</t>
        </is>
      </c>
      <c r="E3663" s="256" t="inlineStr">
        <is>
          <t>Scrambler</t>
        </is>
      </c>
      <c r="F3663" s="256" t="inlineStr">
        <is>
          <t>21.09.2026</t>
        </is>
      </c>
      <c r="G3663" s="256" t="inlineStr">
        <is>
          <t>5</t>
        </is>
      </c>
      <c r="H3663" s="256" t="inlineStr">
        <is>
          <t>Assay — Total CBD</t>
        </is>
      </c>
      <c r="I3663" s="256" t="inlineStr">
        <is>
          <t>Ph. Eur. 2.2.29 (HPLC) · CBD + CBDA x 0.877</t>
        </is>
      </c>
      <c r="J3663" s="256" t="inlineStr">
        <is>
          <t>≤ 1.0%, w/w</t>
        </is>
      </c>
      <c r="K3663" s="256" t="inlineStr">
        <is>
          <t>&lt; LOQ</t>
        </is>
      </c>
      <c r="L3663" s="256" t="inlineStr">
        <is>
          <t>227-8-К/26</t>
        </is>
      </c>
      <c r="M3663" s="256" t="inlineStr">
        <is>
          <t>11.09.2026</t>
        </is>
      </c>
      <c r="N3663" s="256" t="inlineStr">
        <is>
          <t>Farmahem</t>
        </is>
      </c>
      <c r="O3663" s="256" t="inlineStr">
        <is>
          <t>24.08.2026</t>
        </is>
      </c>
      <c r="P3663" s="256" t="inlineStr">
        <is>
          <t>covered</t>
        </is>
      </c>
      <c r="Q3663" s="256" t="inlineStr"/>
      <c r="R3663" s="256" t="inlineStr"/>
    </row>
    <row r="3664">
      <c r="A3664" s="256" t="inlineStr">
        <is>
          <t>CoQ-PP_26-160</t>
        </is>
      </c>
      <c r="B3664" s="256" t="inlineStr">
        <is>
          <t>reissue — retest</t>
        </is>
      </c>
      <c r="C3664" s="256" t="inlineStr">
        <is>
          <t>SCR012601</t>
        </is>
      </c>
      <c r="D3664" s="256" t="inlineStr">
        <is>
          <t>P060342</t>
        </is>
      </c>
      <c r="E3664" s="256" t="inlineStr">
        <is>
          <t>Scrambler</t>
        </is>
      </c>
      <c r="F3664" s="256" t="inlineStr">
        <is>
          <t>21.09.2026</t>
        </is>
      </c>
      <c r="G3664" s="256" t="inlineStr">
        <is>
          <t>6</t>
        </is>
      </c>
      <c r="H3664" s="256" t="inlineStr">
        <is>
          <t>Total CBN</t>
        </is>
      </c>
      <c r="I3664" s="256" t="inlineStr">
        <is>
          <t>Ph. Eur. 2.2.29 (HPLC) · CBN + CBNA x 0.876</t>
        </is>
      </c>
      <c r="J3664" s="256" t="inlineStr">
        <is>
          <t>≤ 1.0%, w/w</t>
        </is>
      </c>
      <c r="K3664" s="256" t="inlineStr">
        <is>
          <t>&lt; LOQ</t>
        </is>
      </c>
      <c r="L3664" s="256" t="inlineStr">
        <is>
          <t>227-8-К/26</t>
        </is>
      </c>
      <c r="M3664" s="256" t="inlineStr">
        <is>
          <t>11.09.2026</t>
        </is>
      </c>
      <c r="N3664" s="256" t="inlineStr">
        <is>
          <t>Farmahem</t>
        </is>
      </c>
      <c r="O3664" s="256" t="inlineStr">
        <is>
          <t>24.08.2026</t>
        </is>
      </c>
      <c r="P3664" s="256" t="inlineStr">
        <is>
          <t>covered</t>
        </is>
      </c>
      <c r="Q3664" s="256" t="inlineStr"/>
      <c r="R3664" s="256" t="inlineStr"/>
    </row>
    <row r="3665">
      <c r="A3665" s="256" t="inlineStr">
        <is>
          <t>CoQ-PP_26-160</t>
        </is>
      </c>
      <c r="B3665" s="256" t="inlineStr">
        <is>
          <t>reissue — retest</t>
        </is>
      </c>
      <c r="C3665" s="256" t="inlineStr">
        <is>
          <t>SCR012601</t>
        </is>
      </c>
      <c r="D3665" s="256" t="inlineStr">
        <is>
          <t>P060342</t>
        </is>
      </c>
      <c r="E3665" s="256" t="inlineStr">
        <is>
          <t>Scrambler</t>
        </is>
      </c>
      <c r="F3665" s="256" t="inlineStr">
        <is>
          <t>21.09.2026</t>
        </is>
      </c>
      <c r="G3665" s="256" t="inlineStr">
        <is>
          <t>7</t>
        </is>
      </c>
      <c r="H3665" s="256" t="inlineStr">
        <is>
          <t>Foreign Matter</t>
        </is>
      </c>
      <c r="I3665" s="256" t="inlineStr">
        <is>
          <t>Ph. Eur. 2.8.2 · In-house · интерна</t>
        </is>
      </c>
      <c r="J3665" s="256" t="inlineStr">
        <is>
          <t>≤ 2.0% / 25–50 g · &lt; 1 cm leaves | листови, no seeds | без семки</t>
        </is>
      </c>
      <c r="K3665" s="256" t="inlineStr">
        <is>
          <t>Conforms | Одговара</t>
        </is>
      </c>
      <c r="L3665" s="256" t="inlineStr">
        <is>
          <t>iCoA-PP_26-159</t>
        </is>
      </c>
      <c r="M3665" s="256" t="inlineStr">
        <is>
          <t>24.08.2026</t>
        </is>
      </c>
      <c r="N3665" s="256" t="inlineStr">
        <is>
          <t>Purely Plant GmbH (in-house)</t>
        </is>
      </c>
      <c r="O3665" s="256" t="inlineStr">
        <is>
          <t>—</t>
        </is>
      </c>
      <c r="P3665" s="256" t="inlineStr">
        <is>
          <t>to be performed — see route</t>
        </is>
      </c>
      <c r="Q3665" s="256" t="inlineStr">
        <is>
          <t>Purely Plant laboratory — iCoA covering Foreign matter</t>
        </is>
      </c>
      <c r="R3665" s="256" t="inlineStr"/>
    </row>
    <row r="3666">
      <c r="A3666" s="256" t="inlineStr">
        <is>
          <t>CoQ-PP_26-160</t>
        </is>
      </c>
      <c r="B3666" s="256" t="inlineStr">
        <is>
          <t>reissue — retest</t>
        </is>
      </c>
      <c r="C3666" s="256" t="inlineStr">
        <is>
          <t>SCR012601</t>
        </is>
      </c>
      <c r="D3666" s="256" t="inlineStr">
        <is>
          <t>P060342</t>
        </is>
      </c>
      <c r="E3666" s="256" t="inlineStr">
        <is>
          <t>Scrambler</t>
        </is>
      </c>
      <c r="F3666" s="256" t="inlineStr">
        <is>
          <t>21.09.2026</t>
        </is>
      </c>
      <c r="G3666" s="256" t="inlineStr">
        <is>
          <t>8</t>
        </is>
      </c>
      <c r="H3666" s="256" t="inlineStr">
        <is>
          <t>Loss on Drying</t>
        </is>
      </c>
      <c r="I3666" s="256" t="inlineStr">
        <is>
          <t>Ph. Eur. 2.2.32 (3028) · at 40 °C, 24 h, 15–25 mbar</t>
        </is>
      </c>
      <c r="J3666" s="256" t="inlineStr">
        <is>
          <t>≤ 12.0%</t>
        </is>
      </c>
      <c r="K3666" s="256" t="inlineStr">
        <is>
          <t>carried from the initial testing — not tested</t>
        </is>
      </c>
      <c r="L3666" s="256" t="inlineStr">
        <is>
          <t>—</t>
        </is>
      </c>
      <c r="M3666" s="256" t="inlineStr">
        <is>
          <t>—</t>
        </is>
      </c>
      <c r="N3666" s="256" t="inlineStr">
        <is>
          <t>—</t>
        </is>
      </c>
      <c r="O3666" s="256" t="inlineStr">
        <is>
          <t>—</t>
        </is>
      </c>
      <c r="P3666" s="256" t="inlineStr">
        <is>
          <t>carried from the initial testing (the batch's initial CoQ (number assigned on issue)) — not tested — no certificate covers it</t>
        </is>
      </c>
      <c r="Q3666" s="256" t="inlineStr"/>
      <c r="R3666" s="256" t="inlineStr"/>
    </row>
    <row r="3667">
      <c r="A3667" s="256" t="inlineStr">
        <is>
          <t>CoQ-PP_26-160</t>
        </is>
      </c>
      <c r="B3667" s="256" t="inlineStr">
        <is>
          <t>reissue — retest</t>
        </is>
      </c>
      <c r="C3667" s="256" t="inlineStr">
        <is>
          <t>SCR012601</t>
        </is>
      </c>
      <c r="D3667" s="256" t="inlineStr">
        <is>
          <t>P060342</t>
        </is>
      </c>
      <c r="E3667" s="256" t="inlineStr">
        <is>
          <t>Scrambler</t>
        </is>
      </c>
      <c r="F3667" s="256" t="inlineStr">
        <is>
          <t>21.09.2026</t>
        </is>
      </c>
      <c r="G3667" s="256" t="inlineStr">
        <is>
          <t>9.1</t>
        </is>
      </c>
      <c r="H3667" s="256" t="inlineStr">
        <is>
          <t>TAMC</t>
        </is>
      </c>
      <c r="I3667" s="256" t="inlineStr">
        <is>
          <t>Ph. Eur. 2.6.12 cat. C</t>
        </is>
      </c>
      <c r="J3667" s="256" t="inlineStr">
        <is>
          <t>≤ 10⁵ CFU/g</t>
        </is>
      </c>
      <c r="K3667" s="256" t="inlineStr">
        <is>
          <t>8,3 × 10³</t>
        </is>
      </c>
      <c r="L3667" s="256" t="inlineStr">
        <is>
          <t>539/1070/26</t>
        </is>
      </c>
      <c r="M3667" s="256" t="inlineStr">
        <is>
          <t>31.08.2026</t>
        </is>
      </c>
      <c r="N3667" s="256" t="inlineStr">
        <is>
          <t>IPH — Institute of Public Health</t>
        </is>
      </c>
      <c r="O3667" s="256" t="inlineStr">
        <is>
          <t>25.08.2026</t>
        </is>
      </c>
      <c r="P3667" s="256" t="inlineStr">
        <is>
          <t>covered</t>
        </is>
      </c>
      <c r="Q3667" s="256" t="inlineStr"/>
      <c r="R3667" s="256" t="inlineStr"/>
    </row>
    <row r="3668">
      <c r="A3668" s="256" t="inlineStr">
        <is>
          <t>CoQ-PP_26-160</t>
        </is>
      </c>
      <c r="B3668" s="256" t="inlineStr">
        <is>
          <t>reissue — retest</t>
        </is>
      </c>
      <c r="C3668" s="256" t="inlineStr">
        <is>
          <t>SCR012601</t>
        </is>
      </c>
      <c r="D3668" s="256" t="inlineStr">
        <is>
          <t>P060342</t>
        </is>
      </c>
      <c r="E3668" s="256" t="inlineStr">
        <is>
          <t>Scrambler</t>
        </is>
      </c>
      <c r="F3668" s="256" t="inlineStr">
        <is>
          <t>21.09.2026</t>
        </is>
      </c>
      <c r="G3668" s="256" t="inlineStr">
        <is>
          <t>9.2</t>
        </is>
      </c>
      <c r="H3668" s="256" t="inlineStr">
        <is>
          <t>TYMC</t>
        </is>
      </c>
      <c r="I3668" s="256" t="inlineStr">
        <is>
          <t>Ph. Eur. 2.6.12 cat. C</t>
        </is>
      </c>
      <c r="J3668" s="256" t="inlineStr">
        <is>
          <t>≤ 10⁴ CFU/g</t>
        </is>
      </c>
      <c r="K3668" s="256" t="inlineStr">
        <is>
          <t>5,3 × 10³</t>
        </is>
      </c>
      <c r="L3668" s="256" t="inlineStr">
        <is>
          <t>539/1070/26</t>
        </is>
      </c>
      <c r="M3668" s="256" t="inlineStr">
        <is>
          <t>31.08.2026</t>
        </is>
      </c>
      <c r="N3668" s="256" t="inlineStr">
        <is>
          <t>IPH — Institute of Public Health</t>
        </is>
      </c>
      <c r="O3668" s="256" t="inlineStr">
        <is>
          <t>25.08.2026</t>
        </is>
      </c>
      <c r="P3668" s="256" t="inlineStr">
        <is>
          <t>covered</t>
        </is>
      </c>
      <c r="Q3668" s="256" t="inlineStr"/>
      <c r="R3668" s="256" t="inlineStr"/>
    </row>
    <row r="3669">
      <c r="A3669" s="256" t="inlineStr">
        <is>
          <t>CoQ-PP_26-160</t>
        </is>
      </c>
      <c r="B3669" s="256" t="inlineStr">
        <is>
          <t>reissue — retest</t>
        </is>
      </c>
      <c r="C3669" s="256" t="inlineStr">
        <is>
          <t>SCR012601</t>
        </is>
      </c>
      <c r="D3669" s="256" t="inlineStr">
        <is>
          <t>P060342</t>
        </is>
      </c>
      <c r="E3669" s="256" t="inlineStr">
        <is>
          <t>Scrambler</t>
        </is>
      </c>
      <c r="F3669" s="256" t="inlineStr">
        <is>
          <t>21.09.2026</t>
        </is>
      </c>
      <c r="G3669" s="256" t="inlineStr">
        <is>
          <t>9.3</t>
        </is>
      </c>
      <c r="H3669" s="256" t="inlineStr">
        <is>
          <t>Bile-tolerant gram-neg.</t>
        </is>
      </c>
      <c r="I3669" s="256" t="inlineStr">
        <is>
          <t>Ph. Eur. 2.6.31 cat. C</t>
        </is>
      </c>
      <c r="J3669" s="256" t="inlineStr">
        <is>
          <t>≤ 10⁴ CFU/g</t>
        </is>
      </c>
      <c r="K3669" s="256" t="inlineStr">
        <is>
          <t>&lt; 10</t>
        </is>
      </c>
      <c r="L3669" s="256" t="inlineStr">
        <is>
          <t>539/1070/26</t>
        </is>
      </c>
      <c r="M3669" s="256" t="inlineStr">
        <is>
          <t>31.08.2026</t>
        </is>
      </c>
      <c r="N3669" s="256" t="inlineStr">
        <is>
          <t>IPH — Institute of Public Health</t>
        </is>
      </c>
      <c r="O3669" s="256" t="inlineStr">
        <is>
          <t>25.08.2026</t>
        </is>
      </c>
      <c r="P3669" s="256" t="inlineStr">
        <is>
          <t>covered</t>
        </is>
      </c>
      <c r="Q3669" s="256" t="inlineStr"/>
      <c r="R3669" s="256" t="inlineStr"/>
    </row>
    <row r="3670">
      <c r="A3670" s="256" t="inlineStr">
        <is>
          <t>CoQ-PP_26-160</t>
        </is>
      </c>
      <c r="B3670" s="256" t="inlineStr">
        <is>
          <t>reissue — retest</t>
        </is>
      </c>
      <c r="C3670" s="256" t="inlineStr">
        <is>
          <t>SCR012601</t>
        </is>
      </c>
      <c r="D3670" s="256" t="inlineStr">
        <is>
          <t>P060342</t>
        </is>
      </c>
      <c r="E3670" s="256" t="inlineStr">
        <is>
          <t>Scrambler</t>
        </is>
      </c>
      <c r="F3670" s="256" t="inlineStr">
        <is>
          <t>21.09.2026</t>
        </is>
      </c>
      <c r="G3670" s="256" t="inlineStr">
        <is>
          <t>9.4</t>
        </is>
      </c>
      <c r="H3670" s="256" t="inlineStr">
        <is>
          <t>Salmonella</t>
        </is>
      </c>
      <c r="I3670" s="256" t="inlineStr">
        <is>
          <t>Ph. Eur. 2.6.31 cat. C</t>
        </is>
      </c>
      <c r="J3670" s="256" t="inlineStr">
        <is>
          <t>Absence | Отсуство / 25 g</t>
        </is>
      </c>
      <c r="K3670" s="256" t="inlineStr">
        <is>
          <t>Absent | Отсутна</t>
        </is>
      </c>
      <c r="L3670" s="256" t="inlineStr">
        <is>
          <t>539/1070/26</t>
        </is>
      </c>
      <c r="M3670" s="256" t="inlineStr">
        <is>
          <t>31.08.2026</t>
        </is>
      </c>
      <c r="N3670" s="256" t="inlineStr">
        <is>
          <t>IPH — Institute of Public Health</t>
        </is>
      </c>
      <c r="O3670" s="256" t="inlineStr">
        <is>
          <t>25.08.2026</t>
        </is>
      </c>
      <c r="P3670" s="256" t="inlineStr">
        <is>
          <t>covered</t>
        </is>
      </c>
      <c r="Q3670" s="256" t="inlineStr"/>
      <c r="R3670" s="256" t="inlineStr"/>
    </row>
    <row r="3671">
      <c r="A3671" s="256" t="inlineStr">
        <is>
          <t>CoQ-PP_26-160</t>
        </is>
      </c>
      <c r="B3671" s="256" t="inlineStr">
        <is>
          <t>reissue — retest</t>
        </is>
      </c>
      <c r="C3671" s="256" t="inlineStr">
        <is>
          <t>SCR012601</t>
        </is>
      </c>
      <c r="D3671" s="256" t="inlineStr">
        <is>
          <t>P060342</t>
        </is>
      </c>
      <c r="E3671" s="256" t="inlineStr">
        <is>
          <t>Scrambler</t>
        </is>
      </c>
      <c r="F3671" s="256" t="inlineStr">
        <is>
          <t>21.09.2026</t>
        </is>
      </c>
      <c r="G3671" s="256" t="inlineStr">
        <is>
          <t>9.5</t>
        </is>
      </c>
      <c r="H3671" s="256" t="inlineStr">
        <is>
          <t>Escherichia coli</t>
        </is>
      </c>
      <c r="I3671" s="256" t="inlineStr">
        <is>
          <t>Ph. Eur. 2.6.13 cat. C</t>
        </is>
      </c>
      <c r="J3671" s="256" t="inlineStr">
        <is>
          <t>Absence | Отсуство / 1 g</t>
        </is>
      </c>
      <c r="K3671" s="256" t="inlineStr">
        <is>
          <t>Absent | Отсутна</t>
        </is>
      </c>
      <c r="L3671" s="256" t="inlineStr">
        <is>
          <t>539/1070/26</t>
        </is>
      </c>
      <c r="M3671" s="256" t="inlineStr">
        <is>
          <t>31.08.2026</t>
        </is>
      </c>
      <c r="N3671" s="256" t="inlineStr">
        <is>
          <t>IPH — Institute of Public Health</t>
        </is>
      </c>
      <c r="O3671" s="256" t="inlineStr">
        <is>
          <t>25.08.2026</t>
        </is>
      </c>
      <c r="P3671" s="256" t="inlineStr">
        <is>
          <t>covered</t>
        </is>
      </c>
      <c r="Q3671" s="256" t="inlineStr"/>
      <c r="R3671" s="256" t="inlineStr"/>
    </row>
    <row r="3672">
      <c r="A3672" s="256" t="inlineStr">
        <is>
          <t>CoQ-PP_26-160</t>
        </is>
      </c>
      <c r="B3672" s="256" t="inlineStr">
        <is>
          <t>reissue — retest</t>
        </is>
      </c>
      <c r="C3672" s="256" t="inlineStr">
        <is>
          <t>SCR012601</t>
        </is>
      </c>
      <c r="D3672" s="256" t="inlineStr">
        <is>
          <t>P060342</t>
        </is>
      </c>
      <c r="E3672" s="256" t="inlineStr">
        <is>
          <t>Scrambler</t>
        </is>
      </c>
      <c r="F3672" s="256" t="inlineStr">
        <is>
          <t>21.09.2026</t>
        </is>
      </c>
      <c r="G3672" s="256" t="inlineStr">
        <is>
          <t>9.6</t>
        </is>
      </c>
      <c r="H3672" s="256" t="inlineStr">
        <is>
          <t>Pseudomonas aeruginosa</t>
        </is>
      </c>
      <c r="I3672" s="256" t="inlineStr">
        <is>
          <t>Ph. Eur. 2.6.13 cat. C</t>
        </is>
      </c>
      <c r="J3672" s="256" t="inlineStr">
        <is>
          <t>Absence | Отсуство / 1 g</t>
        </is>
      </c>
      <c r="K3672" s="260" t="inlineStr">
        <is>
          <t>upon request — not required for release</t>
        </is>
      </c>
      <c r="L3672" s="256" t="inlineStr">
        <is>
          <t>—</t>
        </is>
      </c>
      <c r="M3672" s="256" t="inlineStr">
        <is>
          <t>—</t>
        </is>
      </c>
      <c r="N3672" s="256" t="inlineStr">
        <is>
          <t>—</t>
        </is>
      </c>
      <c r="O3672" s="256" t="inlineStr">
        <is>
          <t>—</t>
        </is>
      </c>
      <c r="P3672" s="256" t="inlineStr">
        <is>
          <t>upon request — not required for release</t>
        </is>
      </c>
      <c r="Q3672" s="256" t="inlineStr"/>
      <c r="R3672" s="256" t="inlineStr"/>
    </row>
    <row r="3673">
      <c r="A3673" s="256" t="inlineStr">
        <is>
          <t>CoQ-PP_26-160</t>
        </is>
      </c>
      <c r="B3673" s="256" t="inlineStr">
        <is>
          <t>reissue — retest</t>
        </is>
      </c>
      <c r="C3673" s="256" t="inlineStr">
        <is>
          <t>SCR012601</t>
        </is>
      </c>
      <c r="D3673" s="256" t="inlineStr">
        <is>
          <t>P060342</t>
        </is>
      </c>
      <c r="E3673" s="256" t="inlineStr">
        <is>
          <t>Scrambler</t>
        </is>
      </c>
      <c r="F3673" s="256" t="inlineStr">
        <is>
          <t>21.09.2026</t>
        </is>
      </c>
      <c r="G3673" s="256" t="inlineStr">
        <is>
          <t>9.7</t>
        </is>
      </c>
      <c r="H3673" s="256" t="inlineStr">
        <is>
          <t>Staphylococcus aureus</t>
        </is>
      </c>
      <c r="I3673" s="256" t="inlineStr">
        <is>
          <t>Ph. Eur. 2.6.13 cat. C</t>
        </is>
      </c>
      <c r="J3673" s="256" t="inlineStr">
        <is>
          <t>Absence | Отсуство / 1 g</t>
        </is>
      </c>
      <c r="K3673" s="260" t="inlineStr">
        <is>
          <t>upon request — not required for release</t>
        </is>
      </c>
      <c r="L3673" s="256" t="inlineStr">
        <is>
          <t>—</t>
        </is>
      </c>
      <c r="M3673" s="256" t="inlineStr">
        <is>
          <t>—</t>
        </is>
      </c>
      <c r="N3673" s="256" t="inlineStr">
        <is>
          <t>—</t>
        </is>
      </c>
      <c r="O3673" s="256" t="inlineStr">
        <is>
          <t>—</t>
        </is>
      </c>
      <c r="P3673" s="256" t="inlineStr">
        <is>
          <t>upon request — not required for release</t>
        </is>
      </c>
      <c r="Q3673" s="256" t="inlineStr"/>
      <c r="R3673" s="256" t="inlineStr"/>
    </row>
    <row r="3674">
      <c r="A3674" s="256" t="inlineStr">
        <is>
          <t>CoQ-PP_26-160</t>
        </is>
      </c>
      <c r="B3674" s="256" t="inlineStr">
        <is>
          <t>reissue — retest</t>
        </is>
      </c>
      <c r="C3674" s="256" t="inlineStr">
        <is>
          <t>SCR012601</t>
        </is>
      </c>
      <c r="D3674" s="256" t="inlineStr">
        <is>
          <t>P060342</t>
        </is>
      </c>
      <c r="E3674" s="256" t="inlineStr">
        <is>
          <t>Scrambler</t>
        </is>
      </c>
      <c r="F3674" s="256" t="inlineStr">
        <is>
          <t>21.09.2026</t>
        </is>
      </c>
      <c r="G3674" s="256" t="inlineStr">
        <is>
          <t>10.1</t>
        </is>
      </c>
      <c r="H3674" s="256" t="inlineStr">
        <is>
          <t>Aflatoxin B₁</t>
        </is>
      </c>
      <c r="I3674" s="256" t="inlineStr">
        <is>
          <t>Ph. Eur. 2.8.18 (HPLC-FLD)</t>
        </is>
      </c>
      <c r="J3674" s="256" t="inlineStr">
        <is>
          <t>≤ 2 µg/kg</t>
        </is>
      </c>
      <c r="K3674" s="256" t="inlineStr">
        <is>
          <t>ND</t>
        </is>
      </c>
      <c r="L3674" s="256" t="inlineStr">
        <is>
          <t>227-8-М/26</t>
        </is>
      </c>
      <c r="M3674" s="256" t="inlineStr">
        <is>
          <t>16.09.2026</t>
        </is>
      </c>
      <c r="N3674" s="256" t="inlineStr">
        <is>
          <t>Farmahem</t>
        </is>
      </c>
      <c r="O3674" s="256" t="inlineStr">
        <is>
          <t>—</t>
        </is>
      </c>
      <c r="P3674" s="256" t="inlineStr">
        <is>
          <t>covered</t>
        </is>
      </c>
      <c r="Q3674" s="256" t="inlineStr"/>
      <c r="R3674" s="256" t="inlineStr"/>
    </row>
    <row r="3675">
      <c r="A3675" s="256" t="inlineStr">
        <is>
          <t>CoQ-PP_26-160</t>
        </is>
      </c>
      <c r="B3675" s="256" t="inlineStr">
        <is>
          <t>reissue — retest</t>
        </is>
      </c>
      <c r="C3675" s="256" t="inlineStr">
        <is>
          <t>SCR012601</t>
        </is>
      </c>
      <c r="D3675" s="256" t="inlineStr">
        <is>
          <t>P060342</t>
        </is>
      </c>
      <c r="E3675" s="256" t="inlineStr">
        <is>
          <t>Scrambler</t>
        </is>
      </c>
      <c r="F3675" s="256" t="inlineStr">
        <is>
          <t>21.09.2026</t>
        </is>
      </c>
      <c r="G3675" s="256" t="inlineStr">
        <is>
          <t>10.2</t>
        </is>
      </c>
      <c r="H3675" s="256" t="inlineStr">
        <is>
          <t>Aflatoxins ∑</t>
        </is>
      </c>
      <c r="I3675" s="256" t="inlineStr">
        <is>
          <t>Ph. Eur. 2.8.18 (HPLC-FLD)</t>
        </is>
      </c>
      <c r="J3675" s="256" t="inlineStr">
        <is>
          <t>≤ 4 µg/kg</t>
        </is>
      </c>
      <c r="K3675" s="256" t="inlineStr">
        <is>
          <t>ND</t>
        </is>
      </c>
      <c r="L3675" s="256" t="inlineStr">
        <is>
          <t>227-8-М/26</t>
        </is>
      </c>
      <c r="M3675" s="256" t="inlineStr">
        <is>
          <t>16.09.2026</t>
        </is>
      </c>
      <c r="N3675" s="256" t="inlineStr">
        <is>
          <t>Farmahem</t>
        </is>
      </c>
      <c r="O3675" s="256" t="inlineStr">
        <is>
          <t>—</t>
        </is>
      </c>
      <c r="P3675" s="256" t="inlineStr">
        <is>
          <t>covered</t>
        </is>
      </c>
      <c r="Q3675" s="256" t="inlineStr"/>
      <c r="R3675" s="256" t="inlineStr"/>
    </row>
    <row r="3676">
      <c r="A3676" s="256" t="inlineStr">
        <is>
          <t>CoQ-PP_26-160</t>
        </is>
      </c>
      <c r="B3676" s="256" t="inlineStr">
        <is>
          <t>reissue — retest</t>
        </is>
      </c>
      <c r="C3676" s="256" t="inlineStr">
        <is>
          <t>SCR012601</t>
        </is>
      </c>
      <c r="D3676" s="256" t="inlineStr">
        <is>
          <t>P060342</t>
        </is>
      </c>
      <c r="E3676" s="256" t="inlineStr">
        <is>
          <t>Scrambler</t>
        </is>
      </c>
      <c r="F3676" s="256" t="inlineStr">
        <is>
          <t>21.09.2026</t>
        </is>
      </c>
      <c r="G3676" s="256" t="inlineStr">
        <is>
          <t>10.3</t>
        </is>
      </c>
      <c r="H3676" s="256" t="inlineStr">
        <is>
          <t>Ochratoxin A</t>
        </is>
      </c>
      <c r="I3676" s="256" t="inlineStr">
        <is>
          <t>Ph. Eur. 2.8.22 (HPLC-FLD)</t>
        </is>
      </c>
      <c r="J3676" s="256" t="inlineStr">
        <is>
          <t>≤ 20 µg/kg</t>
        </is>
      </c>
      <c r="K3676" s="256" t="inlineStr">
        <is>
          <t>ND</t>
        </is>
      </c>
      <c r="L3676" s="256" t="inlineStr">
        <is>
          <t>227-8-М/26</t>
        </is>
      </c>
      <c r="M3676" s="256" t="inlineStr">
        <is>
          <t>16.09.2026</t>
        </is>
      </c>
      <c r="N3676" s="256" t="inlineStr">
        <is>
          <t>Farmahem</t>
        </is>
      </c>
      <c r="O3676" s="256" t="inlineStr">
        <is>
          <t>—</t>
        </is>
      </c>
      <c r="P3676" s="256" t="inlineStr">
        <is>
          <t>covered</t>
        </is>
      </c>
      <c r="Q3676" s="256" t="inlineStr"/>
      <c r="R3676" s="256" t="inlineStr"/>
    </row>
    <row r="3677">
      <c r="A3677" s="256" t="inlineStr">
        <is>
          <t>CoQ-PP_26-160</t>
        </is>
      </c>
      <c r="B3677" s="256" t="inlineStr">
        <is>
          <t>reissue — retest</t>
        </is>
      </c>
      <c r="C3677" s="256" t="inlineStr">
        <is>
          <t>SCR012601</t>
        </is>
      </c>
      <c r="D3677" s="256" t="inlineStr">
        <is>
          <t>P060342</t>
        </is>
      </c>
      <c r="E3677" s="256" t="inlineStr">
        <is>
          <t>Scrambler</t>
        </is>
      </c>
      <c r="F3677" s="256" t="inlineStr">
        <is>
          <t>21.09.2026</t>
        </is>
      </c>
      <c r="G3677" s="256" t="inlineStr">
        <is>
          <t>11.1</t>
        </is>
      </c>
      <c r="H3677" s="256" t="inlineStr">
        <is>
          <t>Lead (Pb)</t>
        </is>
      </c>
      <c r="I3677" s="256" t="inlineStr">
        <is>
          <t>Ph. Eur. 2.4.27 (ICP-MS)</t>
        </is>
      </c>
      <c r="J3677" s="256" t="inlineStr">
        <is>
          <t>≤ 0.5 mg/kg</t>
        </is>
      </c>
      <c r="K3677" s="256" t="inlineStr">
        <is>
          <t>carried from the initial testing — not tested</t>
        </is>
      </c>
      <c r="L3677" s="256" t="inlineStr">
        <is>
          <t>—</t>
        </is>
      </c>
      <c r="M3677" s="256" t="inlineStr">
        <is>
          <t>—</t>
        </is>
      </c>
      <c r="N3677" s="256" t="inlineStr">
        <is>
          <t>—</t>
        </is>
      </c>
      <c r="O3677" s="256" t="inlineStr">
        <is>
          <t>—</t>
        </is>
      </c>
      <c r="P3677" s="256" t="inlineStr">
        <is>
          <t>carried from the initial testing (the batch's initial CoQ (number assigned on issue)) — not tested — no certificate covers it</t>
        </is>
      </c>
      <c r="Q3677" s="256" t="inlineStr"/>
      <c r="R3677" s="256" t="inlineStr"/>
    </row>
    <row r="3678">
      <c r="A3678" s="256" t="inlineStr">
        <is>
          <t>CoQ-PP_26-160</t>
        </is>
      </c>
      <c r="B3678" s="256" t="inlineStr">
        <is>
          <t>reissue — retest</t>
        </is>
      </c>
      <c r="C3678" s="256" t="inlineStr">
        <is>
          <t>SCR012601</t>
        </is>
      </c>
      <c r="D3678" s="256" t="inlineStr">
        <is>
          <t>P060342</t>
        </is>
      </c>
      <c r="E3678" s="256" t="inlineStr">
        <is>
          <t>Scrambler</t>
        </is>
      </c>
      <c r="F3678" s="256" t="inlineStr">
        <is>
          <t>21.09.2026</t>
        </is>
      </c>
      <c r="G3678" s="256" t="inlineStr">
        <is>
          <t>11.2</t>
        </is>
      </c>
      <c r="H3678" s="256" t="inlineStr">
        <is>
          <t>Cadmium (Cd)</t>
        </is>
      </c>
      <c r="I3678" s="256" t="inlineStr">
        <is>
          <t>Ph. Eur. 2.4.27 (ICP-MS)</t>
        </is>
      </c>
      <c r="J3678" s="256" t="inlineStr">
        <is>
          <t>≤ 0.3 mg/kg</t>
        </is>
      </c>
      <c r="K3678" s="256" t="inlineStr">
        <is>
          <t>carried from the initial testing — not tested</t>
        </is>
      </c>
      <c r="L3678" s="256" t="inlineStr">
        <is>
          <t>—</t>
        </is>
      </c>
      <c r="M3678" s="256" t="inlineStr">
        <is>
          <t>—</t>
        </is>
      </c>
      <c r="N3678" s="256" t="inlineStr">
        <is>
          <t>—</t>
        </is>
      </c>
      <c r="O3678" s="256" t="inlineStr">
        <is>
          <t>—</t>
        </is>
      </c>
      <c r="P3678" s="256" t="inlineStr">
        <is>
          <t>carried from the initial testing (the batch's initial CoQ (number assigned on issue)) — not tested — no certificate covers it</t>
        </is>
      </c>
      <c r="Q3678" s="256" t="inlineStr"/>
      <c r="R3678" s="256" t="inlineStr"/>
    </row>
    <row r="3679">
      <c r="A3679" s="256" t="inlineStr">
        <is>
          <t>CoQ-PP_26-160</t>
        </is>
      </c>
      <c r="B3679" s="256" t="inlineStr">
        <is>
          <t>reissue — retest</t>
        </is>
      </c>
      <c r="C3679" s="256" t="inlineStr">
        <is>
          <t>SCR012601</t>
        </is>
      </c>
      <c r="D3679" s="256" t="inlineStr">
        <is>
          <t>P060342</t>
        </is>
      </c>
      <c r="E3679" s="256" t="inlineStr">
        <is>
          <t>Scrambler</t>
        </is>
      </c>
      <c r="F3679" s="256" t="inlineStr">
        <is>
          <t>21.09.2026</t>
        </is>
      </c>
      <c r="G3679" s="256" t="inlineStr">
        <is>
          <t>11.3</t>
        </is>
      </c>
      <c r="H3679" s="256" t="inlineStr">
        <is>
          <t>Arsenic (As)</t>
        </is>
      </c>
      <c r="I3679" s="256" t="inlineStr">
        <is>
          <t>Ph. Eur. 2.4.27 (ICP-MS)</t>
        </is>
      </c>
      <c r="J3679" s="256" t="inlineStr">
        <is>
          <t>≤ 0.2 mg/kg</t>
        </is>
      </c>
      <c r="K3679" s="256" t="inlineStr">
        <is>
          <t>carried from the initial testing — not tested</t>
        </is>
      </c>
      <c r="L3679" s="256" t="inlineStr">
        <is>
          <t>—</t>
        </is>
      </c>
      <c r="M3679" s="256" t="inlineStr">
        <is>
          <t>—</t>
        </is>
      </c>
      <c r="N3679" s="256" t="inlineStr">
        <is>
          <t>—</t>
        </is>
      </c>
      <c r="O3679" s="256" t="inlineStr">
        <is>
          <t>—</t>
        </is>
      </c>
      <c r="P3679" s="256" t="inlineStr">
        <is>
          <t>carried from the initial testing (the batch's initial CoQ (number assigned on issue)) — not tested — no certificate covers it</t>
        </is>
      </c>
      <c r="Q3679" s="256" t="inlineStr"/>
      <c r="R3679" s="256" t="inlineStr"/>
    </row>
    <row r="3680">
      <c r="A3680" s="256" t="inlineStr">
        <is>
          <t>CoQ-PP_26-160</t>
        </is>
      </c>
      <c r="B3680" s="256" t="inlineStr">
        <is>
          <t>reissue — retest</t>
        </is>
      </c>
      <c r="C3680" s="256" t="inlineStr">
        <is>
          <t>SCR012601</t>
        </is>
      </c>
      <c r="D3680" s="256" t="inlineStr">
        <is>
          <t>P060342</t>
        </is>
      </c>
      <c r="E3680" s="256" t="inlineStr">
        <is>
          <t>Scrambler</t>
        </is>
      </c>
      <c r="F3680" s="256" t="inlineStr">
        <is>
          <t>21.09.2026</t>
        </is>
      </c>
      <c r="G3680" s="256" t="inlineStr">
        <is>
          <t>11.4</t>
        </is>
      </c>
      <c r="H3680" s="256" t="inlineStr">
        <is>
          <t>Mercury (Hg)</t>
        </is>
      </c>
      <c r="I3680" s="256" t="inlineStr">
        <is>
          <t>Ph. Eur. 2.4.27 (ICP-MS)</t>
        </is>
      </c>
      <c r="J3680" s="256" t="inlineStr">
        <is>
          <t>≤ 0.1 mg/kg</t>
        </is>
      </c>
      <c r="K3680" s="256" t="inlineStr">
        <is>
          <t>carried from the initial testing — not tested</t>
        </is>
      </c>
      <c r="L3680" s="256" t="inlineStr">
        <is>
          <t>—</t>
        </is>
      </c>
      <c r="M3680" s="256" t="inlineStr">
        <is>
          <t>—</t>
        </is>
      </c>
      <c r="N3680" s="256" t="inlineStr">
        <is>
          <t>—</t>
        </is>
      </c>
      <c r="O3680" s="256" t="inlineStr">
        <is>
          <t>—</t>
        </is>
      </c>
      <c r="P3680" s="256" t="inlineStr">
        <is>
          <t>carried from the initial testing (the batch's initial CoQ (number assigned on issue)) — not tested — no certificate covers it</t>
        </is>
      </c>
      <c r="Q3680" s="256" t="inlineStr"/>
      <c r="R3680" s="256" t="inlineStr"/>
    </row>
    <row r="3681">
      <c r="A3681" s="256" t="inlineStr">
        <is>
          <t>CoQ-PP_26-160</t>
        </is>
      </c>
      <c r="B3681" s="256" t="inlineStr">
        <is>
          <t>reissue — retest</t>
        </is>
      </c>
      <c r="C3681" s="256" t="inlineStr">
        <is>
          <t>SCR012601</t>
        </is>
      </c>
      <c r="D3681" s="256" t="inlineStr">
        <is>
          <t>P060342</t>
        </is>
      </c>
      <c r="E3681" s="256" t="inlineStr">
        <is>
          <t>Scrambler</t>
        </is>
      </c>
      <c r="F3681" s="256" t="inlineStr">
        <is>
          <t>21.09.2026</t>
        </is>
      </c>
      <c r="G3681" s="256" t="inlineStr">
        <is>
          <t>12</t>
        </is>
      </c>
      <c r="H3681" s="256" t="inlineStr">
        <is>
          <t>Pesticide Residues</t>
        </is>
      </c>
      <c r="I3681" s="256" t="inlineStr">
        <is>
          <t>Ph. Eur. 2.8.13 (LC-MS/MS) · CUMCS Equivalency</t>
        </is>
      </c>
      <c r="J3681" s="256" t="inlineStr">
        <is>
          <t>≤ LOQ as per Ph. Eur. 2.8.13 · ≤ LOQ as per CUMCS Equivalency</t>
        </is>
      </c>
      <c r="K3681" s="256" t="inlineStr">
        <is>
          <t>carried from the initial testing — not tested</t>
        </is>
      </c>
      <c r="L3681" s="256" t="inlineStr">
        <is>
          <t>—</t>
        </is>
      </c>
      <c r="M3681" s="256" t="inlineStr">
        <is>
          <t>—</t>
        </is>
      </c>
      <c r="N3681" s="256" t="inlineStr">
        <is>
          <t>—</t>
        </is>
      </c>
      <c r="O3681" s="256" t="inlineStr">
        <is>
          <t>—</t>
        </is>
      </c>
      <c r="P3681" s="256" t="inlineStr">
        <is>
          <t>carried from the initial testing (the batch's initial CoQ (number assigned on issue)) — not tested — no certificate covers it</t>
        </is>
      </c>
      <c r="Q3681" s="256" t="inlineStr"/>
      <c r="R3681" s="256" t="inlineStr"/>
    </row>
    <row r="3682">
      <c r="A3682" s="256" t="inlineStr">
        <is>
          <t>CoQ-PP_26-161</t>
        </is>
      </c>
      <c r="B3682" s="256" t="inlineStr">
        <is>
          <t>reissue — retest</t>
        </is>
      </c>
      <c r="C3682" s="256" t="inlineStr">
        <is>
          <t>SCR022601</t>
        </is>
      </c>
      <c r="D3682" s="256" t="inlineStr">
        <is>
          <t>— no P lot assigned —</t>
        </is>
      </c>
      <c r="E3682" s="256" t="inlineStr">
        <is>
          <t>Scrambler</t>
        </is>
      </c>
      <c r="F3682" s="256" t="inlineStr">
        <is>
          <t>21.09.2026</t>
        </is>
      </c>
      <c r="G3682" s="256" t="inlineStr">
        <is>
          <t>1</t>
        </is>
      </c>
      <c r="H3682" s="256" t="inlineStr">
        <is>
          <t>Identification A, Appearance · Macroscopic</t>
        </is>
      </c>
      <c r="I3682" s="256" t="inlineStr">
        <is>
          <t>Ph. Eur. mon. 3028</t>
        </is>
      </c>
      <c r="J3682" s="256" t="inlineStr">
        <is>
          <t>Conforms to the monograph for Cannabis flos (07/2024:3028) in Ph. Eur. 11.0 | Согласно монографија за Cannabis flos (07/2024:3028) во Ph. Eur. 11.0</t>
        </is>
      </c>
      <c r="K3682" s="256" t="inlineStr">
        <is>
          <t>Conforms | Одговара</t>
        </is>
      </c>
      <c r="L3682" s="256" t="inlineStr">
        <is>
          <t>ППК26116</t>
        </is>
      </c>
      <c r="M3682" s="256" t="inlineStr">
        <is>
          <t>06.07.2026</t>
        </is>
      </c>
      <c r="N3682" s="256" t="inlineStr">
        <is>
          <t>UKIM Faculty of Pharmacy — Center for Natural Products</t>
        </is>
      </c>
      <c r="O3682" s="256" t="inlineStr">
        <is>
          <t>17.06.2026</t>
        </is>
      </c>
      <c r="P3682" s="256" t="inlineStr">
        <is>
          <t>carried from the initial testing (the batch's initial CoQ (number assigned on issue)) — covered</t>
        </is>
      </c>
      <c r="Q3682" s="256" t="inlineStr"/>
      <c r="R3682" s="256" t="inlineStr"/>
    </row>
    <row r="3683">
      <c r="A3683" s="256" t="inlineStr">
        <is>
          <t>CoQ-PP_26-161</t>
        </is>
      </c>
      <c r="B3683" s="256" t="inlineStr">
        <is>
          <t>reissue — retest</t>
        </is>
      </c>
      <c r="C3683" s="256" t="inlineStr">
        <is>
          <t>SCR022601</t>
        </is>
      </c>
      <c r="D3683" s="256" t="inlineStr">
        <is>
          <t>— no P lot assigned —</t>
        </is>
      </c>
      <c r="E3683" s="256" t="inlineStr">
        <is>
          <t>Scrambler</t>
        </is>
      </c>
      <c r="F3683" s="256" t="inlineStr">
        <is>
          <t>21.09.2026</t>
        </is>
      </c>
      <c r="G3683" s="256" t="inlineStr">
        <is>
          <t>2</t>
        </is>
      </c>
      <c r="H3683" s="256" t="inlineStr">
        <is>
          <t>Identification B · Microscopic</t>
        </is>
      </c>
      <c r="I3683" s="256" t="inlineStr">
        <is>
          <t>Ph. Eur. 2.8.23 (microscopy)</t>
        </is>
      </c>
      <c r="J3683" s="256" t="inlineStr">
        <is>
          <t>Conforms to the monograph for Cannabis flos (07/2024:3028) in Ph. Eur. 11.0 | Согласно монографија за Cannabis flos (07/2024:3028) во Ph. Eur. 11.0</t>
        </is>
      </c>
      <c r="K3683" s="256" t="inlineStr">
        <is>
          <t>Conforms | Одговара</t>
        </is>
      </c>
      <c r="L3683" s="256" t="inlineStr">
        <is>
          <t>ППК26116</t>
        </is>
      </c>
      <c r="M3683" s="256" t="inlineStr">
        <is>
          <t>06.07.2026</t>
        </is>
      </c>
      <c r="N3683" s="256" t="inlineStr">
        <is>
          <t>UKIM Faculty of Pharmacy — Center for Natural Products</t>
        </is>
      </c>
      <c r="O3683" s="256" t="inlineStr">
        <is>
          <t>17.06.2026</t>
        </is>
      </c>
      <c r="P3683" s="256" t="inlineStr">
        <is>
          <t>carried from the initial testing (the batch's initial CoQ (number assigned on issue)) — covered</t>
        </is>
      </c>
      <c r="Q3683" s="256" t="inlineStr"/>
      <c r="R3683" s="256" t="inlineStr"/>
    </row>
    <row r="3684">
      <c r="A3684" s="256" t="inlineStr">
        <is>
          <t>CoQ-PP_26-161</t>
        </is>
      </c>
      <c r="B3684" s="256" t="inlineStr">
        <is>
          <t>reissue — retest</t>
        </is>
      </c>
      <c r="C3684" s="256" t="inlineStr">
        <is>
          <t>SCR022601</t>
        </is>
      </c>
      <c r="D3684" s="256" t="inlineStr">
        <is>
          <t>— no P lot assigned —</t>
        </is>
      </c>
      <c r="E3684" s="256" t="inlineStr">
        <is>
          <t>Scrambler</t>
        </is>
      </c>
      <c r="F3684" s="256" t="inlineStr">
        <is>
          <t>21.09.2026</t>
        </is>
      </c>
      <c r="G3684" s="256" t="inlineStr">
        <is>
          <t>3</t>
        </is>
      </c>
      <c r="H3684" s="256" t="inlineStr">
        <is>
          <t>Identification C · HPLC/HPTLC</t>
        </is>
      </c>
      <c r="I3684" s="256" t="inlineStr">
        <is>
          <t>Ph. Eur. 2.2.29 (3028)</t>
        </is>
      </c>
      <c r="J3684" s="256" t="inlineStr">
        <is>
          <t>Conforms to the monograph for Cannabis flos (07/2024:3028) in Ph. Eur. 11.0 | Согласно монографија за Cannabis flos (07/2024:3028) во Ph. Eur. 11.0</t>
        </is>
      </c>
      <c r="K3684" s="256" t="inlineStr">
        <is>
          <t>Conforms | Одговара</t>
        </is>
      </c>
      <c r="L3684" s="256" t="inlineStr">
        <is>
          <t>227-7-К/26</t>
        </is>
      </c>
      <c r="M3684" s="256" t="inlineStr">
        <is>
          <t>11.09.2026</t>
        </is>
      </c>
      <c r="N3684" s="256" t="inlineStr">
        <is>
          <t>Farmahem</t>
        </is>
      </c>
      <c r="O3684" s="256" t="inlineStr">
        <is>
          <t>24.08.2026</t>
        </is>
      </c>
      <c r="P3684" s="256" t="inlineStr">
        <is>
          <t>covered</t>
        </is>
      </c>
      <c r="Q3684" s="256" t="inlineStr"/>
      <c r="R3684" s="256" t="inlineStr"/>
    </row>
    <row r="3685">
      <c r="A3685" s="256" t="inlineStr">
        <is>
          <t>CoQ-PP_26-161</t>
        </is>
      </c>
      <c r="B3685" s="256" t="inlineStr">
        <is>
          <t>reissue — retest</t>
        </is>
      </c>
      <c r="C3685" s="256" t="inlineStr">
        <is>
          <t>SCR022601</t>
        </is>
      </c>
      <c r="D3685" s="256" t="inlineStr">
        <is>
          <t>— no P lot assigned —</t>
        </is>
      </c>
      <c r="E3685" s="256" t="inlineStr">
        <is>
          <t>Scrambler</t>
        </is>
      </c>
      <c r="F3685" s="256" t="inlineStr">
        <is>
          <t>21.09.2026</t>
        </is>
      </c>
      <c r="G3685" s="256" t="inlineStr">
        <is>
          <t>4</t>
        </is>
      </c>
      <c r="H3685" s="256" t="inlineStr">
        <is>
          <t>Assay — Total Δ⁹-THC</t>
        </is>
      </c>
      <c r="I3685" s="256" t="inlineStr">
        <is>
          <t>Ph. Eur. 2.2.29 (HPLC)</t>
        </is>
      </c>
      <c r="J3685" s="256" t="inlineStr">
        <is>
          <t>16.20 – 19.79 %  (grade II, nominal 18.00 ± 1.80)</t>
        </is>
      </c>
      <c r="K3685" s="256" t="inlineStr">
        <is>
          <t>16.68</t>
        </is>
      </c>
      <c r="L3685" s="256" t="inlineStr">
        <is>
          <t>227-7-К/26</t>
        </is>
      </c>
      <c r="M3685" s="256" t="inlineStr">
        <is>
          <t>11.09.2026</t>
        </is>
      </c>
      <c r="N3685" s="256" t="inlineStr">
        <is>
          <t>Farmahem</t>
        </is>
      </c>
      <c r="O3685" s="256" t="inlineStr">
        <is>
          <t>24.08.2026</t>
        </is>
      </c>
      <c r="P3685" s="256" t="inlineStr">
        <is>
          <t>covered</t>
        </is>
      </c>
      <c r="Q3685" s="256" t="inlineStr"/>
      <c r="R3685" s="256" t="inlineStr"/>
    </row>
    <row r="3686">
      <c r="A3686" s="256" t="inlineStr">
        <is>
          <t>CoQ-PP_26-161</t>
        </is>
      </c>
      <c r="B3686" s="256" t="inlineStr">
        <is>
          <t>reissue — retest</t>
        </is>
      </c>
      <c r="C3686" s="256" t="inlineStr">
        <is>
          <t>SCR022601</t>
        </is>
      </c>
      <c r="D3686" s="256" t="inlineStr">
        <is>
          <t>— no P lot assigned —</t>
        </is>
      </c>
      <c r="E3686" s="256" t="inlineStr">
        <is>
          <t>Scrambler</t>
        </is>
      </c>
      <c r="F3686" s="256" t="inlineStr">
        <is>
          <t>21.09.2026</t>
        </is>
      </c>
      <c r="G3686" s="256" t="inlineStr">
        <is>
          <t>5</t>
        </is>
      </c>
      <c r="H3686" s="256" t="inlineStr">
        <is>
          <t>Assay — Total CBD</t>
        </is>
      </c>
      <c r="I3686" s="256" t="inlineStr">
        <is>
          <t>Ph. Eur. 2.2.29 (HPLC) · CBD + CBDA x 0.877</t>
        </is>
      </c>
      <c r="J3686" s="256" t="inlineStr">
        <is>
          <t>≤ 1.0%, w/w</t>
        </is>
      </c>
      <c r="K3686" s="256" t="inlineStr">
        <is>
          <t>&lt; LOQ</t>
        </is>
      </c>
      <c r="L3686" s="256" t="inlineStr">
        <is>
          <t>227-7-К/26</t>
        </is>
      </c>
      <c r="M3686" s="256" t="inlineStr">
        <is>
          <t>11.09.2026</t>
        </is>
      </c>
      <c r="N3686" s="256" t="inlineStr">
        <is>
          <t>Farmahem</t>
        </is>
      </c>
      <c r="O3686" s="256" t="inlineStr">
        <is>
          <t>24.08.2026</t>
        </is>
      </c>
      <c r="P3686" s="256" t="inlineStr">
        <is>
          <t>covered</t>
        </is>
      </c>
      <c r="Q3686" s="256" t="inlineStr"/>
      <c r="R3686" s="256" t="inlineStr"/>
    </row>
    <row r="3687">
      <c r="A3687" s="256" t="inlineStr">
        <is>
          <t>CoQ-PP_26-161</t>
        </is>
      </c>
      <c r="B3687" s="256" t="inlineStr">
        <is>
          <t>reissue — retest</t>
        </is>
      </c>
      <c r="C3687" s="256" t="inlineStr">
        <is>
          <t>SCR022601</t>
        </is>
      </c>
      <c r="D3687" s="256" t="inlineStr">
        <is>
          <t>— no P lot assigned —</t>
        </is>
      </c>
      <c r="E3687" s="256" t="inlineStr">
        <is>
          <t>Scrambler</t>
        </is>
      </c>
      <c r="F3687" s="256" t="inlineStr">
        <is>
          <t>21.09.2026</t>
        </is>
      </c>
      <c r="G3687" s="256" t="inlineStr">
        <is>
          <t>6</t>
        </is>
      </c>
      <c r="H3687" s="256" t="inlineStr">
        <is>
          <t>Total CBN</t>
        </is>
      </c>
      <c r="I3687" s="256" t="inlineStr">
        <is>
          <t>Ph. Eur. 2.2.29 (HPLC) · CBN + CBNA x 0.876</t>
        </is>
      </c>
      <c r="J3687" s="256" t="inlineStr">
        <is>
          <t>≤ 1.0%, w/w</t>
        </is>
      </c>
      <c r="K3687" s="256" t="inlineStr">
        <is>
          <t>&lt; LOQ</t>
        </is>
      </c>
      <c r="L3687" s="256" t="inlineStr">
        <is>
          <t>227-7-К/26</t>
        </is>
      </c>
      <c r="M3687" s="256" t="inlineStr">
        <is>
          <t>11.09.2026</t>
        </is>
      </c>
      <c r="N3687" s="256" t="inlineStr">
        <is>
          <t>Farmahem</t>
        </is>
      </c>
      <c r="O3687" s="256" t="inlineStr">
        <is>
          <t>24.08.2026</t>
        </is>
      </c>
      <c r="P3687" s="256" t="inlineStr">
        <is>
          <t>covered</t>
        </is>
      </c>
      <c r="Q3687" s="256" t="inlineStr"/>
      <c r="R3687" s="256" t="inlineStr"/>
    </row>
    <row r="3688">
      <c r="A3688" s="256" t="inlineStr">
        <is>
          <t>CoQ-PP_26-161</t>
        </is>
      </c>
      <c r="B3688" s="256" t="inlineStr">
        <is>
          <t>reissue — retest</t>
        </is>
      </c>
      <c r="C3688" s="256" t="inlineStr">
        <is>
          <t>SCR022601</t>
        </is>
      </c>
      <c r="D3688" s="256" t="inlineStr">
        <is>
          <t>— no P lot assigned —</t>
        </is>
      </c>
      <c r="E3688" s="256" t="inlineStr">
        <is>
          <t>Scrambler</t>
        </is>
      </c>
      <c r="F3688" s="256" t="inlineStr">
        <is>
          <t>21.09.2026</t>
        </is>
      </c>
      <c r="G3688" s="256" t="inlineStr">
        <is>
          <t>7</t>
        </is>
      </c>
      <c r="H3688" s="256" t="inlineStr">
        <is>
          <t>Foreign Matter</t>
        </is>
      </c>
      <c r="I3688" s="256" t="inlineStr">
        <is>
          <t>Ph. Eur. 2.8.2 · In-house · интерна</t>
        </is>
      </c>
      <c r="J3688" s="256" t="inlineStr">
        <is>
          <t>≤ 2.0% / 25–50 g · &lt; 1 cm leaves | листови, no seeds | без семки</t>
        </is>
      </c>
      <c r="K3688" s="256" t="inlineStr">
        <is>
          <t>Conforms | Одговара</t>
        </is>
      </c>
      <c r="L3688" s="256" t="inlineStr">
        <is>
          <t>ППК26116</t>
        </is>
      </c>
      <c r="M3688" s="256" t="inlineStr">
        <is>
          <t>06.07.2026</t>
        </is>
      </c>
      <c r="N3688" s="256" t="inlineStr">
        <is>
          <t>UKIM Faculty of Pharmacy — Center for Natural Products</t>
        </is>
      </c>
      <c r="O3688" s="256" t="inlineStr">
        <is>
          <t>17.06.2026</t>
        </is>
      </c>
      <c r="P3688" s="256" t="inlineStr">
        <is>
          <t>carried from the initial testing (the batch's initial CoQ (number assigned on issue)) — covered</t>
        </is>
      </c>
      <c r="Q3688" s="256" t="inlineStr"/>
      <c r="R3688" s="256" t="inlineStr"/>
    </row>
    <row r="3689">
      <c r="A3689" s="256" t="inlineStr">
        <is>
          <t>CoQ-PP_26-161</t>
        </is>
      </c>
      <c r="B3689" s="256" t="inlineStr">
        <is>
          <t>reissue — retest</t>
        </is>
      </c>
      <c r="C3689" s="256" t="inlineStr">
        <is>
          <t>SCR022601</t>
        </is>
      </c>
      <c r="D3689" s="256" t="inlineStr">
        <is>
          <t>— no P lot assigned —</t>
        </is>
      </c>
      <c r="E3689" s="256" t="inlineStr">
        <is>
          <t>Scrambler</t>
        </is>
      </c>
      <c r="F3689" s="256" t="inlineStr">
        <is>
          <t>21.09.2026</t>
        </is>
      </c>
      <c r="G3689" s="256" t="inlineStr">
        <is>
          <t>8</t>
        </is>
      </c>
      <c r="H3689" s="256" t="inlineStr">
        <is>
          <t>Loss on Drying</t>
        </is>
      </c>
      <c r="I3689" s="256" t="inlineStr">
        <is>
          <t>Ph. Eur. 2.2.32 (3028) · at 40 °C, 24 h, 15–25 mbar</t>
        </is>
      </c>
      <c r="J3689" s="256" t="inlineStr">
        <is>
          <t>≤ 12.0%</t>
        </is>
      </c>
      <c r="K3689" s="256" t="inlineStr">
        <is>
          <t>7.06</t>
        </is>
      </c>
      <c r="L3689" s="256" t="inlineStr">
        <is>
          <t>ППК26116</t>
        </is>
      </c>
      <c r="M3689" s="256" t="inlineStr">
        <is>
          <t>06.07.2026</t>
        </is>
      </c>
      <c r="N3689" s="256" t="inlineStr">
        <is>
          <t>UKIM Faculty of Pharmacy — Center for Natural Products</t>
        </is>
      </c>
      <c r="O3689" s="256" t="inlineStr">
        <is>
          <t>17.06.2026</t>
        </is>
      </c>
      <c r="P3689" s="256" t="inlineStr">
        <is>
          <t>carried from the initial testing (the batch's initial CoQ (number assigned on issue)) — covered</t>
        </is>
      </c>
      <c r="Q3689" s="256" t="inlineStr"/>
      <c r="R3689" s="256" t="inlineStr"/>
    </row>
    <row r="3690">
      <c r="A3690" s="256" t="inlineStr">
        <is>
          <t>CoQ-PP_26-161</t>
        </is>
      </c>
      <c r="B3690" s="256" t="inlineStr">
        <is>
          <t>reissue — retest</t>
        </is>
      </c>
      <c r="C3690" s="256" t="inlineStr">
        <is>
          <t>SCR022601</t>
        </is>
      </c>
      <c r="D3690" s="256" t="inlineStr">
        <is>
          <t>— no P lot assigned —</t>
        </is>
      </c>
      <c r="E3690" s="256" t="inlineStr">
        <is>
          <t>Scrambler</t>
        </is>
      </c>
      <c r="F3690" s="256" t="inlineStr">
        <is>
          <t>21.09.2026</t>
        </is>
      </c>
      <c r="G3690" s="256" t="inlineStr">
        <is>
          <t>9.1</t>
        </is>
      </c>
      <c r="H3690" s="256" t="inlineStr">
        <is>
          <t>TAMC</t>
        </is>
      </c>
      <c r="I3690" s="256" t="inlineStr">
        <is>
          <t>Ph. Eur. 2.6.12 cat. C</t>
        </is>
      </c>
      <c r="J3690" s="256" t="inlineStr">
        <is>
          <t>≤ 10⁵ CFU/g</t>
        </is>
      </c>
      <c r="K3690" s="256" t="inlineStr">
        <is>
          <t>1,7 × 10³</t>
        </is>
      </c>
      <c r="L3690" s="256" t="inlineStr">
        <is>
          <t>536/1067/26</t>
        </is>
      </c>
      <c r="M3690" s="256" t="inlineStr">
        <is>
          <t>31.08.2026</t>
        </is>
      </c>
      <c r="N3690" s="256" t="inlineStr">
        <is>
          <t>IPH — Institute of Public Health</t>
        </is>
      </c>
      <c r="O3690" s="256" t="inlineStr">
        <is>
          <t>25.08.2026</t>
        </is>
      </c>
      <c r="P3690" s="256" t="inlineStr">
        <is>
          <t>covered</t>
        </is>
      </c>
      <c r="Q3690" s="256" t="inlineStr"/>
      <c r="R3690" s="256" t="inlineStr"/>
    </row>
    <row r="3691">
      <c r="A3691" s="256" t="inlineStr">
        <is>
          <t>CoQ-PP_26-161</t>
        </is>
      </c>
      <c r="B3691" s="256" t="inlineStr">
        <is>
          <t>reissue — retest</t>
        </is>
      </c>
      <c r="C3691" s="256" t="inlineStr">
        <is>
          <t>SCR022601</t>
        </is>
      </c>
      <c r="D3691" s="256" t="inlineStr">
        <is>
          <t>— no P lot assigned —</t>
        </is>
      </c>
      <c r="E3691" s="256" t="inlineStr">
        <is>
          <t>Scrambler</t>
        </is>
      </c>
      <c r="F3691" s="256" t="inlineStr">
        <is>
          <t>21.09.2026</t>
        </is>
      </c>
      <c r="G3691" s="256" t="inlineStr">
        <is>
          <t>9.2</t>
        </is>
      </c>
      <c r="H3691" s="256" t="inlineStr">
        <is>
          <t>TYMC</t>
        </is>
      </c>
      <c r="I3691" s="256" t="inlineStr">
        <is>
          <t>Ph. Eur. 2.6.12 cat. C</t>
        </is>
      </c>
      <c r="J3691" s="256" t="inlineStr">
        <is>
          <t>≤ 10⁴ CFU/g</t>
        </is>
      </c>
      <c r="K3691" s="256" t="inlineStr">
        <is>
          <t>5,6 × 10²</t>
        </is>
      </c>
      <c r="L3691" s="256" t="inlineStr">
        <is>
          <t>536/1067/26</t>
        </is>
      </c>
      <c r="M3691" s="256" t="inlineStr">
        <is>
          <t>31.08.2026</t>
        </is>
      </c>
      <c r="N3691" s="256" t="inlineStr">
        <is>
          <t>IPH — Institute of Public Health</t>
        </is>
      </c>
      <c r="O3691" s="256" t="inlineStr">
        <is>
          <t>25.08.2026</t>
        </is>
      </c>
      <c r="P3691" s="256" t="inlineStr">
        <is>
          <t>covered</t>
        </is>
      </c>
      <c r="Q3691" s="256" t="inlineStr"/>
      <c r="R3691" s="256" t="inlineStr"/>
    </row>
    <row r="3692">
      <c r="A3692" s="256" t="inlineStr">
        <is>
          <t>CoQ-PP_26-161</t>
        </is>
      </c>
      <c r="B3692" s="256" t="inlineStr">
        <is>
          <t>reissue — retest</t>
        </is>
      </c>
      <c r="C3692" s="256" t="inlineStr">
        <is>
          <t>SCR022601</t>
        </is>
      </c>
      <c r="D3692" s="256" t="inlineStr">
        <is>
          <t>— no P lot assigned —</t>
        </is>
      </c>
      <c r="E3692" s="256" t="inlineStr">
        <is>
          <t>Scrambler</t>
        </is>
      </c>
      <c r="F3692" s="256" t="inlineStr">
        <is>
          <t>21.09.2026</t>
        </is>
      </c>
      <c r="G3692" s="256" t="inlineStr">
        <is>
          <t>9.3</t>
        </is>
      </c>
      <c r="H3692" s="256" t="inlineStr">
        <is>
          <t>Bile-tolerant gram-neg.</t>
        </is>
      </c>
      <c r="I3692" s="256" t="inlineStr">
        <is>
          <t>Ph. Eur. 2.6.31 cat. C</t>
        </is>
      </c>
      <c r="J3692" s="256" t="inlineStr">
        <is>
          <t>≤ 10⁴ CFU/g</t>
        </is>
      </c>
      <c r="K3692" s="256" t="inlineStr">
        <is>
          <t>&lt; 10</t>
        </is>
      </c>
      <c r="L3692" s="256" t="inlineStr">
        <is>
          <t>536/1067/26</t>
        </is>
      </c>
      <c r="M3692" s="256" t="inlineStr">
        <is>
          <t>31.08.2026</t>
        </is>
      </c>
      <c r="N3692" s="256" t="inlineStr">
        <is>
          <t>IPH — Institute of Public Health</t>
        </is>
      </c>
      <c r="O3692" s="256" t="inlineStr">
        <is>
          <t>25.08.2026</t>
        </is>
      </c>
      <c r="P3692" s="256" t="inlineStr">
        <is>
          <t>covered</t>
        </is>
      </c>
      <c r="Q3692" s="256" t="inlineStr"/>
      <c r="R3692" s="256" t="inlineStr"/>
    </row>
    <row r="3693">
      <c r="A3693" s="256" t="inlineStr">
        <is>
          <t>CoQ-PP_26-161</t>
        </is>
      </c>
      <c r="B3693" s="256" t="inlineStr">
        <is>
          <t>reissue — retest</t>
        </is>
      </c>
      <c r="C3693" s="256" t="inlineStr">
        <is>
          <t>SCR022601</t>
        </is>
      </c>
      <c r="D3693" s="256" t="inlineStr">
        <is>
          <t>— no P lot assigned —</t>
        </is>
      </c>
      <c r="E3693" s="256" t="inlineStr">
        <is>
          <t>Scrambler</t>
        </is>
      </c>
      <c r="F3693" s="256" t="inlineStr">
        <is>
          <t>21.09.2026</t>
        </is>
      </c>
      <c r="G3693" s="256" t="inlineStr">
        <is>
          <t>9.4</t>
        </is>
      </c>
      <c r="H3693" s="256" t="inlineStr">
        <is>
          <t>Salmonella</t>
        </is>
      </c>
      <c r="I3693" s="256" t="inlineStr">
        <is>
          <t>Ph. Eur. 2.6.31 cat. C</t>
        </is>
      </c>
      <c r="J3693" s="256" t="inlineStr">
        <is>
          <t>Absence | Отсуство / 25 g</t>
        </is>
      </c>
      <c r="K3693" s="256" t="inlineStr">
        <is>
          <t>Absent | Отсутна</t>
        </is>
      </c>
      <c r="L3693" s="256" t="inlineStr">
        <is>
          <t>536/1067/26</t>
        </is>
      </c>
      <c r="M3693" s="256" t="inlineStr">
        <is>
          <t>31.08.2026</t>
        </is>
      </c>
      <c r="N3693" s="256" t="inlineStr">
        <is>
          <t>IPH — Institute of Public Health</t>
        </is>
      </c>
      <c r="O3693" s="256" t="inlineStr">
        <is>
          <t>25.08.2026</t>
        </is>
      </c>
      <c r="P3693" s="256" t="inlineStr">
        <is>
          <t>covered</t>
        </is>
      </c>
      <c r="Q3693" s="256" t="inlineStr"/>
      <c r="R3693" s="256" t="inlineStr"/>
    </row>
    <row r="3694">
      <c r="A3694" s="256" t="inlineStr">
        <is>
          <t>CoQ-PP_26-161</t>
        </is>
      </c>
      <c r="B3694" s="256" t="inlineStr">
        <is>
          <t>reissue — retest</t>
        </is>
      </c>
      <c r="C3694" s="256" t="inlineStr">
        <is>
          <t>SCR022601</t>
        </is>
      </c>
      <c r="D3694" s="256" t="inlineStr">
        <is>
          <t>— no P lot assigned —</t>
        </is>
      </c>
      <c r="E3694" s="256" t="inlineStr">
        <is>
          <t>Scrambler</t>
        </is>
      </c>
      <c r="F3694" s="256" t="inlineStr">
        <is>
          <t>21.09.2026</t>
        </is>
      </c>
      <c r="G3694" s="256" t="inlineStr">
        <is>
          <t>9.5</t>
        </is>
      </c>
      <c r="H3694" s="256" t="inlineStr">
        <is>
          <t>Escherichia coli</t>
        </is>
      </c>
      <c r="I3694" s="256" t="inlineStr">
        <is>
          <t>Ph. Eur. 2.6.13 cat. C</t>
        </is>
      </c>
      <c r="J3694" s="256" t="inlineStr">
        <is>
          <t>Absence | Отсуство / 1 g</t>
        </is>
      </c>
      <c r="K3694" s="256" t="inlineStr">
        <is>
          <t>Absent | Отсутна</t>
        </is>
      </c>
      <c r="L3694" s="256" t="inlineStr">
        <is>
          <t>536/1067/26</t>
        </is>
      </c>
      <c r="M3694" s="256" t="inlineStr">
        <is>
          <t>31.08.2026</t>
        </is>
      </c>
      <c r="N3694" s="256" t="inlineStr">
        <is>
          <t>IPH — Institute of Public Health</t>
        </is>
      </c>
      <c r="O3694" s="256" t="inlineStr">
        <is>
          <t>25.08.2026</t>
        </is>
      </c>
      <c r="P3694" s="256" t="inlineStr">
        <is>
          <t>covered</t>
        </is>
      </c>
      <c r="Q3694" s="256" t="inlineStr"/>
      <c r="R3694" s="256" t="inlineStr"/>
    </row>
    <row r="3695">
      <c r="A3695" s="256" t="inlineStr">
        <is>
          <t>CoQ-PP_26-161</t>
        </is>
      </c>
      <c r="B3695" s="256" t="inlineStr">
        <is>
          <t>reissue — retest</t>
        </is>
      </c>
      <c r="C3695" s="256" t="inlineStr">
        <is>
          <t>SCR022601</t>
        </is>
      </c>
      <c r="D3695" s="256" t="inlineStr">
        <is>
          <t>— no P lot assigned —</t>
        </is>
      </c>
      <c r="E3695" s="256" t="inlineStr">
        <is>
          <t>Scrambler</t>
        </is>
      </c>
      <c r="F3695" s="256" t="inlineStr">
        <is>
          <t>21.09.2026</t>
        </is>
      </c>
      <c r="G3695" s="256" t="inlineStr">
        <is>
          <t>9.6</t>
        </is>
      </c>
      <c r="H3695" s="256" t="inlineStr">
        <is>
          <t>Pseudomonas aeruginosa</t>
        </is>
      </c>
      <c r="I3695" s="256" t="inlineStr">
        <is>
          <t>Ph. Eur. 2.6.13 cat. C</t>
        </is>
      </c>
      <c r="J3695" s="256" t="inlineStr">
        <is>
          <t>Absence | Отсуство / 1 g</t>
        </is>
      </c>
      <c r="K3695" s="260" t="inlineStr">
        <is>
          <t>upon request — not required for release</t>
        </is>
      </c>
      <c r="L3695" s="256" t="inlineStr">
        <is>
          <t>—</t>
        </is>
      </c>
      <c r="M3695" s="256" t="inlineStr">
        <is>
          <t>—</t>
        </is>
      </c>
      <c r="N3695" s="256" t="inlineStr">
        <is>
          <t>—</t>
        </is>
      </c>
      <c r="O3695" s="256" t="inlineStr">
        <is>
          <t>—</t>
        </is>
      </c>
      <c r="P3695" s="256" t="inlineStr">
        <is>
          <t>upon request — not required for release</t>
        </is>
      </c>
      <c r="Q3695" s="256" t="inlineStr"/>
      <c r="R3695" s="256" t="inlineStr"/>
    </row>
    <row r="3696">
      <c r="A3696" s="256" t="inlineStr">
        <is>
          <t>CoQ-PP_26-161</t>
        </is>
      </c>
      <c r="B3696" s="256" t="inlineStr">
        <is>
          <t>reissue — retest</t>
        </is>
      </c>
      <c r="C3696" s="256" t="inlineStr">
        <is>
          <t>SCR022601</t>
        </is>
      </c>
      <c r="D3696" s="256" t="inlineStr">
        <is>
          <t>— no P lot assigned —</t>
        </is>
      </c>
      <c r="E3696" s="256" t="inlineStr">
        <is>
          <t>Scrambler</t>
        </is>
      </c>
      <c r="F3696" s="256" t="inlineStr">
        <is>
          <t>21.09.2026</t>
        </is>
      </c>
      <c r="G3696" s="256" t="inlineStr">
        <is>
          <t>9.7</t>
        </is>
      </c>
      <c r="H3696" s="256" t="inlineStr">
        <is>
          <t>Staphylococcus aureus</t>
        </is>
      </c>
      <c r="I3696" s="256" t="inlineStr">
        <is>
          <t>Ph. Eur. 2.6.13 cat. C</t>
        </is>
      </c>
      <c r="J3696" s="256" t="inlineStr">
        <is>
          <t>Absence | Отсуство / 1 g</t>
        </is>
      </c>
      <c r="K3696" s="260" t="inlineStr">
        <is>
          <t>upon request — not required for release</t>
        </is>
      </c>
      <c r="L3696" s="256" t="inlineStr">
        <is>
          <t>—</t>
        </is>
      </c>
      <c r="M3696" s="256" t="inlineStr">
        <is>
          <t>—</t>
        </is>
      </c>
      <c r="N3696" s="256" t="inlineStr">
        <is>
          <t>—</t>
        </is>
      </c>
      <c r="O3696" s="256" t="inlineStr">
        <is>
          <t>—</t>
        </is>
      </c>
      <c r="P3696" s="256" t="inlineStr">
        <is>
          <t>upon request — not required for release</t>
        </is>
      </c>
      <c r="Q3696" s="256" t="inlineStr"/>
      <c r="R3696" s="256" t="inlineStr"/>
    </row>
    <row r="3697">
      <c r="A3697" s="256" t="inlineStr">
        <is>
          <t>CoQ-PP_26-161</t>
        </is>
      </c>
      <c r="B3697" s="256" t="inlineStr">
        <is>
          <t>reissue — retest</t>
        </is>
      </c>
      <c r="C3697" s="256" t="inlineStr">
        <is>
          <t>SCR022601</t>
        </is>
      </c>
      <c r="D3697" s="256" t="inlineStr">
        <is>
          <t>— no P lot assigned —</t>
        </is>
      </c>
      <c r="E3697" s="256" t="inlineStr">
        <is>
          <t>Scrambler</t>
        </is>
      </c>
      <c r="F3697" s="256" t="inlineStr">
        <is>
          <t>21.09.2026</t>
        </is>
      </c>
      <c r="G3697" s="256" t="inlineStr">
        <is>
          <t>10.1</t>
        </is>
      </c>
      <c r="H3697" s="256" t="inlineStr">
        <is>
          <t>Aflatoxin B₁</t>
        </is>
      </c>
      <c r="I3697" s="256" t="inlineStr">
        <is>
          <t>Ph. Eur. 2.8.18 (HPLC-FLD)</t>
        </is>
      </c>
      <c r="J3697" s="256" t="inlineStr">
        <is>
          <t>≤ 2 µg/kg</t>
        </is>
      </c>
      <c r="K3697" s="256" t="inlineStr">
        <is>
          <t>ND</t>
        </is>
      </c>
      <c r="L3697" s="256" t="inlineStr">
        <is>
          <t>227-7-М/26</t>
        </is>
      </c>
      <c r="M3697" s="256" t="inlineStr">
        <is>
          <t>16.09.2026</t>
        </is>
      </c>
      <c r="N3697" s="256" t="inlineStr">
        <is>
          <t>Farmahem</t>
        </is>
      </c>
      <c r="O3697" s="256" t="inlineStr">
        <is>
          <t>—</t>
        </is>
      </c>
      <c r="P3697" s="256" t="inlineStr">
        <is>
          <t>covered</t>
        </is>
      </c>
      <c r="Q3697" s="256" t="inlineStr"/>
      <c r="R3697" s="256" t="inlineStr"/>
    </row>
    <row r="3698">
      <c r="A3698" s="256" t="inlineStr">
        <is>
          <t>CoQ-PP_26-161</t>
        </is>
      </c>
      <c r="B3698" s="256" t="inlineStr">
        <is>
          <t>reissue — retest</t>
        </is>
      </c>
      <c r="C3698" s="256" t="inlineStr">
        <is>
          <t>SCR022601</t>
        </is>
      </c>
      <c r="D3698" s="256" t="inlineStr">
        <is>
          <t>— no P lot assigned —</t>
        </is>
      </c>
      <c r="E3698" s="256" t="inlineStr">
        <is>
          <t>Scrambler</t>
        </is>
      </c>
      <c r="F3698" s="256" t="inlineStr">
        <is>
          <t>21.09.2026</t>
        </is>
      </c>
      <c r="G3698" s="256" t="inlineStr">
        <is>
          <t>10.2</t>
        </is>
      </c>
      <c r="H3698" s="256" t="inlineStr">
        <is>
          <t>Aflatoxins ∑</t>
        </is>
      </c>
      <c r="I3698" s="256" t="inlineStr">
        <is>
          <t>Ph. Eur. 2.8.18 (HPLC-FLD)</t>
        </is>
      </c>
      <c r="J3698" s="256" t="inlineStr">
        <is>
          <t>≤ 4 µg/kg</t>
        </is>
      </c>
      <c r="K3698" s="256" t="inlineStr">
        <is>
          <t>ND</t>
        </is>
      </c>
      <c r="L3698" s="256" t="inlineStr">
        <is>
          <t>227-7-М/26</t>
        </is>
      </c>
      <c r="M3698" s="256" t="inlineStr">
        <is>
          <t>16.09.2026</t>
        </is>
      </c>
      <c r="N3698" s="256" t="inlineStr">
        <is>
          <t>Farmahem</t>
        </is>
      </c>
      <c r="O3698" s="256" t="inlineStr">
        <is>
          <t>—</t>
        </is>
      </c>
      <c r="P3698" s="256" t="inlineStr">
        <is>
          <t>covered</t>
        </is>
      </c>
      <c r="Q3698" s="256" t="inlineStr"/>
      <c r="R3698" s="256" t="inlineStr"/>
    </row>
    <row r="3699">
      <c r="A3699" s="256" t="inlineStr">
        <is>
          <t>CoQ-PP_26-161</t>
        </is>
      </c>
      <c r="B3699" s="256" t="inlineStr">
        <is>
          <t>reissue — retest</t>
        </is>
      </c>
      <c r="C3699" s="256" t="inlineStr">
        <is>
          <t>SCR022601</t>
        </is>
      </c>
      <c r="D3699" s="256" t="inlineStr">
        <is>
          <t>— no P lot assigned —</t>
        </is>
      </c>
      <c r="E3699" s="256" t="inlineStr">
        <is>
          <t>Scrambler</t>
        </is>
      </c>
      <c r="F3699" s="256" t="inlineStr">
        <is>
          <t>21.09.2026</t>
        </is>
      </c>
      <c r="G3699" s="256" t="inlineStr">
        <is>
          <t>10.3</t>
        </is>
      </c>
      <c r="H3699" s="256" t="inlineStr">
        <is>
          <t>Ochratoxin A</t>
        </is>
      </c>
      <c r="I3699" s="256" t="inlineStr">
        <is>
          <t>Ph. Eur. 2.8.22 (HPLC-FLD)</t>
        </is>
      </c>
      <c r="J3699" s="256" t="inlineStr">
        <is>
          <t>≤ 20 µg/kg</t>
        </is>
      </c>
      <c r="K3699" s="256" t="inlineStr">
        <is>
          <t>ND</t>
        </is>
      </c>
      <c r="L3699" s="256" t="inlineStr">
        <is>
          <t>227-7-М/26</t>
        </is>
      </c>
      <c r="M3699" s="256" t="inlineStr">
        <is>
          <t>16.09.2026</t>
        </is>
      </c>
      <c r="N3699" s="256" t="inlineStr">
        <is>
          <t>Farmahem</t>
        </is>
      </c>
      <c r="O3699" s="256" t="inlineStr">
        <is>
          <t>—</t>
        </is>
      </c>
      <c r="P3699" s="256" t="inlineStr">
        <is>
          <t>covered</t>
        </is>
      </c>
      <c r="Q3699" s="256" t="inlineStr"/>
      <c r="R3699" s="256" t="inlineStr"/>
    </row>
    <row r="3700">
      <c r="A3700" s="256" t="inlineStr">
        <is>
          <t>CoQ-PP_26-161</t>
        </is>
      </c>
      <c r="B3700" s="256" t="inlineStr">
        <is>
          <t>reissue — retest</t>
        </is>
      </c>
      <c r="C3700" s="256" t="inlineStr">
        <is>
          <t>SCR022601</t>
        </is>
      </c>
      <c r="D3700" s="256" t="inlineStr">
        <is>
          <t>— no P lot assigned —</t>
        </is>
      </c>
      <c r="E3700" s="256" t="inlineStr">
        <is>
          <t>Scrambler</t>
        </is>
      </c>
      <c r="F3700" s="256" t="inlineStr">
        <is>
          <t>21.09.2026</t>
        </is>
      </c>
      <c r="G3700" s="256" t="inlineStr">
        <is>
          <t>11.1</t>
        </is>
      </c>
      <c r="H3700" s="256" t="inlineStr">
        <is>
          <t>Lead (Pb)</t>
        </is>
      </c>
      <c r="I3700" s="256" t="inlineStr">
        <is>
          <t>Ph. Eur. 2.4.27 (ICP-MS)</t>
        </is>
      </c>
      <c r="J3700" s="256" t="inlineStr">
        <is>
          <t>≤ 0.5 mg/kg</t>
        </is>
      </c>
      <c r="K3700" s="256" t="inlineStr">
        <is>
          <t>carried from the initial testing — not tested</t>
        </is>
      </c>
      <c r="L3700" s="256" t="inlineStr">
        <is>
          <t>—</t>
        </is>
      </c>
      <c r="M3700" s="256" t="inlineStr">
        <is>
          <t>—</t>
        </is>
      </c>
      <c r="N3700" s="256" t="inlineStr">
        <is>
          <t>—</t>
        </is>
      </c>
      <c r="O3700" s="256" t="inlineStr">
        <is>
          <t>—</t>
        </is>
      </c>
      <c r="P3700" s="256" t="inlineStr">
        <is>
          <t>carried from the initial testing (the batch's initial CoQ (number assigned on issue)) — not tested — no certificate covers it</t>
        </is>
      </c>
      <c r="Q3700" s="256" t="inlineStr"/>
      <c r="R3700" s="256" t="inlineStr"/>
    </row>
    <row r="3701">
      <c r="A3701" s="256" t="inlineStr">
        <is>
          <t>CoQ-PP_26-161</t>
        </is>
      </c>
      <c r="B3701" s="256" t="inlineStr">
        <is>
          <t>reissue — retest</t>
        </is>
      </c>
      <c r="C3701" s="256" t="inlineStr">
        <is>
          <t>SCR022601</t>
        </is>
      </c>
      <c r="D3701" s="256" t="inlineStr">
        <is>
          <t>— no P lot assigned —</t>
        </is>
      </c>
      <c r="E3701" s="256" t="inlineStr">
        <is>
          <t>Scrambler</t>
        </is>
      </c>
      <c r="F3701" s="256" t="inlineStr">
        <is>
          <t>21.09.2026</t>
        </is>
      </c>
      <c r="G3701" s="256" t="inlineStr">
        <is>
          <t>11.2</t>
        </is>
      </c>
      <c r="H3701" s="256" t="inlineStr">
        <is>
          <t>Cadmium (Cd)</t>
        </is>
      </c>
      <c r="I3701" s="256" t="inlineStr">
        <is>
          <t>Ph. Eur. 2.4.27 (ICP-MS)</t>
        </is>
      </c>
      <c r="J3701" s="256" t="inlineStr">
        <is>
          <t>≤ 0.3 mg/kg</t>
        </is>
      </c>
      <c r="K3701" s="256" t="inlineStr">
        <is>
          <t>carried from the initial testing — not tested</t>
        </is>
      </c>
      <c r="L3701" s="256" t="inlineStr">
        <is>
          <t>—</t>
        </is>
      </c>
      <c r="M3701" s="256" t="inlineStr">
        <is>
          <t>—</t>
        </is>
      </c>
      <c r="N3701" s="256" t="inlineStr">
        <is>
          <t>—</t>
        </is>
      </c>
      <c r="O3701" s="256" t="inlineStr">
        <is>
          <t>—</t>
        </is>
      </c>
      <c r="P3701" s="256" t="inlineStr">
        <is>
          <t>carried from the initial testing (the batch's initial CoQ (number assigned on issue)) — not tested — no certificate covers it</t>
        </is>
      </c>
      <c r="Q3701" s="256" t="inlineStr"/>
      <c r="R3701" s="256" t="inlineStr"/>
    </row>
    <row r="3702">
      <c r="A3702" s="256" t="inlineStr">
        <is>
          <t>CoQ-PP_26-161</t>
        </is>
      </c>
      <c r="B3702" s="256" t="inlineStr">
        <is>
          <t>reissue — retest</t>
        </is>
      </c>
      <c r="C3702" s="256" t="inlineStr">
        <is>
          <t>SCR022601</t>
        </is>
      </c>
      <c r="D3702" s="256" t="inlineStr">
        <is>
          <t>— no P lot assigned —</t>
        </is>
      </c>
      <c r="E3702" s="256" t="inlineStr">
        <is>
          <t>Scrambler</t>
        </is>
      </c>
      <c r="F3702" s="256" t="inlineStr">
        <is>
          <t>21.09.2026</t>
        </is>
      </c>
      <c r="G3702" s="256" t="inlineStr">
        <is>
          <t>11.3</t>
        </is>
      </c>
      <c r="H3702" s="256" t="inlineStr">
        <is>
          <t>Arsenic (As)</t>
        </is>
      </c>
      <c r="I3702" s="256" t="inlineStr">
        <is>
          <t>Ph. Eur. 2.4.27 (ICP-MS)</t>
        </is>
      </c>
      <c r="J3702" s="256" t="inlineStr">
        <is>
          <t>≤ 0.2 mg/kg</t>
        </is>
      </c>
      <c r="K3702" s="256" t="inlineStr">
        <is>
          <t>carried from the initial testing — not tested</t>
        </is>
      </c>
      <c r="L3702" s="256" t="inlineStr">
        <is>
          <t>—</t>
        </is>
      </c>
      <c r="M3702" s="256" t="inlineStr">
        <is>
          <t>—</t>
        </is>
      </c>
      <c r="N3702" s="256" t="inlineStr">
        <is>
          <t>—</t>
        </is>
      </c>
      <c r="O3702" s="256" t="inlineStr">
        <is>
          <t>—</t>
        </is>
      </c>
      <c r="P3702" s="256" t="inlineStr">
        <is>
          <t>carried from the initial testing (the batch's initial CoQ (number assigned on issue)) — not tested — no certificate covers it</t>
        </is>
      </c>
      <c r="Q3702" s="256" t="inlineStr"/>
      <c r="R3702" s="256" t="inlineStr"/>
    </row>
    <row r="3703">
      <c r="A3703" s="256" t="inlineStr">
        <is>
          <t>CoQ-PP_26-161</t>
        </is>
      </c>
      <c r="B3703" s="256" t="inlineStr">
        <is>
          <t>reissue — retest</t>
        </is>
      </c>
      <c r="C3703" s="256" t="inlineStr">
        <is>
          <t>SCR022601</t>
        </is>
      </c>
      <c r="D3703" s="256" t="inlineStr">
        <is>
          <t>— no P lot assigned —</t>
        </is>
      </c>
      <c r="E3703" s="256" t="inlineStr">
        <is>
          <t>Scrambler</t>
        </is>
      </c>
      <c r="F3703" s="256" t="inlineStr">
        <is>
          <t>21.09.2026</t>
        </is>
      </c>
      <c r="G3703" s="256" t="inlineStr">
        <is>
          <t>11.4</t>
        </is>
      </c>
      <c r="H3703" s="256" t="inlineStr">
        <is>
          <t>Mercury (Hg)</t>
        </is>
      </c>
      <c r="I3703" s="256" t="inlineStr">
        <is>
          <t>Ph. Eur. 2.4.27 (ICP-MS)</t>
        </is>
      </c>
      <c r="J3703" s="256" t="inlineStr">
        <is>
          <t>≤ 0.1 mg/kg</t>
        </is>
      </c>
      <c r="K3703" s="256" t="inlineStr">
        <is>
          <t>carried from the initial testing — not tested</t>
        </is>
      </c>
      <c r="L3703" s="256" t="inlineStr">
        <is>
          <t>—</t>
        </is>
      </c>
      <c r="M3703" s="256" t="inlineStr">
        <is>
          <t>—</t>
        </is>
      </c>
      <c r="N3703" s="256" t="inlineStr">
        <is>
          <t>—</t>
        </is>
      </c>
      <c r="O3703" s="256" t="inlineStr">
        <is>
          <t>—</t>
        </is>
      </c>
      <c r="P3703" s="256" t="inlineStr">
        <is>
          <t>carried from the initial testing (the batch's initial CoQ (number assigned on issue)) — not tested — no certificate covers it</t>
        </is>
      </c>
      <c r="Q3703" s="256" t="inlineStr"/>
      <c r="R3703" s="256" t="inlineStr"/>
    </row>
    <row r="3704">
      <c r="A3704" s="256" t="inlineStr">
        <is>
          <t>CoQ-PP_26-161</t>
        </is>
      </c>
      <c r="B3704" s="256" t="inlineStr">
        <is>
          <t>reissue — retest</t>
        </is>
      </c>
      <c r="C3704" s="256" t="inlineStr">
        <is>
          <t>SCR022601</t>
        </is>
      </c>
      <c r="D3704" s="256" t="inlineStr">
        <is>
          <t>— no P lot assigned —</t>
        </is>
      </c>
      <c r="E3704" s="256" t="inlineStr">
        <is>
          <t>Scrambler</t>
        </is>
      </c>
      <c r="F3704" s="256" t="inlineStr">
        <is>
          <t>21.09.2026</t>
        </is>
      </c>
      <c r="G3704" s="256" t="inlineStr">
        <is>
          <t>12</t>
        </is>
      </c>
      <c r="H3704" s="256" t="inlineStr">
        <is>
          <t>Pesticide Residues</t>
        </is>
      </c>
      <c r="I3704" s="256" t="inlineStr">
        <is>
          <t>Ph. Eur. 2.8.13 (LC-MS/MS) · CUMCS Equivalency</t>
        </is>
      </c>
      <c r="J3704" s="256" t="inlineStr">
        <is>
          <t>≤ LOQ as per Ph. Eur. 2.8.13 · ≤ LOQ as per CUMCS Equivalency</t>
        </is>
      </c>
      <c r="K3704" s="256" t="inlineStr">
        <is>
          <t>carried from the initial testing — not tested</t>
        </is>
      </c>
      <c r="L3704" s="256" t="inlineStr">
        <is>
          <t>—</t>
        </is>
      </c>
      <c r="M3704" s="256" t="inlineStr">
        <is>
          <t>—</t>
        </is>
      </c>
      <c r="N3704" s="256" t="inlineStr">
        <is>
          <t>—</t>
        </is>
      </c>
      <c r="O3704" s="256" t="inlineStr">
        <is>
          <t>—</t>
        </is>
      </c>
      <c r="P3704" s="256" t="inlineStr">
        <is>
          <t>carried from the initial testing (the batch's initial CoQ (number assigned on issue)) — not tested — no certificate covers it</t>
        </is>
      </c>
      <c r="Q3704" s="256" t="inlineStr"/>
      <c r="R3704" s="256" t="inlineStr"/>
    </row>
    <row r="3705">
      <c r="A3705" s="256" t="inlineStr">
        <is>
          <t>CoQ-PP_26-162</t>
        </is>
      </c>
      <c r="B3705" s="256" t="inlineStr">
        <is>
          <t>reissue — retest</t>
        </is>
      </c>
      <c r="C3705" s="256" t="inlineStr">
        <is>
          <t>SJ102501</t>
        </is>
      </c>
      <c r="D3705" s="256" t="inlineStr">
        <is>
          <t>— no P lot assigned —</t>
        </is>
      </c>
      <c r="E3705" s="256" t="inlineStr">
        <is>
          <t>Sleepy Joe</t>
        </is>
      </c>
      <c r="F3705" s="256" t="inlineStr">
        <is>
          <t>21.09.2026</t>
        </is>
      </c>
      <c r="G3705" s="256" t="inlineStr">
        <is>
          <t>1</t>
        </is>
      </c>
      <c r="H3705" s="256" t="inlineStr">
        <is>
          <t>Identification A, Appearance · Macroscopic</t>
        </is>
      </c>
      <c r="I3705" s="256" t="inlineStr">
        <is>
          <t>Ph. Eur. mon. 3028</t>
        </is>
      </c>
      <c r="J3705" s="256" t="inlineStr">
        <is>
          <t>Conforms to the monograph for Cannabis flos (07/2024:3028) in Ph. Eur. 11.0 | Согласно монографија за Cannabis flos (07/2024:3028) во Ph. Eur. 11.0</t>
        </is>
      </c>
      <c r="K3705" s="256" t="inlineStr">
        <is>
          <t>Conforms | Одговара</t>
        </is>
      </c>
      <c r="L3705" s="256" t="inlineStr">
        <is>
          <t>iCoA-PP_26-161</t>
        </is>
      </c>
      <c r="M3705" s="256" t="inlineStr">
        <is>
          <t>24.08.2026</t>
        </is>
      </c>
      <c r="N3705" s="256" t="inlineStr">
        <is>
          <t>Purely Plant GmbH (in-house)</t>
        </is>
      </c>
      <c r="O3705" s="256" t="inlineStr">
        <is>
          <t>—</t>
        </is>
      </c>
      <c r="P3705" s="256" t="inlineStr">
        <is>
          <t>to be performed — see route</t>
        </is>
      </c>
      <c r="Q3705" s="256" t="inlineStr">
        <is>
          <t>Farmahem — Ident A + B + C with the Assay, at retest</t>
        </is>
      </c>
      <c r="R3705" s="256" t="inlineStr"/>
    </row>
    <row r="3706">
      <c r="A3706" s="256" t="inlineStr">
        <is>
          <t>CoQ-PP_26-162</t>
        </is>
      </c>
      <c r="B3706" s="256" t="inlineStr">
        <is>
          <t>reissue — retest</t>
        </is>
      </c>
      <c r="C3706" s="256" t="inlineStr">
        <is>
          <t>SJ102501</t>
        </is>
      </c>
      <c r="D3706" s="256" t="inlineStr">
        <is>
          <t>— no P lot assigned —</t>
        </is>
      </c>
      <c r="E3706" s="256" t="inlineStr">
        <is>
          <t>Sleepy Joe</t>
        </is>
      </c>
      <c r="F3706" s="256" t="inlineStr">
        <is>
          <t>21.09.2026</t>
        </is>
      </c>
      <c r="G3706" s="256" t="inlineStr">
        <is>
          <t>2</t>
        </is>
      </c>
      <c r="H3706" s="256" t="inlineStr">
        <is>
          <t>Identification B · Microscopic</t>
        </is>
      </c>
      <c r="I3706" s="256" t="inlineStr">
        <is>
          <t>Ph. Eur. 2.8.23 (microscopy)</t>
        </is>
      </c>
      <c r="J3706" s="256" t="inlineStr">
        <is>
          <t>Conforms to the monograph for Cannabis flos (07/2024:3028) in Ph. Eur. 11.0 | Согласно монографија за Cannabis flos (07/2024:3028) во Ph. Eur. 11.0</t>
        </is>
      </c>
      <c r="K3706" s="256" t="inlineStr">
        <is>
          <t>Conforms | Одговара</t>
        </is>
      </c>
      <c r="L3706" s="256" t="inlineStr">
        <is>
          <t>iCoA-PP_26-161</t>
        </is>
      </c>
      <c r="M3706" s="256" t="inlineStr">
        <is>
          <t>24.08.2026</t>
        </is>
      </c>
      <c r="N3706" s="256" t="inlineStr">
        <is>
          <t>Purely Plant GmbH (in-house)</t>
        </is>
      </c>
      <c r="O3706" s="256" t="inlineStr">
        <is>
          <t>—</t>
        </is>
      </c>
      <c r="P3706" s="256" t="inlineStr">
        <is>
          <t>to be performed — see route</t>
        </is>
      </c>
      <c r="Q3706" s="256" t="inlineStr">
        <is>
          <t>Farmahem — Ident A + B + C with the Assay, at retest</t>
        </is>
      </c>
      <c r="R3706" s="256" t="inlineStr"/>
    </row>
    <row r="3707">
      <c r="A3707" s="256" t="inlineStr">
        <is>
          <t>CoQ-PP_26-162</t>
        </is>
      </c>
      <c r="B3707" s="256" t="inlineStr">
        <is>
          <t>reissue — retest</t>
        </is>
      </c>
      <c r="C3707" s="256" t="inlineStr">
        <is>
          <t>SJ102501</t>
        </is>
      </c>
      <c r="D3707" s="256" t="inlineStr">
        <is>
          <t>— no P lot assigned —</t>
        </is>
      </c>
      <c r="E3707" s="256" t="inlineStr">
        <is>
          <t>Sleepy Joe</t>
        </is>
      </c>
      <c r="F3707" s="256" t="inlineStr">
        <is>
          <t>21.09.2026</t>
        </is>
      </c>
      <c r="G3707" s="256" t="inlineStr">
        <is>
          <t>3</t>
        </is>
      </c>
      <c r="H3707" s="256" t="inlineStr">
        <is>
          <t>Identification C · HPLC/HPTLC</t>
        </is>
      </c>
      <c r="I3707" s="256" t="inlineStr">
        <is>
          <t>Ph. Eur. 2.2.29 (3028)</t>
        </is>
      </c>
      <c r="J3707" s="256" t="inlineStr">
        <is>
          <t>Conforms to the monograph for Cannabis flos (07/2024:3028) in Ph. Eur. 11.0 | Согласно монографија за Cannabis flos (07/2024:3028) во Ph. Eur. 11.0</t>
        </is>
      </c>
      <c r="K3707" s="256" t="inlineStr">
        <is>
          <t>Conforms | Одговара</t>
        </is>
      </c>
      <c r="L3707" s="256" t="inlineStr">
        <is>
          <t>227-6-К/26</t>
        </is>
      </c>
      <c r="M3707" s="256" t="inlineStr">
        <is>
          <t>11.09.2026</t>
        </is>
      </c>
      <c r="N3707" s="256" t="inlineStr">
        <is>
          <t>Farmahem</t>
        </is>
      </c>
      <c r="O3707" s="256" t="inlineStr">
        <is>
          <t>24.08.2026</t>
        </is>
      </c>
      <c r="P3707" s="256" t="inlineStr">
        <is>
          <t>covered</t>
        </is>
      </c>
      <c r="Q3707" s="256" t="inlineStr"/>
      <c r="R3707" s="256" t="inlineStr"/>
    </row>
    <row r="3708">
      <c r="A3708" s="256" t="inlineStr">
        <is>
          <t>CoQ-PP_26-162</t>
        </is>
      </c>
      <c r="B3708" s="256" t="inlineStr">
        <is>
          <t>reissue — retest</t>
        </is>
      </c>
      <c r="C3708" s="256" t="inlineStr">
        <is>
          <t>SJ102501</t>
        </is>
      </c>
      <c r="D3708" s="256" t="inlineStr">
        <is>
          <t>— no P lot assigned —</t>
        </is>
      </c>
      <c r="E3708" s="256" t="inlineStr">
        <is>
          <t>Sleepy Joe</t>
        </is>
      </c>
      <c r="F3708" s="256" t="inlineStr">
        <is>
          <t>21.09.2026</t>
        </is>
      </c>
      <c r="G3708" s="256" t="inlineStr">
        <is>
          <t>4</t>
        </is>
      </c>
      <c r="H3708" s="256" t="inlineStr">
        <is>
          <t>Assay — Total Δ⁹-THC</t>
        </is>
      </c>
      <c r="I3708" s="256" t="inlineStr">
        <is>
          <t>Ph. Eur. 2.2.29 (HPLC)</t>
        </is>
      </c>
      <c r="J3708" s="256" t="inlineStr">
        <is>
          <t>9.00 – 10.99 %  (grade II, nominal 10.00 ± 1.00)</t>
        </is>
      </c>
      <c r="K3708" s="256" t="inlineStr">
        <is>
          <t>10.61</t>
        </is>
      </c>
      <c r="L3708" s="256" t="inlineStr">
        <is>
          <t>227-6-К/26</t>
        </is>
      </c>
      <c r="M3708" s="256" t="inlineStr">
        <is>
          <t>11.09.2026</t>
        </is>
      </c>
      <c r="N3708" s="256" t="inlineStr">
        <is>
          <t>Farmahem</t>
        </is>
      </c>
      <c r="O3708" s="256" t="inlineStr">
        <is>
          <t>24.08.2026</t>
        </is>
      </c>
      <c r="P3708" s="256" t="inlineStr">
        <is>
          <t>covered</t>
        </is>
      </c>
      <c r="Q3708" s="256" t="inlineStr"/>
      <c r="R3708" s="256" t="inlineStr"/>
    </row>
    <row r="3709">
      <c r="A3709" s="256" t="inlineStr">
        <is>
          <t>CoQ-PP_26-162</t>
        </is>
      </c>
      <c r="B3709" s="256" t="inlineStr">
        <is>
          <t>reissue — retest</t>
        </is>
      </c>
      <c r="C3709" s="256" t="inlineStr">
        <is>
          <t>SJ102501</t>
        </is>
      </c>
      <c r="D3709" s="256" t="inlineStr">
        <is>
          <t>— no P lot assigned —</t>
        </is>
      </c>
      <c r="E3709" s="256" t="inlineStr">
        <is>
          <t>Sleepy Joe</t>
        </is>
      </c>
      <c r="F3709" s="256" t="inlineStr">
        <is>
          <t>21.09.2026</t>
        </is>
      </c>
      <c r="G3709" s="256" t="inlineStr">
        <is>
          <t>5</t>
        </is>
      </c>
      <c r="H3709" s="256" t="inlineStr">
        <is>
          <t>Assay — Total CBD</t>
        </is>
      </c>
      <c r="I3709" s="256" t="inlineStr">
        <is>
          <t>Ph. Eur. 2.2.29 (HPLC) · CBD + CBDA x 0.877</t>
        </is>
      </c>
      <c r="J3709" s="256" t="inlineStr">
        <is>
          <t>≤ 1.0%, w/w</t>
        </is>
      </c>
      <c r="K3709" s="256" t="inlineStr">
        <is>
          <t>&lt; LOQ</t>
        </is>
      </c>
      <c r="L3709" s="256" t="inlineStr">
        <is>
          <t>227-6-К/26</t>
        </is>
      </c>
      <c r="M3709" s="256" t="inlineStr">
        <is>
          <t>11.09.2026</t>
        </is>
      </c>
      <c r="N3709" s="256" t="inlineStr">
        <is>
          <t>Farmahem</t>
        </is>
      </c>
      <c r="O3709" s="256" t="inlineStr">
        <is>
          <t>24.08.2026</t>
        </is>
      </c>
      <c r="P3709" s="256" t="inlineStr">
        <is>
          <t>covered</t>
        </is>
      </c>
      <c r="Q3709" s="256" t="inlineStr"/>
      <c r="R3709" s="256" t="inlineStr"/>
    </row>
    <row r="3710">
      <c r="A3710" s="256" t="inlineStr">
        <is>
          <t>CoQ-PP_26-162</t>
        </is>
      </c>
      <c r="B3710" s="256" t="inlineStr">
        <is>
          <t>reissue — retest</t>
        </is>
      </c>
      <c r="C3710" s="256" t="inlineStr">
        <is>
          <t>SJ102501</t>
        </is>
      </c>
      <c r="D3710" s="256" t="inlineStr">
        <is>
          <t>— no P lot assigned —</t>
        </is>
      </c>
      <c r="E3710" s="256" t="inlineStr">
        <is>
          <t>Sleepy Joe</t>
        </is>
      </c>
      <c r="F3710" s="256" t="inlineStr">
        <is>
          <t>21.09.2026</t>
        </is>
      </c>
      <c r="G3710" s="256" t="inlineStr">
        <is>
          <t>6</t>
        </is>
      </c>
      <c r="H3710" s="256" t="inlineStr">
        <is>
          <t>Total CBN</t>
        </is>
      </c>
      <c r="I3710" s="256" t="inlineStr">
        <is>
          <t>Ph. Eur. 2.2.29 (HPLC) · CBN + CBNA x 0.876</t>
        </is>
      </c>
      <c r="J3710" s="256" t="inlineStr">
        <is>
          <t>≤ 1.0%, w/w</t>
        </is>
      </c>
      <c r="K3710" s="256" t="inlineStr">
        <is>
          <t>&lt; LOQ</t>
        </is>
      </c>
      <c r="L3710" s="256" t="inlineStr">
        <is>
          <t>227-6-К/26</t>
        </is>
      </c>
      <c r="M3710" s="256" t="inlineStr">
        <is>
          <t>11.09.2026</t>
        </is>
      </c>
      <c r="N3710" s="256" t="inlineStr">
        <is>
          <t>Farmahem</t>
        </is>
      </c>
      <c r="O3710" s="256" t="inlineStr">
        <is>
          <t>24.08.2026</t>
        </is>
      </c>
      <c r="P3710" s="256" t="inlineStr">
        <is>
          <t>covered</t>
        </is>
      </c>
      <c r="Q3710" s="256" t="inlineStr"/>
      <c r="R3710" s="256" t="inlineStr"/>
    </row>
    <row r="3711">
      <c r="A3711" s="256" t="inlineStr">
        <is>
          <t>CoQ-PP_26-162</t>
        </is>
      </c>
      <c r="B3711" s="256" t="inlineStr">
        <is>
          <t>reissue — retest</t>
        </is>
      </c>
      <c r="C3711" s="256" t="inlineStr">
        <is>
          <t>SJ102501</t>
        </is>
      </c>
      <c r="D3711" s="256" t="inlineStr">
        <is>
          <t>— no P lot assigned —</t>
        </is>
      </c>
      <c r="E3711" s="256" t="inlineStr">
        <is>
          <t>Sleepy Joe</t>
        </is>
      </c>
      <c r="F3711" s="256" t="inlineStr">
        <is>
          <t>21.09.2026</t>
        </is>
      </c>
      <c r="G3711" s="256" t="inlineStr">
        <is>
          <t>7</t>
        </is>
      </c>
      <c r="H3711" s="256" t="inlineStr">
        <is>
          <t>Foreign Matter</t>
        </is>
      </c>
      <c r="I3711" s="256" t="inlineStr">
        <is>
          <t>Ph. Eur. 2.8.2 · In-house · интерна</t>
        </is>
      </c>
      <c r="J3711" s="256" t="inlineStr">
        <is>
          <t>≤ 2.0% / 25–50 g · &lt; 1 cm leaves | листови, no seeds | без семки</t>
        </is>
      </c>
      <c r="K3711" s="256" t="inlineStr">
        <is>
          <t>Conforms | Одговара</t>
        </is>
      </c>
      <c r="L3711" s="256" t="inlineStr">
        <is>
          <t>iCoA-PP_26-161</t>
        </is>
      </c>
      <c r="M3711" s="256" t="inlineStr">
        <is>
          <t>24.08.2026</t>
        </is>
      </c>
      <c r="N3711" s="256" t="inlineStr">
        <is>
          <t>Purely Plant GmbH (in-house)</t>
        </is>
      </c>
      <c r="O3711" s="256" t="inlineStr">
        <is>
          <t>—</t>
        </is>
      </c>
      <c r="P3711" s="256" t="inlineStr">
        <is>
          <t>to be performed — see route</t>
        </is>
      </c>
      <c r="Q3711" s="256" t="inlineStr">
        <is>
          <t>Purely Plant laboratory — iCoA covering Foreign matter</t>
        </is>
      </c>
      <c r="R3711" s="256" t="inlineStr"/>
    </row>
    <row r="3712">
      <c r="A3712" s="256" t="inlineStr">
        <is>
          <t>CoQ-PP_26-162</t>
        </is>
      </c>
      <c r="B3712" s="256" t="inlineStr">
        <is>
          <t>reissue — retest</t>
        </is>
      </c>
      <c r="C3712" s="256" t="inlineStr">
        <is>
          <t>SJ102501</t>
        </is>
      </c>
      <c r="D3712" s="256" t="inlineStr">
        <is>
          <t>— no P lot assigned —</t>
        </is>
      </c>
      <c r="E3712" s="256" t="inlineStr">
        <is>
          <t>Sleepy Joe</t>
        </is>
      </c>
      <c r="F3712" s="256" t="inlineStr">
        <is>
          <t>21.09.2026</t>
        </is>
      </c>
      <c r="G3712" s="256" t="inlineStr">
        <is>
          <t>8</t>
        </is>
      </c>
      <c r="H3712" s="256" t="inlineStr">
        <is>
          <t>Loss on Drying</t>
        </is>
      </c>
      <c r="I3712" s="256" t="inlineStr">
        <is>
          <t>Ph. Eur. 2.2.32 (3028) · at 40 °C, 24 h, 15–25 mbar</t>
        </is>
      </c>
      <c r="J3712" s="256" t="inlineStr">
        <is>
          <t>≤ 12.0%</t>
        </is>
      </c>
      <c r="K3712" s="256" t="inlineStr">
        <is>
          <t>7.8</t>
        </is>
      </c>
      <c r="L3712" s="256" t="inlineStr">
        <is>
          <t>051-3-ГС/26</t>
        </is>
      </c>
      <c r="M3712" s="256" t="inlineStr">
        <is>
          <t>02.03.2026</t>
        </is>
      </c>
      <c r="N3712" s="256" t="inlineStr">
        <is>
          <t>Farmahem</t>
        </is>
      </c>
      <c r="O3712" s="256" t="inlineStr">
        <is>
          <t>—</t>
        </is>
      </c>
      <c r="P3712" s="256" t="inlineStr">
        <is>
          <t>carried from the initial testing (the batch's initial CoQ (number assigned on issue)) — covered</t>
        </is>
      </c>
      <c r="Q3712" s="256" t="inlineStr"/>
      <c r="R3712" s="256" t="inlineStr"/>
    </row>
    <row r="3713">
      <c r="A3713" s="256" t="inlineStr">
        <is>
          <t>CoQ-PP_26-162</t>
        </is>
      </c>
      <c r="B3713" s="256" t="inlineStr">
        <is>
          <t>reissue — retest</t>
        </is>
      </c>
      <c r="C3713" s="256" t="inlineStr">
        <is>
          <t>SJ102501</t>
        </is>
      </c>
      <c r="D3713" s="256" t="inlineStr">
        <is>
          <t>— no P lot assigned —</t>
        </is>
      </c>
      <c r="E3713" s="256" t="inlineStr">
        <is>
          <t>Sleepy Joe</t>
        </is>
      </c>
      <c r="F3713" s="256" t="inlineStr">
        <is>
          <t>21.09.2026</t>
        </is>
      </c>
      <c r="G3713" s="256" t="inlineStr">
        <is>
          <t>9.1</t>
        </is>
      </c>
      <c r="H3713" s="256" t="inlineStr">
        <is>
          <t>TAMC</t>
        </is>
      </c>
      <c r="I3713" s="256" t="inlineStr">
        <is>
          <t>Ph. Eur. 2.6.12 cat. C</t>
        </is>
      </c>
      <c r="J3713" s="256" t="inlineStr">
        <is>
          <t>≤ 10⁵ CFU/g</t>
        </is>
      </c>
      <c r="K3713" s="256" t="inlineStr">
        <is>
          <t>5,2 × 10²</t>
        </is>
      </c>
      <c r="L3713" s="256" t="inlineStr">
        <is>
          <t>549/1080/26</t>
        </is>
      </c>
      <c r="M3713" s="256" t="inlineStr">
        <is>
          <t>31.08.2026</t>
        </is>
      </c>
      <c r="N3713" s="256" t="inlineStr">
        <is>
          <t>IPH — Institute of Public Health</t>
        </is>
      </c>
      <c r="O3713" s="256" t="inlineStr">
        <is>
          <t>25.08.2026</t>
        </is>
      </c>
      <c r="P3713" s="256" t="inlineStr">
        <is>
          <t>covered</t>
        </is>
      </c>
      <c r="Q3713" s="256" t="inlineStr"/>
      <c r="R3713" s="256" t="inlineStr"/>
    </row>
    <row r="3714">
      <c r="A3714" s="256" t="inlineStr">
        <is>
          <t>CoQ-PP_26-162</t>
        </is>
      </c>
      <c r="B3714" s="256" t="inlineStr">
        <is>
          <t>reissue — retest</t>
        </is>
      </c>
      <c r="C3714" s="256" t="inlineStr">
        <is>
          <t>SJ102501</t>
        </is>
      </c>
      <c r="D3714" s="256" t="inlineStr">
        <is>
          <t>— no P lot assigned —</t>
        </is>
      </c>
      <c r="E3714" s="256" t="inlineStr">
        <is>
          <t>Sleepy Joe</t>
        </is>
      </c>
      <c r="F3714" s="256" t="inlineStr">
        <is>
          <t>21.09.2026</t>
        </is>
      </c>
      <c r="G3714" s="256" t="inlineStr">
        <is>
          <t>9.2</t>
        </is>
      </c>
      <c r="H3714" s="256" t="inlineStr">
        <is>
          <t>TYMC</t>
        </is>
      </c>
      <c r="I3714" s="256" t="inlineStr">
        <is>
          <t>Ph. Eur. 2.6.12 cat. C</t>
        </is>
      </c>
      <c r="J3714" s="256" t="inlineStr">
        <is>
          <t>≤ 10⁴ CFU/g</t>
        </is>
      </c>
      <c r="K3714" s="256" t="inlineStr">
        <is>
          <t>4,3 × 10²</t>
        </is>
      </c>
      <c r="L3714" s="256" t="inlineStr">
        <is>
          <t>549/1080/26</t>
        </is>
      </c>
      <c r="M3714" s="256" t="inlineStr">
        <is>
          <t>31.08.2026</t>
        </is>
      </c>
      <c r="N3714" s="256" t="inlineStr">
        <is>
          <t>IPH — Institute of Public Health</t>
        </is>
      </c>
      <c r="O3714" s="256" t="inlineStr">
        <is>
          <t>25.08.2026</t>
        </is>
      </c>
      <c r="P3714" s="256" t="inlineStr">
        <is>
          <t>covered</t>
        </is>
      </c>
      <c r="Q3714" s="256" t="inlineStr"/>
      <c r="R3714" s="256" t="inlineStr"/>
    </row>
    <row r="3715">
      <c r="A3715" s="256" t="inlineStr">
        <is>
          <t>CoQ-PP_26-162</t>
        </is>
      </c>
      <c r="B3715" s="256" t="inlineStr">
        <is>
          <t>reissue — retest</t>
        </is>
      </c>
      <c r="C3715" s="256" t="inlineStr">
        <is>
          <t>SJ102501</t>
        </is>
      </c>
      <c r="D3715" s="256" t="inlineStr">
        <is>
          <t>— no P lot assigned —</t>
        </is>
      </c>
      <c r="E3715" s="256" t="inlineStr">
        <is>
          <t>Sleepy Joe</t>
        </is>
      </c>
      <c r="F3715" s="256" t="inlineStr">
        <is>
          <t>21.09.2026</t>
        </is>
      </c>
      <c r="G3715" s="256" t="inlineStr">
        <is>
          <t>9.3</t>
        </is>
      </c>
      <c r="H3715" s="256" t="inlineStr">
        <is>
          <t>Bile-tolerant gram-neg.</t>
        </is>
      </c>
      <c r="I3715" s="256" t="inlineStr">
        <is>
          <t>Ph. Eur. 2.6.31 cat. C</t>
        </is>
      </c>
      <c r="J3715" s="256" t="inlineStr">
        <is>
          <t>≤ 10⁴ CFU/g</t>
        </is>
      </c>
      <c r="K3715" s="256" t="inlineStr">
        <is>
          <t>&lt; 10</t>
        </is>
      </c>
      <c r="L3715" s="256" t="inlineStr">
        <is>
          <t>549/1080/26</t>
        </is>
      </c>
      <c r="M3715" s="256" t="inlineStr">
        <is>
          <t>31.08.2026</t>
        </is>
      </c>
      <c r="N3715" s="256" t="inlineStr">
        <is>
          <t>IPH — Institute of Public Health</t>
        </is>
      </c>
      <c r="O3715" s="256" t="inlineStr">
        <is>
          <t>25.08.2026</t>
        </is>
      </c>
      <c r="P3715" s="256" t="inlineStr">
        <is>
          <t>covered</t>
        </is>
      </c>
      <c r="Q3715" s="256" t="inlineStr"/>
      <c r="R3715" s="256" t="inlineStr"/>
    </row>
    <row r="3716">
      <c r="A3716" s="256" t="inlineStr">
        <is>
          <t>CoQ-PP_26-162</t>
        </is>
      </c>
      <c r="B3716" s="256" t="inlineStr">
        <is>
          <t>reissue — retest</t>
        </is>
      </c>
      <c r="C3716" s="256" t="inlineStr">
        <is>
          <t>SJ102501</t>
        </is>
      </c>
      <c r="D3716" s="256" t="inlineStr">
        <is>
          <t>— no P lot assigned —</t>
        </is>
      </c>
      <c r="E3716" s="256" t="inlineStr">
        <is>
          <t>Sleepy Joe</t>
        </is>
      </c>
      <c r="F3716" s="256" t="inlineStr">
        <is>
          <t>21.09.2026</t>
        </is>
      </c>
      <c r="G3716" s="256" t="inlineStr">
        <is>
          <t>9.4</t>
        </is>
      </c>
      <c r="H3716" s="256" t="inlineStr">
        <is>
          <t>Salmonella</t>
        </is>
      </c>
      <c r="I3716" s="256" t="inlineStr">
        <is>
          <t>Ph. Eur. 2.6.31 cat. C</t>
        </is>
      </c>
      <c r="J3716" s="256" t="inlineStr">
        <is>
          <t>Absence | Отсуство / 25 g</t>
        </is>
      </c>
      <c r="K3716" s="256" t="inlineStr">
        <is>
          <t>Absent | Отсутна</t>
        </is>
      </c>
      <c r="L3716" s="256" t="inlineStr">
        <is>
          <t>549/1080/26</t>
        </is>
      </c>
      <c r="M3716" s="256" t="inlineStr">
        <is>
          <t>31.08.2026</t>
        </is>
      </c>
      <c r="N3716" s="256" t="inlineStr">
        <is>
          <t>IPH — Institute of Public Health</t>
        </is>
      </c>
      <c r="O3716" s="256" t="inlineStr">
        <is>
          <t>25.08.2026</t>
        </is>
      </c>
      <c r="P3716" s="256" t="inlineStr">
        <is>
          <t>covered</t>
        </is>
      </c>
      <c r="Q3716" s="256" t="inlineStr"/>
      <c r="R3716" s="256" t="inlineStr"/>
    </row>
    <row r="3717">
      <c r="A3717" s="256" t="inlineStr">
        <is>
          <t>CoQ-PP_26-162</t>
        </is>
      </c>
      <c r="B3717" s="256" t="inlineStr">
        <is>
          <t>reissue — retest</t>
        </is>
      </c>
      <c r="C3717" s="256" t="inlineStr">
        <is>
          <t>SJ102501</t>
        </is>
      </c>
      <c r="D3717" s="256" t="inlineStr">
        <is>
          <t>— no P lot assigned —</t>
        </is>
      </c>
      <c r="E3717" s="256" t="inlineStr">
        <is>
          <t>Sleepy Joe</t>
        </is>
      </c>
      <c r="F3717" s="256" t="inlineStr">
        <is>
          <t>21.09.2026</t>
        </is>
      </c>
      <c r="G3717" s="256" t="inlineStr">
        <is>
          <t>9.5</t>
        </is>
      </c>
      <c r="H3717" s="256" t="inlineStr">
        <is>
          <t>Escherichia coli</t>
        </is>
      </c>
      <c r="I3717" s="256" t="inlineStr">
        <is>
          <t>Ph. Eur. 2.6.13 cat. C</t>
        </is>
      </c>
      <c r="J3717" s="256" t="inlineStr">
        <is>
          <t>Absence | Отсуство / 1 g</t>
        </is>
      </c>
      <c r="K3717" s="256" t="inlineStr">
        <is>
          <t>Absent | Отсутна</t>
        </is>
      </c>
      <c r="L3717" s="256" t="inlineStr">
        <is>
          <t>549/1080/26</t>
        </is>
      </c>
      <c r="M3717" s="256" t="inlineStr">
        <is>
          <t>31.08.2026</t>
        </is>
      </c>
      <c r="N3717" s="256" t="inlineStr">
        <is>
          <t>IPH — Institute of Public Health</t>
        </is>
      </c>
      <c r="O3717" s="256" t="inlineStr">
        <is>
          <t>25.08.2026</t>
        </is>
      </c>
      <c r="P3717" s="256" t="inlineStr">
        <is>
          <t>covered</t>
        </is>
      </c>
      <c r="Q3717" s="256" t="inlineStr"/>
      <c r="R3717" s="256" t="inlineStr"/>
    </row>
    <row r="3718">
      <c r="A3718" s="256" t="inlineStr">
        <is>
          <t>CoQ-PP_26-162</t>
        </is>
      </c>
      <c r="B3718" s="256" t="inlineStr">
        <is>
          <t>reissue — retest</t>
        </is>
      </c>
      <c r="C3718" s="256" t="inlineStr">
        <is>
          <t>SJ102501</t>
        </is>
      </c>
      <c r="D3718" s="256" t="inlineStr">
        <is>
          <t>— no P lot assigned —</t>
        </is>
      </c>
      <c r="E3718" s="256" t="inlineStr">
        <is>
          <t>Sleepy Joe</t>
        </is>
      </c>
      <c r="F3718" s="256" t="inlineStr">
        <is>
          <t>21.09.2026</t>
        </is>
      </c>
      <c r="G3718" s="256" t="inlineStr">
        <is>
          <t>9.6</t>
        </is>
      </c>
      <c r="H3718" s="256" t="inlineStr">
        <is>
          <t>Pseudomonas aeruginosa</t>
        </is>
      </c>
      <c r="I3718" s="256" t="inlineStr">
        <is>
          <t>Ph. Eur. 2.6.13 cat. C</t>
        </is>
      </c>
      <c r="J3718" s="256" t="inlineStr">
        <is>
          <t>Absence | Отсуство / 1 g</t>
        </is>
      </c>
      <c r="K3718" s="260" t="inlineStr">
        <is>
          <t>upon request — not required for release</t>
        </is>
      </c>
      <c r="L3718" s="256" t="inlineStr">
        <is>
          <t>—</t>
        </is>
      </c>
      <c r="M3718" s="256" t="inlineStr">
        <is>
          <t>—</t>
        </is>
      </c>
      <c r="N3718" s="256" t="inlineStr">
        <is>
          <t>—</t>
        </is>
      </c>
      <c r="O3718" s="256" t="inlineStr">
        <is>
          <t>—</t>
        </is>
      </c>
      <c r="P3718" s="256" t="inlineStr">
        <is>
          <t>upon request — not required for release</t>
        </is>
      </c>
      <c r="Q3718" s="256" t="inlineStr"/>
      <c r="R3718" s="256" t="inlineStr"/>
    </row>
    <row r="3719">
      <c r="A3719" s="256" t="inlineStr">
        <is>
          <t>CoQ-PP_26-162</t>
        </is>
      </c>
      <c r="B3719" s="256" t="inlineStr">
        <is>
          <t>reissue — retest</t>
        </is>
      </c>
      <c r="C3719" s="256" t="inlineStr">
        <is>
          <t>SJ102501</t>
        </is>
      </c>
      <c r="D3719" s="256" t="inlineStr">
        <is>
          <t>— no P lot assigned —</t>
        </is>
      </c>
      <c r="E3719" s="256" t="inlineStr">
        <is>
          <t>Sleepy Joe</t>
        </is>
      </c>
      <c r="F3719" s="256" t="inlineStr">
        <is>
          <t>21.09.2026</t>
        </is>
      </c>
      <c r="G3719" s="256" t="inlineStr">
        <is>
          <t>9.7</t>
        </is>
      </c>
      <c r="H3719" s="256" t="inlineStr">
        <is>
          <t>Staphylococcus aureus</t>
        </is>
      </c>
      <c r="I3719" s="256" t="inlineStr">
        <is>
          <t>Ph. Eur. 2.6.13 cat. C</t>
        </is>
      </c>
      <c r="J3719" s="256" t="inlineStr">
        <is>
          <t>Absence | Отсуство / 1 g</t>
        </is>
      </c>
      <c r="K3719" s="260" t="inlineStr">
        <is>
          <t>upon request — not required for release</t>
        </is>
      </c>
      <c r="L3719" s="256" t="inlineStr">
        <is>
          <t>—</t>
        </is>
      </c>
      <c r="M3719" s="256" t="inlineStr">
        <is>
          <t>—</t>
        </is>
      </c>
      <c r="N3719" s="256" t="inlineStr">
        <is>
          <t>—</t>
        </is>
      </c>
      <c r="O3719" s="256" t="inlineStr">
        <is>
          <t>—</t>
        </is>
      </c>
      <c r="P3719" s="256" t="inlineStr">
        <is>
          <t>upon request — not required for release</t>
        </is>
      </c>
      <c r="Q3719" s="256" t="inlineStr"/>
      <c r="R3719" s="256" t="inlineStr"/>
    </row>
    <row r="3720">
      <c r="A3720" s="256" t="inlineStr">
        <is>
          <t>CoQ-PP_26-162</t>
        </is>
      </c>
      <c r="B3720" s="256" t="inlineStr">
        <is>
          <t>reissue — retest</t>
        </is>
      </c>
      <c r="C3720" s="256" t="inlineStr">
        <is>
          <t>SJ102501</t>
        </is>
      </c>
      <c r="D3720" s="256" t="inlineStr">
        <is>
          <t>— no P lot assigned —</t>
        </is>
      </c>
      <c r="E3720" s="256" t="inlineStr">
        <is>
          <t>Sleepy Joe</t>
        </is>
      </c>
      <c r="F3720" s="256" t="inlineStr">
        <is>
          <t>21.09.2026</t>
        </is>
      </c>
      <c r="G3720" s="256" t="inlineStr">
        <is>
          <t>10.1</t>
        </is>
      </c>
      <c r="H3720" s="256" t="inlineStr">
        <is>
          <t>Aflatoxin B₁</t>
        </is>
      </c>
      <c r="I3720" s="256" t="inlineStr">
        <is>
          <t>Ph. Eur. 2.8.18 (HPLC-FLD)</t>
        </is>
      </c>
      <c r="J3720" s="256" t="inlineStr">
        <is>
          <t>≤ 2 µg/kg</t>
        </is>
      </c>
      <c r="K3720" s="256" t="inlineStr">
        <is>
          <t>ND</t>
        </is>
      </c>
      <c r="L3720" s="256" t="inlineStr">
        <is>
          <t>227-6-М/26</t>
        </is>
      </c>
      <c r="M3720" s="256" t="inlineStr">
        <is>
          <t>16.09.2026</t>
        </is>
      </c>
      <c r="N3720" s="256" t="inlineStr">
        <is>
          <t>Farmahem</t>
        </is>
      </c>
      <c r="O3720" s="256" t="inlineStr">
        <is>
          <t>—</t>
        </is>
      </c>
      <c r="P3720" s="256" t="inlineStr">
        <is>
          <t>covered</t>
        </is>
      </c>
      <c r="Q3720" s="256" t="inlineStr"/>
      <c r="R3720" s="256" t="inlineStr"/>
    </row>
    <row r="3721">
      <c r="A3721" s="256" t="inlineStr">
        <is>
          <t>CoQ-PP_26-162</t>
        </is>
      </c>
      <c r="B3721" s="256" t="inlineStr">
        <is>
          <t>reissue — retest</t>
        </is>
      </c>
      <c r="C3721" s="256" t="inlineStr">
        <is>
          <t>SJ102501</t>
        </is>
      </c>
      <c r="D3721" s="256" t="inlineStr">
        <is>
          <t>— no P lot assigned —</t>
        </is>
      </c>
      <c r="E3721" s="256" t="inlineStr">
        <is>
          <t>Sleepy Joe</t>
        </is>
      </c>
      <c r="F3721" s="256" t="inlineStr">
        <is>
          <t>21.09.2026</t>
        </is>
      </c>
      <c r="G3721" s="256" t="inlineStr">
        <is>
          <t>10.2</t>
        </is>
      </c>
      <c r="H3721" s="256" t="inlineStr">
        <is>
          <t>Aflatoxins ∑</t>
        </is>
      </c>
      <c r="I3721" s="256" t="inlineStr">
        <is>
          <t>Ph. Eur. 2.8.18 (HPLC-FLD)</t>
        </is>
      </c>
      <c r="J3721" s="256" t="inlineStr">
        <is>
          <t>≤ 4 µg/kg</t>
        </is>
      </c>
      <c r="K3721" s="256" t="inlineStr">
        <is>
          <t>ND</t>
        </is>
      </c>
      <c r="L3721" s="256" t="inlineStr">
        <is>
          <t>227-6-М/26</t>
        </is>
      </c>
      <c r="M3721" s="256" t="inlineStr">
        <is>
          <t>16.09.2026</t>
        </is>
      </c>
      <c r="N3721" s="256" t="inlineStr">
        <is>
          <t>Farmahem</t>
        </is>
      </c>
      <c r="O3721" s="256" t="inlineStr">
        <is>
          <t>—</t>
        </is>
      </c>
      <c r="P3721" s="256" t="inlineStr">
        <is>
          <t>covered</t>
        </is>
      </c>
      <c r="Q3721" s="256" t="inlineStr"/>
      <c r="R3721" s="256" t="inlineStr"/>
    </row>
    <row r="3722">
      <c r="A3722" s="256" t="inlineStr">
        <is>
          <t>CoQ-PP_26-162</t>
        </is>
      </c>
      <c r="B3722" s="256" t="inlineStr">
        <is>
          <t>reissue — retest</t>
        </is>
      </c>
      <c r="C3722" s="256" t="inlineStr">
        <is>
          <t>SJ102501</t>
        </is>
      </c>
      <c r="D3722" s="256" t="inlineStr">
        <is>
          <t>— no P lot assigned —</t>
        </is>
      </c>
      <c r="E3722" s="256" t="inlineStr">
        <is>
          <t>Sleepy Joe</t>
        </is>
      </c>
      <c r="F3722" s="256" t="inlineStr">
        <is>
          <t>21.09.2026</t>
        </is>
      </c>
      <c r="G3722" s="256" t="inlineStr">
        <is>
          <t>10.3</t>
        </is>
      </c>
      <c r="H3722" s="256" t="inlineStr">
        <is>
          <t>Ochratoxin A</t>
        </is>
      </c>
      <c r="I3722" s="256" t="inlineStr">
        <is>
          <t>Ph. Eur. 2.8.22 (HPLC-FLD)</t>
        </is>
      </c>
      <c r="J3722" s="256" t="inlineStr">
        <is>
          <t>≤ 20 µg/kg</t>
        </is>
      </c>
      <c r="K3722" s="256" t="inlineStr">
        <is>
          <t>ND</t>
        </is>
      </c>
      <c r="L3722" s="256" t="inlineStr">
        <is>
          <t>227-6-М/26</t>
        </is>
      </c>
      <c r="M3722" s="256" t="inlineStr">
        <is>
          <t>16.09.2026</t>
        </is>
      </c>
      <c r="N3722" s="256" t="inlineStr">
        <is>
          <t>Farmahem</t>
        </is>
      </c>
      <c r="O3722" s="256" t="inlineStr">
        <is>
          <t>—</t>
        </is>
      </c>
      <c r="P3722" s="256" t="inlineStr">
        <is>
          <t>covered</t>
        </is>
      </c>
      <c r="Q3722" s="256" t="inlineStr"/>
      <c r="R3722" s="256" t="inlineStr"/>
    </row>
    <row r="3723">
      <c r="A3723" s="256" t="inlineStr">
        <is>
          <t>CoQ-PP_26-162</t>
        </is>
      </c>
      <c r="B3723" s="256" t="inlineStr">
        <is>
          <t>reissue — retest</t>
        </is>
      </c>
      <c r="C3723" s="256" t="inlineStr">
        <is>
          <t>SJ102501</t>
        </is>
      </c>
      <c r="D3723" s="256" t="inlineStr">
        <is>
          <t>— no P lot assigned —</t>
        </is>
      </c>
      <c r="E3723" s="256" t="inlineStr">
        <is>
          <t>Sleepy Joe</t>
        </is>
      </c>
      <c r="F3723" s="256" t="inlineStr">
        <is>
          <t>21.09.2026</t>
        </is>
      </c>
      <c r="G3723" s="256" t="inlineStr">
        <is>
          <t>11.1</t>
        </is>
      </c>
      <c r="H3723" s="256" t="inlineStr">
        <is>
          <t>Lead (Pb)</t>
        </is>
      </c>
      <c r="I3723" s="256" t="inlineStr">
        <is>
          <t>Ph. Eur. 2.4.27 (ICP-MS)</t>
        </is>
      </c>
      <c r="J3723" s="256" t="inlineStr">
        <is>
          <t>≤ 0.5 mg/kg</t>
        </is>
      </c>
      <c r="K3723" s="256" t="inlineStr">
        <is>
          <t>carried from the initial testing — not tested</t>
        </is>
      </c>
      <c r="L3723" s="256" t="inlineStr">
        <is>
          <t>—</t>
        </is>
      </c>
      <c r="M3723" s="256" t="inlineStr">
        <is>
          <t>—</t>
        </is>
      </c>
      <c r="N3723" s="256" t="inlineStr">
        <is>
          <t>—</t>
        </is>
      </c>
      <c r="O3723" s="256" t="inlineStr">
        <is>
          <t>—</t>
        </is>
      </c>
      <c r="P3723" s="256" t="inlineStr">
        <is>
          <t>carried from the initial testing (the batch's initial CoQ (number assigned on issue)) — not tested — no certificate covers it</t>
        </is>
      </c>
      <c r="Q3723" s="256" t="inlineStr"/>
      <c r="R3723" s="256" t="inlineStr"/>
    </row>
    <row r="3724">
      <c r="A3724" s="256" t="inlineStr">
        <is>
          <t>CoQ-PP_26-162</t>
        </is>
      </c>
      <c r="B3724" s="256" t="inlineStr">
        <is>
          <t>reissue — retest</t>
        </is>
      </c>
      <c r="C3724" s="256" t="inlineStr">
        <is>
          <t>SJ102501</t>
        </is>
      </c>
      <c r="D3724" s="256" t="inlineStr">
        <is>
          <t>— no P lot assigned —</t>
        </is>
      </c>
      <c r="E3724" s="256" t="inlineStr">
        <is>
          <t>Sleepy Joe</t>
        </is>
      </c>
      <c r="F3724" s="256" t="inlineStr">
        <is>
          <t>21.09.2026</t>
        </is>
      </c>
      <c r="G3724" s="256" t="inlineStr">
        <is>
          <t>11.2</t>
        </is>
      </c>
      <c r="H3724" s="256" t="inlineStr">
        <is>
          <t>Cadmium (Cd)</t>
        </is>
      </c>
      <c r="I3724" s="256" t="inlineStr">
        <is>
          <t>Ph. Eur. 2.4.27 (ICP-MS)</t>
        </is>
      </c>
      <c r="J3724" s="256" t="inlineStr">
        <is>
          <t>≤ 0.3 mg/kg</t>
        </is>
      </c>
      <c r="K3724" s="256" t="inlineStr">
        <is>
          <t>carried from the initial testing — not tested</t>
        </is>
      </c>
      <c r="L3724" s="256" t="inlineStr">
        <is>
          <t>—</t>
        </is>
      </c>
      <c r="M3724" s="256" t="inlineStr">
        <is>
          <t>—</t>
        </is>
      </c>
      <c r="N3724" s="256" t="inlineStr">
        <is>
          <t>—</t>
        </is>
      </c>
      <c r="O3724" s="256" t="inlineStr">
        <is>
          <t>—</t>
        </is>
      </c>
      <c r="P3724" s="256" t="inlineStr">
        <is>
          <t>carried from the initial testing (the batch's initial CoQ (number assigned on issue)) — not tested — no certificate covers it</t>
        </is>
      </c>
      <c r="Q3724" s="256" t="inlineStr"/>
      <c r="R3724" s="256" t="inlineStr"/>
    </row>
    <row r="3725">
      <c r="A3725" s="256" t="inlineStr">
        <is>
          <t>CoQ-PP_26-162</t>
        </is>
      </c>
      <c r="B3725" s="256" t="inlineStr">
        <is>
          <t>reissue — retest</t>
        </is>
      </c>
      <c r="C3725" s="256" t="inlineStr">
        <is>
          <t>SJ102501</t>
        </is>
      </c>
      <c r="D3725" s="256" t="inlineStr">
        <is>
          <t>— no P lot assigned —</t>
        </is>
      </c>
      <c r="E3725" s="256" t="inlineStr">
        <is>
          <t>Sleepy Joe</t>
        </is>
      </c>
      <c r="F3725" s="256" t="inlineStr">
        <is>
          <t>21.09.2026</t>
        </is>
      </c>
      <c r="G3725" s="256" t="inlineStr">
        <is>
          <t>11.3</t>
        </is>
      </c>
      <c r="H3725" s="256" t="inlineStr">
        <is>
          <t>Arsenic (As)</t>
        </is>
      </c>
      <c r="I3725" s="256" t="inlineStr">
        <is>
          <t>Ph. Eur. 2.4.27 (ICP-MS)</t>
        </is>
      </c>
      <c r="J3725" s="256" t="inlineStr">
        <is>
          <t>≤ 0.2 mg/kg</t>
        </is>
      </c>
      <c r="K3725" s="256" t="inlineStr">
        <is>
          <t>carried from the initial testing — not tested</t>
        </is>
      </c>
      <c r="L3725" s="256" t="inlineStr">
        <is>
          <t>—</t>
        </is>
      </c>
      <c r="M3725" s="256" t="inlineStr">
        <is>
          <t>—</t>
        </is>
      </c>
      <c r="N3725" s="256" t="inlineStr">
        <is>
          <t>—</t>
        </is>
      </c>
      <c r="O3725" s="256" t="inlineStr">
        <is>
          <t>—</t>
        </is>
      </c>
      <c r="P3725" s="256" t="inlineStr">
        <is>
          <t>carried from the initial testing (the batch's initial CoQ (number assigned on issue)) — not tested — no certificate covers it</t>
        </is>
      </c>
      <c r="Q3725" s="256" t="inlineStr"/>
      <c r="R3725" s="256" t="inlineStr"/>
    </row>
    <row r="3726">
      <c r="A3726" s="256" t="inlineStr">
        <is>
          <t>CoQ-PP_26-162</t>
        </is>
      </c>
      <c r="B3726" s="256" t="inlineStr">
        <is>
          <t>reissue — retest</t>
        </is>
      </c>
      <c r="C3726" s="256" t="inlineStr">
        <is>
          <t>SJ102501</t>
        </is>
      </c>
      <c r="D3726" s="256" t="inlineStr">
        <is>
          <t>— no P lot assigned —</t>
        </is>
      </c>
      <c r="E3726" s="256" t="inlineStr">
        <is>
          <t>Sleepy Joe</t>
        </is>
      </c>
      <c r="F3726" s="256" t="inlineStr">
        <is>
          <t>21.09.2026</t>
        </is>
      </c>
      <c r="G3726" s="256" t="inlineStr">
        <is>
          <t>11.4</t>
        </is>
      </c>
      <c r="H3726" s="256" t="inlineStr">
        <is>
          <t>Mercury (Hg)</t>
        </is>
      </c>
      <c r="I3726" s="256" t="inlineStr">
        <is>
          <t>Ph. Eur. 2.4.27 (ICP-MS)</t>
        </is>
      </c>
      <c r="J3726" s="256" t="inlineStr">
        <is>
          <t>≤ 0.1 mg/kg</t>
        </is>
      </c>
      <c r="K3726" s="256" t="inlineStr">
        <is>
          <t>carried from the initial testing — not tested</t>
        </is>
      </c>
      <c r="L3726" s="256" t="inlineStr">
        <is>
          <t>—</t>
        </is>
      </c>
      <c r="M3726" s="256" t="inlineStr">
        <is>
          <t>—</t>
        </is>
      </c>
      <c r="N3726" s="256" t="inlineStr">
        <is>
          <t>—</t>
        </is>
      </c>
      <c r="O3726" s="256" t="inlineStr">
        <is>
          <t>—</t>
        </is>
      </c>
      <c r="P3726" s="256" t="inlineStr">
        <is>
          <t>carried from the initial testing (the batch's initial CoQ (number assigned on issue)) — not tested — no certificate covers it</t>
        </is>
      </c>
      <c r="Q3726" s="256" t="inlineStr"/>
      <c r="R3726" s="256" t="inlineStr"/>
    </row>
    <row r="3727">
      <c r="A3727" s="256" t="inlineStr">
        <is>
          <t>CoQ-PP_26-162</t>
        </is>
      </c>
      <c r="B3727" s="256" t="inlineStr">
        <is>
          <t>reissue — retest</t>
        </is>
      </c>
      <c r="C3727" s="256" t="inlineStr">
        <is>
          <t>SJ102501</t>
        </is>
      </c>
      <c r="D3727" s="256" t="inlineStr">
        <is>
          <t>— no P lot assigned —</t>
        </is>
      </c>
      <c r="E3727" s="256" t="inlineStr">
        <is>
          <t>Sleepy Joe</t>
        </is>
      </c>
      <c r="F3727" s="256" t="inlineStr">
        <is>
          <t>21.09.2026</t>
        </is>
      </c>
      <c r="G3727" s="256" t="inlineStr">
        <is>
          <t>12</t>
        </is>
      </c>
      <c r="H3727" s="256" t="inlineStr">
        <is>
          <t>Pesticide Residues</t>
        </is>
      </c>
      <c r="I3727" s="256" t="inlineStr">
        <is>
          <t>Ph. Eur. 2.8.13 (LC-MS/MS) · CUMCS Equivalency</t>
        </is>
      </c>
      <c r="J3727" s="256" t="inlineStr">
        <is>
          <t>≤ LOQ as per Ph. Eur. 2.8.13 · ≤ LOQ as per CUMCS Equivalency</t>
        </is>
      </c>
      <c r="K3727" s="256" t="inlineStr">
        <is>
          <t>carried from the initial testing — not tested</t>
        </is>
      </c>
      <c r="L3727" s="256" t="inlineStr">
        <is>
          <t>—</t>
        </is>
      </c>
      <c r="M3727" s="256" t="inlineStr">
        <is>
          <t>—</t>
        </is>
      </c>
      <c r="N3727" s="256" t="inlineStr">
        <is>
          <t>—</t>
        </is>
      </c>
      <c r="O3727" s="256" t="inlineStr">
        <is>
          <t>—</t>
        </is>
      </c>
      <c r="P3727" s="256" t="inlineStr">
        <is>
          <t>carried from the initial testing (the batch's initial CoQ (number assigned on issue)) — not tested — no certificate covers it</t>
        </is>
      </c>
      <c r="Q3727" s="256" t="inlineStr"/>
      <c r="R3727" s="256" t="inlineStr"/>
    </row>
    <row r="3728">
      <c r="A3728" s="256" t="inlineStr">
        <is>
          <t>CoQ-PP_26-163</t>
        </is>
      </c>
      <c r="B3728" s="256" t="inlineStr">
        <is>
          <t>reissue — retest</t>
        </is>
      </c>
      <c r="C3728" s="256" t="inlineStr">
        <is>
          <t>SJ112501</t>
        </is>
      </c>
      <c r="D3728" s="256" t="inlineStr">
        <is>
          <t>— no P lot assigned —</t>
        </is>
      </c>
      <c r="E3728" s="256" t="inlineStr">
        <is>
          <t>Sleepy Joe</t>
        </is>
      </c>
      <c r="F3728" s="256" t="inlineStr">
        <is>
          <t>21.09.2026</t>
        </is>
      </c>
      <c r="G3728" s="256" t="inlineStr">
        <is>
          <t>1</t>
        </is>
      </c>
      <c r="H3728" s="256" t="inlineStr">
        <is>
          <t>Identification A, Appearance · Macroscopic</t>
        </is>
      </c>
      <c r="I3728" s="256" t="inlineStr">
        <is>
          <t>Ph. Eur. mon. 3028</t>
        </is>
      </c>
      <c r="J3728" s="256" t="inlineStr">
        <is>
          <t>Conforms to the monograph for Cannabis flos (07/2024:3028) in Ph. Eur. 11.0 | Согласно монографија за Cannabis flos (07/2024:3028) во Ph. Eur. 11.0</t>
        </is>
      </c>
      <c r="K3728" s="256" t="inlineStr">
        <is>
          <t>Conforms | Одговара</t>
        </is>
      </c>
      <c r="L3728" s="256" t="inlineStr">
        <is>
          <t>iCoA-PP_26-162</t>
        </is>
      </c>
      <c r="M3728" s="256" t="inlineStr">
        <is>
          <t>24.08.2026</t>
        </is>
      </c>
      <c r="N3728" s="256" t="inlineStr">
        <is>
          <t>Purely Plant GmbH (in-house)</t>
        </is>
      </c>
      <c r="O3728" s="256" t="inlineStr">
        <is>
          <t>—</t>
        </is>
      </c>
      <c r="P3728" s="256" t="inlineStr">
        <is>
          <t>to be performed — see route</t>
        </is>
      </c>
      <c r="Q3728" s="256" t="inlineStr">
        <is>
          <t>Farmahem — Ident A + B + C with the Assay, at retest</t>
        </is>
      </c>
      <c r="R3728" s="256" t="inlineStr"/>
    </row>
    <row r="3729">
      <c r="A3729" s="256" t="inlineStr">
        <is>
          <t>CoQ-PP_26-163</t>
        </is>
      </c>
      <c r="B3729" s="256" t="inlineStr">
        <is>
          <t>reissue — retest</t>
        </is>
      </c>
      <c r="C3729" s="256" t="inlineStr">
        <is>
          <t>SJ112501</t>
        </is>
      </c>
      <c r="D3729" s="256" t="inlineStr">
        <is>
          <t>— no P lot assigned —</t>
        </is>
      </c>
      <c r="E3729" s="256" t="inlineStr">
        <is>
          <t>Sleepy Joe</t>
        </is>
      </c>
      <c r="F3729" s="256" t="inlineStr">
        <is>
          <t>21.09.2026</t>
        </is>
      </c>
      <c r="G3729" s="256" t="inlineStr">
        <is>
          <t>2</t>
        </is>
      </c>
      <c r="H3729" s="256" t="inlineStr">
        <is>
          <t>Identification B · Microscopic</t>
        </is>
      </c>
      <c r="I3729" s="256" t="inlineStr">
        <is>
          <t>Ph. Eur. 2.8.23 (microscopy)</t>
        </is>
      </c>
      <c r="J3729" s="256" t="inlineStr">
        <is>
          <t>Conforms to the monograph for Cannabis flos (07/2024:3028) in Ph. Eur. 11.0 | Согласно монографија за Cannabis flos (07/2024:3028) во Ph. Eur. 11.0</t>
        </is>
      </c>
      <c r="K3729" s="256" t="inlineStr">
        <is>
          <t>Conforms | Одговара</t>
        </is>
      </c>
      <c r="L3729" s="256" t="inlineStr">
        <is>
          <t>iCoA-PP_26-162</t>
        </is>
      </c>
      <c r="M3729" s="256" t="inlineStr">
        <is>
          <t>24.08.2026</t>
        </is>
      </c>
      <c r="N3729" s="256" t="inlineStr">
        <is>
          <t>Purely Plant GmbH (in-house)</t>
        </is>
      </c>
      <c r="O3729" s="256" t="inlineStr">
        <is>
          <t>—</t>
        </is>
      </c>
      <c r="P3729" s="256" t="inlineStr">
        <is>
          <t>to be performed — see route</t>
        </is>
      </c>
      <c r="Q3729" s="256" t="inlineStr">
        <is>
          <t>Farmahem — Ident A + B + C with the Assay, at retest</t>
        </is>
      </c>
      <c r="R3729" s="256" t="inlineStr"/>
    </row>
    <row r="3730">
      <c r="A3730" s="256" t="inlineStr">
        <is>
          <t>CoQ-PP_26-163</t>
        </is>
      </c>
      <c r="B3730" s="256" t="inlineStr">
        <is>
          <t>reissue — retest</t>
        </is>
      </c>
      <c r="C3730" s="256" t="inlineStr">
        <is>
          <t>SJ112501</t>
        </is>
      </c>
      <c r="D3730" s="256" t="inlineStr">
        <is>
          <t>— no P lot assigned —</t>
        </is>
      </c>
      <c r="E3730" s="256" t="inlineStr">
        <is>
          <t>Sleepy Joe</t>
        </is>
      </c>
      <c r="F3730" s="256" t="inlineStr">
        <is>
          <t>21.09.2026</t>
        </is>
      </c>
      <c r="G3730" s="256" t="inlineStr">
        <is>
          <t>3</t>
        </is>
      </c>
      <c r="H3730" s="256" t="inlineStr">
        <is>
          <t>Identification C · HPLC/HPTLC</t>
        </is>
      </c>
      <c r="I3730" s="256" t="inlineStr">
        <is>
          <t>Ph. Eur. 2.2.29 (3028)</t>
        </is>
      </c>
      <c r="J3730" s="256" t="inlineStr">
        <is>
          <t>Conforms to the monograph for Cannabis flos (07/2024:3028) in Ph. Eur. 11.0 | Согласно монографија за Cannabis flos (07/2024:3028) во Ph. Eur. 11.0</t>
        </is>
      </c>
      <c r="K3730" s="256" t="inlineStr">
        <is>
          <t>Conforms | Одговара</t>
        </is>
      </c>
      <c r="L3730" s="256" t="inlineStr">
        <is>
          <t>227-5-К/26</t>
        </is>
      </c>
      <c r="M3730" s="256" t="inlineStr">
        <is>
          <t>11.09.2026</t>
        </is>
      </c>
      <c r="N3730" s="256" t="inlineStr">
        <is>
          <t>Farmahem</t>
        </is>
      </c>
      <c r="O3730" s="256" t="inlineStr">
        <is>
          <t>24.08.2026</t>
        </is>
      </c>
      <c r="P3730" s="256" t="inlineStr">
        <is>
          <t>covered</t>
        </is>
      </c>
      <c r="Q3730" s="256" t="inlineStr"/>
      <c r="R3730" s="256" t="inlineStr"/>
    </row>
    <row r="3731">
      <c r="A3731" s="256" t="inlineStr">
        <is>
          <t>CoQ-PP_26-163</t>
        </is>
      </c>
      <c r="B3731" s="256" t="inlineStr">
        <is>
          <t>reissue — retest</t>
        </is>
      </c>
      <c r="C3731" s="256" t="inlineStr">
        <is>
          <t>SJ112501</t>
        </is>
      </c>
      <c r="D3731" s="256" t="inlineStr">
        <is>
          <t>— no P lot assigned —</t>
        </is>
      </c>
      <c r="E3731" s="256" t="inlineStr">
        <is>
          <t>Sleepy Joe</t>
        </is>
      </c>
      <c r="F3731" s="256" t="inlineStr">
        <is>
          <t>21.09.2026</t>
        </is>
      </c>
      <c r="G3731" s="256" t="inlineStr">
        <is>
          <t>4</t>
        </is>
      </c>
      <c r="H3731" s="256" t="inlineStr">
        <is>
          <t>Assay — Total Δ⁹-THC</t>
        </is>
      </c>
      <c r="I3731" s="256" t="inlineStr">
        <is>
          <t>Ph. Eur. 2.2.29 (HPLC)</t>
        </is>
      </c>
      <c r="J3731" s="256" t="inlineStr">
        <is>
          <t>11.00 – 12.99 %  (grade I, nominal 12.00 ± 1.00)</t>
        </is>
      </c>
      <c r="K3731" s="256" t="inlineStr">
        <is>
          <t>11.27</t>
        </is>
      </c>
      <c r="L3731" s="256" t="inlineStr">
        <is>
          <t>227-5-К/26</t>
        </is>
      </c>
      <c r="M3731" s="256" t="inlineStr">
        <is>
          <t>11.09.2026</t>
        </is>
      </c>
      <c r="N3731" s="256" t="inlineStr">
        <is>
          <t>Farmahem</t>
        </is>
      </c>
      <c r="O3731" s="256" t="inlineStr">
        <is>
          <t>24.08.2026</t>
        </is>
      </c>
      <c r="P3731" s="256" t="inlineStr">
        <is>
          <t>covered</t>
        </is>
      </c>
      <c r="Q3731" s="256" t="inlineStr"/>
      <c r="R3731" s="256" t="inlineStr"/>
    </row>
    <row r="3732">
      <c r="A3732" s="256" t="inlineStr">
        <is>
          <t>CoQ-PP_26-163</t>
        </is>
      </c>
      <c r="B3732" s="256" t="inlineStr">
        <is>
          <t>reissue — retest</t>
        </is>
      </c>
      <c r="C3732" s="256" t="inlineStr">
        <is>
          <t>SJ112501</t>
        </is>
      </c>
      <c r="D3732" s="256" t="inlineStr">
        <is>
          <t>— no P lot assigned —</t>
        </is>
      </c>
      <c r="E3732" s="256" t="inlineStr">
        <is>
          <t>Sleepy Joe</t>
        </is>
      </c>
      <c r="F3732" s="256" t="inlineStr">
        <is>
          <t>21.09.2026</t>
        </is>
      </c>
      <c r="G3732" s="256" t="inlineStr">
        <is>
          <t>5</t>
        </is>
      </c>
      <c r="H3732" s="256" t="inlineStr">
        <is>
          <t>Assay — Total CBD</t>
        </is>
      </c>
      <c r="I3732" s="256" t="inlineStr">
        <is>
          <t>Ph. Eur. 2.2.29 (HPLC) · CBD + CBDA x 0.877</t>
        </is>
      </c>
      <c r="J3732" s="256" t="inlineStr">
        <is>
          <t>≤ 1.0%, w/w</t>
        </is>
      </c>
      <c r="K3732" s="256" t="inlineStr">
        <is>
          <t>&lt; LOQ</t>
        </is>
      </c>
      <c r="L3732" s="256" t="inlineStr">
        <is>
          <t>227-5-К/26</t>
        </is>
      </c>
      <c r="M3732" s="256" t="inlineStr">
        <is>
          <t>11.09.2026</t>
        </is>
      </c>
      <c r="N3732" s="256" t="inlineStr">
        <is>
          <t>Farmahem</t>
        </is>
      </c>
      <c r="O3732" s="256" t="inlineStr">
        <is>
          <t>24.08.2026</t>
        </is>
      </c>
      <c r="P3732" s="256" t="inlineStr">
        <is>
          <t>covered</t>
        </is>
      </c>
      <c r="Q3732" s="256" t="inlineStr"/>
      <c r="R3732" s="256" t="inlineStr"/>
    </row>
    <row r="3733">
      <c r="A3733" s="256" t="inlineStr">
        <is>
          <t>CoQ-PP_26-163</t>
        </is>
      </c>
      <c r="B3733" s="256" t="inlineStr">
        <is>
          <t>reissue — retest</t>
        </is>
      </c>
      <c r="C3733" s="256" t="inlineStr">
        <is>
          <t>SJ112501</t>
        </is>
      </c>
      <c r="D3733" s="256" t="inlineStr">
        <is>
          <t>— no P lot assigned —</t>
        </is>
      </c>
      <c r="E3733" s="256" t="inlineStr">
        <is>
          <t>Sleepy Joe</t>
        </is>
      </c>
      <c r="F3733" s="256" t="inlineStr">
        <is>
          <t>21.09.2026</t>
        </is>
      </c>
      <c r="G3733" s="256" t="inlineStr">
        <is>
          <t>6</t>
        </is>
      </c>
      <c r="H3733" s="256" t="inlineStr">
        <is>
          <t>Total CBN</t>
        </is>
      </c>
      <c r="I3733" s="256" t="inlineStr">
        <is>
          <t>Ph. Eur. 2.2.29 (HPLC) · CBN + CBNA x 0.876</t>
        </is>
      </c>
      <c r="J3733" s="256" t="inlineStr">
        <is>
          <t>≤ 1.0%, w/w</t>
        </is>
      </c>
      <c r="K3733" s="256" t="inlineStr">
        <is>
          <t>&lt; LOQ</t>
        </is>
      </c>
      <c r="L3733" s="256" t="inlineStr">
        <is>
          <t>227-5-К/26</t>
        </is>
      </c>
      <c r="M3733" s="256" t="inlineStr">
        <is>
          <t>11.09.2026</t>
        </is>
      </c>
      <c r="N3733" s="256" t="inlineStr">
        <is>
          <t>Farmahem</t>
        </is>
      </c>
      <c r="O3733" s="256" t="inlineStr">
        <is>
          <t>24.08.2026</t>
        </is>
      </c>
      <c r="P3733" s="256" t="inlineStr">
        <is>
          <t>covered</t>
        </is>
      </c>
      <c r="Q3733" s="256" t="inlineStr"/>
      <c r="R3733" s="256" t="inlineStr"/>
    </row>
    <row r="3734">
      <c r="A3734" s="256" t="inlineStr">
        <is>
          <t>CoQ-PP_26-163</t>
        </is>
      </c>
      <c r="B3734" s="256" t="inlineStr">
        <is>
          <t>reissue — retest</t>
        </is>
      </c>
      <c r="C3734" s="256" t="inlineStr">
        <is>
          <t>SJ112501</t>
        </is>
      </c>
      <c r="D3734" s="256" t="inlineStr">
        <is>
          <t>— no P lot assigned —</t>
        </is>
      </c>
      <c r="E3734" s="256" t="inlineStr">
        <is>
          <t>Sleepy Joe</t>
        </is>
      </c>
      <c r="F3734" s="256" t="inlineStr">
        <is>
          <t>21.09.2026</t>
        </is>
      </c>
      <c r="G3734" s="256" t="inlineStr">
        <is>
          <t>7</t>
        </is>
      </c>
      <c r="H3734" s="256" t="inlineStr">
        <is>
          <t>Foreign Matter</t>
        </is>
      </c>
      <c r="I3734" s="256" t="inlineStr">
        <is>
          <t>Ph. Eur. 2.8.2 · In-house · интерна</t>
        </is>
      </c>
      <c r="J3734" s="256" t="inlineStr">
        <is>
          <t>≤ 2.0% / 25–50 g · &lt; 1 cm leaves | листови, no seeds | без семки</t>
        </is>
      </c>
      <c r="K3734" s="256" t="inlineStr">
        <is>
          <t>Conforms | Одговара</t>
        </is>
      </c>
      <c r="L3734" s="256" t="inlineStr">
        <is>
          <t>iCoA-PP_26-162</t>
        </is>
      </c>
      <c r="M3734" s="256" t="inlineStr">
        <is>
          <t>24.08.2026</t>
        </is>
      </c>
      <c r="N3734" s="256" t="inlineStr">
        <is>
          <t>Purely Plant GmbH (in-house)</t>
        </is>
      </c>
      <c r="O3734" s="256" t="inlineStr">
        <is>
          <t>—</t>
        </is>
      </c>
      <c r="P3734" s="256" t="inlineStr">
        <is>
          <t>to be performed — see route</t>
        </is>
      </c>
      <c r="Q3734" s="256" t="inlineStr">
        <is>
          <t>Purely Plant laboratory — iCoA covering Foreign matter</t>
        </is>
      </c>
      <c r="R3734" s="256" t="inlineStr"/>
    </row>
    <row r="3735">
      <c r="A3735" s="256" t="inlineStr">
        <is>
          <t>CoQ-PP_26-163</t>
        </is>
      </c>
      <c r="B3735" s="256" t="inlineStr">
        <is>
          <t>reissue — retest</t>
        </is>
      </c>
      <c r="C3735" s="256" t="inlineStr">
        <is>
          <t>SJ112501</t>
        </is>
      </c>
      <c r="D3735" s="256" t="inlineStr">
        <is>
          <t>— no P lot assigned —</t>
        </is>
      </c>
      <c r="E3735" s="256" t="inlineStr">
        <is>
          <t>Sleepy Joe</t>
        </is>
      </c>
      <c r="F3735" s="256" t="inlineStr">
        <is>
          <t>21.09.2026</t>
        </is>
      </c>
      <c r="G3735" s="256" t="inlineStr">
        <is>
          <t>8</t>
        </is>
      </c>
      <c r="H3735" s="256" t="inlineStr">
        <is>
          <t>Loss on Drying</t>
        </is>
      </c>
      <c r="I3735" s="256" t="inlineStr">
        <is>
          <t>Ph. Eur. 2.2.32 (3028) · at 40 °C, 24 h, 15–25 mbar</t>
        </is>
      </c>
      <c r="J3735" s="256" t="inlineStr">
        <is>
          <t>≤ 12.0%</t>
        </is>
      </c>
      <c r="K3735" s="256" t="inlineStr">
        <is>
          <t>6.7</t>
        </is>
      </c>
      <c r="L3735" s="256" t="inlineStr">
        <is>
          <t>051-2-ГС/26</t>
        </is>
      </c>
      <c r="M3735" s="256" t="inlineStr">
        <is>
          <t>02.03.2026</t>
        </is>
      </c>
      <c r="N3735" s="256" t="inlineStr">
        <is>
          <t>Farmahem</t>
        </is>
      </c>
      <c r="O3735" s="256" t="inlineStr">
        <is>
          <t>—</t>
        </is>
      </c>
      <c r="P3735" s="256" t="inlineStr">
        <is>
          <t>carried from the initial testing (the batch's initial CoQ (number assigned on issue)) — covered</t>
        </is>
      </c>
      <c r="Q3735" s="256" t="inlineStr"/>
      <c r="R3735" s="256" t="inlineStr"/>
    </row>
    <row r="3736">
      <c r="A3736" s="256" t="inlineStr">
        <is>
          <t>CoQ-PP_26-163</t>
        </is>
      </c>
      <c r="B3736" s="256" t="inlineStr">
        <is>
          <t>reissue — retest</t>
        </is>
      </c>
      <c r="C3736" s="256" t="inlineStr">
        <is>
          <t>SJ112501</t>
        </is>
      </c>
      <c r="D3736" s="256" t="inlineStr">
        <is>
          <t>— no P lot assigned —</t>
        </is>
      </c>
      <c r="E3736" s="256" t="inlineStr">
        <is>
          <t>Sleepy Joe</t>
        </is>
      </c>
      <c r="F3736" s="256" t="inlineStr">
        <is>
          <t>21.09.2026</t>
        </is>
      </c>
      <c r="G3736" s="256" t="inlineStr">
        <is>
          <t>9.1</t>
        </is>
      </c>
      <c r="H3736" s="256" t="inlineStr">
        <is>
          <t>TAMC</t>
        </is>
      </c>
      <c r="I3736" s="256" t="inlineStr">
        <is>
          <t>Ph. Eur. 2.6.12 cat. C</t>
        </is>
      </c>
      <c r="J3736" s="256" t="inlineStr">
        <is>
          <t>≤ 10⁵ CFU/g</t>
        </is>
      </c>
      <c r="K3736" s="256" t="inlineStr">
        <is>
          <t>carried from the initial testing — not tested</t>
        </is>
      </c>
      <c r="L3736" s="256" t="inlineStr">
        <is>
          <t>—</t>
        </is>
      </c>
      <c r="M3736" s="256" t="inlineStr">
        <is>
          <t>—</t>
        </is>
      </c>
      <c r="N3736" s="256" t="inlineStr">
        <is>
          <t>—</t>
        </is>
      </c>
      <c r="O3736" s="256" t="inlineStr">
        <is>
          <t>—</t>
        </is>
      </c>
      <c r="P3736" s="256" t="inlineStr">
        <is>
          <t>carried from the initial testing (the batch's initial CoQ (number assigned on issue)) — not tested — no certificate covers it</t>
        </is>
      </c>
      <c r="Q3736" s="256" t="inlineStr"/>
      <c r="R3736" s="256" t="inlineStr"/>
    </row>
    <row r="3737">
      <c r="A3737" s="256" t="inlineStr">
        <is>
          <t>CoQ-PP_26-163</t>
        </is>
      </c>
      <c r="B3737" s="256" t="inlineStr">
        <is>
          <t>reissue — retest</t>
        </is>
      </c>
      <c r="C3737" s="256" t="inlineStr">
        <is>
          <t>SJ112501</t>
        </is>
      </c>
      <c r="D3737" s="256" t="inlineStr">
        <is>
          <t>— no P lot assigned —</t>
        </is>
      </c>
      <c r="E3737" s="256" t="inlineStr">
        <is>
          <t>Sleepy Joe</t>
        </is>
      </c>
      <c r="F3737" s="256" t="inlineStr">
        <is>
          <t>21.09.2026</t>
        </is>
      </c>
      <c r="G3737" s="256" t="inlineStr">
        <is>
          <t>9.2</t>
        </is>
      </c>
      <c r="H3737" s="256" t="inlineStr">
        <is>
          <t>TYMC</t>
        </is>
      </c>
      <c r="I3737" s="256" t="inlineStr">
        <is>
          <t>Ph. Eur. 2.6.12 cat. C</t>
        </is>
      </c>
      <c r="J3737" s="256" t="inlineStr">
        <is>
          <t>≤ 10⁴ CFU/g</t>
        </is>
      </c>
      <c r="K3737" s="256" t="inlineStr">
        <is>
          <t>carried from the initial testing — not tested</t>
        </is>
      </c>
      <c r="L3737" s="256" t="inlineStr">
        <is>
          <t>—</t>
        </is>
      </c>
      <c r="M3737" s="256" t="inlineStr">
        <is>
          <t>—</t>
        </is>
      </c>
      <c r="N3737" s="256" t="inlineStr">
        <is>
          <t>—</t>
        </is>
      </c>
      <c r="O3737" s="256" t="inlineStr">
        <is>
          <t>—</t>
        </is>
      </c>
      <c r="P3737" s="256" t="inlineStr">
        <is>
          <t>carried from the initial testing (the batch's initial CoQ (number assigned on issue)) — not tested — no certificate covers it</t>
        </is>
      </c>
      <c r="Q3737" s="256" t="inlineStr"/>
      <c r="R3737" s="256" t="inlineStr"/>
    </row>
    <row r="3738">
      <c r="A3738" s="256" t="inlineStr">
        <is>
          <t>CoQ-PP_26-163</t>
        </is>
      </c>
      <c r="B3738" s="256" t="inlineStr">
        <is>
          <t>reissue — retest</t>
        </is>
      </c>
      <c r="C3738" s="256" t="inlineStr">
        <is>
          <t>SJ112501</t>
        </is>
      </c>
      <c r="D3738" s="256" t="inlineStr">
        <is>
          <t>— no P lot assigned —</t>
        </is>
      </c>
      <c r="E3738" s="256" t="inlineStr">
        <is>
          <t>Sleepy Joe</t>
        </is>
      </c>
      <c r="F3738" s="256" t="inlineStr">
        <is>
          <t>21.09.2026</t>
        </is>
      </c>
      <c r="G3738" s="256" t="inlineStr">
        <is>
          <t>9.3</t>
        </is>
      </c>
      <c r="H3738" s="256" t="inlineStr">
        <is>
          <t>Bile-tolerant gram-neg.</t>
        </is>
      </c>
      <c r="I3738" s="256" t="inlineStr">
        <is>
          <t>Ph. Eur. 2.6.31 cat. C</t>
        </is>
      </c>
      <c r="J3738" s="256" t="inlineStr">
        <is>
          <t>≤ 10⁴ CFU/g</t>
        </is>
      </c>
      <c r="K3738" s="256" t="inlineStr">
        <is>
          <t>carried from the initial testing — not tested</t>
        </is>
      </c>
      <c r="L3738" s="256" t="inlineStr">
        <is>
          <t>—</t>
        </is>
      </c>
      <c r="M3738" s="256" t="inlineStr">
        <is>
          <t>—</t>
        </is>
      </c>
      <c r="N3738" s="256" t="inlineStr">
        <is>
          <t>—</t>
        </is>
      </c>
      <c r="O3738" s="256" t="inlineStr">
        <is>
          <t>—</t>
        </is>
      </c>
      <c r="P3738" s="256" t="inlineStr">
        <is>
          <t>carried from the initial testing (the batch's initial CoQ (number assigned on issue)) — not tested — no certificate covers it</t>
        </is>
      </c>
      <c r="Q3738" s="256" t="inlineStr"/>
      <c r="R3738" s="256" t="inlineStr"/>
    </row>
    <row r="3739">
      <c r="A3739" s="256" t="inlineStr">
        <is>
          <t>CoQ-PP_26-163</t>
        </is>
      </c>
      <c r="B3739" s="256" t="inlineStr">
        <is>
          <t>reissue — retest</t>
        </is>
      </c>
      <c r="C3739" s="256" t="inlineStr">
        <is>
          <t>SJ112501</t>
        </is>
      </c>
      <c r="D3739" s="256" t="inlineStr">
        <is>
          <t>— no P lot assigned —</t>
        </is>
      </c>
      <c r="E3739" s="256" t="inlineStr">
        <is>
          <t>Sleepy Joe</t>
        </is>
      </c>
      <c r="F3739" s="256" t="inlineStr">
        <is>
          <t>21.09.2026</t>
        </is>
      </c>
      <c r="G3739" s="256" t="inlineStr">
        <is>
          <t>9.4</t>
        </is>
      </c>
      <c r="H3739" s="256" t="inlineStr">
        <is>
          <t>Salmonella</t>
        </is>
      </c>
      <c r="I3739" s="256" t="inlineStr">
        <is>
          <t>Ph. Eur. 2.6.31 cat. C</t>
        </is>
      </c>
      <c r="J3739" s="256" t="inlineStr">
        <is>
          <t>Absence | Отсуство / 25 g</t>
        </is>
      </c>
      <c r="K3739" s="256" t="inlineStr">
        <is>
          <t>carried from the initial testing — not tested</t>
        </is>
      </c>
      <c r="L3739" s="256" t="inlineStr">
        <is>
          <t>—</t>
        </is>
      </c>
      <c r="M3739" s="256" t="inlineStr">
        <is>
          <t>—</t>
        </is>
      </c>
      <c r="N3739" s="256" t="inlineStr">
        <is>
          <t>—</t>
        </is>
      </c>
      <c r="O3739" s="256" t="inlineStr">
        <is>
          <t>—</t>
        </is>
      </c>
      <c r="P3739" s="256" t="inlineStr">
        <is>
          <t>carried from the initial testing (the batch's initial CoQ (number assigned on issue)) — not tested — no certificate covers it</t>
        </is>
      </c>
      <c r="Q3739" s="256" t="inlineStr"/>
      <c r="R3739" s="256" t="inlineStr"/>
    </row>
    <row r="3740">
      <c r="A3740" s="256" t="inlineStr">
        <is>
          <t>CoQ-PP_26-163</t>
        </is>
      </c>
      <c r="B3740" s="256" t="inlineStr">
        <is>
          <t>reissue — retest</t>
        </is>
      </c>
      <c r="C3740" s="256" t="inlineStr">
        <is>
          <t>SJ112501</t>
        </is>
      </c>
      <c r="D3740" s="256" t="inlineStr">
        <is>
          <t>— no P lot assigned —</t>
        </is>
      </c>
      <c r="E3740" s="256" t="inlineStr">
        <is>
          <t>Sleepy Joe</t>
        </is>
      </c>
      <c r="F3740" s="256" t="inlineStr">
        <is>
          <t>21.09.2026</t>
        </is>
      </c>
      <c r="G3740" s="256" t="inlineStr">
        <is>
          <t>9.5</t>
        </is>
      </c>
      <c r="H3740" s="256" t="inlineStr">
        <is>
          <t>Escherichia coli</t>
        </is>
      </c>
      <c r="I3740" s="256" t="inlineStr">
        <is>
          <t>Ph. Eur. 2.6.13 cat. C</t>
        </is>
      </c>
      <c r="J3740" s="256" t="inlineStr">
        <is>
          <t>Absence | Отсуство / 1 g</t>
        </is>
      </c>
      <c r="K3740" s="256" t="inlineStr">
        <is>
          <t>carried from the initial testing — not tested</t>
        </is>
      </c>
      <c r="L3740" s="256" t="inlineStr">
        <is>
          <t>—</t>
        </is>
      </c>
      <c r="M3740" s="256" t="inlineStr">
        <is>
          <t>—</t>
        </is>
      </c>
      <c r="N3740" s="256" t="inlineStr">
        <is>
          <t>—</t>
        </is>
      </c>
      <c r="O3740" s="256" t="inlineStr">
        <is>
          <t>—</t>
        </is>
      </c>
      <c r="P3740" s="256" t="inlineStr">
        <is>
          <t>carried from the initial testing (the batch's initial CoQ (number assigned on issue)) — not tested — no certificate covers it</t>
        </is>
      </c>
      <c r="Q3740" s="256" t="inlineStr"/>
      <c r="R3740" s="256" t="inlineStr"/>
    </row>
    <row r="3741">
      <c r="A3741" s="256" t="inlineStr">
        <is>
          <t>CoQ-PP_26-163</t>
        </is>
      </c>
      <c r="B3741" s="256" t="inlineStr">
        <is>
          <t>reissue — retest</t>
        </is>
      </c>
      <c r="C3741" s="256" t="inlineStr">
        <is>
          <t>SJ112501</t>
        </is>
      </c>
      <c r="D3741" s="256" t="inlineStr">
        <is>
          <t>— no P lot assigned —</t>
        </is>
      </c>
      <c r="E3741" s="256" t="inlineStr">
        <is>
          <t>Sleepy Joe</t>
        </is>
      </c>
      <c r="F3741" s="256" t="inlineStr">
        <is>
          <t>21.09.2026</t>
        </is>
      </c>
      <c r="G3741" s="256" t="inlineStr">
        <is>
          <t>9.6</t>
        </is>
      </c>
      <c r="H3741" s="256" t="inlineStr">
        <is>
          <t>Pseudomonas aeruginosa</t>
        </is>
      </c>
      <c r="I3741" s="256" t="inlineStr">
        <is>
          <t>Ph. Eur. 2.6.13 cat. C</t>
        </is>
      </c>
      <c r="J3741" s="256" t="inlineStr">
        <is>
          <t>Absence | Отсуство / 1 g</t>
        </is>
      </c>
      <c r="K3741" s="260" t="inlineStr">
        <is>
          <t>upon request — not required for release</t>
        </is>
      </c>
      <c r="L3741" s="256" t="inlineStr">
        <is>
          <t>—</t>
        </is>
      </c>
      <c r="M3741" s="256" t="inlineStr">
        <is>
          <t>—</t>
        </is>
      </c>
      <c r="N3741" s="256" t="inlineStr">
        <is>
          <t>—</t>
        </is>
      </c>
      <c r="O3741" s="256" t="inlineStr">
        <is>
          <t>—</t>
        </is>
      </c>
      <c r="P3741" s="256" t="inlineStr">
        <is>
          <t>upon request — not required for release</t>
        </is>
      </c>
      <c r="Q3741" s="256" t="inlineStr"/>
      <c r="R3741" s="256" t="inlineStr"/>
    </row>
    <row r="3742">
      <c r="A3742" s="256" t="inlineStr">
        <is>
          <t>CoQ-PP_26-163</t>
        </is>
      </c>
      <c r="B3742" s="256" t="inlineStr">
        <is>
          <t>reissue — retest</t>
        </is>
      </c>
      <c r="C3742" s="256" t="inlineStr">
        <is>
          <t>SJ112501</t>
        </is>
      </c>
      <c r="D3742" s="256" t="inlineStr">
        <is>
          <t>— no P lot assigned —</t>
        </is>
      </c>
      <c r="E3742" s="256" t="inlineStr">
        <is>
          <t>Sleepy Joe</t>
        </is>
      </c>
      <c r="F3742" s="256" t="inlineStr">
        <is>
          <t>21.09.2026</t>
        </is>
      </c>
      <c r="G3742" s="256" t="inlineStr">
        <is>
          <t>9.7</t>
        </is>
      </c>
      <c r="H3742" s="256" t="inlineStr">
        <is>
          <t>Staphylococcus aureus</t>
        </is>
      </c>
      <c r="I3742" s="256" t="inlineStr">
        <is>
          <t>Ph. Eur. 2.6.13 cat. C</t>
        </is>
      </c>
      <c r="J3742" s="256" t="inlineStr">
        <is>
          <t>Absence | Отсуство / 1 g</t>
        </is>
      </c>
      <c r="K3742" s="260" t="inlineStr">
        <is>
          <t>upon request — not required for release</t>
        </is>
      </c>
      <c r="L3742" s="256" t="inlineStr">
        <is>
          <t>—</t>
        </is>
      </c>
      <c r="M3742" s="256" t="inlineStr">
        <is>
          <t>—</t>
        </is>
      </c>
      <c r="N3742" s="256" t="inlineStr">
        <is>
          <t>—</t>
        </is>
      </c>
      <c r="O3742" s="256" t="inlineStr">
        <is>
          <t>—</t>
        </is>
      </c>
      <c r="P3742" s="256" t="inlineStr">
        <is>
          <t>upon request — not required for release</t>
        </is>
      </c>
      <c r="Q3742" s="256" t="inlineStr"/>
      <c r="R3742" s="256" t="inlineStr"/>
    </row>
    <row r="3743">
      <c r="A3743" s="256" t="inlineStr">
        <is>
          <t>CoQ-PP_26-163</t>
        </is>
      </c>
      <c r="B3743" s="256" t="inlineStr">
        <is>
          <t>reissue — retest</t>
        </is>
      </c>
      <c r="C3743" s="256" t="inlineStr">
        <is>
          <t>SJ112501</t>
        </is>
      </c>
      <c r="D3743" s="256" t="inlineStr">
        <is>
          <t>— no P lot assigned —</t>
        </is>
      </c>
      <c r="E3743" s="256" t="inlineStr">
        <is>
          <t>Sleepy Joe</t>
        </is>
      </c>
      <c r="F3743" s="256" t="inlineStr">
        <is>
          <t>21.09.2026</t>
        </is>
      </c>
      <c r="G3743" s="256" t="inlineStr">
        <is>
          <t>10.1</t>
        </is>
      </c>
      <c r="H3743" s="256" t="inlineStr">
        <is>
          <t>Aflatoxin B₁</t>
        </is>
      </c>
      <c r="I3743" s="256" t="inlineStr">
        <is>
          <t>Ph. Eur. 2.8.18 (HPLC-FLD)</t>
        </is>
      </c>
      <c r="J3743" s="256" t="inlineStr">
        <is>
          <t>≤ 2 µg/kg</t>
        </is>
      </c>
      <c r="K3743" s="256" t="inlineStr">
        <is>
          <t>ND</t>
        </is>
      </c>
      <c r="L3743" s="256" t="inlineStr">
        <is>
          <t>227-5-М/26</t>
        </is>
      </c>
      <c r="M3743" s="256" t="inlineStr">
        <is>
          <t>16.09.2026</t>
        </is>
      </c>
      <c r="N3743" s="256" t="inlineStr">
        <is>
          <t>Farmahem</t>
        </is>
      </c>
      <c r="O3743" s="256" t="inlineStr">
        <is>
          <t>—</t>
        </is>
      </c>
      <c r="P3743" s="256" t="inlineStr">
        <is>
          <t>covered</t>
        </is>
      </c>
      <c r="Q3743" s="256" t="inlineStr"/>
      <c r="R3743" s="256" t="inlineStr"/>
    </row>
    <row r="3744">
      <c r="A3744" s="256" t="inlineStr">
        <is>
          <t>CoQ-PP_26-163</t>
        </is>
      </c>
      <c r="B3744" s="256" t="inlineStr">
        <is>
          <t>reissue — retest</t>
        </is>
      </c>
      <c r="C3744" s="256" t="inlineStr">
        <is>
          <t>SJ112501</t>
        </is>
      </c>
      <c r="D3744" s="256" t="inlineStr">
        <is>
          <t>— no P lot assigned —</t>
        </is>
      </c>
      <c r="E3744" s="256" t="inlineStr">
        <is>
          <t>Sleepy Joe</t>
        </is>
      </c>
      <c r="F3744" s="256" t="inlineStr">
        <is>
          <t>21.09.2026</t>
        </is>
      </c>
      <c r="G3744" s="256" t="inlineStr">
        <is>
          <t>10.2</t>
        </is>
      </c>
      <c r="H3744" s="256" t="inlineStr">
        <is>
          <t>Aflatoxins ∑</t>
        </is>
      </c>
      <c r="I3744" s="256" t="inlineStr">
        <is>
          <t>Ph. Eur. 2.8.18 (HPLC-FLD)</t>
        </is>
      </c>
      <c r="J3744" s="256" t="inlineStr">
        <is>
          <t>≤ 4 µg/kg</t>
        </is>
      </c>
      <c r="K3744" s="256" t="inlineStr">
        <is>
          <t>ND</t>
        </is>
      </c>
      <c r="L3744" s="256" t="inlineStr">
        <is>
          <t>227-5-М/26</t>
        </is>
      </c>
      <c r="M3744" s="256" t="inlineStr">
        <is>
          <t>16.09.2026</t>
        </is>
      </c>
      <c r="N3744" s="256" t="inlineStr">
        <is>
          <t>Farmahem</t>
        </is>
      </c>
      <c r="O3744" s="256" t="inlineStr">
        <is>
          <t>—</t>
        </is>
      </c>
      <c r="P3744" s="256" t="inlineStr">
        <is>
          <t>covered</t>
        </is>
      </c>
      <c r="Q3744" s="256" t="inlineStr"/>
      <c r="R3744" s="256" t="inlineStr"/>
    </row>
    <row r="3745">
      <c r="A3745" s="256" t="inlineStr">
        <is>
          <t>CoQ-PP_26-163</t>
        </is>
      </c>
      <c r="B3745" s="256" t="inlineStr">
        <is>
          <t>reissue — retest</t>
        </is>
      </c>
      <c r="C3745" s="256" t="inlineStr">
        <is>
          <t>SJ112501</t>
        </is>
      </c>
      <c r="D3745" s="256" t="inlineStr">
        <is>
          <t>— no P lot assigned —</t>
        </is>
      </c>
      <c r="E3745" s="256" t="inlineStr">
        <is>
          <t>Sleepy Joe</t>
        </is>
      </c>
      <c r="F3745" s="256" t="inlineStr">
        <is>
          <t>21.09.2026</t>
        </is>
      </c>
      <c r="G3745" s="256" t="inlineStr">
        <is>
          <t>10.3</t>
        </is>
      </c>
      <c r="H3745" s="256" t="inlineStr">
        <is>
          <t>Ochratoxin A</t>
        </is>
      </c>
      <c r="I3745" s="256" t="inlineStr">
        <is>
          <t>Ph. Eur. 2.8.22 (HPLC-FLD)</t>
        </is>
      </c>
      <c r="J3745" s="256" t="inlineStr">
        <is>
          <t>≤ 20 µg/kg</t>
        </is>
      </c>
      <c r="K3745" s="256" t="inlineStr">
        <is>
          <t>ND</t>
        </is>
      </c>
      <c r="L3745" s="256" t="inlineStr">
        <is>
          <t>227-5-М/26</t>
        </is>
      </c>
      <c r="M3745" s="256" t="inlineStr">
        <is>
          <t>16.09.2026</t>
        </is>
      </c>
      <c r="N3745" s="256" t="inlineStr">
        <is>
          <t>Farmahem</t>
        </is>
      </c>
      <c r="O3745" s="256" t="inlineStr">
        <is>
          <t>—</t>
        </is>
      </c>
      <c r="P3745" s="256" t="inlineStr">
        <is>
          <t>covered</t>
        </is>
      </c>
      <c r="Q3745" s="256" t="inlineStr"/>
      <c r="R3745" s="256" t="inlineStr"/>
    </row>
    <row r="3746">
      <c r="A3746" s="256" t="inlineStr">
        <is>
          <t>CoQ-PP_26-163</t>
        </is>
      </c>
      <c r="B3746" s="256" t="inlineStr">
        <is>
          <t>reissue — retest</t>
        </is>
      </c>
      <c r="C3746" s="256" t="inlineStr">
        <is>
          <t>SJ112501</t>
        </is>
      </c>
      <c r="D3746" s="256" t="inlineStr">
        <is>
          <t>— no P lot assigned —</t>
        </is>
      </c>
      <c r="E3746" s="256" t="inlineStr">
        <is>
          <t>Sleepy Joe</t>
        </is>
      </c>
      <c r="F3746" s="256" t="inlineStr">
        <is>
          <t>21.09.2026</t>
        </is>
      </c>
      <c r="G3746" s="256" t="inlineStr">
        <is>
          <t>11.1</t>
        </is>
      </c>
      <c r="H3746" s="256" t="inlineStr">
        <is>
          <t>Lead (Pb)</t>
        </is>
      </c>
      <c r="I3746" s="256" t="inlineStr">
        <is>
          <t>Ph. Eur. 2.4.27 (ICP-MS)</t>
        </is>
      </c>
      <c r="J3746" s="256" t="inlineStr">
        <is>
          <t>≤ 0.5 mg/kg</t>
        </is>
      </c>
      <c r="K3746" s="256" t="inlineStr">
        <is>
          <t>carried from the initial testing — not tested</t>
        </is>
      </c>
      <c r="L3746" s="256" t="inlineStr">
        <is>
          <t>—</t>
        </is>
      </c>
      <c r="M3746" s="256" t="inlineStr">
        <is>
          <t>—</t>
        </is>
      </c>
      <c r="N3746" s="256" t="inlineStr">
        <is>
          <t>—</t>
        </is>
      </c>
      <c r="O3746" s="256" t="inlineStr">
        <is>
          <t>—</t>
        </is>
      </c>
      <c r="P3746" s="256" t="inlineStr">
        <is>
          <t>carried from the initial testing (the batch's initial CoQ (number assigned on issue)) — not tested — no certificate covers it</t>
        </is>
      </c>
      <c r="Q3746" s="256" t="inlineStr"/>
      <c r="R3746" s="256" t="inlineStr"/>
    </row>
    <row r="3747">
      <c r="A3747" s="256" t="inlineStr">
        <is>
          <t>CoQ-PP_26-163</t>
        </is>
      </c>
      <c r="B3747" s="256" t="inlineStr">
        <is>
          <t>reissue — retest</t>
        </is>
      </c>
      <c r="C3747" s="256" t="inlineStr">
        <is>
          <t>SJ112501</t>
        </is>
      </c>
      <c r="D3747" s="256" t="inlineStr">
        <is>
          <t>— no P lot assigned —</t>
        </is>
      </c>
      <c r="E3747" s="256" t="inlineStr">
        <is>
          <t>Sleepy Joe</t>
        </is>
      </c>
      <c r="F3747" s="256" t="inlineStr">
        <is>
          <t>21.09.2026</t>
        </is>
      </c>
      <c r="G3747" s="256" t="inlineStr">
        <is>
          <t>11.2</t>
        </is>
      </c>
      <c r="H3747" s="256" t="inlineStr">
        <is>
          <t>Cadmium (Cd)</t>
        </is>
      </c>
      <c r="I3747" s="256" t="inlineStr">
        <is>
          <t>Ph. Eur. 2.4.27 (ICP-MS)</t>
        </is>
      </c>
      <c r="J3747" s="256" t="inlineStr">
        <is>
          <t>≤ 0.3 mg/kg</t>
        </is>
      </c>
      <c r="K3747" s="256" t="inlineStr">
        <is>
          <t>carried from the initial testing — not tested</t>
        </is>
      </c>
      <c r="L3747" s="256" t="inlineStr">
        <is>
          <t>—</t>
        </is>
      </c>
      <c r="M3747" s="256" t="inlineStr">
        <is>
          <t>—</t>
        </is>
      </c>
      <c r="N3747" s="256" t="inlineStr">
        <is>
          <t>—</t>
        </is>
      </c>
      <c r="O3747" s="256" t="inlineStr">
        <is>
          <t>—</t>
        </is>
      </c>
      <c r="P3747" s="256" t="inlineStr">
        <is>
          <t>carried from the initial testing (the batch's initial CoQ (number assigned on issue)) — not tested — no certificate covers it</t>
        </is>
      </c>
      <c r="Q3747" s="256" t="inlineStr"/>
      <c r="R3747" s="256" t="inlineStr"/>
    </row>
    <row r="3748">
      <c r="A3748" s="256" t="inlineStr">
        <is>
          <t>CoQ-PP_26-163</t>
        </is>
      </c>
      <c r="B3748" s="256" t="inlineStr">
        <is>
          <t>reissue — retest</t>
        </is>
      </c>
      <c r="C3748" s="256" t="inlineStr">
        <is>
          <t>SJ112501</t>
        </is>
      </c>
      <c r="D3748" s="256" t="inlineStr">
        <is>
          <t>— no P lot assigned —</t>
        </is>
      </c>
      <c r="E3748" s="256" t="inlineStr">
        <is>
          <t>Sleepy Joe</t>
        </is>
      </c>
      <c r="F3748" s="256" t="inlineStr">
        <is>
          <t>21.09.2026</t>
        </is>
      </c>
      <c r="G3748" s="256" t="inlineStr">
        <is>
          <t>11.3</t>
        </is>
      </c>
      <c r="H3748" s="256" t="inlineStr">
        <is>
          <t>Arsenic (As)</t>
        </is>
      </c>
      <c r="I3748" s="256" t="inlineStr">
        <is>
          <t>Ph. Eur. 2.4.27 (ICP-MS)</t>
        </is>
      </c>
      <c r="J3748" s="256" t="inlineStr">
        <is>
          <t>≤ 0.2 mg/kg</t>
        </is>
      </c>
      <c r="K3748" s="256" t="inlineStr">
        <is>
          <t>carried from the initial testing — not tested</t>
        </is>
      </c>
      <c r="L3748" s="256" t="inlineStr">
        <is>
          <t>—</t>
        </is>
      </c>
      <c r="M3748" s="256" t="inlineStr">
        <is>
          <t>—</t>
        </is>
      </c>
      <c r="N3748" s="256" t="inlineStr">
        <is>
          <t>—</t>
        </is>
      </c>
      <c r="O3748" s="256" t="inlineStr">
        <is>
          <t>—</t>
        </is>
      </c>
      <c r="P3748" s="256" t="inlineStr">
        <is>
          <t>carried from the initial testing (the batch's initial CoQ (number assigned on issue)) — not tested — no certificate covers it</t>
        </is>
      </c>
      <c r="Q3748" s="256" t="inlineStr"/>
      <c r="R3748" s="256" t="inlineStr"/>
    </row>
    <row r="3749">
      <c r="A3749" s="256" t="inlineStr">
        <is>
          <t>CoQ-PP_26-163</t>
        </is>
      </c>
      <c r="B3749" s="256" t="inlineStr">
        <is>
          <t>reissue — retest</t>
        </is>
      </c>
      <c r="C3749" s="256" t="inlineStr">
        <is>
          <t>SJ112501</t>
        </is>
      </c>
      <c r="D3749" s="256" t="inlineStr">
        <is>
          <t>— no P lot assigned —</t>
        </is>
      </c>
      <c r="E3749" s="256" t="inlineStr">
        <is>
          <t>Sleepy Joe</t>
        </is>
      </c>
      <c r="F3749" s="256" t="inlineStr">
        <is>
          <t>21.09.2026</t>
        </is>
      </c>
      <c r="G3749" s="256" t="inlineStr">
        <is>
          <t>11.4</t>
        </is>
      </c>
      <c r="H3749" s="256" t="inlineStr">
        <is>
          <t>Mercury (Hg)</t>
        </is>
      </c>
      <c r="I3749" s="256" t="inlineStr">
        <is>
          <t>Ph. Eur. 2.4.27 (ICP-MS)</t>
        </is>
      </c>
      <c r="J3749" s="256" t="inlineStr">
        <is>
          <t>≤ 0.1 mg/kg</t>
        </is>
      </c>
      <c r="K3749" s="256" t="inlineStr">
        <is>
          <t>carried from the initial testing — not tested</t>
        </is>
      </c>
      <c r="L3749" s="256" t="inlineStr">
        <is>
          <t>—</t>
        </is>
      </c>
      <c r="M3749" s="256" t="inlineStr">
        <is>
          <t>—</t>
        </is>
      </c>
      <c r="N3749" s="256" t="inlineStr">
        <is>
          <t>—</t>
        </is>
      </c>
      <c r="O3749" s="256" t="inlineStr">
        <is>
          <t>—</t>
        </is>
      </c>
      <c r="P3749" s="256" t="inlineStr">
        <is>
          <t>carried from the initial testing (the batch's initial CoQ (number assigned on issue)) — not tested — no certificate covers it</t>
        </is>
      </c>
      <c r="Q3749" s="256" t="inlineStr"/>
      <c r="R3749" s="256" t="inlineStr"/>
    </row>
    <row r="3750">
      <c r="A3750" s="256" t="inlineStr">
        <is>
          <t>CoQ-PP_26-163</t>
        </is>
      </c>
      <c r="B3750" s="256" t="inlineStr">
        <is>
          <t>reissue — retest</t>
        </is>
      </c>
      <c r="C3750" s="256" t="inlineStr">
        <is>
          <t>SJ112501</t>
        </is>
      </c>
      <c r="D3750" s="256" t="inlineStr">
        <is>
          <t>— no P lot assigned —</t>
        </is>
      </c>
      <c r="E3750" s="256" t="inlineStr">
        <is>
          <t>Sleepy Joe</t>
        </is>
      </c>
      <c r="F3750" s="256" t="inlineStr">
        <is>
          <t>21.09.2026</t>
        </is>
      </c>
      <c r="G3750" s="256" t="inlineStr">
        <is>
          <t>12</t>
        </is>
      </c>
      <c r="H3750" s="256" t="inlineStr">
        <is>
          <t>Pesticide Residues</t>
        </is>
      </c>
      <c r="I3750" s="256" t="inlineStr">
        <is>
          <t>Ph. Eur. 2.8.13 (LC-MS/MS) · CUMCS Equivalency</t>
        </is>
      </c>
      <c r="J3750" s="256" t="inlineStr">
        <is>
          <t>≤ LOQ as per Ph. Eur. 2.8.13 · ≤ LOQ as per CUMCS Equivalency</t>
        </is>
      </c>
      <c r="K3750" s="256" t="inlineStr">
        <is>
          <t>carried from the initial testing — not tested</t>
        </is>
      </c>
      <c r="L3750" s="256" t="inlineStr">
        <is>
          <t>—</t>
        </is>
      </c>
      <c r="M3750" s="256" t="inlineStr">
        <is>
          <t>—</t>
        </is>
      </c>
      <c r="N3750" s="256" t="inlineStr">
        <is>
          <t>—</t>
        </is>
      </c>
      <c r="O3750" s="256" t="inlineStr">
        <is>
          <t>—</t>
        </is>
      </c>
      <c r="P3750" s="256" t="inlineStr">
        <is>
          <t>carried from the initial testing (the batch's initial CoQ (number assigned on issue)) — not tested — no certificate covers it</t>
        </is>
      </c>
      <c r="Q3750" s="256" t="inlineStr"/>
      <c r="R3750" s="256" t="inlineStr"/>
    </row>
    <row r="3751">
      <c r="A3751" s="256" t="inlineStr">
        <is>
          <t>CoQ-PP_26-164</t>
        </is>
      </c>
      <c r="B3751" s="256" t="inlineStr">
        <is>
          <t>reissue — retest</t>
        </is>
      </c>
      <c r="C3751" s="256" t="inlineStr">
        <is>
          <t>WC072501</t>
        </is>
      </c>
      <c r="D3751" s="256" t="inlineStr">
        <is>
          <t>P050262</t>
        </is>
      </c>
      <c r="E3751" s="256" t="inlineStr">
        <is>
          <t>Wedding Crusher</t>
        </is>
      </c>
      <c r="F3751" s="256" t="inlineStr">
        <is>
          <t>21.09.2026</t>
        </is>
      </c>
      <c r="G3751" s="256" t="inlineStr">
        <is>
          <t>1</t>
        </is>
      </c>
      <c r="H3751" s="256" t="inlineStr">
        <is>
          <t>Identification A, Appearance · Macroscopic</t>
        </is>
      </c>
      <c r="I3751" s="256" t="inlineStr">
        <is>
          <t>Ph. Eur. mon. 3028</t>
        </is>
      </c>
      <c r="J3751" s="256" t="inlineStr">
        <is>
          <t>Conforms to the monograph for Cannabis flos (07/2024:3028) in Ph. Eur. 11.0 | Согласно монографија за Cannabis flos (07/2024:3028) во Ph. Eur. 11.0</t>
        </is>
      </c>
      <c r="K3751" s="256" t="inlineStr">
        <is>
          <t>Conforms | Одговара</t>
        </is>
      </c>
      <c r="L3751" s="256" t="inlineStr">
        <is>
          <t>iCoA-PP_26-163</t>
        </is>
      </c>
      <c r="M3751" s="256" t="inlineStr">
        <is>
          <t>24.08.2026</t>
        </is>
      </c>
      <c r="N3751" s="256" t="inlineStr">
        <is>
          <t>Purely Plant GmbH (in-house)</t>
        </is>
      </c>
      <c r="O3751" s="256" t="inlineStr">
        <is>
          <t>—</t>
        </is>
      </c>
      <c r="P3751" s="256" t="inlineStr">
        <is>
          <t>to be performed — see route</t>
        </is>
      </c>
      <c r="Q3751" s="256" t="inlineStr">
        <is>
          <t>Farmahem — Ident A + B + C with the Assay, at retest</t>
        </is>
      </c>
      <c r="R3751" s="256" t="inlineStr"/>
    </row>
    <row r="3752">
      <c r="A3752" s="256" t="inlineStr">
        <is>
          <t>CoQ-PP_26-164</t>
        </is>
      </c>
      <c r="B3752" s="256" t="inlineStr">
        <is>
          <t>reissue — retest</t>
        </is>
      </c>
      <c r="C3752" s="256" t="inlineStr">
        <is>
          <t>WC072501</t>
        </is>
      </c>
      <c r="D3752" s="256" t="inlineStr">
        <is>
          <t>P050262</t>
        </is>
      </c>
      <c r="E3752" s="256" t="inlineStr">
        <is>
          <t>Wedding Crusher</t>
        </is>
      </c>
      <c r="F3752" s="256" t="inlineStr">
        <is>
          <t>21.09.2026</t>
        </is>
      </c>
      <c r="G3752" s="256" t="inlineStr">
        <is>
          <t>2</t>
        </is>
      </c>
      <c r="H3752" s="256" t="inlineStr">
        <is>
          <t>Identification B · Microscopic</t>
        </is>
      </c>
      <c r="I3752" s="256" t="inlineStr">
        <is>
          <t>Ph. Eur. 2.8.23 (microscopy)</t>
        </is>
      </c>
      <c r="J3752" s="256" t="inlineStr">
        <is>
          <t>Conforms to the monograph for Cannabis flos (07/2024:3028) in Ph. Eur. 11.0 | Согласно монографија за Cannabis flos (07/2024:3028) во Ph. Eur. 11.0</t>
        </is>
      </c>
      <c r="K3752" s="256" t="inlineStr">
        <is>
          <t>Conforms | Одговара</t>
        </is>
      </c>
      <c r="L3752" s="256" t="inlineStr">
        <is>
          <t>iCoA-PP_26-163</t>
        </is>
      </c>
      <c r="M3752" s="256" t="inlineStr">
        <is>
          <t>24.08.2026</t>
        </is>
      </c>
      <c r="N3752" s="256" t="inlineStr">
        <is>
          <t>Purely Plant GmbH (in-house)</t>
        </is>
      </c>
      <c r="O3752" s="256" t="inlineStr">
        <is>
          <t>—</t>
        </is>
      </c>
      <c r="P3752" s="256" t="inlineStr">
        <is>
          <t>to be performed — see route</t>
        </is>
      </c>
      <c r="Q3752" s="256" t="inlineStr">
        <is>
          <t>Farmahem — Ident A + B + C with the Assay, at retest</t>
        </is>
      </c>
      <c r="R3752" s="256" t="inlineStr"/>
    </row>
    <row r="3753">
      <c r="A3753" s="256" t="inlineStr">
        <is>
          <t>CoQ-PP_26-164</t>
        </is>
      </c>
      <c r="B3753" s="256" t="inlineStr">
        <is>
          <t>reissue — retest</t>
        </is>
      </c>
      <c r="C3753" s="256" t="inlineStr">
        <is>
          <t>WC072501</t>
        </is>
      </c>
      <c r="D3753" s="256" t="inlineStr">
        <is>
          <t>P050262</t>
        </is>
      </c>
      <c r="E3753" s="256" t="inlineStr">
        <is>
          <t>Wedding Crusher</t>
        </is>
      </c>
      <c r="F3753" s="256" t="inlineStr">
        <is>
          <t>21.09.2026</t>
        </is>
      </c>
      <c r="G3753" s="256" t="inlineStr">
        <is>
          <t>3</t>
        </is>
      </c>
      <c r="H3753" s="256" t="inlineStr">
        <is>
          <t>Identification C · HPLC/HPTLC</t>
        </is>
      </c>
      <c r="I3753" s="256" t="inlineStr">
        <is>
          <t>Ph. Eur. 2.2.29 (3028)</t>
        </is>
      </c>
      <c r="J3753" s="256" t="inlineStr">
        <is>
          <t>Conforms to the monograph for Cannabis flos (07/2024:3028) in Ph. Eur. 11.0 | Согласно монографија за Cannabis flos (07/2024:3028) во Ph. Eur. 11.0</t>
        </is>
      </c>
      <c r="K3753" s="256" t="inlineStr">
        <is>
          <t>Conforms | Одговара</t>
        </is>
      </c>
      <c r="L3753" s="256" t="inlineStr">
        <is>
          <t>227-3-К/26</t>
        </is>
      </c>
      <c r="M3753" s="256" t="inlineStr">
        <is>
          <t>11.09.2026</t>
        </is>
      </c>
      <c r="N3753" s="256" t="inlineStr">
        <is>
          <t>Farmahem</t>
        </is>
      </c>
      <c r="O3753" s="256" t="inlineStr">
        <is>
          <t>24.08.2026</t>
        </is>
      </c>
      <c r="P3753" s="256" t="inlineStr">
        <is>
          <t>covered</t>
        </is>
      </c>
      <c r="Q3753" s="256" t="inlineStr"/>
      <c r="R3753" s="256" t="inlineStr"/>
    </row>
    <row r="3754">
      <c r="A3754" s="256" t="inlineStr">
        <is>
          <t>CoQ-PP_26-164</t>
        </is>
      </c>
      <c r="B3754" s="256" t="inlineStr">
        <is>
          <t>reissue — retest</t>
        </is>
      </c>
      <c r="C3754" s="256" t="inlineStr">
        <is>
          <t>WC072501</t>
        </is>
      </c>
      <c r="D3754" s="256" t="inlineStr">
        <is>
          <t>P050262</t>
        </is>
      </c>
      <c r="E3754" s="256" t="inlineStr">
        <is>
          <t>Wedding Crusher</t>
        </is>
      </c>
      <c r="F3754" s="256" t="inlineStr">
        <is>
          <t>21.09.2026</t>
        </is>
      </c>
      <c r="G3754" s="256" t="inlineStr">
        <is>
          <t>4</t>
        </is>
      </c>
      <c r="H3754" s="256" t="inlineStr">
        <is>
          <t>Assay — Total Δ⁹-THC</t>
        </is>
      </c>
      <c r="I3754" s="256" t="inlineStr">
        <is>
          <t>Ph. Eur. 2.2.29 (HPLC)</t>
        </is>
      </c>
      <c r="J3754" s="256" t="inlineStr">
        <is>
          <t>23.40 – 28.59 %  (grade I, nominal 26.00 ± 2.60)</t>
        </is>
      </c>
      <c r="K3754" s="256" t="inlineStr">
        <is>
          <t>25.37</t>
        </is>
      </c>
      <c r="L3754" s="256" t="inlineStr">
        <is>
          <t>227-3-К/26</t>
        </is>
      </c>
      <c r="M3754" s="256" t="inlineStr">
        <is>
          <t>11.09.2026</t>
        </is>
      </c>
      <c r="N3754" s="256" t="inlineStr">
        <is>
          <t>Farmahem</t>
        </is>
      </c>
      <c r="O3754" s="256" t="inlineStr">
        <is>
          <t>24.08.2026</t>
        </is>
      </c>
      <c r="P3754" s="256" t="inlineStr">
        <is>
          <t>covered</t>
        </is>
      </c>
      <c r="Q3754" s="256" t="inlineStr"/>
      <c r="R3754" s="256" t="inlineStr"/>
    </row>
    <row r="3755">
      <c r="A3755" s="256" t="inlineStr">
        <is>
          <t>CoQ-PP_26-164</t>
        </is>
      </c>
      <c r="B3755" s="256" t="inlineStr">
        <is>
          <t>reissue — retest</t>
        </is>
      </c>
      <c r="C3755" s="256" t="inlineStr">
        <is>
          <t>WC072501</t>
        </is>
      </c>
      <c r="D3755" s="256" t="inlineStr">
        <is>
          <t>P050262</t>
        </is>
      </c>
      <c r="E3755" s="256" t="inlineStr">
        <is>
          <t>Wedding Crusher</t>
        </is>
      </c>
      <c r="F3755" s="256" t="inlineStr">
        <is>
          <t>21.09.2026</t>
        </is>
      </c>
      <c r="G3755" s="256" t="inlineStr">
        <is>
          <t>5</t>
        </is>
      </c>
      <c r="H3755" s="256" t="inlineStr">
        <is>
          <t>Assay — Total CBD</t>
        </is>
      </c>
      <c r="I3755" s="256" t="inlineStr">
        <is>
          <t>Ph. Eur. 2.2.29 (HPLC) · CBD + CBDA x 0.877</t>
        </is>
      </c>
      <c r="J3755" s="256" t="inlineStr">
        <is>
          <t>≤ 1.0%, w/w</t>
        </is>
      </c>
      <c r="K3755" s="256" t="inlineStr">
        <is>
          <t>&lt; LOQ</t>
        </is>
      </c>
      <c r="L3755" s="256" t="inlineStr">
        <is>
          <t>227-3-К/26</t>
        </is>
      </c>
      <c r="M3755" s="256" t="inlineStr">
        <is>
          <t>11.09.2026</t>
        </is>
      </c>
      <c r="N3755" s="256" t="inlineStr">
        <is>
          <t>Farmahem</t>
        </is>
      </c>
      <c r="O3755" s="256" t="inlineStr">
        <is>
          <t>24.08.2026</t>
        </is>
      </c>
      <c r="P3755" s="256" t="inlineStr">
        <is>
          <t>covered</t>
        </is>
      </c>
      <c r="Q3755" s="256" t="inlineStr"/>
      <c r="R3755" s="256" t="inlineStr"/>
    </row>
    <row r="3756">
      <c r="A3756" s="256" t="inlineStr">
        <is>
          <t>CoQ-PP_26-164</t>
        </is>
      </c>
      <c r="B3756" s="256" t="inlineStr">
        <is>
          <t>reissue — retest</t>
        </is>
      </c>
      <c r="C3756" s="256" t="inlineStr">
        <is>
          <t>WC072501</t>
        </is>
      </c>
      <c r="D3756" s="256" t="inlineStr">
        <is>
          <t>P050262</t>
        </is>
      </c>
      <c r="E3756" s="256" t="inlineStr">
        <is>
          <t>Wedding Crusher</t>
        </is>
      </c>
      <c r="F3756" s="256" t="inlineStr">
        <is>
          <t>21.09.2026</t>
        </is>
      </c>
      <c r="G3756" s="256" t="inlineStr">
        <is>
          <t>6</t>
        </is>
      </c>
      <c r="H3756" s="256" t="inlineStr">
        <is>
          <t>Total CBN</t>
        </is>
      </c>
      <c r="I3756" s="256" t="inlineStr">
        <is>
          <t>Ph. Eur. 2.2.29 (HPLC) · CBN + CBNA x 0.876</t>
        </is>
      </c>
      <c r="J3756" s="256" t="inlineStr">
        <is>
          <t>≤ 1.0%, w/w</t>
        </is>
      </c>
      <c r="K3756" s="256" t="inlineStr">
        <is>
          <t>&lt; LOQ</t>
        </is>
      </c>
      <c r="L3756" s="256" t="inlineStr">
        <is>
          <t>227-3-К/26</t>
        </is>
      </c>
      <c r="M3756" s="256" t="inlineStr">
        <is>
          <t>11.09.2026</t>
        </is>
      </c>
      <c r="N3756" s="256" t="inlineStr">
        <is>
          <t>Farmahem</t>
        </is>
      </c>
      <c r="O3756" s="256" t="inlineStr">
        <is>
          <t>24.08.2026</t>
        </is>
      </c>
      <c r="P3756" s="256" t="inlineStr">
        <is>
          <t>covered</t>
        </is>
      </c>
      <c r="Q3756" s="256" t="inlineStr"/>
      <c r="R3756" s="256" t="inlineStr"/>
    </row>
    <row r="3757">
      <c r="A3757" s="256" t="inlineStr">
        <is>
          <t>CoQ-PP_26-164</t>
        </is>
      </c>
      <c r="B3757" s="256" t="inlineStr">
        <is>
          <t>reissue — retest</t>
        </is>
      </c>
      <c r="C3757" s="256" t="inlineStr">
        <is>
          <t>WC072501</t>
        </is>
      </c>
      <c r="D3757" s="256" t="inlineStr">
        <is>
          <t>P050262</t>
        </is>
      </c>
      <c r="E3757" s="256" t="inlineStr">
        <is>
          <t>Wedding Crusher</t>
        </is>
      </c>
      <c r="F3757" s="256" t="inlineStr">
        <is>
          <t>21.09.2026</t>
        </is>
      </c>
      <c r="G3757" s="256" t="inlineStr">
        <is>
          <t>7</t>
        </is>
      </c>
      <c r="H3757" s="256" t="inlineStr">
        <is>
          <t>Foreign Matter</t>
        </is>
      </c>
      <c r="I3757" s="256" t="inlineStr">
        <is>
          <t>Ph. Eur. 2.8.2 · In-house · интерна</t>
        </is>
      </c>
      <c r="J3757" s="256" t="inlineStr">
        <is>
          <t>≤ 2.0% / 25–50 g · &lt; 1 cm leaves | листови, no seeds | без семки</t>
        </is>
      </c>
      <c r="K3757" s="256" t="inlineStr">
        <is>
          <t>Conforms | Одговара</t>
        </is>
      </c>
      <c r="L3757" s="256" t="inlineStr">
        <is>
          <t>iCoA-PP_26-163</t>
        </is>
      </c>
      <c r="M3757" s="256" t="inlineStr">
        <is>
          <t>24.08.2026</t>
        </is>
      </c>
      <c r="N3757" s="256" t="inlineStr">
        <is>
          <t>Purely Plant GmbH (in-house)</t>
        </is>
      </c>
      <c r="O3757" s="256" t="inlineStr">
        <is>
          <t>—</t>
        </is>
      </c>
      <c r="P3757" s="256" t="inlineStr">
        <is>
          <t>to be performed — see route</t>
        </is>
      </c>
      <c r="Q3757" s="256" t="inlineStr">
        <is>
          <t>Purely Plant laboratory — iCoA covering Foreign matter</t>
        </is>
      </c>
      <c r="R3757" s="256" t="inlineStr"/>
    </row>
    <row r="3758">
      <c r="A3758" s="256" t="inlineStr">
        <is>
          <t>CoQ-PP_26-164</t>
        </is>
      </c>
      <c r="B3758" s="256" t="inlineStr">
        <is>
          <t>reissue — retest</t>
        </is>
      </c>
      <c r="C3758" s="256" t="inlineStr">
        <is>
          <t>WC072501</t>
        </is>
      </c>
      <c r="D3758" s="256" t="inlineStr">
        <is>
          <t>P050262</t>
        </is>
      </c>
      <c r="E3758" s="256" t="inlineStr">
        <is>
          <t>Wedding Crusher</t>
        </is>
      </c>
      <c r="F3758" s="256" t="inlineStr">
        <is>
          <t>21.09.2026</t>
        </is>
      </c>
      <c r="G3758" s="256" t="inlineStr">
        <is>
          <t>8</t>
        </is>
      </c>
      <c r="H3758" s="256" t="inlineStr">
        <is>
          <t>Loss on Drying</t>
        </is>
      </c>
      <c r="I3758" s="256" t="inlineStr">
        <is>
          <t>DAB 2018 monograph Cannabis flos, 2.2.32 — loss on drying (CNP, before its Ph. Eur. 3028 accreditation)</t>
        </is>
      </c>
      <c r="J3758" s="256" t="inlineStr">
        <is>
          <t>≤ 12.0%</t>
        </is>
      </c>
      <c r="K3758" s="256" t="inlineStr">
        <is>
          <t>8.94</t>
        </is>
      </c>
      <c r="L3758" s="256" t="inlineStr">
        <is>
          <t>ППК25369</t>
        </is>
      </c>
      <c r="M3758" s="256" t="inlineStr">
        <is>
          <t>28.11.2025</t>
        </is>
      </c>
      <c r="N3758" s="256" t="inlineStr">
        <is>
          <t>UKIM Faculty of Pharmacy — Center for Natural Products</t>
        </is>
      </c>
      <c r="O3758" s="256" t="inlineStr">
        <is>
          <t>24.11.2025</t>
        </is>
      </c>
      <c r="P3758" s="256" t="inlineStr">
        <is>
          <t>carried from the initial testing (the batch's initial CoQ (number assigned on issue)) — covered</t>
        </is>
      </c>
      <c r="Q3758" s="256" t="inlineStr"/>
      <c r="R3758" s="256" t="inlineStr"/>
    </row>
    <row r="3759">
      <c r="A3759" s="256" t="inlineStr">
        <is>
          <t>CoQ-PP_26-164</t>
        </is>
      </c>
      <c r="B3759" s="256" t="inlineStr">
        <is>
          <t>reissue — retest</t>
        </is>
      </c>
      <c r="C3759" s="256" t="inlineStr">
        <is>
          <t>WC072501</t>
        </is>
      </c>
      <c r="D3759" s="256" t="inlineStr">
        <is>
          <t>P050262</t>
        </is>
      </c>
      <c r="E3759" s="256" t="inlineStr">
        <is>
          <t>Wedding Crusher</t>
        </is>
      </c>
      <c r="F3759" s="256" t="inlineStr">
        <is>
          <t>21.09.2026</t>
        </is>
      </c>
      <c r="G3759" s="256" t="inlineStr">
        <is>
          <t>9.1</t>
        </is>
      </c>
      <c r="H3759" s="256" t="inlineStr">
        <is>
          <t>TAMC</t>
        </is>
      </c>
      <c r="I3759" s="256" t="inlineStr">
        <is>
          <t>Ph. Eur. 2.6.12 cat. C</t>
        </is>
      </c>
      <c r="J3759" s="256" t="inlineStr">
        <is>
          <t>≤ 10⁵ CFU/g</t>
        </is>
      </c>
      <c r="K3759" s="256" t="inlineStr">
        <is>
          <t>&lt; 10</t>
        </is>
      </c>
      <c r="L3759" s="256" t="inlineStr">
        <is>
          <t>555/1086/26</t>
        </is>
      </c>
      <c r="M3759" s="256" t="inlineStr">
        <is>
          <t>01.09.2026</t>
        </is>
      </c>
      <c r="N3759" s="256" t="inlineStr">
        <is>
          <t>IPH — Institute of Public Health</t>
        </is>
      </c>
      <c r="O3759" s="256" t="inlineStr">
        <is>
          <t>26.08.2026</t>
        </is>
      </c>
      <c r="P3759" s="256" t="inlineStr">
        <is>
          <t>covered</t>
        </is>
      </c>
      <c r="Q3759" s="256" t="inlineStr"/>
      <c r="R3759" s="256" t="inlineStr"/>
    </row>
    <row r="3760">
      <c r="A3760" s="256" t="inlineStr">
        <is>
          <t>CoQ-PP_26-164</t>
        </is>
      </c>
      <c r="B3760" s="256" t="inlineStr">
        <is>
          <t>reissue — retest</t>
        </is>
      </c>
      <c r="C3760" s="256" t="inlineStr">
        <is>
          <t>WC072501</t>
        </is>
      </c>
      <c r="D3760" s="256" t="inlineStr">
        <is>
          <t>P050262</t>
        </is>
      </c>
      <c r="E3760" s="256" t="inlineStr">
        <is>
          <t>Wedding Crusher</t>
        </is>
      </c>
      <c r="F3760" s="256" t="inlineStr">
        <is>
          <t>21.09.2026</t>
        </is>
      </c>
      <c r="G3760" s="256" t="inlineStr">
        <is>
          <t>9.2</t>
        </is>
      </c>
      <c r="H3760" s="256" t="inlineStr">
        <is>
          <t>TYMC</t>
        </is>
      </c>
      <c r="I3760" s="256" t="inlineStr">
        <is>
          <t>Ph. Eur. 2.6.12 cat. C</t>
        </is>
      </c>
      <c r="J3760" s="256" t="inlineStr">
        <is>
          <t>≤ 10⁴ CFU/g</t>
        </is>
      </c>
      <c r="K3760" s="256" t="inlineStr">
        <is>
          <t>&lt; 10</t>
        </is>
      </c>
      <c r="L3760" s="256" t="inlineStr">
        <is>
          <t>555/1086/26</t>
        </is>
      </c>
      <c r="M3760" s="256" t="inlineStr">
        <is>
          <t>01.09.2026</t>
        </is>
      </c>
      <c r="N3760" s="256" t="inlineStr">
        <is>
          <t>IPH — Institute of Public Health</t>
        </is>
      </c>
      <c r="O3760" s="256" t="inlineStr">
        <is>
          <t>26.08.2026</t>
        </is>
      </c>
      <c r="P3760" s="256" t="inlineStr">
        <is>
          <t>covered</t>
        </is>
      </c>
      <c r="Q3760" s="256" t="inlineStr"/>
      <c r="R3760" s="256" t="inlineStr"/>
    </row>
    <row r="3761">
      <c r="A3761" s="256" t="inlineStr">
        <is>
          <t>CoQ-PP_26-164</t>
        </is>
      </c>
      <c r="B3761" s="256" t="inlineStr">
        <is>
          <t>reissue — retest</t>
        </is>
      </c>
      <c r="C3761" s="256" t="inlineStr">
        <is>
          <t>WC072501</t>
        </is>
      </c>
      <c r="D3761" s="256" t="inlineStr">
        <is>
          <t>P050262</t>
        </is>
      </c>
      <c r="E3761" s="256" t="inlineStr">
        <is>
          <t>Wedding Crusher</t>
        </is>
      </c>
      <c r="F3761" s="256" t="inlineStr">
        <is>
          <t>21.09.2026</t>
        </is>
      </c>
      <c r="G3761" s="256" t="inlineStr">
        <is>
          <t>9.3</t>
        </is>
      </c>
      <c r="H3761" s="256" t="inlineStr">
        <is>
          <t>Bile-tolerant gram-neg.</t>
        </is>
      </c>
      <c r="I3761" s="256" t="inlineStr">
        <is>
          <t>Ph. Eur. 2.6.31 cat. C</t>
        </is>
      </c>
      <c r="J3761" s="256" t="inlineStr">
        <is>
          <t>≤ 10⁴ CFU/g</t>
        </is>
      </c>
      <c r="K3761" s="256" t="inlineStr">
        <is>
          <t>&lt; 10</t>
        </is>
      </c>
      <c r="L3761" s="256" t="inlineStr">
        <is>
          <t>555/1086/26</t>
        </is>
      </c>
      <c r="M3761" s="256" t="inlineStr">
        <is>
          <t>01.09.2026</t>
        </is>
      </c>
      <c r="N3761" s="256" t="inlineStr">
        <is>
          <t>IPH — Institute of Public Health</t>
        </is>
      </c>
      <c r="O3761" s="256" t="inlineStr">
        <is>
          <t>26.08.2026</t>
        </is>
      </c>
      <c r="P3761" s="256" t="inlineStr">
        <is>
          <t>covered</t>
        </is>
      </c>
      <c r="Q3761" s="256" t="inlineStr"/>
      <c r="R3761" s="256" t="inlineStr"/>
    </row>
    <row r="3762">
      <c r="A3762" s="256" t="inlineStr">
        <is>
          <t>CoQ-PP_26-164</t>
        </is>
      </c>
      <c r="B3762" s="256" t="inlineStr">
        <is>
          <t>reissue — retest</t>
        </is>
      </c>
      <c r="C3762" s="256" t="inlineStr">
        <is>
          <t>WC072501</t>
        </is>
      </c>
      <c r="D3762" s="256" t="inlineStr">
        <is>
          <t>P050262</t>
        </is>
      </c>
      <c r="E3762" s="256" t="inlineStr">
        <is>
          <t>Wedding Crusher</t>
        </is>
      </c>
      <c r="F3762" s="256" t="inlineStr">
        <is>
          <t>21.09.2026</t>
        </is>
      </c>
      <c r="G3762" s="256" t="inlineStr">
        <is>
          <t>9.4</t>
        </is>
      </c>
      <c r="H3762" s="256" t="inlineStr">
        <is>
          <t>Salmonella</t>
        </is>
      </c>
      <c r="I3762" s="256" t="inlineStr">
        <is>
          <t>Ph. Eur. 2.6.31 cat. C</t>
        </is>
      </c>
      <c r="J3762" s="256" t="inlineStr">
        <is>
          <t>Absence | Отсуство / 25 g</t>
        </is>
      </c>
      <c r="K3762" s="256" t="inlineStr">
        <is>
          <t>Absent | Отсутна</t>
        </is>
      </c>
      <c r="L3762" s="256" t="inlineStr">
        <is>
          <t>555/1086/26</t>
        </is>
      </c>
      <c r="M3762" s="256" t="inlineStr">
        <is>
          <t>01.09.2026</t>
        </is>
      </c>
      <c r="N3762" s="256" t="inlineStr">
        <is>
          <t>IPH — Institute of Public Health</t>
        </is>
      </c>
      <c r="O3762" s="256" t="inlineStr">
        <is>
          <t>26.08.2026</t>
        </is>
      </c>
      <c r="P3762" s="256" t="inlineStr">
        <is>
          <t>covered</t>
        </is>
      </c>
      <c r="Q3762" s="256" t="inlineStr"/>
      <c r="R3762" s="256" t="inlineStr"/>
    </row>
    <row r="3763">
      <c r="A3763" s="256" t="inlineStr">
        <is>
          <t>CoQ-PP_26-164</t>
        </is>
      </c>
      <c r="B3763" s="256" t="inlineStr">
        <is>
          <t>reissue — retest</t>
        </is>
      </c>
      <c r="C3763" s="256" t="inlineStr">
        <is>
          <t>WC072501</t>
        </is>
      </c>
      <c r="D3763" s="256" t="inlineStr">
        <is>
          <t>P050262</t>
        </is>
      </c>
      <c r="E3763" s="256" t="inlineStr">
        <is>
          <t>Wedding Crusher</t>
        </is>
      </c>
      <c r="F3763" s="256" t="inlineStr">
        <is>
          <t>21.09.2026</t>
        </is>
      </c>
      <c r="G3763" s="256" t="inlineStr">
        <is>
          <t>9.5</t>
        </is>
      </c>
      <c r="H3763" s="256" t="inlineStr">
        <is>
          <t>Escherichia coli</t>
        </is>
      </c>
      <c r="I3763" s="256" t="inlineStr">
        <is>
          <t>Ph. Eur. 2.6.13 cat. C</t>
        </is>
      </c>
      <c r="J3763" s="256" t="inlineStr">
        <is>
          <t>Absence | Отсуство / 1 g</t>
        </is>
      </c>
      <c r="K3763" s="256" t="inlineStr">
        <is>
          <t>Absent | Отсутна</t>
        </is>
      </c>
      <c r="L3763" s="256" t="inlineStr">
        <is>
          <t>555/1086/26</t>
        </is>
      </c>
      <c r="M3763" s="256" t="inlineStr">
        <is>
          <t>01.09.2026</t>
        </is>
      </c>
      <c r="N3763" s="256" t="inlineStr">
        <is>
          <t>IPH — Institute of Public Health</t>
        </is>
      </c>
      <c r="O3763" s="256" t="inlineStr">
        <is>
          <t>26.08.2026</t>
        </is>
      </c>
      <c r="P3763" s="256" t="inlineStr">
        <is>
          <t>covered</t>
        </is>
      </c>
      <c r="Q3763" s="256" t="inlineStr"/>
      <c r="R3763" s="256" t="inlineStr"/>
    </row>
    <row r="3764">
      <c r="A3764" s="256" t="inlineStr">
        <is>
          <t>CoQ-PP_26-164</t>
        </is>
      </c>
      <c r="B3764" s="256" t="inlineStr">
        <is>
          <t>reissue — retest</t>
        </is>
      </c>
      <c r="C3764" s="256" t="inlineStr">
        <is>
          <t>WC072501</t>
        </is>
      </c>
      <c r="D3764" s="256" t="inlineStr">
        <is>
          <t>P050262</t>
        </is>
      </c>
      <c r="E3764" s="256" t="inlineStr">
        <is>
          <t>Wedding Crusher</t>
        </is>
      </c>
      <c r="F3764" s="256" t="inlineStr">
        <is>
          <t>21.09.2026</t>
        </is>
      </c>
      <c r="G3764" s="256" t="inlineStr">
        <is>
          <t>9.6</t>
        </is>
      </c>
      <c r="H3764" s="256" t="inlineStr">
        <is>
          <t>Pseudomonas aeruginosa</t>
        </is>
      </c>
      <c r="I3764" s="256" t="inlineStr">
        <is>
          <t>Ph. Eur. 2.6.13 cat. C</t>
        </is>
      </c>
      <c r="J3764" s="256" t="inlineStr">
        <is>
          <t>Absence | Отсуство / 1 g</t>
        </is>
      </c>
      <c r="K3764" s="260" t="inlineStr">
        <is>
          <t>upon request — not required for release</t>
        </is>
      </c>
      <c r="L3764" s="256" t="inlineStr">
        <is>
          <t>—</t>
        </is>
      </c>
      <c r="M3764" s="256" t="inlineStr">
        <is>
          <t>—</t>
        </is>
      </c>
      <c r="N3764" s="256" t="inlineStr">
        <is>
          <t>—</t>
        </is>
      </c>
      <c r="O3764" s="256" t="inlineStr">
        <is>
          <t>—</t>
        </is>
      </c>
      <c r="P3764" s="256" t="inlineStr">
        <is>
          <t>upon request — not required for release</t>
        </is>
      </c>
      <c r="Q3764" s="256" t="inlineStr"/>
      <c r="R3764" s="256" t="inlineStr"/>
    </row>
    <row r="3765">
      <c r="A3765" s="256" t="inlineStr">
        <is>
          <t>CoQ-PP_26-164</t>
        </is>
      </c>
      <c r="B3765" s="256" t="inlineStr">
        <is>
          <t>reissue — retest</t>
        </is>
      </c>
      <c r="C3765" s="256" t="inlineStr">
        <is>
          <t>WC072501</t>
        </is>
      </c>
      <c r="D3765" s="256" t="inlineStr">
        <is>
          <t>P050262</t>
        </is>
      </c>
      <c r="E3765" s="256" t="inlineStr">
        <is>
          <t>Wedding Crusher</t>
        </is>
      </c>
      <c r="F3765" s="256" t="inlineStr">
        <is>
          <t>21.09.2026</t>
        </is>
      </c>
      <c r="G3765" s="256" t="inlineStr">
        <is>
          <t>9.7</t>
        </is>
      </c>
      <c r="H3765" s="256" t="inlineStr">
        <is>
          <t>Staphylococcus aureus</t>
        </is>
      </c>
      <c r="I3765" s="256" t="inlineStr">
        <is>
          <t>Ph. Eur. 2.6.13 cat. C</t>
        </is>
      </c>
      <c r="J3765" s="256" t="inlineStr">
        <is>
          <t>Absence | Отсуство / 1 g</t>
        </is>
      </c>
      <c r="K3765" s="260" t="inlineStr">
        <is>
          <t>upon request — not required for release</t>
        </is>
      </c>
      <c r="L3765" s="256" t="inlineStr">
        <is>
          <t>—</t>
        </is>
      </c>
      <c r="M3765" s="256" t="inlineStr">
        <is>
          <t>—</t>
        </is>
      </c>
      <c r="N3765" s="256" t="inlineStr">
        <is>
          <t>—</t>
        </is>
      </c>
      <c r="O3765" s="256" t="inlineStr">
        <is>
          <t>—</t>
        </is>
      </c>
      <c r="P3765" s="256" t="inlineStr">
        <is>
          <t>upon request — not required for release</t>
        </is>
      </c>
      <c r="Q3765" s="256" t="inlineStr"/>
      <c r="R3765" s="256" t="inlineStr"/>
    </row>
    <row r="3766">
      <c r="A3766" s="256" t="inlineStr">
        <is>
          <t>CoQ-PP_26-164</t>
        </is>
      </c>
      <c r="B3766" s="256" t="inlineStr">
        <is>
          <t>reissue — retest</t>
        </is>
      </c>
      <c r="C3766" s="256" t="inlineStr">
        <is>
          <t>WC072501</t>
        </is>
      </c>
      <c r="D3766" s="256" t="inlineStr">
        <is>
          <t>P050262</t>
        </is>
      </c>
      <c r="E3766" s="256" t="inlineStr">
        <is>
          <t>Wedding Crusher</t>
        </is>
      </c>
      <c r="F3766" s="256" t="inlineStr">
        <is>
          <t>21.09.2026</t>
        </is>
      </c>
      <c r="G3766" s="256" t="inlineStr">
        <is>
          <t>10.1</t>
        </is>
      </c>
      <c r="H3766" s="256" t="inlineStr">
        <is>
          <t>Aflatoxin B₁</t>
        </is>
      </c>
      <c r="I3766" s="256" t="inlineStr">
        <is>
          <t>Ph. Eur. 2.8.18 (HPLC-FLD)</t>
        </is>
      </c>
      <c r="J3766" s="256" t="inlineStr">
        <is>
          <t>≤ 2 µg/kg</t>
        </is>
      </c>
      <c r="K3766" s="256" t="inlineStr">
        <is>
          <t>ND</t>
        </is>
      </c>
      <c r="L3766" s="256" t="inlineStr">
        <is>
          <t>227-3-М/26</t>
        </is>
      </c>
      <c r="M3766" s="256" t="inlineStr">
        <is>
          <t>16.09.2026</t>
        </is>
      </c>
      <c r="N3766" s="256" t="inlineStr">
        <is>
          <t>Farmahem</t>
        </is>
      </c>
      <c r="O3766" s="256" t="inlineStr">
        <is>
          <t>—</t>
        </is>
      </c>
      <c r="P3766" s="256" t="inlineStr">
        <is>
          <t>covered</t>
        </is>
      </c>
      <c r="Q3766" s="256" t="inlineStr"/>
      <c r="R3766" s="256" t="inlineStr"/>
    </row>
    <row r="3767">
      <c r="A3767" s="256" t="inlineStr">
        <is>
          <t>CoQ-PP_26-164</t>
        </is>
      </c>
      <c r="B3767" s="256" t="inlineStr">
        <is>
          <t>reissue — retest</t>
        </is>
      </c>
      <c r="C3767" s="256" t="inlineStr">
        <is>
          <t>WC072501</t>
        </is>
      </c>
      <c r="D3767" s="256" t="inlineStr">
        <is>
          <t>P050262</t>
        </is>
      </c>
      <c r="E3767" s="256" t="inlineStr">
        <is>
          <t>Wedding Crusher</t>
        </is>
      </c>
      <c r="F3767" s="256" t="inlineStr">
        <is>
          <t>21.09.2026</t>
        </is>
      </c>
      <c r="G3767" s="256" t="inlineStr">
        <is>
          <t>10.2</t>
        </is>
      </c>
      <c r="H3767" s="256" t="inlineStr">
        <is>
          <t>Aflatoxins ∑</t>
        </is>
      </c>
      <c r="I3767" s="256" t="inlineStr">
        <is>
          <t>Ph. Eur. 2.8.18 (HPLC-FLD)</t>
        </is>
      </c>
      <c r="J3767" s="256" t="inlineStr">
        <is>
          <t>≤ 4 µg/kg</t>
        </is>
      </c>
      <c r="K3767" s="256" t="inlineStr">
        <is>
          <t>ND</t>
        </is>
      </c>
      <c r="L3767" s="256" t="inlineStr">
        <is>
          <t>227-3-М/26</t>
        </is>
      </c>
      <c r="M3767" s="256" t="inlineStr">
        <is>
          <t>16.09.2026</t>
        </is>
      </c>
      <c r="N3767" s="256" t="inlineStr">
        <is>
          <t>Farmahem</t>
        </is>
      </c>
      <c r="O3767" s="256" t="inlineStr">
        <is>
          <t>—</t>
        </is>
      </c>
      <c r="P3767" s="256" t="inlineStr">
        <is>
          <t>carried from the initial testing (the batch's initial CoQ (number assigned on issue)) — covered</t>
        </is>
      </c>
      <c r="Q3767" s="256" t="inlineStr"/>
      <c r="R3767" s="256" t="inlineStr"/>
    </row>
    <row r="3768">
      <c r="A3768" s="256" t="inlineStr">
        <is>
          <t>CoQ-PP_26-164</t>
        </is>
      </c>
      <c r="B3768" s="256" t="inlineStr">
        <is>
          <t>reissue — retest</t>
        </is>
      </c>
      <c r="C3768" s="256" t="inlineStr">
        <is>
          <t>WC072501</t>
        </is>
      </c>
      <c r="D3768" s="256" t="inlineStr">
        <is>
          <t>P050262</t>
        </is>
      </c>
      <c r="E3768" s="256" t="inlineStr">
        <is>
          <t>Wedding Crusher</t>
        </is>
      </c>
      <c r="F3768" s="256" t="inlineStr">
        <is>
          <t>21.09.2026</t>
        </is>
      </c>
      <c r="G3768" s="256" t="inlineStr">
        <is>
          <t>10.3</t>
        </is>
      </c>
      <c r="H3768" s="256" t="inlineStr">
        <is>
          <t>Ochratoxin A</t>
        </is>
      </c>
      <c r="I3768" s="256" t="inlineStr">
        <is>
          <t>Ph. Eur. 2.8.22 (HPLC-FLD)</t>
        </is>
      </c>
      <c r="J3768" s="256" t="inlineStr">
        <is>
          <t>≤ 20 µg/kg</t>
        </is>
      </c>
      <c r="K3768" s="256" t="inlineStr">
        <is>
          <t>ND</t>
        </is>
      </c>
      <c r="L3768" s="256" t="inlineStr">
        <is>
          <t>227-3-М/26</t>
        </is>
      </c>
      <c r="M3768" s="256" t="inlineStr">
        <is>
          <t>16.09.2026</t>
        </is>
      </c>
      <c r="N3768" s="256" t="inlineStr">
        <is>
          <t>Farmahem</t>
        </is>
      </c>
      <c r="O3768" s="256" t="inlineStr">
        <is>
          <t>—</t>
        </is>
      </c>
      <c r="P3768" s="256" t="inlineStr">
        <is>
          <t>covered</t>
        </is>
      </c>
      <c r="Q3768" s="256" t="inlineStr"/>
      <c r="R3768" s="256" t="inlineStr"/>
    </row>
    <row r="3769">
      <c r="A3769" s="256" t="inlineStr">
        <is>
          <t>CoQ-PP_26-164</t>
        </is>
      </c>
      <c r="B3769" s="256" t="inlineStr">
        <is>
          <t>reissue — retest</t>
        </is>
      </c>
      <c r="C3769" s="256" t="inlineStr">
        <is>
          <t>WC072501</t>
        </is>
      </c>
      <c r="D3769" s="256" t="inlineStr">
        <is>
          <t>P050262</t>
        </is>
      </c>
      <c r="E3769" s="256" t="inlineStr">
        <is>
          <t>Wedding Crusher</t>
        </is>
      </c>
      <c r="F3769" s="256" t="inlineStr">
        <is>
          <t>21.09.2026</t>
        </is>
      </c>
      <c r="G3769" s="256" t="inlineStr">
        <is>
          <t>11.1</t>
        </is>
      </c>
      <c r="H3769" s="256" t="inlineStr">
        <is>
          <t>Lead (Pb)</t>
        </is>
      </c>
      <c r="I3769" s="256" t="inlineStr">
        <is>
          <t>Ph. Eur. 2.4.27 (ICP-MS)</t>
        </is>
      </c>
      <c r="J3769" s="256" t="inlineStr">
        <is>
          <t>≤ 0.5 mg/kg</t>
        </is>
      </c>
      <c r="K3769" s="256" t="inlineStr">
        <is>
          <t>0.023</t>
        </is>
      </c>
      <c r="L3769" s="256" t="inlineStr">
        <is>
          <t>5699/2025</t>
        </is>
      </c>
      <c r="M3769" s="256" t="inlineStr">
        <is>
          <t>02.12.2025</t>
        </is>
      </c>
      <c r="N3769" s="256" t="inlineStr">
        <is>
          <t>IPH — Institute of Public Health</t>
        </is>
      </c>
      <c r="O3769" s="256" t="inlineStr">
        <is>
          <t>24.11.2025</t>
        </is>
      </c>
      <c r="P3769" s="256" t="inlineStr">
        <is>
          <t>carried from the initial testing (the batch's initial CoQ (number assigned on issue)) — covered</t>
        </is>
      </c>
      <c r="Q3769" s="256" t="inlineStr"/>
      <c r="R3769" s="256" t="inlineStr"/>
    </row>
    <row r="3770">
      <c r="A3770" s="256" t="inlineStr">
        <is>
          <t>CoQ-PP_26-164</t>
        </is>
      </c>
      <c r="B3770" s="256" t="inlineStr">
        <is>
          <t>reissue — retest</t>
        </is>
      </c>
      <c r="C3770" s="256" t="inlineStr">
        <is>
          <t>WC072501</t>
        </is>
      </c>
      <c r="D3770" s="256" t="inlineStr">
        <is>
          <t>P050262</t>
        </is>
      </c>
      <c r="E3770" s="256" t="inlineStr">
        <is>
          <t>Wedding Crusher</t>
        </is>
      </c>
      <c r="F3770" s="256" t="inlineStr">
        <is>
          <t>21.09.2026</t>
        </is>
      </c>
      <c r="G3770" s="256" t="inlineStr">
        <is>
          <t>11.2</t>
        </is>
      </c>
      <c r="H3770" s="256" t="inlineStr">
        <is>
          <t>Cadmium (Cd)</t>
        </is>
      </c>
      <c r="I3770" s="256" t="inlineStr">
        <is>
          <t>Ph. Eur. 2.4.27 (ICP-MS)</t>
        </is>
      </c>
      <c r="J3770" s="256" t="inlineStr">
        <is>
          <t>≤ 0.3 mg/kg</t>
        </is>
      </c>
      <c r="K3770" s="256" t="inlineStr">
        <is>
          <t>0.005</t>
        </is>
      </c>
      <c r="L3770" s="256" t="inlineStr">
        <is>
          <t>5699/2025</t>
        </is>
      </c>
      <c r="M3770" s="256" t="inlineStr">
        <is>
          <t>02.12.2025</t>
        </is>
      </c>
      <c r="N3770" s="256" t="inlineStr">
        <is>
          <t>IPH — Institute of Public Health</t>
        </is>
      </c>
      <c r="O3770" s="256" t="inlineStr">
        <is>
          <t>24.11.2025</t>
        </is>
      </c>
      <c r="P3770" s="256" t="inlineStr">
        <is>
          <t>carried from the initial testing (the batch's initial CoQ (number assigned on issue)) — covered</t>
        </is>
      </c>
      <c r="Q3770" s="256" t="inlineStr"/>
      <c r="R3770" s="256" t="inlineStr"/>
    </row>
    <row r="3771">
      <c r="A3771" s="256" t="inlineStr">
        <is>
          <t>CoQ-PP_26-164</t>
        </is>
      </c>
      <c r="B3771" s="256" t="inlineStr">
        <is>
          <t>reissue — retest</t>
        </is>
      </c>
      <c r="C3771" s="256" t="inlineStr">
        <is>
          <t>WC072501</t>
        </is>
      </c>
      <c r="D3771" s="256" t="inlineStr">
        <is>
          <t>P050262</t>
        </is>
      </c>
      <c r="E3771" s="256" t="inlineStr">
        <is>
          <t>Wedding Crusher</t>
        </is>
      </c>
      <c r="F3771" s="256" t="inlineStr">
        <is>
          <t>21.09.2026</t>
        </is>
      </c>
      <c r="G3771" s="256" t="inlineStr">
        <is>
          <t>11.3</t>
        </is>
      </c>
      <c r="H3771" s="256" t="inlineStr">
        <is>
          <t>Arsenic (As)</t>
        </is>
      </c>
      <c r="I3771" s="256" t="inlineStr">
        <is>
          <t>Ph. Eur. 2.4.27 (ICP-MS)</t>
        </is>
      </c>
      <c r="J3771" s="256" t="inlineStr">
        <is>
          <t>≤ 0.2 mg/kg</t>
        </is>
      </c>
      <c r="K3771" s="256" t="inlineStr">
        <is>
          <t>0.006</t>
        </is>
      </c>
      <c r="L3771" s="256" t="inlineStr">
        <is>
          <t>5699/2025</t>
        </is>
      </c>
      <c r="M3771" s="256" t="inlineStr">
        <is>
          <t>02.12.2025</t>
        </is>
      </c>
      <c r="N3771" s="256" t="inlineStr">
        <is>
          <t>IPH — Institute of Public Health</t>
        </is>
      </c>
      <c r="O3771" s="256" t="inlineStr">
        <is>
          <t>24.11.2025</t>
        </is>
      </c>
      <c r="P3771" s="256" t="inlineStr">
        <is>
          <t>carried from the initial testing (the batch's initial CoQ (number assigned on issue)) — covered</t>
        </is>
      </c>
      <c r="Q3771" s="256" t="inlineStr"/>
      <c r="R3771" s="256" t="inlineStr"/>
    </row>
    <row r="3772">
      <c r="A3772" s="256" t="inlineStr">
        <is>
          <t>CoQ-PP_26-164</t>
        </is>
      </c>
      <c r="B3772" s="256" t="inlineStr">
        <is>
          <t>reissue — retest</t>
        </is>
      </c>
      <c r="C3772" s="256" t="inlineStr">
        <is>
          <t>WC072501</t>
        </is>
      </c>
      <c r="D3772" s="256" t="inlineStr">
        <is>
          <t>P050262</t>
        </is>
      </c>
      <c r="E3772" s="256" t="inlineStr">
        <is>
          <t>Wedding Crusher</t>
        </is>
      </c>
      <c r="F3772" s="256" t="inlineStr">
        <is>
          <t>21.09.2026</t>
        </is>
      </c>
      <c r="G3772" s="256" t="inlineStr">
        <is>
          <t>11.4</t>
        </is>
      </c>
      <c r="H3772" s="256" t="inlineStr">
        <is>
          <t>Mercury (Hg)</t>
        </is>
      </c>
      <c r="I3772" s="256" t="inlineStr">
        <is>
          <t>Ph. Eur. 2.4.27 (ICP-MS)</t>
        </is>
      </c>
      <c r="J3772" s="256" t="inlineStr">
        <is>
          <t>≤ 0.1 mg/kg</t>
        </is>
      </c>
      <c r="K3772" s="256" t="inlineStr">
        <is>
          <t>0.01</t>
        </is>
      </c>
      <c r="L3772" s="256" t="inlineStr">
        <is>
          <t>5699/2025</t>
        </is>
      </c>
      <c r="M3772" s="256" t="inlineStr">
        <is>
          <t>02.12.2025</t>
        </is>
      </c>
      <c r="N3772" s="256" t="inlineStr">
        <is>
          <t>IPH — Institute of Public Health</t>
        </is>
      </c>
      <c r="O3772" s="256" t="inlineStr">
        <is>
          <t>24.11.2025</t>
        </is>
      </c>
      <c r="P3772" s="256" t="inlineStr">
        <is>
          <t>carried from the initial testing (the batch's initial CoQ (number assigned on issue)) — covered</t>
        </is>
      </c>
      <c r="Q3772" s="256" t="inlineStr"/>
      <c r="R3772" s="256" t="inlineStr"/>
    </row>
    <row r="3773">
      <c r="A3773" s="256" t="inlineStr">
        <is>
          <t>CoQ-PP_26-164</t>
        </is>
      </c>
      <c r="B3773" s="256" t="inlineStr">
        <is>
          <t>reissue — retest</t>
        </is>
      </c>
      <c r="C3773" s="256" t="inlineStr">
        <is>
          <t>WC072501</t>
        </is>
      </c>
      <c r="D3773" s="256" t="inlineStr">
        <is>
          <t>P050262</t>
        </is>
      </c>
      <c r="E3773" s="256" t="inlineStr">
        <is>
          <t>Wedding Crusher</t>
        </is>
      </c>
      <c r="F3773" s="256" t="inlineStr">
        <is>
          <t>21.09.2026</t>
        </is>
      </c>
      <c r="G3773" s="256" t="inlineStr">
        <is>
          <t>12</t>
        </is>
      </c>
      <c r="H3773" s="256" t="inlineStr">
        <is>
          <t>Pesticide Residues</t>
        </is>
      </c>
      <c r="I3773" s="256" t="inlineStr">
        <is>
          <t>Ph. Eur. 2.8.13 (LC-MS/MS) · CUMCS Equivalency</t>
        </is>
      </c>
      <c r="J3773" s="256" t="inlineStr">
        <is>
          <t>≤ LOQ as per Ph. Eur. 2.8.13 · ≤ LOQ as per CUMCS Equivalency</t>
        </is>
      </c>
      <c r="K3773" s="256" t="inlineStr">
        <is>
          <t>ND</t>
        </is>
      </c>
      <c r="L3773" s="256" t="inlineStr">
        <is>
          <t>5699/2025</t>
        </is>
      </c>
      <c r="M3773" s="256" t="inlineStr">
        <is>
          <t>02.12.2025</t>
        </is>
      </c>
      <c r="N3773" s="256" t="inlineStr">
        <is>
          <t>IPH — Institute of Public Health</t>
        </is>
      </c>
      <c r="O3773" s="256" t="inlineStr">
        <is>
          <t>24.11.2025</t>
        </is>
      </c>
      <c r="P3773" s="256" t="inlineStr">
        <is>
          <t>carried from the initial testing (the batch's initial CoQ (number assigned on issue)) — covered</t>
        </is>
      </c>
      <c r="Q3773" s="256" t="inlineStr"/>
      <c r="R3773" s="256" t="inlineStr"/>
    </row>
    <row r="3774">
      <c r="A3774" s="256" t="inlineStr">
        <is>
          <t>CoQ-PP_26-165</t>
        </is>
      </c>
      <c r="B3774" s="256" t="inlineStr">
        <is>
          <t>reissue — retest</t>
        </is>
      </c>
      <c r="C3774" s="256" t="inlineStr">
        <is>
          <t>WED102501</t>
        </is>
      </c>
      <c r="D3774" s="256" t="inlineStr">
        <is>
          <t>P060102</t>
        </is>
      </c>
      <c r="E3774" s="256" t="inlineStr">
        <is>
          <t>Wedding Cake</t>
        </is>
      </c>
      <c r="F3774" s="256" t="inlineStr">
        <is>
          <t>21.09.2026</t>
        </is>
      </c>
      <c r="G3774" s="256" t="inlineStr">
        <is>
          <t>1</t>
        </is>
      </c>
      <c r="H3774" s="256" t="inlineStr">
        <is>
          <t>Identification A, Appearance · Macroscopic</t>
        </is>
      </c>
      <c r="I3774" s="256" t="inlineStr">
        <is>
          <t>Ph. Eur. mon. 3028</t>
        </is>
      </c>
      <c r="J3774" s="256" t="inlineStr">
        <is>
          <t>Conforms to the monograph for Cannabis flos (07/2024:3028) in Ph. Eur. 11.0 | Согласно монографија за Cannabis flos (07/2024:3028) во Ph. Eur. 11.0</t>
        </is>
      </c>
      <c r="K3774" s="256" t="inlineStr">
        <is>
          <t>Conforms | Одговара</t>
        </is>
      </c>
      <c r="L3774" s="256" t="inlineStr">
        <is>
          <t>iCoA-PP_26-164</t>
        </is>
      </c>
      <c r="M3774" s="256" t="inlineStr">
        <is>
          <t>24.08.2026</t>
        </is>
      </c>
      <c r="N3774" s="256" t="inlineStr">
        <is>
          <t>Purely Plant GmbH (in-house)</t>
        </is>
      </c>
      <c r="O3774" s="256" t="inlineStr">
        <is>
          <t>—</t>
        </is>
      </c>
      <c r="P3774" s="256" t="inlineStr">
        <is>
          <t>to be performed — see route</t>
        </is>
      </c>
      <c r="Q3774" s="256" t="inlineStr">
        <is>
          <t>Farmahem — Ident A + B + C with the Assay, at retest</t>
        </is>
      </c>
      <c r="R3774" s="256" t="inlineStr"/>
    </row>
    <row r="3775">
      <c r="A3775" s="256" t="inlineStr">
        <is>
          <t>CoQ-PP_26-165</t>
        </is>
      </c>
      <c r="B3775" s="256" t="inlineStr">
        <is>
          <t>reissue — retest</t>
        </is>
      </c>
      <c r="C3775" s="256" t="inlineStr">
        <is>
          <t>WED102501</t>
        </is>
      </c>
      <c r="D3775" s="256" t="inlineStr">
        <is>
          <t>P060102</t>
        </is>
      </c>
      <c r="E3775" s="256" t="inlineStr">
        <is>
          <t>Wedding Cake</t>
        </is>
      </c>
      <c r="F3775" s="256" t="inlineStr">
        <is>
          <t>21.09.2026</t>
        </is>
      </c>
      <c r="G3775" s="256" t="inlineStr">
        <is>
          <t>2</t>
        </is>
      </c>
      <c r="H3775" s="256" t="inlineStr">
        <is>
          <t>Identification B · Microscopic</t>
        </is>
      </c>
      <c r="I3775" s="256" t="inlineStr">
        <is>
          <t>Ph. Eur. 2.8.23 (microscopy)</t>
        </is>
      </c>
      <c r="J3775" s="256" t="inlineStr">
        <is>
          <t>Conforms to the monograph for Cannabis flos (07/2024:3028) in Ph. Eur. 11.0 | Согласно монографија за Cannabis flos (07/2024:3028) во Ph. Eur. 11.0</t>
        </is>
      </c>
      <c r="K3775" s="256" t="inlineStr">
        <is>
          <t>Conforms | Одговара</t>
        </is>
      </c>
      <c r="L3775" s="256" t="inlineStr">
        <is>
          <t>iCoA-PP_26-164</t>
        </is>
      </c>
      <c r="M3775" s="256" t="inlineStr">
        <is>
          <t>24.08.2026</t>
        </is>
      </c>
      <c r="N3775" s="256" t="inlineStr">
        <is>
          <t>Purely Plant GmbH (in-house)</t>
        </is>
      </c>
      <c r="O3775" s="256" t="inlineStr">
        <is>
          <t>—</t>
        </is>
      </c>
      <c r="P3775" s="256" t="inlineStr">
        <is>
          <t>to be performed — see route</t>
        </is>
      </c>
      <c r="Q3775" s="256" t="inlineStr">
        <is>
          <t>Farmahem — Ident A + B + C with the Assay, at retest</t>
        </is>
      </c>
      <c r="R3775" s="256" t="inlineStr"/>
    </row>
    <row r="3776">
      <c r="A3776" s="256" t="inlineStr">
        <is>
          <t>CoQ-PP_26-165</t>
        </is>
      </c>
      <c r="B3776" s="256" t="inlineStr">
        <is>
          <t>reissue — retest</t>
        </is>
      </c>
      <c r="C3776" s="256" t="inlineStr">
        <is>
          <t>WED102501</t>
        </is>
      </c>
      <c r="D3776" s="256" t="inlineStr">
        <is>
          <t>P060102</t>
        </is>
      </c>
      <c r="E3776" s="256" t="inlineStr">
        <is>
          <t>Wedding Cake</t>
        </is>
      </c>
      <c r="F3776" s="256" t="inlineStr">
        <is>
          <t>21.09.2026</t>
        </is>
      </c>
      <c r="G3776" s="256" t="inlineStr">
        <is>
          <t>3</t>
        </is>
      </c>
      <c r="H3776" s="256" t="inlineStr">
        <is>
          <t>Identification C · HPLC/HPTLC</t>
        </is>
      </c>
      <c r="I3776" s="256" t="inlineStr">
        <is>
          <t>Ph. Eur. 2.2.29 (3028)</t>
        </is>
      </c>
      <c r="J3776" s="256" t="inlineStr">
        <is>
          <t>Conforms to the monograph for Cannabis flos (07/2024:3028) in Ph. Eur. 11.0 | Согласно монографија за Cannabis flos (07/2024:3028) во Ph. Eur. 11.0</t>
        </is>
      </c>
      <c r="K3776" s="256" t="inlineStr">
        <is>
          <t>Conforms | Одговара</t>
        </is>
      </c>
      <c r="L3776" s="256" t="inlineStr">
        <is>
          <t>227-4-К/26</t>
        </is>
      </c>
      <c r="M3776" s="256" t="inlineStr">
        <is>
          <t>11.09.2026</t>
        </is>
      </c>
      <c r="N3776" s="256" t="inlineStr">
        <is>
          <t>Farmahem</t>
        </is>
      </c>
      <c r="O3776" s="256" t="inlineStr">
        <is>
          <t>24.08.2026</t>
        </is>
      </c>
      <c r="P3776" s="256" t="inlineStr">
        <is>
          <t>covered</t>
        </is>
      </c>
      <c r="Q3776" s="256" t="inlineStr"/>
      <c r="R3776" s="256" t="inlineStr"/>
    </row>
    <row r="3777">
      <c r="A3777" s="256" t="inlineStr">
        <is>
          <t>CoQ-PP_26-165</t>
        </is>
      </c>
      <c r="B3777" s="256" t="inlineStr">
        <is>
          <t>reissue — retest</t>
        </is>
      </c>
      <c r="C3777" s="256" t="inlineStr">
        <is>
          <t>WED102501</t>
        </is>
      </c>
      <c r="D3777" s="256" t="inlineStr">
        <is>
          <t>P060102</t>
        </is>
      </c>
      <c r="E3777" s="256" t="inlineStr">
        <is>
          <t>Wedding Cake</t>
        </is>
      </c>
      <c r="F3777" s="256" t="inlineStr">
        <is>
          <t>21.09.2026</t>
        </is>
      </c>
      <c r="G3777" s="256" t="inlineStr">
        <is>
          <t>4</t>
        </is>
      </c>
      <c r="H3777" s="256" t="inlineStr">
        <is>
          <t>Assay — Total Δ⁹-THC</t>
        </is>
      </c>
      <c r="I3777" s="256" t="inlineStr">
        <is>
          <t>Ph. Eur. 2.2.29 (HPLC)</t>
        </is>
      </c>
      <c r="J3777" s="256" t="inlineStr">
        <is>
          <t>23.40 – 28.59 %  (grade I, nominal 26.00 ± 2.60)</t>
        </is>
      </c>
      <c r="K3777" s="256" t="inlineStr">
        <is>
          <t>25.15</t>
        </is>
      </c>
      <c r="L3777" s="256" t="inlineStr">
        <is>
          <t>227-4-К/26</t>
        </is>
      </c>
      <c r="M3777" s="256" t="inlineStr">
        <is>
          <t>11.09.2026</t>
        </is>
      </c>
      <c r="N3777" s="256" t="inlineStr">
        <is>
          <t>Farmahem</t>
        </is>
      </c>
      <c r="O3777" s="256" t="inlineStr">
        <is>
          <t>24.08.2026</t>
        </is>
      </c>
      <c r="P3777" s="256" t="inlineStr">
        <is>
          <t>covered</t>
        </is>
      </c>
      <c r="Q3777" s="256" t="inlineStr"/>
      <c r="R3777" s="256" t="inlineStr"/>
    </row>
    <row r="3778">
      <c r="A3778" s="256" t="inlineStr">
        <is>
          <t>CoQ-PP_26-165</t>
        </is>
      </c>
      <c r="B3778" s="256" t="inlineStr">
        <is>
          <t>reissue — retest</t>
        </is>
      </c>
      <c r="C3778" s="256" t="inlineStr">
        <is>
          <t>WED102501</t>
        </is>
      </c>
      <c r="D3778" s="256" t="inlineStr">
        <is>
          <t>P060102</t>
        </is>
      </c>
      <c r="E3778" s="256" t="inlineStr">
        <is>
          <t>Wedding Cake</t>
        </is>
      </c>
      <c r="F3778" s="256" t="inlineStr">
        <is>
          <t>21.09.2026</t>
        </is>
      </c>
      <c r="G3778" s="256" t="inlineStr">
        <is>
          <t>5</t>
        </is>
      </c>
      <c r="H3778" s="256" t="inlineStr">
        <is>
          <t>Assay — Total CBD</t>
        </is>
      </c>
      <c r="I3778" s="256" t="inlineStr">
        <is>
          <t>Ph. Eur. 2.2.29 (HPLC) · CBD + CBDA x 0.877</t>
        </is>
      </c>
      <c r="J3778" s="256" t="inlineStr">
        <is>
          <t>≤ 1.0%, w/w</t>
        </is>
      </c>
      <c r="K3778" s="256" t="inlineStr">
        <is>
          <t>&lt; LOQ</t>
        </is>
      </c>
      <c r="L3778" s="256" t="inlineStr">
        <is>
          <t>227-4-К/26</t>
        </is>
      </c>
      <c r="M3778" s="256" t="inlineStr">
        <is>
          <t>11.09.2026</t>
        </is>
      </c>
      <c r="N3778" s="256" t="inlineStr">
        <is>
          <t>Farmahem</t>
        </is>
      </c>
      <c r="O3778" s="256" t="inlineStr">
        <is>
          <t>24.08.2026</t>
        </is>
      </c>
      <c r="P3778" s="256" t="inlineStr">
        <is>
          <t>covered</t>
        </is>
      </c>
      <c r="Q3778" s="256" t="inlineStr"/>
      <c r="R3778" s="256" t="inlineStr"/>
    </row>
    <row r="3779">
      <c r="A3779" s="256" t="inlineStr">
        <is>
          <t>CoQ-PP_26-165</t>
        </is>
      </c>
      <c r="B3779" s="256" t="inlineStr">
        <is>
          <t>reissue — retest</t>
        </is>
      </c>
      <c r="C3779" s="256" t="inlineStr">
        <is>
          <t>WED102501</t>
        </is>
      </c>
      <c r="D3779" s="256" t="inlineStr">
        <is>
          <t>P060102</t>
        </is>
      </c>
      <c r="E3779" s="256" t="inlineStr">
        <is>
          <t>Wedding Cake</t>
        </is>
      </c>
      <c r="F3779" s="256" t="inlineStr">
        <is>
          <t>21.09.2026</t>
        </is>
      </c>
      <c r="G3779" s="256" t="inlineStr">
        <is>
          <t>6</t>
        </is>
      </c>
      <c r="H3779" s="256" t="inlineStr">
        <is>
          <t>Total CBN</t>
        </is>
      </c>
      <c r="I3779" s="256" t="inlineStr">
        <is>
          <t>Ph. Eur. 2.2.29 (HPLC) · CBN + CBNA x 0.876</t>
        </is>
      </c>
      <c r="J3779" s="256" t="inlineStr">
        <is>
          <t>≤ 1.0%, w/w</t>
        </is>
      </c>
      <c r="K3779" s="256" t="inlineStr">
        <is>
          <t>&lt; LOQ</t>
        </is>
      </c>
      <c r="L3779" s="256" t="inlineStr">
        <is>
          <t>227-4-К/26</t>
        </is>
      </c>
      <c r="M3779" s="256" t="inlineStr">
        <is>
          <t>11.09.2026</t>
        </is>
      </c>
      <c r="N3779" s="256" t="inlineStr">
        <is>
          <t>Farmahem</t>
        </is>
      </c>
      <c r="O3779" s="256" t="inlineStr">
        <is>
          <t>24.08.2026</t>
        </is>
      </c>
      <c r="P3779" s="256" t="inlineStr">
        <is>
          <t>covered</t>
        </is>
      </c>
      <c r="Q3779" s="256" t="inlineStr"/>
      <c r="R3779" s="256" t="inlineStr"/>
    </row>
    <row r="3780">
      <c r="A3780" s="256" t="inlineStr">
        <is>
          <t>CoQ-PP_26-165</t>
        </is>
      </c>
      <c r="B3780" s="256" t="inlineStr">
        <is>
          <t>reissue — retest</t>
        </is>
      </c>
      <c r="C3780" s="256" t="inlineStr">
        <is>
          <t>WED102501</t>
        </is>
      </c>
      <c r="D3780" s="256" t="inlineStr">
        <is>
          <t>P060102</t>
        </is>
      </c>
      <c r="E3780" s="256" t="inlineStr">
        <is>
          <t>Wedding Cake</t>
        </is>
      </c>
      <c r="F3780" s="256" t="inlineStr">
        <is>
          <t>21.09.2026</t>
        </is>
      </c>
      <c r="G3780" s="256" t="inlineStr">
        <is>
          <t>7</t>
        </is>
      </c>
      <c r="H3780" s="256" t="inlineStr">
        <is>
          <t>Foreign Matter</t>
        </is>
      </c>
      <c r="I3780" s="256" t="inlineStr">
        <is>
          <t>Ph. Eur. 2.8.2 · In-house · интерна</t>
        </is>
      </c>
      <c r="J3780" s="256" t="inlineStr">
        <is>
          <t>≤ 2.0% / 25–50 g · &lt; 1 cm leaves | листови, no seeds | без семки</t>
        </is>
      </c>
      <c r="K3780" s="256" t="inlineStr">
        <is>
          <t>Conforms | Одговара</t>
        </is>
      </c>
      <c r="L3780" s="256" t="inlineStr">
        <is>
          <t>iCoA-PP_26-164</t>
        </is>
      </c>
      <c r="M3780" s="256" t="inlineStr">
        <is>
          <t>24.08.2026</t>
        </is>
      </c>
      <c r="N3780" s="256" t="inlineStr">
        <is>
          <t>Purely Plant GmbH (in-house)</t>
        </is>
      </c>
      <c r="O3780" s="256" t="inlineStr">
        <is>
          <t>—</t>
        </is>
      </c>
      <c r="P3780" s="256" t="inlineStr">
        <is>
          <t>to be performed — see route</t>
        </is>
      </c>
      <c r="Q3780" s="256" t="inlineStr">
        <is>
          <t>Purely Plant laboratory — iCoA covering Foreign matter</t>
        </is>
      </c>
      <c r="R3780" s="256" t="inlineStr"/>
    </row>
    <row r="3781">
      <c r="A3781" s="256" t="inlineStr">
        <is>
          <t>CoQ-PP_26-165</t>
        </is>
      </c>
      <c r="B3781" s="256" t="inlineStr">
        <is>
          <t>reissue — retest</t>
        </is>
      </c>
      <c r="C3781" s="256" t="inlineStr">
        <is>
          <t>WED102501</t>
        </is>
      </c>
      <c r="D3781" s="256" t="inlineStr">
        <is>
          <t>P060102</t>
        </is>
      </c>
      <c r="E3781" s="256" t="inlineStr">
        <is>
          <t>Wedding Cake</t>
        </is>
      </c>
      <c r="F3781" s="256" t="inlineStr">
        <is>
          <t>21.09.2026</t>
        </is>
      </c>
      <c r="G3781" s="256" t="inlineStr">
        <is>
          <t>8</t>
        </is>
      </c>
      <c r="H3781" s="256" t="inlineStr">
        <is>
          <t>Loss on Drying</t>
        </is>
      </c>
      <c r="I3781" s="256" t="inlineStr">
        <is>
          <t>Ph. Eur. 2.2.32 (3028) · at 40 °C, 24 h, 15–25 mbar</t>
        </is>
      </c>
      <c r="J3781" s="256" t="inlineStr">
        <is>
          <t>≤ 12.0%</t>
        </is>
      </c>
      <c r="K3781" s="256" t="inlineStr">
        <is>
          <t>6,8 %</t>
        </is>
      </c>
      <c r="L3781" s="256" t="inlineStr">
        <is>
          <t>031-3-ГС/26</t>
        </is>
      </c>
      <c r="M3781" s="256" t="inlineStr">
        <is>
          <t>12.02.2026</t>
        </is>
      </c>
      <c r="N3781" s="256" t="inlineStr">
        <is>
          <t>Farmahem</t>
        </is>
      </c>
      <c r="O3781" s="256" t="inlineStr">
        <is>
          <t>—</t>
        </is>
      </c>
      <c r="P3781" s="256" t="inlineStr">
        <is>
          <t>covered</t>
        </is>
      </c>
      <c r="Q3781" s="256" t="inlineStr"/>
      <c r="R3781" s="256" t="inlineStr"/>
    </row>
    <row r="3782">
      <c r="A3782" s="256" t="inlineStr">
        <is>
          <t>CoQ-PP_26-165</t>
        </is>
      </c>
      <c r="B3782" s="256" t="inlineStr">
        <is>
          <t>reissue — retest</t>
        </is>
      </c>
      <c r="C3782" s="256" t="inlineStr">
        <is>
          <t>WED102501</t>
        </is>
      </c>
      <c r="D3782" s="256" t="inlineStr">
        <is>
          <t>P060102</t>
        </is>
      </c>
      <c r="E3782" s="256" t="inlineStr">
        <is>
          <t>Wedding Cake</t>
        </is>
      </c>
      <c r="F3782" s="256" t="inlineStr">
        <is>
          <t>21.09.2026</t>
        </is>
      </c>
      <c r="G3782" s="256" t="inlineStr">
        <is>
          <t>9.1</t>
        </is>
      </c>
      <c r="H3782" s="256" t="inlineStr">
        <is>
          <t>TAMC</t>
        </is>
      </c>
      <c r="I3782" s="256" t="inlineStr">
        <is>
          <t>Ph. Eur. 2.6.12 cat. C</t>
        </is>
      </c>
      <c r="J3782" s="256" t="inlineStr">
        <is>
          <t>≤ 10⁵ CFU/g</t>
        </is>
      </c>
      <c r="K3782" s="256" t="inlineStr">
        <is>
          <t>&lt; 10</t>
        </is>
      </c>
      <c r="L3782" s="256" t="inlineStr">
        <is>
          <t>551/1082/26</t>
        </is>
      </c>
      <c r="M3782" s="256" t="inlineStr">
        <is>
          <t>01.09.2026</t>
        </is>
      </c>
      <c r="N3782" s="256" t="inlineStr">
        <is>
          <t>IPH — Institute of Public Health</t>
        </is>
      </c>
      <c r="O3782" s="256" t="inlineStr">
        <is>
          <t>26.08.2026</t>
        </is>
      </c>
      <c r="P3782" s="256" t="inlineStr">
        <is>
          <t>covered</t>
        </is>
      </c>
      <c r="Q3782" s="256" t="inlineStr"/>
      <c r="R3782" s="256" t="inlineStr"/>
    </row>
    <row r="3783">
      <c r="A3783" s="256" t="inlineStr">
        <is>
          <t>CoQ-PP_26-165</t>
        </is>
      </c>
      <c r="B3783" s="256" t="inlineStr">
        <is>
          <t>reissue — retest</t>
        </is>
      </c>
      <c r="C3783" s="256" t="inlineStr">
        <is>
          <t>WED102501</t>
        </is>
      </c>
      <c r="D3783" s="256" t="inlineStr">
        <is>
          <t>P060102</t>
        </is>
      </c>
      <c r="E3783" s="256" t="inlineStr">
        <is>
          <t>Wedding Cake</t>
        </is>
      </c>
      <c r="F3783" s="256" t="inlineStr">
        <is>
          <t>21.09.2026</t>
        </is>
      </c>
      <c r="G3783" s="256" t="inlineStr">
        <is>
          <t>9.2</t>
        </is>
      </c>
      <c r="H3783" s="256" t="inlineStr">
        <is>
          <t>TYMC</t>
        </is>
      </c>
      <c r="I3783" s="256" t="inlineStr">
        <is>
          <t>Ph. Eur. 2.6.12 cat. C</t>
        </is>
      </c>
      <c r="J3783" s="256" t="inlineStr">
        <is>
          <t>≤ 10⁴ CFU/g</t>
        </is>
      </c>
      <c r="K3783" s="256" t="inlineStr">
        <is>
          <t>&lt; 10</t>
        </is>
      </c>
      <c r="L3783" s="256" t="inlineStr">
        <is>
          <t>551/1082/26</t>
        </is>
      </c>
      <c r="M3783" s="256" t="inlineStr">
        <is>
          <t>01.09.2026</t>
        </is>
      </c>
      <c r="N3783" s="256" t="inlineStr">
        <is>
          <t>IPH — Institute of Public Health</t>
        </is>
      </c>
      <c r="O3783" s="256" t="inlineStr">
        <is>
          <t>26.08.2026</t>
        </is>
      </c>
      <c r="P3783" s="256" t="inlineStr">
        <is>
          <t>covered</t>
        </is>
      </c>
      <c r="Q3783" s="256" t="inlineStr"/>
      <c r="R3783" s="256" t="inlineStr"/>
    </row>
    <row r="3784">
      <c r="A3784" s="256" t="inlineStr">
        <is>
          <t>CoQ-PP_26-165</t>
        </is>
      </c>
      <c r="B3784" s="256" t="inlineStr">
        <is>
          <t>reissue — retest</t>
        </is>
      </c>
      <c r="C3784" s="256" t="inlineStr">
        <is>
          <t>WED102501</t>
        </is>
      </c>
      <c r="D3784" s="256" t="inlineStr">
        <is>
          <t>P060102</t>
        </is>
      </c>
      <c r="E3784" s="256" t="inlineStr">
        <is>
          <t>Wedding Cake</t>
        </is>
      </c>
      <c r="F3784" s="256" t="inlineStr">
        <is>
          <t>21.09.2026</t>
        </is>
      </c>
      <c r="G3784" s="256" t="inlineStr">
        <is>
          <t>9.3</t>
        </is>
      </c>
      <c r="H3784" s="256" t="inlineStr">
        <is>
          <t>Bile-tolerant gram-neg.</t>
        </is>
      </c>
      <c r="I3784" s="256" t="inlineStr">
        <is>
          <t>Ph. Eur. 2.6.31 cat. C</t>
        </is>
      </c>
      <c r="J3784" s="256" t="inlineStr">
        <is>
          <t>≤ 10⁴ CFU/g</t>
        </is>
      </c>
      <c r="K3784" s="256" t="inlineStr">
        <is>
          <t>&lt; 10</t>
        </is>
      </c>
      <c r="L3784" s="256" t="inlineStr">
        <is>
          <t>551/1082/26</t>
        </is>
      </c>
      <c r="M3784" s="256" t="inlineStr">
        <is>
          <t>01.09.2026</t>
        </is>
      </c>
      <c r="N3784" s="256" t="inlineStr">
        <is>
          <t>IPH — Institute of Public Health</t>
        </is>
      </c>
      <c r="O3784" s="256" t="inlineStr">
        <is>
          <t>26.08.2026</t>
        </is>
      </c>
      <c r="P3784" s="256" t="inlineStr">
        <is>
          <t>covered</t>
        </is>
      </c>
      <c r="Q3784" s="256" t="inlineStr"/>
      <c r="R3784" s="256" t="inlineStr"/>
    </row>
    <row r="3785">
      <c r="A3785" s="256" t="inlineStr">
        <is>
          <t>CoQ-PP_26-165</t>
        </is>
      </c>
      <c r="B3785" s="256" t="inlineStr">
        <is>
          <t>reissue — retest</t>
        </is>
      </c>
      <c r="C3785" s="256" t="inlineStr">
        <is>
          <t>WED102501</t>
        </is>
      </c>
      <c r="D3785" s="256" t="inlineStr">
        <is>
          <t>P060102</t>
        </is>
      </c>
      <c r="E3785" s="256" t="inlineStr">
        <is>
          <t>Wedding Cake</t>
        </is>
      </c>
      <c r="F3785" s="256" t="inlineStr">
        <is>
          <t>21.09.2026</t>
        </is>
      </c>
      <c r="G3785" s="256" t="inlineStr">
        <is>
          <t>9.4</t>
        </is>
      </c>
      <c r="H3785" s="256" t="inlineStr">
        <is>
          <t>Salmonella</t>
        </is>
      </c>
      <c r="I3785" s="256" t="inlineStr">
        <is>
          <t>Ph. Eur. 2.6.31 cat. C</t>
        </is>
      </c>
      <c r="J3785" s="256" t="inlineStr">
        <is>
          <t>Absence | Отсуство / 25 g</t>
        </is>
      </c>
      <c r="K3785" s="256" t="inlineStr">
        <is>
          <t>Absent | Отсутна</t>
        </is>
      </c>
      <c r="L3785" s="256" t="inlineStr">
        <is>
          <t>551/1082/26</t>
        </is>
      </c>
      <c r="M3785" s="256" t="inlineStr">
        <is>
          <t>01.09.2026</t>
        </is>
      </c>
      <c r="N3785" s="256" t="inlineStr">
        <is>
          <t>IPH — Institute of Public Health</t>
        </is>
      </c>
      <c r="O3785" s="256" t="inlineStr">
        <is>
          <t>26.08.2026</t>
        </is>
      </c>
      <c r="P3785" s="256" t="inlineStr">
        <is>
          <t>covered</t>
        </is>
      </c>
      <c r="Q3785" s="256" t="inlineStr"/>
      <c r="R3785" s="256" t="inlineStr"/>
    </row>
    <row r="3786">
      <c r="A3786" s="256" t="inlineStr">
        <is>
          <t>CoQ-PP_26-165</t>
        </is>
      </c>
      <c r="B3786" s="256" t="inlineStr">
        <is>
          <t>reissue — retest</t>
        </is>
      </c>
      <c r="C3786" s="256" t="inlineStr">
        <is>
          <t>WED102501</t>
        </is>
      </c>
      <c r="D3786" s="256" t="inlineStr">
        <is>
          <t>P060102</t>
        </is>
      </c>
      <c r="E3786" s="256" t="inlineStr">
        <is>
          <t>Wedding Cake</t>
        </is>
      </c>
      <c r="F3786" s="256" t="inlineStr">
        <is>
          <t>21.09.2026</t>
        </is>
      </c>
      <c r="G3786" s="256" t="inlineStr">
        <is>
          <t>9.5</t>
        </is>
      </c>
      <c r="H3786" s="256" t="inlineStr">
        <is>
          <t>Escherichia coli</t>
        </is>
      </c>
      <c r="I3786" s="256" t="inlineStr">
        <is>
          <t>Ph. Eur. 2.6.13 cat. C</t>
        </is>
      </c>
      <c r="J3786" s="256" t="inlineStr">
        <is>
          <t>Absence | Отсуство / 1 g</t>
        </is>
      </c>
      <c r="K3786" s="256" t="inlineStr">
        <is>
          <t>Absent | Отсутна</t>
        </is>
      </c>
      <c r="L3786" s="256" t="inlineStr">
        <is>
          <t>551/1082/26</t>
        </is>
      </c>
      <c r="M3786" s="256" t="inlineStr">
        <is>
          <t>01.09.2026</t>
        </is>
      </c>
      <c r="N3786" s="256" t="inlineStr">
        <is>
          <t>IPH — Institute of Public Health</t>
        </is>
      </c>
      <c r="O3786" s="256" t="inlineStr">
        <is>
          <t>26.08.2026</t>
        </is>
      </c>
      <c r="P3786" s="256" t="inlineStr">
        <is>
          <t>covered</t>
        </is>
      </c>
      <c r="Q3786" s="256" t="inlineStr"/>
      <c r="R3786" s="256" t="inlineStr"/>
    </row>
    <row r="3787">
      <c r="A3787" s="256" t="inlineStr">
        <is>
          <t>CoQ-PP_26-165</t>
        </is>
      </c>
      <c r="B3787" s="256" t="inlineStr">
        <is>
          <t>reissue — retest</t>
        </is>
      </c>
      <c r="C3787" s="256" t="inlineStr">
        <is>
          <t>WED102501</t>
        </is>
      </c>
      <c r="D3787" s="256" t="inlineStr">
        <is>
          <t>P060102</t>
        </is>
      </c>
      <c r="E3787" s="256" t="inlineStr">
        <is>
          <t>Wedding Cake</t>
        </is>
      </c>
      <c r="F3787" s="256" t="inlineStr">
        <is>
          <t>21.09.2026</t>
        </is>
      </c>
      <c r="G3787" s="256" t="inlineStr">
        <is>
          <t>9.6</t>
        </is>
      </c>
      <c r="H3787" s="256" t="inlineStr">
        <is>
          <t>Pseudomonas aeruginosa</t>
        </is>
      </c>
      <c r="I3787" s="256" t="inlineStr">
        <is>
          <t>Ph. Eur. 2.6.13 cat. C</t>
        </is>
      </c>
      <c r="J3787" s="256" t="inlineStr">
        <is>
          <t>Absence | Отсуство / 1 g</t>
        </is>
      </c>
      <c r="K3787" s="260" t="inlineStr">
        <is>
          <t>upon request — not required for release</t>
        </is>
      </c>
      <c r="L3787" s="256" t="inlineStr">
        <is>
          <t>—</t>
        </is>
      </c>
      <c r="M3787" s="256" t="inlineStr">
        <is>
          <t>—</t>
        </is>
      </c>
      <c r="N3787" s="256" t="inlineStr">
        <is>
          <t>—</t>
        </is>
      </c>
      <c r="O3787" s="256" t="inlineStr">
        <is>
          <t>—</t>
        </is>
      </c>
      <c r="P3787" s="256" t="inlineStr">
        <is>
          <t>upon request — not required for release</t>
        </is>
      </c>
      <c r="Q3787" s="256" t="inlineStr"/>
      <c r="R3787" s="256" t="inlineStr"/>
    </row>
    <row r="3788">
      <c r="A3788" s="256" t="inlineStr">
        <is>
          <t>CoQ-PP_26-165</t>
        </is>
      </c>
      <c r="B3788" s="256" t="inlineStr">
        <is>
          <t>reissue — retest</t>
        </is>
      </c>
      <c r="C3788" s="256" t="inlineStr">
        <is>
          <t>WED102501</t>
        </is>
      </c>
      <c r="D3788" s="256" t="inlineStr">
        <is>
          <t>P060102</t>
        </is>
      </c>
      <c r="E3788" s="256" t="inlineStr">
        <is>
          <t>Wedding Cake</t>
        </is>
      </c>
      <c r="F3788" s="256" t="inlineStr">
        <is>
          <t>21.09.2026</t>
        </is>
      </c>
      <c r="G3788" s="256" t="inlineStr">
        <is>
          <t>9.7</t>
        </is>
      </c>
      <c r="H3788" s="256" t="inlineStr">
        <is>
          <t>Staphylococcus aureus</t>
        </is>
      </c>
      <c r="I3788" s="256" t="inlineStr">
        <is>
          <t>Ph. Eur. 2.6.13 cat. C</t>
        </is>
      </c>
      <c r="J3788" s="256" t="inlineStr">
        <is>
          <t>Absence | Отсуство / 1 g</t>
        </is>
      </c>
      <c r="K3788" s="260" t="inlineStr">
        <is>
          <t>upon request — not required for release</t>
        </is>
      </c>
      <c r="L3788" s="256" t="inlineStr">
        <is>
          <t>—</t>
        </is>
      </c>
      <c r="M3788" s="256" t="inlineStr">
        <is>
          <t>—</t>
        </is>
      </c>
      <c r="N3788" s="256" t="inlineStr">
        <is>
          <t>—</t>
        </is>
      </c>
      <c r="O3788" s="256" t="inlineStr">
        <is>
          <t>—</t>
        </is>
      </c>
      <c r="P3788" s="256" t="inlineStr">
        <is>
          <t>upon request — not required for release</t>
        </is>
      </c>
      <c r="Q3788" s="256" t="inlineStr"/>
      <c r="R3788" s="256" t="inlineStr"/>
    </row>
    <row r="3789">
      <c r="A3789" s="256" t="inlineStr">
        <is>
          <t>CoQ-PP_26-165</t>
        </is>
      </c>
      <c r="B3789" s="256" t="inlineStr">
        <is>
          <t>reissue — retest</t>
        </is>
      </c>
      <c r="C3789" s="256" t="inlineStr">
        <is>
          <t>WED102501</t>
        </is>
      </c>
      <c r="D3789" s="256" t="inlineStr">
        <is>
          <t>P060102</t>
        </is>
      </c>
      <c r="E3789" s="256" t="inlineStr">
        <is>
          <t>Wedding Cake</t>
        </is>
      </c>
      <c r="F3789" s="256" t="inlineStr">
        <is>
          <t>21.09.2026</t>
        </is>
      </c>
      <c r="G3789" s="256" t="inlineStr">
        <is>
          <t>10.1</t>
        </is>
      </c>
      <c r="H3789" s="256" t="inlineStr">
        <is>
          <t>Aflatoxin B₁</t>
        </is>
      </c>
      <c r="I3789" s="256" t="inlineStr">
        <is>
          <t>Ph. Eur. 2.8.18 (HPLC-FLD)</t>
        </is>
      </c>
      <c r="J3789" s="256" t="inlineStr">
        <is>
          <t>≤ 2 µg/kg</t>
        </is>
      </c>
      <c r="K3789" s="256" t="inlineStr">
        <is>
          <t>ND</t>
        </is>
      </c>
      <c r="L3789" s="256" t="inlineStr">
        <is>
          <t>227-4-М/26</t>
        </is>
      </c>
      <c r="M3789" s="256" t="inlineStr">
        <is>
          <t>16.09.2026</t>
        </is>
      </c>
      <c r="N3789" s="256" t="inlineStr">
        <is>
          <t>Farmahem</t>
        </is>
      </c>
      <c r="O3789" s="256" t="inlineStr">
        <is>
          <t>—</t>
        </is>
      </c>
      <c r="P3789" s="256" t="inlineStr">
        <is>
          <t>covered</t>
        </is>
      </c>
      <c r="Q3789" s="256" t="inlineStr"/>
      <c r="R3789" s="256" t="inlineStr"/>
    </row>
    <row r="3790">
      <c r="A3790" s="256" t="inlineStr">
        <is>
          <t>CoQ-PP_26-165</t>
        </is>
      </c>
      <c r="B3790" s="256" t="inlineStr">
        <is>
          <t>reissue — retest</t>
        </is>
      </c>
      <c r="C3790" s="256" t="inlineStr">
        <is>
          <t>WED102501</t>
        </is>
      </c>
      <c r="D3790" s="256" t="inlineStr">
        <is>
          <t>P060102</t>
        </is>
      </c>
      <c r="E3790" s="256" t="inlineStr">
        <is>
          <t>Wedding Cake</t>
        </is>
      </c>
      <c r="F3790" s="256" t="inlineStr">
        <is>
          <t>21.09.2026</t>
        </is>
      </c>
      <c r="G3790" s="256" t="inlineStr">
        <is>
          <t>10.2</t>
        </is>
      </c>
      <c r="H3790" s="256" t="inlineStr">
        <is>
          <t>Aflatoxins ∑</t>
        </is>
      </c>
      <c r="I3790" s="256" t="inlineStr">
        <is>
          <t>Ph. Eur. 2.8.18 (HPLC-FLD)</t>
        </is>
      </c>
      <c r="J3790" s="256" t="inlineStr">
        <is>
          <t>≤ 4 µg/kg</t>
        </is>
      </c>
      <c r="K3790" s="256" t="inlineStr">
        <is>
          <t>ND</t>
        </is>
      </c>
      <c r="L3790" s="256" t="inlineStr">
        <is>
          <t>227-4-М/26</t>
        </is>
      </c>
      <c r="M3790" s="256" t="inlineStr">
        <is>
          <t>16.09.2026</t>
        </is>
      </c>
      <c r="N3790" s="256" t="inlineStr">
        <is>
          <t>Farmahem</t>
        </is>
      </c>
      <c r="O3790" s="256" t="inlineStr">
        <is>
          <t>—</t>
        </is>
      </c>
      <c r="P3790" s="256" t="inlineStr">
        <is>
          <t>covered</t>
        </is>
      </c>
      <c r="Q3790" s="256" t="inlineStr"/>
      <c r="R3790" s="256" t="inlineStr"/>
    </row>
    <row r="3791">
      <c r="A3791" s="256" t="inlineStr">
        <is>
          <t>CoQ-PP_26-165</t>
        </is>
      </c>
      <c r="B3791" s="256" t="inlineStr">
        <is>
          <t>reissue — retest</t>
        </is>
      </c>
      <c r="C3791" s="256" t="inlineStr">
        <is>
          <t>WED102501</t>
        </is>
      </c>
      <c r="D3791" s="256" t="inlineStr">
        <is>
          <t>P060102</t>
        </is>
      </c>
      <c r="E3791" s="256" t="inlineStr">
        <is>
          <t>Wedding Cake</t>
        </is>
      </c>
      <c r="F3791" s="256" t="inlineStr">
        <is>
          <t>21.09.2026</t>
        </is>
      </c>
      <c r="G3791" s="256" t="inlineStr">
        <is>
          <t>10.3</t>
        </is>
      </c>
      <c r="H3791" s="256" t="inlineStr">
        <is>
          <t>Ochratoxin A</t>
        </is>
      </c>
      <c r="I3791" s="256" t="inlineStr">
        <is>
          <t>Ph. Eur. 2.8.22 (HPLC-FLD)</t>
        </is>
      </c>
      <c r="J3791" s="256" t="inlineStr">
        <is>
          <t>≤ 20 µg/kg</t>
        </is>
      </c>
      <c r="K3791" s="256" t="inlineStr">
        <is>
          <t>ND</t>
        </is>
      </c>
      <c r="L3791" s="256" t="inlineStr">
        <is>
          <t>227-4-М/26</t>
        </is>
      </c>
      <c r="M3791" s="256" t="inlineStr">
        <is>
          <t>16.09.2026</t>
        </is>
      </c>
      <c r="N3791" s="256" t="inlineStr">
        <is>
          <t>Farmahem</t>
        </is>
      </c>
      <c r="O3791" s="256" t="inlineStr">
        <is>
          <t>—</t>
        </is>
      </c>
      <c r="P3791" s="256" t="inlineStr">
        <is>
          <t>covered</t>
        </is>
      </c>
      <c r="Q3791" s="256" t="inlineStr"/>
      <c r="R3791" s="256" t="inlineStr"/>
    </row>
    <row r="3792">
      <c r="A3792" s="256" t="inlineStr">
        <is>
          <t>CoQ-PP_26-165</t>
        </is>
      </c>
      <c r="B3792" s="256" t="inlineStr">
        <is>
          <t>reissue — retest</t>
        </is>
      </c>
      <c r="C3792" s="256" t="inlineStr">
        <is>
          <t>WED102501</t>
        </is>
      </c>
      <c r="D3792" s="256" t="inlineStr">
        <is>
          <t>P060102</t>
        </is>
      </c>
      <c r="E3792" s="256" t="inlineStr">
        <is>
          <t>Wedding Cake</t>
        </is>
      </c>
      <c r="F3792" s="256" t="inlineStr">
        <is>
          <t>21.09.2026</t>
        </is>
      </c>
      <c r="G3792" s="256" t="inlineStr">
        <is>
          <t>11.1</t>
        </is>
      </c>
      <c r="H3792" s="256" t="inlineStr">
        <is>
          <t>Lead (Pb)</t>
        </is>
      </c>
      <c r="I3792" s="256" t="inlineStr">
        <is>
          <t>Ph. Eur. 2.4.27 (ICP-MS)</t>
        </is>
      </c>
      <c r="J3792" s="256" t="inlineStr">
        <is>
          <t>≤ 0.5 mg/kg</t>
        </is>
      </c>
      <c r="K3792" s="256" t="inlineStr">
        <is>
          <t>carried from the initial testing — not tested</t>
        </is>
      </c>
      <c r="L3792" s="256" t="inlineStr">
        <is>
          <t>—</t>
        </is>
      </c>
      <c r="M3792" s="256" t="inlineStr">
        <is>
          <t>—</t>
        </is>
      </c>
      <c r="N3792" s="256" t="inlineStr">
        <is>
          <t>—</t>
        </is>
      </c>
      <c r="O3792" s="256" t="inlineStr">
        <is>
          <t>—</t>
        </is>
      </c>
      <c r="P3792" s="256" t="inlineStr">
        <is>
          <t>carried from the initial testing (the batch's initial CoQ (number assigned on issue)) — not tested — no certificate covers it</t>
        </is>
      </c>
      <c r="Q3792" s="256" t="inlineStr"/>
      <c r="R3792" s="256" t="inlineStr"/>
    </row>
    <row r="3793">
      <c r="A3793" s="256" t="inlineStr">
        <is>
          <t>CoQ-PP_26-165</t>
        </is>
      </c>
      <c r="B3793" s="256" t="inlineStr">
        <is>
          <t>reissue — retest</t>
        </is>
      </c>
      <c r="C3793" s="256" t="inlineStr">
        <is>
          <t>WED102501</t>
        </is>
      </c>
      <c r="D3793" s="256" t="inlineStr">
        <is>
          <t>P060102</t>
        </is>
      </c>
      <c r="E3793" s="256" t="inlineStr">
        <is>
          <t>Wedding Cake</t>
        </is>
      </c>
      <c r="F3793" s="256" t="inlineStr">
        <is>
          <t>21.09.2026</t>
        </is>
      </c>
      <c r="G3793" s="256" t="inlineStr">
        <is>
          <t>11.2</t>
        </is>
      </c>
      <c r="H3793" s="256" t="inlineStr">
        <is>
          <t>Cadmium (Cd)</t>
        </is>
      </c>
      <c r="I3793" s="256" t="inlineStr">
        <is>
          <t>Ph. Eur. 2.4.27 (ICP-MS)</t>
        </is>
      </c>
      <c r="J3793" s="256" t="inlineStr">
        <is>
          <t>≤ 0.3 mg/kg</t>
        </is>
      </c>
      <c r="K3793" s="256" t="inlineStr">
        <is>
          <t>carried from the initial testing — not tested</t>
        </is>
      </c>
      <c r="L3793" s="256" t="inlineStr">
        <is>
          <t>—</t>
        </is>
      </c>
      <c r="M3793" s="256" t="inlineStr">
        <is>
          <t>—</t>
        </is>
      </c>
      <c r="N3793" s="256" t="inlineStr">
        <is>
          <t>—</t>
        </is>
      </c>
      <c r="O3793" s="256" t="inlineStr">
        <is>
          <t>—</t>
        </is>
      </c>
      <c r="P3793" s="256" t="inlineStr">
        <is>
          <t>carried from the initial testing (the batch's initial CoQ (number assigned on issue)) — not tested — no certificate covers it</t>
        </is>
      </c>
      <c r="Q3793" s="256" t="inlineStr"/>
      <c r="R3793" s="256" t="inlineStr"/>
    </row>
    <row r="3794">
      <c r="A3794" s="256" t="inlineStr">
        <is>
          <t>CoQ-PP_26-165</t>
        </is>
      </c>
      <c r="B3794" s="256" t="inlineStr">
        <is>
          <t>reissue — retest</t>
        </is>
      </c>
      <c r="C3794" s="256" t="inlineStr">
        <is>
          <t>WED102501</t>
        </is>
      </c>
      <c r="D3794" s="256" t="inlineStr">
        <is>
          <t>P060102</t>
        </is>
      </c>
      <c r="E3794" s="256" t="inlineStr">
        <is>
          <t>Wedding Cake</t>
        </is>
      </c>
      <c r="F3794" s="256" t="inlineStr">
        <is>
          <t>21.09.2026</t>
        </is>
      </c>
      <c r="G3794" s="256" t="inlineStr">
        <is>
          <t>11.3</t>
        </is>
      </c>
      <c r="H3794" s="256" t="inlineStr">
        <is>
          <t>Arsenic (As)</t>
        </is>
      </c>
      <c r="I3794" s="256" t="inlineStr">
        <is>
          <t>Ph. Eur. 2.4.27 (ICP-MS)</t>
        </is>
      </c>
      <c r="J3794" s="256" t="inlineStr">
        <is>
          <t>≤ 0.2 mg/kg</t>
        </is>
      </c>
      <c r="K3794" s="256" t="inlineStr">
        <is>
          <t>carried from the initial testing — not tested</t>
        </is>
      </c>
      <c r="L3794" s="256" t="inlineStr">
        <is>
          <t>—</t>
        </is>
      </c>
      <c r="M3794" s="256" t="inlineStr">
        <is>
          <t>—</t>
        </is>
      </c>
      <c r="N3794" s="256" t="inlineStr">
        <is>
          <t>—</t>
        </is>
      </c>
      <c r="O3794" s="256" t="inlineStr">
        <is>
          <t>—</t>
        </is>
      </c>
      <c r="P3794" s="256" t="inlineStr">
        <is>
          <t>carried from the initial testing (the batch's initial CoQ (number assigned on issue)) — not tested — no certificate covers it</t>
        </is>
      </c>
      <c r="Q3794" s="256" t="inlineStr"/>
      <c r="R3794" s="256" t="inlineStr"/>
    </row>
    <row r="3795">
      <c r="A3795" s="256" t="inlineStr">
        <is>
          <t>CoQ-PP_26-165</t>
        </is>
      </c>
      <c r="B3795" s="256" t="inlineStr">
        <is>
          <t>reissue — retest</t>
        </is>
      </c>
      <c r="C3795" s="256" t="inlineStr">
        <is>
          <t>WED102501</t>
        </is>
      </c>
      <c r="D3795" s="256" t="inlineStr">
        <is>
          <t>P060102</t>
        </is>
      </c>
      <c r="E3795" s="256" t="inlineStr">
        <is>
          <t>Wedding Cake</t>
        </is>
      </c>
      <c r="F3795" s="256" t="inlineStr">
        <is>
          <t>21.09.2026</t>
        </is>
      </c>
      <c r="G3795" s="256" t="inlineStr">
        <is>
          <t>11.4</t>
        </is>
      </c>
      <c r="H3795" s="256" t="inlineStr">
        <is>
          <t>Mercury (Hg)</t>
        </is>
      </c>
      <c r="I3795" s="256" t="inlineStr">
        <is>
          <t>Ph. Eur. 2.4.27 (ICP-MS)</t>
        </is>
      </c>
      <c r="J3795" s="256" t="inlineStr">
        <is>
          <t>≤ 0.1 mg/kg</t>
        </is>
      </c>
      <c r="K3795" s="256" t="inlineStr">
        <is>
          <t>carried from the initial testing — not tested</t>
        </is>
      </c>
      <c r="L3795" s="256" t="inlineStr">
        <is>
          <t>—</t>
        </is>
      </c>
      <c r="M3795" s="256" t="inlineStr">
        <is>
          <t>—</t>
        </is>
      </c>
      <c r="N3795" s="256" t="inlineStr">
        <is>
          <t>—</t>
        </is>
      </c>
      <c r="O3795" s="256" t="inlineStr">
        <is>
          <t>—</t>
        </is>
      </c>
      <c r="P3795" s="256" t="inlineStr">
        <is>
          <t>carried from the initial testing (the batch's initial CoQ (number assigned on issue)) — not tested — no certificate covers it</t>
        </is>
      </c>
      <c r="Q3795" s="256" t="inlineStr"/>
      <c r="R3795" s="256" t="inlineStr"/>
    </row>
    <row r="3796">
      <c r="A3796" s="256" t="inlineStr">
        <is>
          <t>CoQ-PP_26-165</t>
        </is>
      </c>
      <c r="B3796" s="256" t="inlineStr">
        <is>
          <t>reissue — retest</t>
        </is>
      </c>
      <c r="C3796" s="256" t="inlineStr">
        <is>
          <t>WED102501</t>
        </is>
      </c>
      <c r="D3796" s="256" t="inlineStr">
        <is>
          <t>P060102</t>
        </is>
      </c>
      <c r="E3796" s="256" t="inlineStr">
        <is>
          <t>Wedding Cake</t>
        </is>
      </c>
      <c r="F3796" s="256" t="inlineStr">
        <is>
          <t>21.09.2026</t>
        </is>
      </c>
      <c r="G3796" s="256" t="inlineStr">
        <is>
          <t>12</t>
        </is>
      </c>
      <c r="H3796" s="256" t="inlineStr">
        <is>
          <t>Pesticide Residues</t>
        </is>
      </c>
      <c r="I3796" s="256" t="inlineStr">
        <is>
          <t>Ph. Eur. 2.8.13 (LC-MS/MS) · CUMCS Equivalency</t>
        </is>
      </c>
      <c r="J3796" s="256" t="inlineStr">
        <is>
          <t>≤ LOQ as per Ph. Eur. 2.8.13 · ≤ LOQ as per CUMCS Equivalency</t>
        </is>
      </c>
      <c r="K3796" s="256" t="inlineStr">
        <is>
          <t>carried from the initial testing — not tested</t>
        </is>
      </c>
      <c r="L3796" s="256" t="inlineStr">
        <is>
          <t>—</t>
        </is>
      </c>
      <c r="M3796" s="256" t="inlineStr">
        <is>
          <t>—</t>
        </is>
      </c>
      <c r="N3796" s="256" t="inlineStr">
        <is>
          <t>—</t>
        </is>
      </c>
      <c r="O3796" s="256" t="inlineStr">
        <is>
          <t>—</t>
        </is>
      </c>
      <c r="P3796" s="256" t="inlineStr">
        <is>
          <t>carried from the initial testing (the batch's initial CoQ (number assigned on issue)) — not tested — no certificate covers it</t>
        </is>
      </c>
      <c r="Q3796" s="256" t="inlineStr"/>
      <c r="R3796" s="256" t="inlineStr"/>
    </row>
    <row r="3797">
      <c r="A3797" s="256" t="inlineStr">
        <is>
          <t>CoQ-PP_26-166</t>
        </is>
      </c>
      <c r="B3797" s="256" t="inlineStr">
        <is>
          <t>release</t>
        </is>
      </c>
      <c r="C3797" s="256" t="inlineStr">
        <is>
          <t>CC042601</t>
        </is>
      </c>
      <c r="D3797" s="256" t="inlineStr">
        <is>
          <t>— no P lot assigned —</t>
        </is>
      </c>
      <c r="E3797" s="256" t="inlineStr">
        <is>
          <t>Cash Cow</t>
        </is>
      </c>
      <c r="F3797" s="256" t="inlineStr">
        <is>
          <t>≥ 11.05.2026 (floor — not yet dated)</t>
        </is>
      </c>
      <c r="G3797" s="256" t="inlineStr">
        <is>
          <t>1</t>
        </is>
      </c>
      <c r="H3797" s="256" t="inlineStr">
        <is>
          <t>Identification A, Appearance · Macroscopic</t>
        </is>
      </c>
      <c r="I3797" s="256" t="inlineStr">
        <is>
          <t>Ph. Eur. mon. 3028</t>
        </is>
      </c>
      <c r="J3797" s="256" t="inlineStr">
        <is>
          <t>Conforms to the monograph for Cannabis flos (07/2024:3028) in Ph. Eur. 11.0 | Согласно монографија за Cannabis flos (07/2024:3028) во Ph. Eur. 11.0</t>
        </is>
      </c>
      <c r="K3797" s="259" t="inlineStr">
        <is>
          <t>to be performed (in house)</t>
        </is>
      </c>
      <c r="L3797" s="256" t="inlineStr">
        <is>
          <t>iCoA-PP_26-090</t>
        </is>
      </c>
      <c r="M3797" s="256" t="inlineStr">
        <is>
          <t>03.06.2026</t>
        </is>
      </c>
      <c r="N3797" s="256" t="inlineStr">
        <is>
          <t>Purely Plant GmbH (in-house)</t>
        </is>
      </c>
      <c r="O3797" s="256" t="inlineStr">
        <is>
          <t>—</t>
        </is>
      </c>
      <c r="P3797" s="256" t="inlineStr">
        <is>
          <t>to be performed — see route</t>
        </is>
      </c>
      <c r="Q3797" s="256" t="inlineStr">
        <is>
          <t>Purely Plant laboratory — iCoA covering Ident A + B</t>
        </is>
      </c>
      <c r="R3797" s="256" t="inlineStr"/>
    </row>
    <row r="3798">
      <c r="A3798" s="256" t="inlineStr">
        <is>
          <t>CoQ-PP_26-166</t>
        </is>
      </c>
      <c r="B3798" s="256" t="inlineStr">
        <is>
          <t>release</t>
        </is>
      </c>
      <c r="C3798" s="256" t="inlineStr">
        <is>
          <t>CC042601</t>
        </is>
      </c>
      <c r="D3798" s="256" t="inlineStr">
        <is>
          <t>— no P lot assigned —</t>
        </is>
      </c>
      <c r="E3798" s="256" t="inlineStr">
        <is>
          <t>Cash Cow</t>
        </is>
      </c>
      <c r="F3798" s="256" t="inlineStr">
        <is>
          <t>≥ 11.05.2026 (floor — not yet dated)</t>
        </is>
      </c>
      <c r="G3798" s="256" t="inlineStr">
        <is>
          <t>2</t>
        </is>
      </c>
      <c r="H3798" s="256" t="inlineStr">
        <is>
          <t>Identification B · Microscopic</t>
        </is>
      </c>
      <c r="I3798" s="256" t="inlineStr">
        <is>
          <t>Ph. Eur. 2.8.23 (microscopy)</t>
        </is>
      </c>
      <c r="J3798" s="256" t="inlineStr">
        <is>
          <t>Conforms to the monograph for Cannabis flos (07/2024:3028) in Ph. Eur. 11.0 | Согласно монографија за Cannabis flos (07/2024:3028) во Ph. Eur. 11.0</t>
        </is>
      </c>
      <c r="K3798" s="259" t="inlineStr">
        <is>
          <t>to be performed (in house)</t>
        </is>
      </c>
      <c r="L3798" s="256" t="inlineStr">
        <is>
          <t>iCoA-PP_26-090</t>
        </is>
      </c>
      <c r="M3798" s="256" t="inlineStr">
        <is>
          <t>03.06.2026</t>
        </is>
      </c>
      <c r="N3798" s="256" t="inlineStr">
        <is>
          <t>Purely Plant GmbH (in-house)</t>
        </is>
      </c>
      <c r="O3798" s="256" t="inlineStr">
        <is>
          <t>—</t>
        </is>
      </c>
      <c r="P3798" s="256" t="inlineStr">
        <is>
          <t>to be performed — see route</t>
        </is>
      </c>
      <c r="Q3798" s="256" t="inlineStr">
        <is>
          <t>Purely Plant laboratory — iCoA covering Ident A + B</t>
        </is>
      </c>
      <c r="R3798" s="256" t="inlineStr"/>
    </row>
    <row r="3799">
      <c r="A3799" s="256" t="inlineStr">
        <is>
          <t>CoQ-PP_26-166</t>
        </is>
      </c>
      <c r="B3799" s="256" t="inlineStr">
        <is>
          <t>release</t>
        </is>
      </c>
      <c r="C3799" s="256" t="inlineStr">
        <is>
          <t>CC042601</t>
        </is>
      </c>
      <c r="D3799" s="256" t="inlineStr">
        <is>
          <t>— no P lot assigned —</t>
        </is>
      </c>
      <c r="E3799" s="256" t="inlineStr">
        <is>
          <t>Cash Cow</t>
        </is>
      </c>
      <c r="F3799" s="256" t="inlineStr">
        <is>
          <t>≥ 11.05.2026 (floor — not yet dated)</t>
        </is>
      </c>
      <c r="G3799" s="256" t="inlineStr">
        <is>
          <t>3</t>
        </is>
      </c>
      <c r="H3799" s="256" t="inlineStr">
        <is>
          <t>Identification C · HPLC/HPTLC</t>
        </is>
      </c>
      <c r="I3799" s="256" t="inlineStr">
        <is>
          <t>Ph. Eur. 2.2.29 (3028)</t>
        </is>
      </c>
      <c r="J3799" s="256" t="inlineStr">
        <is>
          <t>Conforms to the monograph for Cannabis flos (07/2024:3028) in Ph. Eur. 11.0 | Согласно монографија за Cannabis flos (07/2024:3028) во Ph. Eur. 11.0</t>
        </is>
      </c>
      <c r="K3799" s="259" t="inlineStr">
        <is>
          <t>to be performed (in house)</t>
        </is>
      </c>
      <c r="L3799" s="256" t="inlineStr">
        <is>
          <t>—</t>
        </is>
      </c>
      <c r="M3799" s="256" t="inlineStr">
        <is>
          <t>—</t>
        </is>
      </c>
      <c r="N3799" s="256" t="inlineStr">
        <is>
          <t>—</t>
        </is>
      </c>
      <c r="O3799" s="256" t="inlineStr">
        <is>
          <t>—</t>
        </is>
      </c>
      <c r="P3799" s="256" t="inlineStr">
        <is>
          <t>to be performed — see route</t>
        </is>
      </c>
      <c r="Q3799" s="256" t="inlineStr">
        <is>
          <t>outside laboratory — the HPLC cannabinoid certificate discharges Ident C (Farmahem -K- or CNP); in-house iCoA P03 only where none exists</t>
        </is>
      </c>
      <c r="R3799" s="256" t="inlineStr"/>
    </row>
    <row r="3800">
      <c r="A3800" s="256" t="inlineStr">
        <is>
          <t>CoQ-PP_26-166</t>
        </is>
      </c>
      <c r="B3800" s="256" t="inlineStr">
        <is>
          <t>release</t>
        </is>
      </c>
      <c r="C3800" s="256" t="inlineStr">
        <is>
          <t>CC042601</t>
        </is>
      </c>
      <c r="D3800" s="256" t="inlineStr">
        <is>
          <t>— no P lot assigned —</t>
        </is>
      </c>
      <c r="E3800" s="256" t="inlineStr">
        <is>
          <t>Cash Cow</t>
        </is>
      </c>
      <c r="F3800" s="256" t="inlineStr">
        <is>
          <t>≥ 11.05.2026 (floor — not yet dated)</t>
        </is>
      </c>
      <c r="G3800" s="256" t="inlineStr">
        <is>
          <t>4</t>
        </is>
      </c>
      <c r="H3800" s="256" t="inlineStr">
        <is>
          <t>Assay — Total Δ⁹-THC</t>
        </is>
      </c>
      <c r="I3800" s="256" t="inlineStr">
        <is>
          <t>Ph. Eur. 2.2.29 (HPLC)</t>
        </is>
      </c>
      <c r="J3800" s="256" t="inlineStr">
        <is>
          <t>Per grade of the potency specification of 15.09.2026 — no Total THC result on file</t>
        </is>
      </c>
      <c r="K3800" s="259" t="inlineStr">
        <is>
          <t>not tested</t>
        </is>
      </c>
      <c r="L3800" s="256" t="inlineStr">
        <is>
          <t>—</t>
        </is>
      </c>
      <c r="M3800" s="256" t="inlineStr">
        <is>
          <t>—</t>
        </is>
      </c>
      <c r="N3800" s="256" t="inlineStr">
        <is>
          <t>—</t>
        </is>
      </c>
      <c r="O3800" s="256" t="inlineStr">
        <is>
          <t>—</t>
        </is>
      </c>
      <c r="P3800" s="256" t="inlineStr">
        <is>
          <t>not tested — no certificate covers it</t>
        </is>
      </c>
      <c r="Q3800" s="256" t="inlineStr"/>
      <c r="R3800" s="256" t="inlineStr">
        <is>
          <t>14.90 (220-32-К/26)</t>
        </is>
      </c>
    </row>
    <row r="3801">
      <c r="A3801" s="256" t="inlineStr">
        <is>
          <t>CoQ-PP_26-166</t>
        </is>
      </c>
      <c r="B3801" s="256" t="inlineStr">
        <is>
          <t>release</t>
        </is>
      </c>
      <c r="C3801" s="256" t="inlineStr">
        <is>
          <t>CC042601</t>
        </is>
      </c>
      <c r="D3801" s="256" t="inlineStr">
        <is>
          <t>— no P lot assigned —</t>
        </is>
      </c>
      <c r="E3801" s="256" t="inlineStr">
        <is>
          <t>Cash Cow</t>
        </is>
      </c>
      <c r="F3801" s="256" t="inlineStr">
        <is>
          <t>≥ 11.05.2026 (floor — not yet dated)</t>
        </is>
      </c>
      <c r="G3801" s="256" t="inlineStr">
        <is>
          <t>5</t>
        </is>
      </c>
      <c r="H3801" s="256" t="inlineStr">
        <is>
          <t>Assay — Total CBD</t>
        </is>
      </c>
      <c r="I3801" s="256" t="inlineStr">
        <is>
          <t>Ph. Eur. 2.2.29 (HPLC) · CBD + CBDA x 0.877</t>
        </is>
      </c>
      <c r="J3801" s="256" t="inlineStr">
        <is>
          <t>≤ 1.0%, w/w</t>
        </is>
      </c>
      <c r="K3801" s="259" t="inlineStr">
        <is>
          <t>not tested</t>
        </is>
      </c>
      <c r="L3801" s="256" t="inlineStr">
        <is>
          <t>—</t>
        </is>
      </c>
      <c r="M3801" s="256" t="inlineStr">
        <is>
          <t>—</t>
        </is>
      </c>
      <c r="N3801" s="256" t="inlineStr">
        <is>
          <t>—</t>
        </is>
      </c>
      <c r="O3801" s="256" t="inlineStr">
        <is>
          <t>—</t>
        </is>
      </c>
      <c r="P3801" s="256" t="inlineStr">
        <is>
          <t>not tested — no certificate covers it</t>
        </is>
      </c>
      <c r="Q3801" s="256" t="inlineStr"/>
      <c r="R3801" s="256" t="inlineStr">
        <is>
          <t>&lt;LOQ (220-32-К/26)</t>
        </is>
      </c>
    </row>
    <row r="3802">
      <c r="A3802" s="256" t="inlineStr">
        <is>
          <t>CoQ-PP_26-166</t>
        </is>
      </c>
      <c r="B3802" s="256" t="inlineStr">
        <is>
          <t>release</t>
        </is>
      </c>
      <c r="C3802" s="256" t="inlineStr">
        <is>
          <t>CC042601</t>
        </is>
      </c>
      <c r="D3802" s="256" t="inlineStr">
        <is>
          <t>— no P lot assigned —</t>
        </is>
      </c>
      <c r="E3802" s="256" t="inlineStr">
        <is>
          <t>Cash Cow</t>
        </is>
      </c>
      <c r="F3802" s="256" t="inlineStr">
        <is>
          <t>≥ 11.05.2026 (floor — not yet dated)</t>
        </is>
      </c>
      <c r="G3802" s="256" t="inlineStr">
        <is>
          <t>6</t>
        </is>
      </c>
      <c r="H3802" s="256" t="inlineStr">
        <is>
          <t>Total CBN</t>
        </is>
      </c>
      <c r="I3802" s="256" t="inlineStr">
        <is>
          <t>Ph. Eur. 2.2.29 (HPLC) · CBN + CBNA x 0.876</t>
        </is>
      </c>
      <c r="J3802" s="256" t="inlineStr">
        <is>
          <t>≤ 1.0%, w/w</t>
        </is>
      </c>
      <c r="K3802" s="259" t="inlineStr">
        <is>
          <t>not tested</t>
        </is>
      </c>
      <c r="L3802" s="256" t="inlineStr">
        <is>
          <t>—</t>
        </is>
      </c>
      <c r="M3802" s="256" t="inlineStr">
        <is>
          <t>—</t>
        </is>
      </c>
      <c r="N3802" s="256" t="inlineStr">
        <is>
          <t>—</t>
        </is>
      </c>
      <c r="O3802" s="256" t="inlineStr">
        <is>
          <t>—</t>
        </is>
      </c>
      <c r="P3802" s="256" t="inlineStr">
        <is>
          <t>not tested — no certificate covers it</t>
        </is>
      </c>
      <c r="Q3802" s="256" t="inlineStr"/>
      <c r="R3802" s="256" t="inlineStr">
        <is>
          <t>&lt;LOQ (220-32-К/26)</t>
        </is>
      </c>
    </row>
    <row r="3803">
      <c r="A3803" s="256" t="inlineStr">
        <is>
          <t>CoQ-PP_26-166</t>
        </is>
      </c>
      <c r="B3803" s="256" t="inlineStr">
        <is>
          <t>release</t>
        </is>
      </c>
      <c r="C3803" s="256" t="inlineStr">
        <is>
          <t>CC042601</t>
        </is>
      </c>
      <c r="D3803" s="256" t="inlineStr">
        <is>
          <t>— no P lot assigned —</t>
        </is>
      </c>
      <c r="E3803" s="256" t="inlineStr">
        <is>
          <t>Cash Cow</t>
        </is>
      </c>
      <c r="F3803" s="256" t="inlineStr">
        <is>
          <t>≥ 11.05.2026 (floor — not yet dated)</t>
        </is>
      </c>
      <c r="G3803" s="256" t="inlineStr">
        <is>
          <t>7</t>
        </is>
      </c>
      <c r="H3803" s="256" t="inlineStr">
        <is>
          <t>Foreign Matter</t>
        </is>
      </c>
      <c r="I3803" s="256" t="inlineStr">
        <is>
          <t>Ph. Eur. 2.8.2 · In-house · интерна</t>
        </is>
      </c>
      <c r="J3803" s="256" t="inlineStr">
        <is>
          <t>≤ 2.0% / 25–50 g · &lt; 1 cm leaves | листови, no seeds | без семки</t>
        </is>
      </c>
      <c r="K3803" s="259" t="inlineStr">
        <is>
          <t>to be performed (in house)</t>
        </is>
      </c>
      <c r="L3803" s="256" t="inlineStr">
        <is>
          <t>iCoA-PP_26-090</t>
        </is>
      </c>
      <c r="M3803" s="256" t="inlineStr">
        <is>
          <t>03.06.2026</t>
        </is>
      </c>
      <c r="N3803" s="256" t="inlineStr">
        <is>
          <t>Purely Plant GmbH (in-house)</t>
        </is>
      </c>
      <c r="O3803" s="256" t="inlineStr">
        <is>
          <t>—</t>
        </is>
      </c>
      <c r="P3803" s="256" t="inlineStr">
        <is>
          <t>to be performed — see route</t>
        </is>
      </c>
      <c r="Q3803" s="256" t="inlineStr">
        <is>
          <t>Purely Plant laboratory — iCoA covering Foreign matter</t>
        </is>
      </c>
      <c r="R3803" s="256" t="inlineStr"/>
    </row>
    <row r="3804">
      <c r="A3804" s="256" t="inlineStr">
        <is>
          <t>CoQ-PP_26-166</t>
        </is>
      </c>
      <c r="B3804" s="256" t="inlineStr">
        <is>
          <t>release</t>
        </is>
      </c>
      <c r="C3804" s="256" t="inlineStr">
        <is>
          <t>CC042601</t>
        </is>
      </c>
      <c r="D3804" s="256" t="inlineStr">
        <is>
          <t>— no P lot assigned —</t>
        </is>
      </c>
      <c r="E3804" s="256" t="inlineStr">
        <is>
          <t>Cash Cow</t>
        </is>
      </c>
      <c r="F3804" s="256" t="inlineStr">
        <is>
          <t>≥ 11.05.2026 (floor — not yet dated)</t>
        </is>
      </c>
      <c r="G3804" s="256" t="inlineStr">
        <is>
          <t>8</t>
        </is>
      </c>
      <c r="H3804" s="256" t="inlineStr">
        <is>
          <t>Loss on Drying</t>
        </is>
      </c>
      <c r="I3804" s="256" t="inlineStr">
        <is>
          <t>Ph. Eur. 2.2.32 (3028) · at 40 °C, 24 h, 15–25 mbar</t>
        </is>
      </c>
      <c r="J3804" s="256" t="inlineStr">
        <is>
          <t>≤ 12.0%</t>
        </is>
      </c>
      <c r="K3804" s="259" t="inlineStr">
        <is>
          <t>not tested</t>
        </is>
      </c>
      <c r="L3804" s="256" t="inlineStr">
        <is>
          <t>—</t>
        </is>
      </c>
      <c r="M3804" s="256" t="inlineStr">
        <is>
          <t>—</t>
        </is>
      </c>
      <c r="N3804" s="256" t="inlineStr">
        <is>
          <t>—</t>
        </is>
      </c>
      <c r="O3804" s="256" t="inlineStr">
        <is>
          <t>—</t>
        </is>
      </c>
      <c r="P3804" s="256" t="inlineStr">
        <is>
          <t>not tested — no certificate covers it</t>
        </is>
      </c>
      <c r="Q3804" s="256" t="inlineStr"/>
      <c r="R3804" s="256" t="inlineStr"/>
    </row>
    <row r="3805">
      <c r="A3805" s="256" t="inlineStr">
        <is>
          <t>CoQ-PP_26-166</t>
        </is>
      </c>
      <c r="B3805" s="256" t="inlineStr">
        <is>
          <t>release</t>
        </is>
      </c>
      <c r="C3805" s="256" t="inlineStr">
        <is>
          <t>CC042601</t>
        </is>
      </c>
      <c r="D3805" s="256" t="inlineStr">
        <is>
          <t>— no P lot assigned —</t>
        </is>
      </c>
      <c r="E3805" s="256" t="inlineStr">
        <is>
          <t>Cash Cow</t>
        </is>
      </c>
      <c r="F3805" s="256" t="inlineStr">
        <is>
          <t>≥ 11.05.2026 (floor — not yet dated)</t>
        </is>
      </c>
      <c r="G3805" s="256" t="inlineStr">
        <is>
          <t>9.1</t>
        </is>
      </c>
      <c r="H3805" s="256" t="inlineStr">
        <is>
          <t>TAMC</t>
        </is>
      </c>
      <c r="I3805" s="256" t="inlineStr">
        <is>
          <t>Ph. Eur. 2.6.12 cat. C</t>
        </is>
      </c>
      <c r="J3805" s="256" t="inlineStr">
        <is>
          <t>≤ 10⁵ CFU/g</t>
        </is>
      </c>
      <c r="K3805" s="259" t="inlineStr">
        <is>
          <t>not tested</t>
        </is>
      </c>
      <c r="L3805" s="256" t="inlineStr">
        <is>
          <t>—</t>
        </is>
      </c>
      <c r="M3805" s="256" t="inlineStr">
        <is>
          <t>—</t>
        </is>
      </c>
      <c r="N3805" s="256" t="inlineStr">
        <is>
          <t>—</t>
        </is>
      </c>
      <c r="O3805" s="256" t="inlineStr">
        <is>
          <t>—</t>
        </is>
      </c>
      <c r="P3805" s="256" t="inlineStr">
        <is>
          <t>not tested — no certificate covers it</t>
        </is>
      </c>
      <c r="Q3805" s="256" t="inlineStr"/>
      <c r="R3805" s="256" t="inlineStr"/>
    </row>
    <row r="3806">
      <c r="A3806" s="256" t="inlineStr">
        <is>
          <t>CoQ-PP_26-166</t>
        </is>
      </c>
      <c r="B3806" s="256" t="inlineStr">
        <is>
          <t>release</t>
        </is>
      </c>
      <c r="C3806" s="256" t="inlineStr">
        <is>
          <t>CC042601</t>
        </is>
      </c>
      <c r="D3806" s="256" t="inlineStr">
        <is>
          <t>— no P lot assigned —</t>
        </is>
      </c>
      <c r="E3806" s="256" t="inlineStr">
        <is>
          <t>Cash Cow</t>
        </is>
      </c>
      <c r="F3806" s="256" t="inlineStr">
        <is>
          <t>≥ 11.05.2026 (floor — not yet dated)</t>
        </is>
      </c>
      <c r="G3806" s="256" t="inlineStr">
        <is>
          <t>9.2</t>
        </is>
      </c>
      <c r="H3806" s="256" t="inlineStr">
        <is>
          <t>TYMC</t>
        </is>
      </c>
      <c r="I3806" s="256" t="inlineStr">
        <is>
          <t>Ph. Eur. 2.6.12 cat. C</t>
        </is>
      </c>
      <c r="J3806" s="256" t="inlineStr">
        <is>
          <t>≤ 10⁴ CFU/g</t>
        </is>
      </c>
      <c r="K3806" s="259" t="inlineStr">
        <is>
          <t>not tested</t>
        </is>
      </c>
      <c r="L3806" s="256" t="inlineStr">
        <is>
          <t>—</t>
        </is>
      </c>
      <c r="M3806" s="256" t="inlineStr">
        <is>
          <t>—</t>
        </is>
      </c>
      <c r="N3806" s="256" t="inlineStr">
        <is>
          <t>—</t>
        </is>
      </c>
      <c r="O3806" s="256" t="inlineStr">
        <is>
          <t>—</t>
        </is>
      </c>
      <c r="P3806" s="256" t="inlineStr">
        <is>
          <t>not tested — no certificate covers it</t>
        </is>
      </c>
      <c r="Q3806" s="256" t="inlineStr"/>
      <c r="R3806" s="256" t="inlineStr"/>
    </row>
    <row r="3807">
      <c r="A3807" s="256" t="inlineStr">
        <is>
          <t>CoQ-PP_26-166</t>
        </is>
      </c>
      <c r="B3807" s="256" t="inlineStr">
        <is>
          <t>release</t>
        </is>
      </c>
      <c r="C3807" s="256" t="inlineStr">
        <is>
          <t>CC042601</t>
        </is>
      </c>
      <c r="D3807" s="256" t="inlineStr">
        <is>
          <t>— no P lot assigned —</t>
        </is>
      </c>
      <c r="E3807" s="256" t="inlineStr">
        <is>
          <t>Cash Cow</t>
        </is>
      </c>
      <c r="F3807" s="256" t="inlineStr">
        <is>
          <t>≥ 11.05.2026 (floor — not yet dated)</t>
        </is>
      </c>
      <c r="G3807" s="256" t="inlineStr">
        <is>
          <t>9.3</t>
        </is>
      </c>
      <c r="H3807" s="256" t="inlineStr">
        <is>
          <t>Bile-tolerant gram-neg.</t>
        </is>
      </c>
      <c r="I3807" s="256" t="inlineStr">
        <is>
          <t>Ph. Eur. 2.6.31 cat. C</t>
        </is>
      </c>
      <c r="J3807" s="256" t="inlineStr">
        <is>
          <t>≤ 10⁴ CFU/g</t>
        </is>
      </c>
      <c r="K3807" s="259" t="inlineStr">
        <is>
          <t>not tested</t>
        </is>
      </c>
      <c r="L3807" s="256" t="inlineStr">
        <is>
          <t>—</t>
        </is>
      </c>
      <c r="M3807" s="256" t="inlineStr">
        <is>
          <t>—</t>
        </is>
      </c>
      <c r="N3807" s="256" t="inlineStr">
        <is>
          <t>—</t>
        </is>
      </c>
      <c r="O3807" s="256" t="inlineStr">
        <is>
          <t>—</t>
        </is>
      </c>
      <c r="P3807" s="256" t="inlineStr">
        <is>
          <t>not tested — no certificate covers it</t>
        </is>
      </c>
      <c r="Q3807" s="256" t="inlineStr"/>
      <c r="R3807" s="256" t="inlineStr"/>
    </row>
    <row r="3808">
      <c r="A3808" s="256" t="inlineStr">
        <is>
          <t>CoQ-PP_26-166</t>
        </is>
      </c>
      <c r="B3808" s="256" t="inlineStr">
        <is>
          <t>release</t>
        </is>
      </c>
      <c r="C3808" s="256" t="inlineStr">
        <is>
          <t>CC042601</t>
        </is>
      </c>
      <c r="D3808" s="256" t="inlineStr">
        <is>
          <t>— no P lot assigned —</t>
        </is>
      </c>
      <c r="E3808" s="256" t="inlineStr">
        <is>
          <t>Cash Cow</t>
        </is>
      </c>
      <c r="F3808" s="256" t="inlineStr">
        <is>
          <t>≥ 11.05.2026 (floor — not yet dated)</t>
        </is>
      </c>
      <c r="G3808" s="256" t="inlineStr">
        <is>
          <t>9.4</t>
        </is>
      </c>
      <c r="H3808" s="256" t="inlineStr">
        <is>
          <t>Salmonella</t>
        </is>
      </c>
      <c r="I3808" s="256" t="inlineStr">
        <is>
          <t>Ph. Eur. 2.6.31 cat. C</t>
        </is>
      </c>
      <c r="J3808" s="256" t="inlineStr">
        <is>
          <t>Absence | Отсуство / 25 g</t>
        </is>
      </c>
      <c r="K3808" s="259" t="inlineStr">
        <is>
          <t>not tested</t>
        </is>
      </c>
      <c r="L3808" s="256" t="inlineStr">
        <is>
          <t>—</t>
        </is>
      </c>
      <c r="M3808" s="256" t="inlineStr">
        <is>
          <t>—</t>
        </is>
      </c>
      <c r="N3808" s="256" t="inlineStr">
        <is>
          <t>—</t>
        </is>
      </c>
      <c r="O3808" s="256" t="inlineStr">
        <is>
          <t>—</t>
        </is>
      </c>
      <c r="P3808" s="256" t="inlineStr">
        <is>
          <t>not tested — no certificate covers it</t>
        </is>
      </c>
      <c r="Q3808" s="256" t="inlineStr"/>
      <c r="R3808" s="256" t="inlineStr"/>
    </row>
    <row r="3809">
      <c r="A3809" s="256" t="inlineStr">
        <is>
          <t>CoQ-PP_26-166</t>
        </is>
      </c>
      <c r="B3809" s="256" t="inlineStr">
        <is>
          <t>release</t>
        </is>
      </c>
      <c r="C3809" s="256" t="inlineStr">
        <is>
          <t>CC042601</t>
        </is>
      </c>
      <c r="D3809" s="256" t="inlineStr">
        <is>
          <t>— no P lot assigned —</t>
        </is>
      </c>
      <c r="E3809" s="256" t="inlineStr">
        <is>
          <t>Cash Cow</t>
        </is>
      </c>
      <c r="F3809" s="256" t="inlineStr">
        <is>
          <t>≥ 11.05.2026 (floor — not yet dated)</t>
        </is>
      </c>
      <c r="G3809" s="256" t="inlineStr">
        <is>
          <t>9.5</t>
        </is>
      </c>
      <c r="H3809" s="256" t="inlineStr">
        <is>
          <t>Escherichia coli</t>
        </is>
      </c>
      <c r="I3809" s="256" t="inlineStr">
        <is>
          <t>Ph. Eur. 2.6.13 cat. C</t>
        </is>
      </c>
      <c r="J3809" s="256" t="inlineStr">
        <is>
          <t>Absence | Отсуство / 1 g</t>
        </is>
      </c>
      <c r="K3809" s="259" t="inlineStr">
        <is>
          <t>not tested</t>
        </is>
      </c>
      <c r="L3809" s="256" t="inlineStr">
        <is>
          <t>—</t>
        </is>
      </c>
      <c r="M3809" s="256" t="inlineStr">
        <is>
          <t>—</t>
        </is>
      </c>
      <c r="N3809" s="256" t="inlineStr">
        <is>
          <t>—</t>
        </is>
      </c>
      <c r="O3809" s="256" t="inlineStr">
        <is>
          <t>—</t>
        </is>
      </c>
      <c r="P3809" s="256" t="inlineStr">
        <is>
          <t>not tested — no certificate covers it</t>
        </is>
      </c>
      <c r="Q3809" s="256" t="inlineStr"/>
      <c r="R3809" s="256" t="inlineStr"/>
    </row>
    <row r="3810">
      <c r="A3810" s="256" t="inlineStr">
        <is>
          <t>CoQ-PP_26-166</t>
        </is>
      </c>
      <c r="B3810" s="256" t="inlineStr">
        <is>
          <t>release</t>
        </is>
      </c>
      <c r="C3810" s="256" t="inlineStr">
        <is>
          <t>CC042601</t>
        </is>
      </c>
      <c r="D3810" s="256" t="inlineStr">
        <is>
          <t>— no P lot assigned —</t>
        </is>
      </c>
      <c r="E3810" s="256" t="inlineStr">
        <is>
          <t>Cash Cow</t>
        </is>
      </c>
      <c r="F3810" s="256" t="inlineStr">
        <is>
          <t>≥ 11.05.2026 (floor — not yet dated)</t>
        </is>
      </c>
      <c r="G3810" s="256" t="inlineStr">
        <is>
          <t>9.6</t>
        </is>
      </c>
      <c r="H3810" s="256" t="inlineStr">
        <is>
          <t>Pseudomonas aeruginosa</t>
        </is>
      </c>
      <c r="I3810" s="256" t="inlineStr">
        <is>
          <t>Ph. Eur. 2.6.13 cat. C</t>
        </is>
      </c>
      <c r="J3810" s="256" t="inlineStr">
        <is>
          <t>Absence | Отсуство / 1 g</t>
        </is>
      </c>
      <c r="K3810" s="260" t="inlineStr">
        <is>
          <t>upon request — not required for release</t>
        </is>
      </c>
      <c r="L3810" s="256" t="inlineStr">
        <is>
          <t>—</t>
        </is>
      </c>
      <c r="M3810" s="256" t="inlineStr">
        <is>
          <t>—</t>
        </is>
      </c>
      <c r="N3810" s="256" t="inlineStr">
        <is>
          <t>—</t>
        </is>
      </c>
      <c r="O3810" s="256" t="inlineStr">
        <is>
          <t>—</t>
        </is>
      </c>
      <c r="P3810" s="256" t="inlineStr">
        <is>
          <t>upon request — not required for release</t>
        </is>
      </c>
      <c r="Q3810" s="256" t="inlineStr"/>
      <c r="R3810" s="256" t="inlineStr"/>
    </row>
    <row r="3811">
      <c r="A3811" s="256" t="inlineStr">
        <is>
          <t>CoQ-PP_26-166</t>
        </is>
      </c>
      <c r="B3811" s="256" t="inlineStr">
        <is>
          <t>release</t>
        </is>
      </c>
      <c r="C3811" s="256" t="inlineStr">
        <is>
          <t>CC042601</t>
        </is>
      </c>
      <c r="D3811" s="256" t="inlineStr">
        <is>
          <t>— no P lot assigned —</t>
        </is>
      </c>
      <c r="E3811" s="256" t="inlineStr">
        <is>
          <t>Cash Cow</t>
        </is>
      </c>
      <c r="F3811" s="256" t="inlineStr">
        <is>
          <t>≥ 11.05.2026 (floor — not yet dated)</t>
        </is>
      </c>
      <c r="G3811" s="256" t="inlineStr">
        <is>
          <t>9.7</t>
        </is>
      </c>
      <c r="H3811" s="256" t="inlineStr">
        <is>
          <t>Staphylococcus aureus</t>
        </is>
      </c>
      <c r="I3811" s="256" t="inlineStr">
        <is>
          <t>Ph. Eur. 2.6.13 cat. C</t>
        </is>
      </c>
      <c r="J3811" s="256" t="inlineStr">
        <is>
          <t>Absence | Отсуство / 1 g</t>
        </is>
      </c>
      <c r="K3811" s="260" t="inlineStr">
        <is>
          <t>upon request — not required for release</t>
        </is>
      </c>
      <c r="L3811" s="256" t="inlineStr">
        <is>
          <t>—</t>
        </is>
      </c>
      <c r="M3811" s="256" t="inlineStr">
        <is>
          <t>—</t>
        </is>
      </c>
      <c r="N3811" s="256" t="inlineStr">
        <is>
          <t>—</t>
        </is>
      </c>
      <c r="O3811" s="256" t="inlineStr">
        <is>
          <t>—</t>
        </is>
      </c>
      <c r="P3811" s="256" t="inlineStr">
        <is>
          <t>upon request — not required for release</t>
        </is>
      </c>
      <c r="Q3811" s="256" t="inlineStr"/>
      <c r="R3811" s="256" t="inlineStr"/>
    </row>
    <row r="3812">
      <c r="A3812" s="256" t="inlineStr">
        <is>
          <t>CoQ-PP_26-166</t>
        </is>
      </c>
      <c r="B3812" s="256" t="inlineStr">
        <is>
          <t>release</t>
        </is>
      </c>
      <c r="C3812" s="256" t="inlineStr">
        <is>
          <t>CC042601</t>
        </is>
      </c>
      <c r="D3812" s="256" t="inlineStr">
        <is>
          <t>— no P lot assigned —</t>
        </is>
      </c>
      <c r="E3812" s="256" t="inlineStr">
        <is>
          <t>Cash Cow</t>
        </is>
      </c>
      <c r="F3812" s="256" t="inlineStr">
        <is>
          <t>≥ 11.05.2026 (floor — not yet dated)</t>
        </is>
      </c>
      <c r="G3812" s="256" t="inlineStr">
        <is>
          <t>10.1</t>
        </is>
      </c>
      <c r="H3812" s="256" t="inlineStr">
        <is>
          <t>Aflatoxin B₁</t>
        </is>
      </c>
      <c r="I3812" s="256" t="inlineStr">
        <is>
          <t>Ph. Eur. 2.8.18 (HPLC-FLD)</t>
        </is>
      </c>
      <c r="J3812" s="256" t="inlineStr">
        <is>
          <t>≤ 2 µg/kg</t>
        </is>
      </c>
      <c r="K3812" s="259" t="inlineStr">
        <is>
          <t>not tested</t>
        </is>
      </c>
      <c r="L3812" s="256" t="inlineStr">
        <is>
          <t>—</t>
        </is>
      </c>
      <c r="M3812" s="256" t="inlineStr">
        <is>
          <t>—</t>
        </is>
      </c>
      <c r="N3812" s="256" t="inlineStr">
        <is>
          <t>—</t>
        </is>
      </c>
      <c r="O3812" s="256" t="inlineStr">
        <is>
          <t>—</t>
        </is>
      </c>
      <c r="P3812" s="256" t="inlineStr">
        <is>
          <t>not tested — no certificate covers it</t>
        </is>
      </c>
      <c r="Q3812" s="256" t="inlineStr"/>
      <c r="R3812" s="256" t="inlineStr">
        <is>
          <t>ND (220-32-М/26)</t>
        </is>
      </c>
    </row>
    <row r="3813">
      <c r="A3813" s="256" t="inlineStr">
        <is>
          <t>CoQ-PP_26-166</t>
        </is>
      </c>
      <c r="B3813" s="256" t="inlineStr">
        <is>
          <t>release</t>
        </is>
      </c>
      <c r="C3813" s="256" t="inlineStr">
        <is>
          <t>CC042601</t>
        </is>
      </c>
      <c r="D3813" s="256" t="inlineStr">
        <is>
          <t>— no P lot assigned —</t>
        </is>
      </c>
      <c r="E3813" s="256" t="inlineStr">
        <is>
          <t>Cash Cow</t>
        </is>
      </c>
      <c r="F3813" s="256" t="inlineStr">
        <is>
          <t>≥ 11.05.2026 (floor — not yet dated)</t>
        </is>
      </c>
      <c r="G3813" s="256" t="inlineStr">
        <is>
          <t>10.2</t>
        </is>
      </c>
      <c r="H3813" s="256" t="inlineStr">
        <is>
          <t>Aflatoxins ∑</t>
        </is>
      </c>
      <c r="I3813" s="256" t="inlineStr">
        <is>
          <t>Ph. Eur. 2.8.18 (HPLC-FLD)</t>
        </is>
      </c>
      <c r="J3813" s="256" t="inlineStr">
        <is>
          <t>≤ 4 µg/kg</t>
        </is>
      </c>
      <c r="K3813" s="259" t="inlineStr">
        <is>
          <t>not tested</t>
        </is>
      </c>
      <c r="L3813" s="256" t="inlineStr">
        <is>
          <t>—</t>
        </is>
      </c>
      <c r="M3813" s="256" t="inlineStr">
        <is>
          <t>—</t>
        </is>
      </c>
      <c r="N3813" s="256" t="inlineStr">
        <is>
          <t>—</t>
        </is>
      </c>
      <c r="O3813" s="256" t="inlineStr">
        <is>
          <t>—</t>
        </is>
      </c>
      <c r="P3813" s="256" t="inlineStr">
        <is>
          <t>not tested — no certificate covers it</t>
        </is>
      </c>
      <c r="Q3813" s="256" t="inlineStr"/>
      <c r="R3813" s="256" t="inlineStr">
        <is>
          <t>ND (220-32-М/26)</t>
        </is>
      </c>
    </row>
    <row r="3814">
      <c r="A3814" s="256" t="inlineStr">
        <is>
          <t>CoQ-PP_26-166</t>
        </is>
      </c>
      <c r="B3814" s="256" t="inlineStr">
        <is>
          <t>release</t>
        </is>
      </c>
      <c r="C3814" s="256" t="inlineStr">
        <is>
          <t>CC042601</t>
        </is>
      </c>
      <c r="D3814" s="256" t="inlineStr">
        <is>
          <t>— no P lot assigned —</t>
        </is>
      </c>
      <c r="E3814" s="256" t="inlineStr">
        <is>
          <t>Cash Cow</t>
        </is>
      </c>
      <c r="F3814" s="256" t="inlineStr">
        <is>
          <t>≥ 11.05.2026 (floor — not yet dated)</t>
        </is>
      </c>
      <c r="G3814" s="256" t="inlineStr">
        <is>
          <t>10.3</t>
        </is>
      </c>
      <c r="H3814" s="256" t="inlineStr">
        <is>
          <t>Ochratoxin A</t>
        </is>
      </c>
      <c r="I3814" s="256" t="inlineStr">
        <is>
          <t>Ph. Eur. 2.8.22 (HPLC-FLD)</t>
        </is>
      </c>
      <c r="J3814" s="256" t="inlineStr">
        <is>
          <t>≤ 20 µg/kg</t>
        </is>
      </c>
      <c r="K3814" s="259" t="inlineStr">
        <is>
          <t>not tested</t>
        </is>
      </c>
      <c r="L3814" s="256" t="inlineStr">
        <is>
          <t>—</t>
        </is>
      </c>
      <c r="M3814" s="256" t="inlineStr">
        <is>
          <t>—</t>
        </is>
      </c>
      <c r="N3814" s="256" t="inlineStr">
        <is>
          <t>—</t>
        </is>
      </c>
      <c r="O3814" s="256" t="inlineStr">
        <is>
          <t>—</t>
        </is>
      </c>
      <c r="P3814" s="256" t="inlineStr">
        <is>
          <t>not tested — no certificate covers it</t>
        </is>
      </c>
      <c r="Q3814" s="256" t="inlineStr"/>
      <c r="R3814" s="256" t="inlineStr">
        <is>
          <t>ND (220-32-М/26)</t>
        </is>
      </c>
    </row>
    <row r="3815">
      <c r="A3815" s="256" t="inlineStr">
        <is>
          <t>CoQ-PP_26-166</t>
        </is>
      </c>
      <c r="B3815" s="256" t="inlineStr">
        <is>
          <t>release</t>
        </is>
      </c>
      <c r="C3815" s="256" t="inlineStr">
        <is>
          <t>CC042601</t>
        </is>
      </c>
      <c r="D3815" s="256" t="inlineStr">
        <is>
          <t>— no P lot assigned —</t>
        </is>
      </c>
      <c r="E3815" s="256" t="inlineStr">
        <is>
          <t>Cash Cow</t>
        </is>
      </c>
      <c r="F3815" s="256" t="inlineStr">
        <is>
          <t>≥ 11.05.2026 (floor — not yet dated)</t>
        </is>
      </c>
      <c r="G3815" s="256" t="inlineStr">
        <is>
          <t>11.1</t>
        </is>
      </c>
      <c r="H3815" s="256" t="inlineStr">
        <is>
          <t>Lead (Pb)</t>
        </is>
      </c>
      <c r="I3815" s="256" t="inlineStr">
        <is>
          <t>Ph. Eur. 2.4.27 (ICP-MS)</t>
        </is>
      </c>
      <c r="J3815" s="256" t="inlineStr">
        <is>
          <t>≤ 0.5 mg/kg</t>
        </is>
      </c>
      <c r="K3815" s="259" t="inlineStr">
        <is>
          <t>not tested</t>
        </is>
      </c>
      <c r="L3815" s="256" t="inlineStr">
        <is>
          <t>—</t>
        </is>
      </c>
      <c r="M3815" s="256" t="inlineStr">
        <is>
          <t>—</t>
        </is>
      </c>
      <c r="N3815" s="256" t="inlineStr">
        <is>
          <t>—</t>
        </is>
      </c>
      <c r="O3815" s="256" t="inlineStr">
        <is>
          <t>—</t>
        </is>
      </c>
      <c r="P3815" s="256" t="inlineStr">
        <is>
          <t>not tested — no certificate covers it</t>
        </is>
      </c>
      <c r="Q3815" s="256" t="inlineStr"/>
      <c r="R3815" s="256" t="inlineStr"/>
    </row>
    <row r="3816">
      <c r="A3816" s="256" t="inlineStr">
        <is>
          <t>CoQ-PP_26-166</t>
        </is>
      </c>
      <c r="B3816" s="256" t="inlineStr">
        <is>
          <t>release</t>
        </is>
      </c>
      <c r="C3816" s="256" t="inlineStr">
        <is>
          <t>CC042601</t>
        </is>
      </c>
      <c r="D3816" s="256" t="inlineStr">
        <is>
          <t>— no P lot assigned —</t>
        </is>
      </c>
      <c r="E3816" s="256" t="inlineStr">
        <is>
          <t>Cash Cow</t>
        </is>
      </c>
      <c r="F3816" s="256" t="inlineStr">
        <is>
          <t>≥ 11.05.2026 (floor — not yet dated)</t>
        </is>
      </c>
      <c r="G3816" s="256" t="inlineStr">
        <is>
          <t>11.2</t>
        </is>
      </c>
      <c r="H3816" s="256" t="inlineStr">
        <is>
          <t>Cadmium (Cd)</t>
        </is>
      </c>
      <c r="I3816" s="256" t="inlineStr">
        <is>
          <t>Ph. Eur. 2.4.27 (ICP-MS)</t>
        </is>
      </c>
      <c r="J3816" s="256" t="inlineStr">
        <is>
          <t>≤ 0.3 mg/kg</t>
        </is>
      </c>
      <c r="K3816" s="259" t="inlineStr">
        <is>
          <t>not tested</t>
        </is>
      </c>
      <c r="L3816" s="256" t="inlineStr">
        <is>
          <t>—</t>
        </is>
      </c>
      <c r="M3816" s="256" t="inlineStr">
        <is>
          <t>—</t>
        </is>
      </c>
      <c r="N3816" s="256" t="inlineStr">
        <is>
          <t>—</t>
        </is>
      </c>
      <c r="O3816" s="256" t="inlineStr">
        <is>
          <t>—</t>
        </is>
      </c>
      <c r="P3816" s="256" t="inlineStr">
        <is>
          <t>not tested — no certificate covers it</t>
        </is>
      </c>
      <c r="Q3816" s="256" t="inlineStr"/>
      <c r="R3816" s="256" t="inlineStr"/>
    </row>
    <row r="3817">
      <c r="A3817" s="256" t="inlineStr">
        <is>
          <t>CoQ-PP_26-166</t>
        </is>
      </c>
      <c r="B3817" s="256" t="inlineStr">
        <is>
          <t>release</t>
        </is>
      </c>
      <c r="C3817" s="256" t="inlineStr">
        <is>
          <t>CC042601</t>
        </is>
      </c>
      <c r="D3817" s="256" t="inlineStr">
        <is>
          <t>— no P lot assigned —</t>
        </is>
      </c>
      <c r="E3817" s="256" t="inlineStr">
        <is>
          <t>Cash Cow</t>
        </is>
      </c>
      <c r="F3817" s="256" t="inlineStr">
        <is>
          <t>≥ 11.05.2026 (floor — not yet dated)</t>
        </is>
      </c>
      <c r="G3817" s="256" t="inlineStr">
        <is>
          <t>11.3</t>
        </is>
      </c>
      <c r="H3817" s="256" t="inlineStr">
        <is>
          <t>Arsenic (As)</t>
        </is>
      </c>
      <c r="I3817" s="256" t="inlineStr">
        <is>
          <t>Ph. Eur. 2.4.27 (ICP-MS)</t>
        </is>
      </c>
      <c r="J3817" s="256" t="inlineStr">
        <is>
          <t>≤ 0.2 mg/kg</t>
        </is>
      </c>
      <c r="K3817" s="259" t="inlineStr">
        <is>
          <t>not tested</t>
        </is>
      </c>
      <c r="L3817" s="256" t="inlineStr">
        <is>
          <t>—</t>
        </is>
      </c>
      <c r="M3817" s="256" t="inlineStr">
        <is>
          <t>—</t>
        </is>
      </c>
      <c r="N3817" s="256" t="inlineStr">
        <is>
          <t>—</t>
        </is>
      </c>
      <c r="O3817" s="256" t="inlineStr">
        <is>
          <t>—</t>
        </is>
      </c>
      <c r="P3817" s="256" t="inlineStr">
        <is>
          <t>not tested — no certificate covers it</t>
        </is>
      </c>
      <c r="Q3817" s="256" t="inlineStr"/>
      <c r="R3817" s="256" t="inlineStr"/>
    </row>
    <row r="3818">
      <c r="A3818" s="256" t="inlineStr">
        <is>
          <t>CoQ-PP_26-166</t>
        </is>
      </c>
      <c r="B3818" s="256" t="inlineStr">
        <is>
          <t>release</t>
        </is>
      </c>
      <c r="C3818" s="256" t="inlineStr">
        <is>
          <t>CC042601</t>
        </is>
      </c>
      <c r="D3818" s="256" t="inlineStr">
        <is>
          <t>— no P lot assigned —</t>
        </is>
      </c>
      <c r="E3818" s="256" t="inlineStr">
        <is>
          <t>Cash Cow</t>
        </is>
      </c>
      <c r="F3818" s="256" t="inlineStr">
        <is>
          <t>≥ 11.05.2026 (floor — not yet dated)</t>
        </is>
      </c>
      <c r="G3818" s="256" t="inlineStr">
        <is>
          <t>11.4</t>
        </is>
      </c>
      <c r="H3818" s="256" t="inlineStr">
        <is>
          <t>Mercury (Hg)</t>
        </is>
      </c>
      <c r="I3818" s="256" t="inlineStr">
        <is>
          <t>Ph. Eur. 2.4.27 (ICP-MS)</t>
        </is>
      </c>
      <c r="J3818" s="256" t="inlineStr">
        <is>
          <t>≤ 0.1 mg/kg</t>
        </is>
      </c>
      <c r="K3818" s="259" t="inlineStr">
        <is>
          <t>not tested</t>
        </is>
      </c>
      <c r="L3818" s="256" t="inlineStr">
        <is>
          <t>—</t>
        </is>
      </c>
      <c r="M3818" s="256" t="inlineStr">
        <is>
          <t>—</t>
        </is>
      </c>
      <c r="N3818" s="256" t="inlineStr">
        <is>
          <t>—</t>
        </is>
      </c>
      <c r="O3818" s="256" t="inlineStr">
        <is>
          <t>—</t>
        </is>
      </c>
      <c r="P3818" s="256" t="inlineStr">
        <is>
          <t>not tested — no certificate covers it</t>
        </is>
      </c>
      <c r="Q3818" s="256" t="inlineStr"/>
      <c r="R3818" s="256" t="inlineStr"/>
    </row>
    <row r="3819">
      <c r="A3819" s="256" t="inlineStr">
        <is>
          <t>CoQ-PP_26-166</t>
        </is>
      </c>
      <c r="B3819" s="256" t="inlineStr">
        <is>
          <t>release</t>
        </is>
      </c>
      <c r="C3819" s="256" t="inlineStr">
        <is>
          <t>CC042601</t>
        </is>
      </c>
      <c r="D3819" s="256" t="inlineStr">
        <is>
          <t>— no P lot assigned —</t>
        </is>
      </c>
      <c r="E3819" s="256" t="inlineStr">
        <is>
          <t>Cash Cow</t>
        </is>
      </c>
      <c r="F3819" s="256" t="inlineStr">
        <is>
          <t>≥ 11.05.2026 (floor — not yet dated)</t>
        </is>
      </c>
      <c r="G3819" s="256" t="inlineStr">
        <is>
          <t>12</t>
        </is>
      </c>
      <c r="H3819" s="256" t="inlineStr">
        <is>
          <t>Pesticide Residues</t>
        </is>
      </c>
      <c r="I3819" s="256" t="inlineStr">
        <is>
          <t>Ph. Eur. 2.8.13 (LC-MS/MS) · CUMCS Equivalency</t>
        </is>
      </c>
      <c r="J3819" s="256" t="inlineStr">
        <is>
          <t>≤ LOQ as per Ph. Eur. 2.8.13 · ≤ LOQ as per CUMCS Equivalency</t>
        </is>
      </c>
      <c r="K3819" s="259" t="inlineStr">
        <is>
          <t>not tested</t>
        </is>
      </c>
      <c r="L3819" s="256" t="inlineStr">
        <is>
          <t>—</t>
        </is>
      </c>
      <c r="M3819" s="256" t="inlineStr">
        <is>
          <t>—</t>
        </is>
      </c>
      <c r="N3819" s="256" t="inlineStr">
        <is>
          <t>—</t>
        </is>
      </c>
      <c r="O3819" s="256" t="inlineStr">
        <is>
          <t>—</t>
        </is>
      </c>
      <c r="P3819" s="256" t="inlineStr">
        <is>
          <t>not tested — no certificate covers it</t>
        </is>
      </c>
      <c r="Q3819" s="256" t="inlineStr"/>
      <c r="R3819" s="256" t="inlineStr"/>
    </row>
    <row r="3820">
      <c r="A3820" s="256" t="inlineStr">
        <is>
          <t>CoQ-PP_26-167</t>
        </is>
      </c>
      <c r="B3820" s="256" t="inlineStr">
        <is>
          <t>release</t>
        </is>
      </c>
      <c r="C3820" s="256" t="inlineStr">
        <is>
          <t>FB042601</t>
        </is>
      </c>
      <c r="D3820" s="256" t="inlineStr">
        <is>
          <t>— no P lot assigned —</t>
        </is>
      </c>
      <c r="E3820" s="256" t="inlineStr">
        <is>
          <t>Fat Bastard</t>
        </is>
      </c>
      <c r="F3820" s="256" t="inlineStr">
        <is>
          <t>≥ 11.05.2026 (floor — not yet dated)</t>
        </is>
      </c>
      <c r="G3820" s="256" t="inlineStr">
        <is>
          <t>1</t>
        </is>
      </c>
      <c r="H3820" s="256" t="inlineStr">
        <is>
          <t>Identification A, Appearance · Macroscopic</t>
        </is>
      </c>
      <c r="I3820" s="256" t="inlineStr">
        <is>
          <t>Ph. Eur. mon. 3028</t>
        </is>
      </c>
      <c r="J3820" s="256" t="inlineStr">
        <is>
          <t>Conforms to the monograph for Cannabis flos (07/2024:3028) in Ph. Eur. 11.0 | Согласно монографија за Cannabis flos (07/2024:3028) во Ph. Eur. 11.0</t>
        </is>
      </c>
      <c r="K3820" s="259" t="inlineStr">
        <is>
          <t>to be performed (in house)</t>
        </is>
      </c>
      <c r="L3820" s="256" t="inlineStr">
        <is>
          <t>iCoA-PP_26-091</t>
        </is>
      </c>
      <c r="M3820" s="256" t="inlineStr">
        <is>
          <t>03.06.2026</t>
        </is>
      </c>
      <c r="N3820" s="256" t="inlineStr">
        <is>
          <t>Purely Plant GmbH (in-house)</t>
        </is>
      </c>
      <c r="O3820" s="256" t="inlineStr">
        <is>
          <t>—</t>
        </is>
      </c>
      <c r="P3820" s="256" t="inlineStr">
        <is>
          <t>to be performed — see route</t>
        </is>
      </c>
      <c r="Q3820" s="256" t="inlineStr">
        <is>
          <t>Purely Plant laboratory — iCoA covering Ident A + B</t>
        </is>
      </c>
      <c r="R3820" s="256" t="inlineStr"/>
    </row>
    <row r="3821">
      <c r="A3821" s="256" t="inlineStr">
        <is>
          <t>CoQ-PP_26-167</t>
        </is>
      </c>
      <c r="B3821" s="256" t="inlineStr">
        <is>
          <t>release</t>
        </is>
      </c>
      <c r="C3821" s="256" t="inlineStr">
        <is>
          <t>FB042601</t>
        </is>
      </c>
      <c r="D3821" s="256" t="inlineStr">
        <is>
          <t>— no P lot assigned —</t>
        </is>
      </c>
      <c r="E3821" s="256" t="inlineStr">
        <is>
          <t>Fat Bastard</t>
        </is>
      </c>
      <c r="F3821" s="256" t="inlineStr">
        <is>
          <t>≥ 11.05.2026 (floor — not yet dated)</t>
        </is>
      </c>
      <c r="G3821" s="256" t="inlineStr">
        <is>
          <t>2</t>
        </is>
      </c>
      <c r="H3821" s="256" t="inlineStr">
        <is>
          <t>Identification B · Microscopic</t>
        </is>
      </c>
      <c r="I3821" s="256" t="inlineStr">
        <is>
          <t>Ph. Eur. 2.8.23 (microscopy)</t>
        </is>
      </c>
      <c r="J3821" s="256" t="inlineStr">
        <is>
          <t>Conforms to the monograph for Cannabis flos (07/2024:3028) in Ph. Eur. 11.0 | Согласно монографија за Cannabis flos (07/2024:3028) во Ph. Eur. 11.0</t>
        </is>
      </c>
      <c r="K3821" s="259" t="inlineStr">
        <is>
          <t>to be performed (in house)</t>
        </is>
      </c>
      <c r="L3821" s="256" t="inlineStr">
        <is>
          <t>iCoA-PP_26-091</t>
        </is>
      </c>
      <c r="M3821" s="256" t="inlineStr">
        <is>
          <t>03.06.2026</t>
        </is>
      </c>
      <c r="N3821" s="256" t="inlineStr">
        <is>
          <t>Purely Plant GmbH (in-house)</t>
        </is>
      </c>
      <c r="O3821" s="256" t="inlineStr">
        <is>
          <t>—</t>
        </is>
      </c>
      <c r="P3821" s="256" t="inlineStr">
        <is>
          <t>to be performed — see route</t>
        </is>
      </c>
      <c r="Q3821" s="256" t="inlineStr">
        <is>
          <t>Purely Plant laboratory — iCoA covering Ident A + B</t>
        </is>
      </c>
      <c r="R3821" s="256" t="inlineStr"/>
    </row>
    <row r="3822">
      <c r="A3822" s="256" t="inlineStr">
        <is>
          <t>CoQ-PP_26-167</t>
        </is>
      </c>
      <c r="B3822" s="256" t="inlineStr">
        <is>
          <t>release</t>
        </is>
      </c>
      <c r="C3822" s="256" t="inlineStr">
        <is>
          <t>FB042601</t>
        </is>
      </c>
      <c r="D3822" s="256" t="inlineStr">
        <is>
          <t>— no P lot assigned —</t>
        </is>
      </c>
      <c r="E3822" s="256" t="inlineStr">
        <is>
          <t>Fat Bastard</t>
        </is>
      </c>
      <c r="F3822" s="256" t="inlineStr">
        <is>
          <t>≥ 11.05.2026 (floor — not yet dated)</t>
        </is>
      </c>
      <c r="G3822" s="256" t="inlineStr">
        <is>
          <t>3</t>
        </is>
      </c>
      <c r="H3822" s="256" t="inlineStr">
        <is>
          <t>Identification C · HPLC/HPTLC</t>
        </is>
      </c>
      <c r="I3822" s="256" t="inlineStr">
        <is>
          <t>Ph. Eur. 2.2.29 (3028)</t>
        </is>
      </c>
      <c r="J3822" s="256" t="inlineStr">
        <is>
          <t>Conforms to the monograph for Cannabis flos (07/2024:3028) in Ph. Eur. 11.0 | Согласно монографија за Cannabis flos (07/2024:3028) во Ph. Eur. 11.0</t>
        </is>
      </c>
      <c r="K3822" s="259" t="inlineStr">
        <is>
          <t>to be performed (in house)</t>
        </is>
      </c>
      <c r="L3822" s="256" t="inlineStr">
        <is>
          <t>—</t>
        </is>
      </c>
      <c r="M3822" s="256" t="inlineStr">
        <is>
          <t>—</t>
        </is>
      </c>
      <c r="N3822" s="256" t="inlineStr">
        <is>
          <t>—</t>
        </is>
      </c>
      <c r="O3822" s="256" t="inlineStr">
        <is>
          <t>—</t>
        </is>
      </c>
      <c r="P3822" s="256" t="inlineStr">
        <is>
          <t>to be performed — see route</t>
        </is>
      </c>
      <c r="Q3822" s="256" t="inlineStr">
        <is>
          <t>outside laboratory — the HPLC cannabinoid certificate discharges Ident C (Farmahem -K- or CNP); in-house iCoA P03 only where none exists</t>
        </is>
      </c>
      <c r="R3822" s="256" t="inlineStr"/>
    </row>
    <row r="3823">
      <c r="A3823" s="256" t="inlineStr">
        <is>
          <t>CoQ-PP_26-167</t>
        </is>
      </c>
      <c r="B3823" s="256" t="inlineStr">
        <is>
          <t>release</t>
        </is>
      </c>
      <c r="C3823" s="256" t="inlineStr">
        <is>
          <t>FB042601</t>
        </is>
      </c>
      <c r="D3823" s="256" t="inlineStr">
        <is>
          <t>— no P lot assigned —</t>
        </is>
      </c>
      <c r="E3823" s="256" t="inlineStr">
        <is>
          <t>Fat Bastard</t>
        </is>
      </c>
      <c r="F3823" s="256" t="inlineStr">
        <is>
          <t>≥ 11.05.2026 (floor — not yet dated)</t>
        </is>
      </c>
      <c r="G3823" s="256" t="inlineStr">
        <is>
          <t>4</t>
        </is>
      </c>
      <c r="H3823" s="256" t="inlineStr">
        <is>
          <t>Assay — Total Δ⁹-THC</t>
        </is>
      </c>
      <c r="I3823" s="256" t="inlineStr">
        <is>
          <t>Ph. Eur. 2.2.29 (HPLC)</t>
        </is>
      </c>
      <c r="J3823" s="256" t="inlineStr">
        <is>
          <t>Per grade of the potency specification of 15.09.2026 — no Total THC result on file</t>
        </is>
      </c>
      <c r="K3823" s="259" t="inlineStr">
        <is>
          <t>not tested</t>
        </is>
      </c>
      <c r="L3823" s="256" t="inlineStr">
        <is>
          <t>—</t>
        </is>
      </c>
      <c r="M3823" s="256" t="inlineStr">
        <is>
          <t>—</t>
        </is>
      </c>
      <c r="N3823" s="256" t="inlineStr">
        <is>
          <t>—</t>
        </is>
      </c>
      <c r="O3823" s="256" t="inlineStr">
        <is>
          <t>—</t>
        </is>
      </c>
      <c r="P3823" s="256" t="inlineStr">
        <is>
          <t>not tested — no certificate covers it</t>
        </is>
      </c>
      <c r="Q3823" s="256" t="inlineStr"/>
      <c r="R3823" s="256" t="inlineStr">
        <is>
          <t>14.99 (220-31-К/26)</t>
        </is>
      </c>
    </row>
    <row r="3824">
      <c r="A3824" s="256" t="inlineStr">
        <is>
          <t>CoQ-PP_26-167</t>
        </is>
      </c>
      <c r="B3824" s="256" t="inlineStr">
        <is>
          <t>release</t>
        </is>
      </c>
      <c r="C3824" s="256" t="inlineStr">
        <is>
          <t>FB042601</t>
        </is>
      </c>
      <c r="D3824" s="256" t="inlineStr">
        <is>
          <t>— no P lot assigned —</t>
        </is>
      </c>
      <c r="E3824" s="256" t="inlineStr">
        <is>
          <t>Fat Bastard</t>
        </is>
      </c>
      <c r="F3824" s="256" t="inlineStr">
        <is>
          <t>≥ 11.05.2026 (floor — not yet dated)</t>
        </is>
      </c>
      <c r="G3824" s="256" t="inlineStr">
        <is>
          <t>5</t>
        </is>
      </c>
      <c r="H3824" s="256" t="inlineStr">
        <is>
          <t>Assay — Total CBD</t>
        </is>
      </c>
      <c r="I3824" s="256" t="inlineStr">
        <is>
          <t>Ph. Eur. 2.2.29 (HPLC) · CBD + CBDA x 0.877</t>
        </is>
      </c>
      <c r="J3824" s="256" t="inlineStr">
        <is>
          <t>≤ 1.0%, w/w</t>
        </is>
      </c>
      <c r="K3824" s="259" t="inlineStr">
        <is>
          <t>not tested</t>
        </is>
      </c>
      <c r="L3824" s="256" t="inlineStr">
        <is>
          <t>—</t>
        </is>
      </c>
      <c r="M3824" s="256" t="inlineStr">
        <is>
          <t>—</t>
        </is>
      </c>
      <c r="N3824" s="256" t="inlineStr">
        <is>
          <t>—</t>
        </is>
      </c>
      <c r="O3824" s="256" t="inlineStr">
        <is>
          <t>—</t>
        </is>
      </c>
      <c r="P3824" s="256" t="inlineStr">
        <is>
          <t>not tested — no certificate covers it</t>
        </is>
      </c>
      <c r="Q3824" s="256" t="inlineStr"/>
      <c r="R3824" s="256" t="inlineStr">
        <is>
          <t>&lt;LOQ (220-31-К/26)</t>
        </is>
      </c>
    </row>
    <row r="3825">
      <c r="A3825" s="256" t="inlineStr">
        <is>
          <t>CoQ-PP_26-167</t>
        </is>
      </c>
      <c r="B3825" s="256" t="inlineStr">
        <is>
          <t>release</t>
        </is>
      </c>
      <c r="C3825" s="256" t="inlineStr">
        <is>
          <t>FB042601</t>
        </is>
      </c>
      <c r="D3825" s="256" t="inlineStr">
        <is>
          <t>— no P lot assigned —</t>
        </is>
      </c>
      <c r="E3825" s="256" t="inlineStr">
        <is>
          <t>Fat Bastard</t>
        </is>
      </c>
      <c r="F3825" s="256" t="inlineStr">
        <is>
          <t>≥ 11.05.2026 (floor — not yet dated)</t>
        </is>
      </c>
      <c r="G3825" s="256" t="inlineStr">
        <is>
          <t>6</t>
        </is>
      </c>
      <c r="H3825" s="256" t="inlineStr">
        <is>
          <t>Total CBN</t>
        </is>
      </c>
      <c r="I3825" s="256" t="inlineStr">
        <is>
          <t>Ph. Eur. 2.2.29 (HPLC) · CBN + CBNA x 0.876</t>
        </is>
      </c>
      <c r="J3825" s="256" t="inlineStr">
        <is>
          <t>≤ 1.0%, w/w</t>
        </is>
      </c>
      <c r="K3825" s="259" t="inlineStr">
        <is>
          <t>not tested</t>
        </is>
      </c>
      <c r="L3825" s="256" t="inlineStr">
        <is>
          <t>—</t>
        </is>
      </c>
      <c r="M3825" s="256" t="inlineStr">
        <is>
          <t>—</t>
        </is>
      </c>
      <c r="N3825" s="256" t="inlineStr">
        <is>
          <t>—</t>
        </is>
      </c>
      <c r="O3825" s="256" t="inlineStr">
        <is>
          <t>—</t>
        </is>
      </c>
      <c r="P3825" s="256" t="inlineStr">
        <is>
          <t>not tested — no certificate covers it</t>
        </is>
      </c>
      <c r="Q3825" s="256" t="inlineStr"/>
      <c r="R3825" s="256" t="inlineStr">
        <is>
          <t>&lt;LOQ (220-31-К/26)</t>
        </is>
      </c>
    </row>
    <row r="3826">
      <c r="A3826" s="256" t="inlineStr">
        <is>
          <t>CoQ-PP_26-167</t>
        </is>
      </c>
      <c r="B3826" s="256" t="inlineStr">
        <is>
          <t>release</t>
        </is>
      </c>
      <c r="C3826" s="256" t="inlineStr">
        <is>
          <t>FB042601</t>
        </is>
      </c>
      <c r="D3826" s="256" t="inlineStr">
        <is>
          <t>— no P lot assigned —</t>
        </is>
      </c>
      <c r="E3826" s="256" t="inlineStr">
        <is>
          <t>Fat Bastard</t>
        </is>
      </c>
      <c r="F3826" s="256" t="inlineStr">
        <is>
          <t>≥ 11.05.2026 (floor — not yet dated)</t>
        </is>
      </c>
      <c r="G3826" s="256" t="inlineStr">
        <is>
          <t>7</t>
        </is>
      </c>
      <c r="H3826" s="256" t="inlineStr">
        <is>
          <t>Foreign Matter</t>
        </is>
      </c>
      <c r="I3826" s="256" t="inlineStr">
        <is>
          <t>Ph. Eur. 2.8.2 · In-house · интерна</t>
        </is>
      </c>
      <c r="J3826" s="256" t="inlineStr">
        <is>
          <t>≤ 2.0% / 25–50 g · &lt; 1 cm leaves | листови, no seeds | без семки</t>
        </is>
      </c>
      <c r="K3826" s="259" t="inlineStr">
        <is>
          <t>to be performed (in house)</t>
        </is>
      </c>
      <c r="L3826" s="256" t="inlineStr">
        <is>
          <t>iCoA-PP_26-091</t>
        </is>
      </c>
      <c r="M3826" s="256" t="inlineStr">
        <is>
          <t>03.06.2026</t>
        </is>
      </c>
      <c r="N3826" s="256" t="inlineStr">
        <is>
          <t>Purely Plant GmbH (in-house)</t>
        </is>
      </c>
      <c r="O3826" s="256" t="inlineStr">
        <is>
          <t>—</t>
        </is>
      </c>
      <c r="P3826" s="256" t="inlineStr">
        <is>
          <t>to be performed — see route</t>
        </is>
      </c>
      <c r="Q3826" s="256" t="inlineStr">
        <is>
          <t>Purely Plant laboratory — iCoA covering Foreign matter</t>
        </is>
      </c>
      <c r="R3826" s="256" t="inlineStr"/>
    </row>
    <row r="3827">
      <c r="A3827" s="256" t="inlineStr">
        <is>
          <t>CoQ-PP_26-167</t>
        </is>
      </c>
      <c r="B3827" s="256" t="inlineStr">
        <is>
          <t>release</t>
        </is>
      </c>
      <c r="C3827" s="256" t="inlineStr">
        <is>
          <t>FB042601</t>
        </is>
      </c>
      <c r="D3827" s="256" t="inlineStr">
        <is>
          <t>— no P lot assigned —</t>
        </is>
      </c>
      <c r="E3827" s="256" t="inlineStr">
        <is>
          <t>Fat Bastard</t>
        </is>
      </c>
      <c r="F3827" s="256" t="inlineStr">
        <is>
          <t>≥ 11.05.2026 (floor — not yet dated)</t>
        </is>
      </c>
      <c r="G3827" s="256" t="inlineStr">
        <is>
          <t>8</t>
        </is>
      </c>
      <c r="H3827" s="256" t="inlineStr">
        <is>
          <t>Loss on Drying</t>
        </is>
      </c>
      <c r="I3827" s="256" t="inlineStr">
        <is>
          <t>Ph. Eur. 2.2.32 (3028) · at 40 °C, 24 h, 15–25 mbar</t>
        </is>
      </c>
      <c r="J3827" s="256" t="inlineStr">
        <is>
          <t>≤ 12.0%</t>
        </is>
      </c>
      <c r="K3827" s="259" t="inlineStr">
        <is>
          <t>not tested</t>
        </is>
      </c>
      <c r="L3827" s="256" t="inlineStr">
        <is>
          <t>—</t>
        </is>
      </c>
      <c r="M3827" s="256" t="inlineStr">
        <is>
          <t>—</t>
        </is>
      </c>
      <c r="N3827" s="256" t="inlineStr">
        <is>
          <t>—</t>
        </is>
      </c>
      <c r="O3827" s="256" t="inlineStr">
        <is>
          <t>—</t>
        </is>
      </c>
      <c r="P3827" s="256" t="inlineStr">
        <is>
          <t>not tested — no certificate covers it</t>
        </is>
      </c>
      <c r="Q3827" s="256" t="inlineStr"/>
      <c r="R3827" s="256" t="inlineStr"/>
    </row>
    <row r="3828">
      <c r="A3828" s="256" t="inlineStr">
        <is>
          <t>CoQ-PP_26-167</t>
        </is>
      </c>
      <c r="B3828" s="256" t="inlineStr">
        <is>
          <t>release</t>
        </is>
      </c>
      <c r="C3828" s="256" t="inlineStr">
        <is>
          <t>FB042601</t>
        </is>
      </c>
      <c r="D3828" s="256" t="inlineStr">
        <is>
          <t>— no P lot assigned —</t>
        </is>
      </c>
      <c r="E3828" s="256" t="inlineStr">
        <is>
          <t>Fat Bastard</t>
        </is>
      </c>
      <c r="F3828" s="256" t="inlineStr">
        <is>
          <t>≥ 11.05.2026 (floor — not yet dated)</t>
        </is>
      </c>
      <c r="G3828" s="256" t="inlineStr">
        <is>
          <t>9.1</t>
        </is>
      </c>
      <c r="H3828" s="256" t="inlineStr">
        <is>
          <t>TAMC</t>
        </is>
      </c>
      <c r="I3828" s="256" t="inlineStr">
        <is>
          <t>Ph. Eur. 2.6.12 cat. C</t>
        </is>
      </c>
      <c r="J3828" s="256" t="inlineStr">
        <is>
          <t>≤ 10⁵ CFU/g</t>
        </is>
      </c>
      <c r="K3828" s="259" t="inlineStr">
        <is>
          <t>not tested</t>
        </is>
      </c>
      <c r="L3828" s="256" t="inlineStr">
        <is>
          <t>—</t>
        </is>
      </c>
      <c r="M3828" s="256" t="inlineStr">
        <is>
          <t>—</t>
        </is>
      </c>
      <c r="N3828" s="256" t="inlineStr">
        <is>
          <t>—</t>
        </is>
      </c>
      <c r="O3828" s="256" t="inlineStr">
        <is>
          <t>—</t>
        </is>
      </c>
      <c r="P3828" s="256" t="inlineStr">
        <is>
          <t>not tested — no certificate covers it</t>
        </is>
      </c>
      <c r="Q3828" s="256" t="inlineStr"/>
      <c r="R3828" s="256" t="inlineStr"/>
    </row>
    <row r="3829">
      <c r="A3829" s="256" t="inlineStr">
        <is>
          <t>CoQ-PP_26-167</t>
        </is>
      </c>
      <c r="B3829" s="256" t="inlineStr">
        <is>
          <t>release</t>
        </is>
      </c>
      <c r="C3829" s="256" t="inlineStr">
        <is>
          <t>FB042601</t>
        </is>
      </c>
      <c r="D3829" s="256" t="inlineStr">
        <is>
          <t>— no P lot assigned —</t>
        </is>
      </c>
      <c r="E3829" s="256" t="inlineStr">
        <is>
          <t>Fat Bastard</t>
        </is>
      </c>
      <c r="F3829" s="256" t="inlineStr">
        <is>
          <t>≥ 11.05.2026 (floor — not yet dated)</t>
        </is>
      </c>
      <c r="G3829" s="256" t="inlineStr">
        <is>
          <t>9.2</t>
        </is>
      </c>
      <c r="H3829" s="256" t="inlineStr">
        <is>
          <t>TYMC</t>
        </is>
      </c>
      <c r="I3829" s="256" t="inlineStr">
        <is>
          <t>Ph. Eur. 2.6.12 cat. C</t>
        </is>
      </c>
      <c r="J3829" s="256" t="inlineStr">
        <is>
          <t>≤ 10⁴ CFU/g</t>
        </is>
      </c>
      <c r="K3829" s="259" t="inlineStr">
        <is>
          <t>not tested</t>
        </is>
      </c>
      <c r="L3829" s="256" t="inlineStr">
        <is>
          <t>—</t>
        </is>
      </c>
      <c r="M3829" s="256" t="inlineStr">
        <is>
          <t>—</t>
        </is>
      </c>
      <c r="N3829" s="256" t="inlineStr">
        <is>
          <t>—</t>
        </is>
      </c>
      <c r="O3829" s="256" t="inlineStr">
        <is>
          <t>—</t>
        </is>
      </c>
      <c r="P3829" s="256" t="inlineStr">
        <is>
          <t>not tested — no certificate covers it</t>
        </is>
      </c>
      <c r="Q3829" s="256" t="inlineStr"/>
      <c r="R3829" s="256" t="inlineStr"/>
    </row>
    <row r="3830">
      <c r="A3830" s="256" t="inlineStr">
        <is>
          <t>CoQ-PP_26-167</t>
        </is>
      </c>
      <c r="B3830" s="256" t="inlineStr">
        <is>
          <t>release</t>
        </is>
      </c>
      <c r="C3830" s="256" t="inlineStr">
        <is>
          <t>FB042601</t>
        </is>
      </c>
      <c r="D3830" s="256" t="inlineStr">
        <is>
          <t>— no P lot assigned —</t>
        </is>
      </c>
      <c r="E3830" s="256" t="inlineStr">
        <is>
          <t>Fat Bastard</t>
        </is>
      </c>
      <c r="F3830" s="256" t="inlineStr">
        <is>
          <t>≥ 11.05.2026 (floor — not yet dated)</t>
        </is>
      </c>
      <c r="G3830" s="256" t="inlineStr">
        <is>
          <t>9.3</t>
        </is>
      </c>
      <c r="H3830" s="256" t="inlineStr">
        <is>
          <t>Bile-tolerant gram-neg.</t>
        </is>
      </c>
      <c r="I3830" s="256" t="inlineStr">
        <is>
          <t>Ph. Eur. 2.6.31 cat. C</t>
        </is>
      </c>
      <c r="J3830" s="256" t="inlineStr">
        <is>
          <t>≤ 10⁴ CFU/g</t>
        </is>
      </c>
      <c r="K3830" s="259" t="inlineStr">
        <is>
          <t>not tested</t>
        </is>
      </c>
      <c r="L3830" s="256" t="inlineStr">
        <is>
          <t>—</t>
        </is>
      </c>
      <c r="M3830" s="256" t="inlineStr">
        <is>
          <t>—</t>
        </is>
      </c>
      <c r="N3830" s="256" t="inlineStr">
        <is>
          <t>—</t>
        </is>
      </c>
      <c r="O3830" s="256" t="inlineStr">
        <is>
          <t>—</t>
        </is>
      </c>
      <c r="P3830" s="256" t="inlineStr">
        <is>
          <t>not tested — no certificate covers it</t>
        </is>
      </c>
      <c r="Q3830" s="256" t="inlineStr"/>
      <c r="R3830" s="256" t="inlineStr"/>
    </row>
    <row r="3831">
      <c r="A3831" s="256" t="inlineStr">
        <is>
          <t>CoQ-PP_26-167</t>
        </is>
      </c>
      <c r="B3831" s="256" t="inlineStr">
        <is>
          <t>release</t>
        </is>
      </c>
      <c r="C3831" s="256" t="inlineStr">
        <is>
          <t>FB042601</t>
        </is>
      </c>
      <c r="D3831" s="256" t="inlineStr">
        <is>
          <t>— no P lot assigned —</t>
        </is>
      </c>
      <c r="E3831" s="256" t="inlineStr">
        <is>
          <t>Fat Bastard</t>
        </is>
      </c>
      <c r="F3831" s="256" t="inlineStr">
        <is>
          <t>≥ 11.05.2026 (floor — not yet dated)</t>
        </is>
      </c>
      <c r="G3831" s="256" t="inlineStr">
        <is>
          <t>9.4</t>
        </is>
      </c>
      <c r="H3831" s="256" t="inlineStr">
        <is>
          <t>Salmonella</t>
        </is>
      </c>
      <c r="I3831" s="256" t="inlineStr">
        <is>
          <t>Ph. Eur. 2.6.31 cat. C</t>
        </is>
      </c>
      <c r="J3831" s="256" t="inlineStr">
        <is>
          <t>Absence | Отсуство / 25 g</t>
        </is>
      </c>
      <c r="K3831" s="259" t="inlineStr">
        <is>
          <t>not tested</t>
        </is>
      </c>
      <c r="L3831" s="256" t="inlineStr">
        <is>
          <t>—</t>
        </is>
      </c>
      <c r="M3831" s="256" t="inlineStr">
        <is>
          <t>—</t>
        </is>
      </c>
      <c r="N3831" s="256" t="inlineStr">
        <is>
          <t>—</t>
        </is>
      </c>
      <c r="O3831" s="256" t="inlineStr">
        <is>
          <t>—</t>
        </is>
      </c>
      <c r="P3831" s="256" t="inlineStr">
        <is>
          <t>not tested — no certificate covers it</t>
        </is>
      </c>
      <c r="Q3831" s="256" t="inlineStr"/>
      <c r="R3831" s="256" t="inlineStr"/>
    </row>
    <row r="3832">
      <c r="A3832" s="256" t="inlineStr">
        <is>
          <t>CoQ-PP_26-167</t>
        </is>
      </c>
      <c r="B3832" s="256" t="inlineStr">
        <is>
          <t>release</t>
        </is>
      </c>
      <c r="C3832" s="256" t="inlineStr">
        <is>
          <t>FB042601</t>
        </is>
      </c>
      <c r="D3832" s="256" t="inlineStr">
        <is>
          <t>— no P lot assigned —</t>
        </is>
      </c>
      <c r="E3832" s="256" t="inlineStr">
        <is>
          <t>Fat Bastard</t>
        </is>
      </c>
      <c r="F3832" s="256" t="inlineStr">
        <is>
          <t>≥ 11.05.2026 (floor — not yet dated)</t>
        </is>
      </c>
      <c r="G3832" s="256" t="inlineStr">
        <is>
          <t>9.5</t>
        </is>
      </c>
      <c r="H3832" s="256" t="inlineStr">
        <is>
          <t>Escherichia coli</t>
        </is>
      </c>
      <c r="I3832" s="256" t="inlineStr">
        <is>
          <t>Ph. Eur. 2.6.13 cat. C</t>
        </is>
      </c>
      <c r="J3832" s="256" t="inlineStr">
        <is>
          <t>Absence | Отсуство / 1 g</t>
        </is>
      </c>
      <c r="K3832" s="259" t="inlineStr">
        <is>
          <t>not tested</t>
        </is>
      </c>
      <c r="L3832" s="256" t="inlineStr">
        <is>
          <t>—</t>
        </is>
      </c>
      <c r="M3832" s="256" t="inlineStr">
        <is>
          <t>—</t>
        </is>
      </c>
      <c r="N3832" s="256" t="inlineStr">
        <is>
          <t>—</t>
        </is>
      </c>
      <c r="O3832" s="256" t="inlineStr">
        <is>
          <t>—</t>
        </is>
      </c>
      <c r="P3832" s="256" t="inlineStr">
        <is>
          <t>not tested — no certificate covers it</t>
        </is>
      </c>
      <c r="Q3832" s="256" t="inlineStr"/>
      <c r="R3832" s="256" t="inlineStr"/>
    </row>
    <row r="3833">
      <c r="A3833" s="256" t="inlineStr">
        <is>
          <t>CoQ-PP_26-167</t>
        </is>
      </c>
      <c r="B3833" s="256" t="inlineStr">
        <is>
          <t>release</t>
        </is>
      </c>
      <c r="C3833" s="256" t="inlineStr">
        <is>
          <t>FB042601</t>
        </is>
      </c>
      <c r="D3833" s="256" t="inlineStr">
        <is>
          <t>— no P lot assigned —</t>
        </is>
      </c>
      <c r="E3833" s="256" t="inlineStr">
        <is>
          <t>Fat Bastard</t>
        </is>
      </c>
      <c r="F3833" s="256" t="inlineStr">
        <is>
          <t>≥ 11.05.2026 (floor — not yet dated)</t>
        </is>
      </c>
      <c r="G3833" s="256" t="inlineStr">
        <is>
          <t>9.6</t>
        </is>
      </c>
      <c r="H3833" s="256" t="inlineStr">
        <is>
          <t>Pseudomonas aeruginosa</t>
        </is>
      </c>
      <c r="I3833" s="256" t="inlineStr">
        <is>
          <t>Ph. Eur. 2.6.13 cat. C</t>
        </is>
      </c>
      <c r="J3833" s="256" t="inlineStr">
        <is>
          <t>Absence | Отсуство / 1 g</t>
        </is>
      </c>
      <c r="K3833" s="260" t="inlineStr">
        <is>
          <t>upon request — not required for release</t>
        </is>
      </c>
      <c r="L3833" s="256" t="inlineStr">
        <is>
          <t>—</t>
        </is>
      </c>
      <c r="M3833" s="256" t="inlineStr">
        <is>
          <t>—</t>
        </is>
      </c>
      <c r="N3833" s="256" t="inlineStr">
        <is>
          <t>—</t>
        </is>
      </c>
      <c r="O3833" s="256" t="inlineStr">
        <is>
          <t>—</t>
        </is>
      </c>
      <c r="P3833" s="256" t="inlineStr">
        <is>
          <t>upon request — not required for release</t>
        </is>
      </c>
      <c r="Q3833" s="256" t="inlineStr"/>
      <c r="R3833" s="256" t="inlineStr"/>
    </row>
    <row r="3834">
      <c r="A3834" s="256" t="inlineStr">
        <is>
          <t>CoQ-PP_26-167</t>
        </is>
      </c>
      <c r="B3834" s="256" t="inlineStr">
        <is>
          <t>release</t>
        </is>
      </c>
      <c r="C3834" s="256" t="inlineStr">
        <is>
          <t>FB042601</t>
        </is>
      </c>
      <c r="D3834" s="256" t="inlineStr">
        <is>
          <t>— no P lot assigned —</t>
        </is>
      </c>
      <c r="E3834" s="256" t="inlineStr">
        <is>
          <t>Fat Bastard</t>
        </is>
      </c>
      <c r="F3834" s="256" t="inlineStr">
        <is>
          <t>≥ 11.05.2026 (floor — not yet dated)</t>
        </is>
      </c>
      <c r="G3834" s="256" t="inlineStr">
        <is>
          <t>9.7</t>
        </is>
      </c>
      <c r="H3834" s="256" t="inlineStr">
        <is>
          <t>Staphylococcus aureus</t>
        </is>
      </c>
      <c r="I3834" s="256" t="inlineStr">
        <is>
          <t>Ph. Eur. 2.6.13 cat. C</t>
        </is>
      </c>
      <c r="J3834" s="256" t="inlineStr">
        <is>
          <t>Absence | Отсуство / 1 g</t>
        </is>
      </c>
      <c r="K3834" s="260" t="inlineStr">
        <is>
          <t>upon request — not required for release</t>
        </is>
      </c>
      <c r="L3834" s="256" t="inlineStr">
        <is>
          <t>—</t>
        </is>
      </c>
      <c r="M3834" s="256" t="inlineStr">
        <is>
          <t>—</t>
        </is>
      </c>
      <c r="N3834" s="256" t="inlineStr">
        <is>
          <t>—</t>
        </is>
      </c>
      <c r="O3834" s="256" t="inlineStr">
        <is>
          <t>—</t>
        </is>
      </c>
      <c r="P3834" s="256" t="inlineStr">
        <is>
          <t>upon request — not required for release</t>
        </is>
      </c>
      <c r="Q3834" s="256" t="inlineStr"/>
      <c r="R3834" s="256" t="inlineStr"/>
    </row>
    <row r="3835">
      <c r="A3835" s="256" t="inlineStr">
        <is>
          <t>CoQ-PP_26-167</t>
        </is>
      </c>
      <c r="B3835" s="256" t="inlineStr">
        <is>
          <t>release</t>
        </is>
      </c>
      <c r="C3835" s="256" t="inlineStr">
        <is>
          <t>FB042601</t>
        </is>
      </c>
      <c r="D3835" s="256" t="inlineStr">
        <is>
          <t>— no P lot assigned —</t>
        </is>
      </c>
      <c r="E3835" s="256" t="inlineStr">
        <is>
          <t>Fat Bastard</t>
        </is>
      </c>
      <c r="F3835" s="256" t="inlineStr">
        <is>
          <t>≥ 11.05.2026 (floor — not yet dated)</t>
        </is>
      </c>
      <c r="G3835" s="256" t="inlineStr">
        <is>
          <t>10.1</t>
        </is>
      </c>
      <c r="H3835" s="256" t="inlineStr">
        <is>
          <t>Aflatoxin B₁</t>
        </is>
      </c>
      <c r="I3835" s="256" t="inlineStr">
        <is>
          <t>Ph. Eur. 2.8.18 (HPLC-FLD)</t>
        </is>
      </c>
      <c r="J3835" s="256" t="inlineStr">
        <is>
          <t>≤ 2 µg/kg</t>
        </is>
      </c>
      <c r="K3835" s="259" t="inlineStr">
        <is>
          <t>not tested</t>
        </is>
      </c>
      <c r="L3835" s="256" t="inlineStr">
        <is>
          <t>—</t>
        </is>
      </c>
      <c r="M3835" s="256" t="inlineStr">
        <is>
          <t>—</t>
        </is>
      </c>
      <c r="N3835" s="256" t="inlineStr">
        <is>
          <t>—</t>
        </is>
      </c>
      <c r="O3835" s="256" t="inlineStr">
        <is>
          <t>—</t>
        </is>
      </c>
      <c r="P3835" s="256" t="inlineStr">
        <is>
          <t>not tested — no certificate covers it</t>
        </is>
      </c>
      <c r="Q3835" s="256" t="inlineStr"/>
      <c r="R3835" s="256" t="inlineStr">
        <is>
          <t>ND (220-31-М/26)</t>
        </is>
      </c>
    </row>
    <row r="3836">
      <c r="A3836" s="256" t="inlineStr">
        <is>
          <t>CoQ-PP_26-167</t>
        </is>
      </c>
      <c r="B3836" s="256" t="inlineStr">
        <is>
          <t>release</t>
        </is>
      </c>
      <c r="C3836" s="256" t="inlineStr">
        <is>
          <t>FB042601</t>
        </is>
      </c>
      <c r="D3836" s="256" t="inlineStr">
        <is>
          <t>— no P lot assigned —</t>
        </is>
      </c>
      <c r="E3836" s="256" t="inlineStr">
        <is>
          <t>Fat Bastard</t>
        </is>
      </c>
      <c r="F3836" s="256" t="inlineStr">
        <is>
          <t>≥ 11.05.2026 (floor — not yet dated)</t>
        </is>
      </c>
      <c r="G3836" s="256" t="inlineStr">
        <is>
          <t>10.2</t>
        </is>
      </c>
      <c r="H3836" s="256" t="inlineStr">
        <is>
          <t>Aflatoxins ∑</t>
        </is>
      </c>
      <c r="I3836" s="256" t="inlineStr">
        <is>
          <t>Ph. Eur. 2.8.18 (HPLC-FLD)</t>
        </is>
      </c>
      <c r="J3836" s="256" t="inlineStr">
        <is>
          <t>≤ 4 µg/kg</t>
        </is>
      </c>
      <c r="K3836" s="259" t="inlineStr">
        <is>
          <t>not tested</t>
        </is>
      </c>
      <c r="L3836" s="256" t="inlineStr">
        <is>
          <t>—</t>
        </is>
      </c>
      <c r="M3836" s="256" t="inlineStr">
        <is>
          <t>—</t>
        </is>
      </c>
      <c r="N3836" s="256" t="inlineStr">
        <is>
          <t>—</t>
        </is>
      </c>
      <c r="O3836" s="256" t="inlineStr">
        <is>
          <t>—</t>
        </is>
      </c>
      <c r="P3836" s="256" t="inlineStr">
        <is>
          <t>not tested — no certificate covers it</t>
        </is>
      </c>
      <c r="Q3836" s="256" t="inlineStr"/>
      <c r="R3836" s="256" t="inlineStr">
        <is>
          <t>ND (220-31-М/26)</t>
        </is>
      </c>
    </row>
    <row r="3837">
      <c r="A3837" s="256" t="inlineStr">
        <is>
          <t>CoQ-PP_26-167</t>
        </is>
      </c>
      <c r="B3837" s="256" t="inlineStr">
        <is>
          <t>release</t>
        </is>
      </c>
      <c r="C3837" s="256" t="inlineStr">
        <is>
          <t>FB042601</t>
        </is>
      </c>
      <c r="D3837" s="256" t="inlineStr">
        <is>
          <t>— no P lot assigned —</t>
        </is>
      </c>
      <c r="E3837" s="256" t="inlineStr">
        <is>
          <t>Fat Bastard</t>
        </is>
      </c>
      <c r="F3837" s="256" t="inlineStr">
        <is>
          <t>≥ 11.05.2026 (floor — not yet dated)</t>
        </is>
      </c>
      <c r="G3837" s="256" t="inlineStr">
        <is>
          <t>10.3</t>
        </is>
      </c>
      <c r="H3837" s="256" t="inlineStr">
        <is>
          <t>Ochratoxin A</t>
        </is>
      </c>
      <c r="I3837" s="256" t="inlineStr">
        <is>
          <t>Ph. Eur. 2.8.22 (HPLC-FLD)</t>
        </is>
      </c>
      <c r="J3837" s="256" t="inlineStr">
        <is>
          <t>≤ 20 µg/kg</t>
        </is>
      </c>
      <c r="K3837" s="259" t="inlineStr">
        <is>
          <t>not tested</t>
        </is>
      </c>
      <c r="L3837" s="256" t="inlineStr">
        <is>
          <t>—</t>
        </is>
      </c>
      <c r="M3837" s="256" t="inlineStr">
        <is>
          <t>—</t>
        </is>
      </c>
      <c r="N3837" s="256" t="inlineStr">
        <is>
          <t>—</t>
        </is>
      </c>
      <c r="O3837" s="256" t="inlineStr">
        <is>
          <t>—</t>
        </is>
      </c>
      <c r="P3837" s="256" t="inlineStr">
        <is>
          <t>not tested — no certificate covers it</t>
        </is>
      </c>
      <c r="Q3837" s="256" t="inlineStr"/>
      <c r="R3837" s="256" t="inlineStr">
        <is>
          <t>ND (220-31-М/26)</t>
        </is>
      </c>
    </row>
    <row r="3838">
      <c r="A3838" s="256" t="inlineStr">
        <is>
          <t>CoQ-PP_26-167</t>
        </is>
      </c>
      <c r="B3838" s="256" t="inlineStr">
        <is>
          <t>release</t>
        </is>
      </c>
      <c r="C3838" s="256" t="inlineStr">
        <is>
          <t>FB042601</t>
        </is>
      </c>
      <c r="D3838" s="256" t="inlineStr">
        <is>
          <t>— no P lot assigned —</t>
        </is>
      </c>
      <c r="E3838" s="256" t="inlineStr">
        <is>
          <t>Fat Bastard</t>
        </is>
      </c>
      <c r="F3838" s="256" t="inlineStr">
        <is>
          <t>≥ 11.05.2026 (floor — not yet dated)</t>
        </is>
      </c>
      <c r="G3838" s="256" t="inlineStr">
        <is>
          <t>11.1</t>
        </is>
      </c>
      <c r="H3838" s="256" t="inlineStr">
        <is>
          <t>Lead (Pb)</t>
        </is>
      </c>
      <c r="I3838" s="256" t="inlineStr">
        <is>
          <t>Ph. Eur. 2.4.27 (ICP-MS)</t>
        </is>
      </c>
      <c r="J3838" s="256" t="inlineStr">
        <is>
          <t>≤ 0.5 mg/kg</t>
        </is>
      </c>
      <c r="K3838" s="259" t="inlineStr">
        <is>
          <t>not tested</t>
        </is>
      </c>
      <c r="L3838" s="256" t="inlineStr">
        <is>
          <t>—</t>
        </is>
      </c>
      <c r="M3838" s="256" t="inlineStr">
        <is>
          <t>—</t>
        </is>
      </c>
      <c r="N3838" s="256" t="inlineStr">
        <is>
          <t>—</t>
        </is>
      </c>
      <c r="O3838" s="256" t="inlineStr">
        <is>
          <t>—</t>
        </is>
      </c>
      <c r="P3838" s="256" t="inlineStr">
        <is>
          <t>not tested — no certificate covers it</t>
        </is>
      </c>
      <c r="Q3838" s="256" t="inlineStr"/>
      <c r="R3838" s="256" t="inlineStr"/>
    </row>
    <row r="3839">
      <c r="A3839" s="256" t="inlineStr">
        <is>
          <t>CoQ-PP_26-167</t>
        </is>
      </c>
      <c r="B3839" s="256" t="inlineStr">
        <is>
          <t>release</t>
        </is>
      </c>
      <c r="C3839" s="256" t="inlineStr">
        <is>
          <t>FB042601</t>
        </is>
      </c>
      <c r="D3839" s="256" t="inlineStr">
        <is>
          <t>— no P lot assigned —</t>
        </is>
      </c>
      <c r="E3839" s="256" t="inlineStr">
        <is>
          <t>Fat Bastard</t>
        </is>
      </c>
      <c r="F3839" s="256" t="inlineStr">
        <is>
          <t>≥ 11.05.2026 (floor — not yet dated)</t>
        </is>
      </c>
      <c r="G3839" s="256" t="inlineStr">
        <is>
          <t>11.2</t>
        </is>
      </c>
      <c r="H3839" s="256" t="inlineStr">
        <is>
          <t>Cadmium (Cd)</t>
        </is>
      </c>
      <c r="I3839" s="256" t="inlineStr">
        <is>
          <t>Ph. Eur. 2.4.27 (ICP-MS)</t>
        </is>
      </c>
      <c r="J3839" s="256" t="inlineStr">
        <is>
          <t>≤ 0.3 mg/kg</t>
        </is>
      </c>
      <c r="K3839" s="259" t="inlineStr">
        <is>
          <t>not tested</t>
        </is>
      </c>
      <c r="L3839" s="256" t="inlineStr">
        <is>
          <t>—</t>
        </is>
      </c>
      <c r="M3839" s="256" t="inlineStr">
        <is>
          <t>—</t>
        </is>
      </c>
      <c r="N3839" s="256" t="inlineStr">
        <is>
          <t>—</t>
        </is>
      </c>
      <c r="O3839" s="256" t="inlineStr">
        <is>
          <t>—</t>
        </is>
      </c>
      <c r="P3839" s="256" t="inlineStr">
        <is>
          <t>not tested — no certificate covers it</t>
        </is>
      </c>
      <c r="Q3839" s="256" t="inlineStr"/>
      <c r="R3839" s="256" t="inlineStr"/>
    </row>
    <row r="3840">
      <c r="A3840" s="256" t="inlineStr">
        <is>
          <t>CoQ-PP_26-167</t>
        </is>
      </c>
      <c r="B3840" s="256" t="inlineStr">
        <is>
          <t>release</t>
        </is>
      </c>
      <c r="C3840" s="256" t="inlineStr">
        <is>
          <t>FB042601</t>
        </is>
      </c>
      <c r="D3840" s="256" t="inlineStr">
        <is>
          <t>— no P lot assigned —</t>
        </is>
      </c>
      <c r="E3840" s="256" t="inlineStr">
        <is>
          <t>Fat Bastard</t>
        </is>
      </c>
      <c r="F3840" s="256" t="inlineStr">
        <is>
          <t>≥ 11.05.2026 (floor — not yet dated)</t>
        </is>
      </c>
      <c r="G3840" s="256" t="inlineStr">
        <is>
          <t>11.3</t>
        </is>
      </c>
      <c r="H3840" s="256" t="inlineStr">
        <is>
          <t>Arsenic (As)</t>
        </is>
      </c>
      <c r="I3840" s="256" t="inlineStr">
        <is>
          <t>Ph. Eur. 2.4.27 (ICP-MS)</t>
        </is>
      </c>
      <c r="J3840" s="256" t="inlineStr">
        <is>
          <t>≤ 0.2 mg/kg</t>
        </is>
      </c>
      <c r="K3840" s="259" t="inlineStr">
        <is>
          <t>not tested</t>
        </is>
      </c>
      <c r="L3840" s="256" t="inlineStr">
        <is>
          <t>—</t>
        </is>
      </c>
      <c r="M3840" s="256" t="inlineStr">
        <is>
          <t>—</t>
        </is>
      </c>
      <c r="N3840" s="256" t="inlineStr">
        <is>
          <t>—</t>
        </is>
      </c>
      <c r="O3840" s="256" t="inlineStr">
        <is>
          <t>—</t>
        </is>
      </c>
      <c r="P3840" s="256" t="inlineStr">
        <is>
          <t>not tested — no certificate covers it</t>
        </is>
      </c>
      <c r="Q3840" s="256" t="inlineStr"/>
      <c r="R3840" s="256" t="inlineStr"/>
    </row>
    <row r="3841">
      <c r="A3841" s="256" t="inlineStr">
        <is>
          <t>CoQ-PP_26-167</t>
        </is>
      </c>
      <c r="B3841" s="256" t="inlineStr">
        <is>
          <t>release</t>
        </is>
      </c>
      <c r="C3841" s="256" t="inlineStr">
        <is>
          <t>FB042601</t>
        </is>
      </c>
      <c r="D3841" s="256" t="inlineStr">
        <is>
          <t>— no P lot assigned —</t>
        </is>
      </c>
      <c r="E3841" s="256" t="inlineStr">
        <is>
          <t>Fat Bastard</t>
        </is>
      </c>
      <c r="F3841" s="256" t="inlineStr">
        <is>
          <t>≥ 11.05.2026 (floor — not yet dated)</t>
        </is>
      </c>
      <c r="G3841" s="256" t="inlineStr">
        <is>
          <t>11.4</t>
        </is>
      </c>
      <c r="H3841" s="256" t="inlineStr">
        <is>
          <t>Mercury (Hg)</t>
        </is>
      </c>
      <c r="I3841" s="256" t="inlineStr">
        <is>
          <t>Ph. Eur. 2.4.27 (ICP-MS)</t>
        </is>
      </c>
      <c r="J3841" s="256" t="inlineStr">
        <is>
          <t>≤ 0.1 mg/kg</t>
        </is>
      </c>
      <c r="K3841" s="259" t="inlineStr">
        <is>
          <t>not tested</t>
        </is>
      </c>
      <c r="L3841" s="256" t="inlineStr">
        <is>
          <t>—</t>
        </is>
      </c>
      <c r="M3841" s="256" t="inlineStr">
        <is>
          <t>—</t>
        </is>
      </c>
      <c r="N3841" s="256" t="inlineStr">
        <is>
          <t>—</t>
        </is>
      </c>
      <c r="O3841" s="256" t="inlineStr">
        <is>
          <t>—</t>
        </is>
      </c>
      <c r="P3841" s="256" t="inlineStr">
        <is>
          <t>not tested — no certificate covers it</t>
        </is>
      </c>
      <c r="Q3841" s="256" t="inlineStr"/>
      <c r="R3841" s="256" t="inlineStr"/>
    </row>
    <row r="3842">
      <c r="A3842" s="256" t="inlineStr">
        <is>
          <t>CoQ-PP_26-167</t>
        </is>
      </c>
      <c r="B3842" s="256" t="inlineStr">
        <is>
          <t>release</t>
        </is>
      </c>
      <c r="C3842" s="256" t="inlineStr">
        <is>
          <t>FB042601</t>
        </is>
      </c>
      <c r="D3842" s="256" t="inlineStr">
        <is>
          <t>— no P lot assigned —</t>
        </is>
      </c>
      <c r="E3842" s="256" t="inlineStr">
        <is>
          <t>Fat Bastard</t>
        </is>
      </c>
      <c r="F3842" s="256" t="inlineStr">
        <is>
          <t>≥ 11.05.2026 (floor — not yet dated)</t>
        </is>
      </c>
      <c r="G3842" s="256" t="inlineStr">
        <is>
          <t>12</t>
        </is>
      </c>
      <c r="H3842" s="256" t="inlineStr">
        <is>
          <t>Pesticide Residues</t>
        </is>
      </c>
      <c r="I3842" s="256" t="inlineStr">
        <is>
          <t>Ph. Eur. 2.8.13 (LC-MS/MS) · CUMCS Equivalency</t>
        </is>
      </c>
      <c r="J3842" s="256" t="inlineStr">
        <is>
          <t>≤ LOQ as per Ph. Eur. 2.8.13 · ≤ LOQ as per CUMCS Equivalency</t>
        </is>
      </c>
      <c r="K3842" s="259" t="inlineStr">
        <is>
          <t>not tested</t>
        </is>
      </c>
      <c r="L3842" s="256" t="inlineStr">
        <is>
          <t>—</t>
        </is>
      </c>
      <c r="M3842" s="256" t="inlineStr">
        <is>
          <t>—</t>
        </is>
      </c>
      <c r="N3842" s="256" t="inlineStr">
        <is>
          <t>—</t>
        </is>
      </c>
      <c r="O3842" s="256" t="inlineStr">
        <is>
          <t>—</t>
        </is>
      </c>
      <c r="P3842" s="256" t="inlineStr">
        <is>
          <t>not tested — no certificate covers it</t>
        </is>
      </c>
      <c r="Q3842" s="256" t="inlineStr"/>
      <c r="R3842" s="256" t="inlineStr"/>
    </row>
    <row r="3843">
      <c r="A3843" s="256" t="inlineStr">
        <is>
          <t>CoQ-PP_26-168</t>
        </is>
      </c>
      <c r="B3843" s="256" t="inlineStr">
        <is>
          <t>release</t>
        </is>
      </c>
      <c r="C3843" s="256" t="inlineStr">
        <is>
          <t>P160012</t>
        </is>
      </c>
      <c r="D3843" s="256" t="inlineStr">
        <is>
          <t>— no P lot assigned —</t>
        </is>
      </c>
      <c r="E3843" s="256" t="inlineStr">
        <is>
          <t>Grape Pie</t>
        </is>
      </c>
      <c r="F3843" s="256" t="inlineStr">
        <is>
          <t>13.07.2026</t>
        </is>
      </c>
      <c r="G3843" s="256" t="inlineStr">
        <is>
          <t>1</t>
        </is>
      </c>
      <c r="H3843" s="256" t="inlineStr">
        <is>
          <t>Identification A, Appearance · Macroscopic</t>
        </is>
      </c>
      <c r="I3843" s="256" t="inlineStr">
        <is>
          <t>Ph. Eur. mon. 3028</t>
        </is>
      </c>
      <c r="J3843" s="256" t="inlineStr">
        <is>
          <t>Conforms to the monograph for Cannabis flos (07/2024:3028) in Ph. Eur. 11.0 | Согласно монографија за Cannabis flos (07/2024:3028) во Ph. Eur. 11.0</t>
        </is>
      </c>
      <c r="K3843" s="256" t="inlineStr">
        <is>
          <t>Conforms | Одговара</t>
        </is>
      </c>
      <c r="L3843" s="256" t="inlineStr">
        <is>
          <t>ППК26117</t>
        </is>
      </c>
      <c r="M3843" s="256" t="inlineStr">
        <is>
          <t>06.07.2026</t>
        </is>
      </c>
      <c r="N3843" s="256" t="inlineStr">
        <is>
          <t>UKIM Faculty of Pharmacy — Center for Natural Products</t>
        </is>
      </c>
      <c r="O3843" s="256" t="inlineStr">
        <is>
          <t>17.06.2026</t>
        </is>
      </c>
      <c r="P3843" s="256" t="inlineStr">
        <is>
          <t>covered</t>
        </is>
      </c>
      <c r="Q3843" s="256" t="inlineStr"/>
      <c r="R3843" s="256" t="inlineStr"/>
    </row>
    <row r="3844">
      <c r="A3844" s="256" t="inlineStr">
        <is>
          <t>CoQ-PP_26-168</t>
        </is>
      </c>
      <c r="B3844" s="256" t="inlineStr">
        <is>
          <t>release</t>
        </is>
      </c>
      <c r="C3844" s="256" t="inlineStr">
        <is>
          <t>P160012</t>
        </is>
      </c>
      <c r="D3844" s="256" t="inlineStr">
        <is>
          <t>— no P lot assigned —</t>
        </is>
      </c>
      <c r="E3844" s="256" t="inlineStr">
        <is>
          <t>Grape Pie</t>
        </is>
      </c>
      <c r="F3844" s="256" t="inlineStr">
        <is>
          <t>13.07.2026</t>
        </is>
      </c>
      <c r="G3844" s="256" t="inlineStr">
        <is>
          <t>2</t>
        </is>
      </c>
      <c r="H3844" s="256" t="inlineStr">
        <is>
          <t>Identification B · Microscopic</t>
        </is>
      </c>
      <c r="I3844" s="256" t="inlineStr">
        <is>
          <t>Ph. Eur. 2.8.23 (microscopy)</t>
        </is>
      </c>
      <c r="J3844" s="256" t="inlineStr">
        <is>
          <t>Conforms to the monograph for Cannabis flos (07/2024:3028) in Ph. Eur. 11.0 | Согласно монографија за Cannabis flos (07/2024:3028) во Ph. Eur. 11.0</t>
        </is>
      </c>
      <c r="K3844" s="256" t="inlineStr">
        <is>
          <t>Conforms | Одговара</t>
        </is>
      </c>
      <c r="L3844" s="256" t="inlineStr">
        <is>
          <t>ППК26117</t>
        </is>
      </c>
      <c r="M3844" s="256" t="inlineStr">
        <is>
          <t>06.07.2026</t>
        </is>
      </c>
      <c r="N3844" s="256" t="inlineStr">
        <is>
          <t>UKIM Faculty of Pharmacy — Center for Natural Products</t>
        </is>
      </c>
      <c r="O3844" s="256" t="inlineStr">
        <is>
          <t>17.06.2026</t>
        </is>
      </c>
      <c r="P3844" s="256" t="inlineStr">
        <is>
          <t>covered</t>
        </is>
      </c>
      <c r="Q3844" s="256" t="inlineStr"/>
      <c r="R3844" s="256" t="inlineStr"/>
    </row>
    <row r="3845">
      <c r="A3845" s="256" t="inlineStr">
        <is>
          <t>CoQ-PP_26-168</t>
        </is>
      </c>
      <c r="B3845" s="256" t="inlineStr">
        <is>
          <t>release</t>
        </is>
      </c>
      <c r="C3845" s="256" t="inlineStr">
        <is>
          <t>P160012</t>
        </is>
      </c>
      <c r="D3845" s="256" t="inlineStr">
        <is>
          <t>— no P lot assigned —</t>
        </is>
      </c>
      <c r="E3845" s="256" t="inlineStr">
        <is>
          <t>Grape Pie</t>
        </is>
      </c>
      <c r="F3845" s="256" t="inlineStr">
        <is>
          <t>13.07.2026</t>
        </is>
      </c>
      <c r="G3845" s="256" t="inlineStr">
        <is>
          <t>3</t>
        </is>
      </c>
      <c r="H3845" s="256" t="inlineStr">
        <is>
          <t>Identification C · HPLC/HPTLC</t>
        </is>
      </c>
      <c r="I3845" s="256" t="inlineStr">
        <is>
          <t>Ph. Eur. 2.2.29 (3028)</t>
        </is>
      </c>
      <c r="J3845" s="256" t="inlineStr">
        <is>
          <t>Conforms to the monograph for Cannabis flos (07/2024:3028) in Ph. Eur. 11.0 | Согласно монографија за Cannabis flos (07/2024:3028) во Ph. Eur. 11.0</t>
        </is>
      </c>
      <c r="K3845" s="256" t="inlineStr">
        <is>
          <t>Conforms | Одговара</t>
        </is>
      </c>
      <c r="L3845" s="256" t="inlineStr">
        <is>
          <t>ППК26117</t>
        </is>
      </c>
      <c r="M3845" s="256" t="inlineStr">
        <is>
          <t>06.07.2026</t>
        </is>
      </c>
      <c r="N3845" s="256" t="inlineStr">
        <is>
          <t>UKIM Faculty of Pharmacy — Center for Natural Products</t>
        </is>
      </c>
      <c r="O3845" s="256" t="inlineStr">
        <is>
          <t>17.06.2026</t>
        </is>
      </c>
      <c r="P3845" s="256" t="inlineStr">
        <is>
          <t>covered</t>
        </is>
      </c>
      <c r="Q3845" s="256" t="inlineStr"/>
      <c r="R3845" s="256" t="inlineStr"/>
    </row>
    <row r="3846">
      <c r="A3846" s="256" t="inlineStr">
        <is>
          <t>CoQ-PP_26-168</t>
        </is>
      </c>
      <c r="B3846" s="256" t="inlineStr">
        <is>
          <t>release</t>
        </is>
      </c>
      <c r="C3846" s="256" t="inlineStr">
        <is>
          <t>P160012</t>
        </is>
      </c>
      <c r="D3846" s="256" t="inlineStr">
        <is>
          <t>— no P lot assigned —</t>
        </is>
      </c>
      <c r="E3846" s="256" t="inlineStr">
        <is>
          <t>Grape Pie</t>
        </is>
      </c>
      <c r="F3846" s="256" t="inlineStr">
        <is>
          <t>13.07.2026</t>
        </is>
      </c>
      <c r="G3846" s="256" t="inlineStr">
        <is>
          <t>4</t>
        </is>
      </c>
      <c r="H3846" s="256" t="inlineStr">
        <is>
          <t>Assay — Total Δ⁹-THC</t>
        </is>
      </c>
      <c r="I3846" s="256" t="inlineStr">
        <is>
          <t>Ph. Eur. 2.2.29 (HPLC)</t>
        </is>
      </c>
      <c r="J3846" s="256" t="inlineStr">
        <is>
          <t>26.00 – 29.99 %  (grade I, nominal 28.00 ± 2.00)</t>
        </is>
      </c>
      <c r="K3846" s="256" t="inlineStr">
        <is>
          <t>26.32</t>
        </is>
      </c>
      <c r="L3846" s="256" t="inlineStr">
        <is>
          <t>ППК26117</t>
        </is>
      </c>
      <c r="M3846" s="256" t="inlineStr">
        <is>
          <t>06.07.2026</t>
        </is>
      </c>
      <c r="N3846" s="256" t="inlineStr">
        <is>
          <t>UKIM Faculty of Pharmacy — Center for Natural Products</t>
        </is>
      </c>
      <c r="O3846" s="256" t="inlineStr">
        <is>
          <t>17.06.2026</t>
        </is>
      </c>
      <c r="P3846" s="256" t="inlineStr">
        <is>
          <t>covered</t>
        </is>
      </c>
      <c r="Q3846" s="256" t="inlineStr"/>
      <c r="R3846" s="256" t="inlineStr"/>
    </row>
    <row r="3847">
      <c r="A3847" s="256" t="inlineStr">
        <is>
          <t>CoQ-PP_26-168</t>
        </is>
      </c>
      <c r="B3847" s="256" t="inlineStr">
        <is>
          <t>release</t>
        </is>
      </c>
      <c r="C3847" s="256" t="inlineStr">
        <is>
          <t>P160012</t>
        </is>
      </c>
      <c r="D3847" s="256" t="inlineStr">
        <is>
          <t>— no P lot assigned —</t>
        </is>
      </c>
      <c r="E3847" s="256" t="inlineStr">
        <is>
          <t>Grape Pie</t>
        </is>
      </c>
      <c r="F3847" s="256" t="inlineStr">
        <is>
          <t>13.07.2026</t>
        </is>
      </c>
      <c r="G3847" s="256" t="inlineStr">
        <is>
          <t>5</t>
        </is>
      </c>
      <c r="H3847" s="256" t="inlineStr">
        <is>
          <t>Assay — Total CBD</t>
        </is>
      </c>
      <c r="I3847" s="256" t="inlineStr">
        <is>
          <t>Ph. Eur. 2.2.29 (HPLC) · CBD + CBDA x 0.877</t>
        </is>
      </c>
      <c r="J3847" s="256" t="inlineStr">
        <is>
          <t>≤ 1.0%, w/w</t>
        </is>
      </c>
      <c r="K3847" s="256" t="inlineStr">
        <is>
          <t>0.15</t>
        </is>
      </c>
      <c r="L3847" s="256" t="inlineStr">
        <is>
          <t>ППК26117</t>
        </is>
      </c>
      <c r="M3847" s="256" t="inlineStr">
        <is>
          <t>06.07.2026</t>
        </is>
      </c>
      <c r="N3847" s="256" t="inlineStr">
        <is>
          <t>UKIM Faculty of Pharmacy — Center for Natural Products</t>
        </is>
      </c>
      <c r="O3847" s="256" t="inlineStr">
        <is>
          <t>17.06.2026</t>
        </is>
      </c>
      <c r="P3847" s="256" t="inlineStr">
        <is>
          <t>covered</t>
        </is>
      </c>
      <c r="Q3847" s="256" t="inlineStr"/>
      <c r="R3847" s="256" t="inlineStr"/>
    </row>
    <row r="3848">
      <c r="A3848" s="256" t="inlineStr">
        <is>
          <t>CoQ-PP_26-168</t>
        </is>
      </c>
      <c r="B3848" s="256" t="inlineStr">
        <is>
          <t>release</t>
        </is>
      </c>
      <c r="C3848" s="256" t="inlineStr">
        <is>
          <t>P160012</t>
        </is>
      </c>
      <c r="D3848" s="256" t="inlineStr">
        <is>
          <t>— no P lot assigned —</t>
        </is>
      </c>
      <c r="E3848" s="256" t="inlineStr">
        <is>
          <t>Grape Pie</t>
        </is>
      </c>
      <c r="F3848" s="256" t="inlineStr">
        <is>
          <t>13.07.2026</t>
        </is>
      </c>
      <c r="G3848" s="256" t="inlineStr">
        <is>
          <t>6</t>
        </is>
      </c>
      <c r="H3848" s="256" t="inlineStr">
        <is>
          <t>Total CBN</t>
        </is>
      </c>
      <c r="I3848" s="256" t="inlineStr">
        <is>
          <t>Ph. Eur. 2.2.29 (HPLC) · CBN + CBNA x 0.876</t>
        </is>
      </c>
      <c r="J3848" s="256" t="inlineStr">
        <is>
          <t>≤ 1.0%, w/w</t>
        </is>
      </c>
      <c r="K3848" s="256" t="inlineStr">
        <is>
          <t>0.09</t>
        </is>
      </c>
      <c r="L3848" s="256" t="inlineStr">
        <is>
          <t>ППК26117</t>
        </is>
      </c>
      <c r="M3848" s="256" t="inlineStr">
        <is>
          <t>06.07.2026</t>
        </is>
      </c>
      <c r="N3848" s="256" t="inlineStr">
        <is>
          <t>UKIM Faculty of Pharmacy — Center for Natural Products</t>
        </is>
      </c>
      <c r="O3848" s="256" t="inlineStr">
        <is>
          <t>17.06.2026</t>
        </is>
      </c>
      <c r="P3848" s="256" t="inlineStr">
        <is>
          <t>covered</t>
        </is>
      </c>
      <c r="Q3848" s="256" t="inlineStr"/>
      <c r="R3848" s="256" t="inlineStr"/>
    </row>
    <row r="3849">
      <c r="A3849" s="256" t="inlineStr">
        <is>
          <t>CoQ-PP_26-168</t>
        </is>
      </c>
      <c r="B3849" s="256" t="inlineStr">
        <is>
          <t>release</t>
        </is>
      </c>
      <c r="C3849" s="256" t="inlineStr">
        <is>
          <t>P160012</t>
        </is>
      </c>
      <c r="D3849" s="256" t="inlineStr">
        <is>
          <t>— no P lot assigned —</t>
        </is>
      </c>
      <c r="E3849" s="256" t="inlineStr">
        <is>
          <t>Grape Pie</t>
        </is>
      </c>
      <c r="F3849" s="256" t="inlineStr">
        <is>
          <t>13.07.2026</t>
        </is>
      </c>
      <c r="G3849" s="256" t="inlineStr">
        <is>
          <t>7</t>
        </is>
      </c>
      <c r="H3849" s="256" t="inlineStr">
        <is>
          <t>Foreign Matter</t>
        </is>
      </c>
      <c r="I3849" s="256" t="inlineStr">
        <is>
          <t>Ph. Eur. 2.8.2 · In-house · интерна</t>
        </is>
      </c>
      <c r="J3849" s="256" t="inlineStr">
        <is>
          <t>≤ 2.0% / 25–50 g · &lt; 1 cm leaves | листови, no seeds | без семки</t>
        </is>
      </c>
      <c r="K3849" s="256" t="inlineStr">
        <is>
          <t>Conforms | Одговара</t>
        </is>
      </c>
      <c r="L3849" s="256" t="inlineStr">
        <is>
          <t>ППК26117</t>
        </is>
      </c>
      <c r="M3849" s="256" t="inlineStr">
        <is>
          <t>06.07.2026</t>
        </is>
      </c>
      <c r="N3849" s="256" t="inlineStr">
        <is>
          <t>UKIM Faculty of Pharmacy — Center for Natural Products</t>
        </is>
      </c>
      <c r="O3849" s="256" t="inlineStr">
        <is>
          <t>17.06.2026</t>
        </is>
      </c>
      <c r="P3849" s="256" t="inlineStr">
        <is>
          <t>covered</t>
        </is>
      </c>
      <c r="Q3849" s="256" t="inlineStr"/>
      <c r="R3849" s="256" t="inlineStr"/>
    </row>
    <row r="3850">
      <c r="A3850" s="256" t="inlineStr">
        <is>
          <t>CoQ-PP_26-168</t>
        </is>
      </c>
      <c r="B3850" s="256" t="inlineStr">
        <is>
          <t>release</t>
        </is>
      </c>
      <c r="C3850" s="256" t="inlineStr">
        <is>
          <t>P160012</t>
        </is>
      </c>
      <c r="D3850" s="256" t="inlineStr">
        <is>
          <t>— no P lot assigned —</t>
        </is>
      </c>
      <c r="E3850" s="256" t="inlineStr">
        <is>
          <t>Grape Pie</t>
        </is>
      </c>
      <c r="F3850" s="256" t="inlineStr">
        <is>
          <t>13.07.2026</t>
        </is>
      </c>
      <c r="G3850" s="256" t="inlineStr">
        <is>
          <t>8</t>
        </is>
      </c>
      <c r="H3850" s="256" t="inlineStr">
        <is>
          <t>Loss on Drying</t>
        </is>
      </c>
      <c r="I3850" s="256" t="inlineStr">
        <is>
          <t>Ph. Eur. 2.2.32 (3028) · at 40 °C, 24 h, 15–25 mbar</t>
        </is>
      </c>
      <c r="J3850" s="256" t="inlineStr">
        <is>
          <t>≤ 12.0%</t>
        </is>
      </c>
      <c r="K3850" s="256" t="inlineStr">
        <is>
          <t>6.31</t>
        </is>
      </c>
      <c r="L3850" s="256" t="inlineStr">
        <is>
          <t>ППК26117</t>
        </is>
      </c>
      <c r="M3850" s="256" t="inlineStr">
        <is>
          <t>06.07.2026</t>
        </is>
      </c>
      <c r="N3850" s="256" t="inlineStr">
        <is>
          <t>UKIM Faculty of Pharmacy — Center for Natural Products</t>
        </is>
      </c>
      <c r="O3850" s="256" t="inlineStr">
        <is>
          <t>17.06.2026</t>
        </is>
      </c>
      <c r="P3850" s="256" t="inlineStr">
        <is>
          <t>covered</t>
        </is>
      </c>
      <c r="Q3850" s="256" t="inlineStr"/>
      <c r="R3850" s="256" t="inlineStr"/>
    </row>
    <row r="3851">
      <c r="A3851" s="256" t="inlineStr">
        <is>
          <t>CoQ-PP_26-168</t>
        </is>
      </c>
      <c r="B3851" s="256" t="inlineStr">
        <is>
          <t>release</t>
        </is>
      </c>
      <c r="C3851" s="256" t="inlineStr">
        <is>
          <t>P160012</t>
        </is>
      </c>
      <c r="D3851" s="256" t="inlineStr">
        <is>
          <t>— no P lot assigned —</t>
        </is>
      </c>
      <c r="E3851" s="256" t="inlineStr">
        <is>
          <t>Grape Pie</t>
        </is>
      </c>
      <c r="F3851" s="256" t="inlineStr">
        <is>
          <t>13.07.2026</t>
        </is>
      </c>
      <c r="G3851" s="256" t="inlineStr">
        <is>
          <t>9.1</t>
        </is>
      </c>
      <c r="H3851" s="256" t="inlineStr">
        <is>
          <t>TAMC</t>
        </is>
      </c>
      <c r="I3851" s="256" t="inlineStr">
        <is>
          <t>Ph. Eur. 2.6.12 cat. C</t>
        </is>
      </c>
      <c r="J3851" s="256" t="inlineStr">
        <is>
          <t>≤ 10⁵ CFU/g</t>
        </is>
      </c>
      <c r="K3851" s="259" t="inlineStr">
        <is>
          <t>not tested</t>
        </is>
      </c>
      <c r="L3851" s="256" t="inlineStr">
        <is>
          <t>—</t>
        </is>
      </c>
      <c r="M3851" s="256" t="inlineStr">
        <is>
          <t>—</t>
        </is>
      </c>
      <c r="N3851" s="256" t="inlineStr">
        <is>
          <t>—</t>
        </is>
      </c>
      <c r="O3851" s="256" t="inlineStr">
        <is>
          <t>—</t>
        </is>
      </c>
      <c r="P3851" s="256" t="inlineStr">
        <is>
          <t>not tested — no certificate covers it</t>
        </is>
      </c>
      <c r="Q3851" s="256" t="inlineStr"/>
      <c r="R3851" s="256" t="inlineStr"/>
    </row>
    <row r="3852">
      <c r="A3852" s="256" t="inlineStr">
        <is>
          <t>CoQ-PP_26-168</t>
        </is>
      </c>
      <c r="B3852" s="256" t="inlineStr">
        <is>
          <t>release</t>
        </is>
      </c>
      <c r="C3852" s="256" t="inlineStr">
        <is>
          <t>P160012</t>
        </is>
      </c>
      <c r="D3852" s="256" t="inlineStr">
        <is>
          <t>— no P lot assigned —</t>
        </is>
      </c>
      <c r="E3852" s="256" t="inlineStr">
        <is>
          <t>Grape Pie</t>
        </is>
      </c>
      <c r="F3852" s="256" t="inlineStr">
        <is>
          <t>13.07.2026</t>
        </is>
      </c>
      <c r="G3852" s="256" t="inlineStr">
        <is>
          <t>9.2</t>
        </is>
      </c>
      <c r="H3852" s="256" t="inlineStr">
        <is>
          <t>TYMC</t>
        </is>
      </c>
      <c r="I3852" s="256" t="inlineStr">
        <is>
          <t>Ph. Eur. 2.6.12 cat. C</t>
        </is>
      </c>
      <c r="J3852" s="256" t="inlineStr">
        <is>
          <t>≤ 10⁴ CFU/g</t>
        </is>
      </c>
      <c r="K3852" s="259" t="inlineStr">
        <is>
          <t>not tested</t>
        </is>
      </c>
      <c r="L3852" s="256" t="inlineStr">
        <is>
          <t>—</t>
        </is>
      </c>
      <c r="M3852" s="256" t="inlineStr">
        <is>
          <t>—</t>
        </is>
      </c>
      <c r="N3852" s="256" t="inlineStr">
        <is>
          <t>—</t>
        </is>
      </c>
      <c r="O3852" s="256" t="inlineStr">
        <is>
          <t>—</t>
        </is>
      </c>
      <c r="P3852" s="256" t="inlineStr">
        <is>
          <t>not tested — no certificate covers it</t>
        </is>
      </c>
      <c r="Q3852" s="256" t="inlineStr"/>
      <c r="R3852" s="256" t="inlineStr"/>
    </row>
    <row r="3853">
      <c r="A3853" s="256" t="inlineStr">
        <is>
          <t>CoQ-PP_26-168</t>
        </is>
      </c>
      <c r="B3853" s="256" t="inlineStr">
        <is>
          <t>release</t>
        </is>
      </c>
      <c r="C3853" s="256" t="inlineStr">
        <is>
          <t>P160012</t>
        </is>
      </c>
      <c r="D3853" s="256" t="inlineStr">
        <is>
          <t>— no P lot assigned —</t>
        </is>
      </c>
      <c r="E3853" s="256" t="inlineStr">
        <is>
          <t>Grape Pie</t>
        </is>
      </c>
      <c r="F3853" s="256" t="inlineStr">
        <is>
          <t>13.07.2026</t>
        </is>
      </c>
      <c r="G3853" s="256" t="inlineStr">
        <is>
          <t>9.3</t>
        </is>
      </c>
      <c r="H3853" s="256" t="inlineStr">
        <is>
          <t>Bile-tolerant gram-neg.</t>
        </is>
      </c>
      <c r="I3853" s="256" t="inlineStr">
        <is>
          <t>Ph. Eur. 2.6.31 cat. C</t>
        </is>
      </c>
      <c r="J3853" s="256" t="inlineStr">
        <is>
          <t>≤ 10⁴ CFU/g</t>
        </is>
      </c>
      <c r="K3853" s="259" t="inlineStr">
        <is>
          <t>not tested</t>
        </is>
      </c>
      <c r="L3853" s="256" t="inlineStr">
        <is>
          <t>—</t>
        </is>
      </c>
      <c r="M3853" s="256" t="inlineStr">
        <is>
          <t>—</t>
        </is>
      </c>
      <c r="N3853" s="256" t="inlineStr">
        <is>
          <t>—</t>
        </is>
      </c>
      <c r="O3853" s="256" t="inlineStr">
        <is>
          <t>—</t>
        </is>
      </c>
      <c r="P3853" s="256" t="inlineStr">
        <is>
          <t>not tested — no certificate covers it</t>
        </is>
      </c>
      <c r="Q3853" s="256" t="inlineStr"/>
      <c r="R3853" s="256" t="inlineStr"/>
    </row>
    <row r="3854">
      <c r="A3854" s="256" t="inlineStr">
        <is>
          <t>CoQ-PP_26-168</t>
        </is>
      </c>
      <c r="B3854" s="256" t="inlineStr">
        <is>
          <t>release</t>
        </is>
      </c>
      <c r="C3854" s="256" t="inlineStr">
        <is>
          <t>P160012</t>
        </is>
      </c>
      <c r="D3854" s="256" t="inlineStr">
        <is>
          <t>— no P lot assigned —</t>
        </is>
      </c>
      <c r="E3854" s="256" t="inlineStr">
        <is>
          <t>Grape Pie</t>
        </is>
      </c>
      <c r="F3854" s="256" t="inlineStr">
        <is>
          <t>13.07.2026</t>
        </is>
      </c>
      <c r="G3854" s="256" t="inlineStr">
        <is>
          <t>9.4</t>
        </is>
      </c>
      <c r="H3854" s="256" t="inlineStr">
        <is>
          <t>Salmonella</t>
        </is>
      </c>
      <c r="I3854" s="256" t="inlineStr">
        <is>
          <t>Ph. Eur. 2.6.31 cat. C</t>
        </is>
      </c>
      <c r="J3854" s="256" t="inlineStr">
        <is>
          <t>Absence | Отсуство / 25 g</t>
        </is>
      </c>
      <c r="K3854" s="259" t="inlineStr">
        <is>
          <t>not tested</t>
        </is>
      </c>
      <c r="L3854" s="256" t="inlineStr">
        <is>
          <t>—</t>
        </is>
      </c>
      <c r="M3854" s="256" t="inlineStr">
        <is>
          <t>—</t>
        </is>
      </c>
      <c r="N3854" s="256" t="inlineStr">
        <is>
          <t>—</t>
        </is>
      </c>
      <c r="O3854" s="256" t="inlineStr">
        <is>
          <t>—</t>
        </is>
      </c>
      <c r="P3854" s="256" t="inlineStr">
        <is>
          <t>not tested — no certificate covers it</t>
        </is>
      </c>
      <c r="Q3854" s="256" t="inlineStr"/>
      <c r="R3854" s="256" t="inlineStr"/>
    </row>
    <row r="3855">
      <c r="A3855" s="256" t="inlineStr">
        <is>
          <t>CoQ-PP_26-168</t>
        </is>
      </c>
      <c r="B3855" s="256" t="inlineStr">
        <is>
          <t>release</t>
        </is>
      </c>
      <c r="C3855" s="256" t="inlineStr">
        <is>
          <t>P160012</t>
        </is>
      </c>
      <c r="D3855" s="256" t="inlineStr">
        <is>
          <t>— no P lot assigned —</t>
        </is>
      </c>
      <c r="E3855" s="256" t="inlineStr">
        <is>
          <t>Grape Pie</t>
        </is>
      </c>
      <c r="F3855" s="256" t="inlineStr">
        <is>
          <t>13.07.2026</t>
        </is>
      </c>
      <c r="G3855" s="256" t="inlineStr">
        <is>
          <t>9.5</t>
        </is>
      </c>
      <c r="H3855" s="256" t="inlineStr">
        <is>
          <t>Escherichia coli</t>
        </is>
      </c>
      <c r="I3855" s="256" t="inlineStr">
        <is>
          <t>Ph. Eur. 2.6.13 cat. C</t>
        </is>
      </c>
      <c r="J3855" s="256" t="inlineStr">
        <is>
          <t>Absence | Отсуство / 1 g</t>
        </is>
      </c>
      <c r="K3855" s="259" t="inlineStr">
        <is>
          <t>not tested</t>
        </is>
      </c>
      <c r="L3855" s="256" t="inlineStr">
        <is>
          <t>—</t>
        </is>
      </c>
      <c r="M3855" s="256" t="inlineStr">
        <is>
          <t>—</t>
        </is>
      </c>
      <c r="N3855" s="256" t="inlineStr">
        <is>
          <t>—</t>
        </is>
      </c>
      <c r="O3855" s="256" t="inlineStr">
        <is>
          <t>—</t>
        </is>
      </c>
      <c r="P3855" s="256" t="inlineStr">
        <is>
          <t>not tested — no certificate covers it</t>
        </is>
      </c>
      <c r="Q3855" s="256" t="inlineStr"/>
      <c r="R3855" s="256" t="inlineStr"/>
    </row>
    <row r="3856">
      <c r="A3856" s="256" t="inlineStr">
        <is>
          <t>CoQ-PP_26-168</t>
        </is>
      </c>
      <c r="B3856" s="256" t="inlineStr">
        <is>
          <t>release</t>
        </is>
      </c>
      <c r="C3856" s="256" t="inlineStr">
        <is>
          <t>P160012</t>
        </is>
      </c>
      <c r="D3856" s="256" t="inlineStr">
        <is>
          <t>— no P lot assigned —</t>
        </is>
      </c>
      <c r="E3856" s="256" t="inlineStr">
        <is>
          <t>Grape Pie</t>
        </is>
      </c>
      <c r="F3856" s="256" t="inlineStr">
        <is>
          <t>13.07.2026</t>
        </is>
      </c>
      <c r="G3856" s="256" t="inlineStr">
        <is>
          <t>9.6</t>
        </is>
      </c>
      <c r="H3856" s="256" t="inlineStr">
        <is>
          <t>Pseudomonas aeruginosa</t>
        </is>
      </c>
      <c r="I3856" s="256" t="inlineStr">
        <is>
          <t>Ph. Eur. 2.6.13 cat. C</t>
        </is>
      </c>
      <c r="J3856" s="256" t="inlineStr">
        <is>
          <t>Absence | Отсуство / 1 g</t>
        </is>
      </c>
      <c r="K3856" s="260" t="inlineStr">
        <is>
          <t>upon request — not required for release</t>
        </is>
      </c>
      <c r="L3856" s="256" t="inlineStr">
        <is>
          <t>—</t>
        </is>
      </c>
      <c r="M3856" s="256" t="inlineStr">
        <is>
          <t>—</t>
        </is>
      </c>
      <c r="N3856" s="256" t="inlineStr">
        <is>
          <t>—</t>
        </is>
      </c>
      <c r="O3856" s="256" t="inlineStr">
        <is>
          <t>—</t>
        </is>
      </c>
      <c r="P3856" s="256" t="inlineStr">
        <is>
          <t>upon request — not required for release</t>
        </is>
      </c>
      <c r="Q3856" s="256" t="inlineStr"/>
      <c r="R3856" s="256" t="inlineStr"/>
    </row>
    <row r="3857">
      <c r="A3857" s="256" t="inlineStr">
        <is>
          <t>CoQ-PP_26-168</t>
        </is>
      </c>
      <c r="B3857" s="256" t="inlineStr">
        <is>
          <t>release</t>
        </is>
      </c>
      <c r="C3857" s="256" t="inlineStr">
        <is>
          <t>P160012</t>
        </is>
      </c>
      <c r="D3857" s="256" t="inlineStr">
        <is>
          <t>— no P lot assigned —</t>
        </is>
      </c>
      <c r="E3857" s="256" t="inlineStr">
        <is>
          <t>Grape Pie</t>
        </is>
      </c>
      <c r="F3857" s="256" t="inlineStr">
        <is>
          <t>13.07.2026</t>
        </is>
      </c>
      <c r="G3857" s="256" t="inlineStr">
        <is>
          <t>9.7</t>
        </is>
      </c>
      <c r="H3857" s="256" t="inlineStr">
        <is>
          <t>Staphylococcus aureus</t>
        </is>
      </c>
      <c r="I3857" s="256" t="inlineStr">
        <is>
          <t>Ph. Eur. 2.6.13 cat. C</t>
        </is>
      </c>
      <c r="J3857" s="256" t="inlineStr">
        <is>
          <t>Absence | Отсуство / 1 g</t>
        </is>
      </c>
      <c r="K3857" s="260" t="inlineStr">
        <is>
          <t>upon request — not required for release</t>
        </is>
      </c>
      <c r="L3857" s="256" t="inlineStr">
        <is>
          <t>—</t>
        </is>
      </c>
      <c r="M3857" s="256" t="inlineStr">
        <is>
          <t>—</t>
        </is>
      </c>
      <c r="N3857" s="256" t="inlineStr">
        <is>
          <t>—</t>
        </is>
      </c>
      <c r="O3857" s="256" t="inlineStr">
        <is>
          <t>—</t>
        </is>
      </c>
      <c r="P3857" s="256" t="inlineStr">
        <is>
          <t>upon request — not required for release</t>
        </is>
      </c>
      <c r="Q3857" s="256" t="inlineStr"/>
      <c r="R3857" s="256" t="inlineStr"/>
    </row>
    <row r="3858">
      <c r="A3858" s="256" t="inlineStr">
        <is>
          <t>CoQ-PP_26-168</t>
        </is>
      </c>
      <c r="B3858" s="256" t="inlineStr">
        <is>
          <t>release</t>
        </is>
      </c>
      <c r="C3858" s="256" t="inlineStr">
        <is>
          <t>P160012</t>
        </is>
      </c>
      <c r="D3858" s="256" t="inlineStr">
        <is>
          <t>— no P lot assigned —</t>
        </is>
      </c>
      <c r="E3858" s="256" t="inlineStr">
        <is>
          <t>Grape Pie</t>
        </is>
      </c>
      <c r="F3858" s="256" t="inlineStr">
        <is>
          <t>13.07.2026</t>
        </is>
      </c>
      <c r="G3858" s="256" t="inlineStr">
        <is>
          <t>10.1</t>
        </is>
      </c>
      <c r="H3858" s="256" t="inlineStr">
        <is>
          <t>Aflatoxin B₁</t>
        </is>
      </c>
      <c r="I3858" s="256" t="inlineStr">
        <is>
          <t>Ph. Eur. 2.8.18 (HPLC-FLD)</t>
        </is>
      </c>
      <c r="J3858" s="256" t="inlineStr">
        <is>
          <t>≤ 2 µg/kg</t>
        </is>
      </c>
      <c r="K3858" s="259" t="inlineStr">
        <is>
          <t>not tested</t>
        </is>
      </c>
      <c r="L3858" s="256" t="inlineStr">
        <is>
          <t>—</t>
        </is>
      </c>
      <c r="M3858" s="256" t="inlineStr">
        <is>
          <t>—</t>
        </is>
      </c>
      <c r="N3858" s="256" t="inlineStr">
        <is>
          <t>—</t>
        </is>
      </c>
      <c r="O3858" s="256" t="inlineStr">
        <is>
          <t>—</t>
        </is>
      </c>
      <c r="P3858" s="256" t="inlineStr">
        <is>
          <t>not tested — no certificate covers it</t>
        </is>
      </c>
      <c r="Q3858" s="256" t="inlineStr"/>
      <c r="R3858" s="256" t="inlineStr"/>
    </row>
    <row r="3859">
      <c r="A3859" s="256" t="inlineStr">
        <is>
          <t>CoQ-PP_26-168</t>
        </is>
      </c>
      <c r="B3859" s="256" t="inlineStr">
        <is>
          <t>release</t>
        </is>
      </c>
      <c r="C3859" s="256" t="inlineStr">
        <is>
          <t>P160012</t>
        </is>
      </c>
      <c r="D3859" s="256" t="inlineStr">
        <is>
          <t>— no P lot assigned —</t>
        </is>
      </c>
      <c r="E3859" s="256" t="inlineStr">
        <is>
          <t>Grape Pie</t>
        </is>
      </c>
      <c r="F3859" s="256" t="inlineStr">
        <is>
          <t>13.07.2026</t>
        </is>
      </c>
      <c r="G3859" s="256" t="inlineStr">
        <is>
          <t>10.2</t>
        </is>
      </c>
      <c r="H3859" s="256" t="inlineStr">
        <is>
          <t>Aflatoxins ∑</t>
        </is>
      </c>
      <c r="I3859" s="256" t="inlineStr">
        <is>
          <t>Ph. Eur. 2.8.18 (HPLC-FLD)</t>
        </is>
      </c>
      <c r="J3859" s="256" t="inlineStr">
        <is>
          <t>≤ 4 µg/kg</t>
        </is>
      </c>
      <c r="K3859" s="259" t="inlineStr">
        <is>
          <t>not tested</t>
        </is>
      </c>
      <c r="L3859" s="256" t="inlineStr">
        <is>
          <t>—</t>
        </is>
      </c>
      <c r="M3859" s="256" t="inlineStr">
        <is>
          <t>—</t>
        </is>
      </c>
      <c r="N3859" s="256" t="inlineStr">
        <is>
          <t>—</t>
        </is>
      </c>
      <c r="O3859" s="256" t="inlineStr">
        <is>
          <t>—</t>
        </is>
      </c>
      <c r="P3859" s="256" t="inlineStr">
        <is>
          <t>not tested — no certificate covers it</t>
        </is>
      </c>
      <c r="Q3859" s="256" t="inlineStr"/>
      <c r="R3859" s="256" t="inlineStr"/>
    </row>
    <row r="3860">
      <c r="A3860" s="256" t="inlineStr">
        <is>
          <t>CoQ-PP_26-168</t>
        </is>
      </c>
      <c r="B3860" s="256" t="inlineStr">
        <is>
          <t>release</t>
        </is>
      </c>
      <c r="C3860" s="256" t="inlineStr">
        <is>
          <t>P160012</t>
        </is>
      </c>
      <c r="D3860" s="256" t="inlineStr">
        <is>
          <t>— no P lot assigned —</t>
        </is>
      </c>
      <c r="E3860" s="256" t="inlineStr">
        <is>
          <t>Grape Pie</t>
        </is>
      </c>
      <c r="F3860" s="256" t="inlineStr">
        <is>
          <t>13.07.2026</t>
        </is>
      </c>
      <c r="G3860" s="256" t="inlineStr">
        <is>
          <t>10.3</t>
        </is>
      </c>
      <c r="H3860" s="256" t="inlineStr">
        <is>
          <t>Ochratoxin A</t>
        </is>
      </c>
      <c r="I3860" s="256" t="inlineStr">
        <is>
          <t>Ph. Eur. 2.8.22 (HPLC-FLD)</t>
        </is>
      </c>
      <c r="J3860" s="256" t="inlineStr">
        <is>
          <t>≤ 20 µg/kg</t>
        </is>
      </c>
      <c r="K3860" s="259" t="inlineStr">
        <is>
          <t>not tested</t>
        </is>
      </c>
      <c r="L3860" s="256" t="inlineStr">
        <is>
          <t>—</t>
        </is>
      </c>
      <c r="M3860" s="256" t="inlineStr">
        <is>
          <t>—</t>
        </is>
      </c>
      <c r="N3860" s="256" t="inlineStr">
        <is>
          <t>—</t>
        </is>
      </c>
      <c r="O3860" s="256" t="inlineStr">
        <is>
          <t>—</t>
        </is>
      </c>
      <c r="P3860" s="256" t="inlineStr">
        <is>
          <t>not tested — no certificate covers it</t>
        </is>
      </c>
      <c r="Q3860" s="256" t="inlineStr"/>
      <c r="R3860" s="256" t="inlineStr"/>
    </row>
    <row r="3861">
      <c r="A3861" s="256" t="inlineStr">
        <is>
          <t>CoQ-PP_26-168</t>
        </is>
      </c>
      <c r="B3861" s="256" t="inlineStr">
        <is>
          <t>release</t>
        </is>
      </c>
      <c r="C3861" s="256" t="inlineStr">
        <is>
          <t>P160012</t>
        </is>
      </c>
      <c r="D3861" s="256" t="inlineStr">
        <is>
          <t>— no P lot assigned —</t>
        </is>
      </c>
      <c r="E3861" s="256" t="inlineStr">
        <is>
          <t>Grape Pie</t>
        </is>
      </c>
      <c r="F3861" s="256" t="inlineStr">
        <is>
          <t>13.07.2026</t>
        </is>
      </c>
      <c r="G3861" s="256" t="inlineStr">
        <is>
          <t>11.1</t>
        </is>
      </c>
      <c r="H3861" s="256" t="inlineStr">
        <is>
          <t>Lead (Pb)</t>
        </is>
      </c>
      <c r="I3861" s="256" t="inlineStr">
        <is>
          <t>Ph. Eur. 2.4.27 (ICP-MS)</t>
        </is>
      </c>
      <c r="J3861" s="256" t="inlineStr">
        <is>
          <t>≤ 0.5 mg/kg</t>
        </is>
      </c>
      <c r="K3861" s="259" t="inlineStr">
        <is>
          <t>not tested</t>
        </is>
      </c>
      <c r="L3861" s="256" t="inlineStr">
        <is>
          <t>—</t>
        </is>
      </c>
      <c r="M3861" s="256" t="inlineStr">
        <is>
          <t>—</t>
        </is>
      </c>
      <c r="N3861" s="256" t="inlineStr">
        <is>
          <t>—</t>
        </is>
      </c>
      <c r="O3861" s="256" t="inlineStr">
        <is>
          <t>—</t>
        </is>
      </c>
      <c r="P3861" s="256" t="inlineStr">
        <is>
          <t>not tested — no certificate covers it</t>
        </is>
      </c>
      <c r="Q3861" s="256" t="inlineStr"/>
      <c r="R3861" s="256" t="inlineStr"/>
    </row>
    <row r="3862">
      <c r="A3862" s="256" t="inlineStr">
        <is>
          <t>CoQ-PP_26-168</t>
        </is>
      </c>
      <c r="B3862" s="256" t="inlineStr">
        <is>
          <t>release</t>
        </is>
      </c>
      <c r="C3862" s="256" t="inlineStr">
        <is>
          <t>P160012</t>
        </is>
      </c>
      <c r="D3862" s="256" t="inlineStr">
        <is>
          <t>— no P lot assigned —</t>
        </is>
      </c>
      <c r="E3862" s="256" t="inlineStr">
        <is>
          <t>Grape Pie</t>
        </is>
      </c>
      <c r="F3862" s="256" t="inlineStr">
        <is>
          <t>13.07.2026</t>
        </is>
      </c>
      <c r="G3862" s="256" t="inlineStr">
        <is>
          <t>11.2</t>
        </is>
      </c>
      <c r="H3862" s="256" t="inlineStr">
        <is>
          <t>Cadmium (Cd)</t>
        </is>
      </c>
      <c r="I3862" s="256" t="inlineStr">
        <is>
          <t>Ph. Eur. 2.4.27 (ICP-MS)</t>
        </is>
      </c>
      <c r="J3862" s="256" t="inlineStr">
        <is>
          <t>≤ 0.3 mg/kg</t>
        </is>
      </c>
      <c r="K3862" s="259" t="inlineStr">
        <is>
          <t>not tested</t>
        </is>
      </c>
      <c r="L3862" s="256" t="inlineStr">
        <is>
          <t>—</t>
        </is>
      </c>
      <c r="M3862" s="256" t="inlineStr">
        <is>
          <t>—</t>
        </is>
      </c>
      <c r="N3862" s="256" t="inlineStr">
        <is>
          <t>—</t>
        </is>
      </c>
      <c r="O3862" s="256" t="inlineStr">
        <is>
          <t>—</t>
        </is>
      </c>
      <c r="P3862" s="256" t="inlineStr">
        <is>
          <t>not tested — no certificate covers it</t>
        </is>
      </c>
      <c r="Q3862" s="256" t="inlineStr"/>
      <c r="R3862" s="256" t="inlineStr"/>
    </row>
    <row r="3863">
      <c r="A3863" s="256" t="inlineStr">
        <is>
          <t>CoQ-PP_26-168</t>
        </is>
      </c>
      <c r="B3863" s="256" t="inlineStr">
        <is>
          <t>release</t>
        </is>
      </c>
      <c r="C3863" s="256" t="inlineStr">
        <is>
          <t>P160012</t>
        </is>
      </c>
      <c r="D3863" s="256" t="inlineStr">
        <is>
          <t>— no P lot assigned —</t>
        </is>
      </c>
      <c r="E3863" s="256" t="inlineStr">
        <is>
          <t>Grape Pie</t>
        </is>
      </c>
      <c r="F3863" s="256" t="inlineStr">
        <is>
          <t>13.07.2026</t>
        </is>
      </c>
      <c r="G3863" s="256" t="inlineStr">
        <is>
          <t>11.3</t>
        </is>
      </c>
      <c r="H3863" s="256" t="inlineStr">
        <is>
          <t>Arsenic (As)</t>
        </is>
      </c>
      <c r="I3863" s="256" t="inlineStr">
        <is>
          <t>Ph. Eur. 2.4.27 (ICP-MS)</t>
        </is>
      </c>
      <c r="J3863" s="256" t="inlineStr">
        <is>
          <t>≤ 0.2 mg/kg</t>
        </is>
      </c>
      <c r="K3863" s="259" t="inlineStr">
        <is>
          <t>not tested</t>
        </is>
      </c>
      <c r="L3863" s="256" t="inlineStr">
        <is>
          <t>—</t>
        </is>
      </c>
      <c r="M3863" s="256" t="inlineStr">
        <is>
          <t>—</t>
        </is>
      </c>
      <c r="N3863" s="256" t="inlineStr">
        <is>
          <t>—</t>
        </is>
      </c>
      <c r="O3863" s="256" t="inlineStr">
        <is>
          <t>—</t>
        </is>
      </c>
      <c r="P3863" s="256" t="inlineStr">
        <is>
          <t>not tested — no certificate covers it</t>
        </is>
      </c>
      <c r="Q3863" s="256" t="inlineStr"/>
      <c r="R3863" s="256" t="inlineStr"/>
    </row>
    <row r="3864">
      <c r="A3864" s="256" t="inlineStr">
        <is>
          <t>CoQ-PP_26-168</t>
        </is>
      </c>
      <c r="B3864" s="256" t="inlineStr">
        <is>
          <t>release</t>
        </is>
      </c>
      <c r="C3864" s="256" t="inlineStr">
        <is>
          <t>P160012</t>
        </is>
      </c>
      <c r="D3864" s="256" t="inlineStr">
        <is>
          <t>— no P lot assigned —</t>
        </is>
      </c>
      <c r="E3864" s="256" t="inlineStr">
        <is>
          <t>Grape Pie</t>
        </is>
      </c>
      <c r="F3864" s="256" t="inlineStr">
        <is>
          <t>13.07.2026</t>
        </is>
      </c>
      <c r="G3864" s="256" t="inlineStr">
        <is>
          <t>11.4</t>
        </is>
      </c>
      <c r="H3864" s="256" t="inlineStr">
        <is>
          <t>Mercury (Hg)</t>
        </is>
      </c>
      <c r="I3864" s="256" t="inlineStr">
        <is>
          <t>Ph. Eur. 2.4.27 (ICP-MS)</t>
        </is>
      </c>
      <c r="J3864" s="256" t="inlineStr">
        <is>
          <t>≤ 0.1 mg/kg</t>
        </is>
      </c>
      <c r="K3864" s="259" t="inlineStr">
        <is>
          <t>not tested</t>
        </is>
      </c>
      <c r="L3864" s="256" t="inlineStr">
        <is>
          <t>—</t>
        </is>
      </c>
      <c r="M3864" s="256" t="inlineStr">
        <is>
          <t>—</t>
        </is>
      </c>
      <c r="N3864" s="256" t="inlineStr">
        <is>
          <t>—</t>
        </is>
      </c>
      <c r="O3864" s="256" t="inlineStr">
        <is>
          <t>—</t>
        </is>
      </c>
      <c r="P3864" s="256" t="inlineStr">
        <is>
          <t>not tested — no certificate covers it</t>
        </is>
      </c>
      <c r="Q3864" s="256" t="inlineStr"/>
      <c r="R3864" s="256" t="inlineStr"/>
    </row>
    <row r="3865">
      <c r="A3865" s="256" t="inlineStr">
        <is>
          <t>CoQ-PP_26-168</t>
        </is>
      </c>
      <c r="B3865" s="256" t="inlineStr">
        <is>
          <t>release</t>
        </is>
      </c>
      <c r="C3865" s="256" t="inlineStr">
        <is>
          <t>P160012</t>
        </is>
      </c>
      <c r="D3865" s="256" t="inlineStr">
        <is>
          <t>— no P lot assigned —</t>
        </is>
      </c>
      <c r="E3865" s="256" t="inlineStr">
        <is>
          <t>Grape Pie</t>
        </is>
      </c>
      <c r="F3865" s="256" t="inlineStr">
        <is>
          <t>13.07.2026</t>
        </is>
      </c>
      <c r="G3865" s="256" t="inlineStr">
        <is>
          <t>12</t>
        </is>
      </c>
      <c r="H3865" s="256" t="inlineStr">
        <is>
          <t>Pesticide Residues</t>
        </is>
      </c>
      <c r="I3865" s="256" t="inlineStr">
        <is>
          <t>Ph. Eur. 2.8.13 (LC-MS/MS) · CUMCS Equivalency</t>
        </is>
      </c>
      <c r="J3865" s="256" t="inlineStr">
        <is>
          <t>≤ LOQ as per Ph. Eur. 2.8.13 · ≤ LOQ as per CUMCS Equivalency</t>
        </is>
      </c>
      <c r="K3865" s="259" t="inlineStr">
        <is>
          <t>not tested</t>
        </is>
      </c>
      <c r="L3865" s="256" t="inlineStr">
        <is>
          <t>—</t>
        </is>
      </c>
      <c r="M3865" s="256" t="inlineStr">
        <is>
          <t>—</t>
        </is>
      </c>
      <c r="N3865" s="256" t="inlineStr">
        <is>
          <t>—</t>
        </is>
      </c>
      <c r="O3865" s="256" t="inlineStr">
        <is>
          <t>—</t>
        </is>
      </c>
      <c r="P3865" s="256" t="inlineStr">
        <is>
          <t>not tested — no certificate covers it</t>
        </is>
      </c>
      <c r="Q3865" s="256" t="inlineStr"/>
      <c r="R3865" s="256" t="inlineStr"/>
    </row>
    <row r="3866">
      <c r="A3866" s="256" t="inlineStr">
        <is>
          <t>CoQ-PP_26-169</t>
        </is>
      </c>
      <c r="B3866" s="256" t="inlineStr">
        <is>
          <t>release</t>
        </is>
      </c>
      <c r="C3866" s="256" t="inlineStr">
        <is>
          <t>P160022</t>
        </is>
      </c>
      <c r="D3866" s="256" t="inlineStr">
        <is>
          <t>— no P lot assigned —</t>
        </is>
      </c>
      <c r="E3866" s="256" t="inlineStr">
        <is>
          <t>Grape Pie</t>
        </is>
      </c>
      <c r="F3866" s="256" t="inlineStr">
        <is>
          <t>13.07.2026</t>
        </is>
      </c>
      <c r="G3866" s="256" t="inlineStr">
        <is>
          <t>1</t>
        </is>
      </c>
      <c r="H3866" s="256" t="inlineStr">
        <is>
          <t>Identification A, Appearance · Macroscopic</t>
        </is>
      </c>
      <c r="I3866" s="256" t="inlineStr">
        <is>
          <t>Ph. Eur. mon. 3028</t>
        </is>
      </c>
      <c r="J3866" s="256" t="inlineStr">
        <is>
          <t>Conforms to the monograph for Cannabis flos (07/2024:3028) in Ph. Eur. 11.0 | Согласно монографија за Cannabis flos (07/2024:3028) во Ph. Eur. 11.0</t>
        </is>
      </c>
      <c r="K3866" s="256" t="inlineStr">
        <is>
          <t>Conforms | Одговара</t>
        </is>
      </c>
      <c r="L3866" s="256" t="inlineStr">
        <is>
          <t>ППК26118</t>
        </is>
      </c>
      <c r="M3866" s="256" t="inlineStr">
        <is>
          <t>06.07.2026</t>
        </is>
      </c>
      <c r="N3866" s="256" t="inlineStr">
        <is>
          <t>UKIM Faculty of Pharmacy — Center for Natural Products</t>
        </is>
      </c>
      <c r="O3866" s="256" t="inlineStr">
        <is>
          <t>17.06.2026</t>
        </is>
      </c>
      <c r="P3866" s="256" t="inlineStr">
        <is>
          <t>covered</t>
        </is>
      </c>
      <c r="Q3866" s="256" t="inlineStr"/>
      <c r="R3866" s="256" t="inlineStr"/>
    </row>
    <row r="3867">
      <c r="A3867" s="256" t="inlineStr">
        <is>
          <t>CoQ-PP_26-169</t>
        </is>
      </c>
      <c r="B3867" s="256" t="inlineStr">
        <is>
          <t>release</t>
        </is>
      </c>
      <c r="C3867" s="256" t="inlineStr">
        <is>
          <t>P160022</t>
        </is>
      </c>
      <c r="D3867" s="256" t="inlineStr">
        <is>
          <t>— no P lot assigned —</t>
        </is>
      </c>
      <c r="E3867" s="256" t="inlineStr">
        <is>
          <t>Grape Pie</t>
        </is>
      </c>
      <c r="F3867" s="256" t="inlineStr">
        <is>
          <t>13.07.2026</t>
        </is>
      </c>
      <c r="G3867" s="256" t="inlineStr">
        <is>
          <t>2</t>
        </is>
      </c>
      <c r="H3867" s="256" t="inlineStr">
        <is>
          <t>Identification B · Microscopic</t>
        </is>
      </c>
      <c r="I3867" s="256" t="inlineStr">
        <is>
          <t>Ph. Eur. 2.8.23 (microscopy)</t>
        </is>
      </c>
      <c r="J3867" s="256" t="inlineStr">
        <is>
          <t>Conforms to the monograph for Cannabis flos (07/2024:3028) in Ph. Eur. 11.0 | Согласно монографија за Cannabis flos (07/2024:3028) во Ph. Eur. 11.0</t>
        </is>
      </c>
      <c r="K3867" s="256" t="inlineStr">
        <is>
          <t>Conforms | Одговара</t>
        </is>
      </c>
      <c r="L3867" s="256" t="inlineStr">
        <is>
          <t>ППК26118</t>
        </is>
      </c>
      <c r="M3867" s="256" t="inlineStr">
        <is>
          <t>06.07.2026</t>
        </is>
      </c>
      <c r="N3867" s="256" t="inlineStr">
        <is>
          <t>UKIM Faculty of Pharmacy — Center for Natural Products</t>
        </is>
      </c>
      <c r="O3867" s="256" t="inlineStr">
        <is>
          <t>17.06.2026</t>
        </is>
      </c>
      <c r="P3867" s="256" t="inlineStr">
        <is>
          <t>covered</t>
        </is>
      </c>
      <c r="Q3867" s="256" t="inlineStr"/>
      <c r="R3867" s="256" t="inlineStr"/>
    </row>
    <row r="3868">
      <c r="A3868" s="256" t="inlineStr">
        <is>
          <t>CoQ-PP_26-169</t>
        </is>
      </c>
      <c r="B3868" s="256" t="inlineStr">
        <is>
          <t>release</t>
        </is>
      </c>
      <c r="C3868" s="256" t="inlineStr">
        <is>
          <t>P160022</t>
        </is>
      </c>
      <c r="D3868" s="256" t="inlineStr">
        <is>
          <t>— no P lot assigned —</t>
        </is>
      </c>
      <c r="E3868" s="256" t="inlineStr">
        <is>
          <t>Grape Pie</t>
        </is>
      </c>
      <c r="F3868" s="256" t="inlineStr">
        <is>
          <t>13.07.2026</t>
        </is>
      </c>
      <c r="G3868" s="256" t="inlineStr">
        <is>
          <t>3</t>
        </is>
      </c>
      <c r="H3868" s="256" t="inlineStr">
        <is>
          <t>Identification C · HPLC/HPTLC</t>
        </is>
      </c>
      <c r="I3868" s="256" t="inlineStr">
        <is>
          <t>Ph. Eur. 2.2.29 (3028)</t>
        </is>
      </c>
      <c r="J3868" s="256" t="inlineStr">
        <is>
          <t>Conforms to the monograph for Cannabis flos (07/2024:3028) in Ph. Eur. 11.0 | Согласно монографија за Cannabis flos (07/2024:3028) во Ph. Eur. 11.0</t>
        </is>
      </c>
      <c r="K3868" s="256" t="inlineStr">
        <is>
          <t>Conforms | Одговара</t>
        </is>
      </c>
      <c r="L3868" s="256" t="inlineStr">
        <is>
          <t>ППК26118</t>
        </is>
      </c>
      <c r="M3868" s="256" t="inlineStr">
        <is>
          <t>06.07.2026</t>
        </is>
      </c>
      <c r="N3868" s="256" t="inlineStr">
        <is>
          <t>UKIM Faculty of Pharmacy — Center for Natural Products</t>
        </is>
      </c>
      <c r="O3868" s="256" t="inlineStr">
        <is>
          <t>17.06.2026</t>
        </is>
      </c>
      <c r="P3868" s="256" t="inlineStr">
        <is>
          <t>covered</t>
        </is>
      </c>
      <c r="Q3868" s="256" t="inlineStr"/>
      <c r="R3868" s="256" t="inlineStr"/>
    </row>
    <row r="3869">
      <c r="A3869" s="256" t="inlineStr">
        <is>
          <t>CoQ-PP_26-169</t>
        </is>
      </c>
      <c r="B3869" s="256" t="inlineStr">
        <is>
          <t>release</t>
        </is>
      </c>
      <c r="C3869" s="256" t="inlineStr">
        <is>
          <t>P160022</t>
        </is>
      </c>
      <c r="D3869" s="256" t="inlineStr">
        <is>
          <t>— no P lot assigned —</t>
        </is>
      </c>
      <c r="E3869" s="256" t="inlineStr">
        <is>
          <t>Grape Pie</t>
        </is>
      </c>
      <c r="F3869" s="256" t="inlineStr">
        <is>
          <t>13.07.2026</t>
        </is>
      </c>
      <c r="G3869" s="256" t="inlineStr">
        <is>
          <t>4</t>
        </is>
      </c>
      <c r="H3869" s="256" t="inlineStr">
        <is>
          <t>Assay — Total Δ⁹-THC</t>
        </is>
      </c>
      <c r="I3869" s="256" t="inlineStr">
        <is>
          <t>Ph. Eur. 2.2.29 (HPLC)</t>
        </is>
      </c>
      <c r="J3869" s="256" t="inlineStr">
        <is>
          <t>22.00 – 25.99 %  (grade II, nominal 24.00 ± 2.00)</t>
        </is>
      </c>
      <c r="K3869" s="256" t="inlineStr">
        <is>
          <t>25.72</t>
        </is>
      </c>
      <c r="L3869" s="256" t="inlineStr">
        <is>
          <t>ППК26118</t>
        </is>
      </c>
      <c r="M3869" s="256" t="inlineStr">
        <is>
          <t>06.07.2026</t>
        </is>
      </c>
      <c r="N3869" s="256" t="inlineStr">
        <is>
          <t>UKIM Faculty of Pharmacy — Center for Natural Products</t>
        </is>
      </c>
      <c r="O3869" s="256" t="inlineStr">
        <is>
          <t>17.06.2026</t>
        </is>
      </c>
      <c r="P3869" s="256" t="inlineStr">
        <is>
          <t>covered</t>
        </is>
      </c>
      <c r="Q3869" s="256" t="inlineStr"/>
      <c r="R3869" s="256" t="inlineStr"/>
    </row>
    <row r="3870">
      <c r="A3870" s="256" t="inlineStr">
        <is>
          <t>CoQ-PP_26-169</t>
        </is>
      </c>
      <c r="B3870" s="256" t="inlineStr">
        <is>
          <t>release</t>
        </is>
      </c>
      <c r="C3870" s="256" t="inlineStr">
        <is>
          <t>P160022</t>
        </is>
      </c>
      <c r="D3870" s="256" t="inlineStr">
        <is>
          <t>— no P lot assigned —</t>
        </is>
      </c>
      <c r="E3870" s="256" t="inlineStr">
        <is>
          <t>Grape Pie</t>
        </is>
      </c>
      <c r="F3870" s="256" t="inlineStr">
        <is>
          <t>13.07.2026</t>
        </is>
      </c>
      <c r="G3870" s="256" t="inlineStr">
        <is>
          <t>5</t>
        </is>
      </c>
      <c r="H3870" s="256" t="inlineStr">
        <is>
          <t>Assay — Total CBD</t>
        </is>
      </c>
      <c r="I3870" s="256" t="inlineStr">
        <is>
          <t>Ph. Eur. 2.2.29 (HPLC) · CBD + CBDA x 0.877</t>
        </is>
      </c>
      <c r="J3870" s="256" t="inlineStr">
        <is>
          <t>≤ 1.0%, w/w</t>
        </is>
      </c>
      <c r="K3870" s="256" t="inlineStr">
        <is>
          <t>0.15</t>
        </is>
      </c>
      <c r="L3870" s="256" t="inlineStr">
        <is>
          <t>ППК26118</t>
        </is>
      </c>
      <c r="M3870" s="256" t="inlineStr">
        <is>
          <t>06.07.2026</t>
        </is>
      </c>
      <c r="N3870" s="256" t="inlineStr">
        <is>
          <t>UKIM Faculty of Pharmacy — Center for Natural Products</t>
        </is>
      </c>
      <c r="O3870" s="256" t="inlineStr">
        <is>
          <t>17.06.2026</t>
        </is>
      </c>
      <c r="P3870" s="256" t="inlineStr">
        <is>
          <t>covered</t>
        </is>
      </c>
      <c r="Q3870" s="256" t="inlineStr"/>
      <c r="R3870" s="256" t="inlineStr"/>
    </row>
    <row r="3871">
      <c r="A3871" s="256" t="inlineStr">
        <is>
          <t>CoQ-PP_26-169</t>
        </is>
      </c>
      <c r="B3871" s="256" t="inlineStr">
        <is>
          <t>release</t>
        </is>
      </c>
      <c r="C3871" s="256" t="inlineStr">
        <is>
          <t>P160022</t>
        </is>
      </c>
      <c r="D3871" s="256" t="inlineStr">
        <is>
          <t>— no P lot assigned —</t>
        </is>
      </c>
      <c r="E3871" s="256" t="inlineStr">
        <is>
          <t>Grape Pie</t>
        </is>
      </c>
      <c r="F3871" s="256" t="inlineStr">
        <is>
          <t>13.07.2026</t>
        </is>
      </c>
      <c r="G3871" s="256" t="inlineStr">
        <is>
          <t>6</t>
        </is>
      </c>
      <c r="H3871" s="256" t="inlineStr">
        <is>
          <t>Total CBN</t>
        </is>
      </c>
      <c r="I3871" s="256" t="inlineStr">
        <is>
          <t>Ph. Eur. 2.2.29 (HPLC) · CBN + CBNA x 0.876</t>
        </is>
      </c>
      <c r="J3871" s="256" t="inlineStr">
        <is>
          <t>≤ 1.0%, w/w</t>
        </is>
      </c>
      <c r="K3871" s="256" t="inlineStr">
        <is>
          <t>0.10</t>
        </is>
      </c>
      <c r="L3871" s="256" t="inlineStr">
        <is>
          <t>ППК26118</t>
        </is>
      </c>
      <c r="M3871" s="256" t="inlineStr">
        <is>
          <t>06.07.2026</t>
        </is>
      </c>
      <c r="N3871" s="256" t="inlineStr">
        <is>
          <t>UKIM Faculty of Pharmacy — Center for Natural Products</t>
        </is>
      </c>
      <c r="O3871" s="256" t="inlineStr">
        <is>
          <t>17.06.2026</t>
        </is>
      </c>
      <c r="P3871" s="256" t="inlineStr">
        <is>
          <t>covered</t>
        </is>
      </c>
      <c r="Q3871" s="256" t="inlineStr"/>
      <c r="R3871" s="256" t="inlineStr"/>
    </row>
    <row r="3872">
      <c r="A3872" s="256" t="inlineStr">
        <is>
          <t>CoQ-PP_26-169</t>
        </is>
      </c>
      <c r="B3872" s="256" t="inlineStr">
        <is>
          <t>release</t>
        </is>
      </c>
      <c r="C3872" s="256" t="inlineStr">
        <is>
          <t>P160022</t>
        </is>
      </c>
      <c r="D3872" s="256" t="inlineStr">
        <is>
          <t>— no P lot assigned —</t>
        </is>
      </c>
      <c r="E3872" s="256" t="inlineStr">
        <is>
          <t>Grape Pie</t>
        </is>
      </c>
      <c r="F3872" s="256" t="inlineStr">
        <is>
          <t>13.07.2026</t>
        </is>
      </c>
      <c r="G3872" s="256" t="inlineStr">
        <is>
          <t>7</t>
        </is>
      </c>
      <c r="H3872" s="256" t="inlineStr">
        <is>
          <t>Foreign Matter</t>
        </is>
      </c>
      <c r="I3872" s="256" t="inlineStr">
        <is>
          <t>Ph. Eur. 2.8.2 · In-house · интерна</t>
        </is>
      </c>
      <c r="J3872" s="256" t="inlineStr">
        <is>
          <t>≤ 2.0% / 25–50 g · &lt; 1 cm leaves | листови, no seeds | без семки</t>
        </is>
      </c>
      <c r="K3872" s="256" t="inlineStr">
        <is>
          <t>Conforms | Одговара</t>
        </is>
      </c>
      <c r="L3872" s="256" t="inlineStr">
        <is>
          <t>ППК26118</t>
        </is>
      </c>
      <c r="M3872" s="256" t="inlineStr">
        <is>
          <t>06.07.2026</t>
        </is>
      </c>
      <c r="N3872" s="256" t="inlineStr">
        <is>
          <t>UKIM Faculty of Pharmacy — Center for Natural Products</t>
        </is>
      </c>
      <c r="O3872" s="256" t="inlineStr">
        <is>
          <t>17.06.2026</t>
        </is>
      </c>
      <c r="P3872" s="256" t="inlineStr">
        <is>
          <t>covered</t>
        </is>
      </c>
      <c r="Q3872" s="256" t="inlineStr"/>
      <c r="R3872" s="256" t="inlineStr"/>
    </row>
    <row r="3873">
      <c r="A3873" s="256" t="inlineStr">
        <is>
          <t>CoQ-PP_26-169</t>
        </is>
      </c>
      <c r="B3873" s="256" t="inlineStr">
        <is>
          <t>release</t>
        </is>
      </c>
      <c r="C3873" s="256" t="inlineStr">
        <is>
          <t>P160022</t>
        </is>
      </c>
      <c r="D3873" s="256" t="inlineStr">
        <is>
          <t>— no P lot assigned —</t>
        </is>
      </c>
      <c r="E3873" s="256" t="inlineStr">
        <is>
          <t>Grape Pie</t>
        </is>
      </c>
      <c r="F3873" s="256" t="inlineStr">
        <is>
          <t>13.07.2026</t>
        </is>
      </c>
      <c r="G3873" s="256" t="inlineStr">
        <is>
          <t>8</t>
        </is>
      </c>
      <c r="H3873" s="256" t="inlineStr">
        <is>
          <t>Loss on Drying</t>
        </is>
      </c>
      <c r="I3873" s="256" t="inlineStr">
        <is>
          <t>Ph. Eur. 2.2.32 (3028) · at 40 °C, 24 h, 15–25 mbar</t>
        </is>
      </c>
      <c r="J3873" s="256" t="inlineStr">
        <is>
          <t>≤ 12.0%</t>
        </is>
      </c>
      <c r="K3873" s="256" t="inlineStr">
        <is>
          <t>6.67</t>
        </is>
      </c>
      <c r="L3873" s="256" t="inlineStr">
        <is>
          <t>ППК26118</t>
        </is>
      </c>
      <c r="M3873" s="256" t="inlineStr">
        <is>
          <t>06.07.2026</t>
        </is>
      </c>
      <c r="N3873" s="256" t="inlineStr">
        <is>
          <t>UKIM Faculty of Pharmacy — Center for Natural Products</t>
        </is>
      </c>
      <c r="O3873" s="256" t="inlineStr">
        <is>
          <t>17.06.2026</t>
        </is>
      </c>
      <c r="P3873" s="256" t="inlineStr">
        <is>
          <t>covered</t>
        </is>
      </c>
      <c r="Q3873" s="256" t="inlineStr"/>
      <c r="R3873" s="256" t="inlineStr"/>
    </row>
    <row r="3874">
      <c r="A3874" s="256" t="inlineStr">
        <is>
          <t>CoQ-PP_26-169</t>
        </is>
      </c>
      <c r="B3874" s="256" t="inlineStr">
        <is>
          <t>release</t>
        </is>
      </c>
      <c r="C3874" s="256" t="inlineStr">
        <is>
          <t>P160022</t>
        </is>
      </c>
      <c r="D3874" s="256" t="inlineStr">
        <is>
          <t>— no P lot assigned —</t>
        </is>
      </c>
      <c r="E3874" s="256" t="inlineStr">
        <is>
          <t>Grape Pie</t>
        </is>
      </c>
      <c r="F3874" s="256" t="inlineStr">
        <is>
          <t>13.07.2026</t>
        </is>
      </c>
      <c r="G3874" s="256" t="inlineStr">
        <is>
          <t>9.1</t>
        </is>
      </c>
      <c r="H3874" s="256" t="inlineStr">
        <is>
          <t>TAMC</t>
        </is>
      </c>
      <c r="I3874" s="256" t="inlineStr">
        <is>
          <t>Ph. Eur. 2.6.12 cat. C</t>
        </is>
      </c>
      <c r="J3874" s="256" t="inlineStr">
        <is>
          <t>≤ 10⁵ CFU/g</t>
        </is>
      </c>
      <c r="K3874" s="259" t="inlineStr">
        <is>
          <t>not tested</t>
        </is>
      </c>
      <c r="L3874" s="256" t="inlineStr">
        <is>
          <t>—</t>
        </is>
      </c>
      <c r="M3874" s="256" t="inlineStr">
        <is>
          <t>—</t>
        </is>
      </c>
      <c r="N3874" s="256" t="inlineStr">
        <is>
          <t>—</t>
        </is>
      </c>
      <c r="O3874" s="256" t="inlineStr">
        <is>
          <t>—</t>
        </is>
      </c>
      <c r="P3874" s="256" t="inlineStr">
        <is>
          <t>not tested — no certificate covers it</t>
        </is>
      </c>
      <c r="Q3874" s="256" t="inlineStr"/>
      <c r="R3874" s="256" t="inlineStr"/>
    </row>
    <row r="3875">
      <c r="A3875" s="256" t="inlineStr">
        <is>
          <t>CoQ-PP_26-169</t>
        </is>
      </c>
      <c r="B3875" s="256" t="inlineStr">
        <is>
          <t>release</t>
        </is>
      </c>
      <c r="C3875" s="256" t="inlineStr">
        <is>
          <t>P160022</t>
        </is>
      </c>
      <c r="D3875" s="256" t="inlineStr">
        <is>
          <t>— no P lot assigned —</t>
        </is>
      </c>
      <c r="E3875" s="256" t="inlineStr">
        <is>
          <t>Grape Pie</t>
        </is>
      </c>
      <c r="F3875" s="256" t="inlineStr">
        <is>
          <t>13.07.2026</t>
        </is>
      </c>
      <c r="G3875" s="256" t="inlineStr">
        <is>
          <t>9.2</t>
        </is>
      </c>
      <c r="H3875" s="256" t="inlineStr">
        <is>
          <t>TYMC</t>
        </is>
      </c>
      <c r="I3875" s="256" t="inlineStr">
        <is>
          <t>Ph. Eur. 2.6.12 cat. C</t>
        </is>
      </c>
      <c r="J3875" s="256" t="inlineStr">
        <is>
          <t>≤ 10⁴ CFU/g</t>
        </is>
      </c>
      <c r="K3875" s="259" t="inlineStr">
        <is>
          <t>not tested</t>
        </is>
      </c>
      <c r="L3875" s="256" t="inlineStr">
        <is>
          <t>—</t>
        </is>
      </c>
      <c r="M3875" s="256" t="inlineStr">
        <is>
          <t>—</t>
        </is>
      </c>
      <c r="N3875" s="256" t="inlineStr">
        <is>
          <t>—</t>
        </is>
      </c>
      <c r="O3875" s="256" t="inlineStr">
        <is>
          <t>—</t>
        </is>
      </c>
      <c r="P3875" s="256" t="inlineStr">
        <is>
          <t>not tested — no certificate covers it</t>
        </is>
      </c>
      <c r="Q3875" s="256" t="inlineStr"/>
      <c r="R3875" s="256" t="inlineStr"/>
    </row>
    <row r="3876">
      <c r="A3876" s="256" t="inlineStr">
        <is>
          <t>CoQ-PP_26-169</t>
        </is>
      </c>
      <c r="B3876" s="256" t="inlineStr">
        <is>
          <t>release</t>
        </is>
      </c>
      <c r="C3876" s="256" t="inlineStr">
        <is>
          <t>P160022</t>
        </is>
      </c>
      <c r="D3876" s="256" t="inlineStr">
        <is>
          <t>— no P lot assigned —</t>
        </is>
      </c>
      <c r="E3876" s="256" t="inlineStr">
        <is>
          <t>Grape Pie</t>
        </is>
      </c>
      <c r="F3876" s="256" t="inlineStr">
        <is>
          <t>13.07.2026</t>
        </is>
      </c>
      <c r="G3876" s="256" t="inlineStr">
        <is>
          <t>9.3</t>
        </is>
      </c>
      <c r="H3876" s="256" t="inlineStr">
        <is>
          <t>Bile-tolerant gram-neg.</t>
        </is>
      </c>
      <c r="I3876" s="256" t="inlineStr">
        <is>
          <t>Ph. Eur. 2.6.31 cat. C</t>
        </is>
      </c>
      <c r="J3876" s="256" t="inlineStr">
        <is>
          <t>≤ 10⁴ CFU/g</t>
        </is>
      </c>
      <c r="K3876" s="259" t="inlineStr">
        <is>
          <t>not tested</t>
        </is>
      </c>
      <c r="L3876" s="256" t="inlineStr">
        <is>
          <t>—</t>
        </is>
      </c>
      <c r="M3876" s="256" t="inlineStr">
        <is>
          <t>—</t>
        </is>
      </c>
      <c r="N3876" s="256" t="inlineStr">
        <is>
          <t>—</t>
        </is>
      </c>
      <c r="O3876" s="256" t="inlineStr">
        <is>
          <t>—</t>
        </is>
      </c>
      <c r="P3876" s="256" t="inlineStr">
        <is>
          <t>not tested — no certificate covers it</t>
        </is>
      </c>
      <c r="Q3876" s="256" t="inlineStr"/>
      <c r="R3876" s="256" t="inlineStr"/>
    </row>
    <row r="3877">
      <c r="A3877" s="256" t="inlineStr">
        <is>
          <t>CoQ-PP_26-169</t>
        </is>
      </c>
      <c r="B3877" s="256" t="inlineStr">
        <is>
          <t>release</t>
        </is>
      </c>
      <c r="C3877" s="256" t="inlineStr">
        <is>
          <t>P160022</t>
        </is>
      </c>
      <c r="D3877" s="256" t="inlineStr">
        <is>
          <t>— no P lot assigned —</t>
        </is>
      </c>
      <c r="E3877" s="256" t="inlineStr">
        <is>
          <t>Grape Pie</t>
        </is>
      </c>
      <c r="F3877" s="256" t="inlineStr">
        <is>
          <t>13.07.2026</t>
        </is>
      </c>
      <c r="G3877" s="256" t="inlineStr">
        <is>
          <t>9.4</t>
        </is>
      </c>
      <c r="H3877" s="256" t="inlineStr">
        <is>
          <t>Salmonella</t>
        </is>
      </c>
      <c r="I3877" s="256" t="inlineStr">
        <is>
          <t>Ph. Eur. 2.6.31 cat. C</t>
        </is>
      </c>
      <c r="J3877" s="256" t="inlineStr">
        <is>
          <t>Absence | Отсуство / 25 g</t>
        </is>
      </c>
      <c r="K3877" s="259" t="inlineStr">
        <is>
          <t>not tested</t>
        </is>
      </c>
      <c r="L3877" s="256" t="inlineStr">
        <is>
          <t>—</t>
        </is>
      </c>
      <c r="M3877" s="256" t="inlineStr">
        <is>
          <t>—</t>
        </is>
      </c>
      <c r="N3877" s="256" t="inlineStr">
        <is>
          <t>—</t>
        </is>
      </c>
      <c r="O3877" s="256" t="inlineStr">
        <is>
          <t>—</t>
        </is>
      </c>
      <c r="P3877" s="256" t="inlineStr">
        <is>
          <t>not tested — no certificate covers it</t>
        </is>
      </c>
      <c r="Q3877" s="256" t="inlineStr"/>
      <c r="R3877" s="256" t="inlineStr"/>
    </row>
    <row r="3878">
      <c r="A3878" s="256" t="inlineStr">
        <is>
          <t>CoQ-PP_26-169</t>
        </is>
      </c>
      <c r="B3878" s="256" t="inlineStr">
        <is>
          <t>release</t>
        </is>
      </c>
      <c r="C3878" s="256" t="inlineStr">
        <is>
          <t>P160022</t>
        </is>
      </c>
      <c r="D3878" s="256" t="inlineStr">
        <is>
          <t>— no P lot assigned —</t>
        </is>
      </c>
      <c r="E3878" s="256" t="inlineStr">
        <is>
          <t>Grape Pie</t>
        </is>
      </c>
      <c r="F3878" s="256" t="inlineStr">
        <is>
          <t>13.07.2026</t>
        </is>
      </c>
      <c r="G3878" s="256" t="inlineStr">
        <is>
          <t>9.5</t>
        </is>
      </c>
      <c r="H3878" s="256" t="inlineStr">
        <is>
          <t>Escherichia coli</t>
        </is>
      </c>
      <c r="I3878" s="256" t="inlineStr">
        <is>
          <t>Ph. Eur. 2.6.13 cat. C</t>
        </is>
      </c>
      <c r="J3878" s="256" t="inlineStr">
        <is>
          <t>Absence | Отсуство / 1 g</t>
        </is>
      </c>
      <c r="K3878" s="259" t="inlineStr">
        <is>
          <t>not tested</t>
        </is>
      </c>
      <c r="L3878" s="256" t="inlineStr">
        <is>
          <t>—</t>
        </is>
      </c>
      <c r="M3878" s="256" t="inlineStr">
        <is>
          <t>—</t>
        </is>
      </c>
      <c r="N3878" s="256" t="inlineStr">
        <is>
          <t>—</t>
        </is>
      </c>
      <c r="O3878" s="256" t="inlineStr">
        <is>
          <t>—</t>
        </is>
      </c>
      <c r="P3878" s="256" t="inlineStr">
        <is>
          <t>not tested — no certificate covers it</t>
        </is>
      </c>
      <c r="Q3878" s="256" t="inlineStr"/>
      <c r="R3878" s="256" t="inlineStr"/>
    </row>
    <row r="3879">
      <c r="A3879" s="256" t="inlineStr">
        <is>
          <t>CoQ-PP_26-169</t>
        </is>
      </c>
      <c r="B3879" s="256" t="inlineStr">
        <is>
          <t>release</t>
        </is>
      </c>
      <c r="C3879" s="256" t="inlineStr">
        <is>
          <t>P160022</t>
        </is>
      </c>
      <c r="D3879" s="256" t="inlineStr">
        <is>
          <t>— no P lot assigned —</t>
        </is>
      </c>
      <c r="E3879" s="256" t="inlineStr">
        <is>
          <t>Grape Pie</t>
        </is>
      </c>
      <c r="F3879" s="256" t="inlineStr">
        <is>
          <t>13.07.2026</t>
        </is>
      </c>
      <c r="G3879" s="256" t="inlineStr">
        <is>
          <t>9.6</t>
        </is>
      </c>
      <c r="H3879" s="256" t="inlineStr">
        <is>
          <t>Pseudomonas aeruginosa</t>
        </is>
      </c>
      <c r="I3879" s="256" t="inlineStr">
        <is>
          <t>Ph. Eur. 2.6.13 cat. C</t>
        </is>
      </c>
      <c r="J3879" s="256" t="inlineStr">
        <is>
          <t>Absence | Отсуство / 1 g</t>
        </is>
      </c>
      <c r="K3879" s="260" t="inlineStr">
        <is>
          <t>upon request — not required for release</t>
        </is>
      </c>
      <c r="L3879" s="256" t="inlineStr">
        <is>
          <t>—</t>
        </is>
      </c>
      <c r="M3879" s="256" t="inlineStr">
        <is>
          <t>—</t>
        </is>
      </c>
      <c r="N3879" s="256" t="inlineStr">
        <is>
          <t>—</t>
        </is>
      </c>
      <c r="O3879" s="256" t="inlineStr">
        <is>
          <t>—</t>
        </is>
      </c>
      <c r="P3879" s="256" t="inlineStr">
        <is>
          <t>upon request — not required for release</t>
        </is>
      </c>
      <c r="Q3879" s="256" t="inlineStr"/>
      <c r="R3879" s="256" t="inlineStr"/>
    </row>
    <row r="3880">
      <c r="A3880" s="256" t="inlineStr">
        <is>
          <t>CoQ-PP_26-169</t>
        </is>
      </c>
      <c r="B3880" s="256" t="inlineStr">
        <is>
          <t>release</t>
        </is>
      </c>
      <c r="C3880" s="256" t="inlineStr">
        <is>
          <t>P160022</t>
        </is>
      </c>
      <c r="D3880" s="256" t="inlineStr">
        <is>
          <t>— no P lot assigned —</t>
        </is>
      </c>
      <c r="E3880" s="256" t="inlineStr">
        <is>
          <t>Grape Pie</t>
        </is>
      </c>
      <c r="F3880" s="256" t="inlineStr">
        <is>
          <t>13.07.2026</t>
        </is>
      </c>
      <c r="G3880" s="256" t="inlineStr">
        <is>
          <t>9.7</t>
        </is>
      </c>
      <c r="H3880" s="256" t="inlineStr">
        <is>
          <t>Staphylococcus aureus</t>
        </is>
      </c>
      <c r="I3880" s="256" t="inlineStr">
        <is>
          <t>Ph. Eur. 2.6.13 cat. C</t>
        </is>
      </c>
      <c r="J3880" s="256" t="inlineStr">
        <is>
          <t>Absence | Отсуство / 1 g</t>
        </is>
      </c>
      <c r="K3880" s="260" t="inlineStr">
        <is>
          <t>upon request — not required for release</t>
        </is>
      </c>
      <c r="L3880" s="256" t="inlineStr">
        <is>
          <t>—</t>
        </is>
      </c>
      <c r="M3880" s="256" t="inlineStr">
        <is>
          <t>—</t>
        </is>
      </c>
      <c r="N3880" s="256" t="inlineStr">
        <is>
          <t>—</t>
        </is>
      </c>
      <c r="O3880" s="256" t="inlineStr">
        <is>
          <t>—</t>
        </is>
      </c>
      <c r="P3880" s="256" t="inlineStr">
        <is>
          <t>upon request — not required for release</t>
        </is>
      </c>
      <c r="Q3880" s="256" t="inlineStr"/>
      <c r="R3880" s="256" t="inlineStr"/>
    </row>
    <row r="3881">
      <c r="A3881" s="256" t="inlineStr">
        <is>
          <t>CoQ-PP_26-169</t>
        </is>
      </c>
      <c r="B3881" s="256" t="inlineStr">
        <is>
          <t>release</t>
        </is>
      </c>
      <c r="C3881" s="256" t="inlineStr">
        <is>
          <t>P160022</t>
        </is>
      </c>
      <c r="D3881" s="256" t="inlineStr">
        <is>
          <t>— no P lot assigned —</t>
        </is>
      </c>
      <c r="E3881" s="256" t="inlineStr">
        <is>
          <t>Grape Pie</t>
        </is>
      </c>
      <c r="F3881" s="256" t="inlineStr">
        <is>
          <t>13.07.2026</t>
        </is>
      </c>
      <c r="G3881" s="256" t="inlineStr">
        <is>
          <t>10.1</t>
        </is>
      </c>
      <c r="H3881" s="256" t="inlineStr">
        <is>
          <t>Aflatoxin B₁</t>
        </is>
      </c>
      <c r="I3881" s="256" t="inlineStr">
        <is>
          <t>Ph. Eur. 2.8.18 (HPLC-FLD)</t>
        </is>
      </c>
      <c r="J3881" s="256" t="inlineStr">
        <is>
          <t>≤ 2 µg/kg</t>
        </is>
      </c>
      <c r="K3881" s="259" t="inlineStr">
        <is>
          <t>not tested</t>
        </is>
      </c>
      <c r="L3881" s="256" t="inlineStr">
        <is>
          <t>—</t>
        </is>
      </c>
      <c r="M3881" s="256" t="inlineStr">
        <is>
          <t>—</t>
        </is>
      </c>
      <c r="N3881" s="256" t="inlineStr">
        <is>
          <t>—</t>
        </is>
      </c>
      <c r="O3881" s="256" t="inlineStr">
        <is>
          <t>—</t>
        </is>
      </c>
      <c r="P3881" s="256" t="inlineStr">
        <is>
          <t>not tested — no certificate covers it</t>
        </is>
      </c>
      <c r="Q3881" s="256" t="inlineStr"/>
      <c r="R3881" s="256" t="inlineStr"/>
    </row>
    <row r="3882">
      <c r="A3882" s="256" t="inlineStr">
        <is>
          <t>CoQ-PP_26-169</t>
        </is>
      </c>
      <c r="B3882" s="256" t="inlineStr">
        <is>
          <t>release</t>
        </is>
      </c>
      <c r="C3882" s="256" t="inlineStr">
        <is>
          <t>P160022</t>
        </is>
      </c>
      <c r="D3882" s="256" t="inlineStr">
        <is>
          <t>— no P lot assigned —</t>
        </is>
      </c>
      <c r="E3882" s="256" t="inlineStr">
        <is>
          <t>Grape Pie</t>
        </is>
      </c>
      <c r="F3882" s="256" t="inlineStr">
        <is>
          <t>13.07.2026</t>
        </is>
      </c>
      <c r="G3882" s="256" t="inlineStr">
        <is>
          <t>10.2</t>
        </is>
      </c>
      <c r="H3882" s="256" t="inlineStr">
        <is>
          <t>Aflatoxins ∑</t>
        </is>
      </c>
      <c r="I3882" s="256" t="inlineStr">
        <is>
          <t>Ph. Eur. 2.8.18 (HPLC-FLD)</t>
        </is>
      </c>
      <c r="J3882" s="256" t="inlineStr">
        <is>
          <t>≤ 4 µg/kg</t>
        </is>
      </c>
      <c r="K3882" s="259" t="inlineStr">
        <is>
          <t>not tested</t>
        </is>
      </c>
      <c r="L3882" s="256" t="inlineStr">
        <is>
          <t>—</t>
        </is>
      </c>
      <c r="M3882" s="256" t="inlineStr">
        <is>
          <t>—</t>
        </is>
      </c>
      <c r="N3882" s="256" t="inlineStr">
        <is>
          <t>—</t>
        </is>
      </c>
      <c r="O3882" s="256" t="inlineStr">
        <is>
          <t>—</t>
        </is>
      </c>
      <c r="P3882" s="256" t="inlineStr">
        <is>
          <t>not tested — no certificate covers it</t>
        </is>
      </c>
      <c r="Q3882" s="256" t="inlineStr"/>
      <c r="R3882" s="256" t="inlineStr"/>
    </row>
    <row r="3883">
      <c r="A3883" s="256" t="inlineStr">
        <is>
          <t>CoQ-PP_26-169</t>
        </is>
      </c>
      <c r="B3883" s="256" t="inlineStr">
        <is>
          <t>release</t>
        </is>
      </c>
      <c r="C3883" s="256" t="inlineStr">
        <is>
          <t>P160022</t>
        </is>
      </c>
      <c r="D3883" s="256" t="inlineStr">
        <is>
          <t>— no P lot assigned —</t>
        </is>
      </c>
      <c r="E3883" s="256" t="inlineStr">
        <is>
          <t>Grape Pie</t>
        </is>
      </c>
      <c r="F3883" s="256" t="inlineStr">
        <is>
          <t>13.07.2026</t>
        </is>
      </c>
      <c r="G3883" s="256" t="inlineStr">
        <is>
          <t>10.3</t>
        </is>
      </c>
      <c r="H3883" s="256" t="inlineStr">
        <is>
          <t>Ochratoxin A</t>
        </is>
      </c>
      <c r="I3883" s="256" t="inlineStr">
        <is>
          <t>Ph. Eur. 2.8.22 (HPLC-FLD)</t>
        </is>
      </c>
      <c r="J3883" s="256" t="inlineStr">
        <is>
          <t>≤ 20 µg/kg</t>
        </is>
      </c>
      <c r="K3883" s="259" t="inlineStr">
        <is>
          <t>not tested</t>
        </is>
      </c>
      <c r="L3883" s="256" t="inlineStr">
        <is>
          <t>—</t>
        </is>
      </c>
      <c r="M3883" s="256" t="inlineStr">
        <is>
          <t>—</t>
        </is>
      </c>
      <c r="N3883" s="256" t="inlineStr">
        <is>
          <t>—</t>
        </is>
      </c>
      <c r="O3883" s="256" t="inlineStr">
        <is>
          <t>—</t>
        </is>
      </c>
      <c r="P3883" s="256" t="inlineStr">
        <is>
          <t>not tested — no certificate covers it</t>
        </is>
      </c>
      <c r="Q3883" s="256" t="inlineStr"/>
      <c r="R3883" s="256" t="inlineStr"/>
    </row>
    <row r="3884">
      <c r="A3884" s="256" t="inlineStr">
        <is>
          <t>CoQ-PP_26-169</t>
        </is>
      </c>
      <c r="B3884" s="256" t="inlineStr">
        <is>
          <t>release</t>
        </is>
      </c>
      <c r="C3884" s="256" t="inlineStr">
        <is>
          <t>P160022</t>
        </is>
      </c>
      <c r="D3884" s="256" t="inlineStr">
        <is>
          <t>— no P lot assigned —</t>
        </is>
      </c>
      <c r="E3884" s="256" t="inlineStr">
        <is>
          <t>Grape Pie</t>
        </is>
      </c>
      <c r="F3884" s="256" t="inlineStr">
        <is>
          <t>13.07.2026</t>
        </is>
      </c>
      <c r="G3884" s="256" t="inlineStr">
        <is>
          <t>11.1</t>
        </is>
      </c>
      <c r="H3884" s="256" t="inlineStr">
        <is>
          <t>Lead (Pb)</t>
        </is>
      </c>
      <c r="I3884" s="256" t="inlineStr">
        <is>
          <t>Ph. Eur. 2.4.27 (ICP-MS)</t>
        </is>
      </c>
      <c r="J3884" s="256" t="inlineStr">
        <is>
          <t>≤ 0.5 mg/kg</t>
        </is>
      </c>
      <c r="K3884" s="259" t="inlineStr">
        <is>
          <t>not tested</t>
        </is>
      </c>
      <c r="L3884" s="256" t="inlineStr">
        <is>
          <t>—</t>
        </is>
      </c>
      <c r="M3884" s="256" t="inlineStr">
        <is>
          <t>—</t>
        </is>
      </c>
      <c r="N3884" s="256" t="inlineStr">
        <is>
          <t>—</t>
        </is>
      </c>
      <c r="O3884" s="256" t="inlineStr">
        <is>
          <t>—</t>
        </is>
      </c>
      <c r="P3884" s="256" t="inlineStr">
        <is>
          <t>not tested — no certificate covers it</t>
        </is>
      </c>
      <c r="Q3884" s="256" t="inlineStr"/>
      <c r="R3884" s="256" t="inlineStr"/>
    </row>
    <row r="3885">
      <c r="A3885" s="256" t="inlineStr">
        <is>
          <t>CoQ-PP_26-169</t>
        </is>
      </c>
      <c r="B3885" s="256" t="inlineStr">
        <is>
          <t>release</t>
        </is>
      </c>
      <c r="C3885" s="256" t="inlineStr">
        <is>
          <t>P160022</t>
        </is>
      </c>
      <c r="D3885" s="256" t="inlineStr">
        <is>
          <t>— no P lot assigned —</t>
        </is>
      </c>
      <c r="E3885" s="256" t="inlineStr">
        <is>
          <t>Grape Pie</t>
        </is>
      </c>
      <c r="F3885" s="256" t="inlineStr">
        <is>
          <t>13.07.2026</t>
        </is>
      </c>
      <c r="G3885" s="256" t="inlineStr">
        <is>
          <t>11.2</t>
        </is>
      </c>
      <c r="H3885" s="256" t="inlineStr">
        <is>
          <t>Cadmium (Cd)</t>
        </is>
      </c>
      <c r="I3885" s="256" t="inlineStr">
        <is>
          <t>Ph. Eur. 2.4.27 (ICP-MS)</t>
        </is>
      </c>
      <c r="J3885" s="256" t="inlineStr">
        <is>
          <t>≤ 0.3 mg/kg</t>
        </is>
      </c>
      <c r="K3885" s="259" t="inlineStr">
        <is>
          <t>not tested</t>
        </is>
      </c>
      <c r="L3885" s="256" t="inlineStr">
        <is>
          <t>—</t>
        </is>
      </c>
      <c r="M3885" s="256" t="inlineStr">
        <is>
          <t>—</t>
        </is>
      </c>
      <c r="N3885" s="256" t="inlineStr">
        <is>
          <t>—</t>
        </is>
      </c>
      <c r="O3885" s="256" t="inlineStr">
        <is>
          <t>—</t>
        </is>
      </c>
      <c r="P3885" s="256" t="inlineStr">
        <is>
          <t>not tested — no certificate covers it</t>
        </is>
      </c>
      <c r="Q3885" s="256" t="inlineStr"/>
      <c r="R3885" s="256" t="inlineStr"/>
    </row>
    <row r="3886">
      <c r="A3886" s="256" t="inlineStr">
        <is>
          <t>CoQ-PP_26-169</t>
        </is>
      </c>
      <c r="B3886" s="256" t="inlineStr">
        <is>
          <t>release</t>
        </is>
      </c>
      <c r="C3886" s="256" t="inlineStr">
        <is>
          <t>P160022</t>
        </is>
      </c>
      <c r="D3886" s="256" t="inlineStr">
        <is>
          <t>— no P lot assigned —</t>
        </is>
      </c>
      <c r="E3886" s="256" t="inlineStr">
        <is>
          <t>Grape Pie</t>
        </is>
      </c>
      <c r="F3886" s="256" t="inlineStr">
        <is>
          <t>13.07.2026</t>
        </is>
      </c>
      <c r="G3886" s="256" t="inlineStr">
        <is>
          <t>11.3</t>
        </is>
      </c>
      <c r="H3886" s="256" t="inlineStr">
        <is>
          <t>Arsenic (As)</t>
        </is>
      </c>
      <c r="I3886" s="256" t="inlineStr">
        <is>
          <t>Ph. Eur. 2.4.27 (ICP-MS)</t>
        </is>
      </c>
      <c r="J3886" s="256" t="inlineStr">
        <is>
          <t>≤ 0.2 mg/kg</t>
        </is>
      </c>
      <c r="K3886" s="259" t="inlineStr">
        <is>
          <t>not tested</t>
        </is>
      </c>
      <c r="L3886" s="256" t="inlineStr">
        <is>
          <t>—</t>
        </is>
      </c>
      <c r="M3886" s="256" t="inlineStr">
        <is>
          <t>—</t>
        </is>
      </c>
      <c r="N3886" s="256" t="inlineStr">
        <is>
          <t>—</t>
        </is>
      </c>
      <c r="O3886" s="256" t="inlineStr">
        <is>
          <t>—</t>
        </is>
      </c>
      <c r="P3886" s="256" t="inlineStr">
        <is>
          <t>not tested — no certificate covers it</t>
        </is>
      </c>
      <c r="Q3886" s="256" t="inlineStr"/>
      <c r="R3886" s="256" t="inlineStr"/>
    </row>
    <row r="3887">
      <c r="A3887" s="256" t="inlineStr">
        <is>
          <t>CoQ-PP_26-169</t>
        </is>
      </c>
      <c r="B3887" s="256" t="inlineStr">
        <is>
          <t>release</t>
        </is>
      </c>
      <c r="C3887" s="256" t="inlineStr">
        <is>
          <t>P160022</t>
        </is>
      </c>
      <c r="D3887" s="256" t="inlineStr">
        <is>
          <t>— no P lot assigned —</t>
        </is>
      </c>
      <c r="E3887" s="256" t="inlineStr">
        <is>
          <t>Grape Pie</t>
        </is>
      </c>
      <c r="F3887" s="256" t="inlineStr">
        <is>
          <t>13.07.2026</t>
        </is>
      </c>
      <c r="G3887" s="256" t="inlineStr">
        <is>
          <t>11.4</t>
        </is>
      </c>
      <c r="H3887" s="256" t="inlineStr">
        <is>
          <t>Mercury (Hg)</t>
        </is>
      </c>
      <c r="I3887" s="256" t="inlineStr">
        <is>
          <t>Ph. Eur. 2.4.27 (ICP-MS)</t>
        </is>
      </c>
      <c r="J3887" s="256" t="inlineStr">
        <is>
          <t>≤ 0.1 mg/kg</t>
        </is>
      </c>
      <c r="K3887" s="259" t="inlineStr">
        <is>
          <t>not tested</t>
        </is>
      </c>
      <c r="L3887" s="256" t="inlineStr">
        <is>
          <t>—</t>
        </is>
      </c>
      <c r="M3887" s="256" t="inlineStr">
        <is>
          <t>—</t>
        </is>
      </c>
      <c r="N3887" s="256" t="inlineStr">
        <is>
          <t>—</t>
        </is>
      </c>
      <c r="O3887" s="256" t="inlineStr">
        <is>
          <t>—</t>
        </is>
      </c>
      <c r="P3887" s="256" t="inlineStr">
        <is>
          <t>not tested — no certificate covers it</t>
        </is>
      </c>
      <c r="Q3887" s="256" t="inlineStr"/>
      <c r="R3887" s="256" t="inlineStr"/>
    </row>
    <row r="3888">
      <c r="A3888" s="256" t="inlineStr">
        <is>
          <t>CoQ-PP_26-169</t>
        </is>
      </c>
      <c r="B3888" s="256" t="inlineStr">
        <is>
          <t>release</t>
        </is>
      </c>
      <c r="C3888" s="256" t="inlineStr">
        <is>
          <t>P160022</t>
        </is>
      </c>
      <c r="D3888" s="256" t="inlineStr">
        <is>
          <t>— no P lot assigned —</t>
        </is>
      </c>
      <c r="E3888" s="256" t="inlineStr">
        <is>
          <t>Grape Pie</t>
        </is>
      </c>
      <c r="F3888" s="256" t="inlineStr">
        <is>
          <t>13.07.2026</t>
        </is>
      </c>
      <c r="G3888" s="256" t="inlineStr">
        <is>
          <t>12</t>
        </is>
      </c>
      <c r="H3888" s="256" t="inlineStr">
        <is>
          <t>Pesticide Residues</t>
        </is>
      </c>
      <c r="I3888" s="256" t="inlineStr">
        <is>
          <t>Ph. Eur. 2.8.13 (LC-MS/MS) · CUMCS Equivalency</t>
        </is>
      </c>
      <c r="J3888" s="256" t="inlineStr">
        <is>
          <t>≤ LOQ as per Ph. Eur. 2.8.13 · ≤ LOQ as per CUMCS Equivalency</t>
        </is>
      </c>
      <c r="K3888" s="259" t="inlineStr">
        <is>
          <t>not tested</t>
        </is>
      </c>
      <c r="L3888" s="256" t="inlineStr">
        <is>
          <t>—</t>
        </is>
      </c>
      <c r="M3888" s="256" t="inlineStr">
        <is>
          <t>—</t>
        </is>
      </c>
      <c r="N3888" s="256" t="inlineStr">
        <is>
          <t>—</t>
        </is>
      </c>
      <c r="O3888" s="256" t="inlineStr">
        <is>
          <t>—</t>
        </is>
      </c>
      <c r="P3888" s="256" t="inlineStr">
        <is>
          <t>not tested — no certificate covers it</t>
        </is>
      </c>
      <c r="Q3888" s="256" t="inlineStr"/>
      <c r="R3888" s="256" t="inlineStr"/>
    </row>
    <row r="3889">
      <c r="A3889" s="256" t="inlineStr">
        <is>
          <t>CoQ-PP_26-170</t>
        </is>
      </c>
      <c r="B3889" s="256" t="inlineStr">
        <is>
          <t>release</t>
        </is>
      </c>
      <c r="C3889" s="256" t="inlineStr">
        <is>
          <t>P160032</t>
        </is>
      </c>
      <c r="D3889" s="256" t="inlineStr">
        <is>
          <t>— no P lot assigned —</t>
        </is>
      </c>
      <c r="E3889" s="256" t="inlineStr">
        <is>
          <t>Grape Pie</t>
        </is>
      </c>
      <c r="F3889" s="256" t="inlineStr">
        <is>
          <t>13.07.2026</t>
        </is>
      </c>
      <c r="G3889" s="256" t="inlineStr">
        <is>
          <t>1</t>
        </is>
      </c>
      <c r="H3889" s="256" t="inlineStr">
        <is>
          <t>Identification A, Appearance · Macroscopic</t>
        </is>
      </c>
      <c r="I3889" s="256" t="inlineStr">
        <is>
          <t>Ph. Eur. mon. 3028</t>
        </is>
      </c>
      <c r="J3889" s="256" t="inlineStr">
        <is>
          <t>Conforms to the monograph for Cannabis flos (07/2024:3028) in Ph. Eur. 11.0 | Согласно монографија за Cannabis flos (07/2024:3028) во Ph. Eur. 11.0</t>
        </is>
      </c>
      <c r="K3889" s="256" t="inlineStr">
        <is>
          <t>Conforms | Одговара</t>
        </is>
      </c>
      <c r="L3889" s="256" t="inlineStr">
        <is>
          <t>ППК26119</t>
        </is>
      </c>
      <c r="M3889" s="256" t="inlineStr">
        <is>
          <t>06.07.2026</t>
        </is>
      </c>
      <c r="N3889" s="256" t="inlineStr">
        <is>
          <t>UKIM Faculty of Pharmacy — Center for Natural Products</t>
        </is>
      </c>
      <c r="O3889" s="256" t="inlineStr">
        <is>
          <t>17.06.2026</t>
        </is>
      </c>
      <c r="P3889" s="256" t="inlineStr">
        <is>
          <t>covered</t>
        </is>
      </c>
      <c r="Q3889" s="256" t="inlineStr"/>
      <c r="R3889" s="256" t="inlineStr"/>
    </row>
    <row r="3890">
      <c r="A3890" s="256" t="inlineStr">
        <is>
          <t>CoQ-PP_26-170</t>
        </is>
      </c>
      <c r="B3890" s="256" t="inlineStr">
        <is>
          <t>release</t>
        </is>
      </c>
      <c r="C3890" s="256" t="inlineStr">
        <is>
          <t>P160032</t>
        </is>
      </c>
      <c r="D3890" s="256" t="inlineStr">
        <is>
          <t>— no P lot assigned —</t>
        </is>
      </c>
      <c r="E3890" s="256" t="inlineStr">
        <is>
          <t>Grape Pie</t>
        </is>
      </c>
      <c r="F3890" s="256" t="inlineStr">
        <is>
          <t>13.07.2026</t>
        </is>
      </c>
      <c r="G3890" s="256" t="inlineStr">
        <is>
          <t>2</t>
        </is>
      </c>
      <c r="H3890" s="256" t="inlineStr">
        <is>
          <t>Identification B · Microscopic</t>
        </is>
      </c>
      <c r="I3890" s="256" t="inlineStr">
        <is>
          <t>Ph. Eur. 2.8.23 (microscopy)</t>
        </is>
      </c>
      <c r="J3890" s="256" t="inlineStr">
        <is>
          <t>Conforms to the monograph for Cannabis flos (07/2024:3028) in Ph. Eur. 11.0 | Согласно монографија за Cannabis flos (07/2024:3028) во Ph. Eur. 11.0</t>
        </is>
      </c>
      <c r="K3890" s="256" t="inlineStr">
        <is>
          <t>Conforms | Одговара</t>
        </is>
      </c>
      <c r="L3890" s="256" t="inlineStr">
        <is>
          <t>ППК26119</t>
        </is>
      </c>
      <c r="M3890" s="256" t="inlineStr">
        <is>
          <t>06.07.2026</t>
        </is>
      </c>
      <c r="N3890" s="256" t="inlineStr">
        <is>
          <t>UKIM Faculty of Pharmacy — Center for Natural Products</t>
        </is>
      </c>
      <c r="O3890" s="256" t="inlineStr">
        <is>
          <t>17.06.2026</t>
        </is>
      </c>
      <c r="P3890" s="256" t="inlineStr">
        <is>
          <t>covered</t>
        </is>
      </c>
      <c r="Q3890" s="256" t="inlineStr"/>
      <c r="R3890" s="256" t="inlineStr"/>
    </row>
    <row r="3891">
      <c r="A3891" s="256" t="inlineStr">
        <is>
          <t>CoQ-PP_26-170</t>
        </is>
      </c>
      <c r="B3891" s="256" t="inlineStr">
        <is>
          <t>release</t>
        </is>
      </c>
      <c r="C3891" s="256" t="inlineStr">
        <is>
          <t>P160032</t>
        </is>
      </c>
      <c r="D3891" s="256" t="inlineStr">
        <is>
          <t>— no P lot assigned —</t>
        </is>
      </c>
      <c r="E3891" s="256" t="inlineStr">
        <is>
          <t>Grape Pie</t>
        </is>
      </c>
      <c r="F3891" s="256" t="inlineStr">
        <is>
          <t>13.07.2026</t>
        </is>
      </c>
      <c r="G3891" s="256" t="inlineStr">
        <is>
          <t>3</t>
        </is>
      </c>
      <c r="H3891" s="256" t="inlineStr">
        <is>
          <t>Identification C · HPLC/HPTLC</t>
        </is>
      </c>
      <c r="I3891" s="256" t="inlineStr">
        <is>
          <t>Ph. Eur. 2.2.29 (3028)</t>
        </is>
      </c>
      <c r="J3891" s="256" t="inlineStr">
        <is>
          <t>Conforms to the monograph for Cannabis flos (07/2024:3028) in Ph. Eur. 11.0 | Согласно монографија за Cannabis flos (07/2024:3028) во Ph. Eur. 11.0</t>
        </is>
      </c>
      <c r="K3891" s="256" t="inlineStr">
        <is>
          <t>Conforms | Одговара</t>
        </is>
      </c>
      <c r="L3891" s="256" t="inlineStr">
        <is>
          <t>ППК26119</t>
        </is>
      </c>
      <c r="M3891" s="256" t="inlineStr">
        <is>
          <t>06.07.2026</t>
        </is>
      </c>
      <c r="N3891" s="256" t="inlineStr">
        <is>
          <t>UKIM Faculty of Pharmacy — Center for Natural Products</t>
        </is>
      </c>
      <c r="O3891" s="256" t="inlineStr">
        <is>
          <t>17.06.2026</t>
        </is>
      </c>
      <c r="P3891" s="256" t="inlineStr">
        <is>
          <t>covered</t>
        </is>
      </c>
      <c r="Q3891" s="256" t="inlineStr"/>
      <c r="R3891" s="256" t="inlineStr"/>
    </row>
    <row r="3892">
      <c r="A3892" s="256" t="inlineStr">
        <is>
          <t>CoQ-PP_26-170</t>
        </is>
      </c>
      <c r="B3892" s="256" t="inlineStr">
        <is>
          <t>release</t>
        </is>
      </c>
      <c r="C3892" s="256" t="inlineStr">
        <is>
          <t>P160032</t>
        </is>
      </c>
      <c r="D3892" s="256" t="inlineStr">
        <is>
          <t>— no P lot assigned —</t>
        </is>
      </c>
      <c r="E3892" s="256" t="inlineStr">
        <is>
          <t>Grape Pie</t>
        </is>
      </c>
      <c r="F3892" s="256" t="inlineStr">
        <is>
          <t>13.07.2026</t>
        </is>
      </c>
      <c r="G3892" s="256" t="inlineStr">
        <is>
          <t>4</t>
        </is>
      </c>
      <c r="H3892" s="256" t="inlineStr">
        <is>
          <t>Assay — Total Δ⁹-THC</t>
        </is>
      </c>
      <c r="I3892" s="256" t="inlineStr">
        <is>
          <t>Ph. Eur. 2.2.29 (HPLC)</t>
        </is>
      </c>
      <c r="J3892" s="256" t="inlineStr">
        <is>
          <t>22.00 – 25.99 %  (grade II, nominal 24.00 ± 2.00)</t>
        </is>
      </c>
      <c r="K3892" s="256" t="inlineStr">
        <is>
          <t>24.78</t>
        </is>
      </c>
      <c r="L3892" s="256" t="inlineStr">
        <is>
          <t>ППК26119</t>
        </is>
      </c>
      <c r="M3892" s="256" t="inlineStr">
        <is>
          <t>06.07.2026</t>
        </is>
      </c>
      <c r="N3892" s="256" t="inlineStr">
        <is>
          <t>UKIM Faculty of Pharmacy — Center for Natural Products</t>
        </is>
      </c>
      <c r="O3892" s="256" t="inlineStr">
        <is>
          <t>17.06.2026</t>
        </is>
      </c>
      <c r="P3892" s="256" t="inlineStr">
        <is>
          <t>covered</t>
        </is>
      </c>
      <c r="Q3892" s="256" t="inlineStr"/>
      <c r="R3892" s="256" t="inlineStr"/>
    </row>
    <row r="3893">
      <c r="A3893" s="256" t="inlineStr">
        <is>
          <t>CoQ-PP_26-170</t>
        </is>
      </c>
      <c r="B3893" s="256" t="inlineStr">
        <is>
          <t>release</t>
        </is>
      </c>
      <c r="C3893" s="256" t="inlineStr">
        <is>
          <t>P160032</t>
        </is>
      </c>
      <c r="D3893" s="256" t="inlineStr">
        <is>
          <t>— no P lot assigned —</t>
        </is>
      </c>
      <c r="E3893" s="256" t="inlineStr">
        <is>
          <t>Grape Pie</t>
        </is>
      </c>
      <c r="F3893" s="256" t="inlineStr">
        <is>
          <t>13.07.2026</t>
        </is>
      </c>
      <c r="G3893" s="256" t="inlineStr">
        <is>
          <t>5</t>
        </is>
      </c>
      <c r="H3893" s="256" t="inlineStr">
        <is>
          <t>Assay — Total CBD</t>
        </is>
      </c>
      <c r="I3893" s="256" t="inlineStr">
        <is>
          <t>Ph. Eur. 2.2.29 (HPLC) · CBD + CBDA x 0.877</t>
        </is>
      </c>
      <c r="J3893" s="256" t="inlineStr">
        <is>
          <t>≤ 1.0%, w/w</t>
        </is>
      </c>
      <c r="K3893" s="256" t="inlineStr">
        <is>
          <t>0.06</t>
        </is>
      </c>
      <c r="L3893" s="256" t="inlineStr">
        <is>
          <t>ППК26119</t>
        </is>
      </c>
      <c r="M3893" s="256" t="inlineStr">
        <is>
          <t>06.07.2026</t>
        </is>
      </c>
      <c r="N3893" s="256" t="inlineStr">
        <is>
          <t>UKIM Faculty of Pharmacy — Center for Natural Products</t>
        </is>
      </c>
      <c r="O3893" s="256" t="inlineStr">
        <is>
          <t>17.06.2026</t>
        </is>
      </c>
      <c r="P3893" s="256" t="inlineStr">
        <is>
          <t>covered</t>
        </is>
      </c>
      <c r="Q3893" s="256" t="inlineStr"/>
      <c r="R3893" s="256" t="inlineStr"/>
    </row>
    <row r="3894">
      <c r="A3894" s="256" t="inlineStr">
        <is>
          <t>CoQ-PP_26-170</t>
        </is>
      </c>
      <c r="B3894" s="256" t="inlineStr">
        <is>
          <t>release</t>
        </is>
      </c>
      <c r="C3894" s="256" t="inlineStr">
        <is>
          <t>P160032</t>
        </is>
      </c>
      <c r="D3894" s="256" t="inlineStr">
        <is>
          <t>— no P lot assigned —</t>
        </is>
      </c>
      <c r="E3894" s="256" t="inlineStr">
        <is>
          <t>Grape Pie</t>
        </is>
      </c>
      <c r="F3894" s="256" t="inlineStr">
        <is>
          <t>13.07.2026</t>
        </is>
      </c>
      <c r="G3894" s="256" t="inlineStr">
        <is>
          <t>6</t>
        </is>
      </c>
      <c r="H3894" s="256" t="inlineStr">
        <is>
          <t>Total CBN</t>
        </is>
      </c>
      <c r="I3894" s="256" t="inlineStr">
        <is>
          <t>Ph. Eur. 2.2.29 (HPLC) · CBN + CBNA x 0.876</t>
        </is>
      </c>
      <c r="J3894" s="256" t="inlineStr">
        <is>
          <t>≤ 1.0%, w/w</t>
        </is>
      </c>
      <c r="K3894" s="256" t="inlineStr">
        <is>
          <t>0.08</t>
        </is>
      </c>
      <c r="L3894" s="256" t="inlineStr">
        <is>
          <t>ППК26119</t>
        </is>
      </c>
      <c r="M3894" s="256" t="inlineStr">
        <is>
          <t>06.07.2026</t>
        </is>
      </c>
      <c r="N3894" s="256" t="inlineStr">
        <is>
          <t>UKIM Faculty of Pharmacy — Center for Natural Products</t>
        </is>
      </c>
      <c r="O3894" s="256" t="inlineStr">
        <is>
          <t>17.06.2026</t>
        </is>
      </c>
      <c r="P3894" s="256" t="inlineStr">
        <is>
          <t>covered</t>
        </is>
      </c>
      <c r="Q3894" s="256" t="inlineStr"/>
      <c r="R3894" s="256" t="inlineStr"/>
    </row>
    <row r="3895">
      <c r="A3895" s="256" t="inlineStr">
        <is>
          <t>CoQ-PP_26-170</t>
        </is>
      </c>
      <c r="B3895" s="256" t="inlineStr">
        <is>
          <t>release</t>
        </is>
      </c>
      <c r="C3895" s="256" t="inlineStr">
        <is>
          <t>P160032</t>
        </is>
      </c>
      <c r="D3895" s="256" t="inlineStr">
        <is>
          <t>— no P lot assigned —</t>
        </is>
      </c>
      <c r="E3895" s="256" t="inlineStr">
        <is>
          <t>Grape Pie</t>
        </is>
      </c>
      <c r="F3895" s="256" t="inlineStr">
        <is>
          <t>13.07.2026</t>
        </is>
      </c>
      <c r="G3895" s="256" t="inlineStr">
        <is>
          <t>7</t>
        </is>
      </c>
      <c r="H3895" s="256" t="inlineStr">
        <is>
          <t>Foreign Matter</t>
        </is>
      </c>
      <c r="I3895" s="256" t="inlineStr">
        <is>
          <t>Ph. Eur. 2.8.2 · In-house · интерна</t>
        </is>
      </c>
      <c r="J3895" s="256" t="inlineStr">
        <is>
          <t>≤ 2.0% / 25–50 g · &lt; 1 cm leaves | листови, no seeds | без семки</t>
        </is>
      </c>
      <c r="K3895" s="256" t="inlineStr">
        <is>
          <t>Conforms | Одговара</t>
        </is>
      </c>
      <c r="L3895" s="256" t="inlineStr">
        <is>
          <t>ППК26119</t>
        </is>
      </c>
      <c r="M3895" s="256" t="inlineStr">
        <is>
          <t>06.07.2026</t>
        </is>
      </c>
      <c r="N3895" s="256" t="inlineStr">
        <is>
          <t>UKIM Faculty of Pharmacy — Center for Natural Products</t>
        </is>
      </c>
      <c r="O3895" s="256" t="inlineStr">
        <is>
          <t>17.06.2026</t>
        </is>
      </c>
      <c r="P3895" s="256" t="inlineStr">
        <is>
          <t>covered</t>
        </is>
      </c>
      <c r="Q3895" s="256" t="inlineStr"/>
      <c r="R3895" s="256" t="inlineStr"/>
    </row>
    <row r="3896">
      <c r="A3896" s="256" t="inlineStr">
        <is>
          <t>CoQ-PP_26-170</t>
        </is>
      </c>
      <c r="B3896" s="256" t="inlineStr">
        <is>
          <t>release</t>
        </is>
      </c>
      <c r="C3896" s="256" t="inlineStr">
        <is>
          <t>P160032</t>
        </is>
      </c>
      <c r="D3896" s="256" t="inlineStr">
        <is>
          <t>— no P lot assigned —</t>
        </is>
      </c>
      <c r="E3896" s="256" t="inlineStr">
        <is>
          <t>Grape Pie</t>
        </is>
      </c>
      <c r="F3896" s="256" t="inlineStr">
        <is>
          <t>13.07.2026</t>
        </is>
      </c>
      <c r="G3896" s="256" t="inlineStr">
        <is>
          <t>8</t>
        </is>
      </c>
      <c r="H3896" s="256" t="inlineStr">
        <is>
          <t>Loss on Drying</t>
        </is>
      </c>
      <c r="I3896" s="256" t="inlineStr">
        <is>
          <t>Ph. Eur. 2.2.32 (3028) · at 40 °C, 24 h, 15–25 mbar</t>
        </is>
      </c>
      <c r="J3896" s="256" t="inlineStr">
        <is>
          <t>≤ 12.0%</t>
        </is>
      </c>
      <c r="K3896" s="256" t="inlineStr">
        <is>
          <t>6.78</t>
        </is>
      </c>
      <c r="L3896" s="256" t="inlineStr">
        <is>
          <t>ППК26119</t>
        </is>
      </c>
      <c r="M3896" s="256" t="inlineStr">
        <is>
          <t>06.07.2026</t>
        </is>
      </c>
      <c r="N3896" s="256" t="inlineStr">
        <is>
          <t>UKIM Faculty of Pharmacy — Center for Natural Products</t>
        </is>
      </c>
      <c r="O3896" s="256" t="inlineStr">
        <is>
          <t>17.06.2026</t>
        </is>
      </c>
      <c r="P3896" s="256" t="inlineStr">
        <is>
          <t>covered</t>
        </is>
      </c>
      <c r="Q3896" s="256" t="inlineStr"/>
      <c r="R3896" s="256" t="inlineStr"/>
    </row>
    <row r="3897">
      <c r="A3897" s="256" t="inlineStr">
        <is>
          <t>CoQ-PP_26-170</t>
        </is>
      </c>
      <c r="B3897" s="256" t="inlineStr">
        <is>
          <t>release</t>
        </is>
      </c>
      <c r="C3897" s="256" t="inlineStr">
        <is>
          <t>P160032</t>
        </is>
      </c>
      <c r="D3897" s="256" t="inlineStr">
        <is>
          <t>— no P lot assigned —</t>
        </is>
      </c>
      <c r="E3897" s="256" t="inlineStr">
        <is>
          <t>Grape Pie</t>
        </is>
      </c>
      <c r="F3897" s="256" t="inlineStr">
        <is>
          <t>13.07.2026</t>
        </is>
      </c>
      <c r="G3897" s="256" t="inlineStr">
        <is>
          <t>9.1</t>
        </is>
      </c>
      <c r="H3897" s="256" t="inlineStr">
        <is>
          <t>TAMC</t>
        </is>
      </c>
      <c r="I3897" s="256" t="inlineStr">
        <is>
          <t>Ph. Eur. 2.6.12 cat. C</t>
        </is>
      </c>
      <c r="J3897" s="256" t="inlineStr">
        <is>
          <t>≤ 10⁵ CFU/g</t>
        </is>
      </c>
      <c r="K3897" s="259" t="inlineStr">
        <is>
          <t>not tested</t>
        </is>
      </c>
      <c r="L3897" s="256" t="inlineStr">
        <is>
          <t>—</t>
        </is>
      </c>
      <c r="M3897" s="256" t="inlineStr">
        <is>
          <t>—</t>
        </is>
      </c>
      <c r="N3897" s="256" t="inlineStr">
        <is>
          <t>—</t>
        </is>
      </c>
      <c r="O3897" s="256" t="inlineStr">
        <is>
          <t>—</t>
        </is>
      </c>
      <c r="P3897" s="256" t="inlineStr">
        <is>
          <t>not tested — no certificate covers it</t>
        </is>
      </c>
      <c r="Q3897" s="256" t="inlineStr"/>
      <c r="R3897" s="256" t="inlineStr"/>
    </row>
    <row r="3898">
      <c r="A3898" s="256" t="inlineStr">
        <is>
          <t>CoQ-PP_26-170</t>
        </is>
      </c>
      <c r="B3898" s="256" t="inlineStr">
        <is>
          <t>release</t>
        </is>
      </c>
      <c r="C3898" s="256" t="inlineStr">
        <is>
          <t>P160032</t>
        </is>
      </c>
      <c r="D3898" s="256" t="inlineStr">
        <is>
          <t>— no P lot assigned —</t>
        </is>
      </c>
      <c r="E3898" s="256" t="inlineStr">
        <is>
          <t>Grape Pie</t>
        </is>
      </c>
      <c r="F3898" s="256" t="inlineStr">
        <is>
          <t>13.07.2026</t>
        </is>
      </c>
      <c r="G3898" s="256" t="inlineStr">
        <is>
          <t>9.2</t>
        </is>
      </c>
      <c r="H3898" s="256" t="inlineStr">
        <is>
          <t>TYMC</t>
        </is>
      </c>
      <c r="I3898" s="256" t="inlineStr">
        <is>
          <t>Ph. Eur. 2.6.12 cat. C</t>
        </is>
      </c>
      <c r="J3898" s="256" t="inlineStr">
        <is>
          <t>≤ 10⁴ CFU/g</t>
        </is>
      </c>
      <c r="K3898" s="259" t="inlineStr">
        <is>
          <t>not tested</t>
        </is>
      </c>
      <c r="L3898" s="256" t="inlineStr">
        <is>
          <t>—</t>
        </is>
      </c>
      <c r="M3898" s="256" t="inlineStr">
        <is>
          <t>—</t>
        </is>
      </c>
      <c r="N3898" s="256" t="inlineStr">
        <is>
          <t>—</t>
        </is>
      </c>
      <c r="O3898" s="256" t="inlineStr">
        <is>
          <t>—</t>
        </is>
      </c>
      <c r="P3898" s="256" t="inlineStr">
        <is>
          <t>not tested — no certificate covers it</t>
        </is>
      </c>
      <c r="Q3898" s="256" t="inlineStr"/>
      <c r="R3898" s="256" t="inlineStr"/>
    </row>
    <row r="3899">
      <c r="A3899" s="256" t="inlineStr">
        <is>
          <t>CoQ-PP_26-170</t>
        </is>
      </c>
      <c r="B3899" s="256" t="inlineStr">
        <is>
          <t>release</t>
        </is>
      </c>
      <c r="C3899" s="256" t="inlineStr">
        <is>
          <t>P160032</t>
        </is>
      </c>
      <c r="D3899" s="256" t="inlineStr">
        <is>
          <t>— no P lot assigned —</t>
        </is>
      </c>
      <c r="E3899" s="256" t="inlineStr">
        <is>
          <t>Grape Pie</t>
        </is>
      </c>
      <c r="F3899" s="256" t="inlineStr">
        <is>
          <t>13.07.2026</t>
        </is>
      </c>
      <c r="G3899" s="256" t="inlineStr">
        <is>
          <t>9.3</t>
        </is>
      </c>
      <c r="H3899" s="256" t="inlineStr">
        <is>
          <t>Bile-tolerant gram-neg.</t>
        </is>
      </c>
      <c r="I3899" s="256" t="inlineStr">
        <is>
          <t>Ph. Eur. 2.6.31 cat. C</t>
        </is>
      </c>
      <c r="J3899" s="256" t="inlineStr">
        <is>
          <t>≤ 10⁴ CFU/g</t>
        </is>
      </c>
      <c r="K3899" s="259" t="inlineStr">
        <is>
          <t>not tested</t>
        </is>
      </c>
      <c r="L3899" s="256" t="inlineStr">
        <is>
          <t>—</t>
        </is>
      </c>
      <c r="M3899" s="256" t="inlineStr">
        <is>
          <t>—</t>
        </is>
      </c>
      <c r="N3899" s="256" t="inlineStr">
        <is>
          <t>—</t>
        </is>
      </c>
      <c r="O3899" s="256" t="inlineStr">
        <is>
          <t>—</t>
        </is>
      </c>
      <c r="P3899" s="256" t="inlineStr">
        <is>
          <t>not tested — no certificate covers it</t>
        </is>
      </c>
      <c r="Q3899" s="256" t="inlineStr"/>
      <c r="R3899" s="256" t="inlineStr"/>
    </row>
    <row r="3900">
      <c r="A3900" s="256" t="inlineStr">
        <is>
          <t>CoQ-PP_26-170</t>
        </is>
      </c>
      <c r="B3900" s="256" t="inlineStr">
        <is>
          <t>release</t>
        </is>
      </c>
      <c r="C3900" s="256" t="inlineStr">
        <is>
          <t>P160032</t>
        </is>
      </c>
      <c r="D3900" s="256" t="inlineStr">
        <is>
          <t>— no P lot assigned —</t>
        </is>
      </c>
      <c r="E3900" s="256" t="inlineStr">
        <is>
          <t>Grape Pie</t>
        </is>
      </c>
      <c r="F3900" s="256" t="inlineStr">
        <is>
          <t>13.07.2026</t>
        </is>
      </c>
      <c r="G3900" s="256" t="inlineStr">
        <is>
          <t>9.4</t>
        </is>
      </c>
      <c r="H3900" s="256" t="inlineStr">
        <is>
          <t>Salmonella</t>
        </is>
      </c>
      <c r="I3900" s="256" t="inlineStr">
        <is>
          <t>Ph. Eur. 2.6.31 cat. C</t>
        </is>
      </c>
      <c r="J3900" s="256" t="inlineStr">
        <is>
          <t>Absence | Отсуство / 25 g</t>
        </is>
      </c>
      <c r="K3900" s="259" t="inlineStr">
        <is>
          <t>not tested</t>
        </is>
      </c>
      <c r="L3900" s="256" t="inlineStr">
        <is>
          <t>—</t>
        </is>
      </c>
      <c r="M3900" s="256" t="inlineStr">
        <is>
          <t>—</t>
        </is>
      </c>
      <c r="N3900" s="256" t="inlineStr">
        <is>
          <t>—</t>
        </is>
      </c>
      <c r="O3900" s="256" t="inlineStr">
        <is>
          <t>—</t>
        </is>
      </c>
      <c r="P3900" s="256" t="inlineStr">
        <is>
          <t>not tested — no certificate covers it</t>
        </is>
      </c>
      <c r="Q3900" s="256" t="inlineStr"/>
      <c r="R3900" s="256" t="inlineStr"/>
    </row>
    <row r="3901">
      <c r="A3901" s="256" t="inlineStr">
        <is>
          <t>CoQ-PP_26-170</t>
        </is>
      </c>
      <c r="B3901" s="256" t="inlineStr">
        <is>
          <t>release</t>
        </is>
      </c>
      <c r="C3901" s="256" t="inlineStr">
        <is>
          <t>P160032</t>
        </is>
      </c>
      <c r="D3901" s="256" t="inlineStr">
        <is>
          <t>— no P lot assigned —</t>
        </is>
      </c>
      <c r="E3901" s="256" t="inlineStr">
        <is>
          <t>Grape Pie</t>
        </is>
      </c>
      <c r="F3901" s="256" t="inlineStr">
        <is>
          <t>13.07.2026</t>
        </is>
      </c>
      <c r="G3901" s="256" t="inlineStr">
        <is>
          <t>9.5</t>
        </is>
      </c>
      <c r="H3901" s="256" t="inlineStr">
        <is>
          <t>Escherichia coli</t>
        </is>
      </c>
      <c r="I3901" s="256" t="inlineStr">
        <is>
          <t>Ph. Eur. 2.6.13 cat. C</t>
        </is>
      </c>
      <c r="J3901" s="256" t="inlineStr">
        <is>
          <t>Absence | Отсуство / 1 g</t>
        </is>
      </c>
      <c r="K3901" s="259" t="inlineStr">
        <is>
          <t>not tested</t>
        </is>
      </c>
      <c r="L3901" s="256" t="inlineStr">
        <is>
          <t>—</t>
        </is>
      </c>
      <c r="M3901" s="256" t="inlineStr">
        <is>
          <t>—</t>
        </is>
      </c>
      <c r="N3901" s="256" t="inlineStr">
        <is>
          <t>—</t>
        </is>
      </c>
      <c r="O3901" s="256" t="inlineStr">
        <is>
          <t>—</t>
        </is>
      </c>
      <c r="P3901" s="256" t="inlineStr">
        <is>
          <t>not tested — no certificate covers it</t>
        </is>
      </c>
      <c r="Q3901" s="256" t="inlineStr"/>
      <c r="R3901" s="256" t="inlineStr"/>
    </row>
    <row r="3902">
      <c r="A3902" s="256" t="inlineStr">
        <is>
          <t>CoQ-PP_26-170</t>
        </is>
      </c>
      <c r="B3902" s="256" t="inlineStr">
        <is>
          <t>release</t>
        </is>
      </c>
      <c r="C3902" s="256" t="inlineStr">
        <is>
          <t>P160032</t>
        </is>
      </c>
      <c r="D3902" s="256" t="inlineStr">
        <is>
          <t>— no P lot assigned —</t>
        </is>
      </c>
      <c r="E3902" s="256" t="inlineStr">
        <is>
          <t>Grape Pie</t>
        </is>
      </c>
      <c r="F3902" s="256" t="inlineStr">
        <is>
          <t>13.07.2026</t>
        </is>
      </c>
      <c r="G3902" s="256" t="inlineStr">
        <is>
          <t>9.6</t>
        </is>
      </c>
      <c r="H3902" s="256" t="inlineStr">
        <is>
          <t>Pseudomonas aeruginosa</t>
        </is>
      </c>
      <c r="I3902" s="256" t="inlineStr">
        <is>
          <t>Ph. Eur. 2.6.13 cat. C</t>
        </is>
      </c>
      <c r="J3902" s="256" t="inlineStr">
        <is>
          <t>Absence | Отсуство / 1 g</t>
        </is>
      </c>
      <c r="K3902" s="260" t="inlineStr">
        <is>
          <t>upon request — not required for release</t>
        </is>
      </c>
      <c r="L3902" s="256" t="inlineStr">
        <is>
          <t>—</t>
        </is>
      </c>
      <c r="M3902" s="256" t="inlineStr">
        <is>
          <t>—</t>
        </is>
      </c>
      <c r="N3902" s="256" t="inlineStr">
        <is>
          <t>—</t>
        </is>
      </c>
      <c r="O3902" s="256" t="inlineStr">
        <is>
          <t>—</t>
        </is>
      </c>
      <c r="P3902" s="256" t="inlineStr">
        <is>
          <t>upon request — not required for release</t>
        </is>
      </c>
      <c r="Q3902" s="256" t="inlineStr"/>
      <c r="R3902" s="256" t="inlineStr"/>
    </row>
    <row r="3903">
      <c r="A3903" s="256" t="inlineStr">
        <is>
          <t>CoQ-PP_26-170</t>
        </is>
      </c>
      <c r="B3903" s="256" t="inlineStr">
        <is>
          <t>release</t>
        </is>
      </c>
      <c r="C3903" s="256" t="inlineStr">
        <is>
          <t>P160032</t>
        </is>
      </c>
      <c r="D3903" s="256" t="inlineStr">
        <is>
          <t>— no P lot assigned —</t>
        </is>
      </c>
      <c r="E3903" s="256" t="inlineStr">
        <is>
          <t>Grape Pie</t>
        </is>
      </c>
      <c r="F3903" s="256" t="inlineStr">
        <is>
          <t>13.07.2026</t>
        </is>
      </c>
      <c r="G3903" s="256" t="inlineStr">
        <is>
          <t>9.7</t>
        </is>
      </c>
      <c r="H3903" s="256" t="inlineStr">
        <is>
          <t>Staphylococcus aureus</t>
        </is>
      </c>
      <c r="I3903" s="256" t="inlineStr">
        <is>
          <t>Ph. Eur. 2.6.13 cat. C</t>
        </is>
      </c>
      <c r="J3903" s="256" t="inlineStr">
        <is>
          <t>Absence | Отсуство / 1 g</t>
        </is>
      </c>
      <c r="K3903" s="260" t="inlineStr">
        <is>
          <t>upon request — not required for release</t>
        </is>
      </c>
      <c r="L3903" s="256" t="inlineStr">
        <is>
          <t>—</t>
        </is>
      </c>
      <c r="M3903" s="256" t="inlineStr">
        <is>
          <t>—</t>
        </is>
      </c>
      <c r="N3903" s="256" t="inlineStr">
        <is>
          <t>—</t>
        </is>
      </c>
      <c r="O3903" s="256" t="inlineStr">
        <is>
          <t>—</t>
        </is>
      </c>
      <c r="P3903" s="256" t="inlineStr">
        <is>
          <t>upon request — not required for release</t>
        </is>
      </c>
      <c r="Q3903" s="256" t="inlineStr"/>
      <c r="R3903" s="256" t="inlineStr"/>
    </row>
    <row r="3904">
      <c r="A3904" s="256" t="inlineStr">
        <is>
          <t>CoQ-PP_26-170</t>
        </is>
      </c>
      <c r="B3904" s="256" t="inlineStr">
        <is>
          <t>release</t>
        </is>
      </c>
      <c r="C3904" s="256" t="inlineStr">
        <is>
          <t>P160032</t>
        </is>
      </c>
      <c r="D3904" s="256" t="inlineStr">
        <is>
          <t>— no P lot assigned —</t>
        </is>
      </c>
      <c r="E3904" s="256" t="inlineStr">
        <is>
          <t>Grape Pie</t>
        </is>
      </c>
      <c r="F3904" s="256" t="inlineStr">
        <is>
          <t>13.07.2026</t>
        </is>
      </c>
      <c r="G3904" s="256" t="inlineStr">
        <is>
          <t>10.1</t>
        </is>
      </c>
      <c r="H3904" s="256" t="inlineStr">
        <is>
          <t>Aflatoxin B₁</t>
        </is>
      </c>
      <c r="I3904" s="256" t="inlineStr">
        <is>
          <t>Ph. Eur. 2.8.18 (HPLC-FLD)</t>
        </is>
      </c>
      <c r="J3904" s="256" t="inlineStr">
        <is>
          <t>≤ 2 µg/kg</t>
        </is>
      </c>
      <c r="K3904" s="259" t="inlineStr">
        <is>
          <t>not tested</t>
        </is>
      </c>
      <c r="L3904" s="256" t="inlineStr">
        <is>
          <t>—</t>
        </is>
      </c>
      <c r="M3904" s="256" t="inlineStr">
        <is>
          <t>—</t>
        </is>
      </c>
      <c r="N3904" s="256" t="inlineStr">
        <is>
          <t>—</t>
        </is>
      </c>
      <c r="O3904" s="256" t="inlineStr">
        <is>
          <t>—</t>
        </is>
      </c>
      <c r="P3904" s="256" t="inlineStr">
        <is>
          <t>not tested — no certificate covers it</t>
        </is>
      </c>
      <c r="Q3904" s="256" t="inlineStr"/>
      <c r="R3904" s="256" t="inlineStr"/>
    </row>
    <row r="3905">
      <c r="A3905" s="256" t="inlineStr">
        <is>
          <t>CoQ-PP_26-170</t>
        </is>
      </c>
      <c r="B3905" s="256" t="inlineStr">
        <is>
          <t>release</t>
        </is>
      </c>
      <c r="C3905" s="256" t="inlineStr">
        <is>
          <t>P160032</t>
        </is>
      </c>
      <c r="D3905" s="256" t="inlineStr">
        <is>
          <t>— no P lot assigned —</t>
        </is>
      </c>
      <c r="E3905" s="256" t="inlineStr">
        <is>
          <t>Grape Pie</t>
        </is>
      </c>
      <c r="F3905" s="256" t="inlineStr">
        <is>
          <t>13.07.2026</t>
        </is>
      </c>
      <c r="G3905" s="256" t="inlineStr">
        <is>
          <t>10.2</t>
        </is>
      </c>
      <c r="H3905" s="256" t="inlineStr">
        <is>
          <t>Aflatoxins ∑</t>
        </is>
      </c>
      <c r="I3905" s="256" t="inlineStr">
        <is>
          <t>Ph. Eur. 2.8.18 (HPLC-FLD)</t>
        </is>
      </c>
      <c r="J3905" s="256" t="inlineStr">
        <is>
          <t>≤ 4 µg/kg</t>
        </is>
      </c>
      <c r="K3905" s="259" t="inlineStr">
        <is>
          <t>not tested</t>
        </is>
      </c>
      <c r="L3905" s="256" t="inlineStr">
        <is>
          <t>—</t>
        </is>
      </c>
      <c r="M3905" s="256" t="inlineStr">
        <is>
          <t>—</t>
        </is>
      </c>
      <c r="N3905" s="256" t="inlineStr">
        <is>
          <t>—</t>
        </is>
      </c>
      <c r="O3905" s="256" t="inlineStr">
        <is>
          <t>—</t>
        </is>
      </c>
      <c r="P3905" s="256" t="inlineStr">
        <is>
          <t>not tested — no certificate covers it</t>
        </is>
      </c>
      <c r="Q3905" s="256" t="inlineStr"/>
      <c r="R3905" s="256" t="inlineStr"/>
    </row>
    <row r="3906">
      <c r="A3906" s="256" t="inlineStr">
        <is>
          <t>CoQ-PP_26-170</t>
        </is>
      </c>
      <c r="B3906" s="256" t="inlineStr">
        <is>
          <t>release</t>
        </is>
      </c>
      <c r="C3906" s="256" t="inlineStr">
        <is>
          <t>P160032</t>
        </is>
      </c>
      <c r="D3906" s="256" t="inlineStr">
        <is>
          <t>— no P lot assigned —</t>
        </is>
      </c>
      <c r="E3906" s="256" t="inlineStr">
        <is>
          <t>Grape Pie</t>
        </is>
      </c>
      <c r="F3906" s="256" t="inlineStr">
        <is>
          <t>13.07.2026</t>
        </is>
      </c>
      <c r="G3906" s="256" t="inlineStr">
        <is>
          <t>10.3</t>
        </is>
      </c>
      <c r="H3906" s="256" t="inlineStr">
        <is>
          <t>Ochratoxin A</t>
        </is>
      </c>
      <c r="I3906" s="256" t="inlineStr">
        <is>
          <t>Ph. Eur. 2.8.22 (HPLC-FLD)</t>
        </is>
      </c>
      <c r="J3906" s="256" t="inlineStr">
        <is>
          <t>≤ 20 µg/kg</t>
        </is>
      </c>
      <c r="K3906" s="259" t="inlineStr">
        <is>
          <t>not tested</t>
        </is>
      </c>
      <c r="L3906" s="256" t="inlineStr">
        <is>
          <t>—</t>
        </is>
      </c>
      <c r="M3906" s="256" t="inlineStr">
        <is>
          <t>—</t>
        </is>
      </c>
      <c r="N3906" s="256" t="inlineStr">
        <is>
          <t>—</t>
        </is>
      </c>
      <c r="O3906" s="256" t="inlineStr">
        <is>
          <t>—</t>
        </is>
      </c>
      <c r="P3906" s="256" t="inlineStr">
        <is>
          <t>not tested — no certificate covers it</t>
        </is>
      </c>
      <c r="Q3906" s="256" t="inlineStr"/>
      <c r="R3906" s="256" t="inlineStr"/>
    </row>
    <row r="3907">
      <c r="A3907" s="256" t="inlineStr">
        <is>
          <t>CoQ-PP_26-170</t>
        </is>
      </c>
      <c r="B3907" s="256" t="inlineStr">
        <is>
          <t>release</t>
        </is>
      </c>
      <c r="C3907" s="256" t="inlineStr">
        <is>
          <t>P160032</t>
        </is>
      </c>
      <c r="D3907" s="256" t="inlineStr">
        <is>
          <t>— no P lot assigned —</t>
        </is>
      </c>
      <c r="E3907" s="256" t="inlineStr">
        <is>
          <t>Grape Pie</t>
        </is>
      </c>
      <c r="F3907" s="256" t="inlineStr">
        <is>
          <t>13.07.2026</t>
        </is>
      </c>
      <c r="G3907" s="256" t="inlineStr">
        <is>
          <t>11.1</t>
        </is>
      </c>
      <c r="H3907" s="256" t="inlineStr">
        <is>
          <t>Lead (Pb)</t>
        </is>
      </c>
      <c r="I3907" s="256" t="inlineStr">
        <is>
          <t>Ph. Eur. 2.4.27 (ICP-MS)</t>
        </is>
      </c>
      <c r="J3907" s="256" t="inlineStr">
        <is>
          <t>≤ 0.5 mg/kg</t>
        </is>
      </c>
      <c r="K3907" s="259" t="inlineStr">
        <is>
          <t>not tested</t>
        </is>
      </c>
      <c r="L3907" s="256" t="inlineStr">
        <is>
          <t>—</t>
        </is>
      </c>
      <c r="M3907" s="256" t="inlineStr">
        <is>
          <t>—</t>
        </is>
      </c>
      <c r="N3907" s="256" t="inlineStr">
        <is>
          <t>—</t>
        </is>
      </c>
      <c r="O3907" s="256" t="inlineStr">
        <is>
          <t>—</t>
        </is>
      </c>
      <c r="P3907" s="256" t="inlineStr">
        <is>
          <t>not tested — no certificate covers it</t>
        </is>
      </c>
      <c r="Q3907" s="256" t="inlineStr"/>
      <c r="R3907" s="256" t="inlineStr"/>
    </row>
    <row r="3908">
      <c r="A3908" s="256" t="inlineStr">
        <is>
          <t>CoQ-PP_26-170</t>
        </is>
      </c>
      <c r="B3908" s="256" t="inlineStr">
        <is>
          <t>release</t>
        </is>
      </c>
      <c r="C3908" s="256" t="inlineStr">
        <is>
          <t>P160032</t>
        </is>
      </c>
      <c r="D3908" s="256" t="inlineStr">
        <is>
          <t>— no P lot assigned —</t>
        </is>
      </c>
      <c r="E3908" s="256" t="inlineStr">
        <is>
          <t>Grape Pie</t>
        </is>
      </c>
      <c r="F3908" s="256" t="inlineStr">
        <is>
          <t>13.07.2026</t>
        </is>
      </c>
      <c r="G3908" s="256" t="inlineStr">
        <is>
          <t>11.2</t>
        </is>
      </c>
      <c r="H3908" s="256" t="inlineStr">
        <is>
          <t>Cadmium (Cd)</t>
        </is>
      </c>
      <c r="I3908" s="256" t="inlineStr">
        <is>
          <t>Ph. Eur. 2.4.27 (ICP-MS)</t>
        </is>
      </c>
      <c r="J3908" s="256" t="inlineStr">
        <is>
          <t>≤ 0.3 mg/kg</t>
        </is>
      </c>
      <c r="K3908" s="259" t="inlineStr">
        <is>
          <t>not tested</t>
        </is>
      </c>
      <c r="L3908" s="256" t="inlineStr">
        <is>
          <t>—</t>
        </is>
      </c>
      <c r="M3908" s="256" t="inlineStr">
        <is>
          <t>—</t>
        </is>
      </c>
      <c r="N3908" s="256" t="inlineStr">
        <is>
          <t>—</t>
        </is>
      </c>
      <c r="O3908" s="256" t="inlineStr">
        <is>
          <t>—</t>
        </is>
      </c>
      <c r="P3908" s="256" t="inlineStr">
        <is>
          <t>not tested — no certificate covers it</t>
        </is>
      </c>
      <c r="Q3908" s="256" t="inlineStr"/>
      <c r="R3908" s="256" t="inlineStr"/>
    </row>
    <row r="3909">
      <c r="A3909" s="256" t="inlineStr">
        <is>
          <t>CoQ-PP_26-170</t>
        </is>
      </c>
      <c r="B3909" s="256" t="inlineStr">
        <is>
          <t>release</t>
        </is>
      </c>
      <c r="C3909" s="256" t="inlineStr">
        <is>
          <t>P160032</t>
        </is>
      </c>
      <c r="D3909" s="256" t="inlineStr">
        <is>
          <t>— no P lot assigned —</t>
        </is>
      </c>
      <c r="E3909" s="256" t="inlineStr">
        <is>
          <t>Grape Pie</t>
        </is>
      </c>
      <c r="F3909" s="256" t="inlineStr">
        <is>
          <t>13.07.2026</t>
        </is>
      </c>
      <c r="G3909" s="256" t="inlineStr">
        <is>
          <t>11.3</t>
        </is>
      </c>
      <c r="H3909" s="256" t="inlineStr">
        <is>
          <t>Arsenic (As)</t>
        </is>
      </c>
      <c r="I3909" s="256" t="inlineStr">
        <is>
          <t>Ph. Eur. 2.4.27 (ICP-MS)</t>
        </is>
      </c>
      <c r="J3909" s="256" t="inlineStr">
        <is>
          <t>≤ 0.2 mg/kg</t>
        </is>
      </c>
      <c r="K3909" s="259" t="inlineStr">
        <is>
          <t>not tested</t>
        </is>
      </c>
      <c r="L3909" s="256" t="inlineStr">
        <is>
          <t>—</t>
        </is>
      </c>
      <c r="M3909" s="256" t="inlineStr">
        <is>
          <t>—</t>
        </is>
      </c>
      <c r="N3909" s="256" t="inlineStr">
        <is>
          <t>—</t>
        </is>
      </c>
      <c r="O3909" s="256" t="inlineStr">
        <is>
          <t>—</t>
        </is>
      </c>
      <c r="P3909" s="256" t="inlineStr">
        <is>
          <t>not tested — no certificate covers it</t>
        </is>
      </c>
      <c r="Q3909" s="256" t="inlineStr"/>
      <c r="R3909" s="256" t="inlineStr"/>
    </row>
    <row r="3910">
      <c r="A3910" s="256" t="inlineStr">
        <is>
          <t>CoQ-PP_26-170</t>
        </is>
      </c>
      <c r="B3910" s="256" t="inlineStr">
        <is>
          <t>release</t>
        </is>
      </c>
      <c r="C3910" s="256" t="inlineStr">
        <is>
          <t>P160032</t>
        </is>
      </c>
      <c r="D3910" s="256" t="inlineStr">
        <is>
          <t>— no P lot assigned —</t>
        </is>
      </c>
      <c r="E3910" s="256" t="inlineStr">
        <is>
          <t>Grape Pie</t>
        </is>
      </c>
      <c r="F3910" s="256" t="inlineStr">
        <is>
          <t>13.07.2026</t>
        </is>
      </c>
      <c r="G3910" s="256" t="inlineStr">
        <is>
          <t>11.4</t>
        </is>
      </c>
      <c r="H3910" s="256" t="inlineStr">
        <is>
          <t>Mercury (Hg)</t>
        </is>
      </c>
      <c r="I3910" s="256" t="inlineStr">
        <is>
          <t>Ph. Eur. 2.4.27 (ICP-MS)</t>
        </is>
      </c>
      <c r="J3910" s="256" t="inlineStr">
        <is>
          <t>≤ 0.1 mg/kg</t>
        </is>
      </c>
      <c r="K3910" s="259" t="inlineStr">
        <is>
          <t>not tested</t>
        </is>
      </c>
      <c r="L3910" s="256" t="inlineStr">
        <is>
          <t>—</t>
        </is>
      </c>
      <c r="M3910" s="256" t="inlineStr">
        <is>
          <t>—</t>
        </is>
      </c>
      <c r="N3910" s="256" t="inlineStr">
        <is>
          <t>—</t>
        </is>
      </c>
      <c r="O3910" s="256" t="inlineStr">
        <is>
          <t>—</t>
        </is>
      </c>
      <c r="P3910" s="256" t="inlineStr">
        <is>
          <t>not tested — no certificate covers it</t>
        </is>
      </c>
      <c r="Q3910" s="256" t="inlineStr"/>
      <c r="R3910" s="256" t="inlineStr"/>
    </row>
    <row r="3911">
      <c r="A3911" s="256" t="inlineStr">
        <is>
          <t>CoQ-PP_26-170</t>
        </is>
      </c>
      <c r="B3911" s="256" t="inlineStr">
        <is>
          <t>release</t>
        </is>
      </c>
      <c r="C3911" s="256" t="inlineStr">
        <is>
          <t>P160032</t>
        </is>
      </c>
      <c r="D3911" s="256" t="inlineStr">
        <is>
          <t>— no P lot assigned —</t>
        </is>
      </c>
      <c r="E3911" s="256" t="inlineStr">
        <is>
          <t>Grape Pie</t>
        </is>
      </c>
      <c r="F3911" s="256" t="inlineStr">
        <is>
          <t>13.07.2026</t>
        </is>
      </c>
      <c r="G3911" s="256" t="inlineStr">
        <is>
          <t>12</t>
        </is>
      </c>
      <c r="H3911" s="256" t="inlineStr">
        <is>
          <t>Pesticide Residues</t>
        </is>
      </c>
      <c r="I3911" s="256" t="inlineStr">
        <is>
          <t>Ph. Eur. 2.8.13 (LC-MS/MS) · CUMCS Equivalency</t>
        </is>
      </c>
      <c r="J3911" s="256" t="inlineStr">
        <is>
          <t>≤ LOQ as per Ph. Eur. 2.8.13 · ≤ LOQ as per CUMCS Equivalency</t>
        </is>
      </c>
      <c r="K3911" s="259" t="inlineStr">
        <is>
          <t>not tested</t>
        </is>
      </c>
      <c r="L3911" s="256" t="inlineStr">
        <is>
          <t>—</t>
        </is>
      </c>
      <c r="M3911" s="256" t="inlineStr">
        <is>
          <t>—</t>
        </is>
      </c>
      <c r="N3911" s="256" t="inlineStr">
        <is>
          <t>—</t>
        </is>
      </c>
      <c r="O3911" s="256" t="inlineStr">
        <is>
          <t>—</t>
        </is>
      </c>
      <c r="P3911" s="256" t="inlineStr">
        <is>
          <t>not tested — no certificate covers it</t>
        </is>
      </c>
      <c r="Q3911" s="256" t="inlineStr"/>
      <c r="R3911" s="256" t="inlineStr"/>
    </row>
    <row r="3912">
      <c r="A3912" s="256" t="inlineStr">
        <is>
          <t>CoQ-PP_26-171</t>
        </is>
      </c>
      <c r="B3912" s="256" t="inlineStr">
        <is>
          <t>reissue — retest</t>
        </is>
      </c>
      <c r="C3912" s="256" t="inlineStr">
        <is>
          <t>CC042601</t>
        </is>
      </c>
      <c r="D3912" s="256" t="inlineStr">
        <is>
          <t>— no P lot assigned —</t>
        </is>
      </c>
      <c r="E3912" s="256" t="inlineStr">
        <is>
          <t>Cash Cow</t>
        </is>
      </c>
      <c r="F3912" s="256" t="inlineStr">
        <is>
          <t>18.09.2026</t>
        </is>
      </c>
      <c r="G3912" s="256" t="inlineStr">
        <is>
          <t>1</t>
        </is>
      </c>
      <c r="H3912" s="256" t="inlineStr">
        <is>
          <t>Identification A, Appearance · Macroscopic</t>
        </is>
      </c>
      <c r="I3912" s="256" t="inlineStr">
        <is>
          <t>Ph. Eur. mon. 3028</t>
        </is>
      </c>
      <c r="J3912" s="256" t="inlineStr">
        <is>
          <t>Conforms to the monograph for Cannabis flos (07/2024:3028) in Ph. Eur. 11.0 | Согласно монографија за Cannabis flos (07/2024:3028) во Ph. Eur. 11.0</t>
        </is>
      </c>
      <c r="K3912" s="256" t="inlineStr">
        <is>
          <t>Conforms | Одговара</t>
        </is>
      </c>
      <c r="L3912" s="256" t="inlineStr">
        <is>
          <t>iCoA-PP_26-146</t>
        </is>
      </c>
      <c r="M3912" s="256" t="inlineStr">
        <is>
          <t>17.08.2026</t>
        </is>
      </c>
      <c r="N3912" s="256" t="inlineStr">
        <is>
          <t>Purely Plant GmbH (in-house)</t>
        </is>
      </c>
      <c r="O3912" s="256" t="inlineStr">
        <is>
          <t>—</t>
        </is>
      </c>
      <c r="P3912" s="256" t="inlineStr">
        <is>
          <t>to be performed — see route</t>
        </is>
      </c>
      <c r="Q3912" s="256" t="inlineStr">
        <is>
          <t>Farmahem — Ident A + B + C with the Assay, at retest</t>
        </is>
      </c>
      <c r="R3912" s="256" t="inlineStr"/>
    </row>
    <row r="3913">
      <c r="A3913" s="256" t="inlineStr">
        <is>
          <t>CoQ-PP_26-171</t>
        </is>
      </c>
      <c r="B3913" s="256" t="inlineStr">
        <is>
          <t>reissue — retest</t>
        </is>
      </c>
      <c r="C3913" s="256" t="inlineStr">
        <is>
          <t>CC042601</t>
        </is>
      </c>
      <c r="D3913" s="256" t="inlineStr">
        <is>
          <t>— no P lot assigned —</t>
        </is>
      </c>
      <c r="E3913" s="256" t="inlineStr">
        <is>
          <t>Cash Cow</t>
        </is>
      </c>
      <c r="F3913" s="256" t="inlineStr">
        <is>
          <t>18.09.2026</t>
        </is>
      </c>
      <c r="G3913" s="256" t="inlineStr">
        <is>
          <t>2</t>
        </is>
      </c>
      <c r="H3913" s="256" t="inlineStr">
        <is>
          <t>Identification B · Microscopic</t>
        </is>
      </c>
      <c r="I3913" s="256" t="inlineStr">
        <is>
          <t>Ph. Eur. 2.8.23 (microscopy)</t>
        </is>
      </c>
      <c r="J3913" s="256" t="inlineStr">
        <is>
          <t>Conforms to the monograph for Cannabis flos (07/2024:3028) in Ph. Eur. 11.0 | Согласно монографија за Cannabis flos (07/2024:3028) во Ph. Eur. 11.0</t>
        </is>
      </c>
      <c r="K3913" s="256" t="inlineStr">
        <is>
          <t>Conforms | Одговара</t>
        </is>
      </c>
      <c r="L3913" s="256" t="inlineStr">
        <is>
          <t>iCoA-PP_26-146</t>
        </is>
      </c>
      <c r="M3913" s="256" t="inlineStr">
        <is>
          <t>17.08.2026</t>
        </is>
      </c>
      <c r="N3913" s="256" t="inlineStr">
        <is>
          <t>Purely Plant GmbH (in-house)</t>
        </is>
      </c>
      <c r="O3913" s="256" t="inlineStr">
        <is>
          <t>—</t>
        </is>
      </c>
      <c r="P3913" s="256" t="inlineStr">
        <is>
          <t>to be performed — see route</t>
        </is>
      </c>
      <c r="Q3913" s="256" t="inlineStr">
        <is>
          <t>Farmahem — Ident A + B + C with the Assay, at retest</t>
        </is>
      </c>
      <c r="R3913" s="256" t="inlineStr"/>
    </row>
    <row r="3914">
      <c r="A3914" s="256" t="inlineStr">
        <is>
          <t>CoQ-PP_26-171</t>
        </is>
      </c>
      <c r="B3914" s="256" t="inlineStr">
        <is>
          <t>reissue — retest</t>
        </is>
      </c>
      <c r="C3914" s="256" t="inlineStr">
        <is>
          <t>CC042601</t>
        </is>
      </c>
      <c r="D3914" s="256" t="inlineStr">
        <is>
          <t>— no P lot assigned —</t>
        </is>
      </c>
      <c r="E3914" s="256" t="inlineStr">
        <is>
          <t>Cash Cow</t>
        </is>
      </c>
      <c r="F3914" s="256" t="inlineStr">
        <is>
          <t>18.09.2026</t>
        </is>
      </c>
      <c r="G3914" s="256" t="inlineStr">
        <is>
          <t>3</t>
        </is>
      </c>
      <c r="H3914" s="256" t="inlineStr">
        <is>
          <t>Identification C · HPLC/HPTLC</t>
        </is>
      </c>
      <c r="I3914" s="256" t="inlineStr">
        <is>
          <t>Ph. Eur. 2.2.29 (3028)</t>
        </is>
      </c>
      <c r="J3914" s="256" t="inlineStr">
        <is>
          <t>Conforms to the monograph for Cannabis flos (07/2024:3028) in Ph. Eur. 11.0 | Согласно монографија за Cannabis flos (07/2024:3028) во Ph. Eur. 11.0</t>
        </is>
      </c>
      <c r="K3914" s="256" t="inlineStr">
        <is>
          <t>Conforms | Одговара</t>
        </is>
      </c>
      <c r="L3914" s="256" t="inlineStr">
        <is>
          <t>220-32-К/26</t>
        </is>
      </c>
      <c r="M3914" s="256" t="inlineStr">
        <is>
          <t>26.08.2026</t>
        </is>
      </c>
      <c r="N3914" s="256" t="inlineStr">
        <is>
          <t>Farmahem</t>
        </is>
      </c>
      <c r="O3914" s="256" t="inlineStr">
        <is>
          <t>17.08.2026</t>
        </is>
      </c>
      <c r="P3914" s="256" t="inlineStr">
        <is>
          <t>covered</t>
        </is>
      </c>
      <c r="Q3914" s="256" t="inlineStr"/>
      <c r="R3914" s="256" t="inlineStr"/>
    </row>
    <row r="3915">
      <c r="A3915" s="256" t="inlineStr">
        <is>
          <t>CoQ-PP_26-171</t>
        </is>
      </c>
      <c r="B3915" s="256" t="inlineStr">
        <is>
          <t>reissue — retest</t>
        </is>
      </c>
      <c r="C3915" s="256" t="inlineStr">
        <is>
          <t>CC042601</t>
        </is>
      </c>
      <c r="D3915" s="256" t="inlineStr">
        <is>
          <t>— no P lot assigned —</t>
        </is>
      </c>
      <c r="E3915" s="256" t="inlineStr">
        <is>
          <t>Cash Cow</t>
        </is>
      </c>
      <c r="F3915" s="256" t="inlineStr">
        <is>
          <t>18.09.2026</t>
        </is>
      </c>
      <c r="G3915" s="256" t="inlineStr">
        <is>
          <t>4</t>
        </is>
      </c>
      <c r="H3915" s="256" t="inlineStr">
        <is>
          <t>Assay — Total Δ⁹-THC</t>
        </is>
      </c>
      <c r="I3915" s="256" t="inlineStr">
        <is>
          <t>Ph. Eur. 2.2.29 (HPLC)</t>
        </is>
      </c>
      <c r="J3915" s="256" t="inlineStr">
        <is>
          <t>12.65 – 15.34 %  (grade II, nominal 14.00 ± 1.35)</t>
        </is>
      </c>
      <c r="K3915" s="256" t="inlineStr">
        <is>
          <t>14.90</t>
        </is>
      </c>
      <c r="L3915" s="256" t="inlineStr">
        <is>
          <t>220-32-К/26</t>
        </is>
      </c>
      <c r="M3915" s="256" t="inlineStr">
        <is>
          <t>26.08.2026</t>
        </is>
      </c>
      <c r="N3915" s="256" t="inlineStr">
        <is>
          <t>Farmahem</t>
        </is>
      </c>
      <c r="O3915" s="256" t="inlineStr">
        <is>
          <t>17.08.2026</t>
        </is>
      </c>
      <c r="P3915" s="256" t="inlineStr">
        <is>
          <t>covered</t>
        </is>
      </c>
      <c r="Q3915" s="256" t="inlineStr"/>
      <c r="R3915" s="256" t="inlineStr"/>
    </row>
    <row r="3916">
      <c r="A3916" s="256" t="inlineStr">
        <is>
          <t>CoQ-PP_26-171</t>
        </is>
      </c>
      <c r="B3916" s="256" t="inlineStr">
        <is>
          <t>reissue — retest</t>
        </is>
      </c>
      <c r="C3916" s="256" t="inlineStr">
        <is>
          <t>CC042601</t>
        </is>
      </c>
      <c r="D3916" s="256" t="inlineStr">
        <is>
          <t>— no P lot assigned —</t>
        </is>
      </c>
      <c r="E3916" s="256" t="inlineStr">
        <is>
          <t>Cash Cow</t>
        </is>
      </c>
      <c r="F3916" s="256" t="inlineStr">
        <is>
          <t>18.09.2026</t>
        </is>
      </c>
      <c r="G3916" s="256" t="inlineStr">
        <is>
          <t>5</t>
        </is>
      </c>
      <c r="H3916" s="256" t="inlineStr">
        <is>
          <t>Assay — Total CBD</t>
        </is>
      </c>
      <c r="I3916" s="256" t="inlineStr">
        <is>
          <t>Ph. Eur. 2.2.29 (HPLC) · CBD + CBDA x 0.877</t>
        </is>
      </c>
      <c r="J3916" s="256" t="inlineStr">
        <is>
          <t>≤ 1.0%, w/w</t>
        </is>
      </c>
      <c r="K3916" s="256" t="inlineStr">
        <is>
          <t>&lt; LOQ</t>
        </is>
      </c>
      <c r="L3916" s="256" t="inlineStr">
        <is>
          <t>220-32-К/26</t>
        </is>
      </c>
      <c r="M3916" s="256" t="inlineStr">
        <is>
          <t>26.08.2026</t>
        </is>
      </c>
      <c r="N3916" s="256" t="inlineStr">
        <is>
          <t>Farmahem</t>
        </is>
      </c>
      <c r="O3916" s="256" t="inlineStr">
        <is>
          <t>17.08.2026</t>
        </is>
      </c>
      <c r="P3916" s="256" t="inlineStr">
        <is>
          <t>covered</t>
        </is>
      </c>
      <c r="Q3916" s="256" t="inlineStr"/>
      <c r="R3916" s="256" t="inlineStr"/>
    </row>
    <row r="3917">
      <c r="A3917" s="256" t="inlineStr">
        <is>
          <t>CoQ-PP_26-171</t>
        </is>
      </c>
      <c r="B3917" s="256" t="inlineStr">
        <is>
          <t>reissue — retest</t>
        </is>
      </c>
      <c r="C3917" s="256" t="inlineStr">
        <is>
          <t>CC042601</t>
        </is>
      </c>
      <c r="D3917" s="256" t="inlineStr">
        <is>
          <t>— no P lot assigned —</t>
        </is>
      </c>
      <c r="E3917" s="256" t="inlineStr">
        <is>
          <t>Cash Cow</t>
        </is>
      </c>
      <c r="F3917" s="256" t="inlineStr">
        <is>
          <t>18.09.2026</t>
        </is>
      </c>
      <c r="G3917" s="256" t="inlineStr">
        <is>
          <t>6</t>
        </is>
      </c>
      <c r="H3917" s="256" t="inlineStr">
        <is>
          <t>Total CBN</t>
        </is>
      </c>
      <c r="I3917" s="256" t="inlineStr">
        <is>
          <t>Ph. Eur. 2.2.29 (HPLC) · CBN + CBNA x 0.876</t>
        </is>
      </c>
      <c r="J3917" s="256" t="inlineStr">
        <is>
          <t>≤ 1.0%, w/w</t>
        </is>
      </c>
      <c r="K3917" s="256" t="inlineStr">
        <is>
          <t>&lt; LOQ</t>
        </is>
      </c>
      <c r="L3917" s="256" t="inlineStr">
        <is>
          <t>220-32-К/26</t>
        </is>
      </c>
      <c r="M3917" s="256" t="inlineStr">
        <is>
          <t>26.08.2026</t>
        </is>
      </c>
      <c r="N3917" s="256" t="inlineStr">
        <is>
          <t>Farmahem</t>
        </is>
      </c>
      <c r="O3917" s="256" t="inlineStr">
        <is>
          <t>17.08.2026</t>
        </is>
      </c>
      <c r="P3917" s="256" t="inlineStr">
        <is>
          <t>covered</t>
        </is>
      </c>
      <c r="Q3917" s="256" t="inlineStr"/>
      <c r="R3917" s="256" t="inlineStr"/>
    </row>
    <row r="3918">
      <c r="A3918" s="256" t="inlineStr">
        <is>
          <t>CoQ-PP_26-171</t>
        </is>
      </c>
      <c r="B3918" s="256" t="inlineStr">
        <is>
          <t>reissue — retest</t>
        </is>
      </c>
      <c r="C3918" s="256" t="inlineStr">
        <is>
          <t>CC042601</t>
        </is>
      </c>
      <c r="D3918" s="256" t="inlineStr">
        <is>
          <t>— no P lot assigned —</t>
        </is>
      </c>
      <c r="E3918" s="256" t="inlineStr">
        <is>
          <t>Cash Cow</t>
        </is>
      </c>
      <c r="F3918" s="256" t="inlineStr">
        <is>
          <t>18.09.2026</t>
        </is>
      </c>
      <c r="G3918" s="256" t="inlineStr">
        <is>
          <t>7</t>
        </is>
      </c>
      <c r="H3918" s="256" t="inlineStr">
        <is>
          <t>Foreign Matter</t>
        </is>
      </c>
      <c r="I3918" s="256" t="inlineStr">
        <is>
          <t>Ph. Eur. 2.8.2 · In-house · интерна</t>
        </is>
      </c>
      <c r="J3918" s="256" t="inlineStr">
        <is>
          <t>≤ 2.0% / 25–50 g · &lt; 1 cm leaves | листови, no seeds | без семки</t>
        </is>
      </c>
      <c r="K3918" s="256" t="inlineStr">
        <is>
          <t>Conforms | Одговара</t>
        </is>
      </c>
      <c r="L3918" s="256" t="inlineStr">
        <is>
          <t>iCoA-PP_26-146</t>
        </is>
      </c>
      <c r="M3918" s="256" t="inlineStr">
        <is>
          <t>17.08.2026</t>
        </is>
      </c>
      <c r="N3918" s="256" t="inlineStr">
        <is>
          <t>Purely Plant GmbH (in-house)</t>
        </is>
      </c>
      <c r="O3918" s="256" t="inlineStr">
        <is>
          <t>—</t>
        </is>
      </c>
      <c r="P3918" s="256" t="inlineStr">
        <is>
          <t>to be performed — see route</t>
        </is>
      </c>
      <c r="Q3918" s="256" t="inlineStr">
        <is>
          <t>Purely Plant laboratory — iCoA covering Foreign matter</t>
        </is>
      </c>
      <c r="R3918" s="256" t="inlineStr"/>
    </row>
    <row r="3919">
      <c r="A3919" s="256" t="inlineStr">
        <is>
          <t>CoQ-PP_26-171</t>
        </is>
      </c>
      <c r="B3919" s="256" t="inlineStr">
        <is>
          <t>reissue — retest</t>
        </is>
      </c>
      <c r="C3919" s="256" t="inlineStr">
        <is>
          <t>CC042601</t>
        </is>
      </c>
      <c r="D3919" s="256" t="inlineStr">
        <is>
          <t>— no P lot assigned —</t>
        </is>
      </c>
      <c r="E3919" s="256" t="inlineStr">
        <is>
          <t>Cash Cow</t>
        </is>
      </c>
      <c r="F3919" s="256" t="inlineStr">
        <is>
          <t>18.09.2026</t>
        </is>
      </c>
      <c r="G3919" s="256" t="inlineStr">
        <is>
          <t>8</t>
        </is>
      </c>
      <c r="H3919" s="256" t="inlineStr">
        <is>
          <t>Loss on Drying</t>
        </is>
      </c>
      <c r="I3919" s="256" t="inlineStr">
        <is>
          <t>Ph. Eur. 2.2.32 (3028) · at 40 °C, 24 h, 15–25 mbar</t>
        </is>
      </c>
      <c r="J3919" s="256" t="inlineStr">
        <is>
          <t>≤ 12.0%</t>
        </is>
      </c>
      <c r="K3919" s="256" t="inlineStr">
        <is>
          <t>carried from the initial testing — not tested</t>
        </is>
      </c>
      <c r="L3919" s="256" t="inlineStr">
        <is>
          <t>—</t>
        </is>
      </c>
      <c r="M3919" s="256" t="inlineStr">
        <is>
          <t>—</t>
        </is>
      </c>
      <c r="N3919" s="256" t="inlineStr">
        <is>
          <t>—</t>
        </is>
      </c>
      <c r="O3919" s="256" t="inlineStr">
        <is>
          <t>—</t>
        </is>
      </c>
      <c r="P3919" s="256" t="inlineStr">
        <is>
          <t>carried from the initial testing (the batch's initial CoQ (number assigned on issue)) — not tested — no certificate covers it</t>
        </is>
      </c>
      <c r="Q3919" s="256" t="inlineStr"/>
      <c r="R3919" s="256" t="inlineStr"/>
    </row>
    <row r="3920">
      <c r="A3920" s="256" t="inlineStr">
        <is>
          <t>CoQ-PP_26-171</t>
        </is>
      </c>
      <c r="B3920" s="256" t="inlineStr">
        <is>
          <t>reissue — retest</t>
        </is>
      </c>
      <c r="C3920" s="256" t="inlineStr">
        <is>
          <t>CC042601</t>
        </is>
      </c>
      <c r="D3920" s="256" t="inlineStr">
        <is>
          <t>— no P lot assigned —</t>
        </is>
      </c>
      <c r="E3920" s="256" t="inlineStr">
        <is>
          <t>Cash Cow</t>
        </is>
      </c>
      <c r="F3920" s="256" t="inlineStr">
        <is>
          <t>18.09.2026</t>
        </is>
      </c>
      <c r="G3920" s="256" t="inlineStr">
        <is>
          <t>9.1</t>
        </is>
      </c>
      <c r="H3920" s="256" t="inlineStr">
        <is>
          <t>TAMC</t>
        </is>
      </c>
      <c r="I3920" s="256" t="inlineStr">
        <is>
          <t>Ph. Eur. 2.6.12 cat. C</t>
        </is>
      </c>
      <c r="J3920" s="256" t="inlineStr">
        <is>
          <t>≤ 10⁵ CFU/g</t>
        </is>
      </c>
      <c r="K3920" s="256" t="inlineStr">
        <is>
          <t>carried from the initial testing — not tested</t>
        </is>
      </c>
      <c r="L3920" s="256" t="inlineStr">
        <is>
          <t>—</t>
        </is>
      </c>
      <c r="M3920" s="256" t="inlineStr">
        <is>
          <t>—</t>
        </is>
      </c>
      <c r="N3920" s="256" t="inlineStr">
        <is>
          <t>—</t>
        </is>
      </c>
      <c r="O3920" s="256" t="inlineStr">
        <is>
          <t>—</t>
        </is>
      </c>
      <c r="P3920" s="256" t="inlineStr">
        <is>
          <t>carried from the initial testing (the batch's initial CoQ (number assigned on issue)) — not tested — no certificate covers it</t>
        </is>
      </c>
      <c r="Q3920" s="256" t="inlineStr"/>
      <c r="R3920" s="256" t="inlineStr"/>
    </row>
    <row r="3921">
      <c r="A3921" s="256" t="inlineStr">
        <is>
          <t>CoQ-PP_26-171</t>
        </is>
      </c>
      <c r="B3921" s="256" t="inlineStr">
        <is>
          <t>reissue — retest</t>
        </is>
      </c>
      <c r="C3921" s="256" t="inlineStr">
        <is>
          <t>CC042601</t>
        </is>
      </c>
      <c r="D3921" s="256" t="inlineStr">
        <is>
          <t>— no P lot assigned —</t>
        </is>
      </c>
      <c r="E3921" s="256" t="inlineStr">
        <is>
          <t>Cash Cow</t>
        </is>
      </c>
      <c r="F3921" s="256" t="inlineStr">
        <is>
          <t>18.09.2026</t>
        </is>
      </c>
      <c r="G3921" s="256" t="inlineStr">
        <is>
          <t>9.2</t>
        </is>
      </c>
      <c r="H3921" s="256" t="inlineStr">
        <is>
          <t>TYMC</t>
        </is>
      </c>
      <c r="I3921" s="256" t="inlineStr">
        <is>
          <t>Ph. Eur. 2.6.12 cat. C</t>
        </is>
      </c>
      <c r="J3921" s="256" t="inlineStr">
        <is>
          <t>≤ 10⁴ CFU/g</t>
        </is>
      </c>
      <c r="K3921" s="256" t="inlineStr">
        <is>
          <t>carried from the initial testing — not tested</t>
        </is>
      </c>
      <c r="L3921" s="256" t="inlineStr">
        <is>
          <t>—</t>
        </is>
      </c>
      <c r="M3921" s="256" t="inlineStr">
        <is>
          <t>—</t>
        </is>
      </c>
      <c r="N3921" s="256" t="inlineStr">
        <is>
          <t>—</t>
        </is>
      </c>
      <c r="O3921" s="256" t="inlineStr">
        <is>
          <t>—</t>
        </is>
      </c>
      <c r="P3921" s="256" t="inlineStr">
        <is>
          <t>carried from the initial testing (the batch's initial CoQ (number assigned on issue)) — not tested — no certificate covers it</t>
        </is>
      </c>
      <c r="Q3921" s="256" t="inlineStr"/>
      <c r="R3921" s="256" t="inlineStr"/>
    </row>
    <row r="3922">
      <c r="A3922" s="256" t="inlineStr">
        <is>
          <t>CoQ-PP_26-171</t>
        </is>
      </c>
      <c r="B3922" s="256" t="inlineStr">
        <is>
          <t>reissue — retest</t>
        </is>
      </c>
      <c r="C3922" s="256" t="inlineStr">
        <is>
          <t>CC042601</t>
        </is>
      </c>
      <c r="D3922" s="256" t="inlineStr">
        <is>
          <t>— no P lot assigned —</t>
        </is>
      </c>
      <c r="E3922" s="256" t="inlineStr">
        <is>
          <t>Cash Cow</t>
        </is>
      </c>
      <c r="F3922" s="256" t="inlineStr">
        <is>
          <t>18.09.2026</t>
        </is>
      </c>
      <c r="G3922" s="256" t="inlineStr">
        <is>
          <t>9.3</t>
        </is>
      </c>
      <c r="H3922" s="256" t="inlineStr">
        <is>
          <t>Bile-tolerant gram-neg.</t>
        </is>
      </c>
      <c r="I3922" s="256" t="inlineStr">
        <is>
          <t>Ph. Eur. 2.6.31 cat. C</t>
        </is>
      </c>
      <c r="J3922" s="256" t="inlineStr">
        <is>
          <t>≤ 10⁴ CFU/g</t>
        </is>
      </c>
      <c r="K3922" s="256" t="inlineStr">
        <is>
          <t>carried from the initial testing — not tested</t>
        </is>
      </c>
      <c r="L3922" s="256" t="inlineStr">
        <is>
          <t>—</t>
        </is>
      </c>
      <c r="M3922" s="256" t="inlineStr">
        <is>
          <t>—</t>
        </is>
      </c>
      <c r="N3922" s="256" t="inlineStr">
        <is>
          <t>—</t>
        </is>
      </c>
      <c r="O3922" s="256" t="inlineStr">
        <is>
          <t>—</t>
        </is>
      </c>
      <c r="P3922" s="256" t="inlineStr">
        <is>
          <t>carried from the initial testing (the batch's initial CoQ (number assigned on issue)) — not tested — no certificate covers it</t>
        </is>
      </c>
      <c r="Q3922" s="256" t="inlineStr"/>
      <c r="R3922" s="256" t="inlineStr"/>
    </row>
    <row r="3923">
      <c r="A3923" s="256" t="inlineStr">
        <is>
          <t>CoQ-PP_26-171</t>
        </is>
      </c>
      <c r="B3923" s="256" t="inlineStr">
        <is>
          <t>reissue — retest</t>
        </is>
      </c>
      <c r="C3923" s="256" t="inlineStr">
        <is>
          <t>CC042601</t>
        </is>
      </c>
      <c r="D3923" s="256" t="inlineStr">
        <is>
          <t>— no P lot assigned —</t>
        </is>
      </c>
      <c r="E3923" s="256" t="inlineStr">
        <is>
          <t>Cash Cow</t>
        </is>
      </c>
      <c r="F3923" s="256" t="inlineStr">
        <is>
          <t>18.09.2026</t>
        </is>
      </c>
      <c r="G3923" s="256" t="inlineStr">
        <is>
          <t>9.4</t>
        </is>
      </c>
      <c r="H3923" s="256" t="inlineStr">
        <is>
          <t>Salmonella</t>
        </is>
      </c>
      <c r="I3923" s="256" t="inlineStr">
        <is>
          <t>Ph. Eur. 2.6.31 cat. C</t>
        </is>
      </c>
      <c r="J3923" s="256" t="inlineStr">
        <is>
          <t>Absence | Отсуство / 25 g</t>
        </is>
      </c>
      <c r="K3923" s="256" t="inlineStr">
        <is>
          <t>carried from the initial testing — not tested</t>
        </is>
      </c>
      <c r="L3923" s="256" t="inlineStr">
        <is>
          <t>—</t>
        </is>
      </c>
      <c r="M3923" s="256" t="inlineStr">
        <is>
          <t>—</t>
        </is>
      </c>
      <c r="N3923" s="256" t="inlineStr">
        <is>
          <t>—</t>
        </is>
      </c>
      <c r="O3923" s="256" t="inlineStr">
        <is>
          <t>—</t>
        </is>
      </c>
      <c r="P3923" s="256" t="inlineStr">
        <is>
          <t>carried from the initial testing (the batch's initial CoQ (number assigned on issue)) — not tested — no certificate covers it</t>
        </is>
      </c>
      <c r="Q3923" s="256" t="inlineStr"/>
      <c r="R3923" s="256" t="inlineStr"/>
    </row>
    <row r="3924">
      <c r="A3924" s="256" t="inlineStr">
        <is>
          <t>CoQ-PP_26-171</t>
        </is>
      </c>
      <c r="B3924" s="256" t="inlineStr">
        <is>
          <t>reissue — retest</t>
        </is>
      </c>
      <c r="C3924" s="256" t="inlineStr">
        <is>
          <t>CC042601</t>
        </is>
      </c>
      <c r="D3924" s="256" t="inlineStr">
        <is>
          <t>— no P lot assigned —</t>
        </is>
      </c>
      <c r="E3924" s="256" t="inlineStr">
        <is>
          <t>Cash Cow</t>
        </is>
      </c>
      <c r="F3924" s="256" t="inlineStr">
        <is>
          <t>18.09.2026</t>
        </is>
      </c>
      <c r="G3924" s="256" t="inlineStr">
        <is>
          <t>9.5</t>
        </is>
      </c>
      <c r="H3924" s="256" t="inlineStr">
        <is>
          <t>Escherichia coli</t>
        </is>
      </c>
      <c r="I3924" s="256" t="inlineStr">
        <is>
          <t>Ph. Eur. 2.6.13 cat. C</t>
        </is>
      </c>
      <c r="J3924" s="256" t="inlineStr">
        <is>
          <t>Absence | Отсуство / 1 g</t>
        </is>
      </c>
      <c r="K3924" s="256" t="inlineStr">
        <is>
          <t>carried from the initial testing — not tested</t>
        </is>
      </c>
      <c r="L3924" s="256" t="inlineStr">
        <is>
          <t>—</t>
        </is>
      </c>
      <c r="M3924" s="256" t="inlineStr">
        <is>
          <t>—</t>
        </is>
      </c>
      <c r="N3924" s="256" t="inlineStr">
        <is>
          <t>—</t>
        </is>
      </c>
      <c r="O3924" s="256" t="inlineStr">
        <is>
          <t>—</t>
        </is>
      </c>
      <c r="P3924" s="256" t="inlineStr">
        <is>
          <t>carried from the initial testing (the batch's initial CoQ (number assigned on issue)) — not tested — no certificate covers it</t>
        </is>
      </c>
      <c r="Q3924" s="256" t="inlineStr"/>
      <c r="R3924" s="256" t="inlineStr"/>
    </row>
    <row r="3925">
      <c r="A3925" s="256" t="inlineStr">
        <is>
          <t>CoQ-PP_26-171</t>
        </is>
      </c>
      <c r="B3925" s="256" t="inlineStr">
        <is>
          <t>reissue — retest</t>
        </is>
      </c>
      <c r="C3925" s="256" t="inlineStr">
        <is>
          <t>CC042601</t>
        </is>
      </c>
      <c r="D3925" s="256" t="inlineStr">
        <is>
          <t>— no P lot assigned —</t>
        </is>
      </c>
      <c r="E3925" s="256" t="inlineStr">
        <is>
          <t>Cash Cow</t>
        </is>
      </c>
      <c r="F3925" s="256" t="inlineStr">
        <is>
          <t>18.09.2026</t>
        </is>
      </c>
      <c r="G3925" s="256" t="inlineStr">
        <is>
          <t>9.6</t>
        </is>
      </c>
      <c r="H3925" s="256" t="inlineStr">
        <is>
          <t>Pseudomonas aeruginosa</t>
        </is>
      </c>
      <c r="I3925" s="256" t="inlineStr">
        <is>
          <t>Ph. Eur. 2.6.13 cat. C</t>
        </is>
      </c>
      <c r="J3925" s="256" t="inlineStr">
        <is>
          <t>Absence | Отсуство / 1 g</t>
        </is>
      </c>
      <c r="K3925" s="260" t="inlineStr">
        <is>
          <t>upon request — not required for release</t>
        </is>
      </c>
      <c r="L3925" s="256" t="inlineStr">
        <is>
          <t>—</t>
        </is>
      </c>
      <c r="M3925" s="256" t="inlineStr">
        <is>
          <t>—</t>
        </is>
      </c>
      <c r="N3925" s="256" t="inlineStr">
        <is>
          <t>—</t>
        </is>
      </c>
      <c r="O3925" s="256" t="inlineStr">
        <is>
          <t>—</t>
        </is>
      </c>
      <c r="P3925" s="256" t="inlineStr">
        <is>
          <t>upon request — not required for release</t>
        </is>
      </c>
      <c r="Q3925" s="256" t="inlineStr"/>
      <c r="R3925" s="256" t="inlineStr"/>
    </row>
    <row r="3926">
      <c r="A3926" s="256" t="inlineStr">
        <is>
          <t>CoQ-PP_26-171</t>
        </is>
      </c>
      <c r="B3926" s="256" t="inlineStr">
        <is>
          <t>reissue — retest</t>
        </is>
      </c>
      <c r="C3926" s="256" t="inlineStr">
        <is>
          <t>CC042601</t>
        </is>
      </c>
      <c r="D3926" s="256" t="inlineStr">
        <is>
          <t>— no P lot assigned —</t>
        </is>
      </c>
      <c r="E3926" s="256" t="inlineStr">
        <is>
          <t>Cash Cow</t>
        </is>
      </c>
      <c r="F3926" s="256" t="inlineStr">
        <is>
          <t>18.09.2026</t>
        </is>
      </c>
      <c r="G3926" s="256" t="inlineStr">
        <is>
          <t>9.7</t>
        </is>
      </c>
      <c r="H3926" s="256" t="inlineStr">
        <is>
          <t>Staphylococcus aureus</t>
        </is>
      </c>
      <c r="I3926" s="256" t="inlineStr">
        <is>
          <t>Ph. Eur. 2.6.13 cat. C</t>
        </is>
      </c>
      <c r="J3926" s="256" t="inlineStr">
        <is>
          <t>Absence | Отсуство / 1 g</t>
        </is>
      </c>
      <c r="K3926" s="260" t="inlineStr">
        <is>
          <t>upon request — not required for release</t>
        </is>
      </c>
      <c r="L3926" s="256" t="inlineStr">
        <is>
          <t>—</t>
        </is>
      </c>
      <c r="M3926" s="256" t="inlineStr">
        <is>
          <t>—</t>
        </is>
      </c>
      <c r="N3926" s="256" t="inlineStr">
        <is>
          <t>—</t>
        </is>
      </c>
      <c r="O3926" s="256" t="inlineStr">
        <is>
          <t>—</t>
        </is>
      </c>
      <c r="P3926" s="256" t="inlineStr">
        <is>
          <t>upon request — not required for release</t>
        </is>
      </c>
      <c r="Q3926" s="256" t="inlineStr"/>
      <c r="R3926" s="256" t="inlineStr"/>
    </row>
    <row r="3927">
      <c r="A3927" s="256" t="inlineStr">
        <is>
          <t>CoQ-PP_26-171</t>
        </is>
      </c>
      <c r="B3927" s="256" t="inlineStr">
        <is>
          <t>reissue — retest</t>
        </is>
      </c>
      <c r="C3927" s="256" t="inlineStr">
        <is>
          <t>CC042601</t>
        </is>
      </c>
      <c r="D3927" s="256" t="inlineStr">
        <is>
          <t>— no P lot assigned —</t>
        </is>
      </c>
      <c r="E3927" s="256" t="inlineStr">
        <is>
          <t>Cash Cow</t>
        </is>
      </c>
      <c r="F3927" s="256" t="inlineStr">
        <is>
          <t>18.09.2026</t>
        </is>
      </c>
      <c r="G3927" s="256" t="inlineStr">
        <is>
          <t>10.1</t>
        </is>
      </c>
      <c r="H3927" s="256" t="inlineStr">
        <is>
          <t>Aflatoxin B₁</t>
        </is>
      </c>
      <c r="I3927" s="256" t="inlineStr">
        <is>
          <t>Ph. Eur. 2.8.18 (HPLC-FLD)</t>
        </is>
      </c>
      <c r="J3927" s="256" t="inlineStr">
        <is>
          <t>≤ 2 µg/kg</t>
        </is>
      </c>
      <c r="K3927" s="256" t="inlineStr">
        <is>
          <t>ND</t>
        </is>
      </c>
      <c r="L3927" s="256" t="inlineStr">
        <is>
          <t>220-32-М/26</t>
        </is>
      </c>
      <c r="M3927" s="256" t="inlineStr">
        <is>
          <t>11.09.2026</t>
        </is>
      </c>
      <c r="N3927" s="256" t="inlineStr">
        <is>
          <t>Farmahem</t>
        </is>
      </c>
      <c r="O3927" s="256" t="inlineStr">
        <is>
          <t>17.08.2026</t>
        </is>
      </c>
      <c r="P3927" s="256" t="inlineStr">
        <is>
          <t>covered</t>
        </is>
      </c>
      <c r="Q3927" s="256" t="inlineStr"/>
      <c r="R3927" s="256" t="inlineStr"/>
    </row>
    <row r="3928">
      <c r="A3928" s="256" t="inlineStr">
        <is>
          <t>CoQ-PP_26-171</t>
        </is>
      </c>
      <c r="B3928" s="256" t="inlineStr">
        <is>
          <t>reissue — retest</t>
        </is>
      </c>
      <c r="C3928" s="256" t="inlineStr">
        <is>
          <t>CC042601</t>
        </is>
      </c>
      <c r="D3928" s="256" t="inlineStr">
        <is>
          <t>— no P lot assigned —</t>
        </is>
      </c>
      <c r="E3928" s="256" t="inlineStr">
        <is>
          <t>Cash Cow</t>
        </is>
      </c>
      <c r="F3928" s="256" t="inlineStr">
        <is>
          <t>18.09.2026</t>
        </is>
      </c>
      <c r="G3928" s="256" t="inlineStr">
        <is>
          <t>10.2</t>
        </is>
      </c>
      <c r="H3928" s="256" t="inlineStr">
        <is>
          <t>Aflatoxins ∑</t>
        </is>
      </c>
      <c r="I3928" s="256" t="inlineStr">
        <is>
          <t>Ph. Eur. 2.8.18 (HPLC-FLD)</t>
        </is>
      </c>
      <c r="J3928" s="256" t="inlineStr">
        <is>
          <t>≤ 4 µg/kg</t>
        </is>
      </c>
      <c r="K3928" s="256" t="inlineStr">
        <is>
          <t>ND</t>
        </is>
      </c>
      <c r="L3928" s="256" t="inlineStr">
        <is>
          <t>220-32-М/26</t>
        </is>
      </c>
      <c r="M3928" s="256" t="inlineStr">
        <is>
          <t>11.09.2026</t>
        </is>
      </c>
      <c r="N3928" s="256" t="inlineStr">
        <is>
          <t>Farmahem</t>
        </is>
      </c>
      <c r="O3928" s="256" t="inlineStr">
        <is>
          <t>17.08.2026</t>
        </is>
      </c>
      <c r="P3928" s="256" t="inlineStr">
        <is>
          <t>covered</t>
        </is>
      </c>
      <c r="Q3928" s="256" t="inlineStr"/>
      <c r="R3928" s="256" t="inlineStr"/>
    </row>
    <row r="3929">
      <c r="A3929" s="256" t="inlineStr">
        <is>
          <t>CoQ-PP_26-171</t>
        </is>
      </c>
      <c r="B3929" s="256" t="inlineStr">
        <is>
          <t>reissue — retest</t>
        </is>
      </c>
      <c r="C3929" s="256" t="inlineStr">
        <is>
          <t>CC042601</t>
        </is>
      </c>
      <c r="D3929" s="256" t="inlineStr">
        <is>
          <t>— no P lot assigned —</t>
        </is>
      </c>
      <c r="E3929" s="256" t="inlineStr">
        <is>
          <t>Cash Cow</t>
        </is>
      </c>
      <c r="F3929" s="256" t="inlineStr">
        <is>
          <t>18.09.2026</t>
        </is>
      </c>
      <c r="G3929" s="256" t="inlineStr">
        <is>
          <t>10.3</t>
        </is>
      </c>
      <c r="H3929" s="256" t="inlineStr">
        <is>
          <t>Ochratoxin A</t>
        </is>
      </c>
      <c r="I3929" s="256" t="inlineStr">
        <is>
          <t>Ph. Eur. 2.8.22 (HPLC-FLD)</t>
        </is>
      </c>
      <c r="J3929" s="256" t="inlineStr">
        <is>
          <t>≤ 20 µg/kg</t>
        </is>
      </c>
      <c r="K3929" s="256" t="inlineStr">
        <is>
          <t>ND</t>
        </is>
      </c>
      <c r="L3929" s="256" t="inlineStr">
        <is>
          <t>220-32-М/26</t>
        </is>
      </c>
      <c r="M3929" s="256" t="inlineStr">
        <is>
          <t>11.09.2026</t>
        </is>
      </c>
      <c r="N3929" s="256" t="inlineStr">
        <is>
          <t>Farmahem</t>
        </is>
      </c>
      <c r="O3929" s="256" t="inlineStr">
        <is>
          <t>17.08.2026</t>
        </is>
      </c>
      <c r="P3929" s="256" t="inlineStr">
        <is>
          <t>covered</t>
        </is>
      </c>
      <c r="Q3929" s="256" t="inlineStr"/>
      <c r="R3929" s="256" t="inlineStr"/>
    </row>
    <row r="3930">
      <c r="A3930" s="256" t="inlineStr">
        <is>
          <t>CoQ-PP_26-171</t>
        </is>
      </c>
      <c r="B3930" s="256" t="inlineStr">
        <is>
          <t>reissue — retest</t>
        </is>
      </c>
      <c r="C3930" s="256" t="inlineStr">
        <is>
          <t>CC042601</t>
        </is>
      </c>
      <c r="D3930" s="256" t="inlineStr">
        <is>
          <t>— no P lot assigned —</t>
        </is>
      </c>
      <c r="E3930" s="256" t="inlineStr">
        <is>
          <t>Cash Cow</t>
        </is>
      </c>
      <c r="F3930" s="256" t="inlineStr">
        <is>
          <t>18.09.2026</t>
        </is>
      </c>
      <c r="G3930" s="256" t="inlineStr">
        <is>
          <t>11.1</t>
        </is>
      </c>
      <c r="H3930" s="256" t="inlineStr">
        <is>
          <t>Lead (Pb)</t>
        </is>
      </c>
      <c r="I3930" s="256" t="inlineStr">
        <is>
          <t>Ph. Eur. 2.4.27 (ICP-MS)</t>
        </is>
      </c>
      <c r="J3930" s="256" t="inlineStr">
        <is>
          <t>≤ 0.5 mg/kg</t>
        </is>
      </c>
      <c r="K3930" s="256" t="inlineStr">
        <is>
          <t>carried from the initial testing — not tested</t>
        </is>
      </c>
      <c r="L3930" s="256" t="inlineStr">
        <is>
          <t>—</t>
        </is>
      </c>
      <c r="M3930" s="256" t="inlineStr">
        <is>
          <t>—</t>
        </is>
      </c>
      <c r="N3930" s="256" t="inlineStr">
        <is>
          <t>—</t>
        </is>
      </c>
      <c r="O3930" s="256" t="inlineStr">
        <is>
          <t>—</t>
        </is>
      </c>
      <c r="P3930" s="256" t="inlineStr">
        <is>
          <t>carried from the initial testing (the batch's initial CoQ (number assigned on issue)) — not tested — no certificate covers it</t>
        </is>
      </c>
      <c r="Q3930" s="256" t="inlineStr"/>
      <c r="R3930" s="256" t="inlineStr"/>
    </row>
    <row r="3931">
      <c r="A3931" s="256" t="inlineStr">
        <is>
          <t>CoQ-PP_26-171</t>
        </is>
      </c>
      <c r="B3931" s="256" t="inlineStr">
        <is>
          <t>reissue — retest</t>
        </is>
      </c>
      <c r="C3931" s="256" t="inlineStr">
        <is>
          <t>CC042601</t>
        </is>
      </c>
      <c r="D3931" s="256" t="inlineStr">
        <is>
          <t>— no P lot assigned —</t>
        </is>
      </c>
      <c r="E3931" s="256" t="inlineStr">
        <is>
          <t>Cash Cow</t>
        </is>
      </c>
      <c r="F3931" s="256" t="inlineStr">
        <is>
          <t>18.09.2026</t>
        </is>
      </c>
      <c r="G3931" s="256" t="inlineStr">
        <is>
          <t>11.2</t>
        </is>
      </c>
      <c r="H3931" s="256" t="inlineStr">
        <is>
          <t>Cadmium (Cd)</t>
        </is>
      </c>
      <c r="I3931" s="256" t="inlineStr">
        <is>
          <t>Ph. Eur. 2.4.27 (ICP-MS)</t>
        </is>
      </c>
      <c r="J3931" s="256" t="inlineStr">
        <is>
          <t>≤ 0.3 mg/kg</t>
        </is>
      </c>
      <c r="K3931" s="256" t="inlineStr">
        <is>
          <t>carried from the initial testing — not tested</t>
        </is>
      </c>
      <c r="L3931" s="256" t="inlineStr">
        <is>
          <t>—</t>
        </is>
      </c>
      <c r="M3931" s="256" t="inlineStr">
        <is>
          <t>—</t>
        </is>
      </c>
      <c r="N3931" s="256" t="inlineStr">
        <is>
          <t>—</t>
        </is>
      </c>
      <c r="O3931" s="256" t="inlineStr">
        <is>
          <t>—</t>
        </is>
      </c>
      <c r="P3931" s="256" t="inlineStr">
        <is>
          <t>carried from the initial testing (the batch's initial CoQ (number assigned on issue)) — not tested — no certificate covers it</t>
        </is>
      </c>
      <c r="Q3931" s="256" t="inlineStr"/>
      <c r="R3931" s="256" t="inlineStr"/>
    </row>
    <row r="3932">
      <c r="A3932" s="256" t="inlineStr">
        <is>
          <t>CoQ-PP_26-171</t>
        </is>
      </c>
      <c r="B3932" s="256" t="inlineStr">
        <is>
          <t>reissue — retest</t>
        </is>
      </c>
      <c r="C3932" s="256" t="inlineStr">
        <is>
          <t>CC042601</t>
        </is>
      </c>
      <c r="D3932" s="256" t="inlineStr">
        <is>
          <t>— no P lot assigned —</t>
        </is>
      </c>
      <c r="E3932" s="256" t="inlineStr">
        <is>
          <t>Cash Cow</t>
        </is>
      </c>
      <c r="F3932" s="256" t="inlineStr">
        <is>
          <t>18.09.2026</t>
        </is>
      </c>
      <c r="G3932" s="256" t="inlineStr">
        <is>
          <t>11.3</t>
        </is>
      </c>
      <c r="H3932" s="256" t="inlineStr">
        <is>
          <t>Arsenic (As)</t>
        </is>
      </c>
      <c r="I3932" s="256" t="inlineStr">
        <is>
          <t>Ph. Eur. 2.4.27 (ICP-MS)</t>
        </is>
      </c>
      <c r="J3932" s="256" t="inlineStr">
        <is>
          <t>≤ 0.2 mg/kg</t>
        </is>
      </c>
      <c r="K3932" s="256" t="inlineStr">
        <is>
          <t>carried from the initial testing — not tested</t>
        </is>
      </c>
      <c r="L3932" s="256" t="inlineStr">
        <is>
          <t>—</t>
        </is>
      </c>
      <c r="M3932" s="256" t="inlineStr">
        <is>
          <t>—</t>
        </is>
      </c>
      <c r="N3932" s="256" t="inlineStr">
        <is>
          <t>—</t>
        </is>
      </c>
      <c r="O3932" s="256" t="inlineStr">
        <is>
          <t>—</t>
        </is>
      </c>
      <c r="P3932" s="256" t="inlineStr">
        <is>
          <t>carried from the initial testing (the batch's initial CoQ (number assigned on issue)) — not tested — no certificate covers it</t>
        </is>
      </c>
      <c r="Q3932" s="256" t="inlineStr"/>
      <c r="R3932" s="256" t="inlineStr"/>
    </row>
    <row r="3933">
      <c r="A3933" s="256" t="inlineStr">
        <is>
          <t>CoQ-PP_26-171</t>
        </is>
      </c>
      <c r="B3933" s="256" t="inlineStr">
        <is>
          <t>reissue — retest</t>
        </is>
      </c>
      <c r="C3933" s="256" t="inlineStr">
        <is>
          <t>CC042601</t>
        </is>
      </c>
      <c r="D3933" s="256" t="inlineStr">
        <is>
          <t>— no P lot assigned —</t>
        </is>
      </c>
      <c r="E3933" s="256" t="inlineStr">
        <is>
          <t>Cash Cow</t>
        </is>
      </c>
      <c r="F3933" s="256" t="inlineStr">
        <is>
          <t>18.09.2026</t>
        </is>
      </c>
      <c r="G3933" s="256" t="inlineStr">
        <is>
          <t>11.4</t>
        </is>
      </c>
      <c r="H3933" s="256" t="inlineStr">
        <is>
          <t>Mercury (Hg)</t>
        </is>
      </c>
      <c r="I3933" s="256" t="inlineStr">
        <is>
          <t>Ph. Eur. 2.4.27 (ICP-MS)</t>
        </is>
      </c>
      <c r="J3933" s="256" t="inlineStr">
        <is>
          <t>≤ 0.1 mg/kg</t>
        </is>
      </c>
      <c r="K3933" s="256" t="inlineStr">
        <is>
          <t>carried from the initial testing — not tested</t>
        </is>
      </c>
      <c r="L3933" s="256" t="inlineStr">
        <is>
          <t>—</t>
        </is>
      </c>
      <c r="M3933" s="256" t="inlineStr">
        <is>
          <t>—</t>
        </is>
      </c>
      <c r="N3933" s="256" t="inlineStr">
        <is>
          <t>—</t>
        </is>
      </c>
      <c r="O3933" s="256" t="inlineStr">
        <is>
          <t>—</t>
        </is>
      </c>
      <c r="P3933" s="256" t="inlineStr">
        <is>
          <t>carried from the initial testing (the batch's initial CoQ (number assigned on issue)) — not tested — no certificate covers it</t>
        </is>
      </c>
      <c r="Q3933" s="256" t="inlineStr"/>
      <c r="R3933" s="256" t="inlineStr"/>
    </row>
    <row r="3934">
      <c r="A3934" s="256" t="inlineStr">
        <is>
          <t>CoQ-PP_26-171</t>
        </is>
      </c>
      <c r="B3934" s="256" t="inlineStr">
        <is>
          <t>reissue — retest</t>
        </is>
      </c>
      <c r="C3934" s="256" t="inlineStr">
        <is>
          <t>CC042601</t>
        </is>
      </c>
      <c r="D3934" s="256" t="inlineStr">
        <is>
          <t>— no P lot assigned —</t>
        </is>
      </c>
      <c r="E3934" s="256" t="inlineStr">
        <is>
          <t>Cash Cow</t>
        </is>
      </c>
      <c r="F3934" s="256" t="inlineStr">
        <is>
          <t>18.09.2026</t>
        </is>
      </c>
      <c r="G3934" s="256" t="inlineStr">
        <is>
          <t>12</t>
        </is>
      </c>
      <c r="H3934" s="256" t="inlineStr">
        <is>
          <t>Pesticide Residues</t>
        </is>
      </c>
      <c r="I3934" s="256" t="inlineStr">
        <is>
          <t>Ph. Eur. 2.8.13 (LC-MS/MS) · CUMCS Equivalency</t>
        </is>
      </c>
      <c r="J3934" s="256" t="inlineStr">
        <is>
          <t>≤ LOQ as per Ph. Eur. 2.8.13 · ≤ LOQ as per CUMCS Equivalency</t>
        </is>
      </c>
      <c r="K3934" s="256" t="inlineStr">
        <is>
          <t>carried from the initial testing — not tested</t>
        </is>
      </c>
      <c r="L3934" s="256" t="inlineStr">
        <is>
          <t>—</t>
        </is>
      </c>
      <c r="M3934" s="256" t="inlineStr">
        <is>
          <t>—</t>
        </is>
      </c>
      <c r="N3934" s="256" t="inlineStr">
        <is>
          <t>—</t>
        </is>
      </c>
      <c r="O3934" s="256" t="inlineStr">
        <is>
          <t>—</t>
        </is>
      </c>
      <c r="P3934" s="256" t="inlineStr">
        <is>
          <t>carried from the initial testing (the batch's initial CoQ (number assigned on issue)) — not tested — no certificate covers it</t>
        </is>
      </c>
      <c r="Q3934" s="256" t="inlineStr"/>
      <c r="R3934" s="256" t="inlineStr"/>
    </row>
    <row r="3935">
      <c r="A3935" s="256" t="inlineStr">
        <is>
          <t>CoQ-PP_26-172</t>
        </is>
      </c>
      <c r="B3935" s="256" t="inlineStr">
        <is>
          <t>reissue — retest</t>
        </is>
      </c>
      <c r="C3935" s="256" t="inlineStr">
        <is>
          <t>FB042601</t>
        </is>
      </c>
      <c r="D3935" s="256" t="inlineStr">
        <is>
          <t>— no P lot assigned —</t>
        </is>
      </c>
      <c r="E3935" s="256" t="inlineStr">
        <is>
          <t>Fat Bastard</t>
        </is>
      </c>
      <c r="F3935" s="256" t="inlineStr">
        <is>
          <t>18.09.2026</t>
        </is>
      </c>
      <c r="G3935" s="256" t="inlineStr">
        <is>
          <t>1</t>
        </is>
      </c>
      <c r="H3935" s="256" t="inlineStr">
        <is>
          <t>Identification A, Appearance · Macroscopic</t>
        </is>
      </c>
      <c r="I3935" s="256" t="inlineStr">
        <is>
          <t>Ph. Eur. mon. 3028</t>
        </is>
      </c>
      <c r="J3935" s="256" t="inlineStr">
        <is>
          <t>Conforms to the monograph for Cannabis flos (07/2024:3028) in Ph. Eur. 11.0 | Согласно монографија за Cannabis flos (07/2024:3028) во Ph. Eur. 11.0</t>
        </is>
      </c>
      <c r="K3935" s="256" t="inlineStr">
        <is>
          <t>Conforms | Одговара</t>
        </is>
      </c>
      <c r="L3935" s="256" t="inlineStr">
        <is>
          <t>iCoA-PP_26-147</t>
        </is>
      </c>
      <c r="M3935" s="256" t="inlineStr">
        <is>
          <t>17.08.2026</t>
        </is>
      </c>
      <c r="N3935" s="256" t="inlineStr">
        <is>
          <t>Purely Plant GmbH (in-house)</t>
        </is>
      </c>
      <c r="O3935" s="256" t="inlineStr">
        <is>
          <t>—</t>
        </is>
      </c>
      <c r="P3935" s="256" t="inlineStr">
        <is>
          <t>to be performed — see route</t>
        </is>
      </c>
      <c r="Q3935" s="256" t="inlineStr">
        <is>
          <t>Farmahem — Ident A + B + C with the Assay, at retest</t>
        </is>
      </c>
      <c r="R3935" s="256" t="inlineStr"/>
    </row>
    <row r="3936">
      <c r="A3936" s="256" t="inlineStr">
        <is>
          <t>CoQ-PP_26-172</t>
        </is>
      </c>
      <c r="B3936" s="256" t="inlineStr">
        <is>
          <t>reissue — retest</t>
        </is>
      </c>
      <c r="C3936" s="256" t="inlineStr">
        <is>
          <t>FB042601</t>
        </is>
      </c>
      <c r="D3936" s="256" t="inlineStr">
        <is>
          <t>— no P lot assigned —</t>
        </is>
      </c>
      <c r="E3936" s="256" t="inlineStr">
        <is>
          <t>Fat Bastard</t>
        </is>
      </c>
      <c r="F3936" s="256" t="inlineStr">
        <is>
          <t>18.09.2026</t>
        </is>
      </c>
      <c r="G3936" s="256" t="inlineStr">
        <is>
          <t>2</t>
        </is>
      </c>
      <c r="H3936" s="256" t="inlineStr">
        <is>
          <t>Identification B · Microscopic</t>
        </is>
      </c>
      <c r="I3936" s="256" t="inlineStr">
        <is>
          <t>Ph. Eur. 2.8.23 (microscopy)</t>
        </is>
      </c>
      <c r="J3936" s="256" t="inlineStr">
        <is>
          <t>Conforms to the monograph for Cannabis flos (07/2024:3028) in Ph. Eur. 11.0 | Согласно монографија за Cannabis flos (07/2024:3028) во Ph. Eur. 11.0</t>
        </is>
      </c>
      <c r="K3936" s="256" t="inlineStr">
        <is>
          <t>Conforms | Одговара</t>
        </is>
      </c>
      <c r="L3936" s="256" t="inlineStr">
        <is>
          <t>iCoA-PP_26-147</t>
        </is>
      </c>
      <c r="M3936" s="256" t="inlineStr">
        <is>
          <t>17.08.2026</t>
        </is>
      </c>
      <c r="N3936" s="256" t="inlineStr">
        <is>
          <t>Purely Plant GmbH (in-house)</t>
        </is>
      </c>
      <c r="O3936" s="256" t="inlineStr">
        <is>
          <t>—</t>
        </is>
      </c>
      <c r="P3936" s="256" t="inlineStr">
        <is>
          <t>to be performed — see route</t>
        </is>
      </c>
      <c r="Q3936" s="256" t="inlineStr">
        <is>
          <t>Farmahem — Ident A + B + C with the Assay, at retest</t>
        </is>
      </c>
      <c r="R3936" s="256" t="inlineStr"/>
    </row>
    <row r="3937">
      <c r="A3937" s="256" t="inlineStr">
        <is>
          <t>CoQ-PP_26-172</t>
        </is>
      </c>
      <c r="B3937" s="256" t="inlineStr">
        <is>
          <t>reissue — retest</t>
        </is>
      </c>
      <c r="C3937" s="256" t="inlineStr">
        <is>
          <t>FB042601</t>
        </is>
      </c>
      <c r="D3937" s="256" t="inlineStr">
        <is>
          <t>— no P lot assigned —</t>
        </is>
      </c>
      <c r="E3937" s="256" t="inlineStr">
        <is>
          <t>Fat Bastard</t>
        </is>
      </c>
      <c r="F3937" s="256" t="inlineStr">
        <is>
          <t>18.09.2026</t>
        </is>
      </c>
      <c r="G3937" s="256" t="inlineStr">
        <is>
          <t>3</t>
        </is>
      </c>
      <c r="H3937" s="256" t="inlineStr">
        <is>
          <t>Identification C · HPLC/HPTLC</t>
        </is>
      </c>
      <c r="I3937" s="256" t="inlineStr">
        <is>
          <t>Ph. Eur. 2.2.29 (3028)</t>
        </is>
      </c>
      <c r="J3937" s="256" t="inlineStr">
        <is>
          <t>Conforms to the monograph for Cannabis flos (07/2024:3028) in Ph. Eur. 11.0 | Согласно монографија за Cannabis flos (07/2024:3028) во Ph. Eur. 11.0</t>
        </is>
      </c>
      <c r="K3937" s="256" t="inlineStr">
        <is>
          <t>Conforms | Одговара</t>
        </is>
      </c>
      <c r="L3937" s="256" t="inlineStr">
        <is>
          <t>220-31-К/26</t>
        </is>
      </c>
      <c r="M3937" s="256" t="inlineStr">
        <is>
          <t>26.08.2026</t>
        </is>
      </c>
      <c r="N3937" s="256" t="inlineStr">
        <is>
          <t>Farmahem</t>
        </is>
      </c>
      <c r="O3937" s="256" t="inlineStr">
        <is>
          <t>17.08.2026</t>
        </is>
      </c>
      <c r="P3937" s="256" t="inlineStr">
        <is>
          <t>covered</t>
        </is>
      </c>
      <c r="Q3937" s="256" t="inlineStr"/>
      <c r="R3937" s="256" t="inlineStr"/>
    </row>
    <row r="3938">
      <c r="A3938" s="256" t="inlineStr">
        <is>
          <t>CoQ-PP_26-172</t>
        </is>
      </c>
      <c r="B3938" s="256" t="inlineStr">
        <is>
          <t>reissue — retest</t>
        </is>
      </c>
      <c r="C3938" s="256" t="inlineStr">
        <is>
          <t>FB042601</t>
        </is>
      </c>
      <c r="D3938" s="256" t="inlineStr">
        <is>
          <t>— no P lot assigned —</t>
        </is>
      </c>
      <c r="E3938" s="256" t="inlineStr">
        <is>
          <t>Fat Bastard</t>
        </is>
      </c>
      <c r="F3938" s="256" t="inlineStr">
        <is>
          <t>18.09.2026</t>
        </is>
      </c>
      <c r="G3938" s="256" t="inlineStr">
        <is>
          <t>4</t>
        </is>
      </c>
      <c r="H3938" s="256" t="inlineStr">
        <is>
          <t>Assay — Total Δ⁹-THC</t>
        </is>
      </c>
      <c r="I3938" s="256" t="inlineStr">
        <is>
          <t>Ph. Eur. 2.2.29 (HPLC)</t>
        </is>
      </c>
      <c r="J3938" s="256" t="inlineStr">
        <is>
          <t>13.80 – 16.19 %  (grade III, nominal 15.00 ± 1.20)</t>
        </is>
      </c>
      <c r="K3938" s="256" t="inlineStr">
        <is>
          <t>14.99</t>
        </is>
      </c>
      <c r="L3938" s="256" t="inlineStr">
        <is>
          <t>220-31-К/26</t>
        </is>
      </c>
      <c r="M3938" s="256" t="inlineStr">
        <is>
          <t>26.08.2026</t>
        </is>
      </c>
      <c r="N3938" s="256" t="inlineStr">
        <is>
          <t>Farmahem</t>
        </is>
      </c>
      <c r="O3938" s="256" t="inlineStr">
        <is>
          <t>17.08.2026</t>
        </is>
      </c>
      <c r="P3938" s="256" t="inlineStr">
        <is>
          <t>covered</t>
        </is>
      </c>
      <c r="Q3938" s="256" t="inlineStr"/>
      <c r="R3938" s="256" t="inlineStr"/>
    </row>
    <row r="3939">
      <c r="A3939" s="256" t="inlineStr">
        <is>
          <t>CoQ-PP_26-172</t>
        </is>
      </c>
      <c r="B3939" s="256" t="inlineStr">
        <is>
          <t>reissue — retest</t>
        </is>
      </c>
      <c r="C3939" s="256" t="inlineStr">
        <is>
          <t>FB042601</t>
        </is>
      </c>
      <c r="D3939" s="256" t="inlineStr">
        <is>
          <t>— no P lot assigned —</t>
        </is>
      </c>
      <c r="E3939" s="256" t="inlineStr">
        <is>
          <t>Fat Bastard</t>
        </is>
      </c>
      <c r="F3939" s="256" t="inlineStr">
        <is>
          <t>18.09.2026</t>
        </is>
      </c>
      <c r="G3939" s="256" t="inlineStr">
        <is>
          <t>5</t>
        </is>
      </c>
      <c r="H3939" s="256" t="inlineStr">
        <is>
          <t>Assay — Total CBD</t>
        </is>
      </c>
      <c r="I3939" s="256" t="inlineStr">
        <is>
          <t>Ph. Eur. 2.2.29 (HPLC) · CBD + CBDA x 0.877</t>
        </is>
      </c>
      <c r="J3939" s="256" t="inlineStr">
        <is>
          <t>≤ 1.0%, w/w</t>
        </is>
      </c>
      <c r="K3939" s="256" t="inlineStr">
        <is>
          <t>&lt; LOQ</t>
        </is>
      </c>
      <c r="L3939" s="256" t="inlineStr">
        <is>
          <t>220-31-К/26</t>
        </is>
      </c>
      <c r="M3939" s="256" t="inlineStr">
        <is>
          <t>26.08.2026</t>
        </is>
      </c>
      <c r="N3939" s="256" t="inlineStr">
        <is>
          <t>Farmahem</t>
        </is>
      </c>
      <c r="O3939" s="256" t="inlineStr">
        <is>
          <t>17.08.2026</t>
        </is>
      </c>
      <c r="P3939" s="256" t="inlineStr">
        <is>
          <t>covered</t>
        </is>
      </c>
      <c r="Q3939" s="256" t="inlineStr"/>
      <c r="R3939" s="256" t="inlineStr"/>
    </row>
    <row r="3940">
      <c r="A3940" s="256" t="inlineStr">
        <is>
          <t>CoQ-PP_26-172</t>
        </is>
      </c>
      <c r="B3940" s="256" t="inlineStr">
        <is>
          <t>reissue — retest</t>
        </is>
      </c>
      <c r="C3940" s="256" t="inlineStr">
        <is>
          <t>FB042601</t>
        </is>
      </c>
      <c r="D3940" s="256" t="inlineStr">
        <is>
          <t>— no P lot assigned —</t>
        </is>
      </c>
      <c r="E3940" s="256" t="inlineStr">
        <is>
          <t>Fat Bastard</t>
        </is>
      </c>
      <c r="F3940" s="256" t="inlineStr">
        <is>
          <t>18.09.2026</t>
        </is>
      </c>
      <c r="G3940" s="256" t="inlineStr">
        <is>
          <t>6</t>
        </is>
      </c>
      <c r="H3940" s="256" t="inlineStr">
        <is>
          <t>Total CBN</t>
        </is>
      </c>
      <c r="I3940" s="256" t="inlineStr">
        <is>
          <t>Ph. Eur. 2.2.29 (HPLC) · CBN + CBNA x 0.876</t>
        </is>
      </c>
      <c r="J3940" s="256" t="inlineStr">
        <is>
          <t>≤ 1.0%, w/w</t>
        </is>
      </c>
      <c r="K3940" s="256" t="inlineStr">
        <is>
          <t>&lt; LOQ</t>
        </is>
      </c>
      <c r="L3940" s="256" t="inlineStr">
        <is>
          <t>220-31-К/26</t>
        </is>
      </c>
      <c r="M3940" s="256" t="inlineStr">
        <is>
          <t>26.08.2026</t>
        </is>
      </c>
      <c r="N3940" s="256" t="inlineStr">
        <is>
          <t>Farmahem</t>
        </is>
      </c>
      <c r="O3940" s="256" t="inlineStr">
        <is>
          <t>17.08.2026</t>
        </is>
      </c>
      <c r="P3940" s="256" t="inlineStr">
        <is>
          <t>covered</t>
        </is>
      </c>
      <c r="Q3940" s="256" t="inlineStr"/>
      <c r="R3940" s="256" t="inlineStr"/>
    </row>
    <row r="3941">
      <c r="A3941" s="256" t="inlineStr">
        <is>
          <t>CoQ-PP_26-172</t>
        </is>
      </c>
      <c r="B3941" s="256" t="inlineStr">
        <is>
          <t>reissue — retest</t>
        </is>
      </c>
      <c r="C3941" s="256" t="inlineStr">
        <is>
          <t>FB042601</t>
        </is>
      </c>
      <c r="D3941" s="256" t="inlineStr">
        <is>
          <t>— no P lot assigned —</t>
        </is>
      </c>
      <c r="E3941" s="256" t="inlineStr">
        <is>
          <t>Fat Bastard</t>
        </is>
      </c>
      <c r="F3941" s="256" t="inlineStr">
        <is>
          <t>18.09.2026</t>
        </is>
      </c>
      <c r="G3941" s="256" t="inlineStr">
        <is>
          <t>7</t>
        </is>
      </c>
      <c r="H3941" s="256" t="inlineStr">
        <is>
          <t>Foreign Matter</t>
        </is>
      </c>
      <c r="I3941" s="256" t="inlineStr">
        <is>
          <t>Ph. Eur. 2.8.2 · In-house · интерна</t>
        </is>
      </c>
      <c r="J3941" s="256" t="inlineStr">
        <is>
          <t>≤ 2.0% / 25–50 g · &lt; 1 cm leaves | листови, no seeds | без семки</t>
        </is>
      </c>
      <c r="K3941" s="256" t="inlineStr">
        <is>
          <t>Conforms | Одговара</t>
        </is>
      </c>
      <c r="L3941" s="256" t="inlineStr">
        <is>
          <t>iCoA-PP_26-147</t>
        </is>
      </c>
      <c r="M3941" s="256" t="inlineStr">
        <is>
          <t>17.08.2026</t>
        </is>
      </c>
      <c r="N3941" s="256" t="inlineStr">
        <is>
          <t>Purely Plant GmbH (in-house)</t>
        </is>
      </c>
      <c r="O3941" s="256" t="inlineStr">
        <is>
          <t>—</t>
        </is>
      </c>
      <c r="P3941" s="256" t="inlineStr">
        <is>
          <t>to be performed — see route</t>
        </is>
      </c>
      <c r="Q3941" s="256" t="inlineStr">
        <is>
          <t>Purely Plant laboratory — iCoA covering Foreign matter</t>
        </is>
      </c>
      <c r="R3941" s="256" t="inlineStr"/>
    </row>
    <row r="3942">
      <c r="A3942" s="256" t="inlineStr">
        <is>
          <t>CoQ-PP_26-172</t>
        </is>
      </c>
      <c r="B3942" s="256" t="inlineStr">
        <is>
          <t>reissue — retest</t>
        </is>
      </c>
      <c r="C3942" s="256" t="inlineStr">
        <is>
          <t>FB042601</t>
        </is>
      </c>
      <c r="D3942" s="256" t="inlineStr">
        <is>
          <t>— no P lot assigned —</t>
        </is>
      </c>
      <c r="E3942" s="256" t="inlineStr">
        <is>
          <t>Fat Bastard</t>
        </is>
      </c>
      <c r="F3942" s="256" t="inlineStr">
        <is>
          <t>18.09.2026</t>
        </is>
      </c>
      <c r="G3942" s="256" t="inlineStr">
        <is>
          <t>8</t>
        </is>
      </c>
      <c r="H3942" s="256" t="inlineStr">
        <is>
          <t>Loss on Drying</t>
        </is>
      </c>
      <c r="I3942" s="256" t="inlineStr">
        <is>
          <t>Ph. Eur. 2.2.32 (3028) · at 40 °C, 24 h, 15–25 mbar</t>
        </is>
      </c>
      <c r="J3942" s="256" t="inlineStr">
        <is>
          <t>≤ 12.0%</t>
        </is>
      </c>
      <c r="K3942" s="256" t="inlineStr">
        <is>
          <t>carried from the initial testing — not tested</t>
        </is>
      </c>
      <c r="L3942" s="256" t="inlineStr">
        <is>
          <t>—</t>
        </is>
      </c>
      <c r="M3942" s="256" t="inlineStr">
        <is>
          <t>—</t>
        </is>
      </c>
      <c r="N3942" s="256" t="inlineStr">
        <is>
          <t>—</t>
        </is>
      </c>
      <c r="O3942" s="256" t="inlineStr">
        <is>
          <t>—</t>
        </is>
      </c>
      <c r="P3942" s="256" t="inlineStr">
        <is>
          <t>carried from the initial testing (the batch's initial CoQ (number assigned on issue)) — not tested — no certificate covers it</t>
        </is>
      </c>
      <c r="Q3942" s="256" t="inlineStr"/>
      <c r="R3942" s="256" t="inlineStr"/>
    </row>
    <row r="3943">
      <c r="A3943" s="256" t="inlineStr">
        <is>
          <t>CoQ-PP_26-172</t>
        </is>
      </c>
      <c r="B3943" s="256" t="inlineStr">
        <is>
          <t>reissue — retest</t>
        </is>
      </c>
      <c r="C3943" s="256" t="inlineStr">
        <is>
          <t>FB042601</t>
        </is>
      </c>
      <c r="D3943" s="256" t="inlineStr">
        <is>
          <t>— no P lot assigned —</t>
        </is>
      </c>
      <c r="E3943" s="256" t="inlineStr">
        <is>
          <t>Fat Bastard</t>
        </is>
      </c>
      <c r="F3943" s="256" t="inlineStr">
        <is>
          <t>18.09.2026</t>
        </is>
      </c>
      <c r="G3943" s="256" t="inlineStr">
        <is>
          <t>9.1</t>
        </is>
      </c>
      <c r="H3943" s="256" t="inlineStr">
        <is>
          <t>TAMC</t>
        </is>
      </c>
      <c r="I3943" s="256" t="inlineStr">
        <is>
          <t>Ph. Eur. 2.6.12 cat. C</t>
        </is>
      </c>
      <c r="J3943" s="256" t="inlineStr">
        <is>
          <t>≤ 10⁵ CFU/g</t>
        </is>
      </c>
      <c r="K3943" s="256" t="inlineStr">
        <is>
          <t>carried from the initial testing — not tested</t>
        </is>
      </c>
      <c r="L3943" s="256" t="inlineStr">
        <is>
          <t>—</t>
        </is>
      </c>
      <c r="M3943" s="256" t="inlineStr">
        <is>
          <t>—</t>
        </is>
      </c>
      <c r="N3943" s="256" t="inlineStr">
        <is>
          <t>—</t>
        </is>
      </c>
      <c r="O3943" s="256" t="inlineStr">
        <is>
          <t>—</t>
        </is>
      </c>
      <c r="P3943" s="256" t="inlineStr">
        <is>
          <t>carried from the initial testing (the batch's initial CoQ (number assigned on issue)) — not tested — no certificate covers it</t>
        </is>
      </c>
      <c r="Q3943" s="256" t="inlineStr"/>
      <c r="R3943" s="256" t="inlineStr"/>
    </row>
    <row r="3944">
      <c r="A3944" s="256" t="inlineStr">
        <is>
          <t>CoQ-PP_26-172</t>
        </is>
      </c>
      <c r="B3944" s="256" t="inlineStr">
        <is>
          <t>reissue — retest</t>
        </is>
      </c>
      <c r="C3944" s="256" t="inlineStr">
        <is>
          <t>FB042601</t>
        </is>
      </c>
      <c r="D3944" s="256" t="inlineStr">
        <is>
          <t>— no P lot assigned —</t>
        </is>
      </c>
      <c r="E3944" s="256" t="inlineStr">
        <is>
          <t>Fat Bastard</t>
        </is>
      </c>
      <c r="F3944" s="256" t="inlineStr">
        <is>
          <t>18.09.2026</t>
        </is>
      </c>
      <c r="G3944" s="256" t="inlineStr">
        <is>
          <t>9.2</t>
        </is>
      </c>
      <c r="H3944" s="256" t="inlineStr">
        <is>
          <t>TYMC</t>
        </is>
      </c>
      <c r="I3944" s="256" t="inlineStr">
        <is>
          <t>Ph. Eur. 2.6.12 cat. C</t>
        </is>
      </c>
      <c r="J3944" s="256" t="inlineStr">
        <is>
          <t>≤ 10⁴ CFU/g</t>
        </is>
      </c>
      <c r="K3944" s="256" t="inlineStr">
        <is>
          <t>carried from the initial testing — not tested</t>
        </is>
      </c>
      <c r="L3944" s="256" t="inlineStr">
        <is>
          <t>—</t>
        </is>
      </c>
      <c r="M3944" s="256" t="inlineStr">
        <is>
          <t>—</t>
        </is>
      </c>
      <c r="N3944" s="256" t="inlineStr">
        <is>
          <t>—</t>
        </is>
      </c>
      <c r="O3944" s="256" t="inlineStr">
        <is>
          <t>—</t>
        </is>
      </c>
      <c r="P3944" s="256" t="inlineStr">
        <is>
          <t>carried from the initial testing (the batch's initial CoQ (number assigned on issue)) — not tested — no certificate covers it</t>
        </is>
      </c>
      <c r="Q3944" s="256" t="inlineStr"/>
      <c r="R3944" s="256" t="inlineStr"/>
    </row>
    <row r="3945">
      <c r="A3945" s="256" t="inlineStr">
        <is>
          <t>CoQ-PP_26-172</t>
        </is>
      </c>
      <c r="B3945" s="256" t="inlineStr">
        <is>
          <t>reissue — retest</t>
        </is>
      </c>
      <c r="C3945" s="256" t="inlineStr">
        <is>
          <t>FB042601</t>
        </is>
      </c>
      <c r="D3945" s="256" t="inlineStr">
        <is>
          <t>— no P lot assigned —</t>
        </is>
      </c>
      <c r="E3945" s="256" t="inlineStr">
        <is>
          <t>Fat Bastard</t>
        </is>
      </c>
      <c r="F3945" s="256" t="inlineStr">
        <is>
          <t>18.09.2026</t>
        </is>
      </c>
      <c r="G3945" s="256" t="inlineStr">
        <is>
          <t>9.3</t>
        </is>
      </c>
      <c r="H3945" s="256" t="inlineStr">
        <is>
          <t>Bile-tolerant gram-neg.</t>
        </is>
      </c>
      <c r="I3945" s="256" t="inlineStr">
        <is>
          <t>Ph. Eur. 2.6.31 cat. C</t>
        </is>
      </c>
      <c r="J3945" s="256" t="inlineStr">
        <is>
          <t>≤ 10⁴ CFU/g</t>
        </is>
      </c>
      <c r="K3945" s="256" t="inlineStr">
        <is>
          <t>carried from the initial testing — not tested</t>
        </is>
      </c>
      <c r="L3945" s="256" t="inlineStr">
        <is>
          <t>—</t>
        </is>
      </c>
      <c r="M3945" s="256" t="inlineStr">
        <is>
          <t>—</t>
        </is>
      </c>
      <c r="N3945" s="256" t="inlineStr">
        <is>
          <t>—</t>
        </is>
      </c>
      <c r="O3945" s="256" t="inlineStr">
        <is>
          <t>—</t>
        </is>
      </c>
      <c r="P3945" s="256" t="inlineStr">
        <is>
          <t>carried from the initial testing (the batch's initial CoQ (number assigned on issue)) — not tested — no certificate covers it</t>
        </is>
      </c>
      <c r="Q3945" s="256" t="inlineStr"/>
      <c r="R3945" s="256" t="inlineStr"/>
    </row>
    <row r="3946">
      <c r="A3946" s="256" t="inlineStr">
        <is>
          <t>CoQ-PP_26-172</t>
        </is>
      </c>
      <c r="B3946" s="256" t="inlineStr">
        <is>
          <t>reissue — retest</t>
        </is>
      </c>
      <c r="C3946" s="256" t="inlineStr">
        <is>
          <t>FB042601</t>
        </is>
      </c>
      <c r="D3946" s="256" t="inlineStr">
        <is>
          <t>— no P lot assigned —</t>
        </is>
      </c>
      <c r="E3946" s="256" t="inlineStr">
        <is>
          <t>Fat Bastard</t>
        </is>
      </c>
      <c r="F3946" s="256" t="inlineStr">
        <is>
          <t>18.09.2026</t>
        </is>
      </c>
      <c r="G3946" s="256" t="inlineStr">
        <is>
          <t>9.4</t>
        </is>
      </c>
      <c r="H3946" s="256" t="inlineStr">
        <is>
          <t>Salmonella</t>
        </is>
      </c>
      <c r="I3946" s="256" t="inlineStr">
        <is>
          <t>Ph. Eur. 2.6.31 cat. C</t>
        </is>
      </c>
      <c r="J3946" s="256" t="inlineStr">
        <is>
          <t>Absence | Отсуство / 25 g</t>
        </is>
      </c>
      <c r="K3946" s="256" t="inlineStr">
        <is>
          <t>carried from the initial testing — not tested</t>
        </is>
      </c>
      <c r="L3946" s="256" t="inlineStr">
        <is>
          <t>—</t>
        </is>
      </c>
      <c r="M3946" s="256" t="inlineStr">
        <is>
          <t>—</t>
        </is>
      </c>
      <c r="N3946" s="256" t="inlineStr">
        <is>
          <t>—</t>
        </is>
      </c>
      <c r="O3946" s="256" t="inlineStr">
        <is>
          <t>—</t>
        </is>
      </c>
      <c r="P3946" s="256" t="inlineStr">
        <is>
          <t>carried from the initial testing (the batch's initial CoQ (number assigned on issue)) — not tested — no certificate covers it</t>
        </is>
      </c>
      <c r="Q3946" s="256" t="inlineStr"/>
      <c r="R3946" s="256" t="inlineStr"/>
    </row>
    <row r="3947">
      <c r="A3947" s="256" t="inlineStr">
        <is>
          <t>CoQ-PP_26-172</t>
        </is>
      </c>
      <c r="B3947" s="256" t="inlineStr">
        <is>
          <t>reissue — retest</t>
        </is>
      </c>
      <c r="C3947" s="256" t="inlineStr">
        <is>
          <t>FB042601</t>
        </is>
      </c>
      <c r="D3947" s="256" t="inlineStr">
        <is>
          <t>— no P lot assigned —</t>
        </is>
      </c>
      <c r="E3947" s="256" t="inlineStr">
        <is>
          <t>Fat Bastard</t>
        </is>
      </c>
      <c r="F3947" s="256" t="inlineStr">
        <is>
          <t>18.09.2026</t>
        </is>
      </c>
      <c r="G3947" s="256" t="inlineStr">
        <is>
          <t>9.5</t>
        </is>
      </c>
      <c r="H3947" s="256" t="inlineStr">
        <is>
          <t>Escherichia coli</t>
        </is>
      </c>
      <c r="I3947" s="256" t="inlineStr">
        <is>
          <t>Ph. Eur. 2.6.13 cat. C</t>
        </is>
      </c>
      <c r="J3947" s="256" t="inlineStr">
        <is>
          <t>Absence | Отсуство / 1 g</t>
        </is>
      </c>
      <c r="K3947" s="256" t="inlineStr">
        <is>
          <t>carried from the initial testing — not tested</t>
        </is>
      </c>
      <c r="L3947" s="256" t="inlineStr">
        <is>
          <t>—</t>
        </is>
      </c>
      <c r="M3947" s="256" t="inlineStr">
        <is>
          <t>—</t>
        </is>
      </c>
      <c r="N3947" s="256" t="inlineStr">
        <is>
          <t>—</t>
        </is>
      </c>
      <c r="O3947" s="256" t="inlineStr">
        <is>
          <t>—</t>
        </is>
      </c>
      <c r="P3947" s="256" t="inlineStr">
        <is>
          <t>carried from the initial testing (the batch's initial CoQ (number assigned on issue)) — not tested — no certificate covers it</t>
        </is>
      </c>
      <c r="Q3947" s="256" t="inlineStr"/>
      <c r="R3947" s="256" t="inlineStr"/>
    </row>
    <row r="3948">
      <c r="A3948" s="256" t="inlineStr">
        <is>
          <t>CoQ-PP_26-172</t>
        </is>
      </c>
      <c r="B3948" s="256" t="inlineStr">
        <is>
          <t>reissue — retest</t>
        </is>
      </c>
      <c r="C3948" s="256" t="inlineStr">
        <is>
          <t>FB042601</t>
        </is>
      </c>
      <c r="D3948" s="256" t="inlineStr">
        <is>
          <t>— no P lot assigned —</t>
        </is>
      </c>
      <c r="E3948" s="256" t="inlineStr">
        <is>
          <t>Fat Bastard</t>
        </is>
      </c>
      <c r="F3948" s="256" t="inlineStr">
        <is>
          <t>18.09.2026</t>
        </is>
      </c>
      <c r="G3948" s="256" t="inlineStr">
        <is>
          <t>9.6</t>
        </is>
      </c>
      <c r="H3948" s="256" t="inlineStr">
        <is>
          <t>Pseudomonas aeruginosa</t>
        </is>
      </c>
      <c r="I3948" s="256" t="inlineStr">
        <is>
          <t>Ph. Eur. 2.6.13 cat. C</t>
        </is>
      </c>
      <c r="J3948" s="256" t="inlineStr">
        <is>
          <t>Absence | Отсуство / 1 g</t>
        </is>
      </c>
      <c r="K3948" s="260" t="inlineStr">
        <is>
          <t>upon request — not required for release</t>
        </is>
      </c>
      <c r="L3948" s="256" t="inlineStr">
        <is>
          <t>—</t>
        </is>
      </c>
      <c r="M3948" s="256" t="inlineStr">
        <is>
          <t>—</t>
        </is>
      </c>
      <c r="N3948" s="256" t="inlineStr">
        <is>
          <t>—</t>
        </is>
      </c>
      <c r="O3948" s="256" t="inlineStr">
        <is>
          <t>—</t>
        </is>
      </c>
      <c r="P3948" s="256" t="inlineStr">
        <is>
          <t>upon request — not required for release</t>
        </is>
      </c>
      <c r="Q3948" s="256" t="inlineStr"/>
      <c r="R3948" s="256" t="inlineStr"/>
    </row>
    <row r="3949">
      <c r="A3949" s="256" t="inlineStr">
        <is>
          <t>CoQ-PP_26-172</t>
        </is>
      </c>
      <c r="B3949" s="256" t="inlineStr">
        <is>
          <t>reissue — retest</t>
        </is>
      </c>
      <c r="C3949" s="256" t="inlineStr">
        <is>
          <t>FB042601</t>
        </is>
      </c>
      <c r="D3949" s="256" t="inlineStr">
        <is>
          <t>— no P lot assigned —</t>
        </is>
      </c>
      <c r="E3949" s="256" t="inlineStr">
        <is>
          <t>Fat Bastard</t>
        </is>
      </c>
      <c r="F3949" s="256" t="inlineStr">
        <is>
          <t>18.09.2026</t>
        </is>
      </c>
      <c r="G3949" s="256" t="inlineStr">
        <is>
          <t>9.7</t>
        </is>
      </c>
      <c r="H3949" s="256" t="inlineStr">
        <is>
          <t>Staphylococcus aureus</t>
        </is>
      </c>
      <c r="I3949" s="256" t="inlineStr">
        <is>
          <t>Ph. Eur. 2.6.13 cat. C</t>
        </is>
      </c>
      <c r="J3949" s="256" t="inlineStr">
        <is>
          <t>Absence | Отсуство / 1 g</t>
        </is>
      </c>
      <c r="K3949" s="260" t="inlineStr">
        <is>
          <t>upon request — not required for release</t>
        </is>
      </c>
      <c r="L3949" s="256" t="inlineStr">
        <is>
          <t>—</t>
        </is>
      </c>
      <c r="M3949" s="256" t="inlineStr">
        <is>
          <t>—</t>
        </is>
      </c>
      <c r="N3949" s="256" t="inlineStr">
        <is>
          <t>—</t>
        </is>
      </c>
      <c r="O3949" s="256" t="inlineStr">
        <is>
          <t>—</t>
        </is>
      </c>
      <c r="P3949" s="256" t="inlineStr">
        <is>
          <t>upon request — not required for release</t>
        </is>
      </c>
      <c r="Q3949" s="256" t="inlineStr"/>
      <c r="R3949" s="256" t="inlineStr"/>
    </row>
    <row r="3950">
      <c r="A3950" s="256" t="inlineStr">
        <is>
          <t>CoQ-PP_26-172</t>
        </is>
      </c>
      <c r="B3950" s="256" t="inlineStr">
        <is>
          <t>reissue — retest</t>
        </is>
      </c>
      <c r="C3950" s="256" t="inlineStr">
        <is>
          <t>FB042601</t>
        </is>
      </c>
      <c r="D3950" s="256" t="inlineStr">
        <is>
          <t>— no P lot assigned —</t>
        </is>
      </c>
      <c r="E3950" s="256" t="inlineStr">
        <is>
          <t>Fat Bastard</t>
        </is>
      </c>
      <c r="F3950" s="256" t="inlineStr">
        <is>
          <t>18.09.2026</t>
        </is>
      </c>
      <c r="G3950" s="256" t="inlineStr">
        <is>
          <t>10.1</t>
        </is>
      </c>
      <c r="H3950" s="256" t="inlineStr">
        <is>
          <t>Aflatoxin B₁</t>
        </is>
      </c>
      <c r="I3950" s="256" t="inlineStr">
        <is>
          <t>Ph. Eur. 2.8.18 (HPLC-FLD)</t>
        </is>
      </c>
      <c r="J3950" s="256" t="inlineStr">
        <is>
          <t>≤ 2 µg/kg</t>
        </is>
      </c>
      <c r="K3950" s="256" t="inlineStr">
        <is>
          <t>ND</t>
        </is>
      </c>
      <c r="L3950" s="256" t="inlineStr">
        <is>
          <t>220-31-М/26</t>
        </is>
      </c>
      <c r="M3950" s="256" t="inlineStr">
        <is>
          <t>11.09.2026</t>
        </is>
      </c>
      <c r="N3950" s="256" t="inlineStr">
        <is>
          <t>Farmahem</t>
        </is>
      </c>
      <c r="O3950" s="256" t="inlineStr">
        <is>
          <t>17.08.2026</t>
        </is>
      </c>
      <c r="P3950" s="256" t="inlineStr">
        <is>
          <t>covered</t>
        </is>
      </c>
      <c r="Q3950" s="256" t="inlineStr"/>
      <c r="R3950" s="256" t="inlineStr"/>
    </row>
    <row r="3951">
      <c r="A3951" s="256" t="inlineStr">
        <is>
          <t>CoQ-PP_26-172</t>
        </is>
      </c>
      <c r="B3951" s="256" t="inlineStr">
        <is>
          <t>reissue — retest</t>
        </is>
      </c>
      <c r="C3951" s="256" t="inlineStr">
        <is>
          <t>FB042601</t>
        </is>
      </c>
      <c r="D3951" s="256" t="inlineStr">
        <is>
          <t>— no P lot assigned —</t>
        </is>
      </c>
      <c r="E3951" s="256" t="inlineStr">
        <is>
          <t>Fat Bastard</t>
        </is>
      </c>
      <c r="F3951" s="256" t="inlineStr">
        <is>
          <t>18.09.2026</t>
        </is>
      </c>
      <c r="G3951" s="256" t="inlineStr">
        <is>
          <t>10.2</t>
        </is>
      </c>
      <c r="H3951" s="256" t="inlineStr">
        <is>
          <t>Aflatoxins ∑</t>
        </is>
      </c>
      <c r="I3951" s="256" t="inlineStr">
        <is>
          <t>Ph. Eur. 2.8.18 (HPLC-FLD)</t>
        </is>
      </c>
      <c r="J3951" s="256" t="inlineStr">
        <is>
          <t>≤ 4 µg/kg</t>
        </is>
      </c>
      <c r="K3951" s="256" t="inlineStr">
        <is>
          <t>ND</t>
        </is>
      </c>
      <c r="L3951" s="256" t="inlineStr">
        <is>
          <t>220-31-М/26</t>
        </is>
      </c>
      <c r="M3951" s="256" t="inlineStr">
        <is>
          <t>11.09.2026</t>
        </is>
      </c>
      <c r="N3951" s="256" t="inlineStr">
        <is>
          <t>Farmahem</t>
        </is>
      </c>
      <c r="O3951" s="256" t="inlineStr">
        <is>
          <t>17.08.2026</t>
        </is>
      </c>
      <c r="P3951" s="256" t="inlineStr">
        <is>
          <t>covered</t>
        </is>
      </c>
      <c r="Q3951" s="256" t="inlineStr"/>
      <c r="R3951" s="256" t="inlineStr"/>
    </row>
    <row r="3952">
      <c r="A3952" s="256" t="inlineStr">
        <is>
          <t>CoQ-PP_26-172</t>
        </is>
      </c>
      <c r="B3952" s="256" t="inlineStr">
        <is>
          <t>reissue — retest</t>
        </is>
      </c>
      <c r="C3952" s="256" t="inlineStr">
        <is>
          <t>FB042601</t>
        </is>
      </c>
      <c r="D3952" s="256" t="inlineStr">
        <is>
          <t>— no P lot assigned —</t>
        </is>
      </c>
      <c r="E3952" s="256" t="inlineStr">
        <is>
          <t>Fat Bastard</t>
        </is>
      </c>
      <c r="F3952" s="256" t="inlineStr">
        <is>
          <t>18.09.2026</t>
        </is>
      </c>
      <c r="G3952" s="256" t="inlineStr">
        <is>
          <t>10.3</t>
        </is>
      </c>
      <c r="H3952" s="256" t="inlineStr">
        <is>
          <t>Ochratoxin A</t>
        </is>
      </c>
      <c r="I3952" s="256" t="inlineStr">
        <is>
          <t>Ph. Eur. 2.8.22 (HPLC-FLD)</t>
        </is>
      </c>
      <c r="J3952" s="256" t="inlineStr">
        <is>
          <t>≤ 20 µg/kg</t>
        </is>
      </c>
      <c r="K3952" s="256" t="inlineStr">
        <is>
          <t>ND</t>
        </is>
      </c>
      <c r="L3952" s="256" t="inlineStr">
        <is>
          <t>220-31-М/26</t>
        </is>
      </c>
      <c r="M3952" s="256" t="inlineStr">
        <is>
          <t>11.09.2026</t>
        </is>
      </c>
      <c r="N3952" s="256" t="inlineStr">
        <is>
          <t>Farmahem</t>
        </is>
      </c>
      <c r="O3952" s="256" t="inlineStr">
        <is>
          <t>17.08.2026</t>
        </is>
      </c>
      <c r="P3952" s="256" t="inlineStr">
        <is>
          <t>covered</t>
        </is>
      </c>
      <c r="Q3952" s="256" t="inlineStr"/>
      <c r="R3952" s="256" t="inlineStr"/>
    </row>
    <row r="3953">
      <c r="A3953" s="256" t="inlineStr">
        <is>
          <t>CoQ-PP_26-172</t>
        </is>
      </c>
      <c r="B3953" s="256" t="inlineStr">
        <is>
          <t>reissue — retest</t>
        </is>
      </c>
      <c r="C3953" s="256" t="inlineStr">
        <is>
          <t>FB042601</t>
        </is>
      </c>
      <c r="D3953" s="256" t="inlineStr">
        <is>
          <t>— no P lot assigned —</t>
        </is>
      </c>
      <c r="E3953" s="256" t="inlineStr">
        <is>
          <t>Fat Bastard</t>
        </is>
      </c>
      <c r="F3953" s="256" t="inlineStr">
        <is>
          <t>18.09.2026</t>
        </is>
      </c>
      <c r="G3953" s="256" t="inlineStr">
        <is>
          <t>11.1</t>
        </is>
      </c>
      <c r="H3953" s="256" t="inlineStr">
        <is>
          <t>Lead (Pb)</t>
        </is>
      </c>
      <c r="I3953" s="256" t="inlineStr">
        <is>
          <t>Ph. Eur. 2.4.27 (ICP-MS)</t>
        </is>
      </c>
      <c r="J3953" s="256" t="inlineStr">
        <is>
          <t>≤ 0.5 mg/kg</t>
        </is>
      </c>
      <c r="K3953" s="256" t="inlineStr">
        <is>
          <t>carried from the initial testing — not tested</t>
        </is>
      </c>
      <c r="L3953" s="256" t="inlineStr">
        <is>
          <t>—</t>
        </is>
      </c>
      <c r="M3953" s="256" t="inlineStr">
        <is>
          <t>—</t>
        </is>
      </c>
      <c r="N3953" s="256" t="inlineStr">
        <is>
          <t>—</t>
        </is>
      </c>
      <c r="O3953" s="256" t="inlineStr">
        <is>
          <t>—</t>
        </is>
      </c>
      <c r="P3953" s="256" t="inlineStr">
        <is>
          <t>carried from the initial testing (the batch's initial CoQ (number assigned on issue)) — not tested — no certificate covers it</t>
        </is>
      </c>
      <c r="Q3953" s="256" t="inlineStr"/>
      <c r="R3953" s="256" t="inlineStr"/>
    </row>
    <row r="3954">
      <c r="A3954" s="256" t="inlineStr">
        <is>
          <t>CoQ-PP_26-172</t>
        </is>
      </c>
      <c r="B3954" s="256" t="inlineStr">
        <is>
          <t>reissue — retest</t>
        </is>
      </c>
      <c r="C3954" s="256" t="inlineStr">
        <is>
          <t>FB042601</t>
        </is>
      </c>
      <c r="D3954" s="256" t="inlineStr">
        <is>
          <t>— no P lot assigned —</t>
        </is>
      </c>
      <c r="E3954" s="256" t="inlineStr">
        <is>
          <t>Fat Bastard</t>
        </is>
      </c>
      <c r="F3954" s="256" t="inlineStr">
        <is>
          <t>18.09.2026</t>
        </is>
      </c>
      <c r="G3954" s="256" t="inlineStr">
        <is>
          <t>11.2</t>
        </is>
      </c>
      <c r="H3954" s="256" t="inlineStr">
        <is>
          <t>Cadmium (Cd)</t>
        </is>
      </c>
      <c r="I3954" s="256" t="inlineStr">
        <is>
          <t>Ph. Eur. 2.4.27 (ICP-MS)</t>
        </is>
      </c>
      <c r="J3954" s="256" t="inlineStr">
        <is>
          <t>≤ 0.3 mg/kg</t>
        </is>
      </c>
      <c r="K3954" s="256" t="inlineStr">
        <is>
          <t>carried from the initial testing — not tested</t>
        </is>
      </c>
      <c r="L3954" s="256" t="inlineStr">
        <is>
          <t>—</t>
        </is>
      </c>
      <c r="M3954" s="256" t="inlineStr">
        <is>
          <t>—</t>
        </is>
      </c>
      <c r="N3954" s="256" t="inlineStr">
        <is>
          <t>—</t>
        </is>
      </c>
      <c r="O3954" s="256" t="inlineStr">
        <is>
          <t>—</t>
        </is>
      </c>
      <c r="P3954" s="256" t="inlineStr">
        <is>
          <t>carried from the initial testing (the batch's initial CoQ (number assigned on issue)) — not tested — no certificate covers it</t>
        </is>
      </c>
      <c r="Q3954" s="256" t="inlineStr"/>
      <c r="R3954" s="256" t="inlineStr"/>
    </row>
    <row r="3955">
      <c r="A3955" s="256" t="inlineStr">
        <is>
          <t>CoQ-PP_26-172</t>
        </is>
      </c>
      <c r="B3955" s="256" t="inlineStr">
        <is>
          <t>reissue — retest</t>
        </is>
      </c>
      <c r="C3955" s="256" t="inlineStr">
        <is>
          <t>FB042601</t>
        </is>
      </c>
      <c r="D3955" s="256" t="inlineStr">
        <is>
          <t>— no P lot assigned —</t>
        </is>
      </c>
      <c r="E3955" s="256" t="inlineStr">
        <is>
          <t>Fat Bastard</t>
        </is>
      </c>
      <c r="F3955" s="256" t="inlineStr">
        <is>
          <t>18.09.2026</t>
        </is>
      </c>
      <c r="G3955" s="256" t="inlineStr">
        <is>
          <t>11.3</t>
        </is>
      </c>
      <c r="H3955" s="256" t="inlineStr">
        <is>
          <t>Arsenic (As)</t>
        </is>
      </c>
      <c r="I3955" s="256" t="inlineStr">
        <is>
          <t>Ph. Eur. 2.4.27 (ICP-MS)</t>
        </is>
      </c>
      <c r="J3955" s="256" t="inlineStr">
        <is>
          <t>≤ 0.2 mg/kg</t>
        </is>
      </c>
      <c r="K3955" s="256" t="inlineStr">
        <is>
          <t>carried from the initial testing — not tested</t>
        </is>
      </c>
      <c r="L3955" s="256" t="inlineStr">
        <is>
          <t>—</t>
        </is>
      </c>
      <c r="M3955" s="256" t="inlineStr">
        <is>
          <t>—</t>
        </is>
      </c>
      <c r="N3955" s="256" t="inlineStr">
        <is>
          <t>—</t>
        </is>
      </c>
      <c r="O3955" s="256" t="inlineStr">
        <is>
          <t>—</t>
        </is>
      </c>
      <c r="P3955" s="256" t="inlineStr">
        <is>
          <t>carried from the initial testing (the batch's initial CoQ (number assigned on issue)) — not tested — no certificate covers it</t>
        </is>
      </c>
      <c r="Q3955" s="256" t="inlineStr"/>
      <c r="R3955" s="256" t="inlineStr"/>
    </row>
    <row r="3956">
      <c r="A3956" s="256" t="inlineStr">
        <is>
          <t>CoQ-PP_26-172</t>
        </is>
      </c>
      <c r="B3956" s="256" t="inlineStr">
        <is>
          <t>reissue — retest</t>
        </is>
      </c>
      <c r="C3956" s="256" t="inlineStr">
        <is>
          <t>FB042601</t>
        </is>
      </c>
      <c r="D3956" s="256" t="inlineStr">
        <is>
          <t>— no P lot assigned —</t>
        </is>
      </c>
      <c r="E3956" s="256" t="inlineStr">
        <is>
          <t>Fat Bastard</t>
        </is>
      </c>
      <c r="F3956" s="256" t="inlineStr">
        <is>
          <t>18.09.2026</t>
        </is>
      </c>
      <c r="G3956" s="256" t="inlineStr">
        <is>
          <t>11.4</t>
        </is>
      </c>
      <c r="H3956" s="256" t="inlineStr">
        <is>
          <t>Mercury (Hg)</t>
        </is>
      </c>
      <c r="I3956" s="256" t="inlineStr">
        <is>
          <t>Ph. Eur. 2.4.27 (ICP-MS)</t>
        </is>
      </c>
      <c r="J3956" s="256" t="inlineStr">
        <is>
          <t>≤ 0.1 mg/kg</t>
        </is>
      </c>
      <c r="K3956" s="256" t="inlineStr">
        <is>
          <t>carried from the initial testing — not tested</t>
        </is>
      </c>
      <c r="L3956" s="256" t="inlineStr">
        <is>
          <t>—</t>
        </is>
      </c>
      <c r="M3956" s="256" t="inlineStr">
        <is>
          <t>—</t>
        </is>
      </c>
      <c r="N3956" s="256" t="inlineStr">
        <is>
          <t>—</t>
        </is>
      </c>
      <c r="O3956" s="256" t="inlineStr">
        <is>
          <t>—</t>
        </is>
      </c>
      <c r="P3956" s="256" t="inlineStr">
        <is>
          <t>carried from the initial testing (the batch's initial CoQ (number assigned on issue)) — not tested — no certificate covers it</t>
        </is>
      </c>
      <c r="Q3956" s="256" t="inlineStr"/>
      <c r="R3956" s="256" t="inlineStr"/>
    </row>
    <row r="3957">
      <c r="A3957" s="256" t="inlineStr">
        <is>
          <t>CoQ-PP_26-172</t>
        </is>
      </c>
      <c r="B3957" s="256" t="inlineStr">
        <is>
          <t>reissue — retest</t>
        </is>
      </c>
      <c r="C3957" s="256" t="inlineStr">
        <is>
          <t>FB042601</t>
        </is>
      </c>
      <c r="D3957" s="256" t="inlineStr">
        <is>
          <t>— no P lot assigned —</t>
        </is>
      </c>
      <c r="E3957" s="256" t="inlineStr">
        <is>
          <t>Fat Bastard</t>
        </is>
      </c>
      <c r="F3957" s="256" t="inlineStr">
        <is>
          <t>18.09.2026</t>
        </is>
      </c>
      <c r="G3957" s="256" t="inlineStr">
        <is>
          <t>12</t>
        </is>
      </c>
      <c r="H3957" s="256" t="inlineStr">
        <is>
          <t>Pesticide Residues</t>
        </is>
      </c>
      <c r="I3957" s="256" t="inlineStr">
        <is>
          <t>Ph. Eur. 2.8.13 (LC-MS/MS) · CUMCS Equivalency</t>
        </is>
      </c>
      <c r="J3957" s="256" t="inlineStr">
        <is>
          <t>≤ LOQ as per Ph. Eur. 2.8.13 · ≤ LOQ as per CUMCS Equivalency</t>
        </is>
      </c>
      <c r="K3957" s="256" t="inlineStr">
        <is>
          <t>carried from the initial testing — not tested</t>
        </is>
      </c>
      <c r="L3957" s="256" t="inlineStr">
        <is>
          <t>—</t>
        </is>
      </c>
      <c r="M3957" s="256" t="inlineStr">
        <is>
          <t>—</t>
        </is>
      </c>
      <c r="N3957" s="256" t="inlineStr">
        <is>
          <t>—</t>
        </is>
      </c>
      <c r="O3957" s="256" t="inlineStr">
        <is>
          <t>—</t>
        </is>
      </c>
      <c r="P3957" s="256" t="inlineStr">
        <is>
          <t>carried from the initial testing (the batch's initial CoQ (number assigned on issue)) — not tested — no certificate covers it</t>
        </is>
      </c>
      <c r="Q3957" s="256" t="inlineStr"/>
      <c r="R3957" s="256" t="inlineStr"/>
    </row>
  </sheetData>
  <autoFilter ref="A1:R3957"/>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P12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style="70" min="1" max="1"/>
    <col width="15" customWidth="1" style="70" min="2" max="2"/>
    <col width="10" customWidth="1" style="70" min="3" max="3"/>
    <col width="18" customWidth="1" style="70" min="4" max="4"/>
    <col width="26" customWidth="1" style="70" min="5" max="5"/>
    <col width="12" customWidth="1" style="70" min="6" max="6"/>
    <col width="7" customWidth="1" style="70" min="7" max="7"/>
    <col width="18" customWidth="1" style="70" min="8" max="8"/>
    <col width="22" customWidth="1" style="70" min="9" max="9"/>
    <col width="20" customWidth="1" style="70" min="10" max="10"/>
    <col width="13" customWidth="1" style="70" min="11" max="11"/>
    <col width="22" customWidth="1" style="70" min="12" max="12"/>
    <col width="20" customWidth="1" style="70" min="13" max="13"/>
    <col width="12" customWidth="1" style="70" min="14" max="14"/>
    <col width="26" customWidth="1" style="70" min="15" max="15"/>
    <col width="64" customWidth="1" style="70" min="16" max="16"/>
  </cols>
  <sheetData>
    <row r="1" ht="30" customHeight="1" s="70">
      <c r="A1" s="258" t="inlineStr">
        <is>
          <t>Check</t>
        </is>
      </c>
      <c r="B1" s="258" t="inlineStr">
        <is>
          <t>CU Batch</t>
        </is>
      </c>
      <c r="C1" s="258" t="inlineStr">
        <is>
          <t>P Lot</t>
        </is>
      </c>
      <c r="D1" s="258" t="inlineStr">
        <is>
          <t>Certificate of quality</t>
        </is>
      </c>
      <c r="E1" s="258" t="inlineStr">
        <is>
          <t>Series</t>
        </is>
      </c>
      <c r="F1" s="258" t="inlineStr">
        <is>
          <t>Issued</t>
        </is>
      </c>
      <c r="G1" s="258" t="inlineStr">
        <is>
          <t>#</t>
        </is>
      </c>
      <c r="H1" s="258" t="inlineStr">
        <is>
          <t>Parameter</t>
        </is>
      </c>
      <c r="I1" s="258" t="inlineStr">
        <is>
          <t>Result on the certificate</t>
        </is>
      </c>
      <c r="J1" s="258" t="inlineStr">
        <is>
          <t>Document</t>
        </is>
      </c>
      <c r="K1" s="258" t="inlineStr">
        <is>
          <t>Document issued</t>
        </is>
      </c>
      <c r="L1" s="258" t="inlineStr">
        <is>
          <t>The other result</t>
        </is>
      </c>
      <c r="M1" s="258" t="inlineStr">
        <is>
          <t>Its document</t>
        </is>
      </c>
      <c r="N1" s="258" t="inlineStr">
        <is>
          <t>Its date</t>
        </is>
      </c>
      <c r="O1" s="258" t="inlineStr">
        <is>
          <t>Its laboratory</t>
        </is>
      </c>
      <c r="P1" s="258" t="inlineStr">
        <is>
          <t>What it means</t>
        </is>
      </c>
    </row>
    <row r="2">
      <c r="A2" s="261" t="inlineStr">
        <is>
          <t>cited as covering</t>
        </is>
      </c>
      <c r="B2" s="256" t="inlineStr">
        <is>
          <t>GP0824_02</t>
        </is>
      </c>
      <c r="C2" s="256" t="inlineStr">
        <is>
          <t>P050022</t>
        </is>
      </c>
      <c r="D2" s="256" t="inlineStr">
        <is>
          <t>CoQ-PP_26-007</t>
        </is>
      </c>
      <c r="E2" s="256" t="inlineStr">
        <is>
          <t>initial release</t>
        </is>
      </c>
      <c r="F2" s="256" t="inlineStr">
        <is>
          <t>06.06.2026</t>
        </is>
      </c>
      <c r="G2" s="256" t="inlineStr">
        <is>
          <t>11.3</t>
        </is>
      </c>
      <c r="H2" s="256" t="inlineStr">
        <is>
          <t>As</t>
        </is>
      </c>
      <c r="I2" s="256" t="inlineStr">
        <is>
          <t>ND</t>
        </is>
      </c>
      <c r="J2" s="256" t="inlineStr">
        <is>
          <t>2471-2025</t>
        </is>
      </c>
      <c r="K2" s="256" t="inlineStr">
        <is>
          <t>30.05.2025</t>
        </is>
      </c>
      <c r="L2" s="256" t="inlineStr">
        <is>
          <t>0.047</t>
        </is>
      </c>
      <c r="M2" s="256" t="inlineStr">
        <is>
          <t>3176/2025</t>
        </is>
      </c>
      <c r="N2" s="256" t="inlineStr">
        <is>
          <t>26.06.2025</t>
        </is>
      </c>
      <c r="O2" s="256" t="inlineStr">
        <is>
          <t>IPH — Institute of Public Health</t>
        </is>
      </c>
      <c r="P2" s="261" t="inlineStr">
        <is>
          <t>Correct as it stands. The certificate cites the release result, and the owner's ruling of 10.09.2026 makes the earliest result for a parameter the release result — the later one belongs to a retest certificate.</t>
        </is>
      </c>
    </row>
    <row r="3">
      <c r="A3" s="261" t="inlineStr">
        <is>
          <t>cited as covering</t>
        </is>
      </c>
      <c r="B3" s="256" t="inlineStr">
        <is>
          <t>GP0824_02</t>
        </is>
      </c>
      <c r="C3" s="256" t="inlineStr">
        <is>
          <t>P050022</t>
        </is>
      </c>
      <c r="D3" s="256" t="inlineStr">
        <is>
          <t>CoQ-PP_26-007</t>
        </is>
      </c>
      <c r="E3" s="256" t="inlineStr">
        <is>
          <t>initial release</t>
        </is>
      </c>
      <c r="F3" s="256" t="inlineStr">
        <is>
          <t>06.06.2026</t>
        </is>
      </c>
      <c r="G3" s="256" t="inlineStr">
        <is>
          <t>8</t>
        </is>
      </c>
      <c r="H3" s="256" t="inlineStr">
        <is>
          <t>Loss on drying</t>
        </is>
      </c>
      <c r="I3" s="256" t="inlineStr">
        <is>
          <t>7.21</t>
        </is>
      </c>
      <c r="J3" s="256" t="inlineStr">
        <is>
          <t>ППК25139</t>
        </is>
      </c>
      <c r="K3" s="256" t="inlineStr">
        <is>
          <t>22.05.2025</t>
        </is>
      </c>
      <c r="L3" s="256" t="inlineStr">
        <is>
          <t>6.51</t>
        </is>
      </c>
      <c r="M3" s="256" t="inlineStr">
        <is>
          <t>ППК25174</t>
        </is>
      </c>
      <c r="N3" s="256" t="inlineStr">
        <is>
          <t>10.07.2025</t>
        </is>
      </c>
      <c r="O3" s="256" t="inlineStr">
        <is>
          <t>UKIM Faculty of Pharmacy — Center for Natural Products</t>
        </is>
      </c>
      <c r="P3" s="261" t="inlineStr">
        <is>
          <t>Correct as it stands. The certificate cites the release result, and the owner's ruling of 10.09.2026 makes the earliest result for a parameter the release result — the later one belongs to a retest certificate.</t>
        </is>
      </c>
    </row>
    <row r="4">
      <c r="A4" s="261" t="inlineStr">
        <is>
          <t>cited as covering</t>
        </is>
      </c>
      <c r="B4" s="256" t="inlineStr">
        <is>
          <t>J31112501</t>
        </is>
      </c>
      <c r="C4" s="256" t="inlineStr"/>
      <c r="D4" s="256" t="inlineStr">
        <is>
          <t>CoQ-PP_26-056</t>
        </is>
      </c>
      <c r="E4" s="256" t="inlineStr">
        <is>
          <t>initial release — predicted</t>
        </is>
      </c>
      <c r="F4" s="256" t="inlineStr">
        <is>
          <t>06.06.2026</t>
        </is>
      </c>
      <c r="G4" s="256" t="inlineStr">
        <is>
          <t>8</t>
        </is>
      </c>
      <c r="H4" s="256" t="inlineStr">
        <is>
          <t>Loss on drying</t>
        </is>
      </c>
      <c r="I4" s="256" t="inlineStr">
        <is>
          <t>8.4</t>
        </is>
      </c>
      <c r="J4" s="256" t="inlineStr">
        <is>
          <t>051-5-ГС/26</t>
        </is>
      </c>
      <c r="K4" s="256" t="inlineStr">
        <is>
          <t>02.03.2026</t>
        </is>
      </c>
      <c r="L4" s="256" t="inlineStr">
        <is>
          <t>7.6</t>
        </is>
      </c>
      <c r="M4" s="256" t="inlineStr">
        <is>
          <t>100-1-ГС/26</t>
        </is>
      </c>
      <c r="N4" s="256" t="inlineStr">
        <is>
          <t>09.04.2026</t>
        </is>
      </c>
      <c r="O4" s="256" t="inlineStr">
        <is>
          <t>Farmahem</t>
        </is>
      </c>
      <c r="P4" s="261" t="inlineStr">
        <is>
          <t>Correct as it stands. The certificate cites the release result, and the owner's ruling of 10.09.2026 makes the earliest result for a parameter the release result — the later one belongs to a retest certificate.</t>
        </is>
      </c>
    </row>
    <row r="5">
      <c r="A5" s="261" t="inlineStr">
        <is>
          <t>cited as covering</t>
        </is>
      </c>
      <c r="B5" s="256" t="inlineStr">
        <is>
          <t>GP062501</t>
        </is>
      </c>
      <c r="C5" s="256" t="inlineStr">
        <is>
          <t>P050202</t>
        </is>
      </c>
      <c r="D5" s="256" t="inlineStr">
        <is>
          <t>CoQ-PP_26-026</t>
        </is>
      </c>
      <c r="E5" s="256" t="inlineStr">
        <is>
          <t>initial release — predicted</t>
        </is>
      </c>
      <c r="F5" s="256" t="inlineStr">
        <is>
          <t>06.06.2026</t>
        </is>
      </c>
      <c r="G5" s="256" t="inlineStr">
        <is>
          <t>9.1</t>
        </is>
      </c>
      <c r="H5" s="256" t="inlineStr">
        <is>
          <t>TAMC</t>
        </is>
      </c>
      <c r="I5" s="256" t="inlineStr">
        <is>
          <t>1.3 × 10⁴</t>
        </is>
      </c>
      <c r="J5" s="256" t="inlineStr">
        <is>
          <t>1009/1813/25</t>
        </is>
      </c>
      <c r="K5" s="256" t="inlineStr">
        <is>
          <t>08.10.2025</t>
        </is>
      </c>
      <c r="L5" s="256" t="inlineStr">
        <is>
          <t>600</t>
        </is>
      </c>
      <c r="M5" s="256" t="inlineStr">
        <is>
          <t>1155/2056/25</t>
        </is>
      </c>
      <c r="N5" s="256" t="inlineStr">
        <is>
          <t>24.11.2025</t>
        </is>
      </c>
      <c r="O5" s="256" t="inlineStr">
        <is>
          <t>IPH — Institute of Public Health</t>
        </is>
      </c>
      <c r="P5" s="261" t="inlineStr">
        <is>
          <t>Correct as it stands. The certificate cites the release result, and the owner's ruling of 10.09.2026 makes the earliest result for a parameter the release result — the later one belongs to a retest certificate.</t>
        </is>
      </c>
    </row>
    <row r="6">
      <c r="A6" s="261" t="inlineStr">
        <is>
          <t>cited as covering</t>
        </is>
      </c>
      <c r="B6" s="256" t="inlineStr">
        <is>
          <t>GP0824_02</t>
        </is>
      </c>
      <c r="C6" s="256" t="inlineStr">
        <is>
          <t>P050022</t>
        </is>
      </c>
      <c r="D6" s="256" t="inlineStr">
        <is>
          <t>CoQ-PP_26-007</t>
        </is>
      </c>
      <c r="E6" s="256" t="inlineStr">
        <is>
          <t>initial release</t>
        </is>
      </c>
      <c r="F6" s="256" t="inlineStr">
        <is>
          <t>06.06.2026</t>
        </is>
      </c>
      <c r="G6" s="256" t="inlineStr">
        <is>
          <t>9.1</t>
        </is>
      </c>
      <c r="H6" s="256" t="inlineStr">
        <is>
          <t>TAMC</t>
        </is>
      </c>
      <c r="I6" s="256" t="inlineStr">
        <is>
          <t>700</t>
        </is>
      </c>
      <c r="J6" s="256" t="inlineStr">
        <is>
          <t>471-0862-25</t>
        </is>
      </c>
      <c r="K6" s="256" t="inlineStr">
        <is>
          <t>22.05.2025</t>
        </is>
      </c>
      <c r="L6" s="256" t="inlineStr">
        <is>
          <t>&lt;10</t>
        </is>
      </c>
      <c r="M6" s="256" t="inlineStr">
        <is>
          <t>627/1128/25</t>
        </is>
      </c>
      <c r="N6" s="256" t="inlineStr">
        <is>
          <t>02.07.2025</t>
        </is>
      </c>
      <c r="O6" s="256" t="inlineStr">
        <is>
          <t>IPH — Institute of Public Health</t>
        </is>
      </c>
      <c r="P6" s="261" t="inlineStr">
        <is>
          <t>Correct as it stands. The certificate cites the release result, and the owner's ruling of 10.09.2026 makes the earliest result for a parameter the release result — the later one belongs to a retest certificate.</t>
        </is>
      </c>
    </row>
    <row r="7">
      <c r="A7" s="261" t="inlineStr">
        <is>
          <t>cited as covering</t>
        </is>
      </c>
      <c r="B7" s="256" t="inlineStr">
        <is>
          <t>OMP1024_01</t>
        </is>
      </c>
      <c r="C7" s="256" t="inlineStr">
        <is>
          <t>P050042</t>
        </is>
      </c>
      <c r="D7" s="256" t="inlineStr">
        <is>
          <t>CoQ-PP_26-010</t>
        </is>
      </c>
      <c r="E7" s="256" t="inlineStr">
        <is>
          <t>initial release</t>
        </is>
      </c>
      <c r="F7" s="256" t="inlineStr">
        <is>
          <t>06.06.2026</t>
        </is>
      </c>
      <c r="G7" s="256" t="inlineStr">
        <is>
          <t>9.1</t>
        </is>
      </c>
      <c r="H7" s="256" t="inlineStr">
        <is>
          <t>TAMC</t>
        </is>
      </c>
      <c r="I7" s="256" t="inlineStr">
        <is>
          <t>10</t>
        </is>
      </c>
      <c r="J7" s="256" t="inlineStr">
        <is>
          <t>407-0745-25</t>
        </is>
      </c>
      <c r="K7" s="256" t="inlineStr">
        <is>
          <t>05.05.2025</t>
        </is>
      </c>
      <c r="L7" s="256" t="inlineStr">
        <is>
          <t>&lt;10</t>
        </is>
      </c>
      <c r="M7" s="256" t="inlineStr">
        <is>
          <t>2156/2025</t>
        </is>
      </c>
      <c r="N7" s="256" t="inlineStr">
        <is>
          <t>07.05.2025</t>
        </is>
      </c>
      <c r="O7" s="256" t="inlineStr">
        <is>
          <t>IPH — Institute of Public Health</t>
        </is>
      </c>
      <c r="P7" s="261" t="inlineStr">
        <is>
          <t>Correct as it stands. The certificate cites the release result, and the owner's ruling of 10.09.2026 makes the earliest result for a parameter the release result — the later one belongs to a retest certificate.</t>
        </is>
      </c>
    </row>
    <row r="8">
      <c r="A8" s="261" t="inlineStr">
        <is>
          <t>cited as covering</t>
        </is>
      </c>
      <c r="B8" s="256" t="inlineStr">
        <is>
          <t>GP062501</t>
        </is>
      </c>
      <c r="C8" s="256" t="inlineStr">
        <is>
          <t>P050202</t>
        </is>
      </c>
      <c r="D8" s="256" t="inlineStr">
        <is>
          <t>CoQ-PP_26-026</t>
        </is>
      </c>
      <c r="E8" s="256" t="inlineStr">
        <is>
          <t>initial release — predicted</t>
        </is>
      </c>
      <c r="F8" s="256" t="inlineStr">
        <is>
          <t>06.06.2026</t>
        </is>
      </c>
      <c r="G8" s="256" t="inlineStr">
        <is>
          <t>9.2</t>
        </is>
      </c>
      <c r="H8" s="256" t="inlineStr">
        <is>
          <t>TYMC</t>
        </is>
      </c>
      <c r="I8" s="256" t="inlineStr">
        <is>
          <t>4.2 × 10³</t>
        </is>
      </c>
      <c r="J8" s="256" t="inlineStr">
        <is>
          <t>1009/1813/25</t>
        </is>
      </c>
      <c r="K8" s="256" t="inlineStr">
        <is>
          <t>08.10.2025</t>
        </is>
      </c>
      <c r="L8" s="256" t="inlineStr">
        <is>
          <t>400</t>
        </is>
      </c>
      <c r="M8" s="256" t="inlineStr">
        <is>
          <t>1155/2056/25</t>
        </is>
      </c>
      <c r="N8" s="256" t="inlineStr">
        <is>
          <t>24.11.2025</t>
        </is>
      </c>
      <c r="O8" s="256" t="inlineStr">
        <is>
          <t>IPH — Institute of Public Health</t>
        </is>
      </c>
      <c r="P8" s="261" t="inlineStr">
        <is>
          <t>Correct as it stands. The certificate cites the release result, and the owner's ruling of 10.09.2026 makes the earliest result for a parameter the release result — the later one belongs to a retest certificate.</t>
        </is>
      </c>
    </row>
    <row r="9">
      <c r="A9" s="261" t="inlineStr">
        <is>
          <t>cited as covering</t>
        </is>
      </c>
      <c r="B9" s="256" t="inlineStr">
        <is>
          <t>GP062501</t>
        </is>
      </c>
      <c r="C9" s="256" t="inlineStr">
        <is>
          <t>P050202</t>
        </is>
      </c>
      <c r="D9" s="256" t="inlineStr">
        <is>
          <t>CoQ-PP_26-026</t>
        </is>
      </c>
      <c r="E9" s="256" t="inlineStr">
        <is>
          <t>initial release — predicted</t>
        </is>
      </c>
      <c r="F9" s="256" t="inlineStr">
        <is>
          <t>06.06.2026</t>
        </is>
      </c>
      <c r="G9" s="256" t="inlineStr">
        <is>
          <t>9.3</t>
        </is>
      </c>
      <c r="H9" s="256" t="inlineStr">
        <is>
          <t>Bile-tolerant GNB</t>
        </is>
      </c>
      <c r="I9" s="256" t="inlineStr">
        <is>
          <t>&lt; 10³ and &gt; 10²</t>
        </is>
      </c>
      <c r="J9" s="256" t="inlineStr">
        <is>
          <t>1009/1813/25</t>
        </is>
      </c>
      <c r="K9" s="256" t="inlineStr">
        <is>
          <t>08.10.2025</t>
        </is>
      </c>
      <c r="L9" s="256" t="inlineStr">
        <is>
          <t>&lt; 10</t>
        </is>
      </c>
      <c r="M9" s="256" t="inlineStr">
        <is>
          <t>1155/2056/25</t>
        </is>
      </c>
      <c r="N9" s="256" t="inlineStr">
        <is>
          <t>24.11.2025</t>
        </is>
      </c>
      <c r="O9" s="256" t="inlineStr">
        <is>
          <t>IPH — Institute of Public Health</t>
        </is>
      </c>
      <c r="P9" s="261" t="inlineStr">
        <is>
          <t>Correct as it stands. The certificate cites the release result, and the owner's ruling of 10.09.2026 makes the earliest result for a parameter the release result — the later one belongs to a retest certificate.</t>
        </is>
      </c>
    </row>
    <row r="10">
      <c r="A10" s="261" t="inlineStr">
        <is>
          <t>cited as covering</t>
        </is>
      </c>
      <c r="B10" s="256" t="inlineStr">
        <is>
          <t>GP0824_02</t>
        </is>
      </c>
      <c r="C10" s="256" t="inlineStr">
        <is>
          <t>P050022</t>
        </is>
      </c>
      <c r="D10" s="256" t="inlineStr">
        <is>
          <t>CoQ-PP_26-007</t>
        </is>
      </c>
      <c r="E10" s="256" t="inlineStr">
        <is>
          <t>initial release</t>
        </is>
      </c>
      <c r="F10" s="256" t="inlineStr">
        <is>
          <t>06.06.2026</t>
        </is>
      </c>
      <c r="G10" s="256" t="inlineStr">
        <is>
          <t>9.3</t>
        </is>
      </c>
      <c r="H10" s="256" t="inlineStr">
        <is>
          <t>Bile-tolerant GNB</t>
        </is>
      </c>
      <c r="I10" s="256" t="inlineStr">
        <is>
          <t>&lt; 10² and &gt; 10</t>
        </is>
      </c>
      <c r="J10" s="256" t="inlineStr">
        <is>
          <t>471-0862-25</t>
        </is>
      </c>
      <c r="K10" s="256" t="inlineStr">
        <is>
          <t>22.05.2025</t>
        </is>
      </c>
      <c r="L10" s="256" t="inlineStr">
        <is>
          <t>&lt;10</t>
        </is>
      </c>
      <c r="M10" s="256" t="inlineStr">
        <is>
          <t>627/1128/25</t>
        </is>
      </c>
      <c r="N10" s="256" t="inlineStr">
        <is>
          <t>02.07.2025</t>
        </is>
      </c>
      <c r="O10" s="256" t="inlineStr">
        <is>
          <t>IPH — Institute of Public Health</t>
        </is>
      </c>
      <c r="P10" s="261" t="inlineStr">
        <is>
          <t>Correct as it stands. The certificate cites the release result, and the owner's ruling of 10.09.2026 makes the earliest result for a parameter the release result — the later one belongs to a retest certificate.</t>
        </is>
      </c>
    </row>
    <row r="11">
      <c r="A11" s="261" t="inlineStr">
        <is>
          <t>cited as covering</t>
        </is>
      </c>
      <c r="B11" s="256" t="inlineStr">
        <is>
          <t>GP0824_02</t>
        </is>
      </c>
      <c r="C11" s="256" t="inlineStr">
        <is>
          <t>P050022</t>
        </is>
      </c>
      <c r="D11" s="256" t="inlineStr">
        <is>
          <t>CoQ-PP_26-007</t>
        </is>
      </c>
      <c r="E11" s="256" t="inlineStr">
        <is>
          <t>initial release</t>
        </is>
      </c>
      <c r="F11" s="256" t="inlineStr">
        <is>
          <t>06.06.2026</t>
        </is>
      </c>
      <c r="G11" s="256" t="inlineStr">
        <is>
          <t>4</t>
        </is>
      </c>
      <c r="H11" s="256" t="inlineStr">
        <is>
          <t>Total Δ9-THC</t>
        </is>
      </c>
      <c r="I11" s="256" t="inlineStr">
        <is>
          <t>23.79</t>
        </is>
      </c>
      <c r="J11" s="256" t="inlineStr">
        <is>
          <t>ППК25139</t>
        </is>
      </c>
      <c r="K11" s="256" t="inlineStr">
        <is>
          <t>22.05.2025</t>
        </is>
      </c>
      <c r="L11" s="256" t="inlineStr">
        <is>
          <t>23.19</t>
        </is>
      </c>
      <c r="M11" s="256" t="inlineStr">
        <is>
          <t>ППК25174</t>
        </is>
      </c>
      <c r="N11" s="256" t="inlineStr">
        <is>
          <t>10.07.2025</t>
        </is>
      </c>
      <c r="O11" s="256" t="inlineStr">
        <is>
          <t>UKIM Faculty of Pharmacy — Center for Natural Products</t>
        </is>
      </c>
      <c r="P11" s="261" t="inlineStr">
        <is>
          <t>Correct as it stands. The certificate cites the release result, and the owner's ruling of 10.09.2026 makes the earliest result for a parameter the release result — the later one belongs to a retest certificate.</t>
        </is>
      </c>
    </row>
    <row r="12">
      <c r="A12" s="261" t="inlineStr">
        <is>
          <t>cited as covering</t>
        </is>
      </c>
      <c r="B12" s="256" t="inlineStr">
        <is>
          <t>J31112501</t>
        </is>
      </c>
      <c r="C12" s="256" t="inlineStr"/>
      <c r="D12" s="256" t="inlineStr">
        <is>
          <t>CoQ-PP_26-056</t>
        </is>
      </c>
      <c r="E12" s="256" t="inlineStr">
        <is>
          <t>initial release — predicted</t>
        </is>
      </c>
      <c r="F12" s="256" t="inlineStr">
        <is>
          <t>06.06.2026</t>
        </is>
      </c>
      <c r="G12" s="256" t="inlineStr">
        <is>
          <t>4</t>
        </is>
      </c>
      <c r="H12" s="256" t="inlineStr">
        <is>
          <t>Total Δ9-THC</t>
        </is>
      </c>
      <c r="I12" s="256" t="inlineStr">
        <is>
          <t>25.27</t>
        </is>
      </c>
      <c r="J12" s="256" t="inlineStr">
        <is>
          <t>051-5-К/26</t>
        </is>
      </c>
      <c r="K12" s="256" t="inlineStr">
        <is>
          <t>04.03.2026</t>
        </is>
      </c>
      <c r="L12" s="256" t="inlineStr">
        <is>
          <t>20.21</t>
        </is>
      </c>
      <c r="M12" s="256" t="inlineStr">
        <is>
          <t>100-1-К/26</t>
        </is>
      </c>
      <c r="N12" s="256" t="inlineStr">
        <is>
          <t>09.04.2026</t>
        </is>
      </c>
      <c r="O12" s="256" t="inlineStr">
        <is>
          <t>Farmahem</t>
        </is>
      </c>
      <c r="P12" s="261" t="inlineStr">
        <is>
          <t>Correct as it stands. The certificate cites the release result, and the owner's ruling of 10.09.2026 makes the earliest result for a parameter the release result — the later one belongs to a retest certificate.</t>
        </is>
      </c>
    </row>
    <row r="13">
      <c r="A13" s="261" t="inlineStr">
        <is>
          <t>cited as covering</t>
        </is>
      </c>
      <c r="B13" s="256" t="inlineStr">
        <is>
          <t>GP0824_02</t>
        </is>
      </c>
      <c r="C13" s="256" t="inlineStr">
        <is>
          <t>P050022</t>
        </is>
      </c>
      <c r="D13" s="256" t="inlineStr">
        <is>
          <t>CoQ-PP_26-007</t>
        </is>
      </c>
      <c r="E13" s="256" t="inlineStr">
        <is>
          <t>initial release</t>
        </is>
      </c>
      <c r="F13" s="256" t="inlineStr">
        <is>
          <t>06.06.2026</t>
        </is>
      </c>
      <c r="G13" s="256" t="inlineStr">
        <is>
          <t>5</t>
        </is>
      </c>
      <c r="H13" s="256" t="inlineStr">
        <is>
          <t>Total CBD</t>
        </is>
      </c>
      <c r="I13" s="256" t="inlineStr">
        <is>
          <t>0.10</t>
        </is>
      </c>
      <c r="J13" s="256" t="inlineStr">
        <is>
          <t>ППК25139</t>
        </is>
      </c>
      <c r="K13" s="256" t="inlineStr">
        <is>
          <t>22.05.2025</t>
        </is>
      </c>
      <c r="L13" s="256" t="inlineStr">
        <is>
          <t>0.07</t>
        </is>
      </c>
      <c r="M13" s="256" t="inlineStr">
        <is>
          <t>ППК25174</t>
        </is>
      </c>
      <c r="N13" s="256" t="inlineStr">
        <is>
          <t>10.07.2025</t>
        </is>
      </c>
      <c r="O13" s="256" t="inlineStr">
        <is>
          <t>UKIM Faculty of Pharmacy — Center for Natural Products</t>
        </is>
      </c>
      <c r="P13" s="261" t="inlineStr">
        <is>
          <t>Correct as it stands. The certificate cites the release result, and the owner's ruling of 10.09.2026 makes the earliest result for a parameter the release result — the later one belongs to a retest certificate.</t>
        </is>
      </c>
    </row>
    <row r="14">
      <c r="A14" s="262" t="inlineStr">
        <is>
          <t>carried forward</t>
        </is>
      </c>
      <c r="B14" s="256" t="inlineStr">
        <is>
          <t>GP0824_02</t>
        </is>
      </c>
      <c r="C14" s="256" t="inlineStr">
        <is>
          <t>P050022</t>
        </is>
      </c>
      <c r="D14" s="256" t="inlineStr">
        <is>
          <t>CoQ-PP_26-095</t>
        </is>
      </c>
      <c r="E14" s="256" t="inlineStr">
        <is>
          <t>retest</t>
        </is>
      </c>
      <c r="F14" s="256" t="inlineStr">
        <is>
          <t>17.08.2026</t>
        </is>
      </c>
      <c r="G14" s="256" t="inlineStr">
        <is>
          <t>8</t>
        </is>
      </c>
      <c r="H14" s="256" t="inlineStr">
        <is>
          <t>Loss on drying</t>
        </is>
      </c>
      <c r="I14" s="256" t="inlineStr">
        <is>
          <t>7.21</t>
        </is>
      </c>
      <c r="J14" s="256" t="inlineStr">
        <is>
          <t>ППК25139</t>
        </is>
      </c>
      <c r="K14" s="256" t="inlineStr">
        <is>
          <t>22.05.2025</t>
        </is>
      </c>
      <c r="L14" s="256" t="inlineStr">
        <is>
          <t>6.51</t>
        </is>
      </c>
      <c r="M14" s="256" t="inlineStr">
        <is>
          <t>ППК25174</t>
        </is>
      </c>
      <c r="N14" s="256" t="inlineStr">
        <is>
          <t>10.07.2025</t>
        </is>
      </c>
      <c r="O14" s="256" t="inlineStr">
        <is>
          <t>UKIM Faculty of Pharmacy — Center for Natural Products</t>
        </is>
      </c>
      <c r="P14" s="262" t="inlineStr">
        <is>
          <t>Open — OI-38. The reissue carries this determination forward from the initial testing because its campaign did not retest it (ruling of 15.09.2026). Whether 'forward' means the initial result or the latest on file is the owner's to settle.</t>
        </is>
      </c>
    </row>
    <row r="15">
      <c r="A15" s="262" t="inlineStr">
        <is>
          <t>carried forward</t>
        </is>
      </c>
      <c r="B15" s="256" t="inlineStr">
        <is>
          <t>J31112501</t>
        </is>
      </c>
      <c r="C15" s="256" t="inlineStr"/>
      <c r="D15" s="256" t="inlineStr">
        <is>
          <t>CoQ-PP_26-153</t>
        </is>
      </c>
      <c r="E15" s="256" t="inlineStr">
        <is>
          <t>retest — predicted</t>
        </is>
      </c>
      <c r="F15" s="256" t="inlineStr">
        <is>
          <t>21.09.2026</t>
        </is>
      </c>
      <c r="G15" s="256" t="inlineStr">
        <is>
          <t>8</t>
        </is>
      </c>
      <c r="H15" s="256" t="inlineStr">
        <is>
          <t>Loss on drying</t>
        </is>
      </c>
      <c r="I15" s="256" t="inlineStr">
        <is>
          <t>8.4</t>
        </is>
      </c>
      <c r="J15" s="256" t="inlineStr">
        <is>
          <t>051-5-ГС/26</t>
        </is>
      </c>
      <c r="K15" s="256" t="inlineStr">
        <is>
          <t>02.03.2026</t>
        </is>
      </c>
      <c r="L15" s="256" t="inlineStr">
        <is>
          <t>7.6</t>
        </is>
      </c>
      <c r="M15" s="256" t="inlineStr">
        <is>
          <t>100-1-ГС/26</t>
        </is>
      </c>
      <c r="N15" s="256" t="inlineStr">
        <is>
          <t>09.04.2026</t>
        </is>
      </c>
      <c r="O15" s="256" t="inlineStr">
        <is>
          <t>Farmahem</t>
        </is>
      </c>
      <c r="P15" s="262" t="inlineStr">
        <is>
          <t>Open — OI-38. The reissue carries this determination forward from the initial testing because its campaign did not retest it (ruling of 15.09.2026). Whether 'forward' means the initial result or the latest on file is the owner's to settle.</t>
        </is>
      </c>
    </row>
    <row r="16">
      <c r="A16" s="263" t="inlineStr">
        <is>
          <t>two sublots in one block</t>
        </is>
      </c>
      <c r="B16" s="256" t="inlineStr">
        <is>
          <t>J31122501</t>
        </is>
      </c>
      <c r="C16" s="256" t="inlineStr"/>
      <c r="D16" s="256" t="inlineStr"/>
      <c r="E16" s="256" t="inlineStr">
        <is>
          <t>IPH microbiology</t>
        </is>
      </c>
      <c r="F16" s="256" t="inlineStr">
        <is>
          <t>2026-04-07</t>
        </is>
      </c>
      <c r="G16" s="256" t="inlineStr">
        <is>
          <t>9.1</t>
        </is>
      </c>
      <c r="H16" s="256" t="inlineStr">
        <is>
          <t>TAMC</t>
        </is>
      </c>
      <c r="I16" s="256" t="inlineStr">
        <is>
          <t>850</t>
        </is>
      </c>
      <c r="J16" s="256" t="inlineStr">
        <is>
          <t>231/0394/26 (Racno trimiran cvet)</t>
        </is>
      </c>
      <c r="K16" s="256" t="inlineStr">
        <is>
          <t>2026-04-07</t>
        </is>
      </c>
      <c r="L16" s="256" t="inlineStr">
        <is>
          <t>1900</t>
        </is>
      </c>
      <c r="M16" s="256" t="inlineStr">
        <is>
          <t>230/0393/26 (Trimiran cvet)</t>
        </is>
      </c>
      <c r="N16" s="256" t="inlineStr">
        <is>
          <t>2026-04-07</t>
        </is>
      </c>
      <c r="O16" s="256" t="inlineStr"/>
      <c r="P16" s="263" t="inlineStr">
        <is>
          <t>Open — OI-39. Two certificates of the same testing on the same day report different results in one register block: the block carries two sublots. The certificate of quality prints one of them and does not say which.</t>
        </is>
      </c>
    </row>
    <row r="17">
      <c r="A17" s="263" t="inlineStr">
        <is>
          <t>two sublots in one block</t>
        </is>
      </c>
      <c r="B17" s="256" t="inlineStr">
        <is>
          <t>J31122501</t>
        </is>
      </c>
      <c r="C17" s="256" t="inlineStr"/>
      <c r="D17" s="256" t="inlineStr"/>
      <c r="E17" s="256" t="inlineStr">
        <is>
          <t>IPH microbiology</t>
        </is>
      </c>
      <c r="F17" s="256" t="inlineStr">
        <is>
          <t>2026-04-07</t>
        </is>
      </c>
      <c r="G17" s="256" t="inlineStr">
        <is>
          <t>9.2</t>
        </is>
      </c>
      <c r="H17" s="256" t="inlineStr">
        <is>
          <t>TYMC</t>
        </is>
      </c>
      <c r="I17" s="256" t="inlineStr">
        <is>
          <t>370</t>
        </is>
      </c>
      <c r="J17" s="256" t="inlineStr">
        <is>
          <t>231/0394/26 (Racno trimiran cvet)</t>
        </is>
      </c>
      <c r="K17" s="256" t="inlineStr">
        <is>
          <t>2026-04-07</t>
        </is>
      </c>
      <c r="L17" s="256" t="inlineStr">
        <is>
          <t>840</t>
        </is>
      </c>
      <c r="M17" s="256" t="inlineStr">
        <is>
          <t>230/0393/26 (Trimiran cvet)</t>
        </is>
      </c>
      <c r="N17" s="256" t="inlineStr">
        <is>
          <t>2026-04-07</t>
        </is>
      </c>
      <c r="O17" s="256" t="inlineStr"/>
      <c r="P17" s="263" t="inlineStr">
        <is>
          <t>Open — OI-39. Two certificates of the same testing on the same day report different results in one register block: the block carries two sublots. The certificate of quality prints one of them and does not say which.</t>
        </is>
      </c>
    </row>
    <row r="18">
      <c r="A18" s="263" t="inlineStr">
        <is>
          <t>two sublots in one block</t>
        </is>
      </c>
      <c r="B18" s="256" t="inlineStr">
        <is>
          <t>J31122501</t>
        </is>
      </c>
      <c r="C18" s="256" t="inlineStr"/>
      <c r="D18" s="256" t="inlineStr"/>
      <c r="E18" s="256" t="inlineStr">
        <is>
          <t>IPH microbiology</t>
        </is>
      </c>
      <c r="F18" s="256" t="inlineStr">
        <is>
          <t>2026-04-07</t>
        </is>
      </c>
      <c r="G18" s="256" t="inlineStr">
        <is>
          <t>9.3</t>
        </is>
      </c>
      <c r="H18" s="256" t="inlineStr">
        <is>
          <t>Bile-tolerant GNB</t>
        </is>
      </c>
      <c r="I18" s="256" t="inlineStr">
        <is>
          <t>&lt; 10^2 and &gt; 10</t>
        </is>
      </c>
      <c r="J18" s="256" t="inlineStr">
        <is>
          <t>231/0394/26 (Racno trimiran cvet)</t>
        </is>
      </c>
      <c r="K18" s="256" t="inlineStr">
        <is>
          <t>2026-04-07</t>
        </is>
      </c>
      <c r="L18" s="256" t="inlineStr">
        <is>
          <t>&lt; 10^3 and &gt; 10^2</t>
        </is>
      </c>
      <c r="M18" s="256" t="inlineStr">
        <is>
          <t>230/0393/26 (Trimiran cvet)</t>
        </is>
      </c>
      <c r="N18" s="256" t="inlineStr">
        <is>
          <t>2026-04-07</t>
        </is>
      </c>
      <c r="O18" s="256" t="inlineStr"/>
      <c r="P18" s="263" t="inlineStr">
        <is>
          <t>Open — OI-39. Two certificates of the same testing on the same day report different results in one register block: the block carries two sublots. The certificate of quality prints one of them and does not say which.</t>
        </is>
      </c>
    </row>
    <row r="19">
      <c r="A19" s="263" t="inlineStr">
        <is>
          <t>two sublots in one block</t>
        </is>
      </c>
      <c r="B19" s="256" t="inlineStr">
        <is>
          <t>J31122501</t>
        </is>
      </c>
      <c r="C19" s="256" t="inlineStr"/>
      <c r="D19" s="256" t="inlineStr"/>
      <c r="E19" s="256" t="inlineStr">
        <is>
          <t>Farmahem — cannabinoids</t>
        </is>
      </c>
      <c r="F19" s="256" t="inlineStr">
        <is>
          <t>2026-04-09</t>
        </is>
      </c>
      <c r="G19" s="256" t="inlineStr">
        <is>
          <t>4</t>
        </is>
      </c>
      <c r="H19" s="256" t="inlineStr">
        <is>
          <t>Total Δ9-THC</t>
        </is>
      </c>
      <c r="I19" s="256" t="inlineStr">
        <is>
          <t>19.84</t>
        </is>
      </c>
      <c r="J19" s="256" t="inlineStr">
        <is>
          <t>100-2-К/26</t>
        </is>
      </c>
      <c r="K19" s="256" t="inlineStr">
        <is>
          <t>2026-04-09</t>
        </is>
      </c>
      <c r="L19" s="256" t="inlineStr">
        <is>
          <t>21.84</t>
        </is>
      </c>
      <c r="M19" s="256" t="inlineStr">
        <is>
          <t>100-3-К/26</t>
        </is>
      </c>
      <c r="N19" s="256" t="inlineStr">
        <is>
          <t>2026-04-09</t>
        </is>
      </c>
      <c r="O19" s="256" t="inlineStr"/>
      <c r="P19" s="263" t="inlineStr">
        <is>
          <t>Open — OI-39. Two certificates of the same testing on the same day report different results in one register block: the block carries two sublots. The certificate of quality prints one of them and does not say which.</t>
        </is>
      </c>
    </row>
    <row r="20">
      <c r="A20" s="263" t="inlineStr">
        <is>
          <t>two sublots in one block</t>
        </is>
      </c>
      <c r="B20" s="256" t="inlineStr">
        <is>
          <t>J31122501</t>
        </is>
      </c>
      <c r="C20" s="256" t="inlineStr"/>
      <c r="D20" s="256" t="inlineStr"/>
      <c r="E20" s="256" t="inlineStr">
        <is>
          <t>IPH mycotoxins, metals, pesticides</t>
        </is>
      </c>
      <c r="F20" s="256" t="inlineStr">
        <is>
          <t>2026-04-23</t>
        </is>
      </c>
      <c r="G20" s="256" t="inlineStr">
        <is>
          <t>10.2</t>
        </is>
      </c>
      <c r="H20" s="256" t="inlineStr">
        <is>
          <t>Aflatoxins Σ</t>
        </is>
      </c>
      <c r="I20" s="256" t="inlineStr">
        <is>
          <t>2.5</t>
        </is>
      </c>
      <c r="J20" s="256" t="inlineStr">
        <is>
          <t>1628/2026</t>
        </is>
      </c>
      <c r="K20" s="256" t="inlineStr">
        <is>
          <t>2026-04-23</t>
        </is>
      </c>
      <c r="L20" s="256" t="inlineStr">
        <is>
          <t>COMPLIES (numeric value not present in captured source excerpt for report 1625/2026 — see Bundle cross-reference)</t>
        </is>
      </c>
      <c r="M20" s="256" t="inlineStr">
        <is>
          <t>1625/2026</t>
        </is>
      </c>
      <c r="N20" s="256" t="inlineStr">
        <is>
          <t>2026-04-23</t>
        </is>
      </c>
      <c r="O20" s="256" t="inlineStr"/>
      <c r="P20" s="263" t="inlineStr">
        <is>
          <t>Open — OI-39. Two certificates of the same testing on the same day report different results in one register block: the block carries two sublots. The certificate of quality prints one of them and does not say which.</t>
        </is>
      </c>
    </row>
    <row r="21">
      <c r="A21" s="261" t="inlineStr">
        <is>
          <t>on file, on no certificate</t>
        </is>
      </c>
      <c r="B21" s="256" t="inlineStr">
        <is>
          <t>AB092501</t>
        </is>
      </c>
      <c r="C21" s="256" t="inlineStr">
        <is>
          <t>P060052</t>
        </is>
      </c>
      <c r="D21" s="256" t="inlineStr"/>
      <c r="E21" s="256" t="inlineStr">
        <is>
          <t>UKIM CNP potency</t>
        </is>
      </c>
      <c r="F21" s="256" t="inlineStr"/>
      <c r="G21" s="256" t="inlineStr">
        <is>
          <t>4</t>
        </is>
      </c>
      <c r="H21" s="256" t="inlineStr">
        <is>
          <t>Total Δ9-THC</t>
        </is>
      </c>
      <c r="I21" s="256" t="inlineStr"/>
      <c r="J21" s="256" t="inlineStr"/>
      <c r="K21" s="256" t="inlineStr"/>
      <c r="L21" s="256" t="inlineStr">
        <is>
          <t>16.93</t>
        </is>
      </c>
      <c r="M21" s="256" t="inlineStr">
        <is>
          <t>PP CoA #037 / ППК26005</t>
        </is>
      </c>
      <c r="N21" s="256" t="inlineStr">
        <is>
          <t>21.01.2026</t>
        </is>
      </c>
      <c r="O21" s="256" t="inlineStr">
        <is>
          <t>UKIM Faculty of Pharmacy — Center for Natural Products</t>
        </is>
      </c>
      <c r="P21" s="261" t="inlineStr">
        <is>
          <t>For information. This result is in the release register and on the tracker; no certificate of quality for the lot cites it. Where the lot appears in the two checks above, that is why.</t>
        </is>
      </c>
    </row>
    <row r="22">
      <c r="A22" s="261" t="inlineStr">
        <is>
          <t>on file, on no certificate</t>
        </is>
      </c>
      <c r="B22" s="256" t="inlineStr">
        <is>
          <t>AB092501</t>
        </is>
      </c>
      <c r="C22" s="256" t="inlineStr">
        <is>
          <t>P060052</t>
        </is>
      </c>
      <c r="D22" s="256" t="inlineStr"/>
      <c r="E22" s="256" t="inlineStr">
        <is>
          <t>UKIM CNP potency</t>
        </is>
      </c>
      <c r="F22" s="256" t="inlineStr"/>
      <c r="G22" s="256" t="inlineStr">
        <is>
          <t>5</t>
        </is>
      </c>
      <c r="H22" s="256" t="inlineStr">
        <is>
          <t>Total CBD</t>
        </is>
      </c>
      <c r="I22" s="256" t="inlineStr"/>
      <c r="J22" s="256" t="inlineStr"/>
      <c r="K22" s="256" t="inlineStr"/>
      <c r="L22" s="256" t="inlineStr">
        <is>
          <t>0.07</t>
        </is>
      </c>
      <c r="M22" s="256" t="inlineStr">
        <is>
          <t>PP CoA #037 / ППК26005</t>
        </is>
      </c>
      <c r="N22" s="256" t="inlineStr">
        <is>
          <t>21.01.2026</t>
        </is>
      </c>
      <c r="O22" s="256" t="inlineStr">
        <is>
          <t>UKIM Faculty of Pharmacy — Center for Natural Products</t>
        </is>
      </c>
      <c r="P22" s="261" t="inlineStr">
        <is>
          <t>For information. This result is in the release register and on the tracker; no certificate of quality for the lot cites it. Where the lot appears in the two checks above, that is why.</t>
        </is>
      </c>
    </row>
    <row r="23">
      <c r="A23" s="261" t="inlineStr">
        <is>
          <t>on file, on no certificate</t>
        </is>
      </c>
      <c r="B23" s="256" t="inlineStr">
        <is>
          <t>AB092501</t>
        </is>
      </c>
      <c r="C23" s="256" t="inlineStr">
        <is>
          <t>P060052</t>
        </is>
      </c>
      <c r="D23" s="256" t="inlineStr"/>
      <c r="E23" s="256" t="inlineStr">
        <is>
          <t>UKIM CNP potency</t>
        </is>
      </c>
      <c r="F23" s="256" t="inlineStr"/>
      <c r="G23" s="256" t="inlineStr">
        <is>
          <t>8</t>
        </is>
      </c>
      <c r="H23" s="256" t="inlineStr">
        <is>
          <t>Loss on drying</t>
        </is>
      </c>
      <c r="I23" s="256" t="inlineStr"/>
      <c r="J23" s="256" t="inlineStr"/>
      <c r="K23" s="256" t="inlineStr"/>
      <c r="L23" s="256" t="inlineStr">
        <is>
          <t>6.77</t>
        </is>
      </c>
      <c r="M23" s="256" t="inlineStr">
        <is>
          <t>PP CoA #037 / ППК26005</t>
        </is>
      </c>
      <c r="N23" s="256" t="inlineStr">
        <is>
          <t>21.01.2026</t>
        </is>
      </c>
      <c r="O23" s="256" t="inlineStr">
        <is>
          <t>UKIM Faculty of Pharmacy — Center for Natural Products</t>
        </is>
      </c>
      <c r="P23" s="261" t="inlineStr">
        <is>
          <t>For information. This result is in the release register and on the tracker; no certificate of quality for the lot cites it. Where the lot appears in the two checks above, that is why.</t>
        </is>
      </c>
    </row>
    <row r="24">
      <c r="A24" s="261" t="inlineStr">
        <is>
          <t>on file, on no certificate</t>
        </is>
      </c>
      <c r="B24" s="256" t="inlineStr">
        <is>
          <t>BSS052501</t>
        </is>
      </c>
      <c r="C24" s="256" t="inlineStr">
        <is>
          <t>P050192</t>
        </is>
      </c>
      <c r="D24" s="256" t="inlineStr"/>
      <c r="E24" s="256" t="inlineStr">
        <is>
          <t>Purely Plant in-house</t>
        </is>
      </c>
      <c r="F24" s="256" t="inlineStr"/>
      <c r="G24" s="256" t="inlineStr">
        <is>
          <t>4</t>
        </is>
      </c>
      <c r="H24" s="256" t="inlineStr">
        <is>
          <t>Total Δ9-THC</t>
        </is>
      </c>
      <c r="I24" s="256" t="inlineStr"/>
      <c r="J24" s="256" t="inlineStr"/>
      <c r="K24" s="256" t="inlineStr"/>
      <c r="L24" s="256" t="inlineStr">
        <is>
          <t>20.39</t>
        </is>
      </c>
      <c r="M24" s="256" t="inlineStr">
        <is>
          <t>In-house GC cross-check NGP/QCG/SOP-024</t>
        </is>
      </c>
      <c r="N24" s="256" t="inlineStr">
        <is>
          <t>28.11.2025</t>
        </is>
      </c>
      <c r="O24" s="256" t="inlineStr">
        <is>
          <t>Purely Plant GmbH (in-house)</t>
        </is>
      </c>
      <c r="P24" s="261" t="inlineStr">
        <is>
          <t>For information. This result is in the release register and on the tracker; no certificate of quality for the lot cites it. Where the lot appears in the two checks above, that is why.</t>
        </is>
      </c>
    </row>
    <row r="25">
      <c r="A25" s="261" t="inlineStr">
        <is>
          <t>on file, on no certificate</t>
        </is>
      </c>
      <c r="B25" s="256" t="inlineStr">
        <is>
          <t>BSS052501</t>
        </is>
      </c>
      <c r="C25" s="256" t="inlineStr">
        <is>
          <t>P050192</t>
        </is>
      </c>
      <c r="D25" s="256" t="inlineStr"/>
      <c r="E25" s="256" t="inlineStr">
        <is>
          <t>Purely Plant in-house</t>
        </is>
      </c>
      <c r="F25" s="256" t="inlineStr"/>
      <c r="G25" s="256" t="inlineStr">
        <is>
          <t>5</t>
        </is>
      </c>
      <c r="H25" s="256" t="inlineStr">
        <is>
          <t>Total CBD</t>
        </is>
      </c>
      <c r="I25" s="256" t="inlineStr"/>
      <c r="J25" s="256" t="inlineStr"/>
      <c r="K25" s="256" t="inlineStr"/>
      <c r="L25" s="256" t="inlineStr">
        <is>
          <t>0.11</t>
        </is>
      </c>
      <c r="M25" s="256" t="inlineStr">
        <is>
          <t>In-house GC cross-check NGP/QCG/SOP-024</t>
        </is>
      </c>
      <c r="N25" s="256" t="inlineStr">
        <is>
          <t>28.11.2025</t>
        </is>
      </c>
      <c r="O25" s="256" t="inlineStr">
        <is>
          <t>Purely Plant GmbH (in-house)</t>
        </is>
      </c>
      <c r="P25" s="261" t="inlineStr">
        <is>
          <t>For information. This result is in the release register and on the tracker; no certificate of quality for the lot cites it. Where the lot appears in the two checks above, that is why.</t>
        </is>
      </c>
    </row>
    <row r="26">
      <c r="A26" s="261" t="inlineStr">
        <is>
          <t>on file, on no certificate</t>
        </is>
      </c>
      <c r="B26" s="256" t="inlineStr">
        <is>
          <t>BSS052501</t>
        </is>
      </c>
      <c r="C26" s="256" t="inlineStr">
        <is>
          <t>P050192</t>
        </is>
      </c>
      <c r="D26" s="256" t="inlineStr"/>
      <c r="E26" s="256" t="inlineStr">
        <is>
          <t>Purely Plant in-house</t>
        </is>
      </c>
      <c r="F26" s="256" t="inlineStr"/>
      <c r="G26" s="256" t="inlineStr">
        <is>
          <t>8</t>
        </is>
      </c>
      <c r="H26" s="256" t="inlineStr">
        <is>
          <t>Loss on drying</t>
        </is>
      </c>
      <c r="I26" s="256" t="inlineStr"/>
      <c r="J26" s="256" t="inlineStr"/>
      <c r="K26" s="256" t="inlineStr"/>
      <c r="L26" s="256" t="inlineStr">
        <is>
          <t>8.60</t>
        </is>
      </c>
      <c r="M26" s="256" t="inlineStr">
        <is>
          <t>In-house GC cross-check NGP/QCG/SOP-024</t>
        </is>
      </c>
      <c r="N26" s="256" t="inlineStr">
        <is>
          <t>28.11.2025</t>
        </is>
      </c>
      <c r="O26" s="256" t="inlineStr">
        <is>
          <t>Purely Plant GmbH (in-house)</t>
        </is>
      </c>
      <c r="P26" s="261" t="inlineStr">
        <is>
          <t>For information. This result is in the release register and on the tracker; no certificate of quality for the lot cites it. Where the lot appears in the two checks above, that is why.</t>
        </is>
      </c>
    </row>
    <row r="27">
      <c r="A27" s="261" t="inlineStr">
        <is>
          <t>on file, on no certificate</t>
        </is>
      </c>
      <c r="B27" s="256" t="inlineStr">
        <is>
          <t>CLE072501</t>
        </is>
      </c>
      <c r="C27" s="256" t="inlineStr">
        <is>
          <t>P050282</t>
        </is>
      </c>
      <c r="D27" s="256" t="inlineStr"/>
      <c r="E27" s="256" t="inlineStr">
        <is>
          <t>UKIM CNP potency</t>
        </is>
      </c>
      <c r="F27" s="256" t="inlineStr"/>
      <c r="G27" s="256" t="inlineStr">
        <is>
          <t>4</t>
        </is>
      </c>
      <c r="H27" s="256" t="inlineStr">
        <is>
          <t>Total Δ9-THC</t>
        </is>
      </c>
      <c r="I27" s="256" t="inlineStr"/>
      <c r="J27" s="256" t="inlineStr"/>
      <c r="K27" s="256" t="inlineStr"/>
      <c r="L27" s="256" t="inlineStr">
        <is>
          <t>8.02</t>
        </is>
      </c>
      <c r="M27" s="256" t="inlineStr">
        <is>
          <t>PP CoA #027 / ППК25370</t>
        </is>
      </c>
      <c r="N27" s="256" t="inlineStr">
        <is>
          <t>21.01.2026</t>
        </is>
      </c>
      <c r="O27" s="256" t="inlineStr">
        <is>
          <t>UKIM Faculty of Pharmacy — Center for Natural Products</t>
        </is>
      </c>
      <c r="P27" s="261" t="inlineStr">
        <is>
          <t>For information. This result is in the release register and on the tracker; no certificate of quality for the lot cites it. Where the lot appears in the two checks above, that is why.</t>
        </is>
      </c>
    </row>
    <row r="28">
      <c r="A28" s="261" t="inlineStr">
        <is>
          <t>on file, on no certificate</t>
        </is>
      </c>
      <c r="B28" s="256" t="inlineStr">
        <is>
          <t>CLE072501</t>
        </is>
      </c>
      <c r="C28" s="256" t="inlineStr">
        <is>
          <t>P050282</t>
        </is>
      </c>
      <c r="D28" s="256" t="inlineStr"/>
      <c r="E28" s="256" t="inlineStr">
        <is>
          <t>UKIM CNP potency</t>
        </is>
      </c>
      <c r="F28" s="256" t="inlineStr"/>
      <c r="G28" s="256" t="inlineStr">
        <is>
          <t>5</t>
        </is>
      </c>
      <c r="H28" s="256" t="inlineStr">
        <is>
          <t>Total CBD</t>
        </is>
      </c>
      <c r="I28" s="256" t="inlineStr"/>
      <c r="J28" s="256" t="inlineStr"/>
      <c r="K28" s="256" t="inlineStr"/>
      <c r="L28" s="256" t="inlineStr">
        <is>
          <t>0.04</t>
        </is>
      </c>
      <c r="M28" s="256" t="inlineStr">
        <is>
          <t>PP CoA #027 / ППК25370</t>
        </is>
      </c>
      <c r="N28" s="256" t="inlineStr">
        <is>
          <t>21.01.2026</t>
        </is>
      </c>
      <c r="O28" s="256" t="inlineStr">
        <is>
          <t>UKIM Faculty of Pharmacy — Center for Natural Products</t>
        </is>
      </c>
      <c r="P28" s="261" t="inlineStr">
        <is>
          <t>For information. This result is in the release register and on the tracker; no certificate of quality for the lot cites it. Where the lot appears in the two checks above, that is why.</t>
        </is>
      </c>
    </row>
    <row r="29">
      <c r="A29" s="261" t="inlineStr">
        <is>
          <t>on file, on no certificate</t>
        </is>
      </c>
      <c r="B29" s="256" t="inlineStr">
        <is>
          <t>CLE072501</t>
        </is>
      </c>
      <c r="C29" s="256" t="inlineStr">
        <is>
          <t>P050282</t>
        </is>
      </c>
      <c r="D29" s="256" t="inlineStr"/>
      <c r="E29" s="256" t="inlineStr">
        <is>
          <t>UKIM CNP potency</t>
        </is>
      </c>
      <c r="F29" s="256" t="inlineStr"/>
      <c r="G29" s="256" t="inlineStr">
        <is>
          <t>8</t>
        </is>
      </c>
      <c r="H29" s="256" t="inlineStr">
        <is>
          <t>Loss on drying</t>
        </is>
      </c>
      <c r="I29" s="256" t="inlineStr"/>
      <c r="J29" s="256" t="inlineStr"/>
      <c r="K29" s="256" t="inlineStr"/>
      <c r="L29" s="256" t="inlineStr">
        <is>
          <t>9.68</t>
        </is>
      </c>
      <c r="M29" s="256" t="inlineStr">
        <is>
          <t>PP CoA #027 / ППК25370</t>
        </is>
      </c>
      <c r="N29" s="256" t="inlineStr">
        <is>
          <t>21.01.2026</t>
        </is>
      </c>
      <c r="O29" s="256" t="inlineStr">
        <is>
          <t>UKIM Faculty of Pharmacy — Center for Natural Products</t>
        </is>
      </c>
      <c r="P29" s="261" t="inlineStr">
        <is>
          <t>For information. This result is in the release register and on the tracker; no certificate of quality for the lot cites it. Where the lot appears in the two checks above, that is why.</t>
        </is>
      </c>
    </row>
    <row r="30">
      <c r="A30" s="261" t="inlineStr">
        <is>
          <t>on file, on no certificate</t>
        </is>
      </c>
      <c r="B30" s="256" t="inlineStr">
        <is>
          <t>GP062501</t>
        </is>
      </c>
      <c r="C30" s="256" t="inlineStr">
        <is>
          <t>P050202</t>
        </is>
      </c>
      <c r="D30" s="256" t="inlineStr"/>
      <c r="E30" s="256" t="inlineStr">
        <is>
          <t>IPH microbiology</t>
        </is>
      </c>
      <c r="F30" s="256" t="inlineStr"/>
      <c r="G30" s="256" t="inlineStr">
        <is>
          <t>9.1</t>
        </is>
      </c>
      <c r="H30" s="256" t="inlineStr">
        <is>
          <t>TAMC</t>
        </is>
      </c>
      <c r="I30" s="256" t="inlineStr"/>
      <c r="J30" s="256" t="inlineStr"/>
      <c r="K30" s="256" t="inlineStr"/>
      <c r="L30" s="256" t="inlineStr">
        <is>
          <t>600</t>
        </is>
      </c>
      <c r="M30" s="256" t="inlineStr">
        <is>
          <t>1155/2056/25</t>
        </is>
      </c>
      <c r="N30" s="256" t="inlineStr">
        <is>
          <t>24.11.2025</t>
        </is>
      </c>
      <c r="O30" s="256" t="inlineStr">
        <is>
          <t>IPH — Institute of Public Health</t>
        </is>
      </c>
      <c r="P30" s="261" t="inlineStr">
        <is>
          <t>For information. This result is in the release register and on the tracker; no certificate of quality for the lot cites it. Where the lot appears in the two checks above, that is why.</t>
        </is>
      </c>
    </row>
    <row r="31">
      <c r="A31" s="261" t="inlineStr">
        <is>
          <t>on file, on no certificate</t>
        </is>
      </c>
      <c r="B31" s="256" t="inlineStr">
        <is>
          <t>GP062501</t>
        </is>
      </c>
      <c r="C31" s="256" t="inlineStr">
        <is>
          <t>P050202</t>
        </is>
      </c>
      <c r="D31" s="256" t="inlineStr"/>
      <c r="E31" s="256" t="inlineStr">
        <is>
          <t>IPH microbiology</t>
        </is>
      </c>
      <c r="F31" s="256" t="inlineStr"/>
      <c r="G31" s="256" t="inlineStr">
        <is>
          <t>9.2</t>
        </is>
      </c>
      <c r="H31" s="256" t="inlineStr">
        <is>
          <t>TYMC</t>
        </is>
      </c>
      <c r="I31" s="256" t="inlineStr"/>
      <c r="J31" s="256" t="inlineStr"/>
      <c r="K31" s="256" t="inlineStr"/>
      <c r="L31" s="256" t="inlineStr">
        <is>
          <t>400</t>
        </is>
      </c>
      <c r="M31" s="256" t="inlineStr">
        <is>
          <t>1155/2056/25</t>
        </is>
      </c>
      <c r="N31" s="256" t="inlineStr">
        <is>
          <t>24.11.2025</t>
        </is>
      </c>
      <c r="O31" s="256" t="inlineStr">
        <is>
          <t>IPH — Institute of Public Health</t>
        </is>
      </c>
      <c r="P31" s="261" t="inlineStr">
        <is>
          <t>For information. This result is in the release register and on the tracker; no certificate of quality for the lot cites it. Where the lot appears in the two checks above, that is why.</t>
        </is>
      </c>
    </row>
    <row r="32">
      <c r="A32" s="261" t="inlineStr">
        <is>
          <t>on file, on no certificate</t>
        </is>
      </c>
      <c r="B32" s="256" t="inlineStr">
        <is>
          <t>GP062501</t>
        </is>
      </c>
      <c r="C32" s="256" t="inlineStr">
        <is>
          <t>P050202</t>
        </is>
      </c>
      <c r="D32" s="256" t="inlineStr"/>
      <c r="E32" s="256" t="inlineStr">
        <is>
          <t>IPH microbiology</t>
        </is>
      </c>
      <c r="F32" s="256" t="inlineStr"/>
      <c r="G32" s="256" t="inlineStr">
        <is>
          <t>9.3</t>
        </is>
      </c>
      <c r="H32" s="256" t="inlineStr">
        <is>
          <t>Bile-tolerant GNB</t>
        </is>
      </c>
      <c r="I32" s="256" t="inlineStr"/>
      <c r="J32" s="256" t="inlineStr"/>
      <c r="K32" s="256" t="inlineStr"/>
      <c r="L32" s="256" t="inlineStr">
        <is>
          <t>&lt; 10</t>
        </is>
      </c>
      <c r="M32" s="256" t="inlineStr">
        <is>
          <t>1155/2056/25</t>
        </is>
      </c>
      <c r="N32" s="256" t="inlineStr">
        <is>
          <t>24.11.2025</t>
        </is>
      </c>
      <c r="O32" s="256" t="inlineStr">
        <is>
          <t>IPH — Institute of Public Health</t>
        </is>
      </c>
      <c r="P32" s="261" t="inlineStr">
        <is>
          <t>For information. This result is in the release register and on the tracker; no certificate of quality for the lot cites it. Where the lot appears in the two checks above, that is why.</t>
        </is>
      </c>
    </row>
    <row r="33">
      <c r="A33" s="261" t="inlineStr">
        <is>
          <t>on file, on no certificate</t>
        </is>
      </c>
      <c r="B33" s="256" t="inlineStr">
        <is>
          <t>GP062501</t>
        </is>
      </c>
      <c r="C33" s="256" t="inlineStr">
        <is>
          <t>P050202</t>
        </is>
      </c>
      <c r="D33" s="256" t="inlineStr"/>
      <c r="E33" s="256" t="inlineStr">
        <is>
          <t>IPH microbiology</t>
        </is>
      </c>
      <c r="F33" s="256" t="inlineStr"/>
      <c r="G33" s="256" t="inlineStr">
        <is>
          <t>9.4</t>
        </is>
      </c>
      <c r="H33" s="256" t="inlineStr">
        <is>
          <t>Salmonella</t>
        </is>
      </c>
      <c r="I33" s="256" t="inlineStr"/>
      <c r="J33" s="256" t="inlineStr"/>
      <c r="K33" s="256" t="inlineStr"/>
      <c r="L33" s="256" t="inlineStr">
        <is>
          <t>Odgovara (Absent)</t>
        </is>
      </c>
      <c r="M33" s="256" t="inlineStr">
        <is>
          <t>1155/2056/25</t>
        </is>
      </c>
      <c r="N33" s="256" t="inlineStr">
        <is>
          <t>24.11.2025</t>
        </is>
      </c>
      <c r="O33" s="256" t="inlineStr">
        <is>
          <t>IPH — Institute of Public Health</t>
        </is>
      </c>
      <c r="P33" s="261" t="inlineStr">
        <is>
          <t>For information. This result is in the release register and on the tracker; no certificate of quality for the lot cites it. Where the lot appears in the two checks above, that is why.</t>
        </is>
      </c>
    </row>
    <row r="34">
      <c r="A34" s="261" t="inlineStr">
        <is>
          <t>on file, on no certificate</t>
        </is>
      </c>
      <c r="B34" s="256" t="inlineStr">
        <is>
          <t>GP062501</t>
        </is>
      </c>
      <c r="C34" s="256" t="inlineStr">
        <is>
          <t>P050202</t>
        </is>
      </c>
      <c r="D34" s="256" t="inlineStr"/>
      <c r="E34" s="256" t="inlineStr">
        <is>
          <t>IPH microbiology</t>
        </is>
      </c>
      <c r="F34" s="256" t="inlineStr"/>
      <c r="G34" s="256" t="inlineStr">
        <is>
          <t>9.5</t>
        </is>
      </c>
      <c r="H34" s="256" t="inlineStr">
        <is>
          <t>E. coli</t>
        </is>
      </c>
      <c r="I34" s="256" t="inlineStr"/>
      <c r="J34" s="256" t="inlineStr"/>
      <c r="K34" s="256" t="inlineStr"/>
      <c r="L34" s="256" t="inlineStr">
        <is>
          <t>Odgovara (Absent)</t>
        </is>
      </c>
      <c r="M34" s="256" t="inlineStr">
        <is>
          <t>1155/2056/25</t>
        </is>
      </c>
      <c r="N34" s="256" t="inlineStr">
        <is>
          <t>24.11.2025</t>
        </is>
      </c>
      <c r="O34" s="256" t="inlineStr">
        <is>
          <t>IPH — Institute of Public Health</t>
        </is>
      </c>
      <c r="P34" s="261" t="inlineStr">
        <is>
          <t>For information. This result is in the release register and on the tracker; no certificate of quality for the lot cites it. Where the lot appears in the two checks above, that is why.</t>
        </is>
      </c>
    </row>
    <row r="35">
      <c r="A35" s="261" t="inlineStr">
        <is>
          <t>on file, on no certificate</t>
        </is>
      </c>
      <c r="B35" s="256" t="inlineStr">
        <is>
          <t>GP062501</t>
        </is>
      </c>
      <c r="C35" s="256" t="inlineStr">
        <is>
          <t>P050202</t>
        </is>
      </c>
      <c r="D35" s="256" t="inlineStr"/>
      <c r="E35" s="256" t="inlineStr">
        <is>
          <t>Purely Plant in-house</t>
        </is>
      </c>
      <c r="F35" s="256" t="inlineStr"/>
      <c r="G35" s="256" t="inlineStr">
        <is>
          <t>4</t>
        </is>
      </c>
      <c r="H35" s="256" t="inlineStr">
        <is>
          <t>Total Δ9-THC</t>
        </is>
      </c>
      <c r="I35" s="256" t="inlineStr"/>
      <c r="J35" s="256" t="inlineStr"/>
      <c r="K35" s="256" t="inlineStr"/>
      <c r="L35" s="256" t="inlineStr">
        <is>
          <t>24.89</t>
        </is>
      </c>
      <c r="M35" s="256" t="inlineStr">
        <is>
          <t>In-house HPLC cross-check NPCCC/SCP-02, NGP/QCG/SOP-024</t>
        </is>
      </c>
      <c r="N35" s="256" t="inlineStr">
        <is>
          <t>28.11.2025</t>
        </is>
      </c>
      <c r="O35" s="256" t="inlineStr">
        <is>
          <t>Purely Plant GmbH (in-house)</t>
        </is>
      </c>
      <c r="P35" s="261" t="inlineStr">
        <is>
          <t>For information. This result is in the release register and on the tracker; no certificate of quality for the lot cites it. Where the lot appears in the two checks above, that is why.</t>
        </is>
      </c>
    </row>
    <row r="36">
      <c r="A36" s="261" t="inlineStr">
        <is>
          <t>on file, on no certificate</t>
        </is>
      </c>
      <c r="B36" s="256" t="inlineStr">
        <is>
          <t>GP062501</t>
        </is>
      </c>
      <c r="C36" s="256" t="inlineStr">
        <is>
          <t>P050202</t>
        </is>
      </c>
      <c r="D36" s="256" t="inlineStr"/>
      <c r="E36" s="256" t="inlineStr">
        <is>
          <t>Purely Plant in-house</t>
        </is>
      </c>
      <c r="F36" s="256" t="inlineStr"/>
      <c r="G36" s="256" t="inlineStr">
        <is>
          <t>5</t>
        </is>
      </c>
      <c r="H36" s="256" t="inlineStr">
        <is>
          <t>Total CBD</t>
        </is>
      </c>
      <c r="I36" s="256" t="inlineStr"/>
      <c r="J36" s="256" t="inlineStr"/>
      <c r="K36" s="256" t="inlineStr"/>
      <c r="L36" s="256" t="inlineStr">
        <is>
          <t>0.17</t>
        </is>
      </c>
      <c r="M36" s="256" t="inlineStr">
        <is>
          <t>In-house HPLC cross-check NPCCC/SCP-02, NGP/QCG/SOP-024</t>
        </is>
      </c>
      <c r="N36" s="256" t="inlineStr">
        <is>
          <t>28.11.2025</t>
        </is>
      </c>
      <c r="O36" s="256" t="inlineStr">
        <is>
          <t>Purely Plant GmbH (in-house)</t>
        </is>
      </c>
      <c r="P36" s="261" t="inlineStr">
        <is>
          <t>For information. This result is in the release register and on the tracker; no certificate of quality for the lot cites it. Where the lot appears in the two checks above, that is why.</t>
        </is>
      </c>
    </row>
    <row r="37">
      <c r="A37" s="261" t="inlineStr">
        <is>
          <t>on file, on no certificate</t>
        </is>
      </c>
      <c r="B37" s="256" t="inlineStr">
        <is>
          <t>GP062501</t>
        </is>
      </c>
      <c r="C37" s="256" t="inlineStr">
        <is>
          <t>P050202</t>
        </is>
      </c>
      <c r="D37" s="256" t="inlineStr"/>
      <c r="E37" s="256" t="inlineStr">
        <is>
          <t>Purely Plant in-house</t>
        </is>
      </c>
      <c r="F37" s="256" t="inlineStr"/>
      <c r="G37" s="256" t="inlineStr">
        <is>
          <t>8</t>
        </is>
      </c>
      <c r="H37" s="256" t="inlineStr">
        <is>
          <t>Loss on drying</t>
        </is>
      </c>
      <c r="I37" s="256" t="inlineStr"/>
      <c r="J37" s="256" t="inlineStr"/>
      <c r="K37" s="256" t="inlineStr"/>
      <c r="L37" s="256" t="inlineStr">
        <is>
          <t>8.19 (avg of 4 weighings 51-1,51-2,52-1,52-2)</t>
        </is>
      </c>
      <c r="M37" s="256" t="inlineStr">
        <is>
          <t>In-house HPLC cross-check NPCCC/SCP-02, NGP/QCG/SOP-024</t>
        </is>
      </c>
      <c r="N37" s="256" t="inlineStr">
        <is>
          <t>28.11.2025</t>
        </is>
      </c>
      <c r="O37" s="256" t="inlineStr">
        <is>
          <t>Purely Plant GmbH (in-house)</t>
        </is>
      </c>
      <c r="P37" s="261" t="inlineStr">
        <is>
          <t>For information. This result is in the release register and on the tracker; no certificate of quality for the lot cites it. Where the lot appears in the two checks above, that is why.</t>
        </is>
      </c>
    </row>
    <row r="38">
      <c r="A38" s="261" t="inlineStr">
        <is>
          <t>on file, on no certificate</t>
        </is>
      </c>
      <c r="B38" s="256" t="inlineStr">
        <is>
          <t>GP072501-1</t>
        </is>
      </c>
      <c r="C38" s="256" t="inlineStr">
        <is>
          <t>P050292</t>
        </is>
      </c>
      <c r="D38" s="256" t="inlineStr"/>
      <c r="E38" s="256" t="inlineStr">
        <is>
          <t>UKIM CNP potency</t>
        </is>
      </c>
      <c r="F38" s="256" t="inlineStr"/>
      <c r="G38" s="256" t="inlineStr">
        <is>
          <t>4</t>
        </is>
      </c>
      <c r="H38" s="256" t="inlineStr">
        <is>
          <t>Total Δ9-THC</t>
        </is>
      </c>
      <c r="I38" s="256" t="inlineStr"/>
      <c r="J38" s="256" t="inlineStr"/>
      <c r="K38" s="256" t="inlineStr"/>
      <c r="L38" s="256" t="inlineStr">
        <is>
          <t>21.36</t>
        </is>
      </c>
      <c r="M38" s="256" t="inlineStr">
        <is>
          <t>PP CoA #018 / ППК25378</t>
        </is>
      </c>
      <c r="N38" s="256" t="inlineStr">
        <is>
          <t>21.01.2026</t>
        </is>
      </c>
      <c r="O38" s="256" t="inlineStr">
        <is>
          <t>UKIM Faculty of Pharmacy — Center for Natural Products</t>
        </is>
      </c>
      <c r="P38" s="261" t="inlineStr">
        <is>
          <t>For information. This result is in the release register and on the tracker; no certificate of quality for the lot cites it. Where the lot appears in the two checks above, that is why.</t>
        </is>
      </c>
    </row>
    <row r="39">
      <c r="A39" s="261" t="inlineStr">
        <is>
          <t>on file, on no certificate</t>
        </is>
      </c>
      <c r="B39" s="256" t="inlineStr">
        <is>
          <t>GP072501-1</t>
        </is>
      </c>
      <c r="C39" s="256" t="inlineStr">
        <is>
          <t>P050292</t>
        </is>
      </c>
      <c r="D39" s="256" t="inlineStr"/>
      <c r="E39" s="256" t="inlineStr">
        <is>
          <t>UKIM CNP potency</t>
        </is>
      </c>
      <c r="F39" s="256" t="inlineStr"/>
      <c r="G39" s="256" t="inlineStr">
        <is>
          <t>5</t>
        </is>
      </c>
      <c r="H39" s="256" t="inlineStr">
        <is>
          <t>Total CBD</t>
        </is>
      </c>
      <c r="I39" s="256" t="inlineStr"/>
      <c r="J39" s="256" t="inlineStr"/>
      <c r="K39" s="256" t="inlineStr"/>
      <c r="L39" s="256" t="inlineStr">
        <is>
          <t>0.11</t>
        </is>
      </c>
      <c r="M39" s="256" t="inlineStr">
        <is>
          <t>PP CoA #018 / ППК25378</t>
        </is>
      </c>
      <c r="N39" s="256" t="inlineStr">
        <is>
          <t>21.01.2026</t>
        </is>
      </c>
      <c r="O39" s="256" t="inlineStr">
        <is>
          <t>UKIM Faculty of Pharmacy — Center for Natural Products</t>
        </is>
      </c>
      <c r="P39" s="261" t="inlineStr">
        <is>
          <t>For information. This result is in the release register and on the tracker; no certificate of quality for the lot cites it. Where the lot appears in the two checks above, that is why.</t>
        </is>
      </c>
    </row>
    <row r="40">
      <c r="A40" s="261" t="inlineStr">
        <is>
          <t>on file, on no certificate</t>
        </is>
      </c>
      <c r="B40" s="256" t="inlineStr">
        <is>
          <t>GP072501-1</t>
        </is>
      </c>
      <c r="C40" s="256" t="inlineStr">
        <is>
          <t>P050292</t>
        </is>
      </c>
      <c r="D40" s="256" t="inlineStr"/>
      <c r="E40" s="256" t="inlineStr">
        <is>
          <t>UKIM CNP potency</t>
        </is>
      </c>
      <c r="F40" s="256" t="inlineStr"/>
      <c r="G40" s="256" t="inlineStr">
        <is>
          <t>8</t>
        </is>
      </c>
      <c r="H40" s="256" t="inlineStr">
        <is>
          <t>Loss on drying</t>
        </is>
      </c>
      <c r="I40" s="256" t="inlineStr"/>
      <c r="J40" s="256" t="inlineStr"/>
      <c r="K40" s="256" t="inlineStr"/>
      <c r="L40" s="256" t="inlineStr">
        <is>
          <t>6.62</t>
        </is>
      </c>
      <c r="M40" s="256" t="inlineStr">
        <is>
          <t>PP CoA #018 / ППК25378</t>
        </is>
      </c>
      <c r="N40" s="256" t="inlineStr">
        <is>
          <t>21.01.2026</t>
        </is>
      </c>
      <c r="O40" s="256" t="inlineStr">
        <is>
          <t>UKIM Faculty of Pharmacy — Center for Natural Products</t>
        </is>
      </c>
      <c r="P40" s="261" t="inlineStr">
        <is>
          <t>For information. This result is in the release register and on the tracker; no certificate of quality for the lot cites it. Where the lot appears in the two checks above, that is why.</t>
        </is>
      </c>
    </row>
    <row r="41">
      <c r="A41" s="261" t="inlineStr">
        <is>
          <t>on file, on no certificate</t>
        </is>
      </c>
      <c r="B41" s="256" t="inlineStr">
        <is>
          <t>GP072501-2</t>
        </is>
      </c>
      <c r="C41" s="256" t="inlineStr">
        <is>
          <t>P050302</t>
        </is>
      </c>
      <c r="D41" s="256" t="inlineStr"/>
      <c r="E41" s="256" t="inlineStr">
        <is>
          <t>UKIM CNP potency</t>
        </is>
      </c>
      <c r="F41" s="256" t="inlineStr"/>
      <c r="G41" s="256" t="inlineStr">
        <is>
          <t>4</t>
        </is>
      </c>
      <c r="H41" s="256" t="inlineStr">
        <is>
          <t>Total Δ9-THC</t>
        </is>
      </c>
      <c r="I41" s="256" t="inlineStr"/>
      <c r="J41" s="256" t="inlineStr"/>
      <c r="K41" s="256" t="inlineStr"/>
      <c r="L41" s="256" t="inlineStr">
        <is>
          <t>19.81</t>
        </is>
      </c>
      <c r="M41" s="256" t="inlineStr">
        <is>
          <t>PP CoA #019 / ППК25379</t>
        </is>
      </c>
      <c r="N41" s="256" t="inlineStr">
        <is>
          <t>21.01.2026</t>
        </is>
      </c>
      <c r="O41" s="256" t="inlineStr">
        <is>
          <t>UKIM Faculty of Pharmacy — Center for Natural Products</t>
        </is>
      </c>
      <c r="P41" s="261" t="inlineStr">
        <is>
          <t>For information. This result is in the release register and on the tracker; no certificate of quality for the lot cites it. Where the lot appears in the two checks above, that is why.</t>
        </is>
      </c>
    </row>
    <row r="42">
      <c r="A42" s="261" t="inlineStr">
        <is>
          <t>on file, on no certificate</t>
        </is>
      </c>
      <c r="B42" s="256" t="inlineStr">
        <is>
          <t>GP072501-2</t>
        </is>
      </c>
      <c r="C42" s="256" t="inlineStr">
        <is>
          <t>P050302</t>
        </is>
      </c>
      <c r="D42" s="256" t="inlineStr"/>
      <c r="E42" s="256" t="inlineStr">
        <is>
          <t>UKIM CNP potency</t>
        </is>
      </c>
      <c r="F42" s="256" t="inlineStr"/>
      <c r="G42" s="256" t="inlineStr">
        <is>
          <t>5</t>
        </is>
      </c>
      <c r="H42" s="256" t="inlineStr">
        <is>
          <t>Total CBD</t>
        </is>
      </c>
      <c r="I42" s="256" t="inlineStr"/>
      <c r="J42" s="256" t="inlineStr"/>
      <c r="K42" s="256" t="inlineStr"/>
      <c r="L42" s="256" t="inlineStr">
        <is>
          <t>0.10</t>
        </is>
      </c>
      <c r="M42" s="256" t="inlineStr">
        <is>
          <t>PP CoA #019 / ППК25379</t>
        </is>
      </c>
      <c r="N42" s="256" t="inlineStr">
        <is>
          <t>21.01.2026</t>
        </is>
      </c>
      <c r="O42" s="256" t="inlineStr">
        <is>
          <t>UKIM Faculty of Pharmacy — Center for Natural Products</t>
        </is>
      </c>
      <c r="P42" s="261" t="inlineStr">
        <is>
          <t>For information. This result is in the release register and on the tracker; no certificate of quality for the lot cites it. Where the lot appears in the two checks above, that is why.</t>
        </is>
      </c>
    </row>
    <row r="43">
      <c r="A43" s="261" t="inlineStr">
        <is>
          <t>on file, on no certificate</t>
        </is>
      </c>
      <c r="B43" s="256" t="inlineStr">
        <is>
          <t>GP072501-2</t>
        </is>
      </c>
      <c r="C43" s="256" t="inlineStr">
        <is>
          <t>P050302</t>
        </is>
      </c>
      <c r="D43" s="256" t="inlineStr"/>
      <c r="E43" s="256" t="inlineStr">
        <is>
          <t>UKIM CNP potency</t>
        </is>
      </c>
      <c r="F43" s="256" t="inlineStr"/>
      <c r="G43" s="256" t="inlineStr">
        <is>
          <t>8</t>
        </is>
      </c>
      <c r="H43" s="256" t="inlineStr">
        <is>
          <t>Loss on drying</t>
        </is>
      </c>
      <c r="I43" s="256" t="inlineStr"/>
      <c r="J43" s="256" t="inlineStr"/>
      <c r="K43" s="256" t="inlineStr"/>
      <c r="L43" s="256" t="inlineStr">
        <is>
          <t>7.41</t>
        </is>
      </c>
      <c r="M43" s="256" t="inlineStr">
        <is>
          <t>PP CoA #019 / ППК25379</t>
        </is>
      </c>
      <c r="N43" s="256" t="inlineStr">
        <is>
          <t>21.01.2026</t>
        </is>
      </c>
      <c r="O43" s="256" t="inlineStr">
        <is>
          <t>UKIM Faculty of Pharmacy — Center for Natural Products</t>
        </is>
      </c>
      <c r="P43" s="261" t="inlineStr">
        <is>
          <t>For information. This result is in the release register and on the tracker; no certificate of quality for the lot cites it. Where the lot appears in the two checks above, that is why.</t>
        </is>
      </c>
    </row>
    <row r="44">
      <c r="A44" s="261" t="inlineStr">
        <is>
          <t>on file, on no certificate</t>
        </is>
      </c>
      <c r="B44" s="256" t="inlineStr">
        <is>
          <t>GP0824_02</t>
        </is>
      </c>
      <c r="C44" s="256" t="inlineStr">
        <is>
          <t>P050022</t>
        </is>
      </c>
      <c r="D44" s="256" t="inlineStr"/>
      <c r="E44" s="256" t="inlineStr">
        <is>
          <t>UKIM CNP potency</t>
        </is>
      </c>
      <c r="F44" s="256" t="inlineStr"/>
      <c r="G44" s="256" t="inlineStr">
        <is>
          <t>4</t>
        </is>
      </c>
      <c r="H44" s="256" t="inlineStr">
        <is>
          <t>Total Δ9-THC</t>
        </is>
      </c>
      <c r="I44" s="256" t="inlineStr"/>
      <c r="J44" s="256" t="inlineStr"/>
      <c r="K44" s="256" t="inlineStr"/>
      <c r="L44" s="256" t="inlineStr">
        <is>
          <t>23.19</t>
        </is>
      </c>
      <c r="M44" s="256" t="inlineStr">
        <is>
          <t>ППК25174</t>
        </is>
      </c>
      <c r="N44" s="256" t="inlineStr">
        <is>
          <t>10.07.2025</t>
        </is>
      </c>
      <c r="O44" s="256" t="inlineStr">
        <is>
          <t>UKIM Faculty of Pharmacy — Center for Natural Products</t>
        </is>
      </c>
      <c r="P44" s="261" t="inlineStr">
        <is>
          <t>For information. This result is in the release register and on the tracker; no certificate of quality for the lot cites it. Where the lot appears in the two checks above, that is why.</t>
        </is>
      </c>
    </row>
    <row r="45">
      <c r="A45" s="261" t="inlineStr">
        <is>
          <t>on file, on no certificate</t>
        </is>
      </c>
      <c r="B45" s="256" t="inlineStr">
        <is>
          <t>GP0824_02</t>
        </is>
      </c>
      <c r="C45" s="256" t="inlineStr">
        <is>
          <t>P050022</t>
        </is>
      </c>
      <c r="D45" s="256" t="inlineStr"/>
      <c r="E45" s="256" t="inlineStr">
        <is>
          <t>UKIM CNP potency</t>
        </is>
      </c>
      <c r="F45" s="256" t="inlineStr"/>
      <c r="G45" s="256" t="inlineStr">
        <is>
          <t>5</t>
        </is>
      </c>
      <c r="H45" s="256" t="inlineStr">
        <is>
          <t>Total CBD</t>
        </is>
      </c>
      <c r="I45" s="256" t="inlineStr"/>
      <c r="J45" s="256" t="inlineStr"/>
      <c r="K45" s="256" t="inlineStr"/>
      <c r="L45" s="256" t="inlineStr">
        <is>
          <t>0.07</t>
        </is>
      </c>
      <c r="M45" s="256" t="inlineStr">
        <is>
          <t>ППК25174</t>
        </is>
      </c>
      <c r="N45" s="256" t="inlineStr">
        <is>
          <t>10.07.2025</t>
        </is>
      </c>
      <c r="O45" s="256" t="inlineStr">
        <is>
          <t>UKIM Faculty of Pharmacy — Center for Natural Products</t>
        </is>
      </c>
      <c r="P45" s="261" t="inlineStr">
        <is>
          <t>For information. This result is in the release register and on the tracker; no certificate of quality for the lot cites it. Where the lot appears in the two checks above, that is why.</t>
        </is>
      </c>
    </row>
    <row r="46">
      <c r="A46" s="261" t="inlineStr">
        <is>
          <t>on file, on no certificate</t>
        </is>
      </c>
      <c r="B46" s="256" t="inlineStr">
        <is>
          <t>GP0824_02</t>
        </is>
      </c>
      <c r="C46" s="256" t="inlineStr">
        <is>
          <t>P050022</t>
        </is>
      </c>
      <c r="D46" s="256" t="inlineStr"/>
      <c r="E46" s="256" t="inlineStr">
        <is>
          <t>UKIM CNP potency</t>
        </is>
      </c>
      <c r="F46" s="256" t="inlineStr"/>
      <c r="G46" s="256" t="inlineStr">
        <is>
          <t>8</t>
        </is>
      </c>
      <c r="H46" s="256" t="inlineStr">
        <is>
          <t>Loss on drying</t>
        </is>
      </c>
      <c r="I46" s="256" t="inlineStr"/>
      <c r="J46" s="256" t="inlineStr"/>
      <c r="K46" s="256" t="inlineStr"/>
      <c r="L46" s="256" t="inlineStr">
        <is>
          <t>6.51</t>
        </is>
      </c>
      <c r="M46" s="256" t="inlineStr">
        <is>
          <t>ППК25174</t>
        </is>
      </c>
      <c r="N46" s="256" t="inlineStr">
        <is>
          <t>10.07.2025</t>
        </is>
      </c>
      <c r="O46" s="256" t="inlineStr">
        <is>
          <t>UKIM Faculty of Pharmacy — Center for Natural Products</t>
        </is>
      </c>
      <c r="P46" s="261" t="inlineStr">
        <is>
          <t>For information. This result is in the release register and on the tracker; no certificate of quality for the lot cites it. Where the lot appears in the two checks above, that is why.</t>
        </is>
      </c>
    </row>
    <row r="47">
      <c r="A47" s="261" t="inlineStr">
        <is>
          <t>on file, on no certificate</t>
        </is>
      </c>
      <c r="B47" s="256" t="inlineStr">
        <is>
          <t>GP0824_02</t>
        </is>
      </c>
      <c r="C47" s="256" t="inlineStr">
        <is>
          <t>P050022</t>
        </is>
      </c>
      <c r="D47" s="256" t="inlineStr"/>
      <c r="E47" s="256" t="inlineStr">
        <is>
          <t>IPH mycotoxins, metals, pesticides</t>
        </is>
      </c>
      <c r="F47" s="256" t="inlineStr"/>
      <c r="G47" s="256" t="inlineStr">
        <is>
          <t>10.2</t>
        </is>
      </c>
      <c r="H47" s="256" t="inlineStr">
        <is>
          <t>Aflatoxins Σ</t>
        </is>
      </c>
      <c r="I47" s="256" t="inlineStr"/>
      <c r="J47" s="256" t="inlineStr"/>
      <c r="K47" s="256" t="inlineStr"/>
      <c r="L47" s="256" t="inlineStr">
        <is>
          <t>&lt;2</t>
        </is>
      </c>
      <c r="M47" s="256" t="inlineStr">
        <is>
          <t>3176/2025</t>
        </is>
      </c>
      <c r="N47" s="256" t="inlineStr">
        <is>
          <t>26.06.2025</t>
        </is>
      </c>
      <c r="O47" s="256" t="inlineStr">
        <is>
          <t>IPH — Institute of Public Health</t>
        </is>
      </c>
      <c r="P47" s="261" t="inlineStr">
        <is>
          <t>For information. This result is in the release register and on the tracker; no certificate of quality for the lot cites it. Where the lot appears in the two checks above, that is why.</t>
        </is>
      </c>
    </row>
    <row r="48">
      <c r="A48" s="261" t="inlineStr">
        <is>
          <t>on file, on no certificate</t>
        </is>
      </c>
      <c r="B48" s="256" t="inlineStr">
        <is>
          <t>GP082501-1</t>
        </is>
      </c>
      <c r="C48" s="256" t="inlineStr">
        <is>
          <t>P050312</t>
        </is>
      </c>
      <c r="D48" s="256" t="inlineStr"/>
      <c r="E48" s="256" t="inlineStr">
        <is>
          <t>UKIM CNP potency</t>
        </is>
      </c>
      <c r="F48" s="256" t="inlineStr"/>
      <c r="G48" s="256" t="inlineStr">
        <is>
          <t>4</t>
        </is>
      </c>
      <c r="H48" s="256" t="inlineStr">
        <is>
          <t>Total Δ9-THC</t>
        </is>
      </c>
      <c r="I48" s="256" t="inlineStr"/>
      <c r="J48" s="256" t="inlineStr"/>
      <c r="K48" s="256" t="inlineStr"/>
      <c r="L48" s="256" t="inlineStr">
        <is>
          <t>21.29</t>
        </is>
      </c>
      <c r="M48" s="256" t="inlineStr">
        <is>
          <t>PP CoA #020 / ППК25380</t>
        </is>
      </c>
      <c r="N48" s="256" t="inlineStr">
        <is>
          <t>21.01.2026</t>
        </is>
      </c>
      <c r="O48" s="256" t="inlineStr">
        <is>
          <t>UKIM Faculty of Pharmacy — Center for Natural Products</t>
        </is>
      </c>
      <c r="P48" s="261" t="inlineStr">
        <is>
          <t>For information. This result is in the release register and on the tracker; no certificate of quality for the lot cites it. Where the lot appears in the two checks above, that is why.</t>
        </is>
      </c>
    </row>
    <row r="49">
      <c r="A49" s="261" t="inlineStr">
        <is>
          <t>on file, on no certificate</t>
        </is>
      </c>
      <c r="B49" s="256" t="inlineStr">
        <is>
          <t>GP082501-1</t>
        </is>
      </c>
      <c r="C49" s="256" t="inlineStr">
        <is>
          <t>P050312</t>
        </is>
      </c>
      <c r="D49" s="256" t="inlineStr"/>
      <c r="E49" s="256" t="inlineStr">
        <is>
          <t>UKIM CNP potency</t>
        </is>
      </c>
      <c r="F49" s="256" t="inlineStr"/>
      <c r="G49" s="256" t="inlineStr">
        <is>
          <t>5</t>
        </is>
      </c>
      <c r="H49" s="256" t="inlineStr">
        <is>
          <t>Total CBD</t>
        </is>
      </c>
      <c r="I49" s="256" t="inlineStr"/>
      <c r="J49" s="256" t="inlineStr"/>
      <c r="K49" s="256" t="inlineStr"/>
      <c r="L49" s="256" t="inlineStr">
        <is>
          <t>0.08</t>
        </is>
      </c>
      <c r="M49" s="256" t="inlineStr">
        <is>
          <t>PP CoA #020 / ППК25380</t>
        </is>
      </c>
      <c r="N49" s="256" t="inlineStr">
        <is>
          <t>21.01.2026</t>
        </is>
      </c>
      <c r="O49" s="256" t="inlineStr">
        <is>
          <t>UKIM Faculty of Pharmacy — Center for Natural Products</t>
        </is>
      </c>
      <c r="P49" s="261" t="inlineStr">
        <is>
          <t>For information. This result is in the release register and on the tracker; no certificate of quality for the lot cites it. Where the lot appears in the two checks above, that is why.</t>
        </is>
      </c>
    </row>
    <row r="50">
      <c r="A50" s="261" t="inlineStr">
        <is>
          <t>on file, on no certificate</t>
        </is>
      </c>
      <c r="B50" s="256" t="inlineStr">
        <is>
          <t>GP082501-1</t>
        </is>
      </c>
      <c r="C50" s="256" t="inlineStr">
        <is>
          <t>P050312</t>
        </is>
      </c>
      <c r="D50" s="256" t="inlineStr"/>
      <c r="E50" s="256" t="inlineStr">
        <is>
          <t>UKIM CNP potency</t>
        </is>
      </c>
      <c r="F50" s="256" t="inlineStr"/>
      <c r="G50" s="256" t="inlineStr">
        <is>
          <t>8</t>
        </is>
      </c>
      <c r="H50" s="256" t="inlineStr">
        <is>
          <t>Loss on drying</t>
        </is>
      </c>
      <c r="I50" s="256" t="inlineStr"/>
      <c r="J50" s="256" t="inlineStr"/>
      <c r="K50" s="256" t="inlineStr"/>
      <c r="L50" s="256" t="inlineStr">
        <is>
          <t>6.29</t>
        </is>
      </c>
      <c r="M50" s="256" t="inlineStr">
        <is>
          <t>PP CoA #020 / ППК25380</t>
        </is>
      </c>
      <c r="N50" s="256" t="inlineStr">
        <is>
          <t>21.01.2026</t>
        </is>
      </c>
      <c r="O50" s="256" t="inlineStr">
        <is>
          <t>UKIM Faculty of Pharmacy — Center for Natural Products</t>
        </is>
      </c>
      <c r="P50" s="261" t="inlineStr">
        <is>
          <t>For information. This result is in the release register and on the tracker; no certificate of quality for the lot cites it. Where the lot appears in the two checks above, that is why.</t>
        </is>
      </c>
    </row>
    <row r="51">
      <c r="A51" s="261" t="inlineStr">
        <is>
          <t>on file, on no certificate</t>
        </is>
      </c>
      <c r="B51" s="256" t="inlineStr">
        <is>
          <t>GP082501-2</t>
        </is>
      </c>
      <c r="C51" s="256" t="inlineStr">
        <is>
          <t>P050322</t>
        </is>
      </c>
      <c r="D51" s="256" t="inlineStr"/>
      <c r="E51" s="256" t="inlineStr">
        <is>
          <t>UKIM CNP potency</t>
        </is>
      </c>
      <c r="F51" s="256" t="inlineStr"/>
      <c r="G51" s="256" t="inlineStr">
        <is>
          <t>4</t>
        </is>
      </c>
      <c r="H51" s="256" t="inlineStr">
        <is>
          <t>Total Δ9-THC</t>
        </is>
      </c>
      <c r="I51" s="256" t="inlineStr"/>
      <c r="J51" s="256" t="inlineStr"/>
      <c r="K51" s="256" t="inlineStr"/>
      <c r="L51" s="256" t="inlineStr">
        <is>
          <t>14.83</t>
        </is>
      </c>
      <c r="M51" s="256" t="inlineStr">
        <is>
          <t>PP CoA #021 / ППК25381</t>
        </is>
      </c>
      <c r="N51" s="256" t="inlineStr">
        <is>
          <t>21.01.2026</t>
        </is>
      </c>
      <c r="O51" s="256" t="inlineStr">
        <is>
          <t>UKIM Faculty of Pharmacy — Center for Natural Products</t>
        </is>
      </c>
      <c r="P51" s="261" t="inlineStr">
        <is>
          <t>For information. This result is in the release register and on the tracker; no certificate of quality for the lot cites it. Where the lot appears in the two checks above, that is why.</t>
        </is>
      </c>
    </row>
    <row r="52">
      <c r="A52" s="261" t="inlineStr">
        <is>
          <t>on file, on no certificate</t>
        </is>
      </c>
      <c r="B52" s="256" t="inlineStr">
        <is>
          <t>GP082501-2</t>
        </is>
      </c>
      <c r="C52" s="256" t="inlineStr">
        <is>
          <t>P050322</t>
        </is>
      </c>
      <c r="D52" s="256" t="inlineStr"/>
      <c r="E52" s="256" t="inlineStr">
        <is>
          <t>UKIM CNP potency</t>
        </is>
      </c>
      <c r="F52" s="256" t="inlineStr"/>
      <c r="G52" s="256" t="inlineStr">
        <is>
          <t>5</t>
        </is>
      </c>
      <c r="H52" s="256" t="inlineStr">
        <is>
          <t>Total CBD</t>
        </is>
      </c>
      <c r="I52" s="256" t="inlineStr"/>
      <c r="J52" s="256" t="inlineStr"/>
      <c r="K52" s="256" t="inlineStr"/>
      <c r="L52" s="256" t="inlineStr">
        <is>
          <t>0.11</t>
        </is>
      </c>
      <c r="M52" s="256" t="inlineStr">
        <is>
          <t>PP CoA #021 / ППК25381</t>
        </is>
      </c>
      <c r="N52" s="256" t="inlineStr">
        <is>
          <t>21.01.2026</t>
        </is>
      </c>
      <c r="O52" s="256" t="inlineStr">
        <is>
          <t>UKIM Faculty of Pharmacy — Center for Natural Products</t>
        </is>
      </c>
      <c r="P52" s="261" t="inlineStr">
        <is>
          <t>For information. This result is in the release register and on the tracker; no certificate of quality for the lot cites it. Where the lot appears in the two checks above, that is why.</t>
        </is>
      </c>
    </row>
    <row r="53">
      <c r="A53" s="261" t="inlineStr">
        <is>
          <t>on file, on no certificate</t>
        </is>
      </c>
      <c r="B53" s="256" t="inlineStr">
        <is>
          <t>GP082501-2</t>
        </is>
      </c>
      <c r="C53" s="256" t="inlineStr">
        <is>
          <t>P050322</t>
        </is>
      </c>
      <c r="D53" s="256" t="inlineStr"/>
      <c r="E53" s="256" t="inlineStr">
        <is>
          <t>UKIM CNP potency</t>
        </is>
      </c>
      <c r="F53" s="256" t="inlineStr"/>
      <c r="G53" s="256" t="inlineStr">
        <is>
          <t>8</t>
        </is>
      </c>
      <c r="H53" s="256" t="inlineStr">
        <is>
          <t>Loss on drying</t>
        </is>
      </c>
      <c r="I53" s="256" t="inlineStr"/>
      <c r="J53" s="256" t="inlineStr"/>
      <c r="K53" s="256" t="inlineStr"/>
      <c r="L53" s="256" t="inlineStr">
        <is>
          <t>6.88</t>
        </is>
      </c>
      <c r="M53" s="256" t="inlineStr">
        <is>
          <t>PP CoA #021 / ППК25381</t>
        </is>
      </c>
      <c r="N53" s="256" t="inlineStr">
        <is>
          <t>21.01.2026</t>
        </is>
      </c>
      <c r="O53" s="256" t="inlineStr">
        <is>
          <t>UKIM Faculty of Pharmacy — Center for Natural Products</t>
        </is>
      </c>
      <c r="P53" s="261" t="inlineStr">
        <is>
          <t>For information. This result is in the release register and on the tracker; no certificate of quality for the lot cites it. Where the lot appears in the two checks above, that is why.</t>
        </is>
      </c>
    </row>
    <row r="54">
      <c r="A54" s="261" t="inlineStr">
        <is>
          <t>on file, on no certificate</t>
        </is>
      </c>
      <c r="B54" s="256" t="inlineStr">
        <is>
          <t>GRC102501-2</t>
        </is>
      </c>
      <c r="C54" s="256" t="inlineStr"/>
      <c r="D54" s="256" t="inlineStr"/>
      <c r="E54" s="256" t="inlineStr">
        <is>
          <t>IPH microbiology</t>
        </is>
      </c>
      <c r="F54" s="256" t="inlineStr"/>
      <c r="G54" s="256" t="inlineStr">
        <is>
          <t>9.2</t>
        </is>
      </c>
      <c r="H54" s="256" t="inlineStr">
        <is>
          <t>TYMC</t>
        </is>
      </c>
      <c r="I54" s="256" t="inlineStr"/>
      <c r="J54" s="256" t="inlineStr"/>
      <c r="K54" s="256" t="inlineStr"/>
      <c r="L54" s="256" t="inlineStr">
        <is>
          <t>1×10²</t>
        </is>
      </c>
      <c r="M54" s="256" t="inlineStr">
        <is>
          <t>76/0119/26</t>
        </is>
      </c>
      <c r="N54" s="256" t="inlineStr">
        <is>
          <t>09.02.2026</t>
        </is>
      </c>
      <c r="O54" s="256" t="inlineStr">
        <is>
          <t>IPH — Institute of Public Health</t>
        </is>
      </c>
      <c r="P54" s="261" t="inlineStr">
        <is>
          <t>For information. This result is in the release register and on the tracker; no certificate of quality for the lot cites it. Where the lot appears in the two checks above, that is why.</t>
        </is>
      </c>
    </row>
    <row r="55">
      <c r="A55" s="261" t="inlineStr">
        <is>
          <t>on file, on no certificate</t>
        </is>
      </c>
      <c r="B55" s="256" t="inlineStr">
        <is>
          <t>GRC102501-2</t>
        </is>
      </c>
      <c r="C55" s="256" t="inlineStr"/>
      <c r="D55" s="256" t="inlineStr"/>
      <c r="E55" s="256" t="inlineStr">
        <is>
          <t>IPH microbiology</t>
        </is>
      </c>
      <c r="F55" s="256" t="inlineStr"/>
      <c r="G55" s="256" t="inlineStr">
        <is>
          <t>9.3</t>
        </is>
      </c>
      <c r="H55" s="256" t="inlineStr">
        <is>
          <t>Bile-tolerant GNB</t>
        </is>
      </c>
      <c r="I55" s="256" t="inlineStr"/>
      <c r="J55" s="256" t="inlineStr"/>
      <c r="K55" s="256" t="inlineStr"/>
      <c r="L55" s="256" t="inlineStr">
        <is>
          <t>&lt; 10</t>
        </is>
      </c>
      <c r="M55" s="256" t="inlineStr">
        <is>
          <t>76/0119/26</t>
        </is>
      </c>
      <c r="N55" s="256" t="inlineStr">
        <is>
          <t>09.02.2026</t>
        </is>
      </c>
      <c r="O55" s="256" t="inlineStr">
        <is>
          <t>IPH — Institute of Public Health</t>
        </is>
      </c>
      <c r="P55" s="261" t="inlineStr">
        <is>
          <t>For information. This result is in the release register and on the tracker; no certificate of quality for the lot cites it. Where the lot appears in the two checks above, that is why.</t>
        </is>
      </c>
    </row>
    <row r="56">
      <c r="A56" s="261" t="inlineStr">
        <is>
          <t>on file, on no certificate</t>
        </is>
      </c>
      <c r="B56" s="256" t="inlineStr">
        <is>
          <t>GRC102501-2</t>
        </is>
      </c>
      <c r="C56" s="256" t="inlineStr"/>
      <c r="D56" s="256" t="inlineStr"/>
      <c r="E56" s="256" t="inlineStr">
        <is>
          <t>IPH microbiology</t>
        </is>
      </c>
      <c r="F56" s="256" t="inlineStr"/>
      <c r="G56" s="256" t="inlineStr">
        <is>
          <t>9.4</t>
        </is>
      </c>
      <c r="H56" s="256" t="inlineStr">
        <is>
          <t>Salmonella</t>
        </is>
      </c>
      <c r="I56" s="256" t="inlineStr"/>
      <c r="J56" s="256" t="inlineStr"/>
      <c r="K56" s="256" t="inlineStr"/>
      <c r="L56" s="256" t="inlineStr">
        <is>
          <t>Одговара (absent)</t>
        </is>
      </c>
      <c r="M56" s="256" t="inlineStr">
        <is>
          <t>76/0119/26</t>
        </is>
      </c>
      <c r="N56" s="256" t="inlineStr">
        <is>
          <t>09.02.2026</t>
        </is>
      </c>
      <c r="O56" s="256" t="inlineStr">
        <is>
          <t>IPH — Institute of Public Health</t>
        </is>
      </c>
      <c r="P56" s="261" t="inlineStr">
        <is>
          <t>For information. This result is in the release register and on the tracker; no certificate of quality for the lot cites it. Where the lot appears in the two checks above, that is why.</t>
        </is>
      </c>
    </row>
    <row r="57">
      <c r="A57" s="261" t="inlineStr">
        <is>
          <t>on file, on no certificate</t>
        </is>
      </c>
      <c r="B57" s="256" t="inlineStr">
        <is>
          <t>GRC102501-2</t>
        </is>
      </c>
      <c r="C57" s="256" t="inlineStr"/>
      <c r="D57" s="256" t="inlineStr"/>
      <c r="E57" s="256" t="inlineStr">
        <is>
          <t>IPH microbiology</t>
        </is>
      </c>
      <c r="F57" s="256" t="inlineStr"/>
      <c r="G57" s="256" t="inlineStr">
        <is>
          <t>9.5</t>
        </is>
      </c>
      <c r="H57" s="256" t="inlineStr">
        <is>
          <t>E. coli</t>
        </is>
      </c>
      <c r="I57" s="256" t="inlineStr"/>
      <c r="J57" s="256" t="inlineStr"/>
      <c r="K57" s="256" t="inlineStr"/>
      <c r="L57" s="256" t="inlineStr">
        <is>
          <t>Одговара (absent)</t>
        </is>
      </c>
      <c r="M57" s="256" t="inlineStr">
        <is>
          <t>76/0119/26</t>
        </is>
      </c>
      <c r="N57" s="256" t="inlineStr">
        <is>
          <t>09.02.2026</t>
        </is>
      </c>
      <c r="O57" s="256" t="inlineStr">
        <is>
          <t>IPH — Institute of Public Health</t>
        </is>
      </c>
      <c r="P57" s="261" t="inlineStr">
        <is>
          <t>For information. This result is in the release register and on the tracker; no certificate of quality for the lot cites it. Where the lot appears in the two checks above, that is why.</t>
        </is>
      </c>
    </row>
    <row r="58">
      <c r="A58" s="261" t="inlineStr">
        <is>
          <t>on file, on no certificate</t>
        </is>
      </c>
      <c r="B58" s="256" t="inlineStr">
        <is>
          <t>GRC102501-2</t>
        </is>
      </c>
      <c r="C58" s="256" t="inlineStr"/>
      <c r="D58" s="256" t="inlineStr"/>
      <c r="E58" s="256" t="inlineStr">
        <is>
          <t>IPH mycotoxins, metals, pesticides</t>
        </is>
      </c>
      <c r="F58" s="256" t="inlineStr"/>
      <c r="G58" s="256" t="inlineStr">
        <is>
          <t>10.2</t>
        </is>
      </c>
      <c r="H58" s="256" t="inlineStr">
        <is>
          <t>Aflatoxins Σ</t>
        </is>
      </c>
      <c r="I58" s="256" t="inlineStr"/>
      <c r="J58" s="256" t="inlineStr"/>
      <c r="K58" s="256" t="inlineStr"/>
      <c r="L58" s="256" t="inlineStr">
        <is>
          <t>&lt;2</t>
        </is>
      </c>
      <c r="M58" s="256" t="inlineStr">
        <is>
          <t>1060/2026</t>
        </is>
      </c>
      <c r="N58" s="256" t="inlineStr">
        <is>
          <t>09.03.2026</t>
        </is>
      </c>
      <c r="O58" s="256" t="inlineStr">
        <is>
          <t>IPH — Institute of Public Health</t>
        </is>
      </c>
      <c r="P58" s="261" t="inlineStr">
        <is>
          <t>For information. This result is in the release register and on the tracker; no certificate of quality for the lot cites it. Where the lot appears in the two checks above, that is why.</t>
        </is>
      </c>
    </row>
    <row r="59">
      <c r="A59" s="261" t="inlineStr">
        <is>
          <t>on file, on no certificate</t>
        </is>
      </c>
      <c r="B59" s="256" t="inlineStr">
        <is>
          <t>HPA1024</t>
        </is>
      </c>
      <c r="C59" s="256" t="inlineStr"/>
      <c r="D59" s="256" t="inlineStr"/>
      <c r="E59" s="256" t="inlineStr">
        <is>
          <t>Purely Plant in-house</t>
        </is>
      </c>
      <c r="F59" s="256" t="inlineStr"/>
      <c r="G59" s="256" t="inlineStr">
        <is>
          <t>10.2</t>
        </is>
      </c>
      <c r="H59" s="256" t="inlineStr">
        <is>
          <t>Aflatoxins Σ</t>
        </is>
      </c>
      <c r="I59" s="256" t="inlineStr"/>
      <c r="J59" s="256" t="inlineStr"/>
      <c r="K59" s="256" t="inlineStr"/>
      <c r="L59" s="256" t="inlineStr">
        <is>
          <t>&lt; 2</t>
        </is>
      </c>
      <c r="M59" s="256" t="inlineStr">
        <is>
          <t>n/a — Purely Plant in-house CoA (Batch HPA1024, no certificate/report number printed)</t>
        </is>
      </c>
      <c r="N59" s="256" t="inlineStr">
        <is>
          <t>23.01.2025</t>
        </is>
      </c>
      <c r="O59" s="256" t="inlineStr">
        <is>
          <t>Purely Plant GmbH (in-house)</t>
        </is>
      </c>
      <c r="P59" s="261" t="inlineStr">
        <is>
          <t>For information. This result is in the release register and on the tracker; no certificate of quality for the lot cites it. Where the lot appears in the two checks above, that is why.</t>
        </is>
      </c>
    </row>
    <row r="60">
      <c r="A60" s="261" t="inlineStr">
        <is>
          <t>on file, on no certificate</t>
        </is>
      </c>
      <c r="B60" s="256" t="inlineStr">
        <is>
          <t>HPA1024</t>
        </is>
      </c>
      <c r="C60" s="256" t="inlineStr"/>
      <c r="D60" s="256" t="inlineStr"/>
      <c r="E60" s="256" t="inlineStr">
        <is>
          <t>Purely Plant in-house</t>
        </is>
      </c>
      <c r="F60" s="256" t="inlineStr"/>
      <c r="G60" s="256" t="inlineStr">
        <is>
          <t>11.1</t>
        </is>
      </c>
      <c r="H60" s="256" t="inlineStr">
        <is>
          <t>Pb</t>
        </is>
      </c>
      <c r="I60" s="256" t="inlineStr"/>
      <c r="J60" s="256" t="inlineStr"/>
      <c r="K60" s="256" t="inlineStr"/>
      <c r="L60" s="256" t="inlineStr">
        <is>
          <t>0.02</t>
        </is>
      </c>
      <c r="M60" s="256" t="inlineStr">
        <is>
          <t>n/a — Purely Plant in-house CoA (Batch HPA1024, no certificate/report number printed)</t>
        </is>
      </c>
      <c r="N60" s="256" t="inlineStr">
        <is>
          <t>23.01.2025</t>
        </is>
      </c>
      <c r="O60" s="256" t="inlineStr">
        <is>
          <t>Purely Plant GmbH (in-house)</t>
        </is>
      </c>
      <c r="P60" s="261" t="inlineStr">
        <is>
          <t>For information. This result is in the release register and on the tracker; no certificate of quality for the lot cites it. Where the lot appears in the two checks above, that is why.</t>
        </is>
      </c>
    </row>
    <row r="61">
      <c r="A61" s="261" t="inlineStr">
        <is>
          <t>on file, on no certificate</t>
        </is>
      </c>
      <c r="B61" s="256" t="inlineStr">
        <is>
          <t>HPA1024</t>
        </is>
      </c>
      <c r="C61" s="256" t="inlineStr"/>
      <c r="D61" s="256" t="inlineStr"/>
      <c r="E61" s="256" t="inlineStr">
        <is>
          <t>Purely Plant in-house</t>
        </is>
      </c>
      <c r="F61" s="256" t="inlineStr"/>
      <c r="G61" s="256" t="inlineStr">
        <is>
          <t>11.2</t>
        </is>
      </c>
      <c r="H61" s="256" t="inlineStr">
        <is>
          <t>Cd</t>
        </is>
      </c>
      <c r="I61" s="256" t="inlineStr"/>
      <c r="J61" s="256" t="inlineStr"/>
      <c r="K61" s="256" t="inlineStr"/>
      <c r="L61" s="256" t="inlineStr">
        <is>
          <t>0.013</t>
        </is>
      </c>
      <c r="M61" s="256" t="inlineStr">
        <is>
          <t>n/a — Purely Plant in-house CoA (Batch HPA1024, no certificate/report number printed)</t>
        </is>
      </c>
      <c r="N61" s="256" t="inlineStr">
        <is>
          <t>23.01.2025</t>
        </is>
      </c>
      <c r="O61" s="256" t="inlineStr">
        <is>
          <t>Purely Plant GmbH (in-house)</t>
        </is>
      </c>
      <c r="P61" s="261" t="inlineStr">
        <is>
          <t>For information. This result is in the release register and on the tracker; no certificate of quality for the lot cites it. Where the lot appears in the two checks above, that is why.</t>
        </is>
      </c>
    </row>
    <row r="62">
      <c r="A62" s="261" t="inlineStr">
        <is>
          <t>on file, on no certificate</t>
        </is>
      </c>
      <c r="B62" s="256" t="inlineStr">
        <is>
          <t>HPA1024</t>
        </is>
      </c>
      <c r="C62" s="256" t="inlineStr"/>
      <c r="D62" s="256" t="inlineStr"/>
      <c r="E62" s="256" t="inlineStr">
        <is>
          <t>Purely Plant in-house</t>
        </is>
      </c>
      <c r="F62" s="256" t="inlineStr"/>
      <c r="G62" s="256" t="inlineStr">
        <is>
          <t>11.3</t>
        </is>
      </c>
      <c r="H62" s="256" t="inlineStr">
        <is>
          <t>As</t>
        </is>
      </c>
      <c r="I62" s="256" t="inlineStr"/>
      <c r="J62" s="256" t="inlineStr"/>
      <c r="K62" s="256" t="inlineStr"/>
      <c r="L62" s="256" t="inlineStr">
        <is>
          <t>0.017</t>
        </is>
      </c>
      <c r="M62" s="256" t="inlineStr">
        <is>
          <t>n/a — Purely Plant in-house CoA (Batch HPA1024, no certificate/report number printed)</t>
        </is>
      </c>
      <c r="N62" s="256" t="inlineStr">
        <is>
          <t>23.01.2025</t>
        </is>
      </c>
      <c r="O62" s="256" t="inlineStr">
        <is>
          <t>Purely Plant GmbH (in-house)</t>
        </is>
      </c>
      <c r="P62" s="261" t="inlineStr">
        <is>
          <t>For information. This result is in the release register and on the tracker; no certificate of quality for the lot cites it. Where the lot appears in the two checks above, that is why.</t>
        </is>
      </c>
    </row>
    <row r="63">
      <c r="A63" s="261" t="inlineStr">
        <is>
          <t>on file, on no certificate</t>
        </is>
      </c>
      <c r="B63" s="256" t="inlineStr">
        <is>
          <t>HPA1024</t>
        </is>
      </c>
      <c r="C63" s="256" t="inlineStr"/>
      <c r="D63" s="256" t="inlineStr"/>
      <c r="E63" s="256" t="inlineStr">
        <is>
          <t>Purely Plant in-house</t>
        </is>
      </c>
      <c r="F63" s="256" t="inlineStr"/>
      <c r="G63" s="256" t="inlineStr">
        <is>
          <t>11.4</t>
        </is>
      </c>
      <c r="H63" s="256" t="inlineStr">
        <is>
          <t>Hg</t>
        </is>
      </c>
      <c r="I63" s="256" t="inlineStr"/>
      <c r="J63" s="256" t="inlineStr"/>
      <c r="K63" s="256" t="inlineStr"/>
      <c r="L63" s="256" t="inlineStr">
        <is>
          <t>0.0026</t>
        </is>
      </c>
      <c r="M63" s="256" t="inlineStr">
        <is>
          <t>n/a — Purely Plant in-house CoA (Batch HPA1024, no certificate/report number printed)</t>
        </is>
      </c>
      <c r="N63" s="256" t="inlineStr">
        <is>
          <t>23.01.2025</t>
        </is>
      </c>
      <c r="O63" s="256" t="inlineStr">
        <is>
          <t>Purely Plant GmbH (in-house)</t>
        </is>
      </c>
      <c r="P63" s="261" t="inlineStr">
        <is>
          <t>For information. This result is in the release register and on the tracker; no certificate of quality for the lot cites it. Where the lot appears in the two checks above, that is why.</t>
        </is>
      </c>
    </row>
    <row r="64">
      <c r="A64" s="261" t="inlineStr">
        <is>
          <t>on file, on no certificate</t>
        </is>
      </c>
      <c r="B64" s="256" t="inlineStr">
        <is>
          <t>HPA1024</t>
        </is>
      </c>
      <c r="C64" s="256" t="inlineStr"/>
      <c r="D64" s="256" t="inlineStr"/>
      <c r="E64" s="256" t="inlineStr">
        <is>
          <t>Purely Plant in-house</t>
        </is>
      </c>
      <c r="F64" s="256" t="inlineStr"/>
      <c r="G64" s="256" t="inlineStr">
        <is>
          <t>12</t>
        </is>
      </c>
      <c r="H64" s="256" t="inlineStr">
        <is>
          <t>Pesticides</t>
        </is>
      </c>
      <c r="I64" s="256" t="inlineStr"/>
      <c r="J64" s="256" t="inlineStr"/>
      <c r="K64" s="256" t="inlineStr"/>
      <c r="L64" s="256" t="inlineStr">
        <is>
          <t>N.D.</t>
        </is>
      </c>
      <c r="M64" s="256" t="inlineStr">
        <is>
          <t>n/a — Purely Plant in-house CoA (Batch HPA1024, no certificate/report number printed)</t>
        </is>
      </c>
      <c r="N64" s="256" t="inlineStr">
        <is>
          <t>23.01.2025</t>
        </is>
      </c>
      <c r="O64" s="256" t="inlineStr">
        <is>
          <t>Purely Plant GmbH (in-house)</t>
        </is>
      </c>
      <c r="P64" s="261" t="inlineStr">
        <is>
          <t>For information. This result is in the release register and on the tracker; no certificate of quality for the lot cites it. Where the lot appears in the two checks above, that is why.</t>
        </is>
      </c>
    </row>
    <row r="65">
      <c r="A65" s="261" t="inlineStr">
        <is>
          <t>on file, on no certificate</t>
        </is>
      </c>
      <c r="B65" s="256" t="inlineStr">
        <is>
          <t>HPA1024</t>
        </is>
      </c>
      <c r="C65" s="256" t="inlineStr"/>
      <c r="D65" s="256" t="inlineStr"/>
      <c r="E65" s="256" t="inlineStr">
        <is>
          <t>Purely Plant in-house</t>
        </is>
      </c>
      <c r="F65" s="256" t="inlineStr"/>
      <c r="G65" s="256" t="inlineStr">
        <is>
          <t>4</t>
        </is>
      </c>
      <c r="H65" s="256" t="inlineStr">
        <is>
          <t>Total Δ9-THC</t>
        </is>
      </c>
      <c r="I65" s="256" t="inlineStr"/>
      <c r="J65" s="256" t="inlineStr"/>
      <c r="K65" s="256" t="inlineStr"/>
      <c r="L65" s="256" t="inlineStr">
        <is>
          <t>14.97</t>
        </is>
      </c>
      <c r="M65" s="256" t="inlineStr">
        <is>
          <t>n/a — Purely Plant in-house CoA (Batch HPA1024, no certificate/report number printed)</t>
        </is>
      </c>
      <c r="N65" s="256" t="inlineStr">
        <is>
          <t>23.01.2025</t>
        </is>
      </c>
      <c r="O65" s="256" t="inlineStr">
        <is>
          <t>Purely Plant GmbH (in-house)</t>
        </is>
      </c>
      <c r="P65" s="261" t="inlineStr">
        <is>
          <t>For information. This result is in the release register and on the tracker; no certificate of quality for the lot cites it. Where the lot appears in the two checks above, that is why.</t>
        </is>
      </c>
    </row>
    <row r="66">
      <c r="A66" s="261" t="inlineStr">
        <is>
          <t>on file, on no certificate</t>
        </is>
      </c>
      <c r="B66" s="256" t="inlineStr">
        <is>
          <t>HPA1024</t>
        </is>
      </c>
      <c r="C66" s="256" t="inlineStr"/>
      <c r="D66" s="256" t="inlineStr"/>
      <c r="E66" s="256" t="inlineStr">
        <is>
          <t>Purely Plant in-house</t>
        </is>
      </c>
      <c r="F66" s="256" t="inlineStr"/>
      <c r="G66" s="256" t="inlineStr">
        <is>
          <t>5</t>
        </is>
      </c>
      <c r="H66" s="256" t="inlineStr">
        <is>
          <t>Total CBD</t>
        </is>
      </c>
      <c r="I66" s="256" t="inlineStr"/>
      <c r="J66" s="256" t="inlineStr"/>
      <c r="K66" s="256" t="inlineStr"/>
      <c r="L66" s="256" t="inlineStr">
        <is>
          <t>0.04</t>
        </is>
      </c>
      <c r="M66" s="256" t="inlineStr">
        <is>
          <t>n/a — Purely Plant in-house CoA (Batch HPA1024, no certificate/report number printed)</t>
        </is>
      </c>
      <c r="N66" s="256" t="inlineStr">
        <is>
          <t>23.01.2025</t>
        </is>
      </c>
      <c r="O66" s="256" t="inlineStr">
        <is>
          <t>Purely Plant GmbH (in-house)</t>
        </is>
      </c>
      <c r="P66" s="261" t="inlineStr">
        <is>
          <t>For information. This result is in the release register and on the tracker; no certificate of quality for the lot cites it. Where the lot appears in the two checks above, that is why.</t>
        </is>
      </c>
    </row>
    <row r="67">
      <c r="A67" s="261" t="inlineStr">
        <is>
          <t>on file, on no certificate</t>
        </is>
      </c>
      <c r="B67" s="256" t="inlineStr">
        <is>
          <t>HPA1024</t>
        </is>
      </c>
      <c r="C67" s="256" t="inlineStr"/>
      <c r="D67" s="256" t="inlineStr"/>
      <c r="E67" s="256" t="inlineStr">
        <is>
          <t>Purely Plant in-house</t>
        </is>
      </c>
      <c r="F67" s="256" t="inlineStr"/>
      <c r="G67" s="256" t="inlineStr">
        <is>
          <t>9.1</t>
        </is>
      </c>
      <c r="H67" s="256" t="inlineStr">
        <is>
          <t>TAMC</t>
        </is>
      </c>
      <c r="I67" s="256" t="inlineStr"/>
      <c r="J67" s="256" t="inlineStr"/>
      <c r="K67" s="256" t="inlineStr"/>
      <c r="L67" s="256" t="inlineStr">
        <is>
          <t>5.2·10^4</t>
        </is>
      </c>
      <c r="M67" s="256" t="inlineStr">
        <is>
          <t>n/a — Purely Plant in-house CoA (Batch HPA1024, no certificate/report number printed)</t>
        </is>
      </c>
      <c r="N67" s="256" t="inlineStr">
        <is>
          <t>23.01.2025</t>
        </is>
      </c>
      <c r="O67" s="256" t="inlineStr">
        <is>
          <t>Purely Plant GmbH (in-house)</t>
        </is>
      </c>
      <c r="P67" s="261" t="inlineStr">
        <is>
          <t>For information. This result is in the release register and on the tracker; no certificate of quality for the lot cites it. Where the lot appears in the two checks above, that is why.</t>
        </is>
      </c>
    </row>
    <row r="68">
      <c r="A68" s="261" t="inlineStr">
        <is>
          <t>on file, on no certificate</t>
        </is>
      </c>
      <c r="B68" s="256" t="inlineStr">
        <is>
          <t>HPA1024</t>
        </is>
      </c>
      <c r="C68" s="256" t="inlineStr"/>
      <c r="D68" s="256" t="inlineStr"/>
      <c r="E68" s="256" t="inlineStr">
        <is>
          <t>Purely Plant in-house</t>
        </is>
      </c>
      <c r="F68" s="256" t="inlineStr"/>
      <c r="G68" s="256" t="inlineStr">
        <is>
          <t>9.2</t>
        </is>
      </c>
      <c r="H68" s="256" t="inlineStr">
        <is>
          <t>TYMC</t>
        </is>
      </c>
      <c r="I68" s="256" t="inlineStr"/>
      <c r="J68" s="256" t="inlineStr"/>
      <c r="K68" s="256" t="inlineStr"/>
      <c r="L68" s="256" t="inlineStr">
        <is>
          <t>7·10^2</t>
        </is>
      </c>
      <c r="M68" s="256" t="inlineStr">
        <is>
          <t>n/a — Purely Plant in-house CoA (Batch HPA1024, no certificate/report number printed)</t>
        </is>
      </c>
      <c r="N68" s="256" t="inlineStr">
        <is>
          <t>23.01.2025</t>
        </is>
      </c>
      <c r="O68" s="256" t="inlineStr">
        <is>
          <t>Purely Plant GmbH (in-house)</t>
        </is>
      </c>
      <c r="P68" s="261" t="inlineStr">
        <is>
          <t>For information. This result is in the release register and on the tracker; no certificate of quality for the lot cites it. Where the lot appears in the two checks above, that is why.</t>
        </is>
      </c>
    </row>
    <row r="69">
      <c r="A69" s="261" t="inlineStr">
        <is>
          <t>on file, on no certificate</t>
        </is>
      </c>
      <c r="B69" s="256" t="inlineStr">
        <is>
          <t>HPA1024</t>
        </is>
      </c>
      <c r="C69" s="256" t="inlineStr"/>
      <c r="D69" s="256" t="inlineStr"/>
      <c r="E69" s="256" t="inlineStr">
        <is>
          <t>Purely Plant in-house</t>
        </is>
      </c>
      <c r="F69" s="256" t="inlineStr"/>
      <c r="G69" s="256" t="inlineStr">
        <is>
          <t>9.3</t>
        </is>
      </c>
      <c r="H69" s="256" t="inlineStr">
        <is>
          <t>Bile-tolerant GNB</t>
        </is>
      </c>
      <c r="I69" s="256" t="inlineStr"/>
      <c r="J69" s="256" t="inlineStr"/>
      <c r="K69" s="256" t="inlineStr"/>
      <c r="L69" s="256" t="inlineStr">
        <is>
          <t>&lt;10</t>
        </is>
      </c>
      <c r="M69" s="256" t="inlineStr">
        <is>
          <t>n/a — Purely Plant in-house CoA (Batch HPA1024, no certificate/report number printed)</t>
        </is>
      </c>
      <c r="N69" s="256" t="inlineStr">
        <is>
          <t>23.01.2025</t>
        </is>
      </c>
      <c r="O69" s="256" t="inlineStr">
        <is>
          <t>Purely Plant GmbH (in-house)</t>
        </is>
      </c>
      <c r="P69" s="261" t="inlineStr">
        <is>
          <t>For information. This result is in the release register and on the tracker; no certificate of quality for the lot cites it. Where the lot appears in the two checks above, that is why.</t>
        </is>
      </c>
    </row>
    <row r="70">
      <c r="A70" s="261" t="inlineStr">
        <is>
          <t>on file, on no certificate</t>
        </is>
      </c>
      <c r="B70" s="256" t="inlineStr">
        <is>
          <t>HPA1024</t>
        </is>
      </c>
      <c r="C70" s="256" t="inlineStr"/>
      <c r="D70" s="256" t="inlineStr"/>
      <c r="E70" s="256" t="inlineStr">
        <is>
          <t>Purely Plant in-house</t>
        </is>
      </c>
      <c r="F70" s="256" t="inlineStr"/>
      <c r="G70" s="256" t="inlineStr">
        <is>
          <t>9.4</t>
        </is>
      </c>
      <c r="H70" s="256" t="inlineStr">
        <is>
          <t>Salmonella</t>
        </is>
      </c>
      <c r="I70" s="256" t="inlineStr"/>
      <c r="J70" s="256" t="inlineStr"/>
      <c r="K70" s="256" t="inlineStr"/>
      <c r="L70" s="256" t="inlineStr">
        <is>
          <t>Absent</t>
        </is>
      </c>
      <c r="M70" s="256" t="inlineStr">
        <is>
          <t>n/a — Purely Plant in-house CoA (Batch HPA1024, no certificate/report number printed)</t>
        </is>
      </c>
      <c r="N70" s="256" t="inlineStr">
        <is>
          <t>23.01.2025</t>
        </is>
      </c>
      <c r="O70" s="256" t="inlineStr">
        <is>
          <t>Purely Plant GmbH (in-house)</t>
        </is>
      </c>
      <c r="P70" s="261" t="inlineStr">
        <is>
          <t>For information. This result is in the release register and on the tracker; no certificate of quality for the lot cites it. Where the lot appears in the two checks above, that is why.</t>
        </is>
      </c>
    </row>
    <row r="71">
      <c r="A71" s="261" t="inlineStr">
        <is>
          <t>on file, on no certificate</t>
        </is>
      </c>
      <c r="B71" s="256" t="inlineStr">
        <is>
          <t>HPA1024</t>
        </is>
      </c>
      <c r="C71" s="256" t="inlineStr"/>
      <c r="D71" s="256" t="inlineStr"/>
      <c r="E71" s="256" t="inlineStr">
        <is>
          <t>Purely Plant in-house</t>
        </is>
      </c>
      <c r="F71" s="256" t="inlineStr"/>
      <c r="G71" s="256" t="inlineStr">
        <is>
          <t>9.5</t>
        </is>
      </c>
      <c r="H71" s="256" t="inlineStr">
        <is>
          <t>E. coli</t>
        </is>
      </c>
      <c r="I71" s="256" t="inlineStr"/>
      <c r="J71" s="256" t="inlineStr"/>
      <c r="K71" s="256" t="inlineStr"/>
      <c r="L71" s="256" t="inlineStr">
        <is>
          <t>Absent</t>
        </is>
      </c>
      <c r="M71" s="256" t="inlineStr">
        <is>
          <t>n/a — Purely Plant in-house CoA (Batch HPA1024, no certificate/report number printed)</t>
        </is>
      </c>
      <c r="N71" s="256" t="inlineStr">
        <is>
          <t>23.01.2025</t>
        </is>
      </c>
      <c r="O71" s="256" t="inlineStr">
        <is>
          <t>Purely Plant GmbH (in-house)</t>
        </is>
      </c>
      <c r="P71" s="261" t="inlineStr">
        <is>
          <t>For information. This result is in the release register and on the tracker; no certificate of quality for the lot cites it. Where the lot appears in the two checks above, that is why.</t>
        </is>
      </c>
    </row>
    <row r="72">
      <c r="A72" s="261" t="inlineStr">
        <is>
          <t>on file, on no certificate</t>
        </is>
      </c>
      <c r="B72" s="256" t="inlineStr">
        <is>
          <t>J31112501</t>
        </is>
      </c>
      <c r="C72" s="256" t="inlineStr"/>
      <c r="D72" s="256" t="inlineStr"/>
      <c r="E72" s="256" t="inlineStr">
        <is>
          <t>Farmahem — cannabinoids</t>
        </is>
      </c>
      <c r="F72" s="256" t="inlineStr"/>
      <c r="G72" s="256" t="inlineStr">
        <is>
          <t>4</t>
        </is>
      </c>
      <c r="H72" s="256" t="inlineStr">
        <is>
          <t>Total Δ9-THC</t>
        </is>
      </c>
      <c r="I72" s="256" t="inlineStr"/>
      <c r="J72" s="256" t="inlineStr"/>
      <c r="K72" s="256" t="inlineStr"/>
      <c r="L72" s="256" t="inlineStr">
        <is>
          <t>20.21</t>
        </is>
      </c>
      <c r="M72" s="256" t="inlineStr">
        <is>
          <t>100-1-К/26</t>
        </is>
      </c>
      <c r="N72" s="256" t="inlineStr">
        <is>
          <t>09.04.2026</t>
        </is>
      </c>
      <c r="O72" s="256" t="inlineStr">
        <is>
          <t>Farmahem</t>
        </is>
      </c>
      <c r="P72" s="261" t="inlineStr">
        <is>
          <t>For information. This result is in the release register and on the tracker; no certificate of quality for the lot cites it. Where the lot appears in the two checks above, that is why.</t>
        </is>
      </c>
    </row>
    <row r="73">
      <c r="A73" s="261" t="inlineStr">
        <is>
          <t>on file, on no certificate</t>
        </is>
      </c>
      <c r="B73" s="256" t="inlineStr">
        <is>
          <t>J31112501</t>
        </is>
      </c>
      <c r="C73" s="256" t="inlineStr"/>
      <c r="D73" s="256" t="inlineStr"/>
      <c r="E73" s="256" t="inlineStr">
        <is>
          <t>Farmahem — cannabinoids</t>
        </is>
      </c>
      <c r="F73" s="256" t="inlineStr"/>
      <c r="G73" s="256" t="inlineStr">
        <is>
          <t>5</t>
        </is>
      </c>
      <c r="H73" s="256" t="inlineStr">
        <is>
          <t>Total CBD</t>
        </is>
      </c>
      <c r="I73" s="256" t="inlineStr"/>
      <c r="J73" s="256" t="inlineStr"/>
      <c r="K73" s="256" t="inlineStr"/>
      <c r="L73" s="256" t="inlineStr">
        <is>
          <t>&lt; LOQ (&lt;0.20)</t>
        </is>
      </c>
      <c r="M73" s="256" t="inlineStr">
        <is>
          <t>100-1-К/26</t>
        </is>
      </c>
      <c r="N73" s="256" t="inlineStr">
        <is>
          <t>09.04.2026</t>
        </is>
      </c>
      <c r="O73" s="256" t="inlineStr">
        <is>
          <t>Farmahem</t>
        </is>
      </c>
      <c r="P73" s="261" t="inlineStr">
        <is>
          <t>For information. This result is in the release register and on the tracker; no certificate of quality for the lot cites it. Where the lot appears in the two checks above, that is why.</t>
        </is>
      </c>
    </row>
    <row r="74">
      <c r="A74" s="261" t="inlineStr">
        <is>
          <t>on file, on no certificate</t>
        </is>
      </c>
      <c r="B74" s="256" t="inlineStr">
        <is>
          <t>J31112501</t>
        </is>
      </c>
      <c r="C74" s="256" t="inlineStr"/>
      <c r="D74" s="256" t="inlineStr"/>
      <c r="E74" s="256" t="inlineStr">
        <is>
          <t>Farmahem — cannabinoids</t>
        </is>
      </c>
      <c r="F74" s="256" t="inlineStr"/>
      <c r="G74" s="256" t="inlineStr">
        <is>
          <t>6</t>
        </is>
      </c>
      <c r="H74" s="256" t="inlineStr">
        <is>
          <t>Total CBN</t>
        </is>
      </c>
      <c r="I74" s="256" t="inlineStr"/>
      <c r="J74" s="256" t="inlineStr"/>
      <c r="K74" s="256" t="inlineStr"/>
      <c r="L74" s="256" t="inlineStr">
        <is>
          <t>&lt; LOQ</t>
        </is>
      </c>
      <c r="M74" s="256" t="inlineStr">
        <is>
          <t>100-1-К/26</t>
        </is>
      </c>
      <c r="N74" s="256" t="inlineStr">
        <is>
          <t>09.04.2026</t>
        </is>
      </c>
      <c r="O74" s="256" t="inlineStr">
        <is>
          <t>Farmahem</t>
        </is>
      </c>
      <c r="P74" s="261" t="inlineStr">
        <is>
          <t>For information. This result is in the release register and on the tracker; no certificate of quality for the lot cites it. Where the lot appears in the two checks above, that is why.</t>
        </is>
      </c>
    </row>
    <row r="75">
      <c r="A75" s="261" t="inlineStr">
        <is>
          <t>on file, on no certificate</t>
        </is>
      </c>
      <c r="B75" s="256" t="inlineStr">
        <is>
          <t>J31112501</t>
        </is>
      </c>
      <c r="C75" s="256" t="inlineStr"/>
      <c r="D75" s="256" t="inlineStr"/>
      <c r="E75" s="256" t="inlineStr">
        <is>
          <t>Farmahem — loss on drying</t>
        </is>
      </c>
      <c r="F75" s="256" t="inlineStr"/>
      <c r="G75" s="256" t="inlineStr">
        <is>
          <t>8</t>
        </is>
      </c>
      <c r="H75" s="256" t="inlineStr">
        <is>
          <t>Loss on drying</t>
        </is>
      </c>
      <c r="I75" s="256" t="inlineStr"/>
      <c r="J75" s="256" t="inlineStr"/>
      <c r="K75" s="256" t="inlineStr"/>
      <c r="L75" s="256" t="inlineStr">
        <is>
          <t>7.6</t>
        </is>
      </c>
      <c r="M75" s="256" t="inlineStr">
        <is>
          <t>100-1-ГС/26</t>
        </is>
      </c>
      <c r="N75" s="256" t="inlineStr">
        <is>
          <t>09.04.2026</t>
        </is>
      </c>
      <c r="O75" s="256" t="inlineStr">
        <is>
          <t>Farmahem</t>
        </is>
      </c>
      <c r="P75" s="261" t="inlineStr">
        <is>
          <t>For information. This result is in the release register and on the tracker; no certificate of quality for the lot cites it. Where the lot appears in the two checks above, that is why.</t>
        </is>
      </c>
    </row>
    <row r="76">
      <c r="A76" s="261" t="inlineStr">
        <is>
          <t>on file, on no certificate</t>
        </is>
      </c>
      <c r="B76" s="256" t="inlineStr">
        <is>
          <t>J31122501</t>
        </is>
      </c>
      <c r="C76" s="256" t="inlineStr"/>
      <c r="D76" s="256" t="inlineStr"/>
      <c r="E76" s="256" t="inlineStr">
        <is>
          <t>IPH microbiology</t>
        </is>
      </c>
      <c r="F76" s="256" t="inlineStr"/>
      <c r="G76" s="256" t="inlineStr">
        <is>
          <t>9.1</t>
        </is>
      </c>
      <c r="H76" s="256" t="inlineStr">
        <is>
          <t>TAMC</t>
        </is>
      </c>
      <c r="I76" s="256" t="inlineStr"/>
      <c r="J76" s="256" t="inlineStr"/>
      <c r="K76" s="256" t="inlineStr"/>
      <c r="L76" s="256" t="inlineStr">
        <is>
          <t>1900</t>
        </is>
      </c>
      <c r="M76" s="256" t="inlineStr">
        <is>
          <t>230/0393/26 (Trimiran cvet)</t>
        </is>
      </c>
      <c r="N76" s="256" t="inlineStr">
        <is>
          <t>07.04.2026</t>
        </is>
      </c>
      <c r="O76" s="256" t="inlineStr">
        <is>
          <t>IPH — Institute of Public Health</t>
        </is>
      </c>
      <c r="P76" s="261" t="inlineStr">
        <is>
          <t>For information. This result is in the release register and on the tracker; no certificate of quality for the lot cites it. Where the lot appears in the two checks above, that is why.</t>
        </is>
      </c>
    </row>
    <row r="77">
      <c r="A77" s="261" t="inlineStr">
        <is>
          <t>on file, on no certificate</t>
        </is>
      </c>
      <c r="B77" s="256" t="inlineStr">
        <is>
          <t>J31122501</t>
        </is>
      </c>
      <c r="C77" s="256" t="inlineStr"/>
      <c r="D77" s="256" t="inlineStr"/>
      <c r="E77" s="256" t="inlineStr">
        <is>
          <t>IPH microbiology</t>
        </is>
      </c>
      <c r="F77" s="256" t="inlineStr"/>
      <c r="G77" s="256" t="inlineStr">
        <is>
          <t>9.2</t>
        </is>
      </c>
      <c r="H77" s="256" t="inlineStr">
        <is>
          <t>TYMC</t>
        </is>
      </c>
      <c r="I77" s="256" t="inlineStr"/>
      <c r="J77" s="256" t="inlineStr"/>
      <c r="K77" s="256" t="inlineStr"/>
      <c r="L77" s="256" t="inlineStr">
        <is>
          <t>840</t>
        </is>
      </c>
      <c r="M77" s="256" t="inlineStr">
        <is>
          <t>230/0393/26 (Trimiran cvet)</t>
        </is>
      </c>
      <c r="N77" s="256" t="inlineStr">
        <is>
          <t>07.04.2026</t>
        </is>
      </c>
      <c r="O77" s="256" t="inlineStr">
        <is>
          <t>IPH — Institute of Public Health</t>
        </is>
      </c>
      <c r="P77" s="261" t="inlineStr">
        <is>
          <t>For information. This result is in the release register and on the tracker; no certificate of quality for the lot cites it. Where the lot appears in the two checks above, that is why.</t>
        </is>
      </c>
    </row>
    <row r="78">
      <c r="A78" s="261" t="inlineStr">
        <is>
          <t>on file, on no certificate</t>
        </is>
      </c>
      <c r="B78" s="256" t="inlineStr">
        <is>
          <t>J31122501</t>
        </is>
      </c>
      <c r="C78" s="256" t="inlineStr"/>
      <c r="D78" s="256" t="inlineStr"/>
      <c r="E78" s="256" t="inlineStr">
        <is>
          <t>IPH microbiology</t>
        </is>
      </c>
      <c r="F78" s="256" t="inlineStr"/>
      <c r="G78" s="256" t="inlineStr">
        <is>
          <t>9.3</t>
        </is>
      </c>
      <c r="H78" s="256" t="inlineStr">
        <is>
          <t>Bile-tolerant GNB</t>
        </is>
      </c>
      <c r="I78" s="256" t="inlineStr"/>
      <c r="J78" s="256" t="inlineStr"/>
      <c r="K78" s="256" t="inlineStr"/>
      <c r="L78" s="256" t="inlineStr">
        <is>
          <t>&lt; 10^3 and &gt; 10^2</t>
        </is>
      </c>
      <c r="M78" s="256" t="inlineStr">
        <is>
          <t>230/0393/26 (Trimiran cvet)</t>
        </is>
      </c>
      <c r="N78" s="256" t="inlineStr">
        <is>
          <t>07.04.2026</t>
        </is>
      </c>
      <c r="O78" s="256" t="inlineStr">
        <is>
          <t>IPH — Institute of Public Health</t>
        </is>
      </c>
      <c r="P78" s="261" t="inlineStr">
        <is>
          <t>For information. This result is in the release register and on the tracker; no certificate of quality for the lot cites it. Where the lot appears in the two checks above, that is why.</t>
        </is>
      </c>
    </row>
    <row r="79">
      <c r="A79" s="261" t="inlineStr">
        <is>
          <t>on file, on no certificate</t>
        </is>
      </c>
      <c r="B79" s="256" t="inlineStr">
        <is>
          <t>J31122501</t>
        </is>
      </c>
      <c r="C79" s="256" t="inlineStr"/>
      <c r="D79" s="256" t="inlineStr"/>
      <c r="E79" s="256" t="inlineStr">
        <is>
          <t>IPH microbiology</t>
        </is>
      </c>
      <c r="F79" s="256" t="inlineStr"/>
      <c r="G79" s="256" t="inlineStr">
        <is>
          <t>9.4</t>
        </is>
      </c>
      <c r="H79" s="256" t="inlineStr">
        <is>
          <t>Salmonella</t>
        </is>
      </c>
      <c r="I79" s="256" t="inlineStr"/>
      <c r="J79" s="256" t="inlineStr"/>
      <c r="K79" s="256" t="inlineStr"/>
      <c r="L79" s="256" t="inlineStr">
        <is>
          <t>Одговара (Complies/Absent)</t>
        </is>
      </c>
      <c r="M79" s="256" t="inlineStr">
        <is>
          <t>230/0393/26 (Trimiran cvet)</t>
        </is>
      </c>
      <c r="N79" s="256" t="inlineStr">
        <is>
          <t>07.04.2026</t>
        </is>
      </c>
      <c r="O79" s="256" t="inlineStr">
        <is>
          <t>IPH — Institute of Public Health</t>
        </is>
      </c>
      <c r="P79" s="261" t="inlineStr">
        <is>
          <t>For information. This result is in the release register and on the tracker; no certificate of quality for the lot cites it. Where the lot appears in the two checks above, that is why.</t>
        </is>
      </c>
    </row>
    <row r="80">
      <c r="A80" s="261" t="inlineStr">
        <is>
          <t>on file, on no certificate</t>
        </is>
      </c>
      <c r="B80" s="256" t="inlineStr">
        <is>
          <t>J31122501</t>
        </is>
      </c>
      <c r="C80" s="256" t="inlineStr"/>
      <c r="D80" s="256" t="inlineStr"/>
      <c r="E80" s="256" t="inlineStr">
        <is>
          <t>IPH microbiology</t>
        </is>
      </c>
      <c r="F80" s="256" t="inlineStr"/>
      <c r="G80" s="256" t="inlineStr">
        <is>
          <t>9.5</t>
        </is>
      </c>
      <c r="H80" s="256" t="inlineStr">
        <is>
          <t>E. coli</t>
        </is>
      </c>
      <c r="I80" s="256" t="inlineStr"/>
      <c r="J80" s="256" t="inlineStr"/>
      <c r="K80" s="256" t="inlineStr"/>
      <c r="L80" s="256" t="inlineStr">
        <is>
          <t>Одговара (Complies/Absent)</t>
        </is>
      </c>
      <c r="M80" s="256" t="inlineStr">
        <is>
          <t>230/0393/26 (Trimiran cvet)</t>
        </is>
      </c>
      <c r="N80" s="256" t="inlineStr">
        <is>
          <t>07.04.2026</t>
        </is>
      </c>
      <c r="O80" s="256" t="inlineStr">
        <is>
          <t>IPH — Institute of Public Health</t>
        </is>
      </c>
      <c r="P80" s="261" t="inlineStr">
        <is>
          <t>For information. This result is in the release register and on the tracker; no certificate of quality for the lot cites it. Where the lot appears in the two checks above, that is why.</t>
        </is>
      </c>
    </row>
    <row r="81">
      <c r="A81" s="261" t="inlineStr">
        <is>
          <t>on file, on no certificate</t>
        </is>
      </c>
      <c r="B81" s="256" t="inlineStr">
        <is>
          <t>J31122501</t>
        </is>
      </c>
      <c r="C81" s="256" t="inlineStr"/>
      <c r="D81" s="256" t="inlineStr"/>
      <c r="E81" s="256" t="inlineStr">
        <is>
          <t>Farmahem — cannabinoids</t>
        </is>
      </c>
      <c r="F81" s="256" t="inlineStr"/>
      <c r="G81" s="256" t="inlineStr">
        <is>
          <t>4</t>
        </is>
      </c>
      <c r="H81" s="256" t="inlineStr">
        <is>
          <t>Total Δ9-THC</t>
        </is>
      </c>
      <c r="I81" s="256" t="inlineStr"/>
      <c r="J81" s="256" t="inlineStr"/>
      <c r="K81" s="256" t="inlineStr"/>
      <c r="L81" s="256" t="inlineStr">
        <is>
          <t>21.84</t>
        </is>
      </c>
      <c r="M81" s="256" t="inlineStr">
        <is>
          <t>100-3-К/26</t>
        </is>
      </c>
      <c r="N81" s="256" t="inlineStr">
        <is>
          <t>09.04.2026</t>
        </is>
      </c>
      <c r="O81" s="256" t="inlineStr">
        <is>
          <t>Farmahem</t>
        </is>
      </c>
      <c r="P81" s="261" t="inlineStr">
        <is>
          <t>For information. This result is in the release register and on the tracker; no certificate of quality for the lot cites it. Where the lot appears in the two checks above, that is why.</t>
        </is>
      </c>
    </row>
    <row r="82">
      <c r="A82" s="261" t="inlineStr">
        <is>
          <t>on file, on no certificate</t>
        </is>
      </c>
      <c r="B82" s="256" t="inlineStr">
        <is>
          <t>J31122501</t>
        </is>
      </c>
      <c r="C82" s="256" t="inlineStr"/>
      <c r="D82" s="256" t="inlineStr"/>
      <c r="E82" s="256" t="inlineStr">
        <is>
          <t>Farmahem — cannabinoids</t>
        </is>
      </c>
      <c r="F82" s="256" t="inlineStr"/>
      <c r="G82" s="256" t="inlineStr">
        <is>
          <t>5</t>
        </is>
      </c>
      <c r="H82" s="256" t="inlineStr">
        <is>
          <t>Total CBD</t>
        </is>
      </c>
      <c r="I82" s="256" t="inlineStr"/>
      <c r="J82" s="256" t="inlineStr"/>
      <c r="K82" s="256" t="inlineStr"/>
      <c r="L82" s="256" t="inlineStr">
        <is>
          <t>&lt; LOQ (&lt;0.20)</t>
        </is>
      </c>
      <c r="M82" s="256" t="inlineStr">
        <is>
          <t>100-3-К/26</t>
        </is>
      </c>
      <c r="N82" s="256" t="inlineStr">
        <is>
          <t>09.04.2026</t>
        </is>
      </c>
      <c r="O82" s="256" t="inlineStr">
        <is>
          <t>Farmahem</t>
        </is>
      </c>
      <c r="P82" s="261" t="inlineStr">
        <is>
          <t>For information. This result is in the release register and on the tracker; no certificate of quality for the lot cites it. Where the lot appears in the two checks above, that is why.</t>
        </is>
      </c>
    </row>
    <row r="83">
      <c r="A83" s="261" t="inlineStr">
        <is>
          <t>on file, on no certificate</t>
        </is>
      </c>
      <c r="B83" s="256" t="inlineStr">
        <is>
          <t>J31122501</t>
        </is>
      </c>
      <c r="C83" s="256" t="inlineStr"/>
      <c r="D83" s="256" t="inlineStr"/>
      <c r="E83" s="256" t="inlineStr">
        <is>
          <t>Farmahem — cannabinoids</t>
        </is>
      </c>
      <c r="F83" s="256" t="inlineStr"/>
      <c r="G83" s="256" t="inlineStr">
        <is>
          <t>6</t>
        </is>
      </c>
      <c r="H83" s="256" t="inlineStr">
        <is>
          <t>Total CBN</t>
        </is>
      </c>
      <c r="I83" s="256" t="inlineStr"/>
      <c r="J83" s="256" t="inlineStr"/>
      <c r="K83" s="256" t="inlineStr"/>
      <c r="L83" s="256" t="inlineStr">
        <is>
          <t>&lt; LOQ</t>
        </is>
      </c>
      <c r="M83" s="256" t="inlineStr">
        <is>
          <t>100-3-К/26</t>
        </is>
      </c>
      <c r="N83" s="256" t="inlineStr">
        <is>
          <t>09.04.2026</t>
        </is>
      </c>
      <c r="O83" s="256" t="inlineStr">
        <is>
          <t>Farmahem</t>
        </is>
      </c>
      <c r="P83" s="261" t="inlineStr">
        <is>
          <t>For information. This result is in the release register and on the tracker; no certificate of quality for the lot cites it. Where the lot appears in the two checks above, that is why.</t>
        </is>
      </c>
    </row>
    <row r="84">
      <c r="A84" s="261" t="inlineStr">
        <is>
          <t>on file, on no certificate</t>
        </is>
      </c>
      <c r="B84" s="256" t="inlineStr">
        <is>
          <t>J31122501</t>
        </is>
      </c>
      <c r="C84" s="256" t="inlineStr"/>
      <c r="D84" s="256" t="inlineStr"/>
      <c r="E84" s="256" t="inlineStr">
        <is>
          <t>Farmahem — loss on drying</t>
        </is>
      </c>
      <c r="F84" s="256" t="inlineStr"/>
      <c r="G84" s="256" t="inlineStr">
        <is>
          <t>8</t>
        </is>
      </c>
      <c r="H84" s="256" t="inlineStr">
        <is>
          <t>Loss on drying</t>
        </is>
      </c>
      <c r="I84" s="256" t="inlineStr"/>
      <c r="J84" s="256" t="inlineStr"/>
      <c r="K84" s="256" t="inlineStr"/>
      <c r="L84" s="256" t="inlineStr">
        <is>
          <t>10.3</t>
        </is>
      </c>
      <c r="M84" s="256" t="inlineStr">
        <is>
          <t>100-3-ГС/26</t>
        </is>
      </c>
      <c r="N84" s="256" t="inlineStr">
        <is>
          <t>09.04.2026</t>
        </is>
      </c>
      <c r="O84" s="256" t="inlineStr">
        <is>
          <t>Farmahem</t>
        </is>
      </c>
      <c r="P84" s="261" t="inlineStr">
        <is>
          <t>For information. This result is in the release register and on the tracker; no certificate of quality for the lot cites it. Where the lot appears in the two checks above, that is why.</t>
        </is>
      </c>
    </row>
    <row r="85">
      <c r="A85" s="261" t="inlineStr">
        <is>
          <t>on file, on no certificate</t>
        </is>
      </c>
      <c r="B85" s="256" t="inlineStr">
        <is>
          <t>J31122501</t>
        </is>
      </c>
      <c r="C85" s="256" t="inlineStr"/>
      <c r="D85" s="256" t="inlineStr"/>
      <c r="E85" s="256" t="inlineStr">
        <is>
          <t>IPH mycotoxins, metals, pesticides</t>
        </is>
      </c>
      <c r="F85" s="256" t="inlineStr"/>
      <c r="G85" s="256" t="inlineStr">
        <is>
          <t>10.2</t>
        </is>
      </c>
      <c r="H85" s="256" t="inlineStr">
        <is>
          <t>Aflatoxins Σ</t>
        </is>
      </c>
      <c r="I85" s="256" t="inlineStr"/>
      <c r="J85" s="256" t="inlineStr"/>
      <c r="K85" s="256" t="inlineStr"/>
      <c r="L85" s="256" t="inlineStr">
        <is>
          <t>COMPLIES (numeric value not present in captured source excerpt for report 1625/2026 — see Bundle cross-reference)</t>
        </is>
      </c>
      <c r="M85" s="256" t="inlineStr">
        <is>
          <t>1625/2026</t>
        </is>
      </c>
      <c r="N85" s="256" t="inlineStr">
        <is>
          <t>23.04.2026</t>
        </is>
      </c>
      <c r="O85" s="256" t="inlineStr">
        <is>
          <t>IPH — Institute of Public Health</t>
        </is>
      </c>
      <c r="P85" s="261" t="inlineStr">
        <is>
          <t>For information. This result is in the release register and on the tracker; no certificate of quality for the lot cites it. Where the lot appears in the two checks above, that is why.</t>
        </is>
      </c>
    </row>
    <row r="86">
      <c r="A86" s="261" t="inlineStr">
        <is>
          <t>on file, on no certificate</t>
        </is>
      </c>
      <c r="B86" s="256" t="inlineStr">
        <is>
          <t>J31122501</t>
        </is>
      </c>
      <c r="C86" s="256" t="inlineStr"/>
      <c r="D86" s="256" t="inlineStr"/>
      <c r="E86" s="256" t="inlineStr">
        <is>
          <t>IPH mycotoxins, metals, pesticides</t>
        </is>
      </c>
      <c r="F86" s="256" t="inlineStr"/>
      <c r="G86" s="256" t="inlineStr">
        <is>
          <t>12</t>
        </is>
      </c>
      <c r="H86" s="256" t="inlineStr">
        <is>
          <t>Pesticides</t>
        </is>
      </c>
      <c r="I86" s="256" t="inlineStr"/>
      <c r="J86" s="256" t="inlineStr"/>
      <c r="K86" s="256" t="inlineStr"/>
      <c r="L86" s="256" t="inlineStr">
        <is>
          <t>н.д.</t>
        </is>
      </c>
      <c r="M86" s="256" t="inlineStr">
        <is>
          <t>1625/2026</t>
        </is>
      </c>
      <c r="N86" s="256" t="inlineStr">
        <is>
          <t>23.04.2026</t>
        </is>
      </c>
      <c r="O86" s="256" t="inlineStr">
        <is>
          <t>IPH — Institute of Public Health</t>
        </is>
      </c>
      <c r="P86" s="261" t="inlineStr">
        <is>
          <t>For information. This result is in the release register and on the tracker; no certificate of quality for the lot cites it. Where the lot appears in the two checks above, that is why.</t>
        </is>
      </c>
    </row>
    <row r="87">
      <c r="A87" s="261" t="inlineStr">
        <is>
          <t>on file, on no certificate</t>
        </is>
      </c>
      <c r="B87" s="256" t="inlineStr">
        <is>
          <t>JD012603-02</t>
        </is>
      </c>
      <c r="C87" s="256" t="inlineStr"/>
      <c r="D87" s="256" t="inlineStr"/>
      <c r="E87" s="256" t="inlineStr">
        <is>
          <t>IPH mycotoxins, metals, pesticides</t>
        </is>
      </c>
      <c r="F87" s="256" t="inlineStr"/>
      <c r="G87" s="256" t="inlineStr">
        <is>
          <t>10.2</t>
        </is>
      </c>
      <c r="H87" s="256" t="inlineStr">
        <is>
          <t>Aflatoxins Σ</t>
        </is>
      </c>
      <c r="I87" s="256" t="inlineStr"/>
      <c r="J87" s="256" t="inlineStr"/>
      <c r="K87" s="256" t="inlineStr"/>
      <c r="L87" s="256" t="inlineStr">
        <is>
          <t>&lt;2</t>
        </is>
      </c>
      <c r="M87" s="256" t="inlineStr">
        <is>
          <t>3660/2026</t>
        </is>
      </c>
      <c r="N87" s="256" t="inlineStr">
        <is>
          <t>22.06.2026</t>
        </is>
      </c>
      <c r="O87" s="256" t="inlineStr">
        <is>
          <t>IPH — Institute of Public Health</t>
        </is>
      </c>
      <c r="P87" s="261" t="inlineStr">
        <is>
          <t>For information. This result is in the release register and on the tracker; no certificate of quality for the lot cites it. Where the lot appears in the two checks above, that is why.</t>
        </is>
      </c>
    </row>
    <row r="88">
      <c r="A88" s="261" t="inlineStr">
        <is>
          <t>on file, on no certificate</t>
        </is>
      </c>
      <c r="B88" s="256" t="inlineStr">
        <is>
          <t>JD012603-02V</t>
        </is>
      </c>
      <c r="C88" s="256" t="inlineStr"/>
      <c r="D88" s="256" t="inlineStr"/>
      <c r="E88" s="256" t="inlineStr">
        <is>
          <t>IPH mycotoxins, metals, pesticides</t>
        </is>
      </c>
      <c r="F88" s="256" t="inlineStr"/>
      <c r="G88" s="256" t="inlineStr">
        <is>
          <t>10.2</t>
        </is>
      </c>
      <c r="H88" s="256" t="inlineStr">
        <is>
          <t>Aflatoxins Σ</t>
        </is>
      </c>
      <c r="I88" s="256" t="inlineStr"/>
      <c r="J88" s="256" t="inlineStr"/>
      <c r="K88" s="256" t="inlineStr"/>
      <c r="L88" s="256" t="inlineStr">
        <is>
          <t>&lt;2</t>
        </is>
      </c>
      <c r="M88" s="256" t="inlineStr">
        <is>
          <t>3662/2026</t>
        </is>
      </c>
      <c r="N88" s="256" t="inlineStr">
        <is>
          <t>22.06.2026</t>
        </is>
      </c>
      <c r="O88" s="256" t="inlineStr">
        <is>
          <t>IPH — Institute of Public Health</t>
        </is>
      </c>
      <c r="P88" s="261" t="inlineStr">
        <is>
          <t>For information. This result is in the release register and on the tracker; no certificate of quality for the lot cites it. Where the lot appears in the two checks above, that is why.</t>
        </is>
      </c>
    </row>
    <row r="89">
      <c r="A89" s="261" t="inlineStr">
        <is>
          <t>on file, on no certificate</t>
        </is>
      </c>
      <c r="B89" s="256" t="inlineStr">
        <is>
          <t>JD112501</t>
        </is>
      </c>
      <c r="C89" s="256" t="inlineStr"/>
      <c r="D89" s="256" t="inlineStr"/>
      <c r="E89" s="256" t="inlineStr">
        <is>
          <t>UKIM CNP potency</t>
        </is>
      </c>
      <c r="F89" s="256" t="inlineStr"/>
      <c r="G89" s="256" t="inlineStr">
        <is>
          <t>4</t>
        </is>
      </c>
      <c r="H89" s="256" t="inlineStr">
        <is>
          <t>Total Δ9-THC</t>
        </is>
      </c>
      <c r="I89" s="256" t="inlineStr"/>
      <c r="J89" s="256" t="inlineStr"/>
      <c r="K89" s="256" t="inlineStr"/>
      <c r="L89" s="256" t="inlineStr">
        <is>
          <t>13.93</t>
        </is>
      </c>
      <c r="M89" s="256" t="inlineStr">
        <is>
          <t>ППК26065</t>
        </is>
      </c>
      <c r="N89" s="256" t="inlineStr">
        <is>
          <t>11.05.2026</t>
        </is>
      </c>
      <c r="O89" s="256" t="inlineStr">
        <is>
          <t>UKIM Faculty of Pharmacy — Center for Natural Products</t>
        </is>
      </c>
      <c r="P89" s="261" t="inlineStr">
        <is>
          <t>For information. This result is in the release register and on the tracker; no certificate of quality for the lot cites it. Where the lot appears in the two checks above, that is why.</t>
        </is>
      </c>
    </row>
    <row r="90">
      <c r="A90" s="261" t="inlineStr">
        <is>
          <t>on file, on no certificate</t>
        </is>
      </c>
      <c r="B90" s="256" t="inlineStr">
        <is>
          <t>JD112501</t>
        </is>
      </c>
      <c r="C90" s="256" t="inlineStr"/>
      <c r="D90" s="256" t="inlineStr"/>
      <c r="E90" s="256" t="inlineStr">
        <is>
          <t>UKIM CNP potency</t>
        </is>
      </c>
      <c r="F90" s="256" t="inlineStr"/>
      <c r="G90" s="256" t="inlineStr">
        <is>
          <t>5</t>
        </is>
      </c>
      <c r="H90" s="256" t="inlineStr">
        <is>
          <t>Total CBD</t>
        </is>
      </c>
      <c r="I90" s="256" t="inlineStr"/>
      <c r="J90" s="256" t="inlineStr"/>
      <c r="K90" s="256" t="inlineStr"/>
      <c r="L90" s="256" t="inlineStr">
        <is>
          <t>0.04</t>
        </is>
      </c>
      <c r="M90" s="256" t="inlineStr">
        <is>
          <t>ППК26065</t>
        </is>
      </c>
      <c r="N90" s="256" t="inlineStr">
        <is>
          <t>11.05.2026</t>
        </is>
      </c>
      <c r="O90" s="256" t="inlineStr">
        <is>
          <t>UKIM Faculty of Pharmacy — Center for Natural Products</t>
        </is>
      </c>
      <c r="P90" s="261" t="inlineStr">
        <is>
          <t>For information. This result is in the release register and on the tracker; no certificate of quality for the lot cites it. Where the lot appears in the two checks above, that is why.</t>
        </is>
      </c>
    </row>
    <row r="91">
      <c r="A91" s="261" t="inlineStr">
        <is>
          <t>on file, on no certificate</t>
        </is>
      </c>
      <c r="B91" s="256" t="inlineStr">
        <is>
          <t>JD112501</t>
        </is>
      </c>
      <c r="C91" s="256" t="inlineStr"/>
      <c r="D91" s="256" t="inlineStr"/>
      <c r="E91" s="256" t="inlineStr">
        <is>
          <t>UKIM CNP potency</t>
        </is>
      </c>
      <c r="F91" s="256" t="inlineStr"/>
      <c r="G91" s="256" t="inlineStr">
        <is>
          <t>8</t>
        </is>
      </c>
      <c r="H91" s="256" t="inlineStr">
        <is>
          <t>Loss on drying</t>
        </is>
      </c>
      <c r="I91" s="256" t="inlineStr"/>
      <c r="J91" s="256" t="inlineStr"/>
      <c r="K91" s="256" t="inlineStr"/>
      <c r="L91" s="256" t="inlineStr">
        <is>
          <t>6.38</t>
        </is>
      </c>
      <c r="M91" s="256" t="inlineStr">
        <is>
          <t>ППК26065</t>
        </is>
      </c>
      <c r="N91" s="256" t="inlineStr">
        <is>
          <t>11.05.2026</t>
        </is>
      </c>
      <c r="O91" s="256" t="inlineStr">
        <is>
          <t>UKIM Faculty of Pharmacy — Center for Natural Products</t>
        </is>
      </c>
      <c r="P91" s="261" t="inlineStr">
        <is>
          <t>For information. This result is in the release register and on the tracker; no certificate of quality for the lot cites it. Where the lot appears in the two checks above, that is why.</t>
        </is>
      </c>
    </row>
    <row r="92">
      <c r="A92" s="261" t="inlineStr">
        <is>
          <t>on file, on no certificate</t>
        </is>
      </c>
      <c r="B92" s="256" t="inlineStr">
        <is>
          <t>JD112501</t>
        </is>
      </c>
      <c r="C92" s="256" t="inlineStr"/>
      <c r="D92" s="256" t="inlineStr"/>
      <c r="E92" s="256" t="inlineStr">
        <is>
          <t>IPH microbiology</t>
        </is>
      </c>
      <c r="F92" s="256" t="inlineStr"/>
      <c r="G92" s="256" t="inlineStr">
        <is>
          <t>9.1</t>
        </is>
      </c>
      <c r="H92" s="256" t="inlineStr">
        <is>
          <t>TAMC</t>
        </is>
      </c>
      <c r="I92" s="256" t="inlineStr"/>
      <c r="J92" s="256" t="inlineStr"/>
      <c r="K92" s="256" t="inlineStr"/>
      <c r="L92" s="256" t="inlineStr">
        <is>
          <t>1×10⁴</t>
        </is>
      </c>
      <c r="M92" s="256" t="inlineStr">
        <is>
          <t>306/0550/26</t>
        </is>
      </c>
      <c r="N92" s="256" t="inlineStr">
        <is>
          <t>28.04.2026</t>
        </is>
      </c>
      <c r="O92" s="256" t="inlineStr">
        <is>
          <t>IPH — Institute of Public Health</t>
        </is>
      </c>
      <c r="P92" s="261" t="inlineStr">
        <is>
          <t>For information. This result is in the release register and on the tracker; no certificate of quality for the lot cites it. Where the lot appears in the two checks above, that is why.</t>
        </is>
      </c>
    </row>
    <row r="93">
      <c r="A93" s="261" t="inlineStr">
        <is>
          <t>on file, on no certificate</t>
        </is>
      </c>
      <c r="B93" s="256" t="inlineStr">
        <is>
          <t>JD112501</t>
        </is>
      </c>
      <c r="C93" s="256" t="inlineStr"/>
      <c r="D93" s="256" t="inlineStr"/>
      <c r="E93" s="256" t="inlineStr">
        <is>
          <t>IPH microbiology</t>
        </is>
      </c>
      <c r="F93" s="256" t="inlineStr"/>
      <c r="G93" s="256" t="inlineStr">
        <is>
          <t>9.2</t>
        </is>
      </c>
      <c r="H93" s="256" t="inlineStr">
        <is>
          <t>TYMC</t>
        </is>
      </c>
      <c r="I93" s="256" t="inlineStr"/>
      <c r="J93" s="256" t="inlineStr"/>
      <c r="K93" s="256" t="inlineStr"/>
      <c r="L93" s="256" t="inlineStr">
        <is>
          <t>6,7×10³</t>
        </is>
      </c>
      <c r="M93" s="256" t="inlineStr">
        <is>
          <t>306/0550/26</t>
        </is>
      </c>
      <c r="N93" s="256" t="inlineStr">
        <is>
          <t>28.04.2026</t>
        </is>
      </c>
      <c r="O93" s="256" t="inlineStr">
        <is>
          <t>IPH — Institute of Public Health</t>
        </is>
      </c>
      <c r="P93" s="261" t="inlineStr">
        <is>
          <t>For information. This result is in the release register and on the tracker; no certificate of quality for the lot cites it. Where the lot appears in the two checks above, that is why.</t>
        </is>
      </c>
    </row>
    <row r="94">
      <c r="A94" s="261" t="inlineStr">
        <is>
          <t>on file, on no certificate</t>
        </is>
      </c>
      <c r="B94" s="256" t="inlineStr">
        <is>
          <t>JD112501</t>
        </is>
      </c>
      <c r="C94" s="256" t="inlineStr"/>
      <c r="D94" s="256" t="inlineStr"/>
      <c r="E94" s="256" t="inlineStr">
        <is>
          <t>IPH microbiology</t>
        </is>
      </c>
      <c r="F94" s="256" t="inlineStr"/>
      <c r="G94" s="256" t="inlineStr">
        <is>
          <t>9.3</t>
        </is>
      </c>
      <c r="H94" s="256" t="inlineStr">
        <is>
          <t>Bile-tolerant GNB</t>
        </is>
      </c>
      <c r="I94" s="256" t="inlineStr"/>
      <c r="J94" s="256" t="inlineStr"/>
      <c r="K94" s="256" t="inlineStr"/>
      <c r="L94" s="256" t="inlineStr">
        <is>
          <t>&lt; 10³ и &gt; 10²</t>
        </is>
      </c>
      <c r="M94" s="256" t="inlineStr">
        <is>
          <t>306/0550/26</t>
        </is>
      </c>
      <c r="N94" s="256" t="inlineStr">
        <is>
          <t>28.04.2026</t>
        </is>
      </c>
      <c r="O94" s="256" t="inlineStr">
        <is>
          <t>IPH — Institute of Public Health</t>
        </is>
      </c>
      <c r="P94" s="261" t="inlineStr">
        <is>
          <t>For information. This result is in the release register and on the tracker; no certificate of quality for the lot cites it. Where the lot appears in the two checks above, that is why.</t>
        </is>
      </c>
    </row>
    <row r="95">
      <c r="A95" s="261" t="inlineStr">
        <is>
          <t>on file, on no certificate</t>
        </is>
      </c>
      <c r="B95" s="256" t="inlineStr">
        <is>
          <t>JD112501</t>
        </is>
      </c>
      <c r="C95" s="256" t="inlineStr"/>
      <c r="D95" s="256" t="inlineStr"/>
      <c r="E95" s="256" t="inlineStr">
        <is>
          <t>IPH microbiology</t>
        </is>
      </c>
      <c r="F95" s="256" t="inlineStr"/>
      <c r="G95" s="256" t="inlineStr">
        <is>
          <t>9.4</t>
        </is>
      </c>
      <c r="H95" s="256" t="inlineStr">
        <is>
          <t>Salmonella</t>
        </is>
      </c>
      <c r="I95" s="256" t="inlineStr"/>
      <c r="J95" s="256" t="inlineStr"/>
      <c r="K95" s="256" t="inlineStr"/>
      <c r="L95" s="256" t="inlineStr">
        <is>
          <t>Одговара (absent)</t>
        </is>
      </c>
      <c r="M95" s="256" t="inlineStr">
        <is>
          <t>306/0550/26</t>
        </is>
      </c>
      <c r="N95" s="256" t="inlineStr">
        <is>
          <t>28.04.2026</t>
        </is>
      </c>
      <c r="O95" s="256" t="inlineStr">
        <is>
          <t>IPH — Institute of Public Health</t>
        </is>
      </c>
      <c r="P95" s="261" t="inlineStr">
        <is>
          <t>For information. This result is in the release register and on the tracker; no certificate of quality for the lot cites it. Where the lot appears in the two checks above, that is why.</t>
        </is>
      </c>
    </row>
    <row r="96">
      <c r="A96" s="261" t="inlineStr">
        <is>
          <t>on file, on no certificate</t>
        </is>
      </c>
      <c r="B96" s="256" t="inlineStr">
        <is>
          <t>JD112501</t>
        </is>
      </c>
      <c r="C96" s="256" t="inlineStr"/>
      <c r="D96" s="256" t="inlineStr"/>
      <c r="E96" s="256" t="inlineStr">
        <is>
          <t>IPH microbiology</t>
        </is>
      </c>
      <c r="F96" s="256" t="inlineStr"/>
      <c r="G96" s="256" t="inlineStr">
        <is>
          <t>9.5</t>
        </is>
      </c>
      <c r="H96" s="256" t="inlineStr">
        <is>
          <t>E. coli</t>
        </is>
      </c>
      <c r="I96" s="256" t="inlineStr"/>
      <c r="J96" s="256" t="inlineStr"/>
      <c r="K96" s="256" t="inlineStr"/>
      <c r="L96" s="256" t="inlineStr">
        <is>
          <t>Одговара (absent)</t>
        </is>
      </c>
      <c r="M96" s="256" t="inlineStr">
        <is>
          <t>306/0550/26</t>
        </is>
      </c>
      <c r="N96" s="256" t="inlineStr">
        <is>
          <t>28.04.2026</t>
        </is>
      </c>
      <c r="O96" s="256" t="inlineStr">
        <is>
          <t>IPH — Institute of Public Health</t>
        </is>
      </c>
      <c r="P96" s="261" t="inlineStr">
        <is>
          <t>For information. This result is in the release register and on the tracker; no certificate of quality for the lot cites it. Where the lot appears in the two checks above, that is why.</t>
        </is>
      </c>
    </row>
    <row r="97">
      <c r="A97" s="261" t="inlineStr">
        <is>
          <t>on file, on no certificate</t>
        </is>
      </c>
      <c r="B97" s="256" t="inlineStr">
        <is>
          <t>JD112501</t>
        </is>
      </c>
      <c r="C97" s="256" t="inlineStr"/>
      <c r="D97" s="256" t="inlineStr"/>
      <c r="E97" s="256" t="inlineStr">
        <is>
          <t>IPH mycotoxins, metals, pesticides</t>
        </is>
      </c>
      <c r="F97" s="256" t="inlineStr"/>
      <c r="G97" s="256" t="inlineStr">
        <is>
          <t>10.2</t>
        </is>
      </c>
      <c r="H97" s="256" t="inlineStr">
        <is>
          <t>Aflatoxins Σ</t>
        </is>
      </c>
      <c r="I97" s="256" t="inlineStr"/>
      <c r="J97" s="256" t="inlineStr"/>
      <c r="K97" s="256" t="inlineStr"/>
      <c r="L97" s="256" t="inlineStr">
        <is>
          <t>&lt;2</t>
        </is>
      </c>
      <c r="M97" s="256" t="inlineStr">
        <is>
          <t>2365/2026</t>
        </is>
      </c>
      <c r="N97" s="256" t="inlineStr">
        <is>
          <t>30.04.2026</t>
        </is>
      </c>
      <c r="O97" s="256" t="inlineStr">
        <is>
          <t>IPH — Institute of Public Health</t>
        </is>
      </c>
      <c r="P97" s="261" t="inlineStr">
        <is>
          <t>For information. This result is in the release register and on the tracker; no certificate of quality for the lot cites it. Where the lot appears in the two checks above, that is why.</t>
        </is>
      </c>
    </row>
    <row r="98">
      <c r="A98" s="261" t="inlineStr">
        <is>
          <t>on file, on no certificate</t>
        </is>
      </c>
      <c r="B98" s="256" t="inlineStr">
        <is>
          <t>JD112501</t>
        </is>
      </c>
      <c r="C98" s="256" t="inlineStr"/>
      <c r="D98" s="256" t="inlineStr"/>
      <c r="E98" s="256" t="inlineStr">
        <is>
          <t>IPH mycotoxins, metals, pesticides</t>
        </is>
      </c>
      <c r="F98" s="256" t="inlineStr"/>
      <c r="G98" s="256" t="inlineStr">
        <is>
          <t>11.1</t>
        </is>
      </c>
      <c r="H98" s="256" t="inlineStr">
        <is>
          <t>Pb</t>
        </is>
      </c>
      <c r="I98" s="256" t="inlineStr"/>
      <c r="J98" s="256" t="inlineStr"/>
      <c r="K98" s="256" t="inlineStr"/>
      <c r="L98" s="256" t="inlineStr">
        <is>
          <t>0.0109</t>
        </is>
      </c>
      <c r="M98" s="256" t="inlineStr">
        <is>
          <t>2365/2026</t>
        </is>
      </c>
      <c r="N98" s="256" t="inlineStr">
        <is>
          <t>30.04.2026</t>
        </is>
      </c>
      <c r="O98" s="256" t="inlineStr">
        <is>
          <t>IPH — Institute of Public Health</t>
        </is>
      </c>
      <c r="P98" s="261" t="inlineStr">
        <is>
          <t>For information. This result is in the release register and on the tracker; no certificate of quality for the lot cites it. Where the lot appears in the two checks above, that is why.</t>
        </is>
      </c>
    </row>
    <row r="99">
      <c r="A99" s="261" t="inlineStr">
        <is>
          <t>on file, on no certificate</t>
        </is>
      </c>
      <c r="B99" s="256" t="inlineStr">
        <is>
          <t>JD112501</t>
        </is>
      </c>
      <c r="C99" s="256" t="inlineStr"/>
      <c r="D99" s="256" t="inlineStr"/>
      <c r="E99" s="256" t="inlineStr">
        <is>
          <t>IPH mycotoxins, metals, pesticides</t>
        </is>
      </c>
      <c r="F99" s="256" t="inlineStr"/>
      <c r="G99" s="256" t="inlineStr">
        <is>
          <t>11.2</t>
        </is>
      </c>
      <c r="H99" s="256" t="inlineStr">
        <is>
          <t>Cd</t>
        </is>
      </c>
      <c r="I99" s="256" t="inlineStr"/>
      <c r="J99" s="256" t="inlineStr"/>
      <c r="K99" s="256" t="inlineStr"/>
      <c r="L99" s="256" t="inlineStr">
        <is>
          <t>0.01287</t>
        </is>
      </c>
      <c r="M99" s="256" t="inlineStr">
        <is>
          <t>2365/2026</t>
        </is>
      </c>
      <c r="N99" s="256" t="inlineStr">
        <is>
          <t>30.04.2026</t>
        </is>
      </c>
      <c r="O99" s="256" t="inlineStr">
        <is>
          <t>IPH — Institute of Public Health</t>
        </is>
      </c>
      <c r="P99" s="261" t="inlineStr">
        <is>
          <t>For information. This result is in the release register and on the tracker; no certificate of quality for the lot cites it. Where the lot appears in the two checks above, that is why.</t>
        </is>
      </c>
    </row>
    <row r="100">
      <c r="A100" s="261" t="inlineStr">
        <is>
          <t>on file, on no certificate</t>
        </is>
      </c>
      <c r="B100" s="256" t="inlineStr">
        <is>
          <t>JD112501</t>
        </is>
      </c>
      <c r="C100" s="256" t="inlineStr"/>
      <c r="D100" s="256" t="inlineStr"/>
      <c r="E100" s="256" t="inlineStr">
        <is>
          <t>IPH mycotoxins, metals, pesticides</t>
        </is>
      </c>
      <c r="F100" s="256" t="inlineStr"/>
      <c r="G100" s="256" t="inlineStr">
        <is>
          <t>11.3</t>
        </is>
      </c>
      <c r="H100" s="256" t="inlineStr">
        <is>
          <t>As</t>
        </is>
      </c>
      <c r="I100" s="256" t="inlineStr"/>
      <c r="J100" s="256" t="inlineStr"/>
      <c r="K100" s="256" t="inlineStr"/>
      <c r="L100" s="256" t="inlineStr">
        <is>
          <t>0.0175</t>
        </is>
      </c>
      <c r="M100" s="256" t="inlineStr">
        <is>
          <t>2365/2026</t>
        </is>
      </c>
      <c r="N100" s="256" t="inlineStr">
        <is>
          <t>30.04.2026</t>
        </is>
      </c>
      <c r="O100" s="256" t="inlineStr">
        <is>
          <t>IPH — Institute of Public Health</t>
        </is>
      </c>
      <c r="P100" s="261" t="inlineStr">
        <is>
          <t>For information. This result is in the release register and on the tracker; no certificate of quality for the lot cites it. Where the lot appears in the two checks above, that is why.</t>
        </is>
      </c>
    </row>
    <row r="101">
      <c r="A101" s="261" t="inlineStr">
        <is>
          <t>on file, on no certificate</t>
        </is>
      </c>
      <c r="B101" s="256" t="inlineStr">
        <is>
          <t>JD112501</t>
        </is>
      </c>
      <c r="C101" s="256" t="inlineStr"/>
      <c r="D101" s="256" t="inlineStr"/>
      <c r="E101" s="256" t="inlineStr">
        <is>
          <t>IPH mycotoxins, metals, pesticides</t>
        </is>
      </c>
      <c r="F101" s="256" t="inlineStr"/>
      <c r="G101" s="256" t="inlineStr">
        <is>
          <t>11.4</t>
        </is>
      </c>
      <c r="H101" s="256" t="inlineStr">
        <is>
          <t>Hg</t>
        </is>
      </c>
      <c r="I101" s="256" t="inlineStr"/>
      <c r="J101" s="256" t="inlineStr"/>
      <c r="K101" s="256" t="inlineStr"/>
      <c r="L101" s="256" t="inlineStr">
        <is>
          <t>0.0165</t>
        </is>
      </c>
      <c r="M101" s="256" t="inlineStr">
        <is>
          <t>2365/2026</t>
        </is>
      </c>
      <c r="N101" s="256" t="inlineStr">
        <is>
          <t>30.04.2026</t>
        </is>
      </c>
      <c r="O101" s="256" t="inlineStr">
        <is>
          <t>IPH — Institute of Public Health</t>
        </is>
      </c>
      <c r="P101" s="261" t="inlineStr">
        <is>
          <t>For information. This result is in the release register and on the tracker; no certificate of quality for the lot cites it. Where the lot appears in the two checks above, that is why.</t>
        </is>
      </c>
    </row>
    <row r="102">
      <c r="A102" s="261" t="inlineStr">
        <is>
          <t>on file, on no certificate</t>
        </is>
      </c>
      <c r="B102" s="256" t="inlineStr">
        <is>
          <t>JD112501</t>
        </is>
      </c>
      <c r="C102" s="256" t="inlineStr"/>
      <c r="D102" s="256" t="inlineStr"/>
      <c r="E102" s="256" t="inlineStr">
        <is>
          <t>IPH mycotoxins, metals, pesticides</t>
        </is>
      </c>
      <c r="F102" s="256" t="inlineStr"/>
      <c r="G102" s="256" t="inlineStr">
        <is>
          <t>12</t>
        </is>
      </c>
      <c r="H102" s="256" t="inlineStr">
        <is>
          <t>Pesticides</t>
        </is>
      </c>
      <c r="I102" s="256" t="inlineStr"/>
      <c r="J102" s="256" t="inlineStr"/>
      <c r="K102" s="256" t="inlineStr"/>
      <c r="L102" s="256" t="inlineStr">
        <is>
          <t>N.D.</t>
        </is>
      </c>
      <c r="M102" s="256" t="inlineStr">
        <is>
          <t>2365/2026</t>
        </is>
      </c>
      <c r="N102" s="256" t="inlineStr">
        <is>
          <t>30.04.2026</t>
        </is>
      </c>
      <c r="O102" s="256" t="inlineStr">
        <is>
          <t>IPH — Institute of Public Health</t>
        </is>
      </c>
      <c r="P102" s="261" t="inlineStr">
        <is>
          <t>For information. This result is in the release register and on the tracker; no certificate of quality for the lot cites it. Where the lot appears in the two checks above, that is why.</t>
        </is>
      </c>
    </row>
    <row r="103">
      <c r="A103" s="261" t="inlineStr">
        <is>
          <t>on file, on no certificate</t>
        </is>
      </c>
      <c r="B103" s="256" t="inlineStr">
        <is>
          <t>OPM1024</t>
        </is>
      </c>
      <c r="C103" s="256" t="inlineStr"/>
      <c r="D103" s="256" t="inlineStr"/>
      <c r="E103" s="256" t="inlineStr">
        <is>
          <t>Purely Plant in-house</t>
        </is>
      </c>
      <c r="F103" s="256" t="inlineStr"/>
      <c r="G103" s="256" t="inlineStr">
        <is>
          <t>10.2</t>
        </is>
      </c>
      <c r="H103" s="256" t="inlineStr">
        <is>
          <t>Aflatoxins Σ</t>
        </is>
      </c>
      <c r="I103" s="256" t="inlineStr"/>
      <c r="J103" s="256" t="inlineStr"/>
      <c r="K103" s="256" t="inlineStr"/>
      <c r="L103" s="256" t="inlineStr">
        <is>
          <t>&lt; 2</t>
        </is>
      </c>
      <c r="M103" s="256" t="inlineStr">
        <is>
          <t>n/a — Purely Plant in-house CoA (Batch OPM1024, no certificate/report number printed)</t>
        </is>
      </c>
      <c r="N103" s="256" t="inlineStr">
        <is>
          <t>23.04.2025</t>
        </is>
      </c>
      <c r="O103" s="256" t="inlineStr">
        <is>
          <t>Purely Plant GmbH (in-house)</t>
        </is>
      </c>
      <c r="P103" s="261" t="inlineStr">
        <is>
          <t>For information. This result is in the release register and on the tracker; no certificate of quality for the lot cites it. Where the lot appears in the two checks above, that is why.</t>
        </is>
      </c>
    </row>
    <row r="104">
      <c r="A104" s="261" t="inlineStr">
        <is>
          <t>on file, on no certificate</t>
        </is>
      </c>
      <c r="B104" s="256" t="inlineStr">
        <is>
          <t>OPM1024</t>
        </is>
      </c>
      <c r="C104" s="256" t="inlineStr"/>
      <c r="D104" s="256" t="inlineStr"/>
      <c r="E104" s="256" t="inlineStr">
        <is>
          <t>Purely Plant in-house</t>
        </is>
      </c>
      <c r="F104" s="256" t="inlineStr"/>
      <c r="G104" s="256" t="inlineStr">
        <is>
          <t>11.1</t>
        </is>
      </c>
      <c r="H104" s="256" t="inlineStr">
        <is>
          <t>Pb</t>
        </is>
      </c>
      <c r="I104" s="256" t="inlineStr"/>
      <c r="J104" s="256" t="inlineStr"/>
      <c r="K104" s="256" t="inlineStr"/>
      <c r="L104" s="256" t="inlineStr">
        <is>
          <t>0.031</t>
        </is>
      </c>
      <c r="M104" s="256" t="inlineStr">
        <is>
          <t>n/a — Purely Plant in-house CoA (Batch OPM1024, no certificate/report number printed)</t>
        </is>
      </c>
      <c r="N104" s="256" t="inlineStr">
        <is>
          <t>23.04.2025</t>
        </is>
      </c>
      <c r="O104" s="256" t="inlineStr">
        <is>
          <t>Purely Plant GmbH (in-house)</t>
        </is>
      </c>
      <c r="P104" s="261" t="inlineStr">
        <is>
          <t>For information. This result is in the release register and on the tracker; no certificate of quality for the lot cites it. Where the lot appears in the two checks above, that is why.</t>
        </is>
      </c>
    </row>
    <row r="105">
      <c r="A105" s="261" t="inlineStr">
        <is>
          <t>on file, on no certificate</t>
        </is>
      </c>
      <c r="B105" s="256" t="inlineStr">
        <is>
          <t>OPM1024</t>
        </is>
      </c>
      <c r="C105" s="256" t="inlineStr"/>
      <c r="D105" s="256" t="inlineStr"/>
      <c r="E105" s="256" t="inlineStr">
        <is>
          <t>Purely Plant in-house</t>
        </is>
      </c>
      <c r="F105" s="256" t="inlineStr"/>
      <c r="G105" s="256" t="inlineStr">
        <is>
          <t>11.2</t>
        </is>
      </c>
      <c r="H105" s="256" t="inlineStr">
        <is>
          <t>Cd</t>
        </is>
      </c>
      <c r="I105" s="256" t="inlineStr"/>
      <c r="J105" s="256" t="inlineStr"/>
      <c r="K105" s="256" t="inlineStr"/>
      <c r="L105" s="256" t="inlineStr">
        <is>
          <t>0.017</t>
        </is>
      </c>
      <c r="M105" s="256" t="inlineStr">
        <is>
          <t>n/a — Purely Plant in-house CoA (Batch OPM1024, no certificate/report number printed)</t>
        </is>
      </c>
      <c r="N105" s="256" t="inlineStr">
        <is>
          <t>23.04.2025</t>
        </is>
      </c>
      <c r="O105" s="256" t="inlineStr">
        <is>
          <t>Purely Plant GmbH (in-house)</t>
        </is>
      </c>
      <c r="P105" s="261" t="inlineStr">
        <is>
          <t>For information. This result is in the release register and on the tracker; no certificate of quality for the lot cites it. Where the lot appears in the two checks above, that is why.</t>
        </is>
      </c>
    </row>
    <row r="106">
      <c r="A106" s="261" t="inlineStr">
        <is>
          <t>on file, on no certificate</t>
        </is>
      </c>
      <c r="B106" s="256" t="inlineStr">
        <is>
          <t>OPM1024</t>
        </is>
      </c>
      <c r="C106" s="256" t="inlineStr"/>
      <c r="D106" s="256" t="inlineStr"/>
      <c r="E106" s="256" t="inlineStr">
        <is>
          <t>Purely Plant in-house</t>
        </is>
      </c>
      <c r="F106" s="256" t="inlineStr"/>
      <c r="G106" s="256" t="inlineStr">
        <is>
          <t>11.3</t>
        </is>
      </c>
      <c r="H106" s="256" t="inlineStr">
        <is>
          <t>As</t>
        </is>
      </c>
      <c r="I106" s="256" t="inlineStr"/>
      <c r="J106" s="256" t="inlineStr"/>
      <c r="K106" s="256" t="inlineStr"/>
      <c r="L106" s="256" t="inlineStr">
        <is>
          <t>0.045</t>
        </is>
      </c>
      <c r="M106" s="256" t="inlineStr">
        <is>
          <t>n/a — Purely Plant in-house CoA (Batch OPM1024, no certificate/report number printed)</t>
        </is>
      </c>
      <c r="N106" s="256" t="inlineStr">
        <is>
          <t>23.04.2025</t>
        </is>
      </c>
      <c r="O106" s="256" t="inlineStr">
        <is>
          <t>Purely Plant GmbH (in-house)</t>
        </is>
      </c>
      <c r="P106" s="261" t="inlineStr">
        <is>
          <t>For information. This result is in the release register and on the tracker; no certificate of quality for the lot cites it. Where the lot appears in the two checks above, that is why.</t>
        </is>
      </c>
    </row>
    <row r="107">
      <c r="A107" s="261" t="inlineStr">
        <is>
          <t>on file, on no certificate</t>
        </is>
      </c>
      <c r="B107" s="256" t="inlineStr">
        <is>
          <t>OPM1024</t>
        </is>
      </c>
      <c r="C107" s="256" t="inlineStr"/>
      <c r="D107" s="256" t="inlineStr"/>
      <c r="E107" s="256" t="inlineStr">
        <is>
          <t>Purely Plant in-house</t>
        </is>
      </c>
      <c r="F107" s="256" t="inlineStr"/>
      <c r="G107" s="256" t="inlineStr">
        <is>
          <t>11.4</t>
        </is>
      </c>
      <c r="H107" s="256" t="inlineStr">
        <is>
          <t>Hg</t>
        </is>
      </c>
      <c r="I107" s="256" t="inlineStr"/>
      <c r="J107" s="256" t="inlineStr"/>
      <c r="K107" s="256" t="inlineStr"/>
      <c r="L107" s="256" t="inlineStr">
        <is>
          <t>0.005</t>
        </is>
      </c>
      <c r="M107" s="256" t="inlineStr">
        <is>
          <t>n/a — Purely Plant in-house CoA (Batch OPM1024, no certificate/report number printed)</t>
        </is>
      </c>
      <c r="N107" s="256" t="inlineStr">
        <is>
          <t>23.04.2025</t>
        </is>
      </c>
      <c r="O107" s="256" t="inlineStr">
        <is>
          <t>Purely Plant GmbH (in-house)</t>
        </is>
      </c>
      <c r="P107" s="261" t="inlineStr">
        <is>
          <t>For information. This result is in the release register and on the tracker; no certificate of quality for the lot cites it. Where the lot appears in the two checks above, that is why.</t>
        </is>
      </c>
    </row>
    <row r="108">
      <c r="A108" s="261" t="inlineStr">
        <is>
          <t>on file, on no certificate</t>
        </is>
      </c>
      <c r="B108" s="256" t="inlineStr">
        <is>
          <t>OPM1024</t>
        </is>
      </c>
      <c r="C108" s="256" t="inlineStr"/>
      <c r="D108" s="256" t="inlineStr"/>
      <c r="E108" s="256" t="inlineStr">
        <is>
          <t>Purely Plant in-house</t>
        </is>
      </c>
      <c r="F108" s="256" t="inlineStr"/>
      <c r="G108" s="256" t="inlineStr">
        <is>
          <t>12</t>
        </is>
      </c>
      <c r="H108" s="256" t="inlineStr">
        <is>
          <t>Pesticides</t>
        </is>
      </c>
      <c r="I108" s="256" t="inlineStr"/>
      <c r="J108" s="256" t="inlineStr"/>
      <c r="K108" s="256" t="inlineStr"/>
      <c r="L108" s="256" t="inlineStr">
        <is>
          <t>N.D.</t>
        </is>
      </c>
      <c r="M108" s="256" t="inlineStr">
        <is>
          <t>n/a — Purely Plant in-house CoA (Batch OPM1024, no certificate/report number printed)</t>
        </is>
      </c>
      <c r="N108" s="256" t="inlineStr">
        <is>
          <t>23.04.2025</t>
        </is>
      </c>
      <c r="O108" s="256" t="inlineStr">
        <is>
          <t>Purely Plant GmbH (in-house)</t>
        </is>
      </c>
      <c r="P108" s="261" t="inlineStr">
        <is>
          <t>For information. This result is in the release register and on the tracker; no certificate of quality for the lot cites it. Where the lot appears in the two checks above, that is why.</t>
        </is>
      </c>
    </row>
    <row r="109">
      <c r="A109" s="261" t="inlineStr">
        <is>
          <t>on file, on no certificate</t>
        </is>
      </c>
      <c r="B109" s="256" t="inlineStr">
        <is>
          <t>OPM1024</t>
        </is>
      </c>
      <c r="C109" s="256" t="inlineStr"/>
      <c r="D109" s="256" t="inlineStr"/>
      <c r="E109" s="256" t="inlineStr">
        <is>
          <t>Purely Plant in-house</t>
        </is>
      </c>
      <c r="F109" s="256" t="inlineStr"/>
      <c r="G109" s="256" t="inlineStr">
        <is>
          <t>4</t>
        </is>
      </c>
      <c r="H109" s="256" t="inlineStr">
        <is>
          <t>Total Δ9-THC</t>
        </is>
      </c>
      <c r="I109" s="256" t="inlineStr"/>
      <c r="J109" s="256" t="inlineStr"/>
      <c r="K109" s="256" t="inlineStr"/>
      <c r="L109" s="256" t="inlineStr">
        <is>
          <t>19.96</t>
        </is>
      </c>
      <c r="M109" s="256" t="inlineStr">
        <is>
          <t>n/a — Purely Plant in-house CoA (Batch OPM1024, no certificate/report number printed)</t>
        </is>
      </c>
      <c r="N109" s="256" t="inlineStr">
        <is>
          <t>23.04.2025</t>
        </is>
      </c>
      <c r="O109" s="256" t="inlineStr">
        <is>
          <t>Purely Plant GmbH (in-house)</t>
        </is>
      </c>
      <c r="P109" s="261" t="inlineStr">
        <is>
          <t>For information. This result is in the release register and on the tracker; no certificate of quality for the lot cites it. Where the lot appears in the two checks above, that is why.</t>
        </is>
      </c>
    </row>
    <row r="110">
      <c r="A110" s="261" t="inlineStr">
        <is>
          <t>on file, on no certificate</t>
        </is>
      </c>
      <c r="B110" s="256" t="inlineStr">
        <is>
          <t>OPM1024</t>
        </is>
      </c>
      <c r="C110" s="256" t="inlineStr"/>
      <c r="D110" s="256" t="inlineStr"/>
      <c r="E110" s="256" t="inlineStr">
        <is>
          <t>Purely Plant in-house</t>
        </is>
      </c>
      <c r="F110" s="256" t="inlineStr"/>
      <c r="G110" s="256" t="inlineStr">
        <is>
          <t>5</t>
        </is>
      </c>
      <c r="H110" s="256" t="inlineStr">
        <is>
          <t>Total CBD</t>
        </is>
      </c>
      <c r="I110" s="256" t="inlineStr"/>
      <c r="J110" s="256" t="inlineStr"/>
      <c r="K110" s="256" t="inlineStr"/>
      <c r="L110" s="256" t="inlineStr">
        <is>
          <t>0.05</t>
        </is>
      </c>
      <c r="M110" s="256" t="inlineStr">
        <is>
          <t>n/a — Purely Plant in-house CoA (Batch OPM1024, no certificate/report number printed)</t>
        </is>
      </c>
      <c r="N110" s="256" t="inlineStr">
        <is>
          <t>23.04.2025</t>
        </is>
      </c>
      <c r="O110" s="256" t="inlineStr">
        <is>
          <t>Purely Plant GmbH (in-house)</t>
        </is>
      </c>
      <c r="P110" s="261" t="inlineStr">
        <is>
          <t>For information. This result is in the release register and on the tracker; no certificate of quality for the lot cites it. Where the lot appears in the two checks above, that is why.</t>
        </is>
      </c>
    </row>
    <row r="111">
      <c r="A111" s="261" t="inlineStr">
        <is>
          <t>on file, on no certificate</t>
        </is>
      </c>
      <c r="B111" s="256" t="inlineStr">
        <is>
          <t>OPM1024</t>
        </is>
      </c>
      <c r="C111" s="256" t="inlineStr"/>
      <c r="D111" s="256" t="inlineStr"/>
      <c r="E111" s="256" t="inlineStr">
        <is>
          <t>Purely Plant in-house</t>
        </is>
      </c>
      <c r="F111" s="256" t="inlineStr"/>
      <c r="G111" s="256" t="inlineStr">
        <is>
          <t>9.1</t>
        </is>
      </c>
      <c r="H111" s="256" t="inlineStr">
        <is>
          <t>TAMC</t>
        </is>
      </c>
      <c r="I111" s="256" t="inlineStr"/>
      <c r="J111" s="256" t="inlineStr"/>
      <c r="K111" s="256" t="inlineStr"/>
      <c r="L111" s="256" t="inlineStr">
        <is>
          <t>1.3·10^4</t>
        </is>
      </c>
      <c r="M111" s="256" t="inlineStr">
        <is>
          <t>n/a — Purely Plant in-house CoA (Batch OPM1024, no certificate/report number printed)</t>
        </is>
      </c>
      <c r="N111" s="256" t="inlineStr">
        <is>
          <t>23.04.2025</t>
        </is>
      </c>
      <c r="O111" s="256" t="inlineStr">
        <is>
          <t>Purely Plant GmbH (in-house)</t>
        </is>
      </c>
      <c r="P111" s="261" t="inlineStr">
        <is>
          <t>For information. This result is in the release register and on the tracker; no certificate of quality for the lot cites it. Where the lot appears in the two checks above, that is why.</t>
        </is>
      </c>
    </row>
    <row r="112">
      <c r="A112" s="261" t="inlineStr">
        <is>
          <t>on file, on no certificate</t>
        </is>
      </c>
      <c r="B112" s="256" t="inlineStr">
        <is>
          <t>OPM1024</t>
        </is>
      </c>
      <c r="C112" s="256" t="inlineStr"/>
      <c r="D112" s="256" t="inlineStr"/>
      <c r="E112" s="256" t="inlineStr">
        <is>
          <t>Purely Plant in-house</t>
        </is>
      </c>
      <c r="F112" s="256" t="inlineStr"/>
      <c r="G112" s="256" t="inlineStr">
        <is>
          <t>9.2</t>
        </is>
      </c>
      <c r="H112" s="256" t="inlineStr">
        <is>
          <t>TYMC</t>
        </is>
      </c>
      <c r="I112" s="256" t="inlineStr"/>
      <c r="J112" s="256" t="inlineStr"/>
      <c r="K112" s="256" t="inlineStr"/>
      <c r="L112" s="256" t="inlineStr">
        <is>
          <t>7·10^2</t>
        </is>
      </c>
      <c r="M112" s="256" t="inlineStr">
        <is>
          <t>n/a — Purely Plant in-house CoA (Batch OPM1024, no certificate/report number printed)</t>
        </is>
      </c>
      <c r="N112" s="256" t="inlineStr">
        <is>
          <t>23.04.2025</t>
        </is>
      </c>
      <c r="O112" s="256" t="inlineStr">
        <is>
          <t>Purely Plant GmbH (in-house)</t>
        </is>
      </c>
      <c r="P112" s="261" t="inlineStr">
        <is>
          <t>For information. This result is in the release register and on the tracker; no certificate of quality for the lot cites it. Where the lot appears in the two checks above, that is why.</t>
        </is>
      </c>
    </row>
    <row r="113">
      <c r="A113" s="261" t="inlineStr">
        <is>
          <t>on file, on no certificate</t>
        </is>
      </c>
      <c r="B113" s="256" t="inlineStr">
        <is>
          <t>OPM1024</t>
        </is>
      </c>
      <c r="C113" s="256" t="inlineStr"/>
      <c r="D113" s="256" t="inlineStr"/>
      <c r="E113" s="256" t="inlineStr">
        <is>
          <t>Purely Plant in-house</t>
        </is>
      </c>
      <c r="F113" s="256" t="inlineStr"/>
      <c r="G113" s="256" t="inlineStr">
        <is>
          <t>9.3</t>
        </is>
      </c>
      <c r="H113" s="256" t="inlineStr">
        <is>
          <t>Bile-tolerant GNB</t>
        </is>
      </c>
      <c r="I113" s="256" t="inlineStr"/>
      <c r="J113" s="256" t="inlineStr"/>
      <c r="K113" s="256" t="inlineStr"/>
      <c r="L113" s="256" t="inlineStr">
        <is>
          <t>&lt;10²&gt;10³</t>
        </is>
      </c>
      <c r="M113" s="256" t="inlineStr">
        <is>
          <t>n/a — Purely Plant in-house CoA (Batch OPM1024, no certificate/report number printed)</t>
        </is>
      </c>
      <c r="N113" s="256" t="inlineStr">
        <is>
          <t>23.04.2025</t>
        </is>
      </c>
      <c r="O113" s="256" t="inlineStr">
        <is>
          <t>Purely Plant GmbH (in-house)</t>
        </is>
      </c>
      <c r="P113" s="261" t="inlineStr">
        <is>
          <t>For information. This result is in the release register and on the tracker; no certificate of quality for the lot cites it. Where the lot appears in the two checks above, that is why.</t>
        </is>
      </c>
    </row>
    <row r="114">
      <c r="A114" s="261" t="inlineStr">
        <is>
          <t>on file, on no certificate</t>
        </is>
      </c>
      <c r="B114" s="256" t="inlineStr">
        <is>
          <t>OPM1024</t>
        </is>
      </c>
      <c r="C114" s="256" t="inlineStr"/>
      <c r="D114" s="256" t="inlineStr"/>
      <c r="E114" s="256" t="inlineStr">
        <is>
          <t>Purely Plant in-house</t>
        </is>
      </c>
      <c r="F114" s="256" t="inlineStr"/>
      <c r="G114" s="256" t="inlineStr">
        <is>
          <t>9.4</t>
        </is>
      </c>
      <c r="H114" s="256" t="inlineStr">
        <is>
          <t>Salmonella</t>
        </is>
      </c>
      <c r="I114" s="256" t="inlineStr"/>
      <c r="J114" s="256" t="inlineStr"/>
      <c r="K114" s="256" t="inlineStr"/>
      <c r="L114" s="256" t="inlineStr">
        <is>
          <t>Absent</t>
        </is>
      </c>
      <c r="M114" s="256" t="inlineStr">
        <is>
          <t>n/a — Purely Plant in-house CoA (Batch OPM1024, no certificate/report number printed)</t>
        </is>
      </c>
      <c r="N114" s="256" t="inlineStr">
        <is>
          <t>23.04.2025</t>
        </is>
      </c>
      <c r="O114" s="256" t="inlineStr">
        <is>
          <t>Purely Plant GmbH (in-house)</t>
        </is>
      </c>
      <c r="P114" s="261" t="inlineStr">
        <is>
          <t>For information. This result is in the release register and on the tracker; no certificate of quality for the lot cites it. Where the lot appears in the two checks above, that is why.</t>
        </is>
      </c>
    </row>
    <row r="115">
      <c r="A115" s="261" t="inlineStr">
        <is>
          <t>on file, on no certificate</t>
        </is>
      </c>
      <c r="B115" s="256" t="inlineStr">
        <is>
          <t>OPM1024</t>
        </is>
      </c>
      <c r="C115" s="256" t="inlineStr"/>
      <c r="D115" s="256" t="inlineStr"/>
      <c r="E115" s="256" t="inlineStr">
        <is>
          <t>Purely Plant in-house</t>
        </is>
      </c>
      <c r="F115" s="256" t="inlineStr"/>
      <c r="G115" s="256" t="inlineStr">
        <is>
          <t>9.5</t>
        </is>
      </c>
      <c r="H115" s="256" t="inlineStr">
        <is>
          <t>E. coli</t>
        </is>
      </c>
      <c r="I115" s="256" t="inlineStr"/>
      <c r="J115" s="256" t="inlineStr"/>
      <c r="K115" s="256" t="inlineStr"/>
      <c r="L115" s="256" t="inlineStr">
        <is>
          <t>Absent</t>
        </is>
      </c>
      <c r="M115" s="256" t="inlineStr">
        <is>
          <t>n/a — Purely Plant in-house CoA (Batch OPM1024, no certificate/report number printed)</t>
        </is>
      </c>
      <c r="N115" s="256" t="inlineStr">
        <is>
          <t>23.04.2025</t>
        </is>
      </c>
      <c r="O115" s="256" t="inlineStr">
        <is>
          <t>Purely Plant GmbH (in-house)</t>
        </is>
      </c>
      <c r="P115" s="261" t="inlineStr">
        <is>
          <t>For information. This result is in the release register and on the tracker; no certificate of quality for the lot cites it. Where the lot appears in the two checks above, that is why.</t>
        </is>
      </c>
    </row>
    <row r="116">
      <c r="A116" s="261" t="inlineStr">
        <is>
          <t>on file, on no certificate</t>
        </is>
      </c>
      <c r="B116" s="256" t="inlineStr">
        <is>
          <t>P060212</t>
        </is>
      </c>
      <c r="C116" s="256" t="inlineStr">
        <is>
          <t>P060212</t>
        </is>
      </c>
      <c r="D116" s="256" t="inlineStr"/>
      <c r="E116" s="256" t="inlineStr">
        <is>
          <t>IPH microbiology</t>
        </is>
      </c>
      <c r="F116" s="256" t="inlineStr"/>
      <c r="G116" s="256" t="inlineStr">
        <is>
          <t>9.1</t>
        </is>
      </c>
      <c r="H116" s="256" t="inlineStr">
        <is>
          <t>TAMC</t>
        </is>
      </c>
      <c r="I116" s="256" t="inlineStr"/>
      <c r="J116" s="256" t="inlineStr"/>
      <c r="K116" s="256" t="inlineStr"/>
      <c r="L116" s="256" t="inlineStr">
        <is>
          <t>1×10⁴</t>
        </is>
      </c>
      <c r="M116" s="256" t="inlineStr">
        <is>
          <t>306-0550-26</t>
        </is>
      </c>
      <c r="N116" s="256" t="inlineStr">
        <is>
          <t>28.04.2026</t>
        </is>
      </c>
      <c r="O116" s="256" t="inlineStr">
        <is>
          <t>IPH — Institute of Public Health</t>
        </is>
      </c>
      <c r="P116" s="261" t="inlineStr">
        <is>
          <t>For information. This result is in the release register and on the tracker; no certificate of quality for the lot cites it. Where the lot appears in the two checks above, that is why.</t>
        </is>
      </c>
    </row>
    <row r="117">
      <c r="A117" s="261" t="inlineStr">
        <is>
          <t>on file, on no certificate</t>
        </is>
      </c>
      <c r="B117" s="256" t="inlineStr">
        <is>
          <t>P060212</t>
        </is>
      </c>
      <c r="C117" s="256" t="inlineStr">
        <is>
          <t>P060212</t>
        </is>
      </c>
      <c r="D117" s="256" t="inlineStr"/>
      <c r="E117" s="256" t="inlineStr">
        <is>
          <t>IPH microbiology</t>
        </is>
      </c>
      <c r="F117" s="256" t="inlineStr"/>
      <c r="G117" s="256" t="inlineStr">
        <is>
          <t>9.2</t>
        </is>
      </c>
      <c r="H117" s="256" t="inlineStr">
        <is>
          <t>TYMC</t>
        </is>
      </c>
      <c r="I117" s="256" t="inlineStr"/>
      <c r="J117" s="256" t="inlineStr"/>
      <c r="K117" s="256" t="inlineStr"/>
      <c r="L117" s="256" t="inlineStr">
        <is>
          <t>6.7×10³</t>
        </is>
      </c>
      <c r="M117" s="256" t="inlineStr">
        <is>
          <t>306-0550-26</t>
        </is>
      </c>
      <c r="N117" s="256" t="inlineStr">
        <is>
          <t>28.04.2026</t>
        </is>
      </c>
      <c r="O117" s="256" t="inlineStr">
        <is>
          <t>IPH — Institute of Public Health</t>
        </is>
      </c>
      <c r="P117" s="261" t="inlineStr">
        <is>
          <t>For information. This result is in the release register and on the tracker; no certificate of quality for the lot cites it. Where the lot appears in the two checks above, that is why.</t>
        </is>
      </c>
    </row>
    <row r="118">
      <c r="A118" s="261" t="inlineStr">
        <is>
          <t>on file, on no certificate</t>
        </is>
      </c>
      <c r="B118" s="256" t="inlineStr">
        <is>
          <t>P060212</t>
        </is>
      </c>
      <c r="C118" s="256" t="inlineStr">
        <is>
          <t>P060212</t>
        </is>
      </c>
      <c r="D118" s="256" t="inlineStr"/>
      <c r="E118" s="256" t="inlineStr">
        <is>
          <t>IPH microbiology</t>
        </is>
      </c>
      <c r="F118" s="256" t="inlineStr"/>
      <c r="G118" s="256" t="inlineStr">
        <is>
          <t>9.3</t>
        </is>
      </c>
      <c r="H118" s="256" t="inlineStr">
        <is>
          <t>Bile-tolerant GNB</t>
        </is>
      </c>
      <c r="I118" s="256" t="inlineStr"/>
      <c r="J118" s="256" t="inlineStr"/>
      <c r="K118" s="256" t="inlineStr"/>
      <c r="L118" s="256" t="inlineStr">
        <is>
          <t>&lt; 10³ и &gt;10²</t>
        </is>
      </c>
      <c r="M118" s="256" t="inlineStr">
        <is>
          <t>306-0550-26</t>
        </is>
      </c>
      <c r="N118" s="256" t="inlineStr">
        <is>
          <t>28.04.2026</t>
        </is>
      </c>
      <c r="O118" s="256" t="inlineStr">
        <is>
          <t>IPH — Institute of Public Health</t>
        </is>
      </c>
      <c r="P118" s="261" t="inlineStr">
        <is>
          <t>For information. This result is in the release register and on the tracker; no certificate of quality for the lot cites it. Where the lot appears in the two checks above, that is why.</t>
        </is>
      </c>
    </row>
    <row r="119">
      <c r="A119" s="261" t="inlineStr">
        <is>
          <t>on file, on no certificate</t>
        </is>
      </c>
      <c r="B119" s="256" t="inlineStr">
        <is>
          <t>P060212</t>
        </is>
      </c>
      <c r="C119" s="256" t="inlineStr">
        <is>
          <t>P060212</t>
        </is>
      </c>
      <c r="D119" s="256" t="inlineStr"/>
      <c r="E119" s="256" t="inlineStr">
        <is>
          <t>IPH microbiology</t>
        </is>
      </c>
      <c r="F119" s="256" t="inlineStr"/>
      <c r="G119" s="256" t="inlineStr">
        <is>
          <t>9.4</t>
        </is>
      </c>
      <c r="H119" s="256" t="inlineStr">
        <is>
          <t>Salmonella</t>
        </is>
      </c>
      <c r="I119" s="256" t="inlineStr"/>
      <c r="J119" s="256" t="inlineStr"/>
      <c r="K119" s="256" t="inlineStr"/>
      <c r="L119" s="256" t="inlineStr">
        <is>
          <t>Отсутна/g</t>
        </is>
      </c>
      <c r="M119" s="256" t="inlineStr">
        <is>
          <t>306-0550-26</t>
        </is>
      </c>
      <c r="N119" s="256" t="inlineStr">
        <is>
          <t>28.04.2026</t>
        </is>
      </c>
      <c r="O119" s="256" t="inlineStr">
        <is>
          <t>IPH — Institute of Public Health</t>
        </is>
      </c>
      <c r="P119" s="261" t="inlineStr">
        <is>
          <t>For information. This result is in the release register and on the tracker; no certificate of quality for the lot cites it. Where the lot appears in the two checks above, that is why.</t>
        </is>
      </c>
    </row>
    <row r="120">
      <c r="A120" s="261" t="inlineStr">
        <is>
          <t>on file, on no certificate</t>
        </is>
      </c>
      <c r="B120" s="256" t="inlineStr">
        <is>
          <t>P060212</t>
        </is>
      </c>
      <c r="C120" s="256" t="inlineStr">
        <is>
          <t>P060212</t>
        </is>
      </c>
      <c r="D120" s="256" t="inlineStr"/>
      <c r="E120" s="256" t="inlineStr">
        <is>
          <t>IPH microbiology</t>
        </is>
      </c>
      <c r="F120" s="256" t="inlineStr"/>
      <c r="G120" s="256" t="inlineStr">
        <is>
          <t>9.5</t>
        </is>
      </c>
      <c r="H120" s="256" t="inlineStr">
        <is>
          <t>E. coli</t>
        </is>
      </c>
      <c r="I120" s="256" t="inlineStr"/>
      <c r="J120" s="256" t="inlineStr"/>
      <c r="K120" s="256" t="inlineStr"/>
      <c r="L120" s="256" t="inlineStr">
        <is>
          <t>Отсутна/25 g</t>
        </is>
      </c>
      <c r="M120" s="256" t="inlineStr">
        <is>
          <t>306-0550-26</t>
        </is>
      </c>
      <c r="N120" s="256" t="inlineStr">
        <is>
          <t>28.04.2026</t>
        </is>
      </c>
      <c r="O120" s="256" t="inlineStr">
        <is>
          <t>IPH — Institute of Public Health</t>
        </is>
      </c>
      <c r="P120" s="261" t="inlineStr">
        <is>
          <t>For information. This result is in the release register and on the tracker; no certificate of quality for the lot cites it. Where the lot appears in the two checks above, that is why.</t>
        </is>
      </c>
    </row>
  </sheetData>
  <autoFilter ref="A1:P120"/>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60"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 (Purely Plant, at packaging) — coverage for the release CoQ; CNP document code where CNP reported it</t>
        </is>
      </c>
      <c r="G2" s="103" t="inlineStr">
        <is>
          <t>G–I</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 (Purely Plant, at packaging) — coverage for the release CoQ; CNP document code where CNP reported it</t>
        </is>
      </c>
      <c r="G3" s="103" t="inlineStr">
        <is>
          <t>J–L</t>
        </is>
      </c>
    </row>
    <row r="4">
      <c r="A4" s="108" t="inlineStr">
        <is>
          <t>3</t>
        </is>
      </c>
      <c r="B4" s="97" t="inlineStr">
        <is>
          <t>Identification C — HPLC</t>
        </is>
      </c>
      <c r="C4" s="102" t="inlineStr">
        <is>
          <t>Identification C · HPLC/HPTLC</t>
        </is>
      </c>
      <c r="D4" s="102" t="inlineStr">
        <is>
          <t>Ph. Eur. 2.2.29 (3028) · on a CoQ citing a CNP certificate up to ППК26069 (11.05.2026): DAB 2018 monograph Cannabis flos (2.2.29 / 2.2.32), the method CNP used before its Ph. Eur. 3028 accreditation (cnp_methods_2026-09-15.csv)</t>
        </is>
      </c>
      <c r="E4" s="102" t="inlineStr">
        <is>
          <t>Conforms to Ph. Eur. monograph 3028 (Cannabis flos)</t>
        </is>
      </c>
      <c r="F4" s="102" t="inlineStr">
        <is>
          <t>Outsourced certificate (eCoA): the cannabinoid-assay certificate, reported as Conforms (ImB spec.)</t>
        </is>
      </c>
      <c r="G4" s="103" t="inlineStr">
        <is>
          <t>M–O</t>
        </is>
      </c>
    </row>
    <row r="5">
      <c r="A5" s="108" t="inlineStr">
        <is>
          <t>4</t>
        </is>
      </c>
      <c r="B5" s="97" t="inlineStr">
        <is>
          <t>Assay — Total Δ⁹-THC</t>
        </is>
      </c>
      <c r="C5" s="102" t="inlineStr">
        <is>
          <t>Assay — Total Δ⁹-THC</t>
        </is>
      </c>
      <c r="D5" s="102" t="inlineStr">
        <is>
          <t>Ph. Eur. 2.2.29 (HPLC) · on a CoQ citing a CNP certificate up to ППК26069 (11.05.2026): DAB 2018 monograph Cannabis flos (2.2.29 / 2.2.32), the method CNP used before its Ph. Eur. 3028 accreditation (cnp_methods_2026-09-15.csv)</t>
        </is>
      </c>
      <c r="E5" s="102" t="inlineStr">
        <is>
          <t>Per target grade (CoQ §01)</t>
        </is>
      </c>
      <c r="F5" s="102" t="inlineStr">
        <is>
          <t>Outsourced certificate (eCoA)</t>
        </is>
      </c>
      <c r="G5" s="103" t="inlineStr">
        <is>
          <t>P–R</t>
        </is>
      </c>
    </row>
    <row r="6">
      <c r="A6" s="108" t="inlineStr">
        <is>
          <t>5</t>
        </is>
      </c>
      <c r="B6" s="97" t="inlineStr">
        <is>
          <t>Assay — Total CBD</t>
        </is>
      </c>
      <c r="C6" s="102" t="inlineStr">
        <is>
          <t>Assay — Total CBD</t>
        </is>
      </c>
      <c r="D6" s="102" t="inlineStr">
        <is>
          <t>Ph. Eur. 2.2.29 (HPLC) · CBD + CBDA x 0.877 · on a CoQ citing a CNP certificate up to ППК26069 (11.05.2026): DAB 2018 monograph Cannabis flos (2.2.29 / 2.2.32), the method CNP used before its Ph. Eur. 3028 accreditation (cnp_methods_2026-09-15.csv)</t>
        </is>
      </c>
      <c r="E6" s="102" t="inlineStr">
        <is>
          <t>≤ 1.0 % w/w</t>
        </is>
      </c>
      <c r="F6" s="102" t="inlineStr">
        <is>
          <t>Outsourced certificate (eCoA)</t>
        </is>
      </c>
      <c r="G6" s="103" t="inlineStr">
        <is>
          <t>S–U</t>
        </is>
      </c>
    </row>
    <row r="7">
      <c r="A7" s="108" t="inlineStr">
        <is>
          <t>6</t>
        </is>
      </c>
      <c r="B7" s="97" t="inlineStr">
        <is>
          <t>Total CBN</t>
        </is>
      </c>
      <c r="C7" s="102" t="inlineStr">
        <is>
          <t>Total CBN</t>
        </is>
      </c>
      <c r="D7" s="102" t="inlineStr">
        <is>
          <t>Ph. Eur. 2.2.29 (HPLC) · CBN + CBNA x 0.876 · on a CoQ citing a CNP certificate up to ППК26069 (11.05.2026): DAB 2018 monograph Cannabis flos (2.2.29 / 2.2.32), the method CNP used before its Ph. Eur. 3028 accreditation (cnp_methods_2026-09-15.csv)</t>
        </is>
      </c>
      <c r="E7" s="102" t="inlineStr">
        <is>
          <t>≤ 1.0 % w/w</t>
        </is>
      </c>
      <c r="F7" s="102" t="inlineStr">
        <is>
          <t>Outsourced certificate (eCoA)</t>
        </is>
      </c>
      <c r="G7" s="103" t="inlineStr">
        <is>
          <t>V–X</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 (Purely Plant, at packaging) — coverage for the release CoQ; CNP document code where CNP reported it</t>
        </is>
      </c>
      <c r="G8" s="103" t="inlineStr">
        <is>
          <t>Y–AA</t>
        </is>
      </c>
    </row>
    <row r="9">
      <c r="A9" s="108" t="inlineStr">
        <is>
          <t>8</t>
        </is>
      </c>
      <c r="B9" s="97" t="inlineStr">
        <is>
          <t>Loss on Drying</t>
        </is>
      </c>
      <c r="C9" s="102" t="inlineStr">
        <is>
          <t>Loss on Drying</t>
        </is>
      </c>
      <c r="D9" s="102" t="inlineStr">
        <is>
          <t>Ph. Eur. 2.2.32 (3028) · at 40 °C, 24 h, 15–25 mbar · on a CoQ citing a CNP certificate up to ППК26069 (11.05.2026): DAB 2018 monograph Cannabis flos (2.2.29 / 2.2.32), the method CNP used before its Ph. Eur. 3028 accreditation (cnp_methods_2026-09-15.csv)</t>
        </is>
      </c>
      <c r="E9" s="102" t="inlineStr">
        <is>
          <t>≤ 12.0 %</t>
        </is>
      </c>
      <c r="F9" s="102" t="inlineStr">
        <is>
          <t>Outsourced certificate (eCoA)</t>
        </is>
      </c>
      <c r="G9" s="103" t="inlineStr">
        <is>
          <t>AB–AD</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AE</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AF</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AG</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AH</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AI</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AK</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AL</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AM</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AO</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AP</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AQ</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AR</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AT–AV</t>
        </is>
      </c>
    </row>
  </sheetData>
  <autoFilter ref="A1:G22"/>
  <pageMargins left="0.3" right="0.3" top="0.4" bottom="0.4" header="0.5" footer="0.5"/>
  <pageSetup orientation="landscape" paperSize="8" fitToHeight="0" fitToWidth="1"/>
</worksheet>
</file>

<file path=xl/worksheets/sheet12.xml><?xml version="1.0" encoding="utf-8"?>
<worksheet xmlns="http://schemas.openxmlformats.org/spreadsheetml/2006/main">
  <sheetPr>
    <outlinePr summaryBelow="1" summaryRight="1"/>
    <pageSetUpPr fitToPage="1"/>
  </sheetPr>
  <dimension ref="A1:AA1227"/>
  <sheetViews>
    <sheetView workbookViewId="0">
      <selection activeCell="A1" sqref="A1"/>
    </sheetView>
  </sheetViews>
  <sheetFormatPr baseColWidth="8" defaultRowHeight="15"/>
  <cols>
    <col width="36" customWidth="1" style="70" min="1" max="1"/>
    <col width="118" customWidth="1" style="70" min="2" max="2"/>
    <col width="42" customWidth="1" style="70" min="3" max="3"/>
    <col width="46" customWidth="1" style="70" min="4" max="4"/>
    <col width="60" customWidth="1" style="70" min="5" max="5"/>
    <col width="40" customWidth="1" style="70" min="6" max="6"/>
    <col width="44" customWidth="1" style="70" min="7" max="7"/>
    <col width="62" customWidth="1" style="70" min="8" max="8"/>
    <col width="58" customWidth="1" style="70" min="9" max="9"/>
    <col width="14" customWidth="1" style="70" min="10" max="10"/>
    <col width="40" customWidth="1" style="70" min="11" max="11"/>
    <col width="11" customWidth="1" style="70" min="12" max="12"/>
    <col width="16" customWidth="1" style="70" min="13" max="13"/>
    <col width="8" customWidth="1" style="70" min="14" max="14"/>
    <col width="46" customWidth="1" style="70" min="15" max="15"/>
    <col width="8.6" customWidth="1" style="70" min="16" max="16"/>
    <col width="8.6" customWidth="1" style="70" min="17" max="17"/>
    <col width="8.6" customWidth="1" style="70" min="18" max="18"/>
    <col width="3.4" customWidth="1" style="70" min="19" max="19"/>
    <col width="8.6" customWidth="1" style="70" min="20" max="20"/>
    <col width="8.6" customWidth="1" style="70" min="21" max="21"/>
    <col width="8.6" customWidth="1" style="70" min="22" max="22"/>
    <col width="8.6" customWidth="1" style="70" min="23" max="23"/>
    <col width="3.4" customWidth="1" style="70" min="24" max="24"/>
    <col width="10" customWidth="1" style="70" min="25" max="25"/>
    <col width="21" customWidth="1" style="70" min="26" max="26"/>
    <col width="3.4" customWidth="1" style="70" min="27" max="27"/>
  </cols>
  <sheetData>
    <row r="1" ht="20" customHeight="1" s="70">
      <c r="A1" s="264" t="inlineStr">
        <is>
          <t>READ ME</t>
        </is>
      </c>
    </row>
    <row r="2">
      <c r="A2" s="265" t="inlineStr">
        <is>
          <t>CoQ Analysis Master — v47</t>
        </is>
      </c>
    </row>
    <row r="3" ht="39" customHeight="1" s="70">
      <c r="A3" s="266" t="inlineStr">
        <is>
          <t>What it is</t>
        </is>
      </c>
      <c r="B3" s="267" t="inlineStr">
        <is>
          <t>Built 18.09.2026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is>
      </c>
    </row>
    <row r="5">
      <c r="A5" s="268" t="inlineStr">
        <is>
          <t>SHEETS</t>
        </is>
      </c>
    </row>
    <row r="6" ht="52" customHeight="1" s="70">
      <c r="A6" s="266" t="inlineStr">
        <is>
          <t>Batch Coverage</t>
        </is>
      </c>
      <c r="B6" s="267" t="inlineStr">
        <is>
          <t>One row per lot: ✓/✗/○ for each of the 12 parameters, the missing list, and two pairs of document columns — the certificates the tracker actually cites with their laboratories, and separately the documents on file from the 09.09.2026 pass that the desk has not recorded. Both pairs are derived here from the tracker rather than carried forward, which is what let them drift apart. ○ counts as missing: nothing can be cited until the desk records the document. A grey ✓ is covered by the in-house iCoA.</t>
        </is>
      </c>
    </row>
    <row r="7" ht="39" customHeight="1" s="70">
      <c r="A7" s="266" t="inlineStr">
        <is>
          <t>CoQ Parameter Tracker v47</t>
        </is>
      </c>
      <c r="B7" s="267" t="inlineStr">
        <is>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is>
      </c>
    </row>
    <row r="8" ht="13" customHeight="1" s="70">
      <c r="A8" s="266" t="inlineStr">
        <is>
          <t>Batch Dates</t>
        </is>
      </c>
      <c r="B8" s="267" t="inlineStr">
        <is>
          <t>The Head of QC's harvest and packaging dates per batch (04.09.2026), as dates; the registers look their packaging dates up here.</t>
        </is>
      </c>
    </row>
    <row r="9" ht="39" customHeight="1" s="70">
      <c r="A9" s="266" t="inlineStr">
        <is>
          <t>iCoA Register</t>
        </is>
      </c>
      <c r="B9" s="267" t="inlineStr">
        <is>
          <t>The standing register of internal certificates of analysis, one row per testing round (the owner's ruling of 10.09.2026: every internal certificate that exists or ever will). It renders icoa_register.py — the series the certificates print from — so the number and the code are literals taken from it, never computed from a row's position; a lot the series does not carry follows below, unnumbered and saying why.</t>
        </is>
      </c>
    </row>
    <row r="10" ht="52" customHeight="1" s="70">
      <c r="A10" s="266" t="inlineStr">
        <is>
          <t>CoQ Register</t>
        </is>
      </c>
      <c r="B10" s="267" t="inlineStr">
        <is>
          <t>The preliminary CoQ issuance register: CoQ-PP_26-nnn in the order of issue — release and reissue — the latest eCoA each CoQ cites, its iCoA, the adherence flags under the table; since v29 the initial certificate a reissue supersedes (by the register's own code) and the potency grading of the certificate's Total THC result: grade nominal ± tolerance, window, product code and specification document code from the potency specification of 15.09.2026 (Potency Grades tab).</t>
        </is>
      </c>
    </row>
    <row r="11" ht="78" customHeight="1" s="70">
      <c r="A11" s="266" t="inlineStr">
        <is>
          <t>CoQ References</t>
        </is>
      </c>
      <c r="B11" s="267" t="inlineStr">
        <is>
          <t>One row per certificate of quality, one column per determination #1 to #12: the document the CoQ cites for it — code, date of issue, laboratory abbreviation (CNP, IJZ, IJZ-MB, FHM-K, FHM-M, DFL, PP) — with the sampling day (the campaign's for a reissue, the packaging day for a release certificate) and the date each cited external certificate says the laboratory admitted the sample (receipt_dates.py). `*` an internal CoA issued at the certificate's issue; `also X` a later document for the same determination; `(initial)` a reissue's row carried from the initial certificate; `DAB` the cited CNP certificate used the DAB monograph; `u/r` upon request; `n/t` not tested — every n/t cell is red for the owner's check and listed in the Not Tested Review section of Reference. The CoQ code is the CoQ Register's. Built by coq_references.py.</t>
        </is>
      </c>
    </row>
    <row r="12" ht="65" customHeight="1" s="70">
      <c r="A12" s="266" t="inlineStr">
        <is>
          <t>Potency Grades</t>
        </is>
      </c>
      <c r="B12" s="267" t="inlineStr">
        <is>
          <t>The potency grades per strain — grade nominal, tolerance and specification window (nominal ± tolerance) — as the Head of QC's potency specification of 15.09.2026 prints them (Potency_specifications_233.pdf; starting nominals QCSP 001 v.03, results CoQ_Analysis_Master_v25 — confirmed grade by grade against the owner's Potency_specifications_25.pdf of 17.09.2026, which corrected Amnesia Core Cut's tolerance to ± 1.20 and added Wedding Cake at 26.00 ± 2.60), one row per strain and grade, with the measured Total Δ9-THC results each page rests on. Built from potency_grades_2026-09-15.csv by potency_grades.py.</t>
        </is>
      </c>
    </row>
    <row r="13" ht="78" customHeight="1" s="70">
      <c r="A13" s="266" t="inlineStr">
        <is>
          <t>CoQ Compilation</t>
        </is>
      </c>
      <c r="B13" s="267" t="inlineStr">
        <is>
          <t>The owner's first request (31.08.2026): one row per certificate of quality — release and reissue, every batch — with the template's header fields (code, date of issue, the certificate it supersedes, batch, P lot, strain, harvest and packaging, the internal certificate, Total THC and its certificate, grade, potency window, product and specification codes, the specification's bands) and, for every determination #1 to #12 with its sub-determinations (23), four columns: the result the certificate prints, the document it rests on, that document's date of issue and its laboratory. A determination the certificate prints no result for shows why (not tested, upon request, to be performed in house, awaiting a certificate). The code is the CoQ Register's.</t>
        </is>
      </c>
    </row>
    <row r="14" ht="39" customHeight="1" s="70">
      <c r="A14" s="269" t="inlineStr">
        <is>
          <t>CoQ Compilation (long)</t>
        </is>
      </c>
      <c r="B14" s="267" t="inlineStr">
        <is>
          <t>The same compilation one row per certificate of quality and determination (172 × 23), with the method, the acceptance criterion, the laboratory's receipt date of the sample, the desk's status for the row, the route where nothing is on file yet, and the other documents on file that also carry the result.</t>
        </is>
      </c>
    </row>
    <row r="15" ht="130" customHeight="1" s="70">
      <c r="A15" s="270" t="inlineStr">
        <is>
          <t>Result Supersession</t>
        </is>
      </c>
      <c r="B15" s="267" t="inlineStr">
        <is>
          <t>The sweep of 16.09.2026 (result_supersession.py), one row per finding, filterable on CHECK. "cited as covering" — a RELEASE certificate citing the release result while a later retest is on file, which is the owner's ruling of 10.09.2026 working as written and is not a defect. "carried forward" — a reissue carrying a determination forward from the initial testing because its campaign did not retest it, while a later result for the same lot is on file: the rows OI-38 decides. "cited after the issue date" — a certificate resting on a document issued AFTER it, which is a defect and not a question. "two sublots in one block" — two certificates of the same testing on the same day reporting different results in one register block, where the certificate of quality prints one of the pair and does not say which sublot it certifies (OI-39). "on file, on no certificate" — a result in the release register that no certificate of quality for that lot cites, listed so the owner can see the whole of what a ruling would move. A stability timepoint is excluded throughout: it measures the lot ageing and no certificate of quality prints it. The tab is read with the coverage table in tracker/RESULT_SUPERSESSION_2026-09-16.md: no lot on file carries a second heavy-metal certificate, so the sweep is blind on #11 and its silence there is a gap in the record, not a clean result.</t>
        </is>
      </c>
    </row>
    <row r="16" ht="13" customHeight="1" s="70">
      <c r="A16" s="271" t="inlineStr">
        <is>
          <t>Parameters</t>
        </is>
      </c>
      <c r="B16" s="267" t="inlineStr">
        <is>
          <t>The 21 determinations with method, global acceptance criterion, source and tracker columns.</t>
        </is>
      </c>
    </row>
    <row r="17" ht="52" customHeight="1" s="70">
      <c r="A17" s="272" t="inlineStr">
        <is>
          <t>Reference</t>
        </is>
      </c>
      <c r="B17" s="267" t="inlineStr">
        <is>
          <t>Everything that is neither a primary view nor a formula source, on one sheet (owner, 14.09.2026: six tabs, not sixteen), each section under its own title in capitals and separated by a blank gutter; the sections are listed under '(folded in)' below. Nothing was deleted — none of these is read by a formula, so they could be moved without touching a lookup, but they are the audit trail and taking that out of a controlled record is the one direction that cannot be undone from inside the workbook.</t>
        </is>
      </c>
    </row>
    <row r="18" ht="52" customHeight="1" s="70">
      <c r="A18" s="273" t="inlineStr">
        <is>
          <t>(folded in)</t>
        </is>
      </c>
      <c r="B18" s="267" t="inlineStr">
        <is>
          <t>The iCoA Issuance sheet is gone: every column it carried is on the iCoA Register (its CoQ plan reference on the CoQ Register), which was always the same one row per batch and round; only its own row number is not carried. These are now sections of Reference rather than tabs — Read Me, Delivery T1–T3, ImB Register, Mikro CoQ Parameter, Reconciliation 09.09, Credit Audit, Credit Corrections, Work Order, Open Items, Not Tested Review, Summary Dashboard.</t>
        </is>
      </c>
    </row>
    <row r="20">
      <c r="A20" s="268" t="inlineStr">
        <is>
          <t>LEGEND (tracker and coverage)</t>
        </is>
      </c>
    </row>
    <row r="21" ht="13" customHeight="1" s="70">
      <c r="A21" s="266" t="inlineStr">
        <is>
          <t>✓ green</t>
        </is>
      </c>
      <c r="B21" s="267" t="inlineStr">
        <is>
          <t>A certificate is on file and its value is on the desk: an outsourced certificate (eCoA) or the in-house iCoA.</t>
        </is>
      </c>
    </row>
    <row r="22" ht="26" customHeight="1" s="70">
      <c r="A22" s="266" t="inlineStr">
        <is>
          <t>✓ grey</t>
        </is>
      </c>
      <c r="B22" s="267" t="inlineStr">
        <is>
          <t>Covered by the in-house iCoA only (identification A, identification B, foreign matter, tested at Purely Plant at packaging): coverage for the release CoQ (Head of QC, 04.09.2026).</t>
        </is>
      </c>
    </row>
    <row r="23" ht="13" customHeight="1" s="70">
      <c r="A23" s="266" t="inlineStr">
        <is>
          <t>✓ orange</t>
        </is>
      </c>
      <c r="B23" s="267" t="inlineStr">
        <is>
          <t>Stability-timepoint certificate — its value is not a release result.</t>
        </is>
      </c>
    </row>
    <row r="24" ht="26" customHeight="1" s="70">
      <c r="A24" s="266" t="inlineStr">
        <is>
          <t>✗ amber</t>
        </is>
      </c>
      <c r="B24" s="267" t="inlineStr">
        <is>
          <t>Certificate credited on the tracker, but the desk holds no value for this determination from it — the determination is not on that certificate, or the certificate never entered the record.</t>
        </is>
      </c>
    </row>
    <row r="25" ht="13" customHeight="1" s="70">
      <c r="A25" s="266" t="inlineStr">
        <is>
          <t>✗ red</t>
        </is>
      </c>
      <c r="B25" s="267" t="inlineStr">
        <is>
          <t>No certificate credited for the parameter.</t>
        </is>
      </c>
    </row>
    <row r="26" ht="26" customHeight="1" s="70">
      <c r="A26" s="266" t="inlineStr">
        <is>
          <t>•</t>
        </is>
      </c>
      <c r="B26" s="267" t="inlineStr">
        <is>
          <t>A document on file that is not credited for the parameter (an old in-house Report of Analysis, an NGP form, the QCCoA 001 certificate): shown, not coverage.</t>
        </is>
      </c>
    </row>
    <row r="27" ht="26" customHeight="1" s="70">
      <c r="A27" s="266" t="inlineStr">
        <is>
          <t>Conforms (ImB spec.)</t>
        </is>
      </c>
      <c r="B27" s="267" t="inlineStr">
        <is>
          <t>Identification C: conforms to the ImB specification on the certificate that carries the cannabinoid assay; the CoQ cites that eCoA (Head of QC, 04.09.2026).</t>
        </is>
      </c>
    </row>
    <row r="28" ht="13" customHeight="1" s="70">
      <c r="A28" s="266" t="inlineStr">
        <is>
          <t>Red result</t>
        </is>
      </c>
      <c r="B28" s="267" t="inlineStr">
        <is>
          <t>Out of specification against the global acceptance criterion (row 3). Orange: undetermined (a Ph. Eur. band the result sits in).</t>
        </is>
      </c>
    </row>
    <row r="30">
      <c r="A30" s="268" t="inlineStr">
        <is>
          <t>CONVENTIONS</t>
        </is>
      </c>
    </row>
    <row r="31" ht="26" customHeight="1" s="70">
      <c r="A31" s="266" t="inlineStr">
        <is>
          <t>Batch names</t>
        </is>
      </c>
      <c r="B31" s="267" t="inlineStr">
        <is>
          <t>CU batch as the owner names it; a sub-lot digit belongs to the batch (FB012601_1), never to the certificate code; an asterisk (JD112501＊) marks a lot of its own. The laboratory prints the zero of a P-number as a letter O (PO60052); it is folded to P060052.</t>
        </is>
      </c>
    </row>
    <row r="32" ht="26" customHeight="1" s="70">
      <c r="A32" s="266" t="inlineStr">
        <is>
          <t>Certificate codes</t>
        </is>
      </c>
      <c r="B32" s="267" t="inlineStr">
        <is>
          <t>As printed on the certificate (Cyrillic ППК codes kept). [Lab]: CNP (Faculty of Pharmacy, Center for Natural Products), IJZ-MB / IPH (Institute of Public Health), FHM-K / FHM-M (Farmahem), PP (Purely Plant, in-house).</t>
        </is>
      </c>
    </row>
    <row r="33" ht="13" customHeight="1" s="70">
      <c r="A33" s="266" t="inlineStr">
        <is>
          <t>Dates</t>
        </is>
      </c>
      <c r="B33" s="267" t="inlineStr">
        <is>
          <t>DD.MM.YYYY. The Batch Dates and register sheets hold real dates; the tracker prints them as text inside the reference.</t>
        </is>
      </c>
    </row>
    <row r="34" ht="26" customHeight="1" s="70">
      <c r="A34" s="266" t="inlineStr">
        <is>
          <t>Results</t>
        </is>
      </c>
      <c r="B34" s="267" t="inlineStr">
        <is>
          <t>Numeric results with the certificate's printed precision; qualitative results as text (Conforms, absent, &lt;LOQ, ND). A microbiological range (&lt; 10³ и &gt; 10²) is judged by its upper bound.</t>
        </is>
      </c>
    </row>
    <row r="35" ht="13" customHeight="1" s="70">
      <c r="A35" s="266" t="inlineStr">
        <is>
          <t>OOS check</t>
        </is>
      </c>
      <c r="B35" s="267" t="inlineStr">
        <is>
          <t>A result is flagged only when it provably exceeds its criterion; ND, &lt;LOQ, &lt;10 and absent pass; a value that cannot be parsed is never flagged.</t>
        </is>
      </c>
    </row>
    <row r="36" ht="26" customHeight="1" s="70">
      <c r="A36" s="266" t="inlineStr">
        <is>
          <t>Formulas</t>
        </is>
      </c>
      <c r="B36" s="267" t="inlineStr">
        <is>
          <t>On the two registers the number, the code and the dates are formulas, and the iCoA Issuance sheet and the tracker's in-house cells look the registers up by key: insert a row and every code beneath moves by one.</t>
        </is>
      </c>
    </row>
    <row r="37" ht="13" customHeight="1" s="70">
      <c r="A37" s="266" t="inlineStr">
        <is>
          <t>Print</t>
        </is>
      </c>
      <c r="B37" s="267" t="inlineStr">
        <is>
          <t>Every sheet: landscape, A3, one page wide, the header rows repeated; panes frozen under the header.</t>
        </is>
      </c>
    </row>
    <row r="38" ht="26" customHeight="1" s="70">
      <c r="A38" s="266" t="inlineStr">
        <is>
          <t>Do not</t>
        </is>
      </c>
      <c r="B38" s="267" t="inlineStr">
        <is>
          <t>read counts from the eCOA_DB text layer. On five of six certificates checked it read the exponent or a digit too low, every time in the direction of a conforming result.</t>
        </is>
      </c>
    </row>
    <row r="40">
      <c r="A40" s="268" t="inlineStr">
        <is>
          <t>RULINGS IN FORCE (Head of QC)</t>
        </is>
      </c>
    </row>
    <row r="41" ht="39" customHeight="1" s="70">
      <c r="A41" s="266" t="inlineStr">
        <is>
          <t>04.09.2026 · iCoA</t>
        </is>
      </c>
      <c r="B41" s="267" t="inlineStr">
        <is>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is>
      </c>
    </row>
    <row r="42" ht="13" customHeight="1" s="70">
      <c r="A42" s="266" t="inlineStr">
        <is>
          <t>04.09.2026 · Ident C</t>
        </is>
      </c>
      <c r="B42" s="267" t="inlineStr">
        <is>
          <t>Identification C is 'Conforms', referenced to the eCoA that covers Total THC (the cannabinoid assay); for a Farmahem lot the K certificate.</t>
        </is>
      </c>
    </row>
    <row r="43" ht="13" customHeight="1" s="70">
      <c r="A43" s="266" t="inlineStr">
        <is>
          <t>04.09.2026 · decisions</t>
        </is>
      </c>
      <c r="B43" s="267" t="inlineStr">
        <is>
          <t>The two bile-tolerant gram-negative rows the reads disagreed on: P060262 &lt; 10³ и &gt; 10² CFU/g, P060432 &lt; 10² и &gt; 10 CFU/g (decisions_2026-09-04.tsv).</t>
        </is>
      </c>
    </row>
    <row r="44" ht="52" customHeight="1" s="70">
      <c r="A44" s="266" t="inlineStr">
        <is>
          <t>05.09.2026 · issuance</t>
        </is>
      </c>
      <c r="B44" s="267" t="inlineStr">
        <is>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is>
      </c>
    </row>
    <row r="45" ht="117" customHeight="1" s="70">
      <c r="A45" s="266" t="inlineStr">
        <is>
          <t>15.09.2026 · retest sampling and the reissued CoQ</t>
        </is>
      </c>
      <c r="B45" s="267" t="inlineStr">
        <is>
          <t>The retest campaigns were sampled in three campaigns (sampling_dates.py): Tranche 1 on 21–24.07.2026 (Tuesday to Friday of the week 25.07 falls in, 6/5/5/5 by certificate number, Farmahem receipt 27/29.07), Tranche 2 on 12–14.08.2026 (11/11/10, receipt 17.08), Tranche 3 on 19–21.08.2026 (10/10/10, receipt 24.08). The internal certificate for identification A, B and foreign matter is tested start = end on the batch's sampling day and every campaign's certificates issue on one day, three days after its last sampling day: 27.07, 17.08 and 24.08.2026. Identification A, B and foreign matter are performed on every batch and every CoQ cites the internal certificate for them, so a round the batch list holds no packaging date for is numbered with its testing date not stated. The reissued CoQ carries the retest results and, for everything not retested, the initial certificate's result and document; it is dated by the same rule as the release CoQ (7 days after the last certificate it cites, never before its iCoA) and numbered in date order with the release series once the assay, the mycotoxins and the iCoA exist. A CNP certificate up to ППК26069 (11.05.2026) reports the cannabinoid assay and loss on drying by the DAB monograph; the CoQ method reference says so where it cites one.</t>
        </is>
      </c>
    </row>
    <row r="46" ht="52" customHeight="1" s="70">
      <c r="A46" s="266" t="inlineStr">
        <is>
          <t>05.09.2026 · retest</t>
        </is>
      </c>
      <c r="B46" s="267" t="inlineStr">
        <is>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is>
      </c>
    </row>
    <row r="47" ht="26" customHeight="1" s="70">
      <c r="A47" s="266" t="inlineStr">
        <is>
          <t>05.09.2026 · missing</t>
        </is>
      </c>
      <c r="B47" s="267" t="inlineStr">
        <is>
          <t>A production lot whose initial certificate for a determination is not on file keeps its planned CoQ and number: the initial testing exists at CNP (microbiology: IJZ) and the certificate is to be located (Work Order).</t>
        </is>
      </c>
    </row>
    <row r="48" ht="39" customHeight="1" s="70">
      <c r="A48" s="266" t="inlineStr">
        <is>
          <t>09.09.2026 · reconciliation</t>
        </is>
      </c>
      <c r="B48" s="267" t="inlineStr">
        <is>
          <t>The owner's own pass over the 387 certificates in eCoA_DATABASE (CoQ_Analysis_Master_v20.xlsx) is taken in as the base for everything after it. cell_resolution.py refuses more than it accepts when filling a cell from it: no citable document code, an unissued certificate, or an unlabelled list of analyte values are each left blank rather than guessed.</t>
        </is>
      </c>
    </row>
    <row r="49" ht="39" customHeight="1" s="70">
      <c r="A49" s="266" t="inlineStr">
        <is>
          <t>10.09.2026 · release vs retest</t>
        </is>
      </c>
      <c r="B49" s="267" t="inlineStr">
        <is>
          <t>"The first value of a parameter obtained is counted as initial quality control testing; every other point of testing for any parameter from a batch is a retest." A result's round is its own position in its own parameter's history, never the certificate series it happens to sit in — one campaign can certify cannabinoids one day, microbiology another and metals a third, and that is still one testing period, not several (testing_series.py).</t>
        </is>
      </c>
    </row>
    <row r="50" ht="52" customHeight="1" s="70">
      <c r="A50" s="266" t="inlineStr">
        <is>
          <t>10.09.2026 · issuance dates</t>
        </is>
      </c>
      <c r="B50" s="267" t="inlineStr">
        <is>
          <t>Specification SOP approved 01.06.2026; nothing it governs is dated earlier. Internal CoA: tested and issued the first day of packaging (release) or the round's sampling date (retest), or 03.06.2026 where that day is before the SOP. Certificate of quality: 5–10 days after the last external certificate it cites (LAG_DAYS = 7) and never before its own internal CoA; anything that would land before the SOP issues on the blanket date 06.06.2026 — a Saturday, kept as given and flagged, because the owner's date outranks the desk's own working-day convention (issuance_schedule.py).</t>
        </is>
      </c>
    </row>
    <row r="51" ht="52" customHeight="1" s="70">
      <c r="A51" s="266" t="inlineStr">
        <is>
          <t>10.09.2026 · internal CoA scope</t>
        </is>
      </c>
      <c r="B51" s="267" t="inlineStr">
        <is>
          <t>One internal certificate per testing round, covering identification A, identification B and foreign matter ALWAYS — performed in house at packaging or sampling whatever an external laboratory also reports — plus any determination whose only result that round is in-house. In-house results are never referenced on a certificate of quality; they sit behind the internal certificate, which the CoQ cites. The register is standing: every internal certificate that exists or ever will, not only the ones a drafted lot needs (icoa_register.py).</t>
        </is>
      </c>
    </row>
    <row r="52" ht="39" customHeight="1" s="70">
      <c r="A52" s="266" t="inlineStr">
        <is>
          <t>10.09.2026 · untested analytes</t>
        </is>
      </c>
      <c r="B52" s="267" t="inlineStr">
        <is>
          <t>An analyte the laboratory never tested does not enter the certificate of quality at all — printed, not left blank, not marked ND. Where the initial mycotoxin testing ran only the total-aflatoxins method, Aflatoxin B₁ and Ochratoxin A are absent from that certificate; the retest date, once all three are tested, shows all three.</t>
        </is>
      </c>
    </row>
    <row r="53" ht="26" customHeight="1" s="70">
      <c r="A53" s="266" t="inlineStr">
        <is>
          <t>10.09.2026 · conformity wording</t>
        </is>
      </c>
      <c r="B53" s="267" t="inlineStr">
        <is>
          <t>'Conforms | Одговара', in the same ENG/MK formatting convention as the rest of the certificate's bilingual text; every conformity result is printed bilingually, with no other Macedonian rendering of 'conforms' surviving on a certificate (result_vocabulary.py).</t>
        </is>
      </c>
    </row>
    <row r="54" ht="26" customHeight="1" s="70">
      <c r="A54" s="266" t="inlineStr">
        <is>
          <t>11.09.2026 · packaging date</t>
        </is>
      </c>
      <c r="B54" s="267" t="inlineStr">
        <is>
          <t>A batch packaged over more than one day is tested — and its internal certificate dated — on the FIRST day of that window, not the day packaging completed.</t>
        </is>
      </c>
    </row>
    <row r="56">
      <c r="A56" s="268" t="inlineStr">
        <is>
          <t>VERSION HISTORY</t>
        </is>
      </c>
    </row>
    <row r="57" ht="26" customHeight="1" s="70">
      <c r="A57" s="266" t="inlineStr">
        <is>
          <t>v7</t>
        </is>
      </c>
      <c r="B57" s="267" t="inlineStr">
        <is>
          <t>The two-row block tracker: one lot per block, certificates stacked in date order, sub-determinations in their own columns, acceptance criteria in row 3 and enforced, out-of-specification results in red and named in STATUS.</t>
        </is>
      </c>
    </row>
    <row r="58" ht="26" customHeight="1" s="70">
      <c r="A58" s="266" t="inlineStr">
        <is>
          <t>v9</t>
        </is>
      </c>
      <c r="B58" s="267" t="inlineStr">
        <is>
          <t>Verified and slimmed to live in Drive: every decision-bearing value checked against the filed page (review/V8_TRUTH_CHECK_2026-09-02.md); three sheets of v8 (a flat results register, a flat tracker, a document index) were retired to the repository.</t>
        </is>
      </c>
    </row>
    <row r="59" ht="26" customHeight="1" s="70">
      <c r="A59" s="266" t="inlineStr">
        <is>
          <t>v10</t>
        </is>
      </c>
      <c r="B59" s="267" t="inlineStr">
        <is>
          <t>The 30 IJZ-MB certificates of 31.08 and 01.09.2026 as testing instances credited to #9; the iCoA rule; the Head of QC's harvest and packaging dates (Batch Dates); one iCoA per P lot; the iCoA Issuance sheet.</t>
        </is>
      </c>
    </row>
    <row r="60" ht="26" customHeight="1" s="70">
      <c r="A60" s="266" t="inlineStr">
        <is>
          <t>v11</t>
        </is>
      </c>
      <c r="B60" s="267" t="inlineStr">
        <is>
          <t>The iCoA Register and the CoQ Register (formula-driven); the ruling of 05.09.2026 on the legacy and post-SOP series; the retest campaign kept off the initial CoQs; the owner's edits to the Drive copies (row 4, result sizes, lot borders); one coverage row per lot.</t>
        </is>
      </c>
    </row>
    <row r="61" ht="26" customHeight="1" s="70">
      <c r="A61" s="266" t="inlineStr">
        <is>
          <t>v12</t>
        </is>
      </c>
      <c r="B61" s="267" t="inlineStr">
        <is>
          <t>The Delivery T1–T3 sheet: the 78 cultivation batches delivered in the three tranches of 31.07, 14.08 and 28.08.2026, each against its row on Batch Coverage.</t>
        </is>
      </c>
    </row>
    <row r="62" ht="26" customHeight="1" s="70">
      <c r="A62" s="266" t="inlineStr">
        <is>
          <t>v13</t>
        </is>
      </c>
      <c r="B62" s="267" t="inlineStr">
        <is>
          <t>The strain ruling (Cap Junky, Head of QC 07.09.2026) and the ImB Register: the customer's own certificate register, scanned 04.09.2026, 43 entries against their desk lots.</t>
        </is>
      </c>
    </row>
    <row r="63" ht="13" customHeight="1" s="70">
      <c r="A63" s="266" t="inlineStr">
        <is>
          <t>v20</t>
        </is>
      </c>
      <c r="B63" s="267" t="inlineStr">
        <is>
          <t>The owner's own workbook, built outside this pipeline and vendored in as the base for everything after it — not a version this desk produced.</t>
        </is>
      </c>
    </row>
    <row r="64" ht="26" customHeight="1" s="70">
      <c r="A64" s="266" t="inlineStr">
        <is>
          <t>v21</t>
        </is>
      </c>
      <c r="B64" s="267" t="inlineStr">
        <is>
          <t>The owner's v20 pass reconciled in: 387 certificates, all 600 determinations of Tranches 1 and 2 resolved through cell_resolution.py; 69 cells filled, 0 non-blank cells overwritten.</t>
        </is>
      </c>
    </row>
    <row r="65" ht="26" customHeight="1" s="70">
      <c r="A65" s="266" t="inlineStr">
        <is>
          <t>v22</t>
        </is>
      </c>
      <c r="B65" s="267" t="inlineStr">
        <is>
          <t>The rulings of 10.09.2026 written into the workbook's own live Excel formulas: release-versus-retest by position, the issuance dates, the internal-CoA register.</t>
        </is>
      </c>
    </row>
    <row r="66" ht="39" customHeight="1" s="70">
      <c r="A66" s="266" t="inlineStr">
        <is>
          <t>v23</t>
        </is>
      </c>
      <c r="B66" s="267" t="inlineStr">
        <is>
          <t>One controlled spelling per result (result_vocabulary.py): 175 non-canonical not-detected spellings to 0, the 'Одговара'/'Не одговара' confusion that read a laboratory's non-conformity as a pass (FB032601) corrected, untested analytes removed from certificates entirely, every conformity result made bilingual, the A4 page fit measured with the fonts it prints in and repaired (5 of 22 losing content → 0).</t>
        </is>
      </c>
    </row>
    <row r="67" ht="39" customHeight="1" s="70">
      <c r="A67" s="266" t="inlineStr">
        <is>
          <t>v24</t>
        </is>
      </c>
      <c r="B67" s="267" t="inlineStr">
        <is>
          <t>The internal-CoA number and the internal-CoA register unified on one definition: icoa_register.py is the standing series (a certificate a person can look up by code), and both the number and the row set on the iCoA Register sheet are taken from it rather than computed from a row's position — 95 of 95 series codes now on the sheet, up from 60.</t>
        </is>
      </c>
    </row>
    <row r="68" ht="52" customHeight="1" s="70">
      <c r="A68" s="266" t="inlineStr">
        <is>
          <t>v25</t>
        </is>
      </c>
      <c r="B68" s="267" t="inlineStr">
        <is>
          <t>The Read Me sheet's own version history and rulings-in-force brought forward from v11 / 05.09.2026 to this build — nine versions and six days of rulings that were built and verified but never written down here. Two findings promoted from doc prose that had never reached the standing register: OI-30 (the Loss on Drying method line is uniform across every lot and the desk holds no per-certificate method text to check it against) and OI-31 (six batches silently filed under one strain name, 'Gorilla Glue', where the delivery sheet keeps 'GG4' apart — never ruled, never tracked).</t>
        </is>
      </c>
    </row>
    <row r="69" ht="221" customHeight="1" s="70">
      <c r="A69" s="266" t="inlineStr">
        <is>
          <t>v42</t>
        </is>
      </c>
      <c r="B69" s="267" t="inlineStr">
        <is>
          <t>The decisions of 17.09.2026, on every certificate of quality. LOSS ON DRYING, GG1024: the 76.07 % of ППК25008 ruled a typo and set to 7.8 % — a pinpoint edit of both GG1024 certificates and of the 09.09 resolution pass they print from; the out-of-specification mark is gone. NO SIGNATURES: the certificates carry no signature scan; each box keeps its line for signing by hand. THE RETEST CERTIFICATE CITES THE RETEST INTERNAL CERTIFICATE for identification A, identification B and foreign matter (apply_retest_icoa.py: 142 cells on 51 reissues, 8 master-assigned CNP citations kept); the internal certificates rebuilt from the citations, 154 documents. EVERY DETERMINATION CITES THE LABORATORY THAT MADE IT (apply_lab_attribution.py, five rules): the internal certificate was cited under one code with two dates and credited with parameters 1 to 11 on GG1024 where the Institute had determined 9 to 12 and CNP 8 — 19 rows re-pointed to 166/0274/25 and 748/2025, 7 rows with no certificate behind them now not tested, 4 in-house CoA numbers replaced by the internal certificate, 30 'PP CoA #nnn / ППКnnnnn' citations reduced to the CNP certificate with its own date; 54 rows on eight certificates keep the internal certificate beyond 1, 2 and 7 under the ruling of 10.09.2026 (OI-49, decision wanted). POTENCY GRADES from the owner's Potency_specifications_25.pdf (17.09.2026), set grade by grade against potency_grades_2026-09-15.csv: 22 of 24 strains identical; Amnesia Core Cut's tolerance corrected to ± 1.20 (10.80 – 13.19), Wedding Cake added at 26.00 ± 2.60 (23.40 – 28.59) as the first specification of the new series, QCSP_001_WED-I_v.01, superseding the four issued WED documents (OI-50: dominance to be determined); every certificate re-graded through potency_grading, two moved (CoQ-PP_26-106, CoQ-PP_26-165), none outside its strain's windows; the status beside 149 specification codes now records the issued document each replaces. Checked the same day: potency of every certificate against the master (158 agree, 13 no potency, 0 conflicts); certificate codes and supersedes lines against the CoQ Register (0 mismatches); loss on drying cited only to laboratories that determined it. Two lists for the Head of QC (retest_list.py): the 83 retest certificates and the 83 release certificates they supersede. The engagement report (engagement_report.py) reads the repository's own record. The registers' rows and every laboratory result are otherwise v41's.</t>
        </is>
      </c>
    </row>
    <row r="70" ht="91" customHeight="1" s="70">
      <c r="A70" s="266" t="inlineStr">
        <is>
          <t>v26</t>
        </is>
      </c>
      <c r="B70" s="267" t="inlineStr">
        <is>
          <t>Seven tabs, not sixteen (owner, 14.09.2026). The iCoA Issuance sheet is gone — one row per batch and round, which is what the iCoA Register is, so its eleven columns are register columns and nothing looked it up by formula. Ten sheets are sections of one Reference sheet, each section's row range recorded as a defined name so a reader never guesses where it ends. verify_prose.py — what the sheets say about themselves — had never run against a shipping workbook (its default was v11, and it was not in CI); against v25 it found eleven false sentences, three the workbook's (a note and the register Status strings naming 27.05.2026 and 15.05.2026 for a legacy series that issues on 06.06 and 03.06; an uncredited in-house reference printed without its 'on file, not credited'), eight the checker's own. All fixed and the check is in CI. OI-32: thirty Tranche 3 Farmahem 227-K/26 potency retests found on file and none in the record — twenty-five prepared and not written, five held on batch identity.</t>
        </is>
      </c>
    </row>
    <row r="71" ht="195" customHeight="1" s="70">
      <c r="A71" s="266" t="inlineStr">
        <is>
          <t>v34</t>
        </is>
      </c>
      <c r="B71" s="267" t="inlineStr">
        <is>
          <t>The IJZ-MB campaign microbiology written into the release register (intake_IJZMB_2026-09-16), and two checks that were not checking. A cross-version sweep of every master workbook on disk (v3 … v33) found nothing lost along the way: across twenty builds the only substantive changes to microbiology, mycotoxins and heavy metals are the four page-read corrections of v32 and the n.r.-to-not-reported ruling — everything else was the controlled vocabulary rewriting notation. The inconsistency was elsewhere, and it was real: the thirty IJZ-MB certificates of the campaign sampling of 25/26.08.2026 (issued 31.08 and 01.09.2026) had been testing instances on the tracker since 04.09.2026 and were never rows of the RELEASE REGISTER, which is the one source the certificates of quality are compiled from — so 24 certificates printed microbiology a newer certificate for the same lot contradicted, twelve of them reissues, P050012 printing TAMC 2.1 × 10⁴ where the campaign certificate reads &lt; 10 (OI-34, now closed). 29 of the 30 are written into the register through the two-read gate; four value disagreements, every one the bile-tolerant gram-negative line where one read stopped at &lt; 10² and the other carried &lt; 10² и &gt; 10, were settled by a third read of the page on 16.09.2026 and the fuller read was right all four times (OI-36's class). One is held back: 548/1079/26 prints the strain Sleepy Joe and a handwritten P060192 while its typed serial reads PO50192, so which lot it belongs to is the Head of QC's to settle (OI-37) and a result on the wrong lot is worse than a missing one. Two checks were repaired: verify_workbook's check 13, which claimed to compare the owner's microbiology sheet with the tracker, had the body `for cu, p in LOTS: pass` and was guarded on a sheet name the fold of 14.09.2026 removed, so it had been skipped entirely since v26 — it now compares every value and reports the count; and OI-13 stated that the expanded microbiology panel had never been run when 31 certificates on file report P. aeruginosa and S. aureus, all absent, which is corrected with the question of what #9.6 and #9.7 should print put to the owner. The registers, the potency and the compilation are v33's.</t>
        </is>
      </c>
    </row>
    <row r="72" ht="481" customHeight="1" s="70">
      <c r="A72" s="266" t="inlineStr">
        <is>
          <t>v35</t>
        </is>
      </c>
      <c r="B72" s="267" t="inlineStr">
        <is>
          <t>The supersession sweep, generalised to every determination (result_supersession.py, and the Result Supersession tab). The Head of QC reports that a second desk flags heavy metals, microbiology and mycotoxins. The microbiology defect v34 repaired was found by asking whether a certificate prints a result that a LATER certificate for the SAME lot — already on file the day it issues — contradicts; that question was asked of microbiology alone, so it is now asked of all seventeen determinations the release register carries, over 172 certificates and 93 register blocks. The sweep prints its COVERAGE beside every zero, because a zero over nothing is not a result: **no lot on file carries a second heavy-metal certificate at all** (#11.1 to #11.4 — 45 documents, 0 lots with two), so the sweep is blind there and says nothing about metals; every certificate that prints Pb, Cd, As or Hg rests on one document, because the retest campaigns never re-ran them. Aflatoxin B1, ochratoxin A and the pesticide panel were comparable on one lot each. Where the comparison was genuinely available and returned nothing it is a real zero: total aflatoxins over 30 lots, Total CBN over 12, Salmonella and E. coli over 14 each. Of 89 comparisons, 39 contradict: 8 are release certificates citing the release result while a later retest sits on file, which is the ruling of 10.09.2026 working as written and is not a defect; 31 are reissues carrying a determination forward from the initial testing because their campaign did not retest it, which widens OI-38 from twelve microbiology reissues to fourteen certificates — the two new ones are loss on drying (CoQ-PP_26-093 on P050022, CoQ-PP_26-150 on J31112501). A stability timepoint is excluded throughout: it measures the lot ageing, it is not release or retest testing, and counting it raises 30 findings on the two Grape Pie lots alone that are not findings. Two further checks come with it. **Two register blocks carry two sublots each** (OI-39): J31122501 holds the 07.04.2026 microbiology of the hand-trimmed and the trimmed flower (TAMC 850 against 1900), the 09.04.2026 Farmahem pair 100-2-К/26 at 19.84 % against 100-3-К/26 at 21.84 %, and the 23.04.2026 IJZ pair 1628/2026 against 1625/2026; JD112501 holds ППК26063 at 19.64 % against ППК26065 at 13.93 %. The certificate of quality prints one of each pair and does not say which sublot it certifies. And 128 results are on file that no certificate of quality cites — 70 the campaign microbiology of OI-38, 32 in-house documents with no document number, 26 laboratory certificates on five lots. Also in v35, the answer to the parallel desk's audit of the 127 rendered certificates (tracker/HANDOVER_RESPONSE_2026-09-16.md), which reached the Head of QC as HANDOVER_to_ClaudeCode.md. Of its seven findings, four are REFUTED against this master: no certificate's grade disagrees with its own specification code (0 of 172); no register code sits on two lots; no external laboratory is credited for a determination with no result (0 of 172); and every printed Total THC is inside its own strain-and-grade window (120 compared against the Potency Grades ladder, 0 outside) — the four banner potencies the audit flags each carry the PREVIOUS lot's assay, a row-alignment slip on the document side. Three are CONFIRMED. The loss-on-drying 76.07 % on GG1024 is real and both its certificates already carry OUT OF SPECIFICATION (OI-06, OI-35). The Farmahem analysis tag IS part of the code and it is Macedonian — the pages of 051-1 and 031-2 print Извештај број: 051-1-ГС/26 and 031-2-ГС/26, губитоци при сушење, so GS is a transliteration and LoD an English abbreviation; document_codes.py now gives one spelling per document code the way result_vocabulary.py gives one per result, and it also takes a reader's OCR note out of the code field (2156/2025). And the in-house determinations #1, #2 and #7 print nothing on 82 certificates over 44 lots — confirmed as a document defect, refuted as a builder defect, because all 172 cite an internal certificate and what is missing is the RESULT (OI-41). Two questions the audit raised go to the owner rather than being settled here: the six PP CoA #nnn / ППКnnnnn composites, where the bare ППК row on the same lot is empty and earlier (OI-40), and the two sublots in one block (OI-39). One defect the sweep's fourth check found and v35 repairs: THIRTEEN release certificates were citing a microbiology certificate of 31.08 or 01.09.2026 while dated 06.06, 07.07 or 13.07.2026 — a controlled document resting on one that did not yet exist. The cause was v34's intake meeting a gap in build_coq_schedule: testing_series.rounds() has held since v34 that every certificate of the IJZ-MB delivery is a retest document (the owner's ruling of 10.09.2026), but the schedule's release branch did not, so wherever the delivery was the only microbiology a lot had, it stood behind that lot's release result. The release branch now excludes a retest-only document, those thirteen certificates print nothing for #9.1-#9.5, and where the campaign result should appear instead is OI-38 — which now records that for those thirteen lots a ruling of CARRY THE INITIAL leaves the lot with no microbiology on any certificate at all. Otherwise nothing in the tracker, the registers, the certificates or the compilation changed: v35 adds the sweep, the answer, the document-code spellings and that one repair.</t>
        </is>
      </c>
    </row>
    <row r="73" ht="234" customHeight="1" s="70">
      <c r="A73" s="266" t="inlineStr">
        <is>
          <t>v37</t>
        </is>
      </c>
      <c r="B73" s="267" t="inlineStr">
        <is>
          <t>The April-2026 release panel taken into the register, the starred spellings joined, and two read-backs that were reading nothing. EIGHTEEN CERTIFICATES OF THE INSTITUTE OF PUBLIC HEALTH on the nine lots sampled 21.04.2026 — the microbiology 304/0548/26 … 312/0556/26 of 28.04.2026 and the contaminants 2357/2026 … 2365/2026 of 29/30.04.2026 — had been on this tracker and (seventeen of them) in the two-read corpus since 04.09.2026 and were rows of no release register, which is the one source the certificates are compiled from: so eight release certificates printed "not tested — no certificate covers it" for microbiology, mycotoxins and heavy metals with the documents on file five weeks before them. intake_IJZ0426_2026-09-16 writes them through the same two-read gate as the earlier intakes: 17 rows into existing blocks and one row the owner had opened for 305/0549/26 and left empty, filled in place. Four certificates disagreed between their reads and each was settled by a third read of the page — three on the bile-tolerant gram-negative line, every one a read stopping at one bound where the page carries the range (OI-36 with three more instances), and one on the NUMBER of pesticide lines, 29 against 28, every line н.д. on both. 310/0554/26, which the runner never read, took the RAGflow OCR and the Head of QC's own transcription as its two reads and a third from the scan. THE STARRED SPELLINGS ARE JOINED, as the ruling of 16.09.2026 implies: identity_decisions.tsv now carries a batch_alias row for JD112501*, GG012601*, JD012601*, SCR012601* and FB012602*, and batch_key applies the rulings after normalising — so GG012601* and GG012601 key alike, iCoA-PP_26-087, -088 and -090 take their testing dates from the packaging, and the two Tranche 3 release certificates that stood at "— at issue —" over a glyph are numbered. The rule itself is unchanged: a star no person has ruled on still keeps the mark. The owner's tracker row JD112501✪, which the ruling says is not a lot, is folded into P060212 and its documents stay there as testing instances marked experimental. AND TWO READ-BACKS THAT WERE READING NOTHING: the certificate's title is now written by the compiler rather than the bulk driver, so the desk's own Print and Save carry it too, and the Section 01 read-back queried .l and .v, classes the master has never had — it reads .lk-lbl and .lk-val now and the build reports any document whose Section 01 does not print its own P lot, a potency and a specification reference. OI-28 ruled; OI-42 and OI-43 opened for the 44 laboratory scans and 28 in-house scans on Drive that no desk record holds.</t>
        </is>
      </c>
    </row>
    <row r="74" ht="234" customHeight="1" s="70">
      <c r="A74" s="266" t="inlineStr">
        <is>
          <t>v40</t>
        </is>
      </c>
      <c r="B74" s="267" t="inlineStr">
        <is>
          <t>The reissue carries the release round's result, on every determination the retest did not run — 142 of them, over 66 lots. The ruling of 15.09.2026 is unconditional: "all of the parameter results that were not tested will be taken from the initial quality control testing." The desk honoured it only for determinations outside four named classes. The three the Purely Plant laboratory performs (#1 Identification A, #2 Identification B, #7 Foreign matter), the cannabinoids, the mycotoxins and the two microbiological determinations tested on request each short-circuited the carry and printed an empty red cell — on a certificate whose own release round had certified that parameter months earlier. The cause was a layering one and is worth recording: build_coq_schedule cannot carry what it does not yet hold, because #1, #2 and #7 take their value in the EXPORT, from the owner's 09.09 pass and from the company's own certificates of analysis, long after the schedule is written. So the carry now runs twice — once in the schedule for everything it can see, and once in the export, at the only layer that holds both rounds. What is carried is the release row WHOLE: the result, the document that certifies it, that document's date of issue and its laboratory. For #1, #2 and #7 that document is the RELEASE round's internal certificate of analysis, its code and its date — never the reissue campaign's own, which would assert a retest nobody performed (the defect of 16.09.2026). The reissue's pending status is kept behind the carry note, so a sheet that carries a release result while a re-analysis is outstanding states both facts. Measured on the 73 compiled drafts: the red dash placeholder falls from 357 result cells to 226, and the documents that carry none at all rise from 18 to 49 of 73; on the compilation, the reissue rows blank although their own release certificate holds a result fall from 179 over 66 lots to ZERO. Also in v41, a result cell is no longer a truncated sentence: coq_compilation printed the first 60 characters of a status where no result existed, so 393 rows read "carried from the initial testing (the batch's initial CoQ (n" — the cell now says what the reissue did and then, in the release round's own controlled word, what the release round found, with the certificate number kept in the Status column. What remains is documents, not logic: every one of the 226 is a determination for which NO laboratory certificate exists on either round — 100 microbiology, 80 heavy metals, 23 in-house identity and foreign matter, 9 mycotoxins, 8 loss on drying, 6 pesticides — which is OI-42 and OI-43, and needs scans, not code.</t>
        </is>
      </c>
    </row>
    <row r="75" ht="195" customHeight="1" s="70">
      <c r="A75" s="266" t="inlineStr">
        <is>
          <t>v36</t>
        </is>
      </c>
      <c r="B75" s="267" t="inlineStr">
        <is>
          <t>The starred-sample ruling, and a title that named another lot. OWNER'S RULING, 16.09.2026, on the asterisk some cultivation batches carry: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a starred sample is a second SAMPLE of one packaged lot, not a second lot. Read on the pages the same day: ППК26063 and ППК26065 are both P060212, the same sample description, the same delivery of 21.04.2026, the same DAB method and the same 12 g — the batch number is the only difference, one reading JD112501 and the other JD112501*. The owner's 09.09 pass gives JD112501/P060212 a full panel and cites ППК26063; ППК26065 is cited nowhere in it. testing_series.EXPERIMENTAL now holds the starred certificates and build_coq_schedule drops them before the release/reissue split, so they source no certificate of quality while their results stand everywhere else. OI-12 is ruled and OI-39 keeps only its J31122501 half, where the laboratories' own pages name two PRODUCTS (Рачно тримиран цвет against Тримиран цвет) and no asterisk appears. AND A DEFECT ON EVERY DOCUMENT THE DESK HAS EVER COMPILED: the master template carries a literal &lt;title&gt; from the lot it was authored on and fillCoq never replaced it, so all 73 drafts and all four tranche PDFs went out titled "CoQ-PP-2026-0005 — Amsterdam Amnesia (AA) — Grade I — Batch P060052" — another lot's code, strain, grade and batch in the browser tab and the PDF metadata. Nothing on the desk was reading the title, which is why it survived every verification pass. build_coq_drafts now writes each document's own title from its register code, strain, grade and lot, and reads it back off the compiled page beside the header band, so a document that does not name itself is reported at build time.</t>
        </is>
      </c>
    </row>
    <row r="76" ht="130" customHeight="1" s="70">
      <c r="A76" s="266" t="inlineStr">
        <is>
          <t>v33</t>
        </is>
      </c>
      <c r="B76" s="267" t="inlineStr">
        <is>
          <t>The CoQ compilation inside the workbook (owner, 15.09.2026, recalling the first request of 31.08.2026: "for all certificates of quality, for all batches, for all initial and retest certificates … a table containing all information that is needed for the certificate of quality template, but most importantly, from parameter 1 to 12, the document codes and date of issuing of the certificate of analysis from external laboratories … and the analysis results for each of those parameters … for every certificate of quality document code individually"): two tabs built by coq_compilation.py from the export the certificates are compiled from, with the CoQ Register's code. CoQ Compilation — one row per certificate of quality (172: 89 release, 83 reissue): the template's header fields, then for every determination #1 to #12 with its sub-determinations (23) the result the certificate prints, the document it rests on, that document's date of issue and its laboratory; a determination with no printed result says why. CoQ Compilation (long) — the same, one row per certificate and determination (3,956 rows), with the method, the acceptance criterion, the laboratory's receipt date, the status, the route and the other documents on file. The same tables stand alone as tracker/CoQ_compilation_v33.xlsx and the two CSVs. Nothing else changed: registers, tracker, certificates and references are v32's.</t>
        </is>
      </c>
    </row>
    <row r="77" ht="182" customHeight="1" s="70">
      <c r="A77" s="266" t="inlineStr">
        <is>
          <t>v32</t>
        </is>
      </c>
      <c r="B77" s="267" t="inlineStr">
        <is>
          <t>Truth check of 15.09.2026 (tracker/truth_check_2026-09-15.py; report tracker/TRUTH_CHECK_2026-09-15.md): every parameter result and every cited eCoA code, date and laboratory compared, by an independent code path, from the primary records — the release register with the intakes applied, the intake transcriptions and their second reads, the two-read corpus, the 09.09 pass — forward to the tracker, the export, the references table, the CoQ Register and every compiled draft. Two defects on the tracker corrected in this build. (1) The owner's v8 tracker marks Aflatoxin B1 and Ochratoxin A 'n.r.' on the IJZ release certificates, and the desk read that as ND under the ND ruling of 10.09.2026; the page of 752/2025, read 15.09.2026, prints one mycotoxin line only (total aflatoxins &lt; 2 µg/kg) and the release register says 'not tested' — the laboratory printed no line, so the mark is the owner's, not a result, and the cell now reads 'not reported' (the boundary ruled on 11.09.2026: an analyte absent from the panel is not a result; the compiled certificates already omit the line). Where the desk holds a result for the determination — the Farmahem -М- certificates' total aflatoxins, ND on the register — the ruling stands and the cell reads ND. (2) Four microbiology cells whose v8 value the page contradicts, each corrected from a third read of the page (tracker/value_corrections_2026-09-15.json): 5/0008/26 TAMC 1 × 10² CFU/g (v8 and the corpus read A said &lt; 1 × 10²; the register and read B were right), 9/0012/26 bile-tolerant &lt; 10 (v8 said 10), 471/0862/25 TYMC &lt; 10 (v8 said 10), 304/0548/26 bile-tolerant &lt; 10² and &gt; 10 (v8 stopped at &lt; 10²). The desk's document index no longer lists a register column marked 'not tested' as reported. Two open items record what the check found and did not change: the tracker does not carry the 17 documents of the 09.09 pass that eleven certificates print from (OI-35), and four two-read corpus records passed the gate with their reads disagreeing on a comparator (OI-36). The registers, the certificates and the references are v31's.</t>
        </is>
      </c>
    </row>
    <row r="78" ht="182" customHeight="1" s="70">
      <c r="A78" s="266" t="inlineStr">
        <is>
          <t>v31</t>
        </is>
      </c>
      <c r="B78" s="267" t="inlineStr">
        <is>
          <t>Tranche 3 codes allocated (owner, 15.09.2026, evening: every Tranche 3 retest parameter is tested at Farmahem and its certificates all issue on one date — "so practically you can even now allocate the certificates of quality document codes for tranche three batches"; the analyses complete within ten days, likely by Friday 18.09.2026, and all Tranche 3 certificates issue on one day, "let's say Monday next week"): the 28 Tranche 3 reissues whose release certificate is numbered take CoQ-PP_26-134 … 161 after the last Tranche 2 reissue, in the order the series gives them, with Issuable reading 'allocated' and the planned date the owner's — 21.09.2026, provisional until the 227-М mycotoxin certificates exist — the one code computed in advance, by the owner's ruling; the compiled certificates print the allocated code and are not drafted until the mycotoxin results exist. The two Tranche 3 lots whose release certificate the register withholds (GG012601＊, JD012601＊: no internal certificate, OI-28) wait with it. One Tranche 3 lot had no reissue row at all — BSS1024_01/1 (P050122), spelled BSS1024_01 on the 31.08 list — because the schedule's placeholder carried no P lot; a placeholder now takes its register block's packaged lot. And the retest programme is the QP's, not universal (owner, 15.09.2026): only the batches of Tranches 1, 2 and 3 are for sale, so only they were retested and get a reissue; the six batches outside every tranche with a predicted reissue on v30 (JD022601/P060482, FB032601/P060452, GG032601/P060462, P160012, P160022, P160032) carry their release certificate and no retest row, and after the numbered and the allocated rows the CoQ Register lists the batches the tranches do not cover — under production, under testing, or on no tranche list — lot by lot, none of which can take a code before its external results and packaging exist. The registers' rows, the tracker and every laboratory result are otherwise v30's.</t>
        </is>
      </c>
    </row>
    <row r="79" ht="117" customHeight="1" s="70">
      <c r="A79" s="266" t="inlineStr">
        <is>
          <t>v30</t>
        </is>
      </c>
      <c r="B79" s="267" t="inlineStr">
        <is>
          <t>The Tranche 2 potency certificates taken in (intake_220K_2026-09-15): the 32 Farmahem 220-1-К/26 … 220-32-К/26 cannabinoid reports — received 17.08.2026, analysed 24/25.08, issued 25/26.08.2026 — were in the owner's eCoA database from 09.09.2026 and had never been read into the desk, which is why every Tranche 2 reissue stood 'retest assay pending' on v29 (owner, 15.09.2026: "here are all retest results that I have on file and correct yourself"). Read from the rendered pages and gated against an independent second transcription of the same pages (32 of 32 agree on batch, dates, sample number, every result and its uncertainty), then written into the release register (apply_220K.py) and the tracker instances (instances_220K.py); the receipt date 17.08.2026 joins the references table. With the mycotoxins of 11.09.2026 and the campaign's internal certificates of 17.08.2026, all three parts of every Tranche 2 reissue now exist, so the CoQ Register numbers the Tranche 2 reissues after Tranche 1, each planned for the first working day 7 days after the last certificate it cites, and the reissue drafts are compiled for them. Tranche 3 still waits for its mycotoxin certificates (227-М/26), which are on no list the desk holds. The registers' rows, the tracker and every other laboratory result are otherwise v29's.</t>
        </is>
      </c>
    </row>
    <row r="80" ht="104" customHeight="1" s="70">
      <c r="A80" s="266" t="inlineStr">
        <is>
          <t>v29 · 15.09.2026, later the same day</t>
        </is>
      </c>
      <c r="B80" s="267" t="inlineStr">
        <is>
          <t>Sequential grade numerals (owner, 15.09.2026: "I choose sequential naming of specification grades"): the grades of the potency specification of 15.09.2026 are numbered as its table lists them, frozen in potency_grades_2026-09-15.csv (column numeral); a grade defined later takes the strain's next numeral whatever its nominal, and a result in no window of its strain reads 'new specification required' with the next numeral reserved — every code in this build is unchanged by the rule, which only fixes what happens next. The two registers were audited for order and completeness (see Reference: 'Register audit, 15.09.2026'). And the compiled certificate: the document code it prints is the one the CoQ Register states, like its date of issue since 10.09.2026, and a reissue prints under that date, in small bracketed type, '(supersedes &lt;code&gt; of &lt;date&gt;)' naming the initial certificate it replaces — the 21 numbered Tranche 1 reissues are compiled as drafts beside the 22 initial drafts (drafts/…_reissue.html, Tranche_1_CoQ_Reissue_Drafts.pdf). The registers' rows, the tracker and every laboratory result are otherwise unchanged.</t>
        </is>
      </c>
    </row>
    <row r="81" ht="156" customHeight="1" s="70">
      <c r="A81" s="266" t="inlineStr">
        <is>
          <t>v29</t>
        </is>
      </c>
      <c r="B81" s="267" t="inlineStr">
        <is>
          <t>The CoQ References table inside the workbook (owner, 15.09.2026: "inside the v28 workbook"): a tab of one row per certificate of quality and one column per determination — the cited document, its date and laboratory, the sampling day and the laboratory's receipt date — with every n/t cell red, and its Not Tested Review as a section of Reference. The CoQ code on the tab is the one the CoQ Register tab prints, keyed to its rows. And the Potency Grades tab (owner, 15.09.2026): the potency grades per strain — nominal, tolerance, specification window — as the Head of QC's potency specification of 15.09.2026 prints them, one row per strain and grade, with the measured results each page rests on. On the CoQ Register, two things the owner asked for the same day: a reissue names the initial certificate it supersedes by the register's own code (looked up by Key), and every certificate states the potency grade its Total THC result falls in — nominal ± tolerance, window, grade numeral — with the product code and the specification document code generated from it (potency_grading.py: every specification document code is v.01 — the initially issued ones were wrong and this is not the official issuing, the set goes for review — and the status records what the issued v.01 of the same strain and numeral printed). Every certificate's Total THC criterion, grade, product code and specification code now come from that specification alone (owner, 15.09.2026: the grades, nominals, tolerances and ranges in the issued specifications and on the certificates are old and potentially wrong); the issued v.01 document is recorded beside the generated code, not used. The registers' rows, the tracker and every laboratory result are otherwise v28's.</t>
        </is>
      </c>
    </row>
    <row r="82" ht="143" customHeight="1" s="70">
      <c r="A82" s="266" t="inlineStr">
        <is>
          <t>v28</t>
        </is>
      </c>
      <c r="B82" s="267" t="inlineStr">
        <is>
          <t>Retest sampling dated and the retest series issued (owner, 15.09.2026). The 30 Farmahem 227-К/26 Tranche 3 potency certificates taken in (intake_227K_2026-09-15/: 26 into existing register blocks, four batches given a block — BSS1024_01/2 P050142, WED102501 P060102, SCR012601 P060342, GRC102501/1 P060142 — five rest on the page read alone, OI-32). testing_series.rounds() now places every Farmahem re-analysis certificate in a campaign round of its own, never the release round, so every Tranche 1, 2 and 3 batch has a retest round and its internal certificate: Tranche 1 tested 21–24.07 and issued 27.07.2026, Tranche 2 tested 12–14.08 and issued 17.08.2026, Tranche 3 tested 19–21.08 and issued 24.08.2026. The iCoA Register numbers every round, including the seven whose packaging date the list does not hold. The CoQ Register numbers the Tranche 1 reissues (retest assay, mycotoxins and iCoA all on file) in date order with the release series; Tranche 2 waits for its potency certificates and Tranche 3 for its mycotoxin certificates, and says so. A reissue now prints the initial certificate's result and document for every determination it did not retest. The Parameters sheet and the CoQ rows name the DAB monograph where the cited CNP certificate used it (cnp_methods.py: ППК25050–ППК26069). The export reads its own register on the same build (it read the previous build's file, so an intake numbered nothing until the build after). verify_workbook.py holds the legacy-day check to the release round.</t>
        </is>
      </c>
    </row>
    <row r="83" ht="182" customHeight="1" s="70">
      <c r="A83" s="266" t="inlineStr">
        <is>
          <t>v27</t>
        </is>
      </c>
      <c r="B83" s="267" t="inlineStr">
        <is>
          <t>Tranche 2 mycotoxin retests taken in: 32 Farmahem certificates 220-1-М/26 to 220-32-М/26 (received 17.08.2026, analysed 07.09.2026, issued 11.09.2026), every result ND for aflatoxins B1, B2, G1, G2 and ochratoxin A. Read directly from the rendered pages at the owner's request and cross-checked against an independent Gemini read of every page, 32 of 32 agreeing. 26 are the Tranche 2 list; the laboratory also tested P050282, P060042, P060082 and three batches printed with no P-number (JD042601, FB042601, CC042601). 23 certificates joined an existing release-register block; nine batches had none and were given one (No. 81 to 89), six of them the batches the delivery reconciliation had found absent from the register; JD042601 took its P-number (P060492) from the Head of QC's batch list, FB042601 and CC042601 are on no list the desk holds (OI-33). Documented in intake_220M_2026-09-14/. Two definition gaps found by the first build, which rendered none of the 32 on this sheet: family() labelled only the 197- series a re-analysis while is_reanalysis() already knew 220- was one, and the tracker files a retest by the label — the label now derives from the same list (REANALYSIS_SERIES, which also carries the 227- potency series the owner called retests on 12.09.2026); and the tracker's document pool is the owner's index plus new_instances.json, never the release register — the 32 are now testing instances there (instances_220M.py), seven of them opening a lot the owner's tracker did not carry. Found on the way and fixed: the in-house cells of eight lots (GG012601*, GG1024, JD012601*, JD112501*, OMP1024_01, BSS1024_01/1, BSS1024_01/2, WED102501) looked their internal CoA up under another lot's key — the at-issue placeholder folded to one key and the last lot written held it — invisible while every one of them was at issue, wrong the day any was numbered; verify_workbook.py now checks that every lookup keys its own lot (27 cells in v26).</t>
        </is>
      </c>
    </row>
    <row r="86" ht="20" customHeight="1" s="70">
      <c r="A86" s="264" t="inlineStr">
        <is>
          <t>DELIVERY T1–T3</t>
        </is>
      </c>
    </row>
    <row r="87" ht="24" customHeight="1" s="70">
      <c r="A87" s="119" t="inlineStr">
        <is>
          <t>Tranche</t>
        </is>
      </c>
      <c r="B87" s="119" t="inlineStr">
        <is>
          <t>Delivered</t>
        </is>
      </c>
      <c r="C87" s="119" t="inlineStr">
        <is>
          <t>Batch (as delivered)</t>
        </is>
      </c>
      <c r="D87" s="119" t="inlineStr">
        <is>
          <t>Strain</t>
        </is>
      </c>
      <c r="E87" s="119" t="inlineStr">
        <is>
          <t>kg</t>
        </is>
      </c>
      <c r="F87" s="119" t="inlineStr">
        <is>
          <t>Bracket</t>
        </is>
      </c>
      <c r="G87" s="119" t="inlineStr">
        <is>
          <t>Declared</t>
        </is>
      </c>
      <c r="H87" s="119" t="inlineStr">
        <is>
          <t>P lot</t>
        </is>
      </c>
      <c r="I87" s="119" t="inlineStr">
        <is>
          <t>Desk lot</t>
        </is>
      </c>
      <c r="J87" s="119" t="inlineStr">
        <is>
          <t>CoQ status</t>
        </is>
      </c>
      <c r="K87" s="119" t="inlineStr">
        <is>
          <t>Missing</t>
        </is>
      </c>
      <c r="L87" s="119" t="inlineStr">
        <is>
          <t>Total THC on the eCoA</t>
        </is>
      </c>
      <c r="M87" s="119" t="inlineStr">
        <is>
          <t>Certificate</t>
        </is>
      </c>
      <c r="N87" s="119" t="inlineStr">
        <is>
          <t>Δ</t>
        </is>
      </c>
      <c r="O87" s="119" t="inlineStr">
        <is>
          <t>Ready to issue</t>
        </is>
      </c>
    </row>
    <row r="88">
      <c r="A88" s="243" t="n">
        <v>1</v>
      </c>
      <c r="B88" s="243" t="inlineStr">
        <is>
          <t>31.07.2026</t>
        </is>
      </c>
      <c r="C88" s="244" t="inlineStr">
        <is>
          <t>BG1024</t>
        </is>
      </c>
      <c r="D88" s="243" t="inlineStr">
        <is>
          <t>Blue Gelato</t>
        </is>
      </c>
      <c r="E88" s="274" t="n">
        <v>43.87</v>
      </c>
      <c r="F88" s="243" t="inlineStr">
        <is>
          <t>19–22%</t>
        </is>
      </c>
      <c r="G88" s="275" t="n">
        <v>0.218</v>
      </c>
      <c r="H88" s="243" t="inlineStr">
        <is>
          <t>—</t>
        </is>
      </c>
      <c r="I88" s="243" t="inlineStr">
        <is>
          <t>BG1024</t>
        </is>
      </c>
      <c r="J88" s="243" t="inlineStr">
        <is>
          <t>✓ COMPLETE</t>
        </is>
      </c>
      <c r="K88" s="246" t="inlineStr">
        <is>
          <t>—</t>
        </is>
      </c>
      <c r="L88" s="275" t="n">
        <v>0.218</v>
      </c>
      <c r="M88" s="243" t="inlineStr">
        <is>
          <t>ППК25050</t>
        </is>
      </c>
      <c r="N88" s="275" t="n">
        <v>0</v>
      </c>
      <c r="O88" s="250" t="inlineStr">
        <is>
          <t>yes — all 12 determinations covered</t>
        </is>
      </c>
    </row>
    <row r="89">
      <c r="A89" s="243" t="n">
        <v>1</v>
      </c>
      <c r="B89" s="243" t="inlineStr">
        <is>
          <t>31.07.2026</t>
        </is>
      </c>
      <c r="C89" s="244" t="inlineStr">
        <is>
          <t>BSS1024</t>
        </is>
      </c>
      <c r="D89" s="243" t="inlineStr">
        <is>
          <t>Blue Sunset Sherbet</t>
        </is>
      </c>
      <c r="E89" s="274" t="n">
        <v>50.2</v>
      </c>
      <c r="F89" s="243" t="inlineStr">
        <is>
          <t>19–22%</t>
        </is>
      </c>
      <c r="G89" s="275" t="n">
        <v>0.21</v>
      </c>
      <c r="H89" s="243" t="inlineStr">
        <is>
          <t>—</t>
        </is>
      </c>
      <c r="I89" s="243" t="inlineStr">
        <is>
          <t>BSS1024</t>
        </is>
      </c>
      <c r="J89" s="243" t="inlineStr">
        <is>
          <t>✓ COMPLETE</t>
        </is>
      </c>
      <c r="K89" s="246" t="inlineStr">
        <is>
          <t>—</t>
        </is>
      </c>
      <c r="L89" s="275" t="n">
        <v>0.2103</v>
      </c>
      <c r="M89" s="243" t="inlineStr">
        <is>
          <t>ППК25051</t>
        </is>
      </c>
      <c r="N89" s="275" t="n">
        <v>0.0003000000000000114</v>
      </c>
      <c r="O89" s="250" t="inlineStr">
        <is>
          <t>yes — all 12 determinations covered</t>
        </is>
      </c>
    </row>
    <row r="90">
      <c r="A90" s="243" t="n">
        <v>1</v>
      </c>
      <c r="B90" s="243" t="inlineStr">
        <is>
          <t>31.07.2026</t>
        </is>
      </c>
      <c r="C90" s="244" t="inlineStr">
        <is>
          <t>CC012601/1</t>
        </is>
      </c>
      <c r="D90" s="243" t="inlineStr">
        <is>
          <t>Cash Cow</t>
        </is>
      </c>
      <c r="E90" s="274" t="n">
        <v>9.15</v>
      </c>
      <c r="F90" s="243" t="inlineStr">
        <is>
          <t>13–16%</t>
        </is>
      </c>
      <c r="G90" s="275" t="n">
        <v>0.1563</v>
      </c>
      <c r="H90" s="243" t="inlineStr">
        <is>
          <t>P060332</t>
        </is>
      </c>
      <c r="I90" s="243" t="inlineStr">
        <is>
          <t>CC012601/1</t>
        </is>
      </c>
      <c r="J90" s="243" t="inlineStr">
        <is>
          <t>❌ 4 MISSING</t>
        </is>
      </c>
      <c r="K90" s="246" t="inlineStr">
        <is>
          <t>#8 LoD; #9 Microbiology (on file 09.09, not recorded); #11 Heavy metals; #12 Pesticides</t>
        </is>
      </c>
      <c r="L90" s="275" t="inlineStr">
        <is>
          <t>— none on the desk —</t>
        </is>
      </c>
      <c r="M90" s="243" t="inlineStr">
        <is>
          <t>—</t>
        </is>
      </c>
      <c r="N90" s="275" t="inlineStr">
        <is>
          <t>—</t>
        </is>
      </c>
      <c r="O90" s="252" t="inlineStr">
        <is>
          <t>no — 4 missing</t>
        </is>
      </c>
    </row>
    <row r="91">
      <c r="A91" s="243" t="n">
        <v>1</v>
      </c>
      <c r="B91" s="243" t="inlineStr">
        <is>
          <t>31.07.2026</t>
        </is>
      </c>
      <c r="C91" s="244" t="inlineStr">
        <is>
          <t>CJ052501/01</t>
        </is>
      </c>
      <c r="D91" s="243" t="inlineStr">
        <is>
          <t>Cap Junky</t>
        </is>
      </c>
      <c r="E91" s="274" t="n">
        <v>64.53</v>
      </c>
      <c r="F91" s="243" t="inlineStr">
        <is>
          <t>19–22%</t>
        </is>
      </c>
      <c r="G91" s="275" t="n">
        <v>0.2029</v>
      </c>
      <c r="H91" s="243" t="inlineStr">
        <is>
          <t>P050162</t>
        </is>
      </c>
      <c r="I91" s="243" t="inlineStr">
        <is>
          <t>CJ052501/01</t>
        </is>
      </c>
      <c r="J91" s="243" t="inlineStr">
        <is>
          <t>✓ COMPLETE</t>
        </is>
      </c>
      <c r="K91" s="246" t="inlineStr">
        <is>
          <t>—</t>
        </is>
      </c>
      <c r="L91" s="275" t="n">
        <v>0.2029</v>
      </c>
      <c r="M91" s="243" t="inlineStr">
        <is>
          <t>None</t>
        </is>
      </c>
      <c r="N91" s="275" t="n">
        <v>0</v>
      </c>
      <c r="O91" s="250" t="inlineStr">
        <is>
          <t>yes — all 12 determinations covered</t>
        </is>
      </c>
    </row>
    <row r="92">
      <c r="A92" s="243" t="n">
        <v>1</v>
      </c>
      <c r="B92" s="243" t="inlineStr">
        <is>
          <t>31.07.2026</t>
        </is>
      </c>
      <c r="C92" s="244" t="inlineStr">
        <is>
          <t>CJ062501/2</t>
        </is>
      </c>
      <c r="D92" s="243" t="inlineStr">
        <is>
          <t>Cap Junky</t>
        </is>
      </c>
      <c r="E92" s="274" t="n">
        <v>146.52</v>
      </c>
      <c r="F92" s="243" t="inlineStr">
        <is>
          <t>16–19%</t>
        </is>
      </c>
      <c r="G92" s="275" t="n">
        <v>0.1656</v>
      </c>
      <c r="H92" s="243" t="inlineStr">
        <is>
          <t>P050212</t>
        </is>
      </c>
      <c r="I92" s="243" t="inlineStr">
        <is>
          <t>CJ062501/2</t>
        </is>
      </c>
      <c r="J92" s="243" t="inlineStr">
        <is>
          <t>✓ COMPLETE</t>
        </is>
      </c>
      <c r="K92" s="246" t="inlineStr">
        <is>
          <t>—</t>
        </is>
      </c>
      <c r="L92" s="275" t="n">
        <v>0.1656</v>
      </c>
      <c r="M92" s="243" t="inlineStr">
        <is>
          <t>ППК25322</t>
        </is>
      </c>
      <c r="N92" s="275" t="n">
        <v>0</v>
      </c>
      <c r="O92" s="250" t="inlineStr">
        <is>
          <t>yes — all 12 determinations covered</t>
        </is>
      </c>
    </row>
    <row r="93">
      <c r="A93" s="243" t="n">
        <v>1</v>
      </c>
      <c r="B93" s="243" t="inlineStr">
        <is>
          <t>31.07.2026</t>
        </is>
      </c>
      <c r="C93" s="244" t="inlineStr">
        <is>
          <t>CJ082501/2</t>
        </is>
      </c>
      <c r="D93" s="243" t="inlineStr">
        <is>
          <t>Cap Junky</t>
        </is>
      </c>
      <c r="E93" s="274" t="n">
        <v>14.75</v>
      </c>
      <c r="F93" s="243" t="inlineStr">
        <is>
          <t>19–22%</t>
        </is>
      </c>
      <c r="G93" s="275" t="n">
        <v>0.2084</v>
      </c>
      <c r="H93" s="243" t="inlineStr">
        <is>
          <t>P060032</t>
        </is>
      </c>
      <c r="I93" s="243" t="inlineStr">
        <is>
          <t>CJ082501/2</t>
        </is>
      </c>
      <c r="J93" s="243" t="inlineStr">
        <is>
          <t>✓ COMPLETE</t>
        </is>
      </c>
      <c r="K93" s="246" t="inlineStr">
        <is>
          <t>—</t>
        </is>
      </c>
      <c r="L93" s="275" t="n">
        <v>0.2084</v>
      </c>
      <c r="M93" s="243" t="inlineStr">
        <is>
          <t>ППК26003</t>
        </is>
      </c>
      <c r="N93" s="275" t="n">
        <v>0</v>
      </c>
      <c r="O93" s="250" t="inlineStr">
        <is>
          <t>yes — all 12 determinations covered</t>
        </is>
      </c>
    </row>
    <row r="94">
      <c r="A94" s="243" t="n">
        <v>1</v>
      </c>
      <c r="B94" s="243" t="inlineStr">
        <is>
          <t>31.07.2026</t>
        </is>
      </c>
      <c r="C94" s="244" t="inlineStr">
        <is>
          <t>FB012602</t>
        </is>
      </c>
      <c r="D94" s="243" t="inlineStr">
        <is>
          <t>Fat Bastard</t>
        </is>
      </c>
      <c r="E94" s="274" t="n">
        <v>75.92</v>
      </c>
      <c r="F94" s="243" t="inlineStr">
        <is>
          <t>19–22%</t>
        </is>
      </c>
      <c r="G94" s="275" t="n">
        <v>0.1977</v>
      </c>
      <c r="H94" s="243" t="inlineStr">
        <is>
          <t>P060352</t>
        </is>
      </c>
      <c r="I94" s="243" t="inlineStr">
        <is>
          <t>FB012602*</t>
        </is>
      </c>
      <c r="J94" s="243" t="inlineStr">
        <is>
          <t>❌ 4 MISSING</t>
        </is>
      </c>
      <c r="K94" s="246" t="inlineStr">
        <is>
          <t>#8 LoD; #9 Microbiology (on file 09.09, not recorded); #11 Heavy metals; #12 Pesticides</t>
        </is>
      </c>
      <c r="L94" s="275" t="inlineStr">
        <is>
          <t>— none on the desk —</t>
        </is>
      </c>
      <c r="M94" s="243" t="inlineStr">
        <is>
          <t>—</t>
        </is>
      </c>
      <c r="N94" s="275" t="inlineStr">
        <is>
          <t>—</t>
        </is>
      </c>
      <c r="O94" s="252" t="inlineStr">
        <is>
          <t>no — 4 missing</t>
        </is>
      </c>
    </row>
    <row r="95">
      <c r="A95" s="243" t="n">
        <v>1</v>
      </c>
      <c r="B95" s="243" t="inlineStr">
        <is>
          <t>31.07.2026</t>
        </is>
      </c>
      <c r="C95" s="244" t="inlineStr">
        <is>
          <t>GG012603</t>
        </is>
      </c>
      <c r="D95" s="243" t="inlineStr">
        <is>
          <t>GG4</t>
        </is>
      </c>
      <c r="E95" s="274" t="n">
        <v>40</v>
      </c>
      <c r="F95" s="243" t="inlineStr">
        <is>
          <t>13–16%</t>
        </is>
      </c>
      <c r="G95" s="275" t="n">
        <v>0.1559</v>
      </c>
      <c r="H95" s="243" t="inlineStr">
        <is>
          <t>P060402</t>
        </is>
      </c>
      <c r="I95" s="243" t="inlineStr">
        <is>
          <t>GG012603</t>
        </is>
      </c>
      <c r="J95" s="243" t="inlineStr">
        <is>
          <t>○ 3 ON FILE, NOT RECORDED</t>
        </is>
      </c>
      <c r="K95" s="246" t="inlineStr">
        <is>
          <t>#9 Microbiology (on file 09.09, not recorded); #11 Heavy metals (on file 09.09, not recorded); #12 Pesticides (on file 09.09, not recorded)</t>
        </is>
      </c>
      <c r="L95" s="276" t="n">
        <v>0.1759</v>
      </c>
      <c r="M95" s="277" t="inlineStr">
        <is>
          <t>ППК26114</t>
        </is>
      </c>
      <c r="N95" s="276" t="n">
        <v>0.02</v>
      </c>
      <c r="O95" s="278" t="inlineStr">
        <is>
          <t>no — 3 on file, not recorded  |  POTENCY: the certificate reads 17.59 %, outside the 13–16% it was delivered under</t>
        </is>
      </c>
    </row>
    <row r="96">
      <c r="A96" s="243" t="n">
        <v>1</v>
      </c>
      <c r="B96" s="243" t="inlineStr">
        <is>
          <t>31.07.2026</t>
        </is>
      </c>
      <c r="C96" s="244" t="inlineStr">
        <is>
          <t>GG1024_01</t>
        </is>
      </c>
      <c r="D96" s="243" t="inlineStr">
        <is>
          <t>Gorilla Glue</t>
        </is>
      </c>
      <c r="E96" s="274" t="n">
        <v>0.87</v>
      </c>
      <c r="F96" s="243" t="inlineStr">
        <is>
          <t>16–19%</t>
        </is>
      </c>
      <c r="G96" s="275" t="n">
        <v>0.17</v>
      </c>
      <c r="H96" s="243" t="inlineStr">
        <is>
          <t>P050092</t>
        </is>
      </c>
      <c r="I96" s="243" t="inlineStr">
        <is>
          <t>GG1024_01</t>
        </is>
      </c>
      <c r="J96" s="243" t="inlineStr">
        <is>
          <t>✓ COMPLETE</t>
        </is>
      </c>
      <c r="K96" s="246" t="inlineStr">
        <is>
          <t>—</t>
        </is>
      </c>
      <c r="L96" s="275" t="n">
        <v>0.1722</v>
      </c>
      <c r="M96" s="243" t="inlineStr">
        <is>
          <t>ППК25104</t>
        </is>
      </c>
      <c r="N96" s="275" t="n">
        <v>0.002199999999999988</v>
      </c>
      <c r="O96" s="250" t="inlineStr">
        <is>
          <t>yes — all 12 determinations covered</t>
        </is>
      </c>
    </row>
    <row r="97">
      <c r="A97" s="243" t="n">
        <v>1</v>
      </c>
      <c r="B97" s="243" t="inlineStr">
        <is>
          <t>31.07.2026</t>
        </is>
      </c>
      <c r="C97" s="244" t="inlineStr">
        <is>
          <t>GP052501</t>
        </is>
      </c>
      <c r="D97" s="243" t="inlineStr">
        <is>
          <t>Grape Pie</t>
        </is>
      </c>
      <c r="E97" s="274" t="n">
        <v>151.14</v>
      </c>
      <c r="F97" s="243" t="inlineStr">
        <is>
          <t>16–19%</t>
        </is>
      </c>
      <c r="G97" s="275" t="n">
        <v>0.1898</v>
      </c>
      <c r="H97" s="243" t="inlineStr">
        <is>
          <t>P050152</t>
        </is>
      </c>
      <c r="I97" s="243" t="inlineStr">
        <is>
          <t>GP052501</t>
        </is>
      </c>
      <c r="J97" s="243" t="inlineStr">
        <is>
          <t>✓ COMPLETE</t>
        </is>
      </c>
      <c r="K97" s="246" t="inlineStr">
        <is>
          <t>—</t>
        </is>
      </c>
      <c r="L97" s="275" t="n">
        <v>0.1898</v>
      </c>
      <c r="M97" s="243" t="inlineStr">
        <is>
          <t>ППК25279</t>
        </is>
      </c>
      <c r="N97" s="275" t="n">
        <v>0</v>
      </c>
      <c r="O97" s="250" t="inlineStr">
        <is>
          <t>yes — all 12 determinations covered</t>
        </is>
      </c>
    </row>
    <row r="98">
      <c r="A98" s="243" t="n">
        <v>1</v>
      </c>
      <c r="B98" s="243" t="inlineStr">
        <is>
          <t>31.07.2026</t>
        </is>
      </c>
      <c r="C98" s="244" t="inlineStr">
        <is>
          <t>GP0824_02</t>
        </is>
      </c>
      <c r="D98" s="243" t="inlineStr">
        <is>
          <t>Grape Pie</t>
        </is>
      </c>
      <c r="E98" s="274" t="n">
        <v>208.46</v>
      </c>
      <c r="F98" s="243" t="inlineStr">
        <is>
          <t>22–25%</t>
        </is>
      </c>
      <c r="G98" s="275" t="n">
        <v>0.2379</v>
      </c>
      <c r="H98" s="243" t="inlineStr">
        <is>
          <t>P050022</t>
        </is>
      </c>
      <c r="I98" s="243" t="inlineStr">
        <is>
          <t>GP0824_02</t>
        </is>
      </c>
      <c r="J98" s="243" t="inlineStr">
        <is>
          <t>✓ COMPLETE</t>
        </is>
      </c>
      <c r="K98" s="246" t="inlineStr">
        <is>
          <t>—</t>
        </is>
      </c>
      <c r="L98" s="275" t="n">
        <v>0.2379</v>
      </c>
      <c r="M98" s="243" t="inlineStr">
        <is>
          <t>ППК25139</t>
        </is>
      </c>
      <c r="N98" s="275" t="n">
        <v>0</v>
      </c>
      <c r="O98" s="250" t="inlineStr">
        <is>
          <t>yes — all 12 determinations covered</t>
        </is>
      </c>
    </row>
    <row r="99">
      <c r="A99" s="243" t="n">
        <v>1</v>
      </c>
      <c r="B99" s="243" t="inlineStr">
        <is>
          <t>31.07.2026</t>
        </is>
      </c>
      <c r="C99" s="244" t="inlineStr">
        <is>
          <t>GP082501/2</t>
        </is>
      </c>
      <c r="D99" s="243" t="inlineStr">
        <is>
          <t>Grape Pie</t>
        </is>
      </c>
      <c r="E99" s="274" t="n">
        <v>22.84</v>
      </c>
      <c r="F99" s="243" t="inlineStr">
        <is>
          <t>13–16%</t>
        </is>
      </c>
      <c r="G99" s="275" t="n">
        <v>0.1483</v>
      </c>
      <c r="H99" s="243" t="inlineStr">
        <is>
          <t>P050322</t>
        </is>
      </c>
      <c r="I99" s="243" t="inlineStr">
        <is>
          <t>GP082501/2</t>
        </is>
      </c>
      <c r="J99" s="243" t="inlineStr">
        <is>
          <t>✓ COMPLETE</t>
        </is>
      </c>
      <c r="K99" s="246" t="inlineStr">
        <is>
          <t>—</t>
        </is>
      </c>
      <c r="L99" s="275" t="n">
        <v>0.1483</v>
      </c>
      <c r="M99" s="243" t="inlineStr">
        <is>
          <t>ППК25381</t>
        </is>
      </c>
      <c r="N99" s="275" t="n">
        <v>0</v>
      </c>
      <c r="O99" s="250" t="inlineStr">
        <is>
          <t>yes — all 12 determinations covered</t>
        </is>
      </c>
    </row>
    <row r="100">
      <c r="A100" s="243" t="n">
        <v>1</v>
      </c>
      <c r="B100" s="243" t="inlineStr">
        <is>
          <t>31.07.2026</t>
        </is>
      </c>
      <c r="C100" s="244" t="inlineStr">
        <is>
          <t>HPA1024</t>
        </is>
      </c>
      <c r="D100" s="243" t="inlineStr">
        <is>
          <t>High Pro Amnesia</t>
        </is>
      </c>
      <c r="E100" s="274" t="n">
        <v>40.83</v>
      </c>
      <c r="F100" s="243" t="inlineStr">
        <is>
          <t>13–16%</t>
        </is>
      </c>
      <c r="G100" s="275" t="n">
        <v>0.1497</v>
      </c>
      <c r="H100" s="243" t="inlineStr">
        <is>
          <t>—</t>
        </is>
      </c>
      <c r="I100" s="243" t="inlineStr">
        <is>
          <t>HPA1024</t>
        </is>
      </c>
      <c r="J100" s="243" t="inlineStr">
        <is>
          <t>❌ 4 MISSING</t>
        </is>
      </c>
      <c r="K100" s="246" t="inlineStr">
        <is>
          <t>#8 LoD; #9 Microbiology; #11 Heavy metals; #12 Pesticides</t>
        </is>
      </c>
      <c r="L100" s="275" t="n">
        <v>0.1497</v>
      </c>
      <c r="M100" s="243" t="inlineStr">
        <is>
          <t>None</t>
        </is>
      </c>
      <c r="N100" s="275" t="n">
        <v>0</v>
      </c>
      <c r="O100" s="252" t="inlineStr">
        <is>
          <t>no — 4 missing</t>
        </is>
      </c>
    </row>
    <row r="101">
      <c r="A101" s="243" t="n">
        <v>1</v>
      </c>
      <c r="B101" s="243" t="inlineStr">
        <is>
          <t>31.07.2026</t>
        </is>
      </c>
      <c r="C101" s="244" t="inlineStr">
        <is>
          <t>HPA1024_01</t>
        </is>
      </c>
      <c r="D101" s="243" t="inlineStr">
        <is>
          <t>High Pro Amnesia</t>
        </is>
      </c>
      <c r="E101" s="274" t="n">
        <v>140.5</v>
      </c>
      <c r="F101" s="243" t="inlineStr">
        <is>
          <t>22–25%</t>
        </is>
      </c>
      <c r="G101" s="275" t="n">
        <v>0.2243</v>
      </c>
      <c r="H101" s="243" t="inlineStr">
        <is>
          <t>P050052</t>
        </is>
      </c>
      <c r="I101" s="243" t="inlineStr">
        <is>
          <t>HPA1024_01</t>
        </is>
      </c>
      <c r="J101" s="243" t="inlineStr">
        <is>
          <t>✓ COMPLETE</t>
        </is>
      </c>
      <c r="K101" s="246" t="inlineStr">
        <is>
          <t>—</t>
        </is>
      </c>
      <c r="L101" s="275" t="n">
        <v>0.2243</v>
      </c>
      <c r="M101" s="243" t="inlineStr">
        <is>
          <t>None</t>
        </is>
      </c>
      <c r="N101" s="275" t="n">
        <v>0</v>
      </c>
      <c r="O101" s="250" t="inlineStr">
        <is>
          <t>yes — all 12 determinations covered</t>
        </is>
      </c>
    </row>
    <row r="102">
      <c r="A102" s="243" t="n">
        <v>1</v>
      </c>
      <c r="B102" s="243" t="inlineStr">
        <is>
          <t>31.07.2026</t>
        </is>
      </c>
      <c r="C102" s="244" t="inlineStr">
        <is>
          <t>J31102501</t>
        </is>
      </c>
      <c r="D102" s="243" t="inlineStr">
        <is>
          <t>Jokerz 31</t>
        </is>
      </c>
      <c r="E102" s="274" t="n">
        <v>23.64</v>
      </c>
      <c r="F102" s="243" t="inlineStr">
        <is>
          <t>19–22%</t>
        </is>
      </c>
      <c r="G102" s="275" t="n">
        <v>0.1914</v>
      </c>
      <c r="H102" s="243" t="inlineStr">
        <is>
          <t>P060152</t>
        </is>
      </c>
      <c r="I102" s="243" t="inlineStr">
        <is>
          <t>J31102501</t>
        </is>
      </c>
      <c r="J102" s="243" t="inlineStr">
        <is>
          <t>○ 3 ON FILE, NOT RECORDED</t>
        </is>
      </c>
      <c r="K102" s="246" t="inlineStr">
        <is>
          <t>#9 Microbiology (on file 09.09, not recorded); #11 Heavy metals (on file 09.09, not recorded); #12 Pesticides (on file 09.09, not recorded)</t>
        </is>
      </c>
      <c r="L102" s="275" t="n">
        <v>0.1914</v>
      </c>
      <c r="M102" s="243" t="inlineStr">
        <is>
          <t>051-1-К/26</t>
        </is>
      </c>
      <c r="N102" s="275" t="n">
        <v>0</v>
      </c>
      <c r="O102" s="252" t="inlineStr">
        <is>
          <t>no — 3 on file, not recorded</t>
        </is>
      </c>
    </row>
    <row r="103">
      <c r="A103" s="243" t="n">
        <v>1</v>
      </c>
      <c r="B103" s="243" t="inlineStr">
        <is>
          <t>31.07.2026</t>
        </is>
      </c>
      <c r="C103" s="244" t="inlineStr">
        <is>
          <t>JD112501</t>
        </is>
      </c>
      <c r="D103" s="243" t="inlineStr">
        <is>
          <t>Jelly Donuts</t>
        </is>
      </c>
      <c r="E103" s="274" t="n">
        <v>41.54</v>
      </c>
      <c r="F103" s="243" t="inlineStr">
        <is>
          <t>19–22%</t>
        </is>
      </c>
      <c r="G103" s="275" t="n">
        <v>0.1964</v>
      </c>
      <c r="H103" s="243" t="inlineStr">
        <is>
          <t>P060212</t>
        </is>
      </c>
      <c r="I103" s="243" t="inlineStr">
        <is>
          <t>JD112501</t>
        </is>
      </c>
      <c r="J103" s="243" t="inlineStr">
        <is>
          <t>✓ COMPLETE</t>
        </is>
      </c>
      <c r="K103" s="246" t="inlineStr">
        <is>
          <t>—</t>
        </is>
      </c>
      <c r="L103" s="275" t="n">
        <v>0.1964</v>
      </c>
      <c r="M103" s="243" t="inlineStr">
        <is>
          <t>ППК26063</t>
        </is>
      </c>
      <c r="N103" s="275" t="n">
        <v>0</v>
      </c>
      <c r="O103" s="250" t="inlineStr">
        <is>
          <t>yes — all 12 determinations covered</t>
        </is>
      </c>
    </row>
    <row r="104">
      <c r="A104" s="243" t="n">
        <v>1</v>
      </c>
      <c r="B104" s="243" t="inlineStr">
        <is>
          <t>31.07.2026</t>
        </is>
      </c>
      <c r="C104" s="244" t="inlineStr">
        <is>
          <t>OPM1024</t>
        </is>
      </c>
      <c r="D104" s="243" t="inlineStr">
        <is>
          <t>Orange Punch Mimosa</t>
        </is>
      </c>
      <c r="E104" s="274" t="n">
        <v>45.46</v>
      </c>
      <c r="F104" s="243" t="inlineStr">
        <is>
          <t>19–22%</t>
        </is>
      </c>
      <c r="G104" s="275" t="n">
        <v>0.1996</v>
      </c>
      <c r="H104" s="243" t="inlineStr">
        <is>
          <t>—</t>
        </is>
      </c>
      <c r="I104" s="243" t="inlineStr">
        <is>
          <t>OPM1024</t>
        </is>
      </c>
      <c r="J104" s="243" t="inlineStr">
        <is>
          <t>❌ 4 MISSING</t>
        </is>
      </c>
      <c r="K104" s="246" t="inlineStr">
        <is>
          <t>#8 LoD; #9 Microbiology; #11 Heavy metals; #12 Pesticides</t>
        </is>
      </c>
      <c r="L104" s="275" t="n">
        <v>0.1996</v>
      </c>
      <c r="M104" s="243" t="inlineStr">
        <is>
          <t>None</t>
        </is>
      </c>
      <c r="N104" s="275" t="n">
        <v>0</v>
      </c>
      <c r="O104" s="252" t="inlineStr">
        <is>
          <t>no — 4 missing</t>
        </is>
      </c>
    </row>
    <row r="105">
      <c r="A105" s="243" t="n">
        <v>1</v>
      </c>
      <c r="B105" s="243" t="inlineStr">
        <is>
          <t>31.07.2026</t>
        </is>
      </c>
      <c r="C105" s="244" t="inlineStr">
        <is>
          <t>OPM1024_02</t>
        </is>
      </c>
      <c r="D105" s="243" t="inlineStr">
        <is>
          <t>Orange Punch Mimosa</t>
        </is>
      </c>
      <c r="E105" s="274" t="n">
        <v>156.14</v>
      </c>
      <c r="F105" s="243" t="inlineStr">
        <is>
          <t>16–19%</t>
        </is>
      </c>
      <c r="G105" s="275" t="n">
        <v>0.1827</v>
      </c>
      <c r="H105" s="243" t="inlineStr">
        <is>
          <t>P050062</t>
        </is>
      </c>
      <c r="I105" s="243" t="inlineStr">
        <is>
          <t>OPM1024_02</t>
        </is>
      </c>
      <c r="J105" s="243" t="inlineStr">
        <is>
          <t>✓ COMPLETE</t>
        </is>
      </c>
      <c r="K105" s="246" t="inlineStr">
        <is>
          <t>—</t>
        </is>
      </c>
      <c r="L105" s="275" t="n">
        <v>0.1827</v>
      </c>
      <c r="M105" s="243" t="inlineStr">
        <is>
          <t>ППК25154</t>
        </is>
      </c>
      <c r="N105" s="275" t="n">
        <v>0</v>
      </c>
      <c r="O105" s="250" t="inlineStr">
        <is>
          <t>yes — all 12 determinations covered</t>
        </is>
      </c>
    </row>
    <row r="106">
      <c r="A106" s="243" t="n">
        <v>1</v>
      </c>
      <c r="B106" s="243" t="inlineStr">
        <is>
          <t>31.07.2026</t>
        </is>
      </c>
      <c r="C106" s="244" t="inlineStr">
        <is>
          <t>OPM122501</t>
        </is>
      </c>
      <c r="D106" s="243" t="inlineStr">
        <is>
          <t>Orange Punch Mimosa</t>
        </is>
      </c>
      <c r="E106" s="274" t="n">
        <v>104.26</v>
      </c>
      <c r="F106" s="243" t="inlineStr">
        <is>
          <t>10–13%</t>
        </is>
      </c>
      <c r="G106" s="275" t="n">
        <v>0.11</v>
      </c>
      <c r="H106" s="243" t="inlineStr">
        <is>
          <t>P060242</t>
        </is>
      </c>
      <c r="I106" s="243" t="inlineStr">
        <is>
          <t>OPM122501</t>
        </is>
      </c>
      <c r="J106" s="243" t="inlineStr">
        <is>
          <t>✓ COMPLETE</t>
        </is>
      </c>
      <c r="K106" s="246" t="inlineStr">
        <is>
          <t>—</t>
        </is>
      </c>
      <c r="L106" s="276" t="n">
        <v>0.0809</v>
      </c>
      <c r="M106" s="277" t="inlineStr">
        <is>
          <t>100-4-К/26</t>
        </is>
      </c>
      <c r="N106" s="276" t="n">
        <v>-0.0291</v>
      </c>
      <c r="O106" s="278" t="inlineStr">
        <is>
          <t>yes — all 12 determinations covered  |  POTENCY: the certificate reads 8.09 %, outside the 10–13% it was delivered under</t>
        </is>
      </c>
    </row>
    <row r="107">
      <c r="A107" s="243" t="n">
        <v>1</v>
      </c>
      <c r="B107" s="243" t="inlineStr">
        <is>
          <t>31.07.2026</t>
        </is>
      </c>
      <c r="C107" s="244" t="inlineStr">
        <is>
          <t>PM092501</t>
        </is>
      </c>
      <c r="D107" s="243" t="inlineStr">
        <is>
          <t>Permanent Marker</t>
        </is>
      </c>
      <c r="E107" s="274" t="n">
        <v>20.23</v>
      </c>
      <c r="F107" s="243" t="inlineStr">
        <is>
          <t>13–16%</t>
        </is>
      </c>
      <c r="G107" s="275" t="n">
        <v>0.1406</v>
      </c>
      <c r="H107" s="243" t="inlineStr">
        <is>
          <t>P060062</t>
        </is>
      </c>
      <c r="I107" s="243" t="inlineStr">
        <is>
          <t>PM092501</t>
        </is>
      </c>
      <c r="J107" s="243" t="inlineStr">
        <is>
          <t>✓ COMPLETE</t>
        </is>
      </c>
      <c r="K107" s="246" t="inlineStr">
        <is>
          <t>—</t>
        </is>
      </c>
      <c r="L107" s="275" t="inlineStr">
        <is>
          <t>— none on the desk —</t>
        </is>
      </c>
      <c r="M107" s="243" t="inlineStr">
        <is>
          <t>—</t>
        </is>
      </c>
      <c r="N107" s="275" t="inlineStr">
        <is>
          <t>—</t>
        </is>
      </c>
      <c r="O107" s="250" t="inlineStr">
        <is>
          <t>yes — all 12 determinations covered</t>
        </is>
      </c>
    </row>
    <row r="108">
      <c r="A108" s="243" t="n">
        <v>1</v>
      </c>
      <c r="B108" s="243" t="inlineStr">
        <is>
          <t>31.07.2026</t>
        </is>
      </c>
      <c r="C108" s="244" t="inlineStr">
        <is>
          <t>SCR012603</t>
        </is>
      </c>
      <c r="D108" s="243" t="inlineStr">
        <is>
          <t>Scrambler</t>
        </is>
      </c>
      <c r="E108" s="274" t="n">
        <v>79.81</v>
      </c>
      <c r="F108" s="243" t="inlineStr">
        <is>
          <t>16–19%</t>
        </is>
      </c>
      <c r="G108" s="275" t="n">
        <v>0.17</v>
      </c>
      <c r="H108" s="243" t="inlineStr">
        <is>
          <t>P060382</t>
        </is>
      </c>
      <c r="I108" s="243" t="inlineStr">
        <is>
          <t>SCR012603</t>
        </is>
      </c>
      <c r="J108" s="243" t="inlineStr">
        <is>
          <t>❌ 4 MISSING</t>
        </is>
      </c>
      <c r="K108" s="246" t="inlineStr">
        <is>
          <t>#8 LoD; #9 Microbiology (on file 09.09, not recorded); #11 Heavy metals; #12 Pesticides</t>
        </is>
      </c>
      <c r="L108" s="275" t="inlineStr">
        <is>
          <t>— none on the desk —</t>
        </is>
      </c>
      <c r="M108" s="243" t="inlineStr">
        <is>
          <t>—</t>
        </is>
      </c>
      <c r="N108" s="275" t="inlineStr">
        <is>
          <t>—</t>
        </is>
      </c>
      <c r="O108" s="252" t="inlineStr">
        <is>
          <t>no — 4 missing</t>
        </is>
      </c>
    </row>
    <row r="109">
      <c r="A109" s="243" t="n">
        <v>2</v>
      </c>
      <c r="B109" s="243" t="inlineStr">
        <is>
          <t>14.08.2026</t>
        </is>
      </c>
      <c r="C109" s="244" t="inlineStr">
        <is>
          <t>ACC102501</t>
        </is>
      </c>
      <c r="D109" s="243" t="inlineStr">
        <is>
          <t>Amnesia Core Cut</t>
        </is>
      </c>
      <c r="E109" s="274" t="n">
        <v>38.88</v>
      </c>
      <c r="F109" s="243" t="inlineStr">
        <is>
          <t>10–13%</t>
        </is>
      </c>
      <c r="G109" s="275" t="n">
        <v>0.1291</v>
      </c>
      <c r="H109" s="243" t="inlineStr">
        <is>
          <t>P060122</t>
        </is>
      </c>
      <c r="I109" s="243" t="inlineStr">
        <is>
          <t>ACC102501</t>
        </is>
      </c>
      <c r="J109" s="243" t="inlineStr">
        <is>
          <t>○ 4 ON FILE, NOT RECORDED</t>
        </is>
      </c>
      <c r="K109" s="246" t="inlineStr">
        <is>
          <t>#8 LoD (on file 09.09, not recorded); #9 Microbiology (on file 09.09, not recorded); #11 Heavy metals (on file 09.09, not recorded); #12 Pesticides (on file 09.09, not recorded)</t>
        </is>
      </c>
      <c r="L109" s="275" t="inlineStr">
        <is>
          <t>— none on the desk —</t>
        </is>
      </c>
      <c r="M109" s="243" t="inlineStr">
        <is>
          <t>—</t>
        </is>
      </c>
      <c r="N109" s="275" t="inlineStr">
        <is>
          <t>—</t>
        </is>
      </c>
      <c r="O109" s="252" t="inlineStr">
        <is>
          <t>no — 4 on file, not recorded</t>
        </is>
      </c>
    </row>
    <row r="110">
      <c r="A110" s="243" t="n">
        <v>2</v>
      </c>
      <c r="B110" s="243" t="inlineStr">
        <is>
          <t>14.08.2026</t>
        </is>
      </c>
      <c r="C110" s="244" t="inlineStr">
        <is>
          <t>BSS052501</t>
        </is>
      </c>
      <c r="D110" s="243" t="inlineStr">
        <is>
          <t>Blue Sunset Sherbet</t>
        </is>
      </c>
      <c r="E110" s="274" t="n">
        <v>345.71</v>
      </c>
      <c r="F110" s="243" t="inlineStr">
        <is>
          <t>19–22%</t>
        </is>
      </c>
      <c r="G110" s="275" t="n">
        <v>0.2047</v>
      </c>
      <c r="H110" s="243" t="inlineStr">
        <is>
          <t>P050192</t>
        </is>
      </c>
      <c r="I110" s="243" t="inlineStr">
        <is>
          <t>BSS052501</t>
        </is>
      </c>
      <c r="J110" s="243" t="inlineStr">
        <is>
          <t>⚠ 1 MISSING</t>
        </is>
      </c>
      <c r="K110" s="246" t="inlineStr">
        <is>
          <t>#8 LoD</t>
        </is>
      </c>
      <c r="L110" s="275" t="n">
        <v>0.2039</v>
      </c>
      <c r="M110" s="243" t="inlineStr">
        <is>
          <t>2025/</t>
        </is>
      </c>
      <c r="N110" s="275" t="n">
        <v>-0.0007999999999999829</v>
      </c>
      <c r="O110" s="252" t="inlineStr">
        <is>
          <t>no — 1 missing</t>
        </is>
      </c>
    </row>
    <row r="111">
      <c r="A111" s="243" t="n">
        <v>2</v>
      </c>
      <c r="B111" s="243" t="inlineStr">
        <is>
          <t>14.08.2026</t>
        </is>
      </c>
      <c r="C111" s="244" t="inlineStr">
        <is>
          <t>CC012603</t>
        </is>
      </c>
      <c r="D111" s="243" t="inlineStr">
        <is>
          <t>Cash Cow</t>
        </is>
      </c>
      <c r="E111" s="274" t="n">
        <v>56.18</v>
      </c>
      <c r="F111" s="243" t="inlineStr">
        <is>
          <t>10–13%</t>
        </is>
      </c>
      <c r="G111" s="275" t="n">
        <v>0.1232</v>
      </c>
      <c r="H111" s="243" t="inlineStr">
        <is>
          <t>P060372</t>
        </is>
      </c>
      <c r="I111" s="243" t="inlineStr">
        <is>
          <t>CC012603</t>
        </is>
      </c>
      <c r="J111" s="243" t="inlineStr">
        <is>
          <t>❌ 4 MISSING</t>
        </is>
      </c>
      <c r="K111" s="246" t="inlineStr">
        <is>
          <t>#8 LoD; #9 Microbiology (on file 09.09, not recorded); #11 Heavy metals; #12 Pesticides</t>
        </is>
      </c>
      <c r="L111" s="275" t="inlineStr">
        <is>
          <t>— none on the desk —</t>
        </is>
      </c>
      <c r="M111" s="243" t="inlineStr">
        <is>
          <t>—</t>
        </is>
      </c>
      <c r="N111" s="275" t="inlineStr">
        <is>
          <t>—</t>
        </is>
      </c>
      <c r="O111" s="252" t="inlineStr">
        <is>
          <t>no — 4 missing</t>
        </is>
      </c>
    </row>
    <row r="112">
      <c r="A112" s="243" t="n">
        <v>2</v>
      </c>
      <c r="B112" s="243" t="inlineStr">
        <is>
          <t>14.08.2026</t>
        </is>
      </c>
      <c r="C112" s="244" t="inlineStr">
        <is>
          <t>CF102501</t>
        </is>
      </c>
      <c r="D112" s="243" t="inlineStr">
        <is>
          <t>Chem Flyer</t>
        </is>
      </c>
      <c r="E112" s="274" t="n">
        <v>48.35</v>
      </c>
      <c r="F112" s="243" t="inlineStr">
        <is>
          <t>7–10%</t>
        </is>
      </c>
      <c r="G112" s="275" t="n">
        <v>0.0983</v>
      </c>
      <c r="H112" s="243" t="inlineStr">
        <is>
          <t>P060132</t>
        </is>
      </c>
      <c r="I112" s="243" t="inlineStr">
        <is>
          <t>CF102501</t>
        </is>
      </c>
      <c r="J112" s="243" t="inlineStr">
        <is>
          <t>○ 4 ON FILE, NOT RECORDED</t>
        </is>
      </c>
      <c r="K112" s="246" t="inlineStr">
        <is>
          <t>#8 LoD (on file 09.09, not recorded); #9 Microbiology (on file 09.09, not recorded); #11 Heavy metals (on file 09.09, not recorded); #12 Pesticides (on file 09.09, not recorded)</t>
        </is>
      </c>
      <c r="L112" s="275" t="inlineStr">
        <is>
          <t>— none on the desk —</t>
        </is>
      </c>
      <c r="M112" s="243" t="inlineStr">
        <is>
          <t>—</t>
        </is>
      </c>
      <c r="N112" s="275" t="inlineStr">
        <is>
          <t>—</t>
        </is>
      </c>
      <c r="O112" s="252" t="inlineStr">
        <is>
          <t>no — 4 on file, not recorded</t>
        </is>
      </c>
    </row>
    <row r="113">
      <c r="A113" s="243" t="n">
        <v>2</v>
      </c>
      <c r="B113" s="243" t="inlineStr">
        <is>
          <t>14.08.2026</t>
        </is>
      </c>
      <c r="C113" s="244" t="inlineStr">
        <is>
          <t>CJ062501/1</t>
        </is>
      </c>
      <c r="D113" s="243" t="inlineStr">
        <is>
          <t>Cap Junky</t>
        </is>
      </c>
      <c r="E113" s="274" t="n">
        <v>77.72</v>
      </c>
      <c r="F113" s="243" t="inlineStr">
        <is>
          <t>19–22%</t>
        </is>
      </c>
      <c r="G113" s="275" t="n">
        <v>0.2151</v>
      </c>
      <c r="H113" s="243" t="inlineStr">
        <is>
          <t>P050222</t>
        </is>
      </c>
      <c r="I113" s="243" t="inlineStr">
        <is>
          <t>CJ062501/1</t>
        </is>
      </c>
      <c r="J113" s="243" t="inlineStr">
        <is>
          <t>✓ COMPLETE</t>
        </is>
      </c>
      <c r="K113" s="246" t="inlineStr">
        <is>
          <t>—</t>
        </is>
      </c>
      <c r="L113" s="275" t="n">
        <v>0.2151</v>
      </c>
      <c r="M113" s="243" t="inlineStr">
        <is>
          <t>ППК25321</t>
        </is>
      </c>
      <c r="N113" s="275" t="n">
        <v>0</v>
      </c>
      <c r="O113" s="250" t="inlineStr">
        <is>
          <t>yes — all 12 determinations covered</t>
        </is>
      </c>
    </row>
    <row r="114">
      <c r="A114" s="243" t="n">
        <v>2</v>
      </c>
      <c r="B114" s="243" t="inlineStr">
        <is>
          <t>14.08.2026</t>
        </is>
      </c>
      <c r="C114" s="244" t="inlineStr">
        <is>
          <t>CJ082501/1</t>
        </is>
      </c>
      <c r="D114" s="243" t="inlineStr">
        <is>
          <t>Cap Junky</t>
        </is>
      </c>
      <c r="E114" s="274" t="n">
        <v>115.6</v>
      </c>
      <c r="F114" s="243" t="inlineStr">
        <is>
          <t>22–25%</t>
        </is>
      </c>
      <c r="G114" s="275" t="n">
        <v>0.2496</v>
      </c>
      <c r="H114" s="243" t="inlineStr">
        <is>
          <t>P060022</t>
        </is>
      </c>
      <c r="I114" s="243" t="inlineStr">
        <is>
          <t>CJ082501/1</t>
        </is>
      </c>
      <c r="J114" s="243" t="inlineStr">
        <is>
          <t>✓ COMPLETE</t>
        </is>
      </c>
      <c r="K114" s="246" t="inlineStr">
        <is>
          <t>—</t>
        </is>
      </c>
      <c r="L114" s="275" t="n">
        <v>0.2496</v>
      </c>
      <c r="M114" s="243" t="inlineStr">
        <is>
          <t>ППК26002</t>
        </is>
      </c>
      <c r="N114" s="275" t="n">
        <v>0</v>
      </c>
      <c r="O114" s="250" t="inlineStr">
        <is>
          <t>yes — all 12 determinations covered</t>
        </is>
      </c>
    </row>
    <row r="115">
      <c r="A115" s="243" t="n">
        <v>2</v>
      </c>
      <c r="B115" s="243" t="inlineStr">
        <is>
          <t>14.08.2026</t>
        </is>
      </c>
      <c r="C115" s="244" t="inlineStr">
        <is>
          <t>CJ092501</t>
        </is>
      </c>
      <c r="D115" s="243" t="inlineStr">
        <is>
          <t>Cap Junky</t>
        </is>
      </c>
      <c r="E115" s="274" t="n">
        <v>28.38</v>
      </c>
      <c r="F115" s="243" t="inlineStr">
        <is>
          <t>22–25%</t>
        </is>
      </c>
      <c r="G115" s="275" t="n">
        <v>0.223</v>
      </c>
      <c r="H115" s="243" t="inlineStr">
        <is>
          <t>P060072</t>
        </is>
      </c>
      <c r="I115" s="243" t="inlineStr">
        <is>
          <t>CJ092501</t>
        </is>
      </c>
      <c r="J115" s="243" t="inlineStr">
        <is>
          <t>✓ COMPLETE</t>
        </is>
      </c>
      <c r="K115" s="246" t="inlineStr">
        <is>
          <t>—</t>
        </is>
      </c>
      <c r="L115" s="275" t="n">
        <v>0.223</v>
      </c>
      <c r="M115" s="243" t="inlineStr">
        <is>
          <t>ППК26007</t>
        </is>
      </c>
      <c r="N115" s="275" t="n">
        <v>0</v>
      </c>
      <c r="O115" s="250" t="inlineStr">
        <is>
          <t>yes — all 12 determinations covered</t>
        </is>
      </c>
    </row>
    <row r="116">
      <c r="A116" s="243" t="n">
        <v>2</v>
      </c>
      <c r="B116" s="243" t="inlineStr">
        <is>
          <t>14.08.2026</t>
        </is>
      </c>
      <c r="C116" s="244" t="inlineStr">
        <is>
          <t>CLE072501</t>
        </is>
      </c>
      <c r="D116" s="243" t="inlineStr">
        <is>
          <t>Clemosa A Bud</t>
        </is>
      </c>
      <c r="E116" s="274" t="n">
        <v>27.07</v>
      </c>
      <c r="F116" s="243" t="inlineStr">
        <is>
          <t>7–10%</t>
        </is>
      </c>
      <c r="G116" s="275" t="n">
        <v>0.08019999999999999</v>
      </c>
      <c r="H116" s="243" t="inlineStr">
        <is>
          <t>P050282</t>
        </is>
      </c>
      <c r="I116" s="243" t="inlineStr">
        <is>
          <t>CLE072501</t>
        </is>
      </c>
      <c r="J116" s="243" t="inlineStr">
        <is>
          <t>✓ COMPLETE</t>
        </is>
      </c>
      <c r="K116" s="246" t="inlineStr">
        <is>
          <t>—</t>
        </is>
      </c>
      <c r="L116" s="275" t="n">
        <v>0.08019999999999999</v>
      </c>
      <c r="M116" s="243" t="inlineStr">
        <is>
          <t>ППК25370</t>
        </is>
      </c>
      <c r="N116" s="275" t="n">
        <v>0</v>
      </c>
      <c r="O116" s="250" t="inlineStr">
        <is>
          <t>yes — all 12 determinations covered</t>
        </is>
      </c>
    </row>
    <row r="117">
      <c r="A117" s="243" t="n">
        <v>2</v>
      </c>
      <c r="B117" s="243" t="inlineStr">
        <is>
          <t>14.08.2026</t>
        </is>
      </c>
      <c r="C117" s="244" t="inlineStr">
        <is>
          <t>FB012601/1</t>
        </is>
      </c>
      <c r="D117" s="243" t="inlineStr">
        <is>
          <t>Fat Bastard</t>
        </is>
      </c>
      <c r="E117" s="274" t="n">
        <v>8.85</v>
      </c>
      <c r="F117" s="243" t="inlineStr">
        <is>
          <t>13–16%</t>
        </is>
      </c>
      <c r="G117" s="275" t="n">
        <v>0.1468</v>
      </c>
      <c r="H117" s="243" t="inlineStr">
        <is>
          <t>P060322</t>
        </is>
      </c>
      <c r="I117" s="243" t="inlineStr">
        <is>
          <t>FB012601_1</t>
        </is>
      </c>
      <c r="J117" s="243" t="inlineStr">
        <is>
          <t>✓ COMPLETE</t>
        </is>
      </c>
      <c r="K117" s="246" t="inlineStr">
        <is>
          <t>—</t>
        </is>
      </c>
      <c r="L117" s="275" t="n">
        <v>0.1468</v>
      </c>
      <c r="M117" s="243" t="inlineStr">
        <is>
          <t>ППК26067</t>
        </is>
      </c>
      <c r="N117" s="275" t="n">
        <v>0</v>
      </c>
      <c r="O117" s="250" t="inlineStr">
        <is>
          <t>yes — all 12 determinations covered</t>
        </is>
      </c>
    </row>
    <row r="118">
      <c r="A118" s="243" t="n">
        <v>2</v>
      </c>
      <c r="B118" s="243" t="inlineStr">
        <is>
          <t>14.08.2026</t>
        </is>
      </c>
      <c r="C118" s="244" t="inlineStr">
        <is>
          <t>GG1024</t>
        </is>
      </c>
      <c r="D118" s="243" t="inlineStr">
        <is>
          <t>Gorilla Glue</t>
        </is>
      </c>
      <c r="E118" s="274" t="n">
        <v>44.84</v>
      </c>
      <c r="F118" s="243" t="inlineStr">
        <is>
          <t>13–16%</t>
        </is>
      </c>
      <c r="G118" s="275" t="n">
        <v>0.1334</v>
      </c>
      <c r="H118" s="243" t="inlineStr">
        <is>
          <t>—</t>
        </is>
      </c>
      <c r="I118" s="243" t="inlineStr">
        <is>
          <t>GG1024</t>
        </is>
      </c>
      <c r="J118" s="243" t="inlineStr">
        <is>
          <t>○ 4 ON FILE, NOT RECORDED</t>
        </is>
      </c>
      <c r="K118" s="246" t="inlineStr">
        <is>
          <t>#8 LoD (on file 09.09, not recorded); #9 Microbiology (on file 09.09, not recorded); #11 Heavy metals (on file 09.09, not recorded); #12 Pesticides (on file 09.09, not recorded)</t>
        </is>
      </c>
      <c r="L118" s="275" t="n">
        <v>0.1334</v>
      </c>
      <c r="M118" s="243" t="inlineStr">
        <is>
          <t>None</t>
        </is>
      </c>
      <c r="N118" s="275" t="n">
        <v>0</v>
      </c>
      <c r="O118" s="252" t="inlineStr">
        <is>
          <t>no — 4 on file, not recorded</t>
        </is>
      </c>
    </row>
    <row r="119">
      <c r="A119" s="243" t="n">
        <v>2</v>
      </c>
      <c r="B119" s="243" t="inlineStr">
        <is>
          <t>14.08.2026</t>
        </is>
      </c>
      <c r="C119" s="244" t="inlineStr">
        <is>
          <t>GP072501/2</t>
        </is>
      </c>
      <c r="D119" s="243" t="inlineStr">
        <is>
          <t>Grape Pie</t>
        </is>
      </c>
      <c r="E119" s="274" t="n">
        <v>13.63</v>
      </c>
      <c r="F119" s="243" t="inlineStr">
        <is>
          <t>19–22%</t>
        </is>
      </c>
      <c r="G119" s="275" t="n">
        <v>0.1981</v>
      </c>
      <c r="H119" s="243" t="inlineStr">
        <is>
          <t>P050302</t>
        </is>
      </c>
      <c r="I119" s="243" t="inlineStr">
        <is>
          <t>GP072501/2</t>
        </is>
      </c>
      <c r="J119" s="243" t="inlineStr">
        <is>
          <t>✓ COMPLETE</t>
        </is>
      </c>
      <c r="K119" s="246" t="inlineStr">
        <is>
          <t>—</t>
        </is>
      </c>
      <c r="L119" s="275" t="n">
        <v>0.1981</v>
      </c>
      <c r="M119" s="243" t="inlineStr">
        <is>
          <t>ППК25379</t>
        </is>
      </c>
      <c r="N119" s="275" t="n">
        <v>0</v>
      </c>
      <c r="O119" s="250" t="inlineStr">
        <is>
          <t>yes — all 12 determinations covered</t>
        </is>
      </c>
    </row>
    <row r="120">
      <c r="A120" s="243" t="n">
        <v>2</v>
      </c>
      <c r="B120" s="243" t="inlineStr">
        <is>
          <t>14.08.2026</t>
        </is>
      </c>
      <c r="C120" s="244" t="inlineStr">
        <is>
          <t>GP0824_03</t>
        </is>
      </c>
      <c r="D120" s="243" t="inlineStr">
        <is>
          <t>Grape Pie</t>
        </is>
      </c>
      <c r="E120" s="274" t="n">
        <v>237.67</v>
      </c>
      <c r="F120" s="243" t="inlineStr">
        <is>
          <t>≥ 25%</t>
        </is>
      </c>
      <c r="G120" s="275" t="n">
        <v>0.2545</v>
      </c>
      <c r="H120" s="243" t="inlineStr">
        <is>
          <t>P050072</t>
        </is>
      </c>
      <c r="I120" s="243" t="inlineStr">
        <is>
          <t>GP0824_03</t>
        </is>
      </c>
      <c r="J120" s="243" t="inlineStr">
        <is>
          <t>✓ COMPLETE</t>
        </is>
      </c>
      <c r="K120" s="246" t="inlineStr">
        <is>
          <t>—</t>
        </is>
      </c>
      <c r="L120" s="275" t="n">
        <v>0.2545</v>
      </c>
      <c r="M120" s="243" t="inlineStr">
        <is>
          <t>ППК25175</t>
        </is>
      </c>
      <c r="N120" s="275" t="n">
        <v>0</v>
      </c>
      <c r="O120" s="250" t="inlineStr">
        <is>
          <t>yes — all 12 determinations covered</t>
        </is>
      </c>
    </row>
    <row r="121">
      <c r="A121" s="243" t="n">
        <v>2</v>
      </c>
      <c r="B121" s="243" t="inlineStr">
        <is>
          <t>14.08.2026</t>
        </is>
      </c>
      <c r="C121" s="244" t="inlineStr">
        <is>
          <t>GP082501/1</t>
        </is>
      </c>
      <c r="D121" s="243" t="inlineStr">
        <is>
          <t>Grape Pie</t>
        </is>
      </c>
      <c r="E121" s="274" t="n">
        <v>200.42</v>
      </c>
      <c r="F121" s="243" t="inlineStr">
        <is>
          <t>19–22%</t>
        </is>
      </c>
      <c r="G121" s="275" t="n">
        <v>0.2129</v>
      </c>
      <c r="H121" s="243" t="inlineStr">
        <is>
          <t>P050312</t>
        </is>
      </c>
      <c r="I121" s="243" t="inlineStr">
        <is>
          <t>GP082501/1</t>
        </is>
      </c>
      <c r="J121" s="243" t="inlineStr">
        <is>
          <t>✓ COMPLETE</t>
        </is>
      </c>
      <c r="K121" s="246" t="inlineStr">
        <is>
          <t>—</t>
        </is>
      </c>
      <c r="L121" s="275" t="n">
        <v>0.2129</v>
      </c>
      <c r="M121" s="243" t="inlineStr">
        <is>
          <t>ППК25380</t>
        </is>
      </c>
      <c r="N121" s="275" t="n">
        <v>0</v>
      </c>
      <c r="O121" s="250" t="inlineStr">
        <is>
          <t>yes — all 12 determinations covered</t>
        </is>
      </c>
    </row>
    <row r="122">
      <c r="A122" s="243" t="n">
        <v>2</v>
      </c>
      <c r="B122" s="243" t="inlineStr">
        <is>
          <t>14.08.2026</t>
        </is>
      </c>
      <c r="C122" s="244" t="inlineStr">
        <is>
          <t>GP092501</t>
        </is>
      </c>
      <c r="D122" s="243" t="inlineStr">
        <is>
          <t>Grape Pie</t>
        </is>
      </c>
      <c r="E122" s="274" t="n">
        <v>171.03</v>
      </c>
      <c r="F122" s="243" t="inlineStr">
        <is>
          <t>≥ 25%</t>
        </is>
      </c>
      <c r="G122" s="275" t="n">
        <v>0.2573</v>
      </c>
      <c r="H122" s="243" t="inlineStr">
        <is>
          <t>P060092</t>
        </is>
      </c>
      <c r="I122" s="243" t="inlineStr">
        <is>
          <t>GP092501</t>
        </is>
      </c>
      <c r="J122" s="243" t="inlineStr">
        <is>
          <t>✓ COMPLETE</t>
        </is>
      </c>
      <c r="K122" s="246" t="inlineStr">
        <is>
          <t>—</t>
        </is>
      </c>
      <c r="L122" s="275" t="n">
        <v>0.2573</v>
      </c>
      <c r="M122" s="243" t="inlineStr">
        <is>
          <t>ППК26009</t>
        </is>
      </c>
      <c r="N122" s="275" t="n">
        <v>0</v>
      </c>
      <c r="O122" s="250" t="inlineStr">
        <is>
          <t>yes — all 12 determinations covered</t>
        </is>
      </c>
    </row>
    <row r="123">
      <c r="A123" s="243" t="n">
        <v>2</v>
      </c>
      <c r="B123" s="243" t="inlineStr">
        <is>
          <t>14.08.2026</t>
        </is>
      </c>
      <c r="C123" s="244" t="inlineStr">
        <is>
          <t>GRC102501/2</t>
        </is>
      </c>
      <c r="D123" s="243" t="inlineStr">
        <is>
          <t>Grapes And Cream</t>
        </is>
      </c>
      <c r="E123" s="274" t="n">
        <v>20.17</v>
      </c>
      <c r="F123" s="243" t="inlineStr">
        <is>
          <t>10–13%</t>
        </is>
      </c>
      <c r="G123" s="275" t="n">
        <v>0.1153</v>
      </c>
      <c r="H123" s="243" t="inlineStr">
        <is>
          <t>P060182</t>
        </is>
      </c>
      <c r="I123" s="243" t="inlineStr">
        <is>
          <t>GRC102501 (through its P lot; the desk row is the roll-up GRC102501)</t>
        </is>
      </c>
      <c r="J123" s="243" t="inlineStr">
        <is>
          <t>○ 2 ON FILE, NOT RECORDED</t>
        </is>
      </c>
      <c r="K123" s="246" t="inlineStr">
        <is>
          <t>#11 Heavy metals (on file 09.09, not recorded); #12 Pesticides (on file 09.09, not recorded)</t>
        </is>
      </c>
      <c r="L123" s="275" t="n">
        <v>0.1153</v>
      </c>
      <c r="M123" s="243" t="inlineStr">
        <is>
          <t>None</t>
        </is>
      </c>
      <c r="N123" s="275" t="n">
        <v>0</v>
      </c>
      <c r="O123" s="252" t="inlineStr">
        <is>
          <t>no — 2 on file, not recorded</t>
        </is>
      </c>
    </row>
    <row r="124">
      <c r="A124" s="243" t="n">
        <v>2</v>
      </c>
      <c r="B124" s="243" t="inlineStr">
        <is>
          <t>14.08.2026</t>
        </is>
      </c>
      <c r="C124" s="244" t="inlineStr">
        <is>
          <t>HPA052501</t>
        </is>
      </c>
      <c r="D124" s="243" t="inlineStr">
        <is>
          <t>High Pro Amnesia</t>
        </is>
      </c>
      <c r="E124" s="274" t="n">
        <v>249.95</v>
      </c>
      <c r="F124" s="243" t="inlineStr">
        <is>
          <t>19–22%</t>
        </is>
      </c>
      <c r="G124" s="275" t="n">
        <v>0.2039</v>
      </c>
      <c r="H124" s="243" t="inlineStr">
        <is>
          <t>P050182</t>
        </is>
      </c>
      <c r="I124" s="243" t="inlineStr">
        <is>
          <t>HPA052501</t>
        </is>
      </c>
      <c r="J124" s="243" t="inlineStr">
        <is>
          <t>✓ COMPLETE</t>
        </is>
      </c>
      <c r="K124" s="246" t="inlineStr">
        <is>
          <t>—</t>
        </is>
      </c>
      <c r="L124" s="275" t="n">
        <v>0.2039</v>
      </c>
      <c r="M124" s="243" t="inlineStr">
        <is>
          <t>ППК25278</t>
        </is>
      </c>
      <c r="N124" s="275" t="n">
        <v>0</v>
      </c>
      <c r="O124" s="250" t="inlineStr">
        <is>
          <t>yes — all 12 determinations covered</t>
        </is>
      </c>
    </row>
    <row r="125">
      <c r="A125" s="243" t="n">
        <v>2</v>
      </c>
      <c r="B125" s="243" t="inlineStr">
        <is>
          <t>14.08.2026</t>
        </is>
      </c>
      <c r="C125" s="244" t="inlineStr">
        <is>
          <t>JD012603/01</t>
        </is>
      </c>
      <c r="D125" s="243" t="inlineStr">
        <is>
          <t>Jelly Donuts</t>
        </is>
      </c>
      <c r="E125" s="274" t="n">
        <v>12</v>
      </c>
      <c r="F125" s="243" t="inlineStr">
        <is>
          <t>16–19%</t>
        </is>
      </c>
      <c r="G125" s="275" t="n">
        <v>0.1671</v>
      </c>
      <c r="H125" s="243" t="inlineStr">
        <is>
          <t>P060362</t>
        </is>
      </c>
      <c r="I125" s="243" t="inlineStr">
        <is>
          <t>JD012603 (through its P lot; the desk row is the roll-up JD012603)</t>
        </is>
      </c>
      <c r="J125" s="243" t="inlineStr">
        <is>
          <t>○ 3 ON FILE, NOT RECORDED</t>
        </is>
      </c>
      <c r="K125" s="246" t="inlineStr">
        <is>
          <t>#9 Microbiology (on file 09.09, not recorded); #11 Heavy metals (on file 09.09, not recorded); #12 Pesticides (on file 09.09, not recorded)</t>
        </is>
      </c>
      <c r="L125" s="275" t="inlineStr">
        <is>
          <t>— none on the desk —</t>
        </is>
      </c>
      <c r="M125" s="243" t="inlineStr">
        <is>
          <t>—</t>
        </is>
      </c>
      <c r="N125" s="275" t="inlineStr">
        <is>
          <t>—</t>
        </is>
      </c>
      <c r="O125" s="252" t="inlineStr">
        <is>
          <t>no — 3 on file, not recorded</t>
        </is>
      </c>
    </row>
    <row r="126">
      <c r="A126" s="243" t="n">
        <v>2</v>
      </c>
      <c r="B126" s="243" t="inlineStr">
        <is>
          <t>14.08.2026</t>
        </is>
      </c>
      <c r="C126" s="244" t="inlineStr">
        <is>
          <t>JD012603/02</t>
        </is>
      </c>
      <c r="D126" s="243" t="inlineStr">
        <is>
          <t>Jelly Donuts</t>
        </is>
      </c>
      <c r="E126" s="274" t="n">
        <v>46</v>
      </c>
      <c r="F126" s="243" t="inlineStr">
        <is>
          <t>13–16%</t>
        </is>
      </c>
      <c r="G126" s="275" t="n">
        <v>0.133</v>
      </c>
      <c r="H126" s="243" t="inlineStr">
        <is>
          <t>P060412</t>
        </is>
      </c>
      <c r="I126" s="243" t="inlineStr">
        <is>
          <t>JD012603 (through its P lot; the desk row is the roll-up JD012603)</t>
        </is>
      </c>
      <c r="J126" s="243" t="inlineStr">
        <is>
          <t>○ 3 ON FILE, NOT RECORDED</t>
        </is>
      </c>
      <c r="K126" s="246" t="inlineStr">
        <is>
          <t>#9 Microbiology (on file 09.09, not recorded); #11 Heavy metals (on file 09.09, not recorded); #12 Pesticides (on file 09.09, not recorded)</t>
        </is>
      </c>
      <c r="L126" s="276" t="n">
        <v>0.2054</v>
      </c>
      <c r="M126" s="277" t="inlineStr">
        <is>
          <t>ППК26113</t>
        </is>
      </c>
      <c r="N126" s="276" t="n">
        <v>0.07239999999999998</v>
      </c>
      <c r="O126" s="278" t="inlineStr">
        <is>
          <t>no — 3 on file, not recorded  |  POTENCY: the certificate reads 20.54 %, outside the 13–16% it was delivered under</t>
        </is>
      </c>
    </row>
    <row r="127">
      <c r="A127" s="243" t="n">
        <v>2</v>
      </c>
      <c r="B127" s="243" t="inlineStr">
        <is>
          <t>14.08.2026</t>
        </is>
      </c>
      <c r="C127" s="244" t="inlineStr">
        <is>
          <t>JD012603/02V</t>
        </is>
      </c>
      <c r="D127" s="243" t="inlineStr">
        <is>
          <t>Jelly Donuts</t>
        </is>
      </c>
      <c r="E127" s="274" t="n">
        <v>11</v>
      </c>
      <c r="F127" s="243" t="inlineStr">
        <is>
          <t>13–16%</t>
        </is>
      </c>
      <c r="G127" s="275" t="n">
        <v>0.1497</v>
      </c>
      <c r="H127" s="243" t="inlineStr">
        <is>
          <t>P060422</t>
        </is>
      </c>
      <c r="I127" s="243" t="inlineStr">
        <is>
          <t>JD012603 (through its P lot; the desk row is the roll-up JD012603)</t>
        </is>
      </c>
      <c r="J127" s="243" t="inlineStr">
        <is>
          <t>○ 3 ON FILE, NOT RECORDED</t>
        </is>
      </c>
      <c r="K127" s="246" t="inlineStr">
        <is>
          <t>#9 Microbiology (on file 09.09, not recorded); #11 Heavy metals (on file 09.09, not recorded); #12 Pesticides (on file 09.09, not recorded)</t>
        </is>
      </c>
      <c r="L127" s="275" t="n">
        <v>0.1516</v>
      </c>
      <c r="M127" s="243" t="inlineStr">
        <is>
          <t>ППК26111</t>
        </is>
      </c>
      <c r="N127" s="275" t="n">
        <v>0.001899999999999995</v>
      </c>
      <c r="O127" s="252" t="inlineStr">
        <is>
          <t>no — 3 on file, not recorded</t>
        </is>
      </c>
    </row>
    <row r="128">
      <c r="A128" s="243" t="n">
        <v>2</v>
      </c>
      <c r="B128" s="243" t="inlineStr">
        <is>
          <t>14.08.2026</t>
        </is>
      </c>
      <c r="C128" s="244" t="inlineStr">
        <is>
          <t>KC102501</t>
        </is>
      </c>
      <c r="D128" s="243" t="inlineStr">
        <is>
          <t>Kush Crasher</t>
        </is>
      </c>
      <c r="E128" s="274" t="n">
        <v>21.67</v>
      </c>
      <c r="F128" s="243" t="inlineStr">
        <is>
          <t>16–19%</t>
        </is>
      </c>
      <c r="G128" s="275" t="n">
        <v>0.174</v>
      </c>
      <c r="H128" s="243" t="inlineStr">
        <is>
          <t>P060172</t>
        </is>
      </c>
      <c r="I128" s="243" t="inlineStr">
        <is>
          <t>KC102501</t>
        </is>
      </c>
      <c r="J128" s="243" t="inlineStr">
        <is>
          <t>○ 3 ON FILE, NOT RECORDED</t>
        </is>
      </c>
      <c r="K128" s="246" t="inlineStr">
        <is>
          <t>#9 Microbiology (on file 09.09, not recorded); #11 Heavy metals (on file 09.09, not recorded); #12 Pesticides (on file 09.09, not recorded)</t>
        </is>
      </c>
      <c r="L128" s="275" t="n">
        <v>0.1704</v>
      </c>
      <c r="M128" s="243" t="inlineStr">
        <is>
          <t>051-4-К/26</t>
        </is>
      </c>
      <c r="N128" s="275" t="n">
        <v>-0.003599999999999994</v>
      </c>
      <c r="O128" s="252" t="inlineStr">
        <is>
          <t>no — 3 on file, not recorded</t>
        </is>
      </c>
    </row>
    <row r="129">
      <c r="A129" s="243" t="n">
        <v>2</v>
      </c>
      <c r="B129" s="243" t="inlineStr">
        <is>
          <t>14.08.2026</t>
        </is>
      </c>
      <c r="C129" s="244" t="inlineStr">
        <is>
          <t>MB0824_05</t>
        </is>
      </c>
      <c r="D129" s="243" t="inlineStr">
        <is>
          <t>Motor Breath</t>
        </is>
      </c>
      <c r="E129" s="274" t="n">
        <v>244.06</v>
      </c>
      <c r="F129" s="243" t="inlineStr">
        <is>
          <t>16–19%</t>
        </is>
      </c>
      <c r="G129" s="275" t="n">
        <v>0.1682</v>
      </c>
      <c r="H129" s="243" t="inlineStr">
        <is>
          <t>P050112</t>
        </is>
      </c>
      <c r="I129" s="243" t="inlineStr">
        <is>
          <t>MB0824_05</t>
        </is>
      </c>
      <c r="J129" s="243" t="inlineStr">
        <is>
          <t>✓ COMPLETE</t>
        </is>
      </c>
      <c r="K129" s="246" t="inlineStr">
        <is>
          <t>—</t>
        </is>
      </c>
      <c r="L129" s="275" t="n">
        <v>0.1682</v>
      </c>
      <c r="M129" s="243" t="inlineStr">
        <is>
          <t>None</t>
        </is>
      </c>
      <c r="N129" s="275" t="n">
        <v>0</v>
      </c>
      <c r="O129" s="250" t="inlineStr">
        <is>
          <t>yes — all 12 determinations covered</t>
        </is>
      </c>
    </row>
    <row r="130">
      <c r="A130" s="243" t="n">
        <v>2</v>
      </c>
      <c r="B130" s="243" t="inlineStr">
        <is>
          <t>14.08.2026</t>
        </is>
      </c>
      <c r="C130" s="244" t="inlineStr">
        <is>
          <t>OMP1024_01</t>
        </is>
      </c>
      <c r="D130" s="243" t="inlineStr">
        <is>
          <t>Orange Punch Mimosa</t>
        </is>
      </c>
      <c r="E130" s="274" t="n">
        <v>213.59</v>
      </c>
      <c r="F130" s="243" t="inlineStr">
        <is>
          <t>13–16%</t>
        </is>
      </c>
      <c r="G130" s="275" t="n">
        <v>0.1538</v>
      </c>
      <c r="H130" s="243" t="inlineStr">
        <is>
          <t>P050042</t>
        </is>
      </c>
      <c r="I130" s="243" t="inlineStr">
        <is>
          <t>OMP1024_01</t>
        </is>
      </c>
      <c r="J130" s="243" t="inlineStr">
        <is>
          <t>✓ COMPLETE</t>
        </is>
      </c>
      <c r="K130" s="246" t="inlineStr">
        <is>
          <t>—</t>
        </is>
      </c>
      <c r="L130" s="275" t="inlineStr">
        <is>
          <t>— none on the desk —</t>
        </is>
      </c>
      <c r="M130" s="243" t="inlineStr">
        <is>
          <t>—</t>
        </is>
      </c>
      <c r="N130" s="275" t="inlineStr">
        <is>
          <t>—</t>
        </is>
      </c>
      <c r="O130" s="250" t="inlineStr">
        <is>
          <t>yes — all 12 determinations covered</t>
        </is>
      </c>
    </row>
    <row r="131">
      <c r="A131" s="243" t="n">
        <v>2</v>
      </c>
      <c r="B131" s="243" t="inlineStr">
        <is>
          <t>14.08.2026</t>
        </is>
      </c>
      <c r="C131" s="244" t="inlineStr">
        <is>
          <t>OPM092501</t>
        </is>
      </c>
      <c r="D131" s="243" t="inlineStr">
        <is>
          <t>Orange Punch Mimosa</t>
        </is>
      </c>
      <c r="E131" s="274" t="n">
        <v>14.76</v>
      </c>
      <c r="F131" s="243" t="inlineStr">
        <is>
          <t>7–10%</t>
        </is>
      </c>
      <c r="G131" s="275" t="n">
        <v>0.09429999999999999</v>
      </c>
      <c r="H131" s="243" t="inlineStr">
        <is>
          <t>P060042</t>
        </is>
      </c>
      <c r="I131" s="243" t="inlineStr">
        <is>
          <t>OPM092501</t>
        </is>
      </c>
      <c r="J131" s="243" t="inlineStr">
        <is>
          <t>✓ COMPLETE</t>
        </is>
      </c>
      <c r="K131" s="246" t="inlineStr">
        <is>
          <t>—</t>
        </is>
      </c>
      <c r="L131" s="275" t="n">
        <v>0.09429999999999999</v>
      </c>
      <c r="M131" s="243" t="inlineStr">
        <is>
          <t>ППК26008</t>
        </is>
      </c>
      <c r="N131" s="275" t="n">
        <v>0</v>
      </c>
      <c r="O131" s="250" t="inlineStr">
        <is>
          <t>yes — all 12 determinations covered</t>
        </is>
      </c>
    </row>
    <row r="132">
      <c r="A132" s="243" t="n">
        <v>2</v>
      </c>
      <c r="B132" s="243" t="inlineStr">
        <is>
          <t>14.08.2026</t>
        </is>
      </c>
      <c r="C132" s="244" t="inlineStr">
        <is>
          <t>OPM1024_03</t>
        </is>
      </c>
      <c r="D132" s="243" t="inlineStr">
        <is>
          <t>Orange Punch Mimosa</t>
        </is>
      </c>
      <c r="E132" s="274" t="n">
        <v>267.59</v>
      </c>
      <c r="F132" s="243" t="inlineStr">
        <is>
          <t>16–19%</t>
        </is>
      </c>
      <c r="G132" s="275" t="n">
        <v>0.1655</v>
      </c>
      <c r="H132" s="243" t="inlineStr">
        <is>
          <t>P050082</t>
        </is>
      </c>
      <c r="I132" s="243" t="inlineStr">
        <is>
          <t>OPM1024_03</t>
        </is>
      </c>
      <c r="J132" s="243" t="inlineStr">
        <is>
          <t>✓ COMPLETE</t>
        </is>
      </c>
      <c r="K132" s="246" t="inlineStr">
        <is>
          <t>—</t>
        </is>
      </c>
      <c r="L132" s="275" t="n">
        <v>0.1655</v>
      </c>
      <c r="M132" s="243" t="inlineStr">
        <is>
          <t>ППК25210</t>
        </is>
      </c>
      <c r="N132" s="275" t="n">
        <v>0</v>
      </c>
      <c r="O132" s="250" t="inlineStr">
        <is>
          <t>yes — all 12 determinations covered</t>
        </is>
      </c>
    </row>
    <row r="133">
      <c r="A133" s="243" t="n">
        <v>2</v>
      </c>
      <c r="B133" s="243" t="inlineStr">
        <is>
          <t>14.08.2026</t>
        </is>
      </c>
      <c r="C133" s="244" t="inlineStr">
        <is>
          <t>PM112501</t>
        </is>
      </c>
      <c r="D133" s="243" t="inlineStr">
        <is>
          <t>Permanent Marker</t>
        </is>
      </c>
      <c r="E133" s="274" t="n">
        <v>48.09</v>
      </c>
      <c r="F133" s="243" t="inlineStr">
        <is>
          <t>13–16%</t>
        </is>
      </c>
      <c r="G133" s="275" t="n">
        <v>0.13</v>
      </c>
      <c r="H133" s="243" t="inlineStr">
        <is>
          <t>P060232</t>
        </is>
      </c>
      <c r="I133" s="243" t="inlineStr">
        <is>
          <t>PM112501</t>
        </is>
      </c>
      <c r="J133" s="243" t="inlineStr">
        <is>
          <t>○ 3 ON FILE, NOT RECORDED</t>
        </is>
      </c>
      <c r="K133" s="246" t="inlineStr">
        <is>
          <t>#9 Microbiology (on file 09.09, not recorded); #11 Heavy metals (on file 09.09, not recorded); #12 Pesticides (on file 09.09, not recorded)</t>
        </is>
      </c>
      <c r="L133" s="275" t="n">
        <v>0.1333</v>
      </c>
      <c r="M133" s="243" t="inlineStr">
        <is>
          <t>ППК26030</t>
        </is>
      </c>
      <c r="N133" s="275" t="n">
        <v>0.003300000000000001</v>
      </c>
      <c r="O133" s="252" t="inlineStr">
        <is>
          <t>no — 3 on file, not recorded</t>
        </is>
      </c>
    </row>
    <row r="134">
      <c r="A134" s="243" t="n">
        <v>2</v>
      </c>
      <c r="B134" s="243" t="inlineStr">
        <is>
          <t>14.08.2026</t>
        </is>
      </c>
      <c r="C134" s="244" t="inlineStr">
        <is>
          <t>PUM102501</t>
        </is>
      </c>
      <c r="D134" s="243" t="inlineStr">
        <is>
          <t>Pure Michigen</t>
        </is>
      </c>
      <c r="E134" s="274" t="n">
        <v>49.91</v>
      </c>
      <c r="F134" s="243" t="inlineStr">
        <is>
          <t>13–16%</t>
        </is>
      </c>
      <c r="G134" s="275" t="n">
        <v>0.1563</v>
      </c>
      <c r="H134" s="243" t="inlineStr">
        <is>
          <t>P060112</t>
        </is>
      </c>
      <c r="I134" s="243" t="inlineStr">
        <is>
          <t>PUM102501</t>
        </is>
      </c>
      <c r="J134" s="243" t="inlineStr">
        <is>
          <t>○ 4 ON FILE, NOT RECORDED</t>
        </is>
      </c>
      <c r="K134" s="246" t="inlineStr">
        <is>
          <t>#8 LoD (on file 09.09, not recorded); #9 Microbiology (on file 09.09, not recorded); #11 Heavy metals (on file 09.09, not recorded); #12 Pesticides (on file 09.09, not recorded)</t>
        </is>
      </c>
      <c r="L134" s="275" t="inlineStr">
        <is>
          <t>— none on the desk —</t>
        </is>
      </c>
      <c r="M134" s="243" t="inlineStr">
        <is>
          <t>—</t>
        </is>
      </c>
      <c r="N134" s="275" t="inlineStr">
        <is>
          <t>—</t>
        </is>
      </c>
      <c r="O134" s="252" t="inlineStr">
        <is>
          <t>no — 4 on file, not recorded</t>
        </is>
      </c>
    </row>
    <row r="135">
      <c r="A135" s="243" t="n">
        <v>2</v>
      </c>
      <c r="B135" s="243" t="inlineStr">
        <is>
          <t>14.08.2026</t>
        </is>
      </c>
      <c r="C135" s="244" t="inlineStr">
        <is>
          <t>SCR112501</t>
        </is>
      </c>
      <c r="D135" s="243" t="inlineStr">
        <is>
          <t>Scrambler</t>
        </is>
      </c>
      <c r="E135" s="274" t="n">
        <v>23.44</v>
      </c>
      <c r="F135" s="243" t="inlineStr">
        <is>
          <t>16–19%</t>
        </is>
      </c>
      <c r="G135" s="275" t="n">
        <v>0.1713</v>
      </c>
      <c r="H135" s="243" t="inlineStr">
        <is>
          <t>P060282</t>
        </is>
      </c>
      <c r="I135" s="243" t="inlineStr">
        <is>
          <t>SCR112501</t>
        </is>
      </c>
      <c r="J135" s="243" t="inlineStr">
        <is>
          <t>✓ COMPLETE</t>
        </is>
      </c>
      <c r="K135" s="246" t="inlineStr">
        <is>
          <t>—</t>
        </is>
      </c>
      <c r="L135" s="275" t="n">
        <v>0.1713</v>
      </c>
      <c r="M135" s="243" t="inlineStr">
        <is>
          <t>ППК26069</t>
        </is>
      </c>
      <c r="N135" s="275" t="n">
        <v>0</v>
      </c>
      <c r="O135" s="250" t="inlineStr">
        <is>
          <t>yes — all 12 determinations covered</t>
        </is>
      </c>
    </row>
    <row r="136">
      <c r="A136" s="243" t="n">
        <v>2</v>
      </c>
      <c r="B136" s="243" t="inlineStr">
        <is>
          <t>14.08.2026</t>
        </is>
      </c>
      <c r="C136" s="244" t="inlineStr">
        <is>
          <t>SJ092501</t>
        </is>
      </c>
      <c r="D136" s="243" t="inlineStr">
        <is>
          <t>Sleepy Joe</t>
        </is>
      </c>
      <c r="E136" s="274" t="n">
        <v>28.68</v>
      </c>
      <c r="F136" s="243" t="inlineStr">
        <is>
          <t>10–13%</t>
        </is>
      </c>
      <c r="G136" s="275" t="n">
        <v>0.1096</v>
      </c>
      <c r="H136" s="243" t="inlineStr">
        <is>
          <t>—</t>
        </is>
      </c>
      <c r="I136" s="243" t="inlineStr">
        <is>
          <t>SJ0925021 (through the certificates that print this batch (85/2026, 9/0012/26, ППК26006); the desk names the lot SJ0925021)</t>
        </is>
      </c>
      <c r="J136" s="243" t="inlineStr">
        <is>
          <t>✓ COMPLETE</t>
        </is>
      </c>
      <c r="K136" s="246" t="inlineStr">
        <is>
          <t>—</t>
        </is>
      </c>
      <c r="L136" s="275" t="n">
        <v>0.1096</v>
      </c>
      <c r="M136" s="243" t="inlineStr">
        <is>
          <t>ППК26006</t>
        </is>
      </c>
      <c r="N136" s="275" t="n">
        <v>0</v>
      </c>
      <c r="O136" s="250" t="inlineStr">
        <is>
          <t>yes — all 12 determinations covered</t>
        </is>
      </c>
    </row>
    <row r="137">
      <c r="A137" s="243" t="n">
        <v>2</v>
      </c>
      <c r="B137" s="243" t="inlineStr">
        <is>
          <t>14.08.2026</t>
        </is>
      </c>
      <c r="C137" s="244" t="inlineStr">
        <is>
          <t>WC082501</t>
        </is>
      </c>
      <c r="D137" s="243" t="inlineStr">
        <is>
          <t>Wedding Crusher</t>
        </is>
      </c>
      <c r="E137" s="274" t="n">
        <v>82.63</v>
      </c>
      <c r="F137" s="243" t="inlineStr">
        <is>
          <t>19–22%</t>
        </is>
      </c>
      <c r="G137" s="275" t="n">
        <v>0.2167</v>
      </c>
      <c r="H137" s="243" t="inlineStr">
        <is>
          <t>P060012</t>
        </is>
      </c>
      <c r="I137" s="243" t="inlineStr">
        <is>
          <t>WC082501</t>
        </is>
      </c>
      <c r="J137" s="243" t="inlineStr">
        <is>
          <t>✓ COMPLETE</t>
        </is>
      </c>
      <c r="K137" s="246" t="inlineStr">
        <is>
          <t>—</t>
        </is>
      </c>
      <c r="L137" s="275" t="n">
        <v>0.2167</v>
      </c>
      <c r="M137" s="243" t="inlineStr">
        <is>
          <t>ППК26001</t>
        </is>
      </c>
      <c r="N137" s="275" t="n">
        <v>0</v>
      </c>
      <c r="O137" s="250" t="inlineStr">
        <is>
          <t>yes — all 12 determinations covered</t>
        </is>
      </c>
    </row>
    <row r="138">
      <c r="A138" s="243" t="n">
        <v>3</v>
      </c>
      <c r="B138" s="243" t="inlineStr">
        <is>
          <t>28.08.2026</t>
        </is>
      </c>
      <c r="C138" s="244" t="inlineStr">
        <is>
          <t>AB092501</t>
        </is>
      </c>
      <c r="D138" s="243" t="inlineStr">
        <is>
          <t>Apple and Banana</t>
        </is>
      </c>
      <c r="E138" s="274" t="n">
        <v>24.37</v>
      </c>
      <c r="F138" s="243" t="inlineStr">
        <is>
          <t>16–19%</t>
        </is>
      </c>
      <c r="G138" s="275" t="n">
        <v>0.1693</v>
      </c>
      <c r="H138" s="243" t="inlineStr">
        <is>
          <t>P060052</t>
        </is>
      </c>
      <c r="I138" s="243" t="inlineStr">
        <is>
          <t>AB092501</t>
        </is>
      </c>
      <c r="J138" s="243" t="inlineStr">
        <is>
          <t>✓ COMPLETE</t>
        </is>
      </c>
      <c r="K138" s="246" t="inlineStr">
        <is>
          <t>—</t>
        </is>
      </c>
      <c r="L138" s="275" t="n">
        <v>0.1693</v>
      </c>
      <c r="M138" s="243" t="inlineStr">
        <is>
          <t>ППК26005</t>
        </is>
      </c>
      <c r="N138" s="275" t="n">
        <v>0</v>
      </c>
      <c r="O138" s="250" t="inlineStr">
        <is>
          <t>yes — all 12 determinations covered</t>
        </is>
      </c>
    </row>
    <row r="139">
      <c r="A139" s="243" t="n">
        <v>3</v>
      </c>
      <c r="B139" s="243" t="inlineStr">
        <is>
          <t>28.08.2026</t>
        </is>
      </c>
      <c r="C139" s="244" t="inlineStr">
        <is>
          <t>BSS1024_01/1</t>
        </is>
      </c>
      <c r="D139" s="243" t="inlineStr">
        <is>
          <t>Blue Sunset Sherbet</t>
        </is>
      </c>
      <c r="E139" s="274" t="n">
        <v>251.02</v>
      </c>
      <c r="F139" s="243" t="inlineStr">
        <is>
          <t>22–25%</t>
        </is>
      </c>
      <c r="G139" s="275" t="n">
        <v>0.2342</v>
      </c>
      <c r="H139" s="243" t="inlineStr">
        <is>
          <t>P050122</t>
        </is>
      </c>
      <c r="I139" s="243" t="inlineStr">
        <is>
          <t>BSS1024_01/1</t>
        </is>
      </c>
      <c r="J139" s="243" t="inlineStr">
        <is>
          <t>✓ COMPLETE</t>
        </is>
      </c>
      <c r="K139" s="246" t="inlineStr">
        <is>
          <t>—</t>
        </is>
      </c>
      <c r="L139" s="275" t="inlineStr">
        <is>
          <t>— none on the desk —</t>
        </is>
      </c>
      <c r="M139" s="243" t="inlineStr">
        <is>
          <t>—</t>
        </is>
      </c>
      <c r="N139" s="275" t="inlineStr">
        <is>
          <t>—</t>
        </is>
      </c>
      <c r="O139" s="250" t="inlineStr">
        <is>
          <t>yes — all 12 determinations covered</t>
        </is>
      </c>
    </row>
    <row r="140">
      <c r="A140" s="243" t="n">
        <v>3</v>
      </c>
      <c r="B140" s="243" t="inlineStr">
        <is>
          <t>28.08.2026</t>
        </is>
      </c>
      <c r="C140" s="244" t="inlineStr">
        <is>
          <t>CC112501</t>
        </is>
      </c>
      <c r="D140" s="243" t="inlineStr">
        <is>
          <t>Cash Cow</t>
        </is>
      </c>
      <c r="E140" s="274" t="n">
        <v>13.94</v>
      </c>
      <c r="F140" s="243" t="inlineStr">
        <is>
          <t>13–16%</t>
        </is>
      </c>
      <c r="G140" s="275" t="n">
        <v>0.1335</v>
      </c>
      <c r="H140" s="243" t="inlineStr">
        <is>
          <t>P060272</t>
        </is>
      </c>
      <c r="I140" s="243" t="inlineStr">
        <is>
          <t>CC112501</t>
        </is>
      </c>
      <c r="J140" s="243" t="inlineStr">
        <is>
          <t>✓ COMPLETE</t>
        </is>
      </c>
      <c r="K140" s="246" t="inlineStr">
        <is>
          <t>—</t>
        </is>
      </c>
      <c r="L140" s="275" t="n">
        <v>0.1335</v>
      </c>
      <c r="M140" s="243" t="inlineStr">
        <is>
          <t>ППК26068</t>
        </is>
      </c>
      <c r="N140" s="275" t="n">
        <v>0</v>
      </c>
      <c r="O140" s="250" t="inlineStr">
        <is>
          <t>yes — all 12 determinations covered</t>
        </is>
      </c>
    </row>
    <row r="141">
      <c r="A141" s="243" t="n">
        <v>3</v>
      </c>
      <c r="B141" s="243" t="inlineStr">
        <is>
          <t>28.08.2026</t>
        </is>
      </c>
      <c r="C141" s="244" t="inlineStr">
        <is>
          <t>CJ052501/02</t>
        </is>
      </c>
      <c r="D141" s="243" t="inlineStr">
        <is>
          <t>Cap Junky</t>
        </is>
      </c>
      <c r="E141" s="274" t="n">
        <v>43.95</v>
      </c>
      <c r="F141" s="243" t="inlineStr">
        <is>
          <t>13–16%</t>
        </is>
      </c>
      <c r="G141" s="275" t="n">
        <v>0.1449</v>
      </c>
      <c r="H141" s="243" t="inlineStr">
        <is>
          <t>P050172</t>
        </is>
      </c>
      <c r="I141" s="243" t="inlineStr">
        <is>
          <t>CJ052501/02</t>
        </is>
      </c>
      <c r="J141" s="243" t="inlineStr">
        <is>
          <t>✓ COMPLETE</t>
        </is>
      </c>
      <c r="K141" s="246" t="inlineStr">
        <is>
          <t>—</t>
        </is>
      </c>
      <c r="L141" s="275" t="n">
        <v>0.1493</v>
      </c>
      <c r="M141" s="243" t="inlineStr">
        <is>
          <t>ППК25281</t>
        </is>
      </c>
      <c r="N141" s="275" t="n">
        <v>0.004399999999999995</v>
      </c>
      <c r="O141" s="250" t="inlineStr">
        <is>
          <t>yes — all 12 determinations covered</t>
        </is>
      </c>
    </row>
    <row r="142">
      <c r="A142" s="243" t="n">
        <v>3</v>
      </c>
      <c r="B142" s="243" t="inlineStr">
        <is>
          <t>28.08.2026</t>
        </is>
      </c>
      <c r="C142" s="244" t="inlineStr">
        <is>
          <t>CJ072501</t>
        </is>
      </c>
      <c r="D142" s="243" t="inlineStr">
        <is>
          <t>Cap Junky</t>
        </is>
      </c>
      <c r="E142" s="274" t="n">
        <v>39.72</v>
      </c>
      <c r="F142" s="243" t="inlineStr">
        <is>
          <t>22–25%</t>
        </is>
      </c>
      <c r="G142" s="275" t="n">
        <v>0.237</v>
      </c>
      <c r="H142" s="243" t="inlineStr">
        <is>
          <t>P050252</t>
        </is>
      </c>
      <c r="I142" s="243" t="inlineStr">
        <is>
          <t>CJ072501</t>
        </is>
      </c>
      <c r="J142" s="243" t="inlineStr">
        <is>
          <t>✓ COMPLETE</t>
        </is>
      </c>
      <c r="K142" s="246" t="inlineStr">
        <is>
          <t>—</t>
        </is>
      </c>
      <c r="L142" s="275" t="n">
        <v>0.237</v>
      </c>
      <c r="M142" s="243" t="inlineStr">
        <is>
          <t>ППК25367</t>
        </is>
      </c>
      <c r="N142" s="275" t="n">
        <v>0</v>
      </c>
      <c r="O142" s="250" t="inlineStr">
        <is>
          <t>yes — all 12 determinations covered</t>
        </is>
      </c>
    </row>
    <row r="143">
      <c r="A143" s="243" t="n">
        <v>3</v>
      </c>
      <c r="B143" s="243" t="inlineStr">
        <is>
          <t>28.08.2026</t>
        </is>
      </c>
      <c r="C143" s="244" t="inlineStr">
        <is>
          <t>CJ1024</t>
        </is>
      </c>
      <c r="D143" s="243" t="inlineStr">
        <is>
          <t>Cap Junky</t>
        </is>
      </c>
      <c r="E143" s="274" t="n">
        <v>21.21</v>
      </c>
      <c r="F143" s="243" t="inlineStr">
        <is>
          <t>22–25%</t>
        </is>
      </c>
      <c r="G143" s="275" t="n">
        <v>0.23</v>
      </c>
      <c r="H143" s="243" t="inlineStr">
        <is>
          <t>—</t>
        </is>
      </c>
      <c r="I143" s="243" t="inlineStr">
        <is>
          <t>CJ1024</t>
        </is>
      </c>
      <c r="J143" s="243" t="inlineStr">
        <is>
          <t>✓ COMPLETE</t>
        </is>
      </c>
      <c r="K143" s="246" t="inlineStr">
        <is>
          <t>—</t>
        </is>
      </c>
      <c r="L143" s="275" t="n">
        <v>0.23</v>
      </c>
      <c r="M143" s="243" t="inlineStr">
        <is>
          <t>ППК25052</t>
        </is>
      </c>
      <c r="N143" s="275" t="n">
        <v>0</v>
      </c>
      <c r="O143" s="250" t="inlineStr">
        <is>
          <t>yes — all 12 determinations covered</t>
        </is>
      </c>
    </row>
    <row r="144">
      <c r="A144" s="243" t="n">
        <v>3</v>
      </c>
      <c r="B144" s="243" t="inlineStr">
        <is>
          <t>28.08.2026</t>
        </is>
      </c>
      <c r="C144" s="244" t="inlineStr">
        <is>
          <t>FB012603</t>
        </is>
      </c>
      <c r="D144" s="243" t="inlineStr">
        <is>
          <t>Fat Bastard</t>
        </is>
      </c>
      <c r="E144" s="274" t="n">
        <v>75</v>
      </c>
      <c r="F144" s="243" t="inlineStr">
        <is>
          <t>13–16%</t>
        </is>
      </c>
      <c r="G144" s="275" t="n">
        <v>0.1465</v>
      </c>
      <c r="H144" s="243" t="inlineStr">
        <is>
          <t>P060432</t>
        </is>
      </c>
      <c r="I144" s="243" t="inlineStr">
        <is>
          <t>FB012603</t>
        </is>
      </c>
      <c r="J144" s="243" t="inlineStr">
        <is>
          <t>○ 3 ON FILE, NOT RECORDED</t>
        </is>
      </c>
      <c r="K144" s="246" t="inlineStr">
        <is>
          <t>#10 Mycotoxins (on file 09.09, not recorded); #11 Heavy metals (on file 09.09, not recorded); #12 Pesticides (on file 09.09, not recorded)</t>
        </is>
      </c>
      <c r="L144" s="276" t="n">
        <v>0.2083</v>
      </c>
      <c r="M144" s="277" t="inlineStr">
        <is>
          <t>ППК26112</t>
        </is>
      </c>
      <c r="N144" s="276" t="n">
        <v>0.06179999999999998</v>
      </c>
      <c r="O144" s="278" t="inlineStr">
        <is>
          <t>no — 3 on file, not recorded  |  POTENCY: the certificate reads 20.83 %, outside the 13–16% it was delivered under</t>
        </is>
      </c>
    </row>
    <row r="145">
      <c r="A145" s="243" t="n">
        <v>3</v>
      </c>
      <c r="B145" s="243" t="inlineStr">
        <is>
          <t>28.08.2026</t>
        </is>
      </c>
      <c r="C145" s="244" t="inlineStr">
        <is>
          <t>FB012603V</t>
        </is>
      </c>
      <c r="D145" s="243" t="inlineStr">
        <is>
          <t>Fat Bastard</t>
        </is>
      </c>
      <c r="E145" s="274" t="n">
        <v>16</v>
      </c>
      <c r="F145" s="243" t="inlineStr">
        <is>
          <t>13–16%</t>
        </is>
      </c>
      <c r="G145" s="275" t="n">
        <v>0.156</v>
      </c>
      <c r="H145" s="243" t="inlineStr">
        <is>
          <t>P060392</t>
        </is>
      </c>
      <c r="I145" s="243" t="inlineStr">
        <is>
          <t>FB012603V</t>
        </is>
      </c>
      <c r="J145" s="243" t="inlineStr">
        <is>
          <t>○ 3 ON FILE, NOT RECORDED</t>
        </is>
      </c>
      <c r="K145" s="246" t="inlineStr">
        <is>
          <t>#10 Mycotoxins (on file 09.09, not recorded); #11 Heavy metals (on file 09.09, not recorded); #12 Pesticides (on file 09.09, not recorded)</t>
        </is>
      </c>
      <c r="L145" s="276" t="n">
        <v>0.1829</v>
      </c>
      <c r="M145" s="277" t="inlineStr">
        <is>
          <t>ППК26110</t>
        </is>
      </c>
      <c r="N145" s="276" t="n">
        <v>0.02689999999999999</v>
      </c>
      <c r="O145" s="278" t="inlineStr">
        <is>
          <t>no — 3 on file, not recorded  |  POTENCY: the certificate reads 18.29 %, outside the 13–16% it was delivered under</t>
        </is>
      </c>
    </row>
    <row r="146">
      <c r="A146" s="243" t="n">
        <v>3</v>
      </c>
      <c r="B146" s="243" t="inlineStr">
        <is>
          <t>28.08.2026</t>
        </is>
      </c>
      <c r="C146" s="244" t="inlineStr">
        <is>
          <t>FB112501</t>
        </is>
      </c>
      <c r="D146" s="243" t="inlineStr">
        <is>
          <t>Fat Bastard</t>
        </is>
      </c>
      <c r="E146" s="274" t="n">
        <v>42.1</v>
      </c>
      <c r="F146" s="243" t="inlineStr">
        <is>
          <t>16–19%</t>
        </is>
      </c>
      <c r="G146" s="275" t="n">
        <v>0.1669</v>
      </c>
      <c r="H146" s="243" t="inlineStr">
        <is>
          <t>P060292</t>
        </is>
      </c>
      <c r="I146" s="243" t="inlineStr">
        <is>
          <t>FB112501</t>
        </is>
      </c>
      <c r="J146" s="243" t="inlineStr">
        <is>
          <t>✓ COMPLETE</t>
        </is>
      </c>
      <c r="K146" s="246" t="inlineStr">
        <is>
          <t>—</t>
        </is>
      </c>
      <c r="L146" s="275" t="n">
        <v>0.1669</v>
      </c>
      <c r="M146" s="243" t="inlineStr">
        <is>
          <t>ППК26066</t>
        </is>
      </c>
      <c r="N146" s="275" t="n">
        <v>0</v>
      </c>
      <c r="O146" s="250" t="inlineStr">
        <is>
          <t>yes — all 12 determinations covered</t>
        </is>
      </c>
    </row>
    <row r="147">
      <c r="A147" s="243" t="n">
        <v>3</v>
      </c>
      <c r="B147" s="243" t="inlineStr">
        <is>
          <t>28.08.2026</t>
        </is>
      </c>
      <c r="C147" s="244" t="inlineStr">
        <is>
          <t>GG012601</t>
        </is>
      </c>
      <c r="D147" s="243" t="inlineStr">
        <is>
          <t>GG4</t>
        </is>
      </c>
      <c r="E147" s="274" t="n">
        <v>77.84999999999999</v>
      </c>
      <c r="F147" s="243" t="inlineStr">
        <is>
          <t>13–16%</t>
        </is>
      </c>
      <c r="G147" s="275" t="n">
        <v>0.1535</v>
      </c>
      <c r="H147" s="243" t="inlineStr">
        <is>
          <t>P060302</t>
        </is>
      </c>
      <c r="I147" s="243" t="inlineStr">
        <is>
          <t>GG012601＊</t>
        </is>
      </c>
      <c r="J147" s="243" t="inlineStr">
        <is>
          <t>✓ COMPLETE</t>
        </is>
      </c>
      <c r="K147" s="246" t="inlineStr">
        <is>
          <t>—</t>
        </is>
      </c>
      <c r="L147" s="275" t="n">
        <v>0.1535</v>
      </c>
      <c r="M147" s="243" t="inlineStr">
        <is>
          <t>ППК26062</t>
        </is>
      </c>
      <c r="N147" s="275" t="n">
        <v>0</v>
      </c>
      <c r="O147" s="250" t="inlineStr">
        <is>
          <t>yes — all 12 determinations covered</t>
        </is>
      </c>
    </row>
    <row r="148">
      <c r="A148" s="243" t="n">
        <v>3</v>
      </c>
      <c r="B148" s="243" t="inlineStr">
        <is>
          <t>28.08.2026</t>
        </is>
      </c>
      <c r="C148" s="244" t="inlineStr">
        <is>
          <t>GG1024_02</t>
        </is>
      </c>
      <c r="D148" s="243" t="inlineStr">
        <is>
          <t>Gorilla Glue</t>
        </is>
      </c>
      <c r="E148" s="274" t="n">
        <v>184.89</v>
      </c>
      <c r="F148" s="243" t="inlineStr">
        <is>
          <t>13–16%</t>
        </is>
      </c>
      <c r="G148" s="275" t="n">
        <v>0.1595</v>
      </c>
      <c r="H148" s="243" t="inlineStr">
        <is>
          <t>P050012</t>
        </is>
      </c>
      <c r="I148" s="243" t="inlineStr">
        <is>
          <t>GG1024_02</t>
        </is>
      </c>
      <c r="J148" s="243" t="inlineStr">
        <is>
          <t>✓ COMPLETE</t>
        </is>
      </c>
      <c r="K148" s="246" t="inlineStr">
        <is>
          <t>—</t>
        </is>
      </c>
      <c r="L148" s="275" t="n">
        <v>0.1595</v>
      </c>
      <c r="M148" s="243" t="inlineStr">
        <is>
          <t>ППК25140</t>
        </is>
      </c>
      <c r="N148" s="275" t="n">
        <v>0</v>
      </c>
      <c r="O148" s="250" t="inlineStr">
        <is>
          <t>yes — all 12 determinations covered</t>
        </is>
      </c>
    </row>
    <row r="149">
      <c r="A149" s="243" t="n">
        <v>3</v>
      </c>
      <c r="B149" s="243" t="inlineStr">
        <is>
          <t>28.08.2026</t>
        </is>
      </c>
      <c r="C149" s="244" t="inlineStr">
        <is>
          <t>GG112501</t>
        </is>
      </c>
      <c r="D149" s="243" t="inlineStr">
        <is>
          <t>GG4</t>
        </is>
      </c>
      <c r="E149" s="274" t="n">
        <v>56.19</v>
      </c>
      <c r="F149" s="243" t="inlineStr">
        <is>
          <t>16–19%</t>
        </is>
      </c>
      <c r="G149" s="275" t="n">
        <v>0.1794</v>
      </c>
      <c r="H149" s="243" t="inlineStr">
        <is>
          <t>P060252</t>
        </is>
      </c>
      <c r="I149" s="243" t="inlineStr">
        <is>
          <t>GG112501</t>
        </is>
      </c>
      <c r="J149" s="243" t="inlineStr">
        <is>
          <t>✓ COMPLETE</t>
        </is>
      </c>
      <c r="K149" s="246" t="inlineStr">
        <is>
          <t>—</t>
        </is>
      </c>
      <c r="L149" s="275" t="n">
        <v>0.1794</v>
      </c>
      <c r="M149" s="243" t="inlineStr">
        <is>
          <t>ППК26061</t>
        </is>
      </c>
      <c r="N149" s="275" t="n">
        <v>0</v>
      </c>
      <c r="O149" s="250" t="inlineStr">
        <is>
          <t>yes — all 12 determinations covered</t>
        </is>
      </c>
    </row>
    <row r="150">
      <c r="A150" s="243" t="n">
        <v>3</v>
      </c>
      <c r="B150" s="243" t="inlineStr">
        <is>
          <t>28.08.2026</t>
        </is>
      </c>
      <c r="C150" s="244" t="inlineStr">
        <is>
          <t>GP062501</t>
        </is>
      </c>
      <c r="D150" s="243" t="inlineStr">
        <is>
          <t>Grape Pie</t>
        </is>
      </c>
      <c r="E150" s="274" t="n">
        <v>303.41</v>
      </c>
      <c r="F150" s="243" t="inlineStr">
        <is>
          <t>22–25%</t>
        </is>
      </c>
      <c r="G150" s="275" t="n">
        <v>0.2289</v>
      </c>
      <c r="H150" s="243" t="inlineStr">
        <is>
          <t>P050202</t>
        </is>
      </c>
      <c r="I150" s="243" t="inlineStr">
        <is>
          <t>GP062501</t>
        </is>
      </c>
      <c r="J150" s="243" t="inlineStr">
        <is>
          <t>✓ COMPLETE</t>
        </is>
      </c>
      <c r="K150" s="246" t="inlineStr">
        <is>
          <t>—</t>
        </is>
      </c>
      <c r="L150" s="275" t="n">
        <v>0.2489</v>
      </c>
      <c r="M150" s="243" t="inlineStr">
        <is>
          <t>NGP/QCG/SOP-024-Ver02 F3-Ver.02</t>
        </is>
      </c>
      <c r="N150" s="275" t="n">
        <v>0.02</v>
      </c>
      <c r="O150" s="250" t="inlineStr">
        <is>
          <t>yes — all 12 determinations covered</t>
        </is>
      </c>
    </row>
    <row r="151">
      <c r="A151" s="243" t="n">
        <v>3</v>
      </c>
      <c r="B151" s="243" t="inlineStr">
        <is>
          <t>28.08.2026</t>
        </is>
      </c>
      <c r="C151" s="244" t="inlineStr">
        <is>
          <t>GP072501/1</t>
        </is>
      </c>
      <c r="D151" s="243" t="inlineStr">
        <is>
          <t>Grape Pie</t>
        </is>
      </c>
      <c r="E151" s="274" t="n">
        <v>229.79</v>
      </c>
      <c r="F151" s="243" t="inlineStr">
        <is>
          <t>19–22%</t>
        </is>
      </c>
      <c r="G151" s="275" t="n">
        <v>0.2136</v>
      </c>
      <c r="H151" s="243" t="inlineStr">
        <is>
          <t>P050292</t>
        </is>
      </c>
      <c r="I151" s="243" t="inlineStr">
        <is>
          <t>GP072501/1</t>
        </is>
      </c>
      <c r="J151" s="243" t="inlineStr">
        <is>
          <t>✓ COMPLETE</t>
        </is>
      </c>
      <c r="K151" s="246" t="inlineStr">
        <is>
          <t>—</t>
        </is>
      </c>
      <c r="L151" s="275" t="n">
        <v>0.2136</v>
      </c>
      <c r="M151" s="243" t="inlineStr">
        <is>
          <t>ППК25378</t>
        </is>
      </c>
      <c r="N151" s="275" t="n">
        <v>0</v>
      </c>
      <c r="O151" s="250" t="inlineStr">
        <is>
          <t>yes — all 12 determinations covered</t>
        </is>
      </c>
    </row>
    <row r="152">
      <c r="A152" s="243" t="n">
        <v>3</v>
      </c>
      <c r="B152" s="243" t="inlineStr">
        <is>
          <t>28.08.2026</t>
        </is>
      </c>
      <c r="C152" s="244" t="inlineStr">
        <is>
          <t>GRC102501/1</t>
        </is>
      </c>
      <c r="D152" s="243" t="inlineStr">
        <is>
          <t>Grapes And Cream</t>
        </is>
      </c>
      <c r="E152" s="274" t="n">
        <v>10.69</v>
      </c>
      <c r="F152" s="243" t="inlineStr">
        <is>
          <t>7–10%</t>
        </is>
      </c>
      <c r="G152" s="275" t="n">
        <v>0.07049999999999999</v>
      </c>
      <c r="H152" s="243" t="inlineStr">
        <is>
          <t>P060142</t>
        </is>
      </c>
      <c r="I152" s="243" t="inlineStr">
        <is>
          <t>GRC102501 (through its P lot; the desk row is the roll-up GRC102501)</t>
        </is>
      </c>
      <c r="J152" s="243" t="inlineStr">
        <is>
          <t>○ 2 ON FILE, NOT RECORDED</t>
        </is>
      </c>
      <c r="K152" s="246" t="inlineStr">
        <is>
          <t>#11 Heavy metals (on file 09.09, not recorded); #12 Pesticides (on file 09.09, not recorded)</t>
        </is>
      </c>
      <c r="L152" s="275" t="inlineStr">
        <is>
          <t>— none on the desk —</t>
        </is>
      </c>
      <c r="M152" s="243" t="inlineStr">
        <is>
          <t>—</t>
        </is>
      </c>
      <c r="N152" s="275" t="inlineStr">
        <is>
          <t>—</t>
        </is>
      </c>
      <c r="O152" s="252" t="inlineStr">
        <is>
          <t>no — 2 on file, not recorded</t>
        </is>
      </c>
    </row>
    <row r="153">
      <c r="A153" s="243" t="n">
        <v>3</v>
      </c>
      <c r="B153" s="243" t="inlineStr">
        <is>
          <t>28.08.2026</t>
        </is>
      </c>
      <c r="C153" s="244" t="inlineStr">
        <is>
          <t>J31112501</t>
        </is>
      </c>
      <c r="D153" s="243" t="inlineStr">
        <is>
          <t>Jokerz 31</t>
        </is>
      </c>
      <c r="E153" s="274" t="n">
        <v>86.38</v>
      </c>
      <c r="F153" s="243" t="inlineStr">
        <is>
          <t>≥ 25%</t>
        </is>
      </c>
      <c r="G153" s="275" t="n">
        <v>0.25</v>
      </c>
      <c r="H153" s="243" t="inlineStr">
        <is>
          <t>P060202</t>
        </is>
      </c>
      <c r="I153" s="243" t="inlineStr">
        <is>
          <t>J31112501</t>
        </is>
      </c>
      <c r="J153" s="243" t="inlineStr">
        <is>
          <t>○ 3 ON FILE, NOT RECORDED</t>
        </is>
      </c>
      <c r="K153" s="246" t="inlineStr">
        <is>
          <t>#10 Mycotoxins (on file 09.09, not recorded); #11 Heavy metals (on file 09.09, not recorded); #12 Pesticides (on file 09.09, not recorded)</t>
        </is>
      </c>
      <c r="L153" s="275" t="n">
        <v>0.2527</v>
      </c>
      <c r="M153" s="243" t="inlineStr">
        <is>
          <t>None</t>
        </is>
      </c>
      <c r="N153" s="275" t="n">
        <v>0.002699999999999996</v>
      </c>
      <c r="O153" s="252" t="inlineStr">
        <is>
          <t>no — 3 on file, not recorded</t>
        </is>
      </c>
    </row>
    <row r="154">
      <c r="A154" s="243" t="n">
        <v>3</v>
      </c>
      <c r="B154" s="243" t="inlineStr">
        <is>
          <t>28.08.2026</t>
        </is>
      </c>
      <c r="C154" s="244" t="inlineStr">
        <is>
          <t>J31122501</t>
        </is>
      </c>
      <c r="D154" s="243" t="inlineStr">
        <is>
          <t>Jokerz 31</t>
        </is>
      </c>
      <c r="E154" s="274" t="n">
        <v>136.64</v>
      </c>
      <c r="F154" s="243" t="inlineStr">
        <is>
          <t>19–22%</t>
        </is>
      </c>
      <c r="G154" s="275" t="n">
        <v>0.2177</v>
      </c>
      <c r="H154" s="243" t="inlineStr">
        <is>
          <t>P060262</t>
        </is>
      </c>
      <c r="I154" s="243" t="inlineStr">
        <is>
          <t>J31122501</t>
        </is>
      </c>
      <c r="J154" s="243" t="inlineStr">
        <is>
          <t>⚠ 1 MISSING</t>
        </is>
      </c>
      <c r="K154" s="246" t="inlineStr">
        <is>
          <t>#8 LoD</t>
        </is>
      </c>
      <c r="L154" s="275" t="inlineStr">
        <is>
          <t>— none on the desk —</t>
        </is>
      </c>
      <c r="M154" s="243" t="inlineStr">
        <is>
          <t>—</t>
        </is>
      </c>
      <c r="N154" s="275" t="inlineStr">
        <is>
          <t>—</t>
        </is>
      </c>
      <c r="O154" s="252" t="inlineStr">
        <is>
          <t>no — 1 missing</t>
        </is>
      </c>
    </row>
    <row r="155">
      <c r="A155" s="243" t="n">
        <v>3</v>
      </c>
      <c r="B155" s="243" t="inlineStr">
        <is>
          <t>28.08.2026</t>
        </is>
      </c>
      <c r="C155" s="244" t="inlineStr">
        <is>
          <t>JD012601</t>
        </is>
      </c>
      <c r="D155" s="243" t="inlineStr">
        <is>
          <t>Jelly Donuts</t>
        </is>
      </c>
      <c r="E155" s="274" t="n">
        <v>78.93000000000001</v>
      </c>
      <c r="F155" s="243" t="inlineStr">
        <is>
          <t>16–19%</t>
        </is>
      </c>
      <c r="G155" s="275" t="n">
        <v>0.1816</v>
      </c>
      <c r="H155" s="243" t="inlineStr">
        <is>
          <t>P060312</t>
        </is>
      </c>
      <c r="I155" s="243" t="inlineStr">
        <is>
          <t>JD012601＊</t>
        </is>
      </c>
      <c r="J155" s="243" t="inlineStr">
        <is>
          <t>✓ COMPLETE</t>
        </is>
      </c>
      <c r="K155" s="246" t="inlineStr">
        <is>
          <t>—</t>
        </is>
      </c>
      <c r="L155" s="275" t="n">
        <v>0.1816</v>
      </c>
      <c r="M155" s="243" t="inlineStr">
        <is>
          <t>ППК26064</t>
        </is>
      </c>
      <c r="N155" s="275" t="n">
        <v>0</v>
      </c>
      <c r="O155" s="250" t="inlineStr">
        <is>
          <t>yes — all 12 determinations covered</t>
        </is>
      </c>
    </row>
    <row r="156">
      <c r="A156" s="243" t="n">
        <v>3</v>
      </c>
      <c r="B156" s="243" t="inlineStr">
        <is>
          <t>28.08.2026</t>
        </is>
      </c>
      <c r="C156" s="244" t="inlineStr">
        <is>
          <t>MB0824_04</t>
        </is>
      </c>
      <c r="D156" s="243" t="inlineStr">
        <is>
          <t>Motor Breath</t>
        </is>
      </c>
      <c r="E156" s="274" t="n">
        <v>175.22</v>
      </c>
      <c r="F156" s="243" t="inlineStr">
        <is>
          <t>16–19%</t>
        </is>
      </c>
      <c r="G156" s="275" t="n">
        <v>0.1867</v>
      </c>
      <c r="H156" s="243" t="inlineStr">
        <is>
          <t>P050032</t>
        </is>
      </c>
      <c r="I156" s="243" t="inlineStr">
        <is>
          <t>MB0824_04</t>
        </is>
      </c>
      <c r="J156" s="243" t="inlineStr">
        <is>
          <t>✓ COMPLETE</t>
        </is>
      </c>
      <c r="K156" s="246" t="inlineStr">
        <is>
          <t>—</t>
        </is>
      </c>
      <c r="L156" s="275" t="inlineStr">
        <is>
          <t>— none on the desk —</t>
        </is>
      </c>
      <c r="M156" s="243" t="inlineStr">
        <is>
          <t>—</t>
        </is>
      </c>
      <c r="N156" s="275" t="inlineStr">
        <is>
          <t>—</t>
        </is>
      </c>
      <c r="O156" s="250" t="inlineStr">
        <is>
          <t>yes — all 12 determinations covered</t>
        </is>
      </c>
    </row>
    <row r="157">
      <c r="A157" s="243" t="n">
        <v>3</v>
      </c>
      <c r="B157" s="243" t="inlineStr">
        <is>
          <t>28.08.2026</t>
        </is>
      </c>
      <c r="C157" s="244" t="inlineStr">
        <is>
          <t>OPM052501</t>
        </is>
      </c>
      <c r="D157" s="243" t="inlineStr">
        <is>
          <t>Orange Punch Mimosa</t>
        </is>
      </c>
      <c r="E157" s="274" t="n">
        <v>292.95</v>
      </c>
      <c r="F157" s="243" t="inlineStr">
        <is>
          <t>13–16%</t>
        </is>
      </c>
      <c r="G157" s="275" t="n">
        <v>0.1416</v>
      </c>
      <c r="H157" s="243" t="inlineStr">
        <is>
          <t>P050132</t>
        </is>
      </c>
      <c r="I157" s="243" t="inlineStr">
        <is>
          <t>OPM052501</t>
        </is>
      </c>
      <c r="J157" s="243" t="inlineStr">
        <is>
          <t>✓ COMPLETE</t>
        </is>
      </c>
      <c r="K157" s="246" t="inlineStr">
        <is>
          <t>—</t>
        </is>
      </c>
      <c r="L157" s="275" t="inlineStr">
        <is>
          <t>— none on the desk —</t>
        </is>
      </c>
      <c r="M157" s="243" t="inlineStr">
        <is>
          <t>—</t>
        </is>
      </c>
      <c r="N157" s="275" t="inlineStr">
        <is>
          <t>—</t>
        </is>
      </c>
      <c r="O157" s="250" t="inlineStr">
        <is>
          <t>yes — all 12 determinations covered</t>
        </is>
      </c>
    </row>
    <row r="158">
      <c r="A158" s="243" t="n">
        <v>3</v>
      </c>
      <c r="B158" s="243" t="inlineStr">
        <is>
          <t>28.08.2026</t>
        </is>
      </c>
      <c r="C158" s="244" t="inlineStr">
        <is>
          <t>OPM112501</t>
        </is>
      </c>
      <c r="D158" s="243" t="inlineStr">
        <is>
          <t>Orange Punch Mimosa</t>
        </is>
      </c>
      <c r="E158" s="274" t="n">
        <v>39.37</v>
      </c>
      <c r="F158" s="243" t="inlineStr">
        <is>
          <t>7–10%</t>
        </is>
      </c>
      <c r="G158" s="275" t="n">
        <v>0.08</v>
      </c>
      <c r="H158" s="243" t="inlineStr">
        <is>
          <t>P060222</t>
        </is>
      </c>
      <c r="I158" s="243" t="inlineStr">
        <is>
          <t>OPM112501</t>
        </is>
      </c>
      <c r="J158" s="243" t="inlineStr">
        <is>
          <t>⚠ 3 MISSING</t>
        </is>
      </c>
      <c r="K158" s="246" t="inlineStr">
        <is>
          <t>#10 Mycotoxins; #11 Heavy metals (on file 09.09, not recorded); #12 Pesticides (on file 09.09, not recorded)</t>
        </is>
      </c>
      <c r="L158" s="275" t="inlineStr">
        <is>
          <t>— none on the desk —</t>
        </is>
      </c>
      <c r="M158" s="243" t="inlineStr">
        <is>
          <t>—</t>
        </is>
      </c>
      <c r="N158" s="275" t="inlineStr">
        <is>
          <t>—</t>
        </is>
      </c>
      <c r="O158" s="252" t="inlineStr">
        <is>
          <t>no — 3 missing</t>
        </is>
      </c>
    </row>
    <row r="159">
      <c r="A159" s="243" t="n">
        <v>3</v>
      </c>
      <c r="B159" s="243" t="inlineStr">
        <is>
          <t>28.08.2026</t>
        </is>
      </c>
      <c r="C159" s="244" t="inlineStr">
        <is>
          <t>PM072501</t>
        </is>
      </c>
      <c r="D159" s="243" t="inlineStr">
        <is>
          <t>Permanent Marker</t>
        </is>
      </c>
      <c r="E159" s="274" t="n">
        <v>26.78</v>
      </c>
      <c r="F159" s="243" t="inlineStr">
        <is>
          <t>10–13%</t>
        </is>
      </c>
      <c r="G159" s="275" t="n">
        <v>0.1001</v>
      </c>
      <c r="H159" s="243" t="inlineStr">
        <is>
          <t>P050272</t>
        </is>
      </c>
      <c r="I159" s="243" t="inlineStr">
        <is>
          <t>PM072501</t>
        </is>
      </c>
      <c r="J159" s="243" t="inlineStr">
        <is>
          <t>✓ COMPLETE</t>
        </is>
      </c>
      <c r="K159" s="246" t="inlineStr">
        <is>
          <t>—</t>
        </is>
      </c>
      <c r="L159" s="275" t="inlineStr">
        <is>
          <t>— none on the desk —</t>
        </is>
      </c>
      <c r="M159" s="243" t="inlineStr">
        <is>
          <t>—</t>
        </is>
      </c>
      <c r="N159" s="275" t="inlineStr">
        <is>
          <t>—</t>
        </is>
      </c>
      <c r="O159" s="250" t="inlineStr">
        <is>
          <t>yes — all 12 determinations covered</t>
        </is>
      </c>
    </row>
    <row r="160">
      <c r="A160" s="243" t="n">
        <v>3</v>
      </c>
      <c r="B160" s="243" t="inlineStr">
        <is>
          <t>28.08.2026</t>
        </is>
      </c>
      <c r="C160" s="244" t="inlineStr">
        <is>
          <t>SCR012601</t>
        </is>
      </c>
      <c r="D160" s="243" t="inlineStr">
        <is>
          <t>Scrambler</t>
        </is>
      </c>
      <c r="E160" s="274" t="n">
        <v>90</v>
      </c>
      <c r="F160" s="243" t="inlineStr">
        <is>
          <t>16–19%</t>
        </is>
      </c>
      <c r="G160" s="275" t="n">
        <v>0.1807</v>
      </c>
      <c r="H160" s="243" t="inlineStr">
        <is>
          <t>P060342</t>
        </is>
      </c>
      <c r="I160" s="243" t="inlineStr">
        <is>
          <t>SCR012601*</t>
        </is>
      </c>
      <c r="J160" s="243" t="inlineStr">
        <is>
          <t>❌ 4 MISSING</t>
        </is>
      </c>
      <c r="K160" s="246" t="inlineStr">
        <is>
          <t>#8 LoD; #10 Mycotoxins; #11 Heavy metals; #12 Pesticides</t>
        </is>
      </c>
      <c r="L160" s="275" t="inlineStr">
        <is>
          <t>— none on the desk —</t>
        </is>
      </c>
      <c r="M160" s="243" t="inlineStr">
        <is>
          <t>—</t>
        </is>
      </c>
      <c r="N160" s="275" t="inlineStr">
        <is>
          <t>—</t>
        </is>
      </c>
      <c r="O160" s="252" t="inlineStr">
        <is>
          <t>no — 4 missing</t>
        </is>
      </c>
    </row>
    <row r="161">
      <c r="A161" s="243" t="n">
        <v>3</v>
      </c>
      <c r="B161" s="243" t="inlineStr">
        <is>
          <t>28.08.2026</t>
        </is>
      </c>
      <c r="C161" s="244" t="inlineStr">
        <is>
          <t>SCR022601</t>
        </is>
      </c>
      <c r="D161" s="243" t="inlineStr">
        <is>
          <t>Scrambler</t>
        </is>
      </c>
      <c r="E161" s="274" t="n">
        <v>210</v>
      </c>
      <c r="F161" s="243" t="inlineStr">
        <is>
          <t>16–19%</t>
        </is>
      </c>
      <c r="G161" s="275" t="n">
        <v>0.16</v>
      </c>
      <c r="H161" s="243" t="inlineStr">
        <is>
          <t>P060442</t>
        </is>
      </c>
      <c r="I161" s="243" t="inlineStr">
        <is>
          <t>SCR022601</t>
        </is>
      </c>
      <c r="J161" s="243" t="inlineStr">
        <is>
          <t>○ 3 ON FILE, NOT RECORDED</t>
        </is>
      </c>
      <c r="K161" s="246" t="inlineStr">
        <is>
          <t>#10 Mycotoxins (on file 09.09, not recorded); #11 Heavy metals (on file 09.09, not recorded); #12 Pesticides (on file 09.09, not recorded)</t>
        </is>
      </c>
      <c r="L161" s="275" t="inlineStr">
        <is>
          <t>— none on the desk —</t>
        </is>
      </c>
      <c r="M161" s="243" t="inlineStr">
        <is>
          <t>—</t>
        </is>
      </c>
      <c r="N161" s="275" t="inlineStr">
        <is>
          <t>—</t>
        </is>
      </c>
      <c r="O161" s="252" t="inlineStr">
        <is>
          <t>no — 3 on file, not recorded</t>
        </is>
      </c>
    </row>
    <row r="162">
      <c r="A162" s="243" t="n">
        <v>3</v>
      </c>
      <c r="B162" s="243" t="inlineStr">
        <is>
          <t>28.08.2026</t>
        </is>
      </c>
      <c r="C162" s="244" t="inlineStr">
        <is>
          <t>SJ102501</t>
        </is>
      </c>
      <c r="D162" s="243" t="inlineStr">
        <is>
          <t>Sleepy Joe</t>
        </is>
      </c>
      <c r="E162" s="274" t="n">
        <v>66.37</v>
      </c>
      <c r="F162" s="243" t="inlineStr">
        <is>
          <t>10–13%</t>
        </is>
      </c>
      <c r="G162" s="275" t="n">
        <v>0.112</v>
      </c>
      <c r="H162" s="243" t="inlineStr">
        <is>
          <t>P060162</t>
        </is>
      </c>
      <c r="I162" s="243" t="inlineStr">
        <is>
          <t>SJ102501</t>
        </is>
      </c>
      <c r="J162" s="243" t="inlineStr">
        <is>
          <t>⚠ 3 MISSING</t>
        </is>
      </c>
      <c r="K162" s="246" t="inlineStr">
        <is>
          <t>#10 Mycotoxins; #11 Heavy metals; #12 Pesticides (on file 09.09, not recorded)</t>
        </is>
      </c>
      <c r="L162" s="275" t="n">
        <v>0.112</v>
      </c>
      <c r="M162" s="243" t="inlineStr">
        <is>
          <t>051-3-К/26</t>
        </is>
      </c>
      <c r="N162" s="275" t="n">
        <v>0</v>
      </c>
      <c r="O162" s="252" t="inlineStr">
        <is>
          <t>no — 3 missing</t>
        </is>
      </c>
    </row>
    <row r="163">
      <c r="A163" s="243" t="n">
        <v>3</v>
      </c>
      <c r="B163" s="243" t="inlineStr">
        <is>
          <t>28.08.2026</t>
        </is>
      </c>
      <c r="C163" s="244" t="inlineStr">
        <is>
          <t>SJ112501</t>
        </is>
      </c>
      <c r="D163" s="243" t="inlineStr">
        <is>
          <t>Sleepy Joe</t>
        </is>
      </c>
      <c r="E163" s="274" t="n">
        <v>48.6</v>
      </c>
      <c r="F163" s="243" t="inlineStr">
        <is>
          <t>7–10%</t>
        </is>
      </c>
      <c r="G163" s="275" t="n">
        <v>0.09</v>
      </c>
      <c r="H163" s="243" t="inlineStr">
        <is>
          <t>P060192</t>
        </is>
      </c>
      <c r="I163" s="243" t="inlineStr">
        <is>
          <t>SJ112501</t>
        </is>
      </c>
      <c r="J163" s="243" t="inlineStr">
        <is>
          <t>○ 4 ON FILE, NOT RECORDED</t>
        </is>
      </c>
      <c r="K163" s="246" t="inlineStr">
        <is>
          <t>#9 Microbiology (on file 09.09, not recorded); #10 Mycotoxins (on file 09.09, not recorded); #11 Heavy metals (on file 09.09, not recorded); #12 Pesticides (on file 09.09, not recorded)</t>
        </is>
      </c>
      <c r="L163" s="275" t="inlineStr">
        <is>
          <t>— none on the desk —</t>
        </is>
      </c>
      <c r="M163" s="243" t="inlineStr">
        <is>
          <t>—</t>
        </is>
      </c>
      <c r="N163" s="275" t="inlineStr">
        <is>
          <t>—</t>
        </is>
      </c>
      <c r="O163" s="252" t="inlineStr">
        <is>
          <t>no — 4 on file, not recorded</t>
        </is>
      </c>
    </row>
    <row r="164">
      <c r="A164" s="243" t="n">
        <v>3</v>
      </c>
      <c r="B164" s="243" t="inlineStr">
        <is>
          <t>28.08.2026</t>
        </is>
      </c>
      <c r="C164" s="244" t="inlineStr">
        <is>
          <t>WC072501</t>
        </is>
      </c>
      <c r="D164" s="243" t="inlineStr">
        <is>
          <t>Wedding Crusher</t>
        </is>
      </c>
      <c r="E164" s="274" t="n">
        <v>29.95</v>
      </c>
      <c r="F164" s="243" t="inlineStr">
        <is>
          <t>22–25%</t>
        </is>
      </c>
      <c r="G164" s="275" t="n">
        <v>0.2211</v>
      </c>
      <c r="H164" s="243" t="inlineStr">
        <is>
          <t>P050262</t>
        </is>
      </c>
      <c r="I164" s="243" t="inlineStr">
        <is>
          <t>WC072501</t>
        </is>
      </c>
      <c r="J164" s="243" t="inlineStr">
        <is>
          <t>✓ COMPLETE</t>
        </is>
      </c>
      <c r="K164" s="246" t="inlineStr">
        <is>
          <t>—</t>
        </is>
      </c>
      <c r="L164" s="275" t="n">
        <v>0.2211</v>
      </c>
      <c r="M164" s="243" t="inlineStr">
        <is>
          <t>ППК25369</t>
        </is>
      </c>
      <c r="N164" s="275" t="n">
        <v>0</v>
      </c>
      <c r="O164" s="250" t="inlineStr">
        <is>
          <t>yes — all 12 determinations covered</t>
        </is>
      </c>
    </row>
    <row r="165">
      <c r="A165" s="243" t="n">
        <v>3</v>
      </c>
      <c r="B165" s="243" t="inlineStr">
        <is>
          <t>28.08.2026</t>
        </is>
      </c>
      <c r="C165" s="244" t="inlineStr">
        <is>
          <t>WED102501</t>
        </is>
      </c>
      <c r="D165" s="243" t="inlineStr">
        <is>
          <t>Wedding Cake</t>
        </is>
      </c>
      <c r="E165" s="274" t="n">
        <v>34.41</v>
      </c>
      <c r="F165" s="243" t="inlineStr">
        <is>
          <t>22–25%</t>
        </is>
      </c>
      <c r="G165" s="275" t="n">
        <v>0.2205</v>
      </c>
      <c r="H165" s="243" t="inlineStr">
        <is>
          <t>P060102</t>
        </is>
      </c>
      <c r="I165" s="243" t="inlineStr">
        <is>
          <t>WED102501</t>
        </is>
      </c>
      <c r="J165" s="243" t="inlineStr">
        <is>
          <t>○ 3 ON FILE, NOT RECORDED</t>
        </is>
      </c>
      <c r="K165" s="246" t="inlineStr">
        <is>
          <t>#10 Mycotoxins (on file 09.09, not recorded); #11 Heavy metals (on file 09.09, not recorded); #12 Pesticides (on file 09.09, not recorded)</t>
        </is>
      </c>
      <c r="L165" s="275" t="inlineStr">
        <is>
          <t>— none on the desk —</t>
        </is>
      </c>
      <c r="M165" s="243" t="inlineStr">
        <is>
          <t>—</t>
        </is>
      </c>
      <c r="N165" s="275" t="inlineStr">
        <is>
          <t>—</t>
        </is>
      </c>
      <c r="O165" s="252" t="inlineStr">
        <is>
          <t>no — 3 on file, not recorded</t>
        </is>
      </c>
    </row>
    <row r="167" ht="62" customHeight="1" s="70">
      <c r="A167" s="242" t="inlineStr">
        <is>
          <t>The three deliveries of 31.07, 14.08 and 28.08.2026 (Tranches Overview, the owner's sheet), verbatim in tranches_raw_2026-09-07.csv and reconciled against its own ВКУПНО totals. 'Desk lot' is the row on Batch Coverage this batch resolves to: directly, through the asterisk the delivery list drops, or through the P lot the Head of QC's list gives it. A roll-up in that column means the desk holds ONE row for several delivered sub-lots, so its coverage is not a statement about this sub-lot alone. 'Total THC on the eCoA' is the desk's record of the certificate for that batch, not a recalculation. A red potency line is not a desk error: the batch was delivered in a bracket its own certificate contradicts, and only the QP can settle which is right. Ready to issue: 48 of 78; short of coverage: 30; nothing on file: 0; potency contradicted: 5.</t>
        </is>
      </c>
      <c r="B167" s="120" t="n"/>
      <c r="C167" s="120" t="n"/>
      <c r="D167" s="120" t="n"/>
      <c r="E167" s="120" t="n"/>
      <c r="F167" s="120" t="n"/>
      <c r="G167" s="120" t="n"/>
      <c r="H167" s="120" t="n"/>
      <c r="I167" s="120" t="n"/>
      <c r="J167" s="120" t="n"/>
      <c r="K167" s="120" t="n"/>
      <c r="L167" s="120" t="n"/>
      <c r="M167" s="120" t="n"/>
      <c r="N167" s="120" t="n"/>
      <c r="O167" s="121" t="n"/>
    </row>
    <row r="170" ht="20" customHeight="1" s="70">
      <c r="A170" s="264" t="inlineStr">
        <is>
          <t>IMB REGISTER</t>
        </is>
      </c>
    </row>
    <row r="171" ht="22" customHeight="1" s="70">
      <c r="A171" s="119" t="inlineStr">
        <is>
          <t>Cert No</t>
        </is>
      </c>
      <c r="B171" s="119" t="inlineStr">
        <is>
          <t>Strain (as printed)</t>
        </is>
      </c>
      <c r="C171" s="119" t="inlineStr">
        <is>
          <t>Strain (ruled)</t>
        </is>
      </c>
      <c r="D171" s="119" t="inlineStr">
        <is>
          <t>Batch</t>
        </is>
      </c>
      <c r="E171" s="119" t="inlineStr">
        <is>
          <t>Manufactured</t>
        </is>
      </c>
      <c r="F171" s="119" t="inlineStr">
        <is>
          <t>Retest</t>
        </is>
      </c>
      <c r="G171" s="119" t="inlineStr">
        <is>
          <t>Desk lot</t>
        </is>
      </c>
      <c r="H171" s="119" t="inlineStr">
        <is>
          <t>CoQ status</t>
        </is>
      </c>
      <c r="I171" s="119" t="inlineStr">
        <is>
          <t>Note</t>
        </is>
      </c>
    </row>
    <row r="172">
      <c r="A172" s="243" t="inlineStr">
        <is>
          <t>041</t>
        </is>
      </c>
      <c r="B172" s="243" t="inlineStr">
        <is>
          <t>Cap Junky</t>
        </is>
      </c>
      <c r="C172" s="243" t="inlineStr">
        <is>
          <t>Cap Junky</t>
        </is>
      </c>
      <c r="D172" s="244" t="inlineStr">
        <is>
          <t>P060022</t>
        </is>
      </c>
      <c r="E172" s="243" t="inlineStr">
        <is>
          <t>December 2025</t>
        </is>
      </c>
      <c r="F172" s="243" t="inlineStr">
        <is>
          <t>July 2026</t>
        </is>
      </c>
      <c r="G172" s="243" t="inlineStr">
        <is>
          <t>CJ082501/1</t>
        </is>
      </c>
      <c r="H172" s="243" t="inlineStr">
        <is>
          <t>✓ COMPLETE</t>
        </is>
      </c>
      <c r="I172" s="246" t="inlineStr"/>
    </row>
    <row r="173">
      <c r="A173" s="243" t="inlineStr">
        <is>
          <t>040</t>
        </is>
      </c>
      <c r="B173" s="243" t="inlineStr">
        <is>
          <t>Orange Punch Mimosa</t>
        </is>
      </c>
      <c r="C173" s="243" t="inlineStr">
        <is>
          <t>Orange Punch Mimosa</t>
        </is>
      </c>
      <c r="D173" s="244" t="inlineStr">
        <is>
          <t>P060042</t>
        </is>
      </c>
      <c r="E173" s="243" t="inlineStr">
        <is>
          <t>December 2026</t>
        </is>
      </c>
      <c r="F173" s="243" t="inlineStr">
        <is>
          <t>July 2026</t>
        </is>
      </c>
      <c r="G173" s="243" t="inlineStr">
        <is>
          <t>OPM092501</t>
        </is>
      </c>
      <c r="H173" s="243" t="inlineStr">
        <is>
          <t>✓ COMPLETE</t>
        </is>
      </c>
      <c r="I173" s="246" t="inlineStr"/>
    </row>
    <row r="174">
      <c r="A174" s="243" t="inlineStr">
        <is>
          <t>039</t>
        </is>
      </c>
      <c r="B174" s="243" t="inlineStr">
        <is>
          <t>Cap Junky</t>
        </is>
      </c>
      <c r="C174" s="243" t="inlineStr">
        <is>
          <t>Cap Junky</t>
        </is>
      </c>
      <c r="D174" s="244" t="inlineStr">
        <is>
          <t>P060072</t>
        </is>
      </c>
      <c r="E174" s="243" t="inlineStr">
        <is>
          <t>December 2026</t>
        </is>
      </c>
      <c r="F174" s="243" t="inlineStr">
        <is>
          <t>July 2026</t>
        </is>
      </c>
      <c r="G174" s="243" t="inlineStr">
        <is>
          <t>CJ092501</t>
        </is>
      </c>
      <c r="H174" s="243" t="inlineStr">
        <is>
          <t>✓ COMPLETE</t>
        </is>
      </c>
      <c r="I174" s="246" t="inlineStr"/>
    </row>
    <row r="175">
      <c r="A175" s="243" t="inlineStr">
        <is>
          <t>038</t>
        </is>
      </c>
      <c r="B175" s="243" t="inlineStr">
        <is>
          <t>Sleepy Joy</t>
        </is>
      </c>
      <c r="C175" s="249" t="inlineStr">
        <is>
          <t>Sleepy Joe</t>
        </is>
      </c>
      <c r="D175" s="244" t="inlineStr">
        <is>
          <t>P060082</t>
        </is>
      </c>
      <c r="E175" s="243" t="inlineStr">
        <is>
          <t>December 2025</t>
        </is>
      </c>
      <c r="F175" s="243" t="inlineStr">
        <is>
          <t>July 2026</t>
        </is>
      </c>
      <c r="G175" s="243" t="inlineStr">
        <is>
          <t>SJ0925021</t>
        </is>
      </c>
      <c r="H175" s="243" t="inlineStr">
        <is>
          <t>✓ COMPLETE</t>
        </is>
      </c>
      <c r="I175" s="246" t="inlineStr">
        <is>
          <t>strain ruled Sleepy Joe (18.09.2026); the register prints Sleepy Joy</t>
        </is>
      </c>
    </row>
    <row r="176">
      <c r="A176" s="243" t="inlineStr">
        <is>
          <t>037</t>
        </is>
      </c>
      <c r="B176" s="243" t="inlineStr">
        <is>
          <t>Apple and Banana</t>
        </is>
      </c>
      <c r="C176" s="243" t="inlineStr">
        <is>
          <t>Apple and Banana</t>
        </is>
      </c>
      <c r="D176" s="244" t="inlineStr">
        <is>
          <t>P060052</t>
        </is>
      </c>
      <c r="E176" s="243" t="inlineStr">
        <is>
          <t>December 2025</t>
        </is>
      </c>
      <c r="F176" s="243" t="inlineStr">
        <is>
          <t>July 2026</t>
        </is>
      </c>
      <c r="G176" s="243" t="inlineStr">
        <is>
          <t>AB092501</t>
        </is>
      </c>
      <c r="H176" s="243" t="inlineStr">
        <is>
          <t>✓ COMPLETE</t>
        </is>
      </c>
      <c r="I176" s="246" t="inlineStr"/>
    </row>
    <row r="177">
      <c r="A177" s="243" t="inlineStr">
        <is>
          <t>036</t>
        </is>
      </c>
      <c r="B177" s="243" t="inlineStr">
        <is>
          <t>Permanent Market</t>
        </is>
      </c>
      <c r="C177" s="249" t="inlineStr">
        <is>
          <t>Permanent Marker</t>
        </is>
      </c>
      <c r="D177" s="244" t="inlineStr">
        <is>
          <t>P060062</t>
        </is>
      </c>
      <c r="E177" s="243" t="inlineStr">
        <is>
          <t>December 2026</t>
        </is>
      </c>
      <c r="F177" s="243" t="inlineStr">
        <is>
          <t>July 2026</t>
        </is>
      </c>
      <c r="G177" s="243" t="inlineStr">
        <is>
          <t>PM092501</t>
        </is>
      </c>
      <c r="H177" s="243" t="inlineStr">
        <is>
          <t>✓ COMPLETE</t>
        </is>
      </c>
      <c r="I177" s="246" t="inlineStr">
        <is>
          <t>strain ruled Permanent Marker (18.09.2026); the register prints Permanent Market</t>
        </is>
      </c>
    </row>
    <row r="178">
      <c r="A178" s="243" t="inlineStr">
        <is>
          <t>035</t>
        </is>
      </c>
      <c r="B178" s="243" t="inlineStr">
        <is>
          <t>Wedding Crasher</t>
        </is>
      </c>
      <c r="C178" s="249" t="inlineStr">
        <is>
          <t>Wedding Crusher</t>
        </is>
      </c>
      <c r="D178" s="244" t="inlineStr">
        <is>
          <t>P060012</t>
        </is>
      </c>
      <c r="E178" s="243" t="inlineStr">
        <is>
          <t>December 2026</t>
        </is>
      </c>
      <c r="F178" s="243" t="inlineStr">
        <is>
          <t>July 2026</t>
        </is>
      </c>
      <c r="G178" s="243" t="inlineStr">
        <is>
          <t>WC082501</t>
        </is>
      </c>
      <c r="H178" s="243" t="inlineStr">
        <is>
          <t>✓ COMPLETE</t>
        </is>
      </c>
      <c r="I178" s="246" t="inlineStr">
        <is>
          <t>strain ruled Wedding Crusher (18.09.2026); the register prints Wedding Crasher</t>
        </is>
      </c>
    </row>
    <row r="179">
      <c r="A179" s="243" t="inlineStr">
        <is>
          <t>034</t>
        </is>
      </c>
      <c r="B179" s="243" t="inlineStr">
        <is>
          <t>Cap Junky</t>
        </is>
      </c>
      <c r="C179" s="243" t="inlineStr">
        <is>
          <t>Cap Junky</t>
        </is>
      </c>
      <c r="D179" s="244" t="inlineStr">
        <is>
          <t>P060032</t>
        </is>
      </c>
      <c r="E179" s="243" t="inlineStr">
        <is>
          <t>December 2025</t>
        </is>
      </c>
      <c r="F179" s="243" t="inlineStr">
        <is>
          <t>July 2026</t>
        </is>
      </c>
      <c r="G179" s="243" t="inlineStr">
        <is>
          <t>CJ082501/2</t>
        </is>
      </c>
      <c r="H179" s="243" t="inlineStr">
        <is>
          <t>✓ COMPLETE</t>
        </is>
      </c>
      <c r="I179" s="246" t="inlineStr"/>
    </row>
    <row r="180">
      <c r="A180" s="243" t="inlineStr">
        <is>
          <t>033</t>
        </is>
      </c>
      <c r="B180" s="243" t="inlineStr">
        <is>
          <t>Grape Pie</t>
        </is>
      </c>
      <c r="C180" s="243" t="inlineStr">
        <is>
          <t>Grape Pie</t>
        </is>
      </c>
      <c r="D180" s="244" t="inlineStr">
        <is>
          <t>P060092</t>
        </is>
      </c>
      <c r="E180" s="243" t="inlineStr">
        <is>
          <t>December 2025</t>
        </is>
      </c>
      <c r="F180" s="243" t="inlineStr">
        <is>
          <t>July 2026</t>
        </is>
      </c>
      <c r="G180" s="243" t="inlineStr">
        <is>
          <t>GP092501</t>
        </is>
      </c>
      <c r="H180" s="243" t="inlineStr">
        <is>
          <t>✓ COMPLETE</t>
        </is>
      </c>
      <c r="I180" s="246" t="inlineStr"/>
    </row>
    <row r="181">
      <c r="A181" s="243" t="inlineStr">
        <is>
          <t>032</t>
        </is>
      </c>
      <c r="B181" s="243" t="inlineStr">
        <is>
          <t>Cap Junky</t>
        </is>
      </c>
      <c r="C181" s="243" t="inlineStr">
        <is>
          <t>Cap Junky</t>
        </is>
      </c>
      <c r="D181" s="244" t="inlineStr">
        <is>
          <t>P050222</t>
        </is>
      </c>
      <c r="E181" s="243" t="inlineStr">
        <is>
          <t>September 2025</t>
        </is>
      </c>
      <c r="F181" s="243" t="inlineStr">
        <is>
          <t>April 2026</t>
        </is>
      </c>
      <c r="G181" s="243" t="inlineStr">
        <is>
          <t>CJ062501/1</t>
        </is>
      </c>
      <c r="H181" s="243" t="inlineStr">
        <is>
          <t>✓ COMPLETE</t>
        </is>
      </c>
      <c r="I181" s="246" t="inlineStr"/>
    </row>
    <row r="182">
      <c r="A182" s="243" t="inlineStr">
        <is>
          <t>031</t>
        </is>
      </c>
      <c r="B182" s="243" t="inlineStr">
        <is>
          <t>Cap Junky</t>
        </is>
      </c>
      <c r="C182" s="243" t="inlineStr">
        <is>
          <t>Cap Junky</t>
        </is>
      </c>
      <c r="D182" s="244" t="inlineStr">
        <is>
          <t>P050252</t>
        </is>
      </c>
      <c r="E182" s="243" t="inlineStr">
        <is>
          <t>October 2025</t>
        </is>
      </c>
      <c r="F182" s="243" t="inlineStr">
        <is>
          <t>May 2026</t>
        </is>
      </c>
      <c r="G182" s="243" t="inlineStr">
        <is>
          <t>CJ072501</t>
        </is>
      </c>
      <c r="H182" s="243" t="inlineStr">
        <is>
          <t>✓ COMPLETE</t>
        </is>
      </c>
      <c r="I182" s="246" t="inlineStr"/>
    </row>
    <row r="183">
      <c r="A183" s="243" t="inlineStr">
        <is>
          <t>030</t>
        </is>
      </c>
      <c r="B183" s="243" t="inlineStr">
        <is>
          <t>Wedding Crasher</t>
        </is>
      </c>
      <c r="C183" s="249" t="inlineStr">
        <is>
          <t>Wedding Crusher</t>
        </is>
      </c>
      <c r="D183" s="244" t="inlineStr">
        <is>
          <t>P050262</t>
        </is>
      </c>
      <c r="E183" s="243" t="inlineStr">
        <is>
          <t>October 2025</t>
        </is>
      </c>
      <c r="F183" s="243" t="inlineStr">
        <is>
          <t>May 2026</t>
        </is>
      </c>
      <c r="G183" s="243" t="inlineStr">
        <is>
          <t>WC072501</t>
        </is>
      </c>
      <c r="H183" s="243" t="inlineStr">
        <is>
          <t>✓ COMPLETE</t>
        </is>
      </c>
      <c r="I183" s="246" t="inlineStr">
        <is>
          <t>strain ruled Wedding Crusher (18.09.2026); the register prints Wedding Crasher</t>
        </is>
      </c>
    </row>
    <row r="184">
      <c r="A184" s="243" t="inlineStr">
        <is>
          <t>029</t>
        </is>
      </c>
      <c r="B184" s="243" t="inlineStr">
        <is>
          <t>Grape Pie</t>
        </is>
      </c>
      <c r="C184" s="243" t="inlineStr">
        <is>
          <t>Grape Pie</t>
        </is>
      </c>
      <c r="D184" s="244" t="inlineStr">
        <is>
          <t>P050152</t>
        </is>
      </c>
      <c r="E184" s="243" t="inlineStr">
        <is>
          <t>August 2025</t>
        </is>
      </c>
      <c r="F184" s="243" t="inlineStr">
        <is>
          <t>March 2026</t>
        </is>
      </c>
      <c r="G184" s="243" t="inlineStr">
        <is>
          <t>GP052501</t>
        </is>
      </c>
      <c r="H184" s="243" t="inlineStr">
        <is>
          <t>✓ COMPLETE</t>
        </is>
      </c>
      <c r="I184" s="246" t="inlineStr"/>
    </row>
    <row r="185">
      <c r="A185" s="243" t="inlineStr">
        <is>
          <t>028</t>
        </is>
      </c>
      <c r="B185" s="243" t="inlineStr">
        <is>
          <t>Cap Junkie</t>
        </is>
      </c>
      <c r="C185" s="249" t="inlineStr">
        <is>
          <t>Cap Junky</t>
        </is>
      </c>
      <c r="D185" s="244" t="inlineStr">
        <is>
          <t>P050212</t>
        </is>
      </c>
      <c r="E185" s="243" t="inlineStr">
        <is>
          <t>September 2025</t>
        </is>
      </c>
      <c r="F185" s="243" t="inlineStr">
        <is>
          <t>April 2026</t>
        </is>
      </c>
      <c r="G185" s="243" t="inlineStr">
        <is>
          <t>CJ062501/2</t>
        </is>
      </c>
      <c r="H185" s="243" t="inlineStr">
        <is>
          <t>✓ COMPLETE</t>
        </is>
      </c>
      <c r="I185" s="246" t="inlineStr">
        <is>
          <t>strain ruled Cap Junky (07.09.2026); the register prints Cap Junkie</t>
        </is>
      </c>
    </row>
    <row r="186">
      <c r="A186" s="243" t="inlineStr">
        <is>
          <t>027</t>
        </is>
      </c>
      <c r="B186" s="243" t="inlineStr">
        <is>
          <t>Clemosa a Bud</t>
        </is>
      </c>
      <c r="C186" s="249" t="inlineStr">
        <is>
          <t>Clemosa A Bud</t>
        </is>
      </c>
      <c r="D186" s="244" t="inlineStr">
        <is>
          <t>P050282</t>
        </is>
      </c>
      <c r="E186" s="243" t="inlineStr">
        <is>
          <t>October 2025</t>
        </is>
      </c>
      <c r="F186" s="243" t="inlineStr">
        <is>
          <t>May 2026</t>
        </is>
      </c>
      <c r="G186" s="243" t="inlineStr">
        <is>
          <t>CLE072501</t>
        </is>
      </c>
      <c r="H186" s="243" t="inlineStr">
        <is>
          <t>✓ COMPLETE</t>
        </is>
      </c>
      <c r="I186" s="246" t="inlineStr">
        <is>
          <t>strain ruled Clemosa A Bud (18.09.2026); the register prints Clemosa a Bud</t>
        </is>
      </c>
    </row>
    <row r="187">
      <c r="A187" s="243" t="inlineStr">
        <is>
          <t>026</t>
        </is>
      </c>
      <c r="B187" s="243" t="inlineStr">
        <is>
          <t>Permanent Market</t>
        </is>
      </c>
      <c r="C187" s="249" t="inlineStr">
        <is>
          <t>Permanent Marker</t>
        </is>
      </c>
      <c r="D187" s="244" t="inlineStr">
        <is>
          <t>P050272</t>
        </is>
      </c>
      <c r="E187" s="243" t="inlineStr">
        <is>
          <t>October 2025</t>
        </is>
      </c>
      <c r="F187" s="243" t="inlineStr">
        <is>
          <t>May 2026</t>
        </is>
      </c>
      <c r="G187" s="243" t="inlineStr">
        <is>
          <t>PM072501</t>
        </is>
      </c>
      <c r="H187" s="243" t="inlineStr">
        <is>
          <t>✓ COMPLETE</t>
        </is>
      </c>
      <c r="I187" s="246" t="inlineStr">
        <is>
          <t>strain ruled Permanent Marker (18.09.2026); the register prints Permanent Market</t>
        </is>
      </c>
    </row>
    <row r="188">
      <c r="A188" s="243" t="inlineStr">
        <is>
          <t>025</t>
        </is>
      </c>
      <c r="B188" s="243" t="inlineStr">
        <is>
          <t>Motor Breath</t>
        </is>
      </c>
      <c r="C188" s="243" t="inlineStr">
        <is>
          <t>Motor Breath</t>
        </is>
      </c>
      <c r="D188" s="244" t="inlineStr">
        <is>
          <t>P050112</t>
        </is>
      </c>
      <c r="E188" s="243" t="inlineStr">
        <is>
          <t>July 2025</t>
        </is>
      </c>
      <c r="F188" s="243" t="inlineStr">
        <is>
          <t>February 2025</t>
        </is>
      </c>
      <c r="G188" s="243" t="inlineStr">
        <is>
          <t>MB0824_05</t>
        </is>
      </c>
      <c r="H188" s="243" t="inlineStr">
        <is>
          <t>✓ COMPLETE</t>
        </is>
      </c>
      <c r="I188" s="246" t="inlineStr"/>
    </row>
    <row r="189">
      <c r="A189" s="243" t="inlineStr">
        <is>
          <t>024</t>
        </is>
      </c>
      <c r="B189" s="243" t="inlineStr">
        <is>
          <t>Orange Punch Mimosa</t>
        </is>
      </c>
      <c r="C189" s="243" t="inlineStr">
        <is>
          <t>Orange Punch Mimosa</t>
        </is>
      </c>
      <c r="D189" s="244" t="inlineStr">
        <is>
          <t>P050132</t>
        </is>
      </c>
      <c r="E189" s="243" t="inlineStr">
        <is>
          <t>August 2025</t>
        </is>
      </c>
      <c r="F189" s="243" t="inlineStr">
        <is>
          <t>March 2026</t>
        </is>
      </c>
      <c r="G189" s="243" t="inlineStr">
        <is>
          <t>OPM052501</t>
        </is>
      </c>
      <c r="H189" s="243" t="inlineStr">
        <is>
          <t>✓ COMPLETE</t>
        </is>
      </c>
      <c r="I189" s="246" t="inlineStr"/>
    </row>
    <row r="190">
      <c r="A190" s="243" t="inlineStr">
        <is>
          <t>023</t>
        </is>
      </c>
      <c r="B190" s="243" t="inlineStr">
        <is>
          <t>Orange Punch Mimosa</t>
        </is>
      </c>
      <c r="C190" s="243" t="inlineStr">
        <is>
          <t>Orange Punch Mimosa</t>
        </is>
      </c>
      <c r="D190" s="244" t="inlineStr">
        <is>
          <t>P050082</t>
        </is>
      </c>
      <c r="E190" s="243" t="inlineStr">
        <is>
          <t>June 2025</t>
        </is>
      </c>
      <c r="F190" s="243" t="inlineStr">
        <is>
          <t>January 2026</t>
        </is>
      </c>
      <c r="G190" s="243" t="inlineStr">
        <is>
          <t>OPM1024_03</t>
        </is>
      </c>
      <c r="H190" s="243" t="inlineStr">
        <is>
          <t>✓ COMPLETE</t>
        </is>
      </c>
      <c r="I190" s="246" t="inlineStr"/>
    </row>
    <row r="191">
      <c r="A191" s="243" t="inlineStr">
        <is>
          <t>022</t>
        </is>
      </c>
      <c r="B191" s="243" t="inlineStr">
        <is>
          <t>Cap Junky</t>
        </is>
      </c>
      <c r="C191" s="243" t="inlineStr">
        <is>
          <t>Cap Junky</t>
        </is>
      </c>
      <c r="D191" s="244" t="inlineStr">
        <is>
          <t>P050172</t>
        </is>
      </c>
      <c r="E191" s="243" t="inlineStr">
        <is>
          <t>August 2025</t>
        </is>
      </c>
      <c r="F191" s="243" t="inlineStr">
        <is>
          <t>March 2026</t>
        </is>
      </c>
      <c r="G191" s="243" t="inlineStr">
        <is>
          <t>CJ052501/02</t>
        </is>
      </c>
      <c r="H191" s="243" t="inlineStr">
        <is>
          <t>✓ COMPLETE</t>
        </is>
      </c>
      <c r="I191" s="246" t="inlineStr"/>
    </row>
    <row r="192">
      <c r="A192" s="243" t="inlineStr">
        <is>
          <t>020</t>
        </is>
      </c>
      <c r="B192" s="243" t="inlineStr">
        <is>
          <t>Grape Pie</t>
        </is>
      </c>
      <c r="C192" s="243" t="inlineStr">
        <is>
          <t>Grape Pie</t>
        </is>
      </c>
      <c r="D192" s="244" t="inlineStr">
        <is>
          <t>P050312</t>
        </is>
      </c>
      <c r="E192" s="243" t="inlineStr">
        <is>
          <t>November 2025</t>
        </is>
      </c>
      <c r="F192" s="243" t="inlineStr">
        <is>
          <t>June 2026</t>
        </is>
      </c>
      <c r="G192" s="243" t="inlineStr">
        <is>
          <t>GP082501/1</t>
        </is>
      </c>
      <c r="H192" s="243" t="inlineStr">
        <is>
          <t>✓ COMPLETE</t>
        </is>
      </c>
      <c r="I192" s="246" t="inlineStr"/>
    </row>
    <row r="193">
      <c r="A193" s="243" t="inlineStr">
        <is>
          <t>021</t>
        </is>
      </c>
      <c r="B193" s="243" t="inlineStr">
        <is>
          <t>Grape Pie</t>
        </is>
      </c>
      <c r="C193" s="243" t="inlineStr">
        <is>
          <t>Grape Pie</t>
        </is>
      </c>
      <c r="D193" s="244" t="inlineStr">
        <is>
          <t>P050322</t>
        </is>
      </c>
      <c r="E193" s="243" t="inlineStr">
        <is>
          <t>November 2025</t>
        </is>
      </c>
      <c r="F193" s="243" t="inlineStr">
        <is>
          <t>June 2026</t>
        </is>
      </c>
      <c r="G193" s="243" t="inlineStr">
        <is>
          <t>GP082501/2</t>
        </is>
      </c>
      <c r="H193" s="243" t="inlineStr">
        <is>
          <t>✓ COMPLETE</t>
        </is>
      </c>
      <c r="I193" s="246" t="inlineStr"/>
    </row>
    <row r="194">
      <c r="A194" s="243" t="inlineStr">
        <is>
          <t>019</t>
        </is>
      </c>
      <c r="B194" s="243" t="inlineStr">
        <is>
          <t>Grape Pie</t>
        </is>
      </c>
      <c r="C194" s="243" t="inlineStr">
        <is>
          <t>Grape Pie</t>
        </is>
      </c>
      <c r="D194" s="244" t="inlineStr">
        <is>
          <t>P050302</t>
        </is>
      </c>
      <c r="E194" s="243" t="inlineStr">
        <is>
          <t>November 2025</t>
        </is>
      </c>
      <c r="F194" s="243" t="inlineStr">
        <is>
          <t>June 2026</t>
        </is>
      </c>
      <c r="G194" s="243" t="inlineStr">
        <is>
          <t>GP072501/2</t>
        </is>
      </c>
      <c r="H194" s="243" t="inlineStr">
        <is>
          <t>✓ COMPLETE</t>
        </is>
      </c>
      <c r="I194" s="246" t="inlineStr"/>
    </row>
    <row r="195">
      <c r="A195" s="243" t="inlineStr">
        <is>
          <t>018</t>
        </is>
      </c>
      <c r="B195" s="243" t="inlineStr">
        <is>
          <t>Grape Pie</t>
        </is>
      </c>
      <c r="C195" s="243" t="inlineStr">
        <is>
          <t>Grape Pie</t>
        </is>
      </c>
      <c r="D195" s="244" t="inlineStr">
        <is>
          <t>P050292</t>
        </is>
      </c>
      <c r="E195" s="243" t="inlineStr">
        <is>
          <t>November 2025</t>
        </is>
      </c>
      <c r="F195" s="243" t="inlineStr">
        <is>
          <t>June 2026</t>
        </is>
      </c>
      <c r="G195" s="243" t="inlineStr">
        <is>
          <t>GP072501/1</t>
        </is>
      </c>
      <c r="H195" s="243" t="inlineStr">
        <is>
          <t>✓ COMPLETE</t>
        </is>
      </c>
      <c r="I195" s="246" t="inlineStr"/>
    </row>
    <row r="196">
      <c r="A196" s="243" t="inlineStr">
        <is>
          <t>017</t>
        </is>
      </c>
      <c r="B196" s="243" t="inlineStr">
        <is>
          <t>Blue Sunset Sherbet</t>
        </is>
      </c>
      <c r="C196" s="243" t="inlineStr">
        <is>
          <t>Blue Sunset Sherbet</t>
        </is>
      </c>
      <c r="D196" s="244" t="inlineStr">
        <is>
          <t>P050192</t>
        </is>
      </c>
      <c r="E196" s="243" t="inlineStr">
        <is>
          <t>August 2025</t>
        </is>
      </c>
      <c r="F196" s="243" t="inlineStr">
        <is>
          <t>— none printed —</t>
        </is>
      </c>
      <c r="G196" s="243" t="inlineStr">
        <is>
          <t>BSS052501</t>
        </is>
      </c>
      <c r="H196" s="243" t="inlineStr">
        <is>
          <t>⚠ 1 MISSING</t>
        </is>
      </c>
      <c r="I196" s="246" t="inlineStr"/>
    </row>
    <row r="197">
      <c r="A197" s="248" t="inlineStr">
        <is>
          <t>— not read —</t>
        </is>
      </c>
      <c r="B197" s="243" t="inlineStr">
        <is>
          <t>Cup Junkie</t>
        </is>
      </c>
      <c r="C197" s="249" t="inlineStr">
        <is>
          <t>Cap Junky</t>
        </is>
      </c>
      <c r="D197" s="244" t="inlineStr">
        <is>
          <t>P050162</t>
        </is>
      </c>
      <c r="E197" s="243" t="inlineStr">
        <is>
          <t>August 2025</t>
        </is>
      </c>
      <c r="F197" s="243" t="inlineStr">
        <is>
          <t>— none printed —</t>
        </is>
      </c>
      <c r="G197" s="243" t="inlineStr">
        <is>
          <t>CJ052501/01</t>
        </is>
      </c>
      <c r="H197" s="243" t="inlineStr">
        <is>
          <t>✓ COMPLETE</t>
        </is>
      </c>
      <c r="I197" s="246" t="inlineStr">
        <is>
          <t>strain ruled Cap Junky (07.09.2026); the register prints Cup Junkie</t>
        </is>
      </c>
    </row>
    <row r="198">
      <c r="A198" s="248" t="inlineStr">
        <is>
          <t>— not read —</t>
        </is>
      </c>
      <c r="B198" s="243" t="inlineStr">
        <is>
          <t>High Pro Amnesia</t>
        </is>
      </c>
      <c r="C198" s="243" t="inlineStr">
        <is>
          <t>High Pro Amnesia</t>
        </is>
      </c>
      <c r="D198" s="244" t="inlineStr">
        <is>
          <t>P050182</t>
        </is>
      </c>
      <c r="E198" s="243" t="inlineStr">
        <is>
          <t>August 2025</t>
        </is>
      </c>
      <c r="F198" s="243" t="inlineStr">
        <is>
          <t>— none printed —</t>
        </is>
      </c>
      <c r="G198" s="243" t="inlineStr">
        <is>
          <t>HPA052501</t>
        </is>
      </c>
      <c r="H198" s="243" t="inlineStr">
        <is>
          <t>✓ COMPLETE</t>
        </is>
      </c>
      <c r="I198" s="246" t="inlineStr"/>
    </row>
    <row r="199">
      <c r="A199" s="248" t="inlineStr">
        <is>
          <t>— not read —</t>
        </is>
      </c>
      <c r="B199" s="243" t="inlineStr">
        <is>
          <t>Blue Sunset Sherbet</t>
        </is>
      </c>
      <c r="C199" s="243" t="inlineStr">
        <is>
          <t>Blue Sunset Sherbet</t>
        </is>
      </c>
      <c r="D199" s="244" t="inlineStr">
        <is>
          <t>P050122</t>
        </is>
      </c>
      <c r="E199" s="243" t="inlineStr">
        <is>
          <t>June 2025</t>
        </is>
      </c>
      <c r="F199" s="243" t="inlineStr">
        <is>
          <t>— none printed —</t>
        </is>
      </c>
      <c r="G199" s="243" t="inlineStr">
        <is>
          <t>BSS1024_01/1</t>
        </is>
      </c>
      <c r="H199" s="243" t="inlineStr">
        <is>
          <t>✓ COMPLETE</t>
        </is>
      </c>
      <c r="I199" s="246" t="inlineStr"/>
    </row>
    <row r="200">
      <c r="A200" s="248" t="inlineStr">
        <is>
          <t>— not read —</t>
        </is>
      </c>
      <c r="B200" s="243" t="inlineStr">
        <is>
          <t>Gorilla Glue</t>
        </is>
      </c>
      <c r="C200" s="243" t="inlineStr">
        <is>
          <t>Gorilla Glue</t>
        </is>
      </c>
      <c r="D200" s="244" t="inlineStr">
        <is>
          <t>P050092</t>
        </is>
      </c>
      <c r="E200" s="243" t="inlineStr">
        <is>
          <t>March 2025</t>
        </is>
      </c>
      <c r="F200" s="243" t="inlineStr">
        <is>
          <t>— none printed —</t>
        </is>
      </c>
      <c r="G200" s="243" t="inlineStr">
        <is>
          <t>GG1024_01</t>
        </is>
      </c>
      <c r="H200" s="243" t="inlineStr">
        <is>
          <t>✓ COMPLETE</t>
        </is>
      </c>
      <c r="I200" s="246" t="inlineStr"/>
    </row>
    <row r="201">
      <c r="A201" s="248" t="inlineStr">
        <is>
          <t>— not read —</t>
        </is>
      </c>
      <c r="B201" s="243" t="inlineStr">
        <is>
          <t>Grape Pie</t>
        </is>
      </c>
      <c r="C201" s="243" t="inlineStr">
        <is>
          <t>Grape Pie</t>
        </is>
      </c>
      <c r="D201" s="244" t="inlineStr">
        <is>
          <t>P050102</t>
        </is>
      </c>
      <c r="E201" s="243" t="inlineStr">
        <is>
          <t>March 2025</t>
        </is>
      </c>
      <c r="F201" s="243" t="inlineStr">
        <is>
          <t>October 2025</t>
        </is>
      </c>
      <c r="G201" s="243" t="inlineStr">
        <is>
          <t>GP0824_01</t>
        </is>
      </c>
      <c r="H201" s="243" t="inlineStr">
        <is>
          <t>✓ COMPLETE</t>
        </is>
      </c>
      <c r="I201" s="246" t="inlineStr"/>
    </row>
    <row r="202">
      <c r="A202" s="248" t="inlineStr">
        <is>
          <t>— not read —</t>
        </is>
      </c>
      <c r="B202" s="243" t="inlineStr">
        <is>
          <t>Grape Pie</t>
        </is>
      </c>
      <c r="C202" s="243" t="inlineStr">
        <is>
          <t>Grape Pie</t>
        </is>
      </c>
      <c r="D202" s="244" t="inlineStr">
        <is>
          <t>P050072</t>
        </is>
      </c>
      <c r="E202" s="243" t="inlineStr">
        <is>
          <t>June 2025</t>
        </is>
      </c>
      <c r="F202" s="243" t="inlineStr">
        <is>
          <t>January 2026</t>
        </is>
      </c>
      <c r="G202" s="243" t="inlineStr">
        <is>
          <t>GP0824_03</t>
        </is>
      </c>
      <c r="H202" s="243" t="inlineStr">
        <is>
          <t>✓ COMPLETE</t>
        </is>
      </c>
      <c r="I202" s="246" t="inlineStr"/>
    </row>
    <row r="203">
      <c r="A203" s="248" t="inlineStr">
        <is>
          <t>— not read —</t>
        </is>
      </c>
      <c r="B203" s="243" t="inlineStr">
        <is>
          <t>Orange Punch Mimosa</t>
        </is>
      </c>
      <c r="C203" s="243" t="inlineStr">
        <is>
          <t>Orange Punch Mimosa</t>
        </is>
      </c>
      <c r="D203" s="244" t="inlineStr">
        <is>
          <t>P050062</t>
        </is>
      </c>
      <c r="E203" s="243" t="inlineStr">
        <is>
          <t>May 2025</t>
        </is>
      </c>
      <c r="F203" s="243" t="inlineStr">
        <is>
          <t>December 2025</t>
        </is>
      </c>
      <c r="G203" s="243" t="inlineStr">
        <is>
          <t>OPM1024_02</t>
        </is>
      </c>
      <c r="H203" s="243" t="inlineStr">
        <is>
          <t>✓ COMPLETE</t>
        </is>
      </c>
      <c r="I203" s="246" t="inlineStr"/>
    </row>
    <row r="204">
      <c r="A204" s="248" t="inlineStr">
        <is>
          <t>— not read —</t>
        </is>
      </c>
      <c r="B204" s="243" t="inlineStr">
        <is>
          <t>High Pro Amnesia</t>
        </is>
      </c>
      <c r="C204" s="243" t="inlineStr">
        <is>
          <t>High Pro Amnesia</t>
        </is>
      </c>
      <c r="D204" s="244" t="inlineStr">
        <is>
          <t>P050052</t>
        </is>
      </c>
      <c r="E204" s="243" t="inlineStr">
        <is>
          <t>May 2025</t>
        </is>
      </c>
      <c r="F204" s="243" t="inlineStr">
        <is>
          <t>December 2025</t>
        </is>
      </c>
      <c r="G204" s="243" t="inlineStr">
        <is>
          <t>HPA1024_01</t>
        </is>
      </c>
      <c r="H204" s="243" t="inlineStr">
        <is>
          <t>✓ COMPLETE</t>
        </is>
      </c>
      <c r="I204" s="246" t="inlineStr"/>
    </row>
    <row r="205">
      <c r="A205" s="248" t="inlineStr">
        <is>
          <t>— not read —</t>
        </is>
      </c>
      <c r="B205" s="243" t="inlineStr">
        <is>
          <t>Grape Pie</t>
        </is>
      </c>
      <c r="C205" s="243" t="inlineStr">
        <is>
          <t>Grape Pie</t>
        </is>
      </c>
      <c r="D205" s="244" t="inlineStr">
        <is>
          <t>P050022</t>
        </is>
      </c>
      <c r="E205" s="243" t="inlineStr">
        <is>
          <t>May 2025</t>
        </is>
      </c>
      <c r="F205" s="243" t="inlineStr">
        <is>
          <t>December 2025</t>
        </is>
      </c>
      <c r="G205" s="243" t="inlineStr">
        <is>
          <t>GP0824_02</t>
        </is>
      </c>
      <c r="H205" s="243" t="inlineStr">
        <is>
          <t>✓ COMPLETE</t>
        </is>
      </c>
      <c r="I205" s="246" t="inlineStr"/>
    </row>
    <row r="206">
      <c r="A206" s="248" t="inlineStr">
        <is>
          <t>— not read —</t>
        </is>
      </c>
      <c r="B206" s="243" t="inlineStr">
        <is>
          <t>Orange Punch Mimosa</t>
        </is>
      </c>
      <c r="C206" s="243" t="inlineStr">
        <is>
          <t>Orange Punch Mimosa</t>
        </is>
      </c>
      <c r="D206" s="244" t="inlineStr">
        <is>
          <t>P050042</t>
        </is>
      </c>
      <c r="E206" s="243" t="inlineStr">
        <is>
          <t>March 2025</t>
        </is>
      </c>
      <c r="F206" s="243" t="inlineStr">
        <is>
          <t>November 2025</t>
        </is>
      </c>
      <c r="G206" s="243" t="inlineStr">
        <is>
          <t>OMP1024_01</t>
        </is>
      </c>
      <c r="H206" s="243" t="inlineStr">
        <is>
          <t>✓ COMPLETE</t>
        </is>
      </c>
      <c r="I206" s="246" t="inlineStr"/>
    </row>
    <row r="207">
      <c r="A207" s="248" t="inlineStr">
        <is>
          <t>— not read —</t>
        </is>
      </c>
      <c r="B207" s="243" t="inlineStr">
        <is>
          <t>Motor Breath</t>
        </is>
      </c>
      <c r="C207" s="243" t="inlineStr">
        <is>
          <t>Motor Breath</t>
        </is>
      </c>
      <c r="D207" s="244" t="inlineStr">
        <is>
          <t>P050032</t>
        </is>
      </c>
      <c r="E207" s="243" t="inlineStr">
        <is>
          <t>April 2025</t>
        </is>
      </c>
      <c r="F207" s="243" t="inlineStr">
        <is>
          <t>November 2025</t>
        </is>
      </c>
      <c r="G207" s="243" t="inlineStr">
        <is>
          <t>MB0824_04</t>
        </is>
      </c>
      <c r="H207" s="243" t="inlineStr">
        <is>
          <t>✓ COMPLETE</t>
        </is>
      </c>
      <c r="I207" s="246" t="inlineStr"/>
    </row>
    <row r="208">
      <c r="A208" s="248" t="inlineStr">
        <is>
          <t>— not read —</t>
        </is>
      </c>
      <c r="B208" s="243" t="inlineStr">
        <is>
          <t>Gorilla Glue</t>
        </is>
      </c>
      <c r="C208" s="243" t="inlineStr">
        <is>
          <t>Gorilla Glue</t>
        </is>
      </c>
      <c r="D208" s="244" t="inlineStr">
        <is>
          <t>P050012</t>
        </is>
      </c>
      <c r="E208" s="243" t="inlineStr">
        <is>
          <t>April 2025</t>
        </is>
      </c>
      <c r="F208" s="243" t="inlineStr">
        <is>
          <t>November 2025</t>
        </is>
      </c>
      <c r="G208" s="243" t="inlineStr">
        <is>
          <t>GG1024_02</t>
        </is>
      </c>
      <c r="H208" s="243" t="inlineStr">
        <is>
          <t>✓ COMPLETE</t>
        </is>
      </c>
      <c r="I208" s="246" t="inlineStr"/>
    </row>
    <row r="209">
      <c r="A209" s="248" t="inlineStr">
        <is>
          <t>— not read —</t>
        </is>
      </c>
      <c r="B209" s="243" t="inlineStr">
        <is>
          <t>Blue Gelato</t>
        </is>
      </c>
      <c r="C209" s="243" t="inlineStr">
        <is>
          <t>Blue Gelato</t>
        </is>
      </c>
      <c r="D209" s="244" t="inlineStr">
        <is>
          <t>BG1024</t>
        </is>
      </c>
      <c r="E209" s="243" t="inlineStr">
        <is>
          <t>January 2025</t>
        </is>
      </c>
      <c r="F209" s="243" t="inlineStr">
        <is>
          <t>June 2025</t>
        </is>
      </c>
      <c r="G209" s="243" t="inlineStr">
        <is>
          <t>BG1024</t>
        </is>
      </c>
      <c r="H209" s="243" t="inlineStr">
        <is>
          <t>✓ COMPLETE</t>
        </is>
      </c>
      <c r="I209" s="246" t="inlineStr"/>
    </row>
    <row r="210">
      <c r="A210" s="248" t="inlineStr">
        <is>
          <t>— not read —</t>
        </is>
      </c>
      <c r="B210" s="243" t="inlineStr">
        <is>
          <t>Blue Sunset Sherbet</t>
        </is>
      </c>
      <c r="C210" s="243" t="inlineStr">
        <is>
          <t>Blue Sunset Sherbet</t>
        </is>
      </c>
      <c r="D210" s="244" t="inlineStr">
        <is>
          <t>BSS1024</t>
        </is>
      </c>
      <c r="E210" s="243" t="inlineStr">
        <is>
          <t>January 2025</t>
        </is>
      </c>
      <c r="F210" s="243" t="inlineStr">
        <is>
          <t>June 2025</t>
        </is>
      </c>
      <c r="G210" s="243" t="inlineStr">
        <is>
          <t>BSS1024</t>
        </is>
      </c>
      <c r="H210" s="243" t="inlineStr">
        <is>
          <t>✓ COMPLETE</t>
        </is>
      </c>
      <c r="I210" s="246" t="inlineStr"/>
    </row>
    <row r="211">
      <c r="A211" s="248" t="inlineStr">
        <is>
          <t>— not read —</t>
        </is>
      </c>
      <c r="B211" s="243" t="inlineStr">
        <is>
          <t>Cap Junky</t>
        </is>
      </c>
      <c r="C211" s="243" t="inlineStr">
        <is>
          <t>Cap Junky</t>
        </is>
      </c>
      <c r="D211" s="244" t="inlineStr">
        <is>
          <t>CJ1024</t>
        </is>
      </c>
      <c r="E211" s="243" t="inlineStr">
        <is>
          <t>January 2025</t>
        </is>
      </c>
      <c r="F211" s="243" t="inlineStr">
        <is>
          <t>June 2025</t>
        </is>
      </c>
      <c r="G211" s="243" t="inlineStr">
        <is>
          <t>CJ1024</t>
        </is>
      </c>
      <c r="H211" s="243" t="inlineStr">
        <is>
          <t>✓ COMPLETE</t>
        </is>
      </c>
      <c r="I211" s="246" t="inlineStr"/>
    </row>
    <row r="212">
      <c r="A212" s="248" t="inlineStr">
        <is>
          <t>— not read —</t>
        </is>
      </c>
      <c r="B212" s="243" t="inlineStr">
        <is>
          <t>Gorilla Glue</t>
        </is>
      </c>
      <c r="C212" s="243" t="inlineStr">
        <is>
          <t>Gorilla Glue</t>
        </is>
      </c>
      <c r="D212" s="244" t="inlineStr">
        <is>
          <t>GG1024</t>
        </is>
      </c>
      <c r="E212" s="243" t="inlineStr">
        <is>
          <t>January 2025</t>
        </is>
      </c>
      <c r="F212" s="243" t="inlineStr">
        <is>
          <t>— none printed —</t>
        </is>
      </c>
      <c r="G212" s="243" t="inlineStr">
        <is>
          <t>GG1024</t>
        </is>
      </c>
      <c r="H212" s="243" t="inlineStr">
        <is>
          <t>○ 4 ON FILE, NOT RECORDED</t>
        </is>
      </c>
      <c r="I212" s="246" t="inlineStr"/>
    </row>
    <row r="213">
      <c r="A213" s="248" t="inlineStr">
        <is>
          <t>— not read —</t>
        </is>
      </c>
      <c r="B213" s="243" t="inlineStr">
        <is>
          <t>Orange Punch Mimosa</t>
        </is>
      </c>
      <c r="C213" s="243" t="inlineStr">
        <is>
          <t>Orange Punch Mimosa</t>
        </is>
      </c>
      <c r="D213" s="244" t="inlineStr">
        <is>
          <t>OPM1024</t>
        </is>
      </c>
      <c r="E213" s="243" t="inlineStr">
        <is>
          <t>January 2025</t>
        </is>
      </c>
      <c r="F213" s="243" t="inlineStr">
        <is>
          <t>June 2025</t>
        </is>
      </c>
      <c r="G213" s="243" t="inlineStr">
        <is>
          <t>OPM1024</t>
        </is>
      </c>
      <c r="H213" s="243" t="inlineStr">
        <is>
          <t>❌ 4 MISSING</t>
        </is>
      </c>
      <c r="I213" s="246" t="inlineStr"/>
    </row>
    <row r="214">
      <c r="A214" s="248" t="inlineStr">
        <is>
          <t>— not read —</t>
        </is>
      </c>
      <c r="B214" s="243" t="inlineStr">
        <is>
          <t>High Pro Amnesia</t>
        </is>
      </c>
      <c r="C214" s="243" t="inlineStr">
        <is>
          <t>High Pro Amnesia</t>
        </is>
      </c>
      <c r="D214" s="244" t="inlineStr">
        <is>
          <t>HPA1024</t>
        </is>
      </c>
      <c r="E214" s="243" t="inlineStr">
        <is>
          <t>January 2025</t>
        </is>
      </c>
      <c r="F214" s="243" t="inlineStr">
        <is>
          <t>— none printed —</t>
        </is>
      </c>
      <c r="G214" s="243" t="inlineStr">
        <is>
          <t>HPA1024</t>
        </is>
      </c>
      <c r="H214" s="243" t="inlineStr">
        <is>
          <t>❌ 4 MISSING</t>
        </is>
      </c>
      <c r="I214" s="246" t="inlineStr"/>
    </row>
    <row r="216" ht="58" customHeight="1" s="70">
      <c r="A216" s="242" t="inlineStr">
        <is>
          <t>The ImB certificate register, scanned 04.09.2026 (Emailing Scan - 2026-09-04 06_15_05.pdf), read through the Drive text extraction: the file is 12.3 MB and the connector will not download over 10 MB, so the PAGES have not been read here — a batch found is firm, a batch absent is well supported but not proven on the page. 43 entries; the certificate numbers below 017 did not survive the extraction and read '— not read —'. The register covers the earliest production only: the six 2024 lots, P050012–P050322 and P060012–P060092, contiguous except for P050142, P050202, P050232, P050242 — which the Head of QC's list names BSS1024_01/2, GP062501, GOG062501 and SC062501. Everything from P060102 onward is outside this register entirely.</t>
        </is>
      </c>
      <c r="B216" s="120" t="n"/>
      <c r="C216" s="120" t="n"/>
      <c r="D216" s="120" t="n"/>
      <c r="E216" s="120" t="n"/>
      <c r="F216" s="120" t="n"/>
      <c r="G216" s="120" t="n"/>
      <c r="H216" s="120" t="n"/>
      <c r="I216" s="121" t="n"/>
    </row>
    <row r="219" ht="20" customHeight="1" s="70">
      <c r="A219" s="264" t="inlineStr">
        <is>
          <t>MIKRO COQ PARAMETER</t>
        </is>
      </c>
    </row>
    <row r="220" ht="16" customHeight="1" s="70">
      <c r="A220" s="119" t="inlineStr">
        <is>
          <t>BATCH IDENTIFICATION</t>
        </is>
      </c>
      <c r="B220" s="120" t="n"/>
      <c r="C220" s="121" t="n"/>
      <c r="D220" s="119" t="inlineStr">
        <is>
          <t>PHYSICAL  7–8</t>
        </is>
      </c>
      <c r="E220" s="120" t="n"/>
      <c r="F220" s="120" t="n"/>
      <c r="G220" s="120" t="n"/>
      <c r="H220" s="120" t="n"/>
      <c r="I220" s="121" t="n"/>
      <c r="J220" s="119" t="inlineStr">
        <is>
          <t>MICROBIOLOGY  9</t>
        </is>
      </c>
      <c r="K220" s="120" t="n"/>
      <c r="L220" s="120" t="n"/>
      <c r="M220" s="120" t="n"/>
      <c r="N220" s="120" t="n"/>
      <c r="O220" s="121" t="n"/>
      <c r="P220" s="119" t="inlineStr">
        <is>
          <t>CONTAMINANTS  10–12</t>
        </is>
      </c>
      <c r="Q220" s="120" t="n"/>
      <c r="R220" s="120" t="n"/>
      <c r="S220" s="120" t="n"/>
      <c r="T220" s="120" t="n"/>
      <c r="U220" s="120" t="n"/>
      <c r="V220" s="120" t="n"/>
      <c r="W220" s="120" t="n"/>
      <c r="X220" s="120" t="n"/>
      <c r="Y220" s="120" t="n"/>
      <c r="Z220" s="120" t="n"/>
      <c r="AA220" s="121" t="n"/>
    </row>
    <row r="221" ht="30" customHeight="1" s="70">
      <c r="A221" s="122" t="inlineStr">
        <is>
          <t>CU Batch</t>
        </is>
      </c>
      <c r="B221" s="122" t="inlineStr">
        <is>
          <t>P Batch</t>
        </is>
      </c>
      <c r="C221" s="122" t="inlineStr">
        <is>
          <t>STATUS</t>
        </is>
      </c>
      <c r="D221" s="119" t="inlineStr">
        <is>
          <t>#7 Foreign Matter
Ph. Eur. 2.8.2 / in-house</t>
        </is>
      </c>
      <c r="E221" s="120" t="n"/>
      <c r="F221" s="121" t="n"/>
      <c r="G221" s="119" t="inlineStr">
        <is>
          <t>#8 Loss on Drying
Ph. Eur. 2.2.32 · 40 °C, 24 h, 15–25 mbar</t>
        </is>
      </c>
      <c r="H221" s="120" t="n"/>
      <c r="I221" s="121" t="n"/>
      <c r="J221" s="119" t="inlineStr">
        <is>
          <t>#9 Microbiological Purity
Ph. Eur. 2.6.12 / 2.6.13 / 2.6.31 · cat. C</t>
        </is>
      </c>
      <c r="K221" s="120" t="n"/>
      <c r="L221" s="120" t="n"/>
      <c r="M221" s="120" t="n"/>
      <c r="N221" s="120" t="n"/>
      <c r="O221" s="121" t="n"/>
      <c r="P221" s="119" t="inlineStr">
        <is>
          <t>#10 Mycotoxins
Ph. Eur. 2.8.18 / 2.8.22 (HPLC-FLD)</t>
        </is>
      </c>
      <c r="Q221" s="120" t="n"/>
      <c r="R221" s="120" t="n"/>
      <c r="S221" s="121" t="n"/>
      <c r="T221" s="119" t="inlineStr">
        <is>
          <t>#11 Heavy Metals
Ph. Eur. 2.4.27 (ICP-MS)</t>
        </is>
      </c>
      <c r="U221" s="120" t="n"/>
      <c r="V221" s="120" t="n"/>
      <c r="W221" s="120" t="n"/>
      <c r="X221" s="121" t="n"/>
      <c r="Y221" s="119" t="inlineStr">
        <is>
          <t>#12 Pesticide Residues
Ph. Eur. 2.8.13 (LC-MS/MS) · CUMCS equivalency</t>
        </is>
      </c>
      <c r="Z221" s="120" t="n"/>
      <c r="AA221" s="121" t="n"/>
    </row>
    <row r="222" ht="26" customHeight="1" s="70">
      <c r="A222" s="279" t="n"/>
      <c r="B222" s="279" t="n"/>
      <c r="C222" s="279" t="n"/>
      <c r="D222" s="123" t="inlineStr">
        <is>
          <t>A.C.: ≤ 2.0 % (25–50 g); leaves &lt; 1 cm; no seeds</t>
        </is>
      </c>
      <c r="E222" s="121" t="n"/>
      <c r="F222" s="123" t="inlineStr"/>
      <c r="G222" s="123" t="inlineStr">
        <is>
          <t>A.C.: ≤ 12.0 %</t>
        </is>
      </c>
      <c r="H222" s="121" t="n"/>
      <c r="I222" s="123" t="inlineStr"/>
      <c r="J222" s="123" t="inlineStr">
        <is>
          <t>A.C.: ≤ 10⁵ CFU/g</t>
        </is>
      </c>
      <c r="K222" s="123" t="inlineStr">
        <is>
          <t>A.C.: ≤ 10⁴ CFU/g</t>
        </is>
      </c>
      <c r="L222" s="123" t="inlineStr">
        <is>
          <t>A.C.: ≤ 10⁴ CFU/g</t>
        </is>
      </c>
      <c r="M222" s="123" t="inlineStr">
        <is>
          <t>A.C.: Absence / 25 g</t>
        </is>
      </c>
      <c r="N222" s="123" t="inlineStr">
        <is>
          <t>A.C.: Absence / 1 g</t>
        </is>
      </c>
      <c r="O222" s="123" t="inlineStr"/>
      <c r="P222" s="123" t="inlineStr">
        <is>
          <t>A.C.: ≤ 2 µg/kg</t>
        </is>
      </c>
      <c r="Q222" s="123" t="inlineStr">
        <is>
          <t>A.C.: ≤ 4 µg/kg</t>
        </is>
      </c>
      <c r="R222" s="123" t="inlineStr">
        <is>
          <t>A.C.: ≤ 20 µg/kg</t>
        </is>
      </c>
      <c r="S222" s="123" t="inlineStr"/>
      <c r="T222" s="123" t="inlineStr">
        <is>
          <t>A.C.: ≤ 0.5 mg/kg</t>
        </is>
      </c>
      <c r="U222" s="123" t="inlineStr">
        <is>
          <t>A.C.: ≤ 0.3 mg/kg</t>
        </is>
      </c>
      <c r="V222" s="123" t="inlineStr">
        <is>
          <t>A.C.: ≤ 0.2 mg/kg</t>
        </is>
      </c>
      <c r="W222" s="123" t="inlineStr">
        <is>
          <t>A.C.: ≤ 0.1 mg/kg</t>
        </is>
      </c>
      <c r="X222" s="123" t="inlineStr"/>
      <c r="Y222" s="123" t="inlineStr">
        <is>
          <t>A.C.: ≤ LOQ (Ph. Eur. 2.8.13 / CUMCS equivalency)</t>
        </is>
      </c>
      <c r="Z222" s="121" t="n"/>
      <c r="AA222" s="123" t="inlineStr"/>
    </row>
    <row r="223" ht="24" customHeight="1" s="70">
      <c r="A223" s="280" t="n"/>
      <c r="B223" s="280" t="n"/>
      <c r="C223" s="280" t="n"/>
      <c r="D223" s="124" t="inlineStr">
        <is>
          <t>Result</t>
        </is>
      </c>
      <c r="E223" s="124" t="inlineStr">
        <is>
          <t xml:space="preserve">[eCOA code],[date],[Lab] </t>
        </is>
      </c>
      <c r="F223" s="124" t="inlineStr">
        <is>
          <t>✓   ✗</t>
        </is>
      </c>
      <c r="G223" s="124" t="inlineStr">
        <is>
          <t>Result</t>
        </is>
      </c>
      <c r="H223" s="124" t="inlineStr">
        <is>
          <t xml:space="preserve">[eCOA code],[date],[Lab] </t>
        </is>
      </c>
      <c r="I223" s="124" t="inlineStr">
        <is>
          <t>✓   ✗</t>
        </is>
      </c>
      <c r="J223" s="124" t="inlineStr">
        <is>
          <t>TAMC</t>
        </is>
      </c>
      <c r="K223" s="124" t="inlineStr">
        <is>
          <t>TYMC</t>
        </is>
      </c>
      <c r="L223" s="124" t="inlineStr">
        <is>
          <t>GNB</t>
        </is>
      </c>
      <c r="M223" s="124" t="inlineStr">
        <is>
          <t>Salm.</t>
        </is>
      </c>
      <c r="N223" s="124" t="inlineStr">
        <is>
          <t>E. coli</t>
        </is>
      </c>
      <c r="O223" s="124" t="inlineStr">
        <is>
          <t>✓   ✗</t>
        </is>
      </c>
      <c r="P223" s="124" t="inlineStr">
        <is>
          <t>AfB₁</t>
        </is>
      </c>
      <c r="Q223" s="124" t="inlineStr">
        <is>
          <t>ΣAf</t>
        </is>
      </c>
      <c r="R223" s="124" t="inlineStr">
        <is>
          <t>OTA</t>
        </is>
      </c>
      <c r="S223" s="124" t="inlineStr">
        <is>
          <t>✓   ✗</t>
        </is>
      </c>
      <c r="T223" s="124" t="inlineStr">
        <is>
          <t>Pb</t>
        </is>
      </c>
      <c r="U223" s="124" t="inlineStr">
        <is>
          <t>Cd</t>
        </is>
      </c>
      <c r="V223" s="124" t="inlineStr">
        <is>
          <t>As</t>
        </is>
      </c>
      <c r="W223" s="124" t="inlineStr">
        <is>
          <t>Hg</t>
        </is>
      </c>
      <c r="X223" s="124" t="inlineStr">
        <is>
          <t>✓   ✗</t>
        </is>
      </c>
      <c r="Y223" s="124" t="inlineStr">
        <is>
          <t>Result</t>
        </is>
      </c>
      <c r="Z223" s="124" t="inlineStr">
        <is>
          <t xml:space="preserve">[eCOA code],[date],[Lab] </t>
        </is>
      </c>
      <c r="AA223" s="124" t="inlineStr">
        <is>
          <t>✓   ✗</t>
        </is>
      </c>
    </row>
    <row r="224" ht="21" customHeight="1" s="70">
      <c r="A224" s="125" t="inlineStr">
        <is>
          <t>FB012603</t>
        </is>
      </c>
      <c r="B224" s="126" t="inlineStr">
        <is>
          <t>P060432</t>
        </is>
      </c>
      <c r="C224" s="170" t="inlineStr">
        <is>
          <t>⚠ 3 NO RESULT
(3 no cert / 0 cert w/o result)
2 testing instances</t>
        </is>
      </c>
      <c r="D224" s="131" t="inlineStr">
        <is>
          <t>Conforms (no value printed)</t>
        </is>
      </c>
      <c r="E224" s="132" t="inlineStr">
        <is>
          <t>ППК26112, (30.06.2026) [CNP]</t>
        </is>
      </c>
      <c r="F224" s="133" t="inlineStr">
        <is>
          <t>✓</t>
        </is>
      </c>
      <c r="G224" s="131" t="inlineStr">
        <is>
          <t>7.04</t>
        </is>
      </c>
      <c r="H224" s="132" t="inlineStr">
        <is>
          <t>ППК26112, (30.06.2026) [CNP]</t>
        </is>
      </c>
      <c r="I224" s="133" t="inlineStr">
        <is>
          <t>✓</t>
        </is>
      </c>
      <c r="J224" s="131" t="inlineStr">
        <is>
          <t>9.8 × 10³</t>
        </is>
      </c>
      <c r="K224" s="139" t="inlineStr">
        <is>
          <t>2.5 × 10³</t>
        </is>
      </c>
      <c r="L224" s="139" t="inlineStr">
        <is>
          <t>&lt; 10² and &gt; 10</t>
        </is>
      </c>
      <c r="M224" s="139" t="inlineStr">
        <is>
          <t>Absent</t>
        </is>
      </c>
      <c r="N224" s="139" t="inlineStr">
        <is>
          <t>Absent</t>
        </is>
      </c>
      <c r="O224" s="133" t="inlineStr">
        <is>
          <t>✓</t>
        </is>
      </c>
      <c r="P224" s="171" t="inlineStr">
        <is>
          <t>— MISSING —</t>
        </is>
      </c>
      <c r="Q224" s="172" t="inlineStr">
        <is>
          <t>— MISSING —</t>
        </is>
      </c>
      <c r="R224" s="172" t="inlineStr">
        <is>
          <t>— MISSING —</t>
        </is>
      </c>
      <c r="S224" s="173" t="inlineStr">
        <is>
          <t>✗</t>
        </is>
      </c>
      <c r="T224" s="171" t="inlineStr">
        <is>
          <t>— MISSING —</t>
        </is>
      </c>
      <c r="U224" s="172" t="inlineStr">
        <is>
          <t>— MISSING —</t>
        </is>
      </c>
      <c r="V224" s="172" t="inlineStr">
        <is>
          <t>— MISSING —</t>
        </is>
      </c>
      <c r="W224" s="172" t="inlineStr">
        <is>
          <t>— MISSING —</t>
        </is>
      </c>
      <c r="X224" s="173" t="inlineStr">
        <is>
          <t>✗</t>
        </is>
      </c>
      <c r="Y224" s="171" t="inlineStr">
        <is>
          <t>— MISSING —</t>
        </is>
      </c>
      <c r="Z224" s="174" t="inlineStr">
        <is>
          <t>— no certificate —</t>
        </is>
      </c>
      <c r="AA224" s="175" t="inlineStr">
        <is>
          <t>✗</t>
        </is>
      </c>
    </row>
    <row r="225" ht="39" customHeight="1" s="70">
      <c r="A225" s="281" t="n"/>
      <c r="B225" s="279" t="n"/>
      <c r="C225" s="279" t="n"/>
      <c r="D225" s="282" t="n"/>
      <c r="E225" s="280" t="n"/>
      <c r="F225" s="283" t="n"/>
      <c r="G225" s="282" t="n"/>
      <c r="H225" s="280" t="n"/>
      <c r="I225" s="283" t="n"/>
      <c r="J225" s="144" t="inlineStr">
        <is>
          <t>537-1068-26, (31.08.2026) [IJZ-MB]</t>
        </is>
      </c>
      <c r="K225" s="120" t="n"/>
      <c r="L225" s="120" t="n"/>
      <c r="M225" s="120" t="n"/>
      <c r="N225" s="121" t="n"/>
      <c r="O225" s="283" t="n"/>
      <c r="P225" s="176" t="inlineStr">
        <is>
          <t>— no certificate —</t>
        </is>
      </c>
      <c r="Q225" s="120" t="n"/>
      <c r="R225" s="121" t="n"/>
      <c r="S225" s="283" t="n"/>
      <c r="T225" s="176" t="inlineStr">
        <is>
          <t>— no certificate —</t>
        </is>
      </c>
      <c r="U225" s="120" t="n"/>
      <c r="V225" s="120" t="n"/>
      <c r="W225" s="121" t="n"/>
      <c r="X225" s="283" t="n"/>
      <c r="Y225" s="282" t="n"/>
      <c r="Z225" s="280" t="n"/>
      <c r="AA225" s="284" t="n"/>
    </row>
    <row r="226" ht="17.625" customHeight="1" s="70">
      <c r="A226" s="281" t="n"/>
      <c r="B226" s="279" t="n"/>
      <c r="C226" s="279" t="n"/>
      <c r="D226" s="151" t="n"/>
      <c r="E226" s="147" t="n"/>
      <c r="F226" s="152" t="n"/>
      <c r="G226" s="151" t="n"/>
      <c r="H226" s="147" t="n"/>
      <c r="I226" s="152" t="n"/>
      <c r="J226" s="151" t="n"/>
      <c r="K226" s="147" t="n"/>
      <c r="L226" s="147" t="n"/>
      <c r="M226" s="147" t="n"/>
      <c r="N226" s="147" t="n"/>
      <c r="O226" s="152" t="n"/>
      <c r="P226" s="151" t="n"/>
      <c r="Q226" s="147" t="n"/>
      <c r="R226" s="147" t="n"/>
      <c r="S226" s="152" t="n"/>
      <c r="T226" s="151" t="n"/>
      <c r="U226" s="147" t="n"/>
      <c r="V226" s="147" t="n"/>
      <c r="W226" s="147" t="n"/>
      <c r="X226" s="152" t="n"/>
      <c r="Y226" s="151" t="n"/>
      <c r="Z226" s="147" t="n"/>
      <c r="AA226" s="163" t="n"/>
    </row>
    <row r="227" ht="13" customHeight="1" s="70">
      <c r="A227" s="285" t="n"/>
      <c r="B227" s="286" t="n"/>
      <c r="C227" s="286" t="n"/>
      <c r="D227" s="166" t="n"/>
      <c r="E227" s="165" t="n"/>
      <c r="F227" s="167" t="n"/>
      <c r="G227" s="166" t="n"/>
      <c r="H227" s="165" t="n"/>
      <c r="I227" s="167" t="n"/>
      <c r="J227" s="166" t="n"/>
      <c r="K227" s="165" t="n"/>
      <c r="L227" s="165" t="n"/>
      <c r="M227" s="165" t="n"/>
      <c r="N227" s="165" t="n"/>
      <c r="O227" s="167" t="n"/>
      <c r="P227" s="166" t="n"/>
      <c r="Q227" s="165" t="n"/>
      <c r="R227" s="165" t="n"/>
      <c r="S227" s="167" t="n"/>
      <c r="T227" s="166" t="n"/>
      <c r="U227" s="165" t="n"/>
      <c r="V227" s="165" t="n"/>
      <c r="W227" s="165" t="n"/>
      <c r="X227" s="167" t="n"/>
      <c r="Y227" s="166" t="n"/>
      <c r="Z227" s="165" t="n"/>
      <c r="AA227" s="169" t="n"/>
    </row>
    <row r="228" ht="21" customHeight="1" s="70">
      <c r="A228" s="125" t="inlineStr">
        <is>
          <t>FB012603V</t>
        </is>
      </c>
      <c r="B228" s="126" t="inlineStr">
        <is>
          <t>P060392</t>
        </is>
      </c>
      <c r="C228" s="170" t="inlineStr">
        <is>
          <t>⚠ 3 NO RESULT
(3 no cert / 0 cert w/o result)
2 testing instances</t>
        </is>
      </c>
      <c r="D228" s="131" t="inlineStr">
        <is>
          <t>Conforms (no value printed)</t>
        </is>
      </c>
      <c r="E228" s="132" t="inlineStr">
        <is>
          <t>ППК26110, (30.06.2026) [CNP]</t>
        </is>
      </c>
      <c r="F228" s="133" t="inlineStr">
        <is>
          <t>✓</t>
        </is>
      </c>
      <c r="G228" s="131" t="inlineStr">
        <is>
          <t>6.36</t>
        </is>
      </c>
      <c r="H228" s="132" t="inlineStr">
        <is>
          <t>ППК26110, (30.06.2026) [CNP]</t>
        </is>
      </c>
      <c r="I228" s="133" t="inlineStr">
        <is>
          <t>✓</t>
        </is>
      </c>
      <c r="J228" s="131" t="inlineStr">
        <is>
          <t>2.9 × 10³</t>
        </is>
      </c>
      <c r="K228" s="139" t="inlineStr">
        <is>
          <t>2.5 × 10³</t>
        </is>
      </c>
      <c r="L228" s="139" t="inlineStr">
        <is>
          <t>&lt; 10</t>
        </is>
      </c>
      <c r="M228" s="139" t="inlineStr">
        <is>
          <t>Absent</t>
        </is>
      </c>
      <c r="N228" s="139" t="inlineStr">
        <is>
          <t>Absent</t>
        </is>
      </c>
      <c r="O228" s="133" t="inlineStr">
        <is>
          <t>✓</t>
        </is>
      </c>
      <c r="P228" s="171" t="inlineStr">
        <is>
          <t>— MISSING —</t>
        </is>
      </c>
      <c r="Q228" s="172" t="inlineStr">
        <is>
          <t>— MISSING —</t>
        </is>
      </c>
      <c r="R228" s="172" t="inlineStr">
        <is>
          <t>— MISSING —</t>
        </is>
      </c>
      <c r="S228" s="173" t="inlineStr">
        <is>
          <t>✗</t>
        </is>
      </c>
      <c r="T228" s="171" t="inlineStr">
        <is>
          <t>— MISSING —</t>
        </is>
      </c>
      <c r="U228" s="172" t="inlineStr">
        <is>
          <t>— MISSING —</t>
        </is>
      </c>
      <c r="V228" s="172" t="inlineStr">
        <is>
          <t>— MISSING —</t>
        </is>
      </c>
      <c r="W228" s="172" t="inlineStr">
        <is>
          <t>— MISSING —</t>
        </is>
      </c>
      <c r="X228" s="173" t="inlineStr">
        <is>
          <t>✗</t>
        </is>
      </c>
      <c r="Y228" s="171" t="inlineStr">
        <is>
          <t>— MISSING —</t>
        </is>
      </c>
      <c r="Z228" s="174" t="inlineStr">
        <is>
          <t>— no certificate —</t>
        </is>
      </c>
      <c r="AA228" s="175" t="inlineStr">
        <is>
          <t>✗</t>
        </is>
      </c>
    </row>
    <row r="229" ht="39" customHeight="1" s="70">
      <c r="A229" s="281" t="n"/>
      <c r="B229" s="279" t="n"/>
      <c r="C229" s="279" t="n"/>
      <c r="D229" s="282" t="n"/>
      <c r="E229" s="280" t="n"/>
      <c r="F229" s="283" t="n"/>
      <c r="G229" s="282" t="n"/>
      <c r="H229" s="280" t="n"/>
      <c r="I229" s="283" t="n"/>
      <c r="J229" s="144" t="inlineStr">
        <is>
          <t>538-1069-26, (31.08.2026) [IJZ-MB]</t>
        </is>
      </c>
      <c r="K229" s="120" t="n"/>
      <c r="L229" s="120" t="n"/>
      <c r="M229" s="120" t="n"/>
      <c r="N229" s="121" t="n"/>
      <c r="O229" s="283" t="n"/>
      <c r="P229" s="176" t="inlineStr">
        <is>
          <t>— no certificate —</t>
        </is>
      </c>
      <c r="Q229" s="120" t="n"/>
      <c r="R229" s="121" t="n"/>
      <c r="S229" s="283" t="n"/>
      <c r="T229" s="176" t="inlineStr">
        <is>
          <t>— no certificate —</t>
        </is>
      </c>
      <c r="U229" s="120" t="n"/>
      <c r="V229" s="120" t="n"/>
      <c r="W229" s="121" t="n"/>
      <c r="X229" s="283" t="n"/>
      <c r="Y229" s="282" t="n"/>
      <c r="Z229" s="280" t="n"/>
      <c r="AA229" s="284" t="n"/>
    </row>
    <row r="230" ht="17.625" customHeight="1" s="70">
      <c r="A230" s="281" t="n"/>
      <c r="B230" s="279" t="n"/>
      <c r="C230" s="279" t="n"/>
      <c r="D230" s="151" t="n"/>
      <c r="E230" s="147" t="n"/>
      <c r="F230" s="152" t="n"/>
      <c r="G230" s="151" t="n"/>
      <c r="H230" s="147" t="n"/>
      <c r="I230" s="152" t="n"/>
      <c r="J230" s="151" t="n"/>
      <c r="K230" s="147" t="n"/>
      <c r="L230" s="147" t="n"/>
      <c r="M230" s="147" t="n"/>
      <c r="N230" s="147" t="n"/>
      <c r="O230" s="152" t="n"/>
      <c r="P230" s="151" t="n"/>
      <c r="Q230" s="147" t="n"/>
      <c r="R230" s="147" t="n"/>
      <c r="S230" s="152" t="n"/>
      <c r="T230" s="151" t="n"/>
      <c r="U230" s="147" t="n"/>
      <c r="V230" s="147" t="n"/>
      <c r="W230" s="147" t="n"/>
      <c r="X230" s="152" t="n"/>
      <c r="Y230" s="151" t="n"/>
      <c r="Z230" s="147" t="n"/>
      <c r="AA230" s="163" t="n"/>
    </row>
    <row r="231" ht="13" customHeight="1" s="70">
      <c r="A231" s="285" t="n"/>
      <c r="B231" s="286" t="n"/>
      <c r="C231" s="286" t="n"/>
      <c r="D231" s="166" t="n"/>
      <c r="E231" s="165" t="n"/>
      <c r="F231" s="167" t="n"/>
      <c r="G231" s="166" t="n"/>
      <c r="H231" s="165" t="n"/>
      <c r="I231" s="167" t="n"/>
      <c r="J231" s="166" t="n"/>
      <c r="K231" s="165" t="n"/>
      <c r="L231" s="165" t="n"/>
      <c r="M231" s="165" t="n"/>
      <c r="N231" s="165" t="n"/>
      <c r="O231" s="167" t="n"/>
      <c r="P231" s="166" t="n"/>
      <c r="Q231" s="165" t="n"/>
      <c r="R231" s="165" t="n"/>
      <c r="S231" s="167" t="n"/>
      <c r="T231" s="166" t="n"/>
      <c r="U231" s="165" t="n"/>
      <c r="V231" s="165" t="n"/>
      <c r="W231" s="165" t="n"/>
      <c r="X231" s="167" t="n"/>
      <c r="Y231" s="166" t="n"/>
      <c r="Z231" s="165" t="n"/>
      <c r="AA231" s="169" t="n"/>
    </row>
    <row r="232" ht="21" customHeight="1" s="70">
      <c r="A232" s="125" t="inlineStr">
        <is>
          <t>FB032601</t>
        </is>
      </c>
      <c r="B232" s="126" t="inlineStr">
        <is>
          <t>P060452</t>
        </is>
      </c>
      <c r="C232" s="177" t="inlineStr">
        <is>
          <t>✗ 4 NO RESULT
(4 no cert / 0 cert w/o result)
✗ OUT OF SPECIFICATION: #7</t>
        </is>
      </c>
      <c r="D232" s="185" t="inlineStr">
        <is>
          <t>0.08 % (Does not conform)</t>
        </is>
      </c>
      <c r="E232" s="181" t="inlineStr">
        <is>
          <t>ППК26127, (21.07.2026) [CNP]</t>
        </is>
      </c>
      <c r="F232" s="182" t="inlineStr">
        <is>
          <t>✓</t>
        </is>
      </c>
      <c r="G232" s="180" t="inlineStr">
        <is>
          <t>7.77</t>
        </is>
      </c>
      <c r="H232" s="181" t="inlineStr">
        <is>
          <t>ППК26127, (21.07.2026) [CNP]</t>
        </is>
      </c>
      <c r="I232" s="182" t="inlineStr">
        <is>
          <t>✓</t>
        </is>
      </c>
      <c r="J232" s="171" t="inlineStr">
        <is>
          <t>— MISSING —</t>
        </is>
      </c>
      <c r="K232" s="172" t="inlineStr">
        <is>
          <t>— MISSING —</t>
        </is>
      </c>
      <c r="L232" s="172" t="inlineStr">
        <is>
          <t>— MISSING —</t>
        </is>
      </c>
      <c r="M232" s="172" t="inlineStr">
        <is>
          <t>— MISSING —</t>
        </is>
      </c>
      <c r="N232" s="172" t="inlineStr">
        <is>
          <t>— MISSING —</t>
        </is>
      </c>
      <c r="O232" s="186" t="inlineStr">
        <is>
          <t>✗</t>
        </is>
      </c>
      <c r="P232" s="171" t="inlineStr">
        <is>
          <t>— MISSING —</t>
        </is>
      </c>
      <c r="Q232" s="172" t="inlineStr">
        <is>
          <t>— MISSING —</t>
        </is>
      </c>
      <c r="R232" s="172" t="inlineStr">
        <is>
          <t>— MISSING —</t>
        </is>
      </c>
      <c r="S232" s="186" t="inlineStr">
        <is>
          <t>✗</t>
        </is>
      </c>
      <c r="T232" s="171" t="inlineStr">
        <is>
          <t>— MISSING —</t>
        </is>
      </c>
      <c r="U232" s="172" t="inlineStr">
        <is>
          <t>— MISSING —</t>
        </is>
      </c>
      <c r="V232" s="172" t="inlineStr">
        <is>
          <t>— MISSING —</t>
        </is>
      </c>
      <c r="W232" s="172" t="inlineStr">
        <is>
          <t>— MISSING —</t>
        </is>
      </c>
      <c r="X232" s="186" t="inlineStr">
        <is>
          <t>✗</t>
        </is>
      </c>
      <c r="Y232" s="187" t="inlineStr">
        <is>
          <t>— MISSING —</t>
        </is>
      </c>
      <c r="Z232" s="188" t="inlineStr">
        <is>
          <t>— no certificate —</t>
        </is>
      </c>
      <c r="AA232" s="189" t="inlineStr">
        <is>
          <t>✗</t>
        </is>
      </c>
    </row>
    <row r="233" ht="21" customHeight="1" s="70">
      <c r="A233" s="285" t="n"/>
      <c r="B233" s="286" t="n"/>
      <c r="C233" s="286" t="n"/>
      <c r="D233" s="287" t="n"/>
      <c r="E233" s="286" t="n"/>
      <c r="F233" s="288" t="n"/>
      <c r="G233" s="287" t="n"/>
      <c r="H233" s="286" t="n"/>
      <c r="I233" s="288" t="n"/>
      <c r="J233" s="190" t="inlineStr">
        <is>
          <t>— no certificate —</t>
        </is>
      </c>
      <c r="K233" s="289" t="n"/>
      <c r="L233" s="289" t="n"/>
      <c r="M233" s="289" t="n"/>
      <c r="N233" s="290" t="n"/>
      <c r="O233" s="288" t="n"/>
      <c r="P233" s="190" t="inlineStr">
        <is>
          <t>— no certificate —</t>
        </is>
      </c>
      <c r="Q233" s="289" t="n"/>
      <c r="R233" s="290" t="n"/>
      <c r="S233" s="288" t="n"/>
      <c r="T233" s="190" t="inlineStr">
        <is>
          <t>— no certificate —</t>
        </is>
      </c>
      <c r="U233" s="289" t="n"/>
      <c r="V233" s="289" t="n"/>
      <c r="W233" s="290" t="n"/>
      <c r="X233" s="288" t="n"/>
      <c r="Y233" s="287" t="n"/>
      <c r="Z233" s="286" t="n"/>
      <c r="AA233" s="291" t="n"/>
    </row>
    <row r="234" ht="21" customHeight="1" s="70">
      <c r="A234" s="125" t="inlineStr">
        <is>
          <t>GG012603</t>
        </is>
      </c>
      <c r="B234" s="126" t="inlineStr">
        <is>
          <t>P060402</t>
        </is>
      </c>
      <c r="C234" s="170" t="inlineStr">
        <is>
          <t>⚠ 3 NO RESULT
(3 no cert / 0 cert w/o result)
2 testing instances
• 1 document(s) on file, not credited</t>
        </is>
      </c>
      <c r="D234" s="131" t="inlineStr">
        <is>
          <t>0.09 % (Conforms)</t>
        </is>
      </c>
      <c r="E234" s="132" t="inlineStr">
        <is>
          <t>ППК26114, (30.06.2026) [CNP]</t>
        </is>
      </c>
      <c r="F234" s="133" t="inlineStr">
        <is>
          <t>✓</t>
        </is>
      </c>
      <c r="G234" s="131" t="inlineStr">
        <is>
          <t>6.48</t>
        </is>
      </c>
      <c r="H234" s="132" t="inlineStr">
        <is>
          <t>ППК26114, (30.06.2026) [CNP]</t>
        </is>
      </c>
      <c r="I234" s="133" t="inlineStr">
        <is>
          <t>✓</t>
        </is>
      </c>
      <c r="J234" s="171" t="inlineStr">
        <is>
          <t>— MISSING —</t>
        </is>
      </c>
      <c r="K234" s="172" t="inlineStr">
        <is>
          <t>— MISSING —</t>
        </is>
      </c>
      <c r="L234" s="172" t="inlineStr">
        <is>
          <t>— MISSING —</t>
        </is>
      </c>
      <c r="M234" s="172" t="inlineStr">
        <is>
          <t>— MISSING —</t>
        </is>
      </c>
      <c r="N234" s="172" t="inlineStr">
        <is>
          <t>— MISSING —</t>
        </is>
      </c>
      <c r="O234" s="173" t="inlineStr">
        <is>
          <t>✗</t>
        </is>
      </c>
      <c r="P234" s="131" t="inlineStr">
        <is>
          <t>ND</t>
        </is>
      </c>
      <c r="Q234" s="139" t="inlineStr">
        <is>
          <t>ND</t>
        </is>
      </c>
      <c r="R234" s="139" t="inlineStr">
        <is>
          <t>ND</t>
        </is>
      </c>
      <c r="S234" s="133" t="inlineStr">
        <is>
          <t>✓</t>
        </is>
      </c>
      <c r="T234" s="171" t="inlineStr">
        <is>
          <t>— MISSING —</t>
        </is>
      </c>
      <c r="U234" s="172" t="inlineStr">
        <is>
          <t>— MISSING —</t>
        </is>
      </c>
      <c r="V234" s="172" t="inlineStr">
        <is>
          <t>— MISSING —</t>
        </is>
      </c>
      <c r="W234" s="172" t="inlineStr">
        <is>
          <t>— MISSING —</t>
        </is>
      </c>
      <c r="X234" s="173" t="inlineStr">
        <is>
          <t>✗</t>
        </is>
      </c>
      <c r="Y234" s="171" t="inlineStr">
        <is>
          <t>— MISSING —</t>
        </is>
      </c>
      <c r="Z234" s="174" t="inlineStr">
        <is>
          <t>— no certificate —</t>
        </is>
      </c>
      <c r="AA234" s="175" t="inlineStr">
        <is>
          <t>✗</t>
        </is>
      </c>
    </row>
    <row r="235" ht="39" customHeight="1" s="70">
      <c r="A235" s="281" t="n"/>
      <c r="B235" s="279" t="n"/>
      <c r="C235" s="279" t="n"/>
      <c r="D235" s="282" t="n"/>
      <c r="E235" s="280" t="n"/>
      <c r="F235" s="283" t="n"/>
      <c r="G235" s="282" t="n"/>
      <c r="H235" s="280" t="n"/>
      <c r="I235" s="283" t="n"/>
      <c r="J235" s="176" t="inlineStr">
        <is>
          <t>— no certificate —</t>
        </is>
      </c>
      <c r="K235" s="120" t="n"/>
      <c r="L235" s="120" t="n"/>
      <c r="M235" s="120" t="n"/>
      <c r="N235" s="121" t="n"/>
      <c r="O235" s="283" t="n"/>
      <c r="P235" s="144" t="inlineStr">
        <is>
          <t>197-8-М-26, (10.08.2026) [FHM-M]</t>
        </is>
      </c>
      <c r="Q235" s="120" t="n"/>
      <c r="R235" s="121" t="n"/>
      <c r="S235" s="283" t="n"/>
      <c r="T235" s="176" t="inlineStr">
        <is>
          <t>— no certificate —</t>
        </is>
      </c>
      <c r="U235" s="120" t="n"/>
      <c r="V235" s="120" t="n"/>
      <c r="W235" s="121" t="n"/>
      <c r="X235" s="283" t="n"/>
      <c r="Y235" s="282" t="n"/>
      <c r="Z235" s="280" t="n"/>
      <c r="AA235" s="284" t="n"/>
    </row>
    <row r="236" ht="17.625" customHeight="1" s="70">
      <c r="A236" s="281" t="n"/>
      <c r="B236" s="279" t="n"/>
      <c r="C236" s="279" t="n"/>
      <c r="D236" s="151" t="n"/>
      <c r="E236" s="147" t="n"/>
      <c r="F236" s="152" t="n"/>
      <c r="G236" s="158" t="inlineStr">
        <is>
          <t>not on this certificate</t>
        </is>
      </c>
      <c r="H236" s="159" t="inlineStr">
        <is>
          <t>197-8-К-26, (07.08.2026) [FHM-K] · on file, not credited</t>
        </is>
      </c>
      <c r="I236" s="160" t="inlineStr">
        <is>
          <t>•</t>
        </is>
      </c>
      <c r="J236" s="151" t="n"/>
      <c r="K236" s="147" t="n"/>
      <c r="L236" s="147" t="n"/>
      <c r="M236" s="147" t="n"/>
      <c r="N236" s="147" t="n"/>
      <c r="O236" s="152" t="n"/>
      <c r="P236" s="151" t="n"/>
      <c r="Q236" s="147" t="n"/>
      <c r="R236" s="147" t="n"/>
      <c r="S236" s="152" t="n"/>
      <c r="T236" s="151" t="n"/>
      <c r="U236" s="147" t="n"/>
      <c r="V236" s="147" t="n"/>
      <c r="W236" s="147" t="n"/>
      <c r="X236" s="152" t="n"/>
      <c r="Y236" s="151" t="n"/>
      <c r="Z236" s="147" t="n"/>
      <c r="AA236" s="163" t="n"/>
    </row>
    <row r="237" ht="15.375" customHeight="1" s="70">
      <c r="A237" s="285" t="n"/>
      <c r="B237" s="286" t="n"/>
      <c r="C237" s="286" t="n"/>
      <c r="D237" s="166" t="n"/>
      <c r="E237" s="165" t="n"/>
      <c r="F237" s="167" t="n"/>
      <c r="G237" s="287" t="n"/>
      <c r="H237" s="286" t="n"/>
      <c r="I237" s="288" t="n"/>
      <c r="J237" s="166" t="n"/>
      <c r="K237" s="165" t="n"/>
      <c r="L237" s="165" t="n"/>
      <c r="M237" s="165" t="n"/>
      <c r="N237" s="165" t="n"/>
      <c r="O237" s="167" t="n"/>
      <c r="P237" s="166" t="n"/>
      <c r="Q237" s="165" t="n"/>
      <c r="R237" s="165" t="n"/>
      <c r="S237" s="167" t="n"/>
      <c r="T237" s="166" t="n"/>
      <c r="U237" s="165" t="n"/>
      <c r="V237" s="165" t="n"/>
      <c r="W237" s="165" t="n"/>
      <c r="X237" s="167" t="n"/>
      <c r="Y237" s="166" t="n"/>
      <c r="Z237" s="165" t="n"/>
      <c r="AA237" s="169" t="n"/>
    </row>
    <row r="238" ht="21" customHeight="1" s="70">
      <c r="A238" s="125" t="inlineStr">
        <is>
          <t>GG032601</t>
        </is>
      </c>
      <c r="B238" s="126" t="inlineStr">
        <is>
          <t>P060462</t>
        </is>
      </c>
      <c r="C238" s="177" t="inlineStr">
        <is>
          <t>✗ 4 NO RESULT
(4 no cert / 0 cert w/o result)</t>
        </is>
      </c>
      <c r="D238" s="180" t="inlineStr">
        <is>
          <t>Conforms (no value printed)</t>
        </is>
      </c>
      <c r="E238" s="181" t="inlineStr">
        <is>
          <t>ППК26128, (21.07.2026) [CNP]</t>
        </is>
      </c>
      <c r="F238" s="182" t="inlineStr">
        <is>
          <t>✓</t>
        </is>
      </c>
      <c r="G238" s="180" t="inlineStr">
        <is>
          <t>7.88</t>
        </is>
      </c>
      <c r="H238" s="181" t="inlineStr">
        <is>
          <t>ППК26128, (21.07.2026) [CNP]</t>
        </is>
      </c>
      <c r="I238" s="182" t="inlineStr">
        <is>
          <t>✓</t>
        </is>
      </c>
      <c r="J238" s="171" t="inlineStr">
        <is>
          <t>— MISSING —</t>
        </is>
      </c>
      <c r="K238" s="172" t="inlineStr">
        <is>
          <t>— MISSING —</t>
        </is>
      </c>
      <c r="L238" s="172" t="inlineStr">
        <is>
          <t>— MISSING —</t>
        </is>
      </c>
      <c r="M238" s="172" t="inlineStr">
        <is>
          <t>— MISSING —</t>
        </is>
      </c>
      <c r="N238" s="172" t="inlineStr">
        <is>
          <t>— MISSING —</t>
        </is>
      </c>
      <c r="O238" s="186" t="inlineStr">
        <is>
          <t>✗</t>
        </is>
      </c>
      <c r="P238" s="171" t="inlineStr">
        <is>
          <t>— MISSING —</t>
        </is>
      </c>
      <c r="Q238" s="172" t="inlineStr">
        <is>
          <t>— MISSING —</t>
        </is>
      </c>
      <c r="R238" s="172" t="inlineStr">
        <is>
          <t>— MISSING —</t>
        </is>
      </c>
      <c r="S238" s="186" t="inlineStr">
        <is>
          <t>✗</t>
        </is>
      </c>
      <c r="T238" s="171" t="inlineStr">
        <is>
          <t>— MISSING —</t>
        </is>
      </c>
      <c r="U238" s="172" t="inlineStr">
        <is>
          <t>— MISSING —</t>
        </is>
      </c>
      <c r="V238" s="172" t="inlineStr">
        <is>
          <t>— MISSING —</t>
        </is>
      </c>
      <c r="W238" s="172" t="inlineStr">
        <is>
          <t>— MISSING —</t>
        </is>
      </c>
      <c r="X238" s="186" t="inlineStr">
        <is>
          <t>✗</t>
        </is>
      </c>
      <c r="Y238" s="187" t="inlineStr">
        <is>
          <t>— MISSING —</t>
        </is>
      </c>
      <c r="Z238" s="188" t="inlineStr">
        <is>
          <t>— no certificate —</t>
        </is>
      </c>
      <c r="AA238" s="189" t="inlineStr">
        <is>
          <t>✗</t>
        </is>
      </c>
    </row>
    <row r="239" ht="21" customHeight="1" s="70">
      <c r="A239" s="285" t="n"/>
      <c r="B239" s="286" t="n"/>
      <c r="C239" s="286" t="n"/>
      <c r="D239" s="287" t="n"/>
      <c r="E239" s="286" t="n"/>
      <c r="F239" s="288" t="n"/>
      <c r="G239" s="287" t="n"/>
      <c r="H239" s="286" t="n"/>
      <c r="I239" s="288" t="n"/>
      <c r="J239" s="190" t="inlineStr">
        <is>
          <t>— no certificate —</t>
        </is>
      </c>
      <c r="K239" s="289" t="n"/>
      <c r="L239" s="289" t="n"/>
      <c r="M239" s="289" t="n"/>
      <c r="N239" s="290" t="n"/>
      <c r="O239" s="288" t="n"/>
      <c r="P239" s="190" t="inlineStr">
        <is>
          <t>— no certificate —</t>
        </is>
      </c>
      <c r="Q239" s="289" t="n"/>
      <c r="R239" s="290" t="n"/>
      <c r="S239" s="288" t="n"/>
      <c r="T239" s="190" t="inlineStr">
        <is>
          <t>— no certificate —</t>
        </is>
      </c>
      <c r="U239" s="289" t="n"/>
      <c r="V239" s="289" t="n"/>
      <c r="W239" s="290" t="n"/>
      <c r="X239" s="288" t="n"/>
      <c r="Y239" s="287" t="n"/>
      <c r="Z239" s="286" t="n"/>
      <c r="AA239" s="291" t="n"/>
    </row>
    <row r="240" ht="21" customHeight="1" s="70">
      <c r="A240" s="125" t="inlineStr">
        <is>
          <t>GG1024</t>
        </is>
      </c>
      <c r="B240" s="126" t="inlineStr">
        <is>
          <t>N/A — no P batch assigned</t>
        </is>
      </c>
      <c r="C240" s="177" t="inlineStr">
        <is>
          <t>✗ 4 NO RESULT
(4 no cert / 0 cert w/o result)
2 testing instances</t>
        </is>
      </c>
      <c r="D240" s="131" t="inlineStr">
        <is>
          <t>Conforms</t>
        </is>
      </c>
      <c r="E240" s="132">
        <f>IFERROR(INDEX('iCoA Register'!$B:$B,MATCH("GG1024|I",'iCoA Register'!$AA:$AA,0)),"iCoA — at issue")&amp;", (11.03.2025) [PP]"</f>
        <v/>
      </c>
      <c r="F240" s="133" t="inlineStr">
        <is>
          <t>✓</t>
        </is>
      </c>
      <c r="G240" s="171" t="inlineStr">
        <is>
          <t>— MISSING —</t>
        </is>
      </c>
      <c r="H240" s="174" t="inlineStr">
        <is>
          <t>— no certificate —</t>
        </is>
      </c>
      <c r="I240" s="173" t="inlineStr">
        <is>
          <t>✗</t>
        </is>
      </c>
      <c r="J240" s="171" t="inlineStr">
        <is>
          <t>— MISSING —</t>
        </is>
      </c>
      <c r="K240" s="172" t="inlineStr">
        <is>
          <t>— MISSING —</t>
        </is>
      </c>
      <c r="L240" s="172" t="inlineStr">
        <is>
          <t>— MISSING —</t>
        </is>
      </c>
      <c r="M240" s="172" t="inlineStr">
        <is>
          <t>— MISSING —</t>
        </is>
      </c>
      <c r="N240" s="172" t="inlineStr">
        <is>
          <t>— MISSING —</t>
        </is>
      </c>
      <c r="O240" s="173" t="inlineStr">
        <is>
          <t>✗</t>
        </is>
      </c>
      <c r="P240" s="131" t="inlineStr">
        <is>
          <t>ND</t>
        </is>
      </c>
      <c r="Q240" s="139" t="inlineStr">
        <is>
          <t>ND</t>
        </is>
      </c>
      <c r="R240" s="139" t="inlineStr">
        <is>
          <t>ND</t>
        </is>
      </c>
      <c r="S240" s="133" t="inlineStr">
        <is>
          <t>✓</t>
        </is>
      </c>
      <c r="T240" s="171" t="inlineStr">
        <is>
          <t>— MISSING —</t>
        </is>
      </c>
      <c r="U240" s="172" t="inlineStr">
        <is>
          <t>— MISSING —</t>
        </is>
      </c>
      <c r="V240" s="172" t="inlineStr">
        <is>
          <t>— MISSING —</t>
        </is>
      </c>
      <c r="W240" s="172" t="inlineStr">
        <is>
          <t>— MISSING —</t>
        </is>
      </c>
      <c r="X240" s="173" t="inlineStr">
        <is>
          <t>✗</t>
        </is>
      </c>
      <c r="Y240" s="171" t="inlineStr">
        <is>
          <t>— MISSING —</t>
        </is>
      </c>
      <c r="Z240" s="174" t="inlineStr">
        <is>
          <t>— no certificate —</t>
        </is>
      </c>
      <c r="AA240" s="175" t="inlineStr">
        <is>
          <t>✗</t>
        </is>
      </c>
    </row>
    <row r="241" ht="39" customHeight="1" s="70">
      <c r="A241" s="281" t="n"/>
      <c r="B241" s="279" t="n"/>
      <c r="C241" s="279" t="n"/>
      <c r="D241" s="282" t="n"/>
      <c r="E241" s="280" t="n"/>
      <c r="F241" s="283" t="n"/>
      <c r="G241" s="282" t="n"/>
      <c r="H241" s="280" t="n"/>
      <c r="I241" s="283" t="n"/>
      <c r="J241" s="176" t="inlineStr">
        <is>
          <t>— no certificate —</t>
        </is>
      </c>
      <c r="K241" s="120" t="n"/>
      <c r="L241" s="120" t="n"/>
      <c r="M241" s="120" t="n"/>
      <c r="N241" s="121" t="n"/>
      <c r="O241" s="283" t="n"/>
      <c r="P241" s="144" t="inlineStr">
        <is>
          <t>220-9-М-26, (11.09.2026) [FHM-M]</t>
        </is>
      </c>
      <c r="Q241" s="120" t="n"/>
      <c r="R241" s="121" t="n"/>
      <c r="S241" s="283" t="n"/>
      <c r="T241" s="176" t="inlineStr">
        <is>
          <t>— no certificate —</t>
        </is>
      </c>
      <c r="U241" s="120" t="n"/>
      <c r="V241" s="120" t="n"/>
      <c r="W241" s="121" t="n"/>
      <c r="X241" s="283" t="n"/>
      <c r="Y241" s="282" t="n"/>
      <c r="Z241" s="280" t="n"/>
      <c r="AA241" s="284" t="n"/>
    </row>
    <row r="242" ht="14" customHeight="1" s="70">
      <c r="A242" s="281" t="n"/>
      <c r="B242" s="279" t="n"/>
      <c r="C242" s="279" t="n"/>
      <c r="D242" s="153" t="inlineStr">
        <is>
          <t>Conforms</t>
        </is>
      </c>
      <c r="E242" s="154" t="inlineStr">
        <is>
          <t>iCoA — at issue (GG1024), (23.04.2025) [PP]</t>
        </is>
      </c>
      <c r="F242" s="155" t="inlineStr">
        <is>
          <t>✓</t>
        </is>
      </c>
      <c r="G242" s="151" t="n"/>
      <c r="H242" s="147" t="n"/>
      <c r="I242" s="152" t="n"/>
      <c r="J242" s="151" t="n"/>
      <c r="K242" s="147" t="n"/>
      <c r="L242" s="147" t="n"/>
      <c r="M242" s="147" t="n"/>
      <c r="N242" s="147" t="n"/>
      <c r="O242" s="152" t="n"/>
      <c r="P242" s="151" t="n"/>
      <c r="Q242" s="147" t="n"/>
      <c r="R242" s="147" t="n"/>
      <c r="S242" s="152" t="n"/>
      <c r="T242" s="151" t="n"/>
      <c r="U242" s="147" t="n"/>
      <c r="V242" s="147" t="n"/>
      <c r="W242" s="147" t="n"/>
      <c r="X242" s="152" t="n"/>
      <c r="Y242" s="151" t="n"/>
      <c r="Z242" s="147" t="n"/>
      <c r="AA242" s="163" t="n"/>
    </row>
    <row r="243" ht="13" customHeight="1" s="70">
      <c r="A243" s="285" t="n"/>
      <c r="B243" s="286" t="n"/>
      <c r="C243" s="286" t="n"/>
      <c r="D243" s="287" t="n"/>
      <c r="E243" s="286" t="n"/>
      <c r="F243" s="288" t="n"/>
      <c r="G243" s="166" t="n"/>
      <c r="H243" s="165" t="n"/>
      <c r="I243" s="167" t="n"/>
      <c r="J243" s="166" t="n"/>
      <c r="K243" s="165" t="n"/>
      <c r="L243" s="165" t="n"/>
      <c r="M243" s="165" t="n"/>
      <c r="N243" s="165" t="n"/>
      <c r="O243" s="167" t="n"/>
      <c r="P243" s="166" t="n"/>
      <c r="Q243" s="165" t="n"/>
      <c r="R243" s="165" t="n"/>
      <c r="S243" s="167" t="n"/>
      <c r="T243" s="166" t="n"/>
      <c r="U243" s="165" t="n"/>
      <c r="V243" s="165" t="n"/>
      <c r="W243" s="165" t="n"/>
      <c r="X243" s="167" t="n"/>
      <c r="Y243" s="166" t="n"/>
      <c r="Z243" s="165" t="n"/>
      <c r="AA243" s="169" t="n"/>
    </row>
    <row r="244" ht="21" customHeight="1" s="70">
      <c r="A244" s="125" t="inlineStr">
        <is>
          <t>GRC102501</t>
        </is>
      </c>
      <c r="B244" s="126" t="inlineStr">
        <is>
          <t>P060142 / P060182</t>
        </is>
      </c>
      <c r="C244" s="170" t="inlineStr">
        <is>
          <t>⚠ 2 NO RESULT
(2 no cert / 0 cert w/o result)
4 testing instances
• 2 document(s) on file, not credited</t>
        </is>
      </c>
      <c r="D244" s="131" t="inlineStr">
        <is>
          <t>Conforms</t>
        </is>
      </c>
      <c r="E244" s="132">
        <f>IFERROR(INDEX('iCoA Register'!$B:$B,MATCH("P060142|I",'iCoA Register'!$AA:$AA,0)),"iCoA — at issue")&amp;", (23.02.2026) [PP]"</f>
        <v/>
      </c>
      <c r="F244" s="133" t="inlineStr">
        <is>
          <t>✓</t>
        </is>
      </c>
      <c r="G244" s="131" t="inlineStr">
        <is>
          <t>7.7</t>
        </is>
      </c>
      <c r="H244" s="132" t="inlineStr">
        <is>
          <t>051-6-ГС-26, (02.03.2026) [FHM-K]</t>
        </is>
      </c>
      <c r="I244" s="133" t="inlineStr">
        <is>
          <t>✓</t>
        </is>
      </c>
      <c r="J244" s="131" t="inlineStr">
        <is>
          <t>10</t>
        </is>
      </c>
      <c r="K244" s="139" t="inlineStr">
        <is>
          <t>&lt; 10</t>
        </is>
      </c>
      <c r="L244" s="139" t="inlineStr">
        <is>
          <t>&lt; 10</t>
        </is>
      </c>
      <c r="M244" s="139" t="inlineStr">
        <is>
          <t>Absent</t>
        </is>
      </c>
      <c r="N244" s="139" t="inlineStr">
        <is>
          <t>Absent</t>
        </is>
      </c>
      <c r="O244" s="133" t="inlineStr">
        <is>
          <t>✓</t>
        </is>
      </c>
      <c r="P244" s="131" t="inlineStr">
        <is>
          <t>ND</t>
        </is>
      </c>
      <c r="Q244" s="139" t="inlineStr">
        <is>
          <t>ND</t>
        </is>
      </c>
      <c r="R244" s="139" t="inlineStr">
        <is>
          <t>ND</t>
        </is>
      </c>
      <c r="S244" s="133" t="inlineStr">
        <is>
          <t>✓</t>
        </is>
      </c>
      <c r="T244" s="171" t="inlineStr">
        <is>
          <t>— MISSING —</t>
        </is>
      </c>
      <c r="U244" s="172" t="inlineStr">
        <is>
          <t>— MISSING —</t>
        </is>
      </c>
      <c r="V244" s="172" t="inlineStr">
        <is>
          <t>— MISSING —</t>
        </is>
      </c>
      <c r="W244" s="172" t="inlineStr">
        <is>
          <t>— MISSING —</t>
        </is>
      </c>
      <c r="X244" s="173" t="inlineStr">
        <is>
          <t>✗</t>
        </is>
      </c>
      <c r="Y244" s="171" t="inlineStr">
        <is>
          <t>— MISSING —</t>
        </is>
      </c>
      <c r="Z244" s="174" t="inlineStr">
        <is>
          <t>— no certificate —</t>
        </is>
      </c>
      <c r="AA244" s="175" t="inlineStr">
        <is>
          <t>✗</t>
        </is>
      </c>
    </row>
    <row r="245" ht="21" customHeight="1" s="70">
      <c r="A245" s="281" t="n"/>
      <c r="B245" s="279" t="n"/>
      <c r="C245" s="279" t="n"/>
      <c r="D245" s="282" t="n"/>
      <c r="E245" s="280" t="n"/>
      <c r="F245" s="283" t="n"/>
      <c r="G245" s="282" t="n"/>
      <c r="H245" s="280" t="n"/>
      <c r="I245" s="283" t="n"/>
      <c r="J245" s="144" t="inlineStr">
        <is>
          <t>550-1081-26, (01.09.2026) [IJZ-MB]</t>
        </is>
      </c>
      <c r="K245" s="120" t="n"/>
      <c r="L245" s="120" t="n"/>
      <c r="M245" s="120" t="n"/>
      <c r="N245" s="121" t="n"/>
      <c r="O245" s="283" t="n"/>
      <c r="P245" s="144" t="inlineStr">
        <is>
          <t>220-14-М-26, (11.09.2026) [FHM-M]</t>
        </is>
      </c>
      <c r="Q245" s="120" t="n"/>
      <c r="R245" s="121" t="n"/>
      <c r="S245" s="283" t="n"/>
      <c r="T245" s="176" t="inlineStr">
        <is>
          <t>— no certificate —</t>
        </is>
      </c>
      <c r="U245" s="120" t="n"/>
      <c r="V245" s="120" t="n"/>
      <c r="W245" s="121" t="n"/>
      <c r="X245" s="283" t="n"/>
      <c r="Y245" s="282" t="n"/>
      <c r="Z245" s="280" t="n"/>
      <c r="AA245" s="284" t="n"/>
    </row>
    <row r="246" ht="17.625" customHeight="1" s="70">
      <c r="A246" s="281" t="n"/>
      <c r="B246" s="279" t="n"/>
      <c r="C246" s="279" t="n"/>
      <c r="D246" s="161" t="inlineStr">
        <is>
          <t>Conforms</t>
        </is>
      </c>
      <c r="E246" s="196">
        <f>IFERROR(INDEX('iCoA Register'!$B:$B,MATCH("P060182|I",'iCoA Register'!$AA:$AA,0)),"iCoA — at issue")&amp;", (14.03.2026) [PP]"</f>
        <v/>
      </c>
      <c r="F246" s="197" t="inlineStr">
        <is>
          <t>✓</t>
        </is>
      </c>
      <c r="G246" s="200" t="inlineStr">
        <is>
          <t>not on this certificate</t>
        </is>
      </c>
      <c r="H246" s="201" t="inlineStr">
        <is>
          <t>051-6-К-26, (04.03.2026) [FHM-K] · on file, not credited</t>
        </is>
      </c>
      <c r="I246" s="202" t="inlineStr">
        <is>
          <t>•</t>
        </is>
      </c>
      <c r="J246" s="151" t="n"/>
      <c r="K246" s="147" t="n"/>
      <c r="L246" s="147" t="n"/>
      <c r="M246" s="147" t="n"/>
      <c r="N246" s="147" t="n"/>
      <c r="O246" s="152" t="n"/>
      <c r="P246" s="151" t="n"/>
      <c r="Q246" s="147" t="n"/>
      <c r="R246" s="147" t="n"/>
      <c r="S246" s="152" t="n"/>
      <c r="T246" s="151" t="n"/>
      <c r="U246" s="147" t="n"/>
      <c r="V246" s="147" t="n"/>
      <c r="W246" s="147" t="n"/>
      <c r="X246" s="152" t="n"/>
      <c r="Y246" s="151" t="n"/>
      <c r="Z246" s="147" t="n"/>
      <c r="AA246" s="163" t="n"/>
    </row>
    <row r="247" ht="15.375" customHeight="1" s="70">
      <c r="A247" s="281" t="n"/>
      <c r="B247" s="279" t="n"/>
      <c r="C247" s="279" t="n"/>
      <c r="D247" s="282" t="n"/>
      <c r="E247" s="280" t="n"/>
      <c r="F247" s="283" t="n"/>
      <c r="G247" s="282" t="n"/>
      <c r="H247" s="280" t="n"/>
      <c r="I247" s="283" t="n"/>
      <c r="J247" s="205" t="n"/>
      <c r="K247" s="204" t="n"/>
      <c r="L247" s="204" t="n"/>
      <c r="M247" s="204" t="n"/>
      <c r="N247" s="204" t="n"/>
      <c r="O247" s="206" t="n"/>
      <c r="P247" s="205" t="n"/>
      <c r="Q247" s="204" t="n"/>
      <c r="R247" s="204" t="n"/>
      <c r="S247" s="206" t="n"/>
      <c r="T247" s="205" t="n"/>
      <c r="U247" s="204" t="n"/>
      <c r="V247" s="204" t="n"/>
      <c r="W247" s="204" t="n"/>
      <c r="X247" s="206" t="n"/>
      <c r="Y247" s="205" t="n"/>
      <c r="Z247" s="204" t="n"/>
      <c r="AA247" s="207" t="n"/>
    </row>
    <row r="248" ht="17.625" customHeight="1" s="70">
      <c r="A248" s="281" t="n"/>
      <c r="B248" s="279" t="n"/>
      <c r="C248" s="279" t="n"/>
      <c r="D248" s="151" t="n"/>
      <c r="E248" s="147" t="n"/>
      <c r="F248" s="152" t="n"/>
      <c r="G248" s="151" t="n"/>
      <c r="H248" s="147" t="n"/>
      <c r="I248" s="152" t="n"/>
      <c r="J248" s="151" t="n"/>
      <c r="K248" s="147" t="n"/>
      <c r="L248" s="147" t="n"/>
      <c r="M248" s="147" t="n"/>
      <c r="N248" s="147" t="n"/>
      <c r="O248" s="152" t="n"/>
      <c r="P248" s="151" t="n"/>
      <c r="Q248" s="147" t="n"/>
      <c r="R248" s="147" t="n"/>
      <c r="S248" s="152" t="n"/>
      <c r="T248" s="151" t="n"/>
      <c r="U248" s="147" t="n"/>
      <c r="V248" s="147" t="n"/>
      <c r="W248" s="147" t="n"/>
      <c r="X248" s="152" t="n"/>
      <c r="Y248" s="151" t="n"/>
      <c r="Z248" s="147" t="n"/>
      <c r="AA248" s="163" t="n"/>
    </row>
    <row r="249" ht="13" customHeight="1" s="70">
      <c r="A249" s="281" t="n"/>
      <c r="B249" s="279" t="n"/>
      <c r="C249" s="279" t="n"/>
      <c r="D249" s="205" t="n"/>
      <c r="E249" s="204" t="n"/>
      <c r="F249" s="206" t="n"/>
      <c r="G249" s="205" t="n"/>
      <c r="H249" s="204" t="n"/>
      <c r="I249" s="206" t="n"/>
      <c r="J249" s="205" t="n"/>
      <c r="K249" s="204" t="n"/>
      <c r="L249" s="204" t="n"/>
      <c r="M249" s="204" t="n"/>
      <c r="N249" s="204" t="n"/>
      <c r="O249" s="206" t="n"/>
      <c r="P249" s="205" t="n"/>
      <c r="Q249" s="204" t="n"/>
      <c r="R249" s="204" t="n"/>
      <c r="S249" s="206" t="n"/>
      <c r="T249" s="205" t="n"/>
      <c r="U249" s="204" t="n"/>
      <c r="V249" s="204" t="n"/>
      <c r="W249" s="204" t="n"/>
      <c r="X249" s="206" t="n"/>
      <c r="Y249" s="205" t="n"/>
      <c r="Z249" s="204" t="n"/>
      <c r="AA249" s="207" t="n"/>
    </row>
    <row r="250" ht="17.625" customHeight="1" s="70">
      <c r="A250" s="281" t="n"/>
      <c r="B250" s="279" t="n"/>
      <c r="C250" s="279" t="n"/>
      <c r="D250" s="151" t="n"/>
      <c r="E250" s="147" t="n"/>
      <c r="F250" s="152" t="n"/>
      <c r="G250" s="151" t="n"/>
      <c r="H250" s="147" t="n"/>
      <c r="I250" s="152" t="n"/>
      <c r="J250" s="151" t="n"/>
      <c r="K250" s="147" t="n"/>
      <c r="L250" s="147" t="n"/>
      <c r="M250" s="147" t="n"/>
      <c r="N250" s="147" t="n"/>
      <c r="O250" s="152" t="n"/>
      <c r="P250" s="151" t="n"/>
      <c r="Q250" s="147" t="n"/>
      <c r="R250" s="147" t="n"/>
      <c r="S250" s="152" t="n"/>
      <c r="T250" s="151" t="n"/>
      <c r="U250" s="147" t="n"/>
      <c r="V250" s="147" t="n"/>
      <c r="W250" s="147" t="n"/>
      <c r="X250" s="152" t="n"/>
      <c r="Y250" s="151" t="n"/>
      <c r="Z250" s="147" t="n"/>
      <c r="AA250" s="163" t="n"/>
    </row>
    <row r="251" ht="13" customHeight="1" s="70">
      <c r="A251" s="285" t="n"/>
      <c r="B251" s="286" t="n"/>
      <c r="C251" s="286" t="n"/>
      <c r="D251" s="166" t="n"/>
      <c r="E251" s="165" t="n"/>
      <c r="F251" s="167" t="n"/>
      <c r="G251" s="166" t="n"/>
      <c r="H251" s="165" t="n"/>
      <c r="I251" s="167" t="n"/>
      <c r="J251" s="166" t="n"/>
      <c r="K251" s="165" t="n"/>
      <c r="L251" s="165" t="n"/>
      <c r="M251" s="165" t="n"/>
      <c r="N251" s="165" t="n"/>
      <c r="O251" s="167" t="n"/>
      <c r="P251" s="166" t="n"/>
      <c r="Q251" s="165" t="n"/>
      <c r="R251" s="165" t="n"/>
      <c r="S251" s="167" t="n"/>
      <c r="T251" s="166" t="n"/>
      <c r="U251" s="165" t="n"/>
      <c r="V251" s="165" t="n"/>
      <c r="W251" s="165" t="n"/>
      <c r="X251" s="167" t="n"/>
      <c r="Y251" s="166" t="n"/>
      <c r="Z251" s="165" t="n"/>
      <c r="AA251" s="169" t="n"/>
    </row>
    <row r="252" ht="21" customHeight="1" s="70">
      <c r="A252" s="125" t="inlineStr">
        <is>
          <t>HPA1024</t>
        </is>
      </c>
      <c r="B252" s="126" t="inlineStr">
        <is>
          <t>N/A — no P batch assigned</t>
        </is>
      </c>
      <c r="C252" s="177" t="inlineStr">
        <is>
          <t>✗ 4 NO RESULT
(4 no cert / 0 cert w/o result)
2 testing instances
• 2 document(s) on file, not credited</t>
        </is>
      </c>
      <c r="D252" s="131" t="inlineStr">
        <is>
          <t>Conforms</t>
        </is>
      </c>
      <c r="E252" s="132">
        <f>IFERROR(INDEX('iCoA Register'!$B:$B,MATCH("HPA1024|I",'iCoA Register'!$AA:$AA,0)),"iCoA — at issue")&amp;", (11.04.2025) [PP]"</f>
        <v/>
      </c>
      <c r="F252" s="133" t="inlineStr">
        <is>
          <t>✓</t>
        </is>
      </c>
      <c r="G252" s="134" t="inlineStr">
        <is>
          <t>not on this certificate</t>
        </is>
      </c>
      <c r="H252" s="135" t="inlineStr">
        <is>
          <t>197-13-К-26, (07.08.2026) [FHM-K] · on file, not credited</t>
        </is>
      </c>
      <c r="I252" s="136" t="inlineStr">
        <is>
          <t>•</t>
        </is>
      </c>
      <c r="J252" s="134" t="inlineStr">
        <is>
          <t>5.2 × 10⁴ ᴿ</t>
        </is>
      </c>
      <c r="K252" s="208" t="inlineStr">
        <is>
          <t>7 × 10² ᴿ</t>
        </is>
      </c>
      <c r="L252" s="208" t="inlineStr">
        <is>
          <t>&lt; 10 ᴿ</t>
        </is>
      </c>
      <c r="M252" s="208" t="inlineStr">
        <is>
          <t>Absent ᴿ</t>
        </is>
      </c>
      <c r="N252" s="208" t="inlineStr">
        <is>
          <t>Absent ᴿ</t>
        </is>
      </c>
      <c r="O252" s="136" t="inlineStr">
        <is>
          <t>•</t>
        </is>
      </c>
      <c r="P252" s="134" t="inlineStr">
        <is>
          <t>not reported</t>
        </is>
      </c>
      <c r="Q252" s="208" t="inlineStr">
        <is>
          <t>&lt; 2 ᴿ</t>
        </is>
      </c>
      <c r="R252" s="208" t="inlineStr">
        <is>
          <t>not reported</t>
        </is>
      </c>
      <c r="S252" s="136" t="inlineStr">
        <is>
          <t>•</t>
        </is>
      </c>
      <c r="T252" s="134" t="inlineStr">
        <is>
          <t>0.02 ᴿ</t>
        </is>
      </c>
      <c r="U252" s="208" t="inlineStr">
        <is>
          <t>0.013 ᴿ</t>
        </is>
      </c>
      <c r="V252" s="208" t="inlineStr">
        <is>
          <t>0.017 ᴿ</t>
        </is>
      </c>
      <c r="W252" s="208" t="inlineStr">
        <is>
          <t>0.0026 ᴿ</t>
        </is>
      </c>
      <c r="X252" s="136" t="inlineStr">
        <is>
          <t>•</t>
        </is>
      </c>
      <c r="Y252" s="134" t="inlineStr">
        <is>
          <t>ND ᴿ</t>
        </is>
      </c>
      <c r="Z252" s="135">
        <f>IFERROR(INDEX('iCoA Register'!$B:$B,MATCH("HPA1024|I",'iCoA Register'!$AA:$AA,0)),"iCoA — at issue")&amp;", (11.04.2025) [PP] · on file, not credited"</f>
        <v/>
      </c>
      <c r="AA252" s="209" t="inlineStr">
        <is>
          <t>•</t>
        </is>
      </c>
    </row>
    <row r="253" ht="39" customHeight="1" s="70">
      <c r="A253" s="281" t="n"/>
      <c r="B253" s="279" t="n"/>
      <c r="C253" s="279" t="n"/>
      <c r="D253" s="282" t="n"/>
      <c r="E253" s="280" t="n"/>
      <c r="F253" s="283" t="n"/>
      <c r="G253" s="282" t="n"/>
      <c r="H253" s="280" t="n"/>
      <c r="I253" s="283" t="n"/>
      <c r="J253" s="210">
        <f>IFERROR(INDEX('iCoA Register'!$B:$B,MATCH("HPA1024|I",'iCoA Register'!$AA:$AA,0)),"iCoA — at issue")&amp;", (11.04.2025) [PP] · on file, not credited"</f>
        <v/>
      </c>
      <c r="K253" s="120" t="n"/>
      <c r="L253" s="120" t="n"/>
      <c r="M253" s="120" t="n"/>
      <c r="N253" s="121" t="n"/>
      <c r="O253" s="283" t="n"/>
      <c r="P253" s="210">
        <f>IFERROR(INDEX('iCoA Register'!$B:$B,MATCH("HPA1024|I",'iCoA Register'!$AA:$AA,0)),"iCoA — at issue")&amp;", (11.04.2025) [PP] · on file, not credited"</f>
        <v/>
      </c>
      <c r="Q253" s="120" t="n"/>
      <c r="R253" s="121" t="n"/>
      <c r="S253" s="283" t="n"/>
      <c r="T253" s="210">
        <f>IFERROR(INDEX('iCoA Register'!$B:$B,MATCH("HPA1024|I",'iCoA Register'!$AA:$AA,0)),"iCoA — at issue")&amp;", (11.04.2025) [PP] · on file, not credited"</f>
        <v/>
      </c>
      <c r="U253" s="120" t="n"/>
      <c r="V253" s="120" t="n"/>
      <c r="W253" s="121" t="n"/>
      <c r="X253" s="283" t="n"/>
      <c r="Y253" s="282" t="n"/>
      <c r="Z253" s="280" t="n"/>
      <c r="AA253" s="284" t="n"/>
    </row>
    <row r="254" ht="17.625" customHeight="1" s="70">
      <c r="A254" s="281" t="n"/>
      <c r="B254" s="279" t="n"/>
      <c r="C254" s="279" t="n"/>
      <c r="D254" s="153" t="inlineStr">
        <is>
          <t>Conforms</t>
        </is>
      </c>
      <c r="E254" s="154" t="inlineStr">
        <is>
          <t>iCoA — at issue (HPA1024), (23.04.2025) [PP]</t>
        </is>
      </c>
      <c r="F254" s="155" t="inlineStr">
        <is>
          <t>✓</t>
        </is>
      </c>
      <c r="G254" s="151" t="n"/>
      <c r="H254" s="147" t="n"/>
      <c r="I254" s="152" t="n"/>
      <c r="J254" s="151" t="n"/>
      <c r="K254" s="147" t="n"/>
      <c r="L254" s="147" t="n"/>
      <c r="M254" s="147" t="n"/>
      <c r="N254" s="147" t="n"/>
      <c r="O254" s="152" t="n"/>
      <c r="P254" s="161" t="inlineStr">
        <is>
          <t>ND</t>
        </is>
      </c>
      <c r="Q254" s="162" t="inlineStr">
        <is>
          <t>ND</t>
        </is>
      </c>
      <c r="R254" s="162" t="inlineStr">
        <is>
          <t>&lt; LOQ</t>
        </is>
      </c>
      <c r="S254" s="155" t="inlineStr">
        <is>
          <t>✓</t>
        </is>
      </c>
      <c r="T254" s="151" t="n"/>
      <c r="U254" s="147" t="n"/>
      <c r="V254" s="147" t="n"/>
      <c r="W254" s="147" t="n"/>
      <c r="X254" s="152" t="n"/>
      <c r="Y254" s="151" t="n"/>
      <c r="Z254" s="147" t="n"/>
      <c r="AA254" s="163" t="n"/>
    </row>
    <row r="255" ht="13" customHeight="1" s="70">
      <c r="A255" s="285" t="n"/>
      <c r="B255" s="286" t="n"/>
      <c r="C255" s="286" t="n"/>
      <c r="D255" s="287" t="n"/>
      <c r="E255" s="286" t="n"/>
      <c r="F255" s="288" t="n"/>
      <c r="G255" s="166" t="n"/>
      <c r="H255" s="165" t="n"/>
      <c r="I255" s="167" t="n"/>
      <c r="J255" s="166" t="n"/>
      <c r="K255" s="165" t="n"/>
      <c r="L255" s="165" t="n"/>
      <c r="M255" s="165" t="n"/>
      <c r="N255" s="165" t="n"/>
      <c r="O255" s="167" t="n"/>
      <c r="P255" s="168" t="inlineStr">
        <is>
          <t>197-13-М-26, (10.08.2026) [FHM-M]</t>
        </is>
      </c>
      <c r="Q255" s="289" t="n"/>
      <c r="R255" s="290" t="n"/>
      <c r="S255" s="288" t="n"/>
      <c r="T255" s="166" t="n"/>
      <c r="U255" s="165" t="n"/>
      <c r="V255" s="165" t="n"/>
      <c r="W255" s="165" t="n"/>
      <c r="X255" s="167" t="n"/>
      <c r="Y255" s="166" t="n"/>
      <c r="Z255" s="165" t="n"/>
      <c r="AA255" s="169" t="n"/>
    </row>
    <row r="256" ht="21" customHeight="1" s="70">
      <c r="A256" s="125" t="inlineStr">
        <is>
          <t>J31102501</t>
        </is>
      </c>
      <c r="B256" s="126" t="inlineStr">
        <is>
          <t>P060152</t>
        </is>
      </c>
      <c r="C256" s="170" t="inlineStr">
        <is>
          <t>⚠ 3 NO RESULT
(3 no cert / 0 cert w/o result)
3 testing instances
• 3 document(s) on file, not credited</t>
        </is>
      </c>
      <c r="D256" s="131" t="inlineStr">
        <is>
          <t>Conforms</t>
        </is>
      </c>
      <c r="E256" s="132">
        <f>IFERROR(INDEX('iCoA Register'!$B:$B,MATCH("P060152|I",'iCoA Register'!$AA:$AA,0)),"iCoA — at issue")&amp;", (05.03.2026) [PP]"</f>
        <v/>
      </c>
      <c r="F256" s="133" t="inlineStr">
        <is>
          <t>✓</t>
        </is>
      </c>
      <c r="G256" s="131" t="inlineStr">
        <is>
          <t>6.3</t>
        </is>
      </c>
      <c r="H256" s="132" t="inlineStr">
        <is>
          <t>051-1-ГС-26, (02.03.2026) [FHM-K]</t>
        </is>
      </c>
      <c r="I256" s="133" t="inlineStr">
        <is>
          <t>✓</t>
        </is>
      </c>
      <c r="J256" s="171" t="inlineStr">
        <is>
          <t>— MISSING —</t>
        </is>
      </c>
      <c r="K256" s="172" t="inlineStr">
        <is>
          <t>— MISSING —</t>
        </is>
      </c>
      <c r="L256" s="172" t="inlineStr">
        <is>
          <t>— MISSING —</t>
        </is>
      </c>
      <c r="M256" s="172" t="inlineStr">
        <is>
          <t>— MISSING —</t>
        </is>
      </c>
      <c r="N256" s="172" t="inlineStr">
        <is>
          <t>— MISSING —</t>
        </is>
      </c>
      <c r="O256" s="173" t="inlineStr">
        <is>
          <t>✗</t>
        </is>
      </c>
      <c r="P256" s="131" t="inlineStr">
        <is>
          <t>ND</t>
        </is>
      </c>
      <c r="Q256" s="139" t="inlineStr">
        <is>
          <t>ND</t>
        </is>
      </c>
      <c r="R256" s="139" t="inlineStr">
        <is>
          <t>ND</t>
        </is>
      </c>
      <c r="S256" s="133" t="inlineStr">
        <is>
          <t>✓</t>
        </is>
      </c>
      <c r="T256" s="171" t="inlineStr">
        <is>
          <t>— MISSING —</t>
        </is>
      </c>
      <c r="U256" s="172" t="inlineStr">
        <is>
          <t>— MISSING —</t>
        </is>
      </c>
      <c r="V256" s="172" t="inlineStr">
        <is>
          <t>— MISSING —</t>
        </is>
      </c>
      <c r="W256" s="172" t="inlineStr">
        <is>
          <t>— MISSING —</t>
        </is>
      </c>
      <c r="X256" s="173" t="inlineStr">
        <is>
          <t>✗</t>
        </is>
      </c>
      <c r="Y256" s="171" t="inlineStr">
        <is>
          <t>— MISSING —</t>
        </is>
      </c>
      <c r="Z256" s="174" t="inlineStr">
        <is>
          <t>— no certificate —</t>
        </is>
      </c>
      <c r="AA256" s="175" t="inlineStr">
        <is>
          <t>✗</t>
        </is>
      </c>
    </row>
    <row r="257" ht="39" customHeight="1" s="70">
      <c r="A257" s="281" t="n"/>
      <c r="B257" s="279" t="n"/>
      <c r="C257" s="279" t="n"/>
      <c r="D257" s="282" t="n"/>
      <c r="E257" s="280" t="n"/>
      <c r="F257" s="283" t="n"/>
      <c r="G257" s="282" t="n"/>
      <c r="H257" s="280" t="n"/>
      <c r="I257" s="283" t="n"/>
      <c r="J257" s="176" t="inlineStr">
        <is>
          <t>— no certificate —</t>
        </is>
      </c>
      <c r="K257" s="120" t="n"/>
      <c r="L257" s="120" t="n"/>
      <c r="M257" s="120" t="n"/>
      <c r="N257" s="121" t="n"/>
      <c r="O257" s="283" t="n"/>
      <c r="P257" s="144" t="inlineStr">
        <is>
          <t>197-16-М-26, (10.08.2026) [FHM-M]</t>
        </is>
      </c>
      <c r="Q257" s="120" t="n"/>
      <c r="R257" s="121" t="n"/>
      <c r="S257" s="283" t="n"/>
      <c r="T257" s="176" t="inlineStr">
        <is>
          <t>— no certificate —</t>
        </is>
      </c>
      <c r="U257" s="120" t="n"/>
      <c r="V257" s="120" t="n"/>
      <c r="W257" s="121" t="n"/>
      <c r="X257" s="283" t="n"/>
      <c r="Y257" s="282" t="n"/>
      <c r="Z257" s="280" t="n"/>
      <c r="AA257" s="284" t="n"/>
    </row>
    <row r="258" ht="17.625" customHeight="1" s="70">
      <c r="A258" s="281" t="n"/>
      <c r="B258" s="279" t="n"/>
      <c r="C258" s="279" t="n"/>
      <c r="D258" s="151" t="n"/>
      <c r="E258" s="147" t="n"/>
      <c r="F258" s="152" t="n"/>
      <c r="G258" s="200" t="inlineStr">
        <is>
          <t>not on this certificate</t>
        </is>
      </c>
      <c r="H258" s="201" t="inlineStr">
        <is>
          <t>051-1-К-26, (04.03.2026) [FHM-K] · on file, not credited</t>
        </is>
      </c>
      <c r="I258" s="202" t="inlineStr">
        <is>
          <t>•</t>
        </is>
      </c>
      <c r="J258" s="151" t="n"/>
      <c r="K258" s="147" t="n"/>
      <c r="L258" s="147" t="n"/>
      <c r="M258" s="147" t="n"/>
      <c r="N258" s="147" t="n"/>
      <c r="O258" s="152" t="n"/>
      <c r="P258" s="151" t="n"/>
      <c r="Q258" s="147" t="n"/>
      <c r="R258" s="147" t="n"/>
      <c r="S258" s="152" t="n"/>
      <c r="T258" s="151" t="n"/>
      <c r="U258" s="147" t="n"/>
      <c r="V258" s="147" t="n"/>
      <c r="W258" s="147" t="n"/>
      <c r="X258" s="152" t="n"/>
      <c r="Y258" s="151" t="n"/>
      <c r="Z258" s="147" t="n"/>
      <c r="AA258" s="163" t="n"/>
    </row>
    <row r="259" ht="21" customHeight="1" s="70">
      <c r="A259" s="281" t="n"/>
      <c r="B259" s="279" t="n"/>
      <c r="C259" s="279" t="n"/>
      <c r="D259" s="205" t="n"/>
      <c r="E259" s="204" t="n"/>
      <c r="F259" s="206" t="n"/>
      <c r="G259" s="282" t="n"/>
      <c r="H259" s="280" t="n"/>
      <c r="I259" s="283" t="n"/>
      <c r="J259" s="205" t="n"/>
      <c r="K259" s="204" t="n"/>
      <c r="L259" s="204" t="n"/>
      <c r="M259" s="204" t="n"/>
      <c r="N259" s="204" t="n"/>
      <c r="O259" s="206" t="n"/>
      <c r="P259" s="205" t="n"/>
      <c r="Q259" s="204" t="n"/>
      <c r="R259" s="204" t="n"/>
      <c r="S259" s="206" t="n"/>
      <c r="T259" s="205" t="n"/>
      <c r="U259" s="204" t="n"/>
      <c r="V259" s="204" t="n"/>
      <c r="W259" s="204" t="n"/>
      <c r="X259" s="206" t="n"/>
      <c r="Y259" s="205" t="n"/>
      <c r="Z259" s="204" t="n"/>
      <c r="AA259" s="207" t="n"/>
    </row>
    <row r="260" ht="17.625" customHeight="1" s="70">
      <c r="A260" s="281" t="n"/>
      <c r="B260" s="279" t="n"/>
      <c r="C260" s="279" t="n"/>
      <c r="D260" s="151" t="n"/>
      <c r="E260" s="147" t="n"/>
      <c r="F260" s="152" t="n"/>
      <c r="G260" s="158" t="inlineStr">
        <is>
          <t>not on this certificate</t>
        </is>
      </c>
      <c r="H260" s="159" t="inlineStr">
        <is>
          <t>197-16-К-26, (07.08.2026) [FHM-K] · on file, not credited</t>
        </is>
      </c>
      <c r="I260" s="160" t="inlineStr">
        <is>
          <t>•</t>
        </is>
      </c>
      <c r="J260" s="151" t="n"/>
      <c r="K260" s="147" t="n"/>
      <c r="L260" s="147" t="n"/>
      <c r="M260" s="147" t="n"/>
      <c r="N260" s="147" t="n"/>
      <c r="O260" s="152" t="n"/>
      <c r="P260" s="151" t="n"/>
      <c r="Q260" s="147" t="n"/>
      <c r="R260" s="147" t="n"/>
      <c r="S260" s="152" t="n"/>
      <c r="T260" s="151" t="n"/>
      <c r="U260" s="147" t="n"/>
      <c r="V260" s="147" t="n"/>
      <c r="W260" s="147" t="n"/>
      <c r="X260" s="152" t="n"/>
      <c r="Y260" s="151" t="n"/>
      <c r="Z260" s="147" t="n"/>
      <c r="AA260" s="163" t="n"/>
    </row>
    <row r="261" ht="15.375" customHeight="1" s="70">
      <c r="A261" s="285" t="n"/>
      <c r="B261" s="286" t="n"/>
      <c r="C261" s="286" t="n"/>
      <c r="D261" s="166" t="n"/>
      <c r="E261" s="165" t="n"/>
      <c r="F261" s="167" t="n"/>
      <c r="G261" s="287" t="n"/>
      <c r="H261" s="286" t="n"/>
      <c r="I261" s="288" t="n"/>
      <c r="J261" s="166" t="n"/>
      <c r="K261" s="165" t="n"/>
      <c r="L261" s="165" t="n"/>
      <c r="M261" s="165" t="n"/>
      <c r="N261" s="165" t="n"/>
      <c r="O261" s="167" t="n"/>
      <c r="P261" s="166" t="n"/>
      <c r="Q261" s="165" t="n"/>
      <c r="R261" s="165" t="n"/>
      <c r="S261" s="167" t="n"/>
      <c r="T261" s="166" t="n"/>
      <c r="U261" s="165" t="n"/>
      <c r="V261" s="165" t="n"/>
      <c r="W261" s="165" t="n"/>
      <c r="X261" s="167" t="n"/>
      <c r="Y261" s="166" t="n"/>
      <c r="Z261" s="165" t="n"/>
      <c r="AA261" s="169" t="n"/>
    </row>
    <row r="262" ht="21" customHeight="1" s="70">
      <c r="A262" s="125" t="inlineStr">
        <is>
          <t>J31112501</t>
        </is>
      </c>
      <c r="B262" s="126" t="inlineStr">
        <is>
          <t>P060202</t>
        </is>
      </c>
      <c r="C262" s="170" t="inlineStr">
        <is>
          <t>⚠ 3 NO RESULT
(3 no cert / 0 cert w/o result)
7 testing instances
• 6 document(s) on file, not credited</t>
        </is>
      </c>
      <c r="D262" s="131" t="inlineStr">
        <is>
          <t>Conforms</t>
        </is>
      </c>
      <c r="E262" s="132">
        <f>IFERROR(INDEX('iCoA Register'!$B:$B,MATCH("P060202|I",'iCoA Register'!$AA:$AA,0)),"iCoA — at issue")&amp;", (17.04.2026) [PP]"</f>
        <v/>
      </c>
      <c r="F262" s="133" t="inlineStr">
        <is>
          <t>✓</t>
        </is>
      </c>
      <c r="G262" s="131" t="inlineStr">
        <is>
          <t>8.4</t>
        </is>
      </c>
      <c r="H262" s="132" t="inlineStr">
        <is>
          <t>051-5-ГС-26, (02.03.2026) [FHM-K]</t>
        </is>
      </c>
      <c r="I262" s="133" t="inlineStr">
        <is>
          <t>✓</t>
        </is>
      </c>
      <c r="J262" s="131" t="inlineStr">
        <is>
          <t>4.4 × 10²</t>
        </is>
      </c>
      <c r="K262" s="139" t="inlineStr">
        <is>
          <t>8.6 × 10²</t>
        </is>
      </c>
      <c r="L262" s="139" t="inlineStr">
        <is>
          <t>&lt; 10² and &gt; 10</t>
        </is>
      </c>
      <c r="M262" s="139" t="inlineStr">
        <is>
          <t>Absent</t>
        </is>
      </c>
      <c r="N262" s="139" t="inlineStr">
        <is>
          <t>Absent</t>
        </is>
      </c>
      <c r="O262" s="133" t="inlineStr">
        <is>
          <t>✓</t>
        </is>
      </c>
      <c r="P262" s="171" t="inlineStr">
        <is>
          <t>— MISSING —</t>
        </is>
      </c>
      <c r="Q262" s="172" t="inlineStr">
        <is>
          <t>— MISSING —</t>
        </is>
      </c>
      <c r="R262" s="172" t="inlineStr">
        <is>
          <t>— MISSING —</t>
        </is>
      </c>
      <c r="S262" s="173" t="inlineStr">
        <is>
          <t>✗</t>
        </is>
      </c>
      <c r="T262" s="171" t="inlineStr">
        <is>
          <t>— MISSING —</t>
        </is>
      </c>
      <c r="U262" s="172" t="inlineStr">
        <is>
          <t>— MISSING —</t>
        </is>
      </c>
      <c r="V262" s="172" t="inlineStr">
        <is>
          <t>— MISSING —</t>
        </is>
      </c>
      <c r="W262" s="172" t="inlineStr">
        <is>
          <t>— MISSING —</t>
        </is>
      </c>
      <c r="X262" s="173" t="inlineStr">
        <is>
          <t>✗</t>
        </is>
      </c>
      <c r="Y262" s="171" t="inlineStr">
        <is>
          <t>— MISSING —</t>
        </is>
      </c>
      <c r="Z262" s="174" t="inlineStr">
        <is>
          <t>— no certificate —</t>
        </is>
      </c>
      <c r="AA262" s="175" t="inlineStr">
        <is>
          <t>✗</t>
        </is>
      </c>
    </row>
    <row r="263" ht="39" customHeight="1" s="70">
      <c r="A263" s="281" t="n"/>
      <c r="B263" s="279" t="n"/>
      <c r="C263" s="279" t="n"/>
      <c r="D263" s="282" t="n"/>
      <c r="E263" s="280" t="n"/>
      <c r="F263" s="283" t="n"/>
      <c r="G263" s="282" t="n"/>
      <c r="H263" s="280" t="n"/>
      <c r="I263" s="283" t="n"/>
      <c r="J263" s="144" t="inlineStr">
        <is>
          <t>547-1078-26, (31.08.2026) [IJZ-MB]</t>
        </is>
      </c>
      <c r="K263" s="120" t="n"/>
      <c r="L263" s="120" t="n"/>
      <c r="M263" s="120" t="n"/>
      <c r="N263" s="121" t="n"/>
      <c r="O263" s="283" t="n"/>
      <c r="P263" s="176" t="inlineStr">
        <is>
          <t>— no certificate —</t>
        </is>
      </c>
      <c r="Q263" s="120" t="n"/>
      <c r="R263" s="121" t="n"/>
      <c r="S263" s="283" t="n"/>
      <c r="T263" s="176" t="inlineStr">
        <is>
          <t>— no certificate —</t>
        </is>
      </c>
      <c r="U263" s="120" t="n"/>
      <c r="V263" s="120" t="n"/>
      <c r="W263" s="121" t="n"/>
      <c r="X263" s="283" t="n"/>
      <c r="Y263" s="282" t="n"/>
      <c r="Z263" s="280" t="n"/>
      <c r="AA263" s="284" t="n"/>
    </row>
    <row r="264" ht="17.625" customHeight="1" s="70">
      <c r="A264" s="281" t="n"/>
      <c r="B264" s="279" t="n"/>
      <c r="C264" s="279" t="n"/>
      <c r="D264" s="151" t="n"/>
      <c r="E264" s="147" t="n"/>
      <c r="F264" s="152" t="n"/>
      <c r="G264" s="200" t="inlineStr">
        <is>
          <t>not on this certificate</t>
        </is>
      </c>
      <c r="H264" s="201" t="inlineStr">
        <is>
          <t>051-5-К-26, (04.03.2026) [FHM-K] · on file, not credited</t>
        </is>
      </c>
      <c r="I264" s="202" t="inlineStr">
        <is>
          <t>•</t>
        </is>
      </c>
      <c r="J264" s="151" t="n"/>
      <c r="K264" s="147" t="n"/>
      <c r="L264" s="147" t="n"/>
      <c r="M264" s="147" t="n"/>
      <c r="N264" s="147" t="n"/>
      <c r="O264" s="152" t="n"/>
      <c r="P264" s="151" t="n"/>
      <c r="Q264" s="147" t="n"/>
      <c r="R264" s="147" t="n"/>
      <c r="S264" s="152" t="n"/>
      <c r="T264" s="151" t="n"/>
      <c r="U264" s="147" t="n"/>
      <c r="V264" s="147" t="n"/>
      <c r="W264" s="147" t="n"/>
      <c r="X264" s="152" t="n"/>
      <c r="Y264" s="151" t="n"/>
      <c r="Z264" s="147" t="n"/>
      <c r="AA264" s="163" t="n"/>
    </row>
    <row r="265" ht="21" customHeight="1" s="70">
      <c r="A265" s="281" t="n"/>
      <c r="B265" s="279" t="n"/>
      <c r="C265" s="279" t="n"/>
      <c r="D265" s="205" t="n"/>
      <c r="E265" s="204" t="n"/>
      <c r="F265" s="206" t="n"/>
      <c r="G265" s="282" t="n"/>
      <c r="H265" s="280" t="n"/>
      <c r="I265" s="283" t="n"/>
      <c r="J265" s="205" t="n"/>
      <c r="K265" s="204" t="n"/>
      <c r="L265" s="204" t="n"/>
      <c r="M265" s="204" t="n"/>
      <c r="N265" s="204" t="n"/>
      <c r="O265" s="206" t="n"/>
      <c r="P265" s="205" t="n"/>
      <c r="Q265" s="204" t="n"/>
      <c r="R265" s="204" t="n"/>
      <c r="S265" s="206" t="n"/>
      <c r="T265" s="205" t="n"/>
      <c r="U265" s="204" t="n"/>
      <c r="V265" s="204" t="n"/>
      <c r="W265" s="204" t="n"/>
      <c r="X265" s="206" t="n"/>
      <c r="Y265" s="205" t="n"/>
      <c r="Z265" s="204" t="n"/>
      <c r="AA265" s="207" t="n"/>
    </row>
    <row r="266" ht="17.625" customHeight="1" s="70">
      <c r="A266" s="281" t="n"/>
      <c r="B266" s="279" t="n"/>
      <c r="C266" s="279" t="n"/>
      <c r="D266" s="151" t="n"/>
      <c r="E266" s="147" t="n"/>
      <c r="F266" s="152" t="n"/>
      <c r="G266" s="200" t="inlineStr">
        <is>
          <t>not on this certificate</t>
        </is>
      </c>
      <c r="H266" s="201" t="inlineStr">
        <is>
          <t>100-1-К-26, (09.04.2026) [FHM-K] · on file, not credited</t>
        </is>
      </c>
      <c r="I266" s="202" t="inlineStr">
        <is>
          <t>•</t>
        </is>
      </c>
      <c r="J266" s="151" t="n"/>
      <c r="K266" s="147" t="n"/>
      <c r="L266" s="147" t="n"/>
      <c r="M266" s="147" t="n"/>
      <c r="N266" s="147" t="n"/>
      <c r="O266" s="152" t="n"/>
      <c r="P266" s="151" t="n"/>
      <c r="Q266" s="147" t="n"/>
      <c r="R266" s="147" t="n"/>
      <c r="S266" s="152" t="n"/>
      <c r="T266" s="151" t="n"/>
      <c r="U266" s="147" t="n"/>
      <c r="V266" s="147" t="n"/>
      <c r="W266" s="147" t="n"/>
      <c r="X266" s="152" t="n"/>
      <c r="Y266" s="151" t="n"/>
      <c r="Z266" s="147" t="n"/>
      <c r="AA266" s="163" t="n"/>
    </row>
    <row r="267" ht="15.375" customHeight="1" s="70">
      <c r="A267" s="281" t="n"/>
      <c r="B267" s="279" t="n"/>
      <c r="C267" s="279" t="n"/>
      <c r="D267" s="205" t="n"/>
      <c r="E267" s="204" t="n"/>
      <c r="F267" s="206" t="n"/>
      <c r="G267" s="282" t="n"/>
      <c r="H267" s="280" t="n"/>
      <c r="I267" s="283" t="n"/>
      <c r="J267" s="205" t="n"/>
      <c r="K267" s="204" t="n"/>
      <c r="L267" s="204" t="n"/>
      <c r="M267" s="204" t="n"/>
      <c r="N267" s="204" t="n"/>
      <c r="O267" s="206" t="n"/>
      <c r="P267" s="205" t="n"/>
      <c r="Q267" s="204" t="n"/>
      <c r="R267" s="204" t="n"/>
      <c r="S267" s="206" t="n"/>
      <c r="T267" s="205" t="n"/>
      <c r="U267" s="204" t="n"/>
      <c r="V267" s="204" t="n"/>
      <c r="W267" s="204" t="n"/>
      <c r="X267" s="206" t="n"/>
      <c r="Y267" s="205" t="n"/>
      <c r="Z267" s="204" t="n"/>
      <c r="AA267" s="207" t="n"/>
    </row>
    <row r="268" ht="17.625" customHeight="1" s="70">
      <c r="A268" s="281" t="n"/>
      <c r="B268" s="279" t="n"/>
      <c r="C268" s="279" t="n"/>
      <c r="D268" s="151" t="n"/>
      <c r="E268" s="147" t="n"/>
      <c r="F268" s="152" t="n"/>
      <c r="G268" s="161" t="inlineStr">
        <is>
          <t>7.6</t>
        </is>
      </c>
      <c r="H268" s="196" t="inlineStr">
        <is>
          <t>100-1-ГС-26, (09.04.2026) [FHM-K]</t>
        </is>
      </c>
      <c r="I268" s="197" t="inlineStr">
        <is>
          <t>✓</t>
        </is>
      </c>
      <c r="J268" s="151" t="n"/>
      <c r="K268" s="147" t="n"/>
      <c r="L268" s="147" t="n"/>
      <c r="M268" s="147" t="n"/>
      <c r="N268" s="147" t="n"/>
      <c r="O268" s="152" t="n"/>
      <c r="P268" s="151" t="n"/>
      <c r="Q268" s="147" t="n"/>
      <c r="R268" s="147" t="n"/>
      <c r="S268" s="152" t="n"/>
      <c r="T268" s="151" t="n"/>
      <c r="U268" s="147" t="n"/>
      <c r="V268" s="147" t="n"/>
      <c r="W268" s="147" t="n"/>
      <c r="X268" s="152" t="n"/>
      <c r="Y268" s="151" t="n"/>
      <c r="Z268" s="147" t="n"/>
      <c r="AA268" s="163" t="n"/>
    </row>
    <row r="269" ht="21" customHeight="1" s="70">
      <c r="A269" s="281" t="n"/>
      <c r="B269" s="279" t="n"/>
      <c r="C269" s="279" t="n"/>
      <c r="D269" s="205" t="n"/>
      <c r="E269" s="204" t="n"/>
      <c r="F269" s="206" t="n"/>
      <c r="G269" s="282" t="n"/>
      <c r="H269" s="280" t="n"/>
      <c r="I269" s="283" t="n"/>
      <c r="J269" s="205" t="n"/>
      <c r="K269" s="204" t="n"/>
      <c r="L269" s="204" t="n"/>
      <c r="M269" s="204" t="n"/>
      <c r="N269" s="204" t="n"/>
      <c r="O269" s="206" t="n"/>
      <c r="P269" s="205" t="n"/>
      <c r="Q269" s="204" t="n"/>
      <c r="R269" s="204" t="n"/>
      <c r="S269" s="206" t="n"/>
      <c r="T269" s="205" t="n"/>
      <c r="U269" s="204" t="n"/>
      <c r="V269" s="204" t="n"/>
      <c r="W269" s="204" t="n"/>
      <c r="X269" s="206" t="n"/>
      <c r="Y269" s="205" t="n"/>
      <c r="Z269" s="204" t="n"/>
      <c r="AA269" s="207" t="n"/>
    </row>
    <row r="270" ht="17.625" customHeight="1" s="70">
      <c r="A270" s="281" t="n"/>
      <c r="B270" s="279" t="n"/>
      <c r="C270" s="279" t="n"/>
      <c r="D270" s="151" t="n"/>
      <c r="E270" s="147" t="n"/>
      <c r="F270" s="152" t="n"/>
      <c r="G270" s="161" t="inlineStr">
        <is>
          <t>10.3 ± 0.2</t>
        </is>
      </c>
      <c r="H270" s="196" t="inlineStr">
        <is>
          <t>100-2-ГС-26, (09.04.2026) [FHM-K]</t>
        </is>
      </c>
      <c r="I270" s="197" t="inlineStr">
        <is>
          <t>✓</t>
        </is>
      </c>
      <c r="J270" s="151" t="n"/>
      <c r="K270" s="147" t="n"/>
      <c r="L270" s="147" t="n"/>
      <c r="M270" s="147" t="n"/>
      <c r="N270" s="147" t="n"/>
      <c r="O270" s="152" t="n"/>
      <c r="P270" s="151" t="n"/>
      <c r="Q270" s="147" t="n"/>
      <c r="R270" s="147" t="n"/>
      <c r="S270" s="152" t="n"/>
      <c r="T270" s="151" t="n"/>
      <c r="U270" s="147" t="n"/>
      <c r="V270" s="147" t="n"/>
      <c r="W270" s="147" t="n"/>
      <c r="X270" s="152" t="n"/>
      <c r="Y270" s="151" t="n"/>
      <c r="Z270" s="147" t="n"/>
      <c r="AA270" s="163" t="n"/>
    </row>
    <row r="271" ht="21" customHeight="1" s="70">
      <c r="A271" s="281" t="n"/>
      <c r="B271" s="279" t="n"/>
      <c r="C271" s="279" t="n"/>
      <c r="D271" s="205" t="n"/>
      <c r="E271" s="204" t="n"/>
      <c r="F271" s="206" t="n"/>
      <c r="G271" s="282" t="n"/>
      <c r="H271" s="280" t="n"/>
      <c r="I271" s="283" t="n"/>
      <c r="J271" s="205" t="n"/>
      <c r="K271" s="204" t="n"/>
      <c r="L271" s="204" t="n"/>
      <c r="M271" s="204" t="n"/>
      <c r="N271" s="204" t="n"/>
      <c r="O271" s="206" t="n"/>
      <c r="P271" s="205" t="n"/>
      <c r="Q271" s="204" t="n"/>
      <c r="R271" s="204" t="n"/>
      <c r="S271" s="206" t="n"/>
      <c r="T271" s="205" t="n"/>
      <c r="U271" s="204" t="n"/>
      <c r="V271" s="204" t="n"/>
      <c r="W271" s="204" t="n"/>
      <c r="X271" s="206" t="n"/>
      <c r="Y271" s="205" t="n"/>
      <c r="Z271" s="204" t="n"/>
      <c r="AA271" s="207" t="n"/>
    </row>
    <row r="272" ht="17.625" customHeight="1" s="70">
      <c r="A272" s="281" t="n"/>
      <c r="B272" s="279" t="n"/>
      <c r="C272" s="279" t="n"/>
      <c r="D272" s="151" t="n"/>
      <c r="E272" s="147" t="n"/>
      <c r="F272" s="152" t="n"/>
      <c r="G272" s="161" t="inlineStr">
        <is>
          <t>10.3</t>
        </is>
      </c>
      <c r="H272" s="196" t="inlineStr">
        <is>
          <t>100-3-ГС-26, (09.04.2026) [FHM-K]</t>
        </is>
      </c>
      <c r="I272" s="197" t="inlineStr">
        <is>
          <t>✓</t>
        </is>
      </c>
      <c r="J272" s="151" t="n"/>
      <c r="K272" s="147" t="n"/>
      <c r="L272" s="147" t="n"/>
      <c r="M272" s="147" t="n"/>
      <c r="N272" s="147" t="n"/>
      <c r="O272" s="152" t="n"/>
      <c r="P272" s="151" t="n"/>
      <c r="Q272" s="147" t="n"/>
      <c r="R272" s="147" t="n"/>
      <c r="S272" s="152" t="n"/>
      <c r="T272" s="151" t="n"/>
      <c r="U272" s="147" t="n"/>
      <c r="V272" s="147" t="n"/>
      <c r="W272" s="147" t="n"/>
      <c r="X272" s="152" t="n"/>
      <c r="Y272" s="151" t="n"/>
      <c r="Z272" s="147" t="n"/>
      <c r="AA272" s="163" t="n"/>
    </row>
    <row r="273" ht="21" customHeight="1" s="70">
      <c r="A273" s="281" t="n"/>
      <c r="B273" s="279" t="n"/>
      <c r="C273" s="279" t="n"/>
      <c r="D273" s="205" t="n"/>
      <c r="E273" s="204" t="n"/>
      <c r="F273" s="206" t="n"/>
      <c r="G273" s="282" t="n"/>
      <c r="H273" s="280" t="n"/>
      <c r="I273" s="283" t="n"/>
      <c r="J273" s="205" t="n"/>
      <c r="K273" s="204" t="n"/>
      <c r="L273" s="204" t="n"/>
      <c r="M273" s="204" t="n"/>
      <c r="N273" s="204" t="n"/>
      <c r="O273" s="206" t="n"/>
      <c r="P273" s="205" t="n"/>
      <c r="Q273" s="204" t="n"/>
      <c r="R273" s="204" t="n"/>
      <c r="S273" s="206" t="n"/>
      <c r="T273" s="205" t="n"/>
      <c r="U273" s="204" t="n"/>
      <c r="V273" s="204" t="n"/>
      <c r="W273" s="204" t="n"/>
      <c r="X273" s="206" t="n"/>
      <c r="Y273" s="205" t="n"/>
      <c r="Z273" s="204" t="n"/>
      <c r="AA273" s="207" t="n"/>
    </row>
    <row r="274" ht="17.625" customHeight="1" s="70">
      <c r="A274" s="281" t="n"/>
      <c r="B274" s="279" t="n"/>
      <c r="C274" s="279" t="n"/>
      <c r="D274" s="151" t="n"/>
      <c r="E274" s="147" t="n"/>
      <c r="F274" s="152" t="n"/>
      <c r="G274" s="151" t="n"/>
      <c r="H274" s="147" t="n"/>
      <c r="I274" s="152" t="n"/>
      <c r="J274" s="151" t="n"/>
      <c r="K274" s="147" t="n"/>
      <c r="L274" s="147" t="n"/>
      <c r="M274" s="147" t="n"/>
      <c r="N274" s="147" t="n"/>
      <c r="O274" s="152" t="n"/>
      <c r="P274" s="151" t="n"/>
      <c r="Q274" s="147" t="n"/>
      <c r="R274" s="147" t="n"/>
      <c r="S274" s="152" t="n"/>
      <c r="T274" s="151" t="n"/>
      <c r="U274" s="147" t="n"/>
      <c r="V274" s="147" t="n"/>
      <c r="W274" s="147" t="n"/>
      <c r="X274" s="152" t="n"/>
      <c r="Y274" s="151" t="n"/>
      <c r="Z274" s="147" t="n"/>
      <c r="AA274" s="163" t="n"/>
    </row>
    <row r="275" ht="13" customHeight="1" s="70">
      <c r="A275" s="285" t="n"/>
      <c r="B275" s="286" t="n"/>
      <c r="C275" s="286" t="n"/>
      <c r="D275" s="166" t="n"/>
      <c r="E275" s="165" t="n"/>
      <c r="F275" s="167" t="n"/>
      <c r="G275" s="166" t="n"/>
      <c r="H275" s="165" t="n"/>
      <c r="I275" s="167" t="n"/>
      <c r="J275" s="166" t="n"/>
      <c r="K275" s="165" t="n"/>
      <c r="L275" s="165" t="n"/>
      <c r="M275" s="165" t="n"/>
      <c r="N275" s="165" t="n"/>
      <c r="O275" s="167" t="n"/>
      <c r="P275" s="166" t="n"/>
      <c r="Q275" s="165" t="n"/>
      <c r="R275" s="165" t="n"/>
      <c r="S275" s="167" t="n"/>
      <c r="T275" s="166" t="n"/>
      <c r="U275" s="165" t="n"/>
      <c r="V275" s="165" t="n"/>
      <c r="W275" s="165" t="n"/>
      <c r="X275" s="167" t="n"/>
      <c r="Y275" s="166" t="n"/>
      <c r="Z275" s="165" t="n"/>
      <c r="AA275" s="169" t="n"/>
    </row>
    <row r="276" ht="21" customHeight="1" s="70">
      <c r="A276" s="125" t="inlineStr">
        <is>
          <t>J31122501</t>
        </is>
      </c>
      <c r="B276" s="126" t="inlineStr">
        <is>
          <t>P060262</t>
        </is>
      </c>
      <c r="C276" s="170" t="inlineStr">
        <is>
          <t>⚠ 1 NO RESULT
(1 no cert / 0 cert w/o result)
3 testing instances
• 2 document(s) on file, not credited</t>
        </is>
      </c>
      <c r="D276" s="131" t="inlineStr">
        <is>
          <t>Conforms</t>
        </is>
      </c>
      <c r="E276" s="132">
        <f>IFERROR(INDEX('iCoA Register'!$B:$B,MATCH("P060262|I",'iCoA Register'!$AA:$AA,0)),"iCoA — at issue")&amp;", (14.05.2026) [PP]"</f>
        <v/>
      </c>
      <c r="F276" s="133" t="inlineStr">
        <is>
          <t>✓</t>
        </is>
      </c>
      <c r="G276" s="134" t="inlineStr">
        <is>
          <t>not ingested</t>
        </is>
      </c>
      <c r="H276" s="135" t="inlineStr">
        <is>
          <t>100-2-К-26, (09.04.2026) [FHM-K] · on file, not credited</t>
        </is>
      </c>
      <c r="I276" s="136" t="inlineStr">
        <is>
          <t>•</t>
        </is>
      </c>
      <c r="J276" s="131" t="inlineStr">
        <is>
          <t>1900 ᴿ</t>
        </is>
      </c>
      <c r="K276" s="139" t="inlineStr">
        <is>
          <t>840 ᴿ</t>
        </is>
      </c>
      <c r="L276" s="139" t="inlineStr">
        <is>
          <t>&lt; 10³ and &gt; 10² ᴿ</t>
        </is>
      </c>
      <c r="M276" s="139" t="inlineStr">
        <is>
          <t>Absent ᴿ</t>
        </is>
      </c>
      <c r="N276" s="139" t="inlineStr">
        <is>
          <t>Absent ᴿ</t>
        </is>
      </c>
      <c r="O276" s="133" t="inlineStr">
        <is>
          <t>✓</t>
        </is>
      </c>
      <c r="P276" s="131" t="inlineStr">
        <is>
          <t>not reported</t>
        </is>
      </c>
      <c r="Q276" s="139" t="inlineStr">
        <is>
          <t>Complies ᴿ</t>
        </is>
      </c>
      <c r="R276" s="139" t="inlineStr">
        <is>
          <t>not reported</t>
        </is>
      </c>
      <c r="S276" s="133" t="inlineStr">
        <is>
          <t>✓</t>
        </is>
      </c>
      <c r="T276" s="216" t="inlineStr">
        <is>
          <t>not ingested</t>
        </is>
      </c>
      <c r="U276" s="217" t="inlineStr"/>
      <c r="V276" s="217" t="inlineStr"/>
      <c r="W276" s="217" t="inlineStr"/>
      <c r="X276" s="218" t="inlineStr">
        <is>
          <t>✗</t>
        </is>
      </c>
      <c r="Y276" s="131" t="inlineStr">
        <is>
          <t>ND ᴿ</t>
        </is>
      </c>
      <c r="Z276" s="132" t="inlineStr">
        <is>
          <t>1625-2026, (23.04.2026) [IJZ]</t>
        </is>
      </c>
      <c r="AA276" s="140" t="inlineStr">
        <is>
          <t>✓</t>
        </is>
      </c>
    </row>
    <row r="277" ht="21" customHeight="1" s="70">
      <c r="A277" s="281" t="n"/>
      <c r="B277" s="279" t="n"/>
      <c r="C277" s="279" t="n"/>
      <c r="D277" s="282" t="n"/>
      <c r="E277" s="280" t="n"/>
      <c r="F277" s="283" t="n"/>
      <c r="G277" s="282" t="n"/>
      <c r="H277" s="280" t="n"/>
      <c r="I277" s="283" t="n"/>
      <c r="J277" s="144" t="inlineStr">
        <is>
          <t>230-0393-26, (07.04.2026) [IJZ-MB]</t>
        </is>
      </c>
      <c r="K277" s="120" t="n"/>
      <c r="L277" s="120" t="n"/>
      <c r="M277" s="120" t="n"/>
      <c r="N277" s="121" t="n"/>
      <c r="O277" s="283" t="n"/>
      <c r="P277" s="144" t="inlineStr">
        <is>
          <t>1625-2026, (23.04.2026) [IJZ]</t>
        </is>
      </c>
      <c r="Q277" s="120" t="n"/>
      <c r="R277" s="121" t="n"/>
      <c r="S277" s="283" t="n"/>
      <c r="T277" s="219" t="inlineStr">
        <is>
          <t>1625-2026, (23.04.2026) [IJZ]</t>
        </is>
      </c>
      <c r="U277" s="120" t="n"/>
      <c r="V277" s="120" t="n"/>
      <c r="W277" s="121" t="n"/>
      <c r="X277" s="283" t="n"/>
      <c r="Y277" s="282" t="n"/>
      <c r="Z277" s="280" t="n"/>
      <c r="AA277" s="284" t="n"/>
    </row>
    <row r="278" ht="21" customHeight="1" s="70">
      <c r="A278" s="281" t="n"/>
      <c r="B278" s="279" t="n"/>
      <c r="C278" s="279" t="n"/>
      <c r="D278" s="151" t="n"/>
      <c r="E278" s="147" t="n"/>
      <c r="F278" s="152" t="n"/>
      <c r="G278" s="200" t="inlineStr">
        <is>
          <t>not ingested</t>
        </is>
      </c>
      <c r="H278" s="201" t="inlineStr">
        <is>
          <t>100-3-К-26, (09.04.2026) [FHM-K] · on file, not credited</t>
        </is>
      </c>
      <c r="I278" s="202" t="inlineStr">
        <is>
          <t>•</t>
        </is>
      </c>
      <c r="J278" s="161" t="inlineStr">
        <is>
          <t>850 ᴿ</t>
        </is>
      </c>
      <c r="K278" s="162" t="inlineStr">
        <is>
          <t>370 ᴿ</t>
        </is>
      </c>
      <c r="L278" s="162" t="inlineStr">
        <is>
          <t>&lt; 10² and &gt; 10 ᴿ</t>
        </is>
      </c>
      <c r="M278" s="162" t="inlineStr">
        <is>
          <t>Absent ᴿ</t>
        </is>
      </c>
      <c r="N278" s="162" t="inlineStr">
        <is>
          <t>Absent ᴿ</t>
        </is>
      </c>
      <c r="O278" s="197" t="inlineStr">
        <is>
          <t>✓</t>
        </is>
      </c>
      <c r="P278" s="161" t="inlineStr">
        <is>
          <t>not reported</t>
        </is>
      </c>
      <c r="Q278" s="162" t="inlineStr">
        <is>
          <t>2.5 ᴿ</t>
        </is>
      </c>
      <c r="R278" s="162" t="inlineStr">
        <is>
          <t>not reported</t>
        </is>
      </c>
      <c r="S278" s="197" t="inlineStr">
        <is>
          <t>✓</t>
        </is>
      </c>
      <c r="T278" s="161" t="inlineStr">
        <is>
          <t>ND ᴿ</t>
        </is>
      </c>
      <c r="U278" s="162" t="inlineStr">
        <is>
          <t>ND ᴿ</t>
        </is>
      </c>
      <c r="V278" s="162" t="inlineStr">
        <is>
          <t>ND ᴿ</t>
        </is>
      </c>
      <c r="W278" s="162" t="inlineStr">
        <is>
          <t>ND ᴿ</t>
        </is>
      </c>
      <c r="X278" s="197" t="inlineStr">
        <is>
          <t>✓</t>
        </is>
      </c>
      <c r="Y278" s="161" t="inlineStr">
        <is>
          <t>ND ᴿ</t>
        </is>
      </c>
      <c r="Z278" s="196" t="inlineStr">
        <is>
          <t>1628-2026, (23.04.2026) [IJZ]</t>
        </is>
      </c>
      <c r="AA278" s="220" t="inlineStr">
        <is>
          <t>✓</t>
        </is>
      </c>
    </row>
    <row r="279" ht="21" customHeight="1" s="70">
      <c r="A279" s="281" t="n"/>
      <c r="B279" s="279" t="n"/>
      <c r="C279" s="279" t="n"/>
      <c r="D279" s="205" t="n"/>
      <c r="E279" s="204" t="n"/>
      <c r="F279" s="206" t="n"/>
      <c r="G279" s="282" t="n"/>
      <c r="H279" s="280" t="n"/>
      <c r="I279" s="283" t="n"/>
      <c r="J279" s="221" t="inlineStr">
        <is>
          <t>231-0394-26, (07.04.2026) [IJZ-MB]</t>
        </is>
      </c>
      <c r="K279" s="292" t="n"/>
      <c r="L279" s="292" t="n"/>
      <c r="M279" s="292" t="n"/>
      <c r="N279" s="293" t="n"/>
      <c r="O279" s="283" t="n"/>
      <c r="P279" s="221" t="inlineStr">
        <is>
          <t>1628-2026, (23.04.2026) [IJZ]</t>
        </is>
      </c>
      <c r="Q279" s="292" t="n"/>
      <c r="R279" s="293" t="n"/>
      <c r="S279" s="283" t="n"/>
      <c r="T279" s="221" t="inlineStr">
        <is>
          <t>1628-2026, (23.04.2026) [IJZ]</t>
        </is>
      </c>
      <c r="U279" s="292" t="n"/>
      <c r="V279" s="292" t="n"/>
      <c r="W279" s="293" t="n"/>
      <c r="X279" s="283" t="n"/>
      <c r="Y279" s="282" t="n"/>
      <c r="Z279" s="280" t="n"/>
      <c r="AA279" s="284" t="n"/>
    </row>
    <row r="280" ht="21" customHeight="1" s="70">
      <c r="A280" s="281" t="n"/>
      <c r="B280" s="279" t="n"/>
      <c r="C280" s="279" t="n"/>
      <c r="D280" s="151" t="n"/>
      <c r="E280" s="147" t="n"/>
      <c r="F280" s="152" t="n"/>
      <c r="G280" s="151" t="n"/>
      <c r="H280" s="147" t="n"/>
      <c r="I280" s="152" t="n"/>
      <c r="J280" s="161" t="inlineStr">
        <is>
          <t>1 × 10³</t>
        </is>
      </c>
      <c r="K280" s="162" t="inlineStr">
        <is>
          <t>1.7 × 10²</t>
        </is>
      </c>
      <c r="L280" s="162" t="inlineStr">
        <is>
          <t>&lt; 10³ and &gt; 10²</t>
        </is>
      </c>
      <c r="M280" s="162" t="inlineStr">
        <is>
          <t>Absent</t>
        </is>
      </c>
      <c r="N280" s="162" t="inlineStr">
        <is>
          <t>Absent</t>
        </is>
      </c>
      <c r="O280" s="155" t="inlineStr">
        <is>
          <t>✓</t>
        </is>
      </c>
      <c r="P280" s="151" t="n"/>
      <c r="Q280" s="147" t="n"/>
      <c r="R280" s="147" t="n"/>
      <c r="S280" s="152" t="n"/>
      <c r="T280" s="151" t="n"/>
      <c r="U280" s="147" t="n"/>
      <c r="V280" s="147" t="n"/>
      <c r="W280" s="147" t="n"/>
      <c r="X280" s="152" t="n"/>
      <c r="Y280" s="151" t="n"/>
      <c r="Z280" s="147" t="n"/>
      <c r="AA280" s="163" t="n"/>
    </row>
    <row r="281" ht="13" customHeight="1" s="70">
      <c r="A281" s="285" t="n"/>
      <c r="B281" s="286" t="n"/>
      <c r="C281" s="286" t="n"/>
      <c r="D281" s="166" t="n"/>
      <c r="E281" s="165" t="n"/>
      <c r="F281" s="167" t="n"/>
      <c r="G281" s="166" t="n"/>
      <c r="H281" s="165" t="n"/>
      <c r="I281" s="167" t="n"/>
      <c r="J281" s="168" t="inlineStr">
        <is>
          <t>544-1075-26, (31.08.2026) [IJZ-MB]</t>
        </is>
      </c>
      <c r="K281" s="289" t="n"/>
      <c r="L281" s="289" t="n"/>
      <c r="M281" s="289" t="n"/>
      <c r="N281" s="290" t="n"/>
      <c r="O281" s="288" t="n"/>
      <c r="P281" s="166" t="n"/>
      <c r="Q281" s="165" t="n"/>
      <c r="R281" s="165" t="n"/>
      <c r="S281" s="167" t="n"/>
      <c r="T281" s="166" t="n"/>
      <c r="U281" s="165" t="n"/>
      <c r="V281" s="165" t="n"/>
      <c r="W281" s="165" t="n"/>
      <c r="X281" s="167" t="n"/>
      <c r="Y281" s="166" t="n"/>
      <c r="Z281" s="165" t="n"/>
      <c r="AA281" s="169" t="n"/>
    </row>
    <row r="282" ht="21" customHeight="1" s="70">
      <c r="A282" s="125" t="inlineStr">
        <is>
          <t>JD012603</t>
        </is>
      </c>
      <c r="B282" s="126" t="inlineStr">
        <is>
          <t>P060362 / P060412 / P060422</t>
        </is>
      </c>
      <c r="C282" s="170" t="inlineStr">
        <is>
          <t>⚠ 3 NO RESULT
(3 no cert / 0 cert w/o result)
5 testing instances
• 1 document(s) on file, not credited</t>
        </is>
      </c>
      <c r="D282" s="131" t="inlineStr">
        <is>
          <t>Conforms (no value printed)</t>
        </is>
      </c>
      <c r="E282" s="132" t="inlineStr">
        <is>
          <t>ППК26111, (30.06.2026) [CNP]</t>
        </is>
      </c>
      <c r="F282" s="133" t="inlineStr">
        <is>
          <t>✓</t>
        </is>
      </c>
      <c r="G282" s="131" t="inlineStr">
        <is>
          <t>7.04</t>
        </is>
      </c>
      <c r="H282" s="132" t="inlineStr">
        <is>
          <t>ППК26111, (30.06.2026) [CNP]</t>
        </is>
      </c>
      <c r="I282" s="133" t="inlineStr">
        <is>
          <t>✓</t>
        </is>
      </c>
      <c r="J282" s="171" t="inlineStr">
        <is>
          <t>— MISSING —</t>
        </is>
      </c>
      <c r="K282" s="172" t="inlineStr">
        <is>
          <t>— MISSING —</t>
        </is>
      </c>
      <c r="L282" s="172" t="inlineStr">
        <is>
          <t>— MISSING —</t>
        </is>
      </c>
      <c r="M282" s="172" t="inlineStr">
        <is>
          <t>— MISSING —</t>
        </is>
      </c>
      <c r="N282" s="172" t="inlineStr">
        <is>
          <t>— MISSING —</t>
        </is>
      </c>
      <c r="O282" s="173" t="inlineStr">
        <is>
          <t>✗</t>
        </is>
      </c>
      <c r="P282" s="131" t="inlineStr">
        <is>
          <t>ND</t>
        </is>
      </c>
      <c r="Q282" s="139" t="inlineStr">
        <is>
          <t>ND</t>
        </is>
      </c>
      <c r="R282" s="139" t="inlineStr">
        <is>
          <t>ND</t>
        </is>
      </c>
      <c r="S282" s="133" t="inlineStr">
        <is>
          <t>✓</t>
        </is>
      </c>
      <c r="T282" s="171" t="inlineStr">
        <is>
          <t>— MISSING —</t>
        </is>
      </c>
      <c r="U282" s="172" t="inlineStr">
        <is>
          <t>— MISSING —</t>
        </is>
      </c>
      <c r="V282" s="172" t="inlineStr">
        <is>
          <t>— MISSING —</t>
        </is>
      </c>
      <c r="W282" s="172" t="inlineStr">
        <is>
          <t>— MISSING —</t>
        </is>
      </c>
      <c r="X282" s="173" t="inlineStr">
        <is>
          <t>✗</t>
        </is>
      </c>
      <c r="Y282" s="171" t="inlineStr">
        <is>
          <t>— MISSING —</t>
        </is>
      </c>
      <c r="Z282" s="174" t="inlineStr">
        <is>
          <t>— no certificate —</t>
        </is>
      </c>
      <c r="AA282" s="175" t="inlineStr">
        <is>
          <t>✗</t>
        </is>
      </c>
    </row>
    <row r="283" ht="15.375" customHeight="1" s="70">
      <c r="A283" s="281" t="n"/>
      <c r="B283" s="279" t="n"/>
      <c r="C283" s="279" t="n"/>
      <c r="D283" s="282" t="n"/>
      <c r="E283" s="280" t="n"/>
      <c r="F283" s="283" t="n"/>
      <c r="G283" s="282" t="n"/>
      <c r="H283" s="280" t="n"/>
      <c r="I283" s="283" t="n"/>
      <c r="J283" s="176" t="inlineStr">
        <is>
          <t>— no certificate —</t>
        </is>
      </c>
      <c r="K283" s="120" t="n"/>
      <c r="L283" s="120" t="n"/>
      <c r="M283" s="120" t="n"/>
      <c r="N283" s="121" t="n"/>
      <c r="O283" s="283" t="n"/>
      <c r="P283" s="144" t="inlineStr">
        <is>
          <t>220-16-М-26, (11.09.2026) [FHM-M]</t>
        </is>
      </c>
      <c r="Q283" s="120" t="n"/>
      <c r="R283" s="121" t="n"/>
      <c r="S283" s="283" t="n"/>
      <c r="T283" s="176" t="inlineStr">
        <is>
          <t>— no certificate —</t>
        </is>
      </c>
      <c r="U283" s="120" t="n"/>
      <c r="V283" s="120" t="n"/>
      <c r="W283" s="121" t="n"/>
      <c r="X283" s="283" t="n"/>
      <c r="Y283" s="282" t="n"/>
      <c r="Z283" s="280" t="n"/>
      <c r="AA283" s="284" t="n"/>
    </row>
    <row r="284" ht="17.625" customHeight="1" s="70">
      <c r="A284" s="281" t="n"/>
      <c r="B284" s="279" t="n"/>
      <c r="C284" s="279" t="n"/>
      <c r="D284" s="200" t="inlineStr">
        <is>
          <t>Conforms (no value printed)</t>
        </is>
      </c>
      <c r="E284" s="201" t="inlineStr">
        <is>
          <t>ППК26113, (30.06.2026) [CNP] · on file, not credited</t>
        </is>
      </c>
      <c r="F284" s="202" t="inlineStr">
        <is>
          <t>•</t>
        </is>
      </c>
      <c r="G284" s="161" t="inlineStr">
        <is>
          <t>7.52</t>
        </is>
      </c>
      <c r="H284" s="196" t="inlineStr">
        <is>
          <t>ППК26113, (30.06.2026) [CNP]</t>
        </is>
      </c>
      <c r="I284" s="197" t="inlineStr">
        <is>
          <t>✓</t>
        </is>
      </c>
      <c r="J284" s="151" t="n"/>
      <c r="K284" s="147" t="n"/>
      <c r="L284" s="147" t="n"/>
      <c r="M284" s="147" t="n"/>
      <c r="N284" s="147" t="n"/>
      <c r="O284" s="152" t="n"/>
      <c r="P284" s="161" t="inlineStr">
        <is>
          <t>ND</t>
        </is>
      </c>
      <c r="Q284" s="162" t="inlineStr">
        <is>
          <t>ND</t>
        </is>
      </c>
      <c r="R284" s="162" t="inlineStr">
        <is>
          <t>ND</t>
        </is>
      </c>
      <c r="S284" s="197" t="inlineStr">
        <is>
          <t>✓</t>
        </is>
      </c>
      <c r="T284" s="151" t="n"/>
      <c r="U284" s="147" t="n"/>
      <c r="V284" s="147" t="n"/>
      <c r="W284" s="147" t="n"/>
      <c r="X284" s="152" t="n"/>
      <c r="Y284" s="151" t="n"/>
      <c r="Z284" s="147" t="n"/>
      <c r="AA284" s="163" t="n"/>
    </row>
    <row r="285" ht="15.375" customHeight="1" s="70">
      <c r="A285" s="281" t="n"/>
      <c r="B285" s="279" t="n"/>
      <c r="C285" s="279" t="n"/>
      <c r="D285" s="282" t="n"/>
      <c r="E285" s="280" t="n"/>
      <c r="F285" s="283" t="n"/>
      <c r="G285" s="282" t="n"/>
      <c r="H285" s="280" t="n"/>
      <c r="I285" s="283" t="n"/>
      <c r="J285" s="205" t="n"/>
      <c r="K285" s="204" t="n"/>
      <c r="L285" s="204" t="n"/>
      <c r="M285" s="204" t="n"/>
      <c r="N285" s="204" t="n"/>
      <c r="O285" s="206" t="n"/>
      <c r="P285" s="221" t="inlineStr">
        <is>
          <t>220-17-М-26, (11.09.2026) [FHM-M]</t>
        </is>
      </c>
      <c r="Q285" s="292" t="n"/>
      <c r="R285" s="293" t="n"/>
      <c r="S285" s="283" t="n"/>
      <c r="T285" s="205" t="n"/>
      <c r="U285" s="204" t="n"/>
      <c r="V285" s="204" t="n"/>
      <c r="W285" s="204" t="n"/>
      <c r="X285" s="206" t="n"/>
      <c r="Y285" s="205" t="n"/>
      <c r="Z285" s="204" t="n"/>
      <c r="AA285" s="207" t="n"/>
    </row>
    <row r="286" ht="17.625" customHeight="1" s="70">
      <c r="A286" s="281" t="n"/>
      <c r="B286" s="279" t="n"/>
      <c r="C286" s="279" t="n"/>
      <c r="D286" s="151" t="n"/>
      <c r="E286" s="147" t="n"/>
      <c r="F286" s="152" t="n"/>
      <c r="G286" s="151" t="n"/>
      <c r="H286" s="147" t="n"/>
      <c r="I286" s="152" t="n"/>
      <c r="J286" s="151" t="n"/>
      <c r="K286" s="147" t="n"/>
      <c r="L286" s="147" t="n"/>
      <c r="M286" s="147" t="n"/>
      <c r="N286" s="147" t="n"/>
      <c r="O286" s="152" t="n"/>
      <c r="P286" s="161" t="inlineStr">
        <is>
          <t>ND</t>
        </is>
      </c>
      <c r="Q286" s="162" t="inlineStr">
        <is>
          <t>ND</t>
        </is>
      </c>
      <c r="R286" s="162" t="inlineStr">
        <is>
          <t>ND</t>
        </is>
      </c>
      <c r="S286" s="197" t="inlineStr">
        <is>
          <t>✓</t>
        </is>
      </c>
      <c r="T286" s="151" t="n"/>
      <c r="U286" s="147" t="n"/>
      <c r="V286" s="147" t="n"/>
      <c r="W286" s="147" t="n"/>
      <c r="X286" s="152" t="n"/>
      <c r="Y286" s="151" t="n"/>
      <c r="Z286" s="147" t="n"/>
      <c r="AA286" s="163" t="n"/>
    </row>
    <row r="287" ht="13" customHeight="1" s="70">
      <c r="A287" s="281" t="n"/>
      <c r="B287" s="279" t="n"/>
      <c r="C287" s="279" t="n"/>
      <c r="D287" s="205" t="n"/>
      <c r="E287" s="204" t="n"/>
      <c r="F287" s="206" t="n"/>
      <c r="G287" s="205" t="n"/>
      <c r="H287" s="204" t="n"/>
      <c r="I287" s="206" t="n"/>
      <c r="J287" s="205" t="n"/>
      <c r="K287" s="204" t="n"/>
      <c r="L287" s="204" t="n"/>
      <c r="M287" s="204" t="n"/>
      <c r="N287" s="204" t="n"/>
      <c r="O287" s="206" t="n"/>
      <c r="P287" s="221" t="inlineStr">
        <is>
          <t>220-18-М-26, (11.09.2026) [FHM-M]</t>
        </is>
      </c>
      <c r="Q287" s="292" t="n"/>
      <c r="R287" s="293" t="n"/>
      <c r="S287" s="283" t="n"/>
      <c r="T287" s="205" t="n"/>
      <c r="U287" s="204" t="n"/>
      <c r="V287" s="204" t="n"/>
      <c r="W287" s="204" t="n"/>
      <c r="X287" s="206" t="n"/>
      <c r="Y287" s="205" t="n"/>
      <c r="Z287" s="204" t="n"/>
      <c r="AA287" s="207" t="n"/>
    </row>
    <row r="288" ht="17.625" customHeight="1" s="70">
      <c r="A288" s="281" t="n"/>
      <c r="B288" s="279" t="n"/>
      <c r="C288" s="279" t="n"/>
      <c r="D288" s="151" t="n"/>
      <c r="E288" s="147" t="n"/>
      <c r="F288" s="152" t="n"/>
      <c r="G288" s="151" t="n"/>
      <c r="H288" s="147" t="n"/>
      <c r="I288" s="152" t="n"/>
      <c r="J288" s="151" t="n"/>
      <c r="K288" s="147" t="n"/>
      <c r="L288" s="147" t="n"/>
      <c r="M288" s="147" t="n"/>
      <c r="N288" s="147" t="n"/>
      <c r="O288" s="152" t="n"/>
      <c r="P288" s="151" t="n"/>
      <c r="Q288" s="147" t="n"/>
      <c r="R288" s="147" t="n"/>
      <c r="S288" s="152" t="n"/>
      <c r="T288" s="151" t="n"/>
      <c r="U288" s="147" t="n"/>
      <c r="V288" s="147" t="n"/>
      <c r="W288" s="147" t="n"/>
      <c r="X288" s="152" t="n"/>
      <c r="Y288" s="151" t="n"/>
      <c r="Z288" s="147" t="n"/>
      <c r="AA288" s="163" t="n"/>
    </row>
    <row r="289" ht="13" customHeight="1" s="70">
      <c r="A289" s="281" t="n"/>
      <c r="B289" s="279" t="n"/>
      <c r="C289" s="279" t="n"/>
      <c r="D289" s="205" t="n"/>
      <c r="E289" s="204" t="n"/>
      <c r="F289" s="206" t="n"/>
      <c r="G289" s="205" t="n"/>
      <c r="H289" s="204" t="n"/>
      <c r="I289" s="206" t="n"/>
      <c r="J289" s="205" t="n"/>
      <c r="K289" s="204" t="n"/>
      <c r="L289" s="204" t="n"/>
      <c r="M289" s="204" t="n"/>
      <c r="N289" s="204" t="n"/>
      <c r="O289" s="206" t="n"/>
      <c r="P289" s="205" t="n"/>
      <c r="Q289" s="204" t="n"/>
      <c r="R289" s="204" t="n"/>
      <c r="S289" s="206" t="n"/>
      <c r="T289" s="205" t="n"/>
      <c r="U289" s="204" t="n"/>
      <c r="V289" s="204" t="n"/>
      <c r="W289" s="204" t="n"/>
      <c r="X289" s="206" t="n"/>
      <c r="Y289" s="205" t="n"/>
      <c r="Z289" s="204" t="n"/>
      <c r="AA289" s="207" t="n"/>
    </row>
    <row r="290" ht="17.625" customHeight="1" s="70">
      <c r="A290" s="281" t="n"/>
      <c r="B290" s="279" t="n"/>
      <c r="C290" s="279" t="n"/>
      <c r="D290" s="151" t="n"/>
      <c r="E290" s="147" t="n"/>
      <c r="F290" s="152" t="n"/>
      <c r="G290" s="151" t="n"/>
      <c r="H290" s="147" t="n"/>
      <c r="I290" s="152" t="n"/>
      <c r="J290" s="151" t="n"/>
      <c r="K290" s="147" t="n"/>
      <c r="L290" s="147" t="n"/>
      <c r="M290" s="147" t="n"/>
      <c r="N290" s="147" t="n"/>
      <c r="O290" s="152" t="n"/>
      <c r="P290" s="151" t="n"/>
      <c r="Q290" s="147" t="n"/>
      <c r="R290" s="147" t="n"/>
      <c r="S290" s="152" t="n"/>
      <c r="T290" s="151" t="n"/>
      <c r="U290" s="147" t="n"/>
      <c r="V290" s="147" t="n"/>
      <c r="W290" s="147" t="n"/>
      <c r="X290" s="152" t="n"/>
      <c r="Y290" s="151" t="n"/>
      <c r="Z290" s="147" t="n"/>
      <c r="AA290" s="163" t="n"/>
    </row>
    <row r="291" ht="13" customHeight="1" s="70">
      <c r="A291" s="285" t="n"/>
      <c r="B291" s="286" t="n"/>
      <c r="C291" s="286" t="n"/>
      <c r="D291" s="166" t="n"/>
      <c r="E291" s="165" t="n"/>
      <c r="F291" s="167" t="n"/>
      <c r="G291" s="166" t="n"/>
      <c r="H291" s="165" t="n"/>
      <c r="I291" s="167" t="n"/>
      <c r="J291" s="166" t="n"/>
      <c r="K291" s="165" t="n"/>
      <c r="L291" s="165" t="n"/>
      <c r="M291" s="165" t="n"/>
      <c r="N291" s="165" t="n"/>
      <c r="O291" s="167" t="n"/>
      <c r="P291" s="166" t="n"/>
      <c r="Q291" s="165" t="n"/>
      <c r="R291" s="165" t="n"/>
      <c r="S291" s="167" t="n"/>
      <c r="T291" s="166" t="n"/>
      <c r="U291" s="165" t="n"/>
      <c r="V291" s="165" t="n"/>
      <c r="W291" s="165" t="n"/>
      <c r="X291" s="167" t="n"/>
      <c r="Y291" s="166" t="n"/>
      <c r="Z291" s="165" t="n"/>
      <c r="AA291" s="169" t="n"/>
    </row>
    <row r="292" ht="21" customHeight="1" s="70">
      <c r="A292" s="125" t="inlineStr">
        <is>
          <t>JD022601</t>
        </is>
      </c>
      <c r="B292" s="126" t="inlineStr">
        <is>
          <t>P060482</t>
        </is>
      </c>
      <c r="C292" s="177" t="inlineStr">
        <is>
          <t>✗ 4 NO RESULT
(4 no cert / 0 cert w/o result)</t>
        </is>
      </c>
      <c r="D292" s="180" t="inlineStr">
        <is>
          <t>Conforms (no value printed)</t>
        </is>
      </c>
      <c r="E292" s="181" t="inlineStr">
        <is>
          <t>ППК26115, (30.06.2026) [CNP]</t>
        </is>
      </c>
      <c r="F292" s="182" t="inlineStr">
        <is>
          <t>✓</t>
        </is>
      </c>
      <c r="G292" s="180" t="inlineStr">
        <is>
          <t>7.73</t>
        </is>
      </c>
      <c r="H292" s="181" t="inlineStr">
        <is>
          <t>ППК26115, (30.06.2026) [CNP]</t>
        </is>
      </c>
      <c r="I292" s="182" t="inlineStr">
        <is>
          <t>✓</t>
        </is>
      </c>
      <c r="J292" s="171" t="inlineStr">
        <is>
          <t>— MISSING —</t>
        </is>
      </c>
      <c r="K292" s="172" t="inlineStr">
        <is>
          <t>— MISSING —</t>
        </is>
      </c>
      <c r="L292" s="172" t="inlineStr">
        <is>
          <t>— MISSING —</t>
        </is>
      </c>
      <c r="M292" s="172" t="inlineStr">
        <is>
          <t>— MISSING —</t>
        </is>
      </c>
      <c r="N292" s="172" t="inlineStr">
        <is>
          <t>— MISSING —</t>
        </is>
      </c>
      <c r="O292" s="186" t="inlineStr">
        <is>
          <t>✗</t>
        </is>
      </c>
      <c r="P292" s="171" t="inlineStr">
        <is>
          <t>— MISSING —</t>
        </is>
      </c>
      <c r="Q292" s="172" t="inlineStr">
        <is>
          <t>— MISSING —</t>
        </is>
      </c>
      <c r="R292" s="172" t="inlineStr">
        <is>
          <t>— MISSING —</t>
        </is>
      </c>
      <c r="S292" s="186" t="inlineStr">
        <is>
          <t>✗</t>
        </is>
      </c>
      <c r="T292" s="171" t="inlineStr">
        <is>
          <t>— MISSING —</t>
        </is>
      </c>
      <c r="U292" s="172" t="inlineStr">
        <is>
          <t>— MISSING —</t>
        </is>
      </c>
      <c r="V292" s="172" t="inlineStr">
        <is>
          <t>— MISSING —</t>
        </is>
      </c>
      <c r="W292" s="172" t="inlineStr">
        <is>
          <t>— MISSING —</t>
        </is>
      </c>
      <c r="X292" s="186" t="inlineStr">
        <is>
          <t>✗</t>
        </is>
      </c>
      <c r="Y292" s="187" t="inlineStr">
        <is>
          <t>— MISSING —</t>
        </is>
      </c>
      <c r="Z292" s="188" t="inlineStr">
        <is>
          <t>— no certificate —</t>
        </is>
      </c>
      <c r="AA292" s="189" t="inlineStr">
        <is>
          <t>✗</t>
        </is>
      </c>
    </row>
    <row r="293" ht="21" customHeight="1" s="70">
      <c r="A293" s="285" t="n"/>
      <c r="B293" s="286" t="n"/>
      <c r="C293" s="286" t="n"/>
      <c r="D293" s="287" t="n"/>
      <c r="E293" s="286" t="n"/>
      <c r="F293" s="288" t="n"/>
      <c r="G293" s="287" t="n"/>
      <c r="H293" s="286" t="n"/>
      <c r="I293" s="288" t="n"/>
      <c r="J293" s="190" t="inlineStr">
        <is>
          <t>— no certificate —</t>
        </is>
      </c>
      <c r="K293" s="289" t="n"/>
      <c r="L293" s="289" t="n"/>
      <c r="M293" s="289" t="n"/>
      <c r="N293" s="290" t="n"/>
      <c r="O293" s="288" t="n"/>
      <c r="P293" s="190" t="inlineStr">
        <is>
          <t>— no certificate —</t>
        </is>
      </c>
      <c r="Q293" s="289" t="n"/>
      <c r="R293" s="290" t="n"/>
      <c r="S293" s="288" t="n"/>
      <c r="T293" s="190" t="inlineStr">
        <is>
          <t>— no certificate —</t>
        </is>
      </c>
      <c r="U293" s="289" t="n"/>
      <c r="V293" s="289" t="n"/>
      <c r="W293" s="290" t="n"/>
      <c r="X293" s="288" t="n"/>
      <c r="Y293" s="287" t="n"/>
      <c r="Z293" s="286" t="n"/>
      <c r="AA293" s="291" t="n"/>
    </row>
    <row r="294" ht="21" customHeight="1" s="70">
      <c r="A294" s="125" t="inlineStr">
        <is>
          <t>JD112501</t>
        </is>
      </c>
      <c r="B294" s="126" t="inlineStr">
        <is>
          <t>P060212</t>
        </is>
      </c>
      <c r="C294" s="127" t="inlineStr">
        <is>
          <t>✓ COMPLETE
3 testing instances
• 5 document(s) on file, not credited</t>
        </is>
      </c>
      <c r="D294" s="131" t="inlineStr">
        <is>
          <t>Conforms</t>
        </is>
      </c>
      <c r="E294" s="132">
        <f>IFERROR(INDEX('iCoA Register'!$B:$B,MATCH("P060212|I",'iCoA Register'!$AA:$AA,0)),"iCoA — at issue")&amp;", (21.04.2026) [PP]"</f>
        <v/>
      </c>
      <c r="F294" s="133" t="inlineStr">
        <is>
          <t>✓</t>
        </is>
      </c>
      <c r="G294" s="131" t="inlineStr">
        <is>
          <t>6.69</t>
        </is>
      </c>
      <c r="H294" s="132" t="inlineStr">
        <is>
          <t>ППК26063, (11.05.2026) [CNP]</t>
        </is>
      </c>
      <c r="I294" s="133" t="inlineStr">
        <is>
          <t>✓</t>
        </is>
      </c>
      <c r="J294" s="134" t="inlineStr">
        <is>
          <t>1 × 10⁴</t>
        </is>
      </c>
      <c r="K294" s="208" t="inlineStr">
        <is>
          <t>6.7 × 10³</t>
        </is>
      </c>
      <c r="L294" s="208" t="inlineStr">
        <is>
          <t>&lt; 10³ and &gt; 10²</t>
        </is>
      </c>
      <c r="M294" s="208" t="inlineStr">
        <is>
          <t>Absent</t>
        </is>
      </c>
      <c r="N294" s="208" t="inlineStr">
        <is>
          <t>Absent</t>
        </is>
      </c>
      <c r="O294" s="136" t="inlineStr">
        <is>
          <t>•</t>
        </is>
      </c>
      <c r="P294" s="131" t="inlineStr">
        <is>
          <t>not reported</t>
        </is>
      </c>
      <c r="Q294" s="139" t="inlineStr">
        <is>
          <t>&lt; 2</t>
        </is>
      </c>
      <c r="R294" s="139" t="inlineStr">
        <is>
          <t>not reported</t>
        </is>
      </c>
      <c r="S294" s="133" t="inlineStr">
        <is>
          <t>✓</t>
        </is>
      </c>
      <c r="T294" s="131" t="inlineStr">
        <is>
          <t>0.022</t>
        </is>
      </c>
      <c r="U294" s="139" t="inlineStr">
        <is>
          <t>0.0149</t>
        </is>
      </c>
      <c r="V294" s="139" t="inlineStr">
        <is>
          <t>0.02</t>
        </is>
      </c>
      <c r="W294" s="139" t="inlineStr">
        <is>
          <t>0.0166</t>
        </is>
      </c>
      <c r="X294" s="133" t="inlineStr">
        <is>
          <t>✓</t>
        </is>
      </c>
      <c r="Y294" s="131" t="inlineStr">
        <is>
          <t>≤ LOQ (all 26 compounds)</t>
        </is>
      </c>
      <c r="Z294" s="132" t="inlineStr">
        <is>
          <t>2361-2026, (30.04.2026) [IJZ]</t>
        </is>
      </c>
      <c r="AA294" s="140" t="inlineStr">
        <is>
          <t>✓</t>
        </is>
      </c>
    </row>
    <row r="295" ht="21" customHeight="1" s="70">
      <c r="A295" s="281" t="n"/>
      <c r="B295" s="279" t="n"/>
      <c r="C295" s="279" t="n"/>
      <c r="D295" s="282" t="n"/>
      <c r="E295" s="280" t="n"/>
      <c r="F295" s="283" t="n"/>
      <c r="G295" s="282" t="n"/>
      <c r="H295" s="280" t="n"/>
      <c r="I295" s="283" t="n"/>
      <c r="J295" s="210" t="inlineStr">
        <is>
          <t>306-0550-26, (28.04.2026) [IJZ-MB] · experimental — starred sample, not certifying</t>
        </is>
      </c>
      <c r="K295" s="120" t="n"/>
      <c r="L295" s="120" t="n"/>
      <c r="M295" s="120" t="n"/>
      <c r="N295" s="121" t="n"/>
      <c r="O295" s="283" t="n"/>
      <c r="P295" s="144" t="inlineStr">
        <is>
          <t>2361-2026, (30.04.2026) [IJZ]</t>
        </is>
      </c>
      <c r="Q295" s="120" t="n"/>
      <c r="R295" s="121" t="n"/>
      <c r="S295" s="283" t="n"/>
      <c r="T295" s="144" t="inlineStr">
        <is>
          <t>2361-2026, (30.04.2026) [IJZ]</t>
        </is>
      </c>
      <c r="U295" s="120" t="n"/>
      <c r="V295" s="120" t="n"/>
      <c r="W295" s="121" t="n"/>
      <c r="X295" s="283" t="n"/>
      <c r="Y295" s="282" t="n"/>
      <c r="Z295" s="280" t="n"/>
      <c r="AA295" s="284" t="n"/>
    </row>
    <row r="296" ht="21" customHeight="1" s="70">
      <c r="A296" s="281" t="n"/>
      <c r="B296" s="279" t="n"/>
      <c r="C296" s="279" t="n"/>
      <c r="D296" s="151" t="n"/>
      <c r="E296" s="147" t="n"/>
      <c r="F296" s="152" t="n"/>
      <c r="G296" s="200" t="inlineStr">
        <is>
          <t>6.38</t>
        </is>
      </c>
      <c r="H296" s="201" t="inlineStr">
        <is>
          <t>ППК26065, (11.05.2026) [CNP] · experimental — starred sample, not certifying</t>
        </is>
      </c>
      <c r="I296" s="202" t="inlineStr">
        <is>
          <t>•</t>
        </is>
      </c>
      <c r="J296" s="161" t="inlineStr">
        <is>
          <t>2.6 × 10³</t>
        </is>
      </c>
      <c r="K296" s="162" t="inlineStr">
        <is>
          <t>3.3 × 10³</t>
        </is>
      </c>
      <c r="L296" s="162" t="inlineStr">
        <is>
          <t>&lt; 10³ and &gt; 10² ᴿ</t>
        </is>
      </c>
      <c r="M296" s="162" t="inlineStr">
        <is>
          <t>Absent</t>
        </is>
      </c>
      <c r="N296" s="162" t="inlineStr">
        <is>
          <t>Absent</t>
        </is>
      </c>
      <c r="O296" s="197" t="inlineStr">
        <is>
          <t>✓</t>
        </is>
      </c>
      <c r="P296" s="200" t="inlineStr">
        <is>
          <t>not reported</t>
        </is>
      </c>
      <c r="Q296" s="222" t="inlineStr">
        <is>
          <t>&lt; 2</t>
        </is>
      </c>
      <c r="R296" s="222" t="inlineStr">
        <is>
          <t>not reported</t>
        </is>
      </c>
      <c r="S296" s="202" t="inlineStr">
        <is>
          <t>•</t>
        </is>
      </c>
      <c r="T296" s="200" t="inlineStr">
        <is>
          <t>0.0109</t>
        </is>
      </c>
      <c r="U296" s="222" t="inlineStr">
        <is>
          <t>0.01287</t>
        </is>
      </c>
      <c r="V296" s="222" t="inlineStr">
        <is>
          <t>0.0175</t>
        </is>
      </c>
      <c r="W296" s="222" t="inlineStr">
        <is>
          <t>0.0165</t>
        </is>
      </c>
      <c r="X296" s="202" t="inlineStr">
        <is>
          <t>•</t>
        </is>
      </c>
      <c r="Y296" s="200" t="inlineStr">
        <is>
          <t>≤ LOQ (all 27 compounds)</t>
        </is>
      </c>
      <c r="Z296" s="201" t="inlineStr">
        <is>
          <t>2365-2026, (30.04.2026) [IJZ] · experimental — starred sample, not certifying</t>
        </is>
      </c>
      <c r="AA296" s="223" t="inlineStr">
        <is>
          <t>•</t>
        </is>
      </c>
    </row>
    <row r="297" ht="21" customHeight="1" s="70">
      <c r="A297" s="281" t="n"/>
      <c r="B297" s="279" t="n"/>
      <c r="C297" s="279" t="n"/>
      <c r="D297" s="205" t="n"/>
      <c r="E297" s="204" t="n"/>
      <c r="F297" s="206" t="n"/>
      <c r="G297" s="282" t="n"/>
      <c r="H297" s="280" t="n"/>
      <c r="I297" s="283" t="n"/>
      <c r="J297" s="221" t="inlineStr">
        <is>
          <t>307-0551-26, (28.04.2026) [IJZ-MB]</t>
        </is>
      </c>
      <c r="K297" s="292" t="n"/>
      <c r="L297" s="292" t="n"/>
      <c r="M297" s="292" t="n"/>
      <c r="N297" s="293" t="n"/>
      <c r="O297" s="283" t="n"/>
      <c r="P297" s="224" t="inlineStr">
        <is>
          <t>2365-2026, (30.04.2026) [IJZ] · experimental — starred sample, not certifying</t>
        </is>
      </c>
      <c r="Q297" s="292" t="n"/>
      <c r="R297" s="293" t="n"/>
      <c r="S297" s="283" t="n"/>
      <c r="T297" s="224" t="inlineStr">
        <is>
          <t>2365-2026, (30.04.2026) [IJZ] · experimental — starred sample, not certifying</t>
        </is>
      </c>
      <c r="U297" s="292" t="n"/>
      <c r="V297" s="292" t="n"/>
      <c r="W297" s="293" t="n"/>
      <c r="X297" s="283" t="n"/>
      <c r="Y297" s="282" t="n"/>
      <c r="Z297" s="280" t="n"/>
      <c r="AA297" s="284" t="n"/>
    </row>
    <row r="298" ht="17.625" customHeight="1" s="70">
      <c r="A298" s="281" t="n"/>
      <c r="B298" s="279" t="n"/>
      <c r="C298" s="279" t="n"/>
      <c r="D298" s="151" t="n"/>
      <c r="E298" s="147" t="n"/>
      <c r="F298" s="152" t="n"/>
      <c r="G298" s="158" t="inlineStr">
        <is>
          <t>not on this certificate</t>
        </is>
      </c>
      <c r="H298" s="159" t="inlineStr">
        <is>
          <t>197-15-К-26, (07.08.2026) [FHM-K] · on file, not credited</t>
        </is>
      </c>
      <c r="I298" s="160" t="inlineStr">
        <is>
          <t>•</t>
        </is>
      </c>
      <c r="J298" s="151" t="n"/>
      <c r="K298" s="147" t="n"/>
      <c r="L298" s="147" t="n"/>
      <c r="M298" s="147" t="n"/>
      <c r="N298" s="147" t="n"/>
      <c r="O298" s="152" t="n"/>
      <c r="P298" s="161" t="inlineStr">
        <is>
          <t>ND</t>
        </is>
      </c>
      <c r="Q298" s="162" t="inlineStr">
        <is>
          <t>ND</t>
        </is>
      </c>
      <c r="R298" s="162" t="inlineStr">
        <is>
          <t>ND</t>
        </is>
      </c>
      <c r="S298" s="155" t="inlineStr">
        <is>
          <t>✓</t>
        </is>
      </c>
      <c r="T298" s="151" t="n"/>
      <c r="U298" s="147" t="n"/>
      <c r="V298" s="147" t="n"/>
      <c r="W298" s="147" t="n"/>
      <c r="X298" s="152" t="n"/>
      <c r="Y298" s="151" t="n"/>
      <c r="Z298" s="147" t="n"/>
      <c r="AA298" s="163" t="n"/>
    </row>
    <row r="299" ht="21" customHeight="1" s="70">
      <c r="A299" s="285" t="n"/>
      <c r="B299" s="286" t="n"/>
      <c r="C299" s="286" t="n"/>
      <c r="D299" s="166" t="n"/>
      <c r="E299" s="165" t="n"/>
      <c r="F299" s="167" t="n"/>
      <c r="G299" s="287" t="n"/>
      <c r="H299" s="286" t="n"/>
      <c r="I299" s="288" t="n"/>
      <c r="J299" s="166" t="n"/>
      <c r="K299" s="165" t="n"/>
      <c r="L299" s="165" t="n"/>
      <c r="M299" s="165" t="n"/>
      <c r="N299" s="165" t="n"/>
      <c r="O299" s="167" t="n"/>
      <c r="P299" s="168" t="inlineStr">
        <is>
          <t>197-15-М-26, (10.08.2026) [FHM-M]</t>
        </is>
      </c>
      <c r="Q299" s="289" t="n"/>
      <c r="R299" s="290" t="n"/>
      <c r="S299" s="288" t="n"/>
      <c r="T299" s="166" t="n"/>
      <c r="U299" s="165" t="n"/>
      <c r="V299" s="165" t="n"/>
      <c r="W299" s="165" t="n"/>
      <c r="X299" s="167" t="n"/>
      <c r="Y299" s="166" t="n"/>
      <c r="Z299" s="165" t="n"/>
      <c r="AA299" s="169" t="n"/>
    </row>
    <row r="300" ht="21" customHeight="1" s="70">
      <c r="A300" s="125" t="inlineStr">
        <is>
          <t>KC102501</t>
        </is>
      </c>
      <c r="B300" s="126" t="inlineStr">
        <is>
          <t>P060172</t>
        </is>
      </c>
      <c r="C300" s="170" t="inlineStr">
        <is>
          <t>⚠ 3 NO RESULT
(3 no cert / 0 cert w/o result)
3 testing instances
• 2 document(s) on file, not credited</t>
        </is>
      </c>
      <c r="D300" s="131" t="inlineStr">
        <is>
          <t>Conforms</t>
        </is>
      </c>
      <c r="E300" s="132">
        <f>IFERROR(INDEX('iCoA Register'!$B:$B,MATCH("P060172|I",'iCoA Register'!$AA:$AA,0)),"iCoA — at issue")&amp;", (12.03.2026) [PP]"</f>
        <v/>
      </c>
      <c r="F300" s="133" t="inlineStr">
        <is>
          <t>✓</t>
        </is>
      </c>
      <c r="G300" s="131" t="inlineStr">
        <is>
          <t>8.6</t>
        </is>
      </c>
      <c r="H300" s="132" t="inlineStr">
        <is>
          <t>051-4-ГС-26, (02.03.2026) [FHM-K]</t>
        </is>
      </c>
      <c r="I300" s="133" t="inlineStr">
        <is>
          <t>✓</t>
        </is>
      </c>
      <c r="J300" s="171" t="inlineStr">
        <is>
          <t>— MISSING —</t>
        </is>
      </c>
      <c r="K300" s="172" t="inlineStr">
        <is>
          <t>— MISSING —</t>
        </is>
      </c>
      <c r="L300" s="172" t="inlineStr">
        <is>
          <t>— MISSING —</t>
        </is>
      </c>
      <c r="M300" s="172" t="inlineStr">
        <is>
          <t>— MISSING —</t>
        </is>
      </c>
      <c r="N300" s="172" t="inlineStr">
        <is>
          <t>— MISSING —</t>
        </is>
      </c>
      <c r="O300" s="173" t="inlineStr">
        <is>
          <t>✗</t>
        </is>
      </c>
      <c r="P300" s="131" t="inlineStr">
        <is>
          <t>ND</t>
        </is>
      </c>
      <c r="Q300" s="139" t="inlineStr">
        <is>
          <t>ND</t>
        </is>
      </c>
      <c r="R300" s="139" t="inlineStr">
        <is>
          <t>ND</t>
        </is>
      </c>
      <c r="S300" s="133" t="inlineStr">
        <is>
          <t>✓</t>
        </is>
      </c>
      <c r="T300" s="171" t="inlineStr">
        <is>
          <t>— MISSING —</t>
        </is>
      </c>
      <c r="U300" s="172" t="inlineStr">
        <is>
          <t>— MISSING —</t>
        </is>
      </c>
      <c r="V300" s="172" t="inlineStr">
        <is>
          <t>— MISSING —</t>
        </is>
      </c>
      <c r="W300" s="172" t="inlineStr">
        <is>
          <t>— MISSING —</t>
        </is>
      </c>
      <c r="X300" s="173" t="inlineStr">
        <is>
          <t>✗</t>
        </is>
      </c>
      <c r="Y300" s="171" t="inlineStr">
        <is>
          <t>— MISSING —</t>
        </is>
      </c>
      <c r="Z300" s="174" t="inlineStr">
        <is>
          <t>— no certificate —</t>
        </is>
      </c>
      <c r="AA300" s="175" t="inlineStr">
        <is>
          <t>✗</t>
        </is>
      </c>
    </row>
    <row r="301" ht="39" customHeight="1" s="70">
      <c r="A301" s="281" t="n"/>
      <c r="B301" s="279" t="n"/>
      <c r="C301" s="279" t="n"/>
      <c r="D301" s="282" t="n"/>
      <c r="E301" s="280" t="n"/>
      <c r="F301" s="283" t="n"/>
      <c r="G301" s="282" t="n"/>
      <c r="H301" s="280" t="n"/>
      <c r="I301" s="283" t="n"/>
      <c r="J301" s="176" t="inlineStr">
        <is>
          <t>— no certificate —</t>
        </is>
      </c>
      <c r="K301" s="120" t="n"/>
      <c r="L301" s="120" t="n"/>
      <c r="M301" s="120" t="n"/>
      <c r="N301" s="121" t="n"/>
      <c r="O301" s="283" t="n"/>
      <c r="P301" s="144" t="inlineStr">
        <is>
          <t>220-19-М-26, (11.09.2026) [FHM-M]</t>
        </is>
      </c>
      <c r="Q301" s="120" t="n"/>
      <c r="R301" s="121" t="n"/>
      <c r="S301" s="283" t="n"/>
      <c r="T301" s="176" t="inlineStr">
        <is>
          <t>— no certificate —</t>
        </is>
      </c>
      <c r="U301" s="120" t="n"/>
      <c r="V301" s="120" t="n"/>
      <c r="W301" s="121" t="n"/>
      <c r="X301" s="283" t="n"/>
      <c r="Y301" s="282" t="n"/>
      <c r="Z301" s="280" t="n"/>
      <c r="AA301" s="284" t="n"/>
    </row>
    <row r="302" ht="17.625" customHeight="1" s="70">
      <c r="A302" s="281" t="n"/>
      <c r="B302" s="279" t="n"/>
      <c r="C302" s="279" t="n"/>
      <c r="D302" s="151" t="n"/>
      <c r="E302" s="147" t="n"/>
      <c r="F302" s="152" t="n"/>
      <c r="G302" s="200" t="inlineStr">
        <is>
          <t>not on this certificate</t>
        </is>
      </c>
      <c r="H302" s="201" t="inlineStr">
        <is>
          <t>051-4-К-26, (04.03.2026) [FHM-K] · on file, not credited</t>
        </is>
      </c>
      <c r="I302" s="202" t="inlineStr">
        <is>
          <t>•</t>
        </is>
      </c>
      <c r="J302" s="151" t="n"/>
      <c r="K302" s="147" t="n"/>
      <c r="L302" s="147" t="n"/>
      <c r="M302" s="147" t="n"/>
      <c r="N302" s="147" t="n"/>
      <c r="O302" s="152" t="n"/>
      <c r="P302" s="151" t="n"/>
      <c r="Q302" s="147" t="n"/>
      <c r="R302" s="147" t="n"/>
      <c r="S302" s="152" t="n"/>
      <c r="T302" s="151" t="n"/>
      <c r="U302" s="147" t="n"/>
      <c r="V302" s="147" t="n"/>
      <c r="W302" s="147" t="n"/>
      <c r="X302" s="152" t="n"/>
      <c r="Y302" s="151" t="n"/>
      <c r="Z302" s="147" t="n"/>
      <c r="AA302" s="163" t="n"/>
    </row>
    <row r="303" ht="21" customHeight="1" s="70">
      <c r="A303" s="281" t="n"/>
      <c r="B303" s="279" t="n"/>
      <c r="C303" s="279" t="n"/>
      <c r="D303" s="205" t="n"/>
      <c r="E303" s="204" t="n"/>
      <c r="F303" s="206" t="n"/>
      <c r="G303" s="282" t="n"/>
      <c r="H303" s="280" t="n"/>
      <c r="I303" s="283" t="n"/>
      <c r="J303" s="205" t="n"/>
      <c r="K303" s="204" t="n"/>
      <c r="L303" s="204" t="n"/>
      <c r="M303" s="204" t="n"/>
      <c r="N303" s="204" t="n"/>
      <c r="O303" s="206" t="n"/>
      <c r="P303" s="205" t="n"/>
      <c r="Q303" s="204" t="n"/>
      <c r="R303" s="204" t="n"/>
      <c r="S303" s="206" t="n"/>
      <c r="T303" s="205" t="n"/>
      <c r="U303" s="204" t="n"/>
      <c r="V303" s="204" t="n"/>
      <c r="W303" s="204" t="n"/>
      <c r="X303" s="206" t="n"/>
      <c r="Y303" s="205" t="n"/>
      <c r="Z303" s="204" t="n"/>
      <c r="AA303" s="207" t="n"/>
    </row>
    <row r="304" ht="17.625" customHeight="1" s="70">
      <c r="A304" s="281" t="n"/>
      <c r="B304" s="279" t="n"/>
      <c r="C304" s="279" t="n"/>
      <c r="D304" s="151" t="n"/>
      <c r="E304" s="147" t="n"/>
      <c r="F304" s="152" t="n"/>
      <c r="G304" s="151" t="n"/>
      <c r="H304" s="147" t="n"/>
      <c r="I304" s="152" t="n"/>
      <c r="J304" s="151" t="n"/>
      <c r="K304" s="147" t="n"/>
      <c r="L304" s="147" t="n"/>
      <c r="M304" s="147" t="n"/>
      <c r="N304" s="147" t="n"/>
      <c r="O304" s="152" t="n"/>
      <c r="P304" s="151" t="n"/>
      <c r="Q304" s="147" t="n"/>
      <c r="R304" s="147" t="n"/>
      <c r="S304" s="152" t="n"/>
      <c r="T304" s="151" t="n"/>
      <c r="U304" s="147" t="n"/>
      <c r="V304" s="147" t="n"/>
      <c r="W304" s="147" t="n"/>
      <c r="X304" s="152" t="n"/>
      <c r="Y304" s="151" t="n"/>
      <c r="Z304" s="147" t="n"/>
      <c r="AA304" s="163" t="n"/>
    </row>
    <row r="305" ht="13" customHeight="1" s="70">
      <c r="A305" s="285" t="n"/>
      <c r="B305" s="286" t="n"/>
      <c r="C305" s="286" t="n"/>
      <c r="D305" s="166" t="n"/>
      <c r="E305" s="165" t="n"/>
      <c r="F305" s="167" t="n"/>
      <c r="G305" s="166" t="n"/>
      <c r="H305" s="165" t="n"/>
      <c r="I305" s="167" t="n"/>
      <c r="J305" s="166" t="n"/>
      <c r="K305" s="165" t="n"/>
      <c r="L305" s="165" t="n"/>
      <c r="M305" s="165" t="n"/>
      <c r="N305" s="165" t="n"/>
      <c r="O305" s="167" t="n"/>
      <c r="P305" s="166" t="n"/>
      <c r="Q305" s="165" t="n"/>
      <c r="R305" s="165" t="n"/>
      <c r="S305" s="167" t="n"/>
      <c r="T305" s="166" t="n"/>
      <c r="U305" s="165" t="n"/>
      <c r="V305" s="165" t="n"/>
      <c r="W305" s="165" t="n"/>
      <c r="X305" s="167" t="n"/>
      <c r="Y305" s="166" t="n"/>
      <c r="Z305" s="165" t="n"/>
      <c r="AA305" s="169" t="n"/>
    </row>
    <row r="306" ht="21" customHeight="1" s="70">
      <c r="A306" s="125" t="inlineStr">
        <is>
          <t>OPM1024</t>
        </is>
      </c>
      <c r="B306" s="126" t="inlineStr">
        <is>
          <t>N/A — no P batch assigned</t>
        </is>
      </c>
      <c r="C306" s="177" t="inlineStr">
        <is>
          <t>✗ 4 NO RESULT
(4 no cert / 0 cert w/o result)
2 testing instances
• 2 document(s) on file, not credited</t>
        </is>
      </c>
      <c r="D306" s="131" t="inlineStr">
        <is>
          <t>Conforms</t>
        </is>
      </c>
      <c r="E306" s="132" t="inlineStr">
        <is>
          <t>iCoA — at issue (OPM1024), (23.04.2025) [PP]</t>
        </is>
      </c>
      <c r="F306" s="133" t="inlineStr">
        <is>
          <t>✓</t>
        </is>
      </c>
      <c r="G306" s="134" t="inlineStr">
        <is>
          <t>not on this certificate</t>
        </is>
      </c>
      <c r="H306" s="135" t="inlineStr">
        <is>
          <t>197-17-К-26, (07.08.2026) [FHM-K] · on file, not credited</t>
        </is>
      </c>
      <c r="I306" s="136" t="inlineStr">
        <is>
          <t>•</t>
        </is>
      </c>
      <c r="J306" s="134" t="inlineStr">
        <is>
          <t>1.3 × 10⁴ ᴿ</t>
        </is>
      </c>
      <c r="K306" s="208" t="inlineStr">
        <is>
          <t>7 × 10² ᴿ</t>
        </is>
      </c>
      <c r="L306" s="208" t="inlineStr">
        <is>
          <t>&lt; 10² &gt; 10³ ᴿ</t>
        </is>
      </c>
      <c r="M306" s="208" t="inlineStr">
        <is>
          <t>Absent ᴿ</t>
        </is>
      </c>
      <c r="N306" s="208" t="inlineStr">
        <is>
          <t>Absent ᴿ</t>
        </is>
      </c>
      <c r="O306" s="136" t="inlineStr">
        <is>
          <t>•</t>
        </is>
      </c>
      <c r="P306" s="134" t="inlineStr">
        <is>
          <t>not reported</t>
        </is>
      </c>
      <c r="Q306" s="208" t="inlineStr">
        <is>
          <t>&lt; 2 ᴿ</t>
        </is>
      </c>
      <c r="R306" s="208" t="inlineStr">
        <is>
          <t>not reported</t>
        </is>
      </c>
      <c r="S306" s="136" t="inlineStr">
        <is>
          <t>•</t>
        </is>
      </c>
      <c r="T306" s="134" t="inlineStr">
        <is>
          <t>0.031 ᴿ</t>
        </is>
      </c>
      <c r="U306" s="208" t="inlineStr">
        <is>
          <t>0.017 ᴿ</t>
        </is>
      </c>
      <c r="V306" s="208" t="inlineStr">
        <is>
          <t>0.045 ᴿ</t>
        </is>
      </c>
      <c r="W306" s="208" t="inlineStr">
        <is>
          <t>0.005 ᴿ</t>
        </is>
      </c>
      <c r="X306" s="136" t="inlineStr">
        <is>
          <t>•</t>
        </is>
      </c>
      <c r="Y306" s="134" t="inlineStr">
        <is>
          <t>ND ᴿ</t>
        </is>
      </c>
      <c r="Z306" s="135">
        <f>IFERROR(INDEX('iCoA Register'!$B:$B,MATCH("OPM1024|I",'iCoA Register'!$AA:$AA,0)),"iCoA — at issue")&amp;", (24.04.2025) [PP] · on file, not credited"</f>
        <v/>
      </c>
      <c r="AA306" s="209" t="inlineStr">
        <is>
          <t>•</t>
        </is>
      </c>
    </row>
    <row r="307" ht="39" customHeight="1" s="70">
      <c r="A307" s="281" t="n"/>
      <c r="B307" s="279" t="n"/>
      <c r="C307" s="279" t="n"/>
      <c r="D307" s="282" t="n"/>
      <c r="E307" s="280" t="n"/>
      <c r="F307" s="283" t="n"/>
      <c r="G307" s="282" t="n"/>
      <c r="H307" s="280" t="n"/>
      <c r="I307" s="283" t="n"/>
      <c r="J307" s="210">
        <f>IFERROR(INDEX('iCoA Register'!$B:$B,MATCH("OPM1024|I",'iCoA Register'!$AA:$AA,0)),"iCoA — at issue")&amp;", (24.04.2025) [PP] · on file, not credited"</f>
        <v/>
      </c>
      <c r="K307" s="120" t="n"/>
      <c r="L307" s="120" t="n"/>
      <c r="M307" s="120" t="n"/>
      <c r="N307" s="121" t="n"/>
      <c r="O307" s="283" t="n"/>
      <c r="P307" s="210">
        <f>IFERROR(INDEX('iCoA Register'!$B:$B,MATCH("OPM1024|I",'iCoA Register'!$AA:$AA,0)),"iCoA — at issue")&amp;", (24.04.2025) [PP] · on file, not credited"</f>
        <v/>
      </c>
      <c r="Q307" s="120" t="n"/>
      <c r="R307" s="121" t="n"/>
      <c r="S307" s="283" t="n"/>
      <c r="T307" s="210">
        <f>IFERROR(INDEX('iCoA Register'!$B:$B,MATCH("OPM1024|I",'iCoA Register'!$AA:$AA,0)),"iCoA — at issue")&amp;", (24.04.2025) [PP] · on file, not credited"</f>
        <v/>
      </c>
      <c r="U307" s="120" t="n"/>
      <c r="V307" s="120" t="n"/>
      <c r="W307" s="121" t="n"/>
      <c r="X307" s="283" t="n"/>
      <c r="Y307" s="282" t="n"/>
      <c r="Z307" s="280" t="n"/>
      <c r="AA307" s="284" t="n"/>
    </row>
    <row r="308" ht="17.625" customHeight="1" s="70">
      <c r="A308" s="281" t="n"/>
      <c r="B308" s="279" t="n"/>
      <c r="C308" s="279" t="n"/>
      <c r="D308" s="153" t="inlineStr">
        <is>
          <t>Conforms</t>
        </is>
      </c>
      <c r="E308" s="154">
        <f>IFERROR(INDEX('iCoA Register'!$B:$B,MATCH("OPM1024|I",'iCoA Register'!$AA:$AA,0)),"iCoA — at issue")&amp;", (24.04.2025) [PP]"</f>
        <v/>
      </c>
      <c r="F308" s="155" t="inlineStr">
        <is>
          <t>✓</t>
        </is>
      </c>
      <c r="G308" s="151" t="n"/>
      <c r="H308" s="147" t="n"/>
      <c r="I308" s="152" t="n"/>
      <c r="J308" s="151" t="n"/>
      <c r="K308" s="147" t="n"/>
      <c r="L308" s="147" t="n"/>
      <c r="M308" s="147" t="n"/>
      <c r="N308" s="147" t="n"/>
      <c r="O308" s="152" t="n"/>
      <c r="P308" s="161" t="inlineStr">
        <is>
          <t>ND</t>
        </is>
      </c>
      <c r="Q308" s="162" t="inlineStr">
        <is>
          <t>ND</t>
        </is>
      </c>
      <c r="R308" s="162" t="inlineStr">
        <is>
          <t>ND</t>
        </is>
      </c>
      <c r="S308" s="155" t="inlineStr">
        <is>
          <t>✓</t>
        </is>
      </c>
      <c r="T308" s="151" t="n"/>
      <c r="U308" s="147" t="n"/>
      <c r="V308" s="147" t="n"/>
      <c r="W308" s="147" t="n"/>
      <c r="X308" s="152" t="n"/>
      <c r="Y308" s="151" t="n"/>
      <c r="Z308" s="147" t="n"/>
      <c r="AA308" s="163" t="n"/>
    </row>
    <row r="309" ht="39" customHeight="1" s="70">
      <c r="A309" s="285" t="n"/>
      <c r="B309" s="286" t="n"/>
      <c r="C309" s="286" t="n"/>
      <c r="D309" s="287" t="n"/>
      <c r="E309" s="286" t="n"/>
      <c r="F309" s="288" t="n"/>
      <c r="G309" s="166" t="n"/>
      <c r="H309" s="165" t="n"/>
      <c r="I309" s="167" t="n"/>
      <c r="J309" s="166" t="n"/>
      <c r="K309" s="165" t="n"/>
      <c r="L309" s="165" t="n"/>
      <c r="M309" s="165" t="n"/>
      <c r="N309" s="165" t="n"/>
      <c r="O309" s="167" t="n"/>
      <c r="P309" s="168" t="inlineStr">
        <is>
          <t>197-17-М-26, (10.08.2026) [FHM-M]</t>
        </is>
      </c>
      <c r="Q309" s="289" t="n"/>
      <c r="R309" s="290" t="n"/>
      <c r="S309" s="288" t="n"/>
      <c r="T309" s="166" t="n"/>
      <c r="U309" s="165" t="n"/>
      <c r="V309" s="165" t="n"/>
      <c r="W309" s="165" t="n"/>
      <c r="X309" s="167" t="n"/>
      <c r="Y309" s="166" t="n"/>
      <c r="Z309" s="165" t="n"/>
      <c r="AA309" s="169" t="n"/>
    </row>
    <row r="310" ht="21" customHeight="1" s="70">
      <c r="A310" s="125" t="inlineStr">
        <is>
          <t>OPM112501</t>
        </is>
      </c>
      <c r="B310" s="126" t="inlineStr">
        <is>
          <t>P060222</t>
        </is>
      </c>
      <c r="C310" s="170" t="inlineStr">
        <is>
          <t>⚠ 3 NO RESULT
(3 no cert / 0 cert w/o result)
2 testing instances
• 1 document(s) on file, not credited</t>
        </is>
      </c>
      <c r="D310" s="131" t="inlineStr">
        <is>
          <t>Conforms</t>
        </is>
      </c>
      <c r="E310" s="132">
        <f>IFERROR(INDEX('iCoA Register'!$B:$B,MATCH("P060222|I",'iCoA Register'!$AA:$AA,0)),"iCoA — at issue")&amp;", (24.04.2026) [PP]"</f>
        <v/>
      </c>
      <c r="F310" s="133" t="inlineStr">
        <is>
          <t>✓</t>
        </is>
      </c>
      <c r="G310" s="131" t="inlineStr">
        <is>
          <t>8.06 ᴿ</t>
        </is>
      </c>
      <c r="H310" s="132" t="inlineStr">
        <is>
          <t>ППК26031, (05.03.2026) [CNP]</t>
        </is>
      </c>
      <c r="I310" s="133" t="inlineStr">
        <is>
          <t>✓</t>
        </is>
      </c>
      <c r="J310" s="131" t="inlineStr">
        <is>
          <t>&lt; 10</t>
        </is>
      </c>
      <c r="K310" s="139" t="inlineStr">
        <is>
          <t>10</t>
        </is>
      </c>
      <c r="L310" s="139" t="inlineStr">
        <is>
          <t>&lt; 10</t>
        </is>
      </c>
      <c r="M310" s="139" t="inlineStr">
        <is>
          <t>Absent</t>
        </is>
      </c>
      <c r="N310" s="139" t="inlineStr">
        <is>
          <t>Absent</t>
        </is>
      </c>
      <c r="O310" s="133" t="inlineStr">
        <is>
          <t>✓</t>
        </is>
      </c>
      <c r="P310" s="171" t="inlineStr">
        <is>
          <t>— MISSING —</t>
        </is>
      </c>
      <c r="Q310" s="172" t="inlineStr">
        <is>
          <t>— MISSING —</t>
        </is>
      </c>
      <c r="R310" s="172" t="inlineStr">
        <is>
          <t>— MISSING —</t>
        </is>
      </c>
      <c r="S310" s="173" t="inlineStr">
        <is>
          <t>✗</t>
        </is>
      </c>
      <c r="T310" s="171" t="inlineStr">
        <is>
          <t>— MISSING —</t>
        </is>
      </c>
      <c r="U310" s="172" t="inlineStr">
        <is>
          <t>— MISSING —</t>
        </is>
      </c>
      <c r="V310" s="172" t="inlineStr">
        <is>
          <t>— MISSING —</t>
        </is>
      </c>
      <c r="W310" s="172" t="inlineStr">
        <is>
          <t>— MISSING —</t>
        </is>
      </c>
      <c r="X310" s="173" t="inlineStr">
        <is>
          <t>✗</t>
        </is>
      </c>
      <c r="Y310" s="171" t="inlineStr">
        <is>
          <t>— MISSING —</t>
        </is>
      </c>
      <c r="Z310" s="174" t="inlineStr">
        <is>
          <t>— no certificate —</t>
        </is>
      </c>
      <c r="AA310" s="175" t="inlineStr">
        <is>
          <t>✗</t>
        </is>
      </c>
    </row>
    <row r="311" ht="39" customHeight="1" s="70">
      <c r="A311" s="281" t="n"/>
      <c r="B311" s="279" t="n"/>
      <c r="C311" s="279" t="n"/>
      <c r="D311" s="282" t="n"/>
      <c r="E311" s="280" t="n"/>
      <c r="F311" s="283" t="n"/>
      <c r="G311" s="282" t="n"/>
      <c r="H311" s="280" t="n"/>
      <c r="I311" s="283" t="n"/>
      <c r="J311" s="144" t="inlineStr">
        <is>
          <t>546-1077-26, (31.08.2026) [IJZ-MB]</t>
        </is>
      </c>
      <c r="K311" s="120" t="n"/>
      <c r="L311" s="120" t="n"/>
      <c r="M311" s="120" t="n"/>
      <c r="N311" s="121" t="n"/>
      <c r="O311" s="283" t="n"/>
      <c r="P311" s="176" t="inlineStr">
        <is>
          <t>— no certificate —</t>
        </is>
      </c>
      <c r="Q311" s="120" t="n"/>
      <c r="R311" s="121" t="n"/>
      <c r="S311" s="283" t="n"/>
      <c r="T311" s="176" t="inlineStr">
        <is>
          <t>— no certificate —</t>
        </is>
      </c>
      <c r="U311" s="120" t="n"/>
      <c r="V311" s="120" t="n"/>
      <c r="W311" s="121" t="n"/>
      <c r="X311" s="283" t="n"/>
      <c r="Y311" s="282" t="n"/>
      <c r="Z311" s="280" t="n"/>
      <c r="AA311" s="284" t="n"/>
    </row>
    <row r="312" ht="17.625" customHeight="1" s="70">
      <c r="A312" s="281" t="n"/>
      <c r="B312" s="279" t="n"/>
      <c r="C312" s="279" t="n"/>
      <c r="D312" s="151" t="n"/>
      <c r="E312" s="147" t="n"/>
      <c r="F312" s="152" t="n"/>
      <c r="G312" s="151" t="n"/>
      <c r="H312" s="147" t="n"/>
      <c r="I312" s="152" t="n"/>
      <c r="J312" s="151" t="n"/>
      <c r="K312" s="147" t="n"/>
      <c r="L312" s="147" t="n"/>
      <c r="M312" s="147" t="n"/>
      <c r="N312" s="147" t="n"/>
      <c r="O312" s="152" t="n"/>
      <c r="P312" s="151" t="n"/>
      <c r="Q312" s="147" t="n"/>
      <c r="R312" s="147" t="n"/>
      <c r="S312" s="152" t="n"/>
      <c r="T312" s="151" t="n"/>
      <c r="U312" s="147" t="n"/>
      <c r="V312" s="147" t="n"/>
      <c r="W312" s="147" t="n"/>
      <c r="X312" s="152" t="n"/>
      <c r="Y312" s="151" t="n"/>
      <c r="Z312" s="147" t="n"/>
      <c r="AA312" s="163" t="n"/>
    </row>
    <row r="313" ht="39" customHeight="1" s="70">
      <c r="A313" s="285" t="n"/>
      <c r="B313" s="286" t="n"/>
      <c r="C313" s="286" t="n"/>
      <c r="D313" s="166" t="n"/>
      <c r="E313" s="165" t="n"/>
      <c r="F313" s="167" t="n"/>
      <c r="G313" s="166" t="n"/>
      <c r="H313" s="165" t="n"/>
      <c r="I313" s="167" t="n"/>
      <c r="J313" s="166" t="n"/>
      <c r="K313" s="165" t="n"/>
      <c r="L313" s="165" t="n"/>
      <c r="M313" s="165" t="n"/>
      <c r="N313" s="165" t="n"/>
      <c r="O313" s="167" t="n"/>
      <c r="P313" s="166" t="n"/>
      <c r="Q313" s="165" t="n"/>
      <c r="R313" s="165" t="n"/>
      <c r="S313" s="167" t="n"/>
      <c r="T313" s="166" t="n"/>
      <c r="U313" s="165" t="n"/>
      <c r="V313" s="165" t="n"/>
      <c r="W313" s="165" t="n"/>
      <c r="X313" s="167" t="n"/>
      <c r="Y313" s="166" t="n"/>
      <c r="Z313" s="165" t="n"/>
      <c r="AA313" s="169" t="n"/>
    </row>
    <row r="314" ht="30" customHeight="1" s="70">
      <c r="A314" s="125" t="inlineStr">
        <is>
          <t>BSS052501</t>
        </is>
      </c>
      <c r="B314" s="126" t="inlineStr">
        <is>
          <t>P050192</t>
        </is>
      </c>
      <c r="C314" s="170" t="inlineStr">
        <is>
          <t>⚠ 1 NO RESULT
(0 no cert / 1 cert w/o result)
3 testing instances
• 1 document(s) on file, not credited</t>
        </is>
      </c>
      <c r="D314" s="131" t="inlineStr">
        <is>
          <t>Conforms</t>
        </is>
      </c>
      <c r="E314" s="132">
        <f>IFERROR(INDEX('iCoA Register'!$B:$B,MATCH("P050192|I",'iCoA Register'!$AA:$AA,0)),"iCoA — at issue")&amp;", (10.10.2025) [PP]"</f>
        <v/>
      </c>
      <c r="F314" s="133" t="inlineStr">
        <is>
          <t>✓</t>
        </is>
      </c>
      <c r="G314" s="134" t="inlineStr">
        <is>
          <t>8.60 ᴿ</t>
        </is>
      </c>
      <c r="H314" s="135">
        <f>IFERROR(INDEX('iCoA Register'!$B:$B,MATCH("P050192|I",'iCoA Register'!$AA:$AA,0)),"iCoA — at issue")&amp;", (10.10.2025) [PP] · on file, not credited"</f>
        <v/>
      </c>
      <c r="I314" s="136" t="inlineStr">
        <is>
          <t>•</t>
        </is>
      </c>
      <c r="J314" s="131" t="inlineStr">
        <is>
          <t>200</t>
        </is>
      </c>
      <c r="K314" s="139" t="inlineStr">
        <is>
          <t>200</t>
        </is>
      </c>
      <c r="L314" s="139" t="inlineStr">
        <is>
          <t>&lt; 10² &gt; 10</t>
        </is>
      </c>
      <c r="M314" s="139" t="inlineStr">
        <is>
          <t>Absent</t>
        </is>
      </c>
      <c r="N314" s="139" t="inlineStr">
        <is>
          <t>Absent</t>
        </is>
      </c>
      <c r="O314" s="133" t="inlineStr">
        <is>
          <t>✓</t>
        </is>
      </c>
      <c r="P314" s="216" t="inlineStr">
        <is>
          <t>not on this certificate</t>
        </is>
      </c>
      <c r="Q314" s="217" t="inlineStr"/>
      <c r="R314" s="217" t="inlineStr"/>
      <c r="S314" s="218" t="inlineStr">
        <is>
          <t>✗</t>
        </is>
      </c>
      <c r="T314" s="131" t="inlineStr">
        <is>
          <t>0.024</t>
        </is>
      </c>
      <c r="U314" s="139" t="inlineStr">
        <is>
          <t>0.004</t>
        </is>
      </c>
      <c r="V314" s="139" t="inlineStr">
        <is>
          <t>0.025</t>
        </is>
      </c>
      <c r="W314" s="139" t="inlineStr">
        <is>
          <t>0.0036</t>
        </is>
      </c>
      <c r="X314" s="133" t="inlineStr">
        <is>
          <t>✓</t>
        </is>
      </c>
      <c r="Y314" s="131" t="inlineStr">
        <is>
          <t>&lt; LOQ</t>
        </is>
      </c>
      <c r="Z314" s="132" t="inlineStr">
        <is>
          <t>10802_2845-2 EN, (17.11.2025) [DFL]</t>
        </is>
      </c>
      <c r="AA314" s="140" t="inlineStr">
        <is>
          <t>✓</t>
        </is>
      </c>
    </row>
    <row r="315" ht="21" customHeight="1" s="70">
      <c r="A315" s="281" t="n"/>
      <c r="B315" s="279" t="n"/>
      <c r="C315" s="279" t="n"/>
      <c r="D315" s="282" t="n"/>
      <c r="E315" s="280" t="n"/>
      <c r="F315" s="283" t="n"/>
      <c r="G315" s="282" t="n"/>
      <c r="H315" s="280" t="n"/>
      <c r="I315" s="283" t="n"/>
      <c r="J315" s="144" t="inlineStr">
        <is>
          <t>1157-2058-25, (24.11.2025) [IJZ-MB]</t>
        </is>
      </c>
      <c r="K315" s="120" t="n"/>
      <c r="L315" s="120" t="n"/>
      <c r="M315" s="120" t="n"/>
      <c r="N315" s="121" t="n"/>
      <c r="O315" s="283" t="n"/>
      <c r="P315" s="219" t="inlineStr">
        <is>
          <t>5661-2025, (01.12.2025) [IJZ]</t>
        </is>
      </c>
      <c r="Q315" s="120" t="n"/>
      <c r="R315" s="121" t="n"/>
      <c r="S315" s="283" t="n"/>
      <c r="T315" s="144" t="inlineStr">
        <is>
          <t>5661-2025, (01.12.2025) [IJZ]</t>
        </is>
      </c>
      <c r="U315" s="120" t="n"/>
      <c r="V315" s="120" t="n"/>
      <c r="W315" s="121" t="n"/>
      <c r="X315" s="283" t="n"/>
      <c r="Y315" s="282" t="n"/>
      <c r="Z315" s="280" t="n"/>
      <c r="AA315" s="284" t="n"/>
    </row>
    <row r="316" ht="21" customHeight="1" s="70">
      <c r="A316" s="281" t="n"/>
      <c r="B316" s="279" t="n"/>
      <c r="C316" s="279" t="n"/>
      <c r="D316" s="151" t="n"/>
      <c r="E316" s="147" t="n"/>
      <c r="F316" s="152" t="n"/>
      <c r="G316" s="211" t="inlineStr">
        <is>
          <t>not on this certificate</t>
        </is>
      </c>
      <c r="H316" s="212" t="inlineStr">
        <is>
          <t>NGP-QCG-SOP-024 F3, (28.11.2025) [NGP]</t>
        </is>
      </c>
      <c r="I316" s="213" t="inlineStr">
        <is>
          <t>✗</t>
        </is>
      </c>
      <c r="J316" s="161" t="inlineStr">
        <is>
          <t>5.4 × 10²</t>
        </is>
      </c>
      <c r="K316" s="162" t="inlineStr">
        <is>
          <t>3.7 × 10²</t>
        </is>
      </c>
      <c r="L316" s="162" t="inlineStr">
        <is>
          <t>&lt; 10</t>
        </is>
      </c>
      <c r="M316" s="162" t="inlineStr">
        <is>
          <t>Absent</t>
        </is>
      </c>
      <c r="N316" s="162" t="inlineStr">
        <is>
          <t>Absent</t>
        </is>
      </c>
      <c r="O316" s="197" t="inlineStr">
        <is>
          <t>✓</t>
        </is>
      </c>
      <c r="P316" s="161" t="inlineStr">
        <is>
          <t>ND *</t>
        </is>
      </c>
      <c r="Q316" s="162" t="inlineStr">
        <is>
          <t>not reported</t>
        </is>
      </c>
      <c r="R316" s="162" t="inlineStr">
        <is>
          <t>&lt; LOQ **</t>
        </is>
      </c>
      <c r="S316" s="197" t="inlineStr">
        <is>
          <t>✓</t>
        </is>
      </c>
      <c r="T316" s="151" t="n"/>
      <c r="U316" s="147" t="n"/>
      <c r="V316" s="147" t="n"/>
      <c r="W316" s="147" t="n"/>
      <c r="X316" s="152" t="n"/>
      <c r="Y316" s="161" t="inlineStr">
        <is>
          <t>&lt; LOQ</t>
        </is>
      </c>
      <c r="Z316" s="196" t="inlineStr">
        <is>
          <t>10802_2845-2 MK, (17.11.2025) [DFL]</t>
        </is>
      </c>
      <c r="AA316" s="220" t="inlineStr">
        <is>
          <t>✓</t>
        </is>
      </c>
    </row>
    <row r="317" ht="39" customHeight="1" s="70">
      <c r="A317" s="281" t="n"/>
      <c r="B317" s="279" t="n"/>
      <c r="C317" s="279" t="n"/>
      <c r="D317" s="205" t="n"/>
      <c r="E317" s="204" t="n"/>
      <c r="F317" s="206" t="n"/>
      <c r="G317" s="282" t="n"/>
      <c r="H317" s="280" t="n"/>
      <c r="I317" s="283" t="n"/>
      <c r="J317" s="221" t="inlineStr">
        <is>
          <t>548-1079-26, (31.08.2026) [IJZ-MB]</t>
        </is>
      </c>
      <c r="K317" s="292" t="n"/>
      <c r="L317" s="292" t="n"/>
      <c r="M317" s="292" t="n"/>
      <c r="N317" s="293" t="n"/>
      <c r="O317" s="283" t="n"/>
      <c r="P317" s="221" t="inlineStr">
        <is>
          <t>276-31-М-25, (04.12.2025) [FHM-M]</t>
        </is>
      </c>
      <c r="Q317" s="292" t="n"/>
      <c r="R317" s="293" t="n"/>
      <c r="S317" s="283" t="n"/>
      <c r="T317" s="205" t="n"/>
      <c r="U317" s="204" t="n"/>
      <c r="V317" s="204" t="n"/>
      <c r="W317" s="204" t="n"/>
      <c r="X317" s="206" t="n"/>
      <c r="Y317" s="282" t="n"/>
      <c r="Z317" s="280" t="n"/>
      <c r="AA317" s="284" t="n"/>
    </row>
    <row r="318" ht="17.625" customHeight="1" s="70">
      <c r="A318" s="281" t="n"/>
      <c r="B318" s="279" t="n"/>
      <c r="C318" s="279" t="n"/>
      <c r="D318" s="151" t="n"/>
      <c r="E318" s="147" t="n"/>
      <c r="F318" s="152" t="n"/>
      <c r="G318" s="151" t="n"/>
      <c r="H318" s="147" t="n"/>
      <c r="I318" s="152" t="n"/>
      <c r="J318" s="151" t="n"/>
      <c r="K318" s="147" t="n"/>
      <c r="L318" s="147" t="n"/>
      <c r="M318" s="147" t="n"/>
      <c r="N318" s="147" t="n"/>
      <c r="O318" s="152" t="n"/>
      <c r="P318" s="161" t="inlineStr">
        <is>
          <t>ND</t>
        </is>
      </c>
      <c r="Q318" s="162" t="inlineStr">
        <is>
          <t>ND</t>
        </is>
      </c>
      <c r="R318" s="162" t="inlineStr">
        <is>
          <t>ND</t>
        </is>
      </c>
      <c r="S318" s="155" t="inlineStr">
        <is>
          <t>✓</t>
        </is>
      </c>
      <c r="T318" s="151" t="n"/>
      <c r="U318" s="147" t="n"/>
      <c r="V318" s="147" t="n"/>
      <c r="W318" s="147" t="n"/>
      <c r="X318" s="152" t="n"/>
      <c r="Y318" s="236" t="inlineStr">
        <is>
          <t>not on this certificate</t>
        </is>
      </c>
      <c r="Z318" s="237" t="inlineStr">
        <is>
          <t>5661-2025, (01.12.2025) [IJZ]</t>
        </is>
      </c>
      <c r="AA318" s="238" t="inlineStr">
        <is>
          <t>✗</t>
        </is>
      </c>
    </row>
    <row r="319" ht="39" customHeight="1" s="70">
      <c r="A319" s="285" t="n"/>
      <c r="B319" s="286" t="n"/>
      <c r="C319" s="286" t="n"/>
      <c r="D319" s="166" t="n"/>
      <c r="E319" s="165" t="n"/>
      <c r="F319" s="167" t="n"/>
      <c r="G319" s="166" t="n"/>
      <c r="H319" s="165" t="n"/>
      <c r="I319" s="167" t="n"/>
      <c r="J319" s="166" t="n"/>
      <c r="K319" s="165" t="n"/>
      <c r="L319" s="165" t="n"/>
      <c r="M319" s="165" t="n"/>
      <c r="N319" s="165" t="n"/>
      <c r="O319" s="167" t="n"/>
      <c r="P319" s="168" t="inlineStr">
        <is>
          <t>220-2-М-26, (11.09.2026) [FHM-M]</t>
        </is>
      </c>
      <c r="Q319" s="289" t="n"/>
      <c r="R319" s="290" t="n"/>
      <c r="S319" s="288" t="n"/>
      <c r="T319" s="166" t="n"/>
      <c r="U319" s="165" t="n"/>
      <c r="V319" s="165" t="n"/>
      <c r="W319" s="165" t="n"/>
      <c r="X319" s="167" t="n"/>
      <c r="Y319" s="287" t="n"/>
      <c r="Z319" s="286" t="n"/>
      <c r="AA319" s="291" t="n"/>
    </row>
    <row r="320" ht="21" customHeight="1" s="70">
      <c r="A320" s="125" t="inlineStr">
        <is>
          <t>GP062501</t>
        </is>
      </c>
      <c r="B320" s="126" t="inlineStr">
        <is>
          <t>P050202</t>
        </is>
      </c>
      <c r="C320" s="127" t="inlineStr">
        <is>
          <t>✓ COMPLETE
7 testing instances
• 5 document(s) on file, not credited
· stability above A.C.: #6</t>
        </is>
      </c>
      <c r="D320" s="131" t="inlineStr">
        <is>
          <t>Conforms</t>
        </is>
      </c>
      <c r="E320" s="132">
        <f>IFERROR(INDEX('iCoA Register'!$B:$B,MATCH("P050202|I",'iCoA Register'!$AA:$AA,0)),"iCoA — at issue")&amp;", (30.10.2025) [PP]"</f>
        <v/>
      </c>
      <c r="F320" s="133" t="inlineStr">
        <is>
          <t>✓</t>
        </is>
      </c>
      <c r="G320" s="134" t="inlineStr">
        <is>
          <t>8.19 (avg of 4 weighings 51-1,51-2,52-1,52-2) ᴿ</t>
        </is>
      </c>
      <c r="H320" s="135">
        <f>IFERROR(INDEX('iCoA Register'!$B:$B,MATCH("P050202|I",'iCoA Register'!$AA:$AA,0)),"iCoA — at issue")&amp;", (30.10.2025) [PP] · on file, not credited"</f>
        <v/>
      </c>
      <c r="I320" s="136" t="inlineStr">
        <is>
          <t>•</t>
        </is>
      </c>
      <c r="J320" s="131" t="inlineStr">
        <is>
          <t>1.3 × 10⁴</t>
        </is>
      </c>
      <c r="K320" s="139" t="inlineStr">
        <is>
          <t>4.2 × 10³</t>
        </is>
      </c>
      <c r="L320" s="139" t="inlineStr">
        <is>
          <t>&lt; 10³ and &gt; 10² ᴿ</t>
        </is>
      </c>
      <c r="M320" s="139" t="inlineStr">
        <is>
          <t>Absent</t>
        </is>
      </c>
      <c r="N320" s="139" t="inlineStr">
        <is>
          <t>Absent</t>
        </is>
      </c>
      <c r="O320" s="133" t="inlineStr">
        <is>
          <t>✓</t>
        </is>
      </c>
      <c r="P320" s="131" t="inlineStr">
        <is>
          <t>not reported</t>
        </is>
      </c>
      <c r="Q320" s="139" t="inlineStr">
        <is>
          <t>&lt; 2</t>
        </is>
      </c>
      <c r="R320" s="139" t="inlineStr">
        <is>
          <t>not reported</t>
        </is>
      </c>
      <c r="S320" s="133" t="inlineStr">
        <is>
          <t>✓</t>
        </is>
      </c>
      <c r="T320" s="131" t="inlineStr">
        <is>
          <t>0.077</t>
        </is>
      </c>
      <c r="U320" s="139" t="inlineStr">
        <is>
          <t>0.014</t>
        </is>
      </c>
      <c r="V320" s="139" t="inlineStr">
        <is>
          <t>0.024</t>
        </is>
      </c>
      <c r="W320" s="139" t="inlineStr">
        <is>
          <t>0.011</t>
        </is>
      </c>
      <c r="X320" s="133" t="inlineStr">
        <is>
          <t>✓</t>
        </is>
      </c>
      <c r="Y320" s="131" t="inlineStr">
        <is>
          <t>≤ LOQ (all 28 compounds)</t>
        </is>
      </c>
      <c r="Z320" s="132" t="inlineStr">
        <is>
          <t>4762-2025, (08.10.2025) [IJZ]</t>
        </is>
      </c>
      <c r="AA320" s="140" t="inlineStr">
        <is>
          <t>✓</t>
        </is>
      </c>
    </row>
    <row r="321" ht="24.375" customHeight="1" s="70">
      <c r="A321" s="281" t="n"/>
      <c r="B321" s="279" t="n"/>
      <c r="C321" s="279" t="n"/>
      <c r="D321" s="282" t="n"/>
      <c r="E321" s="280" t="n"/>
      <c r="F321" s="283" t="n"/>
      <c r="G321" s="282" t="n"/>
      <c r="H321" s="280" t="n"/>
      <c r="I321" s="283" t="n"/>
      <c r="J321" s="144" t="inlineStr">
        <is>
          <t>1009-1813-25, (08.10.2025) [IJZ-MB]</t>
        </is>
      </c>
      <c r="K321" s="120" t="n"/>
      <c r="L321" s="120" t="n"/>
      <c r="M321" s="120" t="n"/>
      <c r="N321" s="121" t="n"/>
      <c r="O321" s="283" t="n"/>
      <c r="P321" s="144" t="inlineStr">
        <is>
          <t>4762-2025, (08.10.2025) [IJZ]</t>
        </is>
      </c>
      <c r="Q321" s="120" t="n"/>
      <c r="R321" s="121" t="n"/>
      <c r="S321" s="283" t="n"/>
      <c r="T321" s="144" t="inlineStr">
        <is>
          <t>4762-2025, (08.10.2025) [IJZ]</t>
        </is>
      </c>
      <c r="U321" s="120" t="n"/>
      <c r="V321" s="120" t="n"/>
      <c r="W321" s="121" t="n"/>
      <c r="X321" s="283" t="n"/>
      <c r="Y321" s="282" t="n"/>
      <c r="Z321" s="280" t="n"/>
      <c r="AA321" s="284" t="n"/>
    </row>
    <row r="322" ht="17.625" customHeight="1" s="70">
      <c r="A322" s="281" t="n"/>
      <c r="B322" s="279" t="n"/>
      <c r="C322" s="279" t="n"/>
      <c r="D322" s="151" t="n"/>
      <c r="E322" s="147" t="n"/>
      <c r="F322" s="152" t="n"/>
      <c r="G322" s="161" t="inlineStr">
        <is>
          <t>8.19</t>
        </is>
      </c>
      <c r="H322" s="196" t="inlineStr">
        <is>
          <t>NGP-QCG-SOP-024 F3, (28.11.2025) [NGP]</t>
        </is>
      </c>
      <c r="I322" s="197" t="inlineStr">
        <is>
          <t>✓</t>
        </is>
      </c>
      <c r="J322" s="161" t="inlineStr">
        <is>
          <t>600</t>
        </is>
      </c>
      <c r="K322" s="162" t="inlineStr">
        <is>
          <t>400</t>
        </is>
      </c>
      <c r="L322" s="162" t="inlineStr">
        <is>
          <t>&lt; 10</t>
        </is>
      </c>
      <c r="M322" s="162" t="inlineStr">
        <is>
          <t>Absent</t>
        </is>
      </c>
      <c r="N322" s="162" t="inlineStr">
        <is>
          <t>Absent</t>
        </is>
      </c>
      <c r="O322" s="197" t="inlineStr">
        <is>
          <t>✓</t>
        </is>
      </c>
      <c r="P322" s="151" t="n"/>
      <c r="Q322" s="147" t="n"/>
      <c r="R322" s="147" t="n"/>
      <c r="S322" s="152" t="n"/>
      <c r="T322" s="151" t="n"/>
      <c r="U322" s="147" t="n"/>
      <c r="V322" s="147" t="n"/>
      <c r="W322" s="147" t="n"/>
      <c r="X322" s="152" t="n"/>
      <c r="Y322" s="151" t="n"/>
      <c r="Z322" s="147" t="n"/>
      <c r="AA322" s="163" t="n"/>
    </row>
    <row r="323" ht="13" customHeight="1" s="70">
      <c r="A323" s="281" t="n"/>
      <c r="B323" s="279" t="n"/>
      <c r="C323" s="279" t="n"/>
      <c r="D323" s="205" t="n"/>
      <c r="E323" s="204" t="n"/>
      <c r="F323" s="206" t="n"/>
      <c r="G323" s="282" t="n"/>
      <c r="H323" s="280" t="n"/>
      <c r="I323" s="283" t="n"/>
      <c r="J323" s="221" t="inlineStr">
        <is>
          <t>1155-2056-25, (24.11.2025) [IJZ-MB]</t>
        </is>
      </c>
      <c r="K323" s="292" t="n"/>
      <c r="L323" s="292" t="n"/>
      <c r="M323" s="292" t="n"/>
      <c r="N323" s="293" t="n"/>
      <c r="O323" s="283" t="n"/>
      <c r="P323" s="205" t="n"/>
      <c r="Q323" s="204" t="n"/>
      <c r="R323" s="204" t="n"/>
      <c r="S323" s="206" t="n"/>
      <c r="T323" s="205" t="n"/>
      <c r="U323" s="204" t="n"/>
      <c r="V323" s="204" t="n"/>
      <c r="W323" s="204" t="n"/>
      <c r="X323" s="206" t="n"/>
      <c r="Y323" s="205" t="n"/>
      <c r="Z323" s="204" t="n"/>
      <c r="AA323" s="207" t="n"/>
    </row>
    <row r="324" ht="17.625" customHeight="1" s="70">
      <c r="A324" s="281" t="n"/>
      <c r="B324" s="279" t="n"/>
      <c r="C324" s="279" t="n"/>
      <c r="D324" s="151" t="n"/>
      <c r="E324" s="147" t="n"/>
      <c r="F324" s="152" t="n"/>
      <c r="G324" s="228" t="inlineStr">
        <is>
          <t>5.83</t>
        </is>
      </c>
      <c r="H324" s="229" t="inlineStr">
        <is>
          <t>ППК26036, (05.03.2026) [CNP]</t>
        </is>
      </c>
      <c r="I324" s="230" t="inlineStr">
        <is>
          <t>✓</t>
        </is>
      </c>
      <c r="J324" s="161" t="inlineStr">
        <is>
          <t>&lt; 10</t>
        </is>
      </c>
      <c r="K324" s="162" t="inlineStr">
        <is>
          <t>&lt; 10</t>
        </is>
      </c>
      <c r="L324" s="162" t="inlineStr">
        <is>
          <t>&lt; 10</t>
        </is>
      </c>
      <c r="M324" s="162" t="inlineStr">
        <is>
          <t>Absent</t>
        </is>
      </c>
      <c r="N324" s="162" t="inlineStr">
        <is>
          <t>Absent</t>
        </is>
      </c>
      <c r="O324" s="197" t="inlineStr">
        <is>
          <t>✓</t>
        </is>
      </c>
      <c r="P324" s="151" t="n"/>
      <c r="Q324" s="147" t="n"/>
      <c r="R324" s="147" t="n"/>
      <c r="S324" s="152" t="n"/>
      <c r="T324" s="151" t="n"/>
      <c r="U324" s="147" t="n"/>
      <c r="V324" s="147" t="n"/>
      <c r="W324" s="147" t="n"/>
      <c r="X324" s="152" t="n"/>
      <c r="Y324" s="151" t="n"/>
      <c r="Z324" s="147" t="n"/>
      <c r="AA324" s="163" t="n"/>
    </row>
    <row r="325" ht="13" customHeight="1" s="70">
      <c r="A325" s="281" t="n"/>
      <c r="B325" s="279" t="n"/>
      <c r="C325" s="279" t="n"/>
      <c r="D325" s="205" t="n"/>
      <c r="E325" s="204" t="n"/>
      <c r="F325" s="206" t="n"/>
      <c r="G325" s="282" t="n"/>
      <c r="H325" s="280" t="n"/>
      <c r="I325" s="283" t="n"/>
      <c r="J325" s="221" t="inlineStr">
        <is>
          <t>557-1088-26, (01.09.2026) [IJZ-MB]</t>
        </is>
      </c>
      <c r="K325" s="292" t="n"/>
      <c r="L325" s="292" t="n"/>
      <c r="M325" s="292" t="n"/>
      <c r="N325" s="293" t="n"/>
      <c r="O325" s="283" t="n"/>
      <c r="P325" s="205" t="n"/>
      <c r="Q325" s="204" t="n"/>
      <c r="R325" s="204" t="n"/>
      <c r="S325" s="206" t="n"/>
      <c r="T325" s="205" t="n"/>
      <c r="U325" s="204" t="n"/>
      <c r="V325" s="204" t="n"/>
      <c r="W325" s="204" t="n"/>
      <c r="X325" s="206" t="n"/>
      <c r="Y325" s="205" t="n"/>
      <c r="Z325" s="204" t="n"/>
      <c r="AA325" s="207" t="n"/>
    </row>
    <row r="326" ht="17.625" customHeight="1" s="70">
      <c r="A326" s="281" t="n"/>
      <c r="B326" s="279" t="n"/>
      <c r="C326" s="279" t="n"/>
      <c r="D326" s="151" t="n"/>
      <c r="E326" s="147" t="n"/>
      <c r="F326" s="152" t="n"/>
      <c r="G326" s="228" t="inlineStr">
        <is>
          <t>5.38</t>
        </is>
      </c>
      <c r="H326" s="229" t="inlineStr">
        <is>
          <t>ППК26037, (05.03.2026) [CNP]</t>
        </is>
      </c>
      <c r="I326" s="230" t="inlineStr">
        <is>
          <t>✓</t>
        </is>
      </c>
      <c r="J326" s="151" t="n"/>
      <c r="K326" s="147" t="n"/>
      <c r="L326" s="147" t="n"/>
      <c r="M326" s="147" t="n"/>
      <c r="N326" s="147" t="n"/>
      <c r="O326" s="152" t="n"/>
      <c r="P326" s="151" t="n"/>
      <c r="Q326" s="147" t="n"/>
      <c r="R326" s="147" t="n"/>
      <c r="S326" s="152" t="n"/>
      <c r="T326" s="151" t="n"/>
      <c r="U326" s="147" t="n"/>
      <c r="V326" s="147" t="n"/>
      <c r="W326" s="147" t="n"/>
      <c r="X326" s="152" t="n"/>
      <c r="Y326" s="151" t="n"/>
      <c r="Z326" s="147" t="n"/>
      <c r="AA326" s="163" t="n"/>
    </row>
    <row r="327" ht="13" customHeight="1" s="70">
      <c r="A327" s="281" t="n"/>
      <c r="B327" s="279" t="n"/>
      <c r="C327" s="279" t="n"/>
      <c r="D327" s="205" t="n"/>
      <c r="E327" s="204" t="n"/>
      <c r="F327" s="206" t="n"/>
      <c r="G327" s="282" t="n"/>
      <c r="H327" s="280" t="n"/>
      <c r="I327" s="283" t="n"/>
      <c r="J327" s="205" t="n"/>
      <c r="K327" s="204" t="n"/>
      <c r="L327" s="204" t="n"/>
      <c r="M327" s="204" t="n"/>
      <c r="N327" s="204" t="n"/>
      <c r="O327" s="206" t="n"/>
      <c r="P327" s="205" t="n"/>
      <c r="Q327" s="204" t="n"/>
      <c r="R327" s="204" t="n"/>
      <c r="S327" s="206" t="n"/>
      <c r="T327" s="205" t="n"/>
      <c r="U327" s="204" t="n"/>
      <c r="V327" s="204" t="n"/>
      <c r="W327" s="204" t="n"/>
      <c r="X327" s="206" t="n"/>
      <c r="Y327" s="205" t="n"/>
      <c r="Z327" s="204" t="n"/>
      <c r="AA327" s="207" t="n"/>
    </row>
    <row r="328" ht="17.625" customHeight="1" s="70">
      <c r="A328" s="281" t="n"/>
      <c r="B328" s="279" t="n"/>
      <c r="C328" s="279" t="n"/>
      <c r="D328" s="151" t="n"/>
      <c r="E328" s="147" t="n"/>
      <c r="F328" s="152" t="n"/>
      <c r="G328" s="228" t="inlineStr">
        <is>
          <t>6.85</t>
        </is>
      </c>
      <c r="H328" s="229" t="inlineStr">
        <is>
          <t>ППК26057, (11.05.2026) [CNP]</t>
        </is>
      </c>
      <c r="I328" s="230" t="inlineStr">
        <is>
          <t>✓</t>
        </is>
      </c>
      <c r="J328" s="151" t="n"/>
      <c r="K328" s="147" t="n"/>
      <c r="L328" s="147" t="n"/>
      <c r="M328" s="147" t="n"/>
      <c r="N328" s="147" t="n"/>
      <c r="O328" s="152" t="n"/>
      <c r="P328" s="151" t="n"/>
      <c r="Q328" s="147" t="n"/>
      <c r="R328" s="147" t="n"/>
      <c r="S328" s="152" t="n"/>
      <c r="T328" s="151" t="n"/>
      <c r="U328" s="147" t="n"/>
      <c r="V328" s="147" t="n"/>
      <c r="W328" s="147" t="n"/>
      <c r="X328" s="152" t="n"/>
      <c r="Y328" s="151" t="n"/>
      <c r="Z328" s="147" t="n"/>
      <c r="AA328" s="163" t="n"/>
    </row>
    <row r="329" ht="13" customHeight="1" s="70">
      <c r="A329" s="281" t="n"/>
      <c r="B329" s="279" t="n"/>
      <c r="C329" s="279" t="n"/>
      <c r="D329" s="205" t="n"/>
      <c r="E329" s="204" t="n"/>
      <c r="F329" s="206" t="n"/>
      <c r="G329" s="282" t="n"/>
      <c r="H329" s="280" t="n"/>
      <c r="I329" s="283" t="n"/>
      <c r="J329" s="205" t="n"/>
      <c r="K329" s="204" t="n"/>
      <c r="L329" s="204" t="n"/>
      <c r="M329" s="204" t="n"/>
      <c r="N329" s="204" t="n"/>
      <c r="O329" s="206" t="n"/>
      <c r="P329" s="205" t="n"/>
      <c r="Q329" s="204" t="n"/>
      <c r="R329" s="204" t="n"/>
      <c r="S329" s="206" t="n"/>
      <c r="T329" s="205" t="n"/>
      <c r="U329" s="204" t="n"/>
      <c r="V329" s="204" t="n"/>
      <c r="W329" s="204" t="n"/>
      <c r="X329" s="206" t="n"/>
      <c r="Y329" s="205" t="n"/>
      <c r="Z329" s="204" t="n"/>
      <c r="AA329" s="207" t="n"/>
    </row>
    <row r="330" ht="17.625" customHeight="1" s="70">
      <c r="A330" s="281" t="n"/>
      <c r="B330" s="279" t="n"/>
      <c r="C330" s="279" t="n"/>
      <c r="D330" s="151" t="n"/>
      <c r="E330" s="147" t="n"/>
      <c r="F330" s="152" t="n"/>
      <c r="G330" s="228" t="inlineStr">
        <is>
          <t>6.60</t>
        </is>
      </c>
      <c r="H330" s="229" t="inlineStr">
        <is>
          <t>ППК26058, (11.05.2026) [CNP]</t>
        </is>
      </c>
      <c r="I330" s="230" t="inlineStr">
        <is>
          <t>✓</t>
        </is>
      </c>
      <c r="J330" s="151" t="n"/>
      <c r="K330" s="147" t="n"/>
      <c r="L330" s="147" t="n"/>
      <c r="M330" s="147" t="n"/>
      <c r="N330" s="147" t="n"/>
      <c r="O330" s="152" t="n"/>
      <c r="P330" s="151" t="n"/>
      <c r="Q330" s="147" t="n"/>
      <c r="R330" s="147" t="n"/>
      <c r="S330" s="152" t="n"/>
      <c r="T330" s="151" t="n"/>
      <c r="U330" s="147" t="n"/>
      <c r="V330" s="147" t="n"/>
      <c r="W330" s="147" t="n"/>
      <c r="X330" s="152" t="n"/>
      <c r="Y330" s="151" t="n"/>
      <c r="Z330" s="147" t="n"/>
      <c r="AA330" s="163" t="n"/>
    </row>
    <row r="331" ht="13" customHeight="1" s="70">
      <c r="A331" s="281" t="n"/>
      <c r="B331" s="279" t="n"/>
      <c r="C331" s="279" t="n"/>
      <c r="D331" s="205" t="n"/>
      <c r="E331" s="204" t="n"/>
      <c r="F331" s="206" t="n"/>
      <c r="G331" s="282" t="n"/>
      <c r="H331" s="280" t="n"/>
      <c r="I331" s="283" t="n"/>
      <c r="J331" s="205" t="n"/>
      <c r="K331" s="204" t="n"/>
      <c r="L331" s="204" t="n"/>
      <c r="M331" s="204" t="n"/>
      <c r="N331" s="204" t="n"/>
      <c r="O331" s="206" t="n"/>
      <c r="P331" s="205" t="n"/>
      <c r="Q331" s="204" t="n"/>
      <c r="R331" s="204" t="n"/>
      <c r="S331" s="206" t="n"/>
      <c r="T331" s="205" t="n"/>
      <c r="U331" s="204" t="n"/>
      <c r="V331" s="204" t="n"/>
      <c r="W331" s="204" t="n"/>
      <c r="X331" s="206" t="n"/>
      <c r="Y331" s="205" t="n"/>
      <c r="Z331" s="204" t="n"/>
      <c r="AA331" s="207" t="n"/>
    </row>
    <row r="332" ht="17.625" customHeight="1" s="70">
      <c r="A332" s="281" t="n"/>
      <c r="B332" s="279" t="n"/>
      <c r="C332" s="279" t="n"/>
      <c r="D332" s="151" t="n"/>
      <c r="E332" s="147" t="n"/>
      <c r="F332" s="152" t="n"/>
      <c r="G332" s="151" t="n"/>
      <c r="H332" s="147" t="n"/>
      <c r="I332" s="152" t="n"/>
      <c r="J332" s="151" t="n"/>
      <c r="K332" s="147" t="n"/>
      <c r="L332" s="147" t="n"/>
      <c r="M332" s="147" t="n"/>
      <c r="N332" s="147" t="n"/>
      <c r="O332" s="152" t="n"/>
      <c r="P332" s="151" t="n"/>
      <c r="Q332" s="147" t="n"/>
      <c r="R332" s="147" t="n"/>
      <c r="S332" s="152" t="n"/>
      <c r="T332" s="151" t="n"/>
      <c r="U332" s="147" t="n"/>
      <c r="V332" s="147" t="n"/>
      <c r="W332" s="147" t="n"/>
      <c r="X332" s="152" t="n"/>
      <c r="Y332" s="151" t="n"/>
      <c r="Z332" s="147" t="n"/>
      <c r="AA332" s="163" t="n"/>
    </row>
    <row r="333" ht="13" customHeight="1" s="70">
      <c r="A333" s="285" t="n"/>
      <c r="B333" s="286" t="n"/>
      <c r="C333" s="286" t="n"/>
      <c r="D333" s="166" t="n"/>
      <c r="E333" s="165" t="n"/>
      <c r="F333" s="167" t="n"/>
      <c r="G333" s="166" t="n"/>
      <c r="H333" s="165" t="n"/>
      <c r="I333" s="167" t="n"/>
      <c r="J333" s="166" t="n"/>
      <c r="K333" s="165" t="n"/>
      <c r="L333" s="165" t="n"/>
      <c r="M333" s="165" t="n"/>
      <c r="N333" s="165" t="n"/>
      <c r="O333" s="167" t="n"/>
      <c r="P333" s="166" t="n"/>
      <c r="Q333" s="165" t="n"/>
      <c r="R333" s="165" t="n"/>
      <c r="S333" s="167" t="n"/>
      <c r="T333" s="166" t="n"/>
      <c r="U333" s="165" t="n"/>
      <c r="V333" s="165" t="n"/>
      <c r="W333" s="165" t="n"/>
      <c r="X333" s="167" t="n"/>
      <c r="Y333" s="166" t="n"/>
      <c r="Z333" s="165" t="n"/>
      <c r="AA333" s="169" t="n"/>
    </row>
    <row r="334" ht="21" customHeight="1" s="70">
      <c r="A334" s="125" t="inlineStr">
        <is>
          <t>CC012601/1</t>
        </is>
      </c>
      <c r="B334" s="126" t="inlineStr">
        <is>
          <t>P060332</t>
        </is>
      </c>
      <c r="C334" s="177" t="inlineStr">
        <is>
          <t>✗ 4 NO RESULT
(4 no cert / 0 cert w/o result)
• 1 document(s) on file, not credited</t>
        </is>
      </c>
      <c r="D334" s="180" t="inlineStr">
        <is>
          <t>Conforms</t>
        </is>
      </c>
      <c r="E334" s="181">
        <f>IFERROR(INDEX('iCoA Register'!$B:$B,MATCH("P060332|I",'iCoA Register'!$AA:$AA,0)),"iCoA — at issue")&amp;", (22.05.2026) [PP]"</f>
        <v/>
      </c>
      <c r="F334" s="182" t="inlineStr">
        <is>
          <t>✓</t>
        </is>
      </c>
      <c r="G334" s="239" t="inlineStr">
        <is>
          <t>not on this certificate</t>
        </is>
      </c>
      <c r="H334" s="240" t="inlineStr">
        <is>
          <t>197-6-К-26, (07.08.2026) [FHM-K] · on file, not credited</t>
        </is>
      </c>
      <c r="I334" s="241" t="inlineStr">
        <is>
          <t>•</t>
        </is>
      </c>
      <c r="J334" s="171" t="inlineStr">
        <is>
          <t>— MISSING —</t>
        </is>
      </c>
      <c r="K334" s="172" t="inlineStr">
        <is>
          <t>— MISSING —</t>
        </is>
      </c>
      <c r="L334" s="172" t="inlineStr">
        <is>
          <t>— MISSING —</t>
        </is>
      </c>
      <c r="M334" s="172" t="inlineStr">
        <is>
          <t>— MISSING —</t>
        </is>
      </c>
      <c r="N334" s="172" t="inlineStr">
        <is>
          <t>— MISSING —</t>
        </is>
      </c>
      <c r="O334" s="186" t="inlineStr">
        <is>
          <t>✗</t>
        </is>
      </c>
      <c r="P334" s="131" t="inlineStr">
        <is>
          <t>ND</t>
        </is>
      </c>
      <c r="Q334" s="139" t="inlineStr">
        <is>
          <t>ND</t>
        </is>
      </c>
      <c r="R334" s="139" t="inlineStr">
        <is>
          <t>ND</t>
        </is>
      </c>
      <c r="S334" s="182" t="inlineStr">
        <is>
          <t>✓</t>
        </is>
      </c>
      <c r="T334" s="171" t="inlineStr">
        <is>
          <t>— MISSING —</t>
        </is>
      </c>
      <c r="U334" s="172" t="inlineStr">
        <is>
          <t>— MISSING —</t>
        </is>
      </c>
      <c r="V334" s="172" t="inlineStr">
        <is>
          <t>— MISSING —</t>
        </is>
      </c>
      <c r="W334" s="172" t="inlineStr">
        <is>
          <t>— MISSING —</t>
        </is>
      </c>
      <c r="X334" s="186" t="inlineStr">
        <is>
          <t>✗</t>
        </is>
      </c>
      <c r="Y334" s="187" t="inlineStr">
        <is>
          <t>— MISSING —</t>
        </is>
      </c>
      <c r="Z334" s="188" t="inlineStr">
        <is>
          <t>— no certificate —</t>
        </is>
      </c>
      <c r="AA334" s="189" t="inlineStr">
        <is>
          <t>✗</t>
        </is>
      </c>
    </row>
    <row r="335" ht="39" customHeight="1" s="70">
      <c r="A335" s="285" t="n"/>
      <c r="B335" s="286" t="n"/>
      <c r="C335" s="286" t="n"/>
      <c r="D335" s="287" t="n"/>
      <c r="E335" s="286" t="n"/>
      <c r="F335" s="288" t="n"/>
      <c r="G335" s="287" t="n"/>
      <c r="H335" s="286" t="n"/>
      <c r="I335" s="288" t="n"/>
      <c r="J335" s="190" t="inlineStr">
        <is>
          <t>— no certificate —</t>
        </is>
      </c>
      <c r="K335" s="289" t="n"/>
      <c r="L335" s="289" t="n"/>
      <c r="M335" s="289" t="n"/>
      <c r="N335" s="290" t="n"/>
      <c r="O335" s="288" t="n"/>
      <c r="P335" s="168" t="inlineStr">
        <is>
          <t>197-6-М-26, (10.08.2026) [FHM-M]</t>
        </is>
      </c>
      <c r="Q335" s="289" t="n"/>
      <c r="R335" s="290" t="n"/>
      <c r="S335" s="288" t="n"/>
      <c r="T335" s="190" t="inlineStr">
        <is>
          <t>— no certificate —</t>
        </is>
      </c>
      <c r="U335" s="289" t="n"/>
      <c r="V335" s="289" t="n"/>
      <c r="W335" s="290" t="n"/>
      <c r="X335" s="288" t="n"/>
      <c r="Y335" s="287" t="n"/>
      <c r="Z335" s="286" t="n"/>
      <c r="AA335" s="291" t="n"/>
    </row>
    <row r="336" ht="21" customHeight="1" s="70">
      <c r="A336" s="125" t="inlineStr">
        <is>
          <t>FB012602*</t>
        </is>
      </c>
      <c r="B336" s="126" t="inlineStr">
        <is>
          <t>P060352</t>
        </is>
      </c>
      <c r="C336" s="177" t="inlineStr">
        <is>
          <t>✗ 4 NO RESULT
(4 no cert / 0 cert w/o result)
• 1 document(s) on file, not credited</t>
        </is>
      </c>
      <c r="D336" s="180" t="inlineStr">
        <is>
          <t>Conforms</t>
        </is>
      </c>
      <c r="E336" s="181">
        <f>IFERROR(INDEX('iCoA Register'!$B:$B,MATCH("P060352|I",'iCoA Register'!$AA:$AA,0)),"iCoA — at issue")&amp;", (23.05.2026) [PP]"</f>
        <v/>
      </c>
      <c r="F336" s="182" t="inlineStr">
        <is>
          <t>✓</t>
        </is>
      </c>
      <c r="G336" s="239" t="inlineStr">
        <is>
          <t>not on this certificate</t>
        </is>
      </c>
      <c r="H336" s="240" t="inlineStr">
        <is>
          <t>197-7-К-26, (07.08.2026) [FHM-K] · on file, not credited</t>
        </is>
      </c>
      <c r="I336" s="241" t="inlineStr">
        <is>
          <t>•</t>
        </is>
      </c>
      <c r="J336" s="171" t="inlineStr">
        <is>
          <t>— MISSING —</t>
        </is>
      </c>
      <c r="K336" s="172" t="inlineStr">
        <is>
          <t>— MISSING —</t>
        </is>
      </c>
      <c r="L336" s="172" t="inlineStr">
        <is>
          <t>— MISSING —</t>
        </is>
      </c>
      <c r="M336" s="172" t="inlineStr">
        <is>
          <t>— MISSING —</t>
        </is>
      </c>
      <c r="N336" s="172" t="inlineStr">
        <is>
          <t>— MISSING —</t>
        </is>
      </c>
      <c r="O336" s="186" t="inlineStr">
        <is>
          <t>✗</t>
        </is>
      </c>
      <c r="P336" s="131" t="inlineStr">
        <is>
          <t>ND</t>
        </is>
      </c>
      <c r="Q336" s="139" t="inlineStr">
        <is>
          <t>ND</t>
        </is>
      </c>
      <c r="R336" s="139" t="inlineStr">
        <is>
          <t>ND</t>
        </is>
      </c>
      <c r="S336" s="182" t="inlineStr">
        <is>
          <t>✓</t>
        </is>
      </c>
      <c r="T336" s="171" t="inlineStr">
        <is>
          <t>— MISSING —</t>
        </is>
      </c>
      <c r="U336" s="172" t="inlineStr">
        <is>
          <t>— MISSING —</t>
        </is>
      </c>
      <c r="V336" s="172" t="inlineStr">
        <is>
          <t>— MISSING —</t>
        </is>
      </c>
      <c r="W336" s="172" t="inlineStr">
        <is>
          <t>— MISSING —</t>
        </is>
      </c>
      <c r="X336" s="186" t="inlineStr">
        <is>
          <t>✗</t>
        </is>
      </c>
      <c r="Y336" s="187" t="inlineStr">
        <is>
          <t>— MISSING —</t>
        </is>
      </c>
      <c r="Z336" s="188" t="inlineStr">
        <is>
          <t>— no certificate —</t>
        </is>
      </c>
      <c r="AA336" s="189" t="inlineStr">
        <is>
          <t>✗</t>
        </is>
      </c>
    </row>
    <row r="337" ht="39" customHeight="1" s="70">
      <c r="A337" s="285" t="n"/>
      <c r="B337" s="286" t="n"/>
      <c r="C337" s="286" t="n"/>
      <c r="D337" s="287" t="n"/>
      <c r="E337" s="286" t="n"/>
      <c r="F337" s="288" t="n"/>
      <c r="G337" s="287" t="n"/>
      <c r="H337" s="286" t="n"/>
      <c r="I337" s="288" t="n"/>
      <c r="J337" s="190" t="inlineStr">
        <is>
          <t>— no certificate —</t>
        </is>
      </c>
      <c r="K337" s="289" t="n"/>
      <c r="L337" s="289" t="n"/>
      <c r="M337" s="289" t="n"/>
      <c r="N337" s="290" t="n"/>
      <c r="O337" s="288" t="n"/>
      <c r="P337" s="168" t="inlineStr">
        <is>
          <t>197-7-М-26, (10.08.2026) [FHM-M]</t>
        </is>
      </c>
      <c r="Q337" s="289" t="n"/>
      <c r="R337" s="290" t="n"/>
      <c r="S337" s="288" t="n"/>
      <c r="T337" s="190" t="inlineStr">
        <is>
          <t>— no certificate —</t>
        </is>
      </c>
      <c r="U337" s="289" t="n"/>
      <c r="V337" s="289" t="n"/>
      <c r="W337" s="290" t="n"/>
      <c r="X337" s="288" t="n"/>
      <c r="Y337" s="287" t="n"/>
      <c r="Z337" s="286" t="n"/>
      <c r="AA337" s="291" t="n"/>
    </row>
    <row r="338" ht="21" customHeight="1" s="70">
      <c r="A338" s="125" t="inlineStr">
        <is>
          <t>SCR012603</t>
        </is>
      </c>
      <c r="B338" s="126" t="inlineStr">
        <is>
          <t>P060382</t>
        </is>
      </c>
      <c r="C338" s="177" t="inlineStr">
        <is>
          <t>✗ 4 NO RESULT
(4 no cert / 0 cert w/o result)
• 1 document(s) on file, not credited</t>
        </is>
      </c>
      <c r="D338" s="180" t="inlineStr">
        <is>
          <t>Conforms</t>
        </is>
      </c>
      <c r="E338" s="181">
        <f>IFERROR(INDEX('iCoA Register'!$B:$B,MATCH("P060382|I",'iCoA Register'!$AA:$AA,0)),"iCoA — at issue")&amp;", (25.05.2026) [PP]"</f>
        <v/>
      </c>
      <c r="F338" s="182" t="inlineStr">
        <is>
          <t>✓</t>
        </is>
      </c>
      <c r="G338" s="239" t="inlineStr">
        <is>
          <t>not on this certificate</t>
        </is>
      </c>
      <c r="H338" s="240" t="inlineStr">
        <is>
          <t>197-21-К-26, (07.08.2026) [FHM-K] · on file, not credited</t>
        </is>
      </c>
      <c r="I338" s="241" t="inlineStr">
        <is>
          <t>•</t>
        </is>
      </c>
      <c r="J338" s="171" t="inlineStr">
        <is>
          <t>— MISSING —</t>
        </is>
      </c>
      <c r="K338" s="172" t="inlineStr">
        <is>
          <t>— MISSING —</t>
        </is>
      </c>
      <c r="L338" s="172" t="inlineStr">
        <is>
          <t>— MISSING —</t>
        </is>
      </c>
      <c r="M338" s="172" t="inlineStr">
        <is>
          <t>— MISSING —</t>
        </is>
      </c>
      <c r="N338" s="172" t="inlineStr">
        <is>
          <t>— MISSING —</t>
        </is>
      </c>
      <c r="O338" s="186" t="inlineStr">
        <is>
          <t>✗</t>
        </is>
      </c>
      <c r="P338" s="131" t="inlineStr">
        <is>
          <t>ND</t>
        </is>
      </c>
      <c r="Q338" s="139" t="inlineStr">
        <is>
          <t>ND</t>
        </is>
      </c>
      <c r="R338" s="139" t="inlineStr">
        <is>
          <t>ND</t>
        </is>
      </c>
      <c r="S338" s="182" t="inlineStr">
        <is>
          <t>✓</t>
        </is>
      </c>
      <c r="T338" s="171" t="inlineStr">
        <is>
          <t>— MISSING —</t>
        </is>
      </c>
      <c r="U338" s="172" t="inlineStr">
        <is>
          <t>— MISSING —</t>
        </is>
      </c>
      <c r="V338" s="172" t="inlineStr">
        <is>
          <t>— MISSING —</t>
        </is>
      </c>
      <c r="W338" s="172" t="inlineStr">
        <is>
          <t>— MISSING —</t>
        </is>
      </c>
      <c r="X338" s="186" t="inlineStr">
        <is>
          <t>✗</t>
        </is>
      </c>
      <c r="Y338" s="187" t="inlineStr">
        <is>
          <t>— MISSING —</t>
        </is>
      </c>
      <c r="Z338" s="188" t="inlineStr">
        <is>
          <t>— no certificate —</t>
        </is>
      </c>
      <c r="AA338" s="189" t="inlineStr">
        <is>
          <t>✗</t>
        </is>
      </c>
    </row>
    <row r="339" ht="39" customHeight="1" s="70">
      <c r="A339" s="285" t="n"/>
      <c r="B339" s="286" t="n"/>
      <c r="C339" s="286" t="n"/>
      <c r="D339" s="287" t="n"/>
      <c r="E339" s="286" t="n"/>
      <c r="F339" s="288" t="n"/>
      <c r="G339" s="287" t="n"/>
      <c r="H339" s="286" t="n"/>
      <c r="I339" s="288" t="n"/>
      <c r="J339" s="190" t="inlineStr">
        <is>
          <t>— no certificate —</t>
        </is>
      </c>
      <c r="K339" s="289" t="n"/>
      <c r="L339" s="289" t="n"/>
      <c r="M339" s="289" t="n"/>
      <c r="N339" s="290" t="n"/>
      <c r="O339" s="288" t="n"/>
      <c r="P339" s="168" t="inlineStr">
        <is>
          <t>197-21-М-26, (10.08.2026) [FHM-M]</t>
        </is>
      </c>
      <c r="Q339" s="289" t="n"/>
      <c r="R339" s="290" t="n"/>
      <c r="S339" s="288" t="n"/>
      <c r="T339" s="190" t="inlineStr">
        <is>
          <t>— no certificate —</t>
        </is>
      </c>
      <c r="U339" s="289" t="n"/>
      <c r="V339" s="289" t="n"/>
      <c r="W339" s="290" t="n"/>
      <c r="X339" s="288" t="n"/>
      <c r="Y339" s="287" t="n"/>
      <c r="Z339" s="286" t="n"/>
      <c r="AA339" s="291" t="n"/>
    </row>
    <row r="340" ht="21" customHeight="1" s="70">
      <c r="A340" s="125" t="inlineStr">
        <is>
          <t>— not recorded — (P160012)</t>
        </is>
      </c>
      <c r="B340" s="126" t="inlineStr">
        <is>
          <t>P160012</t>
        </is>
      </c>
      <c r="C340" s="177" t="inlineStr">
        <is>
          <t>✗ 4 NO RESULT
(4 no cert / 0 cert w/o result)</t>
        </is>
      </c>
      <c r="D340" s="180" t="inlineStr">
        <is>
          <t>0.42 % (Conforms)</t>
        </is>
      </c>
      <c r="E340" s="181" t="inlineStr">
        <is>
          <t>ППК26117, (06.07.2026) [CNP]</t>
        </is>
      </c>
      <c r="F340" s="182" t="inlineStr">
        <is>
          <t>✓</t>
        </is>
      </c>
      <c r="G340" s="180" t="inlineStr">
        <is>
          <t>6.31</t>
        </is>
      </c>
      <c r="H340" s="181" t="inlineStr">
        <is>
          <t>ППК26117, (06.07.2026) [CNP]</t>
        </is>
      </c>
      <c r="I340" s="182" t="inlineStr">
        <is>
          <t>✓</t>
        </is>
      </c>
      <c r="J340" s="171" t="inlineStr">
        <is>
          <t>— MISSING —</t>
        </is>
      </c>
      <c r="K340" s="172" t="inlineStr">
        <is>
          <t>— MISSING —</t>
        </is>
      </c>
      <c r="L340" s="172" t="inlineStr">
        <is>
          <t>— MISSING —</t>
        </is>
      </c>
      <c r="M340" s="172" t="inlineStr">
        <is>
          <t>— MISSING —</t>
        </is>
      </c>
      <c r="N340" s="172" t="inlineStr">
        <is>
          <t>— MISSING —</t>
        </is>
      </c>
      <c r="O340" s="186" t="inlineStr">
        <is>
          <t>✗</t>
        </is>
      </c>
      <c r="P340" s="171" t="inlineStr">
        <is>
          <t>— MISSING —</t>
        </is>
      </c>
      <c r="Q340" s="172" t="inlineStr">
        <is>
          <t>— MISSING —</t>
        </is>
      </c>
      <c r="R340" s="172" t="inlineStr">
        <is>
          <t>— MISSING —</t>
        </is>
      </c>
      <c r="S340" s="186" t="inlineStr">
        <is>
          <t>✗</t>
        </is>
      </c>
      <c r="T340" s="171" t="inlineStr">
        <is>
          <t>— MISSING —</t>
        </is>
      </c>
      <c r="U340" s="172" t="inlineStr">
        <is>
          <t>— MISSING —</t>
        </is>
      </c>
      <c r="V340" s="172" t="inlineStr">
        <is>
          <t>— MISSING —</t>
        </is>
      </c>
      <c r="W340" s="172" t="inlineStr">
        <is>
          <t>— MISSING —</t>
        </is>
      </c>
      <c r="X340" s="186" t="inlineStr">
        <is>
          <t>✗</t>
        </is>
      </c>
      <c r="Y340" s="187" t="inlineStr">
        <is>
          <t>— MISSING —</t>
        </is>
      </c>
      <c r="Z340" s="188" t="inlineStr">
        <is>
          <t>— no certificate —</t>
        </is>
      </c>
      <c r="AA340" s="189" t="inlineStr">
        <is>
          <t>✗</t>
        </is>
      </c>
    </row>
    <row r="341" ht="13" customHeight="1" s="70">
      <c r="A341" s="285" t="n"/>
      <c r="B341" s="286" t="n"/>
      <c r="C341" s="286" t="n"/>
      <c r="D341" s="287" t="n"/>
      <c r="E341" s="286" t="n"/>
      <c r="F341" s="288" t="n"/>
      <c r="G341" s="287" t="n"/>
      <c r="H341" s="286" t="n"/>
      <c r="I341" s="288" t="n"/>
      <c r="J341" s="190" t="inlineStr">
        <is>
          <t>— no certificate —</t>
        </is>
      </c>
      <c r="K341" s="289" t="n"/>
      <c r="L341" s="289" t="n"/>
      <c r="M341" s="289" t="n"/>
      <c r="N341" s="290" t="n"/>
      <c r="O341" s="288" t="n"/>
      <c r="P341" s="190" t="inlineStr">
        <is>
          <t>— no certificate —</t>
        </is>
      </c>
      <c r="Q341" s="289" t="n"/>
      <c r="R341" s="290" t="n"/>
      <c r="S341" s="288" t="n"/>
      <c r="T341" s="190" t="inlineStr">
        <is>
          <t>— no certificate —</t>
        </is>
      </c>
      <c r="U341" s="289" t="n"/>
      <c r="V341" s="289" t="n"/>
      <c r="W341" s="290" t="n"/>
      <c r="X341" s="288" t="n"/>
      <c r="Y341" s="287" t="n"/>
      <c r="Z341" s="286" t="n"/>
      <c r="AA341" s="291" t="n"/>
    </row>
    <row r="342" ht="21" customHeight="1" s="70">
      <c r="A342" s="125" t="inlineStr">
        <is>
          <t>— not recorded — (P160022)</t>
        </is>
      </c>
      <c r="B342" s="126" t="inlineStr">
        <is>
          <t>P160022</t>
        </is>
      </c>
      <c r="C342" s="177" t="inlineStr">
        <is>
          <t>✗ 4 NO RESULT
(4 no cert / 0 cert w/o result)</t>
        </is>
      </c>
      <c r="D342" s="180" t="inlineStr">
        <is>
          <t>Conforms (no value printed)</t>
        </is>
      </c>
      <c r="E342" s="181" t="inlineStr">
        <is>
          <t>ППК26118, (06.07.2026) [CNP]</t>
        </is>
      </c>
      <c r="F342" s="182" t="inlineStr">
        <is>
          <t>✓</t>
        </is>
      </c>
      <c r="G342" s="180" t="inlineStr">
        <is>
          <t>6.67</t>
        </is>
      </c>
      <c r="H342" s="181" t="inlineStr">
        <is>
          <t>ППК26118, (06.07.2026) [CNP]</t>
        </is>
      </c>
      <c r="I342" s="182" t="inlineStr">
        <is>
          <t>✓</t>
        </is>
      </c>
      <c r="J342" s="171" t="inlineStr">
        <is>
          <t>— MISSING —</t>
        </is>
      </c>
      <c r="K342" s="172" t="inlineStr">
        <is>
          <t>— MISSING —</t>
        </is>
      </c>
      <c r="L342" s="172" t="inlineStr">
        <is>
          <t>— MISSING —</t>
        </is>
      </c>
      <c r="M342" s="172" t="inlineStr">
        <is>
          <t>— MISSING —</t>
        </is>
      </c>
      <c r="N342" s="172" t="inlineStr">
        <is>
          <t>— MISSING —</t>
        </is>
      </c>
      <c r="O342" s="186" t="inlineStr">
        <is>
          <t>✗</t>
        </is>
      </c>
      <c r="P342" s="171" t="inlineStr">
        <is>
          <t>— MISSING —</t>
        </is>
      </c>
      <c r="Q342" s="172" t="inlineStr">
        <is>
          <t>— MISSING —</t>
        </is>
      </c>
      <c r="R342" s="172" t="inlineStr">
        <is>
          <t>— MISSING —</t>
        </is>
      </c>
      <c r="S342" s="186" t="inlineStr">
        <is>
          <t>✗</t>
        </is>
      </c>
      <c r="T342" s="171" t="inlineStr">
        <is>
          <t>— MISSING —</t>
        </is>
      </c>
      <c r="U342" s="172" t="inlineStr">
        <is>
          <t>— MISSING —</t>
        </is>
      </c>
      <c r="V342" s="172" t="inlineStr">
        <is>
          <t>— MISSING —</t>
        </is>
      </c>
      <c r="W342" s="172" t="inlineStr">
        <is>
          <t>— MISSING —</t>
        </is>
      </c>
      <c r="X342" s="186" t="inlineStr">
        <is>
          <t>✗</t>
        </is>
      </c>
      <c r="Y342" s="187" t="inlineStr">
        <is>
          <t>— MISSING —</t>
        </is>
      </c>
      <c r="Z342" s="188" t="inlineStr">
        <is>
          <t>— no certificate —</t>
        </is>
      </c>
      <c r="AA342" s="189" t="inlineStr">
        <is>
          <t>✗</t>
        </is>
      </c>
    </row>
    <row r="343" ht="15.375" customHeight="1" s="70">
      <c r="A343" s="285" t="n"/>
      <c r="B343" s="286" t="n"/>
      <c r="C343" s="286" t="n"/>
      <c r="D343" s="287" t="n"/>
      <c r="E343" s="286" t="n"/>
      <c r="F343" s="288" t="n"/>
      <c r="G343" s="287" t="n"/>
      <c r="H343" s="286" t="n"/>
      <c r="I343" s="288" t="n"/>
      <c r="J343" s="190" t="inlineStr">
        <is>
          <t>— no certificate —</t>
        </is>
      </c>
      <c r="K343" s="289" t="n"/>
      <c r="L343" s="289" t="n"/>
      <c r="M343" s="289" t="n"/>
      <c r="N343" s="290" t="n"/>
      <c r="O343" s="288" t="n"/>
      <c r="P343" s="190" t="inlineStr">
        <is>
          <t>— no certificate —</t>
        </is>
      </c>
      <c r="Q343" s="289" t="n"/>
      <c r="R343" s="290" t="n"/>
      <c r="S343" s="288" t="n"/>
      <c r="T343" s="190" t="inlineStr">
        <is>
          <t>— no certificate —</t>
        </is>
      </c>
      <c r="U343" s="289" t="n"/>
      <c r="V343" s="289" t="n"/>
      <c r="W343" s="290" t="n"/>
      <c r="X343" s="288" t="n"/>
      <c r="Y343" s="287" t="n"/>
      <c r="Z343" s="286" t="n"/>
      <c r="AA343" s="291" t="n"/>
    </row>
    <row r="344" ht="21" customHeight="1" s="70">
      <c r="A344" s="125" t="inlineStr">
        <is>
          <t>— not recorded — (P160032)</t>
        </is>
      </c>
      <c r="B344" s="126" t="inlineStr">
        <is>
          <t>P160032</t>
        </is>
      </c>
      <c r="C344" s="177" t="inlineStr">
        <is>
          <t>✗ 4 NO RESULT
(4 no cert / 0 cert w/o result)</t>
        </is>
      </c>
      <c r="D344" s="180" t="inlineStr">
        <is>
          <t>Conforms (no value printed)</t>
        </is>
      </c>
      <c r="E344" s="181" t="inlineStr">
        <is>
          <t>ППК26119, (06.07.2026) [CNP]</t>
        </is>
      </c>
      <c r="F344" s="182" t="inlineStr">
        <is>
          <t>✓</t>
        </is>
      </c>
      <c r="G344" s="180" t="inlineStr">
        <is>
          <t>6.78</t>
        </is>
      </c>
      <c r="H344" s="181" t="inlineStr">
        <is>
          <t>ППК26119, (06.07.2026) [CNP]</t>
        </is>
      </c>
      <c r="I344" s="182" t="inlineStr">
        <is>
          <t>✓</t>
        </is>
      </c>
      <c r="J344" s="171" t="inlineStr">
        <is>
          <t>— MISSING —</t>
        </is>
      </c>
      <c r="K344" s="172" t="inlineStr">
        <is>
          <t>— MISSING —</t>
        </is>
      </c>
      <c r="L344" s="172" t="inlineStr">
        <is>
          <t>— MISSING —</t>
        </is>
      </c>
      <c r="M344" s="172" t="inlineStr">
        <is>
          <t>— MISSING —</t>
        </is>
      </c>
      <c r="N344" s="172" t="inlineStr">
        <is>
          <t>— MISSING —</t>
        </is>
      </c>
      <c r="O344" s="186" t="inlineStr">
        <is>
          <t>✗</t>
        </is>
      </c>
      <c r="P344" s="171" t="inlineStr">
        <is>
          <t>— MISSING —</t>
        </is>
      </c>
      <c r="Q344" s="172" t="inlineStr">
        <is>
          <t>— MISSING —</t>
        </is>
      </c>
      <c r="R344" s="172" t="inlineStr">
        <is>
          <t>— MISSING —</t>
        </is>
      </c>
      <c r="S344" s="186" t="inlineStr">
        <is>
          <t>✗</t>
        </is>
      </c>
      <c r="T344" s="171" t="inlineStr">
        <is>
          <t>— MISSING —</t>
        </is>
      </c>
      <c r="U344" s="172" t="inlineStr">
        <is>
          <t>— MISSING —</t>
        </is>
      </c>
      <c r="V344" s="172" t="inlineStr">
        <is>
          <t>— MISSING —</t>
        </is>
      </c>
      <c r="W344" s="172" t="inlineStr">
        <is>
          <t>— MISSING —</t>
        </is>
      </c>
      <c r="X344" s="186" t="inlineStr">
        <is>
          <t>✗</t>
        </is>
      </c>
      <c r="Y344" s="187" t="inlineStr">
        <is>
          <t>— MISSING —</t>
        </is>
      </c>
      <c r="Z344" s="188" t="inlineStr">
        <is>
          <t>— no certificate —</t>
        </is>
      </c>
      <c r="AA344" s="189" t="inlineStr">
        <is>
          <t>✗</t>
        </is>
      </c>
    </row>
    <row r="345" ht="15.375" customHeight="1" s="70">
      <c r="A345" s="285" t="n"/>
      <c r="B345" s="286" t="n"/>
      <c r="C345" s="286" t="n"/>
      <c r="D345" s="287" t="n"/>
      <c r="E345" s="286" t="n"/>
      <c r="F345" s="288" t="n"/>
      <c r="G345" s="287" t="n"/>
      <c r="H345" s="286" t="n"/>
      <c r="I345" s="288" t="n"/>
      <c r="J345" s="190" t="inlineStr">
        <is>
          <t>— no certificate —</t>
        </is>
      </c>
      <c r="K345" s="289" t="n"/>
      <c r="L345" s="289" t="n"/>
      <c r="M345" s="289" t="n"/>
      <c r="N345" s="290" t="n"/>
      <c r="O345" s="288" t="n"/>
      <c r="P345" s="190" t="inlineStr">
        <is>
          <t>— no certificate —</t>
        </is>
      </c>
      <c r="Q345" s="289" t="n"/>
      <c r="R345" s="290" t="n"/>
      <c r="S345" s="288" t="n"/>
      <c r="T345" s="190" t="inlineStr">
        <is>
          <t>— no certificate —</t>
        </is>
      </c>
      <c r="U345" s="289" t="n"/>
      <c r="V345" s="289" t="n"/>
      <c r="W345" s="290" t="n"/>
      <c r="X345" s="288" t="n"/>
      <c r="Y345" s="287" t="n"/>
      <c r="Z345" s="286" t="n"/>
      <c r="AA345" s="291" t="n"/>
    </row>
    <row r="346" ht="21" customHeight="1" s="70">
      <c r="A346" s="125" t="inlineStr">
        <is>
          <t>PM112501</t>
        </is>
      </c>
      <c r="B346" s="126" t="inlineStr">
        <is>
          <t>P060232</t>
        </is>
      </c>
      <c r="C346" s="170" t="inlineStr">
        <is>
          <t>⚠ 3 NO RESULT
(3 no cert / 0 cert w/o result)
2 testing instances
• 1 document(s) on file, not credited</t>
        </is>
      </c>
      <c r="D346" s="131" t="inlineStr">
        <is>
          <t>Conforms</t>
        </is>
      </c>
      <c r="E346" s="132">
        <f>IFERROR(INDEX('iCoA Register'!$B:$B,MATCH("P060232|I",'iCoA Register'!$AA:$AA,0)),"iCoA — at issue")&amp;", (27.04.2026) [PP]"</f>
        <v/>
      </c>
      <c r="F346" s="133" t="inlineStr">
        <is>
          <t>✓</t>
        </is>
      </c>
      <c r="G346" s="131" t="inlineStr">
        <is>
          <t>8.61</t>
        </is>
      </c>
      <c r="H346" s="132" t="inlineStr">
        <is>
          <t>ППК26030, (05.03.2026) [CNP]</t>
        </is>
      </c>
      <c r="I346" s="133" t="inlineStr">
        <is>
          <t>✓</t>
        </is>
      </c>
      <c r="J346" s="171" t="inlineStr">
        <is>
          <t>— MISSING —</t>
        </is>
      </c>
      <c r="K346" s="172" t="inlineStr">
        <is>
          <t>— MISSING —</t>
        </is>
      </c>
      <c r="L346" s="172" t="inlineStr">
        <is>
          <t>— MISSING —</t>
        </is>
      </c>
      <c r="M346" s="172" t="inlineStr">
        <is>
          <t>— MISSING —</t>
        </is>
      </c>
      <c r="N346" s="172" t="inlineStr">
        <is>
          <t>— MISSING —</t>
        </is>
      </c>
      <c r="O346" s="173" t="inlineStr">
        <is>
          <t>✗</t>
        </is>
      </c>
      <c r="P346" s="131" t="inlineStr">
        <is>
          <t>ND</t>
        </is>
      </c>
      <c r="Q346" s="139" t="inlineStr">
        <is>
          <t>ND</t>
        </is>
      </c>
      <c r="R346" s="139" t="inlineStr">
        <is>
          <t>ND</t>
        </is>
      </c>
      <c r="S346" s="133" t="inlineStr">
        <is>
          <t>✓</t>
        </is>
      </c>
      <c r="T346" s="171" t="inlineStr">
        <is>
          <t>— MISSING —</t>
        </is>
      </c>
      <c r="U346" s="172" t="inlineStr">
        <is>
          <t>— MISSING —</t>
        </is>
      </c>
      <c r="V346" s="172" t="inlineStr">
        <is>
          <t>— MISSING —</t>
        </is>
      </c>
      <c r="W346" s="172" t="inlineStr">
        <is>
          <t>— MISSING —</t>
        </is>
      </c>
      <c r="X346" s="173" t="inlineStr">
        <is>
          <t>✗</t>
        </is>
      </c>
      <c r="Y346" s="171" t="inlineStr">
        <is>
          <t>— MISSING —</t>
        </is>
      </c>
      <c r="Z346" s="174" t="inlineStr">
        <is>
          <t>— no certificate —</t>
        </is>
      </c>
      <c r="AA346" s="175" t="inlineStr">
        <is>
          <t>✗</t>
        </is>
      </c>
    </row>
    <row r="347" ht="39" customHeight="1" s="70">
      <c r="A347" s="281" t="n"/>
      <c r="B347" s="279" t="n"/>
      <c r="C347" s="279" t="n"/>
      <c r="D347" s="282" t="n"/>
      <c r="E347" s="280" t="n"/>
      <c r="F347" s="283" t="n"/>
      <c r="G347" s="282" t="n"/>
      <c r="H347" s="280" t="n"/>
      <c r="I347" s="283" t="n"/>
      <c r="J347" s="176" t="inlineStr">
        <is>
          <t>— no certificate —</t>
        </is>
      </c>
      <c r="K347" s="120" t="n"/>
      <c r="L347" s="120" t="n"/>
      <c r="M347" s="120" t="n"/>
      <c r="N347" s="121" t="n"/>
      <c r="O347" s="283" t="n"/>
      <c r="P347" s="144" t="inlineStr">
        <is>
          <t>220-24-М-26, (11.09.2026) [FHM-M]</t>
        </is>
      </c>
      <c r="Q347" s="120" t="n"/>
      <c r="R347" s="121" t="n"/>
      <c r="S347" s="283" t="n"/>
      <c r="T347" s="176" t="inlineStr">
        <is>
          <t>— no certificate —</t>
        </is>
      </c>
      <c r="U347" s="120" t="n"/>
      <c r="V347" s="120" t="n"/>
      <c r="W347" s="121" t="n"/>
      <c r="X347" s="283" t="n"/>
      <c r="Y347" s="282" t="n"/>
      <c r="Z347" s="280" t="n"/>
      <c r="AA347" s="284" t="n"/>
    </row>
    <row r="348" ht="17.625" customHeight="1" s="70">
      <c r="A348" s="281" t="n"/>
      <c r="B348" s="279" t="n"/>
      <c r="C348" s="279" t="n"/>
      <c r="D348" s="151" t="n"/>
      <c r="E348" s="147" t="n"/>
      <c r="F348" s="152" t="n"/>
      <c r="G348" s="151" t="n"/>
      <c r="H348" s="147" t="n"/>
      <c r="I348" s="152" t="n"/>
      <c r="J348" s="151" t="n"/>
      <c r="K348" s="147" t="n"/>
      <c r="L348" s="147" t="n"/>
      <c r="M348" s="147" t="n"/>
      <c r="N348" s="147" t="n"/>
      <c r="O348" s="152" t="n"/>
      <c r="P348" s="151" t="n"/>
      <c r="Q348" s="147" t="n"/>
      <c r="R348" s="147" t="n"/>
      <c r="S348" s="152" t="n"/>
      <c r="T348" s="151" t="n"/>
      <c r="U348" s="147" t="n"/>
      <c r="V348" s="147" t="n"/>
      <c r="W348" s="147" t="n"/>
      <c r="X348" s="152" t="n"/>
      <c r="Y348" s="151" t="n"/>
      <c r="Z348" s="147" t="n"/>
      <c r="AA348" s="163" t="n"/>
    </row>
    <row r="349" ht="39" customHeight="1" s="70">
      <c r="A349" s="285" t="n"/>
      <c r="B349" s="286" t="n"/>
      <c r="C349" s="286" t="n"/>
      <c r="D349" s="166" t="n"/>
      <c r="E349" s="165" t="n"/>
      <c r="F349" s="167" t="n"/>
      <c r="G349" s="166" t="n"/>
      <c r="H349" s="165" t="n"/>
      <c r="I349" s="167" t="n"/>
      <c r="J349" s="166" t="n"/>
      <c r="K349" s="165" t="n"/>
      <c r="L349" s="165" t="n"/>
      <c r="M349" s="165" t="n"/>
      <c r="N349" s="165" t="n"/>
      <c r="O349" s="167" t="n"/>
      <c r="P349" s="166" t="n"/>
      <c r="Q349" s="165" t="n"/>
      <c r="R349" s="165" t="n"/>
      <c r="S349" s="167" t="n"/>
      <c r="T349" s="166" t="n"/>
      <c r="U349" s="165" t="n"/>
      <c r="V349" s="165" t="n"/>
      <c r="W349" s="165" t="n"/>
      <c r="X349" s="167" t="n"/>
      <c r="Y349" s="166" t="n"/>
      <c r="Z349" s="165" t="n"/>
      <c r="AA349" s="169" t="n"/>
    </row>
    <row r="350" ht="21" customHeight="1" s="70">
      <c r="A350" s="125" t="inlineStr">
        <is>
          <t>SCR022601</t>
        </is>
      </c>
      <c r="B350" s="126" t="inlineStr">
        <is>
          <t>P060442</t>
        </is>
      </c>
      <c r="C350" s="170" t="inlineStr">
        <is>
          <t>⚠ 3 NO RESULT
(3 no cert / 0 cert w/o result)
2 testing instances</t>
        </is>
      </c>
      <c r="D350" s="131" t="inlineStr">
        <is>
          <t>Conforms ᴿ</t>
        </is>
      </c>
      <c r="E350" s="132" t="inlineStr">
        <is>
          <t>ППК26116, (06.07.2026) [CNP]</t>
        </is>
      </c>
      <c r="F350" s="133" t="inlineStr">
        <is>
          <t>✓</t>
        </is>
      </c>
      <c r="G350" s="131" t="inlineStr">
        <is>
          <t>7.06 ᴿ</t>
        </is>
      </c>
      <c r="H350" s="132" t="inlineStr">
        <is>
          <t>ППК26116, (06.07.2026) [CNP]</t>
        </is>
      </c>
      <c r="I350" s="133" t="inlineStr">
        <is>
          <t>✓</t>
        </is>
      </c>
      <c r="J350" s="131" t="inlineStr">
        <is>
          <t>1.7 × 10³</t>
        </is>
      </c>
      <c r="K350" s="139" t="inlineStr">
        <is>
          <t>5.6 × 10²</t>
        </is>
      </c>
      <c r="L350" s="139" t="inlineStr">
        <is>
          <t>&lt; 10</t>
        </is>
      </c>
      <c r="M350" s="139" t="inlineStr">
        <is>
          <t>Absent</t>
        </is>
      </c>
      <c r="N350" s="139" t="inlineStr">
        <is>
          <t>Absent</t>
        </is>
      </c>
      <c r="O350" s="133" t="inlineStr">
        <is>
          <t>✓</t>
        </is>
      </c>
      <c r="P350" s="171" t="inlineStr">
        <is>
          <t>— MISSING —</t>
        </is>
      </c>
      <c r="Q350" s="172" t="inlineStr">
        <is>
          <t>— MISSING —</t>
        </is>
      </c>
      <c r="R350" s="172" t="inlineStr">
        <is>
          <t>— MISSING —</t>
        </is>
      </c>
      <c r="S350" s="173" t="inlineStr">
        <is>
          <t>✗</t>
        </is>
      </c>
      <c r="T350" s="171" t="inlineStr">
        <is>
          <t>— MISSING —</t>
        </is>
      </c>
      <c r="U350" s="172" t="inlineStr">
        <is>
          <t>— MISSING —</t>
        </is>
      </c>
      <c r="V350" s="172" t="inlineStr">
        <is>
          <t>— MISSING —</t>
        </is>
      </c>
      <c r="W350" s="172" t="inlineStr">
        <is>
          <t>— MISSING —</t>
        </is>
      </c>
      <c r="X350" s="173" t="inlineStr">
        <is>
          <t>✗</t>
        </is>
      </c>
      <c r="Y350" s="171" t="inlineStr">
        <is>
          <t>— MISSING —</t>
        </is>
      </c>
      <c r="Z350" s="174" t="inlineStr">
        <is>
          <t>— no certificate —</t>
        </is>
      </c>
      <c r="AA350" s="175" t="inlineStr">
        <is>
          <t>✗</t>
        </is>
      </c>
    </row>
    <row r="351" ht="39" customHeight="1" s="70">
      <c r="A351" s="281" t="n"/>
      <c r="B351" s="279" t="n"/>
      <c r="C351" s="279" t="n"/>
      <c r="D351" s="282" t="n"/>
      <c r="E351" s="280" t="n"/>
      <c r="F351" s="283" t="n"/>
      <c r="G351" s="282" t="n"/>
      <c r="H351" s="280" t="n"/>
      <c r="I351" s="283" t="n"/>
      <c r="J351" s="144" t="inlineStr">
        <is>
          <t>536-1067-26, (31.08.2026) [IJZ-MB]</t>
        </is>
      </c>
      <c r="K351" s="120" t="n"/>
      <c r="L351" s="120" t="n"/>
      <c r="M351" s="120" t="n"/>
      <c r="N351" s="121" t="n"/>
      <c r="O351" s="283" t="n"/>
      <c r="P351" s="176" t="inlineStr">
        <is>
          <t>— no certificate —</t>
        </is>
      </c>
      <c r="Q351" s="120" t="n"/>
      <c r="R351" s="121" t="n"/>
      <c r="S351" s="283" t="n"/>
      <c r="T351" s="176" t="inlineStr">
        <is>
          <t>— no certificate —</t>
        </is>
      </c>
      <c r="U351" s="120" t="n"/>
      <c r="V351" s="120" t="n"/>
      <c r="W351" s="121" t="n"/>
      <c r="X351" s="283" t="n"/>
      <c r="Y351" s="282" t="n"/>
      <c r="Z351" s="280" t="n"/>
      <c r="AA351" s="284" t="n"/>
    </row>
    <row r="352" ht="17.625" customHeight="1" s="70">
      <c r="A352" s="281" t="n"/>
      <c r="B352" s="279" t="n"/>
      <c r="C352" s="279" t="n"/>
      <c r="D352" s="151" t="n"/>
      <c r="E352" s="147" t="n"/>
      <c r="F352" s="152" t="n"/>
      <c r="G352" s="151" t="n"/>
      <c r="H352" s="147" t="n"/>
      <c r="I352" s="152" t="n"/>
      <c r="J352" s="151" t="n"/>
      <c r="K352" s="147" t="n"/>
      <c r="L352" s="147" t="n"/>
      <c r="M352" s="147" t="n"/>
      <c r="N352" s="147" t="n"/>
      <c r="O352" s="152" t="n"/>
      <c r="P352" s="151" t="n"/>
      <c r="Q352" s="147" t="n"/>
      <c r="R352" s="147" t="n"/>
      <c r="S352" s="152" t="n"/>
      <c r="T352" s="151" t="n"/>
      <c r="U352" s="147" t="n"/>
      <c r="V352" s="147" t="n"/>
      <c r="W352" s="147" t="n"/>
      <c r="X352" s="152" t="n"/>
      <c r="Y352" s="151" t="n"/>
      <c r="Z352" s="147" t="n"/>
      <c r="AA352" s="163" t="n"/>
    </row>
    <row r="353" ht="13" customHeight="1" s="70">
      <c r="A353" s="285" t="n"/>
      <c r="B353" s="286" t="n"/>
      <c r="C353" s="286" t="n"/>
      <c r="D353" s="166" t="n"/>
      <c r="E353" s="165" t="n"/>
      <c r="F353" s="167" t="n"/>
      <c r="G353" s="166" t="n"/>
      <c r="H353" s="165" t="n"/>
      <c r="I353" s="167" t="n"/>
      <c r="J353" s="166" t="n"/>
      <c r="K353" s="165" t="n"/>
      <c r="L353" s="165" t="n"/>
      <c r="M353" s="165" t="n"/>
      <c r="N353" s="165" t="n"/>
      <c r="O353" s="167" t="n"/>
      <c r="P353" s="166" t="n"/>
      <c r="Q353" s="165" t="n"/>
      <c r="R353" s="165" t="n"/>
      <c r="S353" s="167" t="n"/>
      <c r="T353" s="166" t="n"/>
      <c r="U353" s="165" t="n"/>
      <c r="V353" s="165" t="n"/>
      <c r="W353" s="165" t="n"/>
      <c r="X353" s="167" t="n"/>
      <c r="Y353" s="166" t="n"/>
      <c r="Z353" s="165" t="n"/>
      <c r="AA353" s="169" t="n"/>
    </row>
    <row r="354" ht="21" customHeight="1" s="70">
      <c r="A354" s="125" t="inlineStr">
        <is>
          <t>SJ102501</t>
        </is>
      </c>
      <c r="B354" s="126" t="inlineStr">
        <is>
          <t>P060162</t>
        </is>
      </c>
      <c r="C354" s="170" t="inlineStr">
        <is>
          <t>⚠ 3 NO RESULT
(3 no cert / 0 cert w/o result)
3 testing instances
• 2 document(s) on file, not credited</t>
        </is>
      </c>
      <c r="D354" s="131" t="inlineStr">
        <is>
          <t>Conforms</t>
        </is>
      </c>
      <c r="E354" s="132">
        <f>IFERROR(INDEX('iCoA Register'!$B:$B,MATCH("P060162|I",'iCoA Register'!$AA:$AA,0)),"iCoA — at issue")&amp;", (09.03.2026) [PP]"</f>
        <v/>
      </c>
      <c r="F354" s="133" t="inlineStr">
        <is>
          <t>✓</t>
        </is>
      </c>
      <c r="G354" s="131" t="inlineStr">
        <is>
          <t>7.8</t>
        </is>
      </c>
      <c r="H354" s="132" t="inlineStr">
        <is>
          <t>051-3-ГС-26, (02.03.2026) [FHM-K]</t>
        </is>
      </c>
      <c r="I354" s="133" t="inlineStr">
        <is>
          <t>✓</t>
        </is>
      </c>
      <c r="J354" s="131" t="inlineStr">
        <is>
          <t>5.2 × 10²</t>
        </is>
      </c>
      <c r="K354" s="139" t="inlineStr">
        <is>
          <t>4.3 × 10²</t>
        </is>
      </c>
      <c r="L354" s="139" t="inlineStr">
        <is>
          <t>&lt; 10</t>
        </is>
      </c>
      <c r="M354" s="139" t="inlineStr">
        <is>
          <t>Absent</t>
        </is>
      </c>
      <c r="N354" s="139" t="inlineStr">
        <is>
          <t>Absent</t>
        </is>
      </c>
      <c r="O354" s="133" t="inlineStr">
        <is>
          <t>✓</t>
        </is>
      </c>
      <c r="P354" s="171" t="inlineStr">
        <is>
          <t>— MISSING —</t>
        </is>
      </c>
      <c r="Q354" s="172" t="inlineStr">
        <is>
          <t>— MISSING —</t>
        </is>
      </c>
      <c r="R354" s="172" t="inlineStr">
        <is>
          <t>— MISSING —</t>
        </is>
      </c>
      <c r="S354" s="173" t="inlineStr">
        <is>
          <t>✗</t>
        </is>
      </c>
      <c r="T354" s="171" t="inlineStr">
        <is>
          <t>— MISSING —</t>
        </is>
      </c>
      <c r="U354" s="172" t="inlineStr">
        <is>
          <t>— MISSING —</t>
        </is>
      </c>
      <c r="V354" s="172" t="inlineStr">
        <is>
          <t>— MISSING —</t>
        </is>
      </c>
      <c r="W354" s="172" t="inlineStr">
        <is>
          <t>— MISSING —</t>
        </is>
      </c>
      <c r="X354" s="173" t="inlineStr">
        <is>
          <t>✗</t>
        </is>
      </c>
      <c r="Y354" s="171" t="inlineStr">
        <is>
          <t>— MISSING —</t>
        </is>
      </c>
      <c r="Z354" s="174" t="inlineStr">
        <is>
          <t>— no certificate —</t>
        </is>
      </c>
      <c r="AA354" s="175" t="inlineStr">
        <is>
          <t>✗</t>
        </is>
      </c>
    </row>
    <row r="355" ht="39" customHeight="1" s="70">
      <c r="A355" s="281" t="n"/>
      <c r="B355" s="279" t="n"/>
      <c r="C355" s="279" t="n"/>
      <c r="D355" s="282" t="n"/>
      <c r="E355" s="280" t="n"/>
      <c r="F355" s="283" t="n"/>
      <c r="G355" s="282" t="n"/>
      <c r="H355" s="280" t="n"/>
      <c r="I355" s="283" t="n"/>
      <c r="J355" s="144" t="inlineStr">
        <is>
          <t>549-1080-26, (31.08.2026) [IJZ-MB]</t>
        </is>
      </c>
      <c r="K355" s="120" t="n"/>
      <c r="L355" s="120" t="n"/>
      <c r="M355" s="120" t="n"/>
      <c r="N355" s="121" t="n"/>
      <c r="O355" s="283" t="n"/>
      <c r="P355" s="176" t="inlineStr">
        <is>
          <t>— no certificate —</t>
        </is>
      </c>
      <c r="Q355" s="120" t="n"/>
      <c r="R355" s="121" t="n"/>
      <c r="S355" s="283" t="n"/>
      <c r="T355" s="176" t="inlineStr">
        <is>
          <t>— no certificate —</t>
        </is>
      </c>
      <c r="U355" s="120" t="n"/>
      <c r="V355" s="120" t="n"/>
      <c r="W355" s="121" t="n"/>
      <c r="X355" s="283" t="n"/>
      <c r="Y355" s="282" t="n"/>
      <c r="Z355" s="280" t="n"/>
      <c r="AA355" s="284" t="n"/>
    </row>
    <row r="356" ht="17.625" customHeight="1" s="70">
      <c r="A356" s="281" t="n"/>
      <c r="B356" s="279" t="n"/>
      <c r="C356" s="279" t="n"/>
      <c r="D356" s="151" t="n"/>
      <c r="E356" s="147" t="n"/>
      <c r="F356" s="152" t="n"/>
      <c r="G356" s="200" t="inlineStr">
        <is>
          <t>not on this certificate</t>
        </is>
      </c>
      <c r="H356" s="201" t="inlineStr">
        <is>
          <t>051-3-К-26, (04.03.2026) [FHM-K] · on file, not credited</t>
        </is>
      </c>
      <c r="I356" s="202" t="inlineStr">
        <is>
          <t>•</t>
        </is>
      </c>
      <c r="J356" s="151" t="n"/>
      <c r="K356" s="147" t="n"/>
      <c r="L356" s="147" t="n"/>
      <c r="M356" s="147" t="n"/>
      <c r="N356" s="147" t="n"/>
      <c r="O356" s="152" t="n"/>
      <c r="P356" s="151" t="n"/>
      <c r="Q356" s="147" t="n"/>
      <c r="R356" s="147" t="n"/>
      <c r="S356" s="152" t="n"/>
      <c r="T356" s="151" t="n"/>
      <c r="U356" s="147" t="n"/>
      <c r="V356" s="147" t="n"/>
      <c r="W356" s="147" t="n"/>
      <c r="X356" s="152" t="n"/>
      <c r="Y356" s="151" t="n"/>
      <c r="Z356" s="147" t="n"/>
      <c r="AA356" s="163" t="n"/>
    </row>
    <row r="357" ht="21" customHeight="1" s="70">
      <c r="A357" s="281" t="n"/>
      <c r="B357" s="279" t="n"/>
      <c r="C357" s="279" t="n"/>
      <c r="D357" s="205" t="n"/>
      <c r="E357" s="204" t="n"/>
      <c r="F357" s="206" t="n"/>
      <c r="G357" s="282" t="n"/>
      <c r="H357" s="280" t="n"/>
      <c r="I357" s="283" t="n"/>
      <c r="J357" s="205" t="n"/>
      <c r="K357" s="204" t="n"/>
      <c r="L357" s="204" t="n"/>
      <c r="M357" s="204" t="n"/>
      <c r="N357" s="204" t="n"/>
      <c r="O357" s="206" t="n"/>
      <c r="P357" s="205" t="n"/>
      <c r="Q357" s="204" t="n"/>
      <c r="R357" s="204" t="n"/>
      <c r="S357" s="206" t="n"/>
      <c r="T357" s="205" t="n"/>
      <c r="U357" s="204" t="n"/>
      <c r="V357" s="204" t="n"/>
      <c r="W357" s="204" t="n"/>
      <c r="X357" s="206" t="n"/>
      <c r="Y357" s="205" t="n"/>
      <c r="Z357" s="204" t="n"/>
      <c r="AA357" s="207" t="n"/>
    </row>
    <row r="358" ht="17.625" customHeight="1" s="70">
      <c r="A358" s="281" t="n"/>
      <c r="B358" s="279" t="n"/>
      <c r="C358" s="279" t="n"/>
      <c r="D358" s="151" t="n"/>
      <c r="E358" s="147" t="n"/>
      <c r="F358" s="152" t="n"/>
      <c r="G358" s="151" t="n"/>
      <c r="H358" s="147" t="n"/>
      <c r="I358" s="152" t="n"/>
      <c r="J358" s="151" t="n"/>
      <c r="K358" s="147" t="n"/>
      <c r="L358" s="147" t="n"/>
      <c r="M358" s="147" t="n"/>
      <c r="N358" s="147" t="n"/>
      <c r="O358" s="152" t="n"/>
      <c r="P358" s="151" t="n"/>
      <c r="Q358" s="147" t="n"/>
      <c r="R358" s="147" t="n"/>
      <c r="S358" s="152" t="n"/>
      <c r="T358" s="151" t="n"/>
      <c r="U358" s="147" t="n"/>
      <c r="V358" s="147" t="n"/>
      <c r="W358" s="147" t="n"/>
      <c r="X358" s="152" t="n"/>
      <c r="Y358" s="151" t="n"/>
      <c r="Z358" s="147" t="n"/>
      <c r="AA358" s="163" t="n"/>
    </row>
    <row r="359" ht="13" customHeight="1" s="70">
      <c r="A359" s="285" t="n"/>
      <c r="B359" s="286" t="n"/>
      <c r="C359" s="286" t="n"/>
      <c r="D359" s="166" t="n"/>
      <c r="E359" s="165" t="n"/>
      <c r="F359" s="167" t="n"/>
      <c r="G359" s="166" t="n"/>
      <c r="H359" s="165" t="n"/>
      <c r="I359" s="167" t="n"/>
      <c r="J359" s="166" t="n"/>
      <c r="K359" s="165" t="n"/>
      <c r="L359" s="165" t="n"/>
      <c r="M359" s="165" t="n"/>
      <c r="N359" s="165" t="n"/>
      <c r="O359" s="167" t="n"/>
      <c r="P359" s="166" t="n"/>
      <c r="Q359" s="165" t="n"/>
      <c r="R359" s="165" t="n"/>
      <c r="S359" s="167" t="n"/>
      <c r="T359" s="166" t="n"/>
      <c r="U359" s="165" t="n"/>
      <c r="V359" s="165" t="n"/>
      <c r="W359" s="165" t="n"/>
      <c r="X359" s="167" t="n"/>
      <c r="Y359" s="166" t="n"/>
      <c r="Z359" s="165" t="n"/>
      <c r="AA359" s="169" t="n"/>
    </row>
    <row r="360" ht="21" customHeight="1" s="70">
      <c r="A360" s="125" t="inlineStr">
        <is>
          <t>SJ112501</t>
        </is>
      </c>
      <c r="B360" s="126" t="inlineStr">
        <is>
          <t>P060192</t>
        </is>
      </c>
      <c r="C360" s="177" t="inlineStr">
        <is>
          <t>✗ 4 NO RESULT
(4 no cert / 0 cert w/o result)
3 testing instances
• 2 document(s) on file, not credited</t>
        </is>
      </c>
      <c r="D360" s="131" t="inlineStr">
        <is>
          <t>Conforms</t>
        </is>
      </c>
      <c r="E360" s="132">
        <f>IFERROR(INDEX('iCoA Register'!$B:$B,MATCH("P060192|I",'iCoA Register'!$AA:$AA,0)),"iCoA — at issue")&amp;", (31.03.2026) [PP]"</f>
        <v/>
      </c>
      <c r="F360" s="133" t="inlineStr">
        <is>
          <t>✓</t>
        </is>
      </c>
      <c r="G360" s="131" t="inlineStr">
        <is>
          <t>6.7</t>
        </is>
      </c>
      <c r="H360" s="132" t="inlineStr">
        <is>
          <t>051-2-ГС-26, (02.03.2026) [FHM-K]</t>
        </is>
      </c>
      <c r="I360" s="133" t="inlineStr">
        <is>
          <t>✓</t>
        </is>
      </c>
      <c r="J360" s="171" t="inlineStr">
        <is>
          <t>— MISSING —</t>
        </is>
      </c>
      <c r="K360" s="172" t="inlineStr">
        <is>
          <t>— MISSING —</t>
        </is>
      </c>
      <c r="L360" s="172" t="inlineStr">
        <is>
          <t>— MISSING —</t>
        </is>
      </c>
      <c r="M360" s="172" t="inlineStr">
        <is>
          <t>— MISSING —</t>
        </is>
      </c>
      <c r="N360" s="172" t="inlineStr">
        <is>
          <t>— MISSING —</t>
        </is>
      </c>
      <c r="O360" s="173" t="inlineStr">
        <is>
          <t>✗</t>
        </is>
      </c>
      <c r="P360" s="171" t="inlineStr">
        <is>
          <t>— MISSING —</t>
        </is>
      </c>
      <c r="Q360" s="172" t="inlineStr">
        <is>
          <t>— MISSING —</t>
        </is>
      </c>
      <c r="R360" s="172" t="inlineStr">
        <is>
          <t>— MISSING —</t>
        </is>
      </c>
      <c r="S360" s="173" t="inlineStr">
        <is>
          <t>✗</t>
        </is>
      </c>
      <c r="T360" s="171" t="inlineStr">
        <is>
          <t>— MISSING —</t>
        </is>
      </c>
      <c r="U360" s="172" t="inlineStr">
        <is>
          <t>— MISSING —</t>
        </is>
      </c>
      <c r="V360" s="172" t="inlineStr">
        <is>
          <t>— MISSING —</t>
        </is>
      </c>
      <c r="W360" s="172" t="inlineStr">
        <is>
          <t>— MISSING —</t>
        </is>
      </c>
      <c r="X360" s="173" t="inlineStr">
        <is>
          <t>✗</t>
        </is>
      </c>
      <c r="Y360" s="171" t="inlineStr">
        <is>
          <t>— MISSING —</t>
        </is>
      </c>
      <c r="Z360" s="174" t="inlineStr">
        <is>
          <t>— no certificate —</t>
        </is>
      </c>
      <c r="AA360" s="175" t="inlineStr">
        <is>
          <t>✗</t>
        </is>
      </c>
    </row>
    <row r="361" ht="21" customHeight="1" s="70">
      <c r="A361" s="281" t="n"/>
      <c r="B361" s="279" t="n"/>
      <c r="C361" s="279" t="n"/>
      <c r="D361" s="282" t="n"/>
      <c r="E361" s="280" t="n"/>
      <c r="F361" s="283" t="n"/>
      <c r="G361" s="282" t="n"/>
      <c r="H361" s="280" t="n"/>
      <c r="I361" s="283" t="n"/>
      <c r="J361" s="176" t="inlineStr">
        <is>
          <t>— no certificate —</t>
        </is>
      </c>
      <c r="K361" s="120" t="n"/>
      <c r="L361" s="120" t="n"/>
      <c r="M361" s="120" t="n"/>
      <c r="N361" s="121" t="n"/>
      <c r="O361" s="283" t="n"/>
      <c r="P361" s="176" t="inlineStr">
        <is>
          <t>— no certificate —</t>
        </is>
      </c>
      <c r="Q361" s="120" t="n"/>
      <c r="R361" s="121" t="n"/>
      <c r="S361" s="283" t="n"/>
      <c r="T361" s="176" t="inlineStr">
        <is>
          <t>— no certificate —</t>
        </is>
      </c>
      <c r="U361" s="120" t="n"/>
      <c r="V361" s="120" t="n"/>
      <c r="W361" s="121" t="n"/>
      <c r="X361" s="283" t="n"/>
      <c r="Y361" s="282" t="n"/>
      <c r="Z361" s="280" t="n"/>
      <c r="AA361" s="284" t="n"/>
    </row>
    <row r="362" ht="17.625" customHeight="1" s="70">
      <c r="A362" s="281" t="n"/>
      <c r="B362" s="279" t="n"/>
      <c r="C362" s="279" t="n"/>
      <c r="D362" s="151" t="n"/>
      <c r="E362" s="147" t="n"/>
      <c r="F362" s="152" t="n"/>
      <c r="G362" s="200" t="inlineStr">
        <is>
          <t>not on this certificate</t>
        </is>
      </c>
      <c r="H362" s="201" t="inlineStr">
        <is>
          <t>051-2-К-26, (04.03.2026) [FHM-K] · on file, not credited</t>
        </is>
      </c>
      <c r="I362" s="202" t="inlineStr">
        <is>
          <t>•</t>
        </is>
      </c>
      <c r="J362" s="151" t="n"/>
      <c r="K362" s="147" t="n"/>
      <c r="L362" s="147" t="n"/>
      <c r="M362" s="147" t="n"/>
      <c r="N362" s="147" t="n"/>
      <c r="O362" s="152" t="n"/>
      <c r="P362" s="151" t="n"/>
      <c r="Q362" s="147" t="n"/>
      <c r="R362" s="147" t="n"/>
      <c r="S362" s="152" t="n"/>
      <c r="T362" s="151" t="n"/>
      <c r="U362" s="147" t="n"/>
      <c r="V362" s="147" t="n"/>
      <c r="W362" s="147" t="n"/>
      <c r="X362" s="152" t="n"/>
      <c r="Y362" s="151" t="n"/>
      <c r="Z362" s="147" t="n"/>
      <c r="AA362" s="163" t="n"/>
    </row>
    <row r="363" ht="21" customHeight="1" s="70">
      <c r="A363" s="281" t="n"/>
      <c r="B363" s="279" t="n"/>
      <c r="C363" s="279" t="n"/>
      <c r="D363" s="205" t="n"/>
      <c r="E363" s="204" t="n"/>
      <c r="F363" s="206" t="n"/>
      <c r="G363" s="282" t="n"/>
      <c r="H363" s="280" t="n"/>
      <c r="I363" s="283" t="n"/>
      <c r="J363" s="205" t="n"/>
      <c r="K363" s="204" t="n"/>
      <c r="L363" s="204" t="n"/>
      <c r="M363" s="204" t="n"/>
      <c r="N363" s="204" t="n"/>
      <c r="O363" s="206" t="n"/>
      <c r="P363" s="205" t="n"/>
      <c r="Q363" s="204" t="n"/>
      <c r="R363" s="204" t="n"/>
      <c r="S363" s="206" t="n"/>
      <c r="T363" s="205" t="n"/>
      <c r="U363" s="204" t="n"/>
      <c r="V363" s="204" t="n"/>
      <c r="W363" s="204" t="n"/>
      <c r="X363" s="206" t="n"/>
      <c r="Y363" s="205" t="n"/>
      <c r="Z363" s="204" t="n"/>
      <c r="AA363" s="207" t="n"/>
    </row>
    <row r="364" ht="17.625" customHeight="1" s="70">
      <c r="A364" s="281" t="n"/>
      <c r="B364" s="279" t="n"/>
      <c r="C364" s="279" t="n"/>
      <c r="D364" s="151" t="n"/>
      <c r="E364" s="147" t="n"/>
      <c r="F364" s="152" t="n"/>
      <c r="G364" s="151" t="n"/>
      <c r="H364" s="147" t="n"/>
      <c r="I364" s="152" t="n"/>
      <c r="J364" s="151" t="n"/>
      <c r="K364" s="147" t="n"/>
      <c r="L364" s="147" t="n"/>
      <c r="M364" s="147" t="n"/>
      <c r="N364" s="147" t="n"/>
      <c r="O364" s="152" t="n"/>
      <c r="P364" s="151" t="n"/>
      <c r="Q364" s="147" t="n"/>
      <c r="R364" s="147" t="n"/>
      <c r="S364" s="152" t="n"/>
      <c r="T364" s="151" t="n"/>
      <c r="U364" s="147" t="n"/>
      <c r="V364" s="147" t="n"/>
      <c r="W364" s="147" t="n"/>
      <c r="X364" s="152" t="n"/>
      <c r="Y364" s="151" t="n"/>
      <c r="Z364" s="147" t="n"/>
      <c r="AA364" s="163" t="n"/>
    </row>
    <row r="365" ht="13" customHeight="1" s="70">
      <c r="A365" s="285" t="n"/>
      <c r="B365" s="286" t="n"/>
      <c r="C365" s="286" t="n"/>
      <c r="D365" s="166" t="n"/>
      <c r="E365" s="165" t="n"/>
      <c r="F365" s="167" t="n"/>
      <c r="G365" s="166" t="n"/>
      <c r="H365" s="165" t="n"/>
      <c r="I365" s="167" t="n"/>
      <c r="J365" s="166" t="n"/>
      <c r="K365" s="165" t="n"/>
      <c r="L365" s="165" t="n"/>
      <c r="M365" s="165" t="n"/>
      <c r="N365" s="165" t="n"/>
      <c r="O365" s="167" t="n"/>
      <c r="P365" s="166" t="n"/>
      <c r="Q365" s="165" t="n"/>
      <c r="R365" s="165" t="n"/>
      <c r="S365" s="167" t="n"/>
      <c r="T365" s="166" t="n"/>
      <c r="U365" s="165" t="n"/>
      <c r="V365" s="165" t="n"/>
      <c r="W365" s="165" t="n"/>
      <c r="X365" s="167" t="n"/>
      <c r="Y365" s="166" t="n"/>
      <c r="Z365" s="165" t="n"/>
      <c r="AA365" s="169" t="n"/>
    </row>
    <row r="366" ht="62" customHeight="1" s="70">
      <c r="A366" s="242"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READING A BATCH WITH MORE THAN ONE SERIES: every block names itself in the three columns after STATUS — which instance of how many, which round or re-analysis campaign the documents on it belong to, and the certificate of analysis and certificate of quality that carry them. Those three are read from the certificates' own source, so a block and the certificate printed from it cannot disagree; where a block is named "no certificate of quality cites this block", the documents on it are on file and are not carried by any released certificate.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c r="B366" s="120" t="n"/>
      <c r="C366" s="120" t="n"/>
      <c r="D366" s="120" t="n"/>
      <c r="E366" s="120" t="n"/>
      <c r="F366" s="120" t="n"/>
      <c r="G366" s="120" t="n"/>
      <c r="H366" s="120" t="n"/>
      <c r="I366" s="120" t="n"/>
      <c r="J366" s="120" t="n"/>
      <c r="K366" s="120" t="n"/>
      <c r="L366" s="120" t="n"/>
      <c r="M366" s="120" t="n"/>
      <c r="N366" s="120" t="n"/>
      <c r="O366" s="120" t="n"/>
      <c r="P366" s="120" t="n"/>
      <c r="Q366" s="120" t="n"/>
      <c r="R366" s="120" t="n"/>
      <c r="S366" s="120" t="n"/>
      <c r="T366" s="120" t="n"/>
      <c r="U366" s="120" t="n"/>
      <c r="V366" s="120" t="n"/>
      <c r="W366" s="120" t="n"/>
      <c r="X366" s="120" t="n"/>
      <c r="Y366" s="120" t="n"/>
      <c r="Z366" s="120" t="n"/>
      <c r="AA366" s="121" t="n"/>
    </row>
    <row r="369" ht="20" customHeight="1" s="70">
      <c r="A369" s="264" t="inlineStr">
        <is>
          <t>RECONCILIATION 09.09</t>
        </is>
      </c>
    </row>
    <row r="370">
      <c r="A370" s="294" t="inlineStr">
        <is>
          <t>THE PASS THIS BUILD READ</t>
        </is>
      </c>
      <c r="B370" s="294" t="inlineStr"/>
      <c r="C370" s="294" t="inlineStr"/>
      <c r="D370" s="294" t="inlineStr"/>
      <c r="E370" s="294" t="inlineStr"/>
    </row>
    <row r="372">
      <c r="A372" s="295" t="inlineStr">
        <is>
          <t>Source</t>
        </is>
      </c>
      <c r="B372" s="296" t="inlineStr">
        <is>
          <t>CoQ_Analysis_Master_v20_owner.xlsx</t>
        </is>
      </c>
      <c r="D372" s="297" t="inlineStr">
        <is>
          <t>the owner's workbook of 09.09.2026, vendored beside this one; the three sheets it was read from are Cell Resolution 09.09, Coverage Update 09.09 and Identity Problem 09.09</t>
        </is>
      </c>
    </row>
    <row r="373">
      <c r="A373" s="295" t="inlineStr">
        <is>
          <t>Certificates it read</t>
        </is>
      </c>
      <c r="B373" s="296" t="inlineStr">
        <is>
          <t>387</t>
        </is>
      </c>
      <c r="D373" s="297" t="inlineStr">
        <is>
          <t>eCoA_DATABASE, name for name</t>
        </is>
      </c>
    </row>
    <row r="374">
      <c r="A374" s="295" t="inlineStr">
        <is>
          <t>Determinations it resolved</t>
        </is>
      </c>
      <c r="B374" s="296" t="inlineStr">
        <is>
          <t>600</t>
        </is>
      </c>
      <c r="D374" s="297" t="inlineStr">
        <is>
          <t>50 lots of Tranches 1 and 2 x 12</t>
        </is>
      </c>
    </row>
    <row r="376">
      <c r="A376" s="294" t="inlineStr">
        <is>
          <t>WHAT IT CLOSED ON BATCH COVERAGE</t>
        </is>
      </c>
      <c r="B376" s="294" t="inlineStr"/>
      <c r="C376" s="294" t="inlineStr"/>
      <c r="D376" s="294" t="inlineStr"/>
      <c r="E376" s="294" t="inlineStr"/>
    </row>
    <row r="378">
      <c r="A378" s="295" t="inlineStr">
        <is>
          <t>Parameters closed</t>
        </is>
      </c>
      <c r="B378" s="296" t="inlineStr">
        <is>
          <t>85</t>
        </is>
      </c>
      <c r="D378" s="297" t="inlineStr">
        <is>
          <t>a certificate on file that this sheet still marked missing</t>
        </is>
      </c>
    </row>
    <row r="379">
      <c r="A379" s="295" t="inlineStr">
        <is>
          <t>Lots affected</t>
        </is>
      </c>
      <c r="B379" s="296" t="inlineStr">
        <is>
          <t>28</t>
        </is>
      </c>
    </row>
    <row r="380">
      <c r="A380" s="295" t="inlineStr">
        <is>
          <t>Closures not applied</t>
        </is>
      </c>
      <c r="B380" s="296" t="inlineStr">
        <is>
          <t>36</t>
        </is>
      </c>
      <c r="D380" s="297" t="inlineStr">
        <is>
          <t>already covered, or the lot has no row on Batch Coverage — listed below</t>
        </is>
      </c>
    </row>
    <row r="382">
      <c r="A382" s="294" t="inlineStr">
        <is>
          <t>WHAT THE TWO RECORDS SAY ABOUT THE SAME 600 CELLS</t>
        </is>
      </c>
      <c r="B382" s="294" t="inlineStr"/>
      <c r="C382" s="294" t="inlineStr"/>
      <c r="D382" s="294" t="inlineStr"/>
      <c r="E382" s="294" t="inlineStr"/>
    </row>
    <row r="384">
      <c r="A384" s="295" t="inlineStr">
        <is>
          <t>agree</t>
        </is>
      </c>
      <c r="B384" s="296" t="inlineStr">
        <is>
          <t>160</t>
        </is>
      </c>
      <c r="D384" s="297" t="inlineStr">
        <is>
          <t>both hold a value and it is the same value</t>
        </is>
      </c>
    </row>
    <row r="385">
      <c r="A385" s="295" t="inlineStr">
        <is>
          <t>values</t>
        </is>
      </c>
      <c r="B385" s="296" t="inlineStr">
        <is>
          <t>224</t>
        </is>
      </c>
      <c r="D385" s="297" t="inlineStr">
        <is>
          <t>both hold a value and the values differ — a finding</t>
        </is>
      </c>
    </row>
    <row r="386">
      <c r="A386" s="295" t="inlineStr">
        <is>
          <t>order</t>
        </is>
      </c>
      <c r="B386" s="296" t="inlineStr">
        <is>
          <t>4</t>
        </is>
      </c>
      <c r="D386" s="297" t="inlineStr">
        <is>
          <t>the same values against different analytes — a finding</t>
        </is>
      </c>
    </row>
    <row r="387">
      <c r="A387" s="295" t="inlineStr">
        <is>
          <t>fill</t>
        </is>
      </c>
      <c r="B387" s="296" t="inlineStr">
        <is>
          <t>17</t>
        </is>
      </c>
      <c r="D387" s="297" t="inlineStr">
        <is>
          <t>the desk held nothing and the pass holds a printable result</t>
        </is>
      </c>
    </row>
    <row r="388">
      <c r="A388" s="295" t="inlineStr">
        <is>
          <t>ambiguous</t>
        </is>
      </c>
      <c r="B388" s="296" t="inlineStr">
        <is>
          <t>6</t>
        </is>
      </c>
      <c r="D388" s="297" t="inlineStr">
        <is>
          <t>the pass holds a list of values it does not label</t>
        </is>
      </c>
    </row>
    <row r="389">
      <c r="A389" s="295" t="inlineStr">
        <is>
          <t>basis note</t>
        </is>
      </c>
      <c r="B389" s="296" t="inlineStr">
        <is>
          <t>25</t>
        </is>
      </c>
      <c r="D389" s="297" t="inlineStr">
        <is>
          <t>the pass names where identity comes from, not a result</t>
        </is>
      </c>
    </row>
    <row r="390">
      <c r="A390" s="295" t="inlineStr">
        <is>
          <t>none</t>
        </is>
      </c>
      <c r="B390" s="296" t="inlineStr">
        <is>
          <t>20</t>
        </is>
      </c>
      <c r="D390" s="297" t="inlineStr">
        <is>
          <t>neither record holds anything</t>
        </is>
      </c>
    </row>
    <row r="391">
      <c r="A391" s="295" t="inlineStr">
        <is>
          <t>not comparable</t>
        </is>
      </c>
      <c r="B391" s="296" t="inlineStr">
        <is>
          <t>121</t>
        </is>
      </c>
      <c r="D391" s="297" t="inlineStr">
        <is>
          <t>the two records hold different numbers of lines</t>
        </is>
      </c>
    </row>
    <row r="392">
      <c r="A392" s="295" t="inlineStr">
        <is>
          <t>no desk lot</t>
        </is>
      </c>
      <c r="B392" s="296" t="inlineStr">
        <is>
          <t>23</t>
        </is>
      </c>
      <c r="D392" s="297" t="inlineStr">
        <is>
          <t>the desk carries no initial-release CoQ for the batch</t>
        </is>
      </c>
    </row>
    <row r="394">
      <c r="A394" s="294" t="inlineStr">
        <is>
          <t>THE DISAGREEMENTS</t>
        </is>
      </c>
      <c r="B394" s="294" t="inlineStr"/>
      <c r="C394" s="294" t="inlineStr"/>
      <c r="D394" s="294" t="inlineStr"/>
      <c r="E394" s="294" t="inlineStr"/>
    </row>
    <row r="396">
      <c r="A396" s="294" t="inlineStr">
        <is>
          <t>Batch</t>
        </is>
      </c>
      <c r="B396" s="294" t="inlineStr">
        <is>
          <t>Determination</t>
        </is>
      </c>
      <c r="C396" s="294" t="inlineStr">
        <is>
          <t>Kind</t>
        </is>
      </c>
      <c r="D396" s="294" t="inlineStr">
        <is>
          <t>The desk holds</t>
        </is>
      </c>
      <c r="E396" s="294" t="inlineStr">
        <is>
          <t>The 09.09 pass reads</t>
        </is>
      </c>
    </row>
    <row r="397">
      <c r="A397" s="296" t="inlineStr">
        <is>
          <t>BG1024</t>
        </is>
      </c>
      <c r="B397" s="296" t="inlineStr">
        <is>
          <t>#1</t>
        </is>
      </c>
      <c r="C397" s="298" t="inlineStr">
        <is>
          <t>different values</t>
        </is>
      </c>
      <c r="D397" s="296" t="inlineStr">
        <is>
          <t>Conforms | Одговара</t>
        </is>
      </c>
      <c r="E397" s="296" t="inlineStr">
        <is>
          <t>Conforms</t>
        </is>
      </c>
    </row>
    <row r="398">
      <c r="A398" s="296" t="inlineStr">
        <is>
          <t>BG1024</t>
        </is>
      </c>
      <c r="B398" s="296" t="inlineStr">
        <is>
          <t>#2</t>
        </is>
      </c>
      <c r="C398" s="298" t="inlineStr">
        <is>
          <t>different values</t>
        </is>
      </c>
      <c r="D398" s="296" t="inlineStr">
        <is>
          <t>Conforms | Одговара</t>
        </is>
      </c>
      <c r="E398" s="296" t="inlineStr">
        <is>
          <t>Conforms</t>
        </is>
      </c>
    </row>
    <row r="399">
      <c r="A399" s="296" t="inlineStr">
        <is>
          <t>BG1024</t>
        </is>
      </c>
      <c r="B399" s="296" t="inlineStr">
        <is>
          <t>#7</t>
        </is>
      </c>
      <c r="C399" s="298" t="inlineStr">
        <is>
          <t>different values</t>
        </is>
      </c>
      <c r="D399" s="296" t="inlineStr">
        <is>
          <t>Conforms | Одговара</t>
        </is>
      </c>
      <c r="E399" s="296" t="inlineStr">
        <is>
          <t>Conforms</t>
        </is>
      </c>
    </row>
    <row r="400">
      <c r="A400" s="296" t="inlineStr">
        <is>
          <t>BG1024</t>
        </is>
      </c>
      <c r="B400" s="296" t="inlineStr">
        <is>
          <t>#9</t>
        </is>
      </c>
      <c r="C400" s="298" t="inlineStr">
        <is>
          <t>different values</t>
        </is>
      </c>
      <c r="D400" s="296" t="inlineStr">
        <is>
          <t>1.6 × 10⁴; 1 × 10⁴; &lt; 10² and &gt; 10; Absent | Отсутна; Absent | Отсутна</t>
        </is>
      </c>
      <c r="E400" s="296" t="inlineStr">
        <is>
          <t>1,6 x 10⁴ CFU/g; 1 x 10⁴ CFU/g; &lt; 10² и &gt; 10 CFU/g; Одговара; Одговара</t>
        </is>
      </c>
    </row>
    <row r="401">
      <c r="A401" s="296" t="inlineStr">
        <is>
          <t>BSS1024</t>
        </is>
      </c>
      <c r="B401" s="296" t="inlineStr">
        <is>
          <t>#1</t>
        </is>
      </c>
      <c r="C401" s="298" t="inlineStr">
        <is>
          <t>different values</t>
        </is>
      </c>
      <c r="D401" s="296" t="inlineStr">
        <is>
          <t>Conforms | Одговара</t>
        </is>
      </c>
      <c r="E401" s="296" t="inlineStr">
        <is>
          <t>Conforms</t>
        </is>
      </c>
    </row>
    <row r="402">
      <c r="A402" s="296" t="inlineStr">
        <is>
          <t>BSS1024</t>
        </is>
      </c>
      <c r="B402" s="296" t="inlineStr">
        <is>
          <t>#2</t>
        </is>
      </c>
      <c r="C402" s="298" t="inlineStr">
        <is>
          <t>different values</t>
        </is>
      </c>
      <c r="D402" s="296" t="inlineStr">
        <is>
          <t>Conforms | Одговара</t>
        </is>
      </c>
      <c r="E402" s="296" t="inlineStr">
        <is>
          <t>Conforms</t>
        </is>
      </c>
    </row>
    <row r="403">
      <c r="A403" s="296" t="inlineStr">
        <is>
          <t>BSS1024</t>
        </is>
      </c>
      <c r="B403" s="296" t="inlineStr">
        <is>
          <t>#7</t>
        </is>
      </c>
      <c r="C403" s="298" t="inlineStr">
        <is>
          <t>different values</t>
        </is>
      </c>
      <c r="D403" s="296" t="inlineStr">
        <is>
          <t>Conforms | Одговара</t>
        </is>
      </c>
      <c r="E403" s="296" t="inlineStr">
        <is>
          <t>Conforms</t>
        </is>
      </c>
    </row>
    <row r="404">
      <c r="A404" s="296" t="inlineStr">
        <is>
          <t>BSS1024</t>
        </is>
      </c>
      <c r="B404" s="296" t="inlineStr">
        <is>
          <t>#9</t>
        </is>
      </c>
      <c r="C404" s="298" t="inlineStr">
        <is>
          <t>different values</t>
        </is>
      </c>
      <c r="D404" s="296" t="inlineStr">
        <is>
          <t>1.5 × 10⁴; 2.2 × 10³; &lt; 10² and &gt; 10; Absent | Отсутна; Absent | Отсутна</t>
        </is>
      </c>
      <c r="E404" s="296" t="inlineStr">
        <is>
          <t>1,5 x 10⁴ CFU/g; 2,2 x 10³ CFU/g; &lt; 10² и &gt; 10 CFU/g; Одговара; Одговара</t>
        </is>
      </c>
    </row>
    <row r="405">
      <c r="A405" s="296" t="inlineStr">
        <is>
          <t>BSS1024</t>
        </is>
      </c>
      <c r="B405" s="296" t="inlineStr">
        <is>
          <t>#11</t>
        </is>
      </c>
      <c r="C405" s="299" t="inlineStr">
        <is>
          <t>same values,
other order</t>
        </is>
      </c>
      <c r="D405" s="296" t="inlineStr">
        <is>
          <t>0.071; 0.014; 0.081; 0.014</t>
        </is>
      </c>
      <c r="E405" s="296" t="inlineStr">
        <is>
          <t>0,081 mg/kg(l); 0,071 mg/kg(l); 0,014 mg/kg(l); 0,014 mg/kg(l)</t>
        </is>
      </c>
    </row>
    <row r="406">
      <c r="A406" s="296" t="inlineStr">
        <is>
          <t>CJ052501/01</t>
        </is>
      </c>
      <c r="B406" s="296" t="inlineStr">
        <is>
          <t>#1</t>
        </is>
      </c>
      <c r="C406" s="298" t="inlineStr">
        <is>
          <t>different values</t>
        </is>
      </c>
      <c r="D406" s="296" t="inlineStr">
        <is>
          <t>Conforms | Одговара</t>
        </is>
      </c>
      <c r="E406" s="296" t="inlineStr">
        <is>
          <t>Conforms</t>
        </is>
      </c>
    </row>
    <row r="407">
      <c r="A407" s="296" t="inlineStr">
        <is>
          <t>CJ052501/01</t>
        </is>
      </c>
      <c r="B407" s="296" t="inlineStr">
        <is>
          <t>#2</t>
        </is>
      </c>
      <c r="C407" s="298" t="inlineStr">
        <is>
          <t>different values</t>
        </is>
      </c>
      <c r="D407" s="296" t="inlineStr">
        <is>
          <t>Conforms | Одговара</t>
        </is>
      </c>
      <c r="E407" s="296" t="inlineStr">
        <is>
          <t>Conforms</t>
        </is>
      </c>
    </row>
    <row r="408">
      <c r="A408" s="296" t="inlineStr">
        <is>
          <t>CJ052501/01</t>
        </is>
      </c>
      <c r="B408" s="296" t="inlineStr">
        <is>
          <t>#3</t>
        </is>
      </c>
      <c r="C408" s="298" t="inlineStr">
        <is>
          <t>different values</t>
        </is>
      </c>
      <c r="D408" s="296" t="inlineStr">
        <is>
          <t>Conforms | Одговара</t>
        </is>
      </c>
      <c r="E408" s="296" t="inlineStr">
        <is>
          <t>Conforms (ImB spec.)</t>
        </is>
      </c>
    </row>
    <row r="409">
      <c r="A409" s="296" t="inlineStr">
        <is>
          <t>CJ052501/01</t>
        </is>
      </c>
      <c r="B409" s="296" t="inlineStr">
        <is>
          <t>#7</t>
        </is>
      </c>
      <c r="C409" s="298" t="inlineStr">
        <is>
          <t>different values</t>
        </is>
      </c>
      <c r="D409" s="296" t="inlineStr">
        <is>
          <t>Conforms | Одговара</t>
        </is>
      </c>
      <c r="E409" s="296" t="inlineStr">
        <is>
          <t>Conforms</t>
        </is>
      </c>
    </row>
    <row r="410">
      <c r="A410" s="296" t="inlineStr">
        <is>
          <t>CJ052501/01</t>
        </is>
      </c>
      <c r="B410" s="296" t="inlineStr">
        <is>
          <t>#9</t>
        </is>
      </c>
      <c r="C410" s="298" t="inlineStr">
        <is>
          <t>different values</t>
        </is>
      </c>
      <c r="D410" s="296" t="inlineStr">
        <is>
          <t>2.8 × 10⁴; 1.7 × 10⁴; &lt; 10³ and &gt; 10²; Absent | Отсутна; Absent | Отсутна</t>
        </is>
      </c>
      <c r="E410" s="296" t="inlineStr">
        <is>
          <t>2.8×10⁴; 1.7×10⁴; &lt;10³ and &gt;10² ᴿ; Одговара; Одговара</t>
        </is>
      </c>
    </row>
    <row r="411">
      <c r="A411" s="296" t="inlineStr">
        <is>
          <t>CJ052501/01</t>
        </is>
      </c>
      <c r="B411" s="296" t="inlineStr">
        <is>
          <t>#12</t>
        </is>
      </c>
      <c r="C411" s="298" t="inlineStr">
        <is>
          <t>different values</t>
        </is>
      </c>
      <c r="D411" s="296" t="inlineStr">
        <is>
          <t>ND</t>
        </is>
      </c>
      <c r="E411" s="296" t="inlineStr">
        <is>
          <t>≤ LOQ (all 24 compounds)</t>
        </is>
      </c>
    </row>
    <row r="412">
      <c r="A412" s="296" t="inlineStr">
        <is>
          <t>CJ082501/2</t>
        </is>
      </c>
      <c r="B412" s="296" t="inlineStr">
        <is>
          <t>#1</t>
        </is>
      </c>
      <c r="C412" s="298" t="inlineStr">
        <is>
          <t>different values</t>
        </is>
      </c>
      <c r="D412" s="296" t="inlineStr">
        <is>
          <t>Conforms | Одговара</t>
        </is>
      </c>
      <c r="E412" s="296" t="inlineStr">
        <is>
          <t>Conforms</t>
        </is>
      </c>
    </row>
    <row r="413">
      <c r="A413" s="296" t="inlineStr">
        <is>
          <t>CJ082501/2</t>
        </is>
      </c>
      <c r="B413" s="296" t="inlineStr">
        <is>
          <t>#2</t>
        </is>
      </c>
      <c r="C413" s="298" t="inlineStr">
        <is>
          <t>different values</t>
        </is>
      </c>
      <c r="D413" s="296" t="inlineStr">
        <is>
          <t>Conforms | Одговара</t>
        </is>
      </c>
      <c r="E413" s="296" t="inlineStr">
        <is>
          <t>Conforms</t>
        </is>
      </c>
    </row>
    <row r="414">
      <c r="A414" s="296" t="inlineStr">
        <is>
          <t>CJ082501/2</t>
        </is>
      </c>
      <c r="B414" s="296" t="inlineStr">
        <is>
          <t>#3</t>
        </is>
      </c>
      <c r="C414" s="298" t="inlineStr">
        <is>
          <t>different values</t>
        </is>
      </c>
      <c r="D414" s="296" t="inlineStr">
        <is>
          <t>Conforms | Одговара</t>
        </is>
      </c>
      <c r="E414" s="296" t="inlineStr">
        <is>
          <t>Conforms (ImB spec.)</t>
        </is>
      </c>
    </row>
    <row r="415">
      <c r="A415" s="296" t="inlineStr">
        <is>
          <t>CJ082501/2</t>
        </is>
      </c>
      <c r="B415" s="296" t="inlineStr">
        <is>
          <t>#7</t>
        </is>
      </c>
      <c r="C415" s="298" t="inlineStr">
        <is>
          <t>different values</t>
        </is>
      </c>
      <c r="D415" s="296" t="inlineStr">
        <is>
          <t>Conforms | Одговара</t>
        </is>
      </c>
      <c r="E415" s="296" t="inlineStr">
        <is>
          <t>Conforms</t>
        </is>
      </c>
    </row>
    <row r="416">
      <c r="A416" s="296" t="inlineStr">
        <is>
          <t>CJ082501/2</t>
        </is>
      </c>
      <c r="B416" s="296" t="inlineStr">
        <is>
          <t>#9</t>
        </is>
      </c>
      <c r="C416" s="298" t="inlineStr">
        <is>
          <t>different values</t>
        </is>
      </c>
      <c r="D416" s="296" t="inlineStr">
        <is>
          <t>9.5 × 10²; 1.2 × 10³; &lt; 10; Absent | Отсутна; Absent | Отсутна</t>
        </is>
      </c>
      <c r="E416" s="296" t="inlineStr">
        <is>
          <t>9.5×10²; 1.2×10³; &lt;10; Одговара; Одговара</t>
        </is>
      </c>
    </row>
    <row r="417">
      <c r="A417" s="296" t="inlineStr">
        <is>
          <t>CJ082501/2</t>
        </is>
      </c>
      <c r="B417" s="296" t="inlineStr">
        <is>
          <t>#12</t>
        </is>
      </c>
      <c r="C417" s="298" t="inlineStr">
        <is>
          <t>different values</t>
        </is>
      </c>
      <c r="D417" s="296" t="inlineStr">
        <is>
          <t>ND</t>
        </is>
      </c>
      <c r="E417" s="296" t="inlineStr">
        <is>
          <t>≤ LOQ (all 29 compounds)</t>
        </is>
      </c>
    </row>
    <row r="418">
      <c r="A418" s="296" t="inlineStr">
        <is>
          <t>FB012602</t>
        </is>
      </c>
      <c r="B418" s="296" t="inlineStr">
        <is>
          <t>#1</t>
        </is>
      </c>
      <c r="C418" s="298" t="inlineStr">
        <is>
          <t>different values</t>
        </is>
      </c>
      <c r="D418" s="296" t="inlineStr">
        <is>
          <t>Conforms | Одговара</t>
        </is>
      </c>
      <c r="E418" s="296" t="inlineStr">
        <is>
          <t>Conforms</t>
        </is>
      </c>
    </row>
    <row r="419">
      <c r="A419" s="296" t="inlineStr">
        <is>
          <t>FB012602</t>
        </is>
      </c>
      <c r="B419" s="296" t="inlineStr">
        <is>
          <t>#2</t>
        </is>
      </c>
      <c r="C419" s="298" t="inlineStr">
        <is>
          <t>different values</t>
        </is>
      </c>
      <c r="D419" s="296" t="inlineStr">
        <is>
          <t>Conforms | Одговара</t>
        </is>
      </c>
      <c r="E419" s="296" t="inlineStr">
        <is>
          <t>Conforms</t>
        </is>
      </c>
    </row>
    <row r="420">
      <c r="A420" s="296" t="inlineStr">
        <is>
          <t>FB012602</t>
        </is>
      </c>
      <c r="B420" s="296" t="inlineStr">
        <is>
          <t>#7</t>
        </is>
      </c>
      <c r="C420" s="298" t="inlineStr">
        <is>
          <t>different values</t>
        </is>
      </c>
      <c r="D420" s="296" t="inlineStr">
        <is>
          <t>Conforms | Одговара</t>
        </is>
      </c>
      <c r="E420" s="296" t="inlineStr">
        <is>
          <t>Conforms</t>
        </is>
      </c>
    </row>
    <row r="421">
      <c r="A421" s="296" t="inlineStr">
        <is>
          <t>FB012602</t>
        </is>
      </c>
      <c r="B421" s="296" t="inlineStr">
        <is>
          <t>#9</t>
        </is>
      </c>
      <c r="C421" s="298" t="inlineStr">
        <is>
          <t>different values</t>
        </is>
      </c>
      <c r="D421" s="296" t="inlineStr">
        <is>
          <t>6.3 × 10⁴; 2.2 × 10⁴; &lt; 10; Absent | Отсутна; Absent | Отсутна</t>
        </is>
      </c>
      <c r="E421" s="296" t="inlineStr">
        <is>
          <t>6,3 x 10⁴ CFU/g CFU/g; 2,2 x 10⁴ CFU/g CFU/g; &lt; 10 CFU/g CFU/g; Отсутна /g; Отсутна /25 g</t>
        </is>
      </c>
    </row>
    <row r="422">
      <c r="A422" s="296" t="inlineStr">
        <is>
          <t>GG012603</t>
        </is>
      </c>
      <c r="B422" s="296" t="inlineStr">
        <is>
          <t>#9</t>
        </is>
      </c>
      <c r="C422" s="298" t="inlineStr">
        <is>
          <t>different values</t>
        </is>
      </c>
      <c r="D422" s="296" t="inlineStr">
        <is>
          <t>5 × 10³; 4.1 × 10³; &lt; 10; Absent | Отсутна; Absent | Отсутна</t>
        </is>
      </c>
      <c r="E422" s="296" t="inlineStr">
        <is>
          <t>5 x 10³ CFU/g CFU/g; 4,1 x 10³ CFU/g CFU/g; &lt; 10 CFU/g CFU/g; Отсутна /g; Отсутна /25 g</t>
        </is>
      </c>
    </row>
    <row r="423">
      <c r="A423" s="296" t="inlineStr">
        <is>
          <t>GG1024_01</t>
        </is>
      </c>
      <c r="B423" s="296" t="inlineStr">
        <is>
          <t>#1</t>
        </is>
      </c>
      <c r="C423" s="298" t="inlineStr">
        <is>
          <t>different values</t>
        </is>
      </c>
      <c r="D423" s="296" t="inlineStr">
        <is>
          <t>Conforms | Одговара</t>
        </is>
      </c>
      <c r="E423" s="296" t="inlineStr">
        <is>
          <t>Conforms</t>
        </is>
      </c>
    </row>
    <row r="424">
      <c r="A424" s="296" t="inlineStr">
        <is>
          <t>GG1024_01</t>
        </is>
      </c>
      <c r="B424" s="296" t="inlineStr">
        <is>
          <t>#2</t>
        </is>
      </c>
      <c r="C424" s="298" t="inlineStr">
        <is>
          <t>different values</t>
        </is>
      </c>
      <c r="D424" s="296" t="inlineStr">
        <is>
          <t>Conforms | Одговара</t>
        </is>
      </c>
      <c r="E424" s="296" t="inlineStr">
        <is>
          <t>Conforms</t>
        </is>
      </c>
    </row>
    <row r="425">
      <c r="A425" s="296" t="inlineStr">
        <is>
          <t>GG1024_01</t>
        </is>
      </c>
      <c r="B425" s="296" t="inlineStr">
        <is>
          <t>#3</t>
        </is>
      </c>
      <c r="C425" s="298" t="inlineStr">
        <is>
          <t>different values</t>
        </is>
      </c>
      <c r="D425" s="296" t="inlineStr">
        <is>
          <t>Conforms | Одговара</t>
        </is>
      </c>
      <c r="E425" s="296" t="inlineStr">
        <is>
          <t>Conforms (ImB spec.)</t>
        </is>
      </c>
    </row>
    <row r="426">
      <c r="A426" s="296" t="inlineStr">
        <is>
          <t>GG1024_01</t>
        </is>
      </c>
      <c r="B426" s="296" t="inlineStr">
        <is>
          <t>#7</t>
        </is>
      </c>
      <c r="C426" s="298" t="inlineStr">
        <is>
          <t>different values</t>
        </is>
      </c>
      <c r="D426" s="296" t="inlineStr">
        <is>
          <t>Conforms | Одговара</t>
        </is>
      </c>
      <c r="E426" s="296" t="inlineStr">
        <is>
          <t>Conforms</t>
        </is>
      </c>
    </row>
    <row r="427">
      <c r="A427" s="296" t="inlineStr">
        <is>
          <t>GG1024_01</t>
        </is>
      </c>
      <c r="B427" s="296" t="inlineStr">
        <is>
          <t>#9</t>
        </is>
      </c>
      <c r="C427" s="298" t="inlineStr">
        <is>
          <t>different values</t>
        </is>
      </c>
      <c r="D427" s="296" t="inlineStr">
        <is>
          <t>5.1 × 10⁴; 4.2 × 10⁴; &lt; 10; Absent | Отсутна; Absent | Отсутна</t>
        </is>
      </c>
      <c r="E427" s="296" t="inlineStr">
        <is>
          <t>5.1 x 10⁴; 4.2 x 10⁴; &lt;10; Одговара; Одговара</t>
        </is>
      </c>
    </row>
    <row r="428">
      <c r="A428" s="296" t="inlineStr">
        <is>
          <t>GG1024_01</t>
        </is>
      </c>
      <c r="B428" s="296" t="inlineStr">
        <is>
          <t>#12</t>
        </is>
      </c>
      <c r="C428" s="298" t="inlineStr">
        <is>
          <t>different values</t>
        </is>
      </c>
      <c r="D428" s="296" t="inlineStr">
        <is>
          <t>ND</t>
        </is>
      </c>
      <c r="E428" s="296" t="inlineStr">
        <is>
          <t>≤ LOQ (all 27 compounds)</t>
        </is>
      </c>
    </row>
    <row r="429">
      <c r="A429" s="296" t="inlineStr">
        <is>
          <t>GP052501</t>
        </is>
      </c>
      <c r="B429" s="296" t="inlineStr">
        <is>
          <t>#1</t>
        </is>
      </c>
      <c r="C429" s="298" t="inlineStr">
        <is>
          <t>different values</t>
        </is>
      </c>
      <c r="D429" s="296" t="inlineStr">
        <is>
          <t>Conforms | Одговара</t>
        </is>
      </c>
      <c r="E429" s="296" t="inlineStr">
        <is>
          <t>Conforms</t>
        </is>
      </c>
    </row>
    <row r="430">
      <c r="A430" s="296" t="inlineStr">
        <is>
          <t>GP052501</t>
        </is>
      </c>
      <c r="B430" s="296" t="inlineStr">
        <is>
          <t>#2</t>
        </is>
      </c>
      <c r="C430" s="298" t="inlineStr">
        <is>
          <t>different values</t>
        </is>
      </c>
      <c r="D430" s="296" t="inlineStr">
        <is>
          <t>Conforms | Одговара</t>
        </is>
      </c>
      <c r="E430" s="296" t="inlineStr">
        <is>
          <t>Conforms</t>
        </is>
      </c>
    </row>
    <row r="431">
      <c r="A431" s="296" t="inlineStr">
        <is>
          <t>GP052501</t>
        </is>
      </c>
      <c r="B431" s="296" t="inlineStr">
        <is>
          <t>#3</t>
        </is>
      </c>
      <c r="C431" s="298" t="inlineStr">
        <is>
          <t>different values</t>
        </is>
      </c>
      <c r="D431" s="296" t="inlineStr">
        <is>
          <t>Conforms | Одговара</t>
        </is>
      </c>
      <c r="E431" s="296" t="inlineStr">
        <is>
          <t>Conforms (ImB spec.)</t>
        </is>
      </c>
    </row>
    <row r="432">
      <c r="A432" s="296" t="inlineStr">
        <is>
          <t>GP052501</t>
        </is>
      </c>
      <c r="B432" s="296" t="inlineStr">
        <is>
          <t>#7</t>
        </is>
      </c>
      <c r="C432" s="298" t="inlineStr">
        <is>
          <t>different values</t>
        </is>
      </c>
      <c r="D432" s="296" t="inlineStr">
        <is>
          <t>Conforms | Одговара</t>
        </is>
      </c>
      <c r="E432" s="296" t="inlineStr">
        <is>
          <t>Conforms</t>
        </is>
      </c>
    </row>
    <row r="433">
      <c r="A433" s="296" t="inlineStr">
        <is>
          <t>GP052501</t>
        </is>
      </c>
      <c r="B433" s="296" t="inlineStr">
        <is>
          <t>#9</t>
        </is>
      </c>
      <c r="C433" s="298" t="inlineStr">
        <is>
          <t>different values</t>
        </is>
      </c>
      <c r="D433" s="296" t="inlineStr">
        <is>
          <t>2.1 × 10⁴; 3.6 × 10⁴; &lt; 10² and &gt; 10¹; Absent | Отсутна; Absent | Отсутна</t>
        </is>
      </c>
      <c r="E433" s="296" t="inlineStr">
        <is>
          <t>2.1×10⁴ ᴿ; 3.6 x 10⁴; &lt;10² и &gt;10¹; Одговара; Одговара</t>
        </is>
      </c>
    </row>
    <row r="434">
      <c r="A434" s="296" t="inlineStr">
        <is>
          <t>GP052501</t>
        </is>
      </c>
      <c r="B434" s="296" t="inlineStr">
        <is>
          <t>#12</t>
        </is>
      </c>
      <c r="C434" s="298" t="inlineStr">
        <is>
          <t>different values</t>
        </is>
      </c>
      <c r="D434" s="296" t="inlineStr">
        <is>
          <t>ND</t>
        </is>
      </c>
      <c r="E434" s="296" t="inlineStr">
        <is>
          <t>≤ LOQ (all 29 compounds)</t>
        </is>
      </c>
    </row>
    <row r="435">
      <c r="A435" s="296" t="inlineStr">
        <is>
          <t>GP0824_02</t>
        </is>
      </c>
      <c r="B435" s="296" t="inlineStr">
        <is>
          <t>#1</t>
        </is>
      </c>
      <c r="C435" s="298" t="inlineStr">
        <is>
          <t>different values</t>
        </is>
      </c>
      <c r="D435" s="296" t="inlineStr">
        <is>
          <t>Conforms | Одговара</t>
        </is>
      </c>
      <c r="E435" s="296" t="inlineStr">
        <is>
          <t>Conforms</t>
        </is>
      </c>
    </row>
    <row r="436">
      <c r="A436" s="296" t="inlineStr">
        <is>
          <t>GP0824_02</t>
        </is>
      </c>
      <c r="B436" s="296" t="inlineStr">
        <is>
          <t>#2</t>
        </is>
      </c>
      <c r="C436" s="298" t="inlineStr">
        <is>
          <t>different values</t>
        </is>
      </c>
      <c r="D436" s="296" t="inlineStr">
        <is>
          <t>Conforms | Одговара</t>
        </is>
      </c>
      <c r="E436" s="296" t="inlineStr">
        <is>
          <t>Conforms</t>
        </is>
      </c>
    </row>
    <row r="437">
      <c r="A437" s="296" t="inlineStr">
        <is>
          <t>GP0824_02</t>
        </is>
      </c>
      <c r="B437" s="296" t="inlineStr">
        <is>
          <t>#3</t>
        </is>
      </c>
      <c r="C437" s="298" t="inlineStr">
        <is>
          <t>different values</t>
        </is>
      </c>
      <c r="D437" s="296" t="inlineStr">
        <is>
          <t>Conforms | Одговара</t>
        </is>
      </c>
      <c r="E437" s="296" t="inlineStr">
        <is>
          <t>Conforms (ImB spec.)</t>
        </is>
      </c>
    </row>
    <row r="438">
      <c r="A438" s="296" t="inlineStr">
        <is>
          <t>GP0824_02</t>
        </is>
      </c>
      <c r="B438" s="296" t="inlineStr">
        <is>
          <t>#7</t>
        </is>
      </c>
      <c r="C438" s="298" t="inlineStr">
        <is>
          <t>different values</t>
        </is>
      </c>
      <c r="D438" s="296" t="inlineStr">
        <is>
          <t>Conforms | Одговара</t>
        </is>
      </c>
      <c r="E438" s="296" t="inlineStr">
        <is>
          <t>Conforms</t>
        </is>
      </c>
    </row>
    <row r="439">
      <c r="A439" s="296" t="inlineStr">
        <is>
          <t>GP0824_02</t>
        </is>
      </c>
      <c r="B439" s="296" t="inlineStr">
        <is>
          <t>#9</t>
        </is>
      </c>
      <c r="C439" s="298" t="inlineStr">
        <is>
          <t>different values</t>
        </is>
      </c>
      <c r="D439" s="296" t="inlineStr">
        <is>
          <t>700; &lt; 10; &lt; 10² and &gt; 10; Absent | Отсутна; Absent | Отсутна</t>
        </is>
      </c>
      <c r="E439" s="296" t="inlineStr">
        <is>
          <t>700; 10; &lt;10^2 и &gt;10; Одговара; Одговара</t>
        </is>
      </c>
    </row>
    <row r="440">
      <c r="A440" s="296" t="inlineStr">
        <is>
          <t>GP0824_02</t>
        </is>
      </c>
      <c r="B440" s="296" t="inlineStr">
        <is>
          <t>#12</t>
        </is>
      </c>
      <c r="C440" s="298" t="inlineStr">
        <is>
          <t>different values</t>
        </is>
      </c>
      <c r="D440" s="296" t="inlineStr">
        <is>
          <t>ND</t>
        </is>
      </c>
      <c r="E440" s="296" t="inlineStr">
        <is>
          <t>≤ LOQ (all 29 compounds)</t>
        </is>
      </c>
    </row>
    <row r="441">
      <c r="A441" s="296" t="inlineStr">
        <is>
          <t>GP082501/2</t>
        </is>
      </c>
      <c r="B441" s="296" t="inlineStr">
        <is>
          <t>#1</t>
        </is>
      </c>
      <c r="C441" s="298" t="inlineStr">
        <is>
          <t>different values</t>
        </is>
      </c>
      <c r="D441" s="296" t="inlineStr">
        <is>
          <t>Conforms | Одговара</t>
        </is>
      </c>
      <c r="E441" s="296" t="inlineStr">
        <is>
          <t>Conforms</t>
        </is>
      </c>
    </row>
    <row r="442">
      <c r="A442" s="296" t="inlineStr">
        <is>
          <t>GP082501/2</t>
        </is>
      </c>
      <c r="B442" s="296" t="inlineStr">
        <is>
          <t>#2</t>
        </is>
      </c>
      <c r="C442" s="298" t="inlineStr">
        <is>
          <t>different values</t>
        </is>
      </c>
      <c r="D442" s="296" t="inlineStr">
        <is>
          <t>Conforms | Одговара</t>
        </is>
      </c>
      <c r="E442" s="296" t="inlineStr">
        <is>
          <t>Conforms</t>
        </is>
      </c>
    </row>
    <row r="443">
      <c r="A443" s="296" t="inlineStr">
        <is>
          <t>GP082501/2</t>
        </is>
      </c>
      <c r="B443" s="296" t="inlineStr">
        <is>
          <t>#3</t>
        </is>
      </c>
      <c r="C443" s="298" t="inlineStr">
        <is>
          <t>different values</t>
        </is>
      </c>
      <c r="D443" s="296" t="inlineStr">
        <is>
          <t>Conforms | Одговара</t>
        </is>
      </c>
      <c r="E443" s="296" t="inlineStr">
        <is>
          <t>Conforms (ImB spec.)</t>
        </is>
      </c>
    </row>
    <row r="444">
      <c r="A444" s="296" t="inlineStr">
        <is>
          <t>GP082501/2</t>
        </is>
      </c>
      <c r="B444" s="296" t="inlineStr">
        <is>
          <t>#7</t>
        </is>
      </c>
      <c r="C444" s="298" t="inlineStr">
        <is>
          <t>different values</t>
        </is>
      </c>
      <c r="D444" s="296" t="inlineStr">
        <is>
          <t>Conforms | Одговара</t>
        </is>
      </c>
      <c r="E444" s="296" t="inlineStr">
        <is>
          <t>Conforms</t>
        </is>
      </c>
    </row>
    <row r="445">
      <c r="A445" s="296" t="inlineStr">
        <is>
          <t>GP082501/2</t>
        </is>
      </c>
      <c r="B445" s="296" t="inlineStr">
        <is>
          <t>#9</t>
        </is>
      </c>
      <c r="C445" s="298" t="inlineStr">
        <is>
          <t>different values</t>
        </is>
      </c>
      <c r="D445" s="296" t="inlineStr">
        <is>
          <t>3.2 × 10³; 5.8 × 10³; &lt; 10⁴ and &gt; 10³; Absent | Отсутна; Absent | Отсутна</t>
        </is>
      </c>
      <c r="E445" s="296" t="inlineStr">
        <is>
          <t>3.2 x 10³; 5.8 x 10³; &lt;10^4 и &gt;10^3; Одговара; Одговара</t>
        </is>
      </c>
    </row>
    <row r="446">
      <c r="A446" s="296" t="inlineStr">
        <is>
          <t>GP082501/2</t>
        </is>
      </c>
      <c r="B446" s="296" t="inlineStr">
        <is>
          <t>#12</t>
        </is>
      </c>
      <c r="C446" s="298" t="inlineStr">
        <is>
          <t>different values</t>
        </is>
      </c>
      <c r="D446" s="296" t="inlineStr">
        <is>
          <t>ND</t>
        </is>
      </c>
      <c r="E446" s="296" t="inlineStr">
        <is>
          <t>≤ LOQ (all 29 compounds)</t>
        </is>
      </c>
    </row>
    <row r="447">
      <c r="A447" s="296" t="inlineStr">
        <is>
          <t>HPA1024</t>
        </is>
      </c>
      <c r="B447" s="296" t="inlineStr">
        <is>
          <t>#1</t>
        </is>
      </c>
      <c r="C447" s="298" t="inlineStr">
        <is>
          <t>different values</t>
        </is>
      </c>
      <c r="D447" s="296" t="inlineStr">
        <is>
          <t>Conforms | Одговара</t>
        </is>
      </c>
      <c r="E447" s="296" t="inlineStr">
        <is>
          <t>Conforms</t>
        </is>
      </c>
    </row>
    <row r="448">
      <c r="A448" s="296" t="inlineStr">
        <is>
          <t>HPA1024</t>
        </is>
      </c>
      <c r="B448" s="296" t="inlineStr">
        <is>
          <t>#2</t>
        </is>
      </c>
      <c r="C448" s="298" t="inlineStr">
        <is>
          <t>different values</t>
        </is>
      </c>
      <c r="D448" s="296" t="inlineStr">
        <is>
          <t>Conforms | Одговара</t>
        </is>
      </c>
      <c r="E448" s="296" t="inlineStr">
        <is>
          <t>Conforms</t>
        </is>
      </c>
    </row>
    <row r="449">
      <c r="A449" s="296" t="inlineStr">
        <is>
          <t>HPA1024</t>
        </is>
      </c>
      <c r="B449" s="296" t="inlineStr">
        <is>
          <t>#4</t>
        </is>
      </c>
      <c r="C449" s="298" t="inlineStr">
        <is>
          <t>different values</t>
        </is>
      </c>
      <c r="D449" s="296" t="inlineStr">
        <is>
          <t>14.97</t>
        </is>
      </c>
      <c r="E449" s="296" t="inlineStr">
        <is>
          <t>19.68 %w/w</t>
        </is>
      </c>
    </row>
    <row r="450">
      <c r="A450" s="296" t="inlineStr">
        <is>
          <t>HPA1024</t>
        </is>
      </c>
      <c r="B450" s="296" t="inlineStr">
        <is>
          <t>#5</t>
        </is>
      </c>
      <c r="C450" s="298" t="inlineStr">
        <is>
          <t>different values</t>
        </is>
      </c>
      <c r="D450" s="296" t="inlineStr">
        <is>
          <t>0.04</t>
        </is>
      </c>
      <c r="E450" s="296" t="inlineStr">
        <is>
          <t>&lt; LOQ %w/w</t>
        </is>
      </c>
    </row>
    <row r="451">
      <c r="A451" s="296" t="inlineStr">
        <is>
          <t>HPA1024</t>
        </is>
      </c>
      <c r="B451" s="296" t="inlineStr">
        <is>
          <t>#7</t>
        </is>
      </c>
      <c r="C451" s="298" t="inlineStr">
        <is>
          <t>different values</t>
        </is>
      </c>
      <c r="D451" s="296" t="inlineStr">
        <is>
          <t>Conforms | Одговара</t>
        </is>
      </c>
      <c r="E451" s="296" t="inlineStr">
        <is>
          <t>Conforms</t>
        </is>
      </c>
    </row>
    <row r="452">
      <c r="A452" s="296" t="inlineStr">
        <is>
          <t>HPA1024</t>
        </is>
      </c>
      <c r="B452" s="296" t="inlineStr">
        <is>
          <t>#9</t>
        </is>
      </c>
      <c r="C452" s="298" t="inlineStr">
        <is>
          <t>different values</t>
        </is>
      </c>
      <c r="D452" s="296" t="inlineStr">
        <is>
          <t>5.2 × 10⁴; 7 × 10²; &lt; 10; Absent | Отсутна; Absent | Отсутна</t>
        </is>
      </c>
      <c r="E452" s="296" t="inlineStr">
        <is>
          <t>5.2·10⁴ CFU/g CFU/g; 7·10² CFU/g CFU/g; &lt;10 CFU/g CFU/g; Absent; Absent</t>
        </is>
      </c>
    </row>
    <row r="453">
      <c r="A453" s="296" t="inlineStr">
        <is>
          <t>HPA1024</t>
        </is>
      </c>
      <c r="B453" s="296" t="inlineStr">
        <is>
          <t>#11</t>
        </is>
      </c>
      <c r="C453" s="299" t="inlineStr">
        <is>
          <t>same values,
other order</t>
        </is>
      </c>
      <c r="D453" s="296" t="inlineStr">
        <is>
          <t>0.02; 0.013; 0.017; 0.0026</t>
        </is>
      </c>
      <c r="E453" s="296" t="inlineStr">
        <is>
          <t>0.013 mg/kg mg/kg; 0.02 mg/kg mg/kg; 0.0026 mg/kg mg/kg; 0.017 mg/kg mg/kg</t>
        </is>
      </c>
    </row>
    <row r="454">
      <c r="A454" s="296" t="inlineStr">
        <is>
          <t>HPA1024_01</t>
        </is>
      </c>
      <c r="B454" s="296" t="inlineStr">
        <is>
          <t>#1</t>
        </is>
      </c>
      <c r="C454" s="298" t="inlineStr">
        <is>
          <t>different values</t>
        </is>
      </c>
      <c r="D454" s="296" t="inlineStr">
        <is>
          <t>Conforms | Одговара</t>
        </is>
      </c>
      <c r="E454" s="296" t="inlineStr">
        <is>
          <t>Conforms</t>
        </is>
      </c>
    </row>
    <row r="455">
      <c r="A455" s="296" t="inlineStr">
        <is>
          <t>HPA1024_01</t>
        </is>
      </c>
      <c r="B455" s="296" t="inlineStr">
        <is>
          <t>#2</t>
        </is>
      </c>
      <c r="C455" s="298" t="inlineStr">
        <is>
          <t>different values</t>
        </is>
      </c>
      <c r="D455" s="296" t="inlineStr">
        <is>
          <t>Conforms | Одговара</t>
        </is>
      </c>
      <c r="E455" s="296" t="inlineStr">
        <is>
          <t>Conforms</t>
        </is>
      </c>
    </row>
    <row r="456">
      <c r="A456" s="296" t="inlineStr">
        <is>
          <t>HPA1024_01</t>
        </is>
      </c>
      <c r="B456" s="296" t="inlineStr">
        <is>
          <t>#3</t>
        </is>
      </c>
      <c r="C456" s="298" t="inlineStr">
        <is>
          <t>different values</t>
        </is>
      </c>
      <c r="D456" s="296" t="inlineStr">
        <is>
          <t>Conforms | Одговара</t>
        </is>
      </c>
      <c r="E456" s="296" t="inlineStr">
        <is>
          <t>Conforms (ImB spec.)</t>
        </is>
      </c>
    </row>
    <row r="457">
      <c r="A457" s="296" t="inlineStr">
        <is>
          <t>HPA1024_01</t>
        </is>
      </c>
      <c r="B457" s="296" t="inlineStr">
        <is>
          <t>#7</t>
        </is>
      </c>
      <c r="C457" s="298" t="inlineStr">
        <is>
          <t>different values</t>
        </is>
      </c>
      <c r="D457" s="296" t="inlineStr">
        <is>
          <t>Conforms | Одговара</t>
        </is>
      </c>
      <c r="E457" s="296" t="inlineStr">
        <is>
          <t>Conforms</t>
        </is>
      </c>
    </row>
    <row r="458">
      <c r="A458" s="296" t="inlineStr">
        <is>
          <t>HPA1024_01</t>
        </is>
      </c>
      <c r="B458" s="296" t="inlineStr">
        <is>
          <t>#9</t>
        </is>
      </c>
      <c r="C458" s="298" t="inlineStr">
        <is>
          <t>different values</t>
        </is>
      </c>
      <c r="D458" s="296" t="inlineStr">
        <is>
          <t>9.6 × 10³; 1.5 × 10⁴; &lt; 10; Absent | Отсутна; Absent | Отсутна</t>
        </is>
      </c>
      <c r="E458" s="296" t="inlineStr">
        <is>
          <t>9.6 x 10³; 1.5 x 10⁴; &lt;10; Одговара; Одговара</t>
        </is>
      </c>
    </row>
    <row r="459">
      <c r="A459" s="296" t="inlineStr">
        <is>
          <t>HPA1024_01</t>
        </is>
      </c>
      <c r="B459" s="296" t="inlineStr">
        <is>
          <t>#12</t>
        </is>
      </c>
      <c r="C459" s="298" t="inlineStr">
        <is>
          <t>different values</t>
        </is>
      </c>
      <c r="D459" s="296" t="inlineStr">
        <is>
          <t>ND</t>
        </is>
      </c>
      <c r="E459" s="296" t="inlineStr">
        <is>
          <t>≤ LOQ (all 23 compounds)</t>
        </is>
      </c>
    </row>
    <row r="460">
      <c r="A460" s="296" t="inlineStr">
        <is>
          <t>J31102501</t>
        </is>
      </c>
      <c r="B460" s="296" t="inlineStr">
        <is>
          <t>#1</t>
        </is>
      </c>
      <c r="C460" s="298" t="inlineStr">
        <is>
          <t>different values</t>
        </is>
      </c>
      <c r="D460" s="296" t="inlineStr">
        <is>
          <t>Conforms | Одговара</t>
        </is>
      </c>
      <c r="E460" s="296" t="inlineStr">
        <is>
          <t>Conforms</t>
        </is>
      </c>
    </row>
    <row r="461">
      <c r="A461" s="296" t="inlineStr">
        <is>
          <t>J31102501</t>
        </is>
      </c>
      <c r="B461" s="296" t="inlineStr">
        <is>
          <t>#2</t>
        </is>
      </c>
      <c r="C461" s="298" t="inlineStr">
        <is>
          <t>different values</t>
        </is>
      </c>
      <c r="D461" s="296" t="inlineStr">
        <is>
          <t>Conforms | Одговара</t>
        </is>
      </c>
      <c r="E461" s="296" t="inlineStr">
        <is>
          <t>Conforms</t>
        </is>
      </c>
    </row>
    <row r="462">
      <c r="A462" s="296" t="inlineStr">
        <is>
          <t>J31102501</t>
        </is>
      </c>
      <c r="B462" s="296" t="inlineStr">
        <is>
          <t>#3</t>
        </is>
      </c>
      <c r="C462" s="298" t="inlineStr">
        <is>
          <t>different values</t>
        </is>
      </c>
      <c r="D462" s="296" t="inlineStr">
        <is>
          <t>Conforms | Одговара</t>
        </is>
      </c>
      <c r="E462" s="296" t="inlineStr">
        <is>
          <t>Conforms (ImB spec.) ᴿ</t>
        </is>
      </c>
    </row>
    <row r="463">
      <c r="A463" s="296" t="inlineStr">
        <is>
          <t>J31102501</t>
        </is>
      </c>
      <c r="B463" s="296" t="inlineStr">
        <is>
          <t>#7</t>
        </is>
      </c>
      <c r="C463" s="298" t="inlineStr">
        <is>
          <t>different values</t>
        </is>
      </c>
      <c r="D463" s="296" t="inlineStr">
        <is>
          <t>Conforms | Одговара</t>
        </is>
      </c>
      <c r="E463" s="296" t="inlineStr">
        <is>
          <t>Conforms</t>
        </is>
      </c>
    </row>
    <row r="464">
      <c r="A464" s="296" t="inlineStr">
        <is>
          <t>J31102501</t>
        </is>
      </c>
      <c r="B464" s="296" t="inlineStr">
        <is>
          <t>#9</t>
        </is>
      </c>
      <c r="C464" s="298" t="inlineStr">
        <is>
          <t>different values</t>
        </is>
      </c>
      <c r="D464" s="296" t="inlineStr">
        <is>
          <t>1.6 × 10²; 1.9 × 10²; &lt; 10; Absent | Отсутна; Absent | Отсутна</t>
        </is>
      </c>
      <c r="E464" s="296" t="inlineStr">
        <is>
          <t>1,6 x 10² CFU/g CFU/g; 1,9 x 10² CFU/g CFU/g; &lt; 10 CFU/g CFU/g; Одговара; Одговара</t>
        </is>
      </c>
    </row>
    <row r="465">
      <c r="A465" s="296" t="inlineStr">
        <is>
          <t>JD112501</t>
        </is>
      </c>
      <c r="B465" s="296" t="inlineStr">
        <is>
          <t>#1</t>
        </is>
      </c>
      <c r="C465" s="298" t="inlineStr">
        <is>
          <t>different values</t>
        </is>
      </c>
      <c r="D465" s="296" t="inlineStr">
        <is>
          <t>Conforms | Одговара</t>
        </is>
      </c>
      <c r="E465" s="296" t="inlineStr">
        <is>
          <t>Conforms</t>
        </is>
      </c>
    </row>
    <row r="466">
      <c r="A466" s="296" t="inlineStr">
        <is>
          <t>JD112501</t>
        </is>
      </c>
      <c r="B466" s="296" t="inlineStr">
        <is>
          <t>#2</t>
        </is>
      </c>
      <c r="C466" s="298" t="inlineStr">
        <is>
          <t>different values</t>
        </is>
      </c>
      <c r="D466" s="296" t="inlineStr">
        <is>
          <t>Conforms | Одговара</t>
        </is>
      </c>
      <c r="E466" s="296" t="inlineStr">
        <is>
          <t>Conforms</t>
        </is>
      </c>
    </row>
    <row r="467">
      <c r="A467" s="296" t="inlineStr">
        <is>
          <t>JD112501</t>
        </is>
      </c>
      <c r="B467" s="296" t="inlineStr">
        <is>
          <t>#6</t>
        </is>
      </c>
      <c r="C467" s="298" t="inlineStr">
        <is>
          <t>different values</t>
        </is>
      </c>
      <c r="D467" s="296" t="inlineStr">
        <is>
          <t>&lt; LOQ %</t>
        </is>
      </c>
      <c r="E467" s="296" t="inlineStr">
        <is>
          <t>BLQ %</t>
        </is>
      </c>
    </row>
    <row r="468">
      <c r="A468" s="296" t="inlineStr">
        <is>
          <t>JD112501</t>
        </is>
      </c>
      <c r="B468" s="296" t="inlineStr">
        <is>
          <t>#7</t>
        </is>
      </c>
      <c r="C468" s="298" t="inlineStr">
        <is>
          <t>different values</t>
        </is>
      </c>
      <c r="D468" s="296" t="inlineStr">
        <is>
          <t>Conforms | Одговара</t>
        </is>
      </c>
      <c r="E468" s="296" t="inlineStr">
        <is>
          <t>Conforms</t>
        </is>
      </c>
    </row>
    <row r="469">
      <c r="A469" s="296" t="inlineStr">
        <is>
          <t>JD112501</t>
        </is>
      </c>
      <c r="B469" s="296" t="inlineStr">
        <is>
          <t>#9</t>
        </is>
      </c>
      <c r="C469" s="298" t="inlineStr">
        <is>
          <t>different values</t>
        </is>
      </c>
      <c r="D469" s="296" t="inlineStr">
        <is>
          <t>2,6 × 10³; 3,3 × 10³; &lt; 10³ and &gt; 10²; Absent | Отсутна; Absent | Отсутна</t>
        </is>
      </c>
      <c r="E469" s="296" t="inlineStr">
        <is>
          <t>1 x 10⁴ CFU/g CFU/g; 6,7 x 10³ CFU/g CFU/g; &lt; 10³ и &gt;10² CFU/g CFU/g; Отсутна/g; Отсутна/25 g</t>
        </is>
      </c>
    </row>
    <row r="470">
      <c r="A470" s="296" t="inlineStr">
        <is>
          <t>OPM1024</t>
        </is>
      </c>
      <c r="B470" s="296" t="inlineStr">
        <is>
          <t>#1</t>
        </is>
      </c>
      <c r="C470" s="298" t="inlineStr">
        <is>
          <t>different values</t>
        </is>
      </c>
      <c r="D470" s="296" t="inlineStr">
        <is>
          <t>Conforms | Одговара</t>
        </is>
      </c>
      <c r="E470" s="296" t="inlineStr">
        <is>
          <t>Confirms</t>
        </is>
      </c>
    </row>
    <row r="471">
      <c r="A471" s="296" t="inlineStr">
        <is>
          <t>OPM1024</t>
        </is>
      </c>
      <c r="B471" s="296" t="inlineStr">
        <is>
          <t>#2</t>
        </is>
      </c>
      <c r="C471" s="298" t="inlineStr">
        <is>
          <t>different values</t>
        </is>
      </c>
      <c r="D471" s="296" t="inlineStr">
        <is>
          <t>Conforms | Одговара</t>
        </is>
      </c>
      <c r="E471" s="296" t="inlineStr">
        <is>
          <t>Conforms</t>
        </is>
      </c>
    </row>
    <row r="472">
      <c r="A472" s="296" t="inlineStr">
        <is>
          <t>OPM1024</t>
        </is>
      </c>
      <c r="B472" s="296" t="inlineStr">
        <is>
          <t>#4</t>
        </is>
      </c>
      <c r="C472" s="298" t="inlineStr">
        <is>
          <t>different values</t>
        </is>
      </c>
      <c r="D472" s="296" t="inlineStr">
        <is>
          <t>19.96</t>
        </is>
      </c>
      <c r="E472" s="296" t="inlineStr">
        <is>
          <t>20.03 %w/w</t>
        </is>
      </c>
    </row>
    <row r="473">
      <c r="A473" s="296" t="inlineStr">
        <is>
          <t>OPM1024</t>
        </is>
      </c>
      <c r="B473" s="296" t="inlineStr">
        <is>
          <t>#5</t>
        </is>
      </c>
      <c r="C473" s="298" t="inlineStr">
        <is>
          <t>different values</t>
        </is>
      </c>
      <c r="D473" s="296" t="inlineStr">
        <is>
          <t>0.05</t>
        </is>
      </c>
      <c r="E473" s="296" t="inlineStr">
        <is>
          <t>&lt; LOQ %w/w</t>
        </is>
      </c>
    </row>
    <row r="474">
      <c r="A474" s="296" t="inlineStr">
        <is>
          <t>OPM1024</t>
        </is>
      </c>
      <c r="B474" s="296" t="inlineStr">
        <is>
          <t>#7</t>
        </is>
      </c>
      <c r="C474" s="298" t="inlineStr">
        <is>
          <t>different values</t>
        </is>
      </c>
      <c r="D474" s="296" t="inlineStr">
        <is>
          <t>Conforms | Одговара</t>
        </is>
      </c>
      <c r="E474" s="296" t="inlineStr">
        <is>
          <t>Confirms</t>
        </is>
      </c>
    </row>
    <row r="475">
      <c r="A475" s="296" t="inlineStr">
        <is>
          <t>OPM1024</t>
        </is>
      </c>
      <c r="B475" s="296" t="inlineStr">
        <is>
          <t>#9</t>
        </is>
      </c>
      <c r="C475" s="298" t="inlineStr">
        <is>
          <t>different values</t>
        </is>
      </c>
      <c r="D475" s="296" t="inlineStr">
        <is>
          <t>1.3 × 10⁴; 7 × 10²; &lt; 10² &gt; 10³; Absent | Отсутна; Absent | Отсутна</t>
        </is>
      </c>
      <c r="E475" s="296" t="inlineStr">
        <is>
          <t>1.3·10⁴ CFU/g CFU/g; 7·10² CFU/g CFU/g; &lt;10²&gt;10³CFU/g CFU/g; Absent; Absent</t>
        </is>
      </c>
    </row>
    <row r="476">
      <c r="A476" s="296" t="inlineStr">
        <is>
          <t>OPM1024</t>
        </is>
      </c>
      <c r="B476" s="296" t="inlineStr">
        <is>
          <t>#11</t>
        </is>
      </c>
      <c r="C476" s="299" t="inlineStr">
        <is>
          <t>same values,
other order</t>
        </is>
      </c>
      <c r="D476" s="296" t="inlineStr">
        <is>
          <t>0.031; 0.017; 0.045; 0.005</t>
        </is>
      </c>
      <c r="E476" s="296" t="inlineStr">
        <is>
          <t>0.017 mg/kg mg/kg; 0.031 mg/kg mg/kg; 0.005 mg/kg mg/kg; 0.045 mg/kg mg/kg</t>
        </is>
      </c>
    </row>
    <row r="477">
      <c r="A477" s="296" t="inlineStr">
        <is>
          <t>OPM1024_02</t>
        </is>
      </c>
      <c r="B477" s="296" t="inlineStr">
        <is>
          <t>#1</t>
        </is>
      </c>
      <c r="C477" s="298" t="inlineStr">
        <is>
          <t>different values</t>
        </is>
      </c>
      <c r="D477" s="296" t="inlineStr">
        <is>
          <t>Conforms | Одговара</t>
        </is>
      </c>
      <c r="E477" s="296" t="inlineStr">
        <is>
          <t>Conforms</t>
        </is>
      </c>
    </row>
    <row r="478">
      <c r="A478" s="296" t="inlineStr">
        <is>
          <t>OPM1024_02</t>
        </is>
      </c>
      <c r="B478" s="296" t="inlineStr">
        <is>
          <t>#2</t>
        </is>
      </c>
      <c r="C478" s="298" t="inlineStr">
        <is>
          <t>different values</t>
        </is>
      </c>
      <c r="D478" s="296" t="inlineStr">
        <is>
          <t>Conforms | Одговара</t>
        </is>
      </c>
      <c r="E478" s="296" t="inlineStr">
        <is>
          <t>Conforms</t>
        </is>
      </c>
    </row>
    <row r="479">
      <c r="A479" s="296" t="inlineStr">
        <is>
          <t>OPM1024_02</t>
        </is>
      </c>
      <c r="B479" s="296" t="inlineStr">
        <is>
          <t>#3</t>
        </is>
      </c>
      <c r="C479" s="298" t="inlineStr">
        <is>
          <t>different values</t>
        </is>
      </c>
      <c r="D479" s="296" t="inlineStr">
        <is>
          <t>Conforms | Одговара</t>
        </is>
      </c>
      <c r="E479" s="296" t="inlineStr">
        <is>
          <t>Conforms (ImB spec.)</t>
        </is>
      </c>
    </row>
    <row r="480">
      <c r="A480" s="296" t="inlineStr">
        <is>
          <t>OPM1024_02</t>
        </is>
      </c>
      <c r="B480" s="296" t="inlineStr">
        <is>
          <t>#7</t>
        </is>
      </c>
      <c r="C480" s="298" t="inlineStr">
        <is>
          <t>different values</t>
        </is>
      </c>
      <c r="D480" s="296" t="inlineStr">
        <is>
          <t>Conforms | Одговара</t>
        </is>
      </c>
      <c r="E480" s="296" t="inlineStr">
        <is>
          <t>Conforms</t>
        </is>
      </c>
    </row>
    <row r="481">
      <c r="A481" s="296" t="inlineStr">
        <is>
          <t>OPM1024_02</t>
        </is>
      </c>
      <c r="B481" s="296" t="inlineStr">
        <is>
          <t>#9</t>
        </is>
      </c>
      <c r="C481" s="298" t="inlineStr">
        <is>
          <t>different values</t>
        </is>
      </c>
      <c r="D481" s="296" t="inlineStr">
        <is>
          <t>3.4 × 10³; 3.6 × 10³; &lt; 10; Absent | Отсутна; Absent | Отсутна</t>
        </is>
      </c>
      <c r="E481" s="296" t="inlineStr">
        <is>
          <t>3.4 x 10³; 3.6 x 10³; &lt;10; Одговара; Одговара</t>
        </is>
      </c>
    </row>
    <row r="482">
      <c r="A482" s="296" t="inlineStr">
        <is>
          <t>OPM1024_02</t>
        </is>
      </c>
      <c r="B482" s="296" t="inlineStr">
        <is>
          <t>#12</t>
        </is>
      </c>
      <c r="C482" s="298" t="inlineStr">
        <is>
          <t>different values</t>
        </is>
      </c>
      <c r="D482" s="296" t="inlineStr">
        <is>
          <t>ND</t>
        </is>
      </c>
      <c r="E482" s="296" t="inlineStr">
        <is>
          <t>FINDS: delta HCH &lt;0.01</t>
        </is>
      </c>
    </row>
    <row r="483">
      <c r="A483" s="296" t="inlineStr">
        <is>
          <t>OPM122501</t>
        </is>
      </c>
      <c r="B483" s="296" t="inlineStr">
        <is>
          <t>#1</t>
        </is>
      </c>
      <c r="C483" s="298" t="inlineStr">
        <is>
          <t>different values</t>
        </is>
      </c>
      <c r="D483" s="296" t="inlineStr">
        <is>
          <t>Conforms | Одговара</t>
        </is>
      </c>
      <c r="E483" s="296" t="inlineStr">
        <is>
          <t>Conforms</t>
        </is>
      </c>
    </row>
    <row r="484">
      <c r="A484" s="296" t="inlineStr">
        <is>
          <t>OPM122501</t>
        </is>
      </c>
      <c r="B484" s="296" t="inlineStr">
        <is>
          <t>#2</t>
        </is>
      </c>
      <c r="C484" s="298" t="inlineStr">
        <is>
          <t>different values</t>
        </is>
      </c>
      <c r="D484" s="296" t="inlineStr">
        <is>
          <t>Conforms | Одговара</t>
        </is>
      </c>
      <c r="E484" s="296" t="inlineStr">
        <is>
          <t>Conforms</t>
        </is>
      </c>
    </row>
    <row r="485">
      <c r="A485" s="296" t="inlineStr">
        <is>
          <t>OPM122501</t>
        </is>
      </c>
      <c r="B485" s="296" t="inlineStr">
        <is>
          <t>#3</t>
        </is>
      </c>
      <c r="C485" s="298" t="inlineStr">
        <is>
          <t>different values</t>
        </is>
      </c>
      <c r="D485" s="296" t="inlineStr">
        <is>
          <t>Conforms | Одговара</t>
        </is>
      </c>
      <c r="E485" s="296" t="inlineStr">
        <is>
          <t>Conforms (ImB spec.) ᴿ</t>
        </is>
      </c>
    </row>
    <row r="486">
      <c r="A486" s="296" t="inlineStr">
        <is>
          <t>OPM122501</t>
        </is>
      </c>
      <c r="B486" s="296" t="inlineStr">
        <is>
          <t>#7</t>
        </is>
      </c>
      <c r="C486" s="298" t="inlineStr">
        <is>
          <t>different values</t>
        </is>
      </c>
      <c r="D486" s="296" t="inlineStr">
        <is>
          <t>Conforms | Одговара</t>
        </is>
      </c>
      <c r="E486" s="296" t="inlineStr">
        <is>
          <t>Conforms</t>
        </is>
      </c>
    </row>
    <row r="487">
      <c r="A487" s="296" t="inlineStr">
        <is>
          <t>OPM122501</t>
        </is>
      </c>
      <c r="B487" s="296" t="inlineStr">
        <is>
          <t>#9</t>
        </is>
      </c>
      <c r="C487" s="298" t="inlineStr">
        <is>
          <t>different values</t>
        </is>
      </c>
      <c r="D487" s="296" t="inlineStr">
        <is>
          <t>120; 100; &lt; 10; Absent | Отсутна; Absent | Отсутна</t>
        </is>
      </c>
      <c r="E487" s="296" t="inlineStr">
        <is>
          <t>120; 100; &lt;10; Одговара; Одговара</t>
        </is>
      </c>
    </row>
    <row r="488">
      <c r="A488" s="296" t="inlineStr">
        <is>
          <t>OPM122501</t>
        </is>
      </c>
      <c r="B488" s="296" t="inlineStr">
        <is>
          <t>#12</t>
        </is>
      </c>
      <c r="C488" s="298" t="inlineStr">
        <is>
          <t>different values</t>
        </is>
      </c>
      <c r="D488" s="296" t="inlineStr">
        <is>
          <t>ND</t>
        </is>
      </c>
      <c r="E488" s="296" t="inlineStr">
        <is>
          <t>≤ LOQ (all 25 compounds)</t>
        </is>
      </c>
    </row>
    <row r="489">
      <c r="A489" s="296" t="inlineStr">
        <is>
          <t>PM092501</t>
        </is>
      </c>
      <c r="B489" s="296" t="inlineStr">
        <is>
          <t>#1</t>
        </is>
      </c>
      <c r="C489" s="298" t="inlineStr">
        <is>
          <t>different values</t>
        </is>
      </c>
      <c r="D489" s="296" t="inlineStr">
        <is>
          <t>Conforms | Одговара</t>
        </is>
      </c>
      <c r="E489" s="296" t="inlineStr">
        <is>
          <t>Conforms</t>
        </is>
      </c>
    </row>
    <row r="490">
      <c r="A490" s="296" t="inlineStr">
        <is>
          <t>PM092501</t>
        </is>
      </c>
      <c r="B490" s="296" t="inlineStr">
        <is>
          <t>#2</t>
        </is>
      </c>
      <c r="C490" s="298" t="inlineStr">
        <is>
          <t>different values</t>
        </is>
      </c>
      <c r="D490" s="296" t="inlineStr">
        <is>
          <t>Conforms | Одговара</t>
        </is>
      </c>
      <c r="E490" s="296" t="inlineStr">
        <is>
          <t>Conforms</t>
        </is>
      </c>
    </row>
    <row r="491">
      <c r="A491" s="296" t="inlineStr">
        <is>
          <t>PM092501</t>
        </is>
      </c>
      <c r="B491" s="296" t="inlineStr">
        <is>
          <t>#3</t>
        </is>
      </c>
      <c r="C491" s="298" t="inlineStr">
        <is>
          <t>different values</t>
        </is>
      </c>
      <c r="D491" s="296" t="inlineStr">
        <is>
          <t>Conforms | Одговара</t>
        </is>
      </c>
      <c r="E491" s="296" t="inlineStr">
        <is>
          <t>Conforms (ImB spec.) ᴿ</t>
        </is>
      </c>
    </row>
    <row r="492">
      <c r="A492" s="296" t="inlineStr">
        <is>
          <t>PM092501</t>
        </is>
      </c>
      <c r="B492" s="296" t="inlineStr">
        <is>
          <t>#6</t>
        </is>
      </c>
      <c r="C492" s="298" t="inlineStr">
        <is>
          <t>different values</t>
        </is>
      </c>
      <c r="D492" s="296" t="inlineStr">
        <is>
          <t>&lt; LOQ ᴰ</t>
        </is>
      </c>
      <c r="E492" s="296" t="inlineStr">
        <is>
          <t>BLQ ᴰ</t>
        </is>
      </c>
    </row>
    <row r="493">
      <c r="A493" s="296" t="inlineStr">
        <is>
          <t>PM092501</t>
        </is>
      </c>
      <c r="B493" s="296" t="inlineStr">
        <is>
          <t>#7</t>
        </is>
      </c>
      <c r="C493" s="298" t="inlineStr">
        <is>
          <t>different values</t>
        </is>
      </c>
      <c r="D493" s="296" t="inlineStr">
        <is>
          <t>Conforms | Одговара</t>
        </is>
      </c>
      <c r="E493" s="296" t="inlineStr">
        <is>
          <t>Conforms</t>
        </is>
      </c>
    </row>
    <row r="494">
      <c r="A494" s="296" t="inlineStr">
        <is>
          <t>PM092501</t>
        </is>
      </c>
      <c r="B494" s="296" t="inlineStr">
        <is>
          <t>#9</t>
        </is>
      </c>
      <c r="C494" s="298" t="inlineStr">
        <is>
          <t>different values</t>
        </is>
      </c>
      <c r="D494" s="296" t="inlineStr">
        <is>
          <t>2 × 10³; 2.2 × 10³; &lt; 10; Absent | Отсутна; Absent | Отсутна</t>
        </is>
      </c>
      <c r="E494" s="296" t="inlineStr">
        <is>
          <t>2×10³; 2.2×10³; &lt;10; Одговара; Одговара</t>
        </is>
      </c>
    </row>
    <row r="495">
      <c r="A495" s="296" t="inlineStr">
        <is>
          <t>PM092501</t>
        </is>
      </c>
      <c r="B495" s="296" t="inlineStr">
        <is>
          <t>#12</t>
        </is>
      </c>
      <c r="C495" s="298" t="inlineStr">
        <is>
          <t>different values</t>
        </is>
      </c>
      <c r="D495" s="296" t="inlineStr">
        <is>
          <t>ND</t>
        </is>
      </c>
      <c r="E495" s="296" t="inlineStr">
        <is>
          <t>≤ LOQ (all 28 compounds)</t>
        </is>
      </c>
    </row>
    <row r="496">
      <c r="A496" s="296" t="inlineStr">
        <is>
          <t>SCR012603</t>
        </is>
      </c>
      <c r="B496" s="296" t="inlineStr">
        <is>
          <t>#1</t>
        </is>
      </c>
      <c r="C496" s="298" t="inlineStr">
        <is>
          <t>different values</t>
        </is>
      </c>
      <c r="D496" s="296" t="inlineStr">
        <is>
          <t>Conforms | Одговара</t>
        </is>
      </c>
      <c r="E496" s="296" t="inlineStr">
        <is>
          <t>Conforms</t>
        </is>
      </c>
    </row>
    <row r="497">
      <c r="A497" s="296" t="inlineStr">
        <is>
          <t>SCR012603</t>
        </is>
      </c>
      <c r="B497" s="296" t="inlineStr">
        <is>
          <t>#2</t>
        </is>
      </c>
      <c r="C497" s="298" t="inlineStr">
        <is>
          <t>different values</t>
        </is>
      </c>
      <c r="D497" s="296" t="inlineStr">
        <is>
          <t>Conforms | Одговара</t>
        </is>
      </c>
      <c r="E497" s="296" t="inlineStr">
        <is>
          <t>Conforms</t>
        </is>
      </c>
    </row>
    <row r="498">
      <c r="A498" s="296" t="inlineStr">
        <is>
          <t>SCR012603</t>
        </is>
      </c>
      <c r="B498" s="296" t="inlineStr">
        <is>
          <t>#7</t>
        </is>
      </c>
      <c r="C498" s="298" t="inlineStr">
        <is>
          <t>different values</t>
        </is>
      </c>
      <c r="D498" s="296" t="inlineStr">
        <is>
          <t>Conforms | Одговара</t>
        </is>
      </c>
      <c r="E498" s="296" t="inlineStr">
        <is>
          <t>Conforms</t>
        </is>
      </c>
    </row>
    <row r="499">
      <c r="A499" s="296" t="inlineStr">
        <is>
          <t>SCR012603</t>
        </is>
      </c>
      <c r="B499" s="296" t="inlineStr">
        <is>
          <t>#9</t>
        </is>
      </c>
      <c r="C499" s="298" t="inlineStr">
        <is>
          <t>different values</t>
        </is>
      </c>
      <c r="D499" s="296" t="inlineStr">
        <is>
          <t>5.4 × 10⁴; 1.8 × 10⁴; &lt; 10; Absent | Отсутна; Absent | Отсутна</t>
        </is>
      </c>
      <c r="E499" s="296" t="inlineStr">
        <is>
          <t>5,4 x 10⁴ CFU/g CFU/g; 1,8 x 10⁴ CFU/g CFU/g; &lt; 10 CFU/g CFU/g; Отсутна /g; Отсутна /25 g</t>
        </is>
      </c>
    </row>
    <row r="500">
      <c r="A500" s="296" t="inlineStr">
        <is>
          <t>ACC102501</t>
        </is>
      </c>
      <c r="B500" s="296" t="inlineStr">
        <is>
          <t>#9</t>
        </is>
      </c>
      <c r="C500" s="298" t="inlineStr">
        <is>
          <t>different values</t>
        </is>
      </c>
      <c r="D500" s="296" t="inlineStr">
        <is>
          <t>1 × 10³; 1.6 × 10³; &lt; 10; Absent | Отсутна; Absent | Отсутна</t>
        </is>
      </c>
      <c r="E500" s="296" t="inlineStr">
        <is>
          <t>1 x 10³ CFU/g CFU/g; 1,6 x 10³ CFU/g CFU/g; &lt; 10 CFU/g CFU/g; Одговара; Одговара</t>
        </is>
      </c>
    </row>
    <row r="501">
      <c r="A501" s="296" t="inlineStr">
        <is>
          <t>BSS052501</t>
        </is>
      </c>
      <c r="B501" s="296" t="inlineStr">
        <is>
          <t>#1</t>
        </is>
      </c>
      <c r="C501" s="298" t="inlineStr">
        <is>
          <t>different values</t>
        </is>
      </c>
      <c r="D501" s="296" t="inlineStr">
        <is>
          <t>Conforms | Одговара</t>
        </is>
      </c>
      <c r="E501" s="296" t="inlineStr">
        <is>
          <t>Conforms</t>
        </is>
      </c>
    </row>
    <row r="502">
      <c r="A502" s="296" t="inlineStr">
        <is>
          <t>BSS052501</t>
        </is>
      </c>
      <c r="B502" s="296" t="inlineStr">
        <is>
          <t>#2</t>
        </is>
      </c>
      <c r="C502" s="298" t="inlineStr">
        <is>
          <t>different values</t>
        </is>
      </c>
      <c r="D502" s="296" t="inlineStr">
        <is>
          <t>Conforms | Одговара</t>
        </is>
      </c>
      <c r="E502" s="296" t="inlineStr">
        <is>
          <t>Conforms</t>
        </is>
      </c>
    </row>
    <row r="503">
      <c r="A503" s="296" t="inlineStr">
        <is>
          <t>BSS052501</t>
        </is>
      </c>
      <c r="B503" s="296" t="inlineStr">
        <is>
          <t>#7</t>
        </is>
      </c>
      <c r="C503" s="298" t="inlineStr">
        <is>
          <t>different values</t>
        </is>
      </c>
      <c r="D503" s="296" t="inlineStr">
        <is>
          <t>Conforms | Одговара</t>
        </is>
      </c>
      <c r="E503" s="296" t="inlineStr">
        <is>
          <t>Conforms</t>
        </is>
      </c>
    </row>
    <row r="504">
      <c r="A504" s="296" t="inlineStr">
        <is>
          <t>BSS052501</t>
        </is>
      </c>
      <c r="B504" s="296" t="inlineStr">
        <is>
          <t>#9</t>
        </is>
      </c>
      <c r="C504" s="298" t="inlineStr">
        <is>
          <t>different values</t>
        </is>
      </c>
      <c r="D504" s="296" t="inlineStr">
        <is>
          <t>200; 200; &lt; 10² and &gt; 10; Absent | Отсутна; Absent | Отсутна</t>
        </is>
      </c>
      <c r="E504" s="296" t="inlineStr">
        <is>
          <t>200 CFU/g CFU/g; 200 CFU/g CFU/g; &lt; 10² и &gt;10 CFU/g CFU/g; Одговара /g; Одговара /25 g</t>
        </is>
      </c>
    </row>
    <row r="505">
      <c r="A505" s="296" t="inlineStr">
        <is>
          <t>BSS052501</t>
        </is>
      </c>
      <c r="B505" s="296" t="inlineStr">
        <is>
          <t>#12</t>
        </is>
      </c>
      <c r="C505" s="298" t="inlineStr">
        <is>
          <t>different values</t>
        </is>
      </c>
      <c r="D505" s="296" t="inlineStr">
        <is>
          <t>Not found any pesticide above LOQ (≤LOQ) — COMPLIES with Ph. Eur.</t>
        </is>
      </c>
      <c r="E505" s="296" t="inlineStr">
        <is>
          <t>≤ LOQ (0.01 mg/kg) mg/kg</t>
        </is>
      </c>
    </row>
    <row r="506">
      <c r="A506" s="296" t="inlineStr">
        <is>
          <t>CC012603</t>
        </is>
      </c>
      <c r="B506" s="296" t="inlineStr">
        <is>
          <t>#9</t>
        </is>
      </c>
      <c r="C506" s="298" t="inlineStr">
        <is>
          <t>different values</t>
        </is>
      </c>
      <c r="D506" s="296" t="inlineStr">
        <is>
          <t>2.7 × 10³; 1.6 × 10¹; &lt; 10; Absent | Отсутна; Absent | Отсутна</t>
        </is>
      </c>
      <c r="E506" s="296" t="inlineStr">
        <is>
          <t>2,7 x 10³ CFU/g CFU/g; 1,6 x 10⁴ CFU/g CFU/g; &lt; 10 CFU/g CFU/g; Отсутна /g; Отсутна /25 g</t>
        </is>
      </c>
    </row>
    <row r="507">
      <c r="A507" s="296" t="inlineStr">
        <is>
          <t>CF102501</t>
        </is>
      </c>
      <c r="B507" s="296" t="inlineStr">
        <is>
          <t>#9</t>
        </is>
      </c>
      <c r="C507" s="298" t="inlineStr">
        <is>
          <t>different values</t>
        </is>
      </c>
      <c r="D507" s="296" t="inlineStr">
        <is>
          <t>3.1 × 10⁴; 3.9 × 10⁴; &lt; 10³ and &gt; 10²; Absent | Отсутна; Absent | Отсутна</t>
        </is>
      </c>
      <c r="E507" s="296" t="inlineStr">
        <is>
          <t>3,1 x 10⁴ CFU/g CFU/g; 3,9 x 10⁴ CFU/g CFU/g; &lt; 10³ и 10² CFU/g CFU/g; Одговара; Одговара</t>
        </is>
      </c>
    </row>
    <row r="508">
      <c r="A508" s="296" t="inlineStr">
        <is>
          <t>CF102501</t>
        </is>
      </c>
      <c r="B508" s="296" t="inlineStr">
        <is>
          <t>#11</t>
        </is>
      </c>
      <c r="C508" s="299" t="inlineStr">
        <is>
          <t>same values,
other order</t>
        </is>
      </c>
      <c r="D508" s="296" t="inlineStr">
        <is>
          <t>0.07; ND; 0.0942; ND</t>
        </is>
      </c>
      <c r="E508" s="296" t="inlineStr">
        <is>
          <t>0,07 mg/kg(l); 0,0942 mg/kg(l); н.д. mg/kg(l); н.д. mg/kg(l)</t>
        </is>
      </c>
    </row>
    <row r="509">
      <c r="A509" s="296" t="inlineStr">
        <is>
          <t>CJ062501/1</t>
        </is>
      </c>
      <c r="B509" s="296" t="inlineStr">
        <is>
          <t>#1</t>
        </is>
      </c>
      <c r="C509" s="298" t="inlineStr">
        <is>
          <t>different values</t>
        </is>
      </c>
      <c r="D509" s="296" t="inlineStr">
        <is>
          <t>Conforms | Одговара</t>
        </is>
      </c>
      <c r="E509" s="296" t="inlineStr">
        <is>
          <t>Conforms</t>
        </is>
      </c>
    </row>
    <row r="510">
      <c r="A510" s="296" t="inlineStr">
        <is>
          <t>CJ062501/1</t>
        </is>
      </c>
      <c r="B510" s="296" t="inlineStr">
        <is>
          <t>#2</t>
        </is>
      </c>
      <c r="C510" s="298" t="inlineStr">
        <is>
          <t>different values</t>
        </is>
      </c>
      <c r="D510" s="296" t="inlineStr">
        <is>
          <t>Conforms | Одговара</t>
        </is>
      </c>
      <c r="E510" s="296" t="inlineStr">
        <is>
          <t>Conforms</t>
        </is>
      </c>
    </row>
    <row r="511">
      <c r="A511" s="296" t="inlineStr">
        <is>
          <t>CJ062501/1</t>
        </is>
      </c>
      <c r="B511" s="296" t="inlineStr">
        <is>
          <t>#3</t>
        </is>
      </c>
      <c r="C511" s="298" t="inlineStr">
        <is>
          <t>different values</t>
        </is>
      </c>
      <c r="D511" s="296" t="inlineStr">
        <is>
          <t>Conforms | Одговара</t>
        </is>
      </c>
      <c r="E511" s="296" t="inlineStr">
        <is>
          <t>Conforms (ImB spec.)</t>
        </is>
      </c>
    </row>
    <row r="512">
      <c r="A512" s="296" t="inlineStr">
        <is>
          <t>CJ062501/1</t>
        </is>
      </c>
      <c r="B512" s="296" t="inlineStr">
        <is>
          <t>#7</t>
        </is>
      </c>
      <c r="C512" s="298" t="inlineStr">
        <is>
          <t>different values</t>
        </is>
      </c>
      <c r="D512" s="296" t="inlineStr">
        <is>
          <t>Conforms | Одговара</t>
        </is>
      </c>
      <c r="E512" s="296" t="inlineStr">
        <is>
          <t>Conforms</t>
        </is>
      </c>
    </row>
    <row r="513">
      <c r="A513" s="296" t="inlineStr">
        <is>
          <t>CJ062501/1</t>
        </is>
      </c>
      <c r="B513" s="296" t="inlineStr">
        <is>
          <t>#9</t>
        </is>
      </c>
      <c r="C513" s="298" t="inlineStr">
        <is>
          <t>different values</t>
        </is>
      </c>
      <c r="D513" s="296" t="inlineStr">
        <is>
          <t>&lt; 10; 20; &lt; 10; Absent | Отсутна; Absent | Отсутна</t>
        </is>
      </c>
      <c r="E513" s="296" t="inlineStr">
        <is>
          <t>&lt;10; 20; &lt;10; Одговара; Одговара</t>
        </is>
      </c>
    </row>
    <row r="514">
      <c r="A514" s="296" t="inlineStr">
        <is>
          <t>CJ062501/1</t>
        </is>
      </c>
      <c r="B514" s="296" t="inlineStr">
        <is>
          <t>#12</t>
        </is>
      </c>
      <c r="C514" s="298" t="inlineStr">
        <is>
          <t>different values</t>
        </is>
      </c>
      <c r="D514" s="296" t="inlineStr">
        <is>
          <t>ND</t>
        </is>
      </c>
      <c r="E514" s="296" t="inlineStr">
        <is>
          <t>≤ LOQ (all 29 compounds)</t>
        </is>
      </c>
    </row>
    <row r="515">
      <c r="A515" s="296" t="inlineStr">
        <is>
          <t>CJ082501/1</t>
        </is>
      </c>
      <c r="B515" s="296" t="inlineStr">
        <is>
          <t>#1</t>
        </is>
      </c>
      <c r="C515" s="298" t="inlineStr">
        <is>
          <t>different values</t>
        </is>
      </c>
      <c r="D515" s="296" t="inlineStr">
        <is>
          <t>Conforms | Одговара</t>
        </is>
      </c>
      <c r="E515" s="296" t="inlineStr">
        <is>
          <t>Conforms</t>
        </is>
      </c>
    </row>
    <row r="516">
      <c r="A516" s="296" t="inlineStr">
        <is>
          <t>CJ082501/1</t>
        </is>
      </c>
      <c r="B516" s="296" t="inlineStr">
        <is>
          <t>#2</t>
        </is>
      </c>
      <c r="C516" s="298" t="inlineStr">
        <is>
          <t>different values</t>
        </is>
      </c>
      <c r="D516" s="296" t="inlineStr">
        <is>
          <t>Conforms | Одговара</t>
        </is>
      </c>
      <c r="E516" s="296" t="inlineStr">
        <is>
          <t>Conforms</t>
        </is>
      </c>
    </row>
    <row r="517">
      <c r="A517" s="296" t="inlineStr">
        <is>
          <t>CJ082501/1</t>
        </is>
      </c>
      <c r="B517" s="296" t="inlineStr">
        <is>
          <t>#3</t>
        </is>
      </c>
      <c r="C517" s="298" t="inlineStr">
        <is>
          <t>different values</t>
        </is>
      </c>
      <c r="D517" s="296" t="inlineStr">
        <is>
          <t>Conforms | Одговара</t>
        </is>
      </c>
      <c r="E517" s="296" t="inlineStr">
        <is>
          <t>Conforms (ImB spec.)</t>
        </is>
      </c>
    </row>
    <row r="518">
      <c r="A518" s="296" t="inlineStr">
        <is>
          <t>CJ082501/1</t>
        </is>
      </c>
      <c r="B518" s="296" t="inlineStr">
        <is>
          <t>#7</t>
        </is>
      </c>
      <c r="C518" s="298" t="inlineStr">
        <is>
          <t>different values</t>
        </is>
      </c>
      <c r="D518" s="296" t="inlineStr">
        <is>
          <t>Conforms | Одговара</t>
        </is>
      </c>
      <c r="E518" s="296" t="inlineStr">
        <is>
          <t>Conforms</t>
        </is>
      </c>
    </row>
    <row r="519">
      <c r="A519" s="296" t="inlineStr">
        <is>
          <t>CJ082501/1</t>
        </is>
      </c>
      <c r="B519" s="296" t="inlineStr">
        <is>
          <t>#9</t>
        </is>
      </c>
      <c r="C519" s="298" t="inlineStr">
        <is>
          <t>different values</t>
        </is>
      </c>
      <c r="D519" s="296" t="inlineStr">
        <is>
          <t>1.5 × 10²; 1.3 × 10²; &lt; 10; Absent | Отсутна; Absent | Отсутна</t>
        </is>
      </c>
      <c r="E519" s="296" t="inlineStr">
        <is>
          <t>1,5 x 10² CFU/g CFU/g; 1,3 x 10² CFU/g CFU/g; &lt; 10 CFU/g CFU/g; Одговара /g; Одговара /25 g</t>
        </is>
      </c>
    </row>
    <row r="520">
      <c r="A520" s="296" t="inlineStr">
        <is>
          <t>CJ082501/1</t>
        </is>
      </c>
      <c r="B520" s="296" t="inlineStr">
        <is>
          <t>#12</t>
        </is>
      </c>
      <c r="C520" s="298" t="inlineStr">
        <is>
          <t>different values</t>
        </is>
      </c>
      <c r="D520" s="296" t="inlineStr">
        <is>
          <t>ND</t>
        </is>
      </c>
      <c r="E520" s="296" t="inlineStr">
        <is>
          <t>≤ LOQ (all 26 compounds)</t>
        </is>
      </c>
    </row>
    <row r="521">
      <c r="A521" s="296" t="inlineStr">
        <is>
          <t>CJ092501</t>
        </is>
      </c>
      <c r="B521" s="296" t="inlineStr">
        <is>
          <t>#1</t>
        </is>
      </c>
      <c r="C521" s="298" t="inlineStr">
        <is>
          <t>different values</t>
        </is>
      </c>
      <c r="D521" s="296" t="inlineStr">
        <is>
          <t>Conforms | Одговара</t>
        </is>
      </c>
      <c r="E521" s="296" t="inlineStr">
        <is>
          <t>Conforms</t>
        </is>
      </c>
    </row>
    <row r="522">
      <c r="A522" s="296" t="inlineStr">
        <is>
          <t>CJ092501</t>
        </is>
      </c>
      <c r="B522" s="296" t="inlineStr">
        <is>
          <t>#2</t>
        </is>
      </c>
      <c r="C522" s="298" t="inlineStr">
        <is>
          <t>different values</t>
        </is>
      </c>
      <c r="D522" s="296" t="inlineStr">
        <is>
          <t>Conforms | Одговара</t>
        </is>
      </c>
      <c r="E522" s="296" t="inlineStr">
        <is>
          <t>Conforms</t>
        </is>
      </c>
    </row>
    <row r="523">
      <c r="A523" s="296" t="inlineStr">
        <is>
          <t>CJ092501</t>
        </is>
      </c>
      <c r="B523" s="296" t="inlineStr">
        <is>
          <t>#3</t>
        </is>
      </c>
      <c r="C523" s="298" t="inlineStr">
        <is>
          <t>different values</t>
        </is>
      </c>
      <c r="D523" s="296" t="inlineStr">
        <is>
          <t>Conforms | Одговара</t>
        </is>
      </c>
      <c r="E523" s="296" t="inlineStr">
        <is>
          <t>Conforms (ImB spec.)</t>
        </is>
      </c>
    </row>
    <row r="524">
      <c r="A524" s="296" t="inlineStr">
        <is>
          <t>CJ092501</t>
        </is>
      </c>
      <c r="B524" s="296" t="inlineStr">
        <is>
          <t>#7</t>
        </is>
      </c>
      <c r="C524" s="298" t="inlineStr">
        <is>
          <t>different values</t>
        </is>
      </c>
      <c r="D524" s="296" t="inlineStr">
        <is>
          <t>Conforms | Одговара</t>
        </is>
      </c>
      <c r="E524" s="296" t="inlineStr">
        <is>
          <t>Conforms</t>
        </is>
      </c>
    </row>
    <row r="525">
      <c r="A525" s="296" t="inlineStr">
        <is>
          <t>CJ092501</t>
        </is>
      </c>
      <c r="B525" s="296" t="inlineStr">
        <is>
          <t>#9</t>
        </is>
      </c>
      <c r="C525" s="298" t="inlineStr">
        <is>
          <t>different values</t>
        </is>
      </c>
      <c r="D525" s="296" t="inlineStr">
        <is>
          <t>&lt; 10; &lt; 10; &lt; 10; Absent | Отсутна; Absent | Отсутна</t>
        </is>
      </c>
      <c r="E525" s="296" t="inlineStr">
        <is>
          <t>&lt;10; &lt;10; &lt;10; Одговара; Одговара</t>
        </is>
      </c>
    </row>
    <row r="526">
      <c r="A526" s="296" t="inlineStr">
        <is>
          <t>CJ092501</t>
        </is>
      </c>
      <c r="B526" s="296" t="inlineStr">
        <is>
          <t>#12</t>
        </is>
      </c>
      <c r="C526" s="298" t="inlineStr">
        <is>
          <t>different values</t>
        </is>
      </c>
      <c r="D526" s="296" t="inlineStr">
        <is>
          <t>ND</t>
        </is>
      </c>
      <c r="E526" s="296" t="inlineStr">
        <is>
          <t>≤ LOQ (all 29 compounds)</t>
        </is>
      </c>
    </row>
    <row r="527">
      <c r="A527" s="296" t="inlineStr">
        <is>
          <t>CLE072501</t>
        </is>
      </c>
      <c r="B527" s="296" t="inlineStr">
        <is>
          <t>#1</t>
        </is>
      </c>
      <c r="C527" s="298" t="inlineStr">
        <is>
          <t>different values</t>
        </is>
      </c>
      <c r="D527" s="296" t="inlineStr">
        <is>
          <t>Conforms | Одговара</t>
        </is>
      </c>
      <c r="E527" s="296" t="inlineStr">
        <is>
          <t>Conforms</t>
        </is>
      </c>
    </row>
    <row r="528">
      <c r="A528" s="296" t="inlineStr">
        <is>
          <t>CLE072501</t>
        </is>
      </c>
      <c r="B528" s="296" t="inlineStr">
        <is>
          <t>#2</t>
        </is>
      </c>
      <c r="C528" s="298" t="inlineStr">
        <is>
          <t>different values</t>
        </is>
      </c>
      <c r="D528" s="296" t="inlineStr">
        <is>
          <t>Conforms | Одговара</t>
        </is>
      </c>
      <c r="E528" s="296" t="inlineStr">
        <is>
          <t>Conforms</t>
        </is>
      </c>
    </row>
    <row r="529">
      <c r="A529" s="296" t="inlineStr">
        <is>
          <t>CLE072501</t>
        </is>
      </c>
      <c r="B529" s="296" t="inlineStr">
        <is>
          <t>#3</t>
        </is>
      </c>
      <c r="C529" s="298" t="inlineStr">
        <is>
          <t>different values</t>
        </is>
      </c>
      <c r="D529" s="296" t="inlineStr">
        <is>
          <t>Conforms | Одговара</t>
        </is>
      </c>
      <c r="E529" s="296" t="inlineStr">
        <is>
          <t>Conforms (ImB spec.)</t>
        </is>
      </c>
    </row>
    <row r="530">
      <c r="A530" s="296" t="inlineStr">
        <is>
          <t>CLE072501</t>
        </is>
      </c>
      <c r="B530" s="296" t="inlineStr">
        <is>
          <t>#6</t>
        </is>
      </c>
      <c r="C530" s="298" t="inlineStr">
        <is>
          <t>different values</t>
        </is>
      </c>
      <c r="D530" s="296" t="inlineStr">
        <is>
          <t>&lt; LOQ ᴰ</t>
        </is>
      </c>
      <c r="E530" s="296" t="inlineStr">
        <is>
          <t>BLQ ᴰ</t>
        </is>
      </c>
    </row>
    <row r="531">
      <c r="A531" s="296" t="inlineStr">
        <is>
          <t>CLE072501</t>
        </is>
      </c>
      <c r="B531" s="296" t="inlineStr">
        <is>
          <t>#7</t>
        </is>
      </c>
      <c r="C531" s="298" t="inlineStr">
        <is>
          <t>different values</t>
        </is>
      </c>
      <c r="D531" s="296" t="inlineStr">
        <is>
          <t>Conforms | Одговара</t>
        </is>
      </c>
      <c r="E531" s="296" t="inlineStr">
        <is>
          <t>Conforms</t>
        </is>
      </c>
    </row>
    <row r="532">
      <c r="A532" s="296" t="inlineStr">
        <is>
          <t>CLE072501</t>
        </is>
      </c>
      <c r="B532" s="296" t="inlineStr">
        <is>
          <t>#9</t>
        </is>
      </c>
      <c r="C532" s="298" t="inlineStr">
        <is>
          <t>different values</t>
        </is>
      </c>
      <c r="D532" s="296" t="inlineStr">
        <is>
          <t>&lt; 10; &lt; 10; &lt; 10; Absent | Отсутна; Absent | Отсутна</t>
        </is>
      </c>
      <c r="E532" s="296" t="inlineStr">
        <is>
          <t>&lt;10; &lt;10; &lt;10; Одговара; Одговара</t>
        </is>
      </c>
    </row>
    <row r="533">
      <c r="A533" s="296" t="inlineStr">
        <is>
          <t>CLE072501</t>
        </is>
      </c>
      <c r="B533" s="296" t="inlineStr">
        <is>
          <t>#12</t>
        </is>
      </c>
      <c r="C533" s="298" t="inlineStr">
        <is>
          <t>different values</t>
        </is>
      </c>
      <c r="D533" s="296" t="inlineStr">
        <is>
          <t>ND</t>
        </is>
      </c>
      <c r="E533" s="296" t="inlineStr">
        <is>
          <t>≤ LOQ (all 27 compounds)</t>
        </is>
      </c>
    </row>
    <row r="534">
      <c r="A534" s="296" t="inlineStr">
        <is>
          <t>FB012601/1</t>
        </is>
      </c>
      <c r="B534" s="296" t="inlineStr">
        <is>
          <t>#1</t>
        </is>
      </c>
      <c r="C534" s="298" t="inlineStr">
        <is>
          <t>different values</t>
        </is>
      </c>
      <c r="D534" s="296" t="inlineStr">
        <is>
          <t>Conforms | Одговара</t>
        </is>
      </c>
      <c r="E534" s="296" t="inlineStr">
        <is>
          <t>Conforms</t>
        </is>
      </c>
    </row>
    <row r="535">
      <c r="A535" s="296" t="inlineStr">
        <is>
          <t>FB012601/1</t>
        </is>
      </c>
      <c r="B535" s="296" t="inlineStr">
        <is>
          <t>#2</t>
        </is>
      </c>
      <c r="C535" s="298" t="inlineStr">
        <is>
          <t>different values</t>
        </is>
      </c>
      <c r="D535" s="296" t="inlineStr">
        <is>
          <t>Conforms | Одговара</t>
        </is>
      </c>
      <c r="E535" s="296" t="inlineStr">
        <is>
          <t>Conforms</t>
        </is>
      </c>
    </row>
    <row r="536">
      <c r="A536" s="296" t="inlineStr">
        <is>
          <t>FB012601/1</t>
        </is>
      </c>
      <c r="B536" s="296" t="inlineStr">
        <is>
          <t>#6</t>
        </is>
      </c>
      <c r="C536" s="298" t="inlineStr">
        <is>
          <t>different values</t>
        </is>
      </c>
      <c r="D536" s="296" t="inlineStr">
        <is>
          <t>&lt; LOQ %</t>
        </is>
      </c>
      <c r="E536" s="296" t="inlineStr">
        <is>
          <t>BLQ %</t>
        </is>
      </c>
    </row>
    <row r="537">
      <c r="A537" s="296" t="inlineStr">
        <is>
          <t>FB012601/1</t>
        </is>
      </c>
      <c r="B537" s="296" t="inlineStr">
        <is>
          <t>#7</t>
        </is>
      </c>
      <c r="C537" s="298" t="inlineStr">
        <is>
          <t>different values</t>
        </is>
      </c>
      <c r="D537" s="296" t="inlineStr">
        <is>
          <t>Conforms | Одговара</t>
        </is>
      </c>
      <c r="E537" s="296" t="inlineStr">
        <is>
          <t>Conforms</t>
        </is>
      </c>
    </row>
    <row r="538">
      <c r="A538" s="296" t="inlineStr">
        <is>
          <t>FB012601/1</t>
        </is>
      </c>
      <c r="B538" s="296" t="inlineStr">
        <is>
          <t>#9</t>
        </is>
      </c>
      <c r="C538" s="298" t="inlineStr">
        <is>
          <t>different values</t>
        </is>
      </c>
      <c r="D538" s="296" t="inlineStr">
        <is>
          <t>2 × 10³; 2,1 × 10³; &lt; 10; Absent | Отсутна; Absent | Отсутна</t>
        </is>
      </c>
      <c r="E538" s="296" t="inlineStr">
        <is>
          <t>2 x 10³ CFU/g CFU/g; 2,1 x 10³ CFU/g CFU/g; &lt; 10 CFU/g CFU/g; Отсутна/g; Отсутна/25 g</t>
        </is>
      </c>
    </row>
    <row r="539">
      <c r="A539" s="296" t="inlineStr">
        <is>
          <t>GG1024</t>
        </is>
      </c>
      <c r="B539" s="296" t="inlineStr">
        <is>
          <t>#1</t>
        </is>
      </c>
      <c r="C539" s="298" t="inlineStr">
        <is>
          <t>different values</t>
        </is>
      </c>
      <c r="D539" s="296" t="inlineStr">
        <is>
          <t>Conforms | Одговара</t>
        </is>
      </c>
      <c r="E539" s="296" t="inlineStr">
        <is>
          <t>Conforms</t>
        </is>
      </c>
    </row>
    <row r="540">
      <c r="A540" s="296" t="inlineStr">
        <is>
          <t>GG1024</t>
        </is>
      </c>
      <c r="B540" s="296" t="inlineStr">
        <is>
          <t>#2</t>
        </is>
      </c>
      <c r="C540" s="298" t="inlineStr">
        <is>
          <t>different values</t>
        </is>
      </c>
      <c r="D540" s="296" t="inlineStr">
        <is>
          <t>Conforms | Одговара</t>
        </is>
      </c>
      <c r="E540" s="296" t="inlineStr">
        <is>
          <t>Conforms</t>
        </is>
      </c>
    </row>
    <row r="541">
      <c r="A541" s="296" t="inlineStr">
        <is>
          <t>GG1024</t>
        </is>
      </c>
      <c r="B541" s="296" t="inlineStr">
        <is>
          <t>#7</t>
        </is>
      </c>
      <c r="C541" s="298" t="inlineStr">
        <is>
          <t>different values</t>
        </is>
      </c>
      <c r="D541" s="296" t="inlineStr">
        <is>
          <t>Conforms | Одговара</t>
        </is>
      </c>
      <c r="E541" s="296" t="inlineStr">
        <is>
          <t>Confirms</t>
        </is>
      </c>
    </row>
    <row r="542">
      <c r="A542" s="296" t="inlineStr">
        <is>
          <t>GG1024</t>
        </is>
      </c>
      <c r="B542" s="296" t="inlineStr">
        <is>
          <t>#9</t>
        </is>
      </c>
      <c r="C542" s="298" t="inlineStr">
        <is>
          <t>different values</t>
        </is>
      </c>
      <c r="D542" s="296" t="inlineStr">
        <is>
          <t>1.1 × 10⁴ CFU/g; &lt; 10; &lt; 10² and &gt; 10 CFU/g; Absent | Отсутна; Absent | Отсутна</t>
        </is>
      </c>
      <c r="E542" s="296" t="inlineStr">
        <is>
          <t>1,1 x 10⁴ CFU/g; &lt; 10 CFU/g; &lt; 10² и &gt; 10 CFU/g; Одговара; Одговара</t>
        </is>
      </c>
    </row>
    <row r="543">
      <c r="A543" s="296" t="inlineStr">
        <is>
          <t>GP072501/2</t>
        </is>
      </c>
      <c r="B543" s="296" t="inlineStr">
        <is>
          <t>#1</t>
        </is>
      </c>
      <c r="C543" s="298" t="inlineStr">
        <is>
          <t>different values</t>
        </is>
      </c>
      <c r="D543" s="296" t="inlineStr">
        <is>
          <t>Conforms | Одговара</t>
        </is>
      </c>
      <c r="E543" s="296" t="inlineStr">
        <is>
          <t>Conforms</t>
        </is>
      </c>
    </row>
    <row r="544">
      <c r="A544" s="296" t="inlineStr">
        <is>
          <t>GP072501/2</t>
        </is>
      </c>
      <c r="B544" s="296" t="inlineStr">
        <is>
          <t>#2</t>
        </is>
      </c>
      <c r="C544" s="298" t="inlineStr">
        <is>
          <t>different values</t>
        </is>
      </c>
      <c r="D544" s="296" t="inlineStr">
        <is>
          <t>Conforms | Одговара</t>
        </is>
      </c>
      <c r="E544" s="296" t="inlineStr">
        <is>
          <t>Conforms</t>
        </is>
      </c>
    </row>
    <row r="545">
      <c r="A545" s="296" t="inlineStr">
        <is>
          <t>GP072501/2</t>
        </is>
      </c>
      <c r="B545" s="296" t="inlineStr">
        <is>
          <t>#3</t>
        </is>
      </c>
      <c r="C545" s="298" t="inlineStr">
        <is>
          <t>different values</t>
        </is>
      </c>
      <c r="D545" s="296" t="inlineStr">
        <is>
          <t>Conforms | Одговара</t>
        </is>
      </c>
      <c r="E545" s="296" t="inlineStr">
        <is>
          <t>Conforms (ImB spec.)</t>
        </is>
      </c>
    </row>
    <row r="546">
      <c r="A546" s="296" t="inlineStr">
        <is>
          <t>GP072501/2</t>
        </is>
      </c>
      <c r="B546" s="296" t="inlineStr">
        <is>
          <t>#7</t>
        </is>
      </c>
      <c r="C546" s="298" t="inlineStr">
        <is>
          <t>different values</t>
        </is>
      </c>
      <c r="D546" s="296" t="inlineStr">
        <is>
          <t>Conforms | Одговара</t>
        </is>
      </c>
      <c r="E546" s="296" t="inlineStr">
        <is>
          <t>Conforms</t>
        </is>
      </c>
    </row>
    <row r="547">
      <c r="A547" s="296" t="inlineStr">
        <is>
          <t>GP072501/2</t>
        </is>
      </c>
      <c r="B547" s="296" t="inlineStr">
        <is>
          <t>#9</t>
        </is>
      </c>
      <c r="C547" s="298" t="inlineStr">
        <is>
          <t>different values</t>
        </is>
      </c>
      <c r="D547" s="296" t="inlineStr">
        <is>
          <t>2 × 10²; 3 × 10²; &lt; 10; Absent | Отсутна; Absent | Отсутна</t>
        </is>
      </c>
      <c r="E547" s="296" t="inlineStr">
        <is>
          <t>2 x 10² CFU/g CFU/g; 3 x 10² CFU/g CFU/g; &lt; 10 CFU/g CFU/g; Одговара /g; Одговара /25 g</t>
        </is>
      </c>
    </row>
    <row r="548">
      <c r="A548" s="296" t="inlineStr">
        <is>
          <t>GP072501/2</t>
        </is>
      </c>
      <c r="B548" s="296" t="inlineStr">
        <is>
          <t>#12</t>
        </is>
      </c>
      <c r="C548" s="298" t="inlineStr">
        <is>
          <t>different values</t>
        </is>
      </c>
      <c r="D548" s="296" t="inlineStr">
        <is>
          <t>ND</t>
        </is>
      </c>
      <c r="E548" s="296" t="inlineStr">
        <is>
          <t>≤ LOQ (all 29 compounds)</t>
        </is>
      </c>
    </row>
    <row r="549">
      <c r="A549" s="296" t="inlineStr">
        <is>
          <t>GP0824_03</t>
        </is>
      </c>
      <c r="B549" s="296" t="inlineStr">
        <is>
          <t>#1</t>
        </is>
      </c>
      <c r="C549" s="298" t="inlineStr">
        <is>
          <t>different values</t>
        </is>
      </c>
      <c r="D549" s="296" t="inlineStr">
        <is>
          <t>Conforms | Одговара</t>
        </is>
      </c>
      <c r="E549" s="296" t="inlineStr">
        <is>
          <t>Conforms</t>
        </is>
      </c>
    </row>
    <row r="550">
      <c r="A550" s="296" t="inlineStr">
        <is>
          <t>GP0824_03</t>
        </is>
      </c>
      <c r="B550" s="296" t="inlineStr">
        <is>
          <t>#2</t>
        </is>
      </c>
      <c r="C550" s="298" t="inlineStr">
        <is>
          <t>different values</t>
        </is>
      </c>
      <c r="D550" s="296" t="inlineStr">
        <is>
          <t>Conforms | Одговара</t>
        </is>
      </c>
      <c r="E550" s="296" t="inlineStr">
        <is>
          <t>Conforms</t>
        </is>
      </c>
    </row>
    <row r="551">
      <c r="A551" s="296" t="inlineStr">
        <is>
          <t>GP0824_03</t>
        </is>
      </c>
      <c r="B551" s="296" t="inlineStr">
        <is>
          <t>#3</t>
        </is>
      </c>
      <c r="C551" s="298" t="inlineStr">
        <is>
          <t>different values</t>
        </is>
      </c>
      <c r="D551" s="296" t="inlineStr">
        <is>
          <t>Conforms | Одговара</t>
        </is>
      </c>
      <c r="E551" s="296" t="inlineStr">
        <is>
          <t>Conforms (ImB spec.)</t>
        </is>
      </c>
    </row>
    <row r="552">
      <c r="A552" s="296" t="inlineStr">
        <is>
          <t>GP0824_03</t>
        </is>
      </c>
      <c r="B552" s="296" t="inlineStr">
        <is>
          <t>#6</t>
        </is>
      </c>
      <c r="C552" s="298" t="inlineStr">
        <is>
          <t>different values</t>
        </is>
      </c>
      <c r="D552" s="296" t="inlineStr">
        <is>
          <t>&lt; LOQ ᴰ</t>
        </is>
      </c>
      <c r="E552" s="296" t="inlineStr">
        <is>
          <t>BLQ ᴰ</t>
        </is>
      </c>
    </row>
    <row r="553">
      <c r="A553" s="296" t="inlineStr">
        <is>
          <t>GP0824_03</t>
        </is>
      </c>
      <c r="B553" s="296" t="inlineStr">
        <is>
          <t>#7</t>
        </is>
      </c>
      <c r="C553" s="298" t="inlineStr">
        <is>
          <t>different values</t>
        </is>
      </c>
      <c r="D553" s="296" t="inlineStr">
        <is>
          <t>Conforms | Одговара</t>
        </is>
      </c>
      <c r="E553" s="296" t="inlineStr">
        <is>
          <t>Conforms</t>
        </is>
      </c>
    </row>
    <row r="554">
      <c r="A554" s="296" t="inlineStr">
        <is>
          <t>GP0824_03</t>
        </is>
      </c>
      <c r="B554" s="296" t="inlineStr">
        <is>
          <t>#9</t>
        </is>
      </c>
      <c r="C554" s="298" t="inlineStr">
        <is>
          <t>different values</t>
        </is>
      </c>
      <c r="D554" s="296" t="inlineStr">
        <is>
          <t>1.1 × 10⁴; 1.2 × 10⁴; &lt; 10⁴ and &gt; 10³; Absent | Отсутна; Absent | Отсутна</t>
        </is>
      </c>
      <c r="E554" s="296" t="inlineStr">
        <is>
          <t>1.1 x 10⁴; 1.2 x 10⁴; &lt;10⁴ и &gt;10³; Одговара; Одговара</t>
        </is>
      </c>
    </row>
    <row r="555">
      <c r="A555" s="296" t="inlineStr">
        <is>
          <t>GP0824_03</t>
        </is>
      </c>
      <c r="B555" s="296" t="inlineStr">
        <is>
          <t>#12</t>
        </is>
      </c>
      <c r="C555" s="298" t="inlineStr">
        <is>
          <t>different values</t>
        </is>
      </c>
      <c r="D555" s="296" t="inlineStr">
        <is>
          <t>ND</t>
        </is>
      </c>
      <c r="E555" s="296" t="inlineStr">
        <is>
          <t>≤ LOQ (all 29 compounds)</t>
        </is>
      </c>
    </row>
    <row r="556">
      <c r="A556" s="296" t="inlineStr">
        <is>
          <t>GP082501/1</t>
        </is>
      </c>
      <c r="B556" s="296" t="inlineStr">
        <is>
          <t>#1</t>
        </is>
      </c>
      <c r="C556" s="298" t="inlineStr">
        <is>
          <t>different values</t>
        </is>
      </c>
      <c r="D556" s="296" t="inlineStr">
        <is>
          <t>Conforms | Одговара</t>
        </is>
      </c>
      <c r="E556" s="296" t="inlineStr">
        <is>
          <t>Conforms</t>
        </is>
      </c>
    </row>
    <row r="557">
      <c r="A557" s="296" t="inlineStr">
        <is>
          <t>GP082501/1</t>
        </is>
      </c>
      <c r="B557" s="296" t="inlineStr">
        <is>
          <t>#2</t>
        </is>
      </c>
      <c r="C557" s="298" t="inlineStr">
        <is>
          <t>different values</t>
        </is>
      </c>
      <c r="D557" s="296" t="inlineStr">
        <is>
          <t>Conforms | Одговара</t>
        </is>
      </c>
      <c r="E557" s="296" t="inlineStr">
        <is>
          <t>Conforms</t>
        </is>
      </c>
    </row>
    <row r="558">
      <c r="A558" s="296" t="inlineStr">
        <is>
          <t>GP082501/1</t>
        </is>
      </c>
      <c r="B558" s="296" t="inlineStr">
        <is>
          <t>#3</t>
        </is>
      </c>
      <c r="C558" s="298" t="inlineStr">
        <is>
          <t>different values</t>
        </is>
      </c>
      <c r="D558" s="296" t="inlineStr">
        <is>
          <t>Conforms | Одговара</t>
        </is>
      </c>
      <c r="E558" s="296" t="inlineStr">
        <is>
          <t>Conforms (ImB spec.)</t>
        </is>
      </c>
    </row>
    <row r="559">
      <c r="A559" s="296" t="inlineStr">
        <is>
          <t>GP082501/1</t>
        </is>
      </c>
      <c r="B559" s="296" t="inlineStr">
        <is>
          <t>#7</t>
        </is>
      </c>
      <c r="C559" s="298" t="inlineStr">
        <is>
          <t>different values</t>
        </is>
      </c>
      <c r="D559" s="296" t="inlineStr">
        <is>
          <t>Conforms | Одговара</t>
        </is>
      </c>
      <c r="E559" s="296" t="inlineStr">
        <is>
          <t>Conforms</t>
        </is>
      </c>
    </row>
    <row r="560">
      <c r="A560" s="296" t="inlineStr">
        <is>
          <t>GP082501/1</t>
        </is>
      </c>
      <c r="B560" s="296" t="inlineStr">
        <is>
          <t>#9</t>
        </is>
      </c>
      <c r="C560" s="298" t="inlineStr">
        <is>
          <t>different values</t>
        </is>
      </c>
      <c r="D560" s="296" t="inlineStr">
        <is>
          <t>4.3 × 10²; 1 × 10³; &lt; 10³ and &gt; 10²; Absent | Отсутна; Absent | Отсутна</t>
        </is>
      </c>
      <c r="E560" s="296" t="inlineStr">
        <is>
          <t>4,3 x 10² CFU/g CFU/g; 1 x 10³ CFU/g CFU/g; &lt; 10³ и &gt; 10² CFU/g CFU/g; Одговара /g; Одговара /25 g</t>
        </is>
      </c>
    </row>
    <row r="561">
      <c r="A561" s="296" t="inlineStr">
        <is>
          <t>GP082501/1</t>
        </is>
      </c>
      <c r="B561" s="296" t="inlineStr">
        <is>
          <t>#12</t>
        </is>
      </c>
      <c r="C561" s="298" t="inlineStr">
        <is>
          <t>different values</t>
        </is>
      </c>
      <c r="D561" s="296" t="inlineStr">
        <is>
          <t>ND</t>
        </is>
      </c>
      <c r="E561" s="296" t="inlineStr">
        <is>
          <t>≤ LOQ (all 28 compounds)</t>
        </is>
      </c>
    </row>
    <row r="562">
      <c r="A562" s="296" t="inlineStr">
        <is>
          <t>GP092501</t>
        </is>
      </c>
      <c r="B562" s="296" t="inlineStr">
        <is>
          <t>#1</t>
        </is>
      </c>
      <c r="C562" s="298" t="inlineStr">
        <is>
          <t>different values</t>
        </is>
      </c>
      <c r="D562" s="296" t="inlineStr">
        <is>
          <t>Conforms | Одговара</t>
        </is>
      </c>
      <c r="E562" s="296" t="inlineStr">
        <is>
          <t>Conforms</t>
        </is>
      </c>
    </row>
    <row r="563">
      <c r="A563" s="296" t="inlineStr">
        <is>
          <t>GP092501</t>
        </is>
      </c>
      <c r="B563" s="296" t="inlineStr">
        <is>
          <t>#2</t>
        </is>
      </c>
      <c r="C563" s="298" t="inlineStr">
        <is>
          <t>different values</t>
        </is>
      </c>
      <c r="D563" s="296" t="inlineStr">
        <is>
          <t>Conforms | Одговара</t>
        </is>
      </c>
      <c r="E563" s="296" t="inlineStr">
        <is>
          <t>Conforms</t>
        </is>
      </c>
    </row>
    <row r="564">
      <c r="A564" s="296" t="inlineStr">
        <is>
          <t>GP092501</t>
        </is>
      </c>
      <c r="B564" s="296" t="inlineStr">
        <is>
          <t>#3</t>
        </is>
      </c>
      <c r="C564" s="298" t="inlineStr">
        <is>
          <t>different values</t>
        </is>
      </c>
      <c r="D564" s="296" t="inlineStr">
        <is>
          <t>Conforms | Одговара</t>
        </is>
      </c>
      <c r="E564" s="296" t="inlineStr">
        <is>
          <t>Conforms (ImB spec.)</t>
        </is>
      </c>
    </row>
    <row r="565">
      <c r="A565" s="296" t="inlineStr">
        <is>
          <t>GP092501</t>
        </is>
      </c>
      <c r="B565" s="296" t="inlineStr">
        <is>
          <t>#7</t>
        </is>
      </c>
      <c r="C565" s="298" t="inlineStr">
        <is>
          <t>different values</t>
        </is>
      </c>
      <c r="D565" s="296" t="inlineStr">
        <is>
          <t>Conforms | Одговара</t>
        </is>
      </c>
      <c r="E565" s="296" t="inlineStr">
        <is>
          <t>Conforms</t>
        </is>
      </c>
    </row>
    <row r="566">
      <c r="A566" s="296" t="inlineStr">
        <is>
          <t>GP092501</t>
        </is>
      </c>
      <c r="B566" s="296" t="inlineStr">
        <is>
          <t>#9</t>
        </is>
      </c>
      <c r="C566" s="298" t="inlineStr">
        <is>
          <t>different values</t>
        </is>
      </c>
      <c r="D566" s="296" t="inlineStr">
        <is>
          <t>1 × 10²; &lt; 10; &lt; 10² and &gt; 10; Absent | Отсутна; Absent | Отсутна</t>
        </is>
      </c>
      <c r="E566" s="296" t="inlineStr">
        <is>
          <t>1 x 10² CFU/g CFU/g; &lt; 10 CFU/g CFU/g; &lt; 10² и &gt; 10 CFU/g CFU/g; Одговара /g; Одговара /25 g</t>
        </is>
      </c>
    </row>
    <row r="567">
      <c r="A567" s="296" t="inlineStr">
        <is>
          <t>GP092501</t>
        </is>
      </c>
      <c r="B567" s="296" t="inlineStr">
        <is>
          <t>#12</t>
        </is>
      </c>
      <c r="C567" s="298" t="inlineStr">
        <is>
          <t>different values</t>
        </is>
      </c>
      <c r="D567" s="296" t="inlineStr">
        <is>
          <t>ND</t>
        </is>
      </c>
      <c r="E567" s="296" t="inlineStr">
        <is>
          <t>≤ LOQ (all 29 compounds)</t>
        </is>
      </c>
    </row>
    <row r="568">
      <c r="A568" s="296" t="inlineStr">
        <is>
          <t>GRC102501/2</t>
        </is>
      </c>
      <c r="B568" s="296" t="inlineStr">
        <is>
          <t>#9</t>
        </is>
      </c>
      <c r="C568" s="298" t="inlineStr">
        <is>
          <t>different values</t>
        </is>
      </c>
      <c r="D568" s="296" t="inlineStr">
        <is>
          <t>2.3 × 10²; 1.3 × 10²; &lt; 10; Absent | Отсутна; Absent | Отсутна</t>
        </is>
      </c>
      <c r="E568" s="296" t="inlineStr">
        <is>
          <t>2,3 x 10² CFU/g CFU/g; 1,3 x 10² CFU/g CFU/g; &lt; 10 CFU/g CFU/g; Одговара; Одговара</t>
        </is>
      </c>
    </row>
    <row r="569">
      <c r="A569" s="296" t="inlineStr">
        <is>
          <t>HPA052501</t>
        </is>
      </c>
      <c r="B569" s="296" t="inlineStr">
        <is>
          <t>#1</t>
        </is>
      </c>
      <c r="C569" s="298" t="inlineStr">
        <is>
          <t>different values</t>
        </is>
      </c>
      <c r="D569" s="296" t="inlineStr">
        <is>
          <t>Conforms | Одговара</t>
        </is>
      </c>
      <c r="E569" s="296" t="inlineStr">
        <is>
          <t>Conforms</t>
        </is>
      </c>
    </row>
    <row r="570">
      <c r="A570" s="296" t="inlineStr">
        <is>
          <t>HPA052501</t>
        </is>
      </c>
      <c r="B570" s="296" t="inlineStr">
        <is>
          <t>#2</t>
        </is>
      </c>
      <c r="C570" s="298" t="inlineStr">
        <is>
          <t>different values</t>
        </is>
      </c>
      <c r="D570" s="296" t="inlineStr">
        <is>
          <t>Conforms | Одговара</t>
        </is>
      </c>
      <c r="E570" s="296" t="inlineStr">
        <is>
          <t>Conforms</t>
        </is>
      </c>
    </row>
    <row r="571">
      <c r="A571" s="296" t="inlineStr">
        <is>
          <t>HPA052501</t>
        </is>
      </c>
      <c r="B571" s="296" t="inlineStr">
        <is>
          <t>#3</t>
        </is>
      </c>
      <c r="C571" s="298" t="inlineStr">
        <is>
          <t>different values</t>
        </is>
      </c>
      <c r="D571" s="296" t="inlineStr">
        <is>
          <t>Conforms | Одговара</t>
        </is>
      </c>
      <c r="E571" s="296" t="inlineStr">
        <is>
          <t>Conforms (ImB spec.)</t>
        </is>
      </c>
    </row>
    <row r="572">
      <c r="A572" s="296" t="inlineStr">
        <is>
          <t>HPA052501</t>
        </is>
      </c>
      <c r="B572" s="296" t="inlineStr">
        <is>
          <t>#7</t>
        </is>
      </c>
      <c r="C572" s="298" t="inlineStr">
        <is>
          <t>different values</t>
        </is>
      </c>
      <c r="D572" s="296" t="inlineStr">
        <is>
          <t>Conforms | Одговара</t>
        </is>
      </c>
      <c r="E572" s="296" t="inlineStr">
        <is>
          <t>Conforms</t>
        </is>
      </c>
    </row>
    <row r="573">
      <c r="A573" s="296" t="inlineStr">
        <is>
          <t>HPA052501</t>
        </is>
      </c>
      <c r="B573" s="296" t="inlineStr">
        <is>
          <t>#9</t>
        </is>
      </c>
      <c r="C573" s="298" t="inlineStr">
        <is>
          <t>different values</t>
        </is>
      </c>
      <c r="D573" s="296" t="inlineStr">
        <is>
          <t>2.7 × 10⁴; 2.6 × 10⁴; &lt; 10; Absent | Отсутна; Absent | Отсутна</t>
        </is>
      </c>
      <c r="E573" s="296" t="inlineStr">
        <is>
          <t>2,7 x 10⁴ CFU/g CFU/g; 2,6 x 10⁴ CFU/g CFU/g; &lt; 10 CFU/g CFU/g; Одговара /g; Одговара /25 g</t>
        </is>
      </c>
    </row>
    <row r="574">
      <c r="A574" s="296" t="inlineStr">
        <is>
          <t>HPA052501</t>
        </is>
      </c>
      <c r="B574" s="296" t="inlineStr">
        <is>
          <t>#12</t>
        </is>
      </c>
      <c r="C574" s="298" t="inlineStr">
        <is>
          <t>different values</t>
        </is>
      </c>
      <c r="D574" s="296" t="inlineStr">
        <is>
          <t>ND</t>
        </is>
      </c>
      <c r="E574" s="296" t="inlineStr">
        <is>
          <t>≤ LOQ (all 24 compounds)</t>
        </is>
      </c>
    </row>
    <row r="575">
      <c r="A575" s="296" t="inlineStr">
        <is>
          <t>JD012603/01</t>
        </is>
      </c>
      <c r="B575" s="296" t="inlineStr">
        <is>
          <t>#9</t>
        </is>
      </c>
      <c r="C575" s="298" t="inlineStr">
        <is>
          <t>different values</t>
        </is>
      </c>
      <c r="D575" s="296" t="inlineStr">
        <is>
          <t>2 × 10²; 1 × 10²; &lt; 10; Absent | Отсутна; Absent | Отсутна</t>
        </is>
      </c>
      <c r="E575" s="296" t="inlineStr">
        <is>
          <t>2 x 10² CFU/g CFU/g; 1 x 10² CFU/g CFU/g; &lt; 10 CFU/g CFU/g; Отсутна /g; Отсутна /25 g</t>
        </is>
      </c>
    </row>
    <row r="576">
      <c r="A576" s="296" t="inlineStr">
        <is>
          <t>JD012603/02</t>
        </is>
      </c>
      <c r="B576" s="296" t="inlineStr">
        <is>
          <t>#4</t>
        </is>
      </c>
      <c r="C576" s="298" t="inlineStr">
        <is>
          <t>different values</t>
        </is>
      </c>
      <c r="D576" s="296" t="inlineStr">
        <is>
          <t>20.54</t>
        </is>
      </c>
      <c r="E576" s="296" t="inlineStr">
        <is>
          <t>14.43 % w/w</t>
        </is>
      </c>
    </row>
    <row r="577">
      <c r="A577" s="296" t="inlineStr">
        <is>
          <t>JD012603/02</t>
        </is>
      </c>
      <c r="B577" s="296" t="inlineStr">
        <is>
          <t>#5</t>
        </is>
      </c>
      <c r="C577" s="298" t="inlineStr">
        <is>
          <t>different values</t>
        </is>
      </c>
      <c r="D577" s="296" t="inlineStr">
        <is>
          <t>0.05</t>
        </is>
      </c>
      <c r="E577" s="296" t="inlineStr">
        <is>
          <t>&lt; LOQ % w/w</t>
        </is>
      </c>
    </row>
    <row r="578">
      <c r="A578" s="296" t="inlineStr">
        <is>
          <t>JD012603/02</t>
        </is>
      </c>
      <c r="B578" s="296" t="inlineStr">
        <is>
          <t>#6</t>
        </is>
      </c>
      <c r="C578" s="298" t="inlineStr">
        <is>
          <t>different values</t>
        </is>
      </c>
      <c r="D578" s="296" t="inlineStr">
        <is>
          <t>0.05</t>
        </is>
      </c>
      <c r="E578" s="296" t="inlineStr">
        <is>
          <t>&lt; LOQ % w/w</t>
        </is>
      </c>
    </row>
    <row r="579">
      <c r="A579" s="296" t="inlineStr">
        <is>
          <t>JD012603/02</t>
        </is>
      </c>
      <c r="B579" s="296" t="inlineStr">
        <is>
          <t>#9</t>
        </is>
      </c>
      <c r="C579" s="298" t="inlineStr">
        <is>
          <t>different values</t>
        </is>
      </c>
      <c r="D579" s="296" t="inlineStr">
        <is>
          <t>6.3 × 10³; 4.4 × 10³; &lt; 10; Absent | Отсутна; Absent | Отсутна</t>
        </is>
      </c>
      <c r="E579" s="296" t="inlineStr">
        <is>
          <t>6,3 x 10³ CFU/g CFU/g; 4,4 x 10³ CFU/g CFU/g; &lt; 10 CFU/g CFU/g; Отсутна /g; Отсутна /25 g</t>
        </is>
      </c>
    </row>
    <row r="580">
      <c r="A580" s="296" t="inlineStr">
        <is>
          <t>JD012603/02V</t>
        </is>
      </c>
      <c r="B580" s="296" t="inlineStr">
        <is>
          <t>#4</t>
        </is>
      </c>
      <c r="C580" s="298" t="inlineStr">
        <is>
          <t>different values</t>
        </is>
      </c>
      <c r="D580" s="296" t="inlineStr">
        <is>
          <t>15.16</t>
        </is>
      </c>
      <c r="E580" s="296" t="inlineStr">
        <is>
          <t>17.09 % w/w</t>
        </is>
      </c>
    </row>
    <row r="581">
      <c r="A581" s="296" t="inlineStr">
        <is>
          <t>JD012603/02V</t>
        </is>
      </c>
      <c r="B581" s="296" t="inlineStr">
        <is>
          <t>#6</t>
        </is>
      </c>
      <c r="C581" s="298" t="inlineStr">
        <is>
          <t>different values</t>
        </is>
      </c>
      <c r="D581" s="296" t="inlineStr">
        <is>
          <t>0.04</t>
        </is>
      </c>
      <c r="E581" s="296" t="inlineStr">
        <is>
          <t>&lt; LOQ % w/w</t>
        </is>
      </c>
    </row>
    <row r="582">
      <c r="A582" s="296" t="inlineStr">
        <is>
          <t>JD012603/02V</t>
        </is>
      </c>
      <c r="B582" s="296" t="inlineStr">
        <is>
          <t>#9</t>
        </is>
      </c>
      <c r="C582" s="298" t="inlineStr">
        <is>
          <t>different values</t>
        </is>
      </c>
      <c r="D582" s="296" t="inlineStr">
        <is>
          <t>5.1 × 10³; 4.7 × 10³; &lt; 10; Absent | Отсутна; Absent | Отсутна</t>
        </is>
      </c>
      <c r="E582" s="296" t="inlineStr">
        <is>
          <t>5,1 x 10³ CFU/g CFU/g; 4,7 x 10³ CFU/g CFU/g; &lt; 10 CFU/g CFU/g; Отсутна /g; Отсутна /25 g</t>
        </is>
      </c>
    </row>
    <row r="583">
      <c r="A583" s="296" t="inlineStr">
        <is>
          <t>KC102501</t>
        </is>
      </c>
      <c r="B583" s="296" t="inlineStr">
        <is>
          <t>#1</t>
        </is>
      </c>
      <c r="C583" s="298" t="inlineStr">
        <is>
          <t>different values</t>
        </is>
      </c>
      <c r="D583" s="296" t="inlineStr">
        <is>
          <t>Conforms | Одговара</t>
        </is>
      </c>
      <c r="E583" s="296" t="inlineStr">
        <is>
          <t>Conforms</t>
        </is>
      </c>
    </row>
    <row r="584">
      <c r="A584" s="296" t="inlineStr">
        <is>
          <t>KC102501</t>
        </is>
      </c>
      <c r="B584" s="296" t="inlineStr">
        <is>
          <t>#2</t>
        </is>
      </c>
      <c r="C584" s="298" t="inlineStr">
        <is>
          <t>different values</t>
        </is>
      </c>
      <c r="D584" s="296" t="inlineStr">
        <is>
          <t>Conforms | Одговара</t>
        </is>
      </c>
      <c r="E584" s="296" t="inlineStr">
        <is>
          <t>Conforms</t>
        </is>
      </c>
    </row>
    <row r="585">
      <c r="A585" s="296" t="inlineStr">
        <is>
          <t>KC102501</t>
        </is>
      </c>
      <c r="B585" s="296" t="inlineStr">
        <is>
          <t>#7</t>
        </is>
      </c>
      <c r="C585" s="298" t="inlineStr">
        <is>
          <t>different values</t>
        </is>
      </c>
      <c r="D585" s="296" t="inlineStr">
        <is>
          <t>Conforms | Одговара</t>
        </is>
      </c>
      <c r="E585" s="296" t="inlineStr">
        <is>
          <t>Conforms</t>
        </is>
      </c>
    </row>
    <row r="586">
      <c r="A586" s="296" t="inlineStr">
        <is>
          <t>KC102501</t>
        </is>
      </c>
      <c r="B586" s="296" t="inlineStr">
        <is>
          <t>#9</t>
        </is>
      </c>
      <c r="C586" s="298" t="inlineStr">
        <is>
          <t>different values</t>
        </is>
      </c>
      <c r="D586" s="296" t="inlineStr">
        <is>
          <t>3.8 × 10³; 6.8 × 10³; &lt; 10³ and &gt; 10²; Absent | Отсутна; Absent | Отсутна</t>
        </is>
      </c>
      <c r="E586" s="296" t="inlineStr">
        <is>
          <t>3,8 x 10³ CFU/g CFU/g; 6,8 x 10³ CFU/g CFU/g; &lt; 10³ и &gt;10² CFU/g CFU/g; Одговара; Одговара</t>
        </is>
      </c>
    </row>
    <row r="587">
      <c r="A587" s="296" t="inlineStr">
        <is>
          <t>MB0824_05</t>
        </is>
      </c>
      <c r="B587" s="296" t="inlineStr">
        <is>
          <t>#1</t>
        </is>
      </c>
      <c r="C587" s="298" t="inlineStr">
        <is>
          <t>different values</t>
        </is>
      </c>
      <c r="D587" s="296" t="inlineStr">
        <is>
          <t>Conforms | Одговара</t>
        </is>
      </c>
      <c r="E587" s="296" t="inlineStr">
        <is>
          <t>Conforms</t>
        </is>
      </c>
    </row>
    <row r="588">
      <c r="A588" s="296" t="inlineStr">
        <is>
          <t>MB0824_05</t>
        </is>
      </c>
      <c r="B588" s="296" t="inlineStr">
        <is>
          <t>#2</t>
        </is>
      </c>
      <c r="C588" s="298" t="inlineStr">
        <is>
          <t>different values</t>
        </is>
      </c>
      <c r="D588" s="296" t="inlineStr">
        <is>
          <t>Conforms | Одговара</t>
        </is>
      </c>
      <c r="E588" s="296" t="inlineStr">
        <is>
          <t>Conforms</t>
        </is>
      </c>
    </row>
    <row r="589">
      <c r="A589" s="296" t="inlineStr">
        <is>
          <t>MB0824_05</t>
        </is>
      </c>
      <c r="B589" s="296" t="inlineStr">
        <is>
          <t>#3</t>
        </is>
      </c>
      <c r="C589" s="298" t="inlineStr">
        <is>
          <t>different values</t>
        </is>
      </c>
      <c r="D589" s="296" t="inlineStr">
        <is>
          <t>Conforms | Одговара</t>
        </is>
      </c>
      <c r="E589" s="296" t="inlineStr">
        <is>
          <t>Conforms (ImB spec.)</t>
        </is>
      </c>
    </row>
    <row r="590">
      <c r="A590" s="296" t="inlineStr">
        <is>
          <t>MB0824_05</t>
        </is>
      </c>
      <c r="B590" s="296" t="inlineStr">
        <is>
          <t>#7</t>
        </is>
      </c>
      <c r="C590" s="298" t="inlineStr">
        <is>
          <t>different values</t>
        </is>
      </c>
      <c r="D590" s="296" t="inlineStr">
        <is>
          <t>Conforms | Одговара</t>
        </is>
      </c>
      <c r="E590" s="296" t="inlineStr">
        <is>
          <t>Conforms</t>
        </is>
      </c>
    </row>
    <row r="591">
      <c r="A591" s="296" t="inlineStr">
        <is>
          <t>MB0824_05</t>
        </is>
      </c>
      <c r="B591" s="296" t="inlineStr">
        <is>
          <t>#9</t>
        </is>
      </c>
      <c r="C591" s="298" t="inlineStr">
        <is>
          <t>different values</t>
        </is>
      </c>
      <c r="D591" s="296" t="inlineStr">
        <is>
          <t>3.5 × 10³; 1 × 10³; &lt; 10; Absent | Отсутна; Absent | Отсутна</t>
        </is>
      </c>
      <c r="E591" s="296" t="inlineStr">
        <is>
          <t>3,5 x 10³ CFU/g CFU/g; 1 x 10³ CFU/g CFU/g; &lt; 10 CFU/g CFU/g; Одговара /g; Одговара /25 g</t>
        </is>
      </c>
    </row>
    <row r="592">
      <c r="A592" s="296" t="inlineStr">
        <is>
          <t>OMP1024_01</t>
        </is>
      </c>
      <c r="B592" s="296" t="inlineStr">
        <is>
          <t>#1</t>
        </is>
      </c>
      <c r="C592" s="298" t="inlineStr">
        <is>
          <t>different values</t>
        </is>
      </c>
      <c r="D592" s="296" t="inlineStr">
        <is>
          <t>Conforms | Одговара</t>
        </is>
      </c>
      <c r="E592" s="296" t="inlineStr">
        <is>
          <t>Conforms</t>
        </is>
      </c>
    </row>
    <row r="593">
      <c r="A593" s="296" t="inlineStr">
        <is>
          <t>OMP1024_01</t>
        </is>
      </c>
      <c r="B593" s="296" t="inlineStr">
        <is>
          <t>#2</t>
        </is>
      </c>
      <c r="C593" s="298" t="inlineStr">
        <is>
          <t>different values</t>
        </is>
      </c>
      <c r="D593" s="296" t="inlineStr">
        <is>
          <t>Conforms | Одговара</t>
        </is>
      </c>
      <c r="E593" s="296" t="inlineStr">
        <is>
          <t>Conforms</t>
        </is>
      </c>
    </row>
    <row r="594">
      <c r="A594" s="296" t="inlineStr">
        <is>
          <t>OMP1024_01</t>
        </is>
      </c>
      <c r="B594" s="296" t="inlineStr">
        <is>
          <t>#7</t>
        </is>
      </c>
      <c r="C594" s="298" t="inlineStr">
        <is>
          <t>different values</t>
        </is>
      </c>
      <c r="D594" s="296" t="inlineStr">
        <is>
          <t>Conforms | Одговара</t>
        </is>
      </c>
      <c r="E594" s="296" t="inlineStr">
        <is>
          <t>Conforms</t>
        </is>
      </c>
    </row>
    <row r="595">
      <c r="A595" s="296" t="inlineStr">
        <is>
          <t>OMP1024_01</t>
        </is>
      </c>
      <c r="B595" s="296" t="inlineStr">
        <is>
          <t>#9</t>
        </is>
      </c>
      <c r="C595" s="298" t="inlineStr">
        <is>
          <t>different values</t>
        </is>
      </c>
      <c r="D595" s="296" t="inlineStr">
        <is>
          <t>10; &lt; 10; &lt; 10² and &gt; 10; Absent | Отсутна; Absent | Отсутна</t>
        </is>
      </c>
      <c r="E595" s="296" t="inlineStr">
        <is>
          <t>10 CFU/g; &lt; 10 CFU/g; &lt; 10² и &gt; 10 CFU/g; Одговара; Одговара</t>
        </is>
      </c>
    </row>
    <row r="596">
      <c r="A596" s="296" t="inlineStr">
        <is>
          <t>OPM092501</t>
        </is>
      </c>
      <c r="B596" s="296" t="inlineStr">
        <is>
          <t>#1</t>
        </is>
      </c>
      <c r="C596" s="298" t="inlineStr">
        <is>
          <t>different values</t>
        </is>
      </c>
      <c r="D596" s="296" t="inlineStr">
        <is>
          <t>Conforms | Одговара</t>
        </is>
      </c>
      <c r="E596" s="296" t="inlineStr">
        <is>
          <t>Conforms</t>
        </is>
      </c>
    </row>
    <row r="597">
      <c r="A597" s="296" t="inlineStr">
        <is>
          <t>OPM092501</t>
        </is>
      </c>
      <c r="B597" s="296" t="inlineStr">
        <is>
          <t>#2</t>
        </is>
      </c>
      <c r="C597" s="298" t="inlineStr">
        <is>
          <t>different values</t>
        </is>
      </c>
      <c r="D597" s="296" t="inlineStr">
        <is>
          <t>Conforms | Одговара</t>
        </is>
      </c>
      <c r="E597" s="296" t="inlineStr">
        <is>
          <t>Conforms</t>
        </is>
      </c>
    </row>
    <row r="598">
      <c r="A598" s="296" t="inlineStr">
        <is>
          <t>OPM092501</t>
        </is>
      </c>
      <c r="B598" s="296" t="inlineStr">
        <is>
          <t>#3</t>
        </is>
      </c>
      <c r="C598" s="298" t="inlineStr">
        <is>
          <t>different values</t>
        </is>
      </c>
      <c r="D598" s="296" t="inlineStr">
        <is>
          <t>Conforms | Одговара</t>
        </is>
      </c>
      <c r="E598" s="296" t="inlineStr">
        <is>
          <t>Conforms (ImB spec.)</t>
        </is>
      </c>
    </row>
    <row r="599">
      <c r="A599" s="296" t="inlineStr">
        <is>
          <t>OPM092501</t>
        </is>
      </c>
      <c r="B599" s="296" t="inlineStr">
        <is>
          <t>#7</t>
        </is>
      </c>
      <c r="C599" s="298" t="inlineStr">
        <is>
          <t>different values</t>
        </is>
      </c>
      <c r="D599" s="296" t="inlineStr">
        <is>
          <t>Conforms | Одговара</t>
        </is>
      </c>
      <c r="E599" s="296" t="inlineStr">
        <is>
          <t>Conforms</t>
        </is>
      </c>
    </row>
    <row r="600">
      <c r="A600" s="296" t="inlineStr">
        <is>
          <t>OPM092501</t>
        </is>
      </c>
      <c r="B600" s="296" t="inlineStr">
        <is>
          <t>#9</t>
        </is>
      </c>
      <c r="C600" s="298" t="inlineStr">
        <is>
          <t>different values</t>
        </is>
      </c>
      <c r="D600" s="296" t="inlineStr">
        <is>
          <t>10; 10; &lt; 10² and &gt; 10; Absent | Отсутна; Absent | Отсутна</t>
        </is>
      </c>
      <c r="E600" s="296" t="inlineStr">
        <is>
          <t>10 CFU/g CFU/g; 10 CFU/g CFU/g; &lt; 10² и &gt; 10 CFU/g CFU/g; Одговара /g; Одговара /25 g</t>
        </is>
      </c>
    </row>
    <row r="601">
      <c r="A601" s="296" t="inlineStr">
        <is>
          <t>OPM092501</t>
        </is>
      </c>
      <c r="B601" s="296" t="inlineStr">
        <is>
          <t>#12</t>
        </is>
      </c>
      <c r="C601" s="298" t="inlineStr">
        <is>
          <t>different values</t>
        </is>
      </c>
      <c r="D601" s="296" t="inlineStr">
        <is>
          <t>ND</t>
        </is>
      </c>
      <c r="E601" s="296" t="inlineStr">
        <is>
          <t>≤ LOQ (all 29 compounds)</t>
        </is>
      </c>
    </row>
    <row r="602">
      <c r="A602" s="296" t="inlineStr">
        <is>
          <t>OPM1024_03</t>
        </is>
      </c>
      <c r="B602" s="296" t="inlineStr">
        <is>
          <t>#1</t>
        </is>
      </c>
      <c r="C602" s="298" t="inlineStr">
        <is>
          <t>different values</t>
        </is>
      </c>
      <c r="D602" s="296" t="inlineStr">
        <is>
          <t>Conforms | Одговара</t>
        </is>
      </c>
      <c r="E602" s="296" t="inlineStr">
        <is>
          <t>Conforms</t>
        </is>
      </c>
    </row>
    <row r="603">
      <c r="A603" s="296" t="inlineStr">
        <is>
          <t>OPM1024_03</t>
        </is>
      </c>
      <c r="B603" s="296" t="inlineStr">
        <is>
          <t>#2</t>
        </is>
      </c>
      <c r="C603" s="298" t="inlineStr">
        <is>
          <t>different values</t>
        </is>
      </c>
      <c r="D603" s="296" t="inlineStr">
        <is>
          <t>Conforms | Одговара</t>
        </is>
      </c>
      <c r="E603" s="296" t="inlineStr">
        <is>
          <t>Conforms</t>
        </is>
      </c>
    </row>
    <row r="604">
      <c r="A604" s="296" t="inlineStr">
        <is>
          <t>OPM1024_03</t>
        </is>
      </c>
      <c r="B604" s="296" t="inlineStr">
        <is>
          <t>#3</t>
        </is>
      </c>
      <c r="C604" s="298" t="inlineStr">
        <is>
          <t>different values</t>
        </is>
      </c>
      <c r="D604" s="296" t="inlineStr">
        <is>
          <t>Conforms | Одговара</t>
        </is>
      </c>
      <c r="E604" s="296" t="inlineStr">
        <is>
          <t>Conforms (ImB spec.)</t>
        </is>
      </c>
    </row>
    <row r="605">
      <c r="A605" s="296" t="inlineStr">
        <is>
          <t>OPM1024_03</t>
        </is>
      </c>
      <c r="B605" s="296" t="inlineStr">
        <is>
          <t>#7</t>
        </is>
      </c>
      <c r="C605" s="298" t="inlineStr">
        <is>
          <t>different values</t>
        </is>
      </c>
      <c r="D605" s="296" t="inlineStr">
        <is>
          <t>Conforms | Одговара</t>
        </is>
      </c>
      <c r="E605" s="296" t="inlineStr">
        <is>
          <t>Conforms</t>
        </is>
      </c>
    </row>
    <row r="606">
      <c r="A606" s="296" t="inlineStr">
        <is>
          <t>OPM1024_03</t>
        </is>
      </c>
      <c r="B606" s="296" t="inlineStr">
        <is>
          <t>#9</t>
        </is>
      </c>
      <c r="C606" s="298" t="inlineStr">
        <is>
          <t>different values</t>
        </is>
      </c>
      <c r="D606" s="296" t="inlineStr">
        <is>
          <t>2 × 10²; 3 × 10²; &lt; 10; Absent | Отсутна; Absent | Отсутна</t>
        </is>
      </c>
      <c r="E606" s="296" t="inlineStr">
        <is>
          <t>2 x 10² CFU/g CFU/g; 3 x 10² CFU/g CFU/g; &lt; 10 CFU/g CFU/g; Одговара /g; Одговара /25 g</t>
        </is>
      </c>
    </row>
    <row r="607">
      <c r="A607" s="296" t="inlineStr">
        <is>
          <t>OPM1024_03</t>
        </is>
      </c>
      <c r="B607" s="296" t="inlineStr">
        <is>
          <t>#12</t>
        </is>
      </c>
      <c r="C607" s="298" t="inlineStr">
        <is>
          <t>different values</t>
        </is>
      </c>
      <c r="D607" s="296" t="inlineStr">
        <is>
          <t>ND</t>
        </is>
      </c>
      <c r="E607" s="296" t="inlineStr">
        <is>
          <t>≤ LOQ (all 26 compounds)</t>
        </is>
      </c>
    </row>
    <row r="608">
      <c r="A608" s="296" t="inlineStr">
        <is>
          <t>PM112501</t>
        </is>
      </c>
      <c r="B608" s="296" t="inlineStr">
        <is>
          <t>#1</t>
        </is>
      </c>
      <c r="C608" s="298" t="inlineStr">
        <is>
          <t>different values</t>
        </is>
      </c>
      <c r="D608" s="296" t="inlineStr">
        <is>
          <t>Conforms | Одговара</t>
        </is>
      </c>
      <c r="E608" s="296" t="inlineStr">
        <is>
          <t>Conforms</t>
        </is>
      </c>
    </row>
    <row r="609">
      <c r="A609" s="296" t="inlineStr">
        <is>
          <t>PM112501</t>
        </is>
      </c>
      <c r="B609" s="296" t="inlineStr">
        <is>
          <t>#2</t>
        </is>
      </c>
      <c r="C609" s="298" t="inlineStr">
        <is>
          <t>different values</t>
        </is>
      </c>
      <c r="D609" s="296" t="inlineStr">
        <is>
          <t>Conforms | Одговара</t>
        </is>
      </c>
      <c r="E609" s="296" t="inlineStr">
        <is>
          <t>Conforms</t>
        </is>
      </c>
    </row>
    <row r="610">
      <c r="A610" s="296" t="inlineStr">
        <is>
          <t>PM112501</t>
        </is>
      </c>
      <c r="B610" s="296" t="inlineStr">
        <is>
          <t>#7</t>
        </is>
      </c>
      <c r="C610" s="298" t="inlineStr">
        <is>
          <t>different values</t>
        </is>
      </c>
      <c r="D610" s="296" t="inlineStr">
        <is>
          <t>Conforms | Одговара</t>
        </is>
      </c>
      <c r="E610" s="296" t="inlineStr">
        <is>
          <t>Conforms</t>
        </is>
      </c>
    </row>
    <row r="611">
      <c r="A611" s="296" t="inlineStr">
        <is>
          <t>PM112501</t>
        </is>
      </c>
      <c r="B611" s="296" t="inlineStr">
        <is>
          <t>#9</t>
        </is>
      </c>
      <c r="C611" s="298" t="inlineStr">
        <is>
          <t>different values</t>
        </is>
      </c>
      <c r="D611" s="296" t="inlineStr">
        <is>
          <t>10; &lt; 10; &lt; 10; Absent | Отсутна; Absent | Отсутна</t>
        </is>
      </c>
      <c r="E611" s="296" t="inlineStr">
        <is>
          <t>10 CFU/g CFU/g; &lt; 10 CFU/g CFU/g; &lt; 10 CFU/g CFU/g; Одговара; Одговара</t>
        </is>
      </c>
    </row>
    <row r="612">
      <c r="A612" s="296" t="inlineStr">
        <is>
          <t>PUM102501</t>
        </is>
      </c>
      <c r="B612" s="296" t="inlineStr">
        <is>
          <t>#9</t>
        </is>
      </c>
      <c r="C612" s="298" t="inlineStr">
        <is>
          <t>different values</t>
        </is>
      </c>
      <c r="D612" s="296" t="inlineStr">
        <is>
          <t>5 × 10¹; 5 × 10¹; &lt; 10; Absent | Отсутна; Absent | Отсутна</t>
        </is>
      </c>
      <c r="E612" s="296" t="inlineStr">
        <is>
          <t>5 x 10¹ CFU/g CFU/g; 5 x 10¹ CFU/g CFU/g; &lt; 10 CFU/g CFU/g; Одговара; Одговара</t>
        </is>
      </c>
    </row>
    <row r="613">
      <c r="A613" s="296" t="inlineStr">
        <is>
          <t>SCR112501</t>
        </is>
      </c>
      <c r="B613" s="296" t="inlineStr">
        <is>
          <t>#1</t>
        </is>
      </c>
      <c r="C613" s="298" t="inlineStr">
        <is>
          <t>different values</t>
        </is>
      </c>
      <c r="D613" s="296" t="inlineStr">
        <is>
          <t>Conforms | Одговара</t>
        </is>
      </c>
      <c r="E613" s="296" t="inlineStr">
        <is>
          <t>Conforms</t>
        </is>
      </c>
    </row>
    <row r="614">
      <c r="A614" s="296" t="inlineStr">
        <is>
          <t>SCR112501</t>
        </is>
      </c>
      <c r="B614" s="296" t="inlineStr">
        <is>
          <t>#2</t>
        </is>
      </c>
      <c r="C614" s="298" t="inlineStr">
        <is>
          <t>different values</t>
        </is>
      </c>
      <c r="D614" s="296" t="inlineStr">
        <is>
          <t>Conforms | Одговара</t>
        </is>
      </c>
      <c r="E614" s="296" t="inlineStr">
        <is>
          <t>Conforms</t>
        </is>
      </c>
    </row>
    <row r="615">
      <c r="A615" s="296" t="inlineStr">
        <is>
          <t>SCR112501</t>
        </is>
      </c>
      <c r="B615" s="296" t="inlineStr">
        <is>
          <t>#6</t>
        </is>
      </c>
      <c r="C615" s="298" t="inlineStr">
        <is>
          <t>different values</t>
        </is>
      </c>
      <c r="D615" s="296" t="inlineStr">
        <is>
          <t>&lt; LOQ %</t>
        </is>
      </c>
      <c r="E615" s="296" t="inlineStr">
        <is>
          <t>BLQ %</t>
        </is>
      </c>
    </row>
    <row r="616">
      <c r="A616" s="296" t="inlineStr">
        <is>
          <t>SCR112501</t>
        </is>
      </c>
      <c r="B616" s="296" t="inlineStr">
        <is>
          <t>#7</t>
        </is>
      </c>
      <c r="C616" s="298" t="inlineStr">
        <is>
          <t>different values</t>
        </is>
      </c>
      <c r="D616" s="296" t="inlineStr">
        <is>
          <t>Conforms | Одговара</t>
        </is>
      </c>
      <c r="E616" s="296" t="inlineStr">
        <is>
          <t>Conforms</t>
        </is>
      </c>
    </row>
    <row r="617">
      <c r="A617" s="296" t="inlineStr">
        <is>
          <t>SJ092501</t>
        </is>
      </c>
      <c r="B617" s="296" t="inlineStr">
        <is>
          <t>#6</t>
        </is>
      </c>
      <c r="C617" s="298" t="inlineStr">
        <is>
          <t>different values</t>
        </is>
      </c>
      <c r="D617" s="296" t="inlineStr">
        <is>
          <t>&lt; LOQ</t>
        </is>
      </c>
      <c r="E617" s="296" t="inlineStr">
        <is>
          <t>BLQ</t>
        </is>
      </c>
    </row>
    <row r="618">
      <c r="A618" s="296" t="inlineStr">
        <is>
          <t>SJ092501</t>
        </is>
      </c>
      <c r="B618" s="296" t="inlineStr">
        <is>
          <t>#9</t>
        </is>
      </c>
      <c r="C618" s="298" t="inlineStr">
        <is>
          <t>different values</t>
        </is>
      </c>
      <c r="D618" s="296" t="inlineStr">
        <is>
          <t>&lt; 10; &lt; 10; &lt; 10; Absent | Отсутна; Absent | Отсутна</t>
        </is>
      </c>
      <c r="E618" s="296" t="inlineStr">
        <is>
          <t>&lt; 10 CFU/g CFU/g; &lt; 10 CFU/g CFU/g; &lt; 10 CFU/g CFU/g; Одговара /g; Одговара /25 g</t>
        </is>
      </c>
    </row>
    <row r="619">
      <c r="A619" s="296" t="inlineStr">
        <is>
          <t>WC082501</t>
        </is>
      </c>
      <c r="B619" s="296" t="inlineStr">
        <is>
          <t>#1</t>
        </is>
      </c>
      <c r="C619" s="298" t="inlineStr">
        <is>
          <t>different values</t>
        </is>
      </c>
      <c r="D619" s="296" t="inlineStr">
        <is>
          <t>Conforms | Одговара</t>
        </is>
      </c>
      <c r="E619" s="296" t="inlineStr">
        <is>
          <t>Conforms</t>
        </is>
      </c>
    </row>
    <row r="620">
      <c r="A620" s="296" t="inlineStr">
        <is>
          <t>WC082501</t>
        </is>
      </c>
      <c r="B620" s="296" t="inlineStr">
        <is>
          <t>#2</t>
        </is>
      </c>
      <c r="C620" s="298" t="inlineStr">
        <is>
          <t>different values</t>
        </is>
      </c>
      <c r="D620" s="296" t="inlineStr">
        <is>
          <t>Conforms | Одговара</t>
        </is>
      </c>
      <c r="E620" s="296" t="inlineStr">
        <is>
          <t>Conforms</t>
        </is>
      </c>
    </row>
    <row r="621">
      <c r="A621" s="296" t="inlineStr">
        <is>
          <t>WC082501</t>
        </is>
      </c>
      <c r="B621" s="296" t="inlineStr">
        <is>
          <t>#3</t>
        </is>
      </c>
      <c r="C621" s="298" t="inlineStr">
        <is>
          <t>different values</t>
        </is>
      </c>
      <c r="D621" s="296" t="inlineStr">
        <is>
          <t>Conforms | Одговара</t>
        </is>
      </c>
      <c r="E621" s="296" t="inlineStr">
        <is>
          <t>Conforms (ImB spec.)</t>
        </is>
      </c>
    </row>
    <row r="622">
      <c r="A622" s="296" t="inlineStr">
        <is>
          <t>WC082501</t>
        </is>
      </c>
      <c r="B622" s="296" t="inlineStr">
        <is>
          <t>#7</t>
        </is>
      </c>
      <c r="C622" s="298" t="inlineStr">
        <is>
          <t>different values</t>
        </is>
      </c>
      <c r="D622" s="296" t="inlineStr">
        <is>
          <t>Conforms | Одговара</t>
        </is>
      </c>
      <c r="E622" s="296" t="inlineStr">
        <is>
          <t>Conforms</t>
        </is>
      </c>
    </row>
    <row r="623">
      <c r="A623" s="296" t="inlineStr">
        <is>
          <t>WC082501</t>
        </is>
      </c>
      <c r="B623" s="296" t="inlineStr">
        <is>
          <t>#9</t>
        </is>
      </c>
      <c r="C623" s="298" t="inlineStr">
        <is>
          <t>different values</t>
        </is>
      </c>
      <c r="D623" s="296" t="inlineStr">
        <is>
          <t>10; 30; &lt; 10; Absent | Отсутна; Absent | Отсутна</t>
        </is>
      </c>
      <c r="E623" s="296" t="inlineStr">
        <is>
          <t>10 CFU/g CFU/g; 30 CFU/g CFU/g; &lt; 10 CFU/g CFU/g; Одговара /g; Одговара /25 g</t>
        </is>
      </c>
    </row>
    <row r="624">
      <c r="A624" s="296" t="inlineStr">
        <is>
          <t>WC082501</t>
        </is>
      </c>
      <c r="B624" s="296" t="inlineStr">
        <is>
          <t>#12</t>
        </is>
      </c>
      <c r="C624" s="298" t="inlineStr">
        <is>
          <t>different values</t>
        </is>
      </c>
      <c r="D624" s="296" t="inlineStr">
        <is>
          <t>ND</t>
        </is>
      </c>
      <c r="E624" s="296" t="inlineStr">
        <is>
          <t>≤ LOQ (all 29 compounds)</t>
        </is>
      </c>
    </row>
    <row r="626">
      <c r="A626" s="294" t="inlineStr">
        <is>
          <t>THE IDENTITY DETERMINATIONS ARE NOT A TRANSCRIPTION PROBLEM</t>
        </is>
      </c>
      <c r="B626" s="294" t="inlineStr"/>
      <c r="C626" s="294" t="inlineStr"/>
      <c r="D626" s="294" t="inlineStr"/>
      <c r="E626" s="294" t="inlineStr"/>
    </row>
    <row r="628">
      <c r="A628" s="242" t="inlineStr">
        <is>
          <t>Identification A, Identification B and foreign matter are blank on almost every lot in both tranches, and the reason is not that nobody transcribed them. 118 of the 600 cells cite an in-house iCoA-PP_26-nnn whose issue date is PLANNED, on 40 of the 50 batches: the certificate that carries the result has not been issued, so there is nothing to cite. What the in-house documents that DO exist carry is worse than missing. Appearance is the single word “Confirms” with no description. Foreign matter is “Confirms” against a &lt; 2.0 % specification with NO PERCENTAGE PRINTED — Ph. Eur. 2.8.2 is gravimetric and EudraLex Vol. 4 Ch. 6 §6.7 requires the result. Microscopy was NOT PERFORMED on any of the five documents read. Three Report of Analysis documents carry no document code, no version and no report number (EudraLex Vol. 4 Ch. 4 §4.9), and this build refuses to cite them. Issuing the iCoAs does not by itself fix this: the microscopy has to be done and the foreign-matter percentage has to be printed.</t>
        </is>
      </c>
      <c r="B628" s="300" t="n"/>
      <c r="C628" s="300" t="n"/>
      <c r="D628" s="300" t="n"/>
      <c r="E628" s="301" t="n"/>
    </row>
    <row r="629">
      <c r="A629" s="302" t="n"/>
      <c r="E629" s="303" t="n"/>
    </row>
    <row r="630">
      <c r="A630" s="302" t="n"/>
      <c r="E630" s="303" t="n"/>
    </row>
    <row r="631">
      <c r="A631" s="302" t="n"/>
      <c r="E631" s="303" t="n"/>
    </row>
    <row r="632">
      <c r="A632" s="302" t="n"/>
      <c r="E632" s="303" t="n"/>
    </row>
    <row r="633">
      <c r="A633" s="302" t="n"/>
      <c r="E633" s="303" t="n"/>
    </row>
    <row r="634">
      <c r="A634" s="304" t="n"/>
      <c r="B634" s="305" t="n"/>
      <c r="C634" s="305" t="n"/>
      <c r="D634" s="305" t="n"/>
      <c r="E634" s="306" t="n"/>
    </row>
    <row r="636">
      <c r="A636" s="294" t="inlineStr">
        <is>
          <t>CLOSURES THAT FOUND NO ROW</t>
        </is>
      </c>
      <c r="B636" s="294" t="inlineStr"/>
      <c r="C636" s="294" t="inlineStr"/>
      <c r="D636" s="294" t="inlineStr"/>
      <c r="E636" s="294" t="inlineStr"/>
    </row>
    <row r="638">
      <c r="A638" s="294" t="inlineStr">
        <is>
          <t>CU batch</t>
        </is>
      </c>
      <c r="B638" s="294" t="inlineStr">
        <is>
          <t>P batch</t>
        </is>
      </c>
      <c r="C638" s="294" t="inlineStr"/>
      <c r="D638" s="294" t="inlineStr">
        <is>
          <t>Parameters now covered</t>
        </is>
      </c>
      <c r="E638" s="294" t="inlineStr">
        <is>
          <t>From</t>
        </is>
      </c>
    </row>
    <row r="639">
      <c r="A639" s="296" t="inlineStr">
        <is>
          <t>JD032601</t>
        </is>
      </c>
      <c r="B639" s="296" t="inlineStr">
        <is>
          <t>— not assigned —</t>
        </is>
      </c>
      <c r="D639" s="296" t="inlineStr">
        <is>
          <t>#9 Microbiological purity; #10 Mycotoxins; #11 Heavy metals; #12 Pesticide residues</t>
        </is>
      </c>
      <c r="E639" s="296" t="inlineStr">
        <is>
          <t>4374/2026 (11.08.2026) [IJZ]; 477/0929/26 (04.08.2026) [IJZ-MB]</t>
        </is>
      </c>
    </row>
    <row r="640">
      <c r="A640" s="242" t="inlineStr">
        <is>
          <t>These lots have certificates on file and no row on Batch Coverage, so the closure had nowhere to land. Four of them — ACC102501, CF102501, PUM102501 and CC012603 — are the batches the delivery reconciliation of 07.09.2026 reported as delivered with nothing on file anywhere. That finding is now out of date for them: something IS on file. A row cannot be invented here, because a Batch Coverage row is a tracker lot and these are not on the owner's tracker; they have to be added there first.</t>
        </is>
      </c>
      <c r="B640" s="300" t="n"/>
      <c r="C640" s="300" t="n"/>
      <c r="D640" s="300" t="n"/>
      <c r="E640" s="301" t="n"/>
    </row>
    <row r="641">
      <c r="A641" s="302" t="n"/>
      <c r="E641" s="303" t="n"/>
    </row>
    <row r="642">
      <c r="A642" s="302" t="n"/>
      <c r="E642" s="303" t="n"/>
    </row>
    <row r="643">
      <c r="A643" s="304" t="n"/>
      <c r="B643" s="305" t="n"/>
      <c r="C643" s="305" t="n"/>
      <c r="D643" s="305" t="n"/>
      <c r="E643" s="306" t="n"/>
    </row>
    <row r="646" ht="20" customHeight="1" s="70">
      <c r="A646" s="264" t="inlineStr">
        <is>
          <t>CREDIT AUDIT</t>
        </is>
      </c>
    </row>
    <row r="647" ht="22" customHeight="1" s="70">
      <c r="A647" s="119" t="inlineStr">
        <is>
          <t>CU Batch</t>
        </is>
      </c>
      <c r="B647" s="119" t="inlineStr">
        <is>
          <t>P Batch</t>
        </is>
      </c>
      <c r="C647" s="119" t="inlineStr">
        <is>
          <t>Certificate</t>
        </is>
      </c>
      <c r="D647" s="119" t="inlineStr">
        <is>
          <t>Date</t>
        </is>
      </c>
      <c r="E647" s="119" t="inlineStr">
        <is>
          <t>Lab</t>
        </is>
      </c>
      <c r="F647" s="119" t="inlineStr">
        <is>
          <t>#</t>
        </is>
      </c>
      <c r="G647" s="119" t="inlineStr">
        <is>
          <t>Parameter</t>
        </is>
      </c>
      <c r="H647" s="119" t="inlineStr">
        <is>
          <t>Finding</t>
        </is>
      </c>
      <c r="I647" s="119" t="inlineStr">
        <is>
          <t>Action</t>
        </is>
      </c>
    </row>
    <row r="648">
      <c r="A648" s="244" t="inlineStr">
        <is>
          <t>BSS052501</t>
        </is>
      </c>
      <c r="B648" s="243" t="inlineStr">
        <is>
          <t>P050192</t>
        </is>
      </c>
      <c r="C648" s="243" t="inlineStr">
        <is>
          <t>NGP-QCG-SOP-024 F3</t>
        </is>
      </c>
      <c r="D648" s="245" t="n">
        <v>45989</v>
      </c>
      <c r="E648" s="243" t="inlineStr">
        <is>
          <t>NGP</t>
        </is>
      </c>
      <c r="F648" s="243" t="inlineStr">
        <is>
          <t>#6</t>
        </is>
      </c>
      <c r="G648" s="246" t="inlineStr">
        <is>
          <t>#6 Total CBN</t>
        </is>
      </c>
      <c r="H648" s="307" t="inlineStr">
        <is>
          <t>held for review</t>
        </is>
      </c>
      <c r="I648" s="308" t="inlineStr">
        <is>
          <t>The two independent reads disagreed. A person must confirm the figure from the page.</t>
        </is>
      </c>
    </row>
    <row r="649">
      <c r="A649" s="244" t="inlineStr">
        <is>
          <t>GP062501</t>
        </is>
      </c>
      <c r="B649" s="243" t="inlineStr">
        <is>
          <t>P050202</t>
        </is>
      </c>
      <c r="C649" s="243" t="inlineStr">
        <is>
          <t>NGP-QCG-SOP-024 F3</t>
        </is>
      </c>
      <c r="D649" s="245" t="n">
        <v>45989</v>
      </c>
      <c r="E649" s="243" t="inlineStr">
        <is>
          <t>NGP</t>
        </is>
      </c>
      <c r="F649" s="243" t="inlineStr">
        <is>
          <t>#6</t>
        </is>
      </c>
      <c r="G649" s="246" t="inlineStr">
        <is>
          <t>#6 Total CBN</t>
        </is>
      </c>
      <c r="H649" s="307" t="inlineStr">
        <is>
          <t>held for review</t>
        </is>
      </c>
      <c r="I649" s="308" t="inlineStr">
        <is>
          <t>The two independent reads disagreed. A person must confirm the figure from the page.</t>
        </is>
      </c>
    </row>
    <row r="650">
      <c r="A650" s="244" t="inlineStr">
        <is>
          <t>J31112501</t>
        </is>
      </c>
      <c r="B650" s="243" t="inlineStr">
        <is>
          <t>P060202</t>
        </is>
      </c>
      <c r="C650" s="243" t="inlineStr">
        <is>
          <t>100-1-K-26</t>
        </is>
      </c>
      <c r="D650" s="245" t="n">
        <v>46121</v>
      </c>
      <c r="E650" s="243" t="inlineStr">
        <is>
          <t>FHM-K</t>
        </is>
      </c>
      <c r="F650" s="243" t="inlineStr">
        <is>
          <t>#3</t>
        </is>
      </c>
      <c r="G650" s="246" t="inlineStr">
        <is>
          <t>#3 Identification C</t>
        </is>
      </c>
      <c r="H650" s="307" t="inlineStr">
        <is>
          <t>held for review</t>
        </is>
      </c>
      <c r="I650" s="308" t="inlineStr">
        <is>
          <t>The two independent reads disagreed. A person must confirm the figure from the page.</t>
        </is>
      </c>
    </row>
    <row r="651">
      <c r="A651" s="244" t="inlineStr">
        <is>
          <t>FB032601</t>
        </is>
      </c>
      <c r="B651" s="243" t="inlineStr">
        <is>
          <t>P060452</t>
        </is>
      </c>
      <c r="C651" s="243" t="inlineStr">
        <is>
          <t>ППК26127</t>
        </is>
      </c>
      <c r="D651" s="245" t="n">
        <v>46224</v>
      </c>
      <c r="E651" s="243" t="inlineStr">
        <is>
          <t>CNP</t>
        </is>
      </c>
      <c r="F651" s="243" t="inlineStr">
        <is>
          <t>#7</t>
        </is>
      </c>
      <c r="G651" s="246" t="inlineStr">
        <is>
          <t>#7 Foreign Matter</t>
        </is>
      </c>
      <c r="H651" s="307" t="inlineStr">
        <is>
          <t>non-conformance reported</t>
        </is>
      </c>
      <c r="I651" s="308" t="inlineStr">
        <is>
          <t>The certificate reports a result that does not conform. Open an investigation record; the Head of QC rules on the lot, and the iCoA for this parameter is held until then.</t>
        </is>
      </c>
    </row>
    <row r="652">
      <c r="A652" s="244" t="inlineStr">
        <is>
          <t>J31122501</t>
        </is>
      </c>
      <c r="B652" s="243" t="inlineStr">
        <is>
          <t>P060262</t>
        </is>
      </c>
      <c r="C652" s="243" t="inlineStr">
        <is>
          <t>100-3-K-26</t>
        </is>
      </c>
      <c r="D652" s="245" t="n">
        <v>46121</v>
      </c>
      <c r="E652" s="243" t="inlineStr">
        <is>
          <t>FHM-K</t>
        </is>
      </c>
      <c r="F652" s="243" t="inlineStr">
        <is>
          <t>#3</t>
        </is>
      </c>
      <c r="G652" s="246" t="inlineStr">
        <is>
          <t>#3 Identification C</t>
        </is>
      </c>
      <c r="H652" s="307" t="inlineStr">
        <is>
          <t>not ingested</t>
        </is>
      </c>
      <c r="I652" s="308" t="inlineStr">
        <is>
          <t>Re-extract the document into the corpus; the batch cannot reach a CoQ on this parameter until then.</t>
        </is>
      </c>
    </row>
    <row r="653">
      <c r="A653" s="244" t="inlineStr">
        <is>
          <t>J31122501</t>
        </is>
      </c>
      <c r="B653" s="243" t="inlineStr">
        <is>
          <t>P060262</t>
        </is>
      </c>
      <c r="C653" s="243" t="inlineStr">
        <is>
          <t>1625-2026</t>
        </is>
      </c>
      <c r="D653" s="245" t="n">
        <v>46135</v>
      </c>
      <c r="E653" s="243" t="inlineStr">
        <is>
          <t>IJZ</t>
        </is>
      </c>
      <c r="F653" s="243" t="inlineStr">
        <is>
          <t>#11</t>
        </is>
      </c>
      <c r="G653" s="246" t="inlineStr">
        <is>
          <t>#11 Heavy Metals</t>
        </is>
      </c>
      <c r="H653" s="307" t="inlineStr">
        <is>
          <t>not ingested</t>
        </is>
      </c>
      <c r="I653" s="308" t="inlineStr">
        <is>
          <t>Re-extract the document into the corpus; the batch cannot reach a CoQ on this parameter until then.</t>
        </is>
      </c>
    </row>
    <row r="654">
      <c r="A654" s="244" t="inlineStr">
        <is>
          <t>MB0824_04</t>
        </is>
      </c>
      <c r="B654" s="243" t="inlineStr">
        <is>
          <t>P050032</t>
        </is>
      </c>
      <c r="C654" s="243" t="inlineStr">
        <is>
          <t>ППК25118</t>
        </is>
      </c>
      <c r="D654" s="245" t="n">
        <v>45783</v>
      </c>
      <c r="E654" s="243" t="inlineStr">
        <is>
          <t>CNP</t>
        </is>
      </c>
      <c r="F654" s="243" t="inlineStr">
        <is>
          <t>#6</t>
        </is>
      </c>
      <c r="G654" s="246" t="inlineStr">
        <is>
          <t>#6 Total CBN</t>
        </is>
      </c>
      <c r="H654" s="307" t="inlineStr">
        <is>
          <t>not ingested</t>
        </is>
      </c>
      <c r="I654" s="308" t="inlineStr">
        <is>
          <t>Re-extract the document into the corpus; the batch cannot reach a CoQ on this parameter until then.</t>
        </is>
      </c>
    </row>
    <row r="655">
      <c r="A655" s="244" t="inlineStr">
        <is>
          <t>OPM052501</t>
        </is>
      </c>
      <c r="B655" s="243" t="inlineStr">
        <is>
          <t>P050132</t>
        </is>
      </c>
      <c r="C655" s="243" t="inlineStr">
        <is>
          <t>ППК25257</t>
        </is>
      </c>
      <c r="D655" s="245" t="n">
        <v>45905</v>
      </c>
      <c r="E655" s="243" t="inlineStr">
        <is>
          <t>CNP</t>
        </is>
      </c>
      <c r="F655" s="243" t="inlineStr">
        <is>
          <t>#6</t>
        </is>
      </c>
      <c r="G655" s="246" t="inlineStr">
        <is>
          <t>#6 Total CBN</t>
        </is>
      </c>
      <c r="H655" s="307" t="inlineStr">
        <is>
          <t>not ingested</t>
        </is>
      </c>
      <c r="I655" s="308" t="inlineStr">
        <is>
          <t>Re-extract the document into the corpus; the batch cannot reach a CoQ on this parameter until then.</t>
        </is>
      </c>
    </row>
    <row r="656">
      <c r="A656" s="244" t="inlineStr">
        <is>
          <t>OPM112501</t>
        </is>
      </c>
      <c r="B656" s="243" t="inlineStr">
        <is>
          <t>P060222</t>
        </is>
      </c>
      <c r="C656" s="243" t="inlineStr">
        <is>
          <t>ППК26031</t>
        </is>
      </c>
      <c r="D656" s="245" t="n">
        <v>46086</v>
      </c>
      <c r="E656" s="243" t="inlineStr">
        <is>
          <t>CNP</t>
        </is>
      </c>
      <c r="F656" s="243" t="inlineStr">
        <is>
          <t>#6</t>
        </is>
      </c>
      <c r="G656" s="246" t="inlineStr">
        <is>
          <t>#6 Total CBN</t>
        </is>
      </c>
      <c r="H656" s="307" t="inlineStr">
        <is>
          <t>not ingested</t>
        </is>
      </c>
      <c r="I656" s="308" t="inlineStr">
        <is>
          <t>Re-extract the document into the corpus; the batch cannot reach a CoQ on this parameter until then.</t>
        </is>
      </c>
    </row>
    <row r="657">
      <c r="A657" s="244" t="inlineStr">
        <is>
          <t>PM072501</t>
        </is>
      </c>
      <c r="B657" s="243" t="inlineStr">
        <is>
          <t>P050272</t>
        </is>
      </c>
      <c r="C657" s="243" t="inlineStr">
        <is>
          <t>ППК25368</t>
        </is>
      </c>
      <c r="D657" s="245" t="n">
        <v>45989</v>
      </c>
      <c r="E657" s="243" t="inlineStr">
        <is>
          <t>CNP</t>
        </is>
      </c>
      <c r="F657" s="243" t="inlineStr">
        <is>
          <t>#6</t>
        </is>
      </c>
      <c r="G657" s="246" t="inlineStr">
        <is>
          <t>#6 Total CBN</t>
        </is>
      </c>
      <c r="H657" s="307" t="inlineStr">
        <is>
          <t>not ingested</t>
        </is>
      </c>
      <c r="I657" s="308" t="inlineStr">
        <is>
          <t>Re-extract the document into the corpus; the batch cannot reach a CoQ on this parameter until then.</t>
        </is>
      </c>
    </row>
    <row r="658">
      <c r="A658" s="244" t="inlineStr">
        <is>
          <t>BSS052501</t>
        </is>
      </c>
      <c r="B658" s="243" t="inlineStr">
        <is>
          <t>P050192</t>
        </is>
      </c>
      <c r="C658" s="243" t="inlineStr">
        <is>
          <t>NGP-QCG-SOP-024 F3</t>
        </is>
      </c>
      <c r="D658" s="245" t="n">
        <v>45989</v>
      </c>
      <c r="E658" s="243" t="inlineStr">
        <is>
          <t>NGP</t>
        </is>
      </c>
      <c r="F658" s="243" t="inlineStr">
        <is>
          <t>#8</t>
        </is>
      </c>
      <c r="G658" s="246" t="inlineStr">
        <is>
          <t>#8 Loss on Drying</t>
        </is>
      </c>
      <c r="H658" s="309" t="inlineStr">
        <is>
          <t>not on this certificate</t>
        </is>
      </c>
      <c r="I658" s="308" t="inlineStr">
        <is>
          <t>Move the credit to the certificate that reports this parameter, or record why it stands.</t>
        </is>
      </c>
    </row>
    <row r="659">
      <c r="A659" s="244" t="inlineStr">
        <is>
          <t>BSS052501</t>
        </is>
      </c>
      <c r="B659" s="243" t="inlineStr">
        <is>
          <t>P050192</t>
        </is>
      </c>
      <c r="C659" s="243" t="inlineStr">
        <is>
          <t>5661-2025</t>
        </is>
      </c>
      <c r="D659" s="245" t="n">
        <v>45992</v>
      </c>
      <c r="E659" s="243" t="inlineStr">
        <is>
          <t>IJZ</t>
        </is>
      </c>
      <c r="F659" s="243" t="inlineStr">
        <is>
          <t>#10</t>
        </is>
      </c>
      <c r="G659" s="246" t="inlineStr">
        <is>
          <t>#10 Mycotoxins</t>
        </is>
      </c>
      <c r="H659" s="309" t="inlineStr">
        <is>
          <t>not on this certificate</t>
        </is>
      </c>
      <c r="I659" s="308" t="inlineStr">
        <is>
          <t>Move the credit to the certificate that reports this parameter, or record why it stands.</t>
        </is>
      </c>
    </row>
    <row r="660">
      <c r="A660" s="244" t="inlineStr">
        <is>
          <t>BSS052501</t>
        </is>
      </c>
      <c r="B660" s="243" t="inlineStr">
        <is>
          <t>P050192</t>
        </is>
      </c>
      <c r="C660" s="243" t="inlineStr">
        <is>
          <t>5661-2025</t>
        </is>
      </c>
      <c r="D660" s="245" t="n">
        <v>45992</v>
      </c>
      <c r="E660" s="243" t="inlineStr">
        <is>
          <t>IJZ</t>
        </is>
      </c>
      <c r="F660" s="243" t="inlineStr">
        <is>
          <t>#12</t>
        </is>
      </c>
      <c r="G660" s="246" t="inlineStr">
        <is>
          <t>#12 Pesticide Residues</t>
        </is>
      </c>
      <c r="H660" s="309" t="inlineStr">
        <is>
          <t>not on this certificate</t>
        </is>
      </c>
      <c r="I660" s="308" t="inlineStr">
        <is>
          <t>Move the credit to the certificate that reports this parameter, or record why it stands.</t>
        </is>
      </c>
    </row>
    <row r="663" ht="20" customHeight="1" s="70">
      <c r="A663" s="264" t="inlineStr">
        <is>
          <t>CREDIT CORRECTIONS</t>
        </is>
      </c>
    </row>
    <row r="664" ht="22" customHeight="1" s="70">
      <c r="A664" s="119" t="inlineStr">
        <is>
          <t>CU Batch</t>
        </is>
      </c>
      <c r="B664" s="119" t="inlineStr">
        <is>
          <t>P Batch</t>
        </is>
      </c>
      <c r="C664" s="119" t="inlineStr">
        <is>
          <t>Certificate</t>
        </is>
      </c>
      <c r="D664" s="119" t="inlineStr">
        <is>
          <t>Date</t>
        </is>
      </c>
      <c r="E664" s="119" t="inlineStr">
        <is>
          <t>Lab</t>
        </is>
      </c>
      <c r="F664" s="119" t="inlineStr">
        <is>
          <t>#</t>
        </is>
      </c>
      <c r="G664" s="119" t="inlineStr">
        <is>
          <t>Parameter</t>
        </is>
      </c>
      <c r="H664" s="119" t="inlineStr">
        <is>
          <t>Correction</t>
        </is>
      </c>
      <c r="I664" s="119" t="inlineStr">
        <is>
          <t>Evidence</t>
        </is>
      </c>
    </row>
    <row r="665">
      <c r="A665" s="244" t="inlineStr">
        <is>
          <t>BG1024</t>
        </is>
      </c>
      <c r="B665" s="243" t="inlineStr">
        <is>
          <t>N/A — no P batch assigned</t>
        </is>
      </c>
      <c r="C665" s="243" t="inlineStr">
        <is>
          <t>197-1-K-26</t>
        </is>
      </c>
      <c r="D665" s="245" t="n">
        <v>46241</v>
      </c>
      <c r="E665" s="243" t="inlineStr">
        <is>
          <t>FHM-K</t>
        </is>
      </c>
      <c r="F665" s="243" t="inlineStr">
        <is>
          <t>#8</t>
        </is>
      </c>
      <c r="G665" s="246" t="inlineStr">
        <is>
          <t>#8 Loss on Drying</t>
        </is>
      </c>
      <c r="H665" s="309" t="inlineStr">
        <is>
          <t>credit removed</t>
        </is>
      </c>
      <c r="I665" s="308" t="inlineStr">
        <is>
          <t>R1 Farmahem pair — cannabinoid certificate; loss on drying is on the LoD certificate</t>
        </is>
      </c>
    </row>
    <row r="666">
      <c r="A666" s="244" t="inlineStr">
        <is>
          <t>BSS1024</t>
        </is>
      </c>
      <c r="B666" s="243" t="inlineStr">
        <is>
          <t>N/A — no P batch assigned</t>
        </is>
      </c>
      <c r="C666" s="243" t="inlineStr">
        <is>
          <t>197-2-K-26</t>
        </is>
      </c>
      <c r="D666" s="245" t="n">
        <v>46241</v>
      </c>
      <c r="E666" s="243" t="inlineStr">
        <is>
          <t>FHM-K</t>
        </is>
      </c>
      <c r="F666" s="243" t="inlineStr">
        <is>
          <t>#8</t>
        </is>
      </c>
      <c r="G666" s="246" t="inlineStr">
        <is>
          <t>#8 Loss on Drying</t>
        </is>
      </c>
      <c r="H666" s="309" t="inlineStr">
        <is>
          <t>credit removed</t>
        </is>
      </c>
      <c r="I666" s="308" t="inlineStr">
        <is>
          <t>R1 Farmahem pair — cannabinoid certificate; loss on drying is on the LoD certificate</t>
        </is>
      </c>
    </row>
    <row r="667">
      <c r="A667" s="244" t="inlineStr">
        <is>
          <t>CC012601/1</t>
        </is>
      </c>
      <c r="B667" s="243" t="inlineStr">
        <is>
          <t>P060332</t>
        </is>
      </c>
      <c r="C667" s="243" t="inlineStr">
        <is>
          <t>197-6-K-26</t>
        </is>
      </c>
      <c r="D667" s="245" t="n">
        <v>46241</v>
      </c>
      <c r="E667" s="243" t="inlineStr">
        <is>
          <t>FHM-K</t>
        </is>
      </c>
      <c r="F667" s="243" t="inlineStr">
        <is>
          <t>#8</t>
        </is>
      </c>
      <c r="G667" s="246" t="inlineStr">
        <is>
          <t>#8 Loss on Drying</t>
        </is>
      </c>
      <c r="H667" s="309" t="inlineStr">
        <is>
          <t>credit removed</t>
        </is>
      </c>
      <c r="I667" s="308" t="inlineStr">
        <is>
          <t>R1 Farmahem pair — cannabinoid certificate; loss on drying is on the LoD certificate</t>
        </is>
      </c>
    </row>
    <row r="668">
      <c r="A668" s="244" t="inlineStr">
        <is>
          <t>CJ052501/01</t>
        </is>
      </c>
      <c r="B668" s="243" t="inlineStr">
        <is>
          <t>P050162</t>
        </is>
      </c>
      <c r="C668" s="243" t="inlineStr">
        <is>
          <t>197-3-K-26</t>
        </is>
      </c>
      <c r="D668" s="245" t="n">
        <v>46241</v>
      </c>
      <c r="E668" s="243" t="inlineStr">
        <is>
          <t>FHM-K</t>
        </is>
      </c>
      <c r="F668" s="243" t="inlineStr">
        <is>
          <t>#8</t>
        </is>
      </c>
      <c r="G668" s="246" t="inlineStr">
        <is>
          <t>#8 Loss on Drying</t>
        </is>
      </c>
      <c r="H668" s="309" t="inlineStr">
        <is>
          <t>credit removed</t>
        </is>
      </c>
      <c r="I668" s="308" t="inlineStr">
        <is>
          <t>R1 Farmahem pair — cannabinoid certificate; loss on drying is on the LoD certificate</t>
        </is>
      </c>
    </row>
    <row r="669">
      <c r="A669" s="244" t="inlineStr">
        <is>
          <t>CJ062501/2</t>
        </is>
      </c>
      <c r="B669" s="243" t="inlineStr">
        <is>
          <t>P050212</t>
        </is>
      </c>
      <c r="C669" s="243" t="inlineStr">
        <is>
          <t>197-4-K-26</t>
        </is>
      </c>
      <c r="D669" s="245" t="n">
        <v>46241</v>
      </c>
      <c r="E669" s="243" t="inlineStr">
        <is>
          <t>FHM-K</t>
        </is>
      </c>
      <c r="F669" s="243" t="inlineStr">
        <is>
          <t>#8</t>
        </is>
      </c>
      <c r="G669" s="246" t="inlineStr">
        <is>
          <t>#8 Loss on Drying</t>
        </is>
      </c>
      <c r="H669" s="309" t="inlineStr">
        <is>
          <t>credit removed</t>
        </is>
      </c>
      <c r="I669" s="308" t="inlineStr">
        <is>
          <t>R1 Farmahem pair — cannabinoid certificate; loss on drying is on the LoD certificate</t>
        </is>
      </c>
    </row>
    <row r="670">
      <c r="A670" s="244" t="inlineStr">
        <is>
          <t>CJ082501/2</t>
        </is>
      </c>
      <c r="B670" s="243" t="inlineStr">
        <is>
          <t>P060032</t>
        </is>
      </c>
      <c r="C670" s="243" t="inlineStr">
        <is>
          <t>197-5-K-26</t>
        </is>
      </c>
      <c r="D670" s="245" t="n">
        <v>46241</v>
      </c>
      <c r="E670" s="243" t="inlineStr">
        <is>
          <t>FHM-K</t>
        </is>
      </c>
      <c r="F670" s="243" t="inlineStr">
        <is>
          <t>#8</t>
        </is>
      </c>
      <c r="G670" s="246" t="inlineStr">
        <is>
          <t>#8 Loss on Drying</t>
        </is>
      </c>
      <c r="H670" s="309" t="inlineStr">
        <is>
          <t>credit removed</t>
        </is>
      </c>
      <c r="I670" s="308" t="inlineStr">
        <is>
          <t>R1 Farmahem pair — cannabinoid certificate; loss on drying is on the LoD certificate</t>
        </is>
      </c>
    </row>
    <row r="671">
      <c r="A671" s="244" t="inlineStr">
        <is>
          <t>FB012602*</t>
        </is>
      </c>
      <c r="B671" s="243" t="inlineStr">
        <is>
          <t>P060352</t>
        </is>
      </c>
      <c r="C671" s="243" t="inlineStr">
        <is>
          <t>197-7-K-26</t>
        </is>
      </c>
      <c r="D671" s="245" t="n">
        <v>46241</v>
      </c>
      <c r="E671" s="243" t="inlineStr">
        <is>
          <t>FHM-K</t>
        </is>
      </c>
      <c r="F671" s="243" t="inlineStr">
        <is>
          <t>#8</t>
        </is>
      </c>
      <c r="G671" s="246" t="inlineStr">
        <is>
          <t>#8 Loss on Drying</t>
        </is>
      </c>
      <c r="H671" s="309" t="inlineStr">
        <is>
          <t>credit removed</t>
        </is>
      </c>
      <c r="I671" s="308" t="inlineStr">
        <is>
          <t>R1 Farmahem pair — cannabinoid certificate; loss on drying is on the LoD certificate</t>
        </is>
      </c>
    </row>
    <row r="672">
      <c r="A672" s="244" t="inlineStr">
        <is>
          <t>GG012603</t>
        </is>
      </c>
      <c r="B672" s="243" t="inlineStr">
        <is>
          <t>P060402</t>
        </is>
      </c>
      <c r="C672" s="243" t="inlineStr">
        <is>
          <t>197-8-K-26</t>
        </is>
      </c>
      <c r="D672" s="245" t="n">
        <v>46241</v>
      </c>
      <c r="E672" s="243" t="inlineStr">
        <is>
          <t>FHM-K</t>
        </is>
      </c>
      <c r="F672" s="243" t="inlineStr">
        <is>
          <t>#8</t>
        </is>
      </c>
      <c r="G672" s="246" t="inlineStr">
        <is>
          <t>#8 Loss on Drying</t>
        </is>
      </c>
      <c r="H672" s="309" t="inlineStr">
        <is>
          <t>credit removed</t>
        </is>
      </c>
      <c r="I672" s="308" t="inlineStr">
        <is>
          <t>R1 Farmahem pair — cannabinoid certificate; loss on drying is on the LoD certificate</t>
        </is>
      </c>
    </row>
    <row r="673">
      <c r="A673" s="244" t="inlineStr">
        <is>
          <t>GG1024_01</t>
        </is>
      </c>
      <c r="B673" s="243" t="inlineStr">
        <is>
          <t>P050092</t>
        </is>
      </c>
      <c r="C673" s="243" t="inlineStr">
        <is>
          <t>197-9-K-26</t>
        </is>
      </c>
      <c r="D673" s="245" t="n">
        <v>46241</v>
      </c>
      <c r="E673" s="243" t="inlineStr">
        <is>
          <t>FHM-K</t>
        </is>
      </c>
      <c r="F673" s="243" t="inlineStr">
        <is>
          <t>#8</t>
        </is>
      </c>
      <c r="G673" s="246" t="inlineStr">
        <is>
          <t>#8 Loss on Drying</t>
        </is>
      </c>
      <c r="H673" s="309" t="inlineStr">
        <is>
          <t>credit removed</t>
        </is>
      </c>
      <c r="I673" s="308" t="inlineStr">
        <is>
          <t>R1 Farmahem pair — cannabinoid certificate; loss on drying is on the LoD certificate</t>
        </is>
      </c>
    </row>
    <row r="674">
      <c r="A674" s="244" t="inlineStr">
        <is>
          <t>GP052501</t>
        </is>
      </c>
      <c r="B674" s="243" t="inlineStr">
        <is>
          <t>P050152</t>
        </is>
      </c>
      <c r="C674" s="243" t="inlineStr">
        <is>
          <t>197-10-K-26</t>
        </is>
      </c>
      <c r="D674" s="245" t="n">
        <v>46241</v>
      </c>
      <c r="E674" s="243" t="inlineStr">
        <is>
          <t>FHM-K</t>
        </is>
      </c>
      <c r="F674" s="243" t="inlineStr">
        <is>
          <t>#8</t>
        </is>
      </c>
      <c r="G674" s="246" t="inlineStr">
        <is>
          <t>#8 Loss on Drying</t>
        </is>
      </c>
      <c r="H674" s="309" t="inlineStr">
        <is>
          <t>credit removed</t>
        </is>
      </c>
      <c r="I674" s="308" t="inlineStr">
        <is>
          <t>R1 Farmahem pair — cannabinoid certificate; loss on drying is on the LoD certificate</t>
        </is>
      </c>
    </row>
    <row r="675">
      <c r="A675" s="244" t="inlineStr">
        <is>
          <t>GP0824_02</t>
        </is>
      </c>
      <c r="B675" s="243" t="inlineStr">
        <is>
          <t>P050022</t>
        </is>
      </c>
      <c r="C675" s="243" t="inlineStr">
        <is>
          <t>197-11-K-26</t>
        </is>
      </c>
      <c r="D675" s="245" t="n">
        <v>46241</v>
      </c>
      <c r="E675" s="243" t="inlineStr">
        <is>
          <t>FHM-K</t>
        </is>
      </c>
      <c r="F675" s="243" t="inlineStr">
        <is>
          <t>#8</t>
        </is>
      </c>
      <c r="G675" s="246" t="inlineStr">
        <is>
          <t>#8 Loss on Drying</t>
        </is>
      </c>
      <c r="H675" s="309" t="inlineStr">
        <is>
          <t>credit removed</t>
        </is>
      </c>
      <c r="I675" s="308" t="inlineStr">
        <is>
          <t>R1 Farmahem pair — cannabinoid certificate; loss on drying is on the LoD certificate</t>
        </is>
      </c>
    </row>
    <row r="676">
      <c r="A676" s="244" t="inlineStr">
        <is>
          <t>GP082501/2</t>
        </is>
      </c>
      <c r="B676" s="243" t="inlineStr">
        <is>
          <t>P050322</t>
        </is>
      </c>
      <c r="C676" s="243" t="inlineStr">
        <is>
          <t>197-12-K-26</t>
        </is>
      </c>
      <c r="D676" s="245" t="n">
        <v>46241</v>
      </c>
      <c r="E676" s="243" t="inlineStr">
        <is>
          <t>FHM-K</t>
        </is>
      </c>
      <c r="F676" s="243" t="inlineStr">
        <is>
          <t>#8</t>
        </is>
      </c>
      <c r="G676" s="246" t="inlineStr">
        <is>
          <t>#8 Loss on Drying</t>
        </is>
      </c>
      <c r="H676" s="309" t="inlineStr">
        <is>
          <t>credit removed</t>
        </is>
      </c>
      <c r="I676" s="308" t="inlineStr">
        <is>
          <t>R1 Farmahem pair — cannabinoid certificate; loss on drying is on the LoD certificate</t>
        </is>
      </c>
    </row>
    <row r="677">
      <c r="A677" s="244" t="inlineStr">
        <is>
          <t>GRC102501</t>
        </is>
      </c>
      <c r="B677" s="243" t="inlineStr">
        <is>
          <t>P060142 / P060182</t>
        </is>
      </c>
      <c r="C677" s="243" t="inlineStr">
        <is>
          <t>051-6-LoD-26</t>
        </is>
      </c>
      <c r="D677" s="245" t="n">
        <v>46083</v>
      </c>
      <c r="E677" s="243" t="inlineStr">
        <is>
          <t>FHM-K</t>
        </is>
      </c>
      <c r="F677" s="243" t="inlineStr">
        <is>
          <t>#3</t>
        </is>
      </c>
      <c r="G677" s="246" t="inlineStr">
        <is>
          <t>#3 Identification C</t>
        </is>
      </c>
      <c r="H677" s="309" t="inlineStr">
        <is>
          <t>credit removed</t>
        </is>
      </c>
      <c r="I677" s="308" t="inlineStr">
        <is>
          <t>R1 Farmahem pair — loss-on-drying certificate; reports no such determination</t>
        </is>
      </c>
    </row>
    <row r="678">
      <c r="A678" s="244" t="inlineStr">
        <is>
          <t>GRC102501</t>
        </is>
      </c>
      <c r="B678" s="243" t="inlineStr">
        <is>
          <t>P060142 / P060182</t>
        </is>
      </c>
      <c r="C678" s="243" t="inlineStr">
        <is>
          <t>051-6-LoD-26</t>
        </is>
      </c>
      <c r="D678" s="245" t="n">
        <v>46083</v>
      </c>
      <c r="E678" s="243" t="inlineStr">
        <is>
          <t>FHM-K</t>
        </is>
      </c>
      <c r="F678" s="243" t="inlineStr">
        <is>
          <t>#4</t>
        </is>
      </c>
      <c r="G678" s="246" t="inlineStr">
        <is>
          <t>#4 Assay — Total Δ⁹-THC*</t>
        </is>
      </c>
      <c r="H678" s="309" t="inlineStr">
        <is>
          <t>credit removed</t>
        </is>
      </c>
      <c r="I678" s="308" t="inlineStr">
        <is>
          <t>R1 Farmahem pair — loss-on-drying certificate; reports no such determination</t>
        </is>
      </c>
    </row>
    <row r="679">
      <c r="A679" s="244" t="inlineStr">
        <is>
          <t>GRC102501</t>
        </is>
      </c>
      <c r="B679" s="243" t="inlineStr">
        <is>
          <t>P060142 / P060182</t>
        </is>
      </c>
      <c r="C679" s="243" t="inlineStr">
        <is>
          <t>051-6-LoD-26</t>
        </is>
      </c>
      <c r="D679" s="245" t="n">
        <v>46083</v>
      </c>
      <c r="E679" s="243" t="inlineStr">
        <is>
          <t>FHM-K</t>
        </is>
      </c>
      <c r="F679" s="243" t="inlineStr">
        <is>
          <t>#5</t>
        </is>
      </c>
      <c r="G679" s="246" t="inlineStr">
        <is>
          <t>#5 Assay — Total CBD</t>
        </is>
      </c>
      <c r="H679" s="309" t="inlineStr">
        <is>
          <t>credit removed</t>
        </is>
      </c>
      <c r="I679" s="308" t="inlineStr">
        <is>
          <t>R1 Farmahem pair — loss-on-drying certificate; reports no such determination</t>
        </is>
      </c>
    </row>
    <row r="680">
      <c r="A680" s="244" t="inlineStr">
        <is>
          <t>GRC102501</t>
        </is>
      </c>
      <c r="B680" s="243" t="inlineStr">
        <is>
          <t>P060142 / P060182</t>
        </is>
      </c>
      <c r="C680" s="243" t="inlineStr">
        <is>
          <t>051-6-LoD-26</t>
        </is>
      </c>
      <c r="D680" s="245" t="n">
        <v>46083</v>
      </c>
      <c r="E680" s="243" t="inlineStr">
        <is>
          <t>FHM-K</t>
        </is>
      </c>
      <c r="F680" s="243" t="inlineStr">
        <is>
          <t>#6</t>
        </is>
      </c>
      <c r="G680" s="246" t="inlineStr">
        <is>
          <t>#6 Total CBN</t>
        </is>
      </c>
      <c r="H680" s="309" t="inlineStr">
        <is>
          <t>credit removed</t>
        </is>
      </c>
      <c r="I680" s="308" t="inlineStr">
        <is>
          <t>R1 Farmahem pair — loss-on-drying certificate; reports no such determination</t>
        </is>
      </c>
    </row>
    <row r="681">
      <c r="A681" s="244" t="inlineStr">
        <is>
          <t>GRC102501</t>
        </is>
      </c>
      <c r="B681" s="243" t="inlineStr">
        <is>
          <t>P060142 / P060182</t>
        </is>
      </c>
      <c r="C681" s="243" t="inlineStr">
        <is>
          <t>051-6-K-26</t>
        </is>
      </c>
      <c r="D681" s="245" t="n">
        <v>46085</v>
      </c>
      <c r="E681" s="243" t="inlineStr">
        <is>
          <t>FHM-K</t>
        </is>
      </c>
      <c r="F681" s="243" t="inlineStr">
        <is>
          <t>#8</t>
        </is>
      </c>
      <c r="G681" s="246" t="inlineStr">
        <is>
          <t>#8 Loss on Drying</t>
        </is>
      </c>
      <c r="H681" s="309" t="inlineStr">
        <is>
          <t>credit removed</t>
        </is>
      </c>
      <c r="I681" s="308" t="inlineStr">
        <is>
          <t>R1 Farmahem pair — cannabinoid certificate; loss on drying is on the LoD certificate</t>
        </is>
      </c>
    </row>
    <row r="682">
      <c r="A682" s="244" t="inlineStr">
        <is>
          <t>HPA1024</t>
        </is>
      </c>
      <c r="B682" s="243" t="inlineStr">
        <is>
          <t>N/A — no P batch assigned</t>
        </is>
      </c>
      <c r="C682" s="243" t="inlineStr">
        <is>
          <t>197-13-K-26</t>
        </is>
      </c>
      <c r="D682" s="245" t="n">
        <v>46241</v>
      </c>
      <c r="E682" s="243" t="inlineStr">
        <is>
          <t>FHM-K</t>
        </is>
      </c>
      <c r="F682" s="243" t="inlineStr">
        <is>
          <t>#8</t>
        </is>
      </c>
      <c r="G682" s="246" t="inlineStr">
        <is>
          <t>#8 Loss on Drying</t>
        </is>
      </c>
      <c r="H682" s="309" t="inlineStr">
        <is>
          <t>credit removed</t>
        </is>
      </c>
      <c r="I682" s="308" t="inlineStr">
        <is>
          <t>R1 Farmahem pair — cannabinoid certificate; loss on drying is on the LoD certificate</t>
        </is>
      </c>
    </row>
    <row r="683">
      <c r="A683" s="244" t="inlineStr">
        <is>
          <t>HPA1024_01</t>
        </is>
      </c>
      <c r="B683" s="243" t="inlineStr">
        <is>
          <t>P050052</t>
        </is>
      </c>
      <c r="C683" s="243" t="inlineStr">
        <is>
          <t>197-14-K-26</t>
        </is>
      </c>
      <c r="D683" s="245" t="n">
        <v>46241</v>
      </c>
      <c r="E683" s="243" t="inlineStr">
        <is>
          <t>FHM-K</t>
        </is>
      </c>
      <c r="F683" s="243" t="inlineStr">
        <is>
          <t>#8</t>
        </is>
      </c>
      <c r="G683" s="246" t="inlineStr">
        <is>
          <t>#8 Loss on Drying</t>
        </is>
      </c>
      <c r="H683" s="309" t="inlineStr">
        <is>
          <t>credit removed</t>
        </is>
      </c>
      <c r="I683" s="308" t="inlineStr">
        <is>
          <t>R1 Farmahem pair — cannabinoid certificate; loss on drying is on the LoD certificate</t>
        </is>
      </c>
    </row>
    <row r="684">
      <c r="A684" s="244" t="inlineStr">
        <is>
          <t>J31102501</t>
        </is>
      </c>
      <c r="B684" s="243" t="inlineStr">
        <is>
          <t>P060152</t>
        </is>
      </c>
      <c r="C684" s="243" t="inlineStr">
        <is>
          <t>051-1-LoD-26</t>
        </is>
      </c>
      <c r="D684" s="245" t="n">
        <v>46083</v>
      </c>
      <c r="E684" s="243" t="inlineStr">
        <is>
          <t>FHM-K</t>
        </is>
      </c>
      <c r="F684" s="243" t="inlineStr">
        <is>
          <t>#3</t>
        </is>
      </c>
      <c r="G684" s="246" t="inlineStr">
        <is>
          <t>#3 Identification C</t>
        </is>
      </c>
      <c r="H684" s="309" t="inlineStr">
        <is>
          <t>credit removed</t>
        </is>
      </c>
      <c r="I684" s="308" t="inlineStr">
        <is>
          <t>R1 Farmahem pair — loss-on-drying certificate; reports no such determination</t>
        </is>
      </c>
    </row>
    <row r="685">
      <c r="A685" s="244" t="inlineStr">
        <is>
          <t>J31102501</t>
        </is>
      </c>
      <c r="B685" s="243" t="inlineStr">
        <is>
          <t>P060152</t>
        </is>
      </c>
      <c r="C685" s="243" t="inlineStr">
        <is>
          <t>051-1-LoD-26</t>
        </is>
      </c>
      <c r="D685" s="245" t="n">
        <v>46083</v>
      </c>
      <c r="E685" s="243" t="inlineStr">
        <is>
          <t>FHM-K</t>
        </is>
      </c>
      <c r="F685" s="243" t="inlineStr">
        <is>
          <t>#4</t>
        </is>
      </c>
      <c r="G685" s="246" t="inlineStr">
        <is>
          <t>#4 Assay — Total Δ⁹-THC*</t>
        </is>
      </c>
      <c r="H685" s="309" t="inlineStr">
        <is>
          <t>credit removed</t>
        </is>
      </c>
      <c r="I685" s="308" t="inlineStr">
        <is>
          <t>R1 Farmahem pair — loss-on-drying certificate; reports no such determination</t>
        </is>
      </c>
    </row>
    <row r="686">
      <c r="A686" s="244" t="inlineStr">
        <is>
          <t>J31102501</t>
        </is>
      </c>
      <c r="B686" s="243" t="inlineStr">
        <is>
          <t>P060152</t>
        </is>
      </c>
      <c r="C686" s="243" t="inlineStr">
        <is>
          <t>051-1-LoD-26</t>
        </is>
      </c>
      <c r="D686" s="245" t="n">
        <v>46083</v>
      </c>
      <c r="E686" s="243" t="inlineStr">
        <is>
          <t>FHM-K</t>
        </is>
      </c>
      <c r="F686" s="243" t="inlineStr">
        <is>
          <t>#5</t>
        </is>
      </c>
      <c r="G686" s="246" t="inlineStr">
        <is>
          <t>#5 Assay — Total CBD</t>
        </is>
      </c>
      <c r="H686" s="309" t="inlineStr">
        <is>
          <t>credit removed</t>
        </is>
      </c>
      <c r="I686" s="308" t="inlineStr">
        <is>
          <t>R1 Farmahem pair — loss-on-drying certificate; reports no such determination</t>
        </is>
      </c>
    </row>
    <row r="687">
      <c r="A687" s="244" t="inlineStr">
        <is>
          <t>J31102501</t>
        </is>
      </c>
      <c r="B687" s="243" t="inlineStr">
        <is>
          <t>P060152</t>
        </is>
      </c>
      <c r="C687" s="243" t="inlineStr">
        <is>
          <t>051-1-LoD-26</t>
        </is>
      </c>
      <c r="D687" s="245" t="n">
        <v>46083</v>
      </c>
      <c r="E687" s="243" t="inlineStr">
        <is>
          <t>FHM-K</t>
        </is>
      </c>
      <c r="F687" s="243" t="inlineStr">
        <is>
          <t>#6</t>
        </is>
      </c>
      <c r="G687" s="246" t="inlineStr">
        <is>
          <t>#6 Total CBN</t>
        </is>
      </c>
      <c r="H687" s="309" t="inlineStr">
        <is>
          <t>credit removed</t>
        </is>
      </c>
      <c r="I687" s="308" t="inlineStr">
        <is>
          <t>R1 Farmahem pair — loss-on-drying certificate; reports no such determination</t>
        </is>
      </c>
    </row>
    <row r="688">
      <c r="A688" s="244" t="inlineStr">
        <is>
          <t>J31102501</t>
        </is>
      </c>
      <c r="B688" s="243" t="inlineStr">
        <is>
          <t>P060152</t>
        </is>
      </c>
      <c r="C688" s="243" t="inlineStr">
        <is>
          <t>051-1-K-26</t>
        </is>
      </c>
      <c r="D688" s="245" t="n">
        <v>46085</v>
      </c>
      <c r="E688" s="243" t="inlineStr">
        <is>
          <t>FHM-K</t>
        </is>
      </c>
      <c r="F688" s="243" t="inlineStr">
        <is>
          <t>#8</t>
        </is>
      </c>
      <c r="G688" s="246" t="inlineStr">
        <is>
          <t>#8 Loss on Drying</t>
        </is>
      </c>
      <c r="H688" s="309" t="inlineStr">
        <is>
          <t>credit removed</t>
        </is>
      </c>
      <c r="I688" s="308" t="inlineStr">
        <is>
          <t>R1 Farmahem pair — cannabinoid certificate; loss on drying is on the LoD certificate</t>
        </is>
      </c>
    </row>
    <row r="689">
      <c r="A689" s="244" t="inlineStr">
        <is>
          <t>J31102501</t>
        </is>
      </c>
      <c r="B689" s="243" t="inlineStr">
        <is>
          <t>P060152</t>
        </is>
      </c>
      <c r="C689" s="243" t="inlineStr">
        <is>
          <t>197-16-K-26</t>
        </is>
      </c>
      <c r="D689" s="245" t="n">
        <v>46241</v>
      </c>
      <c r="E689" s="243" t="inlineStr">
        <is>
          <t>FHM-K</t>
        </is>
      </c>
      <c r="F689" s="243" t="inlineStr">
        <is>
          <t>#8</t>
        </is>
      </c>
      <c r="G689" s="246" t="inlineStr">
        <is>
          <t>#8 Loss on Drying</t>
        </is>
      </c>
      <c r="H689" s="309" t="inlineStr">
        <is>
          <t>credit removed</t>
        </is>
      </c>
      <c r="I689" s="308" t="inlineStr">
        <is>
          <t>R1 Farmahem pair — cannabinoid certificate; loss on drying is on the LoD certificate</t>
        </is>
      </c>
    </row>
    <row r="690">
      <c r="A690" s="244" t="inlineStr">
        <is>
          <t>J31112501</t>
        </is>
      </c>
      <c r="B690" s="243" t="inlineStr">
        <is>
          <t>P060202</t>
        </is>
      </c>
      <c r="C690" s="243" t="inlineStr">
        <is>
          <t>051-5-LoD-26</t>
        </is>
      </c>
      <c r="D690" s="245" t="n">
        <v>46083</v>
      </c>
      <c r="E690" s="243" t="inlineStr">
        <is>
          <t>FHM-K</t>
        </is>
      </c>
      <c r="F690" s="243" t="inlineStr">
        <is>
          <t>#3</t>
        </is>
      </c>
      <c r="G690" s="246" t="inlineStr">
        <is>
          <t>#3 Identification C</t>
        </is>
      </c>
      <c r="H690" s="309" t="inlineStr">
        <is>
          <t>credit removed</t>
        </is>
      </c>
      <c r="I690" s="308" t="inlineStr">
        <is>
          <t>R1 Farmahem pair — loss-on-drying certificate; reports no such determination</t>
        </is>
      </c>
    </row>
    <row r="691">
      <c r="A691" s="244" t="inlineStr">
        <is>
          <t>J31112501</t>
        </is>
      </c>
      <c r="B691" s="243" t="inlineStr">
        <is>
          <t>P060202</t>
        </is>
      </c>
      <c r="C691" s="243" t="inlineStr">
        <is>
          <t>100-1-LoD-26</t>
        </is>
      </c>
      <c r="D691" s="245" t="n">
        <v>46121</v>
      </c>
      <c r="E691" s="243" t="inlineStr">
        <is>
          <t>FHM-K</t>
        </is>
      </c>
      <c r="F691" s="243" t="inlineStr">
        <is>
          <t>#3</t>
        </is>
      </c>
      <c r="G691" s="246" t="inlineStr">
        <is>
          <t>#3 Identification C</t>
        </is>
      </c>
      <c r="H691" s="309" t="inlineStr">
        <is>
          <t>credit removed</t>
        </is>
      </c>
      <c r="I691" s="308" t="inlineStr">
        <is>
          <t>R1 Farmahem pair — loss-on-drying certificate; reports no such determination</t>
        </is>
      </c>
    </row>
    <row r="692">
      <c r="A692" s="244" t="inlineStr">
        <is>
          <t>J31112501</t>
        </is>
      </c>
      <c r="B692" s="243" t="inlineStr">
        <is>
          <t>P060202</t>
        </is>
      </c>
      <c r="C692" s="243" t="inlineStr">
        <is>
          <t>100-2-LoD-26</t>
        </is>
      </c>
      <c r="D692" s="245" t="n">
        <v>46121</v>
      </c>
      <c r="E692" s="243" t="inlineStr">
        <is>
          <t>FHM-K</t>
        </is>
      </c>
      <c r="F692" s="243" t="inlineStr">
        <is>
          <t>#3</t>
        </is>
      </c>
      <c r="G692" s="246" t="inlineStr">
        <is>
          <t>#3 Identification C</t>
        </is>
      </c>
      <c r="H692" s="309" t="inlineStr">
        <is>
          <t>credit removed</t>
        </is>
      </c>
      <c r="I692" s="308" t="inlineStr">
        <is>
          <t>R1 Farmahem pair — loss-on-drying certificate; reports no such determination</t>
        </is>
      </c>
    </row>
    <row r="693">
      <c r="A693" s="244" t="inlineStr">
        <is>
          <t>J31112501</t>
        </is>
      </c>
      <c r="B693" s="243" t="inlineStr">
        <is>
          <t>P060202</t>
        </is>
      </c>
      <c r="C693" s="243" t="inlineStr">
        <is>
          <t>100-3-LoD-26</t>
        </is>
      </c>
      <c r="D693" s="245" t="n">
        <v>46121</v>
      </c>
      <c r="E693" s="243" t="inlineStr">
        <is>
          <t>FHM-K</t>
        </is>
      </c>
      <c r="F693" s="243" t="inlineStr">
        <is>
          <t>#3</t>
        </is>
      </c>
      <c r="G693" s="246" t="inlineStr">
        <is>
          <t>#3 Identification C</t>
        </is>
      </c>
      <c r="H693" s="309" t="inlineStr">
        <is>
          <t>credit removed</t>
        </is>
      </c>
      <c r="I693" s="308" t="inlineStr">
        <is>
          <t>R1 Farmahem pair — loss-on-drying certificate; reports no such determination</t>
        </is>
      </c>
    </row>
    <row r="694">
      <c r="A694" s="244" t="inlineStr">
        <is>
          <t>J31112501</t>
        </is>
      </c>
      <c r="B694" s="243" t="inlineStr">
        <is>
          <t>P060202</t>
        </is>
      </c>
      <c r="C694" s="243" t="inlineStr">
        <is>
          <t>051-5-LoD-26</t>
        </is>
      </c>
      <c r="D694" s="245" t="n">
        <v>46083</v>
      </c>
      <c r="E694" s="243" t="inlineStr">
        <is>
          <t>FHM-K</t>
        </is>
      </c>
      <c r="F694" s="243" t="inlineStr">
        <is>
          <t>#4</t>
        </is>
      </c>
      <c r="G694" s="246" t="inlineStr">
        <is>
          <t>#4 Assay — Total Δ⁹-THC*</t>
        </is>
      </c>
      <c r="H694" s="309" t="inlineStr">
        <is>
          <t>credit removed</t>
        </is>
      </c>
      <c r="I694" s="308" t="inlineStr">
        <is>
          <t>R1 Farmahem pair — loss-on-drying certificate; reports no such determination</t>
        </is>
      </c>
    </row>
    <row r="695">
      <c r="A695" s="244" t="inlineStr">
        <is>
          <t>J31112501</t>
        </is>
      </c>
      <c r="B695" s="243" t="inlineStr">
        <is>
          <t>P060202</t>
        </is>
      </c>
      <c r="C695" s="243" t="inlineStr">
        <is>
          <t>100-1-LoD-26</t>
        </is>
      </c>
      <c r="D695" s="245" t="n">
        <v>46121</v>
      </c>
      <c r="E695" s="243" t="inlineStr">
        <is>
          <t>FHM-K</t>
        </is>
      </c>
      <c r="F695" s="243" t="inlineStr">
        <is>
          <t>#4</t>
        </is>
      </c>
      <c r="G695" s="246" t="inlineStr">
        <is>
          <t>#4 Assay — Total Δ⁹-THC*</t>
        </is>
      </c>
      <c r="H695" s="309" t="inlineStr">
        <is>
          <t>credit removed</t>
        </is>
      </c>
      <c r="I695" s="308" t="inlineStr">
        <is>
          <t>R1 Farmahem pair — loss-on-drying certificate; reports no such determination</t>
        </is>
      </c>
    </row>
    <row r="696">
      <c r="A696" s="244" t="inlineStr">
        <is>
          <t>J31112501</t>
        </is>
      </c>
      <c r="B696" s="243" t="inlineStr">
        <is>
          <t>P060202</t>
        </is>
      </c>
      <c r="C696" s="243" t="inlineStr">
        <is>
          <t>100-2-LoD-26</t>
        </is>
      </c>
      <c r="D696" s="245" t="n">
        <v>46121</v>
      </c>
      <c r="E696" s="243" t="inlineStr">
        <is>
          <t>FHM-K</t>
        </is>
      </c>
      <c r="F696" s="243" t="inlineStr">
        <is>
          <t>#4</t>
        </is>
      </c>
      <c r="G696" s="246" t="inlineStr">
        <is>
          <t>#4 Assay — Total Δ⁹-THC*</t>
        </is>
      </c>
      <c r="H696" s="309" t="inlineStr">
        <is>
          <t>credit removed</t>
        </is>
      </c>
      <c r="I696" s="308" t="inlineStr">
        <is>
          <t>R1 Farmahem pair — loss-on-drying certificate; reports no such determination</t>
        </is>
      </c>
    </row>
    <row r="697">
      <c r="A697" s="244" t="inlineStr">
        <is>
          <t>J31112501</t>
        </is>
      </c>
      <c r="B697" s="243" t="inlineStr">
        <is>
          <t>P060202</t>
        </is>
      </c>
      <c r="C697" s="243" t="inlineStr">
        <is>
          <t>100-3-LoD-26</t>
        </is>
      </c>
      <c r="D697" s="245" t="n">
        <v>46121</v>
      </c>
      <c r="E697" s="243" t="inlineStr">
        <is>
          <t>FHM-K</t>
        </is>
      </c>
      <c r="F697" s="243" t="inlineStr">
        <is>
          <t>#4</t>
        </is>
      </c>
      <c r="G697" s="246" t="inlineStr">
        <is>
          <t>#4 Assay — Total Δ⁹-THC*</t>
        </is>
      </c>
      <c r="H697" s="309" t="inlineStr">
        <is>
          <t>credit removed</t>
        </is>
      </c>
      <c r="I697" s="308" t="inlineStr">
        <is>
          <t>R1 Farmahem pair — loss-on-drying certificate; reports no such determination</t>
        </is>
      </c>
    </row>
    <row r="698">
      <c r="A698" s="244" t="inlineStr">
        <is>
          <t>J31112501</t>
        </is>
      </c>
      <c r="B698" s="243" t="inlineStr">
        <is>
          <t>P060202</t>
        </is>
      </c>
      <c r="C698" s="243" t="inlineStr">
        <is>
          <t>051-5-LoD-26</t>
        </is>
      </c>
      <c r="D698" s="245" t="n">
        <v>46083</v>
      </c>
      <c r="E698" s="243" t="inlineStr">
        <is>
          <t>FHM-K</t>
        </is>
      </c>
      <c r="F698" s="243" t="inlineStr">
        <is>
          <t>#5</t>
        </is>
      </c>
      <c r="G698" s="246" t="inlineStr">
        <is>
          <t>#5 Assay — Total CBD</t>
        </is>
      </c>
      <c r="H698" s="309" t="inlineStr">
        <is>
          <t>credit removed</t>
        </is>
      </c>
      <c r="I698" s="308" t="inlineStr">
        <is>
          <t>R1 Farmahem pair — loss-on-drying certificate; reports no such determination</t>
        </is>
      </c>
    </row>
    <row r="699">
      <c r="A699" s="244" t="inlineStr">
        <is>
          <t>J31112501</t>
        </is>
      </c>
      <c r="B699" s="243" t="inlineStr">
        <is>
          <t>P060202</t>
        </is>
      </c>
      <c r="C699" s="243" t="inlineStr">
        <is>
          <t>100-1-LoD-26</t>
        </is>
      </c>
      <c r="D699" s="245" t="n">
        <v>46121</v>
      </c>
      <c r="E699" s="243" t="inlineStr">
        <is>
          <t>FHM-K</t>
        </is>
      </c>
      <c r="F699" s="243" t="inlineStr">
        <is>
          <t>#5</t>
        </is>
      </c>
      <c r="G699" s="246" t="inlineStr">
        <is>
          <t>#5 Assay — Total CBD</t>
        </is>
      </c>
      <c r="H699" s="309" t="inlineStr">
        <is>
          <t>credit removed</t>
        </is>
      </c>
      <c r="I699" s="308" t="inlineStr">
        <is>
          <t>R1 Farmahem pair — loss-on-drying certificate; reports no such determination</t>
        </is>
      </c>
    </row>
    <row r="700">
      <c r="A700" s="244" t="inlineStr">
        <is>
          <t>J31112501</t>
        </is>
      </c>
      <c r="B700" s="243" t="inlineStr">
        <is>
          <t>P060202</t>
        </is>
      </c>
      <c r="C700" s="243" t="inlineStr">
        <is>
          <t>100-2-LoD-26</t>
        </is>
      </c>
      <c r="D700" s="245" t="n">
        <v>46121</v>
      </c>
      <c r="E700" s="243" t="inlineStr">
        <is>
          <t>FHM-K</t>
        </is>
      </c>
      <c r="F700" s="243" t="inlineStr">
        <is>
          <t>#5</t>
        </is>
      </c>
      <c r="G700" s="246" t="inlineStr">
        <is>
          <t>#5 Assay — Total CBD</t>
        </is>
      </c>
      <c r="H700" s="309" t="inlineStr">
        <is>
          <t>credit removed</t>
        </is>
      </c>
      <c r="I700" s="308" t="inlineStr">
        <is>
          <t>R1 Farmahem pair — loss-on-drying certificate; reports no such determination</t>
        </is>
      </c>
    </row>
    <row r="701">
      <c r="A701" s="244" t="inlineStr">
        <is>
          <t>J31112501</t>
        </is>
      </c>
      <c r="B701" s="243" t="inlineStr">
        <is>
          <t>P060202</t>
        </is>
      </c>
      <c r="C701" s="243" t="inlineStr">
        <is>
          <t>100-3-LoD-26</t>
        </is>
      </c>
      <c r="D701" s="245" t="n">
        <v>46121</v>
      </c>
      <c r="E701" s="243" t="inlineStr">
        <is>
          <t>FHM-K</t>
        </is>
      </c>
      <c r="F701" s="243" t="inlineStr">
        <is>
          <t>#5</t>
        </is>
      </c>
      <c r="G701" s="246" t="inlineStr">
        <is>
          <t>#5 Assay — Total CBD</t>
        </is>
      </c>
      <c r="H701" s="309" t="inlineStr">
        <is>
          <t>credit removed</t>
        </is>
      </c>
      <c r="I701" s="308" t="inlineStr">
        <is>
          <t>R1 Farmahem pair — loss-on-drying certificate; reports no such determination</t>
        </is>
      </c>
    </row>
    <row r="702">
      <c r="A702" s="244" t="inlineStr">
        <is>
          <t>J31112501</t>
        </is>
      </c>
      <c r="B702" s="243" t="inlineStr">
        <is>
          <t>P060202</t>
        </is>
      </c>
      <c r="C702" s="243" t="inlineStr">
        <is>
          <t>051-5-LoD-26</t>
        </is>
      </c>
      <c r="D702" s="245" t="n">
        <v>46083</v>
      </c>
      <c r="E702" s="243" t="inlineStr">
        <is>
          <t>FHM-K</t>
        </is>
      </c>
      <c r="F702" s="243" t="inlineStr">
        <is>
          <t>#6</t>
        </is>
      </c>
      <c r="G702" s="246" t="inlineStr">
        <is>
          <t>#6 Total CBN</t>
        </is>
      </c>
      <c r="H702" s="309" t="inlineStr">
        <is>
          <t>credit removed</t>
        </is>
      </c>
      <c r="I702" s="308" t="inlineStr">
        <is>
          <t>R1 Farmahem pair — loss-on-drying certificate; reports no such determination</t>
        </is>
      </c>
    </row>
    <row r="703">
      <c r="A703" s="244" t="inlineStr">
        <is>
          <t>J31112501</t>
        </is>
      </c>
      <c r="B703" s="243" t="inlineStr">
        <is>
          <t>P060202</t>
        </is>
      </c>
      <c r="C703" s="243" t="inlineStr">
        <is>
          <t>100-1-LoD-26</t>
        </is>
      </c>
      <c r="D703" s="245" t="n">
        <v>46121</v>
      </c>
      <c r="E703" s="243" t="inlineStr">
        <is>
          <t>FHM-K</t>
        </is>
      </c>
      <c r="F703" s="243" t="inlineStr">
        <is>
          <t>#6</t>
        </is>
      </c>
      <c r="G703" s="246" t="inlineStr">
        <is>
          <t>#6 Total CBN</t>
        </is>
      </c>
      <c r="H703" s="309" t="inlineStr">
        <is>
          <t>credit removed</t>
        </is>
      </c>
      <c r="I703" s="308" t="inlineStr">
        <is>
          <t>R1 Farmahem pair — loss-on-drying certificate; reports no such determination</t>
        </is>
      </c>
    </row>
    <row r="704">
      <c r="A704" s="244" t="inlineStr">
        <is>
          <t>J31112501</t>
        </is>
      </c>
      <c r="B704" s="243" t="inlineStr">
        <is>
          <t>P060202</t>
        </is>
      </c>
      <c r="C704" s="243" t="inlineStr">
        <is>
          <t>100-2-LoD-26</t>
        </is>
      </c>
      <c r="D704" s="245" t="n">
        <v>46121</v>
      </c>
      <c r="E704" s="243" t="inlineStr">
        <is>
          <t>FHM-K</t>
        </is>
      </c>
      <c r="F704" s="243" t="inlineStr">
        <is>
          <t>#6</t>
        </is>
      </c>
      <c r="G704" s="246" t="inlineStr">
        <is>
          <t>#6 Total CBN</t>
        </is>
      </c>
      <c r="H704" s="309" t="inlineStr">
        <is>
          <t>credit removed</t>
        </is>
      </c>
      <c r="I704" s="308" t="inlineStr">
        <is>
          <t>R1 Farmahem pair — loss-on-drying certificate; reports no such determination</t>
        </is>
      </c>
    </row>
    <row r="705">
      <c r="A705" s="244" t="inlineStr">
        <is>
          <t>J31112501</t>
        </is>
      </c>
      <c r="B705" s="243" t="inlineStr">
        <is>
          <t>P060202</t>
        </is>
      </c>
      <c r="C705" s="243" t="inlineStr">
        <is>
          <t>100-3-LoD-26</t>
        </is>
      </c>
      <c r="D705" s="245" t="n">
        <v>46121</v>
      </c>
      <c r="E705" s="243" t="inlineStr">
        <is>
          <t>FHM-K</t>
        </is>
      </c>
      <c r="F705" s="243" t="inlineStr">
        <is>
          <t>#6</t>
        </is>
      </c>
      <c r="G705" s="246" t="inlineStr">
        <is>
          <t>#6 Total CBN</t>
        </is>
      </c>
      <c r="H705" s="309" t="inlineStr">
        <is>
          <t>credit removed</t>
        </is>
      </c>
      <c r="I705" s="308" t="inlineStr">
        <is>
          <t>R1 Farmahem pair — loss-on-drying certificate; reports no such determination</t>
        </is>
      </c>
    </row>
    <row r="706">
      <c r="A706" s="244" t="inlineStr">
        <is>
          <t>J31112501</t>
        </is>
      </c>
      <c r="B706" s="243" t="inlineStr">
        <is>
          <t>P060202</t>
        </is>
      </c>
      <c r="C706" s="243" t="inlineStr">
        <is>
          <t>051-5-K-26</t>
        </is>
      </c>
      <c r="D706" s="245" t="n">
        <v>46085</v>
      </c>
      <c r="E706" s="243" t="inlineStr">
        <is>
          <t>FHM-K</t>
        </is>
      </c>
      <c r="F706" s="243" t="inlineStr">
        <is>
          <t>#8</t>
        </is>
      </c>
      <c r="G706" s="246" t="inlineStr">
        <is>
          <t>#8 Loss on Drying</t>
        </is>
      </c>
      <c r="H706" s="309" t="inlineStr">
        <is>
          <t>credit removed</t>
        </is>
      </c>
      <c r="I706" s="308" t="inlineStr">
        <is>
          <t>R1 Farmahem pair — cannabinoid certificate; loss on drying is on the LoD certificate</t>
        </is>
      </c>
    </row>
    <row r="707">
      <c r="A707" s="244" t="inlineStr">
        <is>
          <t>J31112501</t>
        </is>
      </c>
      <c r="B707" s="243" t="inlineStr">
        <is>
          <t>P060202</t>
        </is>
      </c>
      <c r="C707" s="243" t="inlineStr">
        <is>
          <t>100-1-K-26</t>
        </is>
      </c>
      <c r="D707" s="245" t="n">
        <v>46121</v>
      </c>
      <c r="E707" s="243" t="inlineStr">
        <is>
          <t>FHM-K</t>
        </is>
      </c>
      <c r="F707" s="243" t="inlineStr">
        <is>
          <t>#8</t>
        </is>
      </c>
      <c r="G707" s="246" t="inlineStr">
        <is>
          <t>#8 Loss on Drying</t>
        </is>
      </c>
      <c r="H707" s="309" t="inlineStr">
        <is>
          <t>credit removed</t>
        </is>
      </c>
      <c r="I707" s="308" t="inlineStr">
        <is>
          <t>R1 Farmahem pair — cannabinoid certificate; loss on drying is on the LoD certificate</t>
        </is>
      </c>
    </row>
    <row r="708">
      <c r="A708" s="244" t="inlineStr">
        <is>
          <t>J31122501</t>
        </is>
      </c>
      <c r="B708" s="243" t="inlineStr">
        <is>
          <t>P060262</t>
        </is>
      </c>
      <c r="C708" s="243" t="inlineStr">
        <is>
          <t>100-2-K-26</t>
        </is>
      </c>
      <c r="D708" s="245" t="n">
        <v>46121</v>
      </c>
      <c r="E708" s="243" t="inlineStr">
        <is>
          <t>FHM-K</t>
        </is>
      </c>
      <c r="F708" s="243" t="inlineStr">
        <is>
          <t>#8</t>
        </is>
      </c>
      <c r="G708" s="246" t="inlineStr">
        <is>
          <t>#8 Loss on Drying</t>
        </is>
      </c>
      <c r="H708" s="309" t="inlineStr">
        <is>
          <t>credit removed</t>
        </is>
      </c>
      <c r="I708" s="308" t="inlineStr">
        <is>
          <t>R1 Farmahem pair — cannabinoid certificate; loss on drying is on the LoD certificate</t>
        </is>
      </c>
    </row>
    <row r="709">
      <c r="A709" s="244" t="inlineStr">
        <is>
          <t>J31122501</t>
        </is>
      </c>
      <c r="B709" s="243" t="inlineStr">
        <is>
          <t>P060262</t>
        </is>
      </c>
      <c r="C709" s="243" t="inlineStr">
        <is>
          <t>100-3-K-26</t>
        </is>
      </c>
      <c r="D709" s="245" t="n">
        <v>46121</v>
      </c>
      <c r="E709" s="243" t="inlineStr">
        <is>
          <t>FHM-K</t>
        </is>
      </c>
      <c r="F709" s="243" t="inlineStr">
        <is>
          <t>#8</t>
        </is>
      </c>
      <c r="G709" s="246" t="inlineStr">
        <is>
          <t>#8 Loss on Drying</t>
        </is>
      </c>
      <c r="H709" s="309" t="inlineStr">
        <is>
          <t>credit removed</t>
        </is>
      </c>
      <c r="I709" s="308" t="inlineStr">
        <is>
          <t>R1 Farmahem pair — cannabinoid certificate; loss on drying is on the LoD certificate</t>
        </is>
      </c>
    </row>
    <row r="710">
      <c r="A710" s="244" t="inlineStr">
        <is>
          <t>JD112501</t>
        </is>
      </c>
      <c r="B710" s="243" t="inlineStr">
        <is>
          <t>P060212</t>
        </is>
      </c>
      <c r="C710" s="243" t="inlineStr">
        <is>
          <t>197-15-K-26</t>
        </is>
      </c>
      <c r="D710" s="245" t="n">
        <v>46241</v>
      </c>
      <c r="E710" s="243" t="inlineStr">
        <is>
          <t>FHM-K</t>
        </is>
      </c>
      <c r="F710" s="243" t="inlineStr">
        <is>
          <t>#8</t>
        </is>
      </c>
      <c r="G710" s="246" t="inlineStr">
        <is>
          <t>#8 Loss on Drying</t>
        </is>
      </c>
      <c r="H710" s="309" t="inlineStr">
        <is>
          <t>credit removed</t>
        </is>
      </c>
      <c r="I710" s="308" t="inlineStr">
        <is>
          <t>R1 Farmahem pair — cannabinoid certificate; loss on drying is on the LoD certificate</t>
        </is>
      </c>
    </row>
    <row r="711">
      <c r="A711" s="244" t="inlineStr">
        <is>
          <t>KC102501</t>
        </is>
      </c>
      <c r="B711" s="243" t="inlineStr">
        <is>
          <t>P060172</t>
        </is>
      </c>
      <c r="C711" s="243" t="inlineStr">
        <is>
          <t>051-4-LoD-26</t>
        </is>
      </c>
      <c r="D711" s="245" t="n">
        <v>46083</v>
      </c>
      <c r="E711" s="243" t="inlineStr">
        <is>
          <t>FHM-K</t>
        </is>
      </c>
      <c r="F711" s="243" t="inlineStr">
        <is>
          <t>#3</t>
        </is>
      </c>
      <c r="G711" s="246" t="inlineStr">
        <is>
          <t>#3 Identification C</t>
        </is>
      </c>
      <c r="H711" s="309" t="inlineStr">
        <is>
          <t>credit removed</t>
        </is>
      </c>
      <c r="I711" s="308" t="inlineStr">
        <is>
          <t>R1 Farmahem pair — loss-on-drying certificate; reports no such determination</t>
        </is>
      </c>
    </row>
    <row r="712">
      <c r="A712" s="244" t="inlineStr">
        <is>
          <t>KC102501</t>
        </is>
      </c>
      <c r="B712" s="243" t="inlineStr">
        <is>
          <t>P060172</t>
        </is>
      </c>
      <c r="C712" s="243" t="inlineStr">
        <is>
          <t>051-4-LoD-26</t>
        </is>
      </c>
      <c r="D712" s="245" t="n">
        <v>46083</v>
      </c>
      <c r="E712" s="243" t="inlineStr">
        <is>
          <t>FHM-K</t>
        </is>
      </c>
      <c r="F712" s="243" t="inlineStr">
        <is>
          <t>#4</t>
        </is>
      </c>
      <c r="G712" s="246" t="inlineStr">
        <is>
          <t>#4 Assay — Total Δ⁹-THC*</t>
        </is>
      </c>
      <c r="H712" s="309" t="inlineStr">
        <is>
          <t>credit removed</t>
        </is>
      </c>
      <c r="I712" s="308" t="inlineStr">
        <is>
          <t>R1 Farmahem pair — loss-on-drying certificate; reports no such determination</t>
        </is>
      </c>
    </row>
    <row r="713">
      <c r="A713" s="244" t="inlineStr">
        <is>
          <t>KC102501</t>
        </is>
      </c>
      <c r="B713" s="243" t="inlineStr">
        <is>
          <t>P060172</t>
        </is>
      </c>
      <c r="C713" s="243" t="inlineStr">
        <is>
          <t>051-4-LoD-26</t>
        </is>
      </c>
      <c r="D713" s="245" t="n">
        <v>46083</v>
      </c>
      <c r="E713" s="243" t="inlineStr">
        <is>
          <t>FHM-K</t>
        </is>
      </c>
      <c r="F713" s="243" t="inlineStr">
        <is>
          <t>#5</t>
        </is>
      </c>
      <c r="G713" s="246" t="inlineStr">
        <is>
          <t>#5 Assay — Total CBD</t>
        </is>
      </c>
      <c r="H713" s="309" t="inlineStr">
        <is>
          <t>credit removed</t>
        </is>
      </c>
      <c r="I713" s="308" t="inlineStr">
        <is>
          <t>R1 Farmahem pair — loss-on-drying certificate; reports no such determination</t>
        </is>
      </c>
    </row>
    <row r="714">
      <c r="A714" s="244" t="inlineStr">
        <is>
          <t>KC102501</t>
        </is>
      </c>
      <c r="B714" s="243" t="inlineStr">
        <is>
          <t>P060172</t>
        </is>
      </c>
      <c r="C714" s="243" t="inlineStr">
        <is>
          <t>051-4-LoD-26</t>
        </is>
      </c>
      <c r="D714" s="245" t="n">
        <v>46083</v>
      </c>
      <c r="E714" s="243" t="inlineStr">
        <is>
          <t>FHM-K</t>
        </is>
      </c>
      <c r="F714" s="243" t="inlineStr">
        <is>
          <t>#6</t>
        </is>
      </c>
      <c r="G714" s="246" t="inlineStr">
        <is>
          <t>#6 Total CBN</t>
        </is>
      </c>
      <c r="H714" s="309" t="inlineStr">
        <is>
          <t>credit removed</t>
        </is>
      </c>
      <c r="I714" s="308" t="inlineStr">
        <is>
          <t>R1 Farmahem pair — loss-on-drying certificate; reports no such determination</t>
        </is>
      </c>
    </row>
    <row r="715">
      <c r="A715" s="244" t="inlineStr">
        <is>
          <t>KC102501</t>
        </is>
      </c>
      <c r="B715" s="243" t="inlineStr">
        <is>
          <t>P060172</t>
        </is>
      </c>
      <c r="C715" s="243" t="inlineStr">
        <is>
          <t>051-4-K-26</t>
        </is>
      </c>
      <c r="D715" s="245" t="n">
        <v>46085</v>
      </c>
      <c r="E715" s="243" t="inlineStr">
        <is>
          <t>FHM-K</t>
        </is>
      </c>
      <c r="F715" s="243" t="inlineStr">
        <is>
          <t>#8</t>
        </is>
      </c>
      <c r="G715" s="246" t="inlineStr">
        <is>
          <t>#8 Loss on Drying</t>
        </is>
      </c>
      <c r="H715" s="309" t="inlineStr">
        <is>
          <t>credit removed</t>
        </is>
      </c>
      <c r="I715" s="308" t="inlineStr">
        <is>
          <t>R1 Farmahem pair — cannabinoid certificate; loss on drying is on the LoD certificate</t>
        </is>
      </c>
    </row>
    <row r="716">
      <c r="A716" s="244" t="inlineStr">
        <is>
          <t>OPM1024</t>
        </is>
      </c>
      <c r="B716" s="243" t="inlineStr">
        <is>
          <t>N/A — no P batch assigned</t>
        </is>
      </c>
      <c r="C716" s="243" t="inlineStr">
        <is>
          <t>197-17-K-26</t>
        </is>
      </c>
      <c r="D716" s="245" t="n">
        <v>46241</v>
      </c>
      <c r="E716" s="243" t="inlineStr">
        <is>
          <t>FHM-K</t>
        </is>
      </c>
      <c r="F716" s="243" t="inlineStr">
        <is>
          <t>#8</t>
        </is>
      </c>
      <c r="G716" s="246" t="inlineStr">
        <is>
          <t>#8 Loss on Drying</t>
        </is>
      </c>
      <c r="H716" s="309" t="inlineStr">
        <is>
          <t>credit removed</t>
        </is>
      </c>
      <c r="I716" s="308" t="inlineStr">
        <is>
          <t>R1 Farmahem pair — cannabinoid certificate; loss on drying is on the LoD certificate</t>
        </is>
      </c>
    </row>
    <row r="717">
      <c r="A717" s="244" t="inlineStr">
        <is>
          <t>OPM1024_02</t>
        </is>
      </c>
      <c r="B717" s="243" t="inlineStr">
        <is>
          <t>P050062</t>
        </is>
      </c>
      <c r="C717" s="243" t="inlineStr">
        <is>
          <t>197-18-K-26</t>
        </is>
      </c>
      <c r="D717" s="245" t="n">
        <v>46241</v>
      </c>
      <c r="E717" s="243" t="inlineStr">
        <is>
          <t>FHM-K</t>
        </is>
      </c>
      <c r="F717" s="243" t="inlineStr">
        <is>
          <t>#8</t>
        </is>
      </c>
      <c r="G717" s="246" t="inlineStr">
        <is>
          <t>#8 Loss on Drying</t>
        </is>
      </c>
      <c r="H717" s="309" t="inlineStr">
        <is>
          <t>credit removed</t>
        </is>
      </c>
      <c r="I717" s="308" t="inlineStr">
        <is>
          <t>R1 Farmahem pair — cannabinoid certificate; loss on drying is on the LoD certificate</t>
        </is>
      </c>
    </row>
    <row r="718">
      <c r="A718" s="244" t="inlineStr">
        <is>
          <t>OPM122501</t>
        </is>
      </c>
      <c r="B718" s="243" t="inlineStr">
        <is>
          <t>P060242</t>
        </is>
      </c>
      <c r="C718" s="243" t="inlineStr">
        <is>
          <t>100-4-LoD-26</t>
        </is>
      </c>
      <c r="D718" s="245" t="n">
        <v>46121</v>
      </c>
      <c r="E718" s="243" t="inlineStr">
        <is>
          <t>FHM-K</t>
        </is>
      </c>
      <c r="F718" s="243" t="inlineStr">
        <is>
          <t>#3</t>
        </is>
      </c>
      <c r="G718" s="246" t="inlineStr">
        <is>
          <t>#3 Identification C</t>
        </is>
      </c>
      <c r="H718" s="309" t="inlineStr">
        <is>
          <t>credit removed</t>
        </is>
      </c>
      <c r="I718" s="308" t="inlineStr">
        <is>
          <t>R1 Farmahem pair — loss-on-drying certificate; reports no such determination</t>
        </is>
      </c>
    </row>
    <row r="719">
      <c r="A719" s="244" t="inlineStr">
        <is>
          <t>OPM122501</t>
        </is>
      </c>
      <c r="B719" s="243" t="inlineStr">
        <is>
          <t>P060242</t>
        </is>
      </c>
      <c r="C719" s="243" t="inlineStr">
        <is>
          <t>100-4-LoD-26</t>
        </is>
      </c>
      <c r="D719" s="245" t="n">
        <v>46121</v>
      </c>
      <c r="E719" s="243" t="inlineStr">
        <is>
          <t>FHM-K</t>
        </is>
      </c>
      <c r="F719" s="243" t="inlineStr">
        <is>
          <t>#4</t>
        </is>
      </c>
      <c r="G719" s="246" t="inlineStr">
        <is>
          <t>#4 Assay — Total Δ⁹-THC*</t>
        </is>
      </c>
      <c r="H719" s="309" t="inlineStr">
        <is>
          <t>credit removed</t>
        </is>
      </c>
      <c r="I719" s="308" t="inlineStr">
        <is>
          <t>R1 Farmahem pair — loss-on-drying certificate; reports no such determination</t>
        </is>
      </c>
    </row>
    <row r="720">
      <c r="A720" s="244" t="inlineStr">
        <is>
          <t>OPM122501</t>
        </is>
      </c>
      <c r="B720" s="243" t="inlineStr">
        <is>
          <t>P060242</t>
        </is>
      </c>
      <c r="C720" s="243" t="inlineStr">
        <is>
          <t>100-4-LoD-26</t>
        </is>
      </c>
      <c r="D720" s="245" t="n">
        <v>46121</v>
      </c>
      <c r="E720" s="243" t="inlineStr">
        <is>
          <t>FHM-K</t>
        </is>
      </c>
      <c r="F720" s="243" t="inlineStr">
        <is>
          <t>#5</t>
        </is>
      </c>
      <c r="G720" s="246" t="inlineStr">
        <is>
          <t>#5 Assay — Total CBD</t>
        </is>
      </c>
      <c r="H720" s="309" t="inlineStr">
        <is>
          <t>credit removed</t>
        </is>
      </c>
      <c r="I720" s="308" t="inlineStr">
        <is>
          <t>R1 Farmahem pair — loss-on-drying certificate; reports no such determination</t>
        </is>
      </c>
    </row>
    <row r="721">
      <c r="A721" s="244" t="inlineStr">
        <is>
          <t>OPM122501</t>
        </is>
      </c>
      <c r="B721" s="243" t="inlineStr">
        <is>
          <t>P060242</t>
        </is>
      </c>
      <c r="C721" s="243" t="inlineStr">
        <is>
          <t>100-4-LoD-26</t>
        </is>
      </c>
      <c r="D721" s="245" t="n">
        <v>46121</v>
      </c>
      <c r="E721" s="243" t="inlineStr">
        <is>
          <t>FHM-K</t>
        </is>
      </c>
      <c r="F721" s="243" t="inlineStr">
        <is>
          <t>#6</t>
        </is>
      </c>
      <c r="G721" s="246" t="inlineStr">
        <is>
          <t>#6 Total CBN</t>
        </is>
      </c>
      <c r="H721" s="309" t="inlineStr">
        <is>
          <t>credit removed</t>
        </is>
      </c>
      <c r="I721" s="308" t="inlineStr">
        <is>
          <t>R1 Farmahem pair — loss-on-drying certificate; reports no such determination</t>
        </is>
      </c>
    </row>
    <row r="722">
      <c r="A722" s="244" t="inlineStr">
        <is>
          <t>OPM122501</t>
        </is>
      </c>
      <c r="B722" s="243" t="inlineStr">
        <is>
          <t>P060242</t>
        </is>
      </c>
      <c r="C722" s="243" t="inlineStr">
        <is>
          <t>100-4-K-26</t>
        </is>
      </c>
      <c r="D722" s="245" t="n">
        <v>46121</v>
      </c>
      <c r="E722" s="243" t="inlineStr">
        <is>
          <t>FHM-K</t>
        </is>
      </c>
      <c r="F722" s="243" t="inlineStr">
        <is>
          <t>#8</t>
        </is>
      </c>
      <c r="G722" s="246" t="inlineStr">
        <is>
          <t>#8 Loss on Drying</t>
        </is>
      </c>
      <c r="H722" s="309" t="inlineStr">
        <is>
          <t>credit removed</t>
        </is>
      </c>
      <c r="I722" s="308" t="inlineStr">
        <is>
          <t>R1 Farmahem pair — cannabinoid certificate; loss on drying is on the LoD certificate</t>
        </is>
      </c>
    </row>
    <row r="723">
      <c r="A723" s="244" t="inlineStr">
        <is>
          <t>OPM122501</t>
        </is>
      </c>
      <c r="B723" s="243" t="inlineStr">
        <is>
          <t>P060242</t>
        </is>
      </c>
      <c r="C723" s="243" t="inlineStr">
        <is>
          <t>197-19-K-26</t>
        </is>
      </c>
      <c r="D723" s="245" t="n">
        <v>46241</v>
      </c>
      <c r="E723" s="243" t="inlineStr">
        <is>
          <t>FHM-K</t>
        </is>
      </c>
      <c r="F723" s="243" t="inlineStr">
        <is>
          <t>#8</t>
        </is>
      </c>
      <c r="G723" s="246" t="inlineStr">
        <is>
          <t>#8 Loss on Drying</t>
        </is>
      </c>
      <c r="H723" s="309" t="inlineStr">
        <is>
          <t>credit removed</t>
        </is>
      </c>
      <c r="I723" s="308" t="inlineStr">
        <is>
          <t>R1 Farmahem pair — cannabinoid certificate; loss on drying is on the LoD certificate</t>
        </is>
      </c>
    </row>
    <row r="724">
      <c r="A724" s="244" t="inlineStr">
        <is>
          <t>PM092501</t>
        </is>
      </c>
      <c r="B724" s="243" t="inlineStr">
        <is>
          <t>P060062</t>
        </is>
      </c>
      <c r="C724" s="243" t="inlineStr">
        <is>
          <t>197-20-K-26</t>
        </is>
      </c>
      <c r="D724" s="245" t="n">
        <v>46241</v>
      </c>
      <c r="E724" s="243" t="inlineStr">
        <is>
          <t>FHM-K</t>
        </is>
      </c>
      <c r="F724" s="243" t="inlineStr">
        <is>
          <t>#8</t>
        </is>
      </c>
      <c r="G724" s="246" t="inlineStr">
        <is>
          <t>#8 Loss on Drying</t>
        </is>
      </c>
      <c r="H724" s="309" t="inlineStr">
        <is>
          <t>credit removed</t>
        </is>
      </c>
      <c r="I724" s="308" t="inlineStr">
        <is>
          <t>R1 Farmahem pair — cannabinoid certificate; loss on drying is on the LoD certificate</t>
        </is>
      </c>
    </row>
    <row r="725">
      <c r="A725" s="244" t="inlineStr">
        <is>
          <t>SCR012603</t>
        </is>
      </c>
      <c r="B725" s="243" t="inlineStr">
        <is>
          <t>P060382</t>
        </is>
      </c>
      <c r="C725" s="243" t="inlineStr">
        <is>
          <t>197-21-K-26</t>
        </is>
      </c>
      <c r="D725" s="245" t="n">
        <v>46241</v>
      </c>
      <c r="E725" s="243" t="inlineStr">
        <is>
          <t>FHM-K</t>
        </is>
      </c>
      <c r="F725" s="243" t="inlineStr">
        <is>
          <t>#8</t>
        </is>
      </c>
      <c r="G725" s="246" t="inlineStr">
        <is>
          <t>#8 Loss on Drying</t>
        </is>
      </c>
      <c r="H725" s="309" t="inlineStr">
        <is>
          <t>credit removed</t>
        </is>
      </c>
      <c r="I725" s="308" t="inlineStr">
        <is>
          <t>R1 Farmahem pair — cannabinoid certificate; loss on drying is on the LoD certificate</t>
        </is>
      </c>
    </row>
    <row r="726">
      <c r="A726" s="244" t="inlineStr">
        <is>
          <t>SJ102501</t>
        </is>
      </c>
      <c r="B726" s="243" t="inlineStr">
        <is>
          <t>P060162</t>
        </is>
      </c>
      <c r="C726" s="243" t="inlineStr">
        <is>
          <t>051-3-LoD-26</t>
        </is>
      </c>
      <c r="D726" s="245" t="n">
        <v>46083</v>
      </c>
      <c r="E726" s="243" t="inlineStr">
        <is>
          <t>FHM-K</t>
        </is>
      </c>
      <c r="F726" s="243" t="inlineStr">
        <is>
          <t>#3</t>
        </is>
      </c>
      <c r="G726" s="246" t="inlineStr">
        <is>
          <t>#3 Identification C</t>
        </is>
      </c>
      <c r="H726" s="309" t="inlineStr">
        <is>
          <t>credit removed</t>
        </is>
      </c>
      <c r="I726" s="308" t="inlineStr">
        <is>
          <t>R1 Farmahem pair — loss-on-drying certificate; reports no such determination</t>
        </is>
      </c>
    </row>
    <row r="727">
      <c r="A727" s="244" t="inlineStr">
        <is>
          <t>SJ102501</t>
        </is>
      </c>
      <c r="B727" s="243" t="inlineStr">
        <is>
          <t>P060162</t>
        </is>
      </c>
      <c r="C727" s="243" t="inlineStr">
        <is>
          <t>051-3-LoD-26</t>
        </is>
      </c>
      <c r="D727" s="245" t="n">
        <v>46083</v>
      </c>
      <c r="E727" s="243" t="inlineStr">
        <is>
          <t>FHM-K</t>
        </is>
      </c>
      <c r="F727" s="243" t="inlineStr">
        <is>
          <t>#4</t>
        </is>
      </c>
      <c r="G727" s="246" t="inlineStr">
        <is>
          <t>#4 Assay — Total Δ⁹-THC*</t>
        </is>
      </c>
      <c r="H727" s="309" t="inlineStr">
        <is>
          <t>credit removed</t>
        </is>
      </c>
      <c r="I727" s="308" t="inlineStr">
        <is>
          <t>R1 Farmahem pair — loss-on-drying certificate; reports no such determination</t>
        </is>
      </c>
    </row>
    <row r="728">
      <c r="A728" s="244" t="inlineStr">
        <is>
          <t>SJ102501</t>
        </is>
      </c>
      <c r="B728" s="243" t="inlineStr">
        <is>
          <t>P060162</t>
        </is>
      </c>
      <c r="C728" s="243" t="inlineStr">
        <is>
          <t>051-3-LoD-26</t>
        </is>
      </c>
      <c r="D728" s="245" t="n">
        <v>46083</v>
      </c>
      <c r="E728" s="243" t="inlineStr">
        <is>
          <t>FHM-K</t>
        </is>
      </c>
      <c r="F728" s="243" t="inlineStr">
        <is>
          <t>#5</t>
        </is>
      </c>
      <c r="G728" s="246" t="inlineStr">
        <is>
          <t>#5 Assay — Total CBD</t>
        </is>
      </c>
      <c r="H728" s="309" t="inlineStr">
        <is>
          <t>credit removed</t>
        </is>
      </c>
      <c r="I728" s="308" t="inlineStr">
        <is>
          <t>R1 Farmahem pair — loss-on-drying certificate; reports no such determination</t>
        </is>
      </c>
    </row>
    <row r="729">
      <c r="A729" s="244" t="inlineStr">
        <is>
          <t>SJ102501</t>
        </is>
      </c>
      <c r="B729" s="243" t="inlineStr">
        <is>
          <t>P060162</t>
        </is>
      </c>
      <c r="C729" s="243" t="inlineStr">
        <is>
          <t>051-3-LoD-26</t>
        </is>
      </c>
      <c r="D729" s="245" t="n">
        <v>46083</v>
      </c>
      <c r="E729" s="243" t="inlineStr">
        <is>
          <t>FHM-K</t>
        </is>
      </c>
      <c r="F729" s="243" t="inlineStr">
        <is>
          <t>#6</t>
        </is>
      </c>
      <c r="G729" s="246" t="inlineStr">
        <is>
          <t>#6 Total CBN</t>
        </is>
      </c>
      <c r="H729" s="309" t="inlineStr">
        <is>
          <t>credit removed</t>
        </is>
      </c>
      <c r="I729" s="308" t="inlineStr">
        <is>
          <t>R1 Farmahem pair — loss-on-drying certificate; reports no such determination</t>
        </is>
      </c>
    </row>
    <row r="730">
      <c r="A730" s="244" t="inlineStr">
        <is>
          <t>SJ102501</t>
        </is>
      </c>
      <c r="B730" s="243" t="inlineStr">
        <is>
          <t>P060162</t>
        </is>
      </c>
      <c r="C730" s="243" t="inlineStr">
        <is>
          <t>051-3-K-26</t>
        </is>
      </c>
      <c r="D730" s="245" t="n">
        <v>46085</v>
      </c>
      <c r="E730" s="243" t="inlineStr">
        <is>
          <t>FHM-K</t>
        </is>
      </c>
      <c r="F730" s="243" t="inlineStr">
        <is>
          <t>#8</t>
        </is>
      </c>
      <c r="G730" s="246" t="inlineStr">
        <is>
          <t>#8 Loss on Drying</t>
        </is>
      </c>
      <c r="H730" s="309" t="inlineStr">
        <is>
          <t>credit removed</t>
        </is>
      </c>
      <c r="I730" s="308" t="inlineStr">
        <is>
          <t>R1 Farmahem pair — cannabinoid certificate; loss on drying is on the LoD certificate</t>
        </is>
      </c>
    </row>
    <row r="731">
      <c r="A731" s="244" t="inlineStr">
        <is>
          <t>SJ112501</t>
        </is>
      </c>
      <c r="B731" s="243" t="inlineStr">
        <is>
          <t>P060192</t>
        </is>
      </c>
      <c r="C731" s="243" t="inlineStr">
        <is>
          <t>051-2-LoD-26</t>
        </is>
      </c>
      <c r="D731" s="245" t="n">
        <v>46083</v>
      </c>
      <c r="E731" s="243" t="inlineStr">
        <is>
          <t>FHM-K</t>
        </is>
      </c>
      <c r="F731" s="243" t="inlineStr">
        <is>
          <t>#3</t>
        </is>
      </c>
      <c r="G731" s="246" t="inlineStr">
        <is>
          <t>#3 Identification C</t>
        </is>
      </c>
      <c r="H731" s="309" t="inlineStr">
        <is>
          <t>credit removed</t>
        </is>
      </c>
      <c r="I731" s="308" t="inlineStr">
        <is>
          <t>R1 Farmahem pair — loss-on-drying certificate; reports no such determination</t>
        </is>
      </c>
    </row>
    <row r="732">
      <c r="A732" s="244" t="inlineStr">
        <is>
          <t>SJ112501</t>
        </is>
      </c>
      <c r="B732" s="243" t="inlineStr">
        <is>
          <t>P060192</t>
        </is>
      </c>
      <c r="C732" s="243" t="inlineStr">
        <is>
          <t>051-2-LoD-26</t>
        </is>
      </c>
      <c r="D732" s="245" t="n">
        <v>46083</v>
      </c>
      <c r="E732" s="243" t="inlineStr">
        <is>
          <t>FHM-K</t>
        </is>
      </c>
      <c r="F732" s="243" t="inlineStr">
        <is>
          <t>#4</t>
        </is>
      </c>
      <c r="G732" s="246" t="inlineStr">
        <is>
          <t>#4 Assay — Total Δ⁹-THC*</t>
        </is>
      </c>
      <c r="H732" s="309" t="inlineStr">
        <is>
          <t>credit removed</t>
        </is>
      </c>
      <c r="I732" s="308" t="inlineStr">
        <is>
          <t>R1 Farmahem pair — loss-on-drying certificate; reports no such determination</t>
        </is>
      </c>
    </row>
    <row r="733">
      <c r="A733" s="244" t="inlineStr">
        <is>
          <t>SJ112501</t>
        </is>
      </c>
      <c r="B733" s="243" t="inlineStr">
        <is>
          <t>P060192</t>
        </is>
      </c>
      <c r="C733" s="243" t="inlineStr">
        <is>
          <t>051-2-LoD-26</t>
        </is>
      </c>
      <c r="D733" s="245" t="n">
        <v>46083</v>
      </c>
      <c r="E733" s="243" t="inlineStr">
        <is>
          <t>FHM-K</t>
        </is>
      </c>
      <c r="F733" s="243" t="inlineStr">
        <is>
          <t>#5</t>
        </is>
      </c>
      <c r="G733" s="246" t="inlineStr">
        <is>
          <t>#5 Assay — Total CBD</t>
        </is>
      </c>
      <c r="H733" s="309" t="inlineStr">
        <is>
          <t>credit removed</t>
        </is>
      </c>
      <c r="I733" s="308" t="inlineStr">
        <is>
          <t>R1 Farmahem pair — loss-on-drying certificate; reports no such determination</t>
        </is>
      </c>
    </row>
    <row r="734">
      <c r="A734" s="244" t="inlineStr">
        <is>
          <t>SJ112501</t>
        </is>
      </c>
      <c r="B734" s="243" t="inlineStr">
        <is>
          <t>P060192</t>
        </is>
      </c>
      <c r="C734" s="243" t="inlineStr">
        <is>
          <t>051-2-LoD-26</t>
        </is>
      </c>
      <c r="D734" s="245" t="n">
        <v>46083</v>
      </c>
      <c r="E734" s="243" t="inlineStr">
        <is>
          <t>FHM-K</t>
        </is>
      </c>
      <c r="F734" s="243" t="inlineStr">
        <is>
          <t>#6</t>
        </is>
      </c>
      <c r="G734" s="246" t="inlineStr">
        <is>
          <t>#6 Total CBN</t>
        </is>
      </c>
      <c r="H734" s="309" t="inlineStr">
        <is>
          <t>credit removed</t>
        </is>
      </c>
      <c r="I734" s="308" t="inlineStr">
        <is>
          <t>R1 Farmahem pair — loss-on-drying certificate; reports no such determination</t>
        </is>
      </c>
    </row>
    <row r="735">
      <c r="A735" s="244" t="inlineStr">
        <is>
          <t>SJ112501</t>
        </is>
      </c>
      <c r="B735" s="243" t="inlineStr">
        <is>
          <t>P060192</t>
        </is>
      </c>
      <c r="C735" s="243" t="inlineStr">
        <is>
          <t>051-2-K-26</t>
        </is>
      </c>
      <c r="D735" s="245" t="n">
        <v>46085</v>
      </c>
      <c r="E735" s="243" t="inlineStr">
        <is>
          <t>FHM-K</t>
        </is>
      </c>
      <c r="F735" s="243" t="inlineStr">
        <is>
          <t>#8</t>
        </is>
      </c>
      <c r="G735" s="246" t="inlineStr">
        <is>
          <t>#8 Loss on Drying</t>
        </is>
      </c>
      <c r="H735" s="309" t="inlineStr">
        <is>
          <t>credit removed</t>
        </is>
      </c>
      <c r="I735" s="308" t="inlineStr">
        <is>
          <t>R1 Farmahem pair — cannabinoid certificate; loss on drying is on the LoD certificate</t>
        </is>
      </c>
    </row>
    <row r="736">
      <c r="A736" s="244" t="inlineStr">
        <is>
          <t>AB092501</t>
        </is>
      </c>
      <c r="B736" s="243" t="inlineStr">
        <is>
          <t>P060052</t>
        </is>
      </c>
      <c r="C736" s="243" t="inlineStr">
        <is>
          <t>ППК26005</t>
        </is>
      </c>
      <c r="D736" s="245" t="n">
        <v>46043</v>
      </c>
      <c r="E736" s="243" t="inlineStr">
        <is>
          <t>CNP</t>
        </is>
      </c>
      <c r="F736" s="243" t="inlineStr">
        <is>
          <t>#2</t>
        </is>
      </c>
      <c r="G736" s="246" t="inlineStr">
        <is>
          <t>#2 Identification B</t>
        </is>
      </c>
      <c r="H736" s="309" t="inlineStr">
        <is>
          <t>credit removed</t>
        </is>
      </c>
      <c r="I736" s="308" t="inlineStr">
        <is>
          <t>R2 CNP identification B — no microscopy row on this certificate</t>
        </is>
      </c>
    </row>
    <row r="737">
      <c r="A737" s="244" t="inlineStr">
        <is>
          <t>BG1024</t>
        </is>
      </c>
      <c r="B737" s="243" t="inlineStr">
        <is>
          <t>N/A — no P batch assigned</t>
        </is>
      </c>
      <c r="C737" s="243" t="inlineStr">
        <is>
          <t>ППК25050</t>
        </is>
      </c>
      <c r="D737" s="245" t="n">
        <v>45714</v>
      </c>
      <c r="E737" s="243" t="inlineStr">
        <is>
          <t>CNP</t>
        </is>
      </c>
      <c r="F737" s="243" t="inlineStr">
        <is>
          <t>#2</t>
        </is>
      </c>
      <c r="G737" s="246" t="inlineStr">
        <is>
          <t>#2 Identification B</t>
        </is>
      </c>
      <c r="H737" s="309" t="inlineStr">
        <is>
          <t>credit removed</t>
        </is>
      </c>
      <c r="I737" s="308" t="inlineStr">
        <is>
          <t>R2 CNP identification B — no microscopy row on this certificate</t>
        </is>
      </c>
    </row>
    <row r="738">
      <c r="A738" s="244" t="inlineStr">
        <is>
          <t>BSS1024</t>
        </is>
      </c>
      <c r="B738" s="243" t="inlineStr">
        <is>
          <t>N/A — no P batch assigned</t>
        </is>
      </c>
      <c r="C738" s="243" t="inlineStr">
        <is>
          <t>ППК25051</t>
        </is>
      </c>
      <c r="D738" s="245" t="n">
        <v>45714</v>
      </c>
      <c r="E738" s="243" t="inlineStr">
        <is>
          <t>CNP</t>
        </is>
      </c>
      <c r="F738" s="243" t="inlineStr">
        <is>
          <t>#2</t>
        </is>
      </c>
      <c r="G738" s="246" t="inlineStr">
        <is>
          <t>#2 Identification B</t>
        </is>
      </c>
      <c r="H738" s="309" t="inlineStr">
        <is>
          <t>credit removed</t>
        </is>
      </c>
      <c r="I738" s="308" t="inlineStr">
        <is>
          <t>R2 CNP identification B — no microscopy row on this certificate</t>
        </is>
      </c>
    </row>
    <row r="739">
      <c r="A739" s="244" t="inlineStr">
        <is>
          <t>BSS1024_01/1</t>
        </is>
      </c>
      <c r="B739" s="243" t="inlineStr">
        <is>
          <t>P050122</t>
        </is>
      </c>
      <c r="C739" s="243" t="inlineStr">
        <is>
          <t>ППК25176</t>
        </is>
      </c>
      <c r="D739" s="245" t="n">
        <v>45848</v>
      </c>
      <c r="E739" s="243" t="inlineStr">
        <is>
          <t>CNP</t>
        </is>
      </c>
      <c r="F739" s="243" t="inlineStr">
        <is>
          <t>#2</t>
        </is>
      </c>
      <c r="G739" s="246" t="inlineStr">
        <is>
          <t>#2 Identification B</t>
        </is>
      </c>
      <c r="H739" s="309" t="inlineStr">
        <is>
          <t>credit removed</t>
        </is>
      </c>
      <c r="I739" s="308" t="inlineStr">
        <is>
          <t>R2 CNP identification B — no microscopy row on this certificate</t>
        </is>
      </c>
    </row>
    <row r="740">
      <c r="A740" s="244" t="inlineStr">
        <is>
          <t>CC112501</t>
        </is>
      </c>
      <c r="B740" s="243" t="inlineStr">
        <is>
          <t>P060272</t>
        </is>
      </c>
      <c r="C740" s="243" t="inlineStr">
        <is>
          <t>ППК26068</t>
        </is>
      </c>
      <c r="D740" s="245" t="n">
        <v>46153</v>
      </c>
      <c r="E740" s="243" t="inlineStr">
        <is>
          <t>CNP</t>
        </is>
      </c>
      <c r="F740" s="243" t="inlineStr">
        <is>
          <t>#2</t>
        </is>
      </c>
      <c r="G740" s="246" t="inlineStr">
        <is>
          <t>#2 Identification B</t>
        </is>
      </c>
      <c r="H740" s="309" t="inlineStr">
        <is>
          <t>credit removed</t>
        </is>
      </c>
      <c r="I740" s="308" t="inlineStr">
        <is>
          <t>R2 CNP identification B — no microscopy row on this certificate</t>
        </is>
      </c>
    </row>
    <row r="741">
      <c r="A741" s="244" t="inlineStr">
        <is>
          <t>CJ052501/01</t>
        </is>
      </c>
      <c r="B741" s="243" t="inlineStr">
        <is>
          <t>P050162</t>
        </is>
      </c>
      <c r="C741" s="243" t="inlineStr">
        <is>
          <t>ППК25280</t>
        </is>
      </c>
      <c r="D741" s="245" t="n">
        <v>45917</v>
      </c>
      <c r="E741" s="243" t="inlineStr">
        <is>
          <t>CNP</t>
        </is>
      </c>
      <c r="F741" s="243" t="inlineStr">
        <is>
          <t>#2</t>
        </is>
      </c>
      <c r="G741" s="246" t="inlineStr">
        <is>
          <t>#2 Identification B</t>
        </is>
      </c>
      <c r="H741" s="309" t="inlineStr">
        <is>
          <t>credit removed</t>
        </is>
      </c>
      <c r="I741" s="308" t="inlineStr">
        <is>
          <t>R2 CNP identification B — no microscopy row on this certificate</t>
        </is>
      </c>
    </row>
    <row r="742">
      <c r="A742" s="244" t="inlineStr">
        <is>
          <t>CJ052501/02</t>
        </is>
      </c>
      <c r="B742" s="243" t="inlineStr">
        <is>
          <t>P050172</t>
        </is>
      </c>
      <c r="C742" s="243" t="inlineStr">
        <is>
          <t>ППК25281</t>
        </is>
      </c>
      <c r="D742" s="245" t="n">
        <v>45917</v>
      </c>
      <c r="E742" s="243" t="inlineStr">
        <is>
          <t>CNP</t>
        </is>
      </c>
      <c r="F742" s="243" t="inlineStr">
        <is>
          <t>#2</t>
        </is>
      </c>
      <c r="G742" s="246" t="inlineStr">
        <is>
          <t>#2 Identification B</t>
        </is>
      </c>
      <c r="H742" s="309" t="inlineStr">
        <is>
          <t>credit removed</t>
        </is>
      </c>
      <c r="I742" s="308" t="inlineStr">
        <is>
          <t>R2 CNP identification B — no microscopy row on this certificate</t>
        </is>
      </c>
    </row>
    <row r="743">
      <c r="A743" s="244" t="inlineStr">
        <is>
          <t>CJ062501/1</t>
        </is>
      </c>
      <c r="B743" s="243" t="inlineStr">
        <is>
          <t>P050222</t>
        </is>
      </c>
      <c r="C743" s="243" t="inlineStr">
        <is>
          <t>ППК25321</t>
        </is>
      </c>
      <c r="D743" s="245" t="n">
        <v>45953</v>
      </c>
      <c r="E743" s="243" t="inlineStr">
        <is>
          <t>CNP</t>
        </is>
      </c>
      <c r="F743" s="243" t="inlineStr">
        <is>
          <t>#2</t>
        </is>
      </c>
      <c r="G743" s="246" t="inlineStr">
        <is>
          <t>#2 Identification B</t>
        </is>
      </c>
      <c r="H743" s="309" t="inlineStr">
        <is>
          <t>credit removed</t>
        </is>
      </c>
      <c r="I743" s="308" t="inlineStr">
        <is>
          <t>R2 CNP identification B — no microscopy row on this certificate</t>
        </is>
      </c>
    </row>
    <row r="744">
      <c r="A744" s="244" t="inlineStr">
        <is>
          <t>CJ062501/2</t>
        </is>
      </c>
      <c r="B744" s="243" t="inlineStr">
        <is>
          <t>P050212</t>
        </is>
      </c>
      <c r="C744" s="243" t="inlineStr">
        <is>
          <t>ППК25322</t>
        </is>
      </c>
      <c r="D744" s="245" t="n">
        <v>45953</v>
      </c>
      <c r="E744" s="243" t="inlineStr">
        <is>
          <t>CNP</t>
        </is>
      </c>
      <c r="F744" s="243" t="inlineStr">
        <is>
          <t>#2</t>
        </is>
      </c>
      <c r="G744" s="246" t="inlineStr">
        <is>
          <t>#2 Identification B</t>
        </is>
      </c>
      <c r="H744" s="309" t="inlineStr">
        <is>
          <t>credit removed</t>
        </is>
      </c>
      <c r="I744" s="308" t="inlineStr">
        <is>
          <t>R2 CNP identification B — no microscopy row on this certificate</t>
        </is>
      </c>
    </row>
    <row r="745">
      <c r="A745" s="244" t="inlineStr">
        <is>
          <t>CJ072501</t>
        </is>
      </c>
      <c r="B745" s="243" t="inlineStr">
        <is>
          <t>P050252</t>
        </is>
      </c>
      <c r="C745" s="243" t="inlineStr">
        <is>
          <t>ППК25367</t>
        </is>
      </c>
      <c r="D745" s="245" t="n">
        <v>45989</v>
      </c>
      <c r="E745" s="243" t="inlineStr">
        <is>
          <t>CNP</t>
        </is>
      </c>
      <c r="F745" s="243" t="inlineStr">
        <is>
          <t>#2</t>
        </is>
      </c>
      <c r="G745" s="246" t="inlineStr">
        <is>
          <t>#2 Identification B</t>
        </is>
      </c>
      <c r="H745" s="309" t="inlineStr">
        <is>
          <t>credit removed</t>
        </is>
      </c>
      <c r="I745" s="308" t="inlineStr">
        <is>
          <t>R2 CNP identification B — no microscopy row on this certificate</t>
        </is>
      </c>
    </row>
    <row r="746">
      <c r="A746" s="244" t="inlineStr">
        <is>
          <t>CJ082501/1</t>
        </is>
      </c>
      <c r="B746" s="243" t="inlineStr">
        <is>
          <t>P060022</t>
        </is>
      </c>
      <c r="C746" s="243" t="inlineStr">
        <is>
          <t>ППК26002</t>
        </is>
      </c>
      <c r="D746" s="245" t="n">
        <v>46043</v>
      </c>
      <c r="E746" s="243" t="inlineStr">
        <is>
          <t>CNP</t>
        </is>
      </c>
      <c r="F746" s="243" t="inlineStr">
        <is>
          <t>#2</t>
        </is>
      </c>
      <c r="G746" s="246" t="inlineStr">
        <is>
          <t>#2 Identification B</t>
        </is>
      </c>
      <c r="H746" s="309" t="inlineStr">
        <is>
          <t>credit removed</t>
        </is>
      </c>
      <c r="I746" s="308" t="inlineStr">
        <is>
          <t>R2 CNP identification B — no microscopy row on this certificate</t>
        </is>
      </c>
    </row>
    <row r="747">
      <c r="A747" s="244" t="inlineStr">
        <is>
          <t>CJ082501/2</t>
        </is>
      </c>
      <c r="B747" s="243" t="inlineStr">
        <is>
          <t>P060032</t>
        </is>
      </c>
      <c r="C747" s="243" t="inlineStr">
        <is>
          <t>ППК26003</t>
        </is>
      </c>
      <c r="D747" s="245" t="n">
        <v>46043</v>
      </c>
      <c r="E747" s="243" t="inlineStr">
        <is>
          <t>CNP</t>
        </is>
      </c>
      <c r="F747" s="243" t="inlineStr">
        <is>
          <t>#2</t>
        </is>
      </c>
      <c r="G747" s="246" t="inlineStr">
        <is>
          <t>#2 Identification B</t>
        </is>
      </c>
      <c r="H747" s="309" t="inlineStr">
        <is>
          <t>credit removed</t>
        </is>
      </c>
      <c r="I747" s="308" t="inlineStr">
        <is>
          <t>R2 CNP identification B — no microscopy row on this certificate</t>
        </is>
      </c>
    </row>
    <row r="748">
      <c r="A748" s="244" t="inlineStr">
        <is>
          <t>CJ092501</t>
        </is>
      </c>
      <c r="B748" s="243" t="inlineStr">
        <is>
          <t>P060072</t>
        </is>
      </c>
      <c r="C748" s="243" t="inlineStr">
        <is>
          <t>ППК26007</t>
        </is>
      </c>
      <c r="D748" s="245" t="n">
        <v>46043</v>
      </c>
      <c r="E748" s="243" t="inlineStr">
        <is>
          <t>CNP</t>
        </is>
      </c>
      <c r="F748" s="243" t="inlineStr">
        <is>
          <t>#2</t>
        </is>
      </c>
      <c r="G748" s="246" t="inlineStr">
        <is>
          <t>#2 Identification B</t>
        </is>
      </c>
      <c r="H748" s="309" t="inlineStr">
        <is>
          <t>credit removed</t>
        </is>
      </c>
      <c r="I748" s="308" t="inlineStr">
        <is>
          <t>R2 CNP identification B — no microscopy row on this certificate</t>
        </is>
      </c>
    </row>
    <row r="749">
      <c r="A749" s="244" t="inlineStr">
        <is>
          <t>CJ1024</t>
        </is>
      </c>
      <c r="B749" s="243" t="inlineStr">
        <is>
          <t>N/A — no P batch assigned</t>
        </is>
      </c>
      <c r="C749" s="243" t="inlineStr">
        <is>
          <t>ППК25052</t>
        </is>
      </c>
      <c r="D749" s="245" t="n">
        <v>45714</v>
      </c>
      <c r="E749" s="243" t="inlineStr">
        <is>
          <t>CNP</t>
        </is>
      </c>
      <c r="F749" s="243" t="inlineStr">
        <is>
          <t>#2</t>
        </is>
      </c>
      <c r="G749" s="246" t="inlineStr">
        <is>
          <t>#2 Identification B</t>
        </is>
      </c>
      <c r="H749" s="309" t="inlineStr">
        <is>
          <t>credit removed</t>
        </is>
      </c>
      <c r="I749" s="308" t="inlineStr">
        <is>
          <t>R2 CNP identification B — no microscopy row on this certificate</t>
        </is>
      </c>
    </row>
    <row r="750">
      <c r="A750" s="244" t="inlineStr">
        <is>
          <t>CLE072501</t>
        </is>
      </c>
      <c r="B750" s="243" t="inlineStr">
        <is>
          <t>P050282</t>
        </is>
      </c>
      <c r="C750" s="243" t="inlineStr">
        <is>
          <t>ППК25370</t>
        </is>
      </c>
      <c r="D750" s="245" t="n">
        <v>45989</v>
      </c>
      <c r="E750" s="243" t="inlineStr">
        <is>
          <t>CNP</t>
        </is>
      </c>
      <c r="F750" s="243" t="inlineStr">
        <is>
          <t>#2</t>
        </is>
      </c>
      <c r="G750" s="246" t="inlineStr">
        <is>
          <t>#2 Identification B</t>
        </is>
      </c>
      <c r="H750" s="309" t="inlineStr">
        <is>
          <t>credit removed</t>
        </is>
      </c>
      <c r="I750" s="308" t="inlineStr">
        <is>
          <t>R2 CNP identification B — no microscopy row on this certificate</t>
        </is>
      </c>
    </row>
    <row r="751">
      <c r="A751" s="244" t="inlineStr">
        <is>
          <t>FB012601_1</t>
        </is>
      </c>
      <c r="B751" s="243" t="inlineStr">
        <is>
          <t>P060322</t>
        </is>
      </c>
      <c r="C751" s="243" t="inlineStr">
        <is>
          <t>ППК26067</t>
        </is>
      </c>
      <c r="D751" s="245" t="n">
        <v>46153</v>
      </c>
      <c r="E751" s="243" t="inlineStr">
        <is>
          <t>CNP</t>
        </is>
      </c>
      <c r="F751" s="243" t="inlineStr">
        <is>
          <t>#2</t>
        </is>
      </c>
      <c r="G751" s="246" t="inlineStr">
        <is>
          <t>#2 Identification B</t>
        </is>
      </c>
      <c r="H751" s="309" t="inlineStr">
        <is>
          <t>credit removed</t>
        </is>
      </c>
      <c r="I751" s="308" t="inlineStr">
        <is>
          <t>R2 CNP identification B — no microscopy row on this certificate</t>
        </is>
      </c>
    </row>
    <row r="752">
      <c r="A752" s="244" t="inlineStr">
        <is>
          <t>FB112501</t>
        </is>
      </c>
      <c r="B752" s="243" t="inlineStr">
        <is>
          <t>P060292</t>
        </is>
      </c>
      <c r="C752" s="243" t="inlineStr">
        <is>
          <t>ППК26066</t>
        </is>
      </c>
      <c r="D752" s="245" t="n">
        <v>46153</v>
      </c>
      <c r="E752" s="243" t="inlineStr">
        <is>
          <t>CNP</t>
        </is>
      </c>
      <c r="F752" s="243" t="inlineStr">
        <is>
          <t>#2</t>
        </is>
      </c>
      <c r="G752" s="246" t="inlineStr">
        <is>
          <t>#2 Identification B</t>
        </is>
      </c>
      <c r="H752" s="309" t="inlineStr">
        <is>
          <t>credit removed</t>
        </is>
      </c>
      <c r="I752" s="308" t="inlineStr">
        <is>
          <t>R2 CNP identification B — no microscopy row on this certificate</t>
        </is>
      </c>
    </row>
    <row r="753">
      <c r="A753" s="244" t="inlineStr">
        <is>
          <t>GG012601＊</t>
        </is>
      </c>
      <c r="B753" s="243" t="inlineStr">
        <is>
          <t>P060302</t>
        </is>
      </c>
      <c r="C753" s="243" t="inlineStr">
        <is>
          <t>ППК26062</t>
        </is>
      </c>
      <c r="D753" s="245" t="n">
        <v>46153</v>
      </c>
      <c r="E753" s="243" t="inlineStr">
        <is>
          <t>CNP</t>
        </is>
      </c>
      <c r="F753" s="243" t="inlineStr">
        <is>
          <t>#2</t>
        </is>
      </c>
      <c r="G753" s="246" t="inlineStr">
        <is>
          <t>#2 Identification B</t>
        </is>
      </c>
      <c r="H753" s="309" t="inlineStr">
        <is>
          <t>credit removed</t>
        </is>
      </c>
      <c r="I753" s="308" t="inlineStr">
        <is>
          <t>R2 CNP identification B — no microscopy row on this certificate</t>
        </is>
      </c>
    </row>
    <row r="754">
      <c r="A754" s="244" t="inlineStr">
        <is>
          <t>GG1024_01</t>
        </is>
      </c>
      <c r="B754" s="243" t="inlineStr">
        <is>
          <t>P050092</t>
        </is>
      </c>
      <c r="C754" s="243" t="inlineStr">
        <is>
          <t>ППК25104</t>
        </is>
      </c>
      <c r="D754" s="245" t="n">
        <v>45764</v>
      </c>
      <c r="E754" s="243" t="inlineStr">
        <is>
          <t>CNP</t>
        </is>
      </c>
      <c r="F754" s="243" t="inlineStr">
        <is>
          <t>#2</t>
        </is>
      </c>
      <c r="G754" s="246" t="inlineStr">
        <is>
          <t>#2 Identification B</t>
        </is>
      </c>
      <c r="H754" s="309" t="inlineStr">
        <is>
          <t>credit removed</t>
        </is>
      </c>
      <c r="I754" s="308" t="inlineStr">
        <is>
          <t>R2 CNP identification B — no microscopy row on this certificate</t>
        </is>
      </c>
    </row>
    <row r="755">
      <c r="A755" s="244" t="inlineStr">
        <is>
          <t>GG1024_02</t>
        </is>
      </c>
      <c r="B755" s="243" t="inlineStr">
        <is>
          <t>P050012</t>
        </is>
      </c>
      <c r="C755" s="243" t="inlineStr">
        <is>
          <t>ППК25140</t>
        </is>
      </c>
      <c r="D755" s="245" t="n">
        <v>45799</v>
      </c>
      <c r="E755" s="243" t="inlineStr">
        <is>
          <t>CNP</t>
        </is>
      </c>
      <c r="F755" s="243" t="inlineStr">
        <is>
          <t>#2</t>
        </is>
      </c>
      <c r="G755" s="246" t="inlineStr">
        <is>
          <t>#2 Identification B</t>
        </is>
      </c>
      <c r="H755" s="309" t="inlineStr">
        <is>
          <t>credit removed</t>
        </is>
      </c>
      <c r="I755" s="308" t="inlineStr">
        <is>
          <t>R2 CNP identification B — no microscopy row on this certificate</t>
        </is>
      </c>
    </row>
    <row r="756">
      <c r="A756" s="244" t="inlineStr">
        <is>
          <t>GG112501</t>
        </is>
      </c>
      <c r="B756" s="243" t="inlineStr">
        <is>
          <t>P060252</t>
        </is>
      </c>
      <c r="C756" s="243" t="inlineStr">
        <is>
          <t>ППК26061</t>
        </is>
      </c>
      <c r="D756" s="245" t="n">
        <v>46153</v>
      </c>
      <c r="E756" s="243" t="inlineStr">
        <is>
          <t>CNP</t>
        </is>
      </c>
      <c r="F756" s="243" t="inlineStr">
        <is>
          <t>#2</t>
        </is>
      </c>
      <c r="G756" s="246" t="inlineStr">
        <is>
          <t>#2 Identification B</t>
        </is>
      </c>
      <c r="H756" s="309" t="inlineStr">
        <is>
          <t>credit removed</t>
        </is>
      </c>
      <c r="I756" s="308" t="inlineStr">
        <is>
          <t>R2 CNP identification B — no microscopy row on this certificate</t>
        </is>
      </c>
    </row>
    <row r="757">
      <c r="A757" s="244" t="inlineStr">
        <is>
          <t>GP052501</t>
        </is>
      </c>
      <c r="B757" s="243" t="inlineStr">
        <is>
          <t>P050152</t>
        </is>
      </c>
      <c r="C757" s="243" t="inlineStr">
        <is>
          <t>ППК25279</t>
        </is>
      </c>
      <c r="D757" s="245" t="n">
        <v>45919</v>
      </c>
      <c r="E757" s="243" t="inlineStr">
        <is>
          <t>CNP</t>
        </is>
      </c>
      <c r="F757" s="243" t="inlineStr">
        <is>
          <t>#2</t>
        </is>
      </c>
      <c r="G757" s="246" t="inlineStr">
        <is>
          <t>#2 Identification B</t>
        </is>
      </c>
      <c r="H757" s="309" t="inlineStr">
        <is>
          <t>credit removed</t>
        </is>
      </c>
      <c r="I757" s="308" t="inlineStr">
        <is>
          <t>R2 CNP identification B — no microscopy row on this certificate</t>
        </is>
      </c>
    </row>
    <row r="758">
      <c r="A758" s="244" t="inlineStr">
        <is>
          <t>GP062501</t>
        </is>
      </c>
      <c r="B758" s="243" t="inlineStr">
        <is>
          <t>P050202</t>
        </is>
      </c>
      <c r="C758" s="243" t="inlineStr">
        <is>
          <t>ППК26036</t>
        </is>
      </c>
      <c r="D758" s="245" t="n">
        <v>46086</v>
      </c>
      <c r="E758" s="243" t="inlineStr">
        <is>
          <t>CNP</t>
        </is>
      </c>
      <c r="F758" s="243" t="inlineStr">
        <is>
          <t>#2</t>
        </is>
      </c>
      <c r="G758" s="246" t="inlineStr">
        <is>
          <t>#2 Identification B</t>
        </is>
      </c>
      <c r="H758" s="309" t="inlineStr">
        <is>
          <t>credit removed</t>
        </is>
      </c>
      <c r="I758" s="308" t="inlineStr">
        <is>
          <t>R2 CNP identification B — no microscopy row on this certificate</t>
        </is>
      </c>
    </row>
    <row r="759">
      <c r="A759" s="244" t="inlineStr">
        <is>
          <t>GP062501</t>
        </is>
      </c>
      <c r="B759" s="243" t="inlineStr">
        <is>
          <t>P050202</t>
        </is>
      </c>
      <c r="C759" s="243" t="inlineStr">
        <is>
          <t>ППК26037</t>
        </is>
      </c>
      <c r="D759" s="245" t="n">
        <v>46086</v>
      </c>
      <c r="E759" s="243" t="inlineStr">
        <is>
          <t>CNP</t>
        </is>
      </c>
      <c r="F759" s="243" t="inlineStr">
        <is>
          <t>#2</t>
        </is>
      </c>
      <c r="G759" s="246" t="inlineStr">
        <is>
          <t>#2 Identification B</t>
        </is>
      </c>
      <c r="H759" s="309" t="inlineStr">
        <is>
          <t>credit removed</t>
        </is>
      </c>
      <c r="I759" s="308" t="inlineStr">
        <is>
          <t>R2 CNP identification B — no microscopy row on this certificate</t>
        </is>
      </c>
    </row>
    <row r="760">
      <c r="A760" s="244" t="inlineStr">
        <is>
          <t>GP062501</t>
        </is>
      </c>
      <c r="B760" s="243" t="inlineStr">
        <is>
          <t>P050202</t>
        </is>
      </c>
      <c r="C760" s="243" t="inlineStr">
        <is>
          <t>ППК26057</t>
        </is>
      </c>
      <c r="D760" s="245" t="n">
        <v>46153</v>
      </c>
      <c r="E760" s="243" t="inlineStr">
        <is>
          <t>CNP</t>
        </is>
      </c>
      <c r="F760" s="243" t="inlineStr">
        <is>
          <t>#2</t>
        </is>
      </c>
      <c r="G760" s="246" t="inlineStr">
        <is>
          <t>#2 Identification B</t>
        </is>
      </c>
      <c r="H760" s="309" t="inlineStr">
        <is>
          <t>credit removed</t>
        </is>
      </c>
      <c r="I760" s="308" t="inlineStr">
        <is>
          <t>R2 CNP identification B — no microscopy row on this certificate</t>
        </is>
      </c>
    </row>
    <row r="761">
      <c r="A761" s="244" t="inlineStr">
        <is>
          <t>GP062501</t>
        </is>
      </c>
      <c r="B761" s="243" t="inlineStr">
        <is>
          <t>P050202</t>
        </is>
      </c>
      <c r="C761" s="243" t="inlineStr">
        <is>
          <t>ППК26058</t>
        </is>
      </c>
      <c r="D761" s="245" t="n">
        <v>46153</v>
      </c>
      <c r="E761" s="243" t="inlineStr">
        <is>
          <t>CNP</t>
        </is>
      </c>
      <c r="F761" s="243" t="inlineStr">
        <is>
          <t>#2</t>
        </is>
      </c>
      <c r="G761" s="246" t="inlineStr">
        <is>
          <t>#2 Identification B</t>
        </is>
      </c>
      <c r="H761" s="309" t="inlineStr">
        <is>
          <t>credit removed</t>
        </is>
      </c>
      <c r="I761" s="308" t="inlineStr">
        <is>
          <t>R2 CNP identification B — no microscopy row on this certificate</t>
        </is>
      </c>
    </row>
    <row r="762">
      <c r="A762" s="244" t="inlineStr">
        <is>
          <t>GP072501/1</t>
        </is>
      </c>
      <c r="B762" s="243" t="inlineStr">
        <is>
          <t>P050292</t>
        </is>
      </c>
      <c r="C762" s="243" t="inlineStr">
        <is>
          <t>ППК25378</t>
        </is>
      </c>
      <c r="D762" s="245" t="n">
        <v>46003</v>
      </c>
      <c r="E762" s="243" t="inlineStr">
        <is>
          <t>CNP</t>
        </is>
      </c>
      <c r="F762" s="243" t="inlineStr">
        <is>
          <t>#2</t>
        </is>
      </c>
      <c r="G762" s="246" t="inlineStr">
        <is>
          <t>#2 Identification B</t>
        </is>
      </c>
      <c r="H762" s="309" t="inlineStr">
        <is>
          <t>credit removed</t>
        </is>
      </c>
      <c r="I762" s="308" t="inlineStr">
        <is>
          <t>R2 CNP identification B — no microscopy row on this certificate</t>
        </is>
      </c>
    </row>
    <row r="763">
      <c r="A763" s="244" t="inlineStr">
        <is>
          <t>GP072501/2</t>
        </is>
      </c>
      <c r="B763" s="243" t="inlineStr">
        <is>
          <t>P050302</t>
        </is>
      </c>
      <c r="C763" s="243" t="inlineStr">
        <is>
          <t>ППК25379</t>
        </is>
      </c>
      <c r="D763" s="245" t="n">
        <v>46003</v>
      </c>
      <c r="E763" s="243" t="inlineStr">
        <is>
          <t>CNP</t>
        </is>
      </c>
      <c r="F763" s="243" t="inlineStr">
        <is>
          <t>#2</t>
        </is>
      </c>
      <c r="G763" s="246" t="inlineStr">
        <is>
          <t>#2 Identification B</t>
        </is>
      </c>
      <c r="H763" s="309" t="inlineStr">
        <is>
          <t>credit removed</t>
        </is>
      </c>
      <c r="I763" s="308" t="inlineStr">
        <is>
          <t>R2 CNP identification B — no microscopy row on this certificate</t>
        </is>
      </c>
    </row>
    <row r="764">
      <c r="A764" s="244" t="inlineStr">
        <is>
          <t>GP0824_01</t>
        </is>
      </c>
      <c r="B764" s="243" t="inlineStr">
        <is>
          <t>P050102</t>
        </is>
      </c>
      <c r="C764" s="243" t="inlineStr">
        <is>
          <t>ППК25105</t>
        </is>
      </c>
      <c r="D764" s="245" t="n">
        <v>45764</v>
      </c>
      <c r="E764" s="243" t="inlineStr">
        <is>
          <t>CNP</t>
        </is>
      </c>
      <c r="F764" s="243" t="inlineStr">
        <is>
          <t>#2</t>
        </is>
      </c>
      <c r="G764" s="246" t="inlineStr">
        <is>
          <t>#2 Identification B</t>
        </is>
      </c>
      <c r="H764" s="309" t="inlineStr">
        <is>
          <t>credit removed</t>
        </is>
      </c>
      <c r="I764" s="308" t="inlineStr">
        <is>
          <t>R2 CNP identification B — no microscopy row on this certificate</t>
        </is>
      </c>
    </row>
    <row r="765">
      <c r="A765" s="244" t="inlineStr">
        <is>
          <t>GP0824_02</t>
        </is>
      </c>
      <c r="B765" s="243" t="inlineStr">
        <is>
          <t>P050022</t>
        </is>
      </c>
      <c r="C765" s="243" t="inlineStr">
        <is>
          <t>ППК25139</t>
        </is>
      </c>
      <c r="D765" s="245" t="n">
        <v>45799</v>
      </c>
      <c r="E765" s="243" t="inlineStr">
        <is>
          <t>CNP</t>
        </is>
      </c>
      <c r="F765" s="243" t="inlineStr">
        <is>
          <t>#2</t>
        </is>
      </c>
      <c r="G765" s="246" t="inlineStr">
        <is>
          <t>#2 Identification B</t>
        </is>
      </c>
      <c r="H765" s="309" t="inlineStr">
        <is>
          <t>credit removed</t>
        </is>
      </c>
      <c r="I765" s="308" t="inlineStr">
        <is>
          <t>R2 CNP identification B — no microscopy row on this certificate</t>
        </is>
      </c>
    </row>
    <row r="766">
      <c r="A766" s="244" t="inlineStr">
        <is>
          <t>GP0824_02</t>
        </is>
      </c>
      <c r="B766" s="243" t="inlineStr">
        <is>
          <t>P050022</t>
        </is>
      </c>
      <c r="C766" s="243" t="inlineStr">
        <is>
          <t>ППК25174</t>
        </is>
      </c>
      <c r="D766" s="245" t="n">
        <v>45848</v>
      </c>
      <c r="E766" s="243" t="inlineStr">
        <is>
          <t>CNP</t>
        </is>
      </c>
      <c r="F766" s="243" t="inlineStr">
        <is>
          <t>#2</t>
        </is>
      </c>
      <c r="G766" s="246" t="inlineStr">
        <is>
          <t>#2 Identification B</t>
        </is>
      </c>
      <c r="H766" s="309" t="inlineStr">
        <is>
          <t>credit removed</t>
        </is>
      </c>
      <c r="I766" s="308" t="inlineStr">
        <is>
          <t>R2 CNP identification B — no microscopy row on this certificate</t>
        </is>
      </c>
    </row>
    <row r="767">
      <c r="A767" s="244" t="inlineStr">
        <is>
          <t>GP0824_02</t>
        </is>
      </c>
      <c r="B767" s="243" t="inlineStr">
        <is>
          <t>P050022</t>
        </is>
      </c>
      <c r="C767" s="243" t="inlineStr">
        <is>
          <t>ППК26032</t>
        </is>
      </c>
      <c r="D767" s="245" t="n">
        <v>46086</v>
      </c>
      <c r="E767" s="243" t="inlineStr">
        <is>
          <t>CNP</t>
        </is>
      </c>
      <c r="F767" s="243" t="inlineStr">
        <is>
          <t>#2</t>
        </is>
      </c>
      <c r="G767" s="246" t="inlineStr">
        <is>
          <t>#2 Identification B</t>
        </is>
      </c>
      <c r="H767" s="309" t="inlineStr">
        <is>
          <t>credit removed</t>
        </is>
      </c>
      <c r="I767" s="308" t="inlineStr">
        <is>
          <t>R2 CNP identification B — no microscopy row on this certificate</t>
        </is>
      </c>
    </row>
    <row r="768">
      <c r="A768" s="244" t="inlineStr">
        <is>
          <t>GP0824_02</t>
        </is>
      </c>
      <c r="B768" s="243" t="inlineStr">
        <is>
          <t>P050022</t>
        </is>
      </c>
      <c r="C768" s="243" t="inlineStr">
        <is>
          <t>ППК26033</t>
        </is>
      </c>
      <c r="D768" s="245" t="n">
        <v>46086</v>
      </c>
      <c r="E768" s="243" t="inlineStr">
        <is>
          <t>CNP</t>
        </is>
      </c>
      <c r="F768" s="243" t="inlineStr">
        <is>
          <t>#2</t>
        </is>
      </c>
      <c r="G768" s="246" t="inlineStr">
        <is>
          <t>#2 Identification B</t>
        </is>
      </c>
      <c r="H768" s="309" t="inlineStr">
        <is>
          <t>credit removed</t>
        </is>
      </c>
      <c r="I768" s="308" t="inlineStr">
        <is>
          <t>R2 CNP identification B — no microscopy row on this certificate</t>
        </is>
      </c>
    </row>
    <row r="769">
      <c r="A769" s="244" t="inlineStr">
        <is>
          <t>GP0824_02</t>
        </is>
      </c>
      <c r="B769" s="243" t="inlineStr">
        <is>
          <t>P050022</t>
        </is>
      </c>
      <c r="C769" s="243" t="inlineStr">
        <is>
          <t>ППК26059</t>
        </is>
      </c>
      <c r="D769" s="245" t="n">
        <v>46153</v>
      </c>
      <c r="E769" s="243" t="inlineStr">
        <is>
          <t>CNP</t>
        </is>
      </c>
      <c r="F769" s="243" t="inlineStr">
        <is>
          <t>#2</t>
        </is>
      </c>
      <c r="G769" s="246" t="inlineStr">
        <is>
          <t>#2 Identification B</t>
        </is>
      </c>
      <c r="H769" s="309" t="inlineStr">
        <is>
          <t>credit removed</t>
        </is>
      </c>
      <c r="I769" s="308" t="inlineStr">
        <is>
          <t>R2 CNP identification B — no microscopy row on this certificate</t>
        </is>
      </c>
    </row>
    <row r="770">
      <c r="A770" s="244" t="inlineStr">
        <is>
          <t>GP0824_03</t>
        </is>
      </c>
      <c r="B770" s="243" t="inlineStr">
        <is>
          <t>P050072</t>
        </is>
      </c>
      <c r="C770" s="243" t="inlineStr">
        <is>
          <t>ППК25175</t>
        </is>
      </c>
      <c r="D770" s="245" t="n">
        <v>45848</v>
      </c>
      <c r="E770" s="243" t="inlineStr">
        <is>
          <t>CNP</t>
        </is>
      </c>
      <c r="F770" s="243" t="inlineStr">
        <is>
          <t>#2</t>
        </is>
      </c>
      <c r="G770" s="246" t="inlineStr">
        <is>
          <t>#2 Identification B</t>
        </is>
      </c>
      <c r="H770" s="309" t="inlineStr">
        <is>
          <t>credit removed</t>
        </is>
      </c>
      <c r="I770" s="308" t="inlineStr">
        <is>
          <t>R2 CNP identification B — no microscopy row on this certificate</t>
        </is>
      </c>
    </row>
    <row r="771">
      <c r="A771" s="244" t="inlineStr">
        <is>
          <t>GP0824_03</t>
        </is>
      </c>
      <c r="B771" s="243" t="inlineStr">
        <is>
          <t>P050072</t>
        </is>
      </c>
      <c r="C771" s="243" t="inlineStr">
        <is>
          <t>ППК26034</t>
        </is>
      </c>
      <c r="D771" s="245" t="n">
        <v>46086</v>
      </c>
      <c r="E771" s="243" t="inlineStr">
        <is>
          <t>CNP</t>
        </is>
      </c>
      <c r="F771" s="243" t="inlineStr">
        <is>
          <t>#2</t>
        </is>
      </c>
      <c r="G771" s="246" t="inlineStr">
        <is>
          <t>#2 Identification B</t>
        </is>
      </c>
      <c r="H771" s="309" t="inlineStr">
        <is>
          <t>credit removed</t>
        </is>
      </c>
      <c r="I771" s="308" t="inlineStr">
        <is>
          <t>R2 CNP identification B — no microscopy row on this certificate</t>
        </is>
      </c>
    </row>
    <row r="772">
      <c r="A772" s="244" t="inlineStr">
        <is>
          <t>GP0824_03</t>
        </is>
      </c>
      <c r="B772" s="243" t="inlineStr">
        <is>
          <t>P050072</t>
        </is>
      </c>
      <c r="C772" s="243" t="inlineStr">
        <is>
          <t>ППК26035</t>
        </is>
      </c>
      <c r="D772" s="245" t="n">
        <v>46086</v>
      </c>
      <c r="E772" s="243" t="inlineStr">
        <is>
          <t>CNP</t>
        </is>
      </c>
      <c r="F772" s="243" t="inlineStr">
        <is>
          <t>#2</t>
        </is>
      </c>
      <c r="G772" s="246" t="inlineStr">
        <is>
          <t>#2 Identification B</t>
        </is>
      </c>
      <c r="H772" s="309" t="inlineStr">
        <is>
          <t>credit removed</t>
        </is>
      </c>
      <c r="I772" s="308" t="inlineStr">
        <is>
          <t>R2 CNP identification B — no microscopy row on this certificate</t>
        </is>
      </c>
    </row>
    <row r="773">
      <c r="A773" s="244" t="inlineStr">
        <is>
          <t>GP0824_03</t>
        </is>
      </c>
      <c r="B773" s="243" t="inlineStr">
        <is>
          <t>P050072</t>
        </is>
      </c>
      <c r="C773" s="243" t="inlineStr">
        <is>
          <t>ППК26060</t>
        </is>
      </c>
      <c r="D773" s="245" t="n">
        <v>46153</v>
      </c>
      <c r="E773" s="243" t="inlineStr">
        <is>
          <t>CNP</t>
        </is>
      </c>
      <c r="F773" s="243" t="inlineStr">
        <is>
          <t>#2</t>
        </is>
      </c>
      <c r="G773" s="246" t="inlineStr">
        <is>
          <t>#2 Identification B</t>
        </is>
      </c>
      <c r="H773" s="309" t="inlineStr">
        <is>
          <t>credit removed</t>
        </is>
      </c>
      <c r="I773" s="308" t="inlineStr">
        <is>
          <t>R2 CNP identification B — no microscopy row on this certificate</t>
        </is>
      </c>
    </row>
    <row r="774">
      <c r="A774" s="244" t="inlineStr">
        <is>
          <t>GP082501/1</t>
        </is>
      </c>
      <c r="B774" s="243" t="inlineStr">
        <is>
          <t>P050312</t>
        </is>
      </c>
      <c r="C774" s="243" t="inlineStr">
        <is>
          <t>ППК25380</t>
        </is>
      </c>
      <c r="D774" s="245" t="n">
        <v>46003</v>
      </c>
      <c r="E774" s="243" t="inlineStr">
        <is>
          <t>CNP</t>
        </is>
      </c>
      <c r="F774" s="243" t="inlineStr">
        <is>
          <t>#2</t>
        </is>
      </c>
      <c r="G774" s="246" t="inlineStr">
        <is>
          <t>#2 Identification B</t>
        </is>
      </c>
      <c r="H774" s="309" t="inlineStr">
        <is>
          <t>credit removed</t>
        </is>
      </c>
      <c r="I774" s="308" t="inlineStr">
        <is>
          <t>R2 CNP identification B — no microscopy row on this certificate</t>
        </is>
      </c>
    </row>
    <row r="775">
      <c r="A775" s="244" t="inlineStr">
        <is>
          <t>GP082501/2</t>
        </is>
      </c>
      <c r="B775" s="243" t="inlineStr">
        <is>
          <t>P050322</t>
        </is>
      </c>
      <c r="C775" s="243" t="inlineStr">
        <is>
          <t>ППК25381</t>
        </is>
      </c>
      <c r="D775" s="245" t="n">
        <v>46003</v>
      </c>
      <c r="E775" s="243" t="inlineStr">
        <is>
          <t>CNP</t>
        </is>
      </c>
      <c r="F775" s="243" t="inlineStr">
        <is>
          <t>#2</t>
        </is>
      </c>
      <c r="G775" s="246" t="inlineStr">
        <is>
          <t>#2 Identification B</t>
        </is>
      </c>
      <c r="H775" s="309" t="inlineStr">
        <is>
          <t>credit removed</t>
        </is>
      </c>
      <c r="I775" s="308" t="inlineStr">
        <is>
          <t>R2 CNP identification B — no microscopy row on this certificate</t>
        </is>
      </c>
    </row>
    <row r="776">
      <c r="A776" s="244" t="inlineStr">
        <is>
          <t>GP092501</t>
        </is>
      </c>
      <c r="B776" s="243" t="inlineStr">
        <is>
          <t>P060092</t>
        </is>
      </c>
      <c r="C776" s="243" t="inlineStr">
        <is>
          <t>ППК26009</t>
        </is>
      </c>
      <c r="D776" s="245" t="n">
        <v>46043</v>
      </c>
      <c r="E776" s="243" t="inlineStr">
        <is>
          <t>CNP</t>
        </is>
      </c>
      <c r="F776" s="243" t="inlineStr">
        <is>
          <t>#2</t>
        </is>
      </c>
      <c r="G776" s="246" t="inlineStr">
        <is>
          <t>#2 Identification B</t>
        </is>
      </c>
      <c r="H776" s="309" t="inlineStr">
        <is>
          <t>credit removed</t>
        </is>
      </c>
      <c r="I776" s="308" t="inlineStr">
        <is>
          <t>R2 CNP identification B — no microscopy row on this certificate</t>
        </is>
      </c>
    </row>
    <row r="777">
      <c r="A777" s="244" t="inlineStr">
        <is>
          <t>HPA052501</t>
        </is>
      </c>
      <c r="B777" s="243" t="inlineStr">
        <is>
          <t>P050182</t>
        </is>
      </c>
      <c r="C777" s="243" t="inlineStr">
        <is>
          <t>ППК25278</t>
        </is>
      </c>
      <c r="D777" s="245" t="n">
        <v>45919</v>
      </c>
      <c r="E777" s="243" t="inlineStr">
        <is>
          <t>CNP</t>
        </is>
      </c>
      <c r="F777" s="243" t="inlineStr">
        <is>
          <t>#2</t>
        </is>
      </c>
      <c r="G777" s="246" t="inlineStr">
        <is>
          <t>#2 Identification B</t>
        </is>
      </c>
      <c r="H777" s="309" t="inlineStr">
        <is>
          <t>credit removed</t>
        </is>
      </c>
      <c r="I777" s="308" t="inlineStr">
        <is>
          <t>R2 CNP identification B — no microscopy row on this certificate</t>
        </is>
      </c>
    </row>
    <row r="778">
      <c r="A778" s="244" t="inlineStr">
        <is>
          <t>HPA1024_01</t>
        </is>
      </c>
      <c r="B778" s="243" t="inlineStr">
        <is>
          <t>P050052</t>
        </is>
      </c>
      <c r="C778" s="243" t="inlineStr">
        <is>
          <t>ППК25155</t>
        </is>
      </c>
      <c r="D778" s="245" t="n">
        <v>45832</v>
      </c>
      <c r="E778" s="243" t="inlineStr">
        <is>
          <t>CNP</t>
        </is>
      </c>
      <c r="F778" s="243" t="inlineStr">
        <is>
          <t>#2</t>
        </is>
      </c>
      <c r="G778" s="246" t="inlineStr">
        <is>
          <t>#2 Identification B</t>
        </is>
      </c>
      <c r="H778" s="309" t="inlineStr">
        <is>
          <t>credit removed</t>
        </is>
      </c>
      <c r="I778" s="308" t="inlineStr">
        <is>
          <t>R2 CNP identification B — no microscopy row on this certificate</t>
        </is>
      </c>
    </row>
    <row r="779">
      <c r="A779" s="244" t="inlineStr">
        <is>
          <t>JD012601＊</t>
        </is>
      </c>
      <c r="B779" s="243" t="inlineStr">
        <is>
          <t>P060312</t>
        </is>
      </c>
      <c r="C779" s="243" t="inlineStr">
        <is>
          <t>ППК26064</t>
        </is>
      </c>
      <c r="D779" s="245" t="n">
        <v>46153</v>
      </c>
      <c r="E779" s="243" t="inlineStr">
        <is>
          <t>CNP</t>
        </is>
      </c>
      <c r="F779" s="243" t="inlineStr">
        <is>
          <t>#2</t>
        </is>
      </c>
      <c r="G779" s="246" t="inlineStr">
        <is>
          <t>#2 Identification B</t>
        </is>
      </c>
      <c r="H779" s="309" t="inlineStr">
        <is>
          <t>credit removed</t>
        </is>
      </c>
      <c r="I779" s="308" t="inlineStr">
        <is>
          <t>R2 CNP identification B — no microscopy row on this certificate</t>
        </is>
      </c>
    </row>
    <row r="780">
      <c r="A780" s="244" t="inlineStr">
        <is>
          <t>JD112501</t>
        </is>
      </c>
      <c r="B780" s="243" t="inlineStr">
        <is>
          <t>P060212</t>
        </is>
      </c>
      <c r="C780" s="243" t="inlineStr">
        <is>
          <t>ППК26063</t>
        </is>
      </c>
      <c r="D780" s="245" t="n">
        <v>46153</v>
      </c>
      <c r="E780" s="243" t="inlineStr">
        <is>
          <t>CNP</t>
        </is>
      </c>
      <c r="F780" s="243" t="inlineStr">
        <is>
          <t>#2</t>
        </is>
      </c>
      <c r="G780" s="246" t="inlineStr">
        <is>
          <t>#2 Identification B</t>
        </is>
      </c>
      <c r="H780" s="309" t="inlineStr">
        <is>
          <t>credit removed</t>
        </is>
      </c>
      <c r="I780" s="308" t="inlineStr">
        <is>
          <t>R2 CNP identification B — no microscopy row on this certificate</t>
        </is>
      </c>
    </row>
    <row r="781">
      <c r="A781" s="244" t="inlineStr">
        <is>
          <t>MB0824_04</t>
        </is>
      </c>
      <c r="B781" s="243" t="inlineStr">
        <is>
          <t>P050032</t>
        </is>
      </c>
      <c r="C781" s="243" t="inlineStr">
        <is>
          <t>ППК25118</t>
        </is>
      </c>
      <c r="D781" s="245" t="n">
        <v>45783</v>
      </c>
      <c r="E781" s="243" t="inlineStr">
        <is>
          <t>CNP</t>
        </is>
      </c>
      <c r="F781" s="243" t="inlineStr">
        <is>
          <t>#2</t>
        </is>
      </c>
      <c r="G781" s="246" t="inlineStr">
        <is>
          <t>#2 Identification B</t>
        </is>
      </c>
      <c r="H781" s="309" t="inlineStr">
        <is>
          <t>credit removed</t>
        </is>
      </c>
      <c r="I781" s="308" t="inlineStr">
        <is>
          <t>R2 CNP identification B — no microscopy row on this certificate</t>
        </is>
      </c>
    </row>
    <row r="782">
      <c r="A782" s="244" t="inlineStr">
        <is>
          <t>MB0824_05</t>
        </is>
      </c>
      <c r="B782" s="243" t="inlineStr">
        <is>
          <t>P050112</t>
        </is>
      </c>
      <c r="C782" s="243" t="inlineStr">
        <is>
          <t>ППК25211</t>
        </is>
      </c>
      <c r="D782" s="245" t="n">
        <v>45866</v>
      </c>
      <c r="E782" s="243" t="inlineStr">
        <is>
          <t>CNP</t>
        </is>
      </c>
      <c r="F782" s="243" t="inlineStr">
        <is>
          <t>#2</t>
        </is>
      </c>
      <c r="G782" s="246" t="inlineStr">
        <is>
          <t>#2 Identification B</t>
        </is>
      </c>
      <c r="H782" s="309" t="inlineStr">
        <is>
          <t>credit removed</t>
        </is>
      </c>
      <c r="I782" s="308" t="inlineStr">
        <is>
          <t>R2 CNP identification B — no microscopy row on this certificate</t>
        </is>
      </c>
    </row>
    <row r="783">
      <c r="A783" s="244" t="inlineStr">
        <is>
          <t>OMP1024_01</t>
        </is>
      </c>
      <c r="B783" s="243" t="inlineStr">
        <is>
          <t>P050042</t>
        </is>
      </c>
      <c r="C783" s="243" t="inlineStr">
        <is>
          <t>ППК25117</t>
        </is>
      </c>
      <c r="D783" s="245" t="n">
        <v>45783</v>
      </c>
      <c r="E783" s="243" t="inlineStr">
        <is>
          <t>CNP</t>
        </is>
      </c>
      <c r="F783" s="243" t="inlineStr">
        <is>
          <t>#2</t>
        </is>
      </c>
      <c r="G783" s="246" t="inlineStr">
        <is>
          <t>#2 Identification B</t>
        </is>
      </c>
      <c r="H783" s="309" t="inlineStr">
        <is>
          <t>credit removed</t>
        </is>
      </c>
      <c r="I783" s="308" t="inlineStr">
        <is>
          <t>R2 CNP identification B — no microscopy row on this certificate</t>
        </is>
      </c>
    </row>
    <row r="784">
      <c r="A784" s="244" t="inlineStr">
        <is>
          <t>OPM052501</t>
        </is>
      </c>
      <c r="B784" s="243" t="inlineStr">
        <is>
          <t>P050132</t>
        </is>
      </c>
      <c r="C784" s="243" t="inlineStr">
        <is>
          <t>ППК25257</t>
        </is>
      </c>
      <c r="D784" s="245" t="n">
        <v>45905</v>
      </c>
      <c r="E784" s="243" t="inlineStr">
        <is>
          <t>CNP</t>
        </is>
      </c>
      <c r="F784" s="243" t="inlineStr">
        <is>
          <t>#2</t>
        </is>
      </c>
      <c r="G784" s="246" t="inlineStr">
        <is>
          <t>#2 Identification B</t>
        </is>
      </c>
      <c r="H784" s="309" t="inlineStr">
        <is>
          <t>credit removed</t>
        </is>
      </c>
      <c r="I784" s="308" t="inlineStr">
        <is>
          <t>R2 CNP identification B — no microscopy row on this certificate</t>
        </is>
      </c>
    </row>
    <row r="785">
      <c r="A785" s="244" t="inlineStr">
        <is>
          <t>OPM092501</t>
        </is>
      </c>
      <c r="B785" s="243" t="inlineStr">
        <is>
          <t>P060042</t>
        </is>
      </c>
      <c r="C785" s="243" t="inlineStr">
        <is>
          <t>ППК26008</t>
        </is>
      </c>
      <c r="D785" s="245" t="n">
        <v>46043</v>
      </c>
      <c r="E785" s="243" t="inlineStr">
        <is>
          <t>CNP</t>
        </is>
      </c>
      <c r="F785" s="243" t="inlineStr">
        <is>
          <t>#2</t>
        </is>
      </c>
      <c r="G785" s="246" t="inlineStr">
        <is>
          <t>#2 Identification B</t>
        </is>
      </c>
      <c r="H785" s="309" t="inlineStr">
        <is>
          <t>credit removed</t>
        </is>
      </c>
      <c r="I785" s="308" t="inlineStr">
        <is>
          <t>R2 CNP identification B — no microscopy row on this certificate</t>
        </is>
      </c>
    </row>
    <row r="786">
      <c r="A786" s="244" t="inlineStr">
        <is>
          <t>OPM1024_02</t>
        </is>
      </c>
      <c r="B786" s="243" t="inlineStr">
        <is>
          <t>P050062</t>
        </is>
      </c>
      <c r="C786" s="243" t="inlineStr">
        <is>
          <t>ППК25154</t>
        </is>
      </c>
      <c r="D786" s="245" t="n">
        <v>45832</v>
      </c>
      <c r="E786" s="243" t="inlineStr">
        <is>
          <t>CNP</t>
        </is>
      </c>
      <c r="F786" s="243" t="inlineStr">
        <is>
          <t>#2</t>
        </is>
      </c>
      <c r="G786" s="246" t="inlineStr">
        <is>
          <t>#2 Identification B</t>
        </is>
      </c>
      <c r="H786" s="309" t="inlineStr">
        <is>
          <t>credit removed</t>
        </is>
      </c>
      <c r="I786" s="308" t="inlineStr">
        <is>
          <t>R2 CNP identification B — no microscopy row on this certificate</t>
        </is>
      </c>
    </row>
    <row r="787">
      <c r="A787" s="244" t="inlineStr">
        <is>
          <t>OPM1024_03</t>
        </is>
      </c>
      <c r="B787" s="243" t="inlineStr">
        <is>
          <t>P050082</t>
        </is>
      </c>
      <c r="C787" s="243" t="inlineStr">
        <is>
          <t>ППК25210</t>
        </is>
      </c>
      <c r="D787" s="245" t="n">
        <v>45866</v>
      </c>
      <c r="E787" s="243" t="inlineStr">
        <is>
          <t>CNP</t>
        </is>
      </c>
      <c r="F787" s="243" t="inlineStr">
        <is>
          <t>#2</t>
        </is>
      </c>
      <c r="G787" s="246" t="inlineStr">
        <is>
          <t>#2 Identification B</t>
        </is>
      </c>
      <c r="H787" s="309" t="inlineStr">
        <is>
          <t>credit removed</t>
        </is>
      </c>
      <c r="I787" s="308" t="inlineStr">
        <is>
          <t>R2 CNP identification B — no microscopy row on this certificate</t>
        </is>
      </c>
    </row>
    <row r="788">
      <c r="A788" s="244" t="inlineStr">
        <is>
          <t>OPM112501</t>
        </is>
      </c>
      <c r="B788" s="243" t="inlineStr">
        <is>
          <t>P060222</t>
        </is>
      </c>
      <c r="C788" s="243" t="inlineStr">
        <is>
          <t>ППК26031</t>
        </is>
      </c>
      <c r="D788" s="245" t="n">
        <v>46086</v>
      </c>
      <c r="E788" s="243" t="inlineStr">
        <is>
          <t>CNP</t>
        </is>
      </c>
      <c r="F788" s="243" t="inlineStr">
        <is>
          <t>#2</t>
        </is>
      </c>
      <c r="G788" s="246" t="inlineStr">
        <is>
          <t>#2 Identification B</t>
        </is>
      </c>
      <c r="H788" s="309" t="inlineStr">
        <is>
          <t>credit removed</t>
        </is>
      </c>
      <c r="I788" s="308" t="inlineStr">
        <is>
          <t>R2 CNP identification B — no microscopy row on this certificate</t>
        </is>
      </c>
    </row>
    <row r="789">
      <c r="A789" s="244" t="inlineStr">
        <is>
          <t>PM072501</t>
        </is>
      </c>
      <c r="B789" s="243" t="inlineStr">
        <is>
          <t>P050272</t>
        </is>
      </c>
      <c r="C789" s="243" t="inlineStr">
        <is>
          <t>ППК25368</t>
        </is>
      </c>
      <c r="D789" s="245" t="n">
        <v>45989</v>
      </c>
      <c r="E789" s="243" t="inlineStr">
        <is>
          <t>CNP</t>
        </is>
      </c>
      <c r="F789" s="243" t="inlineStr">
        <is>
          <t>#2</t>
        </is>
      </c>
      <c r="G789" s="246" t="inlineStr">
        <is>
          <t>#2 Identification B</t>
        </is>
      </c>
      <c r="H789" s="309" t="inlineStr">
        <is>
          <t>credit removed</t>
        </is>
      </c>
      <c r="I789" s="308" t="inlineStr">
        <is>
          <t>R2 CNP identification B — no microscopy row on this certificate</t>
        </is>
      </c>
    </row>
    <row r="790">
      <c r="A790" s="244" t="inlineStr">
        <is>
          <t>PM092501</t>
        </is>
      </c>
      <c r="B790" s="243" t="inlineStr">
        <is>
          <t>P060062</t>
        </is>
      </c>
      <c r="C790" s="243" t="inlineStr">
        <is>
          <t>ППК26004</t>
        </is>
      </c>
      <c r="D790" s="245" t="n">
        <v>46043</v>
      </c>
      <c r="E790" s="243" t="inlineStr">
        <is>
          <t>CNP</t>
        </is>
      </c>
      <c r="F790" s="243" t="inlineStr">
        <is>
          <t>#2</t>
        </is>
      </c>
      <c r="G790" s="246" t="inlineStr">
        <is>
          <t>#2 Identification B</t>
        </is>
      </c>
      <c r="H790" s="309" t="inlineStr">
        <is>
          <t>credit removed</t>
        </is>
      </c>
      <c r="I790" s="308" t="inlineStr">
        <is>
          <t>R2 CNP identification B — no microscopy row on this certificate</t>
        </is>
      </c>
    </row>
    <row r="791">
      <c r="A791" s="244" t="inlineStr">
        <is>
          <t>PM112501</t>
        </is>
      </c>
      <c r="B791" s="243" t="inlineStr">
        <is>
          <t>P060232</t>
        </is>
      </c>
      <c r="C791" s="243" t="inlineStr">
        <is>
          <t>ППК26030</t>
        </is>
      </c>
      <c r="D791" s="245" t="n">
        <v>46086</v>
      </c>
      <c r="E791" s="243" t="inlineStr">
        <is>
          <t>CNP</t>
        </is>
      </c>
      <c r="F791" s="243" t="inlineStr">
        <is>
          <t>#2</t>
        </is>
      </c>
      <c r="G791" s="246" t="inlineStr">
        <is>
          <t>#2 Identification B</t>
        </is>
      </c>
      <c r="H791" s="309" t="inlineStr">
        <is>
          <t>credit removed</t>
        </is>
      </c>
      <c r="I791" s="308" t="inlineStr">
        <is>
          <t>R2 CNP identification B — no microscopy row on this certificate</t>
        </is>
      </c>
    </row>
    <row r="792">
      <c r="A792" s="244" t="inlineStr">
        <is>
          <t>SCR112501</t>
        </is>
      </c>
      <c r="B792" s="243" t="inlineStr">
        <is>
          <t>P060282</t>
        </is>
      </c>
      <c r="C792" s="243" t="inlineStr">
        <is>
          <t>ППК26069</t>
        </is>
      </c>
      <c r="D792" s="245" t="n">
        <v>46153</v>
      </c>
      <c r="E792" s="243" t="inlineStr">
        <is>
          <t>CNP</t>
        </is>
      </c>
      <c r="F792" s="243" t="inlineStr">
        <is>
          <t>#2</t>
        </is>
      </c>
      <c r="G792" s="246" t="inlineStr">
        <is>
          <t>#2 Identification B</t>
        </is>
      </c>
      <c r="H792" s="309" t="inlineStr">
        <is>
          <t>credit removed</t>
        </is>
      </c>
      <c r="I792" s="308" t="inlineStr">
        <is>
          <t>R2 CNP identification B — no microscopy row on this certificate</t>
        </is>
      </c>
    </row>
    <row r="793">
      <c r="A793" s="244" t="inlineStr">
        <is>
          <t>SJ0925021</t>
        </is>
      </c>
      <c r="B793" s="243" t="inlineStr">
        <is>
          <t>P060082</t>
        </is>
      </c>
      <c r="C793" s="243" t="inlineStr">
        <is>
          <t>ППК26006</t>
        </is>
      </c>
      <c r="D793" s="245" t="n">
        <v>46043</v>
      </c>
      <c r="E793" s="243" t="inlineStr">
        <is>
          <t>CNP</t>
        </is>
      </c>
      <c r="F793" s="243" t="inlineStr">
        <is>
          <t>#2</t>
        </is>
      </c>
      <c r="G793" s="246" t="inlineStr">
        <is>
          <t>#2 Identification B</t>
        </is>
      </c>
      <c r="H793" s="309" t="inlineStr">
        <is>
          <t>credit removed</t>
        </is>
      </c>
      <c r="I793" s="308" t="inlineStr">
        <is>
          <t>R2 CNP identification B — no microscopy row on this certificate</t>
        </is>
      </c>
    </row>
    <row r="794">
      <c r="A794" s="244" t="inlineStr">
        <is>
          <t>WC072501</t>
        </is>
      </c>
      <c r="B794" s="243" t="inlineStr">
        <is>
          <t>P050262</t>
        </is>
      </c>
      <c r="C794" s="243" t="inlineStr">
        <is>
          <t>ППК25369</t>
        </is>
      </c>
      <c r="D794" s="245" t="n">
        <v>45989</v>
      </c>
      <c r="E794" s="243" t="inlineStr">
        <is>
          <t>CNP</t>
        </is>
      </c>
      <c r="F794" s="243" t="inlineStr">
        <is>
          <t>#2</t>
        </is>
      </c>
      <c r="G794" s="246" t="inlineStr">
        <is>
          <t>#2 Identification B</t>
        </is>
      </c>
      <c r="H794" s="309" t="inlineStr">
        <is>
          <t>credit removed</t>
        </is>
      </c>
      <c r="I794" s="308" t="inlineStr">
        <is>
          <t>R2 CNP identification B — no microscopy row on this certificate</t>
        </is>
      </c>
    </row>
    <row r="795">
      <c r="A795" s="244" t="inlineStr">
        <is>
          <t>WC082501</t>
        </is>
      </c>
      <c r="B795" s="243" t="inlineStr">
        <is>
          <t>P060012</t>
        </is>
      </c>
      <c r="C795" s="243" t="inlineStr">
        <is>
          <t>ППК26001</t>
        </is>
      </c>
      <c r="D795" s="245" t="n">
        <v>46043</v>
      </c>
      <c r="E795" s="243" t="inlineStr">
        <is>
          <t>CNP</t>
        </is>
      </c>
      <c r="F795" s="243" t="inlineStr">
        <is>
          <t>#2</t>
        </is>
      </c>
      <c r="G795" s="246" t="inlineStr">
        <is>
          <t>#2 Identification B</t>
        </is>
      </c>
      <c r="H795" s="309" t="inlineStr">
        <is>
          <t>credit removed</t>
        </is>
      </c>
      <c r="I795" s="308" t="inlineStr">
        <is>
          <t>R2 CNP identification B — no microscopy row on this certificate</t>
        </is>
      </c>
    </row>
    <row r="797" ht="58" customHeight="1" s="70">
      <c r="A797" s="242"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c r="B797" s="120" t="n"/>
      <c r="C797" s="120" t="n"/>
      <c r="D797" s="120" t="n"/>
      <c r="E797" s="120" t="n"/>
      <c r="F797" s="120" t="n"/>
      <c r="G797" s="120" t="n"/>
      <c r="H797" s="120" t="n"/>
      <c r="I797" s="121" t="n"/>
    </row>
    <row r="800" ht="20" customHeight="1" s="70">
      <c r="A800" s="264" t="inlineStr">
        <is>
          <t>WORK ORDER</t>
        </is>
      </c>
    </row>
    <row r="801" ht="22" customHeight="1" s="70">
      <c r="A801" s="119" t="inlineStr">
        <is>
          <t>Task</t>
        </is>
      </c>
      <c r="B801" s="119" t="inlineStr">
        <is>
          <t>CU Batch</t>
        </is>
      </c>
      <c r="C801" s="119" t="inlineStr">
        <is>
          <t>P Batch</t>
        </is>
      </c>
      <c r="D801" s="119" t="inlineStr">
        <is>
          <t>Certificate</t>
        </is>
      </c>
      <c r="E801" s="119" t="inlineStr">
        <is>
          <t>Date</t>
        </is>
      </c>
      <c r="F801" s="119" t="inlineStr">
        <is>
          <t>Lab</t>
        </is>
      </c>
      <c r="G801" s="119" t="inlineStr">
        <is>
          <t>Parameters affected</t>
        </is>
      </c>
      <c r="H801" s="119" t="inlineStr">
        <is>
          <t>What is needed</t>
        </is>
      </c>
    </row>
    <row r="802">
      <c r="A802" s="309" t="inlineStr">
        <is>
          <t>held for review</t>
        </is>
      </c>
      <c r="B802" s="244" t="inlineStr">
        <is>
          <t>BSS052501</t>
        </is>
      </c>
      <c r="C802" s="243" t="inlineStr">
        <is>
          <t>P050192</t>
        </is>
      </c>
      <c r="D802" s="243" t="inlineStr">
        <is>
          <t>NGP-QCG-SOP-024 F3</t>
        </is>
      </c>
      <c r="E802" s="245" t="n">
        <v>45989</v>
      </c>
      <c r="F802" s="243" t="inlineStr">
        <is>
          <t>NGP</t>
        </is>
      </c>
      <c r="G802" s="243" t="inlineStr">
        <is>
          <t>#6</t>
        </is>
      </c>
      <c r="H802" s="308" t="inlineStr">
        <is>
          <t>The two independent reads disagreed. A person must read the figure from the page and confirm it.</t>
        </is>
      </c>
    </row>
    <row r="803">
      <c r="A803" s="309" t="inlineStr">
        <is>
          <t>held for review</t>
        </is>
      </c>
      <c r="B803" s="244" t="inlineStr">
        <is>
          <t>GP062501</t>
        </is>
      </c>
      <c r="C803" s="243" t="inlineStr">
        <is>
          <t>P050202</t>
        </is>
      </c>
      <c r="D803" s="243" t="inlineStr">
        <is>
          <t>NGP-QCG-SOP-024 F3</t>
        </is>
      </c>
      <c r="E803" s="245" t="n">
        <v>45989</v>
      </c>
      <c r="F803" s="243" t="inlineStr">
        <is>
          <t>NGP</t>
        </is>
      </c>
      <c r="G803" s="243" t="inlineStr">
        <is>
          <t>#6</t>
        </is>
      </c>
      <c r="H803" s="308" t="inlineStr">
        <is>
          <t>The two independent reads disagreed. A person must read the figure from the page and confirm it.</t>
        </is>
      </c>
    </row>
    <row r="804">
      <c r="A804" s="309" t="inlineStr">
        <is>
          <t>held for review</t>
        </is>
      </c>
      <c r="B804" s="244" t="inlineStr">
        <is>
          <t>J31112501</t>
        </is>
      </c>
      <c r="C804" s="243" t="inlineStr">
        <is>
          <t>P060202</t>
        </is>
      </c>
      <c r="D804" s="243" t="inlineStr">
        <is>
          <t>100-1-K-26</t>
        </is>
      </c>
      <c r="E804" s="245" t="n">
        <v>46121</v>
      </c>
      <c r="F804" s="243" t="inlineStr">
        <is>
          <t>FHM-K</t>
        </is>
      </c>
      <c r="G804" s="243" t="inlineStr">
        <is>
          <t>#3</t>
        </is>
      </c>
      <c r="H804" s="308" t="inlineStr">
        <is>
          <t>The two independent reads disagreed. A person must read the figure from the page and confirm it.</t>
        </is>
      </c>
    </row>
    <row r="805">
      <c r="A805" s="309" t="inlineStr">
        <is>
          <t>lot not on tracker</t>
        </is>
      </c>
      <c r="B805" s="244" t="inlineStr">
        <is>
          <t>N/A — no P batch assigned</t>
        </is>
      </c>
      <c r="C805" s="243" t="inlineStr">
        <is>
          <t>N/A — no P batch assigned</t>
        </is>
      </c>
      <c r="D805" s="243" t="inlineStr">
        <is>
          <t>iCoA — at issue (FB042601)</t>
        </is>
      </c>
      <c r="E805" s="245" t="inlineStr">
        <is>
          <t>packaging date — to record</t>
        </is>
      </c>
      <c r="F805" s="243" t="inlineStr">
        <is>
          <t>PP</t>
        </is>
      </c>
      <c r="G805" s="243" t="inlineStr">
        <is>
          <t>#1, #2, #7</t>
        </is>
      </c>
      <c r="H805" s="308" t="inlineStr">
        <is>
          <t>The certificate names a P batch the owner's tracker does not carry. Record the lot (cultivation batch code, strain) on the tracker so the certificate is credited under its batch.</t>
        </is>
      </c>
    </row>
    <row r="806">
      <c r="A806" s="309" t="inlineStr">
        <is>
          <t>lot not on tracker</t>
        </is>
      </c>
      <c r="B806" s="244" t="inlineStr">
        <is>
          <t>N/A — no P batch assigned</t>
        </is>
      </c>
      <c r="C806" s="243" t="inlineStr">
        <is>
          <t>N/A — no P batch assigned</t>
        </is>
      </c>
      <c r="D806" s="243" t="inlineStr">
        <is>
          <t>220-31-K-26</t>
        </is>
      </c>
      <c r="E806" s="245" t="n">
        <v>46260</v>
      </c>
      <c r="F806" s="243" t="inlineStr">
        <is>
          <t>FHM-K</t>
        </is>
      </c>
      <c r="G806" s="243" t="inlineStr">
        <is>
          <t>#3, #4, #5, #6</t>
        </is>
      </c>
      <c r="H806" s="308" t="inlineStr">
        <is>
          <t>The certificate names a P batch the owner's tracker does not carry. Record the lot (cultivation batch code, strain) on the tracker so the certificate is credited under its batch.</t>
        </is>
      </c>
    </row>
    <row r="807">
      <c r="A807" s="309" t="inlineStr">
        <is>
          <t>lot not on tracker</t>
        </is>
      </c>
      <c r="B807" s="244" t="inlineStr">
        <is>
          <t>N/A — no P batch assigned</t>
        </is>
      </c>
      <c r="C807" s="243" t="inlineStr">
        <is>
          <t>N/A — no P batch assigned</t>
        </is>
      </c>
      <c r="D807" s="243" t="inlineStr">
        <is>
          <t>220-31-M-26</t>
        </is>
      </c>
      <c r="E807" s="245" t="n">
        <v>46276</v>
      </c>
      <c r="F807" s="243" t="inlineStr">
        <is>
          <t>FHM-M</t>
        </is>
      </c>
      <c r="G807" s="243" t="inlineStr">
        <is>
          <t>#10</t>
        </is>
      </c>
      <c r="H807" s="308" t="inlineStr">
        <is>
          <t>The certificate names a P batch the owner's tracker does not carry. Record the lot (cultivation batch code, strain) on the tracker so the certificate is credited under its batch.</t>
        </is>
      </c>
    </row>
    <row r="808">
      <c r="A808" s="309" t="inlineStr">
        <is>
          <t>lot not on tracker</t>
        </is>
      </c>
      <c r="B808" s="244" t="inlineStr">
        <is>
          <t>N/A — no P batch assigned</t>
        </is>
      </c>
      <c r="C808" s="243" t="inlineStr">
        <is>
          <t>N/A — no P batch assigned</t>
        </is>
      </c>
      <c r="D808" s="243" t="inlineStr">
        <is>
          <t>iCoA — at issue (CC042601)</t>
        </is>
      </c>
      <c r="E808" s="245" t="inlineStr">
        <is>
          <t>packaging date — to record</t>
        </is>
      </c>
      <c r="F808" s="243" t="inlineStr">
        <is>
          <t>PP</t>
        </is>
      </c>
      <c r="G808" s="243" t="inlineStr">
        <is>
          <t>#1, #2, #7</t>
        </is>
      </c>
      <c r="H808" s="308" t="inlineStr">
        <is>
          <t>The certificate names a P batch the owner's tracker does not carry. Record the lot (cultivation batch code, strain) on the tracker so the certificate is credited under its batch.</t>
        </is>
      </c>
    </row>
    <row r="809">
      <c r="A809" s="309" t="inlineStr">
        <is>
          <t>lot not on tracker</t>
        </is>
      </c>
      <c r="B809" s="244" t="inlineStr">
        <is>
          <t>N/A — no P batch assigned</t>
        </is>
      </c>
      <c r="C809" s="243" t="inlineStr">
        <is>
          <t>N/A — no P batch assigned</t>
        </is>
      </c>
      <c r="D809" s="243" t="inlineStr">
        <is>
          <t>220-32-K-26</t>
        </is>
      </c>
      <c r="E809" s="245" t="n">
        <v>46260</v>
      </c>
      <c r="F809" s="243" t="inlineStr">
        <is>
          <t>FHM-K</t>
        </is>
      </c>
      <c r="G809" s="243" t="inlineStr">
        <is>
          <t>#3, #4, #5, #6</t>
        </is>
      </c>
      <c r="H809" s="308" t="inlineStr">
        <is>
          <t>The certificate names a P batch the owner's tracker does not carry. Record the lot (cultivation batch code, strain) on the tracker so the certificate is credited under its batch.</t>
        </is>
      </c>
    </row>
    <row r="810">
      <c r="A810" s="309" t="inlineStr">
        <is>
          <t>lot not on tracker</t>
        </is>
      </c>
      <c r="B810" s="244" t="inlineStr">
        <is>
          <t>N/A — no P batch assigned</t>
        </is>
      </c>
      <c r="C810" s="243" t="inlineStr">
        <is>
          <t>N/A — no P batch assigned</t>
        </is>
      </c>
      <c r="D810" s="243" t="inlineStr">
        <is>
          <t>220-32-M-26</t>
        </is>
      </c>
      <c r="E810" s="245" t="n">
        <v>46276</v>
      </c>
      <c r="F810" s="243" t="inlineStr">
        <is>
          <t>FHM-M</t>
        </is>
      </c>
      <c r="G810" s="243" t="inlineStr">
        <is>
          <t>#10</t>
        </is>
      </c>
      <c r="H810" s="308" t="inlineStr">
        <is>
          <t>The certificate names a P batch the owner's tracker does not carry. Record the lot (cultivation batch code, strain) on the tracker so the certificate is credited under its batch.</t>
        </is>
      </c>
    </row>
    <row r="811">
      <c r="A811" s="309" t="inlineStr">
        <is>
          <t>lot not on tracker</t>
        </is>
      </c>
      <c r="B811" s="244" t="inlineStr">
        <is>
          <t>P050142</t>
        </is>
      </c>
      <c r="C811" s="243" t="inlineStr">
        <is>
          <t>P050142</t>
        </is>
      </c>
      <c r="D811" s="243" t="inlineStr">
        <is>
          <t>iCoA-PP_26-020</t>
        </is>
      </c>
      <c r="E811" s="245" t="n">
        <v>45930</v>
      </c>
      <c r="F811" s="243" t="inlineStr">
        <is>
          <t>PP</t>
        </is>
      </c>
      <c r="G811" s="243" t="inlineStr">
        <is>
          <t>#1, #2, #7</t>
        </is>
      </c>
      <c r="H811" s="308" t="inlineStr">
        <is>
          <t>The certificate names a P batch the owner's tracker does not carry. Record the lot (cultivation batch code, strain) on the tracker so the certificate is credited under its batch.</t>
        </is>
      </c>
    </row>
    <row r="812">
      <c r="A812" s="309" t="inlineStr">
        <is>
          <t>lot not on tracker</t>
        </is>
      </c>
      <c r="B812" s="244" t="inlineStr">
        <is>
          <t>P050142</t>
        </is>
      </c>
      <c r="C812" s="243" t="inlineStr">
        <is>
          <t>P050142</t>
        </is>
      </c>
      <c r="D812" s="243" t="inlineStr">
        <is>
          <t>227-1-K-26</t>
        </is>
      </c>
      <c r="E812" s="245" t="n">
        <v>46276</v>
      </c>
      <c r="F812" s="243" t="inlineStr">
        <is>
          <t>FHM-K</t>
        </is>
      </c>
      <c r="G812" s="243" t="inlineStr">
        <is>
          <t>#3, #4, #5, #6</t>
        </is>
      </c>
      <c r="H812" s="308" t="inlineStr">
        <is>
          <t>The certificate names a P batch the owner's tracker does not carry. Record the lot (cultivation batch code, strain) on the tracker so the certificate is credited under its batch.</t>
        </is>
      </c>
    </row>
    <row r="813">
      <c r="A813" s="309" t="inlineStr">
        <is>
          <t>lot not on tracker</t>
        </is>
      </c>
      <c r="B813" s="244" t="inlineStr">
        <is>
          <t>P050142</t>
        </is>
      </c>
      <c r="C813" s="243" t="inlineStr">
        <is>
          <t>P050142</t>
        </is>
      </c>
      <c r="D813" s="243" t="inlineStr">
        <is>
          <t>559-1090-26</t>
        </is>
      </c>
      <c r="E813" s="245" t="n">
        <v>46266</v>
      </c>
      <c r="F813" s="243" t="inlineStr">
        <is>
          <t>IJZ-MB</t>
        </is>
      </c>
      <c r="G813" s="243" t="inlineStr">
        <is>
          <t>#9</t>
        </is>
      </c>
      <c r="H813" s="308" t="inlineStr">
        <is>
          <t>The certificate names a P batch the owner's tracker does not carry. Record the lot (cultivation batch code, strain) on the tracker so the certificate is credited under its batch.</t>
        </is>
      </c>
    </row>
    <row r="814">
      <c r="A814" s="309" t="inlineStr">
        <is>
          <t>lot not on tracker</t>
        </is>
      </c>
      <c r="B814" s="244" t="inlineStr">
        <is>
          <t>P060102</t>
        </is>
      </c>
      <c r="C814" s="243" t="inlineStr">
        <is>
          <t>P060102</t>
        </is>
      </c>
      <c r="D814" s="243" t="inlineStr">
        <is>
          <t>iCoA-PP_26-045</t>
        </is>
      </c>
      <c r="E814" s="245" t="n">
        <v>46069</v>
      </c>
      <c r="F814" s="243" t="inlineStr">
        <is>
          <t>PP</t>
        </is>
      </c>
      <c r="G814" s="243" t="inlineStr">
        <is>
          <t>#1, #2, #7</t>
        </is>
      </c>
      <c r="H814" s="308" t="inlineStr">
        <is>
          <t>The certificate names a P batch the owner's tracker does not carry. Record the lot (cultivation batch code, strain) on the tracker so the certificate is credited under its batch.</t>
        </is>
      </c>
    </row>
    <row r="815">
      <c r="A815" s="309" t="inlineStr">
        <is>
          <t>lot not on tracker</t>
        </is>
      </c>
      <c r="B815" s="244" t="inlineStr">
        <is>
          <t>P060102</t>
        </is>
      </c>
      <c r="C815" s="243" t="inlineStr">
        <is>
          <t>P060102</t>
        </is>
      </c>
      <c r="D815" s="243" t="inlineStr">
        <is>
          <t>227-4-K-26</t>
        </is>
      </c>
      <c r="E815" s="245" t="n">
        <v>46276</v>
      </c>
      <c r="F815" s="243" t="inlineStr">
        <is>
          <t>FHM-K</t>
        </is>
      </c>
      <c r="G815" s="243" t="inlineStr">
        <is>
          <t>#3, #4, #5, #6</t>
        </is>
      </c>
      <c r="H815" s="308" t="inlineStr">
        <is>
          <t>The certificate names a P batch the owner's tracker does not carry. Record the lot (cultivation batch code, strain) on the tracker so the certificate is credited under its batch.</t>
        </is>
      </c>
    </row>
    <row r="816">
      <c r="A816" s="309" t="inlineStr">
        <is>
          <t>lot not on tracker</t>
        </is>
      </c>
      <c r="B816" s="244" t="inlineStr">
        <is>
          <t>P060102</t>
        </is>
      </c>
      <c r="C816" s="243" t="inlineStr">
        <is>
          <t>P060102</t>
        </is>
      </c>
      <c r="D816" s="243" t="inlineStr">
        <is>
          <t>031-3-ГС-26</t>
        </is>
      </c>
      <c r="E816" s="245" t="n">
        <v>46065</v>
      </c>
      <c r="F816" s="243" t="inlineStr">
        <is>
          <t>FHM</t>
        </is>
      </c>
      <c r="G816" s="243" t="inlineStr">
        <is>
          <t>#8</t>
        </is>
      </c>
      <c r="H816" s="308" t="inlineStr">
        <is>
          <t>The certificate names a P batch the owner's tracker does not carry. Record the lot (cultivation batch code, strain) on the tracker so the certificate is credited under its batch.</t>
        </is>
      </c>
    </row>
    <row r="817">
      <c r="A817" s="309" t="inlineStr">
        <is>
          <t>lot not on tracker</t>
        </is>
      </c>
      <c r="B817" s="244" t="inlineStr">
        <is>
          <t>P060102</t>
        </is>
      </c>
      <c r="C817" s="243" t="inlineStr">
        <is>
          <t>P060102</t>
        </is>
      </c>
      <c r="D817" s="243" t="inlineStr">
        <is>
          <t>551-1082-26</t>
        </is>
      </c>
      <c r="E817" s="245" t="n">
        <v>46266</v>
      </c>
      <c r="F817" s="243" t="inlineStr">
        <is>
          <t>IJZ-MB</t>
        </is>
      </c>
      <c r="G817" s="243" t="inlineStr">
        <is>
          <t>#9</t>
        </is>
      </c>
      <c r="H817" s="308" t="inlineStr">
        <is>
          <t>The certificate names a P batch the owner's tracker does not carry. Record the lot (cultivation batch code, strain) on the tracker so the certificate is credited under its batch.</t>
        </is>
      </c>
    </row>
    <row r="818">
      <c r="A818" s="309" t="inlineStr">
        <is>
          <t>lot not on tracker</t>
        </is>
      </c>
      <c r="B818" s="244" t="inlineStr">
        <is>
          <t>P060112</t>
        </is>
      </c>
      <c r="C818" s="243" t="inlineStr">
        <is>
          <t>P060112</t>
        </is>
      </c>
      <c r="D818" s="243" t="inlineStr">
        <is>
          <t>iCoA-PP_26-046</t>
        </is>
      </c>
      <c r="E818" s="245" t="n">
        <v>46070</v>
      </c>
      <c r="F818" s="243" t="inlineStr">
        <is>
          <t>PP</t>
        </is>
      </c>
      <c r="G818" s="243" t="inlineStr">
        <is>
          <t>#1, #2, #7</t>
        </is>
      </c>
      <c r="H818" s="308" t="inlineStr">
        <is>
          <t>The certificate names a P batch the owner's tracker does not carry. Record the lot (cultivation batch code, strain) on the tracker so the certificate is credited under its batch.</t>
        </is>
      </c>
    </row>
    <row r="819">
      <c r="A819" s="309" t="inlineStr">
        <is>
          <t>lot not on tracker</t>
        </is>
      </c>
      <c r="B819" s="244" t="inlineStr">
        <is>
          <t>P060112</t>
        </is>
      </c>
      <c r="C819" s="243" t="inlineStr">
        <is>
          <t>P060112</t>
        </is>
      </c>
      <c r="D819" s="243" t="inlineStr">
        <is>
          <t>220-25-K-26</t>
        </is>
      </c>
      <c r="E819" s="245" t="n">
        <v>46260</v>
      </c>
      <c r="F819" s="243" t="inlineStr">
        <is>
          <t>FHM-K</t>
        </is>
      </c>
      <c r="G819" s="243" t="inlineStr">
        <is>
          <t>#3, #4, #5, #6</t>
        </is>
      </c>
      <c r="H819" s="308" t="inlineStr">
        <is>
          <t>The certificate names a P batch the owner's tracker does not carry. Record the lot (cultivation batch code, strain) on the tracker so the certificate is credited under its batch.</t>
        </is>
      </c>
    </row>
    <row r="820">
      <c r="A820" s="309" t="inlineStr">
        <is>
          <t>lot not on tracker</t>
        </is>
      </c>
      <c r="B820" s="244" t="inlineStr">
        <is>
          <t>P060112</t>
        </is>
      </c>
      <c r="C820" s="243" t="inlineStr">
        <is>
          <t>P060112</t>
        </is>
      </c>
      <c r="D820" s="243" t="inlineStr">
        <is>
          <t>220-25-M-26</t>
        </is>
      </c>
      <c r="E820" s="245" t="n">
        <v>46276</v>
      </c>
      <c r="F820" s="243" t="inlineStr">
        <is>
          <t>FHM-M</t>
        </is>
      </c>
      <c r="G820" s="243" t="inlineStr">
        <is>
          <t>#10</t>
        </is>
      </c>
      <c r="H820" s="308" t="inlineStr">
        <is>
          <t>The certificate names a P batch the owner's tracker does not carry. Record the lot (cultivation batch code, strain) on the tracker so the certificate is credited under its batch.</t>
        </is>
      </c>
    </row>
    <row r="821">
      <c r="A821" s="309" t="inlineStr">
        <is>
          <t>lot not on tracker</t>
        </is>
      </c>
      <c r="B821" s="244" t="inlineStr">
        <is>
          <t>P060122</t>
        </is>
      </c>
      <c r="C821" s="243" t="inlineStr">
        <is>
          <t>P060122</t>
        </is>
      </c>
      <c r="D821" s="243" t="inlineStr">
        <is>
          <t>iCoA-PP_26-047</t>
        </is>
      </c>
      <c r="E821" s="245" t="n">
        <v>46071</v>
      </c>
      <c r="F821" s="243" t="inlineStr">
        <is>
          <t>PP</t>
        </is>
      </c>
      <c r="G821" s="243" t="inlineStr">
        <is>
          <t>#1, #2, #7</t>
        </is>
      </c>
      <c r="H821" s="308" t="inlineStr">
        <is>
          <t>The certificate names a P batch the owner's tracker does not carry. Record the lot (cultivation batch code, strain) on the tracker so the certificate is credited under its batch.</t>
        </is>
      </c>
    </row>
    <row r="822">
      <c r="A822" s="309" t="inlineStr">
        <is>
          <t>lot not on tracker</t>
        </is>
      </c>
      <c r="B822" s="244" t="inlineStr">
        <is>
          <t>P060122</t>
        </is>
      </c>
      <c r="C822" s="243" t="inlineStr">
        <is>
          <t>P060122</t>
        </is>
      </c>
      <c r="D822" s="243" t="inlineStr">
        <is>
          <t>220-1-K-26</t>
        </is>
      </c>
      <c r="E822" s="245" t="n">
        <v>46259</v>
      </c>
      <c r="F822" s="243" t="inlineStr">
        <is>
          <t>FHM-K</t>
        </is>
      </c>
      <c r="G822" s="243" t="inlineStr">
        <is>
          <t>#3, #4, #5, #6</t>
        </is>
      </c>
      <c r="H822" s="308" t="inlineStr">
        <is>
          <t>The certificate names a P batch the owner's tracker does not carry. Record the lot (cultivation batch code, strain) on the tracker so the certificate is credited under its batch.</t>
        </is>
      </c>
    </row>
    <row r="823">
      <c r="A823" s="309" t="inlineStr">
        <is>
          <t>lot not on tracker</t>
        </is>
      </c>
      <c r="B823" s="244" t="inlineStr">
        <is>
          <t>P060122</t>
        </is>
      </c>
      <c r="C823" s="243" t="inlineStr">
        <is>
          <t>P060122</t>
        </is>
      </c>
      <c r="D823" s="243" t="inlineStr">
        <is>
          <t>220-1-M-26</t>
        </is>
      </c>
      <c r="E823" s="245" t="n">
        <v>46276</v>
      </c>
      <c r="F823" s="243" t="inlineStr">
        <is>
          <t>FHM-M</t>
        </is>
      </c>
      <c r="G823" s="243" t="inlineStr">
        <is>
          <t>#10</t>
        </is>
      </c>
      <c r="H823" s="308" t="inlineStr">
        <is>
          <t>The certificate names a P batch the owner's tracker does not carry. Record the lot (cultivation batch code, strain) on the tracker so the certificate is credited under its batch.</t>
        </is>
      </c>
    </row>
    <row r="824">
      <c r="A824" s="309" t="inlineStr">
        <is>
          <t>lot not on tracker</t>
        </is>
      </c>
      <c r="B824" s="244" t="inlineStr">
        <is>
          <t>P060132</t>
        </is>
      </c>
      <c r="C824" s="243" t="inlineStr">
        <is>
          <t>P060132</t>
        </is>
      </c>
      <c r="D824" s="243" t="inlineStr">
        <is>
          <t>iCoA-PP_26-048</t>
        </is>
      </c>
      <c r="E824" s="245" t="n">
        <v>46072</v>
      </c>
      <c r="F824" s="243" t="inlineStr">
        <is>
          <t>PP</t>
        </is>
      </c>
      <c r="G824" s="243" t="inlineStr">
        <is>
          <t>#1, #2, #7</t>
        </is>
      </c>
      <c r="H824" s="308" t="inlineStr">
        <is>
          <t>The certificate names a P batch the owner's tracker does not carry. Record the lot (cultivation batch code, strain) on the tracker so the certificate is credited under its batch.</t>
        </is>
      </c>
    </row>
    <row r="825">
      <c r="A825" s="309" t="inlineStr">
        <is>
          <t>lot not on tracker</t>
        </is>
      </c>
      <c r="B825" s="244" t="inlineStr">
        <is>
          <t>P060132</t>
        </is>
      </c>
      <c r="C825" s="243" t="inlineStr">
        <is>
          <t>P060132</t>
        </is>
      </c>
      <c r="D825" s="243" t="inlineStr">
        <is>
          <t>220-6-K-26</t>
        </is>
      </c>
      <c r="E825" s="245" t="n">
        <v>46259</v>
      </c>
      <c r="F825" s="243" t="inlineStr">
        <is>
          <t>FHM-K</t>
        </is>
      </c>
      <c r="G825" s="243" t="inlineStr">
        <is>
          <t>#3, #4, #5, #6</t>
        </is>
      </c>
      <c r="H825" s="308" t="inlineStr">
        <is>
          <t>The certificate names a P batch the owner's tracker does not carry. Record the lot (cultivation batch code, strain) on the tracker so the certificate is credited under its batch.</t>
        </is>
      </c>
    </row>
    <row r="826">
      <c r="A826" s="309" t="inlineStr">
        <is>
          <t>lot not on tracker</t>
        </is>
      </c>
      <c r="B826" s="244" t="inlineStr">
        <is>
          <t>P060132</t>
        </is>
      </c>
      <c r="C826" s="243" t="inlineStr">
        <is>
          <t>P060132</t>
        </is>
      </c>
      <c r="D826" s="243" t="inlineStr">
        <is>
          <t>220-6-M-26</t>
        </is>
      </c>
      <c r="E826" s="245" t="n">
        <v>46276</v>
      </c>
      <c r="F826" s="243" t="inlineStr">
        <is>
          <t>FHM-M</t>
        </is>
      </c>
      <c r="G826" s="243" t="inlineStr">
        <is>
          <t>#10</t>
        </is>
      </c>
      <c r="H826" s="308" t="inlineStr">
        <is>
          <t>The certificate names a P batch the owner's tracker does not carry. Record the lot (cultivation batch code, strain) on the tracker so the certificate is credited under its batch.</t>
        </is>
      </c>
    </row>
    <row r="827">
      <c r="A827" s="309" t="inlineStr">
        <is>
          <t>lot not on tracker</t>
        </is>
      </c>
      <c r="B827" s="244" t="inlineStr">
        <is>
          <t>P060342</t>
        </is>
      </c>
      <c r="C827" s="243" t="inlineStr">
        <is>
          <t>P060342</t>
        </is>
      </c>
      <c r="D827" s="243" t="inlineStr">
        <is>
          <t>iCoA-PP_26-088</t>
        </is>
      </c>
      <c r="E827" s="245" t="n">
        <v>46167</v>
      </c>
      <c r="F827" s="243" t="inlineStr">
        <is>
          <t>PP</t>
        </is>
      </c>
      <c r="G827" s="243" t="inlineStr">
        <is>
          <t>#1, #2, #7</t>
        </is>
      </c>
      <c r="H827" s="308" t="inlineStr">
        <is>
          <t>The certificate names a P batch the owner's tracker does not carry. Record the lot (cultivation batch code, strain) on the tracker so the certificate is credited under its batch.</t>
        </is>
      </c>
    </row>
    <row r="828">
      <c r="A828" s="309" t="inlineStr">
        <is>
          <t>lot not on tracker</t>
        </is>
      </c>
      <c r="B828" s="244" t="inlineStr">
        <is>
          <t>P060342</t>
        </is>
      </c>
      <c r="C828" s="243" t="inlineStr">
        <is>
          <t>P060342</t>
        </is>
      </c>
      <c r="D828" s="243" t="inlineStr">
        <is>
          <t>227-8-K-26</t>
        </is>
      </c>
      <c r="E828" s="245" t="n">
        <v>46276</v>
      </c>
      <c r="F828" s="243" t="inlineStr">
        <is>
          <t>FHM-K</t>
        </is>
      </c>
      <c r="G828" s="243" t="inlineStr">
        <is>
          <t>#3, #4, #5, #6</t>
        </is>
      </c>
      <c r="H828" s="308" t="inlineStr">
        <is>
          <t>The certificate names a P batch the owner's tracker does not carry. Record the lot (cultivation batch code, strain) on the tracker so the certificate is credited under its batch.</t>
        </is>
      </c>
    </row>
    <row r="829">
      <c r="A829" s="309" t="inlineStr">
        <is>
          <t>lot not on tracker</t>
        </is>
      </c>
      <c r="B829" s="244" t="inlineStr">
        <is>
          <t>P060342</t>
        </is>
      </c>
      <c r="C829" s="243" t="inlineStr">
        <is>
          <t>P060342</t>
        </is>
      </c>
      <c r="D829" s="243" t="inlineStr">
        <is>
          <t>539-1070-26</t>
        </is>
      </c>
      <c r="E829" s="245" t="n">
        <v>46265</v>
      </c>
      <c r="F829" s="243" t="inlineStr">
        <is>
          <t>IJZ-MB</t>
        </is>
      </c>
      <c r="G829" s="243" t="inlineStr">
        <is>
          <t>#9</t>
        </is>
      </c>
      <c r="H829" s="308" t="inlineStr">
        <is>
          <t>The certificate names a P batch the owner's tracker does not carry. Record the lot (cultivation batch code, strain) on the tracker so the certificate is credited under its batch.</t>
        </is>
      </c>
    </row>
    <row r="830">
      <c r="A830" s="309" t="inlineStr">
        <is>
          <t>lot not on tracker</t>
        </is>
      </c>
      <c r="B830" s="244" t="inlineStr">
        <is>
          <t>P060372</t>
        </is>
      </c>
      <c r="C830" s="243" t="inlineStr">
        <is>
          <t>P060372</t>
        </is>
      </c>
      <c r="D830" s="243" t="inlineStr">
        <is>
          <t>iCoA-PP_26-084</t>
        </is>
      </c>
      <c r="E830" s="245" t="n">
        <v>46166</v>
      </c>
      <c r="F830" s="243" t="inlineStr">
        <is>
          <t>PP</t>
        </is>
      </c>
      <c r="G830" s="243" t="inlineStr">
        <is>
          <t>#1, #2, #7</t>
        </is>
      </c>
      <c r="H830" s="308" t="inlineStr">
        <is>
          <t>The certificate names a P batch the owner's tracker does not carry. Record the lot (cultivation batch code, strain) on the tracker so the certificate is credited under its batch.</t>
        </is>
      </c>
    </row>
    <row r="831">
      <c r="A831" s="309" t="inlineStr">
        <is>
          <t>lot not on tracker</t>
        </is>
      </c>
      <c r="B831" s="244" t="inlineStr">
        <is>
          <t>P060372</t>
        </is>
      </c>
      <c r="C831" s="243" t="inlineStr">
        <is>
          <t>P060372</t>
        </is>
      </c>
      <c r="D831" s="243" t="inlineStr">
        <is>
          <t>220-29-K-26</t>
        </is>
      </c>
      <c r="E831" s="245" t="n">
        <v>46260</v>
      </c>
      <c r="F831" s="243" t="inlineStr">
        <is>
          <t>FHM-K</t>
        </is>
      </c>
      <c r="G831" s="243" t="inlineStr">
        <is>
          <t>#3, #4, #5, #6</t>
        </is>
      </c>
      <c r="H831" s="308" t="inlineStr">
        <is>
          <t>The certificate names a P batch the owner's tracker does not carry. Record the lot (cultivation batch code, strain) on the tracker so the certificate is credited under its batch.</t>
        </is>
      </c>
    </row>
    <row r="832">
      <c r="A832" s="309" t="inlineStr">
        <is>
          <t>lot not on tracker</t>
        </is>
      </c>
      <c r="B832" s="244" t="inlineStr">
        <is>
          <t>P060372</t>
        </is>
      </c>
      <c r="C832" s="243" t="inlineStr">
        <is>
          <t>P060372</t>
        </is>
      </c>
      <c r="D832" s="243" t="inlineStr">
        <is>
          <t>220-29-M-26</t>
        </is>
      </c>
      <c r="E832" s="245" t="n">
        <v>46276</v>
      </c>
      <c r="F832" s="243" t="inlineStr">
        <is>
          <t>FHM-M</t>
        </is>
      </c>
      <c r="G832" s="243" t="inlineStr">
        <is>
          <t>#10</t>
        </is>
      </c>
      <c r="H832" s="308" t="inlineStr">
        <is>
          <t>The certificate names a P batch the owner's tracker does not carry. Record the lot (cultivation batch code, strain) on the tracker so the certificate is credited under its batch.</t>
        </is>
      </c>
    </row>
    <row r="833">
      <c r="A833" s="309" t="inlineStr">
        <is>
          <t>lot not on tracker</t>
        </is>
      </c>
      <c r="B833" s="244" t="inlineStr">
        <is>
          <t>P060492</t>
        </is>
      </c>
      <c r="C833" s="243" t="inlineStr">
        <is>
          <t>P060492</t>
        </is>
      </c>
      <c r="D833" s="243" t="inlineStr">
        <is>
          <t>iCoA-PP_26-122</t>
        </is>
      </c>
      <c r="E833" s="245" t="n">
        <v>46247</v>
      </c>
      <c r="F833" s="243" t="inlineStr">
        <is>
          <t>PP</t>
        </is>
      </c>
      <c r="G833" s="243" t="inlineStr">
        <is>
          <t>#1, #2, #7</t>
        </is>
      </c>
      <c r="H833" s="308" t="inlineStr">
        <is>
          <t>The certificate names a P batch the owner's tracker does not carry. Record the lot (cultivation batch code, strain) on the tracker so the certificate is credited under its batch.</t>
        </is>
      </c>
    </row>
    <row r="834">
      <c r="A834" s="309" t="inlineStr">
        <is>
          <t>lot not on tracker</t>
        </is>
      </c>
      <c r="B834" s="244" t="inlineStr">
        <is>
          <t>P060492</t>
        </is>
      </c>
      <c r="C834" s="243" t="inlineStr">
        <is>
          <t>P060492</t>
        </is>
      </c>
      <c r="D834" s="243" t="inlineStr">
        <is>
          <t>220-30-K-26</t>
        </is>
      </c>
      <c r="E834" s="245" t="n">
        <v>46260</v>
      </c>
      <c r="F834" s="243" t="inlineStr">
        <is>
          <t>FHM-K</t>
        </is>
      </c>
      <c r="G834" s="243" t="inlineStr">
        <is>
          <t>#3, #4, #5, #6</t>
        </is>
      </c>
      <c r="H834" s="308" t="inlineStr">
        <is>
          <t>The certificate names a P batch the owner's tracker does not carry. Record the lot (cultivation batch code, strain) on the tracker so the certificate is credited under its batch.</t>
        </is>
      </c>
    </row>
    <row r="835">
      <c r="A835" s="309" t="inlineStr">
        <is>
          <t>lot not on tracker</t>
        </is>
      </c>
      <c r="B835" s="244" t="inlineStr">
        <is>
          <t>P060492</t>
        </is>
      </c>
      <c r="C835" s="243" t="inlineStr">
        <is>
          <t>P060492</t>
        </is>
      </c>
      <c r="D835" s="243" t="inlineStr">
        <is>
          <t>220-30-M-26</t>
        </is>
      </c>
      <c r="E835" s="245" t="n">
        <v>46276</v>
      </c>
      <c r="F835" s="243" t="inlineStr">
        <is>
          <t>FHM-M</t>
        </is>
      </c>
      <c r="G835" s="243" t="inlineStr">
        <is>
          <t>#10</t>
        </is>
      </c>
      <c r="H835" s="308" t="inlineStr">
        <is>
          <t>The certificate names a P batch the owner's tracker does not carry. Record the lot (cultivation batch code, strain) on the tracker so the certificate is credited under its batch.</t>
        </is>
      </c>
    </row>
    <row r="836">
      <c r="A836" s="309" t="inlineStr">
        <is>
          <t>non-conformance reported</t>
        </is>
      </c>
      <c r="B836" s="244" t="inlineStr">
        <is>
          <t>FB032601</t>
        </is>
      </c>
      <c r="C836" s="243" t="inlineStr">
        <is>
          <t>P060452</t>
        </is>
      </c>
      <c r="D836" s="243" t="inlineStr">
        <is>
          <t>ППК26127</t>
        </is>
      </c>
      <c r="E836" s="245" t="n">
        <v>46224</v>
      </c>
      <c r="F836" s="243" t="inlineStr">
        <is>
          <t>CNP</t>
        </is>
      </c>
      <c r="G836" s="243" t="inlineStr">
        <is>
          <t>#7</t>
        </is>
      </c>
      <c r="H836" s="308" t="inlineStr">
        <is>
          <t>The laboratory reports the result as not conforming (Не одговара). A deviation / OOS record is needed before this lot's CoQ can issue.</t>
        </is>
      </c>
    </row>
    <row r="837">
      <c r="A837" s="307" t="inlineStr">
        <is>
          <t>not ingested</t>
        </is>
      </c>
      <c r="B837" s="244" t="inlineStr">
        <is>
          <t>J31122501</t>
        </is>
      </c>
      <c r="C837" s="243" t="inlineStr">
        <is>
          <t>P060262</t>
        </is>
      </c>
      <c r="D837" s="243" t="inlineStr">
        <is>
          <t>1625-2026</t>
        </is>
      </c>
      <c r="E837" s="245" t="n">
        <v>46135</v>
      </c>
      <c r="F837" s="243" t="inlineStr">
        <is>
          <t>IJZ</t>
        </is>
      </c>
      <c r="G837" s="243" t="inlineStr">
        <is>
          <t>#11</t>
        </is>
      </c>
      <c r="H837" s="308" t="inlineStr">
        <is>
          <t>Re-extract the document into the eCoA database (two independent reads, 300 DPI). Until then the lot cannot reach a CoQ on these parameters.</t>
        </is>
      </c>
    </row>
    <row r="838">
      <c r="A838" s="307" t="inlineStr">
        <is>
          <t>not ingested</t>
        </is>
      </c>
      <c r="B838" s="244" t="inlineStr">
        <is>
          <t>J31122501</t>
        </is>
      </c>
      <c r="C838" s="243" t="inlineStr">
        <is>
          <t>P060262</t>
        </is>
      </c>
      <c r="D838" s="243" t="inlineStr">
        <is>
          <t>100-3-K-26</t>
        </is>
      </c>
      <c r="E838" s="245" t="n">
        <v>46121</v>
      </c>
      <c r="F838" s="243" t="inlineStr">
        <is>
          <t>FHM-K</t>
        </is>
      </c>
      <c r="G838" s="243" t="inlineStr">
        <is>
          <t>#3</t>
        </is>
      </c>
      <c r="H838" s="308" t="inlineStr">
        <is>
          <t>Re-extract the document into the eCoA database (two independent reads, 300 DPI). Until then the lot cannot reach a CoQ on these parameters.</t>
        </is>
      </c>
    </row>
    <row r="839">
      <c r="A839" s="307" t="inlineStr">
        <is>
          <t>not ingested</t>
        </is>
      </c>
      <c r="B839" s="244" t="inlineStr">
        <is>
          <t>MB0824_04</t>
        </is>
      </c>
      <c r="C839" s="243" t="inlineStr">
        <is>
          <t>P050032</t>
        </is>
      </c>
      <c r="D839" s="243" t="inlineStr">
        <is>
          <t>ППК25118</t>
        </is>
      </c>
      <c r="E839" s="245" t="n">
        <v>45783</v>
      </c>
      <c r="F839" s="243" t="inlineStr">
        <is>
          <t>CNP</t>
        </is>
      </c>
      <c r="G839" s="243" t="inlineStr">
        <is>
          <t>#6</t>
        </is>
      </c>
      <c r="H839" s="308" t="inlineStr">
        <is>
          <t>Re-extract the document into the eCoA database (two independent reads, 300 DPI). Until then the lot cannot reach a CoQ on these parameters.</t>
        </is>
      </c>
    </row>
    <row r="840">
      <c r="A840" s="307" t="inlineStr">
        <is>
          <t>not ingested</t>
        </is>
      </c>
      <c r="B840" s="244" t="inlineStr">
        <is>
          <t>OPM052501</t>
        </is>
      </c>
      <c r="C840" s="243" t="inlineStr">
        <is>
          <t>P050132</t>
        </is>
      </c>
      <c r="D840" s="243" t="inlineStr">
        <is>
          <t>ППК25257</t>
        </is>
      </c>
      <c r="E840" s="245" t="n">
        <v>45905</v>
      </c>
      <c r="F840" s="243" t="inlineStr">
        <is>
          <t>CNP</t>
        </is>
      </c>
      <c r="G840" s="243" t="inlineStr">
        <is>
          <t>#6</t>
        </is>
      </c>
      <c r="H840" s="308" t="inlineStr">
        <is>
          <t>Re-extract the document into the eCoA database (two independent reads, 300 DPI). Until then the lot cannot reach a CoQ on these parameters.</t>
        </is>
      </c>
    </row>
    <row r="841">
      <c r="A841" s="307" t="inlineStr">
        <is>
          <t>not ingested</t>
        </is>
      </c>
      <c r="B841" s="244" t="inlineStr">
        <is>
          <t>OPM112501</t>
        </is>
      </c>
      <c r="C841" s="243" t="inlineStr">
        <is>
          <t>P060222</t>
        </is>
      </c>
      <c r="D841" s="243" t="inlineStr">
        <is>
          <t>ППК26031</t>
        </is>
      </c>
      <c r="E841" s="245" t="n">
        <v>46086</v>
      </c>
      <c r="F841" s="243" t="inlineStr">
        <is>
          <t>CNP</t>
        </is>
      </c>
      <c r="G841" s="243" t="inlineStr">
        <is>
          <t>#6</t>
        </is>
      </c>
      <c r="H841" s="308" t="inlineStr">
        <is>
          <t>Re-extract the document into the eCoA database (two independent reads, 300 DPI). Until then the lot cannot reach a CoQ on these parameters.</t>
        </is>
      </c>
    </row>
    <row r="842">
      <c r="A842" s="307" t="inlineStr">
        <is>
          <t>not ingested</t>
        </is>
      </c>
      <c r="B842" s="244" t="inlineStr">
        <is>
          <t>PM072501</t>
        </is>
      </c>
      <c r="C842" s="243" t="inlineStr">
        <is>
          <t>P050272</t>
        </is>
      </c>
      <c r="D842" s="243" t="inlineStr">
        <is>
          <t>ППК25368</t>
        </is>
      </c>
      <c r="E842" s="245" t="n">
        <v>45989</v>
      </c>
      <c r="F842" s="243" t="inlineStr">
        <is>
          <t>CNP</t>
        </is>
      </c>
      <c r="G842" s="243" t="inlineStr">
        <is>
          <t>#6</t>
        </is>
      </c>
      <c r="H842" s="308" t="inlineStr">
        <is>
          <t>Re-extract the document into the eCoA database (two independent reads, 300 DPI). Until then the lot cannot reach a CoQ on these parameters.</t>
        </is>
      </c>
    </row>
    <row r="845" ht="20" customHeight="1" s="70">
      <c r="A845" s="264" t="inlineStr">
        <is>
          <t>OPEN ITEMS</t>
        </is>
      </c>
    </row>
    <row r="846">
      <c r="A846" s="310" t="inlineStr">
        <is>
          <t>Ref</t>
        </is>
      </c>
      <c r="B846" s="310" t="inlineStr">
        <is>
          <t>Area</t>
        </is>
      </c>
      <c r="C846" s="310" t="inlineStr">
        <is>
          <t>State</t>
        </is>
      </c>
      <c r="D846" s="310" t="inlineStr">
        <is>
          <t>Item</t>
        </is>
      </c>
      <c r="E846" s="310" t="inlineStr">
        <is>
          <t>What was found</t>
        </is>
      </c>
      <c r="F846" s="310" t="inlineStr">
        <is>
          <t>What the desk did</t>
        </is>
      </c>
      <c r="G846" s="310" t="inlineStr">
        <is>
          <t>What is needed</t>
        </is>
      </c>
      <c r="H846" s="310" t="inlineStr">
        <is>
          <t>Evidence</t>
        </is>
      </c>
    </row>
    <row r="847" ht="66" customHeight="1" s="70">
      <c r="A847" s="311" t="inlineStr">
        <is>
          <t>OI-01</t>
        </is>
      </c>
      <c r="B847" s="311" t="inlineStr">
        <is>
          <t>Specification</t>
        </is>
      </c>
      <c r="C847" s="312" t="inlineStr">
        <is>
          <t>marked</t>
        </is>
      </c>
      <c r="D847" s="313" t="inlineStr">
        <is>
          <t>A lot graded IV or V whose strain has no specification at that grade</t>
        </is>
      </c>
      <c r="E847" s="313" t="inlineStr">
        <is>
          <t>The QCSP 001 specification is issued per strain AND per grade. Cap Junky is on file at grades I, II and III; CJ082501/2 is grade IV. Grape Pie and Orange Punch Mimosa stop at IV and each has a grade V lot. Exactly one grade V specification exists in the whole issued set (Clemosa).</t>
        </is>
      </c>
      <c r="F847" s="313" t="inlineStr">
        <is>
          <t>The phenotype, chemotype, processing and packaging pills are left unticked and the band is marked, on 3 lots.</t>
        </is>
      </c>
      <c r="G847" s="313" t="inlineStr">
        <is>
          <t>May a lot cite the specification of its own strain at the nearest grade on file? The evidence says the attributes do not depend on grade: across 71 strains and 257 issued specifications, phenotype, dominance, chemotype, processing and packaging differ between grades of one strain in ZERO cases.</t>
        </is>
      </c>
      <c r="H847" s="313" t="inlineStr">
        <is>
          <t>spec_attributes_2026-09-10.csv; CJ082501/2, GP082501/2, OPM122501</t>
        </is>
      </c>
    </row>
    <row r="848" ht="66" customHeight="1" s="70">
      <c r="A848" s="311" t="inlineStr">
        <is>
          <t>OI-02</t>
        </is>
      </c>
      <c r="B848" s="311" t="inlineStr">
        <is>
          <t>Specification</t>
        </is>
      </c>
      <c r="C848" s="312" t="inlineStr">
        <is>
          <t>marked</t>
        </is>
      </c>
      <c r="D848" s="313" t="inlineStr">
        <is>
          <t>Two certificates name a specification by potency band instead of grade</t>
        </is>
      </c>
      <c r="E848" s="313" t="inlineStr">
        <is>
          <t>GP052501 names QCSP_001_GP-THC18_v.01 and GRC102501/2 names QCSP_001_GRC-THC12_v.01. Neither exists in the issued set under any name — but QCSP_001_GP-IV_v.01 does, and IV is the grade GP052501 carries.</t>
        </is>
      </c>
      <c r="F848" s="313" t="inlineStr">
        <is>
          <t>Both pills are marked. No substitution was made without a ruling.</t>
        </is>
      </c>
      <c r="G848" s="313" t="inlineStr">
        <is>
          <t>Is the potency-band name an older convention for the same document? If so the desk joins on the grade and both resolve immediately.</t>
        </is>
      </c>
      <c r="H848" s="313" t="inlineStr">
        <is>
          <t>export_coq_artifact_data.py specification join; 2 lots</t>
        </is>
      </c>
    </row>
    <row r="849" ht="66" customHeight="1" s="70">
      <c r="A849" s="311" t="inlineStr">
        <is>
          <t>OI-03</t>
        </is>
      </c>
      <c r="B849" s="311" t="inlineStr">
        <is>
          <t>Specification</t>
        </is>
      </c>
      <c r="C849" s="314" t="inlineStr">
        <is>
          <t>open</t>
        </is>
      </c>
      <c r="D849" s="313" t="inlineStr">
        <is>
          <t>Thirty-two lots have no grade, so no specification can be named at all</t>
        </is>
      </c>
      <c r="E849" s="313" t="inlineStr">
        <is>
          <t>The grade comes from product_specifications_QCSP001.json, built from the specification copies handed out with the tranches, which covers 48 of the 80 lots. For the other 32 the desk cannot compose a specification code, and the certificate names none.</t>
        </is>
      </c>
      <c r="F849" s="313" t="inlineStr">
        <is>
          <t>Nothing is printed and nothing is guessed.</t>
        </is>
      </c>
      <c r="G849" s="313" t="inlineStr">
        <is>
          <t>Where is the grade for the remaining 32 lots recorded? Once the desk has it, the specification code follows from the strain and the pills fill themselves.</t>
        </is>
      </c>
      <c r="H849" s="313" t="inlineStr">
        <is>
          <t>48 of 80 lots indexed; 68 of 164 certificate records carry no grade</t>
        </is>
      </c>
    </row>
    <row r="850" ht="66" customHeight="1" s="70">
      <c r="A850" s="311" t="inlineStr">
        <is>
          <t>OI-04</t>
        </is>
      </c>
      <c r="B850" s="311" t="inlineStr">
        <is>
          <t>Result reading</t>
        </is>
      </c>
      <c r="C850" s="312" t="inlineStr">
        <is>
          <t>marked</t>
        </is>
      </c>
      <c r="D850" s="313" t="inlineStr">
        <is>
          <t>Four lots where which analyte the figure belongs to decides pass or fail</t>
        </is>
      </c>
      <c r="E850" s="313" t="inlineStr">
        <is>
          <t>The release certificates print the mycotoxin sub-parameters as one block and the desk maps the value to an analyte by its position in the block, not by a printed name. CLE072501, OPM092501, OPM1024_03 and OPM122501 report 2.1–2.2 µg/kg: as total aflatoxins (limit 4) they pass, as Aflatoxin B1 (limit 2) they fail.</t>
        </is>
      </c>
      <c r="F850" s="313" t="inlineStr">
        <is>
          <t>The figure is printed as the desk reads it and the lot is named here. None of the four may be signed until a person has read the page.</t>
        </is>
      </c>
      <c r="G850" s="313" t="inlineStr">
        <is>
          <t>Read the four certificates and confirm which analyte the figure belongs to.</t>
        </is>
      </c>
      <c r="H850" s="313" t="inlineStr">
        <is>
          <t>COQ_DRAFTING_2026-09-10.md; 4 lots</t>
        </is>
      </c>
    </row>
    <row r="851" ht="66" customHeight="1" s="70">
      <c r="A851" s="311" t="inlineStr">
        <is>
          <t>OI-05</t>
        </is>
      </c>
      <c r="B851" s="311" t="inlineStr">
        <is>
          <t>Result reading</t>
        </is>
      </c>
      <c r="C851" s="314" t="inlineStr">
        <is>
          <t>open</t>
        </is>
      </c>
      <c r="D851" s="313" t="inlineStr">
        <is>
          <t>Nineteen lots print a Total Δ⁹-THC outside the range printed beside it</t>
        </is>
      </c>
      <c r="E851" s="313" t="inlineStr">
        <is>
          <t>The acceptance test was one-sided — it asked only whether a value exceeded its limit — so an assay BELOW its band was never flagged anywhere. Corpus-wide, 19 lots carry a potency outside the range on their own certificate, every one recorded as covered.</t>
        </is>
      </c>
      <c r="F851" s="313" t="inlineStr">
        <is>
          <t>The comparison now happens in the gap report, never on the certificate, and the report declines any criterion it cannot read as two numbers.</t>
        </is>
      </c>
      <c r="G851" s="313" t="inlineStr">
        <is>
          <t>Each of the 19 needs a disposition: re-read, re-test, or a regrade.</t>
        </is>
      </c>
      <c r="H851" s="313" t="inlineStr">
        <is>
          <t>status_of / the two-sided criterion; 19 lots</t>
        </is>
      </c>
    </row>
    <row r="852" ht="66" customHeight="1" s="70">
      <c r="A852" s="311" t="inlineStr">
        <is>
          <t>OI-06</t>
        </is>
      </c>
      <c r="B852" s="311" t="inlineStr">
        <is>
          <t>Reconciliation</t>
        </is>
      </c>
      <c r="C852" s="314" t="inlineStr">
        <is>
          <t>open</t>
        </is>
      </c>
      <c r="D852" s="313" t="inlineStr">
        <is>
          <t>Forty-six disagreements between the desk and the owner's 09.09 pass</t>
        </is>
      </c>
      <c r="E852" s="313" t="inlineStr">
        <is>
          <t>Put side by side on the Reconciliation 09.09 sheet: 218 determinations agree, 46 do not. One was a loss on drying of 76.07 % read on GG1024 against a 12.0 % limit: the Head of QC ruled it a typo on 17.09.2026 and set the value to 7.8 % (ППК25008), so both GG1024 certificates now print 7.8 % within the limit; the pass file carries the corrected value. The other 45 stand.</t>
        </is>
      </c>
      <c r="F852" s="313" t="inlineStr">
        <is>
          <t>One of the 46 is resolved by the Head of QC's ruling. The rest are not resolved by the desk; both readings are shown with their sources.</t>
        </is>
      </c>
      <c r="G852" s="313" t="inlineStr">
        <is>
          <t>A person reads the page for each of the 46 and says which reading stands.</t>
        </is>
      </c>
      <c r="H852" s="313" t="inlineStr">
        <is>
          <t>Reconciliation 09.09 sheet; 46 rows</t>
        </is>
      </c>
    </row>
    <row r="853" ht="66" customHeight="1" s="70">
      <c r="A853" s="311" t="inlineStr">
        <is>
          <t>OI-07</t>
        </is>
      </c>
      <c r="B853" s="311" t="inlineStr">
        <is>
          <t>Issuance</t>
        </is>
      </c>
      <c r="C853" s="314" t="inlineStr">
        <is>
          <t>open</t>
        </is>
      </c>
      <c r="D853" s="313" t="inlineStr">
        <is>
          <t>Fifty-seven certificates of quality are dated on a Saturday</t>
        </is>
      </c>
      <c r="E853" s="313" t="inlineStr">
        <is>
          <t>06.06.2026, the blanket date for everything that would otherwise issue before the specification SOP, is a Saturday. The builder's own convention is that a controlled document issues on a working day.</t>
        </is>
      </c>
      <c r="F853" s="313" t="inlineStr">
        <is>
          <t>The owner's date outranks the desk's convention, so it is kept as given and the workbook carries a flag saying it was chosen deliberately.</t>
        </is>
      </c>
      <c r="G853" s="313" t="inlineStr">
        <is>
          <t>Confirm 06.06.2026, or name the working day it moves to (08.06.2026 is the Monday).</t>
        </is>
      </c>
      <c r="H853" s="313" t="inlineStr">
        <is>
          <t>issuance_schedule.COQ_BLANKET; 57 certificates</t>
        </is>
      </c>
    </row>
    <row r="854" ht="66" customHeight="1" s="70">
      <c r="A854" s="311" t="inlineStr">
        <is>
          <t>OI-08</t>
        </is>
      </c>
      <c r="B854" s="311" t="inlineStr">
        <is>
          <t>Reference</t>
        </is>
      </c>
      <c r="C854" s="314" t="inlineStr">
        <is>
          <t>open</t>
        </is>
      </c>
      <c r="D854" s="313" t="inlineStr">
        <is>
          <t>Five result cells cite an SOP form number instead of a certificate</t>
        </is>
      </c>
      <c r="E854" s="313" t="inlineStr">
        <is>
          <t>NGP-QCG-SOP-024 F3, (28.11.2025) [NGP] carries Identification C, Total Δ⁹-THC, Total CBD, Total CBN and loss on drying for BSS052501 and GP062501 — including the banner assays 20.39 % and 24.89 %. A form number is not a document code and cannot be cited on a certificate of quality.</t>
        </is>
      </c>
      <c r="F854" s="313" t="inlineStr">
        <is>
          <t>The reference is printed as it stands and the lots are named here.</t>
        </is>
      </c>
      <c r="G854" s="313" t="inlineStr">
        <is>
          <t>Does the NGP laboratory issue a numbered report for this work? If not, these results need a different basis.</t>
        </is>
      </c>
      <c r="H854" s="313" t="inlineStr">
        <is>
          <t>2 lots, 10 result cells</t>
        </is>
      </c>
    </row>
    <row r="855" ht="66" customHeight="1" s="70">
      <c r="A855" s="311" t="inlineStr">
        <is>
          <t>OI-09</t>
        </is>
      </c>
      <c r="B855" s="311" t="inlineStr">
        <is>
          <t>Reference</t>
        </is>
      </c>
      <c r="C855" s="314" t="inlineStr">
        <is>
          <t>open</t>
        </is>
      </c>
      <c r="D855" s="313" t="inlineStr">
        <is>
          <t>One laboratory report is on file twice, once per language</t>
        </is>
      </c>
      <c r="E855" s="313" t="inlineStr">
        <is>
          <t>10802_2845-2 EN and 10802_2845-2 MK are the same DFL report for BSS052501, cited as two documents, which is why that lot's certificate count reads one higher than the sheet's.</t>
        </is>
      </c>
      <c r="F855" s="313" t="inlineStr">
        <is>
          <t>Both are cited as the desk found them.</t>
        </is>
      </c>
      <c r="G855" s="313" t="inlineStr">
        <is>
          <t>Confirm the two files are one report, and which language version is the controlled copy.</t>
        </is>
      </c>
      <c r="H855" s="313" t="inlineStr">
        <is>
          <t>BSS052501; Batch Coverage Certificates (n)</t>
        </is>
      </c>
    </row>
    <row r="856" ht="66" customHeight="1" s="70">
      <c r="A856" s="311" t="inlineStr">
        <is>
          <t>OI-10</t>
        </is>
      </c>
      <c r="B856" s="311" t="inlineStr">
        <is>
          <t>Batch identity</t>
        </is>
      </c>
      <c r="C856" s="314" t="inlineStr">
        <is>
          <t>open</t>
        </is>
      </c>
      <c r="D856" s="313" t="inlineStr">
        <is>
          <t>Three delivered lots have no cultivation batch recorded anywhere</t>
        </is>
      </c>
      <c r="E856" s="313" t="inlineStr">
        <is>
          <t>P160012, P160022 and P160032 carry full CNP results (ППК26117/18/19, 06.07.2026) and a P number in a series of their own, but no cultivation batch, and no row at all in the Head of QC's Batch Dates list — so no manufacturing date and no internal CoA basis.</t>
        </is>
      </c>
      <c r="F856" s="313" t="inlineStr">
        <is>
          <t>Each row now names its P number inside the label so the three are distinguishable and no join collapses them; the cultivation batch is left unrecorded rather than invented.</t>
        </is>
      </c>
      <c r="G856" s="313" t="inlineStr">
        <is>
          <t>What are the cultivation batches, manufacturing and packaging dates for the P1600xx series?</t>
        </is>
      </c>
      <c r="H856" s="313" t="inlineStr">
        <is>
          <t>3 lots; also absent from Batch Dates: JD112501＊</t>
        </is>
      </c>
    </row>
    <row r="857" ht="66" customHeight="1" s="70">
      <c r="A857" s="311" t="inlineStr">
        <is>
          <t>OI-11</t>
        </is>
      </c>
      <c r="B857" s="311" t="inlineStr">
        <is>
          <t>Batch identity</t>
        </is>
      </c>
      <c r="C857" s="314" t="inlineStr">
        <is>
          <t>open</t>
        </is>
      </c>
      <c r="D857" s="313" t="inlineStr">
        <is>
          <t>One lot carries two P batches in a single cell</t>
        </is>
      </c>
      <c r="E857" s="313" t="inlineStr">
        <is>
          <t>GRC102501 is recorded against P060142 / P060182 in one cell, so its coverage row aggregates what are arguably two lots and its certificate count cannot reconcile.</t>
        </is>
      </c>
      <c r="F857" s="313" t="inlineStr">
        <is>
          <t>Left as the owner's tracker records it.</t>
        </is>
      </c>
      <c r="G857" s="313" t="inlineStr">
        <is>
          <t>Are these one lot packed into two P batches, or two lots sharing a cultivation batch? If two, they need two rows.</t>
        </is>
      </c>
      <c r="H857" s="313" t="inlineStr">
        <is>
          <t>GRC102501</t>
        </is>
      </c>
    </row>
    <row r="858" ht="66" customHeight="1" s="70">
      <c r="A858" s="311" t="inlineStr">
        <is>
          <t>OI-12</t>
        </is>
      </c>
      <c r="B858" s="311" t="inlineStr">
        <is>
          <t>Batch identity</t>
        </is>
      </c>
      <c r="C858" s="315" t="inlineStr">
        <is>
          <t>ruled</t>
        </is>
      </c>
      <c r="D858" s="313" t="inlineStr">
        <is>
          <t>A lot and its ＊ sub-lot are credited from the same three documents</t>
        </is>
      </c>
      <c r="E858" s="313" t="inlineStr">
        <is>
          <t>JD112501 and JD112501＊ both cite ППК26065, 2365-2026 and 306-0550-26. On the parent those readings are marked on file, not credited; on the sub-lot they are credited. The sub-lot's microbiology block also carries the parent's round-1 values while its cannabinoids and metals come from round 2. Read on the pages on 16.09.2026: ППК26063 and ППК26065 are the same lot P060212, the same sample description (Сув сомелен цвет од медицински канабис сорта Jelly Donutz), the same delivery of 21.04.2026, the same DAB method and the same 12 g — the batch number is the ONLY difference between the two pages, ППК26063 reading JD112501 and ППК26065 reading JD112501*. The owner's own resolution pass of 09.09.2026 gives JD112501/P060212 a complete panel and cites ППК26063 for #3-#6 and #8; ППК26065 is cited nowhere in it.</t>
        </is>
      </c>
      <c r="F858" s="313" t="inlineStr">
        <is>
          <t>Owner's ruling of 16.09.2026: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it is ONE batch and two samples, not two lots. testing_series.EXPERIMENTAL holds the starred certificates and build_coq_schedule drops them before the release/reissue split, so they source no certificate of quality; everywhere else the result stands. The certificates were already right: CoQ-PP_26-057 prints 19.64 % from ППК26063 and CoQ-PP_26-098 prints 20.32 % from 197-15-К/26. Neither prints 13.93 %.</t>
        </is>
      </c>
      <c r="G858" s="313" t="inlineStr">
        <is>
          <t>Two consequences of the ruling to see, and one thing still unwritten. (1) The 09.09 resolution pass cited 306-0550-26 — the STARRED sample's microbiology, TAMC 1 × 10⁴ — for JD112501's #9, and the unstarred 2361-2026 for #10–#12. Under the ruling the starred sample does not certify, so since the intake of 16.09.2026 (intake_IJZ0426_2026-09-16) CoQ-PP_26-057 cites 307/0551/26, TAMC 2,6 × 10³, for #9. Both conform. Is that right, or does the pass's choice stand for microbiology? (2) The certificate's "Also on file" note no longer names the starred value beside the release result (13.93 % beside 19.64 %): the exclusion reaches the footnote as well as the cited document. Should the certificate declare on its face that a second sample exists, or stay silent about it? (3) What the asterisk DENOTES on the floor — hand-trimmed material, a different drying or milling treatment, a sampling position — is still unwritten; the pages do not say and the desk will not infer it.</t>
        </is>
      </c>
      <c r="H858" s="313" t="inlineStr">
        <is>
          <t>ППК26063 / ППК26065 (both P060212); the scans 110526_ППК26063_CNP_JD112501-P060212.pdf and 110526_ППК26065_CNP_JD112501＊-P060212.pdf; cell_resolution_2026-09-09.tsv; testing_series.EXPERIMENTAL</t>
        </is>
      </c>
    </row>
    <row r="859" ht="66" customHeight="1" s="70">
      <c r="A859" s="311" t="inlineStr">
        <is>
          <t>OI-29</t>
        </is>
      </c>
      <c r="B859" s="311" t="inlineStr">
        <is>
          <t>Document identity</t>
        </is>
      </c>
      <c r="C859" s="314" t="inlineStr">
        <is>
          <t>open</t>
        </is>
      </c>
      <c r="D859" s="313" t="inlineStr">
        <is>
          <t>The two series count different things, so they cannot be the same length</t>
        </is>
      </c>
      <c r="E859" s="313" t="inlineStr">
        <is>
          <t>The ruling of 10.09.2026 says the internal certificates are "one per testing round, which is EXACTLY the number of certificates of quality". They are not, and the reason is that the two registers count different things. icoa_register.py counts rounds the testing record SHOWS: 102 over 76 lots. The certificate-of-quality model counts certificates it PLANS: exactly two per lot — one release and one retest — 164 over 82 lots, 103 of them predicted. Across the 76 lots both carry, the counts agree on 14 and differ on 62. GP0824_02 has six testing rounds and two certificates of quality; GP062501 has five; GP0824_03 has four.</t>
        </is>
      </c>
      <c r="F859" s="313" t="inlineStr">
        <is>
          <t>Nothing renumbered. The internal register was brought to one row per round on 11.09.2026 because that is what the ruling says it is; the CoQ series was left exactly as it stands, because renumbering controlled documents the owner has already seen is not a change to make on a reading. No certificate loses a code to this today: no lot has more than one non-initial certificate of quality, so the single |R row still resolves for every one of them.</t>
        </is>
      </c>
      <c r="G859" s="313" t="inlineStr">
        <is>
          <t>Does a lot with four retest rounds take four reissued certificates of quality — one per round, matching its four internal certificates — or one reissue per retest campaign, as the register plans now? The first reading makes the ruling's arithmetic true and renumbers the CoQ series; the second keeps the series and means the sentence describes the rounds that produce a certificate, not every round on the record.</t>
        </is>
      </c>
      <c r="H859" s="313" t="inlineStr">
        <is>
          <t>icoa_register.py 102 rounds / 76 lots vs coq_artifact_data.json 164 records / 82 lots; 3 lots with 4, 5 and 6 rounds</t>
        </is>
      </c>
    </row>
    <row r="860" ht="66" customHeight="1" s="70">
      <c r="A860" s="311" t="inlineStr">
        <is>
          <t>OI-28</t>
        </is>
      </c>
      <c r="B860" s="311" t="inlineStr">
        <is>
          <t>Batch identity</t>
        </is>
      </c>
      <c r="C860" s="315" t="inlineStr">
        <is>
          <t>ruled</t>
        </is>
      </c>
      <c r="D860" s="313" t="inlineStr">
        <is>
          <t>The starred spellings are one lot each with their unstarred namesakes — applied; one word confirms it</t>
        </is>
      </c>
      <c r="E860" s="313" t="inlineStr">
        <is>
          <t>Raised on 10.09.2026 as seven starred lots with no internal certificate. The audit of 16.09.2026 re-read the premise: only THREE of the seven are starred anywhere (GG012601*, JD012601*, SCR012601* on the Head of QC's batch list; GG1024, BSS1024_01/2, WED102501 and GRC102501 carry no star and were resolved by v31), and all seven have carried an iCoA row since the 227-К and 220-М intakes. What the star still broke was two lots: the batch list writes GG012601* against P060302 and JD012601* against P060312, the release register labels the same blocks GG012601 and JD012601 with no P number, and icoa_register.py looked the packaging date and the P lot up by the unstarred label — so iCoA-PP_26-087 and -088 had no testing date and the two Tranche 3 release certificates stood at "— at issue —", withheld over a glyph. iCoA-PP_26-090 (SCR012601) had no testing date for the same reason. No unstarred twin sample exists for any of the three: the certificates that name the lot print the star (ППК26062, 310/0554/26, 2364/2026; ППК26064, 309/0553/26, 2363/2026), each P number has exactly one cultivation-batch spelling on the list, and the identity questions of 07.09.2026 proposed one lot for each (and for FB012602*, starred on the list alone).</t>
        </is>
      </c>
      <c r="F860" s="313" t="inlineStr">
        <is>
          <t>Applied as a consequence of the ruling of 16.09.2026 — "if both THC results are assigned with the same P number production batch, that means it is the same batch" — recorded as data: ingestion/ecoa_runner/identity_decisions.tsv carries a batch_alias row for each of GG012601*, JD012601*, SCR012601*, FB012602* and JD112501*, and batch_key applies them after normalising, so the two spellings key alike everywhere at once. The rule itself is unchanged — a star on a spelling no person has ruled on still keeps the mark. Consequence in the build: iCoA-PP_26-087, -088 and -090 take their testing dates from the packaging (20.05, 21.05, 25.05.2026) and the release certificates of P060302 and P060312 are no longer withheld.</t>
        </is>
      </c>
      <c r="G860" s="313" t="inlineStr">
        <is>
          <t>The four rows for GG012601*, JD012601*, SCR012601* and FB012602* say "the desk, as a consequence of the ruling" where the JD112501* row says "Head of QC". One word from the Head of QC turns the four into rulings; one word reverses them.</t>
        </is>
      </c>
      <c r="H860" s="313" t="inlineStr">
        <is>
          <t>ingestion/ecoa_runner/identity_decisions.tsv (batch_alias, 16.09.2026); identity_questions_2026-09-07.tsv rows 2–6; icoa_register.py:227/:246; tracker/FLEET_FINDINGS_2026-09-16.md</t>
        </is>
      </c>
    </row>
    <row r="861" ht="66" customHeight="1" s="70">
      <c r="A861" s="311" t="inlineStr">
        <is>
          <t>OI-30</t>
        </is>
      </c>
      <c r="B861" s="311" t="inlineStr">
        <is>
          <t>Method status</t>
        </is>
      </c>
      <c r="C861" s="314" t="inlineStr">
        <is>
          <t>open</t>
        </is>
      </c>
      <c r="D861" s="313" t="inlineStr">
        <is>
          <t>The Loss on Drying method text is not verified per lot against the era it was tested in</t>
        </is>
      </c>
      <c r="E861" s="313" t="inlineStr">
        <is>
          <t>ISSUANCE_RULES_2026-09-10.md §4 records the ruling: "the Center for Natural Products first used the German pharmacopoeia method for the cannabinoids with loss on drying &lt; 10 %; after the Ph. Eur. cannabis monograph 3028 it uses the Ph. Eur. method and ≤ 12 %. Both eras are on file and the certificates should attribute the method each lot was actually tested by." The certificate prints one method line for every lot — "Ph. Eur. 2.2.32 (3028) · at 40 °C, 24 h, 15–25 mbar", ≤ 12.0 % — regardless of which method the certifying laboratory actually used. Only one lot's own numeric result sits where the two criteria disagree — J31122501, 10.30 % on 100-2-ГС/26 — and that one is already resolved: the certificate prints its own limit as &lt; 12, so ≤ 12.0 % is its own specification, not a substitution (export_coq_artifact_data.py corpus_contradictions, documented 31.08.2026). The other 69 numeric results are all under 10 %, where the two criteria agree regardless. What is NOT verified is the METHOD TEXT itself on the other ~94 lots: no certificate's own method paragraph is in the desk's record, only its number, so a lot actually tested and reported under the German pharmacopoeia method would still print the Ph. Eur. 2.2.32 (3028) method line here.</t>
        </is>
      </c>
      <c r="F861" s="313" t="inlineStr">
        <is>
          <t>Nothing changed on the printed method text — it was already uniform before this check and stays uniform, because there is no per-certificate method record to read it from. Nothing is guessed.</t>
        </is>
      </c>
      <c r="G861" s="313" t="inlineStr">
        <is>
          <t>Is a fixed method line acceptable because Ph. Eur. 3028 is now the specification the desk certifies against regardless of what a given laboratory used at the time (i.e. the ACCEPTANCE CRITERION is what the SOP requires today, not a transcription of each certificate's own method paragraph)? If so this item closes as designed. If not, which lots were tested under the older method needs to come from re-reading each Loss on Drying certificate's own text, which the desk has not done.</t>
        </is>
      </c>
      <c r="H861" s="313" t="inlineStr">
        <is>
          <t>ISSUANCE_RULES_2026-09-10.md §4; extract_product_specifications.py #8; 70 numeric results, 1 in the disputed band (already resolved)</t>
        </is>
      </c>
    </row>
    <row r="862" ht="66" customHeight="1" s="70">
      <c r="A862" s="311" t="inlineStr">
        <is>
          <t>OI-31</t>
        </is>
      </c>
      <c r="B862" s="311" t="inlineStr">
        <is>
          <t>Batch identity</t>
        </is>
      </c>
      <c r="C862" s="314" t="inlineStr">
        <is>
          <t>open</t>
        </is>
      </c>
      <c r="D862" s="313" t="inlineStr">
        <is>
          <t>Six batches are silently filed under one strain name where a source document keeps two</t>
        </is>
      </c>
      <c r="E862" s="313" t="inlineStr">
        <is>
          <t>DELIVERY_RECONCILIATION_2026-09-07.md records, and never closes: "the desk files GG4 (GG012601, GG012603, GG112501) and Gorilla Glue (GG1024, GG1024_01, GG1024_02) under one strain name, while the delivery sheet keeps them apart as two strains." It was never promoted to a tracked question — unlike its six siblings in the same finding (Sleepy Joe/Joy, Permanent Marker/Market, Wedding Crusher/Crasher, Appels &amp; Bananas/Apple and Banana, Jelly Donuts/Donutz, Clemosa/Clemosa a Bud), which all print on the Work Order sheet as "strain name unruled" rows. The iCoA Register today prints all six GG batches as strain ‘Gorilla Glue’ — a de facto merge nobody ruled on.</t>
        </is>
      </c>
      <c r="F862" s="313" t="inlineStr">
        <is>
          <t>Nothing decided. strains.py's own rule is explicit: it repairs a missing space (decides nothing) and lists a letter-for-letter disagreement in CONFLICTS for a ruling (decides nothing either) — it does not merge two names that differ in their letters, and GG4 / Gorilla Glue do. GG012601, GG012603, GG112501, GG1024_01 and GG1024_02 carry no specification on file today regardless (OI-03), so no certificate currently prints a grade or a THC range that would be wrong if the merge is wrong — but the moment a specification is filed for either name, whichever certificate resolution runs first decides the other five lots' grade by default.</t>
        </is>
      </c>
      <c r="G862" s="313" t="inlineStr">
        <is>
          <t>Is GG4 the same strain as Gorilla Glue, or a separate strain that happens to be filed under it? If separate, the six lots need their own strain field and, in time, their own specification.</t>
        </is>
      </c>
      <c r="H862" s="313" t="inlineStr">
        <is>
          <t>tracker/DELIVERY_RECONCILIATION_2026-09-07.md §5; tracker/strains.py; iCoA Register Strain column, 6 lots</t>
        </is>
      </c>
    </row>
    <row r="863" ht="66" customHeight="1" s="70">
      <c r="A863" s="311" t="inlineStr">
        <is>
          <t>OI-32</t>
        </is>
      </c>
      <c r="B863" s="311" t="inlineStr">
        <is>
          <t>Batch identity</t>
        </is>
      </c>
      <c r="C863" s="314" t="inlineStr">
        <is>
          <t>open</t>
        </is>
      </c>
      <c r="D863" s="313" t="inlineStr">
        <is>
          <t>Five of the thirty Tranche 3 potency retests rest on one page read</t>
        </is>
      </c>
      <c r="E863" s="313" t="inlineStr">
        <is>
          <t>Farmahem's 227-К/26 series — thirty cannabinoid certificates for the Tranche 3 sampling, issued 11.09.2026 — is in the record since the intake of 15.09.2026 (intake_227K_2026-09-15/): every one of them a retest, as the owner ruled on 12.09.2026, each in a campaign round of its own and sampled 19–21.08.2026 by the owner's ruling of 15.09.2026. Twenty-five were written after the page read and the checkpoint transcription of the same day (master_coa_table.tsv, commit 7393bc4) agreed on the batch, the P lot, the date and every result. Five have no second read on file: 227-1-К/26 (BSS1024_01/2, P050142), 227-4-К/26 (WED102501, P060102), 227-8-К/26 (SCR012601, P060342), 227-16-К/26 (GRC102501/1, P060142) and 227-29-К/26 (BSS1024_01/1, P050122). The first four batches had no register block and were given one (No. 90–93), with the P lot the certificate prints — the same P lot the Head of QC's batch list gives them; the fifth went into the register's BSS1024_01 block, whose P lot P050122 the certificate prints.</t>
        </is>
      </c>
      <c r="F863" s="313" t="inlineStr">
        <is>
          <t>The five are written on the page read alone and say so in the tracker instance's source. The identity question the desk had raised — whether a 227-К certificate could be a batch's first potency determination — is settled by the ruling that the series is a retest series (testing_series.rounds), so the four batches' release potency is simply not on file, which the CoQ Register already flags per lot.</t>
        </is>
      </c>
      <c r="G863" s="313" t="inlineStr">
        <is>
          <t>A second read of the five pages (or the owner's confirmation of the transcribed values: 26.69 / &lt;LOQ / &lt;LOQ; 25.15 / &lt;LOQ / &lt;LOQ; 22.40 / &lt;LOQ / &lt;LOQ; 7.50 / &lt;LOQ / &lt;LOQ; 26.10 / &lt;LOQ / 0.20 for THC / CBD / CBN), and confirmation that BSS1024_01/1 on 227-29-К/26 is the register's BSS1024_01 (P050122).</t>
        </is>
      </c>
      <c r="H863" s="313" t="inlineStr">
        <is>
          <t>intake_227K_2026-09-15/ (reads_227K.json, checkpoint_master_coa_table.json, apply_227K.py); PP_Batch_Release_QC_Register_SUBLOT_2026-09-01.xlsx after apply_227K.py; tracker/batch_dates.csv</t>
        </is>
      </c>
    </row>
    <row r="864" ht="66" customHeight="1" s="70">
      <c r="A864" s="311" t="inlineStr">
        <is>
          <t>OI-33</t>
        </is>
      </c>
      <c r="B864" s="311" t="inlineStr">
        <is>
          <t>Batch identity</t>
        </is>
      </c>
      <c r="C864" s="314" t="inlineStr">
        <is>
          <t>open</t>
        </is>
      </c>
      <c r="D864" s="313" t="inlineStr">
        <is>
          <t>Two batches on the Tranche 2 mycotoxin certificates are on no list the desk holds</t>
        </is>
      </c>
      <c r="E864" s="313" t="inlineStr">
        <is>
          <t>Farmahem 220-31-М/26 (Fat Bastard, printed FB042601) and 220-32-М/26 (Cash Cow, printed CC042601), issued 11.09.2026, name a cultivation batch and no P-number. Neither batch is in the release register, on the Head of QC's batch list (tracker/batch_dates.csv) or on the owner's tracker — the two certificates are the desk's only record that the batches exist. A third certificate of the same delivery, 220-30-М/26 (Jelly Donutz, printed JD042601), prints no P-number either, but the batch list carries JD042601 as P060492 (harvest 21.07.2026, packaged 13.08.2026, four days before the laboratory received the sample), so its block and its tracker lot took that P-number from the list.</t>
        </is>
      </c>
      <c r="F864" s="313" t="inlineStr">
        <is>
          <t>The intake of 14.09.2026 opens a release-register block for each (No. 88 and 89) with the cultivation code, no P-number and the strain as printed, and a tracker lot of the same name. With no packaging date there is no day to date an internal CoA on and no place in the issuance series; the one result each carries is ND.</t>
        </is>
      </c>
      <c r="G864" s="313" t="inlineStr">
        <is>
          <t>The P-number, harvest and packaging dates of FB042601 and CC042601 for the batch list — or the ruling that they are R&amp;D lots outside the release series, as GG1024 and CJ1024 are listed. And confirmation that the JD042601 on 220-30-М/26 is the batch list's JD042601 (P060492).</t>
        </is>
      </c>
      <c r="H864" s="313" t="inlineStr">
        <is>
          <t>intake_220M_2026-09-14/ (reads_claude.json n=30, 31, 32; placement.json); tracker/batch_dates.csv; PP_Batch_Release_QC_Register_SUBLOT_2026-09-01.xlsx after apply_220M.py</t>
        </is>
      </c>
    </row>
    <row r="865" ht="66" customHeight="1" s="70">
      <c r="A865" s="311" t="inlineStr">
        <is>
          <t>OI-34</t>
        </is>
      </c>
      <c r="B865" s="311" t="inlineStr">
        <is>
          <t>Register scope</t>
        </is>
      </c>
      <c r="C865" s="315" t="inlineStr">
        <is>
          <t>ruled</t>
        </is>
      </c>
      <c r="D865" s="313" t="inlineStr">
        <is>
          <t>The IJZ-MB campaign microbiology was on the tracker and not in the release register</t>
        </is>
      </c>
      <c r="E865" s="313" t="inlineStr">
        <is>
          <t>The thirty IJZ-MB certificates of the campaign sampling of 25/26.08.2026 (issued 31.08 and 01.09.2026) are testing instances on the tracker since 04.09.2026 and are not rows of the release register, which is the one source the certificates of quality are compiled from. Since 15.09.2026 a reissue prints, for every determination it did not retest, the initial certificate's result — so for a lot whose microbiology WAS retested in that campaign the reissue would print the release microbiology while a newer result sits on the tracker. No Tranche 1 lot is affected (none was in that delivery). Since v30 (15.09.2026) the thirty Tranche 2 reissues ARE numbered, planned 18.09.2026, so a Tranche 2 lot in that delivery would print its release microbiology; the Tranche 3 reissues still wait for their mycotoxin certificates.</t>
        </is>
      </c>
      <c r="F865" s="313" t="inlineStr">
        <is>
          <t>CLOSED 16.09.2026 by intake_IJZMB_2026-09-16. The sweep of that day measured the harm the item had predicted: 24 certificates of quality printed microbiology a newer certificate for the same lot contradicted, twelve of them reissues, and not by a little — P050012 printed TAMC 2.1 × 10⁴ where the campaign certificate reads &lt; 10. 29 of the 30 certificates are now rows of the release register, through the same two-read gate the 220-М, 227-К and 220-К intakes used, with four value disagreements settled by a third read of the page (OI-36's defect class, four more instances). One is held back: 548/1079/26, whose lot is in doubt — OI-37.</t>
        </is>
      </c>
      <c r="G865" s="313" t="inlineStr">
        <is>
          <t>Nothing further, unless the owner rules on OI-37 (the held certificate) or on OI-13 (the expanded panel this same delivery reports).</t>
        </is>
      </c>
      <c r="H865" s="313" t="inlineStr">
        <is>
          <t>tracker/new_instances.json (the 30 IJZ-MB instances); tracker/split_manifest_IJZ-MB_2026-09-01.csv; build_coq_schedule.py ST_CARRIED</t>
        </is>
      </c>
    </row>
    <row r="866" ht="66" customHeight="1" s="70">
      <c r="A866" s="311" t="inlineStr">
        <is>
          <t>OI-37</t>
        </is>
      </c>
      <c r="B866" s="311" t="inlineStr">
        <is>
          <t>Batch identity</t>
        </is>
      </c>
      <c r="C866" s="314" t="inlineStr">
        <is>
          <t>open</t>
        </is>
      </c>
      <c r="D866" s="313" t="inlineStr">
        <is>
          <t>One campaign microbiology certificate names a strain that is not its filed lot's</t>
        </is>
      </c>
      <c r="E866" s="313" t="inlineStr">
        <is>
          <t>548/1079/26 of 31.08.2026 is filed under P050192 — BSS052501, Blue Sunset Sherbet — because its typed serial reads PO50192, which canonicalises to P050192. But the page prints the sample as "Сув цвет од канабис сорта Sleepy Joe" and carries a HANDWRITTEN P060192 beneath the typed serial; P060192 is SJ112501, whose strain the release register gives as Sleepy Joy. The printed strain and the handwriting agree with each other and disagree with the typed serial. Read on the page of 16.09.2026. P060192 has no campaign microbiology certificate of its own on file; P050192 would have this one. Three other campaign certificates print a strain the register spells differently (Cap Junky against the register's Cup Junky, on 556/1087/26, 558/1089/26 and 565/1096/26) — that is a spelling, not a different strain, and is not this.</t>
        </is>
      </c>
      <c r="F866" s="313" t="inlineStr">
        <is>
          <t>The certificate is NOT written into the release register: a microbiology result on the wrong lot's certificate of quality is worse than a missing one. The other 29 of the delivery are written. P050192's certificates therefore still print its release microbiology, and its reissue will say so.</t>
        </is>
      </c>
      <c r="G866" s="313" t="inlineStr">
        <is>
          <t>Which lot 548/1079/26 belongs to: P050192, as the typed serial reads, or P060192, as the printed strain and the handwritten correction say?</t>
        </is>
      </c>
      <c r="H866" s="313" t="inlineStr">
        <is>
          <t>the scan 310826_548-1079-26_IJZ-MB_BSS052501-P050192.pdf in eCoA_DATABASE; tracker/split_manifest_IJZ-MB_2026-09-01.csv; intake_IJZMB_2026-09-16/reads_IJZMB.json</t>
        </is>
      </c>
    </row>
    <row r="867" ht="66" customHeight="1" s="70">
      <c r="A867" s="311" t="inlineStr">
        <is>
          <t>OI-38</t>
        </is>
      </c>
      <c r="B867" s="311" t="inlineStr">
        <is>
          <t>Certificate content</t>
        </is>
      </c>
      <c r="C867" s="314" t="inlineStr">
        <is>
          <t>open</t>
        </is>
      </c>
      <c r="D867" s="313" t="inlineStr">
        <is>
          <t>Fourteen reissues carry the initial result while a later one for the same lot is on file</t>
        </is>
      </c>
      <c r="E867" s="313" t="inlineStr">
        <is>
          <t>Since 16.09.2026 the IJZ-MB campaign certificates of 25/26.08.2026 are rows of the release register (intake_IJZMB_2026-09-16), so the desk now holds, for 29 lots, a microbiology result LATER than the release one. A reissue rests on its Farmahem campaign (220- or 227-), whose scope is the assay and the mycotoxins; microbiology is outside that scope, so the reissue carries the initial certificate's result — the owner's ruling of 15.09.2026, correctly applied. The consequence is that twelve reissues will print a microbiology result that a newer certificate for the same lot contradicts, and not narrowly: CoQ-PP_26-144 (P050012) carries TAMC 2.1 × 10⁴ where 561/1092/26 of 01.09.2026 reads &lt; 10, and CoQ-PP_26-153 (P050132) carries TYMC 3.3 × 10⁴ where 560/1091/26 reads &lt; 10. The 26 rows are listed in intake_IJZMB_2026-09-16/carried_microbiology_2026-09-16.csv. The twelve RELEASE certificates that print the same release values are not in question: a release certificate states the release testing, and a later retest does not belong on it. The sweep of 16.09.2026 (result_supersession.py) then asked the same question of all seventeen determinations the register carries and found the shape is not confined to microbiology: 31 rows on FOURTEEN reissues, 29 of them the twelve microbiology reissues above and TWO of them loss on drying — CoQ-PP_26-093 (P050022) carries 7.21 % from ППК25139 of 22.05.2025 where ППК25174 of 10.07.2025 reads 6.51 %, and CoQ-PP_26-150 (J31112501) carries 8.4 % from 051-5-GS/26 of 02.03.2026 where 100-1-GS/26 of 09.04.2026 reads 7.6 %. Neither superseding certificate is a stability timepoint. The sweep reports its coverage beside every zero: no lot on file carries a second HEAVY-METAL certificate (45 documents, 0 lots with two), so #11 could not be compared at all and its silence is a gap in the record rather than a clean result; aflatoxin B1, ochratoxin A and the pesticide panel were comparable on one lot each. Total aflatoxins over 30 lots, Total CBN over 12 and Salmonella and E. coli over 14 each are real zeros. One more consequence the owner should weigh with this: for THIRTEEN lots the campaign certificate is the ONLY microbiology on file. Until 16.09.2026 those lots' RELEASE certificates printed it, which put a document of 31.08 or 01.09.2026 on a certificate dated 06.06, 07.07 or 13.07.2026 — impossible, and now fixed: a retest-only document can no longer stand behind a release result, so those thirteen release certificates print nothing for #9.1-#9.5. If the ruling here is CARRY THE INITIAL, their reissues print nothing either and the thirteen lots have no microbiology on any certificate of quality at all. If it is PRINT THE LATEST, the campaign result lands on the reissue, which is the only certificate dated after it. The thirteen are BSS1024_01/2, CC112501, FB012603, FB012603V, FB112501, GG112501, GRC102501/1, J31112501, OPM112501, SCR012601, SCR022601, SJ102501 and WED102501.</t>
        </is>
      </c>
      <c r="F867" s="313" t="inlineStr">
        <is>
          <t>Nothing on the certificates. The campaign results are in the register, on the tracker and in the compilation, so the newer result is visible everywhere the desk shows its working; what a controlled document prints is the owner's to rule, not a defect to repair silently. The IJZ-MB delivery is also a different sampling from the tranche it would be printed on — 25/26.08.2026 against 12–14.08 (Tranche 2) and 19–21.08 (Tranche 3) — so it is not simply 'the same campaign, later certificate'.</t>
        </is>
      </c>
      <c r="G867" s="313" t="inlineStr">
        <is>
          <t>When a reissue carries a determination forward because its campaign did not retest it, should it carry the INITIAL result or the LATEST result on file? For microbiology that is the IJZ-MB campaign of 25/26.08.2026, sampled on a different day from the Farmahem campaign the reissue rests on; for loss on drying it is an ordinary repeat test by the same laboratory. If the answer is the latest, does the reissue then cite two or three samplings on one certificate?</t>
        </is>
      </c>
      <c r="H867" s="313" t="inlineStr">
        <is>
          <t>intake_IJZMB_2026-09-16/carried_microbiology_2026-09-16.csv (26 rows, 12 reissues); tracker/RESULT_SUPERSESSION_2026-09-16.md section 1 (31 rows, 14 reissues); build_coq_schedule.py ST_CARRIED; the ruling of 15.09.2026</t>
        </is>
      </c>
    </row>
    <row r="868" ht="66" customHeight="1" s="70">
      <c r="A868" s="311" t="inlineStr">
        <is>
          <t>OI-39</t>
        </is>
      </c>
      <c r="B868" s="311" t="inlineStr">
        <is>
          <t>Batch identity</t>
        </is>
      </c>
      <c r="C868" s="314" t="inlineStr">
        <is>
          <t>open</t>
        </is>
      </c>
      <c r="D868" s="313" t="inlineStr">
        <is>
          <t>Two register blocks carry two sublots each, and the certificate prints one of them</t>
        </is>
      </c>
      <c r="E868" s="313" t="inlineStr">
        <is>
          <t>The sweep of 16.09.2026 (result_supersession.py, check `parallel`) looked for a block holding two certificates of the SAME testing on the SAME day that report DIFFERENT results. Over 93 blocks there were two; one of them, JD112501, was ruled on 16.09.2026 to be one batch and two samples and is now OI-12, leaving one. **J31122501** (Jokerz 31, P060262) holds three such pairs: the microbiology of 07.04.2026, where 231/0394/26 names its sample Рачно тримиран цвет (hand-trimmed flower) and reads TAMC 850 while 230/0393/26 names Тримиран цвет (trimmed flower) and reads 1900; the Farmahem cannabinoids of 09.04.2026, 100-2-К/26 at 19.84 % against 100-3-К/26 at 21.84 %; and the IJZ mycotoxins and metals of 23.04.2026, 1628/2026 against 1625/2026. The documents themselves say these are two products of one cultivation batch, tested in parallel. The owner's batch list gives J31122501 exactly one P lot, P060262, so the register has no second number to file the second product under. The starred-sample ruling does NOT reach this block: these pages carry no asterisk, and they name two PRODUCTS on three separate dates, not two samples of one.</t>
        </is>
      </c>
      <c r="F868" s="313" t="inlineStr">
        <is>
          <t>Nothing invented. testing_series.rounds() treats two documents of one day as one testing period — right when they describe one sample — so both sit in the release round and the certificate of quality prints the first: 231/0394/26, 100-2-К/26 and 1628/2026. The tracker shows BOTH — 100-2/1628/231 and 100-3/1625/230 as separate testing instances — so nothing is hidden anywhere the desk shows its working. What the certificate of quality does not say is WHICH product it certifies.</t>
        </is>
      </c>
      <c r="G868" s="313" t="inlineStr">
        <is>
          <t>Is J31122501 one lot or two? If two, what P lot number does the second carry, and does it need its own certificate of quality — which would make the three documents the certificate does not print (230/0393/26, 100-3-К/26, 1625/2026) the second product's record rather than unused results? If one, which of each pair is the lot's result?</t>
        </is>
      </c>
      <c r="H868" s="313" t="inlineStr">
        <is>
          <t>tracker/RESULT_SUPERSESSION_2026-09-16.md section 3; the register block J31122501 (10 certificates); tracker/batch_dates.csv row 64; OI-12 for the JD112501 half</t>
        </is>
      </c>
    </row>
    <row r="869" ht="66" customHeight="1" s="70">
      <c r="A869" s="311" t="inlineStr">
        <is>
          <t>OI-40</t>
        </is>
      </c>
      <c r="B869" s="311" t="inlineStr">
        <is>
          <t>Document identity</t>
        </is>
      </c>
      <c r="C869" s="314" t="inlineStr">
        <is>
          <t>open</t>
        </is>
      </c>
      <c r="D869" s="313" t="inlineStr">
        <is>
          <t>Six lots hold two register rows for one testing, the results on the composite row</t>
        </is>
      </c>
      <c r="E869" s="313" t="inlineStr">
        <is>
          <t>The audit of 16.09.2026 flagged six document codes of the form "PP CoA #027 / ППК25370" — an in-house certificate number and a Center for Natural Products number in one cell. Reading the register shows why it matters: EVERY one of the six also exists as a bare ППК row on the same lot, with its own EARLIER date and NO results. P050282 row 123 "PP CoA #027 / ППК25370" of 21.01.2026 carries THC 8.02, CBD 0.04 and loss on drying 9.68; row 124 "ППК25370" of 28.11.2025 carries nothing. The same shape on P050292/ППК25378 and P050302/ППК25379 (bare rows 12.12.2025), P050312/ППК25380, P050322/ППК25381 and P060052/ППК26005. So for these six lots the results sit on the composite row and the row that names the external certificate alone is empty — and the certificate of quality therefore prints "PP CoA #027 / ППК25370" dated 21.01.2026 as its document.</t>
        </is>
      </c>
      <c r="F869" s="313" t="inlineStr">
        <is>
          <t>Nothing changed. document_codes.py canonicalises SPELLING only and leaves these composites exactly as the register writes them: deciding which of two rows is the certificate, and which date the certificate of quality should cite, is not a spelling. The six are listed here with their rows so the owner rules on the record.</t>
        </is>
      </c>
      <c r="G869" s="313" t="inlineStr">
        <is>
          <t>For these six lots, which row is the certificate the certificate of quality should cite — the Center for Natural Products certificate on its own date, or the in-house certificate of 21.01.2026 that carries the results? And should the two rows be one row, with the in-house number as a cross-reference?</t>
        </is>
      </c>
      <c r="H869" s="313" t="inlineStr">
        <is>
          <t>register rows 123/124, 127/128, 131/132, 135/136, 139/140, 163/165; tracker/HANDOVER_RESPONSE_2026-09-16.md §2.2</t>
        </is>
      </c>
    </row>
    <row r="870" ht="66" customHeight="1" s="70">
      <c r="A870" s="311" t="inlineStr">
        <is>
          <t>OI-41</t>
        </is>
      </c>
      <c r="B870" s="311" t="inlineStr">
        <is>
          <t>Document content</t>
        </is>
      </c>
      <c r="C870" s="314" t="inlineStr">
        <is>
          <t>open</t>
        </is>
      </c>
      <c r="D870" s="313" t="inlineStr">
        <is>
          <t>Forty-eight certificates print no result for the three determinations done in-house — and what remains is documents, not routing</t>
        </is>
      </c>
      <c r="E870" s="313" t="inlineStr">
        <is>
          <t>Determinations #1 Identification A, #2 Identification B and #7 Foreign matter are performed in the Purely Plant laboratory on every batch. On **48** of the 172 certificates — 24 lots — all three print nothing: the row cites the lot's internal certificate and the laboratory, and the result reads "—" with the status "to be performed — see route". The other 90 print Conforms. The audit of 16.09.2026 established what separates them, and it is not the kind of evidence: 78 of the 90 print Conforms because the owner's 09.09.2026 pass wrote Conforms against a then-unissued internal certificate and the exporter copies that statement into the cell once the certificate is issued; the other 12 take a CNP Ph. Eur. certificate that covers identity. So the line between 90 and 82 is 09.09-PASS COVERAGE, not a record one group has and the other lacks. Of the 44 blank lots: 12 have an in-house QCCoA scan on Drive that no desk record holds (OI-43), 6 are ones the pass itself marks "NOTHING ON FILE — no document anywhere", 19 are outside every record the desk or the owner holds, and the rest are the predicted reissues of CNP-covered lots, blank by the routing.</t>
        </is>
      </c>
      <c r="F870" s="313" t="inlineStr">
        <is>
          <t>Printed as the desk holds it: the determination named, the internal certificate cited, the result blank and the route stated. Nothing is asserted that no record supports. Two things changed on 16.09.2026, and between them the item halved — from 82 certificates over 44 lots to 48 over 24. First, a REISSUE no longer prints the pass's release-round statement against its own campaign's certificate: 39 certificates were asserting a retest result that no round had recorded. Second, and in the other direction, a reissue now CARRIES the release round's row for #1, #2 and #7 — the release result, the RELEASE round's internal certificate of analysis, its code and its date of issue — because the ruling of 15.09.2026 says every determination the retest did not run takes the initial testing's result, and the desk had been honouring that for every determination except these three. The distinction is the whole of it: the reissue states what the release round found and names the document that found it, rather than asserting a round of its own. What is left is 24 lots for which no in-house record has been read on either round, which is a document question (OI-43), not a routing one.</t>
        </is>
      </c>
      <c r="G870" s="313" t="inlineStr">
        <is>
          <t>Three answers are wanted, and they are different questions. (a) For the 12 lots with a QCCoA scan on Drive: may the desk read those scans in and print what they state? (OI-43.) (b) For the 39 lots already printing Conforms from the pass: is the internal certificate alone sufficient authority for that word, given the cell's own status still says the testing is to be performed? (c) For the 6 lots the pass marks NOTHING ON FILE and the 19 outside every record: is the in-house result written anywhere the desk has not been given, or is the blank simply correct?</t>
        </is>
      </c>
      <c r="H870" s="313" t="inlineStr">
        <is>
          <t>44 lots, 82 certificates, 246 determination rows; build_coq_schedule.ST_ICOA; export_coq_artifact_data.py (the 09.09 pass fill); tracker/FLEET_FINDINGS_2026-09-16.md (audit B); tracker/HANDOVER_RESPONSE_2026-09-16.md §2.1</t>
        </is>
      </c>
    </row>
    <row r="871" ht="66" customHeight="1" s="70">
      <c r="A871" s="311" t="inlineStr">
        <is>
          <t>OI-42</t>
        </is>
      </c>
      <c r="B871" s="311" t="inlineStr">
        <is>
          <t>Record integrity</t>
        </is>
      </c>
      <c r="C871" s="314" t="inlineStr">
        <is>
          <t>open</t>
        </is>
      </c>
      <c r="D871" s="313" t="inlineStr">
        <is>
          <t>Forty-four laboratory certificates are on Drive and in no record of the desk; 58 more are only in the 09.09 pass</t>
        </is>
      </c>
      <c r="E871" s="313" t="inlineStr">
        <is>
          <t>The audit of 16.09.2026 enumerated the owner's eCoA_DATABASE on Drive (490 scans: 449 laboratory, 41 in-house) and held it against every desk record — the ingested corpus, the release register and the 09.09 resolution pass. Forty-four laboratory scans are in NONE of them: 20 IJZ contaminant reports (mycotoxins, metals, pesticides — 329/2026 WED102501, 1057/2026 J31112501, 1061/2026 SJ112501, 1062/2026 OPM112501, 1065/2026 SJ102501, 3654–3658/2026 P160032, P160022, P160012, SCR022601, JD022601, 3661/2026 FB012603, 3663/2026 FB012603V, 3924/2026 FB032601, 3925/2026 GG032601, 4374/2026 JD032601, and the five of 29–30.04.2026 taken in the same day), 22 IJZ-MB microbiology reports (319/0586/25 GP0824_01; 75/0118/26 WED102501; 130–137/02xx/26 SJ112501, J31112501, SJ102501, OPM112501; the five of 28.04.2026 taken in the same day; 362/0692/26 SCR012601; 402–411/07xx/26 JD022601, SCR022601, FB012603V, FB012603, P160012, P160032, P160022; 433/0847/26 and 434/0848/26 FB032601; 477/0929/26 JD032601) and the two Farmahem certificates 031-3-К/26 and 031-3-ГС/26 of WED102501. A further 58 scans are cited in the 09.09 pass and never reached the register or the corpus — among them the whole Farmahem 031 campaign of February 2026 and 534/1065/26 and 535/1066/26 of the 31.08.2026 IJZ-MB delivery, which fall outside the 536–565 range the IJZ-MB intake took. For every one of the 20 IJZ reports the lot's register block holds NO metals, mycotoxin or pesticide document at all, so the certificate of quality prints "not tested — no certificate covers it" for #10–#12 while the report sits on Drive, dated before the certificate — and the sweep's "no lot carries a second heavy-metal certificate" is a register gap, not a testing fact. The reverse direction is clean: every laboratory code the desk holds has a scan (0 of 403 missing).</t>
        </is>
      </c>
      <c r="F871" s="313" t="inlineStr">
        <is>
          <t>The eighteen of 21.04.2026 whose two reads existed were taken in on 16.09.2026 (intake_IJZ0426_2026-09-16), and 534/1065/26 and 535/1066/26 on 17.09.2026 (intake_IJZMB2_2026-09-17) — two reads each, agreeing on all seven lines of both pages, written into the P050212 and P050222 blocks and added to testing_series.RETEST_ONLY as the campaign documents they are. That leaves 44 + 56. The remaining ones have no read on the desk yet; each needs the two-read gate before it is written, and until then the certificates named above print "not tested" where a document exists. Nothing is written from a listing.</t>
        </is>
      </c>
      <c r="G871" s="313" t="inlineStr">
        <is>
          <t>Nothing to decide for the intake itself — it is the desk's next work. Three lots on the batch list need a word: JD032601 (P060472) has an IJZ-MB and an IJZ report on Drive and no release-register block and no CNP potency certificate anywhere — is it a production lot? SC062501 (P050242) and GOG062501 (P050232) have no document on Drive at all — were they ever tested?</t>
        </is>
      </c>
      <c r="H871" s="313" t="inlineStr">
        <is>
          <t>tracker/FLEET_FINDINGS_2026-09-16.md (audit A); the Drive tree 1SmOicCRa8KEqoB-YlCojdap161YMQ-Di and _IN-HOUSE_PP 1bBGgFavrUTOu7PC7VVRcj0P4onWOAquN, enumerated 16.09.2026</t>
        </is>
      </c>
    </row>
    <row r="872" ht="66" customHeight="1" s="70">
      <c r="A872" s="311" t="inlineStr">
        <is>
          <t>OI-43</t>
        </is>
      </c>
      <c r="B872" s="311" t="inlineStr">
        <is>
          <t>Record integrity</t>
        </is>
      </c>
      <c r="C872" s="314" t="inlineStr">
        <is>
          <t>open</t>
        </is>
      </c>
      <c r="D872" s="313" t="inlineStr">
        <is>
          <t>Twenty-eight in-house certificates of analysis are on Drive with no desk entry — twelve of them for lots OI-41 names</t>
        </is>
      </c>
      <c r="E872" s="313" t="inlineStr">
        <is>
          <t>_IN-HOUSE_PP holds 41 in-house scans: 38 QCCoA 001 / 001v02 forms named &lt;ddmmyy&gt;_QCCoA 001[v02]_PP_&lt;batch&gt;-&lt;P lot&gt;.pdf and the three Reports of Analysis of 23.04.2025. The desk's in-house entries number 16 and match 13 of the scans. The 28 without any desk entry are the QCCoA 001 of BG1024, BSS1024, CJ1024, MB0824_04, OMP1024_01, GP0824_02 (twice), GG1024_02, GP0824_03, HPA1024_01, OPM1024_02, GG1024_01, P050102, HPA052501, CJ052501-01, BSS1024_01-1, GP062501 (v02) and the eleven QCCoA 001v02 of 21.01.2026 (GP082501-1/-2, GP072501-1/-2, CLE072501, PM072501, P050212, CJ052501-02, OPM052501, MB0824_05, OPM1024_03), plus the three Reports of Analysis. Twelve of the 44 lots whose certificates print nothing for #1, #2 and #7 (OI-41) have one of these scans — the in-house record OI-41 asks for exists on Drive for them.</t>
        </is>
      </c>
      <c r="F872" s="313" t="inlineStr">
        <is>
          <t>Nothing read, nothing written: an in-house scan reaches the desk through the same two-read gate as a laboratory certificate, and the desk holds no read of any of the 28.</t>
        </is>
      </c>
      <c r="G872" s="313" t="inlineStr">
        <is>
          <t>May the desk take the QCCoA 001 scans in as the record of the in-house results, so that the certificates of those twelve lots print what the form states for #1, #2 and #7 and cite the internal certificate that carries it? If yes, OI-41 shrinks from 44 lots to 32.</t>
        </is>
      </c>
      <c r="H872" s="313" t="inlineStr">
        <is>
          <t>tracker/FLEET_FINDINGS_2026-09-16.md (audits A and B); the 41 scans in _IN-HOUSE_PP</t>
        </is>
      </c>
    </row>
    <row r="873" ht="66" customHeight="1" s="70">
      <c r="A873" s="311" t="inlineStr">
        <is>
          <t>OI-44</t>
        </is>
      </c>
      <c r="B873" s="311" t="inlineStr">
        <is>
          <t>Specification</t>
        </is>
      </c>
      <c r="C873" s="314" t="inlineStr">
        <is>
          <t>open</t>
        </is>
      </c>
      <c r="D873" s="313" t="inlineStr">
        <is>
          <t>The grade numerals were assigned against the desk's own rule, and 69 certificates cite a code that used to mean something else</t>
        </is>
      </c>
      <c r="E873" s="313" t="inlineStr">
        <is>
          <t>potency_grades.number() states that a numeral is "assigned once for a strain and a nominal and never renumbered". Its first numbering seeded itself from nothing and sorted by nominal, so it ignored the numerals the ISSUED QCSP 001 v.01 documents already carry. The codes therefore changed meaning under the same name: QCSP_001_GP-IV_v.01 named GP_THC20 (18.00–22.00 %) on the issued document and names GP_THC16 (14.40–17.59 %) on the certificate; QCSP_001_CJ-III_v.01 was CJ_THC24 (23.00–25.00 %) and is CJ_THC20 (18.40–21.59 %). Over the export 69 certificates on 20 codes carry a product-code change under an unchanged code, 54 on 17 codes change the window only, and 32 on 19 codes are new codes.</t>
        </is>
      </c>
      <c r="F873" s="313" t="inlineStr">
        <is>
          <t>Nothing hidden and nothing renumbered a second time. Every affected certificate's record prints spec_status — "for review — replaces the issued QCSP_001_GP-IV_v.01 (was GP_THC20 : CBD1, 18.00 – 22.00 %); now GP_THC16 : CBD1 14.40 – 17.59 %" — and 88 certificates carry the conflict sentence beside it. The ladder is used exactly as the potency specification of 15.09.2026 prints it, which is the ruling of that date.</t>
        </is>
      </c>
      <c r="G873" s="313" t="inlineStr">
        <is>
          <t>Two rulings meet here and only one can hold. Either the potency specification of 15.09.2026 is used exactly as it prints (15.09.2026) and the issued v.01 documents are superseded numeral and all — in which case the 69 codes are correct and the issued documents are reissued under their new meaning — or a numeral once issued is never reused, in which case the ladder must be renumbered around the issued set and the new grades take fresh numerals. Which?</t>
        </is>
      </c>
      <c r="H873" s="313" t="inlineStr">
        <is>
          <t>potency_grades.py number(); potency_grades_2026-09-15.csv; product_specifications_QCSP001.json; tracker/FLEET_FINDINGS_2026-09-16.md (audit C)</t>
        </is>
      </c>
    </row>
    <row r="874" ht="66" customHeight="1" s="70">
      <c r="A874" s="311" t="inlineStr">
        <is>
          <t>OI-45</t>
        </is>
      </c>
      <c r="B874" s="311" t="inlineStr">
        <is>
          <t>Register cell</t>
        </is>
      </c>
      <c r="C874" s="314" t="inlineStr">
        <is>
          <t>open</t>
        </is>
      </c>
      <c r="D874" s="313" t="inlineStr">
        <is>
          <t>One in-house microbiology cell states two bounds that cannot both be true, and two certificates print it</t>
        </is>
      </c>
      <c r="E874" s="313" t="inlineStr">
        <is>
          <t>The release register carries bile-tolerant gram-negative bacteria for OPM1024 as “&lt;10²&gt;10³”, from Purely Plant's own certificate of analysis of 23.04.2025 — the block with no certificate or report number printed. Every other block in the register writes the pair as an upper bound and then a lower one (“&lt;10² and &gt;10”, “&lt;10³ and &gt;10²”), so the two figures here are the wrong way round: nothing is both below 100 and above 1000. It reaches CoQ-PP_26-006 and CoQ-PP_26-101, both OPM1024, where assertion A11 of the Claude Design package refuses the cell as off-vocabulary.</t>
        </is>
      </c>
      <c r="F874" s="313" t="inlineStr">
        <is>
          <t>Nothing was corrected in place. The desk does not rewrite a figure on the company's own certificate of analysis, and the certificate prints the cell as the register states it rather than a reading the desk prefers. The two documents carry the assertion finding so the pair travels with them.</t>
        </is>
      </c>
      <c r="G874" s="313" t="inlineStr">
        <is>
          <t>Is the intended reading “&lt; 10³ and &gt; 10²” — the same pair as every other block, with the bounds transposed in transcription? One word corrects the register cell and both certificates with it.</t>
        </is>
      </c>
      <c r="H874" s="313" t="inlineStr">
        <is>
          <t>coq_artifact_data.json reg[OPM1024]; design_handoff/out/_build_report.txt; design_handoff/toolchain/coq_check.js A11</t>
        </is>
      </c>
    </row>
    <row r="875" ht="66" customHeight="1" s="70">
      <c r="A875" s="311" t="inlineStr">
        <is>
          <t>OI-46</t>
        </is>
      </c>
      <c r="B875" s="311" t="inlineStr">
        <is>
          <t>Result read</t>
        </is>
      </c>
      <c r="C875" s="315" t="inlineStr">
        <is>
          <t>ruled</t>
        </is>
      </c>
      <c r="D875" s="313" t="inlineStr">
        <is>
          <t>Ten microbiology cells were read once and held; the Head of QC's own pass had all five values for every one of them</t>
        </is>
      </c>
      <c r="E875" s="313" t="inlineStr">
        <is>
          <t>The intake of 16.09.2026 read twenty-three Institute of Public Health certificates off the scans and held ten cells whose figures the page did not render — an exponent or a bound lost. That left certificates printing two or three of the five microbiological purity parameters and leaving the rest blank. The Head of QC objected the same day: a report determines all five on one sample, so a batch cannot have one and not the others. He was right, and the values were already on the desk — cell_resolution_2026-09-09.tsv, his own reading pass, carries all five for every lot, with the document, its date and its laboratory.</t>
        </is>
      </c>
      <c r="F875" s="313" t="inlineStr">
        <is>
          <t>apply_resolution_pass.py makes the pass the source and the scan the cross-check rather than the other way round: 66 certificates written into the release register and 39 columns added to certificates already there, taking #9 (five values), #11 (four — the order confirmed against the register's own long-standing 752/2025 row) and #12 (one determination over a uniform panel). #10 is not taken, because its rows carry one, three or five values and a mapping that is not certain is not a mapping. Where the two readings can be compared they agree, including on the figure this desk had held as contested: the pass reads 73/0116/26 TYMC as 3,9 × 10⁴ too. **No certificate prints a partial panel now**, and verify_panels.py is the standing check that none may.</t>
        </is>
      </c>
      <c r="G875" s="313" t="inlineStr">
        <is>
          <t>Nothing. Two rows of the pass are still held and named in the script's output: 305-0549-26 carries ten values where five are wanted, and 85/2026 five where four are.</t>
        </is>
      </c>
      <c r="H875" s="313" t="inlineStr">
        <is>
          <t>cell_resolution_2026-09-09.tsv; apply_resolution_pass.py; verify_panels.py; intake_ijz_2026-09-16/reads_microbiology.json</t>
        </is>
      </c>
    </row>
    <row r="876" ht="66" customHeight="1" s="70">
      <c r="A876" s="311" t="inlineStr">
        <is>
          <t>OI-47</t>
        </is>
      </c>
      <c r="B876" s="311" t="inlineStr">
        <is>
          <t>Ingestion</t>
        </is>
      </c>
      <c r="C876" s="314" t="inlineStr">
        <is>
          <t>open</t>
        </is>
      </c>
      <c r="D876" s="313" t="inlineStr">
        <is>
          <t>Twenty-three certificates in the owner's database folder were never ingested, and every desk file recorded their absence as a coverage gap</t>
        </is>
      </c>
      <c r="E876" s="313" t="inlineStr">
        <is>
          <t>master_coa_table.tsv prints “[COVERAGE GAP] — No record found in RAG for … Heavy metals (Cd/Pb/Hg/As), Pesticides” against P060152, P060332, P060352 and others, and PP_eCoA_Master_Database.xlsx repeats it as a QC exception. For nineteen of those lots the certificate exists, in the owner's own folder, and has since 09.09.2026. The gap was in the ingestion, not in the record: every downstream file faithfully reported an absence that was not real.</t>
        </is>
      </c>
      <c r="F876" s="313" t="inlineStr">
        <is>
          <t>The twenty-three documents are now in the release register, and the certificates print from them. The ingestion itself is untouched — the same folder may hold more that the corpus lacks, and nothing in the pipeline would say so.</t>
        </is>
      </c>
      <c r="G876" s="313" t="inlineStr">
        <is>
          <t>Should the desk re-run the CoA_DATABASE_2026 ingestion against the whole folder and reconcile it against the register, so that a coverage gap means the document does not exist rather than that it was not fetched?</t>
        </is>
      </c>
      <c r="H876" s="313" t="inlineStr">
        <is>
          <t>ingestion/coa_track/letta-imb-coas/ingest_coa_database_2026.py; exports/master_coa_table.tsv; tracker/DRIVE_DATABASE_INTAKE_2026-09-16.md</t>
        </is>
      </c>
    </row>
    <row r="877" ht="66" customHeight="1" s="70">
      <c r="A877" s="311" t="inlineStr">
        <is>
          <t>OI-48</t>
        </is>
      </c>
      <c r="B877" s="311" t="inlineStr">
        <is>
          <t>Document</t>
        </is>
      </c>
      <c r="C877" s="314" t="inlineStr">
        <is>
          <t>open</t>
        </is>
      </c>
      <c r="D877" s="313" t="inlineStr">
        <is>
          <t>One Tranche 3 mycotoxin certificate has not been read by anyone, and one lot's #10 waits on it</t>
        </is>
      </c>
      <c r="E877" s="313" t="inlineStr">
        <is>
          <t>The thirty Farmahem reports 227-1-М/26 … 227-30-М/26 of 16.09.2026 were read twice and independently — by this desk and by the Head of QC — and the two readers failed on DIFFERENT certificates, so the blank page is a property of the reader and not of the scan. This desk could not extract 227-13, 227-18, 227-20 and 227-30 in three attempts each; the Head of QC could not extract 227-2, 227-7, 227-16, 227-18, 227-23 and 227-27, five of which this desk read in full. Between the two reads 29 of the 30 are read and no certificate is read differently by the two. **227-18-М/26 (GP062501, P050202) is the one nobody has read.**</t>
        </is>
      </c>
      <c r="F877" s="313" t="inlineStr">
        <is>
          <t>The 29 are in the release register and their certificates print them. P050202's #10.1 and #10.3 stay empty — the desk does not print a result from a page nobody has seen, and it will not take the value from the twenty-nine siblings that were all ND, because a batch's own mycotoxin result is not a property of the campaign it was submitted in.</t>
        </is>
      </c>
      <c r="G877" s="313" t="inlineStr">
        <is>
          <t>Open 227-18-М/26 by hand and tell the desk the five analytes. It is the only certificate of the thirty that needs it — the six the Head of QC flagged on 16.09.2026 were flagged from one reader's failures, and five of those six are read.</t>
        </is>
      </c>
      <c r="H877" s="313" t="inlineStr">
        <is>
          <t>intake_227M_2026-09-16/reads.json; tracker/T3_MYCOTOXIN_INTAKE_2026-09-16.md; apply_227M_intake.py</t>
        </is>
      </c>
    </row>
    <row r="878" ht="66" customHeight="1" s="70">
      <c r="A878" s="311" t="inlineStr">
        <is>
          <t>OI-35</t>
        </is>
      </c>
      <c r="B878" s="311" t="inlineStr">
        <is>
          <t>Tracker scope</t>
        </is>
      </c>
      <c r="C878" s="314" t="inlineStr">
        <is>
          <t>open</t>
        </is>
      </c>
      <c r="D878" s="313" t="inlineStr">
        <is>
          <t>The tracker does not carry the documents of the 09.09 pass that eleven certificates print from</t>
        </is>
      </c>
      <c r="E878" s="313" t="inlineStr">
        <is>
          <t>The truth check of 15.09.2026 (tracker/truth_check_2026-09-15.py) compared every row of every certificate with the tracker's cells for the lot. Twenty rows on eleven certificates cite a document the tracker holds nowhere: the 17 documents the owner's 09.09.2026 pass over eCoA_DATABASE recorded (cell_resolution_2026-09-09.tsv) and the two-read pipeline never ingested — ППК25008 and 748/2025 (GG1024: the loss on drying — 7.8 % since the Head of QC's correction of 17.09.2026, 76.07 % before it — and the pesticides), 031-2/4/5-К/26 and 031-2/4/5-LoD/26 (P060112, P060122, P060132: the Farmahem cannabinoid and loss-on-drying certificates of 10.02.2026), 326/327/330/2026, 1056/1058/1059/1060/2026 and 3659/3660/3662/2026 (the IJZ pesticide certificates of P060112, P060122, P060132, P060152, P060172, P060182, P060232, P060402, P060412, P060422). Each rests on one page read. The tracker's document pool is the desk's index plus the intake instances, so its cell for GG1024 #8 reads '— MISSING —' while the certificate prints 7.8 % from ППК25008, and J31122501 #8 cites the cannabinoid certificates where the certificate cites the loss-on-drying certificate 100-2-ГС/26.</t>
        </is>
      </c>
      <c r="F878" s="313" t="inlineStr">
        <is>
          <t>Recorded, not built: the 17 documents need the two-read intake the 220-М, 227-К and 220-К certificates had before the tracker credits them, and the certificate rows that rest on them are marked on the references table as single-read.</t>
        </is>
      </c>
      <c r="G878" s="313" t="inlineStr">
        <is>
          <t>Whether the desk should read the 17 documents of the 09.09 pass through the two-read gate now, so that the tracker and the certificates cite one record — or whether the certificates that print from a single read (GG1024 above all) wait for it.</t>
        </is>
      </c>
      <c r="H878" s="313" t="inlineStr">
        <is>
          <t>tracker/TRUTH_CHECK_2026-09-15.md (T5); cell_resolution_2026-09-09.tsv; coq_artifact_data.json rows citing those codes</t>
        </is>
      </c>
    </row>
    <row r="879" ht="66" customHeight="1" s="70">
      <c r="A879" s="311" t="inlineStr">
        <is>
          <t>OI-36</t>
        </is>
      </c>
      <c r="B879" s="311" t="inlineStr">
        <is>
          <t>Record integrity</t>
        </is>
      </c>
      <c r="C879" s="314" t="inlineStr">
        <is>
          <t>open</t>
        </is>
      </c>
      <c r="D879" s="313" t="inlineStr">
        <is>
          <t>Four two-read corpus records passed the gate with their reads disagreeing on a comparator</t>
        </is>
      </c>
      <c r="E879" s="313" t="inlineStr">
        <is>
          <t>The truth check of 15.09.2026 found four IJZ-MB microbiology results where the owner's v8 tracker and one of the two corpus reads carried a value the page contradicts, and the corpus record was marked as agreed: 5/0008/26 TAMC (read A '&lt; 1 x 10²', read B '1 x 10²', record kept A; the page prints 1 x 10² CFU/g), 9/0012/26 bile-tolerant (A '10', B '&lt; 10', record kept B; the page prints &lt; 10), 471/0862/25 TYMC (A '10', B '&lt; 10', record kept B; the page prints &lt; 10), 304/0548/26 bile-tolerant (A '&lt; 10²', B '&lt; 10² и &gt;10', record kept B; the page prints &lt; 10² и &gt; 10). In every case the release register was right and v8 was wrong; the certificates print the register's value. The same check found the 09.09 pass table (cell_resolution_2026-09-09.tsv) holding Total THC, CBD and CBN values for 197-13-К/26, 197-7-К/26 and 197-6-К/26 that neither the register nor the two reads carry (19.68 / 24.09 / 23.29 % against 17.31 / 18.86 / 17.67 %); nothing prints them.</t>
        </is>
      </c>
      <c r="F879" s="313" t="inlineStr">
        <is>
          <t>The four tracker cells are corrected from a third read of each page (tracker/value_corrections_2026-09-15.json, applied in values_of). The corpus records and the pass table are the ingestion's and are left as they are, listed here.</t>
        </is>
      </c>
      <c r="G879" s="313" t="inlineStr">
        <is>
          <t>Whether the ingestion's reconciliation should treat a comparator ('&lt;', '&gt;') as part of the result when it compares two reads, and re-gate the four records; and whether the three pass-table cells should be corrected or the rows retired.</t>
        </is>
      </c>
      <c r="H879" s="313" t="inlineStr">
        <is>
          <t>tracker/TRUTH_CHECK_2026-09-15.md (T3, T4, T5); ingestion/ecoa_runner/records_corpus.json; the four page reads of 15.09.2026</t>
        </is>
      </c>
    </row>
    <row r="880" ht="66" customHeight="1" s="70">
      <c r="A880" s="311" t="inlineStr">
        <is>
          <t>OI-13</t>
        </is>
      </c>
      <c r="B880" s="311" t="inlineStr">
        <is>
          <t>Panel scope</t>
        </is>
      </c>
      <c r="C880" s="314" t="inlineStr">
        <is>
          <t>open</t>
        </is>
      </c>
      <c r="D880" s="313" t="inlineStr">
        <is>
          <t>The expanded microbiology panel HAS been run and no certificate says so</t>
        </is>
      </c>
      <c r="E880" s="313" t="inlineStr">
        <is>
          <t>Corrected 16.09.2026. This item said until today that the expanded microbiology option (P. aeruginosa, S. aureus) "has never been run" and that "neither is claimed on any certificate". That was false, and it had been shipped in OPEN_ITEMS.md and in the workbook since 11.09.2026. Thirty-one certificates on file report the panel — every one of the thirty IJZ-MB campaign certificates of 31.08/01.09.2026 and 1221/2172/25 of 01.12.2025 — and all report both organisms ABSENT. What remains true of the other panel: the pesticide option offers Ph. Eur. 2.8.13 and a CUMCS equivalency, and no lot was tested to equivalency. Determinations #9.6 and #9.7 print nothing on all 172 certificates of quality, marked "upon request — not required for release", while a result exists for 31 of them.</t>
        </is>
      </c>
      <c r="F880" s="313" t="inlineStr">
        <is>
          <t>The panel results are kept in intake_IJZMB_2026-09-16/reads_IJZMB.json. They are NOT written into the owner's release register, which has no column for either organism, and the certificates are not changed: what a controlled document claims is the owner's to decide, not a defect to repair silently.</t>
        </is>
      </c>
      <c r="G880" s="313" t="inlineStr">
        <is>
          <t>Should a certificate of quality print #9.6 and #9.7 where the laboratory reported them (31 lots, both absent) — and should the register gain a column for each so the result lives beside the other five? And, unchanged: should the certificates record that the pesticide equivalency option exists and was not exercised, or stay silent on it?</t>
        </is>
      </c>
      <c r="H880" s="313" t="inlineStr">
        <is>
          <t>Ph. Eur. 2.8.13; Ph. Eur. 2.6.13 expanded panel</t>
        </is>
      </c>
    </row>
    <row r="881" ht="66" customHeight="1" s="70">
      <c r="A881" s="311" t="inlineStr">
        <is>
          <t>OI-14</t>
        </is>
      </c>
      <c r="B881" s="311" t="inlineStr">
        <is>
          <t>Document content</t>
        </is>
      </c>
      <c r="C881" s="314" t="inlineStr">
        <is>
          <t>open</t>
        </is>
      </c>
      <c r="D881" s="313" t="inlineStr">
        <is>
          <t>Two fields still print a specimen or a placeholder</t>
        </is>
      </c>
      <c r="E881" s="313" t="inlineStr">
        <is>
          <t>The two approvers' names are the master template's specimen. The potency acceptance range is a bracketed placeholder in both places it prints.</t>
        </is>
      </c>
      <c r="F881" s="313" t="inlineStr">
        <is>
          <t>Both print bracketed in red and unticked, so no draft can be mistaken for issued. (A third field once listed here — Identification C's document sourcing — is built: _pick(4, False) or _pick(3, False) resolves it on every one of the 22 drafts, 0 falling back to the unresolved message. Closed 11.09.2026, folded out of this item rather than left to read as still open.)</t>
        </is>
      </c>
      <c r="G881" s="313" t="inlineStr">
        <is>
          <t>The approvers' names and titles; the potency range per grade.</t>
        </is>
      </c>
      <c r="H881" s="313" t="inlineStr">
        <is>
          <t>_CoQ_MASTER_Template.html; 22 drafts</t>
        </is>
      </c>
    </row>
    <row r="882" ht="66" customHeight="1" s="70">
      <c r="A882" s="311" t="inlineStr">
        <is>
          <t>OI-15</t>
        </is>
      </c>
      <c r="B882" s="311" t="inlineStr">
        <is>
          <t>Method status</t>
        </is>
      </c>
      <c r="C882" s="314" t="inlineStr">
        <is>
          <t>open</t>
        </is>
      </c>
      <c r="D882" s="313" t="inlineStr">
        <is>
          <t>The pesticide acceptance criterion is stated as ≤ LOQ, which is not the Ph. Eur. test</t>
        </is>
      </c>
      <c r="E882" s="313" t="inlineStr">
        <is>
          <t>Ph. Eur. 2.8.13 sets a maximum per compound, not a limit of quantitation. OPM1024_02 shows why it matters: delta-HCH is reported at &lt; 0.01 mg/kg against a maximum of 0.3, which conforms to the monograph and is not ≤ LOQ, and the column has no way to say so. The owner confirmed on 11.09.2026 that the reading itself is correct.</t>
        </is>
      </c>
      <c r="F882" s="313" t="inlineStr">
        <is>
          <t>The result is printed as the laboratory reports it.</t>
        </is>
      </c>
      <c r="G882" s="313" t="inlineStr">
        <is>
          <t>Restate the criterion as the Ph. Eur. maximum table, and say how a conforming detection should print beside 28 not-detected residues.</t>
        </is>
      </c>
      <c r="H882" s="313" t="inlineStr">
        <is>
          <t>IJZ 2994/2025, 19.06.2025, OPM 1024_02 (P050062); verdict on the page: ОДГОВАРА</t>
        </is>
      </c>
    </row>
    <row r="883" ht="66" customHeight="1" s="70">
      <c r="A883" s="311" t="inlineStr">
        <is>
          <t>OI-16</t>
        </is>
      </c>
      <c r="B883" s="311" t="inlineStr">
        <is>
          <t>Result</t>
        </is>
      </c>
      <c r="C883" s="314" t="inlineStr">
        <is>
          <t>open</t>
        </is>
      </c>
      <c r="D883" s="313" t="inlineStr">
        <is>
          <t>One lot's foreign matter is reported by the laboratory as not conforming</t>
        </is>
      </c>
      <c r="E883" s="313" t="inlineStr">
        <is>
          <t>FB032601 prints 0.08 % (Не одговара) on ППК26127 of 21.07.2026. The figure passes the gravimetric ≤ 2.0 % limb, so CNP is failing it on another limb of Ph. Eur. 2.8.2 (leaf and stem size). The desk used to fold Не одговара to absent — a pass — because the phrase contains одговара; that is fixed and the lot now reads as out of specification.</t>
        </is>
      </c>
      <c r="F883" s="313" t="inlineStr">
        <is>
          <t>Flagged OOS. An out-of-specification result needs an investigation record.</t>
        </is>
      </c>
      <c r="G883" s="313" t="inlineStr">
        <is>
          <t>Confirm the non-conformity with CNP and open the deviation, or obtain a corrected certificate.</t>
        </is>
      </c>
      <c r="H883" s="313" t="inlineStr">
        <is>
          <t>FB032601; ППК26127, 21.07.2026 [CNP]</t>
        </is>
      </c>
    </row>
    <row r="884" ht="66" customHeight="1" s="70">
      <c r="A884" s="311" t="inlineStr">
        <is>
          <t>OI-17</t>
        </is>
      </c>
      <c r="B884" s="311" t="inlineStr">
        <is>
          <t>Result</t>
        </is>
      </c>
      <c r="C884" s="314" t="inlineStr">
        <is>
          <t>open</t>
        </is>
      </c>
      <c r="D884" s="313" t="inlineStr">
        <is>
          <t>Thirteen lots exceed a criterion — every one of them on #9.2, and on nothing else in the whole set</t>
        </is>
      </c>
      <c r="E884" s="313" t="inlineStr">
        <is>
          <t>Judged as the desk judges a counted limit, ≤ 10ⁿ against 2 × 10ⁿ (Ph. Eur. 5.1.4): **eight lots are out of specification** — P050092 4.2 × 10⁴, P050212 4.9 × 10⁴, P060132 3.9 × 10⁴, P050152 3.6 × 10⁴, P050132 3.3 × 10⁴, P050182 2.6 × 10⁴, P060332 and P060352 2.2 × 10⁴ — and **five are in the undetermined band**: P050012 1.9 × 10⁴, P060382 1.8 × 10⁴, P050162 1.7 × 10⁴, P050052 1.5 × 10⁴, P050072 1.2 × 10⁴. Thirteen lots, and **every one is #9.2 (TYMC) against the ≤ 10⁴ CFU/g all 172 certificates print**. Across 3,956 determination cells no other parameter exceeds its criterion anywhere — not TAMC against ≤ 10⁵, not the bile-tolerant count, not a metal, not a mycotoxin, not a pesticide. Every laboratory that issued the thirteen declared the sample conforms. The Head of QC observed on 16.09.2026 that the printed specification may be 10⁵; at 10⁵ the maximum acceptable count is 2 × 10⁵ and all thirteen clear with a fourfold margin. Four of the register cells have been saying “UNDETERMINED — pending the QCSP 001 reading” for some time.</t>
        </is>
      </c>
      <c r="F884" s="313" t="inlineStr">
        <is>
          <t>Printed red bold and amber bold respectively, and named in each lot's STATUS. mark_microbial_band.py states the rule over every counted row and defers to the register's own word where it already calls a cell out of specification or undetermined. Nothing about the criterion was changed: the certificate prints what QCSP 001 says. **Three of the thirteen are resolved on their reissue by the ruling of 17.09.2026** (apply_microbiology_retest.py): the IJZ-MB campaign retested them and the reissue prints the retest — P050212 4.9 × 10⁴ → 2,3 × 10² (534/1065/26), P050132 3.3 × 10⁴ → &lt; 10 (560/1091/26), P050012 1.9 × 10⁴ → &lt; 10 (564/1095/26). The release certificate of each still states the round that released the lot, marked as it was. The other ten lots have no campaign microbiology, so the question below still decides them.</t>
        </is>
      </c>
      <c r="G884" s="313" t="inlineStr">
        <is>
          <t>Is the #9.2 (TYMC) criterion in QCSP 001 10⁴ or 10⁵ CFU/g? A specification that thirteen batches fail on one parameter and nothing else, against thirteen laboratory declarations of conformity, is more likely a criterion transcribed one power out than thirteen excursions — but that is the Head of QC's to say, not the desk's. If 10⁴ stands, each of the eight needs an investigation record and the five need a disposition.</t>
        </is>
      </c>
      <c r="H884" s="313" t="inlineStr">
        <is>
          <t>Ph. Eur. 5.1.4; 13 lots, all #9.2; QCSP 001; mark_microbial_band.py</t>
        </is>
      </c>
    </row>
    <row r="885" ht="66" customHeight="1" s="70">
      <c r="A885" s="311" t="inlineStr">
        <is>
          <t>OI-18</t>
        </is>
      </c>
      <c r="B885" s="311" t="inlineStr">
        <is>
          <t>Document content</t>
        </is>
      </c>
      <c r="C885" s="315" t="inlineStr">
        <is>
          <t>ruled</t>
        </is>
      </c>
      <c r="D885" s="313" t="inlineStr">
        <is>
          <t>The same assertion printed bilingually on some certificates and in English on others</t>
        </is>
      </c>
      <c r="E885" s="313" t="inlineStr">
        <is>
          <t>Identification A and foreign matter print Conforms on 51 determinations and Conforms | Соодветствува on 12 — the certificate's own English | Macedonian pattern, applied to some cells and not others.</t>
        </is>
      </c>
      <c r="F885" s="313" t="inlineStr">
        <is>
          <t>Owner's ruling of 11.09.2026: every conformity result prints bilingually, in the convention the rest of the certificate uses. The master already set that convention for this exact cell and nothing had used it — .r-conform .mk stacks the Macedonian beneath the English in a smaller muted green — so the halves are stacked, not joined by the .bisep pipe the master keeps for inline pairs. 375 results paired. A measured number is not translated.</t>
        </is>
      </c>
      <c r="G885" s="313" t="inlineStr">
        <is>
          <t>Nothing further.</t>
        </is>
      </c>
      <c r="H885" s="313" t="inlineStr">
        <is>
          <t>375 determinations; .r-conform .mk in _CoQ_MASTER_Template.html</t>
        </is>
      </c>
    </row>
    <row r="886" ht="66" customHeight="1" s="70">
      <c r="A886" s="311" t="inlineStr">
        <is>
          <t>OI-19</t>
        </is>
      </c>
      <c r="B886" s="311" t="inlineStr">
        <is>
          <t>Result</t>
        </is>
      </c>
      <c r="C886" s="314" t="inlineStr">
        <is>
          <t>open</t>
        </is>
      </c>
      <c r="D886" s="313" t="inlineStr">
        <is>
          <t>One ochratoxin result prints as a working note rather than a value</t>
        </is>
      </c>
      <c r="E886" s="313" t="inlineStr">
        <is>
          <t>2.06 — DETECTED, &gt;LOQ on Ochratoxin A. The limit is 20 µg/kg so it conforms, but the cell carries the reader's note instead of the figure and its qualifier.</t>
        </is>
      </c>
      <c r="F886" s="313" t="inlineStr">
        <is>
          <t>Printed as the desk holds it.</t>
        </is>
      </c>
      <c r="G886" s="313" t="inlineStr">
        <is>
          <t>How should a conforming detection print — the figure alone, or the figure with a detected qualifier? The same question as OI-15 for pesticides.</t>
        </is>
      </c>
      <c r="H886" s="313" t="inlineStr">
        <is>
          <t>#10.3 Ochratoxin A, 1 determination</t>
        </is>
      </c>
    </row>
    <row r="887" ht="66" customHeight="1" s="70">
      <c r="A887" s="311" t="inlineStr">
        <is>
          <t>OI-24</t>
        </is>
      </c>
      <c r="B887" s="311" t="inlineStr">
        <is>
          <t>Document content</t>
        </is>
      </c>
      <c r="C887" s="314" t="inlineStr">
        <is>
          <t>open</t>
        </is>
      </c>
      <c r="D887" s="313" t="inlineStr">
        <is>
          <t>The Identification C result no longer states the method on the face of the document</t>
        </is>
      </c>
      <c r="E887" s="313" t="inlineStr">
        <is>
          <t>The result read "Conforms — cannabinoids identified and quantified by HPLC", which restated the METHOD column two cells to its left on the same row. Measured with the embedded fonts, that one cell stood 85 px tall against 18 px for a normal row, and div.page clips at A4: three certificates were losing their second approver's signature date off the bottom of the sheet.</t>
        </is>
      </c>
      <c r="F887" s="313" t="inlineStr">
        <is>
          <t>Shortened to "Conforms | Одговара" like every other identity row. The basis for Identification C stays in the Section 03 citation, where a basis belongs.</t>
        </is>
      </c>
      <c r="G887" s="313" t="inlineStr">
        <is>
          <t>Do you want the method restated in the result cell? It would need a wider results column, which is a change to the master.</t>
        </is>
      </c>
      <c r="H887" s="313" t="inlineStr">
        <is>
          <t>#3 Identification C; 35 determinations</t>
        </is>
      </c>
    </row>
    <row r="888" ht="66" customHeight="1" s="70">
      <c r="A888" s="311" t="inlineStr">
        <is>
          <t>OI-27</t>
        </is>
      </c>
      <c r="B888" s="311" t="inlineStr">
        <is>
          <t>Document identity</t>
        </is>
      </c>
      <c r="C888" s="315" t="inlineStr">
        <is>
          <t>ruled</t>
        </is>
      </c>
      <c r="D888" s="313" t="inlineStr">
        <is>
          <t>The register sheet carried 60 of the series' 95 internal certificates</t>
        </is>
      </c>
      <c r="E888" s="313" t="inlineStr">
        <is>
          <t>The numbering agreed wherever both carried a row, but the ROW SETS did not. The sheet held 60 numbered rows against the series' 95: it showed no retest certificate at all where the series issues 26 — its retest rows are one per lot per sampling campaign, so a lot with four retest rounds had ONE row standing for four certificates — and it withheld nine release certificates under "where a CNP certificate reports all three, no iCoA is needed".</t>
        </is>
      </c>
      <c r="F888" s="313" t="inlineStr">
        <is>
          <t>Built, 11.09.2026. The sheet now RENDERS icoa_register.py: one row per testing round, all 95 codes printed and numbered, retests 2-5 addressable for the first time (keys |R2 .. |R5, while retest 1 keeps the bare |R every existing lookup cites). The nine withheld release certificates are registered — the 05.09.2026 note was superseded by the ruling below, and which document the certificate of QUALITY cites for those three determinations is a separate question and is unchanged. A lot the series does not carry keeps its planning row, unnumbered and saying why. verify_workbook.py now checks COVERAGE, not just agreement: every certificate in the series appears on the sheet exactly once. Run against the previous workbook it reports the 35 that were missing.</t>
        </is>
      </c>
      <c r="G888" s="313" t="inlineStr">
        <is>
          <t>Nothing — this was already ruled and the desk had recorded it as a question. 10.09.2026: "the register encompasses every internal certificate that exists or ever will, not only what the drafted lots need ... one per testing round", and "identification A, identification B and foreign matter, ALWAYS".</t>
        </is>
      </c>
      <c r="H888" s="313" t="inlineStr">
        <is>
          <t>95 of 95 series codes on the sheet (was 60); 166 rows; verify_workbook.py 0 findings</t>
        </is>
      </c>
    </row>
    <row r="889" ht="66" customHeight="1" s="70">
      <c r="A889" s="311" t="inlineStr">
        <is>
          <t>OI-26</t>
        </is>
      </c>
      <c r="B889" s="311" t="inlineStr">
        <is>
          <t>Document identity</t>
        </is>
      </c>
      <c r="C889" s="315" t="inlineStr">
        <is>
          <t>ruled</t>
        </is>
      </c>
      <c r="D889" s="313" t="inlineStr">
        <is>
          <t>The internal-CoA number was defined twice and the two disagreed on every comparable row</t>
        </is>
      </c>
      <c r="E889" s="313" t="inlineStr">
        <is>
          <t>The certificates print the code from icoa_register.py, which sorts by the order of issuing exactly as ruled and numbers iCoA-PP_26-001 .. -099, leaving 7 lots unnumbered for want of a packaging date. The workbook's iCoA Register sheet numbers its own rows by position, COUNT(A$1:A{n})+1, over a different row order and a different rule — it also withholds a number from every retest and every held result, numbering 69. Of the 49 rows that can be compared, 0 agree. J31122501 / P060262 is the owner's example: the sheet makes it iCoA-PP_26-001 because it is physically the first row; the certificate cites iCoA-PP_26-066, its true place in the issue order. The two also identify lots differently — the module's rows often carry no P number, so 20 sheet rows cannot even be matched to it.</t>
        </is>
      </c>
      <c r="F889" s="313" t="inlineStr">
        <is>
          <t>Closed against the ruling of 10.09.2026, which already answered it: "the register encompasses every internal certificate that exists or ever will … one per testing round, which is exactly the number of certificates of quality." A retest takes a number and a held lot takes a number; only a certificate with no testing date takes none, because a code in an issue-ordered series says the certificate was issued. The workbook now takes its codes from icoa_register.py as literals — one definition — and mints none of its own; a row the series does not carry is left unnumbered and says so. Two defects were found on the way: the register carried 26 rows with no P number that Batch Dates could supply, and it registered four lots TWICE for the same round, once under the cultivation batch and once under the bare P number (J31102501/P060152, JD112501/P060212, OPM122501/P060242, GG012603/P060402) — same P number, same testing date, same issue date, so two internal certificates for one testing, which the ruling forbids. 106 rows -&gt; 102. verify_workbook.py compares the two registers on every run and the workbook verifies with 0 findings.</t>
        </is>
      </c>
      <c r="G889" s="313" t="inlineStr">
        <is>
          <t>Nothing. Recorded because the numbers moved: de-duplicating shifted every code from 045 onward, so any code quoted before 11.09.2026 is stale.</t>
        </is>
      </c>
      <c r="H889" s="313" t="inlineStr">
        <is>
          <t>icoa_register.py and the iCoA Register sheet; 49 of 49 differed, now 0</t>
        </is>
      </c>
    </row>
    <row r="890" ht="66" customHeight="1" s="70">
      <c r="A890" s="311" t="inlineStr">
        <is>
          <t>OI-25</t>
        </is>
      </c>
      <c r="B890" s="311" t="inlineStr">
        <is>
          <t>Document rendering</t>
        </is>
      </c>
      <c r="C890" s="315" t="inlineStr">
        <is>
          <t>ruled</t>
        </is>
      </c>
      <c r="D890" s="313" t="inlineStr">
        <is>
          <t>The A4 page was never measured with the fonts it prints in</t>
        </is>
      </c>
      <c r="E890" s="313" t="inlineStr">
        <is>
          <t>"One A4 page" was checked by reading scrollHeight on the page itself — but div.page clips with overflow:hidden, so that reading returns the clipped height and always answers zero. Measured properly, inside an A4 frame with the subset fonts the PDF embeds, 5 of the 22 certificates stood past the bottom of the sheet, the worst by 72 px, and P060152 was printing only one of its two signature dates.</t>
        </is>
      </c>
      <c r="F890" s="313" t="inlineStr">
        <is>
          <t>The builder measures it on every run and names any document that overflows. Four compiled-copy fit rules close the gap: the Identification C result shortened (OI-24), short paired results held on one line rather than wrapped, and the leading of Section 03 and of the parameter column tightened. 21 of 22 now fit outright; the 22nd has a few px of trailing box space past the edge with no element beyond it.</t>
        </is>
      </c>
      <c r="G890" s="313" t="inlineStr">
        <is>
          <t>Nothing. Recorded because the claim had been made and was not true, and because the page has very little slack: the next thing that adds a line will need this check.</t>
        </is>
      </c>
      <c r="H890" s="313" t="inlineStr">
        <is>
          <t>build_coq_drafts.py page-height report; measured 5 of 22 -&gt; 0 of 22 losing content</t>
        </is>
      </c>
    </row>
    <row r="891" ht="66" customHeight="1" s="70">
      <c r="A891" s="311" t="inlineStr">
        <is>
          <t>OI-23</t>
        </is>
      </c>
      <c r="B891" s="311" t="inlineStr">
        <is>
          <t>Document content</t>
        </is>
      </c>
      <c r="C891" s="314" t="inlineStr">
        <is>
          <t>open</t>
        </is>
      </c>
      <c r="D891" s="313" t="inlineStr">
        <is>
          <t>The Macedonian for an absent organism was chosen from the laboratories' own usage</t>
        </is>
      </c>
      <c r="E891" s="313" t="inlineStr">
        <is>
          <t>The owner ruled the conformity result prints "Conforms | Одговара". The absence columns (Salmonella, E. coli) assert absence rather than conformity and were not covered by that word. The source certificates spell it four ways — отсутна (7), отсуство (2), отсуства (2) — and most often write Одговара there instead (84).</t>
        </is>
      </c>
      <c r="F891" s="313" t="inlineStr">
        <is>
          <t>The certificate prints "Absent | Отсутна" on 92 determinations: CNP's own most-used form ("отсутна/25 g"), capitalised, rather than a term translated afresh for a controlled document.</t>
        </is>
      </c>
      <c r="G891" s="313" t="inlineStr">
        <is>
          <t>Confirm Отсутна, or give the term the two absence rows should carry.</t>
        </is>
      </c>
      <c r="H891" s="313" t="inlineStr">
        <is>
          <t>#9.4 Salmonella, #9.5 E. coli; 92 determinations</t>
        </is>
      </c>
    </row>
    <row r="892" ht="66" customHeight="1" s="70">
      <c r="A892" s="311" t="inlineStr">
        <is>
          <t>OI-22</t>
        </is>
      </c>
      <c r="B892" s="311" t="inlineStr">
        <is>
          <t>Result reading</t>
        </is>
      </c>
      <c r="C892" s="315" t="inlineStr">
        <is>
          <t>ruled</t>
        </is>
      </c>
      <c r="D892" s="313" t="inlineStr">
        <is>
          <t>An analyte the laboratory never tested was printing a line on the certificate</t>
        </is>
      </c>
      <c r="E892" s="313" t="inlineStr">
        <is>
          <t>The initial testing of a batch often runs only part of a parameter's panel: mycotoxins assayed for total aflatoxins alone, with Aflatoxin B1 and Ochratoxin A not tested. The certificate printed a bracketed blank for each untested analyte, which in a results column reads as a finding still to come; before the ND ruling was scoped it would have printed ND, asserting the analyte was measured and absent.</t>
        </is>
      </c>
      <c r="F892" s="313" t="inlineStr">
        <is>
          <t>Owner's ruling of 11.09.2026: "since they're not tested, those sub-parameters are not going to enter inside the certificate of quality at all." fillCoq() removes the row from the compiled copy — only for a sub-determination inside a parameter that WAS tested, because if nothing in the group has a result the parameter itself is missing and that is a gap the certificate must show. 36 rows removed across the 22 drafts, all of them Aflatoxin B1 or Ochratoxin A on 18 release certificates; the retest of the same batch prints all three. Blank printed lines 87 -&gt; 51. The master file is untouched.</t>
        </is>
      </c>
      <c r="G892" s="313" t="inlineStr">
        <is>
          <t>Nothing. Recorded because it is the boundary of the ND ruling: n.r. printed by a laboratory as a result means ND, and an analyte absent from the panel is not a result at all.</t>
        </is>
      </c>
      <c r="H892" s="313" t="inlineStr">
        <is>
          <t>BG1024 release vs retest, verified through fillCoq in headless Chromium</t>
        </is>
      </c>
    </row>
    <row r="893" ht="66" customHeight="1" s="70">
      <c r="A893" s="311" t="inlineStr">
        <is>
          <t>OI-21</t>
        </is>
      </c>
      <c r="B893" s="311" t="inlineStr">
        <is>
          <t>Document rendering</t>
        </is>
      </c>
      <c r="C893" s="315" t="inlineStr">
        <is>
          <t>ruled</t>
        </is>
      </c>
      <c r="D893" s="313" t="inlineStr">
        <is>
          <t>Sixty-six faces in the tranche PDFs embedded as Type 3 rather than outlines</t>
        </is>
      </c>
      <c r="E893" s="313" t="inlineStr">
        <is>
          <t>39 faces in Tranche 1 and 27 in Tranche 2 were Montserrat Medium Italic rasterised into Type 3 glyph procedures, while the same family embedded as TrueType elsewhere in the same document. The count was identical in the previously committed PDFs, so it predates the 11.09 work. Cause: .ap-cred sets font-weight:600 in italic and the font request asked for italic at 400, 500 and 700 only, so the browser emboldened the nearest real italic — and a synthesised face has no outlines to embed.</t>
        </is>
      </c>
      <c r="F893" s="313" t="inlineStr">
        <is>
          <t>Fixed: italic 600 and 700 added to the font request in both print_coq_pdfs.py and house_fonts.py, and the rule written down beside them — when a stylesheet sets an italic weight, that weight belongs in FAMILIES.</t>
        </is>
      </c>
      <c r="G893" s="313" t="inlineStr">
        <is>
          <t>Nothing. Recorded because the first Type 3 fix (pinning the variable axes) looked complete and was not: it fixes the faces the page asks for by name, never one the page never asked for.</t>
        </is>
      </c>
      <c r="H893" s="313" t="inlineStr">
        <is>
          <t>print_coq_pdfs.py FAMILIES; pdffonts on both tranche PDFs</t>
        </is>
      </c>
    </row>
    <row r="894" ht="66" customHeight="1" s="70">
      <c r="A894" s="311" t="inlineStr">
        <is>
          <t>OI-20</t>
        </is>
      </c>
      <c r="B894" s="311" t="inlineStr">
        <is>
          <t>Desk status</t>
        </is>
      </c>
      <c r="C894" s="314" t="inlineStr">
        <is>
          <t>open</t>
        </is>
      </c>
      <c r="D894" s="313" t="inlineStr">
        <is>
          <t>Nine result cells hold a desk status instead of a value</t>
        </is>
      </c>
      <c r="E894" s="313" t="inlineStr">
        <is>
          <t>not ingested (the document exists but has not been extracted into the eCoA database) on 5 cells, held for review (the two independent reads disagreed) on 3, and one Identification C awaiting a decision.</t>
        </is>
      </c>
      <c r="F894" s="313" t="inlineStr">
        <is>
          <t>Each is carried on the Work Order sheet with what it needs; none reaches a certificate.</t>
        </is>
      </c>
      <c r="G894" s="313" t="inlineStr">
        <is>
          <t>Nothing — these are desk work, listed so the count is visible.</t>
        </is>
      </c>
      <c r="H894" s="313" t="inlineStr">
        <is>
          <t>Work Order sheet</t>
        </is>
      </c>
    </row>
    <row r="895" ht="66" customHeight="1" s="70">
      <c r="A895" s="311" t="inlineStr">
        <is>
          <t>OI-49</t>
        </is>
      </c>
      <c r="B895" s="311" t="inlineStr">
        <is>
          <t>Document identity</t>
        </is>
      </c>
      <c r="C895" s="314" t="inlineStr">
        <is>
          <t>open</t>
        </is>
      </c>
      <c r="D895" s="313" t="inlineStr">
        <is>
          <t>Eight certificates still credit the in-house certificate beyond identification A, identification B and foreign matter</t>
        </is>
      </c>
      <c r="E895" s="313" t="inlineStr">
        <is>
          <t>The Head of QC, 17.09.2026, reading Section 03 of CoQ-PP_26-004 (GG1024): the internal certificate was cited under one code with two dates and credited with parameters 1 to 11 where the Institute and CNP had determined 8 to 12. apply_lab_attribution.py put that right on every certificate — 19 rows re-pointed to the Institute's 166/0274/25 and 748/2025 on the two GG1024 certificates, 7 rows with no certificate behind them now not tested (GG1024's release assay of 13.34 % from the company's CoA of 23.04.2025, which the desk's own gate had refused to corroborate; Identification C on HPA1024, OPM1024, P050192 and P050202), 4 in-house CoA numbers replaced by the internal certificate, 30 'PP CoA #nnn / ППКnnnnn' citations reduced to the CNP certificate alone. What remains: on HPA1024 and OPM1024 (CoQ-PP_26-005/006 and their retests 097/101) the internal certificate covers #4, #5, #9, #10.2, #11 and #12 from the company's Report of Analysis, and on P050192 and P050202 (025/026 and 107/149) #4, #5 and #8 from the in-house cross-check — 54 rows on 8 certificates, under the ruling of 10.09.2026 that one internal certificate covers any determination whose only result in the round is an in-house record.</t>
        </is>
      </c>
      <c r="F895" s="313" t="inlineStr">
        <is>
          <t>Kept as the 10.09 ruling says, with one date per document; the internal certificates of those four lots list the parameters they cover.</t>
        </is>
      </c>
      <c r="G895" s="313" t="inlineStr">
        <is>
          <t>Whether the reading of 17.09.2026 — the in-house laboratory's analyses are 1, 2 and 7 — reaches these four lots. If so, the 54 rows print not tested (the rule of 02.09.2026: a value no certificate of analysis certifies cannot be on a release certificate) and the four internal certificates shrink to 1, 2 and 7.</t>
        </is>
      </c>
      <c r="H895" s="313" t="inlineStr">
        <is>
          <t>apply_lab_attribution.py; icoa_register_2026-09-10.csv (covers_in_house); design_handoff/docs/REBUILD_v40.md §3f</t>
        </is>
      </c>
    </row>
    <row r="896" ht="66" customHeight="1" s="70">
      <c r="A896" s="311" t="inlineStr">
        <is>
          <t>OI-50</t>
        </is>
      </c>
      <c r="B896" s="311" t="inlineStr">
        <is>
          <t>Specification</t>
        </is>
      </c>
      <c r="C896" s="314" t="inlineStr">
        <is>
          <t>open</t>
        </is>
      </c>
      <c r="D896" s="313" t="inlineStr">
        <is>
          <t>Wedding Cake: one result, a first specification of 26.00 ± 2.60 %, four older issued WED documents it supersedes, dominance still to be determined</t>
        </is>
      </c>
      <c r="E896" s="313" t="inlineStr">
        <is>
          <t>The Head of QC's Potency_specifications_25.pdf (specs/, 17.09.2026) grades Wedding Cake at 26.00 ± 2.60 % (23.40 – 28.59 %), a strain the desk's table had not carried; apply_potency_grades.py added it and CoQ-PP_26-165 (P060102, 25.15 %) now prints grade I, WED_THC26 : CBD1 and QCSP_001_WED-I_v.01. The same pass corrected Amnesia Core Cut's tolerance to ± 1.20 (10.80 – 13.19 %) on CoQ-PP_26-106; the other 22 strains matched the PDF to the digit and no result of the 172 certificates falls outside its strain's windows. The Head of QC, 17.09.2026: one result, 25.15 %, and this is the strain's first specification. The desk holds exactly that one result (Farmahem 227-4-К/26, 11.09.2026, the retest); the release certificate CoQ-PP_26-046 has none, and the Farmahem certificate 031-3-К/26 of WED102501 that would carry the release-round assay is on Drive and unread (OI-42). The product attributes were on the desk after all — spec_attributes_2026-09-10.csv carries four issued Wedding Cake documents, QCSP_001_WED-I…IV_v.01 (BASE_SPCs), the old ladder 28.50 ± 1.50 / 24.95 ± 1.95 / 19.45 ± 3.45 / 10.45 ± 5.45 — so CoQ-PP_26-165 now prints HYBRID · THC · MACHINE TRIMMED and the Triplex Alu Bag from them, with the strain's dominance still TO BE DETERMINED as those documents print it. Under the rule of 15.09.2026 the new single grade replaces that ladder and keeps the code QCSP_001_WED-I_v.01; the status beside it records what the issued WED-I printed.</t>
        </is>
      </c>
      <c r="F896" s="313" t="inlineStr">
        <is>
          <t>Grade, code, window and attributes print; the dominance is not guessed.</t>
        </is>
      </c>
      <c r="G896" s="313" t="inlineStr">
        <is>
          <t>The dominance (indica : sativa) of Wedding Cake, and confirmation that QCSP_001_WED-I_v.01 at 26.00 ± 2.60 % is the first specification of the new series and supersedes the four issued WED documents.</t>
        </is>
      </c>
      <c r="H896" s="313" t="inlineStr">
        <is>
          <t>specs/Potency_specifications_25_2026-09-17.pdf; apply_potency_grades.py; spec_attributes_2026-09-10.csv</t>
        </is>
      </c>
    </row>
    <row r="897" ht="66" customHeight="1" s="70">
      <c r="A897" s="311" t="inlineStr">
        <is>
          <t>OI-51</t>
        </is>
      </c>
      <c r="B897" s="311" t="inlineStr">
        <is>
          <t>Register cell</t>
        </is>
      </c>
      <c r="C897" s="314" t="inlineStr">
        <is>
          <t>open</t>
        </is>
      </c>
      <c r="D897" s="313" t="inlineStr">
        <is>
          <t>Six release-register blocks file a CNP certificate under the in-house CoA's number and date</t>
        </is>
      </c>
      <c r="E897" s="313" t="inlineStr">
        <is>
          <t>The blocks of P050282, P050292, P050302, P050312, P050322 and P060052 hold the CNP potency certificate as 'PP CoA #nnn / ППКnnnnn' dated 21.01.2026 — the company's in-house CoA number and date, not the CNP certificate's. The certificates now cite the CNP document alone with its own date (ППК25370 · 28.11.2025 from the 09.09 pass; ППК25378 · 12.12.2025 and ППК26005 · 21.01.2026 from the certificates' own pages in the page-text cache). check_thc_consistency.py (17.09.2026) confirms every figure agrees and names these five as the only date differences between a certificate and the register.</t>
        </is>
      </c>
      <c r="F897" s="313" t="inlineStr">
        <is>
          <t>The certificates print the CNP date; the register still prints the combined name and the in-house date.</t>
        </is>
      </c>
      <c r="G897" s="313" t="inlineStr">
        <is>
          <t>Whether to correct the six register cells to the CNP code and its issue date (apply_register_corrections.py is the mechanism).</t>
        </is>
      </c>
      <c r="H897" s="313" t="inlineStr">
        <is>
          <t>check_thc_consistency.py; apply_lab_attribution.py (R5); ingestion/ragflow/cache</t>
        </is>
      </c>
    </row>
    <row r="898" ht="66" customHeight="1" s="70">
      <c r="A898" s="311" t="inlineStr">
        <is>
          <t>OI-52</t>
        </is>
      </c>
      <c r="B898" s="311" t="inlineStr">
        <is>
          <t>Result</t>
        </is>
      </c>
      <c r="C898" s="314" t="inlineStr">
        <is>
          <t>open</t>
        </is>
      </c>
      <c r="D898" s="313" t="inlineStr">
        <is>
          <t>Loss on drying: seven reissues cite an older document than the newest one on file for the lot</t>
        </is>
      </c>
      <c r="E898" s="313" t="inlineStr">
        <is>
          <t>The ruling of 17.09.2026 — a newer external certificate for a parameter means that parameter was retested, so the reissue cites it — was given for microbiological purity and applied there (21 reissues re-pointed, 0 left). The same sweep over every other determination group finds potency, mycotoxins, heavy metals and pesticides clean and **seven reissues on loss on drying**. Five are not really seven: P050282, P050302, P050312, P050322 and P050292 differ only because the register files the CNP certificate under the in-house CoA’s number and date, which is OI-51, so the ‘newer document’ is the same document under a second name. **Two are genuine**: CoQ-PP_26-095 (P050022) prints ППК25139 of 22.05.2025 where ППК25174 of 10.07.2025 is on file, and CoQ-PP_26-153 (J31112501) prints 051-5-ГС/26 of 02.03.2026 where 100-1-ГС/26 of 09.04.2026 is. Both newer documents PREDATE their certificate, so under the same rule the citation would move and the date of issue would not.</t>
        </is>
      </c>
      <c r="F898" s="313" t="inlineStr">
        <is>
          <t>Nothing changed. The Head of QC ruled on the microbiological-purity certificate, and the desk applied the ruling to microbiological purity. Extending it to a second parameter family is the Head of QC’s to say, and five of the seven cannot be acted on at all until OI-51 is settled.</t>
        </is>
      </c>
      <c r="G898" s="313" t="inlineStr">
        <is>
          <t>Does the ruling of 17.09.2026 reach loss on drying — should CoQ-PP_26-095 cite ППК25174 and CoQ-PP_26-153 cite 100-1-ГС/26? And does it reach every determination, as a standing rule, rather than being asked family by family?</t>
        </is>
      </c>
      <c r="H898" s="313" t="inlineStr">
        <is>
          <t>apply_microbiology_retest.py; tracker/LoD_Check_2026-09-17.md; OI-51</t>
        </is>
      </c>
    </row>
    <row r="899" ht="66" customHeight="1" s="70">
      <c r="A899" s="311" t="inlineStr">
        <is>
          <t>OI-53</t>
        </is>
      </c>
      <c r="B899" s="311" t="inlineStr">
        <is>
          <t>Result</t>
        </is>
      </c>
      <c r="C899" s="314" t="inlineStr">
        <is>
          <t>open</t>
        </is>
      </c>
      <c r="D899" s="313" t="inlineStr">
        <is>
          <t>Thirteen lots have no loss-on-drying determination at all — 26 certificates print “not tested”</t>
        </is>
      </c>
      <c r="E899" s="313" t="inlineStr">
        <is>
          <t>The Head of QC ruled on 17.09.2026 that every certificate of quality, for every production batch, prints a loss-on-drying value and cites the certificate behind it — from the Center for Natural Products or from Farmahem, Farmahem’s where a lot has both. The desk swept the release register, the 09.09 resolution pass, the eCoA spec listing and the whole of the owner’s Drive for every lot printing nothing. **One document was found**: Farmahem 031-3-ГС/26 of 12.02.2026, Wedding Cake WED102501 / P060102, loss on drying 6,8 % ± 0,2 against &lt; 12 — one of the 44 scans OI-42 enumerated, in no record of the desk until now. It was taken in (intake_LoD031_2026-09-17) and CoQ-PP_26-046 and CoQ-PP_26-165 now print it. For the remaining **thirteen lots there is no loss-on-drying report anywhere**: HPA1024, OPM1024, P050142 (BSS1024_01/2), P060142 (GRC102501/1), P060332 (CC012601-1), P060342 (SCR012601), P060352 (FB012602), P060362 (JD012603/01), P060372 (CC012603), P060382 (SCR012603), P060492 (JD042601), FB042601 and CC042601. The 09.09 pass had already reached the same verdict for five of them (“NOTHING ON FILE — no document anywhere”) and marked HPA1024 and OPM1024 as having only an in-house scan.</t>
        </is>
      </c>
      <c r="F899" s="313" t="inlineStr">
        <is>
          <t>The two Wedding Cake certificates now print 6,8 % and cite 031-3-ГС/26. The other 26 certificates keep “not tested — no certificate covers it”, which is the truth of them. apply_lod_source.py is the standing rule and lod_check.py the census that shows it.</t>
        </is>
      </c>
      <c r="G899" s="313" t="inlineStr">
        <is>
          <t>These thirteen lots need loss on drying determined — or a ruling that they are released without it. Farmahem’s ГС report is one parameter on one page and would close all thirteen in a single submission.</t>
        </is>
      </c>
      <c r="H899" s="313" t="inlineStr">
        <is>
          <t>apply_lod_source.py; lod_check.py; tracker/LoD_Check_2026-09-17.md; intake_LoD031_2026-09-17; OI-42</t>
        </is>
      </c>
    </row>
    <row r="900" ht="66" customHeight="1" s="70">
      <c r="A900" s="311" t="inlineStr">
        <is>
          <t>OI-54</t>
        </is>
      </c>
      <c r="B900" s="311" t="inlineStr">
        <is>
          <t>Result</t>
        </is>
      </c>
      <c r="C900" s="315" t="inlineStr">
        <is>
          <t>ruled</t>
        </is>
      </c>
      <c r="D900" s="313" t="inlineStr">
        <is>
          <t>Two release certificates were printing the retest of a determination instead of the release testing</t>
        </is>
      </c>
      <c r="E900" s="313" t="inlineStr">
        <is>
          <t>The Head of QC, 17.09.2026, on P050022: “at parameter 9 correct and check TAMC and BT, and parameter 11 — in the eCOA for heavy metals all parameters are ND and in the CoQ there is an actual value inserted.” Both are one defect, and it was the CITATION, not the reading. P050022 has two microbiology certificates and two contaminant reports: 471-0862-25 of 22.05.2025 (TAMC 700, TYMC &lt; 10, bile-tolerant &lt; 10² и &gt; 10) against 627/1128/25 of 02.07.2025 (all &lt; 10); and 2471/2025 of 30.05.2025 (aflatoxins Σ &lt; 2, Pb/Cd/As/Hg all н.д., pesticides н.д.) against 3176/2025 of 26.06.2025 (As 0.047). **The release certificate was printing the later document of each pair** — which is why arsenic read 0.047 where the report the Head of QC was reading says N.D. A sweep of all eighty-nine release certificates found exactly two in this position: CoQ-PP_26-007 (P050022) and CoQ-PP_26-010 (P050042, #9 only — 2156/2025 of 07.05.2025 where 407-0745-25 of 05.05.2025 is the release page, TAMC 10 against &lt; 10).</t>
        </is>
      </c>
      <c r="F900" s="313" t="inlineStr">
        <is>
          <t>apply_release_round.py states the rule the owner gave on 10.09.2026 — the first result is the release testing, every later one a retest — as something the compilation applies: a release certificate prints the FIRST document on file for each determination, the printed part of a group moving together, campaign and in-house documents never candidates. Both pages were read twice at full resolution (intake_release_round_2026-09-17) and three register cells the page disagreed with were corrected: 471-0862-25 TYMC 10 → &lt; 10, 2471/2025 pesticides &lt; LOQ → N.D., and the aflatoxin column 2471/2025 never had → &lt; 2. CoQ-PP_26-007 now prints heavy metals all ND and TAMC 700; its reissue CoQ-PP_26-095 keeps the retest, which is what a reissue states.</t>
        </is>
      </c>
      <c r="G900" s="313" t="inlineStr">
        <is>
          <t>Nothing — the Head of QC named the defect and the rule that fixes it is his own of 10.09.2026. Recorded so the next reader knows why two certificates changed.</t>
        </is>
      </c>
      <c r="H900" s="313" t="inlineStr">
        <is>
          <t>apply_release_round.py; intake_release_round_2026-09-17; the reads of 471-0862-25 and 2471/2025 of 17.09.2026</t>
        </is>
      </c>
    </row>
    <row r="901" ht="66" customHeight="1" s="70">
      <c r="A901" s="311" t="inlineStr">
        <is>
          <t>OI-55</t>
        </is>
      </c>
      <c r="B901" s="311" t="inlineStr">
        <is>
          <t>Result</t>
        </is>
      </c>
      <c r="C901" s="314" t="inlineStr">
        <is>
          <t>open</t>
        </is>
      </c>
      <c r="D901" s="313" t="inlineStr">
        <is>
          <t>P060382 has no heavy-metal, pesticide or loss-on-drying determination — searched again on 17.09.2026</t>
        </is>
      </c>
      <c r="E901" s="313" t="inlineStr">
        <is>
          <t>The Head of QC, 17.09.2026: “P060382, check all the heavy metals parameters because in the COQ there is no values and NT is entered and I’m sure there is an eCOA for it; for P060382 also in the COQ there is no LoD tested and it says NT.” The desk searched again, everywhere it can reach: the release register block (three documents — 364/0694/26 microbiology, 197-21-К/26 cannabinoids, 197-21-М/26 mycotoxins), the Head of QC’s own 09.09 resolution pass (which records “NOTHING ON FILE — no document anywhere” for #8 and for the contaminants), the eCoA spec listing (“Missing / not tested”), RAGflow, and the owner’s Drive by lot folder, by title and by full text. The lot folder holds the two Farmahem reports and nothing else, and **197-21-М/26 was read at full resolution on 17.09.2026: its own Параметри line reads ‘Идентификација и квантификација на микотоксини’ and it reports aflatoxins B1, B2, G1, G2 and nothing else** — no metals, no pesticides, no loss on drying.</t>
        </is>
      </c>
      <c r="F901" s="313" t="inlineStr">
        <is>
          <t>Nothing written. The certificate prints “not tested — no certificate covers it” for #8, #11 and #12 because that is the truth of the record.</t>
        </is>
      </c>
      <c r="G901" s="313" t="inlineStr">
        <is>
          <t>Either the reports exist somewhere the desk cannot see — in which case one scan into eCoA_DATABASE closes it — or P060382 was never sent for metals, pesticides or loss on drying and needs to be, or released explicitly without them. The same question as OI-53 for loss on drying, and the same lot.</t>
        </is>
      </c>
      <c r="H901" s="313" t="inlineStr">
        <is>
          <t>197-21-М/26 read 17.09.2026; cell_resolution_2026-09-09.tsv; PP_Spec_Parameter_Listing.xlsx; Drive lot folder P060382_SCR012603; OI-53</t>
        </is>
      </c>
    </row>
    <row r="902" ht="66" customHeight="1" s="70">
      <c r="A902" s="311" t="inlineStr">
        <is>
          <t>OI-56</t>
        </is>
      </c>
      <c r="B902" s="311" t="inlineStr">
        <is>
          <t>Scope</t>
        </is>
      </c>
      <c r="C902" s="314" t="inlineStr">
        <is>
          <t>open</t>
        </is>
      </c>
      <c r="D902" s="313" t="inlineStr">
        <is>
          <t>The new tranche grouping of 18.09.2026 disagrees with the laboratory campaign for seven lots</t>
        </is>
      </c>
      <c r="E902" s="313" t="inlineStr">
        <is>
          <t>The Head of QC regrouped the delivery tranches on Drive (BY_P_FOLDERS/T1, T2, T3), read on 18.09.2026: 20 / 26 / 31 batches against the 21 / 32 / 30 the desk held. CC012601_1 (P060332) is pushed from Tranche 1 to Tranche 3, and six batches leave the tranches altogether — CLE072501 (P050282), OPM092501 (P060042), SJ092501 (P060082), JD042601 (P060492), FB042601 and CC042601, all of them formerly Tranche 2. But every one of the seven carries a Farmahem campaign certificate that says otherwise: CC012601_1 carries **197-6**, the sixth certificate of the FIRST campaign, and the six removed lots carry 220-7, 220-22, 220-27, 220-30, 220-31 and 220-32, the second.</t>
        </is>
      </c>
      <c r="F902" s="313" t="inlineStr">
        <is>
          <t>The delivery grouping is recorded and followed (tranche_assignment_2026-09-18.csv). Nothing has been re-dated. sampling_dates.py keys the campaign on the certificate series, as it always has, so the retest sampling days and the reissue issue dates are unchanged.</t>
        </is>
      </c>
      <c r="G902" s="313" t="inlineStr">
        <is>
          <t>Two questions, and the desk will not answer either by itself. Does the move of P060332 to Tranche 3 mean its retest was sampled 19–21.08.2026 and its reissue issues 24.08.2026, against a certificate the laboratory numbered 197-6 and a sampling day of 21.07.2026? And are the six removed lots withdrawn from the issue set, or issued outside the tranche packages? A folder cannot overwrite a date taken from a laboratory’s own certificate, so the desk has left both alone.</t>
        </is>
      </c>
      <c r="H902" s="313" t="inlineStr">
        <is>
          <t>Drive BY_P_FOLDERS T1/T2/T3 read 18.09.2026; tracker/TRANCHE_ASSIGNMENT_2026-09-18.md; tranche_assignment_2026-09-18.csv; sampling_dates.py; coq_reissue_scope_2026-09-15.csv</t>
        </is>
      </c>
    </row>
    <row r="903" ht="66" customHeight="1" s="70">
      <c r="A903" s="311" t="inlineStr">
        <is>
          <t>OI-57</t>
        </is>
      </c>
      <c r="B903" s="311" t="inlineStr">
        <is>
          <t>Document</t>
        </is>
      </c>
      <c r="C903" s="314" t="inlineStr">
        <is>
          <t>open</t>
        </is>
      </c>
      <c r="D903" s="313" t="inlineStr">
        <is>
          <t>P060372 and P060362 — loss on drying, heavy metals and pesticides marked by hand with no certificate behind them</t>
        </is>
      </c>
      <c r="E903" s="313" t="inlineStr">
        <is>
          <t>The Head of QC marked five certificates by hand on 18.09.2026. Three lots went through: every figure agreed with his own 09.09 resolution pass, which names the document, and 54 cells that had been printing [NT] now print the result. Two did not. P060372 carries loss on drying 6,42 and lead 0,006, cadmium 0,007, arsenic 0,006, mercury 0,001, pesticides 0; P060362 carries 6,95 and 0,008, 0,011, 0,01, 0,002, 0. For both, the resolution pass says NOTHING ON FILE — no document anywhere — for #8, #11 and #12, and the Drive lot folders hold only the Farmahem potency pair and the microbiology certificate. Their siblings’ IJZ panels are 3660/2026 and 3662/2026 of 22.06.2026, and 3661/2026 of that day belongs to FB012603 / P060432, so no certificate of that run is missing from the count.</t>
        </is>
      </c>
      <c r="F903" s="313" t="inlineStr">
        <is>
          <t>The figures are recorded in intake_handmarked_2026-09-18/reads_handmarked.json and are NOT printed. The certificates keep [NT] for those three determinations.</t>
        </is>
      </c>
      <c r="G903" s="313" t="inlineStr">
        <is>
          <t>One scan into eCoA_DATABASE closes it. Otherwise the two lots were never sent for loss on drying, metals or pesticides and need to be, or released explicitly without them — the same question as OI-53 and OI-55, on two more lots.</t>
        </is>
      </c>
      <c r="H903" s="313" t="inlineStr">
        <is>
          <t>Photographs of 18.09.2026; cell_resolution_2026-09-09.tsv; Drive folders CC012603_P060372 and JD012603_P060362; tracker/HANDMARKED_CORRECTIONS_2026-09-18.md</t>
        </is>
      </c>
    </row>
    <row r="904" ht="66" customHeight="1" s="70">
      <c r="A904" s="311" t="inlineStr">
        <is>
          <t>OI-58</t>
        </is>
      </c>
      <c r="B904" s="311" t="inlineStr">
        <is>
          <t>Desk status</t>
        </is>
      </c>
      <c r="C904" s="315" t="inlineStr">
        <is>
          <t>ruled</t>
        </is>
      </c>
      <c r="D904" s="313" t="inlineStr">
        <is>
          <t>The master workbook was said to be unbuildable. It was a missing flag</t>
        </is>
      </c>
      <c r="E904" s="313" t="inlineStr">
        <is>
          <t>Recorded on 18.09.2026 as a NameError in HEAD: build_tracker_v8.py reaching line 2432 and raising ‘_F_ is not defined’, with the helpers thought to be trapped inside a function. They are not. The enclosing block at :428 is `if ICOA_RULE:` — a module-level CONDITIONAL, not a function — and ICOA_RULE is `--icoa in sys.argv`. Without the flag the block never runs, so the names are never bound, and the register notes 2,000 lines below that read them unconditionally fail. The builder was never broken; it was invoked without the flag that v44 had been built with.</t>
        </is>
      </c>
      <c r="F904" s="313" t="inlineStr">
        <is>
          <t>Built on 18.09.2026: CoQ_Analysis_Master_v45.xlsx, 12 tabs, 86 batches, 184 two-row blocks, verify_workbook with NO findings. It took two attempts, and the second is the lesson: --icoa alone builds a workbook that LOOKS right and verifies with 7 findings — short of results without --cells, missing the Mikro CoQ Parameter section without --mikro, and dating the legacy series on the defaults rather than on 03.06/06.06.2026. CI caught it. --mikro must name a master that still carries the RAW sheet (v10-v13, v21-v23); from v24 it is folded into Reference and cannot be read back out. The guard beside ICOA_RULE now prints the WHOLE build and says to run verify_workbook after it, because a guard that names half the command is how this went wrong the first time. The eight naming rulings of 18.09.2026 are in tracker/strains.py.</t>
        </is>
      </c>
      <c r="G904" s="313" t="inlineStr">
        <is>
          <t>Nothing. The diagnosis was wrong and is corrected here so the record does not keep a working builder marked broken.</t>
        </is>
      </c>
      <c r="H904" s="313" t="inlineStr">
        <is>
          <t>tracker/build_tracker_v8.py:382 (the guard), :428 (`if ICOA_RULE:`), :2432; tracker/HANDMARKED_CORRECTIONS_2026-09-18.md</t>
        </is>
      </c>
    </row>
    <row r="905" ht="66" customHeight="1" s="70">
      <c r="A905" s="311" t="inlineStr">
        <is>
          <t>OI-59</t>
        </is>
      </c>
      <c r="B905" s="311" t="inlineStr">
        <is>
          <t>Document</t>
        </is>
      </c>
      <c r="C905" s="314" t="inlineStr">
        <is>
          <t>open</t>
        </is>
      </c>
      <c r="D905" s="313" t="inlineStr">
        <is>
          <t>Three certificates in the archive are missing their page 3 — the heavy metals</t>
        </is>
      </c>
      <c r="E905" s="313" t="inlineStr">
        <is>
          <t>The Institute of Public Health issues its contaminant panel over four pages, and page 3 carries the whole ТЕШКИ МЕТАЛИ table — lead, cadmium, arsenic, mercury — the last three pesticide residues and the total-aflatoxin row. On three certificates the archive holds only three pages, and the page that is gone is page 3. The pages that are there print their own footers: Страна 1 од 4, Страна 2 од 4, Страна 4 од 4.
    1065/2026   SJ102501   P060162
    1625/2026   J31122501  P060262
    3925/2026   GG032601   —
It is not a download fault. Each local copy is byte for byte the size of the file in eCoA_DATABASE (1,573,779 / 869,003 / 1,619,812), so the scan in the company's own archive is the one that is short a page.</t>
        </is>
      </c>
      <c r="F905" s="313" t="inlineStr">
        <is>
          <t>Read twice, by two readers who did not see each other's work, and both reported the same missing page independently. Nothing is entered for those three lots' metals or aflatoxins: a determination with no page to read is not a result, and the certificates keep saying so.</t>
        </is>
      </c>
      <c r="G905" s="313" t="inlineStr">
        <is>
          <t>Re-scan the three certificates from the paper originals, or ask the Institute of Public Health for a fresh copy. Three lots' heavy metals depend on it.</t>
        </is>
      </c>
      <c r="H905" s="313" t="inlineStr">
        <is>
          <t>intake_contaminants_2026-09-18/two_read_result.json; apply_contaminants.py</t>
        </is>
      </c>
    </row>
    <row r="908" ht="20" customHeight="1" s="70">
      <c r="A908" s="264" t="inlineStr">
        <is>
          <t>NOT TESTED REVIEW</t>
        </is>
      </c>
    </row>
    <row r="909">
      <c r="A909" s="316" t="inlineStr">
        <is>
          <t>CoQ</t>
        </is>
      </c>
      <c r="B909" s="316" t="inlineStr">
        <is>
          <t>Batch</t>
        </is>
      </c>
      <c r="C909" s="316" t="inlineStr">
        <is>
          <t>Series</t>
        </is>
      </c>
      <c r="D909" s="316" t="inlineStr">
        <is>
          <t>Parameter</t>
        </is>
      </c>
      <c r="E909" s="316" t="inlineStr">
        <is>
          <t>Cell</t>
        </is>
      </c>
    </row>
    <row r="910">
      <c r="A910" s="256" t="inlineStr">
        <is>
          <t>CoQ-PP_26-001</t>
        </is>
      </c>
      <c r="B910" s="256" t="inlineStr">
        <is>
          <t>CJ1024</t>
        </is>
      </c>
      <c r="C910" s="256" t="inlineStr">
        <is>
          <t>release (predicted)</t>
        </is>
      </c>
      <c r="D910" s="256" t="inlineStr">
        <is>
          <t>#6</t>
        </is>
      </c>
      <c r="E910" s="257" t="inlineStr">
        <is>
          <t>n/t</t>
        </is>
      </c>
    </row>
    <row r="911">
      <c r="A911" s="256" t="inlineStr">
        <is>
          <t>CoQ-PP_26-001</t>
        </is>
      </c>
      <c r="B911" s="256" t="inlineStr">
        <is>
          <t>CJ1024</t>
        </is>
      </c>
      <c r="C911" s="256" t="inlineStr">
        <is>
          <t>release (predicted)</t>
        </is>
      </c>
      <c r="D911" s="256" t="inlineStr">
        <is>
          <t>#10</t>
        </is>
      </c>
      <c r="E911" s="257" t="inlineStr">
        <is>
          <t>750/2025 27.02.25 IJZ; n/t 10.1,10.3</t>
        </is>
      </c>
    </row>
    <row r="912">
      <c r="A912" s="256" t="inlineStr">
        <is>
          <t>CoQ-PP_26-002</t>
        </is>
      </c>
      <c r="B912" s="256" t="inlineStr">
        <is>
          <t>BSS1024</t>
        </is>
      </c>
      <c r="C912" s="256" t="inlineStr">
        <is>
          <t>release</t>
        </is>
      </c>
      <c r="D912" s="256" t="inlineStr">
        <is>
          <t>#10</t>
        </is>
      </c>
      <c r="E912" s="257" t="inlineStr">
        <is>
          <t>751/2025 27.02.25 IJZ; also 197-2-М/26; n/t 10.1,10.3</t>
        </is>
      </c>
    </row>
    <row r="913">
      <c r="A913" s="256" t="inlineStr">
        <is>
          <t>CoQ-PP_26-003</t>
        </is>
      </c>
      <c r="B913" s="256" t="inlineStr">
        <is>
          <t>BG1024</t>
        </is>
      </c>
      <c r="C913" s="256" t="inlineStr">
        <is>
          <t>release</t>
        </is>
      </c>
      <c r="D913" s="256" t="inlineStr">
        <is>
          <t>#10</t>
        </is>
      </c>
      <c r="E913" s="257" t="inlineStr">
        <is>
          <t>752/2025 27.02.25 IJZ; also 197-1-М/26; n/t 10.1,10.3</t>
        </is>
      </c>
    </row>
    <row r="914">
      <c r="A914" s="256" t="inlineStr">
        <is>
          <t>CoQ-PP_26-004</t>
        </is>
      </c>
      <c r="B914" s="256" t="inlineStr">
        <is>
          <t>GG1024</t>
        </is>
      </c>
      <c r="C914" s="256" t="inlineStr">
        <is>
          <t>release</t>
        </is>
      </c>
      <c r="D914" s="256" t="inlineStr">
        <is>
          <t>#3</t>
        </is>
      </c>
      <c r="E914" s="257" t="inlineStr">
        <is>
          <t>n/t</t>
        </is>
      </c>
    </row>
    <row r="915">
      <c r="A915" s="256" t="inlineStr">
        <is>
          <t>CoQ-PP_26-004</t>
        </is>
      </c>
      <c r="B915" s="256" t="inlineStr">
        <is>
          <t>GG1024</t>
        </is>
      </c>
      <c r="C915" s="256" t="inlineStr">
        <is>
          <t>release</t>
        </is>
      </c>
      <c r="D915" s="256" t="inlineStr">
        <is>
          <t>#4</t>
        </is>
      </c>
      <c r="E915" s="257" t="inlineStr">
        <is>
          <t>n/t</t>
        </is>
      </c>
    </row>
    <row r="916">
      <c r="A916" s="256" t="inlineStr">
        <is>
          <t>CoQ-PP_26-004</t>
        </is>
      </c>
      <c r="B916" s="256" t="inlineStr">
        <is>
          <t>GG1024</t>
        </is>
      </c>
      <c r="C916" s="256" t="inlineStr">
        <is>
          <t>release</t>
        </is>
      </c>
      <c r="D916" s="256" t="inlineStr">
        <is>
          <t>#5</t>
        </is>
      </c>
      <c r="E916" s="257" t="inlineStr">
        <is>
          <t>n/t</t>
        </is>
      </c>
    </row>
    <row r="917">
      <c r="A917" s="256" t="inlineStr">
        <is>
          <t>CoQ-PP_26-004</t>
        </is>
      </c>
      <c r="B917" s="256" t="inlineStr">
        <is>
          <t>GG1024</t>
        </is>
      </c>
      <c r="C917" s="256" t="inlineStr">
        <is>
          <t>release</t>
        </is>
      </c>
      <c r="D917" s="256" t="inlineStr">
        <is>
          <t>#6</t>
        </is>
      </c>
      <c r="E917" s="257" t="inlineStr">
        <is>
          <t>n/t</t>
        </is>
      </c>
    </row>
    <row r="918">
      <c r="A918" s="256" t="inlineStr">
        <is>
          <t>CoQ-PP_26-004</t>
        </is>
      </c>
      <c r="B918" s="256" t="inlineStr">
        <is>
          <t>GG1024</t>
        </is>
      </c>
      <c r="C918" s="256" t="inlineStr">
        <is>
          <t>release</t>
        </is>
      </c>
      <c r="D918" s="256" t="inlineStr">
        <is>
          <t>#10</t>
        </is>
      </c>
      <c r="E918" s="257" t="inlineStr">
        <is>
          <t>748/2025 04.03.25 IJZ; also 220-9-М/26; n/t 10.1,10.3</t>
        </is>
      </c>
    </row>
    <row r="919">
      <c r="A919" s="256" t="inlineStr">
        <is>
          <t>CoQ-PP_26-005</t>
        </is>
      </c>
      <c r="B919" s="256" t="inlineStr">
        <is>
          <t>HPA1024</t>
        </is>
      </c>
      <c r="C919" s="256" t="inlineStr">
        <is>
          <t>release</t>
        </is>
      </c>
      <c r="D919" s="256" t="inlineStr">
        <is>
          <t>#3</t>
        </is>
      </c>
      <c r="E919" s="257" t="inlineStr">
        <is>
          <t>n/t</t>
        </is>
      </c>
    </row>
    <row r="920">
      <c r="A920" s="256" t="inlineStr">
        <is>
          <t>CoQ-PP_26-005</t>
        </is>
      </c>
      <c r="B920" s="256" t="inlineStr">
        <is>
          <t>HPA1024</t>
        </is>
      </c>
      <c r="C920" s="256" t="inlineStr">
        <is>
          <t>release</t>
        </is>
      </c>
      <c r="D920" s="256" t="inlineStr">
        <is>
          <t>#6</t>
        </is>
      </c>
      <c r="E920" s="257" t="inlineStr">
        <is>
          <t>n/t</t>
        </is>
      </c>
    </row>
    <row r="921">
      <c r="A921" s="256" t="inlineStr">
        <is>
          <t>CoQ-PP_26-005</t>
        </is>
      </c>
      <c r="B921" s="256" t="inlineStr">
        <is>
          <t>HPA1024</t>
        </is>
      </c>
      <c r="C921" s="256" t="inlineStr">
        <is>
          <t>release</t>
        </is>
      </c>
      <c r="D921" s="256" t="inlineStr">
        <is>
          <t>#8</t>
        </is>
      </c>
      <c r="E921" s="257" t="inlineStr">
        <is>
          <t>n/t</t>
        </is>
      </c>
    </row>
    <row r="922">
      <c r="A922" s="256" t="inlineStr">
        <is>
          <t>CoQ-PP_26-005</t>
        </is>
      </c>
      <c r="B922" s="256" t="inlineStr">
        <is>
          <t>HPA1024</t>
        </is>
      </c>
      <c r="C922" s="256" t="inlineStr">
        <is>
          <t>release</t>
        </is>
      </c>
      <c r="D922" s="256" t="inlineStr">
        <is>
          <t>#10</t>
        </is>
      </c>
      <c r="E922" s="257" t="inlineStr">
        <is>
          <t>iCoA-PP_26-005 03.06.26 PP; also 197-13-М/26; n/t 10.1,10.3</t>
        </is>
      </c>
    </row>
    <row r="923">
      <c r="A923" s="256" t="inlineStr">
        <is>
          <t>CoQ-PP_26-006</t>
        </is>
      </c>
      <c r="B923" s="256" t="inlineStr">
        <is>
          <t>OPM1024</t>
        </is>
      </c>
      <c r="C923" s="256" t="inlineStr">
        <is>
          <t>release</t>
        </is>
      </c>
      <c r="D923" s="256" t="inlineStr">
        <is>
          <t>#3</t>
        </is>
      </c>
      <c r="E923" s="257" t="inlineStr">
        <is>
          <t>n/t</t>
        </is>
      </c>
    </row>
    <row r="924">
      <c r="A924" s="256" t="inlineStr">
        <is>
          <t>CoQ-PP_26-006</t>
        </is>
      </c>
      <c r="B924" s="256" t="inlineStr">
        <is>
          <t>OPM1024</t>
        </is>
      </c>
      <c r="C924" s="256" t="inlineStr">
        <is>
          <t>release</t>
        </is>
      </c>
      <c r="D924" s="256" t="inlineStr">
        <is>
          <t>#6</t>
        </is>
      </c>
      <c r="E924" s="257" t="inlineStr">
        <is>
          <t>n/t</t>
        </is>
      </c>
    </row>
    <row r="925">
      <c r="A925" s="256" t="inlineStr">
        <is>
          <t>CoQ-PP_26-006</t>
        </is>
      </c>
      <c r="B925" s="256" t="inlineStr">
        <is>
          <t>OPM1024</t>
        </is>
      </c>
      <c r="C925" s="256" t="inlineStr">
        <is>
          <t>release</t>
        </is>
      </c>
      <c r="D925" s="256" t="inlineStr">
        <is>
          <t>#8</t>
        </is>
      </c>
      <c r="E925" s="257" t="inlineStr">
        <is>
          <t>n/t</t>
        </is>
      </c>
    </row>
    <row r="926">
      <c r="A926" s="256" t="inlineStr">
        <is>
          <t>CoQ-PP_26-006</t>
        </is>
      </c>
      <c r="B926" s="256" t="inlineStr">
        <is>
          <t>OPM1024</t>
        </is>
      </c>
      <c r="C926" s="256" t="inlineStr">
        <is>
          <t>release</t>
        </is>
      </c>
      <c r="D926" s="256" t="inlineStr">
        <is>
          <t>#10</t>
        </is>
      </c>
      <c r="E926" s="257" t="inlineStr">
        <is>
          <t>iCoA-PP_26-006 03.06.26 PP; also 197-17-М/26; n/t 10.1,10.3</t>
        </is>
      </c>
    </row>
    <row r="927">
      <c r="A927" s="256" t="inlineStr">
        <is>
          <t>CoQ-PP_26-007</t>
        </is>
      </c>
      <c r="B927" s="256" t="inlineStr">
        <is>
          <t>P050022 (GP0824_02)</t>
        </is>
      </c>
      <c r="C927" s="256" t="inlineStr">
        <is>
          <t>release</t>
        </is>
      </c>
      <c r="D927" s="256" t="inlineStr">
        <is>
          <t>#10</t>
        </is>
      </c>
      <c r="E927" s="257" t="inlineStr">
        <is>
          <t>2471-2025 30.05.25 IJZ; also 197-11-М/26; n/t 10.1,10.3</t>
        </is>
      </c>
    </row>
    <row r="928">
      <c r="A928" s="256" t="inlineStr">
        <is>
          <t>CoQ-PP_26-008</t>
        </is>
      </c>
      <c r="B928" s="256" t="inlineStr">
        <is>
          <t>P050012 (GG1024_02)</t>
        </is>
      </c>
      <c r="C928" s="256" t="inlineStr">
        <is>
          <t>release (predicted)</t>
        </is>
      </c>
      <c r="D928" s="256" t="inlineStr">
        <is>
          <t>#6</t>
        </is>
      </c>
      <c r="E928" s="257" t="inlineStr">
        <is>
          <t>n/t</t>
        </is>
      </c>
    </row>
    <row r="929">
      <c r="A929" s="256" t="inlineStr">
        <is>
          <t>CoQ-PP_26-008</t>
        </is>
      </c>
      <c r="B929" s="256" t="inlineStr">
        <is>
          <t>P050012 (GG1024_02)</t>
        </is>
      </c>
      <c r="C929" s="256" t="inlineStr">
        <is>
          <t>release (predicted)</t>
        </is>
      </c>
      <c r="D929" s="256" t="inlineStr">
        <is>
          <t>#10</t>
        </is>
      </c>
      <c r="E929" s="257" t="inlineStr">
        <is>
          <t>2472/2025 30.05.25 IJZ; n/t 10.1,10.3</t>
        </is>
      </c>
    </row>
    <row r="930">
      <c r="A930" s="256" t="inlineStr">
        <is>
          <t>CoQ-PP_26-009</t>
        </is>
      </c>
      <c r="B930" s="256" t="inlineStr">
        <is>
          <t>P050032 (MB0824_04)</t>
        </is>
      </c>
      <c r="C930" s="256" t="inlineStr">
        <is>
          <t>release (predicted)</t>
        </is>
      </c>
      <c r="D930" s="256" t="inlineStr">
        <is>
          <t>#6</t>
        </is>
      </c>
      <c r="E930" s="257" t="inlineStr">
        <is>
          <t>n/t</t>
        </is>
      </c>
    </row>
    <row r="931">
      <c r="A931" s="256" t="inlineStr">
        <is>
          <t>CoQ-PP_26-009</t>
        </is>
      </c>
      <c r="B931" s="256" t="inlineStr">
        <is>
          <t>P050032 (MB0824_04)</t>
        </is>
      </c>
      <c r="C931" s="256" t="inlineStr">
        <is>
          <t>release (predicted)</t>
        </is>
      </c>
      <c r="D931" s="256" t="inlineStr">
        <is>
          <t>#10</t>
        </is>
      </c>
      <c r="E931" s="257" t="inlineStr">
        <is>
          <t>2157/2025 07.05.25 IJZ; n/t 10.1,10.3</t>
        </is>
      </c>
    </row>
    <row r="932">
      <c r="A932" s="256" t="inlineStr">
        <is>
          <t>CoQ-PP_26-010</t>
        </is>
      </c>
      <c r="B932" s="256" t="inlineStr">
        <is>
          <t>P050042 (OMP1024_01)</t>
        </is>
      </c>
      <c r="C932" s="256" t="inlineStr">
        <is>
          <t>release</t>
        </is>
      </c>
      <c r="D932" s="256" t="inlineStr">
        <is>
          <t>#10</t>
        </is>
      </c>
      <c r="E932" s="257" t="inlineStr">
        <is>
          <t>2156/2025 07.05.25 IJZ; also 220-21-М/26; n/t 10.1,10.3</t>
        </is>
      </c>
    </row>
    <row r="933">
      <c r="A933" s="256" t="inlineStr">
        <is>
          <t>CoQ-PP_26-011</t>
        </is>
      </c>
      <c r="B933" s="256" t="inlineStr">
        <is>
          <t>P050052 (HPA1024_01)</t>
        </is>
      </c>
      <c r="C933" s="256" t="inlineStr">
        <is>
          <t>release</t>
        </is>
      </c>
      <c r="D933" s="256" t="inlineStr">
        <is>
          <t>#10</t>
        </is>
      </c>
      <c r="E933" s="257" t="inlineStr">
        <is>
          <t>2995/2025 19.06.25 IJZ; also 197-14-М/26; n/t 10.1,10.3</t>
        </is>
      </c>
    </row>
    <row r="934">
      <c r="A934" s="256" t="inlineStr">
        <is>
          <t>CoQ-PP_26-012</t>
        </is>
      </c>
      <c r="B934" s="256" t="inlineStr">
        <is>
          <t>P050062 (OPM1024_02)</t>
        </is>
      </c>
      <c r="C934" s="256" t="inlineStr">
        <is>
          <t>release</t>
        </is>
      </c>
      <c r="D934" s="256" t="inlineStr">
        <is>
          <t>#10</t>
        </is>
      </c>
      <c r="E934" s="257" t="inlineStr">
        <is>
          <t>2994/2025 19.06.25 IJZ; also 197-18-М/26; n/t 10.1,10.3</t>
        </is>
      </c>
    </row>
    <row r="935">
      <c r="A935" s="256" t="inlineStr">
        <is>
          <t>CoQ-PP_26-013</t>
        </is>
      </c>
      <c r="B935" s="256" t="inlineStr">
        <is>
          <t>P050072 (GP0824_03)</t>
        </is>
      </c>
      <c r="C935" s="256" t="inlineStr">
        <is>
          <t>release</t>
        </is>
      </c>
      <c r="D935" s="256" t="inlineStr">
        <is>
          <t>#10</t>
        </is>
      </c>
      <c r="E935" s="257" t="inlineStr">
        <is>
          <t>3178/2025 26.06.25 IJZ; also 220-11-М/26; n/t 10.1,10.3</t>
        </is>
      </c>
    </row>
    <row r="936">
      <c r="A936" s="256" t="inlineStr">
        <is>
          <t>CoQ-PP_26-014</t>
        </is>
      </c>
      <c r="B936" s="256" t="inlineStr">
        <is>
          <t>P050082 (OPM1024_03)</t>
        </is>
      </c>
      <c r="C936" s="256" t="inlineStr">
        <is>
          <t>release</t>
        </is>
      </c>
      <c r="D936" s="256" t="inlineStr">
        <is>
          <t>#10</t>
        </is>
      </c>
      <c r="E936" s="257" t="inlineStr">
        <is>
          <t>3636/2025 28.07.25 IJZ; also 220-23-М/26; n/t 10.1,10.3</t>
        </is>
      </c>
    </row>
    <row r="937">
      <c r="A937" s="256" t="inlineStr">
        <is>
          <t>CoQ-PP_26-015</t>
        </is>
      </c>
      <c r="B937" s="256" t="inlineStr">
        <is>
          <t>P050092 (GG1024_01)</t>
        </is>
      </c>
      <c r="C937" s="256" t="inlineStr">
        <is>
          <t>release</t>
        </is>
      </c>
      <c r="D937" s="256" t="inlineStr">
        <is>
          <t>#10</t>
        </is>
      </c>
      <c r="E937" s="257" t="inlineStr">
        <is>
          <t>1766/2025 11.04.25 IJZ; also 197-9-М/26; n/t 10.1,10.3</t>
        </is>
      </c>
    </row>
    <row r="938">
      <c r="A938" s="256" t="inlineStr">
        <is>
          <t>CoQ-PP_26-016</t>
        </is>
      </c>
      <c r="B938" s="256" t="inlineStr">
        <is>
          <t>P050102 (GP0824_01)</t>
        </is>
      </c>
      <c r="C938" s="256" t="inlineStr">
        <is>
          <t>release (predicted)</t>
        </is>
      </c>
      <c r="D938" s="256" t="inlineStr">
        <is>
          <t>#6</t>
        </is>
      </c>
      <c r="E938" s="257" t="inlineStr">
        <is>
          <t>n/t</t>
        </is>
      </c>
    </row>
    <row r="939">
      <c r="A939" s="256" t="inlineStr">
        <is>
          <t>CoQ-PP_26-016</t>
        </is>
      </c>
      <c r="B939" s="256" t="inlineStr">
        <is>
          <t>P050102 (GP0824_01)</t>
        </is>
      </c>
      <c r="C939" s="256" t="inlineStr">
        <is>
          <t>release (predicted)</t>
        </is>
      </c>
      <c r="D939" s="256" t="inlineStr">
        <is>
          <t>#10</t>
        </is>
      </c>
      <c r="E939" s="257" t="inlineStr">
        <is>
          <t>1767/2025 11.04.25 IJZ; n/t 10.1,10.3</t>
        </is>
      </c>
    </row>
    <row r="940">
      <c r="A940" s="256" t="inlineStr">
        <is>
          <t>CoQ-PP_26-017</t>
        </is>
      </c>
      <c r="B940" s="256" t="inlineStr">
        <is>
          <t>P050112 (MB0824_05)</t>
        </is>
      </c>
      <c r="C940" s="256" t="inlineStr">
        <is>
          <t>release</t>
        </is>
      </c>
      <c r="D940" s="256" t="inlineStr">
        <is>
          <t>#10</t>
        </is>
      </c>
      <c r="E940" s="257" t="inlineStr">
        <is>
          <t>3638/2025 28.07.25 IJZ; also 220-20-М/26; n/t 10.1,10.3</t>
        </is>
      </c>
    </row>
    <row r="941">
      <c r="A941" s="256" t="inlineStr">
        <is>
          <t>CoQ-PP_26-018</t>
        </is>
      </c>
      <c r="B941" s="256" t="inlineStr">
        <is>
          <t>P050122 (BSS1024_01)</t>
        </is>
      </c>
      <c r="C941" s="256" t="inlineStr">
        <is>
          <t>release (predicted)</t>
        </is>
      </c>
      <c r="D941" s="256" t="inlineStr">
        <is>
          <t>#6</t>
        </is>
      </c>
      <c r="E941" s="257" t="inlineStr">
        <is>
          <t>n/t</t>
        </is>
      </c>
    </row>
    <row r="942">
      <c r="A942" s="256" t="inlineStr">
        <is>
          <t>CoQ-PP_26-018</t>
        </is>
      </c>
      <c r="B942" s="256" t="inlineStr">
        <is>
          <t>P050122 (BSS1024_01)</t>
        </is>
      </c>
      <c r="C942" s="256" t="inlineStr">
        <is>
          <t>release (predicted)</t>
        </is>
      </c>
      <c r="D942" s="256" t="inlineStr">
        <is>
          <t>#10</t>
        </is>
      </c>
      <c r="E942" s="257" t="inlineStr">
        <is>
          <t>3177/2025 26.06.25 IJZ; n/t 10.1,10.3</t>
        </is>
      </c>
    </row>
    <row r="943">
      <c r="A943" s="256" t="inlineStr">
        <is>
          <t>CoQ-PP_26-019</t>
        </is>
      </c>
      <c r="B943" s="256" t="inlineStr">
        <is>
          <t>P050132 (OPM052501)</t>
        </is>
      </c>
      <c r="C943" s="256" t="inlineStr">
        <is>
          <t>release (predicted)</t>
        </is>
      </c>
      <c r="D943" s="256" t="inlineStr">
        <is>
          <t>#6</t>
        </is>
      </c>
      <c r="E943" s="257" t="inlineStr">
        <is>
          <t>n/t</t>
        </is>
      </c>
    </row>
    <row r="944">
      <c r="A944" s="256" t="inlineStr">
        <is>
          <t>CoQ-PP_26-019</t>
        </is>
      </c>
      <c r="B944" s="256" t="inlineStr">
        <is>
          <t>P050132 (OPM052501)</t>
        </is>
      </c>
      <c r="C944" s="256" t="inlineStr">
        <is>
          <t>release (predicted)</t>
        </is>
      </c>
      <c r="D944" s="256" t="inlineStr">
        <is>
          <t>#10</t>
        </is>
      </c>
      <c r="E944" s="257" t="inlineStr">
        <is>
          <t>4157/2025 29.08.25 IJZ; n/t 10.1,10.3</t>
        </is>
      </c>
    </row>
    <row r="945">
      <c r="A945" s="256" t="inlineStr">
        <is>
          <t>CoQ-PP_26-020</t>
        </is>
      </c>
      <c r="B945" s="256" t="inlineStr">
        <is>
          <t>P050152 (GP052501)</t>
        </is>
      </c>
      <c r="C945" s="256" t="inlineStr">
        <is>
          <t>release</t>
        </is>
      </c>
      <c r="D945" s="256" t="inlineStr">
        <is>
          <t>#10</t>
        </is>
      </c>
      <c r="E945" s="257" t="inlineStr">
        <is>
          <t>4348/2025 15.09.25 IJZ; also 197-10-М/26; n/t 10.1,10.3</t>
        </is>
      </c>
    </row>
    <row r="946">
      <c r="A946" s="256" t="inlineStr">
        <is>
          <t>CoQ-PP_26-021</t>
        </is>
      </c>
      <c r="B946" s="256" t="inlineStr">
        <is>
          <t>P050142 (BSS1024_01/2)</t>
        </is>
      </c>
      <c r="C946" s="256" t="inlineStr">
        <is>
          <t>release (predicted)</t>
        </is>
      </c>
      <c r="D946" s="256" t="inlineStr">
        <is>
          <t>#4</t>
        </is>
      </c>
      <c r="E946" s="257" t="inlineStr">
        <is>
          <t>n/t</t>
        </is>
      </c>
    </row>
    <row r="947">
      <c r="A947" s="256" t="inlineStr">
        <is>
          <t>CoQ-PP_26-021</t>
        </is>
      </c>
      <c r="B947" s="256" t="inlineStr">
        <is>
          <t>P050142 (BSS1024_01/2)</t>
        </is>
      </c>
      <c r="C947" s="256" t="inlineStr">
        <is>
          <t>release (predicted)</t>
        </is>
      </c>
      <c r="D947" s="256" t="inlineStr">
        <is>
          <t>#5</t>
        </is>
      </c>
      <c r="E947" s="257" t="inlineStr">
        <is>
          <t>n/t</t>
        </is>
      </c>
    </row>
    <row r="948">
      <c r="A948" s="256" t="inlineStr">
        <is>
          <t>CoQ-PP_26-021</t>
        </is>
      </c>
      <c r="B948" s="256" t="inlineStr">
        <is>
          <t>P050142 (BSS1024_01/2)</t>
        </is>
      </c>
      <c r="C948" s="256" t="inlineStr">
        <is>
          <t>release (predicted)</t>
        </is>
      </c>
      <c r="D948" s="256" t="inlineStr">
        <is>
          <t>#6</t>
        </is>
      </c>
      <c r="E948" s="257" t="inlineStr">
        <is>
          <t>n/t</t>
        </is>
      </c>
    </row>
    <row r="949">
      <c r="A949" s="256" t="inlineStr">
        <is>
          <t>CoQ-PP_26-021</t>
        </is>
      </c>
      <c r="B949" s="256" t="inlineStr">
        <is>
          <t>P050142 (BSS1024_01/2)</t>
        </is>
      </c>
      <c r="C949" s="256" t="inlineStr">
        <is>
          <t>release (predicted)</t>
        </is>
      </c>
      <c r="D949" s="256" t="inlineStr">
        <is>
          <t>#8</t>
        </is>
      </c>
      <c r="E949" s="257" t="inlineStr">
        <is>
          <t>n/t</t>
        </is>
      </c>
    </row>
    <row r="950">
      <c r="A950" s="256" t="inlineStr">
        <is>
          <t>CoQ-PP_26-021</t>
        </is>
      </c>
      <c r="B950" s="256" t="inlineStr">
        <is>
          <t>P050142 (BSS1024_01/2)</t>
        </is>
      </c>
      <c r="C950" s="256" t="inlineStr">
        <is>
          <t>release (predicted)</t>
        </is>
      </c>
      <c r="D950" s="256" t="inlineStr">
        <is>
          <t>#9</t>
        </is>
      </c>
      <c r="E950" s="257" t="inlineStr">
        <is>
          <t>n/t</t>
        </is>
      </c>
    </row>
    <row r="951">
      <c r="A951" s="256" t="inlineStr">
        <is>
          <t>CoQ-PP_26-021</t>
        </is>
      </c>
      <c r="B951" s="256" t="inlineStr">
        <is>
          <t>P050142 (BSS1024_01/2)</t>
        </is>
      </c>
      <c r="C951" s="256" t="inlineStr">
        <is>
          <t>release (predicted)</t>
        </is>
      </c>
      <c r="D951" s="256" t="inlineStr">
        <is>
          <t>#10</t>
        </is>
      </c>
      <c r="E951" s="257" t="inlineStr">
        <is>
          <t>n/t</t>
        </is>
      </c>
    </row>
    <row r="952">
      <c r="A952" s="256" t="inlineStr">
        <is>
          <t>CoQ-PP_26-021</t>
        </is>
      </c>
      <c r="B952" s="256" t="inlineStr">
        <is>
          <t>P050142 (BSS1024_01/2)</t>
        </is>
      </c>
      <c r="C952" s="256" t="inlineStr">
        <is>
          <t>release (predicted)</t>
        </is>
      </c>
      <c r="D952" s="256" t="inlineStr">
        <is>
          <t>#11</t>
        </is>
      </c>
      <c r="E952" s="257" t="inlineStr">
        <is>
          <t>n/t</t>
        </is>
      </c>
    </row>
    <row r="953">
      <c r="A953" s="256" t="inlineStr">
        <is>
          <t>CoQ-PP_26-021</t>
        </is>
      </c>
      <c r="B953" s="256" t="inlineStr">
        <is>
          <t>P050142 (BSS1024_01/2)</t>
        </is>
      </c>
      <c r="C953" s="256" t="inlineStr">
        <is>
          <t>release (predicted)</t>
        </is>
      </c>
      <c r="D953" s="256" t="inlineStr">
        <is>
          <t>#12</t>
        </is>
      </c>
      <c r="E953" s="257" t="inlineStr">
        <is>
          <t>n/t</t>
        </is>
      </c>
    </row>
    <row r="954">
      <c r="A954" s="256" t="inlineStr">
        <is>
          <t>CoQ-PP_26-022</t>
        </is>
      </c>
      <c r="B954" s="256" t="inlineStr">
        <is>
          <t>P050162 (CJ052501/01)</t>
        </is>
      </c>
      <c r="C954" s="256" t="inlineStr">
        <is>
          <t>release</t>
        </is>
      </c>
      <c r="D954" s="256" t="inlineStr">
        <is>
          <t>#10</t>
        </is>
      </c>
      <c r="E954" s="257" t="inlineStr">
        <is>
          <t>4350/2025 15.09.25 IJZ; also 197-3-М/26; n/t 10.1,10.3</t>
        </is>
      </c>
    </row>
    <row r="955">
      <c r="A955" s="256" t="inlineStr">
        <is>
          <t>CoQ-PP_26-023</t>
        </is>
      </c>
      <c r="B955" s="256" t="inlineStr">
        <is>
          <t>P050172 (CJ052501-2)</t>
        </is>
      </c>
      <c r="C955" s="256" t="inlineStr">
        <is>
          <t>release (predicted)</t>
        </is>
      </c>
      <c r="D955" s="256" t="inlineStr">
        <is>
          <t>#6</t>
        </is>
      </c>
      <c r="E955" s="257" t="inlineStr">
        <is>
          <t>n/t</t>
        </is>
      </c>
    </row>
    <row r="956">
      <c r="A956" s="256" t="inlineStr">
        <is>
          <t>CoQ-PP_26-023</t>
        </is>
      </c>
      <c r="B956" s="256" t="inlineStr">
        <is>
          <t>P050172 (CJ052501-2)</t>
        </is>
      </c>
      <c r="C956" s="256" t="inlineStr">
        <is>
          <t>release (predicted)</t>
        </is>
      </c>
      <c r="D956" s="256" t="inlineStr">
        <is>
          <t>#10</t>
        </is>
      </c>
      <c r="E956" s="257" t="inlineStr">
        <is>
          <t>4349/2025 15.09.25 IJZ; n/t 10.1,10.3</t>
        </is>
      </c>
    </row>
    <row r="957">
      <c r="A957" s="256" t="inlineStr">
        <is>
          <t>CoQ-PP_26-024</t>
        </is>
      </c>
      <c r="B957" s="256" t="inlineStr">
        <is>
          <t>P050182 (HPA052501)</t>
        </is>
      </c>
      <c r="C957" s="256" t="inlineStr">
        <is>
          <t>release</t>
        </is>
      </c>
      <c r="D957" s="256" t="inlineStr">
        <is>
          <t>#10</t>
        </is>
      </c>
      <c r="E957" s="257" t="inlineStr">
        <is>
          <t>4352/2025 15.09.25 IJZ; also 220-15-М/26; n/t 10.1,10.3</t>
        </is>
      </c>
    </row>
    <row r="958">
      <c r="A958" s="256" t="inlineStr">
        <is>
          <t>CoQ-PP_26-025</t>
        </is>
      </c>
      <c r="B958" s="256" t="inlineStr">
        <is>
          <t>P050192 (BSS052501)</t>
        </is>
      </c>
      <c r="C958" s="256" t="inlineStr">
        <is>
          <t>release</t>
        </is>
      </c>
      <c r="D958" s="256" t="inlineStr">
        <is>
          <t>#3</t>
        </is>
      </c>
      <c r="E958" s="257" t="inlineStr">
        <is>
          <t>n/t</t>
        </is>
      </c>
    </row>
    <row r="959">
      <c r="A959" s="256" t="inlineStr">
        <is>
          <t>CoQ-PP_26-025</t>
        </is>
      </c>
      <c r="B959" s="256" t="inlineStr">
        <is>
          <t>P050192 (BSS052501)</t>
        </is>
      </c>
      <c r="C959" s="256" t="inlineStr">
        <is>
          <t>release</t>
        </is>
      </c>
      <c r="D959" s="256" t="inlineStr">
        <is>
          <t>#6</t>
        </is>
      </c>
      <c r="E959" s="257" t="inlineStr">
        <is>
          <t>n/t</t>
        </is>
      </c>
    </row>
    <row r="960">
      <c r="A960" s="256" t="inlineStr">
        <is>
          <t>CoQ-PP_26-025</t>
        </is>
      </c>
      <c r="B960" s="256" t="inlineStr">
        <is>
          <t>P050192 (BSS052501)</t>
        </is>
      </c>
      <c r="C960" s="256" t="inlineStr">
        <is>
          <t>release</t>
        </is>
      </c>
      <c r="D960" s="256" t="inlineStr">
        <is>
          <t>#10</t>
        </is>
      </c>
      <c r="E960" s="257" t="inlineStr">
        <is>
          <t>276-31-М/25 04.12.25 FHM-M; also 220-2-М/26; n/t 10.2</t>
        </is>
      </c>
    </row>
    <row r="961">
      <c r="A961" s="256" t="inlineStr">
        <is>
          <t>CoQ-PP_26-026</t>
        </is>
      </c>
      <c r="B961" s="256" t="inlineStr">
        <is>
          <t>P050202 (GP062501)</t>
        </is>
      </c>
      <c r="C961" s="256" t="inlineStr">
        <is>
          <t>release (predicted)</t>
        </is>
      </c>
      <c r="D961" s="256" t="inlineStr">
        <is>
          <t>#3</t>
        </is>
      </c>
      <c r="E961" s="257" t="inlineStr">
        <is>
          <t>n/t</t>
        </is>
      </c>
    </row>
    <row r="962">
      <c r="A962" s="256" t="inlineStr">
        <is>
          <t>CoQ-PP_26-026</t>
        </is>
      </c>
      <c r="B962" s="256" t="inlineStr">
        <is>
          <t>P050202 (GP062501)</t>
        </is>
      </c>
      <c r="C962" s="256" t="inlineStr">
        <is>
          <t>release (predicted)</t>
        </is>
      </c>
      <c r="D962" s="256" t="inlineStr">
        <is>
          <t>#6</t>
        </is>
      </c>
      <c r="E962" s="257" t="inlineStr">
        <is>
          <t>n/t</t>
        </is>
      </c>
    </row>
    <row r="963">
      <c r="A963" s="256" t="inlineStr">
        <is>
          <t>CoQ-PP_26-026</t>
        </is>
      </c>
      <c r="B963" s="256" t="inlineStr">
        <is>
          <t>P050202 (GP062501)</t>
        </is>
      </c>
      <c r="C963" s="256" t="inlineStr">
        <is>
          <t>release (predicted)</t>
        </is>
      </c>
      <c r="D963" s="256" t="inlineStr">
        <is>
          <t>#10</t>
        </is>
      </c>
      <c r="E963" s="257" t="inlineStr">
        <is>
          <t>4762/2025 08.10.25 IJZ; n/t 10.1,10.3</t>
        </is>
      </c>
    </row>
    <row r="964">
      <c r="A964" s="256" t="inlineStr">
        <is>
          <t>CoQ-PP_26-027</t>
        </is>
      </c>
      <c r="B964" s="256" t="inlineStr">
        <is>
          <t>P050212 (CJ062501-2)</t>
        </is>
      </c>
      <c r="C964" s="256" t="inlineStr">
        <is>
          <t>release (predicted)</t>
        </is>
      </c>
      <c r="D964" s="256" t="inlineStr">
        <is>
          <t>#10</t>
        </is>
      </c>
      <c r="E964" s="257" t="inlineStr">
        <is>
          <t>4908/2025 24.10.25 IJZ; also 197-4-М/26; n/t 10.1,10.3</t>
        </is>
      </c>
    </row>
    <row r="965">
      <c r="A965" s="256" t="inlineStr">
        <is>
          <t>CoQ-PP_26-028</t>
        </is>
      </c>
      <c r="B965" s="256" t="inlineStr">
        <is>
          <t>P050222 (CJ062501/1)</t>
        </is>
      </c>
      <c r="C965" s="256" t="inlineStr">
        <is>
          <t>release</t>
        </is>
      </c>
      <c r="D965" s="256" t="inlineStr">
        <is>
          <t>#10</t>
        </is>
      </c>
      <c r="E965" s="257" t="inlineStr">
        <is>
          <t>4907/2025 24.10.25 IJZ; also 220-3-М/26; n/t 10.1,10.3</t>
        </is>
      </c>
    </row>
    <row r="966">
      <c r="A966" s="256" t="inlineStr">
        <is>
          <t>CoQ-PP_26-029</t>
        </is>
      </c>
      <c r="B966" s="256" t="inlineStr">
        <is>
          <t>P050252 (CJ072501)</t>
        </is>
      </c>
      <c r="C966" s="256" t="inlineStr">
        <is>
          <t>release (predicted)</t>
        </is>
      </c>
      <c r="D966" s="256" t="inlineStr">
        <is>
          <t>#6</t>
        </is>
      </c>
      <c r="E966" s="257" t="inlineStr">
        <is>
          <t>n/t</t>
        </is>
      </c>
    </row>
    <row r="967">
      <c r="A967" s="256" t="inlineStr">
        <is>
          <t>CoQ-PP_26-029</t>
        </is>
      </c>
      <c r="B967" s="256" t="inlineStr">
        <is>
          <t>P050252 (CJ072501)</t>
        </is>
      </c>
      <c r="C967" s="256" t="inlineStr">
        <is>
          <t>release (predicted)</t>
        </is>
      </c>
      <c r="D967" s="256" t="inlineStr">
        <is>
          <t>#10</t>
        </is>
      </c>
      <c r="E967" s="257" t="inlineStr">
        <is>
          <t>5697/2025 02.12.25 IJZ; n/t 10.1,10.3</t>
        </is>
      </c>
    </row>
    <row r="968">
      <c r="A968" s="256" t="inlineStr">
        <is>
          <t>CoQ-PP_26-030</t>
        </is>
      </c>
      <c r="B968" s="256" t="inlineStr">
        <is>
          <t>P050262 (WC072501)</t>
        </is>
      </c>
      <c r="C968" s="256" t="inlineStr">
        <is>
          <t>release (predicted)</t>
        </is>
      </c>
      <c r="D968" s="256" t="inlineStr">
        <is>
          <t>#6</t>
        </is>
      </c>
      <c r="E968" s="257" t="inlineStr">
        <is>
          <t>n/t</t>
        </is>
      </c>
    </row>
    <row r="969">
      <c r="A969" s="256" t="inlineStr">
        <is>
          <t>CoQ-PP_26-030</t>
        </is>
      </c>
      <c r="B969" s="256" t="inlineStr">
        <is>
          <t>P050262 (WC072501)</t>
        </is>
      </c>
      <c r="C969" s="256" t="inlineStr">
        <is>
          <t>release (predicted)</t>
        </is>
      </c>
      <c r="D969" s="256" t="inlineStr">
        <is>
          <t>#10</t>
        </is>
      </c>
      <c r="E969" s="257" t="inlineStr">
        <is>
          <t>5699/2025 02.12.25 IJZ; n/t 10.1,10.3</t>
        </is>
      </c>
    </row>
    <row r="970">
      <c r="A970" s="256" t="inlineStr">
        <is>
          <t>CoQ-PP_26-031</t>
        </is>
      </c>
      <c r="B970" s="256" t="inlineStr">
        <is>
          <t>P050272 (PM072501)</t>
        </is>
      </c>
      <c r="C970" s="256" t="inlineStr">
        <is>
          <t>release (predicted)</t>
        </is>
      </c>
      <c r="D970" s="256" t="inlineStr">
        <is>
          <t>#6</t>
        </is>
      </c>
      <c r="E970" s="257" t="inlineStr">
        <is>
          <t>n/t</t>
        </is>
      </c>
    </row>
    <row r="971">
      <c r="A971" s="256" t="inlineStr">
        <is>
          <t>CoQ-PP_26-031</t>
        </is>
      </c>
      <c r="B971" s="256" t="inlineStr">
        <is>
          <t>P050272 (PM072501)</t>
        </is>
      </c>
      <c r="C971" s="256" t="inlineStr">
        <is>
          <t>release (predicted)</t>
        </is>
      </c>
      <c r="D971" s="256" t="inlineStr">
        <is>
          <t>#10</t>
        </is>
      </c>
      <c r="E971" s="257" t="inlineStr">
        <is>
          <t>5698/2025 02.12.25 IJZ; n/t 10.1,10.3</t>
        </is>
      </c>
    </row>
    <row r="972">
      <c r="A972" s="256" t="inlineStr">
        <is>
          <t>CoQ-PP_26-032</t>
        </is>
      </c>
      <c r="B972" s="256" t="inlineStr">
        <is>
          <t>P050282 (CLE072501)</t>
        </is>
      </c>
      <c r="C972" s="256" t="inlineStr">
        <is>
          <t>release</t>
        </is>
      </c>
      <c r="D972" s="256" t="inlineStr">
        <is>
          <t>#10</t>
        </is>
      </c>
      <c r="E972" s="257" t="inlineStr">
        <is>
          <t>5700/2025 02.12.25 IJZ; also 220-7-М/26; n/t 10.1,10.3</t>
        </is>
      </c>
    </row>
    <row r="973">
      <c r="A973" s="256" t="inlineStr">
        <is>
          <t>CoQ-PP_26-033</t>
        </is>
      </c>
      <c r="B973" s="256" t="inlineStr">
        <is>
          <t>P050292 (GP072501-1)</t>
        </is>
      </c>
      <c r="C973" s="256" t="inlineStr">
        <is>
          <t>release (predicted)</t>
        </is>
      </c>
      <c r="D973" s="256" t="inlineStr">
        <is>
          <t>#6</t>
        </is>
      </c>
      <c r="E973" s="257" t="inlineStr">
        <is>
          <t>n/t</t>
        </is>
      </c>
    </row>
    <row r="974">
      <c r="A974" s="256" t="inlineStr">
        <is>
          <t>CoQ-PP_26-033</t>
        </is>
      </c>
      <c r="B974" s="256" t="inlineStr">
        <is>
          <t>P050292 (GP072501-1)</t>
        </is>
      </c>
      <c r="C974" s="256" t="inlineStr">
        <is>
          <t>release (predicted)</t>
        </is>
      </c>
      <c r="D974" s="256" t="inlineStr">
        <is>
          <t>#10</t>
        </is>
      </c>
      <c r="E974" s="257" t="inlineStr">
        <is>
          <t>5886/2025 12.12.25 IJZ; n/t 10.1,10.3</t>
        </is>
      </c>
    </row>
    <row r="975">
      <c r="A975" s="256" t="inlineStr">
        <is>
          <t>CoQ-PP_26-034</t>
        </is>
      </c>
      <c r="B975" s="256" t="inlineStr">
        <is>
          <t>P050302 (GP072501/2)</t>
        </is>
      </c>
      <c r="C975" s="256" t="inlineStr">
        <is>
          <t>release</t>
        </is>
      </c>
      <c r="D975" s="256" t="inlineStr">
        <is>
          <t>#10</t>
        </is>
      </c>
      <c r="E975" s="257" t="inlineStr">
        <is>
          <t>5887/2025 12.12.25 IJZ; also 220-10-М/26; n/t 10.1,10.3</t>
        </is>
      </c>
    </row>
    <row r="976">
      <c r="A976" s="256" t="inlineStr">
        <is>
          <t>CoQ-PP_26-035</t>
        </is>
      </c>
      <c r="B976" s="256" t="inlineStr">
        <is>
          <t>P050312 (GP082501/1)</t>
        </is>
      </c>
      <c r="C976" s="256" t="inlineStr">
        <is>
          <t>release</t>
        </is>
      </c>
      <c r="D976" s="256" t="inlineStr">
        <is>
          <t>#10</t>
        </is>
      </c>
      <c r="E976" s="257" t="inlineStr">
        <is>
          <t>5888/2025 12.12.25 IJZ; also 220-12-М/26; n/t 10.1,10.3</t>
        </is>
      </c>
    </row>
    <row r="977">
      <c r="A977" s="256" t="inlineStr">
        <is>
          <t>CoQ-PP_26-036</t>
        </is>
      </c>
      <c r="B977" s="256" t="inlineStr">
        <is>
          <t>P050322 (GP082501/2)</t>
        </is>
      </c>
      <c r="C977" s="256" t="inlineStr">
        <is>
          <t>release</t>
        </is>
      </c>
      <c r="D977" s="256" t="inlineStr">
        <is>
          <t>#10</t>
        </is>
      </c>
      <c r="E977" s="257" t="inlineStr">
        <is>
          <t>5889/2025 12.12.25 IJZ; also 197-12-М/26; n/t 10.1,10.3</t>
        </is>
      </c>
    </row>
    <row r="978">
      <c r="A978" s="256" t="inlineStr">
        <is>
          <t>CoQ-PP_26-037</t>
        </is>
      </c>
      <c r="B978" s="256" t="inlineStr">
        <is>
          <t>P060012 (WC082501)</t>
        </is>
      </c>
      <c r="C978" s="256" t="inlineStr">
        <is>
          <t>release</t>
        </is>
      </c>
      <c r="D978" s="256" t="inlineStr">
        <is>
          <t>#10</t>
        </is>
      </c>
      <c r="E978" s="257" t="inlineStr">
        <is>
          <t>80/2026 02.02.26 IJZ; also 220-28-М/26; n/t 10.1,10.3</t>
        </is>
      </c>
    </row>
    <row r="979">
      <c r="A979" s="256" t="inlineStr">
        <is>
          <t>CoQ-PP_26-038</t>
        </is>
      </c>
      <c r="B979" s="256" t="inlineStr">
        <is>
          <t>P060022 (CJ082501/1)</t>
        </is>
      </c>
      <c r="C979" s="256" t="inlineStr">
        <is>
          <t>release</t>
        </is>
      </c>
      <c r="D979" s="256" t="inlineStr">
        <is>
          <t>#10</t>
        </is>
      </c>
      <c r="E979" s="257" t="inlineStr">
        <is>
          <t>81/2026 02.02.26 IJZ; also 220-4-М/26; n/t 10.1,10.3</t>
        </is>
      </c>
    </row>
    <row r="980">
      <c r="A980" s="256" t="inlineStr">
        <is>
          <t>CoQ-PP_26-039</t>
        </is>
      </c>
      <c r="B980" s="256" t="inlineStr">
        <is>
          <t>P060032 (CJ082501/2)</t>
        </is>
      </c>
      <c r="C980" s="256" t="inlineStr">
        <is>
          <t>release</t>
        </is>
      </c>
      <c r="D980" s="256" t="inlineStr">
        <is>
          <t>#10</t>
        </is>
      </c>
      <c r="E980" s="257" t="inlineStr">
        <is>
          <t>82/2026 02.02.26 IJZ; also 197-5-М/26; n/t 10.1,10.3</t>
        </is>
      </c>
    </row>
    <row r="981">
      <c r="A981" s="256" t="inlineStr">
        <is>
          <t>CoQ-PP_26-040</t>
        </is>
      </c>
      <c r="B981" s="256" t="inlineStr">
        <is>
          <t>P060042 (OPM092501)</t>
        </is>
      </c>
      <c r="C981" s="256" t="inlineStr">
        <is>
          <t>release</t>
        </is>
      </c>
      <c r="D981" s="256" t="inlineStr">
        <is>
          <t>#10</t>
        </is>
      </c>
      <c r="E981" s="257" t="inlineStr">
        <is>
          <t>87/2026 03.02.26 IJZ; also 220-22-М/26; n/t 10.1,10.3</t>
        </is>
      </c>
    </row>
    <row r="982">
      <c r="A982" s="256" t="inlineStr">
        <is>
          <t>CoQ-PP_26-041</t>
        </is>
      </c>
      <c r="B982" s="256" t="inlineStr">
        <is>
          <t>P060052 (AB092501)</t>
        </is>
      </c>
      <c r="C982" s="256" t="inlineStr">
        <is>
          <t>release (predicted)</t>
        </is>
      </c>
      <c r="D982" s="256" t="inlineStr">
        <is>
          <t>#6</t>
        </is>
      </c>
      <c r="E982" s="257" t="inlineStr">
        <is>
          <t>n/t</t>
        </is>
      </c>
    </row>
    <row r="983">
      <c r="A983" s="256" t="inlineStr">
        <is>
          <t>CoQ-PP_26-041</t>
        </is>
      </c>
      <c r="B983" s="256" t="inlineStr">
        <is>
          <t>P060052 (AB092501)</t>
        </is>
      </c>
      <c r="C983" s="256" t="inlineStr">
        <is>
          <t>release (predicted)</t>
        </is>
      </c>
      <c r="D983" s="256" t="inlineStr">
        <is>
          <t>#10</t>
        </is>
      </c>
      <c r="E983" s="257" t="inlineStr">
        <is>
          <t>84/2026 02.02.26 IJZ; n/t 10.1,10.3</t>
        </is>
      </c>
    </row>
    <row r="984">
      <c r="A984" s="256" t="inlineStr">
        <is>
          <t>CoQ-PP_26-042</t>
        </is>
      </c>
      <c r="B984" s="256" t="inlineStr">
        <is>
          <t>P060062 (PM092501)</t>
        </is>
      </c>
      <c r="C984" s="256" t="inlineStr">
        <is>
          <t>release</t>
        </is>
      </c>
      <c r="D984" s="256" t="inlineStr">
        <is>
          <t>#10</t>
        </is>
      </c>
      <c r="E984" s="257" t="inlineStr">
        <is>
          <t>83/2026 02.02.26 IJZ; also 197-20-М/26; n/t 10.1,10.3</t>
        </is>
      </c>
    </row>
    <row r="985">
      <c r="A985" s="256" t="inlineStr">
        <is>
          <t>CoQ-PP_26-043</t>
        </is>
      </c>
      <c r="B985" s="256" t="inlineStr">
        <is>
          <t>P060072 (CJ092501)</t>
        </is>
      </c>
      <c r="C985" s="256" t="inlineStr">
        <is>
          <t>release</t>
        </is>
      </c>
      <c r="D985" s="256" t="inlineStr">
        <is>
          <t>#10</t>
        </is>
      </c>
      <c r="E985" s="257" t="inlineStr">
        <is>
          <t>86/2026 02.02.26 IJZ; also 220-5-М/26; n/t 10.1,10.3</t>
        </is>
      </c>
    </row>
    <row r="986">
      <c r="A986" s="256" t="inlineStr">
        <is>
          <t>CoQ-PP_26-044</t>
        </is>
      </c>
      <c r="B986" s="256" t="inlineStr">
        <is>
          <t>P060082 (SJ092501)</t>
        </is>
      </c>
      <c r="C986" s="256" t="inlineStr">
        <is>
          <t>release</t>
        </is>
      </c>
      <c r="D986" s="256" t="inlineStr">
        <is>
          <t>#10</t>
        </is>
      </c>
      <c r="E986" s="257" t="inlineStr">
        <is>
          <t>85/2026 02.02.26 IJZ; also 220-27-М/26; n/t 10.1,10.3</t>
        </is>
      </c>
    </row>
    <row r="987">
      <c r="A987" s="256" t="inlineStr">
        <is>
          <t>CoQ-PP_26-045</t>
        </is>
      </c>
      <c r="B987" s="256" t="inlineStr">
        <is>
          <t>P060092 (GP092501)</t>
        </is>
      </c>
      <c r="C987" s="256" t="inlineStr">
        <is>
          <t>release</t>
        </is>
      </c>
      <c r="D987" s="256" t="inlineStr">
        <is>
          <t>#10</t>
        </is>
      </c>
      <c r="E987" s="257" t="inlineStr">
        <is>
          <t>88/2026 03.02.26 IJZ; also 220-13-М/26; n/t 10.1,10.3</t>
        </is>
      </c>
    </row>
    <row r="988">
      <c r="A988" s="256" t="inlineStr">
        <is>
          <t>CoQ-PP_26-046</t>
        </is>
      </c>
      <c r="B988" s="256" t="inlineStr">
        <is>
          <t>P060102 (WED102501)</t>
        </is>
      </c>
      <c r="C988" s="256" t="inlineStr">
        <is>
          <t>release (predicted)</t>
        </is>
      </c>
      <c r="D988" s="256" t="inlineStr">
        <is>
          <t>#4</t>
        </is>
      </c>
      <c r="E988" s="257" t="inlineStr">
        <is>
          <t>n/t</t>
        </is>
      </c>
    </row>
    <row r="989">
      <c r="A989" s="256" t="inlineStr">
        <is>
          <t>CoQ-PP_26-046</t>
        </is>
      </c>
      <c r="B989" s="256" t="inlineStr">
        <is>
          <t>P060102 (WED102501)</t>
        </is>
      </c>
      <c r="C989" s="256" t="inlineStr">
        <is>
          <t>release (predicted)</t>
        </is>
      </c>
      <c r="D989" s="256" t="inlineStr">
        <is>
          <t>#5</t>
        </is>
      </c>
      <c r="E989" s="257" t="inlineStr">
        <is>
          <t>n/t</t>
        </is>
      </c>
    </row>
    <row r="990">
      <c r="A990" s="256" t="inlineStr">
        <is>
          <t>CoQ-PP_26-046</t>
        </is>
      </c>
      <c r="B990" s="256" t="inlineStr">
        <is>
          <t>P060102 (WED102501)</t>
        </is>
      </c>
      <c r="C990" s="256" t="inlineStr">
        <is>
          <t>release (predicted)</t>
        </is>
      </c>
      <c r="D990" s="256" t="inlineStr">
        <is>
          <t>#6</t>
        </is>
      </c>
      <c r="E990" s="257" t="inlineStr">
        <is>
          <t>n/t</t>
        </is>
      </c>
    </row>
    <row r="991">
      <c r="A991" s="256" t="inlineStr">
        <is>
          <t>CoQ-PP_26-046</t>
        </is>
      </c>
      <c r="B991" s="256" t="inlineStr">
        <is>
          <t>P060102 (WED102501)</t>
        </is>
      </c>
      <c r="C991" s="256" t="inlineStr">
        <is>
          <t>release (predicted)</t>
        </is>
      </c>
      <c r="D991" s="256" t="inlineStr">
        <is>
          <t>#9</t>
        </is>
      </c>
      <c r="E991" s="257" t="inlineStr">
        <is>
          <t>n/t</t>
        </is>
      </c>
    </row>
    <row r="992">
      <c r="A992" s="256" t="inlineStr">
        <is>
          <t>CoQ-PP_26-046</t>
        </is>
      </c>
      <c r="B992" s="256" t="inlineStr">
        <is>
          <t>P060102 (WED102501)</t>
        </is>
      </c>
      <c r="C992" s="256" t="inlineStr">
        <is>
          <t>release (predicted)</t>
        </is>
      </c>
      <c r="D992" s="256" t="inlineStr">
        <is>
          <t>#10</t>
        </is>
      </c>
      <c r="E992" s="257" t="inlineStr">
        <is>
          <t>n/t</t>
        </is>
      </c>
    </row>
    <row r="993">
      <c r="A993" s="256" t="inlineStr">
        <is>
          <t>CoQ-PP_26-046</t>
        </is>
      </c>
      <c r="B993" s="256" t="inlineStr">
        <is>
          <t>P060102 (WED102501)</t>
        </is>
      </c>
      <c r="C993" s="256" t="inlineStr">
        <is>
          <t>release (predicted)</t>
        </is>
      </c>
      <c r="D993" s="256" t="inlineStr">
        <is>
          <t>#11</t>
        </is>
      </c>
      <c r="E993" s="257" t="inlineStr">
        <is>
          <t>n/t</t>
        </is>
      </c>
    </row>
    <row r="994">
      <c r="A994" s="256" t="inlineStr">
        <is>
          <t>CoQ-PP_26-046</t>
        </is>
      </c>
      <c r="B994" s="256" t="inlineStr">
        <is>
          <t>P060102 (WED102501)</t>
        </is>
      </c>
      <c r="C994" s="256" t="inlineStr">
        <is>
          <t>release (predicted)</t>
        </is>
      </c>
      <c r="D994" s="256" t="inlineStr">
        <is>
          <t>#12</t>
        </is>
      </c>
      <c r="E994" s="257" t="inlineStr">
        <is>
          <t>n/t</t>
        </is>
      </c>
    </row>
    <row r="995">
      <c r="A995" s="256" t="inlineStr">
        <is>
          <t>CoQ-PP_26-047</t>
        </is>
      </c>
      <c r="B995" s="256" t="inlineStr">
        <is>
          <t>P060112 (PUM102501)</t>
        </is>
      </c>
      <c r="C995" s="256" t="inlineStr">
        <is>
          <t>release</t>
        </is>
      </c>
      <c r="D995" s="256" t="inlineStr">
        <is>
          <t>#4</t>
        </is>
      </c>
      <c r="E995" s="257" t="inlineStr">
        <is>
          <t>n/t</t>
        </is>
      </c>
    </row>
    <row r="996">
      <c r="A996" s="256" t="inlineStr">
        <is>
          <t>CoQ-PP_26-047</t>
        </is>
      </c>
      <c r="B996" s="256" t="inlineStr">
        <is>
          <t>P060112 (PUM102501)</t>
        </is>
      </c>
      <c r="C996" s="256" t="inlineStr">
        <is>
          <t>release</t>
        </is>
      </c>
      <c r="D996" s="256" t="inlineStr">
        <is>
          <t>#10</t>
        </is>
      </c>
      <c r="E996" s="257" t="inlineStr">
        <is>
          <t>327/2026 11.02.26 IJZ; also 220-25-М/26; n/t 10.1,10.3</t>
        </is>
      </c>
    </row>
    <row r="997">
      <c r="A997" s="256" t="inlineStr">
        <is>
          <t>CoQ-PP_26-048</t>
        </is>
      </c>
      <c r="B997" s="256" t="inlineStr">
        <is>
          <t>P060122 (ACC102501)</t>
        </is>
      </c>
      <c r="C997" s="256" t="inlineStr">
        <is>
          <t>release</t>
        </is>
      </c>
      <c r="D997" s="256" t="inlineStr">
        <is>
          <t>#10</t>
        </is>
      </c>
      <c r="E997" s="257" t="inlineStr">
        <is>
          <t>326/2026 11.02.26 IJZ; also 220-1-М/26; n/t 10.1,10.3</t>
        </is>
      </c>
    </row>
    <row r="998">
      <c r="A998" s="256" t="inlineStr">
        <is>
          <t>CoQ-PP_26-049</t>
        </is>
      </c>
      <c r="B998" s="256" t="inlineStr">
        <is>
          <t>P060132 (CF102501)</t>
        </is>
      </c>
      <c r="C998" s="256" t="inlineStr">
        <is>
          <t>release</t>
        </is>
      </c>
      <c r="D998" s="256" t="inlineStr">
        <is>
          <t>#10</t>
        </is>
      </c>
      <c r="E998" s="257" t="inlineStr">
        <is>
          <t>330/2026 11.02.26 IJZ; also 220-6-М/26; n/t 10.1,10.3</t>
        </is>
      </c>
    </row>
    <row r="999">
      <c r="A999" s="256" t="inlineStr">
        <is>
          <t>CoQ-PP_26-050</t>
        </is>
      </c>
      <c r="B999" s="256" t="inlineStr">
        <is>
          <t>P060142 (GRC102501/1)</t>
        </is>
      </c>
      <c r="C999" s="256" t="inlineStr">
        <is>
          <t>release (predicted)</t>
        </is>
      </c>
      <c r="D999" s="256" t="inlineStr">
        <is>
          <t>#4</t>
        </is>
      </c>
      <c r="E999" s="257" t="inlineStr">
        <is>
          <t>n/t</t>
        </is>
      </c>
    </row>
    <row r="1000">
      <c r="A1000" s="256" t="inlineStr">
        <is>
          <t>CoQ-PP_26-050</t>
        </is>
      </c>
      <c r="B1000" s="256" t="inlineStr">
        <is>
          <t>P060142 (GRC102501/1)</t>
        </is>
      </c>
      <c r="C1000" s="256" t="inlineStr">
        <is>
          <t>release (predicted)</t>
        </is>
      </c>
      <c r="D1000" s="256" t="inlineStr">
        <is>
          <t>#5</t>
        </is>
      </c>
      <c r="E1000" s="257" t="inlineStr">
        <is>
          <t>n/t</t>
        </is>
      </c>
    </row>
    <row r="1001">
      <c r="A1001" s="256" t="inlineStr">
        <is>
          <t>CoQ-PP_26-050</t>
        </is>
      </c>
      <c r="B1001" s="256" t="inlineStr">
        <is>
          <t>P060142 (GRC102501/1)</t>
        </is>
      </c>
      <c r="C1001" s="256" t="inlineStr">
        <is>
          <t>release (predicted)</t>
        </is>
      </c>
      <c r="D1001" s="256" t="inlineStr">
        <is>
          <t>#6</t>
        </is>
      </c>
      <c r="E1001" s="257" t="inlineStr">
        <is>
          <t>n/t</t>
        </is>
      </c>
    </row>
    <row r="1002">
      <c r="A1002" s="256" t="inlineStr">
        <is>
          <t>CoQ-PP_26-050</t>
        </is>
      </c>
      <c r="B1002" s="256" t="inlineStr">
        <is>
          <t>P060142 (GRC102501/1)</t>
        </is>
      </c>
      <c r="C1002" s="256" t="inlineStr">
        <is>
          <t>release (predicted)</t>
        </is>
      </c>
      <c r="D1002" s="256" t="inlineStr">
        <is>
          <t>#8</t>
        </is>
      </c>
      <c r="E1002" s="257" t="inlineStr">
        <is>
          <t>n/t</t>
        </is>
      </c>
    </row>
    <row r="1003">
      <c r="A1003" s="256" t="inlineStr">
        <is>
          <t>CoQ-PP_26-050</t>
        </is>
      </c>
      <c r="B1003" s="256" t="inlineStr">
        <is>
          <t>P060142 (GRC102501/1)</t>
        </is>
      </c>
      <c r="C1003" s="256" t="inlineStr">
        <is>
          <t>release (predicted)</t>
        </is>
      </c>
      <c r="D1003" s="256" t="inlineStr">
        <is>
          <t>#9</t>
        </is>
      </c>
      <c r="E1003" s="257" t="inlineStr">
        <is>
          <t>n/t</t>
        </is>
      </c>
    </row>
    <row r="1004">
      <c r="A1004" s="256" t="inlineStr">
        <is>
          <t>CoQ-PP_26-050</t>
        </is>
      </c>
      <c r="B1004" s="256" t="inlineStr">
        <is>
          <t>P060142 (GRC102501/1)</t>
        </is>
      </c>
      <c r="C1004" s="256" t="inlineStr">
        <is>
          <t>release (predicted)</t>
        </is>
      </c>
      <c r="D1004" s="256" t="inlineStr">
        <is>
          <t>#10</t>
        </is>
      </c>
      <c r="E1004" s="257" t="inlineStr">
        <is>
          <t>n/t</t>
        </is>
      </c>
    </row>
    <row r="1005">
      <c r="A1005" s="256" t="inlineStr">
        <is>
          <t>CoQ-PP_26-050</t>
        </is>
      </c>
      <c r="B1005" s="256" t="inlineStr">
        <is>
          <t>P060142 (GRC102501/1)</t>
        </is>
      </c>
      <c r="C1005" s="256" t="inlineStr">
        <is>
          <t>release (predicted)</t>
        </is>
      </c>
      <c r="D1005" s="256" t="inlineStr">
        <is>
          <t>#11</t>
        </is>
      </c>
      <c r="E1005" s="257" t="inlineStr">
        <is>
          <t>n/t</t>
        </is>
      </c>
    </row>
    <row r="1006">
      <c r="A1006" s="256" t="inlineStr">
        <is>
          <t>CoQ-PP_26-050</t>
        </is>
      </c>
      <c r="B1006" s="256" t="inlineStr">
        <is>
          <t>P060142 (GRC102501/1)</t>
        </is>
      </c>
      <c r="C1006" s="256" t="inlineStr">
        <is>
          <t>release (predicted)</t>
        </is>
      </c>
      <c r="D1006" s="256" t="inlineStr">
        <is>
          <t>#12</t>
        </is>
      </c>
      <c r="E1006" s="257" t="inlineStr">
        <is>
          <t>n/t</t>
        </is>
      </c>
    </row>
    <row r="1007">
      <c r="A1007" s="256" t="inlineStr">
        <is>
          <t>CoQ-PP_26-051</t>
        </is>
      </c>
      <c r="B1007" s="256" t="inlineStr">
        <is>
          <t>P060152 (J31102501)</t>
        </is>
      </c>
      <c r="C1007" s="256" t="inlineStr">
        <is>
          <t>release</t>
        </is>
      </c>
      <c r="D1007" s="256" t="inlineStr">
        <is>
          <t>#10</t>
        </is>
      </c>
      <c r="E1007" s="257" t="inlineStr">
        <is>
          <t>1056/2026 09.03.26 IJZ; also 197-16-М/26; n/t 10.1,10.3</t>
        </is>
      </c>
    </row>
    <row r="1008">
      <c r="A1008" s="256" t="inlineStr">
        <is>
          <t>CoQ-PP_26-052</t>
        </is>
      </c>
      <c r="B1008" s="256" t="inlineStr">
        <is>
          <t>SJ102501</t>
        </is>
      </c>
      <c r="C1008" s="256" t="inlineStr">
        <is>
          <t>release (predicted)</t>
        </is>
      </c>
      <c r="D1008" s="256" t="inlineStr">
        <is>
          <t>#9</t>
        </is>
      </c>
      <c r="E1008" s="257" t="inlineStr">
        <is>
          <t>n/t</t>
        </is>
      </c>
    </row>
    <row r="1009">
      <c r="A1009" s="256" t="inlineStr">
        <is>
          <t>CoQ-PP_26-052</t>
        </is>
      </c>
      <c r="B1009" s="256" t="inlineStr">
        <is>
          <t>SJ102501</t>
        </is>
      </c>
      <c r="C1009" s="256" t="inlineStr">
        <is>
          <t>release (predicted)</t>
        </is>
      </c>
      <c r="D1009" s="256" t="inlineStr">
        <is>
          <t>#10</t>
        </is>
      </c>
      <c r="E1009" s="257" t="inlineStr">
        <is>
          <t>n/t</t>
        </is>
      </c>
    </row>
    <row r="1010">
      <c r="A1010" s="256" t="inlineStr">
        <is>
          <t>CoQ-PP_26-052</t>
        </is>
      </c>
      <c r="B1010" s="256" t="inlineStr">
        <is>
          <t>SJ102501</t>
        </is>
      </c>
      <c r="C1010" s="256" t="inlineStr">
        <is>
          <t>release (predicted)</t>
        </is>
      </c>
      <c r="D1010" s="256" t="inlineStr">
        <is>
          <t>#11</t>
        </is>
      </c>
      <c r="E1010" s="257" t="inlineStr">
        <is>
          <t>n/t</t>
        </is>
      </c>
    </row>
    <row r="1011">
      <c r="A1011" s="256" t="inlineStr">
        <is>
          <t>CoQ-PP_26-052</t>
        </is>
      </c>
      <c r="B1011" s="256" t="inlineStr">
        <is>
          <t>SJ102501</t>
        </is>
      </c>
      <c r="C1011" s="256" t="inlineStr">
        <is>
          <t>release (predicted)</t>
        </is>
      </c>
      <c r="D1011" s="256" t="inlineStr">
        <is>
          <t>#12</t>
        </is>
      </c>
      <c r="E1011" s="257" t="inlineStr">
        <is>
          <t>n/t</t>
        </is>
      </c>
    </row>
    <row r="1012">
      <c r="A1012" s="256" t="inlineStr">
        <is>
          <t>CoQ-PP_26-053</t>
        </is>
      </c>
      <c r="B1012" s="256" t="inlineStr">
        <is>
          <t>P060172 (KC102501)</t>
        </is>
      </c>
      <c r="C1012" s="256" t="inlineStr">
        <is>
          <t>release</t>
        </is>
      </c>
      <c r="D1012" s="256" t="inlineStr">
        <is>
          <t>#10</t>
        </is>
      </c>
      <c r="E1012" s="257" t="inlineStr">
        <is>
          <t>1058/2026 09.03.26 IJZ; also 220-19-М/26; n/t 10.1,10.3</t>
        </is>
      </c>
    </row>
    <row r="1013">
      <c r="A1013" s="256" t="inlineStr">
        <is>
          <t>CoQ-PP_26-054</t>
        </is>
      </c>
      <c r="B1013" s="256" t="inlineStr">
        <is>
          <t>P060182 (GRC102501/2)</t>
        </is>
      </c>
      <c r="C1013" s="256" t="inlineStr">
        <is>
          <t>release</t>
        </is>
      </c>
      <c r="D1013" s="256" t="inlineStr">
        <is>
          <t>#10</t>
        </is>
      </c>
      <c r="E1013" s="257" t="inlineStr">
        <is>
          <t>n/t</t>
        </is>
      </c>
    </row>
    <row r="1014">
      <c r="A1014" s="256" t="inlineStr">
        <is>
          <t>CoQ-PP_26-055</t>
        </is>
      </c>
      <c r="B1014" s="256" t="inlineStr">
        <is>
          <t>SJ112501</t>
        </is>
      </c>
      <c r="C1014" s="256" t="inlineStr">
        <is>
          <t>release (predicted)</t>
        </is>
      </c>
      <c r="D1014" s="256" t="inlineStr">
        <is>
          <t>#9</t>
        </is>
      </c>
      <c r="E1014" s="257" t="inlineStr">
        <is>
          <t>n/t</t>
        </is>
      </c>
    </row>
    <row r="1015">
      <c r="A1015" s="256" t="inlineStr">
        <is>
          <t>CoQ-PP_26-055</t>
        </is>
      </c>
      <c r="B1015" s="256" t="inlineStr">
        <is>
          <t>SJ112501</t>
        </is>
      </c>
      <c r="C1015" s="256" t="inlineStr">
        <is>
          <t>release (predicted)</t>
        </is>
      </c>
      <c r="D1015" s="256" t="inlineStr">
        <is>
          <t>#10</t>
        </is>
      </c>
      <c r="E1015" s="257" t="inlineStr">
        <is>
          <t>n/t</t>
        </is>
      </c>
    </row>
    <row r="1016">
      <c r="A1016" s="256" t="inlineStr">
        <is>
          <t>CoQ-PP_26-055</t>
        </is>
      </c>
      <c r="B1016" s="256" t="inlineStr">
        <is>
          <t>SJ112501</t>
        </is>
      </c>
      <c r="C1016" s="256" t="inlineStr">
        <is>
          <t>release (predicted)</t>
        </is>
      </c>
      <c r="D1016" s="256" t="inlineStr">
        <is>
          <t>#11</t>
        </is>
      </c>
      <c r="E1016" s="257" t="inlineStr">
        <is>
          <t>n/t</t>
        </is>
      </c>
    </row>
    <row r="1017">
      <c r="A1017" s="256" t="inlineStr">
        <is>
          <t>CoQ-PP_26-055</t>
        </is>
      </c>
      <c r="B1017" s="256" t="inlineStr">
        <is>
          <t>SJ112501</t>
        </is>
      </c>
      <c r="C1017" s="256" t="inlineStr">
        <is>
          <t>release (predicted)</t>
        </is>
      </c>
      <c r="D1017" s="256" t="inlineStr">
        <is>
          <t>#12</t>
        </is>
      </c>
      <c r="E1017" s="257" t="inlineStr">
        <is>
          <t>n/t</t>
        </is>
      </c>
    </row>
    <row r="1018">
      <c r="A1018" s="256" t="inlineStr">
        <is>
          <t>CoQ-PP_26-056</t>
        </is>
      </c>
      <c r="B1018" s="256" t="inlineStr">
        <is>
          <t>J31112501</t>
        </is>
      </c>
      <c r="C1018" s="256" t="inlineStr">
        <is>
          <t>release (predicted)</t>
        </is>
      </c>
      <c r="D1018" s="256" t="inlineStr">
        <is>
          <t>#9</t>
        </is>
      </c>
      <c r="E1018" s="257" t="inlineStr">
        <is>
          <t>n/t</t>
        </is>
      </c>
    </row>
    <row r="1019">
      <c r="A1019" s="256" t="inlineStr">
        <is>
          <t>CoQ-PP_26-056</t>
        </is>
      </c>
      <c r="B1019" s="256" t="inlineStr">
        <is>
          <t>J31112501</t>
        </is>
      </c>
      <c r="C1019" s="256" t="inlineStr">
        <is>
          <t>release (predicted)</t>
        </is>
      </c>
      <c r="D1019" s="256" t="inlineStr">
        <is>
          <t>#10</t>
        </is>
      </c>
      <c r="E1019" s="257" t="inlineStr">
        <is>
          <t>n/t</t>
        </is>
      </c>
    </row>
    <row r="1020">
      <c r="A1020" s="256" t="inlineStr">
        <is>
          <t>CoQ-PP_26-056</t>
        </is>
      </c>
      <c r="B1020" s="256" t="inlineStr">
        <is>
          <t>J31112501</t>
        </is>
      </c>
      <c r="C1020" s="256" t="inlineStr">
        <is>
          <t>release (predicted)</t>
        </is>
      </c>
      <c r="D1020" s="256" t="inlineStr">
        <is>
          <t>#11</t>
        </is>
      </c>
      <c r="E1020" s="257" t="inlineStr">
        <is>
          <t>n/t</t>
        </is>
      </c>
    </row>
    <row r="1021">
      <c r="A1021" s="256" t="inlineStr">
        <is>
          <t>CoQ-PP_26-056</t>
        </is>
      </c>
      <c r="B1021" s="256" t="inlineStr">
        <is>
          <t>J31112501</t>
        </is>
      </c>
      <c r="C1021" s="256" t="inlineStr">
        <is>
          <t>release (predicted)</t>
        </is>
      </c>
      <c r="D1021" s="256" t="inlineStr">
        <is>
          <t>#12</t>
        </is>
      </c>
      <c r="E1021" s="257" t="inlineStr">
        <is>
          <t>n/t</t>
        </is>
      </c>
    </row>
    <row r="1022">
      <c r="A1022" s="256" t="inlineStr">
        <is>
          <t>CoQ-PP_26-057</t>
        </is>
      </c>
      <c r="B1022" s="256" t="inlineStr">
        <is>
          <t>P060212 (JD112501)</t>
        </is>
      </c>
      <c r="C1022" s="256" t="inlineStr">
        <is>
          <t>release</t>
        </is>
      </c>
      <c r="D1022" s="256" t="inlineStr">
        <is>
          <t>#10</t>
        </is>
      </c>
      <c r="E1022" s="257" t="inlineStr">
        <is>
          <t>2361/2026 30.04.26 IJZ; also 197-15-М/26; n/t 10.1,10.3</t>
        </is>
      </c>
    </row>
    <row r="1023">
      <c r="A1023" s="256" t="inlineStr">
        <is>
          <t>CoQ-PP_26-058</t>
        </is>
      </c>
      <c r="B1023" s="256" t="inlineStr">
        <is>
          <t>OPM112501</t>
        </is>
      </c>
      <c r="C1023" s="256" t="inlineStr">
        <is>
          <t>release (predicted)</t>
        </is>
      </c>
      <c r="D1023" s="256" t="inlineStr">
        <is>
          <t>#6</t>
        </is>
      </c>
      <c r="E1023" s="257" t="inlineStr">
        <is>
          <t>n/t</t>
        </is>
      </c>
    </row>
    <row r="1024">
      <c r="A1024" s="256" t="inlineStr">
        <is>
          <t>CoQ-PP_26-058</t>
        </is>
      </c>
      <c r="B1024" s="256" t="inlineStr">
        <is>
          <t>OPM112501</t>
        </is>
      </c>
      <c r="C1024" s="256" t="inlineStr">
        <is>
          <t>release (predicted)</t>
        </is>
      </c>
      <c r="D1024" s="256" t="inlineStr">
        <is>
          <t>#9</t>
        </is>
      </c>
      <c r="E1024" s="257" t="inlineStr">
        <is>
          <t>n/t</t>
        </is>
      </c>
    </row>
    <row r="1025">
      <c r="A1025" s="256" t="inlineStr">
        <is>
          <t>CoQ-PP_26-058</t>
        </is>
      </c>
      <c r="B1025" s="256" t="inlineStr">
        <is>
          <t>OPM112501</t>
        </is>
      </c>
      <c r="C1025" s="256" t="inlineStr">
        <is>
          <t>release (predicted)</t>
        </is>
      </c>
      <c r="D1025" s="256" t="inlineStr">
        <is>
          <t>#10</t>
        </is>
      </c>
      <c r="E1025" s="257" t="inlineStr">
        <is>
          <t>n/t</t>
        </is>
      </c>
    </row>
    <row r="1026">
      <c r="A1026" s="256" t="inlineStr">
        <is>
          <t>CoQ-PP_26-058</t>
        </is>
      </c>
      <c r="B1026" s="256" t="inlineStr">
        <is>
          <t>OPM112501</t>
        </is>
      </c>
      <c r="C1026" s="256" t="inlineStr">
        <is>
          <t>release (predicted)</t>
        </is>
      </c>
      <c r="D1026" s="256" t="inlineStr">
        <is>
          <t>#11</t>
        </is>
      </c>
      <c r="E1026" s="257" t="inlineStr">
        <is>
          <t>n/t</t>
        </is>
      </c>
    </row>
    <row r="1027">
      <c r="A1027" s="256" t="inlineStr">
        <is>
          <t>CoQ-PP_26-058</t>
        </is>
      </c>
      <c r="B1027" s="256" t="inlineStr">
        <is>
          <t>OPM112501</t>
        </is>
      </c>
      <c r="C1027" s="256" t="inlineStr">
        <is>
          <t>release (predicted)</t>
        </is>
      </c>
      <c r="D1027" s="256" t="inlineStr">
        <is>
          <t>#12</t>
        </is>
      </c>
      <c r="E1027" s="257" t="inlineStr">
        <is>
          <t>n/t</t>
        </is>
      </c>
    </row>
    <row r="1028">
      <c r="A1028" s="256" t="inlineStr">
        <is>
          <t>CoQ-PP_26-059</t>
        </is>
      </c>
      <c r="B1028" s="256" t="inlineStr">
        <is>
          <t>P060232 (PM112501)</t>
        </is>
      </c>
      <c r="C1028" s="256" t="inlineStr">
        <is>
          <t>release</t>
        </is>
      </c>
      <c r="D1028" s="256" t="inlineStr">
        <is>
          <t>#10</t>
        </is>
      </c>
      <c r="E1028" s="257" t="inlineStr">
        <is>
          <t>1059/2026 09.03.26 IJZ; also 220-24-М/26; n/t 10.1,10.3</t>
        </is>
      </c>
    </row>
    <row r="1029">
      <c r="A1029" s="256" t="inlineStr">
        <is>
          <t>CoQ-PP_26-060</t>
        </is>
      </c>
      <c r="B1029" s="256" t="inlineStr">
        <is>
          <t>P060242 (OPM122501)</t>
        </is>
      </c>
      <c r="C1029" s="256" t="inlineStr">
        <is>
          <t>release</t>
        </is>
      </c>
      <c r="D1029" s="256" t="inlineStr">
        <is>
          <t>#10</t>
        </is>
      </c>
      <c r="E1029" s="257" t="inlineStr">
        <is>
          <t>1627/2026 23.04.26 IJZ; also 197-19-М/26; n/t 10.1,10.3</t>
        </is>
      </c>
    </row>
    <row r="1030">
      <c r="A1030" s="256" t="inlineStr">
        <is>
          <t>CoQ-PP_26-061</t>
        </is>
      </c>
      <c r="B1030" s="256" t="inlineStr">
        <is>
          <t>GG112501</t>
        </is>
      </c>
      <c r="C1030" s="256" t="inlineStr">
        <is>
          <t>release (predicted)</t>
        </is>
      </c>
      <c r="D1030" s="256" t="inlineStr">
        <is>
          <t>#6</t>
        </is>
      </c>
      <c r="E1030" s="257" t="inlineStr">
        <is>
          <t>n/t</t>
        </is>
      </c>
    </row>
    <row r="1031">
      <c r="A1031" s="256" t="inlineStr">
        <is>
          <t>CoQ-PP_26-061</t>
        </is>
      </c>
      <c r="B1031" s="256" t="inlineStr">
        <is>
          <t>GG112501</t>
        </is>
      </c>
      <c r="C1031" s="256" t="inlineStr">
        <is>
          <t>release (predicted)</t>
        </is>
      </c>
      <c r="D1031" s="256" t="inlineStr">
        <is>
          <t>#10</t>
        </is>
      </c>
      <c r="E1031" s="257" t="inlineStr">
        <is>
          <t>2358/2026 29.04.26 IJZ; n/t 10.1,10.3</t>
        </is>
      </c>
    </row>
    <row r="1032">
      <c r="A1032" s="256" t="inlineStr">
        <is>
          <t>CoQ-PP_26-062</t>
        </is>
      </c>
      <c r="B1032" s="256" t="inlineStr">
        <is>
          <t>J31122501</t>
        </is>
      </c>
      <c r="C1032" s="256" t="inlineStr">
        <is>
          <t>release (predicted)</t>
        </is>
      </c>
      <c r="D1032" s="256" t="inlineStr">
        <is>
          <t>#10</t>
        </is>
      </c>
      <c r="E1032" s="257" t="inlineStr">
        <is>
          <t>1628/2026 23.04.26 IJZ; also 1625/2026; n/t 10.1,10.3</t>
        </is>
      </c>
    </row>
    <row r="1033">
      <c r="A1033" s="256" t="inlineStr">
        <is>
          <t>CoQ-PP_26-063</t>
        </is>
      </c>
      <c r="B1033" s="256" t="inlineStr">
        <is>
          <t>CC112501</t>
        </is>
      </c>
      <c r="C1033" s="256" t="inlineStr">
        <is>
          <t>release (predicted)</t>
        </is>
      </c>
      <c r="D1033" s="256" t="inlineStr">
        <is>
          <t>#6</t>
        </is>
      </c>
      <c r="E1033" s="257" t="inlineStr">
        <is>
          <t>n/t</t>
        </is>
      </c>
    </row>
    <row r="1034">
      <c r="A1034" s="256" t="inlineStr">
        <is>
          <t>CoQ-PP_26-063</t>
        </is>
      </c>
      <c r="B1034" s="256" t="inlineStr">
        <is>
          <t>CC112501</t>
        </is>
      </c>
      <c r="C1034" s="256" t="inlineStr">
        <is>
          <t>release (predicted)</t>
        </is>
      </c>
      <c r="D1034" s="256" t="inlineStr">
        <is>
          <t>#10</t>
        </is>
      </c>
      <c r="E1034" s="257" t="inlineStr">
        <is>
          <t>2359/2026 29.04.26 IJZ; n/t 10.1,10.3</t>
        </is>
      </c>
    </row>
    <row r="1035">
      <c r="A1035" s="256" t="inlineStr">
        <is>
          <t>CoQ-PP_26-064</t>
        </is>
      </c>
      <c r="B1035" s="256" t="inlineStr">
        <is>
          <t>P060282 (SCR112501)</t>
        </is>
      </c>
      <c r="C1035" s="256" t="inlineStr">
        <is>
          <t>release</t>
        </is>
      </c>
      <c r="D1035" s="256" t="inlineStr">
        <is>
          <t>#10</t>
        </is>
      </c>
      <c r="E1035" s="257" t="inlineStr">
        <is>
          <t>2360/2026 29.04.26 IJZ; also 220-26-М/26; n/t 10.1,10.3</t>
        </is>
      </c>
    </row>
    <row r="1036">
      <c r="A1036" s="256" t="inlineStr">
        <is>
          <t>CoQ-PP_26-065</t>
        </is>
      </c>
      <c r="B1036" s="256" t="inlineStr">
        <is>
          <t>FB112501</t>
        </is>
      </c>
      <c r="C1036" s="256" t="inlineStr">
        <is>
          <t>release (predicted)</t>
        </is>
      </c>
      <c r="D1036" s="256" t="inlineStr">
        <is>
          <t>#6</t>
        </is>
      </c>
      <c r="E1036" s="257" t="inlineStr">
        <is>
          <t>n/t</t>
        </is>
      </c>
    </row>
    <row r="1037">
      <c r="A1037" s="256" t="inlineStr">
        <is>
          <t>CoQ-PP_26-065</t>
        </is>
      </c>
      <c r="B1037" s="256" t="inlineStr">
        <is>
          <t>FB112501</t>
        </is>
      </c>
      <c r="C1037" s="256" t="inlineStr">
        <is>
          <t>release (predicted)</t>
        </is>
      </c>
      <c r="D1037" s="256" t="inlineStr">
        <is>
          <t>#10</t>
        </is>
      </c>
      <c r="E1037" s="257" t="inlineStr">
        <is>
          <t>2357/2026 29.04.26 IJZ; n/t 10.1,10.3</t>
        </is>
      </c>
    </row>
    <row r="1038">
      <c r="A1038" s="256" t="inlineStr">
        <is>
          <t>CoQ-PP_26-066</t>
        </is>
      </c>
      <c r="B1038" s="256" t="inlineStr">
        <is>
          <t>GG012601</t>
        </is>
      </c>
      <c r="C1038" s="256" t="inlineStr">
        <is>
          <t>release (predicted)</t>
        </is>
      </c>
      <c r="D1038" s="256" t="inlineStr">
        <is>
          <t>#6</t>
        </is>
      </c>
      <c r="E1038" s="257" t="inlineStr">
        <is>
          <t>n/t</t>
        </is>
      </c>
    </row>
    <row r="1039">
      <c r="A1039" s="256" t="inlineStr">
        <is>
          <t>CoQ-PP_26-066</t>
        </is>
      </c>
      <c r="B1039" s="256" t="inlineStr">
        <is>
          <t>GG012601</t>
        </is>
      </c>
      <c r="C1039" s="256" t="inlineStr">
        <is>
          <t>release (predicted)</t>
        </is>
      </c>
      <c r="D1039" s="256" t="inlineStr">
        <is>
          <t>#10</t>
        </is>
      </c>
      <c r="E1039" s="257" t="inlineStr">
        <is>
          <t>2364/2026 30.04.26 IJZ; n/t 10.1,10.3</t>
        </is>
      </c>
    </row>
    <row r="1040">
      <c r="A1040" s="256" t="inlineStr">
        <is>
          <t>CoQ-PP_26-067</t>
        </is>
      </c>
      <c r="B1040" s="256" t="inlineStr">
        <is>
          <t>JD012601</t>
        </is>
      </c>
      <c r="C1040" s="256" t="inlineStr">
        <is>
          <t>release (predicted)</t>
        </is>
      </c>
      <c r="D1040" s="256" t="inlineStr">
        <is>
          <t>#6</t>
        </is>
      </c>
      <c r="E1040" s="257" t="inlineStr">
        <is>
          <t>n/t</t>
        </is>
      </c>
    </row>
    <row r="1041">
      <c r="A1041" s="256" t="inlineStr">
        <is>
          <t>CoQ-PP_26-067</t>
        </is>
      </c>
      <c r="B1041" s="256" t="inlineStr">
        <is>
          <t>JD012601</t>
        </is>
      </c>
      <c r="C1041" s="256" t="inlineStr">
        <is>
          <t>release (predicted)</t>
        </is>
      </c>
      <c r="D1041" s="256" t="inlineStr">
        <is>
          <t>#10</t>
        </is>
      </c>
      <c r="E1041" s="257" t="inlineStr">
        <is>
          <t>2363/2026 30.04.26 IJZ; n/t 10.1,10.3</t>
        </is>
      </c>
    </row>
    <row r="1042">
      <c r="A1042" s="256" t="inlineStr">
        <is>
          <t>CoQ-PP_26-068</t>
        </is>
      </c>
      <c r="B1042" s="256" t="inlineStr">
        <is>
          <t>P060332</t>
        </is>
      </c>
      <c r="C1042" s="256" t="inlineStr">
        <is>
          <t>release (predicted)</t>
        </is>
      </c>
      <c r="D1042" s="256" t="inlineStr">
        <is>
          <t>#4</t>
        </is>
      </c>
      <c r="E1042" s="257" t="inlineStr">
        <is>
          <t>n/t</t>
        </is>
      </c>
    </row>
    <row r="1043">
      <c r="A1043" s="256" t="inlineStr">
        <is>
          <t>CoQ-PP_26-068</t>
        </is>
      </c>
      <c r="B1043" s="256" t="inlineStr">
        <is>
          <t>P060332</t>
        </is>
      </c>
      <c r="C1043" s="256" t="inlineStr">
        <is>
          <t>release (predicted)</t>
        </is>
      </c>
      <c r="D1043" s="256" t="inlineStr">
        <is>
          <t>#5</t>
        </is>
      </c>
      <c r="E1043" s="257" t="inlineStr">
        <is>
          <t>n/t</t>
        </is>
      </c>
    </row>
    <row r="1044">
      <c r="A1044" s="256" t="inlineStr">
        <is>
          <t>CoQ-PP_26-068</t>
        </is>
      </c>
      <c r="B1044" s="256" t="inlineStr">
        <is>
          <t>P060332</t>
        </is>
      </c>
      <c r="C1044" s="256" t="inlineStr">
        <is>
          <t>release (predicted)</t>
        </is>
      </c>
      <c r="D1044" s="256" t="inlineStr">
        <is>
          <t>#6</t>
        </is>
      </c>
      <c r="E1044" s="257" t="inlineStr">
        <is>
          <t>n/t</t>
        </is>
      </c>
    </row>
    <row r="1045">
      <c r="A1045" s="256" t="inlineStr">
        <is>
          <t>CoQ-PP_26-068</t>
        </is>
      </c>
      <c r="B1045" s="256" t="inlineStr">
        <is>
          <t>P060332</t>
        </is>
      </c>
      <c r="C1045" s="256" t="inlineStr">
        <is>
          <t>release (predicted)</t>
        </is>
      </c>
      <c r="D1045" s="256" t="inlineStr">
        <is>
          <t>#8</t>
        </is>
      </c>
      <c r="E1045" s="257" t="inlineStr">
        <is>
          <t>n/t</t>
        </is>
      </c>
    </row>
    <row r="1046">
      <c r="A1046" s="256" t="inlineStr">
        <is>
          <t>CoQ-PP_26-068</t>
        </is>
      </c>
      <c r="B1046" s="256" t="inlineStr">
        <is>
          <t>P060332</t>
        </is>
      </c>
      <c r="C1046" s="256" t="inlineStr">
        <is>
          <t>release (predicted)</t>
        </is>
      </c>
      <c r="D1046" s="256" t="inlineStr">
        <is>
          <t>#10</t>
        </is>
      </c>
      <c r="E1046" s="257" t="inlineStr">
        <is>
          <t>n/t</t>
        </is>
      </c>
    </row>
    <row r="1047">
      <c r="A1047" s="256" t="inlineStr">
        <is>
          <t>CoQ-PP_26-068</t>
        </is>
      </c>
      <c r="B1047" s="256" t="inlineStr">
        <is>
          <t>P060332</t>
        </is>
      </c>
      <c r="C1047" s="256" t="inlineStr">
        <is>
          <t>release (predicted)</t>
        </is>
      </c>
      <c r="D1047" s="256" t="inlineStr">
        <is>
          <t>#11</t>
        </is>
      </c>
      <c r="E1047" s="257" t="inlineStr">
        <is>
          <t>n/t</t>
        </is>
      </c>
    </row>
    <row r="1048">
      <c r="A1048" s="256" t="inlineStr">
        <is>
          <t>CoQ-PP_26-068</t>
        </is>
      </c>
      <c r="B1048" s="256" t="inlineStr">
        <is>
          <t>P060332</t>
        </is>
      </c>
      <c r="C1048" s="256" t="inlineStr">
        <is>
          <t>release (predicted)</t>
        </is>
      </c>
      <c r="D1048" s="256" t="inlineStr">
        <is>
          <t>#12</t>
        </is>
      </c>
      <c r="E1048" s="257" t="inlineStr">
        <is>
          <t>n/t</t>
        </is>
      </c>
    </row>
    <row r="1049">
      <c r="A1049" s="256" t="inlineStr">
        <is>
          <t>CoQ-PP_26-069</t>
        </is>
      </c>
      <c r="B1049" s="256" t="inlineStr">
        <is>
          <t>P060322 (FB012601/1)</t>
        </is>
      </c>
      <c r="C1049" s="256" t="inlineStr">
        <is>
          <t>release</t>
        </is>
      </c>
      <c r="D1049" s="256" t="inlineStr">
        <is>
          <t>#10</t>
        </is>
      </c>
      <c r="E1049" s="257" t="inlineStr">
        <is>
          <t>2362/2026 30.04.26 IJZ; also 220-8-М/26; n/t 10.1,10.3</t>
        </is>
      </c>
    </row>
    <row r="1050">
      <c r="A1050" s="256" t="inlineStr">
        <is>
          <t>CoQ-PP_26-070</t>
        </is>
      </c>
      <c r="B1050" s="256" t="inlineStr">
        <is>
          <t>P060352 (FB012602)</t>
        </is>
      </c>
      <c r="C1050" s="256" t="inlineStr">
        <is>
          <t>release</t>
        </is>
      </c>
      <c r="D1050" s="256" t="inlineStr">
        <is>
          <t>#4</t>
        </is>
      </c>
      <c r="E1050" s="257" t="inlineStr">
        <is>
          <t>n/t</t>
        </is>
      </c>
    </row>
    <row r="1051">
      <c r="A1051" s="256" t="inlineStr">
        <is>
          <t>CoQ-PP_26-070</t>
        </is>
      </c>
      <c r="B1051" s="256" t="inlineStr">
        <is>
          <t>P060352 (FB012602)</t>
        </is>
      </c>
      <c r="C1051" s="256" t="inlineStr">
        <is>
          <t>release</t>
        </is>
      </c>
      <c r="D1051" s="256" t="inlineStr">
        <is>
          <t>#5</t>
        </is>
      </c>
      <c r="E1051" s="257" t="inlineStr">
        <is>
          <t>n/t</t>
        </is>
      </c>
    </row>
    <row r="1052">
      <c r="A1052" s="256" t="inlineStr">
        <is>
          <t>CoQ-PP_26-070</t>
        </is>
      </c>
      <c r="B1052" s="256" t="inlineStr">
        <is>
          <t>P060352 (FB012602)</t>
        </is>
      </c>
      <c r="C1052" s="256" t="inlineStr">
        <is>
          <t>release</t>
        </is>
      </c>
      <c r="D1052" s="256" t="inlineStr">
        <is>
          <t>#6</t>
        </is>
      </c>
      <c r="E1052" s="257" t="inlineStr">
        <is>
          <t>n/t</t>
        </is>
      </c>
    </row>
    <row r="1053">
      <c r="A1053" s="256" t="inlineStr">
        <is>
          <t>CoQ-PP_26-070</t>
        </is>
      </c>
      <c r="B1053" s="256" t="inlineStr">
        <is>
          <t>P060352 (FB012602)</t>
        </is>
      </c>
      <c r="C1053" s="256" t="inlineStr">
        <is>
          <t>release</t>
        </is>
      </c>
      <c r="D1053" s="256" t="inlineStr">
        <is>
          <t>#8</t>
        </is>
      </c>
      <c r="E1053" s="257" t="inlineStr">
        <is>
          <t>n/t</t>
        </is>
      </c>
    </row>
    <row r="1054">
      <c r="A1054" s="256" t="inlineStr">
        <is>
          <t>CoQ-PP_26-070</t>
        </is>
      </c>
      <c r="B1054" s="256" t="inlineStr">
        <is>
          <t>P060352 (FB012602)</t>
        </is>
      </c>
      <c r="C1054" s="256" t="inlineStr">
        <is>
          <t>release</t>
        </is>
      </c>
      <c r="D1054" s="256" t="inlineStr">
        <is>
          <t>#10</t>
        </is>
      </c>
      <c r="E1054" s="257" t="inlineStr">
        <is>
          <t>n/t</t>
        </is>
      </c>
    </row>
    <row r="1055">
      <c r="A1055" s="256" t="inlineStr">
        <is>
          <t>CoQ-PP_26-070</t>
        </is>
      </c>
      <c r="B1055" s="256" t="inlineStr">
        <is>
          <t>P060352 (FB012602)</t>
        </is>
      </c>
      <c r="C1055" s="256" t="inlineStr">
        <is>
          <t>release</t>
        </is>
      </c>
      <c r="D1055" s="256" t="inlineStr">
        <is>
          <t>#11</t>
        </is>
      </c>
      <c r="E1055" s="257" t="inlineStr">
        <is>
          <t>n/t</t>
        </is>
      </c>
    </row>
    <row r="1056">
      <c r="A1056" s="256" t="inlineStr">
        <is>
          <t>CoQ-PP_26-070</t>
        </is>
      </c>
      <c r="B1056" s="256" t="inlineStr">
        <is>
          <t>P060352 (FB012602)</t>
        </is>
      </c>
      <c r="C1056" s="256" t="inlineStr">
        <is>
          <t>release</t>
        </is>
      </c>
      <c r="D1056" s="256" t="inlineStr">
        <is>
          <t>#12</t>
        </is>
      </c>
      <c r="E1056" s="257" t="inlineStr">
        <is>
          <t>n/t</t>
        </is>
      </c>
    </row>
    <row r="1057">
      <c r="A1057" s="256" t="inlineStr">
        <is>
          <t>CoQ-PP_26-071</t>
        </is>
      </c>
      <c r="B1057" s="256" t="inlineStr">
        <is>
          <t>P060362 (JD012603/01)</t>
        </is>
      </c>
      <c r="C1057" s="256" t="inlineStr">
        <is>
          <t>release</t>
        </is>
      </c>
      <c r="D1057" s="256" t="inlineStr">
        <is>
          <t>#4</t>
        </is>
      </c>
      <c r="E1057" s="257" t="inlineStr">
        <is>
          <t>n/t</t>
        </is>
      </c>
    </row>
    <row r="1058">
      <c r="A1058" s="256" t="inlineStr">
        <is>
          <t>CoQ-PP_26-071</t>
        </is>
      </c>
      <c r="B1058" s="256" t="inlineStr">
        <is>
          <t>P060362 (JD012603/01)</t>
        </is>
      </c>
      <c r="C1058" s="256" t="inlineStr">
        <is>
          <t>release</t>
        </is>
      </c>
      <c r="D1058" s="256" t="inlineStr">
        <is>
          <t>#5</t>
        </is>
      </c>
      <c r="E1058" s="257" t="inlineStr">
        <is>
          <t>n/t</t>
        </is>
      </c>
    </row>
    <row r="1059">
      <c r="A1059" s="256" t="inlineStr">
        <is>
          <t>CoQ-PP_26-071</t>
        </is>
      </c>
      <c r="B1059" s="256" t="inlineStr">
        <is>
          <t>P060362 (JD012603/01)</t>
        </is>
      </c>
      <c r="C1059" s="256" t="inlineStr">
        <is>
          <t>release</t>
        </is>
      </c>
      <c r="D1059" s="256" t="inlineStr">
        <is>
          <t>#6</t>
        </is>
      </c>
      <c r="E1059" s="257" t="inlineStr">
        <is>
          <t>n/t</t>
        </is>
      </c>
    </row>
    <row r="1060">
      <c r="A1060" s="256" t="inlineStr">
        <is>
          <t>CoQ-PP_26-071</t>
        </is>
      </c>
      <c r="B1060" s="256" t="inlineStr">
        <is>
          <t>P060362 (JD012603/01)</t>
        </is>
      </c>
      <c r="C1060" s="256" t="inlineStr">
        <is>
          <t>release</t>
        </is>
      </c>
      <c r="D1060" s="256" t="inlineStr">
        <is>
          <t>#8</t>
        </is>
      </c>
      <c r="E1060" s="257" t="inlineStr">
        <is>
          <t>n/t</t>
        </is>
      </c>
    </row>
    <row r="1061">
      <c r="A1061" s="256" t="inlineStr">
        <is>
          <t>CoQ-PP_26-071</t>
        </is>
      </c>
      <c r="B1061" s="256" t="inlineStr">
        <is>
          <t>P060362 (JD012603/01)</t>
        </is>
      </c>
      <c r="C1061" s="256" t="inlineStr">
        <is>
          <t>release</t>
        </is>
      </c>
      <c r="D1061" s="256" t="inlineStr">
        <is>
          <t>#10</t>
        </is>
      </c>
      <c r="E1061" s="257" t="inlineStr">
        <is>
          <t>n/t</t>
        </is>
      </c>
    </row>
    <row r="1062">
      <c r="A1062" s="256" t="inlineStr">
        <is>
          <t>CoQ-PP_26-071</t>
        </is>
      </c>
      <c r="B1062" s="256" t="inlineStr">
        <is>
          <t>P060362 (JD012603/01)</t>
        </is>
      </c>
      <c r="C1062" s="256" t="inlineStr">
        <is>
          <t>release</t>
        </is>
      </c>
      <c r="D1062" s="256" t="inlineStr">
        <is>
          <t>#11</t>
        </is>
      </c>
      <c r="E1062" s="257" t="inlineStr">
        <is>
          <t>n/t</t>
        </is>
      </c>
    </row>
    <row r="1063">
      <c r="A1063" s="256" t="inlineStr">
        <is>
          <t>CoQ-PP_26-071</t>
        </is>
      </c>
      <c r="B1063" s="256" t="inlineStr">
        <is>
          <t>P060362 (JD012603/01)</t>
        </is>
      </c>
      <c r="C1063" s="256" t="inlineStr">
        <is>
          <t>release</t>
        </is>
      </c>
      <c r="D1063" s="256" t="inlineStr">
        <is>
          <t>#12</t>
        </is>
      </c>
      <c r="E1063" s="257" t="inlineStr">
        <is>
          <t>n/t</t>
        </is>
      </c>
    </row>
    <row r="1064">
      <c r="A1064" s="256" t="inlineStr">
        <is>
          <t>CoQ-PP_26-072</t>
        </is>
      </c>
      <c r="B1064" s="256" t="inlineStr">
        <is>
          <t>P060372 (CC012603)</t>
        </is>
      </c>
      <c r="C1064" s="256" t="inlineStr">
        <is>
          <t>release</t>
        </is>
      </c>
      <c r="D1064" s="256" t="inlineStr">
        <is>
          <t>#4</t>
        </is>
      </c>
      <c r="E1064" s="257" t="inlineStr">
        <is>
          <t>n/t</t>
        </is>
      </c>
    </row>
    <row r="1065">
      <c r="A1065" s="256" t="inlineStr">
        <is>
          <t>CoQ-PP_26-072</t>
        </is>
      </c>
      <c r="B1065" s="256" t="inlineStr">
        <is>
          <t>P060372 (CC012603)</t>
        </is>
      </c>
      <c r="C1065" s="256" t="inlineStr">
        <is>
          <t>release</t>
        </is>
      </c>
      <c r="D1065" s="256" t="inlineStr">
        <is>
          <t>#5</t>
        </is>
      </c>
      <c r="E1065" s="257" t="inlineStr">
        <is>
          <t>n/t</t>
        </is>
      </c>
    </row>
    <row r="1066">
      <c r="A1066" s="256" t="inlineStr">
        <is>
          <t>CoQ-PP_26-072</t>
        </is>
      </c>
      <c r="B1066" s="256" t="inlineStr">
        <is>
          <t>P060372 (CC012603)</t>
        </is>
      </c>
      <c r="C1066" s="256" t="inlineStr">
        <is>
          <t>release</t>
        </is>
      </c>
      <c r="D1066" s="256" t="inlineStr">
        <is>
          <t>#6</t>
        </is>
      </c>
      <c r="E1066" s="257" t="inlineStr">
        <is>
          <t>n/t</t>
        </is>
      </c>
    </row>
    <row r="1067">
      <c r="A1067" s="256" t="inlineStr">
        <is>
          <t>CoQ-PP_26-072</t>
        </is>
      </c>
      <c r="B1067" s="256" t="inlineStr">
        <is>
          <t>P060372 (CC012603)</t>
        </is>
      </c>
      <c r="C1067" s="256" t="inlineStr">
        <is>
          <t>release</t>
        </is>
      </c>
      <c r="D1067" s="256" t="inlineStr">
        <is>
          <t>#8</t>
        </is>
      </c>
      <c r="E1067" s="257" t="inlineStr">
        <is>
          <t>n/t</t>
        </is>
      </c>
    </row>
    <row r="1068">
      <c r="A1068" s="256" t="inlineStr">
        <is>
          <t>CoQ-PP_26-072</t>
        </is>
      </c>
      <c r="B1068" s="256" t="inlineStr">
        <is>
          <t>P060372 (CC012603)</t>
        </is>
      </c>
      <c r="C1068" s="256" t="inlineStr">
        <is>
          <t>release</t>
        </is>
      </c>
      <c r="D1068" s="256" t="inlineStr">
        <is>
          <t>#10</t>
        </is>
      </c>
      <c r="E1068" s="257" t="inlineStr">
        <is>
          <t>n/t</t>
        </is>
      </c>
    </row>
    <row r="1069">
      <c r="A1069" s="256" t="inlineStr">
        <is>
          <t>CoQ-PP_26-072</t>
        </is>
      </c>
      <c r="B1069" s="256" t="inlineStr">
        <is>
          <t>P060372 (CC012603)</t>
        </is>
      </c>
      <c r="C1069" s="256" t="inlineStr">
        <is>
          <t>release</t>
        </is>
      </c>
      <c r="D1069" s="256" t="inlineStr">
        <is>
          <t>#11</t>
        </is>
      </c>
      <c r="E1069" s="257" t="inlineStr">
        <is>
          <t>n/t</t>
        </is>
      </c>
    </row>
    <row r="1070">
      <c r="A1070" s="256" t="inlineStr">
        <is>
          <t>CoQ-PP_26-072</t>
        </is>
      </c>
      <c r="B1070" s="256" t="inlineStr">
        <is>
          <t>P060372 (CC012603)</t>
        </is>
      </c>
      <c r="C1070" s="256" t="inlineStr">
        <is>
          <t>release</t>
        </is>
      </c>
      <c r="D1070" s="256" t="inlineStr">
        <is>
          <t>#12</t>
        </is>
      </c>
      <c r="E1070" s="257" t="inlineStr">
        <is>
          <t>n/t</t>
        </is>
      </c>
    </row>
    <row r="1071">
      <c r="A1071" s="256" t="inlineStr">
        <is>
          <t>CoQ-PP_26-073</t>
        </is>
      </c>
      <c r="B1071" s="256" t="inlineStr">
        <is>
          <t>P060342 (SCR012601)</t>
        </is>
      </c>
      <c r="C1071" s="256" t="inlineStr">
        <is>
          <t>release (predicted)</t>
        </is>
      </c>
      <c r="D1071" s="256" t="inlineStr">
        <is>
          <t>#4</t>
        </is>
      </c>
      <c r="E1071" s="257" t="inlineStr">
        <is>
          <t>n/t</t>
        </is>
      </c>
    </row>
    <row r="1072">
      <c r="A1072" s="256" t="inlineStr">
        <is>
          <t>CoQ-PP_26-073</t>
        </is>
      </c>
      <c r="B1072" s="256" t="inlineStr">
        <is>
          <t>P060342 (SCR012601)</t>
        </is>
      </c>
      <c r="C1072" s="256" t="inlineStr">
        <is>
          <t>release (predicted)</t>
        </is>
      </c>
      <c r="D1072" s="256" t="inlineStr">
        <is>
          <t>#5</t>
        </is>
      </c>
      <c r="E1072" s="257" t="inlineStr">
        <is>
          <t>n/t</t>
        </is>
      </c>
    </row>
    <row r="1073">
      <c r="A1073" s="256" t="inlineStr">
        <is>
          <t>CoQ-PP_26-073</t>
        </is>
      </c>
      <c r="B1073" s="256" t="inlineStr">
        <is>
          <t>P060342 (SCR012601)</t>
        </is>
      </c>
      <c r="C1073" s="256" t="inlineStr">
        <is>
          <t>release (predicted)</t>
        </is>
      </c>
      <c r="D1073" s="256" t="inlineStr">
        <is>
          <t>#6</t>
        </is>
      </c>
      <c r="E1073" s="257" t="inlineStr">
        <is>
          <t>n/t</t>
        </is>
      </c>
    </row>
    <row r="1074">
      <c r="A1074" s="256" t="inlineStr">
        <is>
          <t>CoQ-PP_26-073</t>
        </is>
      </c>
      <c r="B1074" s="256" t="inlineStr">
        <is>
          <t>P060342 (SCR012601)</t>
        </is>
      </c>
      <c r="C1074" s="256" t="inlineStr">
        <is>
          <t>release (predicted)</t>
        </is>
      </c>
      <c r="D1074" s="256" t="inlineStr">
        <is>
          <t>#8</t>
        </is>
      </c>
      <c r="E1074" s="257" t="inlineStr">
        <is>
          <t>n/t</t>
        </is>
      </c>
    </row>
    <row r="1075">
      <c r="A1075" s="256" t="inlineStr">
        <is>
          <t>CoQ-PP_26-073</t>
        </is>
      </c>
      <c r="B1075" s="256" t="inlineStr">
        <is>
          <t>P060342 (SCR012601)</t>
        </is>
      </c>
      <c r="C1075" s="256" t="inlineStr">
        <is>
          <t>release (predicted)</t>
        </is>
      </c>
      <c r="D1075" s="256" t="inlineStr">
        <is>
          <t>#9</t>
        </is>
      </c>
      <c r="E1075" s="257" t="inlineStr">
        <is>
          <t>n/t</t>
        </is>
      </c>
    </row>
    <row r="1076">
      <c r="A1076" s="256" t="inlineStr">
        <is>
          <t>CoQ-PP_26-073</t>
        </is>
      </c>
      <c r="B1076" s="256" t="inlineStr">
        <is>
          <t>P060342 (SCR012601)</t>
        </is>
      </c>
      <c r="C1076" s="256" t="inlineStr">
        <is>
          <t>release (predicted)</t>
        </is>
      </c>
      <c r="D1076" s="256" t="inlineStr">
        <is>
          <t>#10</t>
        </is>
      </c>
      <c r="E1076" s="257" t="inlineStr">
        <is>
          <t>n/t</t>
        </is>
      </c>
    </row>
    <row r="1077">
      <c r="A1077" s="256" t="inlineStr">
        <is>
          <t>CoQ-PP_26-073</t>
        </is>
      </c>
      <c r="B1077" s="256" t="inlineStr">
        <is>
          <t>P060342 (SCR012601)</t>
        </is>
      </c>
      <c r="C1077" s="256" t="inlineStr">
        <is>
          <t>release (predicted)</t>
        </is>
      </c>
      <c r="D1077" s="256" t="inlineStr">
        <is>
          <t>#11</t>
        </is>
      </c>
      <c r="E1077" s="257" t="inlineStr">
        <is>
          <t>n/t</t>
        </is>
      </c>
    </row>
    <row r="1078">
      <c r="A1078" s="256" t="inlineStr">
        <is>
          <t>CoQ-PP_26-073</t>
        </is>
      </c>
      <c r="B1078" s="256" t="inlineStr">
        <is>
          <t>P060342 (SCR012601)</t>
        </is>
      </c>
      <c r="C1078" s="256" t="inlineStr">
        <is>
          <t>release (predicted)</t>
        </is>
      </c>
      <c r="D1078" s="256" t="inlineStr">
        <is>
          <t>#12</t>
        </is>
      </c>
      <c r="E1078" s="257" t="inlineStr">
        <is>
          <t>n/t</t>
        </is>
      </c>
    </row>
    <row r="1079">
      <c r="A1079" s="256" t="inlineStr">
        <is>
          <t>CoQ-PP_26-074</t>
        </is>
      </c>
      <c r="B1079" s="256" t="inlineStr">
        <is>
          <t>P060382 (SCR012603)</t>
        </is>
      </c>
      <c r="C1079" s="256" t="inlineStr">
        <is>
          <t>release</t>
        </is>
      </c>
      <c r="D1079" s="256" t="inlineStr">
        <is>
          <t>#4</t>
        </is>
      </c>
      <c r="E1079" s="257" t="inlineStr">
        <is>
          <t>n/t</t>
        </is>
      </c>
    </row>
    <row r="1080">
      <c r="A1080" s="256" t="inlineStr">
        <is>
          <t>CoQ-PP_26-074</t>
        </is>
      </c>
      <c r="B1080" s="256" t="inlineStr">
        <is>
          <t>P060382 (SCR012603)</t>
        </is>
      </c>
      <c r="C1080" s="256" t="inlineStr">
        <is>
          <t>release</t>
        </is>
      </c>
      <c r="D1080" s="256" t="inlineStr">
        <is>
          <t>#5</t>
        </is>
      </c>
      <c r="E1080" s="257" t="inlineStr">
        <is>
          <t>n/t</t>
        </is>
      </c>
    </row>
    <row r="1081">
      <c r="A1081" s="256" t="inlineStr">
        <is>
          <t>CoQ-PP_26-074</t>
        </is>
      </c>
      <c r="B1081" s="256" t="inlineStr">
        <is>
          <t>P060382 (SCR012603)</t>
        </is>
      </c>
      <c r="C1081" s="256" t="inlineStr">
        <is>
          <t>release</t>
        </is>
      </c>
      <c r="D1081" s="256" t="inlineStr">
        <is>
          <t>#6</t>
        </is>
      </c>
      <c r="E1081" s="257" t="inlineStr">
        <is>
          <t>n/t</t>
        </is>
      </c>
    </row>
    <row r="1082">
      <c r="A1082" s="256" t="inlineStr">
        <is>
          <t>CoQ-PP_26-074</t>
        </is>
      </c>
      <c r="B1082" s="256" t="inlineStr">
        <is>
          <t>P060382 (SCR012603)</t>
        </is>
      </c>
      <c r="C1082" s="256" t="inlineStr">
        <is>
          <t>release</t>
        </is>
      </c>
      <c r="D1082" s="256" t="inlineStr">
        <is>
          <t>#8</t>
        </is>
      </c>
      <c r="E1082" s="257" t="inlineStr">
        <is>
          <t>n/t</t>
        </is>
      </c>
    </row>
    <row r="1083">
      <c r="A1083" s="256" t="inlineStr">
        <is>
          <t>CoQ-PP_26-074</t>
        </is>
      </c>
      <c r="B1083" s="256" t="inlineStr">
        <is>
          <t>P060382 (SCR012603)</t>
        </is>
      </c>
      <c r="C1083" s="256" t="inlineStr">
        <is>
          <t>release</t>
        </is>
      </c>
      <c r="D1083" s="256" t="inlineStr">
        <is>
          <t>#10</t>
        </is>
      </c>
      <c r="E1083" s="257" t="inlineStr">
        <is>
          <t>n/t</t>
        </is>
      </c>
    </row>
    <row r="1084">
      <c r="A1084" s="256" t="inlineStr">
        <is>
          <t>CoQ-PP_26-074</t>
        </is>
      </c>
      <c r="B1084" s="256" t="inlineStr">
        <is>
          <t>P060382 (SCR012603)</t>
        </is>
      </c>
      <c r="C1084" s="256" t="inlineStr">
        <is>
          <t>release</t>
        </is>
      </c>
      <c r="D1084" s="256" t="inlineStr">
        <is>
          <t>#11</t>
        </is>
      </c>
      <c r="E1084" s="257" t="inlineStr">
        <is>
          <t>n/t</t>
        </is>
      </c>
    </row>
    <row r="1085">
      <c r="A1085" s="256" t="inlineStr">
        <is>
          <t>CoQ-PP_26-074</t>
        </is>
      </c>
      <c r="B1085" s="256" t="inlineStr">
        <is>
          <t>P060382 (SCR012603)</t>
        </is>
      </c>
      <c r="C1085" s="256" t="inlineStr">
        <is>
          <t>release</t>
        </is>
      </c>
      <c r="D1085" s="256" t="inlineStr">
        <is>
          <t>#12</t>
        </is>
      </c>
      <c r="E1085" s="257" t="inlineStr">
        <is>
          <t>n/t</t>
        </is>
      </c>
    </row>
    <row r="1086">
      <c r="A1086" s="256" t="inlineStr">
        <is>
          <t>CoQ-PP_26-075</t>
        </is>
      </c>
      <c r="B1086" s="256" t="inlineStr">
        <is>
          <t>FB012603V</t>
        </is>
      </c>
      <c r="C1086" s="256" t="inlineStr">
        <is>
          <t>release (predicted)</t>
        </is>
      </c>
      <c r="D1086" s="256" t="inlineStr">
        <is>
          <t>#9</t>
        </is>
      </c>
      <c r="E1086" s="257" t="inlineStr">
        <is>
          <t>n/t</t>
        </is>
      </c>
    </row>
    <row r="1087">
      <c r="A1087" s="256" t="inlineStr">
        <is>
          <t>CoQ-PP_26-075</t>
        </is>
      </c>
      <c r="B1087" s="256" t="inlineStr">
        <is>
          <t>FB012603V</t>
        </is>
      </c>
      <c r="C1087" s="256" t="inlineStr">
        <is>
          <t>release (predicted)</t>
        </is>
      </c>
      <c r="D1087" s="256" t="inlineStr">
        <is>
          <t>#10</t>
        </is>
      </c>
      <c r="E1087" s="257" t="inlineStr">
        <is>
          <t>n/t</t>
        </is>
      </c>
    </row>
    <row r="1088">
      <c r="A1088" s="256" t="inlineStr">
        <is>
          <t>CoQ-PP_26-075</t>
        </is>
      </c>
      <c r="B1088" s="256" t="inlineStr">
        <is>
          <t>FB012603V</t>
        </is>
      </c>
      <c r="C1088" s="256" t="inlineStr">
        <is>
          <t>release (predicted)</t>
        </is>
      </c>
      <c r="D1088" s="256" t="inlineStr">
        <is>
          <t>#11</t>
        </is>
      </c>
      <c r="E1088" s="257" t="inlineStr">
        <is>
          <t>n/t</t>
        </is>
      </c>
    </row>
    <row r="1089">
      <c r="A1089" s="256" t="inlineStr">
        <is>
          <t>CoQ-PP_26-075</t>
        </is>
      </c>
      <c r="B1089" s="256" t="inlineStr">
        <is>
          <t>FB012603V</t>
        </is>
      </c>
      <c r="C1089" s="256" t="inlineStr">
        <is>
          <t>release (predicted)</t>
        </is>
      </c>
      <c r="D1089" s="256" t="inlineStr">
        <is>
          <t>#12</t>
        </is>
      </c>
      <c r="E1089" s="257" t="inlineStr">
        <is>
          <t>n/t</t>
        </is>
      </c>
    </row>
    <row r="1090">
      <c r="A1090" s="256" t="inlineStr">
        <is>
          <t>CoQ-PP_26-076</t>
        </is>
      </c>
      <c r="B1090" s="256" t="inlineStr">
        <is>
          <t>P060422 (JD012603/02V)</t>
        </is>
      </c>
      <c r="C1090" s="256" t="inlineStr">
        <is>
          <t>release</t>
        </is>
      </c>
      <c r="D1090" s="256" t="inlineStr">
        <is>
          <t>#10</t>
        </is>
      </c>
      <c r="E1090" s="257" t="inlineStr">
        <is>
          <t>n/t</t>
        </is>
      </c>
    </row>
    <row r="1091">
      <c r="A1091" s="256" t="inlineStr">
        <is>
          <t>CoQ-PP_26-077</t>
        </is>
      </c>
      <c r="B1091" s="256" t="inlineStr">
        <is>
          <t>P060402 (GG012603)</t>
        </is>
      </c>
      <c r="C1091" s="256" t="inlineStr">
        <is>
          <t>release</t>
        </is>
      </c>
      <c r="D1091" s="256" t="inlineStr">
        <is>
          <t>#10</t>
        </is>
      </c>
      <c r="E1091" s="257" t="inlineStr">
        <is>
          <t>3659/2026 22.06.26 IJZ; also 197-8-М/26; n/t 10.1,10.3</t>
        </is>
      </c>
    </row>
    <row r="1092">
      <c r="A1092" s="256" t="inlineStr">
        <is>
          <t>CoQ-PP_26-078</t>
        </is>
      </c>
      <c r="B1092" s="256" t="inlineStr">
        <is>
          <t>P060412 (JD012603/02)</t>
        </is>
      </c>
      <c r="C1092" s="256" t="inlineStr">
        <is>
          <t>release</t>
        </is>
      </c>
      <c r="D1092" s="256" t="inlineStr">
        <is>
          <t>#10</t>
        </is>
      </c>
      <c r="E1092" s="257" t="inlineStr">
        <is>
          <t>n/t</t>
        </is>
      </c>
    </row>
    <row r="1093">
      <c r="A1093" s="256" t="inlineStr">
        <is>
          <t>CoQ-PP_26-079</t>
        </is>
      </c>
      <c r="B1093" s="256" t="inlineStr">
        <is>
          <t>FB012603</t>
        </is>
      </c>
      <c r="C1093" s="256" t="inlineStr">
        <is>
          <t>release (predicted)</t>
        </is>
      </c>
      <c r="D1093" s="256" t="inlineStr">
        <is>
          <t>#9</t>
        </is>
      </c>
      <c r="E1093" s="257" t="inlineStr">
        <is>
          <t>n/t</t>
        </is>
      </c>
    </row>
    <row r="1094">
      <c r="A1094" s="256" t="inlineStr">
        <is>
          <t>CoQ-PP_26-079</t>
        </is>
      </c>
      <c r="B1094" s="256" t="inlineStr">
        <is>
          <t>FB012603</t>
        </is>
      </c>
      <c r="C1094" s="256" t="inlineStr">
        <is>
          <t>release (predicted)</t>
        </is>
      </c>
      <c r="D1094" s="256" t="inlineStr">
        <is>
          <t>#10</t>
        </is>
      </c>
      <c r="E1094" s="257" t="inlineStr">
        <is>
          <t>n/t</t>
        </is>
      </c>
    </row>
    <row r="1095">
      <c r="A1095" s="256" t="inlineStr">
        <is>
          <t>CoQ-PP_26-079</t>
        </is>
      </c>
      <c r="B1095" s="256" t="inlineStr">
        <is>
          <t>FB012603</t>
        </is>
      </c>
      <c r="C1095" s="256" t="inlineStr">
        <is>
          <t>release (predicted)</t>
        </is>
      </c>
      <c r="D1095" s="256" t="inlineStr">
        <is>
          <t>#11</t>
        </is>
      </c>
      <c r="E1095" s="257" t="inlineStr">
        <is>
          <t>n/t</t>
        </is>
      </c>
    </row>
    <row r="1096">
      <c r="A1096" s="256" t="inlineStr">
        <is>
          <t>CoQ-PP_26-079</t>
        </is>
      </c>
      <c r="B1096" s="256" t="inlineStr">
        <is>
          <t>FB012603</t>
        </is>
      </c>
      <c r="C1096" s="256" t="inlineStr">
        <is>
          <t>release (predicted)</t>
        </is>
      </c>
      <c r="D1096" s="256" t="inlineStr">
        <is>
          <t>#12</t>
        </is>
      </c>
      <c r="E1096" s="257" t="inlineStr">
        <is>
          <t>n/t</t>
        </is>
      </c>
    </row>
    <row r="1097">
      <c r="A1097" s="256" t="inlineStr">
        <is>
          <t>CoQ-PP_26-080</t>
        </is>
      </c>
      <c r="B1097" s="256" t="inlineStr">
        <is>
          <t>SCR022601</t>
        </is>
      </c>
      <c r="C1097" s="256" t="inlineStr">
        <is>
          <t>release (predicted)</t>
        </is>
      </c>
      <c r="D1097" s="256" t="inlineStr">
        <is>
          <t>#9</t>
        </is>
      </c>
      <c r="E1097" s="257" t="inlineStr">
        <is>
          <t>n/t</t>
        </is>
      </c>
    </row>
    <row r="1098">
      <c r="A1098" s="256" t="inlineStr">
        <is>
          <t>CoQ-PP_26-080</t>
        </is>
      </c>
      <c r="B1098" s="256" t="inlineStr">
        <is>
          <t>SCR022601</t>
        </is>
      </c>
      <c r="C1098" s="256" t="inlineStr">
        <is>
          <t>release (predicted)</t>
        </is>
      </c>
      <c r="D1098" s="256" t="inlineStr">
        <is>
          <t>#10</t>
        </is>
      </c>
      <c r="E1098" s="257" t="inlineStr">
        <is>
          <t>n/t</t>
        </is>
      </c>
    </row>
    <row r="1099">
      <c r="A1099" s="256" t="inlineStr">
        <is>
          <t>CoQ-PP_26-080</t>
        </is>
      </c>
      <c r="B1099" s="256" t="inlineStr">
        <is>
          <t>SCR022601</t>
        </is>
      </c>
      <c r="C1099" s="256" t="inlineStr">
        <is>
          <t>release (predicted)</t>
        </is>
      </c>
      <c r="D1099" s="256" t="inlineStr">
        <is>
          <t>#11</t>
        </is>
      </c>
      <c r="E1099" s="257" t="inlineStr">
        <is>
          <t>n/t</t>
        </is>
      </c>
    </row>
    <row r="1100">
      <c r="A1100" s="256" t="inlineStr">
        <is>
          <t>CoQ-PP_26-080</t>
        </is>
      </c>
      <c r="B1100" s="256" t="inlineStr">
        <is>
          <t>SCR022601</t>
        </is>
      </c>
      <c r="C1100" s="256" t="inlineStr">
        <is>
          <t>release (predicted)</t>
        </is>
      </c>
      <c r="D1100" s="256" t="inlineStr">
        <is>
          <t>#12</t>
        </is>
      </c>
      <c r="E1100" s="257" t="inlineStr">
        <is>
          <t>n/t</t>
        </is>
      </c>
    </row>
    <row r="1101">
      <c r="A1101" s="256" t="inlineStr">
        <is>
          <t>CoQ-PP_26-081</t>
        </is>
      </c>
      <c r="B1101" s="256" t="inlineStr">
        <is>
          <t>FB032601</t>
        </is>
      </c>
      <c r="C1101" s="256" t="inlineStr">
        <is>
          <t>release (predicted)</t>
        </is>
      </c>
      <c r="D1101" s="256" t="inlineStr">
        <is>
          <t>#9</t>
        </is>
      </c>
      <c r="E1101" s="257" t="inlineStr">
        <is>
          <t>n/t</t>
        </is>
      </c>
    </row>
    <row r="1102">
      <c r="A1102" s="256" t="inlineStr">
        <is>
          <t>CoQ-PP_26-081</t>
        </is>
      </c>
      <c r="B1102" s="256" t="inlineStr">
        <is>
          <t>FB032601</t>
        </is>
      </c>
      <c r="C1102" s="256" t="inlineStr">
        <is>
          <t>release (predicted)</t>
        </is>
      </c>
      <c r="D1102" s="256" t="inlineStr">
        <is>
          <t>#10</t>
        </is>
      </c>
      <c r="E1102" s="257" t="inlineStr">
        <is>
          <t>n/t</t>
        </is>
      </c>
    </row>
    <row r="1103">
      <c r="A1103" s="256" t="inlineStr">
        <is>
          <t>CoQ-PP_26-081</t>
        </is>
      </c>
      <c r="B1103" s="256" t="inlineStr">
        <is>
          <t>FB032601</t>
        </is>
      </c>
      <c r="C1103" s="256" t="inlineStr">
        <is>
          <t>release (predicted)</t>
        </is>
      </c>
      <c r="D1103" s="256" t="inlineStr">
        <is>
          <t>#11</t>
        </is>
      </c>
      <c r="E1103" s="257" t="inlineStr">
        <is>
          <t>n/t</t>
        </is>
      </c>
    </row>
    <row r="1104">
      <c r="A1104" s="256" t="inlineStr">
        <is>
          <t>CoQ-PP_26-081</t>
        </is>
      </c>
      <c r="B1104" s="256" t="inlineStr">
        <is>
          <t>FB032601</t>
        </is>
      </c>
      <c r="C1104" s="256" t="inlineStr">
        <is>
          <t>release (predicted)</t>
        </is>
      </c>
      <c r="D1104" s="256" t="inlineStr">
        <is>
          <t>#12</t>
        </is>
      </c>
      <c r="E1104" s="257" t="inlineStr">
        <is>
          <t>n/t</t>
        </is>
      </c>
    </row>
    <row r="1105">
      <c r="A1105" s="256" t="inlineStr">
        <is>
          <t>CoQ-PP_26-082</t>
        </is>
      </c>
      <c r="B1105" s="256" t="inlineStr">
        <is>
          <t>GG032601</t>
        </is>
      </c>
      <c r="C1105" s="256" t="inlineStr">
        <is>
          <t>release (predicted)</t>
        </is>
      </c>
      <c r="D1105" s="256" t="inlineStr">
        <is>
          <t>#9</t>
        </is>
      </c>
      <c r="E1105" s="257" t="inlineStr">
        <is>
          <t>n/t</t>
        </is>
      </c>
    </row>
    <row r="1106">
      <c r="A1106" s="256" t="inlineStr">
        <is>
          <t>CoQ-PP_26-082</t>
        </is>
      </c>
      <c r="B1106" s="256" t="inlineStr">
        <is>
          <t>GG032601</t>
        </is>
      </c>
      <c r="C1106" s="256" t="inlineStr">
        <is>
          <t>release (predicted)</t>
        </is>
      </c>
      <c r="D1106" s="256" t="inlineStr">
        <is>
          <t>#10</t>
        </is>
      </c>
      <c r="E1106" s="257" t="inlineStr">
        <is>
          <t>n/t</t>
        </is>
      </c>
    </row>
    <row r="1107">
      <c r="A1107" s="256" t="inlineStr">
        <is>
          <t>CoQ-PP_26-082</t>
        </is>
      </c>
      <c r="B1107" s="256" t="inlineStr">
        <is>
          <t>GG032601</t>
        </is>
      </c>
      <c r="C1107" s="256" t="inlineStr">
        <is>
          <t>release (predicted)</t>
        </is>
      </c>
      <c r="D1107" s="256" t="inlineStr">
        <is>
          <t>#11</t>
        </is>
      </c>
      <c r="E1107" s="257" t="inlineStr">
        <is>
          <t>n/t</t>
        </is>
      </c>
    </row>
    <row r="1108">
      <c r="A1108" s="256" t="inlineStr">
        <is>
          <t>CoQ-PP_26-082</t>
        </is>
      </c>
      <c r="B1108" s="256" t="inlineStr">
        <is>
          <t>GG032601</t>
        </is>
      </c>
      <c r="C1108" s="256" t="inlineStr">
        <is>
          <t>release (predicted)</t>
        </is>
      </c>
      <c r="D1108" s="256" t="inlineStr">
        <is>
          <t>#12</t>
        </is>
      </c>
      <c r="E1108" s="257" t="inlineStr">
        <is>
          <t>n/t</t>
        </is>
      </c>
    </row>
    <row r="1109">
      <c r="A1109" s="256" t="inlineStr">
        <is>
          <t>CoQ-PP_26-083</t>
        </is>
      </c>
      <c r="B1109" s="256" t="inlineStr">
        <is>
          <t>JD022601</t>
        </is>
      </c>
      <c r="C1109" s="256" t="inlineStr">
        <is>
          <t>release (predicted)</t>
        </is>
      </c>
      <c r="D1109" s="256" t="inlineStr">
        <is>
          <t>#9</t>
        </is>
      </c>
      <c r="E1109" s="257" t="inlineStr">
        <is>
          <t>n/t</t>
        </is>
      </c>
    </row>
    <row r="1110">
      <c r="A1110" s="256" t="inlineStr">
        <is>
          <t>CoQ-PP_26-083</t>
        </is>
      </c>
      <c r="B1110" s="256" t="inlineStr">
        <is>
          <t>JD022601</t>
        </is>
      </c>
      <c r="C1110" s="256" t="inlineStr">
        <is>
          <t>release (predicted)</t>
        </is>
      </c>
      <c r="D1110" s="256" t="inlineStr">
        <is>
          <t>#10</t>
        </is>
      </c>
      <c r="E1110" s="257" t="inlineStr">
        <is>
          <t>n/t</t>
        </is>
      </c>
    </row>
    <row r="1111">
      <c r="A1111" s="256" t="inlineStr">
        <is>
          <t>CoQ-PP_26-083</t>
        </is>
      </c>
      <c r="B1111" s="256" t="inlineStr">
        <is>
          <t>JD022601</t>
        </is>
      </c>
      <c r="C1111" s="256" t="inlineStr">
        <is>
          <t>release (predicted)</t>
        </is>
      </c>
      <c r="D1111" s="256" t="inlineStr">
        <is>
          <t>#11</t>
        </is>
      </c>
      <c r="E1111" s="257" t="inlineStr">
        <is>
          <t>n/t</t>
        </is>
      </c>
    </row>
    <row r="1112">
      <c r="A1112" s="256" t="inlineStr">
        <is>
          <t>CoQ-PP_26-083</t>
        </is>
      </c>
      <c r="B1112" s="256" t="inlineStr">
        <is>
          <t>JD022601</t>
        </is>
      </c>
      <c r="C1112" s="256" t="inlineStr">
        <is>
          <t>release (predicted)</t>
        </is>
      </c>
      <c r="D1112" s="256" t="inlineStr">
        <is>
          <t>#12</t>
        </is>
      </c>
      <c r="E1112" s="257" t="inlineStr">
        <is>
          <t>n/t</t>
        </is>
      </c>
    </row>
    <row r="1113">
      <c r="A1113" s="256" t="inlineStr">
        <is>
          <t>CoQ-PP_26-084</t>
        </is>
      </c>
      <c r="B1113" s="256" t="inlineStr">
        <is>
          <t>P060492 (JD042601)</t>
        </is>
      </c>
      <c r="C1113" s="256" t="inlineStr">
        <is>
          <t>release (predicted)</t>
        </is>
      </c>
      <c r="D1113" s="256" t="inlineStr">
        <is>
          <t>#4</t>
        </is>
      </c>
      <c r="E1113" s="257" t="inlineStr">
        <is>
          <t>n/t</t>
        </is>
      </c>
    </row>
    <row r="1114">
      <c r="A1114" s="256" t="inlineStr">
        <is>
          <t>CoQ-PP_26-084</t>
        </is>
      </c>
      <c r="B1114" s="256" t="inlineStr">
        <is>
          <t>P060492 (JD042601)</t>
        </is>
      </c>
      <c r="C1114" s="256" t="inlineStr">
        <is>
          <t>release (predicted)</t>
        </is>
      </c>
      <c r="D1114" s="256" t="inlineStr">
        <is>
          <t>#5</t>
        </is>
      </c>
      <c r="E1114" s="257" t="inlineStr">
        <is>
          <t>n/t</t>
        </is>
      </c>
    </row>
    <row r="1115">
      <c r="A1115" s="256" t="inlineStr">
        <is>
          <t>CoQ-PP_26-084</t>
        </is>
      </c>
      <c r="B1115" s="256" t="inlineStr">
        <is>
          <t>P060492 (JD042601)</t>
        </is>
      </c>
      <c r="C1115" s="256" t="inlineStr">
        <is>
          <t>release (predicted)</t>
        </is>
      </c>
      <c r="D1115" s="256" t="inlineStr">
        <is>
          <t>#6</t>
        </is>
      </c>
      <c r="E1115" s="257" t="inlineStr">
        <is>
          <t>n/t</t>
        </is>
      </c>
    </row>
    <row r="1116">
      <c r="A1116" s="256" t="inlineStr">
        <is>
          <t>CoQ-PP_26-084</t>
        </is>
      </c>
      <c r="B1116" s="256" t="inlineStr">
        <is>
          <t>P060492 (JD042601)</t>
        </is>
      </c>
      <c r="C1116" s="256" t="inlineStr">
        <is>
          <t>release (predicted)</t>
        </is>
      </c>
      <c r="D1116" s="256" t="inlineStr">
        <is>
          <t>#8</t>
        </is>
      </c>
      <c r="E1116" s="257" t="inlineStr">
        <is>
          <t>n/t</t>
        </is>
      </c>
    </row>
    <row r="1117">
      <c r="A1117" s="256" t="inlineStr">
        <is>
          <t>CoQ-PP_26-084</t>
        </is>
      </c>
      <c r="B1117" s="256" t="inlineStr">
        <is>
          <t>P060492 (JD042601)</t>
        </is>
      </c>
      <c r="C1117" s="256" t="inlineStr">
        <is>
          <t>release (predicted)</t>
        </is>
      </c>
      <c r="D1117" s="256" t="inlineStr">
        <is>
          <t>#9</t>
        </is>
      </c>
      <c r="E1117" s="257" t="inlineStr">
        <is>
          <t>n/t</t>
        </is>
      </c>
    </row>
    <row r="1118">
      <c r="A1118" s="256" t="inlineStr">
        <is>
          <t>CoQ-PP_26-084</t>
        </is>
      </c>
      <c r="B1118" s="256" t="inlineStr">
        <is>
          <t>P060492 (JD042601)</t>
        </is>
      </c>
      <c r="C1118" s="256" t="inlineStr">
        <is>
          <t>release (predicted)</t>
        </is>
      </c>
      <c r="D1118" s="256" t="inlineStr">
        <is>
          <t>#10</t>
        </is>
      </c>
      <c r="E1118" s="257" t="inlineStr">
        <is>
          <t>n/t</t>
        </is>
      </c>
    </row>
    <row r="1119">
      <c r="A1119" s="256" t="inlineStr">
        <is>
          <t>CoQ-PP_26-084</t>
        </is>
      </c>
      <c r="B1119" s="256" t="inlineStr">
        <is>
          <t>P060492 (JD042601)</t>
        </is>
      </c>
      <c r="C1119" s="256" t="inlineStr">
        <is>
          <t>release (predicted)</t>
        </is>
      </c>
      <c r="D1119" s="256" t="inlineStr">
        <is>
          <t>#11</t>
        </is>
      </c>
      <c r="E1119" s="257" t="inlineStr">
        <is>
          <t>n/t</t>
        </is>
      </c>
    </row>
    <row r="1120">
      <c r="A1120" s="256" t="inlineStr">
        <is>
          <t>CoQ-PP_26-084</t>
        </is>
      </c>
      <c r="B1120" s="256" t="inlineStr">
        <is>
          <t>P060492 (JD042601)</t>
        </is>
      </c>
      <c r="C1120" s="256" t="inlineStr">
        <is>
          <t>release (predicted)</t>
        </is>
      </c>
      <c r="D1120" s="256" t="inlineStr">
        <is>
          <t>#12</t>
        </is>
      </c>
      <c r="E1120" s="257" t="inlineStr">
        <is>
          <t>n/t</t>
        </is>
      </c>
    </row>
    <row r="1121">
      <c r="A1121" s="256" t="inlineStr">
        <is>
          <t>CoQ-PP_26-087</t>
        </is>
      </c>
      <c r="B1121" s="256" t="inlineStr">
        <is>
          <t>P060332</t>
        </is>
      </c>
      <c r="C1121" s="256" t="inlineStr">
        <is>
          <t>retest (predicted)</t>
        </is>
      </c>
      <c r="D1121" s="256" t="inlineStr">
        <is>
          <t>#8</t>
        </is>
      </c>
      <c r="E1121" s="257" t="inlineStr">
        <is>
          <t>n/t (initial)</t>
        </is>
      </c>
    </row>
    <row r="1122">
      <c r="A1122" s="256" t="inlineStr">
        <is>
          <t>CoQ-PP_26-087</t>
        </is>
      </c>
      <c r="B1122" s="256" t="inlineStr">
        <is>
          <t>P060332</t>
        </is>
      </c>
      <c r="C1122" s="256" t="inlineStr">
        <is>
          <t>retest (predicted)</t>
        </is>
      </c>
      <c r="D1122" s="256" t="inlineStr">
        <is>
          <t>#11</t>
        </is>
      </c>
      <c r="E1122" s="257" t="inlineStr">
        <is>
          <t>n/t (initial)</t>
        </is>
      </c>
    </row>
    <row r="1123">
      <c r="A1123" s="256" t="inlineStr">
        <is>
          <t>CoQ-PP_26-087</t>
        </is>
      </c>
      <c r="B1123" s="256" t="inlineStr">
        <is>
          <t>P060332</t>
        </is>
      </c>
      <c r="C1123" s="256" t="inlineStr">
        <is>
          <t>retest (predicted)</t>
        </is>
      </c>
      <c r="D1123" s="256" t="inlineStr">
        <is>
          <t>#12</t>
        </is>
      </c>
      <c r="E1123" s="257" t="inlineStr">
        <is>
          <t>n/t (initial)</t>
        </is>
      </c>
    </row>
    <row r="1124">
      <c r="A1124" s="256" t="inlineStr">
        <is>
          <t>CoQ-PP_26-090</t>
        </is>
      </c>
      <c r="B1124" s="256" t="inlineStr">
        <is>
          <t>P060352 (FB012602)</t>
        </is>
      </c>
      <c r="C1124" s="256" t="inlineStr">
        <is>
          <t>retest (predicted)</t>
        </is>
      </c>
      <c r="D1124" s="256" t="inlineStr">
        <is>
          <t>#8</t>
        </is>
      </c>
      <c r="E1124" s="257" t="inlineStr">
        <is>
          <t>n/t (initial)</t>
        </is>
      </c>
    </row>
    <row r="1125">
      <c r="A1125" s="256" t="inlineStr">
        <is>
          <t>CoQ-PP_26-090</t>
        </is>
      </c>
      <c r="B1125" s="256" t="inlineStr">
        <is>
          <t>P060352 (FB012602)</t>
        </is>
      </c>
      <c r="C1125" s="256" t="inlineStr">
        <is>
          <t>retest (predicted)</t>
        </is>
      </c>
      <c r="D1125" s="256" t="inlineStr">
        <is>
          <t>#11</t>
        </is>
      </c>
      <c r="E1125" s="257" t="inlineStr">
        <is>
          <t>n/t (initial)</t>
        </is>
      </c>
    </row>
    <row r="1126">
      <c r="A1126" s="256" t="inlineStr">
        <is>
          <t>CoQ-PP_26-090</t>
        </is>
      </c>
      <c r="B1126" s="256" t="inlineStr">
        <is>
          <t>P060352 (FB012602)</t>
        </is>
      </c>
      <c r="C1126" s="256" t="inlineStr">
        <is>
          <t>retest (predicted)</t>
        </is>
      </c>
      <c r="D1126" s="256" t="inlineStr">
        <is>
          <t>#12</t>
        </is>
      </c>
      <c r="E1126" s="257" t="inlineStr">
        <is>
          <t>n/t (initial)</t>
        </is>
      </c>
    </row>
    <row r="1127">
      <c r="A1127" s="256" t="inlineStr">
        <is>
          <t>CoQ-PP_26-096</t>
        </is>
      </c>
      <c r="B1127" s="256" t="inlineStr">
        <is>
          <t>HPA1024</t>
        </is>
      </c>
      <c r="C1127" s="256" t="inlineStr">
        <is>
          <t>retest</t>
        </is>
      </c>
      <c r="D1127" s="256" t="inlineStr">
        <is>
          <t>#8</t>
        </is>
      </c>
      <c r="E1127" s="257" t="inlineStr">
        <is>
          <t>n/t (initial)</t>
        </is>
      </c>
    </row>
    <row r="1128">
      <c r="A1128" s="256" t="inlineStr">
        <is>
          <t>CoQ-PP_26-100</t>
        </is>
      </c>
      <c r="B1128" s="256" t="inlineStr">
        <is>
          <t>OPM1024</t>
        </is>
      </c>
      <c r="C1128" s="256" t="inlineStr">
        <is>
          <t>retest</t>
        </is>
      </c>
      <c r="D1128" s="256" t="inlineStr">
        <is>
          <t>#8</t>
        </is>
      </c>
      <c r="E1128" s="257" t="inlineStr">
        <is>
          <t>n/t (initial)</t>
        </is>
      </c>
    </row>
    <row r="1129">
      <c r="A1129" s="256" t="inlineStr">
        <is>
          <t>CoQ-PP_26-104</t>
        </is>
      </c>
      <c r="B1129" s="256" t="inlineStr">
        <is>
          <t>P060382 (SCR012603)</t>
        </is>
      </c>
      <c r="C1129" s="256" t="inlineStr">
        <is>
          <t>retest (predicted)</t>
        </is>
      </c>
      <c r="D1129" s="256" t="inlineStr">
        <is>
          <t>#8</t>
        </is>
      </c>
      <c r="E1129" s="257" t="inlineStr">
        <is>
          <t>n/t (initial)</t>
        </is>
      </c>
    </row>
    <row r="1130">
      <c r="A1130" s="256" t="inlineStr">
        <is>
          <t>CoQ-PP_26-104</t>
        </is>
      </c>
      <c r="B1130" s="256" t="inlineStr">
        <is>
          <t>P060382 (SCR012603)</t>
        </is>
      </c>
      <c r="C1130" s="256" t="inlineStr">
        <is>
          <t>retest (predicted)</t>
        </is>
      </c>
      <c r="D1130" s="256" t="inlineStr">
        <is>
          <t>#11</t>
        </is>
      </c>
      <c r="E1130" s="257" t="inlineStr">
        <is>
          <t>n/t (initial)</t>
        </is>
      </c>
    </row>
    <row r="1131">
      <c r="A1131" s="256" t="inlineStr">
        <is>
          <t>CoQ-PP_26-104</t>
        </is>
      </c>
      <c r="B1131" s="256" t="inlineStr">
        <is>
          <t>P060382 (SCR012603)</t>
        </is>
      </c>
      <c r="C1131" s="256" t="inlineStr">
        <is>
          <t>retest (predicted)</t>
        </is>
      </c>
      <c r="D1131" s="256" t="inlineStr">
        <is>
          <t>#12</t>
        </is>
      </c>
      <c r="E1131" s="257" t="inlineStr">
        <is>
          <t>n/t (initial)</t>
        </is>
      </c>
    </row>
    <row r="1132">
      <c r="A1132" s="256" t="inlineStr">
        <is>
          <t>CoQ-PP_26-108</t>
        </is>
      </c>
      <c r="B1132" s="256" t="inlineStr">
        <is>
          <t>P060372 (CC012603)</t>
        </is>
      </c>
      <c r="C1132" s="256" t="inlineStr">
        <is>
          <t>retest (predicted)</t>
        </is>
      </c>
      <c r="D1132" s="256" t="inlineStr">
        <is>
          <t>#8</t>
        </is>
      </c>
      <c r="E1132" s="257" t="inlineStr">
        <is>
          <t>n/t (initial)</t>
        </is>
      </c>
    </row>
    <row r="1133">
      <c r="A1133" s="256" t="inlineStr">
        <is>
          <t>CoQ-PP_26-108</t>
        </is>
      </c>
      <c r="B1133" s="256" t="inlineStr">
        <is>
          <t>P060372 (CC012603)</t>
        </is>
      </c>
      <c r="C1133" s="256" t="inlineStr">
        <is>
          <t>retest (predicted)</t>
        </is>
      </c>
      <c r="D1133" s="256" t="inlineStr">
        <is>
          <t>#11</t>
        </is>
      </c>
      <c r="E1133" s="257" t="inlineStr">
        <is>
          <t>n/t (initial)</t>
        </is>
      </c>
    </row>
    <row r="1134">
      <c r="A1134" s="256" t="inlineStr">
        <is>
          <t>CoQ-PP_26-108</t>
        </is>
      </c>
      <c r="B1134" s="256" t="inlineStr">
        <is>
          <t>P060372 (CC012603)</t>
        </is>
      </c>
      <c r="C1134" s="256" t="inlineStr">
        <is>
          <t>retest (predicted)</t>
        </is>
      </c>
      <c r="D1134" s="256" t="inlineStr">
        <is>
          <t>#12</t>
        </is>
      </c>
      <c r="E1134" s="257" t="inlineStr">
        <is>
          <t>n/t (initial)</t>
        </is>
      </c>
    </row>
    <row r="1135">
      <c r="A1135" s="256" t="inlineStr">
        <is>
          <t>CoQ-PP_26-122</t>
        </is>
      </c>
      <c r="B1135" s="256" t="inlineStr">
        <is>
          <t>P060362 (JD012603/01)</t>
        </is>
      </c>
      <c r="C1135" s="256" t="inlineStr">
        <is>
          <t>retest (predicted)</t>
        </is>
      </c>
      <c r="D1135" s="256" t="inlineStr">
        <is>
          <t>#8</t>
        </is>
      </c>
      <c r="E1135" s="257" t="inlineStr">
        <is>
          <t>n/t (initial)</t>
        </is>
      </c>
    </row>
    <row r="1136">
      <c r="A1136" s="256" t="inlineStr">
        <is>
          <t>CoQ-PP_26-122</t>
        </is>
      </c>
      <c r="B1136" s="256" t="inlineStr">
        <is>
          <t>P060362 (JD012603/01)</t>
        </is>
      </c>
      <c r="C1136" s="256" t="inlineStr">
        <is>
          <t>retest (predicted)</t>
        </is>
      </c>
      <c r="D1136" s="256" t="inlineStr">
        <is>
          <t>#11</t>
        </is>
      </c>
      <c r="E1136" s="257" t="inlineStr">
        <is>
          <t>n/t (initial)</t>
        </is>
      </c>
    </row>
    <row r="1137">
      <c r="A1137" s="256" t="inlineStr">
        <is>
          <t>CoQ-PP_26-122</t>
        </is>
      </c>
      <c r="B1137" s="256" t="inlineStr">
        <is>
          <t>P060362 (JD012603/01)</t>
        </is>
      </c>
      <c r="C1137" s="256" t="inlineStr">
        <is>
          <t>retest (predicted)</t>
        </is>
      </c>
      <c r="D1137" s="256" t="inlineStr">
        <is>
          <t>#12</t>
        </is>
      </c>
      <c r="E1137" s="257" t="inlineStr">
        <is>
          <t>n/t (initial)</t>
        </is>
      </c>
    </row>
    <row r="1138">
      <c r="A1138" s="256" t="inlineStr">
        <is>
          <t>CoQ-PP_26-125</t>
        </is>
      </c>
      <c r="B1138" s="256" t="inlineStr">
        <is>
          <t>P060492 (JD042601)</t>
        </is>
      </c>
      <c r="C1138" s="256" t="inlineStr">
        <is>
          <t>retest (predicted)</t>
        </is>
      </c>
      <c r="D1138" s="256" t="inlineStr">
        <is>
          <t>#8</t>
        </is>
      </c>
      <c r="E1138" s="257" t="inlineStr">
        <is>
          <t>n/t (initial)</t>
        </is>
      </c>
    </row>
    <row r="1139">
      <c r="A1139" s="256" t="inlineStr">
        <is>
          <t>CoQ-PP_26-125</t>
        </is>
      </c>
      <c r="B1139" s="256" t="inlineStr">
        <is>
          <t>P060492 (JD042601)</t>
        </is>
      </c>
      <c r="C1139" s="256" t="inlineStr">
        <is>
          <t>retest (predicted)</t>
        </is>
      </c>
      <c r="D1139" s="256" t="inlineStr">
        <is>
          <t>#9</t>
        </is>
      </c>
      <c r="E1139" s="257" t="inlineStr">
        <is>
          <t>n/t (initial)</t>
        </is>
      </c>
    </row>
    <row r="1140">
      <c r="A1140" s="256" t="inlineStr">
        <is>
          <t>CoQ-PP_26-125</t>
        </is>
      </c>
      <c r="B1140" s="256" t="inlineStr">
        <is>
          <t>P060492 (JD042601)</t>
        </is>
      </c>
      <c r="C1140" s="256" t="inlineStr">
        <is>
          <t>retest (predicted)</t>
        </is>
      </c>
      <c r="D1140" s="256" t="inlineStr">
        <is>
          <t>#11</t>
        </is>
      </c>
      <c r="E1140" s="257" t="inlineStr">
        <is>
          <t>n/t (initial)</t>
        </is>
      </c>
    </row>
    <row r="1141">
      <c r="A1141" s="256" t="inlineStr">
        <is>
          <t>CoQ-PP_26-125</t>
        </is>
      </c>
      <c r="B1141" s="256" t="inlineStr">
        <is>
          <t>P060492 (JD042601)</t>
        </is>
      </c>
      <c r="C1141" s="256" t="inlineStr">
        <is>
          <t>retest (predicted)</t>
        </is>
      </c>
      <c r="D1141" s="256" t="inlineStr">
        <is>
          <t>#12</t>
        </is>
      </c>
      <c r="E1141" s="257" t="inlineStr">
        <is>
          <t>n/t (initial)</t>
        </is>
      </c>
    </row>
    <row r="1142">
      <c r="A1142" s="256" t="inlineStr">
        <is>
          <t>CoQ-PP_26-138</t>
        </is>
      </c>
      <c r="B1142" s="256" t="inlineStr">
        <is>
          <t>P050142 (BSS1024_01/2)</t>
        </is>
      </c>
      <c r="C1142" s="256" t="inlineStr">
        <is>
          <t>retest (predicted)</t>
        </is>
      </c>
      <c r="D1142" s="256" t="inlineStr">
        <is>
          <t>#8</t>
        </is>
      </c>
      <c r="E1142" s="257" t="inlineStr">
        <is>
          <t>n/t (initial)</t>
        </is>
      </c>
    </row>
    <row r="1143">
      <c r="A1143" s="256" t="inlineStr">
        <is>
          <t>CoQ-PP_26-138</t>
        </is>
      </c>
      <c r="B1143" s="256" t="inlineStr">
        <is>
          <t>P050142 (BSS1024_01/2)</t>
        </is>
      </c>
      <c r="C1143" s="256" t="inlineStr">
        <is>
          <t>retest (predicted)</t>
        </is>
      </c>
      <c r="D1143" s="256" t="inlineStr">
        <is>
          <t>#11</t>
        </is>
      </c>
      <c r="E1143" s="257" t="inlineStr">
        <is>
          <t>n/t (initial)</t>
        </is>
      </c>
    </row>
    <row r="1144">
      <c r="A1144" s="256" t="inlineStr">
        <is>
          <t>CoQ-PP_26-138</t>
        </is>
      </c>
      <c r="B1144" s="256" t="inlineStr">
        <is>
          <t>P050142 (BSS1024_01/2)</t>
        </is>
      </c>
      <c r="C1144" s="256" t="inlineStr">
        <is>
          <t>retest (predicted)</t>
        </is>
      </c>
      <c r="D1144" s="256" t="inlineStr">
        <is>
          <t>#12</t>
        </is>
      </c>
      <c r="E1144" s="257" t="inlineStr">
        <is>
          <t>n/t (initial)</t>
        </is>
      </c>
    </row>
    <row r="1145">
      <c r="A1145" s="256" t="inlineStr">
        <is>
          <t>CoQ-PP_26-143</t>
        </is>
      </c>
      <c r="B1145" s="256" t="inlineStr">
        <is>
          <t>FB012603</t>
        </is>
      </c>
      <c r="C1145" s="256" t="inlineStr">
        <is>
          <t>retest (predicted)</t>
        </is>
      </c>
      <c r="D1145" s="256" t="inlineStr">
        <is>
          <t>#11</t>
        </is>
      </c>
      <c r="E1145" s="257" t="inlineStr">
        <is>
          <t>n/t (initial)</t>
        </is>
      </c>
    </row>
    <row r="1146">
      <c r="A1146" s="256" t="inlineStr">
        <is>
          <t>CoQ-PP_26-143</t>
        </is>
      </c>
      <c r="B1146" s="256" t="inlineStr">
        <is>
          <t>FB012603</t>
        </is>
      </c>
      <c r="C1146" s="256" t="inlineStr">
        <is>
          <t>retest (predicted)</t>
        </is>
      </c>
      <c r="D1146" s="256" t="inlineStr">
        <is>
          <t>#12</t>
        </is>
      </c>
      <c r="E1146" s="257" t="inlineStr">
        <is>
          <t>n/t (initial)</t>
        </is>
      </c>
    </row>
    <row r="1147">
      <c r="A1147" s="256" t="inlineStr">
        <is>
          <t>CoQ-PP_26-144</t>
        </is>
      </c>
      <c r="B1147" s="256" t="inlineStr">
        <is>
          <t>FB012603V</t>
        </is>
      </c>
      <c r="C1147" s="256" t="inlineStr">
        <is>
          <t>retest (predicted)</t>
        </is>
      </c>
      <c r="D1147" s="256" t="inlineStr">
        <is>
          <t>#11</t>
        </is>
      </c>
      <c r="E1147" s="257" t="inlineStr">
        <is>
          <t>n/t (initial)</t>
        </is>
      </c>
    </row>
    <row r="1148">
      <c r="A1148" s="256" t="inlineStr">
        <is>
          <t>CoQ-PP_26-144</t>
        </is>
      </c>
      <c r="B1148" s="256" t="inlineStr">
        <is>
          <t>FB012603V</t>
        </is>
      </c>
      <c r="C1148" s="256" t="inlineStr">
        <is>
          <t>retest (predicted)</t>
        </is>
      </c>
      <c r="D1148" s="256" t="inlineStr">
        <is>
          <t>#12</t>
        </is>
      </c>
      <c r="E1148" s="257" t="inlineStr">
        <is>
          <t>n/t (initial)</t>
        </is>
      </c>
    </row>
    <row r="1149">
      <c r="A1149" s="256" t="inlineStr">
        <is>
          <t>CoQ-PP_26-152</t>
        </is>
      </c>
      <c r="B1149" s="256" t="inlineStr">
        <is>
          <t>P060142 (GRC102501/1)</t>
        </is>
      </c>
      <c r="C1149" s="256" t="inlineStr">
        <is>
          <t>retest (predicted)</t>
        </is>
      </c>
      <c r="D1149" s="256" t="inlineStr">
        <is>
          <t>#8</t>
        </is>
      </c>
      <c r="E1149" s="257" t="inlineStr">
        <is>
          <t>n/t (initial)</t>
        </is>
      </c>
    </row>
    <row r="1150">
      <c r="A1150" s="256" t="inlineStr">
        <is>
          <t>CoQ-PP_26-152</t>
        </is>
      </c>
      <c r="B1150" s="256" t="inlineStr">
        <is>
          <t>P060142 (GRC102501/1)</t>
        </is>
      </c>
      <c r="C1150" s="256" t="inlineStr">
        <is>
          <t>retest (predicted)</t>
        </is>
      </c>
      <c r="D1150" s="256" t="inlineStr">
        <is>
          <t>#11</t>
        </is>
      </c>
      <c r="E1150" s="257" t="inlineStr">
        <is>
          <t>n/t (initial)</t>
        </is>
      </c>
    </row>
    <row r="1151">
      <c r="A1151" s="256" t="inlineStr">
        <is>
          <t>CoQ-PP_26-152</t>
        </is>
      </c>
      <c r="B1151" s="256" t="inlineStr">
        <is>
          <t>P060142 (GRC102501/1)</t>
        </is>
      </c>
      <c r="C1151" s="256" t="inlineStr">
        <is>
          <t>retest (predicted)</t>
        </is>
      </c>
      <c r="D1151" s="256" t="inlineStr">
        <is>
          <t>#12</t>
        </is>
      </c>
      <c r="E1151" s="257" t="inlineStr">
        <is>
          <t>n/t (initial)</t>
        </is>
      </c>
    </row>
    <row r="1152">
      <c r="A1152" s="256" t="inlineStr">
        <is>
          <t>CoQ-PP_26-153</t>
        </is>
      </c>
      <c r="B1152" s="256" t="inlineStr">
        <is>
          <t>J31112501</t>
        </is>
      </c>
      <c r="C1152" s="256" t="inlineStr">
        <is>
          <t>retest (predicted)</t>
        </is>
      </c>
      <c r="D1152" s="256" t="inlineStr">
        <is>
          <t>#11</t>
        </is>
      </c>
      <c r="E1152" s="257" t="inlineStr">
        <is>
          <t>n/t (initial)</t>
        </is>
      </c>
    </row>
    <row r="1153">
      <c r="A1153" s="256" t="inlineStr">
        <is>
          <t>CoQ-PP_26-153</t>
        </is>
      </c>
      <c r="B1153" s="256" t="inlineStr">
        <is>
          <t>J31112501</t>
        </is>
      </c>
      <c r="C1153" s="256" t="inlineStr">
        <is>
          <t>retest (predicted)</t>
        </is>
      </c>
      <c r="D1153" s="256" t="inlineStr">
        <is>
          <t>#12</t>
        </is>
      </c>
      <c r="E1153" s="257" t="inlineStr">
        <is>
          <t>n/t (initial)</t>
        </is>
      </c>
    </row>
    <row r="1154">
      <c r="A1154" s="256" t="inlineStr">
        <is>
          <t>CoQ-PP_26-158</t>
        </is>
      </c>
      <c r="B1154" s="256" t="inlineStr">
        <is>
          <t>OPM112501</t>
        </is>
      </c>
      <c r="C1154" s="256" t="inlineStr">
        <is>
          <t>retest (predicted)</t>
        </is>
      </c>
      <c r="D1154" s="256" t="inlineStr">
        <is>
          <t>#11</t>
        </is>
      </c>
      <c r="E1154" s="257" t="inlineStr">
        <is>
          <t>n/t (initial)</t>
        </is>
      </c>
    </row>
    <row r="1155">
      <c r="A1155" s="256" t="inlineStr">
        <is>
          <t>CoQ-PP_26-158</t>
        </is>
      </c>
      <c r="B1155" s="256" t="inlineStr">
        <is>
          <t>OPM112501</t>
        </is>
      </c>
      <c r="C1155" s="256" t="inlineStr">
        <is>
          <t>retest (predicted)</t>
        </is>
      </c>
      <c r="D1155" s="256" t="inlineStr">
        <is>
          <t>#12</t>
        </is>
      </c>
      <c r="E1155" s="257" t="inlineStr">
        <is>
          <t>n/t (initial)</t>
        </is>
      </c>
    </row>
    <row r="1156">
      <c r="A1156" s="256" t="inlineStr">
        <is>
          <t>CoQ-PP_26-160</t>
        </is>
      </c>
      <c r="B1156" s="256" t="inlineStr">
        <is>
          <t>P060342 (SCR012601)</t>
        </is>
      </c>
      <c r="C1156" s="256" t="inlineStr">
        <is>
          <t>retest (predicted)</t>
        </is>
      </c>
      <c r="D1156" s="256" t="inlineStr">
        <is>
          <t>#8</t>
        </is>
      </c>
      <c r="E1156" s="257" t="inlineStr">
        <is>
          <t>n/t (initial)</t>
        </is>
      </c>
    </row>
    <row r="1157">
      <c r="A1157" s="256" t="inlineStr">
        <is>
          <t>CoQ-PP_26-160</t>
        </is>
      </c>
      <c r="B1157" s="256" t="inlineStr">
        <is>
          <t>P060342 (SCR012601)</t>
        </is>
      </c>
      <c r="C1157" s="256" t="inlineStr">
        <is>
          <t>retest (predicted)</t>
        </is>
      </c>
      <c r="D1157" s="256" t="inlineStr">
        <is>
          <t>#11</t>
        </is>
      </c>
      <c r="E1157" s="257" t="inlineStr">
        <is>
          <t>n/t (initial)</t>
        </is>
      </c>
    </row>
    <row r="1158">
      <c r="A1158" s="256" t="inlineStr">
        <is>
          <t>CoQ-PP_26-160</t>
        </is>
      </c>
      <c r="B1158" s="256" t="inlineStr">
        <is>
          <t>P060342 (SCR012601)</t>
        </is>
      </c>
      <c r="C1158" s="256" t="inlineStr">
        <is>
          <t>retest (predicted)</t>
        </is>
      </c>
      <c r="D1158" s="256" t="inlineStr">
        <is>
          <t>#12</t>
        </is>
      </c>
      <c r="E1158" s="257" t="inlineStr">
        <is>
          <t>n/t (initial)</t>
        </is>
      </c>
    </row>
    <row r="1159">
      <c r="A1159" s="256" t="inlineStr">
        <is>
          <t>CoQ-PP_26-161</t>
        </is>
      </c>
      <c r="B1159" s="256" t="inlineStr">
        <is>
          <t>SCR022601</t>
        </is>
      </c>
      <c r="C1159" s="256" t="inlineStr">
        <is>
          <t>retest (predicted)</t>
        </is>
      </c>
      <c r="D1159" s="256" t="inlineStr">
        <is>
          <t>#11</t>
        </is>
      </c>
      <c r="E1159" s="257" t="inlineStr">
        <is>
          <t>n/t (initial)</t>
        </is>
      </c>
    </row>
    <row r="1160">
      <c r="A1160" s="256" t="inlineStr">
        <is>
          <t>CoQ-PP_26-161</t>
        </is>
      </c>
      <c r="B1160" s="256" t="inlineStr">
        <is>
          <t>SCR022601</t>
        </is>
      </c>
      <c r="C1160" s="256" t="inlineStr">
        <is>
          <t>retest (predicted)</t>
        </is>
      </c>
      <c r="D1160" s="256" t="inlineStr">
        <is>
          <t>#12</t>
        </is>
      </c>
      <c r="E1160" s="257" t="inlineStr">
        <is>
          <t>n/t (initial)</t>
        </is>
      </c>
    </row>
    <row r="1161">
      <c r="A1161" s="256" t="inlineStr">
        <is>
          <t>CoQ-PP_26-162</t>
        </is>
      </c>
      <c r="B1161" s="256" t="inlineStr">
        <is>
          <t>SJ102501</t>
        </is>
      </c>
      <c r="C1161" s="256" t="inlineStr">
        <is>
          <t>retest (predicted)</t>
        </is>
      </c>
      <c r="D1161" s="256" t="inlineStr">
        <is>
          <t>#11</t>
        </is>
      </c>
      <c r="E1161" s="257" t="inlineStr">
        <is>
          <t>n/t (initial)</t>
        </is>
      </c>
    </row>
    <row r="1162">
      <c r="A1162" s="256" t="inlineStr">
        <is>
          <t>CoQ-PP_26-162</t>
        </is>
      </c>
      <c r="B1162" s="256" t="inlineStr">
        <is>
          <t>SJ102501</t>
        </is>
      </c>
      <c r="C1162" s="256" t="inlineStr">
        <is>
          <t>retest (predicted)</t>
        </is>
      </c>
      <c r="D1162" s="256" t="inlineStr">
        <is>
          <t>#12</t>
        </is>
      </c>
      <c r="E1162" s="257" t="inlineStr">
        <is>
          <t>n/t (initial)</t>
        </is>
      </c>
    </row>
    <row r="1163">
      <c r="A1163" s="256" t="inlineStr">
        <is>
          <t>CoQ-PP_26-163</t>
        </is>
      </c>
      <c r="B1163" s="256" t="inlineStr">
        <is>
          <t>SJ112501</t>
        </is>
      </c>
      <c r="C1163" s="256" t="inlineStr">
        <is>
          <t>retest (predicted)</t>
        </is>
      </c>
      <c r="D1163" s="256" t="inlineStr">
        <is>
          <t>#9</t>
        </is>
      </c>
      <c r="E1163" s="257" t="inlineStr">
        <is>
          <t>n/t (initial)</t>
        </is>
      </c>
    </row>
    <row r="1164">
      <c r="A1164" s="256" t="inlineStr">
        <is>
          <t>CoQ-PP_26-163</t>
        </is>
      </c>
      <c r="B1164" s="256" t="inlineStr">
        <is>
          <t>SJ112501</t>
        </is>
      </c>
      <c r="C1164" s="256" t="inlineStr">
        <is>
          <t>retest (predicted)</t>
        </is>
      </c>
      <c r="D1164" s="256" t="inlineStr">
        <is>
          <t>#11</t>
        </is>
      </c>
      <c r="E1164" s="257" t="inlineStr">
        <is>
          <t>n/t (initial)</t>
        </is>
      </c>
    </row>
    <row r="1165">
      <c r="A1165" s="256" t="inlineStr">
        <is>
          <t>CoQ-PP_26-163</t>
        </is>
      </c>
      <c r="B1165" s="256" t="inlineStr">
        <is>
          <t>SJ112501</t>
        </is>
      </c>
      <c r="C1165" s="256" t="inlineStr">
        <is>
          <t>retest (predicted)</t>
        </is>
      </c>
      <c r="D1165" s="256" t="inlineStr">
        <is>
          <t>#12</t>
        </is>
      </c>
      <c r="E1165" s="257" t="inlineStr">
        <is>
          <t>n/t (initial)</t>
        </is>
      </c>
    </row>
    <row r="1166">
      <c r="A1166" s="256" t="inlineStr">
        <is>
          <t>CoQ-PP_26-165</t>
        </is>
      </c>
      <c r="B1166" s="256" t="inlineStr">
        <is>
          <t>P060102 (WED102501)</t>
        </is>
      </c>
      <c r="C1166" s="256" t="inlineStr">
        <is>
          <t>retest (predicted)</t>
        </is>
      </c>
      <c r="D1166" s="256" t="inlineStr">
        <is>
          <t>#11</t>
        </is>
      </c>
      <c r="E1166" s="257" t="inlineStr">
        <is>
          <t>n/t (initial)</t>
        </is>
      </c>
    </row>
    <row r="1167">
      <c r="A1167" s="256" t="inlineStr">
        <is>
          <t>CoQ-PP_26-165</t>
        </is>
      </c>
      <c r="B1167" s="256" t="inlineStr">
        <is>
          <t>P060102 (WED102501)</t>
        </is>
      </c>
      <c r="C1167" s="256" t="inlineStr">
        <is>
          <t>retest (predicted)</t>
        </is>
      </c>
      <c r="D1167" s="256" t="inlineStr">
        <is>
          <t>#12</t>
        </is>
      </c>
      <c r="E1167" s="257" t="inlineStr">
        <is>
          <t>n/t (initial)</t>
        </is>
      </c>
    </row>
    <row r="1168">
      <c r="A1168" s="256" t="inlineStr">
        <is>
          <t>CoQ-PP_26-166</t>
        </is>
      </c>
      <c r="B1168" s="256" t="inlineStr">
        <is>
          <t>CC042601</t>
        </is>
      </c>
      <c r="C1168" s="256" t="inlineStr">
        <is>
          <t>release (predicted)</t>
        </is>
      </c>
      <c r="D1168" s="256" t="inlineStr">
        <is>
          <t>#4</t>
        </is>
      </c>
      <c r="E1168" s="257" t="inlineStr">
        <is>
          <t>n/t</t>
        </is>
      </c>
    </row>
    <row r="1169">
      <c r="A1169" s="256" t="inlineStr">
        <is>
          <t>CoQ-PP_26-166</t>
        </is>
      </c>
      <c r="B1169" s="256" t="inlineStr">
        <is>
          <t>CC042601</t>
        </is>
      </c>
      <c r="C1169" s="256" t="inlineStr">
        <is>
          <t>release (predicted)</t>
        </is>
      </c>
      <c r="D1169" s="256" t="inlineStr">
        <is>
          <t>#5</t>
        </is>
      </c>
      <c r="E1169" s="257" t="inlineStr">
        <is>
          <t>n/t</t>
        </is>
      </c>
    </row>
    <row r="1170">
      <c r="A1170" s="256" t="inlineStr">
        <is>
          <t>CoQ-PP_26-166</t>
        </is>
      </c>
      <c r="B1170" s="256" t="inlineStr">
        <is>
          <t>CC042601</t>
        </is>
      </c>
      <c r="C1170" s="256" t="inlineStr">
        <is>
          <t>release (predicted)</t>
        </is>
      </c>
      <c r="D1170" s="256" t="inlineStr">
        <is>
          <t>#6</t>
        </is>
      </c>
      <c r="E1170" s="257" t="inlineStr">
        <is>
          <t>n/t</t>
        </is>
      </c>
    </row>
    <row r="1171">
      <c r="A1171" s="256" t="inlineStr">
        <is>
          <t>CoQ-PP_26-166</t>
        </is>
      </c>
      <c r="B1171" s="256" t="inlineStr">
        <is>
          <t>CC042601</t>
        </is>
      </c>
      <c r="C1171" s="256" t="inlineStr">
        <is>
          <t>release (predicted)</t>
        </is>
      </c>
      <c r="D1171" s="256" t="inlineStr">
        <is>
          <t>#8</t>
        </is>
      </c>
      <c r="E1171" s="257" t="inlineStr">
        <is>
          <t>n/t</t>
        </is>
      </c>
    </row>
    <row r="1172">
      <c r="A1172" s="256" t="inlineStr">
        <is>
          <t>CoQ-PP_26-166</t>
        </is>
      </c>
      <c r="B1172" s="256" t="inlineStr">
        <is>
          <t>CC042601</t>
        </is>
      </c>
      <c r="C1172" s="256" t="inlineStr">
        <is>
          <t>release (predicted)</t>
        </is>
      </c>
      <c r="D1172" s="256" t="inlineStr">
        <is>
          <t>#9</t>
        </is>
      </c>
      <c r="E1172" s="257" t="inlineStr">
        <is>
          <t>n/t</t>
        </is>
      </c>
    </row>
    <row r="1173">
      <c r="A1173" s="256" t="inlineStr">
        <is>
          <t>CoQ-PP_26-166</t>
        </is>
      </c>
      <c r="B1173" s="256" t="inlineStr">
        <is>
          <t>CC042601</t>
        </is>
      </c>
      <c r="C1173" s="256" t="inlineStr">
        <is>
          <t>release (predicted)</t>
        </is>
      </c>
      <c r="D1173" s="256" t="inlineStr">
        <is>
          <t>#10</t>
        </is>
      </c>
      <c r="E1173" s="257" t="inlineStr">
        <is>
          <t>n/t</t>
        </is>
      </c>
    </row>
    <row r="1174">
      <c r="A1174" s="256" t="inlineStr">
        <is>
          <t>CoQ-PP_26-166</t>
        </is>
      </c>
      <c r="B1174" s="256" t="inlineStr">
        <is>
          <t>CC042601</t>
        </is>
      </c>
      <c r="C1174" s="256" t="inlineStr">
        <is>
          <t>release (predicted)</t>
        </is>
      </c>
      <c r="D1174" s="256" t="inlineStr">
        <is>
          <t>#11</t>
        </is>
      </c>
      <c r="E1174" s="257" t="inlineStr">
        <is>
          <t>n/t</t>
        </is>
      </c>
    </row>
    <row r="1175">
      <c r="A1175" s="256" t="inlineStr">
        <is>
          <t>CoQ-PP_26-166</t>
        </is>
      </c>
      <c r="B1175" s="256" t="inlineStr">
        <is>
          <t>CC042601</t>
        </is>
      </c>
      <c r="C1175" s="256" t="inlineStr">
        <is>
          <t>release (predicted)</t>
        </is>
      </c>
      <c r="D1175" s="256" t="inlineStr">
        <is>
          <t>#12</t>
        </is>
      </c>
      <c r="E1175" s="257" t="inlineStr">
        <is>
          <t>n/t</t>
        </is>
      </c>
    </row>
    <row r="1176">
      <c r="A1176" s="256" t="inlineStr">
        <is>
          <t>CoQ-PP_26-167</t>
        </is>
      </c>
      <c r="B1176" s="256" t="inlineStr">
        <is>
          <t>FB042601</t>
        </is>
      </c>
      <c r="C1176" s="256" t="inlineStr">
        <is>
          <t>release (predicted)</t>
        </is>
      </c>
      <c r="D1176" s="256" t="inlineStr">
        <is>
          <t>#4</t>
        </is>
      </c>
      <c r="E1176" s="257" t="inlineStr">
        <is>
          <t>n/t</t>
        </is>
      </c>
    </row>
    <row r="1177">
      <c r="A1177" s="256" t="inlineStr">
        <is>
          <t>CoQ-PP_26-167</t>
        </is>
      </c>
      <c r="B1177" s="256" t="inlineStr">
        <is>
          <t>FB042601</t>
        </is>
      </c>
      <c r="C1177" s="256" t="inlineStr">
        <is>
          <t>release (predicted)</t>
        </is>
      </c>
      <c r="D1177" s="256" t="inlineStr">
        <is>
          <t>#5</t>
        </is>
      </c>
      <c r="E1177" s="257" t="inlineStr">
        <is>
          <t>n/t</t>
        </is>
      </c>
    </row>
    <row r="1178">
      <c r="A1178" s="256" t="inlineStr">
        <is>
          <t>CoQ-PP_26-167</t>
        </is>
      </c>
      <c r="B1178" s="256" t="inlineStr">
        <is>
          <t>FB042601</t>
        </is>
      </c>
      <c r="C1178" s="256" t="inlineStr">
        <is>
          <t>release (predicted)</t>
        </is>
      </c>
      <c r="D1178" s="256" t="inlineStr">
        <is>
          <t>#6</t>
        </is>
      </c>
      <c r="E1178" s="257" t="inlineStr">
        <is>
          <t>n/t</t>
        </is>
      </c>
    </row>
    <row r="1179">
      <c r="A1179" s="256" t="inlineStr">
        <is>
          <t>CoQ-PP_26-167</t>
        </is>
      </c>
      <c r="B1179" s="256" t="inlineStr">
        <is>
          <t>FB042601</t>
        </is>
      </c>
      <c r="C1179" s="256" t="inlineStr">
        <is>
          <t>release (predicted)</t>
        </is>
      </c>
      <c r="D1179" s="256" t="inlineStr">
        <is>
          <t>#8</t>
        </is>
      </c>
      <c r="E1179" s="257" t="inlineStr">
        <is>
          <t>n/t</t>
        </is>
      </c>
    </row>
    <row r="1180">
      <c r="A1180" s="256" t="inlineStr">
        <is>
          <t>CoQ-PP_26-167</t>
        </is>
      </c>
      <c r="B1180" s="256" t="inlineStr">
        <is>
          <t>FB042601</t>
        </is>
      </c>
      <c r="C1180" s="256" t="inlineStr">
        <is>
          <t>release (predicted)</t>
        </is>
      </c>
      <c r="D1180" s="256" t="inlineStr">
        <is>
          <t>#9</t>
        </is>
      </c>
      <c r="E1180" s="257" t="inlineStr">
        <is>
          <t>n/t</t>
        </is>
      </c>
    </row>
    <row r="1181">
      <c r="A1181" s="256" t="inlineStr">
        <is>
          <t>CoQ-PP_26-167</t>
        </is>
      </c>
      <c r="B1181" s="256" t="inlineStr">
        <is>
          <t>FB042601</t>
        </is>
      </c>
      <c r="C1181" s="256" t="inlineStr">
        <is>
          <t>release (predicted)</t>
        </is>
      </c>
      <c r="D1181" s="256" t="inlineStr">
        <is>
          <t>#10</t>
        </is>
      </c>
      <c r="E1181" s="257" t="inlineStr">
        <is>
          <t>n/t</t>
        </is>
      </c>
    </row>
    <row r="1182">
      <c r="A1182" s="256" t="inlineStr">
        <is>
          <t>CoQ-PP_26-167</t>
        </is>
      </c>
      <c r="B1182" s="256" t="inlineStr">
        <is>
          <t>FB042601</t>
        </is>
      </c>
      <c r="C1182" s="256" t="inlineStr">
        <is>
          <t>release (predicted)</t>
        </is>
      </c>
      <c r="D1182" s="256" t="inlineStr">
        <is>
          <t>#11</t>
        </is>
      </c>
      <c r="E1182" s="257" t="inlineStr">
        <is>
          <t>n/t</t>
        </is>
      </c>
    </row>
    <row r="1183">
      <c r="A1183" s="256" t="inlineStr">
        <is>
          <t>CoQ-PP_26-167</t>
        </is>
      </c>
      <c r="B1183" s="256" t="inlineStr">
        <is>
          <t>FB042601</t>
        </is>
      </c>
      <c r="C1183" s="256" t="inlineStr">
        <is>
          <t>release (predicted)</t>
        </is>
      </c>
      <c r="D1183" s="256" t="inlineStr">
        <is>
          <t>#12</t>
        </is>
      </c>
      <c r="E1183" s="257" t="inlineStr">
        <is>
          <t>n/t</t>
        </is>
      </c>
    </row>
    <row r="1184">
      <c r="A1184" s="256" t="inlineStr">
        <is>
          <t>CoQ-PP_26-168</t>
        </is>
      </c>
      <c r="B1184" s="256" t="inlineStr">
        <is>
          <t>P160012</t>
        </is>
      </c>
      <c r="C1184" s="256" t="inlineStr">
        <is>
          <t>release (predicted)</t>
        </is>
      </c>
      <c r="D1184" s="256" t="inlineStr">
        <is>
          <t>#9</t>
        </is>
      </c>
      <c r="E1184" s="257" t="inlineStr">
        <is>
          <t>n/t</t>
        </is>
      </c>
    </row>
    <row r="1185">
      <c r="A1185" s="256" t="inlineStr">
        <is>
          <t>CoQ-PP_26-168</t>
        </is>
      </c>
      <c r="B1185" s="256" t="inlineStr">
        <is>
          <t>P160012</t>
        </is>
      </c>
      <c r="C1185" s="256" t="inlineStr">
        <is>
          <t>release (predicted)</t>
        </is>
      </c>
      <c r="D1185" s="256" t="inlineStr">
        <is>
          <t>#10</t>
        </is>
      </c>
      <c r="E1185" s="257" t="inlineStr">
        <is>
          <t>n/t</t>
        </is>
      </c>
    </row>
    <row r="1186">
      <c r="A1186" s="256" t="inlineStr">
        <is>
          <t>CoQ-PP_26-168</t>
        </is>
      </c>
      <c r="B1186" s="256" t="inlineStr">
        <is>
          <t>P160012</t>
        </is>
      </c>
      <c r="C1186" s="256" t="inlineStr">
        <is>
          <t>release (predicted)</t>
        </is>
      </c>
      <c r="D1186" s="256" t="inlineStr">
        <is>
          <t>#11</t>
        </is>
      </c>
      <c r="E1186" s="257" t="inlineStr">
        <is>
          <t>n/t</t>
        </is>
      </c>
    </row>
    <row r="1187">
      <c r="A1187" s="256" t="inlineStr">
        <is>
          <t>CoQ-PP_26-168</t>
        </is>
      </c>
      <c r="B1187" s="256" t="inlineStr">
        <is>
          <t>P160012</t>
        </is>
      </c>
      <c r="C1187" s="256" t="inlineStr">
        <is>
          <t>release (predicted)</t>
        </is>
      </c>
      <c r="D1187" s="256" t="inlineStr">
        <is>
          <t>#12</t>
        </is>
      </c>
      <c r="E1187" s="257" t="inlineStr">
        <is>
          <t>n/t</t>
        </is>
      </c>
    </row>
    <row r="1188">
      <c r="A1188" s="256" t="inlineStr">
        <is>
          <t>CoQ-PP_26-169</t>
        </is>
      </c>
      <c r="B1188" s="256" t="inlineStr">
        <is>
          <t>P160022</t>
        </is>
      </c>
      <c r="C1188" s="256" t="inlineStr">
        <is>
          <t>release (predicted)</t>
        </is>
      </c>
      <c r="D1188" s="256" t="inlineStr">
        <is>
          <t>#9</t>
        </is>
      </c>
      <c r="E1188" s="257" t="inlineStr">
        <is>
          <t>n/t</t>
        </is>
      </c>
    </row>
    <row r="1189">
      <c r="A1189" s="256" t="inlineStr">
        <is>
          <t>CoQ-PP_26-169</t>
        </is>
      </c>
      <c r="B1189" s="256" t="inlineStr">
        <is>
          <t>P160022</t>
        </is>
      </c>
      <c r="C1189" s="256" t="inlineStr">
        <is>
          <t>release (predicted)</t>
        </is>
      </c>
      <c r="D1189" s="256" t="inlineStr">
        <is>
          <t>#10</t>
        </is>
      </c>
      <c r="E1189" s="257" t="inlineStr">
        <is>
          <t>n/t</t>
        </is>
      </c>
    </row>
    <row r="1190">
      <c r="A1190" s="256" t="inlineStr">
        <is>
          <t>CoQ-PP_26-169</t>
        </is>
      </c>
      <c r="B1190" s="256" t="inlineStr">
        <is>
          <t>P160022</t>
        </is>
      </c>
      <c r="C1190" s="256" t="inlineStr">
        <is>
          <t>release (predicted)</t>
        </is>
      </c>
      <c r="D1190" s="256" t="inlineStr">
        <is>
          <t>#11</t>
        </is>
      </c>
      <c r="E1190" s="257" t="inlineStr">
        <is>
          <t>n/t</t>
        </is>
      </c>
    </row>
    <row r="1191">
      <c r="A1191" s="256" t="inlineStr">
        <is>
          <t>CoQ-PP_26-169</t>
        </is>
      </c>
      <c r="B1191" s="256" t="inlineStr">
        <is>
          <t>P160022</t>
        </is>
      </c>
      <c r="C1191" s="256" t="inlineStr">
        <is>
          <t>release (predicted)</t>
        </is>
      </c>
      <c r="D1191" s="256" t="inlineStr">
        <is>
          <t>#12</t>
        </is>
      </c>
      <c r="E1191" s="257" t="inlineStr">
        <is>
          <t>n/t</t>
        </is>
      </c>
    </row>
    <row r="1192">
      <c r="A1192" s="256" t="inlineStr">
        <is>
          <t>CoQ-PP_26-170</t>
        </is>
      </c>
      <c r="B1192" s="256" t="inlineStr">
        <is>
          <t>P160032</t>
        </is>
      </c>
      <c r="C1192" s="256" t="inlineStr">
        <is>
          <t>release (predicted)</t>
        </is>
      </c>
      <c r="D1192" s="256" t="inlineStr">
        <is>
          <t>#9</t>
        </is>
      </c>
      <c r="E1192" s="257" t="inlineStr">
        <is>
          <t>n/t</t>
        </is>
      </c>
    </row>
    <row r="1193">
      <c r="A1193" s="256" t="inlineStr">
        <is>
          <t>CoQ-PP_26-170</t>
        </is>
      </c>
      <c r="B1193" s="256" t="inlineStr">
        <is>
          <t>P160032</t>
        </is>
      </c>
      <c r="C1193" s="256" t="inlineStr">
        <is>
          <t>release (predicted)</t>
        </is>
      </c>
      <c r="D1193" s="256" t="inlineStr">
        <is>
          <t>#10</t>
        </is>
      </c>
      <c r="E1193" s="257" t="inlineStr">
        <is>
          <t>n/t</t>
        </is>
      </c>
    </row>
    <row r="1194">
      <c r="A1194" s="256" t="inlineStr">
        <is>
          <t>CoQ-PP_26-170</t>
        </is>
      </c>
      <c r="B1194" s="256" t="inlineStr">
        <is>
          <t>P160032</t>
        </is>
      </c>
      <c r="C1194" s="256" t="inlineStr">
        <is>
          <t>release (predicted)</t>
        </is>
      </c>
      <c r="D1194" s="256" t="inlineStr">
        <is>
          <t>#11</t>
        </is>
      </c>
      <c r="E1194" s="257" t="inlineStr">
        <is>
          <t>n/t</t>
        </is>
      </c>
    </row>
    <row r="1195">
      <c r="A1195" s="256" t="inlineStr">
        <is>
          <t>CoQ-PP_26-170</t>
        </is>
      </c>
      <c r="B1195" s="256" t="inlineStr">
        <is>
          <t>P160032</t>
        </is>
      </c>
      <c r="C1195" s="256" t="inlineStr">
        <is>
          <t>release (predicted)</t>
        </is>
      </c>
      <c r="D1195" s="256" t="inlineStr">
        <is>
          <t>#12</t>
        </is>
      </c>
      <c r="E1195" s="257" t="inlineStr">
        <is>
          <t>n/t</t>
        </is>
      </c>
    </row>
    <row r="1196">
      <c r="A1196" s="256" t="inlineStr">
        <is>
          <t>CoQ-PP_26-171</t>
        </is>
      </c>
      <c r="B1196" s="256" t="inlineStr">
        <is>
          <t>CC042601</t>
        </is>
      </c>
      <c r="C1196" s="256" t="inlineStr">
        <is>
          <t>retest (predicted)</t>
        </is>
      </c>
      <c r="D1196" s="256" t="inlineStr">
        <is>
          <t>#8</t>
        </is>
      </c>
      <c r="E1196" s="257" t="inlineStr">
        <is>
          <t>n/t (initial)</t>
        </is>
      </c>
    </row>
    <row r="1197">
      <c r="A1197" s="256" t="inlineStr">
        <is>
          <t>CoQ-PP_26-171</t>
        </is>
      </c>
      <c r="B1197" s="256" t="inlineStr">
        <is>
          <t>CC042601</t>
        </is>
      </c>
      <c r="C1197" s="256" t="inlineStr">
        <is>
          <t>retest (predicted)</t>
        </is>
      </c>
      <c r="D1197" s="256" t="inlineStr">
        <is>
          <t>#9</t>
        </is>
      </c>
      <c r="E1197" s="257" t="inlineStr">
        <is>
          <t>n/t (initial)</t>
        </is>
      </c>
    </row>
    <row r="1198">
      <c r="A1198" s="256" t="inlineStr">
        <is>
          <t>CoQ-PP_26-171</t>
        </is>
      </c>
      <c r="B1198" s="256" t="inlineStr">
        <is>
          <t>CC042601</t>
        </is>
      </c>
      <c r="C1198" s="256" t="inlineStr">
        <is>
          <t>retest (predicted)</t>
        </is>
      </c>
      <c r="D1198" s="256" t="inlineStr">
        <is>
          <t>#11</t>
        </is>
      </c>
      <c r="E1198" s="257" t="inlineStr">
        <is>
          <t>n/t (initial)</t>
        </is>
      </c>
    </row>
    <row r="1199">
      <c r="A1199" s="256" t="inlineStr">
        <is>
          <t>CoQ-PP_26-171</t>
        </is>
      </c>
      <c r="B1199" s="256" t="inlineStr">
        <is>
          <t>CC042601</t>
        </is>
      </c>
      <c r="C1199" s="256" t="inlineStr">
        <is>
          <t>retest (predicted)</t>
        </is>
      </c>
      <c r="D1199" s="256" t="inlineStr">
        <is>
          <t>#12</t>
        </is>
      </c>
      <c r="E1199" s="257" t="inlineStr">
        <is>
          <t>n/t (initial)</t>
        </is>
      </c>
    </row>
    <row r="1200">
      <c r="A1200" s="256" t="inlineStr">
        <is>
          <t>CoQ-PP_26-172</t>
        </is>
      </c>
      <c r="B1200" s="256" t="inlineStr">
        <is>
          <t>FB042601</t>
        </is>
      </c>
      <c r="C1200" s="256" t="inlineStr">
        <is>
          <t>retest (predicted)</t>
        </is>
      </c>
      <c r="D1200" s="256" t="inlineStr">
        <is>
          <t>#8</t>
        </is>
      </c>
      <c r="E1200" s="257" t="inlineStr">
        <is>
          <t>n/t (initial)</t>
        </is>
      </c>
    </row>
    <row r="1201">
      <c r="A1201" s="256" t="inlineStr">
        <is>
          <t>CoQ-PP_26-172</t>
        </is>
      </c>
      <c r="B1201" s="256" t="inlineStr">
        <is>
          <t>FB042601</t>
        </is>
      </c>
      <c r="C1201" s="256" t="inlineStr">
        <is>
          <t>retest (predicted)</t>
        </is>
      </c>
      <c r="D1201" s="256" t="inlineStr">
        <is>
          <t>#9</t>
        </is>
      </c>
      <c r="E1201" s="257" t="inlineStr">
        <is>
          <t>n/t (initial)</t>
        </is>
      </c>
    </row>
    <row r="1202">
      <c r="A1202" s="256" t="inlineStr">
        <is>
          <t>CoQ-PP_26-172</t>
        </is>
      </c>
      <c r="B1202" s="256" t="inlineStr">
        <is>
          <t>FB042601</t>
        </is>
      </c>
      <c r="C1202" s="256" t="inlineStr">
        <is>
          <t>retest (predicted)</t>
        </is>
      </c>
      <c r="D1202" s="256" t="inlineStr">
        <is>
          <t>#11</t>
        </is>
      </c>
      <c r="E1202" s="257" t="inlineStr">
        <is>
          <t>n/t (initial)</t>
        </is>
      </c>
    </row>
    <row r="1203">
      <c r="A1203" s="256" t="inlineStr">
        <is>
          <t>CoQ-PP_26-172</t>
        </is>
      </c>
      <c r="B1203" s="256" t="inlineStr">
        <is>
          <t>FB042601</t>
        </is>
      </c>
      <c r="C1203" s="256" t="inlineStr">
        <is>
          <t>retest (predicted)</t>
        </is>
      </c>
      <c r="D1203" s="256" t="inlineStr">
        <is>
          <t>#12</t>
        </is>
      </c>
      <c r="E1203" s="257" t="inlineStr">
        <is>
          <t>n/t (initial)</t>
        </is>
      </c>
    </row>
    <row r="1206" ht="20" customHeight="1" s="70">
      <c r="A1206" s="264" t="inlineStr">
        <is>
          <t>SUMMARY DASHBOARD</t>
        </is>
      </c>
    </row>
    <row r="1207" ht="36" customHeight="1" s="70">
      <c r="A1207" s="83" t="inlineStr">
        <is>
          <t>eCOA DATABASE — CoQ PARAMETER COVERAGE DASHBOARD</t>
        </is>
      </c>
    </row>
    <row r="1208" ht="24" customHeight="1" s="70">
      <c r="A1208" s="84" t="inlineStr">
        <is>
          <t>OVERVIEW</t>
        </is>
      </c>
      <c r="B1208" s="76" t="n"/>
      <c r="C1208" s="76" t="n"/>
      <c r="D1208" s="77" t="n"/>
    </row>
    <row r="1209" ht="21.75" customHeight="1" s="70">
      <c r="A1209" s="28" t="inlineStr">
        <is>
          <t>Total Batches</t>
        </is>
      </c>
      <c r="B1209" s="30" t="n">
        <v>86</v>
      </c>
      <c r="C1209" s="32" t="n"/>
    </row>
    <row r="1210" ht="21.75" customHeight="1" s="70">
      <c r="A1210" s="28" t="inlineStr">
        <is>
          <t>Total eCOA Documents</t>
        </is>
      </c>
      <c r="B1210" s="30" t="n">
        <v>380</v>
      </c>
      <c r="C1210" s="32" t="inlineStr">
        <is>
          <t>(QCCoA 001 files excluded)</t>
        </is>
      </c>
    </row>
    <row r="1211" ht="21.75" customHeight="1" s="70">
      <c r="A1211" s="34" t="inlineStr">
        <is>
          <t>✅  COMPLETE  (all 12 params)</t>
        </is>
      </c>
      <c r="B1211" s="35" t="n">
        <v>70</v>
      </c>
      <c r="C1211" s="38" t="inlineStr">
        <is>
          <t>81% of batches</t>
        </is>
      </c>
    </row>
    <row r="1212" ht="21.75" customHeight="1" s="70">
      <c r="A1212" s="39" t="inlineStr">
        <is>
          <t>⚠   PARTIAL  (1–3 missing)</t>
        </is>
      </c>
      <c r="B1212" s="42" t="n">
        <v>9</v>
      </c>
      <c r="C1212" s="44" t="inlineStr">
        <is>
          <t>10% of batches</t>
        </is>
      </c>
    </row>
    <row r="1213" ht="21.75" customHeight="1" s="70">
      <c r="A1213" s="46" t="inlineStr">
        <is>
          <t>❌  INCOMPLETE (4+ missing)</t>
        </is>
      </c>
      <c r="B1213" s="47" t="n">
        <v>7</v>
      </c>
      <c r="C1213" s="50" t="inlineStr">
        <is>
          <t>8% of batches</t>
        </is>
      </c>
    </row>
    <row r="1214" ht="7.5" customHeight="1" s="70"/>
    <row r="1215" ht="24" customHeight="1" s="70">
      <c r="A1215" s="84" t="inlineStr">
        <is>
          <t>MISSING PARAMETER FREQUENCY</t>
        </is>
      </c>
      <c r="B1215" s="76" t="n"/>
      <c r="C1215" s="76" t="n"/>
      <c r="D1215" s="77" t="n"/>
    </row>
    <row r="1216" ht="21.75" customHeight="1" s="70">
      <c r="A1216" s="46" t="inlineStr">
        <is>
          <t>#1  Identification A</t>
        </is>
      </c>
      <c r="B1216" s="47" t="n">
        <v>0</v>
      </c>
      <c r="C1216" s="50" t="inlineStr">
        <is>
          <t>(0% of batches missing this)</t>
        </is>
      </c>
    </row>
    <row r="1217" ht="21.75" customHeight="1" s="70">
      <c r="A1217" s="39" t="inlineStr">
        <is>
          <t>#2  Identification B</t>
        </is>
      </c>
      <c r="B1217" s="42" t="n">
        <v>0</v>
      </c>
      <c r="C1217" s="44" t="inlineStr">
        <is>
          <t>(0% of batches missing this)</t>
        </is>
      </c>
    </row>
    <row r="1218" ht="21.75" customHeight="1" s="70">
      <c r="A1218" s="34" t="inlineStr">
        <is>
          <t>#3  Identification C</t>
        </is>
      </c>
      <c r="B1218" s="35" t="n">
        <v>0</v>
      </c>
      <c r="C1218" s="38" t="inlineStr">
        <is>
          <t>(0% of batches missing this)</t>
        </is>
      </c>
    </row>
    <row r="1219" ht="21.75" customHeight="1" s="70">
      <c r="A1219" s="34" t="inlineStr">
        <is>
          <t>#4  Assay — Total Δ⁹-THC</t>
        </is>
      </c>
      <c r="B1219" s="35" t="n">
        <v>0</v>
      </c>
      <c r="C1219" s="38" t="inlineStr">
        <is>
          <t>(0% of batches missing this)</t>
        </is>
      </c>
    </row>
    <row r="1220" ht="21.75" customHeight="1" s="70">
      <c r="A1220" s="34" t="inlineStr">
        <is>
          <t>#5  Assay — Total CBD</t>
        </is>
      </c>
      <c r="B1220" s="35" t="n">
        <v>0</v>
      </c>
      <c r="C1220" s="38" t="inlineStr">
        <is>
          <t>(0% of batches missing this)</t>
        </is>
      </c>
    </row>
    <row r="1221" ht="21.75" customHeight="1" s="70">
      <c r="A1221" s="34" t="inlineStr">
        <is>
          <t>#6  Total CBN</t>
        </is>
      </c>
      <c r="B1221" s="35" t="n">
        <v>0</v>
      </c>
      <c r="C1221" s="38" t="inlineStr">
        <is>
          <t>(0% of batches missing this)</t>
        </is>
      </c>
    </row>
    <row r="1222" ht="21.75" customHeight="1" s="70">
      <c r="A1222" s="46" t="inlineStr">
        <is>
          <t>#7  Foreign Matter</t>
        </is>
      </c>
      <c r="B1222" s="47" t="n">
        <v>0</v>
      </c>
      <c r="C1222" s="50" t="inlineStr">
        <is>
          <t>(0% of batches missing this)</t>
        </is>
      </c>
    </row>
    <row r="1223" ht="21.75" customHeight="1" s="70">
      <c r="A1223" s="34" t="inlineStr">
        <is>
          <t>#8  Loss on Drying</t>
        </is>
      </c>
      <c r="B1223" s="35" t="n">
        <v>13</v>
      </c>
      <c r="C1223" s="38" t="inlineStr">
        <is>
          <t>(15% of batches missing this)</t>
        </is>
      </c>
    </row>
    <row r="1224" ht="21.75" customHeight="1" s="70">
      <c r="A1224" s="39" t="inlineStr">
        <is>
          <t>#9  Microbiological Purity</t>
        </is>
      </c>
      <c r="B1224" s="42" t="n">
        <v>6</v>
      </c>
      <c r="C1224" s="44" t="inlineStr">
        <is>
          <t>(7% of batches missing this)</t>
        </is>
      </c>
    </row>
    <row r="1225" ht="21.75" customHeight="1" s="70">
      <c r="A1225" s="39" t="inlineStr">
        <is>
          <t>#10  Mycotoxins</t>
        </is>
      </c>
      <c r="B1225" s="42" t="n">
        <v>4</v>
      </c>
      <c r="C1225" s="44" t="inlineStr">
        <is>
          <t>(5% of batches missing this)</t>
        </is>
      </c>
    </row>
    <row r="1226" ht="21.75" customHeight="1" s="70">
      <c r="A1226" s="39" t="inlineStr">
        <is>
          <t>#11  Heavy Metals</t>
        </is>
      </c>
      <c r="B1226" s="42" t="n">
        <v>13</v>
      </c>
      <c r="C1226" s="44" t="inlineStr">
        <is>
          <t>(15% of batches missing this)</t>
        </is>
      </c>
    </row>
    <row r="1227" ht="21.75" customHeight="1" s="70">
      <c r="A1227" s="39" t="inlineStr">
        <is>
          <t>#12  Pesticide Residues</t>
        </is>
      </c>
      <c r="B1227" s="42" t="n">
        <v>11</v>
      </c>
      <c r="C1227" s="44" t="inlineStr">
        <is>
          <t>(13% of batches missing this)</t>
        </is>
      </c>
    </row>
  </sheetData>
  <mergeCells count="674">
    <mergeCell ref="G268:G269"/>
    <mergeCell ref="I330:I331"/>
    <mergeCell ref="I268:I269"/>
    <mergeCell ref="S316:S317"/>
    <mergeCell ref="P229:R229"/>
    <mergeCell ref="F344:F345"/>
    <mergeCell ref="B238:B239"/>
    <mergeCell ref="P253:R253"/>
    <mergeCell ref="D254:D255"/>
    <mergeCell ref="Y338:Y339"/>
    <mergeCell ref="AA338:AA339"/>
    <mergeCell ref="J229:N229"/>
    <mergeCell ref="G292:G293"/>
    <mergeCell ref="P317:R317"/>
    <mergeCell ref="I292:I293"/>
    <mergeCell ref="P233:R233"/>
    <mergeCell ref="J335:N335"/>
    <mergeCell ref="O276:O277"/>
    <mergeCell ref="G294:G295"/>
    <mergeCell ref="F262:F263"/>
    <mergeCell ref="I294:I295"/>
    <mergeCell ref="P235:R235"/>
    <mergeCell ref="Y278:Y279"/>
    <mergeCell ref="X306:X307"/>
    <mergeCell ref="S334:S335"/>
    <mergeCell ref="Y244:Y245"/>
    <mergeCell ref="AA344:AA345"/>
    <mergeCell ref="P299:R299"/>
    <mergeCell ref="A221:A223"/>
    <mergeCell ref="C244:C251"/>
    <mergeCell ref="C221:C223"/>
    <mergeCell ref="A282:A291"/>
    <mergeCell ref="G246:G247"/>
    <mergeCell ref="J351:N351"/>
    <mergeCell ref="C228:C231"/>
    <mergeCell ref="C282:C291"/>
    <mergeCell ref="J295:N295"/>
    <mergeCell ref="E254:E255"/>
    <mergeCell ref="H244:H245"/>
    <mergeCell ref="Y318:Y319"/>
    <mergeCell ref="AA318:AA319"/>
    <mergeCell ref="F252:F253"/>
    <mergeCell ref="O342:O343"/>
    <mergeCell ref="C360:C365"/>
    <mergeCell ref="H344:H345"/>
    <mergeCell ref="A276:A281"/>
    <mergeCell ref="H310:H311"/>
    <mergeCell ref="E314:E315"/>
    <mergeCell ref="G314:G315"/>
    <mergeCell ref="A366:AA366"/>
    <mergeCell ref="C306:C309"/>
    <mergeCell ref="H262:H263"/>
    <mergeCell ref="I282:I283"/>
    <mergeCell ref="I244:I245"/>
    <mergeCell ref="E338:E339"/>
    <mergeCell ref="X256:X257"/>
    <mergeCell ref="Z318:Z319"/>
    <mergeCell ref="H326:H327"/>
    <mergeCell ref="P279:R279"/>
    <mergeCell ref="B240:B243"/>
    <mergeCell ref="T351:W351"/>
    <mergeCell ref="Z262:Z263"/>
    <mergeCell ref="X320:X321"/>
    <mergeCell ref="E340:E341"/>
    <mergeCell ref="G340:G341"/>
    <mergeCell ref="P343:R343"/>
    <mergeCell ref="J301:N301"/>
    <mergeCell ref="Z314:Z315"/>
    <mergeCell ref="J239:N239"/>
    <mergeCell ref="O228:O229"/>
    <mergeCell ref="G302:G303"/>
    <mergeCell ref="D232:D233"/>
    <mergeCell ref="S284:S285"/>
    <mergeCell ref="P345:R345"/>
    <mergeCell ref="S292:S293"/>
    <mergeCell ref="E262:E263"/>
    <mergeCell ref="I360:I361"/>
    <mergeCell ref="S286:S287"/>
    <mergeCell ref="G262:G263"/>
    <mergeCell ref="A640:E643"/>
    <mergeCell ref="P221:S221"/>
    <mergeCell ref="P257:R257"/>
    <mergeCell ref="Y294:Y295"/>
    <mergeCell ref="O294:O295"/>
    <mergeCell ref="S350:S351"/>
    <mergeCell ref="H252:H253"/>
    <mergeCell ref="T279:W279"/>
    <mergeCell ref="B224:B227"/>
    <mergeCell ref="H316:H317"/>
    <mergeCell ref="E320:E321"/>
    <mergeCell ref="P225:R225"/>
    <mergeCell ref="G338:G339"/>
    <mergeCell ref="X244:X245"/>
    <mergeCell ref="Z244:Z245"/>
    <mergeCell ref="J225:N225"/>
    <mergeCell ref="AA334:AA335"/>
    <mergeCell ref="B244:B251"/>
    <mergeCell ref="B221:B223"/>
    <mergeCell ref="B282:B291"/>
    <mergeCell ref="H360:H361"/>
    <mergeCell ref="P335:R335"/>
    <mergeCell ref="AA336:AA337"/>
    <mergeCell ref="A294:A299"/>
    <mergeCell ref="G252:G253"/>
    <mergeCell ref="D256:D257"/>
    <mergeCell ref="I252:I253"/>
    <mergeCell ref="E346:E347"/>
    <mergeCell ref="Z320:Z321"/>
    <mergeCell ref="H334:H335"/>
    <mergeCell ref="F284:F285"/>
    <mergeCell ref="H284:H285"/>
    <mergeCell ref="I310:I311"/>
    <mergeCell ref="D314:D315"/>
    <mergeCell ref="F314:F315"/>
    <mergeCell ref="T361:W361"/>
    <mergeCell ref="Z334:Z335"/>
    <mergeCell ref="H240:H241"/>
    <mergeCell ref="J253:N253"/>
    <mergeCell ref="O338:O339"/>
    <mergeCell ref="T311:W311"/>
    <mergeCell ref="Y276:Y277"/>
    <mergeCell ref="Z336:Z337"/>
    <mergeCell ref="J317:N317"/>
    <mergeCell ref="H266:H267"/>
    <mergeCell ref="I234:I235"/>
    <mergeCell ref="X224:X225"/>
    <mergeCell ref="G326:G327"/>
    <mergeCell ref="J221:O221"/>
    <mergeCell ref="I326:I327"/>
    <mergeCell ref="P321:R321"/>
    <mergeCell ref="B228:B231"/>
    <mergeCell ref="Y228:Y229"/>
    <mergeCell ref="D346:D347"/>
    <mergeCell ref="D340:D341"/>
    <mergeCell ref="X354:X355"/>
    <mergeCell ref="I236:I237"/>
    <mergeCell ref="Y320:Y321"/>
    <mergeCell ref="F340:F341"/>
    <mergeCell ref="Y314:Y315"/>
    <mergeCell ref="O344:O345"/>
    <mergeCell ref="I238:I239"/>
    <mergeCell ref="T343:W343"/>
    <mergeCell ref="H302:H303"/>
    <mergeCell ref="C232:C233"/>
    <mergeCell ref="S360:S361"/>
    <mergeCell ref="I240:I241"/>
    <mergeCell ref="H268:H269"/>
    <mergeCell ref="E334:E335"/>
    <mergeCell ref="T345:W345"/>
    <mergeCell ref="C300:C305"/>
    <mergeCell ref="X276:X277"/>
    <mergeCell ref="J233:N233"/>
    <mergeCell ref="T295:W295"/>
    <mergeCell ref="C342:C343"/>
    <mergeCell ref="H272:H273"/>
    <mergeCell ref="E336:E337"/>
    <mergeCell ref="P241:R241"/>
    <mergeCell ref="Z316:Z317"/>
    <mergeCell ref="J297:N297"/>
    <mergeCell ref="J235:N235"/>
    <mergeCell ref="O314:O315"/>
    <mergeCell ref="D228:D229"/>
    <mergeCell ref="G316:G317"/>
    <mergeCell ref="P341:R341"/>
    <mergeCell ref="I316:I317"/>
    <mergeCell ref="D320:D321"/>
    <mergeCell ref="F320:F321"/>
    <mergeCell ref="S282:S283"/>
    <mergeCell ref="G258:G259"/>
    <mergeCell ref="F292:F293"/>
    <mergeCell ref="A346:A349"/>
    <mergeCell ref="X278:X279"/>
    <mergeCell ref="I258:I259"/>
    <mergeCell ref="S244:S245"/>
    <mergeCell ref="I224:I225"/>
    <mergeCell ref="X342:X343"/>
    <mergeCell ref="S346:S347"/>
    <mergeCell ref="T229:W229"/>
    <mergeCell ref="H350:H351"/>
    <mergeCell ref="S308:S309"/>
    <mergeCell ref="E276:E277"/>
    <mergeCell ref="A252:A255"/>
    <mergeCell ref="O340:O341"/>
    <mergeCell ref="C252:C255"/>
    <mergeCell ref="D336:D337"/>
    <mergeCell ref="X344:X345"/>
    <mergeCell ref="Y310:Y311"/>
    <mergeCell ref="Z344:Z345"/>
    <mergeCell ref="J325:N325"/>
    <mergeCell ref="G334:G335"/>
    <mergeCell ref="E284:E285"/>
    <mergeCell ref="G284:G285"/>
    <mergeCell ref="Y292:Y293"/>
    <mergeCell ref="E342:E343"/>
    <mergeCell ref="AA292:AA293"/>
    <mergeCell ref="O262:O263"/>
    <mergeCell ref="G336:G337"/>
    <mergeCell ref="H356:H357"/>
    <mergeCell ref="AA294:AA295"/>
    <mergeCell ref="AA350:AA351"/>
    <mergeCell ref="Z276:Z277"/>
    <mergeCell ref="Y336:Y337"/>
    <mergeCell ref="F234:F235"/>
    <mergeCell ref="H234:H235"/>
    <mergeCell ref="B252:B255"/>
    <mergeCell ref="I306:I307"/>
    <mergeCell ref="S232:S233"/>
    <mergeCell ref="X228:X229"/>
    <mergeCell ref="Z228:Z229"/>
    <mergeCell ref="H236:H237"/>
    <mergeCell ref="F334:F335"/>
    <mergeCell ref="Z342:Z343"/>
    <mergeCell ref="G362:G363"/>
    <mergeCell ref="T283:W283"/>
    <mergeCell ref="X292:X293"/>
    <mergeCell ref="H300:H301"/>
    <mergeCell ref="B294:B299"/>
    <mergeCell ref="O336:O337"/>
    <mergeCell ref="T235:W235"/>
    <mergeCell ref="O252:O253"/>
    <mergeCell ref="B234:B237"/>
    <mergeCell ref="B342:B343"/>
    <mergeCell ref="I284:I285"/>
    <mergeCell ref="J315:N315"/>
    <mergeCell ref="H264:H265"/>
    <mergeCell ref="G234:G235"/>
    <mergeCell ref="O316:O317"/>
    <mergeCell ref="Y316:Y317"/>
    <mergeCell ref="Y334:Y335"/>
    <mergeCell ref="S310:S311"/>
    <mergeCell ref="B344:B345"/>
    <mergeCell ref="D344:D345"/>
    <mergeCell ref="AA282:AA283"/>
    <mergeCell ref="T301:W301"/>
    <mergeCell ref="E228:E229"/>
    <mergeCell ref="AA346:AA347"/>
    <mergeCell ref="C292:C293"/>
    <mergeCell ref="E292:E293"/>
    <mergeCell ref="B360:B365"/>
    <mergeCell ref="H224:H225"/>
    <mergeCell ref="I256:I257"/>
    <mergeCell ref="E294:E295"/>
    <mergeCell ref="G350:G351"/>
    <mergeCell ref="P297:R297"/>
    <mergeCell ref="I350:I351"/>
    <mergeCell ref="D276:D277"/>
    <mergeCell ref="O334:O335"/>
    <mergeCell ref="T233:W233"/>
    <mergeCell ref="P263:R263"/>
    <mergeCell ref="Y344:Y345"/>
    <mergeCell ref="S238:S239"/>
    <mergeCell ref="D242:D243"/>
    <mergeCell ref="F242:F243"/>
    <mergeCell ref="P355:R355"/>
    <mergeCell ref="P293:R293"/>
    <mergeCell ref="D244:D245"/>
    <mergeCell ref="S240:S241"/>
    <mergeCell ref="F244:F245"/>
    <mergeCell ref="Z292:Z293"/>
    <mergeCell ref="D342:D343"/>
    <mergeCell ref="F342:F343"/>
    <mergeCell ref="O296:O297"/>
    <mergeCell ref="F336:F337"/>
    <mergeCell ref="Y222:Z222"/>
    <mergeCell ref="X234:X235"/>
    <mergeCell ref="A360:A365"/>
    <mergeCell ref="X294:X295"/>
    <mergeCell ref="Z234:Z235"/>
    <mergeCell ref="F308:F309"/>
    <mergeCell ref="Z294:Z295"/>
    <mergeCell ref="S298:S299"/>
    <mergeCell ref="C350:C353"/>
    <mergeCell ref="AA232:AA233"/>
    <mergeCell ref="F350:F351"/>
    <mergeCell ref="S306:S307"/>
    <mergeCell ref="J283:N283"/>
    <mergeCell ref="P319:R319"/>
    <mergeCell ref="J277:N277"/>
    <mergeCell ref="T335:W335"/>
    <mergeCell ref="J323:N323"/>
    <mergeCell ref="E242:E243"/>
    <mergeCell ref="X360:X361"/>
    <mergeCell ref="Z360:Z361"/>
    <mergeCell ref="G236:G237"/>
    <mergeCell ref="J341:N341"/>
    <mergeCell ref="D262:D263"/>
    <mergeCell ref="Y342:Y343"/>
    <mergeCell ref="AA244:AA245"/>
    <mergeCell ref="AA342:AA343"/>
    <mergeCell ref="J220:O220"/>
    <mergeCell ref="E244:E245"/>
    <mergeCell ref="A338:A339"/>
    <mergeCell ref="G300:G301"/>
    <mergeCell ref="Y252:Y253"/>
    <mergeCell ref="O322:O323"/>
    <mergeCell ref="I300:I301"/>
    <mergeCell ref="C338:C339"/>
    <mergeCell ref="T253:W253"/>
    <mergeCell ref="A228:A231"/>
    <mergeCell ref="A340:A341"/>
    <mergeCell ref="C340:C341"/>
    <mergeCell ref="AA310:AA311"/>
    <mergeCell ref="X314:X315"/>
    <mergeCell ref="C234:C237"/>
    <mergeCell ref="D238:D239"/>
    <mergeCell ref="F238:F239"/>
    <mergeCell ref="F232:F233"/>
    <mergeCell ref="G264:G265"/>
    <mergeCell ref="H232:H233"/>
    <mergeCell ref="I264:I265"/>
    <mergeCell ref="Y262:Y263"/>
    <mergeCell ref="Z282:Z283"/>
    <mergeCell ref="H296:H297"/>
    <mergeCell ref="I328:I329"/>
    <mergeCell ref="O292:O293"/>
    <mergeCell ref="E360:E361"/>
    <mergeCell ref="G360:G361"/>
    <mergeCell ref="X338:X339"/>
    <mergeCell ref="A1207:D1207"/>
    <mergeCell ref="H298:H299"/>
    <mergeCell ref="D292:D293"/>
    <mergeCell ref="P307:R307"/>
    <mergeCell ref="O350:O351"/>
    <mergeCell ref="X340:X341"/>
    <mergeCell ref="A1215:D1215"/>
    <mergeCell ref="P315:R315"/>
    <mergeCell ref="Y238:Y239"/>
    <mergeCell ref="D294:D295"/>
    <mergeCell ref="AA238:AA239"/>
    <mergeCell ref="F294:F295"/>
    <mergeCell ref="I246:I247"/>
    <mergeCell ref="Y240:Y241"/>
    <mergeCell ref="I354:I355"/>
    <mergeCell ref="AA240:AA241"/>
    <mergeCell ref="J347:N347"/>
    <mergeCell ref="X262:X263"/>
    <mergeCell ref="D360:D361"/>
    <mergeCell ref="I356:I357"/>
    <mergeCell ref="F360:F361"/>
    <mergeCell ref="G244:G245"/>
    <mergeCell ref="P220:AA220"/>
    <mergeCell ref="A256:A261"/>
    <mergeCell ref="C256:C261"/>
    <mergeCell ref="J293:N293"/>
    <mergeCell ref="E252:E253"/>
    <mergeCell ref="I272:I273"/>
    <mergeCell ref="O234:O235"/>
    <mergeCell ref="E308:E309"/>
    <mergeCell ref="B350:B353"/>
    <mergeCell ref="AA316:AA317"/>
    <mergeCell ref="O280:O281"/>
    <mergeCell ref="D284:D285"/>
    <mergeCell ref="E310:E311"/>
    <mergeCell ref="G310:G311"/>
    <mergeCell ref="S338:S339"/>
    <mergeCell ref="G221:I221"/>
    <mergeCell ref="Y360:Y361"/>
    <mergeCell ref="S254:S255"/>
    <mergeCell ref="AA360:AA361"/>
    <mergeCell ref="H258:H259"/>
    <mergeCell ref="G222:H222"/>
    <mergeCell ref="S256:S257"/>
    <mergeCell ref="X252:X253"/>
    <mergeCell ref="B338:B339"/>
    <mergeCell ref="H322:H323"/>
    <mergeCell ref="H260:H261"/>
    <mergeCell ref="T347:W347"/>
    <mergeCell ref="C320:C333"/>
    <mergeCell ref="Z354:Z355"/>
    <mergeCell ref="S320:S321"/>
    <mergeCell ref="B340:B341"/>
    <mergeCell ref="T257:W257"/>
    <mergeCell ref="H324:H325"/>
    <mergeCell ref="Z310:Z311"/>
    <mergeCell ref="E238:E239"/>
    <mergeCell ref="G238:G239"/>
    <mergeCell ref="G232:G233"/>
    <mergeCell ref="J337:N337"/>
    <mergeCell ref="I232:I233"/>
    <mergeCell ref="A232:A233"/>
    <mergeCell ref="H314:H315"/>
    <mergeCell ref="E240:E241"/>
    <mergeCell ref="G240:G241"/>
    <mergeCell ref="G296:G297"/>
    <mergeCell ref="J339:N339"/>
    <mergeCell ref="I296:I297"/>
    <mergeCell ref="A300:A305"/>
    <mergeCell ref="G298:G299"/>
    <mergeCell ref="AA314:AA315"/>
    <mergeCell ref="I298:I299"/>
    <mergeCell ref="C336:C337"/>
    <mergeCell ref="S224:S225"/>
    <mergeCell ref="X334:X335"/>
    <mergeCell ref="Z238:Z239"/>
    <mergeCell ref="H246:H247"/>
    <mergeCell ref="A628:E634"/>
    <mergeCell ref="T277:W277"/>
    <mergeCell ref="F254:F255"/>
    <mergeCell ref="H354:H355"/>
    <mergeCell ref="Z240:Z241"/>
    <mergeCell ref="O244:O245"/>
    <mergeCell ref="O300:O301"/>
    <mergeCell ref="A797:I797"/>
    <mergeCell ref="X336:X337"/>
    <mergeCell ref="B256:B261"/>
    <mergeCell ref="D252:D253"/>
    <mergeCell ref="C334:C335"/>
    <mergeCell ref="H330:H331"/>
    <mergeCell ref="A310:A313"/>
    <mergeCell ref="C310:C313"/>
    <mergeCell ref="C344:C345"/>
    <mergeCell ref="D310:D311"/>
    <mergeCell ref="E344:E345"/>
    <mergeCell ref="F310:F311"/>
    <mergeCell ref="S278:S279"/>
    <mergeCell ref="F282:F283"/>
    <mergeCell ref="AA256:AA257"/>
    <mergeCell ref="T263:W263"/>
    <mergeCell ref="J241:N241"/>
    <mergeCell ref="H340:H341"/>
    <mergeCell ref="D234:D235"/>
    <mergeCell ref="P245:R245"/>
    <mergeCell ref="G266:G267"/>
    <mergeCell ref="G322:G323"/>
    <mergeCell ref="G260:G261"/>
    <mergeCell ref="I322:I323"/>
    <mergeCell ref="B320:B333"/>
    <mergeCell ref="E306:E307"/>
    <mergeCell ref="O232:O233"/>
    <mergeCell ref="Y354:Y355"/>
    <mergeCell ref="G306:G307"/>
    <mergeCell ref="AA354:AA355"/>
    <mergeCell ref="P309:R309"/>
    <mergeCell ref="S354:S355"/>
    <mergeCell ref="B334:B335"/>
    <mergeCell ref="G324:G325"/>
    <mergeCell ref="D334:D335"/>
    <mergeCell ref="I324:I325"/>
    <mergeCell ref="B310:B313"/>
    <mergeCell ref="AA320:AA321"/>
    <mergeCell ref="D240:D241"/>
    <mergeCell ref="F256:F257"/>
    <mergeCell ref="X350:X351"/>
    <mergeCell ref="S276:S277"/>
    <mergeCell ref="H256:H257"/>
    <mergeCell ref="Z350:Z351"/>
    <mergeCell ref="Y234:Y235"/>
    <mergeCell ref="C354:C359"/>
    <mergeCell ref="D222:E222"/>
    <mergeCell ref="Z306:Z307"/>
    <mergeCell ref="H320:H321"/>
    <mergeCell ref="T355:W355"/>
    <mergeCell ref="T293:W293"/>
    <mergeCell ref="O310:O311"/>
    <mergeCell ref="H270:H271"/>
    <mergeCell ref="Y282:Y283"/>
    <mergeCell ref="P337:R337"/>
    <mergeCell ref="T221:X221"/>
    <mergeCell ref="Y300:Y301"/>
    <mergeCell ref="AA300:AA301"/>
    <mergeCell ref="O324:O325"/>
    <mergeCell ref="A292:A293"/>
    <mergeCell ref="P339:R339"/>
    <mergeCell ref="AA340:AA341"/>
    <mergeCell ref="H282:H283"/>
    <mergeCell ref="S342:S343"/>
    <mergeCell ref="D224:D225"/>
    <mergeCell ref="E256:E257"/>
    <mergeCell ref="F224:F225"/>
    <mergeCell ref="T225:W225"/>
    <mergeCell ref="G256:G257"/>
    <mergeCell ref="H346:H347"/>
    <mergeCell ref="C276:C281"/>
    <mergeCell ref="E350:E351"/>
    <mergeCell ref="P255:R255"/>
    <mergeCell ref="J257:N257"/>
    <mergeCell ref="S344:S345"/>
    <mergeCell ref="Y306:Y307"/>
    <mergeCell ref="AA306:AA307"/>
    <mergeCell ref="O238:O239"/>
    <mergeCell ref="J321:N321"/>
    <mergeCell ref="I314:I315"/>
    <mergeCell ref="G330:G331"/>
    <mergeCell ref="B300:B305"/>
    <mergeCell ref="Z338:Z339"/>
    <mergeCell ref="O240:O241"/>
    <mergeCell ref="S296:S297"/>
    <mergeCell ref="G272:G273"/>
    <mergeCell ref="B336:B337"/>
    <mergeCell ref="F300:F301"/>
    <mergeCell ref="E282:E283"/>
    <mergeCell ref="G282:G283"/>
    <mergeCell ref="Z256:Z257"/>
    <mergeCell ref="I338:I339"/>
    <mergeCell ref="Y224:Y225"/>
    <mergeCell ref="AA224:AA225"/>
    <mergeCell ref="A350:A353"/>
    <mergeCell ref="G346:G347"/>
    <mergeCell ref="O306:O307"/>
    <mergeCell ref="D350:D351"/>
    <mergeCell ref="P287:R287"/>
    <mergeCell ref="I340:I341"/>
    <mergeCell ref="E234:E235"/>
    <mergeCell ref="F276:F277"/>
    <mergeCell ref="D306:D307"/>
    <mergeCell ref="I302:I303"/>
    <mergeCell ref="S228:S229"/>
    <mergeCell ref="F306:F307"/>
    <mergeCell ref="D221:F221"/>
    <mergeCell ref="D220:I220"/>
    <mergeCell ref="AA252:AA253"/>
    <mergeCell ref="J245:N245"/>
    <mergeCell ref="E300:E301"/>
    <mergeCell ref="A336:A337"/>
    <mergeCell ref="O360:O361"/>
    <mergeCell ref="H336:H337"/>
    <mergeCell ref="S294:S295"/>
    <mergeCell ref="Z224:Z225"/>
    <mergeCell ref="A220:C220"/>
    <mergeCell ref="Y350:Y351"/>
    <mergeCell ref="B354:B359"/>
    <mergeCell ref="A234:A237"/>
    <mergeCell ref="J311:N311"/>
    <mergeCell ref="AA276:AA277"/>
    <mergeCell ref="G320:G321"/>
    <mergeCell ref="I320:I321"/>
    <mergeCell ref="B306:B309"/>
    <mergeCell ref="A216:I216"/>
    <mergeCell ref="Y221:AA221"/>
    <mergeCell ref="AA278:AA279"/>
    <mergeCell ref="X282:X283"/>
    <mergeCell ref="T297:W297"/>
    <mergeCell ref="J263:N263"/>
    <mergeCell ref="X300:X301"/>
    <mergeCell ref="Z300:Z301"/>
    <mergeCell ref="T241:W241"/>
    <mergeCell ref="D338:D339"/>
    <mergeCell ref="X346:X347"/>
    <mergeCell ref="Z346:Z347"/>
    <mergeCell ref="B292:B293"/>
    <mergeCell ref="Z340:Z341"/>
    <mergeCell ref="H276:H277"/>
    <mergeCell ref="C294:C299"/>
    <mergeCell ref="T341:W341"/>
    <mergeCell ref="E224:E225"/>
    <mergeCell ref="G224:G225"/>
    <mergeCell ref="Y232:Y233"/>
    <mergeCell ref="H278:H279"/>
    <mergeCell ref="B276:B281"/>
    <mergeCell ref="I346:I347"/>
    <mergeCell ref="T307:W307"/>
    <mergeCell ref="O354:O355"/>
    <mergeCell ref="E354:E355"/>
    <mergeCell ref="G354:G355"/>
    <mergeCell ref="Y296:Y297"/>
    <mergeCell ref="P351:R351"/>
    <mergeCell ref="AA296:AA297"/>
    <mergeCell ref="H238:H239"/>
    <mergeCell ref="P239:R239"/>
    <mergeCell ref="F240:F241"/>
    <mergeCell ref="A342:A343"/>
    <mergeCell ref="H342:H343"/>
    <mergeCell ref="Y340:Y341"/>
    <mergeCell ref="A167:O167"/>
    <mergeCell ref="S234:S235"/>
    <mergeCell ref="G270:G271"/>
    <mergeCell ref="I270:I271"/>
    <mergeCell ref="A224:A227"/>
    <mergeCell ref="A344:A345"/>
    <mergeCell ref="A1208:D1208"/>
    <mergeCell ref="C346:C349"/>
    <mergeCell ref="C224:C227"/>
    <mergeCell ref="AA228:AA229"/>
    <mergeCell ref="F346:F347"/>
    <mergeCell ref="T321:W321"/>
    <mergeCell ref="X232:X233"/>
    <mergeCell ref="Z232:Z233"/>
    <mergeCell ref="A314:A319"/>
    <mergeCell ref="H306:H307"/>
    <mergeCell ref="C314:C319"/>
    <mergeCell ref="H362:H363"/>
    <mergeCell ref="S300:S301"/>
    <mergeCell ref="G328:G329"/>
    <mergeCell ref="Z252:Z253"/>
    <mergeCell ref="A334:A335"/>
    <mergeCell ref="O256:O257"/>
    <mergeCell ref="D300:D301"/>
    <mergeCell ref="S318:S319"/>
    <mergeCell ref="A262:A275"/>
    <mergeCell ref="G342:G343"/>
    <mergeCell ref="A320:A333"/>
    <mergeCell ref="P283:R283"/>
    <mergeCell ref="I336:I337"/>
    <mergeCell ref="P277:R277"/>
    <mergeCell ref="O320:O321"/>
    <mergeCell ref="X310:X311"/>
    <mergeCell ref="S314:S315"/>
    <mergeCell ref="A354:A359"/>
    <mergeCell ref="A238:A239"/>
    <mergeCell ref="C238:C239"/>
    <mergeCell ref="P285:R285"/>
    <mergeCell ref="F228:F229"/>
    <mergeCell ref="H228:H229"/>
    <mergeCell ref="E232:E233"/>
    <mergeCell ref="A306:A309"/>
    <mergeCell ref="T315:W315"/>
    <mergeCell ref="J355:N355"/>
    <mergeCell ref="H292:H293"/>
    <mergeCell ref="Z278:Z279"/>
    <mergeCell ref="O282:O283"/>
    <mergeCell ref="H328:H329"/>
    <mergeCell ref="G356:G357"/>
    <mergeCell ref="H294:H295"/>
    <mergeCell ref="I260:I261"/>
    <mergeCell ref="Y346:Y347"/>
    <mergeCell ref="O224:O225"/>
    <mergeCell ref="O346:O347"/>
    <mergeCell ref="P301:R301"/>
    <mergeCell ref="G276:G277"/>
    <mergeCell ref="P361:R361"/>
    <mergeCell ref="I276:I277"/>
    <mergeCell ref="P295:R295"/>
    <mergeCell ref="S340:S341"/>
    <mergeCell ref="P311:R311"/>
    <mergeCell ref="X238:X239"/>
    <mergeCell ref="D246:D247"/>
    <mergeCell ref="J361:N361"/>
    <mergeCell ref="F246:F247"/>
    <mergeCell ref="G278:G279"/>
    <mergeCell ref="I278:I279"/>
    <mergeCell ref="D282:D283"/>
    <mergeCell ref="I334:I335"/>
    <mergeCell ref="B232:B233"/>
    <mergeCell ref="G228:G229"/>
    <mergeCell ref="D354:D355"/>
    <mergeCell ref="F354:F355"/>
    <mergeCell ref="X240:X241"/>
    <mergeCell ref="X296:X297"/>
    <mergeCell ref="C262:C275"/>
    <mergeCell ref="I342:I343"/>
    <mergeCell ref="Z296:Z297"/>
    <mergeCell ref="S262:S263"/>
    <mergeCell ref="AA234:AA235"/>
    <mergeCell ref="T245:W245"/>
    <mergeCell ref="T239:W239"/>
    <mergeCell ref="J279:N279"/>
    <mergeCell ref="T337:W337"/>
    <mergeCell ref="J343:N343"/>
    <mergeCell ref="D308:D309"/>
    <mergeCell ref="J281:N281"/>
    <mergeCell ref="B346:B349"/>
    <mergeCell ref="T339:W339"/>
    <mergeCell ref="G344:G345"/>
    <mergeCell ref="E246:E247"/>
    <mergeCell ref="I344:I345"/>
    <mergeCell ref="P347:R347"/>
    <mergeCell ref="B314:B319"/>
    <mergeCell ref="J345:N345"/>
    <mergeCell ref="I362:I363"/>
    <mergeCell ref="I262:I263"/>
    <mergeCell ref="O278:O279"/>
    <mergeCell ref="B262:B275"/>
    <mergeCell ref="F338:F339"/>
    <mergeCell ref="Y256:Y257"/>
    <mergeCell ref="H338:H339"/>
    <mergeCell ref="A240:A243"/>
    <mergeCell ref="A244:A251"/>
    <mergeCell ref="C240:C243"/>
    <mergeCell ref="AA262:AA263"/>
    <mergeCell ref="S336:S337"/>
    <mergeCell ref="I266:I267"/>
    <mergeCell ref="S252:S253"/>
    <mergeCell ref="I228:I229"/>
    <mergeCell ref="J307:N307"/>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2026-08-31T02:16:30Z</dcterms:created>
  <dcterms:modified xmlns:dcterms="http://purl.org/dc/terms/" xmlns:xsi="http://www.w3.org/2001/XMLSchema-instance" xsi:type="dcterms:W3CDTF">2026-09-18T19:48:32Z</dcterms:modified>
</cp:coreProperties>
</file>